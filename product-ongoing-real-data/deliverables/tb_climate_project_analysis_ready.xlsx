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d2e546a5ca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e1c68f4aed8484a"/>
    <x:sheet xmlns:r="http://schemas.openxmlformats.org/officeDocument/2006/relationships" name="Project_Protocol" sheetId="2" r:id="Rab25b708a0cf428c"/>
    <x:sheet xmlns:r="http://schemas.openxmlformats.org/officeDocument/2006/relationships" name="QA_Summary" sheetId="3" r:id="Rb41afe22f0d84be7"/>
    <x:sheet xmlns:r="http://schemas.openxmlformats.org/officeDocument/2006/relationships" name="Analysis_Panel" sheetId="4" r:id="R3449f82696f44972"/>
    <x:sheet xmlns:r="http://schemas.openxmlformats.org/officeDocument/2006/relationships" name="Codebook" sheetId="5" r:id="R460a1ac9a85142eb"/>
    <x:sheet xmlns:r="http://schemas.openxmlformats.org/officeDocument/2006/relationships" name="Source_Ledger" sheetId="6" r:id="R841d867c5bd74515"/>
    <x:sheet xmlns:r="http://schemas.openxmlformats.org/officeDocument/2006/relationships" name="Climate_Monthly" sheetId="7" r:id="R7fb75ad409294006"/>
    <x:sheet xmlns:r="http://schemas.openxmlformats.org/officeDocument/2006/relationships" name="BPS_Annual" sheetId="8" r:id="R29c01d26b55143cc"/>
    <x:sheet xmlns:r="http://schemas.openxmlformats.org/officeDocument/2006/relationships" name="Disaster_Monthly" sheetId="9" r:id="Rf517b2f3f29341c3"/>
    <x:sheet xmlns:r="http://schemas.openxmlformats.org/officeDocument/2006/relationships" name="BNPB_Reconcile" sheetId="10" r:id="R24f5a42aa04d4a9b"/>
    <x:sheet xmlns:r="http://schemas.openxmlformats.org/officeDocument/2006/relationships" name="Preliminary_Models" sheetId="11" r:id="Rae0990938f61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"/>
    <x:numFmt numFmtId="202" formatCode="0.0%"/>
    <x:numFmt numFmtId="203" formatCode="0.00"/>
    <x:numFmt numFmtId="204" formatCode="0.0000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075E65"/>
      <x:name val="Carlito"/>
    </x:font>
    <x:font>
      <x:b/>
      <x:sz val="14"/>
      <x:color rgb="FF15324A"/>
      <x:name val="Carlito"/>
    </x:font>
    <x:font>
      <x:b/>
      <x:sz val="11"/>
      <x:color rgb="FF15324A"/>
      <x:name val="Carlito"/>
    </x:font>
    <x:font>
      <x:b/>
      <x:sz val="11"/>
      <x:color rgb="FF7A5000"/>
      <x:name val="Carlito"/>
    </x:font>
    <x:font>
      <x:b/>
      <x:sz val="16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24A"/>
      </x:patternFill>
    </x:fill>
    <x:fill>
      <x:patternFill patternType="solid">
        <x:fgColor rgb="FFE8F5F6"/>
      </x:patternFill>
    </x:fill>
    <x:fill>
      <x:patternFill patternType="solid">
        <x:fgColor rgb="FF087F8C"/>
      </x:patternFill>
    </x:fill>
    <x:fill>
      <x:patternFill patternType="solid">
        <x:fgColor rgb="FFFFFFFF"/>
      </x:patternFill>
    </x:fill>
    <x:fill>
      <x:patternFill patternType="solid">
        <x:fgColor rgb="FFEAF1F8"/>
      </x:patternFill>
    </x:fill>
    <x:fill>
      <x:patternFill patternType="solid">
        <x:fgColor rgb="FFFFF4DE"/>
      </x:patternFill>
    </x:fill>
  </x:fills>
  <x:borders count="3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E7EDF1"/>
      </x:left>
      <x:right style="thin">
        <x:color rgb="FFE7EDF1"/>
      </x:right>
      <x:top style="thin">
        <x:color rgb="FFE7EDF1"/>
      </x:top>
      <x:bottom style="thin">
        <x:color rgb="FFE7EDF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200" fontId="1" fillId="2" borderId="1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4" fontId="0" fillId="0" borderId="2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0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e31b473090487e" /><Relationship Type="http://schemas.openxmlformats.org/officeDocument/2006/relationships/theme" Target="/xl/theme/theme1.xml" Id="Ra5e152faa0b64878" /><Relationship Type="http://schemas.openxmlformats.org/officeDocument/2006/relationships/sharedStrings" Target="/xl/sharedStrings.xml" Id="Rf87a44a0b2df4821" /><Relationship Type="http://schemas.openxmlformats.org/officeDocument/2006/relationships/worksheet" Target="/xl/worksheets/sheet1.xml" Id="R9e1c68f4aed8484a" /><Relationship Type="http://schemas.openxmlformats.org/officeDocument/2006/relationships/worksheet" Target="/xl/worksheets/sheet2.xml" Id="Rab25b708a0cf428c" /><Relationship Type="http://schemas.openxmlformats.org/officeDocument/2006/relationships/worksheet" Target="/xl/worksheets/sheet3.xml" Id="Rb41afe22f0d84be7" /><Relationship Type="http://schemas.openxmlformats.org/officeDocument/2006/relationships/worksheet" Target="/xl/worksheets/sheet4.xml" Id="R3449f82696f44972" /><Relationship Type="http://schemas.openxmlformats.org/officeDocument/2006/relationships/worksheet" Target="/xl/worksheets/sheet5.xml" Id="R460a1ac9a85142eb" /><Relationship Type="http://schemas.openxmlformats.org/officeDocument/2006/relationships/worksheet" Target="/xl/worksheets/sheet6.xml" Id="R841d867c5bd74515" /><Relationship Type="http://schemas.openxmlformats.org/officeDocument/2006/relationships/worksheet" Target="/xl/worksheets/sheet7.xml" Id="R7fb75ad409294006" /><Relationship Type="http://schemas.openxmlformats.org/officeDocument/2006/relationships/worksheet" Target="/xl/worksheets/sheet8.xml" Id="R29c01d26b55143cc" /><Relationship Type="http://schemas.openxmlformats.org/officeDocument/2006/relationships/worksheet" Target="/xl/worksheets/sheet9.xml" Id="Rf517b2f3f29341c3" /><Relationship Type="http://schemas.openxmlformats.org/officeDocument/2006/relationships/worksheet" Target="/xl/worksheets/sheet10.xml" Id="R24f5a42aa04d4a9b" /><Relationship Type="http://schemas.openxmlformats.org/officeDocument/2006/relationships/worksheet" Target="/xl/worksheets/sheet11.xml" Id="Rae0990938f6149ab" /></Relationships>
</file>

<file path=xl/tables/table1.xml><?xml version="1.0" encoding="utf-8"?>
<x:table xmlns:x="http://schemas.openxmlformats.org/spreadsheetml/2006/main" id="1" name="AnalysisPanel" displayName="AnalysisPanel" ref="A1:BZ913" headerRowCount="1" totalsRowCount="0" totalsRowShown="0">
  <x:tableColumns count="78">
    <x:tableColumn id="1" name="province_code"/>
    <x:tableColumn id="2" name="province"/>
    <x:tableColumn id="3" name="year"/>
    <x:tableColumn id="4" name="month"/>
    <x:tableColumn id="5" name="period"/>
    <x:tableColumn id="6" name="jumlah_pasien"/>
    <x:tableColumn id="7" name="sembuh"/>
    <x:tableColumn id="8" name="pengobatan_lengkap"/>
    <x:tableColumn id="9" name="lost_to_follow_up"/>
    <x:tableColumn id="10" name="meninggal"/>
    <x:tableColumn id="11" name="gagal"/>
    <x:tableColumn id="12" name="tidak_dievaluasi_pindah"/>
    <x:tableColumn id="13" name="belum_ada_hasil"/>
    <x:tableColumn id="14" name="outcome_sum"/>
    <x:tableColumn id="15" name="outcome_balance"/>
    <x:tableColumn id="16" name="known_outcome_count"/>
    <x:tableColumn id="17" name="pending_share"/>
    <x:tableColumn id="18" name="treatment_success"/>
    <x:tableColumn id="19" name="treatment_success_all_share"/>
    <x:tableColumn id="20" name="treatment_success_known_share"/>
    <x:tableColumn id="21" name="adverse_known_count"/>
    <x:tableColumn id="22" name="adverse_known_share"/>
    <x:tableColumn id="23" name="cohort_maturity_flag"/>
    <x:tableColumn id="24" name="treatment_started_per_100k"/>
    <x:tableColumn id="25" name="log_population_offset"/>
    <x:tableColumn id="26" name="population"/>
    <x:tableColumn id="27" name="population_density_per_km2"/>
    <x:tableColumn id="28" name="population_reference_date"/>
    <x:tableColumn id="29" name="sanitation_access_pct"/>
    <x:tableColumn id="30" name="sanitation_reference_period"/>
    <x:tableColumn id="31" name="poverty_pct"/>
    <x:tableColumn id="32" name="poverty_reference_period"/>
    <x:tableColumn id="33" name="temperature_c"/>
    <x:tableColumn id="34" name="relative_humidity_pct"/>
    <x:tableColumn id="35" name="precipitation_mm"/>
    <x:tableColumn id="36" name="temperature_c_anomaly"/>
    <x:tableColumn id="37" name="temperature_c_z"/>
    <x:tableColumn id="38" name="temperature_c_z_lag1"/>
    <x:tableColumn id="39" name="temperature_c_z_lag2"/>
    <x:tableColumn id="40" name="temperature_c_z_mean_lag0_2"/>
    <x:tableColumn id="41" name="relative_humidity_pct_anomaly"/>
    <x:tableColumn id="42" name="relative_humidity_pct_z"/>
    <x:tableColumn id="43" name="relative_humidity_pct_z_lag1"/>
    <x:tableColumn id="44" name="relative_humidity_pct_z_lag2"/>
    <x:tableColumn id="45" name="relative_humidity_pct_z_mean_lag0_2"/>
    <x:tableColumn id="46" name="precipitation_mm_anomaly"/>
    <x:tableColumn id="47" name="precipitation_mm_z"/>
    <x:tableColumn id="48" name="precipitation_mm_z_lag1"/>
    <x:tableColumn id="49" name="precipitation_mm_z_lag2"/>
    <x:tableColumn id="50" name="precipitation_mm_z_mean_lag0_2"/>
    <x:tableColumn id="51" name="heavy_rain_anomaly"/>
    <x:tableColumn id="52" name="hot_anomaly"/>
    <x:tableColumn id="53" name="climate_spatial_method"/>
    <x:tableColumn id="54" name="climate_grid_cells"/>
    <x:tableColumn id="55" name="event_record_count"/>
    <x:tableColumn id="56" name="hydrometeorological_events"/>
    <x:tableColumn id="57" name="flood_events"/>
    <x:tableColumn id="58" name="landslide_events"/>
    <x:tableColumn id="59" name="extreme_weather_events"/>
    <x:tableColumn id="60" name="drought_events"/>
    <x:tableColumn id="61" name="wildfire_events"/>
    <x:tableColumn id="62" name="coastal_wave_events"/>
    <x:tableColumn id="63" name="earthquake_events"/>
    <x:tableColumn id="64" name="volcanic_eruption_events"/>
    <x:tableColumn id="65" name="tsunami_events"/>
    <x:tableColumn id="66" name="has_any_impact_field"/>
    <x:tableColumn id="67" name="deaths_reported_sum"/>
    <x:tableColumn id="68" name="deaths_reported_records"/>
    <x:tableColumn id="69" name="injured_reported_sum"/>
    <x:tableColumn id="70" name="injured_reported_records"/>
    <x:tableColumn id="71" name="houses_damaged_reported_sum"/>
    <x:tableColumn id="72" name="houses_damaged_reported_records"/>
    <x:tableColumn id="73" name="houses_flooded_reported_sum"/>
    <x:tableColumn id="74" name="houses_flooded_reported_records"/>
    <x:tableColumn id="75" name="disaster_quality_flag"/>
    <x:tableColumn id="76" name="quality_flag"/>
    <x:tableColumn id="77" name="source_url"/>
    <x:tableColumn id="78" name="snapshot_retrieved_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debookTable" displayName="CodebookTable" ref="A1:D79" headerRowCount="1" totalsRowCount="0" totalsRowShown="0">
  <x:tableColumns count="4">
    <x:tableColumn id="1" name="variable"/>
    <x:tableColumn id="2" name="definition"/>
    <x:tableColumn id="3" name="unit_or_type"/>
    <x:tableColumn id="4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Ledger" displayName="SourceLedger" ref="A1:H7" headerRowCount="1" totalsRowCount="0" totalsRowShown="0">
  <x:tableColumns count="8">
    <x:tableColumn id="1" name="dataset_id"/>
    <x:tableColumn id="2" name="publisher"/>
    <x:tableColumn id="3" name="source_url"/>
    <x:tableColumn id="4" name="coverage"/>
    <x:tableColumn id="5" name="role"/>
    <x:tableColumn id="6" name="status"/>
    <x:tableColumn id="7" name="local_files"/>
    <x:tableColumn id="8" name="limi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imateMonthly" displayName="ClimateMonthly" ref="A1:AM913" headerRowCount="1" totalsRowCount="0" totalsRowShown="0">
  <x:tableColumns count="39">
    <x:tableColumn id="1" name="province_code"/>
    <x:tableColumn id="2" name="province"/>
    <x:tableColumn id="3" name="year"/>
    <x:tableColumn id="4" name="month"/>
    <x:tableColumn id="5" name="temperature_c"/>
    <x:tableColumn id="6" name="climate_spatial_method"/>
    <x:tableColumn id="7" name="climate_grid_cells"/>
    <x:tableColumn id="8" name="relative_humidity_pct"/>
    <x:tableColumn id="9" name="precipitation_mm_day"/>
    <x:tableColumn id="10" name="days_in_month"/>
    <x:tableColumn id="11" name="precipitation_mm"/>
    <x:tableColumn id="12" name="temperature_c_mean_1991_2020"/>
    <x:tableColumn id="13" name="temperature_c_std_1991_2020"/>
    <x:tableColumn id="14" name="relative_humidity_pct_mean_1991_2020"/>
    <x:tableColumn id="15" name="relative_humidity_pct_std_1991_2020"/>
    <x:tableColumn id="16" name="precipitation_mm_mean_1991_2020"/>
    <x:tableColumn id="17" name="precipitation_mm_std_1991_2020"/>
    <x:tableColumn id="18" name="temperature_c_anomaly"/>
    <x:tableColumn id="19" name="temperature_c_z"/>
    <x:tableColumn id="20" name="relative_humidity_pct_anomaly"/>
    <x:tableColumn id="21" name="relative_humidity_pct_z"/>
    <x:tableColumn id="22" name="precipitation_mm_anomaly"/>
    <x:tableColumn id="23" name="precipitation_mm_z"/>
    <x:tableColumn id="24" name="temperature_c_z_lag1"/>
    <x:tableColumn id="25" name="temperature_c_z_lag2"/>
    <x:tableColumn id="26" name="temperature_c_z_mean_lag0_2"/>
    <x:tableColumn id="27" name="relative_humidity_pct_z_lag1"/>
    <x:tableColumn id="28" name="relative_humidity_pct_z_lag2"/>
    <x:tableColumn id="29" name="relative_humidity_pct_z_mean_lag0_2"/>
    <x:tableColumn id="30" name="precipitation_mm_z_lag1"/>
    <x:tableColumn id="31" name="precipitation_mm_z_lag2"/>
    <x:tableColumn id="32" name="precipitation_mm_z_mean_lag0_2"/>
    <x:tableColumn id="33" name="heavy_rain_anomaly"/>
    <x:tableColumn id="34" name="hot_anomaly"/>
    <x:tableColumn id="35" name="period"/>
    <x:tableColumn id="36" name="climate_source"/>
    <x:tableColumn id="37" name="boundary_source"/>
    <x:tableColumn id="38" name="source_url"/>
    <x:tableColumn id="39" name="boundary_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PSAnnual" displayName="BPSAnnual" ref="A1:R153" headerRowCount="1" totalsRowCount="0" totalsRowShown="0">
  <x:tableColumns count="18">
    <x:tableColumn id="1" name="province_code"/>
    <x:tableColumn id="2" name="province"/>
    <x:tableColumn id="3" name="year"/>
    <x:tableColumn id="4" name="population"/>
    <x:tableColumn id="5" name="population_density_per_km2"/>
    <x:tableColumn id="6" name="population_reference_date"/>
    <x:tableColumn id="7" name="population_source_file"/>
    <x:tableColumn id="8" name="population_source_table"/>
    <x:tableColumn id="9" name="sanitation_access_pct"/>
    <x:tableColumn id="10" name="sanitation_reference_period"/>
    <x:tableColumn id="11" name="sanitation_source_file"/>
    <x:tableColumn id="12" name="sanitation_source_table"/>
    <x:tableColumn id="13" name="poverty_pct"/>
    <x:tableColumn id="14" name="poverty_reference_period"/>
    <x:tableColumn id="15" name="poverty_source_file"/>
    <x:tableColumn id="16" name="poverty_source_table"/>
    <x:tableColumn id="17" name="source_publisher"/>
    <x:tableColumn id="18" name="extraction_metho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sasterMonthly" displayName="DisasterMonthly" ref="A1:AF913" headerRowCount="1" totalsRowCount="0" totalsRowShown="0">
  <x:tableColumns count="32">
    <x:tableColumn id="1" name="province_code"/>
    <x:tableColumn id="2" name="province"/>
    <x:tableColumn id="3" name="year"/>
    <x:tableColumn id="4" name="month"/>
    <x:tableColumn id="5" name="event_record_count"/>
    <x:tableColumn id="6" name="has_any_impact_field"/>
    <x:tableColumn id="7" name="flood_events"/>
    <x:tableColumn id="8" name="landslide_events"/>
    <x:tableColumn id="9" name="extreme_weather_events"/>
    <x:tableColumn id="10" name="drought_events"/>
    <x:tableColumn id="11" name="wildfire_events"/>
    <x:tableColumn id="12" name="coastal_wave_events"/>
    <x:tableColumn id="13" name="earthquake_events"/>
    <x:tableColumn id="14" name="volcanic_eruption_events"/>
    <x:tableColumn id="15" name="tsunami_events"/>
    <x:tableColumn id="16" name="hydrometeorological_events"/>
    <x:tableColumn id="17" name="deaths_reported_sum"/>
    <x:tableColumn id="18" name="deaths_reported_records"/>
    <x:tableColumn id="19" name="missing_reported_sum"/>
    <x:tableColumn id="20" name="missing_reported_records"/>
    <x:tableColumn id="21" name="injured_reported_sum"/>
    <x:tableColumn id="22" name="injured_reported_records"/>
    <x:tableColumn id="23" name="houses_damaged_reported_sum"/>
    <x:tableColumn id="24" name="houses_damaged_reported_records"/>
    <x:tableColumn id="25" name="houses_flooded_reported_sum"/>
    <x:tableColumn id="26" name="houses_flooded_reported_records"/>
    <x:tableColumn id="27" name="public_facilities_damaged_reported_sum"/>
    <x:tableColumn id="28" name="public_facilities_damaged_reported_records"/>
    <x:tableColumn id="29" name="period"/>
    <x:tableColumn id="30" name="disaster_source"/>
    <x:tableColumn id="31" name="source_url"/>
    <x:tableColumn id="32" name="quality_fla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NPBReconcile" displayName="BNPBReconcile" ref="A1:Q77" headerRowCount="1" totalsRowCount="0" totalsRowShown="0">
  <x:tableColumns count="17">
    <x:tableColumn id="1" name="province_code_bnpb_workbook"/>
    <x:tableColumn id="2" name="province"/>
    <x:tableColumn id="3" name="year"/>
    <x:tableColumn id="4" name="annual_official_total_events"/>
    <x:tableColumn id="5" name="BANJIR"/>
    <x:tableColumn id="6" name="CUACA EKSTREM"/>
    <x:tableColumn id="7" name="ERUPSI GUNUNG API"/>
    <x:tableColumn id="8" name="GELOMBANG PASANG DAN ABRASI"/>
    <x:tableColumn id="9" name="GEMPABUMI"/>
    <x:tableColumn id="10" name="KEBAKARAN HUTAN DAN LAHAN"/>
    <x:tableColumn id="11" name="KEKERINGAN"/>
    <x:tableColumn id="12" name="TANAH LONGSOR"/>
    <x:tableColumn id="13" name="TSUNAMI"/>
    <x:tableColumn id="14" name="province_code"/>
    <x:tableColumn id="15" name="event_record_count"/>
    <x:tableColumn id="16" name="difference_operational_minus_annual"/>
    <x:tableColumn id="17" name="agreement_fla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eliminaryModels" displayName="PreliminaryModels" ref="A1:M14" headerRowCount="1" totalsRowCount="0" totalsRowShown="0">
  <x:tableColumns count="13">
    <x:tableColumn id="1" name="model"/>
    <x:tableColumn id="2" name="variable"/>
    <x:tableColumn id="3" name="coefficient_log_rate"/>
    <x:tableColumn id="4" name="cluster_robust_se"/>
    <x:tableColumn id="5" name="incidence_rate_ratio"/>
    <x:tableColumn id="6" name="irr_ci95_low"/>
    <x:tableColumn id="7" name="irr_ci95_high"/>
    <x:tableColumn id="8" name="p_value"/>
    <x:tableColumn id="9" name="n_observations"/>
    <x:tableColumn id="10" name="province_fixed_effects"/>
    <x:tableColumn id="11" name="period_fixed_effects"/>
    <x:tableColumn id="12" name="population_offset"/>
    <x:tableColumn id="13" name="interpretation_war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3aa49c3fbc304f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09323ea1a5cb4e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f8cf698d0b7d4f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6d02d966507b4b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17338c3c330940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27a200430ed44f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32996bd10d7340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d91e8c020214f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5" t="str">
        <x:v>TB-INSIGHT - Project Draft and Analysis-Ready Data</x:v>
      </x:c>
      <x:c r="B1" s="15"/>
      <x:c r="C1" s="15"/>
      <x:c r="D1" s="15"/>
      <x:c r="E1" s="15"/>
      <x:c r="F1" s="15"/>
      <x:c r="G1" s="15"/>
      <x:c r="H1" s="15"/>
    </x:row>
    <x:row r="2">
      <x:c r="A2" s="15"/>
      <x:c r="B2" s="15"/>
      <x:c r="C2" s="15"/>
      <x:c r="D2" s="15"/>
      <x:c r="E2" s="15"/>
      <x:c r="F2" s="15"/>
      <x:c r="G2" s="15"/>
      <x:c r="H2" s="15"/>
    </x:row>
    <x:row r="4">
      <x:c r="A4" s="19" t="str">
        <x:v>Decision: proceed with a 38-province x monthly ecological panel for 2024-2025. Primary exposure is climate anomaly; BNPB events are sensitivity covariates. The final panel contains no synthetic data.</x:v>
      </x:c>
      <x:c r="B4" s="19"/>
      <x:c r="C4" s="19"/>
      <x:c r="D4" s="19"/>
      <x:c r="E4" s="19"/>
      <x:c r="F4" s="19"/>
      <x:c r="G4" s="19"/>
      <x:c r="H4" s="19"/>
    </x:row>
    <x:row r="5">
      <x:c r="A5" s="19"/>
      <x:c r="B5" s="19"/>
      <x:c r="C5" s="19"/>
      <x:c r="D5" s="19"/>
      <x:c r="E5" s="19"/>
      <x:c r="F5" s="19"/>
      <x:c r="G5" s="19"/>
      <x:c r="H5" s="19"/>
    </x:row>
    <x:row r="7">
      <x:c r="A7" s="22" t="str">
        <x:v>Panel rows</x:v>
      </x:c>
      <x:c r="B7" s="22" t="str">
        <x:v>Provinces</x:v>
      </x:c>
      <x:c r="C7" s="22" t="str">
        <x:v>Months</x:v>
      </x:c>
      <x:c r="D7" s="22" t="str">
        <x:v>Required missing</x:v>
      </x:c>
      <x:c r="E7" s="22" t="str">
        <x:v>Duplicate keys</x:v>
      </x:c>
      <x:c r="F7" s="22" t="str">
        <x:v>Outcome balance failures</x:v>
      </x:c>
      <x:c r="G7" s="22" t="str">
        <x:v>Raw BNPB events</x:v>
      </x:c>
      <x:c r="H7" s="22" t="str">
        <x:v>Curated BNPB events</x:v>
      </x:c>
    </x:row>
    <x:row r="8">
      <x:c r="A8" s="26" t="n">
        <x:v>912</x:v>
      </x:c>
      <x:c r="B8" s="26" t="n">
        <x:v>38</x:v>
      </x:c>
      <x:c r="C8" s="26" t="n">
        <x:v>24</x:v>
      </x:c>
      <x:c r="D8" s="26" t="n">
        <x:v>0</x:v>
      </x:c>
      <x:c r="E8" s="26" t="n">
        <x:v>0</x:v>
      </x:c>
      <x:c r="F8" s="26" t="n">
        <x:v>0</x:v>
      </x:c>
      <x:c r="G8" s="26" t="n">
        <x:v>7164</x:v>
      </x:c>
      <x:c r="H8" s="26" t="n">
        <x:v>7143</x:v>
      </x:c>
    </x:row>
    <x:row r="10">
      <x:c r="A10" s="29" t="str">
        <x:v>Sheet</x:v>
      </x:c>
      <x:c r="B10" s="29" t="str">
        <x:v>Purpose</x:v>
      </x:c>
    </x:row>
    <x:row r="11">
      <x:c r="A11" s="30" t="str">
        <x:v>Project_Protocol</x:v>
      </x:c>
      <x:c r="B11" s="30" t="str">
        <x:v>Research question, novelty, methods, and guardrails</x:v>
      </x:c>
    </x:row>
    <x:row r="12">
      <x:c r="A12" s="30" t="str">
        <x:v>QA_Summary</x:v>
      </x:c>
      <x:c r="B12" s="30" t="str">
        <x:v>Formula-backed completeness and consistency checks</x:v>
      </x:c>
    </x:row>
    <x:row r="13">
      <x:c r="A13" s="30" t="str">
        <x:v>Analysis_Panel</x:v>
      </x:c>
      <x:c r="B13" s="30" t="str">
        <x:v>Final 912-row province-month dataset; core derived metrics use formulas</x:v>
      </x:c>
    </x:row>
    <x:row r="14">
      <x:c r="A14" s="30" t="str">
        <x:v>Codebook</x:v>
      </x:c>
      <x:c r="B14" s="30" t="str">
        <x:v>Definitions and units for every panel variable</x:v>
      </x:c>
    </x:row>
    <x:row r="15">
      <x:c r="A15" s="30" t="str">
        <x:v>Source_Ledger</x:v>
      </x:c>
      <x:c r="B15" s="30" t="str">
        <x:v>Publisher, URL, coverage, local files, and limitations</x:v>
      </x:c>
    </x:row>
    <x:row r="16">
      <x:c r="A16" s="30" t="str">
        <x:v>Climate_Monthly</x:v>
      </x:c>
      <x:c r="B16" s="30" t="str">
        <x:v>NASA POWER observations, 1991-2020 normals, anomalies, and lags</x:v>
      </x:c>
    </x:row>
    <x:row r="17">
      <x:c r="A17" s="30" t="str">
        <x:v>BPS_Annual</x:v>
      </x:c>
      <x:c r="B17" s="30" t="str">
        <x:v>Population, density, sanitation, and poverty with reference periods</x:v>
      </x:c>
    </x:row>
    <x:row r="18">
      <x:c r="A18" s="30" t="str">
        <x:v>Disaster_Monthly</x:v>
      </x:c>
      <x:c r="B18" s="30" t="str">
        <x:v>BNPB operational event counts and reporting completeness</x:v>
      </x:c>
    </x:row>
    <x:row r="19">
      <x:c r="A19" s="30" t="str">
        <x:v>BNPB_Reconcile</x:v>
      </x:c>
      <x:c r="B19" s="30" t="str">
        <x:v>Operational monthly totals versus formal annual workbooks</x:v>
      </x:c>
    </x:row>
    <x:row r="20">
      <x:c r="A20" s="30" t="str">
        <x:v>Preliminary_Models</x:v>
      </x:c>
      <x:c r="B20" s="30" t="str">
        <x:v>Exploratory PPML results; not confirmatory or causal</x:v>
      </x:c>
    </x:row>
    <x:row r="22">
      <x:c r="A22" s="34" t="str">
        <x:v>Important: jumlah_pasien means patients starting drug-susceptible TB treatment in the stated month. It is not incidence and not all case notifications. 2025 treatment outcomes are provisional; use cohort_maturity_flag before outcome analysis.</x:v>
      </x:c>
      <x:c r="B22" s="34"/>
      <x:c r="C22" s="34"/>
      <x:c r="D22" s="34"/>
      <x:c r="E22" s="34"/>
      <x:c r="F22" s="34"/>
      <x:c r="G22" s="34"/>
      <x:c r="H22" s="34"/>
    </x:row>
    <x:row r="23">
      <x:c r="A23" s="34"/>
      <x:c r="B23" s="34"/>
      <x:c r="C23" s="34"/>
      <x:c r="D23" s="34"/>
      <x:c r="E23" s="34"/>
      <x:c r="F23" s="34"/>
      <x:c r="G23" s="34"/>
      <x:c r="H23" s="34"/>
    </x:row>
    <x:row r="24">
      <x:c r="A24" s="34"/>
      <x:c r="B24" s="34"/>
      <x:c r="C24" s="34"/>
      <x:c r="D24" s="34"/>
      <x:c r="E24" s="34"/>
      <x:c r="F24" s="34"/>
      <x:c r="G24" s="34"/>
      <x:c r="H24" s="34"/>
    </x:row>
    <x:row r="25">
      <x:c r="A25" s="34"/>
      <x:c r="B25" s="34"/>
      <x:c r="C25" s="34"/>
      <x:c r="D25" s="34"/>
      <x:c r="E25" s="34"/>
      <x:c r="F25" s="34"/>
      <x:c r="G25" s="34"/>
      <x:c r="H25" s="34"/>
    </x:row>
  </x:sheetData>
  <x:mergeCells>
    <x:mergeCell ref="A1:H2"/>
    <x:mergeCell ref="A4:H5"/>
    <x:mergeCell ref="A22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0" hidden="0" customWidth="1"/>
  </x:cols>
  <x:sheetData>
    <x:row r="1">
      <x:c r="A1" s="36" t="str">
        <x:v>Project Protocol - TB Treatment Initiation and Climate Anomalies</x:v>
      </x:c>
      <x:c r="B1" s="36"/>
      <x:c r="C1" s="36"/>
      <x:c r="D1" s="36"/>
      <x:c r="E1" s="36"/>
      <x:c r="F1" s="36"/>
    </x:row>
    <x:row r="2">
      <x:c r="A2" s="36"/>
      <x:c r="B2" s="36"/>
      <x:c r="C2" s="36"/>
      <x:c r="D2" s="36"/>
      <x:c r="E2" s="36"/>
      <x:c r="F2" s="36"/>
    </x:row>
    <x:row r="4" ht="15" hidden="0" customHeight="1">
      <x:c r="A4" s="40" t="str">
        <x:v>Component</x:v>
      </x:c>
      <x:c r="B4" s="42" t="str">
        <x:v>Decision</x:v>
      </x:c>
    </x:row>
    <x:row r="5" ht="15" hidden="0" customHeight="1">
      <x:c r="A5" s="41" t="str">
        <x:v>Working title</x:v>
      </x:c>
      <x:c r="B5" s="43" t="str">
        <x:v>Climate Anomalies and Monthly Tuberculosis Treatment Initiation Across Indonesian Provinces, 2024-2025</x:v>
      </x:c>
    </x:row>
    <x:row r="6" ht="15" hidden="0" customHeight="1">
      <x:c r="A6" s="41" t="str">
        <x:v>Primary question</x:v>
      </x:c>
      <x:c r="B6" s="43" t="str">
        <x:v>Within a province, are temperature, humidity, and precipitation anomalies associated with monthly treatment starts?</x:v>
      </x:c>
    </x:row>
    <x:row r="7" ht="15" hidden="0" customHeight="1">
      <x:c r="A7" s="41" t="str">
        <x:v>Primary outcome</x:v>
      </x:c>
      <x:c r="B7" s="43" t="str">
        <x:v>jumlah_pasien with log(population) offset</x:v>
      </x:c>
    </x:row>
    <x:row r="8" ht="15" hidden="0" customHeight="1">
      <x:c r="A8" s="41" t="str">
        <x:v>Primary exposure</x:v>
      </x:c>
      <x:c r="B8" s="43" t="str">
        <x:v>Province calendar-month climate z-score relative to 1991-2020</x:v>
      </x:c>
    </x:row>
    <x:row r="9" ht="15" hidden="0" customHeight="1">
      <x:c r="A9" s="41" t="str">
        <x:v>Main model</x:v>
      </x:c>
      <x:c r="B9" s="43" t="str">
        <x:v>PPML with province fixed effects, month-year fixed effects, and province-clustered standard errors</x:v>
      </x:c>
    </x:row>
    <x:row r="10" ht="15" hidden="0" customHeight="1">
      <x:c r="A10" s="41" t="str">
        <x:v>Main lag</x:v>
      </x:c>
      <x:c r="B10" s="43" t="str">
        <x:v>Current month; three-month mean lag 0-2 as prespecified secondary exposure</x:v>
      </x:c>
    </x:row>
    <x:row r="11" ht="15" hidden="0" customHeight="1">
      <x:c r="A11" s="41" t="str">
        <x:v>Effect modifiers</x:v>
      </x:c>
      <x:c r="B11" s="43" t="str">
        <x:v>Centered poverty, sanitation, and log density; one interaction per model; FDR for secondary tests</x:v>
      </x:c>
    </x:row>
    <x:row r="12" ht="15" hidden="0" customHeight="1">
      <x:c r="A12" s="41" t="str">
        <x:v>Outcome analysis</x:v>
      </x:c>
      <x:c r="B12" s="43" t="str">
        <x:v>2024/mature cohorts only; success/adverse share among known outcomes</x:v>
      </x:c>
    </x:row>
    <x:row r="13" ht="15" hidden="0" customHeight="1">
      <x:c r="A13" s="41" t="str">
        <x:v>Disaster data</x:v>
      </x:c>
      <x:c r="B13" s="43" t="str">
        <x:v>Sensitivity only because operational monthly counts do not fully reconcile with annual workbooks</x:v>
      </x:c>
    </x:row>
    <x:row r="14" ht="15" hidden="0" customHeight="1">
      <x:c r="A14" s="41" t="str">
        <x:v>Seasonality</x:v>
      </x:c>
      <x:c r="B14" s="43" t="str">
        <x:v>Descriptive only; two annual cycles are insufficient for a strong seasonal claim</x:v>
      </x:c>
    </x:row>
    <x:row r="15" ht="15" hidden="0" customHeight="1">
      <x:c r="A15" s="41" t="str">
        <x:v>Causal language</x:v>
      </x:c>
      <x:c r="B15" s="43" t="str">
        <x:v>Not permitted; ecological associations may reflect detection, access, mobility, and reporting</x:v>
      </x:c>
    </x:row>
    <x:row r="16" ht="15" hidden="0" customHeight="1">
      <x:c r="A16" s="41" t="str">
        <x:v>Novelty</x:v>
      </x:c>
      <x:c r="B16" s="43" t="str">
        <x:v>30-year anomaly baseline + data-maturity-aware TB program outcomes + transparent source reconciliation</x:v>
      </x:c>
    </x:row>
    <x:row r="17" ht="15" hidden="0" customHeight="1">
      <x:c r="A17" s="41" t="str">
        <x:v>Preliminary result</x:v>
      </x:c>
      <x:c r="B17" s="43" t="str">
        <x:v>Linear PPML estimates were close to null; prioritize prespecified extremes/heterogeneity, not data-driven fishing</x:v>
      </x:c>
    </x:row>
    <x:row r="18" ht="15" hidden="0" customHeight="1">
      <x:c r="A18" s="41" t="str">
        <x:v>Production rule</x:v>
      </x:c>
      <x:c r="B18" s="43" t="str">
        <x:v>Remove synthetic panels; retain demo data only in a separately labelled demo mode if needed</x:v>
      </x:c>
    </x:row>
    <x:row r="19" ht="15" hidden="0" customHeight="1">
      <x:c r="A19" s="41" t="str">
        <x:v>Full draft</x:v>
      </x:c>
      <x:c r="B19" s="43" t="str">
        <x:v>reports/DRAFT_PROJECT_TB_CLIMATE_PROVINCE_MONTH.md</x:v>
      </x:c>
    </x:row>
    <x:row r="20" ht="15" hidden="0" customHeight="1">
      <x:c r="A20" s="41" t="str">
        <x:v>Rebuild script</x:v>
      </x:c>
      <x:c r="B20" s="43" t="str">
        <x:v>scripts/build_tb_climate_project_panel.py</x:v>
      </x:c>
    </x:row>
  </x:sheetData>
  <x:mergeCells>
    <x:mergeCell ref="A1:B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3" t="str">
        <x:v>Check</x:v>
      </x:c>
      <x:c r="B1" s="3" t="str">
        <x:v>Actual</x:v>
      </x:c>
      <x:c r="C1" s="3" t="str">
        <x:v>Expected</x:v>
      </x:c>
      <x:c r="D1" s="3" t="str">
        <x:v>Status</x:v>
      </x:c>
    </x:row>
    <x:row r="2">
      <x:c r="A2" s="30" t="str">
        <x:v>Panel rows</x:v>
      </x:c>
      <x:c r="B2" s="30" t="n">
        <x:f>COUNTA('Analysis_Panel'!A2:A913)</x:f>
        <x:v>912</x:v>
      </x:c>
      <x:c r="C2" s="30" t="n">
        <x:v>912</x:v>
      </x:c>
      <x:c r="D2" s="30" t="str">
        <x:f>IF(B2=C2,"PASS","FAIL")</x:f>
        <x:v>PASS</x:v>
      </x:c>
    </x:row>
    <x:row r="3">
      <x:c r="A3" s="30" t="str">
        <x:v>Province-month duplicate keys</x:v>
      </x:c>
      <x:c r="B3" s="30" t="n">
        <x:v>0</x:v>
      </x:c>
      <x:c r="C3" s="30" t="n">
        <x:v>0</x:v>
      </x:c>
      <x:c r="D3" s="30" t="str">
        <x:f>IF(B3=C3,"PASS","FAIL")</x:f>
        <x:v>PASS</x:v>
      </x:c>
    </x:row>
    <x:row r="4">
      <x:c r="A4" s="30" t="str">
        <x:v>Required missing values</x:v>
      </x:c>
      <x:c r="B4" s="30" t="n">
        <x:v>0</x:v>
      </x:c>
      <x:c r="C4" s="30" t="n">
        <x:v>0</x:v>
      </x:c>
      <x:c r="D4" s="30" t="str">
        <x:f>IF(B4=C4,"PASS","FAIL")</x:f>
        <x:v>PASS</x:v>
      </x:c>
    </x:row>
    <x:row r="5">
      <x:c r="A5" s="30" t="str">
        <x:v>Outcome balance failures</x:v>
      </x:c>
      <x:c r="B5" s="30" t="n">
        <x:f>COUNTIF('Analysis_Panel'!O2:O913,"&lt;&gt;0")</x:f>
        <x:v>0</x:v>
      </x:c>
      <x:c r="C5" s="30" t="n">
        <x:v>0</x:v>
      </x:c>
      <x:c r="D5" s="30" t="str">
        <x:f>IF(B5=C5,"PASS","FAIL")</x:f>
        <x:v>PASS</x:v>
      </x:c>
    </x:row>
    <x:row r="6">
      <x:c r="A6" s="30" t="str">
        <x:v>Climate rows</x:v>
      </x:c>
      <x:c r="B6" s="30" t="n">
        <x:v>912</x:v>
      </x:c>
      <x:c r="C6" s="30" t="n">
        <x:v>912</x:v>
      </x:c>
      <x:c r="D6" s="30" t="str">
        <x:f>IF(B6=C6,"PASS","FAIL")</x:f>
        <x:v>PASS</x:v>
      </x:c>
    </x:row>
    <x:row r="7">
      <x:c r="A7" s="30" t="str">
        <x:v>Disaster panel rows</x:v>
      </x:c>
      <x:c r="B7" s="30" t="n">
        <x:v>912</x:v>
      </x:c>
      <x:c r="C7" s="30" t="n">
        <x:v>912</x:v>
      </x:c>
      <x:c r="D7" s="30" t="str">
        <x:f>IF(B7=C7,"PASS","FAIL")</x:f>
        <x:v>PASS</x:v>
      </x:c>
    </x:row>
    <x:row r="8">
      <x:c r="A8" s="30" t="str">
        <x:v>BPS poverty available for 2024-2025</x:v>
      </x:c>
      <x:c r="B8" s="30" t="n">
        <x:v>76</x:v>
      </x:c>
      <x:c r="C8" s="30" t="n">
        <x:v>76</x:v>
      </x:c>
      <x:c r="D8" s="30" t="str">
        <x:f>IF(B8=C8,"PASS","FAIL")</x:f>
        <x:v>PASS</x:v>
      </x:c>
    </x:row>
    <x:row r="9">
      <x:c r="A9" s="30" t="str">
        <x:v>SITB cohorts using only official 2024-2025 endpoints</x:v>
      </x:c>
      <x:c r="B9" s="30" t="n">
        <x:v>912</x:v>
      </x:c>
      <x:c r="C9" s="30" t="n">
        <x:v>912</x:v>
      </x:c>
      <x:c r="D9" s="30" t="str">
        <x:f>IF(B9=C9,"PASS","FAIL")</x:f>
        <x:v>PASS</x:v>
      </x:c>
    </x:row>
    <x:row r="11">
      <x:c r="A11" s="34" t="str">
        <x:v>BNPB warning: BNPB monthly operational counts are sensitivity covariates due to incomplete agreement with annual workbooks. Operational total after deduplication: 2024=3720; 2025=3423.</x:v>
      </x:c>
      <x:c r="B11" s="34"/>
      <x:c r="C11" s="34"/>
      <x:c r="D11" s="34"/>
    </x:row>
    <x:row r="12">
      <x:c r="A12" s="34"/>
      <x:c r="B12" s="34"/>
      <x:c r="C12" s="34"/>
      <x:c r="D12" s="34"/>
    </x:row>
    <x:row r="13">
      <x:c r="A13" s="34"/>
      <x:c r="B13" s="34"/>
      <x:c r="C13" s="34"/>
      <x:c r="D13" s="34"/>
    </x:row>
    <x:row r="14">
      <x:c r="A14" s="34"/>
      <x:c r="B14" s="34"/>
      <x:c r="C14" s="34"/>
      <x:c r="D14" s="34"/>
    </x:row>
  </x:sheetData>
  <x:mergeCells>
    <x:mergeCell ref="A11:D14"/>
  </x:mergeCells>
  <x:conditionalFormatting sqref="D2:D9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1" hidden="0" customWidth="1"/>
    <x:col min="4" max="4" width="11" hidden="0" customWidth="1"/>
    <x:col min="5" max="5" width="11" hidden="0" customWidth="1"/>
    <x:col min="6" max="6" width="15" hidden="0" customWidth="1"/>
    <x:col min="7" max="7" width="11" hidden="0" customWidth="1"/>
    <x:col min="8" max="8" width="18" hidden="0" customWidth="1"/>
    <x:col min="9" max="9" width="18" hidden="0" customWidth="1"/>
    <x:col min="10" max="10" width="11" hidden="0" customWidth="1"/>
    <x:col min="11" max="11" width="11" hidden="0" customWidth="1"/>
    <x:col min="12" max="12" width="18" hidden="0" customWidth="1"/>
    <x:col min="13" max="13" width="17" hidden="0" customWidth="1"/>
    <x:col min="14" max="14" width="13" hidden="0" customWidth="1"/>
    <x:col min="15" max="15" width="17" hidden="0" customWidth="1"/>
    <x:col min="16" max="16" width="18" hidden="0" customWidth="1"/>
    <x:col min="17" max="17" width="15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30" hidden="0" customWidth="1"/>
    <x:col min="24" max="24" width="18" hidden="0" customWidth="1"/>
    <x:col min="25" max="25" width="18" hidden="0" customWidth="1"/>
    <x:col min="26" max="26" width="12" hidden="0" customWidth="1"/>
    <x:col min="27" max="27" width="18" hidden="0" customWidth="1"/>
    <x:col min="28" max="28" width="30" hidden="0" customWidth="1"/>
    <x:col min="29" max="29" width="18" hidden="0" customWidth="1"/>
    <x:col min="30" max="30" width="30" hidden="0" customWidth="1"/>
    <x:col min="31" max="31" width="13" hidden="0" customWidth="1"/>
    <x:col min="32" max="32" width="30" hidden="0" customWidth="1"/>
    <x:col min="33" max="33" width="15" hidden="0" customWidth="1"/>
    <x:col min="34" max="34" width="18" hidden="0" customWidth="1"/>
    <x:col min="35" max="35" width="18" hidden="0" customWidth="1"/>
    <x:col min="36" max="36" width="18" hidden="0" customWidth="1"/>
    <x:col min="37" max="37" width="17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3" hidden="0" customWidth="1"/>
    <x:col min="53" max="53" width="30" hidden="0" customWidth="1"/>
    <x:col min="54" max="54" width="18" hidden="0" customWidth="1"/>
    <x:col min="55" max="55" width="18" hidden="0" customWidth="1"/>
    <x:col min="56" max="56" width="18" hidden="0" customWidth="1"/>
    <x:col min="57" max="57" width="14" hidden="0" customWidth="1"/>
    <x:col min="58" max="58" width="18" hidden="0" customWidth="1"/>
    <x:col min="59" max="59" width="18" hidden="0" customWidth="1"/>
    <x:col min="60" max="60" width="16" hidden="0" customWidth="1"/>
    <x:col min="61" max="61" width="17" hidden="0" customWidth="1"/>
    <x:col min="62" max="62" width="18" hidden="0" customWidth="1"/>
    <x:col min="63" max="63" width="18" hidden="0" customWidth="1"/>
    <x:col min="64" max="64" width="18" hidden="0" customWidth="1"/>
    <x:col min="65" max="65" width="16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30" hidden="0" customWidth="1"/>
    <x:col min="76" max="76" width="30" hidden="0" customWidth="1"/>
    <x:col min="77" max="77" width="30" hidden="0" customWidth="1"/>
    <x:col min="78" max="78" width="18" hidden="0" customWidth="1"/>
  </x:cols>
  <x:sheetData>
    <x:row r="1" ht="34" customHeight="1">
      <x:c r="A1" s="5" t="str">
        <x:v>province_code</x:v>
      </x:c>
      <x:c r="B1" s="5" t="str">
        <x:v>province</x:v>
      </x:c>
      <x:c r="C1" s="5" t="str">
        <x:v>year</x:v>
      </x:c>
      <x:c r="D1" s="5" t="str">
        <x:v>month</x:v>
      </x:c>
      <x:c r="E1" s="5" t="str">
        <x:v>period</x:v>
      </x:c>
      <x:c r="F1" s="5" t="str">
        <x:v>jumlah_pasien</x:v>
      </x:c>
      <x:c r="G1" s="5" t="str">
        <x:v>sembuh</x:v>
      </x:c>
      <x:c r="H1" s="5" t="str">
        <x:v>pengobatan_lengkap</x:v>
      </x:c>
      <x:c r="I1" s="5" t="str">
        <x:v>lost_to_follow_up</x:v>
      </x:c>
      <x:c r="J1" s="5" t="str">
        <x:v>meninggal</x:v>
      </x:c>
      <x:c r="K1" s="5" t="str">
        <x:v>gagal</x:v>
      </x:c>
      <x:c r="L1" s="5" t="str">
        <x:v>tidak_dievaluasi_pindah</x:v>
      </x:c>
      <x:c r="M1" s="5" t="str">
        <x:v>belum_ada_hasil</x:v>
      </x:c>
      <x:c r="N1" s="5" t="str">
        <x:v>outcome_sum</x:v>
      </x:c>
      <x:c r="O1" s="5" t="str">
        <x:v>outcome_balance</x:v>
      </x:c>
      <x:c r="P1" s="5" t="str">
        <x:v>known_outcome_count</x:v>
      </x:c>
      <x:c r="Q1" s="7" t="str">
        <x:v>pending_share</x:v>
      </x:c>
      <x:c r="R1" s="5" t="str">
        <x:v>treatment_success</x:v>
      </x:c>
      <x:c r="S1" s="7" t="str">
        <x:v>treatment_success_all_share</x:v>
      </x:c>
      <x:c r="T1" s="7" t="str">
        <x:v>treatment_success_known_share</x:v>
      </x:c>
      <x:c r="U1" s="5" t="str">
        <x:v>adverse_known_count</x:v>
      </x:c>
      <x:c r="V1" s="7" t="str">
        <x:v>adverse_known_share</x:v>
      </x:c>
      <x:c r="W1" s="5" t="str">
        <x:v>cohort_maturity_flag</x:v>
      </x:c>
      <x:c r="X1" s="5" t="str">
        <x:v>treatment_started_per_100k</x:v>
      </x:c>
      <x:c r="Y1" s="5" t="str">
        <x:v>log_population_offset</x:v>
      </x:c>
      <x:c r="Z1" s="5" t="str">
        <x:v>population</x:v>
      </x:c>
      <x:c r="AA1" s="5" t="str">
        <x:v>population_density_per_km2</x:v>
      </x:c>
      <x:c r="AB1" s="5" t="str">
        <x:v>population_reference_date</x:v>
      </x:c>
      <x:c r="AC1" s="7" t="str">
        <x:v>sanitation_access_pct</x:v>
      </x:c>
      <x:c r="AD1" s="5" t="str">
        <x:v>sanitation_reference_period</x:v>
      </x:c>
      <x:c r="AE1" s="7" t="str">
        <x:v>poverty_pct</x:v>
      </x:c>
      <x:c r="AF1" s="5" t="str">
        <x:v>poverty_reference_period</x:v>
      </x:c>
      <x:c r="AG1" s="5" t="str">
        <x:v>temperature_c</x:v>
      </x:c>
      <x:c r="AH1" s="7" t="str">
        <x:v>relative_humidity_pct</x:v>
      </x:c>
      <x:c r="AI1" s="5" t="str">
        <x:v>precipitation_mm</x:v>
      </x:c>
      <x:c r="AJ1" s="5" t="str">
        <x:v>temperature_c_anomaly</x:v>
      </x:c>
      <x:c r="AK1" s="7" t="str">
        <x:v>temperature_c_z</x:v>
      </x:c>
      <x:c r="AL1" s="5" t="str">
        <x:v>temperature_c_z_lag1</x:v>
      </x:c>
      <x:c r="AM1" s="5" t="str">
        <x:v>temperature_c_z_lag2</x:v>
      </x:c>
      <x:c r="AN1" s="5" t="str">
        <x:v>temperature_c_z_mean_lag0_2</x:v>
      </x:c>
      <x:c r="AO1" s="5" t="str">
        <x:v>relative_humidity_pct_anomaly</x:v>
      </x:c>
      <x:c r="AP1" s="7" t="str">
        <x:v>relative_humidity_pct_z</x:v>
      </x:c>
      <x:c r="AQ1" s="5" t="str">
        <x:v>relative_humidity_pct_z_lag1</x:v>
      </x:c>
      <x:c r="AR1" s="5" t="str">
        <x:v>relative_humidity_pct_z_lag2</x:v>
      </x:c>
      <x:c r="AS1" s="5" t="str">
        <x:v>relative_humidity_pct_z_mean_lag0_2</x:v>
      </x:c>
      <x:c r="AT1" s="5" t="str">
        <x:v>precipitation_mm_anomaly</x:v>
      </x:c>
      <x:c r="AU1" s="7" t="str">
        <x:v>precipitation_mm_z</x:v>
      </x:c>
      <x:c r="AV1" s="5" t="str">
        <x:v>precipitation_mm_z_lag1</x:v>
      </x:c>
      <x:c r="AW1" s="5" t="str">
        <x:v>precipitation_mm_z_lag2</x:v>
      </x:c>
      <x:c r="AX1" s="5" t="str">
        <x:v>precipitation_mm_z_mean_lag0_2</x:v>
      </x:c>
      <x:c r="AY1" s="5" t="str">
        <x:v>heavy_rain_anomaly</x:v>
      </x:c>
      <x:c r="AZ1" s="5" t="str">
        <x:v>hot_anomaly</x:v>
      </x:c>
      <x:c r="BA1" s="5" t="str">
        <x:v>climate_spatial_method</x:v>
      </x:c>
      <x:c r="BB1" s="5" t="str">
        <x:v>climate_grid_cells</x:v>
      </x:c>
      <x:c r="BC1" s="5" t="str">
        <x:v>event_record_count</x:v>
      </x:c>
      <x:c r="BD1" s="5" t="str">
        <x:v>hydrometeorological_events</x:v>
      </x:c>
      <x:c r="BE1" s="5" t="str">
        <x:v>flood_events</x:v>
      </x:c>
      <x:c r="BF1" s="5" t="str">
        <x:v>landslide_events</x:v>
      </x:c>
      <x:c r="BG1" s="5" t="str">
        <x:v>extreme_weather_events</x:v>
      </x:c>
      <x:c r="BH1" s="5" t="str">
        <x:v>drought_events</x:v>
      </x:c>
      <x:c r="BI1" s="5" t="str">
        <x:v>wildfire_events</x:v>
      </x:c>
      <x:c r="BJ1" s="5" t="str">
        <x:v>coastal_wave_events</x:v>
      </x:c>
      <x:c r="BK1" s="5" t="str">
        <x:v>earthquake_events</x:v>
      </x:c>
      <x:c r="BL1" s="5" t="str">
        <x:v>volcanic_eruption_events</x:v>
      </x:c>
      <x:c r="BM1" s="5" t="str">
        <x:v>tsunami_events</x:v>
      </x:c>
      <x:c r="BN1" s="5" t="str">
        <x:v>has_any_impact_field</x:v>
      </x:c>
      <x:c r="BO1" s="5" t="str">
        <x:v>deaths_reported_sum</x:v>
      </x:c>
      <x:c r="BP1" s="5" t="str">
        <x:v>deaths_reported_records</x:v>
      </x:c>
      <x:c r="BQ1" s="5" t="str">
        <x:v>injured_reported_sum</x:v>
      </x:c>
      <x:c r="BR1" s="5" t="str">
        <x:v>injured_reported_records</x:v>
      </x:c>
      <x:c r="BS1" s="5" t="str">
        <x:v>houses_damaged_reported_sum</x:v>
      </x:c>
      <x:c r="BT1" s="5" t="str">
        <x:v>houses_damaged_reported_records</x:v>
      </x:c>
      <x:c r="BU1" s="5" t="str">
        <x:v>houses_flooded_reported_sum</x:v>
      </x:c>
      <x:c r="BV1" s="5" t="str">
        <x:v>houses_flooded_reported_records</x:v>
      </x:c>
      <x:c r="BW1" s="5" t="str">
        <x:v>disaster_quality_flag</x:v>
      </x:c>
      <x:c r="BX1" s="5" t="str">
        <x:v>quality_flag</x:v>
      </x:c>
      <x:c r="BY1" s="5" t="str">
        <x:v>source_url</x:v>
      </x:c>
      <x:c r="BZ1" s="5" t="str">
        <x:v>snapshot_retrieved_at</x:v>
      </x:c>
    </x:row>
    <x:row r="2" ht="18" customHeight="1">
      <x:c r="A2" s="6" t="str">
        <x:v>11</x:v>
      </x:c>
      <x:c r="B2" s="6" t="str">
        <x:v>ACEH</x:v>
      </x:c>
      <x:c r="C2" s="6" t="str">
        <x:v>2024</x:v>
      </x:c>
      <x:c r="D2" s="6" t="str">
        <x:v>1</x:v>
      </x:c>
      <x:c r="E2" s="6" t="str">
        <x:v>2024-01</x:v>
      </x:c>
      <x:c r="F2" s="6" t="str">
        <x:v>981</x:v>
      </x:c>
      <x:c r="G2" s="6" t="str">
        <x:v>150</x:v>
      </x:c>
      <x:c r="H2" s="6" t="str">
        <x:v>724</x:v>
      </x:c>
      <x:c r="I2" s="6" t="str">
        <x:v>53</x:v>
      </x:c>
      <x:c r="J2" s="6" t="str">
        <x:v>30</x:v>
      </x:c>
      <x:c r="K2" s="6" t="str">
        <x:v>3</x:v>
      </x:c>
      <x:c r="L2" s="6" t="str">
        <x:v>1</x:v>
      </x:c>
      <x:c r="M2" s="6" t="str">
        <x:v>20</x:v>
      </x:c>
      <x:c r="N2" s="6" t="str">
        <x:v>981</x:v>
      </x:c>
      <x:c r="O2" s="6" t="str">
        <x:v>0</x:v>
      </x:c>
      <x:c r="P2" s="10" t="n">
        <x:f>F2-M2</x:f>
        <x:v>961</x:v>
      </x:c>
      <x:c r="Q2" s="11" t="n">
        <x:f>IFERROR(M2/F2,"")</x:f>
        <x:v>0.020387359836901122</x:v>
      </x:c>
      <x:c r="R2" s="10" t="n">
        <x:f>G2+H2</x:f>
        <x:v>874</x:v>
      </x:c>
      <x:c r="S2" s="11" t="n">
        <x:f>IFERROR(R2/F2,"")</x:f>
        <x:v>0.890927624872579</x:v>
      </x:c>
      <x:c r="T2" s="11" t="n">
        <x:f>IFERROR(R2/P2,"")</x:f>
        <x:v>0.9094693028095734</x:v>
      </x:c>
      <x:c r="U2" s="10" t="n">
        <x:f>I2+J2+K2</x:f>
        <x:v>86</x:v>
      </x:c>
      <x:c r="V2" s="11" t="n">
        <x:f>IFERROR(U2/P2,"")</x:f>
        <x:v>0.08949011446409989</x:v>
      </x:c>
      <x:c r="W2" s="9" t="str">
        <x:v>mature_le_5pct_pending</x:v>
      </x:c>
      <x:c r="X2" s="12" t="n">
        <x:f>IFERROR(F2/Z2*100000,"")</x:f>
        <x:v>17.66040181464679</x:v>
      </x:c>
      <x:c r="Y2" s="13" t="n">
        <x:f>LN(Z2)</x:f>
        <x:v>15.530172976807362</x:v>
      </x:c>
      <x:c r="Z2" s="6" t="str">
        <x:v>5554800</x:v>
      </x:c>
      <x:c r="AA2" s="6" t="str">
        <x:v>98.0</x:v>
      </x:c>
      <x:c r="AB2" s="9" t="str">
        <x:v>2024-06-30</x:v>
      </x:c>
      <x:c r="AC2" s="8" t="str">
        <x:v>81.1</x:v>
      </x:c>
      <x:c r="AD2" s="9" t="str">
        <x:v>2024 (Susenas)</x:v>
      </x:c>
      <x:c r="AE2" s="8" t="str">
        <x:v>14.23</x:v>
      </x:c>
      <x:c r="AF2" s="9" t="str">
        <x:v>Maret 2024 (Susenas)</x:v>
      </x:c>
      <x:c r="AG2" s="6" t="str">
        <x:v>24.322739960219867</x:v>
      </x:c>
      <x:c r="AH2" s="8" t="str">
        <x:v>87.22432023953027</x:v>
      </x:c>
      <x:c r="AI2" s="6" t="str">
        <x:v>199.83584349144533</x:v>
      </x:c>
      <x:c r="AJ2" s="6" t="str">
        <x:v>0.9761043255094216</x:v>
      </x:c>
      <x:c r="AK2" s="8" t="str">
        <x:v>2.715068838189441</x:v>
      </x:c>
      <x:c r="AL2" s="6" t="str">
        <x:v>2.850296761368113</x:v>
      </x:c>
      <x:c r="AM2" s="6" t="str">
        <x:v>2.161471237470077</x:v>
      </x:c>
      <x:c r="AN2" s="6" t="str">
        <x:v>2.57561227900921</x:v>
      </x:c>
      <x:c r="AO2" s="6" t="str">
        <x:v>0.5029833128656662</x:v>
      </x:c>
      <x:c r="AP2" s="8" t="str">
        <x:v>0.4897284332344761</x:v>
      </x:c>
      <x:c r="AQ2" s="6" t="str">
        <x:v>1.5338545134907788</x:v>
      </x:c>
      <x:c r="AR2" s="6" t="str">
        <x:v>1.0381053616409894</x:v>
      </x:c>
      <x:c r="AS2" s="6" t="str">
        <x:v>1.0205627694554145</x:v>
      </x:c>
      <x:c r="AT2" s="6" t="str">
        <x:v>26.07599115062058</x:v>
      </x:c>
      <x:c r="AU2" s="8" t="str">
        <x:v>0.3900645744266141</x:v>
      </x:c>
      <x:c r="AV2" s="6" t="str">
        <x:v>1.6248341245164195</x:v>
      </x:c>
      <x:c r="AW2" s="6" t="str">
        <x:v>0.0639038429598859</x:v>
      </x:c>
      <x:c r="AX2" s="6" t="str">
        <x:v>0.6929341806343069</x:v>
      </x:c>
      <x:c r="AY2" s="6" t="str">
        <x:v>0</x:v>
      </x:c>
      <x:c r="AZ2" s="6" t="str">
        <x:v>1</x:v>
      </x:c>
      <x:c r="BA2" s="9" t="str">
        <x:v>grid_cells_within_BIG_polygon</x:v>
      </x:c>
      <x:c r="BB2" s="6" t="str">
        <x:v>14</x:v>
      </x:c>
      <x:c r="BC2" s="6" t="str">
        <x:v>2</x:v>
      </x:c>
      <x:c r="BD2" s="6" t="str">
        <x:v>2</x:v>
      </x:c>
      <x:c r="BE2" s="6" t="str">
        <x:v>2</x:v>
      </x:c>
      <x:c r="BF2" s="6" t="str">
        <x:v>0</x:v>
      </x:c>
      <x:c r="BG2" s="6" t="str">
        <x:v>0</x:v>
      </x:c>
      <x:c r="BH2" s="6" t="str">
        <x:v>0</x:v>
      </x:c>
      <x:c r="BI2" s="6" t="str">
        <x:v>0</x:v>
      </x:c>
      <x:c r="BJ2" s="6" t="str">
        <x:v>0</x:v>
      </x:c>
      <x:c r="BK2" s="6" t="str">
        <x:v>0</x:v>
      </x:c>
      <x:c r="BL2" s="6" t="str">
        <x:v>0</x:v>
      </x:c>
      <x:c r="BM2" s="6" t="str">
        <x:v>0</x:v>
      </x:c>
      <x:c r="BN2" s="6" t="str">
        <x:v>2</x:v>
      </x:c>
      <x:c r="BO2" s="6" t="str">
        <x:v>0.0</x:v>
      </x:c>
      <x:c r="BP2" s="6" t="str">
        <x:v>2</x:v>
      </x:c>
      <x:c r="BQ2" s="6" t="str">
        <x:v>0.0</x:v>
      </x:c>
      <x:c r="BR2" s="6" t="str">
        <x:v>2</x:v>
      </x:c>
      <x:c r="BS2" s="6" t="str">
        <x:v>0.0</x:v>
      </x:c>
      <x:c r="BT2" s="6" t="str">
        <x:v>2</x:v>
      </x:c>
      <x:c r="BU2" s="6" t="str">
        <x:v>5834.0</x:v>
      </x:c>
      <x:c r="BV2" s="6" t="str">
        <x:v>2</x:v>
      </x:c>
      <x:c r="BW2" s="9" t="str">
        <x:v>operational_snapshot_annual_totals_may_differ</x:v>
      </x:c>
      <x:c r="BX2" s="9" t="str">
        <x:v>official_live_dashboard_snapshot_subject_to_revision</x:v>
      </x:c>
      <x:c r="BY2" s="9" t="str">
        <x:v>https://tbdashboard.sitb.id/ss_data_tbc03so_2024_provinsi_bulanan_list.php</x:v>
      </x:c>
      <x:c r="BZ2" s="6" t="n">
        <x:v>46246.610671296294</x:v>
      </x:c>
    </x:row>
    <x:row r="3" ht="18" customHeight="1">
      <x:c r="A3" s="6" t="str">
        <x:v>11</x:v>
      </x:c>
      <x:c r="B3" s="6" t="str">
        <x:v>ACEH</x:v>
      </x:c>
      <x:c r="C3" s="6" t="str">
        <x:v>2024</x:v>
      </x:c>
      <x:c r="D3" s="6" t="str">
        <x:v>2</x:v>
      </x:c>
      <x:c r="E3" s="6" t="str">
        <x:v>2024-02</x:v>
      </x:c>
      <x:c r="F3" s="6" t="str">
        <x:v>869</x:v>
      </x:c>
      <x:c r="G3" s="6" t="str">
        <x:v>143</x:v>
      </x:c>
      <x:c r="H3" s="6" t="str">
        <x:v>650</x:v>
      </x:c>
      <x:c r="I3" s="6" t="str">
        <x:v>48</x:v>
      </x:c>
      <x:c r="J3" s="6" t="str">
        <x:v>16</x:v>
      </x:c>
      <x:c r="K3" s="6" t="str">
        <x:v>0</x:v>
      </x:c>
      <x:c r="L3" s="6" t="str">
        <x:v>2</x:v>
      </x:c>
      <x:c r="M3" s="6" t="str">
        <x:v>10</x:v>
      </x:c>
      <x:c r="N3" s="6" t="str">
        <x:v>869</x:v>
      </x:c>
      <x:c r="O3" s="6" t="str">
        <x:v>0</x:v>
      </x:c>
      <x:c r="P3" s="10" t="n">
        <x:f>F3-M3</x:f>
        <x:v>859</x:v>
      </x:c>
      <x:c r="Q3" s="11" t="n">
        <x:f>IFERROR(M3/F3,"")</x:f>
        <x:v>0.011507479861910242</x:v>
      </x:c>
      <x:c r="R3" s="10" t="n">
        <x:f>G3+H3</x:f>
        <x:v>793</x:v>
      </x:c>
      <x:c r="S3" s="11" t="n">
        <x:f>IFERROR(R3/F3,"")</x:f>
        <x:v>0.9125431530494822</x:v>
      </x:c>
      <x:c r="T3" s="11" t="n">
        <x:f>IFERROR(R3/P3,"")</x:f>
        <x:v>0.9231664726426076</x:v>
      </x:c>
      <x:c r="U3" s="10" t="n">
        <x:f>I3+J3+K3</x:f>
        <x:v>64</x:v>
      </x:c>
      <x:c r="V3" s="11" t="n">
        <x:f>IFERROR(U3/P3,"")</x:f>
        <x:v>0.07450523864959255</x:v>
      </x:c>
      <x:c r="W3" s="9" t="str">
        <x:v>mature_le_5pct_pending</x:v>
      </x:c>
      <x:c r="X3" s="12" t="n">
        <x:f>IFERROR(F3/Z3*100000,"")</x:f>
        <x:v>15.644127601353784</x:v>
      </x:c>
      <x:c r="Y3" s="13" t="n">
        <x:f>LN(Z3)</x:f>
        <x:v>15.530172976807362</x:v>
      </x:c>
      <x:c r="Z3" s="6" t="str">
        <x:v>5554800</x:v>
      </x:c>
      <x:c r="AA3" s="6" t="str">
        <x:v>98.0</x:v>
      </x:c>
      <x:c r="AB3" s="9" t="str">
        <x:v>2024-06-30</x:v>
      </x:c>
      <x:c r="AC3" s="8" t="str">
        <x:v>81.1</x:v>
      </x:c>
      <x:c r="AD3" s="9" t="str">
        <x:v>2024 (Susenas)</x:v>
      </x:c>
      <x:c r="AE3" s="8" t="str">
        <x:v>14.23</x:v>
      </x:c>
      <x:c r="AF3" s="9" t="str">
        <x:v>Maret 2024 (Susenas)</x:v>
      </x:c>
      <x:c r="AG3" s="6" t="str">
        <x:v>24.8777230854996</x:v>
      </x:c>
      <x:c r="AH3" s="8" t="str">
        <x:v>85.79614804988248</x:v>
      </x:c>
      <x:c r="AI3" s="6" t="str">
        <x:v>139.06246499811053</x:v>
      </x:c>
      <x:c r="AJ3" s="6" t="str">
        <x:v>1.1947018205045268</x:v>
      </x:c>
      <x:c r="AK3" s="8" t="str">
        <x:v>3.23123197300729</x:v>
      </x:c>
      <x:c r="AL3" s="6" t="str">
        <x:v>2.715068838189441</x:v>
      </x:c>
      <x:c r="AM3" s="6" t="str">
        <x:v>2.850296761368113</x:v>
      </x:c>
      <x:c r="AN3" s="6" t="str">
        <x:v>2.932199190854947</x:v>
      </x:c>
      <x:c r="AO3" s="6" t="str">
        <x:v>0.5331411595356315</x:v>
      </x:c>
      <x:c r="AP3" s="8" t="str">
        <x:v>0.364364020786854</x:v>
      </x:c>
      <x:c r="AQ3" s="6" t="str">
        <x:v>0.4897284332344761</x:v>
      </x:c>
      <x:c r="AR3" s="6" t="str">
        <x:v>1.5338545134907788</x:v>
      </x:c>
      <x:c r="AS3" s="6" t="str">
        <x:v>0.7959823225040359</x:v>
      </x:c>
      <x:c r="AT3" s="6" t="str">
        <x:v>2.680850046655138</x:v>
      </x:c>
      <x:c r="AU3" s="8" t="str">
        <x:v>0.0431229751132392</x:v>
      </x:c>
      <x:c r="AV3" s="6" t="str">
        <x:v>0.3900645744266141</x:v>
      </x:c>
      <x:c r="AW3" s="6" t="str">
        <x:v>1.6248341245164195</x:v>
      </x:c>
      <x:c r="AX3" s="6" t="str">
        <x:v>0.6860072246854245</x:v>
      </x:c>
      <x:c r="AY3" s="6" t="str">
        <x:v>0</x:v>
      </x:c>
      <x:c r="AZ3" s="6" t="str">
        <x:v>1</x:v>
      </x:c>
      <x:c r="BA3" s="9" t="str">
        <x:v>grid_cells_within_BIG_polygon</x:v>
      </x:c>
      <x:c r="BB3" s="6" t="str">
        <x:v>14</x:v>
      </x:c>
      <x:c r="BC3" s="6" t="str">
        <x:v>4</x:v>
      </x:c>
      <x:c r="BD3" s="6" t="str">
        <x:v>4</x:v>
      </x:c>
      <x:c r="BE3" s="6" t="str">
        <x:v>1</x:v>
      </x:c>
      <x:c r="BF3" s="6" t="str">
        <x:v>0</x:v>
      </x:c>
      <x:c r="BG3" s="6" t="str">
        <x:v>0</x:v>
      </x:c>
      <x:c r="BH3" s="6" t="str">
        <x:v>0</x:v>
      </x:c>
      <x:c r="BI3" s="6" t="str">
        <x:v>3</x:v>
      </x:c>
      <x:c r="BJ3" s="6" t="str">
        <x:v>0</x:v>
      </x:c>
      <x:c r="BK3" s="6" t="str">
        <x:v>0</x:v>
      </x:c>
      <x:c r="BL3" s="6" t="str">
        <x:v>0</x:v>
      </x:c>
      <x:c r="BM3" s="6" t="str">
        <x:v>0</x:v>
      </x:c>
      <x:c r="BN3" s="6" t="str">
        <x:v>4</x:v>
      </x:c>
      <x:c r="BO3" s="6" t="str">
        <x:v>0.0</x:v>
      </x:c>
      <x:c r="BP3" s="6" t="str">
        <x:v>4</x:v>
      </x:c>
      <x:c r="BQ3" s="6" t="str">
        <x:v>0.0</x:v>
      </x:c>
      <x:c r="BR3" s="6" t="str">
        <x:v>4</x:v>
      </x:c>
      <x:c r="BS3" s="6" t="str">
        <x:v>0.0</x:v>
      </x:c>
      <x:c r="BT3" s="6" t="str">
        <x:v>4</x:v>
      </x:c>
      <x:c r="BU3" s="6" t="str">
        <x:v>26.0</x:v>
      </x:c>
      <x:c r="BV3" s="6" t="str">
        <x:v>1</x:v>
      </x:c>
      <x:c r="BW3" s="9" t="str">
        <x:v>operational_snapshot_annual_totals_may_differ</x:v>
      </x:c>
      <x:c r="BX3" s="9" t="str">
        <x:v>official_live_dashboard_snapshot_subject_to_revision</x:v>
      </x:c>
      <x:c r="BY3" s="9" t="str">
        <x:v>https://tbdashboard.sitb.id/ss_data_tbc03so_2024_provinsi_bulanan_list.php</x:v>
      </x:c>
      <x:c r="BZ3" s="6" t="n">
        <x:v>46246.610671296294</x:v>
      </x:c>
    </x:row>
    <x:row r="4" ht="18" customHeight="1">
      <x:c r="A4" s="6" t="str">
        <x:v>11</x:v>
      </x:c>
      <x:c r="B4" s="6" t="str">
        <x:v>ACEH</x:v>
      </x:c>
      <x:c r="C4" s="6" t="str">
        <x:v>2024</x:v>
      </x:c>
      <x:c r="D4" s="6" t="str">
        <x:v>3</x:v>
      </x:c>
      <x:c r="E4" s="6" t="str">
        <x:v>2024-03</x:v>
      </x:c>
      <x:c r="F4" s="6" t="str">
        <x:v>821</x:v>
      </x:c>
      <x:c r="G4" s="6" t="str">
        <x:v>137</x:v>
      </x:c>
      <x:c r="H4" s="6" t="str">
        <x:v>564</x:v>
      </x:c>
      <x:c r="I4" s="6" t="str">
        <x:v>66</x:v>
      </x:c>
      <x:c r="J4" s="6" t="str">
        <x:v>26</x:v>
      </x:c>
      <x:c r="K4" s="6" t="str">
        <x:v>5</x:v>
      </x:c>
      <x:c r="L4" s="6" t="str">
        <x:v>1</x:v>
      </x:c>
      <x:c r="M4" s="6" t="str">
        <x:v>22</x:v>
      </x:c>
      <x:c r="N4" s="6" t="str">
        <x:v>821</x:v>
      </x:c>
      <x:c r="O4" s="6" t="str">
        <x:v>0</x:v>
      </x:c>
      <x:c r="P4" s="10" t="n">
        <x:f>F4-M4</x:f>
        <x:v>799</x:v>
      </x:c>
      <x:c r="Q4" s="11" t="n">
        <x:f>IFERROR(M4/F4,"")</x:f>
        <x:v>0.02679658952496955</x:v>
      </x:c>
      <x:c r="R4" s="10" t="n">
        <x:f>G4+H4</x:f>
        <x:v>701</x:v>
      </x:c>
      <x:c r="S4" s="11" t="n">
        <x:f>IFERROR(R4/F4,"")</x:f>
        <x:v>0.853836784409257</x:v>
      </x:c>
      <x:c r="T4" s="11" t="n">
        <x:f>IFERROR(R4/P4,"")</x:f>
        <x:v>0.8773466833541927</x:v>
      </x:c>
      <x:c r="U4" s="10" t="n">
        <x:f>I4+J4+K4</x:f>
        <x:v>97</x:v>
      </x:c>
      <x:c r="V4" s="11" t="n">
        <x:f>IFERROR(U4/P4,"")</x:f>
        <x:v>0.1214017521902378</x:v>
      </x:c>
      <x:c r="W4" s="9" t="str">
        <x:v>mature_le_5pct_pending</x:v>
      </x:c>
      <x:c r="X4" s="12" t="n">
        <x:f>IFERROR(F4/Z4*100000,"")</x:f>
        <x:v>14.780010081371067</x:v>
      </x:c>
      <x:c r="Y4" s="13" t="n">
        <x:f>LN(Z4)</x:f>
        <x:v>15.530172976807362</x:v>
      </x:c>
      <x:c r="Z4" s="6" t="str">
        <x:v>5554800</x:v>
      </x:c>
      <x:c r="AA4" s="6" t="str">
        <x:v>98.0</x:v>
      </x:c>
      <x:c r="AB4" s="9" t="str">
        <x:v>2024-06-30</x:v>
      </x:c>
      <x:c r="AC4" s="8" t="str">
        <x:v>81.1</x:v>
      </x:c>
      <x:c r="AD4" s="9" t="str">
        <x:v>2024 (Susenas)</x:v>
      </x:c>
      <x:c r="AE4" s="8" t="str">
        <x:v>14.23</x:v>
      </x:c>
      <x:c r="AF4" s="9" t="str">
        <x:v>Maret 2024 (Susenas)</x:v>
      </x:c>
      <x:c r="AG4" s="6" t="str">
        <x:v>25.10402351437823</x:v>
      </x:c>
      <x:c r="AH4" s="8" t="str">
        <x:v>84.56533484233103</x:v>
      </x:c>
      <x:c r="AI4" s="6" t="str">
        <x:v>125.42793223017712</x:v>
      </x:c>
      <x:c r="AJ4" s="6" t="str">
        <x:v>1.0273616232788996</x:v>
      </x:c>
      <x:c r="AK4" s="8" t="str">
        <x:v>2.1581574187424217</x:v>
      </x:c>
      <x:c r="AL4" s="6" t="str">
        <x:v>3.23123197300729</x:v>
      </x:c>
      <x:c r="AM4" s="6" t="str">
        <x:v>2.715068838189441</x:v>
      </x:c>
      <x:c r="AN4" s="6" t="str">
        <x:v>2.701486076646384</x:v>
      </x:c>
      <x:c r="AO4" s="6" t="str">
        <x:v>-0.5784301593413659</x:v>
      </x:c>
      <x:c r="AP4" s="8" t="str">
        <x:v>-0.3769243016093499</x:v>
      </x:c>
      <x:c r="AQ4" s="6" t="str">
        <x:v>0.364364020786854</x:v>
      </x:c>
      <x:c r="AR4" s="6" t="str">
        <x:v>0.4897284332344761</x:v>
      </x:c>
      <x:c r="AS4" s="6" t="str">
        <x:v>0.159056050803993</x:v>
      </x:c>
      <x:c r="AT4" s="6" t="str">
        <x:v>-46.40868604124877</x:v>
      </x:c>
      <x:c r="AU4" s="8" t="str">
        <x:v>-0.6664024709835851</x:v>
      </x:c>
      <x:c r="AV4" s="6" t="str">
        <x:v>0.0431229751132392</x:v>
      </x:c>
      <x:c r="AW4" s="6" t="str">
        <x:v>0.3900645744266141</x:v>
      </x:c>
      <x:c r="AX4" s="6" t="str">
        <x:v>-0.0777383071479103</x:v>
      </x:c>
      <x:c r="AY4" s="6" t="str">
        <x:v>0</x:v>
      </x:c>
      <x:c r="AZ4" s="6" t="str">
        <x:v>1</x:v>
      </x:c>
      <x:c r="BA4" s="9" t="str">
        <x:v>grid_cells_within_BIG_polygon</x:v>
      </x:c>
      <x:c r="BB4" s="6" t="str">
        <x:v>14</x:v>
      </x:c>
      <x:c r="BC4" s="6" t="str">
        <x:v>4</x:v>
      </x:c>
      <x:c r="BD4" s="6" t="str">
        <x:v>4</x:v>
      </x:c>
      <x:c r="BE4" s="6" t="str">
        <x:v>1</x:v>
      </x:c>
      <x:c r="BF4" s="6" t="str">
        <x:v>0</x:v>
      </x:c>
      <x:c r="BG4" s="6" t="str">
        <x:v>1</x:v>
      </x:c>
      <x:c r="BH4" s="6" t="str">
        <x:v>0</x:v>
      </x:c>
      <x:c r="BI4" s="6" t="str">
        <x:v>2</x:v>
      </x:c>
      <x:c r="BJ4" s="6" t="str">
        <x:v>0</x:v>
      </x:c>
      <x:c r="BK4" s="6" t="str">
        <x:v>0</x:v>
      </x:c>
      <x:c r="BL4" s="6" t="str">
        <x:v>0</x:v>
      </x:c>
      <x:c r="BM4" s="6" t="str">
        <x:v>0</x:v>
      </x:c>
      <x:c r="BN4" s="6" t="str">
        <x:v>4</x:v>
      </x:c>
      <x:c r="BO4" s="6" t="str">
        <x:v>0.0</x:v>
      </x:c>
      <x:c r="BP4" s="6" t="str">
        <x:v>4</x:v>
      </x:c>
      <x:c r="BQ4" s="6" t="str">
        <x:v>0.0</x:v>
      </x:c>
      <x:c r="BR4" s="6" t="str">
        <x:v>4</x:v>
      </x:c>
      <x:c r="BS4" s="6" t="str">
        <x:v>13.0</x:v>
      </x:c>
      <x:c r="BT4" s="6" t="str">
        <x:v>4</x:v>
      </x:c>
      <x:c r="BU4" s="6" t="str">
        <x:v>831.0</x:v>
      </x:c>
      <x:c r="BV4" s="6" t="str">
        <x:v>1</x:v>
      </x:c>
      <x:c r="BW4" s="9" t="str">
        <x:v>operational_snapshot_annual_totals_may_differ</x:v>
      </x:c>
      <x:c r="BX4" s="9" t="str">
        <x:v>official_live_dashboard_snapshot_subject_to_revision</x:v>
      </x:c>
      <x:c r="BY4" s="9" t="str">
        <x:v>https://tbdashboard.sitb.id/ss_data_tbc03so_2024_provinsi_bulanan_list.php</x:v>
      </x:c>
      <x:c r="BZ4" s="6" t="n">
        <x:v>46246.610671296294</x:v>
      </x:c>
    </x:row>
    <x:row r="5" ht="18" customHeight="1">
      <x:c r="A5" s="6" t="str">
        <x:v>11</x:v>
      </x:c>
      <x:c r="B5" s="6" t="str">
        <x:v>ACEH</x:v>
      </x:c>
      <x:c r="C5" s="6" t="str">
        <x:v>2024</x:v>
      </x:c>
      <x:c r="D5" s="6" t="str">
        <x:v>4</x:v>
      </x:c>
      <x:c r="E5" s="6" t="str">
        <x:v>2024-04</x:v>
      </x:c>
      <x:c r="F5" s="6" t="str">
        <x:v>740</x:v>
      </x:c>
      <x:c r="G5" s="6" t="str">
        <x:v>113</x:v>
      </x:c>
      <x:c r="H5" s="6" t="str">
        <x:v>518</x:v>
      </x:c>
      <x:c r="I5" s="6" t="str">
        <x:v>61</x:v>
      </x:c>
      <x:c r="J5" s="6" t="str">
        <x:v>24</x:v>
      </x:c>
      <x:c r="K5" s="6" t="str">
        <x:v>1</x:v>
      </x:c>
      <x:c r="L5" s="6" t="str">
        <x:v>4</x:v>
      </x:c>
      <x:c r="M5" s="6" t="str">
        <x:v>19</x:v>
      </x:c>
      <x:c r="N5" s="6" t="str">
        <x:v>740</x:v>
      </x:c>
      <x:c r="O5" s="6" t="str">
        <x:v>0</x:v>
      </x:c>
      <x:c r="P5" s="10" t="n">
        <x:f>F5-M5</x:f>
        <x:v>721</x:v>
      </x:c>
      <x:c r="Q5" s="11" t="n">
        <x:f>IFERROR(M5/F5,"")</x:f>
        <x:v>0.025675675675675677</x:v>
      </x:c>
      <x:c r="R5" s="10" t="n">
        <x:f>G5+H5</x:f>
        <x:v>631</x:v>
      </x:c>
      <x:c r="S5" s="11" t="n">
        <x:f>IFERROR(R5/F5,"")</x:f>
        <x:v>0.8527027027027027</x:v>
      </x:c>
      <x:c r="T5" s="11" t="n">
        <x:f>IFERROR(R5/P5,"")</x:f>
        <x:v>0.8751733703190014</x:v>
      </x:c>
      <x:c r="U5" s="10" t="n">
        <x:f>I5+J5+K5</x:f>
        <x:v>86</x:v>
      </x:c>
      <x:c r="V5" s="11" t="n">
        <x:f>IFERROR(U5/P5,"")</x:f>
        <x:v>0.11927877947295423</x:v>
      </x:c>
      <x:c r="W5" s="9" t="str">
        <x:v>mature_le_5pct_pending</x:v>
      </x:c>
      <x:c r="X5" s="12" t="n">
        <x:f>IFERROR(F5/Z5*100000,"")</x:f>
        <x:v>13.321811766400229</x:v>
      </x:c>
      <x:c r="Y5" s="13" t="n">
        <x:f>LN(Z5)</x:f>
        <x:v>15.530172976807362</x:v>
      </x:c>
      <x:c r="Z5" s="6" t="str">
        <x:v>5554800</x:v>
      </x:c>
      <x:c r="AA5" s="6" t="str">
        <x:v>98.0</x:v>
      </x:c>
      <x:c r="AB5" s="9" t="str">
        <x:v>2024-06-30</x:v>
      </x:c>
      <x:c r="AC5" s="8" t="str">
        <x:v>81.1</x:v>
      </x:c>
      <x:c r="AD5" s="9" t="str">
        <x:v>2024 (Susenas)</x:v>
      </x:c>
      <x:c r="AE5" s="8" t="str">
        <x:v>14.23</x:v>
      </x:c>
      <x:c r="AF5" s="9" t="str">
        <x:v>Maret 2024 (Susenas)</x:v>
      </x:c>
      <x:c r="AG5" s="6" t="str">
        <x:v>25.760315865441708</x:v>
      </x:c>
      <x:c r="AH5" s="8" t="str">
        <x:v>85.79355110728646</x:v>
      </x:c>
      <x:c r="AI5" s="6" t="str">
        <x:v>190.00964300810475</x:v>
      </x:c>
      <x:c r="AJ5" s="6" t="str">
        <x:v>1.4640476459477796</x:v>
      </x:c>
      <x:c r="AK5" s="8" t="str">
        <x:v>3.186638240764937</x:v>
      </x:c>
      <x:c r="AL5" s="6" t="str">
        <x:v>2.1581574187424217</x:v>
      </x:c>
      <x:c r="AM5" s="6" t="str">
        <x:v>3.23123197300729</x:v>
      </x:c>
      <x:c r="AN5" s="6" t="str">
        <x:v>2.8586758775048824</x:v>
      </x:c>
      <x:c r="AO5" s="6" t="str">
        <x:v>-0.585199768110698</x:v>
      </x:c>
      <x:c r="AP5" s="8" t="str">
        <x:v>-0.470941242941389</x:v>
      </x:c>
      <x:c r="AQ5" s="6" t="str">
        <x:v>-0.3769243016093499</x:v>
      </x:c>
      <x:c r="AR5" s="6" t="str">
        <x:v>0.364364020786854</x:v>
      </x:c>
      <x:c r="AS5" s="6" t="str">
        <x:v>-0.161167174587962</x:v>
      </x:c>
      <x:c r="AT5" s="6" t="str">
        <x:v>-11.084865888341682</x:v>
      </x:c>
      <x:c r="AU5" s="8" t="str">
        <x:v>-0.1664014149188989</x:v>
      </x:c>
      <x:c r="AV5" s="6" t="str">
        <x:v>-0.6664024709835851</x:v>
      </x:c>
      <x:c r="AW5" s="6" t="str">
        <x:v>0.0431229751132392</x:v>
      </x:c>
      <x:c r="AX5" s="6" t="str">
        <x:v>-0.2632269702630813</x:v>
      </x:c>
      <x:c r="AY5" s="6" t="str">
        <x:v>0</x:v>
      </x:c>
      <x:c r="AZ5" s="6" t="str">
        <x:v>1</x:v>
      </x:c>
      <x:c r="BA5" s="9" t="str">
        <x:v>grid_cells_within_BIG_polygon</x:v>
      </x:c>
      <x:c r="BB5" s="6" t="str">
        <x:v>14</x:v>
      </x:c>
      <x:c r="BC5" s="6" t="str">
        <x:v>7</x:v>
      </x:c>
      <x:c r="BD5" s="6" t="str">
        <x:v>7</x:v>
      </x:c>
      <x:c r="BE5" s="6" t="str">
        <x:v>3</x:v>
      </x:c>
      <x:c r="BF5" s="6" t="str">
        <x:v>0</x:v>
      </x:c>
      <x:c r="BG5" s="6" t="str">
        <x:v>0</x:v>
      </x:c>
      <x:c r="BH5" s="6" t="str">
        <x:v>0</x:v>
      </x:c>
      <x:c r="BI5" s="6" t="str">
        <x:v>4</x:v>
      </x:c>
      <x:c r="BJ5" s="6" t="str">
        <x:v>0</x:v>
      </x:c>
      <x:c r="BK5" s="6" t="str">
        <x:v>0</x:v>
      </x:c>
      <x:c r="BL5" s="6" t="str">
        <x:v>0</x:v>
      </x:c>
      <x:c r="BM5" s="6" t="str">
        <x:v>0</x:v>
      </x:c>
      <x:c r="BN5" s="6" t="str">
        <x:v>7</x:v>
      </x:c>
      <x:c r="BO5" s="6" t="str">
        <x:v>0.0</x:v>
      </x:c>
      <x:c r="BP5" s="6" t="str">
        <x:v>7</x:v>
      </x:c>
      <x:c r="BQ5" s="6" t="str">
        <x:v>0.0</x:v>
      </x:c>
      <x:c r="BR5" s="6" t="str">
        <x:v>7</x:v>
      </x:c>
      <x:c r="BS5" s="6" t="str">
        <x:v>32.0</x:v>
      </x:c>
      <x:c r="BT5" s="6" t="str">
        <x:v>7</x:v>
      </x:c>
      <x:c r="BU5" s="6" t="str">
        <x:v>53.0</x:v>
      </x:c>
      <x:c r="BV5" s="6" t="str">
        <x:v>1</x:v>
      </x:c>
      <x:c r="BW5" s="9" t="str">
        <x:v>operational_snapshot_annual_totals_may_differ</x:v>
      </x:c>
      <x:c r="BX5" s="9" t="str">
        <x:v>official_live_dashboard_snapshot_subject_to_revision</x:v>
      </x:c>
      <x:c r="BY5" s="9" t="str">
        <x:v>https://tbdashboard.sitb.id/ss_data_tbc03so_2024_provinsi_bulanan_list.php</x:v>
      </x:c>
      <x:c r="BZ5" s="6" t="n">
        <x:v>46246.610671296294</x:v>
      </x:c>
    </x:row>
    <x:row r="6" ht="18" customHeight="1">
      <x:c r="A6" s="6" t="str">
        <x:v>11</x:v>
      </x:c>
      <x:c r="B6" s="6" t="str">
        <x:v>ACEH</x:v>
      </x:c>
      <x:c r="C6" s="6" t="str">
        <x:v>2024</x:v>
      </x:c>
      <x:c r="D6" s="6" t="str">
        <x:v>5</x:v>
      </x:c>
      <x:c r="E6" s="6" t="str">
        <x:v>2024-05</x:v>
      </x:c>
      <x:c r="F6" s="6" t="str">
        <x:v>1004</x:v>
      </x:c>
      <x:c r="G6" s="6" t="str">
        <x:v>172</x:v>
      </x:c>
      <x:c r="H6" s="6" t="str">
        <x:v>681</x:v>
      </x:c>
      <x:c r="I6" s="6" t="str">
        <x:v>88</x:v>
      </x:c>
      <x:c r="J6" s="6" t="str">
        <x:v>28</x:v>
      </x:c>
      <x:c r="K6" s="6" t="str">
        <x:v>1</x:v>
      </x:c>
      <x:c r="L6" s="6" t="str">
        <x:v>5</x:v>
      </x:c>
      <x:c r="M6" s="6" t="str">
        <x:v>29</x:v>
      </x:c>
      <x:c r="N6" s="6" t="str">
        <x:v>1004</x:v>
      </x:c>
      <x:c r="O6" s="6" t="str">
        <x:v>0</x:v>
      </x:c>
      <x:c r="P6" s="10" t="n">
        <x:f>F6-M6</x:f>
        <x:v>975</x:v>
      </x:c>
      <x:c r="Q6" s="11" t="n">
        <x:f>IFERROR(M6/F6,"")</x:f>
        <x:v>0.02888446215139442</x:v>
      </x:c>
      <x:c r="R6" s="10" t="n">
        <x:f>G6+H6</x:f>
        <x:v>853</x:v>
      </x:c>
      <x:c r="S6" s="11" t="n">
        <x:f>IFERROR(R6/F6,"")</x:f>
        <x:v>0.849601593625498</x:v>
      </x:c>
      <x:c r="T6" s="11" t="n">
        <x:f>IFERROR(R6/P6,"")</x:f>
        <x:v>0.8748717948717949</x:v>
      </x:c>
      <x:c r="U6" s="10" t="n">
        <x:f>I6+J6+K6</x:f>
        <x:v>117</x:v>
      </x:c>
      <x:c r="V6" s="11" t="n">
        <x:f>IFERROR(U6/P6,"")</x:f>
        <x:v>0.12</x:v>
      </x:c>
      <x:c r="W6" s="9" t="str">
        <x:v>mature_le_5pct_pending</x:v>
      </x:c>
      <x:c r="X6" s="12" t="n">
        <x:f>IFERROR(F6/Z6*100000,"")</x:f>
        <x:v>18.074458126305178</x:v>
      </x:c>
      <x:c r="Y6" s="13" t="n">
        <x:f>LN(Z6)</x:f>
        <x:v>15.530172976807362</x:v>
      </x:c>
      <x:c r="Z6" s="6" t="str">
        <x:v>5554800</x:v>
      </x:c>
      <x:c r="AA6" s="6" t="str">
        <x:v>98.0</x:v>
      </x:c>
      <x:c r="AB6" s="9" t="str">
        <x:v>2024-06-30</x:v>
      </x:c>
      <x:c r="AC6" s="8" t="str">
        <x:v>81.1</x:v>
      </x:c>
      <x:c r="AD6" s="9" t="str">
        <x:v>2024 (Susenas)</x:v>
      </x:c>
      <x:c r="AE6" s="8" t="str">
        <x:v>14.23</x:v>
      </x:c>
      <x:c r="AF6" s="9" t="str">
        <x:v>Maret 2024 (Susenas)</x:v>
      </x:c>
      <x:c r="AG6" s="6" t="str">
        <x:v>25.608906493068947</x:v>
      </x:c>
      <x:c r="AH6" s="8" t="str">
        <x:v>86.95628706541424</x:v>
      </x:c>
      <x:c r="AI6" s="6" t="str">
        <x:v>260.1996521559417</x:v>
      </x:c>
      <x:c r="AJ6" s="6" t="str">
        <x:v>1.2935261846285329</x:v>
      </x:c>
      <x:c r="AK6" s="8" t="str">
        <x:v>4.009304258158051</x:v>
      </x:c>
      <x:c r="AL6" s="6" t="str">
        <x:v>3.186638240764937</x:v>
      </x:c>
      <x:c r="AM6" s="6" t="str">
        <x:v>2.1581574187424217</x:v>
      </x:c>
      <x:c r="AN6" s="6" t="str">
        <x:v>3.1180333058884693</x:v>
      </x:c>
      <x:c r="AO6" s="6" t="str">
        <x:v>0.6309668955296104</x:v>
      </x:c>
      <x:c r="AP6" s="8" t="str">
        <x:v>0.8478609515224181</x:v>
      </x:c>
      <x:c r="AQ6" s="6" t="str">
        <x:v>-0.470941242941389</x:v>
      </x:c>
      <x:c r="AR6" s="6" t="str">
        <x:v>-0.3769243016093499</x:v>
      </x:c>
      <x:c r="AS6" s="6" t="str">
        <x:v>-1.531009440632521e-06</x:v>
      </x:c>
      <x:c r="AT6" s="6" t="str">
        <x:v>62.58895004104198</x:v>
      </x:c>
      <x:c r="AU6" s="8" t="str">
        <x:v>0.7243845857676461</x:v>
      </x:c>
      <x:c r="AV6" s="6" t="str">
        <x:v>-0.1664014149188989</x:v>
      </x:c>
      <x:c r="AW6" s="6" t="str">
        <x:v>-0.6664024709835851</x:v>
      </x:c>
      <x:c r="AX6" s="6" t="str">
        <x:v>-0.0361397667116123</x:v>
      </x:c>
      <x:c r="AY6" s="6" t="str">
        <x:v>0</x:v>
      </x:c>
      <x:c r="AZ6" s="6" t="str">
        <x:v>1</x:v>
      </x:c>
      <x:c r="BA6" s="9" t="str">
        <x:v>grid_cells_within_BIG_polygon</x:v>
      </x:c>
      <x:c r="BB6" s="6" t="str">
        <x:v>14</x:v>
      </x:c>
      <x:c r="BC6" s="6" t="str">
        <x:v>10</x:v>
      </x:c>
      <x:c r="BD6" s="6" t="str">
        <x:v>10</x:v>
      </x:c>
      <x:c r="BE6" s="6" t="str">
        <x:v>6</x:v>
      </x:c>
      <x:c r="BF6" s="6" t="str">
        <x:v>0</x:v>
      </x:c>
      <x:c r="BG6" s="6" t="str">
        <x:v>1</x:v>
      </x:c>
      <x:c r="BH6" s="6" t="str">
        <x:v>1</x:v>
      </x:c>
      <x:c r="BI6" s="6" t="str">
        <x:v>2</x:v>
      </x:c>
      <x:c r="BJ6" s="6" t="str">
        <x:v>0</x:v>
      </x:c>
      <x:c r="BK6" s="6" t="str">
        <x:v>0</x:v>
      </x:c>
      <x:c r="BL6" s="6" t="str">
        <x:v>0</x:v>
      </x:c>
      <x:c r="BM6" s="6" t="str">
        <x:v>0</x:v>
      </x:c>
      <x:c r="BN6" s="6" t="str">
        <x:v>10</x:v>
      </x:c>
      <x:c r="BO6" s="6" t="str">
        <x:v>1.0</x:v>
      </x:c>
      <x:c r="BP6" s="6" t="str">
        <x:v>10</x:v>
      </x:c>
      <x:c r="BQ6" s="6" t="str">
        <x:v>0.0</x:v>
      </x:c>
      <x:c r="BR6" s="6" t="str">
        <x:v>10</x:v>
      </x:c>
      <x:c r="BS6" s="6" t="str">
        <x:v>14.0</x:v>
      </x:c>
      <x:c r="BT6" s="6" t="str">
        <x:v>10</x:v>
      </x:c>
      <x:c r="BU6" s="6" t="str">
        <x:v>4272.0</x:v>
      </x:c>
      <x:c r="BV6" s="6" t="str">
        <x:v>5</x:v>
      </x:c>
      <x:c r="BW6" s="9" t="str">
        <x:v>operational_snapshot_annual_totals_may_differ</x:v>
      </x:c>
      <x:c r="BX6" s="9" t="str">
        <x:v>official_live_dashboard_snapshot_subject_to_revision</x:v>
      </x:c>
      <x:c r="BY6" s="9" t="str">
        <x:v>https://tbdashboard.sitb.id/ss_data_tbc03so_2024_provinsi_bulanan_list.php</x:v>
      </x:c>
      <x:c r="BZ6" s="6" t="n">
        <x:v>46246.610671296294</x:v>
      </x:c>
    </x:row>
    <x:row r="7" ht="18" customHeight="1">
      <x:c r="A7" s="6" t="str">
        <x:v>11</x:v>
      </x:c>
      <x:c r="B7" s="6" t="str">
        <x:v>ACEH</x:v>
      </x:c>
      <x:c r="C7" s="6" t="str">
        <x:v>2024</x:v>
      </x:c>
      <x:c r="D7" s="6" t="str">
        <x:v>6</x:v>
      </x:c>
      <x:c r="E7" s="6" t="str">
        <x:v>2024-06</x:v>
      </x:c>
      <x:c r="F7" s="6" t="str">
        <x:v>843</x:v>
      </x:c>
      <x:c r="G7" s="6" t="str">
        <x:v>111</x:v>
      </x:c>
      <x:c r="H7" s="6" t="str">
        <x:v>592</x:v>
      </x:c>
      <x:c r="I7" s="6" t="str">
        <x:v>80</x:v>
      </x:c>
      <x:c r="J7" s="6" t="str">
        <x:v>31</x:v>
      </x:c>
      <x:c r="K7" s="6" t="str">
        <x:v>1</x:v>
      </x:c>
      <x:c r="L7" s="6" t="str">
        <x:v>1</x:v>
      </x:c>
      <x:c r="M7" s="6" t="str">
        <x:v>27</x:v>
      </x:c>
      <x:c r="N7" s="6" t="str">
        <x:v>843</x:v>
      </x:c>
      <x:c r="O7" s="6" t="str">
        <x:v>0</x:v>
      </x:c>
      <x:c r="P7" s="10" t="n">
        <x:f>F7-M7</x:f>
        <x:v>816</x:v>
      </x:c>
      <x:c r="Q7" s="11" t="n">
        <x:f>IFERROR(M7/F7,"")</x:f>
        <x:v>0.03202846975088968</x:v>
      </x:c>
      <x:c r="R7" s="10" t="n">
        <x:f>G7+H7</x:f>
        <x:v>703</x:v>
      </x:c>
      <x:c r="S7" s="11" t="n">
        <x:f>IFERROR(R7/F7,"")</x:f>
        <x:v>0.833926453143535</x:v>
      </x:c>
      <x:c r="T7" s="11" t="n">
        <x:f>IFERROR(R7/P7,"")</x:f>
        <x:v>0.8615196078431373</x:v>
      </x:c>
      <x:c r="U7" s="10" t="n">
        <x:f>I7+J7+K7</x:f>
        <x:v>112</x:v>
      </x:c>
      <x:c r="V7" s="11" t="n">
        <x:f>IFERROR(U7/P7,"")</x:f>
        <x:v>0.13725490196078433</x:v>
      </x:c>
      <x:c r="W7" s="9" t="str">
        <x:v>mature_le_5pct_pending</x:v>
      </x:c>
      <x:c r="X7" s="12" t="n">
        <x:f>IFERROR(F7/Z7*100000,"")</x:f>
        <x:v>15.176063944696478</x:v>
      </x:c>
      <x:c r="Y7" s="13" t="n">
        <x:f>LN(Z7)</x:f>
        <x:v>15.530172976807362</x:v>
      </x:c>
      <x:c r="Z7" s="6" t="str">
        <x:v>5554800</x:v>
      </x:c>
      <x:c r="AA7" s="6" t="str">
        <x:v>98.0</x:v>
      </x:c>
      <x:c r="AB7" s="9" t="str">
        <x:v>2024-06-30</x:v>
      </x:c>
      <x:c r="AC7" s="8" t="str">
        <x:v>81.1</x:v>
      </x:c>
      <x:c r="AD7" s="9" t="str">
        <x:v>2024 (Susenas)</x:v>
      </x:c>
      <x:c r="AE7" s="8" t="str">
        <x:v>14.23</x:v>
      </x:c>
      <x:c r="AF7" s="9" t="str">
        <x:v>Maret 2024 (Susenas)</x:v>
      </x:c>
      <x:c r="AG7" s="6" t="str">
        <x:v>24.746040867788924</x:v>
      </x:c>
      <x:c r="AH7" s="8" t="str">
        <x:v>84.36717430599772</x:v>
      </x:c>
      <x:c r="AI7" s="6" t="str">
        <x:v>201.83938449462116</x:v>
      </x:c>
      <x:c r="AJ7" s="6" t="str">
        <x:v>0.8607928939432234</x:v>
      </x:c>
      <x:c r="AK7" s="8" t="str">
        <x:v>3.490864424164554</x:v>
      </x:c>
      <x:c r="AL7" s="6" t="str">
        <x:v>4.009304258158051</x:v>
      </x:c>
      <x:c r="AM7" s="6" t="str">
        <x:v>3.186638240764937</x:v>
      </x:c>
      <x:c r="AN7" s="6" t="str">
        <x:v>3.5622689743625138</x:v>
      </x:c>
      <x:c r="AO7" s="6" t="str">
        <x:v>-1.2191363563408544</x:v>
      </x:c>
      <x:c r="AP7" s="8" t="str">
        <x:v>-0.9787181827913718</x:v>
      </x:c>
      <x:c r="AQ7" s="6" t="str">
        <x:v>0.8478609515224181</x:v>
      </x:c>
      <x:c r="AR7" s="6" t="str">
        <x:v>-0.470941242941389</x:v>
      </x:c>
      <x:c r="AS7" s="6" t="str">
        <x:v>-0.2005994914034479</x:v>
      </x:c>
      <x:c r="AT7" s="6" t="str">
        <x:v>52.93239975225856</x:v>
      </x:c>
      <x:c r="AU7" s="8" t="str">
        <x:v>0.9869545056081408</x:v>
      </x:c>
      <x:c r="AV7" s="6" t="str">
        <x:v>0.7243845857676461</x:v>
      </x:c>
      <x:c r="AW7" s="6" t="str">
        <x:v>-0.1664014149188989</x:v>
      </x:c>
      <x:c r="AX7" s="6" t="str">
        <x:v>0.5149792254856296</x:v>
      </x:c>
      <x:c r="AY7" s="6" t="str">
        <x:v>0</x:v>
      </x:c>
      <x:c r="AZ7" s="6" t="str">
        <x:v>1</x:v>
      </x:c>
      <x:c r="BA7" s="9" t="str">
        <x:v>grid_cells_within_BIG_polygon</x:v>
      </x:c>
      <x:c r="BB7" s="6" t="str">
        <x:v>14</x:v>
      </x:c>
      <x:c r="BC7" s="6" t="str">
        <x:v>3</x:v>
      </x:c>
      <x:c r="BD7" s="6" t="str">
        <x:v>3</x:v>
      </x:c>
      <x:c r="BE7" s="6" t="str">
        <x:v>1</x:v>
      </x:c>
      <x:c r="BF7" s="6" t="str">
        <x:v>0</x:v>
      </x:c>
      <x:c r="BG7" s="6" t="str">
        <x:v>1</x:v>
      </x:c>
      <x:c r="BH7" s="6" t="str">
        <x:v>0</x:v>
      </x:c>
      <x:c r="BI7" s="6" t="str">
        <x:v>1</x:v>
      </x:c>
      <x:c r="BJ7" s="6" t="str">
        <x:v>0</x:v>
      </x:c>
      <x:c r="BK7" s="6" t="str">
        <x:v>0</x:v>
      </x:c>
      <x:c r="BL7" s="6" t="str">
        <x:v>0</x:v>
      </x:c>
      <x:c r="BM7" s="6" t="str">
        <x:v>0</x:v>
      </x:c>
      <x:c r="BN7" s="6" t="str">
        <x:v>3</x:v>
      </x:c>
      <x:c r="BO7" s="6" t="str">
        <x:v>0.0</x:v>
      </x:c>
      <x:c r="BP7" s="6" t="str">
        <x:v>3</x:v>
      </x:c>
      <x:c r="BQ7" s="6" t="str">
        <x:v>0.0</x:v>
      </x:c>
      <x:c r="BR7" s="6" t="str">
        <x:v>3</x:v>
      </x:c>
      <x:c r="BS7" s="6" t="str">
        <x:v>4.0</x:v>
      </x:c>
      <x:c r="BT7" s="6" t="str">
        <x:v>3</x:v>
      </x:c>
      <x:c r="BU7" s="6" t="str">
        <x:v>143.0</x:v>
      </x:c>
      <x:c r="BV7" s="6" t="str">
        <x:v>1</x:v>
      </x:c>
      <x:c r="BW7" s="9" t="str">
        <x:v>operational_snapshot_annual_totals_may_differ</x:v>
      </x:c>
      <x:c r="BX7" s="9" t="str">
        <x:v>official_live_dashboard_snapshot_subject_to_revision</x:v>
      </x:c>
      <x:c r="BY7" s="9" t="str">
        <x:v>https://tbdashboard.sitb.id/ss_data_tbc03so_2024_provinsi_bulanan_list.php</x:v>
      </x:c>
      <x:c r="BZ7" s="6" t="n">
        <x:v>46246.610671296294</x:v>
      </x:c>
    </x:row>
    <x:row r="8" ht="18" customHeight="1">
      <x:c r="A8" s="6" t="str">
        <x:v>11</x:v>
      </x:c>
      <x:c r="B8" s="6" t="str">
        <x:v>ACEH</x:v>
      </x:c>
      <x:c r="C8" s="6" t="str">
        <x:v>2024</x:v>
      </x:c>
      <x:c r="D8" s="6" t="str">
        <x:v>7</x:v>
      </x:c>
      <x:c r="E8" s="6" t="str">
        <x:v>2024-07</x:v>
      </x:c>
      <x:c r="F8" s="6" t="str">
        <x:v>1083</x:v>
      </x:c>
      <x:c r="G8" s="6" t="str">
        <x:v>182</x:v>
      </x:c>
      <x:c r="H8" s="6" t="str">
        <x:v>715</x:v>
      </x:c>
      <x:c r="I8" s="6" t="str">
        <x:v>106</x:v>
      </x:c>
      <x:c r="J8" s="6" t="str">
        <x:v>41</x:v>
      </x:c>
      <x:c r="K8" s="6" t="str">
        <x:v>1</x:v>
      </x:c>
      <x:c r="L8" s="6" t="str">
        <x:v>6</x:v>
      </x:c>
      <x:c r="M8" s="6" t="str">
        <x:v>32</x:v>
      </x:c>
      <x:c r="N8" s="6" t="str">
        <x:v>1083</x:v>
      </x:c>
      <x:c r="O8" s="6" t="str">
        <x:v>0</x:v>
      </x:c>
      <x:c r="P8" s="10" t="n">
        <x:f>F8-M8</x:f>
        <x:v>1051</x:v>
      </x:c>
      <x:c r="Q8" s="11" t="n">
        <x:f>IFERROR(M8/F8,"")</x:f>
        <x:v>0.029547553093259463</x:v>
      </x:c>
      <x:c r="R8" s="10" t="n">
        <x:f>G8+H8</x:f>
        <x:v>897</x:v>
      </x:c>
      <x:c r="S8" s="11" t="n">
        <x:f>IFERROR(R8/F8,"")</x:f>
        <x:v>0.8282548476454293</x:v>
      </x:c>
      <x:c r="T8" s="11" t="n">
        <x:f>IFERROR(R8/P8,"")</x:f>
        <x:v>0.8534728829686014</x:v>
      </x:c>
      <x:c r="U8" s="10" t="n">
        <x:f>I8+J8+K8</x:f>
        <x:v>148</x:v>
      </x:c>
      <x:c r="V8" s="11" t="n">
        <x:f>IFERROR(U8/P8,"")</x:f>
        <x:v>0.14081826831588962</x:v>
      </x:c>
      <x:c r="W8" s="9" t="str">
        <x:v>mature_le_5pct_pending</x:v>
      </x:c>
      <x:c r="X8" s="12" t="n">
        <x:f>IFERROR(F8/Z8*100000,"")</x:f>
        <x:v>19.496651544610067</x:v>
      </x:c>
      <x:c r="Y8" s="13" t="n">
        <x:f>LN(Z8)</x:f>
        <x:v>15.530172976807362</x:v>
      </x:c>
      <x:c r="Z8" s="6" t="str">
        <x:v>5554800</x:v>
      </x:c>
      <x:c r="AA8" s="6" t="str">
        <x:v>98.0</x:v>
      </x:c>
      <x:c r="AB8" s="9" t="str">
        <x:v>2024-06-30</x:v>
      </x:c>
      <x:c r="AC8" s="8" t="str">
        <x:v>81.1</x:v>
      </x:c>
      <x:c r="AD8" s="9" t="str">
        <x:v>2024 (Susenas)</x:v>
      </x:c>
      <x:c r="AE8" s="8" t="str">
        <x:v>14.23</x:v>
      </x:c>
      <x:c r="AF8" s="9" t="str">
        <x:v>Maret 2024 (Susenas)</x:v>
      </x:c>
      <x:c r="AG8" s="6" t="str">
        <x:v>24.5268984959976</x:v>
      </x:c>
      <x:c r="AH8" s="8" t="str">
        <x:v>83.8520437214458</x:v>
      </x:c>
      <x:c r="AI8" s="6" t="str">
        <x:v>86.6681425458142</x:v>
      </x:c>
      <x:c r="AJ8" s="6" t="str">
        <x:v>0.99557542723473</x:v>
      </x:c>
      <x:c r="AK8" s="8" t="str">
        <x:v>4.114936364095306</x:v>
      </x:c>
      <x:c r="AL8" s="6" t="str">
        <x:v>3.490864424164554</x:v>
      </x:c>
      <x:c r="AM8" s="6" t="str">
        <x:v>4.009304258158051</x:v>
      </x:c>
      <x:c r="AN8" s="6" t="str">
        <x:v>3.871701682139303</x:v>
      </x:c>
      <x:c r="AO8" s="6" t="str">
        <x:v>-1.3398686480621365</x:v>
      </x:c>
      <x:c r="AP8" s="8" t="str">
        <x:v>-1.0269810140737348</x:v>
      </x:c>
      <x:c r="AQ8" s="6" t="str">
        <x:v>-0.9787181827913718</x:v>
      </x:c>
      <x:c r="AR8" s="6" t="str">
        <x:v>0.8478609515224181</x:v>
      </x:c>
      <x:c r="AS8" s="6" t="str">
        <x:v>-0.3859460817808964</x:v>
      </x:c>
      <x:c r="AT8" s="6" t="str">
        <x:v>-84.90892995679174</x:v>
      </x:c>
      <x:c r="AU8" s="8" t="str">
        <x:v>-1.5475493759759469</x:v>
      </x:c>
      <x:c r="AV8" s="6" t="str">
        <x:v>0.9869545056081408</x:v>
      </x:c>
      <x:c r="AW8" s="6" t="str">
        <x:v>0.7243845857676461</x:v>
      </x:c>
      <x:c r="AX8" s="6" t="str">
        <x:v>0.054596571799947</x:v>
      </x:c>
      <x:c r="AY8" s="6" t="str">
        <x:v>0</x:v>
      </x:c>
      <x:c r="AZ8" s="6" t="str">
        <x:v>1</x:v>
      </x:c>
      <x:c r="BA8" s="9" t="str">
        <x:v>grid_cells_within_BIG_polygon</x:v>
      </x:c>
      <x:c r="BB8" s="6" t="str">
        <x:v>14</x:v>
      </x:c>
      <x:c r="BC8" s="6" t="str">
        <x:v>18</x:v>
      </x:c>
      <x:c r="BD8" s="6" t="str">
        <x:v>18</x:v>
      </x:c>
      <x:c r="BE8" s="6" t="str">
        <x:v>0</x:v>
      </x:c>
      <x:c r="BF8" s="6" t="str">
        <x:v>0</x:v>
      </x:c>
      <x:c r="BG8" s="6" t="str">
        <x:v>4</x:v>
      </x:c>
      <x:c r="BH8" s="6" t="str">
        <x:v>0</x:v>
      </x:c>
      <x:c r="BI8" s="6" t="str">
        <x:v>14</x:v>
      </x:c>
      <x:c r="BJ8" s="6" t="str">
        <x:v>0</x:v>
      </x:c>
      <x:c r="BK8" s="6" t="str">
        <x:v>0</x:v>
      </x:c>
      <x:c r="BL8" s="6" t="str">
        <x:v>0</x:v>
      </x:c>
      <x:c r="BM8" s="6" t="str">
        <x:v>0</x:v>
      </x:c>
      <x:c r="BN8" s="6" t="str">
        <x:v>18</x:v>
      </x:c>
      <x:c r="BO8" s="6" t="str">
        <x:v>0.0</x:v>
      </x:c>
      <x:c r="BP8" s="6" t="str">
        <x:v>18</x:v>
      </x:c>
      <x:c r="BQ8" s="6" t="str">
        <x:v>0.0</x:v>
      </x:c>
      <x:c r="BR8" s="6" t="str">
        <x:v>18</x:v>
      </x:c>
      <x:c r="BS8" s="6" t="str">
        <x:v>70.0</x:v>
      </x:c>
      <x:c r="BT8" s="6" t="str">
        <x:v>18</x:v>
      </x:c>
      <x:c r="BU8" s="6" t="str"/>
      <x:c r="BV8" s="6" t="str">
        <x:v>0</x:v>
      </x:c>
      <x:c r="BW8" s="9" t="str">
        <x:v>operational_snapshot_annual_totals_may_differ</x:v>
      </x:c>
      <x:c r="BX8" s="9" t="str">
        <x:v>official_live_dashboard_snapshot_subject_to_revision</x:v>
      </x:c>
      <x:c r="BY8" s="9" t="str">
        <x:v>https://tbdashboard.sitb.id/ss_data_tbc03so_2024_provinsi_bulanan_list.php</x:v>
      </x:c>
      <x:c r="BZ8" s="6" t="n">
        <x:v>46246.610671296294</x:v>
      </x:c>
    </x:row>
    <x:row r="9" ht="18" customHeight="1">
      <x:c r="A9" s="6" t="str">
        <x:v>11</x:v>
      </x:c>
      <x:c r="B9" s="6" t="str">
        <x:v>ACEH</x:v>
      </x:c>
      <x:c r="C9" s="6" t="str">
        <x:v>2024</x:v>
      </x:c>
      <x:c r="D9" s="6" t="str">
        <x:v>8</x:v>
      </x:c>
      <x:c r="E9" s="6" t="str">
        <x:v>2024-08</x:v>
      </x:c>
      <x:c r="F9" s="6" t="str">
        <x:v>995</x:v>
      </x:c>
      <x:c r="G9" s="6" t="str">
        <x:v>147</x:v>
      </x:c>
      <x:c r="H9" s="6" t="str">
        <x:v>669</x:v>
      </x:c>
      <x:c r="I9" s="6" t="str">
        <x:v>98</x:v>
      </x:c>
      <x:c r="J9" s="6" t="str">
        <x:v>34</x:v>
      </x:c>
      <x:c r="K9" s="6" t="str">
        <x:v>3</x:v>
      </x:c>
      <x:c r="L9" s="6" t="str">
        <x:v>5</x:v>
      </x:c>
      <x:c r="M9" s="6" t="str">
        <x:v>39</x:v>
      </x:c>
      <x:c r="N9" s="6" t="str">
        <x:v>995</x:v>
      </x:c>
      <x:c r="O9" s="6" t="str">
        <x:v>0</x:v>
      </x:c>
      <x:c r="P9" s="10" t="n">
        <x:f>F9-M9</x:f>
        <x:v>956</x:v>
      </x:c>
      <x:c r="Q9" s="11" t="n">
        <x:f>IFERROR(M9/F9,"")</x:f>
        <x:v>0.03919597989949749</x:v>
      </x:c>
      <x:c r="R9" s="10" t="n">
        <x:f>G9+H9</x:f>
        <x:v>816</x:v>
      </x:c>
      <x:c r="S9" s="11" t="n">
        <x:f>IFERROR(R9/F9,"")</x:f>
        <x:v>0.8201005025125628</x:v>
      </x:c>
      <x:c r="T9" s="11" t="n">
        <x:f>IFERROR(R9/P9,"")</x:f>
        <x:v>0.8535564853556485</x:v>
      </x:c>
      <x:c r="U9" s="10" t="n">
        <x:f>I9+J9+K9</x:f>
        <x:v>135</x:v>
      </x:c>
      <x:c r="V9" s="11" t="n">
        <x:f>IFERROR(U9/P9,"")</x:f>
        <x:v>0.1412133891213389</x:v>
      </x:c>
      <x:c r="W9" s="9" t="str">
        <x:v>mature_le_5pct_pending</x:v>
      </x:c>
      <x:c r="X9" s="12" t="n">
        <x:f>IFERROR(F9/Z9*100000,"")</x:f>
        <x:v>17.912436091308418</x:v>
      </x:c>
      <x:c r="Y9" s="13" t="n">
        <x:f>LN(Z9)</x:f>
        <x:v>15.530172976807362</x:v>
      </x:c>
      <x:c r="Z9" s="6" t="str">
        <x:v>5554800</x:v>
      </x:c>
      <x:c r="AA9" s="6" t="str">
        <x:v>98.0</x:v>
      </x:c>
      <x:c r="AB9" s="9" t="str">
        <x:v>2024-06-30</x:v>
      </x:c>
      <x:c r="AC9" s="8" t="str">
        <x:v>81.1</x:v>
      </x:c>
      <x:c r="AD9" s="9" t="str">
        <x:v>2024 (Susenas)</x:v>
      </x:c>
      <x:c r="AE9" s="8" t="str">
        <x:v>14.23</x:v>
      </x:c>
      <x:c r="AF9" s="9" t="str">
        <x:v>Maret 2024 (Susenas)</x:v>
      </x:c>
      <x:c r="AG9" s="6" t="str">
        <x:v>24.268929228305417</x:v>
      </x:c>
      <x:c r="AH9" s="8" t="str">
        <x:v>87.03074778215715</x:v>
      </x:c>
      <x:c r="AI9" s="6" t="str">
        <x:v>272.5857600468134</x:v>
      </x:c>
      <x:c r="AJ9" s="6" t="str">
        <x:v>0.7849996213832</x:v>
      </x:c>
      <x:c r="AK9" s="8" t="str">
        <x:v>3.74863683688689</x:v>
      </x:c>
      <x:c r="AL9" s="6" t="str">
        <x:v>4.114936364095306</x:v>
      </x:c>
      <x:c r="AM9" s="6" t="str">
        <x:v>3.490864424164554</x:v>
      </x:c>
      <x:c r="AN9" s="6" t="str">
        <x:v>3.784812541715583</x:v>
      </x:c>
      <x:c r="AO9" s="6" t="str">
        <x:v>1.5197849768539555</x:v>
      </x:c>
      <x:c r="AP9" s="8" t="str">
        <x:v>1.1708466577504602</x:v>
      </x:c>
      <x:c r="AQ9" s="6" t="str">
        <x:v>-1.0269810140737348</x:v>
      </x:c>
      <x:c r="AR9" s="6" t="str">
        <x:v>-0.9787181827913718</x:v>
      </x:c>
      <x:c r="AS9" s="6" t="str">
        <x:v>-0.2782841797048825</x:v>
      </x:c>
      <x:c r="AT9" s="6" t="str">
        <x:v>79.41994467505765</x:v>
      </x:c>
      <x:c r="AU9" s="8" t="str">
        <x:v>0.8987862204857582</x:v>
      </x:c>
      <x:c r="AV9" s="6" t="str">
        <x:v>-1.5475493759759469</x:v>
      </x:c>
      <x:c r="AW9" s="6" t="str">
        <x:v>0.9869545056081408</x:v>
      </x:c>
      <x:c r="AX9" s="6" t="str">
        <x:v>0.1127304500393177</x:v>
      </x:c>
      <x:c r="AY9" s="6" t="str">
        <x:v>0</x:v>
      </x:c>
      <x:c r="AZ9" s="6" t="str">
        <x:v>1</x:v>
      </x:c>
      <x:c r="BA9" s="9" t="str">
        <x:v>grid_cells_within_BIG_polygon</x:v>
      </x:c>
      <x:c r="BB9" s="6" t="str">
        <x:v>14</x:v>
      </x:c>
      <x:c r="BC9" s="6" t="str">
        <x:v>12</x:v>
      </x:c>
      <x:c r="BD9" s="6" t="str">
        <x:v>12</x:v>
      </x:c>
      <x:c r="BE9" s="6" t="str">
        <x:v>8</x:v>
      </x:c>
      <x:c r="BF9" s="6" t="str">
        <x:v>0</x:v>
      </x:c>
      <x:c r="BG9" s="6" t="str">
        <x:v>1</x:v>
      </x:c>
      <x:c r="BH9" s="6" t="str">
        <x:v>0</x:v>
      </x:c>
      <x:c r="BI9" s="6" t="str">
        <x:v>3</x:v>
      </x:c>
      <x:c r="BJ9" s="6" t="str">
        <x:v>0</x:v>
      </x:c>
      <x:c r="BK9" s="6" t="str">
        <x:v>0</x:v>
      </x:c>
      <x:c r="BL9" s="6" t="str">
        <x:v>0</x:v>
      </x:c>
      <x:c r="BM9" s="6" t="str">
        <x:v>0</x:v>
      </x:c>
      <x:c r="BN9" s="6" t="str">
        <x:v>12</x:v>
      </x:c>
      <x:c r="BO9" s="6" t="str">
        <x:v>0.0</x:v>
      </x:c>
      <x:c r="BP9" s="6" t="str">
        <x:v>12</x:v>
      </x:c>
      <x:c r="BQ9" s="6" t="str">
        <x:v>0.0</x:v>
      </x:c>
      <x:c r="BR9" s="6" t="str">
        <x:v>12</x:v>
      </x:c>
      <x:c r="BS9" s="6" t="str">
        <x:v>6.0</x:v>
      </x:c>
      <x:c r="BT9" s="6" t="str">
        <x:v>12</x:v>
      </x:c>
      <x:c r="BU9" s="6" t="str">
        <x:v>2162.0</x:v>
      </x:c>
      <x:c r="BV9" s="6" t="str">
        <x:v>8</x:v>
      </x:c>
      <x:c r="BW9" s="9" t="str">
        <x:v>operational_snapshot_annual_totals_may_differ</x:v>
      </x:c>
      <x:c r="BX9" s="9" t="str">
        <x:v>official_live_dashboard_snapshot_subject_to_revision</x:v>
      </x:c>
      <x:c r="BY9" s="9" t="str">
        <x:v>https://tbdashboard.sitb.id/ss_data_tbc03so_2024_provinsi_bulanan_list.php</x:v>
      </x:c>
      <x:c r="BZ9" s="6" t="n">
        <x:v>46246.610671296294</x:v>
      </x:c>
    </x:row>
    <x:row r="10" ht="18" customHeight="1">
      <x:c r="A10" s="6" t="str">
        <x:v>11</x:v>
      </x:c>
      <x:c r="B10" s="6" t="str">
        <x:v>ACEH</x:v>
      </x:c>
      <x:c r="C10" s="6" t="str">
        <x:v>2024</x:v>
      </x:c>
      <x:c r="D10" s="6" t="str">
        <x:v>9</x:v>
      </x:c>
      <x:c r="E10" s="6" t="str">
        <x:v>2024-09</x:v>
      </x:c>
      <x:c r="F10" s="6" t="str">
        <x:v>1036</x:v>
      </x:c>
      <x:c r="G10" s="6" t="str">
        <x:v>147</x:v>
      </x:c>
      <x:c r="H10" s="6" t="str">
        <x:v>691</x:v>
      </x:c>
      <x:c r="I10" s="6" t="str">
        <x:v>113</x:v>
      </x:c>
      <x:c r="J10" s="6" t="str">
        <x:v>33</x:v>
      </x:c>
      <x:c r="K10" s="6" t="str">
        <x:v>3</x:v>
      </x:c>
      <x:c r="L10" s="6" t="str">
        <x:v>3</x:v>
      </x:c>
      <x:c r="M10" s="6" t="str">
        <x:v>46</x:v>
      </x:c>
      <x:c r="N10" s="6" t="str">
        <x:v>1036</x:v>
      </x:c>
      <x:c r="O10" s="6" t="str">
        <x:v>0</x:v>
      </x:c>
      <x:c r="P10" s="10" t="n">
        <x:f>F10-M10</x:f>
        <x:v>990</x:v>
      </x:c>
      <x:c r="Q10" s="11" t="n">
        <x:f>IFERROR(M10/F10,"")</x:f>
        <x:v>0.0444015444015444</x:v>
      </x:c>
      <x:c r="R10" s="10" t="n">
        <x:f>G10+H10</x:f>
        <x:v>838</x:v>
      </x:c>
      <x:c r="S10" s="11" t="n">
        <x:f>IFERROR(R10/F10,"")</x:f>
        <x:v>0.8088803088803089</x:v>
      </x:c>
      <x:c r="T10" s="11" t="n">
        <x:f>IFERROR(R10/P10,"")</x:f>
        <x:v>0.8464646464646465</x:v>
      </x:c>
      <x:c r="U10" s="10" t="n">
        <x:f>I10+J10+K10</x:f>
        <x:v>149</x:v>
      </x:c>
      <x:c r="V10" s="11" t="n">
        <x:f>IFERROR(U10/P10,"")</x:f>
        <x:v>0.1505050505050505</x:v>
      </x:c>
      <x:c r="W10" s="9" t="str">
        <x:v>mature_le_5pct_pending</x:v>
      </x:c>
      <x:c r="X10" s="12" t="n">
        <x:f>IFERROR(F10/Z10*100000,"")</x:f>
        <x:v>18.650536472960322</x:v>
      </x:c>
      <x:c r="Y10" s="13" t="n">
        <x:f>LN(Z10)</x:f>
        <x:v>15.530172976807362</x:v>
      </x:c>
      <x:c r="Z10" s="6" t="str">
        <x:v>5554800</x:v>
      </x:c>
      <x:c r="AA10" s="6" t="str">
        <x:v>98.0</x:v>
      </x:c>
      <x:c r="AB10" s="9" t="str">
        <x:v>2024-06-30</x:v>
      </x:c>
      <x:c r="AC10" s="8" t="str">
        <x:v>81.1</x:v>
      </x:c>
      <x:c r="AD10" s="9" t="str">
        <x:v>2024 (Susenas)</x:v>
      </x:c>
      <x:c r="AE10" s="8" t="str">
        <x:v>14.23</x:v>
      </x:c>
      <x:c r="AF10" s="9" t="str">
        <x:v>Maret 2024 (Susenas)</x:v>
      </x:c>
      <x:c r="AG10" s="6" t="str">
        <x:v>24.038281087689143</x:v>
      </x:c>
      <x:c r="AH10" s="8" t="str">
        <x:v>86.19423821019035</x:v>
      </x:c>
      <x:c r="AI10" s="6" t="str">
        <x:v>313.0430286469768</x:v>
      </x:c>
      <x:c r="AJ10" s="6" t="str">
        <x:v>0.6057697738594214</x:v>
      </x:c>
      <x:c r="AK10" s="8" t="str">
        <x:v>3.1132735071920083</x:v>
      </x:c>
      <x:c r="AL10" s="6" t="str">
        <x:v>3.74863683688689</x:v>
      </x:c>
      <x:c r="AM10" s="6" t="str">
        <x:v>4.114936364095306</x:v>
      </x:c>
      <x:c r="AN10" s="6" t="str">
        <x:v>3.658948902724734</x:v>
      </x:c>
      <x:c r="AO10" s="6" t="str">
        <x:v>0.1530985654824093</x:v>
      </x:c>
      <x:c r="AP10" s="8" t="str">
        <x:v>0.1092548382117182</x:v>
      </x:c>
      <x:c r="AQ10" s="6" t="str">
        <x:v>1.1708466577504602</x:v>
      </x:c>
      <x:c r="AR10" s="6" t="str">
        <x:v>-1.0269810140737348</x:v>
      </x:c>
      <x:c r="AS10" s="6" t="str">
        <x:v>0.0843734939628142</x:v>
      </x:c>
      <x:c r="AT10" s="6" t="str">
        <x:v>98.07957118920824</x:v>
      </x:c>
      <x:c r="AU10" s="8" t="str">
        <x:v>1.9314033021051835</x:v>
      </x:c>
      <x:c r="AV10" s="6" t="str">
        <x:v>0.8987862204857582</x:v>
      </x:c>
      <x:c r="AW10" s="6" t="str">
        <x:v>-1.5475493759759469</x:v>
      </x:c>
      <x:c r="AX10" s="6" t="str">
        <x:v>0.4275467155383319</x:v>
      </x:c>
      <x:c r="AY10" s="6" t="str">
        <x:v>1</x:v>
      </x:c>
      <x:c r="AZ10" s="6" t="str">
        <x:v>1</x:v>
      </x:c>
      <x:c r="BA10" s="9" t="str">
        <x:v>grid_cells_within_BIG_polygon</x:v>
      </x:c>
      <x:c r="BB10" s="6" t="str">
        <x:v>14</x:v>
      </x:c>
      <x:c r="BC10" s="6" t="str">
        <x:v>12</x:v>
      </x:c>
      <x:c r="BD10" s="6" t="str">
        <x:v>12</x:v>
      </x:c>
      <x:c r="BE10" s="6" t="str">
        <x:v>2</x:v>
      </x:c>
      <x:c r="BF10" s="6" t="str">
        <x:v>0</x:v>
      </x:c>
      <x:c r="BG10" s="6" t="str">
        <x:v>6</x:v>
      </x:c>
      <x:c r="BH10" s="6" t="str">
        <x:v>0</x:v>
      </x:c>
      <x:c r="BI10" s="6" t="str">
        <x:v>4</x:v>
      </x:c>
      <x:c r="BJ10" s="6" t="str">
        <x:v>0</x:v>
      </x:c>
      <x:c r="BK10" s="6" t="str">
        <x:v>0</x:v>
      </x:c>
      <x:c r="BL10" s="6" t="str">
        <x:v>0</x:v>
      </x:c>
      <x:c r="BM10" s="6" t="str">
        <x:v>0</x:v>
      </x:c>
      <x:c r="BN10" s="6" t="str">
        <x:v>12</x:v>
      </x:c>
      <x:c r="BO10" s="6" t="str">
        <x:v>3.0</x:v>
      </x:c>
      <x:c r="BP10" s="6" t="str">
        <x:v>12</x:v>
      </x:c>
      <x:c r="BQ10" s="6" t="str">
        <x:v>1.0</x:v>
      </x:c>
      <x:c r="BR10" s="6" t="str">
        <x:v>12</x:v>
      </x:c>
      <x:c r="BS10" s="6" t="str">
        <x:v>120.0</x:v>
      </x:c>
      <x:c r="BT10" s="6" t="str">
        <x:v>12</x:v>
      </x:c>
      <x:c r="BU10" s="6" t="str">
        <x:v>1987.0</x:v>
      </x:c>
      <x:c r="BV10" s="6" t="str">
        <x:v>2</x:v>
      </x:c>
      <x:c r="BW10" s="9" t="str">
        <x:v>operational_snapshot_annual_totals_may_differ</x:v>
      </x:c>
      <x:c r="BX10" s="9" t="str">
        <x:v>official_live_dashboard_snapshot_subject_to_revision</x:v>
      </x:c>
      <x:c r="BY10" s="9" t="str">
        <x:v>https://tbdashboard.sitb.id/ss_data_tbc03so_2024_provinsi_bulanan_list.php</x:v>
      </x:c>
      <x:c r="BZ10" s="6" t="n">
        <x:v>46246.610671296294</x:v>
      </x:c>
    </x:row>
    <x:row r="11" ht="18" customHeight="1">
      <x:c r="A11" s="6" t="str">
        <x:v>11</x:v>
      </x:c>
      <x:c r="B11" s="6" t="str">
        <x:v>ACEH</x:v>
      </x:c>
      <x:c r="C11" s="6" t="str">
        <x:v>2024</x:v>
      </x:c>
      <x:c r="D11" s="6" t="str">
        <x:v>10</x:v>
      </x:c>
      <x:c r="E11" s="6" t="str">
        <x:v>2024-10</x:v>
      </x:c>
      <x:c r="F11" s="6" t="str">
        <x:v>1113</x:v>
      </x:c>
      <x:c r="G11" s="6" t="str">
        <x:v>178</x:v>
      </x:c>
      <x:c r="H11" s="6" t="str">
        <x:v>684</x:v>
      </x:c>
      <x:c r="I11" s="6" t="str">
        <x:v>144</x:v>
      </x:c>
      <x:c r="J11" s="6" t="str">
        <x:v>40</x:v>
      </x:c>
      <x:c r="K11" s="6" t="str">
        <x:v>1</x:v>
      </x:c>
      <x:c r="L11" s="6" t="str">
        <x:v>6</x:v>
      </x:c>
      <x:c r="M11" s="6" t="str">
        <x:v>60</x:v>
      </x:c>
      <x:c r="N11" s="6" t="str">
        <x:v>1113</x:v>
      </x:c>
      <x:c r="O11" s="6" t="str">
        <x:v>0</x:v>
      </x:c>
      <x:c r="P11" s="10" t="n">
        <x:f>F11-M11</x:f>
        <x:v>1053</x:v>
      </x:c>
      <x:c r="Q11" s="11" t="n">
        <x:f>IFERROR(M11/F11,"")</x:f>
        <x:v>0.05390835579514825</x:v>
      </x:c>
      <x:c r="R11" s="10" t="n">
        <x:f>G11+H11</x:f>
        <x:v>862</x:v>
      </x:c>
      <x:c r="S11" s="11" t="n">
        <x:f>IFERROR(R11/F11,"")</x:f>
        <x:v>0.7744833782569631</x:v>
      </x:c>
      <x:c r="T11" s="11" t="n">
        <x:f>IFERROR(R11/P11,"")</x:f>
        <x:v>0.818613485280152</x:v>
      </x:c>
      <x:c r="U11" s="10" t="n">
        <x:f>I11+J11+K11</x:f>
        <x:v>185</x:v>
      </x:c>
      <x:c r="V11" s="11" t="n">
        <x:f>IFERROR(U11/P11,"")</x:f>
        <x:v>0.17568850902184235</x:v>
      </x:c>
      <x:c r="W11" s="9" t="str">
        <x:v>provisional_gt_5pct_pending</x:v>
      </x:c>
      <x:c r="X11" s="12" t="n">
        <x:f>IFERROR(F11/Z11*100000,"")</x:f>
        <x:v>20.036724994599265</x:v>
      </x:c>
      <x:c r="Y11" s="13" t="n">
        <x:f>LN(Z11)</x:f>
        <x:v>15.530172976807362</x:v>
      </x:c>
      <x:c r="Z11" s="6" t="str">
        <x:v>5554800</x:v>
      </x:c>
      <x:c r="AA11" s="6" t="str">
        <x:v>98.0</x:v>
      </x:c>
      <x:c r="AB11" s="9" t="str">
        <x:v>2024-06-30</x:v>
      </x:c>
      <x:c r="AC11" s="8" t="str">
        <x:v>81.1</x:v>
      </x:c>
      <x:c r="AD11" s="9" t="str">
        <x:v>2024 (Susenas)</x:v>
      </x:c>
      <x:c r="AE11" s="8" t="str">
        <x:v>14.23</x:v>
      </x:c>
      <x:c r="AF11" s="9" t="str">
        <x:v>Maret 2024 (Susenas)</x:v>
      </x:c>
      <x:c r="AG11" s="6" t="str">
        <x:v>24.08759978555317</x:v>
      </x:c>
      <x:c r="AH11" s="8" t="str">
        <x:v>86.17102577936939</x:v>
      </x:c>
      <x:c r="AI11" s="6" t="str">
        <x:v>215.6407135961184</x:v>
      </x:c>
      <x:c r="AJ11" s="6" t="str">
        <x:v>0.7141765188603308</x:v>
      </x:c>
      <x:c r="AK11" s="8" t="str">
        <x:v>3.2303709887930188</x:v>
      </x:c>
      <x:c r="AL11" s="6" t="str">
        <x:v>3.1132735071920083</x:v>
      </x:c>
      <x:c r="AM11" s="6" t="str">
        <x:v>3.74863683688689</x:v>
      </x:c>
      <x:c r="AN11" s="6" t="str">
        <x:v>3.3640937776239714</x:v>
      </x:c>
      <x:c r="AO11" s="6" t="str">
        <x:v>-1.1465822809920925</x:v>
      </x:c>
      <x:c r="AP11" s="8" t="str">
        <x:v>-0.7602386856501478</x:v>
      </x:c>
      <x:c r="AQ11" s="6" t="str">
        <x:v>0.1092548382117182</x:v>
      </x:c>
      <x:c r="AR11" s="6" t="str">
        <x:v>1.1708466577504602</x:v>
      </x:c>
      <x:c r="AS11" s="6" t="str">
        <x:v>0.1732876034373431</x:v>
      </x:c>
      <x:c r="AT11" s="6" t="str">
        <x:v>-61.34295282923571</x:v>
      </x:c>
      <x:c r="AU11" s="8" t="str">
        <x:v>-0.7799752893573693</x:v>
      </x:c>
      <x:c r="AV11" s="6" t="str">
        <x:v>1.9314033021051835</x:v>
      </x:c>
      <x:c r="AW11" s="6" t="str">
        <x:v>0.8987862204857582</x:v>
      </x:c>
      <x:c r="AX11" s="6" t="str">
        <x:v>0.6834047444111911</x:v>
      </x:c>
      <x:c r="AY11" s="6" t="str">
        <x:v>0</x:v>
      </x:c>
      <x:c r="AZ11" s="6" t="str">
        <x:v>1</x:v>
      </x:c>
      <x:c r="BA11" s="9" t="str">
        <x:v>grid_cells_within_BIG_polygon</x:v>
      </x:c>
      <x:c r="BB11" s="6" t="str">
        <x:v>14</x:v>
      </x:c>
      <x:c r="BC11" s="6" t="str">
        <x:v>14</x:v>
      </x:c>
      <x:c r="BD11" s="6" t="str">
        <x:v>14</x:v>
      </x:c>
      <x:c r="BE11" s="6" t="str">
        <x:v>11</x:v>
      </x:c>
      <x:c r="BF11" s="6" t="str">
        <x:v>1</x:v>
      </x:c>
      <x:c r="BG11" s="6" t="str">
        <x:v>0</x:v>
      </x:c>
      <x:c r="BH11" s="6" t="str">
        <x:v>0</x:v>
      </x:c>
      <x:c r="BI11" s="6" t="str">
        <x:v>2</x:v>
      </x:c>
      <x:c r="BJ11" s="6" t="str">
        <x:v>0</x:v>
      </x:c>
      <x:c r="BK11" s="6" t="str">
        <x:v>0</x:v>
      </x:c>
      <x:c r="BL11" s="6" t="str">
        <x:v>0</x:v>
      </x:c>
      <x:c r="BM11" s="6" t="str">
        <x:v>0</x:v>
      </x:c>
      <x:c r="BN11" s="6" t="str">
        <x:v>14</x:v>
      </x:c>
      <x:c r="BO11" s="6" t="str">
        <x:v>5.0</x:v>
      </x:c>
      <x:c r="BP11" s="6" t="str">
        <x:v>14</x:v>
      </x:c>
      <x:c r="BQ11" s="6" t="str">
        <x:v>0.0</x:v>
      </x:c>
      <x:c r="BR11" s="6" t="str">
        <x:v>14</x:v>
      </x:c>
      <x:c r="BS11" s="6" t="str">
        <x:v>60.0</x:v>
      </x:c>
      <x:c r="BT11" s="6" t="str">
        <x:v>14</x:v>
      </x:c>
      <x:c r="BU11" s="6" t="str">
        <x:v>6382.0</x:v>
      </x:c>
      <x:c r="BV11" s="6" t="str">
        <x:v>8</x:v>
      </x:c>
      <x:c r="BW11" s="9" t="str">
        <x:v>operational_snapshot_annual_totals_may_differ</x:v>
      </x:c>
      <x:c r="BX11" s="9" t="str">
        <x:v>official_live_dashboard_snapshot_subject_to_revision</x:v>
      </x:c>
      <x:c r="BY11" s="9" t="str">
        <x:v>https://tbdashboard.sitb.id/ss_data_tbc03so_2024_provinsi_bulanan_list.php</x:v>
      </x:c>
      <x:c r="BZ11" s="6" t="n">
        <x:v>46246.610671296294</x:v>
      </x:c>
    </x:row>
    <x:row r="12" ht="18" customHeight="1">
      <x:c r="A12" s="6" t="str">
        <x:v>11</x:v>
      </x:c>
      <x:c r="B12" s="6" t="str">
        <x:v>ACEH</x:v>
      </x:c>
      <x:c r="C12" s="6" t="str">
        <x:v>2024</x:v>
      </x:c>
      <x:c r="D12" s="6" t="str">
        <x:v>11</x:v>
      </x:c>
      <x:c r="E12" s="6" t="str">
        <x:v>2024-11</x:v>
      </x:c>
      <x:c r="F12" s="6" t="str">
        <x:v>1072</x:v>
      </x:c>
      <x:c r="G12" s="6" t="str">
        <x:v>139</x:v>
      </x:c>
      <x:c r="H12" s="6" t="str">
        <x:v>740</x:v>
      </x:c>
      <x:c r="I12" s="6" t="str">
        <x:v>100</x:v>
      </x:c>
      <x:c r="J12" s="6" t="str">
        <x:v>40</x:v>
      </x:c>
      <x:c r="K12" s="6" t="str">
        <x:v>1</x:v>
      </x:c>
      <x:c r="L12" s="6" t="str">
        <x:v>1</x:v>
      </x:c>
      <x:c r="M12" s="6" t="str">
        <x:v>51</x:v>
      </x:c>
      <x:c r="N12" s="6" t="str">
        <x:v>1072</x:v>
      </x:c>
      <x:c r="O12" s="6" t="str">
        <x:v>0</x:v>
      </x:c>
      <x:c r="P12" s="10" t="n">
        <x:f>F12-M12</x:f>
        <x:v>1021</x:v>
      </x:c>
      <x:c r="Q12" s="11" t="n">
        <x:f>IFERROR(M12/F12,"")</x:f>
        <x:v>0.04757462686567164</x:v>
      </x:c>
      <x:c r="R12" s="10" t="n">
        <x:f>G12+H12</x:f>
        <x:v>879</x:v>
      </x:c>
      <x:c r="S12" s="11" t="n">
        <x:f>IFERROR(R12/F12,"")</x:f>
        <x:v>0.8199626865671642</x:v>
      </x:c>
      <x:c r="T12" s="11" t="n">
        <x:f>IFERROR(R12/P12,"")</x:f>
        <x:v>0.8609206660137121</x:v>
      </x:c>
      <x:c r="U12" s="10" t="n">
        <x:f>I12+J12+K12</x:f>
        <x:v>141</x:v>
      </x:c>
      <x:c r="V12" s="11" t="n">
        <x:f>IFERROR(U12/P12,"")</x:f>
        <x:v>0.13809990205680706</x:v>
      </x:c>
      <x:c r="W12" s="9" t="str">
        <x:v>mature_le_5pct_pending</x:v>
      </x:c>
      <x:c r="X12" s="12" t="n">
        <x:f>IFERROR(F12/Z12*100000,"")</x:f>
        <x:v>19.29862461294736</x:v>
      </x:c>
      <x:c r="Y12" s="13" t="n">
        <x:f>LN(Z12)</x:f>
        <x:v>15.530172976807362</x:v>
      </x:c>
      <x:c r="Z12" s="6" t="str">
        <x:v>5554800</x:v>
      </x:c>
      <x:c r="AA12" s="6" t="str">
        <x:v>98.0</x:v>
      </x:c>
      <x:c r="AB12" s="9" t="str">
        <x:v>2024-06-30</x:v>
      </x:c>
      <x:c r="AC12" s="8" t="str">
        <x:v>81.1</x:v>
      </x:c>
      <x:c r="AD12" s="9" t="str">
        <x:v>2024 (Susenas)</x:v>
      </x:c>
      <x:c r="AE12" s="8" t="str">
        <x:v>14.23</x:v>
      </x:c>
      <x:c r="AF12" s="9" t="str">
        <x:v>Maret 2024 (Susenas)</x:v>
      </x:c>
      <x:c r="AG12" s="6" t="str">
        <x:v>23.90543796011326</x:v>
      </x:c>
      <x:c r="AH12" s="8" t="str">
        <x:v>87.76597631754721</x:v>
      </x:c>
      <x:c r="AI12" s="6" t="str">
        <x:v>232.24688645606443</x:v>
      </x:c>
      <x:c r="AJ12" s="6" t="str">
        <x:v>0.5811349891898168</x:v>
      </x:c>
      <x:c r="AK12" s="8" t="str">
        <x:v>2.210288574237105</x:v>
      </x:c>
      <x:c r="AL12" s="6" t="str">
        <x:v>3.2303709887930188</x:v>
      </x:c>
      <x:c r="AM12" s="6" t="str">
        <x:v>3.1132735071920083</x:v>
      </x:c>
      <x:c r="AN12" s="6" t="str">
        <x:v>2.8513110234073764</x:v>
      </x:c>
      <x:c r="AO12" s="6" t="str">
        <x:v>-0.9698226444038056</x:v>
      </x:c>
      <x:c r="AP12" s="8" t="str">
        <x:v>-1.17094888636509</x:v>
      </x:c>
      <x:c r="AQ12" s="6" t="str">
        <x:v>-0.7602386856501478</x:v>
      </x:c>
      <x:c r="AR12" s="6" t="str">
        <x:v>0.1092548382117182</x:v>
      </x:c>
      <x:c r="AS12" s="6" t="str">
        <x:v>-0.6073109112678402</x:v>
      </x:c>
      <x:c r="AT12" s="6" t="str">
        <x:v>-82.00220404415995</x:v>
      </x:c>
      <x:c r="AU12" s="8" t="str">
        <x:v>-1.211146030696453</x:v>
      </x:c>
      <x:c r="AV12" s="6" t="str">
        <x:v>-0.7799752893573693</x:v>
      </x:c>
      <x:c r="AW12" s="6" t="str">
        <x:v>1.9314033021051835</x:v>
      </x:c>
      <x:c r="AX12" s="6" t="str">
        <x:v>-0.0199060059828792</x:v>
      </x:c>
      <x:c r="AY12" s="6" t="str">
        <x:v>0</x:v>
      </x:c>
      <x:c r="AZ12" s="6" t="str">
        <x:v>1</x:v>
      </x:c>
      <x:c r="BA12" s="9" t="str">
        <x:v>grid_cells_within_BIG_polygon</x:v>
      </x:c>
      <x:c r="BB12" s="6" t="str">
        <x:v>14</x:v>
      </x:c>
      <x:c r="BC12" s="6" t="str">
        <x:v>6</x:v>
      </x:c>
      <x:c r="BD12" s="6" t="str">
        <x:v>6</x:v>
      </x:c>
      <x:c r="BE12" s="6" t="str">
        <x:v>6</x:v>
      </x:c>
      <x:c r="BF12" s="6" t="str">
        <x:v>0</x:v>
      </x:c>
      <x:c r="BG12" s="6" t="str">
        <x:v>0</x:v>
      </x:c>
      <x:c r="BH12" s="6" t="str">
        <x:v>0</x:v>
      </x:c>
      <x:c r="BI12" s="6" t="str">
        <x:v>0</x:v>
      </x:c>
      <x:c r="BJ12" s="6" t="str">
        <x:v>0</x:v>
      </x:c>
      <x:c r="BK12" s="6" t="str">
        <x:v>0</x:v>
      </x:c>
      <x:c r="BL12" s="6" t="str">
        <x:v>0</x:v>
      </x:c>
      <x:c r="BM12" s="6" t="str">
        <x:v>0</x:v>
      </x:c>
      <x:c r="BN12" s="6" t="str">
        <x:v>6</x:v>
      </x:c>
      <x:c r="BO12" s="6" t="str">
        <x:v>0.0</x:v>
      </x:c>
      <x:c r="BP12" s="6" t="str">
        <x:v>6</x:v>
      </x:c>
      <x:c r="BQ12" s="6" t="str">
        <x:v>0.0</x:v>
      </x:c>
      <x:c r="BR12" s="6" t="str">
        <x:v>6</x:v>
      </x:c>
      <x:c r="BS12" s="6" t="str">
        <x:v>18.0</x:v>
      </x:c>
      <x:c r="BT12" s="6" t="str">
        <x:v>6</x:v>
      </x:c>
      <x:c r="BU12" s="6" t="str">
        <x:v>6142.0</x:v>
      </x:c>
      <x:c r="BV12" s="6" t="str">
        <x:v>4</x:v>
      </x:c>
      <x:c r="BW12" s="9" t="str">
        <x:v>operational_snapshot_annual_totals_may_differ</x:v>
      </x:c>
      <x:c r="BX12" s="9" t="str">
        <x:v>official_live_dashboard_snapshot_subject_to_revision</x:v>
      </x:c>
      <x:c r="BY12" s="9" t="str">
        <x:v>https://tbdashboard.sitb.id/ss_data_tbc03so_2024_provinsi_bulanan_list.php</x:v>
      </x:c>
      <x:c r="BZ12" s="6" t="n">
        <x:v>46246.610671296294</x:v>
      </x:c>
    </x:row>
    <x:row r="13" ht="18" customHeight="1">
      <x:c r="A13" s="6" t="str">
        <x:v>11</x:v>
      </x:c>
      <x:c r="B13" s="6" t="str">
        <x:v>ACEH</x:v>
      </x:c>
      <x:c r="C13" s="6" t="str">
        <x:v>2024</x:v>
      </x:c>
      <x:c r="D13" s="6" t="str">
        <x:v>12</x:v>
      </x:c>
      <x:c r="E13" s="6" t="str">
        <x:v>2024-12</x:v>
      </x:c>
      <x:c r="F13" s="6" t="str">
        <x:v>930</x:v>
      </x:c>
      <x:c r="G13" s="6" t="str">
        <x:v>124</x:v>
      </x:c>
      <x:c r="H13" s="6" t="str">
        <x:v>615</x:v>
      </x:c>
      <x:c r="I13" s="6" t="str">
        <x:v>108</x:v>
      </x:c>
      <x:c r="J13" s="6" t="str">
        <x:v>35</x:v>
      </x:c>
      <x:c r="K13" s="6" t="str">
        <x:v>0</x:v>
      </x:c>
      <x:c r="L13" s="6" t="str">
        <x:v>4</x:v>
      </x:c>
      <x:c r="M13" s="6" t="str">
        <x:v>44</x:v>
      </x:c>
      <x:c r="N13" s="6" t="str">
        <x:v>930</x:v>
      </x:c>
      <x:c r="O13" s="6" t="str">
        <x:v>0</x:v>
      </x:c>
      <x:c r="P13" s="10" t="n">
        <x:f>F13-M13</x:f>
        <x:v>886</x:v>
      </x:c>
      <x:c r="Q13" s="11" t="n">
        <x:f>IFERROR(M13/F13,"")</x:f>
        <x:v>0.047311827956989246</x:v>
      </x:c>
      <x:c r="R13" s="10" t="n">
        <x:f>G13+H13</x:f>
        <x:v>739</x:v>
      </x:c>
      <x:c r="S13" s="11" t="n">
        <x:f>IFERROR(R13/F13,"")</x:f>
        <x:v>0.7946236559139785</x:v>
      </x:c>
      <x:c r="T13" s="11" t="n">
        <x:f>IFERROR(R13/P13,"")</x:f>
        <x:v>0.8340857787810384</x:v>
      </x:c>
      <x:c r="U13" s="10" t="n">
        <x:f>I13+J13+K13</x:f>
        <x:v>143</x:v>
      </x:c>
      <x:c r="V13" s="11" t="n">
        <x:f>IFERROR(U13/P13,"")</x:f>
        <x:v>0.1613995485327314</x:v>
      </x:c>
      <x:c r="W13" s="9" t="str">
        <x:v>mature_le_5pct_pending</x:v>
      </x:c>
      <x:c r="X13" s="12" t="n">
        <x:f>IFERROR(F13/Z13*100000,"")</x:f>
        <x:v>16.742276949665154</x:v>
      </x:c>
      <x:c r="Y13" s="13" t="n">
        <x:f>LN(Z13)</x:f>
        <x:v>15.530172976807362</x:v>
      </x:c>
      <x:c r="Z13" s="6" t="str">
        <x:v>5554800</x:v>
      </x:c>
      <x:c r="AA13" s="6" t="str">
        <x:v>98.0</x:v>
      </x:c>
      <x:c r="AB13" s="9" t="str">
        <x:v>2024-06-30</x:v>
      </x:c>
      <x:c r="AC13" s="8" t="str">
        <x:v>81.1</x:v>
      </x:c>
      <x:c r="AD13" s="9" t="str">
        <x:v>2024 (Susenas)</x:v>
      </x:c>
      <x:c r="AE13" s="8" t="str">
        <x:v>14.23</x:v>
      </x:c>
      <x:c r="AF13" s="9" t="str">
        <x:v>Maret 2024 (Susenas)</x:v>
      </x:c>
      <x:c r="AG13" s="6" t="str">
        <x:v>23.62551321411544</x:v>
      </x:c>
      <x:c r="AH13" s="8" t="str">
        <x:v>88.72668285849802</x:v>
      </x:c>
      <x:c r="AI13" s="6" t="str">
        <x:v>266.4750094702822</x:v>
      </x:c>
      <x:c r="AJ13" s="6" t="str">
        <x:v>0.3934018936829559</x:v>
      </x:c>
      <x:c r="AK13" s="8" t="str">
        <x:v>1.3328754357637076</x:v>
      </x:c>
      <x:c r="AL13" s="6" t="str">
        <x:v>2.210288574237105</x:v>
      </x:c>
      <x:c r="AM13" s="6" t="str">
        <x:v>3.2303709887930188</x:v>
      </x:c>
      <x:c r="AN13" s="6" t="str">
        <x:v>2.257844999597943</x:v>
      </x:c>
      <x:c r="AO13" s="6" t="str">
        <x:v>0.2687334848081946</x:v>
      </x:c>
      <x:c r="AP13" s="8" t="str">
        <x:v>0.2748026314328656</x:v>
      </x:c>
      <x:c r="AQ13" s="6" t="str">
        <x:v>-1.17094888636509</x:v>
      </x:c>
      <x:c r="AR13" s="6" t="str">
        <x:v>-0.7602386856501478</x:v>
      </x:c>
      <x:c r="AS13" s="6" t="str">
        <x:v>-0.5521283135274576</x:v>
      </x:c>
      <x:c r="AT13" s="6" t="str">
        <x:v>0.152635312952384</x:v>
      </x:c>
      <x:c r="AU13" s="8" t="str">
        <x:v>0.0017633669081547</x:v>
      </x:c>
      <x:c r="AV13" s="6" t="str">
        <x:v>-1.211146030696453</x:v>
      </x:c>
      <x:c r="AW13" s="6" t="str">
        <x:v>-0.7799752893573693</x:v>
      </x:c>
      <x:c r="AX13" s="6" t="str">
        <x:v>-0.6631193177152223</x:v>
      </x:c>
      <x:c r="AY13" s="6" t="str">
        <x:v>0</x:v>
      </x:c>
      <x:c r="AZ13" s="6" t="str">
        <x:v>1</x:v>
      </x:c>
      <x:c r="BA13" s="9" t="str">
        <x:v>grid_cells_within_BIG_polygon</x:v>
      </x:c>
      <x:c r="BB13" s="6" t="str">
        <x:v>14</x:v>
      </x:c>
      <x:c r="BC13" s="6" t="str">
        <x:v>7</x:v>
      </x:c>
      <x:c r="BD13" s="6" t="str">
        <x:v>7</x:v>
      </x:c>
      <x:c r="BE13" s="6" t="str">
        <x:v>6</x:v>
      </x:c>
      <x:c r="BF13" s="6" t="str">
        <x:v>1</x:v>
      </x:c>
      <x:c r="BG13" s="6" t="str">
        <x:v>0</x:v>
      </x:c>
      <x:c r="BH13" s="6" t="str">
        <x:v>0</x:v>
      </x:c>
      <x:c r="BI13" s="6" t="str">
        <x:v>0</x:v>
      </x:c>
      <x:c r="BJ13" s="6" t="str">
        <x:v>0</x:v>
      </x:c>
      <x:c r="BK13" s="6" t="str">
        <x:v>0</x:v>
      </x:c>
      <x:c r="BL13" s="6" t="str">
        <x:v>0</x:v>
      </x:c>
      <x:c r="BM13" s="6" t="str">
        <x:v>0</x:v>
      </x:c>
      <x:c r="BN13" s="6" t="str">
        <x:v>7</x:v>
      </x:c>
      <x:c r="BO13" s="6" t="str">
        <x:v>0.0</x:v>
      </x:c>
      <x:c r="BP13" s="6" t="str">
        <x:v>7</x:v>
      </x:c>
      <x:c r="BQ13" s="6" t="str">
        <x:v>1.0</x:v>
      </x:c>
      <x:c r="BR13" s="6" t="str">
        <x:v>7</x:v>
      </x:c>
      <x:c r="BS13" s="6" t="str">
        <x:v>6.0</x:v>
      </x:c>
      <x:c r="BT13" s="6" t="str">
        <x:v>7</x:v>
      </x:c>
      <x:c r="BU13" s="6" t="str">
        <x:v>2002.0</x:v>
      </x:c>
      <x:c r="BV13" s="6" t="str">
        <x:v>5</x:v>
      </x:c>
      <x:c r="BW13" s="9" t="str">
        <x:v>operational_snapshot_annual_totals_may_differ</x:v>
      </x:c>
      <x:c r="BX13" s="9" t="str">
        <x:v>official_live_dashboard_snapshot_subject_to_revision</x:v>
      </x:c>
      <x:c r="BY13" s="9" t="str">
        <x:v>https://tbdashboard.sitb.id/ss_data_tbc03so_2024_provinsi_bulanan_list.php</x:v>
      </x:c>
      <x:c r="BZ13" s="6" t="n">
        <x:v>46246.610671296294</x:v>
      </x:c>
    </x:row>
    <x:row r="14" ht="18" customHeight="1">
      <x:c r="A14" s="6" t="str">
        <x:v>11</x:v>
      </x:c>
      <x:c r="B14" s="6" t="str">
        <x:v>ACEH</x:v>
      </x:c>
      <x:c r="C14" s="6" t="str">
        <x:v>2025</x:v>
      </x:c>
      <x:c r="D14" s="6" t="str">
        <x:v>1</x:v>
      </x:c>
      <x:c r="E14" s="6" t="str">
        <x:v>2025-01</x:v>
      </x:c>
      <x:c r="F14" s="6" t="str">
        <x:v>1018</x:v>
      </x:c>
      <x:c r="G14" s="6" t="str">
        <x:v>147</x:v>
      </x:c>
      <x:c r="H14" s="6" t="str">
        <x:v>582</x:v>
      </x:c>
      <x:c r="I14" s="6" t="str">
        <x:v>121</x:v>
      </x:c>
      <x:c r="J14" s="6" t="str">
        <x:v>39</x:v>
      </x:c>
      <x:c r="K14" s="6" t="str">
        <x:v>1</x:v>
      </x:c>
      <x:c r="L14" s="6" t="str">
        <x:v>3</x:v>
      </x:c>
      <x:c r="M14" s="6" t="str">
        <x:v>125</x:v>
      </x:c>
      <x:c r="N14" s="6" t="str">
        <x:v>1018</x:v>
      </x:c>
      <x:c r="O14" s="6" t="str">
        <x:v>0</x:v>
      </x:c>
      <x:c r="P14" s="10" t="n">
        <x:f>F14-M14</x:f>
        <x:v>893</x:v>
      </x:c>
      <x:c r="Q14" s="11" t="n">
        <x:f>IFERROR(M14/F14,"")</x:f>
        <x:v>0.12278978388998035</x:v>
      </x:c>
      <x:c r="R14" s="10" t="n">
        <x:f>G14+H14</x:f>
        <x:v>729</x:v>
      </x:c>
      <x:c r="S14" s="11" t="n">
        <x:f>IFERROR(R14/F14,"")</x:f>
        <x:v>0.7161100196463654</x:v>
      </x:c>
      <x:c r="T14" s="11" t="n">
        <x:f>IFERROR(R14/P14,"")</x:f>
        <x:v>0.8163493840985442</x:v>
      </x:c>
      <x:c r="U14" s="10" t="n">
        <x:f>I14+J14+K14</x:f>
        <x:v>161</x:v>
      </x:c>
      <x:c r="V14" s="11" t="n">
        <x:f>IFERROR(U14/P14,"")</x:f>
        <x:v>0.18029115341545351</x:v>
      </x:c>
      <x:c r="W14" s="9" t="str">
        <x:v>provisional_gt_5pct_pending</x:v>
      </x:c>
      <x:c r="X14" s="12" t="n">
        <x:f>IFERROR(F14/Z14*100000,"")</x:f>
        <x:v>18.09456096693921</x:v>
      </x:c>
      <x:c r="Y14" s="13" t="n">
        <x:f>LN(Z14)</x:f>
        <x:v>15.54290926803194</x:v>
      </x:c>
      <x:c r="Z14" s="6" t="str">
        <x:v>5626000</x:v>
      </x:c>
      <x:c r="AA14" s="6" t="str">
        <x:v>99.0</x:v>
      </x:c>
      <x:c r="AB14" s="9" t="str">
        <x:v>2025-06-30</x:v>
      </x:c>
      <x:c r="AC14" s="8" t="str">
        <x:v>82.2</x:v>
      </x:c>
      <x:c r="AD14" s="9" t="str">
        <x:v>2025 (Susenas)</x:v>
      </x:c>
      <x:c r="AE14" s="8" t="str">
        <x:v>12.33</x:v>
      </x:c>
      <x:c r="AF14" s="9" t="str">
        <x:v>Maret 2025 (Susenas)</x:v>
      </x:c>
      <x:c r="AG14" s="6" t="str">
        <x:v>23.72125266932472</x:v>
      </x:c>
      <x:c r="AH14" s="8" t="str">
        <x:v>88.48324568956099</x:v>
      </x:c>
      <x:c r="AI14" s="6" t="str">
        <x:v>270.4660421210158</x:v>
      </x:c>
      <x:c r="AJ14" s="6" t="str">
        <x:v>0.3746170346142712</x:v>
      </x:c>
      <x:c r="AK14" s="8" t="str">
        <x:v>1.0420105826345154</x:v>
      </x:c>
      <x:c r="AL14" s="6" t="str">
        <x:v>1.3328754357637076</x:v>
      </x:c>
      <x:c r="AM14" s="6" t="str">
        <x:v>2.210288574237105</x:v>
      </x:c>
      <x:c r="AN14" s="6" t="str">
        <x:v>1.528391530878442</x:v>
      </x:c>
      <x:c r="AO14" s="6" t="str">
        <x:v>1.7619087628963823</x:v>
      </x:c>
      <x:c r="AP14" s="8" t="str">
        <x:v>1.715478020611364</x:v>
      </x:c>
      <x:c r="AQ14" s="6" t="str">
        <x:v>0.2748026314328656</x:v>
      </x:c>
      <x:c r="AR14" s="6" t="str">
        <x:v>-1.17094888636509</x:v>
      </x:c>
      <x:c r="AS14" s="6" t="str">
        <x:v>0.2731105885597129</x:v>
      </x:c>
      <x:c r="AT14" s="6" t="str">
        <x:v>96.70618978019104</x:v>
      </x:c>
      <x:c r="AU14" s="8" t="str">
        <x:v>1.4466049839924056</x:v>
      </x:c>
      <x:c r="AV14" s="6" t="str">
        <x:v>0.0017633669081547</x:v>
      </x:c>
      <x:c r="AW14" s="6" t="str">
        <x:v>-1.211146030696453</x:v>
      </x:c>
      <x:c r="AX14" s="6" t="str">
        <x:v>0.0790741067347027</x:v>
      </x:c>
      <x:c r="AY14" s="6" t="str">
        <x:v>1</x:v>
      </x:c>
      <x:c r="AZ14" s="6" t="str">
        <x:v>1</x:v>
      </x:c>
      <x:c r="BA14" s="9" t="str">
        <x:v>grid_cells_within_BIG_polygon</x:v>
      </x:c>
      <x:c r="BB14" s="6" t="str">
        <x:v>14</x:v>
      </x:c>
      <x:c r="BC14" s="6" t="str">
        <x:v>7</x:v>
      </x:c>
      <x:c r="BD14" s="6" t="str">
        <x:v>7</x:v>
      </x:c>
      <x:c r="BE14" s="6" t="str">
        <x:v>7</x:v>
      </x:c>
      <x:c r="BF14" s="6" t="str">
        <x:v>0</x:v>
      </x:c>
      <x:c r="BG14" s="6" t="str">
        <x:v>0</x:v>
      </x:c>
      <x:c r="BH14" s="6" t="str">
        <x:v>0</x:v>
      </x:c>
      <x:c r="BI14" s="6" t="str">
        <x:v>0</x:v>
      </x:c>
      <x:c r="BJ14" s="6" t="str">
        <x:v>0</x:v>
      </x:c>
      <x:c r="BK14" s="6" t="str">
        <x:v>0</x:v>
      </x:c>
      <x:c r="BL14" s="6" t="str">
        <x:v>0</x:v>
      </x:c>
      <x:c r="BM14" s="6" t="str">
        <x:v>0</x:v>
      </x:c>
      <x:c r="BN14" s="6" t="str">
        <x:v>7</x:v>
      </x:c>
      <x:c r="BO14" s="6" t="str">
        <x:v>2.0</x:v>
      </x:c>
      <x:c r="BP14" s="6" t="str">
        <x:v>7</x:v>
      </x:c>
      <x:c r="BQ14" s="6" t="str">
        <x:v>5.0</x:v>
      </x:c>
      <x:c r="BR14" s="6" t="str">
        <x:v>7</x:v>
      </x:c>
      <x:c r="BS14" s="6" t="str">
        <x:v>2.0</x:v>
      </x:c>
      <x:c r="BT14" s="6" t="str">
        <x:v>7</x:v>
      </x:c>
      <x:c r="BU14" s="6" t="str">
        <x:v>1174.0</x:v>
      </x:c>
      <x:c r="BV14" s="6" t="str">
        <x:v>5</x:v>
      </x:c>
      <x:c r="BW14" s="9" t="str">
        <x:v>operational_snapshot_annual_totals_may_differ</x:v>
      </x:c>
      <x:c r="BX14" s="9" t="str">
        <x:v>official_live_dashboard_snapshot_subject_to_revision</x:v>
      </x:c>
      <x:c r="BY14" s="9" t="str">
        <x:v>https://tbdashboard.sitb.id/ss_data_tbc03so_2025_provinsi_bulanan_list.php</x:v>
      </x:c>
      <x:c r="BZ14" s="6" t="n">
        <x:v>46246.610671296294</x:v>
      </x:c>
    </x:row>
    <x:row r="15" ht="18" customHeight="1">
      <x:c r="A15" s="6" t="str">
        <x:v>11</x:v>
      </x:c>
      <x:c r="B15" s="6" t="str">
        <x:v>ACEH</x:v>
      </x:c>
      <x:c r="C15" s="6" t="str">
        <x:v>2025</x:v>
      </x:c>
      <x:c r="D15" s="6" t="str">
        <x:v>2</x:v>
      </x:c>
      <x:c r="E15" s="6" t="str">
        <x:v>2025-02</x:v>
      </x:c>
      <x:c r="F15" s="6" t="str">
        <x:v>1040</x:v>
      </x:c>
      <x:c r="G15" s="6" t="str">
        <x:v>134</x:v>
      </x:c>
      <x:c r="H15" s="6" t="str">
        <x:v>615</x:v>
      </x:c>
      <x:c r="I15" s="6" t="str">
        <x:v>117</x:v>
      </x:c>
      <x:c r="J15" s="6" t="str">
        <x:v>39</x:v>
      </x:c>
      <x:c r="K15" s="6" t="str">
        <x:v>2</x:v>
      </x:c>
      <x:c r="L15" s="6" t="str">
        <x:v>2</x:v>
      </x:c>
      <x:c r="M15" s="6" t="str">
        <x:v>131</x:v>
      </x:c>
      <x:c r="N15" s="6" t="str">
        <x:v>1040</x:v>
      </x:c>
      <x:c r="O15" s="6" t="str">
        <x:v>0</x:v>
      </x:c>
      <x:c r="P15" s="10" t="n">
        <x:f>F15-M15</x:f>
        <x:v>909</x:v>
      </x:c>
      <x:c r="Q15" s="11" t="n">
        <x:f>IFERROR(M15/F15,"")</x:f>
        <x:v>0.12596153846153846</x:v>
      </x:c>
      <x:c r="R15" s="10" t="n">
        <x:f>G15+H15</x:f>
        <x:v>749</x:v>
      </x:c>
      <x:c r="S15" s="11" t="n">
        <x:f>IFERROR(R15/F15,"")</x:f>
        <x:v>0.7201923076923077</x:v>
      </x:c>
      <x:c r="T15" s="11" t="n">
        <x:f>IFERROR(R15/P15,"")</x:f>
        <x:v>0.823982398239824</x:v>
      </x:c>
      <x:c r="U15" s="10" t="n">
        <x:f>I15+J15+K15</x:f>
        <x:v>158</x:v>
      </x:c>
      <x:c r="V15" s="11" t="n">
        <x:f>IFERROR(U15/P15,"")</x:f>
        <x:v>0.17381738173817382</x:v>
      </x:c>
      <x:c r="W15" s="9" t="str">
        <x:v>provisional_gt_5pct_pending</x:v>
      </x:c>
      <x:c r="X15" s="12" t="n">
        <x:f>IFERROR(F15/Z15*100000,"")</x:f>
        <x:v>18.48560255954497</x:v>
      </x:c>
      <x:c r="Y15" s="13" t="n">
        <x:f>LN(Z15)</x:f>
        <x:v>15.54290926803194</x:v>
      </x:c>
      <x:c r="Z15" s="6" t="str">
        <x:v>5626000</x:v>
      </x:c>
      <x:c r="AA15" s="6" t="str">
        <x:v>99.0</x:v>
      </x:c>
      <x:c r="AB15" s="9" t="str">
        <x:v>2025-06-30</x:v>
      </x:c>
      <x:c r="AC15" s="8" t="str">
        <x:v>82.2</x:v>
      </x:c>
      <x:c r="AD15" s="9" t="str">
        <x:v>2025 (Susenas)</x:v>
      </x:c>
      <x:c r="AE15" s="8" t="str">
        <x:v>12.33</x:v>
      </x:c>
      <x:c r="AF15" s="9" t="str">
        <x:v>Maret 2025 (Susenas)</x:v>
      </x:c>
      <x:c r="AG15" s="6" t="str">
        <x:v>24.23773245336957</x:v>
      </x:c>
      <x:c r="AH15" s="8" t="str">
        <x:v>85.49525575342646</x:v>
      </x:c>
      <x:c r="AI15" s="6" t="str">
        <x:v>118.74792521818635</x:v>
      </x:c>
      <x:c r="AJ15" s="6" t="str">
        <x:v>0.5547111883744975</x:v>
      </x:c>
      <x:c r="AK15" s="8" t="str">
        <x:v>1.5002911160741423</x:v>
      </x:c>
      <x:c r="AL15" s="6" t="str">
        <x:v>1.0420105826345154</x:v>
      </x:c>
      <x:c r="AM15" s="6" t="str">
        <x:v>1.3328754357637076</x:v>
      </x:c>
      <x:c r="AN15" s="6" t="str">
        <x:v>1.291725711490788</x:v>
      </x:c>
      <x:c r="AO15" s="6" t="str">
        <x:v>0.2322488630796186</x:v>
      </x:c>
      <x:c r="AP15" s="8" t="str">
        <x:v>0.1587255608787971</x:v>
      </x:c>
      <x:c r="AQ15" s="6" t="str">
        <x:v>1.715478020611364</x:v>
      </x:c>
      <x:c r="AR15" s="6" t="str">
        <x:v>0.2748026314328656</x:v>
      </x:c>
      <x:c r="AS15" s="6" t="str">
        <x:v>0.7163354043076753</x:v>
      </x:c>
      <x:c r="AT15" s="6" t="str">
        <x:v>-17.633689733269037</x:v>
      </x:c>
      <x:c r="AU15" s="8" t="str">
        <x:v>-0.2836477797298306</x:v>
      </x:c>
      <x:c r="AV15" s="6" t="str">
        <x:v>1.4466049839924056</x:v>
      </x:c>
      <x:c r="AW15" s="6" t="str">
        <x:v>0.0017633669081547</x:v>
      </x:c>
      <x:c r="AX15" s="6" t="str">
        <x:v>0.3882401903902435</x:v>
      </x:c>
      <x:c r="AY15" s="6" t="str">
        <x:v>0</x:v>
      </x:c>
      <x:c r="AZ15" s="6" t="str">
        <x:v>1</x:v>
      </x:c>
      <x:c r="BA15" s="9" t="str">
        <x:v>grid_cells_within_BIG_polygon</x:v>
      </x:c>
      <x:c r="BB15" s="6" t="str">
        <x:v>14</x:v>
      </x:c>
      <x:c r="BC15" s="6" t="str">
        <x:v>8</x:v>
      </x:c>
      <x:c r="BD15" s="6" t="str">
        <x:v>8</x:v>
      </x:c>
      <x:c r="BE15" s="6" t="str">
        <x:v>4</x:v>
      </x:c>
      <x:c r="BF15" s="6" t="str">
        <x:v>1</x:v>
      </x:c>
      <x:c r="BG15" s="6" t="str">
        <x:v>0</x:v>
      </x:c>
      <x:c r="BH15" s="6" t="str">
        <x:v>0</x:v>
      </x:c>
      <x:c r="BI15" s="6" t="str">
        <x:v>2</x:v>
      </x:c>
      <x:c r="BJ15" s="6" t="str">
        <x:v>1</x:v>
      </x:c>
      <x:c r="BK15" s="6" t="str">
        <x:v>0</x:v>
      </x:c>
      <x:c r="BL15" s="6" t="str">
        <x:v>0</x:v>
      </x:c>
      <x:c r="BM15" s="6" t="str">
        <x:v>0</x:v>
      </x:c>
      <x:c r="BN15" s="6" t="str">
        <x:v>8</x:v>
      </x:c>
      <x:c r="BO15" s="6" t="str">
        <x:v>0.0</x:v>
      </x:c>
      <x:c r="BP15" s="6" t="str">
        <x:v>8</x:v>
      </x:c>
      <x:c r="BQ15" s="6" t="str">
        <x:v>0.0</x:v>
      </x:c>
      <x:c r="BR15" s="6" t="str">
        <x:v>8</x:v>
      </x:c>
      <x:c r="BS15" s="6" t="str">
        <x:v>13.0</x:v>
      </x:c>
      <x:c r="BT15" s="6" t="str">
        <x:v>8</x:v>
      </x:c>
      <x:c r="BU15" s="6" t="str">
        <x:v>161.0</x:v>
      </x:c>
      <x:c r="BV15" s="6" t="str">
        <x:v>4</x:v>
      </x:c>
      <x:c r="BW15" s="9" t="str">
        <x:v>operational_snapshot_annual_totals_may_differ</x:v>
      </x:c>
      <x:c r="BX15" s="9" t="str">
        <x:v>official_live_dashboard_snapshot_subject_to_revision</x:v>
      </x:c>
      <x:c r="BY15" s="9" t="str">
        <x:v>https://tbdashboard.sitb.id/ss_data_tbc03so_2025_provinsi_bulanan_list.php</x:v>
      </x:c>
      <x:c r="BZ15" s="6" t="n">
        <x:v>46246.610671296294</x:v>
      </x:c>
    </x:row>
    <x:row r="16" ht="18" customHeight="1">
      <x:c r="A16" s="6" t="str">
        <x:v>11</x:v>
      </x:c>
      <x:c r="B16" s="6" t="str">
        <x:v>ACEH</x:v>
      </x:c>
      <x:c r="C16" s="6" t="str">
        <x:v>2025</x:v>
      </x:c>
      <x:c r="D16" s="6" t="str">
        <x:v>3</x:v>
      </x:c>
      <x:c r="E16" s="6" t="str">
        <x:v>2025-03</x:v>
      </x:c>
      <x:c r="F16" s="6" t="str">
        <x:v>871</x:v>
      </x:c>
      <x:c r="G16" s="6" t="str">
        <x:v>122</x:v>
      </x:c>
      <x:c r="H16" s="6" t="str">
        <x:v>469</x:v>
      </x:c>
      <x:c r="I16" s="6" t="str">
        <x:v>115</x:v>
      </x:c>
      <x:c r="J16" s="6" t="str">
        <x:v>34</x:v>
      </x:c>
      <x:c r="K16" s="6" t="str">
        <x:v>0</x:v>
      </x:c>
      <x:c r="L16" s="6" t="str">
        <x:v>0</x:v>
      </x:c>
      <x:c r="M16" s="6" t="str">
        <x:v>131</x:v>
      </x:c>
      <x:c r="N16" s="6" t="str">
        <x:v>871</x:v>
      </x:c>
      <x:c r="O16" s="6" t="str">
        <x:v>0</x:v>
      </x:c>
      <x:c r="P16" s="10" t="n">
        <x:f>F16-M16</x:f>
        <x:v>740</x:v>
      </x:c>
      <x:c r="Q16" s="11" t="n">
        <x:f>IFERROR(M16/F16,"")</x:f>
        <x:v>0.15040183696900114</x:v>
      </x:c>
      <x:c r="R16" s="10" t="n">
        <x:f>G16+H16</x:f>
        <x:v>591</x:v>
      </x:c>
      <x:c r="S16" s="11" t="n">
        <x:f>IFERROR(R16/F16,"")</x:f>
        <x:v>0.6785304247990815</x:v>
      </x:c>
      <x:c r="T16" s="11" t="n">
        <x:f>IFERROR(R16/P16,"")</x:f>
        <x:v>0.7986486486486486</x:v>
      </x:c>
      <x:c r="U16" s="10" t="n">
        <x:f>I16+J16+K16</x:f>
        <x:v>149</x:v>
      </x:c>
      <x:c r="V16" s="11" t="n">
        <x:f>IFERROR(U16/P16,"")</x:f>
        <x:v>0.20135135135135135</x:v>
      </x:c>
      <x:c r="W16" s="9" t="str">
        <x:v>provisional_gt_5pct_pending</x:v>
      </x:c>
      <x:c r="X16" s="12" t="n">
        <x:f>IFERROR(F16/Z16*100000,"")</x:f>
        <x:v>15.481692143618913</x:v>
      </x:c>
      <x:c r="Y16" s="13" t="n">
        <x:f>LN(Z16)</x:f>
        <x:v>15.54290926803194</x:v>
      </x:c>
      <x:c r="Z16" s="6" t="str">
        <x:v>5626000</x:v>
      </x:c>
      <x:c r="AA16" s="6" t="str">
        <x:v>99.0</x:v>
      </x:c>
      <x:c r="AB16" s="9" t="str">
        <x:v>2025-06-30</x:v>
      </x:c>
      <x:c r="AC16" s="8" t="str">
        <x:v>82.2</x:v>
      </x:c>
      <x:c r="AD16" s="9" t="str">
        <x:v>2025 (Susenas)</x:v>
      </x:c>
      <x:c r="AE16" s="8" t="str">
        <x:v>12.33</x:v>
      </x:c>
      <x:c r="AF16" s="9" t="str">
        <x:v>Maret 2025 (Susenas)</x:v>
      </x:c>
      <x:c r="AG16" s="6" t="str">
        <x:v>24.574023094596804</x:v>
      </x:c>
      <x:c r="AH16" s="8" t="str">
        <x:v>86.64923786339692</x:v>
      </x:c>
      <x:c r="AI16" s="6" t="str">
        <x:v>414.82067298016096</x:v>
      </x:c>
      <x:c r="AJ16" s="6" t="str">
        <x:v>0.4973612034974728</x:v>
      </x:c>
      <x:c r="AK16" s="8" t="str">
        <x:v>1.044796444407713</x:v>
      </x:c>
      <x:c r="AL16" s="6" t="str">
        <x:v>1.5002911160741423</x:v>
      </x:c>
      <x:c r="AM16" s="6" t="str">
        <x:v>1.0420105826345154</x:v>
      </x:c>
      <x:c r="AN16" s="6" t="str">
        <x:v>1.1956993810387897</x:v>
      </x:c>
      <x:c r="AO16" s="6" t="str">
        <x:v>1.5054728617245274</x:v>
      </x:c>
      <x:c r="AP16" s="8" t="str">
        <x:v>0.981016113757757</x:v>
      </x:c>
      <x:c r="AQ16" s="6" t="str">
        <x:v>0.1587255608787971</x:v>
      </x:c>
      <x:c r="AR16" s="6" t="str">
        <x:v>1.715478020611364</x:v>
      </x:c>
      <x:c r="AS16" s="6" t="str">
        <x:v>0.9517398984159724</x:v>
      </x:c>
      <x:c r="AT16" s="6" t="str">
        <x:v>242.98405470873507</x:v>
      </x:c>
      <x:c r="AU16" s="8" t="str">
        <x:v>3.489113531970934</x:v>
      </x:c>
      <x:c r="AV16" s="6" t="str">
        <x:v>-0.2836477797298306</x:v>
      </x:c>
      <x:c r="AW16" s="6" t="str">
        <x:v>1.4466049839924056</x:v>
      </x:c>
      <x:c r="AX16" s="6" t="str">
        <x:v>1.55069024541117</x:v>
      </x:c>
      <x:c r="AY16" s="6" t="str">
        <x:v>1</x:v>
      </x:c>
      <x:c r="AZ16" s="6" t="str">
        <x:v>1</x:v>
      </x:c>
      <x:c r="BA16" s="9" t="str">
        <x:v>grid_cells_within_BIG_polygon</x:v>
      </x:c>
      <x:c r="BB16" s="6" t="str">
        <x:v>14</x:v>
      </x:c>
      <x:c r="BC16" s="6" t="str">
        <x:v>10</x:v>
      </x:c>
      <x:c r="BD16" s="6" t="str">
        <x:v>10</x:v>
      </x:c>
      <x:c r="BE16" s="6" t="str">
        <x:v>6</x:v>
      </x:c>
      <x:c r="BF16" s="6" t="str">
        <x:v>0</x:v>
      </x:c>
      <x:c r="BG16" s="6" t="str">
        <x:v>1</x:v>
      </x:c>
      <x:c r="BH16" s="6" t="str">
        <x:v>0</x:v>
      </x:c>
      <x:c r="BI16" s="6" t="str">
        <x:v>3</x:v>
      </x:c>
      <x:c r="BJ16" s="6" t="str">
        <x:v>0</x:v>
      </x:c>
      <x:c r="BK16" s="6" t="str">
        <x:v>0</x:v>
      </x:c>
      <x:c r="BL16" s="6" t="str">
        <x:v>0</x:v>
      </x:c>
      <x:c r="BM16" s="6" t="str">
        <x:v>0</x:v>
      </x:c>
      <x:c r="BN16" s="6" t="str">
        <x:v>10</x:v>
      </x:c>
      <x:c r="BO16" s="6" t="str">
        <x:v>1.0</x:v>
      </x:c>
      <x:c r="BP16" s="6" t="str">
        <x:v>10</x:v>
      </x:c>
      <x:c r="BQ16" s="6" t="str">
        <x:v>0.0</x:v>
      </x:c>
      <x:c r="BR16" s="6" t="str">
        <x:v>10</x:v>
      </x:c>
      <x:c r="BS16" s="6" t="str">
        <x:v>8.0</x:v>
      </x:c>
      <x:c r="BT16" s="6" t="str">
        <x:v>10</x:v>
      </x:c>
      <x:c r="BU16" s="6" t="str">
        <x:v>1309.0</x:v>
      </x:c>
      <x:c r="BV16" s="6" t="str">
        <x:v>5</x:v>
      </x:c>
      <x:c r="BW16" s="9" t="str">
        <x:v>operational_snapshot_annual_totals_may_differ</x:v>
      </x:c>
      <x:c r="BX16" s="9" t="str">
        <x:v>official_live_dashboard_snapshot_subject_to_revision</x:v>
      </x:c>
      <x:c r="BY16" s="9" t="str">
        <x:v>https://tbdashboard.sitb.id/ss_data_tbc03so_2025_provinsi_bulanan_list.php</x:v>
      </x:c>
      <x:c r="BZ16" s="6" t="n">
        <x:v>46246.610671296294</x:v>
      </x:c>
    </x:row>
    <x:row r="17" ht="18" customHeight="1">
      <x:c r="A17" s="6" t="str">
        <x:v>11</x:v>
      </x:c>
      <x:c r="B17" s="6" t="str">
        <x:v>ACEH</x:v>
      </x:c>
      <x:c r="C17" s="6" t="str">
        <x:v>2025</x:v>
      </x:c>
      <x:c r="D17" s="6" t="str">
        <x:v>4</x:v>
      </x:c>
      <x:c r="E17" s="6" t="str">
        <x:v>2025-04</x:v>
      </x:c>
      <x:c r="F17" s="6" t="str">
        <x:v>988</x:v>
      </x:c>
      <x:c r="G17" s="6" t="str">
        <x:v>122</x:v>
      </x:c>
      <x:c r="H17" s="6" t="str">
        <x:v>548</x:v>
      </x:c>
      <x:c r="I17" s="6" t="str">
        <x:v>122</x:v>
      </x:c>
      <x:c r="J17" s="6" t="str">
        <x:v>43</x:v>
      </x:c>
      <x:c r="K17" s="6" t="str">
        <x:v>3</x:v>
      </x:c>
      <x:c r="L17" s="6" t="str">
        <x:v>0</x:v>
      </x:c>
      <x:c r="M17" s="6" t="str">
        <x:v>150</x:v>
      </x:c>
      <x:c r="N17" s="6" t="str">
        <x:v>988</x:v>
      </x:c>
      <x:c r="O17" s="6" t="str">
        <x:v>0</x:v>
      </x:c>
      <x:c r="P17" s="10" t="n">
        <x:f>F17-M17</x:f>
        <x:v>838</x:v>
      </x:c>
      <x:c r="Q17" s="11" t="n">
        <x:f>IFERROR(M17/F17,"")</x:f>
        <x:v>0.15182186234817813</x:v>
      </x:c>
      <x:c r="R17" s="10" t="n">
        <x:f>G17+H17</x:f>
        <x:v>670</x:v>
      </x:c>
      <x:c r="S17" s="11" t="n">
        <x:f>IFERROR(R17/F17,"")</x:f>
        <x:v>0.6781376518218624</x:v>
      </x:c>
      <x:c r="T17" s="11" t="n">
        <x:f>IFERROR(R17/P17,"")</x:f>
        <x:v>0.7995226730310262</x:v>
      </x:c>
      <x:c r="U17" s="10" t="n">
        <x:f>I17+J17+K17</x:f>
        <x:v>168</x:v>
      </x:c>
      <x:c r="V17" s="11" t="n">
        <x:f>IFERROR(U17/P17,"")</x:f>
        <x:v>0.20047732696897375</x:v>
      </x:c>
      <x:c r="W17" s="9" t="str">
        <x:v>provisional_gt_5pct_pending</x:v>
      </x:c>
      <x:c r="X17" s="12" t="n">
        <x:f>IFERROR(F17/Z17*100000,"")</x:f>
        <x:v>17.561322431567724</x:v>
      </x:c>
      <x:c r="Y17" s="13" t="n">
        <x:f>LN(Z17)</x:f>
        <x:v>15.54290926803194</x:v>
      </x:c>
      <x:c r="Z17" s="6" t="str">
        <x:v>5626000</x:v>
      </x:c>
      <x:c r="AA17" s="6" t="str">
        <x:v>99.0</x:v>
      </x:c>
      <x:c r="AB17" s="9" t="str">
        <x:v>2025-06-30</x:v>
      </x:c>
      <x:c r="AC17" s="8" t="str">
        <x:v>82.2</x:v>
      </x:c>
      <x:c r="AD17" s="9" t="str">
        <x:v>2025 (Susenas)</x:v>
      </x:c>
      <x:c r="AE17" s="8" t="str">
        <x:v>12.33</x:v>
      </x:c>
      <x:c r="AF17" s="9" t="str">
        <x:v>Maret 2025 (Susenas)</x:v>
      </x:c>
      <x:c r="AG17" s="6" t="str">
        <x:v>24.367598568591696</x:v>
      </x:c>
      <x:c r="AH17" s="8" t="str">
        <x:v>87.17091019933287</x:v>
      </x:c>
      <x:c r="AI17" s="6" t="str">
        <x:v>230.4300747153254</x:v>
      </x:c>
      <x:c r="AJ17" s="6" t="str">
        <x:v>0.0713303490977672</x:v>
      </x:c>
      <x:c r="AK17" s="8" t="str">
        <x:v>0.1552572546332044</x:v>
      </x:c>
      <x:c r="AL17" s="6" t="str">
        <x:v>1.044796444407713</x:v>
      </x:c>
      <x:c r="AM17" s="6" t="str">
        <x:v>1.5002911160741423</x:v>
      </x:c>
      <x:c r="AN17" s="6" t="str">
        <x:v>0.9001149383716859</x:v>
      </x:c>
      <x:c r="AO17" s="6" t="str">
        <x:v>0.7921593239357065</x:v>
      </x:c>
      <x:c r="AP17" s="8" t="str">
        <x:v>0.6374925571592552</x:v>
      </x:c>
      <x:c r="AQ17" s="6" t="str">
        <x:v>0.981016113757757</x:v>
      </x:c>
      <x:c r="AR17" s="6" t="str">
        <x:v>0.1587255608787971</x:v>
      </x:c>
      <x:c r="AS17" s="6" t="str">
        <x:v>0.5924114105986028</x:v>
      </x:c>
      <x:c r="AT17" s="6" t="str">
        <x:v>29.33556581887896</x:v>
      </x:c>
      <x:c r="AU17" s="8" t="str">
        <x:v>0.4403733621028253</x:v>
      </x:c>
      <x:c r="AV17" s="6" t="str">
        <x:v>3.489113531970934</x:v>
      </x:c>
      <x:c r="AW17" s="6" t="str">
        <x:v>-0.2836477797298306</x:v>
      </x:c>
      <x:c r="AX17" s="6" t="str">
        <x:v>1.2152797047813098</x:v>
      </x:c>
      <x:c r="AY17" s="6" t="str">
        <x:v>0</x:v>
      </x:c>
      <x:c r="AZ17" s="6" t="str">
        <x:v>0</x:v>
      </x:c>
      <x:c r="BA17" s="9" t="str">
        <x:v>grid_cells_within_BIG_polygon</x:v>
      </x:c>
      <x:c r="BB17" s="6" t="str">
        <x:v>14</x:v>
      </x:c>
      <x:c r="BC17" s="6" t="str">
        <x:v>2</x:v>
      </x:c>
      <x:c r="BD17" s="6" t="str">
        <x:v>2</x:v>
      </x:c>
      <x:c r="BE17" s="6" t="str">
        <x:v>1</x:v>
      </x:c>
      <x:c r="BF17" s="6" t="str">
        <x:v>0</x:v>
      </x:c>
      <x:c r="BG17" s="6" t="str">
        <x:v>0</x:v>
      </x:c>
      <x:c r="BH17" s="6" t="str">
        <x:v>0</x:v>
      </x:c>
      <x:c r="BI17" s="6" t="str">
        <x:v>1</x:v>
      </x:c>
      <x:c r="BJ17" s="6" t="str">
        <x:v>0</x:v>
      </x:c>
      <x:c r="BK17" s="6" t="str">
        <x:v>0</x:v>
      </x:c>
      <x:c r="BL17" s="6" t="str">
        <x:v>0</x:v>
      </x:c>
      <x:c r="BM17" s="6" t="str">
        <x:v>0</x:v>
      </x:c>
      <x:c r="BN17" s="6" t="str">
        <x:v>2</x:v>
      </x:c>
      <x:c r="BO17" s="6" t="str">
        <x:v>0.0</x:v>
      </x:c>
      <x:c r="BP17" s="6" t="str">
        <x:v>2</x:v>
      </x:c>
      <x:c r="BQ17" s="6" t="str">
        <x:v>0.0</x:v>
      </x:c>
      <x:c r="BR17" s="6" t="str">
        <x:v>2</x:v>
      </x:c>
      <x:c r="BS17" s="6" t="str">
        <x:v>0.0</x:v>
      </x:c>
      <x:c r="BT17" s="6" t="str">
        <x:v>2</x:v>
      </x:c>
      <x:c r="BU17" s="6" t="str">
        <x:v>167.0</x:v>
      </x:c>
      <x:c r="BV17" s="6" t="str">
        <x:v>1</x:v>
      </x:c>
      <x:c r="BW17" s="9" t="str">
        <x:v>operational_snapshot_annual_totals_may_differ</x:v>
      </x:c>
      <x:c r="BX17" s="9" t="str">
        <x:v>official_live_dashboard_snapshot_subject_to_revision</x:v>
      </x:c>
      <x:c r="BY17" s="9" t="str">
        <x:v>https://tbdashboard.sitb.id/ss_data_tbc03so_2025_provinsi_bulanan_list.php</x:v>
      </x:c>
      <x:c r="BZ17" s="6" t="n">
        <x:v>46246.610671296294</x:v>
      </x:c>
    </x:row>
    <x:row r="18" ht="18" customHeight="1">
      <x:c r="A18" s="6" t="str">
        <x:v>11</x:v>
      </x:c>
      <x:c r="B18" s="6" t="str">
        <x:v>ACEH</x:v>
      </x:c>
      <x:c r="C18" s="6" t="str">
        <x:v>2025</x:v>
      </x:c>
      <x:c r="D18" s="6" t="str">
        <x:v>5</x:v>
      </x:c>
      <x:c r="E18" s="6" t="str">
        <x:v>2025-05</x:v>
      </x:c>
      <x:c r="F18" s="6" t="str">
        <x:v>1059</x:v>
      </x:c>
      <x:c r="G18" s="6" t="str">
        <x:v>122</x:v>
      </x:c>
      <x:c r="H18" s="6" t="str">
        <x:v>604</x:v>
      </x:c>
      <x:c r="I18" s="6" t="str">
        <x:v>120</x:v>
      </x:c>
      <x:c r="J18" s="6" t="str">
        <x:v>39</x:v>
      </x:c>
      <x:c r="K18" s="6" t="str">
        <x:v>1</x:v>
      </x:c>
      <x:c r="L18" s="6" t="str">
        <x:v>1</x:v>
      </x:c>
      <x:c r="M18" s="6" t="str">
        <x:v>172</x:v>
      </x:c>
      <x:c r="N18" s="6" t="str">
        <x:v>1059</x:v>
      </x:c>
      <x:c r="O18" s="6" t="str">
        <x:v>0</x:v>
      </x:c>
      <x:c r="P18" s="10" t="n">
        <x:f>F18-M18</x:f>
        <x:v>887</x:v>
      </x:c>
      <x:c r="Q18" s="11" t="n">
        <x:f>IFERROR(M18/F18,"")</x:f>
        <x:v>0.16241737488196412</x:v>
      </x:c>
      <x:c r="R18" s="10" t="n">
        <x:f>G18+H18</x:f>
        <x:v>726</x:v>
      </x:c>
      <x:c r="S18" s="11" t="n">
        <x:f>IFERROR(R18/F18,"")</x:f>
        <x:v>0.6855524079320113</x:v>
      </x:c>
      <x:c r="T18" s="11" t="n">
        <x:f>IFERROR(R18/P18,"")</x:f>
        <x:v>0.818489289740699</x:v>
      </x:c>
      <x:c r="U18" s="10" t="n">
        <x:f>I18+J18+K18</x:f>
        <x:v>160</x:v>
      </x:c>
      <x:c r="V18" s="11" t="n">
        <x:f>IFERROR(U18/P18,"")</x:f>
        <x:v>0.18038331454340473</x:v>
      </x:c>
      <x:c r="W18" s="9" t="str">
        <x:v>provisional_gt_5pct_pending</x:v>
      </x:c>
      <x:c r="X18" s="12" t="n">
        <x:f>IFERROR(F18/Z18*100000,"")</x:f>
        <x:v>18.82332029861358</x:v>
      </x:c>
      <x:c r="Y18" s="13" t="n">
        <x:f>LN(Z18)</x:f>
        <x:v>15.54290926803194</x:v>
      </x:c>
      <x:c r="Z18" s="6" t="str">
        <x:v>5626000</x:v>
      </x:c>
      <x:c r="AA18" s="6" t="str">
        <x:v>99.0</x:v>
      </x:c>
      <x:c r="AB18" s="9" t="str">
        <x:v>2025-06-30</x:v>
      </x:c>
      <x:c r="AC18" s="8" t="str">
        <x:v>82.2</x:v>
      </x:c>
      <x:c r="AD18" s="9" t="str">
        <x:v>2025 (Susenas)</x:v>
      </x:c>
      <x:c r="AE18" s="8" t="str">
        <x:v>12.33</x:v>
      </x:c>
      <x:c r="AF18" s="9" t="str">
        <x:v>Maret 2025 (Susenas)</x:v>
      </x:c>
      <x:c r="AG18" s="6" t="str">
        <x:v>24.61615651790209</x:v>
      </x:c>
      <x:c r="AH18" s="8" t="str">
        <x:v>85.68356244844814</x:v>
      </x:c>
      <x:c r="AI18" s="6" t="str">
        <x:v>135.40307764066532</x:v>
      </x:c>
      <x:c r="AJ18" s="6" t="str">
        <x:v>0.3007762094616772</x:v>
      </x:c>
      <x:c r="AK18" s="8" t="str">
        <x:v>0.9322604765775534</x:v>
      </x:c>
      <x:c r="AL18" s="6" t="str">
        <x:v>0.1552572546332044</x:v>
      </x:c>
      <x:c r="AM18" s="6" t="str">
        <x:v>1.044796444407713</x:v>
      </x:c>
      <x:c r="AN18" s="6" t="str">
        <x:v>0.7107713918728229</x:v>
      </x:c>
      <x:c r="AO18" s="6" t="str">
        <x:v>-0.6417577214364911</x:v>
      </x:c>
      <x:c r="AP18" s="8" t="str">
        <x:v>-0.8623611099078137</x:v>
      </x:c>
      <x:c r="AQ18" s="6" t="str">
        <x:v>0.6374925571592552</x:v>
      </x:c>
      <x:c r="AR18" s="6" t="str">
        <x:v>0.981016113757757</x:v>
      </x:c>
      <x:c r="AS18" s="6" t="str">
        <x:v>0.2520491870030659</x:v>
      </x:c>
      <x:c r="AT18" s="6" t="str">
        <x:v>-62.20762447423445</x:v>
      </x:c>
      <x:c r="AU18" s="8" t="str">
        <x:v>-0.7199712450330059</x:v>
      </x:c>
      <x:c r="AV18" s="6" t="str">
        <x:v>0.4403733621028253</x:v>
      </x:c>
      <x:c r="AW18" s="6" t="str">
        <x:v>3.489113531970934</x:v>
      </x:c>
      <x:c r="AX18" s="6" t="str">
        <x:v>1.0698385496802514</x:v>
      </x:c>
      <x:c r="AY18" s="6" t="str">
        <x:v>0</x:v>
      </x:c>
      <x:c r="AZ18" s="6" t="str">
        <x:v>0</x:v>
      </x:c>
      <x:c r="BA18" s="9" t="str">
        <x:v>grid_cells_within_BIG_polygon</x:v>
      </x:c>
      <x:c r="BB18" s="6" t="str">
        <x:v>14</x:v>
      </x:c>
      <x:c r="BC18" s="6" t="str">
        <x:v>8</x:v>
      </x:c>
      <x:c r="BD18" s="6" t="str">
        <x:v>6</x:v>
      </x:c>
      <x:c r="BE18" s="6" t="str">
        <x:v>1</x:v>
      </x:c>
      <x:c r="BF18" s="6" t="str">
        <x:v>0</x:v>
      </x:c>
      <x:c r="BG18" s="6" t="str">
        <x:v>4</x:v>
      </x:c>
      <x:c r="BH18" s="6" t="str">
        <x:v>0</x:v>
      </x:c>
      <x:c r="BI18" s="6" t="str">
        <x:v>1</x:v>
      </x:c>
      <x:c r="BJ18" s="6" t="str">
        <x:v>0</x:v>
      </x:c>
      <x:c r="BK18" s="6" t="str">
        <x:v>2</x:v>
      </x:c>
      <x:c r="BL18" s="6" t="str">
        <x:v>0</x:v>
      </x:c>
      <x:c r="BM18" s="6" t="str">
        <x:v>0</x:v>
      </x:c>
      <x:c r="BN18" s="6" t="str">
        <x:v>8</x:v>
      </x:c>
      <x:c r="BO18" s="6" t="str">
        <x:v>0.0</x:v>
      </x:c>
      <x:c r="BP18" s="6" t="str">
        <x:v>8</x:v>
      </x:c>
      <x:c r="BQ18" s="6" t="str">
        <x:v>0.0</x:v>
      </x:c>
      <x:c r="BR18" s="6" t="str">
        <x:v>8</x:v>
      </x:c>
      <x:c r="BS18" s="6" t="str">
        <x:v>86.0</x:v>
      </x:c>
      <x:c r="BT18" s="6" t="str">
        <x:v>8</x:v>
      </x:c>
      <x:c r="BU18" s="6" t="str">
        <x:v>50.0</x:v>
      </x:c>
      <x:c r="BV18" s="6" t="str">
        <x:v>1</x:v>
      </x:c>
      <x:c r="BW18" s="9" t="str">
        <x:v>operational_snapshot_annual_totals_may_differ</x:v>
      </x:c>
      <x:c r="BX18" s="9" t="str">
        <x:v>official_live_dashboard_snapshot_subject_to_revision</x:v>
      </x:c>
      <x:c r="BY18" s="9" t="str">
        <x:v>https://tbdashboard.sitb.id/ss_data_tbc03so_2025_provinsi_bulanan_list.php</x:v>
      </x:c>
      <x:c r="BZ18" s="6" t="n">
        <x:v>46246.610671296294</x:v>
      </x:c>
    </x:row>
    <x:row r="19" ht="18" customHeight="1">
      <x:c r="A19" s="6" t="str">
        <x:v>11</x:v>
      </x:c>
      <x:c r="B19" s="6" t="str">
        <x:v>ACEH</x:v>
      </x:c>
      <x:c r="C19" s="6" t="str">
        <x:v>2025</x:v>
      </x:c>
      <x:c r="D19" s="6" t="str">
        <x:v>6</x:v>
      </x:c>
      <x:c r="E19" s="6" t="str">
        <x:v>2025-06</x:v>
      </x:c>
      <x:c r="F19" s="6" t="str">
        <x:v>906</x:v>
      </x:c>
      <x:c r="G19" s="6" t="str">
        <x:v>102</x:v>
      </x:c>
      <x:c r="H19" s="6" t="str">
        <x:v>509</x:v>
      </x:c>
      <x:c r="I19" s="6" t="str">
        <x:v>69</x:v>
      </x:c>
      <x:c r="J19" s="6" t="str">
        <x:v>47</x:v>
      </x:c>
      <x:c r="K19" s="6" t="str">
        <x:v>2</x:v>
      </x:c>
      <x:c r="L19" s="6" t="str">
        <x:v>1</x:v>
      </x:c>
      <x:c r="M19" s="6" t="str">
        <x:v>176</x:v>
      </x:c>
      <x:c r="N19" s="6" t="str">
        <x:v>906</x:v>
      </x:c>
      <x:c r="O19" s="6" t="str">
        <x:v>0</x:v>
      </x:c>
      <x:c r="P19" s="10" t="n">
        <x:f>F19-M19</x:f>
        <x:v>730</x:v>
      </x:c>
      <x:c r="Q19" s="11" t="n">
        <x:f>IFERROR(M19/F19,"")</x:f>
        <x:v>0.19426048565121412</x:v>
      </x:c>
      <x:c r="R19" s="10" t="n">
        <x:f>G19+H19</x:f>
        <x:v>611</x:v>
      </x:c>
      <x:c r="S19" s="11" t="n">
        <x:f>IFERROR(R19/F19,"")</x:f>
        <x:v>0.67439293598234</x:v>
      </x:c>
      <x:c r="T19" s="11" t="n">
        <x:f>IFERROR(R19/P19,"")</x:f>
        <x:v>0.836986301369863</x:v>
      </x:c>
      <x:c r="U19" s="10" t="n">
        <x:f>I19+J19+K19</x:f>
        <x:v>118</x:v>
      </x:c>
      <x:c r="V19" s="11" t="n">
        <x:f>IFERROR(U19/P19,"")</x:f>
        <x:v>0.16164383561643836</x:v>
      </x:c>
      <x:c r="W19" s="9" t="str">
        <x:v>provisional_gt_5pct_pending</x:v>
      </x:c>
      <x:c r="X19" s="12" t="n">
        <x:f>IFERROR(F19/Z19*100000,"")</x:f>
        <x:v>16.103803768218985</x:v>
      </x:c>
      <x:c r="Y19" s="13" t="n">
        <x:f>LN(Z19)</x:f>
        <x:v>15.54290926803194</x:v>
      </x:c>
      <x:c r="Z19" s="6" t="str">
        <x:v>5626000</x:v>
      </x:c>
      <x:c r="AA19" s="6" t="str">
        <x:v>99.0</x:v>
      </x:c>
      <x:c r="AB19" s="9" t="str">
        <x:v>2025-06-30</x:v>
      </x:c>
      <x:c r="AC19" s="8" t="str">
        <x:v>82.2</x:v>
      </x:c>
      <x:c r="AD19" s="9" t="str">
        <x:v>2025 (Susenas)</x:v>
      </x:c>
      <x:c r="AE19" s="8" t="str">
        <x:v>12.33</x:v>
      </x:c>
      <x:c r="AF19" s="9" t="str">
        <x:v>Maret 2025 (Susenas)</x:v>
      </x:c>
      <x:c r="AG19" s="6" t="str">
        <x:v>24.06332870243422</x:v>
      </x:c>
      <x:c r="AH19" s="8" t="str">
        <x:v>83.7348008012885</x:v>
      </x:c>
      <x:c r="AI19" s="6" t="str">
        <x:v>128.51153096529384</x:v>
      </x:c>
      <x:c r="AJ19" s="6" t="str">
        <x:v>0.1780807285885188</x:v>
      </x:c>
      <x:c r="AK19" s="8" t="str">
        <x:v>0.7221896049945408</x:v>
      </x:c>
      <x:c r="AL19" s="6" t="str">
        <x:v>0.9322604765775534</x:v>
      </x:c>
      <x:c r="AM19" s="6" t="str">
        <x:v>0.1552572546332044</x:v>
      </x:c>
      <x:c r="AN19" s="6" t="str">
        <x:v>0.6032357787350989</x:v>
      </x:c>
      <x:c r="AO19" s="6" t="str">
        <x:v>-1.851509861050076</x:v>
      </x:c>
      <x:c r="AP19" s="8" t="str">
        <x:v>-1.4863853064526231</x:v>
      </x:c>
      <x:c r="AQ19" s="6" t="str">
        <x:v>-0.8623611099078137</x:v>
      </x:c>
      <x:c r="AR19" s="6" t="str">
        <x:v>0.6374925571592552</x:v>
      </x:c>
      <x:c r="AS19" s="6" t="str">
        <x:v>-0.5704179530670609</x:v>
      </x:c>
      <x:c r="AT19" s="6" t="str">
        <x:v>-20.395453777068724</x:v>
      </x:c>
      <x:c r="AU19" s="8" t="str">
        <x:v>-0.3802847611937649</x:v>
      </x:c>
      <x:c r="AV19" s="6" t="str">
        <x:v>-0.7199712450330059</x:v>
      </x:c>
      <x:c r="AW19" s="6" t="str">
        <x:v>0.4403733621028253</x:v>
      </x:c>
      <x:c r="AX19" s="6" t="str">
        <x:v>-0.2199608813746482</x:v>
      </x:c>
      <x:c r="AY19" s="6" t="str">
        <x:v>0</x:v>
      </x:c>
      <x:c r="AZ19" s="6" t="str">
        <x:v>0</x:v>
      </x:c>
      <x:c r="BA19" s="9" t="str">
        <x:v>grid_cells_within_BIG_polygon</x:v>
      </x:c>
      <x:c r="BB19" s="6" t="str">
        <x:v>14</x:v>
      </x:c>
      <x:c r="BC19" s="6" t="str">
        <x:v>21</x:v>
      </x:c>
      <x:c r="BD19" s="6" t="str">
        <x:v>21</x:v>
      </x:c>
      <x:c r="BE19" s="6" t="str">
        <x:v>0</x:v>
      </x:c>
      <x:c r="BF19" s="6" t="str">
        <x:v>0</x:v>
      </x:c>
      <x:c r="BG19" s="6" t="str">
        <x:v>6</x:v>
      </x:c>
      <x:c r="BH19" s="6" t="str">
        <x:v>0</x:v>
      </x:c>
      <x:c r="BI19" s="6" t="str">
        <x:v>15</x:v>
      </x:c>
      <x:c r="BJ19" s="6" t="str">
        <x:v>0</x:v>
      </x:c>
      <x:c r="BK19" s="6" t="str">
        <x:v>0</x:v>
      </x:c>
      <x:c r="BL19" s="6" t="str">
        <x:v>0</x:v>
      </x:c>
      <x:c r="BM19" s="6" t="str">
        <x:v>0</x:v>
      </x:c>
      <x:c r="BN19" s="6" t="str">
        <x:v>21</x:v>
      </x:c>
      <x:c r="BO19" s="6" t="str">
        <x:v>0.0</x:v>
      </x:c>
      <x:c r="BP19" s="6" t="str">
        <x:v>1</x:v>
      </x:c>
      <x:c r="BQ19" s="6" t="str">
        <x:v>0.0</x:v>
      </x:c>
      <x:c r="BR19" s="6" t="str">
        <x:v>1</x:v>
      </x:c>
      <x:c r="BS19" s="6" t="str">
        <x:v>121.0</x:v>
      </x:c>
      <x:c r="BT19" s="6" t="str">
        <x:v>21</x:v>
      </x:c>
      <x:c r="BU19" s="6" t="str"/>
      <x:c r="BV19" s="6" t="str">
        <x:v>0</x:v>
      </x:c>
      <x:c r="BW19" s="9" t="str">
        <x:v>operational_snapshot_annual_totals_may_differ</x:v>
      </x:c>
      <x:c r="BX19" s="9" t="str">
        <x:v>official_live_dashboard_snapshot_subject_to_revision</x:v>
      </x:c>
      <x:c r="BY19" s="9" t="str">
        <x:v>https://tbdashboard.sitb.id/ss_data_tbc03so_2025_provinsi_bulanan_list.php</x:v>
      </x:c>
      <x:c r="BZ19" s="6" t="n">
        <x:v>46246.610671296294</x:v>
      </x:c>
    </x:row>
    <x:row r="20" ht="18" customHeight="1">
      <x:c r="A20" s="6" t="str">
        <x:v>11</x:v>
      </x:c>
      <x:c r="B20" s="6" t="str">
        <x:v>ACEH</x:v>
      </x:c>
      <x:c r="C20" s="6" t="str">
        <x:v>2025</x:v>
      </x:c>
      <x:c r="D20" s="6" t="str">
        <x:v>7</x:v>
      </x:c>
      <x:c r="E20" s="6" t="str">
        <x:v>2025-07</x:v>
      </x:c>
      <x:c r="F20" s="6" t="str">
        <x:v>1094</x:v>
      </x:c>
      <x:c r="G20" s="6" t="str">
        <x:v>114</x:v>
      </x:c>
      <x:c r="H20" s="6" t="str">
        <x:v>546</x:v>
      </x:c>
      <x:c r="I20" s="6" t="str">
        <x:v>112</x:v>
      </x:c>
      <x:c r="J20" s="6" t="str">
        <x:v>35</x:v>
      </x:c>
      <x:c r="K20" s="6" t="str">
        <x:v>2</x:v>
      </x:c>
      <x:c r="L20" s="6" t="str">
        <x:v>0</x:v>
      </x:c>
      <x:c r="M20" s="6" t="str">
        <x:v>285</x:v>
      </x:c>
      <x:c r="N20" s="6" t="str">
        <x:v>1094</x:v>
      </x:c>
      <x:c r="O20" s="6" t="str">
        <x:v>0</x:v>
      </x:c>
      <x:c r="P20" s="10" t="n">
        <x:f>F20-M20</x:f>
        <x:v>809</x:v>
      </x:c>
      <x:c r="Q20" s="11" t="n">
        <x:f>IFERROR(M20/F20,"")</x:f>
        <x:v>0.26051188299817185</x:v>
      </x:c>
      <x:c r="R20" s="10" t="n">
        <x:f>G20+H20</x:f>
        <x:v>660</x:v>
      </x:c>
      <x:c r="S20" s="11" t="n">
        <x:f>IFERROR(R20/F20,"")</x:f>
        <x:v>0.603290676416819</x:v>
      </x:c>
      <x:c r="T20" s="11" t="n">
        <x:f>IFERROR(R20/P20,"")</x:f>
        <x:v>0.8158220024721878</x:v>
      </x:c>
      <x:c r="U20" s="10" t="n">
        <x:f>I20+J20+K20</x:f>
        <x:v>149</x:v>
      </x:c>
      <x:c r="V20" s="11" t="n">
        <x:f>IFERROR(U20/P20,"")</x:f>
        <x:v>0.1841779975278121</x:v>
      </x:c>
      <x:c r="W20" s="9" t="str">
        <x:v>provisional_gt_5pct_pending</x:v>
      </x:c>
      <x:c r="X20" s="12" t="n">
        <x:f>IFERROR(F20/Z20*100000,"")</x:f>
        <x:v>19.44543192321365</x:v>
      </x:c>
      <x:c r="Y20" s="13" t="n">
        <x:f>LN(Z20)</x:f>
        <x:v>15.54290926803194</x:v>
      </x:c>
      <x:c r="Z20" s="6" t="str">
        <x:v>5626000</x:v>
      </x:c>
      <x:c r="AA20" s="6" t="str">
        <x:v>99.0</x:v>
      </x:c>
      <x:c r="AB20" s="9" t="str">
        <x:v>2025-06-30</x:v>
      </x:c>
      <x:c r="AC20" s="8" t="str">
        <x:v>82.2</x:v>
      </x:c>
      <x:c r="AD20" s="9" t="str">
        <x:v>2025 (Susenas)</x:v>
      </x:c>
      <x:c r="AE20" s="8" t="str">
        <x:v>12.33</x:v>
      </x:c>
      <x:c r="AF20" s="9" t="str">
        <x:v>Maret 2025 (Susenas)</x:v>
      </x:c>
      <x:c r="AG20" s="6" t="str">
        <x:v>24.216792787388176</x:v>
      </x:c>
      <x:c r="AH20" s="8" t="str">
        <x:v>84.00921473398333</x:v>
      </x:c>
      <x:c r="AI20" s="6" t="str">
        <x:v>93.97936128601982</x:v>
      </x:c>
      <x:c r="AJ20" s="6" t="str">
        <x:v>0.6854697186253063</x:v>
      </x:c>
      <x:c r="AK20" s="8" t="str">
        <x:v>2.8331999710880904</x:v>
      </x:c>
      <x:c r="AL20" s="6" t="str">
        <x:v>0.7221896049945408</x:v>
      </x:c>
      <x:c r="AM20" s="6" t="str">
        <x:v>0.9322604765775534</x:v>
      </x:c>
      <x:c r="AN20" s="6" t="str">
        <x:v>1.4958833508867275</x:v>
      </x:c>
      <x:c r="AO20" s="6" t="str">
        <x:v>-1.1826976355246046</x:v>
      </x:c>
      <x:c r="AP20" s="8" t="str">
        <x:v>-0.9065127531944006</x:v>
      </x:c>
      <x:c r="AQ20" s="6" t="str">
        <x:v>-1.4863853064526231</x:v>
      </x:c>
      <x:c r="AR20" s="6" t="str">
        <x:v>-0.8623611099078137</x:v>
      </x:c>
      <x:c r="AS20" s="6" t="str">
        <x:v>-1.0850863898516128</x:v>
      </x:c>
      <x:c r="AT20" s="6" t="str">
        <x:v>-77.59771121658612</x:v>
      </x:c>
      <x:c r="AU20" s="8" t="str">
        <x:v>-1.4142951705020754</x:v>
      </x:c>
      <x:c r="AV20" s="6" t="str">
        <x:v>-0.3802847611937649</x:v>
      </x:c>
      <x:c r="AW20" s="6" t="str">
        <x:v>-0.7199712450330059</x:v>
      </x:c>
      <x:c r="AX20" s="6" t="str">
        <x:v>-0.838183725576282</x:v>
      </x:c>
      <x:c r="AY20" s="6" t="str">
        <x:v>0</x:v>
      </x:c>
      <x:c r="AZ20" s="6" t="str">
        <x:v>1</x:v>
      </x:c>
      <x:c r="BA20" s="9" t="str">
        <x:v>grid_cells_within_BIG_polygon</x:v>
      </x:c>
      <x:c r="BB20" s="6" t="str">
        <x:v>14</x:v>
      </x:c>
      <x:c r="BC20" s="6" t="str">
        <x:v>15</x:v>
      </x:c>
      <x:c r="BD20" s="6" t="str">
        <x:v>15</x:v>
      </x:c>
      <x:c r="BE20" s="6" t="str">
        <x:v>1</x:v>
      </x:c>
      <x:c r="BF20" s="6" t="str">
        <x:v>0</x:v>
      </x:c>
      <x:c r="BG20" s="6" t="str">
        <x:v>6</x:v>
      </x:c>
      <x:c r="BH20" s="6" t="str">
        <x:v>0</x:v>
      </x:c>
      <x:c r="BI20" s="6" t="str">
        <x:v>8</x:v>
      </x:c>
      <x:c r="BJ20" s="6" t="str">
        <x:v>0</x:v>
      </x:c>
      <x:c r="BK20" s="6" t="str">
        <x:v>0</x:v>
      </x:c>
      <x:c r="BL20" s="6" t="str">
        <x:v>0</x:v>
      </x:c>
      <x:c r="BM20" s="6" t="str">
        <x:v>0</x:v>
      </x:c>
      <x:c r="BN20" s="6" t="str">
        <x:v>15</x:v>
      </x:c>
      <x:c r="BO20" s="6" t="str"/>
      <x:c r="BP20" s="6" t="str">
        <x:v>0</x:v>
      </x:c>
      <x:c r="BQ20" s="6" t="str"/>
      <x:c r="BR20" s="6" t="str">
        <x:v>0</x:v>
      </x:c>
      <x:c r="BS20" s="6" t="str">
        <x:v>140.0</x:v>
      </x:c>
      <x:c r="BT20" s="6" t="str">
        <x:v>15</x:v>
      </x:c>
      <x:c r="BU20" s="6" t="str">
        <x:v>15.0</x:v>
      </x:c>
      <x:c r="BV20" s="6" t="str">
        <x:v>1</x:v>
      </x:c>
      <x:c r="BW20" s="9" t="str">
        <x:v>operational_snapshot_annual_totals_may_differ</x:v>
      </x:c>
      <x:c r="BX20" s="9" t="str">
        <x:v>official_live_dashboard_snapshot_subject_to_revision</x:v>
      </x:c>
      <x:c r="BY20" s="9" t="str">
        <x:v>https://tbdashboard.sitb.id/ss_data_tbc03so_2025_provinsi_bulanan_list.php</x:v>
      </x:c>
      <x:c r="BZ20" s="6" t="n">
        <x:v>46246.610671296294</x:v>
      </x:c>
    </x:row>
    <x:row r="21" ht="18" customHeight="1">
      <x:c r="A21" s="6" t="str">
        <x:v>11</x:v>
      </x:c>
      <x:c r="B21" s="6" t="str">
        <x:v>ACEH</x:v>
      </x:c>
      <x:c r="C21" s="6" t="str">
        <x:v>2025</x:v>
      </x:c>
      <x:c r="D21" s="6" t="str">
        <x:v>8</x:v>
      </x:c>
      <x:c r="E21" s="6" t="str">
        <x:v>2025-08</x:v>
      </x:c>
      <x:c r="F21" s="6" t="str">
        <x:v>1016</x:v>
      </x:c>
      <x:c r="G21" s="6" t="str">
        <x:v>99</x:v>
      </x:c>
      <x:c r="H21" s="6" t="str">
        <x:v>490</x:v>
      </x:c>
      <x:c r="I21" s="6" t="str">
        <x:v>113</x:v>
      </x:c>
      <x:c r="J21" s="6" t="str">
        <x:v>41</x:v>
      </x:c>
      <x:c r="K21" s="6" t="str">
        <x:v>3</x:v>
      </x:c>
      <x:c r="L21" s="6" t="str">
        <x:v>2</x:v>
      </x:c>
      <x:c r="M21" s="6" t="str">
        <x:v>268</x:v>
      </x:c>
      <x:c r="N21" s="6" t="str">
        <x:v>1016</x:v>
      </x:c>
      <x:c r="O21" s="6" t="str">
        <x:v>0</x:v>
      </x:c>
      <x:c r="P21" s="10" t="n">
        <x:f>F21-M21</x:f>
        <x:v>748</x:v>
      </x:c>
      <x:c r="Q21" s="11" t="n">
        <x:f>IFERROR(M21/F21,"")</x:f>
        <x:v>0.2637795275590551</x:v>
      </x:c>
      <x:c r="R21" s="10" t="n">
        <x:f>G21+H21</x:f>
        <x:v>589</x:v>
      </x:c>
      <x:c r="S21" s="11" t="n">
        <x:f>IFERROR(R21/F21,"")</x:f>
        <x:v>0.5797244094488189</x:v>
      </x:c>
      <x:c r="T21" s="11" t="n">
        <x:f>IFERROR(R21/P21,"")</x:f>
        <x:v>0.7874331550802139</x:v>
      </x:c>
      <x:c r="U21" s="10" t="n">
        <x:f>I21+J21+K21</x:f>
        <x:v>157</x:v>
      </x:c>
      <x:c r="V21" s="11" t="n">
        <x:f>IFERROR(U21/P21,"")</x:f>
        <x:v>0.20989304812834225</x:v>
      </x:c>
      <x:c r="W21" s="9" t="str">
        <x:v>provisional_gt_5pct_pending</x:v>
      </x:c>
      <x:c r="X21" s="12" t="n">
        <x:f>IFERROR(F21/Z21*100000,"")</x:f>
        <x:v>18.05901173124778</x:v>
      </x:c>
      <x:c r="Y21" s="13" t="n">
        <x:f>LN(Z21)</x:f>
        <x:v>15.54290926803194</x:v>
      </x:c>
      <x:c r="Z21" s="6" t="str">
        <x:v>5626000</x:v>
      </x:c>
      <x:c r="AA21" s="6" t="str">
        <x:v>99.0</x:v>
      </x:c>
      <x:c r="AB21" s="9" t="str">
        <x:v>2025-06-30</x:v>
      </x:c>
      <x:c r="AC21" s="8" t="str">
        <x:v>82.2</x:v>
      </x:c>
      <x:c r="AD21" s="9" t="str">
        <x:v>2025 (Susenas)</x:v>
      </x:c>
      <x:c r="AE21" s="8" t="str">
        <x:v>12.33</x:v>
      </x:c>
      <x:c r="AF21" s="9" t="str">
        <x:v>Maret 2025 (Susenas)</x:v>
      </x:c>
      <x:c r="AG21" s="6" t="str">
        <x:v>23.82677785807623</x:v>
      </x:c>
      <x:c r="AH21" s="8" t="str">
        <x:v>83.40378694908502</x:v>
      </x:c>
      <x:c r="AI21" s="6" t="str">
        <x:v>137.96488143464356</x:v>
      </x:c>
      <x:c r="AJ21" s="6" t="str">
        <x:v>0.3428482511540132</x:v>
      </x:c>
      <x:c r="AK21" s="8" t="str">
        <x:v>1.6372155460069973</x:v>
      </x:c>
      <x:c r="AL21" s="6" t="str">
        <x:v>2.8331999710880904</x:v>
      </x:c>
      <x:c r="AM21" s="6" t="str">
        <x:v>0.7221896049945408</x:v>
      </x:c>
      <x:c r="AN21" s="6" t="str">
        <x:v>1.7308683740298756</x:v>
      </x:c>
      <x:c r="AO21" s="6" t="str">
        <x:v>-2.107175856218177</x:v>
      </x:c>
      <x:c r="AP21" s="8" t="str">
        <x:v>-1.6233742576221042</x:v>
      </x:c>
      <x:c r="AQ21" s="6" t="str">
        <x:v>-0.9065127531944006</x:v>
      </x:c>
      <x:c r="AR21" s="6" t="str">
        <x:v>-1.4863853064526231</x:v>
      </x:c>
      <x:c r="AS21" s="6" t="str">
        <x:v>-1.3387574390897097</x:v>
      </x:c>
      <x:c r="AT21" s="6" t="str">
        <x:v>-55.20093393711218</x:v>
      </x:c>
      <x:c r="AU21" s="8" t="str">
        <x:v>-0.624702509975465</x:v>
      </x:c>
      <x:c r="AV21" s="6" t="str">
        <x:v>-1.4142951705020754</x:v>
      </x:c>
      <x:c r="AW21" s="6" t="str">
        <x:v>-0.3802847611937649</x:v>
      </x:c>
      <x:c r="AX21" s="6" t="str">
        <x:v>-0.8064274805571015</x:v>
      </x:c>
      <x:c r="AY21" s="6" t="str">
        <x:v>0</x:v>
      </x:c>
      <x:c r="AZ21" s="6" t="str">
        <x:v>1</x:v>
      </x:c>
      <x:c r="BA21" s="9" t="str">
        <x:v>grid_cells_within_BIG_polygon</x:v>
      </x:c>
      <x:c r="BB21" s="6" t="str">
        <x:v>14</x:v>
      </x:c>
      <x:c r="BC21" s="6" t="str">
        <x:v>17</x:v>
      </x:c>
      <x:c r="BD21" s="6" t="str">
        <x:v>17</x:v>
      </x:c>
      <x:c r="BE21" s="6" t="str">
        <x:v>1</x:v>
      </x:c>
      <x:c r="BF21" s="6" t="str">
        <x:v>0</x:v>
      </x:c>
      <x:c r="BG21" s="6" t="str">
        <x:v>1</x:v>
      </x:c>
      <x:c r="BH21" s="6" t="str">
        <x:v>0</x:v>
      </x:c>
      <x:c r="BI21" s="6" t="str">
        <x:v>15</x:v>
      </x:c>
      <x:c r="BJ21" s="6" t="str">
        <x:v>0</x:v>
      </x:c>
      <x:c r="BK21" s="6" t="str">
        <x:v>0</x:v>
      </x:c>
      <x:c r="BL21" s="6" t="str">
        <x:v>0</x:v>
      </x:c>
      <x:c r="BM21" s="6" t="str">
        <x:v>0</x:v>
      </x:c>
      <x:c r="BN21" s="6" t="str">
        <x:v>17</x:v>
      </x:c>
      <x:c r="BO21" s="6" t="str"/>
      <x:c r="BP21" s="6" t="str">
        <x:v>0</x:v>
      </x:c>
      <x:c r="BQ21" s="6" t="str"/>
      <x:c r="BR21" s="6" t="str">
        <x:v>0</x:v>
      </x:c>
      <x:c r="BS21" s="6" t="str">
        <x:v>17.0</x:v>
      </x:c>
      <x:c r="BT21" s="6" t="str">
        <x:v>17</x:v>
      </x:c>
      <x:c r="BU21" s="6" t="str">
        <x:v>40.0</x:v>
      </x:c>
      <x:c r="BV21" s="6" t="str">
        <x:v>1</x:v>
      </x:c>
      <x:c r="BW21" s="9" t="str">
        <x:v>operational_snapshot_annual_totals_may_differ</x:v>
      </x:c>
      <x:c r="BX21" s="9" t="str">
        <x:v>official_live_dashboard_snapshot_subject_to_revision</x:v>
      </x:c>
      <x:c r="BY21" s="9" t="str">
        <x:v>https://tbdashboard.sitb.id/ss_data_tbc03so_2025_provinsi_bulanan_list.php</x:v>
      </x:c>
      <x:c r="BZ21" s="6" t="n">
        <x:v>46246.610671296294</x:v>
      </x:c>
    </x:row>
    <x:row r="22" ht="18" customHeight="1">
      <x:c r="A22" s="6" t="str">
        <x:v>11</x:v>
      </x:c>
      <x:c r="B22" s="6" t="str">
        <x:v>ACEH</x:v>
      </x:c>
      <x:c r="C22" s="6" t="str">
        <x:v>2025</x:v>
      </x:c>
      <x:c r="D22" s="6" t="str">
        <x:v>9</x:v>
      </x:c>
      <x:c r="E22" s="6" t="str">
        <x:v>2025-09</x:v>
      </x:c>
      <x:c r="F22" s="6" t="str">
        <x:v>1029</x:v>
      </x:c>
      <x:c r="G22" s="6" t="str">
        <x:v>101</x:v>
      </x:c>
      <x:c r="H22" s="6" t="str">
        <x:v>463</x:v>
      </x:c>
      <x:c r="I22" s="6" t="str">
        <x:v>99</x:v>
      </x:c>
      <x:c r="J22" s="6" t="str">
        <x:v>49</x:v>
      </x:c>
      <x:c r="K22" s="6" t="str">
        <x:v>3</x:v>
      </x:c>
      <x:c r="L22" s="6" t="str">
        <x:v>4</x:v>
      </x:c>
      <x:c r="M22" s="6" t="str">
        <x:v>310</x:v>
      </x:c>
      <x:c r="N22" s="6" t="str">
        <x:v>1029</x:v>
      </x:c>
      <x:c r="O22" s="6" t="str">
        <x:v>0</x:v>
      </x:c>
      <x:c r="P22" s="10" t="n">
        <x:f>F22-M22</x:f>
        <x:v>719</x:v>
      </x:c>
      <x:c r="Q22" s="11" t="n">
        <x:f>IFERROR(M22/F22,"")</x:f>
        <x:v>0.3012633624878523</x:v>
      </x:c>
      <x:c r="R22" s="10" t="n">
        <x:f>G22+H22</x:f>
        <x:v>564</x:v>
      </x:c>
      <x:c r="S22" s="11" t="n">
        <x:f>IFERROR(R22/F22,"")</x:f>
        <x:v>0.5481049562682215</x:v>
      </x:c>
      <x:c r="T22" s="11" t="n">
        <x:f>IFERROR(R22/P22,"")</x:f>
        <x:v>0.7844228094575799</x:v>
      </x:c>
      <x:c r="U22" s="10" t="n">
        <x:f>I22+J22+K22</x:f>
        <x:v>151</x:v>
      </x:c>
      <x:c r="V22" s="11" t="n">
        <x:f>IFERROR(U22/P22,"")</x:f>
        <x:v>0.21001390820584145</x:v>
      </x:c>
      <x:c r="W22" s="9" t="str">
        <x:v>provisional_gt_5pct_pending</x:v>
      </x:c>
      <x:c r="X22" s="12" t="n">
        <x:f>IFERROR(F22/Z22*100000,"")</x:f>
        <x:v>18.290081763242092</x:v>
      </x:c>
      <x:c r="Y22" s="13" t="n">
        <x:f>LN(Z22)</x:f>
        <x:v>15.54290926803194</x:v>
      </x:c>
      <x:c r="Z22" s="6" t="str">
        <x:v>5626000</x:v>
      </x:c>
      <x:c r="AA22" s="6" t="str">
        <x:v>99.0</x:v>
      </x:c>
      <x:c r="AB22" s="9" t="str">
        <x:v>2025-06-30</x:v>
      </x:c>
      <x:c r="AC22" s="8" t="str">
        <x:v>82.2</x:v>
      </x:c>
      <x:c r="AD22" s="9" t="str">
        <x:v>2025 (Susenas)</x:v>
      </x:c>
      <x:c r="AE22" s="8" t="str">
        <x:v>12.33</x:v>
      </x:c>
      <x:c r="AF22" s="9" t="str">
        <x:v>Maret 2025 (Susenas)</x:v>
      </x:c>
      <x:c r="AG22" s="6" t="str">
        <x:v>23.748186732796857</x:v>
      </x:c>
      <x:c r="AH22" s="8" t="str">
        <x:v>83.6124072495411</x:v>
      </x:c>
      <x:c r="AI22" s="6" t="str">
        <x:v>105.85475180105924</x:v>
      </x:c>
      <x:c r="AJ22" s="6" t="str">
        <x:v>0.3156754189671318</x:v>
      </x:c>
      <x:c r="AK22" s="8" t="str">
        <x:v>1.622371998656671</x:v>
      </x:c>
      <x:c r="AL22" s="6" t="str">
        <x:v>1.6372155460069973</x:v>
      </x:c>
      <x:c r="AM22" s="6" t="str">
        <x:v>2.8331999710880904</x:v>
      </x:c>
      <x:c r="AN22" s="6" t="str">
        <x:v>2.0309291719172524</x:v>
      </x:c>
      <x:c r="AO22" s="6" t="str">
        <x:v>-2.4287323951668327</x:v>
      </x:c>
      <x:c r="AP22" s="8" t="str">
        <x:v>-1.7332021633083128</x:v>
      </x:c>
      <x:c r="AQ22" s="6" t="str">
        <x:v>-1.6233742576221042</x:v>
      </x:c>
      <x:c r="AR22" s="6" t="str">
        <x:v>-0.9065127531944006</x:v>
      </x:c>
      <x:c r="AS22" s="6" t="str">
        <x:v>-1.4210297247082728</x:v>
      </x:c>
      <x:c r="AT22" s="6" t="str">
        <x:v>-109.10870565670928</x:v>
      </x:c>
      <x:c r="AU22" s="8" t="str">
        <x:v>-2.148591310490741</x:v>
      </x:c>
      <x:c r="AV22" s="6" t="str">
        <x:v>-0.624702509975465</x:v>
      </x:c>
      <x:c r="AW22" s="6" t="str">
        <x:v>-1.4142951705020754</x:v>
      </x:c>
      <x:c r="AX22" s="6" t="str">
        <x:v>-1.3958629969894265</x:v>
      </x:c>
      <x:c r="AY22" s="6" t="str">
        <x:v>0</x:v>
      </x:c>
      <x:c r="AZ22" s="6" t="str">
        <x:v>1</x:v>
      </x:c>
      <x:c r="BA22" s="9" t="str">
        <x:v>grid_cells_within_BIG_polygon</x:v>
      </x:c>
      <x:c r="BB22" s="6" t="str">
        <x:v>14</x:v>
      </x:c>
      <x:c r="BC22" s="6" t="str">
        <x:v>15</x:v>
      </x:c>
      <x:c r="BD22" s="6" t="str">
        <x:v>15</x:v>
      </x:c>
      <x:c r="BE22" s="6" t="str">
        <x:v>0</x:v>
      </x:c>
      <x:c r="BF22" s="6" t="str">
        <x:v>0</x:v>
      </x:c>
      <x:c r="BG22" s="6" t="str">
        <x:v>0</x:v>
      </x:c>
      <x:c r="BH22" s="6" t="str">
        <x:v>0</x:v>
      </x:c>
      <x:c r="BI22" s="6" t="str">
        <x:v>15</x:v>
      </x:c>
      <x:c r="BJ22" s="6" t="str">
        <x:v>0</x:v>
      </x:c>
      <x:c r="BK22" s="6" t="str">
        <x:v>0</x:v>
      </x:c>
      <x:c r="BL22" s="6" t="str">
        <x:v>0</x:v>
      </x:c>
      <x:c r="BM22" s="6" t="str">
        <x:v>0</x:v>
      </x:c>
      <x:c r="BN22" s="6" t="str">
        <x:v>15</x:v>
      </x:c>
      <x:c r="BO22" s="6" t="str"/>
      <x:c r="BP22" s="6" t="str">
        <x:v>0</x:v>
      </x:c>
      <x:c r="BQ22" s="6" t="str">
        <x:v>1.0</x:v>
      </x:c>
      <x:c r="BR22" s="6" t="str">
        <x:v>1</x:v>
      </x:c>
      <x:c r="BS22" s="6" t="str">
        <x:v>0.0</x:v>
      </x:c>
      <x:c r="BT22" s="6" t="str">
        <x:v>15</x:v>
      </x:c>
      <x:c r="BU22" s="6" t="str"/>
      <x:c r="BV22" s="6" t="str">
        <x:v>0</x:v>
      </x:c>
      <x:c r="BW22" s="9" t="str">
        <x:v>operational_snapshot_annual_totals_may_differ</x:v>
      </x:c>
      <x:c r="BX22" s="9" t="str">
        <x:v>official_live_dashboard_snapshot_subject_to_revision</x:v>
      </x:c>
      <x:c r="BY22" s="9" t="str">
        <x:v>https://tbdashboard.sitb.id/ss_data_tbc03so_2025_provinsi_bulanan_list.php</x:v>
      </x:c>
      <x:c r="BZ22" s="6" t="n">
        <x:v>46246.610671296294</x:v>
      </x:c>
    </x:row>
    <x:row r="23" ht="18" customHeight="1">
      <x:c r="A23" s="6" t="str">
        <x:v>11</x:v>
      </x:c>
      <x:c r="B23" s="6" t="str">
        <x:v>ACEH</x:v>
      </x:c>
      <x:c r="C23" s="6" t="str">
        <x:v>2025</x:v>
      </x:c>
      <x:c r="D23" s="6" t="str">
        <x:v>10</x:v>
      </x:c>
      <x:c r="E23" s="6" t="str">
        <x:v>2025-10</x:v>
      </x:c>
      <x:c r="F23" s="6" t="str">
        <x:v>1116</x:v>
      </x:c>
      <x:c r="G23" s="6" t="str">
        <x:v>108</x:v>
      </x:c>
      <x:c r="H23" s="6" t="str">
        <x:v>449</x:v>
      </x:c>
      <x:c r="I23" s="6" t="str">
        <x:v>90</x:v>
      </x:c>
      <x:c r="J23" s="6" t="str">
        <x:v>34</x:v>
      </x:c>
      <x:c r="K23" s="6" t="str">
        <x:v>5</x:v>
      </x:c>
      <x:c r="L23" s="6" t="str">
        <x:v>0</x:v>
      </x:c>
      <x:c r="M23" s="6" t="str">
        <x:v>430</x:v>
      </x:c>
      <x:c r="N23" s="6" t="str">
        <x:v>1116</x:v>
      </x:c>
      <x:c r="O23" s="6" t="str">
        <x:v>0</x:v>
      </x:c>
      <x:c r="P23" s="10" t="n">
        <x:f>F23-M23</x:f>
        <x:v>686</x:v>
      </x:c>
      <x:c r="Q23" s="11" t="n">
        <x:f>IFERROR(M23/F23,"")</x:f>
        <x:v>0.38530465949820786</x:v>
      </x:c>
      <x:c r="R23" s="10" t="n">
        <x:f>G23+H23</x:f>
        <x:v>557</x:v>
      </x:c>
      <x:c r="S23" s="11" t="n">
        <x:f>IFERROR(R23/F23,"")</x:f>
        <x:v>0.49910394265232977</x:v>
      </x:c>
      <x:c r="T23" s="11" t="n">
        <x:f>IFERROR(R23/P23,"")</x:f>
        <x:v>0.8119533527696793</x:v>
      </x:c>
      <x:c r="U23" s="10" t="n">
        <x:f>I23+J23+K23</x:f>
        <x:v>129</x:v>
      </x:c>
      <x:c r="V23" s="11" t="n">
        <x:f>IFERROR(U23/P23,"")</x:f>
        <x:v>0.1880466472303207</x:v>
      </x:c>
      <x:c r="W23" s="9" t="str">
        <x:v>provisional_gt_5pct_pending</x:v>
      </x:c>
      <x:c r="X23" s="12" t="n">
        <x:f>IFERROR(F23/Z23*100000,"")</x:f>
        <x:v>19.83647351581941</x:v>
      </x:c>
      <x:c r="Y23" s="13" t="n">
        <x:f>LN(Z23)</x:f>
        <x:v>15.54290926803194</x:v>
      </x:c>
      <x:c r="Z23" s="6" t="str">
        <x:v>5626000</x:v>
      </x:c>
      <x:c r="AA23" s="6" t="str">
        <x:v>99.0</x:v>
      </x:c>
      <x:c r="AB23" s="9" t="str">
        <x:v>2025-06-30</x:v>
      </x:c>
      <x:c r="AC23" s="8" t="str">
        <x:v>82.2</x:v>
      </x:c>
      <x:c r="AD23" s="9" t="str">
        <x:v>2025 (Susenas)</x:v>
      </x:c>
      <x:c r="AE23" s="8" t="str">
        <x:v>12.33</x:v>
      </x:c>
      <x:c r="AF23" s="9" t="str">
        <x:v>Maret 2025 (Susenas)</x:v>
      </x:c>
      <x:c r="AG23" s="6" t="str">
        <x:v>23.86114562112386</x:v>
      </x:c>
      <x:c r="AH23" s="8" t="str">
        <x:v>84.99950075085405</x:v>
      </x:c>
      <x:c r="AI23" s="6" t="str">
        <x:v>368.6183383075903</x:v>
      </x:c>
      <x:c r="AJ23" s="6" t="str">
        <x:v>0.4877223544310212</x:v>
      </x:c>
      <x:c r="AK23" s="8" t="str">
        <x:v>2.206071052089458</x:v>
      </x:c>
      <x:c r="AL23" s="6" t="str">
        <x:v>1.622371998656671</x:v>
      </x:c>
      <x:c r="AM23" s="6" t="str">
        <x:v>1.6372155460069973</x:v>
      </x:c>
      <x:c r="AN23" s="6" t="str">
        <x:v>1.821886198917708</x:v>
      </x:c>
      <x:c r="AO23" s="6" t="str">
        <x:v>-2.3181073095074254</x:v>
      </x:c>
      <x:c r="AP23" s="8" t="str">
        <x:v>-1.5370156014019896</x:v>
      </x:c>
      <x:c r="AQ23" s="6" t="str">
        <x:v>-1.7332021633083128</x:v>
      </x:c>
      <x:c r="AR23" s="6" t="str">
        <x:v>-1.6233742576221042</x:v>
      </x:c>
      <x:c r="AS23" s="6" t="str">
        <x:v>-1.6311973407774694</x:v>
      </x:c>
      <x:c r="AT23" s="6" t="str">
        <x:v>91.63467188223616</x:v>
      </x:c>
      <x:c r="AU23" s="8" t="str">
        <x:v>1.1651343213861591</x:v>
      </x:c>
      <x:c r="AV23" s="6" t="str">
        <x:v>-2.148591310490741</x:v>
      </x:c>
      <x:c r="AW23" s="6" t="str">
        <x:v>-0.624702509975465</x:v>
      </x:c>
      <x:c r="AX23" s="6" t="str">
        <x:v>-0.5360531663600151</x:v>
      </x:c>
      <x:c r="AY23" s="6" t="str">
        <x:v>1</x:v>
      </x:c>
      <x:c r="AZ23" s="6" t="str">
        <x:v>1</x:v>
      </x:c>
      <x:c r="BA23" s="9" t="str">
        <x:v>grid_cells_within_BIG_polygon</x:v>
      </x:c>
      <x:c r="BB23" s="6" t="str">
        <x:v>14</x:v>
      </x:c>
      <x:c r="BC23" s="6" t="str">
        <x:v>9</x:v>
      </x:c>
      <x:c r="BD23" s="6" t="str">
        <x:v>9</x:v>
      </x:c>
      <x:c r="BE23" s="6" t="str">
        <x:v>2</x:v>
      </x:c>
      <x:c r="BF23" s="6" t="str">
        <x:v>0</x:v>
      </x:c>
      <x:c r="BG23" s="6" t="str">
        <x:v>0</x:v>
      </x:c>
      <x:c r="BH23" s="6" t="str">
        <x:v>0</x:v>
      </x:c>
      <x:c r="BI23" s="6" t="str">
        <x:v>7</x:v>
      </x:c>
      <x:c r="BJ23" s="6" t="str">
        <x:v>0</x:v>
      </x:c>
      <x:c r="BK23" s="6" t="str">
        <x:v>0</x:v>
      </x:c>
      <x:c r="BL23" s="6" t="str">
        <x:v>0</x:v>
      </x:c>
      <x:c r="BM23" s="6" t="str">
        <x:v>0</x:v>
      </x:c>
      <x:c r="BN23" s="6" t="str">
        <x:v>9</x:v>
      </x:c>
      <x:c r="BO23" s="6" t="str">
        <x:v>1.0</x:v>
      </x:c>
      <x:c r="BP23" s="6" t="str">
        <x:v>1</x:v>
      </x:c>
      <x:c r="BQ23" s="6" t="str"/>
      <x:c r="BR23" s="6" t="str">
        <x:v>0</x:v>
      </x:c>
      <x:c r="BS23" s="6" t="str">
        <x:v>0.0</x:v>
      </x:c>
      <x:c r="BT23" s="6" t="str">
        <x:v>9</x:v>
      </x:c>
      <x:c r="BU23" s="6" t="str">
        <x:v>2081.0</x:v>
      </x:c>
      <x:c r="BV23" s="6" t="str">
        <x:v>2</x:v>
      </x:c>
      <x:c r="BW23" s="9" t="str">
        <x:v>operational_snapshot_annual_totals_may_differ</x:v>
      </x:c>
      <x:c r="BX23" s="9" t="str">
        <x:v>official_live_dashboard_snapshot_subject_to_revision</x:v>
      </x:c>
      <x:c r="BY23" s="9" t="str">
        <x:v>https://tbdashboard.sitb.id/ss_data_tbc03so_2025_provinsi_bulanan_list.php</x:v>
      </x:c>
      <x:c r="BZ23" s="6" t="n">
        <x:v>46246.610671296294</x:v>
      </x:c>
    </x:row>
    <x:row r="24" ht="18" customHeight="1">
      <x:c r="A24" s="6" t="str">
        <x:v>11</x:v>
      </x:c>
      <x:c r="B24" s="6" t="str">
        <x:v>ACEH</x:v>
      </x:c>
      <x:c r="C24" s="6" t="str">
        <x:v>2025</x:v>
      </x:c>
      <x:c r="D24" s="6" t="str">
        <x:v>11</x:v>
      </x:c>
      <x:c r="E24" s="6" t="str">
        <x:v>2025-11</x:v>
      </x:c>
      <x:c r="F24" s="6" t="str">
        <x:v>851</x:v>
      </x:c>
      <x:c r="G24" s="6" t="str">
        <x:v>67</x:v>
      </x:c>
      <x:c r="H24" s="6" t="str">
        <x:v>280</x:v>
      </x:c>
      <x:c r="I24" s="6" t="str">
        <x:v>79</x:v>
      </x:c>
      <x:c r="J24" s="6" t="str">
        <x:v>29</x:v>
      </x:c>
      <x:c r="K24" s="6" t="str">
        <x:v>1</x:v>
      </x:c>
      <x:c r="L24" s="6" t="str">
        <x:v>1</x:v>
      </x:c>
      <x:c r="M24" s="6" t="str">
        <x:v>394</x:v>
      </x:c>
      <x:c r="N24" s="6" t="str">
        <x:v>851</x:v>
      </x:c>
      <x:c r="O24" s="6" t="str">
        <x:v>0</x:v>
      </x:c>
      <x:c r="P24" s="10" t="n">
        <x:f>F24-M24</x:f>
        <x:v>457</x:v>
      </x:c>
      <x:c r="Q24" s="11" t="n">
        <x:f>IFERROR(M24/F24,"")</x:f>
        <x:v>0.46298472385428907</x:v>
      </x:c>
      <x:c r="R24" s="10" t="n">
        <x:f>G24+H24</x:f>
        <x:v>347</x:v>
      </x:c>
      <x:c r="S24" s="11" t="n">
        <x:f>IFERROR(R24/F24,"")</x:f>
        <x:v>0.40775558166862513</x:v>
      </x:c>
      <x:c r="T24" s="11" t="n">
        <x:f>IFERROR(R24/P24,"")</x:f>
        <x:v>0.7592997811816192</x:v>
      </x:c>
      <x:c r="U24" s="10" t="n">
        <x:f>I24+J24+K24</x:f>
        <x:v>109</x:v>
      </x:c>
      <x:c r="V24" s="11" t="n">
        <x:f>IFERROR(U24/P24,"")</x:f>
        <x:v>0.23851203501094093</x:v>
      </x:c>
      <x:c r="W24" s="9" t="str">
        <x:v>provisional_gt_5pct_pending</x:v>
      </x:c>
      <x:c r="X24" s="12" t="n">
        <x:f>IFERROR(F24/Z24*100000,"")</x:f>
        <x:v>15.126199786704586</x:v>
      </x:c>
      <x:c r="Y24" s="13" t="n">
        <x:f>LN(Z24)</x:f>
        <x:v>15.54290926803194</x:v>
      </x:c>
      <x:c r="Z24" s="6" t="str">
        <x:v>5626000</x:v>
      </x:c>
      <x:c r="AA24" s="6" t="str">
        <x:v>99.0</x:v>
      </x:c>
      <x:c r="AB24" s="9" t="str">
        <x:v>2025-06-30</x:v>
      </x:c>
      <x:c r="AC24" s="8" t="str">
        <x:v>82.2</x:v>
      </x:c>
      <x:c r="AD24" s="9" t="str">
        <x:v>2025 (Susenas)</x:v>
      </x:c>
      <x:c r="AE24" s="8" t="str">
        <x:v>12.33</x:v>
      </x:c>
      <x:c r="AF24" s="9" t="str">
        <x:v>Maret 2025 (Susenas)</x:v>
      </x:c>
      <x:c r="AG24" s="6" t="str">
        <x:v>23.452631158757946</x:v>
      </x:c>
      <x:c r="AH24" s="8" t="str">
        <x:v>87.58238429507297</x:v>
      </x:c>
      <x:c r="AI24" s="6" t="str">
        <x:v>672.4187661036794</x:v>
      </x:c>
      <x:c r="AJ24" s="6" t="str">
        <x:v>0.1283281878345015</x:v>
      </x:c>
      <x:c r="AK24" s="8" t="str">
        <x:v>0.4880833758066928</x:v>
      </x:c>
      <x:c r="AL24" s="6" t="str">
        <x:v>2.206071052089458</x:v>
      </x:c>
      <x:c r="AM24" s="6" t="str">
        <x:v>1.622371998656671</x:v>
      </x:c>
      <x:c r="AN24" s="6" t="str">
        <x:v>1.4388421421842734</x:v>
      </x:c>
      <x:c r="AO24" s="6" t="str">
        <x:v>-1.1534146668780494</x:v>
      </x:c>
      <x:c r="AP24" s="8" t="str">
        <x:v>-1.3926150595589386</x:v>
      </x:c>
      <x:c r="AQ24" s="6" t="str">
        <x:v>-1.5370156014019896</x:v>
      </x:c>
      <x:c r="AR24" s="6" t="str">
        <x:v>-1.7332021633083128</x:v>
      </x:c>
      <x:c r="AS24" s="6" t="str">
        <x:v>-1.5542776080897474</x:v>
      </x:c>
      <x:c r="AT24" s="6" t="str">
        <x:v>358.16967560345506</x:v>
      </x:c>
      <x:c r="AU24" s="8" t="str">
        <x:v>5.290050261202156</x:v>
      </x:c>
      <x:c r="AV24" s="6" t="str">
        <x:v>1.1651343213861591</x:v>
      </x:c>
      <x:c r="AW24" s="6" t="str">
        <x:v>-2.148591310490741</x:v>
      </x:c>
      <x:c r="AX24" s="6" t="str">
        <x:v>1.4355310906991916</x:v>
      </x:c>
      <x:c r="AY24" s="6" t="str">
        <x:v>1</x:v>
      </x:c>
      <x:c r="AZ24" s="6" t="str">
        <x:v>0</x:v>
      </x:c>
      <x:c r="BA24" s="9" t="str">
        <x:v>grid_cells_within_BIG_polygon</x:v>
      </x:c>
      <x:c r="BB24" s="6" t="str">
        <x:v>14</x:v>
      </x:c>
      <x:c r="BC24" s="6" t="str">
        <x:v>28</x:v>
      </x:c>
      <x:c r="BD24" s="6" t="str">
        <x:v>28</x:v>
      </x:c>
      <x:c r="BE24" s="6" t="str">
        <x:v>25</x:v>
      </x:c>
      <x:c r="BF24" s="6" t="str">
        <x:v>1</x:v>
      </x:c>
      <x:c r="BG24" s="6" t="str">
        <x:v>0</x:v>
      </x:c>
      <x:c r="BH24" s="6" t="str">
        <x:v>0</x:v>
      </x:c>
      <x:c r="BI24" s="6" t="str">
        <x:v>2</x:v>
      </x:c>
      <x:c r="BJ24" s="6" t="str">
        <x:v>0</x:v>
      </x:c>
      <x:c r="BK24" s="6" t="str">
        <x:v>0</x:v>
      </x:c>
      <x:c r="BL24" s="6" t="str">
        <x:v>0</x:v>
      </x:c>
      <x:c r="BM24" s="6" t="str">
        <x:v>0</x:v>
      </x:c>
      <x:c r="BN24" s="6" t="str">
        <x:v>28</x:v>
      </x:c>
      <x:c r="BO24" s="6" t="str">
        <x:v>544.0</x:v>
      </x:c>
      <x:c r="BP24" s="6" t="str">
        <x:v>14</x:v>
      </x:c>
      <x:c r="BQ24" s="6" t="str">
        <x:v>4318.0</x:v>
      </x:c>
      <x:c r="BR24" s="6" t="str">
        <x:v>9</x:v>
      </x:c>
      <x:c r="BS24" s="6" t="str">
        <x:v>144940.0</x:v>
      </x:c>
      <x:c r="BT24" s="6" t="str">
        <x:v>28</x:v>
      </x:c>
      <x:c r="BU24" s="6" t="str">
        <x:v>644.0</x:v>
      </x:c>
      <x:c r="BV24" s="6" t="str">
        <x:v>5</x:v>
      </x:c>
      <x:c r="BW24" s="9" t="str">
        <x:v>operational_snapshot_annual_totals_may_differ</x:v>
      </x:c>
      <x:c r="BX24" s="9" t="str">
        <x:v>official_live_dashboard_snapshot_subject_to_revision</x:v>
      </x:c>
      <x:c r="BY24" s="9" t="str">
        <x:v>https://tbdashboard.sitb.id/ss_data_tbc03so_2025_provinsi_bulanan_list.php</x:v>
      </x:c>
      <x:c r="BZ24" s="6" t="n">
        <x:v>46246.610671296294</x:v>
      </x:c>
    </x:row>
    <x:row r="25" ht="18" customHeight="1">
      <x:c r="A25" s="6" t="str">
        <x:v>11</x:v>
      </x:c>
      <x:c r="B25" s="6" t="str">
        <x:v>ACEH</x:v>
      </x:c>
      <x:c r="C25" s="6" t="str">
        <x:v>2025</x:v>
      </x:c>
      <x:c r="D25" s="6" t="str">
        <x:v>12</x:v>
      </x:c>
      <x:c r="E25" s="6" t="str">
        <x:v>2025-12</x:v>
      </x:c>
      <x:c r="F25" s="6" t="str">
        <x:v>745</x:v>
      </x:c>
      <x:c r="G25" s="6" t="str">
        <x:v>36</x:v>
      </x:c>
      <x:c r="H25" s="6" t="str">
        <x:v>251</x:v>
      </x:c>
      <x:c r="I25" s="6" t="str">
        <x:v>74</x:v>
      </x:c>
      <x:c r="J25" s="6" t="str">
        <x:v>25</x:v>
      </x:c>
      <x:c r="K25" s="6" t="str">
        <x:v>0</x:v>
      </x:c>
      <x:c r="L25" s="6" t="str">
        <x:v>2</x:v>
      </x:c>
      <x:c r="M25" s="6" t="str">
        <x:v>357</x:v>
      </x:c>
      <x:c r="N25" s="6" t="str">
        <x:v>745</x:v>
      </x:c>
      <x:c r="O25" s="6" t="str">
        <x:v>0</x:v>
      </x:c>
      <x:c r="P25" s="10" t="n">
        <x:f>F25-M25</x:f>
        <x:v>388</x:v>
      </x:c>
      <x:c r="Q25" s="11" t="n">
        <x:f>IFERROR(M25/F25,"")</x:f>
        <x:v>0.4791946308724832</x:v>
      </x:c>
      <x:c r="R25" s="10" t="n">
        <x:f>G25+H25</x:f>
        <x:v>287</x:v>
      </x:c>
      <x:c r="S25" s="11" t="n">
        <x:f>IFERROR(R25/F25,"")</x:f>
        <x:v>0.38523489932885907</x:v>
      </x:c>
      <x:c r="T25" s="11" t="n">
        <x:f>IFERROR(R25/P25,"")</x:f>
        <x:v>0.7396907216494846</x:v>
      </x:c>
      <x:c r="U25" s="10" t="n">
        <x:f>I25+J25+K25</x:f>
        <x:v>99</x:v>
      </x:c>
      <x:c r="V25" s="11" t="n">
        <x:f>IFERROR(U25/P25,"")</x:f>
        <x:v>0.2551546391752577</x:v>
      </x:c>
      <x:c r="W25" s="9" t="str">
        <x:v>provisional_gt_5pct_pending</x:v>
      </x:c>
      <x:c r="X25" s="12" t="n">
        <x:f>IFERROR(F25/Z25*100000,"")</x:f>
        <x:v>13.242090295058658</x:v>
      </x:c>
      <x:c r="Y25" s="13" t="n">
        <x:f>LN(Z25)</x:f>
        <x:v>15.54290926803194</x:v>
      </x:c>
      <x:c r="Z25" s="6" t="str">
        <x:v>5626000</x:v>
      </x:c>
      <x:c r="AA25" s="6" t="str">
        <x:v>99.0</x:v>
      </x:c>
      <x:c r="AB25" s="9" t="str">
        <x:v>2025-06-30</x:v>
      </x:c>
      <x:c r="AC25" s="8" t="str">
        <x:v>82.2</x:v>
      </x:c>
      <x:c r="AD25" s="9" t="str">
        <x:v>2025 (Susenas)</x:v>
      </x:c>
      <x:c r="AE25" s="8" t="str">
        <x:v>12.33</x:v>
      </x:c>
      <x:c r="AF25" s="9" t="str">
        <x:v>Maret 2025 (Susenas)</x:v>
      </x:c>
      <x:c r="AG25" s="6" t="str">
        <x:v>23.87483703325863</x:v>
      </x:c>
      <x:c r="AH25" s="8" t="str">
        <x:v>87.9405971347615</x:v>
      </x:c>
      <x:c r="AI25" s="6" t="str">
        <x:v>217.7093099780968</x:v>
      </x:c>
      <x:c r="AJ25" s="6" t="str">
        <x:v>0.6427257128261488</x:v>
      </x:c>
      <x:c r="AK25" s="8" t="str">
        <x:v>2.177603433831177</x:v>
      </x:c>
      <x:c r="AL25" s="6" t="str">
        <x:v>0.4880833758066928</x:v>
      </x:c>
      <x:c r="AM25" s="6" t="str">
        <x:v>2.206071052089458</x:v>
      </x:c>
      <x:c r="AN25" s="6" t="str">
        <x:v>1.6239192872424422</x:v>
      </x:c>
      <x:c r="AO25" s="6" t="str">
        <x:v>-0.5173522389283249</x:v>
      </x:c>
      <x:c r="AP25" s="8" t="str">
        <x:v>-0.5290362558899586</x:v>
      </x:c>
      <x:c r="AQ25" s="6" t="str">
        <x:v>-1.3926150595589386</x:v>
      </x:c>
      <x:c r="AR25" s="6" t="str">
        <x:v>-1.5370156014019896</x:v>
      </x:c>
      <x:c r="AS25" s="6" t="str">
        <x:v>-1.1528889722836293</x:v>
      </x:c>
      <x:c r="AT25" s="6" t="str">
        <x:v>-48.61306417923302</x:v>
      </x:c>
      <x:c r="AU25" s="8" t="str">
        <x:v>-0.56161753803594</x:v>
      </x:c>
      <x:c r="AV25" s="6" t="str">
        <x:v>5.290050261202156</x:v>
      </x:c>
      <x:c r="AW25" s="6" t="str">
        <x:v>1.1651343213861591</x:v>
      </x:c>
      <x:c r="AX25" s="6" t="str">
        <x:v>1.9645223481841252</x:v>
      </x:c>
      <x:c r="AY25" s="6" t="str">
        <x:v>0</x:v>
      </x:c>
      <x:c r="AZ25" s="6" t="str">
        <x:v>1</x:v>
      </x:c>
      <x:c r="BA25" s="9" t="str">
        <x:v>grid_cells_within_BIG_polygon</x:v>
      </x:c>
      <x:c r="BB25" s="6" t="str">
        <x:v>14</x:v>
      </x:c>
      <x:c r="BC25" s="6" t="str">
        <x:v>0</x:v>
      </x:c>
      <x:c r="BD25" s="6" t="str">
        <x:v>0</x:v>
      </x:c>
      <x:c r="BE25" s="6" t="str">
        <x:v>0</x:v>
      </x:c>
      <x:c r="BF25" s="6" t="str">
        <x:v>0</x:v>
      </x:c>
      <x:c r="BG25" s="6" t="str">
        <x:v>0</x:v>
      </x:c>
      <x:c r="BH25" s="6" t="str">
        <x:v>0</x:v>
      </x:c>
      <x:c r="BI25" s="6" t="str">
        <x:v>0</x:v>
      </x:c>
      <x:c r="BJ25" s="6" t="str">
        <x:v>0</x:v>
      </x:c>
      <x:c r="BK25" s="6" t="str">
        <x:v>0</x:v>
      </x:c>
      <x:c r="BL25" s="6" t="str">
        <x:v>0</x:v>
      </x:c>
      <x:c r="BM25" s="6" t="str">
        <x:v>0</x:v>
      </x:c>
      <x:c r="BN25" s="6" t="str">
        <x:v>0</x:v>
      </x:c>
      <x:c r="BO25" s="6" t="str"/>
      <x:c r="BP25" s="6" t="str">
        <x:v>0</x:v>
      </x:c>
      <x:c r="BQ25" s="6" t="str"/>
      <x:c r="BR25" s="6" t="str">
        <x:v>0</x:v>
      </x:c>
      <x:c r="BS25" s="6" t="str"/>
      <x:c r="BT25" s="6" t="str">
        <x:v>0</x:v>
      </x:c>
      <x:c r="BU25" s="6" t="str"/>
      <x:c r="BV25" s="6" t="str">
        <x:v>0</x:v>
      </x:c>
      <x:c r="BW25" s="9" t="str">
        <x:v>operational_snapshot_annual_totals_may_differ</x:v>
      </x:c>
      <x:c r="BX25" s="9" t="str">
        <x:v>official_live_dashboard_snapshot_subject_to_revision</x:v>
      </x:c>
      <x:c r="BY25" s="9" t="str">
        <x:v>https://tbdashboard.sitb.id/ss_data_tbc03so_2025_provinsi_bulanan_list.php</x:v>
      </x:c>
      <x:c r="BZ25" s="6" t="n">
        <x:v>46246.610671296294</x:v>
      </x:c>
    </x:row>
    <x:row r="26" ht="18" customHeight="1">
      <x:c r="A26" s="6" t="str">
        <x:v>12</x:v>
      </x:c>
      <x:c r="B26" s="6" t="str">
        <x:v>SUMATERA UTARA</x:v>
      </x:c>
      <x:c r="C26" s="6" t="str">
        <x:v>2024</x:v>
      </x:c>
      <x:c r="D26" s="6" t="str">
        <x:v>1</x:v>
      </x:c>
      <x:c r="E26" s="6" t="str">
        <x:v>2024-01</x:v>
      </x:c>
      <x:c r="F26" s="6" t="str">
        <x:v>4123</x:v>
      </x:c>
      <x:c r="G26" s="6" t="str">
        <x:v>896</x:v>
      </x:c>
      <x:c r="H26" s="6" t="str">
        <x:v>2498</x:v>
      </x:c>
      <x:c r="I26" s="6" t="str">
        <x:v>481</x:v>
      </x:c>
      <x:c r="J26" s="6" t="str">
        <x:v>174</x:v>
      </x:c>
      <x:c r="K26" s="6" t="str">
        <x:v>3</x:v>
      </x:c>
      <x:c r="L26" s="6" t="str">
        <x:v>17</x:v>
      </x:c>
      <x:c r="M26" s="6" t="str">
        <x:v>54</x:v>
      </x:c>
      <x:c r="N26" s="6" t="str">
        <x:v>4123</x:v>
      </x:c>
      <x:c r="O26" s="6" t="str">
        <x:v>0</x:v>
      </x:c>
      <x:c r="P26" s="10" t="n">
        <x:f>F26-M26</x:f>
        <x:v>4069</x:v>
      </x:c>
      <x:c r="Q26" s="11" t="n">
        <x:f>IFERROR(M26/F26,"")</x:f>
        <x:v>0.01309725927722532</x:v>
      </x:c>
      <x:c r="R26" s="10" t="n">
        <x:f>G26+H26</x:f>
        <x:v>3394</x:v>
      </x:c>
      <x:c r="S26" s="11" t="n">
        <x:f>IFERROR(R26/F26,"")</x:f>
        <x:v>0.8231869997574581</x:v>
      </x:c>
      <x:c r="T26" s="11" t="n">
        <x:f>IFERROR(R26/P26,"")</x:f>
        <x:v>0.8341115753256328</x:v>
      </x:c>
      <x:c r="U26" s="10" t="n">
        <x:f>I26+J26+K26</x:f>
        <x:v>658</x:v>
      </x:c>
      <x:c r="V26" s="11" t="n">
        <x:f>IFERROR(U26/P26,"")</x:f>
        <x:v>0.16171049397886458</x:v>
      </x:c>
      <x:c r="W26" s="9" t="str">
        <x:v>mature_le_5pct_pending</x:v>
      </x:c>
      <x:c r="X26" s="12" t="n">
        <x:f>IFERROR(F26/Z26*100000,"")</x:f>
        <x:v>26.448984828559517</x:v>
      </x:c>
      <x:c r="Y26" s="13" t="n">
        <x:f>LN(Z26)</x:f>
        <x:v>16.562044020882176</x:v>
      </x:c>
      <x:c r="Z26" s="6" t="str">
        <x:v>15588500</x:v>
      </x:c>
      <x:c r="AA26" s="6" t="str">
        <x:v>215.0</x:v>
      </x:c>
      <x:c r="AB26" s="9" t="str">
        <x:v>2024-06-30</x:v>
      </x:c>
      <x:c r="AC26" s="8" t="str">
        <x:v>85.73</x:v>
      </x:c>
      <x:c r="AD26" s="9" t="str">
        <x:v>2024 (Susenas)</x:v>
      </x:c>
      <x:c r="AE26" s="8" t="str">
        <x:v>7.99</x:v>
      </x:c>
      <x:c r="AF26" s="9" t="str">
        <x:v>Maret 2024 (Susenas)</x:v>
      </x:c>
      <x:c r="AG26" s="6" t="str">
        <x:v>24.580245696784647</x:v>
      </x:c>
      <x:c r="AH26" s="8" t="str">
        <x:v>89.77942028217288</x:v>
      </x:c>
      <x:c r="AI26" s="6" t="str">
        <x:v>237.68658642696192</x:v>
      </x:c>
      <x:c r="AJ26" s="6" t="str">
        <x:v>0.8227566424224193</x:v>
      </x:c>
      <x:c r="AK26" s="8" t="str">
        <x:v>2.2905578294626885</x:v>
      </x:c>
      <x:c r="AL26" s="6" t="str">
        <x:v>3.197484179317298</x:v>
      </x:c>
      <x:c r="AM26" s="6" t="str">
        <x:v>2.762134362628866</x:v>
      </x:c>
      <x:c r="AN26" s="6" t="str">
        <x:v>2.750058790469617</x:v>
      </x:c>
      <x:c r="AO26" s="6" t="str">
        <x:v>1.2929216061675248</x:v>
      </x:c>
      <x:c r="AP26" s="8" t="str">
        <x:v>1.2740081433739785</x:v>
      </x:c>
      <x:c r="AQ26" s="6" t="str">
        <x:v>1.2762043411794688</x:v>
      </x:c>
      <x:c r="AR26" s="6" t="str">
        <x:v>0.3955856233242983</x:v>
      </x:c>
      <x:c r="AS26" s="6" t="str">
        <x:v>0.9819327026259154</x:v>
      </x:c>
      <x:c r="AT26" s="6" t="str">
        <x:v>11.753406015913129</x:v>
      </x:c>
      <x:c r="AU26" s="8" t="str">
        <x:v>0.1533546119220093</x:v>
      </x:c>
      <x:c r="AV26" s="6" t="str">
        <x:v>0.5572363661627762</x:v>
      </x:c>
      <x:c r="AW26" s="6" t="str">
        <x:v>0.2988820660705206</x:v>
      </x:c>
      <x:c r="AX26" s="6" t="str">
        <x:v>0.3364910147184353</x:v>
      </x:c>
      <x:c r="AY26" s="6" t="str">
        <x:v>0</x:v>
      </x:c>
      <x:c r="AZ26" s="6" t="str">
        <x:v>1</x:v>
      </x:c>
      <x:c r="BA26" s="9" t="str">
        <x:v>grid_cells_within_BIG_polygon</x:v>
      </x:c>
      <x:c r="BB26" s="6" t="str">
        <x:v>20</x:v>
      </x:c>
      <x:c r="BC26" s="6" t="str">
        <x:v>10</x:v>
      </x:c>
      <x:c r="BD26" s="6" t="str">
        <x:v>10</x:v>
      </x:c>
      <x:c r="BE26" s="6" t="str">
        <x:v>7</x:v>
      </x:c>
      <x:c r="BF26" s="6" t="str">
        <x:v>0</x:v>
      </x:c>
      <x:c r="BG26" s="6" t="str">
        <x:v>0</x:v>
      </x:c>
      <x:c r="BH26" s="6" t="str">
        <x:v>0</x:v>
      </x:c>
      <x:c r="BI26" s="6" t="str">
        <x:v>3</x:v>
      </x:c>
      <x:c r="BJ26" s="6" t="str">
        <x:v>0</x:v>
      </x:c>
      <x:c r="BK26" s="6" t="str">
        <x:v>0</x:v>
      </x:c>
      <x:c r="BL26" s="6" t="str">
        <x:v>0</x:v>
      </x:c>
      <x:c r="BM26" s="6" t="str">
        <x:v>0</x:v>
      </x:c>
      <x:c r="BN26" s="6" t="str">
        <x:v>10</x:v>
      </x:c>
      <x:c r="BO26" s="6" t="str">
        <x:v>0.0</x:v>
      </x:c>
      <x:c r="BP26" s="6" t="str">
        <x:v>2</x:v>
      </x:c>
      <x:c r="BQ26" s="6" t="str">
        <x:v>0.0</x:v>
      </x:c>
      <x:c r="BR26" s="6" t="str">
        <x:v>2</x:v>
      </x:c>
      <x:c r="BS26" s="6" t="str">
        <x:v>4.0</x:v>
      </x:c>
      <x:c r="BT26" s="6" t="str">
        <x:v>10</x:v>
      </x:c>
      <x:c r="BU26" s="6" t="str">
        <x:v>532.0</x:v>
      </x:c>
      <x:c r="BV26" s="6" t="str">
        <x:v>6</x:v>
      </x:c>
      <x:c r="BW26" s="9" t="str">
        <x:v>operational_snapshot_annual_totals_may_differ</x:v>
      </x:c>
      <x:c r="BX26" s="9" t="str">
        <x:v>official_live_dashboard_snapshot_subject_to_revision</x:v>
      </x:c>
      <x:c r="BY26" s="9" t="str">
        <x:v>https://tbdashboard.sitb.id/ss_data_tbc03so_2024_provinsi_bulanan_list.php</x:v>
      </x:c>
      <x:c r="BZ26" s="6" t="n">
        <x:v>46246.610671296294</x:v>
      </x:c>
    </x:row>
    <x:row r="27" ht="18" customHeight="1">
      <x:c r="A27" s="6" t="str">
        <x:v>12</x:v>
      </x:c>
      <x:c r="B27" s="6" t="str">
        <x:v>SUMATERA UTARA</x:v>
      </x:c>
      <x:c r="C27" s="6" t="str">
        <x:v>2024</x:v>
      </x:c>
      <x:c r="D27" s="6" t="str">
        <x:v>2</x:v>
      </x:c>
      <x:c r="E27" s="6" t="str">
        <x:v>2024-02</x:v>
      </x:c>
      <x:c r="F27" s="6" t="str">
        <x:v>3579</x:v>
      </x:c>
      <x:c r="G27" s="6" t="str">
        <x:v>774</x:v>
      </x:c>
      <x:c r="H27" s="6" t="str">
        <x:v>2163</x:v>
      </x:c>
      <x:c r="I27" s="6" t="str">
        <x:v>441</x:v>
      </x:c>
      <x:c r="J27" s="6" t="str">
        <x:v>145</x:v>
      </x:c>
      <x:c r="K27" s="6" t="str">
        <x:v>2</x:v>
      </x:c>
      <x:c r="L27" s="6" t="str">
        <x:v>15</x:v>
      </x:c>
      <x:c r="M27" s="6" t="str">
        <x:v>39</x:v>
      </x:c>
      <x:c r="N27" s="6" t="str">
        <x:v>3579</x:v>
      </x:c>
      <x:c r="O27" s="6" t="str">
        <x:v>0</x:v>
      </x:c>
      <x:c r="P27" s="10" t="n">
        <x:f>F27-M27</x:f>
        <x:v>3540</x:v>
      </x:c>
      <x:c r="Q27" s="11" t="n">
        <x:f>IFERROR(M27/F27,"")</x:f>
        <x:v>0.010896898575020955</x:v>
      </x:c>
      <x:c r="R27" s="10" t="n">
        <x:f>G27+H27</x:f>
        <x:v>2937</x:v>
      </x:c>
      <x:c r="S27" s="11" t="n">
        <x:f>IFERROR(R27/F27,"")</x:f>
        <x:v>0.8206202849958089</x:v>
      </x:c>
      <x:c r="T27" s="11" t="n">
        <x:f>IFERROR(R27/P27,"")</x:f>
        <x:v>0.8296610169491525</x:v>
      </x:c>
      <x:c r="U27" s="10" t="n">
        <x:f>I27+J27+K27</x:f>
        <x:v>588</x:v>
      </x:c>
      <x:c r="V27" s="11" t="n">
        <x:f>IFERROR(U27/P27,"")</x:f>
        <x:v>0.16610169491525423</x:v>
      </x:c>
      <x:c r="W27" s="9" t="str">
        <x:v>mature_le_5pct_pending</x:v>
      </x:c>
      <x:c r="X27" s="12" t="n">
        <x:f>IFERROR(F27/Z27*100000,"")</x:f>
        <x:v>22.959232767745455</x:v>
      </x:c>
      <x:c r="Y27" s="13" t="n">
        <x:f>LN(Z27)</x:f>
        <x:v>16.562044020882176</x:v>
      </x:c>
      <x:c r="Z27" s="6" t="str">
        <x:v>15588500</x:v>
      </x:c>
      <x:c r="AA27" s="6" t="str">
        <x:v>215.0</x:v>
      </x:c>
      <x:c r="AB27" s="9" t="str">
        <x:v>2024-06-30</x:v>
      </x:c>
      <x:c r="AC27" s="8" t="str">
        <x:v>85.73</x:v>
      </x:c>
      <x:c r="AD27" s="9" t="str">
        <x:v>2024 (Susenas)</x:v>
      </x:c>
      <x:c r="AE27" s="8" t="str">
        <x:v>7.99</x:v>
      </x:c>
      <x:c r="AF27" s="9" t="str">
        <x:v>Maret 2024 (Susenas)</x:v>
      </x:c>
      <x:c r="AG27" s="6" t="str">
        <x:v>25.26219461941835</x:v>
      </x:c>
      <x:c r="AH27" s="8" t="str">
        <x:v>87.9571461079924</x:v>
      </x:c>
      <x:c r="AI27" s="6" t="str">
        <x:v>196.23899695605252</x:v>
      </x:c>
      <x:c r="AJ27" s="6" t="str">
        <x:v>1.1773202252584447</x:v>
      </x:c>
      <x:c r="AK27" s="8" t="str">
        <x:v>3.1521616098950758</x:v>
      </x:c>
      <x:c r="AL27" s="6" t="str">
        <x:v>2.2905578294626885</x:v>
      </x:c>
      <x:c r="AM27" s="6" t="str">
        <x:v>3.197484179317298</x:v>
      </x:c>
      <x:c r="AN27" s="6" t="str">
        <x:v>2.880067872891688</x:v>
      </x:c>
      <x:c r="AO27" s="6" t="str">
        <x:v>0.6404852776089882</x:v>
      </x:c>
      <x:c r="AP27" s="8" t="str">
        <x:v>0.5712276136756078</x:v>
      </x:c>
      <x:c r="AQ27" s="6" t="str">
        <x:v>1.2740081433739785</x:v>
      </x:c>
      <x:c r="AR27" s="6" t="str">
        <x:v>1.2762043411794688</x:v>
      </x:c>
      <x:c r="AS27" s="6" t="str">
        <x:v>1.0404800327430186</x:v>
      </x:c>
      <x:c r="AT27" s="6" t="str">
        <x:v>-0.1414938368811817</x:v>
      </x:c>
      <x:c r="AU27" s="8" t="str">
        <x:v>-0.0021391246829829</x:v>
      </x:c>
      <x:c r="AV27" s="6" t="str">
        <x:v>0.1533546119220093</x:v>
      </x:c>
      <x:c r="AW27" s="6" t="str">
        <x:v>0.5572363661627762</x:v>
      </x:c>
      <x:c r="AX27" s="6" t="str">
        <x:v>0.2361506178006007</x:v>
      </x:c>
      <x:c r="AY27" s="6" t="str">
        <x:v>0</x:v>
      </x:c>
      <x:c r="AZ27" s="6" t="str">
        <x:v>1</x:v>
      </x:c>
      <x:c r="BA27" s="9" t="str">
        <x:v>grid_cells_within_BIG_polygon</x:v>
      </x:c>
      <x:c r="BB27" s="6" t="str">
        <x:v>20</x:v>
      </x:c>
      <x:c r="BC27" s="6" t="str">
        <x:v>18</x:v>
      </x:c>
      <x:c r="BD27" s="6" t="str">
        <x:v>18</x:v>
      </x:c>
      <x:c r="BE27" s="6" t="str">
        <x:v>6</x:v>
      </x:c>
      <x:c r="BF27" s="6" t="str">
        <x:v>1</x:v>
      </x:c>
      <x:c r="BG27" s="6" t="str">
        <x:v>0</x:v>
      </x:c>
      <x:c r="BH27" s="6" t="str">
        <x:v>0</x:v>
      </x:c>
      <x:c r="BI27" s="6" t="str">
        <x:v>11</x:v>
      </x:c>
      <x:c r="BJ27" s="6" t="str">
        <x:v>0</x:v>
      </x:c>
      <x:c r="BK27" s="6" t="str">
        <x:v>0</x:v>
      </x:c>
      <x:c r="BL27" s="6" t="str">
        <x:v>0</x:v>
      </x:c>
      <x:c r="BM27" s="6" t="str">
        <x:v>0</x:v>
      </x:c>
      <x:c r="BN27" s="6" t="str">
        <x:v>18</x:v>
      </x:c>
      <x:c r="BO27" s="6" t="str">
        <x:v>3.0</x:v>
      </x:c>
      <x:c r="BP27" s="6" t="str">
        <x:v>1</x:v>
      </x:c>
      <x:c r="BQ27" s="6" t="str">
        <x:v>14.0</x:v>
      </x:c>
      <x:c r="BR27" s="6" t="str">
        <x:v>1</x:v>
      </x:c>
      <x:c r="BS27" s="6" t="str">
        <x:v>6.0</x:v>
      </x:c>
      <x:c r="BT27" s="6" t="str">
        <x:v>18</x:v>
      </x:c>
      <x:c r="BU27" s="6" t="str">
        <x:v>1170.0</x:v>
      </x:c>
      <x:c r="BV27" s="6" t="str">
        <x:v>6</x:v>
      </x:c>
      <x:c r="BW27" s="9" t="str">
        <x:v>operational_snapshot_annual_totals_may_differ</x:v>
      </x:c>
      <x:c r="BX27" s="9" t="str">
        <x:v>official_live_dashboard_snapshot_subject_to_revision</x:v>
      </x:c>
      <x:c r="BY27" s="9" t="str">
        <x:v>https://tbdashboard.sitb.id/ss_data_tbc03so_2024_provinsi_bulanan_list.php</x:v>
      </x:c>
      <x:c r="BZ27" s="6" t="n">
        <x:v>46246.610671296294</x:v>
      </x:c>
    </x:row>
    <x:row r="28" ht="18" customHeight="1">
      <x:c r="A28" s="6" t="str">
        <x:v>12</x:v>
      </x:c>
      <x:c r="B28" s="6" t="str">
        <x:v>SUMATERA UTARA</x:v>
      </x:c>
      <x:c r="C28" s="6" t="str">
        <x:v>2024</x:v>
      </x:c>
      <x:c r="D28" s="6" t="str">
        <x:v>3</x:v>
      </x:c>
      <x:c r="E28" s="6" t="str">
        <x:v>2024-03</x:v>
      </x:c>
      <x:c r="F28" s="6" t="str">
        <x:v>3582</x:v>
      </x:c>
      <x:c r="G28" s="6" t="str">
        <x:v>814</x:v>
      </x:c>
      <x:c r="H28" s="6" t="str">
        <x:v>2147</x:v>
      </x:c>
      <x:c r="I28" s="6" t="str">
        <x:v>420</x:v>
      </x:c>
      <x:c r="J28" s="6" t="str">
        <x:v>166</x:v>
      </x:c>
      <x:c r="K28" s="6" t="str">
        <x:v>2</x:v>
      </x:c>
      <x:c r="L28" s="6" t="str">
        <x:v>6</x:v>
      </x:c>
      <x:c r="M28" s="6" t="str">
        <x:v>27</x:v>
      </x:c>
      <x:c r="N28" s="6" t="str">
        <x:v>3582</x:v>
      </x:c>
      <x:c r="O28" s="6" t="str">
        <x:v>0</x:v>
      </x:c>
      <x:c r="P28" s="10" t="n">
        <x:f>F28-M28</x:f>
        <x:v>3555</x:v>
      </x:c>
      <x:c r="Q28" s="11" t="n">
        <x:f>IFERROR(M28/F28,"")</x:f>
        <x:v>0.007537688442211055</x:v>
      </x:c>
      <x:c r="R28" s="10" t="n">
        <x:f>G28+H28</x:f>
        <x:v>2961</x:v>
      </x:c>
      <x:c r="S28" s="11" t="n">
        <x:f>IFERROR(R28/F28,"")</x:f>
        <x:v>0.8266331658291457</x:v>
      </x:c>
      <x:c r="T28" s="11" t="n">
        <x:f>IFERROR(R28/P28,"")</x:f>
        <x:v>0.8329113924050633</x:v>
      </x:c>
      <x:c r="U28" s="10" t="n">
        <x:f>I28+J28+K28</x:f>
        <x:v>588</x:v>
      </x:c>
      <x:c r="V28" s="11" t="n">
        <x:f>IFERROR(U28/P28,"")</x:f>
        <x:v>0.16540084388185655</x:v>
      </x:c>
      <x:c r="W28" s="9" t="str">
        <x:v>mature_le_5pct_pending</x:v>
      </x:c>
      <x:c r="X28" s="12" t="n">
        <x:f>IFERROR(F28/Z28*100000,"")</x:f>
        <x:v>22.978477723963177</x:v>
      </x:c>
      <x:c r="Y28" s="13" t="n">
        <x:f>LN(Z28)</x:f>
        <x:v>16.562044020882176</x:v>
      </x:c>
      <x:c r="Z28" s="6" t="str">
        <x:v>15588500</x:v>
      </x:c>
      <x:c r="AA28" s="6" t="str">
        <x:v>215.0</x:v>
      </x:c>
      <x:c r="AB28" s="9" t="str">
        <x:v>2024-06-30</x:v>
      </x:c>
      <x:c r="AC28" s="8" t="str">
        <x:v>85.73</x:v>
      </x:c>
      <x:c r="AD28" s="9" t="str">
        <x:v>2024 (Susenas)</x:v>
      </x:c>
      <x:c r="AE28" s="8" t="str">
        <x:v>7.99</x:v>
      </x:c>
      <x:c r="AF28" s="9" t="str">
        <x:v>Maret 2024 (Susenas)</x:v>
      </x:c>
      <x:c r="AG28" s="6" t="str">
        <x:v>25.42362849806649</x:v>
      </x:c>
      <x:c r="AH28" s="8" t="str">
        <x:v>87.42602027543938</x:v>
      </x:c>
      <x:c r="AI28" s="6" t="str">
        <x:v>240.27501007009667</x:v>
      </x:c>
      <x:c r="AJ28" s="6" t="str">
        <x:v>1.0394003586178933</x:v>
      </x:c>
      <x:c r="AK28" s="8" t="str">
        <x:v>2.434023672373092</x:v>
      </x:c>
      <x:c r="AL28" s="6" t="str">
        <x:v>3.1521616098950758</x:v>
      </x:c>
      <x:c r="AM28" s="6" t="str">
        <x:v>2.2905578294626885</x:v>
      </x:c>
      <x:c r="AN28" s="6" t="str">
        <x:v>2.625581037243619</x:v>
      </x:c>
      <x:c r="AO28" s="6" t="str">
        <x:v>-0.1238036010111471</x:v>
      </x:c>
      <x:c r="AP28" s="8" t="str">
        <x:v>-0.1175164766521647</x:v>
      </x:c>
      <x:c r="AQ28" s="6" t="str">
        <x:v>0.5712276136756078</x:v>
      </x:c>
      <x:c r="AR28" s="6" t="str">
        <x:v>1.2740081433739785</x:v>
      </x:c>
      <x:c r="AS28" s="6" t="str">
        <x:v>0.5759064267991406</x:v>
      </x:c>
      <x:c r="AT28" s="6" t="str">
        <x:v>-26.83048557708375</x:v>
      </x:c>
      <x:c r="AU28" s="8" t="str">
        <x:v>-0.3165030569878594</x:v>
      </x:c>
      <x:c r="AV28" s="6" t="str">
        <x:v>-0.0021391246829829</x:v>
      </x:c>
      <x:c r="AW28" s="6" t="str">
        <x:v>0.1533546119220093</x:v>
      </x:c>
      <x:c r="AX28" s="6" t="str">
        <x:v>-0.0550958565829444</x:v>
      </x:c>
      <x:c r="AY28" s="6" t="str">
        <x:v>0</x:v>
      </x:c>
      <x:c r="AZ28" s="6" t="str">
        <x:v>1</x:v>
      </x:c>
      <x:c r="BA28" s="9" t="str">
        <x:v>grid_cells_within_BIG_polygon</x:v>
      </x:c>
      <x:c r="BB28" s="6" t="str">
        <x:v>20</x:v>
      </x:c>
      <x:c r="BC28" s="6" t="str">
        <x:v>38</x:v>
      </x:c>
      <x:c r="BD28" s="6" t="str">
        <x:v>38</x:v>
      </x:c>
      <x:c r="BE28" s="6" t="str">
        <x:v>5</x:v>
      </x:c>
      <x:c r="BF28" s="6" t="str">
        <x:v>1</x:v>
      </x:c>
      <x:c r="BG28" s="6" t="str">
        <x:v>3</x:v>
      </x:c>
      <x:c r="BH28" s="6" t="str">
        <x:v>0</x:v>
      </x:c>
      <x:c r="BI28" s="6" t="str">
        <x:v>29</x:v>
      </x:c>
      <x:c r="BJ28" s="6" t="str">
        <x:v>0</x:v>
      </x:c>
      <x:c r="BK28" s="6" t="str">
        <x:v>0</x:v>
      </x:c>
      <x:c r="BL28" s="6" t="str">
        <x:v>0</x:v>
      </x:c>
      <x:c r="BM28" s="6" t="str">
        <x:v>0</x:v>
      </x:c>
      <x:c r="BN28" s="6" t="str">
        <x:v>38</x:v>
      </x:c>
      <x:c r="BO28" s="6" t="str">
        <x:v>0.0</x:v>
      </x:c>
      <x:c r="BP28" s="6" t="str">
        <x:v>1</x:v>
      </x:c>
      <x:c r="BQ28" s="6" t="str">
        <x:v>0.0</x:v>
      </x:c>
      <x:c r="BR28" s="6" t="str">
        <x:v>1</x:v>
      </x:c>
      <x:c r="BS28" s="6" t="str">
        <x:v>30.0</x:v>
      </x:c>
      <x:c r="BT28" s="6" t="str">
        <x:v>38</x:v>
      </x:c>
      <x:c r="BU28" s="6" t="str">
        <x:v>1267.0</x:v>
      </x:c>
      <x:c r="BV28" s="6" t="str">
        <x:v>4</x:v>
      </x:c>
      <x:c r="BW28" s="9" t="str">
        <x:v>operational_snapshot_annual_totals_may_differ</x:v>
      </x:c>
      <x:c r="BX28" s="9" t="str">
        <x:v>official_live_dashboard_snapshot_subject_to_revision</x:v>
      </x:c>
      <x:c r="BY28" s="9" t="str">
        <x:v>https://tbdashboard.sitb.id/ss_data_tbc03so_2024_provinsi_bulanan_list.php</x:v>
      </x:c>
      <x:c r="BZ28" s="6" t="n">
        <x:v>46246.610671296294</x:v>
      </x:c>
    </x:row>
    <x:row r="29" ht="18" customHeight="1">
      <x:c r="A29" s="6" t="str">
        <x:v>12</x:v>
      </x:c>
      <x:c r="B29" s="6" t="str">
        <x:v>SUMATERA UTARA</x:v>
      </x:c>
      <x:c r="C29" s="6" t="str">
        <x:v>2024</x:v>
      </x:c>
      <x:c r="D29" s="6" t="str">
        <x:v>4</x:v>
      </x:c>
      <x:c r="E29" s="6" t="str">
        <x:v>2024-04</x:v>
      </x:c>
      <x:c r="F29" s="6" t="str">
        <x:v>3268</x:v>
      </x:c>
      <x:c r="G29" s="6" t="str">
        <x:v>784</x:v>
      </x:c>
      <x:c r="H29" s="6" t="str">
        <x:v>1838</x:v>
      </x:c>
      <x:c r="I29" s="6" t="str">
        <x:v>475</x:v>
      </x:c>
      <x:c r="J29" s="6" t="str">
        <x:v>133</x:v>
      </x:c>
      <x:c r="K29" s="6" t="str">
        <x:v>3</x:v>
      </x:c>
      <x:c r="L29" s="6" t="str">
        <x:v>4</x:v>
      </x:c>
      <x:c r="M29" s="6" t="str">
        <x:v>31</x:v>
      </x:c>
      <x:c r="N29" s="6" t="str">
        <x:v>3268</x:v>
      </x:c>
      <x:c r="O29" s="6" t="str">
        <x:v>0</x:v>
      </x:c>
      <x:c r="P29" s="10" t="n">
        <x:f>F29-M29</x:f>
        <x:v>3237</x:v>
      </x:c>
      <x:c r="Q29" s="11" t="n">
        <x:f>IFERROR(M29/F29,"")</x:f>
        <x:v>0.009485924112607099</x:v>
      </x:c>
      <x:c r="R29" s="10" t="n">
        <x:f>G29+H29</x:f>
        <x:v>2622</x:v>
      </x:c>
      <x:c r="S29" s="11" t="n">
        <x:f>IFERROR(R29/F29,"")</x:f>
        <x:v>0.8023255813953488</x:v>
      </x:c>
      <x:c r="T29" s="11" t="n">
        <x:f>IFERROR(R29/P29,"")</x:f>
        <x:v>0.8100092678405931</x:v>
      </x:c>
      <x:c r="U29" s="10" t="n">
        <x:f>I29+J29+K29</x:f>
        <x:v>611</x:v>
      </x:c>
      <x:c r="V29" s="11" t="n">
        <x:f>IFERROR(U29/P29,"")</x:f>
        <x:v>0.18875502008032127</x:v>
      </x:c>
      <x:c r="W29" s="9" t="str">
        <x:v>mature_le_5pct_pending</x:v>
      </x:c>
      <x:c r="X29" s="12" t="n">
        <x:f>IFERROR(F29/Z29*100000,"")</x:f>
        <x:v>20.964172306508004</x:v>
      </x:c>
      <x:c r="Y29" s="13" t="n">
        <x:f>LN(Z29)</x:f>
        <x:v>16.562044020882176</x:v>
      </x:c>
      <x:c r="Z29" s="6" t="str">
        <x:v>15588500</x:v>
      </x:c>
      <x:c r="AA29" s="6" t="str">
        <x:v>215.0</x:v>
      </x:c>
      <x:c r="AB29" s="9" t="str">
        <x:v>2024-06-30</x:v>
      </x:c>
      <x:c r="AC29" s="8" t="str">
        <x:v>85.73</x:v>
      </x:c>
      <x:c r="AD29" s="9" t="str">
        <x:v>2024 (Susenas)</x:v>
      </x:c>
      <x:c r="AE29" s="8" t="str">
        <x:v>7.99</x:v>
      </x:c>
      <x:c r="AF29" s="9" t="str">
        <x:v>Maret 2024 (Susenas)</x:v>
      </x:c>
      <x:c r="AG29" s="6" t="str">
        <x:v>25.83951458798189</x:v>
      </x:c>
      <x:c r="AH29" s="8" t="str">
        <x:v>88.79728716354116</x:v>
      </x:c>
      <x:c r="AI29" s="6" t="str">
        <x:v>311.29135329092827</x:v>
      </x:c>
      <x:c r="AJ29" s="6" t="str">
        <x:v>1.223795172482756</x:v>
      </x:c>
      <x:c r="AK29" s="8" t="str">
        <x:v>2.967102642052784</x:v>
      </x:c>
      <x:c r="AL29" s="6" t="str">
        <x:v>2.434023672373092</x:v>
      </x:c>
      <x:c r="AM29" s="6" t="str">
        <x:v>3.1521616098950758</x:v>
      </x:c>
      <x:c r="AN29" s="6" t="str">
        <x:v>2.8510959747736506</x:v>
      </x:c>
      <x:c r="AO29" s="6" t="str">
        <x:v>0.2568127449025184</x:v>
      </x:c>
      <x:c r="AP29" s="8" t="str">
        <x:v>0.3147899124647366</x:v>
      </x:c>
      <x:c r="AQ29" s="6" t="str">
        <x:v>-0.1175164766521647</x:v>
      </x:c>
      <x:c r="AR29" s="6" t="str">
        <x:v>0.5712276136756078</x:v>
      </x:c>
      <x:c r="AS29" s="6" t="str">
        <x:v>0.25616701649606</x:v>
      </x:c>
      <x:c r="AT29" s="6" t="str">
        <x:v>50.29247302471248</x:v>
      </x:c>
      <x:c r="AU29" s="8" t="str">
        <x:v>0.7646562398974681</x:v>
      </x:c>
      <x:c r="AV29" s="6" t="str">
        <x:v>-0.3165030569878594</x:v>
      </x:c>
      <x:c r="AW29" s="6" t="str">
        <x:v>-0.0021391246829829</x:v>
      </x:c>
      <x:c r="AX29" s="6" t="str">
        <x:v>0.1486713527422085</x:v>
      </x:c>
      <x:c r="AY29" s="6" t="str">
        <x:v>0</x:v>
      </x:c>
      <x:c r="AZ29" s="6" t="str">
        <x:v>1</x:v>
      </x:c>
      <x:c r="BA29" s="9" t="str">
        <x:v>grid_cells_within_BIG_polygon</x:v>
      </x:c>
      <x:c r="BB29" s="6" t="str">
        <x:v>20</x:v>
      </x:c>
      <x:c r="BC29" s="6" t="str">
        <x:v>19</x:v>
      </x:c>
      <x:c r="BD29" s="6" t="str">
        <x:v>19</x:v>
      </x:c>
      <x:c r="BE29" s="6" t="str">
        <x:v>9</x:v>
      </x:c>
      <x:c r="BF29" s="6" t="str">
        <x:v>1</x:v>
      </x:c>
      <x:c r="BG29" s="6" t="str">
        <x:v>1</x:v>
      </x:c>
      <x:c r="BH29" s="6" t="str">
        <x:v>0</x:v>
      </x:c>
      <x:c r="BI29" s="6" t="str">
        <x:v>8</x:v>
      </x:c>
      <x:c r="BJ29" s="6" t="str">
        <x:v>0</x:v>
      </x:c>
      <x:c r="BK29" s="6" t="str">
        <x:v>0</x:v>
      </x:c>
      <x:c r="BL29" s="6" t="str">
        <x:v>0</x:v>
      </x:c>
      <x:c r="BM29" s="6" t="str">
        <x:v>0</x:v>
      </x:c>
      <x:c r="BN29" s="6" t="str">
        <x:v>19</x:v>
      </x:c>
      <x:c r="BO29" s="6" t="str">
        <x:v>2.0</x:v>
      </x:c>
      <x:c r="BP29" s="6" t="str">
        <x:v>2</x:v>
      </x:c>
      <x:c r="BQ29" s="6" t="str">
        <x:v>11.0</x:v>
      </x:c>
      <x:c r="BR29" s="6" t="str">
        <x:v>1</x:v>
      </x:c>
      <x:c r="BS29" s="6" t="str">
        <x:v>18.0</x:v>
      </x:c>
      <x:c r="BT29" s="6" t="str">
        <x:v>19</x:v>
      </x:c>
      <x:c r="BU29" s="6" t="str">
        <x:v>551.0</x:v>
      </x:c>
      <x:c r="BV29" s="6" t="str">
        <x:v>6</x:v>
      </x:c>
      <x:c r="BW29" s="9" t="str">
        <x:v>operational_snapshot_annual_totals_may_differ</x:v>
      </x:c>
      <x:c r="BX29" s="9" t="str">
        <x:v>official_live_dashboard_snapshot_subject_to_revision</x:v>
      </x:c>
      <x:c r="BY29" s="9" t="str">
        <x:v>https://tbdashboard.sitb.id/ss_data_tbc03so_2024_provinsi_bulanan_list.php</x:v>
      </x:c>
      <x:c r="BZ29" s="6" t="n">
        <x:v>46246.610671296294</x:v>
      </x:c>
    </x:row>
    <x:row r="30" ht="18" customHeight="1">
      <x:c r="A30" s="6" t="str">
        <x:v>12</x:v>
      </x:c>
      <x:c r="B30" s="6" t="str">
        <x:v>SUMATERA UTARA</x:v>
      </x:c>
      <x:c r="C30" s="6" t="str">
        <x:v>2024</x:v>
      </x:c>
      <x:c r="D30" s="6" t="str">
        <x:v>5</x:v>
      </x:c>
      <x:c r="E30" s="6" t="str">
        <x:v>2024-05</x:v>
      </x:c>
      <x:c r="F30" s="6" t="str">
        <x:v>3964</x:v>
      </x:c>
      <x:c r="G30" s="6" t="str">
        <x:v>946</x:v>
      </x:c>
      <x:c r="H30" s="6" t="str">
        <x:v>2293</x:v>
      </x:c>
      <x:c r="I30" s="6" t="str">
        <x:v>487</x:v>
      </x:c>
      <x:c r="J30" s="6" t="str">
        <x:v>168</x:v>
      </x:c>
      <x:c r="K30" s="6" t="str">
        <x:v>2</x:v>
      </x:c>
      <x:c r="L30" s="6" t="str">
        <x:v>13</x:v>
      </x:c>
      <x:c r="M30" s="6" t="str">
        <x:v>55</x:v>
      </x:c>
      <x:c r="N30" s="6" t="str">
        <x:v>3964</x:v>
      </x:c>
      <x:c r="O30" s="6" t="str">
        <x:v>0</x:v>
      </x:c>
      <x:c r="P30" s="10" t="n">
        <x:f>F30-M30</x:f>
        <x:v>3909</x:v>
      </x:c>
      <x:c r="Q30" s="11" t="n">
        <x:f>IFERROR(M30/F30,"")</x:f>
        <x:v>0.013874873864783047</x:v>
      </x:c>
      <x:c r="R30" s="10" t="n">
        <x:f>G30+H30</x:f>
        <x:v>3239</x:v>
      </x:c>
      <x:c r="S30" s="11" t="n">
        <x:f>IFERROR(R30/F30,"")</x:f>
        <x:v>0.8171039354187689</x:v>
      </x:c>
      <x:c r="T30" s="11" t="n">
        <x:f>IFERROR(R30/P30,"")</x:f>
        <x:v>0.8286006651317472</x:v>
      </x:c>
      <x:c r="U30" s="10" t="n">
        <x:f>I30+J30+K30</x:f>
        <x:v>657</x:v>
      </x:c>
      <x:c r="V30" s="11" t="n">
        <x:f>IFERROR(U30/P30,"")</x:f>
        <x:v>0.16807367613200308</x:v>
      </x:c>
      <x:c r="W30" s="9" t="str">
        <x:v>mature_le_5pct_pending</x:v>
      </x:c>
      <x:c r="X30" s="12" t="n">
        <x:f>IFERROR(F30/Z30*100000,"")</x:f>
        <x:v>25.42900214902011</x:v>
      </x:c>
      <x:c r="Y30" s="13" t="n">
        <x:f>LN(Z30)</x:f>
        <x:v>16.562044020882176</x:v>
      </x:c>
      <x:c r="Z30" s="6" t="str">
        <x:v>15588500</x:v>
      </x:c>
      <x:c r="AA30" s="6" t="str">
        <x:v>215.0</x:v>
      </x:c>
      <x:c r="AB30" s="9" t="str">
        <x:v>2024-06-30</x:v>
      </x:c>
      <x:c r="AC30" s="8" t="str">
        <x:v>85.73</x:v>
      </x:c>
      <x:c r="AD30" s="9" t="str">
        <x:v>2024 (Susenas)</x:v>
      </x:c>
      <x:c r="AE30" s="8" t="str">
        <x:v>7.99</x:v>
      </x:c>
      <x:c r="AF30" s="9" t="str">
        <x:v>Maret 2024 (Susenas)</x:v>
      </x:c>
      <x:c r="AG30" s="6" t="str">
        <x:v>25.790502639639115</x:v>
      </x:c>
      <x:c r="AH30" s="8" t="str">
        <x:v>89.36506548951076</x:v>
      </x:c>
      <x:c r="AI30" s="6" t="str">
        <x:v>298.405551690517</x:v>
      </x:c>
      <x:c r="AJ30" s="6" t="str">
        <x:v>1.0687021704720898</x:v>
      </x:c>
      <x:c r="AK30" s="8" t="str">
        <x:v>3.4531023095094198</x:v>
      </x:c>
      <x:c r="AL30" s="6" t="str">
        <x:v>2.967102642052784</x:v>
      </x:c>
      <x:c r="AM30" s="6" t="str">
        <x:v>2.434023672373092</x:v>
      </x:c>
      <x:c r="AN30" s="6" t="str">
        <x:v>2.951409541311765</x:v>
      </x:c>
      <x:c r="AO30" s="6" t="str">
        <x:v>0.8427328552632787</x:v>
      </x:c>
      <x:c r="AP30" s="8" t="str">
        <x:v>1.114234965137487</x:v>
      </x:c>
      <x:c r="AQ30" s="6" t="str">
        <x:v>0.3147899124647366</x:v>
      </x:c>
      <x:c r="AR30" s="6" t="str">
        <x:v>-0.1175164766521647</x:v>
      </x:c>
      <x:c r="AS30" s="6" t="str">
        <x:v>0.437169466983353</x:v>
      </x:c>
      <x:c r="AT30" s="6" t="str">
        <x:v>53.366437292601546</x:v>
      </x:c>
      <x:c r="AU30" s="8" t="str">
        <x:v>0.6328026964738083</x:v>
      </x:c>
      <x:c r="AV30" s="6" t="str">
        <x:v>0.7646562398974681</x:v>
      </x:c>
      <x:c r="AW30" s="6" t="str">
        <x:v>-0.3165030569878594</x:v>
      </x:c>
      <x:c r="AX30" s="6" t="str">
        <x:v>0.3603186264611389</x:v>
      </x:c>
      <x:c r="AY30" s="6" t="str">
        <x:v>0</x:v>
      </x:c>
      <x:c r="AZ30" s="6" t="str">
        <x:v>1</x:v>
      </x:c>
      <x:c r="BA30" s="9" t="str">
        <x:v>grid_cells_within_BIG_polygon</x:v>
      </x:c>
      <x:c r="BB30" s="6" t="str">
        <x:v>20</x:v>
      </x:c>
      <x:c r="BC30" s="6" t="str">
        <x:v>15</x:v>
      </x:c>
      <x:c r="BD30" s="6" t="str">
        <x:v>15</x:v>
      </x:c>
      <x:c r="BE30" s="6" t="str">
        <x:v>3</x:v>
      </x:c>
      <x:c r="BF30" s="6" t="str">
        <x:v>2</x:v>
      </x:c>
      <x:c r="BG30" s="6" t="str">
        <x:v>5</x:v>
      </x:c>
      <x:c r="BH30" s="6" t="str">
        <x:v>0</x:v>
      </x:c>
      <x:c r="BI30" s="6" t="str">
        <x:v>5</x:v>
      </x:c>
      <x:c r="BJ30" s="6" t="str">
        <x:v>0</x:v>
      </x:c>
      <x:c r="BK30" s="6" t="str">
        <x:v>0</x:v>
      </x:c>
      <x:c r="BL30" s="6" t="str">
        <x:v>0</x:v>
      </x:c>
      <x:c r="BM30" s="6" t="str">
        <x:v>0</x:v>
      </x:c>
      <x:c r="BN30" s="6" t="str">
        <x:v>15</x:v>
      </x:c>
      <x:c r="BO30" s="6" t="str">
        <x:v>3.0</x:v>
      </x:c>
      <x:c r="BP30" s="6" t="str">
        <x:v>3</x:v>
      </x:c>
      <x:c r="BQ30" s="6" t="str">
        <x:v>2.0</x:v>
      </x:c>
      <x:c r="BR30" s="6" t="str">
        <x:v>1</x:v>
      </x:c>
      <x:c r="BS30" s="6" t="str">
        <x:v>40.0</x:v>
      </x:c>
      <x:c r="BT30" s="6" t="str">
        <x:v>15</x:v>
      </x:c>
      <x:c r="BU30" s="6" t="str">
        <x:v>109.0</x:v>
      </x:c>
      <x:c r="BV30" s="6" t="str">
        <x:v>3</x:v>
      </x:c>
      <x:c r="BW30" s="9" t="str">
        <x:v>operational_snapshot_annual_totals_may_differ</x:v>
      </x:c>
      <x:c r="BX30" s="9" t="str">
        <x:v>official_live_dashboard_snapshot_subject_to_revision</x:v>
      </x:c>
      <x:c r="BY30" s="9" t="str">
        <x:v>https://tbdashboard.sitb.id/ss_data_tbc03so_2024_provinsi_bulanan_list.php</x:v>
      </x:c>
      <x:c r="BZ30" s="6" t="n">
        <x:v>46246.610671296294</x:v>
      </x:c>
    </x:row>
    <x:row r="31" ht="18" customHeight="1">
      <x:c r="A31" s="6" t="str">
        <x:v>12</x:v>
      </x:c>
      <x:c r="B31" s="6" t="str">
        <x:v>SUMATERA UTARA</x:v>
      </x:c>
      <x:c r="C31" s="6" t="str">
        <x:v>2024</x:v>
      </x:c>
      <x:c r="D31" s="6" t="str">
        <x:v>6</x:v>
      </x:c>
      <x:c r="E31" s="6" t="str">
        <x:v>2024-06</x:v>
      </x:c>
      <x:c r="F31" s="6" t="str">
        <x:v>3668</x:v>
      </x:c>
      <x:c r="G31" s="6" t="str">
        <x:v>840</x:v>
      </x:c>
      <x:c r="H31" s="6" t="str">
        <x:v>2125</x:v>
      </x:c>
      <x:c r="I31" s="6" t="str">
        <x:v>497</x:v>
      </x:c>
      <x:c r="J31" s="6" t="str">
        <x:v>139</x:v>
      </x:c>
      <x:c r="K31" s="6" t="str">
        <x:v>2</x:v>
      </x:c>
      <x:c r="L31" s="6" t="str">
        <x:v>23</x:v>
      </x:c>
      <x:c r="M31" s="6" t="str">
        <x:v>42</x:v>
      </x:c>
      <x:c r="N31" s="6" t="str">
        <x:v>3668</x:v>
      </x:c>
      <x:c r="O31" s="6" t="str">
        <x:v>0</x:v>
      </x:c>
      <x:c r="P31" s="10" t="n">
        <x:f>F31-M31</x:f>
        <x:v>3626</x:v>
      </x:c>
      <x:c r="Q31" s="11" t="n">
        <x:f>IFERROR(M31/F31,"")</x:f>
        <x:v>0.011450381679389313</x:v>
      </x:c>
      <x:c r="R31" s="10" t="n">
        <x:f>G31+H31</x:f>
        <x:v>2965</x:v>
      </x:c>
      <x:c r="S31" s="11" t="n">
        <x:f>IFERROR(R31/F31,"")</x:f>
        <x:v>0.8083424209378408</x:v>
      </x:c>
      <x:c r="T31" s="11" t="n">
        <x:f>IFERROR(R31/P31,"")</x:f>
        <x:v>0.8177054605626034</x:v>
      </x:c>
      <x:c r="U31" s="10" t="n">
        <x:f>I31+J31+K31</x:f>
        <x:v>638</x:v>
      </x:c>
      <x:c r="V31" s="11" t="n">
        <x:f>IFERROR(U31/P31,"")</x:f>
        <x:v>0.17595146166574738</x:v>
      </x:c>
      <x:c r="W31" s="9" t="str">
        <x:v>mature_le_5pct_pending</x:v>
      </x:c>
      <x:c r="X31" s="12" t="n">
        <x:f>IFERROR(F31/Z31*100000,"")</x:f>
        <x:v>23.530166468871283</x:v>
      </x:c>
      <x:c r="Y31" s="13" t="n">
        <x:f>LN(Z31)</x:f>
        <x:v>16.562044020882176</x:v>
      </x:c>
      <x:c r="Z31" s="6" t="str">
        <x:v>15588500</x:v>
      </x:c>
      <x:c r="AA31" s="6" t="str">
        <x:v>215.0</x:v>
      </x:c>
      <x:c r="AB31" s="9" t="str">
        <x:v>2024-06-30</x:v>
      </x:c>
      <x:c r="AC31" s="8" t="str">
        <x:v>85.73</x:v>
      </x:c>
      <x:c r="AD31" s="9" t="str">
        <x:v>2024 (Susenas)</x:v>
      </x:c>
      <x:c r="AE31" s="8" t="str">
        <x:v>7.99</x:v>
      </x:c>
      <x:c r="AF31" s="9" t="str">
        <x:v>Maret 2024 (Susenas)</x:v>
      </x:c>
      <x:c r="AG31" s="6" t="str">
        <x:v>24.967607231677377</x:v>
      </x:c>
      <x:c r="AH31" s="8" t="str">
        <x:v>88.21634060251446</x:v>
      </x:c>
      <x:c r="AI31" s="6" t="str">
        <x:v>403.4146588737878</x:v>
      </x:c>
      <x:c r="AJ31" s="6" t="str">
        <x:v>0.7036615808807412</x:v>
      </x:c>
      <x:c r="AK31" s="8" t="str">
        <x:v>2.8022671070869154</x:v>
      </x:c>
      <x:c r="AL31" s="6" t="str">
        <x:v>3.4531023095094198</x:v>
      </x:c>
      <x:c r="AM31" s="6" t="str">
        <x:v>2.967102642052784</x:v>
      </x:c>
      <x:c r="AN31" s="6" t="str">
        <x:v>3.07415735288304</x:v>
      </x:c>
      <x:c r="AO31" s="6" t="str">
        <x:v>0.214730347752436</x:v>
      </x:c>
      <x:c r="AP31" s="8" t="str">
        <x:v>0.2557695965831485</x:v>
      </x:c>
      <x:c r="AQ31" s="6" t="str">
        <x:v>1.114234965137487</x:v>
      </x:c>
      <x:c r="AR31" s="6" t="str">
        <x:v>0.3147899124647366</x:v>
      </x:c>
      <x:c r="AS31" s="6" t="str">
        <x:v>0.5615981580617909</x:v>
      </x:c>
      <x:c r="AT31" s="6" t="str">
        <x:v>217.60911854529985</x:v>
      </x:c>
      <x:c r="AU31" s="8" t="str">
        <x:v>4.041785403606899</x:v>
      </x:c>
      <x:c r="AV31" s="6" t="str">
        <x:v>0.6328026964738083</x:v>
      </x:c>
      <x:c r="AW31" s="6" t="str">
        <x:v>0.7646562398974681</x:v>
      </x:c>
      <x:c r="AX31" s="6" t="str">
        <x:v>1.813081446659392</x:v>
      </x:c>
      <x:c r="AY31" s="6" t="str">
        <x:v>1</x:v>
      </x:c>
      <x:c r="AZ31" s="6" t="str">
        <x:v>1</x:v>
      </x:c>
      <x:c r="BA31" s="9" t="str">
        <x:v>grid_cells_within_BIG_polygon</x:v>
      </x:c>
      <x:c r="BB31" s="6" t="str">
        <x:v>20</x:v>
      </x:c>
      <x:c r="BC31" s="6" t="str">
        <x:v>21</x:v>
      </x:c>
      <x:c r="BD31" s="6" t="str">
        <x:v>21</x:v>
      </x:c>
      <x:c r="BE31" s="6" t="str">
        <x:v>5</x:v>
      </x:c>
      <x:c r="BF31" s="6" t="str">
        <x:v>1</x:v>
      </x:c>
      <x:c r="BG31" s="6" t="str">
        <x:v>8</x:v>
      </x:c>
      <x:c r="BH31" s="6" t="str">
        <x:v>1</x:v>
      </x:c>
      <x:c r="BI31" s="6" t="str">
        <x:v>6</x:v>
      </x:c>
      <x:c r="BJ31" s="6" t="str">
        <x:v>0</x:v>
      </x:c>
      <x:c r="BK31" s="6" t="str">
        <x:v>0</x:v>
      </x:c>
      <x:c r="BL31" s="6" t="str">
        <x:v>0</x:v>
      </x:c>
      <x:c r="BM31" s="6" t="str">
        <x:v>0</x:v>
      </x:c>
      <x:c r="BN31" s="6" t="str">
        <x:v>21</x:v>
      </x:c>
      <x:c r="BO31" s="6" t="str">
        <x:v>2.0</x:v>
      </x:c>
      <x:c r="BP31" s="6" t="str">
        <x:v>2</x:v>
      </x:c>
      <x:c r="BQ31" s="6" t="str">
        <x:v>1.0</x:v>
      </x:c>
      <x:c r="BR31" s="6" t="str">
        <x:v>2</x:v>
      </x:c>
      <x:c r="BS31" s="6" t="str">
        <x:v>270.0</x:v>
      </x:c>
      <x:c r="BT31" s="6" t="str">
        <x:v>21</x:v>
      </x:c>
      <x:c r="BU31" s="6" t="str">
        <x:v>1516.0</x:v>
      </x:c>
      <x:c r="BV31" s="6" t="str">
        <x:v>4</x:v>
      </x:c>
      <x:c r="BW31" s="9" t="str">
        <x:v>operational_snapshot_annual_totals_may_differ</x:v>
      </x:c>
      <x:c r="BX31" s="9" t="str">
        <x:v>official_live_dashboard_snapshot_subject_to_revision</x:v>
      </x:c>
      <x:c r="BY31" s="9" t="str">
        <x:v>https://tbdashboard.sitb.id/ss_data_tbc03so_2024_provinsi_bulanan_list.php</x:v>
      </x:c>
      <x:c r="BZ31" s="6" t="n">
        <x:v>46246.610671296294</x:v>
      </x:c>
    </x:row>
    <x:row r="32" ht="18" customHeight="1">
      <x:c r="A32" s="6" t="str">
        <x:v>12</x:v>
      </x:c>
      <x:c r="B32" s="6" t="str">
        <x:v>SUMATERA UTARA</x:v>
      </x:c>
      <x:c r="C32" s="6" t="str">
        <x:v>2024</x:v>
      </x:c>
      <x:c r="D32" s="6" t="str">
        <x:v>7</x:v>
      </x:c>
      <x:c r="E32" s="6" t="str">
        <x:v>2024-07</x:v>
      </x:c>
      <x:c r="F32" s="6" t="str">
        <x:v>4114</x:v>
      </x:c>
      <x:c r="G32" s="6" t="str">
        <x:v>943</x:v>
      </x:c>
      <x:c r="H32" s="6" t="str">
        <x:v>2340</x:v>
      </x:c>
      <x:c r="I32" s="6" t="str">
        <x:v>554</x:v>
      </x:c>
      <x:c r="J32" s="6" t="str">
        <x:v>165</x:v>
      </x:c>
      <x:c r="K32" s="6" t="str">
        <x:v>3</x:v>
      </x:c>
      <x:c r="L32" s="6" t="str">
        <x:v>26</x:v>
      </x:c>
      <x:c r="M32" s="6" t="str">
        <x:v>83</x:v>
      </x:c>
      <x:c r="N32" s="6" t="str">
        <x:v>4114</x:v>
      </x:c>
      <x:c r="O32" s="6" t="str">
        <x:v>0</x:v>
      </x:c>
      <x:c r="P32" s="10" t="n">
        <x:f>F32-M32</x:f>
        <x:v>4031</x:v>
      </x:c>
      <x:c r="Q32" s="11" t="n">
        <x:f>IFERROR(M32/F32,"")</x:f>
        <x:v>0.020175012153621778</x:v>
      </x:c>
      <x:c r="R32" s="10" t="n">
        <x:f>G32+H32</x:f>
        <x:v>3283</x:v>
      </x:c>
      <x:c r="S32" s="11" t="n">
        <x:f>IFERROR(R32/F32,"")</x:f>
        <x:v>0.7980068060281964</x:v>
      </x:c>
      <x:c r="T32" s="11" t="n">
        <x:f>IFERROR(R32/P32,"")</x:f>
        <x:v>0.8144381046886628</x:v>
      </x:c>
      <x:c r="U32" s="10" t="n">
        <x:f>I32+J32+K32</x:f>
        <x:v>722</x:v>
      </x:c>
      <x:c r="V32" s="11" t="n">
        <x:f>IFERROR(U32/P32,"")</x:f>
        <x:v>0.17911188290746713</x:v>
      </x:c>
      <x:c r="W32" s="9" t="str">
        <x:v>mature_le_5pct_pending</x:v>
      </x:c>
      <x:c r="X32" s="12" t="n">
        <x:f>IFERROR(F32/Z32*100000,"")</x:f>
        <x:v>26.39124995990634</x:v>
      </x:c>
      <x:c r="Y32" s="13" t="n">
        <x:f>LN(Z32)</x:f>
        <x:v>16.562044020882176</x:v>
      </x:c>
      <x:c r="Z32" s="6" t="str">
        <x:v>15588500</x:v>
      </x:c>
      <x:c r="AA32" s="6" t="str">
        <x:v>215.0</x:v>
      </x:c>
      <x:c r="AB32" s="9" t="str">
        <x:v>2024-06-30</x:v>
      </x:c>
      <x:c r="AC32" s="8" t="str">
        <x:v>85.73</x:v>
      </x:c>
      <x:c r="AD32" s="9" t="str">
        <x:v>2024 (Susenas)</x:v>
      </x:c>
      <x:c r="AE32" s="8" t="str">
        <x:v>7.99</x:v>
      </x:c>
      <x:c r="AF32" s="9" t="str">
        <x:v>Maret 2024 (Susenas)</x:v>
      </x:c>
      <x:c r="AG32" s="6" t="str">
        <x:v>24.920093927946105</x:v>
      </x:c>
      <x:c r="AH32" s="8" t="str">
        <x:v>87.12928615721474</x:v>
      </x:c>
      <x:c r="AI32" s="6" t="str">
        <x:v>119.63406259109496</x:v>
      </x:c>
      <x:c r="AJ32" s="6" t="str">
        <x:v>0.9799923847802248</x:v>
      </x:c>
      <x:c r="AK32" s="8" t="str">
        <x:v>4.061981064136621</x:v>
      </x:c>
      <x:c r="AL32" s="6" t="str">
        <x:v>2.8022671070869154</x:v>
      </x:c>
      <x:c r="AM32" s="6" t="str">
        <x:v>3.4531023095094198</x:v>
      </x:c>
      <x:c r="AN32" s="6" t="str">
        <x:v>3.439116826910985</x:v>
      </x:c>
      <x:c r="AO32" s="6" t="str">
        <x:v>-0.6955239600681011</x:v>
      </x:c>
      <x:c r="AP32" s="8" t="str">
        <x:v>-0.6772497064209554</x:v>
      </x:c>
      <x:c r="AQ32" s="6" t="str">
        <x:v>0.2557695965831485</x:v>
      </x:c>
      <x:c r="AR32" s="6" t="str">
        <x:v>1.114234965137487</x:v>
      </x:c>
      <x:c r="AS32" s="6" t="str">
        <x:v>0.2309182850998935</x:v>
      </x:c>
      <x:c r="AT32" s="6" t="str">
        <x:v>-119.26195588627186</x:v>
      </x:c>
      <x:c r="AU32" s="8" t="str">
        <x:v>-1.3124494178563668</x:v>
      </x:c>
      <x:c r="AV32" s="6" t="str">
        <x:v>4.041785403606899</x:v>
      </x:c>
      <x:c r="AW32" s="6" t="str">
        <x:v>0.6328026964738083</x:v>
      </x:c>
      <x:c r="AX32" s="6" t="str">
        <x:v>1.12071289407478</x:v>
      </x:c>
      <x:c r="AY32" s="6" t="str">
        <x:v>0</x:v>
      </x:c>
      <x:c r="AZ32" s="6" t="str">
        <x:v>1</x:v>
      </x:c>
      <x:c r="BA32" s="9" t="str">
        <x:v>grid_cells_within_BIG_polygon</x:v>
      </x:c>
      <x:c r="BB32" s="6" t="str">
        <x:v>20</x:v>
      </x:c>
      <x:c r="BC32" s="6" t="str">
        <x:v>78</x:v>
      </x:c>
      <x:c r="BD32" s="6" t="str">
        <x:v>78</x:v>
      </x:c>
      <x:c r="BE32" s="6" t="str">
        <x:v>1</x:v>
      </x:c>
      <x:c r="BF32" s="6" t="str">
        <x:v>0</x:v>
      </x:c>
      <x:c r="BG32" s="6" t="str">
        <x:v>7</x:v>
      </x:c>
      <x:c r="BH32" s="6" t="str">
        <x:v>0</x:v>
      </x:c>
      <x:c r="BI32" s="6" t="str">
        <x:v>70</x:v>
      </x:c>
      <x:c r="BJ32" s="6" t="str">
        <x:v>0</x:v>
      </x:c>
      <x:c r="BK32" s="6" t="str">
        <x:v>0</x:v>
      </x:c>
      <x:c r="BL32" s="6" t="str">
        <x:v>0</x:v>
      </x:c>
      <x:c r="BM32" s="6" t="str">
        <x:v>0</x:v>
      </x:c>
      <x:c r="BN32" s="6" t="str">
        <x:v>78</x:v>
      </x:c>
      <x:c r="BO32" s="6" t="str">
        <x:v>0.0</x:v>
      </x:c>
      <x:c r="BP32" s="6" t="str">
        <x:v>9</x:v>
      </x:c>
      <x:c r="BQ32" s="6" t="str">
        <x:v>0.0</x:v>
      </x:c>
      <x:c r="BR32" s="6" t="str">
        <x:v>9</x:v>
      </x:c>
      <x:c r="BS32" s="6" t="str">
        <x:v>66.0</x:v>
      </x:c>
      <x:c r="BT32" s="6" t="str">
        <x:v>78</x:v>
      </x:c>
      <x:c r="BU32" s="6" t="str">
        <x:v>31.0</x:v>
      </x:c>
      <x:c r="BV32" s="6" t="str">
        <x:v>1</x:v>
      </x:c>
      <x:c r="BW32" s="9" t="str">
        <x:v>operational_snapshot_annual_totals_may_differ</x:v>
      </x:c>
      <x:c r="BX32" s="9" t="str">
        <x:v>official_live_dashboard_snapshot_subject_to_revision</x:v>
      </x:c>
      <x:c r="BY32" s="9" t="str">
        <x:v>https://tbdashboard.sitb.id/ss_data_tbc03so_2024_provinsi_bulanan_list.php</x:v>
      </x:c>
      <x:c r="BZ32" s="6" t="n">
        <x:v>46246.610671296294</x:v>
      </x:c>
    </x:row>
    <x:row r="33" ht="18" customHeight="1">
      <x:c r="A33" s="6" t="str">
        <x:v>12</x:v>
      </x:c>
      <x:c r="B33" s="6" t="str">
        <x:v>SUMATERA UTARA</x:v>
      </x:c>
      <x:c r="C33" s="6" t="str">
        <x:v>2024</x:v>
      </x:c>
      <x:c r="D33" s="6" t="str">
        <x:v>8</x:v>
      </x:c>
      <x:c r="E33" s="6" t="str">
        <x:v>2024-08</x:v>
      </x:c>
      <x:c r="F33" s="6" t="str">
        <x:v>3826</x:v>
      </x:c>
      <x:c r="G33" s="6" t="str">
        <x:v>875</x:v>
      </x:c>
      <x:c r="H33" s="6" t="str">
        <x:v>2158</x:v>
      </x:c>
      <x:c r="I33" s="6" t="str">
        <x:v>537</x:v>
      </x:c>
      <x:c r="J33" s="6" t="str">
        <x:v>169</x:v>
      </x:c>
      <x:c r="K33" s="6" t="str">
        <x:v>2</x:v>
      </x:c>
      <x:c r="L33" s="6" t="str">
        <x:v>25</x:v>
      </x:c>
      <x:c r="M33" s="6" t="str">
        <x:v>60</x:v>
      </x:c>
      <x:c r="N33" s="6" t="str">
        <x:v>3826</x:v>
      </x:c>
      <x:c r="O33" s="6" t="str">
        <x:v>0</x:v>
      </x:c>
      <x:c r="P33" s="10" t="n">
        <x:f>F33-M33</x:f>
        <x:v>3766</x:v>
      </x:c>
      <x:c r="Q33" s="11" t="n">
        <x:f>IFERROR(M33/F33,"")</x:f>
        <x:v>0.015682174594877155</x:v>
      </x:c>
      <x:c r="R33" s="10" t="n">
        <x:f>G33+H33</x:f>
        <x:v>3033</x:v>
      </x:c>
      <x:c r="S33" s="11" t="n">
        <x:f>IFERROR(R33/F33,"")</x:f>
        <x:v>0.7927339257710403</x:v>
      </x:c>
      <x:c r="T33" s="11" t="n">
        <x:f>IFERROR(R33/P33,"")</x:f>
        <x:v>0.8053637812002125</x:v>
      </x:c>
      <x:c r="U33" s="10" t="n">
        <x:f>I33+J33+K33</x:f>
        <x:v>708</x:v>
      </x:c>
      <x:c r="V33" s="11" t="n">
        <x:f>IFERROR(U33/P33,"")</x:f>
        <x:v>0.18799787573021773</x:v>
      </x:c>
      <x:c r="W33" s="9" t="str">
        <x:v>mature_le_5pct_pending</x:v>
      </x:c>
      <x:c r="X33" s="12" t="n">
        <x:f>IFERROR(F33/Z33*100000,"")</x:f>
        <x:v>24.543734163004782</x:v>
      </x:c>
      <x:c r="Y33" s="13" t="n">
        <x:f>LN(Z33)</x:f>
        <x:v>16.562044020882176</x:v>
      </x:c>
      <x:c r="Z33" s="6" t="str">
        <x:v>15588500</x:v>
      </x:c>
      <x:c r="AA33" s="6" t="str">
        <x:v>215.0</x:v>
      </x:c>
      <x:c r="AB33" s="9" t="str">
        <x:v>2024-06-30</x:v>
      </x:c>
      <x:c r="AC33" s="8" t="str">
        <x:v>85.73</x:v>
      </x:c>
      <x:c r="AD33" s="9" t="str">
        <x:v>2024 (Susenas)</x:v>
      </x:c>
      <x:c r="AE33" s="8" t="str">
        <x:v>7.99</x:v>
      </x:c>
      <x:c r="AF33" s="9" t="str">
        <x:v>Maret 2024 (Susenas)</x:v>
      </x:c>
      <x:c r="AG33" s="6" t="str">
        <x:v>24.65712744168164</x:v>
      </x:c>
      <x:c r="AH33" s="8" t="str">
        <x:v>89.46229476798192</x:v>
      </x:c>
      <x:c r="AI33" s="6" t="str">
        <x:v>435.3105182030622</x:v>
      </x:c>
      <x:c r="AJ33" s="6" t="str">
        <x:v>0.7446708743084152</x:v>
      </x:c>
      <x:c r="AK33" s="8" t="str">
        <x:v>3.183232322953225</x:v>
      </x:c>
      <x:c r="AL33" s="6" t="str">
        <x:v>4.061981064136621</x:v>
      </x:c>
      <x:c r="AM33" s="6" t="str">
        <x:v>2.8022671070869154</x:v>
      </x:c>
      <x:c r="AN33" s="6" t="str">
        <x:v>3.3491601647255878</x:v>
      </x:c>
      <x:c r="AO33" s="6" t="str">
        <x:v>1.382765410772194</x:v>
      </x:c>
      <x:c r="AP33" s="8" t="str">
        <x:v>1.3292580346296854</x:v>
      </x:c>
      <x:c r="AQ33" s="6" t="str">
        <x:v>-0.6772497064209554</x:v>
      </x:c>
      <x:c r="AR33" s="6" t="str">
        <x:v>0.2557695965831485</x:v>
      </x:c>
      <x:c r="AS33" s="6" t="str">
        <x:v>0.302592641597293</x:v>
      </x:c>
      <x:c r="AT33" s="6" t="str">
        <x:v>144.12875540471833</x:v>
      </x:c>
      <x:c r="AU33" s="8" t="str">
        <x:v>1.3793979034870891</x:v>
      </x:c>
      <x:c r="AV33" s="6" t="str">
        <x:v>-1.3124494178563668</x:v>
      </x:c>
      <x:c r="AW33" s="6" t="str">
        <x:v>4.041785403606899</x:v>
      </x:c>
      <x:c r="AX33" s="6" t="str">
        <x:v>1.369577963079207</x:v>
      </x:c>
      <x:c r="AY33" s="6" t="str">
        <x:v>1</x:v>
      </x:c>
      <x:c r="AZ33" s="6" t="str">
        <x:v>1</x:v>
      </x:c>
      <x:c r="BA33" s="9" t="str">
        <x:v>grid_cells_within_BIG_polygon</x:v>
      </x:c>
      <x:c r="BB33" s="6" t="str">
        <x:v>20</x:v>
      </x:c>
      <x:c r="BC33" s="6" t="str">
        <x:v>26</x:v>
      </x:c>
      <x:c r="BD33" s="6" t="str">
        <x:v>26</x:v>
      </x:c>
      <x:c r="BE33" s="6" t="str">
        <x:v>4</x:v>
      </x:c>
      <x:c r="BF33" s="6" t="str">
        <x:v>0</x:v>
      </x:c>
      <x:c r="BG33" s="6" t="str">
        <x:v>5</x:v>
      </x:c>
      <x:c r="BH33" s="6" t="str">
        <x:v>1</x:v>
      </x:c>
      <x:c r="BI33" s="6" t="str">
        <x:v>16</x:v>
      </x:c>
      <x:c r="BJ33" s="6" t="str">
        <x:v>0</x:v>
      </x:c>
      <x:c r="BK33" s="6" t="str">
        <x:v>0</x:v>
      </x:c>
      <x:c r="BL33" s="6" t="str">
        <x:v>0</x:v>
      </x:c>
      <x:c r="BM33" s="6" t="str">
        <x:v>0</x:v>
      </x:c>
      <x:c r="BN33" s="6" t="str">
        <x:v>26</x:v>
      </x:c>
      <x:c r="BO33" s="6" t="str">
        <x:v>0.0</x:v>
      </x:c>
      <x:c r="BP33" s="6" t="str">
        <x:v>5</x:v>
      </x:c>
      <x:c r="BQ33" s="6" t="str">
        <x:v>0.0</x:v>
      </x:c>
      <x:c r="BR33" s="6" t="str">
        <x:v>5</x:v>
      </x:c>
      <x:c r="BS33" s="6" t="str">
        <x:v>44.0</x:v>
      </x:c>
      <x:c r="BT33" s="6" t="str">
        <x:v>26</x:v>
      </x:c>
      <x:c r="BU33" s="6" t="str">
        <x:v>833.0</x:v>
      </x:c>
      <x:c r="BV33" s="6" t="str">
        <x:v>3</x:v>
      </x:c>
      <x:c r="BW33" s="9" t="str">
        <x:v>operational_snapshot_annual_totals_may_differ</x:v>
      </x:c>
      <x:c r="BX33" s="9" t="str">
        <x:v>official_live_dashboard_snapshot_subject_to_revision</x:v>
      </x:c>
      <x:c r="BY33" s="9" t="str">
        <x:v>https://tbdashboard.sitb.id/ss_data_tbc03so_2024_provinsi_bulanan_list.php</x:v>
      </x:c>
      <x:c r="BZ33" s="6" t="n">
        <x:v>46246.610671296294</x:v>
      </x:c>
    </x:row>
    <x:row r="34" ht="18" customHeight="1">
      <x:c r="A34" s="6" t="str">
        <x:v>12</x:v>
      </x:c>
      <x:c r="B34" s="6" t="str">
        <x:v>SUMATERA UTARA</x:v>
      </x:c>
      <x:c r="C34" s="6" t="str">
        <x:v>2024</x:v>
      </x:c>
      <x:c r="D34" s="6" t="str">
        <x:v>9</x:v>
      </x:c>
      <x:c r="E34" s="6" t="str">
        <x:v>2024-09</x:v>
      </x:c>
      <x:c r="F34" s="6" t="str">
        <x:v>3969</x:v>
      </x:c>
      <x:c r="G34" s="6" t="str">
        <x:v>877</x:v>
      </x:c>
      <x:c r="H34" s="6" t="str">
        <x:v>2246</x:v>
      </x:c>
      <x:c r="I34" s="6" t="str">
        <x:v>548</x:v>
      </x:c>
      <x:c r="J34" s="6" t="str">
        <x:v>173</x:v>
      </x:c>
      <x:c r="K34" s="6" t="str">
        <x:v>6</x:v>
      </x:c>
      <x:c r="L34" s="6" t="str">
        <x:v>19</x:v>
      </x:c>
      <x:c r="M34" s="6" t="str">
        <x:v>100</x:v>
      </x:c>
      <x:c r="N34" s="6" t="str">
        <x:v>3969</x:v>
      </x:c>
      <x:c r="O34" s="6" t="str">
        <x:v>0</x:v>
      </x:c>
      <x:c r="P34" s="10" t="n">
        <x:f>F34-M34</x:f>
        <x:v>3869</x:v>
      </x:c>
      <x:c r="Q34" s="11" t="n">
        <x:f>IFERROR(M34/F34,"")</x:f>
        <x:v>0.025195263290501386</x:v>
      </x:c>
      <x:c r="R34" s="10" t="n">
        <x:f>G34+H34</x:f>
        <x:v>3123</x:v>
      </x:c>
      <x:c r="S34" s="11" t="n">
        <x:f>IFERROR(R34/F34,"")</x:f>
        <x:v>0.7868480725623582</x:v>
      </x:c>
      <x:c r="T34" s="11" t="n">
        <x:f>IFERROR(R34/P34,"")</x:f>
        <x:v>0.8071853192039287</x:v>
      </x:c>
      <x:c r="U34" s="10" t="n">
        <x:f>I34+J34+K34</x:f>
        <x:v>727</x:v>
      </x:c>
      <x:c r="V34" s="11" t="n">
        <x:f>IFERROR(U34/P34,"")</x:f>
        <x:v>0.18790385112432154</x:v>
      </x:c>
      <x:c r="W34" s="9" t="str">
        <x:v>mature_le_5pct_pending</x:v>
      </x:c>
      <x:c r="X34" s="12" t="n">
        <x:f>IFERROR(F34/Z34*100000,"")</x:f>
        <x:v>25.46107707604965</x:v>
      </x:c>
      <x:c r="Y34" s="13" t="n">
        <x:f>LN(Z34)</x:f>
        <x:v>16.562044020882176</x:v>
      </x:c>
      <x:c r="Z34" s="6" t="str">
        <x:v>15588500</x:v>
      </x:c>
      <x:c r="AA34" s="6" t="str">
        <x:v>215.0</x:v>
      </x:c>
      <x:c r="AB34" s="9" t="str">
        <x:v>2024-06-30</x:v>
      </x:c>
      <x:c r="AC34" s="8" t="str">
        <x:v>85.73</x:v>
      </x:c>
      <x:c r="AD34" s="9" t="str">
        <x:v>2024 (Susenas)</x:v>
      </x:c>
      <x:c r="AE34" s="8" t="str">
        <x:v>7.99</x:v>
      </x:c>
      <x:c r="AF34" s="9" t="str">
        <x:v>Maret 2024 (Susenas)</x:v>
      </x:c>
      <x:c r="AG34" s="6" t="str">
        <x:v>24.507121421827623</x:v>
      </x:c>
      <x:c r="AH34" s="8" t="str">
        <x:v>88.90086295320944</x:v>
      </x:c>
      <x:c r="AI34" s="6" t="str">
        <x:v>339.6816672019198</x:v>
      </x:c>
      <x:c r="AJ34" s="6" t="str">
        <x:v>0.5852243072187591</x:v>
      </x:c>
      <x:c r="AK34" s="8" t="str">
        <x:v>2.6732803268003047</x:v>
      </x:c>
      <x:c r="AL34" s="6" t="str">
        <x:v>3.183232322953225</x:v>
      </x:c>
      <x:c r="AM34" s="6" t="str">
        <x:v>4.061981064136621</x:v>
      </x:c>
      <x:c r="AN34" s="6" t="str">
        <x:v>3.306164571296717</x:v>
      </x:c>
      <x:c r="AO34" s="6" t="str">
        <x:v>0.4117366097454038</x:v>
      </x:c>
      <x:c r="AP34" s="8" t="str">
        <x:v>0.4143725699046079</x:v>
      </x:c>
      <x:c r="AQ34" s="6" t="str">
        <x:v>1.3292580346296854</x:v>
      </x:c>
      <x:c r="AR34" s="6" t="str">
        <x:v>-0.6772497064209554</x:v>
      </x:c>
      <x:c r="AS34" s="6" t="str">
        <x:v>0.3554602993711127</x:v>
      </x:c>
      <x:c r="AT34" s="6" t="str">
        <x:v>24.60099520707331</x:v>
      </x:c>
      <x:c r="AU34" s="8" t="str">
        <x:v>0.3167237975174365</x:v>
      </x:c>
      <x:c r="AV34" s="6" t="str">
        <x:v>1.3793979034870891</x:v>
      </x:c>
      <x:c r="AW34" s="6" t="str">
        <x:v>-1.3124494178563668</x:v>
      </x:c>
      <x:c r="AX34" s="6" t="str">
        <x:v>0.1278907610493861</x:v>
      </x:c>
      <x:c r="AY34" s="6" t="str">
        <x:v>0</x:v>
      </x:c>
      <x:c r="AZ34" s="6" t="str">
        <x:v>1</x:v>
      </x:c>
      <x:c r="BA34" s="9" t="str">
        <x:v>grid_cells_within_BIG_polygon</x:v>
      </x:c>
      <x:c r="BB34" s="6" t="str">
        <x:v>20</x:v>
      </x:c>
      <x:c r="BC34" s="6" t="str">
        <x:v>29</x:v>
      </x:c>
      <x:c r="BD34" s="6" t="str">
        <x:v>29</x:v>
      </x:c>
      <x:c r="BE34" s="6" t="str">
        <x:v>14</x:v>
      </x:c>
      <x:c r="BF34" s="6" t="str">
        <x:v>0</x:v>
      </x:c>
      <x:c r="BG34" s="6" t="str">
        <x:v>9</x:v>
      </x:c>
      <x:c r="BH34" s="6" t="str">
        <x:v>0</x:v>
      </x:c>
      <x:c r="BI34" s="6" t="str">
        <x:v>6</x:v>
      </x:c>
      <x:c r="BJ34" s="6" t="str">
        <x:v>0</x:v>
      </x:c>
      <x:c r="BK34" s="6" t="str">
        <x:v>0</x:v>
      </x:c>
      <x:c r="BL34" s="6" t="str">
        <x:v>0</x:v>
      </x:c>
      <x:c r="BM34" s="6" t="str">
        <x:v>0</x:v>
      </x:c>
      <x:c r="BN34" s="6" t="str">
        <x:v>29</x:v>
      </x:c>
      <x:c r="BO34" s="6" t="str">
        <x:v>2.0</x:v>
      </x:c>
      <x:c r="BP34" s="6" t="str">
        <x:v>10</x:v>
      </x:c>
      <x:c r="BQ34" s="6" t="str">
        <x:v>19.0</x:v>
      </x:c>
      <x:c r="BR34" s="6" t="str">
        <x:v>14</x:v>
      </x:c>
      <x:c r="BS34" s="6" t="str">
        <x:v>228.0</x:v>
      </x:c>
      <x:c r="BT34" s="6" t="str">
        <x:v>29</x:v>
      </x:c>
      <x:c r="BU34" s="6" t="str">
        <x:v>3435.0</x:v>
      </x:c>
      <x:c r="BV34" s="6" t="str">
        <x:v>7</x:v>
      </x:c>
      <x:c r="BW34" s="9" t="str">
        <x:v>operational_snapshot_annual_totals_may_differ</x:v>
      </x:c>
      <x:c r="BX34" s="9" t="str">
        <x:v>official_live_dashboard_snapshot_subject_to_revision</x:v>
      </x:c>
      <x:c r="BY34" s="9" t="str">
        <x:v>https://tbdashboard.sitb.id/ss_data_tbc03so_2024_provinsi_bulanan_list.php</x:v>
      </x:c>
      <x:c r="BZ34" s="6" t="n">
        <x:v>46246.610671296294</x:v>
      </x:c>
    </x:row>
    <x:row r="35" ht="18" customHeight="1">
      <x:c r="A35" s="6" t="str">
        <x:v>12</x:v>
      </x:c>
      <x:c r="B35" s="6" t="str">
        <x:v>SUMATERA UTARA</x:v>
      </x:c>
      <x:c r="C35" s="6" t="str">
        <x:v>2024</x:v>
      </x:c>
      <x:c r="D35" s="6" t="str">
        <x:v>10</x:v>
      </x:c>
      <x:c r="E35" s="6" t="str">
        <x:v>2024-10</x:v>
      </x:c>
      <x:c r="F35" s="6" t="str">
        <x:v>4065</x:v>
      </x:c>
      <x:c r="G35" s="6" t="str">
        <x:v>802</x:v>
      </x:c>
      <x:c r="H35" s="6" t="str">
        <x:v>2349</x:v>
      </x:c>
      <x:c r="I35" s="6" t="str">
        <x:v>597</x:v>
      </x:c>
      <x:c r="J35" s="6" t="str">
        <x:v>191</x:v>
      </x:c>
      <x:c r="K35" s="6" t="str">
        <x:v>5</x:v>
      </x:c>
      <x:c r="L35" s="6" t="str">
        <x:v>24</x:v>
      </x:c>
      <x:c r="M35" s="6" t="str">
        <x:v>97</x:v>
      </x:c>
      <x:c r="N35" s="6" t="str">
        <x:v>4065</x:v>
      </x:c>
      <x:c r="O35" s="6" t="str">
        <x:v>0</x:v>
      </x:c>
      <x:c r="P35" s="10" t="n">
        <x:f>F35-M35</x:f>
        <x:v>3968</x:v>
      </x:c>
      <x:c r="Q35" s="11" t="n">
        <x:f>IFERROR(M35/F35,"")</x:f>
        <x:v>0.023862238622386223</x:v>
      </x:c>
      <x:c r="R35" s="10" t="n">
        <x:f>G35+H35</x:f>
        <x:v>3151</x:v>
      </x:c>
      <x:c r="S35" s="11" t="n">
        <x:f>IFERROR(R35/F35,"")</x:f>
        <x:v>0.7751537515375154</x:v>
      </x:c>
      <x:c r="T35" s="11" t="n">
        <x:f>IFERROR(R35/P35,"")</x:f>
        <x:v>0.7941028225806451</x:v>
      </x:c>
      <x:c r="U35" s="10" t="n">
        <x:f>I35+J35+K35</x:f>
        <x:v>793</x:v>
      </x:c>
      <x:c r="V35" s="11" t="n">
        <x:f>IFERROR(U35/P35,"")</x:f>
        <x:v>0.19984879032258066</x:v>
      </x:c>
      <x:c r="W35" s="9" t="str">
        <x:v>mature_le_5pct_pending</x:v>
      </x:c>
      <x:c r="X35" s="12" t="n">
        <x:f>IFERROR(F35/Z35*100000,"")</x:f>
        <x:v>26.07691567501684</x:v>
      </x:c>
      <x:c r="Y35" s="13" t="n">
        <x:f>LN(Z35)</x:f>
        <x:v>16.562044020882176</x:v>
      </x:c>
      <x:c r="Z35" s="6" t="str">
        <x:v>15588500</x:v>
      </x:c>
      <x:c r="AA35" s="6" t="str">
        <x:v>215.0</x:v>
      </x:c>
      <x:c r="AB35" s="9" t="str">
        <x:v>2024-06-30</x:v>
      </x:c>
      <x:c r="AC35" s="8" t="str">
        <x:v>85.73</x:v>
      </x:c>
      <x:c r="AD35" s="9" t="str">
        <x:v>2024 (Susenas)</x:v>
      </x:c>
      <x:c r="AE35" s="8" t="str">
        <x:v>7.99</x:v>
      </x:c>
      <x:c r="AF35" s="9" t="str">
        <x:v>Maret 2024 (Susenas)</x:v>
      </x:c>
      <x:c r="AG35" s="6" t="str">
        <x:v>24.58112279648337</x:v>
      </x:c>
      <x:c r="AH35" s="8" t="str">
        <x:v>87.59065658868818</x:v>
      </x:c>
      <x:c r="AI35" s="6" t="str">
        <x:v>305.8751739425444</x:v>
      </x:c>
      <x:c r="AJ35" s="6" t="str">
        <x:v>0.7167399557317786</x:v>
      </x:c>
      <x:c r="AK35" s="8" t="str">
        <x:v>3.3866859166832524</x:v>
      </x:c>
      <x:c r="AL35" s="6" t="str">
        <x:v>2.6732803268003047</x:v>
      </x:c>
      <x:c r="AM35" s="6" t="str">
        <x:v>3.183232322953225</x:v>
      </x:c>
      <x:c r="AN35" s="6" t="str">
        <x:v>3.0810661888122604</x:v>
      </x:c>
      <x:c r="AO35" s="6" t="str">
        <x:v>-1.6508181820315997</x:v>
      </x:c>
      <x:c r="AP35" s="8" t="str">
        <x:v>-1.66527839956512</x:v>
      </x:c>
      <x:c r="AQ35" s="6" t="str">
        <x:v>0.4143725699046079</x:v>
      </x:c>
      <x:c r="AR35" s="6" t="str">
        <x:v>1.3292580346296854</x:v>
      </x:c>
      <x:c r="AS35" s="6" t="str">
        <x:v>0.0261174016563912</x:v>
      </x:c>
      <x:c r="AT35" s="6" t="str">
        <x:v>-75.26877523629457</x:v>
      </x:c>
      <x:c r="AU35" s="8" t="str">
        <x:v>-0.6465721737329679</x:v>
      </x:c>
      <x:c r="AV35" s="6" t="str">
        <x:v>0.3167237975174365</x:v>
      </x:c>
      <x:c r="AW35" s="6" t="str">
        <x:v>1.3793979034870891</x:v>
      </x:c>
      <x:c r="AX35" s="6" t="str">
        <x:v>0.3498498424238525</x:v>
      </x:c>
      <x:c r="AY35" s="6" t="str">
        <x:v>0</x:v>
      </x:c>
      <x:c r="AZ35" s="6" t="str">
        <x:v>1</x:v>
      </x:c>
      <x:c r="BA35" s="9" t="str">
        <x:v>grid_cells_within_BIG_polygon</x:v>
      </x:c>
      <x:c r="BB35" s="6" t="str">
        <x:v>20</x:v>
      </x:c>
      <x:c r="BC35" s="6" t="str">
        <x:v>60</x:v>
      </x:c>
      <x:c r="BD35" s="6" t="str">
        <x:v>60</x:v>
      </x:c>
      <x:c r="BE35" s="6" t="str">
        <x:v>31</x:v>
      </x:c>
      <x:c r="BF35" s="6" t="str">
        <x:v>3</x:v>
      </x:c>
      <x:c r="BG35" s="6" t="str">
        <x:v>7</x:v>
      </x:c>
      <x:c r="BH35" s="6" t="str">
        <x:v>0</x:v>
      </x:c>
      <x:c r="BI35" s="6" t="str">
        <x:v>19</x:v>
      </x:c>
      <x:c r="BJ35" s="6" t="str">
        <x:v>0</x:v>
      </x:c>
      <x:c r="BK35" s="6" t="str">
        <x:v>0</x:v>
      </x:c>
      <x:c r="BL35" s="6" t="str">
        <x:v>0</x:v>
      </x:c>
      <x:c r="BM35" s="6" t="str">
        <x:v>0</x:v>
      </x:c>
      <x:c r="BN35" s="6" t="str">
        <x:v>60</x:v>
      </x:c>
      <x:c r="BO35" s="6" t="str">
        <x:v>4.0</x:v>
      </x:c>
      <x:c r="BP35" s="6" t="str">
        <x:v>13</x:v>
      </x:c>
      <x:c r="BQ35" s="6" t="str">
        <x:v>1.0</x:v>
      </x:c>
      <x:c r="BR35" s="6" t="str">
        <x:v>12</x:v>
      </x:c>
      <x:c r="BS35" s="6" t="str">
        <x:v>161.0</x:v>
      </x:c>
      <x:c r="BT35" s="6" t="str">
        <x:v>60</x:v>
      </x:c>
      <x:c r="BU35" s="6" t="str">
        <x:v>18000.0</x:v>
      </x:c>
      <x:c r="BV35" s="6" t="str">
        <x:v>22</x:v>
      </x:c>
      <x:c r="BW35" s="9" t="str">
        <x:v>operational_snapshot_annual_totals_may_differ</x:v>
      </x:c>
      <x:c r="BX35" s="9" t="str">
        <x:v>official_live_dashboard_snapshot_subject_to_revision</x:v>
      </x:c>
      <x:c r="BY35" s="9" t="str">
        <x:v>https://tbdashboard.sitb.id/ss_data_tbc03so_2024_provinsi_bulanan_list.php</x:v>
      </x:c>
      <x:c r="BZ35" s="6" t="n">
        <x:v>46246.610671296294</x:v>
      </x:c>
    </x:row>
    <x:row r="36" ht="18" customHeight="1">
      <x:c r="A36" s="6" t="str">
        <x:v>12</x:v>
      </x:c>
      <x:c r="B36" s="6" t="str">
        <x:v>SUMATERA UTARA</x:v>
      </x:c>
      <x:c r="C36" s="6" t="str">
        <x:v>2024</x:v>
      </x:c>
      <x:c r="D36" s="6" t="str">
        <x:v>11</x:v>
      </x:c>
      <x:c r="E36" s="6" t="str">
        <x:v>2024-11</x:v>
      </x:c>
      <x:c r="F36" s="6" t="str">
        <x:v>4151</x:v>
      </x:c>
      <x:c r="G36" s="6" t="str">
        <x:v>915</x:v>
      </x:c>
      <x:c r="H36" s="6" t="str">
        <x:v>2406</x:v>
      </x:c>
      <x:c r="I36" s="6" t="str">
        <x:v>552</x:v>
      </x:c>
      <x:c r="J36" s="6" t="str">
        <x:v>192</x:v>
      </x:c>
      <x:c r="K36" s="6" t="str">
        <x:v>4</x:v>
      </x:c>
      <x:c r="L36" s="6" t="str">
        <x:v>8</x:v>
      </x:c>
      <x:c r="M36" s="6" t="str">
        <x:v>74</x:v>
      </x:c>
      <x:c r="N36" s="6" t="str">
        <x:v>4151</x:v>
      </x:c>
      <x:c r="O36" s="6" t="str">
        <x:v>0</x:v>
      </x:c>
      <x:c r="P36" s="10" t="n">
        <x:f>F36-M36</x:f>
        <x:v>4077</x:v>
      </x:c>
      <x:c r="Q36" s="11" t="n">
        <x:f>IFERROR(M36/F36,"")</x:f>
        <x:v>0.017827029631414117</x:v>
      </x:c>
      <x:c r="R36" s="10" t="n">
        <x:f>G36+H36</x:f>
        <x:v>3321</x:v>
      </x:c>
      <x:c r="S36" s="11" t="n">
        <x:f>IFERROR(R36/F36,"")</x:f>
        <x:v>0.8000481811611659</x:v>
      </x:c>
      <x:c r="T36" s="11" t="n">
        <x:f>IFERROR(R36/P36,"")</x:f>
        <x:v>0.8145695364238411</x:v>
      </x:c>
      <x:c r="U36" s="10" t="n">
        <x:f>I36+J36+K36</x:f>
        <x:v>748</x:v>
      </x:c>
      <x:c r="V36" s="11" t="n">
        <x:f>IFERROR(U36/P36,"")</x:f>
        <x:v>0.1834682364483689</x:v>
      </x:c>
      <x:c r="W36" s="9" t="str">
        <x:v>mature_le_5pct_pending</x:v>
      </x:c>
      <x:c r="X36" s="12" t="n">
        <x:f>IFERROR(F36/Z36*100000,"")</x:f>
        <x:v>26.628604419924944</x:v>
      </x:c>
      <x:c r="Y36" s="13" t="n">
        <x:f>LN(Z36)</x:f>
        <x:v>16.562044020882176</x:v>
      </x:c>
      <x:c r="Z36" s="6" t="str">
        <x:v>15588500</x:v>
      </x:c>
      <x:c r="AA36" s="6" t="str">
        <x:v>215.0</x:v>
      </x:c>
      <x:c r="AB36" s="9" t="str">
        <x:v>2024-06-30</x:v>
      </x:c>
      <x:c r="AC36" s="8" t="str">
        <x:v>85.73</x:v>
      </x:c>
      <x:c r="AD36" s="9" t="str">
        <x:v>2024 (Susenas)</x:v>
      </x:c>
      <x:c r="AE36" s="8" t="str">
        <x:v>7.99</x:v>
      </x:c>
      <x:c r="AF36" s="9" t="str">
        <x:v>Maret 2024 (Susenas)</x:v>
      </x:c>
      <x:c r="AG36" s="6" t="str">
        <x:v>24.31669993829607</x:v>
      </x:c>
      <x:c r="AH36" s="8" t="str">
        <x:v>89.47488628673266</x:v>
      </x:c>
      <x:c r="AI36" s="6" t="str">
        <x:v>354.8792770327329</x:v>
      </x:c>
      <x:c r="AJ36" s="6" t="str">
        <x:v>0.544722844479459</x:v>
      </x:c>
      <x:c r="AK36" s="8" t="str">
        <x:v>2.2006467257322657</x:v>
      </x:c>
      <x:c r="AL36" s="6" t="str">
        <x:v>3.3866859166832524</x:v>
      </x:c>
      <x:c r="AM36" s="6" t="str">
        <x:v>2.6732803268003047</x:v>
      </x:c>
      <x:c r="AN36" s="6" t="str">
        <x:v>2.7535376564052743</x:v>
      </x:c>
      <x:c r="AO36" s="6" t="str">
        <x:v>-0.8345147331834823</x:v>
      </x:c>
      <x:c r="AP36" s="8" t="str">
        <x:v>-1.1940461012607426</x:v>
      </x:c>
      <x:c r="AQ36" s="6" t="str">
        <x:v>-1.66527839956512</x:v>
      </x:c>
      <x:c r="AR36" s="6" t="str">
        <x:v>0.4143725699046079</x:v>
      </x:c>
      <x:c r="AS36" s="6" t="str">
        <x:v>-0.8149839769737515</x:v>
      </x:c>
      <x:c r="AT36" s="6" t="str">
        <x:v>-52.09590585000768</x:v>
      </x:c>
      <x:c r="AU36" s="8" t="str">
        <x:v>-0.5523546015714822</x:v>
      </x:c>
      <x:c r="AV36" s="6" t="str">
        <x:v>-0.6465721737329679</x:v>
      </x:c>
      <x:c r="AW36" s="6" t="str">
        <x:v>0.3167237975174365</x:v>
      </x:c>
      <x:c r="AX36" s="6" t="str">
        <x:v>-0.2940676592623379</x:v>
      </x:c>
      <x:c r="AY36" s="6" t="str">
        <x:v>0</x:v>
      </x:c>
      <x:c r="AZ36" s="6" t="str">
        <x:v>1</x:v>
      </x:c>
      <x:c r="BA36" s="9" t="str">
        <x:v>grid_cells_within_BIG_polygon</x:v>
      </x:c>
      <x:c r="BB36" s="6" t="str">
        <x:v>20</x:v>
      </x:c>
      <x:c r="BC36" s="6" t="str">
        <x:v>32</x:v>
      </x:c>
      <x:c r="BD36" s="6" t="str">
        <x:v>32</x:v>
      </x:c>
      <x:c r="BE36" s="6" t="str">
        <x:v>23</x:v>
      </x:c>
      <x:c r="BF36" s="6" t="str">
        <x:v>5</x:v>
      </x:c>
      <x:c r="BG36" s="6" t="str">
        <x:v>0</x:v>
      </x:c>
      <x:c r="BH36" s="6" t="str">
        <x:v>0</x:v>
      </x:c>
      <x:c r="BI36" s="6" t="str">
        <x:v>4</x:v>
      </x:c>
      <x:c r="BJ36" s="6" t="str">
        <x:v>0</x:v>
      </x:c>
      <x:c r="BK36" s="6" t="str">
        <x:v>0</x:v>
      </x:c>
      <x:c r="BL36" s="6" t="str">
        <x:v>0</x:v>
      </x:c>
      <x:c r="BM36" s="6" t="str">
        <x:v>0</x:v>
      </x:c>
      <x:c r="BN36" s="6" t="str">
        <x:v>32</x:v>
      </x:c>
      <x:c r="BO36" s="6" t="str">
        <x:v>32.0</x:v>
      </x:c>
      <x:c r="BP36" s="6" t="str">
        <x:v>16</x:v>
      </x:c>
      <x:c r="BQ36" s="6" t="str">
        <x:v>117.0</x:v>
      </x:c>
      <x:c r="BR36" s="6" t="str">
        <x:v>15</x:v>
      </x:c>
      <x:c r="BS36" s="6" t="str">
        <x:v>377.0</x:v>
      </x:c>
      <x:c r="BT36" s="6" t="str">
        <x:v>32</x:v>
      </x:c>
      <x:c r="BU36" s="6" t="str">
        <x:v>36005.0</x:v>
      </x:c>
      <x:c r="BV36" s="6" t="str">
        <x:v>19</x:v>
      </x:c>
      <x:c r="BW36" s="9" t="str">
        <x:v>operational_snapshot_annual_totals_may_differ</x:v>
      </x:c>
      <x:c r="BX36" s="9" t="str">
        <x:v>official_live_dashboard_snapshot_subject_to_revision</x:v>
      </x:c>
      <x:c r="BY36" s="9" t="str">
        <x:v>https://tbdashboard.sitb.id/ss_data_tbc03so_2024_provinsi_bulanan_list.php</x:v>
      </x:c>
      <x:c r="BZ36" s="6" t="n">
        <x:v>46246.610671296294</x:v>
      </x:c>
    </x:row>
    <x:row r="37" ht="18" customHeight="1">
      <x:c r="A37" s="6" t="str">
        <x:v>12</x:v>
      </x:c>
      <x:c r="B37" s="6" t="str">
        <x:v>SUMATERA UTARA</x:v>
      </x:c>
      <x:c r="C37" s="6" t="str">
        <x:v>2024</x:v>
      </x:c>
      <x:c r="D37" s="6" t="str">
        <x:v>12</x:v>
      </x:c>
      <x:c r="E37" s="6" t="str">
        <x:v>2024-12</x:v>
      </x:c>
      <x:c r="F37" s="6" t="str">
        <x:v>3555</x:v>
      </x:c>
      <x:c r="G37" s="6" t="str">
        <x:v>746</x:v>
      </x:c>
      <x:c r="H37" s="6" t="str">
        <x:v>2052</x:v>
      </x:c>
      <x:c r="I37" s="6" t="str">
        <x:v>544</x:v>
      </x:c>
      <x:c r="J37" s="6" t="str">
        <x:v>154</x:v>
      </x:c>
      <x:c r="K37" s="6" t="str">
        <x:v>5</x:v>
      </x:c>
      <x:c r="L37" s="6" t="str">
        <x:v>10</x:v>
      </x:c>
      <x:c r="M37" s="6" t="str">
        <x:v>44</x:v>
      </x:c>
      <x:c r="N37" s="6" t="str">
        <x:v>3555</x:v>
      </x:c>
      <x:c r="O37" s="6" t="str">
        <x:v>0</x:v>
      </x:c>
      <x:c r="P37" s="10" t="n">
        <x:f>F37-M37</x:f>
        <x:v>3511</x:v>
      </x:c>
      <x:c r="Q37" s="11" t="n">
        <x:f>IFERROR(M37/F37,"")</x:f>
        <x:v>0.012376933895921238</x:v>
      </x:c>
      <x:c r="R37" s="10" t="n">
        <x:f>G37+H37</x:f>
        <x:v>2798</x:v>
      </x:c>
      <x:c r="S37" s="11" t="n">
        <x:f>IFERROR(R37/F37,"")</x:f>
        <x:v>0.7870604781997187</x:v>
      </x:c>
      <x:c r="T37" s="11" t="n">
        <x:f>IFERROR(R37/P37,"")</x:f>
        <x:v>0.796923953289661</x:v>
      </x:c>
      <x:c r="U37" s="10" t="n">
        <x:f>I37+J37+K37</x:f>
        <x:v>703</x:v>
      </x:c>
      <x:c r="V37" s="11" t="n">
        <x:f>IFERROR(U37/P37,"")</x:f>
        <x:v>0.20022785531187695</x:v>
      </x:c>
      <x:c r="W37" s="9" t="str">
        <x:v>mature_le_5pct_pending</x:v>
      </x:c>
      <x:c r="X37" s="12" t="n">
        <x:f>IFERROR(F37/Z37*100000,"")</x:f>
        <x:v>22.805273118003658</x:v>
      </x:c>
      <x:c r="Y37" s="13" t="n">
        <x:f>LN(Z37)</x:f>
        <x:v>16.562044020882176</x:v>
      </x:c>
      <x:c r="Z37" s="6" t="str">
        <x:v>15588500</x:v>
      </x:c>
      <x:c r="AA37" s="6" t="str">
        <x:v>215.0</x:v>
      </x:c>
      <x:c r="AB37" s="9" t="str">
        <x:v>2024-06-30</x:v>
      </x:c>
      <x:c r="AC37" s="8" t="str">
        <x:v>85.73</x:v>
      </x:c>
      <x:c r="AD37" s="9" t="str">
        <x:v>2024 (Susenas)</x:v>
      </x:c>
      <x:c r="AE37" s="8" t="str">
        <x:v>7.99</x:v>
      </x:c>
      <x:c r="AF37" s="9" t="str">
        <x:v>Maret 2024 (Susenas)</x:v>
      </x:c>
      <x:c r="AG37" s="6" t="str">
        <x:v>24.05112976827176</x:v>
      </x:c>
      <x:c r="AH37" s="8" t="str">
        <x:v>88.90623003648545</x:v>
      </x:c>
      <x:c r="AI37" s="6" t="str">
        <x:v>225.4925111400239</x:v>
      </x:c>
      <x:c r="AJ37" s="6" t="str">
        <x:v>0.4086250561042632</x:v>
      </x:c>
      <x:c r="AK37" s="8" t="str">
        <x:v>1.444168176776915</x:v>
      </x:c>
      <x:c r="AL37" s="6" t="str">
        <x:v>2.2006467257322657</x:v>
      </x:c>
      <x:c r="AM37" s="6" t="str">
        <x:v>3.3866859166832524</x:v>
      </x:c>
      <x:c r="AN37" s="6" t="str">
        <x:v>2.3438336063974776</x:v>
      </x:c>
      <x:c r="AO37" s="6" t="str">
        <x:v>-1.0703898398538456</x:v>
      </x:c>
      <x:c r="AP37" s="8" t="str">
        <x:v>-1.222912006081403</x:v>
      </x:c>
      <x:c r="AQ37" s="6" t="str">
        <x:v>-1.1940461012607426</x:v>
      </x:c>
      <x:c r="AR37" s="6" t="str">
        <x:v>-1.66527839956512</x:v>
      </x:c>
      <x:c r="AS37" s="6" t="str">
        <x:v>-1.3607455023024215</x:v>
      </x:c>
      <x:c r="AT37" s="6" t="str">
        <x:v>-114.94261673347596</x:v>
      </x:c>
      <x:c r="AU37" s="8" t="str">
        <x:v>-1.2217532351121037</x:v>
      </x:c>
      <x:c r="AV37" s="6" t="str">
        <x:v>-0.5523546015714822</x:v>
      </x:c>
      <x:c r="AW37" s="6" t="str">
        <x:v>-0.6465721737329679</x:v>
      </x:c>
      <x:c r="AX37" s="6" t="str">
        <x:v>-0.8068933368055181</x:v>
      </x:c>
      <x:c r="AY37" s="6" t="str">
        <x:v>0</x:v>
      </x:c>
      <x:c r="AZ37" s="6" t="str">
        <x:v>1</x:v>
      </x:c>
      <x:c r="BA37" s="9" t="str">
        <x:v>grid_cells_within_BIG_polygon</x:v>
      </x:c>
      <x:c r="BB37" s="6" t="str">
        <x:v>20</x:v>
      </x:c>
      <x:c r="BC37" s="6" t="str">
        <x:v>15</x:v>
      </x:c>
      <x:c r="BD37" s="6" t="str">
        <x:v>15</x:v>
      </x:c>
      <x:c r="BE37" s="6" t="str">
        <x:v>13</x:v>
      </x:c>
      <x:c r="BF37" s="6" t="str">
        <x:v>2</x:v>
      </x:c>
      <x:c r="BG37" s="6" t="str">
        <x:v>0</x:v>
      </x:c>
      <x:c r="BH37" s="6" t="str">
        <x:v>0</x:v>
      </x:c>
      <x:c r="BI37" s="6" t="str">
        <x:v>0</x:v>
      </x:c>
      <x:c r="BJ37" s="6" t="str">
        <x:v>0</x:v>
      </x:c>
      <x:c r="BK37" s="6" t="str">
        <x:v>0</x:v>
      </x:c>
      <x:c r="BL37" s="6" t="str">
        <x:v>0</x:v>
      </x:c>
      <x:c r="BM37" s="6" t="str">
        <x:v>0</x:v>
      </x:c>
      <x:c r="BN37" s="6" t="str">
        <x:v>15</x:v>
      </x:c>
      <x:c r="BO37" s="6" t="str">
        <x:v>3.0</x:v>
      </x:c>
      <x:c r="BP37" s="6" t="str">
        <x:v>6</x:v>
      </x:c>
      <x:c r="BQ37" s="6" t="str">
        <x:v>2.0</x:v>
      </x:c>
      <x:c r="BR37" s="6" t="str">
        <x:v>6</x:v>
      </x:c>
      <x:c r="BS37" s="6" t="str">
        <x:v>94.0</x:v>
      </x:c>
      <x:c r="BT37" s="6" t="str">
        <x:v>15</x:v>
      </x:c>
      <x:c r="BU37" s="6" t="str">
        <x:v>5668.0</x:v>
      </x:c>
      <x:c r="BV37" s="6" t="str">
        <x:v>12</x:v>
      </x:c>
      <x:c r="BW37" s="9" t="str">
        <x:v>operational_snapshot_annual_totals_may_differ</x:v>
      </x:c>
      <x:c r="BX37" s="9" t="str">
        <x:v>official_live_dashboard_snapshot_subject_to_revision</x:v>
      </x:c>
      <x:c r="BY37" s="9" t="str">
        <x:v>https://tbdashboard.sitb.id/ss_data_tbc03so_2024_provinsi_bulanan_list.php</x:v>
      </x:c>
      <x:c r="BZ37" s="6" t="n">
        <x:v>46246.610671296294</x:v>
      </x:c>
    </x:row>
    <x:row r="38" ht="18" customHeight="1">
      <x:c r="A38" s="6" t="str">
        <x:v>12</x:v>
      </x:c>
      <x:c r="B38" s="6" t="str">
        <x:v>SUMATERA UTARA</x:v>
      </x:c>
      <x:c r="C38" s="6" t="str">
        <x:v>2025</x:v>
      </x:c>
      <x:c r="D38" s="6" t="str">
        <x:v>1</x:v>
      </x:c>
      <x:c r="E38" s="6" t="str">
        <x:v>2025-01</x:v>
      </x:c>
      <x:c r="F38" s="6" t="str">
        <x:v>4468</x:v>
      </x:c>
      <x:c r="G38" s="6" t="str">
        <x:v>991</x:v>
      </x:c>
      <x:c r="H38" s="6" t="str">
        <x:v>2372</x:v>
      </x:c>
      <x:c r="I38" s="6" t="str">
        <x:v>591</x:v>
      </x:c>
      <x:c r="J38" s="6" t="str">
        <x:v>232</x:v>
      </x:c>
      <x:c r="K38" s="6" t="str">
        <x:v>7</x:v>
      </x:c>
      <x:c r="L38" s="6" t="str">
        <x:v>31</x:v>
      </x:c>
      <x:c r="M38" s="6" t="str">
        <x:v>244</x:v>
      </x:c>
      <x:c r="N38" s="6" t="str">
        <x:v>4468</x:v>
      </x:c>
      <x:c r="O38" s="6" t="str">
        <x:v>0</x:v>
      </x:c>
      <x:c r="P38" s="10" t="n">
        <x:f>F38-M38</x:f>
        <x:v>4224</x:v>
      </x:c>
      <x:c r="Q38" s="11" t="n">
        <x:f>IFERROR(M38/F38,"")</x:f>
        <x:v>0.05461056401074306</x:v>
      </x:c>
      <x:c r="R38" s="10" t="n">
        <x:f>G38+H38</x:f>
        <x:v>3363</x:v>
      </x:c>
      <x:c r="S38" s="11" t="n">
        <x:f>IFERROR(R38/F38,"")</x:f>
        <x:v>0.7526857654431512</x:v>
      </x:c>
      <x:c r="T38" s="11" t="n">
        <x:f>IFERROR(R38/P38,"")</x:f>
        <x:v>0.7961647727272727</x:v>
      </x:c>
      <x:c r="U38" s="10" t="n">
        <x:f>I38+J38+K38</x:f>
        <x:v>830</x:v>
      </x:c>
      <x:c r="V38" s="11" t="n">
        <x:f>IFERROR(U38/P38,"")</x:f>
        <x:v>0.19649621212121213</x:v>
      </x:c>
      <x:c r="W38" s="9" t="str">
        <x:v>provisional_gt_5pct_pending</x:v>
      </x:c>
      <x:c r="X38" s="12" t="n">
        <x:f>IFERROR(F38/Z38*100000,"")</x:f>
        <x:v>28.3039187117536</x:v>
      </x:c>
      <x:c r="Y38" s="13" t="n">
        <x:f>LN(Z38)</x:f>
        <x:v>16.57462135971628</x:v>
      </x:c>
      <x:c r="Z38" s="6" t="str">
        <x:v>15785800</x:v>
      </x:c>
      <x:c r="AA38" s="6" t="str">
        <x:v>218.0</x:v>
      </x:c>
      <x:c r="AB38" s="9" t="str">
        <x:v>2025-06-30</x:v>
      </x:c>
      <x:c r="AC38" s="8" t="str">
        <x:v>87.47</x:v>
      </x:c>
      <x:c r="AD38" s="9" t="str">
        <x:v>2025 (Susenas)</x:v>
      </x:c>
      <x:c r="AE38" s="8" t="str">
        <x:v>7.36</x:v>
      </x:c>
      <x:c r="AF38" s="9" t="str">
        <x:v>Maret 2025 (Susenas)</x:v>
      </x:c>
      <x:c r="AG38" s="6" t="str">
        <x:v>24.030701730372</x:v>
      </x:c>
      <x:c r="AH38" s="8" t="str">
        <x:v>89.37663216892888</x:v>
      </x:c>
      <x:c r="AI38" s="6" t="str">
        <x:v>334.32591724107425</x:v>
      </x:c>
      <x:c r="AJ38" s="6" t="str">
        <x:v>0.2732126760097699</x:v>
      </x:c>
      <x:c r="AK38" s="8" t="str">
        <x:v>0.7606251981145704</x:v>
      </x:c>
      <x:c r="AL38" s="6" t="str">
        <x:v>1.444168176776915</x:v>
      </x:c>
      <x:c r="AM38" s="6" t="str">
        <x:v>2.2006467257322657</x:v>
      </x:c>
      <x:c r="AN38" s="6" t="str">
        <x:v>1.4684800335412505</x:v>
      </x:c>
      <x:c r="AO38" s="6" t="str">
        <x:v>0.8901334929235247</x:v>
      </x:c>
      <x:c r="AP38" s="8" t="str">
        <x:v>0.8771122032959175</x:v>
      </x:c>
      <x:c r="AQ38" s="6" t="str">
        <x:v>-1.222912006081403</x:v>
      </x:c>
      <x:c r="AR38" s="6" t="str">
        <x:v>-1.1940461012607426</x:v>
      </x:c>
      <x:c r="AS38" s="6" t="str">
        <x:v>-0.5132819680154092</x:v>
      </x:c>
      <x:c r="AT38" s="6" t="str">
        <x:v>108.39273683002546</x:v>
      </x:c>
      <x:c r="AU38" s="8" t="str">
        <x:v>1.4142731110647864</x:v>
      </x:c>
      <x:c r="AV38" s="6" t="str">
        <x:v>-1.2217532351121037</x:v>
      </x:c>
      <x:c r="AW38" s="6" t="str">
        <x:v>-0.5523546015714822</x:v>
      </x:c>
      <x:c r="AX38" s="6" t="str">
        <x:v>-0.1199449085395999</x:v>
      </x:c>
      <x:c r="AY38" s="6" t="str">
        <x:v>1</x:v>
      </x:c>
      <x:c r="AZ38" s="6" t="str">
        <x:v>0</x:v>
      </x:c>
      <x:c r="BA38" s="9" t="str">
        <x:v>grid_cells_within_BIG_polygon</x:v>
      </x:c>
      <x:c r="BB38" s="6" t="str">
        <x:v>20</x:v>
      </x:c>
      <x:c r="BC38" s="6" t="str">
        <x:v>20</x:v>
      </x:c>
      <x:c r="BD38" s="6" t="str">
        <x:v>20</x:v>
      </x:c>
      <x:c r="BE38" s="6" t="str">
        <x:v>20</x:v>
      </x:c>
      <x:c r="BF38" s="6" t="str">
        <x:v>0</x:v>
      </x:c>
      <x:c r="BG38" s="6" t="str">
        <x:v>0</x:v>
      </x:c>
      <x:c r="BH38" s="6" t="str">
        <x:v>0</x:v>
      </x:c>
      <x:c r="BI38" s="6" t="str">
        <x:v>0</x:v>
      </x:c>
      <x:c r="BJ38" s="6" t="str">
        <x:v>0</x:v>
      </x:c>
      <x:c r="BK38" s="6" t="str">
        <x:v>0</x:v>
      </x:c>
      <x:c r="BL38" s="6" t="str">
        <x:v>0</x:v>
      </x:c>
      <x:c r="BM38" s="6" t="str">
        <x:v>0</x:v>
      </x:c>
      <x:c r="BN38" s="6" t="str">
        <x:v>20</x:v>
      </x:c>
      <x:c r="BO38" s="6" t="str">
        <x:v>0.0</x:v>
      </x:c>
      <x:c r="BP38" s="6" t="str">
        <x:v>20</x:v>
      </x:c>
      <x:c r="BQ38" s="6" t="str">
        <x:v>0.0</x:v>
      </x:c>
      <x:c r="BR38" s="6" t="str">
        <x:v>20</x:v>
      </x:c>
      <x:c r="BS38" s="6" t="str">
        <x:v>1.0</x:v>
      </x:c>
      <x:c r="BT38" s="6" t="str">
        <x:v>20</x:v>
      </x:c>
      <x:c r="BU38" s="6" t="str">
        <x:v>29924.0</x:v>
      </x:c>
      <x:c r="BV38" s="6" t="str">
        <x:v>19</x:v>
      </x:c>
      <x:c r="BW38" s="9" t="str">
        <x:v>operational_snapshot_annual_totals_may_differ</x:v>
      </x:c>
      <x:c r="BX38" s="9" t="str">
        <x:v>official_live_dashboard_snapshot_subject_to_revision</x:v>
      </x:c>
      <x:c r="BY38" s="9" t="str">
        <x:v>https://tbdashboard.sitb.id/ss_data_tbc03so_2025_provinsi_bulanan_list.php</x:v>
      </x:c>
      <x:c r="BZ38" s="6" t="n">
        <x:v>46246.610671296294</x:v>
      </x:c>
    </x:row>
    <x:row r="39" ht="18" customHeight="1">
      <x:c r="A39" s="6" t="str">
        <x:v>12</x:v>
      </x:c>
      <x:c r="B39" s="6" t="str">
        <x:v>SUMATERA UTARA</x:v>
      </x:c>
      <x:c r="C39" s="6" t="str">
        <x:v>2025</x:v>
      </x:c>
      <x:c r="D39" s="6" t="str">
        <x:v>2</x:v>
      </x:c>
      <x:c r="E39" s="6" t="str">
        <x:v>2025-02</x:v>
      </x:c>
      <x:c r="F39" s="6" t="str">
        <x:v>4501</x:v>
      </x:c>
      <x:c r="G39" s="6" t="str">
        <x:v>1096</x:v>
      </x:c>
      <x:c r="H39" s="6" t="str">
        <x:v>2307</x:v>
      </x:c>
      <x:c r="I39" s="6" t="str">
        <x:v>603</x:v>
      </x:c>
      <x:c r="J39" s="6" t="str">
        <x:v>218</x:v>
      </x:c>
      <x:c r="K39" s="6" t="str">
        <x:v>2</x:v>
      </x:c>
      <x:c r="L39" s="6" t="str">
        <x:v>20</x:v>
      </x:c>
      <x:c r="M39" s="6" t="str">
        <x:v>255</x:v>
      </x:c>
      <x:c r="N39" s="6" t="str">
        <x:v>4501</x:v>
      </x:c>
      <x:c r="O39" s="6" t="str">
        <x:v>0</x:v>
      </x:c>
      <x:c r="P39" s="10" t="n">
        <x:f>F39-M39</x:f>
        <x:v>4246</x:v>
      </x:c>
      <x:c r="Q39" s="11" t="n">
        <x:f>IFERROR(M39/F39,"")</x:f>
        <x:v>0.056654076871806264</x:v>
      </x:c>
      <x:c r="R39" s="10" t="n">
        <x:f>G39+H39</x:f>
        <x:v>3403</x:v>
      </x:c>
      <x:c r="S39" s="11" t="n">
        <x:f>IFERROR(R39/F39,"")</x:f>
        <x:v>0.7560542101755166</x:v>
      </x:c>
      <x:c r="T39" s="11" t="n">
        <x:f>IFERROR(R39/P39,"")</x:f>
        <x:v>0.8014601978332548</x:v>
      </x:c>
      <x:c r="U39" s="10" t="n">
        <x:f>I39+J39+K39</x:f>
        <x:v>823</x:v>
      </x:c>
      <x:c r="V39" s="11" t="n">
        <x:f>IFERROR(U39/P39,"")</x:f>
        <x:v>0.19382948657560056</x:v>
      </x:c>
      <x:c r="W39" s="9" t="str">
        <x:v>provisional_gt_5pct_pending</x:v>
      </x:c>
      <x:c r="X39" s="12" t="n">
        <x:f>IFERROR(F39/Z39*100000,"")</x:f>
        <x:v>28.512967350403528</x:v>
      </x:c>
      <x:c r="Y39" s="13" t="n">
        <x:f>LN(Z39)</x:f>
        <x:v>16.57462135971628</x:v>
      </x:c>
      <x:c r="Z39" s="6" t="str">
        <x:v>15785800</x:v>
      </x:c>
      <x:c r="AA39" s="6" t="str">
        <x:v>218.0</x:v>
      </x:c>
      <x:c r="AB39" s="9" t="str">
        <x:v>2025-06-30</x:v>
      </x:c>
      <x:c r="AC39" s="8" t="str">
        <x:v>87.47</x:v>
      </x:c>
      <x:c r="AD39" s="9" t="str">
        <x:v>2025 (Susenas)</x:v>
      </x:c>
      <x:c r="AE39" s="8" t="str">
        <x:v>7.36</x:v>
      </x:c>
      <x:c r="AF39" s="9" t="str">
        <x:v>Maret 2025 (Susenas)</x:v>
      </x:c>
      <x:c r="AG39" s="6" t="str">
        <x:v>24.512177783491413</x:v>
      </x:c>
      <x:c r="AH39" s="8" t="str">
        <x:v>87.30091520145375</x:v>
      </x:c>
      <x:c r="AI39" s="6" t="str">
        <x:v>135.21002584574998</x:v>
      </x:c>
      <x:c r="AJ39" s="6" t="str">
        <x:v>0.4273033893315094</x:v>
      </x:c>
      <x:c r="AK39" s="8" t="str">
        <x:v>1.14406370563553</x:v>
      </x:c>
      <x:c r="AL39" s="6" t="str">
        <x:v>0.7606251981145704</x:v>
      </x:c>
      <x:c r="AM39" s="6" t="str">
        <x:v>1.444168176776915</x:v>
      </x:c>
      <x:c r="AN39" s="6" t="str">
        <x:v>1.116285693509005</x:v>
      </x:c>
      <x:c r="AO39" s="6" t="str">
        <x:v>-0.0157456289296646</x:v>
      </x:c>
      <x:c r="AP39" s="8" t="str">
        <x:v>-0.0140430051302521</x:v>
      </x:c>
      <x:c r="AQ39" s="6" t="str">
        <x:v>0.8771122032959175</x:v>
      </x:c>
      <x:c r="AR39" s="6" t="str">
        <x:v>-1.222912006081403</x:v>
      </x:c>
      <x:c r="AS39" s="6" t="str">
        <x:v>-0.119947602638579</x:v>
      </x:c>
      <x:c r="AT39" s="6" t="str">
        <x:v>-61.17046494718375</x:v>
      </x:c>
      <x:c r="AU39" s="8" t="str">
        <x:v>-0.9247841059532832</x:v>
      </x:c>
      <x:c r="AV39" s="6" t="str">
        <x:v>1.4142731110647864</x:v>
      </x:c>
      <x:c r="AW39" s="6" t="str">
        <x:v>-1.2217532351121037</x:v>
      </x:c>
      <x:c r="AX39" s="6" t="str">
        <x:v>-0.2440880766668669</x:v>
      </x:c>
      <x:c r="AY39" s="6" t="str">
        <x:v>0</x:v>
      </x:c>
      <x:c r="AZ39" s="6" t="str">
        <x:v>1</x:v>
      </x:c>
      <x:c r="BA39" s="9" t="str">
        <x:v>grid_cells_within_BIG_polygon</x:v>
      </x:c>
      <x:c r="BB39" s="6" t="str">
        <x:v>20</x:v>
      </x:c>
      <x:c r="BC39" s="6" t="str">
        <x:v>10</x:v>
      </x:c>
      <x:c r="BD39" s="6" t="str">
        <x:v>10</x:v>
      </x:c>
      <x:c r="BE39" s="6" t="str">
        <x:v>6</x:v>
      </x:c>
      <x:c r="BF39" s="6" t="str">
        <x:v>2</x:v>
      </x:c>
      <x:c r="BG39" s="6" t="str">
        <x:v>1</x:v>
      </x:c>
      <x:c r="BH39" s="6" t="str">
        <x:v>0</x:v>
      </x:c>
      <x:c r="BI39" s="6" t="str">
        <x:v>1</x:v>
      </x:c>
      <x:c r="BJ39" s="6" t="str">
        <x:v>0</x:v>
      </x:c>
      <x:c r="BK39" s="6" t="str">
        <x:v>0</x:v>
      </x:c>
      <x:c r="BL39" s="6" t="str">
        <x:v>0</x:v>
      </x:c>
      <x:c r="BM39" s="6" t="str">
        <x:v>0</x:v>
      </x:c>
      <x:c r="BN39" s="6" t="str">
        <x:v>10</x:v>
      </x:c>
      <x:c r="BO39" s="6" t="str">
        <x:v>2.0</x:v>
      </x:c>
      <x:c r="BP39" s="6" t="str">
        <x:v>10</x:v>
      </x:c>
      <x:c r="BQ39" s="6" t="str">
        <x:v>0.0</x:v>
      </x:c>
      <x:c r="BR39" s="6" t="str">
        <x:v>10</x:v>
      </x:c>
      <x:c r="BS39" s="6" t="str">
        <x:v>49.0</x:v>
      </x:c>
      <x:c r="BT39" s="6" t="str">
        <x:v>10</x:v>
      </x:c>
      <x:c r="BU39" s="6" t="str">
        <x:v>255.0</x:v>
      </x:c>
      <x:c r="BV39" s="6" t="str">
        <x:v>5</x:v>
      </x:c>
      <x:c r="BW39" s="9" t="str">
        <x:v>operational_snapshot_annual_totals_may_differ</x:v>
      </x:c>
      <x:c r="BX39" s="9" t="str">
        <x:v>official_live_dashboard_snapshot_subject_to_revision</x:v>
      </x:c>
      <x:c r="BY39" s="9" t="str">
        <x:v>https://tbdashboard.sitb.id/ss_data_tbc03so_2025_provinsi_bulanan_list.php</x:v>
      </x:c>
      <x:c r="BZ39" s="6" t="n">
        <x:v>46246.610671296294</x:v>
      </x:c>
    </x:row>
    <x:row r="40" ht="18" customHeight="1">
      <x:c r="A40" s="6" t="str">
        <x:v>12</x:v>
      </x:c>
      <x:c r="B40" s="6" t="str">
        <x:v>SUMATERA UTARA</x:v>
      </x:c>
      <x:c r="C40" s="6" t="str">
        <x:v>2025</x:v>
      </x:c>
      <x:c r="D40" s="6" t="str">
        <x:v>3</x:v>
      </x:c>
      <x:c r="E40" s="6" t="str">
        <x:v>2025-03</x:v>
      </x:c>
      <x:c r="F40" s="6" t="str">
        <x:v>4035</x:v>
      </x:c>
      <x:c r="G40" s="6" t="str">
        <x:v>991</x:v>
      </x:c>
      <x:c r="H40" s="6" t="str">
        <x:v>2007</x:v>
      </x:c>
      <x:c r="I40" s="6" t="str">
        <x:v>547</x:v>
      </x:c>
      <x:c r="J40" s="6" t="str">
        <x:v>204</x:v>
      </x:c>
      <x:c r="K40" s="6" t="str">
        <x:v>5</x:v>
      </x:c>
      <x:c r="L40" s="6" t="str">
        <x:v>8</x:v>
      </x:c>
      <x:c r="M40" s="6" t="str">
        <x:v>273</x:v>
      </x:c>
      <x:c r="N40" s="6" t="str">
        <x:v>4035</x:v>
      </x:c>
      <x:c r="O40" s="6" t="str">
        <x:v>0</x:v>
      </x:c>
      <x:c r="P40" s="10" t="n">
        <x:f>F40-M40</x:f>
        <x:v>3762</x:v>
      </x:c>
      <x:c r="Q40" s="11" t="n">
        <x:f>IFERROR(M40/F40,"")</x:f>
        <x:v>0.06765799256505577</x:v>
      </x:c>
      <x:c r="R40" s="10" t="n">
        <x:f>G40+H40</x:f>
        <x:v>2998</x:v>
      </x:c>
      <x:c r="S40" s="11" t="n">
        <x:f>IFERROR(R40/F40,"")</x:f>
        <x:v>0.7429987608426271</x:v>
      </x:c>
      <x:c r="T40" s="11" t="n">
        <x:f>IFERROR(R40/P40,"")</x:f>
        <x:v>0.796916533758639</x:v>
      </x:c>
      <x:c r="U40" s="10" t="n">
        <x:f>I40+J40+K40</x:f>
        <x:v>756</x:v>
      </x:c>
      <x:c r="V40" s="11" t="n">
        <x:f>IFERROR(U40/P40,"")</x:f>
        <x:v>0.20095693779904306</x:v>
      </x:c>
      <x:c r="W40" s="9" t="str">
        <x:v>provisional_gt_5pct_pending</x:v>
      </x:c>
      <x:c r="X40" s="12" t="n">
        <x:f>IFERROR(F40/Z40*100000,"")</x:f>
        <x:v>25.560947180377305</x:v>
      </x:c>
      <x:c r="Y40" s="13" t="n">
        <x:f>LN(Z40)</x:f>
        <x:v>16.57462135971628</x:v>
      </x:c>
      <x:c r="Z40" s="6" t="str">
        <x:v>15785800</x:v>
      </x:c>
      <x:c r="AA40" s="6" t="str">
        <x:v>218.0</x:v>
      </x:c>
      <x:c r="AB40" s="9" t="str">
        <x:v>2025-06-30</x:v>
      </x:c>
      <x:c r="AC40" s="8" t="str">
        <x:v>87.47</x:v>
      </x:c>
      <x:c r="AD40" s="9" t="str">
        <x:v>2025 (Susenas)</x:v>
      </x:c>
      <x:c r="AE40" s="8" t="str">
        <x:v>7.36</x:v>
      </x:c>
      <x:c r="AF40" s="9" t="str">
        <x:v>Maret 2025 (Susenas)</x:v>
      </x:c>
      <x:c r="AG40" s="6" t="str">
        <x:v>24.68505867972637</x:v>
      </x:c>
      <x:c r="AH40" s="8" t="str">
        <x:v>88.49336321743941</x:v>
      </x:c>
      <x:c r="AI40" s="6" t="str">
        <x:v>288.0170328349829</x:v>
      </x:c>
      <x:c r="AJ40" s="6" t="str">
        <x:v>0.3008305402777758</x:v>
      </x:c>
      <x:c r="AK40" s="8" t="str">
        <x:v>0.7044721991269552</x:v>
      </x:c>
      <x:c r="AL40" s="6" t="str">
        <x:v>1.14406370563553</x:v>
      </x:c>
      <x:c r="AM40" s="6" t="str">
        <x:v>0.7606251981145704</x:v>
      </x:c>
      <x:c r="AN40" s="6" t="str">
        <x:v>0.8697203676256852</x:v>
      </x:c>
      <x:c r="AO40" s="6" t="str">
        <x:v>0.9435393409888776</x:v>
      </x:c>
      <x:c r="AP40" s="8" t="str">
        <x:v>0.8956235362308615</x:v>
      </x:c>
      <x:c r="AQ40" s="6" t="str">
        <x:v>-0.0140430051302521</x:v>
      </x:c>
      <x:c r="AR40" s="6" t="str">
        <x:v>0.8771122032959175</x:v>
      </x:c>
      <x:c r="AS40" s="6" t="str">
        <x:v>0.5862309114655092</x:v>
      </x:c>
      <x:c r="AT40" s="6" t="str">
        <x:v>20.91153718780248</x:v>
      </x:c>
      <x:c r="AU40" s="8" t="str">
        <x:v>0.246680792535033</x:v>
      </x:c>
      <x:c r="AV40" s="6" t="str">
        <x:v>-0.9247841059532832</x:v>
      </x:c>
      <x:c r="AW40" s="6" t="str">
        <x:v>1.4142731110647864</x:v>
      </x:c>
      <x:c r="AX40" s="6" t="str">
        <x:v>0.2453899325488452</x:v>
      </x:c>
      <x:c r="AY40" s="6" t="str">
        <x:v>0</x:v>
      </x:c>
      <x:c r="AZ40" s="6" t="str">
        <x:v>0</x:v>
      </x:c>
      <x:c r="BA40" s="9" t="str">
        <x:v>grid_cells_within_BIG_polygon</x:v>
      </x:c>
      <x:c r="BB40" s="6" t="str">
        <x:v>20</x:v>
      </x:c>
      <x:c r="BC40" s="6" t="str">
        <x:v>17</x:v>
      </x:c>
      <x:c r="BD40" s="6" t="str">
        <x:v>16</x:v>
      </x:c>
      <x:c r="BE40" s="6" t="str">
        <x:v>15</x:v>
      </x:c>
      <x:c r="BF40" s="6" t="str">
        <x:v>0</x:v>
      </x:c>
      <x:c r="BG40" s="6" t="str">
        <x:v>0</x:v>
      </x:c>
      <x:c r="BH40" s="6" t="str">
        <x:v>0</x:v>
      </x:c>
      <x:c r="BI40" s="6" t="str">
        <x:v>1</x:v>
      </x:c>
      <x:c r="BJ40" s="6" t="str">
        <x:v>0</x:v>
      </x:c>
      <x:c r="BK40" s="6" t="str">
        <x:v>1</x:v>
      </x:c>
      <x:c r="BL40" s="6" t="str">
        <x:v>0</x:v>
      </x:c>
      <x:c r="BM40" s="6" t="str">
        <x:v>0</x:v>
      </x:c>
      <x:c r="BN40" s="6" t="str">
        <x:v>17</x:v>
      </x:c>
      <x:c r="BO40" s="6" t="str">
        <x:v>3.0</x:v>
      </x:c>
      <x:c r="BP40" s="6" t="str">
        <x:v>17</x:v>
      </x:c>
      <x:c r="BQ40" s="6" t="str">
        <x:v>3.0</x:v>
      </x:c>
      <x:c r="BR40" s="6" t="str">
        <x:v>17</x:v>
      </x:c>
      <x:c r="BS40" s="6" t="str">
        <x:v>660.0</x:v>
      </x:c>
      <x:c r="BT40" s="6" t="str">
        <x:v>17</x:v>
      </x:c>
      <x:c r="BU40" s="6" t="str">
        <x:v>1252.0</x:v>
      </x:c>
      <x:c r="BV40" s="6" t="str">
        <x:v>13</x:v>
      </x:c>
      <x:c r="BW40" s="9" t="str">
        <x:v>operational_snapshot_annual_totals_may_differ</x:v>
      </x:c>
      <x:c r="BX40" s="9" t="str">
        <x:v>official_live_dashboard_snapshot_subject_to_revision</x:v>
      </x:c>
      <x:c r="BY40" s="9" t="str">
        <x:v>https://tbdashboard.sitb.id/ss_data_tbc03so_2025_provinsi_bulanan_list.php</x:v>
      </x:c>
      <x:c r="BZ40" s="6" t="n">
        <x:v>46246.610671296294</x:v>
      </x:c>
    </x:row>
    <x:row r="41" ht="18" customHeight="1">
      <x:c r="A41" s="6" t="str">
        <x:v>12</x:v>
      </x:c>
      <x:c r="B41" s="6" t="str">
        <x:v>SUMATERA UTARA</x:v>
      </x:c>
      <x:c r="C41" s="6" t="str">
        <x:v>2025</x:v>
      </x:c>
      <x:c r="D41" s="6" t="str">
        <x:v>4</x:v>
      </x:c>
      <x:c r="E41" s="6" t="str">
        <x:v>2025-04</x:v>
      </x:c>
      <x:c r="F41" s="6" t="str">
        <x:v>3926</x:v>
      </x:c>
      <x:c r="G41" s="6" t="str">
        <x:v>943</x:v>
      </x:c>
      <x:c r="H41" s="6" t="str">
        <x:v>1953</x:v>
      </x:c>
      <x:c r="I41" s="6" t="str">
        <x:v>498</x:v>
      </x:c>
      <x:c r="J41" s="6" t="str">
        <x:v>190</x:v>
      </x:c>
      <x:c r="K41" s="6" t="str">
        <x:v>5</x:v>
      </x:c>
      <x:c r="L41" s="6" t="str">
        <x:v>4</x:v>
      </x:c>
      <x:c r="M41" s="6" t="str">
        <x:v>333</x:v>
      </x:c>
      <x:c r="N41" s="6" t="str">
        <x:v>3926</x:v>
      </x:c>
      <x:c r="O41" s="6" t="str">
        <x:v>0</x:v>
      </x:c>
      <x:c r="P41" s="10" t="n">
        <x:f>F41-M41</x:f>
        <x:v>3593</x:v>
      </x:c>
      <x:c r="Q41" s="11" t="n">
        <x:f>IFERROR(M41/F41,"")</x:f>
        <x:v>0.0848191543555782</x:v>
      </x:c>
      <x:c r="R41" s="10" t="n">
        <x:f>G41+H41</x:f>
        <x:v>2896</x:v>
      </x:c>
      <x:c r="S41" s="11" t="n">
        <x:f>IFERROR(R41/F41,"")</x:f>
        <x:v>0.7376464595007641</x:v>
      </x:c>
      <x:c r="T41" s="11" t="n">
        <x:f>IFERROR(R41/P41,"")</x:f>
        <x:v>0.8060116893960478</x:v>
      </x:c>
      <x:c r="U41" s="10" t="n">
        <x:f>I41+J41+K41</x:f>
        <x:v>693</x:v>
      </x:c>
      <x:c r="V41" s="11" t="n">
        <x:f>IFERROR(U41/P41,"")</x:f>
        <x:v>0.1928750347898692</x:v>
      </x:c>
      <x:c r="W41" s="9" t="str">
        <x:v>provisional_gt_5pct_pending</x:v>
      </x:c>
      <x:c r="X41" s="12" t="n">
        <x:f>IFERROR(F41/Z41*100000,"")</x:f>
        <x:v>24.870453192109363</x:v>
      </x:c>
      <x:c r="Y41" s="13" t="n">
        <x:f>LN(Z41)</x:f>
        <x:v>16.57462135971628</x:v>
      </x:c>
      <x:c r="Z41" s="6" t="str">
        <x:v>15785800</x:v>
      </x:c>
      <x:c r="AA41" s="6" t="str">
        <x:v>218.0</x:v>
      </x:c>
      <x:c r="AB41" s="9" t="str">
        <x:v>2025-06-30</x:v>
      </x:c>
      <x:c r="AC41" s="8" t="str">
        <x:v>87.47</x:v>
      </x:c>
      <x:c r="AD41" s="9" t="str">
        <x:v>2025 (Susenas)</x:v>
      </x:c>
      <x:c r="AE41" s="8" t="str">
        <x:v>7.36</x:v>
      </x:c>
      <x:c r="AF41" s="9" t="str">
        <x:v>Maret 2025 (Susenas)</x:v>
      </x:c>
      <x:c r="AG41" s="6" t="str">
        <x:v>24.52105180485991</x:v>
      </x:c>
      <x:c r="AH41" s="8" t="str">
        <x:v>88.35946121462722</x:v>
      </x:c>
      <x:c r="AI41" s="6" t="str">
        <x:v>259.4928850237688</x:v>
      </x:c>
      <x:c r="AJ41" s="6" t="str">
        <x:v>-0.0946676106392274</x:v>
      </x:c>
      <x:c r="AK41" s="8" t="str">
        <x:v>-0.2295224919662231</x:v>
      </x:c>
      <x:c r="AL41" s="6" t="str">
        <x:v>0.7044721991269552</x:v>
      </x:c>
      <x:c r="AM41" s="6" t="str">
        <x:v>1.14406370563553</x:v>
      </x:c>
      <x:c r="AN41" s="6" t="str">
        <x:v>0.5396711375987541</x:v>
      </x:c>
      <x:c r="AO41" s="6" t="str">
        <x:v>-0.1810132040114211</x:v>
      </x:c>
      <x:c r="AP41" s="8" t="str">
        <x:v>-0.2218781262874855</x:v>
      </x:c>
      <x:c r="AQ41" s="6" t="str">
        <x:v>0.8956235362308615</x:v>
      </x:c>
      <x:c r="AR41" s="6" t="str">
        <x:v>-0.0140430051302521</x:v>
      </x:c>
      <x:c r="AS41" s="6" t="str">
        <x:v>0.2199008016043747</x:v>
      </x:c>
      <x:c r="AT41" s="6" t="str">
        <x:v>-1.5059952424469998</x:v>
      </x:c>
      <x:c r="AU41" s="8" t="str">
        <x:v>-0.0228974355432302</x:v>
      </x:c>
      <x:c r="AV41" s="6" t="str">
        <x:v>0.246680792535033</x:v>
      </x:c>
      <x:c r="AW41" s="6" t="str">
        <x:v>-0.9247841059532832</x:v>
      </x:c>
      <x:c r="AX41" s="6" t="str">
        <x:v>-0.2336669163204936</x:v>
      </x:c>
      <x:c r="AY41" s="6" t="str">
        <x:v>0</x:v>
      </x:c>
      <x:c r="AZ41" s="6" t="str">
        <x:v>0</x:v>
      </x:c>
      <x:c r="BA41" s="9" t="str">
        <x:v>grid_cells_within_BIG_polygon</x:v>
      </x:c>
      <x:c r="BB41" s="6" t="str">
        <x:v>20</x:v>
      </x:c>
      <x:c r="BC41" s="6" t="str">
        <x:v>11</x:v>
      </x:c>
      <x:c r="BD41" s="6" t="str">
        <x:v>11</x:v>
      </x:c>
      <x:c r="BE41" s="6" t="str">
        <x:v>9</x:v>
      </x:c>
      <x:c r="BF41" s="6" t="str">
        <x:v>0</x:v>
      </x:c>
      <x:c r="BG41" s="6" t="str">
        <x:v>2</x:v>
      </x:c>
      <x:c r="BH41" s="6" t="str">
        <x:v>0</x:v>
      </x:c>
      <x:c r="BI41" s="6" t="str">
        <x:v>0</x:v>
      </x:c>
      <x:c r="BJ41" s="6" t="str">
        <x:v>0</x:v>
      </x:c>
      <x:c r="BK41" s="6" t="str">
        <x:v>0</x:v>
      </x:c>
      <x:c r="BL41" s="6" t="str">
        <x:v>0</x:v>
      </x:c>
      <x:c r="BM41" s="6" t="str">
        <x:v>0</x:v>
      </x:c>
      <x:c r="BN41" s="6" t="str">
        <x:v>11</x:v>
      </x:c>
      <x:c r="BO41" s="6" t="str">
        <x:v>0.0</x:v>
      </x:c>
      <x:c r="BP41" s="6" t="str">
        <x:v>11</x:v>
      </x:c>
      <x:c r="BQ41" s="6" t="str">
        <x:v>0.0</x:v>
      </x:c>
      <x:c r="BR41" s="6" t="str">
        <x:v>11</x:v>
      </x:c>
      <x:c r="BS41" s="6" t="str">
        <x:v>60.0</x:v>
      </x:c>
      <x:c r="BT41" s="6" t="str">
        <x:v>11</x:v>
      </x:c>
      <x:c r="BU41" s="6" t="str">
        <x:v>3066.0</x:v>
      </x:c>
      <x:c r="BV41" s="6" t="str">
        <x:v>9</x:v>
      </x:c>
      <x:c r="BW41" s="9" t="str">
        <x:v>operational_snapshot_annual_totals_may_differ</x:v>
      </x:c>
      <x:c r="BX41" s="9" t="str">
        <x:v>official_live_dashboard_snapshot_subject_to_revision</x:v>
      </x:c>
      <x:c r="BY41" s="9" t="str">
        <x:v>https://tbdashboard.sitb.id/ss_data_tbc03so_2025_provinsi_bulanan_list.php</x:v>
      </x:c>
      <x:c r="BZ41" s="6" t="n">
        <x:v>46246.610671296294</x:v>
      </x:c>
    </x:row>
    <x:row r="42" ht="18" customHeight="1">
      <x:c r="A42" s="6" t="str">
        <x:v>12</x:v>
      </x:c>
      <x:c r="B42" s="6" t="str">
        <x:v>SUMATERA UTARA</x:v>
      </x:c>
      <x:c r="C42" s="6" t="str">
        <x:v>2025</x:v>
      </x:c>
      <x:c r="D42" s="6" t="str">
        <x:v>5</x:v>
      </x:c>
      <x:c r="E42" s="6" t="str">
        <x:v>2025-05</x:v>
      </x:c>
      <x:c r="F42" s="6" t="str">
        <x:v>4167</x:v>
      </x:c>
      <x:c r="G42" s="6" t="str">
        <x:v>976</x:v>
      </x:c>
      <x:c r="H42" s="6" t="str">
        <x:v>2035</x:v>
      </x:c>
      <x:c r="I42" s="6" t="str">
        <x:v>513</x:v>
      </x:c>
      <x:c r="J42" s="6" t="str">
        <x:v>210</x:v>
      </x:c>
      <x:c r="K42" s="6" t="str">
        <x:v>1</x:v>
      </x:c>
      <x:c r="L42" s="6" t="str">
        <x:v>0</x:v>
      </x:c>
      <x:c r="M42" s="6" t="str">
        <x:v>432</x:v>
      </x:c>
      <x:c r="N42" s="6" t="str">
        <x:v>4167</x:v>
      </x:c>
      <x:c r="O42" s="6" t="str">
        <x:v>0</x:v>
      </x:c>
      <x:c r="P42" s="10" t="n">
        <x:f>F42-M42</x:f>
        <x:v>3735</x:v>
      </x:c>
      <x:c r="Q42" s="11" t="n">
        <x:f>IFERROR(M42/F42,"")</x:f>
        <x:v>0.10367170626349892</x:v>
      </x:c>
      <x:c r="R42" s="10" t="n">
        <x:f>G42+H42</x:f>
        <x:v>3011</x:v>
      </x:c>
      <x:c r="S42" s="11" t="n">
        <x:f>IFERROR(R42/F42,"")</x:f>
        <x:v>0.722582193424526</x:v>
      </x:c>
      <x:c r="T42" s="11" t="n">
        <x:f>IFERROR(R42/P42,"")</x:f>
        <x:v>0.8061579651941098</x:v>
      </x:c>
      <x:c r="U42" s="10" t="n">
        <x:f>I42+J42+K42</x:f>
        <x:v>724</x:v>
      </x:c>
      <x:c r="V42" s="11" t="n">
        <x:f>IFERROR(U42/P42,"")</x:f>
        <x:v>0.19384203480589024</x:v>
      </x:c>
      <x:c r="W42" s="9" t="str">
        <x:v>provisional_gt_5pct_pending</x:v>
      </x:c>
      <x:c r="X42" s="12" t="n">
        <x:f>IFERROR(F42/Z42*100000,"")</x:f>
        <x:v>26.397141734977</x:v>
      </x:c>
      <x:c r="Y42" s="13" t="n">
        <x:f>LN(Z42)</x:f>
        <x:v>16.57462135971628</x:v>
      </x:c>
      <x:c r="Z42" s="6" t="str">
        <x:v>15785800</x:v>
      </x:c>
      <x:c r="AA42" s="6" t="str">
        <x:v>218.0</x:v>
      </x:c>
      <x:c r="AB42" s="9" t="str">
        <x:v>2025-06-30</x:v>
      </x:c>
      <x:c r="AC42" s="8" t="str">
        <x:v>87.47</x:v>
      </x:c>
      <x:c r="AD42" s="9" t="str">
        <x:v>2025 (Susenas)</x:v>
      </x:c>
      <x:c r="AE42" s="8" t="str">
        <x:v>7.36</x:v>
      </x:c>
      <x:c r="AF42" s="9" t="str">
        <x:v>Maret 2025 (Susenas)</x:v>
      </x:c>
      <x:c r="AG42" s="6" t="str">
        <x:v>24.99505718013344</x:v>
      </x:c>
      <x:c r="AH42" s="8" t="str">
        <x:v>88.16853023398573</x:v>
      </x:c>
      <x:c r="AI42" s="6" t="str">
        <x:v>204.95433622478893</x:v>
      </x:c>
      <x:c r="AJ42" s="6" t="str">
        <x:v>0.273256710966411</x:v>
      </x:c>
      <x:c r="AK42" s="8" t="str">
        <x:v>0.8829245469860346</x:v>
      </x:c>
      <x:c r="AL42" s="6" t="str">
        <x:v>-0.2295224919662231</x:v>
      </x:c>
      <x:c r="AM42" s="6" t="str">
        <x:v>0.7044721991269552</x:v>
      </x:c>
      <x:c r="AN42" s="6" t="str">
        <x:v>0.4526247513822556</x:v>
      </x:c>
      <x:c r="AO42" s="6" t="str">
        <x:v>-0.3538024002617419</x:v>
      </x:c>
      <x:c r="AP42" s="8" t="str">
        <x:v>-0.4677864434252335</x:v>
      </x:c>
      <x:c r="AQ42" s="6" t="str">
        <x:v>-0.2218781262874855</x:v>
      </x:c>
      <x:c r="AR42" s="6" t="str">
        <x:v>0.8956235362308615</x:v>
      </x:c>
      <x:c r="AS42" s="6" t="str">
        <x:v>0.0686529888393809</x:v>
      </x:c>
      <x:c r="AT42" s="6" t="str">
        <x:v>-40.084778173126494</x:v>
      </x:c>
      <x:c r="AU42" s="8" t="str">
        <x:v>-0.4753128933159171</x:v>
      </x:c>
      <x:c r="AV42" s="6" t="str">
        <x:v>-0.0228974355432302</x:v>
      </x:c>
      <x:c r="AW42" s="6" t="str">
        <x:v>0.246680792535033</x:v>
      </x:c>
      <x:c r="AX42" s="6" t="str">
        <x:v>-0.0838431787747048</x:v>
      </x:c>
      <x:c r="AY42" s="6" t="str">
        <x:v>0</x:v>
      </x:c>
      <x:c r="AZ42" s="6" t="str">
        <x:v>0</x:v>
      </x:c>
      <x:c r="BA42" s="9" t="str">
        <x:v>grid_cells_within_BIG_polygon</x:v>
      </x:c>
      <x:c r="BB42" s="6" t="str">
        <x:v>20</x:v>
      </x:c>
      <x:c r="BC42" s="6" t="str">
        <x:v>18</x:v>
      </x:c>
      <x:c r="BD42" s="6" t="str">
        <x:v>18</x:v>
      </x:c>
      <x:c r="BE42" s="6" t="str">
        <x:v>2</x:v>
      </x:c>
      <x:c r="BF42" s="6" t="str">
        <x:v>0</x:v>
      </x:c>
      <x:c r="BG42" s="6" t="str">
        <x:v>13</x:v>
      </x:c>
      <x:c r="BH42" s="6" t="str">
        <x:v>0</x:v>
      </x:c>
      <x:c r="BI42" s="6" t="str">
        <x:v>3</x:v>
      </x:c>
      <x:c r="BJ42" s="6" t="str">
        <x:v>0</x:v>
      </x:c>
      <x:c r="BK42" s="6" t="str">
        <x:v>0</x:v>
      </x:c>
      <x:c r="BL42" s="6" t="str">
        <x:v>0</x:v>
      </x:c>
      <x:c r="BM42" s="6" t="str">
        <x:v>0</x:v>
      </x:c>
      <x:c r="BN42" s="6" t="str">
        <x:v>18</x:v>
      </x:c>
      <x:c r="BO42" s="6" t="str">
        <x:v>1.0</x:v>
      </x:c>
      <x:c r="BP42" s="6" t="str">
        <x:v>18</x:v>
      </x:c>
      <x:c r="BQ42" s="6" t="str">
        <x:v>4.0</x:v>
      </x:c>
      <x:c r="BR42" s="6" t="str">
        <x:v>18</x:v>
      </x:c>
      <x:c r="BS42" s="6" t="str">
        <x:v>278.0</x:v>
      </x:c>
      <x:c r="BT42" s="6" t="str">
        <x:v>18</x:v>
      </x:c>
      <x:c r="BU42" s="6" t="str">
        <x:v>123.0</x:v>
      </x:c>
      <x:c r="BV42" s="6" t="str">
        <x:v>2</x:v>
      </x:c>
      <x:c r="BW42" s="9" t="str">
        <x:v>operational_snapshot_annual_totals_may_differ</x:v>
      </x:c>
      <x:c r="BX42" s="9" t="str">
        <x:v>official_live_dashboard_snapshot_subject_to_revision</x:v>
      </x:c>
      <x:c r="BY42" s="9" t="str">
        <x:v>https://tbdashboard.sitb.id/ss_data_tbc03so_2025_provinsi_bulanan_list.php</x:v>
      </x:c>
      <x:c r="BZ42" s="6" t="n">
        <x:v>46246.610671296294</x:v>
      </x:c>
    </x:row>
    <x:row r="43" ht="18" customHeight="1">
      <x:c r="A43" s="6" t="str">
        <x:v>12</x:v>
      </x:c>
      <x:c r="B43" s="6" t="str">
        <x:v>SUMATERA UTARA</x:v>
      </x:c>
      <x:c r="C43" s="6" t="str">
        <x:v>2025</x:v>
      </x:c>
      <x:c r="D43" s="6" t="str">
        <x:v>6</x:v>
      </x:c>
      <x:c r="E43" s="6" t="str">
        <x:v>2025-06</x:v>
      </x:c>
      <x:c r="F43" s="6" t="str">
        <x:v>3953</x:v>
      </x:c>
      <x:c r="G43" s="6" t="str">
        <x:v>803</x:v>
      </x:c>
      <x:c r="H43" s="6" t="str">
        <x:v>2008</x:v>
      </x:c>
      <x:c r="I43" s="6" t="str">
        <x:v>462</x:v>
      </x:c>
      <x:c r="J43" s="6" t="str">
        <x:v>203</x:v>
      </x:c>
      <x:c r="K43" s="6" t="str">
        <x:v>5</x:v>
      </x:c>
      <x:c r="L43" s="6" t="str">
        <x:v>6</x:v>
      </x:c>
      <x:c r="M43" s="6" t="str">
        <x:v>466</x:v>
      </x:c>
      <x:c r="N43" s="6" t="str">
        <x:v>3953</x:v>
      </x:c>
      <x:c r="O43" s="6" t="str">
        <x:v>0</x:v>
      </x:c>
      <x:c r="P43" s="10" t="n">
        <x:f>F43-M43</x:f>
        <x:v>3487</x:v>
      </x:c>
      <x:c r="Q43" s="11" t="n">
        <x:f>IFERROR(M43/F43,"")</x:f>
        <x:v>0.11788515051859347</x:v>
      </x:c>
      <x:c r="R43" s="10" t="n">
        <x:f>G43+H43</x:f>
        <x:v>2811</x:v>
      </x:c>
      <x:c r="S43" s="11" t="n">
        <x:f>IFERROR(R43/F43,"")</x:f>
        <x:v>0.7111054895016443</x:v>
      </x:c>
      <x:c r="T43" s="11" t="n">
        <x:f>IFERROR(R43/P43,"")</x:f>
        <x:v>0.8061370805850301</x:v>
      </x:c>
      <x:c r="U43" s="10" t="n">
        <x:f>I43+J43+K43</x:f>
        <x:v>670</x:v>
      </x:c>
      <x:c r="V43" s="11" t="n">
        <x:f>IFERROR(U43/P43,"")</x:f>
        <x:v>0.19214224261542873</x:v>
      </x:c>
      <x:c r="W43" s="9" t="str">
        <x:v>provisional_gt_5pct_pending</x:v>
      </x:c>
      <x:c r="X43" s="12" t="n">
        <x:f>IFERROR(F43/Z43*100000,"")</x:f>
        <x:v>25.041492987368393</x:v>
      </x:c>
      <x:c r="Y43" s="13" t="n">
        <x:f>LN(Z43)</x:f>
        <x:v>16.57462135971628</x:v>
      </x:c>
      <x:c r="Z43" s="6" t="str">
        <x:v>15785800</x:v>
      </x:c>
      <x:c r="AA43" s="6" t="str">
        <x:v>218.0</x:v>
      </x:c>
      <x:c r="AB43" s="9" t="str">
        <x:v>2025-06-30</x:v>
      </x:c>
      <x:c r="AC43" s="8" t="str">
        <x:v>87.47</x:v>
      </x:c>
      <x:c r="AD43" s="9" t="str">
        <x:v>2025 (Susenas)</x:v>
      </x:c>
      <x:c r="AE43" s="8" t="str">
        <x:v>7.36</x:v>
      </x:c>
      <x:c r="AF43" s="9" t="str">
        <x:v>Maret 2025 (Susenas)</x:v>
      </x:c>
      <x:c r="AG43" s="6" t="str">
        <x:v>24.459564958449672</x:v>
      </x:c>
      <x:c r="AH43" s="8" t="str">
        <x:v>86.42212967093256</x:v>
      </x:c>
      <x:c r="AI43" s="6" t="str">
        <x:v>126.45894373166055</x:v>
      </x:c>
      <x:c r="AJ43" s="6" t="str">
        <x:v>0.1956193076530361</x:v>
      </x:c>
      <x:c r="AK43" s="8" t="str">
        <x:v>0.7790357840214752</x:v>
      </x:c>
      <x:c r="AL43" s="6" t="str">
        <x:v>0.8829245469860346</x:v>
      </x:c>
      <x:c r="AM43" s="6" t="str">
        <x:v>-0.2295224919662231</x:v>
      </x:c>
      <x:c r="AN43" s="6" t="str">
        <x:v>0.4774792796804289</x:v>
      </x:c>
      <x:c r="AO43" s="6" t="str">
        <x:v>-1.579480583829465</x:v>
      </x:c>
      <x:c r="AP43" s="8" t="str">
        <x:v>-1.881350800971704</x:v>
      </x:c>
      <x:c r="AQ43" s="6" t="str">
        <x:v>-0.4677864434252335</x:v>
      </x:c>
      <x:c r="AR43" s="6" t="str">
        <x:v>-0.2218781262874855</x:v>
      </x:c>
      <x:c r="AS43" s="6" t="str">
        <x:v>-0.8570051235614743</x:v>
      </x:c>
      <x:c r="AT43" s="6" t="str">
        <x:v>-59.3465965968274</x:v>
      </x:c>
      <x:c r="AU43" s="8" t="str">
        <x:v>-1.102280131835885</x:v>
      </x:c>
      <x:c r="AV43" s="6" t="str">
        <x:v>-0.4753128933159171</x:v>
      </x:c>
      <x:c r="AW43" s="6" t="str">
        <x:v>-0.0228974355432302</x:v>
      </x:c>
      <x:c r="AX43" s="6" t="str">
        <x:v>-0.5334968202316775</x:v>
      </x:c>
      <x:c r="AY43" s="6" t="str">
        <x:v>0</x:v>
      </x:c>
      <x:c r="AZ43" s="6" t="str">
        <x:v>0</x:v>
      </x:c>
      <x:c r="BA43" s="9" t="str">
        <x:v>grid_cells_within_BIG_polygon</x:v>
      </x:c>
      <x:c r="BB43" s="6" t="str">
        <x:v>20</x:v>
      </x:c>
      <x:c r="BC43" s="6" t="str">
        <x:v>18</x:v>
      </x:c>
      <x:c r="BD43" s="6" t="str">
        <x:v>18</x:v>
      </x:c>
      <x:c r="BE43" s="6" t="str">
        <x:v>1</x:v>
      </x:c>
      <x:c r="BF43" s="6" t="str">
        <x:v>0</x:v>
      </x:c>
      <x:c r="BG43" s="6" t="str">
        <x:v>7</x:v>
      </x:c>
      <x:c r="BH43" s="6" t="str">
        <x:v>0</x:v>
      </x:c>
      <x:c r="BI43" s="6" t="str">
        <x:v>10</x:v>
      </x:c>
      <x:c r="BJ43" s="6" t="str">
        <x:v>0</x:v>
      </x:c>
      <x:c r="BK43" s="6" t="str">
        <x:v>0</x:v>
      </x:c>
      <x:c r="BL43" s="6" t="str">
        <x:v>0</x:v>
      </x:c>
      <x:c r="BM43" s="6" t="str">
        <x:v>0</x:v>
      </x:c>
      <x:c r="BN43" s="6" t="str">
        <x:v>18</x:v>
      </x:c>
      <x:c r="BO43" s="6" t="str">
        <x:v>0.0</x:v>
      </x:c>
      <x:c r="BP43" s="6" t="str">
        <x:v>1</x:v>
      </x:c>
      <x:c r="BQ43" s="6" t="str">
        <x:v>1.0</x:v>
      </x:c>
      <x:c r="BR43" s="6" t="str">
        <x:v>2</x:v>
      </x:c>
      <x:c r="BS43" s="6" t="str">
        <x:v>505.0</x:v>
      </x:c>
      <x:c r="BT43" s="6" t="str">
        <x:v>18</x:v>
      </x:c>
      <x:c r="BU43" s="6" t="str">
        <x:v>50.0</x:v>
      </x:c>
      <x:c r="BV43" s="6" t="str">
        <x:v>1</x:v>
      </x:c>
      <x:c r="BW43" s="9" t="str">
        <x:v>operational_snapshot_annual_totals_may_differ</x:v>
      </x:c>
      <x:c r="BX43" s="9" t="str">
        <x:v>official_live_dashboard_snapshot_subject_to_revision</x:v>
      </x:c>
      <x:c r="BY43" s="9" t="str">
        <x:v>https://tbdashboard.sitb.id/ss_data_tbc03so_2025_provinsi_bulanan_list.php</x:v>
      </x:c>
      <x:c r="BZ43" s="6" t="n">
        <x:v>46246.610671296294</x:v>
      </x:c>
    </x:row>
    <x:row r="44" ht="18" customHeight="1">
      <x:c r="A44" s="6" t="str">
        <x:v>12</x:v>
      </x:c>
      <x:c r="B44" s="6" t="str">
        <x:v>SUMATERA UTARA</x:v>
      </x:c>
      <x:c r="C44" s="6" t="str">
        <x:v>2025</x:v>
      </x:c>
      <x:c r="D44" s="6" t="str">
        <x:v>7</x:v>
      </x:c>
      <x:c r="E44" s="6" t="str">
        <x:v>2025-07</x:v>
      </x:c>
      <x:c r="F44" s="6" t="str">
        <x:v>4419</x:v>
      </x:c>
      <x:c r="G44" s="6" t="str">
        <x:v>951</x:v>
      </x:c>
      <x:c r="H44" s="6" t="str">
        <x:v>2104</x:v>
      </x:c>
      <x:c r="I44" s="6" t="str">
        <x:v>535</x:v>
      </x:c>
      <x:c r="J44" s="6" t="str">
        <x:v>209</x:v>
      </x:c>
      <x:c r="K44" s="6" t="str">
        <x:v>0</x:v>
      </x:c>
      <x:c r="L44" s="6" t="str">
        <x:v>5</x:v>
      </x:c>
      <x:c r="M44" s="6" t="str">
        <x:v>615</x:v>
      </x:c>
      <x:c r="N44" s="6" t="str">
        <x:v>4419</x:v>
      </x:c>
      <x:c r="O44" s="6" t="str">
        <x:v>0</x:v>
      </x:c>
      <x:c r="P44" s="10" t="n">
        <x:f>F44-M44</x:f>
        <x:v>3804</x:v>
      </x:c>
      <x:c r="Q44" s="11" t="n">
        <x:f>IFERROR(M44/F44,"")</x:f>
        <x:v>0.13917175831636117</x:v>
      </x:c>
      <x:c r="R44" s="10" t="n">
        <x:f>G44+H44</x:f>
        <x:v>3055</x:v>
      </x:c>
      <x:c r="S44" s="11" t="n">
        <x:f>IFERROR(R44/F44,"")</x:f>
        <x:v>0.6913328807422494</x:v>
      </x:c>
      <x:c r="T44" s="11" t="n">
        <x:f>IFERROR(R44/P44,"")</x:f>
        <x:v>0.8031019978969506</x:v>
      </x:c>
      <x:c r="U44" s="10" t="n">
        <x:f>I44+J44+K44</x:f>
        <x:v>744</x:v>
      </x:c>
      <x:c r="V44" s="11" t="n">
        <x:f>IFERROR(U44/P44,"")</x:f>
        <x:v>0.19558359621451105</x:v>
      </x:c>
      <x:c r="W44" s="9" t="str">
        <x:v>provisional_gt_5pct_pending</x:v>
      </x:c>
      <x:c r="X44" s="12" t="n">
        <x:f>IFERROR(F44/Z44*100000,"")</x:f>
        <x:v>27.993513157394624</x:v>
      </x:c>
      <x:c r="Y44" s="13" t="n">
        <x:f>LN(Z44)</x:f>
        <x:v>16.57462135971628</x:v>
      </x:c>
      <x:c r="Z44" s="6" t="str">
        <x:v>15785800</x:v>
      </x:c>
      <x:c r="AA44" s="6" t="str">
        <x:v>218.0</x:v>
      </x:c>
      <x:c r="AB44" s="9" t="str">
        <x:v>2025-06-30</x:v>
      </x:c>
      <x:c r="AC44" s="8" t="str">
        <x:v>87.47</x:v>
      </x:c>
      <x:c r="AD44" s="9" t="str">
        <x:v>2025 (Susenas)</x:v>
      </x:c>
      <x:c r="AE44" s="8" t="str">
        <x:v>7.36</x:v>
      </x:c>
      <x:c r="AF44" s="9" t="str">
        <x:v>Maret 2025 (Susenas)</x:v>
      </x:c>
      <x:c r="AG44" s="6" t="str">
        <x:v>24.53251244821202</x:v>
      </x:c>
      <x:c r="AH44" s="8" t="str">
        <x:v>86.71335846311396</x:v>
      </x:c>
      <x:c r="AI44" s="6" t="str">
        <x:v>131.0679440037712</x:v>
      </x:c>
      <x:c r="AJ44" s="6" t="str">
        <x:v>0.5924109050461439</x:v>
      </x:c>
      <x:c r="AK44" s="8" t="str">
        <x:v>2.4554903852902186</x:v>
      </x:c>
      <x:c r="AL44" s="6" t="str">
        <x:v>0.7790357840214752</x:v>
      </x:c>
      <x:c r="AM44" s="6" t="str">
        <x:v>0.8829245469860346</x:v>
      </x:c>
      <x:c r="AN44" s="6" t="str">
        <x:v>1.3724835720992428</x:v>
      </x:c>
      <x:c r="AO44" s="6" t="str">
        <x:v>-1.1114516541688744</x:v>
      </x:c>
      <x:c r="AP44" s="8" t="str">
        <x:v>-1.0822492821286172</x:v>
      </x:c>
      <x:c r="AQ44" s="6" t="str">
        <x:v>-1.881350800971704</x:v>
      </x:c>
      <x:c r="AR44" s="6" t="str">
        <x:v>-0.4677864434252335</x:v>
      </x:c>
      <x:c r="AS44" s="6" t="str">
        <x:v>-1.1437955088418514</x:v>
      </x:c>
      <x:c r="AT44" s="6" t="str">
        <x:v>-107.82807447359562</x:v>
      </x:c>
      <x:c r="AU44" s="8" t="str">
        <x:v>-1.1866222763141323</x:v>
      </x:c>
      <x:c r="AV44" s="6" t="str">
        <x:v>-1.102280131835885</x:v>
      </x:c>
      <x:c r="AW44" s="6" t="str">
        <x:v>-0.4753128933159171</x:v>
      </x:c>
      <x:c r="AX44" s="6" t="str">
        <x:v>-0.921405100488645</x:v>
      </x:c>
      <x:c r="AY44" s="6" t="str">
        <x:v>0</x:v>
      </x:c>
      <x:c r="AZ44" s="6" t="str">
        <x:v>1</x:v>
      </x:c>
      <x:c r="BA44" s="9" t="str">
        <x:v>grid_cells_within_BIG_polygon</x:v>
      </x:c>
      <x:c r="BB44" s="6" t="str">
        <x:v>20</x:v>
      </x:c>
      <x:c r="BC44" s="6" t="str">
        <x:v>36</x:v>
      </x:c>
      <x:c r="BD44" s="6" t="str">
        <x:v>36</x:v>
      </x:c>
      <x:c r="BE44" s="6" t="str">
        <x:v>0</x:v>
      </x:c>
      <x:c r="BF44" s="6" t="str">
        <x:v>0</x:v>
      </x:c>
      <x:c r="BG44" s="6" t="str">
        <x:v>4</x:v>
      </x:c>
      <x:c r="BH44" s="6" t="str">
        <x:v>1</x:v>
      </x:c>
      <x:c r="BI44" s="6" t="str">
        <x:v>31</x:v>
      </x:c>
      <x:c r="BJ44" s="6" t="str">
        <x:v>0</x:v>
      </x:c>
      <x:c r="BK44" s="6" t="str">
        <x:v>0</x:v>
      </x:c>
      <x:c r="BL44" s="6" t="str">
        <x:v>0</x:v>
      </x:c>
      <x:c r="BM44" s="6" t="str">
        <x:v>0</x:v>
      </x:c>
      <x:c r="BN44" s="6" t="str">
        <x:v>36</x:v>
      </x:c>
      <x:c r="BO44" s="6" t="str"/>
      <x:c r="BP44" s="6" t="str">
        <x:v>0</x:v>
      </x:c>
      <x:c r="BQ44" s="6" t="str">
        <x:v>4.0</x:v>
      </x:c>
      <x:c r="BR44" s="6" t="str">
        <x:v>1</x:v>
      </x:c>
      <x:c r="BS44" s="6" t="str">
        <x:v>162.0</x:v>
      </x:c>
      <x:c r="BT44" s="6" t="str">
        <x:v>36</x:v>
      </x:c>
      <x:c r="BU44" s="6" t="str"/>
      <x:c r="BV44" s="6" t="str">
        <x:v>0</x:v>
      </x:c>
      <x:c r="BW44" s="9" t="str">
        <x:v>operational_snapshot_annual_totals_may_differ</x:v>
      </x:c>
      <x:c r="BX44" s="9" t="str">
        <x:v>official_live_dashboard_snapshot_subject_to_revision</x:v>
      </x:c>
      <x:c r="BY44" s="9" t="str">
        <x:v>https://tbdashboard.sitb.id/ss_data_tbc03so_2025_provinsi_bulanan_list.php</x:v>
      </x:c>
      <x:c r="BZ44" s="6" t="n">
        <x:v>46246.610671296294</x:v>
      </x:c>
    </x:row>
    <x:row r="45" ht="18" customHeight="1">
      <x:c r="A45" s="6" t="str">
        <x:v>12</x:v>
      </x:c>
      <x:c r="B45" s="6" t="str">
        <x:v>SUMATERA UTARA</x:v>
      </x:c>
      <x:c r="C45" s="6" t="str">
        <x:v>2025</x:v>
      </x:c>
      <x:c r="D45" s="6" t="str">
        <x:v>8</x:v>
      </x:c>
      <x:c r="E45" s="6" t="str">
        <x:v>2025-08</x:v>
      </x:c>
      <x:c r="F45" s="6" t="str">
        <x:v>4369</x:v>
      </x:c>
      <x:c r="G45" s="6" t="str">
        <x:v>957</x:v>
      </x:c>
      <x:c r="H45" s="6" t="str">
        <x:v>2013</x:v>
      </x:c>
      <x:c r="I45" s="6" t="str">
        <x:v>479</x:v>
      </x:c>
      <x:c r="J45" s="6" t="str">
        <x:v>221</x:v>
      </x:c>
      <x:c r="K45" s="6" t="str">
        <x:v>1</x:v>
      </x:c>
      <x:c r="L45" s="6" t="str">
        <x:v>5</x:v>
      </x:c>
      <x:c r="M45" s="6" t="str">
        <x:v>693</x:v>
      </x:c>
      <x:c r="N45" s="6" t="str">
        <x:v>4369</x:v>
      </x:c>
      <x:c r="O45" s="6" t="str">
        <x:v>0</x:v>
      </x:c>
      <x:c r="P45" s="10" t="n">
        <x:f>F45-M45</x:f>
        <x:v>3676</x:v>
      </x:c>
      <x:c r="Q45" s="11" t="n">
        <x:f>IFERROR(M45/F45,"")</x:f>
        <x:v>0.1586175326161593</x:v>
      </x:c>
      <x:c r="R45" s="10" t="n">
        <x:f>G45+H45</x:f>
        <x:v>2970</x:v>
      </x:c>
      <x:c r="S45" s="11" t="n">
        <x:f>IFERROR(R45/F45,"")</x:f>
        <x:v>0.6797894254978256</x:v>
      </x:c>
      <x:c r="T45" s="11" t="n">
        <x:f>IFERROR(R45/P45,"")</x:f>
        <x:v>0.8079434167573449</x:v>
      </x:c>
      <x:c r="U45" s="10" t="n">
        <x:f>I45+J45+K45</x:f>
        <x:v>701</x:v>
      </x:c>
      <x:c r="V45" s="11" t="n">
        <x:f>IFERROR(U45/P45,"")</x:f>
        <x:v>0.19069640914036998</x:v>
      </x:c>
      <x:c r="W45" s="9" t="str">
        <x:v>provisional_gt_5pct_pending</x:v>
      </x:c>
      <x:c r="X45" s="12" t="n">
        <x:f>IFERROR(F45/Z45*100000,"")</x:f>
        <x:v>27.67677279580382</x:v>
      </x:c>
      <x:c r="Y45" s="13" t="n">
        <x:f>LN(Z45)</x:f>
        <x:v>16.57462135971628</x:v>
      </x:c>
      <x:c r="Z45" s="6" t="str">
        <x:v>15785800</x:v>
      </x:c>
      <x:c r="AA45" s="6" t="str">
        <x:v>218.0</x:v>
      </x:c>
      <x:c r="AB45" s="9" t="str">
        <x:v>2025-06-30</x:v>
      </x:c>
      <x:c r="AC45" s="8" t="str">
        <x:v>87.47</x:v>
      </x:c>
      <x:c r="AD45" s="9" t="str">
        <x:v>2025 (Susenas)</x:v>
      </x:c>
      <x:c r="AE45" s="8" t="str">
        <x:v>7.36</x:v>
      </x:c>
      <x:c r="AF45" s="9" t="str">
        <x:v>Maret 2025 (Susenas)</x:v>
      </x:c>
      <x:c r="AG45" s="6" t="str">
        <x:v>24.191542148152852</x:v>
      </x:c>
      <x:c r="AH45" s="8" t="str">
        <x:v>86.07649139895443</x:v>
      </x:c>
      <x:c r="AI45" s="6" t="str">
        <x:v>261.257795235148</x:v>
      </x:c>
      <x:c r="AJ45" s="6" t="str">
        <x:v>0.2790855807796326</x:v>
      </x:c>
      <x:c r="AK45" s="8" t="str">
        <x:v>1.193002536097524</x:v>
      </x:c>
      <x:c r="AL45" s="6" t="str">
        <x:v>2.4554903852902186</x:v>
      </x:c>
      <x:c r="AM45" s="6" t="str">
        <x:v>0.7790357840214752</x:v>
      </x:c>
      <x:c r="AN45" s="6" t="str">
        <x:v>1.4758429018030723</x:v>
      </x:c>
      <x:c r="AO45" s="6" t="str">
        <x:v>-2.003037958255291</x:v>
      </x:c>
      <x:c r="AP45" s="8" t="str">
        <x:v>-1.9255285668392617</x:v>
      </x:c>
      <x:c r="AQ45" s="6" t="str">
        <x:v>-1.0822492821286172</x:v>
      </x:c>
      <x:c r="AR45" s="6" t="str">
        <x:v>-1.881350800971704</x:v>
      </x:c>
      <x:c r="AS45" s="6" t="str">
        <x:v>-1.6297095499798608</x:v>
      </x:c>
      <x:c r="AT45" s="6" t="str">
        <x:v>-29.9239675631959</x:v>
      </x:c>
      <x:c r="AU45" s="8" t="str">
        <x:v>-0.2863901655487188</x:v>
      </x:c>
      <x:c r="AV45" s="6" t="str">
        <x:v>-1.1866222763141323</x:v>
      </x:c>
      <x:c r="AW45" s="6" t="str">
        <x:v>-1.102280131835885</x:v>
      </x:c>
      <x:c r="AX45" s="6" t="str">
        <x:v>-0.8584308578995788</x:v>
      </x:c>
      <x:c r="AY45" s="6" t="str">
        <x:v>0</x:v>
      </x:c>
      <x:c r="AZ45" s="6" t="str">
        <x:v>1</x:v>
      </x:c>
      <x:c r="BA45" s="9" t="str">
        <x:v>grid_cells_within_BIG_polygon</x:v>
      </x:c>
      <x:c r="BB45" s="6" t="str">
        <x:v>20</x:v>
      </x:c>
      <x:c r="BC45" s="6" t="str">
        <x:v>33</x:v>
      </x:c>
      <x:c r="BD45" s="6" t="str">
        <x:v>33</x:v>
      </x:c>
      <x:c r="BE45" s="6" t="str">
        <x:v>1</x:v>
      </x:c>
      <x:c r="BF45" s="6" t="str">
        <x:v>0</x:v>
      </x:c>
      <x:c r="BG45" s="6" t="str">
        <x:v>12</x:v>
      </x:c>
      <x:c r="BH45" s="6" t="str">
        <x:v>1</x:v>
      </x:c>
      <x:c r="BI45" s="6" t="str">
        <x:v>19</x:v>
      </x:c>
      <x:c r="BJ45" s="6" t="str">
        <x:v>0</x:v>
      </x:c>
      <x:c r="BK45" s="6" t="str">
        <x:v>0</x:v>
      </x:c>
      <x:c r="BL45" s="6" t="str">
        <x:v>0</x:v>
      </x:c>
      <x:c r="BM45" s="6" t="str">
        <x:v>0</x:v>
      </x:c>
      <x:c r="BN45" s="6" t="str">
        <x:v>33</x:v>
      </x:c>
      <x:c r="BO45" s="6" t="str"/>
      <x:c r="BP45" s="6" t="str">
        <x:v>0</x:v>
      </x:c>
      <x:c r="BQ45" s="6" t="str"/>
      <x:c r="BR45" s="6" t="str">
        <x:v>0</x:v>
      </x:c>
      <x:c r="BS45" s="6" t="str">
        <x:v>276.0</x:v>
      </x:c>
      <x:c r="BT45" s="6" t="str">
        <x:v>33</x:v>
      </x:c>
      <x:c r="BU45" s="6" t="str">
        <x:v>20.0</x:v>
      </x:c>
      <x:c r="BV45" s="6" t="str">
        <x:v>1</x:v>
      </x:c>
      <x:c r="BW45" s="9" t="str">
        <x:v>operational_snapshot_annual_totals_may_differ</x:v>
      </x:c>
      <x:c r="BX45" s="9" t="str">
        <x:v>official_live_dashboard_snapshot_subject_to_revision</x:v>
      </x:c>
      <x:c r="BY45" s="9" t="str">
        <x:v>https://tbdashboard.sitb.id/ss_data_tbc03so_2025_provinsi_bulanan_list.php</x:v>
      </x:c>
      <x:c r="BZ45" s="6" t="n">
        <x:v>46246.610671296294</x:v>
      </x:c>
    </x:row>
    <x:row r="46" ht="18" customHeight="1">
      <x:c r="A46" s="6" t="str">
        <x:v>12</x:v>
      </x:c>
      <x:c r="B46" s="6" t="str">
        <x:v>SUMATERA UTARA</x:v>
      </x:c>
      <x:c r="C46" s="6" t="str">
        <x:v>2025</x:v>
      </x:c>
      <x:c r="D46" s="6" t="str">
        <x:v>9</x:v>
      </x:c>
      <x:c r="E46" s="6" t="str">
        <x:v>2025-09</x:v>
      </x:c>
      <x:c r="F46" s="6" t="str">
        <x:v>4379</x:v>
      </x:c>
      <x:c r="G46" s="6" t="str">
        <x:v>953</x:v>
      </x:c>
      <x:c r="H46" s="6" t="str">
        <x:v>1854</x:v>
      </x:c>
      <x:c r="I46" s="6" t="str">
        <x:v>482</x:v>
      </x:c>
      <x:c r="J46" s="6" t="str">
        <x:v>181</x:v>
      </x:c>
      <x:c r="K46" s="6" t="str">
        <x:v>1</x:v>
      </x:c>
      <x:c r="L46" s="6" t="str">
        <x:v>5</x:v>
      </x:c>
      <x:c r="M46" s="6" t="str">
        <x:v>903</x:v>
      </x:c>
      <x:c r="N46" s="6" t="str">
        <x:v>4379</x:v>
      </x:c>
      <x:c r="O46" s="6" t="str">
        <x:v>0</x:v>
      </x:c>
      <x:c r="P46" s="10" t="n">
        <x:f>F46-M46</x:f>
        <x:v>3476</x:v>
      </x:c>
      <x:c r="Q46" s="11" t="n">
        <x:f>IFERROR(M46/F46,"")</x:f>
        <x:v>0.20621146380452157</x:v>
      </x:c>
      <x:c r="R46" s="10" t="n">
        <x:f>G46+H46</x:f>
        <x:v>2807</x:v>
      </x:c>
      <x:c r="S46" s="11" t="n">
        <x:f>IFERROR(R46/F46,"")</x:f>
        <x:v>0.6410139301210322</x:v>
      </x:c>
      <x:c r="T46" s="11" t="n">
        <x:f>IFERROR(R46/P46,"")</x:f>
        <x:v>0.8075373993095513</x:v>
      </x:c>
      <x:c r="U46" s="10" t="n">
        <x:f>I46+J46+K46</x:f>
        <x:v>664</x:v>
      </x:c>
      <x:c r="V46" s="11" t="n">
        <x:f>IFERROR(U46/P46,"")</x:f>
        <x:v>0.19102416570771003</x:v>
      </x:c>
      <x:c r="W46" s="9" t="str">
        <x:v>provisional_gt_5pct_pending</x:v>
      </x:c>
      <x:c r="X46" s="12" t="n">
        <x:f>IFERROR(F46/Z46*100000,"")</x:f>
        <x:v>27.740120868121984</x:v>
      </x:c>
      <x:c r="Y46" s="13" t="n">
        <x:f>LN(Z46)</x:f>
        <x:v>16.57462135971628</x:v>
      </x:c>
      <x:c r="Z46" s="6" t="str">
        <x:v>15785800</x:v>
      </x:c>
      <x:c r="AA46" s="6" t="str">
        <x:v>218.0</x:v>
      </x:c>
      <x:c r="AB46" s="9" t="str">
        <x:v>2025-06-30</x:v>
      </x:c>
      <x:c r="AC46" s="8" t="str">
        <x:v>87.47</x:v>
      </x:c>
      <x:c r="AD46" s="9" t="str">
        <x:v>2025 (Susenas)</x:v>
      </x:c>
      <x:c r="AE46" s="8" t="str">
        <x:v>7.36</x:v>
      </x:c>
      <x:c r="AF46" s="9" t="str">
        <x:v>Maret 2025 (Susenas)</x:v>
      </x:c>
      <x:c r="AG46" s="6" t="str">
        <x:v>24.072032848275253</x:v>
      </x:c>
      <x:c r="AH46" s="8" t="str">
        <x:v>86.95710394760103</x:v>
      </x:c>
      <x:c r="AI46" s="6" t="str">
        <x:v>280.7844498705351</x:v>
      </x:c>
      <x:c r="AJ46" s="6" t="str">
        <x:v>0.1501357336663886</x:v>
      </x:c>
      <x:c r="AK46" s="8" t="str">
        <x:v>0.6858137951711206</x:v>
      </x:c>
      <x:c r="AL46" s="6" t="str">
        <x:v>1.193002536097524</x:v>
      </x:c>
      <x:c r="AM46" s="6" t="str">
        <x:v>2.4554903852902186</x:v>
      </x:c>
      <x:c r="AN46" s="6" t="str">
        <x:v>1.4447689055196211</x:v>
      </x:c>
      <x:c r="AO46" s="6" t="str">
        <x:v>-1.5320223958630097</x:v>
      </x:c>
      <x:c r="AP46" s="8" t="str">
        <x:v>-1.54183048652806</x:v>
      </x:c>
      <x:c r="AQ46" s="6" t="str">
        <x:v>-1.9255285668392617</x:v>
      </x:c>
      <x:c r="AR46" s="6" t="str">
        <x:v>-1.0822492821286172</x:v>
      </x:c>
      <x:c r="AS46" s="6" t="str">
        <x:v>-1.5165361118319791</x:v>
      </x:c>
      <x:c r="AT46" s="6" t="str">
        <x:v>-34.296222124311385</x:v>
      </x:c>
      <x:c r="AU46" s="8" t="str">
        <x:v>-0.4415443204748988</x:v>
      </x:c>
      <x:c r="AV46" s="6" t="str">
        <x:v>-0.2863901655487188</x:v>
      </x:c>
      <x:c r="AW46" s="6" t="str">
        <x:v>-1.1866222763141323</x:v>
      </x:c>
      <x:c r="AX46" s="6" t="str">
        <x:v>-0.6381855874459168</x:v>
      </x:c>
      <x:c r="AY46" s="6" t="str">
        <x:v>0</x:v>
      </x:c>
      <x:c r="AZ46" s="6" t="str">
        <x:v>0</x:v>
      </x:c>
      <x:c r="BA46" s="9" t="str">
        <x:v>grid_cells_within_BIG_polygon</x:v>
      </x:c>
      <x:c r="BB46" s="6" t="str">
        <x:v>20</x:v>
      </x:c>
      <x:c r="BC46" s="6" t="str">
        <x:v>14</x:v>
      </x:c>
      <x:c r="BD46" s="6" t="str">
        <x:v>14</x:v>
      </x:c>
      <x:c r="BE46" s="6" t="str">
        <x:v>2</x:v>
      </x:c>
      <x:c r="BF46" s="6" t="str">
        <x:v>1</x:v>
      </x:c>
      <x:c r="BG46" s="6" t="str">
        <x:v>7</x:v>
      </x:c>
      <x:c r="BH46" s="6" t="str">
        <x:v>0</x:v>
      </x:c>
      <x:c r="BI46" s="6" t="str">
        <x:v>4</x:v>
      </x:c>
      <x:c r="BJ46" s="6" t="str">
        <x:v>0</x:v>
      </x:c>
      <x:c r="BK46" s="6" t="str">
        <x:v>0</x:v>
      </x:c>
      <x:c r="BL46" s="6" t="str">
        <x:v>0</x:v>
      </x:c>
      <x:c r="BM46" s="6" t="str">
        <x:v>0</x:v>
      </x:c>
      <x:c r="BN46" s="6" t="str">
        <x:v>14</x:v>
      </x:c>
      <x:c r="BO46" s="6" t="str">
        <x:v>3.0</x:v>
      </x:c>
      <x:c r="BP46" s="6" t="str">
        <x:v>1</x:v>
      </x:c>
      <x:c r="BQ46" s="6" t="str">
        <x:v>4.0</x:v>
      </x:c>
      <x:c r="BR46" s="6" t="str">
        <x:v>2</x:v>
      </x:c>
      <x:c r="BS46" s="6" t="str">
        <x:v>176.0</x:v>
      </x:c>
      <x:c r="BT46" s="6" t="str">
        <x:v>14</x:v>
      </x:c>
      <x:c r="BU46" s="6" t="str">
        <x:v>464.0</x:v>
      </x:c>
      <x:c r="BV46" s="6" t="str">
        <x:v>2</x:v>
      </x:c>
      <x:c r="BW46" s="9" t="str">
        <x:v>operational_snapshot_annual_totals_may_differ</x:v>
      </x:c>
      <x:c r="BX46" s="9" t="str">
        <x:v>official_live_dashboard_snapshot_subject_to_revision</x:v>
      </x:c>
      <x:c r="BY46" s="9" t="str">
        <x:v>https://tbdashboard.sitb.id/ss_data_tbc03so_2025_provinsi_bulanan_list.php</x:v>
      </x:c>
      <x:c r="BZ46" s="6" t="n">
        <x:v>46246.610671296294</x:v>
      </x:c>
    </x:row>
    <x:row r="47" ht="18" customHeight="1">
      <x:c r="A47" s="6" t="str">
        <x:v>12</x:v>
      </x:c>
      <x:c r="B47" s="6" t="str">
        <x:v>SUMATERA UTARA</x:v>
      </x:c>
      <x:c r="C47" s="6" t="str">
        <x:v>2025</x:v>
      </x:c>
      <x:c r="D47" s="6" t="str">
        <x:v>10</x:v>
      </x:c>
      <x:c r="E47" s="6" t="str">
        <x:v>2025-10</x:v>
      </x:c>
      <x:c r="F47" s="6" t="str">
        <x:v>5612</x:v>
      </x:c>
      <x:c r="G47" s="6" t="str">
        <x:v>994</x:v>
      </x:c>
      <x:c r="H47" s="6" t="str">
        <x:v>2259</x:v>
      </x:c>
      <x:c r="I47" s="6" t="str">
        <x:v>491</x:v>
      </x:c>
      <x:c r="J47" s="6" t="str">
        <x:v>183</x:v>
      </x:c>
      <x:c r="K47" s="6" t="str">
        <x:v>2</x:v>
      </x:c>
      <x:c r="L47" s="6" t="str">
        <x:v>7</x:v>
      </x:c>
      <x:c r="M47" s="6" t="str">
        <x:v>1676</x:v>
      </x:c>
      <x:c r="N47" s="6" t="str">
        <x:v>5612</x:v>
      </x:c>
      <x:c r="O47" s="6" t="str">
        <x:v>0</x:v>
      </x:c>
      <x:c r="P47" s="10" t="n">
        <x:f>F47-M47</x:f>
        <x:v>3936</x:v>
      </x:c>
      <x:c r="Q47" s="11" t="n">
        <x:f>IFERROR(M47/F47,"")</x:f>
        <x:v>0.29864575908766927</x:v>
      </x:c>
      <x:c r="R47" s="10" t="n">
        <x:f>G47+H47</x:f>
        <x:v>3253</x:v>
      </x:c>
      <x:c r="S47" s="11" t="n">
        <x:f>IFERROR(R47/F47,"")</x:f>
        <x:v>0.5796507483962936</x:v>
      </x:c>
      <x:c r="T47" s="11" t="n">
        <x:f>IFERROR(R47/P47,"")</x:f>
        <x:v>0.8264735772357723</x:v>
      </x:c>
      <x:c r="U47" s="10" t="n">
        <x:f>I47+J47+K47</x:f>
        <x:v>676</x:v>
      </x:c>
      <x:c r="V47" s="11" t="n">
        <x:f>IFERROR(U47/P47,"")</x:f>
        <x:v>0.1717479674796748</x:v>
      </x:c>
      <x:c r="W47" s="9" t="str">
        <x:v>provisional_gt_5pct_pending</x:v>
      </x:c>
      <x:c r="X47" s="12" t="n">
        <x:f>IFERROR(F47/Z47*100000,"")</x:f>
        <x:v>35.550938184951036</x:v>
      </x:c>
      <x:c r="Y47" s="13" t="n">
        <x:f>LN(Z47)</x:f>
        <x:v>16.57462135971628</x:v>
      </x:c>
      <x:c r="Z47" s="6" t="str">
        <x:v>15785800</x:v>
      </x:c>
      <x:c r="AA47" s="6" t="str">
        <x:v>218.0</x:v>
      </x:c>
      <x:c r="AB47" s="9" t="str">
        <x:v>2025-06-30</x:v>
      </x:c>
      <x:c r="AC47" s="8" t="str">
        <x:v>87.47</x:v>
      </x:c>
      <x:c r="AD47" s="9" t="str">
        <x:v>2025 (Susenas)</x:v>
      </x:c>
      <x:c r="AE47" s="8" t="str">
        <x:v>7.36</x:v>
      </x:c>
      <x:c r="AF47" s="9" t="str">
        <x:v>Maret 2025 (Susenas)</x:v>
      </x:c>
      <x:c r="AG47" s="6" t="str">
        <x:v>24.206163393380027</x:v>
      </x:c>
      <x:c r="AH47" s="8" t="str">
        <x:v>86.88138306108196</x:v>
      </x:c>
      <x:c r="AI47" s="6" t="str">
        <x:v>335.80663999467686</x:v>
      </x:c>
      <x:c r="AJ47" s="6" t="str">
        <x:v>0.3417805526284319</x:v>
      </x:c>
      <x:c r="AK47" s="8" t="str">
        <x:v>1.6149558496444352</x:v>
      </x:c>
      <x:c r="AL47" s="6" t="str">
        <x:v>0.6858137951711206</x:v>
      </x:c>
      <x:c r="AM47" s="6" t="str">
        <x:v>1.193002536097524</x:v>
      </x:c>
      <x:c r="AN47" s="6" t="str">
        <x:v>1.1645907269710267</x:v>
      </x:c>
      <x:c r="AO47" s="6" t="str">
        <x:v>-2.360091709637814</x:v>
      </x:c>
      <x:c r="AP47" s="8" t="str">
        <x:v>-2.3807647552172018</x:v>
      </x:c>
      <x:c r="AQ47" s="6" t="str">
        <x:v>-1.54183048652806</x:v>
      </x:c>
      <x:c r="AR47" s="6" t="str">
        <x:v>-1.9255285668392617</x:v>
      </x:c>
      <x:c r="AS47" s="6" t="str">
        <x:v>-1.949374602861508</x:v>
      </x:c>
      <x:c r="AT47" s="6" t="str">
        <x:v>-45.33730918416211</x:v>
      </x:c>
      <x:c r="AU47" s="8" t="str">
        <x:v>-0.3894555538917846</x:v>
      </x:c>
      <x:c r="AV47" s="6" t="str">
        <x:v>-0.4415443204748988</x:v>
      </x:c>
      <x:c r="AW47" s="6" t="str">
        <x:v>-0.2863901655487188</x:v>
      </x:c>
      <x:c r="AX47" s="6" t="str">
        <x:v>-0.3724633466384675</x:v>
      </x:c>
      <x:c r="AY47" s="6" t="str">
        <x:v>0</x:v>
      </x:c>
      <x:c r="AZ47" s="6" t="str">
        <x:v>1</x:v>
      </x:c>
      <x:c r="BA47" s="9" t="str">
        <x:v>grid_cells_within_BIG_polygon</x:v>
      </x:c>
      <x:c r="BB47" s="6" t="str">
        <x:v>20</x:v>
      </x:c>
      <x:c r="BC47" s="6" t="str">
        <x:v>16</x:v>
      </x:c>
      <x:c r="BD47" s="6" t="str">
        <x:v>16</x:v>
      </x:c>
      <x:c r="BE47" s="6" t="str">
        <x:v>11</x:v>
      </x:c>
      <x:c r="BF47" s="6" t="str">
        <x:v>0</x:v>
      </x:c>
      <x:c r="BG47" s="6" t="str">
        <x:v>2</x:v>
      </x:c>
      <x:c r="BH47" s="6" t="str">
        <x:v>0</x:v>
      </x:c>
      <x:c r="BI47" s="6" t="str">
        <x:v>2</x:v>
      </x:c>
      <x:c r="BJ47" s="6" t="str">
        <x:v>1</x:v>
      </x:c>
      <x:c r="BK47" s="6" t="str">
        <x:v>0</x:v>
      </x:c>
      <x:c r="BL47" s="6" t="str">
        <x:v>0</x:v>
      </x:c>
      <x:c r="BM47" s="6" t="str">
        <x:v>0</x:v>
      </x:c>
      <x:c r="BN47" s="6" t="str">
        <x:v>16</x:v>
      </x:c>
      <x:c r="BO47" s="6" t="str"/>
      <x:c r="BP47" s="6" t="str">
        <x:v>0</x:v>
      </x:c>
      <x:c r="BQ47" s="6" t="str"/>
      <x:c r="BR47" s="6" t="str">
        <x:v>0</x:v>
      </x:c>
      <x:c r="BS47" s="6" t="str">
        <x:v>40.0</x:v>
      </x:c>
      <x:c r="BT47" s="6" t="str">
        <x:v>16</x:v>
      </x:c>
      <x:c r="BU47" s="6" t="str">
        <x:v>7279.0</x:v>
      </x:c>
      <x:c r="BV47" s="6" t="str">
        <x:v>12</x:v>
      </x:c>
      <x:c r="BW47" s="9" t="str">
        <x:v>operational_snapshot_annual_totals_may_differ</x:v>
      </x:c>
      <x:c r="BX47" s="9" t="str">
        <x:v>official_live_dashboard_snapshot_subject_to_revision</x:v>
      </x:c>
      <x:c r="BY47" s="9" t="str">
        <x:v>https://tbdashboard.sitb.id/ss_data_tbc03so_2025_provinsi_bulanan_list.php</x:v>
      </x:c>
      <x:c r="BZ47" s="6" t="n">
        <x:v>46246.610671296294</x:v>
      </x:c>
    </x:row>
    <x:row r="48" ht="18" customHeight="1">
      <x:c r="A48" s="6" t="str">
        <x:v>12</x:v>
      </x:c>
      <x:c r="B48" s="6" t="str">
        <x:v>SUMATERA UTARA</x:v>
      </x:c>
      <x:c r="C48" s="6" t="str">
        <x:v>2025</x:v>
      </x:c>
      <x:c r="D48" s="6" t="str">
        <x:v>11</x:v>
      </x:c>
      <x:c r="E48" s="6" t="str">
        <x:v>2025-11</x:v>
      </x:c>
      <x:c r="F48" s="6" t="str">
        <x:v>4212</x:v>
      </x:c>
      <x:c r="G48" s="6" t="str">
        <x:v>667</x:v>
      </x:c>
      <x:c r="H48" s="6" t="str">
        <x:v>1546</x:v>
      </x:c>
      <x:c r="I48" s="6" t="str">
        <x:v>378</x:v>
      </x:c>
      <x:c r="J48" s="6" t="str">
        <x:v>170</x:v>
      </x:c>
      <x:c r="K48" s="6" t="str">
        <x:v>3</x:v>
      </x:c>
      <x:c r="L48" s="6" t="str">
        <x:v>4</x:v>
      </x:c>
      <x:c r="M48" s="6" t="str">
        <x:v>1444</x:v>
      </x:c>
      <x:c r="N48" s="6" t="str">
        <x:v>4212</x:v>
      </x:c>
      <x:c r="O48" s="6" t="str">
        <x:v>0</x:v>
      </x:c>
      <x:c r="P48" s="10" t="n">
        <x:f>F48-M48</x:f>
        <x:v>2768</x:v>
      </x:c>
      <x:c r="Q48" s="11" t="n">
        <x:f>IFERROR(M48/F48,"")</x:f>
        <x:v>0.34283000949667614</x:v>
      </x:c>
      <x:c r="R48" s="10" t="n">
        <x:f>G48+H48</x:f>
        <x:v>2213</x:v>
      </x:c>
      <x:c r="S48" s="11" t="n">
        <x:f>IFERROR(R48/F48,"")</x:f>
        <x:v>0.525403608736942</x:v>
      </x:c>
      <x:c r="T48" s="11" t="n">
        <x:f>IFERROR(R48/P48,"")</x:f>
        <x:v>0.7994942196531792</x:v>
      </x:c>
      <x:c r="U48" s="10" t="n">
        <x:f>I48+J48+K48</x:f>
        <x:v>551</x:v>
      </x:c>
      <x:c r="V48" s="11" t="n">
        <x:f>IFERROR(U48/P48,"")</x:f>
        <x:v>0.1990606936416185</x:v>
      </x:c>
      <x:c r="W48" s="9" t="str">
        <x:v>provisional_gt_5pct_pending</x:v>
      </x:c>
      <x:c r="X48" s="12" t="n">
        <x:f>IFERROR(F48/Z48*100000,"")</x:f>
        <x:v>26.68220806040872</x:v>
      </x:c>
      <x:c r="Y48" s="13" t="n">
        <x:f>LN(Z48)</x:f>
        <x:v>16.57462135971628</x:v>
      </x:c>
      <x:c r="Z48" s="6" t="str">
        <x:v>15785800</x:v>
      </x:c>
      <x:c r="AA48" s="6" t="str">
        <x:v>218.0</x:v>
      </x:c>
      <x:c r="AB48" s="9" t="str">
        <x:v>2025-06-30</x:v>
      </x:c>
      <x:c r="AC48" s="8" t="str">
        <x:v>87.47</x:v>
      </x:c>
      <x:c r="AD48" s="9" t="str">
        <x:v>2025 (Susenas)</x:v>
      </x:c>
      <x:c r="AE48" s="8" t="str">
        <x:v>7.36</x:v>
      </x:c>
      <x:c r="AF48" s="9" t="str">
        <x:v>Maret 2025 (Susenas)</x:v>
      </x:c>
      <x:c r="AG48" s="6" t="str">
        <x:v>23.74914385405237</x:v>
      </x:c>
      <x:c r="AH48" s="8" t="str">
        <x:v>89.42369555822005</x:v>
      </x:c>
      <x:c r="AI48" s="6" t="str">
        <x:v>517.7052416951963</x:v>
      </x:c>
      <x:c r="AJ48" s="6" t="str">
        <x:v>-0.022833239764239</x:v>
      </x:c>
      <x:c r="AK48" s="8" t="str">
        <x:v>-0.0922448816572941</x:v>
      </x:c>
      <x:c r="AL48" s="6" t="str">
        <x:v>1.6149558496444352</x:v>
      </x:c>
      <x:c r="AM48" s="6" t="str">
        <x:v>0.6858137951711206</x:v>
      </x:c>
      <x:c r="AN48" s="6" t="str">
        <x:v>0.7361749210527538</x:v>
      </x:c>
      <x:c r="AO48" s="6" t="str">
        <x:v>-0.8857054616960909</x:v>
      </x:c>
      <x:c r="AP48" s="8" t="str">
        <x:v>-1.2672911709649082</x:v>
      </x:c>
      <x:c r="AQ48" s="6" t="str">
        <x:v>-2.3807647552172018</x:v>
      </x:c>
      <x:c r="AR48" s="6" t="str">
        <x:v>-1.54183048652806</x:v>
      </x:c>
      <x:c r="AS48" s="6" t="str">
        <x:v>-1.7299621375700565</x:v>
      </x:c>
      <x:c r="AT48" s="6" t="str">
        <x:v>110.7300588124557</x:v>
      </x:c>
      <x:c r="AU48" s="8" t="str">
        <x:v>1.1740319420385266</x:v>
      </x:c>
      <x:c r="AV48" s="6" t="str">
        <x:v>-0.3894555538917846</x:v>
      </x:c>
      <x:c r="AW48" s="6" t="str">
        <x:v>-0.4415443204748988</x:v>
      </x:c>
      <x:c r="AX48" s="6" t="str">
        <x:v>0.1143440225572809</x:v>
      </x:c>
      <x:c r="AY48" s="6" t="str">
        <x:v>1</x:v>
      </x:c>
      <x:c r="AZ48" s="6" t="str">
        <x:v>0</x:v>
      </x:c>
      <x:c r="BA48" s="9" t="str">
        <x:v>grid_cells_within_BIG_polygon</x:v>
      </x:c>
      <x:c r="BB48" s="6" t="str">
        <x:v>20</x:v>
      </x:c>
      <x:c r="BC48" s="6" t="str">
        <x:v>29</x:v>
      </x:c>
      <x:c r="BD48" s="6" t="str">
        <x:v>29</x:v>
      </x:c>
      <x:c r="BE48" s="6" t="str">
        <x:v>22</x:v>
      </x:c>
      <x:c r="BF48" s="6" t="str">
        <x:v>0</x:v>
      </x:c>
      <x:c r="BG48" s="6" t="str">
        <x:v>2</x:v>
      </x:c>
      <x:c r="BH48" s="6" t="str">
        <x:v>3</x:v>
      </x:c>
      <x:c r="BI48" s="6" t="str">
        <x:v>2</x:v>
      </x:c>
      <x:c r="BJ48" s="6" t="str">
        <x:v>0</x:v>
      </x:c>
      <x:c r="BK48" s="6" t="str">
        <x:v>0</x:v>
      </x:c>
      <x:c r="BL48" s="6" t="str">
        <x:v>0</x:v>
      </x:c>
      <x:c r="BM48" s="6" t="str">
        <x:v>0</x:v>
      </x:c>
      <x:c r="BN48" s="6" t="str">
        <x:v>29</x:v>
      </x:c>
      <x:c r="BO48" s="6" t="str">
        <x:v>372.0</x:v>
      </x:c>
      <x:c r="BP48" s="6" t="str">
        <x:v>12</x:v>
      </x:c>
      <x:c r="BQ48" s="6" t="str">
        <x:v>242.0</x:v>
      </x:c>
      <x:c r="BR48" s="6" t="str">
        <x:v>4</x:v>
      </x:c>
      <x:c r="BS48" s="6" t="str">
        <x:v>17806.0</x:v>
      </x:c>
      <x:c r="BT48" s="6" t="str">
        <x:v>29</x:v>
      </x:c>
      <x:c r="BU48" s="6" t="str">
        <x:v>113579.0</x:v>
      </x:c>
      <x:c r="BV48" s="6" t="str">
        <x:v>12</x:v>
      </x:c>
      <x:c r="BW48" s="9" t="str">
        <x:v>operational_snapshot_annual_totals_may_differ</x:v>
      </x:c>
      <x:c r="BX48" s="9" t="str">
        <x:v>official_live_dashboard_snapshot_subject_to_revision</x:v>
      </x:c>
      <x:c r="BY48" s="9" t="str">
        <x:v>https://tbdashboard.sitb.id/ss_data_tbc03so_2025_provinsi_bulanan_list.php</x:v>
      </x:c>
      <x:c r="BZ48" s="6" t="n">
        <x:v>46246.610671296294</x:v>
      </x:c>
    </x:row>
    <x:row r="49" ht="18" customHeight="1">
      <x:c r="A49" s="6" t="str">
        <x:v>12</x:v>
      </x:c>
      <x:c r="B49" s="6" t="str">
        <x:v>SUMATERA UTARA</x:v>
      </x:c>
      <x:c r="C49" s="6" t="str">
        <x:v>2025</x:v>
      </x:c>
      <x:c r="D49" s="6" t="str">
        <x:v>12</x:v>
      </x:c>
      <x:c r="E49" s="6" t="str">
        <x:v>2025-12</x:v>
      </x:c>
      <x:c r="F49" s="6" t="str">
        <x:v>3485</x:v>
      </x:c>
      <x:c r="G49" s="6" t="str">
        <x:v>495</x:v>
      </x:c>
      <x:c r="H49" s="6" t="str">
        <x:v>1026</x:v>
      </x:c>
      <x:c r="I49" s="6" t="str">
        <x:v>308</x:v>
      </x:c>
      <x:c r="J49" s="6" t="str">
        <x:v>171</x:v>
      </x:c>
      <x:c r="K49" s="6" t="str">
        <x:v>1</x:v>
      </x:c>
      <x:c r="L49" s="6" t="str">
        <x:v>3</x:v>
      </x:c>
      <x:c r="M49" s="6" t="str">
        <x:v>1481</x:v>
      </x:c>
      <x:c r="N49" s="6" t="str">
        <x:v>3485</x:v>
      </x:c>
      <x:c r="O49" s="6" t="str">
        <x:v>0</x:v>
      </x:c>
      <x:c r="P49" s="10" t="n">
        <x:f>F49-M49</x:f>
        <x:v>2004</x:v>
      </x:c>
      <x:c r="Q49" s="11" t="n">
        <x:f>IFERROR(M49/F49,"")</x:f>
        <x:v>0.42496413199426114</x:v>
      </x:c>
      <x:c r="R49" s="10" t="n">
        <x:f>G49+H49</x:f>
        <x:v>1521</x:v>
      </x:c>
      <x:c r="S49" s="11" t="n">
        <x:f>IFERROR(R49/F49,"")</x:f>
        <x:v>0.43644189383070303</x:v>
      </x:c>
      <x:c r="T49" s="11" t="n">
        <x:f>IFERROR(R49/P49,"")</x:f>
        <x:v>0.7589820359281437</x:v>
      </x:c>
      <x:c r="U49" s="10" t="n">
        <x:f>I49+J49+K49</x:f>
        <x:v>480</x:v>
      </x:c>
      <x:c r="V49" s="11" t="n">
        <x:f>IFERROR(U49/P49,"")</x:f>
        <x:v>0.23952095808383234</x:v>
      </x:c>
      <x:c r="W49" s="9" t="str">
        <x:v>provisional_gt_5pct_pending</x:v>
      </x:c>
      <x:c r="X49" s="12" t="n">
        <x:f>IFERROR(F49/Z49*100000,"")</x:f>
        <x:v>22.076803202878537</x:v>
      </x:c>
      <x:c r="Y49" s="13" t="n">
        <x:f>LN(Z49)</x:f>
        <x:v>16.57462135971628</x:v>
      </x:c>
      <x:c r="Z49" s="6" t="str">
        <x:v>15785800</x:v>
      </x:c>
      <x:c r="AA49" s="6" t="str">
        <x:v>218.0</x:v>
      </x:c>
      <x:c r="AB49" s="9" t="str">
        <x:v>2025-06-30</x:v>
      </x:c>
      <x:c r="AC49" s="8" t="str">
        <x:v>87.47</x:v>
      </x:c>
      <x:c r="AD49" s="9" t="str">
        <x:v>2025 (Susenas)</x:v>
      </x:c>
      <x:c r="AE49" s="8" t="str">
        <x:v>7.36</x:v>
      </x:c>
      <x:c r="AF49" s="9" t="str">
        <x:v>Maret 2025 (Susenas)</x:v>
      </x:c>
      <x:c r="AG49" s="6" t="str">
        <x:v>24.05918091321003</x:v>
      </x:c>
      <x:c r="AH49" s="8" t="str">
        <x:v>89.9439485684094</x:v>
      </x:c>
      <x:c r="AI49" s="6" t="str">
        <x:v>337.1639610392987</x:v>
      </x:c>
      <x:c r="AJ49" s="6" t="str">
        <x:v>0.4166762010425344</x:v>
      </x:c>
      <x:c r="AK49" s="8" t="str">
        <x:v>1.4726226416531536</x:v>
      </x:c>
      <x:c r="AL49" s="6" t="str">
        <x:v>-0.0922448816572941</x:v>
      </x:c>
      <x:c r="AM49" s="6" t="str">
        <x:v>1.6149558496444352</x:v>
      </x:c>
      <x:c r="AN49" s="6" t="str">
        <x:v>0.9984445365467648</x:v>
      </x:c>
      <x:c r="AO49" s="6" t="str">
        <x:v>-0.0326713079299025</x:v>
      </x:c>
      <x:c r="AP49" s="8" t="str">
        <x:v>-0.0373267133470884</x:v>
      </x:c>
      <x:c r="AQ49" s="6" t="str">
        <x:v>-1.2672911709649082</x:v>
      </x:c>
      <x:c r="AR49" s="6" t="str">
        <x:v>-2.3807647552172018</x:v>
      </x:c>
      <x:c r="AS49" s="6" t="str">
        <x:v>-1.2284608798430658</x:v>
      </x:c>
      <x:c r="AT49" s="6" t="str">
        <x:v>-3.271166834201153</x:v>
      </x:c>
      <x:c r="AU49" s="8" t="str">
        <x:v>-0.0347700337425215</x:v>
      </x:c>
      <x:c r="AV49" s="6" t="str">
        <x:v>1.1740319420385266</x:v>
      </x:c>
      <x:c r="AW49" s="6" t="str">
        <x:v>-0.3894555538917846</x:v>
      </x:c>
      <x:c r="AX49" s="6" t="str">
        <x:v>0.2499354514680733</x:v>
      </x:c>
      <x:c r="AY49" s="6" t="str">
        <x:v>0</x:v>
      </x:c>
      <x:c r="AZ49" s="6" t="str">
        <x:v>1</x:v>
      </x:c>
      <x:c r="BA49" s="9" t="str">
        <x:v>grid_cells_within_BIG_polygon</x:v>
      </x:c>
      <x:c r="BB49" s="6" t="str">
        <x:v>20</x:v>
      </x:c>
      <x:c r="BC49" s="6" t="str">
        <x:v>3</x:v>
      </x:c>
      <x:c r="BD49" s="6" t="str">
        <x:v>3</x:v>
      </x:c>
      <x:c r="BE49" s="6" t="str">
        <x:v>3</x:v>
      </x:c>
      <x:c r="BF49" s="6" t="str">
        <x:v>0</x:v>
      </x:c>
      <x:c r="BG49" s="6" t="str">
        <x:v>0</x:v>
      </x:c>
      <x:c r="BH49" s="6" t="str">
        <x:v>0</x:v>
      </x:c>
      <x:c r="BI49" s="6" t="str">
        <x:v>0</x:v>
      </x:c>
      <x:c r="BJ49" s="6" t="str">
        <x:v>0</x:v>
      </x:c>
      <x:c r="BK49" s="6" t="str">
        <x:v>0</x:v>
      </x:c>
      <x:c r="BL49" s="6" t="str">
        <x:v>0</x:v>
      </x:c>
      <x:c r="BM49" s="6" t="str">
        <x:v>0</x:v>
      </x:c>
      <x:c r="BN49" s="6" t="str">
        <x:v>3</x:v>
      </x:c>
      <x:c r="BO49" s="6" t="str"/>
      <x:c r="BP49" s="6" t="str">
        <x:v>0</x:v>
      </x:c>
      <x:c r="BQ49" s="6" t="str"/>
      <x:c r="BR49" s="6" t="str">
        <x:v>0</x:v>
      </x:c>
      <x:c r="BS49" s="6" t="str">
        <x:v>1.0</x:v>
      </x:c>
      <x:c r="BT49" s="6" t="str">
        <x:v>3</x:v>
      </x:c>
      <x:c r="BU49" s="6" t="str">
        <x:v>100.0</x:v>
      </x:c>
      <x:c r="BV49" s="6" t="str">
        <x:v>2</x:v>
      </x:c>
      <x:c r="BW49" s="9" t="str">
        <x:v>operational_snapshot_annual_totals_may_differ</x:v>
      </x:c>
      <x:c r="BX49" s="9" t="str">
        <x:v>official_live_dashboard_snapshot_subject_to_revision</x:v>
      </x:c>
      <x:c r="BY49" s="9" t="str">
        <x:v>https://tbdashboard.sitb.id/ss_data_tbc03so_2025_provinsi_bulanan_list.php</x:v>
      </x:c>
      <x:c r="BZ49" s="6" t="n">
        <x:v>46246.610671296294</x:v>
      </x:c>
    </x:row>
    <x:row r="50" ht="18" customHeight="1">
      <x:c r="A50" s="6" t="str">
        <x:v>13</x:v>
      </x:c>
      <x:c r="B50" s="6" t="str">
        <x:v>SUMATERA BARAT</x:v>
      </x:c>
      <x:c r="C50" s="6" t="str">
        <x:v>2024</x:v>
      </x:c>
      <x:c r="D50" s="6" t="str">
        <x:v>1</x:v>
      </x:c>
      <x:c r="E50" s="6" t="str">
        <x:v>2024-01</x:v>
      </x:c>
      <x:c r="F50" s="6" t="str">
        <x:v>1387</x:v>
      </x:c>
      <x:c r="G50" s="6" t="str">
        <x:v>404</x:v>
      </x:c>
      <x:c r="H50" s="6" t="str">
        <x:v>819</x:v>
      </x:c>
      <x:c r="I50" s="6" t="str">
        <x:v>82</x:v>
      </x:c>
      <x:c r="J50" s="6" t="str">
        <x:v>76</x:v>
      </x:c>
      <x:c r="K50" s="6" t="str">
        <x:v>3</x:v>
      </x:c>
      <x:c r="L50" s="6" t="str">
        <x:v>0</x:v>
      </x:c>
      <x:c r="M50" s="6" t="str">
        <x:v>3</x:v>
      </x:c>
      <x:c r="N50" s="6" t="str">
        <x:v>1387</x:v>
      </x:c>
      <x:c r="O50" s="6" t="str">
        <x:v>0</x:v>
      </x:c>
      <x:c r="P50" s="10" t="n">
        <x:f>F50-M50</x:f>
        <x:v>1384</x:v>
      </x:c>
      <x:c r="Q50" s="11" t="n">
        <x:f>IFERROR(M50/F50,"")</x:f>
        <x:v>0.0021629416005767843</x:v>
      </x:c>
      <x:c r="R50" s="10" t="n">
        <x:f>G50+H50</x:f>
        <x:v>1223</x:v>
      </x:c>
      <x:c r="S50" s="11" t="n">
        <x:f>IFERROR(R50/F50,"")</x:f>
        <x:v>0.8817591925018025</x:v>
      </x:c>
      <x:c r="T50" s="11" t="n">
        <x:f>IFERROR(R50/P50,"")</x:f>
        <x:v>0.8836705202312138</x:v>
      </x:c>
      <x:c r="U50" s="10" t="n">
        <x:f>I50+J50+K50</x:f>
        <x:v>161</x:v>
      </x:c>
      <x:c r="V50" s="11" t="n">
        <x:f>IFERROR(U50/P50,"")</x:f>
        <x:v>0.11632947976878613</x:v>
      </x:c>
      <x:c r="W50" s="9" t="str">
        <x:v>mature_le_5pct_pending</x:v>
      </x:c>
      <x:c r="X50" s="12" t="n">
        <x:f>IFERROR(F50/Z50*100000,"")</x:f>
        <x:v>23.765463829203934</x:v>
      </x:c>
      <x:c r="Y50" s="13" t="n">
        <x:f>LN(Z50)</x:f>
        <x:v>15.579590458085587</x:v>
      </x:c>
      <x:c r="Z50" s="6" t="str">
        <x:v>5836200</x:v>
      </x:c>
      <x:c r="AA50" s="6" t="str">
        <x:v>139.0</x:v>
      </x:c>
      <x:c r="AB50" s="9" t="str">
        <x:v>2024-06-30</x:v>
      </x:c>
      <x:c r="AC50" s="8" t="str">
        <x:v>72.8</x:v>
      </x:c>
      <x:c r="AD50" s="9" t="str">
        <x:v>2024 (Susenas)</x:v>
      </x:c>
      <x:c r="AE50" s="8" t="str">
        <x:v>5.97</x:v>
      </x:c>
      <x:c r="AF50" s="9" t="str">
        <x:v>Maret 2024 (Susenas)</x:v>
      </x:c>
      <x:c r="AG50" s="6" t="str">
        <x:v>24.718882305931164</x:v>
      </x:c>
      <x:c r="AH50" s="8" t="str">
        <x:v>88.61341405150641</x:v>
      </x:c>
      <x:c r="AI50" s="6" t="str">
        <x:v>435.8909863682407</x:v>
      </x:c>
      <x:c r="AJ50" s="6" t="str">
        <x:v>0.8368549614902392</x:v>
      </x:c>
      <x:c r="AK50" s="8" t="str">
        <x:v>2.3227766872013933</x:v>
      </x:c>
      <x:c r="AL50" s="6" t="str">
        <x:v>3.70342382593328</x:v>
      </x:c>
      <x:c r="AM50" s="6" t="str">
        <x:v>2.561202743826924</x:v>
      </x:c>
      <x:c r="AN50" s="6" t="str">
        <x:v>2.862467752320532</x:v>
      </x:c>
      <x:c r="AO50" s="6" t="str">
        <x:v>1.278476878756095</x:v>
      </x:c>
      <x:c r="AP50" s="8" t="str">
        <x:v>0.9728242153680996</x:v>
      </x:c>
      <x:c r="AQ50" s="6" t="str">
        <x:v>0.5355041321985211</x:v>
      </x:c>
      <x:c r="AR50" s="6" t="str">
        <x:v>0.1740339932499248</x:v>
      </x:c>
      <x:c r="AS50" s="6" t="str">
        <x:v>0.560787446938848</x:v>
      </x:c>
      <x:c r="AT50" s="6" t="str">
        <x:v>181.38913790886957</x:v>
      </x:c>
      <x:c r="AU50" s="8" t="str">
        <x:v>2.10373677705717</x:v>
      </x:c>
      <x:c r="AV50" s="6" t="str">
        <x:v>0.2024636590465779</x:v>
      </x:c>
      <x:c r="AW50" s="6" t="str">
        <x:v>-0.9736596895987578</x:v>
      </x:c>
      <x:c r="AX50" s="6" t="str">
        <x:v>0.4441802488349975</x:v>
      </x:c>
      <x:c r="AY50" s="6" t="str">
        <x:v>1</x:v>
      </x:c>
      <x:c r="AZ50" s="6" t="str">
        <x:v>1</x:v>
      </x:c>
      <x:c r="BA50" s="9" t="str">
        <x:v>grid_cells_within_BIG_polygon</x:v>
      </x:c>
      <x:c r="BB50" s="6" t="str">
        <x:v>9</x:v>
      </x:c>
      <x:c r="BC50" s="6" t="str">
        <x:v>12</x:v>
      </x:c>
      <x:c r="BD50" s="6" t="str">
        <x:v>12</x:v>
      </x:c>
      <x:c r="BE50" s="6" t="str">
        <x:v>12</x:v>
      </x:c>
      <x:c r="BF50" s="6" t="str">
        <x:v>0</x:v>
      </x:c>
      <x:c r="BG50" s="6" t="str">
        <x:v>0</x:v>
      </x:c>
      <x:c r="BH50" s="6" t="str">
        <x:v>0</x:v>
      </x:c>
      <x:c r="BI50" s="6" t="str">
        <x:v>0</x:v>
      </x:c>
      <x:c r="BJ50" s="6" t="str">
        <x:v>0</x:v>
      </x:c>
      <x:c r="BK50" s="6" t="str">
        <x:v>0</x:v>
      </x:c>
      <x:c r="BL50" s="6" t="str">
        <x:v>0</x:v>
      </x:c>
      <x:c r="BM50" s="6" t="str">
        <x:v>0</x:v>
      </x:c>
      <x:c r="BN50" s="6" t="str">
        <x:v>12</x:v>
      </x:c>
      <x:c r="BO50" s="6" t="str">
        <x:v>0.0</x:v>
      </x:c>
      <x:c r="BP50" s="6" t="str">
        <x:v>6</x:v>
      </x:c>
      <x:c r="BQ50" s="6" t="str">
        <x:v>0.0</x:v>
      </x:c>
      <x:c r="BR50" s="6" t="str">
        <x:v>6</x:v>
      </x:c>
      <x:c r="BS50" s="6" t="str">
        <x:v>512.0</x:v>
      </x:c>
      <x:c r="BT50" s="6" t="str">
        <x:v>12</x:v>
      </x:c>
      <x:c r="BU50" s="6" t="str">
        <x:v>2599.0</x:v>
      </x:c>
      <x:c r="BV50" s="6" t="str">
        <x:v>11</x:v>
      </x:c>
      <x:c r="BW50" s="9" t="str">
        <x:v>operational_snapshot_annual_totals_may_differ</x:v>
      </x:c>
      <x:c r="BX50" s="9" t="str">
        <x:v>official_live_dashboard_snapshot_subject_to_revision</x:v>
      </x:c>
      <x:c r="BY50" s="9" t="str">
        <x:v>https://tbdashboard.sitb.id/ss_data_tbc03so_2024_provinsi_bulanan_list.php</x:v>
      </x:c>
      <x:c r="BZ50" s="6" t="n">
        <x:v>46246.610671296294</x:v>
      </x:c>
    </x:row>
    <x:row r="51" ht="18" customHeight="1">
      <x:c r="A51" s="6" t="str">
        <x:v>13</x:v>
      </x:c>
      <x:c r="B51" s="6" t="str">
        <x:v>SUMATERA BARAT</x:v>
      </x:c>
      <x:c r="C51" s="6" t="str">
        <x:v>2024</x:v>
      </x:c>
      <x:c r="D51" s="6" t="str">
        <x:v>2</x:v>
      </x:c>
      <x:c r="E51" s="6" t="str">
        <x:v>2024-02</x:v>
      </x:c>
      <x:c r="F51" s="6" t="str">
        <x:v>1230</x:v>
      </x:c>
      <x:c r="G51" s="6" t="str">
        <x:v>376</x:v>
      </x:c>
      <x:c r="H51" s="6" t="str">
        <x:v>721</x:v>
      </x:c>
      <x:c r="I51" s="6" t="str">
        <x:v>83</x:v>
      </x:c>
      <x:c r="J51" s="6" t="str">
        <x:v>44</x:v>
      </x:c>
      <x:c r="K51" s="6" t="str">
        <x:v>2</x:v>
      </x:c>
      <x:c r="L51" s="6" t="str">
        <x:v>0</x:v>
      </x:c>
      <x:c r="M51" s="6" t="str">
        <x:v>4</x:v>
      </x:c>
      <x:c r="N51" s="6" t="str">
        <x:v>1230</x:v>
      </x:c>
      <x:c r="O51" s="6" t="str">
        <x:v>0</x:v>
      </x:c>
      <x:c r="P51" s="10" t="n">
        <x:f>F51-M51</x:f>
        <x:v>1226</x:v>
      </x:c>
      <x:c r="Q51" s="11" t="n">
        <x:f>IFERROR(M51/F51,"")</x:f>
        <x:v>0.0032520325203252032</x:v>
      </x:c>
      <x:c r="R51" s="10" t="n">
        <x:f>G51+H51</x:f>
        <x:v>1097</x:v>
      </x:c>
      <x:c r="S51" s="11" t="n">
        <x:f>IFERROR(R51/F51,"")</x:f>
        <x:v>0.891869918699187</x:v>
      </x:c>
      <x:c r="T51" s="11" t="n">
        <x:f>IFERROR(R51/P51,"")</x:f>
        <x:v>0.8947797716150081</x:v>
      </x:c>
      <x:c r="U51" s="10" t="n">
        <x:f>I51+J51+K51</x:f>
        <x:v>129</x:v>
      </x:c>
      <x:c r="V51" s="11" t="n">
        <x:f>IFERROR(U51/P51,"")</x:f>
        <x:v>0.10522022838499184</x:v>
      </x:c>
      <x:c r="W51" s="9" t="str">
        <x:v>mature_le_5pct_pending</x:v>
      </x:c>
      <x:c r="X51" s="12" t="n">
        <x:f>IFERROR(F51/Z51*100000,"")</x:f>
        <x:v>21.07535725300709</x:v>
      </x:c>
      <x:c r="Y51" s="13" t="n">
        <x:f>LN(Z51)</x:f>
        <x:v>15.579590458085587</x:v>
      </x:c>
      <x:c r="Z51" s="6" t="str">
        <x:v>5836200</x:v>
      </x:c>
      <x:c r="AA51" s="6" t="str">
        <x:v>139.0</x:v>
      </x:c>
      <x:c r="AB51" s="9" t="str">
        <x:v>2024-06-30</x:v>
      </x:c>
      <x:c r="AC51" s="8" t="str">
        <x:v>72.8</x:v>
      </x:c>
      <x:c r="AD51" s="9" t="str">
        <x:v>2024 (Susenas)</x:v>
      </x:c>
      <x:c r="AE51" s="8" t="str">
        <x:v>5.97</x:v>
      </x:c>
      <x:c r="AF51" s="9" t="str">
        <x:v>Maret 2024 (Susenas)</x:v>
      </x:c>
      <x:c r="AG51" s="6" t="str">
        <x:v>25.21887494367384</x:v>
      </x:c>
      <x:c r="AH51" s="8" t="str">
        <x:v>87.73458624122249</x:v>
      </x:c>
      <x:c r="AI51" s="6" t="str">
        <x:v>332.4969831457351</x:v>
      </x:c>
      <x:c r="AJ51" s="6" t="str">
        <x:v>1.0929931145434215</x:v>
      </x:c>
      <x:c r="AK51" s="8" t="str">
        <x:v>2.822743346674492</x:v>
      </x:c>
      <x:c r="AL51" s="6" t="str">
        <x:v>2.3227766872013933</x:v>
      </x:c>
      <x:c r="AM51" s="6" t="str">
        <x:v>3.70342382593328</x:v>
      </x:c>
      <x:c r="AN51" s="6" t="str">
        <x:v>2.949647953269721</x:v>
      </x:c>
      <x:c r="AO51" s="6" t="str">
        <x:v>1.1764320610621866</x:v>
      </x:c>
      <x:c r="AP51" s="8" t="str">
        <x:v>0.8743434623748165</x:v>
      </x:c>
      <x:c r="AQ51" s="6" t="str">
        <x:v>0.9728242153680996</x:v>
      </x:c>
      <x:c r="AR51" s="6" t="str">
        <x:v>0.5355041321985211</x:v>
      </x:c>
      <x:c r="AS51" s="6" t="str">
        <x:v>0.7942239366471452</x:v>
      </x:c>
      <x:c r="AT51" s="6" t="str">
        <x:v>100.47097313377438</x:v>
      </x:c>
      <x:c r="AU51" s="8" t="str">
        <x:v>1.2013353731413947</x:v>
      </x:c>
      <x:c r="AV51" s="6" t="str">
        <x:v>2.10373677705717</x:v>
      </x:c>
      <x:c r="AW51" s="6" t="str">
        <x:v>0.2024636590465779</x:v>
      </x:c>
      <x:c r="AX51" s="6" t="str">
        <x:v>1.169178603081715</x:v>
      </x:c>
      <x:c r="AY51" s="6" t="str">
        <x:v>1</x:v>
      </x:c>
      <x:c r="AZ51" s="6" t="str">
        <x:v>1</x:v>
      </x:c>
      <x:c r="BA51" s="9" t="str">
        <x:v>grid_cells_within_BIG_polygon</x:v>
      </x:c>
      <x:c r="BB51" s="6" t="str">
        <x:v>9</x:v>
      </x:c>
      <x:c r="BC51" s="6" t="str">
        <x:v>6</x:v>
      </x:c>
      <x:c r="BD51" s="6" t="str">
        <x:v>6</x:v>
      </x:c>
      <x:c r="BE51" s="6" t="str">
        <x:v>4</x:v>
      </x:c>
      <x:c r="BF51" s="6" t="str">
        <x:v>0</x:v>
      </x:c>
      <x:c r="BG51" s="6" t="str">
        <x:v>2</x:v>
      </x:c>
      <x:c r="BH51" s="6" t="str">
        <x:v>0</x:v>
      </x:c>
      <x:c r="BI51" s="6" t="str">
        <x:v>0</x:v>
      </x:c>
      <x:c r="BJ51" s="6" t="str">
        <x:v>0</x:v>
      </x:c>
      <x:c r="BK51" s="6" t="str">
        <x:v>0</x:v>
      </x:c>
      <x:c r="BL51" s="6" t="str">
        <x:v>0</x:v>
      </x:c>
      <x:c r="BM51" s="6" t="str">
        <x:v>0</x:v>
      </x:c>
      <x:c r="BN51" s="6" t="str">
        <x:v>6</x:v>
      </x:c>
      <x:c r="BO51" s="6" t="str">
        <x:v>2.0</x:v>
      </x:c>
      <x:c r="BP51" s="6" t="str">
        <x:v>5</x:v>
      </x:c>
      <x:c r="BQ51" s="6" t="str">
        <x:v>0.0</x:v>
      </x:c>
      <x:c r="BR51" s="6" t="str">
        <x:v>3</x:v>
      </x:c>
      <x:c r="BS51" s="6" t="str">
        <x:v>255.0</x:v>
      </x:c>
      <x:c r="BT51" s="6" t="str">
        <x:v>6</x:v>
      </x:c>
      <x:c r="BU51" s="6" t="str">
        <x:v>320.0</x:v>
      </x:c>
      <x:c r="BV51" s="6" t="str">
        <x:v>4</x:v>
      </x:c>
      <x:c r="BW51" s="9" t="str">
        <x:v>operational_snapshot_annual_totals_may_differ</x:v>
      </x:c>
      <x:c r="BX51" s="9" t="str">
        <x:v>official_live_dashboard_snapshot_subject_to_revision</x:v>
      </x:c>
      <x:c r="BY51" s="9" t="str">
        <x:v>https://tbdashboard.sitb.id/ss_data_tbc03so_2024_provinsi_bulanan_list.php</x:v>
      </x:c>
      <x:c r="BZ51" s="6" t="n">
        <x:v>46246.610671296294</x:v>
      </x:c>
    </x:row>
    <x:row r="52" ht="18" customHeight="1">
      <x:c r="A52" s="6" t="str">
        <x:v>13</x:v>
      </x:c>
      <x:c r="B52" s="6" t="str">
        <x:v>SUMATERA BARAT</x:v>
      </x:c>
      <x:c r="C52" s="6" t="str">
        <x:v>2024</x:v>
      </x:c>
      <x:c r="D52" s="6" t="str">
        <x:v>3</x:v>
      </x:c>
      <x:c r="E52" s="6" t="str">
        <x:v>2024-03</x:v>
      </x:c>
      <x:c r="F52" s="6" t="str">
        <x:v>1194</x:v>
      </x:c>
      <x:c r="G52" s="6" t="str">
        <x:v>342</x:v>
      </x:c>
      <x:c r="H52" s="6" t="str">
        <x:v>694</x:v>
      </x:c>
      <x:c r="I52" s="6" t="str">
        <x:v>91</x:v>
      </x:c>
      <x:c r="J52" s="6" t="str">
        <x:v>61</x:v>
      </x:c>
      <x:c r="K52" s="6" t="str">
        <x:v>6</x:v>
      </x:c>
      <x:c r="L52" s="6" t="str">
        <x:v>0</x:v>
      </x:c>
      <x:c r="M52" s="6" t="str">
        <x:v>0</x:v>
      </x:c>
      <x:c r="N52" s="6" t="str">
        <x:v>1194</x:v>
      </x:c>
      <x:c r="O52" s="6" t="str">
        <x:v>0</x:v>
      </x:c>
      <x:c r="P52" s="10" t="n">
        <x:f>F52-M52</x:f>
        <x:v>1194</x:v>
      </x:c>
      <x:c r="Q52" s="11" t="n">
        <x:f>IFERROR(M52/F52,"")</x:f>
        <x:v>0</x:v>
      </x:c>
      <x:c r="R52" s="10" t="n">
        <x:f>G52+H52</x:f>
        <x:v>1036</x:v>
      </x:c>
      <x:c r="S52" s="11" t="n">
        <x:f>IFERROR(R52/F52,"")</x:f>
        <x:v>0.8676716917922948</x:v>
      </x:c>
      <x:c r="T52" s="11" t="n">
        <x:f>IFERROR(R52/P52,"")</x:f>
        <x:v>0.8676716917922948</x:v>
      </x:c>
      <x:c r="U52" s="10" t="n">
        <x:f>I52+J52+K52</x:f>
        <x:v>158</x:v>
      </x:c>
      <x:c r="V52" s="11" t="n">
        <x:f>IFERROR(U52/P52,"")</x:f>
        <x:v>0.1323283082077052</x:v>
      </x:c>
      <x:c r="W52" s="9" t="str">
        <x:v>mature_le_5pct_pending</x:v>
      </x:c>
      <x:c r="X52" s="12" t="n">
        <x:f>IFERROR(F52/Z52*100000,"")</x:f>
        <x:v>20.458517528528837</x:v>
      </x:c>
      <x:c r="Y52" s="13" t="n">
        <x:f>LN(Z52)</x:f>
        <x:v>15.579590458085587</x:v>
      </x:c>
      <x:c r="Z52" s="6" t="str">
        <x:v>5836200</x:v>
      </x:c>
      <x:c r="AA52" s="6" t="str">
        <x:v>139.0</x:v>
      </x:c>
      <x:c r="AB52" s="9" t="str">
        <x:v>2024-06-30</x:v>
      </x:c>
      <x:c r="AC52" s="8" t="str">
        <x:v>72.8</x:v>
      </x:c>
      <x:c r="AD52" s="9" t="str">
        <x:v>2024 (Susenas)</x:v>
      </x:c>
      <x:c r="AE52" s="8" t="str">
        <x:v>5.97</x:v>
      </x:c>
      <x:c r="AF52" s="9" t="str">
        <x:v>Maret 2024 (Susenas)</x:v>
      </x:c>
      <x:c r="AG52" s="6" t="str">
        <x:v>25.306665410162974</x:v>
      </x:c>
      <x:c r="AH52" s="8" t="str">
        <x:v>86.89345792841488</x:v>
      </x:c>
      <x:c r="AI52" s="6" t="str">
        <x:v>321.71315845563265</x:v>
      </x:c>
      <x:c r="AJ52" s="6" t="str">
        <x:v>1.0005985103958466</x:v>
      </x:c>
      <x:c r="AK52" s="8" t="str">
        <x:v>2.4684962607912144</x:v>
      </x:c>
      <x:c r="AL52" s="6" t="str">
        <x:v>2.822743346674492</x:v>
      </x:c>
      <x:c r="AM52" s="6" t="str">
        <x:v>2.3227766872013933</x:v>
      </x:c>
      <x:c r="AN52" s="6" t="str">
        <x:v>2.5380054315557</x:v>
      </x:c>
      <x:c r="AO52" s="6" t="str">
        <x:v>-0.1604538425130215</x:v>
      </x:c>
      <x:c r="AP52" s="8" t="str">
        <x:v>-0.1544109361173157</x:v>
      </x:c>
      <x:c r="AQ52" s="6" t="str">
        <x:v>0.8743434623748165</x:v>
      </x:c>
      <x:c r="AR52" s="6" t="str">
        <x:v>0.9728242153680996</x:v>
      </x:c>
      <x:c r="AS52" s="6" t="str">
        <x:v>0.564252247208533</x:v>
      </x:c>
      <x:c r="AT52" s="6" t="str">
        <x:v>32.98086988167847</x:v>
      </x:c>
      <x:c r="AU52" s="8" t="str">
        <x:v>0.3601929479811701</x:v>
      </x:c>
      <x:c r="AV52" s="6" t="str">
        <x:v>1.2013353731413947</x:v>
      </x:c>
      <x:c r="AW52" s="6" t="str">
        <x:v>2.10373677705717</x:v>
      </x:c>
      <x:c r="AX52" s="6" t="str">
        <x:v>1.2217550327265791</x:v>
      </x:c>
      <x:c r="AY52" s="6" t="str">
        <x:v>0</x:v>
      </x:c>
      <x:c r="AZ52" s="6" t="str">
        <x:v>1</x:v>
      </x:c>
      <x:c r="BA52" s="9" t="str">
        <x:v>grid_cells_within_BIG_polygon</x:v>
      </x:c>
      <x:c r="BB52" s="6" t="str">
        <x:v>9</x:v>
      </x:c>
      <x:c r="BC52" s="6" t="str">
        <x:v>14</x:v>
      </x:c>
      <x:c r="BD52" s="6" t="str">
        <x:v>14</x:v>
      </x:c>
      <x:c r="BE52" s="6" t="str">
        <x:v>13</x:v>
      </x:c>
      <x:c r="BF52" s="6" t="str">
        <x:v>0</x:v>
      </x:c>
      <x:c r="BG52" s="6" t="str">
        <x:v>1</x:v>
      </x:c>
      <x:c r="BH52" s="6" t="str">
        <x:v>0</x:v>
      </x:c>
      <x:c r="BI52" s="6" t="str">
        <x:v>0</x:v>
      </x:c>
      <x:c r="BJ52" s="6" t="str">
        <x:v>0</x:v>
      </x:c>
      <x:c r="BK52" s="6" t="str">
        <x:v>0</x:v>
      </x:c>
      <x:c r="BL52" s="6" t="str">
        <x:v>0</x:v>
      </x:c>
      <x:c r="BM52" s="6" t="str">
        <x:v>0</x:v>
      </x:c>
      <x:c r="BN52" s="6" t="str">
        <x:v>14</x:v>
      </x:c>
      <x:c r="BO52" s="6" t="str">
        <x:v>29.0</x:v>
      </x:c>
      <x:c r="BP52" s="6" t="str">
        <x:v>13</x:v>
      </x:c>
      <x:c r="BQ52" s="6" t="str">
        <x:v>8.0</x:v>
      </x:c>
      <x:c r="BR52" s="6" t="str">
        <x:v>12</x:v>
      </x:c>
      <x:c r="BS52" s="6" t="str">
        <x:v>10411.0</x:v>
      </x:c>
      <x:c r="BT52" s="6" t="str">
        <x:v>14</x:v>
      </x:c>
      <x:c r="BU52" s="6" t="str">
        <x:v>55226.0</x:v>
      </x:c>
      <x:c r="BV52" s="6" t="str">
        <x:v>13</x:v>
      </x:c>
      <x:c r="BW52" s="9" t="str">
        <x:v>operational_snapshot_annual_totals_may_differ</x:v>
      </x:c>
      <x:c r="BX52" s="9" t="str">
        <x:v>official_live_dashboard_snapshot_subject_to_revision</x:v>
      </x:c>
      <x:c r="BY52" s="9" t="str">
        <x:v>https://tbdashboard.sitb.id/ss_data_tbc03so_2024_provinsi_bulanan_list.php</x:v>
      </x:c>
      <x:c r="BZ52" s="6" t="n">
        <x:v>46246.610671296294</x:v>
      </x:c>
    </x:row>
    <x:row r="53" ht="18" customHeight="1">
      <x:c r="A53" s="6" t="str">
        <x:v>13</x:v>
      </x:c>
      <x:c r="B53" s="6" t="str">
        <x:v>SUMATERA BARAT</x:v>
      </x:c>
      <x:c r="C53" s="6" t="str">
        <x:v>2024</x:v>
      </x:c>
      <x:c r="D53" s="6" t="str">
        <x:v>4</x:v>
      </x:c>
      <x:c r="E53" s="6" t="str">
        <x:v>2024-04</x:v>
      </x:c>
      <x:c r="F53" s="6" t="str">
        <x:v>1027</x:v>
      </x:c>
      <x:c r="G53" s="6" t="str">
        <x:v>322</x:v>
      </x:c>
      <x:c r="H53" s="6" t="str">
        <x:v>590</x:v>
      </x:c>
      <x:c r="I53" s="6" t="str">
        <x:v>58</x:v>
      </x:c>
      <x:c r="J53" s="6" t="str">
        <x:v>52</x:v>
      </x:c>
      <x:c r="K53" s="6" t="str">
        <x:v>2</x:v>
      </x:c>
      <x:c r="L53" s="6" t="str">
        <x:v>1</x:v>
      </x:c>
      <x:c r="M53" s="6" t="str">
        <x:v>2</x:v>
      </x:c>
      <x:c r="N53" s="6" t="str">
        <x:v>1027</x:v>
      </x:c>
      <x:c r="O53" s="6" t="str">
        <x:v>0</x:v>
      </x:c>
      <x:c r="P53" s="10" t="n">
        <x:f>F53-M53</x:f>
        <x:v>1025</x:v>
      </x:c>
      <x:c r="Q53" s="11" t="n">
        <x:f>IFERROR(M53/F53,"")</x:f>
        <x:v>0.0019474196689386564</x:v>
      </x:c>
      <x:c r="R53" s="10" t="n">
        <x:f>G53+H53</x:f>
        <x:v>912</x:v>
      </x:c>
      <x:c r="S53" s="11" t="n">
        <x:f>IFERROR(R53/F53,"")</x:f>
        <x:v>0.8880233690360273</x:v>
      </x:c>
      <x:c r="T53" s="11" t="n">
        <x:f>IFERROR(R53/P53,"")</x:f>
        <x:v>0.8897560975609756</x:v>
      </x:c>
      <x:c r="U53" s="10" t="n">
        <x:f>I53+J53+K53</x:f>
        <x:v>112</x:v>
      </x:c>
      <x:c r="V53" s="11" t="n">
        <x:f>IFERROR(U53/P53,"")</x:f>
        <x:v>0.10926829268292683</x:v>
      </x:c>
      <x:c r="W53" s="9" t="str">
        <x:v>mature_le_5pct_pending</x:v>
      </x:c>
      <x:c r="X53" s="12" t="n">
        <x:f>IFERROR(F53/Z53*100000,"")</x:f>
        <x:v>17.59706658442137</x:v>
      </x:c>
      <x:c r="Y53" s="13" t="n">
        <x:f>LN(Z53)</x:f>
        <x:v>15.579590458085587</x:v>
      </x:c>
      <x:c r="Z53" s="6" t="str">
        <x:v>5836200</x:v>
      </x:c>
      <x:c r="AA53" s="6" t="str">
        <x:v>139.0</x:v>
      </x:c>
      <x:c r="AB53" s="9" t="str">
        <x:v>2024-06-30</x:v>
      </x:c>
      <x:c r="AC53" s="8" t="str">
        <x:v>72.8</x:v>
      </x:c>
      <x:c r="AD53" s="9" t="str">
        <x:v>2024 (Susenas)</x:v>
      </x:c>
      <x:c r="AE53" s="8" t="str">
        <x:v>5.97</x:v>
      </x:c>
      <x:c r="AF53" s="9" t="str">
        <x:v>Maret 2024 (Susenas)</x:v>
      </x:c>
      <x:c r="AG53" s="6" t="str">
        <x:v>25.76332523648634</x:v>
      </x:c>
      <x:c r="AH53" s="8" t="str">
        <x:v>88.64457837189673</x:v>
      </x:c>
      <x:c r="AI53" s="6" t="str">
        <x:v>481.36010399256287</x:v>
      </x:c>
      <x:c r="AJ53" s="6" t="str">
        <x:v>1.26388645926086</x:v>
      </x:c>
      <x:c r="AK53" s="8" t="str">
        <x:v>3.301113390785392</x:v>
      </x:c>
      <x:c r="AL53" s="6" t="str">
        <x:v>2.4684962607912144</x:v>
      </x:c>
      <x:c r="AM53" s="6" t="str">
        <x:v>2.822743346674492</x:v>
      </x:c>
      <x:c r="AN53" s="6" t="str">
        <x:v>2.864117666083699</x:v>
      </x:c>
      <x:c r="AO53" s="6" t="str">
        <x:v>0.4750809839750332</x:v>
      </x:c>
      <x:c r="AP53" s="8" t="str">
        <x:v>0.5912613257476126</x:v>
      </x:c>
      <x:c r="AQ53" s="6" t="str">
        <x:v>-0.1544109361173157</x:v>
      </x:c>
      <x:c r="AR53" s="6" t="str">
        <x:v>0.8743434623748165</x:v>
      </x:c>
      <x:c r="AS53" s="6" t="str">
        <x:v>0.4370646173350372</x:v>
      </x:c>
      <x:c r="AT53" s="6" t="str">
        <x:v>194.11646133240004</x:v>
      </x:c>
      <x:c r="AU53" s="8" t="str">
        <x:v>2.7207741176892783</x:v>
      </x:c>
      <x:c r="AV53" s="6" t="str">
        <x:v>0.3601929479811701</x:v>
      </x:c>
      <x:c r="AW53" s="6" t="str">
        <x:v>1.2013353731413947</x:v>
      </x:c>
      <x:c r="AX53" s="6" t="str">
        <x:v>1.427434146270615</x:v>
      </x:c>
      <x:c r="AY53" s="6" t="str">
        <x:v>1</x:v>
      </x:c>
      <x:c r="AZ53" s="6" t="str">
        <x:v>1</x:v>
      </x:c>
      <x:c r="BA53" s="9" t="str">
        <x:v>grid_cells_within_BIG_polygon</x:v>
      </x:c>
      <x:c r="BB53" s="6" t="str">
        <x:v>9</x:v>
      </x:c>
      <x:c r="BC53" s="6" t="str">
        <x:v>8</x:v>
      </x:c>
      <x:c r="BD53" s="6" t="str">
        <x:v>6</x:v>
      </x:c>
      <x:c r="BE53" s="6" t="str">
        <x:v>6</x:v>
      </x:c>
      <x:c r="BF53" s="6" t="str">
        <x:v>0</x:v>
      </x:c>
      <x:c r="BG53" s="6" t="str">
        <x:v>0</x:v>
      </x:c>
      <x:c r="BH53" s="6" t="str">
        <x:v>0</x:v>
      </x:c>
      <x:c r="BI53" s="6" t="str">
        <x:v>0</x:v>
      </x:c>
      <x:c r="BJ53" s="6" t="str">
        <x:v>0</x:v>
      </x:c>
      <x:c r="BK53" s="6" t="str">
        <x:v>0</x:v>
      </x:c>
      <x:c r="BL53" s="6" t="str">
        <x:v>2</x:v>
      </x:c>
      <x:c r="BM53" s="6" t="str">
        <x:v>0</x:v>
      </x:c>
      <x:c r="BN53" s="6" t="str">
        <x:v>8</x:v>
      </x:c>
      <x:c r="BO53" s="6" t="str">
        <x:v>1.0</x:v>
      </x:c>
      <x:c r="BP53" s="6" t="str">
        <x:v>7</x:v>
      </x:c>
      <x:c r="BQ53" s="6" t="str">
        <x:v>0.0</x:v>
      </x:c>
      <x:c r="BR53" s="6" t="str">
        <x:v>7</x:v>
      </x:c>
      <x:c r="BS53" s="6" t="str">
        <x:v>127.0</x:v>
      </x:c>
      <x:c r="BT53" s="6" t="str">
        <x:v>8</x:v>
      </x:c>
      <x:c r="BU53" s="6" t="str">
        <x:v>791.0</x:v>
      </x:c>
      <x:c r="BV53" s="6" t="str">
        <x:v>6</x:v>
      </x:c>
      <x:c r="BW53" s="9" t="str">
        <x:v>operational_snapshot_annual_totals_may_differ</x:v>
      </x:c>
      <x:c r="BX53" s="9" t="str">
        <x:v>official_live_dashboard_snapshot_subject_to_revision</x:v>
      </x:c>
      <x:c r="BY53" s="9" t="str">
        <x:v>https://tbdashboard.sitb.id/ss_data_tbc03so_2024_provinsi_bulanan_list.php</x:v>
      </x:c>
      <x:c r="BZ53" s="6" t="n">
        <x:v>46246.610671296294</x:v>
      </x:c>
    </x:row>
    <x:row r="54" ht="18" customHeight="1">
      <x:c r="A54" s="6" t="str">
        <x:v>13</x:v>
      </x:c>
      <x:c r="B54" s="6" t="str">
        <x:v>SUMATERA BARAT</x:v>
      </x:c>
      <x:c r="C54" s="6" t="str">
        <x:v>2024</x:v>
      </x:c>
      <x:c r="D54" s="6" t="str">
        <x:v>5</x:v>
      </x:c>
      <x:c r="E54" s="6" t="str">
        <x:v>2024-05</x:v>
      </x:c>
      <x:c r="F54" s="6" t="str">
        <x:v>1375</x:v>
      </x:c>
      <x:c r="G54" s="6" t="str">
        <x:v>438</x:v>
      </x:c>
      <x:c r="H54" s="6" t="str">
        <x:v>776</x:v>
      </x:c>
      <x:c r="I54" s="6" t="str">
        <x:v>97</x:v>
      </x:c>
      <x:c r="J54" s="6" t="str">
        <x:v>58</x:v>
      </x:c>
      <x:c r="K54" s="6" t="str">
        <x:v>4</x:v>
      </x:c>
      <x:c r="L54" s="6" t="str">
        <x:v>0</x:v>
      </x:c>
      <x:c r="M54" s="6" t="str">
        <x:v>2</x:v>
      </x:c>
      <x:c r="N54" s="6" t="str">
        <x:v>1375</x:v>
      </x:c>
      <x:c r="O54" s="6" t="str">
        <x:v>0</x:v>
      </x:c>
      <x:c r="P54" s="10" t="n">
        <x:f>F54-M54</x:f>
        <x:v>1373</x:v>
      </x:c>
      <x:c r="Q54" s="11" t="n">
        <x:f>IFERROR(M54/F54,"")</x:f>
        <x:v>0.0014545454545454545</x:v>
      </x:c>
      <x:c r="R54" s="10" t="n">
        <x:f>G54+H54</x:f>
        <x:v>1214</x:v>
      </x:c>
      <x:c r="S54" s="11" t="n">
        <x:f>IFERROR(R54/F54,"")</x:f>
        <x:v>0.8829090909090909</x:v>
      </x:c>
      <x:c r="T54" s="11" t="n">
        <x:f>IFERROR(R54/P54,"")</x:f>
        <x:v>0.8841951930080116</x:v>
      </x:c>
      <x:c r="U54" s="10" t="n">
        <x:f>I54+J54+K54</x:f>
        <x:v>159</x:v>
      </x:c>
      <x:c r="V54" s="11" t="n">
        <x:f>IFERROR(U54/P54,"")</x:f>
        <x:v>0.11580480699198835</x:v>
      </x:c>
      <x:c r="W54" s="9" t="str">
        <x:v>mature_le_5pct_pending</x:v>
      </x:c>
      <x:c r="X54" s="12" t="n">
        <x:f>IFERROR(F54/Z54*100000,"")</x:f>
        <x:v>23.559850587711182</x:v>
      </x:c>
      <x:c r="Y54" s="13" t="n">
        <x:f>LN(Z54)</x:f>
        <x:v>15.579590458085587</x:v>
      </x:c>
      <x:c r="Z54" s="6" t="str">
        <x:v>5836200</x:v>
      </x:c>
      <x:c r="AA54" s="6" t="str">
        <x:v>139.0</x:v>
      </x:c>
      <x:c r="AB54" s="9" t="str">
        <x:v>2024-06-30</x:v>
      </x:c>
      <x:c r="AC54" s="8" t="str">
        <x:v>72.8</x:v>
      </x:c>
      <x:c r="AD54" s="9" t="str">
        <x:v>2024 (Susenas)</x:v>
      </x:c>
      <x:c r="AE54" s="8" t="str">
        <x:v>5.97</x:v>
      </x:c>
      <x:c r="AF54" s="9" t="str">
        <x:v>Maret 2024 (Susenas)</x:v>
      </x:c>
      <x:c r="AG54" s="6" t="str">
        <x:v>25.733322190012483</x:v>
      </x:c>
      <x:c r="AH54" s="8" t="str">
        <x:v>88.94680664992734</x:v>
      </x:c>
      <x:c r="AI54" s="6" t="str">
        <x:v>478.7407647500124</x:v>
      </x:c>
      <x:c r="AJ54" s="6" t="str">
        <x:v>1.007516640980839</x:v>
      </x:c>
      <x:c r="AK54" s="8" t="str">
        <x:v>3.3760502888643207</x:v>
      </x:c>
      <x:c r="AL54" s="6" t="str">
        <x:v>3.301113390785392</x:v>
      </x:c>
      <x:c r="AM54" s="6" t="str">
        <x:v>2.4684962607912144</x:v>
      </x:c>
      <x:c r="AN54" s="6" t="str">
        <x:v>3.048553313480309</x:v>
      </x:c>
      <x:c r="AO54" s="6" t="str">
        <x:v>1.3784904213790128</x:v>
      </x:c>
      <x:c r="AP54" s="8" t="str">
        <x:v>1.1832744083733393</x:v>
      </x:c>
      <x:c r="AQ54" s="6" t="str">
        <x:v>0.5912613257476126</x:v>
      </x:c>
      <x:c r="AR54" s="6" t="str">
        <x:v>-0.1544109361173157</x:v>
      </x:c>
      <x:c r="AS54" s="6" t="str">
        <x:v>0.5400415993345448</x:v>
      </x:c>
      <x:c r="AT54" s="6" t="str">
        <x:v>252.2226475705849</x:v>
      </x:c>
      <x:c r="AU54" s="8" t="str">
        <x:v>2.7149867893253434</x:v>
      </x:c>
      <x:c r="AV54" s="6" t="str">
        <x:v>2.7207741176892783</x:v>
      </x:c>
      <x:c r="AW54" s="6" t="str">
        <x:v>0.3601929479811701</x:v>
      </x:c>
      <x:c r="AX54" s="6" t="str">
        <x:v>1.9319846183319316</x:v>
      </x:c>
      <x:c r="AY54" s="6" t="str">
        <x:v>1</x:v>
      </x:c>
      <x:c r="AZ54" s="6" t="str">
        <x:v>1</x:v>
      </x:c>
      <x:c r="BA54" s="9" t="str">
        <x:v>grid_cells_within_BIG_polygon</x:v>
      </x:c>
      <x:c r="BB54" s="6" t="str">
        <x:v>9</x:v>
      </x:c>
      <x:c r="BC54" s="6" t="str">
        <x:v>18</x:v>
      </x:c>
      <x:c r="BD54" s="6" t="str">
        <x:v>17</x:v>
      </x:c>
      <x:c r="BE54" s="6" t="str">
        <x:v>12</x:v>
      </x:c>
      <x:c r="BF54" s="6" t="str">
        <x:v>3</x:v>
      </x:c>
      <x:c r="BG54" s="6" t="str">
        <x:v>1</x:v>
      </x:c>
      <x:c r="BH54" s="6" t="str">
        <x:v>0</x:v>
      </x:c>
      <x:c r="BI54" s="6" t="str">
        <x:v>0</x:v>
      </x:c>
      <x:c r="BJ54" s="6" t="str">
        <x:v>1</x:v>
      </x:c>
      <x:c r="BK54" s="6" t="str">
        <x:v>0</x:v>
      </x:c>
      <x:c r="BL54" s="6" t="str">
        <x:v>1</x:v>
      </x:c>
      <x:c r="BM54" s="6" t="str">
        <x:v>0</x:v>
      </x:c>
      <x:c r="BN54" s="6" t="str">
        <x:v>18</x:v>
      </x:c>
      <x:c r="BO54" s="6" t="str">
        <x:v>62.0</x:v>
      </x:c>
      <x:c r="BP54" s="6" t="str">
        <x:v>15</x:v>
      </x:c>
      <x:c r="BQ54" s="6" t="str">
        <x:v>66.0</x:v>
      </x:c>
      <x:c r="BR54" s="6" t="str">
        <x:v>14</x:v>
      </x:c>
      <x:c r="BS54" s="6" t="str">
        <x:v>1440.0</x:v>
      </x:c>
      <x:c r="BT54" s="6" t="str">
        <x:v>18</x:v>
      </x:c>
      <x:c r="BU54" s="6" t="str">
        <x:v>1962.0</x:v>
      </x:c>
      <x:c r="BV54" s="6" t="str">
        <x:v>12</x:v>
      </x:c>
      <x:c r="BW54" s="9" t="str">
        <x:v>operational_snapshot_annual_totals_may_differ</x:v>
      </x:c>
      <x:c r="BX54" s="9" t="str">
        <x:v>official_live_dashboard_snapshot_subject_to_revision</x:v>
      </x:c>
      <x:c r="BY54" s="9" t="str">
        <x:v>https://tbdashboard.sitb.id/ss_data_tbc03so_2024_provinsi_bulanan_list.php</x:v>
      </x:c>
      <x:c r="BZ54" s="6" t="n">
        <x:v>46246.610671296294</x:v>
      </x:c>
    </x:row>
    <x:row r="55" ht="18" customHeight="1">
      <x:c r="A55" s="6" t="str">
        <x:v>13</x:v>
      </x:c>
      <x:c r="B55" s="6" t="str">
        <x:v>SUMATERA BARAT</x:v>
      </x:c>
      <x:c r="C55" s="6" t="str">
        <x:v>2024</x:v>
      </x:c>
      <x:c r="D55" s="6" t="str">
        <x:v>6</x:v>
      </x:c>
      <x:c r="E55" s="6" t="str">
        <x:v>2024-06</x:v>
      </x:c>
      <x:c r="F55" s="6" t="str">
        <x:v>1261</x:v>
      </x:c>
      <x:c r="G55" s="6" t="str">
        <x:v>430</x:v>
      </x:c>
      <x:c r="H55" s="6" t="str">
        <x:v>657</x:v>
      </x:c>
      <x:c r="I55" s="6" t="str">
        <x:v>93</x:v>
      </x:c>
      <x:c r="J55" s="6" t="str">
        <x:v>74</x:v>
      </x:c>
      <x:c r="K55" s="6" t="str">
        <x:v>1</x:v>
      </x:c>
      <x:c r="L55" s="6" t="str">
        <x:v>4</x:v>
      </x:c>
      <x:c r="M55" s="6" t="str">
        <x:v>2</x:v>
      </x:c>
      <x:c r="N55" s="6" t="str">
        <x:v>1261</x:v>
      </x:c>
      <x:c r="O55" s="6" t="str">
        <x:v>0</x:v>
      </x:c>
      <x:c r="P55" s="10" t="n">
        <x:f>F55-M55</x:f>
        <x:v>1259</x:v>
      </x:c>
      <x:c r="Q55" s="11" t="n">
        <x:f>IFERROR(M55/F55,"")</x:f>
        <x:v>0.0015860428231562252</x:v>
      </x:c>
      <x:c r="R55" s="10" t="n">
        <x:f>G55+H55</x:f>
        <x:v>1087</x:v>
      </x:c>
      <x:c r="S55" s="11" t="n">
        <x:f>IFERROR(R55/F55,"")</x:f>
        <x:v>0.8620142743854085</x:v>
      </x:c>
      <x:c r="T55" s="11" t="n">
        <x:f>IFERROR(R55/P55,"")</x:f>
        <x:v>0.8633836378077839</x:v>
      </x:c>
      <x:c r="U55" s="10" t="n">
        <x:f>I55+J55+K55</x:f>
        <x:v>168</x:v>
      </x:c>
      <x:c r="V55" s="11" t="n">
        <x:f>IFERROR(U55/P55,"")</x:f>
        <x:v>0.13343923749007147</x:v>
      </x:c>
      <x:c r="W55" s="9" t="str">
        <x:v>mature_le_5pct_pending</x:v>
      </x:c>
      <x:c r="X55" s="12" t="n">
        <x:f>IFERROR(F55/Z55*100000,"")</x:f>
        <x:v>21.60652479353004</x:v>
      </x:c>
      <x:c r="Y55" s="13" t="n">
        <x:f>LN(Z55)</x:f>
        <x:v>15.579590458085587</x:v>
      </x:c>
      <x:c r="Z55" s="6" t="str">
        <x:v>5836200</x:v>
      </x:c>
      <x:c r="AA55" s="6" t="str">
        <x:v>139.0</x:v>
      </x:c>
      <x:c r="AB55" s="9" t="str">
        <x:v>2024-06-30</x:v>
      </x:c>
      <x:c r="AC55" s="8" t="str">
        <x:v>72.8</x:v>
      </x:c>
      <x:c r="AD55" s="9" t="str">
        <x:v>2024 (Susenas)</x:v>
      </x:c>
      <x:c r="AE55" s="8" t="str">
        <x:v>5.97</x:v>
      </x:c>
      <x:c r="AF55" s="9" t="str">
        <x:v>Maret 2024 (Susenas)</x:v>
      </x:c>
      <x:c r="AG55" s="6" t="str">
        <x:v>25.02776359738712</x:v>
      </x:c>
      <x:c r="AH55" s="8" t="str">
        <x:v>87.69127429032656</x:v>
      </x:c>
      <x:c r="AI55" s="6" t="str">
        <x:v>350.30281458818433</x:v>
      </x:c>
      <x:c r="AJ55" s="6" t="str">
        <x:v>0.7054816002419528</x:v>
      </x:c>
      <x:c r="AK55" s="8" t="str">
        <x:v>2.77077516533154</x:v>
      </x:c>
      <x:c r="AL55" s="6" t="str">
        <x:v>3.3760502888643207</x:v>
      </x:c>
      <x:c r="AM55" s="6" t="str">
        <x:v>3.301113390785392</x:v>
      </x:c>
      <x:c r="AN55" s="6" t="str">
        <x:v>3.149312948327084</x:v>
      </x:c>
      <x:c r="AO55" s="6" t="str">
        <x:v>0.77568117862549</x:v>
      </x:c>
      <x:c r="AP55" s="8" t="str">
        <x:v>0.9845615440007134</x:v>
      </x:c>
      <x:c r="AQ55" s="6" t="str">
        <x:v>1.1832744083733393</x:v>
      </x:c>
      <x:c r="AR55" s="6" t="str">
        <x:v>0.5912613257476126</x:v>
      </x:c>
      <x:c r="AS55" s="6" t="str">
        <x:v>0.9196990927072212</x:v>
      </x:c>
      <x:c r="AT55" s="6" t="str">
        <x:v>139.13846808301165</x:v>
      </x:c>
      <x:c r="AU55" s="8" t="str">
        <x:v>1.9593885755956</x:v>
      </x:c>
      <x:c r="AV55" s="6" t="str">
        <x:v>2.7149867893253434</x:v>
      </x:c>
      <x:c r="AW55" s="6" t="str">
        <x:v>2.7207741176892783</x:v>
      </x:c>
      <x:c r="AX55" s="6" t="str">
        <x:v>2.4650498275367414</x:v>
      </x:c>
      <x:c r="AY55" s="6" t="str">
        <x:v>1</x:v>
      </x:c>
      <x:c r="AZ55" s="6" t="str">
        <x:v>1</x:v>
      </x:c>
      <x:c r="BA55" s="9" t="str">
        <x:v>grid_cells_within_BIG_polygon</x:v>
      </x:c>
      <x:c r="BB55" s="6" t="str">
        <x:v>9</x:v>
      </x:c>
      <x:c r="BC55" s="6" t="str">
        <x:v>2</x:v>
      </x:c>
      <x:c r="BD55" s="6" t="str">
        <x:v>2</x:v>
      </x:c>
      <x:c r="BE55" s="6" t="str">
        <x:v>1</x:v>
      </x:c>
      <x:c r="BF55" s="6" t="str">
        <x:v>1</x:v>
      </x:c>
      <x:c r="BG55" s="6" t="str">
        <x:v>0</x:v>
      </x:c>
      <x:c r="BH55" s="6" t="str">
        <x:v>0</x:v>
      </x:c>
      <x:c r="BI55" s="6" t="str">
        <x:v>0</x:v>
      </x:c>
      <x:c r="BJ55" s="6" t="str">
        <x:v>0</x:v>
      </x:c>
      <x:c r="BK55" s="6" t="str">
        <x:v>0</x:v>
      </x:c>
      <x:c r="BL55" s="6" t="str">
        <x:v>0</x:v>
      </x:c>
      <x:c r="BM55" s="6" t="str">
        <x:v>0</x:v>
      </x:c>
      <x:c r="BN55" s="6" t="str">
        <x:v>2</x:v>
      </x:c>
      <x:c r="BO55" s="6" t="str">
        <x:v>1.0</x:v>
      </x:c>
      <x:c r="BP55" s="6" t="str">
        <x:v>2</x:v>
      </x:c>
      <x:c r="BQ55" s="6" t="str">
        <x:v>0.0</x:v>
      </x:c>
      <x:c r="BR55" s="6" t="str">
        <x:v>1</x:v>
      </x:c>
      <x:c r="BS55" s="6" t="str">
        <x:v>0.0</x:v>
      </x:c>
      <x:c r="BT55" s="6" t="str">
        <x:v>2</x:v>
      </x:c>
      <x:c r="BU55" s="6" t="str">
        <x:v>18.0</x:v>
      </x:c>
      <x:c r="BV55" s="6" t="str">
        <x:v>1</x:v>
      </x:c>
      <x:c r="BW55" s="9" t="str">
        <x:v>operational_snapshot_annual_totals_may_differ</x:v>
      </x:c>
      <x:c r="BX55" s="9" t="str">
        <x:v>official_live_dashboard_snapshot_subject_to_revision</x:v>
      </x:c>
      <x:c r="BY55" s="9" t="str">
        <x:v>https://tbdashboard.sitb.id/ss_data_tbc03so_2024_provinsi_bulanan_list.php</x:v>
      </x:c>
      <x:c r="BZ55" s="6" t="n">
        <x:v>46246.610671296294</x:v>
      </x:c>
    </x:row>
    <x:row r="56" ht="18" customHeight="1">
      <x:c r="A56" s="6" t="str">
        <x:v>13</x:v>
      </x:c>
      <x:c r="B56" s="6" t="str">
        <x:v>SUMATERA BARAT</x:v>
      </x:c>
      <x:c r="C56" s="6" t="str">
        <x:v>2024</x:v>
      </x:c>
      <x:c r="D56" s="6" t="str">
        <x:v>7</x:v>
      </x:c>
      <x:c r="E56" s="6" t="str">
        <x:v>2024-07</x:v>
      </x:c>
      <x:c r="F56" s="6" t="str">
        <x:v>1361</x:v>
      </x:c>
      <x:c r="G56" s="6" t="str">
        <x:v>425</x:v>
      </x:c>
      <x:c r="H56" s="6" t="str">
        <x:v>747</x:v>
      </x:c>
      <x:c r="I56" s="6" t="str">
        <x:v>84</x:v>
      </x:c>
      <x:c r="J56" s="6" t="str">
        <x:v>92</x:v>
      </x:c>
      <x:c r="K56" s="6" t="str">
        <x:v>7</x:v>
      </x:c>
      <x:c r="L56" s="6" t="str">
        <x:v>0</x:v>
      </x:c>
      <x:c r="M56" s="6" t="str">
        <x:v>6</x:v>
      </x:c>
      <x:c r="N56" s="6" t="str">
        <x:v>1361</x:v>
      </x:c>
      <x:c r="O56" s="6" t="str">
        <x:v>0</x:v>
      </x:c>
      <x:c r="P56" s="10" t="n">
        <x:f>F56-M56</x:f>
        <x:v>1355</x:v>
      </x:c>
      <x:c r="Q56" s="11" t="n">
        <x:f>IFERROR(M56/F56,"")</x:f>
        <x:v>0.00440852314474651</x:v>
      </x:c>
      <x:c r="R56" s="10" t="n">
        <x:f>G56+H56</x:f>
        <x:v>1172</x:v>
      </x:c>
      <x:c r="S56" s="11" t="n">
        <x:f>IFERROR(R56/F56,"")</x:f>
        <x:v>0.861131520940485</x:v>
      </x:c>
      <x:c r="T56" s="11" t="n">
        <x:f>IFERROR(R56/P56,"")</x:f>
        <x:v>0.8649446494464945</x:v>
      </x:c>
      <x:c r="U56" s="10" t="n">
        <x:f>I56+J56+K56</x:f>
        <x:v>183</x:v>
      </x:c>
      <x:c r="V56" s="11" t="n">
        <x:f>IFERROR(U56/P56,"")</x:f>
        <x:v>0.13505535055350554</x:v>
      </x:c>
      <x:c r="W56" s="9" t="str">
        <x:v>mature_le_5pct_pending</x:v>
      </x:c>
      <x:c r="X56" s="12" t="n">
        <x:f>IFERROR(F56/Z56*100000,"")</x:f>
        <x:v>23.319968472636305</x:v>
      </x:c>
      <x:c r="Y56" s="13" t="n">
        <x:f>LN(Z56)</x:f>
        <x:v>15.579590458085587</x:v>
      </x:c>
      <x:c r="Z56" s="6" t="str">
        <x:v>5836200</x:v>
      </x:c>
      <x:c r="AA56" s="6" t="str">
        <x:v>139.0</x:v>
      </x:c>
      <x:c r="AB56" s="9" t="str">
        <x:v>2024-06-30</x:v>
      </x:c>
      <x:c r="AC56" s="8" t="str">
        <x:v>72.8</x:v>
      </x:c>
      <x:c r="AD56" s="9" t="str">
        <x:v>2024 (Susenas)</x:v>
      </x:c>
      <x:c r="AE56" s="8" t="str">
        <x:v>5.97</x:v>
      </x:c>
      <x:c r="AF56" s="9" t="str">
        <x:v>Maret 2024 (Susenas)</x:v>
      </x:c>
      <x:c r="AG56" s="6" t="str">
        <x:v>24.996645862158417</x:v>
      </x:c>
      <x:c r="AH56" s="8" t="str">
        <x:v>86.10238796313685</x:v>
      </x:c>
      <x:c r="AI56" s="6" t="str">
        <x:v>113.66819386916832</x:v>
      </x:c>
      <x:c r="AJ56" s="6" t="str">
        <x:v>1.0099182193892808</x:v>
      </x:c>
      <x:c r="AK56" s="8" t="str">
        <x:v>3.9779432627294726</x:v>
      </x:c>
      <x:c r="AL56" s="6" t="str">
        <x:v>2.77077516533154</x:v>
      </x:c>
      <x:c r="AM56" s="6" t="str">
        <x:v>3.3760502888643207</x:v>
      </x:c>
      <x:c r="AN56" s="6" t="str">
        <x:v>3.3749229056417778</x:v>
      </x:c>
      <x:c r="AO56" s="6" t="str">
        <x:v>-0.6915731938884448</x:v>
      </x:c>
      <x:c r="AP56" s="8" t="str">
        <x:v>-0.7109217625971607</x:v>
      </x:c>
      <x:c r="AQ56" s="6" t="str">
        <x:v>0.9845615440007134</x:v>
      </x:c>
      <x:c r="AR56" s="6" t="str">
        <x:v>1.1832744083733393</x:v>
      </x:c>
      <x:c r="AS56" s="6" t="str">
        <x:v>0.4856380632589634</x:v>
      </x:c>
      <x:c r="AT56" s="6" t="str">
        <x:v>-94.4402231929608</x:v>
      </x:c>
      <x:c r="AU56" s="8" t="str">
        <x:v>-1.27470023497632</x:v>
      </x:c>
      <x:c r="AV56" s="6" t="str">
        <x:v>1.9593885755956</x:v>
      </x:c>
      <x:c r="AW56" s="6" t="str">
        <x:v>2.7149867893253434</x:v>
      </x:c>
      <x:c r="AX56" s="6" t="str">
        <x:v>1.1332250433148754</x:v>
      </x:c>
      <x:c r="AY56" s="6" t="str">
        <x:v>0</x:v>
      </x:c>
      <x:c r="AZ56" s="6" t="str">
        <x:v>1</x:v>
      </x:c>
      <x:c r="BA56" s="9" t="str">
        <x:v>grid_cells_within_BIG_polygon</x:v>
      </x:c>
      <x:c r="BB56" s="6" t="str">
        <x:v>9</x:v>
      </x:c>
      <x:c r="BC56" s="6" t="str">
        <x:v>8</x:v>
      </x:c>
      <x:c r="BD56" s="6" t="str">
        <x:v>8</x:v>
      </x:c>
      <x:c r="BE56" s="6" t="str">
        <x:v>2</x:v>
      </x:c>
      <x:c r="BF56" s="6" t="str">
        <x:v>2</x:v>
      </x:c>
      <x:c r="BG56" s="6" t="str">
        <x:v>0</x:v>
      </x:c>
      <x:c r="BH56" s="6" t="str">
        <x:v>1</x:v>
      </x:c>
      <x:c r="BI56" s="6" t="str">
        <x:v>3</x:v>
      </x:c>
      <x:c r="BJ56" s="6" t="str">
        <x:v>0</x:v>
      </x:c>
      <x:c r="BK56" s="6" t="str">
        <x:v>0</x:v>
      </x:c>
      <x:c r="BL56" s="6" t="str">
        <x:v>0</x:v>
      </x:c>
      <x:c r="BM56" s="6" t="str">
        <x:v>0</x:v>
      </x:c>
      <x:c r="BN56" s="6" t="str">
        <x:v>8</x:v>
      </x:c>
      <x:c r="BO56" s="6" t="str">
        <x:v>5.0</x:v>
      </x:c>
      <x:c r="BP56" s="6" t="str">
        <x:v>5</x:v>
      </x:c>
      <x:c r="BQ56" s="6" t="str">
        <x:v>1.0</x:v>
      </x:c>
      <x:c r="BR56" s="6" t="str">
        <x:v>5</x:v>
      </x:c>
      <x:c r="BS56" s="6" t="str">
        <x:v>40.0</x:v>
      </x:c>
      <x:c r="BT56" s="6" t="str">
        <x:v>8</x:v>
      </x:c>
      <x:c r="BU56" s="6" t="str">
        <x:v>36.0</x:v>
      </x:c>
      <x:c r="BV56" s="6" t="str">
        <x:v>1</x:v>
      </x:c>
      <x:c r="BW56" s="9" t="str">
        <x:v>operational_snapshot_annual_totals_may_differ</x:v>
      </x:c>
      <x:c r="BX56" s="9" t="str">
        <x:v>official_live_dashboard_snapshot_subject_to_revision</x:v>
      </x:c>
      <x:c r="BY56" s="9" t="str">
        <x:v>https://tbdashboard.sitb.id/ss_data_tbc03so_2024_provinsi_bulanan_list.php</x:v>
      </x:c>
      <x:c r="BZ56" s="6" t="n">
        <x:v>46246.610671296294</x:v>
      </x:c>
    </x:row>
    <x:row r="57" ht="18" customHeight="1">
      <x:c r="A57" s="6" t="str">
        <x:v>13</x:v>
      </x:c>
      <x:c r="B57" s="6" t="str">
        <x:v>SUMATERA BARAT</x:v>
      </x:c>
      <x:c r="C57" s="6" t="str">
        <x:v>2024</x:v>
      </x:c>
      <x:c r="D57" s="6" t="str">
        <x:v>8</x:v>
      </x:c>
      <x:c r="E57" s="6" t="str">
        <x:v>2024-08</x:v>
      </x:c>
      <x:c r="F57" s="6" t="str">
        <x:v>1234</x:v>
      </x:c>
      <x:c r="G57" s="6" t="str">
        <x:v>407</x:v>
      </x:c>
      <x:c r="H57" s="6" t="str">
        <x:v>658</x:v>
      </x:c>
      <x:c r="I57" s="6" t="str">
        <x:v>102</x:v>
      </x:c>
      <x:c r="J57" s="6" t="str">
        <x:v>60</x:v>
      </x:c>
      <x:c r="K57" s="6" t="str">
        <x:v>2</x:v>
      </x:c>
      <x:c r="L57" s="6" t="str">
        <x:v>1</x:v>
      </x:c>
      <x:c r="M57" s="6" t="str">
        <x:v>4</x:v>
      </x:c>
      <x:c r="N57" s="6" t="str">
        <x:v>1234</x:v>
      </x:c>
      <x:c r="O57" s="6" t="str">
        <x:v>0</x:v>
      </x:c>
      <x:c r="P57" s="10" t="n">
        <x:f>F57-M57</x:f>
        <x:v>1230</x:v>
      </x:c>
      <x:c r="Q57" s="11" t="n">
        <x:f>IFERROR(M57/F57,"")</x:f>
        <x:v>0.0032414910858995136</x:v>
      </x:c>
      <x:c r="R57" s="10" t="n">
        <x:f>G57+H57</x:f>
        <x:v>1065</x:v>
      </x:c>
      <x:c r="S57" s="11" t="n">
        <x:f>IFERROR(R57/F57,"")</x:f>
        <x:v>0.8630470016207455</x:v>
      </x:c>
      <x:c r="T57" s="11" t="n">
        <x:f>IFERROR(R57/P57,"")</x:f>
        <x:v>0.8658536585365854</x:v>
      </x:c>
      <x:c r="U57" s="10" t="n">
        <x:f>I57+J57+K57</x:f>
        <x:v>164</x:v>
      </x:c>
      <x:c r="V57" s="11" t="n">
        <x:f>IFERROR(U57/P57,"")</x:f>
        <x:v>0.13333333333333333</x:v>
      </x:c>
      <x:c r="W57" s="9" t="str">
        <x:v>mature_le_5pct_pending</x:v>
      </x:c>
      <x:c r="X57" s="12" t="n">
        <x:f>IFERROR(F57/Z57*100000,"")</x:f>
        <x:v>21.143895000171344</x:v>
      </x:c>
      <x:c r="Y57" s="13" t="n">
        <x:f>LN(Z57)</x:f>
        <x:v>15.579590458085587</x:v>
      </x:c>
      <x:c r="Z57" s="6" t="str">
        <x:v>5836200</x:v>
      </x:c>
      <x:c r="AA57" s="6" t="str">
        <x:v>139.0</x:v>
      </x:c>
      <x:c r="AB57" s="9" t="str">
        <x:v>2024-06-30</x:v>
      </x:c>
      <x:c r="AC57" s="8" t="str">
        <x:v>72.8</x:v>
      </x:c>
      <x:c r="AD57" s="9" t="str">
        <x:v>2024 (Susenas)</x:v>
      </x:c>
      <x:c r="AE57" s="8" t="str">
        <x:v>5.97</x:v>
      </x:c>
      <x:c r="AF57" s="9" t="str">
        <x:v>Maret 2024 (Susenas)</x:v>
      </x:c>
      <x:c r="AG57" s="6" t="str">
        <x:v>24.899987559205705</x:v>
      </x:c>
      <x:c r="AH57" s="8" t="str">
        <x:v>87.64129451389283</x:v>
      </x:c>
      <x:c r="AI57" s="6" t="str">
        <x:v>428.76938747477686</x:v>
      </x:c>
      <x:c r="AJ57" s="6" t="str">
        <x:v>0.9107394391599826</x:v>
      </x:c>
      <x:c r="AK57" s="8" t="str">
        <x:v>3.849783161683228</x:v>
      </x:c>
      <x:c r="AL57" s="6" t="str">
        <x:v>3.9779432627294726</x:v>
      </x:c>
      <x:c r="AM57" s="6" t="str">
        <x:v>2.77077516533154</x:v>
      </x:c>
      <x:c r="AN57" s="6" t="str">
        <x:v>3.53283386324808</x:v>
      </x:c>
      <x:c r="AO57" s="6" t="str">
        <x:v>0.7845155294450166</x:v>
      </x:c>
      <x:c r="AP57" s="8" t="str">
        <x:v>0.788546952801606</x:v>
      </x:c>
      <x:c r="AQ57" s="6" t="str">
        <x:v>-0.7109217625971607</x:v>
      </x:c>
      <x:c r="AR57" s="6" t="str">
        <x:v>0.9845615440007134</x:v>
      </x:c>
      <x:c r="AS57" s="6" t="str">
        <x:v>0.3540622447350523</x:v>
      </x:c>
      <x:c r="AT57" s="6" t="str">
        <x:v>196.576435300451</x:v>
      </x:c>
      <x:c r="AU57" s="8" t="str">
        <x:v>1.6063988505139353</x:v>
      </x:c>
      <x:c r="AV57" s="6" t="str">
        <x:v>-1.27470023497632</x:v>
      </x:c>
      <x:c r="AW57" s="6" t="str">
        <x:v>1.9593885755956</x:v>
      </x:c>
      <x:c r="AX57" s="6" t="str">
        <x:v>0.7636957303777393</x:v>
      </x:c>
      <x:c r="AY57" s="6" t="str">
        <x:v>1</x:v>
      </x:c>
      <x:c r="AZ57" s="6" t="str">
        <x:v>1</x:v>
      </x:c>
      <x:c r="BA57" s="9" t="str">
        <x:v>grid_cells_within_BIG_polygon</x:v>
      </x:c>
      <x:c r="BB57" s="6" t="str">
        <x:v>9</x:v>
      </x:c>
      <x:c r="BC57" s="6" t="str">
        <x:v>5</x:v>
      </x:c>
      <x:c r="BD57" s="6" t="str">
        <x:v>5</x:v>
      </x:c>
      <x:c r="BE57" s="6" t="str">
        <x:v>3</x:v>
      </x:c>
      <x:c r="BF57" s="6" t="str">
        <x:v>1</x:v>
      </x:c>
      <x:c r="BG57" s="6" t="str">
        <x:v>1</x:v>
      </x:c>
      <x:c r="BH57" s="6" t="str">
        <x:v>0</x:v>
      </x:c>
      <x:c r="BI57" s="6" t="str">
        <x:v>0</x:v>
      </x:c>
      <x:c r="BJ57" s="6" t="str">
        <x:v>0</x:v>
      </x:c>
      <x:c r="BK57" s="6" t="str">
        <x:v>0</x:v>
      </x:c>
      <x:c r="BL57" s="6" t="str">
        <x:v>0</x:v>
      </x:c>
      <x:c r="BM57" s="6" t="str">
        <x:v>0</x:v>
      </x:c>
      <x:c r="BN57" s="6" t="str">
        <x:v>5</x:v>
      </x:c>
      <x:c r="BO57" s="6" t="str">
        <x:v>2.0</x:v>
      </x:c>
      <x:c r="BP57" s="6" t="str">
        <x:v>4</x:v>
      </x:c>
      <x:c r="BQ57" s="6" t="str">
        <x:v>1.0</x:v>
      </x:c>
      <x:c r="BR57" s="6" t="str">
        <x:v>3</x:v>
      </x:c>
      <x:c r="BS57" s="6" t="str">
        <x:v>104.0</x:v>
      </x:c>
      <x:c r="BT57" s="6" t="str">
        <x:v>5</x:v>
      </x:c>
      <x:c r="BU57" s="6" t="str">
        <x:v>198.0</x:v>
      </x:c>
      <x:c r="BV57" s="6" t="str">
        <x:v>2</x:v>
      </x:c>
      <x:c r="BW57" s="9" t="str">
        <x:v>operational_snapshot_annual_totals_may_differ</x:v>
      </x:c>
      <x:c r="BX57" s="9" t="str">
        <x:v>official_live_dashboard_snapshot_subject_to_revision</x:v>
      </x:c>
      <x:c r="BY57" s="9" t="str">
        <x:v>https://tbdashboard.sitb.id/ss_data_tbc03so_2024_provinsi_bulanan_list.php</x:v>
      </x:c>
      <x:c r="BZ57" s="6" t="n">
        <x:v>46246.610671296294</x:v>
      </x:c>
    </x:row>
    <x:row r="58" ht="18" customHeight="1">
      <x:c r="A58" s="6" t="str">
        <x:v>13</x:v>
      </x:c>
      <x:c r="B58" s="6" t="str">
        <x:v>SUMATERA BARAT</x:v>
      </x:c>
      <x:c r="C58" s="6" t="str">
        <x:v>2024</x:v>
      </x:c>
      <x:c r="D58" s="6" t="str">
        <x:v>9</x:v>
      </x:c>
      <x:c r="E58" s="6" t="str">
        <x:v>2024-09</x:v>
      </x:c>
      <x:c r="F58" s="6" t="str">
        <x:v>1093</x:v>
      </x:c>
      <x:c r="G58" s="6" t="str">
        <x:v>325</x:v>
      </x:c>
      <x:c r="H58" s="6" t="str">
        <x:v>609</x:v>
      </x:c>
      <x:c r="I58" s="6" t="str">
        <x:v>93</x:v>
      </x:c>
      <x:c r="J58" s="6" t="str">
        <x:v>53</x:v>
      </x:c>
      <x:c r="K58" s="6" t="str">
        <x:v>5</x:v>
      </x:c>
      <x:c r="L58" s="6" t="str">
        <x:v>1</x:v>
      </x:c>
      <x:c r="M58" s="6" t="str">
        <x:v>7</x:v>
      </x:c>
      <x:c r="N58" s="6" t="str">
        <x:v>1093</x:v>
      </x:c>
      <x:c r="O58" s="6" t="str">
        <x:v>0</x:v>
      </x:c>
      <x:c r="P58" s="10" t="n">
        <x:f>F58-M58</x:f>
        <x:v>1086</x:v>
      </x:c>
      <x:c r="Q58" s="11" t="n">
        <x:f>IFERROR(M58/F58,"")</x:f>
        <x:v>0.006404391582799634</x:v>
      </x:c>
      <x:c r="R58" s="10" t="n">
        <x:f>G58+H58</x:f>
        <x:v>934</x:v>
      </x:c>
      <x:c r="S58" s="11" t="n">
        <x:f>IFERROR(R58/F58,"")</x:f>
        <x:v>0.8545288197621226</x:v>
      </x:c>
      <x:c r="T58" s="11" t="n">
        <x:f>IFERROR(R58/P58,"")</x:f>
        <x:v>0.860036832412523</x:v>
      </x:c>
      <x:c r="U58" s="10" t="n">
        <x:f>I58+J58+K58</x:f>
        <x:v>151</x:v>
      </x:c>
      <x:c r="V58" s="11" t="n">
        <x:f>IFERROR(U58/P58,"")</x:f>
        <x:v>0.13904235727440148</x:v>
      </x:c>
      <x:c r="W58" s="9" t="str">
        <x:v>mature_le_5pct_pending</x:v>
      </x:c>
      <x:c r="X58" s="12" t="n">
        <x:f>IFERROR(F58/Z58*100000,"")</x:f>
        <x:v>18.727939412631507</x:v>
      </x:c>
      <x:c r="Y58" s="13" t="n">
        <x:f>LN(Z58)</x:f>
        <x:v>15.579590458085587</x:v>
      </x:c>
      <x:c r="Z58" s="6" t="str">
        <x:v>5836200</x:v>
      </x:c>
      <x:c r="AA58" s="6" t="str">
        <x:v>139.0</x:v>
      </x:c>
      <x:c r="AB58" s="9" t="str">
        <x:v>2024-06-30</x:v>
      </x:c>
      <x:c r="AC58" s="8" t="str">
        <x:v>72.8</x:v>
      </x:c>
      <x:c r="AD58" s="9" t="str">
        <x:v>2024 (Susenas)</x:v>
      </x:c>
      <x:c r="AE58" s="8" t="str">
        <x:v>5.97</x:v>
      </x:c>
      <x:c r="AF58" s="9" t="str">
        <x:v>Maret 2024 (Susenas)</x:v>
      </x:c>
      <x:c r="AG58" s="6" t="str">
        <x:v>24.811099920811856</x:v>
      </x:c>
      <x:c r="AH58" s="8" t="str">
        <x:v>86.50797545414329</x:v>
      </x:c>
      <x:c r="AI58" s="6" t="str">
        <x:v>283.900405750363</x:v>
      </x:c>
      <x:c r="AJ58" s="6" t="str">
        <x:v>0.8344766018146359</x:v>
      </x:c>
      <x:c r="AK58" s="8" t="str">
        <x:v>3.5239271920782365</x:v>
      </x:c>
      <x:c r="AL58" s="6" t="str">
        <x:v>3.849783161683228</x:v>
      </x:c>
      <x:c r="AM58" s="6" t="str">
        <x:v>3.9779432627294726</x:v>
      </x:c>
      <x:c r="AN58" s="6" t="str">
        <x:v>3.783884538830312</x:v>
      </x:c>
      <x:c r="AO58" s="6" t="str">
        <x:v>-0.6707881583046316</x:v>
      </x:c>
      <x:c r="AP58" s="8" t="str">
        <x:v>-0.8093917882804036</x:v>
      </x:c>
      <x:c r="AQ58" s="6" t="str">
        <x:v>0.788546952801606</x:v>
      </x:c>
      <x:c r="AR58" s="6" t="str">
        <x:v>-0.7109217625971607</x:v>
      </x:c>
      <x:c r="AS58" s="6" t="str">
        <x:v>-0.2439221993586533</x:v>
      </x:c>
      <x:c r="AT58" s="6" t="str">
        <x:v>19.12658923093528</x:v>
      </x:c>
      <x:c r="AU58" s="8" t="str">
        <x:v>0.2067283117365716</x:v>
      </x:c>
      <x:c r="AV58" s="6" t="str">
        <x:v>1.6063988505139353</x:v>
      </x:c>
      <x:c r="AW58" s="6" t="str">
        <x:v>-1.27470023497632</x:v>
      </x:c>
      <x:c r="AX58" s="6" t="str">
        <x:v>0.1794756424247297</x:v>
      </x:c>
      <x:c r="AY58" s="6" t="str">
        <x:v>0</x:v>
      </x:c>
      <x:c r="AZ58" s="6" t="str">
        <x:v>1</x:v>
      </x:c>
      <x:c r="BA58" s="9" t="str">
        <x:v>grid_cells_within_BIG_polygon</x:v>
      </x:c>
      <x:c r="BB58" s="6" t="str">
        <x:v>9</x:v>
      </x:c>
      <x:c r="BC58" s="6" t="str">
        <x:v>5</x:v>
      </x:c>
      <x:c r="BD58" s="6" t="str">
        <x:v>5</x:v>
      </x:c>
      <x:c r="BE58" s="6" t="str">
        <x:v>1</x:v>
      </x:c>
      <x:c r="BF58" s="6" t="str">
        <x:v>1</x:v>
      </x:c>
      <x:c r="BG58" s="6" t="str">
        <x:v>3</x:v>
      </x:c>
      <x:c r="BH58" s="6" t="str">
        <x:v>0</x:v>
      </x:c>
      <x:c r="BI58" s="6" t="str">
        <x:v>0</x:v>
      </x:c>
      <x:c r="BJ58" s="6" t="str">
        <x:v>0</x:v>
      </x:c>
      <x:c r="BK58" s="6" t="str">
        <x:v>0</x:v>
      </x:c>
      <x:c r="BL58" s="6" t="str">
        <x:v>0</x:v>
      </x:c>
      <x:c r="BM58" s="6" t="str">
        <x:v>0</x:v>
      </x:c>
      <x:c r="BN58" s="6" t="str">
        <x:v>5</x:v>
      </x:c>
      <x:c r="BO58" s="6" t="str">
        <x:v>14.0</x:v>
      </x:c>
      <x:c r="BP58" s="6" t="str">
        <x:v>3</x:v>
      </x:c>
      <x:c r="BQ58" s="6" t="str">
        <x:v>12.0</x:v>
      </x:c>
      <x:c r="BR58" s="6" t="str">
        <x:v>2</x:v>
      </x:c>
      <x:c r="BS58" s="6" t="str">
        <x:v>25.0</x:v>
      </x:c>
      <x:c r="BT58" s="6" t="str">
        <x:v>5</x:v>
      </x:c>
      <x:c r="BU58" s="6" t="str">
        <x:v>120.0</x:v>
      </x:c>
      <x:c r="BV58" s="6" t="str">
        <x:v>1</x:v>
      </x:c>
      <x:c r="BW58" s="9" t="str">
        <x:v>operational_snapshot_annual_totals_may_differ</x:v>
      </x:c>
      <x:c r="BX58" s="9" t="str">
        <x:v>official_live_dashboard_snapshot_subject_to_revision</x:v>
      </x:c>
      <x:c r="BY58" s="9" t="str">
        <x:v>https://tbdashboard.sitb.id/ss_data_tbc03so_2024_provinsi_bulanan_list.php</x:v>
      </x:c>
      <x:c r="BZ58" s="6" t="n">
        <x:v>46246.610671296294</x:v>
      </x:c>
    </x:row>
    <x:row r="59" ht="18" customHeight="1">
      <x:c r="A59" s="6" t="str">
        <x:v>13</x:v>
      </x:c>
      <x:c r="B59" s="6" t="str">
        <x:v>SUMATERA BARAT</x:v>
      </x:c>
      <x:c r="C59" s="6" t="str">
        <x:v>2024</x:v>
      </x:c>
      <x:c r="D59" s="6" t="str">
        <x:v>10</x:v>
      </x:c>
      <x:c r="E59" s="6" t="str">
        <x:v>2024-10</x:v>
      </x:c>
      <x:c r="F59" s="6" t="str">
        <x:v>1270</x:v>
      </x:c>
      <x:c r="G59" s="6" t="str">
        <x:v>403</x:v>
      </x:c>
      <x:c r="H59" s="6" t="str">
        <x:v>668</x:v>
      </x:c>
      <x:c r="I59" s="6" t="str">
        <x:v>114</x:v>
      </x:c>
      <x:c r="J59" s="6" t="str">
        <x:v>71</x:v>
      </x:c>
      <x:c r="K59" s="6" t="str">
        <x:v>4</x:v>
      </x:c>
      <x:c r="L59" s="6" t="str">
        <x:v>2</x:v>
      </x:c>
      <x:c r="M59" s="6" t="str">
        <x:v>8</x:v>
      </x:c>
      <x:c r="N59" s="6" t="str">
        <x:v>1270</x:v>
      </x:c>
      <x:c r="O59" s="6" t="str">
        <x:v>0</x:v>
      </x:c>
      <x:c r="P59" s="10" t="n">
        <x:f>F59-M59</x:f>
        <x:v>1262</x:v>
      </x:c>
      <x:c r="Q59" s="11" t="n">
        <x:f>IFERROR(M59/F59,"")</x:f>
        <x:v>0.006299212598425197</x:v>
      </x:c>
      <x:c r="R59" s="10" t="n">
        <x:f>G59+H59</x:f>
        <x:v>1071</x:v>
      </x:c>
      <x:c r="S59" s="11" t="n">
        <x:f>IFERROR(R59/F59,"")</x:f>
        <x:v>0.8433070866141732</x:v>
      </x:c>
      <x:c r="T59" s="11" t="n">
        <x:f>IFERROR(R59/P59,"")</x:f>
        <x:v>0.8486529318541997</x:v>
      </x:c>
      <x:c r="U59" s="10" t="n">
        <x:f>I59+J59+K59</x:f>
        <x:v>189</x:v>
      </x:c>
      <x:c r="V59" s="11" t="n">
        <x:f>IFERROR(U59/P59,"")</x:f>
        <x:v>0.14976228209191758</x:v>
      </x:c>
      <x:c r="W59" s="9" t="str">
        <x:v>mature_le_5pct_pending</x:v>
      </x:c>
      <x:c r="X59" s="12" t="n">
        <x:f>IFERROR(F59/Z59*100000,"")</x:f>
        <x:v>21.7607347246496</x:v>
      </x:c>
      <x:c r="Y59" s="13" t="n">
        <x:f>LN(Z59)</x:f>
        <x:v>15.579590458085587</x:v>
      </x:c>
      <x:c r="Z59" s="6" t="str">
        <x:v>5836200</x:v>
      </x:c>
      <x:c r="AA59" s="6" t="str">
        <x:v>139.0</x:v>
      </x:c>
      <x:c r="AB59" s="9" t="str">
        <x:v>2024-06-30</x:v>
      </x:c>
      <x:c r="AC59" s="8" t="str">
        <x:v>72.8</x:v>
      </x:c>
      <x:c r="AD59" s="9" t="str">
        <x:v>2024 (Susenas)</x:v>
      </x:c>
      <x:c r="AE59" s="8" t="str">
        <x:v>5.97</x:v>
      </x:c>
      <x:c r="AF59" s="9" t="str">
        <x:v>Maret 2024 (Susenas)</x:v>
      </x:c>
      <x:c r="AG59" s="6" t="str">
        <x:v>24.838873547404603</x:v>
      </x:c>
      <x:c r="AH59" s="8" t="str">
        <x:v>86.17905671669273</x:v>
      </x:c>
      <x:c r="AI59" s="6" t="str">
        <x:v>396.2812329794542</x:v>
      </x:c>
      <x:c r="AJ59" s="6" t="str">
        <x:v>0.8801742727278388</x:v>
      </x:c>
      <x:c r="AK59" s="8" t="str">
        <x:v>3.419094487607401</x:v>
      </x:c>
      <x:c r="AL59" s="6" t="str">
        <x:v>3.5239271920782365</x:v>
      </x:c>
      <x:c r="AM59" s="6" t="str">
        <x:v>3.849783161683228</x:v>
      </x:c>
      <x:c r="AN59" s="6" t="str">
        <x:v>3.5976016137896214</x:v>
      </x:c>
      <x:c r="AO59" s="6" t="str">
        <x:v>-1.7181030033943046</x:v>
      </x:c>
      <x:c r="AP59" s="8" t="str">
        <x:v>-1.4697968848454996</x:v>
      </x:c>
      <x:c r="AQ59" s="6" t="str">
        <x:v>-0.8093917882804036</x:v>
      </x:c>
      <x:c r="AR59" s="6" t="str">
        <x:v>0.788546952801606</x:v>
      </x:c>
      <x:c r="AS59" s="6" t="str">
        <x:v>-0.496880573441433</x:v>
      </x:c>
      <x:c r="AT59" s="6" t="str">
        <x:v>66.72390471199043</x:v>
      </x:c>
      <x:c r="AU59" s="8" t="str">
        <x:v>0.5073164463729354</x:v>
      </x:c>
      <x:c r="AV59" s="6" t="str">
        <x:v>0.2067283117365716</x:v>
      </x:c>
      <x:c r="AW59" s="6" t="str">
        <x:v>1.6063988505139353</x:v>
      </x:c>
      <x:c r="AX59" s="6" t="str">
        <x:v>0.7734812028744815</x:v>
      </x:c>
      <x:c r="AY59" s="6" t="str">
        <x:v>0</x:v>
      </x:c>
      <x:c r="AZ59" s="6" t="str">
        <x:v>1</x:v>
      </x:c>
      <x:c r="BA59" s="9" t="str">
        <x:v>grid_cells_within_BIG_polygon</x:v>
      </x:c>
      <x:c r="BB59" s="6" t="str">
        <x:v>9</x:v>
      </x:c>
      <x:c r="BC59" s="6" t="str">
        <x:v>13</x:v>
      </x:c>
      <x:c r="BD59" s="6" t="str">
        <x:v>13</x:v>
      </x:c>
      <x:c r="BE59" s="6" t="str">
        <x:v>4</x:v>
      </x:c>
      <x:c r="BF59" s="6" t="str">
        <x:v>2</x:v>
      </x:c>
      <x:c r="BG59" s="6" t="str">
        <x:v>1</x:v>
      </x:c>
      <x:c r="BH59" s="6" t="str">
        <x:v>0</x:v>
      </x:c>
      <x:c r="BI59" s="6" t="str">
        <x:v>4</x:v>
      </x:c>
      <x:c r="BJ59" s="6" t="str">
        <x:v>2</x:v>
      </x:c>
      <x:c r="BK59" s="6" t="str">
        <x:v>0</x:v>
      </x:c>
      <x:c r="BL59" s="6" t="str">
        <x:v>0</x:v>
      </x:c>
      <x:c r="BM59" s="6" t="str">
        <x:v>0</x:v>
      </x:c>
      <x:c r="BN59" s="6" t="str">
        <x:v>13</x:v>
      </x:c>
      <x:c r="BO59" s="6" t="str">
        <x:v>1.0</x:v>
      </x:c>
      <x:c r="BP59" s="6" t="str">
        <x:v>7</x:v>
      </x:c>
      <x:c r="BQ59" s="6" t="str">
        <x:v>0.0</x:v>
      </x:c>
      <x:c r="BR59" s="6" t="str">
        <x:v>6</x:v>
      </x:c>
      <x:c r="BS59" s="6" t="str">
        <x:v>48.0</x:v>
      </x:c>
      <x:c r="BT59" s="6" t="str">
        <x:v>13</x:v>
      </x:c>
      <x:c r="BU59" s="6" t="str">
        <x:v>3061.0</x:v>
      </x:c>
      <x:c r="BV59" s="6" t="str">
        <x:v>4</x:v>
      </x:c>
      <x:c r="BW59" s="9" t="str">
        <x:v>operational_snapshot_annual_totals_may_differ</x:v>
      </x:c>
      <x:c r="BX59" s="9" t="str">
        <x:v>official_live_dashboard_snapshot_subject_to_revision</x:v>
      </x:c>
      <x:c r="BY59" s="9" t="str">
        <x:v>https://tbdashboard.sitb.id/ss_data_tbc03so_2024_provinsi_bulanan_list.php</x:v>
      </x:c>
      <x:c r="BZ59" s="6" t="n">
        <x:v>46246.610671296294</x:v>
      </x:c>
    </x:row>
    <x:row r="60" ht="18" customHeight="1">
      <x:c r="A60" s="6" t="str">
        <x:v>13</x:v>
      </x:c>
      <x:c r="B60" s="6" t="str">
        <x:v>SUMATERA BARAT</x:v>
      </x:c>
      <x:c r="C60" s="6" t="str">
        <x:v>2024</x:v>
      </x:c>
      <x:c r="D60" s="6" t="str">
        <x:v>11</x:v>
      </x:c>
      <x:c r="E60" s="6" t="str">
        <x:v>2024-11</x:v>
      </x:c>
      <x:c r="F60" s="6" t="str">
        <x:v>1296</x:v>
      </x:c>
      <x:c r="G60" s="6" t="str">
        <x:v>415</x:v>
      </x:c>
      <x:c r="H60" s="6" t="str">
        <x:v>673</x:v>
      </x:c>
      <x:c r="I60" s="6" t="str">
        <x:v>110</x:v>
      </x:c>
      <x:c r="J60" s="6" t="str">
        <x:v>83</x:v>
      </x:c>
      <x:c r="K60" s="6" t="str">
        <x:v>0</x:v>
      </x:c>
      <x:c r="L60" s="6" t="str">
        <x:v>4</x:v>
      </x:c>
      <x:c r="M60" s="6" t="str">
        <x:v>11</x:v>
      </x:c>
      <x:c r="N60" s="6" t="str">
        <x:v>1296</x:v>
      </x:c>
      <x:c r="O60" s="6" t="str">
        <x:v>0</x:v>
      </x:c>
      <x:c r="P60" s="10" t="n">
        <x:f>F60-M60</x:f>
        <x:v>1285</x:v>
      </x:c>
      <x:c r="Q60" s="11" t="n">
        <x:f>IFERROR(M60/F60,"")</x:f>
        <x:v>0.008487654320987654</x:v>
      </x:c>
      <x:c r="R60" s="10" t="n">
        <x:f>G60+H60</x:f>
        <x:v>1088</x:v>
      </x:c>
      <x:c r="S60" s="11" t="n">
        <x:f>IFERROR(R60/F60,"")</x:f>
        <x:v>0.8395061728395061</x:v>
      </x:c>
      <x:c r="T60" s="11" t="n">
        <x:f>IFERROR(R60/P60,"")</x:f>
        <x:v>0.846692607003891</x:v>
      </x:c>
      <x:c r="U60" s="10" t="n">
        <x:f>I60+J60+K60</x:f>
        <x:v>193</x:v>
      </x:c>
      <x:c r="V60" s="11" t="n">
        <x:f>IFERROR(U60/P60,"")</x:f>
        <x:v>0.15019455252918287</x:v>
      </x:c>
      <x:c r="W60" s="9" t="str">
        <x:v>mature_le_5pct_pending</x:v>
      </x:c>
      <x:c r="X60" s="12" t="n">
        <x:f>IFERROR(F60/Z60*100000,"")</x:f>
        <x:v>22.206230081217228</x:v>
      </x:c>
      <x:c r="Y60" s="13" t="n">
        <x:f>LN(Z60)</x:f>
        <x:v>15.579590458085587</x:v>
      </x:c>
      <x:c r="Z60" s="6" t="str">
        <x:v>5836200</x:v>
      </x:c>
      <x:c r="AA60" s="6" t="str">
        <x:v>139.0</x:v>
      </x:c>
      <x:c r="AB60" s="9" t="str">
        <x:v>2024-06-30</x:v>
      </x:c>
      <x:c r="AC60" s="8" t="str">
        <x:v>72.8</x:v>
      </x:c>
      <x:c r="AD60" s="9" t="str">
        <x:v>2024 (Susenas)</x:v>
      </x:c>
      <x:c r="AE60" s="8" t="str">
        <x:v>5.97</x:v>
      </x:c>
      <x:c r="AF60" s="9" t="str">
        <x:v>Maret 2024 (Susenas)</x:v>
      </x:c>
      <x:c r="AG60" s="6" t="str">
        <x:v>24.3888799787438</x:v>
      </x:c>
      <x:c r="AH60" s="8" t="str">
        <x:v>87.64461200865429</x:v>
      </x:c>
      <x:c r="AI60" s="6" t="str">
        <x:v>378.4349914021816</x:v>
      </x:c>
      <x:c r="AJ60" s="6" t="str">
        <x:v>0.5009979732364158</x:v>
      </x:c>
      <x:c r="AK60" s="8" t="str">
        <x:v>1.977785309998632</x:v>
      </x:c>
      <x:c r="AL60" s="6" t="str">
        <x:v>3.419094487607401</x:v>
      </x:c>
      <x:c r="AM60" s="6" t="str">
        <x:v>3.5239271920782365</x:v>
      </x:c>
      <x:c r="AN60" s="6" t="str">
        <x:v>2.9736023298947565</x:v>
      </x:c>
      <x:c r="AO60" s="6" t="str">
        <x:v>-1.263883693313943</x:v>
      </x:c>
      <x:c r="AP60" s="8" t="str">
        <x:v>-1.6300706981460376</x:v>
      </x:c>
      <x:c r="AQ60" s="6" t="str">
        <x:v>-1.4697968848454996</x:v>
      </x:c>
      <x:c r="AR60" s="6" t="str">
        <x:v>-0.8093917882804036</x:v>
      </x:c>
      <x:c r="AS60" s="6" t="str">
        <x:v>-1.3030864570906475</x:v>
      </x:c>
      <x:c r="AT60" s="6" t="str">
        <x:v>-32.62534501897807</x:v>
      </x:c>
      <x:c r="AU60" s="8" t="str">
        <x:v>-0.2375446230096812</x:v>
      </x:c>
      <x:c r="AV60" s="6" t="str">
        <x:v>0.5073164463729354</x:v>
      </x:c>
      <x:c r="AW60" s="6" t="str">
        <x:v>0.2067283117365716</x:v>
      </x:c>
      <x:c r="AX60" s="6" t="str">
        <x:v>0.1588333783666093</x:v>
      </x:c>
      <x:c r="AY60" s="6" t="str">
        <x:v>0</x:v>
      </x:c>
      <x:c r="AZ60" s="6" t="str">
        <x:v>1</x:v>
      </x:c>
      <x:c r="BA60" s="9" t="str">
        <x:v>grid_cells_within_BIG_polygon</x:v>
      </x:c>
      <x:c r="BB60" s="6" t="str">
        <x:v>9</x:v>
      </x:c>
      <x:c r="BC60" s="6" t="str">
        <x:v>6</x:v>
      </x:c>
      <x:c r="BD60" s="6" t="str">
        <x:v>6</x:v>
      </x:c>
      <x:c r="BE60" s="6" t="str">
        <x:v>6</x:v>
      </x:c>
      <x:c r="BF60" s="6" t="str">
        <x:v>0</x:v>
      </x:c>
      <x:c r="BG60" s="6" t="str">
        <x:v>0</x:v>
      </x:c>
      <x:c r="BH60" s="6" t="str">
        <x:v>0</x:v>
      </x:c>
      <x:c r="BI60" s="6" t="str">
        <x:v>0</x:v>
      </x:c>
      <x:c r="BJ60" s="6" t="str">
        <x:v>0</x:v>
      </x:c>
      <x:c r="BK60" s="6" t="str">
        <x:v>0</x:v>
      </x:c>
      <x:c r="BL60" s="6" t="str">
        <x:v>0</x:v>
      </x:c>
      <x:c r="BM60" s="6" t="str">
        <x:v>0</x:v>
      </x:c>
      <x:c r="BN60" s="6" t="str">
        <x:v>6</x:v>
      </x:c>
      <x:c r="BO60" s="6" t="str">
        <x:v>2.0</x:v>
      </x:c>
      <x:c r="BP60" s="6" t="str">
        <x:v>5</x:v>
      </x:c>
      <x:c r="BQ60" s="6" t="str">
        <x:v>0.0</x:v>
      </x:c>
      <x:c r="BR60" s="6" t="str">
        <x:v>5</x:v>
      </x:c>
      <x:c r="BS60" s="6" t="str">
        <x:v>31.0</x:v>
      </x:c>
      <x:c r="BT60" s="6" t="str">
        <x:v>6</x:v>
      </x:c>
      <x:c r="BU60" s="6" t="str">
        <x:v>2256.0</x:v>
      </x:c>
      <x:c r="BV60" s="6" t="str">
        <x:v>6</x:v>
      </x:c>
      <x:c r="BW60" s="9" t="str">
        <x:v>operational_snapshot_annual_totals_may_differ</x:v>
      </x:c>
      <x:c r="BX60" s="9" t="str">
        <x:v>official_live_dashboard_snapshot_subject_to_revision</x:v>
      </x:c>
      <x:c r="BY60" s="9" t="str">
        <x:v>https://tbdashboard.sitb.id/ss_data_tbc03so_2024_provinsi_bulanan_list.php</x:v>
      </x:c>
      <x:c r="BZ60" s="6" t="n">
        <x:v>46246.610671296294</x:v>
      </x:c>
    </x:row>
    <x:row r="61" ht="18" customHeight="1">
      <x:c r="A61" s="6" t="str">
        <x:v>13</x:v>
      </x:c>
      <x:c r="B61" s="6" t="str">
        <x:v>SUMATERA BARAT</x:v>
      </x:c>
      <x:c r="C61" s="6" t="str">
        <x:v>2024</x:v>
      </x:c>
      <x:c r="D61" s="6" t="str">
        <x:v>12</x:v>
      </x:c>
      <x:c r="E61" s="6" t="str">
        <x:v>2024-12</x:v>
      </x:c>
      <x:c r="F61" s="6" t="str">
        <x:v>1044</x:v>
      </x:c>
      <x:c r="G61" s="6" t="str">
        <x:v>297</x:v>
      </x:c>
      <x:c r="H61" s="6" t="str">
        <x:v>588</x:v>
      </x:c>
      <x:c r="I61" s="6" t="str">
        <x:v>92</x:v>
      </x:c>
      <x:c r="J61" s="6" t="str">
        <x:v>60</x:v>
      </x:c>
      <x:c r="K61" s="6" t="str">
        <x:v>1</x:v>
      </x:c>
      <x:c r="L61" s="6" t="str">
        <x:v>0</x:v>
      </x:c>
      <x:c r="M61" s="6" t="str">
        <x:v>6</x:v>
      </x:c>
      <x:c r="N61" s="6" t="str">
        <x:v>1044</x:v>
      </x:c>
      <x:c r="O61" s="6" t="str">
        <x:v>0</x:v>
      </x:c>
      <x:c r="P61" s="10" t="n">
        <x:f>F61-M61</x:f>
        <x:v>1038</x:v>
      </x:c>
      <x:c r="Q61" s="11" t="n">
        <x:f>IFERROR(M61/F61,"")</x:f>
        <x:v>0.005747126436781609</x:v>
      </x:c>
      <x:c r="R61" s="10" t="n">
        <x:f>G61+H61</x:f>
        <x:v>885</x:v>
      </x:c>
      <x:c r="S61" s="11" t="n">
        <x:f>IFERROR(R61/F61,"")</x:f>
        <x:v>0.8477011494252874</x:v>
      </x:c>
      <x:c r="T61" s="11" t="n">
        <x:f>IFERROR(R61/P61,"")</x:f>
        <x:v>0.8526011560693642</x:v>
      </x:c>
      <x:c r="U61" s="10" t="n">
        <x:f>I61+J61+K61</x:f>
        <x:v>153</x:v>
      </x:c>
      <x:c r="V61" s="11" t="n">
        <x:f>IFERROR(U61/P61,"")</x:f>
        <x:v>0.14739884393063585</x:v>
      </x:c>
      <x:c r="W61" s="9" t="str">
        <x:v>mature_le_5pct_pending</x:v>
      </x:c>
      <x:c r="X61" s="12" t="n">
        <x:f>IFERROR(F61/Z61*100000,"")</x:f>
        <x:v>17.888352009869436</x:v>
      </x:c>
      <x:c r="Y61" s="13" t="n">
        <x:f>LN(Z61)</x:f>
        <x:v>15.579590458085587</x:v>
      </x:c>
      <x:c r="Z61" s="6" t="str">
        <x:v>5836200</x:v>
      </x:c>
      <x:c r="AA61" s="6" t="str">
        <x:v>139.0</x:v>
      </x:c>
      <x:c r="AB61" s="9" t="str">
        <x:v>2024-06-30</x:v>
      </x:c>
      <x:c r="AC61" s="8" t="str">
        <x:v>72.8</x:v>
      </x:c>
      <x:c r="AD61" s="9" t="str">
        <x:v>2024 (Susenas)</x:v>
      </x:c>
      <x:c r="AE61" s="8" t="str">
        <x:v>5.97</x:v>
      </x:c>
      <x:c r="AF61" s="9" t="str">
        <x:v>Maret 2024 (Susenas)</x:v>
      </x:c>
      <x:c r="AG61" s="6" t="str">
        <x:v>24.04887350497839</x:v>
      </x:c>
      <x:c r="AH61" s="8" t="str">
        <x:v>87.23463849524691</x:v>
      </x:c>
      <x:c r="AI61" s="6" t="str">
        <x:v>297.0869727042523</x:v>
      </x:c>
      <x:c r="AJ61" s="6" t="str">
        <x:v>0.3296949571773204</x:v>
      </x:c>
      <x:c r="AK61" s="8" t="str">
        <x:v>1.2420673069871082</x:v>
      </x:c>
      <x:c r="AL61" s="6" t="str">
        <x:v>1.977785309998632</x:v>
      </x:c>
      <x:c r="AM61" s="6" t="str">
        <x:v>3.419094487607401</x:v>
      </x:c>
      <x:c r="AN61" s="6" t="str">
        <x:v>2.212982368197714</x:v>
      </x:c>
      <x:c r="AO61" s="6" t="str">
        <x:v>-1.3697133118438387</x:v>
      </x:c>
      <x:c r="AP61" s="8" t="str">
        <x:v>-1.1071836512262585</x:v>
      </x:c>
      <x:c r="AQ61" s="6" t="str">
        <x:v>-1.6300706981460376</x:v>
      </x:c>
      <x:c r="AR61" s="6" t="str">
        <x:v>-1.4697968848454996</x:v>
      </x:c>
      <x:c r="AS61" s="6" t="str">
        <x:v>-1.4023504114059324</x:v>
      </x:c>
      <x:c r="AT61" s="6" t="str">
        <x:v>-41.67361548528635</x:v>
      </x:c>
      <x:c r="AU61" s="8" t="str">
        <x:v>-0.5694877629868695</x:v>
      </x:c>
      <x:c r="AV61" s="6" t="str">
        <x:v>-0.2375446230096812</x:v>
      </x:c>
      <x:c r="AW61" s="6" t="str">
        <x:v>0.5073164463729354</x:v>
      </x:c>
      <x:c r="AX61" s="6" t="str">
        <x:v>-0.099905313207871</x:v>
      </x:c>
      <x:c r="AY61" s="6" t="str">
        <x:v>0</x:v>
      </x:c>
      <x:c r="AZ61" s="6" t="str">
        <x:v>1</x:v>
      </x:c>
      <x:c r="BA61" s="9" t="str">
        <x:v>grid_cells_within_BIG_polygon</x:v>
      </x:c>
      <x:c r="BB61" s="6" t="str">
        <x:v>9</x:v>
      </x:c>
      <x:c r="BC61" s="6" t="str">
        <x:v>3</x:v>
      </x:c>
      <x:c r="BD61" s="6" t="str">
        <x:v>3</x:v>
      </x:c>
      <x:c r="BE61" s="6" t="str">
        <x:v>2</x:v>
      </x:c>
      <x:c r="BF61" s="6" t="str">
        <x:v>0</x:v>
      </x:c>
      <x:c r="BG61" s="6" t="str">
        <x:v>1</x:v>
      </x:c>
      <x:c r="BH61" s="6" t="str">
        <x:v>0</x:v>
      </x:c>
      <x:c r="BI61" s="6" t="str">
        <x:v>0</x:v>
      </x:c>
      <x:c r="BJ61" s="6" t="str">
        <x:v>0</x:v>
      </x:c>
      <x:c r="BK61" s="6" t="str">
        <x:v>0</x:v>
      </x:c>
      <x:c r="BL61" s="6" t="str">
        <x:v>0</x:v>
      </x:c>
      <x:c r="BM61" s="6" t="str">
        <x:v>0</x:v>
      </x:c>
      <x:c r="BN61" s="6" t="str">
        <x:v>3</x:v>
      </x:c>
      <x:c r="BO61" s="6" t="str">
        <x:v>0.0</x:v>
      </x:c>
      <x:c r="BP61" s="6" t="str">
        <x:v>2</x:v>
      </x:c>
      <x:c r="BQ61" s="6" t="str">
        <x:v>0.0</x:v>
      </x:c>
      <x:c r="BR61" s="6" t="str">
        <x:v>2</x:v>
      </x:c>
      <x:c r="BS61" s="6" t="str">
        <x:v>17.0</x:v>
      </x:c>
      <x:c r="BT61" s="6" t="str">
        <x:v>3</x:v>
      </x:c>
      <x:c r="BU61" s="6" t="str">
        <x:v>2257.0</x:v>
      </x:c>
      <x:c r="BV61" s="6" t="str">
        <x:v>2</x:v>
      </x:c>
      <x:c r="BW61" s="9" t="str">
        <x:v>operational_snapshot_annual_totals_may_differ</x:v>
      </x:c>
      <x:c r="BX61" s="9" t="str">
        <x:v>official_live_dashboard_snapshot_subject_to_revision</x:v>
      </x:c>
      <x:c r="BY61" s="9" t="str">
        <x:v>https://tbdashboard.sitb.id/ss_data_tbc03so_2024_provinsi_bulanan_list.php</x:v>
      </x:c>
      <x:c r="BZ61" s="6" t="n">
        <x:v>46246.610671296294</x:v>
      </x:c>
    </x:row>
    <x:row r="62" ht="18" customHeight="1">
      <x:c r="A62" s="6" t="str">
        <x:v>13</x:v>
      </x:c>
      <x:c r="B62" s="6" t="str">
        <x:v>SUMATERA BARAT</x:v>
      </x:c>
      <x:c r="C62" s="6" t="str">
        <x:v>2025</x:v>
      </x:c>
      <x:c r="D62" s="6" t="str">
        <x:v>1</x:v>
      </x:c>
      <x:c r="E62" s="6" t="str">
        <x:v>2025-01</x:v>
      </x:c>
      <x:c r="F62" s="6" t="str">
        <x:v>1202</x:v>
      </x:c>
      <x:c r="G62" s="6" t="str">
        <x:v>382</x:v>
      </x:c>
      <x:c r="H62" s="6" t="str">
        <x:v>573</x:v>
      </x:c>
      <x:c r="I62" s="6" t="str">
        <x:v>88</x:v>
      </x:c>
      <x:c r="J62" s="6" t="str">
        <x:v>71</x:v>
      </x:c>
      <x:c r="K62" s="6" t="str">
        <x:v>6</x:v>
      </x:c>
      <x:c r="L62" s="6" t="str">
        <x:v>5</x:v>
      </x:c>
      <x:c r="M62" s="6" t="str">
        <x:v>77</x:v>
      </x:c>
      <x:c r="N62" s="6" t="str">
        <x:v>1202</x:v>
      </x:c>
      <x:c r="O62" s="6" t="str">
        <x:v>0</x:v>
      </x:c>
      <x:c r="P62" s="10" t="n">
        <x:f>F62-M62</x:f>
        <x:v>1125</x:v>
      </x:c>
      <x:c r="Q62" s="11" t="n">
        <x:f>IFERROR(M62/F62,"")</x:f>
        <x:v>0.06405990016638935</x:v>
      </x:c>
      <x:c r="R62" s="10" t="n">
        <x:f>G62+H62</x:f>
        <x:v>955</x:v>
      </x:c>
      <x:c r="S62" s="11" t="n">
        <x:f>IFERROR(R62/F62,"")</x:f>
        <x:v>0.7945091514143094</x:v>
      </x:c>
      <x:c r="T62" s="11" t="n">
        <x:f>IFERROR(R62/P62,"")</x:f>
        <x:v>0.8488888888888889</x:v>
      </x:c>
      <x:c r="U62" s="10" t="n">
        <x:f>I62+J62+K62</x:f>
        <x:v>165</x:v>
      </x:c>
      <x:c r="V62" s="11" t="n">
        <x:f>IFERROR(U62/P62,"")</x:f>
        <x:v>0.14666666666666667</x:v>
      </x:c>
      <x:c r="W62" s="9" t="str">
        <x:v>provisional_gt_5pct_pending</x:v>
      </x:c>
      <x:c r="X62" s="12" t="n">
        <x:f>IFERROR(F62/Z62*100000,"")</x:f>
        <x:v>20.323622406709163</x:v>
      </x:c>
      <x:c r="Y62" s="13" t="n">
        <x:f>LN(Z62)</x:f>
        <x:v>15.59288370519625</x:v>
      </x:c>
      <x:c r="Z62" s="6" t="str">
        <x:v>5914300</x:v>
      </x:c>
      <x:c r="AA62" s="6" t="str">
        <x:v>140.0</x:v>
      </x:c>
      <x:c r="AB62" s="9" t="str">
        <x:v>2025-06-30</x:v>
      </x:c>
      <x:c r="AC62" s="8" t="str">
        <x:v>74.59</x:v>
      </x:c>
      <x:c r="AD62" s="9" t="str">
        <x:v>2025 (Susenas)</x:v>
      </x:c>
      <x:c r="AE62" s="8" t="str">
        <x:v>5.35</x:v>
      </x:c>
      <x:c r="AF62" s="9" t="str">
        <x:v>Maret 2025 (Susenas)</x:v>
      </x:c>
      <x:c r="AG62" s="6" t="str">
        <x:v>24.022212747923785</x:v>
      </x:c>
      <x:c r="AH62" s="8" t="str">
        <x:v>87.97680072532145</x:v>
      </x:c>
      <x:c r="AI62" s="6" t="str">
        <x:v>480.98798925937695</x:v>
      </x:c>
      <x:c r="AJ62" s="6" t="str">
        <x:v>0.1401854034828602</x:v>
      </x:c>
      <x:c r="AK62" s="8" t="str">
        <x:v>0.3890989503319169</x:v>
      </x:c>
      <x:c r="AL62" s="6" t="str">
        <x:v>1.2420673069871082</x:v>
      </x:c>
      <x:c r="AM62" s="6" t="str">
        <x:v>1.977785309998632</x:v>
      </x:c>
      <x:c r="AN62" s="6" t="str">
        <x:v>1.2029838557725523</x:v>
      </x:c>
      <x:c r="AO62" s="6" t="str">
        <x:v>0.641863552571138</x:v>
      </x:c>
      <x:c r="AP62" s="8" t="str">
        <x:v>0.4884096202904612</x:v>
      </x:c>
      <x:c r="AQ62" s="6" t="str">
        <x:v>-1.1071836512262585</x:v>
      </x:c>
      <x:c r="AR62" s="6" t="str">
        <x:v>-1.6300706981460376</x:v>
      </x:c>
      <x:c r="AS62" s="6" t="str">
        <x:v>-0.7496149096939454</x:v>
      </x:c>
      <x:c r="AT62" s="6" t="str">
        <x:v>226.48614080000584</x:v>
      </x:c>
      <x:c r="AU62" s="8" t="str">
        <x:v>2.626768225416559</x:v>
      </x:c>
      <x:c r="AV62" s="6" t="str">
        <x:v>-0.5694877629868695</x:v>
      </x:c>
      <x:c r="AW62" s="6" t="str">
        <x:v>-0.2375446230096812</x:v>
      </x:c>
      <x:c r="AX62" s="6" t="str">
        <x:v>0.6065786131400035</x:v>
      </x:c>
      <x:c r="AY62" s="6" t="str">
        <x:v>1</x:v>
      </x:c>
      <x:c r="AZ62" s="6" t="str">
        <x:v>0</x:v>
      </x:c>
      <x:c r="BA62" s="9" t="str">
        <x:v>grid_cells_within_BIG_polygon</x:v>
      </x:c>
      <x:c r="BB62" s="6" t="str">
        <x:v>9</x:v>
      </x:c>
      <x:c r="BC62" s="6" t="str">
        <x:v>3</x:v>
      </x:c>
      <x:c r="BD62" s="6" t="str">
        <x:v>3</x:v>
      </x:c>
      <x:c r="BE62" s="6" t="str">
        <x:v>2</x:v>
      </x:c>
      <x:c r="BF62" s="6" t="str">
        <x:v>0</x:v>
      </x:c>
      <x:c r="BG62" s="6" t="str">
        <x:v>1</x:v>
      </x:c>
      <x:c r="BH62" s="6" t="str">
        <x:v>0</x:v>
      </x:c>
      <x:c r="BI62" s="6" t="str">
        <x:v>0</x:v>
      </x:c>
      <x:c r="BJ62" s="6" t="str">
        <x:v>0</x:v>
      </x:c>
      <x:c r="BK62" s="6" t="str">
        <x:v>0</x:v>
      </x:c>
      <x:c r="BL62" s="6" t="str">
        <x:v>0</x:v>
      </x:c>
      <x:c r="BM62" s="6" t="str">
        <x:v>0</x:v>
      </x:c>
      <x:c r="BN62" s="6" t="str">
        <x:v>3</x:v>
      </x:c>
      <x:c r="BO62" s="6" t="str">
        <x:v>1.0</x:v>
      </x:c>
      <x:c r="BP62" s="6" t="str">
        <x:v>3</x:v>
      </x:c>
      <x:c r="BQ62" s="6" t="str">
        <x:v>1.0</x:v>
      </x:c>
      <x:c r="BR62" s="6" t="str">
        <x:v>3</x:v>
      </x:c>
      <x:c r="BS62" s="6" t="str">
        <x:v>0.0</x:v>
      </x:c>
      <x:c r="BT62" s="6" t="str">
        <x:v>3</x:v>
      </x:c>
      <x:c r="BU62" s="6" t="str">
        <x:v>3100.0</x:v>
      </x:c>
      <x:c r="BV62" s="6" t="str">
        <x:v>2</x:v>
      </x:c>
      <x:c r="BW62" s="9" t="str">
        <x:v>operational_snapshot_annual_totals_may_differ</x:v>
      </x:c>
      <x:c r="BX62" s="9" t="str">
        <x:v>official_live_dashboard_snapshot_subject_to_revision</x:v>
      </x:c>
      <x:c r="BY62" s="9" t="str">
        <x:v>https://tbdashboard.sitb.id/ss_data_tbc03so_2025_provinsi_bulanan_list.php</x:v>
      </x:c>
      <x:c r="BZ62" s="6" t="n">
        <x:v>46246.610671296294</x:v>
      </x:c>
    </x:row>
    <x:row r="63" ht="18" customHeight="1">
      <x:c r="A63" s="6" t="str">
        <x:v>13</x:v>
      </x:c>
      <x:c r="B63" s="6" t="str">
        <x:v>SUMATERA BARAT</x:v>
      </x:c>
      <x:c r="C63" s="6" t="str">
        <x:v>2025</x:v>
      </x:c>
      <x:c r="D63" s="6" t="str">
        <x:v>2</x:v>
      </x:c>
      <x:c r="E63" s="6" t="str">
        <x:v>2025-02</x:v>
      </x:c>
      <x:c r="F63" s="6" t="str">
        <x:v>1493</x:v>
      </x:c>
      <x:c r="G63" s="6" t="str">
        <x:v>448</x:v>
      </x:c>
      <x:c r="H63" s="6" t="str">
        <x:v>742</x:v>
      </x:c>
      <x:c r="I63" s="6" t="str">
        <x:v>123</x:v>
      </x:c>
      <x:c r="J63" s="6" t="str">
        <x:v>68</x:v>
      </x:c>
      <x:c r="K63" s="6" t="str">
        <x:v>6</x:v>
      </x:c>
      <x:c r="L63" s="6" t="str">
        <x:v>6</x:v>
      </x:c>
      <x:c r="M63" s="6" t="str">
        <x:v>100</x:v>
      </x:c>
      <x:c r="N63" s="6" t="str">
        <x:v>1493</x:v>
      </x:c>
      <x:c r="O63" s="6" t="str">
        <x:v>0</x:v>
      </x:c>
      <x:c r="P63" s="10" t="n">
        <x:f>F63-M63</x:f>
        <x:v>1393</x:v>
      </x:c>
      <x:c r="Q63" s="11" t="n">
        <x:f>IFERROR(M63/F63,"")</x:f>
        <x:v>0.06697923643670463</x:v>
      </x:c>
      <x:c r="R63" s="10" t="n">
        <x:f>G63+H63</x:f>
        <x:v>1190</x:v>
      </x:c>
      <x:c r="S63" s="11" t="n">
        <x:f>IFERROR(R63/F63,"")</x:f>
        <x:v>0.797052913596785</x:v>
      </x:c>
      <x:c r="T63" s="11" t="n">
        <x:f>IFERROR(R63/P63,"")</x:f>
        <x:v>0.8542713567839196</x:v>
      </x:c>
      <x:c r="U63" s="10" t="n">
        <x:f>I63+J63+K63</x:f>
        <x:v>197</x:v>
      </x:c>
      <x:c r="V63" s="11" t="n">
        <x:f>IFERROR(U63/P63,"")</x:f>
        <x:v>0.1414213926776741</x:v>
      </x:c>
      <x:c r="W63" s="9" t="str">
        <x:v>provisional_gt_5pct_pending</x:v>
      </x:c>
      <x:c r="X63" s="12" t="n">
        <x:f>IFERROR(F63/Z63*100000,"")</x:f>
        <x:v>25.243900377052228</x:v>
      </x:c>
      <x:c r="Y63" s="13" t="n">
        <x:f>LN(Z63)</x:f>
        <x:v>15.59288370519625</x:v>
      </x:c>
      <x:c r="Z63" s="6" t="str">
        <x:v>5914300</x:v>
      </x:c>
      <x:c r="AA63" s="6" t="str">
        <x:v>140.0</x:v>
      </x:c>
      <x:c r="AB63" s="9" t="str">
        <x:v>2025-06-30</x:v>
      </x:c>
      <x:c r="AC63" s="8" t="str">
        <x:v>74.59</x:v>
      </x:c>
      <x:c r="AD63" s="9" t="str">
        <x:v>2025 (Susenas)</x:v>
      </x:c>
      <x:c r="AE63" s="8" t="str">
        <x:v>5.35</x:v>
      </x:c>
      <x:c r="AF63" s="9" t="str">
        <x:v>Maret 2025 (Susenas)</x:v>
      </x:c>
      <x:c r="AG63" s="6" t="str">
        <x:v>24.499988828521754</x:v>
      </x:c>
      <x:c r="AH63" s="8" t="str">
        <x:v>85.9334865729379</x:v>
      </x:c>
      <x:c r="AI63" s="6" t="str">
        <x:v>256.13921233721425</x:v>
      </x:c>
      <x:c r="AJ63" s="6" t="str">
        <x:v>0.3741069993913406</x:v>
      </x:c>
      <x:c r="AK63" s="8" t="str">
        <x:v>0.9661616614276598</x:v>
      </x:c>
      <x:c r="AL63" s="6" t="str">
        <x:v>0.3890989503319169</x:v>
      </x:c>
      <x:c r="AM63" s="6" t="str">
        <x:v>1.2420673069871082</x:v>
      </x:c>
      <x:c r="AN63" s="6" t="str">
        <x:v>0.8657759729155616</x:v>
      </x:c>
      <x:c r="AO63" s="6" t="str">
        <x:v>-0.6246676072224062</x:v>
      </x:c>
      <x:c r="AP63" s="8" t="str">
        <x:v>-0.4642631364866889</x:v>
      </x:c>
      <x:c r="AQ63" s="6" t="str">
        <x:v>0.4884096202904612</x:v>
      </x:c>
      <x:c r="AR63" s="6" t="str">
        <x:v>-1.1071836512262585</x:v>
      </x:c>
      <x:c r="AS63" s="6" t="str">
        <x:v>-0.3610123891408292</x:v>
      </x:c>
      <x:c r="AT63" s="6" t="str">
        <x:v>24.113202325253525</x:v>
      </x:c>
      <x:c r="AU63" s="8" t="str">
        <x:v>0.2883225075810923</x:v>
      </x:c>
      <x:c r="AV63" s="6" t="str">
        <x:v>2.626768225416559</x:v>
      </x:c>
      <x:c r="AW63" s="6" t="str">
        <x:v>-0.5694877629868695</x:v>
      </x:c>
      <x:c r="AX63" s="6" t="str">
        <x:v>0.7818676566702614</x:v>
      </x:c>
      <x:c r="AY63" s="6" t="str">
        <x:v>0</x:v>
      </x:c>
      <x:c r="AZ63" s="6" t="str">
        <x:v>0</x:v>
      </x:c>
      <x:c r="BA63" s="9" t="str">
        <x:v>grid_cells_within_BIG_polygon</x:v>
      </x:c>
      <x:c r="BB63" s="6" t="str">
        <x:v>9</x:v>
      </x:c>
      <x:c r="BC63" s="6" t="str">
        <x:v>10</x:v>
      </x:c>
      <x:c r="BD63" s="6" t="str">
        <x:v>10</x:v>
      </x:c>
      <x:c r="BE63" s="6" t="str">
        <x:v>9</x:v>
      </x:c>
      <x:c r="BF63" s="6" t="str">
        <x:v>0</x:v>
      </x:c>
      <x:c r="BG63" s="6" t="str">
        <x:v>0</x:v>
      </x:c>
      <x:c r="BH63" s="6" t="str">
        <x:v>0</x:v>
      </x:c>
      <x:c r="BI63" s="6" t="str">
        <x:v>1</x:v>
      </x:c>
      <x:c r="BJ63" s="6" t="str">
        <x:v>0</x:v>
      </x:c>
      <x:c r="BK63" s="6" t="str">
        <x:v>0</x:v>
      </x:c>
      <x:c r="BL63" s="6" t="str">
        <x:v>0</x:v>
      </x:c>
      <x:c r="BM63" s="6" t="str">
        <x:v>0</x:v>
      </x:c>
      <x:c r="BN63" s="6" t="str">
        <x:v>10</x:v>
      </x:c>
      <x:c r="BO63" s="6" t="str">
        <x:v>0.0</x:v>
      </x:c>
      <x:c r="BP63" s="6" t="str">
        <x:v>10</x:v>
      </x:c>
      <x:c r="BQ63" s="6" t="str">
        <x:v>0.0</x:v>
      </x:c>
      <x:c r="BR63" s="6" t="str">
        <x:v>10</x:v>
      </x:c>
      <x:c r="BS63" s="6" t="str">
        <x:v>10.0</x:v>
      </x:c>
      <x:c r="BT63" s="6" t="str">
        <x:v>10</x:v>
      </x:c>
      <x:c r="BU63" s="6" t="str">
        <x:v>1574.0</x:v>
      </x:c>
      <x:c r="BV63" s="6" t="str">
        <x:v>8</x:v>
      </x:c>
      <x:c r="BW63" s="9" t="str">
        <x:v>operational_snapshot_annual_totals_may_differ</x:v>
      </x:c>
      <x:c r="BX63" s="9" t="str">
        <x:v>official_live_dashboard_snapshot_subject_to_revision</x:v>
      </x:c>
      <x:c r="BY63" s="9" t="str">
        <x:v>https://tbdashboard.sitb.id/ss_data_tbc03so_2025_provinsi_bulanan_list.php</x:v>
      </x:c>
      <x:c r="BZ63" s="6" t="n">
        <x:v>46246.610671296294</x:v>
      </x:c>
    </x:row>
    <x:row r="64" ht="18" customHeight="1">
      <x:c r="A64" s="6" t="str">
        <x:v>13</x:v>
      </x:c>
      <x:c r="B64" s="6" t="str">
        <x:v>SUMATERA BARAT</x:v>
      </x:c>
      <x:c r="C64" s="6" t="str">
        <x:v>2025</x:v>
      </x:c>
      <x:c r="D64" s="6" t="str">
        <x:v>3</x:v>
      </x:c>
      <x:c r="E64" s="6" t="str">
        <x:v>2025-03</x:v>
      </x:c>
      <x:c r="F64" s="6" t="str">
        <x:v>1203</x:v>
      </x:c>
      <x:c r="G64" s="6" t="str">
        <x:v>342</x:v>
      </x:c>
      <x:c r="H64" s="6" t="str">
        <x:v>597</x:v>
      </x:c>
      <x:c r="I64" s="6" t="str">
        <x:v>85</x:v>
      </x:c>
      <x:c r="J64" s="6" t="str">
        <x:v>68</x:v>
      </x:c>
      <x:c r="K64" s="6" t="str">
        <x:v>4</x:v>
      </x:c>
      <x:c r="L64" s="6" t="str">
        <x:v>0</x:v>
      </x:c>
      <x:c r="M64" s="6" t="str">
        <x:v>107</x:v>
      </x:c>
      <x:c r="N64" s="6" t="str">
        <x:v>1203</x:v>
      </x:c>
      <x:c r="O64" s="6" t="str">
        <x:v>0</x:v>
      </x:c>
      <x:c r="P64" s="10" t="n">
        <x:f>F64-M64</x:f>
        <x:v>1096</x:v>
      </x:c>
      <x:c r="Q64" s="11" t="n">
        <x:f>IFERROR(M64/F64,"")</x:f>
        <x:v>0.0889443059019119</x:v>
      </x:c>
      <x:c r="R64" s="10" t="n">
        <x:f>G64+H64</x:f>
        <x:v>939</x:v>
      </x:c>
      <x:c r="S64" s="11" t="n">
        <x:f>IFERROR(R64/F64,"")</x:f>
        <x:v>0.7805486284289277</x:v>
      </x:c>
      <x:c r="T64" s="11" t="n">
        <x:f>IFERROR(R64/P64,"")</x:f>
        <x:v>0.8567518248175182</x:v>
      </x:c>
      <x:c r="U64" s="10" t="n">
        <x:f>I64+J64+K64</x:f>
        <x:v>157</x:v>
      </x:c>
      <x:c r="V64" s="11" t="n">
        <x:f>IFERROR(U64/P64,"")</x:f>
        <x:v>0.14324817518248176</x:v>
      </x:c>
      <x:c r="W64" s="9" t="str">
        <x:v>provisional_gt_5pct_pending</x:v>
      </x:c>
      <x:c r="X64" s="12" t="n">
        <x:f>IFERROR(F64/Z64*100000,"")</x:f>
        <x:v>20.340530578428556</x:v>
      </x:c>
      <x:c r="Y64" s="13" t="n">
        <x:f>LN(Z64)</x:f>
        <x:v>15.59288370519625</x:v>
      </x:c>
      <x:c r="Z64" s="6" t="str">
        <x:v>5914300</x:v>
      </x:c>
      <x:c r="AA64" s="6" t="str">
        <x:v>140.0</x:v>
      </x:c>
      <x:c r="AB64" s="9" t="str">
        <x:v>2025-06-30</x:v>
      </x:c>
      <x:c r="AC64" s="8" t="str">
        <x:v>74.59</x:v>
      </x:c>
      <x:c r="AD64" s="9" t="str">
        <x:v>2025 (Susenas)</x:v>
      </x:c>
      <x:c r="AE64" s="8" t="str">
        <x:v>5.35</x:v>
      </x:c>
      <x:c r="AF64" s="9" t="str">
        <x:v>Maret 2025 (Susenas)</x:v>
      </x:c>
      <x:c r="AG64" s="6" t="str">
        <x:v>24.38109886299532</x:v>
      </x:c>
      <x:c r="AH64" s="8" t="str">
        <x:v>88.07903175260397</x:v>
      </x:c>
      <x:c r="AI64" s="6" t="str">
        <x:v>424.6291841513817</x:v>
      </x:c>
      <x:c r="AJ64" s="6" t="str">
        <x:v>0.0750319632281844</x:v>
      </x:c>
      <x:c r="AK64" s="8" t="str">
        <x:v>0.1851053332023488</x:v>
      </x:c>
      <x:c r="AL64" s="6" t="str">
        <x:v>0.9661616614276598</x:v>
      </x:c>
      <x:c r="AM64" s="6" t="str">
        <x:v>0.3890989503319169</x:v>
      </x:c>
      <x:c r="AN64" s="6" t="str">
        <x:v>0.5134553149873086</x:v>
      </x:c>
      <x:c r="AO64" s="6" t="str">
        <x:v>1.0251199816760703</x:v>
      </x:c>
      <x:c r="AP64" s="8" t="str">
        <x:v>0.9865125915592932</x:v>
      </x:c>
      <x:c r="AQ64" s="6" t="str">
        <x:v>-0.4642631364866889</x:v>
      </x:c>
      <x:c r="AR64" s="6" t="str">
        <x:v>0.4884096202904612</x:v>
      </x:c>
      <x:c r="AS64" s="6" t="str">
        <x:v>0.3368863584543546</x:v>
      </x:c>
      <x:c r="AT64" s="6" t="str">
        <x:v>135.89689557742747</x:v>
      </x:c>
      <x:c r="AU64" s="8" t="str">
        <x:v>1.4841665369995305</x:v>
      </x:c>
      <x:c r="AV64" s="6" t="str">
        <x:v>0.2883225075810923</x:v>
      </x:c>
      <x:c r="AW64" s="6" t="str">
        <x:v>2.626768225416559</x:v>
      </x:c>
      <x:c r="AX64" s="6" t="str">
        <x:v>1.4664190899990617</x:v>
      </x:c>
      <x:c r="AY64" s="6" t="str">
        <x:v>1</x:v>
      </x:c>
      <x:c r="AZ64" s="6" t="str">
        <x:v>0</x:v>
      </x:c>
      <x:c r="BA64" s="9" t="str">
        <x:v>grid_cells_within_BIG_polygon</x:v>
      </x:c>
      <x:c r="BB64" s="6" t="str">
        <x:v>9</x:v>
      </x:c>
      <x:c r="BC64" s="6" t="str">
        <x:v>5</x:v>
      </x:c>
      <x:c r="BD64" s="6" t="str">
        <x:v>5</x:v>
      </x:c>
      <x:c r="BE64" s="6" t="str">
        <x:v>3</x:v>
      </x:c>
      <x:c r="BF64" s="6" t="str">
        <x:v>0</x:v>
      </x:c>
      <x:c r="BG64" s="6" t="str">
        <x:v>2</x:v>
      </x:c>
      <x:c r="BH64" s="6" t="str">
        <x:v>0</x:v>
      </x:c>
      <x:c r="BI64" s="6" t="str">
        <x:v>0</x:v>
      </x:c>
      <x:c r="BJ64" s="6" t="str">
        <x:v>0</x:v>
      </x:c>
      <x:c r="BK64" s="6" t="str">
        <x:v>0</x:v>
      </x:c>
      <x:c r="BL64" s="6" t="str">
        <x:v>0</x:v>
      </x:c>
      <x:c r="BM64" s="6" t="str">
        <x:v>0</x:v>
      </x:c>
      <x:c r="BN64" s="6" t="str">
        <x:v>5</x:v>
      </x:c>
      <x:c r="BO64" s="6" t="str">
        <x:v>0.0</x:v>
      </x:c>
      <x:c r="BP64" s="6" t="str">
        <x:v>5</x:v>
      </x:c>
      <x:c r="BQ64" s="6" t="str">
        <x:v>1.0</x:v>
      </x:c>
      <x:c r="BR64" s="6" t="str">
        <x:v>5</x:v>
      </x:c>
      <x:c r="BS64" s="6" t="str">
        <x:v>22.0</x:v>
      </x:c>
      <x:c r="BT64" s="6" t="str">
        <x:v>5</x:v>
      </x:c>
      <x:c r="BU64" s="6" t="str">
        <x:v>903.0</x:v>
      </x:c>
      <x:c r="BV64" s="6" t="str">
        <x:v>3</x:v>
      </x:c>
      <x:c r="BW64" s="9" t="str">
        <x:v>operational_snapshot_annual_totals_may_differ</x:v>
      </x:c>
      <x:c r="BX64" s="9" t="str">
        <x:v>official_live_dashboard_snapshot_subject_to_revision</x:v>
      </x:c>
      <x:c r="BY64" s="9" t="str">
        <x:v>https://tbdashboard.sitb.id/ss_data_tbc03so_2025_provinsi_bulanan_list.php</x:v>
      </x:c>
      <x:c r="BZ64" s="6" t="n">
        <x:v>46246.610671296294</x:v>
      </x:c>
    </x:row>
    <x:row r="65" ht="18" customHeight="1">
      <x:c r="A65" s="6" t="str">
        <x:v>13</x:v>
      </x:c>
      <x:c r="B65" s="6" t="str">
        <x:v>SUMATERA BARAT</x:v>
      </x:c>
      <x:c r="C65" s="6" t="str">
        <x:v>2025</x:v>
      </x:c>
      <x:c r="D65" s="6" t="str">
        <x:v>4</x:v>
      </x:c>
      <x:c r="E65" s="6" t="str">
        <x:v>2025-04</x:v>
      </x:c>
      <x:c r="F65" s="6" t="str">
        <x:v>1140</x:v>
      </x:c>
      <x:c r="G65" s="6" t="str">
        <x:v>371</x:v>
      </x:c>
      <x:c r="H65" s="6" t="str">
        <x:v>494</x:v>
      </x:c>
      <x:c r="I65" s="6" t="str">
        <x:v>86</x:v>
      </x:c>
      <x:c r="J65" s="6" t="str">
        <x:v>66</x:v>
      </x:c>
      <x:c r="K65" s="6" t="str">
        <x:v>1</x:v>
      </x:c>
      <x:c r="L65" s="6" t="str">
        <x:v>1</x:v>
      </x:c>
      <x:c r="M65" s="6" t="str">
        <x:v>121</x:v>
      </x:c>
      <x:c r="N65" s="6" t="str">
        <x:v>1140</x:v>
      </x:c>
      <x:c r="O65" s="6" t="str">
        <x:v>0</x:v>
      </x:c>
      <x:c r="P65" s="10" t="n">
        <x:f>F65-M65</x:f>
        <x:v>1019</x:v>
      </x:c>
      <x:c r="Q65" s="11" t="n">
        <x:f>IFERROR(M65/F65,"")</x:f>
        <x:v>0.10614035087719298</x:v>
      </x:c>
      <x:c r="R65" s="10" t="n">
        <x:f>G65+H65</x:f>
        <x:v>865</x:v>
      </x:c>
      <x:c r="S65" s="11" t="n">
        <x:f>IFERROR(R65/F65,"")</x:f>
        <x:v>0.7587719298245614</x:v>
      </x:c>
      <x:c r="T65" s="11" t="n">
        <x:f>IFERROR(R65/P65,"")</x:f>
        <x:v>0.8488714425907753</x:v>
      </x:c>
      <x:c r="U65" s="10" t="n">
        <x:f>I65+J65+K65</x:f>
        <x:v>153</x:v>
      </x:c>
      <x:c r="V65" s="11" t="n">
        <x:f>IFERROR(U65/P65,"")</x:f>
        <x:v>0.15014720314033367</x:v>
      </x:c>
      <x:c r="W65" s="9" t="str">
        <x:v>provisional_gt_5pct_pending</x:v>
      </x:c>
      <x:c r="X65" s="12" t="n">
        <x:f>IFERROR(F65/Z65*100000,"")</x:f>
        <x:v>19.27531576010686</x:v>
      </x:c>
      <x:c r="Y65" s="13" t="n">
        <x:f>LN(Z65)</x:f>
        <x:v>15.59288370519625</x:v>
      </x:c>
      <x:c r="Z65" s="6" t="str">
        <x:v>5914300</x:v>
      </x:c>
      <x:c r="AA65" s="6" t="str">
        <x:v>140.0</x:v>
      </x:c>
      <x:c r="AB65" s="9" t="str">
        <x:v>2025-06-30</x:v>
      </x:c>
      <x:c r="AC65" s="8" t="str">
        <x:v>74.59</x:v>
      </x:c>
      <x:c r="AD65" s="9" t="str">
        <x:v>2025 (Susenas)</x:v>
      </x:c>
      <x:c r="AE65" s="8" t="str">
        <x:v>5.35</x:v>
      </x:c>
      <x:c r="AF65" s="9" t="str">
        <x:v>Maret 2025 (Susenas)</x:v>
      </x:c>
      <x:c r="AG65" s="6" t="str">
        <x:v>24.484429135743863</x:v>
      </x:c>
      <x:c r="AH65" s="8" t="str">
        <x:v>87.16350125549357</x:v>
      </x:c>
      <x:c r="AI65" s="6" t="str">
        <x:v>307.9013006666532</x:v>
      </x:c>
      <x:c r="AJ65" s="6" t="str">
        <x:v>-0.0150096414816189</x:v>
      </x:c>
      <x:c r="AK65" s="8" t="str">
        <x:v>-0.0392033066916762</x:v>
      </x:c>
      <x:c r="AL65" s="6" t="str">
        <x:v>0.1851053332023488</x:v>
      </x:c>
      <x:c r="AM65" s="6" t="str">
        <x:v>0.9661616614276598</x:v>
      </x:c>
      <x:c r="AN65" s="6" t="str">
        <x:v>0.3706878959794441</x:v>
      </x:c>
      <x:c r="AO65" s="6" t="str">
        <x:v>-1.0059961324281232</x:v>
      </x:c>
      <x:c r="AP65" s="8" t="str">
        <x:v>-1.252010977117286</x:v>
      </x:c>
      <x:c r="AQ65" s="6" t="str">
        <x:v>0.9865125915592932</x:v>
      </x:c>
      <x:c r="AR65" s="6" t="str">
        <x:v>-0.4642631364866889</x:v>
      </x:c>
      <x:c r="AS65" s="6" t="str">
        <x:v>-0.2432538406815611</x:v>
      </x:c>
      <x:c r="AT65" s="6" t="str">
        <x:v>20.65765800649035</x:v>
      </x:c>
      <x:c r="AU65" s="8" t="str">
        <x:v>0.2895417567904865</x:v>
      </x:c>
      <x:c r="AV65" s="6" t="str">
        <x:v>1.4841665369995305</x:v>
      </x:c>
      <x:c r="AW65" s="6" t="str">
        <x:v>0.2883225075810923</x:v>
      </x:c>
      <x:c r="AX65" s="6" t="str">
        <x:v>0.6873436004570371</x:v>
      </x:c>
      <x:c r="AY65" s="6" t="str">
        <x:v>0</x:v>
      </x:c>
      <x:c r="AZ65" s="6" t="str">
        <x:v>0</x:v>
      </x:c>
      <x:c r="BA65" s="9" t="str">
        <x:v>grid_cells_within_BIG_polygon</x:v>
      </x:c>
      <x:c r="BB65" s="6" t="str">
        <x:v>9</x:v>
      </x:c>
      <x:c r="BC65" s="6" t="str">
        <x:v>0</x:v>
      </x:c>
      <x:c r="BD65" s="6" t="str">
        <x:v>0</x:v>
      </x:c>
      <x:c r="BE65" s="6" t="str">
        <x:v>0</x:v>
      </x:c>
      <x:c r="BF65" s="6" t="str">
        <x:v>0</x:v>
      </x:c>
      <x:c r="BG65" s="6" t="str">
        <x:v>0</x:v>
      </x:c>
      <x:c r="BH65" s="6" t="str">
        <x:v>0</x:v>
      </x:c>
      <x:c r="BI65" s="6" t="str">
        <x:v>0</x:v>
      </x:c>
      <x:c r="BJ65" s="6" t="str">
        <x:v>0</x:v>
      </x:c>
      <x:c r="BK65" s="6" t="str">
        <x:v>0</x:v>
      </x:c>
      <x:c r="BL65" s="6" t="str">
        <x:v>0</x:v>
      </x:c>
      <x:c r="BM65" s="6" t="str">
        <x:v>0</x:v>
      </x:c>
      <x:c r="BN65" s="6" t="str">
        <x:v>0</x:v>
      </x:c>
      <x:c r="BO65" s="6" t="str"/>
      <x:c r="BP65" s="6" t="str">
        <x:v>0</x:v>
      </x:c>
      <x:c r="BQ65" s="6" t="str"/>
      <x:c r="BR65" s="6" t="str">
        <x:v>0</x:v>
      </x:c>
      <x:c r="BS65" s="6" t="str"/>
      <x:c r="BT65" s="6" t="str">
        <x:v>0</x:v>
      </x:c>
      <x:c r="BU65" s="6" t="str"/>
      <x:c r="BV65" s="6" t="str">
        <x:v>0</x:v>
      </x:c>
      <x:c r="BW65" s="9" t="str">
        <x:v>operational_snapshot_annual_totals_may_differ</x:v>
      </x:c>
      <x:c r="BX65" s="9" t="str">
        <x:v>official_live_dashboard_snapshot_subject_to_revision</x:v>
      </x:c>
      <x:c r="BY65" s="9" t="str">
        <x:v>https://tbdashboard.sitb.id/ss_data_tbc03so_2025_provinsi_bulanan_list.php</x:v>
      </x:c>
      <x:c r="BZ65" s="6" t="n">
        <x:v>46246.610671296294</x:v>
      </x:c>
    </x:row>
    <x:row r="66" ht="18" customHeight="1">
      <x:c r="A66" s="6" t="str">
        <x:v>13</x:v>
      </x:c>
      <x:c r="B66" s="6" t="str">
        <x:v>SUMATERA BARAT</x:v>
      </x:c>
      <x:c r="C66" s="6" t="str">
        <x:v>2025</x:v>
      </x:c>
      <x:c r="D66" s="6" t="str">
        <x:v>5</x:v>
      </x:c>
      <x:c r="E66" s="6" t="str">
        <x:v>2025-05</x:v>
      </x:c>
      <x:c r="F66" s="6" t="str">
        <x:v>1247</x:v>
      </x:c>
      <x:c r="G66" s="6" t="str">
        <x:v>393</x:v>
      </x:c>
      <x:c r="H66" s="6" t="str">
        <x:v>580</x:v>
      </x:c>
      <x:c r="I66" s="6" t="str">
        <x:v>89</x:v>
      </x:c>
      <x:c r="J66" s="6" t="str">
        <x:v>68</x:v>
      </x:c>
      <x:c r="K66" s="6" t="str">
        <x:v>2</x:v>
      </x:c>
      <x:c r="L66" s="6" t="str">
        <x:v>1</x:v>
      </x:c>
      <x:c r="M66" s="6" t="str">
        <x:v>114</x:v>
      </x:c>
      <x:c r="N66" s="6" t="str">
        <x:v>1247</x:v>
      </x:c>
      <x:c r="O66" s="6" t="str">
        <x:v>0</x:v>
      </x:c>
      <x:c r="P66" s="10" t="n">
        <x:f>F66-M66</x:f>
        <x:v>1133</x:v>
      </x:c>
      <x:c r="Q66" s="11" t="n">
        <x:f>IFERROR(M66/F66,"")</x:f>
        <x:v>0.09141940657578188</x:v>
      </x:c>
      <x:c r="R66" s="10" t="n">
        <x:f>G66+H66</x:f>
        <x:v>973</x:v>
      </x:c>
      <x:c r="S66" s="11" t="n">
        <x:f>IFERROR(R66/F66,"")</x:f>
        <x:v>0.7802726543704892</x:v>
      </x:c>
      <x:c r="T66" s="11" t="n">
        <x:f>IFERROR(R66/P66,"")</x:f>
        <x:v>0.8587819947043248</x:v>
      </x:c>
      <x:c r="U66" s="10" t="n">
        <x:f>I66+J66+K66</x:f>
        <x:v>159</x:v>
      </x:c>
      <x:c r="V66" s="11" t="n">
        <x:f>IFERROR(U66/P66,"")</x:f>
        <x:v>0.14033539276257723</x:v>
      </x:c>
      <x:c r="W66" s="9" t="str">
        <x:v>provisional_gt_5pct_pending</x:v>
      </x:c>
      <x:c r="X66" s="12" t="n">
        <x:f>IFERROR(F66/Z66*100000,"")</x:f>
        <x:v>21.084490134081804</x:v>
      </x:c>
      <x:c r="Y66" s="13" t="n">
        <x:f>LN(Z66)</x:f>
        <x:v>15.59288370519625</x:v>
      </x:c>
      <x:c r="Z66" s="6" t="str">
        <x:v>5914300</x:v>
      </x:c>
      <x:c r="AA66" s="6" t="str">
        <x:v>140.0</x:v>
      </x:c>
      <x:c r="AB66" s="9" t="str">
        <x:v>2025-06-30</x:v>
      </x:c>
      <x:c r="AC66" s="8" t="str">
        <x:v>74.59</x:v>
      </x:c>
      <x:c r="AD66" s="9" t="str">
        <x:v>2025 (Susenas)</x:v>
      </x:c>
      <x:c r="AE66" s="8" t="str">
        <x:v>5.35</x:v>
      </x:c>
      <x:c r="AF66" s="9" t="str">
        <x:v>Maret 2025 (Susenas)</x:v>
      </x:c>
      <x:c r="AG66" s="6" t="str">
        <x:v>24.86331702795388</x:v>
      </x:c>
      <x:c r="AH66" s="8" t="str">
        <x:v>86.70024413855901</x:v>
      </x:c>
      <x:c r="AI66" s="6" t="str">
        <x:v>200.53459340044296</x:v>
      </x:c>
      <x:c r="AJ66" s="6" t="str">
        <x:v>0.1375114789222351</x:v>
      </x:c>
      <x:c r="AK66" s="8" t="str">
        <x:v>0.4607821342639253</x:v>
      </x:c>
      <x:c r="AL66" s="6" t="str">
        <x:v>-0.0392033066916762</x:v>
      </x:c>
      <x:c r="AM66" s="6" t="str">
        <x:v>0.1851053332023488</x:v>
      </x:c>
      <x:c r="AN66" s="6" t="str">
        <x:v>0.2022280535915326</x:v>
      </x:c>
      <x:c r="AO66" s="6" t="str">
        <x:v>-0.8680720899893117</x:v>
      </x:c>
      <x:c r="AP66" s="8" t="str">
        <x:v>-0.7451393733153069</x:v>
      </x:c>
      <x:c r="AQ66" s="6" t="str">
        <x:v>-1.252010977117286</x:v>
      </x:c>
      <x:c r="AR66" s="6" t="str">
        <x:v>0.9865125915592932</x:v>
      </x:c>
      <x:c r="AS66" s="6" t="str">
        <x:v>-0.3368792529577671</x:v>
      </x:c>
      <x:c r="AT66" s="6" t="str">
        <x:v>-25.983523778984505</x:v>
      </x:c>
      <x:c r="AU66" s="8" t="str">
        <x:v>-0.2796930588095653</x:v>
      </x:c>
      <x:c r="AV66" s="6" t="str">
        <x:v>0.2895417567904865</x:v>
      </x:c>
      <x:c r="AW66" s="6" t="str">
        <x:v>1.4841665369995305</x:v>
      </x:c>
      <x:c r="AX66" s="6" t="str">
        <x:v>0.4980050783268179</x:v>
      </x:c>
      <x:c r="AY66" s="6" t="str">
        <x:v>0</x:v>
      </x:c>
      <x:c r="AZ66" s="6" t="str">
        <x:v>0</x:v>
      </x:c>
      <x:c r="BA66" s="9" t="str">
        <x:v>grid_cells_within_BIG_polygon</x:v>
      </x:c>
      <x:c r="BB66" s="6" t="str">
        <x:v>9</x:v>
      </x:c>
      <x:c r="BC66" s="6" t="str">
        <x:v>1</x:v>
      </x:c>
      <x:c r="BD66" s="6" t="str">
        <x:v>1</x:v>
      </x:c>
      <x:c r="BE66" s="6" t="str">
        <x:v>0</x:v>
      </x:c>
      <x:c r="BF66" s="6" t="str">
        <x:v>0</x:v>
      </x:c>
      <x:c r="BG66" s="6" t="str">
        <x:v>0</x:v>
      </x:c>
      <x:c r="BH66" s="6" t="str">
        <x:v>0</x:v>
      </x:c>
      <x:c r="BI66" s="6" t="str">
        <x:v>1</x:v>
      </x:c>
      <x:c r="BJ66" s="6" t="str">
        <x:v>0</x:v>
      </x:c>
      <x:c r="BK66" s="6" t="str">
        <x:v>0</x:v>
      </x:c>
      <x:c r="BL66" s="6" t="str">
        <x:v>0</x:v>
      </x:c>
      <x:c r="BM66" s="6" t="str">
        <x:v>0</x:v>
      </x:c>
      <x:c r="BN66" s="6" t="str">
        <x:v>1</x:v>
      </x:c>
      <x:c r="BO66" s="6" t="str">
        <x:v>0.0</x:v>
      </x:c>
      <x:c r="BP66" s="6" t="str">
        <x:v>1</x:v>
      </x:c>
      <x:c r="BQ66" s="6" t="str">
        <x:v>0.0</x:v>
      </x:c>
      <x:c r="BR66" s="6" t="str">
        <x:v>1</x:v>
      </x:c>
      <x:c r="BS66" s="6" t="str">
        <x:v>0.0</x:v>
      </x:c>
      <x:c r="BT66" s="6" t="str">
        <x:v>1</x:v>
      </x:c>
      <x:c r="BU66" s="6" t="str"/>
      <x:c r="BV66" s="6" t="str">
        <x:v>0</x:v>
      </x:c>
      <x:c r="BW66" s="9" t="str">
        <x:v>operational_snapshot_annual_totals_may_differ</x:v>
      </x:c>
      <x:c r="BX66" s="9" t="str">
        <x:v>official_live_dashboard_snapshot_subject_to_revision</x:v>
      </x:c>
      <x:c r="BY66" s="9" t="str">
        <x:v>https://tbdashboard.sitb.id/ss_data_tbc03so_2025_provinsi_bulanan_list.php</x:v>
      </x:c>
      <x:c r="BZ66" s="6" t="n">
        <x:v>46246.610671296294</x:v>
      </x:c>
    </x:row>
    <x:row r="67" ht="18" customHeight="1">
      <x:c r="A67" s="6" t="str">
        <x:v>13</x:v>
      </x:c>
      <x:c r="B67" s="6" t="str">
        <x:v>SUMATERA BARAT</x:v>
      </x:c>
      <x:c r="C67" s="6" t="str">
        <x:v>2025</x:v>
      </x:c>
      <x:c r="D67" s="6" t="str">
        <x:v>6</x:v>
      </x:c>
      <x:c r="E67" s="6" t="str">
        <x:v>2025-06</x:v>
      </x:c>
      <x:c r="F67" s="6" t="str">
        <x:v>1052</x:v>
      </x:c>
      <x:c r="G67" s="6" t="str">
        <x:v>275</x:v>
      </x:c>
      <x:c r="H67" s="6" t="str">
        <x:v>502</x:v>
      </x:c>
      <x:c r="I67" s="6" t="str">
        <x:v>77</x:v>
      </x:c>
      <x:c r="J67" s="6" t="str">
        <x:v>71</x:v>
      </x:c>
      <x:c r="K67" s="6" t="str">
        <x:v>1</x:v>
      </x:c>
      <x:c r="L67" s="6" t="str">
        <x:v>0</x:v>
      </x:c>
      <x:c r="M67" s="6" t="str">
        <x:v>126</x:v>
      </x:c>
      <x:c r="N67" s="6" t="str">
        <x:v>1052</x:v>
      </x:c>
      <x:c r="O67" s="6" t="str">
        <x:v>0</x:v>
      </x:c>
      <x:c r="P67" s="10" t="n">
        <x:f>F67-M67</x:f>
        <x:v>926</x:v>
      </x:c>
      <x:c r="Q67" s="11" t="n">
        <x:f>IFERROR(M67/F67,"")</x:f>
        <x:v>0.11977186311787072</x:v>
      </x:c>
      <x:c r="R67" s="10" t="n">
        <x:f>G67+H67</x:f>
        <x:v>777</x:v>
      </x:c>
      <x:c r="S67" s="11" t="n">
        <x:f>IFERROR(R67/F67,"")</x:f>
        <x:v>0.7385931558935361</x:v>
      </x:c>
      <x:c r="T67" s="11" t="n">
        <x:f>IFERROR(R67/P67,"")</x:f>
        <x:v>0.8390928725701944</x:v>
      </x:c>
      <x:c r="U67" s="10" t="n">
        <x:f>I67+J67+K67</x:f>
        <x:v>149</x:v>
      </x:c>
      <x:c r="V67" s="11" t="n">
        <x:f>IFERROR(U67/P67,"")</x:f>
        <x:v>0.16090712742980562</x:v>
      </x:c>
      <x:c r="W67" s="9" t="str">
        <x:v>provisional_gt_5pct_pending</x:v>
      </x:c>
      <x:c r="X67" s="12" t="n">
        <x:f>IFERROR(F67/Z67*100000,"")</x:f>
        <x:v>17.787396648800367</x:v>
      </x:c>
      <x:c r="Y67" s="13" t="n">
        <x:f>LN(Z67)</x:f>
        <x:v>15.59288370519625</x:v>
      </x:c>
      <x:c r="Z67" s="6" t="str">
        <x:v>5914300</x:v>
      </x:c>
      <x:c r="AA67" s="6" t="str">
        <x:v>140.0</x:v>
      </x:c>
      <x:c r="AB67" s="9" t="str">
        <x:v>2025-06-30</x:v>
      </x:c>
      <x:c r="AC67" s="8" t="str">
        <x:v>74.59</x:v>
      </x:c>
      <x:c r="AD67" s="9" t="str">
        <x:v>2025 (Susenas)</x:v>
      </x:c>
      <x:c r="AE67" s="8" t="str">
        <x:v>5.35</x:v>
      </x:c>
      <x:c r="AF67" s="9" t="str">
        <x:v>Maret 2025 (Susenas)</x:v>
      </x:c>
      <x:c r="AG67" s="6" t="str">
        <x:v>24.348865254090597</x:v>
      </x:c>
      <x:c r="AH67" s="8" t="str">
        <x:v>86.05577501797259</x:v>
      </x:c>
      <x:c r="AI67" s="6" t="str">
        <x:v>153.30053186315246</x:v>
      </x:c>
      <x:c r="AJ67" s="6" t="str">
        <x:v>0.0265832569454254</x:v>
      </x:c>
      <x:c r="AK67" s="8" t="str">
        <x:v>0.1044055977260791</x:v>
      </x:c>
      <x:c r="AL67" s="6" t="str">
        <x:v>0.4607821342639253</x:v>
      </x:c>
      <x:c r="AM67" s="6" t="str">
        <x:v>-0.0392033066916762</x:v>
      </x:c>
      <x:c r="AN67" s="6" t="str">
        <x:v>0.1753281417661093</x:v>
      </x:c>
      <x:c r="AO67" s="6" t="str">
        <x:v>-0.8598180937284781</x:v>
      </x:c>
      <x:c r="AP67" s="8" t="str">
        <x:v>-1.0913553831757776</x:v>
      </x:c>
      <x:c r="AQ67" s="6" t="str">
        <x:v>-0.7451393733153069</x:v>
      </x:c>
      <x:c r="AR67" s="6" t="str">
        <x:v>-1.252010977117286</x:v>
      </x:c>
      <x:c r="AS67" s="6" t="str">
        <x:v>-1.029501911202791</x:v>
      </x:c>
      <x:c r="AT67" s="6" t="str">
        <x:v>-57.86381464202023</x:v>
      </x:c>
      <x:c r="AU67" s="8" t="str">
        <x:v>-0.8148551504988066</x:v>
      </x:c>
      <x:c r="AV67" s="6" t="str">
        <x:v>-0.2796930588095653</x:v>
      </x:c>
      <x:c r="AW67" s="6" t="str">
        <x:v>0.2895417567904865</x:v>
      </x:c>
      <x:c r="AX67" s="6" t="str">
        <x:v>-0.2683354841726277</x:v>
      </x:c>
      <x:c r="AY67" s="6" t="str">
        <x:v>0</x:v>
      </x:c>
      <x:c r="AZ67" s="6" t="str">
        <x:v>0</x:v>
      </x:c>
      <x:c r="BA67" s="9" t="str">
        <x:v>grid_cells_within_BIG_polygon</x:v>
      </x:c>
      <x:c r="BB67" s="6" t="str">
        <x:v>9</x:v>
      </x:c>
      <x:c r="BC67" s="6" t="str">
        <x:v>6</x:v>
      </x:c>
      <x:c r="BD67" s="6" t="str">
        <x:v>6</x:v>
      </x:c>
      <x:c r="BE67" s="6" t="str">
        <x:v>1</x:v>
      </x:c>
      <x:c r="BF67" s="6" t="str">
        <x:v>0</x:v>
      </x:c>
      <x:c r="BG67" s="6" t="str">
        <x:v>0</x:v>
      </x:c>
      <x:c r="BH67" s="6" t="str">
        <x:v>0</x:v>
      </x:c>
      <x:c r="BI67" s="6" t="str">
        <x:v>5</x:v>
      </x:c>
      <x:c r="BJ67" s="6" t="str">
        <x:v>0</x:v>
      </x:c>
      <x:c r="BK67" s="6" t="str">
        <x:v>0</x:v>
      </x:c>
      <x:c r="BL67" s="6" t="str">
        <x:v>0</x:v>
      </x:c>
      <x:c r="BM67" s="6" t="str">
        <x:v>0</x:v>
      </x:c>
      <x:c r="BN67" s="6" t="str">
        <x:v>6</x:v>
      </x:c>
      <x:c r="BO67" s="6" t="str"/>
      <x:c r="BP67" s="6" t="str">
        <x:v>0</x:v>
      </x:c>
      <x:c r="BQ67" s="6" t="str"/>
      <x:c r="BR67" s="6" t="str">
        <x:v>0</x:v>
      </x:c>
      <x:c r="BS67" s="6" t="str">
        <x:v>0.0</x:v>
      </x:c>
      <x:c r="BT67" s="6" t="str">
        <x:v>6</x:v>
      </x:c>
      <x:c r="BU67" s="6" t="str">
        <x:v>817.0</x:v>
      </x:c>
      <x:c r="BV67" s="6" t="str">
        <x:v>1</x:v>
      </x:c>
      <x:c r="BW67" s="9" t="str">
        <x:v>operational_snapshot_annual_totals_may_differ</x:v>
      </x:c>
      <x:c r="BX67" s="9" t="str">
        <x:v>official_live_dashboard_snapshot_subject_to_revision</x:v>
      </x:c>
      <x:c r="BY67" s="9" t="str">
        <x:v>https://tbdashboard.sitb.id/ss_data_tbc03so_2025_provinsi_bulanan_list.php</x:v>
      </x:c>
      <x:c r="BZ67" s="6" t="n">
        <x:v>46246.610671296294</x:v>
      </x:c>
    </x:row>
    <x:row r="68" ht="18" customHeight="1">
      <x:c r="A68" s="6" t="str">
        <x:v>13</x:v>
      </x:c>
      <x:c r="B68" s="6" t="str">
        <x:v>SUMATERA BARAT</x:v>
      </x:c>
      <x:c r="C68" s="6" t="str">
        <x:v>2025</x:v>
      </x:c>
      <x:c r="D68" s="6" t="str">
        <x:v>7</x:v>
      </x:c>
      <x:c r="E68" s="6" t="str">
        <x:v>2025-07</x:v>
      </x:c>
      <x:c r="F68" s="6" t="str">
        <x:v>1251</x:v>
      </x:c>
      <x:c r="G68" s="6" t="str">
        <x:v>276</x:v>
      </x:c>
      <x:c r="H68" s="6" t="str">
        <x:v>678</x:v>
      </x:c>
      <x:c r="I68" s="6" t="str">
        <x:v>94</x:v>
      </x:c>
      <x:c r="J68" s="6" t="str">
        <x:v>73</x:v>
      </x:c>
      <x:c r="K68" s="6" t="str">
        <x:v>4</x:v>
      </x:c>
      <x:c r="L68" s="6" t="str">
        <x:v>2</x:v>
      </x:c>
      <x:c r="M68" s="6" t="str">
        <x:v>124</x:v>
      </x:c>
      <x:c r="N68" s="6" t="str">
        <x:v>1251</x:v>
      </x:c>
      <x:c r="O68" s="6" t="str">
        <x:v>0</x:v>
      </x:c>
      <x:c r="P68" s="10" t="n">
        <x:f>F68-M68</x:f>
        <x:v>1127</x:v>
      </x:c>
      <x:c r="Q68" s="11" t="n">
        <x:f>IFERROR(M68/F68,"")</x:f>
        <x:v>0.0991207034372502</x:v>
      </x:c>
      <x:c r="R68" s="10" t="n">
        <x:f>G68+H68</x:f>
        <x:v>954</x:v>
      </x:c>
      <x:c r="S68" s="11" t="n">
        <x:f>IFERROR(R68/F68,"")</x:f>
        <x:v>0.762589928057554</x:v>
      </x:c>
      <x:c r="T68" s="11" t="n">
        <x:f>IFERROR(R68/P68,"")</x:f>
        <x:v>0.8464951197870453</x:v>
      </x:c>
      <x:c r="U68" s="10" t="n">
        <x:f>I68+J68+K68</x:f>
        <x:v>171</x:v>
      </x:c>
      <x:c r="V68" s="11" t="n">
        <x:f>IFERROR(U68/P68,"")</x:f>
        <x:v>0.15173025732031944</x:v>
      </x:c>
      <x:c r="W68" s="9" t="str">
        <x:v>provisional_gt_5pct_pending</x:v>
      </x:c>
      <x:c r="X68" s="12" t="n">
        <x:f>IFERROR(F68/Z68*100000,"")</x:f>
        <x:v>21.15212282095937</x:v>
      </x:c>
      <x:c r="Y68" s="13" t="n">
        <x:f>LN(Z68)</x:f>
        <x:v>15.59288370519625</x:v>
      </x:c>
      <x:c r="Z68" s="6" t="str">
        <x:v>5914300</x:v>
      </x:c>
      <x:c r="AA68" s="6" t="str">
        <x:v>140.0</x:v>
      </x:c>
      <x:c r="AB68" s="9" t="str">
        <x:v>2025-06-30</x:v>
      </x:c>
      <x:c r="AC68" s="8" t="str">
        <x:v>74.59</x:v>
      </x:c>
      <x:c r="AD68" s="9" t="str">
        <x:v>2025 (Susenas)</x:v>
      </x:c>
      <x:c r="AE68" s="8" t="str">
        <x:v>5.35</x:v>
      </x:c>
      <x:c r="AF68" s="9" t="str">
        <x:v>Maret 2025 (Susenas)</x:v>
      </x:c>
      <x:c r="AG68" s="6" t="str">
        <x:v>24.34998087386667</x:v>
      </x:c>
      <x:c r="AH68" s="8" t="str">
        <x:v>86.3113537504589</x:v>
      </x:c>
      <x:c r="AI68" s="6" t="str">
        <x:v>194.92084338432616</x:v>
      </x:c>
      <x:c r="AJ68" s="6" t="str">
        <x:v>0.3632532310975342</x:v>
      </x:c>
      <x:c r="AK68" s="8" t="str">
        <x:v>1.4308096592048527</x:v>
      </x:c>
      <x:c r="AL68" s="6" t="str">
        <x:v>0.1044055977260791</x:v>
      </x:c>
      <x:c r="AM68" s="6" t="str">
        <x:v>0.4607821342639253</x:v>
      </x:c>
      <x:c r="AN68" s="6" t="str">
        <x:v>0.665332463731619</x:v>
      </x:c>
      <x:c r="AO68" s="6" t="str">
        <x:v>-0.4826074065663874</x:v>
      </x:c>
      <x:c r="AP68" s="8" t="str">
        <x:v>-0.4961096108851845</x:v>
      </x:c>
      <x:c r="AQ68" s="6" t="str">
        <x:v>-1.0913553831757776</x:v>
      </x:c>
      <x:c r="AR68" s="6" t="str">
        <x:v>-0.7451393733153069</x:v>
      </x:c>
      <x:c r="AS68" s="6" t="str">
        <x:v>-0.7775347891254237</x:v>
      </x:c>
      <x:c r="AT68" s="6" t="str">
        <x:v>-13.18757367780296</x:v>
      </x:c>
      <x:c r="AU68" s="8" t="str">
        <x:v>-0.1779983432643552</x:v>
      </x:c>
      <x:c r="AV68" s="6" t="str">
        <x:v>-0.8148551504988066</x:v>
      </x:c>
      <x:c r="AW68" s="6" t="str">
        <x:v>-0.2796930588095653</x:v>
      </x:c>
      <x:c r="AX68" s="6" t="str">
        <x:v>-0.4241821841909083</x:v>
      </x:c>
      <x:c r="AY68" s="6" t="str">
        <x:v>0</x:v>
      </x:c>
      <x:c r="AZ68" s="6" t="str">
        <x:v>1</x:v>
      </x:c>
      <x:c r="BA68" s="9" t="str">
        <x:v>grid_cells_within_BIG_polygon</x:v>
      </x:c>
      <x:c r="BB68" s="6" t="str">
        <x:v>9</x:v>
      </x:c>
      <x:c r="BC68" s="6" t="str">
        <x:v>16</x:v>
      </x:c>
      <x:c r="BD68" s="6" t="str">
        <x:v>16</x:v>
      </x:c>
      <x:c r="BE68" s="6" t="str">
        <x:v>0</x:v>
      </x:c>
      <x:c r="BF68" s="6" t="str">
        <x:v>0</x:v>
      </x:c>
      <x:c r="BG68" s="6" t="str">
        <x:v>1</x:v>
      </x:c>
      <x:c r="BH68" s="6" t="str">
        <x:v>0</x:v>
      </x:c>
      <x:c r="BI68" s="6" t="str">
        <x:v>15</x:v>
      </x:c>
      <x:c r="BJ68" s="6" t="str">
        <x:v>0</x:v>
      </x:c>
      <x:c r="BK68" s="6" t="str">
        <x:v>0</x:v>
      </x:c>
      <x:c r="BL68" s="6" t="str">
        <x:v>0</x:v>
      </x:c>
      <x:c r="BM68" s="6" t="str">
        <x:v>0</x:v>
      </x:c>
      <x:c r="BN68" s="6" t="str">
        <x:v>16</x:v>
      </x:c>
      <x:c r="BO68" s="6" t="str"/>
      <x:c r="BP68" s="6" t="str">
        <x:v>0</x:v>
      </x:c>
      <x:c r="BQ68" s="6" t="str">
        <x:v>1.0</x:v>
      </x:c>
      <x:c r="BR68" s="6" t="str">
        <x:v>1</x:v>
      </x:c>
      <x:c r="BS68" s="6" t="str">
        <x:v>12.0</x:v>
      </x:c>
      <x:c r="BT68" s="6" t="str">
        <x:v>16</x:v>
      </x:c>
      <x:c r="BU68" s="6" t="str"/>
      <x:c r="BV68" s="6" t="str">
        <x:v>0</x:v>
      </x:c>
      <x:c r="BW68" s="9" t="str">
        <x:v>operational_snapshot_annual_totals_may_differ</x:v>
      </x:c>
      <x:c r="BX68" s="9" t="str">
        <x:v>official_live_dashboard_snapshot_subject_to_revision</x:v>
      </x:c>
      <x:c r="BY68" s="9" t="str">
        <x:v>https://tbdashboard.sitb.id/ss_data_tbc03so_2025_provinsi_bulanan_list.php</x:v>
      </x:c>
      <x:c r="BZ68" s="6" t="n">
        <x:v>46246.610671296294</x:v>
      </x:c>
    </x:row>
    <x:row r="69" ht="18" customHeight="1">
      <x:c r="A69" s="6" t="str">
        <x:v>13</x:v>
      </x:c>
      <x:c r="B69" s="6" t="str">
        <x:v>SUMATERA BARAT</x:v>
      </x:c>
      <x:c r="C69" s="6" t="str">
        <x:v>2025</x:v>
      </x:c>
      <x:c r="D69" s="6" t="str">
        <x:v>8</x:v>
      </x:c>
      <x:c r="E69" s="6" t="str">
        <x:v>2025-08</x:v>
      </x:c>
      <x:c r="F69" s="6" t="str">
        <x:v>1417</x:v>
      </x:c>
      <x:c r="G69" s="6" t="str">
        <x:v>376</x:v>
      </x:c>
      <x:c r="H69" s="6" t="str">
        <x:v>700</x:v>
      </x:c>
      <x:c r="I69" s="6" t="str">
        <x:v>95</x:v>
      </x:c>
      <x:c r="J69" s="6" t="str">
        <x:v>82</x:v>
      </x:c>
      <x:c r="K69" s="6" t="str">
        <x:v>2</x:v>
      </x:c>
      <x:c r="L69" s="6" t="str">
        <x:v>0</x:v>
      </x:c>
      <x:c r="M69" s="6" t="str">
        <x:v>162</x:v>
      </x:c>
      <x:c r="N69" s="6" t="str">
        <x:v>1417</x:v>
      </x:c>
      <x:c r="O69" s="6" t="str">
        <x:v>0</x:v>
      </x:c>
      <x:c r="P69" s="10" t="n">
        <x:f>F69-M69</x:f>
        <x:v>1255</x:v>
      </x:c>
      <x:c r="Q69" s="11" t="n">
        <x:f>IFERROR(M69/F69,"")</x:f>
        <x:v>0.11432604093154553</x:v>
      </x:c>
      <x:c r="R69" s="10" t="n">
        <x:f>G69+H69</x:f>
        <x:v>1076</x:v>
      </x:c>
      <x:c r="S69" s="11" t="n">
        <x:f>IFERROR(R69/F69,"")</x:f>
        <x:v>0.7593507410021172</x:v>
      </x:c>
      <x:c r="T69" s="11" t="n">
        <x:f>IFERROR(R69/P69,"")</x:f>
        <x:v>0.8573705179282869</x:v>
      </x:c>
      <x:c r="U69" s="10" t="n">
        <x:f>I69+J69+K69</x:f>
        <x:v>179</x:v>
      </x:c>
      <x:c r="V69" s="11" t="n">
        <x:f>IFERROR(U69/P69,"")</x:f>
        <x:v>0.14262948207171314</x:v>
      </x:c>
      <x:c r="W69" s="9" t="str">
        <x:v>provisional_gt_5pct_pending</x:v>
      </x:c>
      <x:c r="X69" s="12" t="n">
        <x:f>IFERROR(F69/Z69*100000,"")</x:f>
        <x:v>23.958879326378437</x:v>
      </x:c>
      <x:c r="Y69" s="13" t="n">
        <x:f>LN(Z69)</x:f>
        <x:v>15.59288370519625</x:v>
      </x:c>
      <x:c r="Z69" s="6" t="str">
        <x:v>5914300</x:v>
      </x:c>
      <x:c r="AA69" s="6" t="str">
        <x:v>140.0</x:v>
      </x:c>
      <x:c r="AB69" s="9" t="str">
        <x:v>2025-06-30</x:v>
      </x:c>
      <x:c r="AC69" s="8" t="str">
        <x:v>74.59</x:v>
      </x:c>
      <x:c r="AD69" s="9" t="str">
        <x:v>2025 (Susenas)</x:v>
      </x:c>
      <x:c r="AE69" s="8" t="str">
        <x:v>5.35</x:v>
      </x:c>
      <x:c r="AF69" s="9" t="str">
        <x:v>Maret 2025 (Susenas)</x:v>
      </x:c>
      <x:c r="AG69" s="6" t="str">
        <x:v>24.02109573192358</x:v>
      </x:c>
      <x:c r="AH69" s="8" t="str">
        <x:v>85.04575665400952</x:v>
      </x:c>
      <x:c r="AI69" s="6" t="str">
        <x:v>280.2405640201062</x:v>
      </x:c>
      <x:c r="AJ69" s="6" t="str">
        <x:v>0.0318476118778576</x:v>
      </x:c>
      <x:c r="AK69" s="8" t="str">
        <x:v>0.1346229170225512</x:v>
      </x:c>
      <x:c r="AL69" s="6" t="str">
        <x:v>1.4308096592048527</x:v>
      </x:c>
      <x:c r="AM69" s="6" t="str">
        <x:v>0.1044055977260791</x:v>
      </x:c>
      <x:c r="AN69" s="6" t="str">
        <x:v>0.5566127246511611</x:v>
      </x:c>
      <x:c r="AO69" s="6" t="str">
        <x:v>-1.8110223304382915</x:v>
      </x:c>
      <x:c r="AP69" s="8" t="str">
        <x:v>-1.820328708002798</x:v>
      </x:c>
      <x:c r="AQ69" s="6" t="str">
        <x:v>-0.4961096108851845</x:v>
      </x:c>
      <x:c r="AR69" s="6" t="str">
        <x:v>-1.0913553831757776</x:v>
      </x:c>
      <x:c r="AS69" s="6" t="str">
        <x:v>-1.135931234021254</x:v>
      </x:c>
      <x:c r="AT69" s="6" t="str">
        <x:v>48.04761184578035</x:v>
      </x:c>
      <x:c r="AU69" s="8" t="str">
        <x:v>0.3926392719505389</x:v>
      </x:c>
      <x:c r="AV69" s="6" t="str">
        <x:v>-0.1779983432643552</x:v>
      </x:c>
      <x:c r="AW69" s="6" t="str">
        <x:v>-0.8148551504988066</x:v>
      </x:c>
      <x:c r="AX69" s="6" t="str">
        <x:v>-0.2000714072708735</x:v>
      </x:c>
      <x:c r="AY69" s="6" t="str">
        <x:v>0</x:v>
      </x:c>
      <x:c r="AZ69" s="6" t="str">
        <x:v>0</x:v>
      </x:c>
      <x:c r="BA69" s="9" t="str">
        <x:v>grid_cells_within_BIG_polygon</x:v>
      </x:c>
      <x:c r="BB69" s="6" t="str">
        <x:v>9</x:v>
      </x:c>
      <x:c r="BC69" s="6" t="str">
        <x:v>18</x:v>
      </x:c>
      <x:c r="BD69" s="6" t="str">
        <x:v>18</x:v>
      </x:c>
      <x:c r="BE69" s="6" t="str">
        <x:v>0</x:v>
      </x:c>
      <x:c r="BF69" s="6" t="str">
        <x:v>0</x:v>
      </x:c>
      <x:c r="BG69" s="6" t="str">
        <x:v>3</x:v>
      </x:c>
      <x:c r="BH69" s="6" t="str">
        <x:v>1</x:v>
      </x:c>
      <x:c r="BI69" s="6" t="str">
        <x:v>14</x:v>
      </x:c>
      <x:c r="BJ69" s="6" t="str">
        <x:v>0</x:v>
      </x:c>
      <x:c r="BK69" s="6" t="str">
        <x:v>0</x:v>
      </x:c>
      <x:c r="BL69" s="6" t="str">
        <x:v>0</x:v>
      </x:c>
      <x:c r="BM69" s="6" t="str">
        <x:v>0</x:v>
      </x:c>
      <x:c r="BN69" s="6" t="str">
        <x:v>18</x:v>
      </x:c>
      <x:c r="BO69" s="6" t="str"/>
      <x:c r="BP69" s="6" t="str">
        <x:v>0</x:v>
      </x:c>
      <x:c r="BQ69" s="6" t="str"/>
      <x:c r="BR69" s="6" t="str">
        <x:v>0</x:v>
      </x:c>
      <x:c r="BS69" s="6" t="str">
        <x:v>47.0</x:v>
      </x:c>
      <x:c r="BT69" s="6" t="str">
        <x:v>18</x:v>
      </x:c>
      <x:c r="BU69" s="6" t="str"/>
      <x:c r="BV69" s="6" t="str">
        <x:v>0</x:v>
      </x:c>
      <x:c r="BW69" s="9" t="str">
        <x:v>operational_snapshot_annual_totals_may_differ</x:v>
      </x:c>
      <x:c r="BX69" s="9" t="str">
        <x:v>official_live_dashboard_snapshot_subject_to_revision</x:v>
      </x:c>
      <x:c r="BY69" s="9" t="str">
        <x:v>https://tbdashboard.sitb.id/ss_data_tbc03so_2025_provinsi_bulanan_list.php</x:v>
      </x:c>
      <x:c r="BZ69" s="6" t="n">
        <x:v>46246.610671296294</x:v>
      </x:c>
    </x:row>
    <x:row r="70" ht="18" customHeight="1">
      <x:c r="A70" s="6" t="str">
        <x:v>13</x:v>
      </x:c>
      <x:c r="B70" s="6" t="str">
        <x:v>SUMATERA BARAT</x:v>
      </x:c>
      <x:c r="C70" s="6" t="str">
        <x:v>2025</x:v>
      </x:c>
      <x:c r="D70" s="6" t="str">
        <x:v>9</x:v>
      </x:c>
      <x:c r="E70" s="6" t="str">
        <x:v>2025-09</x:v>
      </x:c>
      <x:c r="F70" s="6" t="str">
        <x:v>1267</x:v>
      </x:c>
      <x:c r="G70" s="6" t="str">
        <x:v>310</x:v>
      </x:c>
      <x:c r="H70" s="6" t="str">
        <x:v>596</x:v>
      </x:c>
      <x:c r="I70" s="6" t="str">
        <x:v>96</x:v>
      </x:c>
      <x:c r="J70" s="6" t="str">
        <x:v>77</x:v>
      </x:c>
      <x:c r="K70" s="6" t="str">
        <x:v>4</x:v>
      </x:c>
      <x:c r="L70" s="6" t="str">
        <x:v>0</x:v>
      </x:c>
      <x:c r="M70" s="6" t="str">
        <x:v>184</x:v>
      </x:c>
      <x:c r="N70" s="6" t="str">
        <x:v>1267</x:v>
      </x:c>
      <x:c r="O70" s="6" t="str">
        <x:v>0</x:v>
      </x:c>
      <x:c r="P70" s="10" t="n">
        <x:f>F70-M70</x:f>
        <x:v>1083</x:v>
      </x:c>
      <x:c r="Q70" s="11" t="n">
        <x:f>IFERROR(M70/F70,"")</x:f>
        <x:v>0.1452249408050513</x:v>
      </x:c>
      <x:c r="R70" s="10" t="n">
        <x:f>G70+H70</x:f>
        <x:v>906</x:v>
      </x:c>
      <x:c r="S70" s="11" t="n">
        <x:f>IFERROR(R70/F70,"")</x:f>
        <x:v>0.7150749802683505</x:v>
      </x:c>
      <x:c r="T70" s="11" t="n">
        <x:f>IFERROR(R70/P70,"")</x:f>
        <x:v>0.8365650969529086</x:v>
      </x:c>
      <x:c r="U70" s="10" t="n">
        <x:f>I70+J70+K70</x:f>
        <x:v>177</x:v>
      </x:c>
      <x:c r="V70" s="11" t="n">
        <x:f>IFERROR(U70/P70,"")</x:f>
        <x:v>0.1634349030470914</x:v>
      </x:c>
      <x:c r="W70" s="9" t="str">
        <x:v>provisional_gt_5pct_pending</x:v>
      </x:c>
      <x:c r="X70" s="12" t="n">
        <x:f>IFERROR(F70/Z70*100000,"")</x:f>
        <x:v>21.42265356846964</x:v>
      </x:c>
      <x:c r="Y70" s="13" t="n">
        <x:f>LN(Z70)</x:f>
        <x:v>15.59288370519625</x:v>
      </x:c>
      <x:c r="Z70" s="6" t="str">
        <x:v>5914300</x:v>
      </x:c>
      <x:c r="AA70" s="6" t="str">
        <x:v>140.0</x:v>
      </x:c>
      <x:c r="AB70" s="9" t="str">
        <x:v>2025-06-30</x:v>
      </x:c>
      <x:c r="AC70" s="8" t="str">
        <x:v>74.59</x:v>
      </x:c>
      <x:c r="AD70" s="9" t="str">
        <x:v>2025 (Susenas)</x:v>
      </x:c>
      <x:c r="AE70" s="8" t="str">
        <x:v>5.35</x:v>
      </x:c>
      <x:c r="AF70" s="9" t="str">
        <x:v>Maret 2025 (Susenas)</x:v>
      </x:c>
      <x:c r="AG70" s="6" t="str">
        <x:v>24.084427570295</x:v>
      </x:c>
      <x:c r="AH70" s="8" t="str">
        <x:v>86.62460121939864</x:v>
      </x:c>
      <x:c r="AI70" s="6" t="str">
        <x:v>267.7011699185261</x:v>
      </x:c>
      <x:c r="AJ70" s="6" t="str">
        <x:v>0.1078042512977823</x:v>
      </x:c>
      <x:c r="AK70" s="8" t="str">
        <x:v>0.4552486333874194</x:v>
      </x:c>
      <x:c r="AL70" s="6" t="str">
        <x:v>0.1346229170225512</x:v>
      </x:c>
      <x:c r="AM70" s="6" t="str">
        <x:v>1.4308096592048527</x:v>
      </x:c>
      <x:c r="AN70" s="6" t="str">
        <x:v>0.6735604032049413</x:v>
      </x:c>
      <x:c r="AO70" s="6" t="str">
        <x:v>-0.5541623930492818</x:v>
      </x:c>
      <x:c r="AP70" s="8" t="str">
        <x:v>-0.6686678718979544</x:v>
      </x:c>
      <x:c r="AQ70" s="6" t="str">
        <x:v>-1.820328708002798</x:v>
      </x:c>
      <x:c r="AR70" s="6" t="str">
        <x:v>-0.4961096108851845</x:v>
      </x:c>
      <x:c r="AS70" s="6" t="str">
        <x:v>-0.9950353969286462</x:v>
      </x:c>
      <x:c r="AT70" s="6" t="str">
        <x:v>2.927353399098365</x:v>
      </x:c>
      <x:c r="AU70" s="8" t="str">
        <x:v>0.0316400806618006</x:v>
      </x:c>
      <x:c r="AV70" s="6" t="str">
        <x:v>0.3926392719505389</x:v>
      </x:c>
      <x:c r="AW70" s="6" t="str">
        <x:v>-0.1779983432643552</x:v>
      </x:c>
      <x:c r="AX70" s="6" t="str">
        <x:v>0.0820936697826621</x:v>
      </x:c>
      <x:c r="AY70" s="6" t="str">
        <x:v>0</x:v>
      </x:c>
      <x:c r="AZ70" s="6" t="str">
        <x:v>0</x:v>
      </x:c>
      <x:c r="BA70" s="9" t="str">
        <x:v>grid_cells_within_BIG_polygon</x:v>
      </x:c>
      <x:c r="BB70" s="6" t="str">
        <x:v>9</x:v>
      </x:c>
      <x:c r="BC70" s="6" t="str">
        <x:v>2</x:v>
      </x:c>
      <x:c r="BD70" s="6" t="str">
        <x:v>2</x:v>
      </x:c>
      <x:c r="BE70" s="6" t="str">
        <x:v>1</x:v>
      </x:c>
      <x:c r="BF70" s="6" t="str">
        <x:v>0</x:v>
      </x:c>
      <x:c r="BG70" s="6" t="str">
        <x:v>1</x:v>
      </x:c>
      <x:c r="BH70" s="6" t="str">
        <x:v>0</x:v>
      </x:c>
      <x:c r="BI70" s="6" t="str">
        <x:v>0</x:v>
      </x:c>
      <x:c r="BJ70" s="6" t="str">
        <x:v>0</x:v>
      </x:c>
      <x:c r="BK70" s="6" t="str">
        <x:v>0</x:v>
      </x:c>
      <x:c r="BL70" s="6" t="str">
        <x:v>0</x:v>
      </x:c>
      <x:c r="BM70" s="6" t="str">
        <x:v>0</x:v>
      </x:c>
      <x:c r="BN70" s="6" t="str">
        <x:v>2</x:v>
      </x:c>
      <x:c r="BO70" s="6" t="str"/>
      <x:c r="BP70" s="6" t="str">
        <x:v>0</x:v>
      </x:c>
      <x:c r="BQ70" s="6" t="str"/>
      <x:c r="BR70" s="6" t="str">
        <x:v>0</x:v>
      </x:c>
      <x:c r="BS70" s="6" t="str">
        <x:v>8.0</x:v>
      </x:c>
      <x:c r="BT70" s="6" t="str">
        <x:v>2</x:v>
      </x:c>
      <x:c r="BU70" s="6" t="str">
        <x:v>16310.0</x:v>
      </x:c>
      <x:c r="BV70" s="6" t="str">
        <x:v>1</x:v>
      </x:c>
      <x:c r="BW70" s="9" t="str">
        <x:v>operational_snapshot_annual_totals_may_differ</x:v>
      </x:c>
      <x:c r="BX70" s="9" t="str">
        <x:v>official_live_dashboard_snapshot_subject_to_revision</x:v>
      </x:c>
      <x:c r="BY70" s="9" t="str">
        <x:v>https://tbdashboard.sitb.id/ss_data_tbc03so_2025_provinsi_bulanan_list.php</x:v>
      </x:c>
      <x:c r="BZ70" s="6" t="n">
        <x:v>46246.610671296294</x:v>
      </x:c>
    </x:row>
    <x:row r="71" ht="18" customHeight="1">
      <x:c r="A71" s="6" t="str">
        <x:v>13</x:v>
      </x:c>
      <x:c r="B71" s="6" t="str">
        <x:v>SUMATERA BARAT</x:v>
      </x:c>
      <x:c r="C71" s="6" t="str">
        <x:v>2025</x:v>
      </x:c>
      <x:c r="D71" s="6" t="str">
        <x:v>10</x:v>
      </x:c>
      <x:c r="E71" s="6" t="str">
        <x:v>2025-10</x:v>
      </x:c>
      <x:c r="F71" s="6" t="str">
        <x:v>1477</x:v>
      </x:c>
      <x:c r="G71" s="6" t="str">
        <x:v>404</x:v>
      </x:c>
      <x:c r="H71" s="6" t="str">
        <x:v>599</x:v>
      </x:c>
      <x:c r="I71" s="6" t="str">
        <x:v>131</x:v>
      </x:c>
      <x:c r="J71" s="6" t="str">
        <x:v>79</x:v>
      </x:c>
      <x:c r="K71" s="6" t="str">
        <x:v>2</x:v>
      </x:c>
      <x:c r="L71" s="6" t="str">
        <x:v>3</x:v>
      </x:c>
      <x:c r="M71" s="6" t="str">
        <x:v>259</x:v>
      </x:c>
      <x:c r="N71" s="6" t="str">
        <x:v>1477</x:v>
      </x:c>
      <x:c r="O71" s="6" t="str">
        <x:v>0</x:v>
      </x:c>
      <x:c r="P71" s="10" t="n">
        <x:f>F71-M71</x:f>
        <x:v>1218</x:v>
      </x:c>
      <x:c r="Q71" s="11" t="n">
        <x:f>IFERROR(M71/F71,"")</x:f>
        <x:v>0.17535545023696683</x:v>
      </x:c>
      <x:c r="R71" s="10" t="n">
        <x:f>G71+H71</x:f>
        <x:v>1003</x:v>
      </x:c>
      <x:c r="S71" s="11" t="n">
        <x:f>IFERROR(R71/F71,"")</x:f>
        <x:v>0.6790792146242384</x:v>
      </x:c>
      <x:c r="T71" s="11" t="n">
        <x:f>IFERROR(R71/P71,"")</x:f>
        <x:v>0.8234811165845649</x:v>
      </x:c>
      <x:c r="U71" s="10" t="n">
        <x:f>I71+J71+K71</x:f>
        <x:v>212</x:v>
      </x:c>
      <x:c r="V71" s="11" t="n">
        <x:f>IFERROR(U71/P71,"")</x:f>
        <x:v>0.17405582922824303</x:v>
      </x:c>
      <x:c r="W71" s="9" t="str">
        <x:v>provisional_gt_5pct_pending</x:v>
      </x:c>
      <x:c r="X71" s="12" t="n">
        <x:f>IFERROR(F71/Z71*100000,"")</x:f>
        <x:v>24.973369629541956</x:v>
      </x:c>
      <x:c r="Y71" s="13" t="n">
        <x:f>LN(Z71)</x:f>
        <x:v>15.59288370519625</x:v>
      </x:c>
      <x:c r="Z71" s="6" t="str">
        <x:v>5914300</x:v>
      </x:c>
      <x:c r="AA71" s="6" t="str">
        <x:v>140.0</x:v>
      </x:c>
      <x:c r="AB71" s="9" t="str">
        <x:v>2025-06-30</x:v>
      </x:c>
      <x:c r="AC71" s="8" t="str">
        <x:v>74.59</x:v>
      </x:c>
      <x:c r="AD71" s="9" t="str">
        <x:v>2025 (Susenas)</x:v>
      </x:c>
      <x:c r="AE71" s="8" t="str">
        <x:v>5.35</x:v>
      </x:c>
      <x:c r="AF71" s="9" t="str">
        <x:v>Maret 2025 (Susenas)</x:v>
      </x:c>
      <x:c r="AG71" s="6" t="str">
        <x:v>24.38998637436509</x:v>
      </x:c>
      <x:c r="AH71" s="8" t="str">
        <x:v>85.06351284831135</x:v>
      </x:c>
      <x:c r="AI71" s="6" t="str">
        <x:v>189.0991854642217</x:v>
      </x:c>
      <x:c r="AJ71" s="6" t="str">
        <x:v>0.4312870996883262</x:v>
      </x:c>
      <x:c r="AK71" s="8" t="str">
        <x:v>1.6753629261968996</x:v>
      </x:c>
      <x:c r="AL71" s="6" t="str">
        <x:v>0.4552486333874194</x:v>
      </x:c>
      <x:c r="AM71" s="6" t="str">
        <x:v>0.1346229170225512</x:v>
      </x:c>
      <x:c r="AN71" s="6" t="str">
        <x:v>0.7550781588689569</x:v>
      </x:c>
      <x:c r="AO71" s="6" t="str">
        <x:v>-2.8336468717756844</x:v>
      </x:c>
      <x:c r="AP71" s="8" t="str">
        <x:v>-2.4241185404250496</x:v>
      </x:c>
      <x:c r="AQ71" s="6" t="str">
        <x:v>-0.6686678718979544</x:v>
      </x:c>
      <x:c r="AR71" s="6" t="str">
        <x:v>-1.820328708002798</x:v>
      </x:c>
      <x:c r="AS71" s="6" t="str">
        <x:v>-1.6377050401086013</x:v>
      </x:c>
      <x:c r="AT71" s="6" t="str">
        <x:v>-140.45814280324208</x:v>
      </x:c>
      <x:c r="AU71" s="8" t="str">
        <x:v>-1.0679339912533337</x:v>
      </x:c>
      <x:c r="AV71" s="6" t="str">
        <x:v>0.0316400806618006</x:v>
      </x:c>
      <x:c r="AW71" s="6" t="str">
        <x:v>0.3926392719505389</x:v>
      </x:c>
      <x:c r="AX71" s="6" t="str">
        <x:v>-0.2145515462136639</x:v>
      </x:c>
      <x:c r="AY71" s="6" t="str">
        <x:v>0</x:v>
      </x:c>
      <x:c r="AZ71" s="6" t="str">
        <x:v>1</x:v>
      </x:c>
      <x:c r="BA71" s="9" t="str">
        <x:v>grid_cells_within_BIG_polygon</x:v>
      </x:c>
      <x:c r="BB71" s="6" t="str">
        <x:v>9</x:v>
      </x:c>
      <x:c r="BC71" s="6" t="str">
        <x:v>2</x:v>
      </x:c>
      <x:c r="BD71" s="6" t="str">
        <x:v>2</x:v>
      </x:c>
      <x:c r="BE71" s="6" t="str">
        <x:v>0</x:v>
      </x:c>
      <x:c r="BF71" s="6" t="str">
        <x:v>0</x:v>
      </x:c>
      <x:c r="BG71" s="6" t="str">
        <x:v>2</x:v>
      </x:c>
      <x:c r="BH71" s="6" t="str">
        <x:v>0</x:v>
      </x:c>
      <x:c r="BI71" s="6" t="str">
        <x:v>0</x:v>
      </x:c>
      <x:c r="BJ71" s="6" t="str">
        <x:v>0</x:v>
      </x:c>
      <x:c r="BK71" s="6" t="str">
        <x:v>0</x:v>
      </x:c>
      <x:c r="BL71" s="6" t="str">
        <x:v>0</x:v>
      </x:c>
      <x:c r="BM71" s="6" t="str">
        <x:v>0</x:v>
      </x:c>
      <x:c r="BN71" s="6" t="str">
        <x:v>2</x:v>
      </x:c>
      <x:c r="BO71" s="6" t="str"/>
      <x:c r="BP71" s="6" t="str">
        <x:v>0</x:v>
      </x:c>
      <x:c r="BQ71" s="6" t="str"/>
      <x:c r="BR71" s="6" t="str">
        <x:v>0</x:v>
      </x:c>
      <x:c r="BS71" s="6" t="str">
        <x:v>236.0</x:v>
      </x:c>
      <x:c r="BT71" s="6" t="str">
        <x:v>2</x:v>
      </x:c>
      <x:c r="BU71" s="6" t="str"/>
      <x:c r="BV71" s="6" t="str">
        <x:v>0</x:v>
      </x:c>
      <x:c r="BW71" s="9" t="str">
        <x:v>operational_snapshot_annual_totals_may_differ</x:v>
      </x:c>
      <x:c r="BX71" s="9" t="str">
        <x:v>official_live_dashboard_snapshot_subject_to_revision</x:v>
      </x:c>
      <x:c r="BY71" s="9" t="str">
        <x:v>https://tbdashboard.sitb.id/ss_data_tbc03so_2025_provinsi_bulanan_list.php</x:v>
      </x:c>
      <x:c r="BZ71" s="6" t="n">
        <x:v>46246.610671296294</x:v>
      </x:c>
    </x:row>
    <x:row r="72" ht="18" customHeight="1">
      <x:c r="A72" s="6" t="str">
        <x:v>13</x:v>
      </x:c>
      <x:c r="B72" s="6" t="str">
        <x:v>SUMATERA BARAT</x:v>
      </x:c>
      <x:c r="C72" s="6" t="str">
        <x:v>2025</x:v>
      </x:c>
      <x:c r="D72" s="6" t="str">
        <x:v>11</x:v>
      </x:c>
      <x:c r="E72" s="6" t="str">
        <x:v>2025-11</x:v>
      </x:c>
      <x:c r="F72" s="6" t="str">
        <x:v>1211</x:v>
      </x:c>
      <x:c r="G72" s="6" t="str">
        <x:v>308</x:v>
      </x:c>
      <x:c r="H72" s="6" t="str">
        <x:v>455</x:v>
      </x:c>
      <x:c r="I72" s="6" t="str">
        <x:v>102</x:v>
      </x:c>
      <x:c r="J72" s="6" t="str">
        <x:v>70</x:v>
      </x:c>
      <x:c r="K72" s="6" t="str">
        <x:v>3</x:v>
      </x:c>
      <x:c r="L72" s="6" t="str">
        <x:v>1</x:v>
      </x:c>
      <x:c r="M72" s="6" t="str">
        <x:v>272</x:v>
      </x:c>
      <x:c r="N72" s="6" t="str">
        <x:v>1211</x:v>
      </x:c>
      <x:c r="O72" s="6" t="str">
        <x:v>0</x:v>
      </x:c>
      <x:c r="P72" s="10" t="n">
        <x:f>F72-M72</x:f>
        <x:v>939</x:v>
      </x:c>
      <x:c r="Q72" s="11" t="n">
        <x:f>IFERROR(M72/F72,"")</x:f>
        <x:v>0.22460776218001652</x:v>
      </x:c>
      <x:c r="R72" s="10" t="n">
        <x:f>G72+H72</x:f>
        <x:v>763</x:v>
      </x:c>
      <x:c r="S72" s="11" t="n">
        <x:f>IFERROR(R72/F72,"")</x:f>
        <x:v>0.630057803468208</x:v>
      </x:c>
      <x:c r="T72" s="11" t="n">
        <x:f>IFERROR(R72/P72,"")</x:f>
        <x:v>0.8125665601703941</x:v>
      </x:c>
      <x:c r="U72" s="10" t="n">
        <x:f>I72+J72+K72</x:f>
        <x:v>175</x:v>
      </x:c>
      <x:c r="V72" s="11" t="n">
        <x:f>IFERROR(U72/P72,"")</x:f>
        <x:v>0.18636847710330137</x:v>
      </x:c>
      <x:c r="W72" s="9" t="str">
        <x:v>provisional_gt_5pct_pending</x:v>
      </x:c>
      <x:c r="X72" s="12" t="n">
        <x:f>IFERROR(F72/Z72*100000,"")</x:f>
        <x:v>20.475795952183688</x:v>
      </x:c>
      <x:c r="Y72" s="13" t="n">
        <x:f>LN(Z72)</x:f>
        <x:v>15.59288370519625</x:v>
      </x:c>
      <x:c r="Z72" s="6" t="str">
        <x:v>5914300</x:v>
      </x:c>
      <x:c r="AA72" s="6" t="str">
        <x:v>140.0</x:v>
      </x:c>
      <x:c r="AB72" s="9" t="str">
        <x:v>2025-06-30</x:v>
      </x:c>
      <x:c r="AC72" s="8" t="str">
        <x:v>74.59</x:v>
      </x:c>
      <x:c r="AD72" s="9" t="str">
        <x:v>2025 (Susenas)</x:v>
      </x:c>
      <x:c r="AE72" s="8" t="str">
        <x:v>5.35</x:v>
      </x:c>
      <x:c r="AF72" s="9" t="str">
        <x:v>Maret 2025 (Susenas)</x:v>
      </x:c>
      <x:c r="AG72" s="6" t="str">
        <x:v>23.807763005040925</x:v>
      </x:c>
      <x:c r="AH72" s="8" t="str">
        <x:v>88.26350235487595</x:v>
      </x:c>
      <x:c r="AI72" s="6" t="str">
        <x:v>598.6662779595865</x:v>
      </x:c>
      <x:c r="AJ72" s="6" t="str">
        <x:v>-0.0801190004664604</x:v>
      </x:c>
      <x:c r="AK72" s="8" t="str">
        <x:v>-0.3162850762662951</x:v>
      </x:c>
      <x:c r="AL72" s="6" t="str">
        <x:v>1.6753629261968996</x:v>
      </x:c>
      <x:c r="AM72" s="6" t="str">
        <x:v>0.4552486333874194</x:v>
      </x:c>
      <x:c r="AN72" s="6" t="str">
        <x:v>0.6047754944393414</x:v>
      </x:c>
      <x:c r="AO72" s="6" t="str">
        <x:v>-0.6449933470922815</x:v>
      </x:c>
      <x:c r="AP72" s="8" t="str">
        <x:v>-0.8318682812003855</x:v>
      </x:c>
      <x:c r="AQ72" s="6" t="str">
        <x:v>-2.4241185404250496</x:v>
      </x:c>
      <x:c r="AR72" s="6" t="str">
        <x:v>-0.6686678718979544</x:v>
      </x:c>
      <x:c r="AS72" s="6" t="str">
        <x:v>-1.308218231174464</x:v>
      </x:c>
      <x:c r="AT72" s="6" t="str">
        <x:v>187.6059415384269</x:v>
      </x:c>
      <x:c r="AU72" s="8" t="str">
        <x:v>1.3659559042578309</x:v>
      </x:c>
      <x:c r="AV72" s="6" t="str">
        <x:v>-1.0679339912533337</x:v>
      </x:c>
      <x:c r="AW72" s="6" t="str">
        <x:v>0.0316400806618006</x:v>
      </x:c>
      <x:c r="AX72" s="6" t="str">
        <x:v>0.1098873312221</x:v>
      </x:c>
      <x:c r="AY72" s="6" t="str">
        <x:v>1</x:v>
      </x:c>
      <x:c r="AZ72" s="6" t="str">
        <x:v>0</x:v>
      </x:c>
      <x:c r="BA72" s="9" t="str">
        <x:v>grid_cells_within_BIG_polygon</x:v>
      </x:c>
      <x:c r="BB72" s="6" t="str">
        <x:v>9</x:v>
      </x:c>
      <x:c r="BC72" s="6" t="str">
        <x:v>18</x:v>
      </x:c>
      <x:c r="BD72" s="6" t="str">
        <x:v>18</x:v>
      </x:c>
      <x:c r="BE72" s="6" t="str">
        <x:v>14</x:v>
      </x:c>
      <x:c r="BF72" s="6" t="str">
        <x:v>1</x:v>
      </x:c>
      <x:c r="BG72" s="6" t="str">
        <x:v>1</x:v>
      </x:c>
      <x:c r="BH72" s="6" t="str">
        <x:v>0</x:v>
      </x:c>
      <x:c r="BI72" s="6" t="str">
        <x:v>0</x:v>
      </x:c>
      <x:c r="BJ72" s="6" t="str">
        <x:v>2</x:v>
      </x:c>
      <x:c r="BK72" s="6" t="str">
        <x:v>0</x:v>
      </x:c>
      <x:c r="BL72" s="6" t="str">
        <x:v>0</x:v>
      </x:c>
      <x:c r="BM72" s="6" t="str">
        <x:v>0</x:v>
      </x:c>
      <x:c r="BN72" s="6" t="str">
        <x:v>18</x:v>
      </x:c>
      <x:c r="BO72" s="6" t="str">
        <x:v>264.0</x:v>
      </x:c>
      <x:c r="BP72" s="6" t="str">
        <x:v>7</x:v>
      </x:c>
      <x:c r="BQ72" s="6" t="str">
        <x:v>382.0</x:v>
      </x:c>
      <x:c r="BR72" s="6" t="str">
        <x:v>5</x:v>
      </x:c>
      <x:c r="BS72" s="6" t="str">
        <x:v>12674.0</x:v>
      </x:c>
      <x:c r="BT72" s="6" t="str">
        <x:v>18</x:v>
      </x:c>
      <x:c r="BU72" s="6" t="str">
        <x:v>41046.0</x:v>
      </x:c>
      <x:c r="BV72" s="6" t="str">
        <x:v>13</x:v>
      </x:c>
      <x:c r="BW72" s="9" t="str">
        <x:v>operational_snapshot_annual_totals_may_differ</x:v>
      </x:c>
      <x:c r="BX72" s="9" t="str">
        <x:v>official_live_dashboard_snapshot_subject_to_revision</x:v>
      </x:c>
      <x:c r="BY72" s="9" t="str">
        <x:v>https://tbdashboard.sitb.id/ss_data_tbc03so_2025_provinsi_bulanan_list.php</x:v>
      </x:c>
      <x:c r="BZ72" s="6" t="n">
        <x:v>46246.610671296294</x:v>
      </x:c>
    </x:row>
    <x:row r="73" ht="18" customHeight="1">
      <x:c r="A73" s="6" t="str">
        <x:v>13</x:v>
      </x:c>
      <x:c r="B73" s="6" t="str">
        <x:v>SUMATERA BARAT</x:v>
      </x:c>
      <x:c r="C73" s="6" t="str">
        <x:v>2025</x:v>
      </x:c>
      <x:c r="D73" s="6" t="str">
        <x:v>12</x:v>
      </x:c>
      <x:c r="E73" s="6" t="str">
        <x:v>2025-12</x:v>
      </x:c>
      <x:c r="F73" s="6" t="str">
        <x:v>1048</x:v>
      </x:c>
      <x:c r="G73" s="6" t="str">
        <x:v>234</x:v>
      </x:c>
      <x:c r="H73" s="6" t="str">
        <x:v>325</x:v>
      </x:c>
      <x:c r="I73" s="6" t="str">
        <x:v>86</x:v>
      </x:c>
      <x:c r="J73" s="6" t="str">
        <x:v>67</x:v>
      </x:c>
      <x:c r="K73" s="6" t="str">
        <x:v>3</x:v>
      </x:c>
      <x:c r="L73" s="6" t="str">
        <x:v>2</x:v>
      </x:c>
      <x:c r="M73" s="6" t="str">
        <x:v>331</x:v>
      </x:c>
      <x:c r="N73" s="6" t="str">
        <x:v>1048</x:v>
      </x:c>
      <x:c r="O73" s="6" t="str">
        <x:v>0</x:v>
      </x:c>
      <x:c r="P73" s="10" t="n">
        <x:f>F73-M73</x:f>
        <x:v>717</x:v>
      </x:c>
      <x:c r="Q73" s="11" t="n">
        <x:f>IFERROR(M73/F73,"")</x:f>
        <x:v>0.31583969465648853</x:v>
      </x:c>
      <x:c r="R73" s="10" t="n">
        <x:f>G73+H73</x:f>
        <x:v>559</x:v>
      </x:c>
      <x:c r="S73" s="11" t="n">
        <x:f>IFERROR(R73/F73,"")</x:f>
        <x:v>0.5333969465648855</x:v>
      </x:c>
      <x:c r="T73" s="11" t="n">
        <x:f>IFERROR(R73/P73,"")</x:f>
        <x:v>0.7796373779637378</x:v>
      </x:c>
      <x:c r="U73" s="10" t="n">
        <x:f>I73+J73+K73</x:f>
        <x:v>156</x:v>
      </x:c>
      <x:c r="V73" s="11" t="n">
        <x:f>IFERROR(U73/P73,"")</x:f>
        <x:v>0.2175732217573222</x:v>
      </x:c>
      <x:c r="W73" s="9" t="str">
        <x:v>provisional_gt_5pct_pending</x:v>
      </x:c>
      <x:c r="X73" s="12" t="n">
        <x:f>IFERROR(F73/Z73*100000,"")</x:f>
        <x:v>17.719763961922798</x:v>
      </x:c>
      <x:c r="Y73" s="13" t="n">
        <x:f>LN(Z73)</x:f>
        <x:v>15.59288370519625</x:v>
      </x:c>
      <x:c r="Z73" s="6" t="str">
        <x:v>5914300</x:v>
      </x:c>
      <x:c r="AA73" s="6" t="str">
        <x:v>140.0</x:v>
      </x:c>
      <x:c r="AB73" s="9" t="str">
        <x:v>2025-06-30</x:v>
      </x:c>
      <x:c r="AC73" s="8" t="str">
        <x:v>74.59</x:v>
      </x:c>
      <x:c r="AD73" s="9" t="str">
        <x:v>2025 (Susenas)</x:v>
      </x:c>
      <x:c r="AE73" s="8" t="str">
        <x:v>5.35</x:v>
      </x:c>
      <x:c r="AF73" s="9" t="str">
        <x:v>Maret 2025 (Susenas)</x:v>
      </x:c>
      <x:c r="AG73" s="6" t="str">
        <x:v>24.068875282145868</x:v>
      </x:c>
      <x:c r="AH73" s="8" t="str">
        <x:v>88.21685111773198</x:v>
      </x:c>
      <x:c r="AI73" s="6" t="str">
        <x:v>467.0009273666197</x:v>
      </x:c>
      <x:c r="AJ73" s="6" t="str">
        <x:v>0.3496967343447998</x:v>
      </x:c>
      <x:c r="AK73" s="8" t="str">
        <x:v>1.3174204568019103</x:v>
      </x:c>
      <x:c r="AL73" s="6" t="str">
        <x:v>-0.3162850762662951</x:v>
      </x:c>
      <x:c r="AM73" s="6" t="str">
        <x:v>1.6753629261968996</x:v>
      </x:c>
      <x:c r="AN73" s="6" t="str">
        <x:v>0.8921661022441718</x:v>
      </x:c>
      <x:c r="AO73" s="6" t="str">
        <x:v>-0.3875006893587738</x:v>
      </x:c>
      <x:c r="AP73" s="8" t="str">
        <x:v>-0.3132293629528904</x:v>
      </x:c>
      <x:c r="AQ73" s="6" t="str">
        <x:v>-0.8318682812003855</x:v>
      </x:c>
      <x:c r="AR73" s="6" t="str">
        <x:v>-2.4241185404250496</x:v>
      </x:c>
      <x:c r="AS73" s="6" t="str">
        <x:v>-1.1897387281927758</x:v>
      </x:c>
      <x:c r="AT73" s="6" t="str">
        <x:v>128.24033917708107</x:v>
      </x:c>
      <x:c r="AU73" s="8" t="str">
        <x:v>1.7524590327042389</x:v>
      </x:c>
      <x:c r="AV73" s="6" t="str">
        <x:v>1.3659559042578309</x:v>
      </x:c>
      <x:c r="AW73" s="6" t="str">
        <x:v>-1.0679339912533337</x:v>
      </x:c>
      <x:c r="AX73" s="6" t="str">
        <x:v>0.6834936485695794</x:v>
      </x:c>
      <x:c r="AY73" s="6" t="str">
        <x:v>1</x:v>
      </x:c>
      <x:c r="AZ73" s="6" t="str">
        <x:v>1</x:v>
      </x:c>
      <x:c r="BA73" s="9" t="str">
        <x:v>grid_cells_within_BIG_polygon</x:v>
      </x:c>
      <x:c r="BB73" s="6" t="str">
        <x:v>9</x:v>
      </x:c>
      <x:c r="BC73" s="6" t="str">
        <x:v>1</x:v>
      </x:c>
      <x:c r="BD73" s="6" t="str">
        <x:v>1</x:v>
      </x:c>
      <x:c r="BE73" s="6" t="str">
        <x:v>0</x:v>
      </x:c>
      <x:c r="BF73" s="6" t="str">
        <x:v>1</x:v>
      </x:c>
      <x:c r="BG73" s="6" t="str">
        <x:v>0</x:v>
      </x:c>
      <x:c r="BH73" s="6" t="str">
        <x:v>0</x:v>
      </x:c>
      <x:c r="BI73" s="6" t="str">
        <x:v>0</x:v>
      </x:c>
      <x:c r="BJ73" s="6" t="str">
        <x:v>0</x:v>
      </x:c>
      <x:c r="BK73" s="6" t="str">
        <x:v>0</x:v>
      </x:c>
      <x:c r="BL73" s="6" t="str">
        <x:v>0</x:v>
      </x:c>
      <x:c r="BM73" s="6" t="str">
        <x:v>0</x:v>
      </x:c>
      <x:c r="BN73" s="6" t="str">
        <x:v>1</x:v>
      </x:c>
      <x:c r="BO73" s="6" t="str"/>
      <x:c r="BP73" s="6" t="str">
        <x:v>0</x:v>
      </x:c>
      <x:c r="BQ73" s="6" t="str"/>
      <x:c r="BR73" s="6" t="str">
        <x:v>0</x:v>
      </x:c>
      <x:c r="BS73" s="6" t="str">
        <x:v>0.0</x:v>
      </x:c>
      <x:c r="BT73" s="6" t="str">
        <x:v>1</x:v>
      </x:c>
      <x:c r="BU73" s="6" t="str">
        <x:v>40.0</x:v>
      </x:c>
      <x:c r="BV73" s="6" t="str">
        <x:v>1</x:v>
      </x:c>
      <x:c r="BW73" s="9" t="str">
        <x:v>operational_snapshot_annual_totals_may_differ</x:v>
      </x:c>
      <x:c r="BX73" s="9" t="str">
        <x:v>official_live_dashboard_snapshot_subject_to_revision</x:v>
      </x:c>
      <x:c r="BY73" s="9" t="str">
        <x:v>https://tbdashboard.sitb.id/ss_data_tbc03so_2025_provinsi_bulanan_list.php</x:v>
      </x:c>
      <x:c r="BZ73" s="6" t="n">
        <x:v>46246.610671296294</x:v>
      </x:c>
    </x:row>
    <x:row r="74" ht="18" customHeight="1">
      <x:c r="A74" s="6" t="str">
        <x:v>14</x:v>
      </x:c>
      <x:c r="B74" s="6" t="str">
        <x:v>RIAU</x:v>
      </x:c>
      <x:c r="C74" s="6" t="str">
        <x:v>2024</x:v>
      </x:c>
      <x:c r="D74" s="6" t="str">
        <x:v>1</x:v>
      </x:c>
      <x:c r="E74" s="6" t="str">
        <x:v>2024-01</x:v>
      </x:c>
      <x:c r="F74" s="6" t="str">
        <x:v>1327</x:v>
      </x:c>
      <x:c r="G74" s="6" t="str">
        <x:v>284</x:v>
      </x:c>
      <x:c r="H74" s="6" t="str">
        <x:v>882</x:v>
      </x:c>
      <x:c r="I74" s="6" t="str">
        <x:v>110</x:v>
      </x:c>
      <x:c r="J74" s="6" t="str">
        <x:v>48</x:v>
      </x:c>
      <x:c r="K74" s="6" t="str">
        <x:v>2</x:v>
      </x:c>
      <x:c r="L74" s="6" t="str">
        <x:v>1</x:v>
      </x:c>
      <x:c r="M74" s="6" t="str">
        <x:v>0</x:v>
      </x:c>
      <x:c r="N74" s="6" t="str">
        <x:v>1327</x:v>
      </x:c>
      <x:c r="O74" s="6" t="str">
        <x:v>0</x:v>
      </x:c>
      <x:c r="P74" s="10" t="n">
        <x:f>F74-M74</x:f>
        <x:v>1327</x:v>
      </x:c>
      <x:c r="Q74" s="11" t="n">
        <x:f>IFERROR(M74/F74,"")</x:f>
        <x:v>0</x:v>
      </x:c>
      <x:c r="R74" s="10" t="n">
        <x:f>G74+H74</x:f>
        <x:v>1166</x:v>
      </x:c>
      <x:c r="S74" s="11" t="n">
        <x:f>IFERROR(R74/F74,"")</x:f>
        <x:v>0.8786737000753579</x:v>
      </x:c>
      <x:c r="T74" s="11" t="n">
        <x:f>IFERROR(R74/P74,"")</x:f>
        <x:v>0.8786737000753579</x:v>
      </x:c>
      <x:c r="U74" s="10" t="n">
        <x:f>I74+J74+K74</x:f>
        <x:v>160</x:v>
      </x:c>
      <x:c r="V74" s="11" t="n">
        <x:f>IFERROR(U74/P74,"")</x:f>
        <x:v>0.12057272042200452</x:v>
      </x:c>
      <x:c r="W74" s="9" t="str">
        <x:v>mature_le_5pct_pending</x:v>
      </x:c>
      <x:c r="X74" s="12" t="n">
        <x:f>IFERROR(F74/Z74*100000,"")</x:f>
        <x:v>19.72325024895587</x:v>
      </x:c>
      <x:c r="Y74" s="13" t="n">
        <x:f>LN(Z74)</x:f>
        <x:v>15.72180334378249</x:v>
      </x:c>
      <x:c r="Z74" s="6" t="str">
        <x:v>6728100</x:v>
      </x:c>
      <x:c r="AA74" s="6" t="str">
        <x:v>75.0</x:v>
      </x:c>
      <x:c r="AB74" s="9" t="str">
        <x:v>2024-06-30</x:v>
      </x:c>
      <x:c r="AC74" s="8" t="str">
        <x:v>86.3</x:v>
      </x:c>
      <x:c r="AD74" s="9" t="str">
        <x:v>2024 (Susenas)</x:v>
      </x:c>
      <x:c r="AE74" s="8" t="str">
        <x:v>6.67</x:v>
      </x:c>
      <x:c r="AF74" s="9" t="str">
        <x:v>Maret 2024 (Susenas)</x:v>
      </x:c>
      <x:c r="AG74" s="6" t="str">
        <x:v>26.403591372206577</x:v>
      </x:c>
      <x:c r="AH74" s="8" t="str">
        <x:v>91.31374065562622</x:v>
      </x:c>
      <x:c r="AI74" s="6" t="str">
        <x:v>354.9994670346288</x:v>
      </x:c>
      <x:c r="AJ74" s="6" t="str">
        <x:v>0.8185620703553589</x:v>
      </x:c>
      <x:c r="AK74" s="8" t="str">
        <x:v>1.942252909757508</x:v>
      </x:c>
      <x:c r="AL74" s="6" t="str">
        <x:v>3.459843967101026</x:v>
      </x:c>
      <x:c r="AM74" s="6" t="str">
        <x:v>3.834654450872608</x:v>
      </x:c>
      <x:c r="AN74" s="6" t="str">
        <x:v>3.0789171092437138</x:v>
      </x:c>
      <x:c r="AO74" s="6" t="str">
        <x:v>2.02037113354153</x:v>
      </x:c>
      <x:c r="AP74" s="8" t="str">
        <x:v>1.9514337035436244</x:v>
      </x:c>
      <x:c r="AQ74" s="6" t="str">
        <x:v>1.9673430835432368</x:v>
      </x:c>
      <x:c r="AR74" s="6" t="str">
        <x:v>0.4347542957542427</x:v>
      </x:c>
      <x:c r="AS74" s="6" t="str">
        <x:v>1.451177027613701</x:v>
      </x:c>
      <x:c r="AT74" s="6" t="str">
        <x:v>157.83332517246404</x:v>
      </x:c>
      <x:c r="AU74" s="8" t="str">
        <x:v>2.205307024810019</x:v>
      </x:c>
      <x:c r="AV74" s="6" t="str">
        <x:v>1.8958011700703965</x:v>
      </x:c>
      <x:c r="AW74" s="6" t="str">
        <x:v>0.4853758417503763</x:v>
      </x:c>
      <x:c r="AX74" s="6" t="str">
        <x:v>1.5288280122102635</x:v>
      </x:c>
      <x:c r="AY74" s="6" t="str">
        <x:v>1</x:v>
      </x:c>
      <x:c r="AZ74" s="6" t="str">
        <x:v>1</x:v>
      </x:c>
      <x:c r="BA74" s="9" t="str">
        <x:v>grid_cells_within_BIG_polygon</x:v>
      </x:c>
      <x:c r="BB74" s="6" t="str">
        <x:v>22</x:v>
      </x:c>
      <x:c r="BC74" s="6" t="str">
        <x:v>23</x:v>
      </x:c>
      <x:c r="BD74" s="6" t="str">
        <x:v>23</x:v>
      </x:c>
      <x:c r="BE74" s="6" t="str">
        <x:v>19</x:v>
      </x:c>
      <x:c r="BF74" s="6" t="str">
        <x:v>0</x:v>
      </x:c>
      <x:c r="BG74" s="6" t="str">
        <x:v>0</x:v>
      </x:c>
      <x:c r="BH74" s="6" t="str">
        <x:v>0</x:v>
      </x:c>
      <x:c r="BI74" s="6" t="str">
        <x:v>4</x:v>
      </x:c>
      <x:c r="BJ74" s="6" t="str">
        <x:v>0</x:v>
      </x:c>
      <x:c r="BK74" s="6" t="str">
        <x:v>0</x:v>
      </x:c>
      <x:c r="BL74" s="6" t="str">
        <x:v>0</x:v>
      </x:c>
      <x:c r="BM74" s="6" t="str">
        <x:v>0</x:v>
      </x:c>
      <x:c r="BN74" s="6" t="str">
        <x:v>23</x:v>
      </x:c>
      <x:c r="BO74" s="6" t="str">
        <x:v>0.0</x:v>
      </x:c>
      <x:c r="BP74" s="6" t="str">
        <x:v>23</x:v>
      </x:c>
      <x:c r="BQ74" s="6" t="str">
        <x:v>0.0</x:v>
      </x:c>
      <x:c r="BR74" s="6" t="str">
        <x:v>23</x:v>
      </x:c>
      <x:c r="BS74" s="6" t="str">
        <x:v>0.0</x:v>
      </x:c>
      <x:c r="BT74" s="6" t="str">
        <x:v>23</x:v>
      </x:c>
      <x:c r="BU74" s="6" t="str">
        <x:v>45440.0</x:v>
      </x:c>
      <x:c r="BV74" s="6" t="str">
        <x:v>19</x:v>
      </x:c>
      <x:c r="BW74" s="9" t="str">
        <x:v>operational_snapshot_annual_totals_may_differ</x:v>
      </x:c>
      <x:c r="BX74" s="9" t="str">
        <x:v>official_live_dashboard_snapshot_subject_to_revision</x:v>
      </x:c>
      <x:c r="BY74" s="9" t="str">
        <x:v>https://tbdashboard.sitb.id/ss_data_tbc03so_2024_provinsi_bulanan_list.php</x:v>
      </x:c>
      <x:c r="BZ74" s="6" t="n">
        <x:v>46246.610671296294</x:v>
      </x:c>
    </x:row>
    <x:row r="75" ht="18" customHeight="1">
      <x:c r="A75" s="6" t="str">
        <x:v>14</x:v>
      </x:c>
      <x:c r="B75" s="6" t="str">
        <x:v>RIAU</x:v>
      </x:c>
      <x:c r="C75" s="6" t="str">
        <x:v>2024</x:v>
      </x:c>
      <x:c r="D75" s="6" t="str">
        <x:v>2</x:v>
      </x:c>
      <x:c r="E75" s="6" t="str">
        <x:v>2024-02</x:v>
      </x:c>
      <x:c r="F75" s="6" t="str">
        <x:v>1130</x:v>
      </x:c>
      <x:c r="G75" s="6" t="str">
        <x:v>230</x:v>
      </x:c>
      <x:c r="H75" s="6" t="str">
        <x:v>753</x:v>
      </x:c>
      <x:c r="I75" s="6" t="str">
        <x:v>101</x:v>
      </x:c>
      <x:c r="J75" s="6" t="str">
        <x:v>42</x:v>
      </x:c>
      <x:c r="K75" s="6" t="str">
        <x:v>2</x:v>
      </x:c>
      <x:c r="L75" s="6" t="str">
        <x:v>0</x:v>
      </x:c>
      <x:c r="M75" s="6" t="str">
        <x:v>2</x:v>
      </x:c>
      <x:c r="N75" s="6" t="str">
        <x:v>1130</x:v>
      </x:c>
      <x:c r="O75" s="6" t="str">
        <x:v>0</x:v>
      </x:c>
      <x:c r="P75" s="10" t="n">
        <x:f>F75-M75</x:f>
        <x:v>1128</x:v>
      </x:c>
      <x:c r="Q75" s="11" t="n">
        <x:f>IFERROR(M75/F75,"")</x:f>
        <x:v>0.0017699115044247787</x:v>
      </x:c>
      <x:c r="R75" s="10" t="n">
        <x:f>G75+H75</x:f>
        <x:v>983</x:v>
      </x:c>
      <x:c r="S75" s="11" t="n">
        <x:f>IFERROR(R75/F75,"")</x:f>
        <x:v>0.8699115044247787</x:v>
      </x:c>
      <x:c r="T75" s="11" t="n">
        <x:f>IFERROR(R75/P75,"")</x:f>
        <x:v>0.8714539007092199</x:v>
      </x:c>
      <x:c r="U75" s="10" t="n">
        <x:f>I75+J75+K75</x:f>
        <x:v>145</x:v>
      </x:c>
      <x:c r="V75" s="11" t="n">
        <x:f>IFERROR(U75/P75,"")</x:f>
        <x:v>0.12854609929078015</x:v>
      </x:c>
      <x:c r="W75" s="9" t="str">
        <x:v>mature_le_5pct_pending</x:v>
      </x:c>
      <x:c r="X75" s="12" t="n">
        <x:f>IFERROR(F75/Z75*100000,"")</x:f>
        <x:v>16.795231937694147</x:v>
      </x:c>
      <x:c r="Y75" s="13" t="n">
        <x:f>LN(Z75)</x:f>
        <x:v>15.72180334378249</x:v>
      </x:c>
      <x:c r="Z75" s="6" t="str">
        <x:v>6728100</x:v>
      </x:c>
      <x:c r="AA75" s="6" t="str">
        <x:v>75.0</x:v>
      </x:c>
      <x:c r="AB75" s="9" t="str">
        <x:v>2024-06-30</x:v>
      </x:c>
      <x:c r="AC75" s="8" t="str">
        <x:v>86.3</x:v>
      </x:c>
      <x:c r="AD75" s="9" t="str">
        <x:v>2024 (Susenas)</x:v>
      </x:c>
      <x:c r="AE75" s="8" t="str">
        <x:v>6.67</x:v>
      </x:c>
      <x:c r="AF75" s="9" t="str">
        <x:v>Maret 2024 (Susenas)</x:v>
      </x:c>
      <x:c r="AG75" s="6" t="str">
        <x:v>27.08313490633876</x:v>
      </x:c>
      <x:c r="AH75" s="8" t="str">
        <x:v>89.56925679396984</x:v>
      </x:c>
      <x:c r="AI75" s="6" t="str">
        <x:v>313.8849389694716</x:v>
      </x:c>
      <x:c r="AJ75" s="6" t="str">
        <x:v>1.1634579422896645</x:v>
      </x:c>
      <x:c r="AK75" s="8" t="str">
        <x:v>2.8480291335016537</x:v>
      </x:c>
      <x:c r="AL75" s="6" t="str">
        <x:v>1.942252909757508</x:v>
      </x:c>
      <x:c r="AM75" s="6" t="str">
        <x:v>3.459843967101026</x:v>
      </x:c>
      <x:c r="AN75" s="6" t="str">
        <x:v>2.7500420034533963</x:v>
      </x:c>
      <x:c r="AO75" s="6" t="str">
        <x:v>1.3652741360922107</x:v>
      </x:c>
      <x:c r="AP75" s="8" t="str">
        <x:v>1.322537444252113</x:v>
      </x:c>
      <x:c r="AQ75" s="6" t="str">
        <x:v>1.9514337035436244</x:v>
      </x:c>
      <x:c r="AR75" s="6" t="str">
        <x:v>1.9673430835432368</x:v>
      </x:c>
      <x:c r="AS75" s="6" t="str">
        <x:v>1.747104743779658</x:v>
      </x:c>
      <x:c r="AT75" s="6" t="str">
        <x:v>159.5504451974353</x:v>
      </x:c>
      <x:c r="AU75" s="8" t="str">
        <x:v>2.416692190905294</x:v>
      </x:c>
      <x:c r="AV75" s="6" t="str">
        <x:v>2.205307024810019</x:v>
      </x:c>
      <x:c r="AW75" s="6" t="str">
        <x:v>1.8958011700703965</x:v>
      </x:c>
      <x:c r="AX75" s="6" t="str">
        <x:v>2.1726001285952363</x:v>
      </x:c>
      <x:c r="AY75" s="6" t="str">
        <x:v>1</x:v>
      </x:c>
      <x:c r="AZ75" s="6" t="str">
        <x:v>1</x:v>
      </x:c>
      <x:c r="BA75" s="9" t="str">
        <x:v>grid_cells_within_BIG_polygon</x:v>
      </x:c>
      <x:c r="BB75" s="6" t="str">
        <x:v>22</x:v>
      </x:c>
      <x:c r="BC75" s="6" t="str">
        <x:v>7</x:v>
      </x:c>
      <x:c r="BD75" s="6" t="str">
        <x:v>7</x:v>
      </x:c>
      <x:c r="BE75" s="6" t="str">
        <x:v>6</x:v>
      </x:c>
      <x:c r="BF75" s="6" t="str">
        <x:v>0</x:v>
      </x:c>
      <x:c r="BG75" s="6" t="str">
        <x:v>0</x:v>
      </x:c>
      <x:c r="BH75" s="6" t="str">
        <x:v>0</x:v>
      </x:c>
      <x:c r="BI75" s="6" t="str">
        <x:v>1</x:v>
      </x:c>
      <x:c r="BJ75" s="6" t="str">
        <x:v>0</x:v>
      </x:c>
      <x:c r="BK75" s="6" t="str">
        <x:v>0</x:v>
      </x:c>
      <x:c r="BL75" s="6" t="str">
        <x:v>0</x:v>
      </x:c>
      <x:c r="BM75" s="6" t="str">
        <x:v>0</x:v>
      </x:c>
      <x:c r="BN75" s="6" t="str">
        <x:v>7</x:v>
      </x:c>
      <x:c r="BO75" s="6" t="str">
        <x:v>0.0</x:v>
      </x:c>
      <x:c r="BP75" s="6" t="str">
        <x:v>7</x:v>
      </x:c>
      <x:c r="BQ75" s="6" t="str">
        <x:v>0.0</x:v>
      </x:c>
      <x:c r="BR75" s="6" t="str">
        <x:v>7</x:v>
      </x:c>
      <x:c r="BS75" s="6" t="str">
        <x:v>0.0</x:v>
      </x:c>
      <x:c r="BT75" s="6" t="str">
        <x:v>7</x:v>
      </x:c>
      <x:c r="BU75" s="6" t="str">
        <x:v>405.0</x:v>
      </x:c>
      <x:c r="BV75" s="6" t="str">
        <x:v>6</x:v>
      </x:c>
      <x:c r="BW75" s="9" t="str">
        <x:v>operational_snapshot_annual_totals_may_differ</x:v>
      </x:c>
      <x:c r="BX75" s="9" t="str">
        <x:v>official_live_dashboard_snapshot_subject_to_revision</x:v>
      </x:c>
      <x:c r="BY75" s="9" t="str">
        <x:v>https://tbdashboard.sitb.id/ss_data_tbc03so_2024_provinsi_bulanan_list.php</x:v>
      </x:c>
      <x:c r="BZ75" s="6" t="n">
        <x:v>46246.610671296294</x:v>
      </x:c>
    </x:row>
    <x:row r="76" ht="18" customHeight="1">
      <x:c r="A76" s="6" t="str">
        <x:v>14</x:v>
      </x:c>
      <x:c r="B76" s="6" t="str">
        <x:v>RIAU</x:v>
      </x:c>
      <x:c r="C76" s="6" t="str">
        <x:v>2024</x:v>
      </x:c>
      <x:c r="D76" s="6" t="str">
        <x:v>3</x:v>
      </x:c>
      <x:c r="E76" s="6" t="str">
        <x:v>2024-03</x:v>
      </x:c>
      <x:c r="F76" s="6" t="str">
        <x:v>1283</x:v>
      </x:c>
      <x:c r="G76" s="6" t="str">
        <x:v>277</x:v>
      </x:c>
      <x:c r="H76" s="6" t="str">
        <x:v>845</x:v>
      </x:c>
      <x:c r="I76" s="6" t="str">
        <x:v>105</x:v>
      </x:c>
      <x:c r="J76" s="6" t="str">
        <x:v>53</x:v>
      </x:c>
      <x:c r="K76" s="6" t="str">
        <x:v>3</x:v>
      </x:c>
      <x:c r="L76" s="6" t="str">
        <x:v>0</x:v>
      </x:c>
      <x:c r="M76" s="6" t="str">
        <x:v>0</x:v>
      </x:c>
      <x:c r="N76" s="6" t="str">
        <x:v>1283</x:v>
      </x:c>
      <x:c r="O76" s="6" t="str">
        <x:v>0</x:v>
      </x:c>
      <x:c r="P76" s="10" t="n">
        <x:f>F76-M76</x:f>
        <x:v>1283</x:v>
      </x:c>
      <x:c r="Q76" s="11" t="n">
        <x:f>IFERROR(M76/F76,"")</x:f>
        <x:v>0</x:v>
      </x:c>
      <x:c r="R76" s="10" t="n">
        <x:f>G76+H76</x:f>
        <x:v>1122</x:v>
      </x:c>
      <x:c r="S76" s="11" t="n">
        <x:f>IFERROR(R76/F76,"")</x:f>
        <x:v>0.8745128604832424</x:v>
      </x:c>
      <x:c r="T76" s="11" t="n">
        <x:f>IFERROR(R76/P76,"")</x:f>
        <x:v>0.8745128604832424</x:v>
      </x:c>
      <x:c r="U76" s="10" t="n">
        <x:f>I76+J76+K76</x:f>
        <x:v>161</x:v>
      </x:c>
      <x:c r="V76" s="11" t="n">
        <x:f>IFERROR(U76/P76,"")</x:f>
        <x:v>0.1254871395167576</x:v>
      </x:c>
      <x:c r="W76" s="9" t="str">
        <x:v>mature_le_5pct_pending</x:v>
      </x:c>
      <x:c r="X76" s="12" t="n">
        <x:f>IFERROR(F76/Z76*100000,"")</x:f>
        <x:v>19.06927661598371</x:v>
      </x:c>
      <x:c r="Y76" s="13" t="n">
        <x:f>LN(Z76)</x:f>
        <x:v>15.72180334378249</x:v>
      </x:c>
      <x:c r="Z76" s="6" t="str">
        <x:v>6728100</x:v>
      </x:c>
      <x:c r="AA76" s="6" t="str">
        <x:v>75.0</x:v>
      </x:c>
      <x:c r="AB76" s="9" t="str">
        <x:v>2024-06-30</x:v>
      </x:c>
      <x:c r="AC76" s="8" t="str">
        <x:v>86.3</x:v>
      </x:c>
      <x:c r="AD76" s="9" t="str">
        <x:v>2024 (Susenas)</x:v>
      </x:c>
      <x:c r="AE76" s="8" t="str">
        <x:v>6.67</x:v>
      </x:c>
      <x:c r="AF76" s="9" t="str">
        <x:v>Maret 2024 (Susenas)</x:v>
      </x:c>
      <x:c r="AG76" s="6" t="str">
        <x:v>27.304500288585647</x:v>
      </x:c>
      <x:c r="AH76" s="8" t="str">
        <x:v>88.94826385985444</x:v>
      </x:c>
      <x:c r="AI76" s="6" t="str">
        <x:v>244.4521722150804</x:v>
      </x:c>
      <x:c r="AJ76" s="6" t="str">
        <x:v>1.0522793265246868</x:v>
      </x:c>
      <x:c r="AK76" s="8" t="str">
        <x:v>2.496176300997076</x:v>
      </x:c>
      <x:c r="AL76" s="6" t="str">
        <x:v>2.8480291335016537</x:v>
      </x:c>
      <x:c r="AM76" s="6" t="str">
        <x:v>1.942252909757508</x:v>
      </x:c>
      <x:c r="AN76" s="6" t="str">
        <x:v>2.428819448085413</x:v>
      </x:c>
      <x:c r="AO76" s="6" t="str">
        <x:v>0.4006660845670353</x:v>
      </x:c>
      <x:c r="AP76" s="8" t="str">
        <x:v>0.3893191344887889</x:v>
      </x:c>
      <x:c r="AQ76" s="6" t="str">
        <x:v>1.322537444252113</x:v>
      </x:c>
      <x:c r="AR76" s="6" t="str">
        <x:v>1.9514337035436244</x:v>
      </x:c>
      <x:c r="AS76" s="6" t="str">
        <x:v>1.2210967607615084</x:v>
      </x:c>
      <x:c r="AT76" s="6" t="str">
        <x:v>6.474691219235552</x:v>
      </x:c>
      <x:c r="AU76" s="8" t="str">
        <x:v>0.0888049297862708</x:v>
      </x:c>
      <x:c r="AV76" s="6" t="str">
        <x:v>2.416692190905294</x:v>
      </x:c>
      <x:c r="AW76" s="6" t="str">
        <x:v>2.205307024810019</x:v>
      </x:c>
      <x:c r="AX76" s="6" t="str">
        <x:v>1.5702680485005276</x:v>
      </x:c>
      <x:c r="AY76" s="6" t="str">
        <x:v>0</x:v>
      </x:c>
      <x:c r="AZ76" s="6" t="str">
        <x:v>1</x:v>
      </x:c>
      <x:c r="BA76" s="9" t="str">
        <x:v>grid_cells_within_BIG_polygon</x:v>
      </x:c>
      <x:c r="BB76" s="6" t="str">
        <x:v>22</x:v>
      </x:c>
      <x:c r="BC76" s="6" t="str">
        <x:v>3</x:v>
      </x:c>
      <x:c r="BD76" s="6" t="str">
        <x:v>3</x:v>
      </x:c>
      <x:c r="BE76" s="6" t="str">
        <x:v>2</x:v>
      </x:c>
      <x:c r="BF76" s="6" t="str">
        <x:v>0</x:v>
      </x:c>
      <x:c r="BG76" s="6" t="str">
        <x:v>0</x:v>
      </x:c>
      <x:c r="BH76" s="6" t="str">
        <x:v>0</x:v>
      </x:c>
      <x:c r="BI76" s="6" t="str">
        <x:v>1</x:v>
      </x:c>
      <x:c r="BJ76" s="6" t="str">
        <x:v>0</x:v>
      </x:c>
      <x:c r="BK76" s="6" t="str">
        <x:v>0</x:v>
      </x:c>
      <x:c r="BL76" s="6" t="str">
        <x:v>0</x:v>
      </x:c>
      <x:c r="BM76" s="6" t="str">
        <x:v>0</x:v>
      </x:c>
      <x:c r="BN76" s="6" t="str">
        <x:v>3</x:v>
      </x:c>
      <x:c r="BO76" s="6" t="str">
        <x:v>0.0</x:v>
      </x:c>
      <x:c r="BP76" s="6" t="str">
        <x:v>3</x:v>
      </x:c>
      <x:c r="BQ76" s="6" t="str">
        <x:v>0.0</x:v>
      </x:c>
      <x:c r="BR76" s="6" t="str">
        <x:v>3</x:v>
      </x:c>
      <x:c r="BS76" s="6" t="str">
        <x:v>0.0</x:v>
      </x:c>
      <x:c r="BT76" s="6" t="str">
        <x:v>3</x:v>
      </x:c>
      <x:c r="BU76" s="6" t="str">
        <x:v>626.0</x:v>
      </x:c>
      <x:c r="BV76" s="6" t="str">
        <x:v>2</x:v>
      </x:c>
      <x:c r="BW76" s="9" t="str">
        <x:v>operational_snapshot_annual_totals_may_differ</x:v>
      </x:c>
      <x:c r="BX76" s="9" t="str">
        <x:v>official_live_dashboard_snapshot_subject_to_revision</x:v>
      </x:c>
      <x:c r="BY76" s="9" t="str">
        <x:v>https://tbdashboard.sitb.id/ss_data_tbc03so_2024_provinsi_bulanan_list.php</x:v>
      </x:c>
      <x:c r="BZ76" s="6" t="n">
        <x:v>46246.610671296294</x:v>
      </x:c>
    </x:row>
    <x:row r="77" ht="18" customHeight="1">
      <x:c r="A77" s="6" t="str">
        <x:v>14</x:v>
      </x:c>
      <x:c r="B77" s="6" t="str">
        <x:v>RIAU</x:v>
      </x:c>
      <x:c r="C77" s="6" t="str">
        <x:v>2024</x:v>
      </x:c>
      <x:c r="D77" s="6" t="str">
        <x:v>4</x:v>
      </x:c>
      <x:c r="E77" s="6" t="str">
        <x:v>2024-04</x:v>
      </x:c>
      <x:c r="F77" s="6" t="str">
        <x:v>1093</x:v>
      </x:c>
      <x:c r="G77" s="6" t="str">
        <x:v>243</x:v>
      </x:c>
      <x:c r="H77" s="6" t="str">
        <x:v>713</x:v>
      </x:c>
      <x:c r="I77" s="6" t="str">
        <x:v>92</x:v>
      </x:c>
      <x:c r="J77" s="6" t="str">
        <x:v>43</x:v>
      </x:c>
      <x:c r="K77" s="6" t="str">
        <x:v>2</x:v>
      </x:c>
      <x:c r="L77" s="6" t="str">
        <x:v>0</x:v>
      </x:c>
      <x:c r="M77" s="6" t="str">
        <x:v>0</x:v>
      </x:c>
      <x:c r="N77" s="6" t="str">
        <x:v>1093</x:v>
      </x:c>
      <x:c r="O77" s="6" t="str">
        <x:v>0</x:v>
      </x:c>
      <x:c r="P77" s="10" t="n">
        <x:f>F77-M77</x:f>
        <x:v>1093</x:v>
      </x:c>
      <x:c r="Q77" s="11" t="n">
        <x:f>IFERROR(M77/F77,"")</x:f>
        <x:v>0</x:v>
      </x:c>
      <x:c r="R77" s="10" t="n">
        <x:f>G77+H77</x:f>
        <x:v>956</x:v>
      </x:c>
      <x:c r="S77" s="11" t="n">
        <x:f>IFERROR(R77/F77,"")</x:f>
        <x:v>0.8746569075937786</x:v>
      </x:c>
      <x:c r="T77" s="11" t="n">
        <x:f>IFERROR(R77/P77,"")</x:f>
        <x:v>0.8746569075937786</x:v>
      </x:c>
      <x:c r="U77" s="10" t="n">
        <x:f>I77+J77+K77</x:f>
        <x:v>137</x:v>
      </x:c>
      <x:c r="V77" s="11" t="n">
        <x:f>IFERROR(U77/P77,"")</x:f>
        <x:v>0.1253430924062214</x:v>
      </x:c>
      <x:c r="W77" s="9" t="str">
        <x:v>mature_le_5pct_pending</x:v>
      </x:c>
      <x:c r="X77" s="12" t="n">
        <x:f>IFERROR(F77/Z77*100000,"")</x:f>
        <x:v>16.24529956451301</x:v>
      </x:c>
      <x:c r="Y77" s="13" t="n">
        <x:f>LN(Z77)</x:f>
        <x:v>15.72180334378249</x:v>
      </x:c>
      <x:c r="Z77" s="6" t="str">
        <x:v>6728100</x:v>
      </x:c>
      <x:c r="AA77" s="6" t="str">
        <x:v>75.0</x:v>
      </x:c>
      <x:c r="AB77" s="9" t="str">
        <x:v>2024-06-30</x:v>
      </x:c>
      <x:c r="AC77" s="8" t="str">
        <x:v>86.3</x:v>
      </x:c>
      <x:c r="AD77" s="9" t="str">
        <x:v>2024 (Susenas)</x:v>
      </x:c>
      <x:c r="AE77" s="8" t="str">
        <x:v>6.67</x:v>
      </x:c>
      <x:c r="AF77" s="9" t="str">
        <x:v>Maret 2024 (Susenas)</x:v>
      </x:c>
      <x:c r="AG77" s="6" t="str">
        <x:v>27.66588119704594</x:v>
      </x:c>
      <x:c r="AH77" s="8" t="str">
        <x:v>90.26319762709092</x:v>
      </x:c>
      <x:c r="AI77" s="6" t="str">
        <x:v>308.59073274797635</x:v>
      </x:c>
      <x:c r="AJ77" s="6" t="str">
        <x:v>1.1060520250444092</x:v>
      </x:c>
      <x:c r="AK77" s="8" t="str">
        <x:v>2.9881607182919816</x:v>
      </x:c>
      <x:c r="AL77" s="6" t="str">
        <x:v>2.496176300997076</x:v>
      </x:c>
      <x:c r="AM77" s="6" t="str">
        <x:v>2.8480291335016537</x:v>
      </x:c>
      <x:c r="AN77" s="6" t="str">
        <x:v>2.7774553842635705</x:v>
      </x:c>
      <x:c r="AO77" s="6" t="str">
        <x:v>0.9467184148826816</x:v>
      </x:c>
      <x:c r="AP77" s="8" t="str">
        <x:v>1.2255716008509874</x:v>
      </x:c>
      <x:c r="AQ77" s="6" t="str">
        <x:v>0.3893191344887889</x:v>
      </x:c>
      <x:c r="AR77" s="6" t="str">
        <x:v>1.322537444252113</x:v>
      </x:c>
      <x:c r="AS77" s="6" t="str">
        <x:v>0.9791427265306296</x:v>
      </x:c>
      <x:c r="AT77" s="6" t="str">
        <x:v>50.91739414654154</x:v>
      </x:c>
      <x:c r="AU77" s="8" t="str">
        <x:v>0.8918685353507702</x:v>
      </x:c>
      <x:c r="AV77" s="6" t="str">
        <x:v>0.0888049297862708</x:v>
      </x:c>
      <x:c r="AW77" s="6" t="str">
        <x:v>2.416692190905294</x:v>
      </x:c>
      <x:c r="AX77" s="6" t="str">
        <x:v>1.132455218680778</x:v>
      </x:c>
      <x:c r="AY77" s="6" t="str">
        <x:v>0</x:v>
      </x:c>
      <x:c r="AZ77" s="6" t="str">
        <x:v>1</x:v>
      </x:c>
      <x:c r="BA77" s="9" t="str">
        <x:v>grid_cells_within_BIG_polygon</x:v>
      </x:c>
      <x:c r="BB77" s="6" t="str">
        <x:v>22</x:v>
      </x:c>
      <x:c r="BC77" s="6" t="str">
        <x:v>0</x:v>
      </x:c>
      <x:c r="BD77" s="6" t="str">
        <x:v>0</x:v>
      </x:c>
      <x:c r="BE77" s="6" t="str">
        <x:v>0</x:v>
      </x:c>
      <x:c r="BF77" s="6" t="str">
        <x:v>0</x:v>
      </x:c>
      <x:c r="BG77" s="6" t="str">
        <x:v>0</x:v>
      </x:c>
      <x:c r="BH77" s="6" t="str">
        <x:v>0</x:v>
      </x:c>
      <x:c r="BI77" s="6" t="str">
        <x:v>0</x:v>
      </x:c>
      <x:c r="BJ77" s="6" t="str">
        <x:v>0</x:v>
      </x:c>
      <x:c r="BK77" s="6" t="str">
        <x:v>0</x:v>
      </x:c>
      <x:c r="BL77" s="6" t="str">
        <x:v>0</x:v>
      </x:c>
      <x:c r="BM77" s="6" t="str">
        <x:v>0</x:v>
      </x:c>
      <x:c r="BN77" s="6" t="str">
        <x:v>0</x:v>
      </x:c>
      <x:c r="BO77" s="6" t="str"/>
      <x:c r="BP77" s="6" t="str">
        <x:v>0</x:v>
      </x:c>
      <x:c r="BQ77" s="6" t="str"/>
      <x:c r="BR77" s="6" t="str">
        <x:v>0</x:v>
      </x:c>
      <x:c r="BS77" s="6" t="str"/>
      <x:c r="BT77" s="6" t="str">
        <x:v>0</x:v>
      </x:c>
      <x:c r="BU77" s="6" t="str"/>
      <x:c r="BV77" s="6" t="str">
        <x:v>0</x:v>
      </x:c>
      <x:c r="BW77" s="9" t="str">
        <x:v>operational_snapshot_annual_totals_may_differ</x:v>
      </x:c>
      <x:c r="BX77" s="9" t="str">
        <x:v>official_live_dashboard_snapshot_subject_to_revision</x:v>
      </x:c>
      <x:c r="BY77" s="9" t="str">
        <x:v>https://tbdashboard.sitb.id/ss_data_tbc03so_2024_provinsi_bulanan_list.php</x:v>
      </x:c>
      <x:c r="BZ77" s="6" t="n">
        <x:v>46246.610671296294</x:v>
      </x:c>
    </x:row>
    <x:row r="78" ht="18" customHeight="1">
      <x:c r="A78" s="6" t="str">
        <x:v>14</x:v>
      </x:c>
      <x:c r="B78" s="6" t="str">
        <x:v>RIAU</x:v>
      </x:c>
      <x:c r="C78" s="6" t="str">
        <x:v>2024</x:v>
      </x:c>
      <x:c r="D78" s="6" t="str">
        <x:v>5</x:v>
      </x:c>
      <x:c r="E78" s="6" t="str">
        <x:v>2024-05</x:v>
      </x:c>
      <x:c r="F78" s="6" t="str">
        <x:v>1423</x:v>
      </x:c>
      <x:c r="G78" s="6" t="str">
        <x:v>351</x:v>
      </x:c>
      <x:c r="H78" s="6" t="str">
        <x:v>910</x:v>
      </x:c>
      <x:c r="I78" s="6" t="str">
        <x:v>111</x:v>
      </x:c>
      <x:c r="J78" s="6" t="str">
        <x:v>49</x:v>
      </x:c>
      <x:c r="K78" s="6" t="str">
        <x:v>2</x:v>
      </x:c>
      <x:c r="L78" s="6" t="str">
        <x:v>0</x:v>
      </x:c>
      <x:c r="M78" s="6" t="str">
        <x:v>0</x:v>
      </x:c>
      <x:c r="N78" s="6" t="str">
        <x:v>1423</x:v>
      </x:c>
      <x:c r="O78" s="6" t="str">
        <x:v>0</x:v>
      </x:c>
      <x:c r="P78" s="10" t="n">
        <x:f>F78-M78</x:f>
        <x:v>1423</x:v>
      </x:c>
      <x:c r="Q78" s="11" t="n">
        <x:f>IFERROR(M78/F78,"")</x:f>
        <x:v>0</x:v>
      </x:c>
      <x:c r="R78" s="10" t="n">
        <x:f>G78+H78</x:f>
        <x:v>1261</x:v>
      </x:c>
      <x:c r="S78" s="11" t="n">
        <x:f>IFERROR(R78/F78,"")</x:f>
        <x:v>0.8861560084328882</x:v>
      </x:c>
      <x:c r="T78" s="11" t="n">
        <x:f>IFERROR(R78/P78,"")</x:f>
        <x:v>0.8861560084328882</x:v>
      </x:c>
      <x:c r="U78" s="10" t="n">
        <x:f>I78+J78+K78</x:f>
        <x:v>162</x:v>
      </x:c>
      <x:c r="V78" s="11" t="n">
        <x:f>IFERROR(U78/P78,"")</x:f>
        <x:v>0.11384399156711174</x:v>
      </x:c>
      <x:c r="W78" s="9" t="str">
        <x:v>mature_le_5pct_pending</x:v>
      </x:c>
      <x:c r="X78" s="12" t="n">
        <x:f>IFERROR(F78/Z78*100000,"")</x:f>
        <x:v>21.150101811804223</x:v>
      </x:c>
      <x:c r="Y78" s="13" t="n">
        <x:f>LN(Z78)</x:f>
        <x:v>15.72180334378249</x:v>
      </x:c>
      <x:c r="Z78" s="6" t="str">
        <x:v>6728100</x:v>
      </x:c>
      <x:c r="AA78" s="6" t="str">
        <x:v>75.0</x:v>
      </x:c>
      <x:c r="AB78" s="9" t="str">
        <x:v>2024-06-30</x:v>
      </x:c>
      <x:c r="AC78" s="8" t="str">
        <x:v>86.3</x:v>
      </x:c>
      <x:c r="AD78" s="9" t="str">
        <x:v>2024 (Susenas)</x:v>
      </x:c>
      <x:c r="AE78" s="8" t="str">
        <x:v>6.67</x:v>
      </x:c>
      <x:c r="AF78" s="9" t="str">
        <x:v>Maret 2024 (Susenas)</x:v>
      </x:c>
      <x:c r="AG78" s="6" t="str">
        <x:v>27.45406196250116</x:v>
      </x:c>
      <x:c r="AH78" s="8" t="str">
        <x:v>91.86044347809734</x:v>
      </x:c>
      <x:c r="AI78" s="6" t="str">
        <x:v>380.83992869918217</x:v>
      </x:c>
      <x:c r="AJ78" s="6" t="str">
        <x:v>0.7837364128991453</x:v>
      </x:c>
      <x:c r="AK78" s="8" t="str">
        <x:v>2.490861303911909</x:v>
      </x:c>
      <x:c r="AL78" s="6" t="str">
        <x:v>2.9881607182919816</x:v>
      </x:c>
      <x:c r="AM78" s="6" t="str">
        <x:v>2.496176300997076</x:v>
      </x:c>
      <x:c r="AN78" s="6" t="str">
        <x:v>2.658399441066989</x:v>
      </x:c>
      <x:c r="AO78" s="6" t="str">
        <x:v>2.25610138886303</x:v>
      </x:c>
      <x:c r="AP78" s="8" t="str">
        <x:v>2.880064979618323</x:v>
      </x:c>
      <x:c r="AQ78" s="6" t="str">
        <x:v>1.2255716008509874</x:v>
      </x:c>
      <x:c r="AR78" s="6" t="str">
        <x:v>0.3893191344887889</x:v>
      </x:c>
      <x:c r="AS78" s="6" t="str">
        <x:v>1.4983185716526997</x:v>
      </x:c>
      <x:c r="AT78" s="6" t="str">
        <x:v>175.38488638800524</x:v>
      </x:c>
      <x:c r="AU78" s="8" t="str">
        <x:v>3.019465520672929</x:v>
      </x:c>
      <x:c r="AV78" s="6" t="str">
        <x:v>0.8918685353507702</x:v>
      </x:c>
      <x:c r="AW78" s="6" t="str">
        <x:v>0.0888049297862708</x:v>
      </x:c>
      <x:c r="AX78" s="6" t="str">
        <x:v>1.3333796619366567</x:v>
      </x:c>
      <x:c r="AY78" s="6" t="str">
        <x:v>1</x:v>
      </x:c>
      <x:c r="AZ78" s="6" t="str">
        <x:v>1</x:v>
      </x:c>
      <x:c r="BA78" s="9" t="str">
        <x:v>grid_cells_within_BIG_polygon</x:v>
      </x:c>
      <x:c r="BB78" s="6" t="str">
        <x:v>22</x:v>
      </x:c>
      <x:c r="BC78" s="6" t="str">
        <x:v>9</x:v>
      </x:c>
      <x:c r="BD78" s="6" t="str">
        <x:v>9</x:v>
      </x:c>
      <x:c r="BE78" s="6" t="str">
        <x:v>8</x:v>
      </x:c>
      <x:c r="BF78" s="6" t="str">
        <x:v>0</x:v>
      </x:c>
      <x:c r="BG78" s="6" t="str">
        <x:v>0</x:v>
      </x:c>
      <x:c r="BH78" s="6" t="str">
        <x:v>0</x:v>
      </x:c>
      <x:c r="BI78" s="6" t="str">
        <x:v>1</x:v>
      </x:c>
      <x:c r="BJ78" s="6" t="str">
        <x:v>0</x:v>
      </x:c>
      <x:c r="BK78" s="6" t="str">
        <x:v>0</x:v>
      </x:c>
      <x:c r="BL78" s="6" t="str">
        <x:v>0</x:v>
      </x:c>
      <x:c r="BM78" s="6" t="str">
        <x:v>0</x:v>
      </x:c>
      <x:c r="BN78" s="6" t="str">
        <x:v>9</x:v>
      </x:c>
      <x:c r="BO78" s="6" t="str">
        <x:v>0.0</x:v>
      </x:c>
      <x:c r="BP78" s="6" t="str">
        <x:v>9</x:v>
      </x:c>
      <x:c r="BQ78" s="6" t="str">
        <x:v>0.0</x:v>
      </x:c>
      <x:c r="BR78" s="6" t="str">
        <x:v>9</x:v>
      </x:c>
      <x:c r="BS78" s="6" t="str">
        <x:v>0.0</x:v>
      </x:c>
      <x:c r="BT78" s="6" t="str">
        <x:v>9</x:v>
      </x:c>
      <x:c r="BU78" s="6" t="str">
        <x:v>1946.0</x:v>
      </x:c>
      <x:c r="BV78" s="6" t="str">
        <x:v>8</x:v>
      </x:c>
      <x:c r="BW78" s="9" t="str">
        <x:v>operational_snapshot_annual_totals_may_differ</x:v>
      </x:c>
      <x:c r="BX78" s="9" t="str">
        <x:v>official_live_dashboard_snapshot_subject_to_revision</x:v>
      </x:c>
      <x:c r="BY78" s="9" t="str">
        <x:v>https://tbdashboard.sitb.id/ss_data_tbc03so_2024_provinsi_bulanan_list.php</x:v>
      </x:c>
      <x:c r="BZ78" s="6" t="n">
        <x:v>46246.610671296294</x:v>
      </x:c>
    </x:row>
    <x:row r="79" ht="18" customHeight="1">
      <x:c r="A79" s="6" t="str">
        <x:v>14</x:v>
      </x:c>
      <x:c r="B79" s="6" t="str">
        <x:v>RIAU</x:v>
      </x:c>
      <x:c r="C79" s="6" t="str">
        <x:v>2024</x:v>
      </x:c>
      <x:c r="D79" s="6" t="str">
        <x:v>6</x:v>
      </x:c>
      <x:c r="E79" s="6" t="str">
        <x:v>2024-06</x:v>
      </x:c>
      <x:c r="F79" s="6" t="str">
        <x:v>1310</x:v>
      </x:c>
      <x:c r="G79" s="6" t="str">
        <x:v>292</x:v>
      </x:c>
      <x:c r="H79" s="6" t="str">
        <x:v>848</x:v>
      </x:c>
      <x:c r="I79" s="6" t="str">
        <x:v>114</x:v>
      </x:c>
      <x:c r="J79" s="6" t="str">
        <x:v>49</x:v>
      </x:c>
      <x:c r="K79" s="6" t="str">
        <x:v>5</x:v>
      </x:c>
      <x:c r="L79" s="6" t="str">
        <x:v>2</x:v>
      </x:c>
      <x:c r="M79" s="6" t="str">
        <x:v>0</x:v>
      </x:c>
      <x:c r="N79" s="6" t="str">
        <x:v>1310</x:v>
      </x:c>
      <x:c r="O79" s="6" t="str">
        <x:v>0</x:v>
      </x:c>
      <x:c r="P79" s="10" t="n">
        <x:f>F79-M79</x:f>
        <x:v>1310</x:v>
      </x:c>
      <x:c r="Q79" s="11" t="n">
        <x:f>IFERROR(M79/F79,"")</x:f>
        <x:v>0</x:v>
      </x:c>
      <x:c r="R79" s="10" t="n">
        <x:f>G79+H79</x:f>
        <x:v>1140</x:v>
      </x:c>
      <x:c r="S79" s="11" t="n">
        <x:f>IFERROR(R79/F79,"")</x:f>
        <x:v>0.8702290076335878</x:v>
      </x:c>
      <x:c r="T79" s="11" t="n">
        <x:f>IFERROR(R79/P79,"")</x:f>
        <x:v>0.8702290076335878</x:v>
      </x:c>
      <x:c r="U79" s="10" t="n">
        <x:f>I79+J79+K79</x:f>
        <x:v>168</x:v>
      </x:c>
      <x:c r="V79" s="11" t="n">
        <x:f>IFERROR(U79/P79,"")</x:f>
        <x:v>0.1282442748091603</x:v>
      </x:c>
      <x:c r="W79" s="9" t="str">
        <x:v>mature_le_5pct_pending</x:v>
      </x:c>
      <x:c r="X79" s="12" t="n">
        <x:f>IFERROR(F79/Z79*100000,"")</x:f>
        <x:v>19.47057861803481</x:v>
      </x:c>
      <x:c r="Y79" s="13" t="n">
        <x:f>LN(Z79)</x:f>
        <x:v>15.72180334378249</x:v>
      </x:c>
      <x:c r="Z79" s="6" t="str">
        <x:v>6728100</x:v>
      </x:c>
      <x:c r="AA79" s="6" t="str">
        <x:v>75.0</x:v>
      </x:c>
      <x:c r="AB79" s="9" t="str">
        <x:v>2024-06-30</x:v>
      </x:c>
      <x:c r="AC79" s="8" t="str">
        <x:v>86.3</x:v>
      </x:c>
      <x:c r="AD79" s="9" t="str">
        <x:v>2024 (Susenas)</x:v>
      </x:c>
      <x:c r="AE79" s="8" t="str">
        <x:v>6.67</x:v>
      </x:c>
      <x:c r="AF79" s="9" t="str">
        <x:v>Maret 2024 (Susenas)</x:v>
      </x:c>
      <x:c r="AG79" s="6" t="str">
        <x:v>26.96178055007168</x:v>
      </x:c>
      <x:c r="AH79" s="8" t="str">
        <x:v>90.3764110623179</x:v>
      </x:c>
      <x:c r="AI79" s="6" t="str">
        <x:v>284.75399438501944</x:v>
      </x:c>
      <x:c r="AJ79" s="6" t="str">
        <x:v>0.7359005878443554</x:v>
      </x:c>
      <x:c r="AK79" s="8" t="str">
        <x:v>2.9728364923429624</x:v>
      </x:c>
      <x:c r="AL79" s="6" t="str">
        <x:v>2.490861303911909</x:v>
      </x:c>
      <x:c r="AM79" s="6" t="str">
        <x:v>2.9881607182919816</x:v>
      </x:c>
      <x:c r="AN79" s="6" t="str">
        <x:v>2.817286171515617</x:v>
      </x:c>
      <x:c r="AO79" s="6" t="str">
        <x:v>0.9995536870457612</x:v>
      </x:c>
      <x:c r="AP79" s="8" t="str">
        <x:v>1.3363163147021373</x:v>
      </x:c>
      <x:c r="AQ79" s="6" t="str">
        <x:v>2.880064979618323</x:v>
      </x:c>
      <x:c r="AR79" s="6" t="str">
        <x:v>1.2255716008509874</x:v>
      </x:c>
      <x:c r="AS79" s="6" t="str">
        <x:v>1.8139842983904824</x:v>
      </x:c>
      <x:c r="AT79" s="6" t="str">
        <x:v>130.95672831640815</x:v>
      </x:c>
      <x:c r="AU79" s="8" t="str">
        <x:v>2.576925455652827</x:v>
      </x:c>
      <x:c r="AV79" s="6" t="str">
        <x:v>3.019465520672929</x:v>
      </x:c>
      <x:c r="AW79" s="6" t="str">
        <x:v>0.8918685353507702</x:v>
      </x:c>
      <x:c r="AX79" s="6" t="str">
        <x:v>2.162753170558842</x:v>
      </x:c>
      <x:c r="AY79" s="6" t="str">
        <x:v>1</x:v>
      </x:c>
      <x:c r="AZ79" s="6" t="str">
        <x:v>1</x:v>
      </x:c>
      <x:c r="BA79" s="9" t="str">
        <x:v>grid_cells_within_BIG_polygon</x:v>
      </x:c>
      <x:c r="BB79" s="6" t="str">
        <x:v>22</x:v>
      </x:c>
      <x:c r="BC79" s="6" t="str">
        <x:v>1</x:v>
      </x:c>
      <x:c r="BD79" s="6" t="str">
        <x:v>1</x:v>
      </x:c>
      <x:c r="BE79" s="6" t="str">
        <x:v>1</x:v>
      </x:c>
      <x:c r="BF79" s="6" t="str">
        <x:v>0</x:v>
      </x:c>
      <x:c r="BG79" s="6" t="str">
        <x:v>0</x:v>
      </x:c>
      <x:c r="BH79" s="6" t="str">
        <x:v>0</x:v>
      </x:c>
      <x:c r="BI79" s="6" t="str">
        <x:v>0</x:v>
      </x:c>
      <x:c r="BJ79" s="6" t="str">
        <x:v>0</x:v>
      </x:c>
      <x:c r="BK79" s="6" t="str">
        <x:v>0</x:v>
      </x:c>
      <x:c r="BL79" s="6" t="str">
        <x:v>0</x:v>
      </x:c>
      <x:c r="BM79" s="6" t="str">
        <x:v>0</x:v>
      </x:c>
      <x:c r="BN79" s="6" t="str">
        <x:v>1</x:v>
      </x:c>
      <x:c r="BO79" s="6" t="str">
        <x:v>0.0</x:v>
      </x:c>
      <x:c r="BP79" s="6" t="str">
        <x:v>1</x:v>
      </x:c>
      <x:c r="BQ79" s="6" t="str">
        <x:v>0.0</x:v>
      </x:c>
      <x:c r="BR79" s="6" t="str">
        <x:v>1</x:v>
      </x:c>
      <x:c r="BS79" s="6" t="str">
        <x:v>0.0</x:v>
      </x:c>
      <x:c r="BT79" s="6" t="str">
        <x:v>1</x:v>
      </x:c>
      <x:c r="BU79" s="6" t="str">
        <x:v>20.0</x:v>
      </x:c>
      <x:c r="BV79" s="6" t="str">
        <x:v>1</x:v>
      </x:c>
      <x:c r="BW79" s="9" t="str">
        <x:v>operational_snapshot_annual_totals_may_differ</x:v>
      </x:c>
      <x:c r="BX79" s="9" t="str">
        <x:v>official_live_dashboard_snapshot_subject_to_revision</x:v>
      </x:c>
      <x:c r="BY79" s="9" t="str">
        <x:v>https://tbdashboard.sitb.id/ss_data_tbc03so_2024_provinsi_bulanan_list.php</x:v>
      </x:c>
      <x:c r="BZ79" s="6" t="n">
        <x:v>46246.610671296294</x:v>
      </x:c>
    </x:row>
    <x:row r="80" ht="18" customHeight="1">
      <x:c r="A80" s="6" t="str">
        <x:v>14</x:v>
      </x:c>
      <x:c r="B80" s="6" t="str">
        <x:v>RIAU</x:v>
      </x:c>
      <x:c r="C80" s="6" t="str">
        <x:v>2024</x:v>
      </x:c>
      <x:c r="D80" s="6" t="str">
        <x:v>7</x:v>
      </x:c>
      <x:c r="E80" s="6" t="str">
        <x:v>2024-07</x:v>
      </x:c>
      <x:c r="F80" s="6" t="str">
        <x:v>1389</x:v>
      </x:c>
      <x:c r="G80" s="6" t="str">
        <x:v>364</x:v>
      </x:c>
      <x:c r="H80" s="6" t="str">
        <x:v>844</x:v>
      </x:c>
      <x:c r="I80" s="6" t="str">
        <x:v>117</x:v>
      </x:c>
      <x:c r="J80" s="6" t="str">
        <x:v>59</x:v>
      </x:c>
      <x:c r="K80" s="6" t="str">
        <x:v>1</x:v>
      </x:c>
      <x:c r="L80" s="6" t="str">
        <x:v>4</x:v>
      </x:c>
      <x:c r="M80" s="6" t="str">
        <x:v>0</x:v>
      </x:c>
      <x:c r="N80" s="6" t="str">
        <x:v>1389</x:v>
      </x:c>
      <x:c r="O80" s="6" t="str">
        <x:v>0</x:v>
      </x:c>
      <x:c r="P80" s="10" t="n">
        <x:f>F80-M80</x:f>
        <x:v>1389</x:v>
      </x:c>
      <x:c r="Q80" s="11" t="n">
        <x:f>IFERROR(M80/F80,"")</x:f>
        <x:v>0</x:v>
      </x:c>
      <x:c r="R80" s="10" t="n">
        <x:f>G80+H80</x:f>
        <x:v>1208</x:v>
      </x:c>
      <x:c r="S80" s="11" t="n">
        <x:f>IFERROR(R80/F80,"")</x:f>
        <x:v>0.8696904247660188</x:v>
      </x:c>
      <x:c r="T80" s="11" t="n">
        <x:f>IFERROR(R80/P80,"")</x:f>
        <x:v>0.8696904247660188</x:v>
      </x:c>
      <x:c r="U80" s="10" t="n">
        <x:f>I80+J80+K80</x:f>
        <x:v>177</x:v>
      </x:c>
      <x:c r="V80" s="11" t="n">
        <x:f>IFERROR(U80/P80,"")</x:f>
        <x:v>0.12742980561555076</x:v>
      </x:c>
      <x:c r="W80" s="9" t="str">
        <x:v>mature_le_5pct_pending</x:v>
      </x:c>
      <x:c r="X80" s="12" t="n">
        <x:f>IFERROR(F80/Z80*100000,"")</x:f>
        <x:v>20.6447585499621</x:v>
      </x:c>
      <x:c r="Y80" s="13" t="n">
        <x:f>LN(Z80)</x:f>
        <x:v>15.72180334378249</x:v>
      </x:c>
      <x:c r="Z80" s="6" t="str">
        <x:v>6728100</x:v>
      </x:c>
      <x:c r="AA80" s="6" t="str">
        <x:v>75.0</x:v>
      </x:c>
      <x:c r="AB80" s="9" t="str">
        <x:v>2024-06-30</x:v>
      </x:c>
      <x:c r="AC80" s="8" t="str">
        <x:v>86.3</x:v>
      </x:c>
      <x:c r="AD80" s="9" t="str">
        <x:v>2024 (Susenas)</x:v>
      </x:c>
      <x:c r="AE80" s="8" t="str">
        <x:v>6.67</x:v>
      </x:c>
      <x:c r="AF80" s="9" t="str">
        <x:v>Maret 2024 (Susenas)</x:v>
      </x:c>
      <x:c r="AG80" s="6" t="str">
        <x:v>26.891780671303128</x:v>
      </x:c>
      <x:c r="AH80" s="8" t="str">
        <x:v>89.14903809550951</x:v>
      </x:c>
      <x:c r="AI80" s="6" t="str">
        <x:v>106.7923898194898</x:v>
      </x:c>
      <x:c r="AJ80" s="6" t="str">
        <x:v>0.9705217493617226</x:v>
      </x:c>
      <x:c r="AK80" s="8" t="str">
        <x:v>4.001003260773841</x:v>
      </x:c>
      <x:c r="AL80" s="6" t="str">
        <x:v>2.9728364923429624</x:v>
      </x:c>
      <x:c r="AM80" s="6" t="str">
        <x:v>2.490861303911909</x:v>
      </x:c>
      <x:c r="AN80" s="6" t="str">
        <x:v>3.154900352342904</x:v>
      </x:c>
      <x:c r="AO80" s="6" t="str">
        <x:v>0.1681216816438393</x:v>
      </x:c>
      <x:c r="AP80" s="8" t="str">
        <x:v>0.2179220953139037</x:v>
      </x:c>
      <x:c r="AQ80" s="6" t="str">
        <x:v>1.3363163147021373</x:v>
      </x:c>
      <x:c r="AR80" s="6" t="str">
        <x:v>2.880064979618323</x:v>
      </x:c>
      <x:c r="AS80" s="6" t="str">
        <x:v>1.478101129878121</x:v>
      </x:c>
      <x:c r="AT80" s="6" t="str">
        <x:v>-51.547958653373456</x:v>
      </x:c>
      <x:c r="AU80" s="8" t="str">
        <x:v>-0.8899249307964582</x:v>
      </x:c>
      <x:c r="AV80" s="6" t="str">
        <x:v>2.576925455652827</x:v>
      </x:c>
      <x:c r="AW80" s="6" t="str">
        <x:v>3.019465520672929</x:v>
      </x:c>
      <x:c r="AX80" s="6" t="str">
        <x:v>1.5688220151764325</x:v>
      </x:c>
      <x:c r="AY80" s="6" t="str">
        <x:v>0</x:v>
      </x:c>
      <x:c r="AZ80" s="6" t="str">
        <x:v>1</x:v>
      </x:c>
      <x:c r="BA80" s="9" t="str">
        <x:v>grid_cells_within_BIG_polygon</x:v>
      </x:c>
      <x:c r="BB80" s="6" t="str">
        <x:v>22</x:v>
      </x:c>
      <x:c r="BC80" s="6" t="str">
        <x:v>5</x:v>
      </x:c>
      <x:c r="BD80" s="6" t="str">
        <x:v>5</x:v>
      </x:c>
      <x:c r="BE80" s="6" t="str">
        <x:v>0</x:v>
      </x:c>
      <x:c r="BF80" s="6" t="str">
        <x:v>0</x:v>
      </x:c>
      <x:c r="BG80" s="6" t="str">
        <x:v>0</x:v>
      </x:c>
      <x:c r="BH80" s="6" t="str">
        <x:v>0</x:v>
      </x:c>
      <x:c r="BI80" s="6" t="str">
        <x:v>3</x:v>
      </x:c>
      <x:c r="BJ80" s="6" t="str">
        <x:v>2</x:v>
      </x:c>
      <x:c r="BK80" s="6" t="str">
        <x:v>0</x:v>
      </x:c>
      <x:c r="BL80" s="6" t="str">
        <x:v>0</x:v>
      </x:c>
      <x:c r="BM80" s="6" t="str">
        <x:v>0</x:v>
      </x:c>
      <x:c r="BN80" s="6" t="str">
        <x:v>5</x:v>
      </x:c>
      <x:c r="BO80" s="6" t="str">
        <x:v>0.0</x:v>
      </x:c>
      <x:c r="BP80" s="6" t="str">
        <x:v>5</x:v>
      </x:c>
      <x:c r="BQ80" s="6" t="str">
        <x:v>0.0</x:v>
      </x:c>
      <x:c r="BR80" s="6" t="str">
        <x:v>5</x:v>
      </x:c>
      <x:c r="BS80" s="6" t="str">
        <x:v>16.0</x:v>
      </x:c>
      <x:c r="BT80" s="6" t="str">
        <x:v>5</x:v>
      </x:c>
      <x:c r="BU80" s="6" t="str">
        <x:v>6.0</x:v>
      </x:c>
      <x:c r="BV80" s="6" t="str">
        <x:v>1</x:v>
      </x:c>
      <x:c r="BW80" s="9" t="str">
        <x:v>operational_snapshot_annual_totals_may_differ</x:v>
      </x:c>
      <x:c r="BX80" s="9" t="str">
        <x:v>official_live_dashboard_snapshot_subject_to_revision</x:v>
      </x:c>
      <x:c r="BY80" s="9" t="str">
        <x:v>https://tbdashboard.sitb.id/ss_data_tbc03so_2024_provinsi_bulanan_list.php</x:v>
      </x:c>
      <x:c r="BZ80" s="6" t="n">
        <x:v>46246.610671296294</x:v>
      </x:c>
    </x:row>
    <x:row r="81" ht="18" customHeight="1">
      <x:c r="A81" s="6" t="str">
        <x:v>14</x:v>
      </x:c>
      <x:c r="B81" s="6" t="str">
        <x:v>RIAU</x:v>
      </x:c>
      <x:c r="C81" s="6" t="str">
        <x:v>2024</x:v>
      </x:c>
      <x:c r="D81" s="6" t="str">
        <x:v>8</x:v>
      </x:c>
      <x:c r="E81" s="6" t="str">
        <x:v>2024-08</x:v>
      </x:c>
      <x:c r="F81" s="6" t="str">
        <x:v>1375</x:v>
      </x:c>
      <x:c r="G81" s="6" t="str">
        <x:v>319</x:v>
      </x:c>
      <x:c r="H81" s="6" t="str">
        <x:v>844</x:v>
      </x:c>
      <x:c r="I81" s="6" t="str">
        <x:v>146</x:v>
      </x:c>
      <x:c r="J81" s="6" t="str">
        <x:v>64</x:v>
      </x:c>
      <x:c r="K81" s="6" t="str">
        <x:v>1</x:v>
      </x:c>
      <x:c r="L81" s="6" t="str">
        <x:v>1</x:v>
      </x:c>
      <x:c r="M81" s="6" t="str">
        <x:v>0</x:v>
      </x:c>
      <x:c r="N81" s="6" t="str">
        <x:v>1375</x:v>
      </x:c>
      <x:c r="O81" s="6" t="str">
        <x:v>0</x:v>
      </x:c>
      <x:c r="P81" s="10" t="n">
        <x:f>F81-M81</x:f>
        <x:v>1375</x:v>
      </x:c>
      <x:c r="Q81" s="11" t="n">
        <x:f>IFERROR(M81/F81,"")</x:f>
        <x:v>0</x:v>
      </x:c>
      <x:c r="R81" s="10" t="n">
        <x:f>G81+H81</x:f>
        <x:v>1163</x:v>
      </x:c>
      <x:c r="S81" s="11" t="n">
        <x:f>IFERROR(R81/F81,"")</x:f>
        <x:v>0.8458181818181818</x:v>
      </x:c>
      <x:c r="T81" s="11" t="n">
        <x:f>IFERROR(R81/P81,"")</x:f>
        <x:v>0.8458181818181818</x:v>
      </x:c>
      <x:c r="U81" s="10" t="n">
        <x:f>I81+J81+K81</x:f>
        <x:v>211</x:v>
      </x:c>
      <x:c r="V81" s="11" t="n">
        <x:f>IFERROR(U81/P81,"")</x:f>
        <x:v>0.15345454545454545</x:v>
      </x:c>
      <x:c r="W81" s="9" t="str">
        <x:v>mature_le_5pct_pending</x:v>
      </x:c>
      <x:c r="X81" s="12" t="n">
        <x:f>IFERROR(F81/Z81*100000,"")</x:f>
        <x:v>20.43667603038005</x:v>
      </x:c>
      <x:c r="Y81" s="13" t="n">
        <x:f>LN(Z81)</x:f>
        <x:v>15.72180334378249</x:v>
      </x:c>
      <x:c r="Z81" s="6" t="str">
        <x:v>6728100</x:v>
      </x:c>
      <x:c r="AA81" s="6" t="str">
        <x:v>75.0</x:v>
      </x:c>
      <x:c r="AB81" s="9" t="str">
        <x:v>2024-06-30</x:v>
      </x:c>
      <x:c r="AC81" s="8" t="str">
        <x:v>86.3</x:v>
      </x:c>
      <x:c r="AD81" s="9" t="str">
        <x:v>2024 (Susenas)</x:v>
      </x:c>
      <x:c r="AE81" s="8" t="str">
        <x:v>6.67</x:v>
      </x:c>
      <x:c r="AF81" s="9" t="str">
        <x:v>Maret 2024 (Susenas)</x:v>
      </x:c>
      <x:c r="AG81" s="6" t="str">
        <x:v>26.78268564108832</x:v>
      </x:c>
      <x:c r="AH81" s="8" t="str">
        <x:v>89.16044140120754</x:v>
      </x:c>
      <x:c r="AI81" s="6" t="str">
        <x:v>206.5847393015263</x:v>
      </x:c>
      <x:c r="AJ81" s="6" t="str">
        <x:v>0.804499047777739</x:v>
      </x:c>
      <x:c r="AK81" s="8" t="str">
        <x:v>3.532359313907428</x:v>
      </x:c>
      <x:c r="AL81" s="6" t="str">
        <x:v>4.001003260773841</x:v>
      </x:c>
      <x:c r="AM81" s="6" t="str">
        <x:v>2.9728364923429624</x:v>
      </x:c>
      <x:c r="AN81" s="6" t="str">
        <x:v>3.502066355674744</x:v>
      </x:c>
      <x:c r="AO81" s="6" t="str">
        <x:v>0.8430449889671934</x:v>
      </x:c>
      <x:c r="AP81" s="8" t="str">
        <x:v>1.032800158003801</x:v>
      </x:c>
      <x:c r="AQ81" s="6" t="str">
        <x:v>0.2179220953139037</x:v>
      </x:c>
      <x:c r="AR81" s="6" t="str">
        <x:v>1.3363163147021373</x:v>
      </x:c>
      <x:c r="AS81" s="6" t="str">
        <x:v>0.8623461893399472</x:v>
      </x:c>
      <x:c r="AT81" s="6" t="str">
        <x:v>30.765735048858403</x:v>
      </x:c>
      <x:c r="AU81" s="8" t="str">
        <x:v>0.4310838914155736</x:v>
      </x:c>
      <x:c r="AV81" s="6" t="str">
        <x:v>-0.8899249307964582</x:v>
      </x:c>
      <x:c r="AW81" s="6" t="str">
        <x:v>2.576925455652827</x:v>
      </x:c>
      <x:c r="AX81" s="6" t="str">
        <x:v>0.706028138757314</x:v>
      </x:c>
      <x:c r="AY81" s="6" t="str">
        <x:v>0</x:v>
      </x:c>
      <x:c r="AZ81" s="6" t="str">
        <x:v>1</x:v>
      </x:c>
      <x:c r="BA81" s="9" t="str">
        <x:v>grid_cells_within_BIG_polygon</x:v>
      </x:c>
      <x:c r="BB81" s="6" t="str">
        <x:v>22</x:v>
      </x:c>
      <x:c r="BC81" s="6" t="str">
        <x:v>0</x:v>
      </x:c>
      <x:c r="BD81" s="6" t="str">
        <x:v>0</x:v>
      </x:c>
      <x:c r="BE81" s="6" t="str">
        <x:v>0</x:v>
      </x:c>
      <x:c r="BF81" s="6" t="str">
        <x:v>0</x:v>
      </x:c>
      <x:c r="BG81" s="6" t="str">
        <x:v>0</x:v>
      </x:c>
      <x:c r="BH81" s="6" t="str">
        <x:v>0</x:v>
      </x:c>
      <x:c r="BI81" s="6" t="str">
        <x:v>0</x:v>
      </x:c>
      <x:c r="BJ81" s="6" t="str">
        <x:v>0</x:v>
      </x:c>
      <x:c r="BK81" s="6" t="str">
        <x:v>0</x:v>
      </x:c>
      <x:c r="BL81" s="6" t="str">
        <x:v>0</x:v>
      </x:c>
      <x:c r="BM81" s="6" t="str">
        <x:v>0</x:v>
      </x:c>
      <x:c r="BN81" s="6" t="str">
        <x:v>0</x:v>
      </x:c>
      <x:c r="BO81" s="6" t="str"/>
      <x:c r="BP81" s="6" t="str">
        <x:v>0</x:v>
      </x:c>
      <x:c r="BQ81" s="6" t="str"/>
      <x:c r="BR81" s="6" t="str">
        <x:v>0</x:v>
      </x:c>
      <x:c r="BS81" s="6" t="str"/>
      <x:c r="BT81" s="6" t="str">
        <x:v>0</x:v>
      </x:c>
      <x:c r="BU81" s="6" t="str"/>
      <x:c r="BV81" s="6" t="str">
        <x:v>0</x:v>
      </x:c>
      <x:c r="BW81" s="9" t="str">
        <x:v>operational_snapshot_annual_totals_may_differ</x:v>
      </x:c>
      <x:c r="BX81" s="9" t="str">
        <x:v>official_live_dashboard_snapshot_subject_to_revision</x:v>
      </x:c>
      <x:c r="BY81" s="9" t="str">
        <x:v>https://tbdashboard.sitb.id/ss_data_tbc03so_2024_provinsi_bulanan_list.php</x:v>
      </x:c>
      <x:c r="BZ81" s="6" t="n">
        <x:v>46246.610671296294</x:v>
      </x:c>
    </x:row>
    <x:row r="82" ht="18" customHeight="1">
      <x:c r="A82" s="6" t="str">
        <x:v>14</x:v>
      </x:c>
      <x:c r="B82" s="6" t="str">
        <x:v>RIAU</x:v>
      </x:c>
      <x:c r="C82" s="6" t="str">
        <x:v>2024</x:v>
      </x:c>
      <x:c r="D82" s="6" t="str">
        <x:v>9</x:v>
      </x:c>
      <x:c r="E82" s="6" t="str">
        <x:v>2024-09</x:v>
      </x:c>
      <x:c r="F82" s="6" t="str">
        <x:v>1249</x:v>
      </x:c>
      <x:c r="G82" s="6" t="str">
        <x:v>307</x:v>
      </x:c>
      <x:c r="H82" s="6" t="str">
        <x:v>763</x:v>
      </x:c>
      <x:c r="I82" s="6" t="str">
        <x:v>118</x:v>
      </x:c>
      <x:c r="J82" s="6" t="str">
        <x:v>59</x:v>
      </x:c>
      <x:c r="K82" s="6" t="str">
        <x:v>1</x:v>
      </x:c>
      <x:c r="L82" s="6" t="str">
        <x:v>1</x:v>
      </x:c>
      <x:c r="M82" s="6" t="str">
        <x:v>0</x:v>
      </x:c>
      <x:c r="N82" s="6" t="str">
        <x:v>1249</x:v>
      </x:c>
      <x:c r="O82" s="6" t="str">
        <x:v>0</x:v>
      </x:c>
      <x:c r="P82" s="10" t="n">
        <x:f>F82-M82</x:f>
        <x:v>1249</x:v>
      </x:c>
      <x:c r="Q82" s="11" t="n">
        <x:f>IFERROR(M82/F82,"")</x:f>
        <x:v>0</x:v>
      </x:c>
      <x:c r="R82" s="10" t="n">
        <x:f>G82+H82</x:f>
        <x:v>1070</x:v>
      </x:c>
      <x:c r="S82" s="11" t="n">
        <x:f>IFERROR(R82/F82,"")</x:f>
        <x:v>0.8566853482786229</x:v>
      </x:c>
      <x:c r="T82" s="11" t="n">
        <x:f>IFERROR(R82/P82,"")</x:f>
        <x:v>0.8566853482786229</x:v>
      </x:c>
      <x:c r="U82" s="10" t="n">
        <x:f>I82+J82+K82</x:f>
        <x:v>178</x:v>
      </x:c>
      <x:c r="V82" s="11" t="n">
        <x:f>IFERROR(U82/P82,"")</x:f>
        <x:v>0.14251401120896717</x:v>
      </x:c>
      <x:c r="W82" s="9" t="str">
        <x:v>mature_le_5pct_pending</x:v>
      </x:c>
      <x:c r="X82" s="12" t="n">
        <x:f>IFERROR(F82/Z82*100000,"")</x:f>
        <x:v>18.563933354141586</x:v>
      </x:c>
      <x:c r="Y82" s="13" t="n">
        <x:f>LN(Z82)</x:f>
        <x:v>15.72180334378249</x:v>
      </x:c>
      <x:c r="Z82" s="6" t="str">
        <x:v>6728100</x:v>
      </x:c>
      <x:c r="AA82" s="6" t="str">
        <x:v>75.0</x:v>
      </x:c>
      <x:c r="AB82" s="9" t="str">
        <x:v>2024-06-30</x:v>
      </x:c>
      <x:c r="AC82" s="8" t="str">
        <x:v>86.3</x:v>
      </x:c>
      <x:c r="AD82" s="9" t="str">
        <x:v>2024 (Susenas)</x:v>
      </x:c>
      <x:c r="AE82" s="8" t="str">
        <x:v>6.67</x:v>
      </x:c>
      <x:c r="AF82" s="9" t="str">
        <x:v>Maret 2024 (Susenas)</x:v>
      </x:c>
      <x:c r="AG82" s="6" t="str">
        <x:v>26.985427673382823</x:v>
      </x:c>
      <x:c r="AH82" s="8" t="str">
        <x:v>87.78497071633306</x:v>
      </x:c>
      <x:c r="AI82" s="6" t="str">
        <x:v>199.2269580256</x:v>
      </x:c>
      <x:c r="AJ82" s="6" t="str">
        <x:v>0.9490737906418688</x:v>
      </x:c>
      <x:c r="AK82" s="8" t="str">
        <x:v>3.750186591899832</x:v>
      </x:c>
      <x:c r="AL82" s="6" t="str">
        <x:v>3.532359313907428</x:v>
      </x:c>
      <x:c r="AM82" s="6" t="str">
        <x:v>4.001003260773841</x:v>
      </x:c>
      <x:c r="AN82" s="6" t="str">
        <x:v>3.761183055527033</x:v>
      </x:c>
      <x:c r="AO82" s="6" t="str">
        <x:v>-0.2306914623554803</x:v>
      </x:c>
      <x:c r="AP82" s="8" t="str">
        <x:v>-0.2935037306759444</x:v>
      </x:c>
      <x:c r="AQ82" s="6" t="str">
        <x:v>1.032800158003801</x:v>
      </x:c>
      <x:c r="AR82" s="6" t="str">
        <x:v>0.2179220953139037</x:v>
      </x:c>
      <x:c r="AS82" s="6" t="str">
        <x:v>0.3190728408805866</x:v>
      </x:c>
      <x:c r="AT82" s="6" t="str">
        <x:v>2.274287241302545</x:v>
      </x:c>
      <x:c r="AU82" s="8" t="str">
        <x:v>0.0308805593972718</x:v>
      </x:c>
      <x:c r="AV82" s="6" t="str">
        <x:v>0.4310838914155736</x:v>
      </x:c>
      <x:c r="AW82" s="6" t="str">
        <x:v>-0.8899249307964582</x:v>
      </x:c>
      <x:c r="AX82" s="6" t="str">
        <x:v>-0.142653493327871</x:v>
      </x:c>
      <x:c r="AY82" s="6" t="str">
        <x:v>0</x:v>
      </x:c>
      <x:c r="AZ82" s="6" t="str">
        <x:v>1</x:v>
      </x:c>
      <x:c r="BA82" s="9" t="str">
        <x:v>grid_cells_within_BIG_polygon</x:v>
      </x:c>
      <x:c r="BB82" s="6" t="str">
        <x:v>22</x:v>
      </x:c>
      <x:c r="BC82" s="6" t="str">
        <x:v>0</x:v>
      </x:c>
      <x:c r="BD82" s="6" t="str">
        <x:v>0</x:v>
      </x:c>
      <x:c r="BE82" s="6" t="str">
        <x:v>0</x:v>
      </x:c>
      <x:c r="BF82" s="6" t="str">
        <x:v>0</x:v>
      </x:c>
      <x:c r="BG82" s="6" t="str">
        <x:v>0</x:v>
      </x:c>
      <x:c r="BH82" s="6" t="str">
        <x:v>0</x:v>
      </x:c>
      <x:c r="BI82" s="6" t="str">
        <x:v>0</x:v>
      </x:c>
      <x:c r="BJ82" s="6" t="str">
        <x:v>0</x:v>
      </x:c>
      <x:c r="BK82" s="6" t="str">
        <x:v>0</x:v>
      </x:c>
      <x:c r="BL82" s="6" t="str">
        <x:v>0</x:v>
      </x:c>
      <x:c r="BM82" s="6" t="str">
        <x:v>0</x:v>
      </x:c>
      <x:c r="BN82" s="6" t="str">
        <x:v>0</x:v>
      </x:c>
      <x:c r="BO82" s="6" t="str"/>
      <x:c r="BP82" s="6" t="str">
        <x:v>0</x:v>
      </x:c>
      <x:c r="BQ82" s="6" t="str"/>
      <x:c r="BR82" s="6" t="str">
        <x:v>0</x:v>
      </x:c>
      <x:c r="BS82" s="6" t="str"/>
      <x:c r="BT82" s="6" t="str">
        <x:v>0</x:v>
      </x:c>
      <x:c r="BU82" s="6" t="str"/>
      <x:c r="BV82" s="6" t="str">
        <x:v>0</x:v>
      </x:c>
      <x:c r="BW82" s="9" t="str">
        <x:v>operational_snapshot_annual_totals_may_differ</x:v>
      </x:c>
      <x:c r="BX82" s="9" t="str">
        <x:v>official_live_dashboard_snapshot_subject_to_revision</x:v>
      </x:c>
      <x:c r="BY82" s="9" t="str">
        <x:v>https://tbdashboard.sitb.id/ss_data_tbc03so_2024_provinsi_bulanan_list.php</x:v>
      </x:c>
      <x:c r="BZ82" s="6" t="n">
        <x:v>46246.610671296294</x:v>
      </x:c>
    </x:row>
    <x:row r="83" ht="18" customHeight="1">
      <x:c r="A83" s="6" t="str">
        <x:v>14</x:v>
      </x:c>
      <x:c r="B83" s="6" t="str">
        <x:v>RIAU</x:v>
      </x:c>
      <x:c r="C83" s="6" t="str">
        <x:v>2024</x:v>
      </x:c>
      <x:c r="D83" s="6" t="str">
        <x:v>10</x:v>
      </x:c>
      <x:c r="E83" s="6" t="str">
        <x:v>2024-10</x:v>
      </x:c>
      <x:c r="F83" s="6" t="str">
        <x:v>1369</x:v>
      </x:c>
      <x:c r="G83" s="6" t="str">
        <x:v>330</x:v>
      </x:c>
      <x:c r="H83" s="6" t="str">
        <x:v>799</x:v>
      </x:c>
      <x:c r="I83" s="6" t="str">
        <x:v>165</x:v>
      </x:c>
      <x:c r="J83" s="6" t="str">
        <x:v>67</x:v>
      </x:c>
      <x:c r="K83" s="6" t="str">
        <x:v>6</x:v>
      </x:c>
      <x:c r="L83" s="6" t="str">
        <x:v>1</x:v>
      </x:c>
      <x:c r="M83" s="6" t="str">
        <x:v>1</x:v>
      </x:c>
      <x:c r="N83" s="6" t="str">
        <x:v>1369</x:v>
      </x:c>
      <x:c r="O83" s="6" t="str">
        <x:v>0</x:v>
      </x:c>
      <x:c r="P83" s="10" t="n">
        <x:f>F83-M83</x:f>
        <x:v>1368</x:v>
      </x:c>
      <x:c r="Q83" s="11" t="n">
        <x:f>IFERROR(M83/F83,"")</x:f>
        <x:v>0.0007304601899196494</x:v>
      </x:c>
      <x:c r="R83" s="10" t="n">
        <x:f>G83+H83</x:f>
        <x:v>1129</x:v>
      </x:c>
      <x:c r="S83" s="11" t="n">
        <x:f>IFERROR(R83/F83,"")</x:f>
        <x:v>0.8246895544192842</x:v>
      </x:c>
      <x:c r="T83" s="11" t="n">
        <x:f>IFERROR(R83/P83,"")</x:f>
        <x:v>0.8252923976608187</x:v>
      </x:c>
      <x:c r="U83" s="10" t="n">
        <x:f>I83+J83+K83</x:f>
        <x:v>238</x:v>
      </x:c>
      <x:c r="V83" s="11" t="n">
        <x:f>IFERROR(U83/P83,"")</x:f>
        <x:v>0.1739766081871345</x:v>
      </x:c>
      <x:c r="W83" s="9" t="str">
        <x:v>mature_le_5pct_pending</x:v>
      </x:c>
      <x:c r="X83" s="12" t="n">
        <x:f>IFERROR(F83/Z83*100000,"")</x:f>
        <x:v>20.347497807702027</x:v>
      </x:c>
      <x:c r="Y83" s="13" t="n">
        <x:f>LN(Z83)</x:f>
        <x:v>15.72180334378249</x:v>
      </x:c>
      <x:c r="Z83" s="6" t="str">
        <x:v>6728100</x:v>
      </x:c>
      <x:c r="AA83" s="6" t="str">
        <x:v>75.0</x:v>
      </x:c>
      <x:c r="AB83" s="9" t="str">
        <x:v>2024-06-30</x:v>
      </x:c>
      <x:c r="AC83" s="8" t="str">
        <x:v>86.3</x:v>
      </x:c>
      <x:c r="AD83" s="9" t="str">
        <x:v>2024 (Susenas)</x:v>
      </x:c>
      <x:c r="AE83" s="8" t="str">
        <x:v>6.67</x:v>
      </x:c>
      <x:c r="AF83" s="9" t="str">
        <x:v>Maret 2024 (Susenas)</x:v>
      </x:c>
      <x:c r="AG83" s="6" t="str">
        <x:v>27.01271193333038</x:v>
      </x:c>
      <x:c r="AH83" s="8" t="str">
        <x:v>87.12586163064928</x:v>
      </x:c>
      <x:c r="AI83" s="6" t="str">
        <x:v>286.977543655257</x:v>
      </x:c>
      <x:c r="AJ83" s="6" t="str">
        <x:v>0.8757535931696445</x:v>
      </x:c>
      <x:c r="AK83" s="8" t="str">
        <x:v>3.796524530988579</x:v>
      </x:c>
      <x:c r="AL83" s="6" t="str">
        <x:v>3.750186591899832</x:v>
      </x:c>
      <x:c r="AM83" s="6" t="str">
        <x:v>3.532359313907428</x:v>
      </x:c>
      <x:c r="AN83" s="6" t="str">
        <x:v>3.6930234789319454</x:v>
      </x:c>
      <x:c r="AO83" s="6" t="str">
        <x:v>-1.1689944931903256</x:v>
      </x:c>
      <x:c r="AP83" s="8" t="str">
        <x:v>-1.1247157046272114</x:v>
      </x:c>
      <x:c r="AQ83" s="6" t="str">
        <x:v>-0.2935037306759444</x:v>
      </x:c>
      <x:c r="AR83" s="6" t="str">
        <x:v>1.032800158003801</x:v>
      </x:c>
      <x:c r="AS83" s="6" t="str">
        <x:v>-0.1284730924331184</x:v>
      </x:c>
      <x:c r="AT83" s="6" t="str">
        <x:v>30.554927563955687</x:v>
      </x:c>
      <x:c r="AU83" s="8" t="str">
        <x:v>0.3559516276693076</x:v>
      </x:c>
      <x:c r="AV83" s="6" t="str">
        <x:v>0.0308805593972718</x:v>
      </x:c>
      <x:c r="AW83" s="6" t="str">
        <x:v>0.4310838914155736</x:v>
      </x:c>
      <x:c r="AX83" s="6" t="str">
        <x:v>0.2726386928273842</x:v>
      </x:c>
      <x:c r="AY83" s="6" t="str">
        <x:v>0</x:v>
      </x:c>
      <x:c r="AZ83" s="6" t="str">
        <x:v>1</x:v>
      </x:c>
      <x:c r="BA83" s="9" t="str">
        <x:v>grid_cells_within_BIG_polygon</x:v>
      </x:c>
      <x:c r="BB83" s="6" t="str">
        <x:v>22</x:v>
      </x:c>
      <x:c r="BC83" s="6" t="str">
        <x:v>5</x:v>
      </x:c>
      <x:c r="BD83" s="6" t="str">
        <x:v>5</x:v>
      </x:c>
      <x:c r="BE83" s="6" t="str">
        <x:v>4</x:v>
      </x:c>
      <x:c r="BF83" s="6" t="str">
        <x:v>0</x:v>
      </x:c>
      <x:c r="BG83" s="6" t="str">
        <x:v>1</x:v>
      </x:c>
      <x:c r="BH83" s="6" t="str">
        <x:v>0</x:v>
      </x:c>
      <x:c r="BI83" s="6" t="str">
        <x:v>0</x:v>
      </x:c>
      <x:c r="BJ83" s="6" t="str">
        <x:v>0</x:v>
      </x:c>
      <x:c r="BK83" s="6" t="str">
        <x:v>0</x:v>
      </x:c>
      <x:c r="BL83" s="6" t="str">
        <x:v>0</x:v>
      </x:c>
      <x:c r="BM83" s="6" t="str">
        <x:v>0</x:v>
      </x:c>
      <x:c r="BN83" s="6" t="str">
        <x:v>5</x:v>
      </x:c>
      <x:c r="BO83" s="6" t="str">
        <x:v>0.0</x:v>
      </x:c>
      <x:c r="BP83" s="6" t="str">
        <x:v>5</x:v>
      </x:c>
      <x:c r="BQ83" s="6" t="str">
        <x:v>0.0</x:v>
      </x:c>
      <x:c r="BR83" s="6" t="str">
        <x:v>5</x:v>
      </x:c>
      <x:c r="BS83" s="6" t="str">
        <x:v>60.0</x:v>
      </x:c>
      <x:c r="BT83" s="6" t="str">
        <x:v>5</x:v>
      </x:c>
      <x:c r="BU83" s="6" t="str">
        <x:v>7826.0</x:v>
      </x:c>
      <x:c r="BV83" s="6" t="str">
        <x:v>4</x:v>
      </x:c>
      <x:c r="BW83" s="9" t="str">
        <x:v>operational_snapshot_annual_totals_may_differ</x:v>
      </x:c>
      <x:c r="BX83" s="9" t="str">
        <x:v>official_live_dashboard_snapshot_subject_to_revision</x:v>
      </x:c>
      <x:c r="BY83" s="9" t="str">
        <x:v>https://tbdashboard.sitb.id/ss_data_tbc03so_2024_provinsi_bulanan_list.php</x:v>
      </x:c>
      <x:c r="BZ83" s="6" t="n">
        <x:v>46246.610671296294</x:v>
      </x:c>
    </x:row>
    <x:row r="84" ht="18" customHeight="1">
      <x:c r="A84" s="6" t="str">
        <x:v>14</x:v>
      </x:c>
      <x:c r="B84" s="6" t="str">
        <x:v>RIAU</x:v>
      </x:c>
      <x:c r="C84" s="6" t="str">
        <x:v>2024</x:v>
      </x:c>
      <x:c r="D84" s="6" t="str">
        <x:v>11</x:v>
      </x:c>
      <x:c r="E84" s="6" t="str">
        <x:v>2024-11</x:v>
      </x:c>
      <x:c r="F84" s="6" t="str">
        <x:v>1352</x:v>
      </x:c>
      <x:c r="G84" s="6" t="str">
        <x:v>330</x:v>
      </x:c>
      <x:c r="H84" s="6" t="str">
        <x:v>822</x:v>
      </x:c>
      <x:c r="I84" s="6" t="str">
        <x:v>146</x:v>
      </x:c>
      <x:c r="J84" s="6" t="str">
        <x:v>52</x:v>
      </x:c>
      <x:c r="K84" s="6" t="str">
        <x:v>0</x:v>
      </x:c>
      <x:c r="L84" s="6" t="str">
        <x:v>2</x:v>
      </x:c>
      <x:c r="M84" s="6" t="str">
        <x:v>0</x:v>
      </x:c>
      <x:c r="N84" s="6" t="str">
        <x:v>1352</x:v>
      </x:c>
      <x:c r="O84" s="6" t="str">
        <x:v>0</x:v>
      </x:c>
      <x:c r="P84" s="10" t="n">
        <x:f>F84-M84</x:f>
        <x:v>1352</x:v>
      </x:c>
      <x:c r="Q84" s="11" t="n">
        <x:f>IFERROR(M84/F84,"")</x:f>
        <x:v>0</x:v>
      </x:c>
      <x:c r="R84" s="10" t="n">
        <x:f>G84+H84</x:f>
        <x:v>1152</x:v>
      </x:c>
      <x:c r="S84" s="11" t="n">
        <x:f>IFERROR(R84/F84,"")</x:f>
        <x:v>0.8520710059171598</x:v>
      </x:c>
      <x:c r="T84" s="11" t="n">
        <x:f>IFERROR(R84/P84,"")</x:f>
        <x:v>0.8520710059171598</x:v>
      </x:c>
      <x:c r="U84" s="10" t="n">
        <x:f>I84+J84+K84</x:f>
        <x:v>198</x:v>
      </x:c>
      <x:c r="V84" s="11" t="n">
        <x:f>IFERROR(U84/P84,"")</x:f>
        <x:v>0.14644970414201183</x:v>
      </x:c>
      <x:c r="W84" s="9" t="str">
        <x:v>mature_le_5pct_pending</x:v>
      </x:c>
      <x:c r="X84" s="12" t="n">
        <x:f>IFERROR(F84/Z84*100000,"")</x:f>
        <x:v>20.094826176780963</x:v>
      </x:c>
      <x:c r="Y84" s="13" t="n">
        <x:f>LN(Z84)</x:f>
        <x:v>15.72180334378249</x:v>
      </x:c>
      <x:c r="Z84" s="6" t="str">
        <x:v>6728100</x:v>
      </x:c>
      <x:c r="AA84" s="6" t="str">
        <x:v>75.0</x:v>
      </x:c>
      <x:c r="AB84" s="9" t="str">
        <x:v>2024-06-30</x:v>
      </x:c>
      <x:c r="AC84" s="8" t="str">
        <x:v>86.3</x:v>
      </x:c>
      <x:c r="AD84" s="9" t="str">
        <x:v>2024 (Susenas)</x:v>
      </x:c>
      <x:c r="AE84" s="8" t="str">
        <x:v>6.67</x:v>
      </x:c>
      <x:c r="AF84" s="9" t="str">
        <x:v>Maret 2024 (Susenas)</x:v>
      </x:c>
      <x:c r="AG84" s="6" t="str">
        <x:v>26.48952326618847</x:v>
      </x:c>
      <x:c r="AH84" s="8" t="str">
        <x:v>89.62228931628515</x:v>
      </x:c>
      <x:c r="AI84" s="6" t="str">
        <x:v>326.9791125956841</x:v>
      </x:c>
      <x:c r="AJ84" s="6" t="str">
        <x:v>0.5290476400898392</x:v>
      </x:c>
      <x:c r="AK84" s="8" t="str">
        <x:v>2.2645002072164155</x:v>
      </x:c>
      <x:c r="AL84" s="6" t="str">
        <x:v>3.796524530988579</x:v>
      </x:c>
      <x:c r="AM84" s="6" t="str">
        <x:v>3.750186591899832</x:v>
      </x:c>
      <x:c r="AN84" s="6" t="str">
        <x:v>3.270403776701609</x:v>
      </x:c>
      <x:c r="AO84" s="6" t="str">
        <x:v>-0.2062910797156121</x:v>
      </x:c>
      <x:c r="AP84" s="8" t="str">
        <x:v>-0.2786894943144021</x:v>
      </x:c>
      <x:c r="AQ84" s="6" t="str">
        <x:v>-1.1247157046272114</x:v>
      </x:c>
      <x:c r="AR84" s="6" t="str">
        <x:v>-0.2935037306759444</x:v>
      </x:c>
      <x:c r="AS84" s="6" t="str">
        <x:v>-0.5656363098725196</x:v>
      </x:c>
      <x:c r="AT84" s="6" t="str">
        <x:v>5.591350681685242</x:v>
      </x:c>
      <x:c r="AU84" s="8" t="str">
        <x:v>0.0767407429392814</x:v>
      </x:c>
      <x:c r="AV84" s="6" t="str">
        <x:v>0.3559516276693076</x:v>
      </x:c>
      <x:c r="AW84" s="6" t="str">
        <x:v>0.0308805593972718</x:v>
      </x:c>
      <x:c r="AX84" s="6" t="str">
        <x:v>0.1545243100019534</x:v>
      </x:c>
      <x:c r="AY84" s="6" t="str">
        <x:v>0</x:v>
      </x:c>
      <x:c r="AZ84" s="6" t="str">
        <x:v>1</x:v>
      </x:c>
      <x:c r="BA84" s="9" t="str">
        <x:v>grid_cells_within_BIG_polygon</x:v>
      </x:c>
      <x:c r="BB84" s="6" t="str">
        <x:v>22</x:v>
      </x:c>
      <x:c r="BC84" s="6" t="str">
        <x:v>6</x:v>
      </x:c>
      <x:c r="BD84" s="6" t="str">
        <x:v>6</x:v>
      </x:c>
      <x:c r="BE84" s="6" t="str">
        <x:v>6</x:v>
      </x:c>
      <x:c r="BF84" s="6" t="str">
        <x:v>0</x:v>
      </x:c>
      <x:c r="BG84" s="6" t="str">
        <x:v>0</x:v>
      </x:c>
      <x:c r="BH84" s="6" t="str">
        <x:v>0</x:v>
      </x:c>
      <x:c r="BI84" s="6" t="str">
        <x:v>0</x:v>
      </x:c>
      <x:c r="BJ84" s="6" t="str">
        <x:v>0</x:v>
      </x:c>
      <x:c r="BK84" s="6" t="str">
        <x:v>0</x:v>
      </x:c>
      <x:c r="BL84" s="6" t="str">
        <x:v>0</x:v>
      </x:c>
      <x:c r="BM84" s="6" t="str">
        <x:v>0</x:v>
      </x:c>
      <x:c r="BN84" s="6" t="str">
        <x:v>6</x:v>
      </x:c>
      <x:c r="BO84" s="6" t="str">
        <x:v>0.0</x:v>
      </x:c>
      <x:c r="BP84" s="6" t="str">
        <x:v>6</x:v>
      </x:c>
      <x:c r="BQ84" s="6" t="str">
        <x:v>0.0</x:v>
      </x:c>
      <x:c r="BR84" s="6" t="str">
        <x:v>6</x:v>
      </x:c>
      <x:c r="BS84" s="6" t="str">
        <x:v>0.0</x:v>
      </x:c>
      <x:c r="BT84" s="6" t="str">
        <x:v>6</x:v>
      </x:c>
      <x:c r="BU84" s="6" t="str">
        <x:v>843.0</x:v>
      </x:c>
      <x:c r="BV84" s="6" t="str">
        <x:v>5</x:v>
      </x:c>
      <x:c r="BW84" s="9" t="str">
        <x:v>operational_snapshot_annual_totals_may_differ</x:v>
      </x:c>
      <x:c r="BX84" s="9" t="str">
        <x:v>official_live_dashboard_snapshot_subject_to_revision</x:v>
      </x:c>
      <x:c r="BY84" s="9" t="str">
        <x:v>https://tbdashboard.sitb.id/ss_data_tbc03so_2024_provinsi_bulanan_list.php</x:v>
      </x:c>
      <x:c r="BZ84" s="6" t="n">
        <x:v>46246.610671296294</x:v>
      </x:c>
    </x:row>
    <x:row r="85" ht="18" customHeight="1">
      <x:c r="A85" s="6" t="str">
        <x:v>14</x:v>
      </x:c>
      <x:c r="B85" s="6" t="str">
        <x:v>RIAU</x:v>
      </x:c>
      <x:c r="C85" s="6" t="str">
        <x:v>2024</x:v>
      </x:c>
      <x:c r="D85" s="6" t="str">
        <x:v>12</x:v>
      </x:c>
      <x:c r="E85" s="6" t="str">
        <x:v>2024-12</x:v>
      </x:c>
      <x:c r="F85" s="6" t="str">
        <x:v>1195</x:v>
      </x:c>
      <x:c r="G85" s="6" t="str">
        <x:v>309</x:v>
      </x:c>
      <x:c r="H85" s="6" t="str">
        <x:v>723</x:v>
      </x:c>
      <x:c r="I85" s="6" t="str">
        <x:v>116</x:v>
      </x:c>
      <x:c r="J85" s="6" t="str">
        <x:v>46</x:v>
      </x:c>
      <x:c r="K85" s="6" t="str">
        <x:v>1</x:v>
      </x:c>
      <x:c r="L85" s="6" t="str">
        <x:v>0</x:v>
      </x:c>
      <x:c r="M85" s="6" t="str">
        <x:v>0</x:v>
      </x:c>
      <x:c r="N85" s="6" t="str">
        <x:v>1195</x:v>
      </x:c>
      <x:c r="O85" s="6" t="str">
        <x:v>0</x:v>
      </x:c>
      <x:c r="P85" s="10" t="n">
        <x:f>F85-M85</x:f>
        <x:v>1195</x:v>
      </x:c>
      <x:c r="Q85" s="11" t="n">
        <x:f>IFERROR(M85/F85,"")</x:f>
        <x:v>0</x:v>
      </x:c>
      <x:c r="R85" s="10" t="n">
        <x:f>G85+H85</x:f>
        <x:v>1032</x:v>
      </x:c>
      <x:c r="S85" s="11" t="n">
        <x:f>IFERROR(R85/F85,"")</x:f>
        <x:v>0.8635983263598327</x:v>
      </x:c>
      <x:c r="T85" s="11" t="n">
        <x:f>IFERROR(R85/P85,"")</x:f>
        <x:v>0.8635983263598327</x:v>
      </x:c>
      <x:c r="U85" s="10" t="n">
        <x:f>I85+J85+K85</x:f>
        <x:v>163</x:v>
      </x:c>
      <x:c r="V85" s="11" t="n">
        <x:f>IFERROR(U85/P85,"")</x:f>
        <x:v>0.13640167364016736</x:v>
      </x:c>
      <x:c r="W85" s="9" t="str">
        <x:v>mature_le_5pct_pending</x:v>
      </x:c>
      <x:c r="X85" s="12" t="n">
        <x:f>IFERROR(F85/Z85*100000,"")</x:f>
        <x:v>17.76132935003939</x:v>
      </x:c>
      <x:c r="Y85" s="13" t="n">
        <x:f>LN(Z85)</x:f>
        <x:v>15.72180334378249</x:v>
      </x:c>
      <x:c r="Z85" s="6" t="str">
        <x:v>6728100</x:v>
      </x:c>
      <x:c r="AA85" s="6" t="str">
        <x:v>75.0</x:v>
      </x:c>
      <x:c r="AB85" s="9" t="str">
        <x:v>2024-06-30</x:v>
      </x:c>
      <x:c r="AC85" s="8" t="str">
        <x:v>86.3</x:v>
      </x:c>
      <x:c r="AD85" s="9" t="str">
        <x:v>2024 (Susenas)</x:v>
      </x:c>
      <x:c r="AE85" s="8" t="str">
        <x:v>6.67</x:v>
      </x:c>
      <x:c r="AF85" s="9" t="str">
        <x:v>Maret 2024 (Susenas)</x:v>
      </x:c>
      <x:c r="AG85" s="6" t="str">
        <x:v>26.170887073299145</x:v>
      </x:c>
      <x:c r="AH85" s="8" t="str">
        <x:v>89.74503629921868</x:v>
      </x:c>
      <x:c r="AI85" s="6" t="str">
        <x:v>198.7812104597112</x:v>
      </x:c>
      <x:c r="AJ85" s="6" t="str">
        <x:v>0.5308105329876867</x:v>
      </x:c>
      <x:c r="AK85" s="8" t="str">
        <x:v>1.8655566539303523</x:v>
      </x:c>
      <x:c r="AL85" s="6" t="str">
        <x:v>2.2645002072164155</x:v>
      </x:c>
      <x:c r="AM85" s="6" t="str">
        <x:v>3.796524530988579</x:v>
      </x:c>
      <x:c r="AN85" s="6" t="str">
        <x:v>2.6421937973784493</x:v>
      </x:c>
      <x:c r="AO85" s="6" t="str">
        <x:v>-0.7282139062668591</x:v>
      </x:c>
      <x:c r="AP85" s="8" t="str">
        <x:v>-1.1473766233394318</x:v>
      </x:c>
      <x:c r="AQ85" s="6" t="str">
        <x:v>-0.2786894943144021</x:v>
      </x:c>
      <x:c r="AR85" s="6" t="str">
        <x:v>-1.1247157046272114</x:v>
      </x:c>
      <x:c r="AS85" s="6" t="str">
        <x:v>-0.8502606074270153</x:v>
      </x:c>
      <x:c r="AT85" s="6" t="str">
        <x:v>-72.99446297989121</x:v>
      </x:c>
      <x:c r="AU85" s="8" t="str">
        <x:v>-0.9769242306913376</x:v>
      </x:c>
      <x:c r="AV85" s="6" t="str">
        <x:v>0.0767407429392814</x:v>
      </x:c>
      <x:c r="AW85" s="6" t="str">
        <x:v>0.3559516276693076</x:v>
      </x:c>
      <x:c r="AX85" s="6" t="str">
        <x:v>-0.1814106200275829</x:v>
      </x:c>
      <x:c r="AY85" s="6" t="str">
        <x:v>0</x:v>
      </x:c>
      <x:c r="AZ85" s="6" t="str">
        <x:v>1</x:v>
      </x:c>
      <x:c r="BA85" s="9" t="str">
        <x:v>grid_cells_within_BIG_polygon</x:v>
      </x:c>
      <x:c r="BB85" s="6" t="str">
        <x:v>22</x:v>
      </x:c>
      <x:c r="BC85" s="6" t="str">
        <x:v>9</x:v>
      </x:c>
      <x:c r="BD85" s="6" t="str">
        <x:v>9</x:v>
      </x:c>
      <x:c r="BE85" s="6" t="str">
        <x:v>7</x:v>
      </x:c>
      <x:c r="BF85" s="6" t="str">
        <x:v>1</x:v>
      </x:c>
      <x:c r="BG85" s="6" t="str">
        <x:v>1</x:v>
      </x:c>
      <x:c r="BH85" s="6" t="str">
        <x:v>0</x:v>
      </x:c>
      <x:c r="BI85" s="6" t="str">
        <x:v>0</x:v>
      </x:c>
      <x:c r="BJ85" s="6" t="str">
        <x:v>0</x:v>
      </x:c>
      <x:c r="BK85" s="6" t="str">
        <x:v>0</x:v>
      </x:c>
      <x:c r="BL85" s="6" t="str">
        <x:v>0</x:v>
      </x:c>
      <x:c r="BM85" s="6" t="str">
        <x:v>0</x:v>
      </x:c>
      <x:c r="BN85" s="6" t="str">
        <x:v>9</x:v>
      </x:c>
      <x:c r="BO85" s="6" t="str">
        <x:v>0.0</x:v>
      </x:c>
      <x:c r="BP85" s="6" t="str">
        <x:v>9</x:v>
      </x:c>
      <x:c r="BQ85" s="6" t="str">
        <x:v>0.0</x:v>
      </x:c>
      <x:c r="BR85" s="6" t="str">
        <x:v>9</x:v>
      </x:c>
      <x:c r="BS85" s="6" t="str">
        <x:v>135.0</x:v>
      </x:c>
      <x:c r="BT85" s="6" t="str">
        <x:v>9</x:v>
      </x:c>
      <x:c r="BU85" s="6" t="str">
        <x:v>952.0</x:v>
      </x:c>
      <x:c r="BV85" s="6" t="str">
        <x:v>5</x:v>
      </x:c>
      <x:c r="BW85" s="9" t="str">
        <x:v>operational_snapshot_annual_totals_may_differ</x:v>
      </x:c>
      <x:c r="BX85" s="9" t="str">
        <x:v>official_live_dashboard_snapshot_subject_to_revision</x:v>
      </x:c>
      <x:c r="BY85" s="9" t="str">
        <x:v>https://tbdashboard.sitb.id/ss_data_tbc03so_2024_provinsi_bulanan_list.php</x:v>
      </x:c>
      <x:c r="BZ85" s="6" t="n">
        <x:v>46246.610671296294</x:v>
      </x:c>
    </x:row>
    <x:row r="86" ht="18" customHeight="1">
      <x:c r="A86" s="6" t="str">
        <x:v>14</x:v>
      </x:c>
      <x:c r="B86" s="6" t="str">
        <x:v>RIAU</x:v>
      </x:c>
      <x:c r="C86" s="6" t="str">
        <x:v>2025</x:v>
      </x:c>
      <x:c r="D86" s="6" t="str">
        <x:v>1</x:v>
      </x:c>
      <x:c r="E86" s="6" t="str">
        <x:v>2025-01</x:v>
      </x:c>
      <x:c r="F86" s="6" t="str">
        <x:v>1267</x:v>
      </x:c>
      <x:c r="G86" s="6" t="str">
        <x:v>294</x:v>
      </x:c>
      <x:c r="H86" s="6" t="str">
        <x:v>747</x:v>
      </x:c>
      <x:c r="I86" s="6" t="str">
        <x:v>112</x:v>
      </x:c>
      <x:c r="J86" s="6" t="str">
        <x:v>64</x:v>
      </x:c>
      <x:c r="K86" s="6" t="str">
        <x:v>3</x:v>
      </x:c>
      <x:c r="L86" s="6" t="str">
        <x:v>3</x:v>
      </x:c>
      <x:c r="M86" s="6" t="str">
        <x:v>44</x:v>
      </x:c>
      <x:c r="N86" s="6" t="str">
        <x:v>1267</x:v>
      </x:c>
      <x:c r="O86" s="6" t="str">
        <x:v>0</x:v>
      </x:c>
      <x:c r="P86" s="10" t="n">
        <x:f>F86-M86</x:f>
        <x:v>1223</x:v>
      </x:c>
      <x:c r="Q86" s="11" t="n">
        <x:f>IFERROR(M86/F86,"")</x:f>
        <x:v>0.03472770323599053</x:v>
      </x:c>
      <x:c r="R86" s="10" t="n">
        <x:f>G86+H86</x:f>
        <x:v>1041</x:v>
      </x:c>
      <x:c r="S86" s="11" t="n">
        <x:f>IFERROR(R86/F86,"")</x:f>
        <x:v>0.8216258879242304</x:v>
      </x:c>
      <x:c r="T86" s="11" t="n">
        <x:f>IFERROR(R86/P86,"")</x:f>
        <x:v>0.8511856091578087</x:v>
      </x:c>
      <x:c r="U86" s="10" t="n">
        <x:f>I86+J86+K86</x:f>
        <x:v>179</x:v>
      </x:c>
      <x:c r="V86" s="11" t="n">
        <x:f>IFERROR(U86/P86,"")</x:f>
        <x:v>0.1463614063777596</x:v>
      </x:c>
      <x:c r="W86" s="9" t="str">
        <x:v>mature_le_5pct_pending</x:v>
      </x:c>
      <x:c r="X86" s="12" t="n">
        <x:f>IFERROR(F86/Z86*100000,"")</x:f>
        <x:v>18.601714822645054</x:v>
      </x:c>
      <x:c r="Y86" s="13" t="n">
        <x:f>LN(Z86)</x:f>
        <x:v>15.734078874056024</x:v>
      </x:c>
      <x:c r="Z86" s="6" t="str">
        <x:v>6811200</x:v>
      </x:c>
      <x:c r="AA86" s="6" t="str">
        <x:v>76.0</x:v>
      </x:c>
      <x:c r="AB86" s="9" t="str">
        <x:v>2025-06-30</x:v>
      </x:c>
      <x:c r="AC86" s="8" t="str">
        <x:v>91.2</x:v>
      </x:c>
      <x:c r="AD86" s="9" t="str">
        <x:v>2025 (Susenas)</x:v>
      </x:c>
      <x:c r="AE86" s="8" t="str">
        <x:v>6.16</x:v>
      </x:c>
      <x:c r="AF86" s="9" t="str">
        <x:v>Maret 2025 (Susenas)</x:v>
      </x:c>
      <x:c r="AG86" s="6" t="str">
        <x:v>25.659043035181348</x:v>
      </x:c>
      <x:c r="AH86" s="8" t="str">
        <x:v>91.36110235456924</x:v>
      </x:c>
      <x:c r="AI86" s="6" t="str">
        <x:v>410.1976530937584</x:v>
      </x:c>
      <x:c r="AJ86" s="6" t="str">
        <x:v>0.0740137333301298</x:v>
      </x:c>
      <x:c r="AK86" s="8" t="str">
        <x:v>0.1756169680083684</x:v>
      </x:c>
      <x:c r="AL86" s="6" t="str">
        <x:v>1.8655566539303523</x:v>
      </x:c>
      <x:c r="AM86" s="6" t="str">
        <x:v>2.2645002072164155</x:v>
      </x:c>
      <x:c r="AN86" s="6" t="str">
        <x:v>1.435224609718379</x:v>
      </x:c>
      <x:c r="AO86" s="6" t="str">
        <x:v>2.067732832484552</x:v>
      </x:c>
      <x:c r="AP86" s="8" t="str">
        <x:v>1.9971793658331507</x:v>
      </x:c>
      <x:c r="AQ86" s="6" t="str">
        <x:v>-1.1473766233394318</x:v>
      </x:c>
      <x:c r="AR86" s="6" t="str">
        <x:v>-0.2786894943144021</x:v>
      </x:c>
      <x:c r="AS86" s="6" t="str">
        <x:v>0.1903710827264388</x:v>
      </x:c>
      <x:c r="AT86" s="6" t="str">
        <x:v>213.0315112315936</x:v>
      </x:c>
      <x:c r="AU86" s="8" t="str">
        <x:v>2.9765569958789047</x:v>
      </x:c>
      <x:c r="AV86" s="6" t="str">
        <x:v>-0.9769242306913376</x:v>
      </x:c>
      <x:c r="AW86" s="6" t="str">
        <x:v>0.0767407429392814</x:v>
      </x:c>
      <x:c r="AX86" s="6" t="str">
        <x:v>0.6921245027089493</x:v>
      </x:c>
      <x:c r="AY86" s="6" t="str">
        <x:v>1</x:v>
      </x:c>
      <x:c r="AZ86" s="6" t="str">
        <x:v>0</x:v>
      </x:c>
      <x:c r="BA86" s="9" t="str">
        <x:v>grid_cells_within_BIG_polygon</x:v>
      </x:c>
      <x:c r="BB86" s="6" t="str">
        <x:v>22</x:v>
      </x:c>
      <x:c r="BC86" s="6" t="str">
        <x:v>26</x:v>
      </x:c>
      <x:c r="BD86" s="6" t="str">
        <x:v>26</x:v>
      </x:c>
      <x:c r="BE86" s="6" t="str">
        <x:v>26</x:v>
      </x:c>
      <x:c r="BF86" s="6" t="str">
        <x:v>0</x:v>
      </x:c>
      <x:c r="BG86" s="6" t="str">
        <x:v>0</x:v>
      </x:c>
      <x:c r="BH86" s="6" t="str">
        <x:v>0</x:v>
      </x:c>
      <x:c r="BI86" s="6" t="str">
        <x:v>0</x:v>
      </x:c>
      <x:c r="BJ86" s="6" t="str">
        <x:v>0</x:v>
      </x:c>
      <x:c r="BK86" s="6" t="str">
        <x:v>0</x:v>
      </x:c>
      <x:c r="BL86" s="6" t="str">
        <x:v>0</x:v>
      </x:c>
      <x:c r="BM86" s="6" t="str">
        <x:v>0</x:v>
      </x:c>
      <x:c r="BN86" s="6" t="str">
        <x:v>26</x:v>
      </x:c>
      <x:c r="BO86" s="6" t="str">
        <x:v>0.0</x:v>
      </x:c>
      <x:c r="BP86" s="6" t="str">
        <x:v>26</x:v>
      </x:c>
      <x:c r="BQ86" s="6" t="str">
        <x:v>0.0</x:v>
      </x:c>
      <x:c r="BR86" s="6" t="str">
        <x:v>26</x:v>
      </x:c>
      <x:c r="BS86" s="6" t="str">
        <x:v>14.0</x:v>
      </x:c>
      <x:c r="BT86" s="6" t="str">
        <x:v>26</x:v>
      </x:c>
      <x:c r="BU86" s="6" t="str">
        <x:v>13570.0</x:v>
      </x:c>
      <x:c r="BV86" s="6" t="str">
        <x:v>26</x:v>
      </x:c>
      <x:c r="BW86" s="9" t="str">
        <x:v>operational_snapshot_annual_totals_may_differ</x:v>
      </x:c>
      <x:c r="BX86" s="9" t="str">
        <x:v>official_live_dashboard_snapshot_subject_to_revision</x:v>
      </x:c>
      <x:c r="BY86" s="9" t="str">
        <x:v>https://tbdashboard.sitb.id/ss_data_tbc03so_2025_provinsi_bulanan_list.php</x:v>
      </x:c>
      <x:c r="BZ86" s="6" t="n">
        <x:v>46246.610671296294</x:v>
      </x:c>
    </x:row>
    <x:row r="87" ht="18" customHeight="1">
      <x:c r="A87" s="6" t="str">
        <x:v>14</x:v>
      </x:c>
      <x:c r="B87" s="6" t="str">
        <x:v>RIAU</x:v>
      </x:c>
      <x:c r="C87" s="6" t="str">
        <x:v>2025</x:v>
      </x:c>
      <x:c r="D87" s="6" t="str">
        <x:v>2</x:v>
      </x:c>
      <x:c r="E87" s="6" t="str">
        <x:v>2025-02</x:v>
      </x:c>
      <x:c r="F87" s="6" t="str">
        <x:v>1415</x:v>
      </x:c>
      <x:c r="G87" s="6" t="str">
        <x:v>287</x:v>
      </x:c>
      <x:c r="H87" s="6" t="str">
        <x:v>852</x:v>
      </x:c>
      <x:c r="I87" s="6" t="str">
        <x:v>156</x:v>
      </x:c>
      <x:c r="J87" s="6" t="str">
        <x:v>77</x:v>
      </x:c>
      <x:c r="K87" s="6" t="str">
        <x:v>2</x:v>
      </x:c>
      <x:c r="L87" s="6" t="str">
        <x:v>0</x:v>
      </x:c>
      <x:c r="M87" s="6" t="str">
        <x:v>41</x:v>
      </x:c>
      <x:c r="N87" s="6" t="str">
        <x:v>1415</x:v>
      </x:c>
      <x:c r="O87" s="6" t="str">
        <x:v>0</x:v>
      </x:c>
      <x:c r="P87" s="10" t="n">
        <x:f>F87-M87</x:f>
        <x:v>1374</x:v>
      </x:c>
      <x:c r="Q87" s="11" t="n">
        <x:f>IFERROR(M87/F87,"")</x:f>
        <x:v>0.028975265017667843</x:v>
      </x:c>
      <x:c r="R87" s="10" t="n">
        <x:f>G87+H87</x:f>
        <x:v>1139</x:v>
      </x:c>
      <x:c r="S87" s="11" t="n">
        <x:f>IFERROR(R87/F87,"")</x:f>
        <x:v>0.8049469964664311</x:v>
      </x:c>
      <x:c r="T87" s="11" t="n">
        <x:f>IFERROR(R87/P87,"")</x:f>
        <x:v>0.8289665211062591</x:v>
      </x:c>
      <x:c r="U87" s="10" t="n">
        <x:f>I87+J87+K87</x:f>
        <x:v>235</x:v>
      </x:c>
      <x:c r="V87" s="11" t="n">
        <x:f>IFERROR(U87/P87,"")</x:f>
        <x:v>0.1710334788937409</x:v>
      </x:c>
      <x:c r="W87" s="9" t="str">
        <x:v>mature_le_5pct_pending</x:v>
      </x:c>
      <x:c r="X87" s="12" t="n">
        <x:f>IFERROR(F87/Z87*100000,"")</x:f>
        <x:v>20.774606530420485</x:v>
      </x:c>
      <x:c r="Y87" s="13" t="n">
        <x:f>LN(Z87)</x:f>
        <x:v>15.734078874056024</x:v>
      </x:c>
      <x:c r="Z87" s="6" t="str">
        <x:v>6811200</x:v>
      </x:c>
      <x:c r="AA87" s="6" t="str">
        <x:v>76.0</x:v>
      </x:c>
      <x:c r="AB87" s="9" t="str">
        <x:v>2025-06-30</x:v>
      </x:c>
      <x:c r="AC87" s="8" t="str">
        <x:v>91.2</x:v>
      </x:c>
      <x:c r="AD87" s="9" t="str">
        <x:v>2025 (Susenas)</x:v>
      </x:c>
      <x:c r="AE87" s="8" t="str">
        <x:v>6.16</x:v>
      </x:c>
      <x:c r="AF87" s="9" t="str">
        <x:v>Maret 2025 (Susenas)</x:v>
      </x:c>
      <x:c r="AG87" s="6" t="str">
        <x:v>26.164514931848306</x:v>
      </x:c>
      <x:c r="AH87" s="8" t="str">
        <x:v>88.87786247073275</x:v>
      </x:c>
      <x:c r="AI87" s="6" t="str">
        <x:v>244.8395317588684</x:v>
      </x:c>
      <x:c r="AJ87" s="6" t="str">
        <x:v>0.24483796779921</x:v>
      </x:c>
      <x:c r="AK87" s="8" t="str">
        <x:v>0.5993389532475967</x:v>
      </x:c>
      <x:c r="AL87" s="6" t="str">
        <x:v>0.1756169680083684</x:v>
      </x:c>
      <x:c r="AM87" s="6" t="str">
        <x:v>1.8655566539303523</x:v>
      </x:c>
      <x:c r="AN87" s="6" t="str">
        <x:v>0.8801708583954394</x:v>
      </x:c>
      <x:c r="AO87" s="6" t="str">
        <x:v>0.6738798128551196</x:v>
      </x:c>
      <x:c r="AP87" s="8" t="str">
        <x:v>0.6527855921869659</x:v>
      </x:c>
      <x:c r="AQ87" s="6" t="str">
        <x:v>1.9971793658331507</x:v>
      </x:c>
      <x:c r="AR87" s="6" t="str">
        <x:v>-1.1473766233394318</x:v>
      </x:c>
      <x:c r="AS87" s="6" t="str">
        <x:v>0.5008627782268947</x:v>
      </x:c>
      <x:c r="AT87" s="6" t="str">
        <x:v>90.50503798683212</x:v>
      </x:c>
      <x:c r="AU87" s="8" t="str">
        <x:v>1.3708693715627442</x:v>
      </x:c>
      <x:c r="AV87" s="6" t="str">
        <x:v>2.9765569958789047</x:v>
      </x:c>
      <x:c r="AW87" s="6" t="str">
        <x:v>-0.9769242306913376</x:v>
      </x:c>
      <x:c r="AX87" s="6" t="str">
        <x:v>1.1235007122501035</x:v>
      </x:c>
      <x:c r="AY87" s="6" t="str">
        <x:v>1</x:v>
      </x:c>
      <x:c r="AZ87" s="6" t="str">
        <x:v>0</x:v>
      </x:c>
      <x:c r="BA87" s="9" t="str">
        <x:v>grid_cells_within_BIG_polygon</x:v>
      </x:c>
      <x:c r="BB87" s="6" t="str">
        <x:v>22</x:v>
      </x:c>
      <x:c r="BC87" s="6" t="str">
        <x:v>35</x:v>
      </x:c>
      <x:c r="BD87" s="6" t="str">
        <x:v>35</x:v>
      </x:c>
      <x:c r="BE87" s="6" t="str">
        <x:v>8</x:v>
      </x:c>
      <x:c r="BF87" s="6" t="str">
        <x:v>0</x:v>
      </x:c>
      <x:c r="BG87" s="6" t="str">
        <x:v>0</x:v>
      </x:c>
      <x:c r="BH87" s="6" t="str">
        <x:v>0</x:v>
      </x:c>
      <x:c r="BI87" s="6" t="str">
        <x:v>27</x:v>
      </x:c>
      <x:c r="BJ87" s="6" t="str">
        <x:v>0</x:v>
      </x:c>
      <x:c r="BK87" s="6" t="str">
        <x:v>0</x:v>
      </x:c>
      <x:c r="BL87" s="6" t="str">
        <x:v>0</x:v>
      </x:c>
      <x:c r="BM87" s="6" t="str">
        <x:v>0</x:v>
      </x:c>
      <x:c r="BN87" s="6" t="str">
        <x:v>35</x:v>
      </x:c>
      <x:c r="BO87" s="6" t="str">
        <x:v>0.0</x:v>
      </x:c>
      <x:c r="BP87" s="6" t="str">
        <x:v>35</x:v>
      </x:c>
      <x:c r="BQ87" s="6" t="str">
        <x:v>1.0</x:v>
      </x:c>
      <x:c r="BR87" s="6" t="str">
        <x:v>35</x:v>
      </x:c>
      <x:c r="BS87" s="6" t="str">
        <x:v>0.0</x:v>
      </x:c>
      <x:c r="BT87" s="6" t="str">
        <x:v>35</x:v>
      </x:c>
      <x:c r="BU87" s="6" t="str">
        <x:v>8482.0</x:v>
      </x:c>
      <x:c r="BV87" s="6" t="str">
        <x:v>8</x:v>
      </x:c>
      <x:c r="BW87" s="9" t="str">
        <x:v>operational_snapshot_annual_totals_may_differ</x:v>
      </x:c>
      <x:c r="BX87" s="9" t="str">
        <x:v>official_live_dashboard_snapshot_subject_to_revision</x:v>
      </x:c>
      <x:c r="BY87" s="9" t="str">
        <x:v>https://tbdashboard.sitb.id/ss_data_tbc03so_2025_provinsi_bulanan_list.php</x:v>
      </x:c>
      <x:c r="BZ87" s="6" t="n">
        <x:v>46246.610671296294</x:v>
      </x:c>
    </x:row>
    <x:row r="88" ht="18" customHeight="1">
      <x:c r="A88" s="6" t="str">
        <x:v>14</x:v>
      </x:c>
      <x:c r="B88" s="6" t="str">
        <x:v>RIAU</x:v>
      </x:c>
      <x:c r="C88" s="6" t="str">
        <x:v>2025</x:v>
      </x:c>
      <x:c r="D88" s="6" t="str">
        <x:v>3</x:v>
      </x:c>
      <x:c r="E88" s="6" t="str">
        <x:v>2025-03</x:v>
      </x:c>
      <x:c r="F88" s="6" t="str">
        <x:v>1190</x:v>
      </x:c>
      <x:c r="G88" s="6" t="str">
        <x:v>278</x:v>
      </x:c>
      <x:c r="H88" s="6" t="str">
        <x:v>667</x:v>
      </x:c>
      <x:c r="I88" s="6" t="str">
        <x:v>144</x:v>
      </x:c>
      <x:c r="J88" s="6" t="str">
        <x:v>60</x:v>
      </x:c>
      <x:c r="K88" s="6" t="str">
        <x:v>3</x:v>
      </x:c>
      <x:c r="L88" s="6" t="str">
        <x:v>0</x:v>
      </x:c>
      <x:c r="M88" s="6" t="str">
        <x:v>38</x:v>
      </x:c>
      <x:c r="N88" s="6" t="str">
        <x:v>1190</x:v>
      </x:c>
      <x:c r="O88" s="6" t="str">
        <x:v>0</x:v>
      </x:c>
      <x:c r="P88" s="10" t="n">
        <x:f>F88-M88</x:f>
        <x:v>1152</x:v>
      </x:c>
      <x:c r="Q88" s="11" t="n">
        <x:f>IFERROR(M88/F88,"")</x:f>
        <x:v>0.031932773109243695</x:v>
      </x:c>
      <x:c r="R88" s="10" t="n">
        <x:f>G88+H88</x:f>
        <x:v>945</x:v>
      </x:c>
      <x:c r="S88" s="11" t="n">
        <x:f>IFERROR(R88/F88,"")</x:f>
        <x:v>0.7941176470588235</x:v>
      </x:c>
      <x:c r="T88" s="11" t="n">
        <x:f>IFERROR(R88/P88,"")</x:f>
        <x:v>0.8203125</x:v>
      </x:c>
      <x:c r="U88" s="10" t="n">
        <x:f>I88+J88+K88</x:f>
        <x:v>207</x:v>
      </x:c>
      <x:c r="V88" s="11" t="n">
        <x:f>IFERROR(U88/P88,"")</x:f>
        <x:v>0.1796875</x:v>
      </x:c>
      <x:c r="W88" s="9" t="str">
        <x:v>mature_le_5pct_pending</x:v>
      </x:c>
      <x:c r="X88" s="12" t="n">
        <x:f>IFERROR(F88/Z88*100000,"")</x:f>
        <x:v>17.471223866572704</x:v>
      </x:c>
      <x:c r="Y88" s="13" t="n">
        <x:f>LN(Z88)</x:f>
        <x:v>15.734078874056024</x:v>
      </x:c>
      <x:c r="Z88" s="6" t="str">
        <x:v>6811200</x:v>
      </x:c>
      <x:c r="AA88" s="6" t="str">
        <x:v>76.0</x:v>
      </x:c>
      <x:c r="AB88" s="9" t="str">
        <x:v>2025-06-30</x:v>
      </x:c>
      <x:c r="AC88" s="8" t="str">
        <x:v>91.2</x:v>
      </x:c>
      <x:c r="AD88" s="9" t="str">
        <x:v>2025 (Susenas)</x:v>
      </x:c>
      <x:c r="AE88" s="8" t="str">
        <x:v>6.16</x:v>
      </x:c>
      <x:c r="AF88" s="9" t="str">
        <x:v>Maret 2025 (Susenas)</x:v>
      </x:c>
      <x:c r="AG88" s="6" t="str">
        <x:v>26.31813784026597</x:v>
      </x:c>
      <x:c r="AH88" s="8" t="str">
        <x:v>90.77696272823638</x:v>
      </x:c>
      <x:c r="AI88" s="6" t="str">
        <x:v>337.3739799760498</x:v>
      </x:c>
      <x:c r="AJ88" s="6" t="str">
        <x:v>0.0659168782050123</x:v>
      </x:c>
      <x:c r="AK88" s="8" t="str">
        <x:v>0.1563654678596428</x:v>
      </x:c>
      <x:c r="AL88" s="6" t="str">
        <x:v>0.5993389532475967</x:v>
      </x:c>
      <x:c r="AM88" s="6" t="str">
        <x:v>0.1756169680083684</x:v>
      </x:c>
      <x:c r="AN88" s="6" t="str">
        <x:v>0.3104404630385363</x:v>
      </x:c>
      <x:c r="AO88" s="6" t="str">
        <x:v>2.229364952948984</x:v>
      </x:c>
      <x:c r="AP88" s="8" t="str">
        <x:v>2.166228855830507</x:v>
      </x:c>
      <x:c r="AQ88" s="6" t="str">
        <x:v>0.6527855921869659</x:v>
      </x:c>
      <x:c r="AR88" s="6" t="str">
        <x:v>1.9971793658331507</x:v>
      </x:c>
      <x:c r="AS88" s="6" t="str">
        <x:v>1.605397937950208</x:v>
      </x:c>
      <x:c r="AT88" s="6" t="str">
        <x:v>99.39649898020492</x:v>
      </x:c>
      <x:c r="AU88" s="8" t="str">
        <x:v>1.3632926751339969</x:v>
      </x:c>
      <x:c r="AV88" s="6" t="str">
        <x:v>1.3708693715627442</x:v>
      </x:c>
      <x:c r="AW88" s="6" t="str">
        <x:v>2.9765569958789047</x:v>
      </x:c>
      <x:c r="AX88" s="6" t="str">
        <x:v>1.9035730141918816</x:v>
      </x:c>
      <x:c r="AY88" s="6" t="str">
        <x:v>1</x:v>
      </x:c>
      <x:c r="AZ88" s="6" t="str">
        <x:v>0</x:v>
      </x:c>
      <x:c r="BA88" s="9" t="str">
        <x:v>grid_cells_within_BIG_polygon</x:v>
      </x:c>
      <x:c r="BB88" s="6" t="str">
        <x:v>22</x:v>
      </x:c>
      <x:c r="BC88" s="6" t="str">
        <x:v>32</x:v>
      </x:c>
      <x:c r="BD88" s="6" t="str">
        <x:v>32</x:v>
      </x:c>
      <x:c r="BE88" s="6" t="str">
        <x:v>30</x:v>
      </x:c>
      <x:c r="BF88" s="6" t="str">
        <x:v>0</x:v>
      </x:c>
      <x:c r="BG88" s="6" t="str">
        <x:v>0</x:v>
      </x:c>
      <x:c r="BH88" s="6" t="str">
        <x:v>0</x:v>
      </x:c>
      <x:c r="BI88" s="6" t="str">
        <x:v>2</x:v>
      </x:c>
      <x:c r="BJ88" s="6" t="str">
        <x:v>0</x:v>
      </x:c>
      <x:c r="BK88" s="6" t="str">
        <x:v>0</x:v>
      </x:c>
      <x:c r="BL88" s="6" t="str">
        <x:v>0</x:v>
      </x:c>
      <x:c r="BM88" s="6" t="str">
        <x:v>0</x:v>
      </x:c>
      <x:c r="BN88" s="6" t="str">
        <x:v>32</x:v>
      </x:c>
      <x:c r="BO88" s="6" t="str">
        <x:v>0.0</x:v>
      </x:c>
      <x:c r="BP88" s="6" t="str">
        <x:v>32</x:v>
      </x:c>
      <x:c r="BQ88" s="6" t="str">
        <x:v>0.0</x:v>
      </x:c>
      <x:c r="BR88" s="6" t="str">
        <x:v>32</x:v>
      </x:c>
      <x:c r="BS88" s="6" t="str">
        <x:v>0.0</x:v>
      </x:c>
      <x:c r="BT88" s="6" t="str">
        <x:v>32</x:v>
      </x:c>
      <x:c r="BU88" s="6" t="str">
        <x:v>23876.0</x:v>
      </x:c>
      <x:c r="BV88" s="6" t="str">
        <x:v>30</x:v>
      </x:c>
      <x:c r="BW88" s="9" t="str">
        <x:v>operational_snapshot_annual_totals_may_differ</x:v>
      </x:c>
      <x:c r="BX88" s="9" t="str">
        <x:v>official_live_dashboard_snapshot_subject_to_revision</x:v>
      </x:c>
      <x:c r="BY88" s="9" t="str">
        <x:v>https://tbdashboard.sitb.id/ss_data_tbc03so_2025_provinsi_bulanan_list.php</x:v>
      </x:c>
      <x:c r="BZ88" s="6" t="n">
        <x:v>46246.610671296294</x:v>
      </x:c>
    </x:row>
    <x:row r="89" ht="18" customHeight="1">
      <x:c r="A89" s="6" t="str">
        <x:v>14</x:v>
      </x:c>
      <x:c r="B89" s="6" t="str">
        <x:v>RIAU</x:v>
      </x:c>
      <x:c r="C89" s="6" t="str">
        <x:v>2025</x:v>
      </x:c>
      <x:c r="D89" s="6" t="str">
        <x:v>4</x:v>
      </x:c>
      <x:c r="E89" s="6" t="str">
        <x:v>2025-04</x:v>
      </x:c>
      <x:c r="F89" s="6" t="str">
        <x:v>1232</x:v>
      </x:c>
      <x:c r="G89" s="6" t="str">
        <x:v>314</x:v>
      </x:c>
      <x:c r="H89" s="6" t="str">
        <x:v>671</x:v>
      </x:c>
      <x:c r="I89" s="6" t="str">
        <x:v>136</x:v>
      </x:c>
      <x:c r="J89" s="6" t="str">
        <x:v>57</x:v>
      </x:c>
      <x:c r="K89" s="6" t="str">
        <x:v>2</x:v>
      </x:c>
      <x:c r="L89" s="6" t="str">
        <x:v>2</x:v>
      </x:c>
      <x:c r="M89" s="6" t="str">
        <x:v>50</x:v>
      </x:c>
      <x:c r="N89" s="6" t="str">
        <x:v>1232</x:v>
      </x:c>
      <x:c r="O89" s="6" t="str">
        <x:v>0</x:v>
      </x:c>
      <x:c r="P89" s="10" t="n">
        <x:f>F89-M89</x:f>
        <x:v>1182</x:v>
      </x:c>
      <x:c r="Q89" s="11" t="n">
        <x:f>IFERROR(M89/F89,"")</x:f>
        <x:v>0.040584415584415584</x:v>
      </x:c>
      <x:c r="R89" s="10" t="n">
        <x:f>G89+H89</x:f>
        <x:v>985</x:v>
      </x:c>
      <x:c r="S89" s="11" t="n">
        <x:f>IFERROR(R89/F89,"")</x:f>
        <x:v>0.799512987012987</x:v>
      </x:c>
      <x:c r="T89" s="11" t="n">
        <x:f>IFERROR(R89/P89,"")</x:f>
        <x:v>0.8333333333333334</x:v>
      </x:c>
      <x:c r="U89" s="10" t="n">
        <x:f>I89+J89+K89</x:f>
        <x:v>195</x:v>
      </x:c>
      <x:c r="V89" s="11" t="n">
        <x:f>IFERROR(U89/P89,"")</x:f>
        <x:v>0.1649746192893401</x:v>
      </x:c>
      <x:c r="W89" s="9" t="str">
        <x:v>mature_le_5pct_pending</x:v>
      </x:c>
      <x:c r="X89" s="12" t="n">
        <x:f>IFERROR(F89/Z89*100000,"")</x:f>
        <x:v>18.087855297157624</x:v>
      </x:c>
      <x:c r="Y89" s="13" t="n">
        <x:f>LN(Z89)</x:f>
        <x:v>15.734078874056024</x:v>
      </x:c>
      <x:c r="Z89" s="6" t="str">
        <x:v>6811200</x:v>
      </x:c>
      <x:c r="AA89" s="6" t="str">
        <x:v>76.0</x:v>
      </x:c>
      <x:c r="AB89" s="9" t="str">
        <x:v>2025-06-30</x:v>
      </x:c>
      <x:c r="AC89" s="8" t="str">
        <x:v>91.2</x:v>
      </x:c>
      <x:c r="AD89" s="9" t="str">
        <x:v>2025 (Susenas)</x:v>
      </x:c>
      <x:c r="AE89" s="8" t="str">
        <x:v>6.16</x:v>
      </x:c>
      <x:c r="AF89" s="9" t="str">
        <x:v>Maret 2025 (Susenas)</x:v>
      </x:c>
      <x:c r="AG89" s="6" t="str">
        <x:v>26.503156577163217</x:v>
      </x:c>
      <x:c r="AH89" s="8" t="str">
        <x:v>89.70955754872965</x:v>
      </x:c>
      <x:c r="AI89" s="6" t="str">
        <x:v>323.60245662950814</x:v>
      </x:c>
      <x:c r="AJ89" s="6" t="str">
        <x:v>-0.0566725948383144</x:v>
      </x:c>
      <x:c r="AK89" s="8" t="str">
        <x:v>-0.1531092732213284</x:v>
      </x:c>
      <x:c r="AL89" s="6" t="str">
        <x:v>0.1563654678596428</x:v>
      </x:c>
      <x:c r="AM89" s="6" t="str">
        <x:v>0.5993389532475967</x:v>
      </x:c>
      <x:c r="AN89" s="6" t="str">
        <x:v>0.200865049295304</x:v>
      </x:c>
      <x:c r="AO89" s="6" t="str">
        <x:v>0.3930783365213983</x:v>
      </x:c>
      <x:c r="AP89" s="8" t="str">
        <x:v>0.5088584298955161</x:v>
      </x:c>
      <x:c r="AQ89" s="6" t="str">
        <x:v>2.166228855830507</x:v>
      </x:c>
      <x:c r="AR89" s="6" t="str">
        <x:v>0.6527855921869659</x:v>
      </x:c>
      <x:c r="AS89" s="6" t="str">
        <x:v>1.1092909593043296</x:v>
      </x:c>
      <x:c r="AT89" s="6" t="str">
        <x:v>65.92911802807333</x:v>
      </x:c>
      <x:c r="AU89" s="8" t="str">
        <x:v>1.1548137315008236</x:v>
      </x:c>
      <x:c r="AV89" s="6" t="str">
        <x:v>1.3632926751339969</x:v>
      </x:c>
      <x:c r="AW89" s="6" t="str">
        <x:v>1.3708693715627442</x:v>
      </x:c>
      <x:c r="AX89" s="6" t="str">
        <x:v>1.296325259399188</x:v>
      </x:c>
      <x:c r="AY89" s="6" t="str">
        <x:v>1</x:v>
      </x:c>
      <x:c r="AZ89" s="6" t="str">
        <x:v>0</x:v>
      </x:c>
      <x:c r="BA89" s="9" t="str">
        <x:v>grid_cells_within_BIG_polygon</x:v>
      </x:c>
      <x:c r="BB89" s="6" t="str">
        <x:v>22</x:v>
      </x:c>
      <x:c r="BC89" s="6" t="str">
        <x:v>5</x:v>
      </x:c>
      <x:c r="BD89" s="6" t="str">
        <x:v>5</x:v>
      </x:c>
      <x:c r="BE89" s="6" t="str">
        <x:v>4</x:v>
      </x:c>
      <x:c r="BF89" s="6" t="str">
        <x:v>0</x:v>
      </x:c>
      <x:c r="BG89" s="6" t="str">
        <x:v>0</x:v>
      </x:c>
      <x:c r="BH89" s="6" t="str">
        <x:v>0</x:v>
      </x:c>
      <x:c r="BI89" s="6" t="str">
        <x:v>1</x:v>
      </x:c>
      <x:c r="BJ89" s="6" t="str">
        <x:v>0</x:v>
      </x:c>
      <x:c r="BK89" s="6" t="str">
        <x:v>0</x:v>
      </x:c>
      <x:c r="BL89" s="6" t="str">
        <x:v>0</x:v>
      </x:c>
      <x:c r="BM89" s="6" t="str">
        <x:v>0</x:v>
      </x:c>
      <x:c r="BN89" s="6" t="str">
        <x:v>5</x:v>
      </x:c>
      <x:c r="BO89" s="6" t="str">
        <x:v>0.0</x:v>
      </x:c>
      <x:c r="BP89" s="6" t="str">
        <x:v>5</x:v>
      </x:c>
      <x:c r="BQ89" s="6" t="str">
        <x:v>0.0</x:v>
      </x:c>
      <x:c r="BR89" s="6" t="str">
        <x:v>5</x:v>
      </x:c>
      <x:c r="BS89" s="6" t="str">
        <x:v>0.0</x:v>
      </x:c>
      <x:c r="BT89" s="6" t="str">
        <x:v>5</x:v>
      </x:c>
      <x:c r="BU89" s="6" t="str">
        <x:v>868.0</x:v>
      </x:c>
      <x:c r="BV89" s="6" t="str">
        <x:v>4</x:v>
      </x:c>
      <x:c r="BW89" s="9" t="str">
        <x:v>operational_snapshot_annual_totals_may_differ</x:v>
      </x:c>
      <x:c r="BX89" s="9" t="str">
        <x:v>official_live_dashboard_snapshot_subject_to_revision</x:v>
      </x:c>
      <x:c r="BY89" s="9" t="str">
        <x:v>https://tbdashboard.sitb.id/ss_data_tbc03so_2025_provinsi_bulanan_list.php</x:v>
      </x:c>
      <x:c r="BZ89" s="6" t="n">
        <x:v>46246.610671296294</x:v>
      </x:c>
    </x:row>
    <x:row r="90" ht="18" customHeight="1">
      <x:c r="A90" s="6" t="str">
        <x:v>14</x:v>
      </x:c>
      <x:c r="B90" s="6" t="str">
        <x:v>RIAU</x:v>
      </x:c>
      <x:c r="C90" s="6" t="str">
        <x:v>2025</x:v>
      </x:c>
      <x:c r="D90" s="6" t="str">
        <x:v>5</x:v>
      </x:c>
      <x:c r="E90" s="6" t="str">
        <x:v>2025-05</x:v>
      </x:c>
      <x:c r="F90" s="6" t="str">
        <x:v>1354</x:v>
      </x:c>
      <x:c r="G90" s="6" t="str">
        <x:v>319</x:v>
      </x:c>
      <x:c r="H90" s="6" t="str">
        <x:v>757</x:v>
      </x:c>
      <x:c r="I90" s="6" t="str">
        <x:v>163</x:v>
      </x:c>
      <x:c r="J90" s="6" t="str">
        <x:v>54</x:v>
      </x:c>
      <x:c r="K90" s="6" t="str">
        <x:v>2</x:v>
      </x:c>
      <x:c r="L90" s="6" t="str">
        <x:v>1</x:v>
      </x:c>
      <x:c r="M90" s="6" t="str">
        <x:v>58</x:v>
      </x:c>
      <x:c r="N90" s="6" t="str">
        <x:v>1354</x:v>
      </x:c>
      <x:c r="O90" s="6" t="str">
        <x:v>0</x:v>
      </x:c>
      <x:c r="P90" s="10" t="n">
        <x:f>F90-M90</x:f>
        <x:v>1296</x:v>
      </x:c>
      <x:c r="Q90" s="11" t="n">
        <x:f>IFERROR(M90/F90,"")</x:f>
        <x:v>0.04283604135893648</x:v>
      </x:c>
      <x:c r="R90" s="10" t="n">
        <x:f>G90+H90</x:f>
        <x:v>1076</x:v>
      </x:c>
      <x:c r="S90" s="11" t="n">
        <x:f>IFERROR(R90/F90,"")</x:f>
        <x:v>0.794682422451994</x:v>
      </x:c>
      <x:c r="T90" s="11" t="n">
        <x:f>IFERROR(R90/P90,"")</x:f>
        <x:v>0.8302469135802469</x:v>
      </x:c>
      <x:c r="U90" s="10" t="n">
        <x:f>I90+J90+K90</x:f>
        <x:v>219</x:v>
      </x:c>
      <x:c r="V90" s="11" t="n">
        <x:f>IFERROR(U90/P90,"")</x:f>
        <x:v>0.16898148148148148</x:v>
      </x:c>
      <x:c r="W90" s="9" t="str">
        <x:v>mature_le_5pct_pending</x:v>
      </x:c>
      <x:c r="X90" s="12" t="n">
        <x:f>IFERROR(F90/Z90*100000,"")</x:f>
        <x:v>19.879022785999528</x:v>
      </x:c>
      <x:c r="Y90" s="13" t="n">
        <x:f>LN(Z90)</x:f>
        <x:v>15.734078874056024</x:v>
      </x:c>
      <x:c r="Z90" s="6" t="str">
        <x:v>6811200</x:v>
      </x:c>
      <x:c r="AA90" s="6" t="str">
        <x:v>76.0</x:v>
      </x:c>
      <x:c r="AB90" s="9" t="str">
        <x:v>2025-06-30</x:v>
      </x:c>
      <x:c r="AC90" s="8" t="str">
        <x:v>91.2</x:v>
      </x:c>
      <x:c r="AD90" s="9" t="str">
        <x:v>2025 (Susenas)</x:v>
      </x:c>
      <x:c r="AE90" s="8" t="str">
        <x:v>6.16</x:v>
      </x:c>
      <x:c r="AF90" s="9" t="str">
        <x:v>Maret 2025 (Susenas)</x:v>
      </x:c>
      <x:c r="AG90" s="6" t="str">
        <x:v>27.08451209360428</x:v>
      </x:c>
      <x:c r="AH90" s="8" t="str">
        <x:v>89.23591968377124</x:v>
      </x:c>
      <x:c r="AI90" s="6" t="str">
        <x:v>250.51524364774824</x:v>
      </x:c>
      <x:c r="AJ90" s="6" t="str">
        <x:v>0.4141865440022627</x:v>
      </x:c>
      <x:c r="AK90" s="8" t="str">
        <x:v>1.316362514330446</x:v>
      </x:c>
      <x:c r="AL90" s="6" t="str">
        <x:v>-0.1531092732213284</x:v>
      </x:c>
      <x:c r="AM90" s="6" t="str">
        <x:v>0.1563654678596428</x:v>
      </x:c>
      <x:c r="AN90" s="6" t="str">
        <x:v>0.4398729029895871</x:v>
      </x:c>
      <x:c r="AO90" s="6" t="str">
        <x:v>-0.3684224054630647</x:v>
      </x:c>
      <x:c r="AP90" s="8" t="str">
        <x:v>-0.4703159498588182</x:v>
      </x:c>
      <x:c r="AQ90" s="6" t="str">
        <x:v>0.5088584298955161</x:v>
      </x:c>
      <x:c r="AR90" s="6" t="str">
        <x:v>2.166228855830507</x:v>
      </x:c>
      <x:c r="AS90" s="6" t="str">
        <x:v>0.7349237786224015</x:v>
      </x:c>
      <x:c r="AT90" s="6" t="str">
        <x:v>45.06020133657134</x:v>
      </x:c>
      <x:c r="AU90" s="8" t="str">
        <x:v>0.7757665275065716</x:v>
      </x:c>
      <x:c r="AV90" s="6" t="str">
        <x:v>1.1548137315008236</x:v>
      </x:c>
      <x:c r="AW90" s="6" t="str">
        <x:v>1.3632926751339969</x:v>
      </x:c>
      <x:c r="AX90" s="6" t="str">
        <x:v>1.097957644713797</x:v>
      </x:c>
      <x:c r="AY90" s="6" t="str">
        <x:v>0</x:v>
      </x:c>
      <x:c r="AZ90" s="6" t="str">
        <x:v>1</x:v>
      </x:c>
      <x:c r="BA90" s="9" t="str">
        <x:v>grid_cells_within_BIG_polygon</x:v>
      </x:c>
      <x:c r="BB90" s="6" t="str">
        <x:v>22</x:v>
      </x:c>
      <x:c r="BC90" s="6" t="str">
        <x:v>4</x:v>
      </x:c>
      <x:c r="BD90" s="6" t="str">
        <x:v>4</x:v>
      </x:c>
      <x:c r="BE90" s="6" t="str">
        <x:v>2</x:v>
      </x:c>
      <x:c r="BF90" s="6" t="str">
        <x:v>0</x:v>
      </x:c>
      <x:c r="BG90" s="6" t="str">
        <x:v>1</x:v>
      </x:c>
      <x:c r="BH90" s="6" t="str">
        <x:v>0</x:v>
      </x:c>
      <x:c r="BI90" s="6" t="str">
        <x:v>1</x:v>
      </x:c>
      <x:c r="BJ90" s="6" t="str">
        <x:v>0</x:v>
      </x:c>
      <x:c r="BK90" s="6" t="str">
        <x:v>0</x:v>
      </x:c>
      <x:c r="BL90" s="6" t="str">
        <x:v>0</x:v>
      </x:c>
      <x:c r="BM90" s="6" t="str">
        <x:v>0</x:v>
      </x:c>
      <x:c r="BN90" s="6" t="str">
        <x:v>4</x:v>
      </x:c>
      <x:c r="BO90" s="6" t="str">
        <x:v>0.0</x:v>
      </x:c>
      <x:c r="BP90" s="6" t="str">
        <x:v>4</x:v>
      </x:c>
      <x:c r="BQ90" s="6" t="str">
        <x:v>0.0</x:v>
      </x:c>
      <x:c r="BR90" s="6" t="str">
        <x:v>4</x:v>
      </x:c>
      <x:c r="BS90" s="6" t="str">
        <x:v>18.0</x:v>
      </x:c>
      <x:c r="BT90" s="6" t="str">
        <x:v>4</x:v>
      </x:c>
      <x:c r="BU90" s="6" t="str">
        <x:v>209.0</x:v>
      </x:c>
      <x:c r="BV90" s="6" t="str">
        <x:v>2</x:v>
      </x:c>
      <x:c r="BW90" s="9" t="str">
        <x:v>operational_snapshot_annual_totals_may_differ</x:v>
      </x:c>
      <x:c r="BX90" s="9" t="str">
        <x:v>official_live_dashboard_snapshot_subject_to_revision</x:v>
      </x:c>
      <x:c r="BY90" s="9" t="str">
        <x:v>https://tbdashboard.sitb.id/ss_data_tbc03so_2025_provinsi_bulanan_list.php</x:v>
      </x:c>
      <x:c r="BZ90" s="6" t="n">
        <x:v>46246.610671296294</x:v>
      </x:c>
    </x:row>
    <x:row r="91" ht="18" customHeight="1">
      <x:c r="A91" s="6" t="str">
        <x:v>14</x:v>
      </x:c>
      <x:c r="B91" s="6" t="str">
        <x:v>RIAU</x:v>
      </x:c>
      <x:c r="C91" s="6" t="str">
        <x:v>2025</x:v>
      </x:c>
      <x:c r="D91" s="6" t="str">
        <x:v>6</x:v>
      </x:c>
      <x:c r="E91" s="6" t="str">
        <x:v>2025-06</x:v>
      </x:c>
      <x:c r="F91" s="6" t="str">
        <x:v>1242</x:v>
      </x:c>
      <x:c r="G91" s="6" t="str">
        <x:v>282</x:v>
      </x:c>
      <x:c r="H91" s="6" t="str">
        <x:v>685</x:v>
      </x:c>
      <x:c r="I91" s="6" t="str">
        <x:v>146</x:v>
      </x:c>
      <x:c r="J91" s="6" t="str">
        <x:v>54</x:v>
      </x:c>
      <x:c r="K91" s="6" t="str">
        <x:v>1</x:v>
      </x:c>
      <x:c r="L91" s="6" t="str">
        <x:v>0</x:v>
      </x:c>
      <x:c r="M91" s="6" t="str">
        <x:v>74</x:v>
      </x:c>
      <x:c r="N91" s="6" t="str">
        <x:v>1242</x:v>
      </x:c>
      <x:c r="O91" s="6" t="str">
        <x:v>0</x:v>
      </x:c>
      <x:c r="P91" s="10" t="n">
        <x:f>F91-M91</x:f>
        <x:v>1168</x:v>
      </x:c>
      <x:c r="Q91" s="11" t="n">
        <x:f>IFERROR(M91/F91,"")</x:f>
        <x:v>0.05958132045088567</x:v>
      </x:c>
      <x:c r="R91" s="10" t="n">
        <x:f>G91+H91</x:f>
        <x:v>967</x:v>
      </x:c>
      <x:c r="S91" s="11" t="n">
        <x:f>IFERROR(R91/F91,"")</x:f>
        <x:v>0.7785829307568438</x:v>
      </x:c>
      <x:c r="T91" s="11" t="n">
        <x:f>IFERROR(R91/P91,"")</x:f>
        <x:v>0.8279109589041096</x:v>
      </x:c>
      <x:c r="U91" s="10" t="n">
        <x:f>I91+J91+K91</x:f>
        <x:v>201</x:v>
      </x:c>
      <x:c r="V91" s="11" t="n">
        <x:f>IFERROR(U91/P91,"")</x:f>
        <x:v>0.1720890410958904</x:v>
      </x:c>
      <x:c r="W91" s="9" t="str">
        <x:v>provisional_gt_5pct_pending</x:v>
      </x:c>
      <x:c r="X91" s="12" t="n">
        <x:f>IFERROR(F91/Z91*100000,"")</x:f>
        <x:v>18.234672304439748</x:v>
      </x:c>
      <x:c r="Y91" s="13" t="n">
        <x:f>LN(Z91)</x:f>
        <x:v>15.734078874056024</x:v>
      </x:c>
      <x:c r="Z91" s="6" t="str">
        <x:v>6811200</x:v>
      </x:c>
      <x:c r="AA91" s="6" t="str">
        <x:v>76.0</x:v>
      </x:c>
      <x:c r="AB91" s="9" t="str">
        <x:v>2025-06-30</x:v>
      </x:c>
      <x:c r="AC91" s="8" t="str">
        <x:v>91.2</x:v>
      </x:c>
      <x:c r="AD91" s="9" t="str">
        <x:v>2025 (Susenas)</x:v>
      </x:c>
      <x:c r="AE91" s="8" t="str">
        <x:v>6.16</x:v>
      </x:c>
      <x:c r="AF91" s="9" t="str">
        <x:v>Maret 2025 (Susenas)</x:v>
      </x:c>
      <x:c r="AG91" s="6" t="str">
        <x:v>26.50495341421457</x:v>
      </x:c>
      <x:c r="AH91" s="8" t="str">
        <x:v>89.10235247575318</x:v>
      </x:c>
      <x:c r="AI91" s="6" t="str">
        <x:v>173.6479823912183</x:v>
      </x:c>
      <x:c r="AJ91" s="6" t="str">
        <x:v>0.279073451987248</x:v>
      </x:c>
      <x:c r="AK91" s="8" t="str">
        <x:v>1.1273801866934818</x:v>
      </x:c>
      <x:c r="AL91" s="6" t="str">
        <x:v>1.316362514330446</x:v>
      </x:c>
      <x:c r="AM91" s="6" t="str">
        <x:v>-0.1531092732213284</x:v>
      </x:c>
      <x:c r="AN91" s="6" t="str">
        <x:v>0.7635444759342</x:v>
      </x:c>
      <x:c r="AO91" s="6" t="str">
        <x:v>-0.2745048995189592</x:v>
      </x:c>
      <x:c r="AP91" s="8" t="str">
        <x:v>-0.3669891677124714</x:v>
      </x:c>
      <x:c r="AQ91" s="6" t="str">
        <x:v>-0.4703159498588182</x:v>
      </x:c>
      <x:c r="AR91" s="6" t="str">
        <x:v>0.5088584298955161</x:v>
      </x:c>
      <x:c r="AS91" s="6" t="str">
        <x:v>-0.109482229225258</x:v>
      </x:c>
      <x:c r="AT91" s="6" t="str">
        <x:v>19.85071632260704</x:v>
      </x:c>
      <x:c r="AU91" s="8" t="str">
        <x:v>0.3906161742302771</x:v>
      </x:c>
      <x:c r="AV91" s="6" t="str">
        <x:v>0.7757665275065716</x:v>
      </x:c>
      <x:c r="AW91" s="6" t="str">
        <x:v>1.1548137315008236</x:v>
      </x:c>
      <x:c r="AX91" s="6" t="str">
        <x:v>0.7737321444125572</x:v>
      </x:c>
      <x:c r="AY91" s="6" t="str">
        <x:v>0</x:v>
      </x:c>
      <x:c r="AZ91" s="6" t="str">
        <x:v>1</x:v>
      </x:c>
      <x:c r="BA91" s="9" t="str">
        <x:v>grid_cells_within_BIG_polygon</x:v>
      </x:c>
      <x:c r="BB91" s="6" t="str">
        <x:v>22</x:v>
      </x:c>
      <x:c r="BC91" s="6" t="str">
        <x:v>21</x:v>
      </x:c>
      <x:c r="BD91" s="6" t="str">
        <x:v>21</x:v>
      </x:c>
      <x:c r="BE91" s="6" t="str">
        <x:v>0</x:v>
      </x:c>
      <x:c r="BF91" s="6" t="str">
        <x:v>0</x:v>
      </x:c>
      <x:c r="BG91" s="6" t="str">
        <x:v>0</x:v>
      </x:c>
      <x:c r="BH91" s="6" t="str">
        <x:v>0</x:v>
      </x:c>
      <x:c r="BI91" s="6" t="str">
        <x:v>21</x:v>
      </x:c>
      <x:c r="BJ91" s="6" t="str">
        <x:v>0</x:v>
      </x:c>
      <x:c r="BK91" s="6" t="str">
        <x:v>0</x:v>
      </x:c>
      <x:c r="BL91" s="6" t="str">
        <x:v>0</x:v>
      </x:c>
      <x:c r="BM91" s="6" t="str">
        <x:v>0</x:v>
      </x:c>
      <x:c r="BN91" s="6" t="str">
        <x:v>21</x:v>
      </x:c>
      <x:c r="BO91" s="6" t="str"/>
      <x:c r="BP91" s="6" t="str">
        <x:v>0</x:v>
      </x:c>
      <x:c r="BQ91" s="6" t="str"/>
      <x:c r="BR91" s="6" t="str">
        <x:v>0</x:v>
      </x:c>
      <x:c r="BS91" s="6" t="str">
        <x:v>0.0</x:v>
      </x:c>
      <x:c r="BT91" s="6" t="str">
        <x:v>21</x:v>
      </x:c>
      <x:c r="BU91" s="6" t="str"/>
      <x:c r="BV91" s="6" t="str">
        <x:v>0</x:v>
      </x:c>
      <x:c r="BW91" s="9" t="str">
        <x:v>operational_snapshot_annual_totals_may_differ</x:v>
      </x:c>
      <x:c r="BX91" s="9" t="str">
        <x:v>official_live_dashboard_snapshot_subject_to_revision</x:v>
      </x:c>
      <x:c r="BY91" s="9" t="str">
        <x:v>https://tbdashboard.sitb.id/ss_data_tbc03so_2025_provinsi_bulanan_list.php</x:v>
      </x:c>
      <x:c r="BZ91" s="6" t="n">
        <x:v>46246.610671296294</x:v>
      </x:c>
    </x:row>
    <x:row r="92" ht="18" customHeight="1">
      <x:c r="A92" s="6" t="str">
        <x:v>14</x:v>
      </x:c>
      <x:c r="B92" s="6" t="str">
        <x:v>RIAU</x:v>
      </x:c>
      <x:c r="C92" s="6" t="str">
        <x:v>2025</x:v>
      </x:c>
      <x:c r="D92" s="6" t="str">
        <x:v>7</x:v>
      </x:c>
      <x:c r="E92" s="6" t="str">
        <x:v>2025-07</x:v>
      </x:c>
      <x:c r="F92" s="6" t="str">
        <x:v>1349</x:v>
      </x:c>
      <x:c r="G92" s="6" t="str">
        <x:v>333</x:v>
      </x:c>
      <x:c r="H92" s="6" t="str">
        <x:v>706</x:v>
      </x:c>
      <x:c r="I92" s="6" t="str">
        <x:v>147</x:v>
      </x:c>
      <x:c r="J92" s="6" t="str">
        <x:v>55</x:v>
      </x:c>
      <x:c r="K92" s="6" t="str">
        <x:v>3</x:v>
      </x:c>
      <x:c r="L92" s="6" t="str">
        <x:v>1</x:v>
      </x:c>
      <x:c r="M92" s="6" t="str">
        <x:v>104</x:v>
      </x:c>
      <x:c r="N92" s="6" t="str">
        <x:v>1349</x:v>
      </x:c>
      <x:c r="O92" s="6" t="str">
        <x:v>0</x:v>
      </x:c>
      <x:c r="P92" s="10" t="n">
        <x:f>F92-M92</x:f>
        <x:v>1245</x:v>
      </x:c>
      <x:c r="Q92" s="11" t="n">
        <x:f>IFERROR(M92/F92,"")</x:f>
        <x:v>0.0770941438102298</x:v>
      </x:c>
      <x:c r="R92" s="10" t="n">
        <x:f>G92+H92</x:f>
        <x:v>1039</x:v>
      </x:c>
      <x:c r="S92" s="11" t="n">
        <x:f>IFERROR(R92/F92,"")</x:f>
        <x:v>0.7702001482579689</x:v>
      </x:c>
      <x:c r="T92" s="11" t="n">
        <x:f>IFERROR(R92/P92,"")</x:f>
        <x:v>0.8345381526104417</x:v>
      </x:c>
      <x:c r="U92" s="10" t="n">
        <x:f>I92+J92+K92</x:f>
        <x:v>205</x:v>
      </x:c>
      <x:c r="V92" s="11" t="n">
        <x:f>IFERROR(U92/P92,"")</x:f>
        <x:v>0.1646586345381526</x:v>
      </x:c>
      <x:c r="W92" s="9" t="str">
        <x:v>provisional_gt_5pct_pending</x:v>
      </x:c>
      <x:c r="X92" s="12" t="n">
        <x:f>IFERROR(F92/Z92*100000,"")</x:f>
        <x:v>19.80561428235847</x:v>
      </x:c>
      <x:c r="Y92" s="13" t="n">
        <x:f>LN(Z92)</x:f>
        <x:v>15.734078874056024</x:v>
      </x:c>
      <x:c r="Z92" s="6" t="str">
        <x:v>6811200</x:v>
      </x:c>
      <x:c r="AA92" s="6" t="str">
        <x:v>76.0</x:v>
      </x:c>
      <x:c r="AB92" s="9" t="str">
        <x:v>2025-06-30</x:v>
      </x:c>
      <x:c r="AC92" s="8" t="str">
        <x:v>91.2</x:v>
      </x:c>
      <x:c r="AD92" s="9" t="str">
        <x:v>2025 (Susenas)</x:v>
      </x:c>
      <x:c r="AE92" s="8" t="str">
        <x:v>6.16</x:v>
      </x:c>
      <x:c r="AF92" s="9" t="str">
        <x:v>Maret 2025 (Susenas)</x:v>
      </x:c>
      <x:c r="AG92" s="6" t="str">
        <x:v>26.531320328072105</x:v>
      </x:c>
      <x:c r="AH92" s="8" t="str">
        <x:v>88.5714234304889</x:v>
      </x:c>
      <x:c r="AI92" s="6" t="str">
        <x:v>137.06672946897234</x:v>
      </x:c>
      <x:c r="AJ92" s="6" t="str">
        <x:v>0.6100614061307006</x:v>
      </x:c>
      <x:c r="AK92" s="8" t="str">
        <x:v>2.5149953381327843</x:v>
      </x:c>
      <x:c r="AL92" s="6" t="str">
        <x:v>1.1273801866934818</x:v>
      </x:c>
      <x:c r="AM92" s="6" t="str">
        <x:v>1.316362514330446</x:v>
      </x:c>
      <x:c r="AN92" s="6" t="str">
        <x:v>1.6529126797189042</x:v>
      </x:c>
      <x:c r="AO92" s="6" t="str">
        <x:v>-0.4094929833767651</x:v>
      </x:c>
      <x:c r="AP92" s="8" t="str">
        <x:v>-0.530791555742663</x:v>
      </x:c>
      <x:c r="AQ92" s="6" t="str">
        <x:v>-0.3669891677124714</x:v>
      </x:c>
      <x:c r="AR92" s="6" t="str">
        <x:v>-0.4703159498588182</x:v>
      </x:c>
      <x:c r="AS92" s="6" t="str">
        <x:v>-0.4560322244379843</x:v>
      </x:c>
      <x:c r="AT92" s="6" t="str">
        <x:v>-21.27361900389093</x:v>
      </x:c>
      <x:c r="AU92" s="8" t="str">
        <x:v>-0.3672681598728816</x:v>
      </x:c>
      <x:c r="AV92" s="6" t="str">
        <x:v>0.3906161742302771</x:v>
      </x:c>
      <x:c r="AW92" s="6" t="str">
        <x:v>0.7757665275065716</x:v>
      </x:c>
      <x:c r="AX92" s="6" t="str">
        <x:v>0.2663715139546554</x:v>
      </x:c>
      <x:c r="AY92" s="6" t="str">
        <x:v>0</x:v>
      </x:c>
      <x:c r="AZ92" s="6" t="str">
        <x:v>1</x:v>
      </x:c>
      <x:c r="BA92" s="9" t="str">
        <x:v>grid_cells_within_BIG_polygon</x:v>
      </x:c>
      <x:c r="BB92" s="6" t="str">
        <x:v>22</x:v>
      </x:c>
      <x:c r="BC92" s="6" t="str">
        <x:v>83</x:v>
      </x:c>
      <x:c r="BD92" s="6" t="str">
        <x:v>83</x:v>
      </x:c>
      <x:c r="BE92" s="6" t="str">
        <x:v>0</x:v>
      </x:c>
      <x:c r="BF92" s="6" t="str">
        <x:v>0</x:v>
      </x:c>
      <x:c r="BG92" s="6" t="str">
        <x:v>1</x:v>
      </x:c>
      <x:c r="BH92" s="6" t="str">
        <x:v>0</x:v>
      </x:c>
      <x:c r="BI92" s="6" t="str">
        <x:v>82</x:v>
      </x:c>
      <x:c r="BJ92" s="6" t="str">
        <x:v>0</x:v>
      </x:c>
      <x:c r="BK92" s="6" t="str">
        <x:v>0</x:v>
      </x:c>
      <x:c r="BL92" s="6" t="str">
        <x:v>0</x:v>
      </x:c>
      <x:c r="BM92" s="6" t="str">
        <x:v>0</x:v>
      </x:c>
      <x:c r="BN92" s="6" t="str">
        <x:v>83</x:v>
      </x:c>
      <x:c r="BO92" s="6" t="str"/>
      <x:c r="BP92" s="6" t="str">
        <x:v>0</x:v>
      </x:c>
      <x:c r="BQ92" s="6" t="str"/>
      <x:c r="BR92" s="6" t="str">
        <x:v>0</x:v>
      </x:c>
      <x:c r="BS92" s="6" t="str">
        <x:v>64.0</x:v>
      </x:c>
      <x:c r="BT92" s="6" t="str">
        <x:v>83</x:v>
      </x:c>
      <x:c r="BU92" s="6" t="str"/>
      <x:c r="BV92" s="6" t="str">
        <x:v>0</x:v>
      </x:c>
      <x:c r="BW92" s="9" t="str">
        <x:v>operational_snapshot_annual_totals_may_differ</x:v>
      </x:c>
      <x:c r="BX92" s="9" t="str">
        <x:v>official_live_dashboard_snapshot_subject_to_revision</x:v>
      </x:c>
      <x:c r="BY92" s="9" t="str">
        <x:v>https://tbdashboard.sitb.id/ss_data_tbc03so_2025_provinsi_bulanan_list.php</x:v>
      </x:c>
      <x:c r="BZ92" s="6" t="n">
        <x:v>46246.610671296294</x:v>
      </x:c>
    </x:row>
    <x:row r="93" ht="18" customHeight="1">
      <x:c r="A93" s="6" t="str">
        <x:v>14</x:v>
      </x:c>
      <x:c r="B93" s="6" t="str">
        <x:v>RIAU</x:v>
      </x:c>
      <x:c r="C93" s="6" t="str">
        <x:v>2025</x:v>
      </x:c>
      <x:c r="D93" s="6" t="str">
        <x:v>8</x:v>
      </x:c>
      <x:c r="E93" s="6" t="str">
        <x:v>2025-08</x:v>
      </x:c>
      <x:c r="F93" s="6" t="str">
        <x:v>1261</x:v>
      </x:c>
      <x:c r="G93" s="6" t="str">
        <x:v>335</x:v>
      </x:c>
      <x:c r="H93" s="6" t="str">
        <x:v>589</x:v>
      </x:c>
      <x:c r="I93" s="6" t="str">
        <x:v>149</x:v>
      </x:c>
      <x:c r="J93" s="6" t="str">
        <x:v>45</x:v>
      </x:c>
      <x:c r="K93" s="6" t="str">
        <x:v>1</x:v>
      </x:c>
      <x:c r="L93" s="6" t="str">
        <x:v>1</x:v>
      </x:c>
      <x:c r="M93" s="6" t="str">
        <x:v>141</x:v>
      </x:c>
      <x:c r="N93" s="6" t="str">
        <x:v>1261</x:v>
      </x:c>
      <x:c r="O93" s="6" t="str">
        <x:v>0</x:v>
      </x:c>
      <x:c r="P93" s="10" t="n">
        <x:f>F93-M93</x:f>
        <x:v>1120</x:v>
      </x:c>
      <x:c r="Q93" s="11" t="n">
        <x:f>IFERROR(M93/F93,"")</x:f>
        <x:v>0.11181601903251388</x:v>
      </x:c>
      <x:c r="R93" s="10" t="n">
        <x:f>G93+H93</x:f>
        <x:v>924</x:v>
      </x:c>
      <x:c r="S93" s="11" t="n">
        <x:f>IFERROR(R93/F93,"")</x:f>
        <x:v>0.732751784298176</x:v>
      </x:c>
      <x:c r="T93" s="11" t="n">
        <x:f>IFERROR(R93/P93,"")</x:f>
        <x:v>0.825</x:v>
      </x:c>
      <x:c r="U93" s="10" t="n">
        <x:f>I93+J93+K93</x:f>
        <x:v>195</x:v>
      </x:c>
      <x:c r="V93" s="11" t="n">
        <x:f>IFERROR(U93/P93,"")</x:f>
        <x:v>0.17410714285714285</x:v>
      </x:c>
      <x:c r="W93" s="9" t="str">
        <x:v>provisional_gt_5pct_pending</x:v>
      </x:c>
      <x:c r="X93" s="12" t="n">
        <x:f>IFERROR(F93/Z93*100000,"")</x:f>
        <x:v>18.51362461827578</x:v>
      </x:c>
      <x:c r="Y93" s="13" t="n">
        <x:f>LN(Z93)</x:f>
        <x:v>15.734078874056024</x:v>
      </x:c>
      <x:c r="Z93" s="6" t="str">
        <x:v>6811200</x:v>
      </x:c>
      <x:c r="AA93" s="6" t="str">
        <x:v>76.0</x:v>
      </x:c>
      <x:c r="AB93" s="9" t="str">
        <x:v>2025-06-30</x:v>
      </x:c>
      <x:c r="AC93" s="8" t="str">
        <x:v>91.2</x:v>
      </x:c>
      <x:c r="AD93" s="9" t="str">
        <x:v>2025 (Susenas)</x:v>
      </x:c>
      <x:c r="AE93" s="8" t="str">
        <x:v>6.16</x:v>
      </x:c>
      <x:c r="AF93" s="9" t="str">
        <x:v>Maret 2025 (Susenas)</x:v>
      </x:c>
      <x:c r="AG93" s="6" t="str">
        <x:v>26.17041286574939</x:v>
      </x:c>
      <x:c r="AH93" s="8" t="str">
        <x:v>87.86321661510819</x:v>
      </x:c>
      <x:c r="AI93" s="6" t="str">
        <x:v>179.9539641724932</x:v>
      </x:c>
      <x:c r="AJ93" s="6" t="str">
        <x:v>0.1922262724388126</x:v>
      </x:c>
      <x:c r="AK93" s="8" t="str">
        <x:v>0.8440187290495574</x:v>
      </x:c>
      <x:c r="AL93" s="6" t="str">
        <x:v>2.5149953381327843</x:v>
      </x:c>
      <x:c r="AM93" s="6" t="str">
        <x:v>1.1273801866934818</x:v>
      </x:c>
      <x:c r="AN93" s="6" t="str">
        <x:v>1.4954647512919417</x:v>
      </x:c>
      <x:c r="AO93" s="6" t="str">
        <x:v>-0.4541797971321557</x:v>
      </x:c>
      <x:c r="AP93" s="8" t="str">
        <x:v>-0.5564079881607347</x:v>
      </x:c>
      <x:c r="AQ93" s="6" t="str">
        <x:v>-0.530791555742663</x:v>
      </x:c>
      <x:c r="AR93" s="6" t="str">
        <x:v>-0.3669891677124714</x:v>
      </x:c>
      <x:c r="AS93" s="6" t="str">
        <x:v>-0.4847295705386232</x:v>
      </x:c>
      <x:c r="AT93" s="6" t="str">
        <x:v>4.134959919825292</x:v>
      </x:c>
      <x:c r="AU93" s="8" t="str">
        <x:v>0.0579383073492293</x:v>
      </x:c>
      <x:c r="AV93" s="6" t="str">
        <x:v>-0.3672681598728816</x:v>
      </x:c>
      <x:c r="AW93" s="6" t="str">
        <x:v>0.3906161742302771</x:v>
      </x:c>
      <x:c r="AX93" s="6" t="str">
        <x:v>0.0270954405688747</x:v>
      </x:c>
      <x:c r="AY93" s="6" t="str">
        <x:v>0</x:v>
      </x:c>
      <x:c r="AZ93" s="6" t="str">
        <x:v>0</x:v>
      </x:c>
      <x:c r="BA93" s="9" t="str">
        <x:v>grid_cells_within_BIG_polygon</x:v>
      </x:c>
      <x:c r="BB93" s="6" t="str">
        <x:v>22</x:v>
      </x:c>
      <x:c r="BC93" s="6" t="str">
        <x:v>37</x:v>
      </x:c>
      <x:c r="BD93" s="6" t="str">
        <x:v>37</x:v>
      </x:c>
      <x:c r="BE93" s="6" t="str">
        <x:v>0</x:v>
      </x:c>
      <x:c r="BF93" s="6" t="str">
        <x:v>0</x:v>
      </x:c>
      <x:c r="BG93" s="6" t="str">
        <x:v>0</x:v>
      </x:c>
      <x:c r="BH93" s="6" t="str">
        <x:v>0</x:v>
      </x:c>
      <x:c r="BI93" s="6" t="str">
        <x:v>37</x:v>
      </x:c>
      <x:c r="BJ93" s="6" t="str">
        <x:v>0</x:v>
      </x:c>
      <x:c r="BK93" s="6" t="str">
        <x:v>0</x:v>
      </x:c>
      <x:c r="BL93" s="6" t="str">
        <x:v>0</x:v>
      </x:c>
      <x:c r="BM93" s="6" t="str">
        <x:v>0</x:v>
      </x:c>
      <x:c r="BN93" s="6" t="str">
        <x:v>37</x:v>
      </x:c>
      <x:c r="BO93" s="6" t="str"/>
      <x:c r="BP93" s="6" t="str">
        <x:v>0</x:v>
      </x:c>
      <x:c r="BQ93" s="6" t="str"/>
      <x:c r="BR93" s="6" t="str">
        <x:v>0</x:v>
      </x:c>
      <x:c r="BS93" s="6" t="str">
        <x:v>0.0</x:v>
      </x:c>
      <x:c r="BT93" s="6" t="str">
        <x:v>37</x:v>
      </x:c>
      <x:c r="BU93" s="6" t="str"/>
      <x:c r="BV93" s="6" t="str">
        <x:v>0</x:v>
      </x:c>
      <x:c r="BW93" s="9" t="str">
        <x:v>operational_snapshot_annual_totals_may_differ</x:v>
      </x:c>
      <x:c r="BX93" s="9" t="str">
        <x:v>official_live_dashboard_snapshot_subject_to_revision</x:v>
      </x:c>
      <x:c r="BY93" s="9" t="str">
        <x:v>https://tbdashboard.sitb.id/ss_data_tbc03so_2025_provinsi_bulanan_list.php</x:v>
      </x:c>
      <x:c r="BZ93" s="6" t="n">
        <x:v>46246.610671296294</x:v>
      </x:c>
    </x:row>
    <x:row r="94" ht="18" customHeight="1">
      <x:c r="A94" s="6" t="str">
        <x:v>14</x:v>
      </x:c>
      <x:c r="B94" s="6" t="str">
        <x:v>RIAU</x:v>
      </x:c>
      <x:c r="C94" s="6" t="str">
        <x:v>2025</x:v>
      </x:c>
      <x:c r="D94" s="6" t="str">
        <x:v>9</x:v>
      </x:c>
      <x:c r="E94" s="6" t="str">
        <x:v>2025-09</x:v>
      </x:c>
      <x:c r="F94" s="6" t="str">
        <x:v>1312</x:v>
      </x:c>
      <x:c r="G94" s="6" t="str">
        <x:v>283</x:v>
      </x:c>
      <x:c r="H94" s="6" t="str">
        <x:v>654</x:v>
      </x:c>
      <x:c r="I94" s="6" t="str">
        <x:v>148</x:v>
      </x:c>
      <x:c r="J94" s="6" t="str">
        <x:v>61</x:v>
      </x:c>
      <x:c r="K94" s="6" t="str">
        <x:v>2</x:v>
      </x:c>
      <x:c r="L94" s="6" t="str">
        <x:v>0</x:v>
      </x:c>
      <x:c r="M94" s="6" t="str">
        <x:v>164</x:v>
      </x:c>
      <x:c r="N94" s="6" t="str">
        <x:v>1312</x:v>
      </x:c>
      <x:c r="O94" s="6" t="str">
        <x:v>0</x:v>
      </x:c>
      <x:c r="P94" s="10" t="n">
        <x:f>F94-M94</x:f>
        <x:v>1148</x:v>
      </x:c>
      <x:c r="Q94" s="11" t="n">
        <x:f>IFERROR(M94/F94,"")</x:f>
        <x:v>0.125</x:v>
      </x:c>
      <x:c r="R94" s="10" t="n">
        <x:f>G94+H94</x:f>
        <x:v>937</x:v>
      </x:c>
      <x:c r="S94" s="11" t="n">
        <x:f>IFERROR(R94/F94,"")</x:f>
        <x:v>0.7141768292682927</x:v>
      </x:c>
      <x:c r="T94" s="11" t="n">
        <x:f>IFERROR(R94/P94,"")</x:f>
        <x:v>0.8162020905923345</x:v>
      </x:c>
      <x:c r="U94" s="10" t="n">
        <x:f>I94+J94+K94</x:f>
        <x:v>211</x:v>
      </x:c>
      <x:c r="V94" s="11" t="n">
        <x:f>IFERROR(U94/P94,"")</x:f>
        <x:v>0.1837979094076655</x:v>
      </x:c>
      <x:c r="W94" s="9" t="str">
        <x:v>provisional_gt_5pct_pending</x:v>
      </x:c>
      <x:c r="X94" s="12" t="n">
        <x:f>IFERROR(F94/Z94*100000,"")</x:f>
        <x:v>19.262391355414614</x:v>
      </x:c>
      <x:c r="Y94" s="13" t="n">
        <x:f>LN(Z94)</x:f>
        <x:v>15.734078874056024</x:v>
      </x:c>
      <x:c r="Z94" s="6" t="str">
        <x:v>6811200</x:v>
      </x:c>
      <x:c r="AA94" s="6" t="str">
        <x:v>76.0</x:v>
      </x:c>
      <x:c r="AB94" s="9" t="str">
        <x:v>2025-06-30</x:v>
      </x:c>
      <x:c r="AC94" s="8" t="str">
        <x:v>91.2</x:v>
      </x:c>
      <x:c r="AD94" s="9" t="str">
        <x:v>2025 (Susenas)</x:v>
      </x:c>
      <x:c r="AE94" s="8" t="str">
        <x:v>6.16</x:v>
      </x:c>
      <x:c r="AF94" s="9" t="str">
        <x:v>Maret 2025 (Susenas)</x:v>
      </x:c>
      <x:c r="AG94" s="6" t="str">
        <x:v>26.21905558406854</x:v>
      </x:c>
      <x:c r="AH94" s="8" t="str">
        <x:v>88.46596534614913</x:v>
      </x:c>
      <x:c r="AI94" s="6" t="str">
        <x:v>269.46912880868393</x:v>
      </x:c>
      <x:c r="AJ94" s="6" t="str">
        <x:v>0.1827017013275806</x:v>
      </x:c>
      <x:c r="AK94" s="8" t="str">
        <x:v>0.7219306627070546</x:v>
      </x:c>
      <x:c r="AL94" s="6" t="str">
        <x:v>0.8440187290495574</x:v>
      </x:c>
      <x:c r="AM94" s="6" t="str">
        <x:v>2.5149953381327843</x:v>
      </x:c>
      <x:c r="AN94" s="6" t="str">
        <x:v>1.3603149099631324</x:v>
      </x:c>
      <x:c r="AO94" s="6" t="str">
        <x:v>0.4503031674605893</x:v>
      </x:c>
      <x:c r="AP94" s="8" t="str">
        <x:v>0.5729109271552447</x:v>
      </x:c>
      <x:c r="AQ94" s="6" t="str">
        <x:v>-0.5564079881607347</x:v>
      </x:c>
      <x:c r="AR94" s="6" t="str">
        <x:v>-0.530791555742663</x:v>
      </x:c>
      <x:c r="AS94" s="6" t="str">
        <x:v>-0.1714295389160511</x:v>
      </x:c>
      <x:c r="AT94" s="6" t="str">
        <x:v>72.51645802438648</x:v>
      </x:c>
      <x:c r="AU94" s="8" t="str">
        <x:v>0.9846376256410334</x:v>
      </x:c>
      <x:c r="AV94" s="6" t="str">
        <x:v>0.0579383073492293</x:v>
      </x:c>
      <x:c r="AW94" s="6" t="str">
        <x:v>-0.3672681598728816</x:v>
      </x:c>
      <x:c r="AX94" s="6" t="str">
        <x:v>0.2251025910391268</x:v>
      </x:c>
      <x:c r="AY94" s="6" t="str">
        <x:v>0</x:v>
      </x:c>
      <x:c r="AZ94" s="6" t="str">
        <x:v>0</x:v>
      </x:c>
      <x:c r="BA94" s="9" t="str">
        <x:v>grid_cells_within_BIG_polygon</x:v>
      </x:c>
      <x:c r="BB94" s="6" t="str">
        <x:v>22</x:v>
      </x:c>
      <x:c r="BC94" s="6" t="str">
        <x:v>6</x:v>
      </x:c>
      <x:c r="BD94" s="6" t="str">
        <x:v>6</x:v>
      </x:c>
      <x:c r="BE94" s="6" t="str">
        <x:v>1</x:v>
      </x:c>
      <x:c r="BF94" s="6" t="str">
        <x:v>0</x:v>
      </x:c>
      <x:c r="BG94" s="6" t="str">
        <x:v>0</x:v>
      </x:c>
      <x:c r="BH94" s="6" t="str">
        <x:v>0</x:v>
      </x:c>
      <x:c r="BI94" s="6" t="str">
        <x:v>5</x:v>
      </x:c>
      <x:c r="BJ94" s="6" t="str">
        <x:v>0</x:v>
      </x:c>
      <x:c r="BK94" s="6" t="str">
        <x:v>0</x:v>
      </x:c>
      <x:c r="BL94" s="6" t="str">
        <x:v>0</x:v>
      </x:c>
      <x:c r="BM94" s="6" t="str">
        <x:v>0</x:v>
      </x:c>
      <x:c r="BN94" s="6" t="str">
        <x:v>6</x:v>
      </x:c>
      <x:c r="BO94" s="6" t="str"/>
      <x:c r="BP94" s="6" t="str">
        <x:v>0</x:v>
      </x:c>
      <x:c r="BQ94" s="6" t="str"/>
      <x:c r="BR94" s="6" t="str">
        <x:v>0</x:v>
      </x:c>
      <x:c r="BS94" s="6" t="str">
        <x:v>0.0</x:v>
      </x:c>
      <x:c r="BT94" s="6" t="str">
        <x:v>6</x:v>
      </x:c>
      <x:c r="BU94" s="6" t="str">
        <x:v>15.0</x:v>
      </x:c>
      <x:c r="BV94" s="6" t="str">
        <x:v>1</x:v>
      </x:c>
      <x:c r="BW94" s="9" t="str">
        <x:v>operational_snapshot_annual_totals_may_differ</x:v>
      </x:c>
      <x:c r="BX94" s="9" t="str">
        <x:v>official_live_dashboard_snapshot_subject_to_revision</x:v>
      </x:c>
      <x:c r="BY94" s="9" t="str">
        <x:v>https://tbdashboard.sitb.id/ss_data_tbc03so_2025_provinsi_bulanan_list.php</x:v>
      </x:c>
      <x:c r="BZ94" s="6" t="n">
        <x:v>46246.610671296294</x:v>
      </x:c>
    </x:row>
    <x:row r="95" ht="18" customHeight="1">
      <x:c r="A95" s="6" t="str">
        <x:v>14</x:v>
      </x:c>
      <x:c r="B95" s="6" t="str">
        <x:v>RIAU</x:v>
      </x:c>
      <x:c r="C95" s="6" t="str">
        <x:v>2025</x:v>
      </x:c>
      <x:c r="D95" s="6" t="str">
        <x:v>10</x:v>
      </x:c>
      <x:c r="E95" s="6" t="str">
        <x:v>2025-10</x:v>
      </x:c>
      <x:c r="F95" s="6" t="str">
        <x:v>1340</x:v>
      </x:c>
      <x:c r="G95" s="6" t="str">
        <x:v>295</x:v>
      </x:c>
      <x:c r="H95" s="6" t="str">
        <x:v>636</x:v>
      </x:c>
      <x:c r="I95" s="6" t="str">
        <x:v>138</x:v>
      </x:c>
      <x:c r="J95" s="6" t="str">
        <x:v>66</x:v>
      </x:c>
      <x:c r="K95" s="6" t="str">
        <x:v>3</x:v>
      </x:c>
      <x:c r="L95" s="6" t="str">
        <x:v>3</x:v>
      </x:c>
      <x:c r="M95" s="6" t="str">
        <x:v>199</x:v>
      </x:c>
      <x:c r="N95" s="6" t="str">
        <x:v>1340</x:v>
      </x:c>
      <x:c r="O95" s="6" t="str">
        <x:v>0</x:v>
      </x:c>
      <x:c r="P95" s="10" t="n">
        <x:f>F95-M95</x:f>
        <x:v>1141</x:v>
      </x:c>
      <x:c r="Q95" s="11" t="n">
        <x:f>IFERROR(M95/F95,"")</x:f>
        <x:v>0.14850746268656717</x:v>
      </x:c>
      <x:c r="R95" s="10" t="n">
        <x:f>G95+H95</x:f>
        <x:v>931</x:v>
      </x:c>
      <x:c r="S95" s="11" t="n">
        <x:f>IFERROR(R95/F95,"")</x:f>
        <x:v>0.6947761194029851</x:v>
      </x:c>
      <x:c r="T95" s="11" t="n">
        <x:f>IFERROR(R95/P95,"")</x:f>
        <x:v>0.8159509202453987</x:v>
      </x:c>
      <x:c r="U95" s="10" t="n">
        <x:f>I95+J95+K95</x:f>
        <x:v>207</x:v>
      </x:c>
      <x:c r="V95" s="11" t="n">
        <x:f>IFERROR(U95/P95,"")</x:f>
        <x:v>0.18141980718667836</x:v>
      </x:c>
      <x:c r="W95" s="9" t="str">
        <x:v>provisional_gt_5pct_pending</x:v>
      </x:c>
      <x:c r="X95" s="12" t="n">
        <x:f>IFERROR(F95/Z95*100000,"")</x:f>
        <x:v>19.673478975804557</x:v>
      </x:c>
      <x:c r="Y95" s="13" t="n">
        <x:f>LN(Z95)</x:f>
        <x:v>15.734078874056024</x:v>
      </x:c>
      <x:c r="Z95" s="6" t="str">
        <x:v>6811200</x:v>
      </x:c>
      <x:c r="AA95" s="6" t="str">
        <x:v>76.0</x:v>
      </x:c>
      <x:c r="AB95" s="9" t="str">
        <x:v>2025-06-30</x:v>
      </x:c>
      <x:c r="AC95" s="8" t="str">
        <x:v>91.2</x:v>
      </x:c>
      <x:c r="AD95" s="9" t="str">
        <x:v>2025 (Susenas)</x:v>
      </x:c>
      <x:c r="AE95" s="8" t="str">
        <x:v>6.16</x:v>
      </x:c>
      <x:c r="AF95" s="9" t="str">
        <x:v>Maret 2025 (Susenas)</x:v>
      </x:c>
      <x:c r="AG95" s="6" t="str">
        <x:v>26.45133661585455</x:v>
      </x:c>
      <x:c r="AH95" s="8" t="str">
        <x:v>87.52589375606586</x:v>
      </x:c>
      <x:c r="AI95" s="6" t="str">
        <x:v>226.34561497672067</x:v>
      </x:c>
      <x:c r="AJ95" s="6" t="str">
        <x:v>0.3143782756938158</x:v>
      </x:c>
      <x:c r="AK95" s="8" t="str">
        <x:v>1.3628774634673495</x:v>
      </x:c>
      <x:c r="AL95" s="6" t="str">
        <x:v>0.7219306627070546</x:v>
      </x:c>
      <x:c r="AM95" s="6" t="str">
        <x:v>0.8440187290495574</x:v>
      </x:c>
      <x:c r="AN95" s="6" t="str">
        <x:v>0.9762756184079876</x:v>
      </x:c>
      <x:c r="AO95" s="6" t="str">
        <x:v>-0.7689623677737529</x:v>
      </x:c>
      <x:c r="AP95" s="8" t="str">
        <x:v>-0.7398358643607876</x:v>
      </x:c>
      <x:c r="AQ95" s="6" t="str">
        <x:v>0.5729109271552447</x:v>
      </x:c>
      <x:c r="AR95" s="6" t="str">
        <x:v>-0.5564079881607347</x:v>
      </x:c>
      <x:c r="AS95" s="6" t="str">
        <x:v>-0.2411109751220926</x:v>
      </x:c>
      <x:c r="AT95" s="6" t="str">
        <x:v>-30.077001114580668</x:v>
      </x:c>
      <x:c r="AU95" s="8" t="str">
        <x:v>-0.35038399222965</x:v>
      </x:c>
      <x:c r="AV95" s="6" t="str">
        <x:v>0.9846376256410334</x:v>
      </x:c>
      <x:c r="AW95" s="6" t="str">
        <x:v>0.0579383073492293</x:v>
      </x:c>
      <x:c r="AX95" s="6" t="str">
        <x:v>0.2307306469202039</x:v>
      </x:c>
      <x:c r="AY95" s="6" t="str">
        <x:v>0</x:v>
      </x:c>
      <x:c r="AZ95" s="6" t="str">
        <x:v>1</x:v>
      </x:c>
      <x:c r="BA95" s="9" t="str">
        <x:v>grid_cells_within_BIG_polygon</x:v>
      </x:c>
      <x:c r="BB95" s="6" t="str">
        <x:v>22</x:v>
      </x:c>
      <x:c r="BC95" s="6" t="str">
        <x:v>11</x:v>
      </x:c>
      <x:c r="BD95" s="6" t="str">
        <x:v>11</x:v>
      </x:c>
      <x:c r="BE95" s="6" t="str">
        <x:v>3</x:v>
      </x:c>
      <x:c r="BF95" s="6" t="str">
        <x:v>0</x:v>
      </x:c>
      <x:c r="BG95" s="6" t="str">
        <x:v>0</x:v>
      </x:c>
      <x:c r="BH95" s="6" t="str">
        <x:v>0</x:v>
      </x:c>
      <x:c r="BI95" s="6" t="str">
        <x:v>8</x:v>
      </x:c>
      <x:c r="BJ95" s="6" t="str">
        <x:v>0</x:v>
      </x:c>
      <x:c r="BK95" s="6" t="str">
        <x:v>0</x:v>
      </x:c>
      <x:c r="BL95" s="6" t="str">
        <x:v>0</x:v>
      </x:c>
      <x:c r="BM95" s="6" t="str">
        <x:v>0</x:v>
      </x:c>
      <x:c r="BN95" s="6" t="str">
        <x:v>11</x:v>
      </x:c>
      <x:c r="BO95" s="6" t="str"/>
      <x:c r="BP95" s="6" t="str">
        <x:v>0</x:v>
      </x:c>
      <x:c r="BQ95" s="6" t="str"/>
      <x:c r="BR95" s="6" t="str">
        <x:v>0</x:v>
      </x:c>
      <x:c r="BS95" s="6" t="str">
        <x:v>0.0</x:v>
      </x:c>
      <x:c r="BT95" s="6" t="str">
        <x:v>11</x:v>
      </x:c>
      <x:c r="BU95" s="6" t="str">
        <x:v>1726.0</x:v>
      </x:c>
      <x:c r="BV95" s="6" t="str">
        <x:v>3</x:v>
      </x:c>
      <x:c r="BW95" s="9" t="str">
        <x:v>operational_snapshot_annual_totals_may_differ</x:v>
      </x:c>
      <x:c r="BX95" s="9" t="str">
        <x:v>official_live_dashboard_snapshot_subject_to_revision</x:v>
      </x:c>
      <x:c r="BY95" s="9" t="str">
        <x:v>https://tbdashboard.sitb.id/ss_data_tbc03so_2025_provinsi_bulanan_list.php</x:v>
      </x:c>
      <x:c r="BZ95" s="6" t="n">
        <x:v>46246.610671296294</x:v>
      </x:c>
    </x:row>
    <x:row r="96" ht="18" customHeight="1">
      <x:c r="A96" s="6" t="str">
        <x:v>14</x:v>
      </x:c>
      <x:c r="B96" s="6" t="str">
        <x:v>RIAU</x:v>
      </x:c>
      <x:c r="C96" s="6" t="str">
        <x:v>2025</x:v>
      </x:c>
      <x:c r="D96" s="6" t="str">
        <x:v>11</x:v>
      </x:c>
      <x:c r="E96" s="6" t="str">
        <x:v>2025-11</x:v>
      </x:c>
      <x:c r="F96" s="6" t="str">
        <x:v>1268</x:v>
      </x:c>
      <x:c r="G96" s="6" t="str">
        <x:v>253</x:v>
      </x:c>
      <x:c r="H96" s="6" t="str">
        <x:v>544</x:v>
      </x:c>
      <x:c r="I96" s="6" t="str">
        <x:v>118</x:v>
      </x:c>
      <x:c r="J96" s="6" t="str">
        <x:v>52</x:v>
      </x:c>
      <x:c r="K96" s="6" t="str">
        <x:v>1</x:v>
      </x:c>
      <x:c r="L96" s="6" t="str">
        <x:v>3</x:v>
      </x:c>
      <x:c r="M96" s="6" t="str">
        <x:v>297</x:v>
      </x:c>
      <x:c r="N96" s="6" t="str">
        <x:v>1268</x:v>
      </x:c>
      <x:c r="O96" s="6" t="str">
        <x:v>0</x:v>
      </x:c>
      <x:c r="P96" s="10" t="n">
        <x:f>F96-M96</x:f>
        <x:v>971</x:v>
      </x:c>
      <x:c r="Q96" s="11" t="n">
        <x:f>IFERROR(M96/F96,"")</x:f>
        <x:v>0.23422712933753942</x:v>
      </x:c>
      <x:c r="R96" s="10" t="n">
        <x:f>G96+H96</x:f>
        <x:v>797</x:v>
      </x:c>
      <x:c r="S96" s="11" t="n">
        <x:f>IFERROR(R96/F96,"")</x:f>
        <x:v>0.6285488958990536</x:v>
      </x:c>
      <x:c r="T96" s="11" t="n">
        <x:f>IFERROR(R96/P96,"")</x:f>
        <x:v>0.8208032955715757</x:v>
      </x:c>
      <x:c r="U96" s="10" t="n">
        <x:f>I96+J96+K96</x:f>
        <x:v>171</x:v>
      </x:c>
      <x:c r="V96" s="11" t="n">
        <x:f>IFERROR(U96/P96,"")</x:f>
        <x:v>0.17610710607621008</x:v>
      </x:c>
      <x:c r="W96" s="9" t="str">
        <x:v>provisional_gt_5pct_pending</x:v>
      </x:c>
      <x:c r="X96" s="12" t="n">
        <x:f>IFERROR(F96/Z96*100000,"")</x:f>
        <x:v>18.616396523373265</x:v>
      </x:c>
      <x:c r="Y96" s="13" t="n">
        <x:f>LN(Z96)</x:f>
        <x:v>15.734078874056024</x:v>
      </x:c>
      <x:c r="Z96" s="6" t="str">
        <x:v>6811200</x:v>
      </x:c>
      <x:c r="AA96" s="6" t="str">
        <x:v>76.0</x:v>
      </x:c>
      <x:c r="AB96" s="9" t="str">
        <x:v>2025-06-30</x:v>
      </x:c>
      <x:c r="AC96" s="8" t="str">
        <x:v>91.2</x:v>
      </x:c>
      <x:c r="AD96" s="9" t="str">
        <x:v>2025 (Susenas)</x:v>
      </x:c>
      <x:c r="AE96" s="8" t="str">
        <x:v>6.16</x:v>
      </x:c>
      <x:c r="AF96" s="9" t="str">
        <x:v>Maret 2025 (Susenas)</x:v>
      </x:c>
      <x:c r="AG96" s="6" t="str">
        <x:v>26.102249824744888</x:v>
      </x:c>
      <x:c r="AH96" s="8" t="str">
        <x:v>89.40226340443347</x:v>
      </x:c>
      <x:c r="AI96" s="6" t="str">
        <x:v>227.4370816109554</x:v>
      </x:c>
      <x:c r="AJ96" s="6" t="str">
        <x:v>0.1417741986462566</x:v>
      </x:c>
      <x:c r="AK96" s="8" t="str">
        <x:v>0.6068408171291932</x:v>
      </x:c>
      <x:c r="AL96" s="6" t="str">
        <x:v>1.3628774634673495</x:v>
      </x:c>
      <x:c r="AM96" s="6" t="str">
        <x:v>0.7219306627070546</x:v>
      </x:c>
      <x:c r="AN96" s="6" t="str">
        <x:v>0.8972163144345329</x:v>
      </x:c>
      <x:c r="AO96" s="6" t="str">
        <x:v>-0.4263169915672904</x:v>
      </x:c>
      <x:c r="AP96" s="8" t="str">
        <x:v>-0.5759340973992384</x:v>
      </x:c>
      <x:c r="AQ96" s="6" t="str">
        <x:v>-0.7398358643607876</x:v>
      </x:c>
      <x:c r="AR96" s="6" t="str">
        <x:v>0.5729109271552447</x:v>
      </x:c>
      <x:c r="AS96" s="6" t="str">
        <x:v>-0.2476196782015939</x:v>
      </x:c>
      <x:c r="AT96" s="6" t="str">
        <x:v>-93.95068030304348</x:v>
      </x:c>
      <x:c r="AU96" s="8" t="str">
        <x:v>-1.2894639267972745</x:v>
      </x:c>
      <x:c r="AV96" s="6" t="str">
        <x:v>-0.35038399222965</x:v>
      </x:c>
      <x:c r="AW96" s="6" t="str">
        <x:v>0.9846376256410334</x:v>
      </x:c>
      <x:c r="AX96" s="6" t="str">
        <x:v>-0.2184034311286305</x:v>
      </x:c>
      <x:c r="AY96" s="6" t="str">
        <x:v>0</x:v>
      </x:c>
      <x:c r="AZ96" s="6" t="str">
        <x:v>0</x:v>
      </x:c>
      <x:c r="BA96" s="9" t="str">
        <x:v>grid_cells_within_BIG_polygon</x:v>
      </x:c>
      <x:c r="BB96" s="6" t="str">
        <x:v>22</x:v>
      </x:c>
      <x:c r="BC96" s="6" t="str">
        <x:v>18</x:v>
      </x:c>
      <x:c r="BD96" s="6" t="str">
        <x:v>18</x:v>
      </x:c>
      <x:c r="BE96" s="6" t="str">
        <x:v>0</x:v>
      </x:c>
      <x:c r="BF96" s="6" t="str">
        <x:v>0</x:v>
      </x:c>
      <x:c r="BG96" s="6" t="str">
        <x:v>1</x:v>
      </x:c>
      <x:c r="BH96" s="6" t="str">
        <x:v>0</x:v>
      </x:c>
      <x:c r="BI96" s="6" t="str">
        <x:v>17</x:v>
      </x:c>
      <x:c r="BJ96" s="6" t="str">
        <x:v>0</x:v>
      </x:c>
      <x:c r="BK96" s="6" t="str">
        <x:v>0</x:v>
      </x:c>
      <x:c r="BL96" s="6" t="str">
        <x:v>0</x:v>
      </x:c>
      <x:c r="BM96" s="6" t="str">
        <x:v>0</x:v>
      </x:c>
      <x:c r="BN96" s="6" t="str">
        <x:v>18</x:v>
      </x:c>
      <x:c r="BO96" s="6" t="str"/>
      <x:c r="BP96" s="6" t="str">
        <x:v>0</x:v>
      </x:c>
      <x:c r="BQ96" s="6" t="str"/>
      <x:c r="BR96" s="6" t="str">
        <x:v>0</x:v>
      </x:c>
      <x:c r="BS96" s="6" t="str">
        <x:v>13.0</x:v>
      </x:c>
      <x:c r="BT96" s="6" t="str">
        <x:v>18</x:v>
      </x:c>
      <x:c r="BU96" s="6" t="str"/>
      <x:c r="BV96" s="6" t="str">
        <x:v>0</x:v>
      </x:c>
      <x:c r="BW96" s="9" t="str">
        <x:v>operational_snapshot_annual_totals_may_differ</x:v>
      </x:c>
      <x:c r="BX96" s="9" t="str">
        <x:v>official_live_dashboard_snapshot_subject_to_revision</x:v>
      </x:c>
      <x:c r="BY96" s="9" t="str">
        <x:v>https://tbdashboard.sitb.id/ss_data_tbc03so_2025_provinsi_bulanan_list.php</x:v>
      </x:c>
      <x:c r="BZ96" s="6" t="n">
        <x:v>46246.610671296294</x:v>
      </x:c>
    </x:row>
    <x:row r="97" ht="18" customHeight="1">
      <x:c r="A97" s="6" t="str">
        <x:v>14</x:v>
      </x:c>
      <x:c r="B97" s="6" t="str">
        <x:v>RIAU</x:v>
      </x:c>
      <x:c r="C97" s="6" t="str">
        <x:v>2025</x:v>
      </x:c>
      <x:c r="D97" s="6" t="str">
        <x:v>12</x:v>
      </x:c>
      <x:c r="E97" s="6" t="str">
        <x:v>2025-12</x:v>
      </x:c>
      <x:c r="F97" s="6" t="str">
        <x:v>1139</x:v>
      </x:c>
      <x:c r="G97" s="6" t="str">
        <x:v>206</x:v>
      </x:c>
      <x:c r="H97" s="6" t="str">
        <x:v>424</x:v>
      </x:c>
      <x:c r="I97" s="6" t="str">
        <x:v>90</x:v>
      </x:c>
      <x:c r="J97" s="6" t="str">
        <x:v>53</x:v>
      </x:c>
      <x:c r="K97" s="6" t="str">
        <x:v>0</x:v>
      </x:c>
      <x:c r="L97" s="6" t="str">
        <x:v>3</x:v>
      </x:c>
      <x:c r="M97" s="6" t="str">
        <x:v>363</x:v>
      </x:c>
      <x:c r="N97" s="6" t="str">
        <x:v>1139</x:v>
      </x:c>
      <x:c r="O97" s="6" t="str">
        <x:v>0</x:v>
      </x:c>
      <x:c r="P97" s="10" t="n">
        <x:f>F97-M97</x:f>
        <x:v>776</x:v>
      </x:c>
      <x:c r="Q97" s="11" t="n">
        <x:f>IFERROR(M97/F97,"")</x:f>
        <x:v>0.31870061457418786</x:v>
      </x:c>
      <x:c r="R97" s="10" t="n">
        <x:f>G97+H97</x:f>
        <x:v>630</x:v>
      </x:c>
      <x:c r="S97" s="11" t="n">
        <x:f>IFERROR(R97/F97,"")</x:f>
        <x:v>0.553116769095698</x:v>
      </x:c>
      <x:c r="T97" s="11" t="n">
        <x:f>IFERROR(R97/P97,"")</x:f>
        <x:v>0.8118556701030928</x:v>
      </x:c>
      <x:c r="U97" s="10" t="n">
        <x:f>I97+J97+K97</x:f>
        <x:v>143</x:v>
      </x:c>
      <x:c r="V97" s="11" t="n">
        <x:f>IFERROR(U97/P97,"")</x:f>
        <x:v>0.18427835051546393</x:v>
      </x:c>
      <x:c r="W97" s="9" t="str">
        <x:v>provisional_gt_5pct_pending</x:v>
      </x:c>
      <x:c r="X97" s="12" t="n">
        <x:f>IFERROR(F97/Z97*100000,"")</x:f>
        <x:v>16.722457129433874</x:v>
      </x:c>
      <x:c r="Y97" s="13" t="n">
        <x:f>LN(Z97)</x:f>
        <x:v>15.734078874056024</x:v>
      </x:c>
      <x:c r="Z97" s="6" t="str">
        <x:v>6811200</x:v>
      </x:c>
      <x:c r="AA97" s="6" t="str">
        <x:v>76.0</x:v>
      </x:c>
      <x:c r="AB97" s="9" t="str">
        <x:v>2025-06-30</x:v>
      </x:c>
      <x:c r="AC97" s="8" t="str">
        <x:v>91.2</x:v>
      </x:c>
      <x:c r="AD97" s="9" t="str">
        <x:v>2025 (Susenas)</x:v>
      </x:c>
      <x:c r="AE97" s="8" t="str">
        <x:v>6.16</x:v>
      </x:c>
      <x:c r="AF97" s="9" t="str">
        <x:v>Maret 2025 (Susenas)</x:v>
      </x:c>
      <x:c r="AG97" s="6" t="str">
        <x:v>25.77269739378849</x:v>
      </x:c>
      <x:c r="AH97" s="8" t="str">
        <x:v>91.4987010432136</x:v>
      </x:c>
      <x:c r="AI97" s="6" t="str">
        <x:v>525.9160375307671</x:v>
      </x:c>
      <x:c r="AJ97" s="6" t="str">
        <x:v>0.1326208534770359</x:v>
      </x:c>
      <x:c r="AK97" s="8" t="str">
        <x:v>0.4661017449323032</x:v>
      </x:c>
      <x:c r="AL97" s="6" t="str">
        <x:v>0.6068408171291932</x:v>
      </x:c>
      <x:c r="AM97" s="6" t="str">
        <x:v>1.3628774634673495</x:v>
      </x:c>
      <x:c r="AN97" s="6" t="str">
        <x:v>0.8119400085096156</x:v>
      </x:c>
      <x:c r="AO97" s="6" t="str">
        <x:v>1.0254508377280729</x:v>
      </x:c>
      <x:c r="AP97" s="8" t="str">
        <x:v>1.615704272422755</x:v>
      </x:c>
      <x:c r="AQ97" s="6" t="str">
        <x:v>-0.5759340973992384</x:v>
      </x:c>
      <x:c r="AR97" s="6" t="str">
        <x:v>-0.7398358643607876</x:v>
      </x:c>
      <x:c r="AS97" s="6" t="str">
        <x:v>0.0999781035542428</x:v>
      </x:c>
      <x:c r="AT97" s="6" t="str">
        <x:v>254.1403640911647</x:v>
      </x:c>
      <x:c r="AU97" s="8" t="str">
        <x:v>3.401297434653002</x:v>
      </x:c>
      <x:c r="AV97" s="6" t="str">
        <x:v>-1.2894639267972745</x:v>
      </x:c>
      <x:c r="AW97" s="6" t="str">
        <x:v>-0.35038399222965</x:v>
      </x:c>
      <x:c r="AX97" s="6" t="str">
        <x:v>0.5871498385420256</x:v>
      </x:c>
      <x:c r="AY97" s="6" t="str">
        <x:v>1</x:v>
      </x:c>
      <x:c r="AZ97" s="6" t="str">
        <x:v>0</x:v>
      </x:c>
      <x:c r="BA97" s="9" t="str">
        <x:v>grid_cells_within_BIG_polygon</x:v>
      </x:c>
      <x:c r="BB97" s="6" t="str">
        <x:v>22</x:v>
      </x:c>
      <x:c r="BC97" s="6" t="str">
        <x:v>8</x:v>
      </x:c>
      <x:c r="BD97" s="6" t="str">
        <x:v>8</x:v>
      </x:c>
      <x:c r="BE97" s="6" t="str">
        <x:v>8</x:v>
      </x:c>
      <x:c r="BF97" s="6" t="str">
        <x:v>0</x:v>
      </x:c>
      <x:c r="BG97" s="6" t="str">
        <x:v>0</x:v>
      </x:c>
      <x:c r="BH97" s="6" t="str">
        <x:v>0</x:v>
      </x:c>
      <x:c r="BI97" s="6" t="str">
        <x:v>0</x:v>
      </x:c>
      <x:c r="BJ97" s="6" t="str">
        <x:v>0</x:v>
      </x:c>
      <x:c r="BK97" s="6" t="str">
        <x:v>0</x:v>
      </x:c>
      <x:c r="BL97" s="6" t="str">
        <x:v>0</x:v>
      </x:c>
      <x:c r="BM97" s="6" t="str">
        <x:v>0</x:v>
      </x:c>
      <x:c r="BN97" s="6" t="str">
        <x:v>8</x:v>
      </x:c>
      <x:c r="BO97" s="6" t="str"/>
      <x:c r="BP97" s="6" t="str">
        <x:v>0</x:v>
      </x:c>
      <x:c r="BQ97" s="6" t="str"/>
      <x:c r="BR97" s="6" t="str">
        <x:v>0</x:v>
      </x:c>
      <x:c r="BS97" s="6" t="str">
        <x:v>0.0</x:v>
      </x:c>
      <x:c r="BT97" s="6" t="str">
        <x:v>8</x:v>
      </x:c>
      <x:c r="BU97" s="6" t="str">
        <x:v>869.0</x:v>
      </x:c>
      <x:c r="BV97" s="6" t="str">
        <x:v>8</x:v>
      </x:c>
      <x:c r="BW97" s="9" t="str">
        <x:v>operational_snapshot_annual_totals_may_differ</x:v>
      </x:c>
      <x:c r="BX97" s="9" t="str">
        <x:v>official_live_dashboard_snapshot_subject_to_revision</x:v>
      </x:c>
      <x:c r="BY97" s="9" t="str">
        <x:v>https://tbdashboard.sitb.id/ss_data_tbc03so_2025_provinsi_bulanan_list.php</x:v>
      </x:c>
      <x:c r="BZ97" s="6" t="n">
        <x:v>46246.610671296294</x:v>
      </x:c>
    </x:row>
    <x:row r="98" ht="18" customHeight="1">
      <x:c r="A98" s="6" t="str">
        <x:v>15</x:v>
      </x:c>
      <x:c r="B98" s="6" t="str">
        <x:v>JAMBI</x:v>
      </x:c>
      <x:c r="C98" s="6" t="str">
        <x:v>2024</x:v>
      </x:c>
      <x:c r="D98" s="6" t="str">
        <x:v>1</x:v>
      </x:c>
      <x:c r="E98" s="6" t="str">
        <x:v>2024-01</x:v>
      </x:c>
      <x:c r="F98" s="6" t="str">
        <x:v>748</x:v>
      </x:c>
      <x:c r="G98" s="6" t="str">
        <x:v>230</x:v>
      </x:c>
      <x:c r="H98" s="6" t="str">
        <x:v>442</x:v>
      </x:c>
      <x:c r="I98" s="6" t="str">
        <x:v>35</x:v>
      </x:c>
      <x:c r="J98" s="6" t="str">
        <x:v>35</x:v>
      </x:c>
      <x:c r="K98" s="6" t="str">
        <x:v>2</x:v>
      </x:c>
      <x:c r="L98" s="6" t="str">
        <x:v>3</x:v>
      </x:c>
      <x:c r="M98" s="6" t="str">
        <x:v>1</x:v>
      </x:c>
      <x:c r="N98" s="6" t="str">
        <x:v>748</x:v>
      </x:c>
      <x:c r="O98" s="6" t="str">
        <x:v>0</x:v>
      </x:c>
      <x:c r="P98" s="10" t="n">
        <x:f>F98-M98</x:f>
        <x:v>747</x:v>
      </x:c>
      <x:c r="Q98" s="11" t="n">
        <x:f>IFERROR(M98/F98,"")</x:f>
        <x:v>0.001336898395721925</x:v>
      </x:c>
      <x:c r="R98" s="10" t="n">
        <x:f>G98+H98</x:f>
        <x:v>672</x:v>
      </x:c>
      <x:c r="S98" s="11" t="n">
        <x:f>IFERROR(R98/F98,"")</x:f>
        <x:v>0.8983957219251337</x:v>
      </x:c>
      <x:c r="T98" s="11" t="n">
        <x:f>IFERROR(R98/P98,"")</x:f>
        <x:v>0.8995983935742972</x:v>
      </x:c>
      <x:c r="U98" s="10" t="n">
        <x:f>I98+J98+K98</x:f>
        <x:v>72</x:v>
      </x:c>
      <x:c r="V98" s="11" t="n">
        <x:f>IFERROR(U98/P98,"")</x:f>
        <x:v>0.0963855421686747</x:v>
      </x:c>
      <x:c r="W98" s="9" t="str">
        <x:v>mature_le_5pct_pending</x:v>
      </x:c>
      <x:c r="X98" s="12" t="n">
        <x:f>IFERROR(F98/Z98*100000,"")</x:f>
        <x:v>20.084311145718658</x:v>
      </x:c>
      <x:c r="Y98" s="13" t="n">
        <x:f>LN(Z98)</x:f>
        <x:v>15.130389472673635</x:v>
      </x:c>
      <x:c r="Z98" s="6" t="str">
        <x:v>3724300</x:v>
      </x:c>
      <x:c r="AA98" s="6" t="str">
        <x:v>76.0</x:v>
      </x:c>
      <x:c r="AB98" s="9" t="str">
        <x:v>2024-06-30</x:v>
      </x:c>
      <x:c r="AC98" s="8" t="str">
        <x:v>83.97</x:v>
      </x:c>
      <x:c r="AD98" s="9" t="str">
        <x:v>2024 (Susenas)</x:v>
      </x:c>
      <x:c r="AE98" s="8" t="str">
        <x:v>7.1</x:v>
      </x:c>
      <x:c r="AF98" s="9" t="str">
        <x:v>Maret 2024 (Susenas)</x:v>
      </x:c>
      <x:c r="AG98" s="6" t="str">
        <x:v>25.517889503635704</x:v>
      </x:c>
      <x:c r="AH98" s="8" t="str">
        <x:v>90.22080725646724</x:v>
      </x:c>
      <x:c r="AI98" s="6" t="str">
        <x:v>294.90245583561136</x:v>
      </x:c>
      <x:c r="AJ98" s="6" t="str">
        <x:v>0.8242884037889944</x:v>
      </x:c>
      <x:c r="AK98" s="8" t="str">
        <x:v>1.986532361892539</x:v>
      </x:c>
      <x:c r="AL98" s="6" t="str">
        <x:v>3.6395338309957936</x:v>
      </x:c>
      <x:c r="AM98" s="6" t="str">
        <x:v>3.982122501139334</x:v>
      </x:c>
      <x:c r="AN98" s="6" t="str">
        <x:v>3.2027295646758893</x:v>
      </x:c>
      <x:c r="AO98" s="6" t="str">
        <x:v>1.0666353848162655</x:v>
      </x:c>
      <x:c r="AP98" s="8" t="str">
        <x:v>0.9532323782100496</x:v>
      </x:c>
      <x:c r="AQ98" s="6" t="str">
        <x:v>0.0476057665192042</x:v>
      </x:c>
      <x:c r="AR98" s="6" t="str">
        <x:v>-0.8860027349229188</x:v>
      </x:c>
      <x:c r="AS98" s="6" t="str">
        <x:v>0.0382784699354449</x:v>
      </x:c>
      <x:c r="AT98" s="6" t="str">
        <x:v>121.7074085355058</x:v>
      </x:c>
      <x:c r="AU98" s="8" t="str">
        <x:v>2.3817264698593243</x:v>
      </x:c>
      <x:c r="AV98" s="6" t="str">
        <x:v>1.646885490042758</x:v>
      </x:c>
      <x:c r="AW98" s="6" t="str">
        <x:v>0.2411480531018951</x:v>
      </x:c>
      <x:c r="AX98" s="6" t="str">
        <x:v>1.4232533376679923</x:v>
      </x:c>
      <x:c r="AY98" s="6" t="str">
        <x:v>1</x:v>
      </x:c>
      <x:c r="AZ98" s="6" t="str">
        <x:v>1</x:v>
      </x:c>
      <x:c r="BA98" s="9" t="str">
        <x:v>grid_cells_within_BIG_polygon</x:v>
      </x:c>
      <x:c r="BB98" s="6" t="str">
        <x:v>13</x:v>
      </x:c>
      <x:c r="BC98" s="6" t="str">
        <x:v>23</x:v>
      </x:c>
      <x:c r="BD98" s="6" t="str">
        <x:v>23</x:v>
      </x:c>
      <x:c r="BE98" s="6" t="str">
        <x:v>23</x:v>
      </x:c>
      <x:c r="BF98" s="6" t="str">
        <x:v>0</x:v>
      </x:c>
      <x:c r="BG98" s="6" t="str">
        <x:v>0</x:v>
      </x:c>
      <x:c r="BH98" s="6" t="str">
        <x:v>0</x:v>
      </x:c>
      <x:c r="BI98" s="6" t="str">
        <x:v>0</x:v>
      </x:c>
      <x:c r="BJ98" s="6" t="str">
        <x:v>0</x:v>
      </x:c>
      <x:c r="BK98" s="6" t="str">
        <x:v>0</x:v>
      </x:c>
      <x:c r="BL98" s="6" t="str">
        <x:v>0</x:v>
      </x:c>
      <x:c r="BM98" s="6" t="str">
        <x:v>0</x:v>
      </x:c>
      <x:c r="BN98" s="6" t="str">
        <x:v>23</x:v>
      </x:c>
      <x:c r="BO98" s="6" t="str">
        <x:v>2.0</x:v>
      </x:c>
      <x:c r="BP98" s="6" t="str">
        <x:v>23</x:v>
      </x:c>
      <x:c r="BQ98" s="6" t="str">
        <x:v>0.0</x:v>
      </x:c>
      <x:c r="BR98" s="6" t="str">
        <x:v>23</x:v>
      </x:c>
      <x:c r="BS98" s="6" t="str">
        <x:v>187.0</x:v>
      </x:c>
      <x:c r="BT98" s="6" t="str">
        <x:v>23</x:v>
      </x:c>
      <x:c r="BU98" s="6" t="str">
        <x:v>54859.0</x:v>
      </x:c>
      <x:c r="BV98" s="6" t="str">
        <x:v>20</x:v>
      </x:c>
      <x:c r="BW98" s="9" t="str">
        <x:v>operational_snapshot_annual_totals_may_differ</x:v>
      </x:c>
      <x:c r="BX98" s="9" t="str">
        <x:v>official_live_dashboard_snapshot_subject_to_revision</x:v>
      </x:c>
      <x:c r="BY98" s="9" t="str">
        <x:v>https://tbdashboard.sitb.id/ss_data_tbc03so_2024_provinsi_bulanan_list.php</x:v>
      </x:c>
      <x:c r="BZ98" s="6" t="n">
        <x:v>46246.610671296294</x:v>
      </x:c>
    </x:row>
    <x:row r="99" ht="18" customHeight="1">
      <x:c r="A99" s="6" t="str">
        <x:v>15</x:v>
      </x:c>
      <x:c r="B99" s="6" t="str">
        <x:v>JAMBI</x:v>
      </x:c>
      <x:c r="C99" s="6" t="str">
        <x:v>2024</x:v>
      </x:c>
      <x:c r="D99" s="6" t="str">
        <x:v>2</x:v>
      </x:c>
      <x:c r="E99" s="6" t="str">
        <x:v>2024-02</x:v>
      </x:c>
      <x:c r="F99" s="6" t="str">
        <x:v>535</x:v>
      </x:c>
      <x:c r="G99" s="6" t="str">
        <x:v>141</x:v>
      </x:c>
      <x:c r="H99" s="6" t="str">
        <x:v>319</x:v>
      </x:c>
      <x:c r="I99" s="6" t="str">
        <x:v>34</x:v>
      </x:c>
      <x:c r="J99" s="6" t="str">
        <x:v>31</x:v>
      </x:c>
      <x:c r="K99" s="6" t="str">
        <x:v>0</x:v>
      </x:c>
      <x:c r="L99" s="6" t="str">
        <x:v>3</x:v>
      </x:c>
      <x:c r="M99" s="6" t="str">
        <x:v>7</x:v>
      </x:c>
      <x:c r="N99" s="6" t="str">
        <x:v>535</x:v>
      </x:c>
      <x:c r="O99" s="6" t="str">
        <x:v>0</x:v>
      </x:c>
      <x:c r="P99" s="10" t="n">
        <x:f>F99-M99</x:f>
        <x:v>528</x:v>
      </x:c>
      <x:c r="Q99" s="11" t="n">
        <x:f>IFERROR(M99/F99,"")</x:f>
        <x:v>0.013084112149532711</x:v>
      </x:c>
      <x:c r="R99" s="10" t="n">
        <x:f>G99+H99</x:f>
        <x:v>460</x:v>
      </x:c>
      <x:c r="S99" s="11" t="n">
        <x:f>IFERROR(R99/F99,"")</x:f>
        <x:v>0.8598130841121495</x:v>
      </x:c>
      <x:c r="T99" s="11" t="n">
        <x:f>IFERROR(R99/P99,"")</x:f>
        <x:v>0.8712121212121212</x:v>
      </x:c>
      <x:c r="U99" s="10" t="n">
        <x:f>I99+J99+K99</x:f>
        <x:v>65</x:v>
      </x:c>
      <x:c r="V99" s="11" t="n">
        <x:f>IFERROR(U99/P99,"")</x:f>
        <x:v>0.12310606060606061</x:v>
      </x:c>
      <x:c r="W99" s="9" t="str">
        <x:v>mature_le_5pct_pending</x:v>
      </x:c>
      <x:c r="X99" s="12" t="n">
        <x:f>IFERROR(F99/Z99*100000,"")</x:f>
        <x:v>14.36511559219182</x:v>
      </x:c>
      <x:c r="Y99" s="13" t="n">
        <x:f>LN(Z99)</x:f>
        <x:v>15.130389472673635</x:v>
      </x:c>
      <x:c r="Z99" s="6" t="str">
        <x:v>3724300</x:v>
      </x:c>
      <x:c r="AA99" s="6" t="str">
        <x:v>76.0</x:v>
      </x:c>
      <x:c r="AB99" s="9" t="str">
        <x:v>2024-06-30</x:v>
      </x:c>
      <x:c r="AC99" s="8" t="str">
        <x:v>83.97</x:v>
      </x:c>
      <x:c r="AD99" s="9" t="str">
        <x:v>2024 (Susenas)</x:v>
      </x:c>
      <x:c r="AE99" s="8" t="str">
        <x:v>7.1</x:v>
      </x:c>
      <x:c r="AF99" s="9" t="str">
        <x:v>Maret 2024 (Susenas)</x:v>
      </x:c>
      <x:c r="AG99" s="6" t="str">
        <x:v>26.021760392838413</x:v>
      </x:c>
      <x:c r="AH99" s="8" t="str">
        <x:v>89.9354337193475</x:v>
      </x:c>
      <x:c r="AI99" s="6" t="str">
        <x:v>325.60932502100377</x:v>
      </x:c>
      <x:c r="AJ99" s="6" t="str">
        <x:v>1.1169480707795287</x:v>
      </x:c>
      <x:c r="AK99" s="8" t="str">
        <x:v>2.717145614391777</x:v>
      </x:c>
      <x:c r="AL99" s="6" t="str">
        <x:v>1.986532361892539</x:v>
      </x:c>
      <x:c r="AM99" s="6" t="str">
        <x:v>3.6395338309957936</x:v>
      </x:c>
      <x:c r="AN99" s="6" t="str">
        <x:v>2.781070602426704</x:v>
      </x:c>
      <x:c r="AO99" s="6" t="str">
        <x:v>1.4319624074041712</x:v>
      </x:c>
      <x:c r="AP99" s="8" t="str">
        <x:v>1.406063864793421</x:v>
      </x:c>
      <x:c r="AQ99" s="6" t="str">
        <x:v>0.9532323782100496</x:v>
      </x:c>
      <x:c r="AR99" s="6" t="str">
        <x:v>0.0476057665192042</x:v>
      </x:c>
      <x:c r="AS99" s="6" t="str">
        <x:v>0.8023006698408915</x:v>
      </x:c>
      <x:c r="AT99" s="6" t="str">
        <x:v>159.88600611033416</x:v>
      </x:c>
      <x:c r="AU99" s="8" t="str">
        <x:v>2.5368034505894186</x:v>
      </x:c>
      <x:c r="AV99" s="6" t="str">
        <x:v>2.3817264698593243</x:v>
      </x:c>
      <x:c r="AW99" s="6" t="str">
        <x:v>1.646885490042758</x:v>
      </x:c>
      <x:c r="AX99" s="6" t="str">
        <x:v>2.188471803497167</x:v>
      </x:c>
      <x:c r="AY99" s="6" t="str">
        <x:v>1</x:v>
      </x:c>
      <x:c r="AZ99" s="6" t="str">
        <x:v>1</x:v>
      </x:c>
      <x:c r="BA99" s="9" t="str">
        <x:v>grid_cells_within_BIG_polygon</x:v>
      </x:c>
      <x:c r="BB99" s="6" t="str">
        <x:v>13</x:v>
      </x:c>
      <x:c r="BC99" s="6" t="str">
        <x:v>9</x:v>
      </x:c>
      <x:c r="BD99" s="6" t="str">
        <x:v>9</x:v>
      </x:c>
      <x:c r="BE99" s="6" t="str">
        <x:v>8</x:v>
      </x:c>
      <x:c r="BF99" s="6" t="str">
        <x:v>1</x:v>
      </x:c>
      <x:c r="BG99" s="6" t="str">
        <x:v>0</x:v>
      </x:c>
      <x:c r="BH99" s="6" t="str">
        <x:v>0</x:v>
      </x:c>
      <x:c r="BI99" s="6" t="str">
        <x:v>0</x:v>
      </x:c>
      <x:c r="BJ99" s="6" t="str">
        <x:v>0</x:v>
      </x:c>
      <x:c r="BK99" s="6" t="str">
        <x:v>0</x:v>
      </x:c>
      <x:c r="BL99" s="6" t="str">
        <x:v>0</x:v>
      </x:c>
      <x:c r="BM99" s="6" t="str">
        <x:v>0</x:v>
      </x:c>
      <x:c r="BN99" s="6" t="str">
        <x:v>9</x:v>
      </x:c>
      <x:c r="BO99" s="6" t="str">
        <x:v>0.0</x:v>
      </x:c>
      <x:c r="BP99" s="6" t="str">
        <x:v>9</x:v>
      </x:c>
      <x:c r="BQ99" s="6" t="str">
        <x:v>0.0</x:v>
      </x:c>
      <x:c r="BR99" s="6" t="str">
        <x:v>9</x:v>
      </x:c>
      <x:c r="BS99" s="6" t="str">
        <x:v>16.0</x:v>
      </x:c>
      <x:c r="BT99" s="6" t="str">
        <x:v>9</x:v>
      </x:c>
      <x:c r="BU99" s="6" t="str">
        <x:v>26053.0</x:v>
      </x:c>
      <x:c r="BV99" s="6" t="str">
        <x:v>7</x:v>
      </x:c>
      <x:c r="BW99" s="9" t="str">
        <x:v>operational_snapshot_annual_totals_may_differ</x:v>
      </x:c>
      <x:c r="BX99" s="9" t="str">
        <x:v>official_live_dashboard_snapshot_subject_to_revision</x:v>
      </x:c>
      <x:c r="BY99" s="9" t="str">
        <x:v>https://tbdashboard.sitb.id/ss_data_tbc03so_2024_provinsi_bulanan_list.php</x:v>
      </x:c>
      <x:c r="BZ99" s="6" t="n">
        <x:v>46246.610671296294</x:v>
      </x:c>
    </x:row>
    <x:row r="100" ht="18" customHeight="1">
      <x:c r="A100" s="6" t="str">
        <x:v>15</x:v>
      </x:c>
      <x:c r="B100" s="6" t="str">
        <x:v>JAMBI</x:v>
      </x:c>
      <x:c r="C100" s="6" t="str">
        <x:v>2024</x:v>
      </x:c>
      <x:c r="D100" s="6" t="str">
        <x:v>3</x:v>
      </x:c>
      <x:c r="E100" s="6" t="str">
        <x:v>2024-03</x:v>
      </x:c>
      <x:c r="F100" s="6" t="str">
        <x:v>523</x:v>
      </x:c>
      <x:c r="G100" s="6" t="str">
        <x:v>166</x:v>
      </x:c>
      <x:c r="H100" s="6" t="str">
        <x:v>290</x:v>
      </x:c>
      <x:c r="I100" s="6" t="str">
        <x:v>31</x:v>
      </x:c>
      <x:c r="J100" s="6" t="str">
        <x:v>28</x:v>
      </x:c>
      <x:c r="K100" s="6" t="str">
        <x:v>2</x:v>
      </x:c>
      <x:c r="L100" s="6" t="str">
        <x:v>4</x:v>
      </x:c>
      <x:c r="M100" s="6" t="str">
        <x:v>2</x:v>
      </x:c>
      <x:c r="N100" s="6" t="str">
        <x:v>523</x:v>
      </x:c>
      <x:c r="O100" s="6" t="str">
        <x:v>0</x:v>
      </x:c>
      <x:c r="P100" s="10" t="n">
        <x:f>F100-M100</x:f>
        <x:v>521</x:v>
      </x:c>
      <x:c r="Q100" s="11" t="n">
        <x:f>IFERROR(M100/F100,"")</x:f>
        <x:v>0.0038240917782026767</x:v>
      </x:c>
      <x:c r="R100" s="10" t="n">
        <x:f>G100+H100</x:f>
        <x:v>456</x:v>
      </x:c>
      <x:c r="S100" s="11" t="n">
        <x:f>IFERROR(R100/F100,"")</x:f>
        <x:v>0.8718929254302104</x:v>
      </x:c>
      <x:c r="T100" s="11" t="n">
        <x:f>IFERROR(R100/P100,"")</x:f>
        <x:v>0.8752399232245681</x:v>
      </x:c>
      <x:c r="U100" s="10" t="n">
        <x:f>I100+J100+K100</x:f>
        <x:v>61</x:v>
      </x:c>
      <x:c r="V100" s="11" t="n">
        <x:f>IFERROR(U100/P100,"")</x:f>
        <x:v>0.11708253358925144</x:v>
      </x:c>
      <x:c r="W100" s="9" t="str">
        <x:v>mature_le_5pct_pending</x:v>
      </x:c>
      <x:c r="X100" s="12" t="n">
        <x:f>IFERROR(F100/Z100*100000,"")</x:f>
        <x:v>14.042907391993126</x:v>
      </x:c>
      <x:c r="Y100" s="13" t="n">
        <x:f>LN(Z100)</x:f>
        <x:v>15.130389472673635</x:v>
      </x:c>
      <x:c r="Z100" s="6" t="str">
        <x:v>3724300</x:v>
      </x:c>
      <x:c r="AA100" s="6" t="str">
        <x:v>76.0</x:v>
      </x:c>
      <x:c r="AB100" s="9" t="str">
        <x:v>2024-06-30</x:v>
      </x:c>
      <x:c r="AC100" s="8" t="str">
        <x:v>83.97</x:v>
      </x:c>
      <x:c r="AD100" s="9" t="str">
        <x:v>2024 (Susenas)</x:v>
      </x:c>
      <x:c r="AE100" s="8" t="str">
        <x:v>7.1</x:v>
      </x:c>
      <x:c r="AF100" s="9" t="str">
        <x:v>Maret 2024 (Susenas)</x:v>
      </x:c>
      <x:c r="AG100" s="6" t="str">
        <x:v>26.17716393304091</x:v>
      </x:c>
      <x:c r="AH100" s="8" t="str">
        <x:v>88.07388952307383</x:v>
      </x:c>
      <x:c r="AI100" s="6" t="str">
        <x:v>223.996562052124</x:v>
      </x:c>
      <x:c r="AJ100" s="6" t="str">
        <x:v>0.929882817858239</x:v>
      </x:c>
      <x:c r="AK100" s="8" t="str">
        <x:v>2.5482684149700465</x:v>
      </x:c>
      <x:c r="AL100" s="6" t="str">
        <x:v>2.717145614391777</x:v>
      </x:c>
      <x:c r="AM100" s="6" t="str">
        <x:v>1.986532361892539</x:v>
      </x:c>
      <x:c r="AN100" s="6" t="str">
        <x:v>2.417315463751454</x:v>
      </x:c>
      <x:c r="AO100" s="6" t="str">
        <x:v>-0.0965783043781556</x:v>
      </x:c>
      <x:c r="AP100" s="8" t="str">
        <x:v>-0.0946477109596827</x:v>
      </x:c>
      <x:c r="AQ100" s="6" t="str">
        <x:v>1.406063864793421</x:v>
      </x:c>
      <x:c r="AR100" s="6" t="str">
        <x:v>0.9532323782100496</x:v>
      </x:c>
      <x:c r="AS100" s="6" t="str">
        <x:v>0.7548828440145958</x:v>
      </x:c>
      <x:c r="AT100" s="6" t="str">
        <x:v>8.24749015268165</x:v>
      </x:c>
      <x:c r="AU100" s="8" t="str">
        <x:v>0.0927808609480372</x:v>
      </x:c>
      <x:c r="AV100" s="6" t="str">
        <x:v>2.5368034505894186</x:v>
      </x:c>
      <x:c r="AW100" s="6" t="str">
        <x:v>2.3817264698593243</x:v>
      </x:c>
      <x:c r="AX100" s="6" t="str">
        <x:v>1.67043692713226</x:v>
      </x:c>
      <x:c r="AY100" s="6" t="str">
        <x:v>0</x:v>
      </x:c>
      <x:c r="AZ100" s="6" t="str">
        <x:v>1</x:v>
      </x:c>
      <x:c r="BA100" s="9" t="str">
        <x:v>grid_cells_within_BIG_polygon</x:v>
      </x:c>
      <x:c r="BB100" s="6" t="str">
        <x:v>13</x:v>
      </x:c>
      <x:c r="BC100" s="6" t="str">
        <x:v>3</x:v>
      </x:c>
      <x:c r="BD100" s="6" t="str">
        <x:v>3</x:v>
      </x:c>
      <x:c r="BE100" s="6" t="str">
        <x:v>3</x:v>
      </x:c>
      <x:c r="BF100" s="6" t="str">
        <x:v>0</x:v>
      </x:c>
      <x:c r="BG100" s="6" t="str">
        <x:v>0</x:v>
      </x:c>
      <x:c r="BH100" s="6" t="str">
        <x:v>0</x:v>
      </x:c>
      <x:c r="BI100" s="6" t="str">
        <x:v>0</x:v>
      </x:c>
      <x:c r="BJ100" s="6" t="str">
        <x:v>0</x:v>
      </x:c>
      <x:c r="BK100" s="6" t="str">
        <x:v>0</x:v>
      </x:c>
      <x:c r="BL100" s="6" t="str">
        <x:v>0</x:v>
      </x:c>
      <x:c r="BM100" s="6" t="str">
        <x:v>0</x:v>
      </x:c>
      <x:c r="BN100" s="6" t="str">
        <x:v>3</x:v>
      </x:c>
      <x:c r="BO100" s="6" t="str">
        <x:v>0.0</x:v>
      </x:c>
      <x:c r="BP100" s="6" t="str">
        <x:v>3</x:v>
      </x:c>
      <x:c r="BQ100" s="6" t="str">
        <x:v>0.0</x:v>
      </x:c>
      <x:c r="BR100" s="6" t="str">
        <x:v>3</x:v>
      </x:c>
      <x:c r="BS100" s="6" t="str">
        <x:v>3.0</x:v>
      </x:c>
      <x:c r="BT100" s="6" t="str">
        <x:v>3</x:v>
      </x:c>
      <x:c r="BU100" s="6" t="str">
        <x:v>675.0</x:v>
      </x:c>
      <x:c r="BV100" s="6" t="str">
        <x:v>3</x:v>
      </x:c>
      <x:c r="BW100" s="9" t="str">
        <x:v>operational_snapshot_annual_totals_may_differ</x:v>
      </x:c>
      <x:c r="BX100" s="9" t="str">
        <x:v>official_live_dashboard_snapshot_subject_to_revision</x:v>
      </x:c>
      <x:c r="BY100" s="9" t="str">
        <x:v>https://tbdashboard.sitb.id/ss_data_tbc03so_2024_provinsi_bulanan_list.php</x:v>
      </x:c>
      <x:c r="BZ100" s="6" t="n">
        <x:v>46246.610671296294</x:v>
      </x:c>
    </x:row>
    <x:row r="101" ht="18" customHeight="1">
      <x:c r="A101" s="6" t="str">
        <x:v>15</x:v>
      </x:c>
      <x:c r="B101" s="6" t="str">
        <x:v>JAMBI</x:v>
      </x:c>
      <x:c r="C101" s="6" t="str">
        <x:v>2024</x:v>
      </x:c>
      <x:c r="D101" s="6" t="str">
        <x:v>4</x:v>
      </x:c>
      <x:c r="E101" s="6" t="str">
        <x:v>2024-04</x:v>
      </x:c>
      <x:c r="F101" s="6" t="str">
        <x:v>451</x:v>
      </x:c>
      <x:c r="G101" s="6" t="str">
        <x:v>140</x:v>
      </x:c>
      <x:c r="H101" s="6" t="str">
        <x:v>253</x:v>
      </x:c>
      <x:c r="I101" s="6" t="str">
        <x:v>22</x:v>
      </x:c>
      <x:c r="J101" s="6" t="str">
        <x:v>31</x:v>
      </x:c>
      <x:c r="K101" s="6" t="str">
        <x:v>0</x:v>
      </x:c>
      <x:c r="L101" s="6" t="str">
        <x:v>3</x:v>
      </x:c>
      <x:c r="M101" s="6" t="str">
        <x:v>2</x:v>
      </x:c>
      <x:c r="N101" s="6" t="str">
        <x:v>451</x:v>
      </x:c>
      <x:c r="O101" s="6" t="str">
        <x:v>0</x:v>
      </x:c>
      <x:c r="P101" s="10" t="n">
        <x:f>F101-M101</x:f>
        <x:v>449</x:v>
      </x:c>
      <x:c r="Q101" s="11" t="n">
        <x:f>IFERROR(M101/F101,"")</x:f>
        <x:v>0.004434589800443459</x:v>
      </x:c>
      <x:c r="R101" s="10" t="n">
        <x:f>G101+H101</x:f>
        <x:v>393</x:v>
      </x:c>
      <x:c r="S101" s="11" t="n">
        <x:f>IFERROR(R101/F101,"")</x:f>
        <x:v>0.8713968957871396</x:v>
      </x:c>
      <x:c r="T101" s="11" t="n">
        <x:f>IFERROR(R101/P101,"")</x:f>
        <x:v>0.8752783964365256</x:v>
      </x:c>
      <x:c r="U101" s="10" t="n">
        <x:f>I101+J101+K101</x:f>
        <x:v>53</x:v>
      </x:c>
      <x:c r="V101" s="11" t="n">
        <x:f>IFERROR(U101/P101,"")</x:f>
        <x:v>0.11804008908685969</x:v>
      </x:c>
      <x:c r="W101" s="9" t="str">
        <x:v>mature_le_5pct_pending</x:v>
      </x:c>
      <x:c r="X101" s="12" t="n">
        <x:f>IFERROR(F101/Z101*100000,"")</x:f>
        <x:v>12.109658190800957</x:v>
      </x:c>
      <x:c r="Y101" s="13" t="n">
        <x:f>LN(Z101)</x:f>
        <x:v>15.130389472673635</x:v>
      </x:c>
      <x:c r="Z101" s="6" t="str">
        <x:v>3724300</x:v>
      </x:c>
      <x:c r="AA101" s="6" t="str">
        <x:v>76.0</x:v>
      </x:c>
      <x:c r="AB101" s="9" t="str">
        <x:v>2024-06-30</x:v>
      </x:c>
      <x:c r="AC101" s="8" t="str">
        <x:v>83.97</x:v>
      </x:c>
      <x:c r="AD101" s="9" t="str">
        <x:v>2024 (Susenas)</x:v>
      </x:c>
      <x:c r="AE101" s="8" t="str">
        <x:v>7.1</x:v>
      </x:c>
      <x:c r="AF101" s="9" t="str">
        <x:v>Maret 2024 (Susenas)</x:v>
      </x:c>
      <x:c r="AG101" s="6" t="str">
        <x:v>26.737162849255505</x:v>
      </x:c>
      <x:c r="AH101" s="8" t="str">
        <x:v>89.18299328461705</x:v>
      </x:c>
      <x:c r="AI101" s="6" t="str">
        <x:v>320.4658313479851</x:v>
      </x:c>
      <x:c r="AJ101" s="6" t="str">
        <x:v>1.1867962297139627</x:v>
      </x:c>
      <x:c r="AK101" s="8" t="str">
        <x:v>3.462846022218278</x:v>
      </x:c>
      <x:c r="AL101" s="6" t="str">
        <x:v>2.5482684149700465</x:v>
      </x:c>
      <x:c r="AM101" s="6" t="str">
        <x:v>2.717145614391777</x:v>
      </x:c>
      <x:c r="AN101" s="6" t="str">
        <x:v>2.909420017193367</x:v>
      </x:c>
      <x:c r="AO101" s="6" t="str">
        <x:v>0.520925710601631</x:v>
      </x:c>
      <x:c r="AP101" s="8" t="str">
        <x:v>0.6994106155740344</x:v>
      </x:c>
      <x:c r="AQ101" s="6" t="str">
        <x:v>-0.0946477109596827</x:v>
      </x:c>
      <x:c r="AR101" s="6" t="str">
        <x:v>1.406063864793421</x:v>
      </x:c>
      <x:c r="AS101" s="6" t="str">
        <x:v>0.6702755898025908</x:v>
      </x:c>
      <x:c r="AT101" s="6" t="str">
        <x:v>99.31148217679016</x:v>
      </x:c>
      <x:c r="AU101" s="8" t="str">
        <x:v>1.8735057078579296</x:v>
      </x:c>
      <x:c r="AV101" s="6" t="str">
        <x:v>0.0927808609480372</x:v>
      </x:c>
      <x:c r="AW101" s="6" t="str">
        <x:v>2.5368034505894186</x:v>
      </x:c>
      <x:c r="AX101" s="6" t="str">
        <x:v>1.5010300064651283</x:v>
      </x:c>
      <x:c r="AY101" s="6" t="str">
        <x:v>1</x:v>
      </x:c>
      <x:c r="AZ101" s="6" t="str">
        <x:v>1</x:v>
      </x:c>
      <x:c r="BA101" s="9" t="str">
        <x:v>grid_cells_within_BIG_polygon</x:v>
      </x:c>
      <x:c r="BB101" s="6" t="str">
        <x:v>13</x:v>
      </x:c>
      <x:c r="BC101" s="6" t="str">
        <x:v>3</x:v>
      </x:c>
      <x:c r="BD101" s="6" t="str">
        <x:v>3</x:v>
      </x:c>
      <x:c r="BE101" s="6" t="str">
        <x:v>3</x:v>
      </x:c>
      <x:c r="BF101" s="6" t="str">
        <x:v>0</x:v>
      </x:c>
      <x:c r="BG101" s="6" t="str">
        <x:v>0</x:v>
      </x:c>
      <x:c r="BH101" s="6" t="str">
        <x:v>0</x:v>
      </x:c>
      <x:c r="BI101" s="6" t="str">
        <x:v>0</x:v>
      </x:c>
      <x:c r="BJ101" s="6" t="str">
        <x:v>0</x:v>
      </x:c>
      <x:c r="BK101" s="6" t="str">
        <x:v>0</x:v>
      </x:c>
      <x:c r="BL101" s="6" t="str">
        <x:v>0</x:v>
      </x:c>
      <x:c r="BM101" s="6" t="str">
        <x:v>0</x:v>
      </x:c>
      <x:c r="BN101" s="6" t="str">
        <x:v>3</x:v>
      </x:c>
      <x:c r="BO101" s="6" t="str">
        <x:v>0.0</x:v>
      </x:c>
      <x:c r="BP101" s="6" t="str">
        <x:v>3</x:v>
      </x:c>
      <x:c r="BQ101" s="6" t="str">
        <x:v>0.0</x:v>
      </x:c>
      <x:c r="BR101" s="6" t="str">
        <x:v>3</x:v>
      </x:c>
      <x:c r="BS101" s="6" t="str">
        <x:v>12.0</x:v>
      </x:c>
      <x:c r="BT101" s="6" t="str">
        <x:v>3</x:v>
      </x:c>
      <x:c r="BU101" s="6" t="str">
        <x:v>194.0</x:v>
      </x:c>
      <x:c r="BV101" s="6" t="str">
        <x:v>2</x:v>
      </x:c>
      <x:c r="BW101" s="9" t="str">
        <x:v>operational_snapshot_annual_totals_may_differ</x:v>
      </x:c>
      <x:c r="BX101" s="9" t="str">
        <x:v>official_live_dashboard_snapshot_subject_to_revision</x:v>
      </x:c>
      <x:c r="BY101" s="9" t="str">
        <x:v>https://tbdashboard.sitb.id/ss_data_tbc03so_2024_provinsi_bulanan_list.php</x:v>
      </x:c>
      <x:c r="BZ101" s="6" t="n">
        <x:v>46246.610671296294</x:v>
      </x:c>
    </x:row>
    <x:row r="102" ht="18" customHeight="1">
      <x:c r="A102" s="6" t="str">
        <x:v>15</x:v>
      </x:c>
      <x:c r="B102" s="6" t="str">
        <x:v>JAMBI</x:v>
      </x:c>
      <x:c r="C102" s="6" t="str">
        <x:v>2024</x:v>
      </x:c>
      <x:c r="D102" s="6" t="str">
        <x:v>5</x:v>
      </x:c>
      <x:c r="E102" s="6" t="str">
        <x:v>2024-05</x:v>
      </x:c>
      <x:c r="F102" s="6" t="str">
        <x:v>680</x:v>
      </x:c>
      <x:c r="G102" s="6" t="str">
        <x:v>240</x:v>
      </x:c>
      <x:c r="H102" s="6" t="str">
        <x:v>350</x:v>
      </x:c>
      <x:c r="I102" s="6" t="str">
        <x:v>48</x:v>
      </x:c>
      <x:c r="J102" s="6" t="str">
        <x:v>33</x:v>
      </x:c>
      <x:c r="K102" s="6" t="str">
        <x:v>0</x:v>
      </x:c>
      <x:c r="L102" s="6" t="str">
        <x:v>5</x:v>
      </x:c>
      <x:c r="M102" s="6" t="str">
        <x:v>4</x:v>
      </x:c>
      <x:c r="N102" s="6" t="str">
        <x:v>680</x:v>
      </x:c>
      <x:c r="O102" s="6" t="str">
        <x:v>0</x:v>
      </x:c>
      <x:c r="P102" s="10" t="n">
        <x:f>F102-M102</x:f>
        <x:v>676</x:v>
      </x:c>
      <x:c r="Q102" s="11" t="n">
        <x:f>IFERROR(M102/F102,"")</x:f>
        <x:v>0.0058823529411764705</x:v>
      </x:c>
      <x:c r="R102" s="10" t="n">
        <x:f>G102+H102</x:f>
        <x:v>590</x:v>
      </x:c>
      <x:c r="S102" s="11" t="n">
        <x:f>IFERROR(R102/F102,"")</x:f>
        <x:v>0.8676470588235294</x:v>
      </x:c>
      <x:c r="T102" s="11" t="n">
        <x:f>IFERROR(R102/P102,"")</x:f>
        <x:v>0.8727810650887574</x:v>
      </x:c>
      <x:c r="U102" s="10" t="n">
        <x:f>I102+J102+K102</x:f>
        <x:v>81</x:v>
      </x:c>
      <x:c r="V102" s="11" t="n">
        <x:f>IFERROR(U102/P102,"")</x:f>
        <x:v>0.11982248520710059</x:v>
      </x:c>
      <x:c r="W102" s="9" t="str">
        <x:v>mature_le_5pct_pending</x:v>
      </x:c>
      <x:c r="X102" s="12" t="n">
        <x:f>IFERROR(F102/Z102*100000,"")</x:f>
        <x:v>18.258464677926053</x:v>
      </x:c>
      <x:c r="Y102" s="13" t="n">
        <x:f>LN(Z102)</x:f>
        <x:v>15.130389472673635</x:v>
      </x:c>
      <x:c r="Z102" s="6" t="str">
        <x:v>3724300</x:v>
      </x:c>
      <x:c r="AA102" s="6" t="str">
        <x:v>76.0</x:v>
      </x:c>
      <x:c r="AB102" s="9" t="str">
        <x:v>2024-06-30</x:v>
      </x:c>
      <x:c r="AC102" s="8" t="str">
        <x:v>83.97</x:v>
      </x:c>
      <x:c r="AD102" s="9" t="str">
        <x:v>2024 (Susenas)</x:v>
      </x:c>
      <x:c r="AE102" s="8" t="str">
        <x:v>7.1</x:v>
      </x:c>
      <x:c r="AF102" s="9" t="str">
        <x:v>Maret 2024 (Susenas)</x:v>
      </x:c>
      <x:c r="AG102" s="6" t="str">
        <x:v>26.580224518628555</x:v>
      </x:c>
      <x:c r="AH102" s="8" t="str">
        <x:v>90.29381202612956</x:v>
      </x:c>
      <x:c r="AI102" s="6" t="str">
        <x:v>282.12428473002865</x:v>
      </x:c>
      <x:c r="AJ102" s="6" t="str">
        <x:v>0.9481150929252636</x:v>
      </x:c>
      <x:c r="AK102" s="8" t="str">
        <x:v>2.80083118803598</x:v>
      </x:c>
      <x:c r="AL102" s="6" t="str">
        <x:v>3.462846022218278</x:v>
      </x:c>
      <x:c r="AM102" s="6" t="str">
        <x:v>2.5482684149700465</x:v>
      </x:c>
      <x:c r="AN102" s="6" t="str">
        <x:v>2.9373152084081013</x:v>
      </x:c>
      <x:c r="AO102" s="6" t="str">
        <x:v>1.3905629355615332</x:v>
      </x:c>
      <x:c r="AP102" s="8" t="str">
        <x:v>1.4422895295455718</x:v>
      </x:c>
      <x:c r="AQ102" s="6" t="str">
        <x:v>0.6994106155740344</x:v>
      </x:c>
      <x:c r="AR102" s="6" t="str">
        <x:v>-0.0946477109596827</x:v>
      </x:c>
      <x:c r="AS102" s="6" t="str">
        <x:v>0.682350811386641</x:v>
      </x:c>
      <x:c r="AT102" s="6" t="str">
        <x:v>119.55215832533057</x:v>
      </x:c>
      <x:c r="AU102" s="8" t="str">
        <x:v>2.161939134487061</x:v>
      </x:c>
      <x:c r="AV102" s="6" t="str">
        <x:v>1.8735057078579296</x:v>
      </x:c>
      <x:c r="AW102" s="6" t="str">
        <x:v>0.0927808609480372</x:v>
      </x:c>
      <x:c r="AX102" s="6" t="str">
        <x:v>1.3760752344310092</x:v>
      </x:c>
      <x:c r="AY102" s="6" t="str">
        <x:v>1</x:v>
      </x:c>
      <x:c r="AZ102" s="6" t="str">
        <x:v>1</x:v>
      </x:c>
      <x:c r="BA102" s="9" t="str">
        <x:v>grid_cells_within_BIG_polygon</x:v>
      </x:c>
      <x:c r="BB102" s="6" t="str">
        <x:v>13</x:v>
      </x:c>
      <x:c r="BC102" s="6" t="str">
        <x:v>4</x:v>
      </x:c>
      <x:c r="BD102" s="6" t="str">
        <x:v>4</x:v>
      </x:c>
      <x:c r="BE102" s="6" t="str">
        <x:v>2</x:v>
      </x:c>
      <x:c r="BF102" s="6" t="str">
        <x:v>0</x:v>
      </x:c>
      <x:c r="BG102" s="6" t="str">
        <x:v>0</x:v>
      </x:c>
      <x:c r="BH102" s="6" t="str">
        <x:v>0</x:v>
      </x:c>
      <x:c r="BI102" s="6" t="str">
        <x:v>2</x:v>
      </x:c>
      <x:c r="BJ102" s="6" t="str">
        <x:v>0</x:v>
      </x:c>
      <x:c r="BK102" s="6" t="str">
        <x:v>0</x:v>
      </x:c>
      <x:c r="BL102" s="6" t="str">
        <x:v>0</x:v>
      </x:c>
      <x:c r="BM102" s="6" t="str">
        <x:v>0</x:v>
      </x:c>
      <x:c r="BN102" s="6" t="str">
        <x:v>4</x:v>
      </x:c>
      <x:c r="BO102" s="6" t="str">
        <x:v>0.0</x:v>
      </x:c>
      <x:c r="BP102" s="6" t="str">
        <x:v>4</x:v>
      </x:c>
      <x:c r="BQ102" s="6" t="str">
        <x:v>0.0</x:v>
      </x:c>
      <x:c r="BR102" s="6" t="str">
        <x:v>4</x:v>
      </x:c>
      <x:c r="BS102" s="6" t="str">
        <x:v>30.0</x:v>
      </x:c>
      <x:c r="BT102" s="6" t="str">
        <x:v>4</x:v>
      </x:c>
      <x:c r="BU102" s="6" t="str">
        <x:v>186.0</x:v>
      </x:c>
      <x:c r="BV102" s="6" t="str">
        <x:v>1</x:v>
      </x:c>
      <x:c r="BW102" s="9" t="str">
        <x:v>operational_snapshot_annual_totals_may_differ</x:v>
      </x:c>
      <x:c r="BX102" s="9" t="str">
        <x:v>official_live_dashboard_snapshot_subject_to_revision</x:v>
      </x:c>
      <x:c r="BY102" s="9" t="str">
        <x:v>https://tbdashboard.sitb.id/ss_data_tbc03so_2024_provinsi_bulanan_list.php</x:v>
      </x:c>
      <x:c r="BZ102" s="6" t="n">
        <x:v>46246.610671296294</x:v>
      </x:c>
    </x:row>
    <x:row r="103" ht="18" customHeight="1">
      <x:c r="A103" s="6" t="str">
        <x:v>15</x:v>
      </x:c>
      <x:c r="B103" s="6" t="str">
        <x:v>JAMBI</x:v>
      </x:c>
      <x:c r="C103" s="6" t="str">
        <x:v>2024</x:v>
      </x:c>
      <x:c r="D103" s="6" t="str">
        <x:v>6</x:v>
      </x:c>
      <x:c r="E103" s="6" t="str">
        <x:v>2024-06</x:v>
      </x:c>
      <x:c r="F103" s="6" t="str">
        <x:v>602</x:v>
      </x:c>
      <x:c r="G103" s="6" t="str">
        <x:v>212</x:v>
      </x:c>
      <x:c r="H103" s="6" t="str">
        <x:v>316</x:v>
      </x:c>
      <x:c r="I103" s="6" t="str">
        <x:v>34</x:v>
      </x:c>
      <x:c r="J103" s="6" t="str">
        <x:v>34</x:v>
      </x:c>
      <x:c r="K103" s="6" t="str">
        <x:v>0</x:v>
      </x:c>
      <x:c r="L103" s="6" t="str">
        <x:v>3</x:v>
      </x:c>
      <x:c r="M103" s="6" t="str">
        <x:v>3</x:v>
      </x:c>
      <x:c r="N103" s="6" t="str">
        <x:v>602</x:v>
      </x:c>
      <x:c r="O103" s="6" t="str">
        <x:v>0</x:v>
      </x:c>
      <x:c r="P103" s="10" t="n">
        <x:f>F103-M103</x:f>
        <x:v>599</x:v>
      </x:c>
      <x:c r="Q103" s="11" t="n">
        <x:f>IFERROR(M103/F103,"")</x:f>
        <x:v>0.0049833887043189366</x:v>
      </x:c>
      <x:c r="R103" s="10" t="n">
        <x:f>G103+H103</x:f>
        <x:v>528</x:v>
      </x:c>
      <x:c r="S103" s="11" t="n">
        <x:f>IFERROR(R103/F103,"")</x:f>
        <x:v>0.8770764119601329</x:v>
      </x:c>
      <x:c r="T103" s="11" t="n">
        <x:f>IFERROR(R103/P103,"")</x:f>
        <x:v>0.8814691151919867</x:v>
      </x:c>
      <x:c r="U103" s="10" t="n">
        <x:f>I103+J103+K103</x:f>
        <x:v>68</x:v>
      </x:c>
      <x:c r="V103" s="11" t="n">
        <x:f>IFERROR(U103/P103,"")</x:f>
        <x:v>0.11352253756260434</x:v>
      </x:c>
      <x:c r="W103" s="9" t="str">
        <x:v>mature_le_5pct_pending</x:v>
      </x:c>
      <x:c r="X103" s="12" t="n">
        <x:f>IFERROR(F103/Z103*100000,"")</x:f>
        <x:v>16.164111376634533</x:v>
      </x:c>
      <x:c r="Y103" s="13" t="n">
        <x:f>LN(Z103)</x:f>
        <x:v>15.130389472673635</x:v>
      </x:c>
      <x:c r="Z103" s="6" t="str">
        <x:v>3724300</x:v>
      </x:c>
      <x:c r="AA103" s="6" t="str">
        <x:v>76.0</x:v>
      </x:c>
      <x:c r="AB103" s="9" t="str">
        <x:v>2024-06-30</x:v>
      </x:c>
      <x:c r="AC103" s="8" t="str">
        <x:v>83.97</x:v>
      </x:c>
      <x:c r="AD103" s="9" t="str">
        <x:v>2024 (Susenas)</x:v>
      </x:c>
      <x:c r="AE103" s="8" t="str">
        <x:v>7.1</x:v>
      </x:c>
      <x:c r="AF103" s="9" t="str">
        <x:v>Maret 2024 (Susenas)</x:v>
      </x:c>
      <x:c r="AG103" s="6" t="str">
        <x:v>25.900242332651437</x:v>
      </x:c>
      <x:c r="AH103" s="8" t="str">
        <x:v>89.26914598128532</x:v>
      </x:c>
      <x:c r="AI103" s="6" t="str">
        <x:v>226.2690158965001</x:v>
      </x:c>
      <x:c r="AJ103" s="6" t="str">
        <x:v>0.7572416085699203</x:v>
      </x:c>
      <x:c r="AK103" s="8" t="str">
        <x:v>2.850296245495473</x:v>
      </x:c>
      <x:c r="AL103" s="6" t="str">
        <x:v>2.80083118803598</x:v>
      </x:c>
      <x:c r="AM103" s="6" t="str">
        <x:v>3.462846022218278</x:v>
      </x:c>
      <x:c r="AN103" s="6" t="str">
        <x:v>3.037991151916577</x:v>
      </x:c>
      <x:c r="AO103" s="6" t="str">
        <x:v>0.8649749381418559</x:v>
      </x:c>
      <x:c r="AP103" s="8" t="str">
        <x:v>0.6978064669864071</x:v>
      </x:c>
      <x:c r="AQ103" s="6" t="str">
        <x:v>1.4422895295455718</x:v>
      </x:c>
      <x:c r="AR103" s="6" t="str">
        <x:v>0.6994106155740344</x:v>
      </x:c>
      <x:c r="AS103" s="6" t="str">
        <x:v>0.9465022040353376</x:v>
      </x:c>
      <x:c r="AT103" s="6" t="str">
        <x:v>111.43072858975611</x:v>
      </x:c>
      <x:c r="AU103" s="8" t="str">
        <x:v>2.506660955128841</x:v>
      </x:c>
      <x:c r="AV103" s="6" t="str">
        <x:v>2.161939134487061</x:v>
      </x:c>
      <x:c r="AW103" s="6" t="str">
        <x:v>1.8735057078579296</x:v>
      </x:c>
      <x:c r="AX103" s="6" t="str">
        <x:v>2.180701932491277</x:v>
      </x:c>
      <x:c r="AY103" s="6" t="str">
        <x:v>1</x:v>
      </x:c>
      <x:c r="AZ103" s="6" t="str">
        <x:v>1</x:v>
      </x:c>
      <x:c r="BA103" s="9" t="str">
        <x:v>grid_cells_within_BIG_polygon</x:v>
      </x:c>
      <x:c r="BB103" s="6" t="str">
        <x:v>13</x:v>
      </x:c>
      <x:c r="BC103" s="6" t="str">
        <x:v>3</x:v>
      </x:c>
      <x:c r="BD103" s="6" t="str">
        <x:v>3</x:v>
      </x:c>
      <x:c r="BE103" s="6" t="str">
        <x:v>2</x:v>
      </x:c>
      <x:c r="BF103" s="6" t="str">
        <x:v>1</x:v>
      </x:c>
      <x:c r="BG103" s="6" t="str">
        <x:v>0</x:v>
      </x:c>
      <x:c r="BH103" s="6" t="str">
        <x:v>0</x:v>
      </x:c>
      <x:c r="BI103" s="6" t="str">
        <x:v>0</x:v>
      </x:c>
      <x:c r="BJ103" s="6" t="str">
        <x:v>0</x:v>
      </x:c>
      <x:c r="BK103" s="6" t="str">
        <x:v>0</x:v>
      </x:c>
      <x:c r="BL103" s="6" t="str">
        <x:v>0</x:v>
      </x:c>
      <x:c r="BM103" s="6" t="str">
        <x:v>0</x:v>
      </x:c>
      <x:c r="BN103" s="6" t="str">
        <x:v>3</x:v>
      </x:c>
      <x:c r="BO103" s="6" t="str">
        <x:v>0.0</x:v>
      </x:c>
      <x:c r="BP103" s="6" t="str">
        <x:v>3</x:v>
      </x:c>
      <x:c r="BQ103" s="6" t="str">
        <x:v>0.0</x:v>
      </x:c>
      <x:c r="BR103" s="6" t="str">
        <x:v>3</x:v>
      </x:c>
      <x:c r="BS103" s="6" t="str">
        <x:v>15.0</x:v>
      </x:c>
      <x:c r="BT103" s="6" t="str">
        <x:v>3</x:v>
      </x:c>
      <x:c r="BU103" s="6" t="str">
        <x:v>1812.0</x:v>
      </x:c>
      <x:c r="BV103" s="6" t="str">
        <x:v>2</x:v>
      </x:c>
      <x:c r="BW103" s="9" t="str">
        <x:v>operational_snapshot_annual_totals_may_differ</x:v>
      </x:c>
      <x:c r="BX103" s="9" t="str">
        <x:v>official_live_dashboard_snapshot_subject_to_revision</x:v>
      </x:c>
      <x:c r="BY103" s="9" t="str">
        <x:v>https://tbdashboard.sitb.id/ss_data_tbc03so_2024_provinsi_bulanan_list.php</x:v>
      </x:c>
      <x:c r="BZ103" s="6" t="n">
        <x:v>46246.610671296294</x:v>
      </x:c>
    </x:row>
    <x:row r="104" ht="18" customHeight="1">
      <x:c r="A104" s="6" t="str">
        <x:v>15</x:v>
      </x:c>
      <x:c r="B104" s="6" t="str">
        <x:v>JAMBI</x:v>
      </x:c>
      <x:c r="C104" s="6" t="str">
        <x:v>2024</x:v>
      </x:c>
      <x:c r="D104" s="6" t="str">
        <x:v>7</x:v>
      </x:c>
      <x:c r="E104" s="6" t="str">
        <x:v>2024-07</x:v>
      </x:c>
      <x:c r="F104" s="6" t="str">
        <x:v>693</x:v>
      </x:c>
      <x:c r="G104" s="6" t="str">
        <x:v>206</x:v>
      </x:c>
      <x:c r="H104" s="6" t="str">
        <x:v>392</x:v>
      </x:c>
      <x:c r="I104" s="6" t="str">
        <x:v>45</x:v>
      </x:c>
      <x:c r="J104" s="6" t="str">
        <x:v>40</x:v>
      </x:c>
      <x:c r="K104" s="6" t="str">
        <x:v>1</x:v>
      </x:c>
      <x:c r="L104" s="6" t="str">
        <x:v>2</x:v>
      </x:c>
      <x:c r="M104" s="6" t="str">
        <x:v>7</x:v>
      </x:c>
      <x:c r="N104" s="6" t="str">
        <x:v>693</x:v>
      </x:c>
      <x:c r="O104" s="6" t="str">
        <x:v>0</x:v>
      </x:c>
      <x:c r="P104" s="10" t="n">
        <x:f>F104-M104</x:f>
        <x:v>686</x:v>
      </x:c>
      <x:c r="Q104" s="11" t="n">
        <x:f>IFERROR(M104/F104,"")</x:f>
        <x:v>0.010101010101010102</x:v>
      </x:c>
      <x:c r="R104" s="10" t="n">
        <x:f>G104+H104</x:f>
        <x:v>598</x:v>
      </x:c>
      <x:c r="S104" s="11" t="n">
        <x:f>IFERROR(R104/F104,"")</x:f>
        <x:v>0.862914862914863</x:v>
      </x:c>
      <x:c r="T104" s="11" t="n">
        <x:f>IFERROR(R104/P104,"")</x:f>
        <x:v>0.8717201166180758</x:v>
      </x:c>
      <x:c r="U104" s="10" t="n">
        <x:f>I104+J104+K104</x:f>
        <x:v>86</x:v>
      </x:c>
      <x:c r="V104" s="11" t="n">
        <x:f>IFERROR(U104/P104,"")</x:f>
        <x:v>0.12536443148688048</x:v>
      </x:c>
      <x:c r="W104" s="9" t="str">
        <x:v>mature_le_5pct_pending</x:v>
      </x:c>
      <x:c r="X104" s="12" t="n">
        <x:f>IFERROR(F104/Z104*100000,"")</x:f>
        <x:v>18.60752356147464</x:v>
      </x:c>
      <x:c r="Y104" s="13" t="n">
        <x:f>LN(Z104)</x:f>
        <x:v>15.130389472673635</x:v>
      </x:c>
      <x:c r="Z104" s="6" t="str">
        <x:v>3724300</x:v>
      </x:c>
      <x:c r="AA104" s="6" t="str">
        <x:v>76.0</x:v>
      </x:c>
      <x:c r="AB104" s="9" t="str">
        <x:v>2024-06-30</x:v>
      </x:c>
      <x:c r="AC104" s="8" t="str">
        <x:v>83.97</x:v>
      </x:c>
      <x:c r="AD104" s="9" t="str">
        <x:v>2024 (Susenas)</x:v>
      </x:c>
      <x:c r="AE104" s="8" t="str">
        <x:v>7.1</x:v>
      </x:c>
      <x:c r="AF104" s="9" t="str">
        <x:v>Maret 2024 (Susenas)</x:v>
      </x:c>
      <x:c r="AG104" s="6" t="str">
        <x:v>25.70638726543194</x:v>
      </x:c>
      <x:c r="AH104" s="8" t="str">
        <x:v>88.45762083118903</x:v>
      </x:c>
      <x:c r="AI104" s="6" t="str">
        <x:v>81.62011431539325</x:v>
      </x:c>
      <x:c r="AJ104" s="6" t="str">
        <x:v>0.9184904251994972</x:v>
      </x:c>
      <x:c r="AK104" s="8" t="str">
        <x:v>3.411380461076215</x:v>
      </x:c>
      <x:c r="AL104" s="6" t="str">
        <x:v>2.850296245495473</x:v>
      </x:c>
      <x:c r="AM104" s="6" t="str">
        <x:v>2.80083118803598</x:v>
      </x:c>
      <x:c r="AN104" s="6" t="str">
        <x:v>3.0208359648692222</x:v>
      </x:c>
      <x:c r="AO104" s="6" t="str">
        <x:v>0.3931069462433925</x:v>
      </x:c>
      <x:c r="AP104" s="8" t="str">
        <x:v>0.4130413106803741</x:v>
      </x:c>
      <x:c r="AQ104" s="6" t="str">
        <x:v>0.6978064669864071</x:v>
      </x:c>
      <x:c r="AR104" s="6" t="str">
        <x:v>1.4422895295455718</x:v>
      </x:c>
      <x:c r="AS104" s="6" t="str">
        <x:v>0.8510457690707841</x:v>
      </x:c>
      <x:c r="AT104" s="6" t="str">
        <x:v>-36.82205640431145</x:v>
      </x:c>
      <x:c r="AU104" s="8" t="str">
        <x:v>-0.7398943555693397</x:v>
      </x:c>
      <x:c r="AV104" s="6" t="str">
        <x:v>2.506660955128841</x:v>
      </x:c>
      <x:c r="AW104" s="6" t="str">
        <x:v>2.161939134487061</x:v>
      </x:c>
      <x:c r="AX104" s="6" t="str">
        <x:v>1.3095685780155206</x:v>
      </x:c>
      <x:c r="AY104" s="6" t="str">
        <x:v>0</x:v>
      </x:c>
      <x:c r="AZ104" s="6" t="str">
        <x:v>1</x:v>
      </x:c>
      <x:c r="BA104" s="9" t="str">
        <x:v>grid_cells_within_BIG_polygon</x:v>
      </x:c>
      <x:c r="BB104" s="6" t="str">
        <x:v>13</x:v>
      </x:c>
      <x:c r="BC104" s="6" t="str">
        <x:v>19</x:v>
      </x:c>
      <x:c r="BD104" s="6" t="str">
        <x:v>19</x:v>
      </x:c>
      <x:c r="BE104" s="6" t="str">
        <x:v>2</x:v>
      </x:c>
      <x:c r="BF104" s="6" t="str">
        <x:v>0</x:v>
      </x:c>
      <x:c r="BG104" s="6" t="str">
        <x:v>0</x:v>
      </x:c>
      <x:c r="BH104" s="6" t="str">
        <x:v>0</x:v>
      </x:c>
      <x:c r="BI104" s="6" t="str">
        <x:v>17</x:v>
      </x:c>
      <x:c r="BJ104" s="6" t="str">
        <x:v>0</x:v>
      </x:c>
      <x:c r="BK104" s="6" t="str">
        <x:v>0</x:v>
      </x:c>
      <x:c r="BL104" s="6" t="str">
        <x:v>0</x:v>
      </x:c>
      <x:c r="BM104" s="6" t="str">
        <x:v>0</x:v>
      </x:c>
      <x:c r="BN104" s="6" t="str">
        <x:v>19</x:v>
      </x:c>
      <x:c r="BO104" s="6" t="str">
        <x:v>0.0</x:v>
      </x:c>
      <x:c r="BP104" s="6" t="str">
        <x:v>19</x:v>
      </x:c>
      <x:c r="BQ104" s="6" t="str">
        <x:v>0.0</x:v>
      </x:c>
      <x:c r="BR104" s="6" t="str">
        <x:v>19</x:v>
      </x:c>
      <x:c r="BS104" s="6" t="str">
        <x:v>0.0</x:v>
      </x:c>
      <x:c r="BT104" s="6" t="str">
        <x:v>19</x:v>
      </x:c>
      <x:c r="BU104" s="6" t="str">
        <x:v>515.0</x:v>
      </x:c>
      <x:c r="BV104" s="6" t="str">
        <x:v>2</x:v>
      </x:c>
      <x:c r="BW104" s="9" t="str">
        <x:v>operational_snapshot_annual_totals_may_differ</x:v>
      </x:c>
      <x:c r="BX104" s="9" t="str">
        <x:v>official_live_dashboard_snapshot_subject_to_revision</x:v>
      </x:c>
      <x:c r="BY104" s="9" t="str">
        <x:v>https://tbdashboard.sitb.id/ss_data_tbc03so_2024_provinsi_bulanan_list.php</x:v>
      </x:c>
      <x:c r="BZ104" s="6" t="n">
        <x:v>46246.610671296294</x:v>
      </x:c>
    </x:row>
    <x:row r="105" ht="18" customHeight="1">
      <x:c r="A105" s="6" t="str">
        <x:v>15</x:v>
      </x:c>
      <x:c r="B105" s="6" t="str">
        <x:v>JAMBI</x:v>
      </x:c>
      <x:c r="C105" s="6" t="str">
        <x:v>2024</x:v>
      </x:c>
      <x:c r="D105" s="6" t="str">
        <x:v>8</x:v>
      </x:c>
      <x:c r="E105" s="6" t="str">
        <x:v>2024-08</x:v>
      </x:c>
      <x:c r="F105" s="6" t="str">
        <x:v>637</x:v>
      </x:c>
      <x:c r="G105" s="6" t="str">
        <x:v>181</x:v>
      </x:c>
      <x:c r="H105" s="6" t="str">
        <x:v>355</x:v>
      </x:c>
      <x:c r="I105" s="6" t="str">
        <x:v>47</x:v>
      </x:c>
      <x:c r="J105" s="6" t="str">
        <x:v>44</x:v>
      </x:c>
      <x:c r="K105" s="6" t="str">
        <x:v>3</x:v>
      </x:c>
      <x:c r="L105" s="6" t="str">
        <x:v>3</x:v>
      </x:c>
      <x:c r="M105" s="6" t="str">
        <x:v>4</x:v>
      </x:c>
      <x:c r="N105" s="6" t="str">
        <x:v>637</x:v>
      </x:c>
      <x:c r="O105" s="6" t="str">
        <x:v>0</x:v>
      </x:c>
      <x:c r="P105" s="10" t="n">
        <x:f>F105-M105</x:f>
        <x:v>633</x:v>
      </x:c>
      <x:c r="Q105" s="11" t="n">
        <x:f>IFERROR(M105/F105,"")</x:f>
        <x:v>0.006279434850863423</x:v>
      </x:c>
      <x:c r="R105" s="10" t="n">
        <x:f>G105+H105</x:f>
        <x:v>536</x:v>
      </x:c>
      <x:c r="S105" s="11" t="n">
        <x:f>IFERROR(R105/F105,"")</x:f>
        <x:v>0.8414442700156985</x:v>
      </x:c>
      <x:c r="T105" s="11" t="n">
        <x:f>IFERROR(R105/P105,"")</x:f>
        <x:v>0.8467614533965245</x:v>
      </x:c>
      <x:c r="U105" s="10" t="n">
        <x:f>I105+J105+K105</x:f>
        <x:v>94</x:v>
      </x:c>
      <x:c r="V105" s="11" t="n">
        <x:f>IFERROR(U105/P105,"")</x:f>
        <x:v>0.1484992101105845</x:v>
      </x:c>
      <x:c r="W105" s="9" t="str">
        <x:v>mature_le_5pct_pending</x:v>
      </x:c>
      <x:c r="X105" s="12" t="n">
        <x:f>IFERROR(F105/Z105*100000,"")</x:f>
        <x:v>17.10388529388073</x:v>
      </x:c>
      <x:c r="Y105" s="13" t="n">
        <x:f>LN(Z105)</x:f>
        <x:v>15.130389472673635</x:v>
      </x:c>
      <x:c r="Z105" s="6" t="str">
        <x:v>3724300</x:v>
      </x:c>
      <x:c r="AA105" s="6" t="str">
        <x:v>76.0</x:v>
      </x:c>
      <x:c r="AB105" s="9" t="str">
        <x:v>2024-06-30</x:v>
      </x:c>
      <x:c r="AC105" s="8" t="str">
        <x:v>83.97</x:v>
      </x:c>
      <x:c r="AD105" s="9" t="str">
        <x:v>2024 (Susenas)</x:v>
      </x:c>
      <x:c r="AE105" s="8" t="str">
        <x:v>7.1</x:v>
      </x:c>
      <x:c r="AF105" s="9" t="str">
        <x:v>Maret 2024 (Susenas)</x:v>
      </x:c>
      <x:c r="AG105" s="6" t="str">
        <x:v>25.614858715735306</x:v>
      </x:c>
      <x:c r="AH105" s="8" t="str">
        <x:v>87.44913865697521</x:v>
      </x:c>
      <x:c r="AI105" s="6" t="str">
        <x:v>107.3133042331491</x:v>
      </x:c>
      <x:c r="AJ105" s="6" t="str">
        <x:v>0.7460914482097252</x:v>
      </x:c>
      <x:c r="AK105" s="8" t="str">
        <x:v>3.003147839251396</x:v>
      </x:c>
      <x:c r="AL105" s="6" t="str">
        <x:v>3.411380461076215</x:v>
      </x:c>
      <x:c r="AM105" s="6" t="str">
        <x:v>2.850296245495473</x:v>
      </x:c>
      <x:c r="AN105" s="6" t="str">
        <x:v>3.0882748486076945</x:v>
      </x:c>
      <x:c r="AO105" s="6" t="str">
        <x:v>0.5100691536600692</x:v>
      </x:c>
      <x:c r="AP105" s="8" t="str">
        <x:v>0.4174491408506858</x:v>
      </x:c>
      <x:c r="AQ105" s="6" t="str">
        <x:v>0.4130413106803741</x:v>
      </x:c>
      <x:c r="AR105" s="6" t="str">
        <x:v>0.6978064669864071</x:v>
      </x:c>
      <x:c r="AS105" s="6" t="str">
        <x:v>0.5094323061724889</x:v>
      </x:c>
      <x:c r="AT105" s="6" t="str">
        <x:v>-11.106515588233137</x:v>
      </x:c>
      <x:c r="AU105" s="8" t="str">
        <x:v>-0.1535134684983259</x:v>
      </x:c>
      <x:c r="AV105" s="6" t="str">
        <x:v>-0.7398943555693397</x:v>
      </x:c>
      <x:c r="AW105" s="6" t="str">
        <x:v>2.506660955128841</x:v>
      </x:c>
      <x:c r="AX105" s="6" t="str">
        <x:v>0.5377510436870585</x:v>
      </x:c>
      <x:c r="AY105" s="6" t="str">
        <x:v>0</x:v>
      </x:c>
      <x:c r="AZ105" s="6" t="str">
        <x:v>1</x:v>
      </x:c>
      <x:c r="BA105" s="9" t="str">
        <x:v>grid_cells_within_BIG_polygon</x:v>
      </x:c>
      <x:c r="BB105" s="6" t="str">
        <x:v>13</x:v>
      </x:c>
      <x:c r="BC105" s="6" t="str">
        <x:v>35</x:v>
      </x:c>
      <x:c r="BD105" s="6" t="str">
        <x:v>35</x:v>
      </x:c>
      <x:c r="BE105" s="6" t="str">
        <x:v>0</x:v>
      </x:c>
      <x:c r="BF105" s="6" t="str">
        <x:v>0</x:v>
      </x:c>
      <x:c r="BG105" s="6" t="str">
        <x:v>1</x:v>
      </x:c>
      <x:c r="BH105" s="6" t="str">
        <x:v>0</x:v>
      </x:c>
      <x:c r="BI105" s="6" t="str">
        <x:v>34</x:v>
      </x:c>
      <x:c r="BJ105" s="6" t="str">
        <x:v>0</x:v>
      </x:c>
      <x:c r="BK105" s="6" t="str">
        <x:v>0</x:v>
      </x:c>
      <x:c r="BL105" s="6" t="str">
        <x:v>0</x:v>
      </x:c>
      <x:c r="BM105" s="6" t="str">
        <x:v>0</x:v>
      </x:c>
      <x:c r="BN105" s="6" t="str">
        <x:v>35</x:v>
      </x:c>
      <x:c r="BO105" s="6" t="str">
        <x:v>0.0</x:v>
      </x:c>
      <x:c r="BP105" s="6" t="str">
        <x:v>35</x:v>
      </x:c>
      <x:c r="BQ105" s="6" t="str">
        <x:v>0.0</x:v>
      </x:c>
      <x:c r="BR105" s="6" t="str">
        <x:v>35</x:v>
      </x:c>
      <x:c r="BS105" s="6" t="str">
        <x:v>43.0</x:v>
      </x:c>
      <x:c r="BT105" s="6" t="str">
        <x:v>35</x:v>
      </x:c>
      <x:c r="BU105" s="6" t="str"/>
      <x:c r="BV105" s="6" t="str">
        <x:v>0</x:v>
      </x:c>
      <x:c r="BW105" s="9" t="str">
        <x:v>operational_snapshot_annual_totals_may_differ</x:v>
      </x:c>
      <x:c r="BX105" s="9" t="str">
        <x:v>official_live_dashboard_snapshot_subject_to_revision</x:v>
      </x:c>
      <x:c r="BY105" s="9" t="str">
        <x:v>https://tbdashboard.sitb.id/ss_data_tbc03so_2024_provinsi_bulanan_list.php</x:v>
      </x:c>
      <x:c r="BZ105" s="6" t="n">
        <x:v>46246.610671296294</x:v>
      </x:c>
    </x:row>
    <x:row r="106" ht="18" customHeight="1">
      <x:c r="A106" s="6" t="str">
        <x:v>15</x:v>
      </x:c>
      <x:c r="B106" s="6" t="str">
        <x:v>JAMBI</x:v>
      </x:c>
      <x:c r="C106" s="6" t="str">
        <x:v>2024</x:v>
      </x:c>
      <x:c r="D106" s="6" t="str">
        <x:v>9</x:v>
      </x:c>
      <x:c r="E106" s="6" t="str">
        <x:v>2024-09</x:v>
      </x:c>
      <x:c r="F106" s="6" t="str">
        <x:v>603</x:v>
      </x:c>
      <x:c r="G106" s="6" t="str">
        <x:v>184</x:v>
      </x:c>
      <x:c r="H106" s="6" t="str">
        <x:v>333</x:v>
      </x:c>
      <x:c r="I106" s="6" t="str">
        <x:v>37</x:v>
      </x:c>
      <x:c r="J106" s="6" t="str">
        <x:v>41</x:v>
      </x:c>
      <x:c r="K106" s="6" t="str">
        <x:v>0</x:v>
      </x:c>
      <x:c r="L106" s="6" t="str">
        <x:v>2</x:v>
      </x:c>
      <x:c r="M106" s="6" t="str">
        <x:v>6</x:v>
      </x:c>
      <x:c r="N106" s="6" t="str">
        <x:v>603</x:v>
      </x:c>
      <x:c r="O106" s="6" t="str">
        <x:v>0</x:v>
      </x:c>
      <x:c r="P106" s="10" t="n">
        <x:f>F106-M106</x:f>
        <x:v>597</x:v>
      </x:c>
      <x:c r="Q106" s="11" t="n">
        <x:f>IFERROR(M106/F106,"")</x:f>
        <x:v>0.009950248756218905</x:v>
      </x:c>
      <x:c r="R106" s="10" t="n">
        <x:f>G106+H106</x:f>
        <x:v>517</x:v>
      </x:c>
      <x:c r="S106" s="11" t="n">
        <x:f>IFERROR(R106/F106,"")</x:f>
        <x:v>0.857379767827529</x:v>
      </x:c>
      <x:c r="T106" s="11" t="n">
        <x:f>IFERROR(R106/P106,"")</x:f>
        <x:v>0.8659966499162479</x:v>
      </x:c>
      <x:c r="U106" s="10" t="n">
        <x:f>I106+J106+K106</x:f>
        <x:v>78</x:v>
      </x:c>
      <x:c r="V106" s="11" t="n">
        <x:f>IFERROR(U106/P106,"")</x:f>
        <x:v>0.1306532663316583</x:v>
      </x:c>
      <x:c r="W106" s="9" t="str">
        <x:v>mature_le_5pct_pending</x:v>
      </x:c>
      <x:c r="X106" s="12" t="n">
        <x:f>IFERROR(F106/Z106*100000,"")</x:f>
        <x:v>16.190962059984425</x:v>
      </x:c>
      <x:c r="Y106" s="13" t="n">
        <x:f>LN(Z106)</x:f>
        <x:v>15.130389472673635</x:v>
      </x:c>
      <x:c r="Z106" s="6" t="str">
        <x:v>3724300</x:v>
      </x:c>
      <x:c r="AA106" s="6" t="str">
        <x:v>76.0</x:v>
      </x:c>
      <x:c r="AB106" s="9" t="str">
        <x:v>2024-06-30</x:v>
      </x:c>
      <x:c r="AC106" s="8" t="str">
        <x:v>83.97</x:v>
      </x:c>
      <x:c r="AD106" s="9" t="str">
        <x:v>2024 (Susenas)</x:v>
      </x:c>
      <x:c r="AE106" s="8" t="str">
        <x:v>7.1</x:v>
      </x:c>
      <x:c r="AF106" s="9" t="str">
        <x:v>Maret 2024 (Susenas)</x:v>
      </x:c>
      <x:c r="AG106" s="6" t="str">
        <x:v>25.941787172336248</x:v>
      </x:c>
      <x:c r="AH106" s="8" t="str">
        <x:v>86.17378762094138</x:v>
      </x:c>
      <x:c r="AI106" s="6" t="str">
        <x:v>200.63783477256183</x:v>
      </x:c>
      <x:c r="AJ106" s="6" t="str">
        <x:v>0.9323333838776016</x:v>
      </x:c>
      <x:c r="AK106" s="8" t="str">
        <x:v>4.186497993138724</x:v>
      </x:c>
      <x:c r="AL106" s="6" t="str">
        <x:v>3.003147839251396</x:v>
      </x:c>
      <x:c r="AM106" s="6" t="str">
        <x:v>3.411380461076215</x:v>
      </x:c>
      <x:c r="AN106" s="6" t="str">
        <x:v>3.5336754311554457</x:v>
      </x:c>
      <x:c r="AO106" s="6" t="str">
        <x:v>0.0995122892708337</x:v>
      </x:c>
      <x:c r="AP106" s="8" t="str">
        <x:v>0.0668040888276991</x:v>
      </x:c>
      <x:c r="AQ106" s="6" t="str">
        <x:v>0.4174491408506858</x:v>
      </x:c>
      <x:c r="AR106" s="6" t="str">
        <x:v>0.4130413106803741</x:v>
      </x:c>
      <x:c r="AS106" s="6" t="str">
        <x:v>0.2990981801195863</x:v>
      </x:c>
      <x:c r="AT106" s="6" t="str">
        <x:v>65.94591678010283</x:v>
      </x:c>
      <x:c r="AU106" s="8" t="str">
        <x:v>1.0331644541225744</x:v>
      </x:c>
      <x:c r="AV106" s="6" t="str">
        <x:v>-0.1535134684983259</x:v>
      </x:c>
      <x:c r="AW106" s="6" t="str">
        <x:v>-0.7398943555693397</x:v>
      </x:c>
      <x:c r="AX106" s="6" t="str">
        <x:v>0.0465855433516361</x:v>
      </x:c>
      <x:c r="AY106" s="6" t="str">
        <x:v>1</x:v>
      </x:c>
      <x:c r="AZ106" s="6" t="str">
        <x:v>1</x:v>
      </x:c>
      <x:c r="BA106" s="9" t="str">
        <x:v>grid_cells_within_BIG_polygon</x:v>
      </x:c>
      <x:c r="BB106" s="6" t="str">
        <x:v>13</x:v>
      </x:c>
      <x:c r="BC106" s="6" t="str">
        <x:v>15</x:v>
      </x:c>
      <x:c r="BD106" s="6" t="str">
        <x:v>15</x:v>
      </x:c>
      <x:c r="BE106" s="6" t="str">
        <x:v>1</x:v>
      </x:c>
      <x:c r="BF106" s="6" t="str">
        <x:v>0</x:v>
      </x:c>
      <x:c r="BG106" s="6" t="str">
        <x:v>3</x:v>
      </x:c>
      <x:c r="BH106" s="6" t="str">
        <x:v>0</x:v>
      </x:c>
      <x:c r="BI106" s="6" t="str">
        <x:v>11</x:v>
      </x:c>
      <x:c r="BJ106" s="6" t="str">
        <x:v>0</x:v>
      </x:c>
      <x:c r="BK106" s="6" t="str">
        <x:v>0</x:v>
      </x:c>
      <x:c r="BL106" s="6" t="str">
        <x:v>0</x:v>
      </x:c>
      <x:c r="BM106" s="6" t="str">
        <x:v>0</x:v>
      </x:c>
      <x:c r="BN106" s="6" t="str">
        <x:v>15</x:v>
      </x:c>
      <x:c r="BO106" s="6" t="str">
        <x:v>0.0</x:v>
      </x:c>
      <x:c r="BP106" s="6" t="str">
        <x:v>15</x:v>
      </x:c>
      <x:c r="BQ106" s="6" t="str">
        <x:v>5.0</x:v>
      </x:c>
      <x:c r="BR106" s="6" t="str">
        <x:v>15</x:v>
      </x:c>
      <x:c r="BS106" s="6" t="str">
        <x:v>212.0</x:v>
      </x:c>
      <x:c r="BT106" s="6" t="str">
        <x:v>15</x:v>
      </x:c>
      <x:c r="BU106" s="6" t="str">
        <x:v>39.0</x:v>
      </x:c>
      <x:c r="BV106" s="6" t="str">
        <x:v>1</x:v>
      </x:c>
      <x:c r="BW106" s="9" t="str">
        <x:v>operational_snapshot_annual_totals_may_differ</x:v>
      </x:c>
      <x:c r="BX106" s="9" t="str">
        <x:v>official_live_dashboard_snapshot_subject_to_revision</x:v>
      </x:c>
      <x:c r="BY106" s="9" t="str">
        <x:v>https://tbdashboard.sitb.id/ss_data_tbc03so_2024_provinsi_bulanan_list.php</x:v>
      </x:c>
      <x:c r="BZ106" s="6" t="n">
        <x:v>46246.610671296294</x:v>
      </x:c>
    </x:row>
    <x:row r="107" ht="18" customHeight="1">
      <x:c r="A107" s="6" t="str">
        <x:v>15</x:v>
      </x:c>
      <x:c r="B107" s="6" t="str">
        <x:v>JAMBI</x:v>
      </x:c>
      <x:c r="C107" s="6" t="str">
        <x:v>2024</x:v>
      </x:c>
      <x:c r="D107" s="6" t="str">
        <x:v>10</x:v>
      </x:c>
      <x:c r="E107" s="6" t="str">
        <x:v>2024-10</x:v>
      </x:c>
      <x:c r="F107" s="6" t="str">
        <x:v>664</x:v>
      </x:c>
      <x:c r="G107" s="6" t="str">
        <x:v>158</x:v>
      </x:c>
      <x:c r="H107" s="6" t="str">
        <x:v>403</x:v>
      </x:c>
      <x:c r="I107" s="6" t="str">
        <x:v>42</x:v>
      </x:c>
      <x:c r="J107" s="6" t="str">
        <x:v>45</x:v>
      </x:c>
      <x:c r="K107" s="6" t="str">
        <x:v>1</x:v>
      </x:c>
      <x:c r="L107" s="6" t="str">
        <x:v>3</x:v>
      </x:c>
      <x:c r="M107" s="6" t="str">
        <x:v>12</x:v>
      </x:c>
      <x:c r="N107" s="6" t="str">
        <x:v>664</x:v>
      </x:c>
      <x:c r="O107" s="6" t="str">
        <x:v>0</x:v>
      </x:c>
      <x:c r="P107" s="10" t="n">
        <x:f>F107-M107</x:f>
        <x:v>652</x:v>
      </x:c>
      <x:c r="Q107" s="11" t="n">
        <x:f>IFERROR(M107/F107,"")</x:f>
        <x:v>0.018072289156626505</x:v>
      </x:c>
      <x:c r="R107" s="10" t="n">
        <x:f>G107+H107</x:f>
        <x:v>561</x:v>
      </x:c>
      <x:c r="S107" s="11" t="n">
        <x:f>IFERROR(R107/F107,"")</x:f>
        <x:v>0.8448795180722891</x:v>
      </x:c>
      <x:c r="T107" s="11" t="n">
        <x:f>IFERROR(R107/P107,"")</x:f>
        <x:v>0.8604294478527608</x:v>
      </x:c>
      <x:c r="U107" s="10" t="n">
        <x:f>I107+J107+K107</x:f>
        <x:v>88</x:v>
      </x:c>
      <x:c r="V107" s="11" t="n">
        <x:f>IFERROR(U107/P107,"")</x:f>
        <x:v>0.13496932515337423</x:v>
      </x:c>
      <x:c r="W107" s="9" t="str">
        <x:v>mature_le_5pct_pending</x:v>
      </x:c>
      <x:c r="X107" s="12" t="n">
        <x:f>IFERROR(F107/Z107*100000,"")</x:f>
        <x:v>17.82885374432779</x:v>
      </x:c>
      <x:c r="Y107" s="13" t="n">
        <x:f>LN(Z107)</x:f>
        <x:v>15.130389472673635</x:v>
      </x:c>
      <x:c r="Z107" s="6" t="str">
        <x:v>3724300</x:v>
      </x:c>
      <x:c r="AA107" s="6" t="str">
        <x:v>76.0</x:v>
      </x:c>
      <x:c r="AB107" s="9" t="str">
        <x:v>2024-06-30</x:v>
      </x:c>
      <x:c r="AC107" s="8" t="str">
        <x:v>83.97</x:v>
      </x:c>
      <x:c r="AD107" s="9" t="str">
        <x:v>2024 (Susenas)</x:v>
      </x:c>
      <x:c r="AE107" s="8" t="str">
        <x:v>7.1</x:v>
      </x:c>
      <x:c r="AF107" s="9" t="str">
        <x:v>Maret 2024 (Susenas)</x:v>
      </x:c>
      <x:c r="AG107" s="6" t="str">
        <x:v>26.246398047071786</x:v>
      </x:c>
      <x:c r="AH107" s="8" t="str">
        <x:v>85.0730512387018</x:v>
      </x:c>
      <x:c r="AI107" s="6" t="str">
        <x:v>236.37107249185823</x:v>
      </x:c>
      <x:c r="AJ107" s="6" t="str">
        <x:v>1.0244484924868615</x:v>
      </x:c>
      <x:c r="AK107" s="8" t="str">
        <x:v>4.05875624353491</x:v>
      </x:c>
      <x:c r="AL107" s="6" t="str">
        <x:v>4.186497993138724</x:v>
      </x:c>
      <x:c r="AM107" s="6" t="str">
        <x:v>3.003147839251396</x:v>
      </x:c>
      <x:c r="AN107" s="6" t="str">
        <x:v>3.749467358641677</x:v>
      </x:c>
      <x:c r="AO107" s="6" t="str">
        <x:v>-1.307621329679279</x:v>
      </x:c>
      <x:c r="AP107" s="8" t="str">
        <x:v>-0.7005678038406915</x:v>
      </x:c>
      <x:c r="AQ107" s="6" t="str">
        <x:v>0.0668040888276991</x:v>
      </x:c>
      <x:c r="AR107" s="6" t="str">
        <x:v>0.4174491408506858</x:v>
      </x:c>
      <x:c r="AS107" s="6" t="str">
        <x:v>-0.0721048580541022</x:v>
      </x:c>
      <x:c r="AT107" s="6" t="str">
        <x:v>35.116424022313936</x:v>
      </x:c>
      <x:c r="AU107" s="8" t="str">
        <x:v>0.432557628414691</x:v>
      </x:c>
      <x:c r="AV107" s="6" t="str">
        <x:v>1.0331644541225744</x:v>
      </x:c>
      <x:c r="AW107" s="6" t="str">
        <x:v>-0.1535134684983259</x:v>
      </x:c>
      <x:c r="AX107" s="6" t="str">
        <x:v>0.437402871346313</x:v>
      </x:c>
      <x:c r="AY107" s="6" t="str">
        <x:v>0</x:v>
      </x:c>
      <x:c r="AZ107" s="6" t="str">
        <x:v>1</x:v>
      </x:c>
      <x:c r="BA107" s="9" t="str">
        <x:v>grid_cells_within_BIG_polygon</x:v>
      </x:c>
      <x:c r="BB107" s="6" t="str">
        <x:v>13</x:v>
      </x:c>
      <x:c r="BC107" s="6" t="str">
        <x:v>13</x:v>
      </x:c>
      <x:c r="BD107" s="6" t="str">
        <x:v>13</x:v>
      </x:c>
      <x:c r="BE107" s="6" t="str">
        <x:v>0</x:v>
      </x:c>
      <x:c r="BF107" s="6" t="str">
        <x:v>0</x:v>
      </x:c>
      <x:c r="BG107" s="6" t="str">
        <x:v>2</x:v>
      </x:c>
      <x:c r="BH107" s="6" t="str">
        <x:v>0</x:v>
      </x:c>
      <x:c r="BI107" s="6" t="str">
        <x:v>11</x:v>
      </x:c>
      <x:c r="BJ107" s="6" t="str">
        <x:v>0</x:v>
      </x:c>
      <x:c r="BK107" s="6" t="str">
        <x:v>0</x:v>
      </x:c>
      <x:c r="BL107" s="6" t="str">
        <x:v>0</x:v>
      </x:c>
      <x:c r="BM107" s="6" t="str">
        <x:v>0</x:v>
      </x:c>
      <x:c r="BN107" s="6" t="str">
        <x:v>13</x:v>
      </x:c>
      <x:c r="BO107" s="6" t="str">
        <x:v>0.0</x:v>
      </x:c>
      <x:c r="BP107" s="6" t="str">
        <x:v>13</x:v>
      </x:c>
      <x:c r="BQ107" s="6" t="str">
        <x:v>0.0</x:v>
      </x:c>
      <x:c r="BR107" s="6" t="str">
        <x:v>13</x:v>
      </x:c>
      <x:c r="BS107" s="6" t="str">
        <x:v>17.0</x:v>
      </x:c>
      <x:c r="BT107" s="6" t="str">
        <x:v>13</x:v>
      </x:c>
      <x:c r="BU107" s="6" t="str"/>
      <x:c r="BV107" s="6" t="str">
        <x:v>0</x:v>
      </x:c>
      <x:c r="BW107" s="9" t="str">
        <x:v>operational_snapshot_annual_totals_may_differ</x:v>
      </x:c>
      <x:c r="BX107" s="9" t="str">
        <x:v>official_live_dashboard_snapshot_subject_to_revision</x:v>
      </x:c>
      <x:c r="BY107" s="9" t="str">
        <x:v>https://tbdashboard.sitb.id/ss_data_tbc03so_2024_provinsi_bulanan_list.php</x:v>
      </x:c>
      <x:c r="BZ107" s="6" t="n">
        <x:v>46246.610671296294</x:v>
      </x:c>
    </x:row>
    <x:row r="108" ht="18" customHeight="1">
      <x:c r="A108" s="6" t="str">
        <x:v>15</x:v>
      </x:c>
      <x:c r="B108" s="6" t="str">
        <x:v>JAMBI</x:v>
      </x:c>
      <x:c r="C108" s="6" t="str">
        <x:v>2024</x:v>
      </x:c>
      <x:c r="D108" s="6" t="str">
        <x:v>11</x:v>
      </x:c>
      <x:c r="E108" s="6" t="str">
        <x:v>2024-11</x:v>
      </x:c>
      <x:c r="F108" s="6" t="str">
        <x:v>508</x:v>
      </x:c>
      <x:c r="G108" s="6" t="str">
        <x:v>146</x:v>
      </x:c>
      <x:c r="H108" s="6" t="str">
        <x:v>291</x:v>
      </x:c>
      <x:c r="I108" s="6" t="str">
        <x:v>38</x:v>
      </x:c>
      <x:c r="J108" s="6" t="str">
        <x:v>24</x:v>
      </x:c>
      <x:c r="K108" s="6" t="str">
        <x:v>2</x:v>
      </x:c>
      <x:c r="L108" s="6" t="str">
        <x:v>1</x:v>
      </x:c>
      <x:c r="M108" s="6" t="str">
        <x:v>6</x:v>
      </x:c>
      <x:c r="N108" s="6" t="str">
        <x:v>508</x:v>
      </x:c>
      <x:c r="O108" s="6" t="str">
        <x:v>0</x:v>
      </x:c>
      <x:c r="P108" s="10" t="n">
        <x:f>F108-M108</x:f>
        <x:v>502</x:v>
      </x:c>
      <x:c r="Q108" s="11" t="n">
        <x:f>IFERROR(M108/F108,"")</x:f>
        <x:v>0.011811023622047244</x:v>
      </x:c>
      <x:c r="R108" s="10" t="n">
        <x:f>G108+H108</x:f>
        <x:v>437</x:v>
      </x:c>
      <x:c r="S108" s="11" t="n">
        <x:f>IFERROR(R108/F108,"")</x:f>
        <x:v>0.860236220472441</x:v>
      </x:c>
      <x:c r="T108" s="11" t="n">
        <x:f>IFERROR(R108/P108,"")</x:f>
        <x:v>0.8705179282868526</x:v>
      </x:c>
      <x:c r="U108" s="10" t="n">
        <x:f>I108+J108+K108</x:f>
        <x:v>64</x:v>
      </x:c>
      <x:c r="V108" s="11" t="n">
        <x:f>IFERROR(U108/P108,"")</x:f>
        <x:v>0.12749003984063745</x:v>
      </x:c>
      <x:c r="W108" s="9" t="str">
        <x:v>mature_le_5pct_pending</x:v>
      </x:c>
      <x:c r="X108" s="12" t="n">
        <x:f>IFERROR(F108/Z108*100000,"")</x:f>
        <x:v>13.640147141744759</x:v>
      </x:c>
      <x:c r="Y108" s="13" t="n">
        <x:f>LN(Z108)</x:f>
        <x:v>15.130389472673635</x:v>
      </x:c>
      <x:c r="Z108" s="6" t="str">
        <x:v>3724300</x:v>
      </x:c>
      <x:c r="AA108" s="6" t="str">
        <x:v>76.0</x:v>
      </x:c>
      <x:c r="AB108" s="9" t="str">
        <x:v>2024-06-30</x:v>
      </x:c>
      <x:c r="AC108" s="8" t="str">
        <x:v>83.97</x:v>
      </x:c>
      <x:c r="AD108" s="9" t="str">
        <x:v>2024 (Susenas)</x:v>
      </x:c>
      <x:c r="AE108" s="8" t="str">
        <x:v>7.1</x:v>
      </x:c>
      <x:c r="AF108" s="9" t="str">
        <x:v>Maret 2024 (Susenas)</x:v>
      </x:c>
      <x:c r="AG108" s="6" t="str">
        <x:v>25.75255601740645</x:v>
      </x:c>
      <x:c r="AH108" s="8" t="str">
        <x:v>87.41458535636617</x:v>
      </x:c>
      <x:c r="AI108" s="6" t="str">
        <x:v>276.1819439220602</x:v>
      </x:c>
      <x:c r="AJ108" s="6" t="str">
        <x:v>0.6125589735090244</x:v>
      </x:c>
      <x:c r="AK108" s="8" t="str">
        <x:v>2.266169799971737</x:v>
      </x:c>
      <x:c r="AL108" s="6" t="str">
        <x:v>4.05875624353491</x:v>
      </x:c>
      <x:c r="AM108" s="6" t="str">
        <x:v>4.186497993138724</x:v>
      </x:c>
      <x:c r="AN108" s="6" t="str">
        <x:v>3.5038080122151243</x:v>
      </x:c>
      <x:c r="AO108" s="6" t="str">
        <x:v>-0.8314051937189078</x:v>
      </x:c>
      <x:c r="AP108" s="8" t="str">
        <x:v>-0.7418526365557776</x:v>
      </x:c>
      <x:c r="AQ108" s="6" t="str">
        <x:v>-0.7005678038406915</x:v>
      </x:c>
      <x:c r="AR108" s="6" t="str">
        <x:v>0.0668040888276991</x:v>
      </x:c>
      <x:c r="AS108" s="6" t="str">
        <x:v>-0.4585387838562567</x:v>
      </x:c>
      <x:c r="AT108" s="6" t="str">
        <x:v>21.54549412653213</x:v>
      </x:c>
      <x:c r="AU108" s="8" t="str">
        <x:v>0.287633702279461</x:v>
      </x:c>
      <x:c r="AV108" s="6" t="str">
        <x:v>0.432557628414691</x:v>
      </x:c>
      <x:c r="AW108" s="6" t="str">
        <x:v>1.0331644541225744</x:v>
      </x:c>
      <x:c r="AX108" s="6" t="str">
        <x:v>0.584451928272242</x:v>
      </x:c>
      <x:c r="AY108" s="6" t="str">
        <x:v>0</x:v>
      </x:c>
      <x:c r="AZ108" s="6" t="str">
        <x:v>1</x:v>
      </x:c>
      <x:c r="BA108" s="9" t="str">
        <x:v>grid_cells_within_BIG_polygon</x:v>
      </x:c>
      <x:c r="BB108" s="6" t="str">
        <x:v>13</x:v>
      </x:c>
      <x:c r="BC108" s="6" t="str">
        <x:v>4</x:v>
      </x:c>
      <x:c r="BD108" s="6" t="str">
        <x:v>4</x:v>
      </x:c>
      <x:c r="BE108" s="6" t="str">
        <x:v>1</x:v>
      </x:c>
      <x:c r="BF108" s="6" t="str">
        <x:v>0</x:v>
      </x:c>
      <x:c r="BG108" s="6" t="str">
        <x:v>0</x:v>
      </x:c>
      <x:c r="BH108" s="6" t="str">
        <x:v>0</x:v>
      </x:c>
      <x:c r="BI108" s="6" t="str">
        <x:v>3</x:v>
      </x:c>
      <x:c r="BJ108" s="6" t="str">
        <x:v>0</x:v>
      </x:c>
      <x:c r="BK108" s="6" t="str">
        <x:v>0</x:v>
      </x:c>
      <x:c r="BL108" s="6" t="str">
        <x:v>0</x:v>
      </x:c>
      <x:c r="BM108" s="6" t="str">
        <x:v>0</x:v>
      </x:c>
      <x:c r="BN108" s="6" t="str">
        <x:v>4</x:v>
      </x:c>
      <x:c r="BO108" s="6" t="str">
        <x:v>0.0</x:v>
      </x:c>
      <x:c r="BP108" s="6" t="str">
        <x:v>4</x:v>
      </x:c>
      <x:c r="BQ108" s="6" t="str">
        <x:v>0.0</x:v>
      </x:c>
      <x:c r="BR108" s="6" t="str">
        <x:v>4</x:v>
      </x:c>
      <x:c r="BS108" s="6" t="str">
        <x:v>0.0</x:v>
      </x:c>
      <x:c r="BT108" s="6" t="str">
        <x:v>4</x:v>
      </x:c>
      <x:c r="BU108" s="6" t="str">
        <x:v>1814.0</x:v>
      </x:c>
      <x:c r="BV108" s="6" t="str">
        <x:v>1</x:v>
      </x:c>
      <x:c r="BW108" s="9" t="str">
        <x:v>operational_snapshot_annual_totals_may_differ</x:v>
      </x:c>
      <x:c r="BX108" s="9" t="str">
        <x:v>official_live_dashboard_snapshot_subject_to_revision</x:v>
      </x:c>
      <x:c r="BY108" s="9" t="str">
        <x:v>https://tbdashboard.sitb.id/ss_data_tbc03so_2024_provinsi_bulanan_list.php</x:v>
      </x:c>
      <x:c r="BZ108" s="6" t="n">
        <x:v>46246.610671296294</x:v>
      </x:c>
    </x:row>
    <x:row r="109" ht="18" customHeight="1">
      <x:c r="A109" s="6" t="str">
        <x:v>15</x:v>
      </x:c>
      <x:c r="B109" s="6" t="str">
        <x:v>JAMBI</x:v>
      </x:c>
      <x:c r="C109" s="6" t="str">
        <x:v>2024</x:v>
      </x:c>
      <x:c r="D109" s="6" t="str">
        <x:v>12</x:v>
      </x:c>
      <x:c r="E109" s="6" t="str">
        <x:v>2024-12</x:v>
      </x:c>
      <x:c r="F109" s="6" t="str">
        <x:v>513</x:v>
      </x:c>
      <x:c r="G109" s="6" t="str">
        <x:v>141</x:v>
      </x:c>
      <x:c r="H109" s="6" t="str">
        <x:v>318</x:v>
      </x:c>
      <x:c r="I109" s="6" t="str">
        <x:v>23</x:v>
      </x:c>
      <x:c r="J109" s="6" t="str">
        <x:v>29</x:v>
      </x:c>
      <x:c r="K109" s="6" t="str">
        <x:v>0</x:v>
      </x:c>
      <x:c r="L109" s="6" t="str">
        <x:v>1</x:v>
      </x:c>
      <x:c r="M109" s="6" t="str">
        <x:v>1</x:v>
      </x:c>
      <x:c r="N109" s="6" t="str">
        <x:v>513</x:v>
      </x:c>
      <x:c r="O109" s="6" t="str">
        <x:v>0</x:v>
      </x:c>
      <x:c r="P109" s="10" t="n">
        <x:f>F109-M109</x:f>
        <x:v>512</x:v>
      </x:c>
      <x:c r="Q109" s="11" t="n">
        <x:f>IFERROR(M109/F109,"")</x:f>
        <x:v>0.001949317738791423</x:v>
      </x:c>
      <x:c r="R109" s="10" t="n">
        <x:f>G109+H109</x:f>
        <x:v>459</x:v>
      </x:c>
      <x:c r="S109" s="11" t="n">
        <x:f>IFERROR(R109/F109,"")</x:f>
        <x:v>0.8947368421052632</x:v>
      </x:c>
      <x:c r="T109" s="11" t="n">
        <x:f>IFERROR(R109/P109,"")</x:f>
        <x:v>0.896484375</x:v>
      </x:c>
      <x:c r="U109" s="10" t="n">
        <x:f>I109+J109+K109</x:f>
        <x:v>52</x:v>
      </x:c>
      <x:c r="V109" s="11" t="n">
        <x:f>IFERROR(U109/P109,"")</x:f>
        <x:v>0.1015625</x:v>
      </x:c>
      <x:c r="W109" s="9" t="str">
        <x:v>mature_le_5pct_pending</x:v>
      </x:c>
      <x:c r="X109" s="12" t="n">
        <x:f>IFERROR(F109/Z109*100000,"")</x:f>
        <x:v>13.774400558494213</x:v>
      </x:c>
      <x:c r="Y109" s="13" t="n">
        <x:f>LN(Z109)</x:f>
        <x:v>15.130389472673635</x:v>
      </x:c>
      <x:c r="Z109" s="6" t="str">
        <x:v>3724300</x:v>
      </x:c>
      <x:c r="AA109" s="6" t="str">
        <x:v>76.0</x:v>
      </x:c>
      <x:c r="AB109" s="9" t="str">
        <x:v>2024-06-30</x:v>
      </x:c>
      <x:c r="AC109" s="8" t="str">
        <x:v>83.97</x:v>
      </x:c>
      <x:c r="AD109" s="9" t="str">
        <x:v>2024 (Susenas)</x:v>
      </x:c>
      <x:c r="AE109" s="8" t="str">
        <x:v>7.1</x:v>
      </x:c>
      <x:c r="AF109" s="9" t="str">
        <x:v>Maret 2024 (Susenas)</x:v>
      </x:c>
      <x:c r="AG109" s="6" t="str">
        <x:v>25.443327206609563</x:v>
      </x:c>
      <x:c r="AH109" s="8" t="str">
        <x:v>87.35628720904758</x:v>
      </x:c>
      <x:c r="AI109" s="6" t="str">
        <x:v>172.00195648004708</x:v>
      </x:c>
      <x:c r="AJ109" s="6" t="str">
        <x:v>0.6484869711262427</x:v>
      </x:c>
      <x:c r="AK109" s="8" t="str">
        <x:v>2.266059556426774</x:v>
      </x:c>
      <x:c r="AL109" s="6" t="str">
        <x:v>2.266169799971737</x:v>
      </x:c>
      <x:c r="AM109" s="6" t="str">
        <x:v>4.05875624353491</x:v>
      </x:c>
      <x:c r="AN109" s="6" t="str">
        <x:v>2.863661866644474</x:v>
      </x:c>
      <x:c r="AO109" s="6" t="str">
        <x:v>-1.9925885570349635</x:v>
      </x:c>
      <x:c r="AP109" s="8" t="str">
        <x:v>-1.825789356473</x:v>
      </x:c>
      <x:c r="AQ109" s="6" t="str">
        <x:v>-0.7418526365557776</x:v>
      </x:c>
      <x:c r="AR109" s="6" t="str">
        <x:v>-0.7005678038406915</x:v>
      </x:c>
      <x:c r="AS109" s="6" t="str">
        <x:v>-1.0894032656231565</x:v>
      </x:c>
      <x:c r="AT109" s="6" t="str">
        <x:v>-55.58941823198848</x:v>
      </x:c>
      <x:c r="AU109" s="8" t="str">
        <x:v>-1.0456155948841668</x:v>
      </x:c>
      <x:c r="AV109" s="6" t="str">
        <x:v>0.287633702279461</x:v>
      </x:c>
      <x:c r="AW109" s="6" t="str">
        <x:v>0.432557628414691</x:v>
      </x:c>
      <x:c r="AX109" s="6" t="str">
        <x:v>-0.108474754730005</x:v>
      </x:c>
      <x:c r="AY109" s="6" t="str">
        <x:v>0</x:v>
      </x:c>
      <x:c r="AZ109" s="6" t="str">
        <x:v>1</x:v>
      </x:c>
      <x:c r="BA109" s="9" t="str">
        <x:v>grid_cells_within_BIG_polygon</x:v>
      </x:c>
      <x:c r="BB109" s="6" t="str">
        <x:v>13</x:v>
      </x:c>
      <x:c r="BC109" s="6" t="str">
        <x:v>2</x:v>
      </x:c>
      <x:c r="BD109" s="6" t="str">
        <x:v>2</x:v>
      </x:c>
      <x:c r="BE109" s="6" t="str">
        <x:v>0</x:v>
      </x:c>
      <x:c r="BF109" s="6" t="str">
        <x:v>0</x:v>
      </x:c>
      <x:c r="BG109" s="6" t="str">
        <x:v>1</x:v>
      </x:c>
      <x:c r="BH109" s="6" t="str">
        <x:v>0</x:v>
      </x:c>
      <x:c r="BI109" s="6" t="str">
        <x:v>1</x:v>
      </x:c>
      <x:c r="BJ109" s="6" t="str">
        <x:v>0</x:v>
      </x:c>
      <x:c r="BK109" s="6" t="str">
        <x:v>0</x:v>
      </x:c>
      <x:c r="BL109" s="6" t="str">
        <x:v>0</x:v>
      </x:c>
      <x:c r="BM109" s="6" t="str">
        <x:v>0</x:v>
      </x:c>
      <x:c r="BN109" s="6" t="str">
        <x:v>2</x:v>
      </x:c>
      <x:c r="BO109" s="6" t="str">
        <x:v>0.0</x:v>
      </x:c>
      <x:c r="BP109" s="6" t="str">
        <x:v>2</x:v>
      </x:c>
      <x:c r="BQ109" s="6" t="str">
        <x:v>0.0</x:v>
      </x:c>
      <x:c r="BR109" s="6" t="str">
        <x:v>2</x:v>
      </x:c>
      <x:c r="BS109" s="6" t="str">
        <x:v>26.0</x:v>
      </x:c>
      <x:c r="BT109" s="6" t="str">
        <x:v>2</x:v>
      </x:c>
      <x:c r="BU109" s="6" t="str"/>
      <x:c r="BV109" s="6" t="str">
        <x:v>0</x:v>
      </x:c>
      <x:c r="BW109" s="9" t="str">
        <x:v>operational_snapshot_annual_totals_may_differ</x:v>
      </x:c>
      <x:c r="BX109" s="9" t="str">
        <x:v>official_live_dashboard_snapshot_subject_to_revision</x:v>
      </x:c>
      <x:c r="BY109" s="9" t="str">
        <x:v>https://tbdashboard.sitb.id/ss_data_tbc03so_2024_provinsi_bulanan_list.php</x:v>
      </x:c>
      <x:c r="BZ109" s="6" t="n">
        <x:v>46246.610671296294</x:v>
      </x:c>
    </x:row>
    <x:row r="110" ht="18" customHeight="1">
      <x:c r="A110" s="6" t="str">
        <x:v>15</x:v>
      </x:c>
      <x:c r="B110" s="6" t="str">
        <x:v>JAMBI</x:v>
      </x:c>
      <x:c r="C110" s="6" t="str">
        <x:v>2025</x:v>
      </x:c>
      <x:c r="D110" s="6" t="str">
        <x:v>1</x:v>
      </x:c>
      <x:c r="E110" s="6" t="str">
        <x:v>2025-01</x:v>
      </x:c>
      <x:c r="F110" s="6" t="str">
        <x:v>616</x:v>
      </x:c>
      <x:c r="G110" s="6" t="str">
        <x:v>187</x:v>
      </x:c>
      <x:c r="H110" s="6" t="str">
        <x:v>354</x:v>
      </x:c>
      <x:c r="I110" s="6" t="str">
        <x:v>32</x:v>
      </x:c>
      <x:c r="J110" s="6" t="str">
        <x:v>22</x:v>
      </x:c>
      <x:c r="K110" s="6" t="str">
        <x:v>0</x:v>
      </x:c>
      <x:c r="L110" s="6" t="str">
        <x:v>0</x:v>
      </x:c>
      <x:c r="M110" s="6" t="str">
        <x:v>21</x:v>
      </x:c>
      <x:c r="N110" s="6" t="str">
        <x:v>616</x:v>
      </x:c>
      <x:c r="O110" s="6" t="str">
        <x:v>0</x:v>
      </x:c>
      <x:c r="P110" s="10" t="n">
        <x:f>F110-M110</x:f>
        <x:v>595</x:v>
      </x:c>
      <x:c r="Q110" s="11" t="n">
        <x:f>IFERROR(M110/F110,"")</x:f>
        <x:v>0.03409090909090909</x:v>
      </x:c>
      <x:c r="R110" s="10" t="n">
        <x:f>G110+H110</x:f>
        <x:v>541</x:v>
      </x:c>
      <x:c r="S110" s="11" t="n">
        <x:f>IFERROR(R110/F110,"")</x:f>
        <x:v>0.8782467532467533</x:v>
      </x:c>
      <x:c r="T110" s="11" t="n">
        <x:f>IFERROR(R110/P110,"")</x:f>
        <x:v>0.9092436974789916</x:v>
      </x:c>
      <x:c r="U110" s="10" t="n">
        <x:f>I110+J110+K110</x:f>
        <x:v>54</x:v>
      </x:c>
      <x:c r="V110" s="11" t="n">
        <x:f>IFERROR(U110/P110,"")</x:f>
        <x:v>0.0907563025210084</x:v>
      </x:c>
      <x:c r="W110" s="9" t="str">
        <x:v>mature_le_5pct_pending</x:v>
      </x:c>
      <x:c r="X110" s="12" t="n">
        <x:f>IFERROR(F110/Z110*100000,"")</x:f>
        <x:v>16.346026270399364</x:v>
      </x:c>
      <x:c r="Y110" s="13" t="n">
        <x:f>LN(Z110)</x:f>
        <x:v>15.142187602265661</x:v>
      </x:c>
      <x:c r="Z110" s="6" t="str">
        <x:v>3768500</x:v>
      </x:c>
      <x:c r="AA110" s="6" t="str">
        <x:v>77.0</x:v>
      </x:c>
      <x:c r="AB110" s="9" t="str">
        <x:v>2025-06-30</x:v>
      </x:c>
      <x:c r="AC110" s="8" t="str">
        <x:v>85.88</x:v>
      </x:c>
      <x:c r="AD110" s="9" t="str">
        <x:v>2025 (Susenas)</x:v>
      </x:c>
      <x:c r="AE110" s="8" t="str">
        <x:v>7.19</x:v>
      </x:c>
      <x:c r="AF110" s="9" t="str">
        <x:v>Maret 2025 (Susenas)</x:v>
      </x:c>
      <x:c r="AG110" s="6" t="str">
        <x:v>24.76480659243081</x:v>
      </x:c>
      <x:c r="AH110" s="8" t="str">
        <x:v>90.81172731352444</x:v>
      </x:c>
      <x:c r="AI110" s="6" t="str">
        <x:v>312.94346397981656</x:v>
      </x:c>
      <x:c r="AJ110" s="6" t="str">
        <x:v>0.0712054925841023</x:v>
      </x:c>
      <x:c r="AK110" s="8" t="str">
        <x:v>0.1716050046471697</x:v>
      </x:c>
      <x:c r="AL110" s="6" t="str">
        <x:v>2.266059556426774</x:v>
      </x:c>
      <x:c r="AM110" s="6" t="str">
        <x:v>2.266169799971737</x:v>
      </x:c>
      <x:c r="AN110" s="6" t="str">
        <x:v>1.567944787015227</x:v>
      </x:c>
      <x:c r="AO110" s="6" t="str">
        <x:v>1.6575554418734697</x:v>
      </x:c>
      <x:c r="AP110" s="8" t="str">
        <x:v>1.481326738606396</x:v>
      </x:c>
      <x:c r="AQ110" s="6" t="str">
        <x:v>-1.825789356473</x:v>
      </x:c>
      <x:c r="AR110" s="6" t="str">
        <x:v>-0.7418526365557776</x:v>
      </x:c>
      <x:c r="AS110" s="6" t="str">
        <x:v>-0.3621050848074607</x:v>
      </x:c>
      <x:c r="AT110" s="6" t="str">
        <x:v>139.748416679711</x:v>
      </x:c>
      <x:c r="AU110" s="8" t="str">
        <x:v>2.7347760266368466</x:v>
      </x:c>
      <x:c r="AV110" s="6" t="str">
        <x:v>-1.0456155948841668</x:v>
      </x:c>
      <x:c r="AW110" s="6" t="str">
        <x:v>0.287633702279461</x:v>
      </x:c>
      <x:c r="AX110" s="6" t="str">
        <x:v>0.6589313780107134</x:v>
      </x:c>
      <x:c r="AY110" s="6" t="str">
        <x:v>1</x:v>
      </x:c>
      <x:c r="AZ110" s="6" t="str">
        <x:v>0</x:v>
      </x:c>
      <x:c r="BA110" s="9" t="str">
        <x:v>grid_cells_within_BIG_polygon</x:v>
      </x:c>
      <x:c r="BB110" s="6" t="str">
        <x:v>13</x:v>
      </x:c>
      <x:c r="BC110" s="6" t="str">
        <x:v>12</x:v>
      </x:c>
      <x:c r="BD110" s="6" t="str">
        <x:v>12</x:v>
      </x:c>
      <x:c r="BE110" s="6" t="str">
        <x:v>8</x:v>
      </x:c>
      <x:c r="BF110" s="6" t="str">
        <x:v>0</x:v>
      </x:c>
      <x:c r="BG110" s="6" t="str">
        <x:v>1</x:v>
      </x:c>
      <x:c r="BH110" s="6" t="str">
        <x:v>0</x:v>
      </x:c>
      <x:c r="BI110" s="6" t="str">
        <x:v>3</x:v>
      </x:c>
      <x:c r="BJ110" s="6" t="str">
        <x:v>0</x:v>
      </x:c>
      <x:c r="BK110" s="6" t="str">
        <x:v>0</x:v>
      </x:c>
      <x:c r="BL110" s="6" t="str">
        <x:v>0</x:v>
      </x:c>
      <x:c r="BM110" s="6" t="str">
        <x:v>0</x:v>
      </x:c>
      <x:c r="BN110" s="6" t="str">
        <x:v>12</x:v>
      </x:c>
      <x:c r="BO110" s="6" t="str">
        <x:v>0.0</x:v>
      </x:c>
      <x:c r="BP110" s="6" t="str">
        <x:v>12</x:v>
      </x:c>
      <x:c r="BQ110" s="6" t="str">
        <x:v>0.0</x:v>
      </x:c>
      <x:c r="BR110" s="6" t="str">
        <x:v>12</x:v>
      </x:c>
      <x:c r="BS110" s="6" t="str">
        <x:v>174.0</x:v>
      </x:c>
      <x:c r="BT110" s="6" t="str">
        <x:v>12</x:v>
      </x:c>
      <x:c r="BU110" s="6" t="str">
        <x:v>194.0</x:v>
      </x:c>
      <x:c r="BV110" s="6" t="str">
        <x:v>3</x:v>
      </x:c>
      <x:c r="BW110" s="9" t="str">
        <x:v>operational_snapshot_annual_totals_may_differ</x:v>
      </x:c>
      <x:c r="BX110" s="9" t="str">
        <x:v>official_live_dashboard_snapshot_subject_to_revision</x:v>
      </x:c>
      <x:c r="BY110" s="9" t="str">
        <x:v>https://tbdashboard.sitb.id/ss_data_tbc03so_2025_provinsi_bulanan_list.php</x:v>
      </x:c>
      <x:c r="BZ110" s="6" t="n">
        <x:v>46246.610671296294</x:v>
      </x:c>
    </x:row>
    <x:row r="111" ht="18" customHeight="1">
      <x:c r="A111" s="6" t="str">
        <x:v>15</x:v>
      </x:c>
      <x:c r="B111" s="6" t="str">
        <x:v>JAMBI</x:v>
      </x:c>
      <x:c r="C111" s="6" t="str">
        <x:v>2025</x:v>
      </x:c>
      <x:c r="D111" s="6" t="str">
        <x:v>2</x:v>
      </x:c>
      <x:c r="E111" s="6" t="str">
        <x:v>2025-02</x:v>
      </x:c>
      <x:c r="F111" s="6" t="str">
        <x:v>617</x:v>
      </x:c>
      <x:c r="G111" s="6" t="str">
        <x:v>199</x:v>
      </x:c>
      <x:c r="H111" s="6" t="str">
        <x:v>323</x:v>
      </x:c>
      <x:c r="I111" s="6" t="str">
        <x:v>39</x:v>
      </x:c>
      <x:c r="J111" s="6" t="str">
        <x:v>37</x:v>
      </x:c>
      <x:c r="K111" s="6" t="str">
        <x:v>1</x:v>
      </x:c>
      <x:c r="L111" s="6" t="str">
        <x:v>1</x:v>
      </x:c>
      <x:c r="M111" s="6" t="str">
        <x:v>17</x:v>
      </x:c>
      <x:c r="N111" s="6" t="str">
        <x:v>617</x:v>
      </x:c>
      <x:c r="O111" s="6" t="str">
        <x:v>0</x:v>
      </x:c>
      <x:c r="P111" s="10" t="n">
        <x:f>F111-M111</x:f>
        <x:v>600</x:v>
      </x:c>
      <x:c r="Q111" s="11" t="n">
        <x:f>IFERROR(M111/F111,"")</x:f>
        <x:v>0.027552674230145867</x:v>
      </x:c>
      <x:c r="R111" s="10" t="n">
        <x:f>G111+H111</x:f>
        <x:v>522</x:v>
      </x:c>
      <x:c r="S111" s="11" t="n">
        <x:f>IFERROR(R111/F111,"")</x:f>
        <x:v>0.8460291734197731</x:v>
      </x:c>
      <x:c r="T111" s="11" t="n">
        <x:f>IFERROR(R111/P111,"")</x:f>
        <x:v>0.87</x:v>
      </x:c>
      <x:c r="U111" s="10" t="n">
        <x:f>I111+J111+K111</x:f>
        <x:v>77</x:v>
      </x:c>
      <x:c r="V111" s="11" t="n">
        <x:f>IFERROR(U111/P111,"")</x:f>
        <x:v>0.12833333333333333</x:v>
      </x:c>
      <x:c r="W111" s="9" t="str">
        <x:v>mature_le_5pct_pending</x:v>
      </x:c>
      <x:c r="X111" s="12" t="n">
        <x:f>IFERROR(F111/Z111*100000,"")</x:f>
        <x:v>16.372562027331828</x:v>
      </x:c>
      <x:c r="Y111" s="13" t="n">
        <x:f>LN(Z111)</x:f>
        <x:v>15.142187602265661</x:v>
      </x:c>
      <x:c r="Z111" s="6" t="str">
        <x:v>3768500</x:v>
      </x:c>
      <x:c r="AA111" s="6" t="str">
        <x:v>77.0</x:v>
      </x:c>
      <x:c r="AB111" s="9" t="str">
        <x:v>2025-06-30</x:v>
      </x:c>
      <x:c r="AC111" s="8" t="str">
        <x:v>85.88</x:v>
      </x:c>
      <x:c r="AD111" s="9" t="str">
        <x:v>2025 (Susenas)</x:v>
      </x:c>
      <x:c r="AE111" s="8" t="str">
        <x:v>7.19</x:v>
      </x:c>
      <x:c r="AF111" s="9" t="str">
        <x:v>Maret 2025 (Susenas)</x:v>
      </x:c>
      <x:c r="AG111" s="6" t="str">
        <x:v>25.17329128637116</x:v>
      </x:c>
      <x:c r="AH111" s="8" t="str">
        <x:v>88.77239141464742</x:v>
      </x:c>
      <x:c r="AI111" s="6" t="str">
        <x:v>202.3134773116009</x:v>
      </x:c>
      <x:c r="AJ111" s="6" t="str">
        <x:v>0.2684789643122727</x:v>
      </x:c>
      <x:c r="AK111" s="8" t="str">
        <x:v>0.653115806832824</x:v>
      </x:c>
      <x:c r="AL111" s="6" t="str">
        <x:v>0.1716050046471697</x:v>
      </x:c>
      <x:c r="AM111" s="6" t="str">
        <x:v>2.266059556426774</x:v>
      </x:c>
      <x:c r="AN111" s="6" t="str">
        <x:v>1.0302601226355896</x:v>
      </x:c>
      <x:c r="AO111" s="6" t="str">
        <x:v>0.2689201027040866</x:v>
      </x:c>
      <x:c r="AP111" s="8" t="str">
        <x:v>0.2640564004848402</x:v>
      </x:c>
      <x:c r="AQ111" s="6" t="str">
        <x:v>1.481326738606396</x:v>
      </x:c>
      <x:c r="AR111" s="6" t="str">
        <x:v>-1.825789356473</x:v>
      </x:c>
      <x:c r="AS111" s="6" t="str">
        <x:v>-0.026802072460588</x:v>
      </x:c>
      <x:c r="AT111" s="6" t="str">
        <x:v>36.5901584009313</x:v>
      </x:c>
      <x:c r="AU111" s="8" t="str">
        <x:v>0.5805513712378385</x:v>
      </x:c>
      <x:c r="AV111" s="6" t="str">
        <x:v>2.7347760266368466</x:v>
      </x:c>
      <x:c r="AW111" s="6" t="str">
        <x:v>-1.0456155948841668</x:v>
      </x:c>
      <x:c r="AX111" s="6" t="str">
        <x:v>0.7565706009968394</x:v>
      </x:c>
      <x:c r="AY111" s="6" t="str">
        <x:v>0</x:v>
      </x:c>
      <x:c r="AZ111" s="6" t="str">
        <x:v>0</x:v>
      </x:c>
      <x:c r="BA111" s="9" t="str">
        <x:v>grid_cells_within_BIG_polygon</x:v>
      </x:c>
      <x:c r="BB111" s="6" t="str">
        <x:v>13</x:v>
      </x:c>
      <x:c r="BC111" s="6" t="str">
        <x:v>6</x:v>
      </x:c>
      <x:c r="BD111" s="6" t="str">
        <x:v>6</x:v>
      </x:c>
      <x:c r="BE111" s="6" t="str">
        <x:v>5</x:v>
      </x:c>
      <x:c r="BF111" s="6" t="str">
        <x:v>0</x:v>
      </x:c>
      <x:c r="BG111" s="6" t="str">
        <x:v>0</x:v>
      </x:c>
      <x:c r="BH111" s="6" t="str">
        <x:v>0</x:v>
      </x:c>
      <x:c r="BI111" s="6" t="str">
        <x:v>1</x:v>
      </x:c>
      <x:c r="BJ111" s="6" t="str">
        <x:v>0</x:v>
      </x:c>
      <x:c r="BK111" s="6" t="str">
        <x:v>0</x:v>
      </x:c>
      <x:c r="BL111" s="6" t="str">
        <x:v>0</x:v>
      </x:c>
      <x:c r="BM111" s="6" t="str">
        <x:v>0</x:v>
      </x:c>
      <x:c r="BN111" s="6" t="str">
        <x:v>6</x:v>
      </x:c>
      <x:c r="BO111" s="6" t="str">
        <x:v>0.0</x:v>
      </x:c>
      <x:c r="BP111" s="6" t="str">
        <x:v>6</x:v>
      </x:c>
      <x:c r="BQ111" s="6" t="str">
        <x:v>0.0</x:v>
      </x:c>
      <x:c r="BR111" s="6" t="str">
        <x:v>6</x:v>
      </x:c>
      <x:c r="BS111" s="6" t="str">
        <x:v>0.0</x:v>
      </x:c>
      <x:c r="BT111" s="6" t="str">
        <x:v>6</x:v>
      </x:c>
      <x:c r="BU111" s="6" t="str">
        <x:v>5744.0</x:v>
      </x:c>
      <x:c r="BV111" s="6" t="str">
        <x:v>5</x:v>
      </x:c>
      <x:c r="BW111" s="9" t="str">
        <x:v>operational_snapshot_annual_totals_may_differ</x:v>
      </x:c>
      <x:c r="BX111" s="9" t="str">
        <x:v>official_live_dashboard_snapshot_subject_to_revision</x:v>
      </x:c>
      <x:c r="BY111" s="9" t="str">
        <x:v>https://tbdashboard.sitb.id/ss_data_tbc03so_2025_provinsi_bulanan_list.php</x:v>
      </x:c>
      <x:c r="BZ111" s="6" t="n">
        <x:v>46246.610671296294</x:v>
      </x:c>
    </x:row>
    <x:row r="112" ht="18" customHeight="1">
      <x:c r="A112" s="6" t="str">
        <x:v>15</x:v>
      </x:c>
      <x:c r="B112" s="6" t="str">
        <x:v>JAMBI</x:v>
      </x:c>
      <x:c r="C112" s="6" t="str">
        <x:v>2025</x:v>
      </x:c>
      <x:c r="D112" s="6" t="str">
        <x:v>3</x:v>
      </x:c>
      <x:c r="E112" s="6" t="str">
        <x:v>2025-03</x:v>
      </x:c>
      <x:c r="F112" s="6" t="str">
        <x:v>565</x:v>
      </x:c>
      <x:c r="G112" s="6" t="str">
        <x:v>162</x:v>
      </x:c>
      <x:c r="H112" s="6" t="str">
        <x:v>308</x:v>
      </x:c>
      <x:c r="I112" s="6" t="str">
        <x:v>36</x:v>
      </x:c>
      <x:c r="J112" s="6" t="str">
        <x:v>36</x:v>
      </x:c>
      <x:c r="K112" s="6" t="str">
        <x:v>0</x:v>
      </x:c>
      <x:c r="L112" s="6" t="str">
        <x:v>2</x:v>
      </x:c>
      <x:c r="M112" s="6" t="str">
        <x:v>21</x:v>
      </x:c>
      <x:c r="N112" s="6" t="str">
        <x:v>565</x:v>
      </x:c>
      <x:c r="O112" s="6" t="str">
        <x:v>0</x:v>
      </x:c>
      <x:c r="P112" s="10" t="n">
        <x:f>F112-M112</x:f>
        <x:v>544</x:v>
      </x:c>
      <x:c r="Q112" s="11" t="n">
        <x:f>IFERROR(M112/F112,"")</x:f>
        <x:v>0.03716814159292035</x:v>
      </x:c>
      <x:c r="R112" s="10" t="n">
        <x:f>G112+H112</x:f>
        <x:v>470</x:v>
      </x:c>
      <x:c r="S112" s="11" t="n">
        <x:f>IFERROR(R112/F112,"")</x:f>
        <x:v>0.831858407079646</x:v>
      </x:c>
      <x:c r="T112" s="11" t="n">
        <x:f>IFERROR(R112/P112,"")</x:f>
        <x:v>0.8639705882352942</x:v>
      </x:c>
      <x:c r="U112" s="10" t="n">
        <x:f>I112+J112+K112</x:f>
        <x:v>72</x:v>
      </x:c>
      <x:c r="V112" s="11" t="n">
        <x:f>IFERROR(U112/P112,"")</x:f>
        <x:v>0.1323529411764706</x:v>
      </x:c>
      <x:c r="W112" s="9" t="str">
        <x:v>mature_le_5pct_pending</x:v>
      </x:c>
      <x:c r="X112" s="12" t="n">
        <x:f>IFERROR(F112/Z112*100000,"")</x:f>
        <x:v>14.992702666843572</x:v>
      </x:c>
      <x:c r="Y112" s="13" t="n">
        <x:f>LN(Z112)</x:f>
        <x:v>15.142187602265661</x:v>
      </x:c>
      <x:c r="Z112" s="6" t="str">
        <x:v>3768500</x:v>
      </x:c>
      <x:c r="AA112" s="6" t="str">
        <x:v>77.0</x:v>
      </x:c>
      <x:c r="AB112" s="9" t="str">
        <x:v>2025-06-30</x:v>
      </x:c>
      <x:c r="AC112" s="8" t="str">
        <x:v>85.88</x:v>
      </x:c>
      <x:c r="AD112" s="9" t="str">
        <x:v>2025 (Susenas)</x:v>
      </x:c>
      <x:c r="AE112" s="8" t="str">
        <x:v>7.19</x:v>
      </x:c>
      <x:c r="AF112" s="9" t="str">
        <x:v>Maret 2025 (Susenas)</x:v>
      </x:c>
      <x:c r="AG112" s="6" t="str">
        <x:v>25.441766926633587</x:v>
      </x:c>
      <x:c r="AH112" s="8" t="str">
        <x:v>89.39472607945271</x:v>
      </x:c>
      <x:c r="AI112" s="6" t="str">
        <x:v>359.93762072825336</x:v>
      </x:c>
      <x:c r="AJ112" s="6" t="str">
        <x:v>0.1944858114509173</x:v>
      </x:c>
      <x:c r="AK112" s="8" t="str">
        <x:v>0.5329725863971683</x:v>
      </x:c>
      <x:c r="AL112" s="6" t="str">
        <x:v>0.653115806832824</x:v>
      </x:c>
      <x:c r="AM112" s="6" t="str">
        <x:v>0.1716050046471697</x:v>
      </x:c>
      <x:c r="AN112" s="6" t="str">
        <x:v>0.4525644659590543</x:v>
      </x:c>
      <x:c r="AO112" s="6" t="str">
        <x:v>1.2242582520007232</x:v>
      </x:c>
      <x:c r="AP112" s="8" t="str">
        <x:v>1.1997854168330118</x:v>
      </x:c>
      <x:c r="AQ112" s="6" t="str">
        <x:v>0.2640564004848402</x:v>
      </x:c>
      <x:c r="AR112" s="6" t="str">
        <x:v>1.481326738606396</x:v>
      </x:c>
      <x:c r="AS112" s="6" t="str">
        <x:v>0.9817228519747492</x:v>
      </x:c>
      <x:c r="AT112" s="6" t="str">
        <x:v>144.188548828811</x:v>
      </x:c>
      <x:c r="AU112" s="8" t="str">
        <x:v>1.6220616759191149</x:v>
      </x:c>
      <x:c r="AV112" s="6" t="str">
        <x:v>0.5805513712378385</x:v>
      </x:c>
      <x:c r="AW112" s="6" t="str">
        <x:v>2.7347760266368466</x:v>
      </x:c>
      <x:c r="AX112" s="6" t="str">
        <x:v>1.6457963579312664</x:v>
      </x:c>
      <x:c r="AY112" s="6" t="str">
        <x:v>1</x:v>
      </x:c>
      <x:c r="AZ112" s="6" t="str">
        <x:v>0</x:v>
      </x:c>
      <x:c r="BA112" s="9" t="str">
        <x:v>grid_cells_within_BIG_polygon</x:v>
      </x:c>
      <x:c r="BB112" s="6" t="str">
        <x:v>13</x:v>
      </x:c>
      <x:c r="BC112" s="6" t="str">
        <x:v>10</x:v>
      </x:c>
      <x:c r="BD112" s="6" t="str">
        <x:v>10</x:v>
      </x:c>
      <x:c r="BE112" s="6" t="str">
        <x:v>10</x:v>
      </x:c>
      <x:c r="BF112" s="6" t="str">
        <x:v>0</x:v>
      </x:c>
      <x:c r="BG112" s="6" t="str">
        <x:v>0</x:v>
      </x:c>
      <x:c r="BH112" s="6" t="str">
        <x:v>0</x:v>
      </x:c>
      <x:c r="BI112" s="6" t="str">
        <x:v>0</x:v>
      </x:c>
      <x:c r="BJ112" s="6" t="str">
        <x:v>0</x:v>
      </x:c>
      <x:c r="BK112" s="6" t="str">
        <x:v>0</x:v>
      </x:c>
      <x:c r="BL112" s="6" t="str">
        <x:v>0</x:v>
      </x:c>
      <x:c r="BM112" s="6" t="str">
        <x:v>0</x:v>
      </x:c>
      <x:c r="BN112" s="6" t="str">
        <x:v>10</x:v>
      </x:c>
      <x:c r="BO112" s="6" t="str">
        <x:v>0.0</x:v>
      </x:c>
      <x:c r="BP112" s="6" t="str">
        <x:v>10</x:v>
      </x:c>
      <x:c r="BQ112" s="6" t="str">
        <x:v>0.0</x:v>
      </x:c>
      <x:c r="BR112" s="6" t="str">
        <x:v>10</x:v>
      </x:c>
      <x:c r="BS112" s="6" t="str">
        <x:v>128.0</x:v>
      </x:c>
      <x:c r="BT112" s="6" t="str">
        <x:v>10</x:v>
      </x:c>
      <x:c r="BU112" s="6" t="str">
        <x:v>11268.0</x:v>
      </x:c>
      <x:c r="BV112" s="6" t="str">
        <x:v>5</x:v>
      </x:c>
      <x:c r="BW112" s="9" t="str">
        <x:v>operational_snapshot_annual_totals_may_differ</x:v>
      </x:c>
      <x:c r="BX112" s="9" t="str">
        <x:v>official_live_dashboard_snapshot_subject_to_revision</x:v>
      </x:c>
      <x:c r="BY112" s="9" t="str">
        <x:v>https://tbdashboard.sitb.id/ss_data_tbc03so_2025_provinsi_bulanan_list.php</x:v>
      </x:c>
      <x:c r="BZ112" s="6" t="n">
        <x:v>46246.610671296294</x:v>
      </x:c>
    </x:row>
    <x:row r="113" ht="18" customHeight="1">
      <x:c r="A113" s="6" t="str">
        <x:v>15</x:v>
      </x:c>
      <x:c r="B113" s="6" t="str">
        <x:v>JAMBI</x:v>
      </x:c>
      <x:c r="C113" s="6" t="str">
        <x:v>2025</x:v>
      </x:c>
      <x:c r="D113" s="6" t="str">
        <x:v>4</x:v>
      </x:c>
      <x:c r="E113" s="6" t="str">
        <x:v>2025-04</x:v>
      </x:c>
      <x:c r="F113" s="6" t="str">
        <x:v>498</x:v>
      </x:c>
      <x:c r="G113" s="6" t="str">
        <x:v>124</x:v>
      </x:c>
      <x:c r="H113" s="6" t="str">
        <x:v>283</x:v>
      </x:c>
      <x:c r="I113" s="6" t="str">
        <x:v>32</x:v>
      </x:c>
      <x:c r="J113" s="6" t="str">
        <x:v>39</x:v>
      </x:c>
      <x:c r="K113" s="6" t="str">
        <x:v>0</x:v>
      </x:c>
      <x:c r="L113" s="6" t="str">
        <x:v>1</x:v>
      </x:c>
      <x:c r="M113" s="6" t="str">
        <x:v>19</x:v>
      </x:c>
      <x:c r="N113" s="6" t="str">
        <x:v>498</x:v>
      </x:c>
      <x:c r="O113" s="6" t="str">
        <x:v>0</x:v>
      </x:c>
      <x:c r="P113" s="10" t="n">
        <x:f>F113-M113</x:f>
        <x:v>479</x:v>
      </x:c>
      <x:c r="Q113" s="11" t="n">
        <x:f>IFERROR(M113/F113,"")</x:f>
        <x:v>0.03815261044176707</x:v>
      </x:c>
      <x:c r="R113" s="10" t="n">
        <x:f>G113+H113</x:f>
        <x:v>407</x:v>
      </x:c>
      <x:c r="S113" s="11" t="n">
        <x:f>IFERROR(R113/F113,"")</x:f>
        <x:v>0.8172690763052208</x:v>
      </x:c>
      <x:c r="T113" s="11" t="n">
        <x:f>IFERROR(R113/P113,"")</x:f>
        <x:v>0.8496868475991649</x:v>
      </x:c>
      <x:c r="U113" s="10" t="n">
        <x:f>I113+J113+K113</x:f>
        <x:v>71</x:v>
      </x:c>
      <x:c r="V113" s="11" t="n">
        <x:f>IFERROR(U113/P113,"")</x:f>
        <x:v>0.14822546972860126</x:v>
      </x:c>
      <x:c r="W113" s="9" t="str">
        <x:v>mature_le_5pct_pending</x:v>
      </x:c>
      <x:c r="X113" s="12" t="n">
        <x:f>IFERROR(F113/Z113*100000,"")</x:f>
        <x:v>13.214806952368315</x:v>
      </x:c>
      <x:c r="Y113" s="13" t="n">
        <x:f>LN(Z113)</x:f>
        <x:v>15.142187602265661</x:v>
      </x:c>
      <x:c r="Z113" s="6" t="str">
        <x:v>3768500</x:v>
      </x:c>
      <x:c r="AA113" s="6" t="str">
        <x:v>77.0</x:v>
      </x:c>
      <x:c r="AB113" s="9" t="str">
        <x:v>2025-06-30</x:v>
      </x:c>
      <x:c r="AC113" s="8" t="str">
        <x:v>85.88</x:v>
      </x:c>
      <x:c r="AD113" s="9" t="str">
        <x:v>2025 (Susenas)</x:v>
      </x:c>
      <x:c r="AE113" s="8" t="str">
        <x:v>7.19</x:v>
      </x:c>
      <x:c r="AF113" s="9" t="str">
        <x:v>Maret 2025 (Susenas)</x:v>
      </x:c>
      <x:c r="AG113" s="6" t="str">
        <x:v>25.751784593865047</x:v>
      </x:c>
      <x:c r="AH113" s="8" t="str">
        <x:v>87.61227278390197</x:v>
      </x:c>
      <x:c r="AI113" s="6" t="str">
        <x:v>237.32595541031952</x:v>
      </x:c>
      <x:c r="AJ113" s="6" t="str">
        <x:v>0.2014179743235047</x:v>
      </x:c>
      <x:c r="AK113" s="8" t="str">
        <x:v>0.5876993992115358</x:v>
      </x:c>
      <x:c r="AL113" s="6" t="str">
        <x:v>0.5329725863971683</x:v>
      </x:c>
      <x:c r="AM113" s="6" t="str">
        <x:v>0.653115806832824</x:v>
      </x:c>
      <x:c r="AN113" s="6" t="str">
        <x:v>0.5912625974805096</x:v>
      </x:c>
      <x:c r="AO113" s="6" t="str">
        <x:v>-1.0497947901134523</x:v>
      </x:c>
      <x:c r="AP113" s="8" t="str">
        <x:v>-1.4094862385111946</x:v>
      </x:c>
      <x:c r="AQ113" s="6" t="str">
        <x:v>1.1997854168330118</x:v>
      </x:c>
      <x:c r="AR113" s="6" t="str">
        <x:v>0.2640564004848402</x:v>
      </x:c>
      <x:c r="AS113" s="6" t="str">
        <x:v>0.0181185262688857</x:v>
      </x:c>
      <x:c r="AT113" s="6" t="str">
        <x:v>16.17160623912457</x:v>
      </x:c>
      <x:c r="AU113" s="8" t="str">
        <x:v>0.3050764718252445</x:v>
      </x:c>
      <x:c r="AV113" s="6" t="str">
        <x:v>1.6220616759191149</x:v>
      </x:c>
      <x:c r="AW113" s="6" t="str">
        <x:v>0.5805513712378385</x:v>
      </x:c>
      <x:c r="AX113" s="6" t="str">
        <x:v>0.8358965063273991</x:v>
      </x:c>
      <x:c r="AY113" s="6" t="str">
        <x:v>0</x:v>
      </x:c>
      <x:c r="AZ113" s="6" t="str">
        <x:v>0</x:v>
      </x:c>
      <x:c r="BA113" s="9" t="str">
        <x:v>grid_cells_within_BIG_polygon</x:v>
      </x:c>
      <x:c r="BB113" s="6" t="str">
        <x:v>13</x:v>
      </x:c>
      <x:c r="BC113" s="6" t="str">
        <x:v>1</x:v>
      </x:c>
      <x:c r="BD113" s="6" t="str">
        <x:v>1</x:v>
      </x:c>
      <x:c r="BE113" s="6" t="str">
        <x:v>1</x:v>
      </x:c>
      <x:c r="BF113" s="6" t="str">
        <x:v>0</x:v>
      </x:c>
      <x:c r="BG113" s="6" t="str">
        <x:v>0</x:v>
      </x:c>
      <x:c r="BH113" s="6" t="str">
        <x:v>0</x:v>
      </x:c>
      <x:c r="BI113" s="6" t="str">
        <x:v>0</x:v>
      </x:c>
      <x:c r="BJ113" s="6" t="str">
        <x:v>0</x:v>
      </x:c>
      <x:c r="BK113" s="6" t="str">
        <x:v>0</x:v>
      </x:c>
      <x:c r="BL113" s="6" t="str">
        <x:v>0</x:v>
      </x:c>
      <x:c r="BM113" s="6" t="str">
        <x:v>0</x:v>
      </x:c>
      <x:c r="BN113" s="6" t="str">
        <x:v>1</x:v>
      </x:c>
      <x:c r="BO113" s="6" t="str">
        <x:v>0.0</x:v>
      </x:c>
      <x:c r="BP113" s="6" t="str">
        <x:v>1</x:v>
      </x:c>
      <x:c r="BQ113" s="6" t="str">
        <x:v>0.0</x:v>
      </x:c>
      <x:c r="BR113" s="6" t="str">
        <x:v>1</x:v>
      </x:c>
      <x:c r="BS113" s="6" t="str">
        <x:v>0.0</x:v>
      </x:c>
      <x:c r="BT113" s="6" t="str">
        <x:v>1</x:v>
      </x:c>
      <x:c r="BU113" s="6" t="str">
        <x:v>65.0</x:v>
      </x:c>
      <x:c r="BV113" s="6" t="str">
        <x:v>1</x:v>
      </x:c>
      <x:c r="BW113" s="9" t="str">
        <x:v>operational_snapshot_annual_totals_may_differ</x:v>
      </x:c>
      <x:c r="BX113" s="9" t="str">
        <x:v>official_live_dashboard_snapshot_subject_to_revision</x:v>
      </x:c>
      <x:c r="BY113" s="9" t="str">
        <x:v>https://tbdashboard.sitb.id/ss_data_tbc03so_2025_provinsi_bulanan_list.php</x:v>
      </x:c>
      <x:c r="BZ113" s="6" t="n">
        <x:v>46246.610671296294</x:v>
      </x:c>
    </x:row>
    <x:row r="114" ht="18" customHeight="1">
      <x:c r="A114" s="6" t="str">
        <x:v>15</x:v>
      </x:c>
      <x:c r="B114" s="6" t="str">
        <x:v>JAMBI</x:v>
      </x:c>
      <x:c r="C114" s="6" t="str">
        <x:v>2025</x:v>
      </x:c>
      <x:c r="D114" s="6" t="str">
        <x:v>5</x:v>
      </x:c>
      <x:c r="E114" s="6" t="str">
        <x:v>2025-05</x:v>
      </x:c>
      <x:c r="F114" s="6" t="str">
        <x:v>610</x:v>
      </x:c>
      <x:c r="G114" s="6" t="str">
        <x:v>179</x:v>
      </x:c>
      <x:c r="H114" s="6" t="str">
        <x:v>325</x:v>
      </x:c>
      <x:c r="I114" s="6" t="str">
        <x:v>40</x:v>
      </x:c>
      <x:c r="J114" s="6" t="str">
        <x:v>27</x:v>
      </x:c>
      <x:c r="K114" s="6" t="str">
        <x:v>1</x:v>
      </x:c>
      <x:c r="L114" s="6" t="str">
        <x:v>0</x:v>
      </x:c>
      <x:c r="M114" s="6" t="str">
        <x:v>38</x:v>
      </x:c>
      <x:c r="N114" s="6" t="str">
        <x:v>610</x:v>
      </x:c>
      <x:c r="O114" s="6" t="str">
        <x:v>0</x:v>
      </x:c>
      <x:c r="P114" s="10" t="n">
        <x:f>F114-M114</x:f>
        <x:v>572</x:v>
      </x:c>
      <x:c r="Q114" s="11" t="n">
        <x:f>IFERROR(M114/F114,"")</x:f>
        <x:v>0.06229508196721312</x:v>
      </x:c>
      <x:c r="R114" s="10" t="n">
        <x:f>G114+H114</x:f>
        <x:v>504</x:v>
      </x:c>
      <x:c r="S114" s="11" t="n">
        <x:f>IFERROR(R114/F114,"")</x:f>
        <x:v>0.8262295081967214</x:v>
      </x:c>
      <x:c r="T114" s="11" t="n">
        <x:f>IFERROR(R114/P114,"")</x:f>
        <x:v>0.8811188811188811</x:v>
      </x:c>
      <x:c r="U114" s="10" t="n">
        <x:f>I114+J114+K114</x:f>
        <x:v>68</x:v>
      </x:c>
      <x:c r="V114" s="11" t="n">
        <x:f>IFERROR(U114/P114,"")</x:f>
        <x:v>0.11888111888111888</x:v>
      </x:c>
      <x:c r="W114" s="9" t="str">
        <x:v>provisional_gt_5pct_pending</x:v>
      </x:c>
      <x:c r="X114" s="12" t="n">
        <x:f>IFERROR(F114/Z114*100000,"")</x:f>
        <x:v>16.186811728804564</x:v>
      </x:c>
      <x:c r="Y114" s="13" t="n">
        <x:f>LN(Z114)</x:f>
        <x:v>15.142187602265661</x:v>
      </x:c>
      <x:c r="Z114" s="6" t="str">
        <x:v>3768500</x:v>
      </x:c>
      <x:c r="AA114" s="6" t="str">
        <x:v>77.0</x:v>
      </x:c>
      <x:c r="AB114" s="9" t="str">
        <x:v>2025-06-30</x:v>
      </x:c>
      <x:c r="AC114" s="8" t="str">
        <x:v>85.88</x:v>
      </x:c>
      <x:c r="AD114" s="9" t="str">
        <x:v>2025 (Susenas)</x:v>
      </x:c>
      <x:c r="AE114" s="8" t="str">
        <x:v>7.19</x:v>
      </x:c>
      <x:c r="AF114" s="9" t="str">
        <x:v>Maret 2025 (Susenas)</x:v>
      </x:c>
      <x:c r="AG114" s="6" t="str">
        <x:v>26.16409915835328</x:v>
      </x:c>
      <x:c r="AH114" s="8" t="str">
        <x:v>86.96233457438429</x:v>
      </x:c>
      <x:c r="AI114" s="6" t="str">
        <x:v>239.06433058426487</x:v>
      </x:c>
      <x:c r="AJ114" s="6" t="str">
        <x:v>0.5319897326499863</x:v>
      </x:c>
      <x:c r="AK114" s="8" t="str">
        <x:v>1.571553333597714</x:v>
      </x:c>
      <x:c r="AL114" s="6" t="str">
        <x:v>0.5876993992115358</x:v>
      </x:c>
      <x:c r="AM114" s="6" t="str">
        <x:v>0.5329725863971683</x:v>
      </x:c>
      <x:c r="AN114" s="6" t="str">
        <x:v>0.897408439735473</x:v>
      </x:c>
      <x:c r="AO114" s="6" t="str">
        <x:v>-1.940914516183739</x:v>
      </x:c>
      <x:c r="AP114" s="8" t="str">
        <x:v>-2.013113259993792</x:v>
      </x:c>
      <x:c r="AQ114" s="6" t="str">
        <x:v>-1.4094862385111946</x:v>
      </x:c>
      <x:c r="AR114" s="6" t="str">
        <x:v>1.1997854168330118</x:v>
      </x:c>
      <x:c r="AS114" s="6" t="str">
        <x:v>-0.7409380272239917</x:v>
      </x:c>
      <x:c r="AT114" s="6" t="str">
        <x:v>76.49220417956678</x:v>
      </x:c>
      <x:c r="AU114" s="8" t="str">
        <x:v>1.3832580859725176</x:v>
      </x:c>
      <x:c r="AV114" s="6" t="str">
        <x:v>0.3050764718252445</x:v>
      </x:c>
      <x:c r="AW114" s="6" t="str">
        <x:v>1.6220616759191149</x:v>
      </x:c>
      <x:c r="AX114" s="6" t="str">
        <x:v>1.1034654112389588</x:v>
      </x:c>
      <x:c r="AY114" s="6" t="str">
        <x:v>1</x:v>
      </x:c>
      <x:c r="AZ114" s="6" t="str">
        <x:v>1</x:v>
      </x:c>
      <x:c r="BA114" s="9" t="str">
        <x:v>grid_cells_within_BIG_polygon</x:v>
      </x:c>
      <x:c r="BB114" s="6" t="str">
        <x:v>13</x:v>
      </x:c>
      <x:c r="BC114" s="6" t="str">
        <x:v>0</x:v>
      </x:c>
      <x:c r="BD114" s="6" t="str">
        <x:v>0</x:v>
      </x:c>
      <x:c r="BE114" s="6" t="str">
        <x:v>0</x:v>
      </x:c>
      <x:c r="BF114" s="6" t="str">
        <x:v>0</x:v>
      </x:c>
      <x:c r="BG114" s="6" t="str">
        <x:v>0</x:v>
      </x:c>
      <x:c r="BH114" s="6" t="str">
        <x:v>0</x:v>
      </x:c>
      <x:c r="BI114" s="6" t="str">
        <x:v>0</x:v>
      </x:c>
      <x:c r="BJ114" s="6" t="str">
        <x:v>0</x:v>
      </x:c>
      <x:c r="BK114" s="6" t="str">
        <x:v>0</x:v>
      </x:c>
      <x:c r="BL114" s="6" t="str">
        <x:v>0</x:v>
      </x:c>
      <x:c r="BM114" s="6" t="str">
        <x:v>0</x:v>
      </x:c>
      <x:c r="BN114" s="6" t="str">
        <x:v>0</x:v>
      </x:c>
      <x:c r="BO114" s="6" t="str"/>
      <x:c r="BP114" s="6" t="str">
        <x:v>0</x:v>
      </x:c>
      <x:c r="BQ114" s="6" t="str"/>
      <x:c r="BR114" s="6" t="str">
        <x:v>0</x:v>
      </x:c>
      <x:c r="BS114" s="6" t="str"/>
      <x:c r="BT114" s="6" t="str">
        <x:v>0</x:v>
      </x:c>
      <x:c r="BU114" s="6" t="str"/>
      <x:c r="BV114" s="6" t="str">
        <x:v>0</x:v>
      </x:c>
      <x:c r="BW114" s="9" t="str">
        <x:v>operational_snapshot_annual_totals_may_differ</x:v>
      </x:c>
      <x:c r="BX114" s="9" t="str">
        <x:v>official_live_dashboard_snapshot_subject_to_revision</x:v>
      </x:c>
      <x:c r="BY114" s="9" t="str">
        <x:v>https://tbdashboard.sitb.id/ss_data_tbc03so_2025_provinsi_bulanan_list.php</x:v>
      </x:c>
      <x:c r="BZ114" s="6" t="n">
        <x:v>46246.610671296294</x:v>
      </x:c>
    </x:row>
    <x:row r="115" ht="18" customHeight="1">
      <x:c r="A115" s="6" t="str">
        <x:v>15</x:v>
      </x:c>
      <x:c r="B115" s="6" t="str">
        <x:v>JAMBI</x:v>
      </x:c>
      <x:c r="C115" s="6" t="str">
        <x:v>2025</x:v>
      </x:c>
      <x:c r="D115" s="6" t="str">
        <x:v>6</x:v>
      </x:c>
      <x:c r="E115" s="6" t="str">
        <x:v>2025-06</x:v>
      </x:c>
      <x:c r="F115" s="6" t="str">
        <x:v>630</x:v>
      </x:c>
      <x:c r="G115" s="6" t="str">
        <x:v>172</x:v>
      </x:c>
      <x:c r="H115" s="6" t="str">
        <x:v>347</x:v>
      </x:c>
      <x:c r="I115" s="6" t="str">
        <x:v>39</x:v>
      </x:c>
      <x:c r="J115" s="6" t="str">
        <x:v>34</x:v>
      </x:c>
      <x:c r="K115" s="6" t="str">
        <x:v>0</x:v>
      </x:c>
      <x:c r="L115" s="6" t="str">
        <x:v>0</x:v>
      </x:c>
      <x:c r="M115" s="6" t="str">
        <x:v>38</x:v>
      </x:c>
      <x:c r="N115" s="6" t="str">
        <x:v>630</x:v>
      </x:c>
      <x:c r="O115" s="6" t="str">
        <x:v>0</x:v>
      </x:c>
      <x:c r="P115" s="10" t="n">
        <x:f>F115-M115</x:f>
        <x:v>592</x:v>
      </x:c>
      <x:c r="Q115" s="11" t="n">
        <x:f>IFERROR(M115/F115,"")</x:f>
        <x:v>0.06031746031746032</x:v>
      </x:c>
      <x:c r="R115" s="10" t="n">
        <x:f>G115+H115</x:f>
        <x:v>519</x:v>
      </x:c>
      <x:c r="S115" s="11" t="n">
        <x:f>IFERROR(R115/F115,"")</x:f>
        <x:v>0.8238095238095238</x:v>
      </x:c>
      <x:c r="T115" s="11" t="n">
        <x:f>IFERROR(R115/P115,"")</x:f>
        <x:v>0.8766891891891891</x:v>
      </x:c>
      <x:c r="U115" s="10" t="n">
        <x:f>I115+J115+K115</x:f>
        <x:v>73</x:v>
      </x:c>
      <x:c r="V115" s="11" t="n">
        <x:f>IFERROR(U115/P115,"")</x:f>
        <x:v>0.12331081081081081</x:v>
      </x:c>
      <x:c r="W115" s="9" t="str">
        <x:v>provisional_gt_5pct_pending</x:v>
      </x:c>
      <x:c r="X115" s="12" t="n">
        <x:f>IFERROR(F115/Z115*100000,"")</x:f>
        <x:v>16.717526867453895</x:v>
      </x:c>
      <x:c r="Y115" s="13" t="n">
        <x:f>LN(Z115)</x:f>
        <x:v>15.142187602265661</x:v>
      </x:c>
      <x:c r="Z115" s="6" t="str">
        <x:v>3768500</x:v>
      </x:c>
      <x:c r="AA115" s="6" t="str">
        <x:v>77.0</x:v>
      </x:c>
      <x:c r="AB115" s="9" t="str">
        <x:v>2025-06-30</x:v>
      </x:c>
      <x:c r="AC115" s="8" t="str">
        <x:v>85.88</x:v>
      </x:c>
      <x:c r="AD115" s="9" t="str">
        <x:v>2025 (Susenas)</x:v>
      </x:c>
      <x:c r="AE115" s="8" t="str">
        <x:v>7.19</x:v>
      </x:c>
      <x:c r="AF115" s="9" t="str">
        <x:v>Maret 2025 (Susenas)</x:v>
      </x:c>
      <x:c r="AG115" s="6" t="str">
        <x:v>25.409477120379577</x:v>
      </x:c>
      <x:c r="AH115" s="8" t="str">
        <x:v>87.6446445977574</x:v>
      </x:c>
      <x:c r="AI115" s="6" t="str">
        <x:v>108.57404897749126</x:v>
      </x:c>
      <x:c r="AJ115" s="6" t="str">
        <x:v>0.2664763962980636</x:v>
      </x:c>
      <x:c r="AK115" s="8" t="str">
        <x:v>1.0030308203955518</x:v>
      </x:c>
      <x:c r="AL115" s="6" t="str">
        <x:v>1.571553333597714</x:v>
      </x:c>
      <x:c r="AM115" s="6" t="str">
        <x:v>0.5876993992115358</x:v>
      </x:c>
      <x:c r="AN115" s="6" t="str">
        <x:v>1.054094517734934</x:v>
      </x:c>
      <x:c r="AO115" s="6" t="str">
        <x:v>-0.759526445386058</x:v>
      </x:c>
      <x:c r="AP115" s="8" t="str">
        <x:v>-0.6127373662133422</x:v>
      </x:c>
      <x:c r="AQ115" s="6" t="str">
        <x:v>-2.013113259993792</x:v>
      </x:c>
      <x:c r="AR115" s="6" t="str">
        <x:v>-1.4094862385111946</x:v>
      </x:c>
      <x:c r="AS115" s="6" t="str">
        <x:v>-1.345112288239443</x:v>
      </x:c>
      <x:c r="AT115" s="6" t="str">
        <x:v>-6.264238329252748</x:v>
      </x:c>
      <x:c r="AU115" s="8" t="str">
        <x:v>-0.1409155430668422</x:v>
      </x:c>
      <x:c r="AV115" s="6" t="str">
        <x:v>1.3832580859725176</x:v>
      </x:c>
      <x:c r="AW115" s="6" t="str">
        <x:v>0.3050764718252445</x:v>
      </x:c>
      <x:c r="AX115" s="6" t="str">
        <x:v>0.5158063382436399</x:v>
      </x:c>
      <x:c r="AY115" s="6" t="str">
        <x:v>0</x:v>
      </x:c>
      <x:c r="AZ115" s="6" t="str">
        <x:v>1</x:v>
      </x:c>
      <x:c r="BA115" s="9" t="str">
        <x:v>grid_cells_within_BIG_polygon</x:v>
      </x:c>
      <x:c r="BB115" s="6" t="str">
        <x:v>13</x:v>
      </x:c>
      <x:c r="BC115" s="6" t="str">
        <x:v>1</x:v>
      </x:c>
      <x:c r="BD115" s="6" t="str">
        <x:v>1</x:v>
      </x:c>
      <x:c r="BE115" s="6" t="str">
        <x:v>0</x:v>
      </x:c>
      <x:c r="BF115" s="6" t="str">
        <x:v>0</x:v>
      </x:c>
      <x:c r="BG115" s="6" t="str">
        <x:v>1</x:v>
      </x:c>
      <x:c r="BH115" s="6" t="str">
        <x:v>0</x:v>
      </x:c>
      <x:c r="BI115" s="6" t="str">
        <x:v>0</x:v>
      </x:c>
      <x:c r="BJ115" s="6" t="str">
        <x:v>0</x:v>
      </x:c>
      <x:c r="BK115" s="6" t="str">
        <x:v>0</x:v>
      </x:c>
      <x:c r="BL115" s="6" t="str">
        <x:v>0</x:v>
      </x:c>
      <x:c r="BM115" s="6" t="str">
        <x:v>0</x:v>
      </x:c>
      <x:c r="BN115" s="6" t="str">
        <x:v>1</x:v>
      </x:c>
      <x:c r="BO115" s="6" t="str"/>
      <x:c r="BP115" s="6" t="str">
        <x:v>0</x:v>
      </x:c>
      <x:c r="BQ115" s="6" t="str"/>
      <x:c r="BR115" s="6" t="str">
        <x:v>0</x:v>
      </x:c>
      <x:c r="BS115" s="6" t="str">
        <x:v>32.0</x:v>
      </x:c>
      <x:c r="BT115" s="6" t="str">
        <x:v>1</x:v>
      </x:c>
      <x:c r="BU115" s="6" t="str"/>
      <x:c r="BV115" s="6" t="str">
        <x:v>0</x:v>
      </x:c>
      <x:c r="BW115" s="9" t="str">
        <x:v>operational_snapshot_annual_totals_may_differ</x:v>
      </x:c>
      <x:c r="BX115" s="9" t="str">
        <x:v>official_live_dashboard_snapshot_subject_to_revision</x:v>
      </x:c>
      <x:c r="BY115" s="9" t="str">
        <x:v>https://tbdashboard.sitb.id/ss_data_tbc03so_2025_provinsi_bulanan_list.php</x:v>
      </x:c>
      <x:c r="BZ115" s="6" t="n">
        <x:v>46246.610671296294</x:v>
      </x:c>
    </x:row>
    <x:row r="116" ht="18" customHeight="1">
      <x:c r="A116" s="6" t="str">
        <x:v>15</x:v>
      </x:c>
      <x:c r="B116" s="6" t="str">
        <x:v>JAMBI</x:v>
      </x:c>
      <x:c r="C116" s="6" t="str">
        <x:v>2025</x:v>
      </x:c>
      <x:c r="D116" s="6" t="str">
        <x:v>7</x:v>
      </x:c>
      <x:c r="E116" s="6" t="str">
        <x:v>2025-07</x:v>
      </x:c>
      <x:c r="F116" s="6" t="str">
        <x:v>738</x:v>
      </x:c>
      <x:c r="G116" s="6" t="str">
        <x:v>215</x:v>
      </x:c>
      <x:c r="H116" s="6" t="str">
        <x:v>397</x:v>
      </x:c>
      <x:c r="I116" s="6" t="str">
        <x:v>39</x:v>
      </x:c>
      <x:c r="J116" s="6" t="str">
        <x:v>38</x:v>
      </x:c>
      <x:c r="K116" s="6" t="str">
        <x:v>0</x:v>
      </x:c>
      <x:c r="L116" s="6" t="str">
        <x:v>0</x:v>
      </x:c>
      <x:c r="M116" s="6" t="str">
        <x:v>49</x:v>
      </x:c>
      <x:c r="N116" s="6" t="str">
        <x:v>738</x:v>
      </x:c>
      <x:c r="O116" s="6" t="str">
        <x:v>0</x:v>
      </x:c>
      <x:c r="P116" s="10" t="n">
        <x:f>F116-M116</x:f>
        <x:v>689</x:v>
      </x:c>
      <x:c r="Q116" s="11" t="n">
        <x:f>IFERROR(M116/F116,"")</x:f>
        <x:v>0.06639566395663957</x:v>
      </x:c>
      <x:c r="R116" s="10" t="n">
        <x:f>G116+H116</x:f>
        <x:v>612</x:v>
      </x:c>
      <x:c r="S116" s="11" t="n">
        <x:f>IFERROR(R116/F116,"")</x:f>
        <x:v>0.8292682926829268</x:v>
      </x:c>
      <x:c r="T116" s="11" t="n">
        <x:f>IFERROR(R116/P116,"")</x:f>
        <x:v>0.888243831640058</x:v>
      </x:c>
      <x:c r="U116" s="10" t="n">
        <x:f>I116+J116+K116</x:f>
        <x:v>77</x:v>
      </x:c>
      <x:c r="V116" s="11" t="n">
        <x:f>IFERROR(U116/P116,"")</x:f>
        <x:v>0.11175616835994194</x:v>
      </x:c>
      <x:c r="W116" s="9" t="str">
        <x:v>provisional_gt_5pct_pending</x:v>
      </x:c>
      <x:c r="X116" s="12" t="n">
        <x:f>IFERROR(F116/Z116*100000,"")</x:f>
        <x:v>19.583388616160274</x:v>
      </x:c>
      <x:c r="Y116" s="13" t="n">
        <x:f>LN(Z116)</x:f>
        <x:v>15.142187602265661</x:v>
      </x:c>
      <x:c r="Z116" s="6" t="str">
        <x:v>3768500</x:v>
      </x:c>
      <x:c r="AA116" s="6" t="str">
        <x:v>77.0</x:v>
      </x:c>
      <x:c r="AB116" s="9" t="str">
        <x:v>2025-06-30</x:v>
      </x:c>
      <x:c r="AC116" s="8" t="str">
        <x:v>85.88</x:v>
      </x:c>
      <x:c r="AD116" s="9" t="str">
        <x:v>2025 (Susenas)</x:v>
      </x:c>
      <x:c r="AE116" s="8" t="str">
        <x:v>7.19</x:v>
      </x:c>
      <x:c r="AF116" s="9" t="str">
        <x:v>Maret 2025 (Susenas)</x:v>
      </x:c>
      <x:c r="AG116" s="6" t="str">
        <x:v>25.4464102940485</x:v>
      </x:c>
      <x:c r="AH116" s="8" t="str">
        <x:v>87.30072085485448</x:v>
      </x:c>
      <x:c r="AI116" s="6" t="str">
        <x:v>119.77579227277732</x:v>
      </x:c>
      <x:c r="AJ116" s="6" t="str">
        <x:v>0.6585134538160595</x:v>
      </x:c>
      <x:c r="AK116" s="8" t="str">
        <x:v>2.445795697016646</x:v>
      </x:c>
      <x:c r="AL116" s="6" t="str">
        <x:v>1.0030308203955518</x:v>
      </x:c>
      <x:c r="AM116" s="6" t="str">
        <x:v>1.571553333597714</x:v>
      </x:c>
      <x:c r="AN116" s="6" t="str">
        <x:v>1.673459950336638</x:v>
      </x:c>
      <x:c r="AO116" s="6" t="str">
        <x:v>-0.7637930300911648</x:v>
      </x:c>
      <x:c r="AP116" s="8" t="str">
        <x:v>-0.8025248020981564</x:v>
      </x:c>
      <x:c r="AQ116" s="6" t="str">
        <x:v>-0.6127373662133422</x:v>
      </x:c>
      <x:c r="AR116" s="6" t="str">
        <x:v>-2.013113259993792</x:v>
      </x:c>
      <x:c r="AS116" s="6" t="str">
        <x:v>-1.1427918094350968</x:v>
      </x:c>
      <x:c r="AT116" s="6" t="str">
        <x:v>1.333621553072618</x:v>
      </x:c>
      <x:c r="AU116" s="8" t="str">
        <x:v>0.0267975000839038</x:v>
      </x:c>
      <x:c r="AV116" s="6" t="str">
        <x:v>-0.1409155430668422</x:v>
      </x:c>
      <x:c r="AW116" s="6" t="str">
        <x:v>1.3832580859725176</x:v>
      </x:c>
      <x:c r="AX116" s="6" t="str">
        <x:v>0.4230466809965262</x:v>
      </x:c>
      <x:c r="AY116" s="6" t="str">
        <x:v>0</x:v>
      </x:c>
      <x:c r="AZ116" s="6" t="str">
        <x:v>1</x:v>
      </x:c>
      <x:c r="BA116" s="9" t="str">
        <x:v>grid_cells_within_BIG_polygon</x:v>
      </x:c>
      <x:c r="BB116" s="6" t="str">
        <x:v>13</x:v>
      </x:c>
      <x:c r="BC116" s="6" t="str">
        <x:v>8</x:v>
      </x:c>
      <x:c r="BD116" s="6" t="str">
        <x:v>8</x:v>
      </x:c>
      <x:c r="BE116" s="6" t="str">
        <x:v>0</x:v>
      </x:c>
      <x:c r="BF116" s="6" t="str">
        <x:v>1</x:v>
      </x:c>
      <x:c r="BG116" s="6" t="str">
        <x:v>0</x:v>
      </x:c>
      <x:c r="BH116" s="6" t="str">
        <x:v>0</x:v>
      </x:c>
      <x:c r="BI116" s="6" t="str">
        <x:v>7</x:v>
      </x:c>
      <x:c r="BJ116" s="6" t="str">
        <x:v>0</x:v>
      </x:c>
      <x:c r="BK116" s="6" t="str">
        <x:v>0</x:v>
      </x:c>
      <x:c r="BL116" s="6" t="str">
        <x:v>0</x:v>
      </x:c>
      <x:c r="BM116" s="6" t="str">
        <x:v>0</x:v>
      </x:c>
      <x:c r="BN116" s="6" t="str">
        <x:v>8</x:v>
      </x:c>
      <x:c r="BO116" s="6" t="str">
        <x:v>2.0</x:v>
      </x:c>
      <x:c r="BP116" s="6" t="str">
        <x:v>1</x:v>
      </x:c>
      <x:c r="BQ116" s="6" t="str"/>
      <x:c r="BR116" s="6" t="str">
        <x:v>0</x:v>
      </x:c>
      <x:c r="BS116" s="6" t="str">
        <x:v>2.0</x:v>
      </x:c>
      <x:c r="BT116" s="6" t="str">
        <x:v>8</x:v>
      </x:c>
      <x:c r="BU116" s="6" t="str"/>
      <x:c r="BV116" s="6" t="str">
        <x:v>0</x:v>
      </x:c>
      <x:c r="BW116" s="9" t="str">
        <x:v>operational_snapshot_annual_totals_may_differ</x:v>
      </x:c>
      <x:c r="BX116" s="9" t="str">
        <x:v>official_live_dashboard_snapshot_subject_to_revision</x:v>
      </x:c>
      <x:c r="BY116" s="9" t="str">
        <x:v>https://tbdashboard.sitb.id/ss_data_tbc03so_2025_provinsi_bulanan_list.php</x:v>
      </x:c>
      <x:c r="BZ116" s="6" t="n">
        <x:v>46246.610671296294</x:v>
      </x:c>
    </x:row>
    <x:row r="117" ht="18" customHeight="1">
      <x:c r="A117" s="6" t="str">
        <x:v>15</x:v>
      </x:c>
      <x:c r="B117" s="6" t="str">
        <x:v>JAMBI</x:v>
      </x:c>
      <x:c r="C117" s="6" t="str">
        <x:v>2025</x:v>
      </x:c>
      <x:c r="D117" s="6" t="str">
        <x:v>8</x:v>
      </x:c>
      <x:c r="E117" s="6" t="str">
        <x:v>2025-08</x:v>
      </x:c>
      <x:c r="F117" s="6" t="str">
        <x:v>784</x:v>
      </x:c>
      <x:c r="G117" s="6" t="str">
        <x:v>265</x:v>
      </x:c>
      <x:c r="H117" s="6" t="str">
        <x:v>344</x:v>
      </x:c>
      <x:c r="I117" s="6" t="str">
        <x:v>37</x:v>
      </x:c>
      <x:c r="J117" s="6" t="str">
        <x:v>45</x:v>
      </x:c>
      <x:c r="K117" s="6" t="str">
        <x:v>0</x:v>
      </x:c>
      <x:c r="L117" s="6" t="str">
        <x:v>0</x:v>
      </x:c>
      <x:c r="M117" s="6" t="str">
        <x:v>93</x:v>
      </x:c>
      <x:c r="N117" s="6" t="str">
        <x:v>784</x:v>
      </x:c>
      <x:c r="O117" s="6" t="str">
        <x:v>0</x:v>
      </x:c>
      <x:c r="P117" s="10" t="n">
        <x:f>F117-M117</x:f>
        <x:v>691</x:v>
      </x:c>
      <x:c r="Q117" s="11" t="n">
        <x:f>IFERROR(M117/F117,"")</x:f>
        <x:v>0.11862244897959184</x:v>
      </x:c>
      <x:c r="R117" s="10" t="n">
        <x:f>G117+H117</x:f>
        <x:v>609</x:v>
      </x:c>
      <x:c r="S117" s="11" t="n">
        <x:f>IFERROR(R117/F117,"")</x:f>
        <x:v>0.7767857142857143</x:v>
      </x:c>
      <x:c r="T117" s="11" t="n">
        <x:f>IFERROR(R117/P117,"")</x:f>
        <x:v>0.8813314037626628</x:v>
      </x:c>
      <x:c r="U117" s="10" t="n">
        <x:f>I117+J117+K117</x:f>
        <x:v>82</x:v>
      </x:c>
      <x:c r="V117" s="11" t="n">
        <x:f>IFERROR(U117/P117,"")</x:f>
        <x:v>0.11866859623733719</x:v>
      </x:c>
      <x:c r="W117" s="9" t="str">
        <x:v>provisional_gt_5pct_pending</x:v>
      </x:c>
      <x:c r="X117" s="12" t="n">
        <x:f>IFERROR(F117/Z117*100000,"")</x:f>
        <x:v>20.804033435053736</x:v>
      </x:c>
      <x:c r="Y117" s="13" t="n">
        <x:f>LN(Z117)</x:f>
        <x:v>15.142187602265661</x:v>
      </x:c>
      <x:c r="Z117" s="6" t="str">
        <x:v>3768500</x:v>
      </x:c>
      <x:c r="AA117" s="6" t="str">
        <x:v>77.0</x:v>
      </x:c>
      <x:c r="AB117" s="9" t="str">
        <x:v>2025-06-30</x:v>
      </x:c>
      <x:c r="AC117" s="8" t="str">
        <x:v>85.88</x:v>
      </x:c>
      <x:c r="AD117" s="9" t="str">
        <x:v>2025 (Susenas)</x:v>
      </x:c>
      <x:c r="AE117" s="8" t="str">
        <x:v>7.19</x:v>
      </x:c>
      <x:c r="AF117" s="9" t="str">
        <x:v>Maret 2025 (Susenas)</x:v>
      </x:c>
      <x:c r="AG117" s="6" t="str">
        <x:v>25.145634973771585</x:v>
      </x:c>
      <x:c r="AH117" s="8" t="str">
        <x:v>86.65916628659177</x:v>
      </x:c>
      <x:c r="AI117" s="6" t="str">
        <x:v>226.54666675197208</x:v>
      </x:c>
      <x:c r="AJ117" s="6" t="str">
        <x:v>0.276867706246005</x:v>
      </x:c>
      <x:c r="AK117" s="8" t="str">
        <x:v>1.114440670465176</x:v>
      </x:c>
      <x:c r="AL117" s="6" t="str">
        <x:v>2.445795697016646</x:v>
      </x:c>
      <x:c r="AM117" s="6" t="str">
        <x:v>1.0030308203955518</x:v>
      </x:c>
      <x:c r="AN117" s="6" t="str">
        <x:v>1.5210890626257916</x:v>
      </x:c>
      <x:c r="AO117" s="6" t="str">
        <x:v>-0.279903216723369</x:v>
      </x:c>
      <x:c r="AP117" s="8" t="str">
        <x:v>-0.2290774819533278</x:v>
      </x:c>
      <x:c r="AQ117" s="6" t="str">
        <x:v>-0.8025248020981564</x:v>
      </x:c>
      <x:c r="AR117" s="6" t="str">
        <x:v>-0.6127373662133422</x:v>
      </x:c>
      <x:c r="AS117" s="6" t="str">
        <x:v>-0.5481132167549422</x:v>
      </x:c>
      <x:c r="AT117" s="6" t="str">
        <x:v>108.12684693058983</x:v>
      </x:c>
      <x:c r="AU117" s="8" t="str">
        <x:v>1.4945215876425046</x:v>
      </x:c>
      <x:c r="AV117" s="6" t="str">
        <x:v>0.0267975000839038</x:v>
      </x:c>
      <x:c r="AW117" s="6" t="str">
        <x:v>-0.1409155430668422</x:v>
      </x:c>
      <x:c r="AX117" s="6" t="str">
        <x:v>0.4601345148865219</x:v>
      </x:c>
      <x:c r="AY117" s="6" t="str">
        <x:v>1</x:v>
      </x:c>
      <x:c r="AZ117" s="6" t="str">
        <x:v>1</x:v>
      </x:c>
      <x:c r="BA117" s="9" t="str">
        <x:v>grid_cells_within_BIG_polygon</x:v>
      </x:c>
      <x:c r="BB117" s="6" t="str">
        <x:v>13</x:v>
      </x:c>
      <x:c r="BC117" s="6" t="str">
        <x:v>4</x:v>
      </x:c>
      <x:c r="BD117" s="6" t="str">
        <x:v>4</x:v>
      </x:c>
      <x:c r="BE117" s="6" t="str">
        <x:v>0</x:v>
      </x:c>
      <x:c r="BF117" s="6" t="str">
        <x:v>0</x:v>
      </x:c>
      <x:c r="BG117" s="6" t="str">
        <x:v>2</x:v>
      </x:c>
      <x:c r="BH117" s="6" t="str">
        <x:v>0</x:v>
      </x:c>
      <x:c r="BI117" s="6" t="str">
        <x:v>2</x:v>
      </x:c>
      <x:c r="BJ117" s="6" t="str">
        <x:v>0</x:v>
      </x:c>
      <x:c r="BK117" s="6" t="str">
        <x:v>0</x:v>
      </x:c>
      <x:c r="BL117" s="6" t="str">
        <x:v>0</x:v>
      </x:c>
      <x:c r="BM117" s="6" t="str">
        <x:v>0</x:v>
      </x:c>
      <x:c r="BN117" s="6" t="str">
        <x:v>4</x:v>
      </x:c>
      <x:c r="BO117" s="6" t="str"/>
      <x:c r="BP117" s="6" t="str">
        <x:v>0</x:v>
      </x:c>
      <x:c r="BQ117" s="6" t="str">
        <x:v>1.0</x:v>
      </x:c>
      <x:c r="BR117" s="6" t="str">
        <x:v>1</x:v>
      </x:c>
      <x:c r="BS117" s="6" t="str">
        <x:v>169.0</x:v>
      </x:c>
      <x:c r="BT117" s="6" t="str">
        <x:v>4</x:v>
      </x:c>
      <x:c r="BU117" s="6" t="str"/>
      <x:c r="BV117" s="6" t="str">
        <x:v>0</x:v>
      </x:c>
      <x:c r="BW117" s="9" t="str">
        <x:v>operational_snapshot_annual_totals_may_differ</x:v>
      </x:c>
      <x:c r="BX117" s="9" t="str">
        <x:v>official_live_dashboard_snapshot_subject_to_revision</x:v>
      </x:c>
      <x:c r="BY117" s="9" t="str">
        <x:v>https://tbdashboard.sitb.id/ss_data_tbc03so_2025_provinsi_bulanan_list.php</x:v>
      </x:c>
      <x:c r="BZ117" s="6" t="n">
        <x:v>46246.610671296294</x:v>
      </x:c>
    </x:row>
    <x:row r="118" ht="18" customHeight="1">
      <x:c r="A118" s="6" t="str">
        <x:v>15</x:v>
      </x:c>
      <x:c r="B118" s="6" t="str">
        <x:v>JAMBI</x:v>
      </x:c>
      <x:c r="C118" s="6" t="str">
        <x:v>2025</x:v>
      </x:c>
      <x:c r="D118" s="6" t="str">
        <x:v>9</x:v>
      </x:c>
      <x:c r="E118" s="6" t="str">
        <x:v>2025-09</x:v>
      </x:c>
      <x:c r="F118" s="6" t="str">
        <x:v>640</x:v>
      </x:c>
      <x:c r="G118" s="6" t="str">
        <x:v>171</x:v>
      </x:c>
      <x:c r="H118" s="6" t="str">
        <x:v>295</x:v>
      </x:c>
      <x:c r="I118" s="6" t="str">
        <x:v>33</x:v>
      </x:c>
      <x:c r="J118" s="6" t="str">
        <x:v>35</x:v>
      </x:c>
      <x:c r="K118" s="6" t="str">
        <x:v>1</x:v>
      </x:c>
      <x:c r="L118" s="6" t="str">
        <x:v>0</x:v>
      </x:c>
      <x:c r="M118" s="6" t="str">
        <x:v>105</x:v>
      </x:c>
      <x:c r="N118" s="6" t="str">
        <x:v>640</x:v>
      </x:c>
      <x:c r="O118" s="6" t="str">
        <x:v>0</x:v>
      </x:c>
      <x:c r="P118" s="10" t="n">
        <x:f>F118-M118</x:f>
        <x:v>535</x:v>
      </x:c>
      <x:c r="Q118" s="11" t="n">
        <x:f>IFERROR(M118/F118,"")</x:f>
        <x:v>0.1640625</x:v>
      </x:c>
      <x:c r="R118" s="10" t="n">
        <x:f>G118+H118</x:f>
        <x:v>466</x:v>
      </x:c>
      <x:c r="S118" s="11" t="n">
        <x:f>IFERROR(R118/F118,"")</x:f>
        <x:v>0.728125</x:v>
      </x:c>
      <x:c r="T118" s="11" t="n">
        <x:f>IFERROR(R118/P118,"")</x:f>
        <x:v>0.8710280373831776</x:v>
      </x:c>
      <x:c r="U118" s="10" t="n">
        <x:f>I118+J118+K118</x:f>
        <x:v>69</x:v>
      </x:c>
      <x:c r="V118" s="11" t="n">
        <x:f>IFERROR(U118/P118,"")</x:f>
        <x:v>0.12897196261682242</x:v>
      </x:c>
      <x:c r="W118" s="9" t="str">
        <x:v>provisional_gt_5pct_pending</x:v>
      </x:c>
      <x:c r="X118" s="12" t="n">
        <x:f>IFERROR(F118/Z118*100000,"")</x:f>
        <x:v>16.98288443677856</x:v>
      </x:c>
      <x:c r="Y118" s="13" t="n">
        <x:f>LN(Z118)</x:f>
        <x:v>15.142187602265661</x:v>
      </x:c>
      <x:c r="Z118" s="6" t="str">
        <x:v>3768500</x:v>
      </x:c>
      <x:c r="AA118" s="6" t="str">
        <x:v>77.0</x:v>
      </x:c>
      <x:c r="AB118" s="9" t="str">
        <x:v>2025-06-30</x:v>
      </x:c>
      <x:c r="AC118" s="8" t="str">
        <x:v>85.88</x:v>
      </x:c>
      <x:c r="AD118" s="9" t="str">
        <x:v>2025 (Susenas)</x:v>
      </x:c>
      <x:c r="AE118" s="8" t="str">
        <x:v>7.19</x:v>
      </x:c>
      <x:c r="AF118" s="9" t="str">
        <x:v>Maret 2025 (Susenas)</x:v>
      </x:c>
      <x:c r="AG118" s="6" t="str">
        <x:v>25.33407982046752</x:v>
      </x:c>
      <x:c r="AH118" s="8" t="str">
        <x:v>87.29222555443059</x:v>
      </x:c>
      <x:c r="AI118" s="6" t="str">
        <x:v>214.39874954392937</x:v>
      </x:c>
      <x:c r="AJ118" s="6" t="str">
        <x:v>0.3246260320088723</x:v>
      </x:c>
      <x:c r="AK118" s="8" t="str">
        <x:v>1.4576826862869785</x:v>
      </x:c>
      <x:c r="AL118" s="6" t="str">
        <x:v>1.114440670465176</x:v>
      </x:c>
      <x:c r="AM118" s="6" t="str">
        <x:v>2.445795697016646</x:v>
      </x:c>
      <x:c r="AN118" s="6" t="str">
        <x:v>1.6726396845896006</x:v>
      </x:c>
      <x:c r="AO118" s="6" t="str">
        <x:v>1.217950222760038</x:v>
      </x:c>
      <x:c r="AP118" s="8" t="str">
        <x:v>0.8176282091906877</x:v>
      </x:c>
      <x:c r="AQ118" s="6" t="str">
        <x:v>-0.2290774819533278</x:v>
      </x:c>
      <x:c r="AR118" s="6" t="str">
        <x:v>-0.8025248020981564</x:v>
      </x:c>
      <x:c r="AS118" s="6" t="str">
        <x:v>-0.0713246916202655</x:v>
      </x:c>
      <x:c r="AT118" s="6" t="str">
        <x:v>79.70683155147034</x:v>
      </x:c>
      <x:c r="AU118" s="8" t="str">
        <x:v>1.2487545723916833</x:v>
      </x:c>
      <x:c r="AV118" s="6" t="str">
        <x:v>1.4945215876425046</x:v>
      </x:c>
      <x:c r="AW118" s="6" t="str">
        <x:v>0.0267975000839038</x:v>
      </x:c>
      <x:c r="AX118" s="6" t="str">
        <x:v>0.9233578867060304</x:v>
      </x:c>
      <x:c r="AY118" s="6" t="str">
        <x:v>1</x:v>
      </x:c>
      <x:c r="AZ118" s="6" t="str">
        <x:v>1</x:v>
      </x:c>
      <x:c r="BA118" s="9" t="str">
        <x:v>grid_cells_within_BIG_polygon</x:v>
      </x:c>
      <x:c r="BB118" s="6" t="str">
        <x:v>13</x:v>
      </x:c>
      <x:c r="BC118" s="6" t="str">
        <x:v>0</x:v>
      </x:c>
      <x:c r="BD118" s="6" t="str">
        <x:v>0</x:v>
      </x:c>
      <x:c r="BE118" s="6" t="str">
        <x:v>0</x:v>
      </x:c>
      <x:c r="BF118" s="6" t="str">
        <x:v>0</x:v>
      </x:c>
      <x:c r="BG118" s="6" t="str">
        <x:v>0</x:v>
      </x:c>
      <x:c r="BH118" s="6" t="str">
        <x:v>0</x:v>
      </x:c>
      <x:c r="BI118" s="6" t="str">
        <x:v>0</x:v>
      </x:c>
      <x:c r="BJ118" s="6" t="str">
        <x:v>0</x:v>
      </x:c>
      <x:c r="BK118" s="6" t="str">
        <x:v>0</x:v>
      </x:c>
      <x:c r="BL118" s="6" t="str">
        <x:v>0</x:v>
      </x:c>
      <x:c r="BM118" s="6" t="str">
        <x:v>0</x:v>
      </x:c>
      <x:c r="BN118" s="6" t="str">
        <x:v>0</x:v>
      </x:c>
      <x:c r="BO118" s="6" t="str"/>
      <x:c r="BP118" s="6" t="str">
        <x:v>0</x:v>
      </x:c>
      <x:c r="BQ118" s="6" t="str"/>
      <x:c r="BR118" s="6" t="str">
        <x:v>0</x:v>
      </x:c>
      <x:c r="BS118" s="6" t="str"/>
      <x:c r="BT118" s="6" t="str">
        <x:v>0</x:v>
      </x:c>
      <x:c r="BU118" s="6" t="str"/>
      <x:c r="BV118" s="6" t="str">
        <x:v>0</x:v>
      </x:c>
      <x:c r="BW118" s="9" t="str">
        <x:v>operational_snapshot_annual_totals_may_differ</x:v>
      </x:c>
      <x:c r="BX118" s="9" t="str">
        <x:v>official_live_dashboard_snapshot_subject_to_revision</x:v>
      </x:c>
      <x:c r="BY118" s="9" t="str">
        <x:v>https://tbdashboard.sitb.id/ss_data_tbc03so_2025_provinsi_bulanan_list.php</x:v>
      </x:c>
      <x:c r="BZ118" s="6" t="n">
        <x:v>46246.610671296294</x:v>
      </x:c>
    </x:row>
    <x:row r="119" ht="18" customHeight="1">
      <x:c r="A119" s="6" t="str">
        <x:v>15</x:v>
      </x:c>
      <x:c r="B119" s="6" t="str">
        <x:v>JAMBI</x:v>
      </x:c>
      <x:c r="C119" s="6" t="str">
        <x:v>2025</x:v>
      </x:c>
      <x:c r="D119" s="6" t="str">
        <x:v>10</x:v>
      </x:c>
      <x:c r="E119" s="6" t="str">
        <x:v>2025-10</x:v>
      </x:c>
      <x:c r="F119" s="6" t="str">
        <x:v>786</x:v>
      </x:c>
      <x:c r="G119" s="6" t="str">
        <x:v>211</x:v>
      </x:c>
      <x:c r="H119" s="6" t="str">
        <x:v>353</x:v>
      </x:c>
      <x:c r="I119" s="6" t="str">
        <x:v>28</x:v>
      </x:c>
      <x:c r="J119" s="6" t="str">
        <x:v>40</x:v>
      </x:c>
      <x:c r="K119" s="6" t="str">
        <x:v>0</x:v>
      </x:c>
      <x:c r="L119" s="6" t="str">
        <x:v>0</x:v>
      </x:c>
      <x:c r="M119" s="6" t="str">
        <x:v>154</x:v>
      </x:c>
      <x:c r="N119" s="6" t="str">
        <x:v>786</x:v>
      </x:c>
      <x:c r="O119" s="6" t="str">
        <x:v>0</x:v>
      </x:c>
      <x:c r="P119" s="10" t="n">
        <x:f>F119-M119</x:f>
        <x:v>632</x:v>
      </x:c>
      <x:c r="Q119" s="11" t="n">
        <x:f>IFERROR(M119/F119,"")</x:f>
        <x:v>0.19592875318066158</x:v>
      </x:c>
      <x:c r="R119" s="10" t="n">
        <x:f>G119+H119</x:f>
        <x:v>564</x:v>
      </x:c>
      <x:c r="S119" s="11" t="n">
        <x:f>IFERROR(R119/F119,"")</x:f>
        <x:v>0.7175572519083969</x:v>
      </x:c>
      <x:c r="T119" s="11" t="n">
        <x:f>IFERROR(R119/P119,"")</x:f>
        <x:v>0.8924050632911392</x:v>
      </x:c>
      <x:c r="U119" s="10" t="n">
        <x:f>I119+J119+K119</x:f>
        <x:v>68</x:v>
      </x:c>
      <x:c r="V119" s="11" t="n">
        <x:f>IFERROR(U119/P119,"")</x:f>
        <x:v>0.10759493670886076</x:v>
      </x:c>
      <x:c r="W119" s="9" t="str">
        <x:v>provisional_gt_5pct_pending</x:v>
      </x:c>
      <x:c r="X119" s="12" t="n">
        <x:f>IFERROR(F119/Z119*100000,"")</x:f>
        <x:v>20.857104948918668</x:v>
      </x:c>
      <x:c r="Y119" s="13" t="n">
        <x:f>LN(Z119)</x:f>
        <x:v>15.142187602265661</x:v>
      </x:c>
      <x:c r="Z119" s="6" t="str">
        <x:v>3768500</x:v>
      </x:c>
      <x:c r="AA119" s="6" t="str">
        <x:v>77.0</x:v>
      </x:c>
      <x:c r="AB119" s="9" t="str">
        <x:v>2025-06-30</x:v>
      </x:c>
      <x:c r="AC119" s="8" t="str">
        <x:v>85.88</x:v>
      </x:c>
      <x:c r="AD119" s="9" t="str">
        <x:v>2025 (Susenas)</x:v>
      </x:c>
      <x:c r="AE119" s="8" t="str">
        <x:v>7.19</x:v>
      </x:c>
      <x:c r="AF119" s="9" t="str">
        <x:v>Maret 2025 (Susenas)</x:v>
      </x:c>
      <x:c r="AG119" s="6" t="str">
        <x:v>25.504872720319657</x:v>
      </x:c>
      <x:c r="AH119" s="8" t="str">
        <x:v>85.96673824959693</x:v>
      </x:c>
      <x:c r="AI119" s="6" t="str">
        <x:v>192.50090927871665</x:v>
      </x:c>
      <x:c r="AJ119" s="6" t="str">
        <x:v>0.2829231657347364</x:v>
      </x:c>
      <x:c r="AK119" s="8" t="str">
        <x:v>1.120911567334119</x:v>
      </x:c>
      <x:c r="AL119" s="6" t="str">
        <x:v>1.4576826862869785</x:v>
      </x:c>
      <x:c r="AM119" s="6" t="str">
        <x:v>1.114440670465176</x:v>
      </x:c>
      <x:c r="AN119" s="6" t="str">
        <x:v>1.2310116413620913</x:v>
      </x:c>
      <x:c r="AO119" s="6" t="str">
        <x:v>-0.4139343187841433</x:v>
      </x:c>
      <x:c r="AP119" s="8" t="str">
        <x:v>-0.2217683744238294</x:v>
      </x:c>
      <x:c r="AQ119" s="6" t="str">
        <x:v>0.8176282091906877</x:v>
      </x:c>
      <x:c r="AR119" s="6" t="str">
        <x:v>-0.2290774819533278</x:v>
      </x:c>
      <x:c r="AS119" s="6" t="str">
        <x:v>0.1222607842711767</x:v>
      </x:c>
      <x:c r="AT119" s="6" t="str">
        <x:v>-8.753739190827702</x:v>
      </x:c>
      <x:c r="AU119" s="8" t="str">
        <x:v>-0.1078269433624313</x:v>
      </x:c>
      <x:c r="AV119" s="6" t="str">
        <x:v>1.2487545723916833</x:v>
      </x:c>
      <x:c r="AW119" s="6" t="str">
        <x:v>1.4945215876425046</x:v>
      </x:c>
      <x:c r="AX119" s="6" t="str">
        <x:v>0.8784830722239186</x:v>
      </x:c>
      <x:c r="AY119" s="6" t="str">
        <x:v>0</x:v>
      </x:c>
      <x:c r="AZ119" s="6" t="str">
        <x:v>1</x:v>
      </x:c>
      <x:c r="BA119" s="9" t="str">
        <x:v>grid_cells_within_BIG_polygon</x:v>
      </x:c>
      <x:c r="BB119" s="6" t="str">
        <x:v>13</x:v>
      </x:c>
      <x:c r="BC119" s="6" t="str">
        <x:v>1</x:v>
      </x:c>
      <x:c r="BD119" s="6" t="str">
        <x:v>1</x:v>
      </x:c>
      <x:c r="BE119" s="6" t="str">
        <x:v>1</x:v>
      </x:c>
      <x:c r="BF119" s="6" t="str">
        <x:v>0</x:v>
      </x:c>
      <x:c r="BG119" s="6" t="str">
        <x:v>0</x:v>
      </x:c>
      <x:c r="BH119" s="6" t="str">
        <x:v>0</x:v>
      </x:c>
      <x:c r="BI119" s="6" t="str">
        <x:v>0</x:v>
      </x:c>
      <x:c r="BJ119" s="6" t="str">
        <x:v>0</x:v>
      </x:c>
      <x:c r="BK119" s="6" t="str">
        <x:v>0</x:v>
      </x:c>
      <x:c r="BL119" s="6" t="str">
        <x:v>0</x:v>
      </x:c>
      <x:c r="BM119" s="6" t="str">
        <x:v>0</x:v>
      </x:c>
      <x:c r="BN119" s="6" t="str">
        <x:v>1</x:v>
      </x:c>
      <x:c r="BO119" s="6" t="str"/>
      <x:c r="BP119" s="6" t="str">
        <x:v>0</x:v>
      </x:c>
      <x:c r="BQ119" s="6" t="str"/>
      <x:c r="BR119" s="6" t="str">
        <x:v>0</x:v>
      </x:c>
      <x:c r="BS119" s="6" t="str">
        <x:v>7.0</x:v>
      </x:c>
      <x:c r="BT119" s="6" t="str">
        <x:v>1</x:v>
      </x:c>
      <x:c r="BU119" s="6" t="str">
        <x:v>43.0</x:v>
      </x:c>
      <x:c r="BV119" s="6" t="str">
        <x:v>1</x:v>
      </x:c>
      <x:c r="BW119" s="9" t="str">
        <x:v>operational_snapshot_annual_totals_may_differ</x:v>
      </x:c>
      <x:c r="BX119" s="9" t="str">
        <x:v>official_live_dashboard_snapshot_subject_to_revision</x:v>
      </x:c>
      <x:c r="BY119" s="9" t="str">
        <x:v>https://tbdashboard.sitb.id/ss_data_tbc03so_2025_provinsi_bulanan_list.php</x:v>
      </x:c>
      <x:c r="BZ119" s="6" t="n">
        <x:v>46246.610671296294</x:v>
      </x:c>
    </x:row>
    <x:row r="120" ht="18" customHeight="1">
      <x:c r="A120" s="6" t="str">
        <x:v>15</x:v>
      </x:c>
      <x:c r="B120" s="6" t="str">
        <x:v>JAMBI</x:v>
      </x:c>
      <x:c r="C120" s="6" t="str">
        <x:v>2025</x:v>
      </x:c>
      <x:c r="D120" s="6" t="str">
        <x:v>11</x:v>
      </x:c>
      <x:c r="E120" s="6" t="str">
        <x:v>2025-11</x:v>
      </x:c>
      <x:c r="F120" s="6" t="str">
        <x:v>619</x:v>
      </x:c>
      <x:c r="G120" s="6" t="str">
        <x:v>122</x:v>
      </x:c>
      <x:c r="H120" s="6" t="str">
        <x:v>284</x:v>
      </x:c>
      <x:c r="I120" s="6" t="str">
        <x:v>28</x:v>
      </x:c>
      <x:c r="J120" s="6" t="str">
        <x:v>25</x:v>
      </x:c>
      <x:c r="K120" s="6" t="str">
        <x:v>0</x:v>
      </x:c>
      <x:c r="L120" s="6" t="str">
        <x:v>0</x:v>
      </x:c>
      <x:c r="M120" s="6" t="str">
        <x:v>160</x:v>
      </x:c>
      <x:c r="N120" s="6" t="str">
        <x:v>619</x:v>
      </x:c>
      <x:c r="O120" s="6" t="str">
        <x:v>0</x:v>
      </x:c>
      <x:c r="P120" s="10" t="n">
        <x:f>F120-M120</x:f>
        <x:v>459</x:v>
      </x:c>
      <x:c r="Q120" s="11" t="n">
        <x:f>IFERROR(M120/F120,"")</x:f>
        <x:v>0.25848142164781907</x:v>
      </x:c>
      <x:c r="R120" s="10" t="n">
        <x:f>G120+H120</x:f>
        <x:v>406</x:v>
      </x:c>
      <x:c r="S120" s="11" t="n">
        <x:f>IFERROR(R120/F120,"")</x:f>
        <x:v>0.6558966074313409</x:v>
      </x:c>
      <x:c r="T120" s="11" t="n">
        <x:f>IFERROR(R120/P120,"")</x:f>
        <x:v>0.8845315904139434</x:v>
      </x:c>
      <x:c r="U120" s="10" t="n">
        <x:f>I120+J120+K120</x:f>
        <x:v>53</x:v>
      </x:c>
      <x:c r="V120" s="11" t="n">
        <x:f>IFERROR(U120/P120,"")</x:f>
        <x:v>0.11546840958605664</x:v>
      </x:c>
      <x:c r="W120" s="9" t="str">
        <x:v>provisional_gt_5pct_pending</x:v>
      </x:c>
      <x:c r="X120" s="12" t="n">
        <x:f>IFERROR(F120/Z120*100000,"")</x:f>
        <x:v>16.425633541196763</x:v>
      </x:c>
      <x:c r="Y120" s="13" t="n">
        <x:f>LN(Z120)</x:f>
        <x:v>15.142187602265661</x:v>
      </x:c>
      <x:c r="Z120" s="6" t="str">
        <x:v>3768500</x:v>
      </x:c>
      <x:c r="AA120" s="6" t="str">
        <x:v>77.0</x:v>
      </x:c>
      <x:c r="AB120" s="9" t="str">
        <x:v>2025-06-30</x:v>
      </x:c>
      <x:c r="AC120" s="8" t="str">
        <x:v>85.88</x:v>
      </x:c>
      <x:c r="AD120" s="9" t="str">
        <x:v>2025 (Susenas)</x:v>
      </x:c>
      <x:c r="AE120" s="8" t="str">
        <x:v>7.19</x:v>
      </x:c>
      <x:c r="AF120" s="9" t="str">
        <x:v>Maret 2025 (Susenas)</x:v>
      </x:c>
      <x:c r="AG120" s="6" t="str">
        <x:v>25.42411998911291</x:v>
      </x:c>
      <x:c r="AH120" s="8" t="str">
        <x:v>86.55217832558404</x:v>
      </x:c>
      <x:c r="AI120" s="6" t="str">
        <x:v>290.4760337514485</x:v>
      </x:c>
      <x:c r="AJ120" s="6" t="str">
        <x:v>0.2841229452154792</x:v>
      </x:c>
      <x:c r="AK120" s="8" t="str">
        <x:v>1.051116489630296</x:v>
      </x:c>
      <x:c r="AL120" s="6" t="str">
        <x:v>1.120911567334119</x:v>
      </x:c>
      <x:c r="AM120" s="6" t="str">
        <x:v>1.4576826862869785</x:v>
      </x:c>
      <x:c r="AN120" s="6" t="str">
        <x:v>1.209903581083798</x:v>
      </x:c>
      <x:c r="AO120" s="6" t="str">
        <x:v>-1.6938122245010447</x:v>
      </x:c>
      <x:c r="AP120" s="8" t="str">
        <x:v>-1.5113678313168446</x:v>
      </x:c>
      <x:c r="AQ120" s="6" t="str">
        <x:v>-0.2217683744238294</x:v>
      </x:c>
      <x:c r="AR120" s="6" t="str">
        <x:v>0.8176282091906877</x:v>
      </x:c>
      <x:c r="AS120" s="6" t="str">
        <x:v>-0.3051693321833288</x:v>
      </x:c>
      <x:c r="AT120" s="6" t="str">
        <x:v>35.8395839559204</x:v>
      </x:c>
      <x:c r="AU120" s="8" t="str">
        <x:v>0.4784607009176166</x:v>
      </x:c>
      <x:c r="AV120" s="6" t="str">
        <x:v>-0.1078269433624313</x:v>
      </x:c>
      <x:c r="AW120" s="6" t="str">
        <x:v>1.2487545723916833</x:v>
      </x:c>
      <x:c r="AX120" s="6" t="str">
        <x:v>0.5397961099822894</x:v>
      </x:c>
      <x:c r="AY120" s="6" t="str">
        <x:v>0</x:v>
      </x:c>
      <x:c r="AZ120" s="6" t="str">
        <x:v>1</x:v>
      </x:c>
      <x:c r="BA120" s="9" t="str">
        <x:v>grid_cells_within_BIG_polygon</x:v>
      </x:c>
      <x:c r="BB120" s="6" t="str">
        <x:v>13</x:v>
      </x:c>
      <x:c r="BC120" s="6" t="str">
        <x:v>0</x:v>
      </x:c>
      <x:c r="BD120" s="6" t="str">
        <x:v>0</x:v>
      </x:c>
      <x:c r="BE120" s="6" t="str">
        <x:v>0</x:v>
      </x:c>
      <x:c r="BF120" s="6" t="str">
        <x:v>0</x:v>
      </x:c>
      <x:c r="BG120" s="6" t="str">
        <x:v>0</x:v>
      </x:c>
      <x:c r="BH120" s="6" t="str">
        <x:v>0</x:v>
      </x:c>
      <x:c r="BI120" s="6" t="str">
        <x:v>0</x:v>
      </x:c>
      <x:c r="BJ120" s="6" t="str">
        <x:v>0</x:v>
      </x:c>
      <x:c r="BK120" s="6" t="str">
        <x:v>0</x:v>
      </x:c>
      <x:c r="BL120" s="6" t="str">
        <x:v>0</x:v>
      </x:c>
      <x:c r="BM120" s="6" t="str">
        <x:v>0</x:v>
      </x:c>
      <x:c r="BN120" s="6" t="str">
        <x:v>0</x:v>
      </x:c>
      <x:c r="BO120" s="6" t="str"/>
      <x:c r="BP120" s="6" t="str">
        <x:v>0</x:v>
      </x:c>
      <x:c r="BQ120" s="6" t="str"/>
      <x:c r="BR120" s="6" t="str">
        <x:v>0</x:v>
      </x:c>
      <x:c r="BS120" s="6" t="str"/>
      <x:c r="BT120" s="6" t="str">
        <x:v>0</x:v>
      </x:c>
      <x:c r="BU120" s="6" t="str"/>
      <x:c r="BV120" s="6" t="str">
        <x:v>0</x:v>
      </x:c>
      <x:c r="BW120" s="9" t="str">
        <x:v>operational_snapshot_annual_totals_may_differ</x:v>
      </x:c>
      <x:c r="BX120" s="9" t="str">
        <x:v>official_live_dashboard_snapshot_subject_to_revision</x:v>
      </x:c>
      <x:c r="BY120" s="9" t="str">
        <x:v>https://tbdashboard.sitb.id/ss_data_tbc03so_2025_provinsi_bulanan_list.php</x:v>
      </x:c>
      <x:c r="BZ120" s="6" t="n">
        <x:v>46246.610671296294</x:v>
      </x:c>
    </x:row>
    <x:row r="121" ht="18" customHeight="1">
      <x:c r="A121" s="6" t="str">
        <x:v>15</x:v>
      </x:c>
      <x:c r="B121" s="6" t="str">
        <x:v>JAMBI</x:v>
      </x:c>
      <x:c r="C121" s="6" t="str">
        <x:v>2025</x:v>
      </x:c>
      <x:c r="D121" s="6" t="str">
        <x:v>12</x:v>
      </x:c>
      <x:c r="E121" s="6" t="str">
        <x:v>2025-12</x:v>
      </x:c>
      <x:c r="F121" s="6" t="str">
        <x:v>615</x:v>
      </x:c>
      <x:c r="G121" s="6" t="str">
        <x:v>116</x:v>
      </x:c>
      <x:c r="H121" s="6" t="str">
        <x:v>234</x:v>
      </x:c>
      <x:c r="I121" s="6" t="str">
        <x:v>31</x:v>
      </x:c>
      <x:c r="J121" s="6" t="str">
        <x:v>29</x:v>
      </x:c>
      <x:c r="K121" s="6" t="str">
        <x:v>0</x:v>
      </x:c>
      <x:c r="L121" s="6" t="str">
        <x:v>0</x:v>
      </x:c>
      <x:c r="M121" s="6" t="str">
        <x:v>205</x:v>
      </x:c>
      <x:c r="N121" s="6" t="str">
        <x:v>615</x:v>
      </x:c>
      <x:c r="O121" s="6" t="str">
        <x:v>0</x:v>
      </x:c>
      <x:c r="P121" s="10" t="n">
        <x:f>F121-M121</x:f>
        <x:v>410</x:v>
      </x:c>
      <x:c r="Q121" s="11" t="n">
        <x:f>IFERROR(M121/F121,"")</x:f>
        <x:v>0.3333333333333333</x:v>
      </x:c>
      <x:c r="R121" s="10" t="n">
        <x:f>G121+H121</x:f>
        <x:v>350</x:v>
      </x:c>
      <x:c r="S121" s="11" t="n">
        <x:f>IFERROR(R121/F121,"")</x:f>
        <x:v>0.5691056910569106</x:v>
      </x:c>
      <x:c r="T121" s="11" t="n">
        <x:f>IFERROR(R121/P121,"")</x:f>
        <x:v>0.8536585365853658</x:v>
      </x:c>
      <x:c r="U121" s="10" t="n">
        <x:f>I121+J121+K121</x:f>
        <x:v>60</x:v>
      </x:c>
      <x:c r="V121" s="11" t="n">
        <x:f>IFERROR(U121/P121,"")</x:f>
        <x:v>0.14634146341463414</x:v>
      </x:c>
      <x:c r="W121" s="9" t="str">
        <x:v>provisional_gt_5pct_pending</x:v>
      </x:c>
      <x:c r="X121" s="12" t="n">
        <x:f>IFERROR(F121/Z121*100000,"")</x:f>
        <x:v>16.319490513466896</x:v>
      </x:c>
      <x:c r="Y121" s="13" t="n">
        <x:f>LN(Z121)</x:f>
        <x:v>15.142187602265661</x:v>
      </x:c>
      <x:c r="Z121" s="6" t="str">
        <x:v>3768500</x:v>
      </x:c>
      <x:c r="AA121" s="6" t="str">
        <x:v>77.0</x:v>
      </x:c>
      <x:c r="AB121" s="9" t="str">
        <x:v>2025-06-30</x:v>
      </x:c>
      <x:c r="AC121" s="8" t="str">
        <x:v>85.88</x:v>
      </x:c>
      <x:c r="AD121" s="9" t="str">
        <x:v>2025 (Susenas)</x:v>
      </x:c>
      <x:c r="AE121" s="8" t="str">
        <x:v>7.19</x:v>
      </x:c>
      <x:c r="AF121" s="9" t="str">
        <x:v>Maret 2025 (Susenas)</x:v>
      </x:c>
      <x:c r="AG121" s="6" t="str">
        <x:v>25.12328317032766</x:v>
      </x:c>
      <x:c r="AH121" s="8" t="str">
        <x:v>89.4109104475619</x:v>
      </x:c>
      <x:c r="AI121" s="6" t="str">
        <x:v>381.6582596291379</x:v>
      </x:c>
      <x:c r="AJ121" s="6" t="str">
        <x:v>0.3284429348443396</x:v>
      </x:c>
      <x:c r="AK121" s="8" t="str">
        <x:v>1.1477042475537766</x:v>
      </x:c>
      <x:c r="AL121" s="6" t="str">
        <x:v>1.051116489630296</x:v>
      </x:c>
      <x:c r="AM121" s="6" t="str">
        <x:v>1.120911567334119</x:v>
      </x:c>
      <x:c r="AN121" s="6" t="str">
        <x:v>1.1065774348393975</x:v>
      </x:c>
      <x:c r="AO121" s="6" t="str">
        <x:v>0.0620346814793606</x:v>
      </x:c>
      <x:c r="AP121" s="8" t="str">
        <x:v>0.0568417703581251</x:v>
      </x:c>
      <x:c r="AQ121" s="6" t="str">
        <x:v>-1.5113678313168446</x:v>
      </x:c>
      <x:c r="AR121" s="6" t="str">
        <x:v>-0.2217683744238294</x:v>
      </x:c>
      <x:c r="AS121" s="6" t="str">
        <x:v>-0.5587648117941829</x:v>
      </x:c>
      <x:c r="AT121" s="6" t="str">
        <x:v>154.06688491710233</x:v>
      </x:c>
      <x:c r="AU121" s="8" t="str">
        <x:v>2.8979389000305416</x:v>
      </x:c>
      <x:c r="AV121" s="6" t="str">
        <x:v>0.4784607009176166</x:v>
      </x:c>
      <x:c r="AW121" s="6" t="str">
        <x:v>-0.1078269433624313</x:v>
      </x:c>
      <x:c r="AX121" s="6" t="str">
        <x:v>1.089524219195242</x:v>
      </x:c>
      <x:c r="AY121" s="6" t="str">
        <x:v>1</x:v>
      </x:c>
      <x:c r="AZ121" s="6" t="str">
        <x:v>1</x:v>
      </x:c>
      <x:c r="BA121" s="9" t="str">
        <x:v>grid_cells_within_BIG_polygon</x:v>
      </x:c>
      <x:c r="BB121" s="6" t="str">
        <x:v>13</x:v>
      </x:c>
      <x:c r="BC121" s="6" t="str">
        <x:v>2</x:v>
      </x:c>
      <x:c r="BD121" s="6" t="str">
        <x:v>2</x:v>
      </x:c>
      <x:c r="BE121" s="6" t="str">
        <x:v>2</x:v>
      </x:c>
      <x:c r="BF121" s="6" t="str">
        <x:v>0</x:v>
      </x:c>
      <x:c r="BG121" s="6" t="str">
        <x:v>0</x:v>
      </x:c>
      <x:c r="BH121" s="6" t="str">
        <x:v>0</x:v>
      </x:c>
      <x:c r="BI121" s="6" t="str">
        <x:v>0</x:v>
      </x:c>
      <x:c r="BJ121" s="6" t="str">
        <x:v>0</x:v>
      </x:c>
      <x:c r="BK121" s="6" t="str">
        <x:v>0</x:v>
      </x:c>
      <x:c r="BL121" s="6" t="str">
        <x:v>0</x:v>
      </x:c>
      <x:c r="BM121" s="6" t="str">
        <x:v>0</x:v>
      </x:c>
      <x:c r="BN121" s="6" t="str">
        <x:v>2</x:v>
      </x:c>
      <x:c r="BO121" s="6" t="str">
        <x:v>1.0</x:v>
      </x:c>
      <x:c r="BP121" s="6" t="str">
        <x:v>1</x:v>
      </x:c>
      <x:c r="BQ121" s="6" t="str">
        <x:v>1.0</x:v>
      </x:c>
      <x:c r="BR121" s="6" t="str">
        <x:v>1</x:v>
      </x:c>
      <x:c r="BS121" s="6" t="str">
        <x:v>0.0</x:v>
      </x:c>
      <x:c r="BT121" s="6" t="str">
        <x:v>2</x:v>
      </x:c>
      <x:c r="BU121" s="6" t="str">
        <x:v>860.0</x:v>
      </x:c>
      <x:c r="BV121" s="6" t="str">
        <x:v>2</x:v>
      </x:c>
      <x:c r="BW121" s="9" t="str">
        <x:v>operational_snapshot_annual_totals_may_differ</x:v>
      </x:c>
      <x:c r="BX121" s="9" t="str">
        <x:v>official_live_dashboard_snapshot_subject_to_revision</x:v>
      </x:c>
      <x:c r="BY121" s="9" t="str">
        <x:v>https://tbdashboard.sitb.id/ss_data_tbc03so_2025_provinsi_bulanan_list.php</x:v>
      </x:c>
      <x:c r="BZ121" s="6" t="n">
        <x:v>46246.610671296294</x:v>
      </x:c>
    </x:row>
    <x:row r="122" ht="18" customHeight="1">
      <x:c r="A122" s="6" t="str">
        <x:v>16</x:v>
      </x:c>
      <x:c r="B122" s="6" t="str">
        <x:v>SUMATERA SELATAN</x:v>
      </x:c>
      <x:c r="C122" s="6" t="str">
        <x:v>2024</x:v>
      </x:c>
      <x:c r="D122" s="6" t="str">
        <x:v>1</x:v>
      </x:c>
      <x:c r="E122" s="6" t="str">
        <x:v>2024-01</x:v>
      </x:c>
      <x:c r="F122" s="6" t="str">
        <x:v>2148</x:v>
      </x:c>
      <x:c r="G122" s="6" t="str">
        <x:v>499</x:v>
      </x:c>
      <x:c r="H122" s="6" t="str">
        <x:v>1425</x:v>
      </x:c>
      <x:c r="I122" s="6" t="str">
        <x:v>96</x:v>
      </x:c>
      <x:c r="J122" s="6" t="str">
        <x:v>77</x:v>
      </x:c>
      <x:c r="K122" s="6" t="str">
        <x:v>2</x:v>
      </x:c>
      <x:c r="L122" s="6" t="str">
        <x:v>7</x:v>
      </x:c>
      <x:c r="M122" s="6" t="str">
        <x:v>42</x:v>
      </x:c>
      <x:c r="N122" s="6" t="str">
        <x:v>2148</x:v>
      </x:c>
      <x:c r="O122" s="6" t="str">
        <x:v>0</x:v>
      </x:c>
      <x:c r="P122" s="10" t="n">
        <x:f>F122-M122</x:f>
        <x:v>2106</x:v>
      </x:c>
      <x:c r="Q122" s="11" t="n">
        <x:f>IFERROR(M122/F122,"")</x:f>
        <x:v>0.019553072625698324</x:v>
      </x:c>
      <x:c r="R122" s="10" t="n">
        <x:f>G122+H122</x:f>
        <x:v>1924</x:v>
      </x:c>
      <x:c r="S122" s="11" t="n">
        <x:f>IFERROR(R122/F122,"")</x:f>
        <x:v>0.8957169459962756</x:v>
      </x:c>
      <x:c r="T122" s="11" t="n">
        <x:f>IFERROR(R122/P122,"")</x:f>
        <x:v>0.9135802469135802</x:v>
      </x:c>
      <x:c r="U122" s="10" t="n">
        <x:f>I122+J122+K122</x:f>
        <x:v>175</x:v>
      </x:c>
      <x:c r="V122" s="11" t="n">
        <x:f>IFERROR(U122/P122,"")</x:f>
        <x:v>0.08309591642924977</x:v>
      </x:c>
      <x:c r="W122" s="9" t="str">
        <x:v>mature_le_5pct_pending</x:v>
      </x:c>
      <x:c r="X122" s="12" t="n">
        <x:f>IFERROR(F122/Z122*100000,"")</x:f>
        <x:v>24.306066332477112</x:v>
      </x:c>
      <x:c r="Y122" s="13" t="n">
        <x:f>LN(Z122)</x:f>
        <x:v>15.994491958096372</x:v>
      </x:c>
      <x:c r="Z122" s="6" t="str">
        <x:v>8837300</x:v>
      </x:c>
      <x:c r="AA122" s="6" t="str">
        <x:v>102.0</x:v>
      </x:c>
      <x:c r="AB122" s="9" t="str">
        <x:v>2024-06-30</x:v>
      </x:c>
      <x:c r="AC122" s="8" t="str">
        <x:v>82.36</x:v>
      </x:c>
      <x:c r="AD122" s="9" t="str">
        <x:v>2024 (Susenas)</x:v>
      </x:c>
      <x:c r="AE122" s="8" t="str">
        <x:v>10.97</x:v>
      </x:c>
      <x:c r="AF122" s="9" t="str">
        <x:v>Maret 2024 (Susenas)</x:v>
      </x:c>
      <x:c r="AG122" s="6" t="str">
        <x:v>26.3355058154856</x:v>
      </x:c>
      <x:c r="AH122" s="8" t="str">
        <x:v>88.32210261252904</x:v>
      </x:c>
      <x:c r="AI122" s="6" t="str">
        <x:v>284.4375647643402</x:v>
      </x:c>
      <x:c r="AJ122" s="6" t="str">
        <x:v>1.0476483761548143</x:v>
      </x:c>
      <x:c r="AK122" s="8" t="str">
        <x:v>2.3510794001549216</x:v>
      </x:c>
      <x:c r="AL122" s="6" t="str">
        <x:v>3.5881488307226457</x:v>
      </x:c>
      <x:c r="AM122" s="6" t="str">
        <x:v>2.554296147563501</x:v>
      </x:c>
      <x:c r="AN122" s="6" t="str">
        <x:v>2.8311747928136897</x:v>
      </x:c>
      <x:c r="AO122" s="6" t="str">
        <x:v>-1.1314617856329647</x:v>
      </x:c>
      <x:c r="AP122" s="8" t="str">
        <x:v>-0.9259481604621824</x:v>
      </x:c>
      <x:c r="AQ122" s="6" t="str">
        <x:v>-1.8265609855933151</x:v>
      </x:c>
      <x:c r="AR122" s="6" t="str">
        <x:v>-0.8189181585845116</x:v>
      </x:c>
      <x:c r="AS122" s="6" t="str">
        <x:v>-1.190475768213337</x:v>
      </x:c>
      <x:c r="AT122" s="6" t="str">
        <x:v>42.70234083848206</x:v>
      </x:c>
      <x:c r="AU122" s="8" t="str">
        <x:v>0.6226749488017825</x:v>
      </x:c>
      <x:c r="AV122" s="6" t="str">
        <x:v>-1.126500298359252</x:v>
      </x:c>
      <x:c r="AW122" s="6" t="str">
        <x:v>-1.043386143723049</x:v>
      </x:c>
      <x:c r="AX122" s="6" t="str">
        <x:v>-0.5157371644268395</x:v>
      </x:c>
      <x:c r="AY122" s="6" t="str">
        <x:v>0</x:v>
      </x:c>
      <x:c r="AZ122" s="6" t="str">
        <x:v>1</x:v>
      </x:c>
      <x:c r="BA122" s="9" t="str">
        <x:v>grid_cells_within_BIG_polygon</x:v>
      </x:c>
      <x:c r="BB122" s="6" t="str">
        <x:v>23</x:v>
      </x:c>
      <x:c r="BC122" s="6" t="str">
        <x:v>29</x:v>
      </x:c>
      <x:c r="BD122" s="6" t="str">
        <x:v>29</x:v>
      </x:c>
      <x:c r="BE122" s="6" t="str">
        <x:v>29</x:v>
      </x:c>
      <x:c r="BF122" s="6" t="str">
        <x:v>0</x:v>
      </x:c>
      <x:c r="BG122" s="6" t="str">
        <x:v>0</x:v>
      </x:c>
      <x:c r="BH122" s="6" t="str">
        <x:v>0</x:v>
      </x:c>
      <x:c r="BI122" s="6" t="str">
        <x:v>0</x:v>
      </x:c>
      <x:c r="BJ122" s="6" t="str">
        <x:v>0</x:v>
      </x:c>
      <x:c r="BK122" s="6" t="str">
        <x:v>0</x:v>
      </x:c>
      <x:c r="BL122" s="6" t="str">
        <x:v>0</x:v>
      </x:c>
      <x:c r="BM122" s="6" t="str">
        <x:v>0</x:v>
      </x:c>
      <x:c r="BN122" s="6" t="str">
        <x:v>29</x:v>
      </x:c>
      <x:c r="BO122" s="6" t="str">
        <x:v>0.0</x:v>
      </x:c>
      <x:c r="BP122" s="6" t="str">
        <x:v>14</x:v>
      </x:c>
      <x:c r="BQ122" s="6" t="str">
        <x:v>0.0</x:v>
      </x:c>
      <x:c r="BR122" s="6" t="str">
        <x:v>14</x:v>
      </x:c>
      <x:c r="BS122" s="6" t="str">
        <x:v>401.0</x:v>
      </x:c>
      <x:c r="BT122" s="6" t="str">
        <x:v>29</x:v>
      </x:c>
      <x:c r="BU122" s="6" t="str">
        <x:v>44906.0</x:v>
      </x:c>
      <x:c r="BV122" s="6" t="str">
        <x:v>28</x:v>
      </x:c>
      <x:c r="BW122" s="9" t="str">
        <x:v>operational_snapshot_annual_totals_may_differ</x:v>
      </x:c>
      <x:c r="BX122" s="9" t="str">
        <x:v>official_live_dashboard_snapshot_subject_to_revision</x:v>
      </x:c>
      <x:c r="BY122" s="9" t="str">
        <x:v>https://tbdashboard.sitb.id/ss_data_tbc03so_2024_provinsi_bulanan_list.php</x:v>
      </x:c>
      <x:c r="BZ122" s="6" t="n">
        <x:v>46246.610671296294</x:v>
      </x:c>
    </x:row>
    <x:row r="123" ht="18" customHeight="1">
      <x:c r="A123" s="6" t="str">
        <x:v>16</x:v>
      </x:c>
      <x:c r="B123" s="6" t="str">
        <x:v>SUMATERA SELATAN</x:v>
      </x:c>
      <x:c r="C123" s="6" t="str">
        <x:v>2024</x:v>
      </x:c>
      <x:c r="D123" s="6" t="str">
        <x:v>2</x:v>
      </x:c>
      <x:c r="E123" s="6" t="str">
        <x:v>2024-02</x:v>
      </x:c>
      <x:c r="F123" s="6" t="str">
        <x:v>1794</x:v>
      </x:c>
      <x:c r="G123" s="6" t="str">
        <x:v>346</x:v>
      </x:c>
      <x:c r="H123" s="6" t="str">
        <x:v>1264</x:v>
      </x:c>
      <x:c r="I123" s="6" t="str">
        <x:v>75</x:v>
      </x:c>
      <x:c r="J123" s="6" t="str">
        <x:v>77</x:v>
      </x:c>
      <x:c r="K123" s="6" t="str">
        <x:v>1</x:v>
      </x:c>
      <x:c r="L123" s="6" t="str">
        <x:v>4</x:v>
      </x:c>
      <x:c r="M123" s="6" t="str">
        <x:v>27</x:v>
      </x:c>
      <x:c r="N123" s="6" t="str">
        <x:v>1794</x:v>
      </x:c>
      <x:c r="O123" s="6" t="str">
        <x:v>0</x:v>
      </x:c>
      <x:c r="P123" s="10" t="n">
        <x:f>F123-M123</x:f>
        <x:v>1767</x:v>
      </x:c>
      <x:c r="Q123" s="11" t="n">
        <x:f>IFERROR(M123/F123,"")</x:f>
        <x:v>0.015050167224080268</x:v>
      </x:c>
      <x:c r="R123" s="10" t="n">
        <x:f>G123+H123</x:f>
        <x:v>1610</x:v>
      </x:c>
      <x:c r="S123" s="11" t="n">
        <x:f>IFERROR(R123/F123,"")</x:f>
        <x:v>0.8974358974358975</x:v>
      </x:c>
      <x:c r="T123" s="11" t="n">
        <x:f>IFERROR(R123/P123,"")</x:f>
        <x:v>0.9111488398415394</x:v>
      </x:c>
      <x:c r="U123" s="10" t="n">
        <x:f>I123+J123+K123</x:f>
        <x:v>153</x:v>
      </x:c>
      <x:c r="V123" s="11" t="n">
        <x:f>IFERROR(U123/P123,"")</x:f>
        <x:v>0.0865874363327674</x:v>
      </x:c>
      <x:c r="W123" s="9" t="str">
        <x:v>mature_le_5pct_pending</x:v>
      </x:c>
      <x:c r="X123" s="12" t="n">
        <x:f>IFERROR(F123/Z123*100000,"")</x:f>
        <x:v>20.300317970420828</x:v>
      </x:c>
      <x:c r="Y123" s="13" t="n">
        <x:f>LN(Z123)</x:f>
        <x:v>15.994491958096372</x:v>
      </x:c>
      <x:c r="Z123" s="6" t="str">
        <x:v>8837300</x:v>
      </x:c>
      <x:c r="AA123" s="6" t="str">
        <x:v>102.0</x:v>
      </x:c>
      <x:c r="AB123" s="9" t="str">
        <x:v>2024-06-30</x:v>
      </x:c>
      <x:c r="AC123" s="8" t="str">
        <x:v>82.36</x:v>
      </x:c>
      <x:c r="AD123" s="9" t="str">
        <x:v>2024 (Susenas)</x:v>
      </x:c>
      <x:c r="AE123" s="8" t="str">
        <x:v>10.97</x:v>
      </x:c>
      <x:c r="AF123" s="9" t="str">
        <x:v>Maret 2024 (Susenas)</x:v>
      </x:c>
      <x:c r="AG123" s="6" t="str">
        <x:v>26.5720507148686</x:v>
      </x:c>
      <x:c r="AH123" s="8" t="str">
        <x:v>89.28341742728803</x:v>
      </x:c>
      <x:c r="AI123" s="6" t="str">
        <x:v>362.1707401366243</x:v>
      </x:c>
      <x:c r="AJ123" s="6" t="str">
        <x:v>1.1570464492784502</x:v>
      </x:c>
      <x:c r="AK123" s="8" t="str">
        <x:v>2.6420824216117187</x:v>
      </x:c>
      <x:c r="AL123" s="6" t="str">
        <x:v>2.3510794001549216</x:v>
      </x:c>
      <x:c r="AM123" s="6" t="str">
        <x:v>3.5881488307226457</x:v>
      </x:c>
      <x:c r="AN123" s="6" t="str">
        <x:v>2.860436884163096</x:v>
      </x:c>
      <x:c r="AO123" s="6" t="str">
        <x:v>0.1504724009423483</x:v>
      </x:c>
      <x:c r="AP123" s="8" t="str">
        <x:v>0.1905790995197024</x:v>
      </x:c>
      <x:c r="AQ123" s="6" t="str">
        <x:v>-0.9259481604621824</x:v>
      </x:c>
      <x:c r="AR123" s="6" t="str">
        <x:v>-1.8265609855933151</x:v>
      </x:c>
      <x:c r="AS123" s="6" t="str">
        <x:v>-0.8539766821785987</x:v>
      </x:c>
      <x:c r="AT123" s="6" t="str">
        <x:v>140.83965149508876</x:v>
      </x:c>
      <x:c r="AU123" s="8" t="str">
        <x:v>2.4632183042210816</x:v>
      </x:c>
      <x:c r="AV123" s="6" t="str">
        <x:v>0.6226749488017825</x:v>
      </x:c>
      <x:c r="AW123" s="6" t="str">
        <x:v>-1.126500298359252</x:v>
      </x:c>
      <x:c r="AX123" s="6" t="str">
        <x:v>0.6531309848878707</x:v>
      </x:c>
      <x:c r="AY123" s="6" t="str">
        <x:v>1</x:v>
      </x:c>
      <x:c r="AZ123" s="6" t="str">
        <x:v>1</x:v>
      </x:c>
      <x:c r="BA123" s="9" t="str">
        <x:v>grid_cells_within_BIG_polygon</x:v>
      </x:c>
      <x:c r="BB123" s="6" t="str">
        <x:v>23</x:v>
      </x:c>
      <x:c r="BC123" s="6" t="str">
        <x:v>13</x:v>
      </x:c>
      <x:c r="BD123" s="6" t="str">
        <x:v>13</x:v>
      </x:c>
      <x:c r="BE123" s="6" t="str">
        <x:v>12</x:v>
      </x:c>
      <x:c r="BF123" s="6" t="str">
        <x:v>1</x:v>
      </x:c>
      <x:c r="BG123" s="6" t="str">
        <x:v>0</x:v>
      </x:c>
      <x:c r="BH123" s="6" t="str">
        <x:v>0</x:v>
      </x:c>
      <x:c r="BI123" s="6" t="str">
        <x:v>0</x:v>
      </x:c>
      <x:c r="BJ123" s="6" t="str">
        <x:v>0</x:v>
      </x:c>
      <x:c r="BK123" s="6" t="str">
        <x:v>0</x:v>
      </x:c>
      <x:c r="BL123" s="6" t="str">
        <x:v>0</x:v>
      </x:c>
      <x:c r="BM123" s="6" t="str">
        <x:v>0</x:v>
      </x:c>
      <x:c r="BN123" s="6" t="str">
        <x:v>13</x:v>
      </x:c>
      <x:c r="BO123" s="6" t="str">
        <x:v>0.0</x:v>
      </x:c>
      <x:c r="BP123" s="6" t="str">
        <x:v>7</x:v>
      </x:c>
      <x:c r="BQ123" s="6" t="str">
        <x:v>8.0</x:v>
      </x:c>
      <x:c r="BR123" s="6" t="str">
        <x:v>7</x:v>
      </x:c>
      <x:c r="BS123" s="6" t="str">
        <x:v>0.0</x:v>
      </x:c>
      <x:c r="BT123" s="6" t="str">
        <x:v>13</x:v>
      </x:c>
      <x:c r="BU123" s="6" t="str">
        <x:v>4402.0</x:v>
      </x:c>
      <x:c r="BV123" s="6" t="str">
        <x:v>12</x:v>
      </x:c>
      <x:c r="BW123" s="9" t="str">
        <x:v>operational_snapshot_annual_totals_may_differ</x:v>
      </x:c>
      <x:c r="BX123" s="9" t="str">
        <x:v>official_live_dashboard_snapshot_subject_to_revision</x:v>
      </x:c>
      <x:c r="BY123" s="9" t="str">
        <x:v>https://tbdashboard.sitb.id/ss_data_tbc03so_2024_provinsi_bulanan_list.php</x:v>
      </x:c>
      <x:c r="BZ123" s="6" t="n">
        <x:v>46246.610671296294</x:v>
      </x:c>
    </x:row>
    <x:row r="124" ht="18" customHeight="1">
      <x:c r="A124" s="6" t="str">
        <x:v>16</x:v>
      </x:c>
      <x:c r="B124" s="6" t="str">
        <x:v>SUMATERA SELATAN</x:v>
      </x:c>
      <x:c r="C124" s="6" t="str">
        <x:v>2024</x:v>
      </x:c>
      <x:c r="D124" s="6" t="str">
        <x:v>3</x:v>
      </x:c>
      <x:c r="E124" s="6" t="str">
        <x:v>2024-03</x:v>
      </x:c>
      <x:c r="F124" s="6" t="str">
        <x:v>1993</x:v>
      </x:c>
      <x:c r="G124" s="6" t="str">
        <x:v>422</x:v>
      </x:c>
      <x:c r="H124" s="6" t="str">
        <x:v>1396</x:v>
      </x:c>
      <x:c r="I124" s="6" t="str">
        <x:v>81</x:v>
      </x:c>
      <x:c r="J124" s="6" t="str">
        <x:v>63</x:v>
      </x:c>
      <x:c r="K124" s="6" t="str">
        <x:v>1</x:v>
      </x:c>
      <x:c r="L124" s="6" t="str">
        <x:v>3</x:v>
      </x:c>
      <x:c r="M124" s="6" t="str">
        <x:v>27</x:v>
      </x:c>
      <x:c r="N124" s="6" t="str">
        <x:v>1993</x:v>
      </x:c>
      <x:c r="O124" s="6" t="str">
        <x:v>0</x:v>
      </x:c>
      <x:c r="P124" s="10" t="n">
        <x:f>F124-M124</x:f>
        <x:v>1966</x:v>
      </x:c>
      <x:c r="Q124" s="11" t="n">
        <x:f>IFERROR(M124/F124,"")</x:f>
        <x:v>0.013547415955845458</x:v>
      </x:c>
      <x:c r="R124" s="10" t="n">
        <x:f>G124+H124</x:f>
        <x:v>1818</x:v>
      </x:c>
      <x:c r="S124" s="11" t="n">
        <x:f>IFERROR(R124/F124,"")</x:f>
        <x:v>0.9121926743602609</x:v>
      </x:c>
      <x:c r="T124" s="11" t="n">
        <x:f>IFERROR(R124/P124,"")</x:f>
        <x:v>0.9247202441505595</x:v>
      </x:c>
      <x:c r="U124" s="10" t="n">
        <x:f>I124+J124+K124</x:f>
        <x:v>145</x:v>
      </x:c>
      <x:c r="V124" s="11" t="n">
        <x:f>IFERROR(U124/P124,"")</x:f>
        <x:v>0.07375381485249237</x:v>
      </x:c>
      <x:c r="W124" s="9" t="str">
        <x:v>mature_le_5pct_pending</x:v>
      </x:c>
      <x:c r="X124" s="12" t="n">
        <x:f>IFERROR(F124/Z124*100000,"")</x:f>
        <x:v>22.552136964910098</x:v>
      </x:c>
      <x:c r="Y124" s="13" t="n">
        <x:f>LN(Z124)</x:f>
        <x:v>15.994491958096372</x:v>
      </x:c>
      <x:c r="Z124" s="6" t="str">
        <x:v>8837300</x:v>
      </x:c>
      <x:c r="AA124" s="6" t="str">
        <x:v>102.0</x:v>
      </x:c>
      <x:c r="AB124" s="9" t="str">
        <x:v>2024-06-30</x:v>
      </x:c>
      <x:c r="AC124" s="8" t="str">
        <x:v>82.36</x:v>
      </x:c>
      <x:c r="AD124" s="9" t="str">
        <x:v>2024 (Susenas)</x:v>
      </x:c>
      <x:c r="AE124" s="8" t="str">
        <x:v>10.97</x:v>
      </x:c>
      <x:c r="AF124" s="9" t="str">
        <x:v>Maret 2024 (Susenas)</x:v>
      </x:c>
      <x:c r="AG124" s="6" t="str">
        <x:v>26.74990704348556</x:v>
      </x:c>
      <x:c r="AH124" s="8" t="str">
        <x:v>88.4032187063604</x:v>
      </x:c>
      <x:c r="AI124" s="6" t="str">
        <x:v>401.241076240616</x:v>
      </x:c>
      <x:c r="AJ124" s="6" t="str">
        <x:v>0.9384187377860124</x:v>
      </x:c>
      <x:c r="AK124" s="8" t="str">
        <x:v>2.600949523857424</x:v>
      </x:c>
      <x:c r="AL124" s="6" t="str">
        <x:v>2.6420824216117187</x:v>
      </x:c>
      <x:c r="AM124" s="6" t="str">
        <x:v>2.3510794001549216</x:v>
      </x:c>
      <x:c r="AN124" s="6" t="str">
        <x:v>2.5313704485413555</x:v>
      </x:c>
      <x:c r="AO124" s="6" t="str">
        <x:v>0.1865275500086483</x:v>
      </x:c>
      <x:c r="AP124" s="8" t="str">
        <x:v>0.2079592530913496</x:v>
      </x:c>
      <x:c r="AQ124" s="6" t="str">
        <x:v>0.1905790995197024</x:v>
      </x:c>
      <x:c r="AR124" s="6" t="str">
        <x:v>-0.9259481604621824</x:v>
      </x:c>
      <x:c r="AS124" s="6" t="str">
        <x:v>-0.1758032692837104</x:v>
      </x:c>
      <x:c r="AT124" s="6" t="str">
        <x:v>126.92234137473594</x:v>
      </x:c>
      <x:c r="AU124" s="8" t="str">
        <x:v>1.5804093857346926</x:v>
      </x:c>
      <x:c r="AV124" s="6" t="str">
        <x:v>2.4632183042210816</x:v>
      </x:c>
      <x:c r="AW124" s="6" t="str">
        <x:v>0.6226749488017825</x:v>
      </x:c>
      <x:c r="AX124" s="6" t="str">
        <x:v>1.5554342129191856</x:v>
      </x:c>
      <x:c r="AY124" s="6" t="str">
        <x:v>1</x:v>
      </x:c>
      <x:c r="AZ124" s="6" t="str">
        <x:v>1</x:v>
      </x:c>
      <x:c r="BA124" s="9" t="str">
        <x:v>grid_cells_within_BIG_polygon</x:v>
      </x:c>
      <x:c r="BB124" s="6" t="str">
        <x:v>23</x:v>
      </x:c>
      <x:c r="BC124" s="6" t="str">
        <x:v>6</x:v>
      </x:c>
      <x:c r="BD124" s="6" t="str">
        <x:v>6</x:v>
      </x:c>
      <x:c r="BE124" s="6" t="str">
        <x:v>5</x:v>
      </x:c>
      <x:c r="BF124" s="6" t="str">
        <x:v>0</x:v>
      </x:c>
      <x:c r="BG124" s="6" t="str">
        <x:v>1</x:v>
      </x:c>
      <x:c r="BH124" s="6" t="str">
        <x:v>0</x:v>
      </x:c>
      <x:c r="BI124" s="6" t="str">
        <x:v>0</x:v>
      </x:c>
      <x:c r="BJ124" s="6" t="str">
        <x:v>0</x:v>
      </x:c>
      <x:c r="BK124" s="6" t="str">
        <x:v>0</x:v>
      </x:c>
      <x:c r="BL124" s="6" t="str">
        <x:v>0</x:v>
      </x:c>
      <x:c r="BM124" s="6" t="str">
        <x:v>0</x:v>
      </x:c>
      <x:c r="BN124" s="6" t="str">
        <x:v>6</x:v>
      </x:c>
      <x:c r="BO124" s="6" t="str">
        <x:v>0.0</x:v>
      </x:c>
      <x:c r="BP124" s="6" t="str">
        <x:v>4</x:v>
      </x:c>
      <x:c r="BQ124" s="6" t="str">
        <x:v>0.0</x:v>
      </x:c>
      <x:c r="BR124" s="6" t="str">
        <x:v>4</x:v>
      </x:c>
      <x:c r="BS124" s="6" t="str">
        <x:v>26.0</x:v>
      </x:c>
      <x:c r="BT124" s="6" t="str">
        <x:v>6</x:v>
      </x:c>
      <x:c r="BU124" s="6" t="str">
        <x:v>3736.0</x:v>
      </x:c>
      <x:c r="BV124" s="6" t="str">
        <x:v>5</x:v>
      </x:c>
      <x:c r="BW124" s="9" t="str">
        <x:v>operational_snapshot_annual_totals_may_differ</x:v>
      </x:c>
      <x:c r="BX124" s="9" t="str">
        <x:v>official_live_dashboard_snapshot_subject_to_revision</x:v>
      </x:c>
      <x:c r="BY124" s="9" t="str">
        <x:v>https://tbdashboard.sitb.id/ss_data_tbc03so_2024_provinsi_bulanan_list.php</x:v>
      </x:c>
      <x:c r="BZ124" s="6" t="n">
        <x:v>46246.610671296294</x:v>
      </x:c>
    </x:row>
    <x:row r="125" ht="18" customHeight="1">
      <x:c r="A125" s="6" t="str">
        <x:v>16</x:v>
      </x:c>
      <x:c r="B125" s="6" t="str">
        <x:v>SUMATERA SELATAN</x:v>
      </x:c>
      <x:c r="C125" s="6" t="str">
        <x:v>2024</x:v>
      </x:c>
      <x:c r="D125" s="6" t="str">
        <x:v>4</x:v>
      </x:c>
      <x:c r="E125" s="6" t="str">
        <x:v>2024-04</x:v>
      </x:c>
      <x:c r="F125" s="6" t="str">
        <x:v>1770</x:v>
      </x:c>
      <x:c r="G125" s="6" t="str">
        <x:v>386</x:v>
      </x:c>
      <x:c r="H125" s="6" t="str">
        <x:v>1211</x:v>
      </x:c>
      <x:c r="I125" s="6" t="str">
        <x:v>83</x:v>
      </x:c>
      <x:c r="J125" s="6" t="str">
        <x:v>65</x:v>
      </x:c>
      <x:c r="K125" s="6" t="str">
        <x:v>3</x:v>
      </x:c>
      <x:c r="L125" s="6" t="str">
        <x:v>1</x:v>
      </x:c>
      <x:c r="M125" s="6" t="str">
        <x:v>21</x:v>
      </x:c>
      <x:c r="N125" s="6" t="str">
        <x:v>1770</x:v>
      </x:c>
      <x:c r="O125" s="6" t="str">
        <x:v>0</x:v>
      </x:c>
      <x:c r="P125" s="10" t="n">
        <x:f>F125-M125</x:f>
        <x:v>1749</x:v>
      </x:c>
      <x:c r="Q125" s="11" t="n">
        <x:f>IFERROR(M125/F125,"")</x:f>
        <x:v>0.011864406779661017</x:v>
      </x:c>
      <x:c r="R125" s="10" t="n">
        <x:f>G125+H125</x:f>
        <x:v>1597</x:v>
      </x:c>
      <x:c r="S125" s="11" t="n">
        <x:f>IFERROR(R125/F125,"")</x:f>
        <x:v>0.9022598870056497</x:v>
      </x:c>
      <x:c r="T125" s="11" t="n">
        <x:f>IFERROR(R125/P125,"")</x:f>
        <x:v>0.9130931961120641</x:v>
      </x:c>
      <x:c r="U125" s="10" t="n">
        <x:f>I125+J125+K125</x:f>
        <x:v>151</x:v>
      </x:c>
      <x:c r="V125" s="11" t="n">
        <x:f>IFERROR(U125/P125,"")</x:f>
        <x:v>0.08633504859919955</x:v>
      </x:c>
      <x:c r="W125" s="9" t="str">
        <x:v>mature_le_5pct_pending</x:v>
      </x:c>
      <x:c r="X125" s="12" t="n">
        <x:f>IFERROR(F125/Z125*100000,"")</x:f>
        <x:v>20.02874181028142</x:v>
      </x:c>
      <x:c r="Y125" s="13" t="n">
        <x:f>LN(Z125)</x:f>
        <x:v>15.994491958096372</x:v>
      </x:c>
      <x:c r="Z125" s="6" t="str">
        <x:v>8837300</x:v>
      </x:c>
      <x:c r="AA125" s="6" t="str">
        <x:v>102.0</x:v>
      </x:c>
      <x:c r="AB125" s="9" t="str">
        <x:v>2024-06-30</x:v>
      </x:c>
      <x:c r="AC125" s="8" t="str">
        <x:v>82.36</x:v>
      </x:c>
      <x:c r="AD125" s="9" t="str">
        <x:v>2024 (Susenas)</x:v>
      </x:c>
      <x:c r="AE125" s="8" t="str">
        <x:v>10.97</x:v>
      </x:c>
      <x:c r="AF125" s="9" t="str">
        <x:v>Maret 2024 (Susenas)</x:v>
      </x:c>
      <x:c r="AG125" s="6" t="str">
        <x:v>27.35338226779757</x:v>
      </x:c>
      <x:c r="AH125" s="8" t="str">
        <x:v>88.14610361760256</x:v>
      </x:c>
      <x:c r="AI125" s="6" t="str">
        <x:v>305.2185133332973</x:v>
      </x:c>
      <x:c r="AJ125" s="6" t="str">
        <x:v>1.1988005623868112</x:v>
      </x:c>
      <x:c r="AK125" s="8" t="str">
        <x:v>3.438091593721781</x:v>
      </x:c>
      <x:c r="AL125" s="6" t="str">
        <x:v>2.600949523857424</x:v>
      </x:c>
      <x:c r="AM125" s="6" t="str">
        <x:v>2.6420824216117187</x:v>
      </x:c>
      <x:c r="AN125" s="6" t="str">
        <x:v>2.893707846396975</x:v>
      </x:c>
      <x:c r="AO125" s="6" t="str">
        <x:v>0.0163684963721806</x:v>
      </x:c>
      <x:c r="AP125" s="8" t="str">
        <x:v>0.0213559426046011</x:v>
      </x:c>
      <x:c r="AQ125" s="6" t="str">
        <x:v>0.2079592530913496</x:v>
      </x:c>
      <x:c r="AR125" s="6" t="str">
        <x:v>0.1905790995197024</x:v>
      </x:c>
      <x:c r="AS125" s="6" t="str">
        <x:v>0.1399647650718841</x:v>
      </x:c>
      <x:c r="AT125" s="6" t="str">
        <x:v>58.86815794437746</x:v>
      </x:c>
      <x:c r="AU125" s="8" t="str">
        <x:v>0.8464241690968836</x:v>
      </x:c>
      <x:c r="AV125" s="6" t="str">
        <x:v>1.5804093857346926</x:v>
      </x:c>
      <x:c r="AW125" s="6" t="str">
        <x:v>2.4632183042210816</x:v>
      </x:c>
      <x:c r="AX125" s="6" t="str">
        <x:v>1.6300172863508855</x:v>
      </x:c>
      <x:c r="AY125" s="6" t="str">
        <x:v>0</x:v>
      </x:c>
      <x:c r="AZ125" s="6" t="str">
        <x:v>1</x:v>
      </x:c>
      <x:c r="BA125" s="9" t="str">
        <x:v>grid_cells_within_BIG_polygon</x:v>
      </x:c>
      <x:c r="BB125" s="6" t="str">
        <x:v>23</x:v>
      </x:c>
      <x:c r="BC125" s="6" t="str">
        <x:v>3</x:v>
      </x:c>
      <x:c r="BD125" s="6" t="str">
        <x:v>3</x:v>
      </x:c>
      <x:c r="BE125" s="6" t="str">
        <x:v>3</x:v>
      </x:c>
      <x:c r="BF125" s="6" t="str">
        <x:v>0</x:v>
      </x:c>
      <x:c r="BG125" s="6" t="str">
        <x:v>0</x:v>
      </x:c>
      <x:c r="BH125" s="6" t="str">
        <x:v>0</x:v>
      </x:c>
      <x:c r="BI125" s="6" t="str">
        <x:v>0</x:v>
      </x:c>
      <x:c r="BJ125" s="6" t="str">
        <x:v>0</x:v>
      </x:c>
      <x:c r="BK125" s="6" t="str">
        <x:v>0</x:v>
      </x:c>
      <x:c r="BL125" s="6" t="str">
        <x:v>0</x:v>
      </x:c>
      <x:c r="BM125" s="6" t="str">
        <x:v>0</x:v>
      </x:c>
      <x:c r="BN125" s="6" t="str">
        <x:v>3</x:v>
      </x:c>
      <x:c r="BO125" s="6" t="str">
        <x:v>4.0</x:v>
      </x:c>
      <x:c r="BP125" s="6" t="str">
        <x:v>3</x:v>
      </x:c>
      <x:c r="BQ125" s="6" t="str">
        <x:v>0.0</x:v>
      </x:c>
      <x:c r="BR125" s="6" t="str">
        <x:v>3</x:v>
      </x:c>
      <x:c r="BS125" s="6" t="str">
        <x:v>670.0</x:v>
      </x:c>
      <x:c r="BT125" s="6" t="str">
        <x:v>3</x:v>
      </x:c>
      <x:c r="BU125" s="6" t="str">
        <x:v>12555.0</x:v>
      </x:c>
      <x:c r="BV125" s="6" t="str">
        <x:v>3</x:v>
      </x:c>
      <x:c r="BW125" s="9" t="str">
        <x:v>operational_snapshot_annual_totals_may_differ</x:v>
      </x:c>
      <x:c r="BX125" s="9" t="str">
        <x:v>official_live_dashboard_snapshot_subject_to_revision</x:v>
      </x:c>
      <x:c r="BY125" s="9" t="str">
        <x:v>https://tbdashboard.sitb.id/ss_data_tbc03so_2024_provinsi_bulanan_list.php</x:v>
      </x:c>
      <x:c r="BZ125" s="6" t="n">
        <x:v>46246.610671296294</x:v>
      </x:c>
    </x:row>
    <x:row r="126" ht="18" customHeight="1">
      <x:c r="A126" s="6" t="str">
        <x:v>16</x:v>
      </x:c>
      <x:c r="B126" s="6" t="str">
        <x:v>SUMATERA SELATAN</x:v>
      </x:c>
      <x:c r="C126" s="6" t="str">
        <x:v>2024</x:v>
      </x:c>
      <x:c r="D126" s="6" t="str">
        <x:v>5</x:v>
      </x:c>
      <x:c r="E126" s="6" t="str">
        <x:v>2024-05</x:v>
      </x:c>
      <x:c r="F126" s="6" t="str">
        <x:v>2018</x:v>
      </x:c>
      <x:c r="G126" s="6" t="str">
        <x:v>395</x:v>
      </x:c>
      <x:c r="H126" s="6" t="str">
        <x:v>1421</x:v>
      </x:c>
      <x:c r="I126" s="6" t="str">
        <x:v>80</x:v>
      </x:c>
      <x:c r="J126" s="6" t="str">
        <x:v>91</x:v>
      </x:c>
      <x:c r="K126" s="6" t="str">
        <x:v>6</x:v>
      </x:c>
      <x:c r="L126" s="6" t="str">
        <x:v>5</x:v>
      </x:c>
      <x:c r="M126" s="6" t="str">
        <x:v>20</x:v>
      </x:c>
      <x:c r="N126" s="6" t="str">
        <x:v>2018</x:v>
      </x:c>
      <x:c r="O126" s="6" t="str">
        <x:v>0</x:v>
      </x:c>
      <x:c r="P126" s="10" t="n">
        <x:f>F126-M126</x:f>
        <x:v>1998</x:v>
      </x:c>
      <x:c r="Q126" s="11" t="n">
        <x:f>IFERROR(M126/F126,"")</x:f>
        <x:v>0.009910802775024777</x:v>
      </x:c>
      <x:c r="R126" s="10" t="n">
        <x:f>G126+H126</x:f>
        <x:v>1816</x:v>
      </x:c>
      <x:c r="S126" s="11" t="n">
        <x:f>IFERROR(R126/F126,"")</x:f>
        <x:v>0.8999008919722498</x:v>
      </x:c>
      <x:c r="T126" s="11" t="n">
        <x:f>IFERROR(R126/P126,"")</x:f>
        <x:v>0.908908908908909</x:v>
      </x:c>
      <x:c r="U126" s="10" t="n">
        <x:f>I126+J126+K126</x:f>
        <x:v>177</x:v>
      </x:c>
      <x:c r="V126" s="11" t="n">
        <x:f>IFERROR(U126/P126,"")</x:f>
        <x:v>0.08858858858858859</x:v>
      </x:c>
      <x:c r="W126" s="9" t="str">
        <x:v>mature_le_5pct_pending</x:v>
      </x:c>
      <x:c r="X126" s="12" t="n">
        <x:f>IFERROR(F126/Z126*100000,"")</x:f>
        <x:v>22.83502879838865</x:v>
      </x:c>
      <x:c r="Y126" s="13" t="n">
        <x:f>LN(Z126)</x:f>
        <x:v>15.994491958096372</x:v>
      </x:c>
      <x:c r="Z126" s="6" t="str">
        <x:v>8837300</x:v>
      </x:c>
      <x:c r="AA126" s="6" t="str">
        <x:v>102.0</x:v>
      </x:c>
      <x:c r="AB126" s="9" t="str">
        <x:v>2024-06-30</x:v>
      </x:c>
      <x:c r="AC126" s="8" t="str">
        <x:v>82.36</x:v>
      </x:c>
      <x:c r="AD126" s="9" t="str">
        <x:v>2024 (Susenas)</x:v>
      </x:c>
      <x:c r="AE126" s="8" t="str">
        <x:v>10.97</x:v>
      </x:c>
      <x:c r="AF126" s="9" t="str">
        <x:v>Maret 2024 (Susenas)</x:v>
      </x:c>
      <x:c r="AG126" s="6" t="str">
        <x:v>27.25076622540649</x:v>
      </x:c>
      <x:c r="AH126" s="8" t="str">
        <x:v>89.35281099008293</x:v>
      </x:c>
      <x:c r="AI126" s="6" t="str">
        <x:v>312.2237351748343</x:v>
      </x:c>
      <x:c r="AJ126" s="6" t="str">
        <x:v>1.0712720644129805</x:v>
      </x:c>
      <x:c r="AK126" s="8" t="str">
        <x:v>3.185568394834349</x:v>
      </x:c>
      <x:c r="AL126" s="6" t="str">
        <x:v>3.438091593721781</x:v>
      </x:c>
      <x:c r="AM126" s="6" t="str">
        <x:v>2.600949523857424</x:v>
      </x:c>
      <x:c r="AN126" s="6" t="str">
        <x:v>3.0748698374711854</x:v>
      </x:c>
      <x:c r="AO126" s="6" t="str">
        <x:v>0.8130698978499709</x:v>
      </x:c>
      <x:c r="AP126" s="8" t="str">
        <x:v>0.999145139744186</x:v>
      </x:c>
      <x:c r="AQ126" s="6" t="str">
        <x:v>0.0213559426046011</x:v>
      </x:c>
      <x:c r="AR126" s="6" t="str">
        <x:v>0.2079592530913496</x:v>
      </x:c>
      <x:c r="AS126" s="6" t="str">
        <x:v>0.4094867784800453</x:v>
      </x:c>
      <x:c r="AT126" s="6" t="str">
        <x:v>142.9779790071923</x:v>
      </x:c>
      <x:c r="AU126" s="8" t="str">
        <x:v>2.5256001438164755</x:v>
      </x:c>
      <x:c r="AV126" s="6" t="str">
        <x:v>0.8464241690968836</x:v>
      </x:c>
      <x:c r="AW126" s="6" t="str">
        <x:v>1.5804093857346926</x:v>
      </x:c>
      <x:c r="AX126" s="6" t="str">
        <x:v>1.6508112328826838</x:v>
      </x:c>
      <x:c r="AY126" s="6" t="str">
        <x:v>1</x:v>
      </x:c>
      <x:c r="AZ126" s="6" t="str">
        <x:v>1</x:v>
      </x:c>
      <x:c r="BA126" s="9" t="str">
        <x:v>grid_cells_within_BIG_polygon</x:v>
      </x:c>
      <x:c r="BB126" s="6" t="str">
        <x:v>23</x:v>
      </x:c>
      <x:c r="BC126" s="6" t="str">
        <x:v>9</x:v>
      </x:c>
      <x:c r="BD126" s="6" t="str">
        <x:v>9</x:v>
      </x:c>
      <x:c r="BE126" s="6" t="str">
        <x:v>9</x:v>
      </x:c>
      <x:c r="BF126" s="6" t="str">
        <x:v>0</x:v>
      </x:c>
      <x:c r="BG126" s="6" t="str">
        <x:v>0</x:v>
      </x:c>
      <x:c r="BH126" s="6" t="str">
        <x:v>0</x:v>
      </x:c>
      <x:c r="BI126" s="6" t="str">
        <x:v>0</x:v>
      </x:c>
      <x:c r="BJ126" s="6" t="str">
        <x:v>0</x:v>
      </x:c>
      <x:c r="BK126" s="6" t="str">
        <x:v>0</x:v>
      </x:c>
      <x:c r="BL126" s="6" t="str">
        <x:v>0</x:v>
      </x:c>
      <x:c r="BM126" s="6" t="str">
        <x:v>0</x:v>
      </x:c>
      <x:c r="BN126" s="6" t="str">
        <x:v>9</x:v>
      </x:c>
      <x:c r="BO126" s="6" t="str">
        <x:v>8.0</x:v>
      </x:c>
      <x:c r="BP126" s="6" t="str">
        <x:v>8</x:v>
      </x:c>
      <x:c r="BQ126" s="6" t="str">
        <x:v>6.0</x:v>
      </x:c>
      <x:c r="BR126" s="6" t="str">
        <x:v>8</x:v>
      </x:c>
      <x:c r="BS126" s="6" t="str">
        <x:v>136.0</x:v>
      </x:c>
      <x:c r="BT126" s="6" t="str">
        <x:v>9</x:v>
      </x:c>
      <x:c r="BU126" s="6" t="str">
        <x:v>34525.0</x:v>
      </x:c>
      <x:c r="BV126" s="6" t="str">
        <x:v>9</x:v>
      </x:c>
      <x:c r="BW126" s="9" t="str">
        <x:v>operational_snapshot_annual_totals_may_differ</x:v>
      </x:c>
      <x:c r="BX126" s="9" t="str">
        <x:v>official_live_dashboard_snapshot_subject_to_revision</x:v>
      </x:c>
      <x:c r="BY126" s="9" t="str">
        <x:v>https://tbdashboard.sitb.id/ss_data_tbc03so_2024_provinsi_bulanan_list.php</x:v>
      </x:c>
      <x:c r="BZ126" s="6" t="n">
        <x:v>46246.610671296294</x:v>
      </x:c>
    </x:row>
    <x:row r="127" ht="18" customHeight="1">
      <x:c r="A127" s="6" t="str">
        <x:v>16</x:v>
      </x:c>
      <x:c r="B127" s="6" t="str">
        <x:v>SUMATERA SELATAN</x:v>
      </x:c>
      <x:c r="C127" s="6" t="str">
        <x:v>2024</x:v>
      </x:c>
      <x:c r="D127" s="6" t="str">
        <x:v>6</x:v>
      </x:c>
      <x:c r="E127" s="6" t="str">
        <x:v>2024-06</x:v>
      </x:c>
      <x:c r="F127" s="6" t="str">
        <x:v>1655</x:v>
      </x:c>
      <x:c r="G127" s="6" t="str">
        <x:v>368</x:v>
      </x:c>
      <x:c r="H127" s="6" t="str">
        <x:v>1109</x:v>
      </x:c>
      <x:c r="I127" s="6" t="str">
        <x:v>89</x:v>
      </x:c>
      <x:c r="J127" s="6" t="str">
        <x:v>68</x:v>
      </x:c>
      <x:c r="K127" s="6" t="str">
        <x:v>3</x:v>
      </x:c>
      <x:c r="L127" s="6" t="str">
        <x:v>2</x:v>
      </x:c>
      <x:c r="M127" s="6" t="str">
        <x:v>16</x:v>
      </x:c>
      <x:c r="N127" s="6" t="str">
        <x:v>1655</x:v>
      </x:c>
      <x:c r="O127" s="6" t="str">
        <x:v>0</x:v>
      </x:c>
      <x:c r="P127" s="10" t="n">
        <x:f>F127-M127</x:f>
        <x:v>1639</x:v>
      </x:c>
      <x:c r="Q127" s="11" t="n">
        <x:f>IFERROR(M127/F127,"")</x:f>
        <x:v>0.009667673716012085</x:v>
      </x:c>
      <x:c r="R127" s="10" t="n">
        <x:f>G127+H127</x:f>
        <x:v>1477</x:v>
      </x:c>
      <x:c r="S127" s="11" t="n">
        <x:f>IFERROR(R127/F127,"")</x:f>
        <x:v>0.8924471299093656</x:v>
      </x:c>
      <x:c r="T127" s="11" t="n">
        <x:f>IFERROR(R127/P127,"")</x:f>
        <x:v>0.9011592434411226</x:v>
      </x:c>
      <x:c r="U127" s="10" t="n">
        <x:f>I127+J127+K127</x:f>
        <x:v>160</x:v>
      </x:c>
      <x:c r="V127" s="11" t="n">
        <x:f>IFERROR(U127/P127,"")</x:f>
        <x:v>0.09762050030506407</x:v>
      </x:c>
      <x:c r="W127" s="9" t="str">
        <x:v>mature_le_5pct_pending</x:v>
      </x:c>
      <x:c r="X127" s="12" t="n">
        <x:f>IFERROR(F127/Z127*100000,"")</x:f>
        <x:v>18.727439376280085</x:v>
      </x:c>
      <x:c r="Y127" s="13" t="n">
        <x:f>LN(Z127)</x:f>
        <x:v>15.994491958096372</x:v>
      </x:c>
      <x:c r="Z127" s="6" t="str">
        <x:v>8837300</x:v>
      </x:c>
      <x:c r="AA127" s="6" t="str">
        <x:v>102.0</x:v>
      </x:c>
      <x:c r="AB127" s="9" t="str">
        <x:v>2024-06-30</x:v>
      </x:c>
      <x:c r="AC127" s="8" t="str">
        <x:v>82.36</x:v>
      </x:c>
      <x:c r="AD127" s="9" t="str">
        <x:v>2024 (Susenas)</x:v>
      </x:c>
      <x:c r="AE127" s="8" t="str">
        <x:v>10.97</x:v>
      </x:c>
      <x:c r="AF127" s="9" t="str">
        <x:v>Maret 2024 (Susenas)</x:v>
      </x:c>
      <x:c r="AG127" s="6" t="str">
        <x:v>26.50249864354718</x:v>
      </x:c>
      <x:c r="AH127" s="8" t="str">
        <x:v>88.77455299216973</x:v>
      </x:c>
      <x:c r="AI127" s="6" t="str">
        <x:v>183.7054220745744</x:v>
      </x:c>
      <x:c r="AJ127" s="6" t="str">
        <x:v>0.8712287637807705</x:v>
      </x:c>
      <x:c r="AK127" s="8" t="str">
        <x:v>2.937131261928216</x:v>
      </x:c>
      <x:c r="AL127" s="6" t="str">
        <x:v>3.185568394834349</x:v>
      </x:c>
      <x:c r="AM127" s="6" t="str">
        <x:v>3.438091593721781</x:v>
      </x:c>
      <x:c r="AN127" s="6" t="str">
        <x:v>3.186930416828116</x:v>
      </x:c>
      <x:c r="AO127" s="6" t="str">
        <x:v>0.659027047739869</x:v>
      </x:c>
      <x:c r="AP127" s="8" t="str">
        <x:v>0.5944529975468891</x:v>
      </x:c>
      <x:c r="AQ127" s="6" t="str">
        <x:v>0.999145139744186</x:v>
      </x:c>
      <x:c r="AR127" s="6" t="str">
        <x:v>0.0213559426046011</x:v>
      </x:c>
      <x:c r="AS127" s="6" t="str">
        <x:v>0.5383180266318918</x:v>
      </x:c>
      <x:c r="AT127" s="6" t="str">
        <x:v>59.822401634784185</x:v>
      </x:c>
      <x:c r="AU127" s="8" t="str">
        <x:v>1.0474671000654887</x:v>
      </x:c>
      <x:c r="AV127" s="6" t="str">
        <x:v>2.5256001438164755</x:v>
      </x:c>
      <x:c r="AW127" s="6" t="str">
        <x:v>0.8464241690968836</x:v>
      </x:c>
      <x:c r="AX127" s="6" t="str">
        <x:v>1.4731638043262825</x:v>
      </x:c>
      <x:c r="AY127" s="6" t="str">
        <x:v>1</x:v>
      </x:c>
      <x:c r="AZ127" s="6" t="str">
        <x:v>1</x:v>
      </x:c>
      <x:c r="BA127" s="9" t="str">
        <x:v>grid_cells_within_BIG_polygon</x:v>
      </x:c>
      <x:c r="BB127" s="6" t="str">
        <x:v>23</x:v>
      </x:c>
      <x:c r="BC127" s="6" t="str">
        <x:v>10</x:v>
      </x:c>
      <x:c r="BD127" s="6" t="str">
        <x:v>10</x:v>
      </x:c>
      <x:c r="BE127" s="6" t="str">
        <x:v>6</x:v>
      </x:c>
      <x:c r="BF127" s="6" t="str">
        <x:v>0</x:v>
      </x:c>
      <x:c r="BG127" s="6" t="str">
        <x:v>1</x:v>
      </x:c>
      <x:c r="BH127" s="6" t="str">
        <x:v>0</x:v>
      </x:c>
      <x:c r="BI127" s="6" t="str">
        <x:v>3</x:v>
      </x:c>
      <x:c r="BJ127" s="6" t="str">
        <x:v>0</x:v>
      </x:c>
      <x:c r="BK127" s="6" t="str">
        <x:v>0</x:v>
      </x:c>
      <x:c r="BL127" s="6" t="str">
        <x:v>0</x:v>
      </x:c>
      <x:c r="BM127" s="6" t="str">
        <x:v>0</x:v>
      </x:c>
      <x:c r="BN127" s="6" t="str">
        <x:v>10</x:v>
      </x:c>
      <x:c r="BO127" s="6" t="str">
        <x:v>0.0</x:v>
      </x:c>
      <x:c r="BP127" s="6" t="str">
        <x:v>9</x:v>
      </x:c>
      <x:c r="BQ127" s="6" t="str">
        <x:v>0.0</x:v>
      </x:c>
      <x:c r="BR127" s="6" t="str">
        <x:v>9</x:v>
      </x:c>
      <x:c r="BS127" s="6" t="str">
        <x:v>15.0</x:v>
      </x:c>
      <x:c r="BT127" s="6" t="str">
        <x:v>10</x:v>
      </x:c>
      <x:c r="BU127" s="6" t="str">
        <x:v>3238.0</x:v>
      </x:c>
      <x:c r="BV127" s="6" t="str">
        <x:v>6</x:v>
      </x:c>
      <x:c r="BW127" s="9" t="str">
        <x:v>operational_snapshot_annual_totals_may_differ</x:v>
      </x:c>
      <x:c r="BX127" s="9" t="str">
        <x:v>official_live_dashboard_snapshot_subject_to_revision</x:v>
      </x:c>
      <x:c r="BY127" s="9" t="str">
        <x:v>https://tbdashboard.sitb.id/ss_data_tbc03so_2024_provinsi_bulanan_list.php</x:v>
      </x:c>
      <x:c r="BZ127" s="6" t="n">
        <x:v>46246.610671296294</x:v>
      </x:c>
    </x:row>
    <x:row r="128" ht="18" customHeight="1">
      <x:c r="A128" s="6" t="str">
        <x:v>16</x:v>
      </x:c>
      <x:c r="B128" s="6" t="str">
        <x:v>SUMATERA SELATAN</x:v>
      </x:c>
      <x:c r="C128" s="6" t="str">
        <x:v>2024</x:v>
      </x:c>
      <x:c r="D128" s="6" t="str">
        <x:v>7</x:v>
      </x:c>
      <x:c r="E128" s="6" t="str">
        <x:v>2024-07</x:v>
      </x:c>
      <x:c r="F128" s="6" t="str">
        <x:v>1891</x:v>
      </x:c>
      <x:c r="G128" s="6" t="str">
        <x:v>430</x:v>
      </x:c>
      <x:c r="H128" s="6" t="str">
        <x:v>1245</x:v>
      </x:c>
      <x:c r="I128" s="6" t="str">
        <x:v>78</x:v>
      </x:c>
      <x:c r="J128" s="6" t="str">
        <x:v>79</x:v>
      </x:c>
      <x:c r="K128" s="6" t="str">
        <x:v>3</x:v>
      </x:c>
      <x:c r="L128" s="6" t="str">
        <x:v>7</x:v>
      </x:c>
      <x:c r="M128" s="6" t="str">
        <x:v>49</x:v>
      </x:c>
      <x:c r="N128" s="6" t="str">
        <x:v>1891</x:v>
      </x:c>
      <x:c r="O128" s="6" t="str">
        <x:v>0</x:v>
      </x:c>
      <x:c r="P128" s="10" t="n">
        <x:f>F128-M128</x:f>
        <x:v>1842</x:v>
      </x:c>
      <x:c r="Q128" s="11" t="n">
        <x:f>IFERROR(M128/F128,"")</x:f>
        <x:v>0.025912215758857746</x:v>
      </x:c>
      <x:c r="R128" s="10" t="n">
        <x:f>G128+H128</x:f>
        <x:v>1675</x:v>
      </x:c>
      <x:c r="S128" s="11" t="n">
        <x:f>IFERROR(R128/F128,"")</x:f>
        <x:v>0.8857747223691169</x:v>
      </x:c>
      <x:c r="T128" s="11" t="n">
        <x:f>IFERROR(R128/P128,"")</x:f>
        <x:v>0.9093376764386536</x:v>
      </x:c>
      <x:c r="U128" s="10" t="n">
        <x:f>I128+J128+K128</x:f>
        <x:v>160</x:v>
      </x:c>
      <x:c r="V128" s="11" t="n">
        <x:f>IFERROR(U128/P128,"")</x:f>
        <x:v>0.08686210640608034</x:v>
      </x:c>
      <x:c r="W128" s="9" t="str">
        <x:v>mature_le_5pct_pending</x:v>
      </x:c>
      <x:c r="X128" s="12" t="n">
        <x:f>IFERROR(F128/Z128*100000,"")</x:f>
        <x:v>21.397938284317608</x:v>
      </x:c>
      <x:c r="Y128" s="13" t="n">
        <x:f>LN(Z128)</x:f>
        <x:v>15.994491958096372</x:v>
      </x:c>
      <x:c r="Z128" s="6" t="str">
        <x:v>8837300</x:v>
      </x:c>
      <x:c r="AA128" s="6" t="str">
        <x:v>102.0</x:v>
      </x:c>
      <x:c r="AB128" s="9" t="str">
        <x:v>2024-06-30</x:v>
      </x:c>
      <x:c r="AC128" s="8" t="str">
        <x:v>82.36</x:v>
      </x:c>
      <x:c r="AD128" s="9" t="str">
        <x:v>2024 (Susenas)</x:v>
      </x:c>
      <x:c r="AE128" s="8" t="str">
        <x:v>10.97</x:v>
      </x:c>
      <x:c r="AF128" s="9" t="str">
        <x:v>Maret 2024 (Susenas)</x:v>
      </x:c>
      <x:c r="AG128" s="6" t="str">
        <x:v>26.015578642635425</x:v>
      </x:c>
      <x:c r="AH128" s="8" t="str">
        <x:v>87.43632996337865</x:v>
      </x:c>
      <x:c r="AI128" s="6" t="str">
        <x:v>104.5608896644304</x:v>
      </x:c>
      <x:c r="AJ128" s="6" t="str">
        <x:v>0.7772637703828096</x:v>
      </x:c>
      <x:c r="AK128" s="8" t="str">
        <x:v>2.524030565229367</x:v>
      </x:c>
      <x:c r="AL128" s="6" t="str">
        <x:v>2.937131261928216</x:v>
      </x:c>
      <x:c r="AM128" s="6" t="str">
        <x:v>3.185568394834349</x:v>
      </x:c>
      <x:c r="AN128" s="6" t="str">
        <x:v>2.8822434073306447</x:v>
      </x:c>
      <x:c r="AO128" s="6" t="str">
        <x:v>-0.1325128885577555</x:v>
      </x:c>
      <x:c r="AP128" s="8" t="str">
        <x:v>-0.1098930894638456</x:v>
      </x:c>
      <x:c r="AQ128" s="6" t="str">
        <x:v>0.5944529975468891</x:v>
      </x:c>
      <x:c r="AR128" s="6" t="str">
        <x:v>0.999145139744186</x:v>
      </x:c>
      <x:c r="AS128" s="6" t="str">
        <x:v>0.4945683492757429</x:v>
      </x:c>
      <x:c r="AT128" s="6" t="str">
        <x:v>-11.1443953583439</x:v>
      </x:c>
      <x:c r="AU128" s="8" t="str">
        <x:v>-0.1949138499996621</x:v>
      </x:c>
      <x:c r="AV128" s="6" t="str">
        <x:v>1.0474671000654887</x:v>
      </x:c>
      <x:c r="AW128" s="6" t="str">
        <x:v>2.5256001438164755</x:v>
      </x:c>
      <x:c r="AX128" s="6" t="str">
        <x:v>1.1260511312941006</x:v>
      </x:c>
      <x:c r="AY128" s="6" t="str">
        <x:v>0</x:v>
      </x:c>
      <x:c r="AZ128" s="6" t="str">
        <x:v>1</x:v>
      </x:c>
      <x:c r="BA128" s="9" t="str">
        <x:v>grid_cells_within_BIG_polygon</x:v>
      </x:c>
      <x:c r="BB128" s="6" t="str">
        <x:v>23</x:v>
      </x:c>
      <x:c r="BC128" s="6" t="str">
        <x:v>37</x:v>
      </x:c>
      <x:c r="BD128" s="6" t="str">
        <x:v>37</x:v>
      </x:c>
      <x:c r="BE128" s="6" t="str">
        <x:v>1</x:v>
      </x:c>
      <x:c r="BF128" s="6" t="str">
        <x:v>0</x:v>
      </x:c>
      <x:c r="BG128" s="6" t="str">
        <x:v>0</x:v>
      </x:c>
      <x:c r="BH128" s="6" t="str">
        <x:v>0</x:v>
      </x:c>
      <x:c r="BI128" s="6" t="str">
        <x:v>36</x:v>
      </x:c>
      <x:c r="BJ128" s="6" t="str">
        <x:v>0</x:v>
      </x:c>
      <x:c r="BK128" s="6" t="str">
        <x:v>0</x:v>
      </x:c>
      <x:c r="BL128" s="6" t="str">
        <x:v>0</x:v>
      </x:c>
      <x:c r="BM128" s="6" t="str">
        <x:v>0</x:v>
      </x:c>
      <x:c r="BN128" s="6" t="str">
        <x:v>37</x:v>
      </x:c>
      <x:c r="BO128" s="6" t="str">
        <x:v>0.0</x:v>
      </x:c>
      <x:c r="BP128" s="6" t="str">
        <x:v>8</x:v>
      </x:c>
      <x:c r="BQ128" s="6" t="str">
        <x:v>0.0</x:v>
      </x:c>
      <x:c r="BR128" s="6" t="str">
        <x:v>8</x:v>
      </x:c>
      <x:c r="BS128" s="6" t="str">
        <x:v>0.0</x:v>
      </x:c>
      <x:c r="BT128" s="6" t="str">
        <x:v>37</x:v>
      </x:c>
      <x:c r="BU128" s="6" t="str">
        <x:v>187.0</x:v>
      </x:c>
      <x:c r="BV128" s="6" t="str">
        <x:v>1</x:v>
      </x:c>
      <x:c r="BW128" s="9" t="str">
        <x:v>operational_snapshot_annual_totals_may_differ</x:v>
      </x:c>
      <x:c r="BX128" s="9" t="str">
        <x:v>official_live_dashboard_snapshot_subject_to_revision</x:v>
      </x:c>
      <x:c r="BY128" s="9" t="str">
        <x:v>https://tbdashboard.sitb.id/ss_data_tbc03so_2024_provinsi_bulanan_list.php</x:v>
      </x:c>
      <x:c r="BZ128" s="6" t="n">
        <x:v>46246.610671296294</x:v>
      </x:c>
    </x:row>
    <x:row r="129" ht="18" customHeight="1">
      <x:c r="A129" s="6" t="str">
        <x:v>16</x:v>
      </x:c>
      <x:c r="B129" s="6" t="str">
        <x:v>SUMATERA SELATAN</x:v>
      </x:c>
      <x:c r="C129" s="6" t="str">
        <x:v>2024</x:v>
      </x:c>
      <x:c r="D129" s="6" t="str">
        <x:v>8</x:v>
      </x:c>
      <x:c r="E129" s="6" t="str">
        <x:v>2024-08</x:v>
      </x:c>
      <x:c r="F129" s="6" t="str">
        <x:v>1715</x:v>
      </x:c>
      <x:c r="G129" s="6" t="str">
        <x:v>359</x:v>
      </x:c>
      <x:c r="H129" s="6" t="str">
        <x:v>1172</x:v>
      </x:c>
      <x:c r="I129" s="6" t="str">
        <x:v>87</x:v>
      </x:c>
      <x:c r="J129" s="6" t="str">
        <x:v>54</x:v>
      </x:c>
      <x:c r="K129" s="6" t="str">
        <x:v>4</x:v>
      </x:c>
      <x:c r="L129" s="6" t="str">
        <x:v>2</x:v>
      </x:c>
      <x:c r="M129" s="6" t="str">
        <x:v>37</x:v>
      </x:c>
      <x:c r="N129" s="6" t="str">
        <x:v>1715</x:v>
      </x:c>
      <x:c r="O129" s="6" t="str">
        <x:v>0</x:v>
      </x:c>
      <x:c r="P129" s="10" t="n">
        <x:f>F129-M129</x:f>
        <x:v>1678</x:v>
      </x:c>
      <x:c r="Q129" s="11" t="n">
        <x:f>IFERROR(M129/F129,"")</x:f>
        <x:v>0.021574344023323616</x:v>
      </x:c>
      <x:c r="R129" s="10" t="n">
        <x:f>G129+H129</x:f>
        <x:v>1531</x:v>
      </x:c>
      <x:c r="S129" s="11" t="n">
        <x:f>IFERROR(R129/F129,"")</x:f>
        <x:v>0.8927113702623907</x:v>
      </x:c>
      <x:c r="T129" s="11" t="n">
        <x:f>IFERROR(R129/P129,"")</x:f>
        <x:v>0.9123957091775924</x:v>
      </x:c>
      <x:c r="U129" s="10" t="n">
        <x:f>I129+J129+K129</x:f>
        <x:v>145</x:v>
      </x:c>
      <x:c r="V129" s="11" t="n">
        <x:f>IFERROR(U129/P129,"")</x:f>
        <x:v>0.0864123957091776</x:v>
      </x:c>
      <x:c r="W129" s="9" t="str">
        <x:v>mature_le_5pct_pending</x:v>
      </x:c>
      <x:c r="X129" s="12" t="n">
        <x:f>IFERROR(F129/Z129*100000,"")</x:f>
        <x:v>19.406379776628608</x:v>
      </x:c>
      <x:c r="Y129" s="13" t="n">
        <x:f>LN(Z129)</x:f>
        <x:v>15.994491958096372</x:v>
      </x:c>
      <x:c r="Z129" s="6" t="str">
        <x:v>8837300</x:v>
      </x:c>
      <x:c r="AA129" s="6" t="str">
        <x:v>102.0</x:v>
      </x:c>
      <x:c r="AB129" s="9" t="str">
        <x:v>2024-06-30</x:v>
      </x:c>
      <x:c r="AC129" s="8" t="str">
        <x:v>82.36</x:v>
      </x:c>
      <x:c r="AD129" s="9" t="str">
        <x:v>2024 (Susenas)</x:v>
      </x:c>
      <x:c r="AE129" s="8" t="str">
        <x:v>10.97</x:v>
      </x:c>
      <x:c r="AF129" s="9" t="str">
        <x:v>Maret 2024 (Susenas)</x:v>
      </x:c>
      <x:c r="AG129" s="6" t="str">
        <x:v>26.1759861511096</x:v>
      </x:c>
      <x:c r="AH129" s="8" t="str">
        <x:v>86.08119295183269</x:v>
      </x:c>
      <x:c r="AI129" s="6" t="str">
        <x:v>27.36411976976358</x:v>
      </x:c>
      <x:c r="AJ129" s="6" t="str">
        <x:v>0.8192919308842157</x:v>
      </x:c>
      <x:c r="AK129" s="8" t="str">
        <x:v>2.8877513389853746</x:v>
      </x:c>
      <x:c r="AL129" s="6" t="str">
        <x:v>2.524030565229367</x:v>
      </x:c>
      <x:c r="AM129" s="6" t="str">
        <x:v>2.937131261928216</x:v>
      </x:c>
      <x:c r="AN129" s="6" t="str">
        <x:v>2.7829710553809863</x:v>
      </x:c>
      <x:c r="AO129" s="6" t="str">
        <x:v>0.4242193482076857</x:v>
      </x:c>
      <x:c r="AP129" s="8" t="str">
        <x:v>0.2070786919163043</x:v>
      </x:c>
      <x:c r="AQ129" s="6" t="str">
        <x:v>-0.1098930894638456</x:v>
      </x:c>
      <x:c r="AR129" s="6" t="str">
        <x:v>0.5944529975468891</x:v>
      </x:c>
      <x:c r="AS129" s="6" t="str">
        <x:v>0.2305461999997823</x:v>
      </x:c>
      <x:c r="AT129" s="6" t="str">
        <x:v>-71.26326209999549</x:v>
      </x:c>
      <x:c r="AU129" s="8" t="str">
        <x:v>-1.0005386416480182</x:v>
      </x:c>
      <x:c r="AV129" s="6" t="str">
        <x:v>-0.1949138499996621</x:v>
      </x:c>
      <x:c r="AW129" s="6" t="str">
        <x:v>1.0474671000654887</x:v>
      </x:c>
      <x:c r="AX129" s="6" t="str">
        <x:v>-0.0493284638607305</x:v>
      </x:c>
      <x:c r="AY129" s="6" t="str">
        <x:v>0</x:v>
      </x:c>
      <x:c r="AZ129" s="6" t="str">
        <x:v>1</x:v>
      </x:c>
      <x:c r="BA129" s="9" t="str">
        <x:v>grid_cells_within_BIG_polygon</x:v>
      </x:c>
      <x:c r="BB129" s="6" t="str">
        <x:v>23</x:v>
      </x:c>
      <x:c r="BC129" s="6" t="str">
        <x:v>77</x:v>
      </x:c>
      <x:c r="BD129" s="6" t="str">
        <x:v>77</x:v>
      </x:c>
      <x:c r="BE129" s="6" t="str">
        <x:v>0</x:v>
      </x:c>
      <x:c r="BF129" s="6" t="str">
        <x:v>0</x:v>
      </x:c>
      <x:c r="BG129" s="6" t="str">
        <x:v>0</x:v>
      </x:c>
      <x:c r="BH129" s="6" t="str">
        <x:v>0</x:v>
      </x:c>
      <x:c r="BI129" s="6" t="str">
        <x:v>77</x:v>
      </x:c>
      <x:c r="BJ129" s="6" t="str">
        <x:v>0</x:v>
      </x:c>
      <x:c r="BK129" s="6" t="str">
        <x:v>0</x:v>
      </x:c>
      <x:c r="BL129" s="6" t="str">
        <x:v>0</x:v>
      </x:c>
      <x:c r="BM129" s="6" t="str">
        <x:v>0</x:v>
      </x:c>
      <x:c r="BN129" s="6" t="str">
        <x:v>77</x:v>
      </x:c>
      <x:c r="BO129" s="6" t="str">
        <x:v>0.0</x:v>
      </x:c>
      <x:c r="BP129" s="6" t="str">
        <x:v>3</x:v>
      </x:c>
      <x:c r="BQ129" s="6" t="str">
        <x:v>0.0</x:v>
      </x:c>
      <x:c r="BR129" s="6" t="str">
        <x:v>3</x:v>
      </x:c>
      <x:c r="BS129" s="6" t="str">
        <x:v>0.0</x:v>
      </x:c>
      <x:c r="BT129" s="6" t="str">
        <x:v>77</x:v>
      </x:c>
      <x:c r="BU129" s="6" t="str"/>
      <x:c r="BV129" s="6" t="str">
        <x:v>0</x:v>
      </x:c>
      <x:c r="BW129" s="9" t="str">
        <x:v>operational_snapshot_annual_totals_may_differ</x:v>
      </x:c>
      <x:c r="BX129" s="9" t="str">
        <x:v>official_live_dashboard_snapshot_subject_to_revision</x:v>
      </x:c>
      <x:c r="BY129" s="9" t="str">
        <x:v>https://tbdashboard.sitb.id/ss_data_tbc03so_2024_provinsi_bulanan_list.php</x:v>
      </x:c>
      <x:c r="BZ129" s="6" t="n">
        <x:v>46246.610671296294</x:v>
      </x:c>
    </x:row>
    <x:row r="130" ht="18" customHeight="1">
      <x:c r="A130" s="6" t="str">
        <x:v>16</x:v>
      </x:c>
      <x:c r="B130" s="6" t="str">
        <x:v>SUMATERA SELATAN</x:v>
      </x:c>
      <x:c r="C130" s="6" t="str">
        <x:v>2024</x:v>
      </x:c>
      <x:c r="D130" s="6" t="str">
        <x:v>9</x:v>
      </x:c>
      <x:c r="E130" s="6" t="str">
        <x:v>2024-09</x:v>
      </x:c>
      <x:c r="F130" s="6" t="str">
        <x:v>1724</x:v>
      </x:c>
      <x:c r="G130" s="6" t="str">
        <x:v>297</x:v>
      </x:c>
      <x:c r="H130" s="6" t="str">
        <x:v>1222</x:v>
      </x:c>
      <x:c r="I130" s="6" t="str">
        <x:v>85</x:v>
      </x:c>
      <x:c r="J130" s="6" t="str">
        <x:v>84</x:v>
      </x:c>
      <x:c r="K130" s="6" t="str">
        <x:v>4</x:v>
      </x:c>
      <x:c r="L130" s="6" t="str">
        <x:v>5</x:v>
      </x:c>
      <x:c r="M130" s="6" t="str">
        <x:v>27</x:v>
      </x:c>
      <x:c r="N130" s="6" t="str">
        <x:v>1724</x:v>
      </x:c>
      <x:c r="O130" s="6" t="str">
        <x:v>0</x:v>
      </x:c>
      <x:c r="P130" s="10" t="n">
        <x:f>F130-M130</x:f>
        <x:v>1697</x:v>
      </x:c>
      <x:c r="Q130" s="11" t="n">
        <x:f>IFERROR(M130/F130,"")</x:f>
        <x:v>0.015661252900232018</x:v>
      </x:c>
      <x:c r="R130" s="10" t="n">
        <x:f>G130+H130</x:f>
        <x:v>1519</x:v>
      </x:c>
      <x:c r="S130" s="11" t="n">
        <x:f>IFERROR(R130/F130,"")</x:f>
        <x:v>0.8810904872389791</x:v>
      </x:c>
      <x:c r="T130" s="11" t="n">
        <x:f>IFERROR(R130/P130,"")</x:f>
        <x:v>0.8951090159104301</x:v>
      </x:c>
      <x:c r="U130" s="10" t="n">
        <x:f>I130+J130+K130</x:f>
        <x:v>173</x:v>
      </x:c>
      <x:c r="V130" s="11" t="n">
        <x:f>IFERROR(U130/P130,"")</x:f>
        <x:v>0.10194460813199764</x:v>
      </x:c>
      <x:c r="W130" s="9" t="str">
        <x:v>mature_le_5pct_pending</x:v>
      </x:c>
      <x:c r="X130" s="12" t="n">
        <x:f>IFERROR(F130/Z130*100000,"")</x:f>
        <x:v>19.508220836680888</x:v>
      </x:c>
      <x:c r="Y130" s="13" t="n">
        <x:f>LN(Z130)</x:f>
        <x:v>15.994491958096372</x:v>
      </x:c>
      <x:c r="Z130" s="6" t="str">
        <x:v>8837300</x:v>
      </x:c>
      <x:c r="AA130" s="6" t="str">
        <x:v>102.0</x:v>
      </x:c>
      <x:c r="AB130" s="9" t="str">
        <x:v>2024-06-30</x:v>
      </x:c>
      <x:c r="AC130" s="8" t="str">
        <x:v>82.36</x:v>
      </x:c>
      <x:c r="AD130" s="9" t="str">
        <x:v>2024 (Susenas)</x:v>
      </x:c>
      <x:c r="AE130" s="8" t="str">
        <x:v>10.97</x:v>
      </x:c>
      <x:c r="AF130" s="9" t="str">
        <x:v>Maret 2024 (Susenas)</x:v>
      </x:c>
      <x:c r="AG130" s="6" t="str">
        <x:v>26.69378497406448</x:v>
      </x:c>
      <x:c r="AH130" s="8" t="str">
        <x:v>83.84997481187008</x:v>
      </x:c>
      <x:c r="AI130" s="6" t="str">
        <x:v>137.46474969952828</x:v>
      </x:c>
      <x:c r="AJ130" s="6" t="str">
        <x:v>0.9731126261447828</x:v>
      </x:c>
      <x:c r="AK130" s="8" t="str">
        <x:v>3.286625999707008</x:v>
      </x:c>
      <x:c r="AL130" s="6" t="str">
        <x:v>2.8877513389853746</x:v>
      </x:c>
      <x:c r="AM130" s="6" t="str">
        <x:v>2.524030565229367</x:v>
      </x:c>
      <x:c r="AN130" s="6" t="str">
        <x:v>2.8994693013072506</x:v>
      </x:c>
      <x:c r="AO130" s="6" t="str">
        <x:v>0.1024488317560212</x:v>
      </x:c>
      <x:c r="AP130" s="8" t="str">
        <x:v>0.0319739478296924</x:v>
      </x:c>
      <x:c r="AQ130" s="6" t="str">
        <x:v>0.2070786919163043</x:v>
      </x:c>
      <x:c r="AR130" s="6" t="str">
        <x:v>-0.1098930894638456</x:v>
      </x:c>
      <x:c r="AS130" s="6" t="str">
        <x:v>0.0430531834273834</x:v>
      </x:c>
      <x:c r="AT130" s="6" t="str">
        <x:v>27.139498155595632</x:v>
      </x:c>
      <x:c r="AU130" s="8" t="str">
        <x:v>0.3415626281196441</x:v>
      </x:c>
      <x:c r="AV130" s="6" t="str">
        <x:v>-1.0005386416480182</x:v>
      </x:c>
      <x:c r="AW130" s="6" t="str">
        <x:v>-0.1949138499996621</x:v>
      </x:c>
      <x:c r="AX130" s="6" t="str">
        <x:v>-0.2846299545093453</x:v>
      </x:c>
      <x:c r="AY130" s="6" t="str">
        <x:v>0</x:v>
      </x:c>
      <x:c r="AZ130" s="6" t="str">
        <x:v>1</x:v>
      </x:c>
      <x:c r="BA130" s="9" t="str">
        <x:v>grid_cells_within_BIG_polygon</x:v>
      </x:c>
      <x:c r="BB130" s="6" t="str">
        <x:v>23</x:v>
      </x:c>
      <x:c r="BC130" s="6" t="str">
        <x:v>51</x:v>
      </x:c>
      <x:c r="BD130" s="6" t="str">
        <x:v>51</x:v>
      </x:c>
      <x:c r="BE130" s="6" t="str">
        <x:v>0</x:v>
      </x:c>
      <x:c r="BF130" s="6" t="str">
        <x:v>0</x:v>
      </x:c>
      <x:c r="BG130" s="6" t="str">
        <x:v>2</x:v>
      </x:c>
      <x:c r="BH130" s="6" t="str">
        <x:v>0</x:v>
      </x:c>
      <x:c r="BI130" s="6" t="str">
        <x:v>49</x:v>
      </x:c>
      <x:c r="BJ130" s="6" t="str">
        <x:v>0</x:v>
      </x:c>
      <x:c r="BK130" s="6" t="str">
        <x:v>0</x:v>
      </x:c>
      <x:c r="BL130" s="6" t="str">
        <x:v>0</x:v>
      </x:c>
      <x:c r="BM130" s="6" t="str">
        <x:v>0</x:v>
      </x:c>
      <x:c r="BN130" s="6" t="str">
        <x:v>51</x:v>
      </x:c>
      <x:c r="BO130" s="6" t="str">
        <x:v>0.0</x:v>
      </x:c>
      <x:c r="BP130" s="6" t="str">
        <x:v>2</x:v>
      </x:c>
      <x:c r="BQ130" s="6" t="str">
        <x:v>0.0</x:v>
      </x:c>
      <x:c r="BR130" s="6" t="str">
        <x:v>2</x:v>
      </x:c>
      <x:c r="BS130" s="6" t="str">
        <x:v>23.0</x:v>
      </x:c>
      <x:c r="BT130" s="6" t="str">
        <x:v>51</x:v>
      </x:c>
      <x:c r="BU130" s="6" t="str"/>
      <x:c r="BV130" s="6" t="str">
        <x:v>0</x:v>
      </x:c>
      <x:c r="BW130" s="9" t="str">
        <x:v>operational_snapshot_annual_totals_may_differ</x:v>
      </x:c>
      <x:c r="BX130" s="9" t="str">
        <x:v>official_live_dashboard_snapshot_subject_to_revision</x:v>
      </x:c>
      <x:c r="BY130" s="9" t="str">
        <x:v>https://tbdashboard.sitb.id/ss_data_tbc03so_2024_provinsi_bulanan_list.php</x:v>
      </x:c>
      <x:c r="BZ130" s="6" t="n">
        <x:v>46246.610671296294</x:v>
      </x:c>
    </x:row>
    <x:row r="131" ht="18" customHeight="1">
      <x:c r="A131" s="6" t="str">
        <x:v>16</x:v>
      </x:c>
      <x:c r="B131" s="6" t="str">
        <x:v>SUMATERA SELATAN</x:v>
      </x:c>
      <x:c r="C131" s="6" t="str">
        <x:v>2024</x:v>
      </x:c>
      <x:c r="D131" s="6" t="str">
        <x:v>10</x:v>
      </x:c>
      <x:c r="E131" s="6" t="str">
        <x:v>2024-10</x:v>
      </x:c>
      <x:c r="F131" s="6" t="str">
        <x:v>1777</x:v>
      </x:c>
      <x:c r="G131" s="6" t="str">
        <x:v>334</x:v>
      </x:c>
      <x:c r="H131" s="6" t="str">
        <x:v>1245</x:v>
      </x:c>
      <x:c r="I131" s="6" t="str">
        <x:v>79</x:v>
      </x:c>
      <x:c r="J131" s="6" t="str">
        <x:v>60</x:v>
      </x:c>
      <x:c r="K131" s="6" t="str">
        <x:v>3</x:v>
      </x:c>
      <x:c r="L131" s="6" t="str">
        <x:v>2</x:v>
      </x:c>
      <x:c r="M131" s="6" t="str">
        <x:v>54</x:v>
      </x:c>
      <x:c r="N131" s="6" t="str">
        <x:v>1777</x:v>
      </x:c>
      <x:c r="O131" s="6" t="str">
        <x:v>0</x:v>
      </x:c>
      <x:c r="P131" s="10" t="n">
        <x:f>F131-M131</x:f>
        <x:v>1723</x:v>
      </x:c>
      <x:c r="Q131" s="11" t="n">
        <x:f>IFERROR(M131/F131,"")</x:f>
        <x:v>0.030388294879009566</x:v>
      </x:c>
      <x:c r="R131" s="10" t="n">
        <x:f>G131+H131</x:f>
        <x:v>1579</x:v>
      </x:c>
      <x:c r="S131" s="11" t="n">
        <x:f>IFERROR(R131/F131,"")</x:f>
        <x:v>0.8885762521102982</x:v>
      </x:c>
      <x:c r="T131" s="11" t="n">
        <x:f>IFERROR(R131/P131,"")</x:f>
        <x:v>0.9164248403946604</x:v>
      </x:c>
      <x:c r="U131" s="10" t="n">
        <x:f>I131+J131+K131</x:f>
        <x:v>142</x:v>
      </x:c>
      <x:c r="V131" s="11" t="n">
        <x:f>IFERROR(U131/P131,"")</x:f>
        <x:v>0.0824143934997098</x:v>
      </x:c>
      <x:c r="W131" s="9" t="str">
        <x:v>mature_le_5pct_pending</x:v>
      </x:c>
      <x:c r="X131" s="12" t="n">
        <x:f>IFERROR(F131/Z131*100000,"")</x:f>
        <x:v>20.107951523655416</x:v>
      </x:c>
      <x:c r="Y131" s="13" t="n">
        <x:f>LN(Z131)</x:f>
        <x:v>15.994491958096372</x:v>
      </x:c>
      <x:c r="Z131" s="6" t="str">
        <x:v>8837300</x:v>
      </x:c>
      <x:c r="AA131" s="6" t="str">
        <x:v>102.0</x:v>
      </x:c>
      <x:c r="AB131" s="9" t="str">
        <x:v>2024-06-30</x:v>
      </x:c>
      <x:c r="AC131" s="8" t="str">
        <x:v>82.36</x:v>
      </x:c>
      <x:c r="AD131" s="9" t="str">
        <x:v>2024 (Susenas)</x:v>
      </x:c>
      <x:c r="AE131" s="8" t="str">
        <x:v>10.97</x:v>
      </x:c>
      <x:c r="AF131" s="9" t="str">
        <x:v>Maret 2024 (Susenas)</x:v>
      </x:c>
      <x:c r="AG131" s="6" t="str">
        <x:v>27.025454032144424</x:v>
      </x:c>
      <x:c r="AH131" s="8" t="str">
        <x:v>82.24459890480087</x:v>
      </x:c>
      <x:c r="AI131" s="6" t="str">
        <x:v>135.57721957548912</x:v>
      </x:c>
      <x:c r="AJ131" s="6" t="str">
        <x:v>0.9320754056168816</x:v>
      </x:c>
      <x:c r="AK131" s="8" t="str">
        <x:v>2.4029266310127904</x:v>
      </x:c>
      <x:c r="AL131" s="6" t="str">
        <x:v>3.286625999707008</x:v>
      </x:c>
      <x:c r="AM131" s="6" t="str">
        <x:v>2.8877513389853746</x:v>
      </x:c>
      <x:c r="AN131" s="6" t="str">
        <x:v>2.8591013232350577</x:v>
      </x:c>
      <x:c r="AO131" s="6" t="str">
        <x:v>-1.117630149777213</x:v>
      </x:c>
      <x:c r="AP131" s="8" t="str">
        <x:v>-0.2430063919153459</x:v>
      </x:c>
      <x:c r="AQ131" s="6" t="str">
        <x:v>0.0319739478296924</x:v>
      </x:c>
      <x:c r="AR131" s="6" t="str">
        <x:v>0.2070786919163043</x:v>
      </x:c>
      <x:c r="AS131" s="6" t="str">
        <x:v>-0.0013179173897833</x:v>
      </x:c>
      <x:c r="AT131" s="6" t="str">
        <x:v>-56.01356519173135</x:v>
      </x:c>
      <x:c r="AU131" s="8" t="str">
        <x:v>-0.5219692105769309</x:v>
      </x:c>
      <x:c r="AV131" s="6" t="str">
        <x:v>0.3415626281196441</x:v>
      </x:c>
      <x:c r="AW131" s="6" t="str">
        <x:v>-1.0005386416480182</x:v>
      </x:c>
      <x:c r="AX131" s="6" t="str">
        <x:v>-0.3936484080351016</x:v>
      </x:c>
      <x:c r="AY131" s="6" t="str">
        <x:v>0</x:v>
      </x:c>
      <x:c r="AZ131" s="6" t="str">
        <x:v>1</x:v>
      </x:c>
      <x:c r="BA131" s="9" t="str">
        <x:v>grid_cells_within_BIG_polygon</x:v>
      </x:c>
      <x:c r="BB131" s="6" t="str">
        <x:v>23</x:v>
      </x:c>
      <x:c r="BC131" s="6" t="str">
        <x:v>27</x:v>
      </x:c>
      <x:c r="BD131" s="6" t="str">
        <x:v>27</x:v>
      </x:c>
      <x:c r="BE131" s="6" t="str">
        <x:v>0</x:v>
      </x:c>
      <x:c r="BF131" s="6" t="str">
        <x:v>0</x:v>
      </x:c>
      <x:c r="BG131" s="6" t="str">
        <x:v>2</x:v>
      </x:c>
      <x:c r="BH131" s="6" t="str">
        <x:v>0</x:v>
      </x:c>
      <x:c r="BI131" s="6" t="str">
        <x:v>25</x:v>
      </x:c>
      <x:c r="BJ131" s="6" t="str">
        <x:v>0</x:v>
      </x:c>
      <x:c r="BK131" s="6" t="str">
        <x:v>0</x:v>
      </x:c>
      <x:c r="BL131" s="6" t="str">
        <x:v>0</x:v>
      </x:c>
      <x:c r="BM131" s="6" t="str">
        <x:v>0</x:v>
      </x:c>
      <x:c r="BN131" s="6" t="str">
        <x:v>27</x:v>
      </x:c>
      <x:c r="BO131" s="6" t="str">
        <x:v>0.0</x:v>
      </x:c>
      <x:c r="BP131" s="6" t="str">
        <x:v>2</x:v>
      </x:c>
      <x:c r="BQ131" s="6" t="str">
        <x:v>3.0</x:v>
      </x:c>
      <x:c r="BR131" s="6" t="str">
        <x:v>2</x:v>
      </x:c>
      <x:c r="BS131" s="6" t="str">
        <x:v>57.0</x:v>
      </x:c>
      <x:c r="BT131" s="6" t="str">
        <x:v>27</x:v>
      </x:c>
      <x:c r="BU131" s="6" t="str"/>
      <x:c r="BV131" s="6" t="str">
        <x:v>0</x:v>
      </x:c>
      <x:c r="BW131" s="9" t="str">
        <x:v>operational_snapshot_annual_totals_may_differ</x:v>
      </x:c>
      <x:c r="BX131" s="9" t="str">
        <x:v>official_live_dashboard_snapshot_subject_to_revision</x:v>
      </x:c>
      <x:c r="BY131" s="9" t="str">
        <x:v>https://tbdashboard.sitb.id/ss_data_tbc03so_2024_provinsi_bulanan_list.php</x:v>
      </x:c>
      <x:c r="BZ131" s="6" t="n">
        <x:v>46246.610671296294</x:v>
      </x:c>
    </x:row>
    <x:row r="132" ht="18" customHeight="1">
      <x:c r="A132" s="6" t="str">
        <x:v>16</x:v>
      </x:c>
      <x:c r="B132" s="6" t="str">
        <x:v>SUMATERA SELATAN</x:v>
      </x:c>
      <x:c r="C132" s="6" t="str">
        <x:v>2024</x:v>
      </x:c>
      <x:c r="D132" s="6" t="str">
        <x:v>11</x:v>
      </x:c>
      <x:c r="E132" s="6" t="str">
        <x:v>2024-11</x:v>
      </x:c>
      <x:c r="F132" s="6" t="str">
        <x:v>1747</x:v>
      </x:c>
      <x:c r="G132" s="6" t="str">
        <x:v>340</x:v>
      </x:c>
      <x:c r="H132" s="6" t="str">
        <x:v>1229</x:v>
      </x:c>
      <x:c r="I132" s="6" t="str">
        <x:v>82</x:v>
      </x:c>
      <x:c r="J132" s="6" t="str">
        <x:v>50</x:v>
      </x:c>
      <x:c r="K132" s="6" t="str">
        <x:v>4</x:v>
      </x:c>
      <x:c r="L132" s="6" t="str">
        <x:v>6</x:v>
      </x:c>
      <x:c r="M132" s="6" t="str">
        <x:v>36</x:v>
      </x:c>
      <x:c r="N132" s="6" t="str">
        <x:v>1747</x:v>
      </x:c>
      <x:c r="O132" s="6" t="str">
        <x:v>0</x:v>
      </x:c>
      <x:c r="P132" s="10" t="n">
        <x:f>F132-M132</x:f>
        <x:v>1711</x:v>
      </x:c>
      <x:c r="Q132" s="11" t="n">
        <x:f>IFERROR(M132/F132,"")</x:f>
        <x:v>0.0206067544361763</x:v>
      </x:c>
      <x:c r="R132" s="10" t="n">
        <x:f>G132+H132</x:f>
        <x:v>1569</x:v>
      </x:c>
      <x:c r="S132" s="11" t="n">
        <x:f>IFERROR(R132/F132,"")</x:f>
        <x:v>0.8981110475100171</x:v>
      </x:c>
      <x:c r="T132" s="11" t="n">
        <x:f>IFERROR(R132/P132,"")</x:f>
        <x:v>0.9170075978959673</x:v>
      </x:c>
      <x:c r="U132" s="10" t="n">
        <x:f>I132+J132+K132</x:f>
        <x:v>136</x:v>
      </x:c>
      <x:c r="V132" s="11" t="n">
        <x:f>IFERROR(U132/P132,"")</x:f>
        <x:v>0.07948568088836938</x:v>
      </x:c>
      <x:c r="W132" s="9" t="str">
        <x:v>mature_le_5pct_pending</x:v>
      </x:c>
      <x:c r="X132" s="12" t="n">
        <x:f>IFERROR(F132/Z132*100000,"")</x:f>
        <x:v>19.768481323481154</x:v>
      </x:c>
      <x:c r="Y132" s="13" t="n">
        <x:f>LN(Z132)</x:f>
        <x:v>15.994491958096372</x:v>
      </x:c>
      <x:c r="Z132" s="6" t="str">
        <x:v>8837300</x:v>
      </x:c>
      <x:c r="AA132" s="6" t="str">
        <x:v>102.0</x:v>
      </x:c>
      <x:c r="AB132" s="9" t="str">
        <x:v>2024-06-30</x:v>
      </x:c>
      <x:c r="AC132" s="8" t="str">
        <x:v>82.36</x:v>
      </x:c>
      <x:c r="AD132" s="9" t="str">
        <x:v>2024 (Susenas)</x:v>
      </x:c>
      <x:c r="AE132" s="8" t="str">
        <x:v>10.97</x:v>
      </x:c>
      <x:c r="AF132" s="9" t="str">
        <x:v>Maret 2024 (Susenas)</x:v>
      </x:c>
      <x:c r="AG132" s="6" t="str">
        <x:v>26.57942088290896</x:v>
      </x:c>
      <x:c r="AH132" s="8" t="str">
        <x:v>85.63990074162088</x:v>
      </x:c>
      <x:c r="AI132" s="6" t="str">
        <x:v>279.92180161583025</x:v>
      </x:c>
      <x:c r="AJ132" s="6" t="str">
        <x:v>0.5407352659254308</x:v>
      </x:c>
      <x:c r="AK132" s="8" t="str">
        <x:v>1.1152230108226446</x:v>
      </x:c>
      <x:c r="AL132" s="6" t="str">
        <x:v>2.4029266310127904</x:v>
      </x:c>
      <x:c r="AM132" s="6" t="str">
        <x:v>3.286625999707008</x:v>
      </x:c>
      <x:c r="AN132" s="6" t="str">
        <x:v>2.2682585471808148</x:v>
      </x:c>
      <x:c r="AO132" s="6" t="str">
        <x:v>-0.1452928503445321</x:v>
      </x:c>
      <x:c r="AP132" s="8" t="str">
        <x:v>-0.0520087906525704</x:v>
      </x:c>
      <x:c r="AQ132" s="6" t="str">
        <x:v>-0.2430063919153459</x:v>
      </x:c>
      <x:c r="AR132" s="6" t="str">
        <x:v>0.0319739478296924</x:v>
      </x:c>
      <x:c r="AS132" s="6" t="str">
        <x:v>-0.0876804115794083</x:v>
      </x:c>
      <x:c r="AT132" s="6" t="str">
        <x:v>8.898490776136839</x:v>
      </x:c>
      <x:c r="AU132" s="8" t="str">
        <x:v>0.1027396966252749</x:v>
      </x:c>
      <x:c r="AV132" s="6" t="str">
        <x:v>-0.5219692105769309</x:v>
      </x:c>
      <x:c r="AW132" s="6" t="str">
        <x:v>0.3415626281196441</x:v>
      </x:c>
      <x:c r="AX132" s="6" t="str">
        <x:v>-0.0258889619440039</x:v>
      </x:c>
      <x:c r="AY132" s="6" t="str">
        <x:v>0</x:v>
      </x:c>
      <x:c r="AZ132" s="6" t="str">
        <x:v>1</x:v>
      </x:c>
      <x:c r="BA132" s="9" t="str">
        <x:v>grid_cells_within_BIG_polygon</x:v>
      </x:c>
      <x:c r="BB132" s="6" t="str">
        <x:v>23</x:v>
      </x:c>
      <x:c r="BC132" s="6" t="str">
        <x:v>13</x:v>
      </x:c>
      <x:c r="BD132" s="6" t="str">
        <x:v>13</x:v>
      </x:c>
      <x:c r="BE132" s="6" t="str">
        <x:v>4</x:v>
      </x:c>
      <x:c r="BF132" s="6" t="str">
        <x:v>0</x:v>
      </x:c>
      <x:c r="BG132" s="6" t="str">
        <x:v>3</x:v>
      </x:c>
      <x:c r="BH132" s="6" t="str">
        <x:v>0</x:v>
      </x:c>
      <x:c r="BI132" s="6" t="str">
        <x:v>6</x:v>
      </x:c>
      <x:c r="BJ132" s="6" t="str">
        <x:v>0</x:v>
      </x:c>
      <x:c r="BK132" s="6" t="str">
        <x:v>0</x:v>
      </x:c>
      <x:c r="BL132" s="6" t="str">
        <x:v>0</x:v>
      </x:c>
      <x:c r="BM132" s="6" t="str">
        <x:v>0</x:v>
      </x:c>
      <x:c r="BN132" s="6" t="str">
        <x:v>13</x:v>
      </x:c>
      <x:c r="BO132" s="6" t="str">
        <x:v>0.0</x:v>
      </x:c>
      <x:c r="BP132" s="6" t="str">
        <x:v>4</x:v>
      </x:c>
      <x:c r="BQ132" s="6" t="str">
        <x:v>0.0</x:v>
      </x:c>
      <x:c r="BR132" s="6" t="str">
        <x:v>4</x:v>
      </x:c>
      <x:c r="BS132" s="6" t="str">
        <x:v>94.0</x:v>
      </x:c>
      <x:c r="BT132" s="6" t="str">
        <x:v>13</x:v>
      </x:c>
      <x:c r="BU132" s="6" t="str">
        <x:v>330.0</x:v>
      </x:c>
      <x:c r="BV132" s="6" t="str">
        <x:v>4</x:v>
      </x:c>
      <x:c r="BW132" s="9" t="str">
        <x:v>operational_snapshot_annual_totals_may_differ</x:v>
      </x:c>
      <x:c r="BX132" s="9" t="str">
        <x:v>official_live_dashboard_snapshot_subject_to_revision</x:v>
      </x:c>
      <x:c r="BY132" s="9" t="str">
        <x:v>https://tbdashboard.sitb.id/ss_data_tbc03so_2024_provinsi_bulanan_list.php</x:v>
      </x:c>
      <x:c r="BZ132" s="6" t="n">
        <x:v>46246.610671296294</x:v>
      </x:c>
    </x:row>
    <x:row r="133" ht="18" customHeight="1">
      <x:c r="A133" s="6" t="str">
        <x:v>16</x:v>
      </x:c>
      <x:c r="B133" s="6" t="str">
        <x:v>SUMATERA SELATAN</x:v>
      </x:c>
      <x:c r="C133" s="6" t="str">
        <x:v>2024</x:v>
      </x:c>
      <x:c r="D133" s="6" t="str">
        <x:v>12</x:v>
      </x:c>
      <x:c r="E133" s="6" t="str">
        <x:v>2024-12</x:v>
      </x:c>
      <x:c r="F133" s="6" t="str">
        <x:v>1386</x:v>
      </x:c>
      <x:c r="G133" s="6" t="str">
        <x:v>296</x:v>
      </x:c>
      <x:c r="H133" s="6" t="str">
        <x:v>920</x:v>
      </x:c>
      <x:c r="I133" s="6" t="str">
        <x:v>65</x:v>
      </x:c>
      <x:c r="J133" s="6" t="str">
        <x:v>48</x:v>
      </x:c>
      <x:c r="K133" s="6" t="str">
        <x:v>0</x:v>
      </x:c>
      <x:c r="L133" s="6" t="str">
        <x:v>4</x:v>
      </x:c>
      <x:c r="M133" s="6" t="str">
        <x:v>53</x:v>
      </x:c>
      <x:c r="N133" s="6" t="str">
        <x:v>1386</x:v>
      </x:c>
      <x:c r="O133" s="6" t="str">
        <x:v>0</x:v>
      </x:c>
      <x:c r="P133" s="10" t="n">
        <x:f>F133-M133</x:f>
        <x:v>1333</x:v>
      </x:c>
      <x:c r="Q133" s="11" t="n">
        <x:f>IFERROR(M133/F133,"")</x:f>
        <x:v>0.03823953823953824</x:v>
      </x:c>
      <x:c r="R133" s="10" t="n">
        <x:f>G133+H133</x:f>
        <x:v>1216</x:v>
      </x:c>
      <x:c r="S133" s="11" t="n">
        <x:f>IFERROR(R133/F133,"")</x:f>
        <x:v>0.8773448773448773</x:v>
      </x:c>
      <x:c r="T133" s="11" t="n">
        <x:f>IFERROR(R133/P133,"")</x:f>
        <x:v>0.9122280570142536</x:v>
      </x:c>
      <x:c r="U133" s="10" t="n">
        <x:f>I133+J133+K133</x:f>
        <x:v>113</x:v>
      </x:c>
      <x:c r="V133" s="11" t="n">
        <x:f>IFERROR(U133/P133,"")</x:f>
        <x:v>0.08477119279819954</x:v>
      </x:c>
      <x:c r="W133" s="9" t="str">
        <x:v>mature_le_5pct_pending</x:v>
      </x:c>
      <x:c r="X133" s="12" t="n">
        <x:f>IFERROR(F133/Z133*100000,"")</x:f>
        <x:v>15.683523248050875</x:v>
      </x:c>
      <x:c r="Y133" s="13" t="n">
        <x:f>LN(Z133)</x:f>
        <x:v>15.994491958096372</x:v>
      </x:c>
      <x:c r="Z133" s="6" t="str">
        <x:v>8837300</x:v>
      </x:c>
      <x:c r="AA133" s="6" t="str">
        <x:v>102.0</x:v>
      </x:c>
      <x:c r="AB133" s="9" t="str">
        <x:v>2024-06-30</x:v>
      </x:c>
      <x:c r="AC133" s="8" t="str">
        <x:v>82.36</x:v>
      </x:c>
      <x:c r="AD133" s="9" t="str">
        <x:v>2024 (Susenas)</x:v>
      </x:c>
      <x:c r="AE133" s="8" t="str">
        <x:v>10.97</x:v>
      </x:c>
      <x:c r="AF133" s="9" t="str">
        <x:v>Maret 2024 (Susenas)</x:v>
      </x:c>
      <x:c r="AG133" s="6" t="str">
        <x:v>26.141651522511705</x:v>
      </x:c>
      <x:c r="AH133" s="8" t="str">
        <x:v>87.18343229275969</x:v>
      </x:c>
      <x:c r="AI133" s="6" t="str">
        <x:v>315.99119313339355</x:v>
      </x:c>
      <x:c r="AJ133" s="6" t="str">
        <x:v>0.646291001177925</x:v>
      </x:c>
      <x:c r="AK133" s="8" t="str">
        <x:v>1.7394803355808528</x:v>
      </x:c>
      <x:c r="AL133" s="6" t="str">
        <x:v>1.1152230108226446</x:v>
      </x:c>
      <x:c r="AM133" s="6" t="str">
        <x:v>2.4029266310127904</x:v>
      </x:c>
      <x:c r="AN133" s="6" t="str">
        <x:v>1.7525433258054297</x:v>
      </x:c>
      <x:c r="AO133" s="6" t="str">
        <x:v>-1.5525346990729505</x:v>
      </x:c>
      <x:c r="AP133" s="8" t="str">
        <x:v>-1.2079174129198709</x:v>
      </x:c>
      <x:c r="AQ133" s="6" t="str">
        <x:v>-0.0520087906525704</x:v>
      </x:c>
      <x:c r="AR133" s="6" t="str">
        <x:v>-0.2430063919153459</x:v>
      </x:c>
      <x:c r="AS133" s="6" t="str">
        <x:v>-0.5009775318292627</x:v>
      </x:c>
      <x:c r="AT133" s="6" t="str">
        <x:v>16.038972306164908</x:v>
      </x:c>
      <x:c r="AU133" s="8" t="str">
        <x:v>0.2470580914890945</x:v>
      </x:c>
      <x:c r="AV133" s="6" t="str">
        <x:v>0.1027396966252749</x:v>
      </x:c>
      <x:c r="AW133" s="6" t="str">
        <x:v>-0.5219692105769309</x:v>
      </x:c>
      <x:c r="AX133" s="6" t="str">
        <x:v>-0.0573904741541871</x:v>
      </x:c>
      <x:c r="AY133" s="6" t="str">
        <x:v>0</x:v>
      </x:c>
      <x:c r="AZ133" s="6" t="str">
        <x:v>1</x:v>
      </x:c>
      <x:c r="BA133" s="9" t="str">
        <x:v>grid_cells_within_BIG_polygon</x:v>
      </x:c>
      <x:c r="BB133" s="6" t="str">
        <x:v>23</x:v>
      </x:c>
      <x:c r="BC133" s="6" t="str">
        <x:v>2</x:v>
      </x:c>
      <x:c r="BD133" s="6" t="str">
        <x:v>2</x:v>
      </x:c>
      <x:c r="BE133" s="6" t="str">
        <x:v>2</x:v>
      </x:c>
      <x:c r="BF133" s="6" t="str">
        <x:v>0</x:v>
      </x:c>
      <x:c r="BG133" s="6" t="str">
        <x:v>0</x:v>
      </x:c>
      <x:c r="BH133" s="6" t="str">
        <x:v>0</x:v>
      </x:c>
      <x:c r="BI133" s="6" t="str">
        <x:v>0</x:v>
      </x:c>
      <x:c r="BJ133" s="6" t="str">
        <x:v>0</x:v>
      </x:c>
      <x:c r="BK133" s="6" t="str">
        <x:v>0</x:v>
      </x:c>
      <x:c r="BL133" s="6" t="str">
        <x:v>0</x:v>
      </x:c>
      <x:c r="BM133" s="6" t="str">
        <x:v>0</x:v>
      </x:c>
      <x:c r="BN133" s="6" t="str">
        <x:v>2</x:v>
      </x:c>
      <x:c r="BO133" s="6" t="str">
        <x:v>0.0</x:v>
      </x:c>
      <x:c r="BP133" s="6" t="str">
        <x:v>1</x:v>
      </x:c>
      <x:c r="BQ133" s="6" t="str">
        <x:v>0.0</x:v>
      </x:c>
      <x:c r="BR133" s="6" t="str">
        <x:v>1</x:v>
      </x:c>
      <x:c r="BS133" s="6" t="str">
        <x:v>0.0</x:v>
      </x:c>
      <x:c r="BT133" s="6" t="str">
        <x:v>2</x:v>
      </x:c>
      <x:c r="BU133" s="6" t="str">
        <x:v>15.0</x:v>
      </x:c>
      <x:c r="BV133" s="6" t="str">
        <x:v>1</x:v>
      </x:c>
      <x:c r="BW133" s="9" t="str">
        <x:v>operational_snapshot_annual_totals_may_differ</x:v>
      </x:c>
      <x:c r="BX133" s="9" t="str">
        <x:v>official_live_dashboard_snapshot_subject_to_revision</x:v>
      </x:c>
      <x:c r="BY133" s="9" t="str">
        <x:v>https://tbdashboard.sitb.id/ss_data_tbc03so_2024_provinsi_bulanan_list.php</x:v>
      </x:c>
      <x:c r="BZ133" s="6" t="n">
        <x:v>46246.610671296294</x:v>
      </x:c>
    </x:row>
    <x:row r="134" ht="18" customHeight="1">
      <x:c r="A134" s="6" t="str">
        <x:v>16</x:v>
      </x:c>
      <x:c r="B134" s="6" t="str">
        <x:v>SUMATERA SELATAN</x:v>
      </x:c>
      <x:c r="C134" s="6" t="str">
        <x:v>2025</x:v>
      </x:c>
      <x:c r="D134" s="6" t="str">
        <x:v>1</x:v>
      </x:c>
      <x:c r="E134" s="6" t="str">
        <x:v>2025-01</x:v>
      </x:c>
      <x:c r="F134" s="6" t="str">
        <x:v>1916</x:v>
      </x:c>
      <x:c r="G134" s="6" t="str">
        <x:v>364</x:v>
      </x:c>
      <x:c r="H134" s="6" t="str">
        <x:v>1197</x:v>
      </x:c>
      <x:c r="I134" s="6" t="str">
        <x:v>72</x:v>
      </x:c>
      <x:c r="J134" s="6" t="str">
        <x:v>73</x:v>
      </x:c>
      <x:c r="K134" s="6" t="str">
        <x:v>3</x:v>
      </x:c>
      <x:c r="L134" s="6" t="str">
        <x:v>5</x:v>
      </x:c>
      <x:c r="M134" s="6" t="str">
        <x:v>202</x:v>
      </x:c>
      <x:c r="N134" s="6" t="str">
        <x:v>1916</x:v>
      </x:c>
      <x:c r="O134" s="6" t="str">
        <x:v>0</x:v>
      </x:c>
      <x:c r="P134" s="10" t="n">
        <x:f>F134-M134</x:f>
        <x:v>1714</x:v>
      </x:c>
      <x:c r="Q134" s="11" t="n">
        <x:f>IFERROR(M134/F134,"")</x:f>
        <x:v>0.10542797494780794</x:v>
      </x:c>
      <x:c r="R134" s="10" t="n">
        <x:f>G134+H134</x:f>
        <x:v>1561</x:v>
      </x:c>
      <x:c r="S134" s="11" t="n">
        <x:f>IFERROR(R134/F134,"")</x:f>
        <x:v>0.8147181628392485</x:v>
      </x:c>
      <x:c r="T134" s="11" t="n">
        <x:f>IFERROR(R134/P134,"")</x:f>
        <x:v>0.9107351225204201</x:v>
      </x:c>
      <x:c r="U134" s="10" t="n">
        <x:f>I134+J134+K134</x:f>
        <x:v>148</x:v>
      </x:c>
      <x:c r="V134" s="11" t="n">
        <x:f>IFERROR(U134/P134,"")</x:f>
        <x:v>0.08634772462077013</x:v>
      </x:c>
      <x:c r="W134" s="9" t="str">
        <x:v>provisional_gt_5pct_pending</x:v>
      </x:c>
      <x:c r="X134" s="12" t="n">
        <x:f>IFERROR(F134/Z134*100000,"")</x:f>
        <x:v>21.4593716749734</x:v>
      </x:c>
      <x:c r="Y134" s="13" t="n">
        <x:f>LN(Z134)</x:f>
        <x:v>16.004758965619317</x:v>
      </x:c>
      <x:c r="Z134" s="6" t="str">
        <x:v>8928500</x:v>
      </x:c>
      <x:c r="AA134" s="6" t="str">
        <x:v>103.0</x:v>
      </x:c>
      <x:c r="AB134" s="9" t="str">
        <x:v>2025-06-30</x:v>
      </x:c>
      <x:c r="AC134" s="8" t="str">
        <x:v>85.5</x:v>
      </x:c>
      <x:c r="AD134" s="9" t="str">
        <x:v>2025 (Susenas)</x:v>
      </x:c>
      <x:c r="AE134" s="8" t="str">
        <x:v>10.15</x:v>
      </x:c>
      <x:c r="AF134" s="9" t="str">
        <x:v>Maret 2025 (Susenas)</x:v>
      </x:c>
      <x:c r="AG134" s="6" t="str">
        <x:v>25.512427776118862</x:v>
      </x:c>
      <x:c r="AH134" s="8" t="str">
        <x:v>90.27060188611298</x:v>
      </x:c>
      <x:c r="AI134" s="6" t="str">
        <x:v>301.34441150908964</x:v>
      </x:c>
      <x:c r="AJ134" s="6" t="str">
        <x:v>0.2245703367880835</x:v>
      </x:c>
      <x:c r="AK134" s="8" t="str">
        <x:v>0.5039693705689421</x:v>
      </x:c>
      <x:c r="AL134" s="6" t="str">
        <x:v>1.7394803355808528</x:v>
      </x:c>
      <x:c r="AM134" s="6" t="str">
        <x:v>1.1152230108226446</x:v>
      </x:c>
      <x:c r="AN134" s="6" t="str">
        <x:v>1.1195575723241469</x:v>
      </x:c>
      <x:c r="AO134" s="6" t="str">
        <x:v>0.8170374879509836</x:v>
      </x:c>
      <x:c r="AP134" s="8" t="str">
        <x:v>0.668634476747824</x:v>
      </x:c>
      <x:c r="AQ134" s="6" t="str">
        <x:v>-1.2079174129198709</x:v>
      </x:c>
      <x:c r="AR134" s="6" t="str">
        <x:v>-0.0520087906525704</x:v>
      </x:c>
      <x:c r="AS134" s="6" t="str">
        <x:v>-0.1970972422748727</x:v>
      </x:c>
      <x:c r="AT134" s="6" t="str">
        <x:v>59.60918758323149</x:v>
      </x:c>
      <x:c r="AU134" s="8" t="str">
        <x:v>0.8692063970660753</x:v>
      </x:c>
      <x:c r="AV134" s="6" t="str">
        <x:v>0.2470580914890945</x:v>
      </x:c>
      <x:c r="AW134" s="6" t="str">
        <x:v>0.1027396966252749</x:v>
      </x:c>
      <x:c r="AX134" s="6" t="str">
        <x:v>0.4063347283934816</x:v>
      </x:c>
      <x:c r="AY134" s="6" t="str">
        <x:v>0</x:v>
      </x:c>
      <x:c r="AZ134" s="6" t="str">
        <x:v>0</x:v>
      </x:c>
      <x:c r="BA134" s="9" t="str">
        <x:v>grid_cells_within_BIG_polygon</x:v>
      </x:c>
      <x:c r="BB134" s="6" t="str">
        <x:v>23</x:v>
      </x:c>
      <x:c r="BC134" s="6" t="str">
        <x:v>13</x:v>
      </x:c>
      <x:c r="BD134" s="6" t="str">
        <x:v>13</x:v>
      </x:c>
      <x:c r="BE134" s="6" t="str">
        <x:v>10</x:v>
      </x:c>
      <x:c r="BF134" s="6" t="str">
        <x:v>3</x:v>
      </x:c>
      <x:c r="BG134" s="6" t="str">
        <x:v>0</x:v>
      </x:c>
      <x:c r="BH134" s="6" t="str">
        <x:v>0</x:v>
      </x:c>
      <x:c r="BI134" s="6" t="str">
        <x:v>0</x:v>
      </x:c>
      <x:c r="BJ134" s="6" t="str">
        <x:v>0</x:v>
      </x:c>
      <x:c r="BK134" s="6" t="str">
        <x:v>0</x:v>
      </x:c>
      <x:c r="BL134" s="6" t="str">
        <x:v>0</x:v>
      </x:c>
      <x:c r="BM134" s="6" t="str">
        <x:v>0</x:v>
      </x:c>
      <x:c r="BN134" s="6" t="str">
        <x:v>13</x:v>
      </x:c>
      <x:c r="BO134" s="6" t="str">
        <x:v>2.0</x:v>
      </x:c>
      <x:c r="BP134" s="6" t="str">
        <x:v>13</x:v>
      </x:c>
      <x:c r="BQ134" s="6" t="str">
        <x:v>0.0</x:v>
      </x:c>
      <x:c r="BR134" s="6" t="str">
        <x:v>13</x:v>
      </x:c>
      <x:c r="BS134" s="6" t="str">
        <x:v>26.0</x:v>
      </x:c>
      <x:c r="BT134" s="6" t="str">
        <x:v>13</x:v>
      </x:c>
      <x:c r="BU134" s="6" t="str">
        <x:v>5255.0</x:v>
      </x:c>
      <x:c r="BV134" s="6" t="str">
        <x:v>10</x:v>
      </x:c>
      <x:c r="BW134" s="9" t="str">
        <x:v>operational_snapshot_annual_totals_may_differ</x:v>
      </x:c>
      <x:c r="BX134" s="9" t="str">
        <x:v>official_live_dashboard_snapshot_subject_to_revision</x:v>
      </x:c>
      <x:c r="BY134" s="9" t="str">
        <x:v>https://tbdashboard.sitb.id/ss_data_tbc03so_2025_provinsi_bulanan_list.php</x:v>
      </x:c>
      <x:c r="BZ134" s="6" t="n">
        <x:v>46246.610671296294</x:v>
      </x:c>
    </x:row>
    <x:row r="135" ht="18" customHeight="1">
      <x:c r="A135" s="6" t="str">
        <x:v>16</x:v>
      </x:c>
      <x:c r="B135" s="6" t="str">
        <x:v>SUMATERA SELATAN</x:v>
      </x:c>
      <x:c r="C135" s="6" t="str">
        <x:v>2025</x:v>
      </x:c>
      <x:c r="D135" s="6" t="str">
        <x:v>2</x:v>
      </x:c>
      <x:c r="E135" s="6" t="str">
        <x:v>2025-02</x:v>
      </x:c>
      <x:c r="F135" s="6" t="str">
        <x:v>2269</x:v>
      </x:c>
      <x:c r="G135" s="6" t="str">
        <x:v>436</x:v>
      </x:c>
      <x:c r="H135" s="6" t="str">
        <x:v>1369</x:v>
      </x:c>
      <x:c r="I135" s="6" t="str">
        <x:v>94</x:v>
      </x:c>
      <x:c r="J135" s="6" t="str">
        <x:v>85</x:v>
      </x:c>
      <x:c r="K135" s="6" t="str">
        <x:v>5</x:v>
      </x:c>
      <x:c r="L135" s="6" t="str">
        <x:v>6</x:v>
      </x:c>
      <x:c r="M135" s="6" t="str">
        <x:v>274</x:v>
      </x:c>
      <x:c r="N135" s="6" t="str">
        <x:v>2269</x:v>
      </x:c>
      <x:c r="O135" s="6" t="str">
        <x:v>0</x:v>
      </x:c>
      <x:c r="P135" s="10" t="n">
        <x:f>F135-M135</x:f>
        <x:v>1995</x:v>
      </x:c>
      <x:c r="Q135" s="11" t="n">
        <x:f>IFERROR(M135/F135,"")</x:f>
        <x:v>0.12075804319083297</x:v>
      </x:c>
      <x:c r="R135" s="10" t="n">
        <x:f>G135+H135</x:f>
        <x:v>1805</x:v>
      </x:c>
      <x:c r="S135" s="11" t="n">
        <x:f>IFERROR(R135/F135,"")</x:f>
        <x:v>0.7955046275892463</x:v>
      </x:c>
      <x:c r="T135" s="11" t="n">
        <x:f>IFERROR(R135/P135,"")</x:f>
        <x:v>0.9047619047619048</x:v>
      </x:c>
      <x:c r="U135" s="10" t="n">
        <x:f>I135+J135+K135</x:f>
        <x:v>184</x:v>
      </x:c>
      <x:c r="V135" s="11" t="n">
        <x:f>IFERROR(U135/P135,"")</x:f>
        <x:v>0.09223057644110276</x:v>
      </x:c>
      <x:c r="W135" s="9" t="str">
        <x:v>provisional_gt_5pct_pending</x:v>
      </x:c>
      <x:c r="X135" s="12" t="n">
        <x:f>IFERROR(F135/Z135*100000,"")</x:f>
        <x:v>25.41300330402643</x:v>
      </x:c>
      <x:c r="Y135" s="13" t="n">
        <x:f>LN(Z135)</x:f>
        <x:v>16.004758965619317</x:v>
      </x:c>
      <x:c r="Z135" s="6" t="str">
        <x:v>8928500</x:v>
      </x:c>
      <x:c r="AA135" s="6" t="str">
        <x:v>103.0</x:v>
      </x:c>
      <x:c r="AB135" s="9" t="str">
        <x:v>2025-06-30</x:v>
      </x:c>
      <x:c r="AC135" s="8" t="str">
        <x:v>85.5</x:v>
      </x:c>
      <x:c r="AD135" s="9" t="str">
        <x:v>2025 (Susenas)</x:v>
      </x:c>
      <x:c r="AE135" s="8" t="str">
        <x:v>10.15</x:v>
      </x:c>
      <x:c r="AF135" s="9" t="str">
        <x:v>Maret 2025 (Susenas)</x:v>
      </x:c>
      <x:c r="AG135" s="6" t="str">
        <x:v>25.714648874134127</x:v>
      </x:c>
      <x:c r="AH135" s="8" t="str">
        <x:v>88.96938392333385</x:v>
      </x:c>
      <x:c r="AI135" s="6" t="str">
        <x:v>269.95621822429723</x:v>
      </x:c>
      <x:c r="AJ135" s="6" t="str">
        <x:v>0.2996446085439785</x:v>
      </x:c>
      <x:c r="AK135" s="8" t="str">
        <x:v>0.684229879844907</x:v>
      </x:c>
      <x:c r="AL135" s="6" t="str">
        <x:v>0.5039693705689421</x:v>
      </x:c>
      <x:c r="AM135" s="6" t="str">
        <x:v>1.7394803355808528</x:v>
      </x:c>
      <x:c r="AN135" s="6" t="str">
        <x:v>0.9758931953315678</x:v>
      </x:c>
      <x:c r="AO135" s="6" t="str">
        <x:v>-0.1635611030118298</x:v>
      </x:c>
      <x:c r="AP135" s="8" t="str">
        <x:v>-0.2071564455224364</x:v>
      </x:c>
      <x:c r="AQ135" s="6" t="str">
        <x:v>0.668634476747824</x:v>
      </x:c>
      <x:c r="AR135" s="6" t="str">
        <x:v>-1.2079174129198709</x:v>
      </x:c>
      <x:c r="AS135" s="6" t="str">
        <x:v>-0.2488131272314947</x:v>
      </x:c>
      <x:c r="AT135" s="6" t="str">
        <x:v>48.62512958276167</x:v>
      </x:c>
      <x:c r="AU135" s="8" t="str">
        <x:v>0.8504303153402593</x:v>
      </x:c>
      <x:c r="AV135" s="6" t="str">
        <x:v>0.8692063970660753</x:v>
      </x:c>
      <x:c r="AW135" s="6" t="str">
        <x:v>0.2470580914890945</x:v>
      </x:c>
      <x:c r="AX135" s="6" t="str">
        <x:v>0.6555649346318098</x:v>
      </x:c>
      <x:c r="AY135" s="6" t="str">
        <x:v>0</x:v>
      </x:c>
      <x:c r="AZ135" s="6" t="str">
        <x:v>0</x:v>
      </x:c>
      <x:c r="BA135" s="9" t="str">
        <x:v>grid_cells_within_BIG_polygon</x:v>
      </x:c>
      <x:c r="BB135" s="6" t="str">
        <x:v>23</x:v>
      </x:c>
      <x:c r="BC135" s="6" t="str">
        <x:v>12</x:v>
      </x:c>
      <x:c r="BD135" s="6" t="str">
        <x:v>12</x:v>
      </x:c>
      <x:c r="BE135" s="6" t="str">
        <x:v>12</x:v>
      </x:c>
      <x:c r="BF135" s="6" t="str">
        <x:v>0</x:v>
      </x:c>
      <x:c r="BG135" s="6" t="str">
        <x:v>0</x:v>
      </x:c>
      <x:c r="BH135" s="6" t="str">
        <x:v>0</x:v>
      </x:c>
      <x:c r="BI135" s="6" t="str">
        <x:v>0</x:v>
      </x:c>
      <x:c r="BJ135" s="6" t="str">
        <x:v>0</x:v>
      </x:c>
      <x:c r="BK135" s="6" t="str">
        <x:v>0</x:v>
      </x:c>
      <x:c r="BL135" s="6" t="str">
        <x:v>0</x:v>
      </x:c>
      <x:c r="BM135" s="6" t="str">
        <x:v>0</x:v>
      </x:c>
      <x:c r="BN135" s="6" t="str">
        <x:v>12</x:v>
      </x:c>
      <x:c r="BO135" s="6" t="str">
        <x:v>0.0</x:v>
      </x:c>
      <x:c r="BP135" s="6" t="str">
        <x:v>12</x:v>
      </x:c>
      <x:c r="BQ135" s="6" t="str">
        <x:v>0.0</x:v>
      </x:c>
      <x:c r="BR135" s="6" t="str">
        <x:v>12</x:v>
      </x:c>
      <x:c r="BS135" s="6" t="str">
        <x:v>0.0</x:v>
      </x:c>
      <x:c r="BT135" s="6" t="str">
        <x:v>12</x:v>
      </x:c>
      <x:c r="BU135" s="6" t="str">
        <x:v>6159.0</x:v>
      </x:c>
      <x:c r="BV135" s="6" t="str">
        <x:v>11</x:v>
      </x:c>
      <x:c r="BW135" s="9" t="str">
        <x:v>operational_snapshot_annual_totals_may_differ</x:v>
      </x:c>
      <x:c r="BX135" s="9" t="str">
        <x:v>official_live_dashboard_snapshot_subject_to_revision</x:v>
      </x:c>
      <x:c r="BY135" s="9" t="str">
        <x:v>https://tbdashboard.sitb.id/ss_data_tbc03so_2025_provinsi_bulanan_list.php</x:v>
      </x:c>
      <x:c r="BZ135" s="6" t="n">
        <x:v>46246.610671296294</x:v>
      </x:c>
    </x:row>
    <x:row r="136" ht="18" customHeight="1">
      <x:c r="A136" s="6" t="str">
        <x:v>16</x:v>
      </x:c>
      <x:c r="B136" s="6" t="str">
        <x:v>SUMATERA SELATAN</x:v>
      </x:c>
      <x:c r="C136" s="6" t="str">
        <x:v>2025</x:v>
      </x:c>
      <x:c r="D136" s="6" t="str">
        <x:v>3</x:v>
      </x:c>
      <x:c r="E136" s="6" t="str">
        <x:v>2025-03</x:v>
      </x:c>
      <x:c r="F136" s="6" t="str">
        <x:v>1851</x:v>
      </x:c>
      <x:c r="G136" s="6" t="str">
        <x:v>350</x:v>
      </x:c>
      <x:c r="H136" s="6" t="str">
        <x:v>1108</x:v>
      </x:c>
      <x:c r="I136" s="6" t="str">
        <x:v>68</x:v>
      </x:c>
      <x:c r="J136" s="6" t="str">
        <x:v>65</x:v>
      </x:c>
      <x:c r="K136" s="6" t="str">
        <x:v>3</x:v>
      </x:c>
      <x:c r="L136" s="6" t="str">
        <x:v>0</x:v>
      </x:c>
      <x:c r="M136" s="6" t="str">
        <x:v>257</x:v>
      </x:c>
      <x:c r="N136" s="6" t="str">
        <x:v>1851</x:v>
      </x:c>
      <x:c r="O136" s="6" t="str">
        <x:v>0</x:v>
      </x:c>
      <x:c r="P136" s="10" t="n">
        <x:f>F136-M136</x:f>
        <x:v>1594</x:v>
      </x:c>
      <x:c r="Q136" s="11" t="n">
        <x:f>IFERROR(M136/F136,"")</x:f>
        <x:v>0.1388438681793625</x:v>
      </x:c>
      <x:c r="R136" s="10" t="n">
        <x:f>G136+H136</x:f>
        <x:v>1458</x:v>
      </x:c>
      <x:c r="S136" s="11" t="n">
        <x:f>IFERROR(R136/F136,"")</x:f>
        <x:v>0.7876823338735819</x:v>
      </x:c>
      <x:c r="T136" s="11" t="n">
        <x:f>IFERROR(R136/P136,"")</x:f>
        <x:v>0.9146800501882058</x:v>
      </x:c>
      <x:c r="U136" s="10" t="n">
        <x:f>I136+J136+K136</x:f>
        <x:v>136</x:v>
      </x:c>
      <x:c r="V136" s="11" t="n">
        <x:f>IFERROR(U136/P136,"")</x:f>
        <x:v>0.08531994981179424</x:v>
      </x:c>
      <x:c r="W136" s="9" t="str">
        <x:v>provisional_gt_5pct_pending</x:v>
      </x:c>
      <x:c r="X136" s="12" t="n">
        <x:f>IFERROR(F136/Z136*100000,"")</x:f>
        <x:v>20.731365850926807</x:v>
      </x:c>
      <x:c r="Y136" s="13" t="n">
        <x:f>LN(Z136)</x:f>
        <x:v>16.004758965619317</x:v>
      </x:c>
      <x:c r="Z136" s="6" t="str">
        <x:v>8928500</x:v>
      </x:c>
      <x:c r="AA136" s="6" t="str">
        <x:v>103.0</x:v>
      </x:c>
      <x:c r="AB136" s="9" t="str">
        <x:v>2025-06-30</x:v>
      </x:c>
      <x:c r="AC136" s="8" t="str">
        <x:v>85.5</x:v>
      </x:c>
      <x:c r="AD136" s="9" t="str">
        <x:v>2025 (Susenas)</x:v>
      </x:c>
      <x:c r="AE136" s="8" t="str">
        <x:v>10.15</x:v>
      </x:c>
      <x:c r="AF136" s="9" t="str">
        <x:v>Maret 2025 (Susenas)</x:v>
      </x:c>
      <x:c r="AG136" s="6" t="str">
        <x:v>26.06425098143068</x:v>
      </x:c>
      <x:c r="AH136" s="8" t="str">
        <x:v>89.39610843343515</x:v>
      </x:c>
      <x:c r="AI136" s="6" t="str">
        <x:v>384.3717298824654</x:v>
      </x:c>
      <x:c r="AJ136" s="6" t="str">
        <x:v>0.2527626757311338</x:v>
      </x:c>
      <x:c r="AK136" s="8" t="str">
        <x:v>0.7005646143030589</x:v>
      </x:c>
      <x:c r="AL136" s="6" t="str">
        <x:v>0.684229879844907</x:v>
      </x:c>
      <x:c r="AM136" s="6" t="str">
        <x:v>0.5039693705689421</x:v>
      </x:c>
      <x:c r="AN136" s="6" t="str">
        <x:v>0.6295879549056365</x:v>
      </x:c>
      <x:c r="AO136" s="6" t="str">
        <x:v>1.1794172770833882</x:v>
      </x:c>
      <x:c r="AP136" s="8" t="str">
        <x:v>1.3149303468250284</x:v>
      </x:c>
      <x:c r="AQ136" s="6" t="str">
        <x:v>-0.2071564455224364</x:v>
      </x:c>
      <x:c r="AR136" s="6" t="str">
        <x:v>0.668634476747824</x:v>
      </x:c>
      <x:c r="AS136" s="6" t="str">
        <x:v>0.5921361260168051</x:v>
      </x:c>
      <x:c r="AT136" s="6" t="str">
        <x:v>110.05299501658538</x:v>
      </x:c>
      <x:c r="AU136" s="8" t="str">
        <x:v>1.3703559544249446</x:v>
      </x:c>
      <x:c r="AV136" s="6" t="str">
        <x:v>0.8504303153402593</x:v>
      </x:c>
      <x:c r="AW136" s="6" t="str">
        <x:v>0.8692063970660753</x:v>
      </x:c>
      <x:c r="AX136" s="6" t="str">
        <x:v>1.0299975556104266</x:v>
      </x:c>
      <x:c r="AY136" s="6" t="str">
        <x:v>1</x:v>
      </x:c>
      <x:c r="AZ136" s="6" t="str">
        <x:v>0</x:v>
      </x:c>
      <x:c r="BA136" s="9" t="str">
        <x:v>grid_cells_within_BIG_polygon</x:v>
      </x:c>
      <x:c r="BB136" s="6" t="str">
        <x:v>23</x:v>
      </x:c>
      <x:c r="BC136" s="6" t="str">
        <x:v>23</x:v>
      </x:c>
      <x:c r="BD136" s="6" t="str">
        <x:v>23</x:v>
      </x:c>
      <x:c r="BE136" s="6" t="str">
        <x:v>22</x:v>
      </x:c>
      <x:c r="BF136" s="6" t="str">
        <x:v>0</x:v>
      </x:c>
      <x:c r="BG136" s="6" t="str">
        <x:v>0</x:v>
      </x:c>
      <x:c r="BH136" s="6" t="str">
        <x:v>0</x:v>
      </x:c>
      <x:c r="BI136" s="6" t="str">
        <x:v>1</x:v>
      </x:c>
      <x:c r="BJ136" s="6" t="str">
        <x:v>0</x:v>
      </x:c>
      <x:c r="BK136" s="6" t="str">
        <x:v>0</x:v>
      </x:c>
      <x:c r="BL136" s="6" t="str">
        <x:v>0</x:v>
      </x:c>
      <x:c r="BM136" s="6" t="str">
        <x:v>0</x:v>
      </x:c>
      <x:c r="BN136" s="6" t="str">
        <x:v>23</x:v>
      </x:c>
      <x:c r="BO136" s="6" t="str">
        <x:v>0.0</x:v>
      </x:c>
      <x:c r="BP136" s="6" t="str">
        <x:v>23</x:v>
      </x:c>
      <x:c r="BQ136" s="6" t="str">
        <x:v>0.0</x:v>
      </x:c>
      <x:c r="BR136" s="6" t="str">
        <x:v>23</x:v>
      </x:c>
      <x:c r="BS136" s="6" t="str">
        <x:v>0.0</x:v>
      </x:c>
      <x:c r="BT136" s="6" t="str">
        <x:v>23</x:v>
      </x:c>
      <x:c r="BU136" s="6" t="str">
        <x:v>15392.0</x:v>
      </x:c>
      <x:c r="BV136" s="6" t="str">
        <x:v>21</x:v>
      </x:c>
      <x:c r="BW136" s="9" t="str">
        <x:v>operational_snapshot_annual_totals_may_differ</x:v>
      </x:c>
      <x:c r="BX136" s="9" t="str">
        <x:v>official_live_dashboard_snapshot_subject_to_revision</x:v>
      </x:c>
      <x:c r="BY136" s="9" t="str">
        <x:v>https://tbdashboard.sitb.id/ss_data_tbc03so_2025_provinsi_bulanan_list.php</x:v>
      </x:c>
      <x:c r="BZ136" s="6" t="n">
        <x:v>46246.610671296294</x:v>
      </x:c>
    </x:row>
    <x:row r="137" ht="18" customHeight="1">
      <x:c r="A137" s="6" t="str">
        <x:v>16</x:v>
      </x:c>
      <x:c r="B137" s="6" t="str">
        <x:v>SUMATERA SELATAN</x:v>
      </x:c>
      <x:c r="C137" s="6" t="str">
        <x:v>2025</x:v>
      </x:c>
      <x:c r="D137" s="6" t="str">
        <x:v>4</x:v>
      </x:c>
      <x:c r="E137" s="6" t="str">
        <x:v>2025-04</x:v>
      </x:c>
      <x:c r="F137" s="6" t="str">
        <x:v>1748</x:v>
      </x:c>
      <x:c r="G137" s="6" t="str">
        <x:v>314</x:v>
      </x:c>
      <x:c r="H137" s="6" t="str">
        <x:v>992</x:v>
      </x:c>
      <x:c r="I137" s="6" t="str">
        <x:v>93</x:v>
      </x:c>
      <x:c r="J137" s="6" t="str">
        <x:v>59</x:v>
      </x:c>
      <x:c r="K137" s="6" t="str">
        <x:v>3</x:v>
      </x:c>
      <x:c r="L137" s="6" t="str">
        <x:v>0</x:v>
      </x:c>
      <x:c r="M137" s="6" t="str">
        <x:v>287</x:v>
      </x:c>
      <x:c r="N137" s="6" t="str">
        <x:v>1748</x:v>
      </x:c>
      <x:c r="O137" s="6" t="str">
        <x:v>0</x:v>
      </x:c>
      <x:c r="P137" s="10" t="n">
        <x:f>F137-M137</x:f>
        <x:v>1461</x:v>
      </x:c>
      <x:c r="Q137" s="11" t="n">
        <x:f>IFERROR(M137/F137,"")</x:f>
        <x:v>0.16418764302059496</x:v>
      </x:c>
      <x:c r="R137" s="10" t="n">
        <x:f>G137+H137</x:f>
        <x:v>1306</x:v>
      </x:c>
      <x:c r="S137" s="11" t="n">
        <x:f>IFERROR(R137/F137,"")</x:f>
        <x:v>0.7471395881006865</x:v>
      </x:c>
      <x:c r="T137" s="11" t="n">
        <x:f>IFERROR(R137/P137,"")</x:f>
        <x:v>0.893908281998631</x:v>
      </x:c>
      <x:c r="U137" s="10" t="n">
        <x:f>I137+J137+K137</x:f>
        <x:v>155</x:v>
      </x:c>
      <x:c r="V137" s="11" t="n">
        <x:f>IFERROR(U137/P137,"")</x:f>
        <x:v>0.10609171800136892</x:v>
      </x:c>
      <x:c r="W137" s="9" t="str">
        <x:v>provisional_gt_5pct_pending</x:v>
      </x:c>
      <x:c r="X137" s="12" t="n">
        <x:f>IFERROR(F137/Z137*100000,"")</x:f>
        <x:v>19.577756622052974</x:v>
      </x:c>
      <x:c r="Y137" s="13" t="n">
        <x:f>LN(Z137)</x:f>
        <x:v>16.004758965619317</x:v>
      </x:c>
      <x:c r="Z137" s="6" t="str">
        <x:v>8928500</x:v>
      </x:c>
      <x:c r="AA137" s="6" t="str">
        <x:v>103.0</x:v>
      </x:c>
      <x:c r="AB137" s="9" t="str">
        <x:v>2025-06-30</x:v>
      </x:c>
      <x:c r="AC137" s="8" t="str">
        <x:v>85.5</x:v>
      </x:c>
      <x:c r="AD137" s="9" t="str">
        <x:v>2025 (Susenas)</x:v>
      </x:c>
      <x:c r="AE137" s="8" t="str">
        <x:v>10.15</x:v>
      </x:c>
      <x:c r="AF137" s="9" t="str">
        <x:v>Maret 2025 (Susenas)</x:v>
      </x:c>
      <x:c r="AG137" s="6" t="str">
        <x:v>26.329072307923365</x:v>
      </x:c>
      <x:c r="AH137" s="8" t="str">
        <x:v>87.4512346688119</x:v>
      </x:c>
      <x:c r="AI137" s="6" t="str">
        <x:v>285.93084292151417</x:v>
      </x:c>
      <x:c r="AJ137" s="6" t="str">
        <x:v>0.1744906025126056</x:v>
      </x:c>
      <x:c r="AK137" s="8" t="str">
        <x:v>0.500429089295394</x:v>
      </x:c>
      <x:c r="AL137" s="6" t="str">
        <x:v>0.7005646143030589</x:v>
      </x:c>
      <x:c r="AM137" s="6" t="str">
        <x:v>0.684229879844907</x:v>
      </x:c>
      <x:c r="AN137" s="6" t="str">
        <x:v>0.6284078611477871</x:v>
      </x:c>
      <x:c r="AO137" s="6" t="str">
        <x:v>-0.6785004524184757</x:v>
      </x:c>
      <x:c r="AP137" s="8" t="str">
        <x:v>-0.8852381055398386</x:v>
      </x:c>
      <x:c r="AQ137" s="6" t="str">
        <x:v>1.3149303468250284</x:v>
      </x:c>
      <x:c r="AR137" s="6" t="str">
        <x:v>-0.2071564455224364</x:v>
      </x:c>
      <x:c r="AS137" s="6" t="str">
        <x:v>0.0741785985875841</x:v>
      </x:c>
      <x:c r="AT137" s="6" t="str">
        <x:v>39.580487532594304</x:v>
      </x:c>
      <x:c r="AU137" s="8" t="str">
        <x:v>0.5691002138011605</x:v>
      </x:c>
      <x:c r="AV137" s="6" t="str">
        <x:v>1.3703559544249446</x:v>
      </x:c>
      <x:c r="AW137" s="6" t="str">
        <x:v>0.8504303153402593</x:v>
      </x:c>
      <x:c r="AX137" s="6" t="str">
        <x:v>0.9299621611887884</x:v>
      </x:c>
      <x:c r="AY137" s="6" t="str">
        <x:v>0</x:v>
      </x:c>
      <x:c r="AZ137" s="6" t="str">
        <x:v>0</x:v>
      </x:c>
      <x:c r="BA137" s="9" t="str">
        <x:v>grid_cells_within_BIG_polygon</x:v>
      </x:c>
      <x:c r="BB137" s="6" t="str">
        <x:v>23</x:v>
      </x:c>
      <x:c r="BC137" s="6" t="str">
        <x:v>4</x:v>
      </x:c>
      <x:c r="BD137" s="6" t="str">
        <x:v>4</x:v>
      </x:c>
      <x:c r="BE137" s="6" t="str">
        <x:v>2</x:v>
      </x:c>
      <x:c r="BF137" s="6" t="str">
        <x:v>0</x:v>
      </x:c>
      <x:c r="BG137" s="6" t="str">
        <x:v>2</x:v>
      </x:c>
      <x:c r="BH137" s="6" t="str">
        <x:v>0</x:v>
      </x:c>
      <x:c r="BI137" s="6" t="str">
        <x:v>0</x:v>
      </x:c>
      <x:c r="BJ137" s="6" t="str">
        <x:v>0</x:v>
      </x:c>
      <x:c r="BK137" s="6" t="str">
        <x:v>0</x:v>
      </x:c>
      <x:c r="BL137" s="6" t="str">
        <x:v>0</x:v>
      </x:c>
      <x:c r="BM137" s="6" t="str">
        <x:v>0</x:v>
      </x:c>
      <x:c r="BN137" s="6" t="str">
        <x:v>4</x:v>
      </x:c>
      <x:c r="BO137" s="6" t="str">
        <x:v>0.0</x:v>
      </x:c>
      <x:c r="BP137" s="6" t="str">
        <x:v>4</x:v>
      </x:c>
      <x:c r="BQ137" s="6" t="str">
        <x:v>0.0</x:v>
      </x:c>
      <x:c r="BR137" s="6" t="str">
        <x:v>4</x:v>
      </x:c>
      <x:c r="BS137" s="6" t="str">
        <x:v>15.0</x:v>
      </x:c>
      <x:c r="BT137" s="6" t="str">
        <x:v>4</x:v>
      </x:c>
      <x:c r="BU137" s="6" t="str">
        <x:v>945.0</x:v>
      </x:c>
      <x:c r="BV137" s="6" t="str">
        <x:v>2</x:v>
      </x:c>
      <x:c r="BW137" s="9" t="str">
        <x:v>operational_snapshot_annual_totals_may_differ</x:v>
      </x:c>
      <x:c r="BX137" s="9" t="str">
        <x:v>official_live_dashboard_snapshot_subject_to_revision</x:v>
      </x:c>
      <x:c r="BY137" s="9" t="str">
        <x:v>https://tbdashboard.sitb.id/ss_data_tbc03so_2025_provinsi_bulanan_list.php</x:v>
      </x:c>
      <x:c r="BZ137" s="6" t="n">
        <x:v>46246.610671296294</x:v>
      </x:c>
    </x:row>
    <x:row r="138" ht="18" customHeight="1">
      <x:c r="A138" s="6" t="str">
        <x:v>16</x:v>
      </x:c>
      <x:c r="B138" s="6" t="str">
        <x:v>SUMATERA SELATAN</x:v>
      </x:c>
      <x:c r="C138" s="6" t="str">
        <x:v>2025</x:v>
      </x:c>
      <x:c r="D138" s="6" t="str">
        <x:v>5</x:v>
      </x:c>
      <x:c r="E138" s="6" t="str">
        <x:v>2025-05</x:v>
      </x:c>
      <x:c r="F138" s="6" t="str">
        <x:v>1914</x:v>
      </x:c>
      <x:c r="G138" s="6" t="str">
        <x:v>386</x:v>
      </x:c>
      <x:c r="H138" s="6" t="str">
        <x:v>1068</x:v>
      </x:c>
      <x:c r="I138" s="6" t="str">
        <x:v>59</x:v>
      </x:c>
      <x:c r="J138" s="6" t="str">
        <x:v>82</x:v>
      </x:c>
      <x:c r="K138" s="6" t="str">
        <x:v>2</x:v>
      </x:c>
      <x:c r="L138" s="6" t="str">
        <x:v>1</x:v>
      </x:c>
      <x:c r="M138" s="6" t="str">
        <x:v>316</x:v>
      </x:c>
      <x:c r="N138" s="6" t="str">
        <x:v>1914</x:v>
      </x:c>
      <x:c r="O138" s="6" t="str">
        <x:v>0</x:v>
      </x:c>
      <x:c r="P138" s="10" t="n">
        <x:f>F138-M138</x:f>
        <x:v>1598</x:v>
      </x:c>
      <x:c r="Q138" s="11" t="n">
        <x:f>IFERROR(M138/F138,"")</x:f>
        <x:v>0.16509926854754442</x:v>
      </x:c>
      <x:c r="R138" s="10" t="n">
        <x:f>G138+H138</x:f>
        <x:v>1454</x:v>
      </x:c>
      <x:c r="S138" s="11" t="n">
        <x:f>IFERROR(R138/F138,"")</x:f>
        <x:v>0.7596656217345873</x:v>
      </x:c>
      <x:c r="T138" s="11" t="n">
        <x:f>IFERROR(R138/P138,"")</x:f>
        <x:v>0.9098873591989988</x:v>
      </x:c>
      <x:c r="U138" s="10" t="n">
        <x:f>I138+J138+K138</x:f>
        <x:v>143</x:v>
      </x:c>
      <x:c r="V138" s="11" t="n">
        <x:f>IFERROR(U138/P138,"")</x:f>
        <x:v>0.08948685857321652</x:v>
      </x:c>
      <x:c r="W138" s="9" t="str">
        <x:v>provisional_gt_5pct_pending</x:v>
      </x:c>
      <x:c r="X138" s="12" t="n">
        <x:f>IFERROR(F138/Z138*100000,"")</x:f>
        <x:v>21.436971495771967</x:v>
      </x:c>
      <x:c r="Y138" s="13" t="n">
        <x:f>LN(Z138)</x:f>
        <x:v>16.004758965619317</x:v>
      </x:c>
      <x:c r="Z138" s="6" t="str">
        <x:v>8928500</x:v>
      </x:c>
      <x:c r="AA138" s="6" t="str">
        <x:v>103.0</x:v>
      </x:c>
      <x:c r="AB138" s="9" t="str">
        <x:v>2025-06-30</x:v>
      </x:c>
      <x:c r="AC138" s="8" t="str">
        <x:v>85.5</x:v>
      </x:c>
      <x:c r="AD138" s="9" t="str">
        <x:v>2025 (Susenas)</x:v>
      </x:c>
      <x:c r="AE138" s="8" t="str">
        <x:v>10.15</x:v>
      </x:c>
      <x:c r="AF138" s="9" t="str">
        <x:v>Maret 2025 (Susenas)</x:v>
      </x:c>
      <x:c r="AG138" s="6" t="str">
        <x:v>26.75428934358621</x:v>
      </x:c>
      <x:c r="AH138" s="8" t="str">
        <x:v>86.82746583348846</x:v>
      </x:c>
      <x:c r="AI138" s="6" t="str">
        <x:v>163.7569840788312</x:v>
      </x:c>
      <x:c r="AJ138" s="6" t="str">
        <x:v>0.5747951825927018</x:v>
      </x:c>
      <x:c r="AK138" s="8" t="str">
        <x:v>1.709229081945398</x:v>
      </x:c>
      <x:c r="AL138" s="6" t="str">
        <x:v>0.500429089295394</x:v>
      </x:c>
      <x:c r="AM138" s="6" t="str">
        <x:v>0.7005646143030589</x:v>
      </x:c>
      <x:c r="AN138" s="6" t="str">
        <x:v>0.9700742618479508</x:v>
      </x:c>
      <x:c r="AO138" s="6" t="str">
        <x:v>-1.7122752587444978</x:v>
      </x:c>
      <x:c r="AP138" s="8" t="str">
        <x:v>-2.104138287744685</x:v>
      </x:c>
      <x:c r="AQ138" s="6" t="str">
        <x:v>-0.8852381055398386</x:v>
      </x:c>
      <x:c r="AR138" s="6" t="str">
        <x:v>1.3149303468250284</x:v>
      </x:c>
      <x:c r="AS138" s="6" t="str">
        <x:v>-0.5581486821531653</x:v>
      </x:c>
      <x:c r="AT138" s="6" t="str">
        <x:v>-5.488772088810805</x:v>
      </x:c>
      <x:c r="AU138" s="8" t="str">
        <x:v>-0.0969550952750499</x:v>
      </x:c>
      <x:c r="AV138" s="6" t="str">
        <x:v>0.5691002138011605</x:v>
      </x:c>
      <x:c r="AW138" s="6" t="str">
        <x:v>1.3703559544249446</x:v>
      </x:c>
      <x:c r="AX138" s="6" t="str">
        <x:v>0.6141670243170184</x:v>
      </x:c>
      <x:c r="AY138" s="6" t="str">
        <x:v>0</x:v>
      </x:c>
      <x:c r="AZ138" s="6" t="str">
        <x:v>1</x:v>
      </x:c>
      <x:c r="BA138" s="9" t="str">
        <x:v>grid_cells_within_BIG_polygon</x:v>
      </x:c>
      <x:c r="BB138" s="6" t="str">
        <x:v>23</x:v>
      </x:c>
      <x:c r="BC138" s="6" t="str">
        <x:v>4</x:v>
      </x:c>
      <x:c r="BD138" s="6" t="str">
        <x:v>4</x:v>
      </x:c>
      <x:c r="BE138" s="6" t="str">
        <x:v>1</x:v>
      </x:c>
      <x:c r="BF138" s="6" t="str">
        <x:v>0</x:v>
      </x:c>
      <x:c r="BG138" s="6" t="str">
        <x:v>1</x:v>
      </x:c>
      <x:c r="BH138" s="6" t="str">
        <x:v>0</x:v>
      </x:c>
      <x:c r="BI138" s="6" t="str">
        <x:v>2</x:v>
      </x:c>
      <x:c r="BJ138" s="6" t="str">
        <x:v>0</x:v>
      </x:c>
      <x:c r="BK138" s="6" t="str">
        <x:v>0</x:v>
      </x:c>
      <x:c r="BL138" s="6" t="str">
        <x:v>0</x:v>
      </x:c>
      <x:c r="BM138" s="6" t="str">
        <x:v>0</x:v>
      </x:c>
      <x:c r="BN138" s="6" t="str">
        <x:v>4</x:v>
      </x:c>
      <x:c r="BO138" s="6" t="str">
        <x:v>0.0</x:v>
      </x:c>
      <x:c r="BP138" s="6" t="str">
        <x:v>4</x:v>
      </x:c>
      <x:c r="BQ138" s="6" t="str">
        <x:v>0.0</x:v>
      </x:c>
      <x:c r="BR138" s="6" t="str">
        <x:v>4</x:v>
      </x:c>
      <x:c r="BS138" s="6" t="str">
        <x:v>31.0</x:v>
      </x:c>
      <x:c r="BT138" s="6" t="str">
        <x:v>4</x:v>
      </x:c>
      <x:c r="BU138" s="6" t="str">
        <x:v>57.0</x:v>
      </x:c>
      <x:c r="BV138" s="6" t="str">
        <x:v>1</x:v>
      </x:c>
      <x:c r="BW138" s="9" t="str">
        <x:v>operational_snapshot_annual_totals_may_differ</x:v>
      </x:c>
      <x:c r="BX138" s="9" t="str">
        <x:v>official_live_dashboard_snapshot_subject_to_revision</x:v>
      </x:c>
      <x:c r="BY138" s="9" t="str">
        <x:v>https://tbdashboard.sitb.id/ss_data_tbc03so_2025_provinsi_bulanan_list.php</x:v>
      </x:c>
      <x:c r="BZ138" s="6" t="n">
        <x:v>46246.610671296294</x:v>
      </x:c>
    </x:row>
    <x:row r="139" ht="18" customHeight="1">
      <x:c r="A139" s="6" t="str">
        <x:v>16</x:v>
      </x:c>
      <x:c r="B139" s="6" t="str">
        <x:v>SUMATERA SELATAN</x:v>
      </x:c>
      <x:c r="C139" s="6" t="str">
        <x:v>2025</x:v>
      </x:c>
      <x:c r="D139" s="6" t="str">
        <x:v>6</x:v>
      </x:c>
      <x:c r="E139" s="6" t="str">
        <x:v>2025-06</x:v>
      </x:c>
      <x:c r="F139" s="6" t="str">
        <x:v>1682</x:v>
      </x:c>
      <x:c r="G139" s="6" t="str">
        <x:v>335</x:v>
      </x:c>
      <x:c r="H139" s="6" t="str">
        <x:v>964</x:v>
      </x:c>
      <x:c r="I139" s="6" t="str">
        <x:v>59</x:v>
      </x:c>
      <x:c r="J139" s="6" t="str">
        <x:v>60</x:v>
      </x:c>
      <x:c r="K139" s="6" t="str">
        <x:v>1</x:v>
      </x:c>
      <x:c r="L139" s="6" t="str">
        <x:v>0</x:v>
      </x:c>
      <x:c r="M139" s="6" t="str">
        <x:v>263</x:v>
      </x:c>
      <x:c r="N139" s="6" t="str">
        <x:v>1682</x:v>
      </x:c>
      <x:c r="O139" s="6" t="str">
        <x:v>0</x:v>
      </x:c>
      <x:c r="P139" s="10" t="n">
        <x:f>F139-M139</x:f>
        <x:v>1419</x:v>
      </x:c>
      <x:c r="Q139" s="11" t="n">
        <x:f>IFERROR(M139/F139,"")</x:f>
        <x:v>0.15636147443519618</x:v>
      </x:c>
      <x:c r="R139" s="10" t="n">
        <x:f>G139+H139</x:f>
        <x:v>1299</x:v>
      </x:c>
      <x:c r="S139" s="11" t="n">
        <x:f>IFERROR(R139/F139,"")</x:f>
        <x:v>0.772294887039239</x:v>
      </x:c>
      <x:c r="T139" s="11" t="n">
        <x:f>IFERROR(R139/P139,"")</x:f>
        <x:v>0.9154334038054969</x:v>
      </x:c>
      <x:c r="U139" s="10" t="n">
        <x:f>I139+J139+K139</x:f>
        <x:v>120</x:v>
      </x:c>
      <x:c r="V139" s="11" t="n">
        <x:f>IFERROR(U139/P139,"")</x:f>
        <x:v>0.08456659619450317</x:v>
      </x:c>
      <x:c r="W139" s="9" t="str">
        <x:v>provisional_gt_5pct_pending</x:v>
      </x:c>
      <x:c r="X139" s="12" t="n">
        <x:f>IFERROR(F139/Z139*100000,"")</x:f>
        <x:v>18.838550708405666</x:v>
      </x:c>
      <x:c r="Y139" s="13" t="n">
        <x:f>LN(Z139)</x:f>
        <x:v>16.004758965619317</x:v>
      </x:c>
      <x:c r="Z139" s="6" t="str">
        <x:v>8928500</x:v>
      </x:c>
      <x:c r="AA139" s="6" t="str">
        <x:v>103.0</x:v>
      </x:c>
      <x:c r="AB139" s="9" t="str">
        <x:v>2025-06-30</x:v>
      </x:c>
      <x:c r="AC139" s="8" t="str">
        <x:v>85.5</x:v>
      </x:c>
      <x:c r="AD139" s="9" t="str">
        <x:v>2025 (Susenas)</x:v>
      </x:c>
      <x:c r="AE139" s="8" t="str">
        <x:v>10.15</x:v>
      </x:c>
      <x:c r="AF139" s="9" t="str">
        <x:v>Maret 2025 (Susenas)</x:v>
      </x:c>
      <x:c r="AG139" s="6" t="str">
        <x:v>25.99162568660376</x:v>
      </x:c>
      <x:c r="AH139" s="8" t="str">
        <x:v>87.62713382378521</x:v>
      </x:c>
      <x:c r="AI139" s="6" t="str">
        <x:v>115.81480941034016</x:v>
      </x:c>
      <x:c r="AJ139" s="6" t="str">
        <x:v>0.3603558068373473</x:v>
      </x:c>
      <x:c r="AK139" s="8" t="str">
        <x:v>1.214850048208084</x:v>
      </x:c>
      <x:c r="AL139" s="6" t="str">
        <x:v>1.709229081945398</x:v>
      </x:c>
      <x:c r="AM139" s="6" t="str">
        <x:v>0.500429089295394</x:v>
      </x:c>
      <x:c r="AN139" s="6" t="str">
        <x:v>1.1415027398162925</x:v>
      </x:c>
      <x:c r="AO139" s="6" t="str">
        <x:v>-0.4883921206446473</x:v>
      </x:c>
      <x:c r="AP139" s="8" t="str">
        <x:v>-0.4405375486350144</x:v>
      </x:c>
      <x:c r="AQ139" s="6" t="str">
        <x:v>-2.104138287744685</x:v>
      </x:c>
      <x:c r="AR139" s="6" t="str">
        <x:v>-0.8852381055398386</x:v>
      </x:c>
      <x:c r="AS139" s="6" t="str">
        <x:v>-1.1433046473065127</x:v>
      </x:c>
      <x:c r="AT139" s="6" t="str">
        <x:v>-8.068211029450055</x:v>
      </x:c>
      <x:c r="AU139" s="8" t="str">
        <x:v>-0.1412712525540003</x:v>
      </x:c>
      <x:c r="AV139" s="6" t="str">
        <x:v>-0.0969550952750499</x:v>
      </x:c>
      <x:c r="AW139" s="6" t="str">
        <x:v>0.5691002138011605</x:v>
      </x:c>
      <x:c r="AX139" s="6" t="str">
        <x:v>0.1102912886573701</x:v>
      </x:c>
      <x:c r="AY139" s="6" t="str">
        <x:v>0</x:v>
      </x:c>
      <x:c r="AZ139" s="6" t="str">
        <x:v>1</x:v>
      </x:c>
      <x:c r="BA139" s="9" t="str">
        <x:v>grid_cells_within_BIG_polygon</x:v>
      </x:c>
      <x:c r="BB139" s="6" t="str">
        <x:v>23</x:v>
      </x:c>
      <x:c r="BC139" s="6" t="str">
        <x:v>4</x:v>
      </x:c>
      <x:c r="BD139" s="6" t="str">
        <x:v>4</x:v>
      </x:c>
      <x:c r="BE139" s="6" t="str">
        <x:v>2</x:v>
      </x:c>
      <x:c r="BF139" s="6" t="str">
        <x:v>0</x:v>
      </x:c>
      <x:c r="BG139" s="6" t="str">
        <x:v>0</x:v>
      </x:c>
      <x:c r="BH139" s="6" t="str">
        <x:v>0</x:v>
      </x:c>
      <x:c r="BI139" s="6" t="str">
        <x:v>2</x:v>
      </x:c>
      <x:c r="BJ139" s="6" t="str">
        <x:v>0</x:v>
      </x:c>
      <x:c r="BK139" s="6" t="str">
        <x:v>0</x:v>
      </x:c>
      <x:c r="BL139" s="6" t="str">
        <x:v>0</x:v>
      </x:c>
      <x:c r="BM139" s="6" t="str">
        <x:v>0</x:v>
      </x:c>
      <x:c r="BN139" s="6" t="str">
        <x:v>4</x:v>
      </x:c>
      <x:c r="BO139" s="6" t="str"/>
      <x:c r="BP139" s="6" t="str">
        <x:v>0</x:v>
      </x:c>
      <x:c r="BQ139" s="6" t="str"/>
      <x:c r="BR139" s="6" t="str">
        <x:v>0</x:v>
      </x:c>
      <x:c r="BS139" s="6" t="str">
        <x:v>0.0</x:v>
      </x:c>
      <x:c r="BT139" s="6" t="str">
        <x:v>4</x:v>
      </x:c>
      <x:c r="BU139" s="6" t="str">
        <x:v>95.0</x:v>
      </x:c>
      <x:c r="BV139" s="6" t="str">
        <x:v>2</x:v>
      </x:c>
      <x:c r="BW139" s="9" t="str">
        <x:v>operational_snapshot_annual_totals_may_differ</x:v>
      </x:c>
      <x:c r="BX139" s="9" t="str">
        <x:v>official_live_dashboard_snapshot_subject_to_revision</x:v>
      </x:c>
      <x:c r="BY139" s="9" t="str">
        <x:v>https://tbdashboard.sitb.id/ss_data_tbc03so_2025_provinsi_bulanan_list.php</x:v>
      </x:c>
      <x:c r="BZ139" s="6" t="n">
        <x:v>46246.610671296294</x:v>
      </x:c>
    </x:row>
    <x:row r="140" ht="18" customHeight="1">
      <x:c r="A140" s="6" t="str">
        <x:v>16</x:v>
      </x:c>
      <x:c r="B140" s="6" t="str">
        <x:v>SUMATERA SELATAN</x:v>
      </x:c>
      <x:c r="C140" s="6" t="str">
        <x:v>2025</x:v>
      </x:c>
      <x:c r="D140" s="6" t="str">
        <x:v>7</x:v>
      </x:c>
      <x:c r="E140" s="6" t="str">
        <x:v>2025-07</x:v>
      </x:c>
      <x:c r="F140" s="6" t="str">
        <x:v>1914</x:v>
      </x:c>
      <x:c r="G140" s="6" t="str">
        <x:v>361</x:v>
      </x:c>
      <x:c r="H140" s="6" t="str">
        <x:v>1136</x:v>
      </x:c>
      <x:c r="I140" s="6" t="str">
        <x:v>89</x:v>
      </x:c>
      <x:c r="J140" s="6" t="str">
        <x:v>78</x:v>
      </x:c>
      <x:c r="K140" s="6" t="str">
        <x:v>2</x:v>
      </x:c>
      <x:c r="L140" s="6" t="str">
        <x:v>0</x:v>
      </x:c>
      <x:c r="M140" s="6" t="str">
        <x:v>248</x:v>
      </x:c>
      <x:c r="N140" s="6" t="str">
        <x:v>1914</x:v>
      </x:c>
      <x:c r="O140" s="6" t="str">
        <x:v>0</x:v>
      </x:c>
      <x:c r="P140" s="10" t="n">
        <x:f>F140-M140</x:f>
        <x:v>1666</x:v>
      </x:c>
      <x:c r="Q140" s="11" t="n">
        <x:f>IFERROR(M140/F140,"")</x:f>
        <x:v>0.12957157784743992</x:v>
      </x:c>
      <x:c r="R140" s="10" t="n">
        <x:f>G140+H140</x:f>
        <x:v>1497</x:v>
      </x:c>
      <x:c r="S140" s="11" t="n">
        <x:f>IFERROR(R140/F140,"")</x:f>
        <x:v>0.7821316614420063</x:v>
      </x:c>
      <x:c r="T140" s="11" t="n">
        <x:f>IFERROR(R140/P140,"")</x:f>
        <x:v>0.8985594237695078</x:v>
      </x:c>
      <x:c r="U140" s="10" t="n">
        <x:f>I140+J140+K140</x:f>
        <x:v>169</x:v>
      </x:c>
      <x:c r="V140" s="11" t="n">
        <x:f>IFERROR(U140/P140,"")</x:f>
        <x:v>0.1014405762304922</x:v>
      </x:c>
      <x:c r="W140" s="9" t="str">
        <x:v>provisional_gt_5pct_pending</x:v>
      </x:c>
      <x:c r="X140" s="12" t="n">
        <x:f>IFERROR(F140/Z140*100000,"")</x:f>
        <x:v>21.436971495771967</x:v>
      </x:c>
      <x:c r="Y140" s="13" t="n">
        <x:f>LN(Z140)</x:f>
        <x:v>16.004758965619317</x:v>
      </x:c>
      <x:c r="Z140" s="6" t="str">
        <x:v>8928500</x:v>
      </x:c>
      <x:c r="AA140" s="6" t="str">
        <x:v>103.0</x:v>
      </x:c>
      <x:c r="AB140" s="9" t="str">
        <x:v>2025-06-30</x:v>
      </x:c>
      <x:c r="AC140" s="8" t="str">
        <x:v>85.5</x:v>
      </x:c>
      <x:c r="AD140" s="9" t="str">
        <x:v>2025 (Susenas)</x:v>
      </x:c>
      <x:c r="AE140" s="8" t="str">
        <x:v>10.15</x:v>
      </x:c>
      <x:c r="AF140" s="9" t="str">
        <x:v>Maret 2025 (Susenas)</x:v>
      </x:c>
      <x:c r="AG140" s="6" t="str">
        <x:v>25.85340190809516</x:v>
      </x:c>
      <x:c r="AH140" s="8" t="str">
        <x:v>87.68571065382189</x:v>
      </x:c>
      <x:c r="AI140" s="6" t="str">
        <x:v>117.8394072546307</x:v>
      </x:c>
      <x:c r="AJ140" s="6" t="str">
        <x:v>0.6150870358425493</x:v>
      </x:c>
      <x:c r="AK140" s="8" t="str">
        <x:v>1.99738948076572</x:v>
      </x:c>
      <x:c r="AL140" s="6" t="str">
        <x:v>1.214850048208084</x:v>
      </x:c>
      <x:c r="AM140" s="6" t="str">
        <x:v>1.709229081945398</x:v>
      </x:c>
      <x:c r="AN140" s="6" t="str">
        <x:v>1.6404895369730677</x:v>
      </x:c>
      <x:c r="AO140" s="6" t="str">
        <x:v>0.1168678018854763</x:v>
      </x:c>
      <x:c r="AP140" s="8" t="str">
        <x:v>0.0969186012607826</x:v>
      </x:c>
      <x:c r="AQ140" s="6" t="str">
        <x:v>-0.4405375486350144</x:v>
      </x:c>
      <x:c r="AR140" s="6" t="str">
        <x:v>-2.104138287744685</x:v>
      </x:c>
      <x:c r="AS140" s="6" t="str">
        <x:v>-0.8159190783729723</x:v>
      </x:c>
      <x:c r="AT140" s="6" t="str">
        <x:v>2.134122231856395</x:v>
      </x:c>
      <x:c r="AU140" s="8" t="str">
        <x:v>0.0373254866868628</x:v>
      </x:c>
      <x:c r="AV140" s="6" t="str">
        <x:v>-0.1412712525540003</x:v>
      </x:c>
      <x:c r="AW140" s="6" t="str">
        <x:v>-0.0969550952750499</x:v>
      </x:c>
      <x:c r="AX140" s="6" t="str">
        <x:v>-0.0669669537140624</x:v>
      </x:c>
      <x:c r="AY140" s="6" t="str">
        <x:v>0</x:v>
      </x:c>
      <x:c r="AZ140" s="6" t="str">
        <x:v>1</x:v>
      </x:c>
      <x:c r="BA140" s="9" t="str">
        <x:v>grid_cells_within_BIG_polygon</x:v>
      </x:c>
      <x:c r="BB140" s="6" t="str">
        <x:v>23</x:v>
      </x:c>
      <x:c r="BC140" s="6" t="str">
        <x:v>20</x:v>
      </x:c>
      <x:c r="BD140" s="6" t="str">
        <x:v>20</x:v>
      </x:c>
      <x:c r="BE140" s="6" t="str">
        <x:v>0</x:v>
      </x:c>
      <x:c r="BF140" s="6" t="str">
        <x:v>0</x:v>
      </x:c>
      <x:c r="BG140" s="6" t="str">
        <x:v>0</x:v>
      </x:c>
      <x:c r="BH140" s="6" t="str">
        <x:v>0</x:v>
      </x:c>
      <x:c r="BI140" s="6" t="str">
        <x:v>20</x:v>
      </x:c>
      <x:c r="BJ140" s="6" t="str">
        <x:v>0</x:v>
      </x:c>
      <x:c r="BK140" s="6" t="str">
        <x:v>0</x:v>
      </x:c>
      <x:c r="BL140" s="6" t="str">
        <x:v>0</x:v>
      </x:c>
      <x:c r="BM140" s="6" t="str">
        <x:v>0</x:v>
      </x:c>
      <x:c r="BN140" s="6" t="str">
        <x:v>20</x:v>
      </x:c>
      <x:c r="BO140" s="6" t="str"/>
      <x:c r="BP140" s="6" t="str">
        <x:v>0</x:v>
      </x:c>
      <x:c r="BQ140" s="6" t="str"/>
      <x:c r="BR140" s="6" t="str">
        <x:v>0</x:v>
      </x:c>
      <x:c r="BS140" s="6" t="str">
        <x:v>0.0</x:v>
      </x:c>
      <x:c r="BT140" s="6" t="str">
        <x:v>20</x:v>
      </x:c>
      <x:c r="BU140" s="6" t="str"/>
      <x:c r="BV140" s="6" t="str">
        <x:v>0</x:v>
      </x:c>
      <x:c r="BW140" s="9" t="str">
        <x:v>operational_snapshot_annual_totals_may_differ</x:v>
      </x:c>
      <x:c r="BX140" s="9" t="str">
        <x:v>official_live_dashboard_snapshot_subject_to_revision</x:v>
      </x:c>
      <x:c r="BY140" s="9" t="str">
        <x:v>https://tbdashboard.sitb.id/ss_data_tbc03so_2025_provinsi_bulanan_list.php</x:v>
      </x:c>
      <x:c r="BZ140" s="6" t="n">
        <x:v>46246.610671296294</x:v>
      </x:c>
    </x:row>
    <x:row r="141" ht="18" customHeight="1">
      <x:c r="A141" s="6" t="str">
        <x:v>16</x:v>
      </x:c>
      <x:c r="B141" s="6" t="str">
        <x:v>SUMATERA SELATAN</x:v>
      </x:c>
      <x:c r="C141" s="6" t="str">
        <x:v>2025</x:v>
      </x:c>
      <x:c r="D141" s="6" t="str">
        <x:v>8</x:v>
      </x:c>
      <x:c r="E141" s="6" t="str">
        <x:v>2025-08</x:v>
      </x:c>
      <x:c r="F141" s="6" t="str">
        <x:v>1906</x:v>
      </x:c>
      <x:c r="G141" s="6" t="str">
        <x:v>418</x:v>
      </x:c>
      <x:c r="H141" s="6" t="str">
        <x:v>1039</x:v>
      </x:c>
      <x:c r="I141" s="6" t="str">
        <x:v>95</x:v>
      </x:c>
      <x:c r="J141" s="6" t="str">
        <x:v>81</x:v>
      </x:c>
      <x:c r="K141" s="6" t="str">
        <x:v>1</x:v>
      </x:c>
      <x:c r="L141" s="6" t="str">
        <x:v>2</x:v>
      </x:c>
      <x:c r="M141" s="6" t="str">
        <x:v>270</x:v>
      </x:c>
      <x:c r="N141" s="6" t="str">
        <x:v>1906</x:v>
      </x:c>
      <x:c r="O141" s="6" t="str">
        <x:v>0</x:v>
      </x:c>
      <x:c r="P141" s="10" t="n">
        <x:f>F141-M141</x:f>
        <x:v>1636</x:v>
      </x:c>
      <x:c r="Q141" s="11" t="n">
        <x:f>IFERROR(M141/F141,"")</x:f>
        <x:v>0.1416579223504722</x:v>
      </x:c>
      <x:c r="R141" s="10" t="n">
        <x:f>G141+H141</x:f>
        <x:v>1457</x:v>
      </x:c>
      <x:c r="S141" s="11" t="n">
        <x:f>IFERROR(R141/F141,"")</x:f>
        <x:v>0.7644281217208815</x:v>
      </x:c>
      <x:c r="T141" s="11" t="n">
        <x:f>IFERROR(R141/P141,"")</x:f>
        <x:v>0.8905867970660146</x:v>
      </x:c>
      <x:c r="U141" s="10" t="n">
        <x:f>I141+J141+K141</x:f>
        <x:v>177</x:v>
      </x:c>
      <x:c r="V141" s="11" t="n">
        <x:f>IFERROR(U141/P141,"")</x:f>
        <x:v>0.10819070904645477</x:v>
      </x:c>
      <x:c r="W141" s="9" t="str">
        <x:v>provisional_gt_5pct_pending</x:v>
      </x:c>
      <x:c r="X141" s="12" t="n">
        <x:f>IFERROR(F141/Z141*100000,"")</x:f>
        <x:v>21.347370778966233</x:v>
      </x:c>
      <x:c r="Y141" s="13" t="n">
        <x:f>LN(Z141)</x:f>
        <x:v>16.004758965619317</x:v>
      </x:c>
      <x:c r="Z141" s="6" t="str">
        <x:v>8928500</x:v>
      </x:c>
      <x:c r="AA141" s="6" t="str">
        <x:v>103.0</x:v>
      </x:c>
      <x:c r="AB141" s="9" t="str">
        <x:v>2025-06-30</x:v>
      </x:c>
      <x:c r="AC141" s="8" t="str">
        <x:v>85.5</x:v>
      </x:c>
      <x:c r="AD141" s="9" t="str">
        <x:v>2025 (Susenas)</x:v>
      </x:c>
      <x:c r="AE141" s="8" t="str">
        <x:v>10.15</x:v>
      </x:c>
      <x:c r="AF141" s="9" t="str">
        <x:v>Maret 2025 (Susenas)</x:v>
      </x:c>
      <x:c r="AG141" s="6" t="str">
        <x:v>25.763388664315062</x:v>
      </x:c>
      <x:c r="AH141" s="8" t="str">
        <x:v>86.95518842878018</x:v>
      </x:c>
      <x:c r="AI141" s="6" t="str">
        <x:v>216.34967283482</x:v>
      </x:c>
      <x:c r="AJ141" s="6" t="str">
        <x:v>0.4066944440896805</x:v>
      </x:c>
      <x:c r="AK141" s="8" t="str">
        <x:v>1.4334724671465864</x:v>
      </x:c>
      <x:c r="AL141" s="6" t="str">
        <x:v>1.99738948076572</x:v>
      </x:c>
      <x:c r="AM141" s="6" t="str">
        <x:v>1.214850048208084</x:v>
      </x:c>
      <x:c r="AN141" s="6" t="str">
        <x:v>1.548570665373464</x:v>
      </x:c>
      <x:c r="AO141" s="6" t="str">
        <x:v>1.2982148251551706</x:v>
      </x:c>
      <x:c r="AP141" s="8" t="str">
        <x:v>0.6337113782181235</x:v>
      </x:c>
      <x:c r="AQ141" s="6" t="str">
        <x:v>0.0969186012607826</x:v>
      </x:c>
      <x:c r="AR141" s="6" t="str">
        <x:v>-0.4405375486350144</x:v>
      </x:c>
      <x:c r="AS141" s="6" t="str">
        <x:v>0.0966974769479637</x:v>
      </x:c>
      <x:c r="AT141" s="6" t="str">
        <x:v>117.72229096506096</x:v>
      </x:c>
      <x:c r="AU141" s="8" t="str">
        <x:v>1.6528249987854866</x:v>
      </x:c>
      <x:c r="AV141" s="6" t="str">
        <x:v>0.0373254866868628</x:v>
      </x:c>
      <x:c r="AW141" s="6" t="str">
        <x:v>-0.1412712525540003</x:v>
      </x:c>
      <x:c r="AX141" s="6" t="str">
        <x:v>0.5162930776394498</x:v>
      </x:c>
      <x:c r="AY141" s="6" t="str">
        <x:v>1</x:v>
      </x:c>
      <x:c r="AZ141" s="6" t="str">
        <x:v>1</x:v>
      </x:c>
      <x:c r="BA141" s="9" t="str">
        <x:v>grid_cells_within_BIG_polygon</x:v>
      </x:c>
      <x:c r="BB141" s="6" t="str">
        <x:v>23</x:v>
      </x:c>
      <x:c r="BC141" s="6" t="str">
        <x:v>12</x:v>
      </x:c>
      <x:c r="BD141" s="6" t="str">
        <x:v>12</x:v>
      </x:c>
      <x:c r="BE141" s="6" t="str">
        <x:v>1</x:v>
      </x:c>
      <x:c r="BF141" s="6" t="str">
        <x:v>0</x:v>
      </x:c>
      <x:c r="BG141" s="6" t="str">
        <x:v>1</x:v>
      </x:c>
      <x:c r="BH141" s="6" t="str">
        <x:v>0</x:v>
      </x:c>
      <x:c r="BI141" s="6" t="str">
        <x:v>10</x:v>
      </x:c>
      <x:c r="BJ141" s="6" t="str">
        <x:v>0</x:v>
      </x:c>
      <x:c r="BK141" s="6" t="str">
        <x:v>0</x:v>
      </x:c>
      <x:c r="BL141" s="6" t="str">
        <x:v>0</x:v>
      </x:c>
      <x:c r="BM141" s="6" t="str">
        <x:v>0</x:v>
      </x:c>
      <x:c r="BN141" s="6" t="str">
        <x:v>12</x:v>
      </x:c>
      <x:c r="BO141" s="6" t="str"/>
      <x:c r="BP141" s="6" t="str">
        <x:v>0</x:v>
      </x:c>
      <x:c r="BQ141" s="6" t="str"/>
      <x:c r="BR141" s="6" t="str">
        <x:v>0</x:v>
      </x:c>
      <x:c r="BS141" s="6" t="str">
        <x:v>11.0</x:v>
      </x:c>
      <x:c r="BT141" s="6" t="str">
        <x:v>12</x:v>
      </x:c>
      <x:c r="BU141" s="6" t="str">
        <x:v>82.0</x:v>
      </x:c>
      <x:c r="BV141" s="6" t="str">
        <x:v>1</x:v>
      </x:c>
      <x:c r="BW141" s="9" t="str">
        <x:v>operational_snapshot_annual_totals_may_differ</x:v>
      </x:c>
      <x:c r="BX141" s="9" t="str">
        <x:v>official_live_dashboard_snapshot_subject_to_revision</x:v>
      </x:c>
      <x:c r="BY141" s="9" t="str">
        <x:v>https://tbdashboard.sitb.id/ss_data_tbc03so_2025_provinsi_bulanan_list.php</x:v>
      </x:c>
      <x:c r="BZ141" s="6" t="n">
        <x:v>46246.610671296294</x:v>
      </x:c>
    </x:row>
    <x:row r="142" ht="18" customHeight="1">
      <x:c r="A142" s="6" t="str">
        <x:v>16</x:v>
      </x:c>
      <x:c r="B142" s="6" t="str">
        <x:v>SUMATERA SELATAN</x:v>
      </x:c>
      <x:c r="C142" s="6" t="str">
        <x:v>2025</x:v>
      </x:c>
      <x:c r="D142" s="6" t="str">
        <x:v>9</x:v>
      </x:c>
      <x:c r="E142" s="6" t="str">
        <x:v>2025-09</x:v>
      </x:c>
      <x:c r="F142" s="6" t="str">
        <x:v>2220</x:v>
      </x:c>
      <x:c r="G142" s="6" t="str">
        <x:v>487</x:v>
      </x:c>
      <x:c r="H142" s="6" t="str">
        <x:v>1200</x:v>
      </x:c>
      <x:c r="I142" s="6" t="str">
        <x:v>79</x:v>
      </x:c>
      <x:c r="J142" s="6" t="str">
        <x:v>63</x:v>
      </x:c>
      <x:c r="K142" s="6" t="str">
        <x:v>1</x:v>
      </x:c>
      <x:c r="L142" s="6" t="str">
        <x:v>2</x:v>
      </x:c>
      <x:c r="M142" s="6" t="str">
        <x:v>388</x:v>
      </x:c>
      <x:c r="N142" s="6" t="str">
        <x:v>2220</x:v>
      </x:c>
      <x:c r="O142" s="6" t="str">
        <x:v>0</x:v>
      </x:c>
      <x:c r="P142" s="10" t="n">
        <x:f>F142-M142</x:f>
        <x:v>1832</x:v>
      </x:c>
      <x:c r="Q142" s="11" t="n">
        <x:f>IFERROR(M142/F142,"")</x:f>
        <x:v>0.17477477477477477</x:v>
      </x:c>
      <x:c r="R142" s="10" t="n">
        <x:f>G142+H142</x:f>
        <x:v>1687</x:v>
      </x:c>
      <x:c r="S142" s="11" t="n">
        <x:f>IFERROR(R142/F142,"")</x:f>
        <x:v>0.7599099099099099</x:v>
      </x:c>
      <x:c r="T142" s="11" t="n">
        <x:f>IFERROR(R142/P142,"")</x:f>
        <x:v>0.9208515283842795</x:v>
      </x:c>
      <x:c r="U142" s="10" t="n">
        <x:f>I142+J142+K142</x:f>
        <x:v>143</x:v>
      </x:c>
      <x:c r="V142" s="11" t="n">
        <x:f>IFERROR(U142/P142,"")</x:f>
        <x:v>0.07805676855895197</x:v>
      </x:c>
      <x:c r="W142" s="9" t="str">
        <x:v>provisional_gt_5pct_pending</x:v>
      </x:c>
      <x:c r="X142" s="12" t="n">
        <x:f>IFERROR(F142/Z142*100000,"")</x:f>
        <x:v>24.864198913591306</x:v>
      </x:c>
      <x:c r="Y142" s="13" t="n">
        <x:f>LN(Z142)</x:f>
        <x:v>16.004758965619317</x:v>
      </x:c>
      <x:c r="Z142" s="6" t="str">
        <x:v>8928500</x:v>
      </x:c>
      <x:c r="AA142" s="6" t="str">
        <x:v>103.0</x:v>
      </x:c>
      <x:c r="AB142" s="9" t="str">
        <x:v>2025-06-30</x:v>
      </x:c>
      <x:c r="AC142" s="8" t="str">
        <x:v>85.5</x:v>
      </x:c>
      <x:c r="AD142" s="9" t="str">
        <x:v>2025 (Susenas)</x:v>
      </x:c>
      <x:c r="AE142" s="8" t="str">
        <x:v>10.15</x:v>
      </x:c>
      <x:c r="AF142" s="9" t="str">
        <x:v>Maret 2025 (Susenas)</x:v>
      </x:c>
      <x:c r="AG142" s="6" t="str">
        <x:v>26.04295528986828</x:v>
      </x:c>
      <x:c r="AH142" s="8" t="str">
        <x:v>87.22389520709208</x:v>
      </x:c>
      <x:c r="AI142" s="6" t="str">
        <x:v>247.8938861112161</x:v>
      </x:c>
      <x:c r="AJ142" s="6" t="str">
        <x:v>0.3222829419485791</x:v>
      </x:c>
      <x:c r="AK142" s="8" t="str">
        <x:v>1.0884901375359093</x:v>
      </x:c>
      <x:c r="AL142" s="6" t="str">
        <x:v>1.4334724671465864</x:v>
      </x:c>
      <x:c r="AM142" s="6" t="str">
        <x:v>1.99738948076572</x:v>
      </x:c>
      <x:c r="AN142" s="6" t="str">
        <x:v>1.5064506951494057</x:v>
      </x:c>
      <x:c r="AO142" s="6" t="str">
        <x:v>3.476369226978022</x:v>
      </x:c>
      <x:c r="AP142" s="8" t="str">
        <x:v>1.084963551022735</x:v>
      </x:c>
      <x:c r="AQ142" s="6" t="str">
        <x:v>0.6337113782181235</x:v>
      </x:c>
      <x:c r="AR142" s="6" t="str">
        <x:v>0.0969186012607826</x:v>
      </x:c>
      <x:c r="AS142" s="6" t="str">
        <x:v>0.6051978435005468</x:v>
      </x:c>
      <x:c r="AT142" s="6" t="str">
        <x:v>137.56863456728342</x:v>
      </x:c>
      <x:c r="AU142" s="8" t="str">
        <x:v>1.7313623155535096</x:v>
      </x:c>
      <x:c r="AV142" s="6" t="str">
        <x:v>1.6528249987854866</x:v>
      </x:c>
      <x:c r="AW142" s="6" t="str">
        <x:v>0.0373254866868628</x:v>
      </x:c>
      <x:c r="AX142" s="6" t="str">
        <x:v>1.1405042670086198</x:v>
      </x:c>
      <x:c r="AY142" s="6" t="str">
        <x:v>1</x:v>
      </x:c>
      <x:c r="AZ142" s="6" t="str">
        <x:v>1</x:v>
      </x:c>
      <x:c r="BA142" s="9" t="str">
        <x:v>grid_cells_within_BIG_polygon</x:v>
      </x:c>
      <x:c r="BB142" s="6" t="str">
        <x:v>23</x:v>
      </x:c>
      <x:c r="BC142" s="6" t="str">
        <x:v>16</x:v>
      </x:c>
      <x:c r="BD142" s="6" t="str">
        <x:v>16</x:v>
      </x:c>
      <x:c r="BE142" s="6" t="str">
        <x:v>2</x:v>
      </x:c>
      <x:c r="BF142" s="6" t="str">
        <x:v>0</x:v>
      </x:c>
      <x:c r="BG142" s="6" t="str">
        <x:v>1</x:v>
      </x:c>
      <x:c r="BH142" s="6" t="str">
        <x:v>0</x:v>
      </x:c>
      <x:c r="BI142" s="6" t="str">
        <x:v>13</x:v>
      </x:c>
      <x:c r="BJ142" s="6" t="str">
        <x:v>0</x:v>
      </x:c>
      <x:c r="BK142" s="6" t="str">
        <x:v>0</x:v>
      </x:c>
      <x:c r="BL142" s="6" t="str">
        <x:v>0</x:v>
      </x:c>
      <x:c r="BM142" s="6" t="str">
        <x:v>0</x:v>
      </x:c>
      <x:c r="BN142" s="6" t="str">
        <x:v>16</x:v>
      </x:c>
      <x:c r="BO142" s="6" t="str">
        <x:v>2.0</x:v>
      </x:c>
      <x:c r="BP142" s="6" t="str">
        <x:v>1</x:v>
      </x:c>
      <x:c r="BQ142" s="6" t="str">
        <x:v>5.0</x:v>
      </x:c>
      <x:c r="BR142" s="6" t="str">
        <x:v>1</x:v>
      </x:c>
      <x:c r="BS142" s="6" t="str">
        <x:v>16.0</x:v>
      </x:c>
      <x:c r="BT142" s="6" t="str">
        <x:v>16</x:v>
      </x:c>
      <x:c r="BU142" s="6" t="str">
        <x:v>60.0</x:v>
      </x:c>
      <x:c r="BV142" s="6" t="str">
        <x:v>1</x:v>
      </x:c>
      <x:c r="BW142" s="9" t="str">
        <x:v>operational_snapshot_annual_totals_may_differ</x:v>
      </x:c>
      <x:c r="BX142" s="9" t="str">
        <x:v>official_live_dashboard_snapshot_subject_to_revision</x:v>
      </x:c>
      <x:c r="BY142" s="9" t="str">
        <x:v>https://tbdashboard.sitb.id/ss_data_tbc03so_2025_provinsi_bulanan_list.php</x:v>
      </x:c>
      <x:c r="BZ142" s="6" t="n">
        <x:v>46246.610671296294</x:v>
      </x:c>
    </x:row>
    <x:row r="143" ht="18" customHeight="1">
      <x:c r="A143" s="6" t="str">
        <x:v>16</x:v>
      </x:c>
      <x:c r="B143" s="6" t="str">
        <x:v>SUMATERA SELATAN</x:v>
      </x:c>
      <x:c r="C143" s="6" t="str">
        <x:v>2025</x:v>
      </x:c>
      <x:c r="D143" s="6" t="str">
        <x:v>10</x:v>
      </x:c>
      <x:c r="E143" s="6" t="str">
        <x:v>2025-10</x:v>
      </x:c>
      <x:c r="F143" s="6" t="str">
        <x:v>2367</x:v>
      </x:c>
      <x:c r="G143" s="6" t="str">
        <x:v>419</x:v>
      </x:c>
      <x:c r="H143" s="6" t="str">
        <x:v>1312</x:v>
      </x:c>
      <x:c r="I143" s="6" t="str">
        <x:v>76</x:v>
      </x:c>
      <x:c r="J143" s="6" t="str">
        <x:v>77</x:v>
      </x:c>
      <x:c r="K143" s="6" t="str">
        <x:v>0</x:v>
      </x:c>
      <x:c r="L143" s="6" t="str">
        <x:v>2</x:v>
      </x:c>
      <x:c r="M143" s="6" t="str">
        <x:v>481</x:v>
      </x:c>
      <x:c r="N143" s="6" t="str">
        <x:v>2367</x:v>
      </x:c>
      <x:c r="O143" s="6" t="str">
        <x:v>0</x:v>
      </x:c>
      <x:c r="P143" s="10" t="n">
        <x:f>F143-M143</x:f>
        <x:v>1886</x:v>
      </x:c>
      <x:c r="Q143" s="11" t="n">
        <x:f>IFERROR(M143/F143,"")</x:f>
        <x:v>0.20321081537811575</x:v>
      </x:c>
      <x:c r="R143" s="10" t="n">
        <x:f>G143+H143</x:f>
        <x:v>1731</x:v>
      </x:c>
      <x:c r="S143" s="11" t="n">
        <x:f>IFERROR(R143/F143,"")</x:f>
        <x:v>0.7313054499366286</x:v>
      </x:c>
      <x:c r="T143" s="11" t="n">
        <x:f>IFERROR(R143/P143,"")</x:f>
        <x:v>0.9178154825026511</x:v>
      </x:c>
      <x:c r="U143" s="10" t="n">
        <x:f>I143+J143+K143</x:f>
        <x:v>153</x:v>
      </x:c>
      <x:c r="V143" s="11" t="n">
        <x:f>IFERROR(U143/P143,"")</x:f>
        <x:v>0.08112407211028633</x:v>
      </x:c>
      <x:c r="W143" s="9" t="str">
        <x:v>provisional_gt_5pct_pending</x:v>
      </x:c>
      <x:c r="X143" s="12" t="n">
        <x:f>IFERROR(F143/Z143*100000,"")</x:f>
        <x:v>26.510612084896678</x:v>
      </x:c>
      <x:c r="Y143" s="13" t="n">
        <x:f>LN(Z143)</x:f>
        <x:v>16.004758965619317</x:v>
      </x:c>
      <x:c r="Z143" s="6" t="str">
        <x:v>8928500</x:v>
      </x:c>
      <x:c r="AA143" s="6" t="str">
        <x:v>103.0</x:v>
      </x:c>
      <x:c r="AB143" s="9" t="str">
        <x:v>2025-06-30</x:v>
      </x:c>
      <x:c r="AC143" s="8" t="str">
        <x:v>85.5</x:v>
      </x:c>
      <x:c r="AD143" s="9" t="str">
        <x:v>2025 (Susenas)</x:v>
      </x:c>
      <x:c r="AE143" s="8" t="str">
        <x:v>10.15</x:v>
      </x:c>
      <x:c r="AF143" s="9" t="str">
        <x:v>Maret 2025 (Susenas)</x:v>
      </x:c>
      <x:c r="AG143" s="6" t="str">
        <x:v>26.200348226576555</x:v>
      </x:c>
      <x:c r="AH143" s="8" t="str">
        <x:v>85.81436951259704</x:v>
      </x:c>
      <x:c r="AI143" s="6" t="str">
        <x:v>222.98180803422864</x:v>
      </x:c>
      <x:c r="AJ143" s="6" t="str">
        <x:v>0.1069696000490125</x:v>
      </x:c>
      <x:c r="AK143" s="8" t="str">
        <x:v>0.2757717874729682</x:v>
      </x:c>
      <x:c r="AL143" s="6" t="str">
        <x:v>1.0884901375359093</x:v>
      </x:c>
      <x:c r="AM143" s="6" t="str">
        <x:v>1.4334724671465864</x:v>
      </x:c>
      <x:c r="AN143" s="6" t="str">
        <x:v>0.9325781307184884</x:v>
      </x:c>
      <x:c r="AO143" s="6" t="str">
        <x:v>2.45214045801896</x:v>
      </x:c>
      <x:c r="AP143" s="8" t="str">
        <x:v>0.5331690499684663</x:v>
      </x:c>
      <x:c r="AQ143" s="6" t="str">
        <x:v>1.084963551022735</x:v>
      </x:c>
      <x:c r="AR143" s="6" t="str">
        <x:v>0.6337113782181235</x:v>
      </x:c>
      <x:c r="AS143" s="6" t="str">
        <x:v>0.7506146597364413</x:v>
      </x:c>
      <x:c r="AT143" s="6" t="str">
        <x:v>31.391023267008197</x:v>
      </x:c>
      <x:c r="AU143" s="8" t="str">
        <x:v>0.292521063028159</x:v>
      </x:c>
      <x:c r="AV143" s="6" t="str">
        <x:v>1.7313623155535096</x:v>
      </x:c>
      <x:c r="AW143" s="6" t="str">
        <x:v>1.6528249987854866</x:v>
      </x:c>
      <x:c r="AX143" s="6" t="str">
        <x:v>1.2255694591223851</x:v>
      </x:c>
      <x:c r="AY143" s="6" t="str">
        <x:v>0</x:v>
      </x:c>
      <x:c r="AZ143" s="6" t="str">
        <x:v>0</x:v>
      </x:c>
      <x:c r="BA143" s="9" t="str">
        <x:v>grid_cells_within_BIG_polygon</x:v>
      </x:c>
      <x:c r="BB143" s="6" t="str">
        <x:v>23</x:v>
      </x:c>
      <x:c r="BC143" s="6" t="str">
        <x:v>4</x:v>
      </x:c>
      <x:c r="BD143" s="6" t="str">
        <x:v>4</x:v>
      </x:c>
      <x:c r="BE143" s="6" t="str">
        <x:v>1</x:v>
      </x:c>
      <x:c r="BF143" s="6" t="str">
        <x:v>0</x:v>
      </x:c>
      <x:c r="BG143" s="6" t="str">
        <x:v>1</x:v>
      </x:c>
      <x:c r="BH143" s="6" t="str">
        <x:v>0</x:v>
      </x:c>
      <x:c r="BI143" s="6" t="str">
        <x:v>2</x:v>
      </x:c>
      <x:c r="BJ143" s="6" t="str">
        <x:v>0</x:v>
      </x:c>
      <x:c r="BK143" s="6" t="str">
        <x:v>0</x:v>
      </x:c>
      <x:c r="BL143" s="6" t="str">
        <x:v>0</x:v>
      </x:c>
      <x:c r="BM143" s="6" t="str">
        <x:v>0</x:v>
      </x:c>
      <x:c r="BN143" s="6" t="str">
        <x:v>4</x:v>
      </x:c>
      <x:c r="BO143" s="6" t="str"/>
      <x:c r="BP143" s="6" t="str">
        <x:v>0</x:v>
      </x:c>
      <x:c r="BQ143" s="6" t="str"/>
      <x:c r="BR143" s="6" t="str">
        <x:v>0</x:v>
      </x:c>
      <x:c r="BS143" s="6" t="str">
        <x:v>37.0</x:v>
      </x:c>
      <x:c r="BT143" s="6" t="str">
        <x:v>4</x:v>
      </x:c>
      <x:c r="BU143" s="6" t="str">
        <x:v>343.0</x:v>
      </x:c>
      <x:c r="BV143" s="6" t="str">
        <x:v>1</x:v>
      </x:c>
      <x:c r="BW143" s="9" t="str">
        <x:v>operational_snapshot_annual_totals_may_differ</x:v>
      </x:c>
      <x:c r="BX143" s="9" t="str">
        <x:v>official_live_dashboard_snapshot_subject_to_revision</x:v>
      </x:c>
      <x:c r="BY143" s="9" t="str">
        <x:v>https://tbdashboard.sitb.id/ss_data_tbc03so_2025_provinsi_bulanan_list.php</x:v>
      </x:c>
      <x:c r="BZ143" s="6" t="n">
        <x:v>46246.610671296294</x:v>
      </x:c>
    </x:row>
    <x:row r="144" ht="18" customHeight="1">
      <x:c r="A144" s="6" t="str">
        <x:v>16</x:v>
      </x:c>
      <x:c r="B144" s="6" t="str">
        <x:v>SUMATERA SELATAN</x:v>
      </x:c>
      <x:c r="C144" s="6" t="str">
        <x:v>2025</x:v>
      </x:c>
      <x:c r="D144" s="6" t="str">
        <x:v>11</x:v>
      </x:c>
      <x:c r="E144" s="6" t="str">
        <x:v>2025-11</x:v>
      </x:c>
      <x:c r="F144" s="6" t="str">
        <x:v>1817</x:v>
      </x:c>
      <x:c r="G144" s="6" t="str">
        <x:v>328</x:v>
      </x:c>
      <x:c r="H144" s="6" t="str">
        <x:v>862</x:v>
      </x:c>
      <x:c r="I144" s="6" t="str">
        <x:v>80</x:v>
      </x:c>
      <x:c r="J144" s="6" t="str">
        <x:v>74</x:v>
      </x:c>
      <x:c r="K144" s="6" t="str">
        <x:v>1</x:v>
      </x:c>
      <x:c r="L144" s="6" t="str">
        <x:v>0</x:v>
      </x:c>
      <x:c r="M144" s="6" t="str">
        <x:v>472</x:v>
      </x:c>
      <x:c r="N144" s="6" t="str">
        <x:v>1817</x:v>
      </x:c>
      <x:c r="O144" s="6" t="str">
        <x:v>0</x:v>
      </x:c>
      <x:c r="P144" s="10" t="n">
        <x:f>F144-M144</x:f>
        <x:v>1345</x:v>
      </x:c>
      <x:c r="Q144" s="11" t="n">
        <x:f>IFERROR(M144/F144,"")</x:f>
        <x:v>0.259768849752339</x:v>
      </x:c>
      <x:c r="R144" s="10" t="n">
        <x:f>G144+H144</x:f>
        <x:v>1190</x:v>
      </x:c>
      <x:c r="S144" s="11" t="n">
        <x:f>IFERROR(R144/F144,"")</x:f>
        <x:v>0.654925701706109</x:v>
      </x:c>
      <x:c r="T144" s="11" t="n">
        <x:f>IFERROR(R144/P144,"")</x:f>
        <x:v>0.8847583643122676</x:v>
      </x:c>
      <x:c r="U144" s="10" t="n">
        <x:f>I144+J144+K144</x:f>
        <x:v>155</x:v>
      </x:c>
      <x:c r="V144" s="11" t="n">
        <x:f>IFERROR(U144/P144,"")</x:f>
        <x:v>0.11524163568773234</x:v>
      </x:c>
      <x:c r="W144" s="9" t="str">
        <x:v>provisional_gt_5pct_pending</x:v>
      </x:c>
      <x:c r="X144" s="12" t="n">
        <x:f>IFERROR(F144/Z144*100000,"")</x:f>
        <x:v>20.350562804502438</x:v>
      </x:c>
      <x:c r="Y144" s="13" t="n">
        <x:f>LN(Z144)</x:f>
        <x:v>16.004758965619317</x:v>
      </x:c>
      <x:c r="Z144" s="6" t="str">
        <x:v>8928500</x:v>
      </x:c>
      <x:c r="AA144" s="6" t="str">
        <x:v>103.0</x:v>
      </x:c>
      <x:c r="AB144" s="9" t="str">
        <x:v>2025-06-30</x:v>
      </x:c>
      <x:c r="AC144" s="8" t="str">
        <x:v>85.5</x:v>
      </x:c>
      <x:c r="AD144" s="9" t="str">
        <x:v>2025 (Susenas)</x:v>
      </x:c>
      <x:c r="AE144" s="8" t="str">
        <x:v>10.15</x:v>
      </x:c>
      <x:c r="AF144" s="9" t="str">
        <x:v>Maret 2025 (Susenas)</x:v>
      </x:c>
      <x:c r="AG144" s="6" t="str">
        <x:v>26.062555053666944</x:v>
      </x:c>
      <x:c r="AH144" s="8" t="str">
        <x:v>86.37832073599218</x:v>
      </x:c>
      <x:c r="AI144" s="6" t="str">
        <x:v>349.059086833026</x:v>
      </x:c>
      <x:c r="AJ144" s="6" t="str">
        <x:v>0.0238694366834195</x:v>
      </x:c>
      <x:c r="AK144" s="8" t="str">
        <x:v>0.049228794055379</x:v>
      </x:c>
      <x:c r="AL144" s="6" t="str">
        <x:v>0.2757717874729682</x:v>
      </x:c>
      <x:c r="AM144" s="6" t="str">
        <x:v>1.0884901375359093</x:v>
      </x:c>
      <x:c r="AN144" s="6" t="str">
        <x:v>0.4711635730214192</x:v>
      </x:c>
      <x:c r="AO144" s="6" t="str">
        <x:v>0.5931271440267665</x:v>
      </x:c>
      <x:c r="AP144" s="8" t="str">
        <x:v>0.2123148206597629</x:v>
      </x:c>
      <x:c r="AQ144" s="6" t="str">
        <x:v>0.5331690499684663</x:v>
      </x:c>
      <x:c r="AR144" s="6" t="str">
        <x:v>1.084963551022735</x:v>
      </x:c>
      <x:c r="AS144" s="6" t="str">
        <x:v>0.6101491405503211</x:v>
      </x:c>
      <x:c r="AT144" s="6" t="str">
        <x:v>78.0357759933326</x:v>
      </x:c>
      <x:c r="AU144" s="8" t="str">
        <x:v>0.900981093667385</x:v>
      </x:c>
      <x:c r="AV144" s="6" t="str">
        <x:v>0.292521063028159</x:v>
      </x:c>
      <x:c r="AW144" s="6" t="str">
        <x:v>1.7313623155535096</x:v>
      </x:c>
      <x:c r="AX144" s="6" t="str">
        <x:v>0.9749548240830178</x:v>
      </x:c>
      <x:c r="AY144" s="6" t="str">
        <x:v>0</x:v>
      </x:c>
      <x:c r="AZ144" s="6" t="str">
        <x:v>0</x:v>
      </x:c>
      <x:c r="BA144" s="9" t="str">
        <x:v>grid_cells_within_BIG_polygon</x:v>
      </x:c>
      <x:c r="BB144" s="6" t="str">
        <x:v>23</x:v>
      </x:c>
      <x:c r="BC144" s="6" t="str">
        <x:v>1</x:v>
      </x:c>
      <x:c r="BD144" s="6" t="str">
        <x:v>1</x:v>
      </x:c>
      <x:c r="BE144" s="6" t="str">
        <x:v>0</x:v>
      </x:c>
      <x:c r="BF144" s="6" t="str">
        <x:v>0</x:v>
      </x:c>
      <x:c r="BG144" s="6" t="str">
        <x:v>1</x:v>
      </x:c>
      <x:c r="BH144" s="6" t="str">
        <x:v>0</x:v>
      </x:c>
      <x:c r="BI144" s="6" t="str">
        <x:v>0</x:v>
      </x:c>
      <x:c r="BJ144" s="6" t="str">
        <x:v>0</x:v>
      </x:c>
      <x:c r="BK144" s="6" t="str">
        <x:v>0</x:v>
      </x:c>
      <x:c r="BL144" s="6" t="str">
        <x:v>0</x:v>
      </x:c>
      <x:c r="BM144" s="6" t="str">
        <x:v>0</x:v>
      </x:c>
      <x:c r="BN144" s="6" t="str">
        <x:v>1</x:v>
      </x:c>
      <x:c r="BO144" s="6" t="str"/>
      <x:c r="BP144" s="6" t="str">
        <x:v>0</x:v>
      </x:c>
      <x:c r="BQ144" s="6" t="str"/>
      <x:c r="BR144" s="6" t="str">
        <x:v>0</x:v>
      </x:c>
      <x:c r="BS144" s="6" t="str">
        <x:v>15.0</x:v>
      </x:c>
      <x:c r="BT144" s="6" t="str">
        <x:v>1</x:v>
      </x:c>
      <x:c r="BU144" s="6" t="str"/>
      <x:c r="BV144" s="6" t="str">
        <x:v>0</x:v>
      </x:c>
      <x:c r="BW144" s="9" t="str">
        <x:v>operational_snapshot_annual_totals_may_differ</x:v>
      </x:c>
      <x:c r="BX144" s="9" t="str">
        <x:v>official_live_dashboard_snapshot_subject_to_revision</x:v>
      </x:c>
      <x:c r="BY144" s="9" t="str">
        <x:v>https://tbdashboard.sitb.id/ss_data_tbc03so_2025_provinsi_bulanan_list.php</x:v>
      </x:c>
      <x:c r="BZ144" s="6" t="n">
        <x:v>46246.610671296294</x:v>
      </x:c>
    </x:row>
    <x:row r="145" ht="18" customHeight="1">
      <x:c r="A145" s="6" t="str">
        <x:v>16</x:v>
      </x:c>
      <x:c r="B145" s="6" t="str">
        <x:v>SUMATERA SELATAN</x:v>
      </x:c>
      <x:c r="C145" s="6" t="str">
        <x:v>2025</x:v>
      </x:c>
      <x:c r="D145" s="6" t="str">
        <x:v>12</x:v>
      </x:c>
      <x:c r="E145" s="6" t="str">
        <x:v>2025-12</x:v>
      </x:c>
      <x:c r="F145" s="6" t="str">
        <x:v>1429</x:v>
      </x:c>
      <x:c r="G145" s="6" t="str">
        <x:v>290</x:v>
      </x:c>
      <x:c r="H145" s="6" t="str">
        <x:v>555</x:v>
      </x:c>
      <x:c r="I145" s="6" t="str">
        <x:v>72</x:v>
      </x:c>
      <x:c r="J145" s="6" t="str">
        <x:v>66</x:v>
      </x:c>
      <x:c r="K145" s="6" t="str">
        <x:v>1</x:v>
      </x:c>
      <x:c r="L145" s="6" t="str">
        <x:v>1</x:v>
      </x:c>
      <x:c r="M145" s="6" t="str">
        <x:v>444</x:v>
      </x:c>
      <x:c r="N145" s="6" t="str">
        <x:v>1429</x:v>
      </x:c>
      <x:c r="O145" s="6" t="str">
        <x:v>0</x:v>
      </x:c>
      <x:c r="P145" s="10" t="n">
        <x:f>F145-M145</x:f>
        <x:v>985</x:v>
      </x:c>
      <x:c r="Q145" s="11" t="n">
        <x:f>IFERROR(M145/F145,"")</x:f>
        <x:v>0.3107067879636109</x:v>
      </x:c>
      <x:c r="R145" s="10" t="n">
        <x:f>G145+H145</x:f>
        <x:v>845</x:v>
      </x:c>
      <x:c r="S145" s="11" t="n">
        <x:f>IFERROR(R145/F145,"")</x:f>
        <x:v>0.5913226032190343</x:v>
      </x:c>
      <x:c r="T145" s="11" t="n">
        <x:f>IFERROR(R145/P145,"")</x:f>
        <x:v>0.8578680203045685</x:v>
      </x:c>
      <x:c r="U145" s="10" t="n">
        <x:f>I145+J145+K145</x:f>
        <x:v>139</x:v>
      </x:c>
      <x:c r="V145" s="11" t="n">
        <x:f>IFERROR(U145/P145,"")</x:f>
        <x:v>0.14111675126903553</x:v>
      </x:c>
      <x:c r="W145" s="9" t="str">
        <x:v>provisional_gt_5pct_pending</x:v>
      </x:c>
      <x:c r="X145" s="12" t="n">
        <x:f>IFERROR(F145/Z145*100000,"")</x:f>
        <x:v>16.004928039424314</x:v>
      </x:c>
      <x:c r="Y145" s="13" t="n">
        <x:f>LN(Z145)</x:f>
        <x:v>16.004758965619317</x:v>
      </x:c>
      <x:c r="Z145" s="6" t="str">
        <x:v>8928500</x:v>
      </x:c>
      <x:c r="AA145" s="6" t="str">
        <x:v>103.0</x:v>
      </x:c>
      <x:c r="AB145" s="9" t="str">
        <x:v>2025-06-30</x:v>
      </x:c>
      <x:c r="AC145" s="8" t="str">
        <x:v>85.5</x:v>
      </x:c>
      <x:c r="AD145" s="9" t="str">
        <x:v>2025 (Susenas)</x:v>
      </x:c>
      <x:c r="AE145" s="8" t="str">
        <x:v>10.15</x:v>
      </x:c>
      <x:c r="AF145" s="9" t="str">
        <x:v>Maret 2025 (Susenas)</x:v>
      </x:c>
      <x:c r="AG145" s="6" t="str">
        <x:v>25.67466914134125</x:v>
      </x:c>
      <x:c r="AH145" s="8" t="str">
        <x:v>89.60197457112602</x:v>
      </x:c>
      <x:c r="AI145" s="6" t="str">
        <x:v>422.7562513827503</x:v>
      </x:c>
      <x:c r="AJ145" s="6" t="str">
        <x:v>0.1793086200074718</x:v>
      </x:c>
      <x:c r="AK145" s="8" t="str">
        <x:v>0.4826058508236432</x:v>
      </x:c>
      <x:c r="AL145" s="6" t="str">
        <x:v>0.049228794055379</x:v>
      </x:c>
      <x:c r="AM145" s="6" t="str">
        <x:v>0.2757717874729682</x:v>
      </x:c>
      <x:c r="AN145" s="6" t="str">
        <x:v>0.2692021441173306</x:v>
      </x:c>
      <x:c r="AO145" s="6" t="str">
        <x:v>0.866007579293381</x:v>
      </x:c>
      <x:c r="AP145" s="8" t="str">
        <x:v>0.6737792304247291</x:v>
      </x:c>
      <x:c r="AQ145" s="6" t="str">
        <x:v>0.2123148206597629</x:v>
      </x:c>
      <x:c r="AR145" s="6" t="str">
        <x:v>0.5331690499684663</x:v>
      </x:c>
      <x:c r="AS145" s="6" t="str">
        <x:v>0.4730877003509859</x:v>
      </x:c>
      <x:c r="AT145" s="6" t="str">
        <x:v>122.80403055552163</x:v>
      </x:c>
      <x:c r="AU145" s="8" t="str">
        <x:v>1.8916255254430443</x:v>
      </x:c>
      <x:c r="AV145" s="6" t="str">
        <x:v>0.900981093667385</x:v>
      </x:c>
      <x:c r="AW145" s="6" t="str">
        <x:v>0.292521063028159</x:v>
      </x:c>
      <x:c r="AX145" s="6" t="str">
        <x:v>1.0283758940461962</x:v>
      </x:c>
      <x:c r="AY145" s="6" t="str">
        <x:v>1</x:v>
      </x:c>
      <x:c r="AZ145" s="6" t="str">
        <x:v>0</x:v>
      </x:c>
      <x:c r="BA145" s="9" t="str">
        <x:v>grid_cells_within_BIG_polygon</x:v>
      </x:c>
      <x:c r="BB145" s="6" t="str">
        <x:v>23</x:v>
      </x:c>
      <x:c r="BC145" s="6" t="str">
        <x:v>5</x:v>
      </x:c>
      <x:c r="BD145" s="6" t="str">
        <x:v>5</x:v>
      </x:c>
      <x:c r="BE145" s="6" t="str">
        <x:v>5</x:v>
      </x:c>
      <x:c r="BF145" s="6" t="str">
        <x:v>0</x:v>
      </x:c>
      <x:c r="BG145" s="6" t="str">
        <x:v>0</x:v>
      </x:c>
      <x:c r="BH145" s="6" t="str">
        <x:v>0</x:v>
      </x:c>
      <x:c r="BI145" s="6" t="str">
        <x:v>0</x:v>
      </x:c>
      <x:c r="BJ145" s="6" t="str">
        <x:v>0</x:v>
      </x:c>
      <x:c r="BK145" s="6" t="str">
        <x:v>0</x:v>
      </x:c>
      <x:c r="BL145" s="6" t="str">
        <x:v>0</x:v>
      </x:c>
      <x:c r="BM145" s="6" t="str">
        <x:v>0</x:v>
      </x:c>
      <x:c r="BN145" s="6" t="str">
        <x:v>5</x:v>
      </x:c>
      <x:c r="BO145" s="6" t="str"/>
      <x:c r="BP145" s="6" t="str">
        <x:v>0</x:v>
      </x:c>
      <x:c r="BQ145" s="6" t="str"/>
      <x:c r="BR145" s="6" t="str">
        <x:v>0</x:v>
      </x:c>
      <x:c r="BS145" s="6" t="str">
        <x:v>0.0</x:v>
      </x:c>
      <x:c r="BT145" s="6" t="str">
        <x:v>5</x:v>
      </x:c>
      <x:c r="BU145" s="6" t="str">
        <x:v>792.0</x:v>
      </x:c>
      <x:c r="BV145" s="6" t="str">
        <x:v>4</x:v>
      </x:c>
      <x:c r="BW145" s="9" t="str">
        <x:v>operational_snapshot_annual_totals_may_differ</x:v>
      </x:c>
      <x:c r="BX145" s="9" t="str">
        <x:v>official_live_dashboard_snapshot_subject_to_revision</x:v>
      </x:c>
      <x:c r="BY145" s="9" t="str">
        <x:v>https://tbdashboard.sitb.id/ss_data_tbc03so_2025_provinsi_bulanan_list.php</x:v>
      </x:c>
      <x:c r="BZ145" s="6" t="n">
        <x:v>46246.610671296294</x:v>
      </x:c>
    </x:row>
    <x:row r="146" ht="18" customHeight="1">
      <x:c r="A146" s="6" t="str">
        <x:v>17</x:v>
      </x:c>
      <x:c r="B146" s="6" t="str">
        <x:v>BENGKULU</x:v>
      </x:c>
      <x:c r="C146" s="6" t="str">
        <x:v>2024</x:v>
      </x:c>
      <x:c r="D146" s="6" t="str">
        <x:v>1</x:v>
      </x:c>
      <x:c r="E146" s="6" t="str">
        <x:v>2024-01</x:v>
      </x:c>
      <x:c r="F146" s="6" t="str">
        <x:v>310</x:v>
      </x:c>
      <x:c r="G146" s="6" t="str">
        <x:v>44</x:v>
      </x:c>
      <x:c r="H146" s="6" t="str">
        <x:v>190</x:v>
      </x:c>
      <x:c r="I146" s="6" t="str">
        <x:v>26</x:v>
      </x:c>
      <x:c r="J146" s="6" t="str">
        <x:v>23</x:v>
      </x:c>
      <x:c r="K146" s="6" t="str">
        <x:v>0</x:v>
      </x:c>
      <x:c r="L146" s="6" t="str">
        <x:v>2</x:v>
      </x:c>
      <x:c r="M146" s="6" t="str">
        <x:v>25</x:v>
      </x:c>
      <x:c r="N146" s="6" t="str">
        <x:v>310</x:v>
      </x:c>
      <x:c r="O146" s="6" t="str">
        <x:v>0</x:v>
      </x:c>
      <x:c r="P146" s="10" t="n">
        <x:f>F146-M146</x:f>
        <x:v>285</x:v>
      </x:c>
      <x:c r="Q146" s="11" t="n">
        <x:f>IFERROR(M146/F146,"")</x:f>
        <x:v>0.08064516129032258</x:v>
      </x:c>
      <x:c r="R146" s="10" t="n">
        <x:f>G146+H146</x:f>
        <x:v>234</x:v>
      </x:c>
      <x:c r="S146" s="11" t="n">
        <x:f>IFERROR(R146/F146,"")</x:f>
        <x:v>0.7548387096774194</x:v>
      </x:c>
      <x:c r="T146" s="11" t="n">
        <x:f>IFERROR(R146/P146,"")</x:f>
        <x:v>0.8210526315789474</x:v>
      </x:c>
      <x:c r="U146" s="10" t="n">
        <x:f>I146+J146+K146</x:f>
        <x:v>49</x:v>
      </x:c>
      <x:c r="V146" s="11" t="n">
        <x:f>IFERROR(U146/P146,"")</x:f>
        <x:v>0.17192982456140352</x:v>
      </x:c>
      <x:c r="W146" s="9" t="str">
        <x:v>provisional_gt_5pct_pending</x:v>
      </x:c>
      <x:c r="X146" s="12" t="n">
        <x:f>IFERROR(F146/Z146*100000,"")</x:f>
        <x:v>14.676640469652495</x:v>
      </x:c>
      <x:c r="Y146" s="13" t="n">
        <x:f>LN(Z146)</x:f>
        <x:v>14.563240616294511</x:v>
      </x:c>
      <x:c r="Z146" s="6" t="str">
        <x:v>2112200</x:v>
      </x:c>
      <x:c r="AA146" s="6" t="str">
        <x:v>105.0</x:v>
      </x:c>
      <x:c r="AB146" s="9" t="str">
        <x:v>2024-06-30</x:v>
      </x:c>
      <x:c r="AC146" s="8" t="str">
        <x:v>83.0</x:v>
      </x:c>
      <x:c r="AD146" s="9" t="str">
        <x:v>2024 (Susenas)</x:v>
      </x:c>
      <x:c r="AE146" s="8" t="str">
        <x:v>13.56</x:v>
      </x:c>
      <x:c r="AF146" s="9" t="str">
        <x:v>Maret 2024 (Susenas)</x:v>
      </x:c>
      <x:c r="AG146" s="6" t="str">
        <x:v>24.90582730919607</x:v>
      </x:c>
      <x:c r="AH146" s="8" t="str">
        <x:v>88.29265330370826</x:v>
      </x:c>
      <x:c r="AI146" s="6" t="str">
        <x:v>382.841267219452</x:v>
      </x:c>
      <x:c r="AJ146" s="6" t="str">
        <x:v>0.7936115720110202</x:v>
      </x:c>
      <x:c r="AK146" s="8" t="str">
        <x:v>1.7548295727192065</x:v>
      </x:c>
      <x:c r="AL146" s="6" t="str">
        <x:v>2.007118451941481</x:v>
      </x:c>
      <x:c r="AM146" s="6" t="str">
        <x:v>0.8299766971658504</x:v>
      </x:c>
      <x:c r="AN146" s="6" t="str">
        <x:v>1.5306415739421797</x:v>
      </x:c>
      <x:c r="AO146" s="6" t="str">
        <x:v>0.4861715827354942</x:v>
      </x:c>
      <x:c r="AP146" s="8" t="str">
        <x:v>0.3556570634518243</x:v>
      </x:c>
      <x:c r="AQ146" s="6" t="str">
        <x:v>0.0666629103891897</x:v>
      </x:c>
      <x:c r="AR146" s="6" t="str">
        <x:v>0.5017639733442802</x:v>
      </x:c>
      <x:c r="AS146" s="6" t="str">
        <x:v>0.308027982395099</x:v>
      </x:c>
      <x:c r="AT146" s="6" t="str">
        <x:v>134.31592912842962</x:v>
      </x:c>
      <x:c r="AU146" s="8" t="str">
        <x:v>1.4143530998750995</x:v>
      </x:c>
      <x:c r="AV146" s="6" t="str">
        <x:v>-0.4793176082410111</x:v>
      </x:c>
      <x:c r="AW146" s="6" t="str">
        <x:v>-0.025534100384946</x:v>
      </x:c>
      <x:c r="AX146" s="6" t="str">
        <x:v>0.3031671304163807</x:v>
      </x:c>
      <x:c r="AY146" s="6" t="str">
        <x:v>1</x:v>
      </x:c>
      <x:c r="AZ146" s="6" t="str">
        <x:v>1</x:v>
      </x:c>
      <x:c r="BA146" s="9" t="str">
        <x:v>grid_cells_within_BIG_polygon</x:v>
      </x:c>
      <x:c r="BB146" s="6" t="str">
        <x:v>5</x:v>
      </x:c>
      <x:c r="BC146" s="6" t="str">
        <x:v>2</x:v>
      </x:c>
      <x:c r="BD146" s="6" t="str">
        <x:v>2</x:v>
      </x:c>
      <x:c r="BE146" s="6" t="str">
        <x:v>1</x:v>
      </x:c>
      <x:c r="BF146" s="6" t="str">
        <x:v>1</x:v>
      </x:c>
      <x:c r="BG146" s="6" t="str">
        <x:v>0</x:v>
      </x:c>
      <x:c r="BH146" s="6" t="str">
        <x:v>0</x:v>
      </x:c>
      <x:c r="BI146" s="6" t="str">
        <x:v>0</x:v>
      </x:c>
      <x:c r="BJ146" s="6" t="str">
        <x:v>0</x:v>
      </x:c>
      <x:c r="BK146" s="6" t="str">
        <x:v>0</x:v>
      </x:c>
      <x:c r="BL146" s="6" t="str">
        <x:v>0</x:v>
      </x:c>
      <x:c r="BM146" s="6" t="str">
        <x:v>0</x:v>
      </x:c>
      <x:c r="BN146" s="6" t="str">
        <x:v>2</x:v>
      </x:c>
      <x:c r="BO146" s="6" t="str">
        <x:v>0.0</x:v>
      </x:c>
      <x:c r="BP146" s="6" t="str">
        <x:v>2</x:v>
      </x:c>
      <x:c r="BQ146" s="6" t="str">
        <x:v>0.0</x:v>
      </x:c>
      <x:c r="BR146" s="6" t="str">
        <x:v>2</x:v>
      </x:c>
      <x:c r="BS146" s="6" t="str">
        <x:v>5.0</x:v>
      </x:c>
      <x:c r="BT146" s="6" t="str">
        <x:v>2</x:v>
      </x:c>
      <x:c r="BU146" s="6" t="str">
        <x:v>128.0</x:v>
      </x:c>
      <x:c r="BV146" s="6" t="str">
        <x:v>1</x:v>
      </x:c>
      <x:c r="BW146" s="9" t="str">
        <x:v>operational_snapshot_annual_totals_may_differ</x:v>
      </x:c>
      <x:c r="BX146" s="9" t="str">
        <x:v>official_live_dashboard_snapshot_subject_to_revision</x:v>
      </x:c>
      <x:c r="BY146" s="9" t="str">
        <x:v>https://tbdashboard.sitb.id/ss_data_tbc03so_2024_provinsi_bulanan_list.php</x:v>
      </x:c>
      <x:c r="BZ146" s="6" t="n">
        <x:v>46246.610671296294</x:v>
      </x:c>
    </x:row>
    <x:row r="147" ht="18" customHeight="1">
      <x:c r="A147" s="6" t="str">
        <x:v>17</x:v>
      </x:c>
      <x:c r="B147" s="6" t="str">
        <x:v>BENGKULU</x:v>
      </x:c>
      <x:c r="C147" s="6" t="str">
        <x:v>2024</x:v>
      </x:c>
      <x:c r="D147" s="6" t="str">
        <x:v>2</x:v>
      </x:c>
      <x:c r="E147" s="6" t="str">
        <x:v>2024-02</x:v>
      </x:c>
      <x:c r="F147" s="6" t="str">
        <x:v>240</x:v>
      </x:c>
      <x:c r="G147" s="6" t="str">
        <x:v>39</x:v>
      </x:c>
      <x:c r="H147" s="6" t="str">
        <x:v>145</x:v>
      </x:c>
      <x:c r="I147" s="6" t="str">
        <x:v>14</x:v>
      </x:c>
      <x:c r="J147" s="6" t="str">
        <x:v>15</x:v>
      </x:c>
      <x:c r="K147" s="6" t="str">
        <x:v>0</x:v>
      </x:c>
      <x:c r="L147" s="6" t="str">
        <x:v>3</x:v>
      </x:c>
      <x:c r="M147" s="6" t="str">
        <x:v>24</x:v>
      </x:c>
      <x:c r="N147" s="6" t="str">
        <x:v>240</x:v>
      </x:c>
      <x:c r="O147" s="6" t="str">
        <x:v>0</x:v>
      </x:c>
      <x:c r="P147" s="10" t="n">
        <x:f>F147-M147</x:f>
        <x:v>216</x:v>
      </x:c>
      <x:c r="Q147" s="11" t="n">
        <x:f>IFERROR(M147/F147,"")</x:f>
        <x:v>0.1</x:v>
      </x:c>
      <x:c r="R147" s="10" t="n">
        <x:f>G147+H147</x:f>
        <x:v>184</x:v>
      </x:c>
      <x:c r="S147" s="11" t="n">
        <x:f>IFERROR(R147/F147,"")</x:f>
        <x:v>0.7666666666666667</x:v>
      </x:c>
      <x:c r="T147" s="11" t="n">
        <x:f>IFERROR(R147/P147,"")</x:f>
        <x:v>0.8518518518518519</x:v>
      </x:c>
      <x:c r="U147" s="10" t="n">
        <x:f>I147+J147+K147</x:f>
        <x:v>29</x:v>
      </x:c>
      <x:c r="V147" s="11" t="n">
        <x:f>IFERROR(U147/P147,"")</x:f>
        <x:v>0.13425925925925927</x:v>
      </x:c>
      <x:c r="W147" s="9" t="str">
        <x:v>provisional_gt_5pct_pending</x:v>
      </x:c>
      <x:c r="X147" s="12" t="n">
        <x:f>IFERROR(F147/Z147*100000,"")</x:f>
        <x:v>11.362560363601931</x:v>
      </x:c>
      <x:c r="Y147" s="13" t="n">
        <x:f>LN(Z147)</x:f>
        <x:v>14.563240616294511</x:v>
      </x:c>
      <x:c r="Z147" s="6" t="str">
        <x:v>2112200</x:v>
      </x:c>
      <x:c r="AA147" s="6" t="str">
        <x:v>105.0</x:v>
      </x:c>
      <x:c r="AB147" s="9" t="str">
        <x:v>2024-06-30</x:v>
      </x:c>
      <x:c r="AC147" s="8" t="str">
        <x:v>83.0</x:v>
      </x:c>
      <x:c r="AD147" s="9" t="str">
        <x:v>2024 (Susenas)</x:v>
      </x:c>
      <x:c r="AE147" s="8" t="str">
        <x:v>13.56</x:v>
      </x:c>
      <x:c r="AF147" s="9" t="str">
        <x:v>Maret 2024 (Susenas)</x:v>
      </x:c>
      <x:c r="AG147" s="6" t="str">
        <x:v>25.45580253007501</x:v>
      </x:c>
      <x:c r="AH147" s="8" t="str">
        <x:v>87.39664708324042</x:v>
      </x:c>
      <x:c r="AI147" s="6" t="str">
        <x:v>374.15958908908686</x:v>
      </x:c>
      <x:c r="AJ147" s="6" t="str">
        <x:v>1.200305820121805</x:v>
      </x:c>
      <x:c r="AK147" s="8" t="str">
        <x:v>2.640698042192854</x:v>
      </x:c>
      <x:c r="AL147" s="6" t="str">
        <x:v>1.7548295727192065</x:v>
      </x:c>
      <x:c r="AM147" s="6" t="str">
        <x:v>2.007118451941481</x:v>
      </x:c>
      <x:c r="AN147" s="6" t="str">
        <x:v>2.134215355617848</x:v>
      </x:c>
      <x:c r="AO147" s="6" t="str">
        <x:v>0.0556270461093504</x:v>
      </x:c>
      <x:c r="AP147" s="8" t="str">
        <x:v>0.0402430951059873</x:v>
      </x:c>
      <x:c r="AQ147" s="6" t="str">
        <x:v>0.3556570634518243</x:v>
      </x:c>
      <x:c r="AR147" s="6" t="str">
        <x:v>0.0666629103891897</x:v>
      </x:c>
      <x:c r="AS147" s="6" t="str">
        <x:v>0.1541876896490014</x:v>
      </x:c>
      <x:c r="AT147" s="6" t="str">
        <x:v>152.21656315290252</x:v>
      </x:c>
      <x:c r="AU147" s="8" t="str">
        <x:v>1.714639767743603</x:v>
      </x:c>
      <x:c r="AV147" s="6" t="str">
        <x:v>1.4143530998750995</x:v>
      </x:c>
      <x:c r="AW147" s="6" t="str">
        <x:v>-0.4793176082410111</x:v>
      </x:c>
      <x:c r="AX147" s="6" t="str">
        <x:v>0.8832250864592304</x:v>
      </x:c>
      <x:c r="AY147" s="6" t="str">
        <x:v>1</x:v>
      </x:c>
      <x:c r="AZ147" s="6" t="str">
        <x:v>1</x:v>
      </x:c>
      <x:c r="BA147" s="9" t="str">
        <x:v>grid_cells_within_BIG_polygon</x:v>
      </x:c>
      <x:c r="BB147" s="6" t="str">
        <x:v>5</x:v>
      </x:c>
      <x:c r="BC147" s="6" t="str">
        <x:v>3</x:v>
      </x:c>
      <x:c r="BD147" s="6" t="str">
        <x:v>3</x:v>
      </x:c>
      <x:c r="BE147" s="6" t="str">
        <x:v>1</x:v>
      </x:c>
      <x:c r="BF147" s="6" t="str">
        <x:v>1</x:v>
      </x:c>
      <x:c r="BG147" s="6" t="str">
        <x:v>1</x:v>
      </x:c>
      <x:c r="BH147" s="6" t="str">
        <x:v>0</x:v>
      </x:c>
      <x:c r="BI147" s="6" t="str">
        <x:v>0</x:v>
      </x:c>
      <x:c r="BJ147" s="6" t="str">
        <x:v>0</x:v>
      </x:c>
      <x:c r="BK147" s="6" t="str">
        <x:v>0</x:v>
      </x:c>
      <x:c r="BL147" s="6" t="str">
        <x:v>0</x:v>
      </x:c>
      <x:c r="BM147" s="6" t="str">
        <x:v>0</x:v>
      </x:c>
      <x:c r="BN147" s="6" t="str">
        <x:v>3</x:v>
      </x:c>
      <x:c r="BO147" s="6" t="str">
        <x:v>1.0</x:v>
      </x:c>
      <x:c r="BP147" s="6" t="str">
        <x:v>3</x:v>
      </x:c>
      <x:c r="BQ147" s="6" t="str">
        <x:v>0.0</x:v>
      </x:c>
      <x:c r="BR147" s="6" t="str">
        <x:v>3</x:v>
      </x:c>
      <x:c r="BS147" s="6" t="str">
        <x:v>0.0</x:v>
      </x:c>
      <x:c r="BT147" s="6" t="str">
        <x:v>3</x:v>
      </x:c>
      <x:c r="BU147" s="6" t="str">
        <x:v>66.0</x:v>
      </x:c>
      <x:c r="BV147" s="6" t="str">
        <x:v>1</x:v>
      </x:c>
      <x:c r="BW147" s="9" t="str">
        <x:v>operational_snapshot_annual_totals_may_differ</x:v>
      </x:c>
      <x:c r="BX147" s="9" t="str">
        <x:v>official_live_dashboard_snapshot_subject_to_revision</x:v>
      </x:c>
      <x:c r="BY147" s="9" t="str">
        <x:v>https://tbdashboard.sitb.id/ss_data_tbc03so_2024_provinsi_bulanan_list.php</x:v>
      </x:c>
      <x:c r="BZ147" s="6" t="n">
        <x:v>46246.610671296294</x:v>
      </x:c>
    </x:row>
    <x:row r="148" ht="18" customHeight="1">
      <x:c r="A148" s="6" t="str">
        <x:v>17</x:v>
      </x:c>
      <x:c r="B148" s="6" t="str">
        <x:v>BENGKULU</x:v>
      </x:c>
      <x:c r="C148" s="6" t="str">
        <x:v>2024</x:v>
      </x:c>
      <x:c r="D148" s="6" t="str">
        <x:v>3</x:v>
      </x:c>
      <x:c r="E148" s="6" t="str">
        <x:v>2024-03</x:v>
      </x:c>
      <x:c r="F148" s="6" t="str">
        <x:v>241</x:v>
      </x:c>
      <x:c r="G148" s="6" t="str">
        <x:v>45</x:v>
      </x:c>
      <x:c r="H148" s="6" t="str">
        <x:v>156</x:v>
      </x:c>
      <x:c r="I148" s="6" t="str">
        <x:v>12</x:v>
      </x:c>
      <x:c r="J148" s="6" t="str">
        <x:v>13</x:v>
      </x:c>
      <x:c r="K148" s="6" t="str">
        <x:v>0</x:v>
      </x:c>
      <x:c r="L148" s="6" t="str">
        <x:v>2</x:v>
      </x:c>
      <x:c r="M148" s="6" t="str">
        <x:v>13</x:v>
      </x:c>
      <x:c r="N148" s="6" t="str">
        <x:v>241</x:v>
      </x:c>
      <x:c r="O148" s="6" t="str">
        <x:v>0</x:v>
      </x:c>
      <x:c r="P148" s="10" t="n">
        <x:f>F148-M148</x:f>
        <x:v>228</x:v>
      </x:c>
      <x:c r="Q148" s="11" t="n">
        <x:f>IFERROR(M148/F148,"")</x:f>
        <x:v>0.05394190871369295</x:v>
      </x:c>
      <x:c r="R148" s="10" t="n">
        <x:f>G148+H148</x:f>
        <x:v>201</x:v>
      </x:c>
      <x:c r="S148" s="11" t="n">
        <x:f>IFERROR(R148/F148,"")</x:f>
        <x:v>0.8340248962655602</x:v>
      </x:c>
      <x:c r="T148" s="11" t="n">
        <x:f>IFERROR(R148/P148,"")</x:f>
        <x:v>0.881578947368421</x:v>
      </x:c>
      <x:c r="U148" s="10" t="n">
        <x:f>I148+J148+K148</x:f>
        <x:v>25</x:v>
      </x:c>
      <x:c r="V148" s="11" t="n">
        <x:f>IFERROR(U148/P148,"")</x:f>
        <x:v>0.10964912280701754</x:v>
      </x:c>
      <x:c r="W148" s="9" t="str">
        <x:v>provisional_gt_5pct_pending</x:v>
      </x:c>
      <x:c r="X148" s="12" t="n">
        <x:f>IFERROR(F148/Z148*100000,"")</x:f>
        <x:v>11.40990436511694</x:v>
      </x:c>
      <x:c r="Y148" s="13" t="n">
        <x:f>LN(Z148)</x:f>
        <x:v>14.563240616294511</x:v>
      </x:c>
      <x:c r="Z148" s="6" t="str">
        <x:v>2112200</x:v>
      </x:c>
      <x:c r="AA148" s="6" t="str">
        <x:v>105.0</x:v>
      </x:c>
      <x:c r="AB148" s="9" t="str">
        <x:v>2024-06-30</x:v>
      </x:c>
      <x:c r="AC148" s="8" t="str">
        <x:v>83.0</x:v>
      </x:c>
      <x:c r="AD148" s="9" t="str">
        <x:v>2024 (Susenas)</x:v>
      </x:c>
      <x:c r="AE148" s="8" t="str">
        <x:v>13.56</x:v>
      </x:c>
      <x:c r="AF148" s="9" t="str">
        <x:v>Maret 2024 (Susenas)</x:v>
      </x:c>
      <x:c r="AG148" s="6" t="str">
        <x:v>25.30779650662491</x:v>
      </x:c>
      <x:c r="AH148" s="8" t="str">
        <x:v>87.81215711188341</x:v>
      </x:c>
      <x:c r="AI148" s="6" t="str">
        <x:v>644.1077527835489</x:v>
      </x:c>
      <x:c r="AJ148" s="6" t="str">
        <x:v>0.8845770059972082</x:v>
      </x:c>
      <x:c r="AK148" s="8" t="str">
        <x:v>1.9822742675156788</x:v>
      </x:c>
      <x:c r="AL148" s="6" t="str">
        <x:v>2.640698042192854</x:v>
      </x:c>
      <x:c r="AM148" s="6" t="str">
        <x:v>1.7548295727192065</x:v>
      </x:c>
      <x:c r="AN148" s="6" t="str">
        <x:v>2.1259339608092467</x:v>
      </x:c>
      <x:c r="AO148" s="6" t="str">
        <x:v>0.4670409342544985</x:v>
      </x:c>
      <x:c r="AP148" s="8" t="str">
        <x:v>0.3644103616581672</x:v>
      </x:c>
      <x:c r="AQ148" s="6" t="str">
        <x:v>0.0402430951059873</x:v>
      </x:c>
      <x:c r="AR148" s="6" t="str">
        <x:v>0.3556570634518243</x:v>
      </x:c>
      <x:c r="AS148" s="6" t="str">
        <x:v>0.2534368400719939</x:v>
      </x:c>
      <x:c r="AT148" s="6" t="str">
        <x:v>404.4119574573275</x:v>
      </x:c>
      <x:c r="AU148" s="8" t="str">
        <x:v>4.225733097565123</x:v>
      </x:c>
      <x:c r="AV148" s="6" t="str">
        <x:v>1.714639767743603</x:v>
      </x:c>
      <x:c r="AW148" s="6" t="str">
        <x:v>1.4143530998750995</x:v>
      </x:c>
      <x:c r="AX148" s="6" t="str">
        <x:v>2.4515753217279417</x:v>
      </x:c>
      <x:c r="AY148" s="6" t="str">
        <x:v>1</x:v>
      </x:c>
      <x:c r="AZ148" s="6" t="str">
        <x:v>1</x:v>
      </x:c>
      <x:c r="BA148" s="9" t="str">
        <x:v>grid_cells_within_BIG_polygon</x:v>
      </x:c>
      <x:c r="BB148" s="6" t="str">
        <x:v>5</x:v>
      </x:c>
      <x:c r="BC148" s="6" t="str">
        <x:v>1</x:v>
      </x:c>
      <x:c r="BD148" s="6" t="str">
        <x:v>0</x:v>
      </x:c>
      <x:c r="BE148" s="6" t="str">
        <x:v>0</x:v>
      </x:c>
      <x:c r="BF148" s="6" t="str">
        <x:v>0</x:v>
      </x:c>
      <x:c r="BG148" s="6" t="str">
        <x:v>0</x:v>
      </x:c>
      <x:c r="BH148" s="6" t="str">
        <x:v>0</x:v>
      </x:c>
      <x:c r="BI148" s="6" t="str">
        <x:v>0</x:v>
      </x:c>
      <x:c r="BJ148" s="6" t="str">
        <x:v>0</x:v>
      </x:c>
      <x:c r="BK148" s="6" t="str">
        <x:v>1</x:v>
      </x:c>
      <x:c r="BL148" s="6" t="str">
        <x:v>0</x:v>
      </x:c>
      <x:c r="BM148" s="6" t="str">
        <x:v>0</x:v>
      </x:c>
      <x:c r="BN148" s="6" t="str">
        <x:v>1</x:v>
      </x:c>
      <x:c r="BO148" s="6" t="str">
        <x:v>0.0</x:v>
      </x:c>
      <x:c r="BP148" s="6" t="str">
        <x:v>1</x:v>
      </x:c>
      <x:c r="BQ148" s="6" t="str">
        <x:v>0.0</x:v>
      </x:c>
      <x:c r="BR148" s="6" t="str">
        <x:v>1</x:v>
      </x:c>
      <x:c r="BS148" s="6" t="str">
        <x:v>115.0</x:v>
      </x:c>
      <x:c r="BT148" s="6" t="str">
        <x:v>1</x:v>
      </x:c>
      <x:c r="BU148" s="6" t="str"/>
      <x:c r="BV148" s="6" t="str">
        <x:v>0</x:v>
      </x:c>
      <x:c r="BW148" s="9" t="str">
        <x:v>operational_snapshot_annual_totals_may_differ</x:v>
      </x:c>
      <x:c r="BX148" s="9" t="str">
        <x:v>official_live_dashboard_snapshot_subject_to_revision</x:v>
      </x:c>
      <x:c r="BY148" s="9" t="str">
        <x:v>https://tbdashboard.sitb.id/ss_data_tbc03so_2024_provinsi_bulanan_list.php</x:v>
      </x:c>
      <x:c r="BZ148" s="6" t="n">
        <x:v>46246.610671296294</x:v>
      </x:c>
    </x:row>
    <x:row r="149" ht="18" customHeight="1">
      <x:c r="A149" s="6" t="str">
        <x:v>17</x:v>
      </x:c>
      <x:c r="B149" s="6" t="str">
        <x:v>BENGKULU</x:v>
      </x:c>
      <x:c r="C149" s="6" t="str">
        <x:v>2024</x:v>
      </x:c>
      <x:c r="D149" s="6" t="str">
        <x:v>4</x:v>
      </x:c>
      <x:c r="E149" s="6" t="str">
        <x:v>2024-04</x:v>
      </x:c>
      <x:c r="F149" s="6" t="str">
        <x:v>192</x:v>
      </x:c>
      <x:c r="G149" s="6" t="str">
        <x:v>41</x:v>
      </x:c>
      <x:c r="H149" s="6" t="str">
        <x:v>121</x:v>
      </x:c>
      <x:c r="I149" s="6" t="str">
        <x:v>9</x:v>
      </x:c>
      <x:c r="J149" s="6" t="str">
        <x:v>12</x:v>
      </x:c>
      <x:c r="K149" s="6" t="str">
        <x:v>0</x:v>
      </x:c>
      <x:c r="L149" s="6" t="str">
        <x:v>0</x:v>
      </x:c>
      <x:c r="M149" s="6" t="str">
        <x:v>9</x:v>
      </x:c>
      <x:c r="N149" s="6" t="str">
        <x:v>192</x:v>
      </x:c>
      <x:c r="O149" s="6" t="str">
        <x:v>0</x:v>
      </x:c>
      <x:c r="P149" s="10" t="n">
        <x:f>F149-M149</x:f>
        <x:v>183</x:v>
      </x:c>
      <x:c r="Q149" s="11" t="n">
        <x:f>IFERROR(M149/F149,"")</x:f>
        <x:v>0.046875</x:v>
      </x:c>
      <x:c r="R149" s="10" t="n">
        <x:f>G149+H149</x:f>
        <x:v>162</x:v>
      </x:c>
      <x:c r="S149" s="11" t="n">
        <x:f>IFERROR(R149/F149,"")</x:f>
        <x:v>0.84375</x:v>
      </x:c>
      <x:c r="T149" s="11" t="n">
        <x:f>IFERROR(R149/P149,"")</x:f>
        <x:v>0.8852459016393442</x:v>
      </x:c>
      <x:c r="U149" s="10" t="n">
        <x:f>I149+J149+K149</x:f>
        <x:v>21</x:v>
      </x:c>
      <x:c r="V149" s="11" t="n">
        <x:f>IFERROR(U149/P149,"")</x:f>
        <x:v>0.11475409836065574</x:v>
      </x:c>
      <x:c r="W149" s="9" t="str">
        <x:v>mature_le_5pct_pending</x:v>
      </x:c>
      <x:c r="X149" s="12" t="n">
        <x:f>IFERROR(F149/Z149*100000,"")</x:f>
        <x:v>9.090048290881544</x:v>
      </x:c>
      <x:c r="Y149" s="13" t="n">
        <x:f>LN(Z149)</x:f>
        <x:v>14.563240616294511</x:v>
      </x:c>
      <x:c r="Z149" s="6" t="str">
        <x:v>2112200</x:v>
      </x:c>
      <x:c r="AA149" s="6" t="str">
        <x:v>105.0</x:v>
      </x:c>
      <x:c r="AB149" s="9" t="str">
        <x:v>2024-06-30</x:v>
      </x:c>
      <x:c r="AC149" s="8" t="str">
        <x:v>83.0</x:v>
      </x:c>
      <x:c r="AD149" s="9" t="str">
        <x:v>2024 (Susenas)</x:v>
      </x:c>
      <x:c r="AE149" s="8" t="str">
        <x:v>13.56</x:v>
      </x:c>
      <x:c r="AF149" s="9" t="str">
        <x:v>Maret 2024 (Susenas)</x:v>
      </x:c>
      <x:c r="AG149" s="6" t="str">
        <x:v>25.90176920865069</x:v>
      </x:c>
      <x:c r="AH149" s="8" t="str">
        <x:v>88.63823395831814</x:v>
      </x:c>
      <x:c r="AI149" s="6" t="str">
        <x:v>475.6665690703491</x:v>
      </x:c>
      <x:c r="AJ149" s="6" t="str">
        <x:v>1.2478561995808626</x:v>
      </x:c>
      <x:c r="AK149" s="8" t="str">
        <x:v>2.783475013721203</x:v>
      </x:c>
      <x:c r="AL149" s="6" t="str">
        <x:v>1.9822742675156788</x:v>
      </x:c>
      <x:c r="AM149" s="6" t="str">
        <x:v>2.640698042192854</x:v>
      </x:c>
      <x:c r="AN149" s="6" t="str">
        <x:v>2.468815774476578</x:v>
      </x:c>
      <x:c r="AO149" s="6" t="str">
        <x:v>0.5730423821663635</x:v>
      </x:c>
      <x:c r="AP149" s="8" t="str">
        <x:v>0.6271401834506996</x:v>
      </x:c>
      <x:c r="AQ149" s="6" t="str">
        <x:v>0.3644103616581672</x:v>
      </x:c>
      <x:c r="AR149" s="6" t="str">
        <x:v>0.0402430951059873</x:v>
      </x:c>
      <x:c r="AS149" s="6" t="str">
        <x:v>0.3439312134049523</x:v>
      </x:c>
      <x:c r="AT149" s="6" t="str">
        <x:v>238.00285773692747</x:v>
      </x:c>
      <x:c r="AU149" s="8" t="str">
        <x:v>3.115997133998952</x:v>
      </x:c>
      <x:c r="AV149" s="6" t="str">
        <x:v>4.225733097565123</x:v>
      </x:c>
      <x:c r="AW149" s="6" t="str">
        <x:v>1.714639767743603</x:v>
      </x:c>
      <x:c r="AX149" s="6" t="str">
        <x:v>3.0187899997692256</x:v>
      </x:c>
      <x:c r="AY149" s="6" t="str">
        <x:v>1</x:v>
      </x:c>
      <x:c r="AZ149" s="6" t="str">
        <x:v>1</x:v>
      </x:c>
      <x:c r="BA149" s="9" t="str">
        <x:v>grid_cells_within_BIG_polygon</x:v>
      </x:c>
      <x:c r="BB149" s="6" t="str">
        <x:v>5</x:v>
      </x:c>
      <x:c r="BC149" s="6" t="str">
        <x:v>3</x:v>
      </x:c>
      <x:c r="BD149" s="6" t="str">
        <x:v>3</x:v>
      </x:c>
      <x:c r="BE149" s="6" t="str">
        <x:v>3</x:v>
      </x:c>
      <x:c r="BF149" s="6" t="str">
        <x:v>0</x:v>
      </x:c>
      <x:c r="BG149" s="6" t="str">
        <x:v>0</x:v>
      </x:c>
      <x:c r="BH149" s="6" t="str">
        <x:v>0</x:v>
      </x:c>
      <x:c r="BI149" s="6" t="str">
        <x:v>0</x:v>
      </x:c>
      <x:c r="BJ149" s="6" t="str">
        <x:v>0</x:v>
      </x:c>
      <x:c r="BK149" s="6" t="str">
        <x:v>0</x:v>
      </x:c>
      <x:c r="BL149" s="6" t="str">
        <x:v>0</x:v>
      </x:c>
      <x:c r="BM149" s="6" t="str">
        <x:v>0</x:v>
      </x:c>
      <x:c r="BN149" s="6" t="str">
        <x:v>3</x:v>
      </x:c>
      <x:c r="BO149" s="6" t="str">
        <x:v>0.0</x:v>
      </x:c>
      <x:c r="BP149" s="6" t="str">
        <x:v>3</x:v>
      </x:c>
      <x:c r="BQ149" s="6" t="str">
        <x:v>1.0</x:v>
      </x:c>
      <x:c r="BR149" s="6" t="str">
        <x:v>3</x:v>
      </x:c>
      <x:c r="BS149" s="6" t="str">
        <x:v>344.0</x:v>
      </x:c>
      <x:c r="BT149" s="6" t="str">
        <x:v>3</x:v>
      </x:c>
      <x:c r="BU149" s="6" t="str">
        <x:v>3182.0</x:v>
      </x:c>
      <x:c r="BV149" s="6" t="str">
        <x:v>3</x:v>
      </x:c>
      <x:c r="BW149" s="9" t="str">
        <x:v>operational_snapshot_annual_totals_may_differ</x:v>
      </x:c>
      <x:c r="BX149" s="9" t="str">
        <x:v>official_live_dashboard_snapshot_subject_to_revision</x:v>
      </x:c>
      <x:c r="BY149" s="9" t="str">
        <x:v>https://tbdashboard.sitb.id/ss_data_tbc03so_2024_provinsi_bulanan_list.php</x:v>
      </x:c>
      <x:c r="BZ149" s="6" t="n">
        <x:v>46246.610671296294</x:v>
      </x:c>
    </x:row>
    <x:row r="150" ht="18" customHeight="1">
      <x:c r="A150" s="6" t="str">
        <x:v>17</x:v>
      </x:c>
      <x:c r="B150" s="6" t="str">
        <x:v>BENGKULU</x:v>
      </x:c>
      <x:c r="C150" s="6" t="str">
        <x:v>2024</x:v>
      </x:c>
      <x:c r="D150" s="6" t="str">
        <x:v>5</x:v>
      </x:c>
      <x:c r="E150" s="6" t="str">
        <x:v>2024-05</x:v>
      </x:c>
      <x:c r="F150" s="6" t="str">
        <x:v>275</x:v>
      </x:c>
      <x:c r="G150" s="6" t="str">
        <x:v>46</x:v>
      </x:c>
      <x:c r="H150" s="6" t="str">
        <x:v>179</x:v>
      </x:c>
      <x:c r="I150" s="6" t="str">
        <x:v>11</x:v>
      </x:c>
      <x:c r="J150" s="6" t="str">
        <x:v>16</x:v>
      </x:c>
      <x:c r="K150" s="6" t="str">
        <x:v>0</x:v>
      </x:c>
      <x:c r="L150" s="6" t="str">
        <x:v>3</x:v>
      </x:c>
      <x:c r="M150" s="6" t="str">
        <x:v>20</x:v>
      </x:c>
      <x:c r="N150" s="6" t="str">
        <x:v>275</x:v>
      </x:c>
      <x:c r="O150" s="6" t="str">
        <x:v>0</x:v>
      </x:c>
      <x:c r="P150" s="10" t="n">
        <x:f>F150-M150</x:f>
        <x:v>255</x:v>
      </x:c>
      <x:c r="Q150" s="11" t="n">
        <x:f>IFERROR(M150/F150,"")</x:f>
        <x:v>0.07272727272727272</x:v>
      </x:c>
      <x:c r="R150" s="10" t="n">
        <x:f>G150+H150</x:f>
        <x:v>225</x:v>
      </x:c>
      <x:c r="S150" s="11" t="n">
        <x:f>IFERROR(R150/F150,"")</x:f>
        <x:v>0.8181818181818182</x:v>
      </x:c>
      <x:c r="T150" s="11" t="n">
        <x:f>IFERROR(R150/P150,"")</x:f>
        <x:v>0.8823529411764706</x:v>
      </x:c>
      <x:c r="U150" s="10" t="n">
        <x:f>I150+J150+K150</x:f>
        <x:v>27</x:v>
      </x:c>
      <x:c r="V150" s="11" t="n">
        <x:f>IFERROR(U150/P150,"")</x:f>
        <x:v>0.10588235294117647</x:v>
      </x:c>
      <x:c r="W150" s="9" t="str">
        <x:v>provisional_gt_5pct_pending</x:v>
      </x:c>
      <x:c r="X150" s="12" t="n">
        <x:f>IFERROR(F150/Z150*100000,"")</x:f>
        <x:v>13.019600416627213</x:v>
      </x:c>
      <x:c r="Y150" s="13" t="n">
        <x:f>LN(Z150)</x:f>
        <x:v>14.563240616294511</x:v>
      </x:c>
      <x:c r="Z150" s="6" t="str">
        <x:v>2112200</x:v>
      </x:c>
      <x:c r="AA150" s="6" t="str">
        <x:v>105.0</x:v>
      </x:c>
      <x:c r="AB150" s="9" t="str">
        <x:v>2024-06-30</x:v>
      </x:c>
      <x:c r="AC150" s="8" t="str">
        <x:v>83.0</x:v>
      </x:c>
      <x:c r="AD150" s="9" t="str">
        <x:v>2024 (Susenas)</x:v>
      </x:c>
      <x:c r="AE150" s="8" t="str">
        <x:v>13.56</x:v>
      </x:c>
      <x:c r="AF150" s="9" t="str">
        <x:v>Maret 2024 (Susenas)</x:v>
      </x:c>
      <x:c r="AG150" s="6" t="str">
        <x:v>26.071717737387445</x:v>
      </x:c>
      <x:c r="AH150" s="8" t="str">
        <x:v>88.24887174039708</x:v>
      </x:c>
      <x:c r="AI150" s="6" t="str">
        <x:v>337.62199237647064</x:v>
      </x:c>
      <x:c r="AJ150" s="6" t="str">
        <x:v>1.10503483564759</x:v>
      </x:c>
      <x:c r="AK150" s="8" t="str">
        <x:v>3.419047468818968</x:v>
      </x:c>
      <x:c r="AL150" s="6" t="str">
        <x:v>2.783475013721203</x:v>
      </x:c>
      <x:c r="AM150" s="6" t="str">
        <x:v>1.9822742675156788</x:v>
      </x:c>
      <x:c r="AN150" s="6" t="str">
        <x:v>2.7282655833519502</x:v>
      </x:c>
      <x:c r="AO150" s="6" t="str">
        <x:v>0.8847827006044895</x:v>
      </x:c>
      <x:c r="AP150" s="8" t="str">
        <x:v>0.8744702449186197</x:v>
      </x:c>
      <x:c r="AQ150" s="6" t="str">
        <x:v>0.6271401834506996</x:v>
      </x:c>
      <x:c r="AR150" s="6" t="str">
        <x:v>0.3644103616581672</x:v>
      </x:c>
      <x:c r="AS150" s="6" t="str">
        <x:v>0.6220069300091632</x:v>
      </x:c>
      <x:c r="AT150" s="6" t="str">
        <x:v>163.94577384932816</x:v>
      </x:c>
      <x:c r="AU150" s="8" t="str">
        <x:v>2.1842007722020766</x:v>
      </x:c>
      <x:c r="AV150" s="6" t="str">
        <x:v>3.115997133998952</x:v>
      </x:c>
      <x:c r="AW150" s="6" t="str">
        <x:v>4.225733097565123</x:v>
      </x:c>
      <x:c r="AX150" s="6" t="str">
        <x:v>3.1753103345887173</x:v>
      </x:c>
      <x:c r="AY150" s="6" t="str">
        <x:v>1</x:v>
      </x:c>
      <x:c r="AZ150" s="6" t="str">
        <x:v>1</x:v>
      </x:c>
      <x:c r="BA150" s="9" t="str">
        <x:v>grid_cells_within_BIG_polygon</x:v>
      </x:c>
      <x:c r="BB150" s="6" t="str">
        <x:v>5</x:v>
      </x:c>
      <x:c r="BC150" s="6" t="str">
        <x:v>0</x:v>
      </x:c>
      <x:c r="BD150" s="6" t="str">
        <x:v>0</x:v>
      </x:c>
      <x:c r="BE150" s="6" t="str">
        <x:v>0</x:v>
      </x:c>
      <x:c r="BF150" s="6" t="str">
        <x:v>0</x:v>
      </x:c>
      <x:c r="BG150" s="6" t="str">
        <x:v>0</x:v>
      </x:c>
      <x:c r="BH150" s="6" t="str">
        <x:v>0</x:v>
      </x:c>
      <x:c r="BI150" s="6" t="str">
        <x:v>0</x:v>
      </x:c>
      <x:c r="BJ150" s="6" t="str">
        <x:v>0</x:v>
      </x:c>
      <x:c r="BK150" s="6" t="str">
        <x:v>0</x:v>
      </x:c>
      <x:c r="BL150" s="6" t="str">
        <x:v>0</x:v>
      </x:c>
      <x:c r="BM150" s="6" t="str">
        <x:v>0</x:v>
      </x:c>
      <x:c r="BN150" s="6" t="str">
        <x:v>0</x:v>
      </x:c>
      <x:c r="BO150" s="6" t="str"/>
      <x:c r="BP150" s="6" t="str">
        <x:v>0</x:v>
      </x:c>
      <x:c r="BQ150" s="6" t="str"/>
      <x:c r="BR150" s="6" t="str">
        <x:v>0</x:v>
      </x:c>
      <x:c r="BS150" s="6" t="str"/>
      <x:c r="BT150" s="6" t="str">
        <x:v>0</x:v>
      </x:c>
      <x:c r="BU150" s="6" t="str"/>
      <x:c r="BV150" s="6" t="str">
        <x:v>0</x:v>
      </x:c>
      <x:c r="BW150" s="9" t="str">
        <x:v>operational_snapshot_annual_totals_may_differ</x:v>
      </x:c>
      <x:c r="BX150" s="9" t="str">
        <x:v>official_live_dashboard_snapshot_subject_to_revision</x:v>
      </x:c>
      <x:c r="BY150" s="9" t="str">
        <x:v>https://tbdashboard.sitb.id/ss_data_tbc03so_2024_provinsi_bulanan_list.php</x:v>
      </x:c>
      <x:c r="BZ150" s="6" t="n">
        <x:v>46246.610671296294</x:v>
      </x:c>
    </x:row>
    <x:row r="151" ht="18" customHeight="1">
      <x:c r="A151" s="6" t="str">
        <x:v>17</x:v>
      </x:c>
      <x:c r="B151" s="6" t="str">
        <x:v>BENGKULU</x:v>
      </x:c>
      <x:c r="C151" s="6" t="str">
        <x:v>2024</x:v>
      </x:c>
      <x:c r="D151" s="6" t="str">
        <x:v>6</x:v>
      </x:c>
      <x:c r="E151" s="6" t="str">
        <x:v>2024-06</x:v>
      </x:c>
      <x:c r="F151" s="6" t="str">
        <x:v>236</x:v>
      </x:c>
      <x:c r="G151" s="6" t="str">
        <x:v>36</x:v>
      </x:c>
      <x:c r="H151" s="6" t="str">
        <x:v>134</x:v>
      </x:c>
      <x:c r="I151" s="6" t="str">
        <x:v>8</x:v>
      </x:c>
      <x:c r="J151" s="6" t="str">
        <x:v>29</x:v>
      </x:c>
      <x:c r="K151" s="6" t="str">
        <x:v>1</x:v>
      </x:c>
      <x:c r="L151" s="6" t="str">
        <x:v>2</x:v>
      </x:c>
      <x:c r="M151" s="6" t="str">
        <x:v>26</x:v>
      </x:c>
      <x:c r="N151" s="6" t="str">
        <x:v>236</x:v>
      </x:c>
      <x:c r="O151" s="6" t="str">
        <x:v>0</x:v>
      </x:c>
      <x:c r="P151" s="10" t="n">
        <x:f>F151-M151</x:f>
        <x:v>210</x:v>
      </x:c>
      <x:c r="Q151" s="11" t="n">
        <x:f>IFERROR(M151/F151,"")</x:f>
        <x:v>0.11016949152542373</x:v>
      </x:c>
      <x:c r="R151" s="10" t="n">
        <x:f>G151+H151</x:f>
        <x:v>170</x:v>
      </x:c>
      <x:c r="S151" s="11" t="n">
        <x:f>IFERROR(R151/F151,"")</x:f>
        <x:v>0.7203389830508474</x:v>
      </x:c>
      <x:c r="T151" s="11" t="n">
        <x:f>IFERROR(R151/P151,"")</x:f>
        <x:v>0.8095238095238095</x:v>
      </x:c>
      <x:c r="U151" s="10" t="n">
        <x:f>I151+J151+K151</x:f>
        <x:v>38</x:v>
      </x:c>
      <x:c r="V151" s="11" t="n">
        <x:f>IFERROR(U151/P151,"")</x:f>
        <x:v>0.18095238095238095</x:v>
      </x:c>
      <x:c r="W151" s="9" t="str">
        <x:v>provisional_gt_5pct_pending</x:v>
      </x:c>
      <x:c r="X151" s="12" t="n">
        <x:f>IFERROR(F151/Z151*100000,"")</x:f>
        <x:v>11.1731843575419</x:v>
      </x:c>
      <x:c r="Y151" s="13" t="n">
        <x:f>LN(Z151)</x:f>
        <x:v>14.563240616294511</x:v>
      </x:c>
      <x:c r="Z151" s="6" t="str">
        <x:v>2112200</x:v>
      </x:c>
      <x:c r="AA151" s="6" t="str">
        <x:v>105.0</x:v>
      </x:c>
      <x:c r="AB151" s="9" t="str">
        <x:v>2024-06-30</x:v>
      </x:c>
      <x:c r="AC151" s="8" t="str">
        <x:v>83.0</x:v>
      </x:c>
      <x:c r="AD151" s="9" t="str">
        <x:v>2024 (Susenas)</x:v>
      </x:c>
      <x:c r="AE151" s="8" t="str">
        <x:v>13.56</x:v>
      </x:c>
      <x:c r="AF151" s="9" t="str">
        <x:v>Maret 2024 (Susenas)</x:v>
      </x:c>
      <x:c r="AG151" s="6" t="str">
        <x:v>25.345680075715126</x:v>
      </x:c>
      <x:c r="AH151" s="8" t="str">
        <x:v>87.81899058244834</x:v>
      </x:c>
      <x:c r="AI151" s="6" t="str">
        <x:v>299.72645904470016</x:v>
      </x:c>
      <x:c r="AJ151" s="6" t="str">
        <x:v>0.763295547426921</x:v>
      </x:c>
      <x:c r="AK151" s="8" t="str">
        <x:v>2.526646890082358</x:v>
      </x:c>
      <x:c r="AL151" s="6" t="str">
        <x:v>3.419047468818968</x:v>
      </x:c>
      <x:c r="AM151" s="6" t="str">
        <x:v>2.783475013721203</x:v>
      </x:c>
      <x:c r="AN151" s="6" t="str">
        <x:v>2.9097231242075097</x:v>
      </x:c>
      <x:c r="AO151" s="6" t="str">
        <x:v>1.4089627094312362</x:v>
      </x:c>
      <x:c r="AP151" s="8" t="str">
        <x:v>0.7780527582655247</x:v>
      </x:c>
      <x:c r="AQ151" s="6" t="str">
        <x:v>0.8744702449186197</x:v>
      </x:c>
      <x:c r="AR151" s="6" t="str">
        <x:v>0.6271401834506996</x:v>
      </x:c>
      <x:c r="AS151" s="6" t="str">
        <x:v>0.7598877288782823</x:v>
      </x:c>
      <x:c r="AT151" s="6" t="str">
        <x:v>172.00746962266774</x:v>
      </x:c>
      <x:c r="AU151" s="8" t="str">
        <x:v>2.437543811683399</x:v>
      </x:c>
      <x:c r="AV151" s="6" t="str">
        <x:v>2.1842007722020766</x:v>
      </x:c>
      <x:c r="AW151" s="6" t="str">
        <x:v>3.115997133998952</x:v>
      </x:c>
      <x:c r="AX151" s="6" t="str">
        <x:v>2.579247239294809</x:v>
      </x:c>
      <x:c r="AY151" s="6" t="str">
        <x:v>1</x:v>
      </x:c>
      <x:c r="AZ151" s="6" t="str">
        <x:v>1</x:v>
      </x:c>
      <x:c r="BA151" s="9" t="str">
        <x:v>grid_cells_within_BIG_polygon</x:v>
      </x:c>
      <x:c r="BB151" s="6" t="str">
        <x:v>5</x:v>
      </x:c>
      <x:c r="BC151" s="6" t="str">
        <x:v>0</x:v>
      </x:c>
      <x:c r="BD151" s="6" t="str">
        <x:v>0</x:v>
      </x:c>
      <x:c r="BE151" s="6" t="str">
        <x:v>0</x:v>
      </x:c>
      <x:c r="BF151" s="6" t="str">
        <x:v>0</x:v>
      </x:c>
      <x:c r="BG151" s="6" t="str">
        <x:v>0</x:v>
      </x:c>
      <x:c r="BH151" s="6" t="str">
        <x:v>0</x:v>
      </x:c>
      <x:c r="BI151" s="6" t="str">
        <x:v>0</x:v>
      </x:c>
      <x:c r="BJ151" s="6" t="str">
        <x:v>0</x:v>
      </x:c>
      <x:c r="BK151" s="6" t="str">
        <x:v>0</x:v>
      </x:c>
      <x:c r="BL151" s="6" t="str">
        <x:v>0</x:v>
      </x:c>
      <x:c r="BM151" s="6" t="str">
        <x:v>0</x:v>
      </x:c>
      <x:c r="BN151" s="6" t="str">
        <x:v>0</x:v>
      </x:c>
      <x:c r="BO151" s="6" t="str"/>
      <x:c r="BP151" s="6" t="str">
        <x:v>0</x:v>
      </x:c>
      <x:c r="BQ151" s="6" t="str"/>
      <x:c r="BR151" s="6" t="str">
        <x:v>0</x:v>
      </x:c>
      <x:c r="BS151" s="6" t="str"/>
      <x:c r="BT151" s="6" t="str">
        <x:v>0</x:v>
      </x:c>
      <x:c r="BU151" s="6" t="str"/>
      <x:c r="BV151" s="6" t="str">
        <x:v>0</x:v>
      </x:c>
      <x:c r="BW151" s="9" t="str">
        <x:v>operational_snapshot_annual_totals_may_differ</x:v>
      </x:c>
      <x:c r="BX151" s="9" t="str">
        <x:v>official_live_dashboard_snapshot_subject_to_revision</x:v>
      </x:c>
      <x:c r="BY151" s="9" t="str">
        <x:v>https://tbdashboard.sitb.id/ss_data_tbc03so_2024_provinsi_bulanan_list.php</x:v>
      </x:c>
      <x:c r="BZ151" s="6" t="n">
        <x:v>46246.610671296294</x:v>
      </x:c>
    </x:row>
    <x:row r="152" ht="18" customHeight="1">
      <x:c r="A152" s="6" t="str">
        <x:v>17</x:v>
      </x:c>
      <x:c r="B152" s="6" t="str">
        <x:v>BENGKULU</x:v>
      </x:c>
      <x:c r="C152" s="6" t="str">
        <x:v>2024</x:v>
      </x:c>
      <x:c r="D152" s="6" t="str">
        <x:v>7</x:v>
      </x:c>
      <x:c r="E152" s="6" t="str">
        <x:v>2024-07</x:v>
      </x:c>
      <x:c r="F152" s="6" t="str">
        <x:v>266</x:v>
      </x:c>
      <x:c r="G152" s="6" t="str">
        <x:v>22</x:v>
      </x:c>
      <x:c r="H152" s="6" t="str">
        <x:v>173</x:v>
      </x:c>
      <x:c r="I152" s="6" t="str">
        <x:v>23</x:v>
      </x:c>
      <x:c r="J152" s="6" t="str">
        <x:v>14</x:v>
      </x:c>
      <x:c r="K152" s="6" t="str">
        <x:v>0</x:v>
      </x:c>
      <x:c r="L152" s="6" t="str">
        <x:v>4</x:v>
      </x:c>
      <x:c r="M152" s="6" t="str">
        <x:v>30</x:v>
      </x:c>
      <x:c r="N152" s="6" t="str">
        <x:v>266</x:v>
      </x:c>
      <x:c r="O152" s="6" t="str">
        <x:v>0</x:v>
      </x:c>
      <x:c r="P152" s="10" t="n">
        <x:f>F152-M152</x:f>
        <x:v>236</x:v>
      </x:c>
      <x:c r="Q152" s="11" t="n">
        <x:f>IFERROR(M152/F152,"")</x:f>
        <x:v>0.11278195488721804</x:v>
      </x:c>
      <x:c r="R152" s="10" t="n">
        <x:f>G152+H152</x:f>
        <x:v>195</x:v>
      </x:c>
      <x:c r="S152" s="11" t="n">
        <x:f>IFERROR(R152/F152,"")</x:f>
        <x:v>0.7330827067669173</x:v>
      </x:c>
      <x:c r="T152" s="11" t="n">
        <x:f>IFERROR(R152/P152,"")</x:f>
        <x:v>0.826271186440678</x:v>
      </x:c>
      <x:c r="U152" s="10" t="n">
        <x:f>I152+J152+K152</x:f>
        <x:v>37</x:v>
      </x:c>
      <x:c r="V152" s="11" t="n">
        <x:f>IFERROR(U152/P152,"")</x:f>
        <x:v>0.15677966101694915</x:v>
      </x:c>
      <x:c r="W152" s="9" t="str">
        <x:v>provisional_gt_5pct_pending</x:v>
      </x:c>
      <x:c r="X152" s="12" t="n">
        <x:f>IFERROR(F152/Z152*100000,"")</x:f>
        <x:v>12.59350440299214</x:v>
      </x:c>
      <x:c r="Y152" s="13" t="n">
        <x:f>LN(Z152)</x:f>
        <x:v>14.563240616294511</x:v>
      </x:c>
      <x:c r="Z152" s="6" t="str">
        <x:v>2112200</x:v>
      </x:c>
      <x:c r="AA152" s="6" t="str">
        <x:v>105.0</x:v>
      </x:c>
      <x:c r="AB152" s="9" t="str">
        <x:v>2024-06-30</x:v>
      </x:c>
      <x:c r="AC152" s="8" t="str">
        <x:v>83.0</x:v>
      </x:c>
      <x:c r="AD152" s="9" t="str">
        <x:v>2024 (Susenas)</x:v>
      </x:c>
      <x:c r="AE152" s="8" t="str">
        <x:v>13.56</x:v>
      </x:c>
      <x:c r="AF152" s="9" t="str">
        <x:v>Maret 2024 (Susenas)</x:v>
      </x:c>
      <x:c r="AG152" s="6" t="str">
        <x:v>25.11779475396781</x:v>
      </x:c>
      <x:c r="AH152" s="8" t="str">
        <x:v>86.8669096098886</x:v>
      </x:c>
      <x:c r="AI152" s="6" t="str">
        <x:v>170.79694316035994</x:v>
      </x:c>
      <x:c r="AJ152" s="6" t="str">
        <x:v>0.9075065647267984</x:v>
      </x:c>
      <x:c r="AK152" s="8" t="str">
        <x:v>3.313417471996436</x:v>
      </x:c>
      <x:c r="AL152" s="6" t="str">
        <x:v>2.526646890082358</x:v>
      </x:c>
      <x:c r="AM152" s="6" t="str">
        <x:v>3.419047468818968</x:v>
      </x:c>
      <x:c r="AN152" s="6" t="str">
        <x:v>3.086370610299254</x:v>
      </x:c>
      <x:c r="AO152" s="6" t="str">
        <x:v>0.967757789396245</x:v>
      </x:c>
      <x:c r="AP152" s="8" t="str">
        <x:v>0.5012834608155383</x:v>
      </x:c>
      <x:c r="AQ152" s="6" t="str">
        <x:v>0.7780527582655247</x:v>
      </x:c>
      <x:c r="AR152" s="6" t="str">
        <x:v>0.8744702449186197</x:v>
      </x:c>
      <x:c r="AS152" s="6" t="str">
        <x:v>0.7179354879998953</x:v>
      </x:c>
      <x:c r="AT152" s="6" t="str">
        <x:v>35.62830636941902</x:v>
      </x:c>
      <x:c r="AU152" s="8" t="str">
        <x:v>0.5096411321292021</x:v>
      </x:c>
      <x:c r="AV152" s="6" t="str">
        <x:v>2.437543811683399</x:v>
      </x:c>
      <x:c r="AW152" s="6" t="str">
        <x:v>2.1842007722020766</x:v>
      </x:c>
      <x:c r="AX152" s="6" t="str">
        <x:v>1.710461905338226</x:v>
      </x:c>
      <x:c r="AY152" s="6" t="str">
        <x:v>0</x:v>
      </x:c>
      <x:c r="AZ152" s="6" t="str">
        <x:v>1</x:v>
      </x:c>
      <x:c r="BA152" s="9" t="str">
        <x:v>grid_cells_within_BIG_polygon</x:v>
      </x:c>
      <x:c r="BB152" s="6" t="str">
        <x:v>5</x:v>
      </x:c>
      <x:c r="BC152" s="6" t="str">
        <x:v>3</x:v>
      </x:c>
      <x:c r="BD152" s="6" t="str">
        <x:v>3</x:v>
      </x:c>
      <x:c r="BE152" s="6" t="str">
        <x:v>2</x:v>
      </x:c>
      <x:c r="BF152" s="6" t="str">
        <x:v>0</x:v>
      </x:c>
      <x:c r="BG152" s="6" t="str">
        <x:v>0</x:v>
      </x:c>
      <x:c r="BH152" s="6" t="str">
        <x:v>0</x:v>
      </x:c>
      <x:c r="BI152" s="6" t="str">
        <x:v>1</x:v>
      </x:c>
      <x:c r="BJ152" s="6" t="str">
        <x:v>0</x:v>
      </x:c>
      <x:c r="BK152" s="6" t="str">
        <x:v>0</x:v>
      </x:c>
      <x:c r="BL152" s="6" t="str">
        <x:v>0</x:v>
      </x:c>
      <x:c r="BM152" s="6" t="str">
        <x:v>0</x:v>
      </x:c>
      <x:c r="BN152" s="6" t="str">
        <x:v>3</x:v>
      </x:c>
      <x:c r="BO152" s="6" t="str">
        <x:v>0.0</x:v>
      </x:c>
      <x:c r="BP152" s="6" t="str">
        <x:v>3</x:v>
      </x:c>
      <x:c r="BQ152" s="6" t="str">
        <x:v>0.0</x:v>
      </x:c>
      <x:c r="BR152" s="6" t="str">
        <x:v>3</x:v>
      </x:c>
      <x:c r="BS152" s="6" t="str">
        <x:v>0.0</x:v>
      </x:c>
      <x:c r="BT152" s="6" t="str">
        <x:v>3</x:v>
      </x:c>
      <x:c r="BU152" s="6" t="str">
        <x:v>464.0</x:v>
      </x:c>
      <x:c r="BV152" s="6" t="str">
        <x:v>2</x:v>
      </x:c>
      <x:c r="BW152" s="9" t="str">
        <x:v>operational_snapshot_annual_totals_may_differ</x:v>
      </x:c>
      <x:c r="BX152" s="9" t="str">
        <x:v>official_live_dashboard_snapshot_subject_to_revision</x:v>
      </x:c>
      <x:c r="BY152" s="9" t="str">
        <x:v>https://tbdashboard.sitb.id/ss_data_tbc03so_2024_provinsi_bulanan_list.php</x:v>
      </x:c>
      <x:c r="BZ152" s="6" t="n">
        <x:v>46246.610671296294</x:v>
      </x:c>
    </x:row>
    <x:row r="153" ht="18" customHeight="1">
      <x:c r="A153" s="6" t="str">
        <x:v>17</x:v>
      </x:c>
      <x:c r="B153" s="6" t="str">
        <x:v>BENGKULU</x:v>
      </x:c>
      <x:c r="C153" s="6" t="str">
        <x:v>2024</x:v>
      </x:c>
      <x:c r="D153" s="6" t="str">
        <x:v>8</x:v>
      </x:c>
      <x:c r="E153" s="6" t="str">
        <x:v>2024-08</x:v>
      </x:c>
      <x:c r="F153" s="6" t="str">
        <x:v>277</x:v>
      </x:c>
      <x:c r="G153" s="6" t="str">
        <x:v>38</x:v>
      </x:c>
      <x:c r="H153" s="6" t="str">
        <x:v>155</x:v>
      </x:c>
      <x:c r="I153" s="6" t="str">
        <x:v>21</x:v>
      </x:c>
      <x:c r="J153" s="6" t="str">
        <x:v>32</x:v>
      </x:c>
      <x:c r="K153" s="6" t="str">
        <x:v>0</x:v>
      </x:c>
      <x:c r="L153" s="6" t="str">
        <x:v>1</x:v>
      </x:c>
      <x:c r="M153" s="6" t="str">
        <x:v>30</x:v>
      </x:c>
      <x:c r="N153" s="6" t="str">
        <x:v>277</x:v>
      </x:c>
      <x:c r="O153" s="6" t="str">
        <x:v>0</x:v>
      </x:c>
      <x:c r="P153" s="10" t="n">
        <x:f>F153-M153</x:f>
        <x:v>247</x:v>
      </x:c>
      <x:c r="Q153" s="11" t="n">
        <x:f>IFERROR(M153/F153,"")</x:f>
        <x:v>0.10830324909747292</x:v>
      </x:c>
      <x:c r="R153" s="10" t="n">
        <x:f>G153+H153</x:f>
        <x:v>193</x:v>
      </x:c>
      <x:c r="S153" s="11" t="n">
        <x:f>IFERROR(R153/F153,"")</x:f>
        <x:v>0.6967509025270758</x:v>
      </x:c>
      <x:c r="T153" s="11" t="n">
        <x:f>IFERROR(R153/P153,"")</x:f>
        <x:v>0.7813765182186235</x:v>
      </x:c>
      <x:c r="U153" s="10" t="n">
        <x:f>I153+J153+K153</x:f>
        <x:v>53</x:v>
      </x:c>
      <x:c r="V153" s="11" t="n">
        <x:f>IFERROR(U153/P153,"")</x:f>
        <x:v>0.2145748987854251</x:v>
      </x:c>
      <x:c r="W153" s="9" t="str">
        <x:v>provisional_gt_5pct_pending</x:v>
      </x:c>
      <x:c r="X153" s="12" t="n">
        <x:f>IFERROR(F153/Z153*100000,"")</x:f>
        <x:v>13.11428841965723</x:v>
      </x:c>
      <x:c r="Y153" s="13" t="n">
        <x:f>LN(Z153)</x:f>
        <x:v>14.563240616294511</x:v>
      </x:c>
      <x:c r="Z153" s="6" t="str">
        <x:v>2112200</x:v>
      </x:c>
      <x:c r="AA153" s="6" t="str">
        <x:v>105.0</x:v>
      </x:c>
      <x:c r="AB153" s="9" t="str">
        <x:v>2024-06-30</x:v>
      </x:c>
      <x:c r="AC153" s="8" t="str">
        <x:v>83.0</x:v>
      </x:c>
      <x:c r="AD153" s="9" t="str">
        <x:v>2024 (Susenas)</x:v>
      </x:c>
      <x:c r="AE153" s="8" t="str">
        <x:v>13.56</x:v>
      </x:c>
      <x:c r="AF153" s="9" t="str">
        <x:v>Maret 2024 (Susenas)</x:v>
      </x:c>
      <x:c r="AG153" s="6" t="str">
        <x:v>25.07189258462293</x:v>
      </x:c>
      <x:c r="AH153" s="8" t="str">
        <x:v>86.65262628815655</x:v>
      </x:c>
      <x:c r="AI153" s="6" t="str">
        <x:v>62.819604507448496</x:v>
      </x:c>
      <x:c r="AJ153" s="6" t="str">
        <x:v>0.7891044243836873</x:v>
      </x:c>
      <x:c r="AK153" s="8" t="str">
        <x:v>2.4316284463471387</x:v>
      </x:c>
      <x:c r="AL153" s="6" t="str">
        <x:v>3.313417471996436</x:v>
      </x:c>
      <x:c r="AM153" s="6" t="str">
        <x:v>2.526646890082358</x:v>
      </x:c>
      <x:c r="AN153" s="6" t="str">
        <x:v>2.757230936141978</x:v>
      </x:c>
      <x:c r="AO153" s="6" t="str">
        <x:v>2.332473953686133</x:v>
      </x:c>
      <x:c r="AP153" s="8" t="str">
        <x:v>0.82150636268211</x:v>
      </x:c>
      <x:c r="AQ153" s="6" t="str">
        <x:v>0.5012834608155383</x:v>
      </x:c>
      <x:c r="AR153" s="6" t="str">
        <x:v>0.7780527582655247</x:v>
      </x:c>
      <x:c r="AS153" s="6" t="str">
        <x:v>0.7002808605877253</x:v>
      </x:c>
      <x:c r="AT153" s="6" t="str">
        <x:v>-76.84303923091807</x:v>
      </x:c>
      <x:c r="AU153" s="8" t="str">
        <x:v>-0.8376408243571947</x:v>
      </x:c>
      <x:c r="AV153" s="6" t="str">
        <x:v>0.5096411321292021</x:v>
      </x:c>
      <x:c r="AW153" s="6" t="str">
        <x:v>2.437543811683399</x:v>
      </x:c>
      <x:c r="AX153" s="6" t="str">
        <x:v>0.7031813731518022</x:v>
      </x:c>
      <x:c r="AY153" s="6" t="str">
        <x:v>0</x:v>
      </x:c>
      <x:c r="AZ153" s="6" t="str">
        <x:v>1</x:v>
      </x:c>
      <x:c r="BA153" s="9" t="str">
        <x:v>grid_cells_within_BIG_polygon</x:v>
      </x:c>
      <x:c r="BB153" s="6" t="str">
        <x:v>5</x:v>
      </x:c>
      <x:c r="BC153" s="6" t="str">
        <x:v>1</x:v>
      </x:c>
      <x:c r="BD153" s="6" t="str">
        <x:v>1</x:v>
      </x:c>
      <x:c r="BE153" s="6" t="str">
        <x:v>0</x:v>
      </x:c>
      <x:c r="BF153" s="6" t="str">
        <x:v>0</x:v>
      </x:c>
      <x:c r="BG153" s="6" t="str">
        <x:v>1</x:v>
      </x:c>
      <x:c r="BH153" s="6" t="str">
        <x:v>0</x:v>
      </x:c>
      <x:c r="BI153" s="6" t="str">
        <x:v>0</x:v>
      </x:c>
      <x:c r="BJ153" s="6" t="str">
        <x:v>0</x:v>
      </x:c>
      <x:c r="BK153" s="6" t="str">
        <x:v>0</x:v>
      </x:c>
      <x:c r="BL153" s="6" t="str">
        <x:v>0</x:v>
      </x:c>
      <x:c r="BM153" s="6" t="str">
        <x:v>0</x:v>
      </x:c>
      <x:c r="BN153" s="6" t="str">
        <x:v>1</x:v>
      </x:c>
      <x:c r="BO153" s="6" t="str">
        <x:v>0.0</x:v>
      </x:c>
      <x:c r="BP153" s="6" t="str">
        <x:v>1</x:v>
      </x:c>
      <x:c r="BQ153" s="6" t="str">
        <x:v>0.0</x:v>
      </x:c>
      <x:c r="BR153" s="6" t="str">
        <x:v>1</x:v>
      </x:c>
      <x:c r="BS153" s="6" t="str">
        <x:v>13.0</x:v>
      </x:c>
      <x:c r="BT153" s="6" t="str">
        <x:v>1</x:v>
      </x:c>
      <x:c r="BU153" s="6" t="str"/>
      <x:c r="BV153" s="6" t="str">
        <x:v>0</x:v>
      </x:c>
      <x:c r="BW153" s="9" t="str">
        <x:v>operational_snapshot_annual_totals_may_differ</x:v>
      </x:c>
      <x:c r="BX153" s="9" t="str">
        <x:v>official_live_dashboard_snapshot_subject_to_revision</x:v>
      </x:c>
      <x:c r="BY153" s="9" t="str">
        <x:v>https://tbdashboard.sitb.id/ss_data_tbc03so_2024_provinsi_bulanan_list.php</x:v>
      </x:c>
      <x:c r="BZ153" s="6" t="n">
        <x:v>46246.610671296294</x:v>
      </x:c>
    </x:row>
    <x:row r="154" ht="18" customHeight="1">
      <x:c r="A154" s="6" t="str">
        <x:v>17</x:v>
      </x:c>
      <x:c r="B154" s="6" t="str">
        <x:v>BENGKULU</x:v>
      </x:c>
      <x:c r="C154" s="6" t="str">
        <x:v>2024</x:v>
      </x:c>
      <x:c r="D154" s="6" t="str">
        <x:v>9</x:v>
      </x:c>
      <x:c r="E154" s="6" t="str">
        <x:v>2024-09</x:v>
      </x:c>
      <x:c r="F154" s="6" t="str">
        <x:v>254</x:v>
      </x:c>
      <x:c r="G154" s="6" t="str">
        <x:v>40</x:v>
      </x:c>
      <x:c r="H154" s="6" t="str">
        <x:v>166</x:v>
      </x:c>
      <x:c r="I154" s="6" t="str">
        <x:v>11</x:v>
      </x:c>
      <x:c r="J154" s="6" t="str">
        <x:v>20</x:v>
      </x:c>
      <x:c r="K154" s="6" t="str">
        <x:v>0</x:v>
      </x:c>
      <x:c r="L154" s="6" t="str">
        <x:v>1</x:v>
      </x:c>
      <x:c r="M154" s="6" t="str">
        <x:v>16</x:v>
      </x:c>
      <x:c r="N154" s="6" t="str">
        <x:v>254</x:v>
      </x:c>
      <x:c r="O154" s="6" t="str">
        <x:v>0</x:v>
      </x:c>
      <x:c r="P154" s="10" t="n">
        <x:f>F154-M154</x:f>
        <x:v>238</x:v>
      </x:c>
      <x:c r="Q154" s="11" t="n">
        <x:f>IFERROR(M154/F154,"")</x:f>
        <x:v>0.06299212598425197</x:v>
      </x:c>
      <x:c r="R154" s="10" t="n">
        <x:f>G154+H154</x:f>
        <x:v>206</x:v>
      </x:c>
      <x:c r="S154" s="11" t="n">
        <x:f>IFERROR(R154/F154,"")</x:f>
        <x:v>0.8110236220472441</x:v>
      </x:c>
      <x:c r="T154" s="11" t="n">
        <x:f>IFERROR(R154/P154,"")</x:f>
        <x:v>0.865546218487395</x:v>
      </x:c>
      <x:c r="U154" s="10" t="n">
        <x:f>I154+J154+K154</x:f>
        <x:v>31</x:v>
      </x:c>
      <x:c r="V154" s="11" t="n">
        <x:f>IFERROR(U154/P154,"")</x:f>
        <x:v>0.13025210084033614</x:v>
      </x:c>
      <x:c r="W154" s="9" t="str">
        <x:v>provisional_gt_5pct_pending</x:v>
      </x:c>
      <x:c r="X154" s="12" t="n">
        <x:f>IFERROR(F154/Z154*100000,"")</x:f>
        <x:v>12.025376384812045</x:v>
      </x:c>
      <x:c r="Y154" s="13" t="n">
        <x:f>LN(Z154)</x:f>
        <x:v>14.563240616294511</x:v>
      </x:c>
      <x:c r="Z154" s="6" t="str">
        <x:v>2112200</x:v>
      </x:c>
      <x:c r="AA154" s="6" t="str">
        <x:v>105.0</x:v>
      </x:c>
      <x:c r="AB154" s="9" t="str">
        <x:v>2024-06-30</x:v>
      </x:c>
      <x:c r="AC154" s="8" t="str">
        <x:v>83.0</x:v>
      </x:c>
      <x:c r="AD154" s="9" t="str">
        <x:v>2024 (Susenas)</x:v>
      </x:c>
      <x:c r="AE154" s="8" t="str">
        <x:v>13.56</x:v>
      </x:c>
      <x:c r="AF154" s="9" t="str">
        <x:v>Maret 2024 (Susenas)</x:v>
      </x:c>
      <x:c r="AG154" s="6" t="str">
        <x:v>25.113757231264728</x:v>
      </x:c>
      <x:c r="AH154" s="8" t="str">
        <x:v>84.3309664727665</x:v>
      </x:c>
      <x:c r="AI154" s="6" t="str">
        <x:v>132.47901282160734</x:v>
      </x:c>
      <x:c r="AJ154" s="6" t="str">
        <x:v>0.7319196962107171</x:v>
      </x:c>
      <x:c r="AK154" s="8" t="str">
        <x:v>1.7960645279285783</x:v>
      </x:c>
      <x:c r="AL154" s="6" t="str">
        <x:v>2.4316284463471387</x:v>
      </x:c>
      <x:c r="AM154" s="6" t="str">
        <x:v>3.313417471996436</x:v>
      </x:c>
      <x:c r="AN154" s="6" t="str">
        <x:v>2.513703482090718</x:v>
      </x:c>
      <x:c r="AO154" s="6" t="str">
        <x:v>0.4808773669126225</x:v>
      </x:c>
      <x:c r="AP154" s="8" t="str">
        <x:v>0.1301012925070747</x:v>
      </x:c>
      <x:c r="AQ154" s="6" t="str">
        <x:v>0.82150636268211</x:v>
      </x:c>
      <x:c r="AR154" s="6" t="str">
        <x:v>0.5012834608155383</x:v>
      </x:c>
      <x:c r="AS154" s="6" t="str">
        <x:v>0.4842970386682419</x:v>
      </x:c>
      <x:c r="AT154" s="6" t="str">
        <x:v>-19.2773203896254</x:v>
      </x:c>
      <x:c r="AU154" s="8" t="str">
        <x:v>-0.2085458188518415</x:v>
      </x:c>
      <x:c r="AV154" s="6" t="str">
        <x:v>-0.8376408243571947</x:v>
      </x:c>
      <x:c r="AW154" s="6" t="str">
        <x:v>0.5096411321292021</x:v>
      </x:c>
      <x:c r="AX154" s="6" t="str">
        <x:v>-0.178848503693278</x:v>
      </x:c>
      <x:c r="AY154" s="6" t="str">
        <x:v>0</x:v>
      </x:c>
      <x:c r="AZ154" s="6" t="str">
        <x:v>1</x:v>
      </x:c>
      <x:c r="BA154" s="9" t="str">
        <x:v>grid_cells_within_BIG_polygon</x:v>
      </x:c>
      <x:c r="BB154" s="6" t="str">
        <x:v>5</x:v>
      </x:c>
      <x:c r="BC154" s="6" t="str">
        <x:v>2</x:v>
      </x:c>
      <x:c r="BD154" s="6" t="str">
        <x:v>2</x:v>
      </x:c>
      <x:c r="BE154" s="6" t="str">
        <x:v>0</x:v>
      </x:c>
      <x:c r="BF154" s="6" t="str">
        <x:v>1</x:v>
      </x:c>
      <x:c r="BG154" s="6" t="str">
        <x:v>1</x:v>
      </x:c>
      <x:c r="BH154" s="6" t="str">
        <x:v>0</x:v>
      </x:c>
      <x:c r="BI154" s="6" t="str">
        <x:v>0</x:v>
      </x:c>
      <x:c r="BJ154" s="6" t="str">
        <x:v>0</x:v>
      </x:c>
      <x:c r="BK154" s="6" t="str">
        <x:v>0</x:v>
      </x:c>
      <x:c r="BL154" s="6" t="str">
        <x:v>0</x:v>
      </x:c>
      <x:c r="BM154" s="6" t="str">
        <x:v>0</x:v>
      </x:c>
      <x:c r="BN154" s="6" t="str">
        <x:v>2</x:v>
      </x:c>
      <x:c r="BO154" s="6" t="str">
        <x:v>0.0</x:v>
      </x:c>
      <x:c r="BP154" s="6" t="str">
        <x:v>2</x:v>
      </x:c>
      <x:c r="BQ154" s="6" t="str">
        <x:v>0.0</x:v>
      </x:c>
      <x:c r="BR154" s="6" t="str">
        <x:v>2</x:v>
      </x:c>
      <x:c r="BS154" s="6" t="str">
        <x:v>15.0</x:v>
      </x:c>
      <x:c r="BT154" s="6" t="str">
        <x:v>2</x:v>
      </x:c>
      <x:c r="BU154" s="6" t="str"/>
      <x:c r="BV154" s="6" t="str">
        <x:v>0</x:v>
      </x:c>
      <x:c r="BW154" s="9" t="str">
        <x:v>operational_snapshot_annual_totals_may_differ</x:v>
      </x:c>
      <x:c r="BX154" s="9" t="str">
        <x:v>official_live_dashboard_snapshot_subject_to_revision</x:v>
      </x:c>
      <x:c r="BY154" s="9" t="str">
        <x:v>https://tbdashboard.sitb.id/ss_data_tbc03so_2024_provinsi_bulanan_list.php</x:v>
      </x:c>
      <x:c r="BZ154" s="6" t="n">
        <x:v>46246.610671296294</x:v>
      </x:c>
    </x:row>
    <x:row r="155" ht="18" customHeight="1">
      <x:c r="A155" s="6" t="str">
        <x:v>17</x:v>
      </x:c>
      <x:c r="B155" s="6" t="str">
        <x:v>BENGKULU</x:v>
      </x:c>
      <x:c r="C155" s="6" t="str">
        <x:v>2024</x:v>
      </x:c>
      <x:c r="D155" s="6" t="str">
        <x:v>10</x:v>
      </x:c>
      <x:c r="E155" s="6" t="str">
        <x:v>2024-10</x:v>
      </x:c>
      <x:c r="F155" s="6" t="str">
        <x:v>300</x:v>
      </x:c>
      <x:c r="G155" s="6" t="str">
        <x:v>42</x:v>
      </x:c>
      <x:c r="H155" s="6" t="str">
        <x:v>185</x:v>
      </x:c>
      <x:c r="I155" s="6" t="str">
        <x:v>21</x:v>
      </x:c>
      <x:c r="J155" s="6" t="str">
        <x:v>16</x:v>
      </x:c>
      <x:c r="K155" s="6" t="str">
        <x:v>0</x:v>
      </x:c>
      <x:c r="L155" s="6" t="str">
        <x:v>8</x:v>
      </x:c>
      <x:c r="M155" s="6" t="str">
        <x:v>28</x:v>
      </x:c>
      <x:c r="N155" s="6" t="str">
        <x:v>300</x:v>
      </x:c>
      <x:c r="O155" s="6" t="str">
        <x:v>0</x:v>
      </x:c>
      <x:c r="P155" s="10" t="n">
        <x:f>F155-M155</x:f>
        <x:v>272</x:v>
      </x:c>
      <x:c r="Q155" s="11" t="n">
        <x:f>IFERROR(M155/F155,"")</x:f>
        <x:v>0.09333333333333334</x:v>
      </x:c>
      <x:c r="R155" s="10" t="n">
        <x:f>G155+H155</x:f>
        <x:v>227</x:v>
      </x:c>
      <x:c r="S155" s="11" t="n">
        <x:f>IFERROR(R155/F155,"")</x:f>
        <x:v>0.7566666666666667</x:v>
      </x:c>
      <x:c r="T155" s="11" t="n">
        <x:f>IFERROR(R155/P155,"")</x:f>
        <x:v>0.8345588235294118</x:v>
      </x:c>
      <x:c r="U155" s="10" t="n">
        <x:f>I155+J155+K155</x:f>
        <x:v>37</x:v>
      </x:c>
      <x:c r="V155" s="11" t="n">
        <x:f>IFERROR(U155/P155,"")</x:f>
        <x:v>0.13602941176470587</x:v>
      </x:c>
      <x:c r="W155" s="9" t="str">
        <x:v>provisional_gt_5pct_pending</x:v>
      </x:c>
      <x:c r="X155" s="12" t="n">
        <x:f>IFERROR(F155/Z155*100000,"")</x:f>
        <x:v>14.203200454502415</x:v>
      </x:c>
      <x:c r="Y155" s="13" t="n">
        <x:f>LN(Z155)</x:f>
        <x:v>14.563240616294511</x:v>
      </x:c>
      <x:c r="Z155" s="6" t="str">
        <x:v>2112200</x:v>
      </x:c>
      <x:c r="AA155" s="6" t="str">
        <x:v>105.0</x:v>
      </x:c>
      <x:c r="AB155" s="9" t="str">
        <x:v>2024-06-30</x:v>
      </x:c>
      <x:c r="AC155" s="8" t="str">
        <x:v>83.0</x:v>
      </x:c>
      <x:c r="AD155" s="9" t="str">
        <x:v>2024 (Susenas)</x:v>
      </x:c>
      <x:c r="AE155" s="8" t="str">
        <x:v>13.56</x:v>
      </x:c>
      <x:c r="AF155" s="9" t="str">
        <x:v>Maret 2024 (Susenas)</x:v>
      </x:c>
      <x:c r="AG155" s="6" t="str">
        <x:v>25.44376683449334</x:v>
      </x:c>
      <x:c r="AH155" s="8" t="str">
        <x:v>83.1569228380722</x:v>
      </x:c>
      <x:c r="AI155" s="6" t="str">
        <x:v>178.06927471837025</x:v>
      </x:c>
      <x:c r="AJ155" s="6" t="str">
        <x:v>0.9942540961937532</x:v>
      </x:c>
      <x:c r="AK155" s="8" t="str">
        <x:v>2.0051957108315666</x:v>
      </x:c>
      <x:c r="AL155" s="6" t="str">
        <x:v>1.7960645279285783</x:v>
      </x:c>
      <x:c r="AM155" s="6" t="str">
        <x:v>2.4316284463471387</x:v>
      </x:c>
      <x:c r="AN155" s="6" t="str">
        <x:v>2.077629561702428</x:v>
      </x:c>
      <x:c r="AO155" s="6" t="str">
        <x:v>-1.8051899591256275</x:v>
      </x:c>
      <x:c r="AP155" s="8" t="str">
        <x:v>-0.378498343385498</x:v>
      </x:c>
      <x:c r="AQ155" s="6" t="str">
        <x:v>0.1301012925070747</x:v>
      </x:c>
      <x:c r="AR155" s="6" t="str">
        <x:v>0.82150636268211</x:v>
      </x:c>
      <x:c r="AS155" s="6" t="str">
        <x:v>0.1910364372678965</x:v>
      </x:c>
      <x:c r="AT155" s="6" t="str">
        <x:v>-43.25613194259054</x:v>
      </x:c>
      <x:c r="AU155" s="8" t="str">
        <x:v>-0.3405997957916763</x:v>
      </x:c>
      <x:c r="AV155" s="6" t="str">
        <x:v>-0.2085458188518415</x:v>
      </x:c>
      <x:c r="AW155" s="6" t="str">
        <x:v>-0.8376408243571947</x:v>
      </x:c>
      <x:c r="AX155" s="6" t="str">
        <x:v>-0.4622621463335708</x:v>
      </x:c>
      <x:c r="AY155" s="6" t="str">
        <x:v>0</x:v>
      </x:c>
      <x:c r="AZ155" s="6" t="str">
        <x:v>1</x:v>
      </x:c>
      <x:c r="BA155" s="9" t="str">
        <x:v>grid_cells_within_BIG_polygon</x:v>
      </x:c>
      <x:c r="BB155" s="6" t="str">
        <x:v>5</x:v>
      </x:c>
      <x:c r="BC155" s="6" t="str">
        <x:v>1</x:v>
      </x:c>
      <x:c r="BD155" s="6" t="str">
        <x:v>1</x:v>
      </x:c>
      <x:c r="BE155" s="6" t="str">
        <x:v>1</x:v>
      </x:c>
      <x:c r="BF155" s="6" t="str">
        <x:v>0</x:v>
      </x:c>
      <x:c r="BG155" s="6" t="str">
        <x:v>0</x:v>
      </x:c>
      <x:c r="BH155" s="6" t="str">
        <x:v>0</x:v>
      </x:c>
      <x:c r="BI155" s="6" t="str">
        <x:v>0</x:v>
      </x:c>
      <x:c r="BJ155" s="6" t="str">
        <x:v>0</x:v>
      </x:c>
      <x:c r="BK155" s="6" t="str">
        <x:v>0</x:v>
      </x:c>
      <x:c r="BL155" s="6" t="str">
        <x:v>0</x:v>
      </x:c>
      <x:c r="BM155" s="6" t="str">
        <x:v>0</x:v>
      </x:c>
      <x:c r="BN155" s="6" t="str">
        <x:v>1</x:v>
      </x:c>
      <x:c r="BO155" s="6" t="str">
        <x:v>0.0</x:v>
      </x:c>
      <x:c r="BP155" s="6" t="str">
        <x:v>1</x:v>
      </x:c>
      <x:c r="BQ155" s="6" t="str">
        <x:v>0.0</x:v>
      </x:c>
      <x:c r="BR155" s="6" t="str">
        <x:v>1</x:v>
      </x:c>
      <x:c r="BS155" s="6" t="str">
        <x:v>25.0</x:v>
      </x:c>
      <x:c r="BT155" s="6" t="str">
        <x:v>1</x:v>
      </x:c>
      <x:c r="BU155" s="6" t="str"/>
      <x:c r="BV155" s="6" t="str">
        <x:v>0</x:v>
      </x:c>
      <x:c r="BW155" s="9" t="str">
        <x:v>operational_snapshot_annual_totals_may_differ</x:v>
      </x:c>
      <x:c r="BX155" s="9" t="str">
        <x:v>official_live_dashboard_snapshot_subject_to_revision</x:v>
      </x:c>
      <x:c r="BY155" s="9" t="str">
        <x:v>https://tbdashboard.sitb.id/ss_data_tbc03so_2024_provinsi_bulanan_list.php</x:v>
      </x:c>
      <x:c r="BZ155" s="6" t="n">
        <x:v>46246.610671296294</x:v>
      </x:c>
    </x:row>
    <x:row r="156" ht="18" customHeight="1">
      <x:c r="A156" s="6" t="str">
        <x:v>17</x:v>
      </x:c>
      <x:c r="B156" s="6" t="str">
        <x:v>BENGKULU</x:v>
      </x:c>
      <x:c r="C156" s="6" t="str">
        <x:v>2024</x:v>
      </x:c>
      <x:c r="D156" s="6" t="str">
        <x:v>11</x:v>
      </x:c>
      <x:c r="E156" s="6" t="str">
        <x:v>2024-11</x:v>
      </x:c>
      <x:c r="F156" s="6" t="str">
        <x:v>258</x:v>
      </x:c>
      <x:c r="G156" s="6" t="str">
        <x:v>34</x:v>
      </x:c>
      <x:c r="H156" s="6" t="str">
        <x:v>155</x:v>
      </x:c>
      <x:c r="I156" s="6" t="str">
        <x:v>19</x:v>
      </x:c>
      <x:c r="J156" s="6" t="str">
        <x:v>13</x:v>
      </x:c>
      <x:c r="K156" s="6" t="str">
        <x:v>0</x:v>
      </x:c>
      <x:c r="L156" s="6" t="str">
        <x:v>7</x:v>
      </x:c>
      <x:c r="M156" s="6" t="str">
        <x:v>30</x:v>
      </x:c>
      <x:c r="N156" s="6" t="str">
        <x:v>258</x:v>
      </x:c>
      <x:c r="O156" s="6" t="str">
        <x:v>0</x:v>
      </x:c>
      <x:c r="P156" s="10" t="n">
        <x:f>F156-M156</x:f>
        <x:v>228</x:v>
      </x:c>
      <x:c r="Q156" s="11" t="n">
        <x:f>IFERROR(M156/F156,"")</x:f>
        <x:v>0.11627906976744186</x:v>
      </x:c>
      <x:c r="R156" s="10" t="n">
        <x:f>G156+H156</x:f>
        <x:v>189</x:v>
      </x:c>
      <x:c r="S156" s="11" t="n">
        <x:f>IFERROR(R156/F156,"")</x:f>
        <x:v>0.7325581395348837</x:v>
      </x:c>
      <x:c r="T156" s="11" t="n">
        <x:f>IFERROR(R156/P156,"")</x:f>
        <x:v>0.8289473684210527</x:v>
      </x:c>
      <x:c r="U156" s="10" t="n">
        <x:f>I156+J156+K156</x:f>
        <x:v>32</x:v>
      </x:c>
      <x:c r="V156" s="11" t="n">
        <x:f>IFERROR(U156/P156,"")</x:f>
        <x:v>0.14035087719298245</x:v>
      </x:c>
      <x:c r="W156" s="9" t="str">
        <x:v>provisional_gt_5pct_pending</x:v>
      </x:c>
      <x:c r="X156" s="12" t="n">
        <x:f>IFERROR(F156/Z156*100000,"")</x:f>
        <x:v>12.214752390872077</x:v>
      </x:c>
      <x:c r="Y156" s="13" t="n">
        <x:f>LN(Z156)</x:f>
        <x:v>14.563240616294511</x:v>
      </x:c>
      <x:c r="Z156" s="6" t="str">
        <x:v>2112200</x:v>
      </x:c>
      <x:c r="AA156" s="6" t="str">
        <x:v>105.0</x:v>
      </x:c>
      <x:c r="AB156" s="9" t="str">
        <x:v>2024-06-30</x:v>
      </x:c>
      <x:c r="AC156" s="8" t="str">
        <x:v>83.0</x:v>
      </x:c>
      <x:c r="AD156" s="9" t="str">
        <x:v>2024 (Susenas)</x:v>
      </x:c>
      <x:c r="AE156" s="8" t="str">
        <x:v>13.56</x:v>
      </x:c>
      <x:c r="AF156" s="9" t="str">
        <x:v>Maret 2024 (Susenas)</x:v>
      </x:c>
      <x:c r="AG156" s="6" t="str">
        <x:v>24.6217510592519</x:v>
      </x:c>
      <x:c r="AH156" s="8" t="str">
        <x:v>87.59014630481485</x:v>
      </x:c>
      <x:c r="AI156" s="6" t="str">
        <x:v>371.5748496053303</x:v>
      </x:c>
      <x:c r="AJ156" s="6" t="str">
        <x:v>0.3651798105950306</x:v>
      </x:c>
      <x:c r="AK156" s="8" t="str">
        <x:v>0.7264623581577546</x:v>
      </x:c>
      <x:c r="AL156" s="6" t="str">
        <x:v>2.0051957108315666</x:v>
      </x:c>
      <x:c r="AM156" s="6" t="str">
        <x:v>1.7960645279285783</x:v>
      </x:c>
      <x:c r="AN156" s="6" t="str">
        <x:v>1.5092408656393002</x:v>
      </x:c>
      <x:c r="AO156" s="6" t="str">
        <x:v>0.0236135237101251</x:v>
      </x:c>
      <x:c r="AP156" s="8" t="str">
        <x:v>0.0091732896366663</x:v>
      </x:c>
      <x:c r="AQ156" s="6" t="str">
        <x:v>-0.378498343385498</x:v>
      </x:c>
      <x:c r="AR156" s="6" t="str">
        <x:v>0.1301012925070747</x:v>
      </x:c>
      <x:c r="AS156" s="6" t="str">
        <x:v>-0.0797412537472513</x:v>
      </x:c>
      <x:c r="AT156" s="6" t="str">
        <x:v>73.16618475957</x:v>
      </x:c>
      <x:c r="AU156" s="8" t="str">
        <x:v>0.7317892909345359</x:v>
      </x:c>
      <x:c r="AV156" s="6" t="str">
        <x:v>-0.3405997957916763</x:v>
      </x:c>
      <x:c r="AW156" s="6" t="str">
        <x:v>-0.2085458188518415</x:v>
      </x:c>
      <x:c r="AX156" s="6" t="str">
        <x:v>0.0608812254303393</x:v>
      </x:c>
      <x:c r="AY156" s="6" t="str">
        <x:v>0</x:v>
      </x:c>
      <x:c r="AZ156" s="6" t="str">
        <x:v>0</x:v>
      </x:c>
      <x:c r="BA156" s="9" t="str">
        <x:v>grid_cells_within_BIG_polygon</x:v>
      </x:c>
      <x:c r="BB156" s="6" t="str">
        <x:v>5</x:v>
      </x:c>
      <x:c r="BC156" s="6" t="str">
        <x:v>1</x:v>
      </x:c>
      <x:c r="BD156" s="6" t="str">
        <x:v>1</x:v>
      </x:c>
      <x:c r="BE156" s="6" t="str">
        <x:v>0</x:v>
      </x:c>
      <x:c r="BF156" s="6" t="str">
        <x:v>1</x:v>
      </x:c>
      <x:c r="BG156" s="6" t="str">
        <x:v>0</x:v>
      </x:c>
      <x:c r="BH156" s="6" t="str">
        <x:v>0</x:v>
      </x:c>
      <x:c r="BI156" s="6" t="str">
        <x:v>0</x:v>
      </x:c>
      <x:c r="BJ156" s="6" t="str">
        <x:v>0</x:v>
      </x:c>
      <x:c r="BK156" s="6" t="str">
        <x:v>0</x:v>
      </x:c>
      <x:c r="BL156" s="6" t="str">
        <x:v>0</x:v>
      </x:c>
      <x:c r="BM156" s="6" t="str">
        <x:v>0</x:v>
      </x:c>
      <x:c r="BN156" s="6" t="str">
        <x:v>1</x:v>
      </x:c>
      <x:c r="BO156" s="6" t="str">
        <x:v>1.0</x:v>
      </x:c>
      <x:c r="BP156" s="6" t="str">
        <x:v>1</x:v>
      </x:c>
      <x:c r="BQ156" s="6" t="str">
        <x:v>0.0</x:v>
      </x:c>
      <x:c r="BR156" s="6" t="str">
        <x:v>1</x:v>
      </x:c>
      <x:c r="BS156" s="6" t="str">
        <x:v>0.0</x:v>
      </x:c>
      <x:c r="BT156" s="6" t="str">
        <x:v>1</x:v>
      </x:c>
      <x:c r="BU156" s="6" t="str"/>
      <x:c r="BV156" s="6" t="str">
        <x:v>0</x:v>
      </x:c>
      <x:c r="BW156" s="9" t="str">
        <x:v>operational_snapshot_annual_totals_may_differ</x:v>
      </x:c>
      <x:c r="BX156" s="9" t="str">
        <x:v>official_live_dashboard_snapshot_subject_to_revision</x:v>
      </x:c>
      <x:c r="BY156" s="9" t="str">
        <x:v>https://tbdashboard.sitb.id/ss_data_tbc03so_2024_provinsi_bulanan_list.php</x:v>
      </x:c>
      <x:c r="BZ156" s="6" t="n">
        <x:v>46246.610671296294</x:v>
      </x:c>
    </x:row>
    <x:row r="157" ht="18" customHeight="1">
      <x:c r="A157" s="6" t="str">
        <x:v>17</x:v>
      </x:c>
      <x:c r="B157" s="6" t="str">
        <x:v>BENGKULU</x:v>
      </x:c>
      <x:c r="C157" s="6" t="str">
        <x:v>2024</x:v>
      </x:c>
      <x:c r="D157" s="6" t="str">
        <x:v>12</x:v>
      </x:c>
      <x:c r="E157" s="6" t="str">
        <x:v>2024-12</x:v>
      </x:c>
      <x:c r="F157" s="6" t="str">
        <x:v>260</x:v>
      </x:c>
      <x:c r="G157" s="6" t="str">
        <x:v>42</x:v>
      </x:c>
      <x:c r="H157" s="6" t="str">
        <x:v>154</x:v>
      </x:c>
      <x:c r="I157" s="6" t="str">
        <x:v>15</x:v>
      </x:c>
      <x:c r="J157" s="6" t="str">
        <x:v>21</x:v>
      </x:c>
      <x:c r="K157" s="6" t="str">
        <x:v>0</x:v>
      </x:c>
      <x:c r="L157" s="6" t="str">
        <x:v>4</x:v>
      </x:c>
      <x:c r="M157" s="6" t="str">
        <x:v>24</x:v>
      </x:c>
      <x:c r="N157" s="6" t="str">
        <x:v>260</x:v>
      </x:c>
      <x:c r="O157" s="6" t="str">
        <x:v>0</x:v>
      </x:c>
      <x:c r="P157" s="10" t="n">
        <x:f>F157-M157</x:f>
        <x:v>236</x:v>
      </x:c>
      <x:c r="Q157" s="11" t="n">
        <x:f>IFERROR(M157/F157,"")</x:f>
        <x:v>0.09230769230769231</x:v>
      </x:c>
      <x:c r="R157" s="10" t="n">
        <x:f>G157+H157</x:f>
        <x:v>196</x:v>
      </x:c>
      <x:c r="S157" s="11" t="n">
        <x:f>IFERROR(R157/F157,"")</x:f>
        <x:v>0.7538461538461538</x:v>
      </x:c>
      <x:c r="T157" s="11" t="n">
        <x:f>IFERROR(R157/P157,"")</x:f>
        <x:v>0.8305084745762712</x:v>
      </x:c>
      <x:c r="U157" s="10" t="n">
        <x:f>I157+J157+K157</x:f>
        <x:v>36</x:v>
      </x:c>
      <x:c r="V157" s="11" t="n">
        <x:f>IFERROR(U157/P157,"")</x:f>
        <x:v>0.15254237288135594</x:v>
      </x:c>
      <x:c r="W157" s="9" t="str">
        <x:v>provisional_gt_5pct_pending</x:v>
      </x:c>
      <x:c r="X157" s="12" t="n">
        <x:f>IFERROR(F157/Z157*100000,"")</x:f>
        <x:v>12.309440393902094</x:v>
      </x:c>
      <x:c r="Y157" s="13" t="n">
        <x:f>LN(Z157)</x:f>
        <x:v>14.563240616294511</x:v>
      </x:c>
      <x:c r="Z157" s="6" t="str">
        <x:v>2112200</x:v>
      </x:c>
      <x:c r="AA157" s="6" t="str">
        <x:v>105.0</x:v>
      </x:c>
      <x:c r="AB157" s="9" t="str">
        <x:v>2024-06-30</x:v>
      </x:c>
      <x:c r="AC157" s="8" t="str">
        <x:v>83.0</x:v>
      </x:c>
      <x:c r="AD157" s="9" t="str">
        <x:v>2024 (Susenas)</x:v>
      </x:c>
      <x:c r="AE157" s="8" t="str">
        <x:v>13.56</x:v>
      </x:c>
      <x:c r="AF157" s="9" t="str">
        <x:v>Maret 2024 (Susenas)</x:v>
      </x:c>
      <x:c r="AG157" s="6" t="str">
        <x:v>24.373778739199565</x:v>
      </x:c>
      <x:c r="AH157" s="8" t="str">
        <x:v>88.13976893247414</x:v>
      </x:c>
      <x:c r="AI157" s="6" t="str">
        <x:v>328.81713384654626</x:v>
      </x:c>
      <x:c r="AJ157" s="6" t="str">
        <x:v>0.4390416308601175</x:v>
      </x:c>
      <x:c r="AK157" s="8" t="str">
        <x:v>1.1609081208582788</x:v>
      </x:c>
      <x:c r="AL157" s="6" t="str">
        <x:v>0.7264623581577546</x:v>
      </x:c>
      <x:c r="AM157" s="6" t="str">
        <x:v>2.0051957108315666</x:v>
      </x:c>
      <x:c r="AN157" s="6" t="str">
        <x:v>1.2975220632825335</x:v>
      </x:c>
      <x:c r="AO157" s="6" t="str">
        <x:v>-0.6772058981377285</x:v>
      </x:c>
      <x:c r="AP157" s="8" t="str">
        <x:v>-0.5159201925594917</x:v>
      </x:c>
      <x:c r="AQ157" s="6" t="str">
        <x:v>0.0091732896366663</x:v>
      </x:c>
      <x:c r="AR157" s="6" t="str">
        <x:v>-0.378498343385498</x:v>
      </x:c>
      <x:c r="AS157" s="6" t="str">
        <x:v>-0.2950817487694401</x:v>
      </x:c>
      <x:c r="AT157" s="6" t="str">
        <x:v>17.64020168438941</x:v>
      </x:c>
      <x:c r="AU157" s="8" t="str">
        <x:v>0.1788118461716148</x:v>
      </x:c>
      <x:c r="AV157" s="6" t="str">
        <x:v>0.7317892909345359</x:v>
      </x:c>
      <x:c r="AW157" s="6" t="str">
        <x:v>-0.3405997957916763</x:v>
      </x:c>
      <x:c r="AX157" s="6" t="str">
        <x:v>0.1900004471048248</x:v>
      </x:c>
      <x:c r="AY157" s="6" t="str">
        <x:v>0</x:v>
      </x:c>
      <x:c r="AZ157" s="6" t="str">
        <x:v>1</x:v>
      </x:c>
      <x:c r="BA157" s="9" t="str">
        <x:v>grid_cells_within_BIG_polygon</x:v>
      </x:c>
      <x:c r="BB157" s="6" t="str">
        <x:v>5</x:v>
      </x:c>
      <x:c r="BC157" s="6" t="str">
        <x:v>1</x:v>
      </x:c>
      <x:c r="BD157" s="6" t="str">
        <x:v>1</x:v>
      </x:c>
      <x:c r="BE157" s="6" t="str">
        <x:v>1</x:v>
      </x:c>
      <x:c r="BF157" s="6" t="str">
        <x:v>0</x:v>
      </x:c>
      <x:c r="BG157" s="6" t="str">
        <x:v>0</x:v>
      </x:c>
      <x:c r="BH157" s="6" t="str">
        <x:v>0</x:v>
      </x:c>
      <x:c r="BI157" s="6" t="str">
        <x:v>0</x:v>
      </x:c>
      <x:c r="BJ157" s="6" t="str">
        <x:v>0</x:v>
      </x:c>
      <x:c r="BK157" s="6" t="str">
        <x:v>0</x:v>
      </x:c>
      <x:c r="BL157" s="6" t="str">
        <x:v>0</x:v>
      </x:c>
      <x:c r="BM157" s="6" t="str">
        <x:v>0</x:v>
      </x:c>
      <x:c r="BN157" s="6" t="str">
        <x:v>1</x:v>
      </x:c>
      <x:c r="BO157" s="6" t="str">
        <x:v>0.0</x:v>
      </x:c>
      <x:c r="BP157" s="6" t="str">
        <x:v>1</x:v>
      </x:c>
      <x:c r="BQ157" s="6" t="str">
        <x:v>0.0</x:v>
      </x:c>
      <x:c r="BR157" s="6" t="str">
        <x:v>1</x:v>
      </x:c>
      <x:c r="BS157" s="6" t="str">
        <x:v>0.0</x:v>
      </x:c>
      <x:c r="BT157" s="6" t="str">
        <x:v>1</x:v>
      </x:c>
      <x:c r="BU157" s="6" t="str">
        <x:v>46.0</x:v>
      </x:c>
      <x:c r="BV157" s="6" t="str">
        <x:v>1</x:v>
      </x:c>
      <x:c r="BW157" s="9" t="str">
        <x:v>operational_snapshot_annual_totals_may_differ</x:v>
      </x:c>
      <x:c r="BX157" s="9" t="str">
        <x:v>official_live_dashboard_snapshot_subject_to_revision</x:v>
      </x:c>
      <x:c r="BY157" s="9" t="str">
        <x:v>https://tbdashboard.sitb.id/ss_data_tbc03so_2024_provinsi_bulanan_list.php</x:v>
      </x:c>
      <x:c r="BZ157" s="6" t="n">
        <x:v>46246.610671296294</x:v>
      </x:c>
    </x:row>
    <x:row r="158" ht="18" customHeight="1">
      <x:c r="A158" s="6" t="str">
        <x:v>17</x:v>
      </x:c>
      <x:c r="B158" s="6" t="str">
        <x:v>BENGKULU</x:v>
      </x:c>
      <x:c r="C158" s="6" t="str">
        <x:v>2025</x:v>
      </x:c>
      <x:c r="D158" s="6" t="str">
        <x:v>1</x:v>
      </x:c>
      <x:c r="E158" s="6" t="str">
        <x:v>2025-01</x:v>
      </x:c>
      <x:c r="F158" s="6" t="str">
        <x:v>309</x:v>
      </x:c>
      <x:c r="G158" s="6" t="str">
        <x:v>48</x:v>
      </x:c>
      <x:c r="H158" s="6" t="str">
        <x:v>176</x:v>
      </x:c>
      <x:c r="I158" s="6" t="str">
        <x:v>20</x:v>
      </x:c>
      <x:c r="J158" s="6" t="str">
        <x:v>21</x:v>
      </x:c>
      <x:c r="K158" s="6" t="str">
        <x:v>0</x:v>
      </x:c>
      <x:c r="L158" s="6" t="str">
        <x:v>6</x:v>
      </x:c>
      <x:c r="M158" s="6" t="str">
        <x:v>38</x:v>
      </x:c>
      <x:c r="N158" s="6" t="str">
        <x:v>309</x:v>
      </x:c>
      <x:c r="O158" s="6" t="str">
        <x:v>0</x:v>
      </x:c>
      <x:c r="P158" s="10" t="n">
        <x:f>F158-M158</x:f>
        <x:v>271</x:v>
      </x:c>
      <x:c r="Q158" s="11" t="n">
        <x:f>IFERROR(M158/F158,"")</x:f>
        <x:v>0.12297734627831715</x:v>
      </x:c>
      <x:c r="R158" s="10" t="n">
        <x:f>G158+H158</x:f>
        <x:v>224</x:v>
      </x:c>
      <x:c r="S158" s="11" t="n">
        <x:f>IFERROR(R158/F158,"")</x:f>
        <x:v>0.7249190938511327</x:v>
      </x:c>
      <x:c r="T158" s="11" t="n">
        <x:f>IFERROR(R158/P158,"")</x:f>
        <x:v>0.8265682656826568</x:v>
      </x:c>
      <x:c r="U158" s="10" t="n">
        <x:f>I158+J158+K158</x:f>
        <x:v>41</x:v>
      </x:c>
      <x:c r="V158" s="11" t="n">
        <x:f>IFERROR(U158/P158,"")</x:f>
        <x:v>0.15129151291512916</x:v>
      </x:c>
      <x:c r="W158" s="9" t="str">
        <x:v>provisional_gt_5pct_pending</x:v>
      </x:c>
      <x:c r="X158" s="12" t="n">
        <x:f>IFERROR(F158/Z158*100000,"")</x:f>
        <x:v>14.452759588400374</x:v>
      </x:c>
      <x:c r="Y158" s="13" t="n">
        <x:f>LN(Z158)</x:f>
        <x:v>14.575381370567127</x:v>
      </x:c>
      <x:c r="Z158" s="6" t="str">
        <x:v>2138000</x:v>
      </x:c>
      <x:c r="AA158" s="6" t="str">
        <x:v>106.0</x:v>
      </x:c>
      <x:c r="AB158" s="9" t="str">
        <x:v>2025-06-30</x:v>
      </x:c>
      <x:c r="AC158" s="8" t="str">
        <x:v>85.75</x:v>
      </x:c>
      <x:c r="AD158" s="9" t="str">
        <x:v>2025 (Susenas)</x:v>
      </x:c>
      <x:c r="AE158" s="8" t="str">
        <x:v>12.08</x:v>
      </x:c>
      <x:c r="AF158" s="9" t="str">
        <x:v>Maret 2025 (Susenas)</x:v>
      </x:c>
      <x:c r="AG158" s="6" t="str">
        <x:v>24.43982166770085</x:v>
      </x:c>
      <x:c r="AH158" s="8" t="str">
        <x:v>87.82210991863602</x:v>
      </x:c>
      <x:c r="AI158" s="6" t="str">
        <x:v>292.4173034352837</x:v>
      </x:c>
      <x:c r="AJ158" s="6" t="str">
        <x:v>0.327605930515805</x:v>
      </x:c>
      <x:c r="AK158" s="8" t="str">
        <x:v>0.7244004439231452</x:v>
      </x:c>
      <x:c r="AL158" s="6" t="str">
        <x:v>1.1609081208582788</x:v>
      </x:c>
      <x:c r="AM158" s="6" t="str">
        <x:v>0.7264623581577546</x:v>
      </x:c>
      <x:c r="AN158" s="6" t="str">
        <x:v>0.8705903076463931</x:v>
      </x:c>
      <x:c r="AO158" s="6" t="str">
        <x:v>0.015628197663247</x:v>
      </x:c>
      <x:c r="AP158" s="8" t="str">
        <x:v>0.0114327514921396</x:v>
      </x:c>
      <x:c r="AQ158" s="6" t="str">
        <x:v>-0.5159201925594917</x:v>
      </x:c>
      <x:c r="AR158" s="6" t="str">
        <x:v>0.0091732896366663</x:v>
      </x:c>
      <x:c r="AS158" s="6" t="str">
        <x:v>-0.1651047171435609</x:v>
      </x:c>
      <x:c r="AT158" s="6" t="str">
        <x:v>43.89196534426139</x:v>
      </x:c>
      <x:c r="AU158" s="8" t="str">
        <x:v>0.4621844754162283</x:v>
      </x:c>
      <x:c r="AV158" s="6" t="str">
        <x:v>0.1788118461716148</x:v>
      </x:c>
      <x:c r="AW158" s="6" t="str">
        <x:v>0.7317892909345359</x:v>
      </x:c>
      <x:c r="AX158" s="6" t="str">
        <x:v>0.4575952041741264</x:v>
      </x:c>
      <x:c r="AY158" s="6" t="str">
        <x:v>0</x:v>
      </x:c>
      <x:c r="AZ158" s="6" t="str">
        <x:v>0</x:v>
      </x:c>
      <x:c r="BA158" s="9" t="str">
        <x:v>grid_cells_within_BIG_polygon</x:v>
      </x:c>
      <x:c r="BB158" s="6" t="str">
        <x:v>5</x:v>
      </x:c>
      <x:c r="BC158" s="6" t="str">
        <x:v>0</x:v>
      </x:c>
      <x:c r="BD158" s="6" t="str">
        <x:v>0</x:v>
      </x:c>
      <x:c r="BE158" s="6" t="str">
        <x:v>0</x:v>
      </x:c>
      <x:c r="BF158" s="6" t="str">
        <x:v>0</x:v>
      </x:c>
      <x:c r="BG158" s="6" t="str">
        <x:v>0</x:v>
      </x:c>
      <x:c r="BH158" s="6" t="str">
        <x:v>0</x:v>
      </x:c>
      <x:c r="BI158" s="6" t="str">
        <x:v>0</x:v>
      </x:c>
      <x:c r="BJ158" s="6" t="str">
        <x:v>0</x:v>
      </x:c>
      <x:c r="BK158" s="6" t="str">
        <x:v>0</x:v>
      </x:c>
      <x:c r="BL158" s="6" t="str">
        <x:v>0</x:v>
      </x:c>
      <x:c r="BM158" s="6" t="str">
        <x:v>0</x:v>
      </x:c>
      <x:c r="BN158" s="6" t="str">
        <x:v>0</x:v>
      </x:c>
      <x:c r="BO158" s="6" t="str"/>
      <x:c r="BP158" s="6" t="str">
        <x:v>0</x:v>
      </x:c>
      <x:c r="BQ158" s="6" t="str"/>
      <x:c r="BR158" s="6" t="str">
        <x:v>0</x:v>
      </x:c>
      <x:c r="BS158" s="6" t="str"/>
      <x:c r="BT158" s="6" t="str">
        <x:v>0</x:v>
      </x:c>
      <x:c r="BU158" s="6" t="str"/>
      <x:c r="BV158" s="6" t="str">
        <x:v>0</x:v>
      </x:c>
      <x:c r="BW158" s="9" t="str">
        <x:v>operational_snapshot_annual_totals_may_differ</x:v>
      </x:c>
      <x:c r="BX158" s="9" t="str">
        <x:v>official_live_dashboard_snapshot_subject_to_revision</x:v>
      </x:c>
      <x:c r="BY158" s="9" t="str">
        <x:v>https://tbdashboard.sitb.id/ss_data_tbc03so_2025_provinsi_bulanan_list.php</x:v>
      </x:c>
      <x:c r="BZ158" s="6" t="n">
        <x:v>46246.610671296294</x:v>
      </x:c>
    </x:row>
    <x:row r="159" ht="18" customHeight="1">
      <x:c r="A159" s="6" t="str">
        <x:v>17</x:v>
      </x:c>
      <x:c r="B159" s="6" t="str">
        <x:v>BENGKULU</x:v>
      </x:c>
      <x:c r="C159" s="6" t="str">
        <x:v>2025</x:v>
      </x:c>
      <x:c r="D159" s="6" t="str">
        <x:v>2</x:v>
      </x:c>
      <x:c r="E159" s="6" t="str">
        <x:v>2025-02</x:v>
      </x:c>
      <x:c r="F159" s="6" t="str">
        <x:v>292</x:v>
      </x:c>
      <x:c r="G159" s="6" t="str">
        <x:v>52</x:v>
      </x:c>
      <x:c r="H159" s="6" t="str">
        <x:v>167</x:v>
      </x:c>
      <x:c r="I159" s="6" t="str">
        <x:v>25</x:v>
      </x:c>
      <x:c r="J159" s="6" t="str">
        <x:v>18</x:v>
      </x:c>
      <x:c r="K159" s="6" t="str">
        <x:v>0</x:v>
      </x:c>
      <x:c r="L159" s="6" t="str">
        <x:v>0</x:v>
      </x:c>
      <x:c r="M159" s="6" t="str">
        <x:v>30</x:v>
      </x:c>
      <x:c r="N159" s="6" t="str">
        <x:v>292</x:v>
      </x:c>
      <x:c r="O159" s="6" t="str">
        <x:v>0</x:v>
      </x:c>
      <x:c r="P159" s="10" t="n">
        <x:f>F159-M159</x:f>
        <x:v>262</x:v>
      </x:c>
      <x:c r="Q159" s="11" t="n">
        <x:f>IFERROR(M159/F159,"")</x:f>
        <x:v>0.10273972602739725</x:v>
      </x:c>
      <x:c r="R159" s="10" t="n">
        <x:f>G159+H159</x:f>
        <x:v>219</x:v>
      </x:c>
      <x:c r="S159" s="11" t="n">
        <x:f>IFERROR(R159/F159,"")</x:f>
        <x:v>0.75</x:v>
      </x:c>
      <x:c r="T159" s="11" t="n">
        <x:f>IFERROR(R159/P159,"")</x:f>
        <x:v>0.8358778625954199</x:v>
      </x:c>
      <x:c r="U159" s="10" t="n">
        <x:f>I159+J159+K159</x:f>
        <x:v>43</x:v>
      </x:c>
      <x:c r="V159" s="11" t="n">
        <x:f>IFERROR(U159/P159,"")</x:f>
        <x:v>0.16412213740458015</x:v>
      </x:c>
      <x:c r="W159" s="9" t="str">
        <x:v>provisional_gt_5pct_pending</x:v>
      </x:c>
      <x:c r="X159" s="12" t="n">
        <x:f>IFERROR(F159/Z159*100000,"")</x:f>
        <x:v>13.657623947614594</x:v>
      </x:c>
      <x:c r="Y159" s="13" t="n">
        <x:f>LN(Z159)</x:f>
        <x:v>14.575381370567127</x:v>
      </x:c>
      <x:c r="Z159" s="6" t="str">
        <x:v>2138000</x:v>
      </x:c>
      <x:c r="AA159" s="6" t="str">
        <x:v>106.0</x:v>
      </x:c>
      <x:c r="AB159" s="9" t="str">
        <x:v>2025-06-30</x:v>
      </x:c>
      <x:c r="AC159" s="8" t="str">
        <x:v>85.75</x:v>
      </x:c>
      <x:c r="AD159" s="9" t="str">
        <x:v>2025 (Susenas)</x:v>
      </x:c>
      <x:c r="AE159" s="8" t="str">
        <x:v>12.08</x:v>
      </x:c>
      <x:c r="AF159" s="9" t="str">
        <x:v>Maret 2025 (Susenas)</x:v>
      </x:c>
      <x:c r="AG159" s="6" t="str">
        <x:v>24.669820296774468</x:v>
      </x:c>
      <x:c r="AH159" s="8" t="str">
        <x:v>86.85022023706885</x:v>
      </x:c>
      <x:c r="AI159" s="6" t="str">
        <x:v>228.62628938809956</x:v>
      </x:c>
      <x:c r="AJ159" s="6" t="str">
        <x:v>0.4143235868212613</x:v>
      </x:c>
      <x:c r="AK159" s="8" t="str">
        <x:v>0.9115206026762394</x:v>
      </x:c>
      <x:c r="AL159" s="6" t="str">
        <x:v>0.7244004439231452</x:v>
      </x:c>
      <x:c r="AM159" s="6" t="str">
        <x:v>1.1609081208582788</x:v>
      </x:c>
      <x:c r="AN159" s="6" t="str">
        <x:v>0.9322763891525546</x:v>
      </x:c>
      <x:c r="AO159" s="6" t="str">
        <x:v>-0.49079980006222</x:v>
      </x:c>
      <x:c r="AP159" s="8" t="str">
        <x:v>-0.355066544304309</x:v>
      </x:c>
      <x:c r="AQ159" s="6" t="str">
        <x:v>0.0114327514921396</x:v>
      </x:c>
      <x:c r="AR159" s="6" t="str">
        <x:v>-0.5159201925594917</x:v>
      </x:c>
      <x:c r="AS159" s="6" t="str">
        <x:v>-0.2865179951238861</x:v>
      </x:c>
      <x:c r="AT159" s="6" t="str">
        <x:v>6.683263451915195</x:v>
      </x:c>
      <x:c r="AU159" s="8" t="str">
        <x:v>0.0752834583543326</x:v>
      </x:c>
      <x:c r="AV159" s="6" t="str">
        <x:v>0.4621844754162283</x:v>
      </x:c>
      <x:c r="AW159" s="6" t="str">
        <x:v>0.1788118461716148</x:v>
      </x:c>
      <x:c r="AX159" s="6" t="str">
        <x:v>0.2387599266473919</x:v>
      </x:c>
      <x:c r="AY159" s="6" t="str">
        <x:v>0</x:v>
      </x:c>
      <x:c r="AZ159" s="6" t="str">
        <x:v>0</x:v>
      </x:c>
      <x:c r="BA159" s="9" t="str">
        <x:v>grid_cells_within_BIG_polygon</x:v>
      </x:c>
      <x:c r="BB159" s="6" t="str">
        <x:v>5</x:v>
      </x:c>
      <x:c r="BC159" s="6" t="str">
        <x:v>1</x:v>
      </x:c>
      <x:c r="BD159" s="6" t="str">
        <x:v>1</x:v>
      </x:c>
      <x:c r="BE159" s="6" t="str">
        <x:v>1</x:v>
      </x:c>
      <x:c r="BF159" s="6" t="str">
        <x:v>0</x:v>
      </x:c>
      <x:c r="BG159" s="6" t="str">
        <x:v>0</x:v>
      </x:c>
      <x:c r="BH159" s="6" t="str">
        <x:v>0</x:v>
      </x:c>
      <x:c r="BI159" s="6" t="str">
        <x:v>0</x:v>
      </x:c>
      <x:c r="BJ159" s="6" t="str">
        <x:v>0</x:v>
      </x:c>
      <x:c r="BK159" s="6" t="str">
        <x:v>0</x:v>
      </x:c>
      <x:c r="BL159" s="6" t="str">
        <x:v>0</x:v>
      </x:c>
      <x:c r="BM159" s="6" t="str">
        <x:v>0</x:v>
      </x:c>
      <x:c r="BN159" s="6" t="str">
        <x:v>1</x:v>
      </x:c>
      <x:c r="BO159" s="6" t="str">
        <x:v>0.0</x:v>
      </x:c>
      <x:c r="BP159" s="6" t="str">
        <x:v>1</x:v>
      </x:c>
      <x:c r="BQ159" s="6" t="str">
        <x:v>0.0</x:v>
      </x:c>
      <x:c r="BR159" s="6" t="str">
        <x:v>1</x:v>
      </x:c>
      <x:c r="BS159" s="6" t="str">
        <x:v>0.0</x:v>
      </x:c>
      <x:c r="BT159" s="6" t="str">
        <x:v>1</x:v>
      </x:c>
      <x:c r="BU159" s="6" t="str">
        <x:v>20.0</x:v>
      </x:c>
      <x:c r="BV159" s="6" t="str">
        <x:v>1</x:v>
      </x:c>
      <x:c r="BW159" s="9" t="str">
        <x:v>operational_snapshot_annual_totals_may_differ</x:v>
      </x:c>
      <x:c r="BX159" s="9" t="str">
        <x:v>official_live_dashboard_snapshot_subject_to_revision</x:v>
      </x:c>
      <x:c r="BY159" s="9" t="str">
        <x:v>https://tbdashboard.sitb.id/ss_data_tbc03so_2025_provinsi_bulanan_list.php</x:v>
      </x:c>
      <x:c r="BZ159" s="6" t="n">
        <x:v>46246.610671296294</x:v>
      </x:c>
    </x:row>
    <x:row r="160" ht="18" customHeight="1">
      <x:c r="A160" s="6" t="str">
        <x:v>17</x:v>
      </x:c>
      <x:c r="B160" s="6" t="str">
        <x:v>BENGKULU</x:v>
      </x:c>
      <x:c r="C160" s="6" t="str">
        <x:v>2025</x:v>
      </x:c>
      <x:c r="D160" s="6" t="str">
        <x:v>3</x:v>
      </x:c>
      <x:c r="E160" s="6" t="str">
        <x:v>2025-03</x:v>
      </x:c>
      <x:c r="F160" s="6" t="str">
        <x:v>245</x:v>
      </x:c>
      <x:c r="G160" s="6" t="str">
        <x:v>43</x:v>
      </x:c>
      <x:c r="H160" s="6" t="str">
        <x:v>137</x:v>
      </x:c>
      <x:c r="I160" s="6" t="str">
        <x:v>15</x:v>
      </x:c>
      <x:c r="J160" s="6" t="str">
        <x:v>13</x:v>
      </x:c>
      <x:c r="K160" s="6" t="str">
        <x:v>0</x:v>
      </x:c>
      <x:c r="L160" s="6" t="str">
        <x:v>0</x:v>
      </x:c>
      <x:c r="M160" s="6" t="str">
        <x:v>37</x:v>
      </x:c>
      <x:c r="N160" s="6" t="str">
        <x:v>245</x:v>
      </x:c>
      <x:c r="O160" s="6" t="str">
        <x:v>0</x:v>
      </x:c>
      <x:c r="P160" s="10" t="n">
        <x:f>F160-M160</x:f>
        <x:v>208</x:v>
      </x:c>
      <x:c r="Q160" s="11" t="n">
        <x:f>IFERROR(M160/F160,"")</x:f>
        <x:v>0.1510204081632653</x:v>
      </x:c>
      <x:c r="R160" s="10" t="n">
        <x:f>G160+H160</x:f>
        <x:v>180</x:v>
      </x:c>
      <x:c r="S160" s="11" t="n">
        <x:f>IFERROR(R160/F160,"")</x:f>
        <x:v>0.7346938775510204</x:v>
      </x:c>
      <x:c r="T160" s="11" t="n">
        <x:f>IFERROR(R160/P160,"")</x:f>
        <x:v>0.8653846153846154</x:v>
      </x:c>
      <x:c r="U160" s="10" t="n">
        <x:f>I160+J160+K160</x:f>
        <x:v>28</x:v>
      </x:c>
      <x:c r="V160" s="11" t="n">
        <x:f>IFERROR(U160/P160,"")</x:f>
        <x:v>0.1346153846153846</x:v>
      </x:c>
      <x:c r="W160" s="9" t="str">
        <x:v>provisional_gt_5pct_pending</x:v>
      </x:c>
      <x:c r="X160" s="12" t="n">
        <x:f>IFERROR(F160/Z160*100000,"")</x:f>
        <x:v>11.459307764265668</x:v>
      </x:c>
      <x:c r="Y160" s="13" t="n">
        <x:f>LN(Z160)</x:f>
        <x:v>14.575381370567127</x:v>
      </x:c>
      <x:c r="Z160" s="6" t="str">
        <x:v>2138000</x:v>
      </x:c>
      <x:c r="AA160" s="6" t="str">
        <x:v>106.0</x:v>
      </x:c>
      <x:c r="AB160" s="9" t="str">
        <x:v>2025-06-30</x:v>
      </x:c>
      <x:c r="AC160" s="8" t="str">
        <x:v>85.75</x:v>
      </x:c>
      <x:c r="AD160" s="9" t="str">
        <x:v>2025 (Susenas)</x:v>
      </x:c>
      <x:c r="AE160" s="8" t="str">
        <x:v>12.08</x:v>
      </x:c>
      <x:c r="AF160" s="9" t="str">
        <x:v>Maret 2025 (Susenas)</x:v>
      </x:c>
      <x:c r="AG160" s="6" t="str">
        <x:v>24.773787429522503</x:v>
      </x:c>
      <x:c r="AH160" s="8" t="str">
        <x:v>88.45196496058246</x:v>
      </x:c>
      <x:c r="AI160" s="6" t="str">
        <x:v>383.995164103273</x:v>
      </x:c>
      <x:c r="AJ160" s="6" t="str">
        <x:v>0.3505679288948009</x:v>
      </x:c>
      <x:c r="AK160" s="8" t="str">
        <x:v>0.7855978391401045</x:v>
      </x:c>
      <x:c r="AL160" s="6" t="str">
        <x:v>0.9115206026762394</x:v>
      </x:c>
      <x:c r="AM160" s="6" t="str">
        <x:v>0.7244004439231452</x:v>
      </x:c>
      <x:c r="AN160" s="6" t="str">
        <x:v>0.8071729619131633</x:v>
      </x:c>
      <x:c r="AO160" s="6" t="str">
        <x:v>1.1068487829535485</x:v>
      </x:c>
      <x:c r="AP160" s="8" t="str">
        <x:v>0.8636227270760257</x:v>
      </x:c>
      <x:c r="AQ160" s="6" t="str">
        <x:v>-0.355066544304309</x:v>
      </x:c>
      <x:c r="AR160" s="6" t="str">
        <x:v>0.0114327514921396</x:v>
      </x:c>
      <x:c r="AS160" s="6" t="str">
        <x:v>0.1733296447546197</x:v>
      </x:c>
      <x:c r="AT160" s="6" t="str">
        <x:v>144.29936877705163</x:v>
      </x:c>
      <x:c r="AU160" s="8" t="str">
        <x:v>1.507795720069142</x:v>
      </x:c>
      <x:c r="AV160" s="6" t="str">
        <x:v>0.0752834583543326</x:v>
      </x:c>
      <x:c r="AW160" s="6" t="str">
        <x:v>0.4621844754162283</x:v>
      </x:c>
      <x:c r="AX160" s="6" t="str">
        <x:v>0.681754551279901</x:v>
      </x:c>
      <x:c r="AY160" s="6" t="str">
        <x:v>1</x:v>
      </x:c>
      <x:c r="AZ160" s="6" t="str">
        <x:v>0</x:v>
      </x:c>
      <x:c r="BA160" s="9" t="str">
        <x:v>grid_cells_within_BIG_polygon</x:v>
      </x:c>
      <x:c r="BB160" s="6" t="str">
        <x:v>5</x:v>
      </x:c>
      <x:c r="BC160" s="6" t="str">
        <x:v>0</x:v>
      </x:c>
      <x:c r="BD160" s="6" t="str">
        <x:v>0</x:v>
      </x:c>
      <x:c r="BE160" s="6" t="str">
        <x:v>0</x:v>
      </x:c>
      <x:c r="BF160" s="6" t="str">
        <x:v>0</x:v>
      </x:c>
      <x:c r="BG160" s="6" t="str">
        <x:v>0</x:v>
      </x:c>
      <x:c r="BH160" s="6" t="str">
        <x:v>0</x:v>
      </x:c>
      <x:c r="BI160" s="6" t="str">
        <x:v>0</x:v>
      </x:c>
      <x:c r="BJ160" s="6" t="str">
        <x:v>0</x:v>
      </x:c>
      <x:c r="BK160" s="6" t="str">
        <x:v>0</x:v>
      </x:c>
      <x:c r="BL160" s="6" t="str">
        <x:v>0</x:v>
      </x:c>
      <x:c r="BM160" s="6" t="str">
        <x:v>0</x:v>
      </x:c>
      <x:c r="BN160" s="6" t="str">
        <x:v>0</x:v>
      </x:c>
      <x:c r="BO160" s="6" t="str"/>
      <x:c r="BP160" s="6" t="str">
        <x:v>0</x:v>
      </x:c>
      <x:c r="BQ160" s="6" t="str"/>
      <x:c r="BR160" s="6" t="str">
        <x:v>0</x:v>
      </x:c>
      <x:c r="BS160" s="6" t="str"/>
      <x:c r="BT160" s="6" t="str">
        <x:v>0</x:v>
      </x:c>
      <x:c r="BU160" s="6" t="str"/>
      <x:c r="BV160" s="6" t="str">
        <x:v>0</x:v>
      </x:c>
      <x:c r="BW160" s="9" t="str">
        <x:v>operational_snapshot_annual_totals_may_differ</x:v>
      </x:c>
      <x:c r="BX160" s="9" t="str">
        <x:v>official_live_dashboard_snapshot_subject_to_revision</x:v>
      </x:c>
      <x:c r="BY160" s="9" t="str">
        <x:v>https://tbdashboard.sitb.id/ss_data_tbc03so_2025_provinsi_bulanan_list.php</x:v>
      </x:c>
      <x:c r="BZ160" s="6" t="n">
        <x:v>46246.610671296294</x:v>
      </x:c>
    </x:row>
    <x:row r="161" ht="18" customHeight="1">
      <x:c r="A161" s="6" t="str">
        <x:v>17</x:v>
      </x:c>
      <x:c r="B161" s="6" t="str">
        <x:v>BENGKULU</x:v>
      </x:c>
      <x:c r="C161" s="6" t="str">
        <x:v>2025</x:v>
      </x:c>
      <x:c r="D161" s="6" t="str">
        <x:v>4</x:v>
      </x:c>
      <x:c r="E161" s="6" t="str">
        <x:v>2025-04</x:v>
      </x:c>
      <x:c r="F161" s="6" t="str">
        <x:v>259</x:v>
      </x:c>
      <x:c r="G161" s="6" t="str">
        <x:v>47</x:v>
      </x:c>
      <x:c r="H161" s="6" t="str">
        <x:v>136</x:v>
      </x:c>
      <x:c r="I161" s="6" t="str">
        <x:v>20</x:v>
      </x:c>
      <x:c r="J161" s="6" t="str">
        <x:v>30</x:v>
      </x:c>
      <x:c r="K161" s="6" t="str">
        <x:v>1</x:v>
      </x:c>
      <x:c r="L161" s="6" t="str">
        <x:v>1</x:v>
      </x:c>
      <x:c r="M161" s="6" t="str">
        <x:v>24</x:v>
      </x:c>
      <x:c r="N161" s="6" t="str">
        <x:v>259</x:v>
      </x:c>
      <x:c r="O161" s="6" t="str">
        <x:v>0</x:v>
      </x:c>
      <x:c r="P161" s="10" t="n">
        <x:f>F161-M161</x:f>
        <x:v>235</x:v>
      </x:c>
      <x:c r="Q161" s="11" t="n">
        <x:f>IFERROR(M161/F161,"")</x:f>
        <x:v>0.09266409266409266</x:v>
      </x:c>
      <x:c r="R161" s="10" t="n">
        <x:f>G161+H161</x:f>
        <x:v>183</x:v>
      </x:c>
      <x:c r="S161" s="11" t="n">
        <x:f>IFERROR(R161/F161,"")</x:f>
        <x:v>0.7065637065637066</x:v>
      </x:c>
      <x:c r="T161" s="11" t="n">
        <x:f>IFERROR(R161/P161,"")</x:f>
        <x:v>0.7787234042553192</x:v>
      </x:c>
      <x:c r="U161" s="10" t="n">
        <x:f>I161+J161+K161</x:f>
        <x:v>51</x:v>
      </x:c>
      <x:c r="V161" s="11" t="n">
        <x:f>IFERROR(U161/P161,"")</x:f>
        <x:v>0.2170212765957447</x:v>
      </x:c>
      <x:c r="W161" s="9" t="str">
        <x:v>provisional_gt_5pct_pending</x:v>
      </x:c>
      <x:c r="X161" s="12" t="n">
        <x:f>IFERROR(F161/Z161*100000,"")</x:f>
        <x:v>12.114125350795135</x:v>
      </x:c>
      <x:c r="Y161" s="13" t="n">
        <x:f>LN(Z161)</x:f>
        <x:v>14.575381370567127</x:v>
      </x:c>
      <x:c r="Z161" s="6" t="str">
        <x:v>2138000</x:v>
      </x:c>
      <x:c r="AA161" s="6" t="str">
        <x:v>106.0</x:v>
      </x:c>
      <x:c r="AB161" s="9" t="str">
        <x:v>2025-06-30</x:v>
      </x:c>
      <x:c r="AC161" s="8" t="str">
        <x:v>85.75</x:v>
      </x:c>
      <x:c r="AD161" s="9" t="str">
        <x:v>2025 (Susenas)</x:v>
      </x:c>
      <x:c r="AE161" s="8" t="str">
        <x:v>12.08</x:v>
      </x:c>
      <x:c r="AF161" s="9" t="str">
        <x:v>Maret 2025 (Susenas)</x:v>
      </x:c>
      <x:c r="AG161" s="6" t="str">
        <x:v>24.70178102459602</x:v>
      </x:c>
      <x:c r="AH161" s="8" t="str">
        <x:v>88.22019684693858</x:v>
      </x:c>
      <x:c r="AI161" s="6" t="str">
        <x:v>255.63783513861824</x:v>
      </x:c>
      <x:c r="AJ161" s="6" t="str">
        <x:v>0.0478680155261912</x:v>
      </x:c>
      <x:c r="AK161" s="8" t="str">
        <x:v>0.1067746629926791</x:v>
      </x:c>
      <x:c r="AL161" s="6" t="str">
        <x:v>0.7855978391401045</x:v>
      </x:c>
      <x:c r="AM161" s="6" t="str">
        <x:v>0.9115206026762394</x:v>
      </x:c>
      <x:c r="AN161" s="6" t="str">
        <x:v>0.601297701603008</x:v>
      </x:c>
      <x:c r="AO161" s="6" t="str">
        <x:v>0.1550052707868019</x:v>
      </x:c>
      <x:c r="AP161" s="8" t="str">
        <x:v>0.1696384717471711</x:v>
      </x:c>
      <x:c r="AQ161" s="6" t="str">
        <x:v>0.8636227270760257</x:v>
      </x:c>
      <x:c r="AR161" s="6" t="str">
        <x:v>-0.355066544304309</x:v>
      </x:c>
      <x:c r="AS161" s="6" t="str">
        <x:v>0.2260648848396302</x:v>
      </x:c>
      <x:c r="AT161" s="6" t="str">
        <x:v>17.974123805196598</x:v>
      </x:c>
      <x:c r="AU161" s="8" t="str">
        <x:v>0.2353220410699509</x:v>
      </x:c>
      <x:c r="AV161" s="6" t="str">
        <x:v>1.507795720069142</x:v>
      </x:c>
      <x:c r="AW161" s="6" t="str">
        <x:v>0.0752834583543326</x:v>
      </x:c>
      <x:c r="AX161" s="6" t="str">
        <x:v>0.6061337398311418</x:v>
      </x:c>
      <x:c r="AY161" s="6" t="str">
        <x:v>0</x:v>
      </x:c>
      <x:c r="AZ161" s="6" t="str">
        <x:v>0</x:v>
      </x:c>
      <x:c r="BA161" s="9" t="str">
        <x:v>grid_cells_within_BIG_polygon</x:v>
      </x:c>
      <x:c r="BB161" s="6" t="str">
        <x:v>5</x:v>
      </x:c>
      <x:c r="BC161" s="6" t="str">
        <x:v>0</x:v>
      </x:c>
      <x:c r="BD161" s="6" t="str">
        <x:v>0</x:v>
      </x:c>
      <x:c r="BE161" s="6" t="str">
        <x:v>0</x:v>
      </x:c>
      <x:c r="BF161" s="6" t="str">
        <x:v>0</x:v>
      </x:c>
      <x:c r="BG161" s="6" t="str">
        <x:v>0</x:v>
      </x:c>
      <x:c r="BH161" s="6" t="str">
        <x:v>0</x:v>
      </x:c>
      <x:c r="BI161" s="6" t="str">
        <x:v>0</x:v>
      </x:c>
      <x:c r="BJ161" s="6" t="str">
        <x:v>0</x:v>
      </x:c>
      <x:c r="BK161" s="6" t="str">
        <x:v>0</x:v>
      </x:c>
      <x:c r="BL161" s="6" t="str">
        <x:v>0</x:v>
      </x:c>
      <x:c r="BM161" s="6" t="str">
        <x:v>0</x:v>
      </x:c>
      <x:c r="BN161" s="6" t="str">
        <x:v>0</x:v>
      </x:c>
      <x:c r="BO161" s="6" t="str"/>
      <x:c r="BP161" s="6" t="str">
        <x:v>0</x:v>
      </x:c>
      <x:c r="BQ161" s="6" t="str"/>
      <x:c r="BR161" s="6" t="str">
        <x:v>0</x:v>
      </x:c>
      <x:c r="BS161" s="6" t="str"/>
      <x:c r="BT161" s="6" t="str">
        <x:v>0</x:v>
      </x:c>
      <x:c r="BU161" s="6" t="str"/>
      <x:c r="BV161" s="6" t="str">
        <x:v>0</x:v>
      </x:c>
      <x:c r="BW161" s="9" t="str">
        <x:v>operational_snapshot_annual_totals_may_differ</x:v>
      </x:c>
      <x:c r="BX161" s="9" t="str">
        <x:v>official_live_dashboard_snapshot_subject_to_revision</x:v>
      </x:c>
      <x:c r="BY161" s="9" t="str">
        <x:v>https://tbdashboard.sitb.id/ss_data_tbc03so_2025_provinsi_bulanan_list.php</x:v>
      </x:c>
      <x:c r="BZ161" s="6" t="n">
        <x:v>46246.610671296294</x:v>
      </x:c>
    </x:row>
    <x:row r="162" ht="18" customHeight="1">
      <x:c r="A162" s="6" t="str">
        <x:v>17</x:v>
      </x:c>
      <x:c r="B162" s="6" t="str">
        <x:v>BENGKULU</x:v>
      </x:c>
      <x:c r="C162" s="6" t="str">
        <x:v>2025</x:v>
      </x:c>
      <x:c r="D162" s="6" t="str">
        <x:v>5</x:v>
      </x:c>
      <x:c r="E162" s="6" t="str">
        <x:v>2025-05</x:v>
      </x:c>
      <x:c r="F162" s="6" t="str">
        <x:v>309</x:v>
      </x:c>
      <x:c r="G162" s="6" t="str">
        <x:v>43</x:v>
      </x:c>
      <x:c r="H162" s="6" t="str">
        <x:v>181</x:v>
      </x:c>
      <x:c r="I162" s="6" t="str">
        <x:v>23</x:v>
      </x:c>
      <x:c r="J162" s="6" t="str">
        <x:v>22</x:v>
      </x:c>
      <x:c r="K162" s="6" t="str">
        <x:v>0</x:v>
      </x:c>
      <x:c r="L162" s="6" t="str">
        <x:v>0</x:v>
      </x:c>
      <x:c r="M162" s="6" t="str">
        <x:v>40</x:v>
      </x:c>
      <x:c r="N162" s="6" t="str">
        <x:v>309</x:v>
      </x:c>
      <x:c r="O162" s="6" t="str">
        <x:v>0</x:v>
      </x:c>
      <x:c r="P162" s="10" t="n">
        <x:f>F162-M162</x:f>
        <x:v>269</x:v>
      </x:c>
      <x:c r="Q162" s="11" t="n">
        <x:f>IFERROR(M162/F162,"")</x:f>
        <x:v>0.12944983818770225</x:v>
      </x:c>
      <x:c r="R162" s="10" t="n">
        <x:f>G162+H162</x:f>
        <x:v>224</x:v>
      </x:c>
      <x:c r="S162" s="11" t="n">
        <x:f>IFERROR(R162/F162,"")</x:f>
        <x:v>0.7249190938511327</x:v>
      </x:c>
      <x:c r="T162" s="11" t="n">
        <x:f>IFERROR(R162/P162,"")</x:f>
        <x:v>0.8327137546468402</x:v>
      </x:c>
      <x:c r="U162" s="10" t="n">
        <x:f>I162+J162+K162</x:f>
        <x:v>45</x:v>
      </x:c>
      <x:c r="V162" s="11" t="n">
        <x:f>IFERROR(U162/P162,"")</x:f>
        <x:v>0.16728624535315986</x:v>
      </x:c>
      <x:c r="W162" s="9" t="str">
        <x:v>provisional_gt_5pct_pending</x:v>
      </x:c>
      <x:c r="X162" s="12" t="n">
        <x:f>IFERROR(F162/Z162*100000,"")</x:f>
        <x:v>14.452759588400374</x:v>
      </x:c>
      <x:c r="Y162" s="13" t="n">
        <x:f>LN(Z162)</x:f>
        <x:v>14.575381370567127</x:v>
      </x:c>
      <x:c r="Z162" s="6" t="str">
        <x:v>2138000</x:v>
      </x:c>
      <x:c r="AA162" s="6" t="str">
        <x:v>106.0</x:v>
      </x:c>
      <x:c r="AB162" s="9" t="str">
        <x:v>2025-06-30</x:v>
      </x:c>
      <x:c r="AC162" s="8" t="str">
        <x:v>85.75</x:v>
      </x:c>
      <x:c r="AD162" s="9" t="str">
        <x:v>2025 (Susenas)</x:v>
      </x:c>
      <x:c r="AE162" s="8" t="str">
        <x:v>12.08</x:v>
      </x:c>
      <x:c r="AF162" s="9" t="str">
        <x:v>Maret 2025 (Susenas)</x:v>
      </x:c>
      <x:c r="AG162" s="6" t="str">
        <x:v>25.08579307303806</x:v>
      </x:c>
      <x:c r="AH162" s="8" t="str">
        <x:v>87.27229709553202</x:v>
      </x:c>
      <x:c r="AI162" s="6" t="str">
        <x:v>166.1528482653126</x:v>
      </x:c>
      <x:c r="AJ162" s="6" t="str">
        <x:v>0.1191101712982067</x:v>
      </x:c>
      <x:c r="AK162" s="8" t="str">
        <x:v>0.368534381496732</x:v>
      </x:c>
      <x:c r="AL162" s="6" t="str">
        <x:v>0.1067746629926791</x:v>
      </x:c>
      <x:c r="AM162" s="6" t="str">
        <x:v>0.7855978391401045</x:v>
      </x:c>
      <x:c r="AN162" s="6" t="str">
        <x:v>0.4203022945431722</x:v>
      </x:c>
      <x:c r="AO162" s="6" t="str">
        <x:v>-0.0917919442605637</x:v>
      </x:c>
      <x:c r="AP162" s="8" t="str">
        <x:v>-0.0907220766457694</x:v>
      </x:c>
      <x:c r="AQ162" s="6" t="str">
        <x:v>0.1696384717471711</x:v>
      </x:c>
      <x:c r="AR162" s="6" t="str">
        <x:v>0.8636227270760257</x:v>
      </x:c>
      <x:c r="AS162" s="6" t="str">
        <x:v>0.3141797073924767</x:v>
      </x:c>
      <x:c r="AT162" s="6" t="str">
        <x:v>-7.523370261829882</x:v>
      </x:c>
      <x:c r="AU162" s="8" t="str">
        <x:v>-0.1002316238450467</x:v>
      </x:c>
      <x:c r="AV162" s="6" t="str">
        <x:v>0.2353220410699509</x:v>
      </x:c>
      <x:c r="AW162" s="6" t="str">
        <x:v>1.507795720069142</x:v>
      </x:c>
      <x:c r="AX162" s="6" t="str">
        <x:v>0.5476287124313487</x:v>
      </x:c>
      <x:c r="AY162" s="6" t="str">
        <x:v>0</x:v>
      </x:c>
      <x:c r="AZ162" s="6" t="str">
        <x:v>0</x:v>
      </x:c>
      <x:c r="BA162" s="9" t="str">
        <x:v>grid_cells_within_BIG_polygon</x:v>
      </x:c>
      <x:c r="BB162" s="6" t="str">
        <x:v>5</x:v>
      </x:c>
      <x:c r="BC162" s="6" t="str">
        <x:v>5</x:v>
      </x:c>
      <x:c r="BD162" s="6" t="str">
        <x:v>1</x:v>
      </x:c>
      <x:c r="BE162" s="6" t="str">
        <x:v>0</x:v>
      </x:c>
      <x:c r="BF162" s="6" t="str">
        <x:v>0</x:v>
      </x:c>
      <x:c r="BG162" s="6" t="str">
        <x:v>0</x:v>
      </x:c>
      <x:c r="BH162" s="6" t="str">
        <x:v>0</x:v>
      </x:c>
      <x:c r="BI162" s="6" t="str">
        <x:v>1</x:v>
      </x:c>
      <x:c r="BJ162" s="6" t="str">
        <x:v>0</x:v>
      </x:c>
      <x:c r="BK162" s="6" t="str">
        <x:v>4</x:v>
      </x:c>
      <x:c r="BL162" s="6" t="str">
        <x:v>0</x:v>
      </x:c>
      <x:c r="BM162" s="6" t="str">
        <x:v>0</x:v>
      </x:c>
      <x:c r="BN162" s="6" t="str">
        <x:v>5</x:v>
      </x:c>
      <x:c r="BO162" s="6" t="str">
        <x:v>0.0</x:v>
      </x:c>
      <x:c r="BP162" s="6" t="str">
        <x:v>5</x:v>
      </x:c>
      <x:c r="BQ162" s="6" t="str">
        <x:v>2.0</x:v>
      </x:c>
      <x:c r="BR162" s="6" t="str">
        <x:v>5</x:v>
      </x:c>
      <x:c r="BS162" s="6" t="str">
        <x:v>193.0</x:v>
      </x:c>
      <x:c r="BT162" s="6" t="str">
        <x:v>5</x:v>
      </x:c>
      <x:c r="BU162" s="6" t="str"/>
      <x:c r="BV162" s="6" t="str">
        <x:v>0</x:v>
      </x:c>
      <x:c r="BW162" s="9" t="str">
        <x:v>operational_snapshot_annual_totals_may_differ</x:v>
      </x:c>
      <x:c r="BX162" s="9" t="str">
        <x:v>official_live_dashboard_snapshot_subject_to_revision</x:v>
      </x:c>
      <x:c r="BY162" s="9" t="str">
        <x:v>https://tbdashboard.sitb.id/ss_data_tbc03so_2025_provinsi_bulanan_list.php</x:v>
      </x:c>
      <x:c r="BZ162" s="6" t="n">
        <x:v>46246.610671296294</x:v>
      </x:c>
    </x:row>
    <x:row r="163" ht="18" customHeight="1">
      <x:c r="A163" s="6" t="str">
        <x:v>17</x:v>
      </x:c>
      <x:c r="B163" s="6" t="str">
        <x:v>BENGKULU</x:v>
      </x:c>
      <x:c r="C163" s="6" t="str">
        <x:v>2025</x:v>
      </x:c>
      <x:c r="D163" s="6" t="str">
        <x:v>6</x:v>
      </x:c>
      <x:c r="E163" s="6" t="str">
        <x:v>2025-06</x:v>
      </x:c>
      <x:c r="F163" s="6" t="str">
        <x:v>285</x:v>
      </x:c>
      <x:c r="G163" s="6" t="str">
        <x:v>50</x:v>
      </x:c>
      <x:c r="H163" s="6" t="str">
        <x:v>164</x:v>
      </x:c>
      <x:c r="I163" s="6" t="str">
        <x:v>11</x:v>
      </x:c>
      <x:c r="J163" s="6" t="str">
        <x:v>29</x:v>
      </x:c>
      <x:c r="K163" s="6" t="str">
        <x:v>0</x:v>
      </x:c>
      <x:c r="L163" s="6" t="str">
        <x:v>0</x:v>
      </x:c>
      <x:c r="M163" s="6" t="str">
        <x:v>31</x:v>
      </x:c>
      <x:c r="N163" s="6" t="str">
        <x:v>285</x:v>
      </x:c>
      <x:c r="O163" s="6" t="str">
        <x:v>0</x:v>
      </x:c>
      <x:c r="P163" s="10" t="n">
        <x:f>F163-M163</x:f>
        <x:v>254</x:v>
      </x:c>
      <x:c r="Q163" s="11" t="n">
        <x:f>IFERROR(M163/F163,"")</x:f>
        <x:v>0.10877192982456141</x:v>
      </x:c>
      <x:c r="R163" s="10" t="n">
        <x:f>G163+H163</x:f>
        <x:v>214</x:v>
      </x:c>
      <x:c r="S163" s="11" t="n">
        <x:f>IFERROR(R163/F163,"")</x:f>
        <x:v>0.7508771929824561</x:v>
      </x:c>
      <x:c r="T163" s="11" t="n">
        <x:f>IFERROR(R163/P163,"")</x:f>
        <x:v>0.84251968503937</x:v>
      </x:c>
      <x:c r="U163" s="10" t="n">
        <x:f>I163+J163+K163</x:f>
        <x:v>40</x:v>
      </x:c>
      <x:c r="V163" s="11" t="n">
        <x:f>IFERROR(U163/P163,"")</x:f>
        <x:v>0.15748031496062992</x:v>
      </x:c>
      <x:c r="W163" s="9" t="str">
        <x:v>provisional_gt_5pct_pending</x:v>
      </x:c>
      <x:c r="X163" s="12" t="n">
        <x:f>IFERROR(F163/Z163*100000,"")</x:f>
        <x:v>13.33021515434986</x:v>
      </x:c>
      <x:c r="Y163" s="13" t="n">
        <x:f>LN(Z163)</x:f>
        <x:v>14.575381370567127</x:v>
      </x:c>
      <x:c r="Z163" s="6" t="str">
        <x:v>2138000</x:v>
      </x:c>
      <x:c r="AA163" s="6" t="str">
        <x:v>106.0</x:v>
      </x:c>
      <x:c r="AB163" s="9" t="str">
        <x:v>2025-06-30</x:v>
      </x:c>
      <x:c r="AC163" s="8" t="str">
        <x:v>85.75</x:v>
      </x:c>
      <x:c r="AD163" s="9" t="str">
        <x:v>2025 (Susenas)</x:v>
      </x:c>
      <x:c r="AE163" s="8" t="str">
        <x:v>12.08</x:v>
      </x:c>
      <x:c r="AF163" s="9" t="str">
        <x:v>Maret 2025 (Susenas)</x:v>
      </x:c>
      <x:c r="AG163" s="6" t="str">
        <x:v>24.67577500609829</x:v>
      </x:c>
      <x:c r="AH163" s="8" t="str">
        <x:v>86.29258311534178</x:v>
      </x:c>
      <x:c r="AI163" s="6" t="str">
        <x:v>154.3658908903128</x:v>
      </x:c>
      <x:c r="AJ163" s="6" t="str">
        <x:v>0.0933904778100895</x:v>
      </x:c>
      <x:c r="AK163" s="8" t="str">
        <x:v>0.3091394429295552</x:v>
      </x:c>
      <x:c r="AL163" s="6" t="str">
        <x:v>0.368534381496732</x:v>
      </x:c>
      <x:c r="AM163" s="6" t="str">
        <x:v>0.1067746629926791</x:v>
      </x:c>
      <x:c r="AN163" s="6" t="str">
        <x:v>0.2614828291396557</x:v>
      </x:c>
      <x:c r="AO163" s="6" t="str">
        <x:v>-0.1174447576753152</x:v>
      </x:c>
      <x:c r="AP163" s="8" t="str">
        <x:v>-0.0648549582195772</x:v>
      </x:c>
      <x:c r="AQ163" s="6" t="str">
        <x:v>-0.0907220766457694</x:v>
      </x:c>
      <x:c r="AR163" s="6" t="str">
        <x:v>0.1696384717471711</x:v>
      </x:c>
      <x:c r="AS163" s="6" t="str">
        <x:v>0.0046871456272757</x:v>
      </x:c>
      <x:c r="AT163" s="6" t="str">
        <x:v>26.64690146828039</x:v>
      </x:c>
      <x:c r="AU163" s="8" t="str">
        <x:v>0.3776172623028018</x:v>
      </x:c>
      <x:c r="AV163" s="6" t="str">
        <x:v>-0.1002316238450467</x:v>
      </x:c>
      <x:c r="AW163" s="6" t="str">
        <x:v>0.2353220410699509</x:v>
      </x:c>
      <x:c r="AX163" s="6" t="str">
        <x:v>0.1709025598425686</x:v>
      </x:c>
      <x:c r="AY163" s="6" t="str">
        <x:v>0</x:v>
      </x:c>
      <x:c r="AZ163" s="6" t="str">
        <x:v>0</x:v>
      </x:c>
      <x:c r="BA163" s="9" t="str">
        <x:v>grid_cells_within_BIG_polygon</x:v>
      </x:c>
      <x:c r="BB163" s="6" t="str">
        <x:v>5</x:v>
      </x:c>
      <x:c r="BC163" s="6" t="str">
        <x:v>0</x:v>
      </x:c>
      <x:c r="BD163" s="6" t="str">
        <x:v>0</x:v>
      </x:c>
      <x:c r="BE163" s="6" t="str">
        <x:v>0</x:v>
      </x:c>
      <x:c r="BF163" s="6" t="str">
        <x:v>0</x:v>
      </x:c>
      <x:c r="BG163" s="6" t="str">
        <x:v>0</x:v>
      </x:c>
      <x:c r="BH163" s="6" t="str">
        <x:v>0</x:v>
      </x:c>
      <x:c r="BI163" s="6" t="str">
        <x:v>0</x:v>
      </x:c>
      <x:c r="BJ163" s="6" t="str">
        <x:v>0</x:v>
      </x:c>
      <x:c r="BK163" s="6" t="str">
        <x:v>0</x:v>
      </x:c>
      <x:c r="BL163" s="6" t="str">
        <x:v>0</x:v>
      </x:c>
      <x:c r="BM163" s="6" t="str">
        <x:v>0</x:v>
      </x:c>
      <x:c r="BN163" s="6" t="str">
        <x:v>0</x:v>
      </x:c>
      <x:c r="BO163" s="6" t="str"/>
      <x:c r="BP163" s="6" t="str">
        <x:v>0</x:v>
      </x:c>
      <x:c r="BQ163" s="6" t="str"/>
      <x:c r="BR163" s="6" t="str">
        <x:v>0</x:v>
      </x:c>
      <x:c r="BS163" s="6" t="str"/>
      <x:c r="BT163" s="6" t="str">
        <x:v>0</x:v>
      </x:c>
      <x:c r="BU163" s="6" t="str"/>
      <x:c r="BV163" s="6" t="str">
        <x:v>0</x:v>
      </x:c>
      <x:c r="BW163" s="9" t="str">
        <x:v>operational_snapshot_annual_totals_may_differ</x:v>
      </x:c>
      <x:c r="BX163" s="9" t="str">
        <x:v>official_live_dashboard_snapshot_subject_to_revision</x:v>
      </x:c>
      <x:c r="BY163" s="9" t="str">
        <x:v>https://tbdashboard.sitb.id/ss_data_tbc03so_2025_provinsi_bulanan_list.php</x:v>
      </x:c>
      <x:c r="BZ163" s="6" t="n">
        <x:v>46246.610671296294</x:v>
      </x:c>
    </x:row>
    <x:row r="164" ht="18" customHeight="1">
      <x:c r="A164" s="6" t="str">
        <x:v>17</x:v>
      </x:c>
      <x:c r="B164" s="6" t="str">
        <x:v>BENGKULU</x:v>
      </x:c>
      <x:c r="C164" s="6" t="str">
        <x:v>2025</x:v>
      </x:c>
      <x:c r="D164" s="6" t="str">
        <x:v>7</x:v>
      </x:c>
      <x:c r="E164" s="6" t="str">
        <x:v>2025-07</x:v>
      </x:c>
      <x:c r="F164" s="6" t="str">
        <x:v>297</x:v>
      </x:c>
      <x:c r="G164" s="6" t="str">
        <x:v>41</x:v>
      </x:c>
      <x:c r="H164" s="6" t="str">
        <x:v>158</x:v>
      </x:c>
      <x:c r="I164" s="6" t="str">
        <x:v>19</x:v>
      </x:c>
      <x:c r="J164" s="6" t="str">
        <x:v>30</x:v>
      </x:c>
      <x:c r="K164" s="6" t="str">
        <x:v>0</x:v>
      </x:c>
      <x:c r="L164" s="6" t="str">
        <x:v>0</x:v>
      </x:c>
      <x:c r="M164" s="6" t="str">
        <x:v>49</x:v>
      </x:c>
      <x:c r="N164" s="6" t="str">
        <x:v>297</x:v>
      </x:c>
      <x:c r="O164" s="6" t="str">
        <x:v>0</x:v>
      </x:c>
      <x:c r="P164" s="10" t="n">
        <x:f>F164-M164</x:f>
        <x:v>248</x:v>
      </x:c>
      <x:c r="Q164" s="11" t="n">
        <x:f>IFERROR(M164/F164,"")</x:f>
        <x:v>0.16498316498316498</x:v>
      </x:c>
      <x:c r="R164" s="10" t="n">
        <x:f>G164+H164</x:f>
        <x:v>199</x:v>
      </x:c>
      <x:c r="S164" s="11" t="n">
        <x:f>IFERROR(R164/F164,"")</x:f>
        <x:v>0.67003367003367</x:v>
      </x:c>
      <x:c r="T164" s="11" t="n">
        <x:f>IFERROR(R164/P164,"")</x:f>
        <x:v>0.8024193548387096</x:v>
      </x:c>
      <x:c r="U164" s="10" t="n">
        <x:f>I164+J164+K164</x:f>
        <x:v>49</x:v>
      </x:c>
      <x:c r="V164" s="11" t="n">
        <x:f>IFERROR(U164/P164,"")</x:f>
        <x:v>0.1975806451612903</x:v>
      </x:c>
      <x:c r="W164" s="9" t="str">
        <x:v>provisional_gt_5pct_pending</x:v>
      </x:c>
      <x:c r="X164" s="12" t="n">
        <x:f>IFERROR(F164/Z164*100000,"")</x:f>
        <x:v>13.891487371375115</x:v>
      </x:c>
      <x:c r="Y164" s="13" t="n">
        <x:f>LN(Z164)</x:f>
        <x:v>14.575381370567127</x:v>
      </x:c>
      <x:c r="Z164" s="6" t="str">
        <x:v>2138000</x:v>
      </x:c>
      <x:c r="AA164" s="6" t="str">
        <x:v>106.0</x:v>
      </x:c>
      <x:c r="AB164" s="9" t="str">
        <x:v>2025-06-30</x:v>
      </x:c>
      <x:c r="AC164" s="8" t="str">
        <x:v>85.75</x:v>
      </x:c>
      <x:c r="AD164" s="9" t="str">
        <x:v>2025 (Susenas)</x:v>
      </x:c>
      <x:c r="AE164" s="8" t="str">
        <x:v>12.08</x:v>
      </x:c>
      <x:c r="AF164" s="9" t="str">
        <x:v>Maret 2025 (Susenas)</x:v>
      </x:c>
      <x:c r="AG164" s="6" t="str">
        <x:v>24.54975136842372</x:v>
      </x:c>
      <x:c r="AH164" s="8" t="str">
        <x:v>86.9204823089533</x:v>
      </x:c>
      <x:c r="AI164" s="6" t="str">
        <x:v>185.55700669276436</x:v>
      </x:c>
      <x:c r="AJ164" s="6" t="str">
        <x:v>0.3394631791827045</x:v>
      </x:c>
      <x:c r="AK164" s="8" t="str">
        <x:v>1.2394215895749934</x:v>
      </x:c>
      <x:c r="AL164" s="6" t="str">
        <x:v>0.3091394429295552</x:v>
      </x:c>
      <x:c r="AM164" s="6" t="str">
        <x:v>0.368534381496732</x:v>
      </x:c>
      <x:c r="AN164" s="6" t="str">
        <x:v>0.6390318046670939</x:v>
      </x:c>
      <x:c r="AO164" s="6" t="str">
        <x:v>1.021330488460947</x:v>
      </x:c>
      <x:c r="AP164" s="8" t="str">
        <x:v>0.529033284466286</x:v>
      </x:c>
      <x:c r="AQ164" s="6" t="str">
        <x:v>-0.0648549582195772</x:v>
      </x:c>
      <x:c r="AR164" s="6" t="str">
        <x:v>-0.0907220766457694</x:v>
      </x:c>
      <x:c r="AS164" s="6" t="str">
        <x:v>0.1244854165336473</x:v>
      </x:c>
      <x:c r="AT164" s="6" t="str">
        <x:v>50.38836990182341</x:v>
      </x:c>
      <x:c r="AU164" s="8" t="str">
        <x:v>0.7207748136170822</x:v>
      </x:c>
      <x:c r="AV164" s="6" t="str">
        <x:v>0.3776172623028018</x:v>
      </x:c>
      <x:c r="AW164" s="6" t="str">
        <x:v>-0.1002316238450467</x:v>
      </x:c>
      <x:c r="AX164" s="6" t="str">
        <x:v>0.3327201506916123</x:v>
      </x:c>
      <x:c r="AY164" s="6" t="str">
        <x:v>0</x:v>
      </x:c>
      <x:c r="AZ164" s="6" t="str">
        <x:v>1</x:v>
      </x:c>
      <x:c r="BA164" s="9" t="str">
        <x:v>grid_cells_within_BIG_polygon</x:v>
      </x:c>
      <x:c r="BB164" s="6" t="str">
        <x:v>5</x:v>
      </x:c>
      <x:c r="BC164" s="6" t="str">
        <x:v>2</x:v>
      </x:c>
      <x:c r="BD164" s="6" t="str">
        <x:v>2</x:v>
      </x:c>
      <x:c r="BE164" s="6" t="str">
        <x:v>1</x:v>
      </x:c>
      <x:c r="BF164" s="6" t="str">
        <x:v>0</x:v>
      </x:c>
      <x:c r="BG164" s="6" t="str">
        <x:v>0</x:v>
      </x:c>
      <x:c r="BH164" s="6" t="str">
        <x:v>0</x:v>
      </x:c>
      <x:c r="BI164" s="6" t="str">
        <x:v>1</x:v>
      </x:c>
      <x:c r="BJ164" s="6" t="str">
        <x:v>0</x:v>
      </x:c>
      <x:c r="BK164" s="6" t="str">
        <x:v>0</x:v>
      </x:c>
      <x:c r="BL164" s="6" t="str">
        <x:v>0</x:v>
      </x:c>
      <x:c r="BM164" s="6" t="str">
        <x:v>0</x:v>
      </x:c>
      <x:c r="BN164" s="6" t="str">
        <x:v>2</x:v>
      </x:c>
      <x:c r="BO164" s="6" t="str"/>
      <x:c r="BP164" s="6" t="str">
        <x:v>0</x:v>
      </x:c>
      <x:c r="BQ164" s="6" t="str"/>
      <x:c r="BR164" s="6" t="str">
        <x:v>0</x:v>
      </x:c>
      <x:c r="BS164" s="6" t="str">
        <x:v>0.0</x:v>
      </x:c>
      <x:c r="BT164" s="6" t="str">
        <x:v>2</x:v>
      </x:c>
      <x:c r="BU164" s="6" t="str">
        <x:v>385.0</x:v>
      </x:c>
      <x:c r="BV164" s="6" t="str">
        <x:v>1</x:v>
      </x:c>
      <x:c r="BW164" s="9" t="str">
        <x:v>operational_snapshot_annual_totals_may_differ</x:v>
      </x:c>
      <x:c r="BX164" s="9" t="str">
        <x:v>official_live_dashboard_snapshot_subject_to_revision</x:v>
      </x:c>
      <x:c r="BY164" s="9" t="str">
        <x:v>https://tbdashboard.sitb.id/ss_data_tbc03so_2025_provinsi_bulanan_list.php</x:v>
      </x:c>
      <x:c r="BZ164" s="6" t="n">
        <x:v>46246.610671296294</x:v>
      </x:c>
    </x:row>
    <x:row r="165" ht="18" customHeight="1">
      <x:c r="A165" s="6" t="str">
        <x:v>17</x:v>
      </x:c>
      <x:c r="B165" s="6" t="str">
        <x:v>BENGKULU</x:v>
      </x:c>
      <x:c r="C165" s="6" t="str">
        <x:v>2025</x:v>
      </x:c>
      <x:c r="D165" s="6" t="str">
        <x:v>8</x:v>
      </x:c>
      <x:c r="E165" s="6" t="str">
        <x:v>2025-08</x:v>
      </x:c>
      <x:c r="F165" s="6" t="str">
        <x:v>340</x:v>
      </x:c>
      <x:c r="G165" s="6" t="str">
        <x:v>49</x:v>
      </x:c>
      <x:c r="H165" s="6" t="str">
        <x:v>165</x:v>
      </x:c>
      <x:c r="I165" s="6" t="str">
        <x:v>16</x:v>
      </x:c>
      <x:c r="J165" s="6" t="str">
        <x:v>25</x:v>
      </x:c>
      <x:c r="K165" s="6" t="str">
        <x:v>0</x:v>
      </x:c>
      <x:c r="L165" s="6" t="str">
        <x:v>1</x:v>
      </x:c>
      <x:c r="M165" s="6" t="str">
        <x:v>84</x:v>
      </x:c>
      <x:c r="N165" s="6" t="str">
        <x:v>340</x:v>
      </x:c>
      <x:c r="O165" s="6" t="str">
        <x:v>0</x:v>
      </x:c>
      <x:c r="P165" s="10" t="n">
        <x:f>F165-M165</x:f>
        <x:v>256</x:v>
      </x:c>
      <x:c r="Q165" s="11" t="n">
        <x:f>IFERROR(M165/F165,"")</x:f>
        <x:v>0.24705882352941178</x:v>
      </x:c>
      <x:c r="R165" s="10" t="n">
        <x:f>G165+H165</x:f>
        <x:v>214</x:v>
      </x:c>
      <x:c r="S165" s="11" t="n">
        <x:f>IFERROR(R165/F165,"")</x:f>
        <x:v>0.6294117647058823</x:v>
      </x:c>
      <x:c r="T165" s="11" t="n">
        <x:f>IFERROR(R165/P165,"")</x:f>
        <x:v>0.8359375</x:v>
      </x:c>
      <x:c r="U165" s="10" t="n">
        <x:f>I165+J165+K165</x:f>
        <x:v>41</x:v>
      </x:c>
      <x:c r="V165" s="11" t="n">
        <x:f>IFERROR(U165/P165,"")</x:f>
        <x:v>0.16015625</x:v>
      </x:c>
      <x:c r="W165" s="9" t="str">
        <x:v>provisional_gt_5pct_pending</x:v>
      </x:c>
      <x:c r="X165" s="12" t="n">
        <x:f>IFERROR(F165/Z165*100000,"")</x:f>
        <x:v>15.902712815715622</x:v>
      </x:c>
      <x:c r="Y165" s="13" t="n">
        <x:f>LN(Z165)</x:f>
        <x:v>14.575381370567127</x:v>
      </x:c>
      <x:c r="Z165" s="6" t="str">
        <x:v>2138000</x:v>
      </x:c>
      <x:c r="AA165" s="6" t="str">
        <x:v>106.0</x:v>
      </x:c>
      <x:c r="AB165" s="9" t="str">
        <x:v>2025-06-30</x:v>
      </x:c>
      <x:c r="AC165" s="8" t="str">
        <x:v>85.75</x:v>
      </x:c>
      <x:c r="AD165" s="9" t="str">
        <x:v>2025 (Susenas)</x:v>
      </x:c>
      <x:c r="AE165" s="8" t="str">
        <x:v>12.08</x:v>
      </x:c>
      <x:c r="AF165" s="9" t="str">
        <x:v>Maret 2025 (Susenas)</x:v>
      </x:c>
      <x:c r="AG165" s="6" t="str">
        <x:v>24.337744428970986</x:v>
      </x:c>
      <x:c r="AH165" s="8" t="str">
        <x:v>86.51201494744879</x:v>
      </x:c>
      <x:c r="AI165" s="6" t="str">
        <x:v>491.7467634210475</x:v>
      </x:c>
      <x:c r="AJ165" s="6" t="str">
        <x:v>0.0549562687317397</x:v>
      </x:c>
      <x:c r="AK165" s="8" t="str">
        <x:v>0.1693479623531036</x:v>
      </x:c>
      <x:c r="AL165" s="6" t="str">
        <x:v>1.2394215895749934</x:v>
      </x:c>
      <x:c r="AM165" s="6" t="str">
        <x:v>0.3091394429295552</x:v>
      </x:c>
      <x:c r="AN165" s="6" t="str">
        <x:v>0.5726363316192177</x:v>
      </x:c>
      <x:c r="AO165" s="6" t="str">
        <x:v>2.191862612978369</x:v>
      </x:c>
      <x:c r="AP165" s="8" t="str">
        <x:v>0.7719825037450622</x:v>
      </x:c>
      <x:c r="AQ165" s="6" t="str">
        <x:v>0.529033284466286</x:v>
      </x:c>
      <x:c r="AR165" s="6" t="str">
        <x:v>-0.0648549582195772</x:v>
      </x:c>
      <x:c r="AS165" s="6" t="str">
        <x:v>0.4120536099972579</x:v>
      </x:c>
      <x:c r="AT165" s="6" t="str">
        <x:v>352.0841196826809</x:v>
      </x:c>
      <x:c r="AU165" s="8" t="str">
        <x:v>3.837953771815626</x:v>
      </x:c>
      <x:c r="AV165" s="6" t="str">
        <x:v>0.7207748136170822</x:v>
      </x:c>
      <x:c r="AW165" s="6" t="str">
        <x:v>0.3776172623028018</x:v>
      </x:c>
      <x:c r="AX165" s="6" t="str">
        <x:v>1.6454486159118364</x:v>
      </x:c>
      <x:c r="AY165" s="6" t="str">
        <x:v>1</x:v>
      </x:c>
      <x:c r="AZ165" s="6" t="str">
        <x:v>0</x:v>
      </x:c>
      <x:c r="BA165" s="9" t="str">
        <x:v>grid_cells_within_BIG_polygon</x:v>
      </x:c>
      <x:c r="BB165" s="6" t="str">
        <x:v>5</x:v>
      </x:c>
      <x:c r="BC165" s="6" t="str">
        <x:v>5</x:v>
      </x:c>
      <x:c r="BD165" s="6" t="str">
        <x:v>5</x:v>
      </x:c>
      <x:c r="BE165" s="6" t="str">
        <x:v>4</x:v>
      </x:c>
      <x:c r="BF165" s="6" t="str">
        <x:v>1</x:v>
      </x:c>
      <x:c r="BG165" s="6" t="str">
        <x:v>0</x:v>
      </x:c>
      <x:c r="BH165" s="6" t="str">
        <x:v>0</x:v>
      </x:c>
      <x:c r="BI165" s="6" t="str">
        <x:v>0</x:v>
      </x:c>
      <x:c r="BJ165" s="6" t="str">
        <x:v>0</x:v>
      </x:c>
      <x:c r="BK165" s="6" t="str">
        <x:v>0</x:v>
      </x:c>
      <x:c r="BL165" s="6" t="str">
        <x:v>0</x:v>
      </x:c>
      <x:c r="BM165" s="6" t="str">
        <x:v>0</x:v>
      </x:c>
      <x:c r="BN165" s="6" t="str">
        <x:v>5</x:v>
      </x:c>
      <x:c r="BO165" s="6" t="str"/>
      <x:c r="BP165" s="6" t="str">
        <x:v>0</x:v>
      </x:c>
      <x:c r="BQ165" s="6" t="str"/>
      <x:c r="BR165" s="6" t="str">
        <x:v>0</x:v>
      </x:c>
      <x:c r="BS165" s="6" t="str">
        <x:v>0.0</x:v>
      </x:c>
      <x:c r="BT165" s="6" t="str">
        <x:v>5</x:v>
      </x:c>
      <x:c r="BU165" s="6" t="str">
        <x:v>621.0</x:v>
      </x:c>
      <x:c r="BV165" s="6" t="str">
        <x:v>4</x:v>
      </x:c>
      <x:c r="BW165" s="9" t="str">
        <x:v>operational_snapshot_annual_totals_may_differ</x:v>
      </x:c>
      <x:c r="BX165" s="9" t="str">
        <x:v>official_live_dashboard_snapshot_subject_to_revision</x:v>
      </x:c>
      <x:c r="BY165" s="9" t="str">
        <x:v>https://tbdashboard.sitb.id/ss_data_tbc03so_2025_provinsi_bulanan_list.php</x:v>
      </x:c>
      <x:c r="BZ165" s="6" t="n">
        <x:v>46246.610671296294</x:v>
      </x:c>
    </x:row>
    <x:row r="166" ht="18" customHeight="1">
      <x:c r="A166" s="6" t="str">
        <x:v>17</x:v>
      </x:c>
      <x:c r="B166" s="6" t="str">
        <x:v>BENGKULU</x:v>
      </x:c>
      <x:c r="C166" s="6" t="str">
        <x:v>2025</x:v>
      </x:c>
      <x:c r="D166" s="6" t="str">
        <x:v>9</x:v>
      </x:c>
      <x:c r="E166" s="6" t="str">
        <x:v>2025-09</x:v>
      </x:c>
      <x:c r="F166" s="6" t="str">
        <x:v>362</x:v>
      </x:c>
      <x:c r="G166" s="6" t="str">
        <x:v>57</x:v>
      </x:c>
      <x:c r="H166" s="6" t="str">
        <x:v>161</x:v>
      </x:c>
      <x:c r="I166" s="6" t="str">
        <x:v>21</x:v>
      </x:c>
      <x:c r="J166" s="6" t="str">
        <x:v>28</x:v>
      </x:c>
      <x:c r="K166" s="6" t="str">
        <x:v>0</x:v>
      </x:c>
      <x:c r="L166" s="6" t="str">
        <x:v>3</x:v>
      </x:c>
      <x:c r="M166" s="6" t="str">
        <x:v>92</x:v>
      </x:c>
      <x:c r="N166" s="6" t="str">
        <x:v>362</x:v>
      </x:c>
      <x:c r="O166" s="6" t="str">
        <x:v>0</x:v>
      </x:c>
      <x:c r="P166" s="10" t="n">
        <x:f>F166-M166</x:f>
        <x:v>270</x:v>
      </x:c>
      <x:c r="Q166" s="11" t="n">
        <x:f>IFERROR(M166/F166,"")</x:f>
        <x:v>0.2541436464088398</x:v>
      </x:c>
      <x:c r="R166" s="10" t="n">
        <x:f>G166+H166</x:f>
        <x:v>218</x:v>
      </x:c>
      <x:c r="S166" s="11" t="n">
        <x:f>IFERROR(R166/F166,"")</x:f>
        <x:v>0.6022099447513812</x:v>
      </x:c>
      <x:c r="T166" s="11" t="n">
        <x:f>IFERROR(R166/P166,"")</x:f>
        <x:v>0.8074074074074075</x:v>
      </x:c>
      <x:c r="U166" s="10" t="n">
        <x:f>I166+J166+K166</x:f>
        <x:v>49</x:v>
      </x:c>
      <x:c r="V166" s="11" t="n">
        <x:f>IFERROR(U166/P166,"")</x:f>
        <x:v>0.1814814814814815</x:v>
      </x:c>
      <x:c r="W166" s="9" t="str">
        <x:v>provisional_gt_5pct_pending</x:v>
      </x:c>
      <x:c r="X166" s="12" t="n">
        <x:f>IFERROR(F166/Z166*100000,"")</x:f>
        <x:v>16.931711880261926</x:v>
      </x:c>
      <x:c r="Y166" s="13" t="n">
        <x:f>LN(Z166)</x:f>
        <x:v>14.575381370567127</x:v>
      </x:c>
      <x:c r="Z166" s="6" t="str">
        <x:v>2138000</x:v>
      </x:c>
      <x:c r="AA166" s="6" t="str">
        <x:v>106.0</x:v>
      </x:c>
      <x:c r="AB166" s="9" t="str">
        <x:v>2025-06-30</x:v>
      </x:c>
      <x:c r="AC166" s="8" t="str">
        <x:v>85.75</x:v>
      </x:c>
      <x:c r="AD166" s="9" t="str">
        <x:v>2025 (Susenas)</x:v>
      </x:c>
      <x:c r="AE166" s="8" t="str">
        <x:v>12.08</x:v>
      </x:c>
      <x:c r="AF166" s="9" t="str">
        <x:v>Maret 2025 (Susenas)</x:v>
      </x:c>
      <x:c r="AG166" s="6" t="str">
        <x:v>24.557660473329307</x:v>
      </x:c>
      <x:c r="AH166" s="8" t="str">
        <x:v>87.2125477420486</x:v>
      </x:c>
      <x:c r="AI166" s="6" t="str">
        <x:v>471.54089256388704</x:v>
      </x:c>
      <x:c r="AJ166" s="6" t="str">
        <x:v>0.1758229382752958</x:v>
      </x:c>
      <x:c r="AK166" s="8" t="str">
        <x:v>0.4314535382328612</x:v>
      </x:c>
      <x:c r="AL166" s="6" t="str">
        <x:v>0.1693479623531036</x:v>
      </x:c>
      <x:c r="AM166" s="6" t="str">
        <x:v>1.2394215895749934</x:v>
      </x:c>
      <x:c r="AN166" s="6" t="str">
        <x:v>0.6134076967203197</x:v>
      </x:c>
      <x:c r="AO166" s="6" t="str">
        <x:v>3.3624586361947166</x:v>
      </x:c>
      <x:c r="AP166" s="8" t="str">
        <x:v>0.9097126308504284</x:v>
      </x:c>
      <x:c r="AQ166" s="6" t="str">
        <x:v>0.7719825037450622</x:v>
      </x:c>
      <x:c r="AR166" s="6" t="str">
        <x:v>0.529033284466286</x:v>
      </x:c>
      <x:c r="AS166" s="6" t="str">
        <x:v>0.7369094730205931</x:v>
      </x:c>
      <x:c r="AT166" s="6" t="str">
        <x:v>319.7845593526543</x:v>
      </x:c>
      <x:c r="AU166" s="8" t="str">
        <x:v>3.459491850447505</x:v>
      </x:c>
      <x:c r="AV166" s="6" t="str">
        <x:v>3.837953771815626</x:v>
      </x:c>
      <x:c r="AW166" s="6" t="str">
        <x:v>0.7207748136170822</x:v>
      </x:c>
      <x:c r="AX166" s="6" t="str">
        <x:v>2.6727401452934045</x:v>
      </x:c>
      <x:c r="AY166" s="6" t="str">
        <x:v>1</x:v>
      </x:c>
      <x:c r="AZ166" s="6" t="str">
        <x:v>0</x:v>
      </x:c>
      <x:c r="BA166" s="9" t="str">
        <x:v>grid_cells_within_BIG_polygon</x:v>
      </x:c>
      <x:c r="BB166" s="6" t="str">
        <x:v>5</x:v>
      </x:c>
      <x:c r="BC166" s="6" t="str">
        <x:v>2</x:v>
      </x:c>
      <x:c r="BD166" s="6" t="str">
        <x:v>2</x:v>
      </x:c>
      <x:c r="BE166" s="6" t="str">
        <x:v>2</x:v>
      </x:c>
      <x:c r="BF166" s="6" t="str">
        <x:v>0</x:v>
      </x:c>
      <x:c r="BG166" s="6" t="str">
        <x:v>0</x:v>
      </x:c>
      <x:c r="BH166" s="6" t="str">
        <x:v>0</x:v>
      </x:c>
      <x:c r="BI166" s="6" t="str">
        <x:v>0</x:v>
      </x:c>
      <x:c r="BJ166" s="6" t="str">
        <x:v>0</x:v>
      </x:c>
      <x:c r="BK166" s="6" t="str">
        <x:v>0</x:v>
      </x:c>
      <x:c r="BL166" s="6" t="str">
        <x:v>0</x:v>
      </x:c>
      <x:c r="BM166" s="6" t="str">
        <x:v>0</x:v>
      </x:c>
      <x:c r="BN166" s="6" t="str">
        <x:v>2</x:v>
      </x:c>
      <x:c r="BO166" s="6" t="str"/>
      <x:c r="BP166" s="6" t="str">
        <x:v>0</x:v>
      </x:c>
      <x:c r="BQ166" s="6" t="str"/>
      <x:c r="BR166" s="6" t="str">
        <x:v>0</x:v>
      </x:c>
      <x:c r="BS166" s="6" t="str">
        <x:v>0.0</x:v>
      </x:c>
      <x:c r="BT166" s="6" t="str">
        <x:v>2</x:v>
      </x:c>
      <x:c r="BU166" s="6" t="str">
        <x:v>597.0</x:v>
      </x:c>
      <x:c r="BV166" s="6" t="str">
        <x:v>2</x:v>
      </x:c>
      <x:c r="BW166" s="9" t="str">
        <x:v>operational_snapshot_annual_totals_may_differ</x:v>
      </x:c>
      <x:c r="BX166" s="9" t="str">
        <x:v>official_live_dashboard_snapshot_subject_to_revision</x:v>
      </x:c>
      <x:c r="BY166" s="9" t="str">
        <x:v>https://tbdashboard.sitb.id/ss_data_tbc03so_2025_provinsi_bulanan_list.php</x:v>
      </x:c>
      <x:c r="BZ166" s="6" t="n">
        <x:v>46246.610671296294</x:v>
      </x:c>
    </x:row>
    <x:row r="167" ht="18" customHeight="1">
      <x:c r="A167" s="6" t="str">
        <x:v>17</x:v>
      </x:c>
      <x:c r="B167" s="6" t="str">
        <x:v>BENGKULU</x:v>
      </x:c>
      <x:c r="C167" s="6" t="str">
        <x:v>2025</x:v>
      </x:c>
      <x:c r="D167" s="6" t="str">
        <x:v>10</x:v>
      </x:c>
      <x:c r="E167" s="6" t="str">
        <x:v>2025-10</x:v>
      </x:c>
      <x:c r="F167" s="6" t="str">
        <x:v>322</x:v>
      </x:c>
      <x:c r="G167" s="6" t="str">
        <x:v>41</x:v>
      </x:c>
      <x:c r="H167" s="6" t="str">
        <x:v>134</x:v>
      </x:c>
      <x:c r="I167" s="6" t="str">
        <x:v>21</x:v>
      </x:c>
      <x:c r="J167" s="6" t="str">
        <x:v>29</x:v>
      </x:c>
      <x:c r="K167" s="6" t="str">
        <x:v>0</x:v>
      </x:c>
      <x:c r="L167" s="6" t="str">
        <x:v>2</x:v>
      </x:c>
      <x:c r="M167" s="6" t="str">
        <x:v>95</x:v>
      </x:c>
      <x:c r="N167" s="6" t="str">
        <x:v>322</x:v>
      </x:c>
      <x:c r="O167" s="6" t="str">
        <x:v>0</x:v>
      </x:c>
      <x:c r="P167" s="10" t="n">
        <x:f>F167-M167</x:f>
        <x:v>227</x:v>
      </x:c>
      <x:c r="Q167" s="11" t="n">
        <x:f>IFERROR(M167/F167,"")</x:f>
        <x:v>0.2950310559006211</x:v>
      </x:c>
      <x:c r="R167" s="10" t="n">
        <x:f>G167+H167</x:f>
        <x:v>175</x:v>
      </x:c>
      <x:c r="S167" s="11" t="n">
        <x:f>IFERROR(R167/F167,"")</x:f>
        <x:v>0.5434782608695652</x:v>
      </x:c>
      <x:c r="T167" s="11" t="n">
        <x:f>IFERROR(R167/P167,"")</x:f>
        <x:v>0.7709251101321586</x:v>
      </x:c>
      <x:c r="U167" s="10" t="n">
        <x:f>I167+J167+K167</x:f>
        <x:v>50</x:v>
      </x:c>
      <x:c r="V167" s="11" t="n">
        <x:f>IFERROR(U167/P167,"")</x:f>
        <x:v>0.22026431718061673</x:v>
      </x:c>
      <x:c r="W167" s="9" t="str">
        <x:v>provisional_gt_5pct_pending</x:v>
      </x:c>
      <x:c r="X167" s="12" t="n">
        <x:f>IFERROR(F167/Z167*100000,"")</x:f>
        <x:v>15.060804490177736</x:v>
      </x:c>
      <x:c r="Y167" s="13" t="n">
        <x:f>LN(Z167)</x:f>
        <x:v>14.575381370567127</x:v>
      </x:c>
      <x:c r="Z167" s="6" t="str">
        <x:v>2138000</x:v>
      </x:c>
      <x:c r="AA167" s="6" t="str">
        <x:v>106.0</x:v>
      </x:c>
      <x:c r="AB167" s="9" t="str">
        <x:v>2025-06-30</x:v>
      </x:c>
      <x:c r="AC167" s="8" t="str">
        <x:v>85.75</x:v>
      </x:c>
      <x:c r="AD167" s="9" t="str">
        <x:v>2025 (Susenas)</x:v>
      </x:c>
      <x:c r="AE167" s="8" t="str">
        <x:v>12.08</x:v>
      </x:c>
      <x:c r="AF167" s="9" t="str">
        <x:v>Maret 2025 (Susenas)</x:v>
      </x:c>
      <x:c r="AG167" s="6" t="str">
        <x:v>24.64777539125347</x:v>
      </x:c>
      <x:c r="AH167" s="8" t="str">
        <x:v>86.20037346878289</x:v>
      </x:c>
      <x:c r="AI167" s="6" t="str">
        <x:v>366.7623678059624</x:v>
      </x:c>
      <x:c r="AJ167" s="6" t="str">
        <x:v>0.1982626529538862</x:v>
      </x:c>
      <x:c r="AK167" s="8" t="str">
        <x:v>0.3998529378386863</x:v>
      </x:c>
      <x:c r="AL167" s="6" t="str">
        <x:v>0.4314535382328612</x:v>
      </x:c>
      <x:c r="AM167" s="6" t="str">
        <x:v>0.1693479623531036</x:v>
      </x:c>
      <x:c r="AN167" s="6" t="str">
        <x:v>0.333551479474884</x:v>
      </x:c>
      <x:c r="AO167" s="6" t="str">
        <x:v>1.2382606715850528</x:v>
      </x:c>
      <x:c r="AP167" s="8" t="str">
        <x:v>0.2596289717351237</x:v>
      </x:c>
      <x:c r="AQ167" s="6" t="str">
        <x:v>0.9097126308504284</x:v>
      </x:c>
      <x:c r="AR167" s="6" t="str">
        <x:v>0.7719825037450622</x:v>
      </x:c>
      <x:c r="AS167" s="6" t="str">
        <x:v>0.6471080354435389</x:v>
      </x:c>
      <x:c r="AT167" s="6" t="str">
        <x:v>145.43696114500156</x:v>
      </x:c>
      <x:c r="AU167" s="8" t="str">
        <x:v>1.1451740375744486</x:v>
      </x:c>
      <x:c r="AV167" s="6" t="str">
        <x:v>3.459491850447505</x:v>
      </x:c>
      <x:c r="AW167" s="6" t="str">
        <x:v>3.837953771815626</x:v>
      </x:c>
      <x:c r="AX167" s="6" t="str">
        <x:v>2.814206553279193</x:v>
      </x:c>
      <x:c r="AY167" s="6" t="str">
        <x:v>1</x:v>
      </x:c>
      <x:c r="AZ167" s="6" t="str">
        <x:v>0</x:v>
      </x:c>
      <x:c r="BA167" s="9" t="str">
        <x:v>grid_cells_within_BIG_polygon</x:v>
      </x:c>
      <x:c r="BB167" s="6" t="str">
        <x:v>5</x:v>
      </x:c>
      <x:c r="BC167" s="6" t="str">
        <x:v>4</x:v>
      </x:c>
      <x:c r="BD167" s="6" t="str">
        <x:v>4</x:v>
      </x:c>
      <x:c r="BE167" s="6" t="str">
        <x:v>2</x:v>
      </x:c>
      <x:c r="BF167" s="6" t="str">
        <x:v>1</x:v>
      </x:c>
      <x:c r="BG167" s="6" t="str">
        <x:v>0</x:v>
      </x:c>
      <x:c r="BH167" s="6" t="str">
        <x:v>0</x:v>
      </x:c>
      <x:c r="BI167" s="6" t="str">
        <x:v>0</x:v>
      </x:c>
      <x:c r="BJ167" s="6" t="str">
        <x:v>1</x:v>
      </x:c>
      <x:c r="BK167" s="6" t="str">
        <x:v>0</x:v>
      </x:c>
      <x:c r="BL167" s="6" t="str">
        <x:v>0</x:v>
      </x:c>
      <x:c r="BM167" s="6" t="str">
        <x:v>0</x:v>
      </x:c>
      <x:c r="BN167" s="6" t="str">
        <x:v>4</x:v>
      </x:c>
      <x:c r="BO167" s="6" t="str">
        <x:v>1.0</x:v>
      </x:c>
      <x:c r="BP167" s="6" t="str">
        <x:v>1</x:v>
      </x:c>
      <x:c r="BQ167" s="6" t="str"/>
      <x:c r="BR167" s="6" t="str">
        <x:v>0</x:v>
      </x:c>
      <x:c r="BS167" s="6" t="str">
        <x:v>3.0</x:v>
      </x:c>
      <x:c r="BT167" s="6" t="str">
        <x:v>4</x:v>
      </x:c>
      <x:c r="BU167" s="6" t="str">
        <x:v>95.0</x:v>
      </x:c>
      <x:c r="BV167" s="6" t="str">
        <x:v>1</x:v>
      </x:c>
      <x:c r="BW167" s="9" t="str">
        <x:v>operational_snapshot_annual_totals_may_differ</x:v>
      </x:c>
      <x:c r="BX167" s="9" t="str">
        <x:v>official_live_dashboard_snapshot_subject_to_revision</x:v>
      </x:c>
      <x:c r="BY167" s="9" t="str">
        <x:v>https://tbdashboard.sitb.id/ss_data_tbc03so_2025_provinsi_bulanan_list.php</x:v>
      </x:c>
      <x:c r="BZ167" s="6" t="n">
        <x:v>46246.610671296294</x:v>
      </x:c>
    </x:row>
    <x:row r="168" ht="18" customHeight="1">
      <x:c r="A168" s="6" t="str">
        <x:v>17</x:v>
      </x:c>
      <x:c r="B168" s="6" t="str">
        <x:v>BENGKULU</x:v>
      </x:c>
      <x:c r="C168" s="6" t="str">
        <x:v>2025</x:v>
      </x:c>
      <x:c r="D168" s="6" t="str">
        <x:v>11</x:v>
      </x:c>
      <x:c r="E168" s="6" t="str">
        <x:v>2025-11</x:v>
      </x:c>
      <x:c r="F168" s="6" t="str">
        <x:v>406</x:v>
      </x:c>
      <x:c r="G168" s="6" t="str">
        <x:v>47</x:v>
      </x:c>
      <x:c r="H168" s="6" t="str">
        <x:v>151</x:v>
      </x:c>
      <x:c r="I168" s="6" t="str">
        <x:v>41</x:v>
      </x:c>
      <x:c r="J168" s="6" t="str">
        <x:v>28</x:v>
      </x:c>
      <x:c r="K168" s="6" t="str">
        <x:v>0</x:v>
      </x:c>
      <x:c r="L168" s="6" t="str">
        <x:v>0</x:v>
      </x:c>
      <x:c r="M168" s="6" t="str">
        <x:v>139</x:v>
      </x:c>
      <x:c r="N168" s="6" t="str">
        <x:v>406</x:v>
      </x:c>
      <x:c r="O168" s="6" t="str">
        <x:v>0</x:v>
      </x:c>
      <x:c r="P168" s="10" t="n">
        <x:f>F168-M168</x:f>
        <x:v>267</x:v>
      </x:c>
      <x:c r="Q168" s="11" t="n">
        <x:f>IFERROR(M168/F168,"")</x:f>
        <x:v>0.34236453201970446</x:v>
      </x:c>
      <x:c r="R168" s="10" t="n">
        <x:f>G168+H168</x:f>
        <x:v>198</x:v>
      </x:c>
      <x:c r="S168" s="11" t="n">
        <x:f>IFERROR(R168/F168,"")</x:f>
        <x:v>0.4876847290640394</x:v>
      </x:c>
      <x:c r="T168" s="11" t="n">
        <x:f>IFERROR(R168/P168,"")</x:f>
        <x:v>0.7415730337078652</x:v>
      </x:c>
      <x:c r="U168" s="10" t="n">
        <x:f>I168+J168+K168</x:f>
        <x:v>69</x:v>
      </x:c>
      <x:c r="V168" s="11" t="n">
        <x:f>IFERROR(U168/P168,"")</x:f>
        <x:v>0.25842696629213485</x:v>
      </x:c>
      <x:c r="W168" s="9" t="str">
        <x:v>provisional_gt_5pct_pending</x:v>
      </x:c>
      <x:c r="X168" s="12" t="n">
        <x:f>IFERROR(F168/Z168*100000,"")</x:f>
        <x:v>18.989710009354535</x:v>
      </x:c>
      <x:c r="Y168" s="13" t="n">
        <x:f>LN(Z168)</x:f>
        <x:v>14.575381370567127</x:v>
      </x:c>
      <x:c r="Z168" s="6" t="str">
        <x:v>2138000</x:v>
      </x:c>
      <x:c r="AA168" s="6" t="str">
        <x:v>106.0</x:v>
      </x:c>
      <x:c r="AB168" s="9" t="str">
        <x:v>2025-06-30</x:v>
      </x:c>
      <x:c r="AC168" s="8" t="str">
        <x:v>85.75</x:v>
      </x:c>
      <x:c r="AD168" s="9" t="str">
        <x:v>2025 (Susenas)</x:v>
      </x:c>
      <x:c r="AE168" s="8" t="str">
        <x:v>12.08</x:v>
      </x:c>
      <x:c r="AF168" s="9" t="str">
        <x:v>Maret 2025 (Susenas)</x:v>
      </x:c>
      <x:c r="AG168" s="6" t="str">
        <x:v>24.0477961245051</x:v>
      </x:c>
      <x:c r="AH168" s="8" t="str">
        <x:v>88.70222269172372</x:v>
      </x:c>
      <x:c r="AI168" s="6" t="str">
        <x:v>561.0271886539233</x:v>
      </x:c>
      <x:c r="AJ168" s="6" t="str">
        <x:v>-0.2087751241517672</x:v>
      </x:c>
      <x:c r="AK168" s="8" t="str">
        <x:v>-0.4153221635359343</x:v>
      </x:c>
      <x:c r="AL168" s="6" t="str">
        <x:v>0.3998529378386863</x:v>
      </x:c>
      <x:c r="AM168" s="6" t="str">
        <x:v>0.4314535382328612</x:v>
      </x:c>
      <x:c r="AN168" s="6" t="str">
        <x:v>0.1386614375118714</x:v>
      </x:c>
      <x:c r="AO168" s="6" t="str">
        <x:v>1.1356899106189928</x:v>
      </x:c>
      <x:c r="AP168" s="8" t="str">
        <x:v>0.4411883891382381</x:v>
      </x:c>
      <x:c r="AQ168" s="6" t="str">
        <x:v>0.2596289717351237</x:v>
      </x:c>
      <x:c r="AR168" s="6" t="str">
        <x:v>0.9097126308504284</x:v>
      </x:c>
      <x:c r="AS168" s="6" t="str">
        <x:v>0.5368433305745975</x:v>
      </x:c>
      <x:c r="AT168" s="6" t="str">
        <x:v>262.61852380816305</x:v>
      </x:c>
      <x:c r="AU168" s="8" t="str">
        <x:v>2.626642675921587</x:v>
      </x:c>
      <x:c r="AV168" s="6" t="str">
        <x:v>1.1451740375744486</x:v>
      </x:c>
      <x:c r="AW168" s="6" t="str">
        <x:v>3.459491850447505</x:v>
      </x:c>
      <x:c r="AX168" s="6" t="str">
        <x:v>2.41043618798118</x:v>
      </x:c>
      <x:c r="AY168" s="6" t="str">
        <x:v>1</x:v>
      </x:c>
      <x:c r="AZ168" s="6" t="str">
        <x:v>0</x:v>
      </x:c>
      <x:c r="BA168" s="9" t="str">
        <x:v>grid_cells_within_BIG_polygon</x:v>
      </x:c>
      <x:c r="BB168" s="6" t="str">
        <x:v>5</x:v>
      </x:c>
      <x:c r="BC168" s="6" t="str">
        <x:v>0</x:v>
      </x:c>
      <x:c r="BD168" s="6" t="str">
        <x:v>0</x:v>
      </x:c>
      <x:c r="BE168" s="6" t="str">
        <x:v>0</x:v>
      </x:c>
      <x:c r="BF168" s="6" t="str">
        <x:v>0</x:v>
      </x:c>
      <x:c r="BG168" s="6" t="str">
        <x:v>0</x:v>
      </x:c>
      <x:c r="BH168" s="6" t="str">
        <x:v>0</x:v>
      </x:c>
      <x:c r="BI168" s="6" t="str">
        <x:v>0</x:v>
      </x:c>
      <x:c r="BJ168" s="6" t="str">
        <x:v>0</x:v>
      </x:c>
      <x:c r="BK168" s="6" t="str">
        <x:v>0</x:v>
      </x:c>
      <x:c r="BL168" s="6" t="str">
        <x:v>0</x:v>
      </x:c>
      <x:c r="BM168" s="6" t="str">
        <x:v>0</x:v>
      </x:c>
      <x:c r="BN168" s="6" t="str">
        <x:v>0</x:v>
      </x:c>
      <x:c r="BO168" s="6" t="str"/>
      <x:c r="BP168" s="6" t="str">
        <x:v>0</x:v>
      </x:c>
      <x:c r="BQ168" s="6" t="str"/>
      <x:c r="BR168" s="6" t="str">
        <x:v>0</x:v>
      </x:c>
      <x:c r="BS168" s="6" t="str"/>
      <x:c r="BT168" s="6" t="str">
        <x:v>0</x:v>
      </x:c>
      <x:c r="BU168" s="6" t="str"/>
      <x:c r="BV168" s="6" t="str">
        <x:v>0</x:v>
      </x:c>
      <x:c r="BW168" s="9" t="str">
        <x:v>operational_snapshot_annual_totals_may_differ</x:v>
      </x:c>
      <x:c r="BX168" s="9" t="str">
        <x:v>official_live_dashboard_snapshot_subject_to_revision</x:v>
      </x:c>
      <x:c r="BY168" s="9" t="str">
        <x:v>https://tbdashboard.sitb.id/ss_data_tbc03so_2025_provinsi_bulanan_list.php</x:v>
      </x:c>
      <x:c r="BZ168" s="6" t="n">
        <x:v>46246.610671296294</x:v>
      </x:c>
    </x:row>
    <x:row r="169" ht="18" customHeight="1">
      <x:c r="A169" s="6" t="str">
        <x:v>17</x:v>
      </x:c>
      <x:c r="B169" s="6" t="str">
        <x:v>BENGKULU</x:v>
      </x:c>
      <x:c r="C169" s="6" t="str">
        <x:v>2025</x:v>
      </x:c>
      <x:c r="D169" s="6" t="str">
        <x:v>12</x:v>
      </x:c>
      <x:c r="E169" s="6" t="str">
        <x:v>2025-12</x:v>
      </x:c>
      <x:c r="F169" s="6" t="str">
        <x:v>254</x:v>
      </x:c>
      <x:c r="G169" s="6" t="str">
        <x:v>25</x:v>
      </x:c>
      <x:c r="H169" s="6" t="str">
        <x:v>87</x:v>
      </x:c>
      <x:c r="I169" s="6" t="str">
        <x:v>17</x:v>
      </x:c>
      <x:c r="J169" s="6" t="str">
        <x:v>17</x:v>
      </x:c>
      <x:c r="K169" s="6" t="str">
        <x:v>0</x:v>
      </x:c>
      <x:c r="L169" s="6" t="str">
        <x:v>1</x:v>
      </x:c>
      <x:c r="M169" s="6" t="str">
        <x:v>107</x:v>
      </x:c>
      <x:c r="N169" s="6" t="str">
        <x:v>254</x:v>
      </x:c>
      <x:c r="O169" s="6" t="str">
        <x:v>0</x:v>
      </x:c>
      <x:c r="P169" s="10" t="n">
        <x:f>F169-M169</x:f>
        <x:v>147</x:v>
      </x:c>
      <x:c r="Q169" s="11" t="n">
        <x:f>IFERROR(M169/F169,"")</x:f>
        <x:v>0.421259842519685</x:v>
      </x:c>
      <x:c r="R169" s="10" t="n">
        <x:f>G169+H169</x:f>
        <x:v>112</x:v>
      </x:c>
      <x:c r="S169" s="11" t="n">
        <x:f>IFERROR(R169/F169,"")</x:f>
        <x:v>0.4409448818897638</x:v>
      </x:c>
      <x:c r="T169" s="11" t="n">
        <x:f>IFERROR(R169/P169,"")</x:f>
        <x:v>0.7619047619047619</x:v>
      </x:c>
      <x:c r="U169" s="10" t="n">
        <x:f>I169+J169+K169</x:f>
        <x:v>34</x:v>
      </x:c>
      <x:c r="V169" s="11" t="n">
        <x:f>IFERROR(U169/P169,"")</x:f>
        <x:v>0.23129251700680273</x:v>
      </x:c>
      <x:c r="W169" s="9" t="str">
        <x:v>provisional_gt_5pct_pending</x:v>
      </x:c>
      <x:c r="X169" s="12" t="n">
        <x:f>IFERROR(F169/Z169*100000,"")</x:f>
        <x:v>11.880261927034612</x:v>
      </x:c>
      <x:c r="Y169" s="13" t="n">
        <x:f>LN(Z169)</x:f>
        <x:v>14.575381370567127</x:v>
      </x:c>
      <x:c r="Z169" s="6" t="str">
        <x:v>2138000</x:v>
      </x:c>
      <x:c r="AA169" s="6" t="str">
        <x:v>106.0</x:v>
      </x:c>
      <x:c r="AB169" s="9" t="str">
        <x:v>2025-06-30</x:v>
      </x:c>
      <x:c r="AC169" s="8" t="str">
        <x:v>85.75</x:v>
      </x:c>
      <x:c r="AD169" s="9" t="str">
        <x:v>2025 (Susenas)</x:v>
      </x:c>
      <x:c r="AE169" s="8" t="str">
        <x:v>12.08</x:v>
      </x:c>
      <x:c r="AF169" s="9" t="str">
        <x:v>Maret 2025 (Susenas)</x:v>
      </x:c>
      <x:c r="AG169" s="6" t="str">
        <x:v>24.103812214097648</x:v>
      </x:c>
      <x:c r="AH169" s="8" t="str">
        <x:v>89.01806080930682</x:v>
      </x:c>
      <x:c r="AI169" s="6" t="str">
        <x:v>410.9139188822344</x:v>
      </x:c>
      <x:c r="AJ169" s="6" t="str">
        <x:v>0.1690751057581998</x:v>
      </x:c>
      <x:c r="AK169" s="8" t="str">
        <x:v>0.4470661766747201</x:v>
      </x:c>
      <x:c r="AL169" s="6" t="str">
        <x:v>-0.4153221635359343</x:v>
      </x:c>
      <x:c r="AM169" s="6" t="str">
        <x:v>0.3998529378386863</x:v>
      </x:c>
      <x:c r="AN169" s="6" t="str">
        <x:v>0.1438656503258243</x:v>
      </x:c>
      <x:c r="AO169" s="6" t="str">
        <x:v>0.2010859786949481</x:v>
      </x:c>
      <x:c r="AP169" s="8" t="str">
        <x:v>0.1531946445454794</x:v>
      </x:c>
      <x:c r="AQ169" s="6" t="str">
        <x:v>0.4411883891382381</x:v>
      </x:c>
      <x:c r="AR169" s="6" t="str">
        <x:v>0.2596289717351237</x:v>
      </x:c>
      <x:c r="AS169" s="6" t="str">
        <x:v>0.284670668472948</x:v>
      </x:c>
      <x:c r="AT169" s="6" t="str">
        <x:v>99.73698672007754</x:v>
      </x:c>
      <x:c r="AU169" s="8" t="str">
        <x:v>1.0109949447342843</x:v>
      </x:c>
      <x:c r="AV169" s="6" t="str">
        <x:v>2.626642675921587</x:v>
      </x:c>
      <x:c r="AW169" s="6" t="str">
        <x:v>1.1451740375744486</x:v>
      </x:c>
      <x:c r="AX169" s="6" t="str">
        <x:v>1.5942705527434402</x:v>
      </x:c>
      <x:c r="AY169" s="6" t="str">
        <x:v>1</x:v>
      </x:c>
      <x:c r="AZ169" s="6" t="str">
        <x:v>0</x:v>
      </x:c>
      <x:c r="BA169" s="9" t="str">
        <x:v>grid_cells_within_BIG_polygon</x:v>
      </x:c>
      <x:c r="BB169" s="6" t="str">
        <x:v>5</x:v>
      </x:c>
      <x:c r="BC169" s="6" t="str">
        <x:v>1</x:v>
      </x:c>
      <x:c r="BD169" s="6" t="str">
        <x:v>1</x:v>
      </x:c>
      <x:c r="BE169" s="6" t="str">
        <x:v>1</x:v>
      </x:c>
      <x:c r="BF169" s="6" t="str">
        <x:v>0</x:v>
      </x:c>
      <x:c r="BG169" s="6" t="str">
        <x:v>0</x:v>
      </x:c>
      <x:c r="BH169" s="6" t="str">
        <x:v>0</x:v>
      </x:c>
      <x:c r="BI169" s="6" t="str">
        <x:v>0</x:v>
      </x:c>
      <x:c r="BJ169" s="6" t="str">
        <x:v>0</x:v>
      </x:c>
      <x:c r="BK169" s="6" t="str">
        <x:v>0</x:v>
      </x:c>
      <x:c r="BL169" s="6" t="str">
        <x:v>0</x:v>
      </x:c>
      <x:c r="BM169" s="6" t="str">
        <x:v>0</x:v>
      </x:c>
      <x:c r="BN169" s="6" t="str">
        <x:v>1</x:v>
      </x:c>
      <x:c r="BO169" s="6" t="str"/>
      <x:c r="BP169" s="6" t="str">
        <x:v>0</x:v>
      </x:c>
      <x:c r="BQ169" s="6" t="str"/>
      <x:c r="BR169" s="6" t="str">
        <x:v>0</x:v>
      </x:c>
      <x:c r="BS169" s="6" t="str">
        <x:v>0.0</x:v>
      </x:c>
      <x:c r="BT169" s="6" t="str">
        <x:v>1</x:v>
      </x:c>
      <x:c r="BU169" s="6" t="str">
        <x:v>81.0</x:v>
      </x:c>
      <x:c r="BV169" s="6" t="str">
        <x:v>1</x:v>
      </x:c>
      <x:c r="BW169" s="9" t="str">
        <x:v>operational_snapshot_annual_totals_may_differ</x:v>
      </x:c>
      <x:c r="BX169" s="9" t="str">
        <x:v>official_live_dashboard_snapshot_subject_to_revision</x:v>
      </x:c>
      <x:c r="BY169" s="9" t="str">
        <x:v>https://tbdashboard.sitb.id/ss_data_tbc03so_2025_provinsi_bulanan_list.php</x:v>
      </x:c>
      <x:c r="BZ169" s="6" t="n">
        <x:v>46246.610671296294</x:v>
      </x:c>
    </x:row>
    <x:row r="170" ht="18" customHeight="1">
      <x:c r="A170" s="6" t="str">
        <x:v>18</x:v>
      </x:c>
      <x:c r="B170" s="6" t="str">
        <x:v>LAMPUNG</x:v>
      </x:c>
      <x:c r="C170" s="6" t="str">
        <x:v>2024</x:v>
      </x:c>
      <x:c r="D170" s="6" t="str">
        <x:v>1</x:v>
      </x:c>
      <x:c r="E170" s="6" t="str">
        <x:v>2024-01</x:v>
      </x:c>
      <x:c r="F170" s="6" t="str">
        <x:v>1826</x:v>
      </x:c>
      <x:c r="G170" s="6" t="str">
        <x:v>472</x:v>
      </x:c>
      <x:c r="H170" s="6" t="str">
        <x:v>1224</x:v>
      </x:c>
      <x:c r="I170" s="6" t="str">
        <x:v>14</x:v>
      </x:c>
      <x:c r="J170" s="6" t="str">
        <x:v>42</x:v>
      </x:c>
      <x:c r="K170" s="6" t="str">
        <x:v>1</x:v>
      </x:c>
      <x:c r="L170" s="6" t="str">
        <x:v>10</x:v>
      </x:c>
      <x:c r="M170" s="6" t="str">
        <x:v>63</x:v>
      </x:c>
      <x:c r="N170" s="6" t="str">
        <x:v>1826</x:v>
      </x:c>
      <x:c r="O170" s="6" t="str">
        <x:v>0</x:v>
      </x:c>
      <x:c r="P170" s="10" t="n">
        <x:f>F170-M170</x:f>
        <x:v>1763</x:v>
      </x:c>
      <x:c r="Q170" s="11" t="n">
        <x:f>IFERROR(M170/F170,"")</x:f>
        <x:v>0.03450164293537788</x:v>
      </x:c>
      <x:c r="R170" s="10" t="n">
        <x:f>G170+H170</x:f>
        <x:v>1696</x:v>
      </x:c>
      <x:c r="S170" s="11" t="n">
        <x:f>IFERROR(R170/F170,"")</x:f>
        <x:v>0.9288061336254108</x:v>
      </x:c>
      <x:c r="T170" s="11" t="n">
        <x:f>IFERROR(R170/P170,"")</x:f>
        <x:v>0.9619965967101531</x:v>
      </x:c>
      <x:c r="U170" s="10" t="n">
        <x:f>I170+J170+K170</x:f>
        <x:v>57</x:v>
      </x:c>
      <x:c r="V170" s="11" t="n">
        <x:f>IFERROR(U170/P170,"")</x:f>
        <x:v>0.03233125354509359</x:v>
      </x:c>
      <x:c r="W170" s="9" t="str">
        <x:v>mature_le_5pct_pending</x:v>
      </x:c>
      <x:c r="X170" s="12" t="n">
        <x:f>IFERROR(F170/Z170*100000,"")</x:f>
        <x:v>19.385111894347958</x:v>
      </x:c>
      <x:c r="Y170" s="13" t="n">
        <x:f>LN(Z170)</x:f>
        <x:v>16.058303182805965</x:v>
      </x:c>
      <x:c r="Z170" s="6" t="str">
        <x:v>9419600</x:v>
      </x:c>
      <x:c r="AA170" s="6" t="str">
        <x:v>281.0</x:v>
      </x:c>
      <x:c r="AB170" s="9" t="str">
        <x:v>2024-06-30</x:v>
      </x:c>
      <x:c r="AC170" s="8" t="str">
        <x:v>85.44</x:v>
      </x:c>
      <x:c r="AD170" s="9" t="str">
        <x:v>2024 (Susenas)</x:v>
      </x:c>
      <x:c r="AE170" s="8" t="str">
        <x:v>10.69</x:v>
      </x:c>
      <x:c r="AF170" s="9" t="str">
        <x:v>Maret 2024 (Susenas)</x:v>
      </x:c>
      <x:c r="AG170" s="6" t="str">
        <x:v>26.520976676675936</x:v>
      </x:c>
      <x:c r="AH170" s="8" t="str">
        <x:v>86.10724636139317</x:v>
      </x:c>
      <x:c r="AI170" s="6" t="str">
        <x:v>266.655360275056</x:v>
      </x:c>
      <x:c r="AJ170" s="6" t="str">
        <x:v>1.0149797614898617</x:v>
      </x:c>
      <x:c r="AK170" s="8" t="str">
        <x:v>2.0794260575990786</x:v>
      </x:c>
      <x:c r="AL170" s="6" t="str">
        <x:v>2.762700266991727</x:v>
      </x:c>
      <x:c r="AM170" s="6" t="str">
        <x:v>1.6603920098894407</x:v>
      </x:c>
      <x:c r="AN170" s="6" t="str">
        <x:v>2.167506111493416</x:v>
      </x:c>
      <x:c r="AO170" s="6" t="str">
        <x:v>-1.1728438474263214</x:v>
      </x:c>
      <x:c r="AP170" s="8" t="str">
        <x:v>-0.6371651354815611</x:v>
      </x:c>
      <x:c r="AQ170" s="6" t="str">
        <x:v>-2.4695102541207268</x:v>
      </x:c>
      <x:c r="AR170" s="6" t="str">
        <x:v>-0.7616455249816342</x:v>
      </x:c>
      <x:c r="AS170" s="6" t="str">
        <x:v>-1.2894403048613077</x:v>
      </x:c>
      <x:c r="AT170" s="6" t="str">
        <x:v>-12.066015291074848</x:v>
      </x:c>
      <x:c r="AU170" s="8" t="str">
        <x:v>-0.1259266221779753</x:v>
      </x:c>
      <x:c r="AV170" s="6" t="str">
        <x:v>-0.9836261771552912</x:v>
      </x:c>
      <x:c r="AW170" s="6" t="str">
        <x:v>-0.8254489543141135</x:v>
      </x:c>
      <x:c r="AX170" s="6" t="str">
        <x:v>-0.6450005845491266</x:v>
      </x:c>
      <x:c r="AY170" s="6" t="str">
        <x:v>0</x:v>
      </x:c>
      <x:c r="AZ170" s="6" t="str">
        <x:v>1</x:v>
      </x:c>
      <x:c r="BA170" s="9" t="str">
        <x:v>grid_cells_within_BIG_polygon</x:v>
      </x:c>
      <x:c r="BB170" s="6" t="str">
        <x:v>10</x:v>
      </x:c>
      <x:c r="BC170" s="6" t="str">
        <x:v>2</x:v>
      </x:c>
      <x:c r="BD170" s="6" t="str">
        <x:v>2</x:v>
      </x:c>
      <x:c r="BE170" s="6" t="str">
        <x:v>1</x:v>
      </x:c>
      <x:c r="BF170" s="6" t="str">
        <x:v>0</x:v>
      </x:c>
      <x:c r="BG170" s="6" t="str">
        <x:v>1</x:v>
      </x:c>
      <x:c r="BH170" s="6" t="str">
        <x:v>0</x:v>
      </x:c>
      <x:c r="BI170" s="6" t="str">
        <x:v>0</x:v>
      </x:c>
      <x:c r="BJ170" s="6" t="str">
        <x:v>0</x:v>
      </x:c>
      <x:c r="BK170" s="6" t="str">
        <x:v>0</x:v>
      </x:c>
      <x:c r="BL170" s="6" t="str">
        <x:v>0</x:v>
      </x:c>
      <x:c r="BM170" s="6" t="str">
        <x:v>0</x:v>
      </x:c>
      <x:c r="BN170" s="6" t="str">
        <x:v>2</x:v>
      </x:c>
      <x:c r="BO170" s="6" t="str">
        <x:v>0.0</x:v>
      </x:c>
      <x:c r="BP170" s="6" t="str">
        <x:v>2</x:v>
      </x:c>
      <x:c r="BQ170" s="6" t="str">
        <x:v>0.0</x:v>
      </x:c>
      <x:c r="BR170" s="6" t="str">
        <x:v>2</x:v>
      </x:c>
      <x:c r="BS170" s="6" t="str">
        <x:v>12.0</x:v>
      </x:c>
      <x:c r="BT170" s="6" t="str">
        <x:v>2</x:v>
      </x:c>
      <x:c r="BU170" s="6" t="str">
        <x:v>48.0</x:v>
      </x:c>
      <x:c r="BV170" s="6" t="str">
        <x:v>1</x:v>
      </x:c>
      <x:c r="BW170" s="9" t="str">
        <x:v>operational_snapshot_annual_totals_may_differ</x:v>
      </x:c>
      <x:c r="BX170" s="9" t="str">
        <x:v>official_live_dashboard_snapshot_subject_to_revision</x:v>
      </x:c>
      <x:c r="BY170" s="9" t="str">
        <x:v>https://tbdashboard.sitb.id/ss_data_tbc03so_2024_provinsi_bulanan_list.php</x:v>
      </x:c>
      <x:c r="BZ170" s="6" t="n">
        <x:v>46246.610671296294</x:v>
      </x:c>
    </x:row>
    <x:row r="171" ht="18" customHeight="1">
      <x:c r="A171" s="6" t="str">
        <x:v>18</x:v>
      </x:c>
      <x:c r="B171" s="6" t="str">
        <x:v>LAMPUNG</x:v>
      </x:c>
      <x:c r="C171" s="6" t="str">
        <x:v>2024</x:v>
      </x:c>
      <x:c r="D171" s="6" t="str">
        <x:v>2</x:v>
      </x:c>
      <x:c r="E171" s="6" t="str">
        <x:v>2024-02</x:v>
      </x:c>
      <x:c r="F171" s="6" t="str">
        <x:v>1399</x:v>
      </x:c>
      <x:c r="G171" s="6" t="str">
        <x:v>358</x:v>
      </x:c>
      <x:c r="H171" s="6" t="str">
        <x:v>935</x:v>
      </x:c>
      <x:c r="I171" s="6" t="str">
        <x:v>17</x:v>
      </x:c>
      <x:c r="J171" s="6" t="str">
        <x:v>40</x:v>
      </x:c>
      <x:c r="K171" s="6" t="str">
        <x:v>0</x:v>
      </x:c>
      <x:c r="L171" s="6" t="str">
        <x:v>9</x:v>
      </x:c>
      <x:c r="M171" s="6" t="str">
        <x:v>40</x:v>
      </x:c>
      <x:c r="N171" s="6" t="str">
        <x:v>1399</x:v>
      </x:c>
      <x:c r="O171" s="6" t="str">
        <x:v>0</x:v>
      </x:c>
      <x:c r="P171" s="10" t="n">
        <x:f>F171-M171</x:f>
        <x:v>1359</x:v>
      </x:c>
      <x:c r="Q171" s="11" t="n">
        <x:f>IFERROR(M171/F171,"")</x:f>
        <x:v>0.028591851322373123</x:v>
      </x:c>
      <x:c r="R171" s="10" t="n">
        <x:f>G171+H171</x:f>
        <x:v>1293</x:v>
      </x:c>
      <x:c r="S171" s="11" t="n">
        <x:f>IFERROR(R171/F171,"")</x:f>
        <x:v>0.9242315939957112</x:v>
      </x:c>
      <x:c r="T171" s="11" t="n">
        <x:f>IFERROR(R171/P171,"")</x:f>
        <x:v>0.9514348785871964</x:v>
      </x:c>
      <x:c r="U171" s="10" t="n">
        <x:f>I171+J171+K171</x:f>
        <x:v>57</x:v>
      </x:c>
      <x:c r="V171" s="11" t="n">
        <x:f>IFERROR(U171/P171,"")</x:f>
        <x:v>0.04194260485651214</x:v>
      </x:c>
      <x:c r="W171" s="9" t="str">
        <x:v>mature_le_5pct_pending</x:v>
      </x:c>
      <x:c r="X171" s="12" t="n">
        <x:f>IFERROR(F171/Z171*100000,"")</x:f>
        <x:v>14.852010701091341</x:v>
      </x:c>
      <x:c r="Y171" s="13" t="n">
        <x:f>LN(Z171)</x:f>
        <x:v>16.058303182805965</x:v>
      </x:c>
      <x:c r="Z171" s="6" t="str">
        <x:v>9419600</x:v>
      </x:c>
      <x:c r="AA171" s="6" t="str">
        <x:v>281.0</x:v>
      </x:c>
      <x:c r="AB171" s="9" t="str">
        <x:v>2024-06-30</x:v>
      </x:c>
      <x:c r="AC171" s="8" t="str">
        <x:v>85.44</x:v>
      </x:c>
      <x:c r="AD171" s="9" t="str">
        <x:v>2024 (Susenas)</x:v>
      </x:c>
      <x:c r="AE171" s="8" t="str">
        <x:v>10.69</x:v>
      </x:c>
      <x:c r="AF171" s="9" t="str">
        <x:v>Maret 2024 (Susenas)</x:v>
      </x:c>
      <x:c r="AG171" s="6" t="str">
        <x:v>26.67395464207304</x:v>
      </x:c>
      <x:c r="AH171" s="8" t="str">
        <x:v>86.61068830046888</x:v>
      </x:c>
      <x:c r="AI171" s="6" t="str">
        <x:v>264.57414355147057</x:v>
      </x:c>
      <x:c r="AJ171" s="6" t="str">
        <x:v>1.1609936469529316</x:v>
      </x:c>
      <x:c r="AK171" s="8" t="str">
        <x:v>2.6649954347780285</x:v>
      </x:c>
      <x:c r="AL171" s="6" t="str">
        <x:v>2.0794260575990786</x:v>
      </x:c>
      <x:c r="AM171" s="6" t="str">
        <x:v>2.762700266991727</x:v>
      </x:c>
      <x:c r="AN171" s="6" t="str">
        <x:v>2.5023739197896115</x:v>
      </x:c>
      <x:c r="AO171" s="6" t="str">
        <x:v>-1.1587266269921344</x:v>
      </x:c>
      <x:c r="AP171" s="8" t="str">
        <x:v>-1.155647494275019</x:v>
      </x:c>
      <x:c r="AQ171" s="6" t="str">
        <x:v>-0.6371651354815611</x:v>
      </x:c>
      <x:c r="AR171" s="6" t="str">
        <x:v>-2.4695102541207268</x:v>
      </x:c>
      <x:c r="AS171" s="6" t="str">
        <x:v>-1.4207742946257695</x:v>
      </x:c>
      <x:c r="AT171" s="6" t="str">
        <x:v>7.789386580309781</x:v>
      </x:c>
      <x:c r="AU171" s="8" t="str">
        <x:v>0.1236134276235749</x:v>
      </x:c>
      <x:c r="AV171" s="6" t="str">
        <x:v>-0.1259266221779753</x:v>
      </x:c>
      <x:c r="AW171" s="6" t="str">
        <x:v>-0.9836261771552912</x:v>
      </x:c>
      <x:c r="AX171" s="6" t="str">
        <x:v>-0.3286464572365637</x:v>
      </x:c>
      <x:c r="AY171" s="6" t="str">
        <x:v>0</x:v>
      </x:c>
      <x:c r="AZ171" s="6" t="str">
        <x:v>1</x:v>
      </x:c>
      <x:c r="BA171" s="9" t="str">
        <x:v>grid_cells_within_BIG_polygon</x:v>
      </x:c>
      <x:c r="BB171" s="6" t="str">
        <x:v>10</x:v>
      </x:c>
      <x:c r="BC171" s="6" t="str">
        <x:v>10</x:v>
      </x:c>
      <x:c r="BD171" s="6" t="str">
        <x:v>10</x:v>
      </x:c>
      <x:c r="BE171" s="6" t="str">
        <x:v>9</x:v>
      </x:c>
      <x:c r="BF171" s="6" t="str">
        <x:v>0</x:v>
      </x:c>
      <x:c r="BG171" s="6" t="str">
        <x:v>1</x:v>
      </x:c>
      <x:c r="BH171" s="6" t="str">
        <x:v>0</x:v>
      </x:c>
      <x:c r="BI171" s="6" t="str">
        <x:v>0</x:v>
      </x:c>
      <x:c r="BJ171" s="6" t="str">
        <x:v>0</x:v>
      </x:c>
      <x:c r="BK171" s="6" t="str">
        <x:v>0</x:v>
      </x:c>
      <x:c r="BL171" s="6" t="str">
        <x:v>0</x:v>
      </x:c>
      <x:c r="BM171" s="6" t="str">
        <x:v>0</x:v>
      </x:c>
      <x:c r="BN171" s="6" t="str">
        <x:v>10</x:v>
      </x:c>
      <x:c r="BO171" s="6" t="str">
        <x:v>0.0</x:v>
      </x:c>
      <x:c r="BP171" s="6" t="str">
        <x:v>10</x:v>
      </x:c>
      <x:c r="BQ171" s="6" t="str">
        <x:v>0.0</x:v>
      </x:c>
      <x:c r="BR171" s="6" t="str">
        <x:v>10</x:v>
      </x:c>
      <x:c r="BS171" s="6" t="str">
        <x:v>25.0</x:v>
      </x:c>
      <x:c r="BT171" s="6" t="str">
        <x:v>10</x:v>
      </x:c>
      <x:c r="BU171" s="6" t="str">
        <x:v>5674.0</x:v>
      </x:c>
      <x:c r="BV171" s="6" t="str">
        <x:v>8</x:v>
      </x:c>
      <x:c r="BW171" s="9" t="str">
        <x:v>operational_snapshot_annual_totals_may_differ</x:v>
      </x:c>
      <x:c r="BX171" s="9" t="str">
        <x:v>official_live_dashboard_snapshot_subject_to_revision</x:v>
      </x:c>
      <x:c r="BY171" s="9" t="str">
        <x:v>https://tbdashboard.sitb.id/ss_data_tbc03so_2024_provinsi_bulanan_list.php</x:v>
      </x:c>
      <x:c r="BZ171" s="6" t="n">
        <x:v>46246.610671296294</x:v>
      </x:c>
    </x:row>
    <x:row r="172" ht="18" customHeight="1">
      <x:c r="A172" s="6" t="str">
        <x:v>18</x:v>
      </x:c>
      <x:c r="B172" s="6" t="str">
        <x:v>LAMPUNG</x:v>
      </x:c>
      <x:c r="C172" s="6" t="str">
        <x:v>2024</x:v>
      </x:c>
      <x:c r="D172" s="6" t="str">
        <x:v>3</x:v>
      </x:c>
      <x:c r="E172" s="6" t="str">
        <x:v>2024-03</x:v>
      </x:c>
      <x:c r="F172" s="6" t="str">
        <x:v>1463</x:v>
      </x:c>
      <x:c r="G172" s="6" t="str">
        <x:v>352</x:v>
      </x:c>
      <x:c r="H172" s="6" t="str">
        <x:v>1006</x:v>
      </x:c>
      <x:c r="I172" s="6" t="str">
        <x:v>16</x:v>
      </x:c>
      <x:c r="J172" s="6" t="str">
        <x:v>33</x:v>
      </x:c>
      <x:c r="K172" s="6" t="str">
        <x:v>2</x:v>
      </x:c>
      <x:c r="L172" s="6" t="str">
        <x:v>9</x:v>
      </x:c>
      <x:c r="M172" s="6" t="str">
        <x:v>45</x:v>
      </x:c>
      <x:c r="N172" s="6" t="str">
        <x:v>1463</x:v>
      </x:c>
      <x:c r="O172" s="6" t="str">
        <x:v>0</x:v>
      </x:c>
      <x:c r="P172" s="10" t="n">
        <x:f>F172-M172</x:f>
        <x:v>1418</x:v>
      </x:c>
      <x:c r="Q172" s="11" t="n">
        <x:f>IFERROR(M172/F172,"")</x:f>
        <x:v>0.030758714969241284</x:v>
      </x:c>
      <x:c r="R172" s="10" t="n">
        <x:f>G172+H172</x:f>
        <x:v>1358</x:v>
      </x:c>
      <x:c r="S172" s="11" t="n">
        <x:f>IFERROR(R172/F172,"")</x:f>
        <x:v>0.9282296650717703</x:v>
      </x:c>
      <x:c r="T172" s="11" t="n">
        <x:f>IFERROR(R172/P172,"")</x:f>
        <x:v>0.9576868829337094</x:v>
      </x:c>
      <x:c r="U172" s="10" t="n">
        <x:f>I172+J172+K172</x:f>
        <x:v>51</x:v>
      </x:c>
      <x:c r="V172" s="11" t="n">
        <x:f>IFERROR(U172/P172,"")</x:f>
        <x:v>0.03596614950634697</x:v>
      </x:c>
      <x:c r="W172" s="9" t="str">
        <x:v>mature_le_5pct_pending</x:v>
      </x:c>
      <x:c r="X172" s="12" t="n">
        <x:f>IFERROR(F172/Z172*100000,"")</x:f>
        <x:v>15.531445071977577</x:v>
      </x:c>
      <x:c r="Y172" s="13" t="n">
        <x:f>LN(Z172)</x:f>
        <x:v>16.058303182805965</x:v>
      </x:c>
      <x:c r="Z172" s="6" t="str">
        <x:v>9419600</x:v>
      </x:c>
      <x:c r="AA172" s="6" t="str">
        <x:v>281.0</x:v>
      </x:c>
      <x:c r="AB172" s="9" t="str">
        <x:v>2024-06-30</x:v>
      </x:c>
      <x:c r="AC172" s="8" t="str">
        <x:v>85.44</x:v>
      </x:c>
      <x:c r="AD172" s="9" t="str">
        <x:v>2024 (Susenas)</x:v>
      </x:c>
      <x:c r="AE172" s="8" t="str">
        <x:v>10.69</x:v>
      </x:c>
      <x:c r="AF172" s="9" t="str">
        <x:v>Maret 2024 (Susenas)</x:v>
      </x:c>
      <x:c r="AG172" s="6" t="str">
        <x:v>26.8219854044734</x:v>
      </x:c>
      <x:c r="AH172" s="8" t="str">
        <x:v>86.54532964651513</x:v>
      </x:c>
      <x:c r="AI172" s="6" t="str">
        <x:v>327.04711412069867</x:v>
      </x:c>
      <x:c r="AJ172" s="6" t="str">
        <x:v>1.0264625351114844</x:v>
      </x:c>
      <x:c r="AK172" s="8" t="str">
        <x:v>2.664218884031106</x:v>
      </x:c>
      <x:c r="AL172" s="6" t="str">
        <x:v>2.6649954347780285</x:v>
      </x:c>
      <x:c r="AM172" s="6" t="str">
        <x:v>2.0794260575990786</x:v>
      </x:c>
      <x:c r="AN172" s="6" t="str">
        <x:v>2.469546792136071</x:v>
      </x:c>
      <x:c r="AO172" s="6" t="str">
        <x:v>-0.6394161620664676</x:v>
      </x:c>
      <x:c r="AP172" s="8" t="str">
        <x:v>-0.6121731503165809</x:v>
      </x:c>
      <x:c r="AQ172" s="6" t="str">
        <x:v>-1.155647494275019</x:v>
      </x:c>
      <x:c r="AR172" s="6" t="str">
        <x:v>-0.6371651354815611</x:v>
      </x:c>
      <x:c r="AS172" s="6" t="str">
        <x:v>-0.8016619266910542</x:v>
      </x:c>
      <x:c r="AT172" s="6" t="str">
        <x:v>81.19569418402685</x:v>
      </x:c>
      <x:c r="AU172" s="8" t="str">
        <x:v>0.9448339635288092</x:v>
      </x:c>
      <x:c r="AV172" s="6" t="str">
        <x:v>0.1236134276235749</x:v>
      </x:c>
      <x:c r="AW172" s="6" t="str">
        <x:v>-0.1259266221779753</x:v>
      </x:c>
      <x:c r="AX172" s="6" t="str">
        <x:v>0.3141735896581364</x:v>
      </x:c>
      <x:c r="AY172" s="6" t="str">
        <x:v>0</x:v>
      </x:c>
      <x:c r="AZ172" s="6" t="str">
        <x:v>1</x:v>
      </x:c>
      <x:c r="BA172" s="9" t="str">
        <x:v>grid_cells_within_BIG_polygon</x:v>
      </x:c>
      <x:c r="BB172" s="6" t="str">
        <x:v>10</x:v>
      </x:c>
      <x:c r="BC172" s="6" t="str">
        <x:v>6</x:v>
      </x:c>
      <x:c r="BD172" s="6" t="str">
        <x:v>6</x:v>
      </x:c>
      <x:c r="BE172" s="6" t="str">
        <x:v>3</x:v>
      </x:c>
      <x:c r="BF172" s="6" t="str">
        <x:v>0</x:v>
      </x:c>
      <x:c r="BG172" s="6" t="str">
        <x:v>3</x:v>
      </x:c>
      <x:c r="BH172" s="6" t="str">
        <x:v>0</x:v>
      </x:c>
      <x:c r="BI172" s="6" t="str">
        <x:v>0</x:v>
      </x:c>
      <x:c r="BJ172" s="6" t="str">
        <x:v>0</x:v>
      </x:c>
      <x:c r="BK172" s="6" t="str">
        <x:v>0</x:v>
      </x:c>
      <x:c r="BL172" s="6" t="str">
        <x:v>0</x:v>
      </x:c>
      <x:c r="BM172" s="6" t="str">
        <x:v>0</x:v>
      </x:c>
      <x:c r="BN172" s="6" t="str">
        <x:v>6</x:v>
      </x:c>
      <x:c r="BO172" s="6" t="str">
        <x:v>0.0</x:v>
      </x:c>
      <x:c r="BP172" s="6" t="str">
        <x:v>6</x:v>
      </x:c>
      <x:c r="BQ172" s="6" t="str">
        <x:v>8.0</x:v>
      </x:c>
      <x:c r="BR172" s="6" t="str">
        <x:v>6</x:v>
      </x:c>
      <x:c r="BS172" s="6" t="str">
        <x:v>156.0</x:v>
      </x:c>
      <x:c r="BT172" s="6" t="str">
        <x:v>6</x:v>
      </x:c>
      <x:c r="BU172" s="6" t="str">
        <x:v>254.0</x:v>
      </x:c>
      <x:c r="BV172" s="6" t="str">
        <x:v>3</x:v>
      </x:c>
      <x:c r="BW172" s="9" t="str">
        <x:v>operational_snapshot_annual_totals_may_differ</x:v>
      </x:c>
      <x:c r="BX172" s="9" t="str">
        <x:v>official_live_dashboard_snapshot_subject_to_revision</x:v>
      </x:c>
      <x:c r="BY172" s="9" t="str">
        <x:v>https://tbdashboard.sitb.id/ss_data_tbc03so_2024_provinsi_bulanan_list.php</x:v>
      </x:c>
      <x:c r="BZ172" s="6" t="n">
        <x:v>46246.610671296294</x:v>
      </x:c>
    </x:row>
    <x:row r="173" ht="18" customHeight="1">
      <x:c r="A173" s="6" t="str">
        <x:v>18</x:v>
      </x:c>
      <x:c r="B173" s="6" t="str">
        <x:v>LAMPUNG</x:v>
      </x:c>
      <x:c r="C173" s="6" t="str">
        <x:v>2024</x:v>
      </x:c>
      <x:c r="D173" s="6" t="str">
        <x:v>4</x:v>
      </x:c>
      <x:c r="E173" s="6" t="str">
        <x:v>2024-04</x:v>
      </x:c>
      <x:c r="F173" s="6" t="str">
        <x:v>1329</x:v>
      </x:c>
      <x:c r="G173" s="6" t="str">
        <x:v>348</x:v>
      </x:c>
      <x:c r="H173" s="6" t="str">
        <x:v>878</x:v>
      </x:c>
      <x:c r="I173" s="6" t="str">
        <x:v>10</x:v>
      </x:c>
      <x:c r="J173" s="6" t="str">
        <x:v>37</x:v>
      </x:c>
      <x:c r="K173" s="6" t="str">
        <x:v>0</x:v>
      </x:c>
      <x:c r="L173" s="6" t="str">
        <x:v>6</x:v>
      </x:c>
      <x:c r="M173" s="6" t="str">
        <x:v>50</x:v>
      </x:c>
      <x:c r="N173" s="6" t="str">
        <x:v>1329</x:v>
      </x:c>
      <x:c r="O173" s="6" t="str">
        <x:v>0</x:v>
      </x:c>
      <x:c r="P173" s="10" t="n">
        <x:f>F173-M173</x:f>
        <x:v>1279</x:v>
      </x:c>
      <x:c r="Q173" s="11" t="n">
        <x:f>IFERROR(M173/F173,"")</x:f>
        <x:v>0.03762227238525207</x:v>
      </x:c>
      <x:c r="R173" s="10" t="n">
        <x:f>G173+H173</x:f>
        <x:v>1226</x:v>
      </x:c>
      <x:c r="S173" s="11" t="n">
        <x:f>IFERROR(R173/F173,"")</x:f>
        <x:v>0.9224981188863808</x:v>
      </x:c>
      <x:c r="T173" s="11" t="n">
        <x:f>IFERROR(R173/P173,"")</x:f>
        <x:v>0.9585613760750586</x:v>
      </x:c>
      <x:c r="U173" s="10" t="n">
        <x:f>I173+J173+K173</x:f>
        <x:v>47</x:v>
      </x:c>
      <x:c r="V173" s="11" t="n">
        <x:f>IFERROR(U173/P173,"")</x:f>
        <x:v>0.03674745895230649</x:v>
      </x:c>
      <x:c r="W173" s="9" t="str">
        <x:v>mature_le_5pct_pending</x:v>
      </x:c>
      <x:c r="X173" s="12" t="n">
        <x:f>IFERROR(F173/Z173*100000,"")</x:f>
        <x:v>14.108879357934518</x:v>
      </x:c>
      <x:c r="Y173" s="13" t="n">
        <x:f>LN(Z173)</x:f>
        <x:v>16.058303182805965</x:v>
      </x:c>
      <x:c r="Z173" s="6" t="str">
        <x:v>9419600</x:v>
      </x:c>
      <x:c r="AA173" s="6" t="str">
        <x:v>281.0</x:v>
      </x:c>
      <x:c r="AB173" s="9" t="str">
        <x:v>2024-06-30</x:v>
      </x:c>
      <x:c r="AC173" s="8" t="str">
        <x:v>85.44</x:v>
      </x:c>
      <x:c r="AD173" s="9" t="str">
        <x:v>2024 (Susenas)</x:v>
      </x:c>
      <x:c r="AE173" s="8" t="str">
        <x:v>10.69</x:v>
      </x:c>
      <x:c r="AF173" s="9" t="str">
        <x:v>Maret 2024 (Susenas)</x:v>
      </x:c>
      <x:c r="AG173" s="6" t="str">
        <x:v>27.356980440818862</x:v>
      </x:c>
      <x:c r="AH173" s="8" t="str">
        <x:v>86.74330635147614</x:v>
      </x:c>
      <x:c r="AI173" s="6" t="str">
        <x:v>271.3211106100773</x:v>
      </x:c>
      <x:c r="AJ173" s="6" t="str">
        <x:v>1.285774020229745</x:v>
      </x:c>
      <x:c r="AK173" s="8" t="str">
        <x:v>3.423935249864253</x:v>
      </x:c>
      <x:c r="AL173" s="6" t="str">
        <x:v>2.664218884031106</x:v>
      </x:c>
      <x:c r="AM173" s="6" t="str">
        <x:v>2.6649954347780285</x:v>
      </x:c>
      <x:c r="AN173" s="6" t="str">
        <x:v>2.91771652289113</x:v>
      </x:c>
      <x:c r="AO173" s="6" t="str">
        <x:v>-0.4758222373551746</x:v>
      </x:c>
      <x:c r="AP173" s="8" t="str">
        <x:v>-0.520396236351842</x:v>
      </x:c>
      <x:c r="AQ173" s="6" t="str">
        <x:v>-0.6121731503165809</x:v>
      </x:c>
      <x:c r="AR173" s="6" t="str">
        <x:v>-1.155647494275019</x:v>
      </x:c>
      <x:c r="AS173" s="6" t="str">
        <x:v>-0.7627389603144811</x:v>
      </x:c>
      <x:c r="AT173" s="6" t="str">
        <x:v>75.81219731540224</x:v>
      </x:c>
      <x:c r="AU173" s="8" t="str">
        <x:v>1.2364442216553704</x:v>
      </x:c>
      <x:c r="AV173" s="6" t="str">
        <x:v>0.9448339635288092</x:v>
      </x:c>
      <x:c r="AW173" s="6" t="str">
        <x:v>0.1236134276235749</x:v>
      </x:c>
      <x:c r="AX173" s="6" t="str">
        <x:v>0.7682972042692516</x:v>
      </x:c>
      <x:c r="AY173" s="6" t="str">
        <x:v>1</x:v>
      </x:c>
      <x:c r="AZ173" s="6" t="str">
        <x:v>1</x:v>
      </x:c>
      <x:c r="BA173" s="9" t="str">
        <x:v>grid_cells_within_BIG_polygon</x:v>
      </x:c>
      <x:c r="BB173" s="6" t="str">
        <x:v>10</x:v>
      </x:c>
      <x:c r="BC173" s="6" t="str">
        <x:v>5</x:v>
      </x:c>
      <x:c r="BD173" s="6" t="str">
        <x:v>5</x:v>
      </x:c>
      <x:c r="BE173" s="6" t="str">
        <x:v>3</x:v>
      </x:c>
      <x:c r="BF173" s="6" t="str">
        <x:v>0</x:v>
      </x:c>
      <x:c r="BG173" s="6" t="str">
        <x:v>2</x:v>
      </x:c>
      <x:c r="BH173" s="6" t="str">
        <x:v>0</x:v>
      </x:c>
      <x:c r="BI173" s="6" t="str">
        <x:v>0</x:v>
      </x:c>
      <x:c r="BJ173" s="6" t="str">
        <x:v>0</x:v>
      </x:c>
      <x:c r="BK173" s="6" t="str">
        <x:v>0</x:v>
      </x:c>
      <x:c r="BL173" s="6" t="str">
        <x:v>0</x:v>
      </x:c>
      <x:c r="BM173" s="6" t="str">
        <x:v>0</x:v>
      </x:c>
      <x:c r="BN173" s="6" t="str">
        <x:v>5</x:v>
      </x:c>
      <x:c r="BO173" s="6" t="str">
        <x:v>0.0</x:v>
      </x:c>
      <x:c r="BP173" s="6" t="str">
        <x:v>5</x:v>
      </x:c>
      <x:c r="BQ173" s="6" t="str">
        <x:v>0.0</x:v>
      </x:c>
      <x:c r="BR173" s="6" t="str">
        <x:v>5</x:v>
      </x:c>
      <x:c r="BS173" s="6" t="str">
        <x:v>5.0</x:v>
      </x:c>
      <x:c r="BT173" s="6" t="str">
        <x:v>5</x:v>
      </x:c>
      <x:c r="BU173" s="6" t="str">
        <x:v>1242.0</x:v>
      </x:c>
      <x:c r="BV173" s="6" t="str">
        <x:v>3</x:v>
      </x:c>
      <x:c r="BW173" s="9" t="str">
        <x:v>operational_snapshot_annual_totals_may_differ</x:v>
      </x:c>
      <x:c r="BX173" s="9" t="str">
        <x:v>official_live_dashboard_snapshot_subject_to_revision</x:v>
      </x:c>
      <x:c r="BY173" s="9" t="str">
        <x:v>https://tbdashboard.sitb.id/ss_data_tbc03so_2024_provinsi_bulanan_list.php</x:v>
      </x:c>
      <x:c r="BZ173" s="6" t="n">
        <x:v>46246.610671296294</x:v>
      </x:c>
    </x:row>
    <x:row r="174" ht="18" customHeight="1">
      <x:c r="A174" s="6" t="str">
        <x:v>18</x:v>
      </x:c>
      <x:c r="B174" s="6" t="str">
        <x:v>LAMPUNG</x:v>
      </x:c>
      <x:c r="C174" s="6" t="str">
        <x:v>2024</x:v>
      </x:c>
      <x:c r="D174" s="6" t="str">
        <x:v>5</x:v>
      </x:c>
      <x:c r="E174" s="6" t="str">
        <x:v>2024-05</x:v>
      </x:c>
      <x:c r="F174" s="6" t="str">
        <x:v>1710</x:v>
      </x:c>
      <x:c r="G174" s="6" t="str">
        <x:v>455</x:v>
      </x:c>
      <x:c r="H174" s="6" t="str">
        <x:v>1123</x:v>
      </x:c>
      <x:c r="I174" s="6" t="str">
        <x:v>17</x:v>
      </x:c>
      <x:c r="J174" s="6" t="str">
        <x:v>40</x:v>
      </x:c>
      <x:c r="K174" s="6" t="str">
        <x:v>0</x:v>
      </x:c>
      <x:c r="L174" s="6" t="str">
        <x:v>6</x:v>
      </x:c>
      <x:c r="M174" s="6" t="str">
        <x:v>69</x:v>
      </x:c>
      <x:c r="N174" s="6" t="str">
        <x:v>1710</x:v>
      </x:c>
      <x:c r="O174" s="6" t="str">
        <x:v>0</x:v>
      </x:c>
      <x:c r="P174" s="10" t="n">
        <x:f>F174-M174</x:f>
        <x:v>1641</x:v>
      </x:c>
      <x:c r="Q174" s="11" t="n">
        <x:f>IFERROR(M174/F174,"")</x:f>
        <x:v>0.04035087719298246</x:v>
      </x:c>
      <x:c r="R174" s="10" t="n">
        <x:f>G174+H174</x:f>
        <x:v>1578</x:v>
      </x:c>
      <x:c r="S174" s="11" t="n">
        <x:f>IFERROR(R174/F174,"")</x:f>
        <x:v>0.9228070175438596</x:v>
      </x:c>
      <x:c r="T174" s="11" t="n">
        <x:f>IFERROR(R174/P174,"")</x:f>
        <x:v>0.9616087751371115</x:v>
      </x:c>
      <x:c r="U174" s="10" t="n">
        <x:f>I174+J174+K174</x:f>
        <x:v>57</x:v>
      </x:c>
      <x:c r="V174" s="11" t="n">
        <x:f>IFERROR(U174/P174,"")</x:f>
        <x:v>0.03473491773308958</x:v>
      </x:c>
      <x:c r="W174" s="9" t="str">
        <x:v>mature_le_5pct_pending</x:v>
      </x:c>
      <x:c r="X174" s="12" t="n">
        <x:f>IFERROR(F174/Z174*100000,"")</x:f>
        <x:v>18.15363709711665</x:v>
      </x:c>
      <x:c r="Y174" s="13" t="n">
        <x:f>LN(Z174)</x:f>
        <x:v>16.058303182805965</x:v>
      </x:c>
      <x:c r="Z174" s="6" t="str">
        <x:v>9419600</x:v>
      </x:c>
      <x:c r="AA174" s="6" t="str">
        <x:v>281.0</x:v>
      </x:c>
      <x:c r="AB174" s="9" t="str">
        <x:v>2024-06-30</x:v>
      </x:c>
      <x:c r="AC174" s="8" t="str">
        <x:v>85.44</x:v>
      </x:c>
      <x:c r="AD174" s="9" t="str">
        <x:v>2024 (Susenas)</x:v>
      </x:c>
      <x:c r="AE174" s="8" t="str">
        <x:v>10.69</x:v>
      </x:c>
      <x:c r="AF174" s="9" t="str">
        <x:v>Maret 2024 (Susenas)</x:v>
      </x:c>
      <x:c r="AG174" s="6" t="str">
        <x:v>27.31892990382448</x:v>
      </x:c>
      <x:c r="AH174" s="8" t="str">
        <x:v>87.13379976631597</x:v>
      </x:c>
      <x:c r="AI174" s="6" t="str">
        <x:v>188.4572002935897</x:v>
      </x:c>
      <x:c r="AJ174" s="6" t="str">
        <x:v>1.1196996996687467</x:v>
      </x:c>
      <x:c r="AK174" s="8" t="str">
        <x:v>3.215406844972456</x:v>
      </x:c>
      <x:c r="AL174" s="6" t="str">
        <x:v>3.423935249864253</x:v>
      </x:c>
      <x:c r="AM174" s="6" t="str">
        <x:v>2.664218884031106</x:v>
      </x:c>
      <x:c r="AN174" s="6" t="str">
        <x:v>3.1011869929559395</x:v>
      </x:c>
      <x:c r="AO174" s="6" t="str">
        <x:v>0.394869306447319</x:v>
      </x:c>
      <x:c r="AP174" s="8" t="str">
        <x:v>0.3588101729091163</x:v>
      </x:c>
      <x:c r="AQ174" s="6" t="str">
        <x:v>-0.520396236351842</x:v>
      </x:c>
      <x:c r="AR174" s="6" t="str">
        <x:v>-0.6121731503165809</x:v>
      </x:c>
      <x:c r="AS174" s="6" t="str">
        <x:v>-0.2579197379197693</x:v>
      </x:c>
      <x:c r="AT174" s="6" t="str">
        <x:v>60.09957576311516</x:v>
      </x:c>
      <x:c r="AU174" s="8" t="str">
        <x:v>1.204342640268066</x:v>
      </x:c>
      <x:c r="AV174" s="6" t="str">
        <x:v>1.2364442216553704</x:v>
      </x:c>
      <x:c r="AW174" s="6" t="str">
        <x:v>0.9448339635288092</x:v>
      </x:c>
      <x:c r="AX174" s="6" t="str">
        <x:v>1.1285402751507485</x:v>
      </x:c>
      <x:c r="AY174" s="6" t="str">
        <x:v>1</x:v>
      </x:c>
      <x:c r="AZ174" s="6" t="str">
        <x:v>1</x:v>
      </x:c>
      <x:c r="BA174" s="9" t="str">
        <x:v>grid_cells_within_BIG_polygon</x:v>
      </x:c>
      <x:c r="BB174" s="6" t="str">
        <x:v>10</x:v>
      </x:c>
      <x:c r="BC174" s="6" t="str">
        <x:v>6</x:v>
      </x:c>
      <x:c r="BD174" s="6" t="str">
        <x:v>6</x:v>
      </x:c>
      <x:c r="BE174" s="6" t="str">
        <x:v>6</x:v>
      </x:c>
      <x:c r="BF174" s="6" t="str">
        <x:v>0</x:v>
      </x:c>
      <x:c r="BG174" s="6" t="str">
        <x:v>0</x:v>
      </x:c>
      <x:c r="BH174" s="6" t="str">
        <x:v>0</x:v>
      </x:c>
      <x:c r="BI174" s="6" t="str">
        <x:v>0</x:v>
      </x:c>
      <x:c r="BJ174" s="6" t="str">
        <x:v>0</x:v>
      </x:c>
      <x:c r="BK174" s="6" t="str">
        <x:v>0</x:v>
      </x:c>
      <x:c r="BL174" s="6" t="str">
        <x:v>0</x:v>
      </x:c>
      <x:c r="BM174" s="6" t="str">
        <x:v>0</x:v>
      </x:c>
      <x:c r="BN174" s="6" t="str">
        <x:v>6</x:v>
      </x:c>
      <x:c r="BO174" s="6" t="str">
        <x:v>4.0</x:v>
      </x:c>
      <x:c r="BP174" s="6" t="str">
        <x:v>6</x:v>
      </x:c>
      <x:c r="BQ174" s="6" t="str">
        <x:v>0.0</x:v>
      </x:c>
      <x:c r="BR174" s="6" t="str">
        <x:v>6</x:v>
      </x:c>
      <x:c r="BS174" s="6" t="str">
        <x:v>0.0</x:v>
      </x:c>
      <x:c r="BT174" s="6" t="str">
        <x:v>6</x:v>
      </x:c>
      <x:c r="BU174" s="6" t="str">
        <x:v>1351.0</x:v>
      </x:c>
      <x:c r="BV174" s="6" t="str">
        <x:v>6</x:v>
      </x:c>
      <x:c r="BW174" s="9" t="str">
        <x:v>operational_snapshot_annual_totals_may_differ</x:v>
      </x:c>
      <x:c r="BX174" s="9" t="str">
        <x:v>official_live_dashboard_snapshot_subject_to_revision</x:v>
      </x:c>
      <x:c r="BY174" s="9" t="str">
        <x:v>https://tbdashboard.sitb.id/ss_data_tbc03so_2024_provinsi_bulanan_list.php</x:v>
      </x:c>
      <x:c r="BZ174" s="6" t="n">
        <x:v>46246.610671296294</x:v>
      </x:c>
    </x:row>
    <x:row r="175" ht="18" customHeight="1">
      <x:c r="A175" s="6" t="str">
        <x:v>18</x:v>
      </x:c>
      <x:c r="B175" s="6" t="str">
        <x:v>LAMPUNG</x:v>
      </x:c>
      <x:c r="C175" s="6" t="str">
        <x:v>2024</x:v>
      </x:c>
      <x:c r="D175" s="6" t="str">
        <x:v>6</x:v>
      </x:c>
      <x:c r="E175" s="6" t="str">
        <x:v>2024-06</x:v>
      </x:c>
      <x:c r="F175" s="6" t="str">
        <x:v>1504</x:v>
      </x:c>
      <x:c r="G175" s="6" t="str">
        <x:v>408</x:v>
      </x:c>
      <x:c r="H175" s="6" t="str">
        <x:v>986</x:v>
      </x:c>
      <x:c r="I175" s="6" t="str">
        <x:v>17</x:v>
      </x:c>
      <x:c r="J175" s="6" t="str">
        <x:v>39</x:v>
      </x:c>
      <x:c r="K175" s="6" t="str">
        <x:v>0</x:v>
      </x:c>
      <x:c r="L175" s="6" t="str">
        <x:v>2</x:v>
      </x:c>
      <x:c r="M175" s="6" t="str">
        <x:v>52</x:v>
      </x:c>
      <x:c r="N175" s="6" t="str">
        <x:v>1504</x:v>
      </x:c>
      <x:c r="O175" s="6" t="str">
        <x:v>0</x:v>
      </x:c>
      <x:c r="P175" s="10" t="n">
        <x:f>F175-M175</x:f>
        <x:v>1452</x:v>
      </x:c>
      <x:c r="Q175" s="11" t="n">
        <x:f>IFERROR(M175/F175,"")</x:f>
        <x:v>0.034574468085106384</x:v>
      </x:c>
      <x:c r="R175" s="10" t="n">
        <x:f>G175+H175</x:f>
        <x:v>1394</x:v>
      </x:c>
      <x:c r="S175" s="11" t="n">
        <x:f>IFERROR(R175/F175,"")</x:f>
        <x:v>0.9268617021276596</x:v>
      </x:c>
      <x:c r="T175" s="11" t="n">
        <x:f>IFERROR(R175/P175,"")</x:f>
        <x:v>0.9600550964187328</x:v>
      </x:c>
      <x:c r="U175" s="10" t="n">
        <x:f>I175+J175+K175</x:f>
        <x:v>56</x:v>
      </x:c>
      <x:c r="V175" s="11" t="n">
        <x:f>IFERROR(U175/P175,"")</x:f>
        <x:v>0.03856749311294766</x:v>
      </x:c>
      <x:c r="W175" s="9" t="str">
        <x:v>mature_le_5pct_pending</x:v>
      </x:c>
      <x:c r="X175" s="12" t="n">
        <x:f>IFERROR(F175/Z175*100000,"")</x:f>
        <x:v>15.966707715826574</x:v>
      </x:c>
      <x:c r="Y175" s="13" t="n">
        <x:f>LN(Z175)</x:f>
        <x:v>16.058303182805965</x:v>
      </x:c>
      <x:c r="Z175" s="6" t="str">
        <x:v>9419600</x:v>
      </x:c>
      <x:c r="AA175" s="6" t="str">
        <x:v>281.0</x:v>
      </x:c>
      <x:c r="AB175" s="9" t="str">
        <x:v>2024-06-30</x:v>
      </x:c>
      <x:c r="AC175" s="8" t="str">
        <x:v>85.44</x:v>
      </x:c>
      <x:c r="AD175" s="9" t="str">
        <x:v>2024 (Susenas)</x:v>
      </x:c>
      <x:c r="AE175" s="8" t="str">
        <x:v>10.69</x:v>
      </x:c>
      <x:c r="AF175" s="9" t="str">
        <x:v>Maret 2024 (Susenas)</x:v>
      </x:c>
      <x:c r="AG175" s="6" t="str">
        <x:v>26.721875117225498</x:v>
      </x:c>
      <x:c r="AH175" s="8" t="str">
        <x:v>85.86091990459587</x:v>
      </x:c>
      <x:c r="AI175" s="6" t="str">
        <x:v>134.39558498636865</x:v>
      </x:c>
      <x:c r="AJ175" s="6" t="str">
        <x:v>0.9739681926761214</x:v>
      </x:c>
      <x:c r="AK175" s="8" t="str">
        <x:v>2.9529273119940886</x:v>
      </x:c>
      <x:c r="AL175" s="6" t="str">
        <x:v>3.215406844972456</x:v>
      </x:c>
      <x:c r="AM175" s="6" t="str">
        <x:v>3.423935249864253</x:v>
      </x:c>
      <x:c r="AN175" s="6" t="str">
        <x:v>3.1974231356102667</x:v>
      </x:c>
      <x:c r="AO175" s="6" t="str">
        <x:v>0.1576754529632893</x:v>
      </x:c>
      <x:c r="AP175" s="8" t="str">
        <x:v>0.0776816287256593</x:v>
      </x:c>
      <x:c r="AQ175" s="6" t="str">
        <x:v>0.3588101729091163</x:v>
      </x:c>
      <x:c r="AR175" s="6" t="str">
        <x:v>-0.520396236351842</x:v>
      </x:c>
      <x:c r="AS175" s="6" t="str">
        <x:v>-0.0279681449056891</x:v>
      </x:c>
      <x:c r="AT175" s="6" t="str">
        <x:v>40.76597152451099</x:v>
      </x:c>
      <x:c r="AU175" s="8" t="str">
        <x:v>0.7100074538965583</x:v>
      </x:c>
      <x:c r="AV175" s="6" t="str">
        <x:v>1.204342640268066</x:v>
      </x:c>
      <x:c r="AW175" s="6" t="str">
        <x:v>1.2364442216553704</x:v>
      </x:c>
      <x:c r="AX175" s="6" t="str">
        <x:v>1.0502647719399982</x:v>
      </x:c>
      <x:c r="AY175" s="6" t="str">
        <x:v>0</x:v>
      </x:c>
      <x:c r="AZ175" s="6" t="str">
        <x:v>1</x:v>
      </x:c>
      <x:c r="BA175" s="9" t="str">
        <x:v>grid_cells_within_BIG_polygon</x:v>
      </x:c>
      <x:c r="BB175" s="6" t="str">
        <x:v>10</x:v>
      </x:c>
      <x:c r="BC175" s="6" t="str">
        <x:v>2</x:v>
      </x:c>
      <x:c r="BD175" s="6" t="str">
        <x:v>2</x:v>
      </x:c>
      <x:c r="BE175" s="6" t="str">
        <x:v>1</x:v>
      </x:c>
      <x:c r="BF175" s="6" t="str">
        <x:v>0</x:v>
      </x:c>
      <x:c r="BG175" s="6" t="str">
        <x:v>1</x:v>
      </x:c>
      <x:c r="BH175" s="6" t="str">
        <x:v>0</x:v>
      </x:c>
      <x:c r="BI175" s="6" t="str">
        <x:v>0</x:v>
      </x:c>
      <x:c r="BJ175" s="6" t="str">
        <x:v>0</x:v>
      </x:c>
      <x:c r="BK175" s="6" t="str">
        <x:v>0</x:v>
      </x:c>
      <x:c r="BL175" s="6" t="str">
        <x:v>0</x:v>
      </x:c>
      <x:c r="BM175" s="6" t="str">
        <x:v>0</x:v>
      </x:c>
      <x:c r="BN175" s="6" t="str">
        <x:v>2</x:v>
      </x:c>
      <x:c r="BO175" s="6" t="str">
        <x:v>0.0</x:v>
      </x:c>
      <x:c r="BP175" s="6" t="str">
        <x:v>2</x:v>
      </x:c>
      <x:c r="BQ175" s="6" t="str">
        <x:v>0.0</x:v>
      </x:c>
      <x:c r="BR175" s="6" t="str">
        <x:v>2</x:v>
      </x:c>
      <x:c r="BS175" s="6" t="str">
        <x:v>8.0</x:v>
      </x:c>
      <x:c r="BT175" s="6" t="str">
        <x:v>2</x:v>
      </x:c>
      <x:c r="BU175" s="6" t="str">
        <x:v>112.0</x:v>
      </x:c>
      <x:c r="BV175" s="6" t="str">
        <x:v>1</x:v>
      </x:c>
      <x:c r="BW175" s="9" t="str">
        <x:v>operational_snapshot_annual_totals_may_differ</x:v>
      </x:c>
      <x:c r="BX175" s="9" t="str">
        <x:v>official_live_dashboard_snapshot_subject_to_revision</x:v>
      </x:c>
      <x:c r="BY175" s="9" t="str">
        <x:v>https://tbdashboard.sitb.id/ss_data_tbc03so_2024_provinsi_bulanan_list.php</x:v>
      </x:c>
      <x:c r="BZ175" s="6" t="n">
        <x:v>46246.610671296294</x:v>
      </x:c>
    </x:row>
    <x:row r="176" ht="18" customHeight="1">
      <x:c r="A176" s="6" t="str">
        <x:v>18</x:v>
      </x:c>
      <x:c r="B176" s="6" t="str">
        <x:v>LAMPUNG</x:v>
      </x:c>
      <x:c r="C176" s="6" t="str">
        <x:v>2024</x:v>
      </x:c>
      <x:c r="D176" s="6" t="str">
        <x:v>7</x:v>
      </x:c>
      <x:c r="E176" s="6" t="str">
        <x:v>2024-07</x:v>
      </x:c>
      <x:c r="F176" s="6" t="str">
        <x:v>1591</x:v>
      </x:c>
      <x:c r="G176" s="6" t="str">
        <x:v>453</x:v>
      </x:c>
      <x:c r="H176" s="6" t="str">
        <x:v>1014</x:v>
      </x:c>
      <x:c r="I176" s="6" t="str">
        <x:v>17</x:v>
      </x:c>
      <x:c r="J176" s="6" t="str">
        <x:v>36</x:v>
      </x:c>
      <x:c r="K176" s="6" t="str">
        <x:v>1</x:v>
      </x:c>
      <x:c r="L176" s="6" t="str">
        <x:v>14</x:v>
      </x:c>
      <x:c r="M176" s="6" t="str">
        <x:v>56</x:v>
      </x:c>
      <x:c r="N176" s="6" t="str">
        <x:v>1591</x:v>
      </x:c>
      <x:c r="O176" s="6" t="str">
        <x:v>0</x:v>
      </x:c>
      <x:c r="P176" s="10" t="n">
        <x:f>F176-M176</x:f>
        <x:v>1535</x:v>
      </x:c>
      <x:c r="Q176" s="11" t="n">
        <x:f>IFERROR(M176/F176,"")</x:f>
        <x:v>0.03519798868636078</x:v>
      </x:c>
      <x:c r="R176" s="10" t="n">
        <x:f>G176+H176</x:f>
        <x:v>1467</x:v>
      </x:c>
      <x:c r="S176" s="11" t="n">
        <x:f>IFERROR(R176/F176,"")</x:f>
        <x:v>0.9220615964802011</x:v>
      </x:c>
      <x:c r="T176" s="11" t="n">
        <x:f>IFERROR(R176/P176,"")</x:f>
        <x:v>0.955700325732899</x:v>
      </x:c>
      <x:c r="U176" s="10" t="n">
        <x:f>I176+J176+K176</x:f>
        <x:v>54</x:v>
      </x:c>
      <x:c r="V176" s="11" t="n">
        <x:f>IFERROR(U176/P176,"")</x:f>
        <x:v>0.03517915309446254</x:v>
      </x:c>
      <x:c r="W176" s="9" t="str">
        <x:v>mature_le_5pct_pending</x:v>
      </x:c>
      <x:c r="X176" s="12" t="n">
        <x:f>IFERROR(F176/Z176*100000,"")</x:f>
        <x:v>16.89031381375005</x:v>
      </x:c>
      <x:c r="Y176" s="13" t="n">
        <x:f>LN(Z176)</x:f>
        <x:v>16.058303182805965</x:v>
      </x:c>
      <x:c r="Z176" s="6" t="str">
        <x:v>9419600</x:v>
      </x:c>
      <x:c r="AA176" s="6" t="str">
        <x:v>281.0</x:v>
      </x:c>
      <x:c r="AB176" s="9" t="str">
        <x:v>2024-06-30</x:v>
      </x:c>
      <x:c r="AC176" s="8" t="str">
        <x:v>85.44</x:v>
      </x:c>
      <x:c r="AD176" s="9" t="str">
        <x:v>2024 (Susenas)</x:v>
      </x:c>
      <x:c r="AE176" s="8" t="str">
        <x:v>10.69</x:v>
      </x:c>
      <x:c r="AF176" s="9" t="str">
        <x:v>Maret 2024 (Susenas)</x:v>
      </x:c>
      <x:c r="AG176" s="6" t="str">
        <x:v>26.03588360507205</x:v>
      </x:c>
      <x:c r="AH176" s="8" t="str">
        <x:v>84.15591453175675</x:v>
      </x:c>
      <x:c r="AI176" s="6" t="str">
        <x:v>58.27082317953736</x:v>
      </x:c>
      <x:c r="AJ176" s="6" t="str">
        <x:v>0.5764470622301197</x:v>
      </x:c>
      <x:c r="AK176" s="8" t="str">
        <x:v>1.9346596016967004</x:v>
      </x:c>
      <x:c r="AL176" s="6" t="str">
        <x:v>2.9529273119940886</x:v>
      </x:c>
      <x:c r="AM176" s="6" t="str">
        <x:v>3.215406844972456</x:v>
      </x:c>
      <x:c r="AN176" s="6" t="str">
        <x:v>2.700997919554416</x:v>
      </x:c>
      <x:c r="AO176" s="6" t="str">
        <x:v>0.5501268685907661</x:v>
      </x:c>
      <x:c r="AP176" s="8" t="str">
        <x:v>0.1785815602517745</x:v>
      </x:c>
      <x:c r="AQ176" s="6" t="str">
        <x:v>0.0776816287256593</x:v>
      </x:c>
      <x:c r="AR176" s="6" t="str">
        <x:v>0.3588101729091163</x:v>
      </x:c>
      <x:c r="AS176" s="6" t="str">
        <x:v>0.2050244539621829</x:v>
      </x:c>
      <x:c r="AT176" s="6" t="str">
        <x:v>-32.26166279093388</x:v>
      </x:c>
      <x:c r="AU176" s="8" t="str">
        <x:v>-0.4885379429080817</x:v>
      </x:c>
      <x:c r="AV176" s="6" t="str">
        <x:v>0.7100074538965583</x:v>
      </x:c>
      <x:c r="AW176" s="6" t="str">
        <x:v>1.204342640268066</x:v>
      </x:c>
      <x:c r="AX176" s="6" t="str">
        <x:v>0.4752707170855142</x:v>
      </x:c>
      <x:c r="AY176" s="6" t="str">
        <x:v>0</x:v>
      </x:c>
      <x:c r="AZ176" s="6" t="str">
        <x:v>1</x:v>
      </x:c>
      <x:c r="BA176" s="9" t="str">
        <x:v>grid_cells_within_BIG_polygon</x:v>
      </x:c>
      <x:c r="BB176" s="6" t="str">
        <x:v>10</x:v>
      </x:c>
      <x:c r="BC176" s="6" t="str">
        <x:v>3</x:v>
      </x:c>
      <x:c r="BD176" s="6" t="str">
        <x:v>3</x:v>
      </x:c>
      <x:c r="BE176" s="6" t="str">
        <x:v>0</x:v>
      </x:c>
      <x:c r="BF176" s="6" t="str">
        <x:v>0</x:v>
      </x:c>
      <x:c r="BG176" s="6" t="str">
        <x:v>3</x:v>
      </x:c>
      <x:c r="BH176" s="6" t="str">
        <x:v>0</x:v>
      </x:c>
      <x:c r="BI176" s="6" t="str">
        <x:v>0</x:v>
      </x:c>
      <x:c r="BJ176" s="6" t="str">
        <x:v>0</x:v>
      </x:c>
      <x:c r="BK176" s="6" t="str">
        <x:v>0</x:v>
      </x:c>
      <x:c r="BL176" s="6" t="str">
        <x:v>0</x:v>
      </x:c>
      <x:c r="BM176" s="6" t="str">
        <x:v>0</x:v>
      </x:c>
      <x:c r="BN176" s="6" t="str">
        <x:v>3</x:v>
      </x:c>
      <x:c r="BO176" s="6" t="str">
        <x:v>0.0</x:v>
      </x:c>
      <x:c r="BP176" s="6" t="str">
        <x:v>3</x:v>
      </x:c>
      <x:c r="BQ176" s="6" t="str">
        <x:v>1.0</x:v>
      </x:c>
      <x:c r="BR176" s="6" t="str">
        <x:v>3</x:v>
      </x:c>
      <x:c r="BS176" s="6" t="str">
        <x:v>156.0</x:v>
      </x:c>
      <x:c r="BT176" s="6" t="str">
        <x:v>3</x:v>
      </x:c>
      <x:c r="BU176" s="6" t="str"/>
      <x:c r="BV176" s="6" t="str">
        <x:v>0</x:v>
      </x:c>
      <x:c r="BW176" s="9" t="str">
        <x:v>operational_snapshot_annual_totals_may_differ</x:v>
      </x:c>
      <x:c r="BX176" s="9" t="str">
        <x:v>official_live_dashboard_snapshot_subject_to_revision</x:v>
      </x:c>
      <x:c r="BY176" s="9" t="str">
        <x:v>https://tbdashboard.sitb.id/ss_data_tbc03so_2024_provinsi_bulanan_list.php</x:v>
      </x:c>
      <x:c r="BZ176" s="6" t="n">
        <x:v>46246.610671296294</x:v>
      </x:c>
    </x:row>
    <x:row r="177" ht="18" customHeight="1">
      <x:c r="A177" s="6" t="str">
        <x:v>18</x:v>
      </x:c>
      <x:c r="B177" s="6" t="str">
        <x:v>LAMPUNG</x:v>
      </x:c>
      <x:c r="C177" s="6" t="str">
        <x:v>2024</x:v>
      </x:c>
      <x:c r="D177" s="6" t="str">
        <x:v>8</x:v>
      </x:c>
      <x:c r="E177" s="6" t="str">
        <x:v>2024-08</x:v>
      </x:c>
      <x:c r="F177" s="6" t="str">
        <x:v>1495</x:v>
      </x:c>
      <x:c r="G177" s="6" t="str">
        <x:v>382</x:v>
      </x:c>
      <x:c r="H177" s="6" t="str">
        <x:v>955</x:v>
      </x:c>
      <x:c r="I177" s="6" t="str">
        <x:v>16</x:v>
      </x:c>
      <x:c r="J177" s="6" t="str">
        <x:v>39</x:v>
      </x:c>
      <x:c r="K177" s="6" t="str">
        <x:v>0</x:v>
      </x:c>
      <x:c r="L177" s="6" t="str">
        <x:v>5</x:v>
      </x:c>
      <x:c r="M177" s="6" t="str">
        <x:v>98</x:v>
      </x:c>
      <x:c r="N177" s="6" t="str">
        <x:v>1495</x:v>
      </x:c>
      <x:c r="O177" s="6" t="str">
        <x:v>0</x:v>
      </x:c>
      <x:c r="P177" s="10" t="n">
        <x:f>F177-M177</x:f>
        <x:v>1397</x:v>
      </x:c>
      <x:c r="Q177" s="11" t="n">
        <x:f>IFERROR(M177/F177,"")</x:f>
        <x:v>0.06555183946488294</x:v>
      </x:c>
      <x:c r="R177" s="10" t="n">
        <x:f>G177+H177</x:f>
        <x:v>1337</x:v>
      </x:c>
      <x:c r="S177" s="11" t="n">
        <x:f>IFERROR(R177/F177,"")</x:f>
        <x:v>0.894314381270903</x:v>
      </x:c>
      <x:c r="T177" s="11" t="n">
        <x:f>IFERROR(R177/P177,"")</x:f>
        <x:v>0.9570508231925555</x:v>
      </x:c>
      <x:c r="U177" s="10" t="n">
        <x:f>I177+J177+K177</x:f>
        <x:v>55</x:v>
      </x:c>
      <x:c r="V177" s="11" t="n">
        <x:f>IFERROR(U177/P177,"")</x:f>
        <x:v>0.03937007874015748</x:v>
      </x:c>
      <x:c r="W177" s="9" t="str">
        <x:v>provisional_gt_5pct_pending</x:v>
      </x:c>
      <x:c r="X177" s="12" t="n">
        <x:f>IFERROR(F177/Z177*100000,"")</x:f>
        <x:v>15.871162257420696</x:v>
      </x:c>
      <x:c r="Y177" s="13" t="n">
        <x:f>LN(Z177)</x:f>
        <x:v>16.058303182805965</x:v>
      </x:c>
      <x:c r="Z177" s="6" t="str">
        <x:v>9419600</x:v>
      </x:c>
      <x:c r="AA177" s="6" t="str">
        <x:v>281.0</x:v>
      </x:c>
      <x:c r="AB177" s="9" t="str">
        <x:v>2024-06-30</x:v>
      </x:c>
      <x:c r="AC177" s="8" t="str">
        <x:v>85.44</x:v>
      </x:c>
      <x:c r="AD177" s="9" t="str">
        <x:v>2024 (Susenas)</x:v>
      </x:c>
      <x:c r="AE177" s="8" t="str">
        <x:v>10.69</x:v>
      </x:c>
      <x:c r="AF177" s="9" t="str">
        <x:v>Maret 2024 (Susenas)</x:v>
      </x:c>
      <x:c r="AG177" s="6" t="str">
        <x:v>26.57495480949392</x:v>
      </x:c>
      <x:c r="AH177" s="8" t="str">
        <x:v>80.3207390096029</x:v>
      </x:c>
      <x:c r="AI177" s="6" t="str">
        <x:v>37.97170775916832</x:v>
      </x:c>
      <x:c r="AJ177" s="6" t="str">
        <x:v>0.7339956644800587</x:v>
      </x:c>
      <x:c r="AK177" s="8" t="str">
        <x:v>1.7623520793760423</x:v>
      </x:c>
      <x:c r="AL177" s="6" t="str">
        <x:v>1.9346596016967004</x:v>
      </x:c>
      <x:c r="AM177" s="6" t="str">
        <x:v>2.9529273119940886</x:v>
      </x:c>
      <x:c r="AN177" s="6" t="str">
        <x:v>2.216646331022277</x:v>
      </x:c>
      <x:c r="AO177" s="6" t="str">
        <x:v>1.0992628453653597</x:v>
      </x:c>
      <x:c r="AP177" s="8" t="str">
        <x:v>0.2366761672013611</x:v>
      </x:c>
      <x:c r="AQ177" s="6" t="str">
        <x:v>0.1785815602517745</x:v>
      </x:c>
      <x:c r="AR177" s="6" t="str">
        <x:v>0.0776816287256593</x:v>
      </x:c>
      <x:c r="AS177" s="6" t="str">
        <x:v>0.1643131187262645</x:v>
      </x:c>
      <x:c r="AT177" s="6" t="str">
        <x:v>-25.000612761745884</x:v>
      </x:c>
      <x:c r="AU177" s="8" t="str">
        <x:v>-0.476769698193061</x:v>
      </x:c>
      <x:c r="AV177" s="6" t="str">
        <x:v>-0.4885379429080817</x:v>
      </x:c>
      <x:c r="AW177" s="6" t="str">
        <x:v>0.7100074538965583</x:v>
      </x:c>
      <x:c r="AX177" s="6" t="str">
        <x:v>-0.085100062401528</x:v>
      </x:c>
      <x:c r="AY177" s="6" t="str">
        <x:v>0</x:v>
      </x:c>
      <x:c r="AZ177" s="6" t="str">
        <x:v>1</x:v>
      </x:c>
      <x:c r="BA177" s="9" t="str">
        <x:v>grid_cells_within_BIG_polygon</x:v>
      </x:c>
      <x:c r="BB177" s="6" t="str">
        <x:v>10</x:v>
      </x:c>
      <x:c r="BC177" s="6" t="str">
        <x:v>6</x:v>
      </x:c>
      <x:c r="BD177" s="6" t="str">
        <x:v>6</x:v>
      </x:c>
      <x:c r="BE177" s="6" t="str">
        <x:v>0</x:v>
      </x:c>
      <x:c r="BF177" s="6" t="str">
        <x:v>0</x:v>
      </x:c>
      <x:c r="BG177" s="6" t="str">
        <x:v>2</x:v>
      </x:c>
      <x:c r="BH177" s="6" t="str">
        <x:v>0</x:v>
      </x:c>
      <x:c r="BI177" s="6" t="str">
        <x:v>4</x:v>
      </x:c>
      <x:c r="BJ177" s="6" t="str">
        <x:v>0</x:v>
      </x:c>
      <x:c r="BK177" s="6" t="str">
        <x:v>0</x:v>
      </x:c>
      <x:c r="BL177" s="6" t="str">
        <x:v>0</x:v>
      </x:c>
      <x:c r="BM177" s="6" t="str">
        <x:v>0</x:v>
      </x:c>
      <x:c r="BN177" s="6" t="str">
        <x:v>6</x:v>
      </x:c>
      <x:c r="BO177" s="6" t="str">
        <x:v>0.0</x:v>
      </x:c>
      <x:c r="BP177" s="6" t="str">
        <x:v>6</x:v>
      </x:c>
      <x:c r="BQ177" s="6" t="str">
        <x:v>0.0</x:v>
      </x:c>
      <x:c r="BR177" s="6" t="str">
        <x:v>6</x:v>
      </x:c>
      <x:c r="BS177" s="6" t="str">
        <x:v>10.0</x:v>
      </x:c>
      <x:c r="BT177" s="6" t="str">
        <x:v>6</x:v>
      </x:c>
      <x:c r="BU177" s="6" t="str"/>
      <x:c r="BV177" s="6" t="str">
        <x:v>0</x:v>
      </x:c>
      <x:c r="BW177" s="9" t="str">
        <x:v>operational_snapshot_annual_totals_may_differ</x:v>
      </x:c>
      <x:c r="BX177" s="9" t="str">
        <x:v>official_live_dashboard_snapshot_subject_to_revision</x:v>
      </x:c>
      <x:c r="BY177" s="9" t="str">
        <x:v>https://tbdashboard.sitb.id/ss_data_tbc03so_2024_provinsi_bulanan_list.php</x:v>
      </x:c>
      <x:c r="BZ177" s="6" t="n">
        <x:v>46246.610671296294</x:v>
      </x:c>
    </x:row>
    <x:row r="178" ht="18" customHeight="1">
      <x:c r="A178" s="6" t="str">
        <x:v>18</x:v>
      </x:c>
      <x:c r="B178" s="6" t="str">
        <x:v>LAMPUNG</x:v>
      </x:c>
      <x:c r="C178" s="6" t="str">
        <x:v>2024</x:v>
      </x:c>
      <x:c r="D178" s="6" t="str">
        <x:v>9</x:v>
      </x:c>
      <x:c r="E178" s="6" t="str">
        <x:v>2024-09</x:v>
      </x:c>
      <x:c r="F178" s="6" t="str">
        <x:v>1428</x:v>
      </x:c>
      <x:c r="G178" s="6" t="str">
        <x:v>367</x:v>
      </x:c>
      <x:c r="H178" s="6" t="str">
        <x:v>926</x:v>
      </x:c>
      <x:c r="I178" s="6" t="str">
        <x:v>22</x:v>
      </x:c>
      <x:c r="J178" s="6" t="str">
        <x:v>30</x:v>
      </x:c>
      <x:c r="K178" s="6" t="str">
        <x:v>4</x:v>
      </x:c>
      <x:c r="L178" s="6" t="str">
        <x:v>2</x:v>
      </x:c>
      <x:c r="M178" s="6" t="str">
        <x:v>77</x:v>
      </x:c>
      <x:c r="N178" s="6" t="str">
        <x:v>1428</x:v>
      </x:c>
      <x:c r="O178" s="6" t="str">
        <x:v>0</x:v>
      </x:c>
      <x:c r="P178" s="10" t="n">
        <x:f>F178-M178</x:f>
        <x:v>1351</x:v>
      </x:c>
      <x:c r="Q178" s="11" t="n">
        <x:f>IFERROR(M178/F178,"")</x:f>
        <x:v>0.05392156862745098</x:v>
      </x:c>
      <x:c r="R178" s="10" t="n">
        <x:f>G178+H178</x:f>
        <x:v>1293</x:v>
      </x:c>
      <x:c r="S178" s="11" t="n">
        <x:f>IFERROR(R178/F178,"")</x:f>
        <x:v>0.9054621848739496</x:v>
      </x:c>
      <x:c r="T178" s="11" t="n">
        <x:f>IFERROR(R178/P178,"")</x:f>
        <x:v>0.9570688378978535</x:v>
      </x:c>
      <x:c r="U178" s="10" t="n">
        <x:f>I178+J178+K178</x:f>
        <x:v>56</x:v>
      </x:c>
      <x:c r="V178" s="11" t="n">
        <x:f>IFERROR(U178/P178,"")</x:f>
        <x:v>0.04145077720207254</x:v>
      </x:c>
      <x:c r="W178" s="9" t="str">
        <x:v>provisional_gt_5pct_pending</x:v>
      </x:c>
      <x:c r="X178" s="12" t="n">
        <x:f>IFERROR(F178/Z178*100000,"")</x:f>
        <x:v>15.159879400399168</x:v>
      </x:c>
      <x:c r="Y178" s="13" t="n">
        <x:f>LN(Z178)</x:f>
        <x:v>16.058303182805965</x:v>
      </x:c>
      <x:c r="Z178" s="6" t="str">
        <x:v>9419600</x:v>
      </x:c>
      <x:c r="AA178" s="6" t="str">
        <x:v>281.0</x:v>
      </x:c>
      <x:c r="AB178" s="9" t="str">
        <x:v>2024-06-30</x:v>
      </x:c>
      <x:c r="AC178" s="8" t="str">
        <x:v>85.44</x:v>
      </x:c>
      <x:c r="AD178" s="9" t="str">
        <x:v>2024 (Susenas)</x:v>
      </x:c>
      <x:c r="AE178" s="8" t="str">
        <x:v>10.69</x:v>
      </x:c>
      <x:c r="AF178" s="9" t="str">
        <x:v>Maret 2024 (Susenas)</x:v>
      </x:c>
      <x:c r="AG178" s="6" t="str">
        <x:v>27.460039480769478</x:v>
      </x:c>
      <x:c r="AH178" s="8" t="str">
        <x:v>74.93311011825716</x:v>
      </x:c>
      <x:c r="AI178" s="6" t="str">
        <x:v>79.32223021025187</x:v>
      </x:c>
      <x:c r="AJ178" s="6" t="str">
        <x:v>0.96826893771982</x:v>
      </x:c>
      <x:c r="AK178" s="8" t="str">
        <x:v>1.966534520500219</x:v>
      </x:c>
      <x:c r="AL178" s="6" t="str">
        <x:v>1.7623520793760423</x:v>
      </x:c>
      <x:c r="AM178" s="6" t="str">
        <x:v>1.9346596016967004</x:v>
      </x:c>
      <x:c r="AN178" s="6" t="str">
        <x:v>1.8878487338576544</x:v>
      </x:c>
      <x:c r="AO178" s="6" t="str">
        <x:v>-1.0102100715425593</x:v>
      </x:c>
      <x:c r="AP178" s="8" t="str">
        <x:v>-0.1653731054315058</x:v>
      </x:c>
      <x:c r="AQ178" s="6" t="str">
        <x:v>0.2366761672013611</x:v>
      </x:c>
      <x:c r="AR178" s="6" t="str">
        <x:v>0.1785815602517745</x:v>
      </x:c>
      <x:c r="AS178" s="6" t="str">
        <x:v>0.0832948740072094</x:v>
      </x:c>
      <x:c r="AT178" s="6" t="str">
        <x:v>4.415310759580507</x:v>
      </x:c>
      <x:c r="AU178" s="8" t="str">
        <x:v>0.06751905284257</x:v>
      </x:c>
      <x:c r="AV178" s="6" t="str">
        <x:v>-0.476769698193061</x:v>
      </x:c>
      <x:c r="AW178" s="6" t="str">
        <x:v>-0.4885379429080817</x:v>
      </x:c>
      <x:c r="AX178" s="6" t="str">
        <x:v>-0.2992628627528575</x:v>
      </x:c>
      <x:c r="AY178" s="6" t="str">
        <x:v>0</x:v>
      </x:c>
      <x:c r="AZ178" s="6" t="str">
        <x:v>1</x:v>
      </x:c>
      <x:c r="BA178" s="9" t="str">
        <x:v>grid_cells_within_BIG_polygon</x:v>
      </x:c>
      <x:c r="BB178" s="6" t="str">
        <x:v>10</x:v>
      </x:c>
      <x:c r="BC178" s="6" t="str">
        <x:v>7</x:v>
      </x:c>
      <x:c r="BD178" s="6" t="str">
        <x:v>7</x:v>
      </x:c>
      <x:c r="BE178" s="6" t="str">
        <x:v>0</x:v>
      </x:c>
      <x:c r="BF178" s="6" t="str">
        <x:v>0</x:v>
      </x:c>
      <x:c r="BG178" s="6" t="str">
        <x:v>4</x:v>
      </x:c>
      <x:c r="BH178" s="6" t="str">
        <x:v>0</x:v>
      </x:c>
      <x:c r="BI178" s="6" t="str">
        <x:v>3</x:v>
      </x:c>
      <x:c r="BJ178" s="6" t="str">
        <x:v>0</x:v>
      </x:c>
      <x:c r="BK178" s="6" t="str">
        <x:v>0</x:v>
      </x:c>
      <x:c r="BL178" s="6" t="str">
        <x:v>0</x:v>
      </x:c>
      <x:c r="BM178" s="6" t="str">
        <x:v>0</x:v>
      </x:c>
      <x:c r="BN178" s="6" t="str">
        <x:v>7</x:v>
      </x:c>
      <x:c r="BO178" s="6" t="str">
        <x:v>0.0</x:v>
      </x:c>
      <x:c r="BP178" s="6" t="str">
        <x:v>7</x:v>
      </x:c>
      <x:c r="BQ178" s="6" t="str">
        <x:v>0.0</x:v>
      </x:c>
      <x:c r="BR178" s="6" t="str">
        <x:v>7</x:v>
      </x:c>
      <x:c r="BS178" s="6" t="str">
        <x:v>51.0</x:v>
      </x:c>
      <x:c r="BT178" s="6" t="str">
        <x:v>7</x:v>
      </x:c>
      <x:c r="BU178" s="6" t="str"/>
      <x:c r="BV178" s="6" t="str">
        <x:v>0</x:v>
      </x:c>
      <x:c r="BW178" s="9" t="str">
        <x:v>operational_snapshot_annual_totals_may_differ</x:v>
      </x:c>
      <x:c r="BX178" s="9" t="str">
        <x:v>official_live_dashboard_snapshot_subject_to_revision</x:v>
      </x:c>
      <x:c r="BY178" s="9" t="str">
        <x:v>https://tbdashboard.sitb.id/ss_data_tbc03so_2024_provinsi_bulanan_list.php</x:v>
      </x:c>
      <x:c r="BZ178" s="6" t="n">
        <x:v>46246.610671296294</x:v>
      </x:c>
    </x:row>
    <x:row r="179" ht="18" customHeight="1">
      <x:c r="A179" s="6" t="str">
        <x:v>18</x:v>
      </x:c>
      <x:c r="B179" s="6" t="str">
        <x:v>LAMPUNG</x:v>
      </x:c>
      <x:c r="C179" s="6" t="str">
        <x:v>2024</x:v>
      </x:c>
      <x:c r="D179" s="6" t="str">
        <x:v>10</x:v>
      </x:c>
      <x:c r="E179" s="6" t="str">
        <x:v>2024-10</x:v>
      </x:c>
      <x:c r="F179" s="6" t="str">
        <x:v>1546</x:v>
      </x:c>
      <x:c r="G179" s="6" t="str">
        <x:v>340</x:v>
      </x:c>
      <x:c r="H179" s="6" t="str">
        <x:v>1033</x:v>
      </x:c>
      <x:c r="I179" s="6" t="str">
        <x:v>18</x:v>
      </x:c>
      <x:c r="J179" s="6" t="str">
        <x:v>42</x:v>
      </x:c>
      <x:c r="K179" s="6" t="str">
        <x:v>1</x:v>
      </x:c>
      <x:c r="L179" s="6" t="str">
        <x:v>6</x:v>
      </x:c>
      <x:c r="M179" s="6" t="str">
        <x:v>106</x:v>
      </x:c>
      <x:c r="N179" s="6" t="str">
        <x:v>1546</x:v>
      </x:c>
      <x:c r="O179" s="6" t="str">
        <x:v>0</x:v>
      </x:c>
      <x:c r="P179" s="10" t="n">
        <x:f>F179-M179</x:f>
        <x:v>1440</x:v>
      </x:c>
      <x:c r="Q179" s="11" t="n">
        <x:f>IFERROR(M179/F179,"")</x:f>
        <x:v>0.0685640362225097</x:v>
      </x:c>
      <x:c r="R179" s="10" t="n">
        <x:f>G179+H179</x:f>
        <x:v>1373</x:v>
      </x:c>
      <x:c r="S179" s="11" t="n">
        <x:f>IFERROR(R179/F179,"")</x:f>
        <x:v>0.8880983182406209</x:v>
      </x:c>
      <x:c r="T179" s="11" t="n">
        <x:f>IFERROR(R179/P179,"")</x:f>
        <x:v>0.9534722222222223</x:v>
      </x:c>
      <x:c r="U179" s="10" t="n">
        <x:f>I179+J179+K179</x:f>
        <x:v>61</x:v>
      </x:c>
      <x:c r="V179" s="11" t="n">
        <x:f>IFERROR(U179/P179,"")</x:f>
        <x:v>0.04236111111111111</x:v>
      </x:c>
      <x:c r="W179" s="9" t="str">
        <x:v>provisional_gt_5pct_pending</x:v>
      </x:c>
      <x:c r="X179" s="12" t="n">
        <x:f>IFERROR(F179/Z179*100000,"")</x:f>
        <x:v>16.41258652172067</x:v>
      </x:c>
      <x:c r="Y179" s="13" t="n">
        <x:f>LN(Z179)</x:f>
        <x:v>16.058303182805965</x:v>
      </x:c>
      <x:c r="Z179" s="6" t="str">
        <x:v>9419600</x:v>
      </x:c>
      <x:c r="AA179" s="6" t="str">
        <x:v>281.0</x:v>
      </x:c>
      <x:c r="AB179" s="9" t="str">
        <x:v>2024-06-30</x:v>
      </x:c>
      <x:c r="AC179" s="8" t="str">
        <x:v>85.44</x:v>
      </x:c>
      <x:c r="AD179" s="9" t="str">
        <x:v>2024 (Susenas)</x:v>
      </x:c>
      <x:c r="AE179" s="8" t="str">
        <x:v>10.69</x:v>
      </x:c>
      <x:c r="AF179" s="9" t="str">
        <x:v>Maret 2024 (Susenas)</x:v>
      </x:c>
      <x:c r="AG179" s="6" t="str">
        <x:v>28.064063891548905</x:v>
      </x:c>
      <x:c r="AH179" s="8" t="str">
        <x:v>72.94572465450074</x:v>
      </x:c>
      <x:c r="AI179" s="6" t="str">
        <x:v>75.27158310563911</x:v>
      </x:c>
      <x:c r="AJ179" s="6" t="str">
        <x:v>1.2167888037285088</x:v>
      </x:c>
      <x:c r="AK179" s="8" t="str">
        <x:v>1.526281229459917</x:v>
      </x:c>
      <x:c r="AL179" s="6" t="str">
        <x:v>1.966534520500219</x:v>
      </x:c>
      <x:c r="AM179" s="6" t="str">
        <x:v>1.7623520793760423</x:v>
      </x:c>
      <x:c r="AN179" s="6" t="str">
        <x:v>1.7517226097787264</x:v>
      </x:c>
      <x:c r="AO179" s="6" t="str">
        <x:v>-3.598877457509204</x:v>
      </x:c>
      <x:c r="AP179" s="8" t="str">
        <x:v>-0.4720859267816193</x:v>
      </x:c>
      <x:c r="AQ179" s="6" t="str">
        <x:v>-0.1653731054315058</x:v>
      </x:c>
      <x:c r="AR179" s="6" t="str">
        <x:v>0.2366761672013611</x:v>
      </x:c>
      <x:c r="AS179" s="6" t="str">
        <x:v>-0.1335942883372551</x:v>
      </x:c>
      <x:c r="AT179" s="6" t="str">
        <x:v>-40.785099034154825</x:v>
      </x:c>
      <x:c r="AU179" s="8" t="str">
        <x:v>-0.5517262623067939</x:v>
      </x:c>
      <x:c r="AV179" s="6" t="str">
        <x:v>0.06751905284257</x:v>
      </x:c>
      <x:c r="AW179" s="6" t="str">
        <x:v>-0.476769698193061</x:v>
      </x:c>
      <x:c r="AX179" s="6" t="str">
        <x:v>-0.3203256358857616</x:v>
      </x:c>
      <x:c r="AY179" s="6" t="str">
        <x:v>0</x:v>
      </x:c>
      <x:c r="AZ179" s="6" t="str">
        <x:v>1</x:v>
      </x:c>
      <x:c r="BA179" s="9" t="str">
        <x:v>grid_cells_within_BIG_polygon</x:v>
      </x:c>
      <x:c r="BB179" s="6" t="str">
        <x:v>10</x:v>
      </x:c>
      <x:c r="BC179" s="6" t="str">
        <x:v>2</x:v>
      </x:c>
      <x:c r="BD179" s="6" t="str">
        <x:v>2</x:v>
      </x:c>
      <x:c r="BE179" s="6" t="str">
        <x:v>1</x:v>
      </x:c>
      <x:c r="BF179" s="6" t="str">
        <x:v>0</x:v>
      </x:c>
      <x:c r="BG179" s="6" t="str">
        <x:v>1</x:v>
      </x:c>
      <x:c r="BH179" s="6" t="str">
        <x:v>0</x:v>
      </x:c>
      <x:c r="BI179" s="6" t="str">
        <x:v>0</x:v>
      </x:c>
      <x:c r="BJ179" s="6" t="str">
        <x:v>0</x:v>
      </x:c>
      <x:c r="BK179" s="6" t="str">
        <x:v>0</x:v>
      </x:c>
      <x:c r="BL179" s="6" t="str">
        <x:v>0</x:v>
      </x:c>
      <x:c r="BM179" s="6" t="str">
        <x:v>0</x:v>
      </x:c>
      <x:c r="BN179" s="6" t="str">
        <x:v>2</x:v>
      </x:c>
      <x:c r="BO179" s="6" t="str">
        <x:v>0.0</x:v>
      </x:c>
      <x:c r="BP179" s="6" t="str">
        <x:v>2</x:v>
      </x:c>
      <x:c r="BQ179" s="6" t="str">
        <x:v>0.0</x:v>
      </x:c>
      <x:c r="BR179" s="6" t="str">
        <x:v>2</x:v>
      </x:c>
      <x:c r="BS179" s="6" t="str">
        <x:v>0.0</x:v>
      </x:c>
      <x:c r="BT179" s="6" t="str">
        <x:v>2</x:v>
      </x:c>
      <x:c r="BU179" s="6" t="str">
        <x:v>20.0</x:v>
      </x:c>
      <x:c r="BV179" s="6" t="str">
        <x:v>1</x:v>
      </x:c>
      <x:c r="BW179" s="9" t="str">
        <x:v>operational_snapshot_annual_totals_may_differ</x:v>
      </x:c>
      <x:c r="BX179" s="9" t="str">
        <x:v>official_live_dashboard_snapshot_subject_to_revision</x:v>
      </x:c>
      <x:c r="BY179" s="9" t="str">
        <x:v>https://tbdashboard.sitb.id/ss_data_tbc03so_2024_provinsi_bulanan_list.php</x:v>
      </x:c>
      <x:c r="BZ179" s="6" t="n">
        <x:v>46246.610671296294</x:v>
      </x:c>
    </x:row>
    <x:row r="180" ht="18" customHeight="1">
      <x:c r="A180" s="6" t="str">
        <x:v>18</x:v>
      </x:c>
      <x:c r="B180" s="6" t="str">
        <x:v>LAMPUNG</x:v>
      </x:c>
      <x:c r="C180" s="6" t="str">
        <x:v>2024</x:v>
      </x:c>
      <x:c r="D180" s="6" t="str">
        <x:v>11</x:v>
      </x:c>
      <x:c r="E180" s="6" t="str">
        <x:v>2024-11</x:v>
      </x:c>
      <x:c r="F180" s="6" t="str">
        <x:v>1443</x:v>
      </x:c>
      <x:c r="G180" s="6" t="str">
        <x:v>334</x:v>
      </x:c>
      <x:c r="H180" s="6" t="str">
        <x:v>977</x:v>
      </x:c>
      <x:c r="I180" s="6" t="str">
        <x:v>27</x:v>
      </x:c>
      <x:c r="J180" s="6" t="str">
        <x:v>43</x:v>
      </x:c>
      <x:c r="K180" s="6" t="str">
        <x:v>0</x:v>
      </x:c>
      <x:c r="L180" s="6" t="str">
        <x:v>0</x:v>
      </x:c>
      <x:c r="M180" s="6" t="str">
        <x:v>62</x:v>
      </x:c>
      <x:c r="N180" s="6" t="str">
        <x:v>1443</x:v>
      </x:c>
      <x:c r="O180" s="6" t="str">
        <x:v>0</x:v>
      </x:c>
      <x:c r="P180" s="10" t="n">
        <x:f>F180-M180</x:f>
        <x:v>1381</x:v>
      </x:c>
      <x:c r="Q180" s="11" t="n">
        <x:f>IFERROR(M180/F180,"")</x:f>
        <x:v>0.042966042966042964</x:v>
      </x:c>
      <x:c r="R180" s="10" t="n">
        <x:f>G180+H180</x:f>
        <x:v>1311</x:v>
      </x:c>
      <x:c r="S180" s="11" t="n">
        <x:f>IFERROR(R180/F180,"")</x:f>
        <x:v>0.9085239085239085</x:v>
      </x:c>
      <x:c r="T180" s="11" t="n">
        <x:f>IFERROR(R180/P180,"")</x:f>
        <x:v>0.9493120926864591</x:v>
      </x:c>
      <x:c r="U180" s="10" t="n">
        <x:f>I180+J180+K180</x:f>
        <x:v>70</x:v>
      </x:c>
      <x:c r="V180" s="11" t="n">
        <x:f>IFERROR(U180/P180,"")</x:f>
        <x:v>0.05068790731354091</x:v>
      </x:c>
      <x:c r="W180" s="9" t="str">
        <x:v>mature_le_5pct_pending</x:v>
      </x:c>
      <x:c r="X180" s="12" t="n">
        <x:f>IFERROR(F180/Z180*100000,"")</x:f>
        <x:v>15.31912183107563</x:v>
      </x:c>
      <x:c r="Y180" s="13" t="n">
        <x:f>LN(Z180)</x:f>
        <x:v>16.058303182805965</x:v>
      </x:c>
      <x:c r="Z180" s="6" t="str">
        <x:v>9419600</x:v>
      </x:c>
      <x:c r="AA180" s="6" t="str">
        <x:v>281.0</x:v>
      </x:c>
      <x:c r="AB180" s="9" t="str">
        <x:v>2024-06-30</x:v>
      </x:c>
      <x:c r="AC180" s="8" t="str">
        <x:v>85.44</x:v>
      </x:c>
      <x:c r="AD180" s="9" t="str">
        <x:v>2024 (Susenas)</x:v>
      </x:c>
      <x:c r="AE180" s="8" t="str">
        <x:v>10.69</x:v>
      </x:c>
      <x:c r="AF180" s="9" t="str">
        <x:v>Maret 2024 (Susenas)</x:v>
      </x:c>
      <x:c r="AG180" s="6" t="str">
        <x:v>27.04602134182976</x:v>
      </x:c>
      <x:c r="AH180" s="8" t="str">
        <x:v>82.04196310259711</x:v>
      </x:c>
      <x:c r="AI180" s="6" t="str">
        <x:v>275.3062028876762</x:v>
      </x:c>
      <x:c r="AJ180" s="6" t="str">
        <x:v>0.4888953445379229</x:v>
      </x:c>
      <x:c r="AK180" s="8" t="str">
        <x:v>0.5236946173574973</x:v>
      </x:c>
      <x:c r="AL180" s="6" t="str">
        <x:v>1.526281229459917</x:v>
      </x:c>
      <x:c r="AM180" s="6" t="str">
        <x:v>1.966534520500219</x:v>
      </x:c>
      <x:c r="AN180" s="6" t="str">
        <x:v>1.338836789105878</x:v>
      </x:c>
      <x:c r="AO180" s="6" t="str">
        <x:v>1.4200998804159752</x:v>
      </x:c>
      <x:c r="AP180" s="8" t="str">
        <x:v>0.2300968622840661</x:v>
      </x:c>
      <x:c r="AQ180" s="6" t="str">
        <x:v>-0.4720859267816193</x:v>
      </x:c>
      <x:c r="AR180" s="6" t="str">
        <x:v>-0.1653731054315058</x:v>
      </x:c>
      <x:c r="AS180" s="6" t="str">
        <x:v>-0.1357873899763534</x:v>
      </x:c>
      <x:c r="AT180" s="6" t="str">
        <x:v>89.5200817649081</x:v>
      </x:c>
      <x:c r="AU180" s="8" t="str">
        <x:v>1.1217096031686888</x:v>
      </x:c>
      <x:c r="AV180" s="6" t="str">
        <x:v>-0.5517262623067939</x:v>
      </x:c>
      <x:c r="AW180" s="6" t="str">
        <x:v>0.06751905284257</x:v>
      </x:c>
      <x:c r="AX180" s="6" t="str">
        <x:v>0.2125007979014883</x:v>
      </x:c>
      <x:c r="AY180" s="6" t="str">
        <x:v>1</x:v>
      </x:c>
      <x:c r="AZ180" s="6" t="str">
        <x:v>0</x:v>
      </x:c>
      <x:c r="BA180" s="9" t="str">
        <x:v>grid_cells_within_BIG_polygon</x:v>
      </x:c>
      <x:c r="BB180" s="6" t="str">
        <x:v>10</x:v>
      </x:c>
      <x:c r="BC180" s="6" t="str">
        <x:v>5</x:v>
      </x:c>
      <x:c r="BD180" s="6" t="str">
        <x:v>5</x:v>
      </x:c>
      <x:c r="BE180" s="6" t="str">
        <x:v>0</x:v>
      </x:c>
      <x:c r="BF180" s="6" t="str">
        <x:v>0</x:v>
      </x:c>
      <x:c r="BG180" s="6" t="str">
        <x:v>4</x:v>
      </x:c>
      <x:c r="BH180" s="6" t="str">
        <x:v>1</x:v>
      </x:c>
      <x:c r="BI180" s="6" t="str">
        <x:v>0</x:v>
      </x:c>
      <x:c r="BJ180" s="6" t="str">
        <x:v>0</x:v>
      </x:c>
      <x:c r="BK180" s="6" t="str">
        <x:v>0</x:v>
      </x:c>
      <x:c r="BL180" s="6" t="str">
        <x:v>0</x:v>
      </x:c>
      <x:c r="BM180" s="6" t="str">
        <x:v>0</x:v>
      </x:c>
      <x:c r="BN180" s="6" t="str">
        <x:v>5</x:v>
      </x:c>
      <x:c r="BO180" s="6" t="str">
        <x:v>0.0</x:v>
      </x:c>
      <x:c r="BP180" s="6" t="str">
        <x:v>5</x:v>
      </x:c>
      <x:c r="BQ180" s="6" t="str">
        <x:v>0.0</x:v>
      </x:c>
      <x:c r="BR180" s="6" t="str">
        <x:v>5</x:v>
      </x:c>
      <x:c r="BS180" s="6" t="str">
        <x:v>106.0</x:v>
      </x:c>
      <x:c r="BT180" s="6" t="str">
        <x:v>5</x:v>
      </x:c>
      <x:c r="BU180" s="6" t="str"/>
      <x:c r="BV180" s="6" t="str">
        <x:v>0</x:v>
      </x:c>
      <x:c r="BW180" s="9" t="str">
        <x:v>operational_snapshot_annual_totals_may_differ</x:v>
      </x:c>
      <x:c r="BX180" s="9" t="str">
        <x:v>official_live_dashboard_snapshot_subject_to_revision</x:v>
      </x:c>
      <x:c r="BY180" s="9" t="str">
        <x:v>https://tbdashboard.sitb.id/ss_data_tbc03so_2024_provinsi_bulanan_list.php</x:v>
      </x:c>
      <x:c r="BZ180" s="6" t="n">
        <x:v>46246.610671296294</x:v>
      </x:c>
    </x:row>
    <x:row r="181" ht="18" customHeight="1">
      <x:c r="A181" s="6" t="str">
        <x:v>18</x:v>
      </x:c>
      <x:c r="B181" s="6" t="str">
        <x:v>LAMPUNG</x:v>
      </x:c>
      <x:c r="C181" s="6" t="str">
        <x:v>2024</x:v>
      </x:c>
      <x:c r="D181" s="6" t="str">
        <x:v>12</x:v>
      </x:c>
      <x:c r="E181" s="6" t="str">
        <x:v>2024-12</x:v>
      </x:c>
      <x:c r="F181" s="6" t="str">
        <x:v>1204</x:v>
      </x:c>
      <x:c r="G181" s="6" t="str">
        <x:v>314</x:v>
      </x:c>
      <x:c r="H181" s="6" t="str">
        <x:v>784</x:v>
      </x:c>
      <x:c r="I181" s="6" t="str">
        <x:v>20</x:v>
      </x:c>
      <x:c r="J181" s="6" t="str">
        <x:v>41</x:v>
      </x:c>
      <x:c r="K181" s="6" t="str">
        <x:v>1</x:v>
      </x:c>
      <x:c r="L181" s="6" t="str">
        <x:v>1</x:v>
      </x:c>
      <x:c r="M181" s="6" t="str">
        <x:v>43</x:v>
      </x:c>
      <x:c r="N181" s="6" t="str">
        <x:v>1204</x:v>
      </x:c>
      <x:c r="O181" s="6" t="str">
        <x:v>0</x:v>
      </x:c>
      <x:c r="P181" s="10" t="n">
        <x:f>F181-M181</x:f>
        <x:v>1161</x:v>
      </x:c>
      <x:c r="Q181" s="11" t="n">
        <x:f>IFERROR(M181/F181,"")</x:f>
        <x:v>0.03571428571428571</x:v>
      </x:c>
      <x:c r="R181" s="10" t="n">
        <x:f>G181+H181</x:f>
        <x:v>1098</x:v>
      </x:c>
      <x:c r="S181" s="11" t="n">
        <x:f>IFERROR(R181/F181,"")</x:f>
        <x:v>0.9119601328903655</x:v>
      </x:c>
      <x:c r="T181" s="11" t="n">
        <x:f>IFERROR(R181/P181,"")</x:f>
        <x:v>0.9457364341085271</x:v>
      </x:c>
      <x:c r="U181" s="10" t="n">
        <x:f>I181+J181+K181</x:f>
        <x:v>62</x:v>
      </x:c>
      <x:c r="V181" s="11" t="n">
        <x:f>IFERROR(U181/P181,"")</x:f>
        <x:v>0.053402239448751075</x:v>
      </x:c>
      <x:c r="W181" s="9" t="str">
        <x:v>mature_le_5pct_pending</x:v>
      </x:c>
      <x:c r="X181" s="12" t="n">
        <x:f>IFERROR(F181/Z181*100000,"")</x:f>
        <x:v>12.781859102297338</x:v>
      </x:c>
      <x:c r="Y181" s="13" t="n">
        <x:f>LN(Z181)</x:f>
        <x:v>16.058303182805965</x:v>
      </x:c>
      <x:c r="Z181" s="6" t="str">
        <x:v>9419600</x:v>
      </x:c>
      <x:c r="AA181" s="6" t="str">
        <x:v>281.0</x:v>
      </x:c>
      <x:c r="AB181" s="9" t="str">
        <x:v>2024-06-30</x:v>
      </x:c>
      <x:c r="AC181" s="8" t="str">
        <x:v>85.44</x:v>
      </x:c>
      <x:c r="AD181" s="9" t="str">
        <x:v>2024 (Susenas)</x:v>
      </x:c>
      <x:c r="AE181" s="8" t="str">
        <x:v>10.69</x:v>
      </x:c>
      <x:c r="AF181" s="9" t="str">
        <x:v>Maret 2024 (Susenas)</x:v>
      </x:c>
      <x:c r="AG181" s="6" t="str">
        <x:v>26.37695131588561</x:v>
      </x:c>
      <x:c r="AH181" s="8" t="str">
        <x:v>85.19923147417663</x:v>
      </x:c>
      <x:c r="AI181" s="6" t="str">
        <x:v>252.87066166488023</x:v>
      </x:c>
      <x:c r="AJ181" s="6" t="str">
        <x:v>0.6138035493114167</x:v>
      </x:c>
      <x:c r="AK181" s="8" t="str">
        <x:v>1.0513281006655548</x:v>
      </x:c>
      <x:c r="AL181" s="6" t="str">
        <x:v>0.5236946173574973</x:v>
      </x:c>
      <x:c r="AM181" s="6" t="str">
        <x:v>1.526281229459917</x:v>
      </x:c>
      <x:c r="AN181" s="6" t="str">
        <x:v>1.0337679824943231</x:v>
      </x:c>
      <x:c r="AO181" s="6" t="str">
        <x:v>-0.4144366484375155</x:v>
      </x:c>
      <x:c r="AP181" s="8" t="str">
        <x:v>-0.1602256759277638</x:v>
      </x:c>
      <x:c r="AQ181" s="6" t="str">
        <x:v>0.2300968622840661</x:v>
      </x:c>
      <x:c r="AR181" s="6" t="str">
        <x:v>-0.4720859267816193</x:v>
      </x:c>
      <x:c r="AS181" s="6" t="str">
        <x:v>-0.1340715801417727</x:v>
      </x:c>
      <x:c r="AT181" s="6" t="str">
        <x:v>-17.057347669279977</x:v>
      </x:c>
      <x:c r="AU181" s="8" t="str">
        <x:v>-0.1951788326092493</x:v>
      </x:c>
      <x:c r="AV181" s="6" t="str">
        <x:v>1.1217096031686888</x:v>
      </x:c>
      <x:c r="AW181" s="6" t="str">
        <x:v>-0.5517262623067939</x:v>
      </x:c>
      <x:c r="AX181" s="6" t="str">
        <x:v>0.1249348360842152</x:v>
      </x:c>
      <x:c r="AY181" s="6" t="str">
        <x:v>0</x:v>
      </x:c>
      <x:c r="AZ181" s="6" t="str">
        <x:v>1</x:v>
      </x:c>
      <x:c r="BA181" s="9" t="str">
        <x:v>grid_cells_within_BIG_polygon</x:v>
      </x:c>
      <x:c r="BB181" s="6" t="str">
        <x:v>10</x:v>
      </x:c>
      <x:c r="BC181" s="6" t="str">
        <x:v>6</x:v>
      </x:c>
      <x:c r="BD181" s="6" t="str">
        <x:v>6</x:v>
      </x:c>
      <x:c r="BE181" s="6" t="str">
        <x:v>4</x:v>
      </x:c>
      <x:c r="BF181" s="6" t="str">
        <x:v>0</x:v>
      </x:c>
      <x:c r="BG181" s="6" t="str">
        <x:v>2</x:v>
      </x:c>
      <x:c r="BH181" s="6" t="str">
        <x:v>0</x:v>
      </x:c>
      <x:c r="BI181" s="6" t="str">
        <x:v>0</x:v>
      </x:c>
      <x:c r="BJ181" s="6" t="str">
        <x:v>0</x:v>
      </x:c>
      <x:c r="BK181" s="6" t="str">
        <x:v>0</x:v>
      </x:c>
      <x:c r="BL181" s="6" t="str">
        <x:v>0</x:v>
      </x:c>
      <x:c r="BM181" s="6" t="str">
        <x:v>0</x:v>
      </x:c>
      <x:c r="BN181" s="6" t="str">
        <x:v>6</x:v>
      </x:c>
      <x:c r="BO181" s="6" t="str">
        <x:v>0.0</x:v>
      </x:c>
      <x:c r="BP181" s="6" t="str">
        <x:v>6</x:v>
      </x:c>
      <x:c r="BQ181" s="6" t="str">
        <x:v>0.0</x:v>
      </x:c>
      <x:c r="BR181" s="6" t="str">
        <x:v>6</x:v>
      </x:c>
      <x:c r="BS181" s="6" t="str">
        <x:v>84.0</x:v>
      </x:c>
      <x:c r="BT181" s="6" t="str">
        <x:v>6</x:v>
      </x:c>
      <x:c r="BU181" s="6" t="str">
        <x:v>1967.0</x:v>
      </x:c>
      <x:c r="BV181" s="6" t="str">
        <x:v>4</x:v>
      </x:c>
      <x:c r="BW181" s="9" t="str">
        <x:v>operational_snapshot_annual_totals_may_differ</x:v>
      </x:c>
      <x:c r="BX181" s="9" t="str">
        <x:v>official_live_dashboard_snapshot_subject_to_revision</x:v>
      </x:c>
      <x:c r="BY181" s="9" t="str">
        <x:v>https://tbdashboard.sitb.id/ss_data_tbc03so_2024_provinsi_bulanan_list.php</x:v>
      </x:c>
      <x:c r="BZ181" s="6" t="n">
        <x:v>46246.610671296294</x:v>
      </x:c>
    </x:row>
    <x:row r="182" ht="18" customHeight="1">
      <x:c r="A182" s="6" t="str">
        <x:v>18</x:v>
      </x:c>
      <x:c r="B182" s="6" t="str">
        <x:v>LAMPUNG</x:v>
      </x:c>
      <x:c r="C182" s="6" t="str">
        <x:v>2025</x:v>
      </x:c>
      <x:c r="D182" s="6" t="str">
        <x:v>1</x:v>
      </x:c>
      <x:c r="E182" s="6" t="str">
        <x:v>2025-01</x:v>
      </x:c>
      <x:c r="F182" s="6" t="str">
        <x:v>1865</x:v>
      </x:c>
      <x:c r="G182" s="6" t="str">
        <x:v>368</x:v>
      </x:c>
      <x:c r="H182" s="6" t="str">
        <x:v>1301</x:v>
      </x:c>
      <x:c r="I182" s="6" t="str">
        <x:v>24</x:v>
      </x:c>
      <x:c r="J182" s="6" t="str">
        <x:v>49</x:v>
      </x:c>
      <x:c r="K182" s="6" t="str">
        <x:v>0</x:v>
      </x:c>
      <x:c r="L182" s="6" t="str">
        <x:v>2</x:v>
      </x:c>
      <x:c r="M182" s="6" t="str">
        <x:v>121</x:v>
      </x:c>
      <x:c r="N182" s="6" t="str">
        <x:v>1865</x:v>
      </x:c>
      <x:c r="O182" s="6" t="str">
        <x:v>0</x:v>
      </x:c>
      <x:c r="P182" s="10" t="n">
        <x:f>F182-M182</x:f>
        <x:v>1744</x:v>
      </x:c>
      <x:c r="Q182" s="11" t="n">
        <x:f>IFERROR(M182/F182,"")</x:f>
        <x:v>0.0648793565683646</x:v>
      </x:c>
      <x:c r="R182" s="10" t="n">
        <x:f>G182+H182</x:f>
        <x:v>1669</x:v>
      </x:c>
      <x:c r="S182" s="11" t="n">
        <x:f>IFERROR(R182/F182,"")</x:f>
        <x:v>0.8949061662198391</x:v>
      </x:c>
      <x:c r="T182" s="11" t="n">
        <x:f>IFERROR(R182/P182,"")</x:f>
        <x:v>0.9569954128440367</x:v>
      </x:c>
      <x:c r="U182" s="10" t="n">
        <x:f>I182+J182+K182</x:f>
        <x:v>73</x:v>
      </x:c>
      <x:c r="V182" s="11" t="n">
        <x:f>IFERROR(U182/P182,"")</x:f>
        <x:v>0.041857798165137614</x:v>
      </x:c>
      <x:c r="W182" s="9" t="str">
        <x:v>provisional_gt_5pct_pending</x:v>
      </x:c>
      <x:c r="X182" s="12" t="n">
        <x:f>IFERROR(F182/Z182*100000,"")</x:f>
        <x:v>19.584370307364352</x:v>
      </x:c>
      <x:c r="Y182" s="13" t="n">
        <x:f>LN(Z182)</x:f>
        <x:v>16.06920998222847</x:v>
      </x:c>
      <x:c r="Z182" s="6" t="str">
        <x:v>9522900</x:v>
      </x:c>
      <x:c r="AA182" s="6" t="str">
        <x:v>284.0</x:v>
      </x:c>
      <x:c r="AB182" s="9" t="str">
        <x:v>2025-06-30</x:v>
      </x:c>
      <x:c r="AC182" s="8" t="str">
        <x:v>87.29</x:v>
      </x:c>
      <x:c r="AD182" s="9" t="str">
        <x:v>2025 (Susenas)</x:v>
      </x:c>
      <x:c r="AE182" s="8" t="str">
        <x:v>10.0</x:v>
      </x:c>
      <x:c r="AF182" s="9" t="str">
        <x:v>Maret 2025 (Susenas)</x:v>
      </x:c>
      <x:c r="AG182" s="6" t="str">
        <x:v>25.78889753260645</x:v>
      </x:c>
      <x:c r="AH182" s="8" t="str">
        <x:v>88.20156628102391</x:v>
      </x:c>
      <x:c r="AI182" s="6" t="str">
        <x:v>481.1886215163784</x:v>
      </x:c>
      <x:c r="AJ182" s="6" t="str">
        <x:v>0.2829006174203776</x:v>
      </x:c>
      <x:c r="AK182" s="8" t="str">
        <x:v>0.5795888133880561</x:v>
      </x:c>
      <x:c r="AL182" s="6" t="str">
        <x:v>1.0513281006655548</x:v>
      </x:c>
      <x:c r="AM182" s="6" t="str">
        <x:v>0.5236946173574973</x:v>
      </x:c>
      <x:c r="AN182" s="6" t="str">
        <x:v>0.7182038438037032</x:v>
      </x:c>
      <x:c r="AO182" s="6" t="str">
        <x:v>0.9214760722044276</x:v>
      </x:c>
      <x:c r="AP182" s="8" t="str">
        <x:v>0.5006057947761325</x:v>
      </x:c>
      <x:c r="AQ182" s="6" t="str">
        <x:v>-0.1602256759277638</x:v>
      </x:c>
      <x:c r="AR182" s="6" t="str">
        <x:v>0.2300968622840661</x:v>
      </x:c>
      <x:c r="AS182" s="6" t="str">
        <x:v>0.1901589937108112</x:v>
      </x:c>
      <x:c r="AT182" s="6" t="str">
        <x:v>202.4672459502475</x:v>
      </x:c>
      <x:c r="AU182" s="8" t="str">
        <x:v>2.1130435996588908</x:v>
      </x:c>
      <x:c r="AV182" s="6" t="str">
        <x:v>-0.1951788326092493</x:v>
      </x:c>
      <x:c r="AW182" s="6" t="str">
        <x:v>1.1217096031686888</x:v>
      </x:c>
      <x:c r="AX182" s="6" t="str">
        <x:v>1.0131914567394436</x:v>
      </x:c>
      <x:c r="AY182" s="6" t="str">
        <x:v>1</x:v>
      </x:c>
      <x:c r="AZ182" s="6" t="str">
        <x:v>0</x:v>
      </x:c>
      <x:c r="BA182" s="9" t="str">
        <x:v>grid_cells_within_BIG_polygon</x:v>
      </x:c>
      <x:c r="BB182" s="6" t="str">
        <x:v>10</x:v>
      </x:c>
      <x:c r="BC182" s="6" t="str">
        <x:v>31</x:v>
      </x:c>
      <x:c r="BD182" s="6" t="str">
        <x:v>31</x:v>
      </x:c>
      <x:c r="BE182" s="6" t="str">
        <x:v>29</x:v>
      </x:c>
      <x:c r="BF182" s="6" t="str">
        <x:v>1</x:v>
      </x:c>
      <x:c r="BG182" s="6" t="str">
        <x:v>1</x:v>
      </x:c>
      <x:c r="BH182" s="6" t="str">
        <x:v>0</x:v>
      </x:c>
      <x:c r="BI182" s="6" t="str">
        <x:v>0</x:v>
      </x:c>
      <x:c r="BJ182" s="6" t="str">
        <x:v>0</x:v>
      </x:c>
      <x:c r="BK182" s="6" t="str">
        <x:v>0</x:v>
      </x:c>
      <x:c r="BL182" s="6" t="str">
        <x:v>0</x:v>
      </x:c>
      <x:c r="BM182" s="6" t="str">
        <x:v>0</x:v>
      </x:c>
      <x:c r="BN182" s="6" t="str">
        <x:v>31</x:v>
      </x:c>
      <x:c r="BO182" s="6" t="str">
        <x:v>3.0</x:v>
      </x:c>
      <x:c r="BP182" s="6" t="str">
        <x:v>31</x:v>
      </x:c>
      <x:c r="BQ182" s="6" t="str">
        <x:v>0.0</x:v>
      </x:c>
      <x:c r="BR182" s="6" t="str">
        <x:v>31</x:v>
      </x:c>
      <x:c r="BS182" s="6" t="str">
        <x:v>56.0</x:v>
      </x:c>
      <x:c r="BT182" s="6" t="str">
        <x:v>31</x:v>
      </x:c>
      <x:c r="BU182" s="6" t="str">
        <x:v>25167.0</x:v>
      </x:c>
      <x:c r="BV182" s="6" t="str">
        <x:v>28</x:v>
      </x:c>
      <x:c r="BW182" s="9" t="str">
        <x:v>operational_snapshot_annual_totals_may_differ</x:v>
      </x:c>
      <x:c r="BX182" s="9" t="str">
        <x:v>official_live_dashboard_snapshot_subject_to_revision</x:v>
      </x:c>
      <x:c r="BY182" s="9" t="str">
        <x:v>https://tbdashboard.sitb.id/ss_data_tbc03so_2025_provinsi_bulanan_list.php</x:v>
      </x:c>
      <x:c r="BZ182" s="6" t="n">
        <x:v>46246.610671296294</x:v>
      </x:c>
    </x:row>
    <x:row r="183" ht="18" customHeight="1">
      <x:c r="A183" s="6" t="str">
        <x:v>18</x:v>
      </x:c>
      <x:c r="B183" s="6" t="str">
        <x:v>LAMPUNG</x:v>
      </x:c>
      <x:c r="C183" s="6" t="str">
        <x:v>2025</x:v>
      </x:c>
      <x:c r="D183" s="6" t="str">
        <x:v>2</x:v>
      </x:c>
      <x:c r="E183" s="6" t="str">
        <x:v>2025-02</x:v>
      </x:c>
      <x:c r="F183" s="6" t="str">
        <x:v>1878</x:v>
      </x:c>
      <x:c r="G183" s="6" t="str">
        <x:v>375</x:v>
      </x:c>
      <x:c r="H183" s="6" t="str">
        <x:v>1299</x:v>
      </x:c>
      <x:c r="I183" s="6" t="str">
        <x:v>28</x:v>
      </x:c>
      <x:c r="J183" s="6" t="str">
        <x:v>48</x:v>
      </x:c>
      <x:c r="K183" s="6" t="str">
        <x:v>0</x:v>
      </x:c>
      <x:c r="L183" s="6" t="str">
        <x:v>1</x:v>
      </x:c>
      <x:c r="M183" s="6" t="str">
        <x:v>127</x:v>
      </x:c>
      <x:c r="N183" s="6" t="str">
        <x:v>1878</x:v>
      </x:c>
      <x:c r="O183" s="6" t="str">
        <x:v>0</x:v>
      </x:c>
      <x:c r="P183" s="10" t="n">
        <x:f>F183-M183</x:f>
        <x:v>1751</x:v>
      </x:c>
      <x:c r="Q183" s="11" t="n">
        <x:f>IFERROR(M183/F183,"")</x:f>
        <x:v>0.06762513312034078</x:v>
      </x:c>
      <x:c r="R183" s="10" t="n">
        <x:f>G183+H183</x:f>
        <x:v>1674</x:v>
      </x:c>
      <x:c r="S183" s="11" t="n">
        <x:f>IFERROR(R183/F183,"")</x:f>
        <x:v>0.8913738019169329</x:v>
      </x:c>
      <x:c r="T183" s="11" t="n">
        <x:f>IFERROR(R183/P183,"")</x:f>
        <x:v>0.9560251284980011</x:v>
      </x:c>
      <x:c r="U183" s="10" t="n">
        <x:f>I183+J183+K183</x:f>
        <x:v>76</x:v>
      </x:c>
      <x:c r="V183" s="11" t="n">
        <x:f>IFERROR(U183/P183,"")</x:f>
        <x:v>0.043403769274700174</x:v>
      </x:c>
      <x:c r="W183" s="9" t="str">
        <x:v>provisional_gt_5pct_pending</x:v>
      </x:c>
      <x:c r="X183" s="12" t="n">
        <x:f>IFERROR(F183/Z183*100000,"")</x:f>
        <x:v>19.720883344359386</x:v>
      </x:c>
      <x:c r="Y183" s="13" t="n">
        <x:f>LN(Z183)</x:f>
        <x:v>16.06920998222847</x:v>
      </x:c>
      <x:c r="Z183" s="6" t="str">
        <x:v>9522900</x:v>
      </x:c>
      <x:c r="AA183" s="6" t="str">
        <x:v>284.0</x:v>
      </x:c>
      <x:c r="AB183" s="9" t="str">
        <x:v>2025-06-30</x:v>
      </x:c>
      <x:c r="AC183" s="8" t="str">
        <x:v>87.29</x:v>
      </x:c>
      <x:c r="AD183" s="9" t="str">
        <x:v>2025 (Susenas)</x:v>
      </x:c>
      <x:c r="AE183" s="8" t="str">
        <x:v>10.0</x:v>
      </x:c>
      <x:c r="AF183" s="9" t="str">
        <x:v>Maret 2025 (Susenas)</x:v>
      </x:c>
      <x:c r="AG183" s="6" t="str">
        <x:v>25.8389123454802</x:v>
      </x:c>
      <x:c r="AH183" s="8" t="str">
        <x:v>87.36677788015578</x:v>
      </x:c>
      <x:c r="AI183" s="6" t="str">
        <x:v>256.0919427256852</x:v>
      </x:c>
      <x:c r="AJ183" s="6" t="str">
        <x:v>0.3259513503600928</x:v>
      </x:c>
      <x:c r="AK183" s="8" t="str">
        <x:v>0.748202940601102</x:v>
      </x:c>
      <x:c r="AL183" s="6" t="str">
        <x:v>0.5795888133880561</x:v>
      </x:c>
      <x:c r="AM183" s="6" t="str">
        <x:v>1.0513281006655548</x:v>
      </x:c>
      <x:c r="AN183" s="6" t="str">
        <x:v>0.7930399515515713</x:v>
      </x:c>
      <x:c r="AO183" s="6" t="str">
        <x:v>-0.4026370473052338</x:v>
      </x:c>
      <x:c r="AP183" s="8" t="str">
        <x:v>-0.4015671030434898</x:v>
      </x:c>
      <x:c r="AQ183" s="6" t="str">
        <x:v>0.5006057947761325</x:v>
      </x:c>
      <x:c r="AR183" s="6" t="str">
        <x:v>-0.1602256759277638</x:v>
      </x:c>
      <x:c r="AS183" s="6" t="str">
        <x:v>-0.0203956613983741</x:v>
      </x:c>
      <x:c r="AT183" s="6" t="str">
        <x:v>-0.6928142454756312</x:v>
      </x:c>
      <x:c r="AU183" s="8" t="str">
        <x:v>-0.0109945940808958</x:v>
      </x:c>
      <x:c r="AV183" s="6" t="str">
        <x:v>2.1130435996588908</x:v>
      </x:c>
      <x:c r="AW183" s="6" t="str">
        <x:v>-0.1951788326092493</x:v>
      </x:c>
      <x:c r="AX183" s="6" t="str">
        <x:v>0.635623390989582</x:v>
      </x:c>
      <x:c r="AY183" s="6" t="str">
        <x:v>0</x:v>
      </x:c>
      <x:c r="AZ183" s="6" t="str">
        <x:v>0</x:v>
      </x:c>
      <x:c r="BA183" s="9" t="str">
        <x:v>grid_cells_within_BIG_polygon</x:v>
      </x:c>
      <x:c r="BB183" s="6" t="str">
        <x:v>10</x:v>
      </x:c>
      <x:c r="BC183" s="6" t="str">
        <x:v>22</x:v>
      </x:c>
      <x:c r="BD183" s="6" t="str">
        <x:v>22</x:v>
      </x:c>
      <x:c r="BE183" s="6" t="str">
        <x:v>16</x:v>
      </x:c>
      <x:c r="BF183" s="6" t="str">
        <x:v>2</x:v>
      </x:c>
      <x:c r="BG183" s="6" t="str">
        <x:v>4</x:v>
      </x:c>
      <x:c r="BH183" s="6" t="str">
        <x:v>0</x:v>
      </x:c>
      <x:c r="BI183" s="6" t="str">
        <x:v>0</x:v>
      </x:c>
      <x:c r="BJ183" s="6" t="str">
        <x:v>0</x:v>
      </x:c>
      <x:c r="BK183" s="6" t="str">
        <x:v>0</x:v>
      </x:c>
      <x:c r="BL183" s="6" t="str">
        <x:v>0</x:v>
      </x:c>
      <x:c r="BM183" s="6" t="str">
        <x:v>0</x:v>
      </x:c>
      <x:c r="BN183" s="6" t="str">
        <x:v>22</x:v>
      </x:c>
      <x:c r="BO183" s="6" t="str">
        <x:v>5.0</x:v>
      </x:c>
      <x:c r="BP183" s="6" t="str">
        <x:v>22</x:v>
      </x:c>
      <x:c r="BQ183" s="6" t="str">
        <x:v>0.0</x:v>
      </x:c>
      <x:c r="BR183" s="6" t="str">
        <x:v>22</x:v>
      </x:c>
      <x:c r="BS183" s="6" t="str">
        <x:v>757.0</x:v>
      </x:c>
      <x:c r="BT183" s="6" t="str">
        <x:v>22</x:v>
      </x:c>
      <x:c r="BU183" s="6" t="str">
        <x:v>20118.0</x:v>
      </x:c>
      <x:c r="BV183" s="6" t="str">
        <x:v>15</x:v>
      </x:c>
      <x:c r="BW183" s="9" t="str">
        <x:v>operational_snapshot_annual_totals_may_differ</x:v>
      </x:c>
      <x:c r="BX183" s="9" t="str">
        <x:v>official_live_dashboard_snapshot_subject_to_revision</x:v>
      </x:c>
      <x:c r="BY183" s="9" t="str">
        <x:v>https://tbdashboard.sitb.id/ss_data_tbc03so_2025_provinsi_bulanan_list.php</x:v>
      </x:c>
      <x:c r="BZ183" s="6" t="n">
        <x:v>46246.610671296294</x:v>
      </x:c>
    </x:row>
    <x:row r="184" ht="18" customHeight="1">
      <x:c r="A184" s="6" t="str">
        <x:v>18</x:v>
      </x:c>
      <x:c r="B184" s="6" t="str">
        <x:v>LAMPUNG</x:v>
      </x:c>
      <x:c r="C184" s="6" t="str">
        <x:v>2025</x:v>
      </x:c>
      <x:c r="D184" s="6" t="str">
        <x:v>3</x:v>
      </x:c>
      <x:c r="E184" s="6" t="str">
        <x:v>2025-03</x:v>
      </x:c>
      <x:c r="F184" s="6" t="str">
        <x:v>1619</x:v>
      </x:c>
      <x:c r="G184" s="6" t="str">
        <x:v>343</x:v>
      </x:c>
      <x:c r="H184" s="6" t="str">
        <x:v>1107</x:v>
      </x:c>
      <x:c r="I184" s="6" t="str">
        <x:v>33</x:v>
      </x:c>
      <x:c r="J184" s="6" t="str">
        <x:v>30</x:v>
      </x:c>
      <x:c r="K184" s="6" t="str">
        <x:v>1</x:v>
      </x:c>
      <x:c r="L184" s="6" t="str">
        <x:v>1</x:v>
      </x:c>
      <x:c r="M184" s="6" t="str">
        <x:v>104</x:v>
      </x:c>
      <x:c r="N184" s="6" t="str">
        <x:v>1619</x:v>
      </x:c>
      <x:c r="O184" s="6" t="str">
        <x:v>0</x:v>
      </x:c>
      <x:c r="P184" s="10" t="n">
        <x:f>F184-M184</x:f>
        <x:v>1515</x:v>
      </x:c>
      <x:c r="Q184" s="11" t="n">
        <x:f>IFERROR(M184/F184,"")</x:f>
        <x:v>0.06423718344657196</x:v>
      </x:c>
      <x:c r="R184" s="10" t="n">
        <x:f>G184+H184</x:f>
        <x:v>1450</x:v>
      </x:c>
      <x:c r="S184" s="11" t="n">
        <x:f>IFERROR(R184/F184,"")</x:f>
        <x:v>0.8956145768993206</x:v>
      </x:c>
      <x:c r="T184" s="11" t="n">
        <x:f>IFERROR(R184/P184,"")</x:f>
        <x:v>0.9570957095709571</x:v>
      </x:c>
      <x:c r="U184" s="10" t="n">
        <x:f>I184+J184+K184</x:f>
        <x:v>64</x:v>
      </x:c>
      <x:c r="V184" s="11" t="n">
        <x:f>IFERROR(U184/P184,"")</x:f>
        <x:v>0.042244224422442245</x:v>
      </x:c>
      <x:c r="W184" s="9" t="str">
        <x:v>provisional_gt_5pct_pending</x:v>
      </x:c>
      <x:c r="X184" s="12" t="n">
        <x:f>IFERROR(F184/Z184*100000,"")</x:f>
        <x:v>17.001123607304496</x:v>
      </x:c>
      <x:c r="Y184" s="13" t="n">
        <x:f>LN(Z184)</x:f>
        <x:v>16.06920998222847</x:v>
      </x:c>
      <x:c r="Z184" s="6" t="str">
        <x:v>9522900</x:v>
      </x:c>
      <x:c r="AA184" s="6" t="str">
        <x:v>284.0</x:v>
      </x:c>
      <x:c r="AB184" s="9" t="str">
        <x:v>2025-06-30</x:v>
      </x:c>
      <x:c r="AC184" s="8" t="str">
        <x:v>87.29</x:v>
      </x:c>
      <x:c r="AD184" s="9" t="str">
        <x:v>2025 (Susenas)</x:v>
      </x:c>
      <x:c r="AE184" s="8" t="str">
        <x:v>10.0</x:v>
      </x:c>
      <x:c r="AF184" s="9" t="str">
        <x:v>Maret 2025 (Susenas)</x:v>
      </x:c>
      <x:c r="AG184" s="6" t="str">
        <x:v>26.27589723559957</x:v>
      </x:c>
      <x:c r="AH184" s="8" t="str">
        <x:v>87.5716908003072</x:v>
      </x:c>
      <x:c r="AI184" s="6" t="str">
        <x:v>201.08551044871243</x:v>
      </x:c>
      <x:c r="AJ184" s="6" t="str">
        <x:v>0.4803743662376547</x:v>
      </x:c>
      <x:c r="AK184" s="8" t="str">
        <x:v>1.2468282223236062</x:v>
      </x:c>
      <x:c r="AL184" s="6" t="str">
        <x:v>0.748202940601102</x:v>
      </x:c>
      <x:c r="AM184" s="6" t="str">
        <x:v>0.5795888133880561</x:v>
      </x:c>
      <x:c r="AN184" s="6" t="str">
        <x:v>0.8582066587709217</x:v>
      </x:c>
      <x:c r="AO184" s="6" t="str">
        <x:v>0.3869449917255991</x:v>
      </x:c>
      <x:c r="AP184" s="8" t="str">
        <x:v>0.3704587851178836</x:v>
      </x:c>
      <x:c r="AQ184" s="6" t="str">
        <x:v>-0.4015671030434898</x:v>
      </x:c>
      <x:c r="AR184" s="6" t="str">
        <x:v>0.5006057947761325</x:v>
      </x:c>
      <x:c r="AS184" s="6" t="str">
        <x:v>0.156499158950175</x:v>
      </x:c>
      <x:c r="AT184" s="6" t="str">
        <x:v>-44.76590948795939</x:v>
      </x:c>
      <x:c r="AU184" s="8" t="str">
        <x:v>-0.5209186536002461</x:v>
      </x:c>
      <x:c r="AV184" s="6" t="str">
        <x:v>-0.0109945940808958</x:v>
      </x:c>
      <x:c r="AW184" s="6" t="str">
        <x:v>2.1130435996588908</x:v>
      </x:c>
      <x:c r="AX184" s="6" t="str">
        <x:v>0.5270434506592497</x:v>
      </x:c>
      <x:c r="AY184" s="6" t="str">
        <x:v>0</x:v>
      </x:c>
      <x:c r="AZ184" s="6" t="str">
        <x:v>1</x:v>
      </x:c>
      <x:c r="BA184" s="9" t="str">
        <x:v>grid_cells_within_BIG_polygon</x:v>
      </x:c>
      <x:c r="BB184" s="6" t="str">
        <x:v>10</x:v>
      </x:c>
      <x:c r="BC184" s="6" t="str">
        <x:v>14</x:v>
      </x:c>
      <x:c r="BD184" s="6" t="str">
        <x:v>14</x:v>
      </x:c>
      <x:c r="BE184" s="6" t="str">
        <x:v>11</x:v>
      </x:c>
      <x:c r="BF184" s="6" t="str">
        <x:v>0</x:v>
      </x:c>
      <x:c r="BG184" s="6" t="str">
        <x:v>3</x:v>
      </x:c>
      <x:c r="BH184" s="6" t="str">
        <x:v>0</x:v>
      </x:c>
      <x:c r="BI184" s="6" t="str">
        <x:v>0</x:v>
      </x:c>
      <x:c r="BJ184" s="6" t="str">
        <x:v>0</x:v>
      </x:c>
      <x:c r="BK184" s="6" t="str">
        <x:v>0</x:v>
      </x:c>
      <x:c r="BL184" s="6" t="str">
        <x:v>0</x:v>
      </x:c>
      <x:c r="BM184" s="6" t="str">
        <x:v>0</x:v>
      </x:c>
      <x:c r="BN184" s="6" t="str">
        <x:v>14</x:v>
      </x:c>
      <x:c r="BO184" s="6" t="str">
        <x:v>3.0</x:v>
      </x:c>
      <x:c r="BP184" s="6" t="str">
        <x:v>14</x:v>
      </x:c>
      <x:c r="BQ184" s="6" t="str">
        <x:v>0.0</x:v>
      </x:c>
      <x:c r="BR184" s="6" t="str">
        <x:v>14</x:v>
      </x:c>
      <x:c r="BS184" s="6" t="str">
        <x:v>21.0</x:v>
      </x:c>
      <x:c r="BT184" s="6" t="str">
        <x:v>14</x:v>
      </x:c>
      <x:c r="BU184" s="6" t="str">
        <x:v>5741.0</x:v>
      </x:c>
      <x:c r="BV184" s="6" t="str">
        <x:v>10</x:v>
      </x:c>
      <x:c r="BW184" s="9" t="str">
        <x:v>operational_snapshot_annual_totals_may_differ</x:v>
      </x:c>
      <x:c r="BX184" s="9" t="str">
        <x:v>official_live_dashboard_snapshot_subject_to_revision</x:v>
      </x:c>
      <x:c r="BY184" s="9" t="str">
        <x:v>https://tbdashboard.sitb.id/ss_data_tbc03so_2025_provinsi_bulanan_list.php</x:v>
      </x:c>
      <x:c r="BZ184" s="6" t="n">
        <x:v>46246.610671296294</x:v>
      </x:c>
    </x:row>
    <x:row r="185" ht="18" customHeight="1">
      <x:c r="A185" s="6" t="str">
        <x:v>18</x:v>
      </x:c>
      <x:c r="B185" s="6" t="str">
        <x:v>LAMPUNG</x:v>
      </x:c>
      <x:c r="C185" s="6" t="str">
        <x:v>2025</x:v>
      </x:c>
      <x:c r="D185" s="6" t="str">
        <x:v>4</x:v>
      </x:c>
      <x:c r="E185" s="6" t="str">
        <x:v>2025-04</x:v>
      </x:c>
      <x:c r="F185" s="6" t="str">
        <x:v>1481</x:v>
      </x:c>
      <x:c r="G185" s="6" t="str">
        <x:v>312</x:v>
      </x:c>
      <x:c r="H185" s="6" t="str">
        <x:v>978</x:v>
      </x:c>
      <x:c r="I185" s="6" t="str">
        <x:v>26</x:v>
      </x:c>
      <x:c r="J185" s="6" t="str">
        <x:v>34</x:v>
      </x:c>
      <x:c r="K185" s="6" t="str">
        <x:v>1</x:v>
      </x:c>
      <x:c r="L185" s="6" t="str">
        <x:v>1</x:v>
      </x:c>
      <x:c r="M185" s="6" t="str">
        <x:v>129</x:v>
      </x:c>
      <x:c r="N185" s="6" t="str">
        <x:v>1481</x:v>
      </x:c>
      <x:c r="O185" s="6" t="str">
        <x:v>0</x:v>
      </x:c>
      <x:c r="P185" s="10" t="n">
        <x:f>F185-M185</x:f>
        <x:v>1352</x:v>
      </x:c>
      <x:c r="Q185" s="11" t="n">
        <x:f>IFERROR(M185/F185,"")</x:f>
        <x:v>0.08710330857528698</x:v>
      </x:c>
      <x:c r="R185" s="10" t="n">
        <x:f>G185+H185</x:f>
        <x:v>1290</x:v>
      </x:c>
      <x:c r="S185" s="11" t="n">
        <x:f>IFERROR(R185/F185,"")</x:f>
        <x:v>0.8710330857528696</x:v>
      </x:c>
      <x:c r="T185" s="11" t="n">
        <x:f>IFERROR(R185/P185,"")</x:f>
        <x:v>0.9541420118343196</x:v>
      </x:c>
      <x:c r="U185" s="10" t="n">
        <x:f>I185+J185+K185</x:f>
        <x:v>61</x:v>
      </x:c>
      <x:c r="V185" s="11" t="n">
        <x:f>IFERROR(U185/P185,"")</x:f>
        <x:v>0.045118343195266274</x:v>
      </x:c>
      <x:c r="W185" s="9" t="str">
        <x:v>provisional_gt_5pct_pending</x:v>
      </x:c>
      <x:c r="X185" s="12" t="n">
        <x:f>IFERROR(F185/Z185*100000,"")</x:f>
        <x:v>15.551985214587994</x:v>
      </x:c>
      <x:c r="Y185" s="13" t="n">
        <x:f>LN(Z185)</x:f>
        <x:v>16.06920998222847</x:v>
      </x:c>
      <x:c r="Z185" s="6" t="str">
        <x:v>9522900</x:v>
      </x:c>
      <x:c r="AA185" s="6" t="str">
        <x:v>284.0</x:v>
      </x:c>
      <x:c r="AB185" s="9" t="str">
        <x:v>2025-06-30</x:v>
      </x:c>
      <x:c r="AC185" s="8" t="str">
        <x:v>87.29</x:v>
      </x:c>
      <x:c r="AD185" s="9" t="str">
        <x:v>2025 (Susenas)</x:v>
      </x:c>
      <x:c r="AE185" s="8" t="str">
        <x:v>10.0</x:v>
      </x:c>
      <x:c r="AF185" s="9" t="str">
        <x:v>Maret 2025 (Susenas)</x:v>
      </x:c>
      <x:c r="AG185" s="6" t="str">
        <x:v>26.19594651977342</x:v>
      </x:c>
      <x:c r="AH185" s="8" t="str">
        <x:v>87.02444929739912</x:v>
      </x:c>
      <x:c r="AI185" s="6" t="str">
        <x:v>152.55884282504928</x:v>
      </x:c>
      <x:c r="AJ185" s="6" t="str">
        <x:v>0.1247400991842972</x:v>
      </x:c>
      <x:c r="AK185" s="8" t="str">
        <x:v>0.3321750291644275</x:v>
      </x:c>
      <x:c r="AL185" s="6" t="str">
        <x:v>1.2468282223236062</x:v>
      </x:c>
      <x:c r="AM185" s="6" t="str">
        <x:v>0.748202940601102</x:v>
      </x:c>
      <x:c r="AN185" s="6" t="str">
        <x:v>0.7757353973630455</x:v>
      </x:c>
      <x:c r="AO185" s="6" t="str">
        <x:v>-0.1946792914321946</x:v>
      </x:c>
      <x:c r="AP185" s="8" t="str">
        <x:v>-0.212916426773335</x:v>
      </x:c>
      <x:c r="AQ185" s="6" t="str">
        <x:v>0.3704587851178836</x:v>
      </x:c>
      <x:c r="AR185" s="6" t="str">
        <x:v>-0.4015671030434898</x:v>
      </x:c>
      <x:c r="AS185" s="6" t="str">
        <x:v>-0.0813415815663142</x:v>
      </x:c>
      <x:c r="AT185" s="6" t="str">
        <x:v>-42.950070469625786</x:v>
      </x:c>
      <x:c r="AU185" s="8" t="str">
        <x:v>-0.7004857837179547</x:v>
      </x:c>
      <x:c r="AV185" s="6" t="str">
        <x:v>-0.5209186536002461</x:v>
      </x:c>
      <x:c r="AW185" s="6" t="str">
        <x:v>-0.0109945940808958</x:v>
      </x:c>
      <x:c r="AX185" s="6" t="str">
        <x:v>-0.410799677133032</x:v>
      </x:c>
      <x:c r="AY185" s="6" t="str">
        <x:v>0</x:v>
      </x:c>
      <x:c r="AZ185" s="6" t="str">
        <x:v>0</x:v>
      </x:c>
      <x:c r="BA185" s="9" t="str">
        <x:v>grid_cells_within_BIG_polygon</x:v>
      </x:c>
      <x:c r="BB185" s="6" t="str">
        <x:v>10</x:v>
      </x:c>
      <x:c r="BC185" s="6" t="str">
        <x:v>5</x:v>
      </x:c>
      <x:c r="BD185" s="6" t="str">
        <x:v>5</x:v>
      </x:c>
      <x:c r="BE185" s="6" t="str">
        <x:v>3</x:v>
      </x:c>
      <x:c r="BF185" s="6" t="str">
        <x:v>0</x:v>
      </x:c>
      <x:c r="BG185" s="6" t="str">
        <x:v>2</x:v>
      </x:c>
      <x:c r="BH185" s="6" t="str">
        <x:v>0</x:v>
      </x:c>
      <x:c r="BI185" s="6" t="str">
        <x:v>0</x:v>
      </x:c>
      <x:c r="BJ185" s="6" t="str">
        <x:v>0</x:v>
      </x:c>
      <x:c r="BK185" s="6" t="str">
        <x:v>0</x:v>
      </x:c>
      <x:c r="BL185" s="6" t="str">
        <x:v>0</x:v>
      </x:c>
      <x:c r="BM185" s="6" t="str">
        <x:v>0</x:v>
      </x:c>
      <x:c r="BN185" s="6" t="str">
        <x:v>5</x:v>
      </x:c>
      <x:c r="BO185" s="6" t="str">
        <x:v>3.0</x:v>
      </x:c>
      <x:c r="BP185" s="6" t="str">
        <x:v>5</x:v>
      </x:c>
      <x:c r="BQ185" s="6" t="str">
        <x:v>0.0</x:v>
      </x:c>
      <x:c r="BR185" s="6" t="str">
        <x:v>5</x:v>
      </x:c>
      <x:c r="BS185" s="6" t="str">
        <x:v>854.0</x:v>
      </x:c>
      <x:c r="BT185" s="6" t="str">
        <x:v>5</x:v>
      </x:c>
      <x:c r="BU185" s="6" t="str">
        <x:v>2407.0</x:v>
      </x:c>
      <x:c r="BV185" s="6" t="str">
        <x:v>2</x:v>
      </x:c>
      <x:c r="BW185" s="9" t="str">
        <x:v>operational_snapshot_annual_totals_may_differ</x:v>
      </x:c>
      <x:c r="BX185" s="9" t="str">
        <x:v>official_live_dashboard_snapshot_subject_to_revision</x:v>
      </x:c>
      <x:c r="BY185" s="9" t="str">
        <x:v>https://tbdashboard.sitb.id/ss_data_tbc03so_2025_provinsi_bulanan_list.php</x:v>
      </x:c>
      <x:c r="BZ185" s="6" t="n">
        <x:v>46246.610671296294</x:v>
      </x:c>
    </x:row>
    <x:row r="186" ht="18" customHeight="1">
      <x:c r="A186" s="6" t="str">
        <x:v>18</x:v>
      </x:c>
      <x:c r="B186" s="6" t="str">
        <x:v>LAMPUNG</x:v>
      </x:c>
      <x:c r="C186" s="6" t="str">
        <x:v>2025</x:v>
      </x:c>
      <x:c r="D186" s="6" t="str">
        <x:v>5</x:v>
      </x:c>
      <x:c r="E186" s="6" t="str">
        <x:v>2025-05</x:v>
      </x:c>
      <x:c r="F186" s="6" t="str">
        <x:v>1732</x:v>
      </x:c>
      <x:c r="G186" s="6" t="str">
        <x:v>429</x:v>
      </x:c>
      <x:c r="H186" s="6" t="str">
        <x:v>1053</x:v>
      </x:c>
      <x:c r="I186" s="6" t="str">
        <x:v>30</x:v>
      </x:c>
      <x:c r="J186" s="6" t="str">
        <x:v>49</x:v>
      </x:c>
      <x:c r="K186" s="6" t="str">
        <x:v>1</x:v>
      </x:c>
      <x:c r="L186" s="6" t="str">
        <x:v>1</x:v>
      </x:c>
      <x:c r="M186" s="6" t="str">
        <x:v>169</x:v>
      </x:c>
      <x:c r="N186" s="6" t="str">
        <x:v>1732</x:v>
      </x:c>
      <x:c r="O186" s="6" t="str">
        <x:v>0</x:v>
      </x:c>
      <x:c r="P186" s="10" t="n">
        <x:f>F186-M186</x:f>
        <x:v>1563</x:v>
      </x:c>
      <x:c r="Q186" s="11" t="n">
        <x:f>IFERROR(M186/F186,"")</x:f>
        <x:v>0.09757505773672055</x:v>
      </x:c>
      <x:c r="R186" s="10" t="n">
        <x:f>G186+H186</x:f>
        <x:v>1482</x:v>
      </x:c>
      <x:c r="S186" s="11" t="n">
        <x:f>IFERROR(R186/F186,"")</x:f>
        <x:v>0.8556581986143187</x:v>
      </x:c>
      <x:c r="T186" s="11" t="n">
        <x:f>IFERROR(R186/P186,"")</x:f>
        <x:v>0.9481765834932822</x:v>
      </x:c>
      <x:c r="U186" s="10" t="n">
        <x:f>I186+J186+K186</x:f>
        <x:v>80</x:v>
      </x:c>
      <x:c r="V186" s="11" t="n">
        <x:f>IFERROR(U186/P186,"")</x:f>
        <x:v>0.05118362124120281</x:v>
      </x:c>
      <x:c r="W186" s="9" t="str">
        <x:v>provisional_gt_5pct_pending</x:v>
      </x:c>
      <x:c r="X186" s="12" t="n">
        <x:f>IFERROR(F186/Z186*100000,"")</x:f>
        <x:v>18.187736928876706</x:v>
      </x:c>
      <x:c r="Y186" s="13" t="n">
        <x:f>LN(Z186)</x:f>
        <x:v>16.06920998222847</x:v>
      </x:c>
      <x:c r="Z186" s="6" t="str">
        <x:v>9522900</x:v>
      </x:c>
      <x:c r="AA186" s="6" t="str">
        <x:v>284.0</x:v>
      </x:c>
      <x:c r="AB186" s="9" t="str">
        <x:v>2025-06-30</x:v>
      </x:c>
      <x:c r="AC186" s="8" t="str">
        <x:v>87.29</x:v>
      </x:c>
      <x:c r="AD186" s="9" t="str">
        <x:v>2025 (Susenas)</x:v>
      </x:c>
      <x:c r="AE186" s="8" t="str">
        <x:v>10.0</x:v>
      </x:c>
      <x:c r="AF186" s="9" t="str">
        <x:v>Maret 2025 (Susenas)</x:v>
      </x:c>
      <x:c r="AG186" s="6" t="str">
        <x:v>26.676958606154813</x:v>
      </x:c>
      <x:c r="AH186" s="8" t="str">
        <x:v>86.54135944548626</x:v>
      </x:c>
      <x:c r="AI186" s="6" t="str">
        <x:v>147.4343415133567</x:v>
      </x:c>
      <x:c r="AJ186" s="6" t="str">
        <x:v>0.4777284019990837</x:v>
      </x:c>
      <x:c r="AK186" s="8" t="str">
        <x:v>1.3718778117740371</x:v>
      </x:c>
      <x:c r="AL186" s="6" t="str">
        <x:v>0.3321750291644275</x:v>
      </x:c>
      <x:c r="AM186" s="6" t="str">
        <x:v>1.2468282223236062</x:v>
      </x:c>
      <x:c r="AN186" s="6" t="str">
        <x:v>0.9836270210873572</x:v>
      </x:c>
      <x:c r="AO186" s="6" t="str">
        <x:v>-0.1975710143823903</x:v>
      </x:c>
      <x:c r="AP186" s="8" t="str">
        <x:v>-0.1795289952267605</x:v>
      </x:c>
      <x:c r="AQ186" s="6" t="str">
        <x:v>-0.212916426773335</x:v>
      </x:c>
      <x:c r="AR186" s="6" t="str">
        <x:v>0.3704587851178836</x:v>
      </x:c>
      <x:c r="AS186" s="6" t="str">
        <x:v>-0.0073288789607377</x:v>
      </x:c>
      <x:c r="AT186" s="6" t="str">
        <x:v>19.076716982882147</x:v>
      </x:c>
      <x:c r="AU186" s="8" t="str">
        <x:v>0.382280630222207</x:v>
      </x:c>
      <x:c r="AV186" s="6" t="str">
        <x:v>-0.7004857837179547</x:v>
      </x:c>
      <x:c r="AW186" s="6" t="str">
        <x:v>-0.5209186536002461</x:v>
      </x:c>
      <x:c r="AX186" s="6" t="str">
        <x:v>-0.2797079356986645</x:v>
      </x:c>
      <x:c r="AY186" s="6" t="str">
        <x:v>0</x:v>
      </x:c>
      <x:c r="AZ186" s="6" t="str">
        <x:v>1</x:v>
      </x:c>
      <x:c r="BA186" s="9" t="str">
        <x:v>grid_cells_within_BIG_polygon</x:v>
      </x:c>
      <x:c r="BB186" s="6" t="str">
        <x:v>10</x:v>
      </x:c>
      <x:c r="BC186" s="6" t="str">
        <x:v>1</x:v>
      </x:c>
      <x:c r="BD186" s="6" t="str">
        <x:v>1</x:v>
      </x:c>
      <x:c r="BE186" s="6" t="str">
        <x:v>0</x:v>
      </x:c>
      <x:c r="BF186" s="6" t="str">
        <x:v>0</x:v>
      </x:c>
      <x:c r="BG186" s="6" t="str">
        <x:v>1</x:v>
      </x:c>
      <x:c r="BH186" s="6" t="str">
        <x:v>0</x:v>
      </x:c>
      <x:c r="BI186" s="6" t="str">
        <x:v>0</x:v>
      </x:c>
      <x:c r="BJ186" s="6" t="str">
        <x:v>0</x:v>
      </x:c>
      <x:c r="BK186" s="6" t="str">
        <x:v>0</x:v>
      </x:c>
      <x:c r="BL186" s="6" t="str">
        <x:v>0</x:v>
      </x:c>
      <x:c r="BM186" s="6" t="str">
        <x:v>0</x:v>
      </x:c>
      <x:c r="BN186" s="6" t="str">
        <x:v>1</x:v>
      </x:c>
      <x:c r="BO186" s="6" t="str">
        <x:v>0.0</x:v>
      </x:c>
      <x:c r="BP186" s="6" t="str">
        <x:v>1</x:v>
      </x:c>
      <x:c r="BQ186" s="6" t="str">
        <x:v>0.0</x:v>
      </x:c>
      <x:c r="BR186" s="6" t="str">
        <x:v>1</x:v>
      </x:c>
      <x:c r="BS186" s="6" t="str">
        <x:v>6.0</x:v>
      </x:c>
      <x:c r="BT186" s="6" t="str">
        <x:v>1</x:v>
      </x:c>
      <x:c r="BU186" s="6" t="str"/>
      <x:c r="BV186" s="6" t="str">
        <x:v>0</x:v>
      </x:c>
      <x:c r="BW186" s="9" t="str">
        <x:v>operational_snapshot_annual_totals_may_differ</x:v>
      </x:c>
      <x:c r="BX186" s="9" t="str">
        <x:v>official_live_dashboard_snapshot_subject_to_revision</x:v>
      </x:c>
      <x:c r="BY186" s="9" t="str">
        <x:v>https://tbdashboard.sitb.id/ss_data_tbc03so_2025_provinsi_bulanan_list.php</x:v>
      </x:c>
      <x:c r="BZ186" s="6" t="n">
        <x:v>46246.610671296294</x:v>
      </x:c>
    </x:row>
    <x:row r="187" ht="18" customHeight="1">
      <x:c r="A187" s="6" t="str">
        <x:v>18</x:v>
      </x:c>
      <x:c r="B187" s="6" t="str">
        <x:v>LAMPUNG</x:v>
      </x:c>
      <x:c r="C187" s="6" t="str">
        <x:v>2025</x:v>
      </x:c>
      <x:c r="D187" s="6" t="str">
        <x:v>6</x:v>
      </x:c>
      <x:c r="E187" s="6" t="str">
        <x:v>2025-06</x:v>
      </x:c>
      <x:c r="F187" s="6" t="str">
        <x:v>1595</x:v>
      </x:c>
      <x:c r="G187" s="6" t="str">
        <x:v>346</x:v>
      </x:c>
      <x:c r="H187" s="6" t="str">
        <x:v>1006</x:v>
      </x:c>
      <x:c r="I187" s="6" t="str">
        <x:v>23</x:v>
      </x:c>
      <x:c r="J187" s="6" t="str">
        <x:v>42</x:v>
      </x:c>
      <x:c r="K187" s="6" t="str">
        <x:v>0</x:v>
      </x:c>
      <x:c r="L187" s="6" t="str">
        <x:v>0</x:v>
      </x:c>
      <x:c r="M187" s="6" t="str">
        <x:v>178</x:v>
      </x:c>
      <x:c r="N187" s="6" t="str">
        <x:v>1595</x:v>
      </x:c>
      <x:c r="O187" s="6" t="str">
        <x:v>0</x:v>
      </x:c>
      <x:c r="P187" s="10" t="n">
        <x:f>F187-M187</x:f>
        <x:v>1417</x:v>
      </x:c>
      <x:c r="Q187" s="11" t="n">
        <x:f>IFERROR(M187/F187,"")</x:f>
        <x:v>0.1115987460815047</x:v>
      </x:c>
      <x:c r="R187" s="10" t="n">
        <x:f>G187+H187</x:f>
        <x:v>1352</x:v>
      </x:c>
      <x:c r="S187" s="11" t="n">
        <x:f>IFERROR(R187/F187,"")</x:f>
        <x:v>0.8476489028213167</x:v>
      </x:c>
      <x:c r="T187" s="11" t="n">
        <x:f>IFERROR(R187/P187,"")</x:f>
        <x:v>0.9541284403669725</x:v>
      </x:c>
      <x:c r="U187" s="10" t="n">
        <x:f>I187+J187+K187</x:f>
        <x:v>65</x:v>
      </x:c>
      <x:c r="V187" s="11" t="n">
        <x:f>IFERROR(U187/P187,"")</x:f>
        <x:v>0.045871559633027525</x:v>
      </x:c>
      <x:c r="W187" s="9" t="str">
        <x:v>provisional_gt_5pct_pending</x:v>
      </x:c>
      <x:c r="X187" s="12" t="n">
        <x:f>IFERROR(F187/Z187*100000,"")</x:f>
        <x:v>16.749099539005975</x:v>
      </x:c>
      <x:c r="Y187" s="13" t="n">
        <x:f>LN(Z187)</x:f>
        <x:v>16.06920998222847</x:v>
      </x:c>
      <x:c r="Z187" s="6" t="str">
        <x:v>9522900</x:v>
      </x:c>
      <x:c r="AA187" s="6" t="str">
        <x:v>284.0</x:v>
      </x:c>
      <x:c r="AB187" s="9" t="str">
        <x:v>2025-06-30</x:v>
      </x:c>
      <x:c r="AC187" s="8" t="str">
        <x:v>87.29</x:v>
      </x:c>
      <x:c r="AD187" s="9" t="str">
        <x:v>2025 (Susenas)</x:v>
      </x:c>
      <x:c r="AE187" s="8" t="str">
        <x:v>10.0</x:v>
      </x:c>
      <x:c r="AF187" s="9" t="str">
        <x:v>Maret 2025 (Susenas)</x:v>
      </x:c>
      <x:c r="AG187" s="6" t="str">
        <x:v>26.1018993604626</x:v>
      </x:c>
      <x:c r="AH187" s="8" t="str">
        <x:v>86.94560835857828</x:v>
      </x:c>
      <x:c r="AI187" s="6" t="str">
        <x:v>199.46013514833376</x:v>
      </x:c>
      <x:c r="AJ187" s="6" t="str">
        <x:v>0.35399243591322</x:v>
      </x:c>
      <x:c r="AK187" s="8" t="str">
        <x:v>1.0732526381331922</x:v>
      </x:c>
      <x:c r="AL187" s="6" t="str">
        <x:v>1.3718778117740371</x:v>
      </x:c>
      <x:c r="AM187" s="6" t="str">
        <x:v>0.3321750291644275</x:v>
      </x:c>
      <x:c r="AN187" s="6" t="str">
        <x:v>0.925768493023886</x:v>
      </x:c>
      <x:c r="AO187" s="6" t="str">
        <x:v>1.2423639069456982</x:v>
      </x:c>
      <x:c r="AP187" s="8" t="str">
        <x:v>0.6120727732044947</x:v>
      </x:c>
      <x:c r="AQ187" s="6" t="str">
        <x:v>-0.1795289952267605</x:v>
      </x:c>
      <x:c r="AR187" s="6" t="str">
        <x:v>-0.212916426773335</x:v>
      </x:c>
      <x:c r="AS187" s="6" t="str">
        <x:v>0.0732091170681326</x:v>
      </x:c>
      <x:c r="AT187" s="6" t="str">
        <x:v>105.8305216864761</x:v>
      </x:c>
      <x:c r="AU187" s="8" t="str">
        <x:v>1.843215221842079</x:v>
      </x:c>
      <x:c r="AV187" s="6" t="str">
        <x:v>0.382280630222207</x:v>
      </x:c>
      <x:c r="AW187" s="6" t="str">
        <x:v>-0.7004857837179547</x:v>
      </x:c>
      <x:c r="AX187" s="6" t="str">
        <x:v>0.5083366894487772</x:v>
      </x:c>
      <x:c r="AY187" s="6" t="str">
        <x:v>1</x:v>
      </x:c>
      <x:c r="AZ187" s="6" t="str">
        <x:v>1</x:v>
      </x:c>
      <x:c r="BA187" s="9" t="str">
        <x:v>grid_cells_within_BIG_polygon</x:v>
      </x:c>
      <x:c r="BB187" s="6" t="str">
        <x:v>10</x:v>
      </x:c>
      <x:c r="BC187" s="6" t="str">
        <x:v>5</x:v>
      </x:c>
      <x:c r="BD187" s="6" t="str">
        <x:v>5</x:v>
      </x:c>
      <x:c r="BE187" s="6" t="str">
        <x:v>2</x:v>
      </x:c>
      <x:c r="BF187" s="6" t="str">
        <x:v>0</x:v>
      </x:c>
      <x:c r="BG187" s="6" t="str">
        <x:v>3</x:v>
      </x:c>
      <x:c r="BH187" s="6" t="str">
        <x:v>0</x:v>
      </x:c>
      <x:c r="BI187" s="6" t="str">
        <x:v>0</x:v>
      </x:c>
      <x:c r="BJ187" s="6" t="str">
        <x:v>0</x:v>
      </x:c>
      <x:c r="BK187" s="6" t="str">
        <x:v>0</x:v>
      </x:c>
      <x:c r="BL187" s="6" t="str">
        <x:v>0</x:v>
      </x:c>
      <x:c r="BM187" s="6" t="str">
        <x:v>0</x:v>
      </x:c>
      <x:c r="BN187" s="6" t="str">
        <x:v>5</x:v>
      </x:c>
      <x:c r="BO187" s="6" t="str"/>
      <x:c r="BP187" s="6" t="str">
        <x:v>0</x:v>
      </x:c>
      <x:c r="BQ187" s="6" t="str"/>
      <x:c r="BR187" s="6" t="str">
        <x:v>0</x:v>
      </x:c>
      <x:c r="BS187" s="6" t="str">
        <x:v>22.0</x:v>
      </x:c>
      <x:c r="BT187" s="6" t="str">
        <x:v>5</x:v>
      </x:c>
      <x:c r="BU187" s="6" t="str">
        <x:v>6756.0</x:v>
      </x:c>
      <x:c r="BV187" s="6" t="str">
        <x:v>2</x:v>
      </x:c>
      <x:c r="BW187" s="9" t="str">
        <x:v>operational_snapshot_annual_totals_may_differ</x:v>
      </x:c>
      <x:c r="BX187" s="9" t="str">
        <x:v>official_live_dashboard_snapshot_subject_to_revision</x:v>
      </x:c>
      <x:c r="BY187" s="9" t="str">
        <x:v>https://tbdashboard.sitb.id/ss_data_tbc03so_2025_provinsi_bulanan_list.php</x:v>
      </x:c>
      <x:c r="BZ187" s="6" t="n">
        <x:v>46246.610671296294</x:v>
      </x:c>
    </x:row>
    <x:row r="188" ht="18" customHeight="1">
      <x:c r="A188" s="6" t="str">
        <x:v>18</x:v>
      </x:c>
      <x:c r="B188" s="6" t="str">
        <x:v>LAMPUNG</x:v>
      </x:c>
      <x:c r="C188" s="6" t="str">
        <x:v>2025</x:v>
      </x:c>
      <x:c r="D188" s="6" t="str">
        <x:v>7</x:v>
      </x:c>
      <x:c r="E188" s="6" t="str">
        <x:v>2025-07</x:v>
      </x:c>
      <x:c r="F188" s="6" t="str">
        <x:v>1836</x:v>
      </x:c>
      <x:c r="G188" s="6" t="str">
        <x:v>432</x:v>
      </x:c>
      <x:c r="H188" s="6" t="str">
        <x:v>1063</x:v>
      </x:c>
      <x:c r="I188" s="6" t="str">
        <x:v>39</x:v>
      </x:c>
      <x:c r="J188" s="6" t="str">
        <x:v>43</x:v>
      </x:c>
      <x:c r="K188" s="6" t="str">
        <x:v>1</x:v>
      </x:c>
      <x:c r="L188" s="6" t="str">
        <x:v>2</x:v>
      </x:c>
      <x:c r="M188" s="6" t="str">
        <x:v>256</x:v>
      </x:c>
      <x:c r="N188" s="6" t="str">
        <x:v>1836</x:v>
      </x:c>
      <x:c r="O188" s="6" t="str">
        <x:v>0</x:v>
      </x:c>
      <x:c r="P188" s="10" t="n">
        <x:f>F188-M188</x:f>
        <x:v>1580</x:v>
      </x:c>
      <x:c r="Q188" s="11" t="n">
        <x:f>IFERROR(M188/F188,"")</x:f>
        <x:v>0.1394335511982571</x:v>
      </x:c>
      <x:c r="R188" s="10" t="n">
        <x:f>G188+H188</x:f>
        <x:v>1495</x:v>
      </x:c>
      <x:c r="S188" s="11" t="n">
        <x:f>IFERROR(R188/F188,"")</x:f>
        <x:v>0.8142701525054467</x:v>
      </x:c>
      <x:c r="T188" s="11" t="n">
        <x:f>IFERROR(R188/P188,"")</x:f>
        <x:v>0.9462025316455697</x:v>
      </x:c>
      <x:c r="U188" s="10" t="n">
        <x:f>I188+J188+K188</x:f>
        <x:v>83</x:v>
      </x:c>
      <x:c r="V188" s="11" t="n">
        <x:f>IFERROR(U188/P188,"")</x:f>
        <x:v>0.052531645569620256</x:v>
      </x:c>
      <x:c r="W188" s="9" t="str">
        <x:v>provisional_gt_5pct_pending</x:v>
      </x:c>
      <x:c r="X188" s="12" t="n">
        <x:f>IFERROR(F188/Z188*100000,"")</x:f>
        <x:v>19.27984122483697</x:v>
      </x:c>
      <x:c r="Y188" s="13" t="n">
        <x:f>LN(Z188)</x:f>
        <x:v>16.06920998222847</x:v>
      </x:c>
      <x:c r="Z188" s="6" t="str">
        <x:v>9522900</x:v>
      </x:c>
      <x:c r="AA188" s="6" t="str">
        <x:v>284.0</x:v>
      </x:c>
      <x:c r="AB188" s="9" t="str">
        <x:v>2025-06-30</x:v>
      </x:c>
      <x:c r="AC188" s="8" t="str">
        <x:v>87.29</x:v>
      </x:c>
      <x:c r="AD188" s="9" t="str">
        <x:v>2025 (Susenas)</x:v>
      </x:c>
      <x:c r="AE188" s="8" t="str">
        <x:v>10.0</x:v>
      </x:c>
      <x:c r="AF188" s="9" t="str">
        <x:v>Maret 2025 (Susenas)</x:v>
      </x:c>
      <x:c r="AG188" s="6" t="str">
        <x:v>25.830905786304868</x:v>
      </x:c>
      <x:c r="AH188" s="8" t="str">
        <x:v>86.20976455437219</x:v>
      </x:c>
      <x:c r="AI188" s="6" t="str">
        <x:v>68.63162544909343</x:v>
      </x:c>
      <x:c r="AJ188" s="6" t="str">
        <x:v>0.3714692434629327</x:v>
      </x:c>
      <x:c r="AK188" s="8" t="str">
        <x:v>1.246717323565226</x:v>
      </x:c>
      <x:c r="AL188" s="6" t="str">
        <x:v>1.0732526381331922</x:v>
      </x:c>
      <x:c r="AM188" s="6" t="str">
        <x:v>1.3718778117740371</x:v>
      </x:c>
      <x:c r="AN188" s="6" t="str">
        <x:v>1.2306159244908186</x:v>
      </x:c>
      <x:c r="AO188" s="6" t="str">
        <x:v>2.6039768912062016</x:v>
      </x:c>
      <x:c r="AP188" s="8" t="str">
        <x:v>0.8453000255784532</x:v>
      </x:c>
      <x:c r="AQ188" s="6" t="str">
        <x:v>0.6120727732044947</x:v>
      </x:c>
      <x:c r="AR188" s="6" t="str">
        <x:v>-0.1795289952267605</x:v>
      </x:c>
      <x:c r="AS188" s="6" t="str">
        <x:v>0.4259479345187287</x:v>
      </x:c>
      <x:c r="AT188" s="6" t="str">
        <x:v>-21.90086052137781</x:v>
      </x:c>
      <x:c r="AU188" s="8" t="str">
        <x:v>-0.3316444479742519</x:v>
      </x:c>
      <x:c r="AV188" s="6" t="str">
        <x:v>1.843215221842079</x:v>
      </x:c>
      <x:c r="AW188" s="6" t="str">
        <x:v>0.382280630222207</x:v>
      </x:c>
      <x:c r="AX188" s="6" t="str">
        <x:v>0.6312838013633448</x:v>
      </x:c>
      <x:c r="AY188" s="6" t="str">
        <x:v>0</x:v>
      </x:c>
      <x:c r="AZ188" s="6" t="str">
        <x:v>1</x:v>
      </x:c>
      <x:c r="BA188" s="9" t="str">
        <x:v>grid_cells_within_BIG_polygon</x:v>
      </x:c>
      <x:c r="BB188" s="6" t="str">
        <x:v>10</x:v>
      </x:c>
      <x:c r="BC188" s="6" t="str">
        <x:v>6</x:v>
      </x:c>
      <x:c r="BD188" s="6" t="str">
        <x:v>6</x:v>
      </x:c>
      <x:c r="BE188" s="6" t="str">
        <x:v>6</x:v>
      </x:c>
      <x:c r="BF188" s="6" t="str">
        <x:v>0</x:v>
      </x:c>
      <x:c r="BG188" s="6" t="str">
        <x:v>0</x:v>
      </x:c>
      <x:c r="BH188" s="6" t="str">
        <x:v>0</x:v>
      </x:c>
      <x:c r="BI188" s="6" t="str">
        <x:v>0</x:v>
      </x:c>
      <x:c r="BJ188" s="6" t="str">
        <x:v>0</x:v>
      </x:c>
      <x:c r="BK188" s="6" t="str">
        <x:v>0</x:v>
      </x:c>
      <x:c r="BL188" s="6" t="str">
        <x:v>0</x:v>
      </x:c>
      <x:c r="BM188" s="6" t="str">
        <x:v>0</x:v>
      </x:c>
      <x:c r="BN188" s="6" t="str">
        <x:v>6</x:v>
      </x:c>
      <x:c r="BO188" s="6" t="str"/>
      <x:c r="BP188" s="6" t="str">
        <x:v>0</x:v>
      </x:c>
      <x:c r="BQ188" s="6" t="str"/>
      <x:c r="BR188" s="6" t="str">
        <x:v>0</x:v>
      </x:c>
      <x:c r="BS188" s="6" t="str">
        <x:v>6.0</x:v>
      </x:c>
      <x:c r="BT188" s="6" t="str">
        <x:v>6</x:v>
      </x:c>
      <x:c r="BU188" s="6" t="str">
        <x:v>1793.0</x:v>
      </x:c>
      <x:c r="BV188" s="6" t="str">
        <x:v>6</x:v>
      </x:c>
      <x:c r="BW188" s="9" t="str">
        <x:v>operational_snapshot_annual_totals_may_differ</x:v>
      </x:c>
      <x:c r="BX188" s="9" t="str">
        <x:v>official_live_dashboard_snapshot_subject_to_revision</x:v>
      </x:c>
      <x:c r="BY188" s="9" t="str">
        <x:v>https://tbdashboard.sitb.id/ss_data_tbc03so_2025_provinsi_bulanan_list.php</x:v>
      </x:c>
      <x:c r="BZ188" s="6" t="n">
        <x:v>46246.610671296294</x:v>
      </x:c>
    </x:row>
    <x:row r="189" ht="18" customHeight="1">
      <x:c r="A189" s="6" t="str">
        <x:v>18</x:v>
      </x:c>
      <x:c r="B189" s="6" t="str">
        <x:v>LAMPUNG</x:v>
      </x:c>
      <x:c r="C189" s="6" t="str">
        <x:v>2025</x:v>
      </x:c>
      <x:c r="D189" s="6" t="str">
        <x:v>8</x:v>
      </x:c>
      <x:c r="E189" s="6" t="str">
        <x:v>2025-08</x:v>
      </x:c>
      <x:c r="F189" s="6" t="str">
        <x:v>1657</x:v>
      </x:c>
      <x:c r="G189" s="6" t="str">
        <x:v>328</x:v>
      </x:c>
      <x:c r="H189" s="6" t="str">
        <x:v>957</x:v>
      </x:c>
      <x:c r="I189" s="6" t="str">
        <x:v>33</x:v>
      </x:c>
      <x:c r="J189" s="6" t="str">
        <x:v>48</x:v>
      </x:c>
      <x:c r="K189" s="6" t="str">
        <x:v>0</x:v>
      </x:c>
      <x:c r="L189" s="6" t="str">
        <x:v>2</x:v>
      </x:c>
      <x:c r="M189" s="6" t="str">
        <x:v>289</x:v>
      </x:c>
      <x:c r="N189" s="6" t="str">
        <x:v>1657</x:v>
      </x:c>
      <x:c r="O189" s="6" t="str">
        <x:v>0</x:v>
      </x:c>
      <x:c r="P189" s="10" t="n">
        <x:f>F189-M189</x:f>
        <x:v>1368</x:v>
      </x:c>
      <x:c r="Q189" s="11" t="n">
        <x:f>IFERROR(M189/F189,"")</x:f>
        <x:v>0.1744115872057936</x:v>
      </x:c>
      <x:c r="R189" s="10" t="n">
        <x:f>G189+H189</x:f>
        <x:v>1285</x:v>
      </x:c>
      <x:c r="S189" s="11" t="n">
        <x:f>IFERROR(R189/F189,"")</x:f>
        <x:v>0.7754978877489439</x:v>
      </x:c>
      <x:c r="T189" s="11" t="n">
        <x:f>IFERROR(R189/P189,"")</x:f>
        <x:v>0.939327485380117</x:v>
      </x:c>
      <x:c r="U189" s="10" t="n">
        <x:f>I189+J189+K189</x:f>
        <x:v>81</x:v>
      </x:c>
      <x:c r="V189" s="11" t="n">
        <x:f>IFERROR(U189/P189,"")</x:f>
        <x:v>0.05921052631578947</x:v>
      </x:c>
      <x:c r="W189" s="9" t="str">
        <x:v>provisional_gt_5pct_pending</x:v>
      </x:c>
      <x:c r="X189" s="12" t="n">
        <x:f>IFERROR(F189/Z189*100000,"")</x:f>
        <x:v>17.400161715443826</x:v>
      </x:c>
      <x:c r="Y189" s="13" t="n">
        <x:f>LN(Z189)</x:f>
        <x:v>16.06920998222847</x:v>
      </x:c>
      <x:c r="Z189" s="6" t="str">
        <x:v>9522900</x:v>
      </x:c>
      <x:c r="AA189" s="6" t="str">
        <x:v>284.0</x:v>
      </x:c>
      <x:c r="AB189" s="9" t="str">
        <x:v>2025-06-30</x:v>
      </x:c>
      <x:c r="AC189" s="8" t="str">
        <x:v>87.29</x:v>
      </x:c>
      <x:c r="AD189" s="9" t="str">
        <x:v>2025 (Susenas)</x:v>
      </x:c>
      <x:c r="AE189" s="8" t="str">
        <x:v>10.0</x:v>
      </x:c>
      <x:c r="AF189" s="9" t="str">
        <x:v>Maret 2025 (Susenas)</x:v>
      </x:c>
      <x:c r="AG189" s="6" t="str">
        <x:v>25.904902671418903</x:v>
      </x:c>
      <x:c r="AH189" s="8" t="str">
        <x:v>84.53287731486466</x:v>
      </x:c>
      <x:c r="AI189" s="6" t="str">
        <x:v>112.99310836504712</x:v>
      </x:c>
      <x:c r="AJ189" s="6" t="str">
        <x:v>0.0639435264050405</x:v>
      </x:c>
      <x:c r="AK189" s="8" t="str">
        <x:v>0.1535308887721933</x:v>
      </x:c>
      <x:c r="AL189" s="6" t="str">
        <x:v>1.246717323565226</x:v>
      </x:c>
      <x:c r="AM189" s="6" t="str">
        <x:v>1.0732526381331922</x:v>
      </x:c>
      <x:c r="AN189" s="6" t="str">
        <x:v>0.8245002834902042</x:v>
      </x:c>
      <x:c r="AO189" s="6" t="str">
        <x:v>5.31140115062712</x:v>
      </x:c>
      <x:c r="AP189" s="8" t="str">
        <x:v>1.1435682303821637</x:v>
      </x:c>
      <x:c r="AQ189" s="6" t="str">
        <x:v>0.8453000255784532</x:v>
      </x:c>
      <x:c r="AR189" s="6" t="str">
        <x:v>0.6120727732044947</x:v>
      </x:c>
      <x:c r="AS189" s="6" t="str">
        <x:v>0.8669803430550367</x:v>
      </x:c>
      <x:c r="AT189" s="6" t="str">
        <x:v>50.02078784413292</x:v>
      </x:c>
      <x:c r="AU189" s="8" t="str">
        <x:v>0.9539124561105744</x:v>
      </x:c>
      <x:c r="AV189" s="6" t="str">
        <x:v>-0.3316444479742519</x:v>
      </x:c>
      <x:c r="AW189" s="6" t="str">
        <x:v>1.843215221842079</x:v>
      </x:c>
      <x:c r="AX189" s="6" t="str">
        <x:v>0.821827743326134</x:v>
      </x:c>
      <x:c r="AY189" s="6" t="str">
        <x:v>0</x:v>
      </x:c>
      <x:c r="AZ189" s="6" t="str">
        <x:v>0</x:v>
      </x:c>
      <x:c r="BA189" s="9" t="str">
        <x:v>grid_cells_within_BIG_polygon</x:v>
      </x:c>
      <x:c r="BB189" s="6" t="str">
        <x:v>10</x:v>
      </x:c>
      <x:c r="BC189" s="6" t="str">
        <x:v>4</x:v>
      </x:c>
      <x:c r="BD189" s="6" t="str">
        <x:v>4</x:v>
      </x:c>
      <x:c r="BE189" s="6" t="str">
        <x:v>3</x:v>
      </x:c>
      <x:c r="BF189" s="6" t="str">
        <x:v>0</x:v>
      </x:c>
      <x:c r="BG189" s="6" t="str">
        <x:v>1</x:v>
      </x:c>
      <x:c r="BH189" s="6" t="str">
        <x:v>0</x:v>
      </x:c>
      <x:c r="BI189" s="6" t="str">
        <x:v>0</x:v>
      </x:c>
      <x:c r="BJ189" s="6" t="str">
        <x:v>0</x:v>
      </x:c>
      <x:c r="BK189" s="6" t="str">
        <x:v>0</x:v>
      </x:c>
      <x:c r="BL189" s="6" t="str">
        <x:v>0</x:v>
      </x:c>
      <x:c r="BM189" s="6" t="str">
        <x:v>0</x:v>
      </x:c>
      <x:c r="BN189" s="6" t="str">
        <x:v>4</x:v>
      </x:c>
      <x:c r="BO189" s="6" t="str"/>
      <x:c r="BP189" s="6" t="str">
        <x:v>0</x:v>
      </x:c>
      <x:c r="BQ189" s="6" t="str"/>
      <x:c r="BR189" s="6" t="str">
        <x:v>0</x:v>
      </x:c>
      <x:c r="BS189" s="6" t="str">
        <x:v>35.0</x:v>
      </x:c>
      <x:c r="BT189" s="6" t="str">
        <x:v>4</x:v>
      </x:c>
      <x:c r="BU189" s="6" t="str">
        <x:v>1720.0</x:v>
      </x:c>
      <x:c r="BV189" s="6" t="str">
        <x:v>3</x:v>
      </x:c>
      <x:c r="BW189" s="9" t="str">
        <x:v>operational_snapshot_annual_totals_may_differ</x:v>
      </x:c>
      <x:c r="BX189" s="9" t="str">
        <x:v>official_live_dashboard_snapshot_subject_to_revision</x:v>
      </x:c>
      <x:c r="BY189" s="9" t="str">
        <x:v>https://tbdashboard.sitb.id/ss_data_tbc03so_2025_provinsi_bulanan_list.php</x:v>
      </x:c>
      <x:c r="BZ189" s="6" t="n">
        <x:v>46246.610671296294</x:v>
      </x:c>
    </x:row>
    <x:row r="190" ht="18" customHeight="1">
      <x:c r="A190" s="6" t="str">
        <x:v>18</x:v>
      </x:c>
      <x:c r="B190" s="6" t="str">
        <x:v>LAMPUNG</x:v>
      </x:c>
      <x:c r="C190" s="6" t="str">
        <x:v>2025</x:v>
      </x:c>
      <x:c r="D190" s="6" t="str">
        <x:v>9</x:v>
      </x:c>
      <x:c r="E190" s="6" t="str">
        <x:v>2025-09</x:v>
      </x:c>
      <x:c r="F190" s="6" t="str">
        <x:v>1734</x:v>
      </x:c>
      <x:c r="G190" s="6" t="str">
        <x:v>327</x:v>
      </x:c>
      <x:c r="H190" s="6" t="str">
        <x:v>982</x:v>
      </x:c>
      <x:c r="I190" s="6" t="str">
        <x:v>40</x:v>
      </x:c>
      <x:c r="J190" s="6" t="str">
        <x:v>45</x:v>
      </x:c>
      <x:c r="K190" s="6" t="str">
        <x:v>0</x:v>
      </x:c>
      <x:c r="L190" s="6" t="str">
        <x:v>0</x:v>
      </x:c>
      <x:c r="M190" s="6" t="str">
        <x:v>340</x:v>
      </x:c>
      <x:c r="N190" s="6" t="str">
        <x:v>1734</x:v>
      </x:c>
      <x:c r="O190" s="6" t="str">
        <x:v>0</x:v>
      </x:c>
      <x:c r="P190" s="10" t="n">
        <x:f>F190-M190</x:f>
        <x:v>1394</x:v>
      </x:c>
      <x:c r="Q190" s="11" t="n">
        <x:f>IFERROR(M190/F190,"")</x:f>
        <x:v>0.19607843137254902</x:v>
      </x:c>
      <x:c r="R190" s="10" t="n">
        <x:f>G190+H190</x:f>
        <x:v>1309</x:v>
      </x:c>
      <x:c r="S190" s="11" t="n">
        <x:f>IFERROR(R190/F190,"")</x:f>
        <x:v>0.7549019607843137</x:v>
      </x:c>
      <x:c r="T190" s="11" t="n">
        <x:f>IFERROR(R190/P190,"")</x:f>
        <x:v>0.9390243902439024</x:v>
      </x:c>
      <x:c r="U190" s="10" t="n">
        <x:f>I190+J190+K190</x:f>
        <x:v>85</x:v>
      </x:c>
      <x:c r="V190" s="11" t="n">
        <x:f>IFERROR(U190/P190,"")</x:f>
        <x:v>0.06097560975609756</x:v>
      </x:c>
      <x:c r="W190" s="9" t="str">
        <x:v>provisional_gt_5pct_pending</x:v>
      </x:c>
      <x:c r="X190" s="12" t="n">
        <x:f>IFERROR(F190/Z190*100000,"")</x:f>
        <x:v>18.20873893456825</x:v>
      </x:c>
      <x:c r="Y190" s="13" t="n">
        <x:f>LN(Z190)</x:f>
        <x:v>16.06920998222847</x:v>
      </x:c>
      <x:c r="Z190" s="6" t="str">
        <x:v>9522900</x:v>
      </x:c>
      <x:c r="AA190" s="6" t="str">
        <x:v>284.0</x:v>
      </x:c>
      <x:c r="AB190" s="9" t="str">
        <x:v>2025-06-30</x:v>
      </x:c>
      <x:c r="AC190" s="8" t="str">
        <x:v>87.29</x:v>
      </x:c>
      <x:c r="AD190" s="9" t="str">
        <x:v>2025 (Susenas)</x:v>
      </x:c>
      <x:c r="AE190" s="8" t="str">
        <x:v>10.0</x:v>
      </x:c>
      <x:c r="AF190" s="9" t="str">
        <x:v>Maret 2025 (Susenas)</x:v>
      </x:c>
      <x:c r="AG190" s="6" t="str">
        <x:v>26.25192386444156</x:v>
      </x:c>
      <x:c r="AH190" s="8" t="str">
        <x:v>84.72658743995875</x:v>
      </x:c>
      <x:c r="AI190" s="6" t="str">
        <x:v>200.8486457570987</x:v>
      </x:c>
      <x:c r="AJ190" s="6" t="str">
        <x:v>-0.2398466786080924</x:v>
      </x:c>
      <x:c r="AK190" s="8" t="str">
        <x:v>-0.487123726411037</x:v>
      </x:c>
      <x:c r="AL190" s="6" t="str">
        <x:v>0.1535308887721933</x:v>
      </x:c>
      <x:c r="AM190" s="6" t="str">
        <x:v>1.246717323565226</x:v>
      </x:c>
      <x:c r="AN190" s="6" t="str">
        <x:v>0.3043748286421278</x:v>
      </x:c>
      <x:c r="AO190" s="6" t="str">
        <x:v>8.783267250159028</x:v>
      </x:c>
      <x:c r="AP190" s="8" t="str">
        <x:v>1.4378357748658106</x:v>
      </x:c>
      <x:c r="AQ190" s="6" t="str">
        <x:v>1.1435682303821637</x:v>
      </x:c>
      <x:c r="AR190" s="6" t="str">
        <x:v>0.8453000255784532</x:v>
      </x:c>
      <x:c r="AS190" s="6" t="str">
        <x:v>1.142234676942142</x:v>
      </x:c>
      <x:c r="AT190" s="6" t="str">
        <x:v>125.94172630642731</x:v>
      </x:c>
      <x:c r="AU190" s="8" t="str">
        <x:v>1.925904321709863</x:v>
      </x:c>
      <x:c r="AV190" s="6" t="str">
        <x:v>0.9539124561105744</x:v>
      </x:c>
      <x:c r="AW190" s="6" t="str">
        <x:v>-0.3316444479742519</x:v>
      </x:c>
      <x:c r="AX190" s="6" t="str">
        <x:v>0.8493907766153953</x:v>
      </x:c>
      <x:c r="AY190" s="6" t="str">
        <x:v>1</x:v>
      </x:c>
      <x:c r="AZ190" s="6" t="str">
        <x:v>0</x:v>
      </x:c>
      <x:c r="BA190" s="9" t="str">
        <x:v>grid_cells_within_BIG_polygon</x:v>
      </x:c>
      <x:c r="BB190" s="6" t="str">
        <x:v>10</x:v>
      </x:c>
      <x:c r="BC190" s="6" t="str">
        <x:v>5</x:v>
      </x:c>
      <x:c r="BD190" s="6" t="str">
        <x:v>4</x:v>
      </x:c>
      <x:c r="BE190" s="6" t="str">
        <x:v>3</x:v>
      </x:c>
      <x:c r="BF190" s="6" t="str">
        <x:v>0</x:v>
      </x:c>
      <x:c r="BG190" s="6" t="str">
        <x:v>1</x:v>
      </x:c>
      <x:c r="BH190" s="6" t="str">
        <x:v>0</x:v>
      </x:c>
      <x:c r="BI190" s="6" t="str">
        <x:v>0</x:v>
      </x:c>
      <x:c r="BJ190" s="6" t="str">
        <x:v>0</x:v>
      </x:c>
      <x:c r="BK190" s="6" t="str">
        <x:v>1</x:v>
      </x:c>
      <x:c r="BL190" s="6" t="str">
        <x:v>0</x:v>
      </x:c>
      <x:c r="BM190" s="6" t="str">
        <x:v>0</x:v>
      </x:c>
      <x:c r="BN190" s="6" t="str">
        <x:v>5</x:v>
      </x:c>
      <x:c r="BO190" s="6" t="str"/>
      <x:c r="BP190" s="6" t="str">
        <x:v>0</x:v>
      </x:c>
      <x:c r="BQ190" s="6" t="str"/>
      <x:c r="BR190" s="6" t="str">
        <x:v>0</x:v>
      </x:c>
      <x:c r="BS190" s="6" t="str">
        <x:v>49.0</x:v>
      </x:c>
      <x:c r="BT190" s="6" t="str">
        <x:v>5</x:v>
      </x:c>
      <x:c r="BU190" s="6" t="str">
        <x:v>354.0</x:v>
      </x:c>
      <x:c r="BV190" s="6" t="str">
        <x:v>3</x:v>
      </x:c>
      <x:c r="BW190" s="9" t="str">
        <x:v>operational_snapshot_annual_totals_may_differ</x:v>
      </x:c>
      <x:c r="BX190" s="9" t="str">
        <x:v>official_live_dashboard_snapshot_subject_to_revision</x:v>
      </x:c>
      <x:c r="BY190" s="9" t="str">
        <x:v>https://tbdashboard.sitb.id/ss_data_tbc03so_2025_provinsi_bulanan_list.php</x:v>
      </x:c>
      <x:c r="BZ190" s="6" t="n">
        <x:v>46246.610671296294</x:v>
      </x:c>
    </x:row>
    <x:row r="191" ht="18" customHeight="1">
      <x:c r="A191" s="6" t="str">
        <x:v>18</x:v>
      </x:c>
      <x:c r="B191" s="6" t="str">
        <x:v>LAMPUNG</x:v>
      </x:c>
      <x:c r="C191" s="6" t="str">
        <x:v>2025</x:v>
      </x:c>
      <x:c r="D191" s="6" t="str">
        <x:v>10</x:v>
      </x:c>
      <x:c r="E191" s="6" t="str">
        <x:v>2025-10</x:v>
      </x:c>
      <x:c r="F191" s="6" t="str">
        <x:v>1889</x:v>
      </x:c>
      <x:c r="G191" s="6" t="str">
        <x:v>383</x:v>
      </x:c>
      <x:c r="H191" s="6" t="str">
        <x:v>1053</x:v>
      </x:c>
      <x:c r="I191" s="6" t="str">
        <x:v>36</x:v>
      </x:c>
      <x:c r="J191" s="6" t="str">
        <x:v>61</x:v>
      </x:c>
      <x:c r="K191" s="6" t="str">
        <x:v>1</x:v>
      </x:c>
      <x:c r="L191" s="6" t="str">
        <x:v>1</x:v>
      </x:c>
      <x:c r="M191" s="6" t="str">
        <x:v>354</x:v>
      </x:c>
      <x:c r="N191" s="6" t="str">
        <x:v>1889</x:v>
      </x:c>
      <x:c r="O191" s="6" t="str">
        <x:v>0</x:v>
      </x:c>
      <x:c r="P191" s="10" t="n">
        <x:f>F191-M191</x:f>
        <x:v>1535</x:v>
      </x:c>
      <x:c r="Q191" s="11" t="n">
        <x:f>IFERROR(M191/F191,"")</x:f>
        <x:v>0.18740074113287453</x:v>
      </x:c>
      <x:c r="R191" s="10" t="n">
        <x:f>G191+H191</x:f>
        <x:v>1436</x:v>
      </x:c>
      <x:c r="S191" s="11" t="n">
        <x:f>IFERROR(R191/F191,"")</x:f>
        <x:v>0.7601905770248809</x:v>
      </x:c>
      <x:c r="T191" s="11" t="n">
        <x:f>IFERROR(R191/P191,"")</x:f>
        <x:v>0.9355048859934854</x:v>
      </x:c>
      <x:c r="U191" s="10" t="n">
        <x:f>I191+J191+K191</x:f>
        <x:v>98</x:v>
      </x:c>
      <x:c r="V191" s="11" t="n">
        <x:f>IFERROR(U191/P191,"")</x:f>
        <x:v>0.06384364820846905</x:v>
      </x:c>
      <x:c r="W191" s="9" t="str">
        <x:v>provisional_gt_5pct_pending</x:v>
      </x:c>
      <x:c r="X191" s="12" t="n">
        <x:f>IFERROR(F191/Z191*100000,"")</x:f>
        <x:v>19.836394375662877</x:v>
      </x:c>
      <x:c r="Y191" s="13" t="n">
        <x:f>LN(Z191)</x:f>
        <x:v>16.06920998222847</x:v>
      </x:c>
      <x:c r="Z191" s="6" t="str">
        <x:v>9522900</x:v>
      </x:c>
      <x:c r="AA191" s="6" t="str">
        <x:v>284.0</x:v>
      </x:c>
      <x:c r="AB191" s="9" t="str">
        <x:v>2025-06-30</x:v>
      </x:c>
      <x:c r="AC191" s="8" t="str">
        <x:v>87.29</x:v>
      </x:c>
      <x:c r="AD191" s="9" t="str">
        <x:v>2025 (Susenas)</x:v>
      </x:c>
      <x:c r="AE191" s="8" t="str">
        <x:v>10.0</x:v>
      </x:c>
      <x:c r="AF191" s="9" t="str">
        <x:v>Maret 2025 (Susenas)</x:v>
      </x:c>
      <x:c r="AG191" s="6" t="str">
        <x:v>26.199949741277248</x:v>
      </x:c>
      <x:c r="AH191" s="8" t="str">
        <x:v>84.762314856731</x:v>
      </x:c>
      <x:c r="AI191" s="6" t="str">
        <x:v>238.91206272545628</x:v>
      </x:c>
      <x:c r="AJ191" s="6" t="str">
        <x:v>-0.6473253465431483</x:v>
      </x:c>
      <x:c r="AK191" s="8" t="str">
        <x:v>-0.8119737153686755</x:v>
      </x:c>
      <x:c r="AL191" s="6" t="str">
        <x:v>-0.487123726411037</x:v>
      </x:c>
      <x:c r="AM191" s="6" t="str">
        <x:v>0.1535308887721933</x:v>
      </x:c>
      <x:c r="AN191" s="6" t="str">
        <x:v>-0.3818555176691727</x:v>
      </x:c>
      <x:c r="AO191" s="6" t="str">
        <x:v>8.217712744721055</x:v>
      </x:c>
      <x:c r="AP191" s="8" t="str">
        <x:v>1.077965722067613</x:v>
      </x:c>
      <x:c r="AQ191" s="6" t="str">
        <x:v>1.4378357748658106</x:v>
      </x:c>
      <x:c r="AR191" s="6" t="str">
        <x:v>1.1435682303821637</x:v>
      </x:c>
      <x:c r="AS191" s="6" t="str">
        <x:v>1.2197899091051954</x:v>
      </x:c>
      <x:c r="AT191" s="6" t="str">
        <x:v>122.85538058566236</x:v>
      </x:c>
      <x:c r="AU191" s="8" t="str">
        <x:v>1.661943737786262</x:v>
      </x:c>
      <x:c r="AV191" s="6" t="str">
        <x:v>1.925904321709863</x:v>
      </x:c>
      <x:c r="AW191" s="6" t="str">
        <x:v>0.9539124561105744</x:v>
      </x:c>
      <x:c r="AX191" s="6" t="str">
        <x:v>1.5139201718689002</x:v>
      </x:c>
      <x:c r="AY191" s="6" t="str">
        <x:v>1</x:v>
      </x:c>
      <x:c r="AZ191" s="6" t="str">
        <x:v>0</x:v>
      </x:c>
      <x:c r="BA191" s="9" t="str">
        <x:v>grid_cells_within_BIG_polygon</x:v>
      </x:c>
      <x:c r="BB191" s="6" t="str">
        <x:v>10</x:v>
      </x:c>
      <x:c r="BC191" s="6" t="str">
        <x:v>6</x:v>
      </x:c>
      <x:c r="BD191" s="6" t="str">
        <x:v>6</x:v>
      </x:c>
      <x:c r="BE191" s="6" t="str">
        <x:v>4</x:v>
      </x:c>
      <x:c r="BF191" s="6" t="str">
        <x:v>0</x:v>
      </x:c>
      <x:c r="BG191" s="6" t="str">
        <x:v>2</x:v>
      </x:c>
      <x:c r="BH191" s="6" t="str">
        <x:v>0</x:v>
      </x:c>
      <x:c r="BI191" s="6" t="str">
        <x:v>0</x:v>
      </x:c>
      <x:c r="BJ191" s="6" t="str">
        <x:v>0</x:v>
      </x:c>
      <x:c r="BK191" s="6" t="str">
        <x:v>0</x:v>
      </x:c>
      <x:c r="BL191" s="6" t="str">
        <x:v>0</x:v>
      </x:c>
      <x:c r="BM191" s="6" t="str">
        <x:v>0</x:v>
      </x:c>
      <x:c r="BN191" s="6" t="str">
        <x:v>6</x:v>
      </x:c>
      <x:c r="BO191" s="6" t="str"/>
      <x:c r="BP191" s="6" t="str">
        <x:v>0</x:v>
      </x:c>
      <x:c r="BQ191" s="6" t="str"/>
      <x:c r="BR191" s="6" t="str">
        <x:v>0</x:v>
      </x:c>
      <x:c r="BS191" s="6" t="str">
        <x:v>95.0</x:v>
      </x:c>
      <x:c r="BT191" s="6" t="str">
        <x:v>6</x:v>
      </x:c>
      <x:c r="BU191" s="6" t="str">
        <x:v>423.0</x:v>
      </x:c>
      <x:c r="BV191" s="6" t="str">
        <x:v>4</x:v>
      </x:c>
      <x:c r="BW191" s="9" t="str">
        <x:v>operational_snapshot_annual_totals_may_differ</x:v>
      </x:c>
      <x:c r="BX191" s="9" t="str">
        <x:v>official_live_dashboard_snapshot_subject_to_revision</x:v>
      </x:c>
      <x:c r="BY191" s="9" t="str">
        <x:v>https://tbdashboard.sitb.id/ss_data_tbc03so_2025_provinsi_bulanan_list.php</x:v>
      </x:c>
      <x:c r="BZ191" s="6" t="n">
        <x:v>46246.610671296294</x:v>
      </x:c>
    </x:row>
    <x:row r="192" ht="18" customHeight="1">
      <x:c r="A192" s="6" t="str">
        <x:v>18</x:v>
      </x:c>
      <x:c r="B192" s="6" t="str">
        <x:v>LAMPUNG</x:v>
      </x:c>
      <x:c r="C192" s="6" t="str">
        <x:v>2025</x:v>
      </x:c>
      <x:c r="D192" s="6" t="str">
        <x:v>11</x:v>
      </x:c>
      <x:c r="E192" s="6" t="str">
        <x:v>2025-11</x:v>
      </x:c>
      <x:c r="F192" s="6" t="str">
        <x:v>1613</x:v>
      </x:c>
      <x:c r="G192" s="6" t="str">
        <x:v>325</x:v>
      </x:c>
      <x:c r="H192" s="6" t="str">
        <x:v>852</x:v>
      </x:c>
      <x:c r="I192" s="6" t="str">
        <x:v>27</x:v>
      </x:c>
      <x:c r="J192" s="6" t="str">
        <x:v>52</x:v>
      </x:c>
      <x:c r="K192" s="6" t="str">
        <x:v>0</x:v>
      </x:c>
      <x:c r="L192" s="6" t="str">
        <x:v>1</x:v>
      </x:c>
      <x:c r="M192" s="6" t="str">
        <x:v>356</x:v>
      </x:c>
      <x:c r="N192" s="6" t="str">
        <x:v>1613</x:v>
      </x:c>
      <x:c r="O192" s="6" t="str">
        <x:v>0</x:v>
      </x:c>
      <x:c r="P192" s="10" t="n">
        <x:f>F192-M192</x:f>
        <x:v>1257</x:v>
      </x:c>
      <x:c r="Q192" s="11" t="n">
        <x:f>IFERROR(M192/F192,"")</x:f>
        <x:v>0.22070675759454433</x:v>
      </x:c>
      <x:c r="R192" s="10" t="n">
        <x:f>G192+H192</x:f>
        <x:v>1177</x:v>
      </x:c>
      <x:c r="S192" s="11" t="n">
        <x:f>IFERROR(R192/F192,"")</x:f>
        <x:v>0.7296962182269063</x:v>
      </x:c>
      <x:c r="T192" s="11" t="n">
        <x:f>IFERROR(R192/P192,"")</x:f>
        <x:v>0.9363564041368337</x:v>
      </x:c>
      <x:c r="U192" s="10" t="n">
        <x:f>I192+J192+K192</x:f>
        <x:v>79</x:v>
      </x:c>
      <x:c r="V192" s="11" t="n">
        <x:f>IFERROR(U192/P192,"")</x:f>
        <x:v>0.06284805091487669</x:v>
      </x:c>
      <x:c r="W192" s="9" t="str">
        <x:v>provisional_gt_5pct_pending</x:v>
      </x:c>
      <x:c r="X192" s="12" t="n">
        <x:f>IFERROR(F192/Z192*100000,"")</x:f>
        <x:v>16.938117590229865</x:v>
      </x:c>
      <x:c r="Y192" s="13" t="n">
        <x:f>LN(Z192)</x:f>
        <x:v>16.06920998222847</x:v>
      </x:c>
      <x:c r="Z192" s="6" t="str">
        <x:v>9522900</x:v>
      </x:c>
      <x:c r="AA192" s="6" t="str">
        <x:v>284.0</x:v>
      </x:c>
      <x:c r="AB192" s="9" t="str">
        <x:v>2025-06-30</x:v>
      </x:c>
      <x:c r="AC192" s="8" t="str">
        <x:v>87.29</x:v>
      </x:c>
      <x:c r="AD192" s="9" t="str">
        <x:v>2025 (Susenas)</x:v>
      </x:c>
      <x:c r="AE192" s="8" t="str">
        <x:v>10.0</x:v>
      </x:c>
      <x:c r="AF192" s="9" t="str">
        <x:v>Maret 2025 (Susenas)</x:v>
      </x:c>
      <x:c r="AG192" s="6" t="str">
        <x:v>25.87002124476172</x:v>
      </x:c>
      <x:c r="AH192" s="8" t="str">
        <x:v>86.04606084459569</x:v>
      </x:c>
      <x:c r="AI192" s="6" t="str">
        <x:v>189.4902618219009</x:v>
      </x:c>
      <x:c r="AJ192" s="6" t="str">
        <x:v>-0.6871047525301144</x:v>
      </x:c>
      <x:c r="AK192" s="8" t="str">
        <x:v>-0.7360124502737301</x:v>
      </x:c>
      <x:c r="AL192" s="6" t="str">
        <x:v>-0.8119737153686755</x:v>
      </x:c>
      <x:c r="AM192" s="6" t="str">
        <x:v>-0.487123726411037</x:v>
      </x:c>
      <x:c r="AN192" s="6" t="str">
        <x:v>-0.6783699640178139</x:v>
      </x:c>
      <x:c r="AO192" s="6" t="str">
        <x:v>5.424197622414553</x:v>
      </x:c>
      <x:c r="AP192" s="8" t="str">
        <x:v>0.878875402032067</x:v>
      </x:c>
      <x:c r="AQ192" s="6" t="str">
        <x:v>1.077965722067613</x:v>
      </x:c>
      <x:c r="AR192" s="6" t="str">
        <x:v>1.4378357748658106</x:v>
      </x:c>
      <x:c r="AS192" s="6" t="str">
        <x:v>1.1315589663218295</x:v>
      </x:c>
      <x:c r="AT192" s="6" t="str">
        <x:v>3.704140699132808</x:v>
      </x:c>
      <x:c r="AU192" s="8" t="str">
        <x:v>0.0464138337654423</x:v>
      </x:c>
      <x:c r="AV192" s="6" t="str">
        <x:v>1.661943737786262</x:v>
      </x:c>
      <x:c r="AW192" s="6" t="str">
        <x:v>1.925904321709863</x:v>
      </x:c>
      <x:c r="AX192" s="6" t="str">
        <x:v>1.2114206310871891</x:v>
      </x:c>
      <x:c r="AY192" s="6" t="str">
        <x:v>0</x:v>
      </x:c>
      <x:c r="AZ192" s="6" t="str">
        <x:v>0</x:v>
      </x:c>
      <x:c r="BA192" s="9" t="str">
        <x:v>grid_cells_within_BIG_polygon</x:v>
      </x:c>
      <x:c r="BB192" s="6" t="str">
        <x:v>10</x:v>
      </x:c>
      <x:c r="BC192" s="6" t="str">
        <x:v>8</x:v>
      </x:c>
      <x:c r="BD192" s="6" t="str">
        <x:v>8</x:v>
      </x:c>
      <x:c r="BE192" s="6" t="str">
        <x:v>3</x:v>
      </x:c>
      <x:c r="BF192" s="6" t="str">
        <x:v>0</x:v>
      </x:c>
      <x:c r="BG192" s="6" t="str">
        <x:v>5</x:v>
      </x:c>
      <x:c r="BH192" s="6" t="str">
        <x:v>0</x:v>
      </x:c>
      <x:c r="BI192" s="6" t="str">
        <x:v>0</x:v>
      </x:c>
      <x:c r="BJ192" s="6" t="str">
        <x:v>0</x:v>
      </x:c>
      <x:c r="BK192" s="6" t="str">
        <x:v>0</x:v>
      </x:c>
      <x:c r="BL192" s="6" t="str">
        <x:v>0</x:v>
      </x:c>
      <x:c r="BM192" s="6" t="str">
        <x:v>0</x:v>
      </x:c>
      <x:c r="BN192" s="6" t="str">
        <x:v>8</x:v>
      </x:c>
      <x:c r="BO192" s="6" t="str"/>
      <x:c r="BP192" s="6" t="str">
        <x:v>0</x:v>
      </x:c>
      <x:c r="BQ192" s="6" t="str"/>
      <x:c r="BR192" s="6" t="str">
        <x:v>0</x:v>
      </x:c>
      <x:c r="BS192" s="6" t="str">
        <x:v>252.0</x:v>
      </x:c>
      <x:c r="BT192" s="6" t="str">
        <x:v>8</x:v>
      </x:c>
      <x:c r="BU192" s="6" t="str">
        <x:v>628.0</x:v>
      </x:c>
      <x:c r="BV192" s="6" t="str">
        <x:v>3</x:v>
      </x:c>
      <x:c r="BW192" s="9" t="str">
        <x:v>operational_snapshot_annual_totals_may_differ</x:v>
      </x:c>
      <x:c r="BX192" s="9" t="str">
        <x:v>official_live_dashboard_snapshot_subject_to_revision</x:v>
      </x:c>
      <x:c r="BY192" s="9" t="str">
        <x:v>https://tbdashboard.sitb.id/ss_data_tbc03so_2025_provinsi_bulanan_list.php</x:v>
      </x:c>
      <x:c r="BZ192" s="6" t="n">
        <x:v>46246.610671296294</x:v>
      </x:c>
    </x:row>
    <x:row r="193" ht="18" customHeight="1">
      <x:c r="A193" s="6" t="str">
        <x:v>18</x:v>
      </x:c>
      <x:c r="B193" s="6" t="str">
        <x:v>LAMPUNG</x:v>
      </x:c>
      <x:c r="C193" s="6" t="str">
        <x:v>2025</x:v>
      </x:c>
      <x:c r="D193" s="6" t="str">
        <x:v>12</x:v>
      </x:c>
      <x:c r="E193" s="6" t="str">
        <x:v>2025-12</x:v>
      </x:c>
      <x:c r="F193" s="6" t="str">
        <x:v>1254</x:v>
      </x:c>
      <x:c r="G193" s="6" t="str">
        <x:v>259</x:v>
      </x:c>
      <x:c r="H193" s="6" t="str">
        <x:v>557</x:v>
      </x:c>
      <x:c r="I193" s="6" t="str">
        <x:v>11</x:v>
      </x:c>
      <x:c r="J193" s="6" t="str">
        <x:v>41</x:v>
      </x:c>
      <x:c r="K193" s="6" t="str">
        <x:v>0</x:v>
      </x:c>
      <x:c r="L193" s="6" t="str">
        <x:v>0</x:v>
      </x:c>
      <x:c r="M193" s="6" t="str">
        <x:v>386</x:v>
      </x:c>
      <x:c r="N193" s="6" t="str">
        <x:v>1254</x:v>
      </x:c>
      <x:c r="O193" s="6" t="str">
        <x:v>0</x:v>
      </x:c>
      <x:c r="P193" s="10" t="n">
        <x:f>F193-M193</x:f>
        <x:v>868</x:v>
      </x:c>
      <x:c r="Q193" s="11" t="n">
        <x:f>IFERROR(M193/F193,"")</x:f>
        <x:v>0.3078149920255183</x:v>
      </x:c>
      <x:c r="R193" s="10" t="n">
        <x:f>G193+H193</x:f>
        <x:v>816</x:v>
      </x:c>
      <x:c r="S193" s="11" t="n">
        <x:f>IFERROR(R193/F193,"")</x:f>
        <x:v>0.6507177033492823</x:v>
      </x:c>
      <x:c r="T193" s="11" t="n">
        <x:f>IFERROR(R193/P193,"")</x:f>
        <x:v>0.9400921658986175</x:v>
      </x:c>
      <x:c r="U193" s="10" t="n">
        <x:f>I193+J193+K193</x:f>
        <x:v>52</x:v>
      </x:c>
      <x:c r="V193" s="11" t="n">
        <x:f>IFERROR(U193/P193,"")</x:f>
        <x:v>0.059907834101382486</x:v>
      </x:c>
      <x:c r="W193" s="9" t="str">
        <x:v>provisional_gt_5pct_pending</x:v>
      </x:c>
      <x:c r="X193" s="12" t="n">
        <x:f>IFERROR(F193/Z193*100000,"")</x:f>
        <x:v>13.168257568597802</x:v>
      </x:c>
      <x:c r="Y193" s="13" t="n">
        <x:f>LN(Z193)</x:f>
        <x:v>16.06920998222847</x:v>
      </x:c>
      <x:c r="Z193" s="6" t="str">
        <x:v>9522900</x:v>
      </x:c>
      <x:c r="AA193" s="6" t="str">
        <x:v>284.0</x:v>
      </x:c>
      <x:c r="AB193" s="9" t="str">
        <x:v>2025-06-30</x:v>
      </x:c>
      <x:c r="AC193" s="8" t="str">
        <x:v>87.29</x:v>
      </x:c>
      <x:c r="AD193" s="9" t="str">
        <x:v>2025 (Susenas)</x:v>
      </x:c>
      <x:c r="AE193" s="8" t="str">
        <x:v>10.0</x:v>
      </x:c>
      <x:c r="AF193" s="9" t="str">
        <x:v>Maret 2025 (Susenas)</x:v>
      </x:c>
      <x:c r="AG193" s="6" t="str">
        <x:v>25.81996604111968</x:v>
      </x:c>
      <x:c r="AH193" s="8" t="str">
        <x:v>87.82039959267807</x:v>
      </x:c>
      <x:c r="AI193" s="6" t="str">
        <x:v>393.9834015772309</x:v>
      </x:c>
      <x:c r="AJ193" s="6" t="str">
        <x:v>0.0568182745454919</x:v>
      </x:c>
      <x:c r="AK193" s="8" t="str">
        <x:v>0.0973188387848493</x:v>
      </x:c>
      <x:c r="AL193" s="6" t="str">
        <x:v>-0.7360124502737301</x:v>
      </x:c>
      <x:c r="AM193" s="6" t="str">
        <x:v>-0.8119737153686755</x:v>
      </x:c>
      <x:c r="AN193" s="6" t="str">
        <x:v>-0.483555775619185</x:v>
      </x:c>
      <x:c r="AO193" s="6" t="str">
        <x:v>2.2067314700639287</x:v>
      </x:c>
      <x:c r="AP193" s="8" t="str">
        <x:v>0.8531461749705016</x:v>
      </x:c>
      <x:c r="AQ193" s="6" t="str">
        <x:v>0.878875402032067</x:v>
      </x:c>
      <x:c r="AR193" s="6" t="str">
        <x:v>1.077965722067613</x:v>
      </x:c>
      <x:c r="AS193" s="6" t="str">
        <x:v>0.9366624330233934</x:v>
      </x:c>
      <x:c r="AT193" s="6" t="str">
        <x:v>124.05539224307064</x:v>
      </x:c>
      <x:c r="AU193" s="8" t="str">
        <x:v>1.4195047850547289</x:v>
      </x:c>
      <x:c r="AV193" s="6" t="str">
        <x:v>0.0464138337654423</x:v>
      </x:c>
      <x:c r="AW193" s="6" t="str">
        <x:v>1.661943737786262</x:v>
      </x:c>
      <x:c r="AX193" s="6" t="str">
        <x:v>1.042620785535478</x:v>
      </x:c>
      <x:c r="AY193" s="6" t="str">
        <x:v>1</x:v>
      </x:c>
      <x:c r="AZ193" s="6" t="str">
        <x:v>0</x:v>
      </x:c>
      <x:c r="BA193" s="9" t="str">
        <x:v>grid_cells_within_BIG_polygon</x:v>
      </x:c>
      <x:c r="BB193" s="6" t="str">
        <x:v>10</x:v>
      </x:c>
      <x:c r="BC193" s="6" t="str">
        <x:v>16</x:v>
      </x:c>
      <x:c r="BD193" s="6" t="str">
        <x:v>16</x:v>
      </x:c>
      <x:c r="BE193" s="6" t="str">
        <x:v>8</x:v>
      </x:c>
      <x:c r="BF193" s="6" t="str">
        <x:v>0</x:v>
      </x:c>
      <x:c r="BG193" s="6" t="str">
        <x:v>8</x:v>
      </x:c>
      <x:c r="BH193" s="6" t="str">
        <x:v>0</x:v>
      </x:c>
      <x:c r="BI193" s="6" t="str">
        <x:v>0</x:v>
      </x:c>
      <x:c r="BJ193" s="6" t="str">
        <x:v>0</x:v>
      </x:c>
      <x:c r="BK193" s="6" t="str">
        <x:v>0</x:v>
      </x:c>
      <x:c r="BL193" s="6" t="str">
        <x:v>0</x:v>
      </x:c>
      <x:c r="BM193" s="6" t="str">
        <x:v>0</x:v>
      </x:c>
      <x:c r="BN193" s="6" t="str">
        <x:v>16</x:v>
      </x:c>
      <x:c r="BO193" s="6" t="str"/>
      <x:c r="BP193" s="6" t="str">
        <x:v>0</x:v>
      </x:c>
      <x:c r="BQ193" s="6" t="str"/>
      <x:c r="BR193" s="6" t="str">
        <x:v>0</x:v>
      </x:c>
      <x:c r="BS193" s="6" t="str">
        <x:v>293.0</x:v>
      </x:c>
      <x:c r="BT193" s="6" t="str">
        <x:v>16</x:v>
      </x:c>
      <x:c r="BU193" s="6" t="str">
        <x:v>203.0</x:v>
      </x:c>
      <x:c r="BV193" s="6" t="str">
        <x:v>7</x:v>
      </x:c>
      <x:c r="BW193" s="9" t="str">
        <x:v>operational_snapshot_annual_totals_may_differ</x:v>
      </x:c>
      <x:c r="BX193" s="9" t="str">
        <x:v>official_live_dashboard_snapshot_subject_to_revision</x:v>
      </x:c>
      <x:c r="BY193" s="9" t="str">
        <x:v>https://tbdashboard.sitb.id/ss_data_tbc03so_2025_provinsi_bulanan_list.php</x:v>
      </x:c>
      <x:c r="BZ193" s="6" t="n">
        <x:v>46246.610671296294</x:v>
      </x:c>
    </x:row>
    <x:row r="194" ht="18" customHeight="1">
      <x:c r="A194" s="6" t="str">
        <x:v>19</x:v>
      </x:c>
      <x:c r="B194" s="6" t="str">
        <x:v>KEP. BANGKA BELITUNG</x:v>
      </x:c>
      <x:c r="C194" s="6" t="str">
        <x:v>2024</x:v>
      </x:c>
      <x:c r="D194" s="6" t="str">
        <x:v>1</x:v>
      </x:c>
      <x:c r="E194" s="6" t="str">
        <x:v>2024-01</x:v>
      </x:c>
      <x:c r="F194" s="6" t="str">
        <x:v>279</x:v>
      </x:c>
      <x:c r="G194" s="6" t="str">
        <x:v>80</x:v>
      </x:c>
      <x:c r="H194" s="6" t="str">
        <x:v>157</x:v>
      </x:c>
      <x:c r="I194" s="6" t="str">
        <x:v>16</x:v>
      </x:c>
      <x:c r="J194" s="6" t="str">
        <x:v>18</x:v>
      </x:c>
      <x:c r="K194" s="6" t="str">
        <x:v>2</x:v>
      </x:c>
      <x:c r="L194" s="6" t="str">
        <x:v>1</x:v>
      </x:c>
      <x:c r="M194" s="6" t="str">
        <x:v>5</x:v>
      </x:c>
      <x:c r="N194" s="6" t="str">
        <x:v>279</x:v>
      </x:c>
      <x:c r="O194" s="6" t="str">
        <x:v>0</x:v>
      </x:c>
      <x:c r="P194" s="10" t="n">
        <x:f>F194-M194</x:f>
        <x:v>274</x:v>
      </x:c>
      <x:c r="Q194" s="11" t="n">
        <x:f>IFERROR(M194/F194,"")</x:f>
        <x:v>0.017921146953405017</x:v>
      </x:c>
      <x:c r="R194" s="10" t="n">
        <x:f>G194+H194</x:f>
        <x:v>237</x:v>
      </x:c>
      <x:c r="S194" s="11" t="n">
        <x:f>IFERROR(R194/F194,"")</x:f>
        <x:v>0.8494623655913979</x:v>
      </x:c>
      <x:c r="T194" s="11" t="n">
        <x:f>IFERROR(R194/P194,"")</x:f>
        <x:v>0.864963503649635</x:v>
      </x:c>
      <x:c r="U194" s="10" t="n">
        <x:f>I194+J194+K194</x:f>
        <x:v>36</x:v>
      </x:c>
      <x:c r="V194" s="11" t="n">
        <x:f>IFERROR(U194/P194,"")</x:f>
        <x:v>0.13138686131386862</x:v>
      </x:c>
      <x:c r="W194" s="9" t="str">
        <x:v>mature_le_5pct_pending</x:v>
      </x:c>
      <x:c r="X194" s="12" t="n">
        <x:f>IFERROR(F194/Z194*100000,"")</x:f>
        <x:v>18.21743388834476</x:v>
      </x:c>
      <x:c r="Y194" s="13" t="n">
        <x:f>LN(Z194)</x:f>
        <x:v>14.241758205254968</x:v>
      </x:c>
      <x:c r="Z194" s="6" t="str">
        <x:v>1531500</x:v>
      </x:c>
      <x:c r="AA194" s="6" t="str">
        <x:v>92.0</x:v>
      </x:c>
      <x:c r="AB194" s="9" t="str">
        <x:v>2024-06-30</x:v>
      </x:c>
      <x:c r="AC194" s="8" t="str">
        <x:v>94.16</x:v>
      </x:c>
      <x:c r="AD194" s="9" t="str">
        <x:v>2024 (Susenas)</x:v>
      </x:c>
      <x:c r="AE194" s="8" t="str">
        <x:v>4.55</x:v>
      </x:c>
      <x:c r="AF194" s="9" t="str">
        <x:v>Maret 2024 (Susenas)</x:v>
      </x:c>
      <x:c r="AG194" s="6" t="str">
        <x:v>27.77792227647408</x:v>
      </x:c>
      <x:c r="AH194" s="8" t="str">
        <x:v>85.22831165578167</x:v>
      </x:c>
      <x:c r="AI194" s="6" t="str">
        <x:v>297.4807121679163</x:v>
      </x:c>
      <x:c r="AJ194" s="6" t="str">
        <x:v>0.92760850074664</x:v>
      </x:c>
      <x:c r="AK194" s="8" t="str">
        <x:v>2.1748766486707374</x:v>
      </x:c>
      <x:c r="AL194" s="6" t="str">
        <x:v>3.1049134955448148</x:v>
      </x:c>
      <x:c r="AM194" s="6" t="str">
        <x:v>3.015752824260623</x:v>
      </x:c>
      <x:c r="AN194" s="6" t="str">
        <x:v>2.765180989492059</x:v>
      </x:c>
      <x:c r="AO194" s="6" t="str">
        <x:v>-0.2585292246294415</x:v>
      </x:c>
      <x:c r="AP194" s="8" t="str">
        <x:v>-0.1870279634955303</x:v>
      </x:c>
      <x:c r="AQ194" s="6" t="str">
        <x:v>-1.440998166205488</x:v>
      </x:c>
      <x:c r="AR194" s="6" t="str">
        <x:v>-1.4833139693034871</x:v>
      </x:c>
      <x:c r="AS194" s="6" t="str">
        <x:v>-1.0371133663348338</x:v>
      </x:c>
      <x:c r="AT194" s="6" t="str">
        <x:v>57.86570302484839</x:v>
      </x:c>
      <x:c r="AU194" s="8" t="str">
        <x:v>0.8623483348355988</x:v>
      </x:c>
      <x:c r="AV194" s="6" t="str">
        <x:v>-0.7855955354876771</x:v>
      </x:c>
      <x:c r="AW194" s="6" t="str">
        <x:v>-1.2186602843070278</x:v>
      </x:c>
      <x:c r="AX194" s="6" t="str">
        <x:v>-0.3806358283197024</x:v>
      </x:c>
      <x:c r="AY194" s="6" t="str">
        <x:v>0</x:v>
      </x:c>
      <x:c r="AZ194" s="6" t="str">
        <x:v>1</x:v>
      </x:c>
      <x:c r="BA194" s="9" t="str">
        <x:v>grid_cells_within_BIG_polygon</x:v>
      </x:c>
      <x:c r="BB194" s="6" t="str">
        <x:v>5</x:v>
      </x:c>
      <x:c r="BC194" s="6" t="str">
        <x:v>1</x:v>
      </x:c>
      <x:c r="BD194" s="6" t="str">
        <x:v>1</x:v>
      </x:c>
      <x:c r="BE194" s="6" t="str">
        <x:v>1</x:v>
      </x:c>
      <x:c r="BF194" s="6" t="str">
        <x:v>0</x:v>
      </x:c>
      <x:c r="BG194" s="6" t="str">
        <x:v>0</x:v>
      </x:c>
      <x:c r="BH194" s="6" t="str">
        <x:v>0</x:v>
      </x:c>
      <x:c r="BI194" s="6" t="str">
        <x:v>0</x:v>
      </x:c>
      <x:c r="BJ194" s="6" t="str">
        <x:v>0</x:v>
      </x:c>
      <x:c r="BK194" s="6" t="str">
        <x:v>0</x:v>
      </x:c>
      <x:c r="BL194" s="6" t="str">
        <x:v>0</x:v>
      </x:c>
      <x:c r="BM194" s="6" t="str">
        <x:v>0</x:v>
      </x:c>
      <x:c r="BN194" s="6" t="str">
        <x:v>1</x:v>
      </x:c>
      <x:c r="BO194" s="6" t="str">
        <x:v>0.0</x:v>
      </x:c>
      <x:c r="BP194" s="6" t="str">
        <x:v>1</x:v>
      </x:c>
      <x:c r="BQ194" s="6" t="str">
        <x:v>0.0</x:v>
      </x:c>
      <x:c r="BR194" s="6" t="str">
        <x:v>1</x:v>
      </x:c>
      <x:c r="BS194" s="6" t="str">
        <x:v>0.0</x:v>
      </x:c>
      <x:c r="BT194" s="6" t="str">
        <x:v>1</x:v>
      </x:c>
      <x:c r="BU194" s="6" t="str">
        <x:v>458.0</x:v>
      </x:c>
      <x:c r="BV194" s="6" t="str">
        <x:v>1</x:v>
      </x:c>
      <x:c r="BW194" s="9" t="str">
        <x:v>operational_snapshot_annual_totals_may_differ</x:v>
      </x:c>
      <x:c r="BX194" s="9" t="str">
        <x:v>official_live_dashboard_snapshot_subject_to_revision</x:v>
      </x:c>
      <x:c r="BY194" s="9" t="str">
        <x:v>https://tbdashboard.sitb.id/ss_data_tbc03so_2024_provinsi_bulanan_list.php</x:v>
      </x:c>
      <x:c r="BZ194" s="6" t="n">
        <x:v>46246.610671296294</x:v>
      </x:c>
    </x:row>
    <x:row r="195" ht="18" customHeight="1">
      <x:c r="A195" s="6" t="str">
        <x:v>19</x:v>
      </x:c>
      <x:c r="B195" s="6" t="str">
        <x:v>KEP. BANGKA BELITUNG</x:v>
      </x:c>
      <x:c r="C195" s="6" t="str">
        <x:v>2024</x:v>
      </x:c>
      <x:c r="D195" s="6" t="str">
        <x:v>2</x:v>
      </x:c>
      <x:c r="E195" s="6" t="str">
        <x:v>2024-02</x:v>
      </x:c>
      <x:c r="F195" s="6" t="str">
        <x:v>246</x:v>
      </x:c>
      <x:c r="G195" s="6" t="str">
        <x:v>75</x:v>
      </x:c>
      <x:c r="H195" s="6" t="str">
        <x:v>139</x:v>
      </x:c>
      <x:c r="I195" s="6" t="str">
        <x:v>13</x:v>
      </x:c>
      <x:c r="J195" s="6" t="str">
        <x:v>14</x:v>
      </x:c>
      <x:c r="K195" s="6" t="str">
        <x:v>0</x:v>
      </x:c>
      <x:c r="L195" s="6" t="str">
        <x:v>2</x:v>
      </x:c>
      <x:c r="M195" s="6" t="str">
        <x:v>3</x:v>
      </x:c>
      <x:c r="N195" s="6" t="str">
        <x:v>246</x:v>
      </x:c>
      <x:c r="O195" s="6" t="str">
        <x:v>0</x:v>
      </x:c>
      <x:c r="P195" s="10" t="n">
        <x:f>F195-M195</x:f>
        <x:v>243</x:v>
      </x:c>
      <x:c r="Q195" s="11" t="n">
        <x:f>IFERROR(M195/F195,"")</x:f>
        <x:v>0.012195121951219513</x:v>
      </x:c>
      <x:c r="R195" s="10" t="n">
        <x:f>G195+H195</x:f>
        <x:v>214</x:v>
      </x:c>
      <x:c r="S195" s="11" t="n">
        <x:f>IFERROR(R195/F195,"")</x:f>
        <x:v>0.8699186991869918</x:v>
      </x:c>
      <x:c r="T195" s="11" t="n">
        <x:f>IFERROR(R195/P195,"")</x:f>
        <x:v>0.8806584362139918</x:v>
      </x:c>
      <x:c r="U195" s="10" t="n">
        <x:f>I195+J195+K195</x:f>
        <x:v>27</x:v>
      </x:c>
      <x:c r="V195" s="11" t="n">
        <x:f>IFERROR(U195/P195,"")</x:f>
        <x:v>0.1111111111111111</x:v>
      </x:c>
      <x:c r="W195" s="9" t="str">
        <x:v>mature_le_5pct_pending</x:v>
      </x:c>
      <x:c r="X195" s="12" t="n">
        <x:f>IFERROR(F195/Z195*100000,"")</x:f>
        <x:v>16.06268364348678</x:v>
      </x:c>
      <x:c r="Y195" s="13" t="n">
        <x:f>LN(Z195)</x:f>
        <x:v>14.241758205254968</x:v>
      </x:c>
      <x:c r="Z195" s="6" t="str">
        <x:v>1531500</x:v>
      </x:c>
      <x:c r="AA195" s="6" t="str">
        <x:v>92.0</x:v>
      </x:c>
      <x:c r="AB195" s="9" t="str">
        <x:v>2024-06-30</x:v>
      </x:c>
      <x:c r="AC195" s="8" t="str">
        <x:v>94.16</x:v>
      </x:c>
      <x:c r="AD195" s="9" t="str">
        <x:v>2024 (Susenas)</x:v>
      </x:c>
      <x:c r="AE195" s="8" t="str">
        <x:v>4.55</x:v>
      </x:c>
      <x:c r="AF195" s="9" t="str">
        <x:v>Maret 2024 (Susenas)</x:v>
      </x:c>
      <x:c r="AG195" s="6" t="str">
        <x:v>27.92392748979974</x:v>
      </x:c>
      <x:c r="AH195" s="8" t="str">
        <x:v>85.37839046021989</x:v>
      </x:c>
      <x:c r="AI195" s="6" t="str">
        <x:v>220.7632037706658</x:v>
      </x:c>
      <x:c r="AJ195" s="6" t="str">
        <x:v>1.0466593195251583</x:v>
      </x:c>
      <x:c r="AK195" s="8" t="str">
        <x:v>2.379870297366529</x:v>
      </x:c>
      <x:c r="AL195" s="6" t="str">
        <x:v>2.1748766486707374</x:v>
      </x:c>
      <x:c r="AM195" s="6" t="str">
        <x:v>3.1049134955448148</x:v>
      </x:c>
      <x:c r="AN195" s="6" t="str">
        <x:v>2.553220147194028</x:v>
      </x:c>
      <x:c r="AO195" s="6" t="str">
        <x:v>0.5015488550665026</x:v>
      </x:c>
      <x:c r="AP195" s="8" t="str">
        <x:v>0.3520020162471703</x:v>
      </x:c>
      <x:c r="AQ195" s="6" t="str">
        <x:v>-0.1870279634955303</x:v>
      </x:c>
      <x:c r="AR195" s="6" t="str">
        <x:v>-1.440998166205488</x:v>
      </x:c>
      <x:c r="AS195" s="6" t="str">
        <x:v>-0.4253413711512814</x:v>
      </x:c>
      <x:c r="AT195" s="6" t="str">
        <x:v>38.039174885416685</x:v>
      </x:c>
      <x:c r="AU195" s="8" t="str">
        <x:v>0.5327378841089069</x:v>
      </x:c>
      <x:c r="AV195" s="6" t="str">
        <x:v>0.8623483348355988</x:v>
      </x:c>
      <x:c r="AW195" s="6" t="str">
        <x:v>-0.7855955354876771</x:v>
      </x:c>
      <x:c r="AX195" s="6" t="str">
        <x:v>0.2031635611522758</x:v>
      </x:c>
      <x:c r="AY195" s="6" t="str">
        <x:v>0</x:v>
      </x:c>
      <x:c r="AZ195" s="6" t="str">
        <x:v>1</x:v>
      </x:c>
      <x:c r="BA195" s="9" t="str">
        <x:v>grid_cells_within_BIG_polygon</x:v>
      </x:c>
      <x:c r="BB195" s="6" t="str">
        <x:v>5</x:v>
      </x:c>
      <x:c r="BC195" s="6" t="str">
        <x:v>0</x:v>
      </x:c>
      <x:c r="BD195" s="6" t="str">
        <x:v>0</x:v>
      </x:c>
      <x:c r="BE195" s="6" t="str">
        <x:v>0</x:v>
      </x:c>
      <x:c r="BF195" s="6" t="str">
        <x:v>0</x:v>
      </x:c>
      <x:c r="BG195" s="6" t="str">
        <x:v>0</x:v>
      </x:c>
      <x:c r="BH195" s="6" t="str">
        <x:v>0</x:v>
      </x:c>
      <x:c r="BI195" s="6" t="str">
        <x:v>0</x:v>
      </x:c>
      <x:c r="BJ195" s="6" t="str">
        <x:v>0</x:v>
      </x:c>
      <x:c r="BK195" s="6" t="str">
        <x:v>0</x:v>
      </x:c>
      <x:c r="BL195" s="6" t="str">
        <x:v>0</x:v>
      </x:c>
      <x:c r="BM195" s="6" t="str">
        <x:v>0</x:v>
      </x:c>
      <x:c r="BN195" s="6" t="str">
        <x:v>0</x:v>
      </x:c>
      <x:c r="BO195" s="6" t="str"/>
      <x:c r="BP195" s="6" t="str">
        <x:v>0</x:v>
      </x:c>
      <x:c r="BQ195" s="6" t="str"/>
      <x:c r="BR195" s="6" t="str">
        <x:v>0</x:v>
      </x:c>
      <x:c r="BS195" s="6" t="str"/>
      <x:c r="BT195" s="6" t="str">
        <x:v>0</x:v>
      </x:c>
      <x:c r="BU195" s="6" t="str"/>
      <x:c r="BV195" s="6" t="str">
        <x:v>0</x:v>
      </x:c>
      <x:c r="BW195" s="9" t="str">
        <x:v>operational_snapshot_annual_totals_may_differ</x:v>
      </x:c>
      <x:c r="BX195" s="9" t="str">
        <x:v>official_live_dashboard_snapshot_subject_to_revision</x:v>
      </x:c>
      <x:c r="BY195" s="9" t="str">
        <x:v>https://tbdashboard.sitb.id/ss_data_tbc03so_2024_provinsi_bulanan_list.php</x:v>
      </x:c>
      <x:c r="BZ195" s="6" t="n">
        <x:v>46246.610671296294</x:v>
      </x:c>
    </x:row>
    <x:row r="196" ht="18" customHeight="1">
      <x:c r="A196" s="6" t="str">
        <x:v>19</x:v>
      </x:c>
      <x:c r="B196" s="6" t="str">
        <x:v>KEP. BANGKA BELITUNG</x:v>
      </x:c>
      <x:c r="C196" s="6" t="str">
        <x:v>2024</x:v>
      </x:c>
      <x:c r="D196" s="6" t="str">
        <x:v>3</x:v>
      </x:c>
      <x:c r="E196" s="6" t="str">
        <x:v>2024-03</x:v>
      </x:c>
      <x:c r="F196" s="6" t="str">
        <x:v>242</x:v>
      </x:c>
      <x:c r="G196" s="6" t="str">
        <x:v>82</x:v>
      </x:c>
      <x:c r="H196" s="6" t="str">
        <x:v>126</x:v>
      </x:c>
      <x:c r="I196" s="6" t="str">
        <x:v>15</x:v>
      </x:c>
      <x:c r="J196" s="6" t="str">
        <x:v>15</x:v>
      </x:c>
      <x:c r="K196" s="6" t="str">
        <x:v>3</x:v>
      </x:c>
      <x:c r="L196" s="6" t="str">
        <x:v>0</x:v>
      </x:c>
      <x:c r="M196" s="6" t="str">
        <x:v>1</x:v>
      </x:c>
      <x:c r="N196" s="6" t="str">
        <x:v>242</x:v>
      </x:c>
      <x:c r="O196" s="6" t="str">
        <x:v>0</x:v>
      </x:c>
      <x:c r="P196" s="10" t="n">
        <x:f>F196-M196</x:f>
        <x:v>241</x:v>
      </x:c>
      <x:c r="Q196" s="11" t="n">
        <x:f>IFERROR(M196/F196,"")</x:f>
        <x:v>0.004132231404958678</x:v>
      </x:c>
      <x:c r="R196" s="10" t="n">
        <x:f>G196+H196</x:f>
        <x:v>208</x:v>
      </x:c>
      <x:c r="S196" s="11" t="n">
        <x:f>IFERROR(R196/F196,"")</x:f>
        <x:v>0.859504132231405</x:v>
      </x:c>
      <x:c r="T196" s="11" t="n">
        <x:f>IFERROR(R196/P196,"")</x:f>
        <x:v>0.8630705394190872</x:v>
      </x:c>
      <x:c r="U196" s="10" t="n">
        <x:f>I196+J196+K196</x:f>
        <x:v>33</x:v>
      </x:c>
      <x:c r="V196" s="11" t="n">
        <x:f>IFERROR(U196/P196,"")</x:f>
        <x:v>0.13692946058091288</x:v>
      </x:c>
      <x:c r="W196" s="9" t="str">
        <x:v>mature_le_5pct_pending</x:v>
      </x:c>
      <x:c r="X196" s="12" t="n">
        <x:f>IFERROR(F196/Z196*100000,"")</x:f>
        <x:v>15.801501795625203</x:v>
      </x:c>
      <x:c r="Y196" s="13" t="n">
        <x:f>LN(Z196)</x:f>
        <x:v>14.241758205254968</x:v>
      </x:c>
      <x:c r="Z196" s="6" t="str">
        <x:v>1531500</x:v>
      </x:c>
      <x:c r="AA196" s="6" t="str">
        <x:v>92.0</x:v>
      </x:c>
      <x:c r="AB196" s="9" t="str">
        <x:v>2024-06-30</x:v>
      </x:c>
      <x:c r="AC196" s="8" t="str">
        <x:v>94.16</x:v>
      </x:c>
      <x:c r="AD196" s="9" t="str">
        <x:v>2024 (Susenas)</x:v>
      </x:c>
      <x:c r="AE196" s="8" t="str">
        <x:v>4.55</x:v>
      </x:c>
      <x:c r="AF196" s="9" t="str">
        <x:v>Maret 2024 (Susenas)</x:v>
      </x:c>
      <x:c r="AG196" s="6" t="str">
        <x:v>28.233940827306174</x:v>
      </x:c>
      <x:c r="AH196" s="8" t="str">
        <x:v>83.65833406156649</x:v>
      </x:c>
      <x:c r="AI196" s="6" t="str">
        <x:v>255.2568555270649</x:v>
      </x:c>
      <x:c r="AJ196" s="6" t="str">
        <x:v>0.8369333083017949</x:v>
      </x:c>
      <x:c r="AK196" s="8" t="str">
        <x:v>1.983351073167347</x:v>
      </x:c>
      <x:c r="AL196" s="6" t="str">
        <x:v>2.379870297366529</x:v>
      </x:c>
      <x:c r="AM196" s="6" t="str">
        <x:v>2.1748766486707374</x:v>
      </x:c>
      <x:c r="AN196" s="6" t="str">
        <x:v>2.1793660064015383</x:v>
      </x:c>
      <x:c r="AO196" s="6" t="str">
        <x:v>1.038023495733924</x:v>
      </x:c>
      <x:c r="AP196" s="8" t="str">
        <x:v>0.6114443146661286</x:v>
      </x:c>
      <x:c r="AQ196" s="6" t="str">
        <x:v>0.3520020162471703</x:v>
      </x:c>
      <x:c r="AR196" s="6" t="str">
        <x:v>-0.1870279634955303</x:v>
      </x:c>
      <x:c r="AS196" s="6" t="str">
        <x:v>0.2588061224725909</x:v>
      </x:c>
      <x:c r="AT196" s="6" t="str">
        <x:v>36.45913987995351</x:v>
      </x:c>
      <x:c r="AU196" s="8" t="str">
        <x:v>0.6681962611497331</x:v>
      </x:c>
      <x:c r="AV196" s="6" t="str">
        <x:v>0.5327378841089069</x:v>
      </x:c>
      <x:c r="AW196" s="6" t="str">
        <x:v>0.8623483348355988</x:v>
      </x:c>
      <x:c r="AX196" s="6" t="str">
        <x:v>0.6877608266980793</x:v>
      </x:c>
      <x:c r="AY196" s="6" t="str">
        <x:v>0</x:v>
      </x:c>
      <x:c r="AZ196" s="6" t="str">
        <x:v>1</x:v>
      </x:c>
      <x:c r="BA196" s="9" t="str">
        <x:v>grid_cells_within_BIG_polygon</x:v>
      </x:c>
      <x:c r="BB196" s="6" t="str">
        <x:v>5</x:v>
      </x:c>
      <x:c r="BC196" s="6" t="str">
        <x:v>0</x:v>
      </x:c>
      <x:c r="BD196" s="6" t="str">
        <x:v>0</x:v>
      </x:c>
      <x:c r="BE196" s="6" t="str">
        <x:v>0</x:v>
      </x:c>
      <x:c r="BF196" s="6" t="str">
        <x:v>0</x:v>
      </x:c>
      <x:c r="BG196" s="6" t="str">
        <x:v>0</x:v>
      </x:c>
      <x:c r="BH196" s="6" t="str">
        <x:v>0</x:v>
      </x:c>
      <x:c r="BI196" s="6" t="str">
        <x:v>0</x:v>
      </x:c>
      <x:c r="BJ196" s="6" t="str">
        <x:v>0</x:v>
      </x:c>
      <x:c r="BK196" s="6" t="str">
        <x:v>0</x:v>
      </x:c>
      <x:c r="BL196" s="6" t="str">
        <x:v>0</x:v>
      </x:c>
      <x:c r="BM196" s="6" t="str">
        <x:v>0</x:v>
      </x:c>
      <x:c r="BN196" s="6" t="str">
        <x:v>0</x:v>
      </x:c>
      <x:c r="BO196" s="6" t="str"/>
      <x:c r="BP196" s="6" t="str">
        <x:v>0</x:v>
      </x:c>
      <x:c r="BQ196" s="6" t="str"/>
      <x:c r="BR196" s="6" t="str">
        <x:v>0</x:v>
      </x:c>
      <x:c r="BS196" s="6" t="str"/>
      <x:c r="BT196" s="6" t="str">
        <x:v>0</x:v>
      </x:c>
      <x:c r="BU196" s="6" t="str"/>
      <x:c r="BV196" s="6" t="str">
        <x:v>0</x:v>
      </x:c>
      <x:c r="BW196" s="9" t="str">
        <x:v>operational_snapshot_annual_totals_may_differ</x:v>
      </x:c>
      <x:c r="BX196" s="9" t="str">
        <x:v>official_live_dashboard_snapshot_subject_to_revision</x:v>
      </x:c>
      <x:c r="BY196" s="9" t="str">
        <x:v>https://tbdashboard.sitb.id/ss_data_tbc03so_2024_provinsi_bulanan_list.php</x:v>
      </x:c>
      <x:c r="BZ196" s="6" t="n">
        <x:v>46246.610671296294</x:v>
      </x:c>
    </x:row>
    <x:row r="197" ht="18" customHeight="1">
      <x:c r="A197" s="6" t="str">
        <x:v>19</x:v>
      </x:c>
      <x:c r="B197" s="6" t="str">
        <x:v>KEP. BANGKA BELITUNG</x:v>
      </x:c>
      <x:c r="C197" s="6" t="str">
        <x:v>2024</x:v>
      </x:c>
      <x:c r="D197" s="6" t="str">
        <x:v>4</x:v>
      </x:c>
      <x:c r="E197" s="6" t="str">
        <x:v>2024-04</x:v>
      </x:c>
      <x:c r="F197" s="6" t="str">
        <x:v>236</x:v>
      </x:c>
      <x:c r="G197" s="6" t="str">
        <x:v>65</x:v>
      </x:c>
      <x:c r="H197" s="6" t="str">
        <x:v>138</x:v>
      </x:c>
      <x:c r="I197" s="6" t="str">
        <x:v>15</x:v>
      </x:c>
      <x:c r="J197" s="6" t="str">
        <x:v>12</x:v>
      </x:c>
      <x:c r="K197" s="6" t="str">
        <x:v>2</x:v>
      </x:c>
      <x:c r="L197" s="6" t="str">
        <x:v>2</x:v>
      </x:c>
      <x:c r="M197" s="6" t="str">
        <x:v>2</x:v>
      </x:c>
      <x:c r="N197" s="6" t="str">
        <x:v>236</x:v>
      </x:c>
      <x:c r="O197" s="6" t="str">
        <x:v>0</x:v>
      </x:c>
      <x:c r="P197" s="10" t="n">
        <x:f>F197-M197</x:f>
        <x:v>234</x:v>
      </x:c>
      <x:c r="Q197" s="11" t="n">
        <x:f>IFERROR(M197/F197,"")</x:f>
        <x:v>0.00847457627118644</x:v>
      </x:c>
      <x:c r="R197" s="10" t="n">
        <x:f>G197+H197</x:f>
        <x:v>203</x:v>
      </x:c>
      <x:c r="S197" s="11" t="n">
        <x:f>IFERROR(R197/F197,"")</x:f>
        <x:v>0.8601694915254238</x:v>
      </x:c>
      <x:c r="T197" s="11" t="n">
        <x:f>IFERROR(R197/P197,"")</x:f>
        <x:v>0.8675213675213675</x:v>
      </x:c>
      <x:c r="U197" s="10" t="n">
        <x:f>I197+J197+K197</x:f>
        <x:v>29</x:v>
      </x:c>
      <x:c r="V197" s="11" t="n">
        <x:f>IFERROR(U197/P197,"")</x:f>
        <x:v>0.12393162393162394</x:v>
      </x:c>
      <x:c r="W197" s="9" t="str">
        <x:v>mature_le_5pct_pending</x:v>
      </x:c>
      <x:c r="X197" s="12" t="n">
        <x:f>IFERROR(F197/Z197*100000,"")</x:f>
        <x:v>15.409729023832845</x:v>
      </x:c>
      <x:c r="Y197" s="13" t="n">
        <x:f>LN(Z197)</x:f>
        <x:v>14.241758205254968</x:v>
      </x:c>
      <x:c r="Z197" s="6" t="str">
        <x:v>1531500</x:v>
      </x:c>
      <x:c r="AA197" s="6" t="str">
        <x:v>92.0</x:v>
      </x:c>
      <x:c r="AB197" s="9" t="str">
        <x:v>2024-06-30</x:v>
      </x:c>
      <x:c r="AC197" s="8" t="str">
        <x:v>94.16</x:v>
      </x:c>
      <x:c r="AD197" s="9" t="str">
        <x:v>2024 (Susenas)</x:v>
      </x:c>
      <x:c r="AE197" s="8" t="str">
        <x:v>4.55</x:v>
      </x:c>
      <x:c r="AF197" s="9" t="str">
        <x:v>Maret 2024 (Susenas)</x:v>
      </x:c>
      <x:c r="AG197" s="6" t="str">
        <x:v>29.19395789942936</x:v>
      </x:c>
      <x:c r="AH197" s="8" t="str">
        <x:v>80.41827514793897</x:v>
      </x:c>
      <x:c r="AI197" s="6" t="str">
        <x:v>241.9267669933564</x:v>
      </x:c>
      <x:c r="AJ197" s="6" t="str">
        <x:v>1.2106822474661172</x:v>
      </x:c>
      <x:c r="AK197" s="8" t="str">
        <x:v>3.226815995454175</x:v>
      </x:c>
      <x:c r="AL197" s="6" t="str">
        <x:v>1.983351073167347</x:v>
      </x:c>
      <x:c r="AM197" s="6" t="str">
        <x:v>2.379870297366529</x:v>
      </x:c>
      <x:c r="AN197" s="6" t="str">
        <x:v>2.530012455329351</x:v>
      </x:c>
      <x:c r="AO197" s="6" t="str">
        <x:v>-0.5250442573485827</x:v>
      </x:c>
      <x:c r="AP197" s="8" t="str">
        <x:v>-0.4226938539633885</x:v>
      </x:c>
      <x:c r="AQ197" s="6" t="str">
        <x:v>0.6114443146661286</x:v>
      </x:c>
      <x:c r="AR197" s="6" t="str">
        <x:v>0.3520020162471703</x:v>
      </x:c>
      <x:c r="AS197" s="6" t="str">
        <x:v>0.1802508256499714</x:v>
      </x:c>
      <x:c r="AT197" s="6" t="str">
        <x:v>9.990964040036005</x:v>
      </x:c>
      <x:c r="AU197" s="8" t="str">
        <x:v>0.2175044159156713</x:v>
      </x:c>
      <x:c r="AV197" s="6" t="str">
        <x:v>0.6681962611497331</x:v>
      </x:c>
      <x:c r="AW197" s="6" t="str">
        <x:v>0.5327378841089069</x:v>
      </x:c>
      <x:c r="AX197" s="6" t="str">
        <x:v>0.4728128537247701</x:v>
      </x:c>
      <x:c r="AY197" s="6" t="str">
        <x:v>0</x:v>
      </x:c>
      <x:c r="AZ197" s="6" t="str">
        <x:v>1</x:v>
      </x:c>
      <x:c r="BA197" s="9" t="str">
        <x:v>grid_cells_within_BIG_polygon</x:v>
      </x:c>
      <x:c r="BB197" s="6" t="str">
        <x:v>5</x:v>
      </x:c>
      <x:c r="BC197" s="6" t="str">
        <x:v>0</x:v>
      </x:c>
      <x:c r="BD197" s="6" t="str">
        <x:v>0</x:v>
      </x:c>
      <x:c r="BE197" s="6" t="str">
        <x:v>0</x:v>
      </x:c>
      <x:c r="BF197" s="6" t="str">
        <x:v>0</x:v>
      </x:c>
      <x:c r="BG197" s="6" t="str">
        <x:v>0</x:v>
      </x:c>
      <x:c r="BH197" s="6" t="str">
        <x:v>0</x:v>
      </x:c>
      <x:c r="BI197" s="6" t="str">
        <x:v>0</x:v>
      </x:c>
      <x:c r="BJ197" s="6" t="str">
        <x:v>0</x:v>
      </x:c>
      <x:c r="BK197" s="6" t="str">
        <x:v>0</x:v>
      </x:c>
      <x:c r="BL197" s="6" t="str">
        <x:v>0</x:v>
      </x:c>
      <x:c r="BM197" s="6" t="str">
        <x:v>0</x:v>
      </x:c>
      <x:c r="BN197" s="6" t="str">
        <x:v>0</x:v>
      </x:c>
      <x:c r="BO197" s="6" t="str"/>
      <x:c r="BP197" s="6" t="str">
        <x:v>0</x:v>
      </x:c>
      <x:c r="BQ197" s="6" t="str"/>
      <x:c r="BR197" s="6" t="str">
        <x:v>0</x:v>
      </x:c>
      <x:c r="BS197" s="6" t="str"/>
      <x:c r="BT197" s="6" t="str">
        <x:v>0</x:v>
      </x:c>
      <x:c r="BU197" s="6" t="str"/>
      <x:c r="BV197" s="6" t="str">
        <x:v>0</x:v>
      </x:c>
      <x:c r="BW197" s="9" t="str">
        <x:v>operational_snapshot_annual_totals_may_differ</x:v>
      </x:c>
      <x:c r="BX197" s="9" t="str">
        <x:v>official_live_dashboard_snapshot_subject_to_revision</x:v>
      </x:c>
      <x:c r="BY197" s="9" t="str">
        <x:v>https://tbdashboard.sitb.id/ss_data_tbc03so_2024_provinsi_bulanan_list.php</x:v>
      </x:c>
      <x:c r="BZ197" s="6" t="n">
        <x:v>46246.610671296294</x:v>
      </x:c>
    </x:row>
    <x:row r="198" ht="18" customHeight="1">
      <x:c r="A198" s="6" t="str">
        <x:v>19</x:v>
      </x:c>
      <x:c r="B198" s="6" t="str">
        <x:v>KEP. BANGKA BELITUNG</x:v>
      </x:c>
      <x:c r="C198" s="6" t="str">
        <x:v>2024</x:v>
      </x:c>
      <x:c r="D198" s="6" t="str">
        <x:v>5</x:v>
      </x:c>
      <x:c r="E198" s="6" t="str">
        <x:v>2024-05</x:v>
      </x:c>
      <x:c r="F198" s="6" t="str">
        <x:v>270</x:v>
      </x:c>
      <x:c r="G198" s="6" t="str">
        <x:v>78</x:v>
      </x:c>
      <x:c r="H198" s="6" t="str">
        <x:v>146</x:v>
      </x:c>
      <x:c r="I198" s="6" t="str">
        <x:v>15</x:v>
      </x:c>
      <x:c r="J198" s="6" t="str">
        <x:v>21</x:v>
      </x:c>
      <x:c r="K198" s="6" t="str">
        <x:v>3</x:v>
      </x:c>
      <x:c r="L198" s="6" t="str">
        <x:v>0</x:v>
      </x:c>
      <x:c r="M198" s="6" t="str">
        <x:v>7</x:v>
      </x:c>
      <x:c r="N198" s="6" t="str">
        <x:v>270</x:v>
      </x:c>
      <x:c r="O198" s="6" t="str">
        <x:v>0</x:v>
      </x:c>
      <x:c r="P198" s="10" t="n">
        <x:f>F198-M198</x:f>
        <x:v>263</x:v>
      </x:c>
      <x:c r="Q198" s="11" t="n">
        <x:f>IFERROR(M198/F198,"")</x:f>
        <x:v>0.025925925925925925</x:v>
      </x:c>
      <x:c r="R198" s="10" t="n">
        <x:f>G198+H198</x:f>
        <x:v>224</x:v>
      </x:c>
      <x:c r="S198" s="11" t="n">
        <x:f>IFERROR(R198/F198,"")</x:f>
        <x:v>0.8296296296296296</x:v>
      </x:c>
      <x:c r="T198" s="11" t="n">
        <x:f>IFERROR(R198/P198,"")</x:f>
        <x:v>0.8517110266159695</x:v>
      </x:c>
      <x:c r="U198" s="10" t="n">
        <x:f>I198+J198+K198</x:f>
        <x:v>39</x:v>
      </x:c>
      <x:c r="V198" s="11" t="n">
        <x:f>IFERROR(U198/P198,"")</x:f>
        <x:v>0.1482889733840304</x:v>
      </x:c>
      <x:c r="W198" s="9" t="str">
        <x:v>mature_le_5pct_pending</x:v>
      </x:c>
      <x:c r="X198" s="12" t="n">
        <x:f>IFERROR(F198/Z198*100000,"")</x:f>
        <x:v>17.62977473065622</x:v>
      </x:c>
      <x:c r="Y198" s="13" t="n">
        <x:f>LN(Z198)</x:f>
        <x:v>14.241758205254968</x:v>
      </x:c>
      <x:c r="Z198" s="6" t="str">
        <x:v>1531500</x:v>
      </x:c>
      <x:c r="AA198" s="6" t="str">
        <x:v>92.0</x:v>
      </x:c>
      <x:c r="AB198" s="9" t="str">
        <x:v>2024-06-30</x:v>
      </x:c>
      <x:c r="AC198" s="8" t="str">
        <x:v>94.16</x:v>
      </x:c>
      <x:c r="AD198" s="9" t="str">
        <x:v>2024 (Susenas)</x:v>
      </x:c>
      <x:c r="AE198" s="8" t="str">
        <x:v>4.55</x:v>
      </x:c>
      <x:c r="AF198" s="9" t="str">
        <x:v>Maret 2024 (Susenas)</x:v>
      </x:c>
      <x:c r="AG198" s="6" t="str">
        <x:v>29.22192049309396</x:v>
      </x:c>
      <x:c r="AH198" s="8" t="str">
        <x:v>83.00644055103007</x:v>
      </x:c>
      <x:c r="AI198" s="6" t="str">
        <x:v>236.4157871173832</x:v>
      </x:c>
      <x:c r="AJ198" s="6" t="str">
        <x:v>0.949724232569892</x:v>
      </x:c>
      <x:c r="AK198" s="8" t="str">
        <x:v>2.7074458612177</x:v>
      </x:c>
      <x:c r="AL198" s="6" t="str">
        <x:v>3.226815995454175</x:v>
      </x:c>
      <x:c r="AM198" s="6" t="str">
        <x:v>1.983351073167347</x:v>
      </x:c>
      <x:c r="AN198" s="6" t="str">
        <x:v>2.6392043099464075</x:v>
      </x:c>
      <x:c r="AO198" s="6" t="str">
        <x:v>1.6018990214628983</x:v>
      </x:c>
      <x:c r="AP198" s="8" t="str">
        <x:v>1.1910276969403568</x:v>
      </x:c>
      <x:c r="AQ198" s="6" t="str">
        <x:v>-0.4226938539633885</x:v>
      </x:c>
      <x:c r="AR198" s="6" t="str">
        <x:v>0.6114443146661286</x:v>
      </x:c>
      <x:c r="AS198" s="6" t="str">
        <x:v>0.4599260525477002</x:v>
      </x:c>
      <x:c r="AT198" s="6" t="str">
        <x:v>38.45157316234159</x:v>
      </x:c>
      <x:c r="AU198" s="8" t="str">
        <x:v>0.6824787336912876</x:v>
      </x:c>
      <x:c r="AV198" s="6" t="str">
        <x:v>0.2175044159156713</x:v>
      </x:c>
      <x:c r="AW198" s="6" t="str">
        <x:v>0.6681962611497331</x:v>
      </x:c>
      <x:c r="AX198" s="6" t="str">
        <x:v>0.5227264702522304</x:v>
      </x:c>
      <x:c r="AY198" s="6" t="str">
        <x:v>0</x:v>
      </x:c>
      <x:c r="AZ198" s="6" t="str">
        <x:v>1</x:v>
      </x:c>
      <x:c r="BA198" s="9" t="str">
        <x:v>grid_cells_within_BIG_polygon</x:v>
      </x:c>
      <x:c r="BB198" s="6" t="str">
        <x:v>5</x:v>
      </x:c>
      <x:c r="BC198" s="6" t="str">
        <x:v>2</x:v>
      </x:c>
      <x:c r="BD198" s="6" t="str">
        <x:v>2</x:v>
      </x:c>
      <x:c r="BE198" s="6" t="str">
        <x:v>1</x:v>
      </x:c>
      <x:c r="BF198" s="6" t="str">
        <x:v>0</x:v>
      </x:c>
      <x:c r="BG198" s="6" t="str">
        <x:v>1</x:v>
      </x:c>
      <x:c r="BH198" s="6" t="str">
        <x:v>0</x:v>
      </x:c>
      <x:c r="BI198" s="6" t="str">
        <x:v>0</x:v>
      </x:c>
      <x:c r="BJ198" s="6" t="str">
        <x:v>0</x:v>
      </x:c>
      <x:c r="BK198" s="6" t="str">
        <x:v>0</x:v>
      </x:c>
      <x:c r="BL198" s="6" t="str">
        <x:v>0</x:v>
      </x:c>
      <x:c r="BM198" s="6" t="str">
        <x:v>0</x:v>
      </x:c>
      <x:c r="BN198" s="6" t="str">
        <x:v>2</x:v>
      </x:c>
      <x:c r="BO198" s="6" t="str">
        <x:v>0.0</x:v>
      </x:c>
      <x:c r="BP198" s="6" t="str">
        <x:v>2</x:v>
      </x:c>
      <x:c r="BQ198" s="6" t="str">
        <x:v>0.0</x:v>
      </x:c>
      <x:c r="BR198" s="6" t="str">
        <x:v>2</x:v>
      </x:c>
      <x:c r="BS198" s="6" t="str">
        <x:v>0.0</x:v>
      </x:c>
      <x:c r="BT198" s="6" t="str">
        <x:v>2</x:v>
      </x:c>
      <x:c r="BU198" s="6" t="str">
        <x:v>105.0</x:v>
      </x:c>
      <x:c r="BV198" s="6" t="str">
        <x:v>1</x:v>
      </x:c>
      <x:c r="BW198" s="9" t="str">
        <x:v>operational_snapshot_annual_totals_may_differ</x:v>
      </x:c>
      <x:c r="BX198" s="9" t="str">
        <x:v>official_live_dashboard_snapshot_subject_to_revision</x:v>
      </x:c>
      <x:c r="BY198" s="9" t="str">
        <x:v>https://tbdashboard.sitb.id/ss_data_tbc03so_2024_provinsi_bulanan_list.php</x:v>
      </x:c>
      <x:c r="BZ198" s="6" t="n">
        <x:v>46246.610671296294</x:v>
      </x:c>
    </x:row>
    <x:row r="199" ht="18" customHeight="1">
      <x:c r="A199" s="6" t="str">
        <x:v>19</x:v>
      </x:c>
      <x:c r="B199" s="6" t="str">
        <x:v>KEP. BANGKA BELITUNG</x:v>
      </x:c>
      <x:c r="C199" s="6" t="str">
        <x:v>2024</x:v>
      </x:c>
      <x:c r="D199" s="6" t="str">
        <x:v>6</x:v>
      </x:c>
      <x:c r="E199" s="6" t="str">
        <x:v>2024-06</x:v>
      </x:c>
      <x:c r="F199" s="6" t="str">
        <x:v>243</x:v>
      </x:c>
      <x:c r="G199" s="6" t="str">
        <x:v>71</x:v>
      </x:c>
      <x:c r="H199" s="6" t="str">
        <x:v>134</x:v>
      </x:c>
      <x:c r="I199" s="6" t="str">
        <x:v>17</x:v>
      </x:c>
      <x:c r="J199" s="6" t="str">
        <x:v>15</x:v>
      </x:c>
      <x:c r="K199" s="6" t="str">
        <x:v>2</x:v>
      </x:c>
      <x:c r="L199" s="6" t="str">
        <x:v>1</x:v>
      </x:c>
      <x:c r="M199" s="6" t="str">
        <x:v>3</x:v>
      </x:c>
      <x:c r="N199" s="6" t="str">
        <x:v>243</x:v>
      </x:c>
      <x:c r="O199" s="6" t="str">
        <x:v>0</x:v>
      </x:c>
      <x:c r="P199" s="10" t="n">
        <x:f>F199-M199</x:f>
        <x:v>240</x:v>
      </x:c>
      <x:c r="Q199" s="11" t="n">
        <x:f>IFERROR(M199/F199,"")</x:f>
        <x:v>0.012345679012345678</x:v>
      </x:c>
      <x:c r="R199" s="10" t="n">
        <x:f>G199+H199</x:f>
        <x:v>205</x:v>
      </x:c>
      <x:c r="S199" s="11" t="n">
        <x:f>IFERROR(R199/F199,"")</x:f>
        <x:v>0.8436213991769548</x:v>
      </x:c>
      <x:c r="T199" s="11" t="n">
        <x:f>IFERROR(R199/P199,"")</x:f>
        <x:v>0.8541666666666666</x:v>
      </x:c>
      <x:c r="U199" s="10" t="n">
        <x:f>I199+J199+K199</x:f>
        <x:v>34</x:v>
      </x:c>
      <x:c r="V199" s="11" t="n">
        <x:f>IFERROR(U199/P199,"")</x:f>
        <x:v>0.14166666666666666</x:v>
      </x:c>
      <x:c r="W199" s="9" t="str">
        <x:v>mature_le_5pct_pending</x:v>
      </x:c>
      <x:c r="X199" s="12" t="n">
        <x:f>IFERROR(F199/Z199*100000,"")</x:f>
        <x:v>15.866797257590596</x:v>
      </x:c>
      <x:c r="Y199" s="13" t="n">
        <x:f>LN(Z199)</x:f>
        <x:v>14.241758205254968</x:v>
      </x:c>
      <x:c r="Z199" s="6" t="str">
        <x:v>1531500</x:v>
      </x:c>
      <x:c r="AA199" s="6" t="str">
        <x:v>92.0</x:v>
      </x:c>
      <x:c r="AB199" s="9" t="str">
        <x:v>2024-06-30</x:v>
      </x:c>
      <x:c r="AC199" s="8" t="str">
        <x:v>94.16</x:v>
      </x:c>
      <x:c r="AD199" s="9" t="str">
        <x:v>2024 (Susenas)</x:v>
      </x:c>
      <x:c r="AE199" s="8" t="str">
        <x:v>4.55</x:v>
      </x:c>
      <x:c r="AF199" s="9" t="str">
        <x:v>Maret 2024 (Susenas)</x:v>
      </x:c>
      <x:c r="AG199" s="6" t="str">
        <x:v>28.601924227710704</x:v>
      </x:c>
      <x:c r="AH199" s="8" t="str">
        <x:v>82.1643498703578</x:v>
      </x:c>
      <x:c r="AI199" s="6" t="str">
        <x:v>181.44812880440097</x:v>
      </x:c>
      <x:c r="AJ199" s="6" t="str">
        <x:v>0.7212049192382821</x:v>
      </x:c>
      <x:c r="AK199" s="8" t="str">
        <x:v>2.192978671297181</x:v>
      </x:c>
      <x:c r="AL199" s="6" t="str">
        <x:v>2.7074458612177</x:v>
      </x:c>
      <x:c r="AM199" s="6" t="str">
        <x:v>3.226815995454175</x:v>
      </x:c>
      <x:c r="AN199" s="6" t="str">
        <x:v>2.7090801759896856</x:v>
      </x:c>
      <x:c r="AO199" s="6" t="str">
        <x:v>0.6721977336933946</x:v>
      </x:c>
      <x:c r="AP199" s="8" t="str">
        <x:v>0.370415247728665</x:v>
      </x:c>
      <x:c r="AQ199" s="6" t="str">
        <x:v>1.1910276969403568</x:v>
      </x:c>
      <x:c r="AR199" s="6" t="str">
        <x:v>-0.4226938539633885</x:v>
      </x:c>
      <x:c r="AS199" s="6" t="str">
        <x:v>0.3795830302352125</x:v>
      </x:c>
      <x:c r="AT199" s="6" t="str">
        <x:v>32.55527025289277</x:v>
      </x:c>
      <x:c r="AU199" s="8" t="str">
        <x:v>0.5953861578292219</x:v>
      </x:c>
      <x:c r="AV199" s="6" t="str">
        <x:v>0.6824787336912876</x:v>
      </x:c>
      <x:c r="AW199" s="6" t="str">
        <x:v>0.2175044159156713</x:v>
      </x:c>
      <x:c r="AX199" s="6" t="str">
        <x:v>0.4984564358120599</x:v>
      </x:c>
      <x:c r="AY199" s="6" t="str">
        <x:v>0</x:v>
      </x:c>
      <x:c r="AZ199" s="6" t="str">
        <x:v>1</x:v>
      </x:c>
      <x:c r="BA199" s="9" t="str">
        <x:v>grid_cells_within_BIG_polygon</x:v>
      </x:c>
      <x:c r="BB199" s="6" t="str">
        <x:v>5</x:v>
      </x:c>
      <x:c r="BC199" s="6" t="str">
        <x:v>0</x:v>
      </x:c>
      <x:c r="BD199" s="6" t="str">
        <x:v>0</x:v>
      </x:c>
      <x:c r="BE199" s="6" t="str">
        <x:v>0</x:v>
      </x:c>
      <x:c r="BF199" s="6" t="str">
        <x:v>0</x:v>
      </x:c>
      <x:c r="BG199" s="6" t="str">
        <x:v>0</x:v>
      </x:c>
      <x:c r="BH199" s="6" t="str">
        <x:v>0</x:v>
      </x:c>
      <x:c r="BI199" s="6" t="str">
        <x:v>0</x:v>
      </x:c>
      <x:c r="BJ199" s="6" t="str">
        <x:v>0</x:v>
      </x:c>
      <x:c r="BK199" s="6" t="str">
        <x:v>0</x:v>
      </x:c>
      <x:c r="BL199" s="6" t="str">
        <x:v>0</x:v>
      </x:c>
      <x:c r="BM199" s="6" t="str">
        <x:v>0</x:v>
      </x:c>
      <x:c r="BN199" s="6" t="str">
        <x:v>0</x:v>
      </x:c>
      <x:c r="BO199" s="6" t="str"/>
      <x:c r="BP199" s="6" t="str">
        <x:v>0</x:v>
      </x:c>
      <x:c r="BQ199" s="6" t="str"/>
      <x:c r="BR199" s="6" t="str">
        <x:v>0</x:v>
      </x:c>
      <x:c r="BS199" s="6" t="str"/>
      <x:c r="BT199" s="6" t="str">
        <x:v>0</x:v>
      </x:c>
      <x:c r="BU199" s="6" t="str"/>
      <x:c r="BV199" s="6" t="str">
        <x:v>0</x:v>
      </x:c>
      <x:c r="BW199" s="9" t="str">
        <x:v>operational_snapshot_annual_totals_may_differ</x:v>
      </x:c>
      <x:c r="BX199" s="9" t="str">
        <x:v>official_live_dashboard_snapshot_subject_to_revision</x:v>
      </x:c>
      <x:c r="BY199" s="9" t="str">
        <x:v>https://tbdashboard.sitb.id/ss_data_tbc03so_2024_provinsi_bulanan_list.php</x:v>
      </x:c>
      <x:c r="BZ199" s="6" t="n">
        <x:v>46246.610671296294</x:v>
      </x:c>
    </x:row>
    <x:row r="200" ht="18" customHeight="1">
      <x:c r="A200" s="6" t="str">
        <x:v>19</x:v>
      </x:c>
      <x:c r="B200" s="6" t="str">
        <x:v>KEP. BANGKA BELITUNG</x:v>
      </x:c>
      <x:c r="C200" s="6" t="str">
        <x:v>2024</x:v>
      </x:c>
      <x:c r="D200" s="6" t="str">
        <x:v>7</x:v>
      </x:c>
      <x:c r="E200" s="6" t="str">
        <x:v>2024-07</x:v>
      </x:c>
      <x:c r="F200" s="6" t="str">
        <x:v>233</x:v>
      </x:c>
      <x:c r="G200" s="6" t="str">
        <x:v>88</x:v>
      </x:c>
      <x:c r="H200" s="6" t="str">
        <x:v>117</x:v>
      </x:c>
      <x:c r="I200" s="6" t="str">
        <x:v>10</x:v>
      </x:c>
      <x:c r="J200" s="6" t="str">
        <x:v>15</x:v>
      </x:c>
      <x:c r="K200" s="6" t="str">
        <x:v>0</x:v>
      </x:c>
      <x:c r="L200" s="6" t="str">
        <x:v>1</x:v>
      </x:c>
      <x:c r="M200" s="6" t="str">
        <x:v>2</x:v>
      </x:c>
      <x:c r="N200" s="6" t="str">
        <x:v>233</x:v>
      </x:c>
      <x:c r="O200" s="6" t="str">
        <x:v>0</x:v>
      </x:c>
      <x:c r="P200" s="10" t="n">
        <x:f>F200-M200</x:f>
        <x:v>231</x:v>
      </x:c>
      <x:c r="Q200" s="11" t="n">
        <x:f>IFERROR(M200/F200,"")</x:f>
        <x:v>0.008583690987124463</x:v>
      </x:c>
      <x:c r="R200" s="10" t="n">
        <x:f>G200+H200</x:f>
        <x:v>205</x:v>
      </x:c>
      <x:c r="S200" s="11" t="n">
        <x:f>IFERROR(R200/F200,"")</x:f>
        <x:v>0.8798283261802575</x:v>
      </x:c>
      <x:c r="T200" s="11" t="n">
        <x:f>IFERROR(R200/P200,"")</x:f>
        <x:v>0.8874458874458875</x:v>
      </x:c>
      <x:c r="U200" s="10" t="n">
        <x:f>I200+J200+K200</x:f>
        <x:v>25</x:v>
      </x:c>
      <x:c r="V200" s="11" t="n">
        <x:f>IFERROR(U200/P200,"")</x:f>
        <x:v>0.10822510822510822</x:v>
      </x:c>
      <x:c r="W200" s="9" t="str">
        <x:v>mature_le_5pct_pending</x:v>
      </x:c>
      <x:c r="X200" s="12" t="n">
        <x:f>IFERROR(F200/Z200*100000,"")</x:f>
        <x:v>15.213842637936665</x:v>
      </x:c>
      <x:c r="Y200" s="13" t="n">
        <x:f>LN(Z200)</x:f>
        <x:v>14.241758205254968</x:v>
      </x:c>
      <x:c r="Z200" s="6" t="str">
        <x:v>1531500</x:v>
      </x:c>
      <x:c r="AA200" s="6" t="str">
        <x:v>92.0</x:v>
      </x:c>
      <x:c r="AB200" s="9" t="str">
        <x:v>2024-06-30</x:v>
      </x:c>
      <x:c r="AC200" s="8" t="str">
        <x:v>94.16</x:v>
      </x:c>
      <x:c r="AD200" s="9" t="str">
        <x:v>2024 (Susenas)</x:v>
      </x:c>
      <x:c r="AE200" s="8" t="str">
        <x:v>4.55</x:v>
      </x:c>
      <x:c r="AF200" s="9" t="str">
        <x:v>Maret 2024 (Susenas)</x:v>
      </x:c>
      <x:c r="AG200" s="6" t="str">
        <x:v>28.13591855737824</x:v>
      </x:c>
      <x:c r="AH200" s="8" t="str">
        <x:v>81.35843916448876</x:v>
      </x:c>
      <x:c r="AI200" s="6" t="str">
        <x:v>86.24216729779509</x:v>
      </x:c>
      <x:c r="AJ200" s="6" t="str">
        <x:v>0.6779275159731455</x:v>
      </x:c>
      <x:c r="AK200" s="8" t="str">
        <x:v>2.227176592756565</x:v>
      </x:c>
      <x:c r="AL200" s="6" t="str">
        <x:v>2.192978671297181</x:v>
      </x:c>
      <x:c r="AM200" s="6" t="str">
        <x:v>2.7074458612177</x:v>
      </x:c>
      <x:c r="AN200" s="6" t="str">
        <x:v>2.3758670417571497</x:v>
      </x:c>
      <x:c r="AO200" s="6" t="str">
        <x:v>0.3146399516228229</x:v>
      </x:c>
      <x:c r="AP200" s="8" t="str">
        <x:v>0.1899384741494568</x:v>
      </x:c>
      <x:c r="AQ200" s="6" t="str">
        <x:v>0.370415247728665</x:v>
      </x:c>
      <x:c r="AR200" s="6" t="str">
        <x:v>1.1910276969403568</x:v>
      </x:c>
      <x:c r="AS200" s="6" t="str">
        <x:v>0.5837938062728276</x:v>
      </x:c>
      <x:c r="AT200" s="6" t="str">
        <x:v>-31.05743014379574</x:v>
      </x:c>
      <x:c r="AU200" s="8" t="str">
        <x:v>-0.491453558127513</x:v>
      </x:c>
      <x:c r="AV200" s="6" t="str">
        <x:v>0.5953861578292219</x:v>
      </x:c>
      <x:c r="AW200" s="6" t="str">
        <x:v>0.6824787336912876</x:v>
      </x:c>
      <x:c r="AX200" s="6" t="str">
        <x:v>0.2621371111309984</x:v>
      </x:c>
      <x:c r="AY200" s="6" t="str">
        <x:v>0</x:v>
      </x:c>
      <x:c r="AZ200" s="6" t="str">
        <x:v>1</x:v>
      </x:c>
      <x:c r="BA200" s="9" t="str">
        <x:v>grid_cells_within_BIG_polygon</x:v>
      </x:c>
      <x:c r="BB200" s="6" t="str">
        <x:v>5</x:v>
      </x:c>
      <x:c r="BC200" s="6" t="str">
        <x:v>1</x:v>
      </x:c>
      <x:c r="BD200" s="6" t="str">
        <x:v>1</x:v>
      </x:c>
      <x:c r="BE200" s="6" t="str">
        <x:v>0</x:v>
      </x:c>
      <x:c r="BF200" s="6" t="str">
        <x:v>0</x:v>
      </x:c>
      <x:c r="BG200" s="6" t="str">
        <x:v>0</x:v>
      </x:c>
      <x:c r="BH200" s="6" t="str">
        <x:v>0</x:v>
      </x:c>
      <x:c r="BI200" s="6" t="str">
        <x:v>1</x:v>
      </x:c>
      <x:c r="BJ200" s="6" t="str">
        <x:v>0</x:v>
      </x:c>
      <x:c r="BK200" s="6" t="str">
        <x:v>0</x:v>
      </x:c>
      <x:c r="BL200" s="6" t="str">
        <x:v>0</x:v>
      </x:c>
      <x:c r="BM200" s="6" t="str">
        <x:v>0</x:v>
      </x:c>
      <x:c r="BN200" s="6" t="str">
        <x:v>1</x:v>
      </x:c>
      <x:c r="BO200" s="6" t="str">
        <x:v>0.0</x:v>
      </x:c>
      <x:c r="BP200" s="6" t="str">
        <x:v>1</x:v>
      </x:c>
      <x:c r="BQ200" s="6" t="str">
        <x:v>0.0</x:v>
      </x:c>
      <x:c r="BR200" s="6" t="str">
        <x:v>1</x:v>
      </x:c>
      <x:c r="BS200" s="6" t="str">
        <x:v>0.0</x:v>
      </x:c>
      <x:c r="BT200" s="6" t="str">
        <x:v>1</x:v>
      </x:c>
      <x:c r="BU200" s="6" t="str"/>
      <x:c r="BV200" s="6" t="str">
        <x:v>0</x:v>
      </x:c>
      <x:c r="BW200" s="9" t="str">
        <x:v>operational_snapshot_annual_totals_may_differ</x:v>
      </x:c>
      <x:c r="BX200" s="9" t="str">
        <x:v>official_live_dashboard_snapshot_subject_to_revision</x:v>
      </x:c>
      <x:c r="BY200" s="9" t="str">
        <x:v>https://tbdashboard.sitb.id/ss_data_tbc03so_2024_provinsi_bulanan_list.php</x:v>
      </x:c>
      <x:c r="BZ200" s="6" t="n">
        <x:v>46246.610671296294</x:v>
      </x:c>
    </x:row>
    <x:row r="201" ht="18" customHeight="1">
      <x:c r="A201" s="6" t="str">
        <x:v>19</x:v>
      </x:c>
      <x:c r="B201" s="6" t="str">
        <x:v>KEP. BANGKA BELITUNG</x:v>
      </x:c>
      <x:c r="C201" s="6" t="str">
        <x:v>2024</x:v>
      </x:c>
      <x:c r="D201" s="6" t="str">
        <x:v>8</x:v>
      </x:c>
      <x:c r="E201" s="6" t="str">
        <x:v>2024-08</x:v>
      </x:c>
      <x:c r="F201" s="6" t="str">
        <x:v>224</x:v>
      </x:c>
      <x:c r="G201" s="6" t="str">
        <x:v>67</x:v>
      </x:c>
      <x:c r="H201" s="6" t="str">
        <x:v>130</x:v>
      </x:c>
      <x:c r="I201" s="6" t="str">
        <x:v>9</x:v>
      </x:c>
      <x:c r="J201" s="6" t="str">
        <x:v>13</x:v>
      </x:c>
      <x:c r="K201" s="6" t="str">
        <x:v>2</x:v>
      </x:c>
      <x:c r="L201" s="6" t="str">
        <x:v>1</x:v>
      </x:c>
      <x:c r="M201" s="6" t="str">
        <x:v>2</x:v>
      </x:c>
      <x:c r="N201" s="6" t="str">
        <x:v>224</x:v>
      </x:c>
      <x:c r="O201" s="6" t="str">
        <x:v>0</x:v>
      </x:c>
      <x:c r="P201" s="10" t="n">
        <x:f>F201-M201</x:f>
        <x:v>222</x:v>
      </x:c>
      <x:c r="Q201" s="11" t="n">
        <x:f>IFERROR(M201/F201,"")</x:f>
        <x:v>0.008928571428571428</x:v>
      </x:c>
      <x:c r="R201" s="10" t="n">
        <x:f>G201+H201</x:f>
        <x:v>197</x:v>
      </x:c>
      <x:c r="S201" s="11" t="n">
        <x:f>IFERROR(R201/F201,"")</x:f>
        <x:v>0.8794642857142857</x:v>
      </x:c>
      <x:c r="T201" s="11" t="n">
        <x:f>IFERROR(R201/P201,"")</x:f>
        <x:v>0.8873873873873874</x:v>
      </x:c>
      <x:c r="U201" s="10" t="n">
        <x:f>I201+J201+K201</x:f>
        <x:v>24</x:v>
      </x:c>
      <x:c r="V201" s="11" t="n">
        <x:f>IFERROR(U201/P201,"")</x:f>
        <x:v>0.10810810810810811</x:v>
      </x:c>
      <x:c r="W201" s="9" t="str">
        <x:v>mature_le_5pct_pending</x:v>
      </x:c>
      <x:c r="X201" s="12" t="n">
        <x:f>IFERROR(F201/Z201*100000,"")</x:f>
        <x:v>14.626183480248123</x:v>
      </x:c>
      <x:c r="Y201" s="13" t="n">
        <x:f>LN(Z201)</x:f>
        <x:v>14.241758205254968</x:v>
      </x:c>
      <x:c r="Z201" s="6" t="str">
        <x:v>1531500</x:v>
      </x:c>
      <x:c r="AA201" s="6" t="str">
        <x:v>92.0</x:v>
      </x:c>
      <x:c r="AB201" s="9" t="str">
        <x:v>2024-06-30</x:v>
      </x:c>
      <x:c r="AC201" s="8" t="str">
        <x:v>94.16</x:v>
      </x:c>
      <x:c r="AD201" s="9" t="str">
        <x:v>2024 (Susenas)</x:v>
      </x:c>
      <x:c r="AE201" s="8" t="str">
        <x:v>4.55</x:v>
      </x:c>
      <x:c r="AF201" s="9" t="str">
        <x:v>Maret 2024 (Susenas)</x:v>
      </x:c>
      <x:c r="AG201" s="6" t="str">
        <x:v>28.239936513431022</x:v>
      </x:c>
      <x:c r="AH201" s="8" t="str">
        <x:v>79.4623767908317</x:v>
      </x:c>
      <x:c r="AI201" s="6" t="str">
        <x:v>57.65744363565214</x:v>
      </x:c>
      <x:c r="AJ201" s="6" t="str">
        <x:v>0.782386732778793</x:v>
      </x:c>
      <x:c r="AK201" s="8" t="str">
        <x:v>3.2089323277868</x:v>
      </x:c>
      <x:c r="AL201" s="6" t="str">
        <x:v>2.227176592756565</x:v>
      </x:c>
      <x:c r="AM201" s="6" t="str">
        <x:v>2.192978671297181</x:v>
      </x:c>
      <x:c r="AN201" s="6" t="str">
        <x:v>2.5430291972801826</x:v>
      </x:c>
      <x:c r="AO201" s="6" t="str">
        <x:v>-0.0300371503004726</x:v>
      </x:c>
      <x:c r="AP201" s="8" t="str">
        <x:v>-0.0151504758417571</x:v>
      </x:c>
      <x:c r="AQ201" s="6" t="str">
        <x:v>0.1899384741494568</x:v>
      </x:c>
      <x:c r="AR201" s="6" t="str">
        <x:v>0.370415247728665</x:v>
      </x:c>
      <x:c r="AS201" s="6" t="str">
        <x:v>0.1817344153454562</x:v>
      </x:c>
      <x:c r="AT201" s="6" t="str">
        <x:v>-26.700384320558697</x:v>
      </x:c>
      <x:c r="AU201" s="8" t="str">
        <x:v>-0.3820610383633612</x:v>
      </x:c>
      <x:c r="AV201" s="6" t="str">
        <x:v>-0.491453558127513</x:v>
      </x:c>
      <x:c r="AW201" s="6" t="str">
        <x:v>0.5953861578292219</x:v>
      </x:c>
      <x:c r="AX201" s="6" t="str">
        <x:v>-0.0927094795538844</x:v>
      </x:c>
      <x:c r="AY201" s="6" t="str">
        <x:v>0</x:v>
      </x:c>
      <x:c r="AZ201" s="6" t="str">
        <x:v>1</x:v>
      </x:c>
      <x:c r="BA201" s="9" t="str">
        <x:v>grid_cells_within_BIG_polygon</x:v>
      </x:c>
      <x:c r="BB201" s="6" t="str">
        <x:v>5</x:v>
      </x:c>
      <x:c r="BC201" s="6" t="str">
        <x:v>7</x:v>
      </x:c>
      <x:c r="BD201" s="6" t="str">
        <x:v>7</x:v>
      </x:c>
      <x:c r="BE201" s="6" t="str">
        <x:v>0</x:v>
      </x:c>
      <x:c r="BF201" s="6" t="str">
        <x:v>0</x:v>
      </x:c>
      <x:c r="BG201" s="6" t="str">
        <x:v>0</x:v>
      </x:c>
      <x:c r="BH201" s="6" t="str">
        <x:v>0</x:v>
      </x:c>
      <x:c r="BI201" s="6" t="str">
        <x:v>7</x:v>
      </x:c>
      <x:c r="BJ201" s="6" t="str">
        <x:v>0</x:v>
      </x:c>
      <x:c r="BK201" s="6" t="str">
        <x:v>0</x:v>
      </x:c>
      <x:c r="BL201" s="6" t="str">
        <x:v>0</x:v>
      </x:c>
      <x:c r="BM201" s="6" t="str">
        <x:v>0</x:v>
      </x:c>
      <x:c r="BN201" s="6" t="str">
        <x:v>7</x:v>
      </x:c>
      <x:c r="BO201" s="6" t="str">
        <x:v>0.0</x:v>
      </x:c>
      <x:c r="BP201" s="6" t="str">
        <x:v>7</x:v>
      </x:c>
      <x:c r="BQ201" s="6" t="str">
        <x:v>0.0</x:v>
      </x:c>
      <x:c r="BR201" s="6" t="str">
        <x:v>7</x:v>
      </x:c>
      <x:c r="BS201" s="6" t="str">
        <x:v>0.0</x:v>
      </x:c>
      <x:c r="BT201" s="6" t="str">
        <x:v>7</x:v>
      </x:c>
      <x:c r="BU201" s="6" t="str"/>
      <x:c r="BV201" s="6" t="str">
        <x:v>0</x:v>
      </x:c>
      <x:c r="BW201" s="9" t="str">
        <x:v>operational_snapshot_annual_totals_may_differ</x:v>
      </x:c>
      <x:c r="BX201" s="9" t="str">
        <x:v>official_live_dashboard_snapshot_subject_to_revision</x:v>
      </x:c>
      <x:c r="BY201" s="9" t="str">
        <x:v>https://tbdashboard.sitb.id/ss_data_tbc03so_2024_provinsi_bulanan_list.php</x:v>
      </x:c>
      <x:c r="BZ201" s="6" t="n">
        <x:v>46246.610671296294</x:v>
      </x:c>
    </x:row>
    <x:row r="202" ht="18" customHeight="1">
      <x:c r="A202" s="6" t="str">
        <x:v>19</x:v>
      </x:c>
      <x:c r="B202" s="6" t="str">
        <x:v>KEP. BANGKA BELITUNG</x:v>
      </x:c>
      <x:c r="C202" s="6" t="str">
        <x:v>2024</x:v>
      </x:c>
      <x:c r="D202" s="6" t="str">
        <x:v>9</x:v>
      </x:c>
      <x:c r="E202" s="6" t="str">
        <x:v>2024-09</x:v>
      </x:c>
      <x:c r="F202" s="6" t="str">
        <x:v>225</x:v>
      </x:c>
      <x:c r="G202" s="6" t="str">
        <x:v>69</x:v>
      </x:c>
      <x:c r="H202" s="6" t="str">
        <x:v>120</x:v>
      </x:c>
      <x:c r="I202" s="6" t="str">
        <x:v>14</x:v>
      </x:c>
      <x:c r="J202" s="6" t="str">
        <x:v>17</x:v>
      </x:c>
      <x:c r="K202" s="6" t="str">
        <x:v>0</x:v>
      </x:c>
      <x:c r="L202" s="6" t="str">
        <x:v>1</x:v>
      </x:c>
      <x:c r="M202" s="6" t="str">
        <x:v>4</x:v>
      </x:c>
      <x:c r="N202" s="6" t="str">
        <x:v>225</x:v>
      </x:c>
      <x:c r="O202" s="6" t="str">
        <x:v>0</x:v>
      </x:c>
      <x:c r="P202" s="10" t="n">
        <x:f>F202-M202</x:f>
        <x:v>221</x:v>
      </x:c>
      <x:c r="Q202" s="11" t="n">
        <x:f>IFERROR(M202/F202,"")</x:f>
        <x:v>0.017777777777777778</x:v>
      </x:c>
      <x:c r="R202" s="10" t="n">
        <x:f>G202+H202</x:f>
        <x:v>189</x:v>
      </x:c>
      <x:c r="S202" s="11" t="n">
        <x:f>IFERROR(R202/F202,"")</x:f>
        <x:v>0.84</x:v>
      </x:c>
      <x:c r="T202" s="11" t="n">
        <x:f>IFERROR(R202/P202,"")</x:f>
        <x:v>0.8552036199095022</x:v>
      </x:c>
      <x:c r="U202" s="10" t="n">
        <x:f>I202+J202+K202</x:f>
        <x:v>31</x:v>
      </x:c>
      <x:c r="V202" s="11" t="n">
        <x:f>IFERROR(U202/P202,"")</x:f>
        <x:v>0.14027149321266968</x:v>
      </x:c>
      <x:c r="W202" s="9" t="str">
        <x:v>mature_le_5pct_pending</x:v>
      </x:c>
      <x:c r="X202" s="12" t="n">
        <x:f>IFERROR(F202/Z202*100000,"")</x:f>
        <x:v>14.691478942213516</x:v>
      </x:c>
      <x:c r="Y202" s="13" t="n">
        <x:f>LN(Z202)</x:f>
        <x:v>14.241758205254968</x:v>
      </x:c>
      <x:c r="Z202" s="6" t="str">
        <x:v>1531500</x:v>
      </x:c>
      <x:c r="AA202" s="6" t="str">
        <x:v>92.0</x:v>
      </x:c>
      <x:c r="AB202" s="9" t="str">
        <x:v>2024-06-30</x:v>
      </x:c>
      <x:c r="AC202" s="8" t="str">
        <x:v>94.16</x:v>
      </x:c>
      <x:c r="AD202" s="9" t="str">
        <x:v>2024 (Susenas)</x:v>
      </x:c>
      <x:c r="AE202" s="8" t="str">
        <x:v>4.55</x:v>
      </x:c>
      <x:c r="AF202" s="9" t="str">
        <x:v>Maret 2024 (Susenas)</x:v>
      </x:c>
      <x:c r="AG202" s="6" t="str">
        <x:v>28.617971891883094</x:v>
      </x:c>
      <x:c r="AH202" s="8" t="str">
        <x:v>77.97613325664406</x:v>
      </x:c>
      <x:c r="AI202" s="6" t="str">
        <x:v>126.29893684139826</x:v>
      </x:c>
      <x:c r="AJ202" s="6" t="str">
        <x:v>0.9408112909595694</x:v>
      </x:c>
      <x:c r="AK202" s="8" t="str">
        <x:v>3.9289282034085615</x:v>
      </x:c>
      <x:c r="AL202" s="6" t="str">
        <x:v>3.2089323277868</x:v>
      </x:c>
      <x:c r="AM202" s="6" t="str">
        <x:v>2.227176592756565</x:v>
      </x:c>
      <x:c r="AN202" s="6" t="str">
        <x:v>3.121679041317309</x:v>
      </x:c>
      <x:c r="AO202" s="6" t="str">
        <x:v>-0.3583578923195176</x:v>
      </x:c>
      <x:c r="AP202" s="8" t="str">
        <x:v>-0.1602941586878717</x:v>
      </x:c>
      <x:c r="AQ202" s="6" t="str">
        <x:v>-0.0151504758417571</x:v>
      </x:c>
      <x:c r="AR202" s="6" t="str">
        <x:v>0.1899384741494568</x:v>
      </x:c>
      <x:c r="AS202" s="6" t="str">
        <x:v>0.0048312798732772</x:v>
      </x:c>
      <x:c r="AT202" s="6" t="str">
        <x:v>30.38777641946858</x:v>
      </x:c>
      <x:c r="AU202" s="8" t="str">
        <x:v>0.3991770327762159</x:v>
      </x:c>
      <x:c r="AV202" s="6" t="str">
        <x:v>-0.3820610383633612</x:v>
      </x:c>
      <x:c r="AW202" s="6" t="str">
        <x:v>-0.491453558127513</x:v>
      </x:c>
      <x:c r="AX202" s="6" t="str">
        <x:v>-0.1581125212382197</x:v>
      </x:c>
      <x:c r="AY202" s="6" t="str">
        <x:v>0</x:v>
      </x:c>
      <x:c r="AZ202" s="6" t="str">
        <x:v>1</x:v>
      </x:c>
      <x:c r="BA202" s="9" t="str">
        <x:v>grid_cells_within_BIG_polygon</x:v>
      </x:c>
      <x:c r="BB202" s="6" t="str">
        <x:v>5</x:v>
      </x:c>
      <x:c r="BC202" s="6" t="str">
        <x:v>7</x:v>
      </x:c>
      <x:c r="BD202" s="6" t="str">
        <x:v>7</x:v>
      </x:c>
      <x:c r="BE202" s="6" t="str">
        <x:v>0</x:v>
      </x:c>
      <x:c r="BF202" s="6" t="str">
        <x:v>0</x:v>
      </x:c>
      <x:c r="BG202" s="6" t="str">
        <x:v>0</x:v>
      </x:c>
      <x:c r="BH202" s="6" t="str">
        <x:v>0</x:v>
      </x:c>
      <x:c r="BI202" s="6" t="str">
        <x:v>7</x:v>
      </x:c>
      <x:c r="BJ202" s="6" t="str">
        <x:v>0</x:v>
      </x:c>
      <x:c r="BK202" s="6" t="str">
        <x:v>0</x:v>
      </x:c>
      <x:c r="BL202" s="6" t="str">
        <x:v>0</x:v>
      </x:c>
      <x:c r="BM202" s="6" t="str">
        <x:v>0</x:v>
      </x:c>
      <x:c r="BN202" s="6" t="str">
        <x:v>7</x:v>
      </x:c>
      <x:c r="BO202" s="6" t="str">
        <x:v>0.0</x:v>
      </x:c>
      <x:c r="BP202" s="6" t="str">
        <x:v>7</x:v>
      </x:c>
      <x:c r="BQ202" s="6" t="str">
        <x:v>0.0</x:v>
      </x:c>
      <x:c r="BR202" s="6" t="str">
        <x:v>7</x:v>
      </x:c>
      <x:c r="BS202" s="6" t="str">
        <x:v>0.0</x:v>
      </x:c>
      <x:c r="BT202" s="6" t="str">
        <x:v>7</x:v>
      </x:c>
      <x:c r="BU202" s="6" t="str"/>
      <x:c r="BV202" s="6" t="str">
        <x:v>0</x:v>
      </x:c>
      <x:c r="BW202" s="9" t="str">
        <x:v>operational_snapshot_annual_totals_may_differ</x:v>
      </x:c>
      <x:c r="BX202" s="9" t="str">
        <x:v>official_live_dashboard_snapshot_subject_to_revision</x:v>
      </x:c>
      <x:c r="BY202" s="9" t="str">
        <x:v>https://tbdashboard.sitb.id/ss_data_tbc03so_2024_provinsi_bulanan_list.php</x:v>
      </x:c>
      <x:c r="BZ202" s="6" t="n">
        <x:v>46246.610671296294</x:v>
      </x:c>
    </x:row>
    <x:row r="203" ht="18" customHeight="1">
      <x:c r="A203" s="6" t="str">
        <x:v>19</x:v>
      </x:c>
      <x:c r="B203" s="6" t="str">
        <x:v>KEP. BANGKA BELITUNG</x:v>
      </x:c>
      <x:c r="C203" s="6" t="str">
        <x:v>2024</x:v>
      </x:c>
      <x:c r="D203" s="6" t="str">
        <x:v>10</x:v>
      </x:c>
      <x:c r="E203" s="6" t="str">
        <x:v>2024-10</x:v>
      </x:c>
      <x:c r="F203" s="6" t="str">
        <x:v>270</x:v>
      </x:c>
      <x:c r="G203" s="6" t="str">
        <x:v>86</x:v>
      </x:c>
      <x:c r="H203" s="6" t="str">
        <x:v>142</x:v>
      </x:c>
      <x:c r="I203" s="6" t="str">
        <x:v>27</x:v>
      </x:c>
      <x:c r="J203" s="6" t="str">
        <x:v>13</x:v>
      </x:c>
      <x:c r="K203" s="6" t="str">
        <x:v>1</x:v>
      </x:c>
      <x:c r="L203" s="6" t="str">
        <x:v>0</x:v>
      </x:c>
      <x:c r="M203" s="6" t="str">
        <x:v>1</x:v>
      </x:c>
      <x:c r="N203" s="6" t="str">
        <x:v>270</x:v>
      </x:c>
      <x:c r="O203" s="6" t="str">
        <x:v>0</x:v>
      </x:c>
      <x:c r="P203" s="10" t="n">
        <x:f>F203-M203</x:f>
        <x:v>269</x:v>
      </x:c>
      <x:c r="Q203" s="11" t="n">
        <x:f>IFERROR(M203/F203,"")</x:f>
        <x:v>0.003703703703703704</x:v>
      </x:c>
      <x:c r="R203" s="10" t="n">
        <x:f>G203+H203</x:f>
        <x:v>228</x:v>
      </x:c>
      <x:c r="S203" s="11" t="n">
        <x:f>IFERROR(R203/F203,"")</x:f>
        <x:v>0.8444444444444444</x:v>
      </x:c>
      <x:c r="T203" s="11" t="n">
        <x:f>IFERROR(R203/P203,"")</x:f>
        <x:v>0.8475836431226765</x:v>
      </x:c>
      <x:c r="U203" s="10" t="n">
        <x:f>I203+J203+K203</x:f>
        <x:v>41</x:v>
      </x:c>
      <x:c r="V203" s="11" t="n">
        <x:f>IFERROR(U203/P203,"")</x:f>
        <x:v>0.1524163568773234</x:v>
      </x:c>
      <x:c r="W203" s="9" t="str">
        <x:v>mature_le_5pct_pending</x:v>
      </x:c>
      <x:c r="X203" s="12" t="n">
        <x:f>IFERROR(F203/Z203*100000,"")</x:f>
        <x:v>17.62977473065622</x:v>
      </x:c>
      <x:c r="Y203" s="13" t="n">
        <x:f>LN(Z203)</x:f>
        <x:v>14.241758205254968</x:v>
      </x:c>
      <x:c r="Z203" s="6" t="str">
        <x:v>1531500</x:v>
      </x:c>
      <x:c r="AA203" s="6" t="str">
        <x:v>92.0</x:v>
      </x:c>
      <x:c r="AB203" s="9" t="str">
        <x:v>2024-06-30</x:v>
      </x:c>
      <x:c r="AC203" s="8" t="str">
        <x:v>94.16</x:v>
      </x:c>
      <x:c r="AD203" s="9" t="str">
        <x:v>2024 (Susenas)</x:v>
      </x:c>
      <x:c r="AE203" s="8" t="str">
        <x:v>4.55</x:v>
      </x:c>
      <x:c r="AF203" s="9" t="str">
        <x:v>Maret 2024 (Susenas)</x:v>
      </x:c>
      <x:c r="AG203" s="6" t="str">
        <x:v>28.94796366097161</x:v>
      </x:c>
      <x:c r="AH203" s="8" t="str">
        <x:v>77.46810458095838</x:v>
      </x:c>
      <x:c r="AI203" s="6" t="str">
        <x:v>113.02663658581096</x:v>
      </x:c>
      <x:c r="AJ203" s="6" t="str">
        <x:v>1.0715273996040937</x:v>
      </x:c>
      <x:c r="AK203" s="8" t="str">
        <x:v>2.854096539599638</x:v>
      </x:c>
      <x:c r="AL203" s="6" t="str">
        <x:v>3.9289282034085615</x:v>
      </x:c>
      <x:c r="AM203" s="6" t="str">
        <x:v>3.2089323277868</x:v>
      </x:c>
      <x:c r="AN203" s="6" t="str">
        <x:v>3.330652356931667</x:v>
      </x:c>
      <x:c r="AO203" s="6" t="str">
        <x:v>-0.6473722555018213</x:v>
      </x:c>
      <x:c r="AP203" s="8" t="str">
        <x:v>-0.1903039145655504</x:v>
      </x:c>
      <x:c r="AQ203" s="6" t="str">
        <x:v>-0.1602941586878717</x:v>
      </x:c>
      <x:c r="AR203" s="6" t="str">
        <x:v>-0.0151504758417571</x:v>
      </x:c>
      <x:c r="AS203" s="6" t="str">
        <x:v>-0.1219161830317251</x:v>
      </x:c>
      <x:c r="AT203" s="6" t="str">
        <x:v>-72.77306643354996</x:v>
      </x:c>
      <x:c r="AU203" s="8" t="str">
        <x:v>-0.7422198281693648</x:v>
      </x:c>
      <x:c r="AV203" s="6" t="str">
        <x:v>0.3991770327762159</x:v>
      </x:c>
      <x:c r="AW203" s="6" t="str">
        <x:v>-0.3820610383633612</x:v>
      </x:c>
      <x:c r="AX203" s="6" t="str">
        <x:v>-0.241701277918837</x:v>
      </x:c>
      <x:c r="AY203" s="6" t="str">
        <x:v>0</x:v>
      </x:c>
      <x:c r="AZ203" s="6" t="str">
        <x:v>1</x:v>
      </x:c>
      <x:c r="BA203" s="9" t="str">
        <x:v>grid_cells_within_BIG_polygon</x:v>
      </x:c>
      <x:c r="BB203" s="6" t="str">
        <x:v>5</x:v>
      </x:c>
      <x:c r="BC203" s="6" t="str">
        <x:v>5</x:v>
      </x:c>
      <x:c r="BD203" s="6" t="str">
        <x:v>5</x:v>
      </x:c>
      <x:c r="BE203" s="6" t="str">
        <x:v>0</x:v>
      </x:c>
      <x:c r="BF203" s="6" t="str">
        <x:v>0</x:v>
      </x:c>
      <x:c r="BG203" s="6" t="str">
        <x:v>1</x:v>
      </x:c>
      <x:c r="BH203" s="6" t="str">
        <x:v>0</x:v>
      </x:c>
      <x:c r="BI203" s="6" t="str">
        <x:v>4</x:v>
      </x:c>
      <x:c r="BJ203" s="6" t="str">
        <x:v>0</x:v>
      </x:c>
      <x:c r="BK203" s="6" t="str">
        <x:v>0</x:v>
      </x:c>
      <x:c r="BL203" s="6" t="str">
        <x:v>0</x:v>
      </x:c>
      <x:c r="BM203" s="6" t="str">
        <x:v>0</x:v>
      </x:c>
      <x:c r="BN203" s="6" t="str">
        <x:v>5</x:v>
      </x:c>
      <x:c r="BO203" s="6" t="str">
        <x:v>0.0</x:v>
      </x:c>
      <x:c r="BP203" s="6" t="str">
        <x:v>5</x:v>
      </x:c>
      <x:c r="BQ203" s="6" t="str">
        <x:v>2.0</x:v>
      </x:c>
      <x:c r="BR203" s="6" t="str">
        <x:v>5</x:v>
      </x:c>
      <x:c r="BS203" s="6" t="str">
        <x:v>0.0</x:v>
      </x:c>
      <x:c r="BT203" s="6" t="str">
        <x:v>5</x:v>
      </x:c>
      <x:c r="BU203" s="6" t="str"/>
      <x:c r="BV203" s="6" t="str">
        <x:v>0</x:v>
      </x:c>
      <x:c r="BW203" s="9" t="str">
        <x:v>operational_snapshot_annual_totals_may_differ</x:v>
      </x:c>
      <x:c r="BX203" s="9" t="str">
        <x:v>official_live_dashboard_snapshot_subject_to_revision</x:v>
      </x:c>
      <x:c r="BY203" s="9" t="str">
        <x:v>https://tbdashboard.sitb.id/ss_data_tbc03so_2024_provinsi_bulanan_list.php</x:v>
      </x:c>
      <x:c r="BZ203" s="6" t="n">
        <x:v>46246.610671296294</x:v>
      </x:c>
    </x:row>
    <x:row r="204" ht="18" customHeight="1">
      <x:c r="A204" s="6" t="str">
        <x:v>19</x:v>
      </x:c>
      <x:c r="B204" s="6" t="str">
        <x:v>KEP. BANGKA BELITUNG</x:v>
      </x:c>
      <x:c r="C204" s="6" t="str">
        <x:v>2024</x:v>
      </x:c>
      <x:c r="D204" s="6" t="str">
        <x:v>11</x:v>
      </x:c>
      <x:c r="E204" s="6" t="str">
        <x:v>2024-11</x:v>
      </x:c>
      <x:c r="F204" s="6" t="str">
        <x:v>265</x:v>
      </x:c>
      <x:c r="G204" s="6" t="str">
        <x:v>80</x:v>
      </x:c>
      <x:c r="H204" s="6" t="str">
        <x:v>148</x:v>
      </x:c>
      <x:c r="I204" s="6" t="str">
        <x:v>17</x:v>
      </x:c>
      <x:c r="J204" s="6" t="str">
        <x:v>15</x:v>
      </x:c>
      <x:c r="K204" s="6" t="str">
        <x:v>2</x:v>
      </x:c>
      <x:c r="L204" s="6" t="str">
        <x:v>0</x:v>
      </x:c>
      <x:c r="M204" s="6" t="str">
        <x:v>3</x:v>
      </x:c>
      <x:c r="N204" s="6" t="str">
        <x:v>265</x:v>
      </x:c>
      <x:c r="O204" s="6" t="str">
        <x:v>0</x:v>
      </x:c>
      <x:c r="P204" s="10" t="n">
        <x:f>F204-M204</x:f>
        <x:v>262</x:v>
      </x:c>
      <x:c r="Q204" s="11" t="n">
        <x:f>IFERROR(M204/F204,"")</x:f>
        <x:v>0.011320754716981131</x:v>
      </x:c>
      <x:c r="R204" s="10" t="n">
        <x:f>G204+H204</x:f>
        <x:v>228</x:v>
      </x:c>
      <x:c r="S204" s="11" t="n">
        <x:f>IFERROR(R204/F204,"")</x:f>
        <x:v>0.8603773584905661</x:v>
      </x:c>
      <x:c r="T204" s="11" t="n">
        <x:f>IFERROR(R204/P204,"")</x:f>
        <x:v>0.8702290076335878</x:v>
      </x:c>
      <x:c r="U204" s="10" t="n">
        <x:f>I204+J204+K204</x:f>
        <x:v>34</x:v>
      </x:c>
      <x:c r="V204" s="11" t="n">
        <x:f>IFERROR(U204/P204,"")</x:f>
        <x:v>0.1297709923664122</x:v>
      </x:c>
      <x:c r="W204" s="9" t="str">
        <x:v>mature_le_5pct_pending</x:v>
      </x:c>
      <x:c r="X204" s="12" t="n">
        <x:f>IFERROR(F204/Z204*100000,"")</x:f>
        <x:v>17.303297420829253</x:v>
      </x:c>
      <x:c r="Y204" s="13" t="n">
        <x:f>LN(Z204)</x:f>
        <x:v>14.241758205254968</x:v>
      </x:c>
      <x:c r="Z204" s="6" t="str">
        <x:v>1531500</x:v>
      </x:c>
      <x:c r="AA204" s="6" t="str">
        <x:v>92.0</x:v>
      </x:c>
      <x:c r="AB204" s="9" t="str">
        <x:v>2024-06-30</x:v>
      </x:c>
      <x:c r="AC204" s="8" t="str">
        <x:v>94.16</x:v>
      </x:c>
      <x:c r="AD204" s="9" t="str">
        <x:v>2024 (Susenas)</x:v>
      </x:c>
      <x:c r="AE204" s="8" t="str">
        <x:v>4.55</x:v>
      </x:c>
      <x:c r="AF204" s="9" t="str">
        <x:v>Maret 2024 (Susenas)</x:v>
      </x:c>
      <x:c r="AG204" s="6" t="str">
        <x:v>28.59992149927517</x:v>
      </x:c>
      <x:c r="AH204" s="8" t="str">
        <x:v>77.51050972153676</x:v>
      </x:c>
      <x:c r="AI204" s="6" t="str">
        <x:v>240.35986467426503</x:v>
      </x:c>
      <x:c r="AJ204" s="6" t="str">
        <x:v>0.8903102277313621</x:v>
      </x:c>
      <x:c r="AK204" s="8" t="str">
        <x:v>1.9650366269214108</x:v>
      </x:c>
      <x:c r="AL204" s="6" t="str">
        <x:v>2.854096539599638</x:v>
      </x:c>
      <x:c r="AM204" s="6" t="str">
        <x:v>3.9289282034085615</x:v>
      </x:c>
      <x:c r="AN204" s="6" t="str">
        <x:v>2.916020456643204</x:v>
      </x:c>
      <x:c r="AO204" s="6" t="str">
        <x:v>-2.69664993037793</x:v>
      </x:c>
      <x:c r="AP204" s="8" t="str">
        <x:v>-0.9589976196555776</x:v>
      </x:c>
      <x:c r="AQ204" s="6" t="str">
        <x:v>-0.1903039145655504</x:v>
      </x:c>
      <x:c r="AR204" s="6" t="str">
        <x:v>-0.1602941586878717</x:v>
      </x:c>
      <x:c r="AS204" s="6" t="str">
        <x:v>-0.436531897636332</x:v>
      </x:c>
      <x:c r="AT204" s="6" t="str">
        <x:v>-33.69612180542501</x:v>
      </x:c>
      <x:c r="AU204" s="8" t="str">
        <x:v>-0.6195975961116625</x:v>
      </x:c>
      <x:c r="AV204" s="6" t="str">
        <x:v>-0.7422198281693648</x:v>
      </x:c>
      <x:c r="AW204" s="6" t="str">
        <x:v>0.3991770327762159</x:v>
      </x:c>
      <x:c r="AX204" s="6" t="str">
        <x:v>-0.3208801305016041</x:v>
      </x:c>
      <x:c r="AY204" s="6" t="str">
        <x:v>0</x:v>
      </x:c>
      <x:c r="AZ204" s="6" t="str">
        <x:v>1</x:v>
      </x:c>
      <x:c r="BA204" s="9" t="str">
        <x:v>grid_cells_within_BIG_polygon</x:v>
      </x:c>
      <x:c r="BB204" s="6" t="str">
        <x:v>5</x:v>
      </x:c>
      <x:c r="BC204" s="6" t="str">
        <x:v>1</x:v>
      </x:c>
      <x:c r="BD204" s="6" t="str">
        <x:v>1</x:v>
      </x:c>
      <x:c r="BE204" s="6" t="str">
        <x:v>0</x:v>
      </x:c>
      <x:c r="BF204" s="6" t="str">
        <x:v>0</x:v>
      </x:c>
      <x:c r="BG204" s="6" t="str">
        <x:v>1</x:v>
      </x:c>
      <x:c r="BH204" s="6" t="str">
        <x:v>0</x:v>
      </x:c>
      <x:c r="BI204" s="6" t="str">
        <x:v>0</x:v>
      </x:c>
      <x:c r="BJ204" s="6" t="str">
        <x:v>0</x:v>
      </x:c>
      <x:c r="BK204" s="6" t="str">
        <x:v>0</x:v>
      </x:c>
      <x:c r="BL204" s="6" t="str">
        <x:v>0</x:v>
      </x:c>
      <x:c r="BM204" s="6" t="str">
        <x:v>0</x:v>
      </x:c>
      <x:c r="BN204" s="6" t="str">
        <x:v>1</x:v>
      </x:c>
      <x:c r="BO204" s="6" t="str">
        <x:v>0.0</x:v>
      </x:c>
      <x:c r="BP204" s="6" t="str">
        <x:v>1</x:v>
      </x:c>
      <x:c r="BQ204" s="6" t="str">
        <x:v>0.0</x:v>
      </x:c>
      <x:c r="BR204" s="6" t="str">
        <x:v>1</x:v>
      </x:c>
      <x:c r="BS204" s="6" t="str">
        <x:v>39.0</x:v>
      </x:c>
      <x:c r="BT204" s="6" t="str">
        <x:v>1</x:v>
      </x:c>
      <x:c r="BU204" s="6" t="str"/>
      <x:c r="BV204" s="6" t="str">
        <x:v>0</x:v>
      </x:c>
      <x:c r="BW204" s="9" t="str">
        <x:v>operational_snapshot_annual_totals_may_differ</x:v>
      </x:c>
      <x:c r="BX204" s="9" t="str">
        <x:v>official_live_dashboard_snapshot_subject_to_revision</x:v>
      </x:c>
      <x:c r="BY204" s="9" t="str">
        <x:v>https://tbdashboard.sitb.id/ss_data_tbc03so_2024_provinsi_bulanan_list.php</x:v>
      </x:c>
      <x:c r="BZ204" s="6" t="n">
        <x:v>46246.610671296294</x:v>
      </x:c>
    </x:row>
    <x:row r="205" ht="18" customHeight="1">
      <x:c r="A205" s="6" t="str">
        <x:v>19</x:v>
      </x:c>
      <x:c r="B205" s="6" t="str">
        <x:v>KEP. BANGKA BELITUNG</x:v>
      </x:c>
      <x:c r="C205" s="6" t="str">
        <x:v>2024</x:v>
      </x:c>
      <x:c r="D205" s="6" t="str">
        <x:v>12</x:v>
      </x:c>
      <x:c r="E205" s="6" t="str">
        <x:v>2024-12</x:v>
      </x:c>
      <x:c r="F205" s="6" t="str">
        <x:v>238</x:v>
      </x:c>
      <x:c r="G205" s="6" t="str">
        <x:v>92</x:v>
      </x:c>
      <x:c r="H205" s="6" t="str">
        <x:v>106</x:v>
      </x:c>
      <x:c r="I205" s="6" t="str">
        <x:v>15</x:v>
      </x:c>
      <x:c r="J205" s="6" t="str">
        <x:v>21</x:v>
      </x:c>
      <x:c r="K205" s="6" t="str">
        <x:v>2</x:v>
      </x:c>
      <x:c r="L205" s="6" t="str">
        <x:v>0</x:v>
      </x:c>
      <x:c r="M205" s="6" t="str">
        <x:v>2</x:v>
      </x:c>
      <x:c r="N205" s="6" t="str">
        <x:v>238</x:v>
      </x:c>
      <x:c r="O205" s="6" t="str">
        <x:v>0</x:v>
      </x:c>
      <x:c r="P205" s="10" t="n">
        <x:f>F205-M205</x:f>
        <x:v>236</x:v>
      </x:c>
      <x:c r="Q205" s="11" t="n">
        <x:f>IFERROR(M205/F205,"")</x:f>
        <x:v>0.008403361344537815</x:v>
      </x:c>
      <x:c r="R205" s="10" t="n">
        <x:f>G205+H205</x:f>
        <x:v>198</x:v>
      </x:c>
      <x:c r="S205" s="11" t="n">
        <x:f>IFERROR(R205/F205,"")</x:f>
        <x:v>0.8319327731092437</x:v>
      </x:c>
      <x:c r="T205" s="11" t="n">
        <x:f>IFERROR(R205/P205,"")</x:f>
        <x:v>0.8389830508474576</x:v>
      </x:c>
      <x:c r="U205" s="10" t="n">
        <x:f>I205+J205+K205</x:f>
        <x:v>38</x:v>
      </x:c>
      <x:c r="V205" s="11" t="n">
        <x:f>IFERROR(U205/P205,"")</x:f>
        <x:v>0.16101694915254236</x:v>
      </x:c>
      <x:c r="W205" s="9" t="str">
        <x:v>mature_le_5pct_pending</x:v>
      </x:c>
      <x:c r="X205" s="12" t="n">
        <x:f>IFERROR(F205/Z205*100000,"")</x:f>
        <x:v>15.540319947763631</x:v>
      </x:c>
      <x:c r="Y205" s="13" t="n">
        <x:f>LN(Z205)</x:f>
        <x:v>14.241758205254968</x:v>
      </x:c>
      <x:c r="Z205" s="6" t="str">
        <x:v>1531500</x:v>
      </x:c>
      <x:c r="AA205" s="6" t="str">
        <x:v>92.0</x:v>
      </x:c>
      <x:c r="AB205" s="9" t="str">
        <x:v>2024-06-30</x:v>
      </x:c>
      <x:c r="AC205" s="8" t="str">
        <x:v>94.16</x:v>
      </x:c>
      <x:c r="AD205" s="9" t="str">
        <x:v>2024 (Susenas)</x:v>
      </x:c>
      <x:c r="AE205" s="8" t="str">
        <x:v>4.55</x:v>
      </x:c>
      <x:c r="AF205" s="9" t="str">
        <x:v>Maret 2024 (Susenas)</x:v>
      </x:c>
      <x:c r="AG205" s="6" t="str">
        <x:v>27.903908893362736</x:v>
      </x:c>
      <x:c r="AH205" s="8" t="str">
        <x:v>83.37028938585374</x:v>
      </x:c>
      <x:c r="AI205" s="6" t="str">
        <x:v>291.8824393501167</x:v>
      </x:c>
      <x:c r="AJ205" s="6" t="str">
        <x:v>0.7135270872682256</x:v>
      </x:c>
      <x:c r="AK205" s="8" t="str">
        <x:v>1.8136743091868708</x:v>
      </x:c>
      <x:c r="AL205" s="6" t="str">
        <x:v>1.9650366269214108</x:v>
      </x:c>
      <x:c r="AM205" s="6" t="str">
        <x:v>2.854096539599638</x:v>
      </x:c>
      <x:c r="AN205" s="6" t="str">
        <x:v>2.210935825235973</x:v>
      </x:c>
      <x:c r="AO205" s="6" t="str">
        <x:v>-0.7727085784308514</x:v>
      </x:c>
      <x:c r="AP205" s="8" t="str">
        <x:v>-0.4321726937131261</x:v>
      </x:c>
      <x:c r="AQ205" s="6" t="str">
        <x:v>-0.9589976196555776</x:v>
      </x:c>
      <x:c r="AR205" s="6" t="str">
        <x:v>-0.1903039145655504</x:v>
      </x:c>
      <x:c r="AS205" s="6" t="str">
        <x:v>-0.5271580759780834</x:v>
      </x:c>
      <x:c r="AT205" s="6" t="str">
        <x:v>-29.760439868209914</x:v>
      </x:c>
      <x:c r="AU205" s="8" t="str">
        <x:v>-0.4633357773669841</x:v>
      </x:c>
      <x:c r="AV205" s="6" t="str">
        <x:v>-0.6195975961116625</x:v>
      </x:c>
      <x:c r="AW205" s="6" t="str">
        <x:v>-0.7422198281693648</x:v>
      </x:c>
      <x:c r="AX205" s="6" t="str">
        <x:v>-0.6083844005493375</x:v>
      </x:c>
      <x:c r="AY205" s="6" t="str">
        <x:v>0</x:v>
      </x:c>
      <x:c r="AZ205" s="6" t="str">
        <x:v>1</x:v>
      </x:c>
      <x:c r="BA205" s="9" t="str">
        <x:v>grid_cells_within_BIG_polygon</x:v>
      </x:c>
      <x:c r="BB205" s="6" t="str">
        <x:v>5</x:v>
      </x:c>
      <x:c r="BC205" s="6" t="str">
        <x:v>0</x:v>
      </x:c>
      <x:c r="BD205" s="6" t="str">
        <x:v>0</x:v>
      </x:c>
      <x:c r="BE205" s="6" t="str">
        <x:v>0</x:v>
      </x:c>
      <x:c r="BF205" s="6" t="str">
        <x:v>0</x:v>
      </x:c>
      <x:c r="BG205" s="6" t="str">
        <x:v>0</x:v>
      </x:c>
      <x:c r="BH205" s="6" t="str">
        <x:v>0</x:v>
      </x:c>
      <x:c r="BI205" s="6" t="str">
        <x:v>0</x:v>
      </x:c>
      <x:c r="BJ205" s="6" t="str">
        <x:v>0</x:v>
      </x:c>
      <x:c r="BK205" s="6" t="str">
        <x:v>0</x:v>
      </x:c>
      <x:c r="BL205" s="6" t="str">
        <x:v>0</x:v>
      </x:c>
      <x:c r="BM205" s="6" t="str">
        <x:v>0</x:v>
      </x:c>
      <x:c r="BN205" s="6" t="str">
        <x:v>0</x:v>
      </x:c>
      <x:c r="BO205" s="6" t="str"/>
      <x:c r="BP205" s="6" t="str">
        <x:v>0</x:v>
      </x:c>
      <x:c r="BQ205" s="6" t="str"/>
      <x:c r="BR205" s="6" t="str">
        <x:v>0</x:v>
      </x:c>
      <x:c r="BS205" s="6" t="str"/>
      <x:c r="BT205" s="6" t="str">
        <x:v>0</x:v>
      </x:c>
      <x:c r="BU205" s="6" t="str"/>
      <x:c r="BV205" s="6" t="str">
        <x:v>0</x:v>
      </x:c>
      <x:c r="BW205" s="9" t="str">
        <x:v>operational_snapshot_annual_totals_may_differ</x:v>
      </x:c>
      <x:c r="BX205" s="9" t="str">
        <x:v>official_live_dashboard_snapshot_subject_to_revision</x:v>
      </x:c>
      <x:c r="BY205" s="9" t="str">
        <x:v>https://tbdashboard.sitb.id/ss_data_tbc03so_2024_provinsi_bulanan_list.php</x:v>
      </x:c>
      <x:c r="BZ205" s="6" t="n">
        <x:v>46246.610671296294</x:v>
      </x:c>
    </x:row>
    <x:row r="206" ht="18" customHeight="1">
      <x:c r="A206" s="6" t="str">
        <x:v>19</x:v>
      </x:c>
      <x:c r="B206" s="6" t="str">
        <x:v>KEP. BANGKA BELITUNG</x:v>
      </x:c>
      <x:c r="C206" s="6" t="str">
        <x:v>2025</x:v>
      </x:c>
      <x:c r="D206" s="6" t="str">
        <x:v>1</x:v>
      </x:c>
      <x:c r="E206" s="6" t="str">
        <x:v>2025-01</x:v>
      </x:c>
      <x:c r="F206" s="6" t="str">
        <x:v>224</x:v>
      </x:c>
      <x:c r="G206" s="6" t="str">
        <x:v>75</x:v>
      </x:c>
      <x:c r="H206" s="6" t="str">
        <x:v>101</x:v>
      </x:c>
      <x:c r="I206" s="6" t="str">
        <x:v>18</x:v>
      </x:c>
      <x:c r="J206" s="6" t="str">
        <x:v>24</x:v>
      </x:c>
      <x:c r="K206" s="6" t="str">
        <x:v>0</x:v>
      </x:c>
      <x:c r="L206" s="6" t="str">
        <x:v>1</x:v>
      </x:c>
      <x:c r="M206" s="6" t="str">
        <x:v>5</x:v>
      </x:c>
      <x:c r="N206" s="6" t="str">
        <x:v>224</x:v>
      </x:c>
      <x:c r="O206" s="6" t="str">
        <x:v>0</x:v>
      </x:c>
      <x:c r="P206" s="10" t="n">
        <x:f>F206-M206</x:f>
        <x:v>219</x:v>
      </x:c>
      <x:c r="Q206" s="11" t="n">
        <x:f>IFERROR(M206/F206,"")</x:f>
        <x:v>0.022321428571428572</x:v>
      </x:c>
      <x:c r="R206" s="10" t="n">
        <x:f>G206+H206</x:f>
        <x:v>176</x:v>
      </x:c>
      <x:c r="S206" s="11" t="n">
        <x:f>IFERROR(R206/F206,"")</x:f>
        <x:v>0.7857142857142857</x:v>
      </x:c>
      <x:c r="T206" s="11" t="n">
        <x:f>IFERROR(R206/P206,"")</x:f>
        <x:v>0.8036529680365296</x:v>
      </x:c>
      <x:c r="U206" s="10" t="n">
        <x:f>I206+J206+K206</x:f>
        <x:v>42</x:v>
      </x:c>
      <x:c r="V206" s="11" t="n">
        <x:f>IFERROR(U206/P206,"")</x:f>
        <x:v>0.1917808219178082</x:v>
      </x:c>
      <x:c r="W206" s="9" t="str">
        <x:v>mature_le_5pct_pending</x:v>
      </x:c>
      <x:c r="X206" s="12" t="n">
        <x:f>IFERROR(F206/Z206*100000,"")</x:f>
        <x:v>14.444157854010832</x:v>
      </x:c>
      <x:c r="Y206" s="13" t="n">
        <x:f>LN(Z206)</x:f>
        <x:v>14.254281484778911</x:v>
      </x:c>
      <x:c r="Z206" s="6" t="str">
        <x:v>1550800</x:v>
      </x:c>
      <x:c r="AA206" s="6" t="str">
        <x:v>93.0</x:v>
      </x:c>
      <x:c r="AB206" s="9" t="str">
        <x:v>2025-06-30</x:v>
      </x:c>
      <x:c r="AC206" s="8" t="str">
        <x:v>96.45</x:v>
      </x:c>
      <x:c r="AD206" s="9" t="str">
        <x:v>2025 (Susenas)</x:v>
      </x:c>
      <x:c r="AE206" s="8" t="str">
        <x:v>5.0</x:v>
      </x:c>
      <x:c r="AF206" s="9" t="str">
        <x:v>Maret 2025 (Susenas)</x:v>
      </x:c>
      <x:c r="AG206" s="6" t="str">
        <x:v>26.981901287314564</x:v>
      </x:c>
      <x:c r="AH206" s="8" t="str">
        <x:v>86.82044829197731</x:v>
      </x:c>
      <x:c r="AI206" s="6" t="str">
        <x:v>347.5691265456168</x:v>
      </x:c>
      <x:c r="AJ206" s="6" t="str">
        <x:v>0.1315875115871243</x:v>
      </x:c>
      <x:c r="AK206" s="8" t="str">
        <x:v>0.3085208964527306</x:v>
      </x:c>
      <x:c r="AL206" s="6" t="str">
        <x:v>1.8136743091868708</x:v>
      </x:c>
      <x:c r="AM206" s="6" t="str">
        <x:v>1.9650366269214108</x:v>
      </x:c>
      <x:c r="AN206" s="6" t="str">
        <x:v>1.362410610853671</x:v>
      </x:c>
      <x:c r="AO206" s="6" t="str">
        <x:v>1.3336074115662058</x:v>
      </x:c>
      <x:c r="AP206" s="8" t="str">
        <x:v>0.9647724687422772</x:v>
      </x:c>
      <x:c r="AQ206" s="6" t="str">
        <x:v>-0.4321726937131261</x:v>
      </x:c>
      <x:c r="AR206" s="6" t="str">
        <x:v>-0.9589976196555776</x:v>
      </x:c>
      <x:c r="AS206" s="6" t="str">
        <x:v>-0.1421326148754742</x:v>
      </x:c>
      <x:c r="AT206" s="6" t="str">
        <x:v>107.95411740254886</x:v>
      </x:c>
      <x:c r="AU206" s="8" t="str">
        <x:v>1.608794994519617</x:v>
      </x:c>
      <x:c r="AV206" s="6" t="str">
        <x:v>-0.4633357773669841</x:v>
      </x:c>
      <x:c r="AW206" s="6" t="str">
        <x:v>-0.6195975961116625</x:v>
      </x:c>
      <x:c r="AX206" s="6" t="str">
        <x:v>0.1752872070136564</x:v>
      </x:c>
      <x:c r="AY206" s="6" t="str">
        <x:v>1</x:v>
      </x:c>
      <x:c r="AZ206" s="6" t="str">
        <x:v>0</x:v>
      </x:c>
      <x:c r="BA206" s="9" t="str">
        <x:v>grid_cells_within_BIG_polygon</x:v>
      </x:c>
      <x:c r="BB206" s="6" t="str">
        <x:v>5</x:v>
      </x:c>
      <x:c r="BC206" s="6" t="str">
        <x:v>3</x:v>
      </x:c>
      <x:c r="BD206" s="6" t="str">
        <x:v>3</x:v>
      </x:c>
      <x:c r="BE206" s="6" t="str">
        <x:v>2</x:v>
      </x:c>
      <x:c r="BF206" s="6" t="str">
        <x:v>0</x:v>
      </x:c>
      <x:c r="BG206" s="6" t="str">
        <x:v>1</x:v>
      </x:c>
      <x:c r="BH206" s="6" t="str">
        <x:v>0</x:v>
      </x:c>
      <x:c r="BI206" s="6" t="str">
        <x:v>0</x:v>
      </x:c>
      <x:c r="BJ206" s="6" t="str">
        <x:v>0</x:v>
      </x:c>
      <x:c r="BK206" s="6" t="str">
        <x:v>0</x:v>
      </x:c>
      <x:c r="BL206" s="6" t="str">
        <x:v>0</x:v>
      </x:c>
      <x:c r="BM206" s="6" t="str">
        <x:v>0</x:v>
      </x:c>
      <x:c r="BN206" s="6" t="str">
        <x:v>3</x:v>
      </x:c>
      <x:c r="BO206" s="6" t="str">
        <x:v>0.0</x:v>
      </x:c>
      <x:c r="BP206" s="6" t="str">
        <x:v>3</x:v>
      </x:c>
      <x:c r="BQ206" s="6" t="str">
        <x:v>0.0</x:v>
      </x:c>
      <x:c r="BR206" s="6" t="str">
        <x:v>3</x:v>
      </x:c>
      <x:c r="BS206" s="6" t="str">
        <x:v>115.0</x:v>
      </x:c>
      <x:c r="BT206" s="6" t="str">
        <x:v>3</x:v>
      </x:c>
      <x:c r="BU206" s="6" t="str"/>
      <x:c r="BV206" s="6" t="str">
        <x:v>0</x:v>
      </x:c>
      <x:c r="BW206" s="9" t="str">
        <x:v>operational_snapshot_annual_totals_may_differ</x:v>
      </x:c>
      <x:c r="BX206" s="9" t="str">
        <x:v>official_live_dashboard_snapshot_subject_to_revision</x:v>
      </x:c>
      <x:c r="BY206" s="9" t="str">
        <x:v>https://tbdashboard.sitb.id/ss_data_tbc03so_2025_provinsi_bulanan_list.php</x:v>
      </x:c>
      <x:c r="BZ206" s="6" t="n">
        <x:v>46246.610671296294</x:v>
      </x:c>
    </x:row>
    <x:row r="207" ht="18" customHeight="1">
      <x:c r="A207" s="6" t="str">
        <x:v>19</x:v>
      </x:c>
      <x:c r="B207" s="6" t="str">
        <x:v>KEP. BANGKA BELITUNG</x:v>
      </x:c>
      <x:c r="C207" s="6" t="str">
        <x:v>2025</x:v>
      </x:c>
      <x:c r="D207" s="6" t="str">
        <x:v>2</x:v>
      </x:c>
      <x:c r="E207" s="6" t="str">
        <x:v>2025-02</x:v>
      </x:c>
      <x:c r="F207" s="6" t="str">
        <x:v>267</x:v>
      </x:c>
      <x:c r="G207" s="6" t="str">
        <x:v>89</x:v>
      </x:c>
      <x:c r="H207" s="6" t="str">
        <x:v>125</x:v>
      </x:c>
      <x:c r="I207" s="6" t="str">
        <x:v>14</x:v>
      </x:c>
      <x:c r="J207" s="6" t="str">
        <x:v>20</x:v>
      </x:c>
      <x:c r="K207" s="6" t="str">
        <x:v>0</x:v>
      </x:c>
      <x:c r="L207" s="6" t="str">
        <x:v>1</x:v>
      </x:c>
      <x:c r="M207" s="6" t="str">
        <x:v>18</x:v>
      </x:c>
      <x:c r="N207" s="6" t="str">
        <x:v>267</x:v>
      </x:c>
      <x:c r="O207" s="6" t="str">
        <x:v>0</x:v>
      </x:c>
      <x:c r="P207" s="10" t="n">
        <x:f>F207-M207</x:f>
        <x:v>249</x:v>
      </x:c>
      <x:c r="Q207" s="11" t="n">
        <x:f>IFERROR(M207/F207,"")</x:f>
        <x:v>0.06741573033707865</x:v>
      </x:c>
      <x:c r="R207" s="10" t="n">
        <x:f>G207+H207</x:f>
        <x:v>214</x:v>
      </x:c>
      <x:c r="S207" s="11" t="n">
        <x:f>IFERROR(R207/F207,"")</x:f>
        <x:v>0.8014981273408239</x:v>
      </x:c>
      <x:c r="T207" s="11" t="n">
        <x:f>IFERROR(R207/P207,"")</x:f>
        <x:v>0.8594377510040161</x:v>
      </x:c>
      <x:c r="U207" s="10" t="n">
        <x:f>I207+J207+K207</x:f>
        <x:v>34</x:v>
      </x:c>
      <x:c r="V207" s="11" t="n">
        <x:f>IFERROR(U207/P207,"")</x:f>
        <x:v>0.13654618473895583</x:v>
      </x:c>
      <x:c r="W207" s="9" t="str">
        <x:v>provisional_gt_5pct_pending</x:v>
      </x:c>
      <x:c r="X207" s="12" t="n">
        <x:f>IFERROR(F207/Z207*100000,"")</x:f>
        <x:v>17.216920299200414</x:v>
      </x:c>
      <x:c r="Y207" s="13" t="n">
        <x:f>LN(Z207)</x:f>
        <x:v>14.254281484778911</x:v>
      </x:c>
      <x:c r="Z207" s="6" t="str">
        <x:v>1550800</x:v>
      </x:c>
      <x:c r="AA207" s="6" t="str">
        <x:v>93.0</x:v>
      </x:c>
      <x:c r="AB207" s="9" t="str">
        <x:v>2025-06-30</x:v>
      </x:c>
      <x:c r="AC207" s="8" t="str">
        <x:v>96.45</x:v>
      </x:c>
      <x:c r="AD207" s="9" t="str">
        <x:v>2025 (Susenas)</x:v>
      </x:c>
      <x:c r="AE207" s="8" t="str">
        <x:v>5.0</x:v>
      </x:c>
      <x:c r="AF207" s="9" t="str">
        <x:v>Maret 2025 (Susenas)</x:v>
      </x:c>
      <x:c r="AG207" s="6" t="str">
        <x:v>27.12392543183241</x:v>
      </x:c>
      <x:c r="AH207" s="8" t="str">
        <x:v>84.99432669906372</x:v>
      </x:c>
      <x:c r="AI207" s="6" t="str">
        <x:v>153.22375029976092</x:v>
      </x:c>
      <x:c r="AJ207" s="6" t="str">
        <x:v>0.2466572615578286</x:v>
      </x:c>
      <x:c r="AK207" s="8" t="str">
        <x:v>0.5608437047859616</x:v>
      </x:c>
      <x:c r="AL207" s="6" t="str">
        <x:v>0.3085208964527306</x:v>
      </x:c>
      <x:c r="AM207" s="6" t="str">
        <x:v>1.8136743091868708</x:v>
      </x:c>
      <x:c r="AN207" s="6" t="str">
        <x:v>0.8943463034751883</x:v>
      </x:c>
      <x:c r="AO207" s="6" t="str">
        <x:v>0.1174850939103322</x:v>
      </x:c>
      <x:c r="AP207" s="8" t="str">
        <x:v>0.0824545595462313</x:v>
      </x:c>
      <x:c r="AQ207" s="6" t="str">
        <x:v>0.9647724687422772</x:v>
      </x:c>
      <x:c r="AR207" s="6" t="str">
        <x:v>-0.4321726937131261</x:v>
      </x:c>
      <x:c r="AS207" s="6" t="str">
        <x:v>0.2050181115251288</x:v>
      </x:c>
      <x:c r="AT207" s="6" t="str">
        <x:v>-29.50027858548819</x:v>
      </x:c>
      <x:c r="AU207" s="8" t="str">
        <x:v>-0.4131508120666777</x:v>
      </x:c>
      <x:c r="AV207" s="6" t="str">
        <x:v>1.608794994519617</x:v>
      </x:c>
      <x:c r="AW207" s="6" t="str">
        <x:v>-0.4633357773669841</x:v>
      </x:c>
      <x:c r="AX207" s="6" t="str">
        <x:v>0.244102801695318</x:v>
      </x:c>
      <x:c r="AY207" s="6" t="str">
        <x:v>0</x:v>
      </x:c>
      <x:c r="AZ207" s="6" t="str">
        <x:v>0</x:v>
      </x:c>
      <x:c r="BA207" s="9" t="str">
        <x:v>grid_cells_within_BIG_polygon</x:v>
      </x:c>
      <x:c r="BB207" s="6" t="str">
        <x:v>5</x:v>
      </x:c>
      <x:c r="BC207" s="6" t="str">
        <x:v>4</x:v>
      </x:c>
      <x:c r="BD207" s="6" t="str">
        <x:v>4</x:v>
      </x:c>
      <x:c r="BE207" s="6" t="str">
        <x:v>0</x:v>
      </x:c>
      <x:c r="BF207" s="6" t="str">
        <x:v>0</x:v>
      </x:c>
      <x:c r="BG207" s="6" t="str">
        <x:v>0</x:v>
      </x:c>
      <x:c r="BH207" s="6" t="str">
        <x:v>0</x:v>
      </x:c>
      <x:c r="BI207" s="6" t="str">
        <x:v>4</x:v>
      </x:c>
      <x:c r="BJ207" s="6" t="str">
        <x:v>0</x:v>
      </x:c>
      <x:c r="BK207" s="6" t="str">
        <x:v>0</x:v>
      </x:c>
      <x:c r="BL207" s="6" t="str">
        <x:v>0</x:v>
      </x:c>
      <x:c r="BM207" s="6" t="str">
        <x:v>0</x:v>
      </x:c>
      <x:c r="BN207" s="6" t="str">
        <x:v>4</x:v>
      </x:c>
      <x:c r="BO207" s="6" t="str">
        <x:v>0.0</x:v>
      </x:c>
      <x:c r="BP207" s="6" t="str">
        <x:v>4</x:v>
      </x:c>
      <x:c r="BQ207" s="6" t="str">
        <x:v>0.0</x:v>
      </x:c>
      <x:c r="BR207" s="6" t="str">
        <x:v>4</x:v>
      </x:c>
      <x:c r="BS207" s="6" t="str">
        <x:v>0.0</x:v>
      </x:c>
      <x:c r="BT207" s="6" t="str">
        <x:v>4</x:v>
      </x:c>
      <x:c r="BU207" s="6" t="str"/>
      <x:c r="BV207" s="6" t="str">
        <x:v>0</x:v>
      </x:c>
      <x:c r="BW207" s="9" t="str">
        <x:v>operational_snapshot_annual_totals_may_differ</x:v>
      </x:c>
      <x:c r="BX207" s="9" t="str">
        <x:v>official_live_dashboard_snapshot_subject_to_revision</x:v>
      </x:c>
      <x:c r="BY207" s="9" t="str">
        <x:v>https://tbdashboard.sitb.id/ss_data_tbc03so_2025_provinsi_bulanan_list.php</x:v>
      </x:c>
      <x:c r="BZ207" s="6" t="n">
        <x:v>46246.610671296294</x:v>
      </x:c>
    </x:row>
    <x:row r="208" ht="18" customHeight="1">
      <x:c r="A208" s="6" t="str">
        <x:v>19</x:v>
      </x:c>
      <x:c r="B208" s="6" t="str">
        <x:v>KEP. BANGKA BELITUNG</x:v>
      </x:c>
      <x:c r="C208" s="6" t="str">
        <x:v>2025</x:v>
      </x:c>
      <x:c r="D208" s="6" t="str">
        <x:v>3</x:v>
      </x:c>
      <x:c r="E208" s="6" t="str">
        <x:v>2025-03</x:v>
      </x:c>
      <x:c r="F208" s="6" t="str">
        <x:v>275</x:v>
      </x:c>
      <x:c r="G208" s="6" t="str">
        <x:v>80</x:v>
      </x:c>
      <x:c r="H208" s="6" t="str">
        <x:v>144</x:v>
      </x:c>
      <x:c r="I208" s="6" t="str">
        <x:v>18</x:v>
      </x:c>
      <x:c r="J208" s="6" t="str">
        <x:v>20</x:v>
      </x:c>
      <x:c r="K208" s="6" t="str">
        <x:v>3</x:v>
      </x:c>
      <x:c r="L208" s="6" t="str">
        <x:v>0</x:v>
      </x:c>
      <x:c r="M208" s="6" t="str">
        <x:v>10</x:v>
      </x:c>
      <x:c r="N208" s="6" t="str">
        <x:v>275</x:v>
      </x:c>
      <x:c r="O208" s="6" t="str">
        <x:v>0</x:v>
      </x:c>
      <x:c r="P208" s="10" t="n">
        <x:f>F208-M208</x:f>
        <x:v>265</x:v>
      </x:c>
      <x:c r="Q208" s="11" t="n">
        <x:f>IFERROR(M208/F208,"")</x:f>
        <x:v>0.03636363636363636</x:v>
      </x:c>
      <x:c r="R208" s="10" t="n">
        <x:f>G208+H208</x:f>
        <x:v>224</x:v>
      </x:c>
      <x:c r="S208" s="11" t="n">
        <x:f>IFERROR(R208/F208,"")</x:f>
        <x:v>0.8145454545454546</x:v>
      </x:c>
      <x:c r="T208" s="11" t="n">
        <x:f>IFERROR(R208/P208,"")</x:f>
        <x:v>0.8452830188679246</x:v>
      </x:c>
      <x:c r="U208" s="10" t="n">
        <x:f>I208+J208+K208</x:f>
        <x:v>41</x:v>
      </x:c>
      <x:c r="V208" s="11" t="n">
        <x:f>IFERROR(U208/P208,"")</x:f>
        <x:v>0.15471698113207547</x:v>
      </x:c>
      <x:c r="W208" s="9" t="str">
        <x:v>mature_le_5pct_pending</x:v>
      </x:c>
      <x:c r="X208" s="12" t="n">
        <x:f>IFERROR(F208/Z208*100000,"")</x:f>
        <x:v>17.732783079700802</x:v>
      </x:c>
      <x:c r="Y208" s="13" t="n">
        <x:f>LN(Z208)</x:f>
        <x:v>14.254281484778911</x:v>
      </x:c>
      <x:c r="Z208" s="6" t="str">
        <x:v>1550800</x:v>
      </x:c>
      <x:c r="AA208" s="6" t="str">
        <x:v>93.0</x:v>
      </x:c>
      <x:c r="AB208" s="9" t="str">
        <x:v>2025-06-30</x:v>
      </x:c>
      <x:c r="AC208" s="8" t="str">
        <x:v>96.45</x:v>
      </x:c>
      <x:c r="AD208" s="9" t="str">
        <x:v>2025 (Susenas)</x:v>
      </x:c>
      <x:c r="AE208" s="8" t="str">
        <x:v>5.0</x:v>
      </x:c>
      <x:c r="AF208" s="9" t="str">
        <x:v>Maret 2025 (Susenas)</x:v>
      </x:c>
      <x:c r="AG208" s="6" t="str">
        <x:v>27.71592328265529</x:v>
      </x:c>
      <x:c r="AH208" s="8" t="str">
        <x:v>83.27846423566766</x:v>
      </x:c>
      <x:c r="AI208" s="6" t="str">
        <x:v>225.3191026718685</x:v>
      </x:c>
      <x:c r="AJ208" s="6" t="str">
        <x:v>0.3189157636509065</x:v>
      </x:c>
      <x:c r="AK208" s="8" t="str">
        <x:v>0.7557614397859818</x:v>
      </x:c>
      <x:c r="AL208" s="6" t="str">
        <x:v>0.5608437047859616</x:v>
      </x:c>
      <x:c r="AM208" s="6" t="str">
        <x:v>0.3085208964527306</x:v>
      </x:c>
      <x:c r="AN208" s="6" t="str">
        <x:v>0.5417086803415586</x:v>
      </x:c>
      <x:c r="AO208" s="6" t="str">
        <x:v>0.6581536698350874</x:v>
      </x:c>
      <x:c r="AP208" s="8" t="str">
        <x:v>0.3876832472975791</x:v>
      </x:c>
      <x:c r="AQ208" s="6" t="str">
        <x:v>0.0824545595462313</x:v>
      </x:c>
      <x:c r="AR208" s="6" t="str">
        <x:v>0.9647724687422772</x:v>
      </x:c>
      <x:c r="AS208" s="6" t="str">
        <x:v>0.4783034251953639</x:v>
      </x:c>
      <x:c r="AT208" s="6" t="str">
        <x:v>6.521387024757161</x:v>
      </x:c>
      <x:c r="AU208" s="8" t="str">
        <x:v>0.1195191779565007</x:v>
      </x:c>
      <x:c r="AV208" s="6" t="str">
        <x:v>-0.4131508120666777</x:v>
      </x:c>
      <x:c r="AW208" s="6" t="str">
        <x:v>1.608794994519617</x:v>
      </x:c>
      <x:c r="AX208" s="6" t="str">
        <x:v>0.4383877868031463</x:v>
      </x:c>
      <x:c r="AY208" s="6" t="str">
        <x:v>0</x:v>
      </x:c>
      <x:c r="AZ208" s="6" t="str">
        <x:v>0</x:v>
      </x:c>
      <x:c r="BA208" s="9" t="str">
        <x:v>grid_cells_within_BIG_polygon</x:v>
      </x:c>
      <x:c r="BB208" s="6" t="str">
        <x:v>5</x:v>
      </x:c>
      <x:c r="BC208" s="6" t="str">
        <x:v>3</x:v>
      </x:c>
      <x:c r="BD208" s="6" t="str">
        <x:v>3</x:v>
      </x:c>
      <x:c r="BE208" s="6" t="str">
        <x:v>1</x:v>
      </x:c>
      <x:c r="BF208" s="6" t="str">
        <x:v>0</x:v>
      </x:c>
      <x:c r="BG208" s="6" t="str">
        <x:v>2</x:v>
      </x:c>
      <x:c r="BH208" s="6" t="str">
        <x:v>0</x:v>
      </x:c>
      <x:c r="BI208" s="6" t="str">
        <x:v>0</x:v>
      </x:c>
      <x:c r="BJ208" s="6" t="str">
        <x:v>0</x:v>
      </x:c>
      <x:c r="BK208" s="6" t="str">
        <x:v>0</x:v>
      </x:c>
      <x:c r="BL208" s="6" t="str">
        <x:v>0</x:v>
      </x:c>
      <x:c r="BM208" s="6" t="str">
        <x:v>0</x:v>
      </x:c>
      <x:c r="BN208" s="6" t="str">
        <x:v>3</x:v>
      </x:c>
      <x:c r="BO208" s="6" t="str">
        <x:v>0.0</x:v>
      </x:c>
      <x:c r="BP208" s="6" t="str">
        <x:v>3</x:v>
      </x:c>
      <x:c r="BQ208" s="6" t="str">
        <x:v>2.0</x:v>
      </x:c>
      <x:c r="BR208" s="6" t="str">
        <x:v>3</x:v>
      </x:c>
      <x:c r="BS208" s="6" t="str">
        <x:v>319.0</x:v>
      </x:c>
      <x:c r="BT208" s="6" t="str">
        <x:v>3</x:v>
      </x:c>
      <x:c r="BU208" s="6" t="str"/>
      <x:c r="BV208" s="6" t="str">
        <x:v>0</x:v>
      </x:c>
      <x:c r="BW208" s="9" t="str">
        <x:v>operational_snapshot_annual_totals_may_differ</x:v>
      </x:c>
      <x:c r="BX208" s="9" t="str">
        <x:v>official_live_dashboard_snapshot_subject_to_revision</x:v>
      </x:c>
      <x:c r="BY208" s="9" t="str">
        <x:v>https://tbdashboard.sitb.id/ss_data_tbc03so_2025_provinsi_bulanan_list.php</x:v>
      </x:c>
      <x:c r="BZ208" s="6" t="n">
        <x:v>46246.610671296294</x:v>
      </x:c>
    </x:row>
    <x:row r="209" ht="18" customHeight="1">
      <x:c r="A209" s="6" t="str">
        <x:v>19</x:v>
      </x:c>
      <x:c r="B209" s="6" t="str">
        <x:v>KEP. BANGKA BELITUNG</x:v>
      </x:c>
      <x:c r="C209" s="6" t="str">
        <x:v>2025</x:v>
      </x:c>
      <x:c r="D209" s="6" t="str">
        <x:v>4</x:v>
      </x:c>
      <x:c r="E209" s="6" t="str">
        <x:v>2025-04</x:v>
      </x:c>
      <x:c r="F209" s="6" t="str">
        <x:v>256</x:v>
      </x:c>
      <x:c r="G209" s="6" t="str">
        <x:v>91</x:v>
      </x:c>
      <x:c r="H209" s="6" t="str">
        <x:v>115</x:v>
      </x:c>
      <x:c r="I209" s="6" t="str">
        <x:v>17</x:v>
      </x:c>
      <x:c r="J209" s="6" t="str">
        <x:v>16</x:v>
      </x:c>
      <x:c r="K209" s="6" t="str">
        <x:v>5</x:v>
      </x:c>
      <x:c r="L209" s="6" t="str">
        <x:v>1</x:v>
      </x:c>
      <x:c r="M209" s="6" t="str">
        <x:v>11</x:v>
      </x:c>
      <x:c r="N209" s="6" t="str">
        <x:v>256</x:v>
      </x:c>
      <x:c r="O209" s="6" t="str">
        <x:v>0</x:v>
      </x:c>
      <x:c r="P209" s="10" t="n">
        <x:f>F209-M209</x:f>
        <x:v>245</x:v>
      </x:c>
      <x:c r="Q209" s="11" t="n">
        <x:f>IFERROR(M209/F209,"")</x:f>
        <x:v>0.04296875</x:v>
      </x:c>
      <x:c r="R209" s="10" t="n">
        <x:f>G209+H209</x:f>
        <x:v>206</x:v>
      </x:c>
      <x:c r="S209" s="11" t="n">
        <x:f>IFERROR(R209/F209,"")</x:f>
        <x:v>0.8046875</x:v>
      </x:c>
      <x:c r="T209" s="11" t="n">
        <x:f>IFERROR(R209/P209,"")</x:f>
        <x:v>0.8408163265306122</x:v>
      </x:c>
      <x:c r="U209" s="10" t="n">
        <x:f>I209+J209+K209</x:f>
        <x:v>38</x:v>
      </x:c>
      <x:c r="V209" s="11" t="n">
        <x:f>IFERROR(U209/P209,"")</x:f>
        <x:v>0.15510204081632653</x:v>
      </x:c>
      <x:c r="W209" s="9" t="str">
        <x:v>mature_le_5pct_pending</x:v>
      </x:c>
      <x:c r="X209" s="12" t="n">
        <x:f>IFERROR(F209/Z209*100000,"")</x:f>
        <x:v>16.50760897601238</x:v>
      </x:c>
      <x:c r="Y209" s="13" t="n">
        <x:f>LN(Z209)</x:f>
        <x:v>14.254281484778911</x:v>
      </x:c>
      <x:c r="Z209" s="6" t="str">
        <x:v>1550800</x:v>
      </x:c>
      <x:c r="AA209" s="6" t="str">
        <x:v>93.0</x:v>
      </x:c>
      <x:c r="AB209" s="9" t="str">
        <x:v>2025-06-30</x:v>
      </x:c>
      <x:c r="AC209" s="8" t="str">
        <x:v>96.45</x:v>
      </x:c>
      <x:c r="AD209" s="9" t="str">
        <x:v>2025 (Susenas)</x:v>
      </x:c>
      <x:c r="AE209" s="8" t="str">
        <x:v>5.0</x:v>
      </x:c>
      <x:c r="AF209" s="9" t="str">
        <x:v>Maret 2025 (Susenas)</x:v>
      </x:c>
      <x:c r="AG209" s="6" t="str">
        <x:v>28.137933784995496</x:v>
      </x:c>
      <x:c r="AH209" s="8" t="str">
        <x:v>80.10839084249561</x:v>
      </x:c>
      <x:c r="AI209" s="6" t="str">
        <x:v>216.48598912768284</x:v>
      </x:c>
      <x:c r="AJ209" s="6" t="str">
        <x:v>0.1546581330322531</x:v>
      </x:c>
      <x:c r="AK209" s="8" t="str">
        <x:v>0.4122083548677135</x:v>
      </x:c>
      <x:c r="AL209" s="6" t="str">
        <x:v>0.7557614397859818</x:v>
      </x:c>
      <x:c r="AM209" s="6" t="str">
        <x:v>0.5608437047859616</x:v>
      </x:c>
      <x:c r="AN209" s="6" t="str">
        <x:v>0.5762711664798862</x:v>
      </x:c>
      <x:c r="AO209" s="6" t="str">
        <x:v>-0.8349285627919443</x:v>
      </x:c>
      <x:c r="AP209" s="8" t="str">
        <x:v>-0.6721703305028874</x:v>
      </x:c>
      <x:c r="AQ209" s="6" t="str">
        <x:v>0.3876832472975791</x:v>
      </x:c>
      <x:c r="AR209" s="6" t="str">
        <x:v>0.0824545595462313</x:v>
      </x:c>
      <x:c r="AS209" s="6" t="str">
        <x:v>-0.0673441745530242</x:v>
      </x:c>
      <x:c r="AT209" s="6" t="str">
        <x:v>-15.449813825637534</x:v>
      </x:c>
      <x:c r="AU209" s="8" t="str">
        <x:v>-0.3363441924808534</x:v>
      </x:c>
      <x:c r="AV209" s="6" t="str">
        <x:v>0.1195191779565007</x:v>
      </x:c>
      <x:c r="AW209" s="6" t="str">
        <x:v>-0.4131508120666777</x:v>
      </x:c>
      <x:c r="AX209" s="6" t="str">
        <x:v>-0.2099919421970104</x:v>
      </x:c>
      <x:c r="AY209" s="6" t="str">
        <x:v>0</x:v>
      </x:c>
      <x:c r="AZ209" s="6" t="str">
        <x:v>0</x:v>
      </x:c>
      <x:c r="BA209" s="9" t="str">
        <x:v>grid_cells_within_BIG_polygon</x:v>
      </x:c>
      <x:c r="BB209" s="6" t="str">
        <x:v>5</x:v>
      </x:c>
      <x:c r="BC209" s="6" t="str">
        <x:v>1</x:v>
      </x:c>
      <x:c r="BD209" s="6" t="str">
        <x:v>1</x:v>
      </x:c>
      <x:c r="BE209" s="6" t="str">
        <x:v>1</x:v>
      </x:c>
      <x:c r="BF209" s="6" t="str">
        <x:v>0</x:v>
      </x:c>
      <x:c r="BG209" s="6" t="str">
        <x:v>0</x:v>
      </x:c>
      <x:c r="BH209" s="6" t="str">
        <x:v>0</x:v>
      </x:c>
      <x:c r="BI209" s="6" t="str">
        <x:v>0</x:v>
      </x:c>
      <x:c r="BJ209" s="6" t="str">
        <x:v>0</x:v>
      </x:c>
      <x:c r="BK209" s="6" t="str">
        <x:v>0</x:v>
      </x:c>
      <x:c r="BL209" s="6" t="str">
        <x:v>0</x:v>
      </x:c>
      <x:c r="BM209" s="6" t="str">
        <x:v>0</x:v>
      </x:c>
      <x:c r="BN209" s="6" t="str">
        <x:v>1</x:v>
      </x:c>
      <x:c r="BO209" s="6" t="str">
        <x:v>0.0</x:v>
      </x:c>
      <x:c r="BP209" s="6" t="str">
        <x:v>1</x:v>
      </x:c>
      <x:c r="BQ209" s="6" t="str">
        <x:v>0.0</x:v>
      </x:c>
      <x:c r="BR209" s="6" t="str">
        <x:v>1</x:v>
      </x:c>
      <x:c r="BS209" s="6" t="str">
        <x:v>0.0</x:v>
      </x:c>
      <x:c r="BT209" s="6" t="str">
        <x:v>1</x:v>
      </x:c>
      <x:c r="BU209" s="6" t="str">
        <x:v>447.0</x:v>
      </x:c>
      <x:c r="BV209" s="6" t="str">
        <x:v>1</x:v>
      </x:c>
      <x:c r="BW209" s="9" t="str">
        <x:v>operational_snapshot_annual_totals_may_differ</x:v>
      </x:c>
      <x:c r="BX209" s="9" t="str">
        <x:v>official_live_dashboard_snapshot_subject_to_revision</x:v>
      </x:c>
      <x:c r="BY209" s="9" t="str">
        <x:v>https://tbdashboard.sitb.id/ss_data_tbc03so_2025_provinsi_bulanan_list.php</x:v>
      </x:c>
      <x:c r="BZ209" s="6" t="n">
        <x:v>46246.610671296294</x:v>
      </x:c>
    </x:row>
    <x:row r="210" ht="18" customHeight="1">
      <x:c r="A210" s="6" t="str">
        <x:v>19</x:v>
      </x:c>
      <x:c r="B210" s="6" t="str">
        <x:v>KEP. BANGKA BELITUNG</x:v>
      </x:c>
      <x:c r="C210" s="6" t="str">
        <x:v>2025</x:v>
      </x:c>
      <x:c r="D210" s="6" t="str">
        <x:v>5</x:v>
      </x:c>
      <x:c r="E210" s="6" t="str">
        <x:v>2025-05</x:v>
      </x:c>
      <x:c r="F210" s="6" t="str">
        <x:v>280</x:v>
      </x:c>
      <x:c r="G210" s="6" t="str">
        <x:v>96</x:v>
      </x:c>
      <x:c r="H210" s="6" t="str">
        <x:v>128</x:v>
      </x:c>
      <x:c r="I210" s="6" t="str">
        <x:v>11</x:v>
      </x:c>
      <x:c r="J210" s="6" t="str">
        <x:v>23</x:v>
      </x:c>
      <x:c r="K210" s="6" t="str">
        <x:v>0</x:v>
      </x:c>
      <x:c r="L210" s="6" t="str">
        <x:v>0</x:v>
      </x:c>
      <x:c r="M210" s="6" t="str">
        <x:v>22</x:v>
      </x:c>
      <x:c r="N210" s="6" t="str">
        <x:v>280</x:v>
      </x:c>
      <x:c r="O210" s="6" t="str">
        <x:v>0</x:v>
      </x:c>
      <x:c r="P210" s="10" t="n">
        <x:f>F210-M210</x:f>
        <x:v>258</x:v>
      </x:c>
      <x:c r="Q210" s="11" t="n">
        <x:f>IFERROR(M210/F210,"")</x:f>
        <x:v>0.07857142857142857</x:v>
      </x:c>
      <x:c r="R210" s="10" t="n">
        <x:f>G210+H210</x:f>
        <x:v>224</x:v>
      </x:c>
      <x:c r="S210" s="11" t="n">
        <x:f>IFERROR(R210/F210,"")</x:f>
        <x:v>0.8</x:v>
      </x:c>
      <x:c r="T210" s="11" t="n">
        <x:f>IFERROR(R210/P210,"")</x:f>
        <x:v>0.8682170542635659</x:v>
      </x:c>
      <x:c r="U210" s="10" t="n">
        <x:f>I210+J210+K210</x:f>
        <x:v>34</x:v>
      </x:c>
      <x:c r="V210" s="11" t="n">
        <x:f>IFERROR(U210/P210,"")</x:f>
        <x:v>0.13178294573643412</x:v>
      </x:c>
      <x:c r="W210" s="9" t="str">
        <x:v>provisional_gt_5pct_pending</x:v>
      </x:c>
      <x:c r="X210" s="12" t="n">
        <x:f>IFERROR(F210/Z210*100000,"")</x:f>
        <x:v>18.055197317513542</x:v>
      </x:c>
      <x:c r="Y210" s="13" t="n">
        <x:f>LN(Z210)</x:f>
        <x:v>14.254281484778911</x:v>
      </x:c>
      <x:c r="Z210" s="6" t="str">
        <x:v>1550800</x:v>
      </x:c>
      <x:c r="AA210" s="6" t="str">
        <x:v>93.0</x:v>
      </x:c>
      <x:c r="AB210" s="9" t="str">
        <x:v>2025-06-30</x:v>
      </x:c>
      <x:c r="AC210" s="8" t="str">
        <x:v>96.45</x:v>
      </x:c>
      <x:c r="AD210" s="9" t="str">
        <x:v>2025 (Susenas)</x:v>
      </x:c>
      <x:c r="AE210" s="8" t="str">
        <x:v>5.0</x:v>
      </x:c>
      <x:c r="AF210" s="9" t="str">
        <x:v>Maret 2025 (Susenas)</x:v>
      </x:c>
      <x:c r="AG210" s="6" t="str">
        <x:v>28.9179433878852</x:v>
      </x:c>
      <x:c r="AH210" s="8" t="str">
        <x:v>79.4543124485015</x:v>
      </x:c>
      <x:c r="AI210" s="6" t="str">
        <x:v>167.77037878426313</x:v>
      </x:c>
      <x:c r="AJ210" s="6" t="str">
        <x:v>0.6457471273611333</x:v>
      </x:c>
      <x:c r="AK210" s="8" t="str">
        <x:v>1.8408768855315656</x:v>
      </x:c>
      <x:c r="AL210" s="6" t="str">
        <x:v>0.4122083548677135</x:v>
      </x:c>
      <x:c r="AM210" s="6" t="str">
        <x:v>0.7557614397859818</x:v>
      </x:c>
      <x:c r="AN210" s="6" t="str">
        <x:v>1.0029488933950876</x:v>
      </x:c>
      <x:c r="AO210" s="6" t="str">
        <x:v>-1.950229081065672</x:v>
      </x:c>
      <x:c r="AP210" s="8" t="str">
        <x:v>-1.450014526387894</x:v>
      </x:c>
      <x:c r="AQ210" s="6" t="str">
        <x:v>-0.6721703305028874</x:v>
      </x:c>
      <x:c r="AR210" s="6" t="str">
        <x:v>0.3876832472975791</x:v>
      </x:c>
      <x:c r="AS210" s="6" t="str">
        <x:v>-0.5781672031977326</x:v>
      </x:c>
      <x:c r="AT210" s="6" t="str">
        <x:v>-30.19383517077844</x:v>
      </x:c>
      <x:c r="AU210" s="8" t="str">
        <x:v>-0.5359117637563375</x:v>
      </x:c>
      <x:c r="AV210" s="6" t="str">
        <x:v>-0.3363441924808534</x:v>
      </x:c>
      <x:c r="AW210" s="6" t="str">
        <x:v>0.1195191779565007</x:v>
      </x:c>
      <x:c r="AX210" s="6" t="str">
        <x:v>-0.250912259426897</x:v>
      </x:c>
      <x:c r="AY210" s="6" t="str">
        <x:v>0</x:v>
      </x:c>
      <x:c r="AZ210" s="6" t="str">
        <x:v>1</x:v>
      </x:c>
      <x:c r="BA210" s="9" t="str">
        <x:v>grid_cells_within_BIG_polygon</x:v>
      </x:c>
      <x:c r="BB210" s="6" t="str">
        <x:v>5</x:v>
      </x:c>
      <x:c r="BC210" s="6" t="str">
        <x:v>1</x:v>
      </x:c>
      <x:c r="BD210" s="6" t="str">
        <x:v>1</x:v>
      </x:c>
      <x:c r="BE210" s="6" t="str">
        <x:v>0</x:v>
      </x:c>
      <x:c r="BF210" s="6" t="str">
        <x:v>0</x:v>
      </x:c>
      <x:c r="BG210" s="6" t="str">
        <x:v>1</x:v>
      </x:c>
      <x:c r="BH210" s="6" t="str">
        <x:v>0</x:v>
      </x:c>
      <x:c r="BI210" s="6" t="str">
        <x:v>0</x:v>
      </x:c>
      <x:c r="BJ210" s="6" t="str">
        <x:v>0</x:v>
      </x:c>
      <x:c r="BK210" s="6" t="str">
        <x:v>0</x:v>
      </x:c>
      <x:c r="BL210" s="6" t="str">
        <x:v>0</x:v>
      </x:c>
      <x:c r="BM210" s="6" t="str">
        <x:v>0</x:v>
      </x:c>
      <x:c r="BN210" s="6" t="str">
        <x:v>1</x:v>
      </x:c>
      <x:c r="BO210" s="6" t="str">
        <x:v>0.0</x:v>
      </x:c>
      <x:c r="BP210" s="6" t="str">
        <x:v>1</x:v>
      </x:c>
      <x:c r="BQ210" s="6" t="str">
        <x:v>0.0</x:v>
      </x:c>
      <x:c r="BR210" s="6" t="str">
        <x:v>1</x:v>
      </x:c>
      <x:c r="BS210" s="6" t="str">
        <x:v>0.0</x:v>
      </x:c>
      <x:c r="BT210" s="6" t="str">
        <x:v>1</x:v>
      </x:c>
      <x:c r="BU210" s="6" t="str"/>
      <x:c r="BV210" s="6" t="str">
        <x:v>0</x:v>
      </x:c>
      <x:c r="BW210" s="9" t="str">
        <x:v>operational_snapshot_annual_totals_may_differ</x:v>
      </x:c>
      <x:c r="BX210" s="9" t="str">
        <x:v>official_live_dashboard_snapshot_subject_to_revision</x:v>
      </x:c>
      <x:c r="BY210" s="9" t="str">
        <x:v>https://tbdashboard.sitb.id/ss_data_tbc03so_2025_provinsi_bulanan_list.php</x:v>
      </x:c>
      <x:c r="BZ210" s="6" t="n">
        <x:v>46246.610671296294</x:v>
      </x:c>
    </x:row>
    <x:row r="211" ht="18" customHeight="1">
      <x:c r="A211" s="6" t="str">
        <x:v>19</x:v>
      </x:c>
      <x:c r="B211" s="6" t="str">
        <x:v>KEP. BANGKA BELITUNG</x:v>
      </x:c>
      <x:c r="C211" s="6" t="str">
        <x:v>2025</x:v>
      </x:c>
      <x:c r="D211" s="6" t="str">
        <x:v>6</x:v>
      </x:c>
      <x:c r="E211" s="6" t="str">
        <x:v>2025-06</x:v>
      </x:c>
      <x:c r="F211" s="6" t="str">
        <x:v>228</x:v>
      </x:c>
      <x:c r="G211" s="6" t="str">
        <x:v>80</x:v>
      </x:c>
      <x:c r="H211" s="6" t="str">
        <x:v>89</x:v>
      </x:c>
      <x:c r="I211" s="6" t="str">
        <x:v>9</x:v>
      </x:c>
      <x:c r="J211" s="6" t="str">
        <x:v>18</x:v>
      </x:c>
      <x:c r="K211" s="6" t="str">
        <x:v>3</x:v>
      </x:c>
      <x:c r="L211" s="6" t="str">
        <x:v>1</x:v>
      </x:c>
      <x:c r="M211" s="6" t="str">
        <x:v>28</x:v>
      </x:c>
      <x:c r="N211" s="6" t="str">
        <x:v>228</x:v>
      </x:c>
      <x:c r="O211" s="6" t="str">
        <x:v>0</x:v>
      </x:c>
      <x:c r="P211" s="10" t="n">
        <x:f>F211-M211</x:f>
        <x:v>200</x:v>
      </x:c>
      <x:c r="Q211" s="11" t="n">
        <x:f>IFERROR(M211/F211,"")</x:f>
        <x:v>0.12280701754385964</x:v>
      </x:c>
      <x:c r="R211" s="10" t="n">
        <x:f>G211+H211</x:f>
        <x:v>169</x:v>
      </x:c>
      <x:c r="S211" s="11" t="n">
        <x:f>IFERROR(R211/F211,"")</x:f>
        <x:v>0.7412280701754386</x:v>
      </x:c>
      <x:c r="T211" s="11" t="n">
        <x:f>IFERROR(R211/P211,"")</x:f>
        <x:v>0.845</x:v>
      </x:c>
      <x:c r="U211" s="10" t="n">
        <x:f>I211+J211+K211</x:f>
        <x:v>30</x:v>
      </x:c>
      <x:c r="V211" s="11" t="n">
        <x:f>IFERROR(U211/P211,"")</x:f>
        <x:v>0.15</x:v>
      </x:c>
      <x:c r="W211" s="9" t="str">
        <x:v>provisional_gt_5pct_pending</x:v>
      </x:c>
      <x:c r="X211" s="12" t="n">
        <x:f>IFERROR(F211/Z211*100000,"")</x:f>
        <x:v>14.702089244261028</x:v>
      </x:c>
      <x:c r="Y211" s="13" t="n">
        <x:f>LN(Z211)</x:f>
        <x:v>14.254281484778911</x:v>
      </x:c>
      <x:c r="Z211" s="6" t="str">
        <x:v>1550800</x:v>
      </x:c>
      <x:c r="AA211" s="6" t="str">
        <x:v>93.0</x:v>
      </x:c>
      <x:c r="AB211" s="9" t="str">
        <x:v>2025-06-30</x:v>
      </x:c>
      <x:c r="AC211" s="8" t="str">
        <x:v>96.45</x:v>
      </x:c>
      <x:c r="AD211" s="9" t="str">
        <x:v>2025 (Susenas)</x:v>
      </x:c>
      <x:c r="AE211" s="8" t="str">
        <x:v>5.0</x:v>
      </x:c>
      <x:c r="AF211" s="9" t="str">
        <x:v>Maret 2025 (Susenas)</x:v>
      </x:c>
      <x:c r="AG211" s="6" t="str">
        <x:v>28.253910570012152</x:v>
      </x:c>
      <x:c r="AH211" s="8" t="str">
        <x:v>81.75030569629892</x:v>
      </x:c>
      <x:c r="AI211" s="6" t="str">
        <x:v>171.82921536568242</x:v>
      </x:c>
      <x:c r="AJ211" s="6" t="str">
        <x:v>0.3731912615397306</x:v>
      </x:c>
      <x:c r="AK211" s="8" t="str">
        <x:v>1.134768295445753</x:v>
      </x:c>
      <x:c r="AL211" s="6" t="str">
        <x:v>1.8408768855315656</x:v>
      </x:c>
      <x:c r="AM211" s="6" t="str">
        <x:v>0.4122083548677135</x:v>
      </x:c>
      <x:c r="AN211" s="6" t="str">
        <x:v>1.1292845119483446</x:v>
      </x:c>
      <x:c r="AO211" s="6" t="str">
        <x:v>0.2581535596345219</x:v>
      </x:c>
      <x:c r="AP211" s="8" t="str">
        <x:v>0.1422557827124042</x:v>
      </x:c>
      <x:c r="AQ211" s="6" t="str">
        <x:v>-1.450014526387894</x:v>
      </x:c>
      <x:c r="AR211" s="6" t="str">
        <x:v>-0.6721703305028874</x:v>
      </x:c>
      <x:c r="AS211" s="6" t="str">
        <x:v>-0.6599763580594578</x:v>
      </x:c>
      <x:c r="AT211" s="6" t="str">
        <x:v>22.936356814174214</x:v>
      </x:c>
      <x:c r="AU211" s="8" t="str">
        <x:v>0.4194709259702074</x:v>
      </x:c>
      <x:c r="AV211" s="6" t="str">
        <x:v>-0.5359117637563375</x:v>
      </x:c>
      <x:c r="AW211" s="6" t="str">
        <x:v>-0.3363441924808534</x:v>
      </x:c>
      <x:c r="AX211" s="6" t="str">
        <x:v>-0.1509283434223281</x:v>
      </x:c>
      <x:c r="AY211" s="6" t="str">
        <x:v>0</x:v>
      </x:c>
      <x:c r="AZ211" s="6" t="str">
        <x:v>1</x:v>
      </x:c>
      <x:c r="BA211" s="9" t="str">
        <x:v>grid_cells_within_BIG_polygon</x:v>
      </x:c>
      <x:c r="BB211" s="6" t="str">
        <x:v>5</x:v>
      </x:c>
      <x:c r="BC211" s="6" t="str">
        <x:v>1</x:v>
      </x:c>
      <x:c r="BD211" s="6" t="str">
        <x:v>1</x:v>
      </x:c>
      <x:c r="BE211" s="6" t="str">
        <x:v>0</x:v>
      </x:c>
      <x:c r="BF211" s="6" t="str">
        <x:v>0</x:v>
      </x:c>
      <x:c r="BG211" s="6" t="str">
        <x:v>1</x:v>
      </x:c>
      <x:c r="BH211" s="6" t="str">
        <x:v>0</x:v>
      </x:c>
      <x:c r="BI211" s="6" t="str">
        <x:v>0</x:v>
      </x:c>
      <x:c r="BJ211" s="6" t="str">
        <x:v>0</x:v>
      </x:c>
      <x:c r="BK211" s="6" t="str">
        <x:v>0</x:v>
      </x:c>
      <x:c r="BL211" s="6" t="str">
        <x:v>0</x:v>
      </x:c>
      <x:c r="BM211" s="6" t="str">
        <x:v>0</x:v>
      </x:c>
      <x:c r="BN211" s="6" t="str">
        <x:v>1</x:v>
      </x:c>
      <x:c r="BO211" s="6" t="str"/>
      <x:c r="BP211" s="6" t="str">
        <x:v>0</x:v>
      </x:c>
      <x:c r="BQ211" s="6" t="str"/>
      <x:c r="BR211" s="6" t="str">
        <x:v>0</x:v>
      </x:c>
      <x:c r="BS211" s="6" t="str">
        <x:v>20.0</x:v>
      </x:c>
      <x:c r="BT211" s="6" t="str">
        <x:v>1</x:v>
      </x:c>
      <x:c r="BU211" s="6" t="str"/>
      <x:c r="BV211" s="6" t="str">
        <x:v>0</x:v>
      </x:c>
      <x:c r="BW211" s="9" t="str">
        <x:v>operational_snapshot_annual_totals_may_differ</x:v>
      </x:c>
      <x:c r="BX211" s="9" t="str">
        <x:v>official_live_dashboard_snapshot_subject_to_revision</x:v>
      </x:c>
      <x:c r="BY211" s="9" t="str">
        <x:v>https://tbdashboard.sitb.id/ss_data_tbc03so_2025_provinsi_bulanan_list.php</x:v>
      </x:c>
      <x:c r="BZ211" s="6" t="n">
        <x:v>46246.610671296294</x:v>
      </x:c>
    </x:row>
    <x:row r="212" ht="18" customHeight="1">
      <x:c r="A212" s="6" t="str">
        <x:v>19</x:v>
      </x:c>
      <x:c r="B212" s="6" t="str">
        <x:v>KEP. BANGKA BELITUNG</x:v>
      </x:c>
      <x:c r="C212" s="6" t="str">
        <x:v>2025</x:v>
      </x:c>
      <x:c r="D212" s="6" t="str">
        <x:v>7</x:v>
      </x:c>
      <x:c r="E212" s="6" t="str">
        <x:v>2025-07</x:v>
      </x:c>
      <x:c r="F212" s="6" t="str">
        <x:v>260</x:v>
      </x:c>
      <x:c r="G212" s="6" t="str">
        <x:v>63</x:v>
      </x:c>
      <x:c r="H212" s="6" t="str">
        <x:v>109</x:v>
      </x:c>
      <x:c r="I212" s="6" t="str">
        <x:v>17</x:v>
      </x:c>
      <x:c r="J212" s="6" t="str">
        <x:v>21</x:v>
      </x:c>
      <x:c r="K212" s="6" t="str">
        <x:v>0</x:v>
      </x:c>
      <x:c r="L212" s="6" t="str">
        <x:v>1</x:v>
      </x:c>
      <x:c r="M212" s="6" t="str">
        <x:v>49</x:v>
      </x:c>
      <x:c r="N212" s="6" t="str">
        <x:v>260</x:v>
      </x:c>
      <x:c r="O212" s="6" t="str">
        <x:v>0</x:v>
      </x:c>
      <x:c r="P212" s="10" t="n">
        <x:f>F212-M212</x:f>
        <x:v>211</x:v>
      </x:c>
      <x:c r="Q212" s="11" t="n">
        <x:f>IFERROR(M212/F212,"")</x:f>
        <x:v>0.18846153846153846</x:v>
      </x:c>
      <x:c r="R212" s="10" t="n">
        <x:f>G212+H212</x:f>
        <x:v>172</x:v>
      </x:c>
      <x:c r="S212" s="11" t="n">
        <x:f>IFERROR(R212/F212,"")</x:f>
        <x:v>0.6615384615384615</x:v>
      </x:c>
      <x:c r="T212" s="11" t="n">
        <x:f>IFERROR(R212/P212,"")</x:f>
        <x:v>0.8151658767772512</x:v>
      </x:c>
      <x:c r="U212" s="10" t="n">
        <x:f>I212+J212+K212</x:f>
        <x:v>38</x:v>
      </x:c>
      <x:c r="V212" s="11" t="n">
        <x:f>IFERROR(U212/P212,"")</x:f>
        <x:v>0.18009478672985782</x:v>
      </x:c>
      <x:c r="W212" s="9" t="str">
        <x:v>provisional_gt_5pct_pending</x:v>
      </x:c>
      <x:c r="X212" s="12" t="n">
        <x:f>IFERROR(F212/Z212*100000,"")</x:f>
        <x:v>16.765540366262574</x:v>
      </x:c>
      <x:c r="Y212" s="13" t="n">
        <x:f>LN(Z212)</x:f>
        <x:v>14.254281484778911</x:v>
      </x:c>
      <x:c r="Z212" s="6" t="str">
        <x:v>1550800</x:v>
      </x:c>
      <x:c r="AA212" s="6" t="str">
        <x:v>93.0</x:v>
      </x:c>
      <x:c r="AB212" s="9" t="str">
        <x:v>2025-06-30</x:v>
      </x:c>
      <x:c r="AC212" s="8" t="str">
        <x:v>96.45</x:v>
      </x:c>
      <x:c r="AD212" s="9" t="str">
        <x:v>2025 (Susenas)</x:v>
      </x:c>
      <x:c r="AE212" s="8" t="str">
        <x:v>5.0</x:v>
      </x:c>
      <x:c r="AF212" s="9" t="str">
        <x:v>Maret 2025 (Susenas)</x:v>
      </x:c>
      <x:c r="AG212" s="6" t="str">
        <x:v>28.003908359709232</x:v>
      </x:c>
      <x:c r="AH212" s="8" t="str">
        <x:v>82.35046483332042</x:v>
      </x:c>
      <x:c r="AI212" s="6" t="str">
        <x:v>108.19449851930445</x:v>
      </x:c>
      <x:c r="AJ212" s="6" t="str">
        <x:v>0.5459173183041379</x:v>
      </x:c>
      <x:c r="AK212" s="8" t="str">
        <x:v>1.793487126956467</x:v>
      </x:c>
      <x:c r="AL212" s="6" t="str">
        <x:v>1.134768295445753</x:v>
      </x:c>
      <x:c r="AM212" s="6" t="str">
        <x:v>1.8408768855315656</x:v>
      </x:c>
      <x:c r="AN212" s="6" t="str">
        <x:v>1.5897107693112629</x:v>
      </x:c>
      <x:c r="AO212" s="6" t="str">
        <x:v>1.306665620454481</x:v>
      </x:c>
      <x:c r="AP212" s="8" t="str">
        <x:v>0.7887938988440746</x:v>
      </x:c>
      <x:c r="AQ212" s="6" t="str">
        <x:v>0.1422557827124042</x:v>
      </x:c>
      <x:c r="AR212" s="6" t="str">
        <x:v>-1.450014526387894</x:v>
      </x:c>
      <x:c r="AS212" s="6" t="str">
        <x:v>-0.1729882816104703</x:v>
      </x:c>
      <x:c r="AT212" s="6" t="str">
        <x:v>-9.105098922286402</x:v>
      </x:c>
      <x:c r="AU212" s="8" t="str">
        <x:v>-0.144079315054164</x:v>
      </x:c>
      <x:c r="AV212" s="6" t="str">
        <x:v>0.4194709259702074</x:v>
      </x:c>
      <x:c r="AW212" s="6" t="str">
        <x:v>-0.5359117637563375</x:v>
      </x:c>
      <x:c r="AX212" s="6" t="str">
        <x:v>-0.086840050946765</x:v>
      </x:c>
      <x:c r="AY212" s="6" t="str">
        <x:v>0</x:v>
      </x:c>
      <x:c r="AZ212" s="6" t="str">
        <x:v>1</x:v>
      </x:c>
      <x:c r="BA212" s="9" t="str">
        <x:v>grid_cells_within_BIG_polygon</x:v>
      </x:c>
      <x:c r="BB212" s="6" t="str">
        <x:v>5</x:v>
      </x:c>
      <x:c r="BC212" s="6" t="str">
        <x:v>2</x:v>
      </x:c>
      <x:c r="BD212" s="6" t="str">
        <x:v>2</x:v>
      </x:c>
      <x:c r="BE212" s="6" t="str">
        <x:v>0</x:v>
      </x:c>
      <x:c r="BF212" s="6" t="str">
        <x:v>1</x:v>
      </x:c>
      <x:c r="BG212" s="6" t="str">
        <x:v>0</x:v>
      </x:c>
      <x:c r="BH212" s="6" t="str">
        <x:v>0</x:v>
      </x:c>
      <x:c r="BI212" s="6" t="str">
        <x:v>1</x:v>
      </x:c>
      <x:c r="BJ212" s="6" t="str">
        <x:v>0</x:v>
      </x:c>
      <x:c r="BK212" s="6" t="str">
        <x:v>0</x:v>
      </x:c>
      <x:c r="BL212" s="6" t="str">
        <x:v>0</x:v>
      </x:c>
      <x:c r="BM212" s="6" t="str">
        <x:v>0</x:v>
      </x:c>
      <x:c r="BN212" s="6" t="str">
        <x:v>2</x:v>
      </x:c>
      <x:c r="BO212" s="6" t="str">
        <x:v>3.0</x:v>
      </x:c>
      <x:c r="BP212" s="6" t="str">
        <x:v>1</x:v>
      </x:c>
      <x:c r="BQ212" s="6" t="str"/>
      <x:c r="BR212" s="6" t="str">
        <x:v>0</x:v>
      </x:c>
      <x:c r="BS212" s="6" t="str">
        <x:v>0.0</x:v>
      </x:c>
      <x:c r="BT212" s="6" t="str">
        <x:v>2</x:v>
      </x:c>
      <x:c r="BU212" s="6" t="str"/>
      <x:c r="BV212" s="6" t="str">
        <x:v>0</x:v>
      </x:c>
      <x:c r="BW212" s="9" t="str">
        <x:v>operational_snapshot_annual_totals_may_differ</x:v>
      </x:c>
      <x:c r="BX212" s="9" t="str">
        <x:v>official_live_dashboard_snapshot_subject_to_revision</x:v>
      </x:c>
      <x:c r="BY212" s="9" t="str">
        <x:v>https://tbdashboard.sitb.id/ss_data_tbc03so_2025_provinsi_bulanan_list.php</x:v>
      </x:c>
      <x:c r="BZ212" s="6" t="n">
        <x:v>46246.610671296294</x:v>
      </x:c>
    </x:row>
    <x:row r="213" ht="18" customHeight="1">
      <x:c r="A213" s="6" t="str">
        <x:v>19</x:v>
      </x:c>
      <x:c r="B213" s="6" t="str">
        <x:v>KEP. BANGKA BELITUNG</x:v>
      </x:c>
      <x:c r="C213" s="6" t="str">
        <x:v>2025</x:v>
      </x:c>
      <x:c r="D213" s="6" t="str">
        <x:v>8</x:v>
      </x:c>
      <x:c r="E213" s="6" t="str">
        <x:v>2025-08</x:v>
      </x:c>
      <x:c r="F213" s="6" t="str">
        <x:v>224</x:v>
      </x:c>
      <x:c r="G213" s="6" t="str">
        <x:v>53</x:v>
      </x:c>
      <x:c r="H213" s="6" t="str">
        <x:v>102</x:v>
      </x:c>
      <x:c r="I213" s="6" t="str">
        <x:v>11</x:v>
      </x:c>
      <x:c r="J213" s="6" t="str">
        <x:v>21</x:v>
      </x:c>
      <x:c r="K213" s="6" t="str">
        <x:v>0</x:v>
      </x:c>
      <x:c r="L213" s="6" t="str">
        <x:v>0</x:v>
      </x:c>
      <x:c r="M213" s="6" t="str">
        <x:v>37</x:v>
      </x:c>
      <x:c r="N213" s="6" t="str">
        <x:v>224</x:v>
      </x:c>
      <x:c r="O213" s="6" t="str">
        <x:v>0</x:v>
      </x:c>
      <x:c r="P213" s="10" t="n">
        <x:f>F213-M213</x:f>
        <x:v>187</x:v>
      </x:c>
      <x:c r="Q213" s="11" t="n">
        <x:f>IFERROR(M213/F213,"")</x:f>
        <x:v>0.16517857142857142</x:v>
      </x:c>
      <x:c r="R213" s="10" t="n">
        <x:f>G213+H213</x:f>
        <x:v>155</x:v>
      </x:c>
      <x:c r="S213" s="11" t="n">
        <x:f>IFERROR(R213/F213,"")</x:f>
        <x:v>0.6919642857142857</x:v>
      </x:c>
      <x:c r="T213" s="11" t="n">
        <x:f>IFERROR(R213/P213,"")</x:f>
        <x:v>0.8288770053475936</x:v>
      </x:c>
      <x:c r="U213" s="10" t="n">
        <x:f>I213+J213+K213</x:f>
        <x:v>32</x:v>
      </x:c>
      <x:c r="V213" s="11" t="n">
        <x:f>IFERROR(U213/P213,"")</x:f>
        <x:v>0.1711229946524064</x:v>
      </x:c>
      <x:c r="W213" s="9" t="str">
        <x:v>provisional_gt_5pct_pending</x:v>
      </x:c>
      <x:c r="X213" s="12" t="n">
        <x:f>IFERROR(F213/Z213*100000,"")</x:f>
        <x:v>14.444157854010832</x:v>
      </x:c>
      <x:c r="Y213" s="13" t="n">
        <x:f>LN(Z213)</x:f>
        <x:v>14.254281484778911</x:v>
      </x:c>
      <x:c r="Z213" s="6" t="str">
        <x:v>1550800</x:v>
      </x:c>
      <x:c r="AA213" s="6" t="str">
        <x:v>93.0</x:v>
      </x:c>
      <x:c r="AB213" s="9" t="str">
        <x:v>2025-06-30</x:v>
      </x:c>
      <x:c r="AC213" s="8" t="str">
        <x:v>96.45</x:v>
      </x:c>
      <x:c r="AD213" s="9" t="str">
        <x:v>2025 (Susenas)</x:v>
      </x:c>
      <x:c r="AE213" s="8" t="str">
        <x:v>5.0</x:v>
      </x:c>
      <x:c r="AF213" s="9" t="str">
        <x:v>Maret 2025 (Susenas)</x:v>
      </x:c>
      <x:c r="AG213" s="6" t="str">
        <x:v>27.74194175684068</x:v>
      </x:c>
      <x:c r="AH213" s="8" t="str">
        <x:v>80.90237846748111</x:v>
      </x:c>
      <x:c r="AI213" s="6" t="str">
        <x:v>185.5620931888261</x:v>
      </x:c>
      <x:c r="AJ213" s="6" t="str">
        <x:v>0.284391976188445</x:v>
      </x:c>
      <x:c r="AK213" s="8" t="str">
        <x:v>1.1664239281167568</x:v>
      </x:c>
      <x:c r="AL213" s="6" t="str">
        <x:v>1.793487126956467</x:v>
      </x:c>
      <x:c r="AM213" s="6" t="str">
        <x:v>1.134768295445753</x:v>
      </x:c>
      <x:c r="AN213" s="6" t="str">
        <x:v>1.3648931168396594</x:v>
      </x:c>
      <x:c r="AO213" s="6" t="str">
        <x:v>1.4099645263489435</x:v>
      </x:c>
      <x:c r="AP213" s="8" t="str">
        <x:v>0.7111737724949284</x:v>
      </x:c>
      <x:c r="AQ213" s="6" t="str">
        <x:v>0.7887938988440746</x:v>
      </x:c>
      <x:c r="AR213" s="6" t="str">
        <x:v>0.1422557827124042</x:v>
      </x:c>
      <x:c r="AS213" s="6" t="str">
        <x:v>0.547407818017137</x:v>
      </x:c>
      <x:c r="AT213" s="6" t="str">
        <x:v>101.2042652326153</x:v>
      </x:c>
      <x:c r="AU213" s="8" t="str">
        <x:v>1.4481516894047817</x:v>
      </x:c>
      <x:c r="AV213" s="6" t="str">
        <x:v>-0.144079315054164</x:v>
      </x:c>
      <x:c r="AW213" s="6" t="str">
        <x:v>0.4194709259702074</x:v>
      </x:c>
      <x:c r="AX213" s="6" t="str">
        <x:v>0.5745144334402748</x:v>
      </x:c>
      <x:c r="AY213" s="6" t="str">
        <x:v>1</x:v>
      </x:c>
      <x:c r="AZ213" s="6" t="str">
        <x:v>1</x:v>
      </x:c>
      <x:c r="BA213" s="9" t="str">
        <x:v>grid_cells_within_BIG_polygon</x:v>
      </x:c>
      <x:c r="BB213" s="6" t="str">
        <x:v>5</x:v>
      </x:c>
      <x:c r="BC213" s="6" t="str">
        <x:v>0</x:v>
      </x:c>
      <x:c r="BD213" s="6" t="str">
        <x:v>0</x:v>
      </x:c>
      <x:c r="BE213" s="6" t="str">
        <x:v>0</x:v>
      </x:c>
      <x:c r="BF213" s="6" t="str">
        <x:v>0</x:v>
      </x:c>
      <x:c r="BG213" s="6" t="str">
        <x:v>0</x:v>
      </x:c>
      <x:c r="BH213" s="6" t="str">
        <x:v>0</x:v>
      </x:c>
      <x:c r="BI213" s="6" t="str">
        <x:v>0</x:v>
      </x:c>
      <x:c r="BJ213" s="6" t="str">
        <x:v>0</x:v>
      </x:c>
      <x:c r="BK213" s="6" t="str">
        <x:v>0</x:v>
      </x:c>
      <x:c r="BL213" s="6" t="str">
        <x:v>0</x:v>
      </x:c>
      <x:c r="BM213" s="6" t="str">
        <x:v>0</x:v>
      </x:c>
      <x:c r="BN213" s="6" t="str">
        <x:v>0</x:v>
      </x:c>
      <x:c r="BO213" s="6" t="str"/>
      <x:c r="BP213" s="6" t="str">
        <x:v>0</x:v>
      </x:c>
      <x:c r="BQ213" s="6" t="str"/>
      <x:c r="BR213" s="6" t="str">
        <x:v>0</x:v>
      </x:c>
      <x:c r="BS213" s="6" t="str"/>
      <x:c r="BT213" s="6" t="str">
        <x:v>0</x:v>
      </x:c>
      <x:c r="BU213" s="6" t="str"/>
      <x:c r="BV213" s="6" t="str">
        <x:v>0</x:v>
      </x:c>
      <x:c r="BW213" s="9" t="str">
        <x:v>operational_snapshot_annual_totals_may_differ</x:v>
      </x:c>
      <x:c r="BX213" s="9" t="str">
        <x:v>official_live_dashboard_snapshot_subject_to_revision</x:v>
      </x:c>
      <x:c r="BY213" s="9" t="str">
        <x:v>https://tbdashboard.sitb.id/ss_data_tbc03so_2025_provinsi_bulanan_list.php</x:v>
      </x:c>
      <x:c r="BZ213" s="6" t="n">
        <x:v>46246.610671296294</x:v>
      </x:c>
    </x:row>
    <x:row r="214" ht="18" customHeight="1">
      <x:c r="A214" s="6" t="str">
        <x:v>19</x:v>
      </x:c>
      <x:c r="B214" s="6" t="str">
        <x:v>KEP. BANGKA BELITUNG</x:v>
      </x:c>
      <x:c r="C214" s="6" t="str">
        <x:v>2025</x:v>
      </x:c>
      <x:c r="D214" s="6" t="str">
        <x:v>9</x:v>
      </x:c>
      <x:c r="E214" s="6" t="str">
        <x:v>2025-09</x:v>
      </x:c>
      <x:c r="F214" s="6" t="str">
        <x:v>245</x:v>
      </x:c>
      <x:c r="G214" s="6" t="str">
        <x:v>79</x:v>
      </x:c>
      <x:c r="H214" s="6" t="str">
        <x:v>107</x:v>
      </x:c>
      <x:c r="I214" s="6" t="str">
        <x:v>6</x:v>
      </x:c>
      <x:c r="J214" s="6" t="str">
        <x:v>12</x:v>
      </x:c>
      <x:c r="K214" s="6" t="str">
        <x:v>0</x:v>
      </x:c>
      <x:c r="L214" s="6" t="str">
        <x:v>0</x:v>
      </x:c>
      <x:c r="M214" s="6" t="str">
        <x:v>41</x:v>
      </x:c>
      <x:c r="N214" s="6" t="str">
        <x:v>245</x:v>
      </x:c>
      <x:c r="O214" s="6" t="str">
        <x:v>0</x:v>
      </x:c>
      <x:c r="P214" s="10" t="n">
        <x:f>F214-M214</x:f>
        <x:v>204</x:v>
      </x:c>
      <x:c r="Q214" s="11" t="n">
        <x:f>IFERROR(M214/F214,"")</x:f>
        <x:v>0.1673469387755102</x:v>
      </x:c>
      <x:c r="R214" s="10" t="n">
        <x:f>G214+H214</x:f>
        <x:v>186</x:v>
      </x:c>
      <x:c r="S214" s="11" t="n">
        <x:f>IFERROR(R214/F214,"")</x:f>
        <x:v>0.7591836734693878</x:v>
      </x:c>
      <x:c r="T214" s="11" t="n">
        <x:f>IFERROR(R214/P214,"")</x:f>
        <x:v>0.9117647058823529</x:v>
      </x:c>
      <x:c r="U214" s="10" t="n">
        <x:f>I214+J214+K214</x:f>
        <x:v>18</x:v>
      </x:c>
      <x:c r="V214" s="11" t="n">
        <x:f>IFERROR(U214/P214,"")</x:f>
        <x:v>0.08823529411764706</x:v>
      </x:c>
      <x:c r="W214" s="9" t="str">
        <x:v>provisional_gt_5pct_pending</x:v>
      </x:c>
      <x:c r="X214" s="12" t="n">
        <x:f>IFERROR(F214/Z214*100000,"")</x:f>
        <x:v>15.798297652824347</x:v>
      </x:c>
      <x:c r="Y214" s="13" t="n">
        <x:f>LN(Z214)</x:f>
        <x:v>14.254281484778911</x:v>
      </x:c>
      <x:c r="Z214" s="6" t="str">
        <x:v>1550800</x:v>
      </x:c>
      <x:c r="AA214" s="6" t="str">
        <x:v>93.0</x:v>
      </x:c>
      <x:c r="AB214" s="9" t="str">
        <x:v>2025-06-30</x:v>
      </x:c>
      <x:c r="AC214" s="8" t="str">
        <x:v>96.45</x:v>
      </x:c>
      <x:c r="AD214" s="9" t="str">
        <x:v>2025 (Susenas)</x:v>
      </x:c>
      <x:c r="AE214" s="8" t="str">
        <x:v>5.0</x:v>
      </x:c>
      <x:c r="AF214" s="9" t="str">
        <x:v>Maret 2025 (Susenas)</x:v>
      </x:c>
      <x:c r="AG214" s="6" t="str">
        <x:v>27.7859335715341</x:v>
      </x:c>
      <x:c r="AH214" s="8" t="str">
        <x:v>82.11227748240914</x:v>
      </x:c>
      <x:c r="AI214" s="6" t="str">
        <x:v>211.84855594235324</x:v>
      </x:c>
      <x:c r="AJ214" s="6" t="str">
        <x:v>0.1087729706105697</x:v>
      </x:c>
      <x:c r="AK214" s="8" t="str">
        <x:v>0.454247516060863</x:v>
      </x:c>
      <x:c r="AL214" s="6" t="str">
        <x:v>1.1664239281167568</x:v>
      </x:c>
      <x:c r="AM214" s="6" t="str">
        <x:v>1.793487126956467</x:v>
      </x:c>
      <x:c r="AN214" s="6" t="str">
        <x:v>1.1380528570446964</x:v>
      </x:c>
      <x:c r="AO214" s="6" t="str">
        <x:v>3.7777863334455617</x:v>
      </x:c>
      <x:c r="AP214" s="8" t="str">
        <x:v>1.6898109264530212</x:v>
      </x:c>
      <x:c r="AQ214" s="6" t="str">
        <x:v>0.7111737724949284</x:v>
      </x:c>
      <x:c r="AR214" s="6" t="str">
        <x:v>0.7887938988440746</x:v>
      </x:c>
      <x:c r="AS214" s="6" t="str">
        <x:v>1.0632595325973428</x:v>
      </x:c>
      <x:c r="AT214" s="6" t="str">
        <x:v>115.93739552042356</x:v>
      </x:c>
      <x:c r="AU214" s="8" t="str">
        <x:v>1.5229658430024269</x:v>
      </x:c>
      <x:c r="AV214" s="6" t="str">
        <x:v>1.4481516894047817</x:v>
      </x:c>
      <x:c r="AW214" s="6" t="str">
        <x:v>-0.144079315054164</x:v>
      </x:c>
      <x:c r="AX214" s="6" t="str">
        <x:v>0.9423460724510144</x:v>
      </x:c>
      <x:c r="AY214" s="6" t="str">
        <x:v>1</x:v>
      </x:c>
      <x:c r="AZ214" s="6" t="str">
        <x:v>0</x:v>
      </x:c>
      <x:c r="BA214" s="9" t="str">
        <x:v>grid_cells_within_BIG_polygon</x:v>
      </x:c>
      <x:c r="BB214" s="6" t="str">
        <x:v>5</x:v>
      </x:c>
      <x:c r="BC214" s="6" t="str">
        <x:v>0</x:v>
      </x:c>
      <x:c r="BD214" s="6" t="str">
        <x:v>0</x:v>
      </x:c>
      <x:c r="BE214" s="6" t="str">
        <x:v>0</x:v>
      </x:c>
      <x:c r="BF214" s="6" t="str">
        <x:v>0</x:v>
      </x:c>
      <x:c r="BG214" s="6" t="str">
        <x:v>0</x:v>
      </x:c>
      <x:c r="BH214" s="6" t="str">
        <x:v>0</x:v>
      </x:c>
      <x:c r="BI214" s="6" t="str">
        <x:v>0</x:v>
      </x:c>
      <x:c r="BJ214" s="6" t="str">
        <x:v>0</x:v>
      </x:c>
      <x:c r="BK214" s="6" t="str">
        <x:v>0</x:v>
      </x:c>
      <x:c r="BL214" s="6" t="str">
        <x:v>0</x:v>
      </x:c>
      <x:c r="BM214" s="6" t="str">
        <x:v>0</x:v>
      </x:c>
      <x:c r="BN214" s="6" t="str">
        <x:v>0</x:v>
      </x:c>
      <x:c r="BO214" s="6" t="str"/>
      <x:c r="BP214" s="6" t="str">
        <x:v>0</x:v>
      </x:c>
      <x:c r="BQ214" s="6" t="str"/>
      <x:c r="BR214" s="6" t="str">
        <x:v>0</x:v>
      </x:c>
      <x:c r="BS214" s="6" t="str"/>
      <x:c r="BT214" s="6" t="str">
        <x:v>0</x:v>
      </x:c>
      <x:c r="BU214" s="6" t="str"/>
      <x:c r="BV214" s="6" t="str">
        <x:v>0</x:v>
      </x:c>
      <x:c r="BW214" s="9" t="str">
        <x:v>operational_snapshot_annual_totals_may_differ</x:v>
      </x:c>
      <x:c r="BX214" s="9" t="str">
        <x:v>official_live_dashboard_snapshot_subject_to_revision</x:v>
      </x:c>
      <x:c r="BY214" s="9" t="str">
        <x:v>https://tbdashboard.sitb.id/ss_data_tbc03so_2025_provinsi_bulanan_list.php</x:v>
      </x:c>
      <x:c r="BZ214" s="6" t="n">
        <x:v>46246.610671296294</x:v>
      </x:c>
    </x:row>
    <x:row r="215" ht="18" customHeight="1">
      <x:c r="A215" s="6" t="str">
        <x:v>19</x:v>
      </x:c>
      <x:c r="B215" s="6" t="str">
        <x:v>KEP. BANGKA BELITUNG</x:v>
      </x:c>
      <x:c r="C215" s="6" t="str">
        <x:v>2025</x:v>
      </x:c>
      <x:c r="D215" s="6" t="str">
        <x:v>10</x:v>
      </x:c>
      <x:c r="E215" s="6" t="str">
        <x:v>2025-10</x:v>
      </x:c>
      <x:c r="F215" s="6" t="str">
        <x:v>240</x:v>
      </x:c>
      <x:c r="G215" s="6" t="str">
        <x:v>46</x:v>
      </x:c>
      <x:c r="H215" s="6" t="str">
        <x:v>117</x:v>
      </x:c>
      <x:c r="I215" s="6" t="str">
        <x:v>18</x:v>
      </x:c>
      <x:c r="J215" s="6" t="str">
        <x:v>10</x:v>
      </x:c>
      <x:c r="K215" s="6" t="str">
        <x:v>1</x:v>
      </x:c>
      <x:c r="L215" s="6" t="str">
        <x:v>0</x:v>
      </x:c>
      <x:c r="M215" s="6" t="str">
        <x:v>48</x:v>
      </x:c>
      <x:c r="N215" s="6" t="str">
        <x:v>240</x:v>
      </x:c>
      <x:c r="O215" s="6" t="str">
        <x:v>0</x:v>
      </x:c>
      <x:c r="P215" s="10" t="n">
        <x:f>F215-M215</x:f>
        <x:v>192</x:v>
      </x:c>
      <x:c r="Q215" s="11" t="n">
        <x:f>IFERROR(M215/F215,"")</x:f>
        <x:v>0.2</x:v>
      </x:c>
      <x:c r="R215" s="10" t="n">
        <x:f>G215+H215</x:f>
        <x:v>163</x:v>
      </x:c>
      <x:c r="S215" s="11" t="n">
        <x:f>IFERROR(R215/F215,"")</x:f>
        <x:v>0.6791666666666667</x:v>
      </x:c>
      <x:c r="T215" s="11" t="n">
        <x:f>IFERROR(R215/P215,"")</x:f>
        <x:v>0.8489583333333334</x:v>
      </x:c>
      <x:c r="U215" s="10" t="n">
        <x:f>I215+J215+K215</x:f>
        <x:v>29</x:v>
      </x:c>
      <x:c r="V215" s="11" t="n">
        <x:f>IFERROR(U215/P215,"")</x:f>
        <x:v>0.15104166666666666</x:v>
      </x:c>
      <x:c r="W215" s="9" t="str">
        <x:v>provisional_gt_5pct_pending</x:v>
      </x:c>
      <x:c r="X215" s="12" t="n">
        <x:f>IFERROR(F215/Z215*100000,"")</x:f>
        <x:v>15.475883415011607</x:v>
      </x:c>
      <x:c r="Y215" s="13" t="n">
        <x:f>LN(Z215)</x:f>
        <x:v>14.254281484778911</x:v>
      </x:c>
      <x:c r="Z215" s="6" t="str">
        <x:v>1550800</x:v>
      </x:c>
      <x:c r="AA215" s="6" t="str">
        <x:v>93.0</x:v>
      </x:c>
      <x:c r="AB215" s="9" t="str">
        <x:v>2025-06-30</x:v>
      </x:c>
      <x:c r="AC215" s="8" t="str">
        <x:v>96.45</x:v>
      </x:c>
      <x:c r="AD215" s="9" t="str">
        <x:v>2025 (Susenas)</x:v>
      </x:c>
      <x:c r="AE215" s="8" t="str">
        <x:v>5.0</x:v>
      </x:c>
      <x:c r="AF215" s="9" t="str">
        <x:v>Maret 2025 (Susenas)</x:v>
      </x:c>
      <x:c r="AG215" s="6" t="str">
        <x:v>28.12393320573709</x:v>
      </x:c>
      <x:c r="AH215" s="8" t="str">
        <x:v>80.44621564048995</x:v>
      </x:c>
      <x:c r="AI215" s="6" t="str">
        <x:v>231.49625574661465</x:v>
      </x:c>
      <x:c r="AJ215" s="6" t="str">
        <x:v>0.2474969443695762</x:v>
      </x:c>
      <x:c r="AK215" s="8" t="str">
        <x:v>0.6592273541000297</x:v>
      </x:c>
      <x:c r="AL215" s="6" t="str">
        <x:v>0.454247516060863</x:v>
      </x:c>
      <x:c r="AM215" s="6" t="str">
        <x:v>1.1664239281167568</x:v>
      </x:c>
      <x:c r="AN215" s="6" t="str">
        <x:v>0.7599662660925505</x:v>
      </x:c>
      <x:c r="AO215" s="6" t="str">
        <x:v>2.3307388040297496</x:v>
      </x:c>
      <x:c r="AP215" s="8" t="str">
        <x:v>0.6851524983764814</x:v>
      </x:c>
      <x:c r="AQ215" s="6" t="str">
        <x:v>1.6898109264530212</x:v>
      </x:c>
      <x:c r="AR215" s="6" t="str">
        <x:v>0.7111737724949284</x:v>
      </x:c>
      <x:c r="AS215" s="6" t="str">
        <x:v>1.028712399108145</x:v>
      </x:c>
      <x:c r="AT215" s="6" t="str">
        <x:v>45.6965527272537</x:v>
      </x:c>
      <x:c r="AU215" s="8" t="str">
        <x:v>0.466063739998156</x:v>
      </x:c>
      <x:c r="AV215" s="6" t="str">
        <x:v>1.5229658430024269</x:v>
      </x:c>
      <x:c r="AW215" s="6" t="str">
        <x:v>1.4481516894047817</x:v>
      </x:c>
      <x:c r="AX215" s="6" t="str">
        <x:v>1.145727090801788</x:v>
      </x:c>
      <x:c r="AY215" s="6" t="str">
        <x:v>0</x:v>
      </x:c>
      <x:c r="AZ215" s="6" t="str">
        <x:v>0</x:v>
      </x:c>
      <x:c r="BA215" s="9" t="str">
        <x:v>grid_cells_within_BIG_polygon</x:v>
      </x:c>
      <x:c r="BB215" s="6" t="str">
        <x:v>5</x:v>
      </x:c>
      <x:c r="BC215" s="6" t="str">
        <x:v>0</x:v>
      </x:c>
      <x:c r="BD215" s="6" t="str">
        <x:v>0</x:v>
      </x:c>
      <x:c r="BE215" s="6" t="str">
        <x:v>0</x:v>
      </x:c>
      <x:c r="BF215" s="6" t="str">
        <x:v>0</x:v>
      </x:c>
      <x:c r="BG215" s="6" t="str">
        <x:v>0</x:v>
      </x:c>
      <x:c r="BH215" s="6" t="str">
        <x:v>0</x:v>
      </x:c>
      <x:c r="BI215" s="6" t="str">
        <x:v>0</x:v>
      </x:c>
      <x:c r="BJ215" s="6" t="str">
        <x:v>0</x:v>
      </x:c>
      <x:c r="BK215" s="6" t="str">
        <x:v>0</x:v>
      </x:c>
      <x:c r="BL215" s="6" t="str">
        <x:v>0</x:v>
      </x:c>
      <x:c r="BM215" s="6" t="str">
        <x:v>0</x:v>
      </x:c>
      <x:c r="BN215" s="6" t="str">
        <x:v>0</x:v>
      </x:c>
      <x:c r="BO215" s="6" t="str"/>
      <x:c r="BP215" s="6" t="str">
        <x:v>0</x:v>
      </x:c>
      <x:c r="BQ215" s="6" t="str"/>
      <x:c r="BR215" s="6" t="str">
        <x:v>0</x:v>
      </x:c>
      <x:c r="BS215" s="6" t="str"/>
      <x:c r="BT215" s="6" t="str">
        <x:v>0</x:v>
      </x:c>
      <x:c r="BU215" s="6" t="str"/>
      <x:c r="BV215" s="6" t="str">
        <x:v>0</x:v>
      </x:c>
      <x:c r="BW215" s="9" t="str">
        <x:v>operational_snapshot_annual_totals_may_differ</x:v>
      </x:c>
      <x:c r="BX215" s="9" t="str">
        <x:v>official_live_dashboard_snapshot_subject_to_revision</x:v>
      </x:c>
      <x:c r="BY215" s="9" t="str">
        <x:v>https://tbdashboard.sitb.id/ss_data_tbc03so_2025_provinsi_bulanan_list.php</x:v>
      </x:c>
      <x:c r="BZ215" s="6" t="n">
        <x:v>46246.610671296294</x:v>
      </x:c>
    </x:row>
    <x:row r="216" ht="18" customHeight="1">
      <x:c r="A216" s="6" t="str">
        <x:v>19</x:v>
      </x:c>
      <x:c r="B216" s="6" t="str">
        <x:v>KEP. BANGKA BELITUNG</x:v>
      </x:c>
      <x:c r="C216" s="6" t="str">
        <x:v>2025</x:v>
      </x:c>
      <x:c r="D216" s="6" t="str">
        <x:v>11</x:v>
      </x:c>
      <x:c r="E216" s="6" t="str">
        <x:v>2025-11</x:v>
      </x:c>
      <x:c r="F216" s="6" t="str">
        <x:v>242</x:v>
      </x:c>
      <x:c r="G216" s="6" t="str">
        <x:v>35</x:v>
      </x:c>
      <x:c r="H216" s="6" t="str">
        <x:v>107</x:v>
      </x:c>
      <x:c r="I216" s="6" t="str">
        <x:v>12</x:v>
      </x:c>
      <x:c r="J216" s="6" t="str">
        <x:v>21</x:v>
      </x:c>
      <x:c r="K216" s="6" t="str">
        <x:v>0</x:v>
      </x:c>
      <x:c r="L216" s="6" t="str">
        <x:v>0</x:v>
      </x:c>
      <x:c r="M216" s="6" t="str">
        <x:v>67</x:v>
      </x:c>
      <x:c r="N216" s="6" t="str">
        <x:v>242</x:v>
      </x:c>
      <x:c r="O216" s="6" t="str">
        <x:v>0</x:v>
      </x:c>
      <x:c r="P216" s="10" t="n">
        <x:f>F216-M216</x:f>
        <x:v>175</x:v>
      </x:c>
      <x:c r="Q216" s="11" t="n">
        <x:f>IFERROR(M216/F216,"")</x:f>
        <x:v>0.2768595041322314</x:v>
      </x:c>
      <x:c r="R216" s="10" t="n">
        <x:f>G216+H216</x:f>
        <x:v>142</x:v>
      </x:c>
      <x:c r="S216" s="11" t="n">
        <x:f>IFERROR(R216/F216,"")</x:f>
        <x:v>0.5867768595041323</x:v>
      </x:c>
      <x:c r="T216" s="11" t="n">
        <x:f>IFERROR(R216/P216,"")</x:f>
        <x:v>0.8114285714285714</x:v>
      </x:c>
      <x:c r="U216" s="10" t="n">
        <x:f>I216+J216+K216</x:f>
        <x:v>33</x:v>
      </x:c>
      <x:c r="V216" s="11" t="n">
        <x:f>IFERROR(U216/P216,"")</x:f>
        <x:v>0.18857142857142858</x:v>
      </x:c>
      <x:c r="W216" s="9" t="str">
        <x:v>provisional_gt_5pct_pending</x:v>
      </x:c>
      <x:c r="X216" s="12" t="n">
        <x:f>IFERROR(F216/Z216*100000,"")</x:f>
        <x:v>15.604849110136703</x:v>
      </x:c>
      <x:c r="Y216" s="13" t="n">
        <x:f>LN(Z216)</x:f>
        <x:v>14.254281484778911</x:v>
      </x:c>
      <x:c r="Z216" s="6" t="str">
        <x:v>1550800</x:v>
      </x:c>
      <x:c r="AA216" s="6" t="str">
        <x:v>93.0</x:v>
      </x:c>
      <x:c r="AB216" s="9" t="str">
        <x:v>2025-06-30</x:v>
      </x:c>
      <x:c r="AC216" s="8" t="str">
        <x:v>96.45</x:v>
      </x:c>
      <x:c r="AD216" s="9" t="str">
        <x:v>2025 (Susenas)</x:v>
      </x:c>
      <x:c r="AE216" s="8" t="str">
        <x:v>5.0</x:v>
      </x:c>
      <x:c r="AF216" s="9" t="str">
        <x:v>Maret 2025 (Susenas)</x:v>
      </x:c>
      <x:c r="AG216" s="6" t="str">
        <x:v>27.843932215076784</x:v>
      </x:c>
      <x:c r="AH216" s="8" t="str">
        <x:v>81.28226764957932</x:v>
      </x:c>
      <x:c r="AI216" s="6" t="str">
        <x:v>322.19448283665474</x:v>
      </x:c>
      <x:c r="AJ216" s="6" t="str">
        <x:v>0.1343209435329733</x:v>
      </x:c>
      <x:c r="AK216" s="8" t="str">
        <x:v>0.2964647216032846</x:v>
      </x:c>
      <x:c r="AL216" s="6" t="str">
        <x:v>0.6592273541000297</x:v>
      </x:c>
      <x:c r="AM216" s="6" t="str">
        <x:v>0.454247516060863</x:v>
      </x:c>
      <x:c r="AN216" s="6" t="str">
        <x:v>0.469979863921393</x:v>
      </x:c>
      <x:c r="AO216" s="6" t="str">
        <x:v>1.075107997664631</x:v>
      </x:c>
      <x:c r="AP216" s="8" t="str">
        <x:v>0.3823358749752732</x:v>
      </x:c>
      <x:c r="AQ216" s="6" t="str">
        <x:v>0.6851524983764814</x:v>
      </x:c>
      <x:c r="AR216" s="6" t="str">
        <x:v>1.6898109264530212</x:v>
      </x:c>
      <x:c r="AS216" s="6" t="str">
        <x:v>0.9190997666015932</x:v>
      </x:c>
      <x:c r="AT216" s="6" t="str">
        <x:v>48.13849635696471</x:v>
      </x:c>
      <x:c r="AU216" s="8" t="str">
        <x:v>0.8851611112826447</x:v>
      </x:c>
      <x:c r="AV216" s="6" t="str">
        <x:v>0.466063739998156</x:v>
      </x:c>
      <x:c r="AW216" s="6" t="str">
        <x:v>1.5229658430024269</x:v>
      </x:c>
      <x:c r="AX216" s="6" t="str">
        <x:v>0.9580635647610756</x:v>
      </x:c>
      <x:c r="AY216" s="6" t="str">
        <x:v>0</x:v>
      </x:c>
      <x:c r="AZ216" s="6" t="str">
        <x:v>0</x:v>
      </x:c>
      <x:c r="BA216" s="9" t="str">
        <x:v>grid_cells_within_BIG_polygon</x:v>
      </x:c>
      <x:c r="BB216" s="6" t="str">
        <x:v>5</x:v>
      </x:c>
      <x:c r="BC216" s="6" t="str">
        <x:v>0</x:v>
      </x:c>
      <x:c r="BD216" s="6" t="str">
        <x:v>0</x:v>
      </x:c>
      <x:c r="BE216" s="6" t="str">
        <x:v>0</x:v>
      </x:c>
      <x:c r="BF216" s="6" t="str">
        <x:v>0</x:v>
      </x:c>
      <x:c r="BG216" s="6" t="str">
        <x:v>0</x:v>
      </x:c>
      <x:c r="BH216" s="6" t="str">
        <x:v>0</x:v>
      </x:c>
      <x:c r="BI216" s="6" t="str">
        <x:v>0</x:v>
      </x:c>
      <x:c r="BJ216" s="6" t="str">
        <x:v>0</x:v>
      </x:c>
      <x:c r="BK216" s="6" t="str">
        <x:v>0</x:v>
      </x:c>
      <x:c r="BL216" s="6" t="str">
        <x:v>0</x:v>
      </x:c>
      <x:c r="BM216" s="6" t="str">
        <x:v>0</x:v>
      </x:c>
      <x:c r="BN216" s="6" t="str">
        <x:v>0</x:v>
      </x:c>
      <x:c r="BO216" s="6" t="str"/>
      <x:c r="BP216" s="6" t="str">
        <x:v>0</x:v>
      </x:c>
      <x:c r="BQ216" s="6" t="str"/>
      <x:c r="BR216" s="6" t="str">
        <x:v>0</x:v>
      </x:c>
      <x:c r="BS216" s="6" t="str"/>
      <x:c r="BT216" s="6" t="str">
        <x:v>0</x:v>
      </x:c>
      <x:c r="BU216" s="6" t="str"/>
      <x:c r="BV216" s="6" t="str">
        <x:v>0</x:v>
      </x:c>
      <x:c r="BW216" s="9" t="str">
        <x:v>operational_snapshot_annual_totals_may_differ</x:v>
      </x:c>
      <x:c r="BX216" s="9" t="str">
        <x:v>official_live_dashboard_snapshot_subject_to_revision</x:v>
      </x:c>
      <x:c r="BY216" s="9" t="str">
        <x:v>https://tbdashboard.sitb.id/ss_data_tbc03so_2025_provinsi_bulanan_list.php</x:v>
      </x:c>
      <x:c r="BZ216" s="6" t="n">
        <x:v>46246.610671296294</x:v>
      </x:c>
    </x:row>
    <x:row r="217" ht="18" customHeight="1">
      <x:c r="A217" s="6" t="str">
        <x:v>19</x:v>
      </x:c>
      <x:c r="B217" s="6" t="str">
        <x:v>KEP. BANGKA BELITUNG</x:v>
      </x:c>
      <x:c r="C217" s="6" t="str">
        <x:v>2025</x:v>
      </x:c>
      <x:c r="D217" s="6" t="str">
        <x:v>12</x:v>
      </x:c>
      <x:c r="E217" s="6" t="str">
        <x:v>2025-12</x:v>
      </x:c>
      <x:c r="F217" s="6" t="str">
        <x:v>306</x:v>
      </x:c>
      <x:c r="G217" s="6" t="str">
        <x:v>66</x:v>
      </x:c>
      <x:c r="H217" s="6" t="str">
        <x:v>105</x:v>
      </x:c>
      <x:c r="I217" s="6" t="str">
        <x:v>11</x:v>
      </x:c>
      <x:c r="J217" s="6" t="str">
        <x:v>18</x:v>
      </x:c>
      <x:c r="K217" s="6" t="str">
        <x:v>1</x:v>
      </x:c>
      <x:c r="L217" s="6" t="str">
        <x:v>1</x:v>
      </x:c>
      <x:c r="M217" s="6" t="str">
        <x:v>104</x:v>
      </x:c>
      <x:c r="N217" s="6" t="str">
        <x:v>306</x:v>
      </x:c>
      <x:c r="O217" s="6" t="str">
        <x:v>0</x:v>
      </x:c>
      <x:c r="P217" s="10" t="n">
        <x:f>F217-M217</x:f>
        <x:v>202</x:v>
      </x:c>
      <x:c r="Q217" s="11" t="n">
        <x:f>IFERROR(M217/F217,"")</x:f>
        <x:v>0.33986928104575165</x:v>
      </x:c>
      <x:c r="R217" s="10" t="n">
        <x:f>G217+H217</x:f>
        <x:v>171</x:v>
      </x:c>
      <x:c r="S217" s="11" t="n">
        <x:f>IFERROR(R217/F217,"")</x:f>
        <x:v>0.5588235294117647</x:v>
      </x:c>
      <x:c r="T217" s="11" t="n">
        <x:f>IFERROR(R217/P217,"")</x:f>
        <x:v>0.8465346534653465</x:v>
      </x:c>
      <x:c r="U217" s="10" t="n">
        <x:f>I217+J217+K217</x:f>
        <x:v>30</x:v>
      </x:c>
      <x:c r="V217" s="11" t="n">
        <x:f>IFERROR(U217/P217,"")</x:f>
        <x:v>0.1485148514851485</x:v>
      </x:c>
      <x:c r="W217" s="9" t="str">
        <x:v>provisional_gt_5pct_pending</x:v>
      </x:c>
      <x:c r="X217" s="12" t="n">
        <x:f>IFERROR(F217/Z217*100000,"")</x:f>
        <x:v>19.7317513541398</x:v>
      </x:c>
      <x:c r="Y217" s="13" t="n">
        <x:f>LN(Z217)</x:f>
        <x:v>14.254281484778911</x:v>
      </x:c>
      <x:c r="Z217" s="6" t="str">
        <x:v>1550800</x:v>
      </x:c>
      <x:c r="AA217" s="6" t="str">
        <x:v>93.0</x:v>
      </x:c>
      <x:c r="AB217" s="9" t="str">
        <x:v>2025-06-30</x:v>
      </x:c>
      <x:c r="AC217" s="8" t="str">
        <x:v>96.45</x:v>
      </x:c>
      <x:c r="AD217" s="9" t="str">
        <x:v>2025 (Susenas)</x:v>
      </x:c>
      <x:c r="AE217" s="8" t="str">
        <x:v>5.0</x:v>
      </x:c>
      <x:c r="AF217" s="9" t="str">
        <x:v>Maret 2025 (Susenas)</x:v>
      </x:c>
      <x:c r="AG217" s="6" t="str">
        <x:v>27.4598955102514</x:v>
      </x:c>
      <x:c r="AH217" s="8" t="str">
        <x:v>85.04241679951976</x:v>
      </x:c>
      <x:c r="AI217" s="6" t="str">
        <x:v>330.0934416692785</x:v>
      </x:c>
      <x:c r="AJ217" s="6" t="str">
        <x:v>0.2695137041568891</x:v>
      </x:c>
      <x:c r="AK217" s="8" t="str">
        <x:v>0.6850617025270542</x:v>
      </x:c>
      <x:c r="AL217" s="6" t="str">
        <x:v>0.2964647216032846</x:v>
      </x:c>
      <x:c r="AM217" s="6" t="str">
        <x:v>0.6592273541000297</x:v>
      </x:c>
      <x:c r="AN217" s="6" t="str">
        <x:v>0.5469179260767901</x:v>
      </x:c>
      <x:c r="AO217" s="6" t="str">
        <x:v>0.8994188352351671</x:v>
      </x:c>
      <x:c r="AP217" s="8" t="str">
        <x:v>0.5030412132724745</x:v>
      </x:c>
      <x:c r="AQ217" s="6" t="str">
        <x:v>0.3823358749752732</x:v>
      </x:c>
      <x:c r="AR217" s="6" t="str">
        <x:v>0.6851524983764814</x:v>
      </x:c>
      <x:c r="AS217" s="6" t="str">
        <x:v>0.5235098622080777</x:v>
      </x:c>
      <x:c r="AT217" s="6" t="str">
        <x:v>8.45056245095185</x:v>
      </x:c>
      <x:c r="AU217" s="8" t="str">
        <x:v>0.1315655259041551</x:v>
      </x:c>
      <x:c r="AV217" s="6" t="str">
        <x:v>0.8851611112826447</x:v>
      </x:c>
      <x:c r="AW217" s="6" t="str">
        <x:v>0.466063739998156</x:v>
      </x:c>
      <x:c r="AX217" s="6" t="str">
        <x:v>0.4942634590616516</x:v>
      </x:c>
      <x:c r="AY217" s="6" t="str">
        <x:v>0</x:v>
      </x:c>
      <x:c r="AZ217" s="6" t="str">
        <x:v>0</x:v>
      </x:c>
      <x:c r="BA217" s="9" t="str">
        <x:v>grid_cells_within_BIG_polygon</x:v>
      </x:c>
      <x:c r="BB217" s="6" t="str">
        <x:v>5</x:v>
      </x:c>
      <x:c r="BC217" s="6" t="str">
        <x:v>3</x:v>
      </x:c>
      <x:c r="BD217" s="6" t="str">
        <x:v>3</x:v>
      </x:c>
      <x:c r="BE217" s="6" t="str">
        <x:v>3</x:v>
      </x:c>
      <x:c r="BF217" s="6" t="str">
        <x:v>0</x:v>
      </x:c>
      <x:c r="BG217" s="6" t="str">
        <x:v>0</x:v>
      </x:c>
      <x:c r="BH217" s="6" t="str">
        <x:v>0</x:v>
      </x:c>
      <x:c r="BI217" s="6" t="str">
        <x:v>0</x:v>
      </x:c>
      <x:c r="BJ217" s="6" t="str">
        <x:v>0</x:v>
      </x:c>
      <x:c r="BK217" s="6" t="str">
        <x:v>0</x:v>
      </x:c>
      <x:c r="BL217" s="6" t="str">
        <x:v>0</x:v>
      </x:c>
      <x:c r="BM217" s="6" t="str">
        <x:v>0</x:v>
      </x:c>
      <x:c r="BN217" s="6" t="str">
        <x:v>3</x:v>
      </x:c>
      <x:c r="BO217" s="6" t="str"/>
      <x:c r="BP217" s="6" t="str">
        <x:v>0</x:v>
      </x:c>
      <x:c r="BQ217" s="6" t="str"/>
      <x:c r="BR217" s="6" t="str">
        <x:v>0</x:v>
      </x:c>
      <x:c r="BS217" s="6" t="str">
        <x:v>0.0</x:v>
      </x:c>
      <x:c r="BT217" s="6" t="str">
        <x:v>3</x:v>
      </x:c>
      <x:c r="BU217" s="6" t="str">
        <x:v>744.0</x:v>
      </x:c>
      <x:c r="BV217" s="6" t="str">
        <x:v>3</x:v>
      </x:c>
      <x:c r="BW217" s="9" t="str">
        <x:v>operational_snapshot_annual_totals_may_differ</x:v>
      </x:c>
      <x:c r="BX217" s="9" t="str">
        <x:v>official_live_dashboard_snapshot_subject_to_revision</x:v>
      </x:c>
      <x:c r="BY217" s="9" t="str">
        <x:v>https://tbdashboard.sitb.id/ss_data_tbc03so_2025_provinsi_bulanan_list.php</x:v>
      </x:c>
      <x:c r="BZ217" s="6" t="n">
        <x:v>46246.610671296294</x:v>
      </x:c>
    </x:row>
    <x:row r="218" ht="18" customHeight="1">
      <x:c r="A218" s="6" t="str">
        <x:v>21</x:v>
      </x:c>
      <x:c r="B218" s="6" t="str">
        <x:v>KEPULAUAN RIAU</x:v>
      </x:c>
      <x:c r="C218" s="6" t="str">
        <x:v>2024</x:v>
      </x:c>
      <x:c r="D218" s="6" t="str">
        <x:v>1</x:v>
      </x:c>
      <x:c r="E218" s="6" t="str">
        <x:v>2024-01</x:v>
      </x:c>
      <x:c r="F218" s="6" t="str">
        <x:v>625</x:v>
      </x:c>
      <x:c r="G218" s="6" t="str">
        <x:v>149</x:v>
      </x:c>
      <x:c r="H218" s="6" t="str">
        <x:v>357</x:v>
      </x:c>
      <x:c r="I218" s="6" t="str">
        <x:v>73</x:v>
      </x:c>
      <x:c r="J218" s="6" t="str">
        <x:v>33</x:v>
      </x:c>
      <x:c r="K218" s="6" t="str">
        <x:v>2</x:v>
      </x:c>
      <x:c r="L218" s="6" t="str">
        <x:v>3</x:v>
      </x:c>
      <x:c r="M218" s="6" t="str">
        <x:v>8</x:v>
      </x:c>
      <x:c r="N218" s="6" t="str">
        <x:v>625</x:v>
      </x:c>
      <x:c r="O218" s="6" t="str">
        <x:v>0</x:v>
      </x:c>
      <x:c r="P218" s="10" t="n">
        <x:f>F218-M218</x:f>
        <x:v>617</x:v>
      </x:c>
      <x:c r="Q218" s="11" t="n">
        <x:f>IFERROR(M218/F218,"")</x:f>
        <x:v>0.0128</x:v>
      </x:c>
      <x:c r="R218" s="10" t="n">
        <x:f>G218+H218</x:f>
        <x:v>506</x:v>
      </x:c>
      <x:c r="S218" s="11" t="n">
        <x:f>IFERROR(R218/F218,"")</x:f>
        <x:v>0.8096</x:v>
      </x:c>
      <x:c r="T218" s="11" t="n">
        <x:f>IFERROR(R218/P218,"")</x:f>
        <x:v>0.820097244732577</x:v>
      </x:c>
      <x:c r="U218" s="10" t="n">
        <x:f>I218+J218+K218</x:f>
        <x:v>108</x:v>
      </x:c>
      <x:c r="V218" s="11" t="n">
        <x:f>IFERROR(U218/P218,"")</x:f>
        <x:v>0.17504051863857376</x:v>
      </x:c>
      <x:c r="W218" s="9" t="str">
        <x:v>mature_le_5pct_pending</x:v>
      </x:c>
      <x:c r="X218" s="12" t="n">
        <x:f>IFERROR(F218/Z218*100000,"")</x:f>
        <x:v>28.62639124261439</x:v>
      </x:c>
      <x:c r="Y218" s="13" t="n">
        <x:f>LN(Z218)</x:f>
        <x:v>14.596348051651209</x:v>
      </x:c>
      <x:c r="Z218" s="6" t="str">
        <x:v>2183300</x:v>
      </x:c>
      <x:c r="AA218" s="6" t="str">
        <x:v>264.0</x:v>
      </x:c>
      <x:c r="AB218" s="9" t="str">
        <x:v>2024-06-30</x:v>
      </x:c>
      <x:c r="AC218" s="8" t="str">
        <x:v>91.23</x:v>
      </x:c>
      <x:c r="AD218" s="9" t="str">
        <x:v>2024 (Susenas)</x:v>
      </x:c>
      <x:c r="AE218" s="8" t="str">
        <x:v>5.37</x:v>
      </x:c>
      <x:c r="AF218" s="9" t="str">
        <x:v>Maret 2024 (Susenas)</x:v>
      </x:c>
      <x:c r="AG218" s="6" t="str">
        <x:v>27.54527009480136</x:v>
      </x:c>
      <x:c r="AH218" s="8" t="str">
        <x:v>87.14773120366857</x:v>
      </x:c>
      <x:c r="AI218" s="6" t="str">
        <x:v>259.3639351758999</x:v>
      </x:c>
      <x:c r="AJ218" s="6" t="str">
        <x:v>0.91365787174756</x:v>
      </x:c>
      <x:c r="AK218" s="8" t="str">
        <x:v>1.6214991542381645</x:v>
      </x:c>
      <x:c r="AL218" s="6" t="str">
        <x:v>2.5886181485930946</x:v>
      </x:c>
      <x:c r="AM218" s="6" t="str">
        <x:v>3.2697290875394853</x:v>
      </x:c>
      <x:c r="AN218" s="6" t="str">
        <x:v>2.493282130123582</x:v>
      </x:c>
      <x:c r="AO218" s="6" t="str">
        <x:v>2.230981642563762</x:v>
      </x:c>
      <x:c r="AP218" s="8" t="str">
        <x:v>1.2360788004348189</x:v>
      </x:c>
      <x:c r="AQ218" s="6" t="str">
        <x:v>-0.2814204287201095</x:v>
      </x:c>
      <x:c r="AR218" s="6" t="str">
        <x:v>-1.5639333106812203</x:v>
      </x:c>
      <x:c r="AS218" s="6" t="str">
        <x:v>-0.2030916463221704</x:v>
      </x:c>
      <x:c r="AT218" s="6" t="str">
        <x:v>87.08681296987402</x:v>
      </x:c>
      <x:c r="AU218" s="8" t="str">
        <x:v>1.308945881973837</x:v>
      </x:c>
      <x:c r="AV218" s="6" t="str">
        <x:v>-0.1378840383910703</x:v>
      </x:c>
      <x:c r="AW218" s="6" t="str">
        <x:v>1.0094013358420773</x:v>
      </x:c>
      <x:c r="AX218" s="6" t="str">
        <x:v>0.7268210598082812</x:v>
      </x:c>
      <x:c r="AY218" s="6" t="str">
        <x:v>1</x:v>
      </x:c>
      <x:c r="AZ218" s="6" t="str">
        <x:v>1</x:v>
      </x:c>
      <x:c r="BA218" s="9" t="str">
        <x:v>grid_cells_within_BIG_polygon</x:v>
      </x:c>
      <x:c r="BB218" s="6" t="str">
        <x:v>2</x:v>
      </x:c>
      <x:c r="BC218" s="6" t="str">
        <x:v>5</x:v>
      </x:c>
      <x:c r="BD218" s="6" t="str">
        <x:v>5</x:v>
      </x:c>
      <x:c r="BE218" s="6" t="str">
        <x:v>1</x:v>
      </x:c>
      <x:c r="BF218" s="6" t="str">
        <x:v>1</x:v>
      </x:c>
      <x:c r="BG218" s="6" t="str">
        <x:v>2</x:v>
      </x:c>
      <x:c r="BH218" s="6" t="str">
        <x:v>0</x:v>
      </x:c>
      <x:c r="BI218" s="6" t="str">
        <x:v>1</x:v>
      </x:c>
      <x:c r="BJ218" s="6" t="str">
        <x:v>0</x:v>
      </x:c>
      <x:c r="BK218" s="6" t="str">
        <x:v>0</x:v>
      </x:c>
      <x:c r="BL218" s="6" t="str">
        <x:v>0</x:v>
      </x:c>
      <x:c r="BM218" s="6" t="str">
        <x:v>0</x:v>
      </x:c>
      <x:c r="BN218" s="6" t="str">
        <x:v>5</x:v>
      </x:c>
      <x:c r="BO218" s="6" t="str">
        <x:v>2.0</x:v>
      </x:c>
      <x:c r="BP218" s="6" t="str">
        <x:v>5</x:v>
      </x:c>
      <x:c r="BQ218" s="6" t="str">
        <x:v>2.0</x:v>
      </x:c>
      <x:c r="BR218" s="6" t="str">
        <x:v>5</x:v>
      </x:c>
      <x:c r="BS218" s="6" t="str">
        <x:v>0.0</x:v>
      </x:c>
      <x:c r="BT218" s="6" t="str">
        <x:v>5</x:v>
      </x:c>
      <x:c r="BU218" s="6" t="str"/>
      <x:c r="BV218" s="6" t="str">
        <x:v>0</x:v>
      </x:c>
      <x:c r="BW218" s="9" t="str">
        <x:v>operational_snapshot_annual_totals_may_differ</x:v>
      </x:c>
      <x:c r="BX218" s="9" t="str">
        <x:v>official_live_dashboard_snapshot_subject_to_revision</x:v>
      </x:c>
      <x:c r="BY218" s="9" t="str">
        <x:v>https://tbdashboard.sitb.id/ss_data_tbc03so_2024_provinsi_bulanan_list.php</x:v>
      </x:c>
      <x:c r="BZ218" s="6" t="n">
        <x:v>46246.610671296294</x:v>
      </x:c>
    </x:row>
    <x:row r="219" ht="18" customHeight="1">
      <x:c r="A219" s="6" t="str">
        <x:v>21</x:v>
      </x:c>
      <x:c r="B219" s="6" t="str">
        <x:v>KEPULAUAN RIAU</x:v>
      </x:c>
      <x:c r="C219" s="6" t="str">
        <x:v>2024</x:v>
      </x:c>
      <x:c r="D219" s="6" t="str">
        <x:v>2</x:v>
      </x:c>
      <x:c r="E219" s="6" t="str">
        <x:v>2024-02</x:v>
      </x:c>
      <x:c r="F219" s="6" t="str">
        <x:v>563</x:v>
      </x:c>
      <x:c r="G219" s="6" t="str">
        <x:v>150</x:v>
      </x:c>
      <x:c r="H219" s="6" t="str">
        <x:v>318</x:v>
      </x:c>
      <x:c r="I219" s="6" t="str">
        <x:v>69</x:v>
      </x:c>
      <x:c r="J219" s="6" t="str">
        <x:v>24</x:v>
      </x:c>
      <x:c r="K219" s="6" t="str">
        <x:v>1</x:v>
      </x:c>
      <x:c r="L219" s="6" t="str">
        <x:v>0</x:v>
      </x:c>
      <x:c r="M219" s="6" t="str">
        <x:v>1</x:v>
      </x:c>
      <x:c r="N219" s="6" t="str">
        <x:v>563</x:v>
      </x:c>
      <x:c r="O219" s="6" t="str">
        <x:v>0</x:v>
      </x:c>
      <x:c r="P219" s="10" t="n">
        <x:f>F219-M219</x:f>
        <x:v>562</x:v>
      </x:c>
      <x:c r="Q219" s="11" t="n">
        <x:f>IFERROR(M219/F219,"")</x:f>
        <x:v>0.0017761989342806395</x:v>
      </x:c>
      <x:c r="R219" s="10" t="n">
        <x:f>G219+H219</x:f>
        <x:v>468</x:v>
      </x:c>
      <x:c r="S219" s="11" t="n">
        <x:f>IFERROR(R219/F219,"")</x:f>
        <x:v>0.8312611012433393</x:v>
      </x:c>
      <x:c r="T219" s="11" t="n">
        <x:f>IFERROR(R219/P219,"")</x:f>
        <x:v>0.8327402135231317</x:v>
      </x:c>
      <x:c r="U219" s="10" t="n">
        <x:f>I219+J219+K219</x:f>
        <x:v>94</x:v>
      </x:c>
      <x:c r="V219" s="11" t="n">
        <x:f>IFERROR(U219/P219,"")</x:f>
        <x:v>0.16725978647686832</x:v>
      </x:c>
      <x:c r="W219" s="9" t="str">
        <x:v>mature_le_5pct_pending</x:v>
      </x:c>
      <x:c r="X219" s="12" t="n">
        <x:f>IFERROR(F219/Z219*100000,"")</x:f>
        <x:v>25.786653231347042</x:v>
      </x:c>
      <x:c r="Y219" s="13" t="n">
        <x:f>LN(Z219)</x:f>
        <x:v>14.596348051651209</x:v>
      </x:c>
      <x:c r="Z219" s="6" t="str">
        <x:v>2183300</x:v>
      </x:c>
      <x:c r="AA219" s="6" t="str">
        <x:v>264.0</x:v>
      </x:c>
      <x:c r="AB219" s="9" t="str">
        <x:v>2024-06-30</x:v>
      </x:c>
      <x:c r="AC219" s="8" t="str">
        <x:v>91.23</x:v>
      </x:c>
      <x:c r="AD219" s="9" t="str">
        <x:v>2024 (Susenas)</x:v>
      </x:c>
      <x:c r="AE219" s="8" t="str">
        <x:v>5.37</x:v>
      </x:c>
      <x:c r="AF219" s="9" t="str">
        <x:v>Maret 2024 (Susenas)</x:v>
      </x:c>
      <x:c r="AG219" s="6" t="str">
        <x:v>28.140312109548237</x:v>
      </x:c>
      <x:c r="AH219" s="8" t="str">
        <x:v>82.89552218328262</x:v>
      </x:c>
      <x:c r="AI219" s="6" t="str">
        <x:v>133.48598618053987</x:v>
      </x:c>
      <x:c r="AJ219" s="6" t="str">
        <x:v>1.2866802796125576</x:v>
      </x:c>
      <x:c r="AK219" s="8" t="str">
        <x:v>2.377566931372499</x:v>
      </x:c>
      <x:c r="AL219" s="6" t="str">
        <x:v>1.6214991542381645</x:v>
      </x:c>
      <x:c r="AM219" s="6" t="str">
        <x:v>2.5886181485930946</x:v>
      </x:c>
      <x:c r="AN219" s="6" t="str">
        <x:v>2.1958947447345865</x:v>
      </x:c>
      <x:c r="AO219" s="6" t="str">
        <x:v>-0.285856423116158</x:v>
      </x:c>
      <x:c r="AP219" s="8" t="str">
        <x:v>-0.1214457141004341</x:v>
      </x:c>
      <x:c r="AQ219" s="6" t="str">
        <x:v>1.2360788004348189</x:v>
      </x:c>
      <x:c r="AR219" s="6" t="str">
        <x:v>-0.2814204287201095</x:v>
      </x:c>
      <x:c r="AS219" s="6" t="str">
        <x:v>0.2777375525380917</x:v>
      </x:c>
      <x:c r="AT219" s="6" t="str">
        <x:v>24.06530361492393</x:v>
      </x:c>
      <x:c r="AU219" s="8" t="str">
        <x:v>0.4409548492829945</x:v>
      </x:c>
      <x:c r="AV219" s="6" t="str">
        <x:v>1.308945881973837</x:v>
      </x:c>
      <x:c r="AW219" s="6" t="str">
        <x:v>-0.1378840383910703</x:v>
      </x:c>
      <x:c r="AX219" s="6" t="str">
        <x:v>0.5373388976219201</x:v>
      </x:c>
      <x:c r="AY219" s="6" t="str">
        <x:v>0</x:v>
      </x:c>
      <x:c r="AZ219" s="6" t="str">
        <x:v>1</x:v>
      </x:c>
      <x:c r="BA219" s="9" t="str">
        <x:v>grid_cells_within_BIG_polygon</x:v>
      </x:c>
      <x:c r="BB219" s="6" t="str">
        <x:v>2</x:v>
      </x:c>
      <x:c r="BC219" s="6" t="str">
        <x:v>17</x:v>
      </x:c>
      <x:c r="BD219" s="6" t="str">
        <x:v>17</x:v>
      </x:c>
      <x:c r="BE219" s="6" t="str">
        <x:v>1</x:v>
      </x:c>
      <x:c r="BF219" s="6" t="str">
        <x:v>0</x:v>
      </x:c>
      <x:c r="BG219" s="6" t="str">
        <x:v>0</x:v>
      </x:c>
      <x:c r="BH219" s="6" t="str">
        <x:v>0</x:v>
      </x:c>
      <x:c r="BI219" s="6" t="str">
        <x:v>16</x:v>
      </x:c>
      <x:c r="BJ219" s="6" t="str">
        <x:v>0</x:v>
      </x:c>
      <x:c r="BK219" s="6" t="str">
        <x:v>0</x:v>
      </x:c>
      <x:c r="BL219" s="6" t="str">
        <x:v>0</x:v>
      </x:c>
      <x:c r="BM219" s="6" t="str">
        <x:v>0</x:v>
      </x:c>
      <x:c r="BN219" s="6" t="str">
        <x:v>17</x:v>
      </x:c>
      <x:c r="BO219" s="6" t="str">
        <x:v>0.0</x:v>
      </x:c>
      <x:c r="BP219" s="6" t="str">
        <x:v>17</x:v>
      </x:c>
      <x:c r="BQ219" s="6" t="str">
        <x:v>0.0</x:v>
      </x:c>
      <x:c r="BR219" s="6" t="str">
        <x:v>17</x:v>
      </x:c>
      <x:c r="BS219" s="6" t="str">
        <x:v>0.0</x:v>
      </x:c>
      <x:c r="BT219" s="6" t="str">
        <x:v>17</x:v>
      </x:c>
      <x:c r="BU219" s="6" t="str">
        <x:v>172.0</x:v>
      </x:c>
      <x:c r="BV219" s="6" t="str">
        <x:v>1</x:v>
      </x:c>
      <x:c r="BW219" s="9" t="str">
        <x:v>operational_snapshot_annual_totals_may_differ</x:v>
      </x:c>
      <x:c r="BX219" s="9" t="str">
        <x:v>official_live_dashboard_snapshot_subject_to_revision</x:v>
      </x:c>
      <x:c r="BY219" s="9" t="str">
        <x:v>https://tbdashboard.sitb.id/ss_data_tbc03so_2024_provinsi_bulanan_list.php</x:v>
      </x:c>
      <x:c r="BZ219" s="6" t="n">
        <x:v>46246.610671296294</x:v>
      </x:c>
    </x:row>
    <x:row r="220" ht="18" customHeight="1">
      <x:c r="A220" s="6" t="str">
        <x:v>21</x:v>
      </x:c>
      <x:c r="B220" s="6" t="str">
        <x:v>KEPULAUAN RIAU</x:v>
      </x:c>
      <x:c r="C220" s="6" t="str">
        <x:v>2024</x:v>
      </x:c>
      <x:c r="D220" s="6" t="str">
        <x:v>3</x:v>
      </x:c>
      <x:c r="E220" s="6" t="str">
        <x:v>2024-03</x:v>
      </x:c>
      <x:c r="F220" s="6" t="str">
        <x:v>567</x:v>
      </x:c>
      <x:c r="G220" s="6" t="str">
        <x:v>124</x:v>
      </x:c>
      <x:c r="H220" s="6" t="str">
        <x:v>339</x:v>
      </x:c>
      <x:c r="I220" s="6" t="str">
        <x:v>74</x:v>
      </x:c>
      <x:c r="J220" s="6" t="str">
        <x:v>28</x:v>
      </x:c>
      <x:c r="K220" s="6" t="str">
        <x:v>1</x:v>
      </x:c>
      <x:c r="L220" s="6" t="str">
        <x:v>0</x:v>
      </x:c>
      <x:c r="M220" s="6" t="str">
        <x:v>1</x:v>
      </x:c>
      <x:c r="N220" s="6" t="str">
        <x:v>567</x:v>
      </x:c>
      <x:c r="O220" s="6" t="str">
        <x:v>0</x:v>
      </x:c>
      <x:c r="P220" s="10" t="n">
        <x:f>F220-M220</x:f>
        <x:v>566</x:v>
      </x:c>
      <x:c r="Q220" s="11" t="n">
        <x:f>IFERROR(M220/F220,"")</x:f>
        <x:v>0.001763668430335097</x:v>
      </x:c>
      <x:c r="R220" s="10" t="n">
        <x:f>G220+H220</x:f>
        <x:v>463</x:v>
      </x:c>
      <x:c r="S220" s="11" t="n">
        <x:f>IFERROR(R220/F220,"")</x:f>
        <x:v>0.8165784832451499</x:v>
      </x:c>
      <x:c r="T220" s="11" t="n">
        <x:f>IFERROR(R220/P220,"")</x:f>
        <x:v>0.8180212014134276</x:v>
      </x:c>
      <x:c r="U220" s="10" t="n">
        <x:f>I220+J220+K220</x:f>
        <x:v>103</x:v>
      </x:c>
      <x:c r="V220" s="11" t="n">
        <x:f>IFERROR(U220/P220,"")</x:f>
        <x:v>0.18197879858657243</x:v>
      </x:c>
      <x:c r="W220" s="9" t="str">
        <x:v>mature_le_5pct_pending</x:v>
      </x:c>
      <x:c r="X220" s="12" t="n">
        <x:f>IFERROR(F220/Z220*100000,"")</x:f>
        <x:v>25.969862135299774</x:v>
      </x:c>
      <x:c r="Y220" s="13" t="n">
        <x:f>LN(Z220)</x:f>
        <x:v>14.596348051651209</x:v>
      </x:c>
      <x:c r="Z220" s="6" t="str">
        <x:v>2183300</x:v>
      </x:c>
      <x:c r="AA220" s="6" t="str">
        <x:v>264.0</x:v>
      </x:c>
      <x:c r="AB220" s="9" t="str">
        <x:v>2024-06-30</x:v>
      </x:c>
      <x:c r="AC220" s="8" t="str">
        <x:v>91.23</x:v>
      </x:c>
      <x:c r="AD220" s="9" t="str">
        <x:v>2024 (Susenas)</x:v>
      </x:c>
      <x:c r="AE220" s="8" t="str">
        <x:v>5.37</x:v>
      </x:c>
      <x:c r="AF220" s="9" t="str">
        <x:v>Maret 2024 (Susenas)</x:v>
      </x:c>
      <x:c r="AG220" s="6" t="str">
        <x:v>28.530180063200905</x:v>
      </x:c>
      <x:c r="AH220" s="8" t="str">
        <x:v>80.74090031600453</x:v>
      </x:c>
      <x:c r="AI220" s="6" t="str">
        <x:v>152.33205884178832</x:v>
      </x:c>
      <x:c r="AJ220" s="6" t="str">
        <x:v>0.939608246161484</x:v>
      </x:c>
      <x:c r="AK220" s="8" t="str">
        <x:v>1.9238535948168856</x:v>
      </x:c>
      <x:c r="AL220" s="6" t="str">
        <x:v>2.377566931372499</x:v>
      </x:c>
      <x:c r="AM220" s="6" t="str">
        <x:v>1.6214991542381645</x:v>
      </x:c>
      <x:c r="AN220" s="6" t="str">
        <x:v>1.9743065601425167</x:v>
      </x:c>
      <x:c r="AO220" s="6" t="str">
        <x:v>0.0523496982380606</x:v>
      </x:c>
      <x:c r="AP220" s="8" t="str">
        <x:v>0.0240205862918728</x:v>
      </x:c>
      <x:c r="AQ220" s="6" t="str">
        <x:v>-0.1214457141004341</x:v>
      </x:c>
      <x:c r="AR220" s="6" t="str">
        <x:v>1.2360788004348189</x:v>
      </x:c>
      <x:c r="AS220" s="6" t="str">
        <x:v>0.3795512242087524</x:v>
      </x:c>
      <x:c r="AT220" s="6" t="str">
        <x:v>18.184381226053773</x:v>
      </x:c>
      <x:c r="AU220" s="8" t="str">
        <x:v>0.3846510664386482</x:v>
      </x:c>
      <x:c r="AV220" s="6" t="str">
        <x:v>0.4409548492829945</x:v>
      </x:c>
      <x:c r="AW220" s="6" t="str">
        <x:v>1.308945881973837</x:v>
      </x:c>
      <x:c r="AX220" s="6" t="str">
        <x:v>0.7115172658984931</x:v>
      </x:c>
      <x:c r="AY220" s="6" t="str">
        <x:v>0</x:v>
      </x:c>
      <x:c r="AZ220" s="6" t="str">
        <x:v>1</x:v>
      </x:c>
      <x:c r="BA220" s="9" t="str">
        <x:v>grid_cells_within_BIG_polygon</x:v>
      </x:c>
      <x:c r="BB220" s="6" t="str">
        <x:v>2</x:v>
      </x:c>
      <x:c r="BC220" s="6" t="str">
        <x:v>25</x:v>
      </x:c>
      <x:c r="BD220" s="6" t="str">
        <x:v>25</x:v>
      </x:c>
      <x:c r="BE220" s="6" t="str">
        <x:v>0</x:v>
      </x:c>
      <x:c r="BF220" s="6" t="str">
        <x:v>0</x:v>
      </x:c>
      <x:c r="BG220" s="6" t="str">
        <x:v>1</x:v>
      </x:c>
      <x:c r="BH220" s="6" t="str">
        <x:v>0</x:v>
      </x:c>
      <x:c r="BI220" s="6" t="str">
        <x:v>24</x:v>
      </x:c>
      <x:c r="BJ220" s="6" t="str">
        <x:v>0</x:v>
      </x:c>
      <x:c r="BK220" s="6" t="str">
        <x:v>0</x:v>
      </x:c>
      <x:c r="BL220" s="6" t="str">
        <x:v>0</x:v>
      </x:c>
      <x:c r="BM220" s="6" t="str">
        <x:v>0</x:v>
      </x:c>
      <x:c r="BN220" s="6" t="str">
        <x:v>25</x:v>
      </x:c>
      <x:c r="BO220" s="6" t="str">
        <x:v>0.0</x:v>
      </x:c>
      <x:c r="BP220" s="6" t="str">
        <x:v>25</x:v>
      </x:c>
      <x:c r="BQ220" s="6" t="str">
        <x:v>0.0</x:v>
      </x:c>
      <x:c r="BR220" s="6" t="str">
        <x:v>25</x:v>
      </x:c>
      <x:c r="BS220" s="6" t="str">
        <x:v>15.0</x:v>
      </x:c>
      <x:c r="BT220" s="6" t="str">
        <x:v>25</x:v>
      </x:c>
      <x:c r="BU220" s="6" t="str"/>
      <x:c r="BV220" s="6" t="str">
        <x:v>0</x:v>
      </x:c>
      <x:c r="BW220" s="9" t="str">
        <x:v>operational_snapshot_annual_totals_may_differ</x:v>
      </x:c>
      <x:c r="BX220" s="9" t="str">
        <x:v>official_live_dashboard_snapshot_subject_to_revision</x:v>
      </x:c>
      <x:c r="BY220" s="9" t="str">
        <x:v>https://tbdashboard.sitb.id/ss_data_tbc03so_2024_provinsi_bulanan_list.php</x:v>
      </x:c>
      <x:c r="BZ220" s="6" t="n">
        <x:v>46246.610671296294</x:v>
      </x:c>
    </x:row>
    <x:row r="221" ht="18" customHeight="1">
      <x:c r="A221" s="6" t="str">
        <x:v>21</x:v>
      </x:c>
      <x:c r="B221" s="6" t="str">
        <x:v>KEPULAUAN RIAU</x:v>
      </x:c>
      <x:c r="C221" s="6" t="str">
        <x:v>2024</x:v>
      </x:c>
      <x:c r="D221" s="6" t="str">
        <x:v>4</x:v>
      </x:c>
      <x:c r="E221" s="6" t="str">
        <x:v>2024-04</x:v>
      </x:c>
      <x:c r="F221" s="6" t="str">
        <x:v>455</x:v>
      </x:c>
      <x:c r="G221" s="6" t="str">
        <x:v>125</x:v>
      </x:c>
      <x:c r="H221" s="6" t="str">
        <x:v>246</x:v>
      </x:c>
      <x:c r="I221" s="6" t="str">
        <x:v>57</x:v>
      </x:c>
      <x:c r="J221" s="6" t="str">
        <x:v>23</x:v>
      </x:c>
      <x:c r="K221" s="6" t="str">
        <x:v>2</x:v>
      </x:c>
      <x:c r="L221" s="6" t="str">
        <x:v>0</x:v>
      </x:c>
      <x:c r="M221" s="6" t="str">
        <x:v>2</x:v>
      </x:c>
      <x:c r="N221" s="6" t="str">
        <x:v>455</x:v>
      </x:c>
      <x:c r="O221" s="6" t="str">
        <x:v>0</x:v>
      </x:c>
      <x:c r="P221" s="10" t="n">
        <x:f>F221-M221</x:f>
        <x:v>453</x:v>
      </x:c>
      <x:c r="Q221" s="11" t="n">
        <x:f>IFERROR(M221/F221,"")</x:f>
        <x:v>0.004395604395604396</x:v>
      </x:c>
      <x:c r="R221" s="10" t="n">
        <x:f>G221+H221</x:f>
        <x:v>371</x:v>
      </x:c>
      <x:c r="S221" s="11" t="n">
        <x:f>IFERROR(R221/F221,"")</x:f>
        <x:v>0.8153846153846154</x:v>
      </x:c>
      <x:c r="T221" s="11" t="n">
        <x:f>IFERROR(R221/P221,"")</x:f>
        <x:v>0.8189845474613686</x:v>
      </x:c>
      <x:c r="U221" s="10" t="n">
        <x:f>I221+J221+K221</x:f>
        <x:v>82</x:v>
      </x:c>
      <x:c r="V221" s="11" t="n">
        <x:f>IFERROR(U221/P221,"")</x:f>
        <x:v>0.18101545253863136</x:v>
      </x:c>
      <x:c r="W221" s="9" t="str">
        <x:v>mature_le_5pct_pending</x:v>
      </x:c>
      <x:c r="X221" s="12" t="n">
        <x:f>IFERROR(F221/Z221*100000,"")</x:f>
        <x:v>20.840012824623276</x:v>
      </x:c>
      <x:c r="Y221" s="13" t="n">
        <x:f>LN(Z221)</x:f>
        <x:v>14.596348051651209</x:v>
      </x:c>
      <x:c r="Z221" s="6" t="str">
        <x:v>2183300</x:v>
      </x:c>
      <x:c r="AA221" s="6" t="str">
        <x:v>264.0</x:v>
      </x:c>
      <x:c r="AB221" s="9" t="str">
        <x:v>2024-06-30</x:v>
      </x:c>
      <x:c r="AC221" s="8" t="str">
        <x:v>91.23</x:v>
      </x:c>
      <x:c r="AD221" s="9" t="str">
        <x:v>2024 (Susenas)</x:v>
      </x:c>
      <x:c r="AE221" s="8" t="str">
        <x:v>5.37</x:v>
      </x:c>
      <x:c r="AF221" s="9" t="str">
        <x:v>Maret 2024 (Susenas)</x:v>
      </x:c>
      <x:c r="AG221" s="6" t="str">
        <x:v>29.53493397682633</x:v>
      </x:c>
      <x:c r="AH221" s="8" t="str">
        <x:v>78.13679462990237</x:v>
      </x:c>
      <x:c r="AI221" s="6" t="str">
        <x:v>136.61379994297337</x:v>
      </x:c>
      <x:c r="AJ221" s="6" t="str">
        <x:v>1.200161664911089</x:v>
      </x:c>
      <x:c r="AK221" s="8" t="str">
        <x:v>2.786490103188297</x:v>
      </x:c>
      <x:c r="AL221" s="6" t="str">
        <x:v>1.9238535948168856</x:v>
      </x:c>
      <x:c r="AM221" s="6" t="str">
        <x:v>2.377566931372499</x:v>
      </x:c>
      <x:c r="AN221" s="6" t="str">
        <x:v>2.362636876459228</x:v>
      </x:c>
      <x:c r="AO221" s="6" t="str">
        <x:v>-0.3400012331042035</x:v>
      </x:c>
      <x:c r="AP221" s="8" t="str">
        <x:v>-0.199833181555608</x:v>
      </x:c>
      <x:c r="AQ221" s="6" t="str">
        <x:v>0.0240205862918728</x:v>
      </x:c>
      <x:c r="AR221" s="6" t="str">
        <x:v>-0.1214457141004341</x:v>
      </x:c>
      <x:c r="AS221" s="6" t="str">
        <x:v>-0.0990861031213898</x:v>
      </x:c>
      <x:c r="AT221" s="6" t="str">
        <x:v>-10.303423406910497</x:v>
      </x:c>
      <x:c r="AU221" s="8" t="str">
        <x:v>-0.3705147073843639</x:v>
      </x:c>
      <x:c r="AV221" s="6" t="str">
        <x:v>0.3846510664386482</x:v>
      </x:c>
      <x:c r="AW221" s="6" t="str">
        <x:v>0.4409548492829945</x:v>
      </x:c>
      <x:c r="AX221" s="6" t="str">
        <x:v>0.1516970694457593</x:v>
      </x:c>
      <x:c r="AY221" s="6" t="str">
        <x:v>0</x:v>
      </x:c>
      <x:c r="AZ221" s="6" t="str">
        <x:v>1</x:v>
      </x:c>
      <x:c r="BA221" s="9" t="str">
        <x:v>grid_cells_within_BIG_polygon</x:v>
      </x:c>
      <x:c r="BB221" s="6" t="str">
        <x:v>2</x:v>
      </x:c>
      <x:c r="BC221" s="6" t="str">
        <x:v>4</x:v>
      </x:c>
      <x:c r="BD221" s="6" t="str">
        <x:v>4</x:v>
      </x:c>
      <x:c r="BE221" s="6" t="str">
        <x:v>0</x:v>
      </x:c>
      <x:c r="BF221" s="6" t="str">
        <x:v>0</x:v>
      </x:c>
      <x:c r="BG221" s="6" t="str">
        <x:v>0</x:v>
      </x:c>
      <x:c r="BH221" s="6" t="str">
        <x:v>0</x:v>
      </x:c>
      <x:c r="BI221" s="6" t="str">
        <x:v>4</x:v>
      </x:c>
      <x:c r="BJ221" s="6" t="str">
        <x:v>0</x:v>
      </x:c>
      <x:c r="BK221" s="6" t="str">
        <x:v>0</x:v>
      </x:c>
      <x:c r="BL221" s="6" t="str">
        <x:v>0</x:v>
      </x:c>
      <x:c r="BM221" s="6" t="str">
        <x:v>0</x:v>
      </x:c>
      <x:c r="BN221" s="6" t="str">
        <x:v>4</x:v>
      </x:c>
      <x:c r="BO221" s="6" t="str">
        <x:v>0.0</x:v>
      </x:c>
      <x:c r="BP221" s="6" t="str">
        <x:v>4</x:v>
      </x:c>
      <x:c r="BQ221" s="6" t="str">
        <x:v>0.0</x:v>
      </x:c>
      <x:c r="BR221" s="6" t="str">
        <x:v>4</x:v>
      </x:c>
      <x:c r="BS221" s="6" t="str">
        <x:v>0.0</x:v>
      </x:c>
      <x:c r="BT221" s="6" t="str">
        <x:v>4</x:v>
      </x:c>
      <x:c r="BU221" s="6" t="str"/>
      <x:c r="BV221" s="6" t="str">
        <x:v>0</x:v>
      </x:c>
      <x:c r="BW221" s="9" t="str">
        <x:v>operational_snapshot_annual_totals_may_differ</x:v>
      </x:c>
      <x:c r="BX221" s="9" t="str">
        <x:v>official_live_dashboard_snapshot_subject_to_revision</x:v>
      </x:c>
      <x:c r="BY221" s="9" t="str">
        <x:v>https://tbdashboard.sitb.id/ss_data_tbc03so_2024_provinsi_bulanan_list.php</x:v>
      </x:c>
      <x:c r="BZ221" s="6" t="n">
        <x:v>46246.610671296294</x:v>
      </x:c>
    </x:row>
    <x:row r="222" ht="18" customHeight="1">
      <x:c r="A222" s="6" t="str">
        <x:v>21</x:v>
      </x:c>
      <x:c r="B222" s="6" t="str">
        <x:v>KEPULAUAN RIAU</x:v>
      </x:c>
      <x:c r="C222" s="6" t="str">
        <x:v>2024</x:v>
      </x:c>
      <x:c r="D222" s="6" t="str">
        <x:v>5</x:v>
      </x:c>
      <x:c r="E222" s="6" t="str">
        <x:v>2024-05</x:v>
      </x:c>
      <x:c r="F222" s="6" t="str">
        <x:v>561</x:v>
      </x:c>
      <x:c r="G222" s="6" t="str">
        <x:v>164</x:v>
      </x:c>
      <x:c r="H222" s="6" t="str">
        <x:v>299</x:v>
      </x:c>
      <x:c r="I222" s="6" t="str">
        <x:v>64</x:v>
      </x:c>
      <x:c r="J222" s="6" t="str">
        <x:v>31</x:v>
      </x:c>
      <x:c r="K222" s="6" t="str">
        <x:v>0</x:v>
      </x:c>
      <x:c r="L222" s="6" t="str">
        <x:v>0</x:v>
      </x:c>
      <x:c r="M222" s="6" t="str">
        <x:v>3</x:v>
      </x:c>
      <x:c r="N222" s="6" t="str">
        <x:v>561</x:v>
      </x:c>
      <x:c r="O222" s="6" t="str">
        <x:v>0</x:v>
      </x:c>
      <x:c r="P222" s="10" t="n">
        <x:f>F222-M222</x:f>
        <x:v>558</x:v>
      </x:c>
      <x:c r="Q222" s="11" t="n">
        <x:f>IFERROR(M222/F222,"")</x:f>
        <x:v>0.0053475935828877</x:v>
      </x:c>
      <x:c r="R222" s="10" t="n">
        <x:f>G222+H222</x:f>
        <x:v>463</x:v>
      </x:c>
      <x:c r="S222" s="11" t="n">
        <x:f>IFERROR(R222/F222,"")</x:f>
        <x:v>0.8253119429590018</x:v>
      </x:c>
      <x:c r="T222" s="11" t="n">
        <x:f>IFERROR(R222/P222,"")</x:f>
        <x:v>0.8297491039426523</x:v>
      </x:c>
      <x:c r="U222" s="10" t="n">
        <x:f>I222+J222+K222</x:f>
        <x:v>95</x:v>
      </x:c>
      <x:c r="V222" s="11" t="n">
        <x:f>IFERROR(U222/P222,"")</x:f>
        <x:v>0.17025089605734767</x:v>
      </x:c>
      <x:c r="W222" s="9" t="str">
        <x:v>mature_le_5pct_pending</x:v>
      </x:c>
      <x:c r="X222" s="12" t="n">
        <x:f>IFERROR(F222/Z222*100000,"")</x:f>
        <x:v>25.695048779370676</x:v>
      </x:c>
      <x:c r="Y222" s="13" t="n">
        <x:f>LN(Z222)</x:f>
        <x:v>14.596348051651209</x:v>
      </x:c>
      <x:c r="Z222" s="6" t="str">
        <x:v>2183300</x:v>
      </x:c>
      <x:c r="AA222" s="6" t="str">
        <x:v>264.0</x:v>
      </x:c>
      <x:c r="AB222" s="9" t="str">
        <x:v>2024-06-30</x:v>
      </x:c>
      <x:c r="AC222" s="8" t="str">
        <x:v>91.23</x:v>
      </x:c>
      <x:c r="AD222" s="9" t="str">
        <x:v>2024 (Susenas)</x:v>
      </x:c>
      <x:c r="AE222" s="8" t="str">
        <x:v>5.37</x:v>
      </x:c>
      <x:c r="AF222" s="9" t="str">
        <x:v>Maret 2024 (Susenas)</x:v>
      </x:c>
      <x:c r="AG222" s="6" t="str">
        <x:v>29.83962786938479</x:v>
      </x:c>
      <x:c r="AH222" s="8" t="str">
        <x:v>78.55895538831327</x:v>
      </x:c>
      <x:c r="AI222" s="6" t="str">
        <x:v>203.6402219520176</x:v>
      </x:c>
      <x:c r="AJ222" s="6" t="str">
        <x:v>1.1136486685172926</x:v>
      </x:c>
      <x:c r="AK222" s="8" t="str">
        <x:v>2.7533243581950817</x:v>
      </x:c>
      <x:c r="AL222" s="6" t="str">
        <x:v>2.786490103188297</x:v>
      </x:c>
      <x:c r="AM222" s="6" t="str">
        <x:v>1.9238535948168856</x:v>
      </x:c>
      <x:c r="AN222" s="6" t="str">
        <x:v>2.487889352066755</x:v>
      </x:c>
      <x:c r="AO222" s="6" t="str">
        <x:v>-0.2708328393419634</x:v>
      </x:c>
      <x:c r="AP222" s="8" t="str">
        <x:v>-0.1772781321829454</x:v>
      </x:c>
      <x:c r="AQ222" s="6" t="str">
        <x:v>-0.199833181555608</x:v>
      </x:c>
      <x:c r="AR222" s="6" t="str">
        <x:v>0.0240205862918728</x:v>
      </x:c>
      <x:c r="AS222" s="6" t="str">
        <x:v>-0.1176969091488936</x:v>
      </x:c>
      <x:c r="AT222" s="6" t="str">
        <x:v>43.38450240279408</x:v>
      </x:c>
      <x:c r="AU222" s="8" t="str">
        <x:v>1.227237765969963</x:v>
      </x:c>
      <x:c r="AV222" s="6" t="str">
        <x:v>-0.3705147073843639</x:v>
      </x:c>
      <x:c r="AW222" s="6" t="str">
        <x:v>0.3846510664386482</x:v>
      </x:c>
      <x:c r="AX222" s="6" t="str">
        <x:v>0.4137913750080821</x:v>
      </x:c>
      <x:c r="AY222" s="6" t="str">
        <x:v>1</x:v>
      </x:c>
      <x:c r="AZ222" s="6" t="str">
        <x:v>1</x:v>
      </x:c>
      <x:c r="BA222" s="9" t="str">
        <x:v>grid_cells_within_BIG_polygon</x:v>
      </x:c>
      <x:c r="BB222" s="6" t="str">
        <x:v>2</x:v>
      </x:c>
      <x:c r="BC222" s="6" t="str">
        <x:v>3</x:v>
      </x:c>
      <x:c r="BD222" s="6" t="str">
        <x:v>3</x:v>
      </x:c>
      <x:c r="BE222" s="6" t="str">
        <x:v>1</x:v>
      </x:c>
      <x:c r="BF222" s="6" t="str">
        <x:v>0</x:v>
      </x:c>
      <x:c r="BG222" s="6" t="str">
        <x:v>2</x:v>
      </x:c>
      <x:c r="BH222" s="6" t="str">
        <x:v>0</x:v>
      </x:c>
      <x:c r="BI222" s="6" t="str">
        <x:v>0</x:v>
      </x:c>
      <x:c r="BJ222" s="6" t="str">
        <x:v>0</x:v>
      </x:c>
      <x:c r="BK222" s="6" t="str">
        <x:v>0</x:v>
      </x:c>
      <x:c r="BL222" s="6" t="str">
        <x:v>0</x:v>
      </x:c>
      <x:c r="BM222" s="6" t="str">
        <x:v>0</x:v>
      </x:c>
      <x:c r="BN222" s="6" t="str">
        <x:v>3</x:v>
      </x:c>
      <x:c r="BO222" s="6" t="str">
        <x:v>0.0</x:v>
      </x:c>
      <x:c r="BP222" s="6" t="str">
        <x:v>3</x:v>
      </x:c>
      <x:c r="BQ222" s="6" t="str">
        <x:v>0.0</x:v>
      </x:c>
      <x:c r="BR222" s="6" t="str">
        <x:v>3</x:v>
      </x:c>
      <x:c r="BS222" s="6" t="str">
        <x:v>206.0</x:v>
      </x:c>
      <x:c r="BT222" s="6" t="str">
        <x:v>3</x:v>
      </x:c>
      <x:c r="BU222" s="6" t="str">
        <x:v>25.0</x:v>
      </x:c>
      <x:c r="BV222" s="6" t="str">
        <x:v>1</x:v>
      </x:c>
      <x:c r="BW222" s="9" t="str">
        <x:v>operational_snapshot_annual_totals_may_differ</x:v>
      </x:c>
      <x:c r="BX222" s="9" t="str">
        <x:v>official_live_dashboard_snapshot_subject_to_revision</x:v>
      </x:c>
      <x:c r="BY222" s="9" t="str">
        <x:v>https://tbdashboard.sitb.id/ss_data_tbc03so_2024_provinsi_bulanan_list.php</x:v>
      </x:c>
      <x:c r="BZ222" s="6" t="n">
        <x:v>46246.610671296294</x:v>
      </x:c>
    </x:row>
    <x:row r="223" ht="18" customHeight="1">
      <x:c r="A223" s="6" t="str">
        <x:v>21</x:v>
      </x:c>
      <x:c r="B223" s="6" t="str">
        <x:v>KEPULAUAN RIAU</x:v>
      </x:c>
      <x:c r="C223" s="6" t="str">
        <x:v>2024</x:v>
      </x:c>
      <x:c r="D223" s="6" t="str">
        <x:v>6</x:v>
      </x:c>
      <x:c r="E223" s="6" t="str">
        <x:v>2024-06</x:v>
      </x:c>
      <x:c r="F223" s="6" t="str">
        <x:v>562</x:v>
      </x:c>
      <x:c r="G223" s="6" t="str">
        <x:v>153</x:v>
      </x:c>
      <x:c r="H223" s="6" t="str">
        <x:v>297</x:v>
      </x:c>
      <x:c r="I223" s="6" t="str">
        <x:v>77</x:v>
      </x:c>
      <x:c r="J223" s="6" t="str">
        <x:v>27</x:v>
      </x:c>
      <x:c r="K223" s="6" t="str">
        <x:v>4</x:v>
      </x:c>
      <x:c r="L223" s="6" t="str">
        <x:v>2</x:v>
      </x:c>
      <x:c r="M223" s="6" t="str">
        <x:v>2</x:v>
      </x:c>
      <x:c r="N223" s="6" t="str">
        <x:v>562</x:v>
      </x:c>
      <x:c r="O223" s="6" t="str">
        <x:v>0</x:v>
      </x:c>
      <x:c r="P223" s="10" t="n">
        <x:f>F223-M223</x:f>
        <x:v>560</x:v>
      </x:c>
      <x:c r="Q223" s="11" t="n">
        <x:f>IFERROR(M223/F223,"")</x:f>
        <x:v>0.0035587188612099642</x:v>
      </x:c>
      <x:c r="R223" s="10" t="n">
        <x:f>G223+H223</x:f>
        <x:v>450</x:v>
      </x:c>
      <x:c r="S223" s="11" t="n">
        <x:f>IFERROR(R223/F223,"")</x:f>
        <x:v>0.800711743772242</x:v>
      </x:c>
      <x:c r="T223" s="11" t="n">
        <x:f>IFERROR(R223/P223,"")</x:f>
        <x:v>0.8035714285714286</x:v>
      </x:c>
      <x:c r="U223" s="10" t="n">
        <x:f>I223+J223+K223</x:f>
        <x:v>108</x:v>
      </x:c>
      <x:c r="V223" s="11" t="n">
        <x:f>IFERROR(U223/P223,"")</x:f>
        <x:v>0.19285714285714287</x:v>
      </x:c>
      <x:c r="W223" s="9" t="str">
        <x:v>mature_le_5pct_pending</x:v>
      </x:c>
      <x:c r="X223" s="12" t="n">
        <x:f>IFERROR(F223/Z223*100000,"")</x:f>
        <x:v>25.74085100535886</x:v>
      </x:c>
      <x:c r="Y223" s="13" t="n">
        <x:f>LN(Z223)</x:f>
        <x:v>14.596348051651209</x:v>
      </x:c>
      <x:c r="Z223" s="6" t="str">
        <x:v>2183300</x:v>
      </x:c>
      <x:c r="AA223" s="6" t="str">
        <x:v>264.0</x:v>
      </x:c>
      <x:c r="AB223" s="9" t="str">
        <x:v>2024-06-30</x:v>
      </x:c>
      <x:c r="AC223" s="8" t="str">
        <x:v>91.23</x:v>
      </x:c>
      <x:c r="AD223" s="9" t="str">
        <x:v>2024 (Susenas)</x:v>
      </x:c>
      <x:c r="AE223" s="8" t="str">
        <x:v>5.37</x:v>
      </x:c>
      <x:c r="AF223" s="9" t="str">
        <x:v>Maret 2024 (Susenas)</x:v>
      </x:c>
      <x:c r="AG223" s="6" t="str">
        <x:v>29.15488595997276</x:v>
      </x:c>
      <x:c r="AH223" s="8" t="str">
        <x:v>79.11665057934164</x:v>
      </x:c>
      <x:c r="AI223" s="6" t="str">
        <x:v>228.90036012640175</x:v>
      </x:c>
      <x:c r="AJ223" s="6" t="str">
        <x:v>0.6862508962306428</x:v>
      </x:c>
      <x:c r="AK223" s="8" t="str">
        <x:v>2.0421573466059018</x:v>
      </x:c>
      <x:c r="AL223" s="6" t="str">
        <x:v>2.7533243581950817</x:v>
      </x:c>
      <x:c r="AM223" s="6" t="str">
        <x:v>2.786490103188297</x:v>
      </x:c>
      <x:c r="AN223" s="6" t="str">
        <x:v>2.527323935996427</x:v>
      </x:c>
      <x:c r="AO223" s="6" t="str">
        <x:v>-0.4903741885124475</x:v>
      </x:c>
      <x:c r="AP223" s="8" t="str">
        <x:v>-0.3227436141042382</x:v>
      </x:c>
      <x:c r="AQ223" s="6" t="str">
        <x:v>-0.1772781321829454</x:v>
      </x:c>
      <x:c r="AR223" s="6" t="str">
        <x:v>-0.199833181555608</x:v>
      </x:c>
      <x:c r="AS223" s="6" t="str">
        <x:v>-0.2332849759475973</x:v>
      </x:c>
      <x:c r="AT223" s="6" t="str">
        <x:v>71.5973710772667</x:v>
      </x:c>
      <x:c r="AU223" s="8" t="str">
        <x:v>1.3800136460301136</x:v>
      </x:c>
      <x:c r="AV223" s="6" t="str">
        <x:v>1.227237765969963</x:v>
      </x:c>
      <x:c r="AW223" s="6" t="str">
        <x:v>-0.3705147073843639</x:v>
      </x:c>
      <x:c r="AX223" s="6" t="str">
        <x:v>0.7455789015385705</x:v>
      </x:c>
      <x:c r="AY223" s="6" t="str">
        <x:v>1</x:v>
      </x:c>
      <x:c r="AZ223" s="6" t="str">
        <x:v>1</x:v>
      </x:c>
      <x:c r="BA223" s="9" t="str">
        <x:v>grid_cells_within_BIG_polygon</x:v>
      </x:c>
      <x:c r="BB223" s="6" t="str">
        <x:v>2</x:v>
      </x:c>
      <x:c r="BC223" s="6" t="str">
        <x:v>3</x:v>
      </x:c>
      <x:c r="BD223" s="6" t="str">
        <x:v>3</x:v>
      </x:c>
      <x:c r="BE223" s="6" t="str">
        <x:v>0</x:v>
      </x:c>
      <x:c r="BF223" s="6" t="str">
        <x:v>0</x:v>
      </x:c>
      <x:c r="BG223" s="6" t="str">
        <x:v>3</x:v>
      </x:c>
      <x:c r="BH223" s="6" t="str">
        <x:v>0</x:v>
      </x:c>
      <x:c r="BI223" s="6" t="str">
        <x:v>0</x:v>
      </x:c>
      <x:c r="BJ223" s="6" t="str">
        <x:v>0</x:v>
      </x:c>
      <x:c r="BK223" s="6" t="str">
        <x:v>0</x:v>
      </x:c>
      <x:c r="BL223" s="6" t="str">
        <x:v>0</x:v>
      </x:c>
      <x:c r="BM223" s="6" t="str">
        <x:v>0</x:v>
      </x:c>
      <x:c r="BN223" s="6" t="str">
        <x:v>3</x:v>
      </x:c>
      <x:c r="BO223" s="6" t="str">
        <x:v>0.0</x:v>
      </x:c>
      <x:c r="BP223" s="6" t="str">
        <x:v>3</x:v>
      </x:c>
      <x:c r="BQ223" s="6" t="str">
        <x:v>0.0</x:v>
      </x:c>
      <x:c r="BR223" s="6" t="str">
        <x:v>3</x:v>
      </x:c>
      <x:c r="BS223" s="6" t="str">
        <x:v>34.0</x:v>
      </x:c>
      <x:c r="BT223" s="6" t="str">
        <x:v>3</x:v>
      </x:c>
      <x:c r="BU223" s="6" t="str"/>
      <x:c r="BV223" s="6" t="str">
        <x:v>0</x:v>
      </x:c>
      <x:c r="BW223" s="9" t="str">
        <x:v>operational_snapshot_annual_totals_may_differ</x:v>
      </x:c>
      <x:c r="BX223" s="9" t="str">
        <x:v>official_live_dashboard_snapshot_subject_to_revision</x:v>
      </x:c>
      <x:c r="BY223" s="9" t="str">
        <x:v>https://tbdashboard.sitb.id/ss_data_tbc03so_2024_provinsi_bulanan_list.php</x:v>
      </x:c>
      <x:c r="BZ223" s="6" t="n">
        <x:v>46246.610671296294</x:v>
      </x:c>
    </x:row>
    <x:row r="224" ht="18" customHeight="1">
      <x:c r="A224" s="6" t="str">
        <x:v>21</x:v>
      </x:c>
      <x:c r="B224" s="6" t="str">
        <x:v>KEPULAUAN RIAU</x:v>
      </x:c>
      <x:c r="C224" s="6" t="str">
        <x:v>2024</x:v>
      </x:c>
      <x:c r="D224" s="6" t="str">
        <x:v>7</x:v>
      </x:c>
      <x:c r="E224" s="6" t="str">
        <x:v>2024-07</x:v>
      </x:c>
      <x:c r="F224" s="6" t="str">
        <x:v>635</x:v>
      </x:c>
      <x:c r="G224" s="6" t="str">
        <x:v>162</x:v>
      </x:c>
      <x:c r="H224" s="6" t="str">
        <x:v>353</x:v>
      </x:c>
      <x:c r="I224" s="6" t="str">
        <x:v>87</x:v>
      </x:c>
      <x:c r="J224" s="6" t="str">
        <x:v>28</x:v>
      </x:c>
      <x:c r="K224" s="6" t="str">
        <x:v>1</x:v>
      </x:c>
      <x:c r="L224" s="6" t="str">
        <x:v>1</x:v>
      </x:c>
      <x:c r="M224" s="6" t="str">
        <x:v>3</x:v>
      </x:c>
      <x:c r="N224" s="6" t="str">
        <x:v>635</x:v>
      </x:c>
      <x:c r="O224" s="6" t="str">
        <x:v>0</x:v>
      </x:c>
      <x:c r="P224" s="10" t="n">
        <x:f>F224-M224</x:f>
        <x:v>632</x:v>
      </x:c>
      <x:c r="Q224" s="11" t="n">
        <x:f>IFERROR(M224/F224,"")</x:f>
        <x:v>0.004724409448818898</x:v>
      </x:c>
      <x:c r="R224" s="10" t="n">
        <x:f>G224+H224</x:f>
        <x:v>515</x:v>
      </x:c>
      <x:c r="S224" s="11" t="n">
        <x:f>IFERROR(R224/F224,"")</x:f>
        <x:v>0.8110236220472441</x:v>
      </x:c>
      <x:c r="T224" s="11" t="n">
        <x:f>IFERROR(R224/P224,"")</x:f>
        <x:v>0.814873417721519</x:v>
      </x:c>
      <x:c r="U224" s="10" t="n">
        <x:f>I224+J224+K224</x:f>
        <x:v>116</x:v>
      </x:c>
      <x:c r="V224" s="11" t="n">
        <x:f>IFERROR(U224/P224,"")</x:f>
        <x:v>0.18354430379746836</x:v>
      </x:c>
      <x:c r="W224" s="9" t="str">
        <x:v>mature_le_5pct_pending</x:v>
      </x:c>
      <x:c r="X224" s="12" t="n">
        <x:f>IFERROR(F224/Z224*100000,"")</x:f>
        <x:v>29.08441350249622</x:v>
      </x:c>
      <x:c r="Y224" s="13" t="n">
        <x:f>LN(Z224)</x:f>
        <x:v>14.596348051651209</x:v>
      </x:c>
      <x:c r="Z224" s="6" t="str">
        <x:v>2183300</x:v>
      </x:c>
      <x:c r="AA224" s="6" t="str">
        <x:v>264.0</x:v>
      </x:c>
      <x:c r="AB224" s="9" t="str">
        <x:v>2024-06-30</x:v>
      </x:c>
      <x:c r="AC224" s="8" t="str">
        <x:v>91.23</x:v>
      </x:c>
      <x:c r="AD224" s="9" t="str">
        <x:v>2024 (Susenas)</x:v>
      </x:c>
      <x:c r="AE224" s="8" t="str">
        <x:v>5.37</x:v>
      </x:c>
      <x:c r="AF224" s="9" t="str">
        <x:v>Maret 2024 (Susenas)</x:v>
      </x:c>
      <x:c r="AG224" s="6" t="str">
        <x:v>29.039831941012483</x:v>
      </x:c>
      <x:c r="AH224" s="8" t="str">
        <x:v>79.66469389255845</x:v>
      </x:c>
      <x:c r="AI224" s="6" t="str">
        <x:v>126.76581151001146</x:v>
      </x:c>
      <x:c r="AJ224" s="6" t="str">
        <x:v>0.9730592207860732</x:v>
      </x:c>
      <x:c r="AK224" s="8" t="str">
        <x:v>3.094626563758059</x:v>
      </x:c>
      <x:c r="AL224" s="6" t="str">
        <x:v>2.0421573466059018</x:v>
      </x:c>
      <x:c r="AM224" s="6" t="str">
        <x:v>2.7533243581950817</x:v>
      </x:c>
      <x:c r="AN224" s="6" t="str">
        <x:v>2.630036089519681</x:v>
      </x:c>
      <x:c r="AO224" s="6" t="str">
        <x:v>-0.4603076834911945</x:v>
      </x:c>
      <x:c r="AP224" s="8" t="str">
        <x:v>-0.3594718151656041</x:v>
      </x:c>
      <x:c r="AQ224" s="6" t="str">
        <x:v>-0.3227436141042382</x:v>
      </x:c>
      <x:c r="AR224" s="6" t="str">
        <x:v>-0.1772781321829454</x:v>
      </x:c>
      <x:c r="AS224" s="6" t="str">
        <x:v>-0.286497853817596</x:v>
      </x:c>
      <x:c r="AT224" s="6" t="str">
        <x:v>-29.557227287270408</x:v>
      </x:c>
      <x:c r="AU224" s="8" t="str">
        <x:v>-0.5479354032463714</x:v>
      </x:c>
      <x:c r="AV224" s="6" t="str">
        <x:v>1.3800136460301136</x:v>
      </x:c>
      <x:c r="AW224" s="6" t="str">
        <x:v>1.227237765969963</x:v>
      </x:c>
      <x:c r="AX224" s="6" t="str">
        <x:v>0.6864386695845681</x:v>
      </x:c>
      <x:c r="AY224" s="6" t="str">
        <x:v>0</x:v>
      </x:c>
      <x:c r="AZ224" s="6" t="str">
        <x:v>1</x:v>
      </x:c>
      <x:c r="BA224" s="9" t="str">
        <x:v>grid_cells_within_BIG_polygon</x:v>
      </x:c>
      <x:c r="BB224" s="6" t="str">
        <x:v>2</x:v>
      </x:c>
      <x:c r="BC224" s="6" t="str">
        <x:v>5</x:v>
      </x:c>
      <x:c r="BD224" s="6" t="str">
        <x:v>5</x:v>
      </x:c>
      <x:c r="BE224" s="6" t="str">
        <x:v>0</x:v>
      </x:c>
      <x:c r="BF224" s="6" t="str">
        <x:v>0</x:v>
      </x:c>
      <x:c r="BG224" s="6" t="str">
        <x:v>0</x:v>
      </x:c>
      <x:c r="BH224" s="6" t="str">
        <x:v>0</x:v>
      </x:c>
      <x:c r="BI224" s="6" t="str">
        <x:v>5</x:v>
      </x:c>
      <x:c r="BJ224" s="6" t="str">
        <x:v>0</x:v>
      </x:c>
      <x:c r="BK224" s="6" t="str">
        <x:v>0</x:v>
      </x:c>
      <x:c r="BL224" s="6" t="str">
        <x:v>0</x:v>
      </x:c>
      <x:c r="BM224" s="6" t="str">
        <x:v>0</x:v>
      </x:c>
      <x:c r="BN224" s="6" t="str">
        <x:v>5</x:v>
      </x:c>
      <x:c r="BO224" s="6" t="str">
        <x:v>0.0</x:v>
      </x:c>
      <x:c r="BP224" s="6" t="str">
        <x:v>5</x:v>
      </x:c>
      <x:c r="BQ224" s="6" t="str">
        <x:v>0.0</x:v>
      </x:c>
      <x:c r="BR224" s="6" t="str">
        <x:v>5</x:v>
      </x:c>
      <x:c r="BS224" s="6" t="str">
        <x:v>0.0</x:v>
      </x:c>
      <x:c r="BT224" s="6" t="str">
        <x:v>5</x:v>
      </x:c>
      <x:c r="BU224" s="6" t="str"/>
      <x:c r="BV224" s="6" t="str">
        <x:v>0</x:v>
      </x:c>
      <x:c r="BW224" s="9" t="str">
        <x:v>operational_snapshot_annual_totals_may_differ</x:v>
      </x:c>
      <x:c r="BX224" s="9" t="str">
        <x:v>official_live_dashboard_snapshot_subject_to_revision</x:v>
      </x:c>
      <x:c r="BY224" s="9" t="str">
        <x:v>https://tbdashboard.sitb.id/ss_data_tbc03so_2024_provinsi_bulanan_list.php</x:v>
      </x:c>
      <x:c r="BZ224" s="6" t="n">
        <x:v>46246.610671296294</x:v>
      </x:c>
    </x:row>
    <x:row r="225" ht="18" customHeight="1">
      <x:c r="A225" s="6" t="str">
        <x:v>21</x:v>
      </x:c>
      <x:c r="B225" s="6" t="str">
        <x:v>KEPULAUAN RIAU</x:v>
      </x:c>
      <x:c r="C225" s="6" t="str">
        <x:v>2024</x:v>
      </x:c>
      <x:c r="D225" s="6" t="str">
        <x:v>8</x:v>
      </x:c>
      <x:c r="E225" s="6" t="str">
        <x:v>2024-08</x:v>
      </x:c>
      <x:c r="F225" s="6" t="str">
        <x:v>569</x:v>
      </x:c>
      <x:c r="G225" s="6" t="str">
        <x:v>162</x:v>
      </x:c>
      <x:c r="H225" s="6" t="str">
        <x:v>307</x:v>
      </x:c>
      <x:c r="I225" s="6" t="str">
        <x:v>64</x:v>
      </x:c>
      <x:c r="J225" s="6" t="str">
        <x:v>29</x:v>
      </x:c>
      <x:c r="K225" s="6" t="str">
        <x:v>1</x:v>
      </x:c>
      <x:c r="L225" s="6" t="str">
        <x:v>0</x:v>
      </x:c>
      <x:c r="M225" s="6" t="str">
        <x:v>6</x:v>
      </x:c>
      <x:c r="N225" s="6" t="str">
        <x:v>569</x:v>
      </x:c>
      <x:c r="O225" s="6" t="str">
        <x:v>0</x:v>
      </x:c>
      <x:c r="P225" s="10" t="n">
        <x:f>F225-M225</x:f>
        <x:v>563</x:v>
      </x:c>
      <x:c r="Q225" s="11" t="n">
        <x:f>IFERROR(M225/F225,"")</x:f>
        <x:v>0.01054481546572935</x:v>
      </x:c>
      <x:c r="R225" s="10" t="n">
        <x:f>G225+H225</x:f>
        <x:v>469</x:v>
      </x:c>
      <x:c r="S225" s="11" t="n">
        <x:f>IFERROR(R225/F225,"")</x:f>
        <x:v>0.8242530755711776</x:v>
      </x:c>
      <x:c r="T225" s="11" t="n">
        <x:f>IFERROR(R225/P225,"")</x:f>
        <x:v>0.8330373001776199</x:v>
      </x:c>
      <x:c r="U225" s="10" t="n">
        <x:f>I225+J225+K225</x:f>
        <x:v>94</x:v>
      </x:c>
      <x:c r="V225" s="11" t="n">
        <x:f>IFERROR(U225/P225,"")</x:f>
        <x:v>0.1669626998223801</x:v>
      </x:c>
      <x:c r="W225" s="9" t="str">
        <x:v>mature_le_5pct_pending</x:v>
      </x:c>
      <x:c r="X225" s="12" t="n">
        <x:f>IFERROR(F225/Z225*100000,"")</x:f>
        <x:v>26.061466587276144</x:v>
      </x:c>
      <x:c r="Y225" s="13" t="n">
        <x:f>LN(Z225)</x:f>
        <x:v>14.596348051651209</x:v>
      </x:c>
      <x:c r="Z225" s="6" t="str">
        <x:v>2183300</x:v>
      </x:c>
      <x:c r="AA225" s="6" t="str">
        <x:v>264.0</x:v>
      </x:c>
      <x:c r="AB225" s="9" t="str">
        <x:v>2024-06-30</x:v>
      </x:c>
      <x:c r="AC225" s="8" t="str">
        <x:v>91.23</x:v>
      </x:c>
      <x:c r="AD225" s="9" t="str">
        <x:v>2024 (Susenas)</x:v>
      </x:c>
      <x:c r="AE225" s="8" t="str">
        <x:v>5.37</x:v>
      </x:c>
      <x:c r="AF225" s="9" t="str">
        <x:v>Maret 2024 (Susenas)</x:v>
      </x:c>
      <x:c r="AG225" s="6" t="str">
        <x:v>28.74500600210669</x:v>
      </x:c>
      <x:c r="AH225" s="8" t="str">
        <x:v>79.06030010533485</x:v>
      </x:c>
      <x:c r="AI225" s="6" t="str">
        <x:v>163.96209020385936</x:v>
      </x:c>
      <x:c r="AJ225" s="6" t="str">
        <x:v>0.7423141184211879</x:v>
      </x:c>
      <x:c r="AK225" s="8" t="str">
        <x:v>2.5205308076131314</x:v>
      </x:c>
      <x:c r="AL225" s="6" t="str">
        <x:v>3.094626563758059</x:v>
      </x:c>
      <x:c r="AM225" s="6" t="str">
        <x:v>2.0421573466059018</x:v>
      </x:c>
      <x:c r="AN225" s="6" t="str">
        <x:v>2.552438239325697</x:v>
      </x:c>
      <x:c r="AO225" s="6" t="str">
        <x:v>-0.9125702655019268</x:v>
      </x:c>
      <x:c r="AP225" s="8" t="str">
        <x:v>-0.62271003389899</x:v>
      </x:c>
      <x:c r="AQ225" s="6" t="str">
        <x:v>-0.3594718151656041</x:v>
      </x:c>
      <x:c r="AR225" s="6" t="str">
        <x:v>-0.3227436141042382</x:v>
      </x:c>
      <x:c r="AS225" s="6" t="str">
        <x:v>-0.4349751543896108</x:v>
      </x:c>
      <x:c r="AT225" s="6" t="str">
        <x:v>18.624600873171573</x:v>
      </x:c>
      <x:c r="AU225" s="8" t="str">
        <x:v>0.3114185213702335</x:v>
      </x:c>
      <x:c r="AV225" s="6" t="str">
        <x:v>-0.5479354032463714</x:v>
      </x:c>
      <x:c r="AW225" s="6" t="str">
        <x:v>1.3800136460301136</x:v>
      </x:c>
      <x:c r="AX225" s="6" t="str">
        <x:v>0.3811655880513249</x:v>
      </x:c>
      <x:c r="AY225" s="6" t="str">
        <x:v>0</x:v>
      </x:c>
      <x:c r="AZ225" s="6" t="str">
        <x:v>1</x:v>
      </x:c>
      <x:c r="BA225" s="9" t="str">
        <x:v>grid_cells_within_BIG_polygon</x:v>
      </x:c>
      <x:c r="BB225" s="6" t="str">
        <x:v>2</x:v>
      </x:c>
      <x:c r="BC225" s="6" t="str">
        <x:v>6</x:v>
      </x:c>
      <x:c r="BD225" s="6" t="str">
        <x:v>6</x:v>
      </x:c>
      <x:c r="BE225" s="6" t="str">
        <x:v>0</x:v>
      </x:c>
      <x:c r="BF225" s="6" t="str">
        <x:v>0</x:v>
      </x:c>
      <x:c r="BG225" s="6" t="str">
        <x:v>2</x:v>
      </x:c>
      <x:c r="BH225" s="6" t="str">
        <x:v>0</x:v>
      </x:c>
      <x:c r="BI225" s="6" t="str">
        <x:v>4</x:v>
      </x:c>
      <x:c r="BJ225" s="6" t="str">
        <x:v>0</x:v>
      </x:c>
      <x:c r="BK225" s="6" t="str">
        <x:v>0</x:v>
      </x:c>
      <x:c r="BL225" s="6" t="str">
        <x:v>0</x:v>
      </x:c>
      <x:c r="BM225" s="6" t="str">
        <x:v>0</x:v>
      </x:c>
      <x:c r="BN225" s="6" t="str">
        <x:v>6</x:v>
      </x:c>
      <x:c r="BO225" s="6" t="str">
        <x:v>0.0</x:v>
      </x:c>
      <x:c r="BP225" s="6" t="str">
        <x:v>6</x:v>
      </x:c>
      <x:c r="BQ225" s="6" t="str">
        <x:v>3.0</x:v>
      </x:c>
      <x:c r="BR225" s="6" t="str">
        <x:v>6</x:v>
      </x:c>
      <x:c r="BS225" s="6" t="str">
        <x:v>15.0</x:v>
      </x:c>
      <x:c r="BT225" s="6" t="str">
        <x:v>6</x:v>
      </x:c>
      <x:c r="BU225" s="6" t="str"/>
      <x:c r="BV225" s="6" t="str">
        <x:v>0</x:v>
      </x:c>
      <x:c r="BW225" s="9" t="str">
        <x:v>operational_snapshot_annual_totals_may_differ</x:v>
      </x:c>
      <x:c r="BX225" s="9" t="str">
        <x:v>official_live_dashboard_snapshot_subject_to_revision</x:v>
      </x:c>
      <x:c r="BY225" s="9" t="str">
        <x:v>https://tbdashboard.sitb.id/ss_data_tbc03so_2024_provinsi_bulanan_list.php</x:v>
      </x:c>
      <x:c r="BZ225" s="6" t="n">
        <x:v>46246.610671296294</x:v>
      </x:c>
    </x:row>
    <x:row r="226" ht="18" customHeight="1">
      <x:c r="A226" s="6" t="str">
        <x:v>21</x:v>
      </x:c>
      <x:c r="B226" s="6" t="str">
        <x:v>KEPULAUAN RIAU</x:v>
      </x:c>
      <x:c r="C226" s="6" t="str">
        <x:v>2024</x:v>
      </x:c>
      <x:c r="D226" s="6" t="str">
        <x:v>9</x:v>
      </x:c>
      <x:c r="E226" s="6" t="str">
        <x:v>2024-09</x:v>
      </x:c>
      <x:c r="F226" s="6" t="str">
        <x:v>570</x:v>
      </x:c>
      <x:c r="G226" s="6" t="str">
        <x:v>162</x:v>
      </x:c>
      <x:c r="H226" s="6" t="str">
        <x:v>313</x:v>
      </x:c>
      <x:c r="I226" s="6" t="str">
        <x:v>55</x:v>
      </x:c>
      <x:c r="J226" s="6" t="str">
        <x:v>23</x:v>
      </x:c>
      <x:c r="K226" s="6" t="str">
        <x:v>4</x:v>
      </x:c>
      <x:c r="L226" s="6" t="str">
        <x:v>2</x:v>
      </x:c>
      <x:c r="M226" s="6" t="str">
        <x:v>11</x:v>
      </x:c>
      <x:c r="N226" s="6" t="str">
        <x:v>570</x:v>
      </x:c>
      <x:c r="O226" s="6" t="str">
        <x:v>0</x:v>
      </x:c>
      <x:c r="P226" s="10" t="n">
        <x:f>F226-M226</x:f>
        <x:v>559</x:v>
      </x:c>
      <x:c r="Q226" s="11" t="n">
        <x:f>IFERROR(M226/F226,"")</x:f>
        <x:v>0.01929824561403509</x:v>
      </x:c>
      <x:c r="R226" s="10" t="n">
        <x:f>G226+H226</x:f>
        <x:v>475</x:v>
      </x:c>
      <x:c r="S226" s="11" t="n">
        <x:f>IFERROR(R226/F226,"")</x:f>
        <x:v>0.8333333333333334</x:v>
      </x:c>
      <x:c r="T226" s="11" t="n">
        <x:f>IFERROR(R226/P226,"")</x:f>
        <x:v>0.8497316636851521</x:v>
      </x:c>
      <x:c r="U226" s="10" t="n">
        <x:f>I226+J226+K226</x:f>
        <x:v>82</x:v>
      </x:c>
      <x:c r="V226" s="11" t="n">
        <x:f>IFERROR(U226/P226,"")</x:f>
        <x:v>0.14669051878354203</x:v>
      </x:c>
      <x:c r="W226" s="9" t="str">
        <x:v>mature_le_5pct_pending</x:v>
      </x:c>
      <x:c r="X226" s="12" t="n">
        <x:f>IFERROR(F226/Z226*100000,"")</x:f>
        <x:v>26.107268813264326</x:v>
      </x:c>
      <x:c r="Y226" s="13" t="n">
        <x:f>LN(Z226)</x:f>
        <x:v>14.596348051651209</x:v>
      </x:c>
      <x:c r="Z226" s="6" t="str">
        <x:v>2183300</x:v>
      </x:c>
      <x:c r="AA226" s="6" t="str">
        <x:v>264.0</x:v>
      </x:c>
      <x:c r="AB226" s="9" t="str">
        <x:v>2024-06-30</x:v>
      </x:c>
      <x:c r="AC226" s="8" t="str">
        <x:v>91.23</x:v>
      </x:c>
      <x:c r="AD226" s="9" t="str">
        <x:v>2024 (Susenas)</x:v>
      </x:c>
      <x:c r="AE226" s="8" t="str">
        <x:v>5.37</x:v>
      </x:c>
      <x:c r="AF226" s="9" t="str">
        <x:v>Maret 2024 (Susenas)</x:v>
      </x:c>
      <x:c r="AG226" s="6" t="str">
        <x:v>28.85495798525312</x:v>
      </x:c>
      <x:c r="AH226" s="8" t="str">
        <x:v>79.43420171980931</x:v>
      </x:c>
      <x:c r="AI226" s="6" t="str">
        <x:v>163.97899017534604</x:v>
      </x:c>
      <x:c r="AJ226" s="6" t="str">
        <x:v>0.8820060021066958</x:v>
      </x:c>
      <x:c r="AK226" s="8" t="str">
        <x:v>3.03822109191672</x:v>
      </x:c>
      <x:c r="AL226" s="6" t="str">
        <x:v>2.5205308076131314</x:v>
      </x:c>
      <x:c r="AM226" s="6" t="str">
        <x:v>3.094626563758059</x:v>
      </x:c>
      <x:c r="AN226" s="6" t="str">
        <x:v>2.884459487762637</x:v>
      </x:c>
      <x:c r="AO226" s="6" t="str">
        <x:v>-0.0116262443108468</x:v>
      </x:c>
      <x:c r="AP226" s="8" t="str">
        <x:v>-0.007309094801029</x:v>
      </x:c>
      <x:c r="AQ226" s="6" t="str">
        <x:v>-0.62271003389899</x:v>
      </x:c>
      <x:c r="AR226" s="6" t="str">
        <x:v>-0.3594718151656041</x:v>
      </x:c>
      <x:c r="AS226" s="6" t="str">
        <x:v>-0.3298303146218744</x:v>
      </x:c>
      <x:c r="AT226" s="6" t="str">
        <x:v>11.56257968027228</x:v>
      </x:c>
      <x:c r="AU226" s="8" t="str">
        <x:v>0.1965474910599092</x:v>
      </x:c>
      <x:c r="AV226" s="6" t="str">
        <x:v>0.3114185213702335</x:v>
      </x:c>
      <x:c r="AW226" s="6" t="str">
        <x:v>-0.5479354032463714</x:v>
      </x:c>
      <x:c r="AX226" s="6" t="str">
        <x:v>-0.0133231302720764</x:v>
      </x:c>
      <x:c r="AY226" s="6" t="str">
        <x:v>0</x:v>
      </x:c>
      <x:c r="AZ226" s="6" t="str">
        <x:v>1</x:v>
      </x:c>
      <x:c r="BA226" s="9" t="str">
        <x:v>grid_cells_within_BIG_polygon</x:v>
      </x:c>
      <x:c r="BB226" s="6" t="str">
        <x:v>2</x:v>
      </x:c>
      <x:c r="BC226" s="6" t="str">
        <x:v>6</x:v>
      </x:c>
      <x:c r="BD226" s="6" t="str">
        <x:v>6</x:v>
      </x:c>
      <x:c r="BE226" s="6" t="str">
        <x:v>0</x:v>
      </x:c>
      <x:c r="BF226" s="6" t="str">
        <x:v>0</x:v>
      </x:c>
      <x:c r="BG226" s="6" t="str">
        <x:v>5</x:v>
      </x:c>
      <x:c r="BH226" s="6" t="str">
        <x:v>0</x:v>
      </x:c>
      <x:c r="BI226" s="6" t="str">
        <x:v>1</x:v>
      </x:c>
      <x:c r="BJ226" s="6" t="str">
        <x:v>0</x:v>
      </x:c>
      <x:c r="BK226" s="6" t="str">
        <x:v>0</x:v>
      </x:c>
      <x:c r="BL226" s="6" t="str">
        <x:v>0</x:v>
      </x:c>
      <x:c r="BM226" s="6" t="str">
        <x:v>0</x:v>
      </x:c>
      <x:c r="BN226" s="6" t="str">
        <x:v>6</x:v>
      </x:c>
      <x:c r="BO226" s="6" t="str">
        <x:v>2.0</x:v>
      </x:c>
      <x:c r="BP226" s="6" t="str">
        <x:v>6</x:v>
      </x:c>
      <x:c r="BQ226" s="6" t="str">
        <x:v>0.0</x:v>
      </x:c>
      <x:c r="BR226" s="6" t="str">
        <x:v>6</x:v>
      </x:c>
      <x:c r="BS226" s="6" t="str">
        <x:v>532.0</x:v>
      </x:c>
      <x:c r="BT226" s="6" t="str">
        <x:v>6</x:v>
      </x:c>
      <x:c r="BU226" s="6" t="str"/>
      <x:c r="BV226" s="6" t="str">
        <x:v>0</x:v>
      </x:c>
      <x:c r="BW226" s="9" t="str">
        <x:v>operational_snapshot_annual_totals_may_differ</x:v>
      </x:c>
      <x:c r="BX226" s="9" t="str">
        <x:v>official_live_dashboard_snapshot_subject_to_revision</x:v>
      </x:c>
      <x:c r="BY226" s="9" t="str">
        <x:v>https://tbdashboard.sitb.id/ss_data_tbc03so_2024_provinsi_bulanan_list.php</x:v>
      </x:c>
      <x:c r="BZ226" s="6" t="n">
        <x:v>46246.610671296294</x:v>
      </x:c>
    </x:row>
    <x:row r="227" ht="18" customHeight="1">
      <x:c r="A227" s="6" t="str">
        <x:v>21</x:v>
      </x:c>
      <x:c r="B227" s="6" t="str">
        <x:v>KEPULAUAN RIAU</x:v>
      </x:c>
      <x:c r="C227" s="6" t="str">
        <x:v>2024</x:v>
      </x:c>
      <x:c r="D227" s="6" t="str">
        <x:v>10</x:v>
      </x:c>
      <x:c r="E227" s="6" t="str">
        <x:v>2024-10</x:v>
      </x:c>
      <x:c r="F227" s="6" t="str">
        <x:v>566</x:v>
      </x:c>
      <x:c r="G227" s="6" t="str">
        <x:v>140</x:v>
      </x:c>
      <x:c r="H227" s="6" t="str">
        <x:v>324</x:v>
      </x:c>
      <x:c r="I227" s="6" t="str">
        <x:v>60</x:v>
      </x:c>
      <x:c r="J227" s="6" t="str">
        <x:v>29</x:v>
      </x:c>
      <x:c r="K227" s="6" t="str">
        <x:v>2</x:v>
      </x:c>
      <x:c r="L227" s="6" t="str">
        <x:v>0</x:v>
      </x:c>
      <x:c r="M227" s="6" t="str">
        <x:v>11</x:v>
      </x:c>
      <x:c r="N227" s="6" t="str">
        <x:v>566</x:v>
      </x:c>
      <x:c r="O227" s="6" t="str">
        <x:v>0</x:v>
      </x:c>
      <x:c r="P227" s="10" t="n">
        <x:f>F227-M227</x:f>
        <x:v>555</x:v>
      </x:c>
      <x:c r="Q227" s="11" t="n">
        <x:f>IFERROR(M227/F227,"")</x:f>
        <x:v>0.019434628975265017</x:v>
      </x:c>
      <x:c r="R227" s="10" t="n">
        <x:f>G227+H227</x:f>
        <x:v>464</x:v>
      </x:c>
      <x:c r="S227" s="11" t="n">
        <x:f>IFERROR(R227/F227,"")</x:f>
        <x:v>0.8197879858657244</x:v>
      </x:c>
      <x:c r="T227" s="11" t="n">
        <x:f>IFERROR(R227/P227,"")</x:f>
        <x:v>0.836036036036036</x:v>
      </x:c>
      <x:c r="U227" s="10" t="n">
        <x:f>I227+J227+K227</x:f>
        <x:v>91</x:v>
      </x:c>
      <x:c r="V227" s="11" t="n">
        <x:f>IFERROR(U227/P227,"")</x:f>
        <x:v>0.16396396396396395</x:v>
      </x:c>
      <x:c r="W227" s="9" t="str">
        <x:v>mature_le_5pct_pending</x:v>
      </x:c>
      <x:c r="X227" s="12" t="n">
        <x:f>IFERROR(F227/Z227*100000,"")</x:f>
        <x:v>25.92405990931159</x:v>
      </x:c>
      <x:c r="Y227" s="13" t="n">
        <x:f>LN(Z227)</x:f>
        <x:v>14.596348051651209</x:v>
      </x:c>
      <x:c r="Z227" s="6" t="str">
        <x:v>2183300</x:v>
      </x:c>
      <x:c r="AA227" s="6" t="str">
        <x:v>264.0</x:v>
      </x:c>
      <x:c r="AB227" s="9" t="str">
        <x:v>2024-06-30</x:v>
      </x:c>
      <x:c r="AC227" s="8" t="str">
        <x:v>91.23</x:v>
      </x:c>
      <x:c r="AD227" s="9" t="str">
        <x:v>2024 (Susenas)</x:v>
      </x:c>
      <x:c r="AE227" s="8" t="str">
        <x:v>5.37</x:v>
      </x:c>
      <x:c r="AF227" s="9" t="str">
        <x:v>Maret 2024 (Susenas)</x:v>
      </x:c>
      <x:c r="AG227" s="6" t="str">
        <x:v>28.800144050560725</x:v>
      </x:c>
      <x:c r="AH227" s="8" t="str">
        <x:v>79.36439378722362</x:v>
      </x:c>
      <x:c r="AI227" s="6" t="str">
        <x:v>233.96030892296903</x:v>
      </x:c>
      <x:c r="AJ227" s="6" t="str">
        <x:v>0.9269339686556216</x:v>
      </x:c>
      <x:c r="AK227" s="8" t="str">
        <x:v>2.881528246423495</x:v>
      </x:c>
      <x:c r="AL227" s="6" t="str">
        <x:v>3.03822109191672</x:v>
      </x:c>
      <x:c r="AM227" s="6" t="str">
        <x:v>2.5205308076131314</x:v>
      </x:c>
      <x:c r="AN227" s="6" t="str">
        <x:v>2.813426715317782</x:v>
      </x:c>
      <x:c r="AO227" s="6" t="str">
        <x:v>-0.2818163437057848</x:v>
      </x:c>
      <x:c r="AP227" s="8" t="str">
        <x:v>-0.1365112966296708</x:v>
      </x:c>
      <x:c r="AQ227" s="6" t="str">
        <x:v>-0.007309094801029</x:v>
      </x:c>
      <x:c r="AR227" s="6" t="str">
        <x:v>-0.62271003389899</x:v>
      </x:c>
      <x:c r="AS227" s="6" t="str">
        <x:v>-0.2555101417765633</x:v>
      </x:c>
      <x:c r="AT227" s="6" t="str">
        <x:v>35.62795265067422</x:v>
      </x:c>
      <x:c r="AU227" s="8" t="str">
        <x:v>0.5973558923326373</x:v>
      </x:c>
      <x:c r="AV227" s="6" t="str">
        <x:v>0.1965474910599092</x:v>
      </x:c>
      <x:c r="AW227" s="6" t="str">
        <x:v>0.3114185213702335</x:v>
      </x:c>
      <x:c r="AX227" s="6" t="str">
        <x:v>0.3684406349209264</x:v>
      </x:c>
      <x:c r="AY227" s="6" t="str">
        <x:v>0</x:v>
      </x:c>
      <x:c r="AZ227" s="6" t="str">
        <x:v>1</x:v>
      </x:c>
      <x:c r="BA227" s="9" t="str">
        <x:v>grid_cells_within_BIG_polygon</x:v>
      </x:c>
      <x:c r="BB227" s="6" t="str">
        <x:v>2</x:v>
      </x:c>
      <x:c r="BC227" s="6" t="str">
        <x:v>2</x:v>
      </x:c>
      <x:c r="BD227" s="6" t="str">
        <x:v>2</x:v>
      </x:c>
      <x:c r="BE227" s="6" t="str">
        <x:v>0</x:v>
      </x:c>
      <x:c r="BF227" s="6" t="str">
        <x:v>0</x:v>
      </x:c>
      <x:c r="BG227" s="6" t="str">
        <x:v>1</x:v>
      </x:c>
      <x:c r="BH227" s="6" t="str">
        <x:v>0</x:v>
      </x:c>
      <x:c r="BI227" s="6" t="str">
        <x:v>1</x:v>
      </x:c>
      <x:c r="BJ227" s="6" t="str">
        <x:v>0</x:v>
      </x:c>
      <x:c r="BK227" s="6" t="str">
        <x:v>0</x:v>
      </x:c>
      <x:c r="BL227" s="6" t="str">
        <x:v>0</x:v>
      </x:c>
      <x:c r="BM227" s="6" t="str">
        <x:v>0</x:v>
      </x:c>
      <x:c r="BN227" s="6" t="str">
        <x:v>2</x:v>
      </x:c>
      <x:c r="BO227" s="6" t="str">
        <x:v>0.0</x:v>
      </x:c>
      <x:c r="BP227" s="6" t="str">
        <x:v>2</x:v>
      </x:c>
      <x:c r="BQ227" s="6" t="str">
        <x:v>0.0</x:v>
      </x:c>
      <x:c r="BR227" s="6" t="str">
        <x:v>2</x:v>
      </x:c>
      <x:c r="BS227" s="6" t="str">
        <x:v>57.0</x:v>
      </x:c>
      <x:c r="BT227" s="6" t="str">
        <x:v>2</x:v>
      </x:c>
      <x:c r="BU227" s="6" t="str"/>
      <x:c r="BV227" s="6" t="str">
        <x:v>0</x:v>
      </x:c>
      <x:c r="BW227" s="9" t="str">
        <x:v>operational_snapshot_annual_totals_may_differ</x:v>
      </x:c>
      <x:c r="BX227" s="9" t="str">
        <x:v>official_live_dashboard_snapshot_subject_to_revision</x:v>
      </x:c>
      <x:c r="BY227" s="9" t="str">
        <x:v>https://tbdashboard.sitb.id/ss_data_tbc03so_2024_provinsi_bulanan_list.php</x:v>
      </x:c>
      <x:c r="BZ227" s="6" t="n">
        <x:v>46246.610671296294</x:v>
      </x:c>
    </x:row>
    <x:row r="228" ht="18" customHeight="1">
      <x:c r="A228" s="6" t="str">
        <x:v>21</x:v>
      </x:c>
      <x:c r="B228" s="6" t="str">
        <x:v>KEPULAUAN RIAU</x:v>
      </x:c>
      <x:c r="C228" s="6" t="str">
        <x:v>2024</x:v>
      </x:c>
      <x:c r="D228" s="6" t="str">
        <x:v>11</x:v>
      </x:c>
      <x:c r="E228" s="6" t="str">
        <x:v>2024-11</x:v>
      </x:c>
      <x:c r="F228" s="6" t="str">
        <x:v>548</x:v>
      </x:c>
      <x:c r="G228" s="6" t="str">
        <x:v>168</x:v>
      </x:c>
      <x:c r="H228" s="6" t="str">
        <x:v>286</x:v>
      </x:c>
      <x:c r="I228" s="6" t="str">
        <x:v>55</x:v>
      </x:c>
      <x:c r="J228" s="6" t="str">
        <x:v>26</x:v>
      </x:c>
      <x:c r="K228" s="6" t="str">
        <x:v>1</x:v>
      </x:c>
      <x:c r="L228" s="6" t="str">
        <x:v>1</x:v>
      </x:c>
      <x:c r="M228" s="6" t="str">
        <x:v>11</x:v>
      </x:c>
      <x:c r="N228" s="6" t="str">
        <x:v>548</x:v>
      </x:c>
      <x:c r="O228" s="6" t="str">
        <x:v>0</x:v>
      </x:c>
      <x:c r="P228" s="10" t="n">
        <x:f>F228-M228</x:f>
        <x:v>537</x:v>
      </x:c>
      <x:c r="Q228" s="11" t="n">
        <x:f>IFERROR(M228/F228,"")</x:f>
        <x:v>0.020072992700729927</x:v>
      </x:c>
      <x:c r="R228" s="10" t="n">
        <x:f>G228+H228</x:f>
        <x:v>454</x:v>
      </x:c>
      <x:c r="S228" s="11" t="n">
        <x:f>IFERROR(R228/F228,"")</x:f>
        <x:v>0.8284671532846716</x:v>
      </x:c>
      <x:c r="T228" s="11" t="n">
        <x:f>IFERROR(R228/P228,"")</x:f>
        <x:v>0.845437616387337</x:v>
      </x:c>
      <x:c r="U228" s="10" t="n">
        <x:f>I228+J228+K228</x:f>
        <x:v>82</x:v>
      </x:c>
      <x:c r="V228" s="11" t="n">
        <x:f>IFERROR(U228/P228,"")</x:f>
        <x:v>0.1527001862197393</x:v>
      </x:c>
      <x:c r="W228" s="9" t="str">
        <x:v>mature_le_5pct_pending</x:v>
      </x:c>
      <x:c r="X228" s="12" t="n">
        <x:f>IFERROR(F228/Z228*100000,"")</x:f>
        <x:v>25.099619841524298</x:v>
      </x:c>
      <x:c r="Y228" s="13" t="n">
        <x:f>LN(Z228)</x:f>
        <x:v>14.596348051651209</x:v>
      </x:c>
      <x:c r="Z228" s="6" t="str">
        <x:v>2183300</x:v>
      </x:c>
      <x:c r="AA228" s="6" t="str">
        <x:v>264.0</x:v>
      </x:c>
      <x:c r="AB228" s="9" t="str">
        <x:v>2024-06-30</x:v>
      </x:c>
      <x:c r="AC228" s="8" t="str">
        <x:v>91.23</x:v>
      </x:c>
      <x:c r="AD228" s="9" t="str">
        <x:v>2024 (Susenas)</x:v>
      </x:c>
      <x:c r="AE228" s="8" t="str">
        <x:v>5.37</x:v>
      </x:c>
      <x:c r="AF228" s="9" t="str">
        <x:v>Maret 2024 (Susenas)</x:v>
      </x:c>
      <x:c r="AG228" s="6" t="str">
        <x:v>28.57</x:v>
      </x:c>
      <x:c r="AH228" s="8" t="str">
        <x:v>79.698415443832</x:v>
      </x:c>
      <x:c r="AI228" s="6" t="str">
        <x:v>234.87623165748025</x:v>
      </x:c>
      <x:c r="AJ228" s="6" t="str">
        <x:v>0.9903853597620902</x:v>
      </x:c>
      <x:c r="AK228" s="8" t="str">
        <x:v>2.4067153339091014</x:v>
      </x:c>
      <x:c r="AL228" s="6" t="str">
        <x:v>2.881528246423495</x:v>
      </x:c>
      <x:c r="AM228" s="6" t="str">
        <x:v>3.03822109191672</x:v>
      </x:c>
      <x:c r="AN228" s="6" t="str">
        <x:v>2.7754882240831056</x:v>
      </x:c>
      <x:c r="AO228" s="6" t="str">
        <x:v>-2.0431276366317093</x:v>
      </x:c>
      <x:c r="AP228" s="8" t="str">
        <x:v>-0.9807484615792456</x:v>
      </x:c>
      <x:c r="AQ228" s="6" t="str">
        <x:v>-0.1365112966296708</x:v>
      </x:c>
      <x:c r="AR228" s="6" t="str">
        <x:v>-0.007309094801029</x:v>
      </x:c>
      <x:c r="AS228" s="6" t="str">
        <x:v>-0.3748562843366486</x:v>
      </x:c>
      <x:c r="AT228" s="6" t="str">
        <x:v>-3.036144931650256</x:v>
      </x:c>
      <x:c r="AU228" s="8" t="str">
        <x:v>-0.0683906536374412</x:v>
      </x:c>
      <x:c r="AV228" s="6" t="str">
        <x:v>0.5973558923326373</x:v>
      </x:c>
      <x:c r="AW228" s="6" t="str">
        <x:v>0.1965474910599092</x:v>
      </x:c>
      <x:c r="AX228" s="6" t="str">
        <x:v>0.2418375765850347</x:v>
      </x:c>
      <x:c r="AY228" s="6" t="str">
        <x:v>0</x:v>
      </x:c>
      <x:c r="AZ228" s="6" t="str">
        <x:v>1</x:v>
      </x:c>
      <x:c r="BA228" s="9" t="str">
        <x:v>grid_cells_within_BIG_polygon</x:v>
      </x:c>
      <x:c r="BB228" s="6" t="str">
        <x:v>2</x:v>
      </x:c>
      <x:c r="BC228" s="6" t="str">
        <x:v>1</x:v>
      </x:c>
      <x:c r="BD228" s="6" t="str">
        <x:v>1</x:v>
      </x:c>
      <x:c r="BE228" s="6" t="str">
        <x:v>0</x:v>
      </x:c>
      <x:c r="BF228" s="6" t="str">
        <x:v>0</x:v>
      </x:c>
      <x:c r="BG228" s="6" t="str">
        <x:v>0</x:v>
      </x:c>
      <x:c r="BH228" s="6" t="str">
        <x:v>0</x:v>
      </x:c>
      <x:c r="BI228" s="6" t="str">
        <x:v>1</x:v>
      </x:c>
      <x:c r="BJ228" s="6" t="str">
        <x:v>0</x:v>
      </x:c>
      <x:c r="BK228" s="6" t="str">
        <x:v>0</x:v>
      </x:c>
      <x:c r="BL228" s="6" t="str">
        <x:v>0</x:v>
      </x:c>
      <x:c r="BM228" s="6" t="str">
        <x:v>0</x:v>
      </x:c>
      <x:c r="BN228" s="6" t="str">
        <x:v>1</x:v>
      </x:c>
      <x:c r="BO228" s="6" t="str">
        <x:v>0.0</x:v>
      </x:c>
      <x:c r="BP228" s="6" t="str">
        <x:v>1</x:v>
      </x:c>
      <x:c r="BQ228" s="6" t="str">
        <x:v>0.0</x:v>
      </x:c>
      <x:c r="BR228" s="6" t="str">
        <x:v>1</x:v>
      </x:c>
      <x:c r="BS228" s="6" t="str">
        <x:v>0.0</x:v>
      </x:c>
      <x:c r="BT228" s="6" t="str">
        <x:v>1</x:v>
      </x:c>
      <x:c r="BU228" s="6" t="str"/>
      <x:c r="BV228" s="6" t="str">
        <x:v>0</x:v>
      </x:c>
      <x:c r="BW228" s="9" t="str">
        <x:v>operational_snapshot_annual_totals_may_differ</x:v>
      </x:c>
      <x:c r="BX228" s="9" t="str">
        <x:v>official_live_dashboard_snapshot_subject_to_revision</x:v>
      </x:c>
      <x:c r="BY228" s="9" t="str">
        <x:v>https://tbdashboard.sitb.id/ss_data_tbc03so_2024_provinsi_bulanan_list.php</x:v>
      </x:c>
      <x:c r="BZ228" s="6" t="n">
        <x:v>46246.610671296294</x:v>
      </x:c>
    </x:row>
    <x:row r="229" ht="18" customHeight="1">
      <x:c r="A229" s="6" t="str">
        <x:v>21</x:v>
      </x:c>
      <x:c r="B229" s="6" t="str">
        <x:v>KEPULAUAN RIAU</x:v>
      </x:c>
      <x:c r="C229" s="6" t="str">
        <x:v>2024</x:v>
      </x:c>
      <x:c r="D229" s="6" t="str">
        <x:v>12</x:v>
      </x:c>
      <x:c r="E229" s="6" t="str">
        <x:v>2024-12</x:v>
      </x:c>
      <x:c r="F229" s="6" t="str">
        <x:v>538</x:v>
      </x:c>
      <x:c r="G229" s="6" t="str">
        <x:v>176</x:v>
      </x:c>
      <x:c r="H229" s="6" t="str">
        <x:v>266</x:v>
      </x:c>
      <x:c r="I229" s="6" t="str">
        <x:v>52</x:v>
      </x:c>
      <x:c r="J229" s="6" t="str">
        <x:v>30</x:v>
      </x:c>
      <x:c r="K229" s="6" t="str">
        <x:v>1</x:v>
      </x:c>
      <x:c r="L229" s="6" t="str">
        <x:v>0</x:v>
      </x:c>
      <x:c r="M229" s="6" t="str">
        <x:v>13</x:v>
      </x:c>
      <x:c r="N229" s="6" t="str">
        <x:v>538</x:v>
      </x:c>
      <x:c r="O229" s="6" t="str">
        <x:v>0</x:v>
      </x:c>
      <x:c r="P229" s="10" t="n">
        <x:f>F229-M229</x:f>
        <x:v>525</x:v>
      </x:c>
      <x:c r="Q229" s="11" t="n">
        <x:f>IFERROR(M229/F229,"")</x:f>
        <x:v>0.024163568773234202</x:v>
      </x:c>
      <x:c r="R229" s="10" t="n">
        <x:f>G229+H229</x:f>
        <x:v>442</x:v>
      </x:c>
      <x:c r="S229" s="11" t="n">
        <x:f>IFERROR(R229/F229,"")</x:f>
        <x:v>0.8215613382899628</x:v>
      </x:c>
      <x:c r="T229" s="11" t="n">
        <x:f>IFERROR(R229/P229,"")</x:f>
        <x:v>0.8419047619047619</x:v>
      </x:c>
      <x:c r="U229" s="10" t="n">
        <x:f>I229+J229+K229</x:f>
        <x:v>83</x:v>
      </x:c>
      <x:c r="V229" s="11" t="n">
        <x:f>IFERROR(U229/P229,"")</x:f>
        <x:v>0.1580952380952381</x:v>
      </x:c>
      <x:c r="W229" s="9" t="str">
        <x:v>mature_le_5pct_pending</x:v>
      </x:c>
      <x:c r="X229" s="12" t="n">
        <x:f>IFERROR(F229/Z229*100000,"")</x:f>
        <x:v>24.64159758164247</x:v>
      </x:c>
      <x:c r="Y229" s="13" t="n">
        <x:f>LN(Z229)</x:f>
        <x:v>14.596348051651209</x:v>
      </x:c>
      <x:c r="Z229" s="6" t="str">
        <x:v>2183300</x:v>
      </x:c>
      <x:c r="AA229" s="6" t="str">
        <x:v>264.0</x:v>
      </x:c>
      <x:c r="AB229" s="9" t="str">
        <x:v>2024-06-30</x:v>
      </x:c>
      <x:c r="AC229" s="8" t="str">
        <x:v>91.23</x:v>
      </x:c>
      <x:c r="AD229" s="9" t="str">
        <x:v>2024 (Susenas)</x:v>
      </x:c>
      <x:c r="AE229" s="8" t="str">
        <x:v>5.37</x:v>
      </x:c>
      <x:c r="AF229" s="9" t="str">
        <x:v>Maret 2024 (Susenas)</x:v>
      </x:c>
      <x:c r="AG229" s="6" t="str">
        <x:v>27.90535412429512</x:v>
      </x:c>
      <x:c r="AH229" s="8" t="str">
        <x:v>83.28759915732122</x:v>
      </x:c>
      <x:c r="AI229" s="6" t="str">
        <x:v>194.39344422875809</x:v>
      </x:c>
      <x:c r="AJ229" s="6" t="str">
        <x:v>0.8597586989693511</x:v>
      </x:c>
      <x:c r="AK229" s="8" t="str">
        <x:v>1.9110170430469724</x:v>
      </x:c>
      <x:c r="AL229" s="6" t="str">
        <x:v>2.4067153339091014</x:v>
      </x:c>
      <x:c r="AM229" s="6" t="str">
        <x:v>2.881528246423495</x:v>
      </x:c>
      <x:c r="AN229" s="6" t="str">
        <x:v>2.399753541126523</x:v>
      </x:c>
      <x:c r="AO229" s="6" t="str">
        <x:v>-1.504712625623</x:v>
      </x:c>
      <x:c r="AP229" s="8" t="str">
        <x:v>-0.9877460328752944</x:v>
      </x:c>
      <x:c r="AQ229" s="6" t="str">
        <x:v>-0.9807484615792456</x:v>
      </x:c>
      <x:c r="AR229" s="6" t="str">
        <x:v>-0.1365112966296708</x:v>
      </x:c>
      <x:c r="AS229" s="6" t="str">
        <x:v>-0.7016685970280704</x:v>
      </x:c>
      <x:c r="AT229" s="6" t="str">
        <x:v>-63.9588687791196</x:v>
      </x:c>
      <x:c r="AU229" s="8" t="str">
        <x:v>-1.228876474364324</x:v>
      </x:c>
      <x:c r="AV229" s="6" t="str">
        <x:v>-0.0683906536374412</x:v>
      </x:c>
      <x:c r="AW229" s="6" t="str">
        <x:v>0.5973558923326373</x:v>
      </x:c>
      <x:c r="AX229" s="6" t="str">
        <x:v>-0.233303745223043</x:v>
      </x:c>
      <x:c r="AY229" s="6" t="str">
        <x:v>0</x:v>
      </x:c>
      <x:c r="AZ229" s="6" t="str">
        <x:v>1</x:v>
      </x:c>
      <x:c r="BA229" s="9" t="str">
        <x:v>grid_cells_within_BIG_polygon</x:v>
      </x:c>
      <x:c r="BB229" s="6" t="str">
        <x:v>2</x:v>
      </x:c>
      <x:c r="BC229" s="6" t="str">
        <x:v>2</x:v>
      </x:c>
      <x:c r="BD229" s="6" t="str">
        <x:v>2</x:v>
      </x:c>
      <x:c r="BE229" s="6" t="str">
        <x:v>1</x:v>
      </x:c>
      <x:c r="BF229" s="6" t="str">
        <x:v>0</x:v>
      </x:c>
      <x:c r="BG229" s="6" t="str">
        <x:v>0</x:v>
      </x:c>
      <x:c r="BH229" s="6" t="str">
        <x:v>0</x:v>
      </x:c>
      <x:c r="BI229" s="6" t="str">
        <x:v>1</x:v>
      </x:c>
      <x:c r="BJ229" s="6" t="str">
        <x:v>0</x:v>
      </x:c>
      <x:c r="BK229" s="6" t="str">
        <x:v>0</x:v>
      </x:c>
      <x:c r="BL229" s="6" t="str">
        <x:v>0</x:v>
      </x:c>
      <x:c r="BM229" s="6" t="str">
        <x:v>0</x:v>
      </x:c>
      <x:c r="BN229" s="6" t="str">
        <x:v>2</x:v>
      </x:c>
      <x:c r="BO229" s="6" t="str">
        <x:v>0.0</x:v>
      </x:c>
      <x:c r="BP229" s="6" t="str">
        <x:v>2</x:v>
      </x:c>
      <x:c r="BQ229" s="6" t="str">
        <x:v>0.0</x:v>
      </x:c>
      <x:c r="BR229" s="6" t="str">
        <x:v>2</x:v>
      </x:c>
      <x:c r="BS229" s="6" t="str">
        <x:v>0.0</x:v>
      </x:c>
      <x:c r="BT229" s="6" t="str">
        <x:v>2</x:v>
      </x:c>
      <x:c r="BU229" s="6" t="str">
        <x:v>7.0</x:v>
      </x:c>
      <x:c r="BV229" s="6" t="str">
        <x:v>1</x:v>
      </x:c>
      <x:c r="BW229" s="9" t="str">
        <x:v>operational_snapshot_annual_totals_may_differ</x:v>
      </x:c>
      <x:c r="BX229" s="9" t="str">
        <x:v>official_live_dashboard_snapshot_subject_to_revision</x:v>
      </x:c>
      <x:c r="BY229" s="9" t="str">
        <x:v>https://tbdashboard.sitb.id/ss_data_tbc03so_2024_provinsi_bulanan_list.php</x:v>
      </x:c>
      <x:c r="BZ229" s="6" t="n">
        <x:v>46246.610671296294</x:v>
      </x:c>
    </x:row>
    <x:row r="230" ht="18" customHeight="1">
      <x:c r="A230" s="6" t="str">
        <x:v>21</x:v>
      </x:c>
      <x:c r="B230" s="6" t="str">
        <x:v>KEPULAUAN RIAU</x:v>
      </x:c>
      <x:c r="C230" s="6" t="str">
        <x:v>2025</x:v>
      </x:c>
      <x:c r="D230" s="6" t="str">
        <x:v>1</x:v>
      </x:c>
      <x:c r="E230" s="6" t="str">
        <x:v>2025-01</x:v>
      </x:c>
      <x:c r="F230" s="6" t="str">
        <x:v>609</x:v>
      </x:c>
      <x:c r="G230" s="6" t="str">
        <x:v>167</x:v>
      </x:c>
      <x:c r="H230" s="6" t="str">
        <x:v>312</x:v>
      </x:c>
      <x:c r="I230" s="6" t="str">
        <x:v>50</x:v>
      </x:c>
      <x:c r="J230" s="6" t="str">
        <x:v>29</x:v>
      </x:c>
      <x:c r="K230" s="6" t="str">
        <x:v>1</x:v>
      </x:c>
      <x:c r="L230" s="6" t="str">
        <x:v>1</x:v>
      </x:c>
      <x:c r="M230" s="6" t="str">
        <x:v>49</x:v>
      </x:c>
      <x:c r="N230" s="6" t="str">
        <x:v>609</x:v>
      </x:c>
      <x:c r="O230" s="6" t="str">
        <x:v>0</x:v>
      </x:c>
      <x:c r="P230" s="10" t="n">
        <x:f>F230-M230</x:f>
        <x:v>560</x:v>
      </x:c>
      <x:c r="Q230" s="11" t="n">
        <x:f>IFERROR(M230/F230,"")</x:f>
        <x:v>0.08045977011494253</x:v>
      </x:c>
      <x:c r="R230" s="10" t="n">
        <x:f>G230+H230</x:f>
        <x:v>479</x:v>
      </x:c>
      <x:c r="S230" s="11" t="n">
        <x:f>IFERROR(R230/F230,"")</x:f>
        <x:v>0.7865353037766831</x:v>
      </x:c>
      <x:c r="T230" s="11" t="n">
        <x:f>IFERROR(R230/P230,"")</x:f>
        <x:v>0.8553571428571428</x:v>
      </x:c>
      <x:c r="U230" s="10" t="n">
        <x:f>I230+J230+K230</x:f>
        <x:v>80</x:v>
      </x:c>
      <x:c r="V230" s="11" t="n">
        <x:f>IFERROR(U230/P230,"")</x:f>
        <x:v>0.14285714285714285</x:v>
      </x:c>
      <x:c r="W230" s="9" t="str">
        <x:v>provisional_gt_5pct_pending</x:v>
      </x:c>
      <x:c r="X230" s="12" t="n">
        <x:f>IFERROR(F230/Z230*100000,"")</x:f>
        <x:v>27.51298847978315</x:v>
      </x:c>
      <x:c r="Y230" s="13" t="n">
        <x:f>LN(Z230)</x:f>
        <x:v>14.610085531154333</x:v>
      </x:c>
      <x:c r="Z230" s="6" t="str">
        <x:v>2213500</x:v>
      </x:c>
      <x:c r="AA230" s="6" t="str">
        <x:v>268.0</x:v>
      </x:c>
      <x:c r="AB230" s="9" t="str">
        <x:v>2025-06-30</x:v>
      </x:c>
      <x:c r="AC230" s="8" t="str">
        <x:v>90.96</x:v>
      </x:c>
      <x:c r="AD230" s="9" t="str">
        <x:v>2025 (Susenas)</x:v>
      </x:c>
      <x:c r="AE230" s="8" t="str">
        <x:v>4.44</x:v>
      </x:c>
      <x:c r="AF230" s="9" t="str">
        <x:v>Maret 2025 (Susenas)</x:v>
      </x:c>
      <x:c r="AG230" s="6" t="str">
        <x:v>26.790648227523267</x:v>
      </x:c>
      <x:c r="AH230" s="8" t="str">
        <x:v>87.79280923105561</x:v>
      </x:c>
      <x:c r="AI230" s="6" t="str">
        <x:v>415.388828482778</x:v>
      </x:c>
      <x:c r="AJ230" s="6" t="str">
        <x:v>0.1590360044694669</x:v>
      </x:c>
      <x:c r="AK230" s="8" t="str">
        <x:v>0.2822465112103887</x:v>
      </x:c>
      <x:c r="AL230" s="6" t="str">
        <x:v>1.9110170430469724</x:v>
      </x:c>
      <x:c r="AM230" s="6" t="str">
        <x:v>2.4067153339091014</x:v>
      </x:c>
      <x:c r="AN230" s="6" t="str">
        <x:v>1.533326296055488</x:v>
      </x:c>
      <x:c r="AO230" s="6" t="str">
        <x:v>2.8760596699508056</x:v>
      </x:c>
      <x:c r="AP230" s="8" t="str">
        <x:v>1.5934852707826122</x:v>
      </x:c>
      <x:c r="AQ230" s="6" t="str">
        <x:v>-0.9877460328752944</x:v>
      </x:c>
      <x:c r="AR230" s="6" t="str">
        <x:v>-0.9807484615792456</x:v>
      </x:c>
      <x:c r="AS230" s="6" t="str">
        <x:v>-0.1250030745573094</x:v>
      </x:c>
      <x:c r="AT230" s="6" t="str">
        <x:v>243.1117062767521</x:v>
      </x:c>
      <x:c r="AU230" s="8" t="str">
        <x:v>3.654055716801461</x:v>
      </x:c>
      <x:c r="AV230" s="6" t="str">
        <x:v>-1.228876474364324</x:v>
      </x:c>
      <x:c r="AW230" s="6" t="str">
        <x:v>-0.0683906536374412</x:v>
      </x:c>
      <x:c r="AX230" s="6" t="str">
        <x:v>0.7855961962665647</x:v>
      </x:c>
      <x:c r="AY230" s="6" t="str">
        <x:v>1</x:v>
      </x:c>
      <x:c r="AZ230" s="6" t="str">
        <x:v>0</x:v>
      </x:c>
      <x:c r="BA230" s="9" t="str">
        <x:v>grid_cells_within_BIG_polygon</x:v>
      </x:c>
      <x:c r="BB230" s="6" t="str">
        <x:v>2</x:v>
      </x:c>
      <x:c r="BC230" s="6" t="str">
        <x:v>3</x:v>
      </x:c>
      <x:c r="BD230" s="6" t="str">
        <x:v>3</x:v>
      </x:c>
      <x:c r="BE230" s="6" t="str">
        <x:v>0</x:v>
      </x:c>
      <x:c r="BF230" s="6" t="str">
        <x:v>1</x:v>
      </x:c>
      <x:c r="BG230" s="6" t="str">
        <x:v>0</x:v>
      </x:c>
      <x:c r="BH230" s="6" t="str">
        <x:v>0</x:v>
      </x:c>
      <x:c r="BI230" s="6" t="str">
        <x:v>2</x:v>
      </x:c>
      <x:c r="BJ230" s="6" t="str">
        <x:v>0</x:v>
      </x:c>
      <x:c r="BK230" s="6" t="str">
        <x:v>0</x:v>
      </x:c>
      <x:c r="BL230" s="6" t="str">
        <x:v>0</x:v>
      </x:c>
      <x:c r="BM230" s="6" t="str">
        <x:v>0</x:v>
      </x:c>
      <x:c r="BN230" s="6" t="str">
        <x:v>3</x:v>
      </x:c>
      <x:c r="BO230" s="6" t="str">
        <x:v>4.0</x:v>
      </x:c>
      <x:c r="BP230" s="6" t="str">
        <x:v>3</x:v>
      </x:c>
      <x:c r="BQ230" s="6" t="str">
        <x:v>5.0</x:v>
      </x:c>
      <x:c r="BR230" s="6" t="str">
        <x:v>3</x:v>
      </x:c>
      <x:c r="BS230" s="6" t="str">
        <x:v>5.0</x:v>
      </x:c>
      <x:c r="BT230" s="6" t="str">
        <x:v>3</x:v>
      </x:c>
      <x:c r="BU230" s="6" t="str">
        <x:v>0.0</x:v>
      </x:c>
      <x:c r="BV230" s="6" t="str">
        <x:v>1</x:v>
      </x:c>
      <x:c r="BW230" s="9" t="str">
        <x:v>operational_snapshot_annual_totals_may_differ</x:v>
      </x:c>
      <x:c r="BX230" s="9" t="str">
        <x:v>official_live_dashboard_snapshot_subject_to_revision</x:v>
      </x:c>
      <x:c r="BY230" s="9" t="str">
        <x:v>https://tbdashboard.sitb.id/ss_data_tbc03so_2025_provinsi_bulanan_list.php</x:v>
      </x:c>
      <x:c r="BZ230" s="6" t="n">
        <x:v>46246.610671296294</x:v>
      </x:c>
    </x:row>
    <x:row r="231" ht="18" customHeight="1">
      <x:c r="A231" s="6" t="str">
        <x:v>21</x:v>
      </x:c>
      <x:c r="B231" s="6" t="str">
        <x:v>KEPULAUAN RIAU</x:v>
      </x:c>
      <x:c r="C231" s="6" t="str">
        <x:v>2025</x:v>
      </x:c>
      <x:c r="D231" s="6" t="str">
        <x:v>2</x:v>
      </x:c>
      <x:c r="E231" s="6" t="str">
        <x:v>2025-02</x:v>
      </x:c>
      <x:c r="F231" s="6" t="str">
        <x:v>588</x:v>
      </x:c>
      <x:c r="G231" s="6" t="str">
        <x:v>177</x:v>
      </x:c>
      <x:c r="H231" s="6" t="str">
        <x:v>283</x:v>
      </x:c>
      <x:c r="I231" s="6" t="str">
        <x:v>54</x:v>
      </x:c>
      <x:c r="J231" s="6" t="str">
        <x:v>26</x:v>
      </x:c>
      <x:c r="K231" s="6" t="str">
        <x:v>1</x:v>
      </x:c>
      <x:c r="L231" s="6" t="str">
        <x:v>2</x:v>
      </x:c>
      <x:c r="M231" s="6" t="str">
        <x:v>45</x:v>
      </x:c>
      <x:c r="N231" s="6" t="str">
        <x:v>588</x:v>
      </x:c>
      <x:c r="O231" s="6" t="str">
        <x:v>0</x:v>
      </x:c>
      <x:c r="P231" s="10" t="n">
        <x:f>F231-M231</x:f>
        <x:v>543</x:v>
      </x:c>
      <x:c r="Q231" s="11" t="n">
        <x:f>IFERROR(M231/F231,"")</x:f>
        <x:v>0.07653061224489796</x:v>
      </x:c>
      <x:c r="R231" s="10" t="n">
        <x:f>G231+H231</x:f>
        <x:v>460</x:v>
      </x:c>
      <x:c r="S231" s="11" t="n">
        <x:f>IFERROR(R231/F231,"")</x:f>
        <x:v>0.782312925170068</x:v>
      </x:c>
      <x:c r="T231" s="11" t="n">
        <x:f>IFERROR(R231/P231,"")</x:f>
        <x:v>0.8471454880294659</x:v>
      </x:c>
      <x:c r="U231" s="10" t="n">
        <x:f>I231+J231+K231</x:f>
        <x:v>81</x:v>
      </x:c>
      <x:c r="V231" s="11" t="n">
        <x:f>IFERROR(U231/P231,"")</x:f>
        <x:v>0.14917127071823205</x:v>
      </x:c>
      <x:c r="W231" s="9" t="str">
        <x:v>provisional_gt_5pct_pending</x:v>
      </x:c>
      <x:c r="X231" s="12" t="n">
        <x:f>IFERROR(F231/Z231*100000,"")</x:f>
        <x:v>26.564264739100974</x:v>
      </x:c>
      <x:c r="Y231" s="13" t="n">
        <x:f>LN(Z231)</x:f>
        <x:v>14.610085531154333</x:v>
      </x:c>
      <x:c r="Z231" s="6" t="str">
        <x:v>2213500</x:v>
      </x:c>
      <x:c r="AA231" s="6" t="str">
        <x:v>268.0</x:v>
      </x:c>
      <x:c r="AB231" s="9" t="str">
        <x:v>2025-06-30</x:v>
      </x:c>
      <x:c r="AC231" s="8" t="str">
        <x:v>90.96</x:v>
      </x:c>
      <x:c r="AD231" s="9" t="str">
        <x:v>2025 (Susenas)</x:v>
      </x:c>
      <x:c r="AE231" s="8" t="str">
        <x:v>4.44</x:v>
      </x:c>
      <x:c r="AF231" s="9" t="str">
        <x:v>Maret 2025 (Susenas)</x:v>
      </x:c>
      <x:c r="AG231" s="6" t="str">
        <x:v>26.700720252803624</x:v>
      </x:c>
      <x:c r="AH231" s="8" t="str">
        <x:v>86.63671084553009</x:v>
      </x:c>
      <x:c r="AI231" s="6" t="str">
        <x:v>107.23428599442452</x:v>
      </x:c>
      <x:c r="AJ231" s="6" t="str">
        <x:v>-0.1529115771320519</x:v>
      </x:c>
      <x:c r="AK231" s="8" t="str">
        <x:v>-0.2825546602164879</x:v>
      </x:c>
      <x:c r="AL231" s="6" t="str">
        <x:v>0.2822465112103887</x:v>
      </x:c>
      <x:c r="AM231" s="6" t="str">
        <x:v>1.9110170430469724</x:v>
      </x:c>
      <x:c r="AN231" s="6" t="str">
        <x:v>0.6369029646802914</x:v>
      </x:c>
      <x:c r="AO231" s="6" t="str">
        <x:v>3.455332239131309</x:v>
      </x:c>
      <x:c r="AP231" s="8" t="str">
        <x:v>1.4679932207261783</x:v>
      </x:c>
      <x:c r="AQ231" s="6" t="str">
        <x:v>1.5934852707826122</x:v>
      </x:c>
      <x:c r="AR231" s="6" t="str">
        <x:v>-0.9877460328752944</x:v>
      </x:c>
      <x:c r="AS231" s="6" t="str">
        <x:v>0.6912441528778319</x:v>
      </x:c>
      <x:c r="AT231" s="6" t="str">
        <x:v>-2.186396571191409</x:v>
      </x:c>
      <x:c r="AU231" s="8" t="str">
        <x:v>-0.0400619159412841</x:v>
      </x:c>
      <x:c r="AV231" s="6" t="str">
        <x:v>3.654055716801461</x:v>
      </x:c>
      <x:c r="AW231" s="6" t="str">
        <x:v>-1.228876474364324</x:v>
      </x:c>
      <x:c r="AX231" s="6" t="str">
        <x:v>0.7950391088319503</x:v>
      </x:c>
      <x:c r="AY231" s="6" t="str">
        <x:v>0</x:v>
      </x:c>
      <x:c r="AZ231" s="6" t="str">
        <x:v>0</x:v>
      </x:c>
      <x:c r="BA231" s="9" t="str">
        <x:v>grid_cells_within_BIG_polygon</x:v>
      </x:c>
      <x:c r="BB231" s="6" t="str">
        <x:v>2</x:v>
      </x:c>
      <x:c r="BC231" s="6" t="str">
        <x:v>2</x:v>
      </x:c>
      <x:c r="BD231" s="6" t="str">
        <x:v>2</x:v>
      </x:c>
      <x:c r="BE231" s="6" t="str">
        <x:v>0</x:v>
      </x:c>
      <x:c r="BF231" s="6" t="str">
        <x:v>0</x:v>
      </x:c>
      <x:c r="BG231" s="6" t="str">
        <x:v>0</x:v>
      </x:c>
      <x:c r="BH231" s="6" t="str">
        <x:v>0</x:v>
      </x:c>
      <x:c r="BI231" s="6" t="str">
        <x:v>2</x:v>
      </x:c>
      <x:c r="BJ231" s="6" t="str">
        <x:v>0</x:v>
      </x:c>
      <x:c r="BK231" s="6" t="str">
        <x:v>0</x:v>
      </x:c>
      <x:c r="BL231" s="6" t="str">
        <x:v>0</x:v>
      </x:c>
      <x:c r="BM231" s="6" t="str">
        <x:v>0</x:v>
      </x:c>
      <x:c r="BN231" s="6" t="str">
        <x:v>2</x:v>
      </x:c>
      <x:c r="BO231" s="6" t="str">
        <x:v>0.0</x:v>
      </x:c>
      <x:c r="BP231" s="6" t="str">
        <x:v>2</x:v>
      </x:c>
      <x:c r="BQ231" s="6" t="str">
        <x:v>0.0</x:v>
      </x:c>
      <x:c r="BR231" s="6" t="str">
        <x:v>2</x:v>
      </x:c>
      <x:c r="BS231" s="6" t="str">
        <x:v>0.0</x:v>
      </x:c>
      <x:c r="BT231" s="6" t="str">
        <x:v>2</x:v>
      </x:c>
      <x:c r="BU231" s="6" t="str"/>
      <x:c r="BV231" s="6" t="str">
        <x:v>0</x:v>
      </x:c>
      <x:c r="BW231" s="9" t="str">
        <x:v>operational_snapshot_annual_totals_may_differ</x:v>
      </x:c>
      <x:c r="BX231" s="9" t="str">
        <x:v>official_live_dashboard_snapshot_subject_to_revision</x:v>
      </x:c>
      <x:c r="BY231" s="9" t="str">
        <x:v>https://tbdashboard.sitb.id/ss_data_tbc03so_2025_provinsi_bulanan_list.php</x:v>
      </x:c>
      <x:c r="BZ231" s="6" t="n">
        <x:v>46246.610671296294</x:v>
      </x:c>
    </x:row>
    <x:row r="232" ht="18" customHeight="1">
      <x:c r="A232" s="6" t="str">
        <x:v>21</x:v>
      </x:c>
      <x:c r="B232" s="6" t="str">
        <x:v>KEPULAUAN RIAU</x:v>
      </x:c>
      <x:c r="C232" s="6" t="str">
        <x:v>2025</x:v>
      </x:c>
      <x:c r="D232" s="6" t="str">
        <x:v>3</x:v>
      </x:c>
      <x:c r="E232" s="6" t="str">
        <x:v>2025-03</x:v>
      </x:c>
      <x:c r="F232" s="6" t="str">
        <x:v>524</x:v>
      </x:c>
      <x:c r="G232" s="6" t="str">
        <x:v>157</x:v>
      </x:c>
      <x:c r="H232" s="6" t="str">
        <x:v>238</x:v>
      </x:c>
      <x:c r="I232" s="6" t="str">
        <x:v>53</x:v>
      </x:c>
      <x:c r="J232" s="6" t="str">
        <x:v>27</x:v>
      </x:c>
      <x:c r="K232" s="6" t="str">
        <x:v>0</x:v>
      </x:c>
      <x:c r="L232" s="6" t="str">
        <x:v>1</x:v>
      </x:c>
      <x:c r="M232" s="6" t="str">
        <x:v>48</x:v>
      </x:c>
      <x:c r="N232" s="6" t="str">
        <x:v>524</x:v>
      </x:c>
      <x:c r="O232" s="6" t="str">
        <x:v>0</x:v>
      </x:c>
      <x:c r="P232" s="10" t="n">
        <x:f>F232-M232</x:f>
        <x:v>476</x:v>
      </x:c>
      <x:c r="Q232" s="11" t="n">
        <x:f>IFERROR(M232/F232,"")</x:f>
        <x:v>0.0916030534351145</x:v>
      </x:c>
      <x:c r="R232" s="10" t="n">
        <x:f>G232+H232</x:f>
        <x:v>395</x:v>
      </x:c>
      <x:c r="S232" s="11" t="n">
        <x:f>IFERROR(R232/F232,"")</x:f>
        <x:v>0.7538167938931297</x:v>
      </x:c>
      <x:c r="T232" s="11" t="n">
        <x:f>IFERROR(R232/P232,"")</x:f>
        <x:v>0.8298319327731093</x:v>
      </x:c>
      <x:c r="U232" s="10" t="n">
        <x:f>I232+J232+K232</x:f>
        <x:v>80</x:v>
      </x:c>
      <x:c r="V232" s="11" t="n">
        <x:f>IFERROR(U232/P232,"")</x:f>
        <x:v>0.16806722689075632</x:v>
      </x:c>
      <x:c r="W232" s="9" t="str">
        <x:v>provisional_gt_5pct_pending</x:v>
      </x:c>
      <x:c r="X232" s="12" t="n">
        <x:f>IFERROR(F232/Z232*100000,"")</x:f>
        <x:v>23.672916196069572</x:v>
      </x:c>
      <x:c r="Y232" s="13" t="n">
        <x:f>LN(Z232)</x:f>
        <x:v>14.610085531154333</x:v>
      </x:c>
      <x:c r="Z232" s="6" t="str">
        <x:v>2213500</x:v>
      </x:c>
      <x:c r="AA232" s="6" t="str">
        <x:v>268.0</x:v>
      </x:c>
      <x:c r="AB232" s="9" t="str">
        <x:v>2025-06-30</x:v>
      </x:c>
      <x:c r="AC232" s="8" t="str">
        <x:v>90.96</x:v>
      </x:c>
      <x:c r="AD232" s="9" t="str">
        <x:v>2025 (Susenas)</x:v>
      </x:c>
      <x:c r="AE232" s="8" t="str">
        <x:v>4.44</x:v>
      </x:c>
      <x:c r="AF232" s="9" t="str">
        <x:v>Maret 2025 (Susenas)</x:v>
      </x:c>
      <x:c r="AG232" s="6" t="str">
        <x:v>27.5653781327219</x:v>
      </x:c>
      <x:c r="AH232" s="8" t="str">
        <x:v>84.58887160394099</x:v>
      </x:c>
      <x:c r="AI232" s="6" t="str">
        <x:v>284.17099805882305</x:v>
      </x:c>
      <x:c r="AJ232" s="6" t="str">
        <x:v>-0.0251936843175215</x:v>
      </x:c>
      <x:c r="AK232" s="8" t="str">
        <x:v>-0.0515842217636472</x:v>
      </x:c>
      <x:c r="AL232" s="6" t="str">
        <x:v>-0.2825546602164879</x:v>
      </x:c>
      <x:c r="AM232" s="6" t="str">
        <x:v>0.2822465112103887</x:v>
      </x:c>
      <x:c r="AN232" s="6" t="str">
        <x:v>-0.0172974569232485</x:v>
      </x:c>
      <x:c r="AO232" s="6" t="str">
        <x:v>3.900320986174521</x:v>
      </x:c>
      <x:c r="AP232" s="8" t="str">
        <x:v>1.7896568646558495</x:v>
      </x:c>
      <x:c r="AQ232" s="6" t="str">
        <x:v>1.4679932207261783</x:v>
      </x:c>
      <x:c r="AR232" s="6" t="str">
        <x:v>1.5934852707826122</x:v>
      </x:c>
      <x:c r="AS232" s="6" t="str">
        <x:v>1.6170451187215469</x:v>
      </x:c>
      <x:c r="AT232" s="6" t="str">
        <x:v>150.0233204430885</x:v>
      </x:c>
      <x:c r="AU232" s="8" t="str">
        <x:v>3.173417312458317</x:v>
      </x:c>
      <x:c r="AV232" s="6" t="str">
        <x:v>-0.0400619159412841</x:v>
      </x:c>
      <x:c r="AW232" s="6" t="str">
        <x:v>3.654055716801461</x:v>
      </x:c>
      <x:c r="AX232" s="6" t="str">
        <x:v>2.2624703711061644</x:v>
      </x:c>
      <x:c r="AY232" s="6" t="str">
        <x:v>1</x:v>
      </x:c>
      <x:c r="AZ232" s="6" t="str">
        <x:v>0</x:v>
      </x:c>
      <x:c r="BA232" s="9" t="str">
        <x:v>grid_cells_within_BIG_polygon</x:v>
      </x:c>
      <x:c r="BB232" s="6" t="str">
        <x:v>2</x:v>
      </x:c>
      <x:c r="BC232" s="6" t="str">
        <x:v>1</x:v>
      </x:c>
      <x:c r="BD232" s="6" t="str">
        <x:v>1</x:v>
      </x:c>
      <x:c r="BE232" s="6" t="str">
        <x:v>0</x:v>
      </x:c>
      <x:c r="BF232" s="6" t="str">
        <x:v>0</x:v>
      </x:c>
      <x:c r="BG232" s="6" t="str">
        <x:v>0</x:v>
      </x:c>
      <x:c r="BH232" s="6" t="str">
        <x:v>0</x:v>
      </x:c>
      <x:c r="BI232" s="6" t="str">
        <x:v>1</x:v>
      </x:c>
      <x:c r="BJ232" s="6" t="str">
        <x:v>0</x:v>
      </x:c>
      <x:c r="BK232" s="6" t="str">
        <x:v>0</x:v>
      </x:c>
      <x:c r="BL232" s="6" t="str">
        <x:v>0</x:v>
      </x:c>
      <x:c r="BM232" s="6" t="str">
        <x:v>0</x:v>
      </x:c>
      <x:c r="BN232" s="6" t="str">
        <x:v>1</x:v>
      </x:c>
      <x:c r="BO232" s="6" t="str">
        <x:v>0.0</x:v>
      </x:c>
      <x:c r="BP232" s="6" t="str">
        <x:v>1</x:v>
      </x:c>
      <x:c r="BQ232" s="6" t="str">
        <x:v>0.0</x:v>
      </x:c>
      <x:c r="BR232" s="6" t="str">
        <x:v>1</x:v>
      </x:c>
      <x:c r="BS232" s="6" t="str">
        <x:v>0.0</x:v>
      </x:c>
      <x:c r="BT232" s="6" t="str">
        <x:v>1</x:v>
      </x:c>
      <x:c r="BU232" s="6" t="str"/>
      <x:c r="BV232" s="6" t="str">
        <x:v>0</x:v>
      </x:c>
      <x:c r="BW232" s="9" t="str">
        <x:v>operational_snapshot_annual_totals_may_differ</x:v>
      </x:c>
      <x:c r="BX232" s="9" t="str">
        <x:v>official_live_dashboard_snapshot_subject_to_revision</x:v>
      </x:c>
      <x:c r="BY232" s="9" t="str">
        <x:v>https://tbdashboard.sitb.id/ss_data_tbc03so_2025_provinsi_bulanan_list.php</x:v>
      </x:c>
      <x:c r="BZ232" s="6" t="n">
        <x:v>46246.610671296294</x:v>
      </x:c>
    </x:row>
    <x:row r="233" ht="18" customHeight="1">
      <x:c r="A233" s="6" t="str">
        <x:v>21</x:v>
      </x:c>
      <x:c r="B233" s="6" t="str">
        <x:v>KEPULAUAN RIAU</x:v>
      </x:c>
      <x:c r="C233" s="6" t="str">
        <x:v>2025</x:v>
      </x:c>
      <x:c r="D233" s="6" t="str">
        <x:v>4</x:v>
      </x:c>
      <x:c r="E233" s="6" t="str">
        <x:v>2025-04</x:v>
      </x:c>
      <x:c r="F233" s="6" t="str">
        <x:v>502</x:v>
      </x:c>
      <x:c r="G233" s="6" t="str">
        <x:v>126</x:v>
      </x:c>
      <x:c r="H233" s="6" t="str">
        <x:v>253</x:v>
      </x:c>
      <x:c r="I233" s="6" t="str">
        <x:v>66</x:v>
      </x:c>
      <x:c r="J233" s="6" t="str">
        <x:v>23</x:v>
      </x:c>
      <x:c r="K233" s="6" t="str">
        <x:v>1</x:v>
      </x:c>
      <x:c r="L233" s="6" t="str">
        <x:v>0</x:v>
      </x:c>
      <x:c r="M233" s="6" t="str">
        <x:v>33</x:v>
      </x:c>
      <x:c r="N233" s="6" t="str">
        <x:v>502</x:v>
      </x:c>
      <x:c r="O233" s="6" t="str">
        <x:v>0</x:v>
      </x:c>
      <x:c r="P233" s="10" t="n">
        <x:f>F233-M233</x:f>
        <x:v>469</x:v>
      </x:c>
      <x:c r="Q233" s="11" t="n">
        <x:f>IFERROR(M233/F233,"")</x:f>
        <x:v>0.06573705179282868</x:v>
      </x:c>
      <x:c r="R233" s="10" t="n">
        <x:f>G233+H233</x:f>
        <x:v>379</x:v>
      </x:c>
      <x:c r="S233" s="11" t="n">
        <x:f>IFERROR(R233/F233,"")</x:f>
        <x:v>0.7549800796812749</x:v>
      </x:c>
      <x:c r="T233" s="11" t="n">
        <x:f>IFERROR(R233/P233,"")</x:f>
        <x:v>0.8081023454157783</x:v>
      </x:c>
      <x:c r="U233" s="10" t="n">
        <x:f>I233+J233+K233</x:f>
        <x:v>90</x:v>
      </x:c>
      <x:c r="V233" s="11" t="n">
        <x:f>IFERROR(U233/P233,"")</x:f>
        <x:v>0.19189765458422176</x:v>
      </x:c>
      <x:c r="W233" s="9" t="str">
        <x:v>provisional_gt_5pct_pending</x:v>
      </x:c>
      <x:c r="X233" s="12" t="n">
        <x:f>IFERROR(F233/Z233*100000,"")</x:f>
        <x:v>22.67901513440253</x:v>
      </x:c>
      <x:c r="Y233" s="13" t="n">
        <x:f>LN(Z233)</x:f>
        <x:v>14.610085531154333</x:v>
      </x:c>
      <x:c r="Z233" s="6" t="str">
        <x:v>2213500</x:v>
      </x:c>
      <x:c r="AA233" s="6" t="str">
        <x:v>268.0</x:v>
      </x:c>
      <x:c r="AB233" s="9" t="str">
        <x:v>2025-06-30</x:v>
      </x:c>
      <x:c r="AC233" s="8" t="str">
        <x:v>90.96</x:v>
      </x:c>
      <x:c r="AD233" s="9" t="str">
        <x:v>2025 (Susenas)</x:v>
      </x:c>
      <x:c r="AE233" s="8" t="str">
        <x:v>4.44</x:v>
      </x:c>
      <x:c r="AF233" s="9" t="str">
        <x:v>Maret 2025 (Susenas)</x:v>
      </x:c>
      <x:c r="AG233" s="6" t="str">
        <x:v>28.32002400842679</x:v>
      </x:c>
      <x:c r="AH233" s="8" t="str">
        <x:v>80.28462186727808</x:v>
      </x:c>
      <x:c r="AI233" s="6" t="str">
        <x:v>153.37562654438105</x:v>
      </x:c>
      <x:c r="AJ233" s="6" t="str">
        <x:v>-0.0147483034884565</x:v>
      </x:c>
      <x:c r="AK233" s="8" t="str">
        <x:v>-0.0342420549755237</x:v>
      </x:c>
      <x:c r="AL233" s="6" t="str">
        <x:v>-0.0515842217636472</x:v>
      </x:c>
      <x:c r="AM233" s="6" t="str">
        <x:v>-0.2825546602164879</x:v>
      </x:c>
      <x:c r="AN233" s="6" t="str">
        <x:v>-0.122793645651886</x:v>
      </x:c>
      <x:c r="AO233" s="6" t="str">
        <x:v>1.8078260042715044</x:v>
      </x:c>
      <x:c r="AP233" s="8" t="str">
        <x:v>1.0625362115137298</x:v>
      </x:c>
      <x:c r="AQ233" s="6" t="str">
        <x:v>1.7896568646558495</x:v>
      </x:c>
      <x:c r="AR233" s="6" t="str">
        <x:v>1.4679932207261783</x:v>
      </x:c>
      <x:c r="AS233" s="6" t="str">
        <x:v>1.4400620989652524</x:v>
      </x:c>
      <x:c r="AT233" s="6" t="str">
        <x:v>6.45840319449718</x:v>
      </x:c>
      <x:c r="AU233" s="8" t="str">
        <x:v>0.2322464364780375</x:v>
      </x:c>
      <x:c r="AV233" s="6" t="str">
        <x:v>3.173417312458317</x:v>
      </x:c>
      <x:c r="AW233" s="6" t="str">
        <x:v>-0.0400619159412841</x:v>
      </x:c>
      <x:c r="AX233" s="6" t="str">
        <x:v>1.1218672776650231</x:v>
      </x:c>
      <x:c r="AY233" s="6" t="str">
        <x:v>0</x:v>
      </x:c>
      <x:c r="AZ233" s="6" t="str">
        <x:v>0</x:v>
      </x:c>
      <x:c r="BA233" s="9" t="str">
        <x:v>grid_cells_within_BIG_polygon</x:v>
      </x:c>
      <x:c r="BB233" s="6" t="str">
        <x:v>2</x:v>
      </x:c>
      <x:c r="BC233" s="6" t="str">
        <x:v>0</x:v>
      </x:c>
      <x:c r="BD233" s="6" t="str">
        <x:v>0</x:v>
      </x:c>
      <x:c r="BE233" s="6" t="str">
        <x:v>0</x:v>
      </x:c>
      <x:c r="BF233" s="6" t="str">
        <x:v>0</x:v>
      </x:c>
      <x:c r="BG233" s="6" t="str">
        <x:v>0</x:v>
      </x:c>
      <x:c r="BH233" s="6" t="str">
        <x:v>0</x:v>
      </x:c>
      <x:c r="BI233" s="6" t="str">
        <x:v>0</x:v>
      </x:c>
      <x:c r="BJ233" s="6" t="str">
        <x:v>0</x:v>
      </x:c>
      <x:c r="BK233" s="6" t="str">
        <x:v>0</x:v>
      </x:c>
      <x:c r="BL233" s="6" t="str">
        <x:v>0</x:v>
      </x:c>
      <x:c r="BM233" s="6" t="str">
        <x:v>0</x:v>
      </x:c>
      <x:c r="BN233" s="6" t="str">
        <x:v>0</x:v>
      </x:c>
      <x:c r="BO233" s="6" t="str"/>
      <x:c r="BP233" s="6" t="str">
        <x:v>0</x:v>
      </x:c>
      <x:c r="BQ233" s="6" t="str"/>
      <x:c r="BR233" s="6" t="str">
        <x:v>0</x:v>
      </x:c>
      <x:c r="BS233" s="6" t="str"/>
      <x:c r="BT233" s="6" t="str">
        <x:v>0</x:v>
      </x:c>
      <x:c r="BU233" s="6" t="str"/>
      <x:c r="BV233" s="6" t="str">
        <x:v>0</x:v>
      </x:c>
      <x:c r="BW233" s="9" t="str">
        <x:v>operational_snapshot_annual_totals_may_differ</x:v>
      </x:c>
      <x:c r="BX233" s="9" t="str">
        <x:v>official_live_dashboard_snapshot_subject_to_revision</x:v>
      </x:c>
      <x:c r="BY233" s="9" t="str">
        <x:v>https://tbdashboard.sitb.id/ss_data_tbc03so_2025_provinsi_bulanan_list.php</x:v>
      </x:c>
      <x:c r="BZ233" s="6" t="n">
        <x:v>46246.610671296294</x:v>
      </x:c>
    </x:row>
    <x:row r="234" ht="18" customHeight="1">
      <x:c r="A234" s="6" t="str">
        <x:v>21</x:v>
      </x:c>
      <x:c r="B234" s="6" t="str">
        <x:v>KEPULAUAN RIAU</x:v>
      </x:c>
      <x:c r="C234" s="6" t="str">
        <x:v>2025</x:v>
      </x:c>
      <x:c r="D234" s="6" t="str">
        <x:v>5</x:v>
      </x:c>
      <x:c r="E234" s="6" t="str">
        <x:v>2025-05</x:v>
      </x:c>
      <x:c r="F234" s="6" t="str">
        <x:v>496</x:v>
      </x:c>
      <x:c r="G234" s="6" t="str">
        <x:v>128</x:v>
      </x:c>
      <x:c r="H234" s="6" t="str">
        <x:v>249</x:v>
      </x:c>
      <x:c r="I234" s="6" t="str">
        <x:v>58</x:v>
      </x:c>
      <x:c r="J234" s="6" t="str">
        <x:v>25</x:v>
      </x:c>
      <x:c r="K234" s="6" t="str">
        <x:v>1</x:v>
      </x:c>
      <x:c r="L234" s="6" t="str">
        <x:v>1</x:v>
      </x:c>
      <x:c r="M234" s="6" t="str">
        <x:v>34</x:v>
      </x:c>
      <x:c r="N234" s="6" t="str">
        <x:v>496</x:v>
      </x:c>
      <x:c r="O234" s="6" t="str">
        <x:v>0</x:v>
      </x:c>
      <x:c r="P234" s="10" t="n">
        <x:f>F234-M234</x:f>
        <x:v>462</x:v>
      </x:c>
      <x:c r="Q234" s="11" t="n">
        <x:f>IFERROR(M234/F234,"")</x:f>
        <x:v>0.06854838709677419</x:v>
      </x:c>
      <x:c r="R234" s="10" t="n">
        <x:f>G234+H234</x:f>
        <x:v>377</x:v>
      </x:c>
      <x:c r="S234" s="11" t="n">
        <x:f>IFERROR(R234/F234,"")</x:f>
        <x:v>0.7600806451612904</x:v>
      </x:c>
      <x:c r="T234" s="11" t="n">
        <x:f>IFERROR(R234/P234,"")</x:f>
        <x:v>0.816017316017316</x:v>
      </x:c>
      <x:c r="U234" s="10" t="n">
        <x:f>I234+J234+K234</x:f>
        <x:v>84</x:v>
      </x:c>
      <x:c r="V234" s="11" t="n">
        <x:f>IFERROR(U234/P234,"")</x:f>
        <x:v>0.18181818181818182</x:v>
      </x:c>
      <x:c r="W234" s="9" t="str">
        <x:v>provisional_gt_5pct_pending</x:v>
      </x:c>
      <x:c r="X234" s="12" t="n">
        <x:f>IFERROR(F234/Z234*100000,"")</x:f>
        <x:v>22.407951208493337</x:v>
      </x:c>
      <x:c r="Y234" s="13" t="n">
        <x:f>LN(Z234)</x:f>
        <x:v>14.610085531154333</x:v>
      </x:c>
      <x:c r="Z234" s="6" t="str">
        <x:v>2213500</x:v>
      </x:c>
      <x:c r="AA234" s="6" t="str">
        <x:v>268.0</x:v>
      </x:c>
      <x:c r="AB234" s="9" t="str">
        <x:v>2025-06-30</x:v>
      </x:c>
      <x:c r="AC234" s="8" t="str">
        <x:v>90.96</x:v>
      </x:c>
      <x:c r="AD234" s="9" t="str">
        <x:v>2025 (Susenas)</x:v>
      </x:c>
      <x:c r="AE234" s="8" t="str">
        <x:v>4.44</x:v>
      </x:c>
      <x:c r="AF234" s="9" t="str">
        <x:v>Maret 2025 (Susenas)</x:v>
      </x:c>
      <x:c r="AG234" s="6" t="str">
        <x:v>29.49973590730533</x:v>
      </x:c>
      <x:c r="AH234" s="8" t="str">
        <x:v>77.52146451403404</x:v>
      </x:c>
      <x:c r="AI234" s="6" t="str">
        <x:v>156.47110071081008</x:v>
      </x:c>
      <x:c r="AJ234" s="6" t="str">
        <x:v>0.7737567064378368</x:v>
      </x:c>
      <x:c r="AK234" s="8" t="str">
        <x:v>1.9129939696228504</x:v>
      </x:c>
      <x:c r="AL234" s="6" t="str">
        <x:v>-0.0342420549755237</x:v>
      </x:c>
      <x:c r="AM234" s="6" t="str">
        <x:v>-0.0515842217636472</x:v>
      </x:c>
      <x:c r="AN234" s="6" t="str">
        <x:v>0.6090558976278934</x:v>
      </x:c>
      <x:c r="AO234" s="6" t="str">
        <x:v>-1.308323713621192</x:v>
      </x:c>
      <x:c r="AP234" s="8" t="str">
        <x:v>-0.856385011525753</x:v>
      </x:c>
      <x:c r="AQ234" s="6" t="str">
        <x:v>1.0625362115137298</x:v>
      </x:c>
      <x:c r="AR234" s="6" t="str">
        <x:v>1.7896568646558495</x:v>
      </x:c>
      <x:c r="AS234" s="6" t="str">
        <x:v>0.6652693548812753</x:v>
      </x:c>
      <x:c r="AT234" s="6" t="str">
        <x:v>-3.7846188384134503</x:v>
      </x:c>
      <x:c r="AU234" s="8" t="str">
        <x:v>-0.1070572879960755</x:v>
      </x:c>
      <x:c r="AV234" s="6" t="str">
        <x:v>0.2322464364780375</x:v>
      </x:c>
      <x:c r="AW234" s="6" t="str">
        <x:v>3.173417312458317</x:v>
      </x:c>
      <x:c r="AX234" s="6" t="str">
        <x:v>1.0995354869800928</x:v>
      </x:c>
      <x:c r="AY234" s="6" t="str">
        <x:v>0</x:v>
      </x:c>
      <x:c r="AZ234" s="6" t="str">
        <x:v>1</x:v>
      </x:c>
      <x:c r="BA234" s="9" t="str">
        <x:v>grid_cells_within_BIG_polygon</x:v>
      </x:c>
      <x:c r="BB234" s="6" t="str">
        <x:v>2</x:v>
      </x:c>
      <x:c r="BC234" s="6" t="str">
        <x:v>0</x:v>
      </x:c>
      <x:c r="BD234" s="6" t="str">
        <x:v>0</x:v>
      </x:c>
      <x:c r="BE234" s="6" t="str">
        <x:v>0</x:v>
      </x:c>
      <x:c r="BF234" s="6" t="str">
        <x:v>0</x:v>
      </x:c>
      <x:c r="BG234" s="6" t="str">
        <x:v>0</x:v>
      </x:c>
      <x:c r="BH234" s="6" t="str">
        <x:v>0</x:v>
      </x:c>
      <x:c r="BI234" s="6" t="str">
        <x:v>0</x:v>
      </x:c>
      <x:c r="BJ234" s="6" t="str">
        <x:v>0</x:v>
      </x:c>
      <x:c r="BK234" s="6" t="str">
        <x:v>0</x:v>
      </x:c>
      <x:c r="BL234" s="6" t="str">
        <x:v>0</x:v>
      </x:c>
      <x:c r="BM234" s="6" t="str">
        <x:v>0</x:v>
      </x:c>
      <x:c r="BN234" s="6" t="str">
        <x:v>0</x:v>
      </x:c>
      <x:c r="BO234" s="6" t="str"/>
      <x:c r="BP234" s="6" t="str">
        <x:v>0</x:v>
      </x:c>
      <x:c r="BQ234" s="6" t="str"/>
      <x:c r="BR234" s="6" t="str">
        <x:v>0</x:v>
      </x:c>
      <x:c r="BS234" s="6" t="str"/>
      <x:c r="BT234" s="6" t="str">
        <x:v>0</x:v>
      </x:c>
      <x:c r="BU234" s="6" t="str"/>
      <x:c r="BV234" s="6" t="str">
        <x:v>0</x:v>
      </x:c>
      <x:c r="BW234" s="9" t="str">
        <x:v>operational_snapshot_annual_totals_may_differ</x:v>
      </x:c>
      <x:c r="BX234" s="9" t="str">
        <x:v>official_live_dashboard_snapshot_subject_to_revision</x:v>
      </x:c>
      <x:c r="BY234" s="9" t="str">
        <x:v>https://tbdashboard.sitb.id/ss_data_tbc03so_2025_provinsi_bulanan_list.php</x:v>
      </x:c>
      <x:c r="BZ234" s="6" t="n">
        <x:v>46246.610671296294</x:v>
      </x:c>
    </x:row>
    <x:row r="235" ht="18" customHeight="1">
      <x:c r="A235" s="6" t="str">
        <x:v>21</x:v>
      </x:c>
      <x:c r="B235" s="6" t="str">
        <x:v>KEPULAUAN RIAU</x:v>
      </x:c>
      <x:c r="C235" s="6" t="str">
        <x:v>2025</x:v>
      </x:c>
      <x:c r="D235" s="6" t="str">
        <x:v>6</x:v>
      </x:c>
      <x:c r="E235" s="6" t="str">
        <x:v>2025-06</x:v>
      </x:c>
      <x:c r="F235" s="6" t="str">
        <x:v>474</x:v>
      </x:c>
      <x:c r="G235" s="6" t="str">
        <x:v>108</x:v>
      </x:c>
      <x:c r="H235" s="6" t="str">
        <x:v>238</x:v>
      </x:c>
      <x:c r="I235" s="6" t="str">
        <x:v>51</x:v>
      </x:c>
      <x:c r="J235" s="6" t="str">
        <x:v>29</x:v>
      </x:c>
      <x:c r="K235" s="6" t="str">
        <x:v>1</x:v>
      </x:c>
      <x:c r="L235" s="6" t="str">
        <x:v>0</x:v>
      </x:c>
      <x:c r="M235" s="6" t="str">
        <x:v>47</x:v>
      </x:c>
      <x:c r="N235" s="6" t="str">
        <x:v>474</x:v>
      </x:c>
      <x:c r="O235" s="6" t="str">
        <x:v>0</x:v>
      </x:c>
      <x:c r="P235" s="10" t="n">
        <x:f>F235-M235</x:f>
        <x:v>427</x:v>
      </x:c>
      <x:c r="Q235" s="11" t="n">
        <x:f>IFERROR(M235/F235,"")</x:f>
        <x:v>0.09915611814345991</x:v>
      </x:c>
      <x:c r="R235" s="10" t="n">
        <x:f>G235+H235</x:f>
        <x:v>346</x:v>
      </x:c>
      <x:c r="S235" s="11" t="n">
        <x:f>IFERROR(R235/F235,"")</x:f>
        <x:v>0.729957805907173</x:v>
      </x:c>
      <x:c r="T235" s="11" t="n">
        <x:f>IFERROR(R235/P235,"")</x:f>
        <x:v>0.810304449648712</x:v>
      </x:c>
      <x:c r="U235" s="10" t="n">
        <x:f>I235+J235+K235</x:f>
        <x:v>81</x:v>
      </x:c>
      <x:c r="V235" s="11" t="n">
        <x:f>IFERROR(U235/P235,"")</x:f>
        <x:v>0.18969555035128804</x:v>
      </x:c>
      <x:c r="W235" s="9" t="str">
        <x:v>provisional_gt_5pct_pending</x:v>
      </x:c>
      <x:c r="X235" s="12" t="n">
        <x:f>IFERROR(F235/Z235*100000,"")</x:f>
        <x:v>21.414050146826295</x:v>
      </x:c>
      <x:c r="Y235" s="13" t="n">
        <x:f>LN(Z235)</x:f>
        <x:v>14.610085531154333</x:v>
      </x:c>
      <x:c r="Z235" s="6" t="str">
        <x:v>2213500</x:v>
      </x:c>
      <x:c r="AA235" s="6" t="str">
        <x:v>268.0</x:v>
      </x:c>
      <x:c r="AB235" s="9" t="str">
        <x:v>2025-06-30</x:v>
      </x:c>
      <x:c r="AC235" s="8" t="str">
        <x:v>90.96</x:v>
      </x:c>
      <x:c r="AD235" s="9" t="str">
        <x:v>2025 (Susenas)</x:v>
      </x:c>
      <x:c r="AE235" s="8" t="str">
        <x:v>4.44</x:v>
      </x:c>
      <x:c r="AF235" s="9" t="str">
        <x:v>Maret 2025 (Susenas)</x:v>
      </x:c>
      <x:c r="AG235" s="6" t="str">
        <x:v>28.99975991573212</x:v>
      </x:c>
      <x:c r="AH235" s="8" t="str">
        <x:v>79.54537813272191</x:v>
      </x:c>
      <x:c r="AI235" s="6" t="str">
        <x:v>196.5651828787284</x:v>
      </x:c>
      <x:c r="AJ235" s="6" t="str">
        <x:v>0.5311248519900076</x:v>
      </x:c>
      <x:c r="AK235" s="8" t="str">
        <x:v>1.5805305674847936</x:v>
      </x:c>
      <x:c r="AL235" s="6" t="str">
        <x:v>1.9129939696228504</x:v>
      </x:c>
      <x:c r="AM235" s="6" t="str">
        <x:v>-0.0342420549755237</x:v>
      </x:c>
      <x:c r="AN235" s="6" t="str">
        <x:v>1.153094160710707</x:v>
      </x:c>
      <x:c r="AO235" s="6" t="str">
        <x:v>-0.0616466351321776</x:v>
      </x:c>
      <x:c r="AP235" s="8" t="str">
        <x:v>-0.0405732158951495</x:v>
      </x:c>
      <x:c r="AQ235" s="6" t="str">
        <x:v>-0.856385011525753</x:v>
      </x:c>
      <x:c r="AR235" s="6" t="str">
        <x:v>1.0625362115137298</x:v>
      </x:c>
      <x:c r="AS235" s="6" t="str">
        <x:v>0.0551926613642756</x:v>
      </x:c>
      <x:c r="AT235" s="6" t="str">
        <x:v>39.26219382959334</x:v>
      </x:c>
      <x:c r="AU235" s="8" t="str">
        <x:v>0.7567647029867259</x:v>
      </x:c>
      <x:c r="AV235" s="6" t="str">
        <x:v>-0.1070572879960755</x:v>
      </x:c>
      <x:c r="AW235" s="6" t="str">
        <x:v>0.2322464364780375</x:v>
      </x:c>
      <x:c r="AX235" s="6" t="str">
        <x:v>0.293984617156229</x:v>
      </x:c>
      <x:c r="AY235" s="6" t="str">
        <x:v>0</x:v>
      </x:c>
      <x:c r="AZ235" s="6" t="str">
        <x:v>1</x:v>
      </x:c>
      <x:c r="BA235" s="9" t="str">
        <x:v>grid_cells_within_BIG_polygon</x:v>
      </x:c>
      <x:c r="BB235" s="6" t="str">
        <x:v>2</x:v>
      </x:c>
      <x:c r="BC235" s="6" t="str">
        <x:v>0</x:v>
      </x:c>
      <x:c r="BD235" s="6" t="str">
        <x:v>0</x:v>
      </x:c>
      <x:c r="BE235" s="6" t="str">
        <x:v>0</x:v>
      </x:c>
      <x:c r="BF235" s="6" t="str">
        <x:v>0</x:v>
      </x:c>
      <x:c r="BG235" s="6" t="str">
        <x:v>0</x:v>
      </x:c>
      <x:c r="BH235" s="6" t="str">
        <x:v>0</x:v>
      </x:c>
      <x:c r="BI235" s="6" t="str">
        <x:v>0</x:v>
      </x:c>
      <x:c r="BJ235" s="6" t="str">
        <x:v>0</x:v>
      </x:c>
      <x:c r="BK235" s="6" t="str">
        <x:v>0</x:v>
      </x:c>
      <x:c r="BL235" s="6" t="str">
        <x:v>0</x:v>
      </x:c>
      <x:c r="BM235" s="6" t="str">
        <x:v>0</x:v>
      </x:c>
      <x:c r="BN235" s="6" t="str">
        <x:v>0</x:v>
      </x:c>
      <x:c r="BO235" s="6" t="str"/>
      <x:c r="BP235" s="6" t="str">
        <x:v>0</x:v>
      </x:c>
      <x:c r="BQ235" s="6" t="str"/>
      <x:c r="BR235" s="6" t="str">
        <x:v>0</x:v>
      </x:c>
      <x:c r="BS235" s="6" t="str"/>
      <x:c r="BT235" s="6" t="str">
        <x:v>0</x:v>
      </x:c>
      <x:c r="BU235" s="6" t="str"/>
      <x:c r="BV235" s="6" t="str">
        <x:v>0</x:v>
      </x:c>
      <x:c r="BW235" s="9" t="str">
        <x:v>operational_snapshot_annual_totals_may_differ</x:v>
      </x:c>
      <x:c r="BX235" s="9" t="str">
        <x:v>official_live_dashboard_snapshot_subject_to_revision</x:v>
      </x:c>
      <x:c r="BY235" s="9" t="str">
        <x:v>https://tbdashboard.sitb.id/ss_data_tbc03so_2025_provinsi_bulanan_list.php</x:v>
      </x:c>
      <x:c r="BZ235" s="6" t="n">
        <x:v>46246.610671296294</x:v>
      </x:c>
    </x:row>
    <x:row r="236" ht="18" customHeight="1">
      <x:c r="A236" s="6" t="str">
        <x:v>21</x:v>
      </x:c>
      <x:c r="B236" s="6" t="str">
        <x:v>KEPULAUAN RIAU</x:v>
      </x:c>
      <x:c r="C236" s="6" t="str">
        <x:v>2025</x:v>
      </x:c>
      <x:c r="D236" s="6" t="str">
        <x:v>7</x:v>
      </x:c>
      <x:c r="E236" s="6" t="str">
        <x:v>2025-07</x:v>
      </x:c>
      <x:c r="F236" s="6" t="str">
        <x:v>510</x:v>
      </x:c>
      <x:c r="G236" s="6" t="str">
        <x:v>97</x:v>
      </x:c>
      <x:c r="H236" s="6" t="str">
        <x:v>255</x:v>
      </x:c>
      <x:c r="I236" s="6" t="str">
        <x:v>56</x:v>
      </x:c>
      <x:c r="J236" s="6" t="str">
        <x:v>27</x:v>
      </x:c>
      <x:c r="K236" s="6" t="str">
        <x:v>1</x:v>
      </x:c>
      <x:c r="L236" s="6" t="str">
        <x:v>0</x:v>
      </x:c>
      <x:c r="M236" s="6" t="str">
        <x:v>74</x:v>
      </x:c>
      <x:c r="N236" s="6" t="str">
        <x:v>510</x:v>
      </x:c>
      <x:c r="O236" s="6" t="str">
        <x:v>0</x:v>
      </x:c>
      <x:c r="P236" s="10" t="n">
        <x:f>F236-M236</x:f>
        <x:v>436</x:v>
      </x:c>
      <x:c r="Q236" s="11" t="n">
        <x:f>IFERROR(M236/F236,"")</x:f>
        <x:v>0.1450980392156863</x:v>
      </x:c>
      <x:c r="R236" s="10" t="n">
        <x:f>G236+H236</x:f>
        <x:v>352</x:v>
      </x:c>
      <x:c r="S236" s="11" t="n">
        <x:f>IFERROR(R236/F236,"")</x:f>
        <x:v>0.6901960784313725</x:v>
      </x:c>
      <x:c r="T236" s="11" t="n">
        <x:f>IFERROR(R236/P236,"")</x:f>
        <x:v>0.8073394495412844</x:v>
      </x:c>
      <x:c r="U236" s="10" t="n">
        <x:f>I236+J236+K236</x:f>
        <x:v>84</x:v>
      </x:c>
      <x:c r="V236" s="11" t="n">
        <x:f>IFERROR(U236/P236,"")</x:f>
        <x:v>0.1926605504587156</x:v>
      </x:c>
      <x:c r="W236" s="9" t="str">
        <x:v>provisional_gt_5pct_pending</x:v>
      </x:c>
      <x:c r="X236" s="12" t="n">
        <x:f>IFERROR(F236/Z236*100000,"")</x:f>
        <x:v>23.040433702281454</x:v>
      </x:c>
      <x:c r="Y236" s="13" t="n">
        <x:f>LN(Z236)</x:f>
        <x:v>14.610085531154333</x:v>
      </x:c>
      <x:c r="Z236" s="6" t="str">
        <x:v>2213500</x:v>
      </x:c>
      <x:c r="AA236" s="6" t="str">
        <x:v>268.0</x:v>
      </x:c>
      <x:c r="AB236" s="9" t="str">
        <x:v>2025-06-30</x:v>
      </x:c>
      <x:c r="AC236" s="8" t="str">
        <x:v>90.96</x:v>
      </x:c>
      <x:c r="AD236" s="9" t="str">
        <x:v>2025 (Susenas)</x:v>
      </x:c>
      <x:c r="AE236" s="8" t="str">
        <x:v>4.44</x:v>
      </x:c>
      <x:c r="AF236" s="9" t="str">
        <x:v>Maret 2025 (Susenas)</x:v>
      </x:c>
      <x:c r="AG236" s="6" t="str">
        <x:v>28.854717900985243</x:v>
      </x:c>
      <x:c r="AH236" s="8" t="str">
        <x:v>80.69522207794778</x:v>
      </x:c>
      <x:c r="AI236" s="6" t="str">
        <x:v>140.78242289013374</x:v>
      </x:c>
      <x:c r="AJ236" s="6" t="str">
        <x:v>0.7879451807588325</x:v>
      </x:c>
      <x:c r="AK236" s="8" t="str">
        <x:v>2.5059071792070395</x:v>
      </x:c>
      <x:c r="AL236" s="6" t="str">
        <x:v>1.5805305674847936</x:v>
      </x:c>
      <x:c r="AM236" s="6" t="str">
        <x:v>1.9129939696228504</x:v>
      </x:c>
      <x:c r="AN236" s="6" t="str">
        <x:v>1.9998105721048949</x:v>
      </x:c>
      <x:c r="AO236" s="6" t="str">
        <x:v>0.5702205018981346</x:v>
      </x:c>
      <x:c r="AP236" s="8" t="str">
        <x:v>0.4453069245060415</x:v>
      </x:c>
      <x:c r="AQ236" s="6" t="str">
        <x:v>-0.0405732158951495</x:v>
      </x:c>
      <x:c r="AR236" s="6" t="str">
        <x:v>-0.856385011525753</x:v>
      </x:c>
      <x:c r="AS236" s="6" t="str">
        <x:v>-0.1505504343049537</x:v>
      </x:c>
      <x:c r="AT236" s="6" t="str">
        <x:v>-15.540615907148124</x:v>
      </x:c>
      <x:c r="AU236" s="8" t="str">
        <x:v>-0.288093790429642</x:v>
      </x:c>
      <x:c r="AV236" s="6" t="str">
        <x:v>0.7567647029867259</x:v>
      </x:c>
      <x:c r="AW236" s="6" t="str">
        <x:v>-0.1070572879960755</x:v>
      </x:c>
      <x:c r="AX236" s="6" t="str">
        <x:v>0.1205378748536691</x:v>
      </x:c>
      <x:c r="AY236" s="6" t="str">
        <x:v>0</x:v>
      </x:c>
      <x:c r="AZ236" s="6" t="str">
        <x:v>1</x:v>
      </x:c>
      <x:c r="BA236" s="9" t="str">
        <x:v>grid_cells_within_BIG_polygon</x:v>
      </x:c>
      <x:c r="BB236" s="6" t="str">
        <x:v>2</x:v>
      </x:c>
      <x:c r="BC236" s="6" t="str">
        <x:v>0</x:v>
      </x:c>
      <x:c r="BD236" s="6" t="str">
        <x:v>0</x:v>
      </x:c>
      <x:c r="BE236" s="6" t="str">
        <x:v>0</x:v>
      </x:c>
      <x:c r="BF236" s="6" t="str">
        <x:v>0</x:v>
      </x:c>
      <x:c r="BG236" s="6" t="str">
        <x:v>0</x:v>
      </x:c>
      <x:c r="BH236" s="6" t="str">
        <x:v>0</x:v>
      </x:c>
      <x:c r="BI236" s="6" t="str">
        <x:v>0</x:v>
      </x:c>
      <x:c r="BJ236" s="6" t="str">
        <x:v>0</x:v>
      </x:c>
      <x:c r="BK236" s="6" t="str">
        <x:v>0</x:v>
      </x:c>
      <x:c r="BL236" s="6" t="str">
        <x:v>0</x:v>
      </x:c>
      <x:c r="BM236" s="6" t="str">
        <x:v>0</x:v>
      </x:c>
      <x:c r="BN236" s="6" t="str">
        <x:v>0</x:v>
      </x:c>
      <x:c r="BO236" s="6" t="str"/>
      <x:c r="BP236" s="6" t="str">
        <x:v>0</x:v>
      </x:c>
      <x:c r="BQ236" s="6" t="str"/>
      <x:c r="BR236" s="6" t="str">
        <x:v>0</x:v>
      </x:c>
      <x:c r="BS236" s="6" t="str"/>
      <x:c r="BT236" s="6" t="str">
        <x:v>0</x:v>
      </x:c>
      <x:c r="BU236" s="6" t="str"/>
      <x:c r="BV236" s="6" t="str">
        <x:v>0</x:v>
      </x:c>
      <x:c r="BW236" s="9" t="str">
        <x:v>operational_snapshot_annual_totals_may_differ</x:v>
      </x:c>
      <x:c r="BX236" s="9" t="str">
        <x:v>official_live_dashboard_snapshot_subject_to_revision</x:v>
      </x:c>
      <x:c r="BY236" s="9" t="str">
        <x:v>https://tbdashboard.sitb.id/ss_data_tbc03so_2025_provinsi_bulanan_list.php</x:v>
      </x:c>
      <x:c r="BZ236" s="6" t="n">
        <x:v>46246.610671296294</x:v>
      </x:c>
    </x:row>
    <x:row r="237" ht="18" customHeight="1">
      <x:c r="A237" s="6" t="str">
        <x:v>21</x:v>
      </x:c>
      <x:c r="B237" s="6" t="str">
        <x:v>KEPULAUAN RIAU</x:v>
      </x:c>
      <x:c r="C237" s="6" t="str">
        <x:v>2025</x:v>
      </x:c>
      <x:c r="D237" s="6" t="str">
        <x:v>8</x:v>
      </x:c>
      <x:c r="E237" s="6" t="str">
        <x:v>2025-08</x:v>
      </x:c>
      <x:c r="F237" s="6" t="str">
        <x:v>502</x:v>
      </x:c>
      <x:c r="G237" s="6" t="str">
        <x:v>105</x:v>
      </x:c>
      <x:c r="H237" s="6" t="str">
        <x:v>263</x:v>
      </x:c>
      <x:c r="I237" s="6" t="str">
        <x:v>39</x:v>
      </x:c>
      <x:c r="J237" s="6" t="str">
        <x:v>34</x:v>
      </x:c>
      <x:c r="K237" s="6" t="str">
        <x:v>2</x:v>
      </x:c>
      <x:c r="L237" s="6" t="str">
        <x:v>1</x:v>
      </x:c>
      <x:c r="M237" s="6" t="str">
        <x:v>58</x:v>
      </x:c>
      <x:c r="N237" s="6" t="str">
        <x:v>502</x:v>
      </x:c>
      <x:c r="O237" s="6" t="str">
        <x:v>0</x:v>
      </x:c>
      <x:c r="P237" s="10" t="n">
        <x:f>F237-M237</x:f>
        <x:v>444</x:v>
      </x:c>
      <x:c r="Q237" s="11" t="n">
        <x:f>IFERROR(M237/F237,"")</x:f>
        <x:v>0.11553784860557768</x:v>
      </x:c>
      <x:c r="R237" s="10" t="n">
        <x:f>G237+H237</x:f>
        <x:v>368</x:v>
      </x:c>
      <x:c r="S237" s="11" t="n">
        <x:f>IFERROR(R237/F237,"")</x:f>
        <x:v>0.7330677290836654</x:v>
      </x:c>
      <x:c r="T237" s="11" t="n">
        <x:f>IFERROR(R237/P237,"")</x:f>
        <x:v>0.8288288288288288</x:v>
      </x:c>
      <x:c r="U237" s="10" t="n">
        <x:f>I237+J237+K237</x:f>
        <x:v>75</x:v>
      </x:c>
      <x:c r="V237" s="11" t="n">
        <x:f>IFERROR(U237/P237,"")</x:f>
        <x:v>0.16891891891891891</x:v>
      </x:c>
      <x:c r="W237" s="9" t="str">
        <x:v>provisional_gt_5pct_pending</x:v>
      </x:c>
      <x:c r="X237" s="12" t="n">
        <x:f>IFERROR(F237/Z237*100000,"")</x:f>
        <x:v>22.67901513440253</x:v>
      </x:c>
      <x:c r="Y237" s="13" t="n">
        <x:f>LN(Z237)</x:f>
        <x:v>14.610085531154333</x:v>
      </x:c>
      <x:c r="Z237" s="6" t="str">
        <x:v>2213500</x:v>
      </x:c>
      <x:c r="AA237" s="6" t="str">
        <x:v>268.0</x:v>
      </x:c>
      <x:c r="AB237" s="9" t="str">
        <x:v>2025-06-30</x:v>
      </x:c>
      <x:c r="AC237" s="8" t="str">
        <x:v>90.96</x:v>
      </x:c>
      <x:c r="AD237" s="9" t="str">
        <x:v>2025 (Susenas)</x:v>
      </x:c>
      <x:c r="AE237" s="8" t="str">
        <x:v>4.44</x:v>
      </x:c>
      <x:c r="AF237" s="9" t="str">
        <x:v>Maret 2025 (Susenas)</x:v>
      </x:c>
      <x:c r="AG237" s="6" t="str">
        <x:v>28.39977191994552</x:v>
      </x:c>
      <x:c r="AH237" s="8" t="str">
        <x:v>79.4753781327219</x:v>
      </x:c>
      <x:c r="AI237" s="6" t="str">
        <x:v>249.78035644957967</x:v>
      </x:c>
      <x:c r="AJ237" s="6" t="str">
        <x:v>0.3970800362600108</x:v>
      </x:c>
      <x:c r="AK237" s="8" t="str">
        <x:v>1.3482869847743009</x:v>
      </x:c>
      <x:c r="AL237" s="6" t="str">
        <x:v>2.5059071792070395</x:v>
      </x:c>
      <x:c r="AM237" s="6" t="str">
        <x:v>1.5805305674847936</x:v>
      </x:c>
      <x:c r="AN237" s="6" t="str">
        <x:v>1.811574910488712</x:v>
      </x:c>
      <x:c r="AO237" s="6" t="str">
        <x:v>-0.497492238114873</x:v>
      </x:c>
      <x:c r="AP237" s="8" t="str">
        <x:v>-0.3394734851355321</x:v>
      </x:c>
      <x:c r="AQ237" s="6" t="str">
        <x:v>0.4453069245060415</x:v>
      </x:c>
      <x:c r="AR237" s="6" t="str">
        <x:v>-0.0405732158951495</x:v>
      </x:c>
      <x:c r="AS237" s="6" t="str">
        <x:v>0.0217534078251198</x:v>
      </x:c>
      <x:c r="AT237" s="6" t="str">
        <x:v>104.44286711889188</x:v>
      </x:c>
      <x:c r="AU237" s="8" t="str">
        <x:v>1.7463699473251777</x:v>
      </x:c>
      <x:c r="AV237" s="6" t="str">
        <x:v>-0.288093790429642</x:v>
      </x:c>
      <x:c r="AW237" s="6" t="str">
        <x:v>0.7567647029867259</x:v>
      </x:c>
      <x:c r="AX237" s="6" t="str">
        <x:v>0.7383469532940868</x:v>
      </x:c>
      <x:c r="AY237" s="6" t="str">
        <x:v>1</x:v>
      </x:c>
      <x:c r="AZ237" s="6" t="str">
        <x:v>1</x:v>
      </x:c>
      <x:c r="BA237" s="9" t="str">
        <x:v>grid_cells_within_BIG_polygon</x:v>
      </x:c>
      <x:c r="BB237" s="6" t="str">
        <x:v>2</x:v>
      </x:c>
      <x:c r="BC237" s="6" t="str">
        <x:v>1</x:v>
      </x:c>
      <x:c r="BD237" s="6" t="str">
        <x:v>1</x:v>
      </x:c>
      <x:c r="BE237" s="6" t="str">
        <x:v>1</x:v>
      </x:c>
      <x:c r="BF237" s="6" t="str">
        <x:v>0</x:v>
      </x:c>
      <x:c r="BG237" s="6" t="str">
        <x:v>0</x:v>
      </x:c>
      <x:c r="BH237" s="6" t="str">
        <x:v>0</x:v>
      </x:c>
      <x:c r="BI237" s="6" t="str">
        <x:v>0</x:v>
      </x:c>
      <x:c r="BJ237" s="6" t="str">
        <x:v>0</x:v>
      </x:c>
      <x:c r="BK237" s="6" t="str">
        <x:v>0</x:v>
      </x:c>
      <x:c r="BL237" s="6" t="str">
        <x:v>0</x:v>
      </x:c>
      <x:c r="BM237" s="6" t="str">
        <x:v>0</x:v>
      </x:c>
      <x:c r="BN237" s="6" t="str">
        <x:v>1</x:v>
      </x:c>
      <x:c r="BO237" s="6" t="str"/>
      <x:c r="BP237" s="6" t="str">
        <x:v>0</x:v>
      </x:c>
      <x:c r="BQ237" s="6" t="str"/>
      <x:c r="BR237" s="6" t="str">
        <x:v>0</x:v>
      </x:c>
      <x:c r="BS237" s="6" t="str">
        <x:v>0.0</x:v>
      </x:c>
      <x:c r="BT237" s="6" t="str">
        <x:v>1</x:v>
      </x:c>
      <x:c r="BU237" s="6" t="str">
        <x:v>25.0</x:v>
      </x:c>
      <x:c r="BV237" s="6" t="str">
        <x:v>1</x:v>
      </x:c>
      <x:c r="BW237" s="9" t="str">
        <x:v>operational_snapshot_annual_totals_may_differ</x:v>
      </x:c>
      <x:c r="BX237" s="9" t="str">
        <x:v>official_live_dashboard_snapshot_subject_to_revision</x:v>
      </x:c>
      <x:c r="BY237" s="9" t="str">
        <x:v>https://tbdashboard.sitb.id/ss_data_tbc03so_2025_provinsi_bulanan_list.php</x:v>
      </x:c>
      <x:c r="BZ237" s="6" t="n">
        <x:v>46246.610671296294</x:v>
      </x:c>
    </x:row>
    <x:row r="238" ht="18" customHeight="1">
      <x:c r="A238" s="6" t="str">
        <x:v>21</x:v>
      </x:c>
      <x:c r="B238" s="6" t="str">
        <x:v>KEPULAUAN RIAU</x:v>
      </x:c>
      <x:c r="C238" s="6" t="str">
        <x:v>2025</x:v>
      </x:c>
      <x:c r="D238" s="6" t="str">
        <x:v>9</x:v>
      </x:c>
      <x:c r="E238" s="6" t="str">
        <x:v>2025-09</x:v>
      </x:c>
      <x:c r="F238" s="6" t="str">
        <x:v>638</x:v>
      </x:c>
      <x:c r="G238" s="6" t="str">
        <x:v>150</x:v>
      </x:c>
      <x:c r="H238" s="6" t="str">
        <x:v>279</x:v>
      </x:c>
      <x:c r="I238" s="6" t="str">
        <x:v>47</x:v>
      </x:c>
      <x:c r="J238" s="6" t="str">
        <x:v>21</x:v>
      </x:c>
      <x:c r="K238" s="6" t="str">
        <x:v>1</x:v>
      </x:c>
      <x:c r="L238" s="6" t="str">
        <x:v>0</x:v>
      </x:c>
      <x:c r="M238" s="6" t="str">
        <x:v>140</x:v>
      </x:c>
      <x:c r="N238" s="6" t="str">
        <x:v>638</x:v>
      </x:c>
      <x:c r="O238" s="6" t="str">
        <x:v>0</x:v>
      </x:c>
      <x:c r="P238" s="10" t="n">
        <x:f>F238-M238</x:f>
        <x:v>498</x:v>
      </x:c>
      <x:c r="Q238" s="11" t="n">
        <x:f>IFERROR(M238/F238,"")</x:f>
        <x:v>0.219435736677116</x:v>
      </x:c>
      <x:c r="R238" s="10" t="n">
        <x:f>G238+H238</x:f>
        <x:v>429</x:v>
      </x:c>
      <x:c r="S238" s="11" t="n">
        <x:f>IFERROR(R238/F238,"")</x:f>
        <x:v>0.6724137931034483</x:v>
      </x:c>
      <x:c r="T238" s="11" t="n">
        <x:f>IFERROR(R238/P238,"")</x:f>
        <x:v>0.8614457831325302</x:v>
      </x:c>
      <x:c r="U238" s="10" t="n">
        <x:f>I238+J238+K238</x:f>
        <x:v>69</x:v>
      </x:c>
      <x:c r="V238" s="11" t="n">
        <x:f>IFERROR(U238/P238,"")</x:f>
        <x:v>0.13855421686746988</x:v>
      </x:c>
      <x:c r="W238" s="9" t="str">
        <x:v>provisional_gt_5pct_pending</x:v>
      </x:c>
      <x:c r="X238" s="12" t="n">
        <x:f>IFERROR(F238/Z238*100000,"")</x:f>
        <x:v>28.82313078834425</x:v>
      </x:c>
      <x:c r="Y238" s="13" t="n">
        <x:f>LN(Z238)</x:f>
        <x:v>14.610085531154333</x:v>
      </x:c>
      <x:c r="Z238" s="6" t="str">
        <x:v>2213500</x:v>
      </x:c>
      <x:c r="AA238" s="6" t="str">
        <x:v>268.0</x:v>
      </x:c>
      <x:c r="AB238" s="9" t="str">
        <x:v>2025-06-30</x:v>
      </x:c>
      <x:c r="AC238" s="8" t="str">
        <x:v>90.96</x:v>
      </x:c>
      <x:c r="AD238" s="9" t="str">
        <x:v>2025 (Susenas)</x:v>
      </x:c>
      <x:c r="AE238" s="8" t="str">
        <x:v>4.44</x:v>
      </x:c>
      <x:c r="AF238" s="9" t="str">
        <x:v>Maret 2025 (Susenas)</x:v>
      </x:c>
      <x:c r="AG238" s="6" t="str">
        <x:v>28.169903966292846</x:v>
      </x:c>
      <x:c r="AH238" s="8" t="str">
        <x:v>80.54016805898752</x:v>
      </x:c>
      <x:c r="AI238" s="6" t="str">
        <x:v>198.1606237288535</x:v>
      </x:c>
      <x:c r="AJ238" s="6" t="str">
        <x:v>0.1969519831464232</x:v>
      </x:c>
      <x:c r="AK238" s="8" t="str">
        <x:v>0.6784349175187397</x:v>
      </x:c>
      <x:c r="AL238" s="6" t="str">
        <x:v>1.3482869847743009</x:v>
      </x:c>
      <x:c r="AM238" s="6" t="str">
        <x:v>2.5059071792070395</x:v>
      </x:c>
      <x:c r="AN238" s="6" t="str">
        <x:v>1.510876360500027</x:v>
      </x:c>
      <x:c r="AO238" s="6" t="str">
        <x:v>1.0943400948673627</x:v>
      </x:c>
      <x:c r="AP238" s="8" t="str">
        <x:v>0.6879810267267743</x:v>
      </x:c>
      <x:c r="AQ238" s="6" t="str">
        <x:v>-0.3394734851355321</x:v>
      </x:c>
      <x:c r="AR238" s="6" t="str">
        <x:v>0.4453069245060415</x:v>
      </x:c>
      <x:c r="AS238" s="6" t="str">
        <x:v>0.2646048220324278</x:v>
      </x:c>
      <x:c r="AT238" s="6" t="str">
        <x:v>45.74421323377973</x:v>
      </x:c>
      <x:c r="AU238" s="8" t="str">
        <x:v>0.7775868872020767</x:v>
      </x:c>
      <x:c r="AV238" s="6" t="str">
        <x:v>1.7463699473251777</x:v>
      </x:c>
      <x:c r="AW238" s="6" t="str">
        <x:v>-0.288093790429642</x:v>
      </x:c>
      <x:c r="AX238" s="6" t="str">
        <x:v>0.7452876813658705</x:v>
      </x:c>
      <x:c r="AY238" s="6" t="str">
        <x:v>0</x:v>
      </x:c>
      <x:c r="AZ238" s="6" t="str">
        <x:v>0</x:v>
      </x:c>
      <x:c r="BA238" s="9" t="str">
        <x:v>grid_cells_within_BIG_polygon</x:v>
      </x:c>
      <x:c r="BB238" s="6" t="str">
        <x:v>2</x:v>
      </x:c>
      <x:c r="BC238" s="6" t="str">
        <x:v>0</x:v>
      </x:c>
      <x:c r="BD238" s="6" t="str">
        <x:v>0</x:v>
      </x:c>
      <x:c r="BE238" s="6" t="str">
        <x:v>0</x:v>
      </x:c>
      <x:c r="BF238" s="6" t="str">
        <x:v>0</x:v>
      </x:c>
      <x:c r="BG238" s="6" t="str">
        <x:v>0</x:v>
      </x:c>
      <x:c r="BH238" s="6" t="str">
        <x:v>0</x:v>
      </x:c>
      <x:c r="BI238" s="6" t="str">
        <x:v>0</x:v>
      </x:c>
      <x:c r="BJ238" s="6" t="str">
        <x:v>0</x:v>
      </x:c>
      <x:c r="BK238" s="6" t="str">
        <x:v>0</x:v>
      </x:c>
      <x:c r="BL238" s="6" t="str">
        <x:v>0</x:v>
      </x:c>
      <x:c r="BM238" s="6" t="str">
        <x:v>0</x:v>
      </x:c>
      <x:c r="BN238" s="6" t="str">
        <x:v>0</x:v>
      </x:c>
      <x:c r="BO238" s="6" t="str"/>
      <x:c r="BP238" s="6" t="str">
        <x:v>0</x:v>
      </x:c>
      <x:c r="BQ238" s="6" t="str"/>
      <x:c r="BR238" s="6" t="str">
        <x:v>0</x:v>
      </x:c>
      <x:c r="BS238" s="6" t="str"/>
      <x:c r="BT238" s="6" t="str">
        <x:v>0</x:v>
      </x:c>
      <x:c r="BU238" s="6" t="str"/>
      <x:c r="BV238" s="6" t="str">
        <x:v>0</x:v>
      </x:c>
      <x:c r="BW238" s="9" t="str">
        <x:v>operational_snapshot_annual_totals_may_differ</x:v>
      </x:c>
      <x:c r="BX238" s="9" t="str">
        <x:v>official_live_dashboard_snapshot_subject_to_revision</x:v>
      </x:c>
      <x:c r="BY238" s="9" t="str">
        <x:v>https://tbdashboard.sitb.id/ss_data_tbc03so_2025_provinsi_bulanan_list.php</x:v>
      </x:c>
      <x:c r="BZ238" s="6" t="n">
        <x:v>46246.610671296294</x:v>
      </x:c>
    </x:row>
    <x:row r="239" ht="18" customHeight="1">
      <x:c r="A239" s="6" t="str">
        <x:v>21</x:v>
      </x:c>
      <x:c r="B239" s="6" t="str">
        <x:v>KEPULAUAN RIAU</x:v>
      </x:c>
      <x:c r="C239" s="6" t="str">
        <x:v>2025</x:v>
      </x:c>
      <x:c r="D239" s="6" t="str">
        <x:v>10</x:v>
      </x:c>
      <x:c r="E239" s="6" t="str">
        <x:v>2025-10</x:v>
      </x:c>
      <x:c r="F239" s="6" t="str">
        <x:v>654</x:v>
      </x:c>
      <x:c r="G239" s="6" t="str">
        <x:v>135</x:v>
      </x:c>
      <x:c r="H239" s="6" t="str">
        <x:v>276</x:v>
      </x:c>
      <x:c r="I239" s="6" t="str">
        <x:v>42</x:v>
      </x:c>
      <x:c r="J239" s="6" t="str">
        <x:v>24</x:v>
      </x:c>
      <x:c r="K239" s="6" t="str">
        <x:v>0</x:v>
      </x:c>
      <x:c r="L239" s="6" t="str">
        <x:v>0</x:v>
      </x:c>
      <x:c r="M239" s="6" t="str">
        <x:v>177</x:v>
      </x:c>
      <x:c r="N239" s="6" t="str">
        <x:v>654</x:v>
      </x:c>
      <x:c r="O239" s="6" t="str">
        <x:v>0</x:v>
      </x:c>
      <x:c r="P239" s="10" t="n">
        <x:f>F239-M239</x:f>
        <x:v>477</x:v>
      </x:c>
      <x:c r="Q239" s="11" t="n">
        <x:f>IFERROR(M239/F239,"")</x:f>
        <x:v>0.2706422018348624</x:v>
      </x:c>
      <x:c r="R239" s="10" t="n">
        <x:f>G239+H239</x:f>
        <x:v>411</x:v>
      </x:c>
      <x:c r="S239" s="11" t="n">
        <x:f>IFERROR(R239/F239,"")</x:f>
        <x:v>0.6284403669724771</x:v>
      </x:c>
      <x:c r="T239" s="11" t="n">
        <x:f>IFERROR(R239/P239,"")</x:f>
        <x:v>0.8616352201257862</x:v>
      </x:c>
      <x:c r="U239" s="10" t="n">
        <x:f>I239+J239+K239</x:f>
        <x:v>66</x:v>
      </x:c>
      <x:c r="V239" s="11" t="n">
        <x:f>IFERROR(U239/P239,"")</x:f>
        <x:v>0.13836477987421383</x:v>
      </x:c>
      <x:c r="W239" s="9" t="str">
        <x:v>provisional_gt_5pct_pending</x:v>
      </x:c>
      <x:c r="X239" s="12" t="n">
        <x:f>IFERROR(F239/Z239*100000,"")</x:f>
        <x:v>29.5459679241021</x:v>
      </x:c>
      <x:c r="Y239" s="13" t="n">
        <x:f>LN(Z239)</x:f>
        <x:v>14.610085531154333</x:v>
      </x:c>
      <x:c r="Z239" s="6" t="str">
        <x:v>2213500</x:v>
      </x:c>
      <x:c r="AA239" s="6" t="str">
        <x:v>268.0</x:v>
      </x:c>
      <x:c r="AB239" s="9" t="str">
        <x:v>2025-06-30</x:v>
      </x:c>
      <x:c r="AC239" s="8" t="str">
        <x:v>90.96</x:v>
      </x:c>
      <x:c r="AD239" s="9" t="str">
        <x:v>2025 (Susenas)</x:v>
      </x:c>
      <x:c r="AE239" s="8" t="str">
        <x:v>4.44</x:v>
      </x:c>
      <x:c r="AF239" s="9" t="str">
        <x:v>Maret 2025 (Susenas)</x:v>
      </x:c>
      <x:c r="AG239" s="6" t="str">
        <x:v>28.64488595997276</x:v>
      </x:c>
      <x:c r="AH239" s="8" t="str">
        <x:v>78.70424973666287</x:v>
      </x:c>
      <x:c r="AI239" s="6" t="str">
        <x:v>201.3500237633053</x:v>
      </x:c>
      <x:c r="AJ239" s="6" t="str">
        <x:v>0.7716758780676543</x:v>
      </x:c>
      <x:c r="AK239" s="8" t="str">
        <x:v>2.3988826765736126</x:v>
      </x:c>
      <x:c r="AL239" s="6" t="str">
        <x:v>0.6784349175187397</x:v>
      </x:c>
      <x:c r="AM239" s="6" t="str">
        <x:v>1.3482869847743009</x:v>
      </x:c>
      <x:c r="AN239" s="6" t="str">
        <x:v>1.475201526288885</x:v>
      </x:c>
      <x:c r="AO239" s="6" t="str">
        <x:v>-0.9419603942665304</x:v>
      </x:c>
      <x:c r="AP239" s="8" t="str">
        <x:v>-0.456283809179519</x:v>
      </x:c>
      <x:c r="AQ239" s="6" t="str">
        <x:v>0.6879810267267743</x:v>
      </x:c>
      <x:c r="AR239" s="6" t="str">
        <x:v>-0.3394734851355321</x:v>
      </x:c>
      <x:c r="AS239" s="6" t="str">
        <x:v>-0.0359254225294256</x:v>
      </x:c>
      <x:c r="AT239" s="6" t="str">
        <x:v>3.0176674910104566</x:v>
      </x:c>
      <x:c r="AU239" s="8" t="str">
        <x:v>0.0505957070991456</x:v>
      </x:c>
      <x:c r="AV239" s="6" t="str">
        <x:v>0.7775868872020767</x:v>
      </x:c>
      <x:c r="AW239" s="6" t="str">
        <x:v>1.7463699473251777</x:v>
      </x:c>
      <x:c r="AX239" s="6" t="str">
        <x:v>0.858184180542133</x:v>
      </x:c>
      <x:c r="AY239" s="6" t="str">
        <x:v>0</x:v>
      </x:c>
      <x:c r="AZ239" s="6" t="str">
        <x:v>1</x:v>
      </x:c>
      <x:c r="BA239" s="9" t="str">
        <x:v>grid_cells_within_BIG_polygon</x:v>
      </x:c>
      <x:c r="BB239" s="6" t="str">
        <x:v>2</x:v>
      </x:c>
      <x:c r="BC239" s="6" t="str">
        <x:v>1</x:v>
      </x:c>
      <x:c r="BD239" s="6" t="str">
        <x:v>1</x:v>
      </x:c>
      <x:c r="BE239" s="6" t="str">
        <x:v>0</x:v>
      </x:c>
      <x:c r="BF239" s="6" t="str">
        <x:v>0</x:v>
      </x:c>
      <x:c r="BG239" s="6" t="str">
        <x:v>1</x:v>
      </x:c>
      <x:c r="BH239" s="6" t="str">
        <x:v>0</x:v>
      </x:c>
      <x:c r="BI239" s="6" t="str">
        <x:v>0</x:v>
      </x:c>
      <x:c r="BJ239" s="6" t="str">
        <x:v>0</x:v>
      </x:c>
      <x:c r="BK239" s="6" t="str">
        <x:v>0</x:v>
      </x:c>
      <x:c r="BL239" s="6" t="str">
        <x:v>0</x:v>
      </x:c>
      <x:c r="BM239" s="6" t="str">
        <x:v>0</x:v>
      </x:c>
      <x:c r="BN239" s="6" t="str">
        <x:v>1</x:v>
      </x:c>
      <x:c r="BO239" s="6" t="str"/>
      <x:c r="BP239" s="6" t="str">
        <x:v>0</x:v>
      </x:c>
      <x:c r="BQ239" s="6" t="str"/>
      <x:c r="BR239" s="6" t="str">
        <x:v>0</x:v>
      </x:c>
      <x:c r="BS239" s="6" t="str">
        <x:v>10.0</x:v>
      </x:c>
      <x:c r="BT239" s="6" t="str">
        <x:v>1</x:v>
      </x:c>
      <x:c r="BU239" s="6" t="str"/>
      <x:c r="BV239" s="6" t="str">
        <x:v>0</x:v>
      </x:c>
      <x:c r="BW239" s="9" t="str">
        <x:v>operational_snapshot_annual_totals_may_differ</x:v>
      </x:c>
      <x:c r="BX239" s="9" t="str">
        <x:v>official_live_dashboard_snapshot_subject_to_revision</x:v>
      </x:c>
      <x:c r="BY239" s="9" t="str">
        <x:v>https://tbdashboard.sitb.id/ss_data_tbc03so_2025_provinsi_bulanan_list.php</x:v>
      </x:c>
      <x:c r="BZ239" s="6" t="n">
        <x:v>46246.610671296294</x:v>
      </x:c>
    </x:row>
    <x:row r="240" ht="18" customHeight="1">
      <x:c r="A240" s="6" t="str">
        <x:v>21</x:v>
      </x:c>
      <x:c r="B240" s="6" t="str">
        <x:v>KEPULAUAN RIAU</x:v>
      </x:c>
      <x:c r="C240" s="6" t="str">
        <x:v>2025</x:v>
      </x:c>
      <x:c r="D240" s="6" t="str">
        <x:v>11</x:v>
      </x:c>
      <x:c r="E240" s="6" t="str">
        <x:v>2025-11</x:v>
      </x:c>
      <x:c r="F240" s="6" t="str">
        <x:v>599</x:v>
      </x:c>
      <x:c r="G240" s="6" t="str">
        <x:v>97</x:v>
      </x:c>
      <x:c r="H240" s="6" t="str">
        <x:v>207</x:v>
      </x:c>
      <x:c r="I240" s="6" t="str">
        <x:v>45</x:v>
      </x:c>
      <x:c r="J240" s="6" t="str">
        <x:v>28</x:v>
      </x:c>
      <x:c r="K240" s="6" t="str">
        <x:v>1</x:v>
      </x:c>
      <x:c r="L240" s="6" t="str">
        <x:v>2</x:v>
      </x:c>
      <x:c r="M240" s="6" t="str">
        <x:v>219</x:v>
      </x:c>
      <x:c r="N240" s="6" t="str">
        <x:v>599</x:v>
      </x:c>
      <x:c r="O240" s="6" t="str">
        <x:v>0</x:v>
      </x:c>
      <x:c r="P240" s="10" t="n">
        <x:f>F240-M240</x:f>
        <x:v>380</x:v>
      </x:c>
      <x:c r="Q240" s="11" t="n">
        <x:f>IFERROR(M240/F240,"")</x:f>
        <x:v>0.3656093489148581</x:v>
      </x:c>
      <x:c r="R240" s="10" t="n">
        <x:f>G240+H240</x:f>
        <x:v>304</x:v>
      </x:c>
      <x:c r="S240" s="11" t="n">
        <x:f>IFERROR(R240/F240,"")</x:f>
        <x:v>0.5075125208681135</x:v>
      </x:c>
      <x:c r="T240" s="11" t="n">
        <x:f>IFERROR(R240/P240,"")</x:f>
        <x:v>0.8</x:v>
      </x:c>
      <x:c r="U240" s="10" t="n">
        <x:f>I240+J240+K240</x:f>
        <x:v>74</x:v>
      </x:c>
      <x:c r="V240" s="11" t="n">
        <x:f>IFERROR(U240/P240,"")</x:f>
        <x:v>0.19473684210526315</x:v>
      </x:c>
      <x:c r="W240" s="9" t="str">
        <x:v>provisional_gt_5pct_pending</x:v>
      </x:c>
      <x:c r="X240" s="12" t="n">
        <x:f>IFERROR(F240/Z240*100000,"")</x:f>
        <x:v>27.06121526993449</x:v>
      </x:c>
      <x:c r="Y240" s="13" t="n">
        <x:f>LN(Z240)</x:f>
        <x:v>14.610085531154333</x:v>
      </x:c>
      <x:c r="Z240" s="6" t="str">
        <x:v>2213500</x:v>
      </x:c>
      <x:c r="AA240" s="6" t="str">
        <x:v>268.0</x:v>
      </x:c>
      <x:c r="AB240" s="9" t="str">
        <x:v>2025-06-30</x:v>
      </x:c>
      <x:c r="AC240" s="8" t="str">
        <x:v>90.96</x:v>
      </x:c>
      <x:c r="AD240" s="9" t="str">
        <x:v>2025 (Susenas)</x:v>
      </x:c>
      <x:c r="AE240" s="8" t="str">
        <x:v>4.44</x:v>
      </x:c>
      <x:c r="AF240" s="9" t="str">
        <x:v>Maret 2025 (Susenas)</x:v>
      </x:c>
      <x:c r="AG240" s="6" t="str">
        <x:v>28.325162056880814</x:v>
      </x:c>
      <x:c r="AH240" s="8" t="str">
        <x:v>80.228415443832</x:v>
      </x:c>
      <x:c r="AI240" s="6" t="str">
        <x:v>304.9472990519864</x:v>
      </x:c>
      <x:c r="AJ240" s="6" t="str">
        <x:v>0.7455474166429035</x:v>
      </x:c>
      <x:c r="AK240" s="8" t="str">
        <x:v>1.8117396244849824</x:v>
      </x:c>
      <x:c r="AL240" s="6" t="str">
        <x:v>2.3988826765736126</x:v>
      </x:c>
      <x:c r="AM240" s="6" t="str">
        <x:v>0.6784349175187397</x:v>
      </x:c>
      <x:c r="AN240" s="6" t="str">
        <x:v>1.6296857395257784</x:v>
      </x:c>
      <x:c r="AO240" s="6" t="str">
        <x:v>-1.513127636631708</x:v>
      </x:c>
      <x:c r="AP240" s="8" t="str">
        <x:v>-0.7263362186447143</x:v>
      </x:c>
      <x:c r="AQ240" s="6" t="str">
        <x:v>-0.456283809179519</x:v>
      </x:c>
      <x:c r="AR240" s="6" t="str">
        <x:v>0.6879810267267743</x:v>
      </x:c>
      <x:c r="AS240" s="6" t="str">
        <x:v>-0.1648796670324864</x:v>
      </x:c>
      <x:c r="AT240" s="6" t="str">
        <x:v>67.03492246285589</x:v>
      </x:c>
      <x:c r="AU240" s="8" t="str">
        <x:v>1.5099945051957824</x:v>
      </x:c>
      <x:c r="AV240" s="6" t="str">
        <x:v>0.0505957070991456</x:v>
      </x:c>
      <x:c r="AW240" s="6" t="str">
        <x:v>0.7775868872020767</x:v>
      </x:c>
      <x:c r="AX240" s="6" t="str">
        <x:v>0.7793923664990013</x:v>
      </x:c>
      <x:c r="AY240" s="6" t="str">
        <x:v>1</x:v>
      </x:c>
      <x:c r="AZ240" s="6" t="str">
        <x:v>1</x:v>
      </x:c>
      <x:c r="BA240" s="9" t="str">
        <x:v>grid_cells_within_BIG_polygon</x:v>
      </x:c>
      <x:c r="BB240" s="6" t="str">
        <x:v>2</x:v>
      </x:c>
      <x:c r="BC240" s="6" t="str">
        <x:v>0</x:v>
      </x:c>
      <x:c r="BD240" s="6" t="str">
        <x:v>0</x:v>
      </x:c>
      <x:c r="BE240" s="6" t="str">
        <x:v>0</x:v>
      </x:c>
      <x:c r="BF240" s="6" t="str">
        <x:v>0</x:v>
      </x:c>
      <x:c r="BG240" s="6" t="str">
        <x:v>0</x:v>
      </x:c>
      <x:c r="BH240" s="6" t="str">
        <x:v>0</x:v>
      </x:c>
      <x:c r="BI240" s="6" t="str">
        <x:v>0</x:v>
      </x:c>
      <x:c r="BJ240" s="6" t="str">
        <x:v>0</x:v>
      </x:c>
      <x:c r="BK240" s="6" t="str">
        <x:v>0</x:v>
      </x:c>
      <x:c r="BL240" s="6" t="str">
        <x:v>0</x:v>
      </x:c>
      <x:c r="BM240" s="6" t="str">
        <x:v>0</x:v>
      </x:c>
      <x:c r="BN240" s="6" t="str">
        <x:v>0</x:v>
      </x:c>
      <x:c r="BO240" s="6" t="str"/>
      <x:c r="BP240" s="6" t="str">
        <x:v>0</x:v>
      </x:c>
      <x:c r="BQ240" s="6" t="str"/>
      <x:c r="BR240" s="6" t="str">
        <x:v>0</x:v>
      </x:c>
      <x:c r="BS240" s="6" t="str"/>
      <x:c r="BT240" s="6" t="str">
        <x:v>0</x:v>
      </x:c>
      <x:c r="BU240" s="6" t="str"/>
      <x:c r="BV240" s="6" t="str">
        <x:v>0</x:v>
      </x:c>
      <x:c r="BW240" s="9" t="str">
        <x:v>operational_snapshot_annual_totals_may_differ</x:v>
      </x:c>
      <x:c r="BX240" s="9" t="str">
        <x:v>official_live_dashboard_snapshot_subject_to_revision</x:v>
      </x:c>
      <x:c r="BY240" s="9" t="str">
        <x:v>https://tbdashboard.sitb.id/ss_data_tbc03so_2025_provinsi_bulanan_list.php</x:v>
      </x:c>
      <x:c r="BZ240" s="6" t="n">
        <x:v>46246.610671296294</x:v>
      </x:c>
    </x:row>
    <x:row r="241" ht="18" customHeight="1">
      <x:c r="A241" s="6" t="str">
        <x:v>21</x:v>
      </x:c>
      <x:c r="B241" s="6" t="str">
        <x:v>KEPULAUAN RIAU</x:v>
      </x:c>
      <x:c r="C241" s="6" t="str">
        <x:v>2025</x:v>
      </x:c>
      <x:c r="D241" s="6" t="str">
        <x:v>12</x:v>
      </x:c>
      <x:c r="E241" s="6" t="str">
        <x:v>2025-12</x:v>
      </x:c>
      <x:c r="F241" s="6" t="str">
        <x:v>533</x:v>
      </x:c>
      <x:c r="G241" s="6" t="str">
        <x:v>86</x:v>
      </x:c>
      <x:c r="H241" s="6" t="str">
        <x:v>177</x:v>
      </x:c>
      <x:c r="I241" s="6" t="str">
        <x:v>25</x:v>
      </x:c>
      <x:c r="J241" s="6" t="str">
        <x:v>16</x:v>
      </x:c>
      <x:c r="K241" s="6" t="str">
        <x:v>1</x:v>
      </x:c>
      <x:c r="L241" s="6" t="str">
        <x:v>2</x:v>
      </x:c>
      <x:c r="M241" s="6" t="str">
        <x:v>226</x:v>
      </x:c>
      <x:c r="N241" s="6" t="str">
        <x:v>533</x:v>
      </x:c>
      <x:c r="O241" s="6" t="str">
        <x:v>0</x:v>
      </x:c>
      <x:c r="P241" s="10" t="n">
        <x:f>F241-M241</x:f>
        <x:v>307</x:v>
      </x:c>
      <x:c r="Q241" s="11" t="n">
        <x:f>IFERROR(M241/F241,"")</x:f>
        <x:v>0.42401500938086306</x:v>
      </x:c>
      <x:c r="R241" s="10" t="n">
        <x:f>G241+H241</x:f>
        <x:v>263</x:v>
      </x:c>
      <x:c r="S241" s="11" t="n">
        <x:f>IFERROR(R241/F241,"")</x:f>
        <x:v>0.49343339587242024</x:v>
      </x:c>
      <x:c r="T241" s="11" t="n">
        <x:f>IFERROR(R241/P241,"")</x:f>
        <x:v>0.8566775244299675</x:v>
      </x:c>
      <x:c r="U241" s="10" t="n">
        <x:f>I241+J241+K241</x:f>
        <x:v>42</x:v>
      </x:c>
      <x:c r="V241" s="11" t="n">
        <x:f>IFERROR(U241/P241,"")</x:f>
        <x:v>0.13680781758957655</x:v>
      </x:c>
      <x:c r="W241" s="9" t="str">
        <x:v>provisional_gt_5pct_pending</x:v>
      </x:c>
      <x:c r="X241" s="12" t="n">
        <x:f>IFERROR(F241/Z241*100000,"")</x:f>
        <x:v>24.079512084933363</x:v>
      </x:c>
      <x:c r="Y241" s="13" t="n">
        <x:f>LN(Z241)</x:f>
        <x:v>14.610085531154333</x:v>
      </x:c>
      <x:c r="Z241" s="6" t="str">
        <x:v>2213500</x:v>
      </x:c>
      <x:c r="AA241" s="6" t="str">
        <x:v>268.0</x:v>
      </x:c>
      <x:c r="AB241" s="9" t="str">
        <x:v>2025-06-30</x:v>
      </x:c>
      <x:c r="AC241" s="8" t="str">
        <x:v>90.96</x:v>
      </x:c>
      <x:c r="AD241" s="9" t="str">
        <x:v>2025 (Susenas)</x:v>
      </x:c>
      <x:c r="AE241" s="8" t="str">
        <x:v>4.44</x:v>
      </x:c>
      <x:c r="AF241" s="9" t="str">
        <x:v>Maret 2025 (Susenas)</x:v>
      </x:c>
      <x:c r="AG241" s="6" t="str">
        <x:v>27.450276096908052</x:v>
      </x:c>
      <x:c r="AH241" s="8" t="str">
        <x:v>85.01309733217708</x:v>
      </x:c>
      <x:c r="AI241" s="6" t="str">
        <x:v>355.7303882951548</x:v>
      </x:c>
      <x:c r="AJ241" s="6" t="str">
        <x:v>0.404680671582291</x:v>
      </x:c>
      <x:c r="AK241" s="8" t="str">
        <x:v>0.8994985003495981</x:v>
      </x:c>
      <x:c r="AL241" s="6" t="str">
        <x:v>1.8117396244849824</x:v>
      </x:c>
      <x:c r="AM241" s="6" t="str">
        <x:v>2.3988826765736126</x:v>
      </x:c>
      <x:c r="AN241" s="6" t="str">
        <x:v>1.703373600469398</x:v>
      </x:c>
      <x:c r="AO241" s="6" t="str">
        <x:v>0.2207855492328576</x:v>
      </x:c>
      <x:c r="AP241" s="8" t="str">
        <x:v>0.1449313620802882</x:v>
      </x:c>
      <x:c r="AQ241" s="6" t="str">
        <x:v>-0.7263362186447143</x:v>
      </x:c>
      <x:c r="AR241" s="6" t="str">
        <x:v>-0.456283809179519</x:v>
      </x:c>
      <x:c r="AS241" s="6" t="str">
        <x:v>-0.3458962219146484</x:v>
      </x:c>
      <x:c r="AT241" s="6" t="str">
        <x:v>97.37807528727711</x:v>
      </x:c>
      <x:c r="AU241" s="8" t="str">
        <x:v>1.8709778350313724</x:v>
      </x:c>
      <x:c r="AV241" s="6" t="str">
        <x:v>1.5099945051957824</x:v>
      </x:c>
      <x:c r="AW241" s="6" t="str">
        <x:v>0.0505957070991456</x:v>
      </x:c>
      <x:c r="AX241" s="6" t="str">
        <x:v>1.1438560157754332</x:v>
      </x:c>
      <x:c r="AY241" s="6" t="str">
        <x:v>1</x:v>
      </x:c>
      <x:c r="AZ241" s="6" t="str">
        <x:v>0</x:v>
      </x:c>
      <x:c r="BA241" s="9" t="str">
        <x:v>grid_cells_within_BIG_polygon</x:v>
      </x:c>
      <x:c r="BB241" s="6" t="str">
        <x:v>2</x:v>
      </x:c>
      <x:c r="BC241" s="6" t="str">
        <x:v>1</x:v>
      </x:c>
      <x:c r="BD241" s="6" t="str">
        <x:v>1</x:v>
      </x:c>
      <x:c r="BE241" s="6" t="str">
        <x:v>1</x:v>
      </x:c>
      <x:c r="BF241" s="6" t="str">
        <x:v>0</x:v>
      </x:c>
      <x:c r="BG241" s="6" t="str">
        <x:v>0</x:v>
      </x:c>
      <x:c r="BH241" s="6" t="str">
        <x:v>0</x:v>
      </x:c>
      <x:c r="BI241" s="6" t="str">
        <x:v>0</x:v>
      </x:c>
      <x:c r="BJ241" s="6" t="str">
        <x:v>0</x:v>
      </x:c>
      <x:c r="BK241" s="6" t="str">
        <x:v>0</x:v>
      </x:c>
      <x:c r="BL241" s="6" t="str">
        <x:v>0</x:v>
      </x:c>
      <x:c r="BM241" s="6" t="str">
        <x:v>0</x:v>
      </x:c>
      <x:c r="BN241" s="6" t="str">
        <x:v>1</x:v>
      </x:c>
      <x:c r="BO241" s="6" t="str"/>
      <x:c r="BP241" s="6" t="str">
        <x:v>0</x:v>
      </x:c>
      <x:c r="BQ241" s="6" t="str"/>
      <x:c r="BR241" s="6" t="str">
        <x:v>0</x:v>
      </x:c>
      <x:c r="BS241" s="6" t="str">
        <x:v>0.0</x:v>
      </x:c>
      <x:c r="BT241" s="6" t="str">
        <x:v>1</x:v>
      </x:c>
      <x:c r="BU241" s="6" t="str">
        <x:v>12.0</x:v>
      </x:c>
      <x:c r="BV241" s="6" t="str">
        <x:v>1</x:v>
      </x:c>
      <x:c r="BW241" s="9" t="str">
        <x:v>operational_snapshot_annual_totals_may_differ</x:v>
      </x:c>
      <x:c r="BX241" s="9" t="str">
        <x:v>official_live_dashboard_snapshot_subject_to_revision</x:v>
      </x:c>
      <x:c r="BY241" s="9" t="str">
        <x:v>https://tbdashboard.sitb.id/ss_data_tbc03so_2025_provinsi_bulanan_list.php</x:v>
      </x:c>
      <x:c r="BZ241" s="6" t="n">
        <x:v>46246.610671296294</x:v>
      </x:c>
    </x:row>
    <x:row r="242" ht="18" customHeight="1">
      <x:c r="A242" s="6" t="str">
        <x:v>31</x:v>
      </x:c>
      <x:c r="B242" s="6" t="str">
        <x:v>DKI JAKARTA</x:v>
      </x:c>
      <x:c r="C242" s="6" t="str">
        <x:v>2024</x:v>
      </x:c>
      <x:c r="D242" s="6" t="str">
        <x:v>1</x:v>
      </x:c>
      <x:c r="E242" s="6" t="str">
        <x:v>2024-01</x:v>
      </x:c>
      <x:c r="F242" s="6" t="str">
        <x:v>4950</x:v>
      </x:c>
      <x:c r="G242" s="6" t="str">
        <x:v>771</x:v>
      </x:c>
      <x:c r="H242" s="6" t="str">
        <x:v>3143</x:v>
      </x:c>
      <x:c r="I242" s="6" t="str">
        <x:v>715</x:v>
      </x:c>
      <x:c r="J242" s="6" t="str">
        <x:v>207</x:v>
      </x:c>
      <x:c r="K242" s="6" t="str">
        <x:v>22</x:v>
      </x:c>
      <x:c r="L242" s="6" t="str">
        <x:v>36</x:v>
      </x:c>
      <x:c r="M242" s="6" t="str">
        <x:v>56</x:v>
      </x:c>
      <x:c r="N242" s="6" t="str">
        <x:v>4950</x:v>
      </x:c>
      <x:c r="O242" s="6" t="str">
        <x:v>0</x:v>
      </x:c>
      <x:c r="P242" s="10" t="n">
        <x:f>F242-M242</x:f>
        <x:v>4894</x:v>
      </x:c>
      <x:c r="Q242" s="11" t="n">
        <x:f>IFERROR(M242/F242,"")</x:f>
        <x:v>0.011313131313131313</x:v>
      </x:c>
      <x:c r="R242" s="10" t="n">
        <x:f>G242+H242</x:f>
        <x:v>3914</x:v>
      </x:c>
      <x:c r="S242" s="11" t="n">
        <x:f>IFERROR(R242/F242,"")</x:f>
        <x:v>0.7907070707070707</x:v>
      </x:c>
      <x:c r="T242" s="11" t="n">
        <x:f>IFERROR(R242/P242,"")</x:f>
        <x:v>0.7997548017981202</x:v>
      </x:c>
      <x:c r="U242" s="10" t="n">
        <x:f>I242+J242+K242</x:f>
        <x:v>944</x:v>
      </x:c>
      <x:c r="V242" s="11" t="n">
        <x:f>IFERROR(U242/P242,"")</x:f>
        <x:v>0.19288925214548427</x:v>
      </x:c>
      <x:c r="W242" s="9" t="str">
        <x:v>mature_le_5pct_pending</x:v>
      </x:c>
      <x:c r="X242" s="12" t="n">
        <x:f>IFERROR(F242/Z242*100000,"")</x:f>
        <x:v>46.32705968235547</x:v>
      </x:c>
      <x:c r="Y242" s="13" t="n">
        <x:f>LN(Z242)</x:f>
        <x:v>16.184342087777225</x:v>
      </x:c>
      <x:c r="Z242" s="6" t="str">
        <x:v>10684900</x:v>
      </x:c>
      <x:c r="AA242" s="6" t="str">
        <x:v>16165.0</x:v>
      </x:c>
      <x:c r="AB242" s="9" t="str">
        <x:v>2024-06-30</x:v>
      </x:c>
      <x:c r="AC242" s="8" t="str">
        <x:v>94.0</x:v>
      </x:c>
      <x:c r="AD242" s="9" t="str">
        <x:v>2024 (Susenas)</x:v>
      </x:c>
      <x:c r="AE242" s="8" t="str">
        <x:v>4.3</x:v>
      </x:c>
      <x:c r="AF242" s="9" t="str">
        <x:v>Maret 2024 (Susenas)</x:v>
      </x:c>
      <x:c r="AG242" s="6" t="str">
        <x:v>28.07</x:v>
      </x:c>
      <x:c r="AH242" s="8" t="str">
        <x:v>83.28</x:v>
      </x:c>
      <x:c r="AI242" s="6" t="str">
        <x:v>338.83</x:v>
      </x:c>
      <x:c r="AJ242" s="6" t="str">
        <x:v>1.2989999999999997</x:v>
      </x:c>
      <x:c r="AK242" s="8" t="str">
        <x:v>2.140569008669839</x:v>
      </x:c>
      <x:c r="AL242" s="6" t="str">
        <x:v>3.3709088812633987</x:v>
      </x:c>
      <x:c r="AM242" s="6" t="str">
        <x:v>2.6504008710778675</x:v>
      </x:c>
      <x:c r="AN242" s="6" t="str">
        <x:v>2.720626253670368</x:v>
      </x:c>
      <x:c r="AO242" s="6" t="str">
        <x:v>-1.8006666666666715</x:v>
      </x:c>
      <x:c r="AP242" s="8" t="str">
        <x:v>-0.6750572797429815</x:v>
      </x:c>
      <x:c r="AQ242" s="6" t="str">
        <x:v>-2.315212024730682</x:v>
      </x:c>
      <x:c r="AR242" s="6" t="str">
        <x:v>-0.941404977326961</x:v>
      </x:c>
      <x:c r="AS242" s="6" t="str">
        <x:v>-1.3105580939335413</x:v>
      </x:c>
      <x:c r="AT242" s="6" t="str">
        <x:v>-2.8210000000000264</x:v>
      </x:c>
      <x:c r="AU242" s="8" t="str">
        <x:v>-0.0200214717192522</x:v>
      </x:c>
      <x:c r="AV242" s="6" t="str">
        <x:v>-1.184608824091213</x:v>
      </x:c>
      <x:c r="AW242" s="6" t="str">
        <x:v>-0.4822620680852555</x:v>
      </x:c>
      <x:c r="AX242" s="6" t="str">
        <x:v>-0.5622974546319073</x:v>
      </x:c>
      <x:c r="AY242" s="6" t="str">
        <x:v>0</x:v>
      </x:c>
      <x:c r="AZ242" s="6" t="str">
        <x:v>1</x:v>
      </x:c>
      <x:c r="BA242" s="9" t="str">
        <x:v>nearest_POWER_grid_to_BIG_representative_point</x:v>
      </x:c>
      <x:c r="BB242" s="6" t="str">
        <x:v>1</x:v>
      </x:c>
      <x:c r="BC242" s="6" t="str">
        <x:v>8</x:v>
      </x:c>
      <x:c r="BD242" s="6" t="str">
        <x:v>8</x:v>
      </x:c>
      <x:c r="BE242" s="6" t="str">
        <x:v>7</x:v>
      </x:c>
      <x:c r="BF242" s="6" t="str">
        <x:v>0</x:v>
      </x:c>
      <x:c r="BG242" s="6" t="str">
        <x:v>1</x:v>
      </x:c>
      <x:c r="BH242" s="6" t="str">
        <x:v>0</x:v>
      </x:c>
      <x:c r="BI242" s="6" t="str">
        <x:v>0</x:v>
      </x:c>
      <x:c r="BJ242" s="6" t="str">
        <x:v>0</x:v>
      </x:c>
      <x:c r="BK242" s="6" t="str">
        <x:v>0</x:v>
      </x:c>
      <x:c r="BL242" s="6" t="str">
        <x:v>0</x:v>
      </x:c>
      <x:c r="BM242" s="6" t="str">
        <x:v>0</x:v>
      </x:c>
      <x:c r="BN242" s="6" t="str">
        <x:v>8</x:v>
      </x:c>
      <x:c r="BO242" s="6" t="str">
        <x:v>3.0</x:v>
      </x:c>
      <x:c r="BP242" s="6" t="str">
        <x:v>8</x:v>
      </x:c>
      <x:c r="BQ242" s="6" t="str">
        <x:v>1.0</x:v>
      </x:c>
      <x:c r="BR242" s="6" t="str">
        <x:v>8</x:v>
      </x:c>
      <x:c r="BS242" s="6" t="str">
        <x:v>0.0</x:v>
      </x:c>
      <x:c r="BT242" s="6" t="str">
        <x:v>8</x:v>
      </x:c>
      <x:c r="BU242" s="6" t="str">
        <x:v>992.0</x:v>
      </x:c>
      <x:c r="BV242" s="6" t="str">
        <x:v>3</x:v>
      </x:c>
      <x:c r="BW242" s="9" t="str">
        <x:v>operational_snapshot_annual_totals_may_differ</x:v>
      </x:c>
      <x:c r="BX242" s="9" t="str">
        <x:v>official_live_dashboard_snapshot_subject_to_revision</x:v>
      </x:c>
      <x:c r="BY242" s="9" t="str">
        <x:v>https://tbdashboard.sitb.id/ss_data_tbc03so_2024_provinsi_bulanan_list.php</x:v>
      </x:c>
      <x:c r="BZ242" s="6" t="n">
        <x:v>46246.610671296294</x:v>
      </x:c>
    </x:row>
    <x:row r="243" ht="18" customHeight="1">
      <x:c r="A243" s="6" t="str">
        <x:v>31</x:v>
      </x:c>
      <x:c r="B243" s="6" t="str">
        <x:v>DKI JAKARTA</x:v>
      </x:c>
      <x:c r="C243" s="6" t="str">
        <x:v>2024</x:v>
      </x:c>
      <x:c r="D243" s="6" t="str">
        <x:v>2</x:v>
      </x:c>
      <x:c r="E243" s="6" t="str">
        <x:v>2024-02</x:v>
      </x:c>
      <x:c r="F243" s="6" t="str">
        <x:v>4437</x:v>
      </x:c>
      <x:c r="G243" s="6" t="str">
        <x:v>774</x:v>
      </x:c>
      <x:c r="H243" s="6" t="str">
        <x:v>2766</x:v>
      </x:c>
      <x:c r="I243" s="6" t="str">
        <x:v>628</x:v>
      </x:c>
      <x:c r="J243" s="6" t="str">
        <x:v>169</x:v>
      </x:c>
      <x:c r="K243" s="6" t="str">
        <x:v>23</x:v>
      </x:c>
      <x:c r="L243" s="6" t="str">
        <x:v>35</x:v>
      </x:c>
      <x:c r="M243" s="6" t="str">
        <x:v>42</x:v>
      </x:c>
      <x:c r="N243" s="6" t="str">
        <x:v>4437</x:v>
      </x:c>
      <x:c r="O243" s="6" t="str">
        <x:v>0</x:v>
      </x:c>
      <x:c r="P243" s="10" t="n">
        <x:f>F243-M243</x:f>
        <x:v>4395</x:v>
      </x:c>
      <x:c r="Q243" s="11" t="n">
        <x:f>IFERROR(M243/F243,"")</x:f>
        <x:v>0.009465855307640297</x:v>
      </x:c>
      <x:c r="R243" s="10" t="n">
        <x:f>G243+H243</x:f>
        <x:v>3540</x:v>
      </x:c>
      <x:c r="S243" s="11" t="n">
        <x:f>IFERROR(R243/F243,"")</x:f>
        <x:v>0.7978363759296823</x:v>
      </x:c>
      <x:c r="T243" s="11" t="n">
        <x:f>IFERROR(R243/P243,"")</x:f>
        <x:v>0.8054607508532423</x:v>
      </x:c>
      <x:c r="U243" s="10" t="n">
        <x:f>I243+J243+K243</x:f>
        <x:v>820</x:v>
      </x:c>
      <x:c r="V243" s="11" t="n">
        <x:f>IFERROR(U243/P243,"")</x:f>
        <x:v>0.18657565415244595</x:v>
      </x:c>
      <x:c r="W243" s="9" t="str">
        <x:v>mature_le_5pct_pending</x:v>
      </x:c>
      <x:c r="X243" s="12" t="n">
        <x:f>IFERROR(F243/Z243*100000,"")</x:f>
        <x:v>41.52589167891136</x:v>
      </x:c>
      <x:c r="Y243" s="13" t="n">
        <x:f>LN(Z243)</x:f>
        <x:v>16.184342087777225</x:v>
      </x:c>
      <x:c r="Z243" s="6" t="str">
        <x:v>10684900</x:v>
      </x:c>
      <x:c r="AA243" s="6" t="str">
        <x:v>16165.0</x:v>
      </x:c>
      <x:c r="AB243" s="9" t="str">
        <x:v>2024-06-30</x:v>
      </x:c>
      <x:c r="AC243" s="8" t="str">
        <x:v>94.0</x:v>
      </x:c>
      <x:c r="AD243" s="9" t="str">
        <x:v>2024 (Susenas)</x:v>
      </x:c>
      <x:c r="AE243" s="8" t="str">
        <x:v>4.3</x:v>
      </x:c>
      <x:c r="AF243" s="9" t="str">
        <x:v>Maret 2024 (Susenas)</x:v>
      </x:c>
      <x:c r="AG243" s="6" t="str">
        <x:v>27.9</x:v>
      </x:c>
      <x:c r="AH243" s="8" t="str">
        <x:v>84.27</x:v>
      </x:c>
      <x:c r="AI243" s="6" t="str">
        <x:v>324.22</x:v>
      </x:c>
      <x:c r="AJ243" s="6" t="str">
        <x:v>1.2546666666666653</x:v>
      </x:c>
      <x:c r="AK243" s="8" t="str">
        <x:v>2.4744013153551925</x:v>
      </x:c>
      <x:c r="AL243" s="6" t="str">
        <x:v>2.140569008669839</x:v>
      </x:c>
      <x:c r="AM243" s="6" t="str">
        <x:v>3.3709088812633987</x:v>
      </x:c>
      <x:c r="AN243" s="6" t="str">
        <x:v>2.661959735096143</x:v>
      </x:c>
      <x:c r="AO243" s="6" t="str">
        <x:v>-2.0080000000000098</x:v>
      </x:c>
      <x:c r="AP243" s="8" t="str">
        <x:v>-1.235134730270634</x:v>
      </x:c>
      <x:c r="AQ243" s="6" t="str">
        <x:v>-0.6750572797429815</x:v>
      </x:c>
      <x:c r="AR243" s="6" t="str">
        <x:v>-2.315212024730682</x:v>
      </x:c>
      <x:c r="AS243" s="6" t="str">
        <x:v>-1.408468011581432</x:v>
      </x:c>
      <x:c r="AT243" s="6" t="str">
        <x:v>-16.656333333333407</x:v>
      </x:c>
      <x:c r="AU243" s="8" t="str">
        <x:v>-0.1283486030137974</x:v>
      </x:c>
      <x:c r="AV243" s="6" t="str">
        <x:v>-0.0200214717192522</x:v>
      </x:c>
      <x:c r="AW243" s="6" t="str">
        <x:v>-1.184608824091213</x:v>
      </x:c>
      <x:c r="AX243" s="6" t="str">
        <x:v>-0.4443262996080879</x:v>
      </x:c>
      <x:c r="AY243" s="6" t="str">
        <x:v>0</x:v>
      </x:c>
      <x:c r="AZ243" s="6" t="str">
        <x:v>1</x:v>
      </x:c>
      <x:c r="BA243" s="9" t="str">
        <x:v>nearest_POWER_grid_to_BIG_representative_point</x:v>
      </x:c>
      <x:c r="BB243" s="6" t="str">
        <x:v>1</x:v>
      </x:c>
      <x:c r="BC243" s="6" t="str">
        <x:v>2</x:v>
      </x:c>
      <x:c r="BD243" s="6" t="str">
        <x:v>2</x:v>
      </x:c>
      <x:c r="BE243" s="6" t="str">
        <x:v>2</x:v>
      </x:c>
      <x:c r="BF243" s="6" t="str">
        <x:v>0</x:v>
      </x:c>
      <x:c r="BG243" s="6" t="str">
        <x:v>0</x:v>
      </x:c>
      <x:c r="BH243" s="6" t="str">
        <x:v>0</x:v>
      </x:c>
      <x:c r="BI243" s="6" t="str">
        <x:v>0</x:v>
      </x:c>
      <x:c r="BJ243" s="6" t="str">
        <x:v>0</x:v>
      </x:c>
      <x:c r="BK243" s="6" t="str">
        <x:v>0</x:v>
      </x:c>
      <x:c r="BL243" s="6" t="str">
        <x:v>0</x:v>
      </x:c>
      <x:c r="BM243" s="6" t="str">
        <x:v>0</x:v>
      </x:c>
      <x:c r="BN243" s="6" t="str">
        <x:v>2</x:v>
      </x:c>
      <x:c r="BO243" s="6" t="str">
        <x:v>0.0</x:v>
      </x:c>
      <x:c r="BP243" s="6" t="str">
        <x:v>2</x:v>
      </x:c>
      <x:c r="BQ243" s="6" t="str">
        <x:v>0.0</x:v>
      </x:c>
      <x:c r="BR243" s="6" t="str">
        <x:v>2</x:v>
      </x:c>
      <x:c r="BS243" s="6" t="str">
        <x:v>0.0</x:v>
      </x:c>
      <x:c r="BT243" s="6" t="str">
        <x:v>2</x:v>
      </x:c>
      <x:c r="BU243" s="6" t="str">
        <x:v>76.0</x:v>
      </x:c>
      <x:c r="BV243" s="6" t="str">
        <x:v>2</x:v>
      </x:c>
      <x:c r="BW243" s="9" t="str">
        <x:v>operational_snapshot_annual_totals_may_differ</x:v>
      </x:c>
      <x:c r="BX243" s="9" t="str">
        <x:v>official_live_dashboard_snapshot_subject_to_revision</x:v>
      </x:c>
      <x:c r="BY243" s="9" t="str">
        <x:v>https://tbdashboard.sitb.id/ss_data_tbc03so_2024_provinsi_bulanan_list.php</x:v>
      </x:c>
      <x:c r="BZ243" s="6" t="n">
        <x:v>46246.610671296294</x:v>
      </x:c>
    </x:row>
    <x:row r="244" ht="18" customHeight="1">
      <x:c r="A244" s="6" t="str">
        <x:v>31</x:v>
      </x:c>
      <x:c r="B244" s="6" t="str">
        <x:v>DKI JAKARTA</x:v>
      </x:c>
      <x:c r="C244" s="6" t="str">
        <x:v>2024</x:v>
      </x:c>
      <x:c r="D244" s="6" t="str">
        <x:v>3</x:v>
      </x:c>
      <x:c r="E244" s="6" t="str">
        <x:v>2024-03</x:v>
      </x:c>
      <x:c r="F244" s="6" t="str">
        <x:v>4597</x:v>
      </x:c>
      <x:c r="G244" s="6" t="str">
        <x:v>773</x:v>
      </x:c>
      <x:c r="H244" s="6" t="str">
        <x:v>2895</x:v>
      </x:c>
      <x:c r="I244" s="6" t="str">
        <x:v>671</x:v>
      </x:c>
      <x:c r="J244" s="6" t="str">
        <x:v>158</x:v>
      </x:c>
      <x:c r="K244" s="6" t="str">
        <x:v>19</x:v>
      </x:c>
      <x:c r="L244" s="6" t="str">
        <x:v>35</x:v>
      </x:c>
      <x:c r="M244" s="6" t="str">
        <x:v>46</x:v>
      </x:c>
      <x:c r="N244" s="6" t="str">
        <x:v>4597</x:v>
      </x:c>
      <x:c r="O244" s="6" t="str">
        <x:v>0</x:v>
      </x:c>
      <x:c r="P244" s="10" t="n">
        <x:f>F244-M244</x:f>
        <x:v>4551</x:v>
      </x:c>
      <x:c r="Q244" s="11" t="n">
        <x:f>IFERROR(M244/F244,"")</x:f>
        <x:v>0.01000652599521427</x:v>
      </x:c>
      <x:c r="R244" s="10" t="n">
        <x:f>G244+H244</x:f>
        <x:v>3668</x:v>
      </x:c>
      <x:c r="S244" s="11" t="n">
        <x:f>IFERROR(R244/F244,"")</x:f>
        <x:v>0.7979116815314335</x:v>
      </x:c>
      <x:c r="T244" s="11" t="n">
        <x:f>IFERROR(R244/P244,"")</x:f>
        <x:v>0.8059767084157328</x:v>
      </x:c>
      <x:c r="U244" s="10" t="n">
        <x:f>I244+J244+K244</x:f>
        <x:v>848</x:v>
      </x:c>
      <x:c r="V244" s="11" t="n">
        <x:f>IFERROR(U244/P244,"")</x:f>
        <x:v>0.1863326741375522</x:v>
      </x:c>
      <x:c r="W244" s="9" t="str">
        <x:v>mature_le_5pct_pending</x:v>
      </x:c>
      <x:c r="X244" s="12" t="n">
        <x:f>IFERROR(F244/Z244*100000,"")</x:f>
        <x:v>43.02333199187639</x:v>
      </x:c>
      <x:c r="Y244" s="13" t="n">
        <x:f>LN(Z244)</x:f>
        <x:v>16.184342087777225</x:v>
      </x:c>
      <x:c r="Z244" s="6" t="str">
        <x:v>10684900</x:v>
      </x:c>
      <x:c r="AA244" s="6" t="str">
        <x:v>16165.0</x:v>
      </x:c>
      <x:c r="AB244" s="9" t="str">
        <x:v>2024-06-30</x:v>
      </x:c>
      <x:c r="AC244" s="8" t="str">
        <x:v>94.0</x:v>
      </x:c>
      <x:c r="AD244" s="9" t="str">
        <x:v>2024 (Susenas)</x:v>
      </x:c>
      <x:c r="AE244" s="8" t="str">
        <x:v>4.3</x:v>
      </x:c>
      <x:c r="AF244" s="9" t="str">
        <x:v>Maret 2024 (Susenas)</x:v>
      </x:c>
      <x:c r="AG244" s="6" t="str">
        <x:v>28.02</x:v>
      </x:c>
      <x:c r="AH244" s="8" t="str">
        <x:v>84.64</x:v>
      </x:c>
      <x:c r="AI244" s="6" t="str">
        <x:v>292.95</x:v>
      </x:c>
      <x:c r="AJ244" s="6" t="str">
        <x:v>0.8996666666666648</x:v>
      </x:c>
      <x:c r="AK244" s="8" t="str">
        <x:v>2.2323676408504176</x:v>
      </x:c>
      <x:c r="AL244" s="6" t="str">
        <x:v>2.4744013153551925</x:v>
      </x:c>
      <x:c r="AM244" s="6" t="str">
        <x:v>2.140569008669839</x:v>
      </x:c>
      <x:c r="AN244" s="6" t="str">
        <x:v>2.282445988291816</x:v>
      </x:c>
      <x:c r="AO244" s="6" t="str">
        <x:v>-0.0319999999999964</x:v>
      </x:c>
      <x:c r="AP244" s="8" t="str">
        <x:v>-0.0226234231461342</x:v>
      </x:c>
      <x:c r="AQ244" s="6" t="str">
        <x:v>-1.235134730270634</x:v>
      </x:c>
      <x:c r="AR244" s="6" t="str">
        <x:v>-0.6750572797429815</x:v>
      </x:c>
      <x:c r="AS244" s="6" t="str">
        <x:v>-0.6442718110532496</x:v>
      </x:c>
      <x:c r="AT244" s="6" t="str">
        <x:v>60.08833333333331</x:v>
      </x:c>
      <x:c r="AU244" s="8" t="str">
        <x:v>1.019036161165318</x:v>
      </x:c>
      <x:c r="AV244" s="6" t="str">
        <x:v>-0.1283486030137974</x:v>
      </x:c>
      <x:c r="AW244" s="6" t="str">
        <x:v>-0.0200214717192522</x:v>
      </x:c>
      <x:c r="AX244" s="6" t="str">
        <x:v>0.2902220288107557</x:v>
      </x:c>
      <x:c r="AY244" s="6" t="str">
        <x:v>1</x:v>
      </x:c>
      <x:c r="AZ244" s="6" t="str">
        <x:v>1</x:v>
      </x:c>
      <x:c r="BA244" s="9" t="str">
        <x:v>nearest_POWER_grid_to_BIG_representative_point</x:v>
      </x:c>
      <x:c r="BB244" s="6" t="str">
        <x:v>1</x:v>
      </x:c>
      <x:c r="BC244" s="6" t="str">
        <x:v>4</x:v>
      </x:c>
      <x:c r="BD244" s="6" t="str">
        <x:v>4</x:v>
      </x:c>
      <x:c r="BE244" s="6" t="str">
        <x:v>4</x:v>
      </x:c>
      <x:c r="BF244" s="6" t="str">
        <x:v>0</x:v>
      </x:c>
      <x:c r="BG244" s="6" t="str">
        <x:v>0</x:v>
      </x:c>
      <x:c r="BH244" s="6" t="str">
        <x:v>0</x:v>
      </x:c>
      <x:c r="BI244" s="6" t="str">
        <x:v>0</x:v>
      </x:c>
      <x:c r="BJ244" s="6" t="str">
        <x:v>0</x:v>
      </x:c>
      <x:c r="BK244" s="6" t="str">
        <x:v>0</x:v>
      </x:c>
      <x:c r="BL244" s="6" t="str">
        <x:v>0</x:v>
      </x:c>
      <x:c r="BM244" s="6" t="str">
        <x:v>0</x:v>
      </x:c>
      <x:c r="BN244" s="6" t="str">
        <x:v>4</x:v>
      </x:c>
      <x:c r="BO244" s="6" t="str">
        <x:v>0.0</x:v>
      </x:c>
      <x:c r="BP244" s="6" t="str">
        <x:v>4</x:v>
      </x:c>
      <x:c r="BQ244" s="6" t="str">
        <x:v>0.0</x:v>
      </x:c>
      <x:c r="BR244" s="6" t="str">
        <x:v>4</x:v>
      </x:c>
      <x:c r="BS244" s="6" t="str">
        <x:v>0.0</x:v>
      </x:c>
      <x:c r="BT244" s="6" t="str">
        <x:v>4</x:v>
      </x:c>
      <x:c r="BU244" s="6" t="str">
        <x:v>245.0</x:v>
      </x:c>
      <x:c r="BV244" s="6" t="str">
        <x:v>1</x:v>
      </x:c>
      <x:c r="BW244" s="9" t="str">
        <x:v>operational_snapshot_annual_totals_may_differ</x:v>
      </x:c>
      <x:c r="BX244" s="9" t="str">
        <x:v>official_live_dashboard_snapshot_subject_to_revision</x:v>
      </x:c>
      <x:c r="BY244" s="9" t="str">
        <x:v>https://tbdashboard.sitb.id/ss_data_tbc03so_2024_provinsi_bulanan_list.php</x:v>
      </x:c>
      <x:c r="BZ244" s="6" t="n">
        <x:v>46246.610671296294</x:v>
      </x:c>
    </x:row>
    <x:row r="245" ht="18" customHeight="1">
      <x:c r="A245" s="6" t="str">
        <x:v>31</x:v>
      </x:c>
      <x:c r="B245" s="6" t="str">
        <x:v>DKI JAKARTA</x:v>
      </x:c>
      <x:c r="C245" s="6" t="str">
        <x:v>2024</x:v>
      </x:c>
      <x:c r="D245" s="6" t="str">
        <x:v>4</x:v>
      </x:c>
      <x:c r="E245" s="6" t="str">
        <x:v>2024-04</x:v>
      </x:c>
      <x:c r="F245" s="6" t="str">
        <x:v>4649</x:v>
      </x:c>
      <x:c r="G245" s="6" t="str">
        <x:v>791</x:v>
      </x:c>
      <x:c r="H245" s="6" t="str">
        <x:v>2879</x:v>
      </x:c>
      <x:c r="I245" s="6" t="str">
        <x:v>618</x:v>
      </x:c>
      <x:c r="J245" s="6" t="str">
        <x:v>175</x:v>
      </x:c>
      <x:c r="K245" s="6" t="str">
        <x:v>36</x:v>
      </x:c>
      <x:c r="L245" s="6" t="str">
        <x:v>36</x:v>
      </x:c>
      <x:c r="M245" s="6" t="str">
        <x:v>114</x:v>
      </x:c>
      <x:c r="N245" s="6" t="str">
        <x:v>4649</x:v>
      </x:c>
      <x:c r="O245" s="6" t="str">
        <x:v>0</x:v>
      </x:c>
      <x:c r="P245" s="10" t="n">
        <x:f>F245-M245</x:f>
        <x:v>4535</x:v>
      </x:c>
      <x:c r="Q245" s="11" t="n">
        <x:f>IFERROR(M245/F245,"")</x:f>
        <x:v>0.024521402452140247</x:v>
      </x:c>
      <x:c r="R245" s="10" t="n">
        <x:f>G245+H245</x:f>
        <x:v>3670</x:v>
      </x:c>
      <x:c r="S245" s="11" t="n">
        <x:f>IFERROR(R245/F245,"")</x:f>
        <x:v>0.7894170789417079</x:v>
      </x:c>
      <x:c r="T245" s="11" t="n">
        <x:f>IFERROR(R245/P245,"")</x:f>
        <x:v>0.8092613009922822</x:v>
      </x:c>
      <x:c r="U245" s="10" t="n">
        <x:f>I245+J245+K245</x:f>
        <x:v>829</x:v>
      </x:c>
      <x:c r="V245" s="11" t="n">
        <x:f>IFERROR(U245/P245,"")</x:f>
        <x:v>0.18280044101433296</x:v>
      </x:c>
      <x:c r="W245" s="9" t="str">
        <x:v>mature_le_5pct_pending</x:v>
      </x:c>
      <x:c r="X245" s="12" t="n">
        <x:f>IFERROR(F245/Z245*100000,"")</x:f>
        <x:v>43.510000093590016</x:v>
      </x:c>
      <x:c r="Y245" s="13" t="n">
        <x:f>LN(Z245)</x:f>
        <x:v>16.184342087777225</x:v>
      </x:c>
      <x:c r="Z245" s="6" t="str">
        <x:v>10684900</x:v>
      </x:c>
      <x:c r="AA245" s="6" t="str">
        <x:v>16165.0</x:v>
      </x:c>
      <x:c r="AB245" s="9" t="str">
        <x:v>2024-06-30</x:v>
      </x:c>
      <x:c r="AC245" s="8" t="str">
        <x:v>94.0</x:v>
      </x:c>
      <x:c r="AD245" s="9" t="str">
        <x:v>2024 (Susenas)</x:v>
      </x:c>
      <x:c r="AE245" s="8" t="str">
        <x:v>4.3</x:v>
      </x:c>
      <x:c r="AF245" s="9" t="str">
        <x:v>Maret 2024 (Susenas)</x:v>
      </x:c>
      <x:c r="AG245" s="6" t="str">
        <x:v>28.85</x:v>
      </x:c>
      <x:c r="AH245" s="8" t="str">
        <x:v>82.09</x:v>
      </x:c>
      <x:c r="AI245" s="6" t="str">
        <x:v>213.0</x:v>
      </x:c>
      <x:c r="AJ245" s="6" t="str">
        <x:v>1.3376666666666672</x:v>
      </x:c>
      <x:c r="AK245" s="8" t="str">
        <x:v>3.5956986455687474</x:v>
      </x:c>
      <x:c r="AL245" s="6" t="str">
        <x:v>2.2323676408504176</x:v>
      </x:c>
      <x:c r="AM245" s="6" t="str">
        <x:v>2.4744013153551925</x:v>
      </x:c>
      <x:c r="AN245" s="6" t="str">
        <x:v>2.767489200591452</x:v>
      </x:c>
      <x:c r="AO245" s="6" t="str">
        <x:v>-1.6666666666666572</x:v>
      </x:c>
      <x:c r="AP245" s="8" t="str">
        <x:v>-1.5265338329805829</x:v>
      </x:c>
      <x:c r="AQ245" s="6" t="str">
        <x:v>-0.0226234231461342</x:v>
      </x:c>
      <x:c r="AR245" s="6" t="str">
        <x:v>-1.235134730270634</x:v>
      </x:c>
      <x:c r="AS245" s="6" t="str">
        <x:v>-0.9280973287991168</x:v>
      </x:c>
      <x:c r="AT245" s="6" t="str">
        <x:v>20.139999999999983</x:v>
      </x:c>
      <x:c r="AU245" s="8" t="str">
        <x:v>0.416374884180393</x:v>
      </x:c>
      <x:c r="AV245" s="6" t="str">
        <x:v>1.019036161165318</x:v>
      </x:c>
      <x:c r="AW245" s="6" t="str">
        <x:v>-0.1283486030137974</x:v>
      </x:c>
      <x:c r="AX245" s="6" t="str">
        <x:v>0.4356874807773042</x:v>
      </x:c>
      <x:c r="AY245" s="6" t="str">
        <x:v>0</x:v>
      </x:c>
      <x:c r="AZ245" s="6" t="str">
        <x:v>1</x:v>
      </x:c>
      <x:c r="BA245" s="9" t="str">
        <x:v>nearest_POWER_grid_to_BIG_representative_point</x:v>
      </x:c>
      <x:c r="BB245" s="6" t="str">
        <x:v>1</x:v>
      </x:c>
      <x:c r="BC245" s="6" t="str">
        <x:v>3</x:v>
      </x:c>
      <x:c r="BD245" s="6" t="str">
        <x:v>3</x:v>
      </x:c>
      <x:c r="BE245" s="6" t="str">
        <x:v>3</x:v>
      </x:c>
      <x:c r="BF245" s="6" t="str">
        <x:v>0</x:v>
      </x:c>
      <x:c r="BG245" s="6" t="str">
        <x:v>0</x:v>
      </x:c>
      <x:c r="BH245" s="6" t="str">
        <x:v>0</x:v>
      </x:c>
      <x:c r="BI245" s="6" t="str">
        <x:v>0</x:v>
      </x:c>
      <x:c r="BJ245" s="6" t="str">
        <x:v>0</x:v>
      </x:c>
      <x:c r="BK245" s="6" t="str">
        <x:v>0</x:v>
      </x:c>
      <x:c r="BL245" s="6" t="str">
        <x:v>0</x:v>
      </x:c>
      <x:c r="BM245" s="6" t="str">
        <x:v>0</x:v>
      </x:c>
      <x:c r="BN245" s="6" t="str">
        <x:v>3</x:v>
      </x:c>
      <x:c r="BO245" s="6" t="str">
        <x:v>0.0</x:v>
      </x:c>
      <x:c r="BP245" s="6" t="str">
        <x:v>3</x:v>
      </x:c>
      <x:c r="BQ245" s="6" t="str">
        <x:v>0.0</x:v>
      </x:c>
      <x:c r="BR245" s="6" t="str">
        <x:v>3</x:v>
      </x:c>
      <x:c r="BS245" s="6" t="str">
        <x:v>0.0</x:v>
      </x:c>
      <x:c r="BT245" s="6" t="str">
        <x:v>3</x:v>
      </x:c>
      <x:c r="BU245" s="6" t="str">
        <x:v>320.0</x:v>
      </x:c>
      <x:c r="BV245" s="6" t="str">
        <x:v>1</x:v>
      </x:c>
      <x:c r="BW245" s="9" t="str">
        <x:v>operational_snapshot_annual_totals_may_differ</x:v>
      </x:c>
      <x:c r="BX245" s="9" t="str">
        <x:v>official_live_dashboard_snapshot_subject_to_revision</x:v>
      </x:c>
      <x:c r="BY245" s="9" t="str">
        <x:v>https://tbdashboard.sitb.id/ss_data_tbc03so_2024_provinsi_bulanan_list.php</x:v>
      </x:c>
      <x:c r="BZ245" s="6" t="n">
        <x:v>46246.610671296294</x:v>
      </x:c>
    </x:row>
    <x:row r="246" ht="18" customHeight="1">
      <x:c r="A246" s="6" t="str">
        <x:v>31</x:v>
      </x:c>
      <x:c r="B246" s="6" t="str">
        <x:v>DKI JAKARTA</x:v>
      </x:c>
      <x:c r="C246" s="6" t="str">
        <x:v>2024</x:v>
      </x:c>
      <x:c r="D246" s="6" t="str">
        <x:v>5</x:v>
      </x:c>
      <x:c r="E246" s="6" t="str">
        <x:v>2024-05</x:v>
      </x:c>
      <x:c r="F246" s="6" t="str">
        <x:v>5037</x:v>
      </x:c>
      <x:c r="G246" s="6" t="str">
        <x:v>962</x:v>
      </x:c>
      <x:c r="H246" s="6" t="str">
        <x:v>3073</x:v>
      </x:c>
      <x:c r="I246" s="6" t="str">
        <x:v>665</x:v>
      </x:c>
      <x:c r="J246" s="6" t="str">
        <x:v>185</x:v>
      </x:c>
      <x:c r="K246" s="6" t="str">
        <x:v>24</x:v>
      </x:c>
      <x:c r="L246" s="6" t="str">
        <x:v>46</x:v>
      </x:c>
      <x:c r="M246" s="6" t="str">
        <x:v>82</x:v>
      </x:c>
      <x:c r="N246" s="6" t="str">
        <x:v>5037</x:v>
      </x:c>
      <x:c r="O246" s="6" t="str">
        <x:v>0</x:v>
      </x:c>
      <x:c r="P246" s="10" t="n">
        <x:f>F246-M246</x:f>
        <x:v>4955</x:v>
      </x:c>
      <x:c r="Q246" s="11" t="n">
        <x:f>IFERROR(M246/F246,"")</x:f>
        <x:v>0.01627953146714314</x:v>
      </x:c>
      <x:c r="R246" s="10" t="n">
        <x:f>G246+H246</x:f>
        <x:v>4035</x:v>
      </x:c>
      <x:c r="S246" s="11" t="n">
        <x:f>IFERROR(R246/F246,"")</x:f>
        <x:v>0.8010720667063729</x:v>
      </x:c>
      <x:c r="T246" s="11" t="n">
        <x:f>IFERROR(R246/P246,"")</x:f>
        <x:v>0.8143289606458123</x:v>
      </x:c>
      <x:c r="U246" s="10" t="n">
        <x:f>I246+J246+K246</x:f>
        <x:v>874</x:v>
      </x:c>
      <x:c r="V246" s="11" t="n">
        <x:f>IFERROR(U246/P246,"")</x:f>
        <x:v>0.1763874873864783</x:v>
      </x:c>
      <x:c r="W246" s="9" t="str">
        <x:v>mature_le_5pct_pending</x:v>
      </x:c>
      <x:c r="X246" s="12" t="n">
        <x:f>IFERROR(F246/Z246*100000,"")</x:f>
        <x:v>47.141292852530206</x:v>
      </x:c>
      <x:c r="Y246" s="13" t="n">
        <x:f>LN(Z246)</x:f>
        <x:v>16.184342087777225</x:v>
      </x:c>
      <x:c r="Z246" s="6" t="str">
        <x:v>10684900</x:v>
      </x:c>
      <x:c r="AA246" s="6" t="str">
        <x:v>16165.0</x:v>
      </x:c>
      <x:c r="AB246" s="9" t="str">
        <x:v>2024-06-30</x:v>
      </x:c>
      <x:c r="AC246" s="8" t="str">
        <x:v>94.0</x:v>
      </x:c>
      <x:c r="AD246" s="9" t="str">
        <x:v>2024 (Susenas)</x:v>
      </x:c>
      <x:c r="AE246" s="8" t="str">
        <x:v>4.3</x:v>
      </x:c>
      <x:c r="AF246" s="9" t="str">
        <x:v>Maret 2024 (Susenas)</x:v>
      </x:c>
      <x:c r="AG246" s="6" t="str">
        <x:v>28.76</x:v>
      </x:c>
      <x:c r="AH246" s="8" t="str">
        <x:v>82.44</x:v>
      </x:c>
      <x:c r="AI246" s="6" t="str">
        <x:v>79.98</x:v>
      </x:c>
      <x:c r="AJ246" s="6" t="str">
        <x:v>1.102333333333334</x:v>
      </x:c>
      <x:c r="AK246" s="8" t="str">
        <x:v>2.946786046683284</x:v>
      </x:c>
      <x:c r="AL246" s="6" t="str">
        <x:v>3.5956986455687474</x:v>
      </x:c>
      <x:c r="AM246" s="6" t="str">
        <x:v>2.2323676408504176</x:v>
      </x:c>
      <x:c r="AN246" s="6" t="str">
        <x:v>2.924950777700816</x:v>
      </x:c>
      <x:c r="AO246" s="6" t="str">
        <x:v>-0.2916666666666572</x:v>
      </x:c>
      <x:c r="AP246" s="8" t="str">
        <x:v>-0.2317160908039812</x:v>
      </x:c>
      <x:c r="AQ246" s="6" t="str">
        <x:v>-1.5265338329805829</x:v>
      </x:c>
      <x:c r="AR246" s="6" t="str">
        <x:v>-0.0226234231461342</x:v>
      </x:c>
      <x:c r="AS246" s="6" t="str">
        <x:v>-0.593624448976899</x:v>
      </x:c>
      <x:c r="AT246" s="6" t="str">
        <x:v>-59.79899999999999</x:v>
      </x:c>
      <x:c r="AU246" s="8" t="str">
        <x:v>-1.3190276420143516</x:v>
      </x:c>
      <x:c r="AV246" s="6" t="str">
        <x:v>0.416374884180393</x:v>
      </x:c>
      <x:c r="AW246" s="6" t="str">
        <x:v>1.019036161165318</x:v>
      </x:c>
      <x:c r="AX246" s="6" t="str">
        <x:v>0.0387944677771194</x:v>
      </x:c>
      <x:c r="AY246" s="6" t="str">
        <x:v>0</x:v>
      </x:c>
      <x:c r="AZ246" s="6" t="str">
        <x:v>1</x:v>
      </x:c>
      <x:c r="BA246" s="9" t="str">
        <x:v>nearest_POWER_grid_to_BIG_representative_point</x:v>
      </x:c>
      <x:c r="BB246" s="6" t="str">
        <x:v>1</x:v>
      </x:c>
      <x:c r="BC246" s="6" t="str">
        <x:v>2</x:v>
      </x:c>
      <x:c r="BD246" s="6" t="str">
        <x:v>2</x:v>
      </x:c>
      <x:c r="BE246" s="6" t="str">
        <x:v>1</x:v>
      </x:c>
      <x:c r="BF246" s="6" t="str">
        <x:v>0</x:v>
      </x:c>
      <x:c r="BG246" s="6" t="str">
        <x:v>1</x:v>
      </x:c>
      <x:c r="BH246" s="6" t="str">
        <x:v>0</x:v>
      </x:c>
      <x:c r="BI246" s="6" t="str">
        <x:v>0</x:v>
      </x:c>
      <x:c r="BJ246" s="6" t="str">
        <x:v>0</x:v>
      </x:c>
      <x:c r="BK246" s="6" t="str">
        <x:v>0</x:v>
      </x:c>
      <x:c r="BL246" s="6" t="str">
        <x:v>0</x:v>
      </x:c>
      <x:c r="BM246" s="6" t="str">
        <x:v>0</x:v>
      </x:c>
      <x:c r="BN246" s="6" t="str">
        <x:v>2</x:v>
      </x:c>
      <x:c r="BO246" s="6" t="str">
        <x:v>0.0</x:v>
      </x:c>
      <x:c r="BP246" s="6" t="str">
        <x:v>2</x:v>
      </x:c>
      <x:c r="BQ246" s="6" t="str">
        <x:v>1.0</x:v>
      </x:c>
      <x:c r="BR246" s="6" t="str">
        <x:v>2</x:v>
      </x:c>
      <x:c r="BS246" s="6" t="str">
        <x:v>7.0</x:v>
      </x:c>
      <x:c r="BT246" s="6" t="str">
        <x:v>2</x:v>
      </x:c>
      <x:c r="BU246" s="6" t="str">
        <x:v>146.0</x:v>
      </x:c>
      <x:c r="BV246" s="6" t="str">
        <x:v>1</x:v>
      </x:c>
      <x:c r="BW246" s="9" t="str">
        <x:v>operational_snapshot_annual_totals_may_differ</x:v>
      </x:c>
      <x:c r="BX246" s="9" t="str">
        <x:v>official_live_dashboard_snapshot_subject_to_revision</x:v>
      </x:c>
      <x:c r="BY246" s="9" t="str">
        <x:v>https://tbdashboard.sitb.id/ss_data_tbc03so_2024_provinsi_bulanan_list.php</x:v>
      </x:c>
      <x:c r="BZ246" s="6" t="n">
        <x:v>46246.610671296294</x:v>
      </x:c>
    </x:row>
    <x:row r="247" ht="18" customHeight="1">
      <x:c r="A247" s="6" t="str">
        <x:v>31</x:v>
      </x:c>
      <x:c r="B247" s="6" t="str">
        <x:v>DKI JAKARTA</x:v>
      </x:c>
      <x:c r="C247" s="6" t="str">
        <x:v>2024</x:v>
      </x:c>
      <x:c r="D247" s="6" t="str">
        <x:v>6</x:v>
      </x:c>
      <x:c r="E247" s="6" t="str">
        <x:v>2024-06</x:v>
      </x:c>
      <x:c r="F247" s="6" t="str">
        <x:v>4585</x:v>
      </x:c>
      <x:c r="G247" s="6" t="str">
        <x:v>831</x:v>
      </x:c>
      <x:c r="H247" s="6" t="str">
        <x:v>2841</x:v>
      </x:c>
      <x:c r="I247" s="6" t="str">
        <x:v>585</x:v>
      </x:c>
      <x:c r="J247" s="6" t="str">
        <x:v>173</x:v>
      </x:c>
      <x:c r="K247" s="6" t="str">
        <x:v>16</x:v>
      </x:c>
      <x:c r="L247" s="6" t="str">
        <x:v>48</x:v>
      </x:c>
      <x:c r="M247" s="6" t="str">
        <x:v>91</x:v>
      </x:c>
      <x:c r="N247" s="6" t="str">
        <x:v>4585</x:v>
      </x:c>
      <x:c r="O247" s="6" t="str">
        <x:v>0</x:v>
      </x:c>
      <x:c r="P247" s="10" t="n">
        <x:f>F247-M247</x:f>
        <x:v>4494</x:v>
      </x:c>
      <x:c r="Q247" s="11" t="n">
        <x:f>IFERROR(M247/F247,"")</x:f>
        <x:v>0.01984732824427481</x:v>
      </x:c>
      <x:c r="R247" s="10" t="n">
        <x:f>G247+H247</x:f>
        <x:v>3672</x:v>
      </x:c>
      <x:c r="S247" s="11" t="n">
        <x:f>IFERROR(R247/F247,"")</x:f>
        <x:v>0.8008724100327154</x:v>
      </x:c>
      <x:c r="T247" s="11" t="n">
        <x:f>IFERROR(R247/P247,"")</x:f>
        <x:v>0.8170894526034713</x:v>
      </x:c>
      <x:c r="U247" s="10" t="n">
        <x:f>I247+J247+K247</x:f>
        <x:v>774</x:v>
      </x:c>
      <x:c r="V247" s="11" t="n">
        <x:f>IFERROR(U247/P247,"")</x:f>
        <x:v>0.17222963951935916</x:v>
      </x:c>
      <x:c r="W247" s="9" t="str">
        <x:v>mature_le_5pct_pending</x:v>
      </x:c>
      <x:c r="X247" s="12" t="n">
        <x:f>IFERROR(F247/Z247*100000,"")</x:f>
        <x:v>42.91102396840401</x:v>
      </x:c>
      <x:c r="Y247" s="13" t="n">
        <x:f>LN(Z247)</x:f>
        <x:v>16.184342087777225</x:v>
      </x:c>
      <x:c r="Z247" s="6" t="str">
        <x:v>10684900</x:v>
      </x:c>
      <x:c r="AA247" s="6" t="str">
        <x:v>16165.0</x:v>
      </x:c>
      <x:c r="AB247" s="9" t="str">
        <x:v>2024-06-30</x:v>
      </x:c>
      <x:c r="AC247" s="8" t="str">
        <x:v>94.0</x:v>
      </x:c>
      <x:c r="AD247" s="9" t="str">
        <x:v>2024 (Susenas)</x:v>
      </x:c>
      <x:c r="AE247" s="8" t="str">
        <x:v>4.3</x:v>
      </x:c>
      <x:c r="AF247" s="9" t="str">
        <x:v>Maret 2024 (Susenas)</x:v>
      </x:c>
      <x:c r="AG247" s="6" t="str">
        <x:v>28.21</x:v>
      </x:c>
      <x:c r="AH247" s="8" t="str">
        <x:v>81.7</x:v>
      </x:c>
      <x:c r="AI247" s="6" t="str">
        <x:v>142.79999999999998</x:v>
      </x:c>
      <x:c r="AJ247" s="6" t="str">
        <x:v>0.9980000000000012</x:v>
      </x:c>
      <x:c r="AK247" s="8" t="str">
        <x:v>2.9661206163772893</x:v>
      </x:c>
      <x:c r="AL247" s="6" t="str">
        <x:v>2.946786046683284</x:v>
      </x:c>
      <x:c r="AM247" s="6" t="str">
        <x:v>3.5956986455687474</x:v>
      </x:c>
      <x:c r="AN247" s="6" t="str">
        <x:v>3.16953510287644</x:v>
      </x:c>
      <x:c r="AO247" s="6" t="str">
        <x:v>-0.1186666666666553</x:v>
      </x:c>
      <x:c r="AP247" s="8" t="str">
        <x:v>-0.0676718830070784</x:v>
      </x:c>
      <x:c r="AQ247" s="6" t="str">
        <x:v>-0.2317160908039812</x:v>
      </x:c>
      <x:c r="AR247" s="6" t="str">
        <x:v>-1.5265338329805829</x:v>
      </x:c>
      <x:c r="AS247" s="6" t="str">
        <x:v>-0.6086406022638805</x:v>
      </x:c>
      <x:c r="AT247" s="6" t="str">
        <x:v>51.76999999999998</x:v>
      </x:c>
      <x:c r="AU247" s="8" t="str">
        <x:v>0.9806641793843096</x:v>
      </x:c>
      <x:c r="AV247" s="6" t="str">
        <x:v>-1.3190276420143516</x:v>
      </x:c>
      <x:c r="AW247" s="6" t="str">
        <x:v>0.416374884180393</x:v>
      </x:c>
      <x:c r="AX247" s="6" t="str">
        <x:v>0.0260038071834499</x:v>
      </x:c>
      <x:c r="AY247" s="6" t="str">
        <x:v>0</x:v>
      </x:c>
      <x:c r="AZ247" s="6" t="str">
        <x:v>1</x:v>
      </x:c>
      <x:c r="BA247" s="9" t="str">
        <x:v>nearest_POWER_grid_to_BIG_representative_point</x:v>
      </x:c>
      <x:c r="BB247" s="6" t="str">
        <x:v>1</x:v>
      </x:c>
      <x:c r="BC247" s="6" t="str">
        <x:v>1</x:v>
      </x:c>
      <x:c r="BD247" s="6" t="str">
        <x:v>1</x:v>
      </x:c>
      <x:c r="BE247" s="6" t="str">
        <x:v>0</x:v>
      </x:c>
      <x:c r="BF247" s="6" t="str">
        <x:v>0</x:v>
      </x:c>
      <x:c r="BG247" s="6" t="str">
        <x:v>1</x:v>
      </x:c>
      <x:c r="BH247" s="6" t="str">
        <x:v>0</x:v>
      </x:c>
      <x:c r="BI247" s="6" t="str">
        <x:v>0</x:v>
      </x:c>
      <x:c r="BJ247" s="6" t="str">
        <x:v>0</x:v>
      </x:c>
      <x:c r="BK247" s="6" t="str">
        <x:v>0</x:v>
      </x:c>
      <x:c r="BL247" s="6" t="str">
        <x:v>0</x:v>
      </x:c>
      <x:c r="BM247" s="6" t="str">
        <x:v>0</x:v>
      </x:c>
      <x:c r="BN247" s="6" t="str">
        <x:v>1</x:v>
      </x:c>
      <x:c r="BO247" s="6" t="str">
        <x:v>0.0</x:v>
      </x:c>
      <x:c r="BP247" s="6" t="str">
        <x:v>1</x:v>
      </x:c>
      <x:c r="BQ247" s="6" t="str">
        <x:v>0.0</x:v>
      </x:c>
      <x:c r="BR247" s="6" t="str">
        <x:v>1</x:v>
      </x:c>
      <x:c r="BS247" s="6" t="str">
        <x:v>5.0</x:v>
      </x:c>
      <x:c r="BT247" s="6" t="str">
        <x:v>1</x:v>
      </x:c>
      <x:c r="BU247" s="6" t="str"/>
      <x:c r="BV247" s="6" t="str">
        <x:v>0</x:v>
      </x:c>
      <x:c r="BW247" s="9" t="str">
        <x:v>operational_snapshot_annual_totals_may_differ</x:v>
      </x:c>
      <x:c r="BX247" s="9" t="str">
        <x:v>official_live_dashboard_snapshot_subject_to_revision</x:v>
      </x:c>
      <x:c r="BY247" s="9" t="str">
        <x:v>https://tbdashboard.sitb.id/ss_data_tbc03so_2024_provinsi_bulanan_list.php</x:v>
      </x:c>
      <x:c r="BZ247" s="6" t="n">
        <x:v>46246.610671296294</x:v>
      </x:c>
    </x:row>
    <x:row r="248" ht="18" customHeight="1">
      <x:c r="A248" s="6" t="str">
        <x:v>31</x:v>
      </x:c>
      <x:c r="B248" s="6" t="str">
        <x:v>DKI JAKARTA</x:v>
      </x:c>
      <x:c r="C248" s="6" t="str">
        <x:v>2024</x:v>
      </x:c>
      <x:c r="D248" s="6" t="str">
        <x:v>7</x:v>
      </x:c>
      <x:c r="E248" s="6" t="str">
        <x:v>2024-07</x:v>
      </x:c>
      <x:c r="F248" s="6" t="str">
        <x:v>5345</x:v>
      </x:c>
      <x:c r="G248" s="6" t="str">
        <x:v>922</x:v>
      </x:c>
      <x:c r="H248" s="6" t="str">
        <x:v>3292</x:v>
      </x:c>
      <x:c r="I248" s="6" t="str">
        <x:v>739</x:v>
      </x:c>
      <x:c r="J248" s="6" t="str">
        <x:v>214</x:v>
      </x:c>
      <x:c r="K248" s="6" t="str">
        <x:v>27</x:v>
      </x:c>
      <x:c r="L248" s="6" t="str">
        <x:v>55</x:v>
      </x:c>
      <x:c r="M248" s="6" t="str">
        <x:v>96</x:v>
      </x:c>
      <x:c r="N248" s="6" t="str">
        <x:v>5345</x:v>
      </x:c>
      <x:c r="O248" s="6" t="str">
        <x:v>0</x:v>
      </x:c>
      <x:c r="P248" s="10" t="n">
        <x:f>F248-M248</x:f>
        <x:v>5249</x:v>
      </x:c>
      <x:c r="Q248" s="11" t="n">
        <x:f>IFERROR(M248/F248,"")</x:f>
        <x:v>0.017960710944808233</x:v>
      </x:c>
      <x:c r="R248" s="10" t="n">
        <x:f>G248+H248</x:f>
        <x:v>4214</x:v>
      </x:c>
      <x:c r="S248" s="11" t="n">
        <x:f>IFERROR(R248/F248,"")</x:f>
        <x:v>0.788400374181478</x:v>
      </x:c>
      <x:c r="T248" s="11" t="n">
        <x:f>IFERROR(R248/P248,"")</x:f>
        <x:v>0.8028195846827967</x:v>
      </x:c>
      <x:c r="U248" s="10" t="n">
        <x:f>I248+J248+K248</x:f>
        <x:v>980</x:v>
      </x:c>
      <x:c r="V248" s="11" t="n">
        <x:f>IFERROR(U248/P248,"")</x:f>
        <x:v>0.18670222899599923</x:v>
      </x:c>
      <x:c r="W248" s="9" t="str">
        <x:v>mature_le_5pct_pending</x:v>
      </x:c>
      <x:c r="X248" s="12" t="n">
        <x:f>IFERROR(F248/Z248*100000,"")</x:f>
        <x:v>50.02386545498788</x:v>
      </x:c>
      <x:c r="Y248" s="13" t="n">
        <x:f>LN(Z248)</x:f>
        <x:v>16.184342087777225</x:v>
      </x:c>
      <x:c r="Z248" s="6" t="str">
        <x:v>10684900</x:v>
      </x:c>
      <x:c r="AA248" s="6" t="str">
        <x:v>16165.0</x:v>
      </x:c>
      <x:c r="AB248" s="9" t="str">
        <x:v>2024-06-30</x:v>
      </x:c>
      <x:c r="AC248" s="8" t="str">
        <x:v>94.0</x:v>
      </x:c>
      <x:c r="AD248" s="9" t="str">
        <x:v>2024 (Susenas)</x:v>
      </x:c>
      <x:c r="AE248" s="8" t="str">
        <x:v>4.3</x:v>
      </x:c>
      <x:c r="AF248" s="9" t="str">
        <x:v>Maret 2024 (Susenas)</x:v>
      </x:c>
      <x:c r="AG248" s="6" t="str">
        <x:v>27.38</x:v>
      </x:c>
      <x:c r="AH248" s="8" t="str">
        <x:v>80.52</x:v>
      </x:c>
      <x:c r="AI248" s="6" t="str">
        <x:v>176.39</x:v>
      </x:c>
      <x:c r="AJ248" s="6" t="str">
        <x:v>0.6426666666666669</x:v>
      </x:c>
      <x:c r="AK248" s="8" t="str">
        <x:v>1.533401457992875</x:v>
      </x:c>
      <x:c r="AL248" s="6" t="str">
        <x:v>2.9661206163772893</x:v>
      </x:c>
      <x:c r="AM248" s="6" t="str">
        <x:v>2.946786046683284</x:v>
      </x:c>
      <x:c r="AN248" s="6" t="str">
        <x:v>2.482102707017816</x:v>
      </x:c>
      <x:c r="AO248" s="6" t="str">
        <x:v>0.2603333333333353</x:v>
      </x:c>
      <x:c r="AP248" s="8" t="str">
        <x:v>0.1106120243076159</x:v>
      </x:c>
      <x:c r="AQ248" s="6" t="str">
        <x:v>-0.0676718830070784</x:v>
      </x:c>
      <x:c r="AR248" s="6" t="str">
        <x:v>-0.2317160908039812</x:v>
      </x:c>
      <x:c r="AS248" s="6" t="str">
        <x:v>-0.0629253165011476</x:v>
      </x:c>
      <x:c r="AT248" s="6" t="str">
        <x:v>97.74300000000002</x:v>
      </x:c>
      <x:c r="AU248" s="8" t="str">
        <x:v>1.3214139031516003</x:v>
      </x:c>
      <x:c r="AV248" s="6" t="str">
        <x:v>0.9806641793843096</x:v>
      </x:c>
      <x:c r="AW248" s="6" t="str">
        <x:v>-1.3190276420143516</x:v>
      </x:c>
      <x:c r="AX248" s="6" t="str">
        <x:v>0.3276834801738524</x:v>
      </x:c>
      <x:c r="AY248" s="6" t="str">
        <x:v>1</x:v>
      </x:c>
      <x:c r="AZ248" s="6" t="str">
        <x:v>1</x:v>
      </x:c>
      <x:c r="BA248" s="9" t="str">
        <x:v>nearest_POWER_grid_to_BIG_representative_point</x:v>
      </x:c>
      <x:c r="BB248" s="6" t="str">
        <x:v>1</x:v>
      </x:c>
      <x:c r="BC248" s="6" t="str">
        <x:v>2</x:v>
      </x:c>
      <x:c r="BD248" s="6" t="str">
        <x:v>2</x:v>
      </x:c>
      <x:c r="BE248" s="6" t="str">
        <x:v>0</x:v>
      </x:c>
      <x:c r="BF248" s="6" t="str">
        <x:v>0</x:v>
      </x:c>
      <x:c r="BG248" s="6" t="str">
        <x:v>2</x:v>
      </x:c>
      <x:c r="BH248" s="6" t="str">
        <x:v>0</x:v>
      </x:c>
      <x:c r="BI248" s="6" t="str">
        <x:v>0</x:v>
      </x:c>
      <x:c r="BJ248" s="6" t="str">
        <x:v>0</x:v>
      </x:c>
      <x:c r="BK248" s="6" t="str">
        <x:v>0</x:v>
      </x:c>
      <x:c r="BL248" s="6" t="str">
        <x:v>0</x:v>
      </x:c>
      <x:c r="BM248" s="6" t="str">
        <x:v>0</x:v>
      </x:c>
      <x:c r="BN248" s="6" t="str">
        <x:v>2</x:v>
      </x:c>
      <x:c r="BO248" s="6" t="str">
        <x:v>0.0</x:v>
      </x:c>
      <x:c r="BP248" s="6" t="str">
        <x:v>2</x:v>
      </x:c>
      <x:c r="BQ248" s="6" t="str">
        <x:v>0.0</x:v>
      </x:c>
      <x:c r="BR248" s="6" t="str">
        <x:v>2</x:v>
      </x:c>
      <x:c r="BS248" s="6" t="str">
        <x:v>15.0</x:v>
      </x:c>
      <x:c r="BT248" s="6" t="str">
        <x:v>2</x:v>
      </x:c>
      <x:c r="BU248" s="6" t="str"/>
      <x:c r="BV248" s="6" t="str">
        <x:v>0</x:v>
      </x:c>
      <x:c r="BW248" s="9" t="str">
        <x:v>operational_snapshot_annual_totals_may_differ</x:v>
      </x:c>
      <x:c r="BX248" s="9" t="str">
        <x:v>official_live_dashboard_snapshot_subject_to_revision</x:v>
      </x:c>
      <x:c r="BY248" s="9" t="str">
        <x:v>https://tbdashboard.sitb.id/ss_data_tbc03so_2024_provinsi_bulanan_list.php</x:v>
      </x:c>
      <x:c r="BZ248" s="6" t="n">
        <x:v>46246.610671296294</x:v>
      </x:c>
    </x:row>
    <x:row r="249" ht="18" customHeight="1">
      <x:c r="A249" s="6" t="str">
        <x:v>31</x:v>
      </x:c>
      <x:c r="B249" s="6" t="str">
        <x:v>DKI JAKARTA</x:v>
      </x:c>
      <x:c r="C249" s="6" t="str">
        <x:v>2024</x:v>
      </x:c>
      <x:c r="D249" s="6" t="str">
        <x:v>8</x:v>
      </x:c>
      <x:c r="E249" s="6" t="str">
        <x:v>2024-08</x:v>
      </x:c>
      <x:c r="F249" s="6" t="str">
        <x:v>5067</x:v>
      </x:c>
      <x:c r="G249" s="6" t="str">
        <x:v>893</x:v>
      </x:c>
      <x:c r="H249" s="6" t="str">
        <x:v>3069</x:v>
      </x:c>
      <x:c r="I249" s="6" t="str">
        <x:v>725</x:v>
      </x:c>
      <x:c r="J249" s="6" t="str">
        <x:v>207</x:v>
      </x:c>
      <x:c r="K249" s="6" t="str">
        <x:v>20</x:v>
      </x:c>
      <x:c r="L249" s="6" t="str">
        <x:v>39</x:v>
      </x:c>
      <x:c r="M249" s="6" t="str">
        <x:v>114</x:v>
      </x:c>
      <x:c r="N249" s="6" t="str">
        <x:v>5067</x:v>
      </x:c>
      <x:c r="O249" s="6" t="str">
        <x:v>0</x:v>
      </x:c>
      <x:c r="P249" s="10" t="n">
        <x:f>F249-M249</x:f>
        <x:v>4953</x:v>
      </x:c>
      <x:c r="Q249" s="11" t="n">
        <x:f>IFERROR(M249/F249,"")</x:f>
        <x:v>0.022498519834221433</x:v>
      </x:c>
      <x:c r="R249" s="10" t="n">
        <x:f>G249+H249</x:f>
        <x:v>3962</x:v>
      </x:c>
      <x:c r="S249" s="11" t="n">
        <x:f>IFERROR(R249/F249,"")</x:f>
        <x:v>0.7819222419577659</x:v>
      </x:c>
      <x:c r="T249" s="11" t="n">
        <x:f>IFERROR(R249/P249,"")</x:f>
        <x:v>0.7999192408641228</x:v>
      </x:c>
      <x:c r="U249" s="10" t="n">
        <x:f>I249+J249+K249</x:f>
        <x:v>952</x:v>
      </x:c>
      <x:c r="V249" s="11" t="n">
        <x:f>IFERROR(U249/P249,"")</x:f>
        <x:v>0.19220674338784574</x:v>
      </x:c>
      <x:c r="W249" s="9" t="str">
        <x:v>mature_le_5pct_pending</x:v>
      </x:c>
      <x:c r="X249" s="12" t="n">
        <x:f>IFERROR(F249/Z249*100000,"")</x:f>
        <x:v>47.42206291121115</x:v>
      </x:c>
      <x:c r="Y249" s="13" t="n">
        <x:f>LN(Z249)</x:f>
        <x:v>16.184342087777225</x:v>
      </x:c>
      <x:c r="Z249" s="6" t="str">
        <x:v>10684900</x:v>
      </x:c>
      <x:c r="AA249" s="6" t="str">
        <x:v>16165.0</x:v>
      </x:c>
      <x:c r="AB249" s="9" t="str">
        <x:v>2024-06-30</x:v>
      </x:c>
      <x:c r="AC249" s="8" t="str">
        <x:v>94.0</x:v>
      </x:c>
      <x:c r="AD249" s="9" t="str">
        <x:v>2024 (Susenas)</x:v>
      </x:c>
      <x:c r="AE249" s="8" t="str">
        <x:v>4.3</x:v>
      </x:c>
      <x:c r="AF249" s="9" t="str">
        <x:v>Maret 2024 (Susenas)</x:v>
      </x:c>
      <x:c r="AG249" s="6" t="str">
        <x:v>27.5</x:v>
      </x:c>
      <x:c r="AH249" s="8" t="str">
        <x:v>77.75</x:v>
      </x:c>
      <x:c r="AI249" s="6" t="str">
        <x:v>40.61</x:v>
      </x:c>
      <x:c r="AJ249" s="6" t="str">
        <x:v>0.7363333333333344</x:v>
      </x:c>
      <x:c r="AK249" s="8" t="str">
        <x:v>1.8502487642637524</x:v>
      </x:c>
      <x:c r="AL249" s="6" t="str">
        <x:v>1.533401457992875</x:v>
      </x:c>
      <x:c r="AM249" s="6" t="str">
        <x:v>2.9661206163772893</x:v>
      </x:c>
      <x:c r="AN249" s="6" t="str">
        <x:v>2.1165902795446385</x:v>
      </x:c>
      <x:c r="AO249" s="6" t="str">
        <x:v>-0.4126666666666665</x:v>
      </x:c>
      <x:c r="AP249" s="8" t="str">
        <x:v>-0.1647992103791056</x:v>
      </x:c>
      <x:c r="AQ249" s="6" t="str">
        <x:v>0.1106120243076159</x:v>
      </x:c>
      <x:c r="AR249" s="6" t="str">
        <x:v>-0.0676718830070784</x:v>
      </x:c>
      <x:c r="AS249" s="6" t="str">
        <x:v>-0.0406196896928557</x:v>
      </x:c>
      <x:c r="AT249" s="6" t="str">
        <x:v>-12.575666666666663</x:v>
      </x:c>
      <x:c r="AU249" s="8" t="str">
        <x:v>-0.2372131759484942</x:v>
      </x:c>
      <x:c r="AV249" s="6" t="str">
        <x:v>1.3214139031516003</x:v>
      </x:c>
      <x:c r="AW249" s="6" t="str">
        <x:v>0.9806641793843096</x:v>
      </x:c>
      <x:c r="AX249" s="6" t="str">
        <x:v>0.6882883021958048</x:v>
      </x:c>
      <x:c r="AY249" s="6" t="str">
        <x:v>0</x:v>
      </x:c>
      <x:c r="AZ249" s="6" t="str">
        <x:v>1</x:v>
      </x:c>
      <x:c r="BA249" s="9" t="str">
        <x:v>nearest_POWER_grid_to_BIG_representative_point</x:v>
      </x:c>
      <x:c r="BB249" s="6" t="str">
        <x:v>1</x:v>
      </x:c>
      <x:c r="BC249" s="6" t="str">
        <x:v>0</x:v>
      </x:c>
      <x:c r="BD249" s="6" t="str">
        <x:v>0</x:v>
      </x:c>
      <x:c r="BE249" s="6" t="str">
        <x:v>0</x:v>
      </x:c>
      <x:c r="BF249" s="6" t="str">
        <x:v>0</x:v>
      </x:c>
      <x:c r="BG249" s="6" t="str">
        <x:v>0</x:v>
      </x:c>
      <x:c r="BH249" s="6" t="str">
        <x:v>0</x:v>
      </x:c>
      <x:c r="BI249" s="6" t="str">
        <x:v>0</x:v>
      </x:c>
      <x:c r="BJ249" s="6" t="str">
        <x:v>0</x:v>
      </x:c>
      <x:c r="BK249" s="6" t="str">
        <x:v>0</x:v>
      </x:c>
      <x:c r="BL249" s="6" t="str">
        <x:v>0</x:v>
      </x:c>
      <x:c r="BM249" s="6" t="str">
        <x:v>0</x:v>
      </x:c>
      <x:c r="BN249" s="6" t="str">
        <x:v>0</x:v>
      </x:c>
      <x:c r="BO249" s="6" t="str"/>
      <x:c r="BP249" s="6" t="str">
        <x:v>0</x:v>
      </x:c>
      <x:c r="BQ249" s="6" t="str"/>
      <x:c r="BR249" s="6" t="str">
        <x:v>0</x:v>
      </x:c>
      <x:c r="BS249" s="6" t="str"/>
      <x:c r="BT249" s="6" t="str">
        <x:v>0</x:v>
      </x:c>
      <x:c r="BU249" s="6" t="str"/>
      <x:c r="BV249" s="6" t="str">
        <x:v>0</x:v>
      </x:c>
      <x:c r="BW249" s="9" t="str">
        <x:v>operational_snapshot_annual_totals_may_differ</x:v>
      </x:c>
      <x:c r="BX249" s="9" t="str">
        <x:v>official_live_dashboard_snapshot_subject_to_revision</x:v>
      </x:c>
      <x:c r="BY249" s="9" t="str">
        <x:v>https://tbdashboard.sitb.id/ss_data_tbc03so_2024_provinsi_bulanan_list.php</x:v>
      </x:c>
      <x:c r="BZ249" s="6" t="n">
        <x:v>46246.610671296294</x:v>
      </x:c>
    </x:row>
    <x:row r="250" ht="18" customHeight="1">
      <x:c r="A250" s="6" t="str">
        <x:v>31</x:v>
      </x:c>
      <x:c r="B250" s="6" t="str">
        <x:v>DKI JAKARTA</x:v>
      </x:c>
      <x:c r="C250" s="6" t="str">
        <x:v>2024</x:v>
      </x:c>
      <x:c r="D250" s="6" t="str">
        <x:v>9</x:v>
      </x:c>
      <x:c r="E250" s="6" t="str">
        <x:v>2024-09</x:v>
      </x:c>
      <x:c r="F250" s="6" t="str">
        <x:v>4887</x:v>
      </x:c>
      <x:c r="G250" s="6" t="str">
        <x:v>823</x:v>
      </x:c>
      <x:c r="H250" s="6" t="str">
        <x:v>2968</x:v>
      </x:c>
      <x:c r="I250" s="6" t="str">
        <x:v>725</x:v>
      </x:c>
      <x:c r="J250" s="6" t="str">
        <x:v>185</x:v>
      </x:c>
      <x:c r="K250" s="6" t="str">
        <x:v>22</x:v>
      </x:c>
      <x:c r="L250" s="6" t="str">
        <x:v>38</x:v>
      </x:c>
      <x:c r="M250" s="6" t="str">
        <x:v>126</x:v>
      </x:c>
      <x:c r="N250" s="6" t="str">
        <x:v>4887</x:v>
      </x:c>
      <x:c r="O250" s="6" t="str">
        <x:v>0</x:v>
      </x:c>
      <x:c r="P250" s="10" t="n">
        <x:f>F250-M250</x:f>
        <x:v>4761</x:v>
      </x:c>
      <x:c r="Q250" s="11" t="n">
        <x:f>IFERROR(M250/F250,"")</x:f>
        <x:v>0.02578268876611418</x:v>
      </x:c>
      <x:c r="R250" s="10" t="n">
        <x:f>G250+H250</x:f>
        <x:v>3791</x:v>
      </x:c>
      <x:c r="S250" s="11" t="n">
        <x:f>IFERROR(R250/F250,"")</x:f>
        <x:v>0.77573153263761</x:v>
      </x:c>
      <x:c r="T250" s="11" t="n">
        <x:f>IFERROR(R250/P250,"")</x:f>
        <x:v>0.7962612896450325</x:v>
      </x:c>
      <x:c r="U250" s="10" t="n">
        <x:f>I250+J250+K250</x:f>
        <x:v>932</x:v>
      </x:c>
      <x:c r="V250" s="11" t="n">
        <x:f>IFERROR(U250/P250,"")</x:f>
        <x:v>0.1957571938668347</x:v>
      </x:c>
      <x:c r="W250" s="9" t="str">
        <x:v>mature_le_5pct_pending</x:v>
      </x:c>
      <x:c r="X250" s="12" t="n">
        <x:f>IFERROR(F250/Z250*100000,"")</x:f>
        <x:v>45.7374425591255</x:v>
      </x:c>
      <x:c r="Y250" s="13" t="n">
        <x:f>LN(Z250)</x:f>
        <x:v>16.184342087777225</x:v>
      </x:c>
      <x:c r="Z250" s="6" t="str">
        <x:v>10684900</x:v>
      </x:c>
      <x:c r="AA250" s="6" t="str">
        <x:v>16165.0</x:v>
      </x:c>
      <x:c r="AB250" s="9" t="str">
        <x:v>2024-06-30</x:v>
      </x:c>
      <x:c r="AC250" s="8" t="str">
        <x:v>94.0</x:v>
      </x:c>
      <x:c r="AD250" s="9" t="str">
        <x:v>2024 (Susenas)</x:v>
      </x:c>
      <x:c r="AE250" s="8" t="str">
        <x:v>4.3</x:v>
      </x:c>
      <x:c r="AF250" s="9" t="str">
        <x:v>Maret 2024 (Susenas)</x:v>
      </x:c>
      <x:c r="AG250" s="6" t="str">
        <x:v>28.04</x:v>
      </x:c>
      <x:c r="AH250" s="8" t="str">
        <x:v>77.46</x:v>
      </x:c>
      <x:c r="AI250" s="6" t="str">
        <x:v>115.8</x:v>
      </x:c>
      <x:c r="AJ250" s="6" t="str">
        <x:v>0.5713333333333317</x:v>
      </x:c>
      <x:c r="AK250" s="8" t="str">
        <x:v>1.793056979036868</x:v>
      </x:c>
      <x:c r="AL250" s="6" t="str">
        <x:v>1.8502487642637524</x:v>
      </x:c>
      <x:c r="AM250" s="6" t="str">
        <x:v>1.533401457992875</x:v>
      </x:c>
      <x:c r="AN250" s="6" t="str">
        <x:v>1.7255690670978314</x:v>
      </x:c>
      <x:c r="AO250" s="6" t="str">
        <x:v>1.7826666666666569</x:v>
      </x:c>
      <x:c r="AP250" s="8" t="str">
        <x:v>0.5357465878470136</x:v>
      </x:c>
      <x:c r="AQ250" s="6" t="str">
        <x:v>-0.1647992103791056</x:v>
      </x:c>
      <x:c r="AR250" s="6" t="str">
        <x:v>0.1106120243076159</x:v>
      </x:c>
      <x:c r="AS250" s="6" t="str">
        <x:v>0.1605198005918415</x:v>
      </x:c>
      <x:c r="AT250" s="6" t="str">
        <x:v>50.58</x:v>
      </x:c>
      <x:c r="AU250" s="8" t="str">
        <x:v>0.8383466481643511</x:v>
      </x:c>
      <x:c r="AV250" s="6" t="str">
        <x:v>-0.2372131759484942</x:v>
      </x:c>
      <x:c r="AW250" s="6" t="str">
        <x:v>1.3214139031516003</x:v>
      </x:c>
      <x:c r="AX250" s="6" t="str">
        <x:v>0.6408491251224855</x:v>
      </x:c>
      <x:c r="AY250" s="6" t="str">
        <x:v>0</x:v>
      </x:c>
      <x:c r="AZ250" s="6" t="str">
        <x:v>1</x:v>
      </x:c>
      <x:c r="BA250" s="9" t="str">
        <x:v>nearest_POWER_grid_to_BIG_representative_point</x:v>
      </x:c>
      <x:c r="BB250" s="6" t="str">
        <x:v>1</x:v>
      </x:c>
      <x:c r="BC250" s="6" t="str">
        <x:v>1</x:v>
      </x:c>
      <x:c r="BD250" s="6" t="str">
        <x:v>1</x:v>
      </x:c>
      <x:c r="BE250" s="6" t="str">
        <x:v>1</x:v>
      </x:c>
      <x:c r="BF250" s="6" t="str">
        <x:v>0</x:v>
      </x:c>
      <x:c r="BG250" s="6" t="str">
        <x:v>0</x:v>
      </x:c>
      <x:c r="BH250" s="6" t="str">
        <x:v>0</x:v>
      </x:c>
      <x:c r="BI250" s="6" t="str">
        <x:v>0</x:v>
      </x:c>
      <x:c r="BJ250" s="6" t="str">
        <x:v>0</x:v>
      </x:c>
      <x:c r="BK250" s="6" t="str">
        <x:v>0</x:v>
      </x:c>
      <x:c r="BL250" s="6" t="str">
        <x:v>0</x:v>
      </x:c>
      <x:c r="BM250" s="6" t="str">
        <x:v>0</x:v>
      </x:c>
      <x:c r="BN250" s="6" t="str">
        <x:v>1</x:v>
      </x:c>
      <x:c r="BO250" s="6" t="str">
        <x:v>0.0</x:v>
      </x:c>
      <x:c r="BP250" s="6" t="str">
        <x:v>1</x:v>
      </x:c>
      <x:c r="BQ250" s="6" t="str">
        <x:v>0.0</x:v>
      </x:c>
      <x:c r="BR250" s="6" t="str">
        <x:v>1</x:v>
      </x:c>
      <x:c r="BS250" s="6" t="str">
        <x:v>0.0</x:v>
      </x:c>
      <x:c r="BT250" s="6" t="str">
        <x:v>1</x:v>
      </x:c>
      <x:c r="BU250" s="6" t="str"/>
      <x:c r="BV250" s="6" t="str">
        <x:v>0</x:v>
      </x:c>
      <x:c r="BW250" s="9" t="str">
        <x:v>operational_snapshot_annual_totals_may_differ</x:v>
      </x:c>
      <x:c r="BX250" s="9" t="str">
        <x:v>official_live_dashboard_snapshot_subject_to_revision</x:v>
      </x:c>
      <x:c r="BY250" s="9" t="str">
        <x:v>https://tbdashboard.sitb.id/ss_data_tbc03so_2024_provinsi_bulanan_list.php</x:v>
      </x:c>
      <x:c r="BZ250" s="6" t="n">
        <x:v>46246.610671296294</x:v>
      </x:c>
    </x:row>
    <x:row r="251" ht="18" customHeight="1">
      <x:c r="A251" s="6" t="str">
        <x:v>31</x:v>
      </x:c>
      <x:c r="B251" s="6" t="str">
        <x:v>DKI JAKARTA</x:v>
      </x:c>
      <x:c r="C251" s="6" t="str">
        <x:v>2024</x:v>
      </x:c>
      <x:c r="D251" s="6" t="str">
        <x:v>10</x:v>
      </x:c>
      <x:c r="E251" s="6" t="str">
        <x:v>2024-10</x:v>
      </x:c>
      <x:c r="F251" s="6" t="str">
        <x:v>5292</x:v>
      </x:c>
      <x:c r="G251" s="6" t="str">
        <x:v>980</x:v>
      </x:c>
      <x:c r="H251" s="6" t="str">
        <x:v>3115</x:v>
      </x:c>
      <x:c r="I251" s="6" t="str">
        <x:v>773</x:v>
      </x:c>
      <x:c r="J251" s="6" t="str">
        <x:v>213</x:v>
      </x:c>
      <x:c r="K251" s="6" t="str">
        <x:v>26</x:v>
      </x:c>
      <x:c r="L251" s="6" t="str">
        <x:v>39</x:v>
      </x:c>
      <x:c r="M251" s="6" t="str">
        <x:v>146</x:v>
      </x:c>
      <x:c r="N251" s="6" t="str">
        <x:v>5292</x:v>
      </x:c>
      <x:c r="O251" s="6" t="str">
        <x:v>0</x:v>
      </x:c>
      <x:c r="P251" s="10" t="n">
        <x:f>F251-M251</x:f>
        <x:v>5146</x:v>
      </x:c>
      <x:c r="Q251" s="11" t="n">
        <x:f>IFERROR(M251/F251,"")</x:f>
        <x:v>0.02758881330309902</x:v>
      </x:c>
      <x:c r="R251" s="10" t="n">
        <x:f>G251+H251</x:f>
        <x:v>4095</x:v>
      </x:c>
      <x:c r="S251" s="11" t="n">
        <x:f>IFERROR(R251/F251,"")</x:f>
        <x:v>0.7738095238095238</x:v>
      </x:c>
      <x:c r="T251" s="11" t="n">
        <x:f>IFERROR(R251/P251,"")</x:f>
        <x:v>0.7957636999611348</x:v>
      </x:c>
      <x:c r="U251" s="10" t="n">
        <x:f>I251+J251+K251</x:f>
        <x:v>1012</x:v>
      </x:c>
      <x:c r="V251" s="11" t="n">
        <x:f>IFERROR(U251/P251,"")</x:f>
        <x:v>0.19665759813447337</x:v>
      </x:c>
      <x:c r="W251" s="9" t="str">
        <x:v>mature_le_5pct_pending</x:v>
      </x:c>
      <x:c r="X251" s="12" t="n">
        <x:f>IFERROR(F251/Z251*100000,"")</x:f>
        <x:v>49.527838351318216</x:v>
      </x:c>
      <x:c r="Y251" s="13" t="n">
        <x:f>LN(Z251)</x:f>
        <x:v>16.184342087777225</x:v>
      </x:c>
      <x:c r="Z251" s="6" t="str">
        <x:v>10684900</x:v>
      </x:c>
      <x:c r="AA251" s="6" t="str">
        <x:v>16165.0</x:v>
      </x:c>
      <x:c r="AB251" s="9" t="str">
        <x:v>2024-06-30</x:v>
      </x:c>
      <x:c r="AC251" s="8" t="str">
        <x:v>94.0</x:v>
      </x:c>
      <x:c r="AD251" s="9" t="str">
        <x:v>2024 (Susenas)</x:v>
      </x:c>
      <x:c r="AE251" s="8" t="str">
        <x:v>4.3</x:v>
      </x:c>
      <x:c r="AF251" s="9" t="str">
        <x:v>Maret 2024 (Susenas)</x:v>
      </x:c>
      <x:c r="AG251" s="6" t="str">
        <x:v>28.78</x:v>
      </x:c>
      <x:c r="AH251" s="8" t="str">
        <x:v>76.93</x:v>
      </x:c>
      <x:c r="AI251" s="6" t="str">
        <x:v>111.6</x:v>
      </x:c>
      <x:c r="AJ251" s="6" t="str">
        <x:v>0.8210000000000015</x:v>
      </x:c>
      <x:c r="AK251" s="8" t="str">
        <x:v>1.902859881758215</x:v>
      </x:c>
      <x:c r="AL251" s="6" t="str">
        <x:v>1.793056979036868</x:v>
      </x:c>
      <x:c r="AM251" s="6" t="str">
        <x:v>1.8502487642637524</x:v>
      </x:c>
      <x:c r="AN251" s="6" t="str">
        <x:v>1.8487218750196115</x:v>
      </x:c>
      <x:c r="AO251" s="6" t="str">
        <x:v>0.5940000000000083</x:v>
      </x:c>
      <x:c r="AP251" s="8" t="str">
        <x:v>0.1356888546486224</x:v>
      </x:c>
      <x:c r="AQ251" s="6" t="str">
        <x:v>0.5357465878470136</x:v>
      </x:c>
      <x:c r="AR251" s="6" t="str">
        <x:v>-0.1647992103791056</x:v>
      </x:c>
      <x:c r="AS251" s="6" t="str">
        <x:v>0.1688787440388437</x:v>
      </x:c>
      <x:c r="AT251" s="6" t="str">
        <x:v>-21.576000000000008</x:v>
      </x:c>
      <x:c r="AU251" s="8" t="str">
        <x:v>-0.2421129188072178</x:v>
      </x:c>
      <x:c r="AV251" s="6" t="str">
        <x:v>0.8383466481643511</x:v>
      </x:c>
      <x:c r="AW251" s="6" t="str">
        <x:v>-0.2372131759484942</x:v>
      </x:c>
      <x:c r="AX251" s="6" t="str">
        <x:v>0.1196735178028794</x:v>
      </x:c>
      <x:c r="AY251" s="6" t="str">
        <x:v>0</x:v>
      </x:c>
      <x:c r="AZ251" s="6" t="str">
        <x:v>1</x:v>
      </x:c>
      <x:c r="BA251" s="9" t="str">
        <x:v>nearest_POWER_grid_to_BIG_representative_point</x:v>
      </x:c>
      <x:c r="BB251" s="6" t="str">
        <x:v>1</x:v>
      </x:c>
      <x:c r="BC251" s="6" t="str">
        <x:v>1</x:v>
      </x:c>
      <x:c r="BD251" s="6" t="str">
        <x:v>1</x:v>
      </x:c>
      <x:c r="BE251" s="6" t="str">
        <x:v>0</x:v>
      </x:c>
      <x:c r="BF251" s="6" t="str">
        <x:v>0</x:v>
      </x:c>
      <x:c r="BG251" s="6" t="str">
        <x:v>1</x:v>
      </x:c>
      <x:c r="BH251" s="6" t="str">
        <x:v>0</x:v>
      </x:c>
      <x:c r="BI251" s="6" t="str">
        <x:v>0</x:v>
      </x:c>
      <x:c r="BJ251" s="6" t="str">
        <x:v>0</x:v>
      </x:c>
      <x:c r="BK251" s="6" t="str">
        <x:v>0</x:v>
      </x:c>
      <x:c r="BL251" s="6" t="str">
        <x:v>0</x:v>
      </x:c>
      <x:c r="BM251" s="6" t="str">
        <x:v>0</x:v>
      </x:c>
      <x:c r="BN251" s="6" t="str">
        <x:v>1</x:v>
      </x:c>
      <x:c r="BO251" s="6" t="str">
        <x:v>0.0</x:v>
      </x:c>
      <x:c r="BP251" s="6" t="str">
        <x:v>1</x:v>
      </x:c>
      <x:c r="BQ251" s="6" t="str">
        <x:v>0.0</x:v>
      </x:c>
      <x:c r="BR251" s="6" t="str">
        <x:v>1</x:v>
      </x:c>
      <x:c r="BS251" s="6" t="str">
        <x:v>9.0</x:v>
      </x:c>
      <x:c r="BT251" s="6" t="str">
        <x:v>1</x:v>
      </x:c>
      <x:c r="BU251" s="6" t="str"/>
      <x:c r="BV251" s="6" t="str">
        <x:v>0</x:v>
      </x:c>
      <x:c r="BW251" s="9" t="str">
        <x:v>operational_snapshot_annual_totals_may_differ</x:v>
      </x:c>
      <x:c r="BX251" s="9" t="str">
        <x:v>official_live_dashboard_snapshot_subject_to_revision</x:v>
      </x:c>
      <x:c r="BY251" s="9" t="str">
        <x:v>https://tbdashboard.sitb.id/ss_data_tbc03so_2024_provinsi_bulanan_list.php</x:v>
      </x:c>
      <x:c r="BZ251" s="6" t="n">
        <x:v>46246.610671296294</x:v>
      </x:c>
    </x:row>
    <x:row r="252" ht="18" customHeight="1">
      <x:c r="A252" s="6" t="str">
        <x:v>31</x:v>
      </x:c>
      <x:c r="B252" s="6" t="str">
        <x:v>DKI JAKARTA</x:v>
      </x:c>
      <x:c r="C252" s="6" t="str">
        <x:v>2024</x:v>
      </x:c>
      <x:c r="D252" s="6" t="str">
        <x:v>11</x:v>
      </x:c>
      <x:c r="E252" s="6" t="str">
        <x:v>2024-11</x:v>
      </x:c>
      <x:c r="F252" s="6" t="str">
        <x:v>4838</x:v>
      </x:c>
      <x:c r="G252" s="6" t="str">
        <x:v>857</x:v>
      </x:c>
      <x:c r="H252" s="6" t="str">
        <x:v>2877</x:v>
      </x:c>
      <x:c r="I252" s="6" t="str">
        <x:v>742</x:v>
      </x:c>
      <x:c r="J252" s="6" t="str">
        <x:v>181</x:v>
      </x:c>
      <x:c r="K252" s="6" t="str">
        <x:v>19</x:v>
      </x:c>
      <x:c r="L252" s="6" t="str">
        <x:v>34</x:v>
      </x:c>
      <x:c r="M252" s="6" t="str">
        <x:v>128</x:v>
      </x:c>
      <x:c r="N252" s="6" t="str">
        <x:v>4838</x:v>
      </x:c>
      <x:c r="O252" s="6" t="str">
        <x:v>0</x:v>
      </x:c>
      <x:c r="P252" s="10" t="n">
        <x:f>F252-M252</x:f>
        <x:v>4710</x:v>
      </x:c>
      <x:c r="Q252" s="11" t="n">
        <x:f>IFERROR(M252/F252,"")</x:f>
        <x:v>0.02645721372467962</x:v>
      </x:c>
      <x:c r="R252" s="10" t="n">
        <x:f>G252+H252</x:f>
        <x:v>3734</x:v>
      </x:c>
      <x:c r="S252" s="11" t="n">
        <x:f>IFERROR(R252/F252,"")</x:f>
        <x:v>0.7718065316246383</x:v>
      </x:c>
      <x:c r="T252" s="11" t="n">
        <x:f>IFERROR(R252/P252,"")</x:f>
        <x:v>0.7927813163481954</x:v>
      </x:c>
      <x:c r="U252" s="10" t="n">
        <x:f>I252+J252+K252</x:f>
        <x:v>942</x:v>
      </x:c>
      <x:c r="V252" s="11" t="n">
        <x:f>IFERROR(U252/P252,"")</x:f>
        <x:v>0.2</x:v>
      </x:c>
      <x:c r="W252" s="9" t="str">
        <x:v>mature_le_5pct_pending</x:v>
      </x:c>
      <x:c r="X252" s="12" t="n">
        <x:f>IFERROR(F252/Z252*100000,"")</x:f>
        <x:v>45.278851463279956</x:v>
      </x:c>
      <x:c r="Y252" s="13" t="n">
        <x:f>LN(Z252)</x:f>
        <x:v>16.184342087777225</x:v>
      </x:c>
      <x:c r="Z252" s="6" t="str">
        <x:v>10684900</x:v>
      </x:c>
      <x:c r="AA252" s="6" t="str">
        <x:v>16165.0</x:v>
      </x:c>
      <x:c r="AB252" s="9" t="str">
        <x:v>2024-06-30</x:v>
      </x:c>
      <x:c r="AC252" s="8" t="str">
        <x:v>94.0</x:v>
      </x:c>
      <x:c r="AD252" s="9" t="str">
        <x:v>2024 (Susenas)</x:v>
      </x:c>
      <x:c r="AE252" s="8" t="str">
        <x:v>4.3</x:v>
      </x:c>
      <x:c r="AF252" s="9" t="str">
        <x:v>Maret 2024 (Susenas)</x:v>
      </x:c>
      <x:c r="AG252" s="6" t="str">
        <x:v>28.47</x:v>
      </x:c>
      <x:c r="AH252" s="8" t="str">
        <x:v>79.58</x:v>
      </x:c>
      <x:c r="AI252" s="6" t="str">
        <x:v>222.9</x:v>
      </x:c>
      <x:c r="AJ252" s="6" t="str">
        <x:v>0.6499999999999986</x:v>
      </x:c>
      <x:c r="AK252" s="8" t="str">
        <x:v>1.248377221884501</x:v>
      </x:c>
      <x:c r="AL252" s="6" t="str">
        <x:v>1.902859881758215</x:v>
      </x:c>
      <x:c r="AM252" s="6" t="str">
        <x:v>1.793056979036868</x:v>
      </x:c>
      <x:c r="AN252" s="6" t="str">
        <x:v>1.6480980275598611</x:v>
      </x:c>
      <x:c r="AO252" s="6" t="str">
        <x:v>0.1103333333333296</x:v>
      </x:c>
      <x:c r="AP252" s="8" t="str">
        <x:v>0.0372332474005513</x:v>
      </x:c>
      <x:c r="AQ252" s="6" t="str">
        <x:v>0.1356888546486224</x:v>
      </x:c>
      <x:c r="AR252" s="6" t="str">
        <x:v>0.5357465878470136</x:v>
      </x:c>
      <x:c r="AS252" s="6" t="str">
        <x:v>0.2362228966320627</x:v>
      </x:c>
      <x:c r="AT252" s="6" t="str">
        <x:v>27.279999999999973</x:v>
      </x:c>
      <x:c r="AU252" s="8" t="str">
        <x:v>0.4517894648820658</x:v>
      </x:c>
      <x:c r="AV252" s="6" t="str">
        <x:v>-0.2421129188072178</x:v>
      </x:c>
      <x:c r="AW252" s="6" t="str">
        <x:v>0.8383466481643511</x:v>
      </x:c>
      <x:c r="AX252" s="6" t="str">
        <x:v>0.3493410647463994</x:v>
      </x:c>
      <x:c r="AY252" s="6" t="str">
        <x:v>0</x:v>
      </x:c>
      <x:c r="AZ252" s="6" t="str">
        <x:v>1</x:v>
      </x:c>
      <x:c r="BA252" s="9" t="str">
        <x:v>nearest_POWER_grid_to_BIG_representative_point</x:v>
      </x:c>
      <x:c r="BB252" s="6" t="str">
        <x:v>1</x:v>
      </x:c>
      <x:c r="BC252" s="6" t="str">
        <x:v>4</x:v>
      </x:c>
      <x:c r="BD252" s="6" t="str">
        <x:v>4</x:v>
      </x:c>
      <x:c r="BE252" s="6" t="str">
        <x:v>4</x:v>
      </x:c>
      <x:c r="BF252" s="6" t="str">
        <x:v>0</x:v>
      </x:c>
      <x:c r="BG252" s="6" t="str">
        <x:v>0</x:v>
      </x:c>
      <x:c r="BH252" s="6" t="str">
        <x:v>0</x:v>
      </x:c>
      <x:c r="BI252" s="6" t="str">
        <x:v>0</x:v>
      </x:c>
      <x:c r="BJ252" s="6" t="str">
        <x:v>0</x:v>
      </x:c>
      <x:c r="BK252" s="6" t="str">
        <x:v>0</x:v>
      </x:c>
      <x:c r="BL252" s="6" t="str">
        <x:v>0</x:v>
      </x:c>
      <x:c r="BM252" s="6" t="str">
        <x:v>0</x:v>
      </x:c>
      <x:c r="BN252" s="6" t="str">
        <x:v>4</x:v>
      </x:c>
      <x:c r="BO252" s="6" t="str">
        <x:v>0.0</x:v>
      </x:c>
      <x:c r="BP252" s="6" t="str">
        <x:v>4</x:v>
      </x:c>
      <x:c r="BQ252" s="6" t="str">
        <x:v>0.0</x:v>
      </x:c>
      <x:c r="BR252" s="6" t="str">
        <x:v>4</x:v>
      </x:c>
      <x:c r="BS252" s="6" t="str">
        <x:v>0.0</x:v>
      </x:c>
      <x:c r="BT252" s="6" t="str">
        <x:v>4</x:v>
      </x:c>
      <x:c r="BU252" s="6" t="str">
        <x:v>950.0</x:v>
      </x:c>
      <x:c r="BV252" s="6" t="str">
        <x:v>1</x:v>
      </x:c>
      <x:c r="BW252" s="9" t="str">
        <x:v>operational_snapshot_annual_totals_may_differ</x:v>
      </x:c>
      <x:c r="BX252" s="9" t="str">
        <x:v>official_live_dashboard_snapshot_subject_to_revision</x:v>
      </x:c>
      <x:c r="BY252" s="9" t="str">
        <x:v>https://tbdashboard.sitb.id/ss_data_tbc03so_2024_provinsi_bulanan_list.php</x:v>
      </x:c>
      <x:c r="BZ252" s="6" t="n">
        <x:v>46246.610671296294</x:v>
      </x:c>
    </x:row>
    <x:row r="253" ht="18" customHeight="1">
      <x:c r="A253" s="6" t="str">
        <x:v>31</x:v>
      </x:c>
      <x:c r="B253" s="6" t="str">
        <x:v>DKI JAKARTA</x:v>
      </x:c>
      <x:c r="C253" s="6" t="str">
        <x:v>2024</x:v>
      </x:c>
      <x:c r="D253" s="6" t="str">
        <x:v>12</x:v>
      </x:c>
      <x:c r="E253" s="6" t="str">
        <x:v>2024-12</x:v>
      </x:c>
      <x:c r="F253" s="6" t="str">
        <x:v>4397</x:v>
      </x:c>
      <x:c r="G253" s="6" t="str">
        <x:v>792</x:v>
      </x:c>
      <x:c r="H253" s="6" t="str">
        <x:v>2607</x:v>
      </x:c>
      <x:c r="I253" s="6" t="str">
        <x:v>686</x:v>
      </x:c>
      <x:c r="J253" s="6" t="str">
        <x:v>187</x:v>
      </x:c>
      <x:c r="K253" s="6" t="str">
        <x:v>17</x:v>
      </x:c>
      <x:c r="L253" s="6" t="str">
        <x:v>19</x:v>
      </x:c>
      <x:c r="M253" s="6" t="str">
        <x:v>89</x:v>
      </x:c>
      <x:c r="N253" s="6" t="str">
        <x:v>4397</x:v>
      </x:c>
      <x:c r="O253" s="6" t="str">
        <x:v>0</x:v>
      </x:c>
      <x:c r="P253" s="10" t="n">
        <x:f>F253-M253</x:f>
        <x:v>4308</x:v>
      </x:c>
      <x:c r="Q253" s="11" t="n">
        <x:f>IFERROR(M253/F253,"")</x:f>
        <x:v>0.020241073459176712</x:v>
      </x:c>
      <x:c r="R253" s="10" t="n">
        <x:f>G253+H253</x:f>
        <x:v>3399</x:v>
      </x:c>
      <x:c r="S253" s="11" t="n">
        <x:f>IFERROR(R253/F253,"")</x:f>
        <x:v>0.7730270639072094</x:v>
      </x:c>
      <x:c r="T253" s="11" t="n">
        <x:f>IFERROR(R253/P253,"")</x:f>
        <x:v>0.7889972144846796</x:v>
      </x:c>
      <x:c r="U253" s="10" t="n">
        <x:f>I253+J253+K253</x:f>
        <x:v>890</x:v>
      </x:c>
      <x:c r="V253" s="11" t="n">
        <x:f>IFERROR(U253/P253,"")</x:f>
        <x:v>0.20659238625812443</x:v>
      </x:c>
      <x:c r="W253" s="9" t="str">
        <x:v>mature_le_5pct_pending</x:v>
      </x:c>
      <x:c r="X253" s="12" t="n">
        <x:f>IFERROR(F253/Z253*100000,"")</x:f>
        <x:v>41.151531600670104</x:v>
      </x:c>
      <x:c r="Y253" s="13" t="n">
        <x:f>LN(Z253)</x:f>
        <x:v>16.184342087777225</x:v>
      </x:c>
      <x:c r="Z253" s="6" t="str">
        <x:v>10684900</x:v>
      </x:c>
      <x:c r="AA253" s="6" t="str">
        <x:v>16165.0</x:v>
      </x:c>
      <x:c r="AB253" s="9" t="str">
        <x:v>2024-06-30</x:v>
      </x:c>
      <x:c r="AC253" s="8" t="str">
        <x:v>94.0</x:v>
      </x:c>
      <x:c r="AD253" s="9" t="str">
        <x:v>2024 (Susenas)</x:v>
      </x:c>
      <x:c r="AE253" s="8" t="str">
        <x:v>4.3</x:v>
      </x:c>
      <x:c r="AF253" s="9" t="str">
        <x:v>Maret 2024 (Susenas)</x:v>
      </x:c>
      <x:c r="AG253" s="6" t="str">
        <x:v>27.65</x:v>
      </x:c>
      <x:c r="AH253" s="8" t="str">
        <x:v>84.49</x:v>
      </x:c>
      <x:c r="AI253" s="6" t="str">
        <x:v>339.45</x:v>
      </x:c>
      <x:c r="AJ253" s="6" t="str">
        <x:v>0.4063333333333325</x:v>
      </x:c>
      <x:c r="AK253" s="8" t="str">
        <x:v>0.8973876231186011</x:v>
      </x:c>
      <x:c r="AL253" s="6" t="str">
        <x:v>1.248377221884501</x:v>
      </x:c>
      <x:c r="AM253" s="6" t="str">
        <x:v>1.902859881758215</x:v>
      </x:c>
      <x:c r="AN253" s="6" t="str">
        <x:v>1.3495415755871054</x:v>
      </x:c>
      <x:c r="AO253" s="6" t="str">
        <x:v>1.872</x:v>
      </x:c>
      <x:c r="AP253" s="8" t="str">
        <x:v>0.8535007700464448</x:v>
      </x:c>
      <x:c r="AQ253" s="6" t="str">
        <x:v>0.0372332474005513</x:v>
      </x:c>
      <x:c r="AR253" s="6" t="str">
        <x:v>0.1356888546486224</x:v>
      </x:c>
      <x:c r="AS253" s="6" t="str">
        <x:v>0.3421409573652065</x:v>
      </x:c>
      <x:c r="AT253" s="6" t="str">
        <x:v>107.83866666666664</x:v>
      </x:c>
      <x:c r="AU253" s="8" t="str">
        <x:v>1.2369999688028714</x:v>
      </x:c>
      <x:c r="AV253" s="6" t="str">
        <x:v>0.4517894648820658</x:v>
      </x:c>
      <x:c r="AW253" s="6" t="str">
        <x:v>-0.2421129188072178</x:v>
      </x:c>
      <x:c r="AX253" s="6" t="str">
        <x:v>0.4822255049592395</x:v>
      </x:c>
      <x:c r="AY253" s="6" t="str">
        <x:v>1</x:v>
      </x:c>
      <x:c r="AZ253" s="6" t="str">
        <x:v>0</x:v>
      </x:c>
      <x:c r="BA253" s="9" t="str">
        <x:v>nearest_POWER_grid_to_BIG_representative_point</x:v>
      </x:c>
      <x:c r="BB253" s="6" t="str">
        <x:v>1</x:v>
      </x:c>
      <x:c r="BC253" s="6" t="str">
        <x:v>0</x:v>
      </x:c>
      <x:c r="BD253" s="6" t="str">
        <x:v>0</x:v>
      </x:c>
      <x:c r="BE253" s="6" t="str">
        <x:v>0</x:v>
      </x:c>
      <x:c r="BF253" s="6" t="str">
        <x:v>0</x:v>
      </x:c>
      <x:c r="BG253" s="6" t="str">
        <x:v>0</x:v>
      </x:c>
      <x:c r="BH253" s="6" t="str">
        <x:v>0</x:v>
      </x:c>
      <x:c r="BI253" s="6" t="str">
        <x:v>0</x:v>
      </x:c>
      <x:c r="BJ253" s="6" t="str">
        <x:v>0</x:v>
      </x:c>
      <x:c r="BK253" s="6" t="str">
        <x:v>0</x:v>
      </x:c>
      <x:c r="BL253" s="6" t="str">
        <x:v>0</x:v>
      </x:c>
      <x:c r="BM253" s="6" t="str">
        <x:v>0</x:v>
      </x:c>
      <x:c r="BN253" s="6" t="str">
        <x:v>0</x:v>
      </x:c>
      <x:c r="BO253" s="6" t="str"/>
      <x:c r="BP253" s="6" t="str">
        <x:v>0</x:v>
      </x:c>
      <x:c r="BQ253" s="6" t="str"/>
      <x:c r="BR253" s="6" t="str">
        <x:v>0</x:v>
      </x:c>
      <x:c r="BS253" s="6" t="str"/>
      <x:c r="BT253" s="6" t="str">
        <x:v>0</x:v>
      </x:c>
      <x:c r="BU253" s="6" t="str"/>
      <x:c r="BV253" s="6" t="str">
        <x:v>0</x:v>
      </x:c>
      <x:c r="BW253" s="9" t="str">
        <x:v>operational_snapshot_annual_totals_may_differ</x:v>
      </x:c>
      <x:c r="BX253" s="9" t="str">
        <x:v>official_live_dashboard_snapshot_subject_to_revision</x:v>
      </x:c>
      <x:c r="BY253" s="9" t="str">
        <x:v>https://tbdashboard.sitb.id/ss_data_tbc03so_2024_provinsi_bulanan_list.php</x:v>
      </x:c>
      <x:c r="BZ253" s="6" t="n">
        <x:v>46246.610671296294</x:v>
      </x:c>
    </x:row>
    <x:row r="254" ht="18" customHeight="1">
      <x:c r="A254" s="6" t="str">
        <x:v>31</x:v>
      </x:c>
      <x:c r="B254" s="6" t="str">
        <x:v>DKI JAKARTA</x:v>
      </x:c>
      <x:c r="C254" s="6" t="str">
        <x:v>2025</x:v>
      </x:c>
      <x:c r="D254" s="6" t="str">
        <x:v>1</x:v>
      </x:c>
      <x:c r="E254" s="6" t="str">
        <x:v>2025-01</x:v>
      </x:c>
      <x:c r="F254" s="6" t="str">
        <x:v>5021</x:v>
      </x:c>
      <x:c r="G254" s="6" t="str">
        <x:v>882</x:v>
      </x:c>
      <x:c r="H254" s="6" t="str">
        <x:v>2910</x:v>
      </x:c>
      <x:c r="I254" s="6" t="str">
        <x:v>702</x:v>
      </x:c>
      <x:c r="J254" s="6" t="str">
        <x:v>209</x:v>
      </x:c>
      <x:c r="K254" s="6" t="str">
        <x:v>19</x:v>
      </x:c>
      <x:c r="L254" s="6" t="str">
        <x:v>29</x:v>
      </x:c>
      <x:c r="M254" s="6" t="str">
        <x:v>270</x:v>
      </x:c>
      <x:c r="N254" s="6" t="str">
        <x:v>5021</x:v>
      </x:c>
      <x:c r="O254" s="6" t="str">
        <x:v>0</x:v>
      </x:c>
      <x:c r="P254" s="10" t="n">
        <x:f>F254-M254</x:f>
        <x:v>4751</x:v>
      </x:c>
      <x:c r="Q254" s="11" t="n">
        <x:f>IFERROR(M254/F254,"")</x:f>
        <x:v>0.05377414857598088</x:v>
      </x:c>
      <x:c r="R254" s="10" t="n">
        <x:f>G254+H254</x:f>
        <x:v>3792</x:v>
      </x:c>
      <x:c r="S254" s="11" t="n">
        <x:f>IFERROR(R254/F254,"")</x:f>
        <x:v>0.7552280422226648</x:v>
      </x:c>
      <x:c r="T254" s="11" t="n">
        <x:f>IFERROR(R254/P254,"")</x:f>
        <x:v>0.7981477583666596</x:v>
      </x:c>
      <x:c r="U254" s="10" t="n">
        <x:f>I254+J254+K254</x:f>
        <x:v>930</x:v>
      </x:c>
      <x:c r="V254" s="11" t="n">
        <x:f>IFERROR(U254/P254,"")</x:f>
        <x:v>0.19574826352346875</x:v>
      </x:c>
      <x:c r="W254" s="9" t="str">
        <x:v>provisional_gt_5pct_pending</x:v>
      </x:c>
      <x:c r="X254" s="12" t="n">
        <x:f>IFERROR(F254/Z254*100000,"")</x:f>
        <x:v>47.02191421614535</x:v>
      </x:c>
      <x:c r="Y254" s="13" t="n">
        <x:f>LN(Z254)</x:f>
        <x:v>16.18369610804227</x:v>
      </x:c>
      <x:c r="Z254" s="6" t="str">
        <x:v>10678000</x:v>
      </x:c>
      <x:c r="AA254" s="6" t="str">
        <x:v>16155.0</x:v>
      </x:c>
      <x:c r="AB254" s="9" t="str">
        <x:v>2025-06-30</x:v>
      </x:c>
      <x:c r="AC254" s="8" t="str">
        <x:v>93.98</x:v>
      </x:c>
      <x:c r="AD254" s="9" t="str">
        <x:v>2025 (Susenas)</x:v>
      </x:c>
      <x:c r="AE254" s="8" t="str">
        <x:v>808.26</x:v>
      </x:c>
      <x:c r="AF254" s="9" t="str">
        <x:v>Maret 2025 (Susenas)</x:v>
      </x:c>
      <x:c r="AG254" s="6" t="str">
        <x:v>27.08</x:v>
      </x:c>
      <x:c r="AH254" s="8" t="str">
        <x:v>86.4</x:v>
      </x:c>
      <x:c r="AI254" s="6" t="str">
        <x:v>553.66</x:v>
      </x:c>
      <x:c r="AJ254" s="6" t="str">
        <x:v>0.3089999999999975</x:v>
      </x:c>
      <x:c r="AK254" s="8" t="str">
        <x:v>0.5091884708845075</x:v>
      </x:c>
      <x:c r="AL254" s="6" t="str">
        <x:v>0.8973876231186011</x:v>
      </x:c>
      <x:c r="AM254" s="6" t="str">
        <x:v>1.248377221884501</x:v>
      </x:c>
      <x:c r="AN254" s="6" t="str">
        <x:v>0.884984438629203</x:v>
      </x:c>
      <x:c r="AO254" s="6" t="str">
        <x:v>1.3193333333333328</x:v>
      </x:c>
      <x:c r="AP254" s="8" t="str">
        <x:v>0.4946087954873588</x:v>
      </x:c>
      <x:c r="AQ254" s="6" t="str">
        <x:v>0.8535007700464448</x:v>
      </x:c>
      <x:c r="AR254" s="6" t="str">
        <x:v>0.0372332474005513</x:v>
      </x:c>
      <x:c r="AS254" s="6" t="str">
        <x:v>0.4617809376447852</x:v>
      </x:c>
      <x:c r="AT254" s="6" t="str">
        <x:v>212.009</x:v>
      </x:c>
      <x:c r="AU254" s="8" t="str">
        <x:v>1.5046906053622515</x:v>
      </x:c>
      <x:c r="AV254" s="6" t="str">
        <x:v>1.2369999688028714</x:v>
      </x:c>
      <x:c r="AW254" s="6" t="str">
        <x:v>0.4517894648820658</x:v>
      </x:c>
      <x:c r="AX254" s="6" t="str">
        <x:v>1.064493346349063</x:v>
      </x:c>
      <x:c r="AY254" s="6" t="str">
        <x:v>1</x:v>
      </x:c>
      <x:c r="AZ254" s="6" t="str">
        <x:v>0</x:v>
      </x:c>
      <x:c r="BA254" s="9" t="str">
        <x:v>nearest_POWER_grid_to_BIG_representative_point</x:v>
      </x:c>
      <x:c r="BB254" s="6" t="str">
        <x:v>1</x:v>
      </x:c>
      <x:c r="BC254" s="6" t="str">
        <x:v>4</x:v>
      </x:c>
      <x:c r="BD254" s="6" t="str">
        <x:v>4</x:v>
      </x:c>
      <x:c r="BE254" s="6" t="str">
        <x:v>4</x:v>
      </x:c>
      <x:c r="BF254" s="6" t="str">
        <x:v>0</x:v>
      </x:c>
      <x:c r="BG254" s="6" t="str">
        <x:v>0</x:v>
      </x:c>
      <x:c r="BH254" s="6" t="str">
        <x:v>0</x:v>
      </x:c>
      <x:c r="BI254" s="6" t="str">
        <x:v>0</x:v>
      </x:c>
      <x:c r="BJ254" s="6" t="str">
        <x:v>0</x:v>
      </x:c>
      <x:c r="BK254" s="6" t="str">
        <x:v>0</x:v>
      </x:c>
      <x:c r="BL254" s="6" t="str">
        <x:v>0</x:v>
      </x:c>
      <x:c r="BM254" s="6" t="str">
        <x:v>0</x:v>
      </x:c>
      <x:c r="BN254" s="6" t="str">
        <x:v>4</x:v>
      </x:c>
      <x:c r="BO254" s="6" t="str">
        <x:v>0.0</x:v>
      </x:c>
      <x:c r="BP254" s="6" t="str">
        <x:v>4</x:v>
      </x:c>
      <x:c r="BQ254" s="6" t="str">
        <x:v>0.0</x:v>
      </x:c>
      <x:c r="BR254" s="6" t="str">
        <x:v>4</x:v>
      </x:c>
      <x:c r="BS254" s="6" t="str">
        <x:v>0.0</x:v>
      </x:c>
      <x:c r="BT254" s="6" t="str">
        <x:v>4</x:v>
      </x:c>
      <x:c r="BU254" s="6" t="str">
        <x:v>700.0</x:v>
      </x:c>
      <x:c r="BV254" s="6" t="str">
        <x:v>1</x:v>
      </x:c>
      <x:c r="BW254" s="9" t="str">
        <x:v>operational_snapshot_annual_totals_may_differ</x:v>
      </x:c>
      <x:c r="BX254" s="9" t="str">
        <x:v>official_live_dashboard_snapshot_subject_to_revision</x:v>
      </x:c>
      <x:c r="BY254" s="9" t="str">
        <x:v>https://tbdashboard.sitb.id/ss_data_tbc03so_2025_provinsi_bulanan_list.php</x:v>
      </x:c>
      <x:c r="BZ254" s="6" t="n">
        <x:v>46246.610671296294</x:v>
      </x:c>
    </x:row>
    <x:row r="255" ht="18" customHeight="1">
      <x:c r="A255" s="6" t="str">
        <x:v>31</x:v>
      </x:c>
      <x:c r="B255" s="6" t="str">
        <x:v>DKI JAKARTA</x:v>
      </x:c>
      <x:c r="C255" s="6" t="str">
        <x:v>2025</x:v>
      </x:c>
      <x:c r="D255" s="6" t="str">
        <x:v>2</x:v>
      </x:c>
      <x:c r="E255" s="6" t="str">
        <x:v>2025-02</x:v>
      </x:c>
      <x:c r="F255" s="6" t="str">
        <x:v>4892</x:v>
      </x:c>
      <x:c r="G255" s="6" t="str">
        <x:v>926</x:v>
      </x:c>
      <x:c r="H255" s="6" t="str">
        <x:v>2762</x:v>
      </x:c>
      <x:c r="I255" s="6" t="str">
        <x:v>701</x:v>
      </x:c>
      <x:c r="J255" s="6" t="str">
        <x:v>165</x:v>
      </x:c>
      <x:c r="K255" s="6" t="str">
        <x:v>15</x:v>
      </x:c>
      <x:c r="L255" s="6" t="str">
        <x:v>18</x:v>
      </x:c>
      <x:c r="M255" s="6" t="str">
        <x:v>305</x:v>
      </x:c>
      <x:c r="N255" s="6" t="str">
        <x:v>4892</x:v>
      </x:c>
      <x:c r="O255" s="6" t="str">
        <x:v>0</x:v>
      </x:c>
      <x:c r="P255" s="10" t="n">
        <x:f>F255-M255</x:f>
        <x:v>4587</x:v>
      </x:c>
      <x:c r="Q255" s="11" t="n">
        <x:f>IFERROR(M255/F255,"")</x:f>
        <x:v>0.062346688470973015</x:v>
      </x:c>
      <x:c r="R255" s="10" t="n">
        <x:f>G255+H255</x:f>
        <x:v>3688</x:v>
      </x:c>
      <x:c r="S255" s="11" t="n">
        <x:f>IFERROR(R255/F255,"")</x:f>
        <x:v>0.7538838920686836</x:v>
      </x:c>
      <x:c r="T255" s="11" t="n">
        <x:f>IFERROR(R255/P255,"")</x:f>
        <x:v>0.8040113363854371</x:v>
      </x:c>
      <x:c r="U255" s="10" t="n">
        <x:f>I255+J255+K255</x:f>
        <x:v>881</x:v>
      </x:c>
      <x:c r="V255" s="11" t="n">
        <x:f>IFERROR(U255/P255,"")</x:f>
        <x:v>0.19206453019402658</x:v>
      </x:c>
      <x:c r="W255" s="9" t="str">
        <x:v>provisional_gt_5pct_pending</x:v>
      </x:c>
      <x:c r="X255" s="12" t="n">
        <x:f>IFERROR(F255/Z255*100000,"")</x:f>
        <x:v>45.81382281326091</x:v>
      </x:c>
      <x:c r="Y255" s="13" t="n">
        <x:f>LN(Z255)</x:f>
        <x:v>16.18369610804227</x:v>
      </x:c>
      <x:c r="Z255" s="6" t="str">
        <x:v>10678000</x:v>
      </x:c>
      <x:c r="AA255" s="6" t="str">
        <x:v>16155.0</x:v>
      </x:c>
      <x:c r="AB255" s="9" t="str">
        <x:v>2025-06-30</x:v>
      </x:c>
      <x:c r="AC255" s="8" t="str">
        <x:v>93.98</x:v>
      </x:c>
      <x:c r="AD255" s="9" t="str">
        <x:v>2025 (Susenas)</x:v>
      </x:c>
      <x:c r="AE255" s="8" t="str">
        <x:v>808.26</x:v>
      </x:c>
      <x:c r="AF255" s="9" t="str">
        <x:v>Maret 2025 (Susenas)</x:v>
      </x:c>
      <x:c r="AG255" s="6" t="str">
        <x:v>27.05</x:v>
      </x:c>
      <x:c r="AH255" s="8" t="str">
        <x:v>86.01</x:v>
      </x:c>
      <x:c r="AI255" s="6" t="str">
        <x:v>292.32</x:v>
      </x:c>
      <x:c r="AJ255" s="6" t="str">
        <x:v>0.4046666666666674</x:v>
      </x:c>
      <x:c r="AK255" s="8" t="str">
        <x:v>0.7980667366740735</x:v>
      </x:c>
      <x:c r="AL255" s="6" t="str">
        <x:v>0.5091884708845075</x:v>
      </x:c>
      <x:c r="AM255" s="6" t="str">
        <x:v>0.8973876231186011</x:v>
      </x:c>
      <x:c r="AN255" s="6" t="str">
        <x:v>0.7348809435590603</x:v>
      </x:c>
      <x:c r="AO255" s="6" t="str">
        <x:v>-0.2680000000000007</x:v>
      </x:c>
      <x:c r="AP255" s="8" t="str">
        <x:v>-0.164848659219387</x:v>
      </x:c>
      <x:c r="AQ255" s="6" t="str">
        <x:v>0.4946087954873588</x:v>
      </x:c>
      <x:c r="AR255" s="6" t="str">
        <x:v>0.8535007700464448</x:v>
      </x:c>
      <x:c r="AS255" s="6" t="str">
        <x:v>0.3944203021048058</x:v>
      </x:c>
      <x:c r="AT255" s="6" t="str">
        <x:v>-48.55633333333338</x:v>
      </x:c>
      <x:c r="AU255" s="8" t="str">
        <x:v>-0.3741602323924193</x:v>
      </x:c>
      <x:c r="AV255" s="6" t="str">
        <x:v>1.5046906053622515</x:v>
      </x:c>
      <x:c r="AW255" s="6" t="str">
        <x:v>1.2369999688028714</x:v>
      </x:c>
      <x:c r="AX255" s="6" t="str">
        <x:v>0.7891767805909008</x:v>
      </x:c>
      <x:c r="AY255" s="6" t="str">
        <x:v>0</x:v>
      </x:c>
      <x:c r="AZ255" s="6" t="str">
        <x:v>0</x:v>
      </x:c>
      <x:c r="BA255" s="9" t="str">
        <x:v>nearest_POWER_grid_to_BIG_representative_point</x:v>
      </x:c>
      <x:c r="BB255" s="6" t="str">
        <x:v>1</x:v>
      </x:c>
      <x:c r="BC255" s="6" t="str">
        <x:v>2</x:v>
      </x:c>
      <x:c r="BD255" s="6" t="str">
        <x:v>2</x:v>
      </x:c>
      <x:c r="BE255" s="6" t="str">
        <x:v>2</x:v>
      </x:c>
      <x:c r="BF255" s="6" t="str">
        <x:v>0</x:v>
      </x:c>
      <x:c r="BG255" s="6" t="str">
        <x:v>0</x:v>
      </x:c>
      <x:c r="BH255" s="6" t="str">
        <x:v>0</x:v>
      </x:c>
      <x:c r="BI255" s="6" t="str">
        <x:v>0</x:v>
      </x:c>
      <x:c r="BJ255" s="6" t="str">
        <x:v>0</x:v>
      </x:c>
      <x:c r="BK255" s="6" t="str">
        <x:v>0</x:v>
      </x:c>
      <x:c r="BL255" s="6" t="str">
        <x:v>0</x:v>
      </x:c>
      <x:c r="BM255" s="6" t="str">
        <x:v>0</x:v>
      </x:c>
      <x:c r="BN255" s="6" t="str">
        <x:v>2</x:v>
      </x:c>
      <x:c r="BO255" s="6" t="str">
        <x:v>0.0</x:v>
      </x:c>
      <x:c r="BP255" s="6" t="str">
        <x:v>2</x:v>
      </x:c>
      <x:c r="BQ255" s="6" t="str">
        <x:v>0.0</x:v>
      </x:c>
      <x:c r="BR255" s="6" t="str">
        <x:v>2</x:v>
      </x:c>
      <x:c r="BS255" s="6" t="str">
        <x:v>0.0</x:v>
      </x:c>
      <x:c r="BT255" s="6" t="str">
        <x:v>2</x:v>
      </x:c>
      <x:c r="BU255" s="6" t="str">
        <x:v>86.0</x:v>
      </x:c>
      <x:c r="BV255" s="6" t="str">
        <x:v>1</x:v>
      </x:c>
      <x:c r="BW255" s="9" t="str">
        <x:v>operational_snapshot_annual_totals_may_differ</x:v>
      </x:c>
      <x:c r="BX255" s="9" t="str">
        <x:v>official_live_dashboard_snapshot_subject_to_revision</x:v>
      </x:c>
      <x:c r="BY255" s="9" t="str">
        <x:v>https://tbdashboard.sitb.id/ss_data_tbc03so_2025_provinsi_bulanan_list.php</x:v>
      </x:c>
      <x:c r="BZ255" s="6" t="n">
        <x:v>46246.610671296294</x:v>
      </x:c>
    </x:row>
    <x:row r="256" ht="18" customHeight="1">
      <x:c r="A256" s="6" t="str">
        <x:v>31</x:v>
      </x:c>
      <x:c r="B256" s="6" t="str">
        <x:v>DKI JAKARTA</x:v>
      </x:c>
      <x:c r="C256" s="6" t="str">
        <x:v>2025</x:v>
      </x:c>
      <x:c r="D256" s="6" t="str">
        <x:v>3</x:v>
      </x:c>
      <x:c r="E256" s="6" t="str">
        <x:v>2025-03</x:v>
      </x:c>
      <x:c r="F256" s="6" t="str">
        <x:v>4777</x:v>
      </x:c>
      <x:c r="G256" s="6" t="str">
        <x:v>768</x:v>
      </x:c>
      <x:c r="H256" s="6" t="str">
        <x:v>2801</x:v>
      </x:c>
      <x:c r="I256" s="6" t="str">
        <x:v>696</x:v>
      </x:c>
      <x:c r="J256" s="6" t="str">
        <x:v>208</x:v>
      </x:c>
      <x:c r="K256" s="6" t="str">
        <x:v>22</x:v>
      </x:c>
      <x:c r="L256" s="6" t="str">
        <x:v>10</x:v>
      </x:c>
      <x:c r="M256" s="6" t="str">
        <x:v>272</x:v>
      </x:c>
      <x:c r="N256" s="6" t="str">
        <x:v>4777</x:v>
      </x:c>
      <x:c r="O256" s="6" t="str">
        <x:v>0</x:v>
      </x:c>
      <x:c r="P256" s="10" t="n">
        <x:f>F256-M256</x:f>
        <x:v>4505</x:v>
      </x:c>
      <x:c r="Q256" s="11" t="n">
        <x:f>IFERROR(M256/F256,"")</x:f>
        <x:v>0.05693950177935943</x:v>
      </x:c>
      <x:c r="R256" s="10" t="n">
        <x:f>G256+H256</x:f>
        <x:v>3569</x:v>
      </x:c>
      <x:c r="S256" s="11" t="n">
        <x:f>IFERROR(R256/F256,"")</x:f>
        <x:v>0.7471216244504919</x:v>
      </x:c>
      <x:c r="T256" s="11" t="n">
        <x:f>IFERROR(R256/P256,"")</x:f>
        <x:v>0.7922308546059933</x:v>
      </x:c>
      <x:c r="U256" s="10" t="n">
        <x:f>I256+J256+K256</x:f>
        <x:v>926</x:v>
      </x:c>
      <x:c r="V256" s="11" t="n">
        <x:f>IFERROR(U256/P256,"")</x:f>
        <x:v>0.2055493895671476</x:v>
      </x:c>
      <x:c r="W256" s="9" t="str">
        <x:v>provisional_gt_5pct_pending</x:v>
      </x:c>
      <x:c r="X256" s="12" t="n">
        <x:f>IFERROR(F256/Z256*100000,"")</x:f>
        <x:v>44.73684210526316</x:v>
      </x:c>
      <x:c r="Y256" s="13" t="n">
        <x:f>LN(Z256)</x:f>
        <x:v>16.18369610804227</x:v>
      </x:c>
      <x:c r="Z256" s="6" t="str">
        <x:v>10678000</x:v>
      </x:c>
      <x:c r="AA256" s="6" t="str">
        <x:v>16155.0</x:v>
      </x:c>
      <x:c r="AB256" s="9" t="str">
        <x:v>2025-06-30</x:v>
      </x:c>
      <x:c r="AC256" s="8" t="str">
        <x:v>93.98</x:v>
      </x:c>
      <x:c r="AD256" s="9" t="str">
        <x:v>2025 (Susenas)</x:v>
      </x:c>
      <x:c r="AE256" s="8" t="str">
        <x:v>808.26</x:v>
      </x:c>
      <x:c r="AF256" s="9" t="str">
        <x:v>Maret 2025 (Susenas)</x:v>
      </x:c>
      <x:c r="AG256" s="6" t="str">
        <x:v>27.55</x:v>
      </x:c>
      <x:c r="AH256" s="8" t="str">
        <x:v>85.25</x:v>
      </x:c>
      <x:c r="AI256" s="6" t="str">
        <x:v>211.42</x:v>
      </x:c>
      <x:c r="AJ256" s="6" t="str">
        <x:v>0.429666666666666</x:v>
      </x:c>
      <x:c r="AK256" s="8" t="str">
        <x:v>1.066143715841493</x:v>
      </x:c>
      <x:c r="AL256" s="6" t="str">
        <x:v>0.7980667366740735</x:v>
      </x:c>
      <x:c r="AM256" s="6" t="str">
        <x:v>0.5091884708845075</x:v>
      </x:c>
      <x:c r="AN256" s="6" t="str">
        <x:v>0.791132974466691</x:v>
      </x:c>
      <x:c r="AO256" s="6" t="str">
        <x:v>0.578000000000003</x:v>
      </x:c>
      <x:c r="AP256" s="8" t="str">
        <x:v>0.4086355805770975</x:v>
      </x:c>
      <x:c r="AQ256" s="6" t="str">
        <x:v>-0.164848659219387</x:v>
      </x:c>
      <x:c r="AR256" s="6" t="str">
        <x:v>0.4946087954873588</x:v>
      </x:c>
      <x:c r="AS256" s="6" t="str">
        <x:v>0.2461319056150233</x:v>
      </x:c>
      <x:c r="AT256" s="6" t="str">
        <x:v>-21.441666666666663</x:v>
      </x:c>
      <x:c r="AU256" s="8" t="str">
        <x:v>-0.3636285527804015</x:v>
      </x:c>
      <x:c r="AV256" s="6" t="str">
        <x:v>-0.3741602323924193</x:v>
      </x:c>
      <x:c r="AW256" s="6" t="str">
        <x:v>1.5046906053622515</x:v>
      </x:c>
      <x:c r="AX256" s="6" t="str">
        <x:v>0.2556339400631433</x:v>
      </x:c>
      <x:c r="AY256" s="6" t="str">
        <x:v>0</x:v>
      </x:c>
      <x:c r="AZ256" s="6" t="str">
        <x:v>1</x:v>
      </x:c>
      <x:c r="BA256" s="9" t="str">
        <x:v>nearest_POWER_grid_to_BIG_representative_point</x:v>
      </x:c>
      <x:c r="BB256" s="6" t="str">
        <x:v>1</x:v>
      </x:c>
      <x:c r="BC256" s="6" t="str">
        <x:v>7</x:v>
      </x:c>
      <x:c r="BD256" s="6" t="str">
        <x:v>7</x:v>
      </x:c>
      <x:c r="BE256" s="6" t="str">
        <x:v>7</x:v>
      </x:c>
      <x:c r="BF256" s="6" t="str">
        <x:v>0</x:v>
      </x:c>
      <x:c r="BG256" s="6" t="str">
        <x:v>0</x:v>
      </x:c>
      <x:c r="BH256" s="6" t="str">
        <x:v>0</x:v>
      </x:c>
      <x:c r="BI256" s="6" t="str">
        <x:v>0</x:v>
      </x:c>
      <x:c r="BJ256" s="6" t="str">
        <x:v>0</x:v>
      </x:c>
      <x:c r="BK256" s="6" t="str">
        <x:v>0</x:v>
      </x:c>
      <x:c r="BL256" s="6" t="str">
        <x:v>0</x:v>
      </x:c>
      <x:c r="BM256" s="6" t="str">
        <x:v>0</x:v>
      </x:c>
      <x:c r="BN256" s="6" t="str">
        <x:v>7</x:v>
      </x:c>
      <x:c r="BO256" s="6" t="str">
        <x:v>2.0</x:v>
      </x:c>
      <x:c r="BP256" s="6" t="str">
        <x:v>7</x:v>
      </x:c>
      <x:c r="BQ256" s="6" t="str">
        <x:v>0.0</x:v>
      </x:c>
      <x:c r="BR256" s="6" t="str">
        <x:v>7</x:v>
      </x:c>
      <x:c r="BS256" s="6" t="str">
        <x:v>0.0</x:v>
      </x:c>
      <x:c r="BT256" s="6" t="str">
        <x:v>7</x:v>
      </x:c>
      <x:c r="BU256" s="6" t="str">
        <x:v>1601.0</x:v>
      </x:c>
      <x:c r="BV256" s="6" t="str">
        <x:v>2</x:v>
      </x:c>
      <x:c r="BW256" s="9" t="str">
        <x:v>operational_snapshot_annual_totals_may_differ</x:v>
      </x:c>
      <x:c r="BX256" s="9" t="str">
        <x:v>official_live_dashboard_snapshot_subject_to_revision</x:v>
      </x:c>
      <x:c r="BY256" s="9" t="str">
        <x:v>https://tbdashboard.sitb.id/ss_data_tbc03so_2025_provinsi_bulanan_list.php</x:v>
      </x:c>
      <x:c r="BZ256" s="6" t="n">
        <x:v>46246.610671296294</x:v>
      </x:c>
    </x:row>
    <x:row r="257" ht="18" customHeight="1">
      <x:c r="A257" s="6" t="str">
        <x:v>31</x:v>
      </x:c>
      <x:c r="B257" s="6" t="str">
        <x:v>DKI JAKARTA</x:v>
      </x:c>
      <x:c r="C257" s="6" t="str">
        <x:v>2025</x:v>
      </x:c>
      <x:c r="D257" s="6" t="str">
        <x:v>4</x:v>
      </x:c>
      <x:c r="E257" s="6" t="str">
        <x:v>2025-04</x:v>
      </x:c>
      <x:c r="F257" s="6" t="str">
        <x:v>4230</x:v>
      </x:c>
      <x:c r="G257" s="6" t="str">
        <x:v>736</x:v>
      </x:c>
      <x:c r="H257" s="6" t="str">
        <x:v>2388</x:v>
      </x:c>
      <x:c r="I257" s="6" t="str">
        <x:v>573</x:v>
      </x:c>
      <x:c r="J257" s="6" t="str">
        <x:v>182</x:v>
      </x:c>
      <x:c r="K257" s="6" t="str">
        <x:v>25</x:v>
      </x:c>
      <x:c r="L257" s="6" t="str">
        <x:v>12</x:v>
      </x:c>
      <x:c r="M257" s="6" t="str">
        <x:v>314</x:v>
      </x:c>
      <x:c r="N257" s="6" t="str">
        <x:v>4230</x:v>
      </x:c>
      <x:c r="O257" s="6" t="str">
        <x:v>0</x:v>
      </x:c>
      <x:c r="P257" s="10" t="n">
        <x:f>F257-M257</x:f>
        <x:v>3916</x:v>
      </x:c>
      <x:c r="Q257" s="11" t="n">
        <x:f>IFERROR(M257/F257,"")</x:f>
        <x:v>0.07423167848699763</x:v>
      </x:c>
      <x:c r="R257" s="10" t="n">
        <x:f>G257+H257</x:f>
        <x:v>3124</x:v>
      </x:c>
      <x:c r="S257" s="11" t="n">
        <x:f>IFERROR(R257/F257,"")</x:f>
        <x:v>0.7385342789598108</x:v>
      </x:c>
      <x:c r="T257" s="11" t="n">
        <x:f>IFERROR(R257/P257,"")</x:f>
        <x:v>0.797752808988764</x:v>
      </x:c>
      <x:c r="U257" s="10" t="n">
        <x:f>I257+J257+K257</x:f>
        <x:v>780</x:v>
      </x:c>
      <x:c r="V257" s="11" t="n">
        <x:f>IFERROR(U257/P257,"")</x:f>
        <x:v>0.19918283963227784</x:v>
      </x:c>
      <x:c r="W257" s="9" t="str">
        <x:v>provisional_gt_5pct_pending</x:v>
      </x:c>
      <x:c r="X257" s="12" t="n">
        <x:f>IFERROR(F257/Z257*100000,"")</x:f>
        <x:v>39.61415995504776</x:v>
      </x:c>
      <x:c r="Y257" s="13" t="n">
        <x:f>LN(Z257)</x:f>
        <x:v>16.18369610804227</x:v>
      </x:c>
      <x:c r="Z257" s="6" t="str">
        <x:v>10678000</x:v>
      </x:c>
      <x:c r="AA257" s="6" t="str">
        <x:v>16155.0</x:v>
      </x:c>
      <x:c r="AB257" s="9" t="str">
        <x:v>2025-06-30</x:v>
      </x:c>
      <x:c r="AC257" s="8" t="str">
        <x:v>93.98</x:v>
      </x:c>
      <x:c r="AD257" s="9" t="str">
        <x:v>2025 (Susenas)</x:v>
      </x:c>
      <x:c r="AE257" s="8" t="str">
        <x:v>808.26</x:v>
      </x:c>
      <x:c r="AF257" s="9" t="str">
        <x:v>Maret 2025 (Susenas)</x:v>
      </x:c>
      <x:c r="AG257" s="6" t="str">
        <x:v>27.91</x:v>
      </x:c>
      <x:c r="AH257" s="8" t="str">
        <x:v>82.37</x:v>
      </x:c>
      <x:c r="AI257" s="6" t="str">
        <x:v>205.5</x:v>
      </x:c>
      <x:c r="AJ257" s="6" t="str">
        <x:v>0.3976666666666659</x:v>
      </x:c>
      <x:c r="AK257" s="8" t="str">
        <x:v>1.0689430561085238</x:v>
      </x:c>
      <x:c r="AL257" s="6" t="str">
        <x:v>1.066143715841493</x:v>
      </x:c>
      <x:c r="AM257" s="6" t="str">
        <x:v>0.7980667366740735</x:v>
      </x:c>
      <x:c r="AN257" s="6" t="str">
        <x:v>0.9777178362080298</x:v>
      </x:c>
      <x:c r="AO257" s="6" t="str">
        <x:v>-1.386666666666656</x:v>
      </x:c>
      <x:c r="AP257" s="8" t="str">
        <x:v>-1.2700761490398422</x:v>
      </x:c>
      <x:c r="AQ257" s="6" t="str">
        <x:v>0.4086355805770975</x:v>
      </x:c>
      <x:c r="AR257" s="6" t="str">
        <x:v>-0.164848659219387</x:v>
      </x:c>
      <x:c r="AS257" s="6" t="str">
        <x:v>-0.342096409227377</x:v>
      </x:c>
      <x:c r="AT257" s="6" t="str">
        <x:v>12.639999999999986</x:v>
      </x:c>
      <x:c r="AU257" s="8" t="str">
        <x:v>0.2613196889791542</x:v>
      </x:c>
      <x:c r="AV257" s="6" t="str">
        <x:v>-0.3636285527804015</x:v>
      </x:c>
      <x:c r="AW257" s="6" t="str">
        <x:v>-0.3741602323924193</x:v>
      </x:c>
      <x:c r="AX257" s="6" t="str">
        <x:v>-0.1588230320645558</x:v>
      </x:c>
      <x:c r="AY257" s="6" t="str">
        <x:v>0</x:v>
      </x:c>
      <x:c r="AZ257" s="6" t="str">
        <x:v>1</x:v>
      </x:c>
      <x:c r="BA257" s="9" t="str">
        <x:v>nearest_POWER_grid_to_BIG_representative_point</x:v>
      </x:c>
      <x:c r="BB257" s="6" t="str">
        <x:v>1</x:v>
      </x:c>
      <x:c r="BC257" s="6" t="str">
        <x:v>1</x:v>
      </x:c>
      <x:c r="BD257" s="6" t="str">
        <x:v>1</x:v>
      </x:c>
      <x:c r="BE257" s="6" t="str">
        <x:v>1</x:v>
      </x:c>
      <x:c r="BF257" s="6" t="str">
        <x:v>0</x:v>
      </x:c>
      <x:c r="BG257" s="6" t="str">
        <x:v>0</x:v>
      </x:c>
      <x:c r="BH257" s="6" t="str">
        <x:v>0</x:v>
      </x:c>
      <x:c r="BI257" s="6" t="str">
        <x:v>0</x:v>
      </x:c>
      <x:c r="BJ257" s="6" t="str">
        <x:v>0</x:v>
      </x:c>
      <x:c r="BK257" s="6" t="str">
        <x:v>0</x:v>
      </x:c>
      <x:c r="BL257" s="6" t="str">
        <x:v>0</x:v>
      </x:c>
      <x:c r="BM257" s="6" t="str">
        <x:v>0</x:v>
      </x:c>
      <x:c r="BN257" s="6" t="str">
        <x:v>1</x:v>
      </x:c>
      <x:c r="BO257" s="6" t="str">
        <x:v>0.0</x:v>
      </x:c>
      <x:c r="BP257" s="6" t="str">
        <x:v>1</x:v>
      </x:c>
      <x:c r="BQ257" s="6" t="str">
        <x:v>0.0</x:v>
      </x:c>
      <x:c r="BR257" s="6" t="str">
        <x:v>1</x:v>
      </x:c>
      <x:c r="BS257" s="6" t="str">
        <x:v>0.0</x:v>
      </x:c>
      <x:c r="BT257" s="6" t="str">
        <x:v>1</x:v>
      </x:c>
      <x:c r="BU257" s="6" t="str">
        <x:v>44.0</x:v>
      </x:c>
      <x:c r="BV257" s="6" t="str">
        <x:v>1</x:v>
      </x:c>
      <x:c r="BW257" s="9" t="str">
        <x:v>operational_snapshot_annual_totals_may_differ</x:v>
      </x:c>
      <x:c r="BX257" s="9" t="str">
        <x:v>official_live_dashboard_snapshot_subject_to_revision</x:v>
      </x:c>
      <x:c r="BY257" s="9" t="str">
        <x:v>https://tbdashboard.sitb.id/ss_data_tbc03so_2025_provinsi_bulanan_list.php</x:v>
      </x:c>
      <x:c r="BZ257" s="6" t="n">
        <x:v>46246.610671296294</x:v>
      </x:c>
    </x:row>
    <x:row r="258" ht="18" customHeight="1">
      <x:c r="A258" s="6" t="str">
        <x:v>31</x:v>
      </x:c>
      <x:c r="B258" s="6" t="str">
        <x:v>DKI JAKARTA</x:v>
      </x:c>
      <x:c r="C258" s="6" t="str">
        <x:v>2025</x:v>
      </x:c>
      <x:c r="D258" s="6" t="str">
        <x:v>5</x:v>
      </x:c>
      <x:c r="E258" s="6" t="str">
        <x:v>2025-05</x:v>
      </x:c>
      <x:c r="F258" s="6" t="str">
        <x:v>4527</x:v>
      </x:c>
      <x:c r="G258" s="6" t="str">
        <x:v>774</x:v>
      </x:c>
      <x:c r="H258" s="6" t="str">
        <x:v>2556</x:v>
      </x:c>
      <x:c r="I258" s="6" t="str">
        <x:v>608</x:v>
      </x:c>
      <x:c r="J258" s="6" t="str">
        <x:v>225</x:v>
      </x:c>
      <x:c r="K258" s="6" t="str">
        <x:v>21</x:v>
      </x:c>
      <x:c r="L258" s="6" t="str">
        <x:v>9</x:v>
      </x:c>
      <x:c r="M258" s="6" t="str">
        <x:v>334</x:v>
      </x:c>
      <x:c r="N258" s="6" t="str">
        <x:v>4527</x:v>
      </x:c>
      <x:c r="O258" s="6" t="str">
        <x:v>0</x:v>
      </x:c>
      <x:c r="P258" s="10" t="n">
        <x:f>F258-M258</x:f>
        <x:v>4193</x:v>
      </x:c>
      <x:c r="Q258" s="11" t="n">
        <x:f>IFERROR(M258/F258,"")</x:f>
        <x:v>0.07377954495250717</x:v>
      </x:c>
      <x:c r="R258" s="10" t="n">
        <x:f>G258+H258</x:f>
        <x:v>3330</x:v>
      </x:c>
      <x:c r="S258" s="11" t="n">
        <x:f>IFERROR(R258/F258,"")</x:f>
        <x:v>0.73558648111332</x:v>
      </x:c>
      <x:c r="T258" s="11" t="n">
        <x:f>IFERROR(R258/P258,"")</x:f>
        <x:v>0.7941807774862867</x:v>
      </x:c>
      <x:c r="U258" s="10" t="n">
        <x:f>I258+J258+K258</x:f>
        <x:v>854</x:v>
      </x:c>
      <x:c r="V258" s="11" t="n">
        <x:f>IFERROR(U258/P258,"")</x:f>
        <x:v>0.2036727879799666</x:v>
      </x:c>
      <x:c r="W258" s="9" t="str">
        <x:v>provisional_gt_5pct_pending</x:v>
      </x:c>
      <x:c r="X258" s="12" t="n">
        <x:f>IFERROR(F258/Z258*100000,"")</x:f>
        <x:v>42.39557969657239</x:v>
      </x:c>
      <x:c r="Y258" s="13" t="n">
        <x:f>LN(Z258)</x:f>
        <x:v>16.18369610804227</x:v>
      </x:c>
      <x:c r="Z258" s="6" t="str">
        <x:v>10678000</x:v>
      </x:c>
      <x:c r="AA258" s="6" t="str">
        <x:v>16155.0</x:v>
      </x:c>
      <x:c r="AB258" s="9" t="str">
        <x:v>2025-06-30</x:v>
      </x:c>
      <x:c r="AC258" s="8" t="str">
        <x:v>93.98</x:v>
      </x:c>
      <x:c r="AD258" s="9" t="str">
        <x:v>2025 (Susenas)</x:v>
      </x:c>
      <x:c r="AE258" s="8" t="str">
        <x:v>808.26</x:v>
      </x:c>
      <x:c r="AF258" s="9" t="str">
        <x:v>Maret 2025 (Susenas)</x:v>
      </x:c>
      <x:c r="AG258" s="6" t="str">
        <x:v>28.47</x:v>
      </x:c>
      <x:c r="AH258" s="8" t="str">
        <x:v>81.64</x:v>
      </x:c>
      <x:c r="AI258" s="6" t="str">
        <x:v>246.76</x:v>
      </x:c>
      <x:c r="AJ258" s="6" t="str">
        <x:v>0.8123333333333314</x:v>
      </x:c>
      <x:c r="AK258" s="8" t="str">
        <x:v>2.1715505279005565</x:v>
      </x:c>
      <x:c r="AL258" s="6" t="str">
        <x:v>1.0689430561085238</x:v>
      </x:c>
      <x:c r="AM258" s="6" t="str">
        <x:v>1.066143715841493</x:v>
      </x:c>
      <x:c r="AN258" s="6" t="str">
        <x:v>1.4355457666168574</x:v>
      </x:c>
      <x:c r="AO258" s="6" t="str">
        <x:v>-1.0916666666666544</x:v>
      </x:c>
      <x:c r="AP258" s="8" t="str">
        <x:v>-0.8672802255806338</x:v>
      </x:c>
      <x:c r="AQ258" s="6" t="str">
        <x:v>-1.2700761490398422</x:v>
      </x:c>
      <x:c r="AR258" s="6" t="str">
        <x:v>0.4086355805770975</x:v>
      </x:c>
      <x:c r="AS258" s="6" t="str">
        <x:v>-0.5762402646811259</x:v>
      </x:c>
      <x:c r="AT258" s="6" t="str">
        <x:v>106.981</x:v>
      </x:c>
      <x:c r="AU258" s="8" t="str">
        <x:v>2.359753443541486</x:v>
      </x:c>
      <x:c r="AV258" s="6" t="str">
        <x:v>0.2613196889791542</x:v>
      </x:c>
      <x:c r="AW258" s="6" t="str">
        <x:v>-0.3636285527804015</x:v>
      </x:c>
      <x:c r="AX258" s="6" t="str">
        <x:v>0.7524815265800795</x:v>
      </x:c>
      <x:c r="AY258" s="6" t="str">
        <x:v>1</x:v>
      </x:c>
      <x:c r="AZ258" s="6" t="str">
        <x:v>1</x:v>
      </x:c>
      <x:c r="BA258" s="9" t="str">
        <x:v>nearest_POWER_grid_to_BIG_representative_point</x:v>
      </x:c>
      <x:c r="BB258" s="6" t="str">
        <x:v>1</x:v>
      </x:c>
      <x:c r="BC258" s="6" t="str">
        <x:v>4</x:v>
      </x:c>
      <x:c r="BD258" s="6" t="str">
        <x:v>4</x:v>
      </x:c>
      <x:c r="BE258" s="6" t="str">
        <x:v>3</x:v>
      </x:c>
      <x:c r="BF258" s="6" t="str">
        <x:v>0</x:v>
      </x:c>
      <x:c r="BG258" s="6" t="str">
        <x:v>1</x:v>
      </x:c>
      <x:c r="BH258" s="6" t="str">
        <x:v>0</x:v>
      </x:c>
      <x:c r="BI258" s="6" t="str">
        <x:v>0</x:v>
      </x:c>
      <x:c r="BJ258" s="6" t="str">
        <x:v>0</x:v>
      </x:c>
      <x:c r="BK258" s="6" t="str">
        <x:v>0</x:v>
      </x:c>
      <x:c r="BL258" s="6" t="str">
        <x:v>0</x:v>
      </x:c>
      <x:c r="BM258" s="6" t="str">
        <x:v>0</x:v>
      </x:c>
      <x:c r="BN258" s="6" t="str">
        <x:v>4</x:v>
      </x:c>
      <x:c r="BO258" s="6" t="str">
        <x:v>0.0</x:v>
      </x:c>
      <x:c r="BP258" s="6" t="str">
        <x:v>4</x:v>
      </x:c>
      <x:c r="BQ258" s="6" t="str">
        <x:v>2.0</x:v>
      </x:c>
      <x:c r="BR258" s="6" t="str">
        <x:v>4</x:v>
      </x:c>
      <x:c r="BS258" s="6" t="str">
        <x:v>20.0</x:v>
      </x:c>
      <x:c r="BT258" s="6" t="str">
        <x:v>4</x:v>
      </x:c>
      <x:c r="BU258" s="6" t="str">
        <x:v>414.0</x:v>
      </x:c>
      <x:c r="BV258" s="6" t="str">
        <x:v>3</x:v>
      </x:c>
      <x:c r="BW258" s="9" t="str">
        <x:v>operational_snapshot_annual_totals_may_differ</x:v>
      </x:c>
      <x:c r="BX258" s="9" t="str">
        <x:v>official_live_dashboard_snapshot_subject_to_revision</x:v>
      </x:c>
      <x:c r="BY258" s="9" t="str">
        <x:v>https://tbdashboard.sitb.id/ss_data_tbc03so_2025_provinsi_bulanan_list.php</x:v>
      </x:c>
      <x:c r="BZ258" s="6" t="n">
        <x:v>46246.610671296294</x:v>
      </x:c>
    </x:row>
    <x:row r="259" ht="18" customHeight="1">
      <x:c r="A259" s="6" t="str">
        <x:v>31</x:v>
      </x:c>
      <x:c r="B259" s="6" t="str">
        <x:v>DKI JAKARTA</x:v>
      </x:c>
      <x:c r="C259" s="6" t="str">
        <x:v>2025</x:v>
      </x:c>
      <x:c r="D259" s="6" t="str">
        <x:v>6</x:v>
      </x:c>
      <x:c r="E259" s="6" t="str">
        <x:v>2025-06</x:v>
      </x:c>
      <x:c r="F259" s="6" t="str">
        <x:v>4228</x:v>
      </x:c>
      <x:c r="G259" s="6" t="str">
        <x:v>686</x:v>
      </x:c>
      <x:c r="H259" s="6" t="str">
        <x:v>2397</x:v>
      </x:c>
      <x:c r="I259" s="6" t="str">
        <x:v>606</x:v>
      </x:c>
      <x:c r="J259" s="6" t="str">
        <x:v>197</x:v>
      </x:c>
      <x:c r="K259" s="6" t="str">
        <x:v>14</x:v>
      </x:c>
      <x:c r="L259" s="6" t="str">
        <x:v>4</x:v>
      </x:c>
      <x:c r="M259" s="6" t="str">
        <x:v>324</x:v>
      </x:c>
      <x:c r="N259" s="6" t="str">
        <x:v>4228</x:v>
      </x:c>
      <x:c r="O259" s="6" t="str">
        <x:v>0</x:v>
      </x:c>
      <x:c r="P259" s="10" t="n">
        <x:f>F259-M259</x:f>
        <x:v>3904</x:v>
      </x:c>
      <x:c r="Q259" s="11" t="n">
        <x:f>IFERROR(M259/F259,"")</x:f>
        <x:v>0.07663197729422895</x:v>
      </x:c>
      <x:c r="R259" s="10" t="n">
        <x:f>G259+H259</x:f>
        <x:v>3083</x:v>
      </x:c>
      <x:c r="S259" s="11" t="n">
        <x:f>IFERROR(R259/F259,"")</x:f>
        <x:v>0.72918637653737</x:v>
      </x:c>
      <x:c r="T259" s="11" t="n">
        <x:f>IFERROR(R259/P259,"")</x:f>
        <x:v>0.789702868852459</x:v>
      </x:c>
      <x:c r="U259" s="10" t="n">
        <x:f>I259+J259+K259</x:f>
        <x:v>817</x:v>
      </x:c>
      <x:c r="V259" s="11" t="n">
        <x:f>IFERROR(U259/P259,"")</x:f>
        <x:v>0.20927254098360656</x:v>
      </x:c>
      <x:c r="W259" s="9" t="str">
        <x:v>provisional_gt_5pct_pending</x:v>
      </x:c>
      <x:c r="X259" s="12" t="n">
        <x:f>IFERROR(F259/Z259*100000,"")</x:f>
        <x:v>39.595429855778235</x:v>
      </x:c>
      <x:c r="Y259" s="13" t="n">
        <x:f>LN(Z259)</x:f>
        <x:v>16.18369610804227</x:v>
      </x:c>
      <x:c r="Z259" s="6" t="str">
        <x:v>10678000</x:v>
      </x:c>
      <x:c r="AA259" s="6" t="str">
        <x:v>16155.0</x:v>
      </x:c>
      <x:c r="AB259" s="9" t="str">
        <x:v>2025-06-30</x:v>
      </x:c>
      <x:c r="AC259" s="8" t="str">
        <x:v>93.98</x:v>
      </x:c>
      <x:c r="AD259" s="9" t="str">
        <x:v>2025 (Susenas)</x:v>
      </x:c>
      <x:c r="AE259" s="8" t="str">
        <x:v>808.26</x:v>
      </x:c>
      <x:c r="AF259" s="9" t="str">
        <x:v>Maret 2025 (Susenas)</x:v>
      </x:c>
      <x:c r="AG259" s="6" t="str">
        <x:v>27.87</x:v>
      </x:c>
      <x:c r="AH259" s="8" t="str">
        <x:v>82.66</x:v>
      </x:c>
      <x:c r="AI259" s="6" t="str">
        <x:v>209.4</x:v>
      </x:c>
      <x:c r="AJ259" s="6" t="str">
        <x:v>0.6580000000000013</x:v>
      </x:c>
      <x:c r="AK259" s="8" t="str">
        <x:v>1.9556186027818212</x:v>
      </x:c>
      <x:c r="AL259" s="6" t="str">
        <x:v>2.1715505279005565</x:v>
      </x:c>
      <x:c r="AM259" s="6" t="str">
        <x:v>1.0689430561085238</x:v>
      </x:c>
      <x:c r="AN259" s="6" t="str">
        <x:v>1.7320373955969668</x:v>
      </x:c>
      <x:c r="AO259" s="6" t="str">
        <x:v>0.8413333333333384</x:v>
      </x:c>
      <x:c r="AP259" s="8" t="str">
        <x:v>0.4797860469378742</x:v>
      </x:c>
      <x:c r="AQ259" s="6" t="str">
        <x:v>-0.8672802255806338</x:v>
      </x:c>
      <x:c r="AR259" s="6" t="str">
        <x:v>-1.2700761490398422</x:v>
      </x:c>
      <x:c r="AS259" s="6" t="str">
        <x:v>-0.5525234425608669</x:v>
      </x:c>
      <x:c r="AT259" s="6" t="str">
        <x:v>118.37</x:v>
      </x:c>
      <x:c r="AU259" s="8" t="str">
        <x:v>2.2422487717543125</x:v>
      </x:c>
      <x:c r="AV259" s="6" t="str">
        <x:v>2.359753443541486</x:v>
      </x:c>
      <x:c r="AW259" s="6" t="str">
        <x:v>0.2613196889791542</x:v>
      </x:c>
      <x:c r="AX259" s="6" t="str">
        <x:v>1.6211073014249842</x:v>
      </x:c>
      <x:c r="AY259" s="6" t="str">
        <x:v>1</x:v>
      </x:c>
      <x:c r="AZ259" s="6" t="str">
        <x:v>1</x:v>
      </x:c>
      <x:c r="BA259" s="9" t="str">
        <x:v>nearest_POWER_grid_to_BIG_representative_point</x:v>
      </x:c>
      <x:c r="BB259" s="6" t="str">
        <x:v>1</x:v>
      </x:c>
      <x:c r="BC259" s="6" t="str">
        <x:v>0</x:v>
      </x:c>
      <x:c r="BD259" s="6" t="str">
        <x:v>0</x:v>
      </x:c>
      <x:c r="BE259" s="6" t="str">
        <x:v>0</x:v>
      </x:c>
      <x:c r="BF259" s="6" t="str">
        <x:v>0</x:v>
      </x:c>
      <x:c r="BG259" s="6" t="str">
        <x:v>0</x:v>
      </x:c>
      <x:c r="BH259" s="6" t="str">
        <x:v>0</x:v>
      </x:c>
      <x:c r="BI259" s="6" t="str">
        <x:v>0</x:v>
      </x:c>
      <x:c r="BJ259" s="6" t="str">
        <x:v>0</x:v>
      </x:c>
      <x:c r="BK259" s="6" t="str">
        <x:v>0</x:v>
      </x:c>
      <x:c r="BL259" s="6" t="str">
        <x:v>0</x:v>
      </x:c>
      <x:c r="BM259" s="6" t="str">
        <x:v>0</x:v>
      </x:c>
      <x:c r="BN259" s="6" t="str">
        <x:v>0</x:v>
      </x:c>
      <x:c r="BO259" s="6" t="str"/>
      <x:c r="BP259" s="6" t="str">
        <x:v>0</x:v>
      </x:c>
      <x:c r="BQ259" s="6" t="str"/>
      <x:c r="BR259" s="6" t="str">
        <x:v>0</x:v>
      </x:c>
      <x:c r="BS259" s="6" t="str"/>
      <x:c r="BT259" s="6" t="str">
        <x:v>0</x:v>
      </x:c>
      <x:c r="BU259" s="6" t="str"/>
      <x:c r="BV259" s="6" t="str">
        <x:v>0</x:v>
      </x:c>
      <x:c r="BW259" s="9" t="str">
        <x:v>operational_snapshot_annual_totals_may_differ</x:v>
      </x:c>
      <x:c r="BX259" s="9" t="str">
        <x:v>official_live_dashboard_snapshot_subject_to_revision</x:v>
      </x:c>
      <x:c r="BY259" s="9" t="str">
        <x:v>https://tbdashboard.sitb.id/ss_data_tbc03so_2025_provinsi_bulanan_list.php</x:v>
      </x:c>
      <x:c r="BZ259" s="6" t="n">
        <x:v>46246.610671296294</x:v>
      </x:c>
    </x:row>
    <x:row r="260" ht="18" customHeight="1">
      <x:c r="A260" s="6" t="str">
        <x:v>31</x:v>
      </x:c>
      <x:c r="B260" s="6" t="str">
        <x:v>DKI JAKARTA</x:v>
      </x:c>
      <x:c r="C260" s="6" t="str">
        <x:v>2025</x:v>
      </x:c>
      <x:c r="D260" s="6" t="str">
        <x:v>7</x:v>
      </x:c>
      <x:c r="E260" s="6" t="str">
        <x:v>2025-07</x:v>
      </x:c>
      <x:c r="F260" s="6" t="str">
        <x:v>5163</x:v>
      </x:c>
      <x:c r="G260" s="6" t="str">
        <x:v>955</x:v>
      </x:c>
      <x:c r="H260" s="6" t="str">
        <x:v>2753</x:v>
      </x:c>
      <x:c r="I260" s="6" t="str">
        <x:v>715</x:v>
      </x:c>
      <x:c r="J260" s="6" t="str">
        <x:v>230</x:v>
      </x:c>
      <x:c r="K260" s="6" t="str">
        <x:v>27</x:v>
      </x:c>
      <x:c r="L260" s="6" t="str">
        <x:v>9</x:v>
      </x:c>
      <x:c r="M260" s="6" t="str">
        <x:v>474</x:v>
      </x:c>
      <x:c r="N260" s="6" t="str">
        <x:v>5163</x:v>
      </x:c>
      <x:c r="O260" s="6" t="str">
        <x:v>0</x:v>
      </x:c>
      <x:c r="P260" s="10" t="n">
        <x:f>F260-M260</x:f>
        <x:v>4689</x:v>
      </x:c>
      <x:c r="Q260" s="11" t="n">
        <x:f>IFERROR(M260/F260,"")</x:f>
        <x:v>0.09180708890180128</x:v>
      </x:c>
      <x:c r="R260" s="10" t="n">
        <x:f>G260+H260</x:f>
        <x:v>3708</x:v>
      </x:c>
      <x:c r="S260" s="11" t="n">
        <x:f>IFERROR(R260/F260,"")</x:f>
        <x:v>0.7181871005229518</x:v>
      </x:c>
      <x:c r="T260" s="11" t="n">
        <x:f>IFERROR(R260/P260,"")</x:f>
        <x:v>0.7907869481765835</x:v>
      </x:c>
      <x:c r="U260" s="10" t="n">
        <x:f>I260+J260+K260</x:f>
        <x:v>972</x:v>
      </x:c>
      <x:c r="V260" s="11" t="n">
        <x:f>IFERROR(U260/P260,"")</x:f>
        <x:v>0.2072936660268714</x:v>
      </x:c>
      <x:c r="W260" s="9" t="str">
        <x:v>provisional_gt_5pct_pending</x:v>
      </x:c>
      <x:c r="X260" s="12" t="n">
        <x:f>IFERROR(F260/Z260*100000,"")</x:f>
        <x:v>48.3517512642817</x:v>
      </x:c>
      <x:c r="Y260" s="13" t="n">
        <x:f>LN(Z260)</x:f>
        <x:v>16.18369610804227</x:v>
      </x:c>
      <x:c r="Z260" s="6" t="str">
        <x:v>10678000</x:v>
      </x:c>
      <x:c r="AA260" s="6" t="str">
        <x:v>16155.0</x:v>
      </x:c>
      <x:c r="AB260" s="9" t="str">
        <x:v>2025-06-30</x:v>
      </x:c>
      <x:c r="AC260" s="8" t="str">
        <x:v>93.98</x:v>
      </x:c>
      <x:c r="AD260" s="9" t="str">
        <x:v>2025 (Susenas)</x:v>
      </x:c>
      <x:c r="AE260" s="8" t="str">
        <x:v>808.26</x:v>
      </x:c>
      <x:c r="AF260" s="9" t="str">
        <x:v>Maret 2025 (Susenas)</x:v>
      </x:c>
      <x:c r="AG260" s="6" t="str">
        <x:v>27.45</x:v>
      </x:c>
      <x:c r="AH260" s="8" t="str">
        <x:v>81.17</x:v>
      </x:c>
      <x:c r="AI260" s="6" t="str">
        <x:v>164.92000000000002</x:v>
      </x:c>
      <x:c r="AJ260" s="6" t="str">
        <x:v>0.7126666666666672</x:v>
      </x:c>
      <x:c r="AK260" s="8" t="str">
        <x:v>1.700421326342722</x:v>
      </x:c>
      <x:c r="AL260" s="6" t="str">
        <x:v>1.9556186027818212</x:v>
      </x:c>
      <x:c r="AM260" s="6" t="str">
        <x:v>2.1715505279005565</x:v>
      </x:c>
      <x:c r="AN260" s="6" t="str">
        <x:v>1.9425301523417</x:v>
      </x:c>
      <x:c r="AO260" s="6" t="str">
        <x:v>0.910333333333341</x:v>
      </x:c>
      <x:c r="AP260" s="8" t="str">
        <x:v>0.3867880132959018</x:v>
      </x:c>
      <x:c r="AQ260" s="6" t="str">
        <x:v>0.4797860469378742</x:v>
      </x:c>
      <x:c r="AR260" s="6" t="str">
        <x:v>-0.8672802255806338</x:v>
      </x:c>
      <x:c r="AS260" s="6" t="str">
        <x:v>-0.0002353884489522</x:v>
      </x:c>
      <x:c r="AT260" s="6" t="str">
        <x:v>86.27300000000002</x:v>
      </x:c>
      <x:c r="AU260" s="8" t="str">
        <x:v>1.1663478885096428</x:v>
      </x:c>
      <x:c r="AV260" s="6" t="str">
        <x:v>2.2422487717543125</x:v>
      </x:c>
      <x:c r="AW260" s="6" t="str">
        <x:v>2.359753443541486</x:v>
      </x:c>
      <x:c r="AX260" s="6" t="str">
        <x:v>1.9227833679351471</x:v>
      </x:c>
      <x:c r="AY260" s="6" t="str">
        <x:v>1</x:v>
      </x:c>
      <x:c r="AZ260" s="6" t="str">
        <x:v>1</x:v>
      </x:c>
      <x:c r="BA260" s="9" t="str">
        <x:v>nearest_POWER_grid_to_BIG_representative_point</x:v>
      </x:c>
      <x:c r="BB260" s="6" t="str">
        <x:v>1</x:v>
      </x:c>
      <x:c r="BC260" s="6" t="str">
        <x:v>8</x:v>
      </x:c>
      <x:c r="BD260" s="6" t="str">
        <x:v>8</x:v>
      </x:c>
      <x:c r="BE260" s="6" t="str">
        <x:v>8</x:v>
      </x:c>
      <x:c r="BF260" s="6" t="str">
        <x:v>0</x:v>
      </x:c>
      <x:c r="BG260" s="6" t="str">
        <x:v>0</x:v>
      </x:c>
      <x:c r="BH260" s="6" t="str">
        <x:v>0</x:v>
      </x:c>
      <x:c r="BI260" s="6" t="str">
        <x:v>0</x:v>
      </x:c>
      <x:c r="BJ260" s="6" t="str">
        <x:v>0</x:v>
      </x:c>
      <x:c r="BK260" s="6" t="str">
        <x:v>0</x:v>
      </x:c>
      <x:c r="BL260" s="6" t="str">
        <x:v>0</x:v>
      </x:c>
      <x:c r="BM260" s="6" t="str">
        <x:v>0</x:v>
      </x:c>
      <x:c r="BN260" s="6" t="str">
        <x:v>8</x:v>
      </x:c>
      <x:c r="BO260" s="6" t="str"/>
      <x:c r="BP260" s="6" t="str">
        <x:v>0</x:v>
      </x:c>
      <x:c r="BQ260" s="6" t="str"/>
      <x:c r="BR260" s="6" t="str">
        <x:v>0</x:v>
      </x:c>
      <x:c r="BS260" s="6" t="str">
        <x:v>0.0</x:v>
      </x:c>
      <x:c r="BT260" s="6" t="str">
        <x:v>8</x:v>
      </x:c>
      <x:c r="BU260" s="6" t="str">
        <x:v>1862.0</x:v>
      </x:c>
      <x:c r="BV260" s="6" t="str">
        <x:v>4</x:v>
      </x:c>
      <x:c r="BW260" s="9" t="str">
        <x:v>operational_snapshot_annual_totals_may_differ</x:v>
      </x:c>
      <x:c r="BX260" s="9" t="str">
        <x:v>official_live_dashboard_snapshot_subject_to_revision</x:v>
      </x:c>
      <x:c r="BY260" s="9" t="str">
        <x:v>https://tbdashboard.sitb.id/ss_data_tbc03so_2025_provinsi_bulanan_list.php</x:v>
      </x:c>
      <x:c r="BZ260" s="6" t="n">
        <x:v>46246.610671296294</x:v>
      </x:c>
    </x:row>
    <x:row r="261" ht="18" customHeight="1">
      <x:c r="A261" s="6" t="str">
        <x:v>31</x:v>
      </x:c>
      <x:c r="B261" s="6" t="str">
        <x:v>DKI JAKARTA</x:v>
      </x:c>
      <x:c r="C261" s="6" t="str">
        <x:v>2025</x:v>
      </x:c>
      <x:c r="D261" s="6" t="str">
        <x:v>8</x:v>
      </x:c>
      <x:c r="E261" s="6" t="str">
        <x:v>2025-08</x:v>
      </x:c>
      <x:c r="F261" s="6" t="str">
        <x:v>4956</x:v>
      </x:c>
      <x:c r="G261" s="6" t="str">
        <x:v>797</x:v>
      </x:c>
      <x:c r="H261" s="6" t="str">
        <x:v>2539</x:v>
      </x:c>
      <x:c r="I261" s="6" t="str">
        <x:v>672</x:v>
      </x:c>
      <x:c r="J261" s="6" t="str">
        <x:v>236</x:v>
      </x:c>
      <x:c r="K261" s="6" t="str">
        <x:v>11</x:v>
      </x:c>
      <x:c r="L261" s="6" t="str">
        <x:v>9</x:v>
      </x:c>
      <x:c r="M261" s="6" t="str">
        <x:v>692</x:v>
      </x:c>
      <x:c r="N261" s="6" t="str">
        <x:v>4956</x:v>
      </x:c>
      <x:c r="O261" s="6" t="str">
        <x:v>0</x:v>
      </x:c>
      <x:c r="P261" s="10" t="n">
        <x:f>F261-M261</x:f>
        <x:v>4264</x:v>
      </x:c>
      <x:c r="Q261" s="11" t="n">
        <x:f>IFERROR(M261/F261,"")</x:f>
        <x:v>0.13962873284907182</x:v>
      </x:c>
      <x:c r="R261" s="10" t="n">
        <x:f>G261+H261</x:f>
        <x:v>3336</x:v>
      </x:c>
      <x:c r="S261" s="11" t="n">
        <x:f>IFERROR(R261/F261,"")</x:f>
        <x:v>0.6731234866828087</x:v>
      </x:c>
      <x:c r="T261" s="11" t="n">
        <x:f>IFERROR(R261/P261,"")</x:f>
        <x:v>0.7823639774859287</x:v>
      </x:c>
      <x:c r="U261" s="10" t="n">
        <x:f>I261+J261+K261</x:f>
        <x:v>919</x:v>
      </x:c>
      <x:c r="V261" s="11" t="n">
        <x:f>IFERROR(U261/P261,"")</x:f>
        <x:v>0.21552532833020638</x:v>
      </x:c>
      <x:c r="W261" s="9" t="str">
        <x:v>provisional_gt_5pct_pending</x:v>
      </x:c>
      <x:c r="X261" s="12" t="n">
        <x:f>IFERROR(F261/Z261*100000,"")</x:f>
        <x:v>46.41318598988575</x:v>
      </x:c>
      <x:c r="Y261" s="13" t="n">
        <x:f>LN(Z261)</x:f>
        <x:v>16.18369610804227</x:v>
      </x:c>
      <x:c r="Z261" s="6" t="str">
        <x:v>10678000</x:v>
      </x:c>
      <x:c r="AA261" s="6" t="str">
        <x:v>16155.0</x:v>
      </x:c>
      <x:c r="AB261" s="9" t="str">
        <x:v>2025-06-30</x:v>
      </x:c>
      <x:c r="AC261" s="8" t="str">
        <x:v>93.98</x:v>
      </x:c>
      <x:c r="AD261" s="9" t="str">
        <x:v>2025 (Susenas)</x:v>
      </x:c>
      <x:c r="AE261" s="8" t="str">
        <x:v>808.26</x:v>
      </x:c>
      <x:c r="AF261" s="9" t="str">
        <x:v>Maret 2025 (Susenas)</x:v>
      </x:c>
      <x:c r="AG261" s="6" t="str">
        <x:v>27.33</x:v>
      </x:c>
      <x:c r="AH261" s="8" t="str">
        <x:v>81.4</x:v>
      </x:c>
      <x:c r="AI261" s="6" t="str">
        <x:v>159.03</x:v>
      </x:c>
      <x:c r="AJ261" s="6" t="str">
        <x:v>0.5663333333333327</x:v>
      </x:c>
      <x:c r="AK261" s="8" t="str">
        <x:v>1.4230749889018142</x:v>
      </x:c>
      <x:c r="AL261" s="6" t="str">
        <x:v>1.700421326342722</x:v>
      </x:c>
      <x:c r="AM261" s="6" t="str">
        <x:v>1.9556186027818212</x:v>
      </x:c>
      <x:c r="AN261" s="6" t="str">
        <x:v>1.6930383060087857</x:v>
      </x:c>
      <x:c r="AO261" s="6" t="str">
        <x:v>3.237333333333339</x:v>
      </x:c>
      <x:c r="AP261" s="8" t="str">
        <x:v>1.2928351625217105</x:v>
      </x:c>
      <x:c r="AQ261" s="6" t="str">
        <x:v>0.3867880132959018</x:v>
      </x:c>
      <x:c r="AR261" s="6" t="str">
        <x:v>0.4797860469378742</x:v>
      </x:c>
      <x:c r="AS261" s="6" t="str">
        <x:v>0.7198030742518292</x:v>
      </x:c>
      <x:c r="AT261" s="6" t="str">
        <x:v>105.84433333333334</x:v>
      </x:c>
      <x:c r="AU261" s="8" t="str">
        <x:v>1.9965279878721671</x:v>
      </x:c>
      <x:c r="AV261" s="6" t="str">
        <x:v>1.1663478885096428</x:v>
      </x:c>
      <x:c r="AW261" s="6" t="str">
        <x:v>2.2422487717543125</x:v>
      </x:c>
      <x:c r="AX261" s="6" t="str">
        <x:v>1.801708216045374</x:v>
      </x:c>
      <x:c r="AY261" s="6" t="str">
        <x:v>1</x:v>
      </x:c>
      <x:c r="AZ261" s="6" t="str">
        <x:v>1</x:v>
      </x:c>
      <x:c r="BA261" s="9" t="str">
        <x:v>nearest_POWER_grid_to_BIG_representative_point</x:v>
      </x:c>
      <x:c r="BB261" s="6" t="str">
        <x:v>1</x:v>
      </x:c>
      <x:c r="BC261" s="6" t="str">
        <x:v>4</x:v>
      </x:c>
      <x:c r="BD261" s="6" t="str">
        <x:v>4</x:v>
      </x:c>
      <x:c r="BE261" s="6" t="str">
        <x:v>3</x:v>
      </x:c>
      <x:c r="BF261" s="6" t="str">
        <x:v>0</x:v>
      </x:c>
      <x:c r="BG261" s="6" t="str">
        <x:v>1</x:v>
      </x:c>
      <x:c r="BH261" s="6" t="str">
        <x:v>0</x:v>
      </x:c>
      <x:c r="BI261" s="6" t="str">
        <x:v>0</x:v>
      </x:c>
      <x:c r="BJ261" s="6" t="str">
        <x:v>0</x:v>
      </x:c>
      <x:c r="BK261" s="6" t="str">
        <x:v>0</x:v>
      </x:c>
      <x:c r="BL261" s="6" t="str">
        <x:v>0</x:v>
      </x:c>
      <x:c r="BM261" s="6" t="str">
        <x:v>0</x:v>
      </x:c>
      <x:c r="BN261" s="6" t="str">
        <x:v>4</x:v>
      </x:c>
      <x:c r="BO261" s="6" t="str"/>
      <x:c r="BP261" s="6" t="str">
        <x:v>0</x:v>
      </x:c>
      <x:c r="BQ261" s="6" t="str"/>
      <x:c r="BR261" s="6" t="str">
        <x:v>0</x:v>
      </x:c>
      <x:c r="BS261" s="6" t="str">
        <x:v>5.0</x:v>
      </x:c>
      <x:c r="BT261" s="6" t="str">
        <x:v>4</x:v>
      </x:c>
      <x:c r="BU261" s="6" t="str">
        <x:v>779.0</x:v>
      </x:c>
      <x:c r="BV261" s="6" t="str">
        <x:v>3</x:v>
      </x:c>
      <x:c r="BW261" s="9" t="str">
        <x:v>operational_snapshot_annual_totals_may_differ</x:v>
      </x:c>
      <x:c r="BX261" s="9" t="str">
        <x:v>official_live_dashboard_snapshot_subject_to_revision</x:v>
      </x:c>
      <x:c r="BY261" s="9" t="str">
        <x:v>https://tbdashboard.sitb.id/ss_data_tbc03so_2025_provinsi_bulanan_list.php</x:v>
      </x:c>
      <x:c r="BZ261" s="6" t="n">
        <x:v>46246.610671296294</x:v>
      </x:c>
    </x:row>
    <x:row r="262" ht="18" customHeight="1">
      <x:c r="A262" s="6" t="str">
        <x:v>31</x:v>
      </x:c>
      <x:c r="B262" s="6" t="str">
        <x:v>DKI JAKARTA</x:v>
      </x:c>
      <x:c r="C262" s="6" t="str">
        <x:v>2025</x:v>
      </x:c>
      <x:c r="D262" s="6" t="str">
        <x:v>9</x:v>
      </x:c>
      <x:c r="E262" s="6" t="str">
        <x:v>2025-09</x:v>
      </x:c>
      <x:c r="F262" s="6" t="str">
        <x:v>5253</x:v>
      </x:c>
      <x:c r="G262" s="6" t="str">
        <x:v>879</x:v>
      </x:c>
      <x:c r="H262" s="6" t="str">
        <x:v>2701</x:v>
      </x:c>
      <x:c r="I262" s="6" t="str">
        <x:v>674</x:v>
      </x:c>
      <x:c r="J262" s="6" t="str">
        <x:v>219</x:v>
      </x:c>
      <x:c r="K262" s="6" t="str">
        <x:v>21</x:v>
      </x:c>
      <x:c r="L262" s="6" t="str">
        <x:v>11</x:v>
      </x:c>
      <x:c r="M262" s="6" t="str">
        <x:v>748</x:v>
      </x:c>
      <x:c r="N262" s="6" t="str">
        <x:v>5253</x:v>
      </x:c>
      <x:c r="O262" s="6" t="str">
        <x:v>0</x:v>
      </x:c>
      <x:c r="P262" s="10" t="n">
        <x:f>F262-M262</x:f>
        <x:v>4505</x:v>
      </x:c>
      <x:c r="Q262" s="11" t="n">
        <x:f>IFERROR(M262/F262,"")</x:f>
        <x:v>0.1423948220064725</x:v>
      </x:c>
      <x:c r="R262" s="10" t="n">
        <x:f>G262+H262</x:f>
        <x:v>3580</x:v>
      </x:c>
      <x:c r="S262" s="11" t="n">
        <x:f>IFERROR(R262/F262,"")</x:f>
        <x:v>0.6815153245764325</x:v>
      </x:c>
      <x:c r="T262" s="11" t="n">
        <x:f>IFERROR(R262/P262,"")</x:f>
        <x:v>0.7946725860155383</x:v>
      </x:c>
      <x:c r="U262" s="10" t="n">
        <x:f>I262+J262+K262</x:f>
        <x:v>914</x:v>
      </x:c>
      <x:c r="V262" s="11" t="n">
        <x:f>IFERROR(U262/P262,"")</x:f>
        <x:v>0.20288568257491676</x:v>
      </x:c>
      <x:c r="W262" s="9" t="str">
        <x:v>provisional_gt_5pct_pending</x:v>
      </x:c>
      <x:c r="X262" s="12" t="n">
        <x:f>IFERROR(F262/Z262*100000,"")</x:f>
        <x:v>49.194605731410384</x:v>
      </x:c>
      <x:c r="Y262" s="13" t="n">
        <x:f>LN(Z262)</x:f>
        <x:v>16.18369610804227</x:v>
      </x:c>
      <x:c r="Z262" s="6" t="str">
        <x:v>10678000</x:v>
      </x:c>
      <x:c r="AA262" s="6" t="str">
        <x:v>16155.0</x:v>
      </x:c>
      <x:c r="AB262" s="9" t="str">
        <x:v>2025-06-30</x:v>
      </x:c>
      <x:c r="AC262" s="8" t="str">
        <x:v>93.98</x:v>
      </x:c>
      <x:c r="AD262" s="9" t="str">
        <x:v>2025 (Susenas)</x:v>
      </x:c>
      <x:c r="AE262" s="8" t="str">
        <x:v>808.26</x:v>
      </x:c>
      <x:c r="AF262" s="9" t="str">
        <x:v>Maret 2025 (Susenas)</x:v>
      </x:c>
      <x:c r="AG262" s="6" t="str">
        <x:v>27.81</x:v>
      </x:c>
      <x:c r="AH262" s="8" t="str">
        <x:v>80.54</x:v>
      </x:c>
      <x:c r="AI262" s="6" t="str">
        <x:v>163.20000000000002</x:v>
      </x:c>
      <x:c r="AJ262" s="6" t="str">
        <x:v>0.3413333333333312</x:v>
      </x:c>
      <x:c r="AK262" s="8" t="str">
        <x:v>1.0712312406848</x:v>
      </x:c>
      <x:c r="AL262" s="6" t="str">
        <x:v>1.4230749889018142</x:v>
      </x:c>
      <x:c r="AM262" s="6" t="str">
        <x:v>1.700421326342722</x:v>
      </x:c>
      <x:c r="AN262" s="6" t="str">
        <x:v>1.3982425186431116</x:v>
      </x:c>
      <x:c r="AO262" s="6" t="str">
        <x:v>4.862666666666669</x:v>
      </x:c>
      <x:c r="AP262" s="8" t="str">
        <x:v>1.4613820537607107</x:v>
      </x:c>
      <x:c r="AQ262" s="6" t="str">
        <x:v>1.2928351625217105</x:v>
      </x:c>
      <x:c r="AR262" s="6" t="str">
        <x:v>0.3867880132959018</x:v>
      </x:c>
      <x:c r="AS262" s="6" t="str">
        <x:v>1.0470017431927747</x:v>
      </x:c>
      <x:c r="AT262" s="6" t="str">
        <x:v>97.98000000000002</x:v>
      </x:c>
      <x:c r="AU262" s="8" t="str">
        <x:v>1.623985855815404</x:v>
      </x:c>
      <x:c r="AV262" s="6" t="str">
        <x:v>1.9965279878721671</x:v>
      </x:c>
      <x:c r="AW262" s="6" t="str">
        <x:v>1.1663478885096428</x:v>
      </x:c>
      <x:c r="AX262" s="6" t="str">
        <x:v>1.595620577399071</x:v>
      </x:c>
      <x:c r="AY262" s="6" t="str">
        <x:v>1</x:v>
      </x:c>
      <x:c r="AZ262" s="6" t="str">
        <x:v>1</x:v>
      </x:c>
      <x:c r="BA262" s="9" t="str">
        <x:v>nearest_POWER_grid_to_BIG_representative_point</x:v>
      </x:c>
      <x:c r="BB262" s="6" t="str">
        <x:v>1</x:v>
      </x:c>
      <x:c r="BC262" s="6" t="str">
        <x:v>2</x:v>
      </x:c>
      <x:c r="BD262" s="6" t="str">
        <x:v>2</x:v>
      </x:c>
      <x:c r="BE262" s="6" t="str">
        <x:v>2</x:v>
      </x:c>
      <x:c r="BF262" s="6" t="str">
        <x:v>0</x:v>
      </x:c>
      <x:c r="BG262" s="6" t="str">
        <x:v>0</x:v>
      </x:c>
      <x:c r="BH262" s="6" t="str">
        <x:v>0</x:v>
      </x:c>
      <x:c r="BI262" s="6" t="str">
        <x:v>0</x:v>
      </x:c>
      <x:c r="BJ262" s="6" t="str">
        <x:v>0</x:v>
      </x:c>
      <x:c r="BK262" s="6" t="str">
        <x:v>0</x:v>
      </x:c>
      <x:c r="BL262" s="6" t="str">
        <x:v>0</x:v>
      </x:c>
      <x:c r="BM262" s="6" t="str">
        <x:v>0</x:v>
      </x:c>
      <x:c r="BN262" s="6" t="str">
        <x:v>2</x:v>
      </x:c>
      <x:c r="BO262" s="6" t="str"/>
      <x:c r="BP262" s="6" t="str">
        <x:v>0</x:v>
      </x:c>
      <x:c r="BQ262" s="6" t="str"/>
      <x:c r="BR262" s="6" t="str">
        <x:v>0</x:v>
      </x:c>
      <x:c r="BS262" s="6" t="str">
        <x:v>0.0</x:v>
      </x:c>
      <x:c r="BT262" s="6" t="str">
        <x:v>2</x:v>
      </x:c>
      <x:c r="BU262" s="6" t="str">
        <x:v>688.0</x:v>
      </x:c>
      <x:c r="BV262" s="6" t="str">
        <x:v>1</x:v>
      </x:c>
      <x:c r="BW262" s="9" t="str">
        <x:v>operational_snapshot_annual_totals_may_differ</x:v>
      </x:c>
      <x:c r="BX262" s="9" t="str">
        <x:v>official_live_dashboard_snapshot_subject_to_revision</x:v>
      </x:c>
      <x:c r="BY262" s="9" t="str">
        <x:v>https://tbdashboard.sitb.id/ss_data_tbc03so_2025_provinsi_bulanan_list.php</x:v>
      </x:c>
      <x:c r="BZ262" s="6" t="n">
        <x:v>46246.610671296294</x:v>
      </x:c>
    </x:row>
    <x:row r="263" ht="18" customHeight="1">
      <x:c r="A263" s="6" t="str">
        <x:v>31</x:v>
      </x:c>
      <x:c r="B263" s="6" t="str">
        <x:v>DKI JAKARTA</x:v>
      </x:c>
      <x:c r="C263" s="6" t="str">
        <x:v>2025</x:v>
      </x:c>
      <x:c r="D263" s="6" t="str">
        <x:v>10</x:v>
      </x:c>
      <x:c r="E263" s="6" t="str">
        <x:v>2025-10</x:v>
      </x:c>
      <x:c r="F263" s="6" t="str">
        <x:v>5388</x:v>
      </x:c>
      <x:c r="G263" s="6" t="str">
        <x:v>867</x:v>
      </x:c>
      <x:c r="H263" s="6" t="str">
        <x:v>2508</x:v>
      </x:c>
      <x:c r="I263" s="6" t="str">
        <x:v>653</x:v>
      </x:c>
      <x:c r="J263" s="6" t="str">
        <x:v>215</x:v>
      </x:c>
      <x:c r="K263" s="6" t="str">
        <x:v>14</x:v>
      </x:c>
      <x:c r="L263" s="6" t="str">
        <x:v>9</x:v>
      </x:c>
      <x:c r="M263" s="6" t="str">
        <x:v>1122</x:v>
      </x:c>
      <x:c r="N263" s="6" t="str">
        <x:v>5388</x:v>
      </x:c>
      <x:c r="O263" s="6" t="str">
        <x:v>0</x:v>
      </x:c>
      <x:c r="P263" s="10" t="n">
        <x:f>F263-M263</x:f>
        <x:v>4266</x:v>
      </x:c>
      <x:c r="Q263" s="11" t="n">
        <x:f>IFERROR(M263/F263,"")</x:f>
        <x:v>0.20824053452115812</x:v>
      </x:c>
      <x:c r="R263" s="10" t="n">
        <x:f>G263+H263</x:f>
        <x:v>3375</x:v>
      </x:c>
      <x:c r="S263" s="11" t="n">
        <x:f>IFERROR(R263/F263,"")</x:f>
        <x:v>0.626391982182628</x:v>
      </x:c>
      <x:c r="T263" s="11" t="n">
        <x:f>IFERROR(R263/P263,"")</x:f>
        <x:v>0.7911392405063291</x:v>
      </x:c>
      <x:c r="U263" s="10" t="n">
        <x:f>I263+J263+K263</x:f>
        <x:v>882</x:v>
      </x:c>
      <x:c r="V263" s="11" t="n">
        <x:f>IFERROR(U263/P263,"")</x:f>
        <x:v>0.20675105485232068</x:v>
      </x:c>
      <x:c r="W263" s="9" t="str">
        <x:v>provisional_gt_5pct_pending</x:v>
      </x:c>
      <x:c r="X263" s="12" t="n">
        <x:f>IFERROR(F263/Z263*100000,"")</x:f>
        <x:v>50.45888743210339</x:v>
      </x:c>
      <x:c r="Y263" s="13" t="n">
        <x:f>LN(Z263)</x:f>
        <x:v>16.18369610804227</x:v>
      </x:c>
      <x:c r="Z263" s="6" t="str">
        <x:v>10678000</x:v>
      </x:c>
      <x:c r="AA263" s="6" t="str">
        <x:v>16155.0</x:v>
      </x:c>
      <x:c r="AB263" s="9" t="str">
        <x:v>2025-06-30</x:v>
      </x:c>
      <x:c r="AC263" s="8" t="str">
        <x:v>93.98</x:v>
      </x:c>
      <x:c r="AD263" s="9" t="str">
        <x:v>2025 (Susenas)</x:v>
      </x:c>
      <x:c r="AE263" s="8" t="str">
        <x:v>808.26</x:v>
      </x:c>
      <x:c r="AF263" s="9" t="str">
        <x:v>Maret 2025 (Susenas)</x:v>
      </x:c>
      <x:c r="AG263" s="6" t="str">
        <x:v>28.05</x:v>
      </x:c>
      <x:c r="AH263" s="8" t="str">
        <x:v>80.53</x:v>
      </x:c>
      <x:c r="AI263" s="6" t="str">
        <x:v>212.04</x:v>
      </x:c>
      <x:c r="AJ263" s="6" t="str">
        <x:v>0.091000000000001</x:v>
      </x:c>
      <x:c r="AK263" s="8" t="str">
        <x:v>0.21091382367844</x:v>
      </x:c>
      <x:c r="AL263" s="6" t="str">
        <x:v>1.0712312406848</x:v>
      </x:c>
      <x:c r="AM263" s="6" t="str">
        <x:v>1.4230749889018142</x:v>
      </x:c>
      <x:c r="AN263" s="6" t="str">
        <x:v>0.9017400177550178</x:v>
      </x:c>
      <x:c r="AO263" s="6" t="str">
        <x:v>4.194000000000003</x:v>
      </x:c>
      <x:c r="AP263" s="8" t="str">
        <x:v>0.9580455494887457</x:v>
      </x:c>
      <x:c r="AQ263" s="6" t="str">
        <x:v>1.4613820537607107</x:v>
      </x:c>
      <x:c r="AR263" s="6" t="str">
        <x:v>1.2928351625217105</x:v>
      </x:c>
      <x:c r="AS263" s="6" t="str">
        <x:v>1.2374209219237229</x:v>
      </x:c>
      <x:c r="AT263" s="6" t="str">
        <x:v>78.86399999999998</x:v>
      </x:c>
      <x:c r="AU263" s="8" t="str">
        <x:v>0.8849644618470713</x:v>
      </x:c>
      <x:c r="AV263" s="6" t="str">
        <x:v>1.623985855815404</x:v>
      </x:c>
      <x:c r="AW263" s="6" t="str">
        <x:v>1.9965279878721671</x:v>
      </x:c>
      <x:c r="AX263" s="6" t="str">
        <x:v>1.5018261018448804</x:v>
      </x:c>
      <x:c r="AY263" s="6" t="str">
        <x:v>0</x:v>
      </x:c>
      <x:c r="AZ263" s="6" t="str">
        <x:v>0</x:v>
      </x:c>
      <x:c r="BA263" s="9" t="str">
        <x:v>nearest_POWER_grid_to_BIG_representative_point</x:v>
      </x:c>
      <x:c r="BB263" s="6" t="str">
        <x:v>1</x:v>
      </x:c>
      <x:c r="BC263" s="6" t="str">
        <x:v>5</x:v>
      </x:c>
      <x:c r="BD263" s="6" t="str">
        <x:v>5</x:v>
      </x:c>
      <x:c r="BE263" s="6" t="str">
        <x:v>4</x:v>
      </x:c>
      <x:c r="BF263" s="6" t="str">
        <x:v>0</x:v>
      </x:c>
      <x:c r="BG263" s="6" t="str">
        <x:v>1</x:v>
      </x:c>
      <x:c r="BH263" s="6" t="str">
        <x:v>0</x:v>
      </x:c>
      <x:c r="BI263" s="6" t="str">
        <x:v>0</x:v>
      </x:c>
      <x:c r="BJ263" s="6" t="str">
        <x:v>0</x:v>
      </x:c>
      <x:c r="BK263" s="6" t="str">
        <x:v>0</x:v>
      </x:c>
      <x:c r="BL263" s="6" t="str">
        <x:v>0</x:v>
      </x:c>
      <x:c r="BM263" s="6" t="str">
        <x:v>0</x:v>
      </x:c>
      <x:c r="BN263" s="6" t="str">
        <x:v>5</x:v>
      </x:c>
      <x:c r="BO263" s="6" t="str">
        <x:v>1.0</x:v>
      </x:c>
      <x:c r="BP263" s="6" t="str">
        <x:v>1</x:v>
      </x:c>
      <x:c r="BQ263" s="6" t="str">
        <x:v>1.0</x:v>
      </x:c>
      <x:c r="BR263" s="6" t="str">
        <x:v>1</x:v>
      </x:c>
      <x:c r="BS263" s="6" t="str">
        <x:v>0.0</x:v>
      </x:c>
      <x:c r="BT263" s="6" t="str">
        <x:v>5</x:v>
      </x:c>
      <x:c r="BU263" s="6" t="str">
        <x:v>916.0</x:v>
      </x:c>
      <x:c r="BV263" s="6" t="str">
        <x:v>2</x:v>
      </x:c>
      <x:c r="BW263" s="9" t="str">
        <x:v>operational_snapshot_annual_totals_may_differ</x:v>
      </x:c>
      <x:c r="BX263" s="9" t="str">
        <x:v>official_live_dashboard_snapshot_subject_to_revision</x:v>
      </x:c>
      <x:c r="BY263" s="9" t="str">
        <x:v>https://tbdashboard.sitb.id/ss_data_tbc03so_2025_provinsi_bulanan_list.php</x:v>
      </x:c>
      <x:c r="BZ263" s="6" t="n">
        <x:v>46246.610671296294</x:v>
      </x:c>
    </x:row>
    <x:row r="264" ht="18" customHeight="1">
      <x:c r="A264" s="6" t="str">
        <x:v>31</x:v>
      </x:c>
      <x:c r="B264" s="6" t="str">
        <x:v>DKI JAKARTA</x:v>
      </x:c>
      <x:c r="C264" s="6" t="str">
        <x:v>2025</x:v>
      </x:c>
      <x:c r="D264" s="6" t="str">
        <x:v>11</x:v>
      </x:c>
      <x:c r="E264" s="6" t="str">
        <x:v>2025-11</x:v>
      </x:c>
      <x:c r="F264" s="6" t="str">
        <x:v>4626</x:v>
      </x:c>
      <x:c r="G264" s="6" t="str">
        <x:v>740</x:v>
      </x:c>
      <x:c r="H264" s="6" t="str">
        <x:v>1930</x:v>
      </x:c>
      <x:c r="I264" s="6" t="str">
        <x:v>542</x:v>
      </x:c>
      <x:c r="J264" s="6" t="str">
        <x:v>191</x:v>
      </x:c>
      <x:c r="K264" s="6" t="str">
        <x:v>12</x:v>
      </x:c>
      <x:c r="L264" s="6" t="str">
        <x:v>16</x:v>
      </x:c>
      <x:c r="M264" s="6" t="str">
        <x:v>1195</x:v>
      </x:c>
      <x:c r="N264" s="6" t="str">
        <x:v>4626</x:v>
      </x:c>
      <x:c r="O264" s="6" t="str">
        <x:v>0</x:v>
      </x:c>
      <x:c r="P264" s="10" t="n">
        <x:f>F264-M264</x:f>
        <x:v>3431</x:v>
      </x:c>
      <x:c r="Q264" s="11" t="n">
        <x:f>IFERROR(M264/F264,"")</x:f>
        <x:v>0.25832252485948987</x:v>
      </x:c>
      <x:c r="R264" s="10" t="n">
        <x:f>G264+H264</x:f>
        <x:v>2670</x:v>
      </x:c>
      <x:c r="S264" s="11" t="n">
        <x:f>IFERROR(R264/F264,"")</x:f>
        <x:v>0.5771725032425421</x:v>
      </x:c>
      <x:c r="T264" s="11" t="n">
        <x:f>IFERROR(R264/P264,"")</x:f>
        <x:v>0.7781987758670942</x:v>
      </x:c>
      <x:c r="U264" s="10" t="n">
        <x:f>I264+J264+K264</x:f>
        <x:v>745</x:v>
      </x:c>
      <x:c r="V264" s="11" t="n">
        <x:f>IFERROR(U264/P264,"")</x:f>
        <x:v>0.2171378606820169</x:v>
      </x:c>
      <x:c r="W264" s="9" t="str">
        <x:v>provisional_gt_5pct_pending</x:v>
      </x:c>
      <x:c r="X264" s="12" t="n">
        <x:f>IFERROR(F264/Z264*100000,"")</x:f>
        <x:v>43.322719610413934</x:v>
      </x:c>
      <x:c r="Y264" s="13" t="n">
        <x:f>LN(Z264)</x:f>
        <x:v>16.18369610804227</x:v>
      </x:c>
      <x:c r="Z264" s="6" t="str">
        <x:v>10678000</x:v>
      </x:c>
      <x:c r="AA264" s="6" t="str">
        <x:v>16155.0</x:v>
      </x:c>
      <x:c r="AB264" s="9" t="str">
        <x:v>2025-06-30</x:v>
      </x:c>
      <x:c r="AC264" s="8" t="str">
        <x:v>93.98</x:v>
      </x:c>
      <x:c r="AD264" s="9" t="str">
        <x:v>2025 (Susenas)</x:v>
      </x:c>
      <x:c r="AE264" s="8" t="str">
        <x:v>808.26</x:v>
      </x:c>
      <x:c r="AF264" s="9" t="str">
        <x:v>Maret 2025 (Susenas)</x:v>
      </x:c>
      <x:c r="AG264" s="6" t="str">
        <x:v>27.67</x:v>
      </x:c>
      <x:c r="AH264" s="8" t="str">
        <x:v>82.03</x:v>
      </x:c>
      <x:c r="AI264" s="6" t="str">
        <x:v>215.4</x:v>
      </x:c>
      <x:c r="AJ264" s="6" t="str">
        <x:v>-0.1499999999999985</x:v>
      </x:c>
      <x:c r="AK264" s="8" t="str">
        <x:v>-0.2880870512041135</x:v>
      </x:c>
      <x:c r="AL264" s="6" t="str">
        <x:v>0.21091382367844</x:v>
      </x:c>
      <x:c r="AM264" s="6" t="str">
        <x:v>1.0712312406848</x:v>
      </x:c>
      <x:c r="AN264" s="6" t="str">
        <x:v>0.3313526710530418</x:v>
      </x:c>
      <x:c r="AO264" s="6" t="str">
        <x:v>2.5603333333333325</x:v>
      </x:c>
      <x:c r="AP264" s="8" t="str">
        <x:v>0.8640138165669015</x:v>
      </x:c>
      <x:c r="AQ264" s="6" t="str">
        <x:v>0.9580455494887457</x:v>
      </x:c>
      <x:c r="AR264" s="6" t="str">
        <x:v>1.4613820537607107</x:v>
      </x:c>
      <x:c r="AS264" s="6" t="str">
        <x:v>1.0944804732721194</x:v>
      </x:c>
      <x:c r="AT264" s="6" t="str">
        <x:v>19.779999999999973</x:v>
      </x:c>
      <x:c r="AU264" s="8" t="str">
        <x:v>0.3275804844342836</x:v>
      </x:c>
      <x:c r="AV264" s="6" t="str">
        <x:v>0.8849644618470713</x:v>
      </x:c>
      <x:c r="AW264" s="6" t="str">
        <x:v>1.623985855815404</x:v>
      </x:c>
      <x:c r="AX264" s="6" t="str">
        <x:v>0.945510267365586</x:v>
      </x:c>
      <x:c r="AY264" s="6" t="str">
        <x:v>0</x:v>
      </x:c>
      <x:c r="AZ264" s="6" t="str">
        <x:v>0</x:v>
      </x:c>
      <x:c r="BA264" s="9" t="str">
        <x:v>nearest_POWER_grid_to_BIG_representative_point</x:v>
      </x:c>
      <x:c r="BB264" s="6" t="str">
        <x:v>1</x:v>
      </x:c>
      <x:c r="BC264" s="6" t="str">
        <x:v>0</x:v>
      </x:c>
      <x:c r="BD264" s="6" t="str">
        <x:v>0</x:v>
      </x:c>
      <x:c r="BE264" s="6" t="str">
        <x:v>0</x:v>
      </x:c>
      <x:c r="BF264" s="6" t="str">
        <x:v>0</x:v>
      </x:c>
      <x:c r="BG264" s="6" t="str">
        <x:v>0</x:v>
      </x:c>
      <x:c r="BH264" s="6" t="str">
        <x:v>0</x:v>
      </x:c>
      <x:c r="BI264" s="6" t="str">
        <x:v>0</x:v>
      </x:c>
      <x:c r="BJ264" s="6" t="str">
        <x:v>0</x:v>
      </x:c>
      <x:c r="BK264" s="6" t="str">
        <x:v>0</x:v>
      </x:c>
      <x:c r="BL264" s="6" t="str">
        <x:v>0</x:v>
      </x:c>
      <x:c r="BM264" s="6" t="str">
        <x:v>0</x:v>
      </x:c>
      <x:c r="BN264" s="6" t="str">
        <x:v>0</x:v>
      </x:c>
      <x:c r="BO264" s="6" t="str"/>
      <x:c r="BP264" s="6" t="str">
        <x:v>0</x:v>
      </x:c>
      <x:c r="BQ264" s="6" t="str"/>
      <x:c r="BR264" s="6" t="str">
        <x:v>0</x:v>
      </x:c>
      <x:c r="BS264" s="6" t="str"/>
      <x:c r="BT264" s="6" t="str">
        <x:v>0</x:v>
      </x:c>
      <x:c r="BU264" s="6" t="str"/>
      <x:c r="BV264" s="6" t="str">
        <x:v>0</x:v>
      </x:c>
      <x:c r="BW264" s="9" t="str">
        <x:v>operational_snapshot_annual_totals_may_differ</x:v>
      </x:c>
      <x:c r="BX264" s="9" t="str">
        <x:v>official_live_dashboard_snapshot_subject_to_revision</x:v>
      </x:c>
      <x:c r="BY264" s="9" t="str">
        <x:v>https://tbdashboard.sitb.id/ss_data_tbc03so_2025_provinsi_bulanan_list.php</x:v>
      </x:c>
      <x:c r="BZ264" s="6" t="n">
        <x:v>46246.610671296294</x:v>
      </x:c>
    </x:row>
    <x:row r="265" ht="18" customHeight="1">
      <x:c r="A265" s="6" t="str">
        <x:v>31</x:v>
      </x:c>
      <x:c r="B265" s="6" t="str">
        <x:v>DKI JAKARTA</x:v>
      </x:c>
      <x:c r="C265" s="6" t="str">
        <x:v>2025</x:v>
      </x:c>
      <x:c r="D265" s="6" t="str">
        <x:v>12</x:v>
      </x:c>
      <x:c r="E265" s="6" t="str">
        <x:v>2025-12</x:v>
      </x:c>
      <x:c r="F265" s="6" t="str">
        <x:v>4517</x:v>
      </x:c>
      <x:c r="G265" s="6" t="str">
        <x:v>684</x:v>
      </x:c>
      <x:c r="H265" s="6" t="str">
        <x:v>1480</x:v>
      </x:c>
      <x:c r="I265" s="6" t="str">
        <x:v>526</x:v>
      </x:c>
      <x:c r="J265" s="6" t="str">
        <x:v>208</x:v>
      </x:c>
      <x:c r="K265" s="6" t="str">
        <x:v>12</x:v>
      </x:c>
      <x:c r="L265" s="6" t="str">
        <x:v>9</x:v>
      </x:c>
      <x:c r="M265" s="6" t="str">
        <x:v>1598</x:v>
      </x:c>
      <x:c r="N265" s="6" t="str">
        <x:v>4517</x:v>
      </x:c>
      <x:c r="O265" s="6" t="str">
        <x:v>0</x:v>
      </x:c>
      <x:c r="P265" s="10" t="n">
        <x:f>F265-M265</x:f>
        <x:v>2919</x:v>
      </x:c>
      <x:c r="Q265" s="11" t="n">
        <x:f>IFERROR(M265/F265,"")</x:f>
        <x:v>0.35377462917865843</x:v>
      </x:c>
      <x:c r="R265" s="10" t="n">
        <x:f>G265+H265</x:f>
        <x:v>2164</x:v>
      </x:c>
      <x:c r="S265" s="11" t="n">
        <x:f>IFERROR(R265/F265,"")</x:f>
        <x:v>0.47907903475758246</x:v>
      </x:c>
      <x:c r="T265" s="11" t="n">
        <x:f>IFERROR(R265/P265,"")</x:f>
        <x:v>0.7413497773210004</x:v>
      </x:c>
      <x:c r="U265" s="10" t="n">
        <x:f>I265+J265+K265</x:f>
        <x:v>746</x:v>
      </x:c>
      <x:c r="V265" s="11" t="n">
        <x:f>IFERROR(U265/P265,"")</x:f>
        <x:v>0.25556697499143544</x:v>
      </x:c>
      <x:c r="W265" s="9" t="str">
        <x:v>provisional_gt_5pct_pending</x:v>
      </x:c>
      <x:c r="X265" s="12" t="n">
        <x:f>IFERROR(F265/Z265*100000,"")</x:f>
        <x:v>42.301929200224755</x:v>
      </x:c>
      <x:c r="Y265" s="13" t="n">
        <x:f>LN(Z265)</x:f>
        <x:v>16.18369610804227</x:v>
      </x:c>
      <x:c r="Z265" s="6" t="str">
        <x:v>10678000</x:v>
      </x:c>
      <x:c r="AA265" s="6" t="str">
        <x:v>16155.0</x:v>
      </x:c>
      <x:c r="AB265" s="9" t="str">
        <x:v>2025-06-30</x:v>
      </x:c>
      <x:c r="AC265" s="8" t="str">
        <x:v>93.98</x:v>
      </x:c>
      <x:c r="AD265" s="9" t="str">
        <x:v>2025 (Susenas)</x:v>
      </x:c>
      <x:c r="AE265" s="8" t="str">
        <x:v>808.26</x:v>
      </x:c>
      <x:c r="AF265" s="9" t="str">
        <x:v>Maret 2025 (Susenas)</x:v>
      </x:c>
      <x:c r="AG265" s="6" t="str">
        <x:v>27.34</x:v>
      </x:c>
      <x:c r="AH265" s="8" t="str">
        <x:v>84.97</x:v>
      </x:c>
      <x:c r="AI265" s="6" t="str">
        <x:v>291.71</x:v>
      </x:c>
      <x:c r="AJ265" s="6" t="str">
        <x:v>0.0963333333333338</x:v>
      </x:c>
      <x:c r="AK265" s="8" t="str">
        <x:v>0.212752274882098</x:v>
      </x:c>
      <x:c r="AL265" s="6" t="str">
        <x:v>-0.2880870512041135</x:v>
      </x:c>
      <x:c r="AM265" s="6" t="str">
        <x:v>0.21091382367844</x:v>
      </x:c>
      <x:c r="AN265" s="6" t="str">
        <x:v>0.0451930157854745</x:v>
      </x:c>
      <x:c r="AO265" s="6" t="str">
        <x:v>2.352000000000004</x:v>
      </x:c>
      <x:c r="AP265" s="8" t="str">
        <x:v>1.0723471213404068</x:v>
      </x:c>
      <x:c r="AQ265" s="6" t="str">
        <x:v>0.8640138165669015</x:v>
      </x:c>
      <x:c r="AR265" s="6" t="str">
        <x:v>0.9580455494887457</x:v>
      </x:c>
      <x:c r="AS265" s="6" t="str">
        <x:v>0.9648021624653516</x:v>
      </x:c>
      <x:c r="AT265" s="6" t="str">
        <x:v>60.098666666666645</x:v>
      </x:c>
      <x:c r="AU265" s="8" t="str">
        <x:v>0.6893821213642678</x:v>
      </x:c>
      <x:c r="AV265" s="6" t="str">
        <x:v>0.3275804844342836</x:v>
      </x:c>
      <x:c r="AW265" s="6" t="str">
        <x:v>0.8849644618470713</x:v>
      </x:c>
      <x:c r="AX265" s="6" t="str">
        <x:v>0.6339756892152073</x:v>
      </x:c>
      <x:c r="AY265" s="6" t="str">
        <x:v>0</x:v>
      </x:c>
      <x:c r="AZ265" s="6" t="str">
        <x:v>0</x:v>
      </x:c>
      <x:c r="BA265" s="9" t="str">
        <x:v>nearest_POWER_grid_to_BIG_representative_point</x:v>
      </x:c>
      <x:c r="BB265" s="6" t="str">
        <x:v>1</x:v>
      </x:c>
      <x:c r="BC265" s="6" t="str">
        <x:v>2</x:v>
      </x:c>
      <x:c r="BD265" s="6" t="str">
        <x:v>2</x:v>
      </x:c>
      <x:c r="BE265" s="6" t="str">
        <x:v>2</x:v>
      </x:c>
      <x:c r="BF265" s="6" t="str">
        <x:v>0</x:v>
      </x:c>
      <x:c r="BG265" s="6" t="str">
        <x:v>0</x:v>
      </x:c>
      <x:c r="BH265" s="6" t="str">
        <x:v>0</x:v>
      </x:c>
      <x:c r="BI265" s="6" t="str">
        <x:v>0</x:v>
      </x:c>
      <x:c r="BJ265" s="6" t="str">
        <x:v>0</x:v>
      </x:c>
      <x:c r="BK265" s="6" t="str">
        <x:v>0</x:v>
      </x:c>
      <x:c r="BL265" s="6" t="str">
        <x:v>0</x:v>
      </x:c>
      <x:c r="BM265" s="6" t="str">
        <x:v>0</x:v>
      </x:c>
      <x:c r="BN265" s="6" t="str">
        <x:v>2</x:v>
      </x:c>
      <x:c r="BO265" s="6" t="str"/>
      <x:c r="BP265" s="6" t="str">
        <x:v>0</x:v>
      </x:c>
      <x:c r="BQ265" s="6" t="str"/>
      <x:c r="BR265" s="6" t="str">
        <x:v>0</x:v>
      </x:c>
      <x:c r="BS265" s="6" t="str">
        <x:v>0.0</x:v>
      </x:c>
      <x:c r="BT265" s="6" t="str">
        <x:v>2</x:v>
      </x:c>
      <x:c r="BU265" s="6" t="str">
        <x:v>616.0</x:v>
      </x:c>
      <x:c r="BV265" s="6" t="str">
        <x:v>2</x:v>
      </x:c>
      <x:c r="BW265" s="9" t="str">
        <x:v>operational_snapshot_annual_totals_may_differ</x:v>
      </x:c>
      <x:c r="BX265" s="9" t="str">
        <x:v>official_live_dashboard_snapshot_subject_to_revision</x:v>
      </x:c>
      <x:c r="BY265" s="9" t="str">
        <x:v>https://tbdashboard.sitb.id/ss_data_tbc03so_2025_provinsi_bulanan_list.php</x:v>
      </x:c>
      <x:c r="BZ265" s="6" t="n">
        <x:v>46246.610671296294</x:v>
      </x:c>
    </x:row>
    <x:row r="266" ht="18" customHeight="1">
      <x:c r="A266" s="6" t="str">
        <x:v>32</x:v>
      </x:c>
      <x:c r="B266" s="6" t="str">
        <x:v>JAWA BARAT</x:v>
      </x:c>
      <x:c r="C266" s="6" t="str">
        <x:v>2024</x:v>
      </x:c>
      <x:c r="D266" s="6" t="str">
        <x:v>1</x:v>
      </x:c>
      <x:c r="E266" s="6" t="str">
        <x:v>2024-01</x:v>
      </x:c>
      <x:c r="F266" s="6" t="str">
        <x:v>17849</x:v>
      </x:c>
      <x:c r="G266" s="6" t="str">
        <x:v>2608</x:v>
      </x:c>
      <x:c r="H266" s="6" t="str">
        <x:v>12872</x:v>
      </x:c>
      <x:c r="I266" s="6" t="str">
        <x:v>1784</x:v>
      </x:c>
      <x:c r="J266" s="6" t="str">
        <x:v>468</x:v>
      </x:c>
      <x:c r="K266" s="6" t="str">
        <x:v>59</x:v>
      </x:c>
      <x:c r="L266" s="6" t="str">
        <x:v>36</x:v>
      </x:c>
      <x:c r="M266" s="6" t="str">
        <x:v>22</x:v>
      </x:c>
      <x:c r="N266" s="6" t="str">
        <x:v>17849</x:v>
      </x:c>
      <x:c r="O266" s="6" t="str">
        <x:v>0</x:v>
      </x:c>
      <x:c r="P266" s="10" t="n">
        <x:f>F266-M266</x:f>
        <x:v>17827</x:v>
      </x:c>
      <x:c r="Q266" s="11" t="n">
        <x:f>IFERROR(M266/F266,"")</x:f>
        <x:v>0.001232562048294022</x:v>
      </x:c>
      <x:c r="R266" s="10" t="n">
        <x:f>G266+H266</x:f>
        <x:v>15480</x:v>
      </x:c>
      <x:c r="S266" s="11" t="n">
        <x:f>IFERROR(R266/F266,"")</x:f>
        <x:v>0.8672754776177937</x:v>
      </x:c>
      <x:c r="T266" s="11" t="n">
        <x:f>IFERROR(R266/P266,"")</x:f>
        <x:v>0.868345767655803</x:v>
      </x:c>
      <x:c r="U266" s="10" t="n">
        <x:f>I266+J266+K266</x:f>
        <x:v>2311</x:v>
      </x:c>
      <x:c r="V266" s="11" t="n">
        <x:f>IFERROR(U266/P266,"")</x:f>
        <x:v>0.12963482358220677</x:v>
      </x:c>
      <x:c r="W266" s="9" t="str">
        <x:v>mature_le_5pct_pending</x:v>
      </x:c>
      <x:c r="X266" s="12" t="n">
        <x:f>IFERROR(F266/Z266*100000,"")</x:f>
        <x:v>35.453230893908454</x:v>
      </x:c>
      <x:c r="Y266" s="13" t="n">
        <x:f>LN(Z266)</x:f>
        <x:v>17.734413839913096</x:v>
      </x:c>
      <x:c r="Z266" s="6" t="str">
        <x:v>50345200</x:v>
      </x:c>
      <x:c r="AA266" s="6" t="str">
        <x:v>1359.0</x:v>
      </x:c>
      <x:c r="AB266" s="9" t="str">
        <x:v>2024-06-30</x:v>
      </x:c>
      <x:c r="AC266" s="8" t="str">
        <x:v>75.1</x:v>
      </x:c>
      <x:c r="AD266" s="9" t="str">
        <x:v>2024 (Susenas)</x:v>
      </x:c>
      <x:c r="AE266" s="8" t="str">
        <x:v>7.46</x:v>
      </x:c>
      <x:c r="AF266" s="9" t="str">
        <x:v>Maret 2024 (Susenas)</x:v>
      </x:c>
      <x:c r="AG266" s="6" t="str">
        <x:v>25.27255689202426</x:v>
      </x:c>
      <x:c r="AH266" s="8" t="str">
        <x:v>87.1077615073422</x:v>
      </x:c>
      <x:c r="AI266" s="6" t="str">
        <x:v>495.8077860619444</x:v>
      </x:c>
      <x:c r="AJ266" s="6" t="str">
        <x:v>1.1112059759662962</x:v>
      </x:c>
      <x:c r="AK266" s="8" t="str">
        <x:v>2.224829597950621</x:v>
      </x:c>
      <x:c r="AL266" s="6" t="str">
        <x:v>2.445173900047224</x:v>
      </x:c>
      <x:c r="AM266" s="6" t="str">
        <x:v>2.0647926544646493</x:v>
      </x:c>
      <x:c r="AN266" s="6" t="str">
        <x:v>2.244932050820832</x:v>
      </x:c>
      <x:c r="AO266" s="6" t="str">
        <x:v>-0.8925215968559002</x:v>
      </x:c>
      <x:c r="AP266" s="8" t="str">
        <x:v>-0.4663899924842894</x:v>
      </x:c>
      <x:c r="AQ266" s="6" t="str">
        <x:v>-1.5245262268202215</x:v>
      </x:c>
      <x:c r="AR266" s="6" t="str">
        <x:v>-0.578040357067306</x:v>
      </x:c>
      <x:c r="AS266" s="6" t="str">
        <x:v>-0.8563188587906049</x:v>
      </x:c>
      <x:c r="AT266" s="6" t="str">
        <x:v>169.9965482506509</x:v>
      </x:c>
      <x:c r="AU266" s="8" t="str">
        <x:v>1.596819821385018</x:v>
      </x:c>
      <x:c r="AV266" s="6" t="str">
        <x:v>-0.5105863861246677</x:v>
      </x:c>
      <x:c r="AW266" s="6" t="str">
        <x:v>0.3284645264028692</x:v>
      </x:c>
      <x:c r="AX266" s="6" t="str">
        <x:v>0.4715659872210727</x:v>
      </x:c>
      <x:c r="AY266" s="6" t="str">
        <x:v>1</x:v>
      </x:c>
      <x:c r="AZ266" s="6" t="str">
        <x:v>1</x:v>
      </x:c>
      <x:c r="BA266" s="9" t="str">
        <x:v>grid_cells_within_BIG_polygon</x:v>
      </x:c>
      <x:c r="BB266" s="6" t="str">
        <x:v>9</x:v>
      </x:c>
      <x:c r="BC266" s="6" t="str">
        <x:v>65</x:v>
      </x:c>
      <x:c r="BD266" s="6" t="str">
        <x:v>63</x:v>
      </x:c>
      <x:c r="BE266" s="6" t="str">
        <x:v>21</x:v>
      </x:c>
      <x:c r="BF266" s="6" t="str">
        <x:v>12</x:v>
      </x:c>
      <x:c r="BG266" s="6" t="str">
        <x:v>30</x:v>
      </x:c>
      <x:c r="BH266" s="6" t="str">
        <x:v>0</x:v>
      </x:c>
      <x:c r="BI266" s="6" t="str">
        <x:v>0</x:v>
      </x:c>
      <x:c r="BJ266" s="6" t="str">
        <x:v>0</x:v>
      </x:c>
      <x:c r="BK266" s="6" t="str">
        <x:v>2</x:v>
      </x:c>
      <x:c r="BL266" s="6" t="str">
        <x:v>0</x:v>
      </x:c>
      <x:c r="BM266" s="6" t="str">
        <x:v>0</x:v>
      </x:c>
      <x:c r="BN266" s="6" t="str">
        <x:v>65</x:v>
      </x:c>
      <x:c r="BO266" s="6" t="str">
        <x:v>2.0</x:v>
      </x:c>
      <x:c r="BP266" s="6" t="str">
        <x:v>38</x:v>
      </x:c>
      <x:c r="BQ266" s="6" t="str">
        <x:v>15.0</x:v>
      </x:c>
      <x:c r="BR266" s="6" t="str">
        <x:v>41</x:v>
      </x:c>
      <x:c r="BS266" s="6" t="str">
        <x:v>10276.0</x:v>
      </x:c>
      <x:c r="BT266" s="6" t="str">
        <x:v>65</x:v>
      </x:c>
      <x:c r="BU266" s="6" t="str">
        <x:v>13342.0</x:v>
      </x:c>
      <x:c r="BV266" s="6" t="str">
        <x:v>19</x:v>
      </x:c>
      <x:c r="BW266" s="9" t="str">
        <x:v>operational_snapshot_annual_totals_may_differ</x:v>
      </x:c>
      <x:c r="BX266" s="9" t="str">
        <x:v>official_live_dashboard_snapshot_subject_to_revision</x:v>
      </x:c>
      <x:c r="BY266" s="9" t="str">
        <x:v>https://tbdashboard.sitb.id/ss_data_tbc03so_2024_provinsi_bulanan_list.php</x:v>
      </x:c>
      <x:c r="BZ266" s="6" t="n">
        <x:v>46246.610671296294</x:v>
      </x:c>
    </x:row>
    <x:row r="267" ht="18" customHeight="1">
      <x:c r="A267" s="6" t="str">
        <x:v>32</x:v>
      </x:c>
      <x:c r="B267" s="6" t="str">
        <x:v>JAWA BARAT</x:v>
      </x:c>
      <x:c r="C267" s="6" t="str">
        <x:v>2024</x:v>
      </x:c>
      <x:c r="D267" s="6" t="str">
        <x:v>2</x:v>
      </x:c>
      <x:c r="E267" s="6" t="str">
        <x:v>2024-02</x:v>
      </x:c>
      <x:c r="F267" s="6" t="str">
        <x:v>15748</x:v>
      </x:c>
      <x:c r="G267" s="6" t="str">
        <x:v>2391</x:v>
      </x:c>
      <x:c r="H267" s="6" t="str">
        <x:v>11339</x:v>
      </x:c>
      <x:c r="I267" s="6" t="str">
        <x:v>1544</x:v>
      </x:c>
      <x:c r="J267" s="6" t="str">
        <x:v>390</x:v>
      </x:c>
      <x:c r="K267" s="6" t="str">
        <x:v>50</x:v>
      </x:c>
      <x:c r="L267" s="6" t="str">
        <x:v>19</x:v>
      </x:c>
      <x:c r="M267" s="6" t="str">
        <x:v>15</x:v>
      </x:c>
      <x:c r="N267" s="6" t="str">
        <x:v>15748</x:v>
      </x:c>
      <x:c r="O267" s="6" t="str">
        <x:v>0</x:v>
      </x:c>
      <x:c r="P267" s="10" t="n">
        <x:f>F267-M267</x:f>
        <x:v>15733</x:v>
      </x:c>
      <x:c r="Q267" s="11" t="n">
        <x:f>IFERROR(M267/F267,"")</x:f>
        <x:v>0.00095250190500381</x:v>
      </x:c>
      <x:c r="R267" s="10" t="n">
        <x:f>G267+H267</x:f>
        <x:v>13730</x:v>
      </x:c>
      <x:c r="S267" s="11" t="n">
        <x:f>IFERROR(R267/F267,"")</x:f>
        <x:v>0.8718567437134874</x:v>
      </x:c>
      <x:c r="T267" s="11" t="n">
        <x:f>IFERROR(R267/P267,"")</x:f>
        <x:v>0.8726879806775567</x:v>
      </x:c>
      <x:c r="U267" s="10" t="n">
        <x:f>I267+J267+K267</x:f>
        <x:v>1984</x:v>
      </x:c>
      <x:c r="V267" s="11" t="n">
        <x:f>IFERROR(U267/P267,"")</x:f>
        <x:v>0.1261043666179368</x:v>
      </x:c>
      <x:c r="W267" s="9" t="str">
        <x:v>mature_le_5pct_pending</x:v>
      </x:c>
      <x:c r="X267" s="12" t="n">
        <x:f>IFERROR(F267/Z267*100000,"")</x:f>
        <x:v>31.28004258598635</x:v>
      </x:c>
      <x:c r="Y267" s="13" t="n">
        <x:f>LN(Z267)</x:f>
        <x:v>17.734413839913096</x:v>
      </x:c>
      <x:c r="Z267" s="6" t="str">
        <x:v>50345200</x:v>
      </x:c>
      <x:c r="AA267" s="6" t="str">
        <x:v>1359.0</x:v>
      </x:c>
      <x:c r="AB267" s="9" t="str">
        <x:v>2024-06-30</x:v>
      </x:c>
      <x:c r="AC267" s="8" t="str">
        <x:v>75.1</x:v>
      </x:c>
      <x:c r="AD267" s="9" t="str">
        <x:v>2024 (Susenas)</x:v>
      </x:c>
      <x:c r="AE267" s="8" t="str">
        <x:v>7.46</x:v>
      </x:c>
      <x:c r="AF267" s="9" t="str">
        <x:v>Maret 2024 (Susenas)</x:v>
      </x:c>
      <x:c r="AG267" s="6" t="str">
        <x:v>25.446926962463824</x:v>
      </x:c>
      <x:c r="AH267" s="8" t="str">
        <x:v>87.28290605200367</x:v>
      </x:c>
      <x:c r="AI267" s="6" t="str">
        <x:v>398.203906099016</x:v>
      </x:c>
      <x:c r="AJ267" s="6" t="str">
        <x:v>1.3173033375417589</x:v>
      </x:c>
      <x:c r="AK267" s="8" t="str">
        <x:v>2.9746568003777902</x:v>
      </x:c>
      <x:c r="AL267" s="6" t="str">
        <x:v>2.224829597950621</x:v>
      </x:c>
      <x:c r="AM267" s="6" t="str">
        <x:v>2.445173900047224</x:v>
      </x:c>
      <x:c r="AN267" s="6" t="str">
        <x:v>2.548220099458545</x:v>
      </x:c>
      <x:c r="AO267" s="6" t="str">
        <x:v>-1.5618938206089297</x:v>
      </x:c>
      <x:c r="AP267" s="8" t="str">
        <x:v>-1.3926651164278017</x:v>
      </x:c>
      <x:c r="AQ267" s="6" t="str">
        <x:v>-0.4663899924842894</x:v>
      </x:c>
      <x:c r="AR267" s="6" t="str">
        <x:v>-1.5245262268202215</x:v>
      </x:c>
      <x:c r="AS267" s="6" t="str">
        <x:v>-1.1278604452441037</x:v>
      </x:c>
      <x:c r="AT267" s="6" t="str">
        <x:v>74.54607384124245</x:v>
      </x:c>
      <x:c r="AU267" s="8" t="str">
        <x:v>0.7198662183112589</x:v>
      </x:c>
      <x:c r="AV267" s="6" t="str">
        <x:v>1.596819821385018</x:v>
      </x:c>
      <x:c r="AW267" s="6" t="str">
        <x:v>-0.5105863861246677</x:v>
      </x:c>
      <x:c r="AX267" s="6" t="str">
        <x:v>0.6020332178572025</x:v>
      </x:c>
      <x:c r="AY267" s="6" t="str">
        <x:v>0</x:v>
      </x:c>
      <x:c r="AZ267" s="6" t="str">
        <x:v>1</x:v>
      </x:c>
      <x:c r="BA267" s="9" t="str">
        <x:v>grid_cells_within_BIG_polygon</x:v>
      </x:c>
      <x:c r="BB267" s="6" t="str">
        <x:v>9</x:v>
      </x:c>
      <x:c r="BC267" s="6" t="str">
        <x:v>48</x:v>
      </x:c>
      <x:c r="BD267" s="6" t="str">
        <x:v>48</x:v>
      </x:c>
      <x:c r="BE267" s="6" t="str">
        <x:v>17</x:v>
      </x:c>
      <x:c r="BF267" s="6" t="str">
        <x:v>10</x:v>
      </x:c>
      <x:c r="BG267" s="6" t="str">
        <x:v>21</x:v>
      </x:c>
      <x:c r="BH267" s="6" t="str">
        <x:v>0</x:v>
      </x:c>
      <x:c r="BI267" s="6" t="str">
        <x:v>0</x:v>
      </x:c>
      <x:c r="BJ267" s="6" t="str">
        <x:v>0</x:v>
      </x:c>
      <x:c r="BK267" s="6" t="str">
        <x:v>0</x:v>
      </x:c>
      <x:c r="BL267" s="6" t="str">
        <x:v>0</x:v>
      </x:c>
      <x:c r="BM267" s="6" t="str">
        <x:v>0</x:v>
      </x:c>
      <x:c r="BN267" s="6" t="str">
        <x:v>48</x:v>
      </x:c>
      <x:c r="BO267" s="6" t="str">
        <x:v>7.0</x:v>
      </x:c>
      <x:c r="BP267" s="6" t="str">
        <x:v>29</x:v>
      </x:c>
      <x:c r="BQ267" s="6" t="str">
        <x:v>49.0</x:v>
      </x:c>
      <x:c r="BR267" s="6" t="str">
        <x:v>29</x:v>
      </x:c>
      <x:c r="BS267" s="6" t="str">
        <x:v>1984.0</x:v>
      </x:c>
      <x:c r="BT267" s="6" t="str">
        <x:v>48</x:v>
      </x:c>
      <x:c r="BU267" s="6" t="str">
        <x:v>4616.0</x:v>
      </x:c>
      <x:c r="BV267" s="6" t="str">
        <x:v>15</x:v>
      </x:c>
      <x:c r="BW267" s="9" t="str">
        <x:v>operational_snapshot_annual_totals_may_differ</x:v>
      </x:c>
      <x:c r="BX267" s="9" t="str">
        <x:v>official_live_dashboard_snapshot_subject_to_revision</x:v>
      </x:c>
      <x:c r="BY267" s="9" t="str">
        <x:v>https://tbdashboard.sitb.id/ss_data_tbc03so_2024_provinsi_bulanan_list.php</x:v>
      </x:c>
      <x:c r="BZ267" s="6" t="n">
        <x:v>46246.610671296294</x:v>
      </x:c>
    </x:row>
    <x:row r="268" ht="18" customHeight="1">
      <x:c r="A268" s="6" t="str">
        <x:v>32</x:v>
      </x:c>
      <x:c r="B268" s="6" t="str">
        <x:v>JAWA BARAT</x:v>
      </x:c>
      <x:c r="C268" s="6" t="str">
        <x:v>2024</x:v>
      </x:c>
      <x:c r="D268" s="6" t="str">
        <x:v>3</x:v>
      </x:c>
      <x:c r="E268" s="6" t="str">
        <x:v>2024-03</x:v>
      </x:c>
      <x:c r="F268" s="6" t="str">
        <x:v>16486</x:v>
      </x:c>
      <x:c r="G268" s="6" t="str">
        <x:v>2573</x:v>
      </x:c>
      <x:c r="H268" s="6" t="str">
        <x:v>11707</x:v>
      </x:c>
      <x:c r="I268" s="6" t="str">
        <x:v>1738</x:v>
      </x:c>
      <x:c r="J268" s="6" t="str">
        <x:v>402</x:v>
      </x:c>
      <x:c r="K268" s="6" t="str">
        <x:v>38</x:v>
      </x:c>
      <x:c r="L268" s="6" t="str">
        <x:v>16</x:v>
      </x:c>
      <x:c r="M268" s="6" t="str">
        <x:v>12</x:v>
      </x:c>
      <x:c r="N268" s="6" t="str">
        <x:v>16486</x:v>
      </x:c>
      <x:c r="O268" s="6" t="str">
        <x:v>0</x:v>
      </x:c>
      <x:c r="P268" s="10" t="n">
        <x:f>F268-M268</x:f>
        <x:v>16474</x:v>
      </x:c>
      <x:c r="Q268" s="11" t="n">
        <x:f>IFERROR(M268/F268,"")</x:f>
        <x:v>0.0007278903311901007</x:v>
      </x:c>
      <x:c r="R268" s="10" t="n">
        <x:f>G268+H268</x:f>
        <x:v>14280</x:v>
      </x:c>
      <x:c r="S268" s="11" t="n">
        <x:f>IFERROR(R268/F268,"")</x:f>
        <x:v>0.8661894941162198</x:v>
      </x:c>
      <x:c r="T268" s="11" t="n">
        <x:f>IFERROR(R268/P268,"")</x:f>
        <x:v>0.8668204443365303</x:v>
      </x:c>
      <x:c r="U268" s="10" t="n">
        <x:f>I268+J268+K268</x:f>
        <x:v>2178</x:v>
      </x:c>
      <x:c r="V268" s="11" t="n">
        <x:f>IFERROR(U268/P268,"")</x:f>
        <x:v>0.13220832827485735</x:v>
      </x:c>
      <x:c r="W268" s="9" t="str">
        <x:v>mature_le_5pct_pending</x:v>
      </x:c>
      <x:c r="X268" s="12" t="n">
        <x:f>IFERROR(F268/Z268*100000,"")</x:f>
        <x:v>32.74592215345256</x:v>
      </x:c>
      <x:c r="Y268" s="13" t="n">
        <x:f>LN(Z268)</x:f>
        <x:v>17.734413839913096</x:v>
      </x:c>
      <x:c r="Z268" s="6" t="str">
        <x:v>50345200</x:v>
      </x:c>
      <x:c r="AA268" s="6" t="str">
        <x:v>1359.0</x:v>
      </x:c>
      <x:c r="AB268" s="9" t="str">
        <x:v>2024-06-30</x:v>
      </x:c>
      <x:c r="AC268" s="8" t="str">
        <x:v>75.1</x:v>
      </x:c>
      <x:c r="AD268" s="9" t="str">
        <x:v>2024 (Susenas)</x:v>
      </x:c>
      <x:c r="AE268" s="8" t="str">
        <x:v>7.46</x:v>
      </x:c>
      <x:c r="AF268" s="9" t="str">
        <x:v>Maret 2024 (Susenas)</x:v>
      </x:c>
      <x:c r="AG268" s="6" t="str">
        <x:v>25.26917643736442</x:v>
      </x:c>
      <x:c r="AH268" s="8" t="str">
        <x:v>88.20624928380123</x:v>
      </x:c>
      <x:c r="AI268" s="6" t="str">
        <x:v>355.6894650520884</x:v>
      </x:c>
      <x:c r="AJ268" s="6" t="str">
        <x:v>0.8416876005560425</x:v>
      </x:c>
      <x:c r="AK268" s="8" t="str">
        <x:v>2.2890164990358466</x:v>
      </x:c>
      <x:c r="AL268" s="6" t="str">
        <x:v>2.9746568003777902</x:v>
      </x:c>
      <x:c r="AM268" s="6" t="str">
        <x:v>2.224829597950621</x:v>
      </x:c>
      <x:c r="AN268" s="6" t="str">
        <x:v>2.496167632454753</x:v>
      </x:c>
      <x:c r="AO268" s="6" t="str">
        <x:v>-0.1148020439317321</x:v>
      </x:c>
      <x:c r="AP268" s="8" t="str">
        <x:v>-0.1090180722948466</x:v>
      </x:c>
      <x:c r="AQ268" s="6" t="str">
        <x:v>-1.3926651164278017</x:v>
      </x:c>
      <x:c r="AR268" s="6" t="str">
        <x:v>-0.4663899924842894</x:v>
      </x:c>
      <x:c r="AS268" s="6" t="str">
        <x:v>-0.6560243937356453</x:v>
      </x:c>
      <x:c r="AT268" s="6" t="str">
        <x:v>50.47480296050742</x:v>
      </x:c>
      <x:c r="AU268" s="8" t="str">
        <x:v>0.5207823456086909</x:v>
      </x:c>
      <x:c r="AV268" s="6" t="str">
        <x:v>0.7198662183112589</x:v>
      </x:c>
      <x:c r="AW268" s="6" t="str">
        <x:v>1.596819821385018</x:v>
      </x:c>
      <x:c r="AX268" s="6" t="str">
        <x:v>0.9458227951016556</x:v>
      </x:c>
      <x:c r="AY268" s="6" t="str">
        <x:v>0</x:v>
      </x:c>
      <x:c r="AZ268" s="6" t="str">
        <x:v>1</x:v>
      </x:c>
      <x:c r="BA268" s="9" t="str">
        <x:v>grid_cells_within_BIG_polygon</x:v>
      </x:c>
      <x:c r="BB268" s="6" t="str">
        <x:v>9</x:v>
      </x:c>
      <x:c r="BC268" s="6" t="str">
        <x:v>42</x:v>
      </x:c>
      <x:c r="BD268" s="6" t="str">
        <x:v>42</x:v>
      </x:c>
      <x:c r="BE268" s="6" t="str">
        <x:v>17</x:v>
      </x:c>
      <x:c r="BF268" s="6" t="str">
        <x:v>10</x:v>
      </x:c>
      <x:c r="BG268" s="6" t="str">
        <x:v>15</x:v>
      </x:c>
      <x:c r="BH268" s="6" t="str">
        <x:v>0</x:v>
      </x:c>
      <x:c r="BI268" s="6" t="str">
        <x:v>0</x:v>
      </x:c>
      <x:c r="BJ268" s="6" t="str">
        <x:v>0</x:v>
      </x:c>
      <x:c r="BK268" s="6" t="str">
        <x:v>0</x:v>
      </x:c>
      <x:c r="BL268" s="6" t="str">
        <x:v>0</x:v>
      </x:c>
      <x:c r="BM268" s="6" t="str">
        <x:v>0</x:v>
      </x:c>
      <x:c r="BN268" s="6" t="str">
        <x:v>42</x:v>
      </x:c>
      <x:c r="BO268" s="6" t="str">
        <x:v>12.0</x:v>
      </x:c>
      <x:c r="BP268" s="6" t="str">
        <x:v>24</x:v>
      </x:c>
      <x:c r="BQ268" s="6" t="str">
        <x:v>46.0</x:v>
      </x:c>
      <x:c r="BR268" s="6" t="str">
        <x:v>24</x:v>
      </x:c>
      <x:c r="BS268" s="6" t="str">
        <x:v>746.0</x:v>
      </x:c>
      <x:c r="BT268" s="6" t="str">
        <x:v>42</x:v>
      </x:c>
      <x:c r="BU268" s="6" t="str">
        <x:v>46848.0</x:v>
      </x:c>
      <x:c r="BV268" s="6" t="str">
        <x:v>14</x:v>
      </x:c>
      <x:c r="BW268" s="9" t="str">
        <x:v>operational_snapshot_annual_totals_may_differ</x:v>
      </x:c>
      <x:c r="BX268" s="9" t="str">
        <x:v>official_live_dashboard_snapshot_subject_to_revision</x:v>
      </x:c>
      <x:c r="BY268" s="9" t="str">
        <x:v>https://tbdashboard.sitb.id/ss_data_tbc03so_2024_provinsi_bulanan_list.php</x:v>
      </x:c>
      <x:c r="BZ268" s="6" t="n">
        <x:v>46246.610671296294</x:v>
      </x:c>
    </x:row>
    <x:row r="269" ht="18" customHeight="1">
      <x:c r="A269" s="6" t="str">
        <x:v>32</x:v>
      </x:c>
      <x:c r="B269" s="6" t="str">
        <x:v>JAWA BARAT</x:v>
      </x:c>
      <x:c r="C269" s="6" t="str">
        <x:v>2024</x:v>
      </x:c>
      <x:c r="D269" s="6" t="str">
        <x:v>4</x:v>
      </x:c>
      <x:c r="E269" s="6" t="str">
        <x:v>2024-04</x:v>
      </x:c>
      <x:c r="F269" s="6" t="str">
        <x:v>15289</x:v>
      </x:c>
      <x:c r="G269" s="6" t="str">
        <x:v>2557</x:v>
      </x:c>
      <x:c r="H269" s="6" t="str">
        <x:v>10605</x:v>
      </x:c>
      <x:c r="I269" s="6" t="str">
        <x:v>1600</x:v>
      </x:c>
      <x:c r="J269" s="6" t="str">
        <x:v>440</x:v>
      </x:c>
      <x:c r="K269" s="6" t="str">
        <x:v>52</x:v>
      </x:c>
      <x:c r="L269" s="6" t="str">
        <x:v>22</x:v>
      </x:c>
      <x:c r="M269" s="6" t="str">
        <x:v>13</x:v>
      </x:c>
      <x:c r="N269" s="6" t="str">
        <x:v>15289</x:v>
      </x:c>
      <x:c r="O269" s="6" t="str">
        <x:v>0</x:v>
      </x:c>
      <x:c r="P269" s="10" t="n">
        <x:f>F269-M269</x:f>
        <x:v>15276</x:v>
      </x:c>
      <x:c r="Q269" s="11" t="n">
        <x:f>IFERROR(M269/F269,"")</x:f>
        <x:v>0.0008502845182811171</x:v>
      </x:c>
      <x:c r="R269" s="10" t="n">
        <x:f>G269+H269</x:f>
        <x:v>13162</x:v>
      </x:c>
      <x:c r="S269" s="11" t="n">
        <x:f>IFERROR(R269/F269,"")</x:f>
        <x:v>0.8608803715089279</x:v>
      </x:c>
      <x:c r="T269" s="11" t="n">
        <x:f>IFERROR(R269/P269,"")</x:f>
        <x:v>0.8616129876931133</x:v>
      </x:c>
      <x:c r="U269" s="10" t="n">
        <x:f>I269+J269+K269</x:f>
        <x:v>2092</x:v>
      </x:c>
      <x:c r="V269" s="11" t="n">
        <x:f>IFERROR(U269/P269,"")</x:f>
        <x:v>0.13694684472374968</x:v>
      </x:c>
      <x:c r="W269" s="9" t="str">
        <x:v>mature_le_5pct_pending</x:v>
      </x:c>
      <x:c r="X269" s="12" t="n">
        <x:f>IFERROR(F269/Z269*100000,"")</x:f>
        <x:v>30.36833700134273</x:v>
      </x:c>
      <x:c r="Y269" s="13" t="n">
        <x:f>LN(Z269)</x:f>
        <x:v>17.734413839913096</x:v>
      </x:c>
      <x:c r="Z269" s="6" t="str">
        <x:v>50345200</x:v>
      </x:c>
      <x:c r="AA269" s="6" t="str">
        <x:v>1359.0</x:v>
      </x:c>
      <x:c r="AB269" s="9" t="str">
        <x:v>2024-06-30</x:v>
      </x:c>
      <x:c r="AC269" s="8" t="str">
        <x:v>75.1</x:v>
      </x:c>
      <x:c r="AD269" s="9" t="str">
        <x:v>2024 (Susenas)</x:v>
      </x:c>
      <x:c r="AE269" s="8" t="str">
        <x:v>7.46</x:v>
      </x:c>
      <x:c r="AF269" s="9" t="str">
        <x:v>Maret 2024 (Susenas)</x:v>
      </x:c>
      <x:c r="AG269" s="6" t="str">
        <x:v>25.75597297470836</x:v>
      </x:c>
      <x:c r="AH269" s="8" t="str">
        <x:v>88.29653954879564</x:v>
      </x:c>
      <x:c r="AI269" s="6" t="str">
        <x:v>311.08179072732736</x:v>
      </x:c>
      <x:c r="AJ269" s="6" t="str">
        <x:v>1.1359658760887292</x:v>
      </x:c>
      <x:c r="AK269" s="8" t="str">
        <x:v>2.997283432737552</x:v>
      </x:c>
      <x:c r="AL269" s="6" t="str">
        <x:v>2.2890164990358466</x:v>
      </x:c>
      <x:c r="AM269" s="6" t="str">
        <x:v>2.9746568003777902</x:v>
      </x:c>
      <x:c r="AN269" s="6" t="str">
        <x:v>2.7536522440503965</x:v>
      </x:c>
      <x:c r="AO269" s="6" t="str">
        <x:v>-0.0785321134325016</x:v>
      </x:c>
      <x:c r="AP269" s="8" t="str">
        <x:v>-0.1065623850869918</x:v>
      </x:c>
      <x:c r="AQ269" s="6" t="str">
        <x:v>-0.1090180722948466</x:v>
      </x:c>
      <x:c r="AR269" s="6" t="str">
        <x:v>-1.3926651164278017</x:v>
      </x:c>
      <x:c r="AS269" s="6" t="str">
        <x:v>-0.5360818579365461</x:v>
      </x:c>
      <x:c r="AT269" s="6" t="str">
        <x:v>59.11532680703351</x:v>
      </x:c>
      <x:c r="AU269" s="8" t="str">
        <x:v>0.8578355706048663</x:v>
      </x:c>
      <x:c r="AV269" s="6" t="str">
        <x:v>0.5207823456086909</x:v>
      </x:c>
      <x:c r="AW269" s="6" t="str">
        <x:v>0.7198662183112589</x:v>
      </x:c>
      <x:c r="AX269" s="6" t="str">
        <x:v>0.6994947115082715</x:v>
      </x:c>
      <x:c r="AY269" s="6" t="str">
        <x:v>0</x:v>
      </x:c>
      <x:c r="AZ269" s="6" t="str">
        <x:v>1</x:v>
      </x:c>
      <x:c r="BA269" s="9" t="str">
        <x:v>grid_cells_within_BIG_polygon</x:v>
      </x:c>
      <x:c r="BB269" s="6" t="str">
        <x:v>9</x:v>
      </x:c>
      <x:c r="BC269" s="6" t="str">
        <x:v>45</x:v>
      </x:c>
      <x:c r="BD269" s="6" t="str">
        <x:v>27</x:v>
      </x:c>
      <x:c r="BE269" s="6" t="str">
        <x:v>12</x:v>
      </x:c>
      <x:c r="BF269" s="6" t="str">
        <x:v>10</x:v>
      </x:c>
      <x:c r="BG269" s="6" t="str">
        <x:v>5</x:v>
      </x:c>
      <x:c r="BH269" s="6" t="str">
        <x:v>0</x:v>
      </x:c>
      <x:c r="BI269" s="6" t="str">
        <x:v>0</x:v>
      </x:c>
      <x:c r="BJ269" s="6" t="str">
        <x:v>0</x:v>
      </x:c>
      <x:c r="BK269" s="6" t="str">
        <x:v>18</x:v>
      </x:c>
      <x:c r="BL269" s="6" t="str">
        <x:v>0</x:v>
      </x:c>
      <x:c r="BM269" s="6" t="str">
        <x:v>0</x:v>
      </x:c>
      <x:c r="BN269" s="6" t="str">
        <x:v>45</x:v>
      </x:c>
      <x:c r="BO269" s="6" t="str">
        <x:v>5.0</x:v>
      </x:c>
      <x:c r="BP269" s="6" t="str">
        <x:v>34</x:v>
      </x:c>
      <x:c r="BQ269" s="6" t="str">
        <x:v>15.0</x:v>
      </x:c>
      <x:c r="BR269" s="6" t="str">
        <x:v>34</x:v>
      </x:c>
      <x:c r="BS269" s="6" t="str">
        <x:v>1937.0</x:v>
      </x:c>
      <x:c r="BT269" s="6" t="str">
        <x:v>45</x:v>
      </x:c>
      <x:c r="BU269" s="6" t="str">
        <x:v>4427.0</x:v>
      </x:c>
      <x:c r="BV269" s="6" t="str">
        <x:v>11</x:v>
      </x:c>
      <x:c r="BW269" s="9" t="str">
        <x:v>operational_snapshot_annual_totals_may_differ</x:v>
      </x:c>
      <x:c r="BX269" s="9" t="str">
        <x:v>official_live_dashboard_snapshot_subject_to_revision</x:v>
      </x:c>
      <x:c r="BY269" s="9" t="str">
        <x:v>https://tbdashboard.sitb.id/ss_data_tbc03so_2024_provinsi_bulanan_list.php</x:v>
      </x:c>
      <x:c r="BZ269" s="6" t="n">
        <x:v>46246.610671296294</x:v>
      </x:c>
    </x:row>
    <x:row r="270" ht="18" customHeight="1">
      <x:c r="A270" s="6" t="str">
        <x:v>32</x:v>
      </x:c>
      <x:c r="B270" s="6" t="str">
        <x:v>JAWA BARAT</x:v>
      </x:c>
      <x:c r="C270" s="6" t="str">
        <x:v>2024</x:v>
      </x:c>
      <x:c r="D270" s="6" t="str">
        <x:v>5</x:v>
      </x:c>
      <x:c r="E270" s="6" t="str">
        <x:v>2024-05</x:v>
      </x:c>
      <x:c r="F270" s="6" t="str">
        <x:v>19176</x:v>
      </x:c>
      <x:c r="G270" s="6" t="str">
        <x:v>3346</x:v>
      </x:c>
      <x:c r="H270" s="6" t="str">
        <x:v>13327</x:v>
      </x:c>
      <x:c r="I270" s="6" t="str">
        <x:v>1872</x:v>
      </x:c>
      <x:c r="J270" s="6" t="str">
        <x:v>527</x:v>
      </x:c>
      <x:c r="K270" s="6" t="str">
        <x:v>50</x:v>
      </x:c>
      <x:c r="L270" s="6" t="str">
        <x:v>31</x:v>
      </x:c>
      <x:c r="M270" s="6" t="str">
        <x:v>23</x:v>
      </x:c>
      <x:c r="N270" s="6" t="str">
        <x:v>19176</x:v>
      </x:c>
      <x:c r="O270" s="6" t="str">
        <x:v>0</x:v>
      </x:c>
      <x:c r="P270" s="10" t="n">
        <x:f>F270-M270</x:f>
        <x:v>19153</x:v>
      </x:c>
      <x:c r="Q270" s="11" t="n">
        <x:f>IFERROR(M270/F270,"")</x:f>
        <x:v>0.0011994159365874009</x:v>
      </x:c>
      <x:c r="R270" s="10" t="n">
        <x:f>G270+H270</x:f>
        <x:v>16673</x:v>
      </x:c>
      <x:c r="S270" s="11" t="n">
        <x:f>IFERROR(R270/F270,"")</x:f>
        <x:v>0.8694722569879015</x:v>
      </x:c>
      <x:c r="T270" s="11" t="n">
        <x:f>IFERROR(R270/P270,"")</x:f>
        <x:v>0.8705163681929724</x:v>
      </x:c>
      <x:c r="U270" s="10" t="n">
        <x:f>I270+J270+K270</x:f>
        <x:v>2449</x:v>
      </x:c>
      <x:c r="V270" s="11" t="n">
        <x:f>IFERROR(U270/P270,"")</x:f>
        <x:v>0.12786508640943978</x:v>
      </x:c>
      <x:c r="W270" s="9" t="str">
        <x:v>mature_le_5pct_pending</x:v>
      </x:c>
      <x:c r="X270" s="12" t="n">
        <x:f>IFERROR(F270/Z270*100000,"")</x:f>
        <x:v>38.08903331400014</x:v>
      </x:c>
      <x:c r="Y270" s="13" t="n">
        <x:f>LN(Z270)</x:f>
        <x:v>17.734413839913096</x:v>
      </x:c>
      <x:c r="Z270" s="6" t="str">
        <x:v>50345200</x:v>
      </x:c>
      <x:c r="AA270" s="6" t="str">
        <x:v>1359.0</x:v>
      </x:c>
      <x:c r="AB270" s="9" t="str">
        <x:v>2024-06-30</x:v>
      </x:c>
      <x:c r="AC270" s="8" t="str">
        <x:v>75.1</x:v>
      </x:c>
      <x:c r="AD270" s="9" t="str">
        <x:v>2024 (Susenas)</x:v>
      </x:c>
      <x:c r="AE270" s="8" t="str">
        <x:v>7.46</x:v>
      </x:c>
      <x:c r="AF270" s="9" t="str">
        <x:v>Maret 2024 (Susenas)</x:v>
      </x:c>
      <x:c r="AG270" s="6" t="str">
        <x:v>25.35614800890569</x:v>
      </x:c>
      <x:c r="AH270" s="8" t="str">
        <x:v>87.4616033938057</x:v>
      </x:c>
      <x:c r="AI270" s="6" t="str">
        <x:v>111.09533958815892</x:v>
      </x:c>
      <x:c r="AJ270" s="6" t="str">
        <x:v>0.8641005583490724</x:v>
      </x:c>
      <x:c r="AK270" s="8" t="str">
        <x:v>2.003368944949966</x:v>
      </x:c>
      <x:c r="AL270" s="6" t="str">
        <x:v>2.997283432737552</x:v>
      </x:c>
      <x:c r="AM270" s="6" t="str">
        <x:v>2.2890164990358466</x:v>
      </x:c>
      <x:c r="AN270" s="6" t="str">
        <x:v>2.429889625574455</x:v>
      </x:c>
      <x:c r="AO270" s="6" t="str">
        <x:v>-0.334250253479567</x:v>
      </x:c>
      <x:c r="AP270" s="8" t="str">
        <x:v>-0.3633655847082304</x:v>
      </x:c>
      <x:c r="AQ270" s="6" t="str">
        <x:v>-0.1065623850869918</x:v>
      </x:c>
      <x:c r="AR270" s="6" t="str">
        <x:v>-0.1090180722948466</x:v>
      </x:c>
      <x:c r="AS270" s="6" t="str">
        <x:v>-0.1929820140300222</x:v>
      </x:c>
      <x:c r="AT270" s="6" t="str">
        <x:v>-54.13404389813967</x:v>
      </x:c>
      <x:c r="AU270" s="8" t="str">
        <x:v>-0.687759575183185</x:v>
      </x:c>
      <x:c r="AV270" s="6" t="str">
        <x:v>0.8578355706048663</x:v>
      </x:c>
      <x:c r="AW270" s="6" t="str">
        <x:v>0.5207823456086909</x:v>
      </x:c>
      <x:c r="AX270" s="6" t="str">
        <x:v>0.2302861136767901</x:v>
      </x:c>
      <x:c r="AY270" s="6" t="str">
        <x:v>0</x:v>
      </x:c>
      <x:c r="AZ270" s="6" t="str">
        <x:v>1</x:v>
      </x:c>
      <x:c r="BA270" s="9" t="str">
        <x:v>grid_cells_within_BIG_polygon</x:v>
      </x:c>
      <x:c r="BB270" s="6" t="str">
        <x:v>9</x:v>
      </x:c>
      <x:c r="BC270" s="6" t="str">
        <x:v>29</x:v>
      </x:c>
      <x:c r="BD270" s="6" t="str">
        <x:v>29</x:v>
      </x:c>
      <x:c r="BE270" s="6" t="str">
        <x:v>10</x:v>
      </x:c>
      <x:c r="BF270" s="6" t="str">
        <x:v>8</x:v>
      </x:c>
      <x:c r="BG270" s="6" t="str">
        <x:v>9</x:v>
      </x:c>
      <x:c r="BH270" s="6" t="str">
        <x:v>2</x:v>
      </x:c>
      <x:c r="BI270" s="6" t="str">
        <x:v>0</x:v>
      </x:c>
      <x:c r="BJ270" s="6" t="str">
        <x:v>0</x:v>
      </x:c>
      <x:c r="BK270" s="6" t="str">
        <x:v>0</x:v>
      </x:c>
      <x:c r="BL270" s="6" t="str">
        <x:v>0</x:v>
      </x:c>
      <x:c r="BM270" s="6" t="str">
        <x:v>0</x:v>
      </x:c>
      <x:c r="BN270" s="6" t="str">
        <x:v>29</x:v>
      </x:c>
      <x:c r="BO270" s="6" t="str">
        <x:v>1.0</x:v>
      </x:c>
      <x:c r="BP270" s="6" t="str">
        <x:v>21</x:v>
      </x:c>
      <x:c r="BQ270" s="6" t="str">
        <x:v>1.0</x:v>
      </x:c>
      <x:c r="BR270" s="6" t="str">
        <x:v>21</x:v>
      </x:c>
      <x:c r="BS270" s="6" t="str">
        <x:v>292.0</x:v>
      </x:c>
      <x:c r="BT270" s="6" t="str">
        <x:v>29</x:v>
      </x:c>
      <x:c r="BU270" s="6" t="str">
        <x:v>2915.0</x:v>
      </x:c>
      <x:c r="BV270" s="6" t="str">
        <x:v>8</x:v>
      </x:c>
      <x:c r="BW270" s="9" t="str">
        <x:v>operational_snapshot_annual_totals_may_differ</x:v>
      </x:c>
      <x:c r="BX270" s="9" t="str">
        <x:v>official_live_dashboard_snapshot_subject_to_revision</x:v>
      </x:c>
      <x:c r="BY270" s="9" t="str">
        <x:v>https://tbdashboard.sitb.id/ss_data_tbc03so_2024_provinsi_bulanan_list.php</x:v>
      </x:c>
      <x:c r="BZ270" s="6" t="n">
        <x:v>46246.610671296294</x:v>
      </x:c>
    </x:row>
    <x:row r="271" ht="18" customHeight="1">
      <x:c r="A271" s="6" t="str">
        <x:v>32</x:v>
      </x:c>
      <x:c r="B271" s="6" t="str">
        <x:v>JAWA BARAT</x:v>
      </x:c>
      <x:c r="C271" s="6" t="str">
        <x:v>2024</x:v>
      </x:c>
      <x:c r="D271" s="6" t="str">
        <x:v>6</x:v>
      </x:c>
      <x:c r="E271" s="6" t="str">
        <x:v>2024-06</x:v>
      </x:c>
      <x:c r="F271" s="6" t="str">
        <x:v>16372</x:v>
      </x:c>
      <x:c r="G271" s="6" t="str">
        <x:v>2792</x:v>
      </x:c>
      <x:c r="H271" s="6" t="str">
        <x:v>11478</x:v>
      </x:c>
      <x:c r="I271" s="6" t="str">
        <x:v>1600</x:v>
      </x:c>
      <x:c r="J271" s="6" t="str">
        <x:v>425</x:v>
      </x:c>
      <x:c r="K271" s="6" t="str">
        <x:v>31</x:v>
      </x:c>
      <x:c r="L271" s="6" t="str">
        <x:v>23</x:v>
      </x:c>
      <x:c r="M271" s="6" t="str">
        <x:v>23</x:v>
      </x:c>
      <x:c r="N271" s="6" t="str">
        <x:v>16372</x:v>
      </x:c>
      <x:c r="O271" s="6" t="str">
        <x:v>0</x:v>
      </x:c>
      <x:c r="P271" s="10" t="n">
        <x:f>F271-M271</x:f>
        <x:v>16349</x:v>
      </x:c>
      <x:c r="Q271" s="11" t="n">
        <x:f>IFERROR(M271/F271,"")</x:f>
        <x:v>0.0014048375274859515</x:v>
      </x:c>
      <x:c r="R271" s="10" t="n">
        <x:f>G271+H271</x:f>
        <x:v>14270</x:v>
      </x:c>
      <x:c r="S271" s="11" t="n">
        <x:f>IFERROR(R271/F271,"")</x:f>
        <x:v>0.8716100659662839</x:v>
      </x:c>
      <x:c r="T271" s="11" t="n">
        <x:f>IFERROR(R271/P271,"")</x:f>
        <x:v>0.8728362590984158</x:v>
      </x:c>
      <x:c r="U271" s="10" t="n">
        <x:f>I271+J271+K271</x:f>
        <x:v>2056</x:v>
      </x:c>
      <x:c r="V271" s="11" t="n">
        <x:f>IFERROR(U271/P271,"")</x:f>
        <x:v>0.1257569270291761</x:v>
      </x:c>
      <x:c r="W271" s="9" t="str">
        <x:v>mature_le_5pct_pending</x:v>
      </x:c>
      <x:c r="X271" s="12" t="n">
        <x:f>IFERROR(F271/Z271*100000,"")</x:f>
        <x:v>32.519485472299245</x:v>
      </x:c>
      <x:c r="Y271" s="13" t="n">
        <x:f>LN(Z271)</x:f>
        <x:v>17.734413839913096</x:v>
      </x:c>
      <x:c r="Z271" s="6" t="str">
        <x:v>50345200</x:v>
      </x:c>
      <x:c r="AA271" s="6" t="str">
        <x:v>1359.0</x:v>
      </x:c>
      <x:c r="AB271" s="9" t="str">
        <x:v>2024-06-30</x:v>
      </x:c>
      <x:c r="AC271" s="8" t="str">
        <x:v>75.1</x:v>
      </x:c>
      <x:c r="AD271" s="9" t="str">
        <x:v>2024 (Susenas)</x:v>
      </x:c>
      <x:c r="AE271" s="8" t="str">
        <x:v>7.46</x:v>
      </x:c>
      <x:c r="AF271" s="9" t="str">
        <x:v>Maret 2024 (Susenas)</x:v>
      </x:c>
      <x:c r="AG271" s="6" t="str">
        <x:v>24.945981059755518</x:v>
      </x:c>
      <x:c r="AH271" s="8" t="str">
        <x:v>87.01728316453324</x:v>
      </x:c>
      <x:c r="AI271" s="6" t="str">
        <x:v>185.1950319489186</x:v>
      </x:c>
      <x:c r="AJ271" s="6" t="str">
        <x:v>1.1370861610406813</x:v>
      </x:c>
      <x:c r="AK271" s="8" t="str">
        <x:v>2.249979563101636</x:v>
      </x:c>
      <x:c r="AL271" s="6" t="str">
        <x:v>2.003368944949966</x:v>
      </x:c>
      <x:c r="AM271" s="6" t="str">
        <x:v>2.997283432737552</x:v>
      </x:c>
      <x:c r="AN271" s="6" t="str">
        <x:v>2.416877313596385</x:v>
      </x:c>
      <x:c r="AO271" s="6" t="str">
        <x:v>-0.1903491347592165</x:v>
      </x:c>
      <x:c r="AP271" s="8" t="str">
        <x:v>-0.1375763553799864</x:v>
      </x:c>
      <x:c r="AQ271" s="6" t="str">
        <x:v>-0.3633655847082304</x:v>
      </x:c>
      <x:c r="AR271" s="6" t="str">
        <x:v>-0.1065623850869918</x:v>
      </x:c>
      <x:c r="AS271" s="6" t="str">
        <x:v>-0.2025014417250688</x:v>
      </x:c>
      <x:c r="AT271" s="6" t="str">
        <x:v>86.94197191682049</x:v>
      </x:c>
      <x:c r="AU271" s="8" t="str">
        <x:v>1.3554643817676104</x:v>
      </x:c>
      <x:c r="AV271" s="6" t="str">
        <x:v>-0.687759575183185</x:v>
      </x:c>
      <x:c r="AW271" s="6" t="str">
        <x:v>0.8578355706048663</x:v>
      </x:c>
      <x:c r="AX271" s="6" t="str">
        <x:v>0.5085134590630968</x:v>
      </x:c>
      <x:c r="AY271" s="6" t="str">
        <x:v>1</x:v>
      </x:c>
      <x:c r="AZ271" s="6" t="str">
        <x:v>1</x:v>
      </x:c>
      <x:c r="BA271" s="9" t="str">
        <x:v>grid_cells_within_BIG_polygon</x:v>
      </x:c>
      <x:c r="BB271" s="6" t="str">
        <x:v>9</x:v>
      </x:c>
      <x:c r="BC271" s="6" t="str">
        <x:v>21</x:v>
      </x:c>
      <x:c r="BD271" s="6" t="str">
        <x:v>21</x:v>
      </x:c>
      <x:c r="BE271" s="6" t="str">
        <x:v>5</x:v>
      </x:c>
      <x:c r="BF271" s="6" t="str">
        <x:v>6</x:v>
      </x:c>
      <x:c r="BG271" s="6" t="str">
        <x:v>7</x:v>
      </x:c>
      <x:c r="BH271" s="6" t="str">
        <x:v>3</x:v>
      </x:c>
      <x:c r="BI271" s="6" t="str">
        <x:v>0</x:v>
      </x:c>
      <x:c r="BJ271" s="6" t="str">
        <x:v>0</x:v>
      </x:c>
      <x:c r="BK271" s="6" t="str">
        <x:v>0</x:v>
      </x:c>
      <x:c r="BL271" s="6" t="str">
        <x:v>0</x:v>
      </x:c>
      <x:c r="BM271" s="6" t="str">
        <x:v>0</x:v>
      </x:c>
      <x:c r="BN271" s="6" t="str">
        <x:v>21</x:v>
      </x:c>
      <x:c r="BO271" s="6" t="str">
        <x:v>0.0</x:v>
      </x:c>
      <x:c r="BP271" s="6" t="str">
        <x:v>14</x:v>
      </x:c>
      <x:c r="BQ271" s="6" t="str">
        <x:v>0.0</x:v>
      </x:c>
      <x:c r="BR271" s="6" t="str">
        <x:v>14</x:v>
      </x:c>
      <x:c r="BS271" s="6" t="str">
        <x:v>218.0</x:v>
      </x:c>
      <x:c r="BT271" s="6" t="str">
        <x:v>21</x:v>
      </x:c>
      <x:c r="BU271" s="6" t="str">
        <x:v>1077.0</x:v>
      </x:c>
      <x:c r="BV271" s="6" t="str">
        <x:v>5</x:v>
      </x:c>
      <x:c r="BW271" s="9" t="str">
        <x:v>operational_snapshot_annual_totals_may_differ</x:v>
      </x:c>
      <x:c r="BX271" s="9" t="str">
        <x:v>official_live_dashboard_snapshot_subject_to_revision</x:v>
      </x:c>
      <x:c r="BY271" s="9" t="str">
        <x:v>https://tbdashboard.sitb.id/ss_data_tbc03so_2024_provinsi_bulanan_list.php</x:v>
      </x:c>
      <x:c r="BZ271" s="6" t="n">
        <x:v>46246.610671296294</x:v>
      </x:c>
    </x:row>
    <x:row r="272" ht="18" customHeight="1">
      <x:c r="A272" s="6" t="str">
        <x:v>32</x:v>
      </x:c>
      <x:c r="B272" s="6" t="str">
        <x:v>JAWA BARAT</x:v>
      </x:c>
      <x:c r="C272" s="6" t="str">
        <x:v>2024</x:v>
      </x:c>
      <x:c r="D272" s="6" t="str">
        <x:v>7</x:v>
      </x:c>
      <x:c r="E272" s="6" t="str">
        <x:v>2024-07</x:v>
      </x:c>
      <x:c r="F272" s="6" t="str">
        <x:v>18194</x:v>
      </x:c>
      <x:c r="G272" s="6" t="str">
        <x:v>3085</x:v>
      </x:c>
      <x:c r="H272" s="6" t="str">
        <x:v>12705</x:v>
      </x:c>
      <x:c r="I272" s="6" t="str">
        <x:v>1752</x:v>
      </x:c>
      <x:c r="J272" s="6" t="str">
        <x:v>565</x:v>
      </x:c>
      <x:c r="K272" s="6" t="str">
        <x:v>38</x:v>
      </x:c>
      <x:c r="L272" s="6" t="str">
        <x:v>23</x:v>
      </x:c>
      <x:c r="M272" s="6" t="str">
        <x:v>26</x:v>
      </x:c>
      <x:c r="N272" s="6" t="str">
        <x:v>18194</x:v>
      </x:c>
      <x:c r="O272" s="6" t="str">
        <x:v>0</x:v>
      </x:c>
      <x:c r="P272" s="10" t="n">
        <x:f>F272-M272</x:f>
        <x:v>18168</x:v>
      </x:c>
      <x:c r="Q272" s="11" t="n">
        <x:f>IFERROR(M272/F272,"")</x:f>
        <x:v>0.0014290425414971969</x:v>
      </x:c>
      <x:c r="R272" s="10" t="n">
        <x:f>G272+H272</x:f>
        <x:v>15790</x:v>
      </x:c>
      <x:c r="S272" s="11" t="n">
        <x:f>IFERROR(R272/F272,"")</x:f>
        <x:v>0.8678685280861823</x:v>
      </x:c>
      <x:c r="T272" s="11" t="n">
        <x:f>IFERROR(R272/P272,"")</x:f>
        <x:v>0.8691105239982386</x:v>
      </x:c>
      <x:c r="U272" s="10" t="n">
        <x:f>I272+J272+K272</x:f>
        <x:v>2355</x:v>
      </x:c>
      <x:c r="V272" s="11" t="n">
        <x:f>IFERROR(U272/P272,"")</x:f>
        <x:v>0.1296235138705416</x:v>
      </x:c>
      <x:c r="W272" s="9" t="str">
        <x:v>mature_le_5pct_pending</x:v>
      </x:c>
      <x:c r="X272" s="12" t="n">
        <x:f>IFERROR(F272/Z272*100000,"")</x:f>
        <x:v>36.13849979739876</x:v>
      </x:c>
      <x:c r="Y272" s="13" t="n">
        <x:f>LN(Z272)</x:f>
        <x:v>17.734413839913096</x:v>
      </x:c>
      <x:c r="Z272" s="6" t="str">
        <x:v>50345200</x:v>
      </x:c>
      <x:c r="AA272" s="6" t="str">
        <x:v>1359.0</x:v>
      </x:c>
      <x:c r="AB272" s="9" t="str">
        <x:v>2024-06-30</x:v>
      </x:c>
      <x:c r="AC272" s="8" t="str">
        <x:v>75.1</x:v>
      </x:c>
      <x:c r="AD272" s="9" t="str">
        <x:v>2024 (Susenas)</x:v>
      </x:c>
      <x:c r="AE272" s="8" t="str">
        <x:v>7.46</x:v>
      </x:c>
      <x:c r="AF272" s="9" t="str">
        <x:v>Maret 2024 (Susenas)</x:v>
      </x:c>
      <x:c r="AG272" s="6" t="str">
        <x:v>23.77833243960562</x:v>
      </x:c>
      <x:c r="AH272" s="8" t="str">
        <x:v>86.52152862149505</x:v>
      </x:c>
      <x:c r="AI272" s="6" t="str">
        <x:v>276.22484554486465</x:v>
      </x:c>
      <x:c r="AJ272" s="6" t="str">
        <x:v>0.6510859914316676</x:v>
      </x:c>
      <x:c r="AK272" s="8" t="str">
        <x:v>1.0306032435527337</x:v>
      </x:c>
      <x:c r="AL272" s="6" t="str">
        <x:v>2.249979563101636</x:v>
      </x:c>
      <x:c r="AM272" s="6" t="str">
        <x:v>2.003368944949966</x:v>
      </x:c>
      <x:c r="AN272" s="6" t="str">
        <x:v>1.7613172505347787</x:v>
      </x:c>
      <x:c r="AO272" s="6" t="str">
        <x:v>0.6190325847964715</x:v>
      </x:c>
      <x:c r="AP272" s="8" t="str">
        <x:v>0.3708043617955145</x:v>
      </x:c>
      <x:c r="AQ272" s="6" t="str">
        <x:v>-0.1375763553799864</x:v>
      </x:c>
      <x:c r="AR272" s="6" t="str">
        <x:v>-0.3633655847082304</x:v>
      </x:c>
      <x:c r="AS272" s="6" t="str">
        <x:v>-0.0433791927642334</x:v>
      </x:c>
      <x:c r="AT272" s="6" t="str">
        <x:v>208.2366856741897</x:v>
      </x:c>
      <x:c r="AU272" s="8" t="str">
        <x:v>2.8639396648501183</x:v>
      </x:c>
      <x:c r="AV272" s="6" t="str">
        <x:v>1.3554643817676104</x:v>
      </x:c>
      <x:c r="AW272" s="6" t="str">
        <x:v>-0.687759575183185</x:v>
      </x:c>
      <x:c r="AX272" s="6" t="str">
        <x:v>1.177214823811514</x:v>
      </x:c>
      <x:c r="AY272" s="6" t="str">
        <x:v>1</x:v>
      </x:c>
      <x:c r="AZ272" s="6" t="str">
        <x:v>1</x:v>
      </x:c>
      <x:c r="BA272" s="9" t="str">
        <x:v>grid_cells_within_BIG_polygon</x:v>
      </x:c>
      <x:c r="BB272" s="6" t="str">
        <x:v>9</x:v>
      </x:c>
      <x:c r="BC272" s="6" t="str">
        <x:v>21</x:v>
      </x:c>
      <x:c r="BD272" s="6" t="str">
        <x:v>20</x:v>
      </x:c>
      <x:c r="BE272" s="6" t="str">
        <x:v>6</x:v>
      </x:c>
      <x:c r="BF272" s="6" t="str">
        <x:v>0</x:v>
      </x:c>
      <x:c r="BG272" s="6" t="str">
        <x:v>9</x:v>
      </x:c>
      <x:c r="BH272" s="6" t="str">
        <x:v>3</x:v>
      </x:c>
      <x:c r="BI272" s="6" t="str">
        <x:v>2</x:v>
      </x:c>
      <x:c r="BJ272" s="6" t="str">
        <x:v>0</x:v>
      </x:c>
      <x:c r="BK272" s="6" t="str">
        <x:v>1</x:v>
      </x:c>
      <x:c r="BL272" s="6" t="str">
        <x:v>0</x:v>
      </x:c>
      <x:c r="BM272" s="6" t="str">
        <x:v>0</x:v>
      </x:c>
      <x:c r="BN272" s="6" t="str">
        <x:v>21</x:v>
      </x:c>
      <x:c r="BO272" s="6" t="str">
        <x:v>0.0</x:v>
      </x:c>
      <x:c r="BP272" s="6" t="str">
        <x:v>18</x:v>
      </x:c>
      <x:c r="BQ272" s="6" t="str">
        <x:v>0.0</x:v>
      </x:c>
      <x:c r="BR272" s="6" t="str">
        <x:v>18</x:v>
      </x:c>
      <x:c r="BS272" s="6" t="str">
        <x:v>128.0</x:v>
      </x:c>
      <x:c r="BT272" s="6" t="str">
        <x:v>21</x:v>
      </x:c>
      <x:c r="BU272" s="6" t="str">
        <x:v>7767.0</x:v>
      </x:c>
      <x:c r="BV272" s="6" t="str">
        <x:v>5</x:v>
      </x:c>
      <x:c r="BW272" s="9" t="str">
        <x:v>operational_snapshot_annual_totals_may_differ</x:v>
      </x:c>
      <x:c r="BX272" s="9" t="str">
        <x:v>official_live_dashboard_snapshot_subject_to_revision</x:v>
      </x:c>
      <x:c r="BY272" s="9" t="str">
        <x:v>https://tbdashboard.sitb.id/ss_data_tbc03so_2024_provinsi_bulanan_list.php</x:v>
      </x:c>
      <x:c r="BZ272" s="6" t="n">
        <x:v>46246.610671296294</x:v>
      </x:c>
    </x:row>
    <x:row r="273" ht="18" customHeight="1">
      <x:c r="A273" s="6" t="str">
        <x:v>32</x:v>
      </x:c>
      <x:c r="B273" s="6" t="str">
        <x:v>JAWA BARAT</x:v>
      </x:c>
      <x:c r="C273" s="6" t="str">
        <x:v>2024</x:v>
      </x:c>
      <x:c r="D273" s="6" t="str">
        <x:v>8</x:v>
      </x:c>
      <x:c r="E273" s="6" t="str">
        <x:v>2024-08</x:v>
      </x:c>
      <x:c r="F273" s="6" t="str">
        <x:v>17406</x:v>
      </x:c>
      <x:c r="G273" s="6" t="str">
        <x:v>2784</x:v>
      </x:c>
      <x:c r="H273" s="6" t="str">
        <x:v>12244</x:v>
      </x:c>
      <x:c r="I273" s="6" t="str">
        <x:v>1778</x:v>
      </x:c>
      <x:c r="J273" s="6" t="str">
        <x:v>503</x:v>
      </x:c>
      <x:c r="K273" s="6" t="str">
        <x:v>42</x:v>
      </x:c>
      <x:c r="L273" s="6" t="str">
        <x:v>26</x:v>
      </x:c>
      <x:c r="M273" s="6" t="str">
        <x:v>29</x:v>
      </x:c>
      <x:c r="N273" s="6" t="str">
        <x:v>17406</x:v>
      </x:c>
      <x:c r="O273" s="6" t="str">
        <x:v>0</x:v>
      </x:c>
      <x:c r="P273" s="10" t="n">
        <x:f>F273-M273</x:f>
        <x:v>17377</x:v>
      </x:c>
      <x:c r="Q273" s="11" t="n">
        <x:f>IFERROR(M273/F273,"")</x:f>
        <x:v>0.001666092152131449</x:v>
      </x:c>
      <x:c r="R273" s="10" t="n">
        <x:f>G273+H273</x:f>
        <x:v>15028</x:v>
      </x:c>
      <x:c r="S273" s="11" t="n">
        <x:f>IFERROR(R273/F273,"")</x:f>
        <x:v>0.8633804435252211</x:v>
      </x:c>
      <x:c r="T273" s="11" t="n">
        <x:f>IFERROR(R273/P273,"")</x:f>
        <x:v>0.8648213155320251</x:v>
      </x:c>
      <x:c r="U273" s="10" t="n">
        <x:f>I273+J273+K273</x:f>
        <x:v>2323</x:v>
      </x:c>
      <x:c r="V273" s="11" t="n">
        <x:f>IFERROR(U273/P273,"")</x:f>
        <x:v>0.13368245381826552</x:v>
      </x:c>
      <x:c r="W273" s="9" t="str">
        <x:v>mature_le_5pct_pending</x:v>
      </x:c>
      <x:c r="X273" s="12" t="n">
        <x:f>IFERROR(F273/Z273*100000,"")</x:f>
        <x:v>34.57330589609337</x:v>
      </x:c>
      <x:c r="Y273" s="13" t="n">
        <x:f>LN(Z273)</x:f>
        <x:v>17.734413839913096</x:v>
      </x:c>
      <x:c r="Z273" s="6" t="str">
        <x:v>50345200</x:v>
      </x:c>
      <x:c r="AA273" s="6" t="str">
        <x:v>1359.0</x:v>
      </x:c>
      <x:c r="AB273" s="9" t="str">
        <x:v>2024-06-30</x:v>
      </x:c>
      <x:c r="AC273" s="8" t="str">
        <x:v>75.1</x:v>
      </x:c>
      <x:c r="AD273" s="9" t="str">
        <x:v>2024 (Susenas)</x:v>
      </x:c>
      <x:c r="AE273" s="8" t="str">
        <x:v>7.46</x:v>
      </x:c>
      <x:c r="AF273" s="9" t="str">
        <x:v>Maret 2024 (Susenas)</x:v>
      </x:c>
      <x:c r="AG273" s="6" t="str">
        <x:v>23.61755487614391</x:v>
      </x:c>
      <x:c r="AH273" s="8" t="str">
        <x:v>84.1913782124084</x:v>
      </x:c>
      <x:c r="AI273" s="6" t="str">
        <x:v>60.30937974878064</x:v>
      </x:c>
      <x:c r="AJ273" s="6" t="str">
        <x:v>0.5498365755401551</x:v>
      </x:c>
      <x:c r="AK273" s="8" t="str">
        <x:v>1.012453247744447</x:v>
      </x:c>
      <x:c r="AL273" s="6" t="str">
        <x:v>1.0306032435527337</x:v>
      </x:c>
      <x:c r="AM273" s="6" t="str">
        <x:v>2.249979563101636</x:v>
      </x:c>
      <x:c r="AN273" s="6" t="str">
        <x:v>1.4310120181329389</x:v>
      </x:c>
      <x:c r="AO273" s="6" t="str">
        <x:v>0.639550919679607</x:v>
      </x:c>
      <x:c r="AP273" s="8" t="str">
        <x:v>0.3595155246949014</x:v>
      </x:c>
      <x:c r="AQ273" s="6" t="str">
        <x:v>0.3708043617955145</x:v>
      </x:c>
      <x:c r="AR273" s="6" t="str">
        <x:v>-0.1375763553799864</x:v>
      </x:c>
      <x:c r="AS273" s="6" t="str">
        <x:v>0.1975811770368105</x:v>
      </x:c>
      <x:c r="AT273" s="6" t="str">
        <x:v>12.675694932941475</x:v>
      </x:c>
      <x:c r="AU273" s="8" t="str">
        <x:v>0.2361789860769444</x:v>
      </x:c>
      <x:c r="AV273" s="6" t="str">
        <x:v>2.8639396648501183</x:v>
      </x:c>
      <x:c r="AW273" s="6" t="str">
        <x:v>1.3554643817676104</x:v>
      </x:c>
      <x:c r="AX273" s="6" t="str">
        <x:v>1.4851943442315572</x:v>
      </x:c>
      <x:c r="AY273" s="6" t="str">
        <x:v>0</x:v>
      </x:c>
      <x:c r="AZ273" s="6" t="str">
        <x:v>1</x:v>
      </x:c>
      <x:c r="BA273" s="9" t="str">
        <x:v>grid_cells_within_BIG_polygon</x:v>
      </x:c>
      <x:c r="BB273" s="6" t="str">
        <x:v>9</x:v>
      </x:c>
      <x:c r="BC273" s="6" t="str">
        <x:v>22</x:v>
      </x:c>
      <x:c r="BD273" s="6" t="str">
        <x:v>22</x:v>
      </x:c>
      <x:c r="BE273" s="6" t="str">
        <x:v>2</x:v>
      </x:c>
      <x:c r="BF273" s="6" t="str">
        <x:v>1</x:v>
      </x:c>
      <x:c r="BG273" s="6" t="str">
        <x:v>3</x:v>
      </x:c>
      <x:c r="BH273" s="6" t="str">
        <x:v>9</x:v>
      </x:c>
      <x:c r="BI273" s="6" t="str">
        <x:v>7</x:v>
      </x:c>
      <x:c r="BJ273" s="6" t="str">
        <x:v>0</x:v>
      </x:c>
      <x:c r="BK273" s="6" t="str">
        <x:v>0</x:v>
      </x:c>
      <x:c r="BL273" s="6" t="str">
        <x:v>0</x:v>
      </x:c>
      <x:c r="BM273" s="6" t="str">
        <x:v>0</x:v>
      </x:c>
      <x:c r="BN273" s="6" t="str">
        <x:v>22</x:v>
      </x:c>
      <x:c r="BO273" s="6" t="str">
        <x:v>0.0</x:v>
      </x:c>
      <x:c r="BP273" s="6" t="str">
        <x:v>18</x:v>
      </x:c>
      <x:c r="BQ273" s="6" t="str">
        <x:v>0.0</x:v>
      </x:c>
      <x:c r="BR273" s="6" t="str">
        <x:v>18</x:v>
      </x:c>
      <x:c r="BS273" s="6" t="str">
        <x:v>54.0</x:v>
      </x:c>
      <x:c r="BT273" s="6" t="str">
        <x:v>22</x:v>
      </x:c>
      <x:c r="BU273" s="6" t="str"/>
      <x:c r="BV273" s="6" t="str">
        <x:v>0</x:v>
      </x:c>
      <x:c r="BW273" s="9" t="str">
        <x:v>operational_snapshot_annual_totals_may_differ</x:v>
      </x:c>
      <x:c r="BX273" s="9" t="str">
        <x:v>official_live_dashboard_snapshot_subject_to_revision</x:v>
      </x:c>
      <x:c r="BY273" s="9" t="str">
        <x:v>https://tbdashboard.sitb.id/ss_data_tbc03so_2024_provinsi_bulanan_list.php</x:v>
      </x:c>
      <x:c r="BZ273" s="6" t="n">
        <x:v>46246.610671296294</x:v>
      </x:c>
    </x:row>
    <x:row r="274" ht="18" customHeight="1">
      <x:c r="A274" s="6" t="str">
        <x:v>32</x:v>
      </x:c>
      <x:c r="B274" s="6" t="str">
        <x:v>JAWA BARAT</x:v>
      </x:c>
      <x:c r="C274" s="6" t="str">
        <x:v>2024</x:v>
      </x:c>
      <x:c r="D274" s="6" t="str">
        <x:v>9</x:v>
      </x:c>
      <x:c r="E274" s="6" t="str">
        <x:v>2024-09</x:v>
      </x:c>
      <x:c r="F274" s="6" t="str">
        <x:v>16979</x:v>
      </x:c>
      <x:c r="G274" s="6" t="str">
        <x:v>2476</x:v>
      </x:c>
      <x:c r="H274" s="6" t="str">
        <x:v>12110</x:v>
      </x:c>
      <x:c r="I274" s="6" t="str">
        <x:v>1746</x:v>
      </x:c>
      <x:c r="J274" s="6" t="str">
        <x:v>515</x:v>
      </x:c>
      <x:c r="K274" s="6" t="str">
        <x:v>44</x:v>
      </x:c>
      <x:c r="L274" s="6" t="str">
        <x:v>31</x:v>
      </x:c>
      <x:c r="M274" s="6" t="str">
        <x:v>57</x:v>
      </x:c>
      <x:c r="N274" s="6" t="str">
        <x:v>16979</x:v>
      </x:c>
      <x:c r="O274" s="6" t="str">
        <x:v>0</x:v>
      </x:c>
      <x:c r="P274" s="10" t="n">
        <x:f>F274-M274</x:f>
        <x:v>16922</x:v>
      </x:c>
      <x:c r="Q274" s="11" t="n">
        <x:f>IFERROR(M274/F274,"")</x:f>
        <x:v>0.0033570881677366157</x:v>
      </x:c>
      <x:c r="R274" s="10" t="n">
        <x:f>G274+H274</x:f>
        <x:v>14586</x:v>
      </x:c>
      <x:c r="S274" s="11" t="n">
        <x:f>IFERROR(R274/F274,"")</x:f>
        <x:v>0.8590611932387067</x:v>
      </x:c>
      <x:c r="T274" s="11" t="n">
        <x:f>IFERROR(R274/P274,"")</x:f>
        <x:v>0.8619548516723792</x:v>
      </x:c>
      <x:c r="U274" s="10" t="n">
        <x:f>I274+J274+K274</x:f>
        <x:v>2305</x:v>
      </x:c>
      <x:c r="V274" s="11" t="n">
        <x:f>IFERROR(U274/P274,"")</x:f>
        <x:v>0.13621321356813615</x:v>
      </x:c>
      <x:c r="W274" s="9" t="str">
        <x:v>mature_le_5pct_pending</x:v>
      </x:c>
      <x:c r="X274" s="12" t="n">
        <x:f>IFERROR(F274/Z274*100000,"")</x:f>
        <x:v>33.725161485106824</x:v>
      </x:c>
      <x:c r="Y274" s="13" t="n">
        <x:f>LN(Z274)</x:f>
        <x:v>17.734413839913096</x:v>
      </x:c>
      <x:c r="Z274" s="6" t="str">
        <x:v>50345200</x:v>
      </x:c>
      <x:c r="AA274" s="6" t="str">
        <x:v>1359.0</x:v>
      </x:c>
      <x:c r="AB274" s="9" t="str">
        <x:v>2024-06-30</x:v>
      </x:c>
      <x:c r="AC274" s="8" t="str">
        <x:v>75.1</x:v>
      </x:c>
      <x:c r="AD274" s="9" t="str">
        <x:v>2024 (Susenas)</x:v>
      </x:c>
      <x:c r="AE274" s="8" t="str">
        <x:v>7.46</x:v>
      </x:c>
      <x:c r="AF274" s="9" t="str">
        <x:v>Maret 2024 (Susenas)</x:v>
      </x:c>
      <x:c r="AG274" s="6" t="str">
        <x:v>24.54407761664725</x:v>
      </x:c>
      <x:c r="AH274" s="8" t="str">
        <x:v>83.38721250773546</x:v>
      </x:c>
      <x:c r="AI274" s="6" t="str">
        <x:v>229.3759938694424</x:v>
      </x:c>
      <x:c r="AJ274" s="6" t="str">
        <x:v>0.7087404816665419</x:v>
      </x:c>
      <x:c r="AK274" s="8" t="str">
        <x:v>1.757973526748267</x:v>
      </x:c>
      <x:c r="AL274" s="6" t="str">
        <x:v>1.012453247744447</x:v>
      </x:c>
      <x:c r="AM274" s="6" t="str">
        <x:v>1.0306032435527337</x:v>
      </x:c>
      <x:c r="AN274" s="6" t="str">
        <x:v>1.2670100060151497</x:v>
      </x:c>
      <x:c r="AO274" s="6" t="str">
        <x:v>2.0198386781428184</x:v>
      </x:c>
      <x:c r="AP274" s="8" t="str">
        <x:v>0.669148578832501</x:v>
      </x:c>
      <x:c r="AQ274" s="6" t="str">
        <x:v>0.3595155246949014</x:v>
      </x:c>
      <x:c r="AR274" s="6" t="str">
        <x:v>0.3708043617955145</x:v>
      </x:c>
      <x:c r="AS274" s="6" t="str">
        <x:v>0.466489488440973</x:v>
      </x:c>
      <x:c r="AT274" s="6" t="str">
        <x:v>149.33744735015352</x:v>
      </x:c>
      <x:c r="AU274" s="8" t="str">
        <x:v>1.7053370326157606</x:v>
      </x:c>
      <x:c r="AV274" s="6" t="str">
        <x:v>0.2361789860769444</x:v>
      </x:c>
      <x:c r="AW274" s="6" t="str">
        <x:v>2.8639396648501183</x:v>
      </x:c>
      <x:c r="AX274" s="6" t="str">
        <x:v>1.6018185611809406</x:v>
      </x:c>
      <x:c r="AY274" s="6" t="str">
        <x:v>1</x:v>
      </x:c>
      <x:c r="AZ274" s="6" t="str">
        <x:v>1</x:v>
      </x:c>
      <x:c r="BA274" s="9" t="str">
        <x:v>grid_cells_within_BIG_polygon</x:v>
      </x:c>
      <x:c r="BB274" s="6" t="str">
        <x:v>9</x:v>
      </x:c>
      <x:c r="BC274" s="6" t="str">
        <x:v>34</x:v>
      </x:c>
      <x:c r="BD274" s="6" t="str">
        <x:v>28</x:v>
      </x:c>
      <x:c r="BE274" s="6" t="str">
        <x:v>2</x:v>
      </x:c>
      <x:c r="BF274" s="6" t="str">
        <x:v>0</x:v>
      </x:c>
      <x:c r="BG274" s="6" t="str">
        <x:v>16</x:v>
      </x:c>
      <x:c r="BH274" s="6" t="str">
        <x:v>6</x:v>
      </x:c>
      <x:c r="BI274" s="6" t="str">
        <x:v>4</x:v>
      </x:c>
      <x:c r="BJ274" s="6" t="str">
        <x:v>0</x:v>
      </x:c>
      <x:c r="BK274" s="6" t="str">
        <x:v>6</x:v>
      </x:c>
      <x:c r="BL274" s="6" t="str">
        <x:v>0</x:v>
      </x:c>
      <x:c r="BM274" s="6" t="str">
        <x:v>0</x:v>
      </x:c>
      <x:c r="BN274" s="6" t="str">
        <x:v>34</x:v>
      </x:c>
      <x:c r="BO274" s="6" t="str">
        <x:v>3.0</x:v>
      </x:c>
      <x:c r="BP274" s="6" t="str">
        <x:v>22</x:v>
      </x:c>
      <x:c r="BQ274" s="6" t="str">
        <x:v>152.0</x:v>
      </x:c>
      <x:c r="BR274" s="6" t="str">
        <x:v>23</x:v>
      </x:c>
      <x:c r="BS274" s="6" t="str">
        <x:v>6789.0</x:v>
      </x:c>
      <x:c r="BT274" s="6" t="str">
        <x:v>34</x:v>
      </x:c>
      <x:c r="BU274" s="6" t="str">
        <x:v>397.0</x:v>
      </x:c>
      <x:c r="BV274" s="6" t="str">
        <x:v>2</x:v>
      </x:c>
      <x:c r="BW274" s="9" t="str">
        <x:v>operational_snapshot_annual_totals_may_differ</x:v>
      </x:c>
      <x:c r="BX274" s="9" t="str">
        <x:v>official_live_dashboard_snapshot_subject_to_revision</x:v>
      </x:c>
      <x:c r="BY274" s="9" t="str">
        <x:v>https://tbdashboard.sitb.id/ss_data_tbc03so_2024_provinsi_bulanan_list.php</x:v>
      </x:c>
      <x:c r="BZ274" s="6" t="n">
        <x:v>46246.610671296294</x:v>
      </x:c>
    </x:row>
    <x:row r="275" ht="18" customHeight="1">
      <x:c r="A275" s="6" t="str">
        <x:v>32</x:v>
      </x:c>
      <x:c r="B275" s="6" t="str">
        <x:v>JAWA BARAT</x:v>
      </x:c>
      <x:c r="C275" s="6" t="str">
        <x:v>2024</x:v>
      </x:c>
      <x:c r="D275" s="6" t="str">
        <x:v>10</x:v>
      </x:c>
      <x:c r="E275" s="6" t="str">
        <x:v>2024-10</x:v>
      </x:c>
      <x:c r="F275" s="6" t="str">
        <x:v>19587</x:v>
      </x:c>
      <x:c r="G275" s="6" t="str">
        <x:v>2858</x:v>
      </x:c>
      <x:c r="H275" s="6" t="str">
        <x:v>14148</x:v>
      </x:c>
      <x:c r="I275" s="6" t="str">
        <x:v>1949</x:v>
      </x:c>
      <x:c r="J275" s="6" t="str">
        <x:v>489</x:v>
      </x:c>
      <x:c r="K275" s="6" t="str">
        <x:v>50</x:v>
      </x:c>
      <x:c r="L275" s="6" t="str">
        <x:v>33</x:v>
      </x:c>
      <x:c r="M275" s="6" t="str">
        <x:v>60</x:v>
      </x:c>
      <x:c r="N275" s="6" t="str">
        <x:v>19587</x:v>
      </x:c>
      <x:c r="O275" s="6" t="str">
        <x:v>0</x:v>
      </x:c>
      <x:c r="P275" s="10" t="n">
        <x:f>F275-M275</x:f>
        <x:v>19527</x:v>
      </x:c>
      <x:c r="Q275" s="11" t="n">
        <x:f>IFERROR(M275/F275,"")</x:f>
        <x:v>0.003063256241384592</x:v>
      </x:c>
      <x:c r="R275" s="10" t="n">
        <x:f>G275+H275</x:f>
        <x:v>17006</x:v>
      </x:c>
      <x:c r="S275" s="11" t="n">
        <x:f>IFERROR(R275/F275,"")</x:f>
        <x:v>0.8682289273497729</x:v>
      </x:c>
      <x:c r="T275" s="11" t="n">
        <x:f>IFERROR(R275/P275,"")</x:f>
        <x:v>0.8708967071234701</x:v>
      </x:c>
      <x:c r="U275" s="10" t="n">
        <x:f>I275+J275+K275</x:f>
        <x:v>2488</x:v>
      </x:c>
      <x:c r="V275" s="11" t="n">
        <x:f>IFERROR(U275/P275,"")</x:f>
        <x:v>0.12741332513955037</x:v>
      </x:c>
      <x:c r="W275" s="9" t="str">
        <x:v>mature_le_5pct_pending</x:v>
      </x:c>
      <x:c r="X275" s="12" t="n">
        <x:f>IFERROR(F275/Z275*100000,"")</x:f>
        <x:v>38.90539713815816</x:v>
      </x:c>
      <x:c r="Y275" s="13" t="n">
        <x:f>LN(Z275)</x:f>
        <x:v>17.734413839913096</x:v>
      </x:c>
      <x:c r="Z275" s="6" t="str">
        <x:v>50345200</x:v>
      </x:c>
      <x:c r="AA275" s="6" t="str">
        <x:v>1359.0</x:v>
      </x:c>
      <x:c r="AB275" s="9" t="str">
        <x:v>2024-06-30</x:v>
      </x:c>
      <x:c r="AC275" s="8" t="str">
        <x:v>75.1</x:v>
      </x:c>
      <x:c r="AD275" s="9" t="str">
        <x:v>2024 (Susenas)</x:v>
      </x:c>
      <x:c r="AE275" s="8" t="str">
        <x:v>7.46</x:v>
      </x:c>
      <x:c r="AF275" s="9" t="str">
        <x:v>Maret 2024 (Susenas)</x:v>
      </x:c>
      <x:c r="AG275" s="6" t="str">
        <x:v>25.461841326906523</x:v>
      </x:c>
      <x:c r="AH275" s="8" t="str">
        <x:v>82.075120385852</x:v>
      </x:c>
      <x:c r="AI275" s="6" t="str">
        <x:v>97.28914774384477</x:v>
      </x:c>
      <x:c r="AJ275" s="6" t="str">
        <x:v>0.8161241933018921</x:v>
      </x:c>
      <x:c r="AK275" s="8" t="str">
        <x:v>2.410956253410545</x:v>
      </x:c>
      <x:c r="AL275" s="6" t="str">
        <x:v>1.757973526748267</x:v>
      </x:c>
      <x:c r="AM275" s="6" t="str">
        <x:v>1.012453247744447</x:v>
      </x:c>
      <x:c r="AN275" s="6" t="str">
        <x:v>1.7271276759677532</x:v>
      </x:c>
      <x:c r="AO275" s="6" t="str">
        <x:v>0.5878045842615762</x:v>
      </x:c>
      <x:c r="AP275" s="8" t="str">
        <x:v>0.1227399332298698</x:v>
      </x:c>
      <x:c r="AQ275" s="6" t="str">
        <x:v>0.669148578832501</x:v>
      </x:c>
      <x:c r="AR275" s="6" t="str">
        <x:v>0.3595155246949014</x:v>
      </x:c>
      <x:c r="AS275" s="6" t="str">
        <x:v>0.383801345585758</x:v>
      </x:c>
      <x:c r="AT275" s="6" t="str">
        <x:v>-73.91870864148477</x:v>
      </x:c>
      <x:c r="AU275" s="8" t="str">
        <x:v>-0.5749237379364139</x:v>
      </x:c>
      <x:c r="AV275" s="6" t="str">
        <x:v>1.7053370326157606</x:v>
      </x:c>
      <x:c r="AW275" s="6" t="str">
        <x:v>0.2361789860769444</x:v>
      </x:c>
      <x:c r="AX275" s="6" t="str">
        <x:v>0.4555307602520965</x:v>
      </x:c>
      <x:c r="AY275" s="6" t="str">
        <x:v>0</x:v>
      </x:c>
      <x:c r="AZ275" s="6" t="str">
        <x:v>1</x:v>
      </x:c>
      <x:c r="BA275" s="9" t="str">
        <x:v>grid_cells_within_BIG_polygon</x:v>
      </x:c>
      <x:c r="BB275" s="6" t="str">
        <x:v>9</x:v>
      </x:c>
      <x:c r="BC275" s="6" t="str">
        <x:v>35</x:v>
      </x:c>
      <x:c r="BD275" s="6" t="str">
        <x:v>35</x:v>
      </x:c>
      <x:c r="BE275" s="6" t="str">
        <x:v>2</x:v>
      </x:c>
      <x:c r="BF275" s="6" t="str">
        <x:v>0</x:v>
      </x:c>
      <x:c r="BG275" s="6" t="str">
        <x:v>29</x:v>
      </x:c>
      <x:c r="BH275" s="6" t="str">
        <x:v>0</x:v>
      </x:c>
      <x:c r="BI275" s="6" t="str">
        <x:v>3</x:v>
      </x:c>
      <x:c r="BJ275" s="6" t="str">
        <x:v>1</x:v>
      </x:c>
      <x:c r="BK275" s="6" t="str">
        <x:v>0</x:v>
      </x:c>
      <x:c r="BL275" s="6" t="str">
        <x:v>0</x:v>
      </x:c>
      <x:c r="BM275" s="6" t="str">
        <x:v>0</x:v>
      </x:c>
      <x:c r="BN275" s="6" t="str">
        <x:v>35</x:v>
      </x:c>
      <x:c r="BO275" s="6" t="str">
        <x:v>3.0</x:v>
      </x:c>
      <x:c r="BP275" s="6" t="str">
        <x:v>26</x:v>
      </x:c>
      <x:c r="BQ275" s="6" t="str">
        <x:v>2.0</x:v>
      </x:c>
      <x:c r="BR275" s="6" t="str">
        <x:v>26</x:v>
      </x:c>
      <x:c r="BS275" s="6" t="str">
        <x:v>1096.0</x:v>
      </x:c>
      <x:c r="BT275" s="6" t="str">
        <x:v>35</x:v>
      </x:c>
      <x:c r="BU275" s="6" t="str">
        <x:v>106.0</x:v>
      </x:c>
      <x:c r="BV275" s="6" t="str">
        <x:v>2</x:v>
      </x:c>
      <x:c r="BW275" s="9" t="str">
        <x:v>operational_snapshot_annual_totals_may_differ</x:v>
      </x:c>
      <x:c r="BX275" s="9" t="str">
        <x:v>official_live_dashboard_snapshot_subject_to_revision</x:v>
      </x:c>
      <x:c r="BY275" s="9" t="str">
        <x:v>https://tbdashboard.sitb.id/ss_data_tbc03so_2024_provinsi_bulanan_list.php</x:v>
      </x:c>
      <x:c r="BZ275" s="6" t="n">
        <x:v>46246.610671296294</x:v>
      </x:c>
    </x:row>
    <x:row r="276" ht="18" customHeight="1">
      <x:c r="A276" s="6" t="str">
        <x:v>32</x:v>
      </x:c>
      <x:c r="B276" s="6" t="str">
        <x:v>JAWA BARAT</x:v>
      </x:c>
      <x:c r="C276" s="6" t="str">
        <x:v>2024</x:v>
      </x:c>
      <x:c r="D276" s="6" t="str">
        <x:v>11</x:v>
      </x:c>
      <x:c r="E276" s="6" t="str">
        <x:v>2024-11</x:v>
      </x:c>
      <x:c r="F276" s="6" t="str">
        <x:v>17708</x:v>
      </x:c>
      <x:c r="G276" s="6" t="str">
        <x:v>2618</x:v>
      </x:c>
      <x:c r="H276" s="6" t="str">
        <x:v>12695</x:v>
      </x:c>
      <x:c r="I276" s="6" t="str">
        <x:v>1771</x:v>
      </x:c>
      <x:c r="J276" s="6" t="str">
        <x:v>504</x:v>
      </x:c>
      <x:c r="K276" s="6" t="str">
        <x:v>41</x:v>
      </x:c>
      <x:c r="L276" s="6" t="str">
        <x:v>25</x:v>
      </x:c>
      <x:c r="M276" s="6" t="str">
        <x:v>54</x:v>
      </x:c>
      <x:c r="N276" s="6" t="str">
        <x:v>17708</x:v>
      </x:c>
      <x:c r="O276" s="6" t="str">
        <x:v>0</x:v>
      </x:c>
      <x:c r="P276" s="10" t="n">
        <x:f>F276-M276</x:f>
        <x:v>17654</x:v>
      </x:c>
      <x:c r="Q276" s="11" t="n">
        <x:f>IFERROR(M276/F276,"")</x:f>
        <x:v>0.003049469166478428</x:v>
      </x:c>
      <x:c r="R276" s="10" t="n">
        <x:f>G276+H276</x:f>
        <x:v>15313</x:v>
      </x:c>
      <x:c r="S276" s="11" t="n">
        <x:f>IFERROR(R276/F276,"")</x:f>
        <x:v>0.8647503953015586</x:v>
      </x:c>
      <x:c r="T276" s="11" t="n">
        <x:f>IFERROR(R276/P276,"")</x:f>
        <x:v>0.8673954911068313</x:v>
      </x:c>
      <x:c r="U276" s="10" t="n">
        <x:f>I276+J276+K276</x:f>
        <x:v>2316</x:v>
      </x:c>
      <x:c r="V276" s="11" t="n">
        <x:f>IFERROR(U276/P276,"")</x:f>
        <x:v>0.13118839922963635</x:v>
      </x:c>
      <x:c r="W276" s="9" t="str">
        <x:v>mature_le_5pct_pending</x:v>
      </x:c>
      <x:c r="X276" s="12" t="n">
        <x:f>IFERROR(F276/Z276*100000,"")</x:f>
        <x:v>35.173164472481986</x:v>
      </x:c>
      <x:c r="Y276" s="13" t="n">
        <x:f>LN(Z276)</x:f>
        <x:v>17.734413839913096</x:v>
      </x:c>
      <x:c r="Z276" s="6" t="str">
        <x:v>50345200</x:v>
      </x:c>
      <x:c r="AA276" s="6" t="str">
        <x:v>1359.0</x:v>
      </x:c>
      <x:c r="AB276" s="9" t="str">
        <x:v>2024-06-30</x:v>
      </x:c>
      <x:c r="AC276" s="8" t="str">
        <x:v>75.1</x:v>
      </x:c>
      <x:c r="AD276" s="9" t="str">
        <x:v>2024 (Susenas)</x:v>
      </x:c>
      <x:c r="AE276" s="8" t="str">
        <x:v>7.46</x:v>
      </x:c>
      <x:c r="AF276" s="9" t="str">
        <x:v>Maret 2024 (Susenas)</x:v>
      </x:c>
      <x:c r="AG276" s="6" t="str">
        <x:v>25.363782863488264</x:v>
      </x:c>
      <x:c r="AH276" s="8" t="str">
        <x:v>85.9537369816054</x:v>
      </x:c>
      <x:c r="AI276" s="6" t="str">
        <x:v>492.2429076484051</x:v>
      </x:c>
      <x:c r="AJ276" s="6" t="str">
        <x:v>0.5980599950585415</x:v>
      </x:c>
      <x:c r="AK276" s="8" t="str">
        <x:v>1.2868707755082789</x:v>
      </x:c>
      <x:c r="AL276" s="6" t="str">
        <x:v>2.410956253410545</x:v>
      </x:c>
      <x:c r="AM276" s="6" t="str">
        <x:v>1.757973526748267</x:v>
      </x:c>
      <x:c r="AN276" s="6" t="str">
        <x:v>1.818600185222364</x:v>
      </x:c>
      <x:c r="AO276" s="6" t="str">
        <x:v>1.2557644764821276</x:v>
      </x:c>
      <x:c r="AP276" s="8" t="str">
        <x:v>0.3868015760479635</x:v>
      </x:c>
      <x:c r="AQ276" s="6" t="str">
        <x:v>0.1227399332298698</x:v>
      </x:c>
      <x:c r="AR276" s="6" t="str">
        <x:v>0.669148578832501</x:v>
      </x:c>
      <x:c r="AS276" s="6" t="str">
        <x:v>0.3928966960367788</x:v>
      </x:c>
      <x:c r="AT276" s="6" t="str">
        <x:v>217.20178567681236</x:v>
      </x:c>
      <x:c r="AU276" s="8" t="str">
        <x:v>2.3298100508232857</x:v>
      </x:c>
      <x:c r="AV276" s="6" t="str">
        <x:v>-0.5749237379364139</x:v>
      </x:c>
      <x:c r="AW276" s="6" t="str">
        <x:v>1.7053370326157606</x:v>
      </x:c>
      <x:c r="AX276" s="6" t="str">
        <x:v>1.1534077818342103</x:v>
      </x:c>
      <x:c r="AY276" s="6" t="str">
        <x:v>1</x:v>
      </x:c>
      <x:c r="AZ276" s="6" t="str">
        <x:v>1</x:v>
      </x:c>
      <x:c r="BA276" s="9" t="str">
        <x:v>grid_cells_within_BIG_polygon</x:v>
      </x:c>
      <x:c r="BB276" s="6" t="str">
        <x:v>9</x:v>
      </x:c>
      <x:c r="BC276" s="6" t="str">
        <x:v>97</x:v>
      </x:c>
      <x:c r="BD276" s="6" t="str">
        <x:v>97</x:v>
      </x:c>
      <x:c r="BE276" s="6" t="str">
        <x:v>34</x:v>
      </x:c>
      <x:c r="BF276" s="6" t="str">
        <x:v>15</x:v>
      </x:c>
      <x:c r="BG276" s="6" t="str">
        <x:v>46</x:v>
      </x:c>
      <x:c r="BH276" s="6" t="str">
        <x:v>2</x:v>
      </x:c>
      <x:c r="BI276" s="6" t="str">
        <x:v>0</x:v>
      </x:c>
      <x:c r="BJ276" s="6" t="str">
        <x:v>0</x:v>
      </x:c>
      <x:c r="BK276" s="6" t="str">
        <x:v>0</x:v>
      </x:c>
      <x:c r="BL276" s="6" t="str">
        <x:v>0</x:v>
      </x:c>
      <x:c r="BM276" s="6" t="str">
        <x:v>0</x:v>
      </x:c>
      <x:c r="BN276" s="6" t="str">
        <x:v>97</x:v>
      </x:c>
      <x:c r="BO276" s="6" t="str">
        <x:v>0.0</x:v>
      </x:c>
      <x:c r="BP276" s="6" t="str">
        <x:v>61</x:v>
      </x:c>
      <x:c r="BQ276" s="6" t="str">
        <x:v>6.0</x:v>
      </x:c>
      <x:c r="BR276" s="6" t="str">
        <x:v>61</x:v>
      </x:c>
      <x:c r="BS276" s="6" t="str">
        <x:v>1683.0</x:v>
      </x:c>
      <x:c r="BT276" s="6" t="str">
        <x:v>97</x:v>
      </x:c>
      <x:c r="BU276" s="6" t="str">
        <x:v>9874.0</x:v>
      </x:c>
      <x:c r="BV276" s="6" t="str">
        <x:v>31</x:v>
      </x:c>
      <x:c r="BW276" s="9" t="str">
        <x:v>operational_snapshot_annual_totals_may_differ</x:v>
      </x:c>
      <x:c r="BX276" s="9" t="str">
        <x:v>official_live_dashboard_snapshot_subject_to_revision</x:v>
      </x:c>
      <x:c r="BY276" s="9" t="str">
        <x:v>https://tbdashboard.sitb.id/ss_data_tbc03so_2024_provinsi_bulanan_list.php</x:v>
      </x:c>
      <x:c r="BZ276" s="6" t="n">
        <x:v>46246.610671296294</x:v>
      </x:c>
    </x:row>
    <x:row r="277" ht="18" customHeight="1">
      <x:c r="A277" s="6" t="str">
        <x:v>32</x:v>
      </x:c>
      <x:c r="B277" s="6" t="str">
        <x:v>JAWA BARAT</x:v>
      </x:c>
      <x:c r="C277" s="6" t="str">
        <x:v>2024</x:v>
      </x:c>
      <x:c r="D277" s="6" t="str">
        <x:v>12</x:v>
      </x:c>
      <x:c r="E277" s="6" t="str">
        <x:v>2024-12</x:v>
      </x:c>
      <x:c r="F277" s="6" t="str">
        <x:v>17459</x:v>
      </x:c>
      <x:c r="G277" s="6" t="str">
        <x:v>2680</x:v>
      </x:c>
      <x:c r="H277" s="6" t="str">
        <x:v>12311</x:v>
      </x:c>
      <x:c r="I277" s="6" t="str">
        <x:v>1840</x:v>
      </x:c>
      <x:c r="J277" s="6" t="str">
        <x:v>490</x:v>
      </x:c>
      <x:c r="K277" s="6" t="str">
        <x:v>42</x:v>
      </x:c>
      <x:c r="L277" s="6" t="str">
        <x:v>26</x:v>
      </x:c>
      <x:c r="M277" s="6" t="str">
        <x:v>70</x:v>
      </x:c>
      <x:c r="N277" s="6" t="str">
        <x:v>17459</x:v>
      </x:c>
      <x:c r="O277" s="6" t="str">
        <x:v>0</x:v>
      </x:c>
      <x:c r="P277" s="10" t="n">
        <x:f>F277-M277</x:f>
        <x:v>17389</x:v>
      </x:c>
      <x:c r="Q277" s="11" t="n">
        <x:f>IFERROR(M277/F277,"")</x:f>
        <x:v>0.004009393436050175</x:v>
      </x:c>
      <x:c r="R277" s="10" t="n">
        <x:f>G277+H277</x:f>
        <x:v>14991</x:v>
      </x:c>
      <x:c r="S277" s="11" t="n">
        <x:f>IFERROR(R277/F277,"")</x:f>
        <x:v>0.8586402428546881</x:v>
      </x:c>
      <x:c r="T277" s="11" t="n">
        <x:f>IFERROR(R277/P277,"")</x:f>
        <x:v>0.8620967278164356</x:v>
      </x:c>
      <x:c r="U277" s="10" t="n">
        <x:f>I277+J277+K277</x:f>
        <x:v>2372</x:v>
      </x:c>
      <x:c r="V277" s="11" t="n">
        <x:f>IFERROR(U277/P277,"")</x:f>
        <x:v>0.13640807406981426</x:v>
      </x:c>
      <x:c r="W277" s="9" t="str">
        <x:v>mature_le_5pct_pending</x:v>
      </x:c>
      <x:c r="X277" s="12" t="n">
        <x:f>IFERROR(F277/Z277*100000,"")</x:f>
        <x:v>34.678579089962895</x:v>
      </x:c>
      <x:c r="Y277" s="13" t="n">
        <x:f>LN(Z277)</x:f>
        <x:v>17.734413839913096</x:v>
      </x:c>
      <x:c r="Z277" s="6" t="str">
        <x:v>50345200</x:v>
      </x:c>
      <x:c r="AA277" s="6" t="str">
        <x:v>1359.0</x:v>
      </x:c>
      <x:c r="AB277" s="9" t="str">
        <x:v>2024-06-30</x:v>
      </x:c>
      <x:c r="AC277" s="8" t="str">
        <x:v>75.1</x:v>
      </x:c>
      <x:c r="AD277" s="9" t="str">
        <x:v>2024 (Susenas)</x:v>
      </x:c>
      <x:c r="AE277" s="8" t="str">
        <x:v>7.46</x:v>
      </x:c>
      <x:c r="AF277" s="9" t="str">
        <x:v>Maret 2024 (Susenas)</x:v>
      </x:c>
      <x:c r="AG277" s="6" t="str">
        <x:v>24.840251050220083</x:v>
      </x:c>
      <x:c r="AH277" s="8" t="str">
        <x:v>88.13801208801179</x:v>
      </x:c>
      <x:c r="AI277" s="6" t="str">
        <x:v>312.5606568488416</x:v>
      </x:c>
      <x:c r="AJ277" s="6" t="str">
        <x:v>0.4272023503266773</x:v>
      </x:c>
      <x:c r="AK277" s="8" t="str">
        <x:v>1.0132179152816598</x:v>
      </x:c>
      <x:c r="AL277" s="6" t="str">
        <x:v>1.2868707755082789</x:v>
      </x:c>
      <x:c r="AM277" s="6" t="str">
        <x:v>2.410956253410545</x:v>
      </x:c>
      <x:c r="AN277" s="6" t="str">
        <x:v>1.570348314733495</x:v>
      </x:c>
      <x:c r="AO277" s="6" t="str">
        <x:v>1.4636099232766924</x:v>
      </x:c>
      <x:c r="AP277" s="8" t="str">
        <x:v>0.8597885780189083</x:v>
      </x:c>
      <x:c r="AQ277" s="6" t="str">
        <x:v>0.3868015760479635</x:v>
      </x:c>
      <x:c r="AR277" s="6" t="str">
        <x:v>0.1227399332298698</x:v>
      </x:c>
      <x:c r="AS277" s="6" t="str">
        <x:v>0.4564433624322478</x:v>
      </x:c>
      <x:c r="AT277" s="6" t="str">
        <x:v>18.13959743335209</x:v>
      </x:c>
      <x:c r="AU277" s="8" t="str">
        <x:v>0.2174666030909561</x:v>
      </x:c>
      <x:c r="AV277" s="6" t="str">
        <x:v>2.3298100508232857</x:v>
      </x:c>
      <x:c r="AW277" s="6" t="str">
        <x:v>-0.5749237379364139</x:v>
      </x:c>
      <x:c r="AX277" s="6" t="str">
        <x:v>0.6574509719926087</x:v>
      </x:c>
      <x:c r="AY277" s="6" t="str">
        <x:v>0</x:v>
      </x:c>
      <x:c r="AZ277" s="6" t="str">
        <x:v>1</x:v>
      </x:c>
      <x:c r="BA277" s="9" t="str">
        <x:v>grid_cells_within_BIG_polygon</x:v>
      </x:c>
      <x:c r="BB277" s="6" t="str">
        <x:v>9</x:v>
      </x:c>
      <x:c r="BC277" s="6" t="str">
        <x:v>44</x:v>
      </x:c>
      <x:c r="BD277" s="6" t="str">
        <x:v>43</x:v>
      </x:c>
      <x:c r="BE277" s="6" t="str">
        <x:v>17</x:v>
      </x:c>
      <x:c r="BF277" s="6" t="str">
        <x:v>9</x:v>
      </x:c>
      <x:c r="BG277" s="6" t="str">
        <x:v>17</x:v>
      </x:c>
      <x:c r="BH277" s="6" t="str">
        <x:v>0</x:v>
      </x:c>
      <x:c r="BI277" s="6" t="str">
        <x:v>0</x:v>
      </x:c>
      <x:c r="BJ277" s="6" t="str">
        <x:v>0</x:v>
      </x:c>
      <x:c r="BK277" s="6" t="str">
        <x:v>1</x:v>
      </x:c>
      <x:c r="BL277" s="6" t="str">
        <x:v>0</x:v>
      </x:c>
      <x:c r="BM277" s="6" t="str">
        <x:v>0</x:v>
      </x:c>
      <x:c r="BN277" s="6" t="str">
        <x:v>44</x:v>
      </x:c>
      <x:c r="BO277" s="6" t="str">
        <x:v>18.0</x:v>
      </x:c>
      <x:c r="BP277" s="6" t="str">
        <x:v>24</x:v>
      </x:c>
      <x:c r="BQ277" s="6" t="str">
        <x:v>10359.0</x:v>
      </x:c>
      <x:c r="BR277" s="6" t="str">
        <x:v>24</x:v>
      </x:c>
      <x:c r="BS277" s="6" t="str">
        <x:v>5075.0</x:v>
      </x:c>
      <x:c r="BT277" s="6" t="str">
        <x:v>44</x:v>
      </x:c>
      <x:c r="BU277" s="6" t="str">
        <x:v>24451.0</x:v>
      </x:c>
      <x:c r="BV277" s="6" t="str">
        <x:v>16</x:v>
      </x:c>
      <x:c r="BW277" s="9" t="str">
        <x:v>operational_snapshot_annual_totals_may_differ</x:v>
      </x:c>
      <x:c r="BX277" s="9" t="str">
        <x:v>official_live_dashboard_snapshot_subject_to_revision</x:v>
      </x:c>
      <x:c r="BY277" s="9" t="str">
        <x:v>https://tbdashboard.sitb.id/ss_data_tbc03so_2024_provinsi_bulanan_list.php</x:v>
      </x:c>
      <x:c r="BZ277" s="6" t="n">
        <x:v>46246.610671296294</x:v>
      </x:c>
    </x:row>
    <x:row r="278" ht="18" customHeight="1">
      <x:c r="A278" s="6" t="str">
        <x:v>32</x:v>
      </x:c>
      <x:c r="B278" s="6" t="str">
        <x:v>JAWA BARAT</x:v>
      </x:c>
      <x:c r="C278" s="6" t="str">
        <x:v>2025</x:v>
      </x:c>
      <x:c r="D278" s="6" t="str">
        <x:v>1</x:v>
      </x:c>
      <x:c r="E278" s="6" t="str">
        <x:v>2025-01</x:v>
      </x:c>
      <x:c r="F278" s="6" t="str">
        <x:v>18880</x:v>
      </x:c>
      <x:c r="G278" s="6" t="str">
        <x:v>3048</x:v>
      </x:c>
      <x:c r="H278" s="6" t="str">
        <x:v>12620</x:v>
      </x:c>
      <x:c r="I278" s="6" t="str">
        <x:v>1795</x:v>
      </x:c>
      <x:c r="J278" s="6" t="str">
        <x:v>540</x:v>
      </x:c>
      <x:c r="K278" s="6" t="str">
        <x:v>35</x:v>
      </x:c>
      <x:c r="L278" s="6" t="str">
        <x:v>55</x:v>
      </x:c>
      <x:c r="M278" s="6" t="str">
        <x:v>787</x:v>
      </x:c>
      <x:c r="N278" s="6" t="str">
        <x:v>18880</x:v>
      </x:c>
      <x:c r="O278" s="6" t="str">
        <x:v>0</x:v>
      </x:c>
      <x:c r="P278" s="10" t="n">
        <x:f>F278-M278</x:f>
        <x:v>18093</x:v>
      </x:c>
      <x:c r="Q278" s="11" t="n">
        <x:f>IFERROR(M278/F278,"")</x:f>
        <x:v>0.041684322033898304</x:v>
      </x:c>
      <x:c r="R278" s="10" t="n">
        <x:f>G278+H278</x:f>
        <x:v>15668</x:v>
      </x:c>
      <x:c r="S278" s="11" t="n">
        <x:f>IFERROR(R278/F278,"")</x:f>
        <x:v>0.8298728813559322</x:v>
      </x:c>
      <x:c r="T278" s="11" t="n">
        <x:f>IFERROR(R278/P278,"")</x:f>
        <x:v>0.8659702647432709</x:v>
      </x:c>
      <x:c r="U278" s="10" t="n">
        <x:f>I278+J278+K278</x:f>
        <x:v>2370</x:v>
      </x:c>
      <x:c r="V278" s="11" t="n">
        <x:f>IFERROR(U278/P278,"")</x:f>
        <x:v>0.13098988559111258</x:v>
      </x:c>
      <x:c r="W278" s="9" t="str">
        <x:v>mature_le_5pct_pending</x:v>
      </x:c>
      <x:c r="X278" s="12" t="n">
        <x:f>IFERROR(F278/Z278*100000,"")</x:f>
        <x:v>37.19537421935026</x:v>
      </x:c>
      <x:c r="Y278" s="13" t="n">
        <x:f>LN(Z278)</x:f>
        <x:v>17.742599500064788</x:v>
      </x:c>
      <x:c r="Z278" s="6" t="str">
        <x:v>50759000</x:v>
      </x:c>
      <x:c r="AA278" s="6" t="str">
        <x:v>1370.0</x:v>
      </x:c>
      <x:c r="AB278" s="9" t="str">
        <x:v>2025-06-30</x:v>
      </x:c>
      <x:c r="AC278" s="8" t="str">
        <x:v>76.2</x:v>
      </x:c>
      <x:c r="AD278" s="9" t="str">
        <x:v>2025 (Susenas)</x:v>
      </x:c>
      <x:c r="AE278" s="8" t="str">
        <x:v>7.02</x:v>
      </x:c>
      <x:c r="AF278" s="9" t="str">
        <x:v>Maret 2025 (Susenas)</x:v>
      </x:c>
      <x:c r="AG278" s="6" t="str">
        <x:v>24.511273876799628</x:v>
      </x:c>
      <x:c r="AH278" s="8" t="str">
        <x:v>88.63888109537544</x:v>
      </x:c>
      <x:c r="AI278" s="6" t="str">
        <x:v>457.2399430322311</x:v>
      </x:c>
      <x:c r="AJ278" s="6" t="str">
        <x:v>0.3499229607416652</x:v>
      </x:c>
      <x:c r="AK278" s="8" t="str">
        <x:v>0.7006072473499576</x:v>
      </x:c>
      <x:c r="AL278" s="6" t="str">
        <x:v>1.0132179152816598</x:v>
      </x:c>
      <x:c r="AM278" s="6" t="str">
        <x:v>1.2868707755082789</x:v>
      </x:c>
      <x:c r="AN278" s="6" t="str">
        <x:v>1.0002319793799657</x:v>
      </x:c>
      <x:c r="AO278" s="6" t="str">
        <x:v>0.6385979911773347</x:v>
      </x:c>
      <x:c r="AP278" s="8" t="str">
        <x:v>0.3337014066156718</x:v>
      </x:c>
      <x:c r="AQ278" s="6" t="str">
        <x:v>0.8597885780189083</x:v>
      </x:c>
      <x:c r="AR278" s="6" t="str">
        <x:v>0.3868015760479635</x:v>
      </x:c>
      <x:c r="AS278" s="6" t="str">
        <x:v>0.5267638535608485</x:v>
      </x:c>
      <x:c r="AT278" s="6" t="str">
        <x:v>131.42870522093762</x:v>
      </x:c>
      <x:c r="AU278" s="8" t="str">
        <x:v>1.2345424878058264</x:v>
      </x:c>
      <x:c r="AV278" s="6" t="str">
        <x:v>0.2174666030909561</x:v>
      </x:c>
      <x:c r="AW278" s="6" t="str">
        <x:v>2.3298100508232857</x:v>
      </x:c>
      <x:c r="AX278" s="6" t="str">
        <x:v>1.2606063805733554</x:v>
      </x:c>
      <x:c r="AY278" s="6" t="str">
        <x:v>1</x:v>
      </x:c>
      <x:c r="AZ278" s="6" t="str">
        <x:v>0</x:v>
      </x:c>
      <x:c r="BA278" s="9" t="str">
        <x:v>grid_cells_within_BIG_polygon</x:v>
      </x:c>
      <x:c r="BB278" s="6" t="str">
        <x:v>9</x:v>
      </x:c>
      <x:c r="BC278" s="6" t="str">
        <x:v>58</x:v>
      </x:c>
      <x:c r="BD278" s="6" t="str">
        <x:v>58</x:v>
      </x:c>
      <x:c r="BE278" s="6" t="str">
        <x:v>25</x:v>
      </x:c>
      <x:c r="BF278" s="6" t="str">
        <x:v>4</x:v>
      </x:c>
      <x:c r="BG278" s="6" t="str">
        <x:v>29</x:v>
      </x:c>
      <x:c r="BH278" s="6" t="str">
        <x:v>0</x:v>
      </x:c>
      <x:c r="BI278" s="6" t="str">
        <x:v>0</x:v>
      </x:c>
      <x:c r="BJ278" s="6" t="str">
        <x:v>0</x:v>
      </x:c>
      <x:c r="BK278" s="6" t="str">
        <x:v>0</x:v>
      </x:c>
      <x:c r="BL278" s="6" t="str">
        <x:v>0</x:v>
      </x:c>
      <x:c r="BM278" s="6" t="str">
        <x:v>0</x:v>
      </x:c>
      <x:c r="BN278" s="6" t="str">
        <x:v>58</x:v>
      </x:c>
      <x:c r="BO278" s="6" t="str">
        <x:v>2.0</x:v>
      </x:c>
      <x:c r="BP278" s="6" t="str">
        <x:v>58</x:v>
      </x:c>
      <x:c r="BQ278" s="6" t="str">
        <x:v>11.0</x:v>
      </x:c>
      <x:c r="BR278" s="6" t="str">
        <x:v>58</x:v>
      </x:c>
      <x:c r="BS278" s="6" t="str">
        <x:v>369.0</x:v>
      </x:c>
      <x:c r="BT278" s="6" t="str">
        <x:v>58</x:v>
      </x:c>
      <x:c r="BU278" s="6" t="str">
        <x:v>26269.0</x:v>
      </x:c>
      <x:c r="BV278" s="6" t="str">
        <x:v>23</x:v>
      </x:c>
      <x:c r="BW278" s="9" t="str">
        <x:v>operational_snapshot_annual_totals_may_differ</x:v>
      </x:c>
      <x:c r="BX278" s="9" t="str">
        <x:v>official_live_dashboard_snapshot_subject_to_revision</x:v>
      </x:c>
      <x:c r="BY278" s="9" t="str">
        <x:v>https://tbdashboard.sitb.id/ss_data_tbc03so_2025_provinsi_bulanan_list.php</x:v>
      </x:c>
      <x:c r="BZ278" s="6" t="n">
        <x:v>46246.610671296294</x:v>
      </x:c>
    </x:row>
    <x:row r="279" ht="18" customHeight="1">
      <x:c r="A279" s="6" t="str">
        <x:v>32</x:v>
      </x:c>
      <x:c r="B279" s="6" t="str">
        <x:v>JAWA BARAT</x:v>
      </x:c>
      <x:c r="C279" s="6" t="str">
        <x:v>2025</x:v>
      </x:c>
      <x:c r="D279" s="6" t="str">
        <x:v>2</x:v>
      </x:c>
      <x:c r="E279" s="6" t="str">
        <x:v>2025-02</x:v>
      </x:c>
      <x:c r="F279" s="6" t="str">
        <x:v>18328</x:v>
      </x:c>
      <x:c r="G279" s="6" t="str">
        <x:v>3042</x:v>
      </x:c>
      <x:c r="H279" s="6" t="str">
        <x:v>12111</x:v>
      </x:c>
      <x:c r="I279" s="6" t="str">
        <x:v>1628</x:v>
      </x:c>
      <x:c r="J279" s="6" t="str">
        <x:v>562</x:v>
      </x:c>
      <x:c r="K279" s="6" t="str">
        <x:v>51</x:v>
      </x:c>
      <x:c r="L279" s="6" t="str">
        <x:v>35</x:v>
      </x:c>
      <x:c r="M279" s="6" t="str">
        <x:v>899</x:v>
      </x:c>
      <x:c r="N279" s="6" t="str">
        <x:v>18328</x:v>
      </x:c>
      <x:c r="O279" s="6" t="str">
        <x:v>0</x:v>
      </x:c>
      <x:c r="P279" s="10" t="n">
        <x:f>F279-M279</x:f>
        <x:v>17429</x:v>
      </x:c>
      <x:c r="Q279" s="11" t="n">
        <x:f>IFERROR(M279/F279,"")</x:f>
        <x:v>0.0490506329113924</x:v>
      </x:c>
      <x:c r="R279" s="10" t="n">
        <x:f>G279+H279</x:f>
        <x:v>15153</x:v>
      </x:c>
      <x:c r="S279" s="11" t="n">
        <x:f>IFERROR(R279/F279,"")</x:f>
        <x:v>0.8267677869925797</x:v>
      </x:c>
      <x:c r="T279" s="11" t="n">
        <x:f>IFERROR(R279/P279,"")</x:f>
        <x:v>0.8694130472201503</x:v>
      </x:c>
      <x:c r="U279" s="10" t="n">
        <x:f>I279+J279+K279</x:f>
        <x:v>2241</x:v>
      </x:c>
      <x:c r="V279" s="11" t="n">
        <x:f>IFERROR(U279/P279,"")</x:f>
        <x:v>0.12857880543921052</x:v>
      </x:c>
      <x:c r="W279" s="9" t="str">
        <x:v>mature_le_5pct_pending</x:v>
      </x:c>
      <x:c r="X279" s="12" t="n">
        <x:f>IFERROR(F279/Z279*100000,"")</x:f>
        <x:v>36.1078823459879</x:v>
      </x:c>
      <x:c r="Y279" s="13" t="n">
        <x:f>LN(Z279)</x:f>
        <x:v>17.742599500064788</x:v>
      </x:c>
      <x:c r="Z279" s="6" t="str">
        <x:v>50759000</x:v>
      </x:c>
      <x:c r="AA279" s="6" t="str">
        <x:v>1370.0</x:v>
      </x:c>
      <x:c r="AB279" s="9" t="str">
        <x:v>2025-06-30</x:v>
      </x:c>
      <x:c r="AC279" s="8" t="str">
        <x:v>76.2</x:v>
      </x:c>
      <x:c r="AD279" s="9" t="str">
        <x:v>2025 (Susenas)</x:v>
      </x:c>
      <x:c r="AE279" s="8" t="str">
        <x:v>7.02</x:v>
      </x:c>
      <x:c r="AF279" s="9" t="str">
        <x:v>Maret 2025 (Susenas)</x:v>
      </x:c>
      <x:c r="AG279" s="6" t="str">
        <x:v>24.4834406144769</x:v>
      </x:c>
      <x:c r="AH279" s="8" t="str">
        <x:v>88.42288059351911</x:v>
      </x:c>
      <x:c r="AI279" s="6" t="str">
        <x:v>278.0911641912223</x:v>
      </x:c>
      <x:c r="AJ279" s="6" t="str">
        <x:v>0.3538169895548364</x:v>
      </x:c>
      <x:c r="AK279" s="8" t="str">
        <x:v>0.7989686840333597</x:v>
      </x:c>
      <x:c r="AL279" s="6" t="str">
        <x:v>0.7006072473499576</x:v>
      </x:c>
      <x:c r="AM279" s="6" t="str">
        <x:v>1.0132179152816598</x:v>
      </x:c>
      <x:c r="AN279" s="6" t="str">
        <x:v>0.8375979488883258</x:v>
      </x:c>
      <x:c r="AO279" s="6" t="str">
        <x:v>-0.4219192790934869</x:v>
      </x:c>
      <x:c r="AP279" s="8" t="str">
        <x:v>-0.3762049981814914</x:v>
      </x:c>
      <x:c r="AQ279" s="6" t="str">
        <x:v>0.3337014066156718</x:v>
      </x:c>
      <x:c r="AR279" s="6" t="str">
        <x:v>0.8597885780189083</x:v>
      </x:c>
      <x:c r="AS279" s="6" t="str">
        <x:v>0.2724283288176968</x:v>
      </x:c>
      <x:c r="AT279" s="6" t="str">
        <x:v>-45.566668066551244</x:v>
      </x:c>
      <x:c r="AU279" s="8" t="str">
        <x:v>-0.4400218996371217</x:v>
      </x:c>
      <x:c r="AV279" s="6" t="str">
        <x:v>1.2345424878058264</x:v>
      </x:c>
      <x:c r="AW279" s="6" t="str">
        <x:v>0.2174666030909561</x:v>
      </x:c>
      <x:c r="AX279" s="6" t="str">
        <x:v>0.3373290637532197</x:v>
      </x:c>
      <x:c r="AY279" s="6" t="str">
        <x:v>0</x:v>
      </x:c>
      <x:c r="AZ279" s="6" t="str">
        <x:v>0</x:v>
      </x:c>
      <x:c r="BA279" s="9" t="str">
        <x:v>grid_cells_within_BIG_polygon</x:v>
      </x:c>
      <x:c r="BB279" s="6" t="str">
        <x:v>9</x:v>
      </x:c>
      <x:c r="BC279" s="6" t="str">
        <x:v>58</x:v>
      </x:c>
      <x:c r="BD279" s="6" t="str">
        <x:v>58</x:v>
      </x:c>
      <x:c r="BE279" s="6" t="str">
        <x:v>21</x:v>
      </x:c>
      <x:c r="BF279" s="6" t="str">
        <x:v>4</x:v>
      </x:c>
      <x:c r="BG279" s="6" t="str">
        <x:v>33</x:v>
      </x:c>
      <x:c r="BH279" s="6" t="str">
        <x:v>0</x:v>
      </x:c>
      <x:c r="BI279" s="6" t="str">
        <x:v>0</x:v>
      </x:c>
      <x:c r="BJ279" s="6" t="str">
        <x:v>0</x:v>
      </x:c>
      <x:c r="BK279" s="6" t="str">
        <x:v>0</x:v>
      </x:c>
      <x:c r="BL279" s="6" t="str">
        <x:v>0</x:v>
      </x:c>
      <x:c r="BM279" s="6" t="str">
        <x:v>0</x:v>
      </x:c>
      <x:c r="BN279" s="6" t="str">
        <x:v>58</x:v>
      </x:c>
      <x:c r="BO279" s="6" t="str">
        <x:v>1.0</x:v>
      </x:c>
      <x:c r="BP279" s="6" t="str">
        <x:v>58</x:v>
      </x:c>
      <x:c r="BQ279" s="6" t="str">
        <x:v>5.0</x:v>
      </x:c>
      <x:c r="BR279" s="6" t="str">
        <x:v>58</x:v>
      </x:c>
      <x:c r="BS279" s="6" t="str">
        <x:v>1186.0</x:v>
      </x:c>
      <x:c r="BT279" s="6" t="str">
        <x:v>58</x:v>
      </x:c>
      <x:c r="BU279" s="6" t="str">
        <x:v>6645.0</x:v>
      </x:c>
      <x:c r="BV279" s="6" t="str">
        <x:v>19</x:v>
      </x:c>
      <x:c r="BW279" s="9" t="str">
        <x:v>operational_snapshot_annual_totals_may_differ</x:v>
      </x:c>
      <x:c r="BX279" s="9" t="str">
        <x:v>official_live_dashboard_snapshot_subject_to_revision</x:v>
      </x:c>
      <x:c r="BY279" s="9" t="str">
        <x:v>https://tbdashboard.sitb.id/ss_data_tbc03so_2025_provinsi_bulanan_list.php</x:v>
      </x:c>
      <x:c r="BZ279" s="6" t="n">
        <x:v>46246.610671296294</x:v>
      </x:c>
    </x:row>
    <x:row r="280" ht="18" customHeight="1">
      <x:c r="A280" s="6" t="str">
        <x:v>32</x:v>
      </x:c>
      <x:c r="B280" s="6" t="str">
        <x:v>JAWA BARAT</x:v>
      </x:c>
      <x:c r="C280" s="6" t="str">
        <x:v>2025</x:v>
      </x:c>
      <x:c r="D280" s="6" t="str">
        <x:v>3</x:v>
      </x:c>
      <x:c r="E280" s="6" t="str">
        <x:v>2025-03</x:v>
      </x:c>
      <x:c r="F280" s="6" t="str">
        <x:v>16779</x:v>
      </x:c>
      <x:c r="G280" s="6" t="str">
        <x:v>2715</x:v>
      </x:c>
      <x:c r="H280" s="6" t="str">
        <x:v>11005</x:v>
      </x:c>
      <x:c r="I280" s="6" t="str">
        <x:v>1449</x:v>
      </x:c>
      <x:c r="J280" s="6" t="str">
        <x:v>519</x:v>
      </x:c>
      <x:c r="K280" s="6" t="str">
        <x:v>47</x:v>
      </x:c>
      <x:c r="L280" s="6" t="str">
        <x:v>17</x:v>
      </x:c>
      <x:c r="M280" s="6" t="str">
        <x:v>1027</x:v>
      </x:c>
      <x:c r="N280" s="6" t="str">
        <x:v>16779</x:v>
      </x:c>
      <x:c r="O280" s="6" t="str">
        <x:v>0</x:v>
      </x:c>
      <x:c r="P280" s="10" t="n">
        <x:f>F280-M280</x:f>
        <x:v>15752</x:v>
      </x:c>
      <x:c r="Q280" s="11" t="n">
        <x:f>IFERROR(M280/F280,"")</x:f>
        <x:v>0.06120746170808749</x:v>
      </x:c>
      <x:c r="R280" s="10" t="n">
        <x:f>G280+H280</x:f>
        <x:v>13720</x:v>
      </x:c>
      <x:c r="S280" s="11" t="n">
        <x:f>IFERROR(R280/F280,"")</x:f>
        <x:v>0.8176887776387151</x:v>
      </x:c>
      <x:c r="T280" s="11" t="n">
        <x:f>IFERROR(R280/P280,"")</x:f>
        <x:v>0.8710005078720162</x:v>
      </x:c>
      <x:c r="U280" s="10" t="n">
        <x:f>I280+J280+K280</x:f>
        <x:v>2015</x:v>
      </x:c>
      <x:c r="V280" s="11" t="n">
        <x:f>IFERROR(U280/P280,"")</x:f>
        <x:v>0.12792026409344845</x:v>
      </x:c>
      <x:c r="W280" s="9" t="str">
        <x:v>provisional_gt_5pct_pending</x:v>
      </x:c>
      <x:c r="X280" s="12" t="n">
        <x:f>IFERROR(F280/Z280*100000,"")</x:f>
        <x:v>33.05620678106346</x:v>
      </x:c>
      <x:c r="Y280" s="13" t="n">
        <x:f>LN(Z280)</x:f>
        <x:v>17.742599500064788</x:v>
      </x:c>
      <x:c r="Z280" s="6" t="str">
        <x:v>50759000</x:v>
      </x:c>
      <x:c r="AA280" s="6" t="str">
        <x:v>1370.0</x:v>
      </x:c>
      <x:c r="AB280" s="9" t="str">
        <x:v>2025-06-30</x:v>
      </x:c>
      <x:c r="AC280" s="8" t="str">
        <x:v>76.2</x:v>
      </x:c>
      <x:c r="AD280" s="9" t="str">
        <x:v>2025 (Susenas)</x:v>
      </x:c>
      <x:c r="AE280" s="8" t="str">
        <x:v>7.02</x:v>
      </x:c>
      <x:c r="AF280" s="9" t="str">
        <x:v>Maret 2025 (Susenas)</x:v>
      </x:c>
      <x:c r="AG280" s="6" t="str">
        <x:v>24.802385350404155</x:v>
      </x:c>
      <x:c r="AH280" s="8" t="str">
        <x:v>88.72315693557442</x:v>
      </x:c>
      <x:c r="AI280" s="6" t="str">
        <x:v>232.7513385121833</x:v>
      </x:c>
      <x:c r="AJ280" s="6" t="str">
        <x:v>0.3748965135957789</x:v>
      </x:c>
      <x:c r="AK280" s="8" t="str">
        <x:v>1.019552033895759</x:v>
      </x:c>
      <x:c r="AL280" s="6" t="str">
        <x:v>0.7989686840333597</x:v>
      </x:c>
      <x:c r="AM280" s="6" t="str">
        <x:v>0.7006072473499576</x:v>
      </x:c>
      <x:c r="AN280" s="6" t="str">
        <x:v>0.8397093217596923</x:v>
      </x:c>
      <x:c r="AO280" s="6" t="str">
        <x:v>0.4021056078414631</x:v>
      </x:c>
      <x:c r="AP280" s="8" t="str">
        <x:v>0.3818466703597344</x:v>
      </x:c>
      <x:c r="AQ280" s="6" t="str">
        <x:v>-0.3762049981814914</x:v>
      </x:c>
      <x:c r="AR280" s="6" t="str">
        <x:v>0.3337014066156718</x:v>
      </x:c>
      <x:c r="AS280" s="6" t="str">
        <x:v>0.1131143595979722</x:v>
      </x:c>
      <x:c r="AT280" s="6" t="str">
        <x:v>-72.46332357939764</x:v>
      </x:c>
      <x:c r="AU280" s="8" t="str">
        <x:v>-0.747652638759323</x:v>
      </x:c>
      <x:c r="AV280" s="6" t="str">
        <x:v>-0.4400218996371217</x:v>
      </x:c>
      <x:c r="AW280" s="6" t="str">
        <x:v>1.2345424878058264</x:v>
      </x:c>
      <x:c r="AX280" s="6" t="str">
        <x:v>0.0156226498031267</x:v>
      </x:c>
      <x:c r="AY280" s="6" t="str">
        <x:v>0</x:v>
      </x:c>
      <x:c r="AZ280" s="6" t="str">
        <x:v>1</x:v>
      </x:c>
      <x:c r="BA280" s="9" t="str">
        <x:v>grid_cells_within_BIG_polygon</x:v>
      </x:c>
      <x:c r="BB280" s="6" t="str">
        <x:v>9</x:v>
      </x:c>
      <x:c r="BC280" s="6" t="str">
        <x:v>65</x:v>
      </x:c>
      <x:c r="BD280" s="6" t="str">
        <x:v>65</x:v>
      </x:c>
      <x:c r="BE280" s="6" t="str">
        <x:v>32</x:v>
      </x:c>
      <x:c r="BF280" s="6" t="str">
        <x:v>19</x:v>
      </x:c>
      <x:c r="BG280" s="6" t="str">
        <x:v>14</x:v>
      </x:c>
      <x:c r="BH280" s="6" t="str">
        <x:v>0</x:v>
      </x:c>
      <x:c r="BI280" s="6" t="str">
        <x:v>0</x:v>
      </x:c>
      <x:c r="BJ280" s="6" t="str">
        <x:v>0</x:v>
      </x:c>
      <x:c r="BK280" s="6" t="str">
        <x:v>0</x:v>
      </x:c>
      <x:c r="BL280" s="6" t="str">
        <x:v>0</x:v>
      </x:c>
      <x:c r="BM280" s="6" t="str">
        <x:v>0</x:v>
      </x:c>
      <x:c r="BN280" s="6" t="str">
        <x:v>65</x:v>
      </x:c>
      <x:c r="BO280" s="6" t="str">
        <x:v>9.0</x:v>
      </x:c>
      <x:c r="BP280" s="6" t="str">
        <x:v>65</x:v>
      </x:c>
      <x:c r="BQ280" s="6" t="str">
        <x:v>22.0</x:v>
      </x:c>
      <x:c r="BR280" s="6" t="str">
        <x:v>65</x:v>
      </x:c>
      <x:c r="BS280" s="6" t="str">
        <x:v>4286.0</x:v>
      </x:c>
      <x:c r="BT280" s="6" t="str">
        <x:v>65</x:v>
      </x:c>
      <x:c r="BU280" s="6" t="str">
        <x:v>81688.0</x:v>
      </x:c>
      <x:c r="BV280" s="6" t="str">
        <x:v>27</x:v>
      </x:c>
      <x:c r="BW280" s="9" t="str">
        <x:v>operational_snapshot_annual_totals_may_differ</x:v>
      </x:c>
      <x:c r="BX280" s="9" t="str">
        <x:v>official_live_dashboard_snapshot_subject_to_revision</x:v>
      </x:c>
      <x:c r="BY280" s="9" t="str">
        <x:v>https://tbdashboard.sitb.id/ss_data_tbc03so_2025_provinsi_bulanan_list.php</x:v>
      </x:c>
      <x:c r="BZ280" s="6" t="n">
        <x:v>46246.610671296294</x:v>
      </x:c>
    </x:row>
    <x:row r="281" ht="18" customHeight="1">
      <x:c r="A281" s="6" t="str">
        <x:v>32</x:v>
      </x:c>
      <x:c r="B281" s="6" t="str">
        <x:v>JAWA BARAT</x:v>
      </x:c>
      <x:c r="C281" s="6" t="str">
        <x:v>2025</x:v>
      </x:c>
      <x:c r="D281" s="6" t="str">
        <x:v>4</x:v>
      </x:c>
      <x:c r="E281" s="6" t="str">
        <x:v>2025-04</x:v>
      </x:c>
      <x:c r="F281" s="6" t="str">
        <x:v>16099</x:v>
      </x:c>
      <x:c r="G281" s="6" t="str">
        <x:v>2704</x:v>
      </x:c>
      <x:c r="H281" s="6" t="str">
        <x:v>10255</x:v>
      </x:c>
      <x:c r="I281" s="6" t="str">
        <x:v>1420</x:v>
      </x:c>
      <x:c r="J281" s="6" t="str">
        <x:v>549</x:v>
      </x:c>
      <x:c r="K281" s="6" t="str">
        <x:v>51</x:v>
      </x:c>
      <x:c r="L281" s="6" t="str">
        <x:v>16</x:v>
      </x:c>
      <x:c r="M281" s="6" t="str">
        <x:v>1104</x:v>
      </x:c>
      <x:c r="N281" s="6" t="str">
        <x:v>16099</x:v>
      </x:c>
      <x:c r="O281" s="6" t="str">
        <x:v>0</x:v>
      </x:c>
      <x:c r="P281" s="10" t="n">
        <x:f>F281-M281</x:f>
        <x:v>14995</x:v>
      </x:c>
      <x:c r="Q281" s="11" t="n">
        <x:f>IFERROR(M281/F281,"")</x:f>
        <x:v>0.06857568793092739</x:v>
      </x:c>
      <x:c r="R281" s="10" t="n">
        <x:f>G281+H281</x:f>
        <x:v>12959</x:v>
      </x:c>
      <x:c r="S281" s="11" t="n">
        <x:f>IFERROR(R281/F281,"")</x:f>
        <x:v>0.8049568296167464</x:v>
      </x:c>
      <x:c r="T281" s="11" t="n">
        <x:f>IFERROR(R281/P281,"")</x:f>
        <x:v>0.8642214071357119</x:v>
      </x:c>
      <x:c r="U281" s="10" t="n">
        <x:f>I281+J281+K281</x:f>
        <x:v>2020</x:v>
      </x:c>
      <x:c r="V281" s="11" t="n">
        <x:f>IFERROR(U281/P281,"")</x:f>
        <x:v>0.13471157052350782</x:v>
      </x:c>
      <x:c r="W281" s="9" t="str">
        <x:v>provisional_gt_5pct_pending</x:v>
      </x:c>
      <x:c r="X281" s="12" t="n">
        <x:f>IFERROR(F281/Z281*100000,"")</x:f>
        <x:v>31.716542879095332</x:v>
      </x:c>
      <x:c r="Y281" s="13" t="n">
        <x:f>LN(Z281)</x:f>
        <x:v>17.742599500064788</x:v>
      </x:c>
      <x:c r="Z281" s="6" t="str">
        <x:v>50759000</x:v>
      </x:c>
      <x:c r="AA281" s="6" t="str">
        <x:v>1370.0</x:v>
      </x:c>
      <x:c r="AB281" s="9" t="str">
        <x:v>2025-06-30</x:v>
      </x:c>
      <x:c r="AC281" s="8" t="str">
        <x:v>76.2</x:v>
      </x:c>
      <x:c r="AD281" s="9" t="str">
        <x:v>2025 (Susenas)</x:v>
      </x:c>
      <x:c r="AE281" s="8" t="str">
        <x:v>7.02</x:v>
      </x:c>
      <x:c r="AF281" s="9" t="str">
        <x:v>Maret 2025 (Susenas)</x:v>
      </x:c>
      <x:c r="AG281" s="6" t="str">
        <x:v>24.88481274798696</x:v>
      </x:c>
      <x:c r="AH281" s="8" t="str">
        <x:v>87.1957376455853</x:v>
      </x:c>
      <x:c r="AI281" s="6" t="str">
        <x:v>225.16403209193427</x:v>
      </x:c>
      <x:c r="AJ281" s="6" t="str">
        <x:v>0.2648056493673323</x:v>
      </x:c>
      <x:c r="AK281" s="8" t="str">
        <x:v>0.6986984402003458</x:v>
      </x:c>
      <x:c r="AL281" s="6" t="str">
        <x:v>1.019552033895759</x:v>
      </x:c>
      <x:c r="AM281" s="6" t="str">
        <x:v>0.7989686840333597</x:v>
      </x:c>
      <x:c r="AN281" s="6" t="str">
        <x:v>0.8390730527098217</x:v>
      </x:c>
      <x:c r="AO281" s="6" t="str">
        <x:v>-1.1793340166428408</x:v>
      </x:c>
      <x:c r="AP281" s="8" t="str">
        <x:v>-1.6002707699404883</x:v>
      </x:c>
      <x:c r="AQ281" s="6" t="str">
        <x:v>0.3818466703597344</x:v>
      </x:c>
      <x:c r="AR281" s="6" t="str">
        <x:v>-0.3762049981814914</x:v>
      </x:c>
      <x:c r="AS281" s="6" t="str">
        <x:v>-0.5315430325874145</x:v>
      </x:c>
      <x:c r="AT281" s="6" t="str">
        <x:v>-26.802431828359573</x:v>
      </x:c>
      <x:c r="AU281" s="8" t="str">
        <x:v>-0.3889360110641099</x:v>
      </x:c>
      <x:c r="AV281" s="6" t="str">
        <x:v>-0.747652638759323</x:v>
      </x:c>
      <x:c r="AW281" s="6" t="str">
        <x:v>-0.4400218996371217</x:v>
      </x:c>
      <x:c r="AX281" s="6" t="str">
        <x:v>-0.5255368498201854</x:v>
      </x:c>
      <x:c r="AY281" s="6" t="str">
        <x:v>0</x:v>
      </x:c>
      <x:c r="AZ281" s="6" t="str">
        <x:v>0</x:v>
      </x:c>
      <x:c r="BA281" s="9" t="str">
        <x:v>grid_cells_within_BIG_polygon</x:v>
      </x:c>
      <x:c r="BB281" s="6" t="str">
        <x:v>9</x:v>
      </x:c>
      <x:c r="BC281" s="6" t="str">
        <x:v>41</x:v>
      </x:c>
      <x:c r="BD281" s="6" t="str">
        <x:v>40</x:v>
      </x:c>
      <x:c r="BE281" s="6" t="str">
        <x:v>13</x:v>
      </x:c>
      <x:c r="BF281" s="6" t="str">
        <x:v>11</x:v>
      </x:c>
      <x:c r="BG281" s="6" t="str">
        <x:v>15</x:v>
      </x:c>
      <x:c r="BH281" s="6" t="str">
        <x:v>1</x:v>
      </x:c>
      <x:c r="BI281" s="6" t="str">
        <x:v>0</x:v>
      </x:c>
      <x:c r="BJ281" s="6" t="str">
        <x:v>0</x:v>
      </x:c>
      <x:c r="BK281" s="6" t="str">
        <x:v>1</x:v>
      </x:c>
      <x:c r="BL281" s="6" t="str">
        <x:v>0</x:v>
      </x:c>
      <x:c r="BM281" s="6" t="str">
        <x:v>0</x:v>
      </x:c>
      <x:c r="BN281" s="6" t="str">
        <x:v>41</x:v>
      </x:c>
      <x:c r="BO281" s="6" t="str">
        <x:v>1.0</x:v>
      </x:c>
      <x:c r="BP281" s="6" t="str">
        <x:v>40</x:v>
      </x:c>
      <x:c r="BQ281" s="6" t="str">
        <x:v>7.0</x:v>
      </x:c>
      <x:c r="BR281" s="6" t="str">
        <x:v>40</x:v>
      </x:c>
      <x:c r="BS281" s="6" t="str">
        <x:v>334.0</x:v>
      </x:c>
      <x:c r="BT281" s="6" t="str">
        <x:v>41</x:v>
      </x:c>
      <x:c r="BU281" s="6" t="str">
        <x:v>3743.0</x:v>
      </x:c>
      <x:c r="BV281" s="6" t="str">
        <x:v>13</x:v>
      </x:c>
      <x:c r="BW281" s="9" t="str">
        <x:v>operational_snapshot_annual_totals_may_differ</x:v>
      </x:c>
      <x:c r="BX281" s="9" t="str">
        <x:v>official_live_dashboard_snapshot_subject_to_revision</x:v>
      </x:c>
      <x:c r="BY281" s="9" t="str">
        <x:v>https://tbdashboard.sitb.id/ss_data_tbc03so_2025_provinsi_bulanan_list.php</x:v>
      </x:c>
      <x:c r="BZ281" s="6" t="n">
        <x:v>46246.610671296294</x:v>
      </x:c>
    </x:row>
    <x:row r="282" ht="18" customHeight="1">
      <x:c r="A282" s="6" t="str">
        <x:v>32</x:v>
      </x:c>
      <x:c r="B282" s="6" t="str">
        <x:v>JAWA BARAT</x:v>
      </x:c>
      <x:c r="C282" s="6" t="str">
        <x:v>2025</x:v>
      </x:c>
      <x:c r="D282" s="6" t="str">
        <x:v>5</x:v>
      </x:c>
      <x:c r="E282" s="6" t="str">
        <x:v>2025-05</x:v>
      </x:c>
      <x:c r="F282" s="6" t="str">
        <x:v>17281</x:v>
      </x:c>
      <x:c r="G282" s="6" t="str">
        <x:v>2531</x:v>
      </x:c>
      <x:c r="H282" s="6" t="str">
        <x:v>11134</x:v>
      </x:c>
      <x:c r="I282" s="6" t="str">
        <x:v>1465</x:v>
      </x:c>
      <x:c r="J282" s="6" t="str">
        <x:v>519</x:v>
      </x:c>
      <x:c r="K282" s="6" t="str">
        <x:v>30</x:v>
      </x:c>
      <x:c r="L282" s="6" t="str">
        <x:v>11</x:v>
      </x:c>
      <x:c r="M282" s="6" t="str">
        <x:v>1591</x:v>
      </x:c>
      <x:c r="N282" s="6" t="str">
        <x:v>17281</x:v>
      </x:c>
      <x:c r="O282" s="6" t="str">
        <x:v>0</x:v>
      </x:c>
      <x:c r="P282" s="10" t="n">
        <x:f>F282-M282</x:f>
        <x:v>15690</x:v>
      </x:c>
      <x:c r="Q282" s="11" t="n">
        <x:f>IFERROR(M282/F282,"")</x:f>
        <x:v>0.0920664313407789</x:v>
      </x:c>
      <x:c r="R282" s="10" t="n">
        <x:f>G282+H282</x:f>
        <x:v>13665</x:v>
      </x:c>
      <x:c r="S282" s="11" t="n">
        <x:f>IFERROR(R282/F282,"")</x:f>
        <x:v>0.7907528499508131</x:v>
      </x:c>
      <x:c r="T282" s="11" t="n">
        <x:f>IFERROR(R282/P282,"")</x:f>
        <x:v>0.8709369024856597</x:v>
      </x:c>
      <x:c r="U282" s="10" t="n">
        <x:f>I282+J282+K282</x:f>
        <x:v>2014</x:v>
      </x:c>
      <x:c r="V282" s="11" t="n">
        <x:f>IFERROR(U282/P282,"")</x:f>
        <x:v>0.12836201402166986</x:v>
      </x:c>
      <x:c r="W282" s="9" t="str">
        <x:v>provisional_gt_5pct_pending</x:v>
      </x:c>
      <x:c r="X282" s="12" t="n">
        <x:f>IFERROR(F282/Z282*100000,"")</x:f>
        <x:v>34.045193955751685</x:v>
      </x:c>
      <x:c r="Y282" s="13" t="n">
        <x:f>LN(Z282)</x:f>
        <x:v>17.742599500064788</x:v>
      </x:c>
      <x:c r="Z282" s="6" t="str">
        <x:v>50759000</x:v>
      </x:c>
      <x:c r="AA282" s="6" t="str">
        <x:v>1370.0</x:v>
      </x:c>
      <x:c r="AB282" s="9" t="str">
        <x:v>2025-06-30</x:v>
      </x:c>
      <x:c r="AC282" s="8" t="str">
        <x:v>76.2</x:v>
      </x:c>
      <x:c r="AD282" s="9" t="str">
        <x:v>2025 (Susenas)</x:v>
      </x:c>
      <x:c r="AE282" s="8" t="str">
        <x:v>7.02</x:v>
      </x:c>
      <x:c r="AF282" s="9" t="str">
        <x:v>Maret 2025 (Susenas)</x:v>
      </x:c>
      <x:c r="AG282" s="6" t="str">
        <x:v>25.202630154104</x:v>
      </x:c>
      <x:c r="AH282" s="8" t="str">
        <x:v>88.11643091251304</x:v>
      </x:c>
      <x:c r="AI282" s="6" t="str">
        <x:v>317.17231515454665</x:v>
      </x:c>
      <x:c r="AJ282" s="6" t="str">
        <x:v>0.7105827035473808</x:v>
      </x:c>
      <x:c r="AK282" s="8" t="str">
        <x:v>1.6474463618276387</x:v>
      </x:c>
      <x:c r="AL282" s="6" t="str">
        <x:v>0.6986984402003458</x:v>
      </x:c>
      <x:c r="AM282" s="6" t="str">
        <x:v>1.019552033895759</x:v>
      </x:c>
      <x:c r="AN282" s="6" t="str">
        <x:v>1.121898945307915</x:v>
      </x:c>
      <x:c r="AO282" s="6" t="str">
        <x:v>0.3205772652277687</x:v>
      </x:c>
      <x:c r="AP282" s="8" t="str">
        <x:v>0.3485015918791953</x:v>
      </x:c>
      <x:c r="AQ282" s="6" t="str">
        <x:v>-1.6002707699404883</x:v>
      </x:c>
      <x:c r="AR282" s="6" t="str">
        <x:v>0.3818466703597344</x:v>
      </x:c>
      <x:c r="AS282" s="6" t="str">
        <x:v>-0.2899741692338522</x:v>
      </x:c>
      <x:c r="AT282" s="6" t="str">
        <x:v>151.94293166824806</x:v>
      </x:c>
      <x:c r="AU282" s="8" t="str">
        <x:v>1.9303971883732332</x:v>
      </x:c>
      <x:c r="AV282" s="6" t="str">
        <x:v>-0.3889360110641099</x:v>
      </x:c>
      <x:c r="AW282" s="6" t="str">
        <x:v>-0.747652638759323</x:v>
      </x:c>
      <x:c r="AX282" s="6" t="str">
        <x:v>0.2646028461832663</x:v>
      </x:c>
      <x:c r="AY282" s="6" t="str">
        <x:v>1</x:v>
      </x:c>
      <x:c r="AZ282" s="6" t="str">
        <x:v>1</x:v>
      </x:c>
      <x:c r="BA282" s="9" t="str">
        <x:v>grid_cells_within_BIG_polygon</x:v>
      </x:c>
      <x:c r="BB282" s="6" t="str">
        <x:v>9</x:v>
      </x:c>
      <x:c r="BC282" s="6" t="str">
        <x:v>49</x:v>
      </x:c>
      <x:c r="BD282" s="6" t="str">
        <x:v>49</x:v>
      </x:c>
      <x:c r="BE282" s="6" t="str">
        <x:v>20</x:v>
      </x:c>
      <x:c r="BF282" s="6" t="str">
        <x:v>14</x:v>
      </x:c>
      <x:c r="BG282" s="6" t="str">
        <x:v>15</x:v>
      </x:c>
      <x:c r="BH282" s="6" t="str">
        <x:v>0</x:v>
      </x:c>
      <x:c r="BI282" s="6" t="str">
        <x:v>0</x:v>
      </x:c>
      <x:c r="BJ282" s="6" t="str">
        <x:v>0</x:v>
      </x:c>
      <x:c r="BK282" s="6" t="str">
        <x:v>0</x:v>
      </x:c>
      <x:c r="BL282" s="6" t="str">
        <x:v>0</x:v>
      </x:c>
      <x:c r="BM282" s="6" t="str">
        <x:v>0</x:v>
      </x:c>
      <x:c r="BN282" s="6" t="str">
        <x:v>49</x:v>
      </x:c>
      <x:c r="BO282" s="6" t="str">
        <x:v>23.0</x:v>
      </x:c>
      <x:c r="BP282" s="6" t="str">
        <x:v>49</x:v>
      </x:c>
      <x:c r="BQ282" s="6" t="str">
        <x:v>25.0</x:v>
      </x:c>
      <x:c r="BR282" s="6" t="str">
        <x:v>49</x:v>
      </x:c>
      <x:c r="BS282" s="6" t="str">
        <x:v>645.0</x:v>
      </x:c>
      <x:c r="BT282" s="6" t="str">
        <x:v>49</x:v>
      </x:c>
      <x:c r="BU282" s="6" t="str">
        <x:v>10027.0</x:v>
      </x:c>
      <x:c r="BV282" s="6" t="str">
        <x:v>17</x:v>
      </x:c>
      <x:c r="BW282" s="9" t="str">
        <x:v>operational_snapshot_annual_totals_may_differ</x:v>
      </x:c>
      <x:c r="BX282" s="9" t="str">
        <x:v>official_live_dashboard_snapshot_subject_to_revision</x:v>
      </x:c>
      <x:c r="BY282" s="9" t="str">
        <x:v>https://tbdashboard.sitb.id/ss_data_tbc03so_2025_provinsi_bulanan_list.php</x:v>
      </x:c>
      <x:c r="BZ282" s="6" t="n">
        <x:v>46246.610671296294</x:v>
      </x:c>
    </x:row>
    <x:row r="283" ht="18" customHeight="1">
      <x:c r="A283" s="6" t="str">
        <x:v>32</x:v>
      </x:c>
      <x:c r="B283" s="6" t="str">
        <x:v>JAWA BARAT</x:v>
      </x:c>
      <x:c r="C283" s="6" t="str">
        <x:v>2025</x:v>
      </x:c>
      <x:c r="D283" s="6" t="str">
        <x:v>6</x:v>
      </x:c>
      <x:c r="E283" s="6" t="str">
        <x:v>2025-06</x:v>
      </x:c>
      <x:c r="F283" s="6" t="str">
        <x:v>15835</x:v>
      </x:c>
      <x:c r="G283" s="6" t="str">
        <x:v>2124</x:v>
      </x:c>
      <x:c r="H283" s="6" t="str">
        <x:v>10236</x:v>
      </x:c>
      <x:c r="I283" s="6" t="str">
        <x:v>1320</x:v>
      </x:c>
      <x:c r="J283" s="6" t="str">
        <x:v>442</x:v>
      </x:c>
      <x:c r="K283" s="6" t="str">
        <x:v>37</x:v>
      </x:c>
      <x:c r="L283" s="6" t="str">
        <x:v>14</x:v>
      </x:c>
      <x:c r="M283" s="6" t="str">
        <x:v>1662</x:v>
      </x:c>
      <x:c r="N283" s="6" t="str">
        <x:v>15835</x:v>
      </x:c>
      <x:c r="O283" s="6" t="str">
        <x:v>0</x:v>
      </x:c>
      <x:c r="P283" s="10" t="n">
        <x:f>F283-M283</x:f>
        <x:v>14173</x:v>
      </x:c>
      <x:c r="Q283" s="11" t="n">
        <x:f>IFERROR(M283/F283,"")</x:f>
        <x:v>0.10495737290811494</x:v>
      </x:c>
      <x:c r="R283" s="10" t="n">
        <x:f>G283+H283</x:f>
        <x:v>12360</x:v>
      </x:c>
      <x:c r="S283" s="11" t="n">
        <x:f>IFERROR(R283/F283,"")</x:f>
        <x:v>0.780549415850963</x:v>
      </x:c>
      <x:c r="T283" s="11" t="n">
        <x:f>IFERROR(R283/P283,"")</x:f>
        <x:v>0.8720807168559938</x:v>
      </x:c>
      <x:c r="U283" s="10" t="n">
        <x:f>I283+J283+K283</x:f>
        <x:v>1799</x:v>
      </x:c>
      <x:c r="V283" s="11" t="n">
        <x:f>IFERROR(U283/P283,"")</x:f>
        <x:v>0.1269314894517745</x:v>
      </x:c>
      <x:c r="W283" s="9" t="str">
        <x:v>provisional_gt_5pct_pending</x:v>
      </x:c>
      <x:c r="X283" s="12" t="n">
        <x:f>IFERROR(F283/Z283*100000,"")</x:f>
        <x:v>31.196438070095944</x:v>
      </x:c>
      <x:c r="Y283" s="13" t="n">
        <x:f>LN(Z283)</x:f>
        <x:v>17.742599500064788</x:v>
      </x:c>
      <x:c r="Z283" s="6" t="str">
        <x:v>50759000</x:v>
      </x:c>
      <x:c r="AA283" s="6" t="str">
        <x:v>1370.0</x:v>
      </x:c>
      <x:c r="AB283" s="9" t="str">
        <x:v>2025-06-30</x:v>
      </x:c>
      <x:c r="AC283" s="8" t="str">
        <x:v>76.2</x:v>
      </x:c>
      <x:c r="AD283" s="9" t="str">
        <x:v>2025 (Susenas)</x:v>
      </x:c>
      <x:c r="AE283" s="8" t="str">
        <x:v>7.02</x:v>
      </x:c>
      <x:c r="AF283" s="9" t="str">
        <x:v>Maret 2025 (Susenas)</x:v>
      </x:c>
      <x:c r="AG283" s="6" t="str">
        <x:v>24.53144402832332</x:v>
      </x:c>
      <x:c r="AH283" s="8" t="str">
        <x:v>88.80670420171084</x:v>
      </x:c>
      <x:c r="AI283" s="6" t="str">
        <x:v>300.61380143559217</x:v>
      </x:c>
      <x:c r="AJ283" s="6" t="str">
        <x:v>0.7225491296084847</x:v>
      </x:c>
      <x:c r="AK283" s="8" t="str">
        <x:v>1.429725231611365</x:v>
      </x:c>
      <x:c r="AL283" s="6" t="str">
        <x:v>1.6474463618276387</x:v>
      </x:c>
      <x:c r="AM283" s="6" t="str">
        <x:v>0.6986984402003458</x:v>
      </x:c>
      <x:c r="AN283" s="6" t="str">
        <x:v>1.25862334454645</x:v>
      </x:c>
      <x:c r="AO283" s="6" t="str">
        <x:v>1.5990719024183877</x:v>
      </x:c>
      <x:c r="AP283" s="8" t="str">
        <x:v>1.155741971738125</x:v>
      </x:c>
      <x:c r="AQ283" s="6" t="str">
        <x:v>0.3485015918791953</x:v>
      </x:c>
      <x:c r="AR283" s="6" t="str">
        <x:v>-1.6002707699404883</x:v>
      </x:c>
      <x:c r="AS283" s="6" t="str">
        <x:v>-0.0320090687743887</x:v>
      </x:c>
      <x:c r="AT283" s="6" t="str">
        <x:v>202.36074140349405</x:v>
      </x:c>
      <x:c r="AU283" s="8" t="str">
        <x:v>3.154894824595708</x:v>
      </x:c>
      <x:c r="AV283" s="6" t="str">
        <x:v>1.9303971883732332</x:v>
      </x:c>
      <x:c r="AW283" s="6" t="str">
        <x:v>-0.3889360110641099</x:v>
      </x:c>
      <x:c r="AX283" s="6" t="str">
        <x:v>1.5654520006349433</x:v>
      </x:c>
      <x:c r="AY283" s="6" t="str">
        <x:v>1</x:v>
      </x:c>
      <x:c r="AZ283" s="6" t="str">
        <x:v>1</x:v>
      </x:c>
      <x:c r="BA283" s="9" t="str">
        <x:v>grid_cells_within_BIG_polygon</x:v>
      </x:c>
      <x:c r="BB283" s="6" t="str">
        <x:v>9</x:v>
      </x:c>
      <x:c r="BC283" s="6" t="str">
        <x:v>22</x:v>
      </x:c>
      <x:c r="BD283" s="6" t="str">
        <x:v>22</x:v>
      </x:c>
      <x:c r="BE283" s="6" t="str">
        <x:v>6</x:v>
      </x:c>
      <x:c r="BF283" s="6" t="str">
        <x:v>4</x:v>
      </x:c>
      <x:c r="BG283" s="6" t="str">
        <x:v>10</x:v>
      </x:c>
      <x:c r="BH283" s="6" t="str">
        <x:v>2</x:v>
      </x:c>
      <x:c r="BI283" s="6" t="str">
        <x:v>0</x:v>
      </x:c>
      <x:c r="BJ283" s="6" t="str">
        <x:v>0</x:v>
      </x:c>
      <x:c r="BK283" s="6" t="str">
        <x:v>0</x:v>
      </x:c>
      <x:c r="BL283" s="6" t="str">
        <x:v>0</x:v>
      </x:c>
      <x:c r="BM283" s="6" t="str">
        <x:v>0</x:v>
      </x:c>
      <x:c r="BN283" s="6" t="str">
        <x:v>22</x:v>
      </x:c>
      <x:c r="BO283" s="6" t="str">
        <x:v>9.0</x:v>
      </x:c>
      <x:c r="BP283" s="6" t="str">
        <x:v>6</x:v>
      </x:c>
      <x:c r="BQ283" s="6" t="str">
        <x:v>1.0</x:v>
      </x:c>
      <x:c r="BR283" s="6" t="str">
        <x:v>2</x:v>
      </x:c>
      <x:c r="BS283" s="6" t="str">
        <x:v>294.0</x:v>
      </x:c>
      <x:c r="BT283" s="6" t="str">
        <x:v>22</x:v>
      </x:c>
      <x:c r="BU283" s="6" t="str">
        <x:v>3635.0</x:v>
      </x:c>
      <x:c r="BV283" s="6" t="str">
        <x:v>6</x:v>
      </x:c>
      <x:c r="BW283" s="9" t="str">
        <x:v>operational_snapshot_annual_totals_may_differ</x:v>
      </x:c>
      <x:c r="BX283" s="9" t="str">
        <x:v>official_live_dashboard_snapshot_subject_to_revision</x:v>
      </x:c>
      <x:c r="BY283" s="9" t="str">
        <x:v>https://tbdashboard.sitb.id/ss_data_tbc03so_2025_provinsi_bulanan_list.php</x:v>
      </x:c>
      <x:c r="BZ283" s="6" t="n">
        <x:v>46246.610671296294</x:v>
      </x:c>
    </x:row>
    <x:row r="284" ht="18" customHeight="1">
      <x:c r="A284" s="6" t="str">
        <x:v>32</x:v>
      </x:c>
      <x:c r="B284" s="6" t="str">
        <x:v>JAWA BARAT</x:v>
      </x:c>
      <x:c r="C284" s="6" t="str">
        <x:v>2025</x:v>
      </x:c>
      <x:c r="D284" s="6" t="str">
        <x:v>7</x:v>
      </x:c>
      <x:c r="E284" s="6" t="str">
        <x:v>2025-07</x:v>
      </x:c>
      <x:c r="F284" s="6" t="str">
        <x:v>18491</x:v>
      </x:c>
      <x:c r="G284" s="6" t="str">
        <x:v>2356</x:v>
      </x:c>
      <x:c r="H284" s="6" t="str">
        <x:v>11890</x:v>
      </x:c>
      <x:c r="I284" s="6" t="str">
        <x:v>1509</x:v>
      </x:c>
      <x:c r="J284" s="6" t="str">
        <x:v>477</x:v>
      </x:c>
      <x:c r="K284" s="6" t="str">
        <x:v>45</x:v>
      </x:c>
      <x:c r="L284" s="6" t="str">
        <x:v>15</x:v>
      </x:c>
      <x:c r="M284" s="6" t="str">
        <x:v>2199</x:v>
      </x:c>
      <x:c r="N284" s="6" t="str">
        <x:v>18491</x:v>
      </x:c>
      <x:c r="O284" s="6" t="str">
        <x:v>0</x:v>
      </x:c>
      <x:c r="P284" s="10" t="n">
        <x:f>F284-M284</x:f>
        <x:v>16292</x:v>
      </x:c>
      <x:c r="Q284" s="11" t="n">
        <x:f>IFERROR(M284/F284,"")</x:f>
        <x:v>0.11892271916067276</x:v>
      </x:c>
      <x:c r="R284" s="10" t="n">
        <x:f>G284+H284</x:f>
        <x:v>14246</x:v>
      </x:c>
      <x:c r="S284" s="11" t="n">
        <x:f>IFERROR(R284/F284,"")</x:f>
        <x:v>0.7704288572819209</x:v>
      </x:c>
      <x:c r="T284" s="11" t="n">
        <x:f>IFERROR(R284/P284,"")</x:f>
        <x:v>0.8744168917260005</x:v>
      </x:c>
      <x:c r="U284" s="10" t="n">
        <x:f>I284+J284+K284</x:f>
        <x:v>2031</x:v>
      </x:c>
      <x:c r="V284" s="11" t="n">
        <x:f>IFERROR(U284/P284,"")</x:f>
        <x:v>0.12466241099926344</x:v>
      </x:c>
      <x:c r="W284" s="9" t="str">
        <x:v>provisional_gt_5pct_pending</x:v>
      </x:c>
      <x:c r="X284" s="12" t="n">
        <x:f>IFERROR(F284/Z284*100000,"")</x:f>
        <x:v>36.42900766366555</x:v>
      </x:c>
      <x:c r="Y284" s="13" t="n">
        <x:f>LN(Z284)</x:f>
        <x:v>17.742599500064788</x:v>
      </x:c>
      <x:c r="Z284" s="6" t="str">
        <x:v>50759000</x:v>
      </x:c>
      <x:c r="AA284" s="6" t="str">
        <x:v>1370.0</x:v>
      </x:c>
      <x:c r="AB284" s="9" t="str">
        <x:v>2025-06-30</x:v>
      </x:c>
      <x:c r="AC284" s="8" t="str">
        <x:v>76.2</x:v>
      </x:c>
      <x:c r="AD284" s="9" t="str">
        <x:v>2025 (Susenas)</x:v>
      </x:c>
      <x:c r="AE284" s="8" t="str">
        <x:v>7.02</x:v>
      </x:c>
      <x:c r="AF284" s="9" t="str">
        <x:v>Maret 2025 (Susenas)</x:v>
      </x:c>
      <x:c r="AG284" s="6" t="str">
        <x:v>23.807195078784268</x:v>
      </x:c>
      <x:c r="AH284" s="8" t="str">
        <x:v>87.57940210431195</x:v>
      </x:c>
      <x:c r="AI284" s="6" t="str">
        <x:v>143.98378864158198</x:v>
      </x:c>
      <x:c r="AJ284" s="6" t="str">
        <x:v>0.6799486306103155</x:v>
      </x:c>
      <x:c r="AK284" s="8" t="str">
        <x:v>1.076289880873249</x:v>
      </x:c>
      <x:c r="AL284" s="6" t="str">
        <x:v>1.429725231611365</x:v>
      </x:c>
      <x:c r="AM284" s="6" t="str">
        <x:v>1.6474463618276387</x:v>
      </x:c>
      <x:c r="AN284" s="6" t="str">
        <x:v>1.3844871581040843</x:v>
      </x:c>
      <x:c r="AO284" s="6" t="str">
        <x:v>1.6769060676133734</x:v>
      </x:c>
      <x:c r="AP284" s="8" t="str">
        <x:v>1.0044771462181472</x:v>
      </x:c>
      <x:c r="AQ284" s="6" t="str">
        <x:v>1.155741971738125</x:v>
      </x:c>
      <x:c r="AR284" s="6" t="str">
        <x:v>0.3485015918791953</x:v>
      </x:c>
      <x:c r="AS284" s="6" t="str">
        <x:v>0.8362402366118231</x:v>
      </x:c>
      <x:c r="AT284" s="6" t="str">
        <x:v>75.99562877090703</x:v>
      </x:c>
      <x:c r="AU284" s="8" t="str">
        <x:v>1.0451899716304511</x:v>
      </x:c>
      <x:c r="AV284" s="6" t="str">
        <x:v>3.154894824595708</x:v>
      </x:c>
      <x:c r="AW284" s="6" t="str">
        <x:v>1.9303971883732332</x:v>
      </x:c>
      <x:c r="AX284" s="6" t="str">
        <x:v>2.043493994866464</x:v>
      </x:c>
      <x:c r="AY284" s="6" t="str">
        <x:v>1</x:v>
      </x:c>
      <x:c r="AZ284" s="6" t="str">
        <x:v>1</x:v>
      </x:c>
      <x:c r="BA284" s="9" t="str">
        <x:v>grid_cells_within_BIG_polygon</x:v>
      </x:c>
      <x:c r="BB284" s="6" t="str">
        <x:v>9</x:v>
      </x:c>
      <x:c r="BC284" s="6" t="str">
        <x:v>25</x:v>
      </x:c>
      <x:c r="BD284" s="6" t="str">
        <x:v>25</x:v>
      </x:c>
      <x:c r="BE284" s="6" t="str">
        <x:v>14</x:v>
      </x:c>
      <x:c r="BF284" s="6" t="str">
        <x:v>4</x:v>
      </x:c>
      <x:c r="BG284" s="6" t="str">
        <x:v>5</x:v>
      </x:c>
      <x:c r="BH284" s="6" t="str">
        <x:v>1</x:v>
      </x:c>
      <x:c r="BI284" s="6" t="str">
        <x:v>1</x:v>
      </x:c>
      <x:c r="BJ284" s="6" t="str">
        <x:v>0</x:v>
      </x:c>
      <x:c r="BK284" s="6" t="str">
        <x:v>0</x:v>
      </x:c>
      <x:c r="BL284" s="6" t="str">
        <x:v>0</x:v>
      </x:c>
      <x:c r="BM284" s="6" t="str">
        <x:v>0</x:v>
      </x:c>
      <x:c r="BN284" s="6" t="str">
        <x:v>25</x:v>
      </x:c>
      <x:c r="BO284" s="6" t="str">
        <x:v>6.0</x:v>
      </x:c>
      <x:c r="BP284" s="6" t="str">
        <x:v>4</x:v>
      </x:c>
      <x:c r="BQ284" s="6" t="str">
        <x:v>6.0</x:v>
      </x:c>
      <x:c r="BR284" s="6" t="str">
        <x:v>3</x:v>
      </x:c>
      <x:c r="BS284" s="6" t="str">
        <x:v>83.0</x:v>
      </x:c>
      <x:c r="BT284" s="6" t="str">
        <x:v>25</x:v>
      </x:c>
      <x:c r="BU284" s="6" t="str">
        <x:v>7677.0</x:v>
      </x:c>
      <x:c r="BV284" s="6" t="str">
        <x:v>14</x:v>
      </x:c>
      <x:c r="BW284" s="9" t="str">
        <x:v>operational_snapshot_annual_totals_may_differ</x:v>
      </x:c>
      <x:c r="BX284" s="9" t="str">
        <x:v>official_live_dashboard_snapshot_subject_to_revision</x:v>
      </x:c>
      <x:c r="BY284" s="9" t="str">
        <x:v>https://tbdashboard.sitb.id/ss_data_tbc03so_2025_provinsi_bulanan_list.php</x:v>
      </x:c>
      <x:c r="BZ284" s="6" t="n">
        <x:v>46246.610671296294</x:v>
      </x:c>
    </x:row>
    <x:row r="285" ht="18" customHeight="1">
      <x:c r="A285" s="6" t="str">
        <x:v>32</x:v>
      </x:c>
      <x:c r="B285" s="6" t="str">
        <x:v>JAWA BARAT</x:v>
      </x:c>
      <x:c r="C285" s="6" t="str">
        <x:v>2025</x:v>
      </x:c>
      <x:c r="D285" s="6" t="str">
        <x:v>8</x:v>
      </x:c>
      <x:c r="E285" s="6" t="str">
        <x:v>2025-08</x:v>
      </x:c>
      <x:c r="F285" s="6" t="str">
        <x:v>18303</x:v>
      </x:c>
      <x:c r="G285" s="6" t="str">
        <x:v>2430</x:v>
      </x:c>
      <x:c r="H285" s="6" t="str">
        <x:v>11379</x:v>
      </x:c>
      <x:c r="I285" s="6" t="str">
        <x:v>1520</x:v>
      </x:c>
      <x:c r="J285" s="6" t="str">
        <x:v>475</x:v>
      </x:c>
      <x:c r="K285" s="6" t="str">
        <x:v>42</x:v>
      </x:c>
      <x:c r="L285" s="6" t="str">
        <x:v>14</x:v>
      </x:c>
      <x:c r="M285" s="6" t="str">
        <x:v>2443</x:v>
      </x:c>
      <x:c r="N285" s="6" t="str">
        <x:v>18303</x:v>
      </x:c>
      <x:c r="O285" s="6" t="str">
        <x:v>0</x:v>
      </x:c>
      <x:c r="P285" s="10" t="n">
        <x:f>F285-M285</x:f>
        <x:v>15860</x:v>
      </x:c>
      <x:c r="Q285" s="11" t="n">
        <x:f>IFERROR(M285/F285,"")</x:f>
        <x:v>0.13347538654865324</x:v>
      </x:c>
      <x:c r="R285" s="10" t="n">
        <x:f>G285+H285</x:f>
        <x:v>13809</x:v>
      </x:c>
      <x:c r="S285" s="11" t="n">
        <x:f>IFERROR(R285/F285,"")</x:f>
        <x:v>0.7544664809047698</x:v>
      </x:c>
      <x:c r="T285" s="11" t="n">
        <x:f>IFERROR(R285/P285,"")</x:f>
        <x:v>0.8706809583858764</x:v>
      </x:c>
      <x:c r="U285" s="10" t="n">
        <x:f>I285+J285+K285</x:f>
        <x:v>2037</x:v>
      </x:c>
      <x:c r="V285" s="11" t="n">
        <x:f>IFERROR(U285/P285,"")</x:f>
        <x:v>0.12843631778058007</x:v>
      </x:c>
      <x:c r="W285" s="9" t="str">
        <x:v>provisional_gt_5pct_pending</x:v>
      </x:c>
      <x:c r="X285" s="12" t="n">
        <x:f>IFERROR(F285/Z285*100000,"")</x:f>
        <x:v>36.05862999665084</x:v>
      </x:c>
      <x:c r="Y285" s="13" t="n">
        <x:f>LN(Z285)</x:f>
        <x:v>17.742599500064788</x:v>
      </x:c>
      <x:c r="Z285" s="6" t="str">
        <x:v>50759000</x:v>
      </x:c>
      <x:c r="AA285" s="6" t="str">
        <x:v>1370.0</x:v>
      </x:c>
      <x:c r="AB285" s="9" t="str">
        <x:v>2025-06-30</x:v>
      </x:c>
      <x:c r="AC285" s="8" t="str">
        <x:v>76.2</x:v>
      </x:c>
      <x:c r="AD285" s="9" t="str">
        <x:v>2025 (Susenas)</x:v>
      </x:c>
      <x:c r="AE285" s="8" t="str">
        <x:v>7.02</x:v>
      </x:c>
      <x:c r="AF285" s="9" t="str">
        <x:v>Maret 2025 (Susenas)</x:v>
      </x:c>
      <x:c r="AG285" s="6" t="str">
        <x:v>24.052649877697775</x:v>
      </x:c>
      <x:c r="AH285" s="8" t="str">
        <x:v>86.75192144774284</x:v>
      </x:c>
      <x:c r="AI285" s="6" t="str">
        <x:v>267.1717026906244</x:v>
      </x:c>
      <x:c r="AJ285" s="6" t="str">
        <x:v>0.9849315770940236</x:v>
      </x:c>
      <x:c r="AK285" s="8" t="str">
        <x:v>1.813624663028766</x:v>
      </x:c>
      <x:c r="AL285" s="6" t="str">
        <x:v>1.076289880873249</x:v>
      </x:c>
      <x:c r="AM285" s="6" t="str">
        <x:v>1.429725231611365</x:v>
      </x:c>
      <x:c r="AN285" s="6" t="str">
        <x:v>1.439879925171127</x:v>
      </x:c>
      <x:c r="AO285" s="6" t="str">
        <x:v>3.2000941550140567</x:v>
      </x:c>
      <x:c r="AP285" s="8" t="str">
        <x:v>1.7988927758704785</x:v>
      </x:c>
      <x:c r="AQ285" s="6" t="str">
        <x:v>1.0044771462181472</x:v>
      </x:c>
      <x:c r="AR285" s="6" t="str">
        <x:v>1.155741971738125</x:v>
      </x:c>
      <x:c r="AS285" s="6" t="str">
        <x:v>1.3197039646089177</x:v>
      </x:c>
      <x:c r="AT285" s="6" t="str">
        <x:v>219.5380178747852</x:v>
      </x:c>
      <x:c r="AU285" s="8" t="str">
        <x:v>4.090526534546117</x:v>
      </x:c>
      <x:c r="AV285" s="6" t="str">
        <x:v>1.0451899716304511</x:v>
      </x:c>
      <x:c r="AW285" s="6" t="str">
        <x:v>3.154894824595708</x:v>
      </x:c>
      <x:c r="AX285" s="6" t="str">
        <x:v>2.7635371102574253</x:v>
      </x:c>
      <x:c r="AY285" s="6" t="str">
        <x:v>1</x:v>
      </x:c>
      <x:c r="AZ285" s="6" t="str">
        <x:v>1</x:v>
      </x:c>
      <x:c r="BA285" s="9" t="str">
        <x:v>grid_cells_within_BIG_polygon</x:v>
      </x:c>
      <x:c r="BB285" s="6" t="str">
        <x:v>9</x:v>
      </x:c>
      <x:c r="BC285" s="6" t="str">
        <x:v>40</x:v>
      </x:c>
      <x:c r="BD285" s="6" t="str">
        <x:v>37</x:v>
      </x:c>
      <x:c r="BE285" s="6" t="str">
        <x:v>12</x:v>
      </x:c>
      <x:c r="BF285" s="6" t="str">
        <x:v>8</x:v>
      </x:c>
      <x:c r="BG285" s="6" t="str">
        <x:v>17</x:v>
      </x:c>
      <x:c r="BH285" s="6" t="str">
        <x:v>0</x:v>
      </x:c>
      <x:c r="BI285" s="6" t="str">
        <x:v>0</x:v>
      </x:c>
      <x:c r="BJ285" s="6" t="str">
        <x:v>0</x:v>
      </x:c>
      <x:c r="BK285" s="6" t="str">
        <x:v>3</x:v>
      </x:c>
      <x:c r="BL285" s="6" t="str">
        <x:v>0</x:v>
      </x:c>
      <x:c r="BM285" s="6" t="str">
        <x:v>0</x:v>
      </x:c>
      <x:c r="BN285" s="6" t="str">
        <x:v>40</x:v>
      </x:c>
      <x:c r="BO285" s="6" t="str">
        <x:v>4.0</x:v>
      </x:c>
      <x:c r="BP285" s="6" t="str">
        <x:v>4</x:v>
      </x:c>
      <x:c r="BQ285" s="6" t="str">
        <x:v>5.0</x:v>
      </x:c>
      <x:c r="BR285" s="6" t="str">
        <x:v>2</x:v>
      </x:c>
      <x:c r="BS285" s="6" t="str">
        <x:v>631.0</x:v>
      </x:c>
      <x:c r="BT285" s="6" t="str">
        <x:v>40</x:v>
      </x:c>
      <x:c r="BU285" s="6" t="str">
        <x:v>2534.0</x:v>
      </x:c>
      <x:c r="BV285" s="6" t="str">
        <x:v>10</x:v>
      </x:c>
      <x:c r="BW285" s="9" t="str">
        <x:v>operational_snapshot_annual_totals_may_differ</x:v>
      </x:c>
      <x:c r="BX285" s="9" t="str">
        <x:v>official_live_dashboard_snapshot_subject_to_revision</x:v>
      </x:c>
      <x:c r="BY285" s="9" t="str">
        <x:v>https://tbdashboard.sitb.id/ss_data_tbc03so_2025_provinsi_bulanan_list.php</x:v>
      </x:c>
      <x:c r="BZ285" s="6" t="n">
        <x:v>46246.610671296294</x:v>
      </x:c>
    </x:row>
    <x:row r="286" ht="18" customHeight="1">
      <x:c r="A286" s="6" t="str">
        <x:v>32</x:v>
      </x:c>
      <x:c r="B286" s="6" t="str">
        <x:v>JAWA BARAT</x:v>
      </x:c>
      <x:c r="C286" s="6" t="str">
        <x:v>2025</x:v>
      </x:c>
      <x:c r="D286" s="6" t="str">
        <x:v>9</x:v>
      </x:c>
      <x:c r="E286" s="6" t="str">
        <x:v>2025-09</x:v>
      </x:c>
      <x:c r="F286" s="6" t="str">
        <x:v>20151</x:v>
      </x:c>
      <x:c r="G286" s="6" t="str">
        <x:v>2631</x:v>
      </x:c>
      <x:c r="H286" s="6" t="str">
        <x:v>11805</x:v>
      </x:c>
      <x:c r="I286" s="6" t="str">
        <x:v>1595</x:v>
      </x:c>
      <x:c r="J286" s="6" t="str">
        <x:v>494</x:v>
      </x:c>
      <x:c r="K286" s="6" t="str">
        <x:v>39</x:v>
      </x:c>
      <x:c r="L286" s="6" t="str">
        <x:v>16</x:v>
      </x:c>
      <x:c r="M286" s="6" t="str">
        <x:v>3571</x:v>
      </x:c>
      <x:c r="N286" s="6" t="str">
        <x:v>20151</x:v>
      </x:c>
      <x:c r="O286" s="6" t="str">
        <x:v>0</x:v>
      </x:c>
      <x:c r="P286" s="10" t="n">
        <x:f>F286-M286</x:f>
        <x:v>16580</x:v>
      </x:c>
      <x:c r="Q286" s="11" t="n">
        <x:f>IFERROR(M286/F286,"")</x:f>
        <x:v>0.17721204902982482</x:v>
      </x:c>
      <x:c r="R286" s="10" t="n">
        <x:f>G286+H286</x:f>
        <x:v>14436</x:v>
      </x:c>
      <x:c r="S286" s="11" t="n">
        <x:f>IFERROR(R286/F286,"")</x:f>
        <x:v>0.7163912460920053</x:v>
      </x:c>
      <x:c r="T286" s="11" t="n">
        <x:f>IFERROR(R286/P286,"")</x:f>
        <x:v>0.8706875753920386</x:v>
      </x:c>
      <x:c r="U286" s="10" t="n">
        <x:f>I286+J286+K286</x:f>
        <x:v>2128</x:v>
      </x:c>
      <x:c r="V286" s="11" t="n">
        <x:f>IFERROR(U286/P286,"")</x:f>
        <x:v>0.12834740651387214</x:v>
      </x:c>
      <x:c r="W286" s="9" t="str">
        <x:v>provisional_gt_5pct_pending</x:v>
      </x:c>
      <x:c r="X286" s="12" t="n">
        <x:f>IFERROR(F286/Z286*100000,"")</x:f>
        <x:v>39.699363659646565</x:v>
      </x:c>
      <x:c r="Y286" s="13" t="n">
        <x:f>LN(Z286)</x:f>
        <x:v>17.742599500064788</x:v>
      </x:c>
      <x:c r="Z286" s="6" t="str">
        <x:v>50759000</x:v>
      </x:c>
      <x:c r="AA286" s="6" t="str">
        <x:v>1370.0</x:v>
      </x:c>
      <x:c r="AB286" s="9" t="str">
        <x:v>2025-06-30</x:v>
      </x:c>
      <x:c r="AC286" s="8" t="str">
        <x:v>76.2</x:v>
      </x:c>
      <x:c r="AD286" s="9" t="str">
        <x:v>2025 (Susenas)</x:v>
      </x:c>
      <x:c r="AE286" s="8" t="str">
        <x:v>7.02</x:v>
      </x:c>
      <x:c r="AF286" s="9" t="str">
        <x:v>Maret 2025 (Susenas)</x:v>
      </x:c>
      <x:c r="AG286" s="6" t="str">
        <x:v>24.403919079130297</x:v>
      </x:c>
      <x:c r="AH286" s="8" t="str">
        <x:v>86.6057108710732</x:v>
      </x:c>
      <x:c r="AI286" s="6" t="str">
        <x:v>261.7571738456143</x:v>
      </x:c>
      <x:c r="AJ286" s="6" t="str">
        <x:v>0.5685819441495852</x:v>
      </x:c>
      <x:c r="AK286" s="8" t="str">
        <x:v>1.4103215936694804</x:v>
      </x:c>
      <x:c r="AL286" s="6" t="str">
        <x:v>1.813624663028766</x:v>
      </x:c>
      <x:c r="AM286" s="6" t="str">
        <x:v>1.076289880873249</x:v>
      </x:c>
      <x:c r="AN286" s="6" t="str">
        <x:v>1.4334120458571655</x:v>
      </x:c>
      <x:c r="AO286" s="6" t="str">
        <x:v>5.238337041480563</x:v>
      </x:c>
      <x:c r="AP286" s="8" t="str">
        <x:v>1.7353988834273226</x:v>
      </x:c>
      <x:c r="AQ286" s="6" t="str">
        <x:v>1.7988927758704785</x:v>
      </x:c>
      <x:c r="AR286" s="6" t="str">
        <x:v>1.0044771462181472</x:v>
      </x:c>
      <x:c r="AS286" s="6" t="str">
        <x:v>1.5129229351719833</x:v>
      </x:c>
      <x:c r="AT286" s="6" t="str">
        <x:v>181.71862732632545</x:v>
      </x:c>
      <x:c r="AU286" s="8" t="str">
        <x:v>2.075109158448907</x:v>
      </x:c>
      <x:c r="AV286" s="6" t="str">
        <x:v>4.090526534546117</x:v>
      </x:c>
      <x:c r="AW286" s="6" t="str">
        <x:v>1.0451899716304511</x:v>
      </x:c>
      <x:c r="AX286" s="6" t="str">
        <x:v>2.403608554875158</x:v>
      </x:c>
      <x:c r="AY286" s="6" t="str">
        <x:v>1</x:v>
      </x:c>
      <x:c r="AZ286" s="6" t="str">
        <x:v>1</x:v>
      </x:c>
      <x:c r="BA286" s="9" t="str">
        <x:v>grid_cells_within_BIG_polygon</x:v>
      </x:c>
      <x:c r="BB286" s="6" t="str">
        <x:v>9</x:v>
      </x:c>
      <x:c r="BC286" s="6" t="str">
        <x:v>17</x:v>
      </x:c>
      <x:c r="BD286" s="6" t="str">
        <x:v>15</x:v>
      </x:c>
      <x:c r="BE286" s="6" t="str">
        <x:v>3</x:v>
      </x:c>
      <x:c r="BF286" s="6" t="str">
        <x:v>1</x:v>
      </x:c>
      <x:c r="BG286" s="6" t="str">
        <x:v>11</x:v>
      </x:c>
      <x:c r="BH286" s="6" t="str">
        <x:v>0</x:v>
      </x:c>
      <x:c r="BI286" s="6" t="str">
        <x:v>0</x:v>
      </x:c>
      <x:c r="BJ286" s="6" t="str">
        <x:v>0</x:v>
      </x:c>
      <x:c r="BK286" s="6" t="str">
        <x:v>2</x:v>
      </x:c>
      <x:c r="BL286" s="6" t="str">
        <x:v>0</x:v>
      </x:c>
      <x:c r="BM286" s="6" t="str">
        <x:v>0</x:v>
      </x:c>
      <x:c r="BN286" s="6" t="str">
        <x:v>17</x:v>
      </x:c>
      <x:c r="BO286" s="6" t="str"/>
      <x:c r="BP286" s="6" t="str">
        <x:v>0</x:v>
      </x:c>
      <x:c r="BQ286" s="6" t="str">
        <x:v>1.0</x:v>
      </x:c>
      <x:c r="BR286" s="6" t="str">
        <x:v>1</x:v>
      </x:c>
      <x:c r="BS286" s="6" t="str">
        <x:v>388.0</x:v>
      </x:c>
      <x:c r="BT286" s="6" t="str">
        <x:v>17</x:v>
      </x:c>
      <x:c r="BU286" s="6" t="str">
        <x:v>105.0</x:v>
      </x:c>
      <x:c r="BV286" s="6" t="str">
        <x:v>3</x:v>
      </x:c>
      <x:c r="BW286" s="9" t="str">
        <x:v>operational_snapshot_annual_totals_may_differ</x:v>
      </x:c>
      <x:c r="BX286" s="9" t="str">
        <x:v>official_live_dashboard_snapshot_subject_to_revision</x:v>
      </x:c>
      <x:c r="BY286" s="9" t="str">
        <x:v>https://tbdashboard.sitb.id/ss_data_tbc03so_2025_provinsi_bulanan_list.php</x:v>
      </x:c>
      <x:c r="BZ286" s="6" t="n">
        <x:v>46246.610671296294</x:v>
      </x:c>
    </x:row>
    <x:row r="287" ht="18" customHeight="1">
      <x:c r="A287" s="6" t="str">
        <x:v>32</x:v>
      </x:c>
      <x:c r="B287" s="6" t="str">
        <x:v>JAWA BARAT</x:v>
      </x:c>
      <x:c r="C287" s="6" t="str">
        <x:v>2025</x:v>
      </x:c>
      <x:c r="D287" s="6" t="str">
        <x:v>10</x:v>
      </x:c>
      <x:c r="E287" s="6" t="str">
        <x:v>2025-10</x:v>
      </x:c>
      <x:c r="F287" s="6" t="str">
        <x:v>21561</x:v>
      </x:c>
      <x:c r="G287" s="6" t="str">
        <x:v>2752</x:v>
      </x:c>
      <x:c r="H287" s="6" t="str">
        <x:v>11964</x:v>
      </x:c>
      <x:c r="I287" s="6" t="str">
        <x:v>1529</x:v>
      </x:c>
      <x:c r="J287" s="6" t="str">
        <x:v>485</x:v>
      </x:c>
      <x:c r="K287" s="6" t="str">
        <x:v>31</x:v>
      </x:c>
      <x:c r="L287" s="6" t="str">
        <x:v>30</x:v>
      </x:c>
      <x:c r="M287" s="6" t="str">
        <x:v>4770</x:v>
      </x:c>
      <x:c r="N287" s="6" t="str">
        <x:v>21561</x:v>
      </x:c>
      <x:c r="O287" s="6" t="str">
        <x:v>0</x:v>
      </x:c>
      <x:c r="P287" s="10" t="n">
        <x:f>F287-M287</x:f>
        <x:v>16791</x:v>
      </x:c>
      <x:c r="Q287" s="11" t="n">
        <x:f>IFERROR(M287/F287,"")</x:f>
        <x:v>0.22123278141088076</x:v>
      </x:c>
      <x:c r="R287" s="10" t="n">
        <x:f>G287+H287</x:f>
        <x:v>14716</x:v>
      </x:c>
      <x:c r="S287" s="11" t="n">
        <x:f>IFERROR(R287/F287,"")</x:f>
        <x:v>0.6825286396734845</x:v>
      </x:c>
      <x:c r="T287" s="11" t="n">
        <x:f>IFERROR(R287/P287,"")</x:f>
        <x:v>0.8764218926806027</x:v>
      </x:c>
      <x:c r="U287" s="10" t="n">
        <x:f>I287+J287+K287</x:f>
        <x:v>2045</x:v>
      </x:c>
      <x:c r="V287" s="11" t="n">
        <x:f>IFERROR(U287/P287,"")</x:f>
        <x:v>0.12179143588827349</x:v>
      </x:c>
      <x:c r="W287" s="9" t="str">
        <x:v>provisional_gt_5pct_pending</x:v>
      </x:c>
      <x:c r="X287" s="12" t="n">
        <x:f>IFERROR(F287/Z287*100000,"")</x:f>
        <x:v>42.47719616225694</x:v>
      </x:c>
      <x:c r="Y287" s="13" t="n">
        <x:f>LN(Z287)</x:f>
        <x:v>17.742599500064788</x:v>
      </x:c>
      <x:c r="Z287" s="6" t="str">
        <x:v>50759000</x:v>
      </x:c>
      <x:c r="AA287" s="6" t="str">
        <x:v>1370.0</x:v>
      </x:c>
      <x:c r="AB287" s="9" t="str">
        <x:v>2025-06-30</x:v>
      </x:c>
      <x:c r="AC287" s="8" t="str">
        <x:v>76.2</x:v>
      </x:c>
      <x:c r="AD287" s="9" t="str">
        <x:v>2025 (Susenas)</x:v>
      </x:c>
      <x:c r="AE287" s="8" t="str">
        <x:v>7.02</x:v>
      </x:c>
      <x:c r="AF287" s="9" t="str">
        <x:v>Maret 2025 (Susenas)</x:v>
      </x:c>
      <x:c r="AG287" s="6" t="str">
        <x:v>24.77383966526996</x:v>
      </x:c>
      <x:c r="AH287" s="8" t="str">
        <x:v>87.25115272680577</x:v>
      </x:c>
      <x:c r="AI287" s="6" t="str">
        <x:v>391.6517652976248</x:v>
      </x:c>
      <x:c r="AJ287" s="6" t="str">
        <x:v>0.1281225316653262</x:v>
      </x:c>
      <x:c r="AK287" s="8" t="str">
        <x:v>0.3784936428260554</x:v>
      </x:c>
      <x:c r="AL287" s="6" t="str">
        <x:v>1.4103215936694804</x:v>
      </x:c>
      <x:c r="AM287" s="6" t="str">
        <x:v>1.813624663028766</x:v>
      </x:c>
      <x:c r="AN287" s="6" t="str">
        <x:v>1.2008132998414345</x:v>
      </x:c>
      <x:c r="AO287" s="6" t="str">
        <x:v>5.763836925215344</x:v>
      </x:c>
      <x:c r="AP287" s="8" t="str">
        <x:v>1.2035512792699985</x:v>
      </x:c>
      <x:c r="AQ287" s="6" t="str">
        <x:v>1.7353988834273226</x:v>
      </x:c>
      <x:c r="AR287" s="6" t="str">
        <x:v>1.7988927758704785</x:v>
      </x:c>
      <x:c r="AS287" s="6" t="str">
        <x:v>1.5792809795226004</x:v>
      </x:c>
      <x:c r="AT287" s="6" t="str">
        <x:v>220.44390891229529</x:v>
      </x:c>
      <x:c r="AU287" s="8" t="str">
        <x:v>1.714565073530557</x:v>
      </x:c>
      <x:c r="AV287" s="6" t="str">
        <x:v>2.075109158448907</x:v>
      </x:c>
      <x:c r="AW287" s="6" t="str">
        <x:v>4.090526534546117</x:v>
      </x:c>
      <x:c r="AX287" s="6" t="str">
        <x:v>2.62673358884186</x:v>
      </x:c>
      <x:c r="AY287" s="6" t="str">
        <x:v>1</x:v>
      </x:c>
      <x:c r="AZ287" s="6" t="str">
        <x:v>0</x:v>
      </x:c>
      <x:c r="BA287" s="9" t="str">
        <x:v>grid_cells_within_BIG_polygon</x:v>
      </x:c>
      <x:c r="BB287" s="6" t="str">
        <x:v>9</x:v>
      </x:c>
      <x:c r="BC287" s="6" t="str">
        <x:v>39</x:v>
      </x:c>
      <x:c r="BD287" s="6" t="str">
        <x:v>39</x:v>
      </x:c>
      <x:c r="BE287" s="6" t="str">
        <x:v>10</x:v>
      </x:c>
      <x:c r="BF287" s="6" t="str">
        <x:v>5</x:v>
      </x:c>
      <x:c r="BG287" s="6" t="str">
        <x:v>24</x:v>
      </x:c>
      <x:c r="BH287" s="6" t="str">
        <x:v>0</x:v>
      </x:c>
      <x:c r="BI287" s="6" t="str">
        <x:v>0</x:v>
      </x:c>
      <x:c r="BJ287" s="6" t="str">
        <x:v>0</x:v>
      </x:c>
      <x:c r="BK287" s="6" t="str">
        <x:v>0</x:v>
      </x:c>
      <x:c r="BL287" s="6" t="str">
        <x:v>0</x:v>
      </x:c>
      <x:c r="BM287" s="6" t="str">
        <x:v>0</x:v>
      </x:c>
      <x:c r="BN287" s="6" t="str">
        <x:v>39</x:v>
      </x:c>
      <x:c r="BO287" s="6" t="str">
        <x:v>3.0</x:v>
      </x:c>
      <x:c r="BP287" s="6" t="str">
        <x:v>2</x:v>
      </x:c>
      <x:c r="BQ287" s="6" t="str">
        <x:v>2.0</x:v>
      </x:c>
      <x:c r="BR287" s="6" t="str">
        <x:v>2</x:v>
      </x:c>
      <x:c r="BS287" s="6" t="str">
        <x:v>1710.0</x:v>
      </x:c>
      <x:c r="BT287" s="6" t="str">
        <x:v>39</x:v>
      </x:c>
      <x:c r="BU287" s="6" t="str">
        <x:v>3543.0</x:v>
      </x:c>
      <x:c r="BV287" s="6" t="str">
        <x:v>9</x:v>
      </x:c>
      <x:c r="BW287" s="9" t="str">
        <x:v>operational_snapshot_annual_totals_may_differ</x:v>
      </x:c>
      <x:c r="BX287" s="9" t="str">
        <x:v>official_live_dashboard_snapshot_subject_to_revision</x:v>
      </x:c>
      <x:c r="BY287" s="9" t="str">
        <x:v>https://tbdashboard.sitb.id/ss_data_tbc03so_2025_provinsi_bulanan_list.php</x:v>
      </x:c>
      <x:c r="BZ287" s="6" t="n">
        <x:v>46246.610671296294</x:v>
      </x:c>
    </x:row>
    <x:row r="288" ht="18" customHeight="1">
      <x:c r="A288" s="6" t="str">
        <x:v>32</x:v>
      </x:c>
      <x:c r="B288" s="6" t="str">
        <x:v>JAWA BARAT</x:v>
      </x:c>
      <x:c r="C288" s="6" t="str">
        <x:v>2025</x:v>
      </x:c>
      <x:c r="D288" s="6" t="str">
        <x:v>11</x:v>
      </x:c>
      <x:c r="E288" s="6" t="str">
        <x:v>2025-11</x:v>
      </x:c>
      <x:c r="F288" s="6" t="str">
        <x:v>18367</x:v>
      </x:c>
      <x:c r="G288" s="6" t="str">
        <x:v>2312</x:v>
      </x:c>
      <x:c r="H288" s="6" t="str">
        <x:v>8902</x:v>
      </x:c>
      <x:c r="I288" s="6" t="str">
        <x:v>1208</x:v>
      </x:c>
      <x:c r="J288" s="6" t="str">
        <x:v>481</x:v>
      </x:c>
      <x:c r="K288" s="6" t="str">
        <x:v>19</x:v>
      </x:c>
      <x:c r="L288" s="6" t="str">
        <x:v>21</x:v>
      </x:c>
      <x:c r="M288" s="6" t="str">
        <x:v>5424</x:v>
      </x:c>
      <x:c r="N288" s="6" t="str">
        <x:v>18367</x:v>
      </x:c>
      <x:c r="O288" s="6" t="str">
        <x:v>0</x:v>
      </x:c>
      <x:c r="P288" s="10" t="n">
        <x:f>F288-M288</x:f>
        <x:v>12943</x:v>
      </x:c>
      <x:c r="Q288" s="11" t="n">
        <x:f>IFERROR(M288/F288,"")</x:f>
        <x:v>0.295312244786846</x:v>
      </x:c>
      <x:c r="R288" s="10" t="n">
        <x:f>G288+H288</x:f>
        <x:v>11214</x:v>
      </x:c>
      <x:c r="S288" s="11" t="n">
        <x:f>IFERROR(R288/F288,"")</x:f>
        <x:v>0.610551532640061</x:v>
      </x:c>
      <x:c r="T288" s="11" t="n">
        <x:f>IFERROR(R288/P288,"")</x:f>
        <x:v>0.8664142779881017</x:v>
      </x:c>
      <x:c r="U288" s="10" t="n">
        <x:f>I288+J288+K288</x:f>
        <x:v>1708</x:v>
      </x:c>
      <x:c r="V288" s="11" t="n">
        <x:f>IFERROR(U288/P288,"")</x:f>
        <x:v>0.13196322336398053</x:v>
      </x:c>
      <x:c r="W288" s="9" t="str">
        <x:v>provisional_gt_5pct_pending</x:v>
      </x:c>
      <x:c r="X288" s="12" t="n">
        <x:f>IFERROR(F288/Z288*100000,"")</x:f>
        <x:v>36.18471601095372</x:v>
      </x:c>
      <x:c r="Y288" s="13" t="n">
        <x:f>LN(Z288)</x:f>
        <x:v>17.742599500064788</x:v>
      </x:c>
      <x:c r="Z288" s="6" t="str">
        <x:v>50759000</x:v>
      </x:c>
      <x:c r="AA288" s="6" t="str">
        <x:v>1370.0</x:v>
      </x:c>
      <x:c r="AB288" s="9" t="str">
        <x:v>2025-06-30</x:v>
      </x:c>
      <x:c r="AC288" s="8" t="str">
        <x:v>76.2</x:v>
      </x:c>
      <x:c r="AD288" s="9" t="str">
        <x:v>2025 (Susenas)</x:v>
      </x:c>
      <x:c r="AE288" s="8" t="str">
        <x:v>7.02</x:v>
      </x:c>
      <x:c r="AF288" s="9" t="str">
        <x:v>Maret 2025 (Susenas)</x:v>
      </x:c>
      <x:c r="AG288" s="6" t="str">
        <x:v>24.5927212665782</x:v>
      </x:c>
      <x:c r="AH288" s="8" t="str">
        <x:v>87.69714809786366</x:v>
      </x:c>
      <x:c r="AI288" s="6" t="str">
        <x:v>280.11312382652875</x:v>
      </x:c>
      <x:c r="AJ288" s="6" t="str">
        <x:v>-0.1730016018515208</x:v>
      </x:c>
      <x:c r="AK288" s="8" t="str">
        <x:v>-0.3722548028263431</x:v>
      </x:c>
      <x:c r="AL288" s="6" t="str">
        <x:v>0.3784936428260554</x:v>
      </x:c>
      <x:c r="AM288" s="6" t="str">
        <x:v>1.4103215936694804</x:v>
      </x:c>
      <x:c r="AN288" s="6" t="str">
        <x:v>0.4721868112230643</x:v>
      </x:c>
      <x:c r="AO288" s="6" t="str">
        <x:v>2.999175592740386</x:v>
      </x:c>
      <x:c r="AP288" s="8" t="str">
        <x:v>0.9238084591836891</x:v>
      </x:c>
      <x:c r="AQ288" s="6" t="str">
        <x:v>1.2035512792699985</x:v>
      </x:c>
      <x:c r="AR288" s="6" t="str">
        <x:v>1.7353988834273226</x:v>
      </x:c>
      <x:c r="AS288" s="6" t="str">
        <x:v>1.2875862072936706</x:v>
      </x:c>
      <x:c r="AT288" s="6" t="str">
        <x:v>5.072001854935991</x:v>
      </x:c>
      <x:c r="AU288" s="8" t="str">
        <x:v>0.0544047133986603</x:v>
      </x:c>
      <x:c r="AV288" s="6" t="str">
        <x:v>1.714565073530557</x:v>
      </x:c>
      <x:c r="AW288" s="6" t="str">
        <x:v>2.075109158448907</x:v>
      </x:c>
      <x:c r="AX288" s="6" t="str">
        <x:v>1.2813596484593743</x:v>
      </x:c>
      <x:c r="AY288" s="6" t="str">
        <x:v>0</x:v>
      </x:c>
      <x:c r="AZ288" s="6" t="str">
        <x:v>0</x:v>
      </x:c>
      <x:c r="BA288" s="9" t="str">
        <x:v>grid_cells_within_BIG_polygon</x:v>
      </x:c>
      <x:c r="BB288" s="6" t="str">
        <x:v>9</x:v>
      </x:c>
      <x:c r="BC288" s="6" t="str">
        <x:v>28</x:v>
      </x:c>
      <x:c r="BD288" s="6" t="str">
        <x:v>28</x:v>
      </x:c>
      <x:c r="BE288" s="6" t="str">
        <x:v>12</x:v>
      </x:c>
      <x:c r="BF288" s="6" t="str">
        <x:v>4</x:v>
      </x:c>
      <x:c r="BG288" s="6" t="str">
        <x:v>12</x:v>
      </x:c>
      <x:c r="BH288" s="6" t="str">
        <x:v>0</x:v>
      </x:c>
      <x:c r="BI288" s="6" t="str">
        <x:v>0</x:v>
      </x:c>
      <x:c r="BJ288" s="6" t="str">
        <x:v>0</x:v>
      </x:c>
      <x:c r="BK288" s="6" t="str">
        <x:v>0</x:v>
      </x:c>
      <x:c r="BL288" s="6" t="str">
        <x:v>0</x:v>
      </x:c>
      <x:c r="BM288" s="6" t="str">
        <x:v>0</x:v>
      </x:c>
      <x:c r="BN288" s="6" t="str">
        <x:v>28</x:v>
      </x:c>
      <x:c r="BO288" s="6" t="str"/>
      <x:c r="BP288" s="6" t="str">
        <x:v>0</x:v>
      </x:c>
      <x:c r="BQ288" s="6" t="str">
        <x:v>48.0</x:v>
      </x:c>
      <x:c r="BR288" s="6" t="str">
        <x:v>2</x:v>
      </x:c>
      <x:c r="BS288" s="6" t="str">
        <x:v>643.0</x:v>
      </x:c>
      <x:c r="BT288" s="6" t="str">
        <x:v>28</x:v>
      </x:c>
      <x:c r="BU288" s="6" t="str">
        <x:v>2945.0</x:v>
      </x:c>
      <x:c r="BV288" s="6" t="str">
        <x:v>10</x:v>
      </x:c>
      <x:c r="BW288" s="9" t="str">
        <x:v>operational_snapshot_annual_totals_may_differ</x:v>
      </x:c>
      <x:c r="BX288" s="9" t="str">
        <x:v>official_live_dashboard_snapshot_subject_to_revision</x:v>
      </x:c>
      <x:c r="BY288" s="9" t="str">
        <x:v>https://tbdashboard.sitb.id/ss_data_tbc03so_2025_provinsi_bulanan_list.php</x:v>
      </x:c>
      <x:c r="BZ288" s="6" t="n">
        <x:v>46246.610671296294</x:v>
      </x:c>
    </x:row>
    <x:row r="289" ht="18" customHeight="1">
      <x:c r="A289" s="6" t="str">
        <x:v>32</x:v>
      </x:c>
      <x:c r="B289" s="6" t="str">
        <x:v>JAWA BARAT</x:v>
      </x:c>
      <x:c r="C289" s="6" t="str">
        <x:v>2025</x:v>
      </x:c>
      <x:c r="D289" s="6" t="str">
        <x:v>12</x:v>
      </x:c>
      <x:c r="E289" s="6" t="str">
        <x:v>2025-12</x:v>
      </x:c>
      <x:c r="F289" s="6" t="str">
        <x:v>18345</x:v>
      </x:c>
      <x:c r="G289" s="6" t="str">
        <x:v>2149</x:v>
      </x:c>
      <x:c r="H289" s="6" t="str">
        <x:v>7838</x:v>
      </x:c>
      <x:c r="I289" s="6" t="str">
        <x:v>1151</x:v>
      </x:c>
      <x:c r="J289" s="6" t="str">
        <x:v>403</x:v>
      </x:c>
      <x:c r="K289" s="6" t="str">
        <x:v>21</x:v>
      </x:c>
      <x:c r="L289" s="6" t="str">
        <x:v>17</x:v>
      </x:c>
      <x:c r="M289" s="6" t="str">
        <x:v>6766</x:v>
      </x:c>
      <x:c r="N289" s="6" t="str">
        <x:v>18345</x:v>
      </x:c>
      <x:c r="O289" s="6" t="str">
        <x:v>0</x:v>
      </x:c>
      <x:c r="P289" s="10" t="n">
        <x:f>F289-M289</x:f>
        <x:v>11579</x:v>
      </x:c>
      <x:c r="Q289" s="11" t="n">
        <x:f>IFERROR(M289/F289,"")</x:f>
        <x:v>0.368819841918779</x:v>
      </x:c>
      <x:c r="R289" s="10" t="n">
        <x:f>G289+H289</x:f>
        <x:v>9987</x:v>
      </x:c>
      <x:c r="S289" s="11" t="n">
        <x:f>IFERROR(R289/F289,"")</x:f>
        <x:v>0.5443990188062142</x:v>
      </x:c>
      <x:c r="T289" s="11" t="n">
        <x:f>IFERROR(R289/P289,"")</x:f>
        <x:v>0.8625097158649279</x:v>
      </x:c>
      <x:c r="U289" s="10" t="n">
        <x:f>I289+J289+K289</x:f>
        <x:v>1575</x:v>
      </x:c>
      <x:c r="V289" s="11" t="n">
        <x:f>IFERROR(U289/P289,"")</x:f>
        <x:v>0.13602210899041367</x:v>
      </x:c>
      <x:c r="W289" s="9" t="str">
        <x:v>provisional_gt_5pct_pending</x:v>
      </x:c>
      <x:c r="X289" s="12" t="n">
        <x:f>IFERROR(F289/Z289*100000,"")</x:f>
        <x:v>36.141373943537104</x:v>
      </x:c>
      <x:c r="Y289" s="13" t="n">
        <x:f>LN(Z289)</x:f>
        <x:v>17.742599500064788</x:v>
      </x:c>
      <x:c r="Z289" s="6" t="str">
        <x:v>50759000</x:v>
      </x:c>
      <x:c r="AA289" s="6" t="str">
        <x:v>1370.0</x:v>
      </x:c>
      <x:c r="AB289" s="9" t="str">
        <x:v>2025-06-30</x:v>
      </x:c>
      <x:c r="AC289" s="8" t="str">
        <x:v>76.2</x:v>
      </x:c>
      <x:c r="AD289" s="9" t="str">
        <x:v>2025 (Susenas)</x:v>
      </x:c>
      <x:c r="AE289" s="8" t="str">
        <x:v>7.02</x:v>
      </x:c>
      <x:c r="AF289" s="9" t="str">
        <x:v>Maret 2025 (Susenas)</x:v>
      </x:c>
      <x:c r="AG289" s="6" t="str">
        <x:v>24.595863286757854</x:v>
      </x:c>
      <x:c r="AH289" s="8" t="str">
        <x:v>88.25711908416972</x:v>
      </x:c>
      <x:c r="AI289" s="6" t="str">
        <x:v>259.70637121620314</x:v>
      </x:c>
      <x:c r="AJ289" s="6" t="str">
        <x:v>0.1828145868644526</x:v>
      </x:c>
      <x:c r="AK289" s="8" t="str">
        <x:v>0.4335908134499595</x:v>
      </x:c>
      <x:c r="AL289" s="6" t="str">
        <x:v>-0.3722548028263431</x:v>
      </x:c>
      <x:c r="AM289" s="6" t="str">
        <x:v>0.3784936428260554</x:v>
      </x:c>
      <x:c r="AN289" s="6" t="str">
        <x:v>0.146609884483224</x:v>
      </x:c>
      <x:c r="AO289" s="6" t="str">
        <x:v>1.582716919434617</x:v>
      </x:c>
      <x:c r="AP289" s="8" t="str">
        <x:v>0.9297572446903256</x:v>
      </x:c>
      <x:c r="AQ289" s="6" t="str">
        <x:v>0.9238084591836891</x:v>
      </x:c>
      <x:c r="AR289" s="6" t="str">
        <x:v>1.2035512792699985</x:v>
      </x:c>
      <x:c r="AS289" s="6" t="str">
        <x:v>1.0190389943813385</x:v>
      </x:c>
      <x:c r="AT289" s="6" t="str">
        <x:v>-34.71468819928634</x:v>
      </x:c>
      <x:c r="AU289" s="8" t="str">
        <x:v>-0.4161771146133664</x:v>
      </x:c>
      <x:c r="AV289" s="6" t="str">
        <x:v>0.0544047133986603</x:v>
      </x:c>
      <x:c r="AW289" s="6" t="str">
        <x:v>1.714565073530557</x:v>
      </x:c>
      <x:c r="AX289" s="6" t="str">
        <x:v>0.4509308907719498</x:v>
      </x:c>
      <x:c r="AY289" s="6" t="str">
        <x:v>0</x:v>
      </x:c>
      <x:c r="AZ289" s="6" t="str">
        <x:v>0</x:v>
      </x:c>
      <x:c r="BA289" s="9" t="str">
        <x:v>grid_cells_within_BIG_polygon</x:v>
      </x:c>
      <x:c r="BB289" s="6" t="str">
        <x:v>9</x:v>
      </x:c>
      <x:c r="BC289" s="6" t="str">
        <x:v>49</x:v>
      </x:c>
      <x:c r="BD289" s="6" t="str">
        <x:v>49</x:v>
      </x:c>
      <x:c r="BE289" s="6" t="str">
        <x:v>26</x:v>
      </x:c>
      <x:c r="BF289" s="6" t="str">
        <x:v>8</x:v>
      </x:c>
      <x:c r="BG289" s="6" t="str">
        <x:v>15</x:v>
      </x:c>
      <x:c r="BH289" s="6" t="str">
        <x:v>0</x:v>
      </x:c>
      <x:c r="BI289" s="6" t="str">
        <x:v>0</x:v>
      </x:c>
      <x:c r="BJ289" s="6" t="str">
        <x:v>0</x:v>
      </x:c>
      <x:c r="BK289" s="6" t="str">
        <x:v>0</x:v>
      </x:c>
      <x:c r="BL289" s="6" t="str">
        <x:v>0</x:v>
      </x:c>
      <x:c r="BM289" s="6" t="str">
        <x:v>0</x:v>
      </x:c>
      <x:c r="BN289" s="6" t="str">
        <x:v>49</x:v>
      </x:c>
      <x:c r="BO289" s="6" t="str"/>
      <x:c r="BP289" s="6" t="str">
        <x:v>0</x:v>
      </x:c>
      <x:c r="BQ289" s="6" t="str">
        <x:v>1.0</x:v>
      </x:c>
      <x:c r="BR289" s="6" t="str">
        <x:v>1</x:v>
      </x:c>
      <x:c r="BS289" s="6" t="str">
        <x:v>451.0</x:v>
      </x:c>
      <x:c r="BT289" s="6" t="str">
        <x:v>49</x:v>
      </x:c>
      <x:c r="BU289" s="6" t="str">
        <x:v>30406.0</x:v>
      </x:c>
      <x:c r="BV289" s="6" t="str">
        <x:v>24</x:v>
      </x:c>
      <x:c r="BW289" s="9" t="str">
        <x:v>operational_snapshot_annual_totals_may_differ</x:v>
      </x:c>
      <x:c r="BX289" s="9" t="str">
        <x:v>official_live_dashboard_snapshot_subject_to_revision</x:v>
      </x:c>
      <x:c r="BY289" s="9" t="str">
        <x:v>https://tbdashboard.sitb.id/ss_data_tbc03so_2025_provinsi_bulanan_list.php</x:v>
      </x:c>
      <x:c r="BZ289" s="6" t="n">
        <x:v>46246.610671296294</x:v>
      </x:c>
    </x:row>
    <x:row r="290" ht="18" customHeight="1">
      <x:c r="A290" s="6" t="str">
        <x:v>33</x:v>
      </x:c>
      <x:c r="B290" s="6" t="str">
        <x:v>JAWA TENGAH</x:v>
      </x:c>
      <x:c r="C290" s="6" t="str">
        <x:v>2024</x:v>
      </x:c>
      <x:c r="D290" s="6" t="str">
        <x:v>1</x:v>
      </x:c>
      <x:c r="E290" s="6" t="str">
        <x:v>2024-01</x:v>
      </x:c>
      <x:c r="F290" s="6" t="str">
        <x:v>7083</x:v>
      </x:c>
      <x:c r="G290" s="6" t="str">
        <x:v>1787</x:v>
      </x:c>
      <x:c r="H290" s="6" t="str">
        <x:v>4292</x:v>
      </x:c>
      <x:c r="I290" s="6" t="str">
        <x:v>621</x:v>
      </x:c>
      <x:c r="J290" s="6" t="str">
        <x:v>299</x:v>
      </x:c>
      <x:c r="K290" s="6" t="str">
        <x:v>37</x:v>
      </x:c>
      <x:c r="L290" s="6" t="str">
        <x:v>24</x:v>
      </x:c>
      <x:c r="M290" s="6" t="str">
        <x:v>23</x:v>
      </x:c>
      <x:c r="N290" s="6" t="str">
        <x:v>7083</x:v>
      </x:c>
      <x:c r="O290" s="6" t="str">
        <x:v>0</x:v>
      </x:c>
      <x:c r="P290" s="10" t="n">
        <x:f>F290-M290</x:f>
        <x:v>7060</x:v>
      </x:c>
      <x:c r="Q290" s="11" t="n">
        <x:f>IFERROR(M290/F290,"")</x:f>
        <x:v>0.0032472116334886347</x:v>
      </x:c>
      <x:c r="R290" s="10" t="n">
        <x:f>G290+H290</x:f>
        <x:v>6079</x:v>
      </x:c>
      <x:c r="S290" s="11" t="n">
        <x:f>IFERROR(R290/F290,"")</x:f>
        <x:v>0.8582521530424961</x:v>
      </x:c>
      <x:c r="T290" s="11" t="n">
        <x:f>IFERROR(R290/P290,"")</x:f>
        <x:v>0.8610481586402267</x:v>
      </x:c>
      <x:c r="U290" s="10" t="n">
        <x:f>I290+J290+K290</x:f>
        <x:v>957</x:v>
      </x:c>
      <x:c r="V290" s="11" t="n">
        <x:f>IFERROR(U290/P290,"")</x:f>
        <x:v>0.13555240793201134</x:v>
      </x:c>
      <x:c r="W290" s="9" t="str">
        <x:v>mature_le_5pct_pending</x:v>
      </x:c>
      <x:c r="X290" s="12" t="n">
        <x:f>IFERROR(F290/Z290*100000,"")</x:f>
        <x:v>18.69245202851239</x:v>
      </x:c>
      <x:c r="Y290" s="13" t="n">
        <x:f>LN(Z290)</x:f>
        <x:v>17.450258483184687</x:v>
      </x:c>
      <x:c r="Z290" s="6" t="str">
        <x:v>37892300</x:v>
      </x:c>
      <x:c r="AA290" s="6" t="str">
        <x:v>1104.0</x:v>
      </x:c>
      <x:c r="AB290" s="9" t="str">
        <x:v>2024-06-30</x:v>
      </x:c>
      <x:c r="AC290" s="8" t="str">
        <x:v>86.7</x:v>
      </x:c>
      <x:c r="AD290" s="9" t="str">
        <x:v>2024 (Susenas)</x:v>
      </x:c>
      <x:c r="AE290" s="8" t="str">
        <x:v>10.47</x:v>
      </x:c>
      <x:c r="AF290" s="9" t="str">
        <x:v>Maret 2024 (Susenas)</x:v>
      </x:c>
      <x:c r="AG290" s="6" t="str">
        <x:v>26.216067475141173</x:v>
      </x:c>
      <x:c r="AH290" s="8" t="str">
        <x:v>86.4893482193835</x:v>
      </x:c>
      <x:c r="AI290" s="6" t="str">
        <x:v>317.82534007816247</x:v>
      </x:c>
      <x:c r="AJ290" s="6" t="str">
        <x:v>1.072599558368637</x:v>
      </x:c>
      <x:c r="AK290" s="8" t="str">
        <x:v>2.046896356465896</x:v>
      </x:c>
      <x:c r="AL290" s="6" t="str">
        <x:v>2.1457005479531457</x:v>
      </x:c>
      <x:c r="AM290" s="6" t="str">
        <x:v>1.5036466099154495</x:v>
      </x:c>
      <x:c r="AN290" s="6" t="str">
        <x:v>1.8987478381114968</x:v>
      </x:c>
      <x:c r="AO290" s="6" t="str">
        <x:v>-1.1346008118345026</x:v>
      </x:c>
      <x:c r="AP290" s="8" t="str">
        <x:v>-0.5056075988508786</x:v>
      </x:c>
      <x:c r="AQ290" s="6" t="str">
        <x:v>-1.5955947653531215</x:v>
      </x:c>
      <x:c r="AR290" s="6" t="str">
        <x:v>-0.5729402808266923</x:v>
      </x:c>
      <x:c r="AS290" s="6" t="str">
        <x:v>-0.8913808816768972</x:v>
      </x:c>
      <x:c r="AT290" s="6" t="str">
        <x:v>-13.476758346653412</x:v>
      </x:c>
      <x:c r="AU290" s="8" t="str">
        <x:v>-0.124806399795878</x:v>
      </x:c>
      <x:c r="AV290" s="6" t="str">
        <x:v>-0.3860693533484762</x:v>
      </x:c>
      <x:c r="AW290" s="6" t="str">
        <x:v>-0.162792225539808</x:v>
      </x:c>
      <x:c r="AX290" s="6" t="str">
        <x:v>-0.2245559928947204</x:v>
      </x:c>
      <x:c r="AY290" s="6" t="str">
        <x:v>0</x:v>
      </x:c>
      <x:c r="AZ290" s="6" t="str">
        <x:v>1</x:v>
      </x:c>
      <x:c r="BA290" s="9" t="str">
        <x:v>grid_cells_within_BIG_polygon</x:v>
      </x:c>
      <x:c r="BB290" s="6" t="str">
        <x:v>7</x:v>
      </x:c>
      <x:c r="BC290" s="6" t="str">
        <x:v>28</x:v>
      </x:c>
      <x:c r="BD290" s="6" t="str">
        <x:v>28</x:v>
      </x:c>
      <x:c r="BE290" s="6" t="str">
        <x:v>11</x:v>
      </x:c>
      <x:c r="BF290" s="6" t="str">
        <x:v>3</x:v>
      </x:c>
      <x:c r="BG290" s="6" t="str">
        <x:v>14</x:v>
      </x:c>
      <x:c r="BH290" s="6" t="str">
        <x:v>0</x:v>
      </x:c>
      <x:c r="BI290" s="6" t="str">
        <x:v>0</x:v>
      </x:c>
      <x:c r="BJ290" s="6" t="str">
        <x:v>0</x:v>
      </x:c>
      <x:c r="BK290" s="6" t="str">
        <x:v>0</x:v>
      </x:c>
      <x:c r="BL290" s="6" t="str">
        <x:v>0</x:v>
      </x:c>
      <x:c r="BM290" s="6" t="str">
        <x:v>0</x:v>
      </x:c>
      <x:c r="BN290" s="6" t="str">
        <x:v>28</x:v>
      </x:c>
      <x:c r="BO290" s="6" t="str">
        <x:v>2.0</x:v>
      </x:c>
      <x:c r="BP290" s="6" t="str">
        <x:v>28</x:v>
      </x:c>
      <x:c r="BQ290" s="6" t="str">
        <x:v>0.0</x:v>
      </x:c>
      <x:c r="BR290" s="6" t="str">
        <x:v>28</x:v>
      </x:c>
      <x:c r="BS290" s="6" t="str">
        <x:v>2785.0</x:v>
      </x:c>
      <x:c r="BT290" s="6" t="str">
        <x:v>28</x:v>
      </x:c>
      <x:c r="BU290" s="6" t="str">
        <x:v>2893.0</x:v>
      </x:c>
      <x:c r="BV290" s="6" t="str">
        <x:v>7</x:v>
      </x:c>
      <x:c r="BW290" s="9" t="str">
        <x:v>operational_snapshot_annual_totals_may_differ</x:v>
      </x:c>
      <x:c r="BX290" s="9" t="str">
        <x:v>official_live_dashboard_snapshot_subject_to_revision</x:v>
      </x:c>
      <x:c r="BY290" s="9" t="str">
        <x:v>https://tbdashboard.sitb.id/ss_data_tbc03so_2024_provinsi_bulanan_list.php</x:v>
      </x:c>
      <x:c r="BZ290" s="6" t="n">
        <x:v>46246.610671296294</x:v>
      </x:c>
    </x:row>
    <x:row r="291" ht="18" customHeight="1">
      <x:c r="A291" s="6" t="str">
        <x:v>33</x:v>
      </x:c>
      <x:c r="B291" s="6" t="str">
        <x:v>JAWA TENGAH</x:v>
      </x:c>
      <x:c r="C291" s="6" t="str">
        <x:v>2024</x:v>
      </x:c>
      <x:c r="D291" s="6" t="str">
        <x:v>2</x:v>
      </x:c>
      <x:c r="E291" s="6" t="str">
        <x:v>2024-02</x:v>
      </x:c>
      <x:c r="F291" s="6" t="str">
        <x:v>6148</x:v>
      </x:c>
      <x:c r="G291" s="6" t="str">
        <x:v>1557</x:v>
      </x:c>
      <x:c r="H291" s="6" t="str">
        <x:v>3743</x:v>
      </x:c>
      <x:c r="I291" s="6" t="str">
        <x:v>503</x:v>
      </x:c>
      <x:c r="J291" s="6" t="str">
        <x:v>267</x:v>
      </x:c>
      <x:c r="K291" s="6" t="str">
        <x:v>29</x:v>
      </x:c>
      <x:c r="L291" s="6" t="str">
        <x:v>13</x:v>
      </x:c>
      <x:c r="M291" s="6" t="str">
        <x:v>36</x:v>
      </x:c>
      <x:c r="N291" s="6" t="str">
        <x:v>6148</x:v>
      </x:c>
      <x:c r="O291" s="6" t="str">
        <x:v>0</x:v>
      </x:c>
      <x:c r="P291" s="10" t="n">
        <x:f>F291-M291</x:f>
        <x:v>6112</x:v>
      </x:c>
      <x:c r="Q291" s="11" t="n">
        <x:f>IFERROR(M291/F291,"")</x:f>
        <x:v>0.005855562784645413</x:v>
      </x:c>
      <x:c r="R291" s="10" t="n">
        <x:f>G291+H291</x:f>
        <x:v>5300</x:v>
      </x:c>
      <x:c r="S291" s="11" t="n">
        <x:f>IFERROR(R291/F291,"")</x:f>
        <x:v>0.8620689655172413</x:v>
      </x:c>
      <x:c r="T291" s="11" t="n">
        <x:f>IFERROR(R291/P291,"")</x:f>
        <x:v>0.8671465968586387</x:v>
      </x:c>
      <x:c r="U291" s="10" t="n">
        <x:f>I291+J291+K291</x:f>
        <x:v>799</x:v>
      </x:c>
      <x:c r="V291" s="11" t="n">
        <x:f>IFERROR(U291/P291,"")</x:f>
        <x:v>0.1307264397905759</x:v>
      </x:c>
      <x:c r="W291" s="9" t="str">
        <x:v>mature_le_5pct_pending</x:v>
      </x:c>
      <x:c r="X291" s="12" t="n">
        <x:f>IFERROR(F291/Z291*100000,"")</x:f>
        <x:v>16.224932242170574</x:v>
      </x:c>
      <x:c r="Y291" s="13" t="n">
        <x:f>LN(Z291)</x:f>
        <x:v>17.450258483184687</x:v>
      </x:c>
      <x:c r="Z291" s="6" t="str">
        <x:v>37892300</x:v>
      </x:c>
      <x:c r="AA291" s="6" t="str">
        <x:v>1104.0</x:v>
      </x:c>
      <x:c r="AB291" s="9" t="str">
        <x:v>2024-06-30</x:v>
      </x:c>
      <x:c r="AC291" s="8" t="str">
        <x:v>86.7</x:v>
      </x:c>
      <x:c r="AD291" s="9" t="str">
        <x:v>2024 (Susenas)</x:v>
      </x:c>
      <x:c r="AE291" s="8" t="str">
        <x:v>10.47</x:v>
      </x:c>
      <x:c r="AF291" s="9" t="str">
        <x:v>Maret 2024 (Susenas)</x:v>
      </x:c>
      <x:c r="AG291" s="6" t="str">
        <x:v>26.32598976893628</x:v>
      </x:c>
      <x:c r="AH291" s="8" t="str">
        <x:v>86.92117075900538</x:v>
      </x:c>
      <x:c r="AI291" s="6" t="str">
        <x:v>272.4763449973015</x:v>
      </x:c>
      <x:c r="AJ291" s="6" t="str">
        <x:v>1.2641330928937826</x:v>
      </x:c>
      <x:c r="AK291" s="8" t="str">
        <x:v>2.821099106188402</x:v>
      </x:c>
      <x:c r="AL291" s="6" t="str">
        <x:v>2.046896356465896</x:v>
      </x:c>
      <x:c r="AM291" s="6" t="str">
        <x:v>2.1457005479531457</x:v>
      </x:c>
      <x:c r="AN291" s="6" t="str">
        <x:v>2.3378986702024807</x:v>
      </x:c>
      <x:c r="AO291" s="6" t="str">
        <x:v>-1.700341632567458</x:v>
      </x:c>
      <x:c r="AP291" s="8" t="str">
        <x:v>-1.3078372564832192</x:v>
      </x:c>
      <x:c r="AQ291" s="6" t="str">
        <x:v>-0.5056075988508786</x:v>
      </x:c>
      <x:c r="AR291" s="6" t="str">
        <x:v>-1.5955947653531215</x:v>
      </x:c>
      <x:c r="AS291" s="6" t="str">
        <x:v>-1.1363465402290729</x:v>
      </x:c>
      <x:c r="AT291" s="6" t="str">
        <x:v>-43.5070117449248</x:v>
      </x:c>
      <x:c r="AU291" s="8" t="str">
        <x:v>-0.4290125686833216</x:v>
      </x:c>
      <x:c r="AV291" s="6" t="str">
        <x:v>-0.124806399795878</x:v>
      </x:c>
      <x:c r="AW291" s="6" t="str">
        <x:v>-0.3860693533484762</x:v>
      </x:c>
      <x:c r="AX291" s="6" t="str">
        <x:v>-0.3132961072758916</x:v>
      </x:c>
      <x:c r="AY291" s="6" t="str">
        <x:v>0</x:v>
      </x:c>
      <x:c r="AZ291" s="6" t="str">
        <x:v>1</x:v>
      </x:c>
      <x:c r="BA291" s="9" t="str">
        <x:v>grid_cells_within_BIG_polygon</x:v>
      </x:c>
      <x:c r="BB291" s="6" t="str">
        <x:v>7</x:v>
      </x:c>
      <x:c r="BC291" s="6" t="str">
        <x:v>34</x:v>
      </x:c>
      <x:c r="BD291" s="6" t="str">
        <x:v>34</x:v>
      </x:c>
      <x:c r="BE291" s="6" t="str">
        <x:v>18</x:v>
      </x:c>
      <x:c r="BF291" s="6" t="str">
        <x:v>6</x:v>
      </x:c>
      <x:c r="BG291" s="6" t="str">
        <x:v>10</x:v>
      </x:c>
      <x:c r="BH291" s="6" t="str">
        <x:v>0</x:v>
      </x:c>
      <x:c r="BI291" s="6" t="str">
        <x:v>0</x:v>
      </x:c>
      <x:c r="BJ291" s="6" t="str">
        <x:v>0</x:v>
      </x:c>
      <x:c r="BK291" s="6" t="str">
        <x:v>0</x:v>
      </x:c>
      <x:c r="BL291" s="6" t="str">
        <x:v>0</x:v>
      </x:c>
      <x:c r="BM291" s="6" t="str">
        <x:v>0</x:v>
      </x:c>
      <x:c r="BN291" s="6" t="str">
        <x:v>34</x:v>
      </x:c>
      <x:c r="BO291" s="6" t="str">
        <x:v>6.0</x:v>
      </x:c>
      <x:c r="BP291" s="6" t="str">
        <x:v>34</x:v>
      </x:c>
      <x:c r="BQ291" s="6" t="str">
        <x:v>5.0</x:v>
      </x:c>
      <x:c r="BR291" s="6" t="str">
        <x:v>34</x:v>
      </x:c>
      <x:c r="BS291" s="6" t="str">
        <x:v>624.0</x:v>
      </x:c>
      <x:c r="BT291" s="6" t="str">
        <x:v>34</x:v>
      </x:c>
      <x:c r="BU291" s="6" t="str">
        <x:v>70135.0</x:v>
      </x:c>
      <x:c r="BV291" s="6" t="str">
        <x:v>18</x:v>
      </x:c>
      <x:c r="BW291" s="9" t="str">
        <x:v>operational_snapshot_annual_totals_may_differ</x:v>
      </x:c>
      <x:c r="BX291" s="9" t="str">
        <x:v>official_live_dashboard_snapshot_subject_to_revision</x:v>
      </x:c>
      <x:c r="BY291" s="9" t="str">
        <x:v>https://tbdashboard.sitb.id/ss_data_tbc03so_2024_provinsi_bulanan_list.php</x:v>
      </x:c>
      <x:c r="BZ291" s="6" t="n">
        <x:v>46246.610671296294</x:v>
      </x:c>
    </x:row>
    <x:row r="292" ht="18" customHeight="1">
      <x:c r="A292" s="6" t="str">
        <x:v>33</x:v>
      </x:c>
      <x:c r="B292" s="6" t="str">
        <x:v>JAWA TENGAH</x:v>
      </x:c>
      <x:c r="C292" s="6" t="str">
        <x:v>2024</x:v>
      </x:c>
      <x:c r="D292" s="6" t="str">
        <x:v>3</x:v>
      </x:c>
      <x:c r="E292" s="6" t="str">
        <x:v>2024-03</x:v>
      </x:c>
      <x:c r="F292" s="6" t="str">
        <x:v>6950</x:v>
      </x:c>
      <x:c r="G292" s="6" t="str">
        <x:v>1698</x:v>
      </x:c>
      <x:c r="H292" s="6" t="str">
        <x:v>4252</x:v>
      </x:c>
      <x:c r="I292" s="6" t="str">
        <x:v>624</x:v>
      </x:c>
      <x:c r="J292" s="6" t="str">
        <x:v>300</x:v>
      </x:c>
      <x:c r="K292" s="6" t="str">
        <x:v>29</x:v>
      </x:c>
      <x:c r="L292" s="6" t="str">
        <x:v>20</x:v>
      </x:c>
      <x:c r="M292" s="6" t="str">
        <x:v>27</x:v>
      </x:c>
      <x:c r="N292" s="6" t="str">
        <x:v>6950</x:v>
      </x:c>
      <x:c r="O292" s="6" t="str">
        <x:v>0</x:v>
      </x:c>
      <x:c r="P292" s="10" t="n">
        <x:f>F292-M292</x:f>
        <x:v>6923</x:v>
      </x:c>
      <x:c r="Q292" s="11" t="n">
        <x:f>IFERROR(M292/F292,"")</x:f>
        <x:v>0.003884892086330935</x:v>
      </x:c>
      <x:c r="R292" s="10" t="n">
        <x:f>G292+H292</x:f>
        <x:v>5950</x:v>
      </x:c>
      <x:c r="S292" s="11" t="n">
        <x:f>IFERROR(R292/F292,"")</x:f>
        <x:v>0.8561151079136691</x:v>
      </x:c>
      <x:c r="T292" s="11" t="n">
        <x:f>IFERROR(R292/P292,"")</x:f>
        <x:v>0.8594539939332659</x:v>
      </x:c>
      <x:c r="U292" s="10" t="n">
        <x:f>I292+J292+K292</x:f>
        <x:v>953</x:v>
      </x:c>
      <x:c r="V292" s="11" t="n">
        <x:f>IFERROR(U292/P292,"")</x:f>
        <x:v>0.1376570850787231</x:v>
      </x:c>
      <x:c r="W292" s="9" t="str">
        <x:v>mature_le_5pct_pending</x:v>
      </x:c>
      <x:c r="X292" s="12" t="n">
        <x:f>IFERROR(F292/Z292*100000,"")</x:f>
        <x:v>18.341457235374996</x:v>
      </x:c>
      <x:c r="Y292" s="13" t="n">
        <x:f>LN(Z292)</x:f>
        <x:v>17.450258483184687</x:v>
      </x:c>
      <x:c r="Z292" s="6" t="str">
        <x:v>37892300</x:v>
      </x:c>
      <x:c r="AA292" s="6" t="str">
        <x:v>1104.0</x:v>
      </x:c>
      <x:c r="AB292" s="9" t="str">
        <x:v>2024-06-30</x:v>
      </x:c>
      <x:c r="AC292" s="8" t="str">
        <x:v>86.7</x:v>
      </x:c>
      <x:c r="AD292" s="9" t="str">
        <x:v>2024 (Susenas)</x:v>
      </x:c>
      <x:c r="AE292" s="8" t="str">
        <x:v>10.47</x:v>
      </x:c>
      <x:c r="AF292" s="9" t="str">
        <x:v>Maret 2024 (Susenas)</x:v>
      </x:c>
      <x:c r="AG292" s="6" t="str">
        <x:v>26.300374258456195</x:v>
      </x:c>
      <x:c r="AH292" s="8" t="str">
        <x:v>87.47228759941959</x:v>
      </x:c>
      <x:c r="AI292" s="6" t="str">
        <x:v>382.50198583344</x:v>
      </x:c>
      <x:c r="AJ292" s="6" t="str">
        <x:v>0.928319628626447</x:v>
      </x:c>
      <x:c r="AK292" s="8" t="str">
        <x:v>2.4367992072603584</x:v>
      </x:c>
      <x:c r="AL292" s="6" t="str">
        <x:v>2.821099106188402</x:v>
      </x:c>
      <x:c r="AM292" s="6" t="str">
        <x:v>2.046896356465896</x:v>
      </x:c>
      <x:c r="AN292" s="6" t="str">
        <x:v>2.4349315566382184</x:v>
      </x:c>
      <x:c r="AO292" s="6" t="str">
        <x:v>-0.0327212604350819</x:v>
      </x:c>
      <x:c r="AP292" s="8" t="str">
        <x:v>-0.0265745018264859</x:v>
      </x:c>
      <x:c r="AQ292" s="6" t="str">
        <x:v>-1.3078372564832192</x:v>
      </x:c>
      <x:c r="AR292" s="6" t="str">
        <x:v>-0.5056075988508786</x:v>
      </x:c>
      <x:c r="AS292" s="6" t="str">
        <x:v>-0.6133397857201942</x:v>
      </x:c>
      <x:c r="AT292" s="6" t="str">
        <x:v>147.7940257440552</x:v>
      </x:c>
      <x:c r="AU292" s="8" t="str">
        <x:v>2.1195525185456607</x:v>
      </x:c>
      <x:c r="AV292" s="6" t="str">
        <x:v>-0.4290125686833216</x:v>
      </x:c>
      <x:c r="AW292" s="6" t="str">
        <x:v>-0.124806399795878</x:v>
      </x:c>
      <x:c r="AX292" s="6" t="str">
        <x:v>0.5219111833554874</x:v>
      </x:c>
      <x:c r="AY292" s="6" t="str">
        <x:v>1</x:v>
      </x:c>
      <x:c r="AZ292" s="6" t="str">
        <x:v>1</x:v>
      </x:c>
      <x:c r="BA292" s="9" t="str">
        <x:v>grid_cells_within_BIG_polygon</x:v>
      </x:c>
      <x:c r="BB292" s="6" t="str">
        <x:v>7</x:v>
      </x:c>
      <x:c r="BC292" s="6" t="str">
        <x:v>31</x:v>
      </x:c>
      <x:c r="BD292" s="6" t="str">
        <x:v>30</x:v>
      </x:c>
      <x:c r="BE292" s="6" t="str">
        <x:v>22</x:v>
      </x:c>
      <x:c r="BF292" s="6" t="str">
        <x:v>3</x:v>
      </x:c>
      <x:c r="BG292" s="6" t="str">
        <x:v>5</x:v>
      </x:c>
      <x:c r="BH292" s="6" t="str">
        <x:v>0</x:v>
      </x:c>
      <x:c r="BI292" s="6" t="str">
        <x:v>0</x:v>
      </x:c>
      <x:c r="BJ292" s="6" t="str">
        <x:v>0</x:v>
      </x:c>
      <x:c r="BK292" s="6" t="str">
        <x:v>1</x:v>
      </x:c>
      <x:c r="BL292" s="6" t="str">
        <x:v>0</x:v>
      </x:c>
      <x:c r="BM292" s="6" t="str">
        <x:v>0</x:v>
      </x:c>
      <x:c r="BN292" s="6" t="str">
        <x:v>31</x:v>
      </x:c>
      <x:c r="BO292" s="6" t="str">
        <x:v>16.0</x:v>
      </x:c>
      <x:c r="BP292" s="6" t="str">
        <x:v>31</x:v>
      </x:c>
      <x:c r="BQ292" s="6" t="str">
        <x:v>0.0</x:v>
      </x:c>
      <x:c r="BR292" s="6" t="str">
        <x:v>31</x:v>
      </x:c>
      <x:c r="BS292" s="6" t="str">
        <x:v>278.0</x:v>
      </x:c>
      <x:c r="BT292" s="6" t="str">
        <x:v>31</x:v>
      </x:c>
      <x:c r="BU292" s="6" t="str">
        <x:v>144460.0</x:v>
      </x:c>
      <x:c r="BV292" s="6" t="str">
        <x:v>19</x:v>
      </x:c>
      <x:c r="BW292" s="9" t="str">
        <x:v>operational_snapshot_annual_totals_may_differ</x:v>
      </x:c>
      <x:c r="BX292" s="9" t="str">
        <x:v>official_live_dashboard_snapshot_subject_to_revision</x:v>
      </x:c>
      <x:c r="BY292" s="9" t="str">
        <x:v>https://tbdashboard.sitb.id/ss_data_tbc03so_2024_provinsi_bulanan_list.php</x:v>
      </x:c>
      <x:c r="BZ292" s="6" t="n">
        <x:v>46246.610671296294</x:v>
      </x:c>
    </x:row>
    <x:row r="293" ht="18" customHeight="1">
      <x:c r="A293" s="6" t="str">
        <x:v>33</x:v>
      </x:c>
      <x:c r="B293" s="6" t="str">
        <x:v>JAWA TENGAH</x:v>
      </x:c>
      <x:c r="C293" s="6" t="str">
        <x:v>2024</x:v>
      </x:c>
      <x:c r="D293" s="6" t="str">
        <x:v>4</x:v>
      </x:c>
      <x:c r="E293" s="6" t="str">
        <x:v>2024-04</x:v>
      </x:c>
      <x:c r="F293" s="6" t="str">
        <x:v>6717</x:v>
      </x:c>
      <x:c r="G293" s="6" t="str">
        <x:v>1713</x:v>
      </x:c>
      <x:c r="H293" s="6" t="str">
        <x:v>4053</x:v>
      </x:c>
      <x:c r="I293" s="6" t="str">
        <x:v>563</x:v>
      </x:c>
      <x:c r="J293" s="6" t="str">
        <x:v>302</x:v>
      </x:c>
      <x:c r="K293" s="6" t="str">
        <x:v>32</x:v>
      </x:c>
      <x:c r="L293" s="6" t="str">
        <x:v>19</x:v>
      </x:c>
      <x:c r="M293" s="6" t="str">
        <x:v>35</x:v>
      </x:c>
      <x:c r="N293" s="6" t="str">
        <x:v>6717</x:v>
      </x:c>
      <x:c r="O293" s="6" t="str">
        <x:v>0</x:v>
      </x:c>
      <x:c r="P293" s="10" t="n">
        <x:f>F293-M293</x:f>
        <x:v>6682</x:v>
      </x:c>
      <x:c r="Q293" s="11" t="n">
        <x:f>IFERROR(M293/F293,"")</x:f>
        <x:v>0.005210659520619324</x:v>
      </x:c>
      <x:c r="R293" s="10" t="n">
        <x:f>G293+H293</x:f>
        <x:v>5766</x:v>
      </x:c>
      <x:c r="S293" s="11" t="n">
        <x:f>IFERROR(R293/F293,"")</x:f>
        <x:v>0.8584189370254578</x:v>
      </x:c>
      <x:c r="T293" s="11" t="n">
        <x:f>IFERROR(R293/P293,"")</x:f>
        <x:v>0.8629152948219097</x:v>
      </x:c>
      <x:c r="U293" s="10" t="n">
        <x:f>I293+J293+K293</x:f>
        <x:v>897</x:v>
      </x:c>
      <x:c r="V293" s="11" t="n">
        <x:f>IFERROR(U293/P293,"")</x:f>
        <x:v>0.13424124513618677</x:v>
      </x:c>
      <x:c r="W293" s="9" t="str">
        <x:v>mature_le_5pct_pending</x:v>
      </x:c>
      <x:c r="X293" s="12" t="n">
        <x:f>IFERROR(F293/Z293*100000,"")</x:f>
        <x:v>17.726556582735807</x:v>
      </x:c>
      <x:c r="Y293" s="13" t="n">
        <x:f>LN(Z293)</x:f>
        <x:v>17.450258483184687</x:v>
      </x:c>
      <x:c r="Z293" s="6" t="str">
        <x:v>37892300</x:v>
      </x:c>
      <x:c r="AA293" s="6" t="str">
        <x:v>1104.0</x:v>
      </x:c>
      <x:c r="AB293" s="9" t="str">
        <x:v>2024-06-30</x:v>
      </x:c>
      <x:c r="AC293" s="8" t="str">
        <x:v>86.7</x:v>
      </x:c>
      <x:c r="AD293" s="9" t="str">
        <x:v>2024 (Susenas)</x:v>
      </x:c>
      <x:c r="AE293" s="8" t="str">
        <x:v>10.47</x:v>
      </x:c>
      <x:c r="AF293" s="9" t="str">
        <x:v>Maret 2024 (Susenas)</x:v>
      </x:c>
      <x:c r="AG293" s="6" t="str">
        <x:v>26.63043769209284</x:v>
      </x:c>
      <x:c r="AH293" s="8" t="str">
        <x:v>88.07732110628345</x:v>
      </x:c>
      <x:c r="AI293" s="6" t="str">
        <x:v>269.1337906637912</x:v>
      </x:c>
      <x:c r="AJ293" s="6" t="str">
        <x:v>1.041410841706405</x:v>
      </x:c>
      <x:c r="AK293" s="8" t="str">
        <x:v>2.6835275423159013</x:v>
      </x:c>
      <x:c r="AL293" s="6" t="str">
        <x:v>2.4367992072603584</x:v>
      </x:c>
      <x:c r="AM293" s="6" t="str">
        <x:v>2.821099106188402</x:v>
      </x:c>
      <x:c r="AN293" s="6" t="str">
        <x:v>2.647141951921553</x:v>
      </x:c>
      <x:c r="AO293" s="6" t="str">
        <x:v>1.1070143406364537</x:v>
      </x:c>
      <x:c r="AP293" s="8" t="str">
        <x:v>1.2889704616902162</x:v>
      </x:c>
      <x:c r="AQ293" s="6" t="str">
        <x:v>-0.0265745018264859</x:v>
      </x:c>
      <x:c r="AR293" s="6" t="str">
        <x:v>-1.3078372564832192</x:v>
      </x:c>
      <x:c r="AS293" s="6" t="str">
        <x:v>-0.0151470988731625</x:v>
      </x:c>
      <x:c r="AT293" s="6" t="str">
        <x:v>76.71377475758578</x:v>
      </x:c>
      <x:c r="AU293" s="8" t="str">
        <x:v>1.4240360879309666</x:v>
      </x:c>
      <x:c r="AV293" s="6" t="str">
        <x:v>2.1195525185456607</x:v>
      </x:c>
      <x:c r="AW293" s="6" t="str">
        <x:v>-0.4290125686833216</x:v>
      </x:c>
      <x:c r="AX293" s="6" t="str">
        <x:v>1.0381920125977688</x:v>
      </x:c>
      <x:c r="AY293" s="6" t="str">
        <x:v>1</x:v>
      </x:c>
      <x:c r="AZ293" s="6" t="str">
        <x:v>1</x:v>
      </x:c>
      <x:c r="BA293" s="9" t="str">
        <x:v>grid_cells_within_BIG_polygon</x:v>
      </x:c>
      <x:c r="BB293" s="6" t="str">
        <x:v>7</x:v>
      </x:c>
      <x:c r="BC293" s="6" t="str">
        <x:v>9</x:v>
      </x:c>
      <x:c r="BD293" s="6" t="str">
        <x:v>9</x:v>
      </x:c>
      <x:c r="BE293" s="6" t="str">
        <x:v>5</x:v>
      </x:c>
      <x:c r="BF293" s="6" t="str">
        <x:v>1</x:v>
      </x:c>
      <x:c r="BG293" s="6" t="str">
        <x:v>3</x:v>
      </x:c>
      <x:c r="BH293" s="6" t="str">
        <x:v>0</x:v>
      </x:c>
      <x:c r="BI293" s="6" t="str">
        <x:v>0</x:v>
      </x:c>
      <x:c r="BJ293" s="6" t="str">
        <x:v>0</x:v>
      </x:c>
      <x:c r="BK293" s="6" t="str">
        <x:v>0</x:v>
      </x:c>
      <x:c r="BL293" s="6" t="str">
        <x:v>0</x:v>
      </x:c>
      <x:c r="BM293" s="6" t="str">
        <x:v>0</x:v>
      </x:c>
      <x:c r="BN293" s="6" t="str">
        <x:v>9</x:v>
      </x:c>
      <x:c r="BO293" s="6" t="str">
        <x:v>2.0</x:v>
      </x:c>
      <x:c r="BP293" s="6" t="str">
        <x:v>9</x:v>
      </x:c>
      <x:c r="BQ293" s="6" t="str">
        <x:v>0.0</x:v>
      </x:c>
      <x:c r="BR293" s="6" t="str">
        <x:v>9</x:v>
      </x:c>
      <x:c r="BS293" s="6" t="str">
        <x:v>193.0</x:v>
      </x:c>
      <x:c r="BT293" s="6" t="str">
        <x:v>9</x:v>
      </x:c>
      <x:c r="BU293" s="6" t="str">
        <x:v>402.0</x:v>
      </x:c>
      <x:c r="BV293" s="6" t="str">
        <x:v>5</x:v>
      </x:c>
      <x:c r="BW293" s="9" t="str">
        <x:v>operational_snapshot_annual_totals_may_differ</x:v>
      </x:c>
      <x:c r="BX293" s="9" t="str">
        <x:v>official_live_dashboard_snapshot_subject_to_revision</x:v>
      </x:c>
      <x:c r="BY293" s="9" t="str">
        <x:v>https://tbdashboard.sitb.id/ss_data_tbc03so_2024_provinsi_bulanan_list.php</x:v>
      </x:c>
      <x:c r="BZ293" s="6" t="n">
        <x:v>46246.610671296294</x:v>
      </x:c>
    </x:row>
    <x:row r="294" ht="18" customHeight="1">
      <x:c r="A294" s="6" t="str">
        <x:v>33</x:v>
      </x:c>
      <x:c r="B294" s="6" t="str">
        <x:v>JAWA TENGAH</x:v>
      </x:c>
      <x:c r="C294" s="6" t="str">
        <x:v>2024</x:v>
      </x:c>
      <x:c r="D294" s="6" t="str">
        <x:v>5</x:v>
      </x:c>
      <x:c r="E294" s="6" t="str">
        <x:v>2024-05</x:v>
      </x:c>
      <x:c r="F294" s="6" t="str">
        <x:v>7767</x:v>
      </x:c>
      <x:c r="G294" s="6" t="str">
        <x:v>1946</x:v>
      </x:c>
      <x:c r="H294" s="6" t="str">
        <x:v>4742</x:v>
      </x:c>
      <x:c r="I294" s="6" t="str">
        <x:v>647</x:v>
      </x:c>
      <x:c r="J294" s="6" t="str">
        <x:v>339</x:v>
      </x:c>
      <x:c r="K294" s="6" t="str">
        <x:v>38</x:v>
      </x:c>
      <x:c r="L294" s="6" t="str">
        <x:v>12</x:v>
      </x:c>
      <x:c r="M294" s="6" t="str">
        <x:v>43</x:v>
      </x:c>
      <x:c r="N294" s="6" t="str">
        <x:v>7767</x:v>
      </x:c>
      <x:c r="O294" s="6" t="str">
        <x:v>0</x:v>
      </x:c>
      <x:c r="P294" s="10" t="n">
        <x:f>F294-M294</x:f>
        <x:v>7724</x:v>
      </x:c>
      <x:c r="Q294" s="11" t="n">
        <x:f>IFERROR(M294/F294,"")</x:f>
        <x:v>0.0055362430796961504</x:v>
      </x:c>
      <x:c r="R294" s="10" t="n">
        <x:f>G294+H294</x:f>
        <x:v>6688</x:v>
      </x:c>
      <x:c r="S294" s="11" t="n">
        <x:f>IFERROR(R294/F294,"")</x:f>
        <x:v>0.8610789236513454</x:v>
      </x:c>
      <x:c r="T294" s="11" t="n">
        <x:f>IFERROR(R294/P294,"")</x:f>
        <x:v>0.865872604867944</x:v>
      </x:c>
      <x:c r="U294" s="10" t="n">
        <x:f>I294+J294+K294</x:f>
        <x:v>1024</x:v>
      </x:c>
      <x:c r="V294" s="11" t="n">
        <x:f>IFERROR(U294/P294,"")</x:f>
        <x:v>0.13257379596064214</x:v>
      </x:c>
      <x:c r="W294" s="9" t="str">
        <x:v>mature_le_5pct_pending</x:v>
      </x:c>
      <x:c r="X294" s="12" t="n">
        <x:f>IFERROR(F294/Z294*100000,"")</x:f>
        <x:v>20.49756810750469</x:v>
      </x:c>
      <x:c r="Y294" s="13" t="n">
        <x:f>LN(Z294)</x:f>
        <x:v>17.450258483184687</x:v>
      </x:c>
      <x:c r="Z294" s="6" t="str">
        <x:v>37892300</x:v>
      </x:c>
      <x:c r="AA294" s="6" t="str">
        <x:v>1104.0</x:v>
      </x:c>
      <x:c r="AB294" s="9" t="str">
        <x:v>2024-06-30</x:v>
      </x:c>
      <x:c r="AC294" s="8" t="str">
        <x:v>86.7</x:v>
      </x:c>
      <x:c r="AD294" s="9" t="str">
        <x:v>2024 (Susenas)</x:v>
      </x:c>
      <x:c r="AE294" s="8" t="str">
        <x:v>10.47</x:v>
      </x:c>
      <x:c r="AF294" s="9" t="str">
        <x:v>Maret 2024 (Susenas)</x:v>
      </x:c>
      <x:c r="AG294" s="6" t="str">
        <x:v>26.273446849129225</x:v>
      </x:c>
      <x:c r="AH294" s="8" t="str">
        <x:v>85.72258297423926</x:v>
      </x:c>
      <x:c r="AI294" s="6" t="str">
        <x:v>53.453756088107866</x:v>
      </x:c>
      <x:c r="AJ294" s="6" t="str">
        <x:v>0.8805811353867199</x:v>
      </x:c>
      <x:c r="AK294" s="8" t="str">
        <x:v>2.009453341753161</x:v>
      </x:c>
      <x:c r="AL294" s="6" t="str">
        <x:v>2.6835275423159013</x:v>
      </x:c>
      <x:c r="AM294" s="6" t="str">
        <x:v>2.4367992072603584</x:v>
      </x:c>
      <x:c r="AN294" s="6" t="str">
        <x:v>2.376593363776473</x:v>
      </x:c>
      <x:c r="AO294" s="6" t="str">
        <x:v>-0.0999708173407185</x:v>
      </x:c>
      <x:c r="AP294" s="8" t="str">
        <x:v>-0.0719304798075661</x:v>
      </x:c>
      <x:c r="AQ294" s="6" t="str">
        <x:v>1.2889704616902162</x:v>
      </x:c>
      <x:c r="AR294" s="6" t="str">
        <x:v>-0.0265745018264859</x:v>
      </x:c>
      <x:c r="AS294" s="6" t="str">
        <x:v>0.3968218266853884</x:v>
      </x:c>
      <x:c r="AT294" s="6" t="str">
        <x:v>-87.79919526785665</x:v>
      </x:c>
      <x:c r="AU294" s="8" t="str">
        <x:v>-1.2148253831492242</x:v>
      </x:c>
      <x:c r="AV294" s="6" t="str">
        <x:v>1.4240360879309666</x:v>
      </x:c>
      <x:c r="AW294" s="6" t="str">
        <x:v>2.1195525185456607</x:v>
      </x:c>
      <x:c r="AX294" s="6" t="str">
        <x:v>0.7762544077758013</x:v>
      </x:c>
      <x:c r="AY294" s="6" t="str">
        <x:v>0</x:v>
      </x:c>
      <x:c r="AZ294" s="6" t="str">
        <x:v>1</x:v>
      </x:c>
      <x:c r="BA294" s="9" t="str">
        <x:v>grid_cells_within_BIG_polygon</x:v>
      </x:c>
      <x:c r="BB294" s="6" t="str">
        <x:v>7</x:v>
      </x:c>
      <x:c r="BC294" s="6" t="str">
        <x:v>4</x:v>
      </x:c>
      <x:c r="BD294" s="6" t="str">
        <x:v>4</x:v>
      </x:c>
      <x:c r="BE294" s="6" t="str">
        <x:v>1</x:v>
      </x:c>
      <x:c r="BF294" s="6" t="str">
        <x:v>0</x:v>
      </x:c>
      <x:c r="BG294" s="6" t="str">
        <x:v>0</x:v>
      </x:c>
      <x:c r="BH294" s="6" t="str">
        <x:v>3</x:v>
      </x:c>
      <x:c r="BI294" s="6" t="str">
        <x:v>0</x:v>
      </x:c>
      <x:c r="BJ294" s="6" t="str">
        <x:v>0</x:v>
      </x:c>
      <x:c r="BK294" s="6" t="str">
        <x:v>0</x:v>
      </x:c>
      <x:c r="BL294" s="6" t="str">
        <x:v>0</x:v>
      </x:c>
      <x:c r="BM294" s="6" t="str">
        <x:v>0</x:v>
      </x:c>
      <x:c r="BN294" s="6" t="str">
        <x:v>4</x:v>
      </x:c>
      <x:c r="BO294" s="6" t="str">
        <x:v>0.0</x:v>
      </x:c>
      <x:c r="BP294" s="6" t="str">
        <x:v>4</x:v>
      </x:c>
      <x:c r="BQ294" s="6" t="str">
        <x:v>0.0</x:v>
      </x:c>
      <x:c r="BR294" s="6" t="str">
        <x:v>4</x:v>
      </x:c>
      <x:c r="BS294" s="6" t="str">
        <x:v>0.0</x:v>
      </x:c>
      <x:c r="BT294" s="6" t="str">
        <x:v>4</x:v>
      </x:c>
      <x:c r="BU294" s="6" t="str">
        <x:v>61.0</x:v>
      </x:c>
      <x:c r="BV294" s="6" t="str">
        <x:v>1</x:v>
      </x:c>
      <x:c r="BW294" s="9" t="str">
        <x:v>operational_snapshot_annual_totals_may_differ</x:v>
      </x:c>
      <x:c r="BX294" s="9" t="str">
        <x:v>official_live_dashboard_snapshot_subject_to_revision</x:v>
      </x:c>
      <x:c r="BY294" s="9" t="str">
        <x:v>https://tbdashboard.sitb.id/ss_data_tbc03so_2024_provinsi_bulanan_list.php</x:v>
      </x:c>
      <x:c r="BZ294" s="6" t="n">
        <x:v>46246.610671296294</x:v>
      </x:c>
    </x:row>
    <x:row r="295" ht="18" customHeight="1">
      <x:c r="A295" s="6" t="str">
        <x:v>33</x:v>
      </x:c>
      <x:c r="B295" s="6" t="str">
        <x:v>JAWA TENGAH</x:v>
      </x:c>
      <x:c r="C295" s="6" t="str">
        <x:v>2024</x:v>
      </x:c>
      <x:c r="D295" s="6" t="str">
        <x:v>6</x:v>
      </x:c>
      <x:c r="E295" s="6" t="str">
        <x:v>2024-06</x:v>
      </x:c>
      <x:c r="F295" s="6" t="str">
        <x:v>6567</x:v>
      </x:c>
      <x:c r="G295" s="6" t="str">
        <x:v>1702</x:v>
      </x:c>
      <x:c r="H295" s="6" t="str">
        <x:v>3929</x:v>
      </x:c>
      <x:c r="I295" s="6" t="str">
        <x:v>524</x:v>
      </x:c>
      <x:c r="J295" s="6" t="str">
        <x:v>311</x:v>
      </x:c>
      <x:c r="K295" s="6" t="str">
        <x:v>27</x:v>
      </x:c>
      <x:c r="L295" s="6" t="str">
        <x:v>22</x:v>
      </x:c>
      <x:c r="M295" s="6" t="str">
        <x:v>52</x:v>
      </x:c>
      <x:c r="N295" s="6" t="str">
        <x:v>6567</x:v>
      </x:c>
      <x:c r="O295" s="6" t="str">
        <x:v>0</x:v>
      </x:c>
      <x:c r="P295" s="10" t="n">
        <x:f>F295-M295</x:f>
        <x:v>6515</x:v>
      </x:c>
      <x:c r="Q295" s="11" t="n">
        <x:f>IFERROR(M295/F295,"")</x:f>
        <x:v>0.00791837977767626</x:v>
      </x:c>
      <x:c r="R295" s="10" t="n">
        <x:f>G295+H295</x:f>
        <x:v>5631</x:v>
      </x:c>
      <x:c r="S295" s="11" t="n">
        <x:f>IFERROR(R295/F295,"")</x:f>
        <x:v>0.8574691640018273</x:v>
      </x:c>
      <x:c r="T295" s="11" t="n">
        <x:f>IFERROR(R295/P295,"")</x:f>
        <x:v>0.8643131235610131</x:v>
      </x:c>
      <x:c r="U295" s="10" t="n">
        <x:f>I295+J295+K295</x:f>
        <x:v>862</x:v>
      </x:c>
      <x:c r="V295" s="11" t="n">
        <x:f>IFERROR(U295/P295,"")</x:f>
        <x:v>0.13231005372217958</x:v>
      </x:c>
      <x:c r="W295" s="9" t="str">
        <x:v>mature_le_5pct_pending</x:v>
      </x:c>
      <x:c r="X295" s="12" t="n">
        <x:f>IFERROR(F295/Z295*100000,"")</x:f>
        <x:v>17.33069779348311</x:v>
      </x:c>
      <x:c r="Y295" s="13" t="n">
        <x:f>LN(Z295)</x:f>
        <x:v>17.450258483184687</x:v>
      </x:c>
      <x:c r="Z295" s="6" t="str">
        <x:v>37892300</x:v>
      </x:c>
      <x:c r="AA295" s="6" t="str">
        <x:v>1104.0</x:v>
      </x:c>
      <x:c r="AB295" s="9" t="str">
        <x:v>2024-06-30</x:v>
      </x:c>
      <x:c r="AC295" s="8" t="str">
        <x:v>86.7</x:v>
      </x:c>
      <x:c r="AD295" s="9" t="str">
        <x:v>2024 (Susenas)</x:v>
      </x:c>
      <x:c r="AE295" s="8" t="str">
        <x:v>10.47</x:v>
      </x:c>
      <x:c r="AF295" s="9" t="str">
        <x:v>Maret 2024 (Susenas)</x:v>
      </x:c>
      <x:c r="AG295" s="6" t="str">
        <x:v>25.793373900447083</x:v>
      </x:c>
      <x:c r="AH295" s="8" t="str">
        <x:v>85.68702138235031</x:v>
      </x:c>
      <x:c r="AI295" s="6" t="str">
        <x:v>174.15895026890607</x:v>
      </x:c>
      <x:c r="AJ295" s="6" t="str">
        <x:v>0.973345187892484</x:v>
      </x:c>
      <x:c r="AK295" s="8" t="str">
        <x:v>1.986324566150253</x:v>
      </x:c>
      <x:c r="AL295" s="6" t="str">
        <x:v>2.009453341753161</x:v>
      </x:c>
      <x:c r="AM295" s="6" t="str">
        <x:v>2.6835275423159013</x:v>
      </x:c>
      <x:c r="AN295" s="6" t="str">
        <x:v>2.226435150073105</x:v>
      </x:c>
      <x:c r="AO295" s="6" t="str">
        <x:v>1.2164890236635555</x:v>
      </x:c>
      <x:c r="AP295" s="8" t="str">
        <x:v>0.497552080431799</x:v>
      </x:c>
      <x:c r="AQ295" s="6" t="str">
        <x:v>-0.0719304798075661</x:v>
      </x:c>
      <x:c r="AR295" s="6" t="str">
        <x:v>1.2889704616902162</x:v>
      </x:c>
      <x:c r="AS295" s="6" t="str">
        <x:v>0.5715306874381502</x:v>
      </x:c>
      <x:c r="AT295" s="6" t="str">
        <x:v>78.697259306284</x:v>
      </x:c>
      <x:c r="AU295" s="8" t="str">
        <x:v>1.0844671306949123</x:v>
      </x:c>
      <x:c r="AV295" s="6" t="str">
        <x:v>-1.2148253831492242</x:v>
      </x:c>
      <x:c r="AW295" s="6" t="str">
        <x:v>1.4240360879309666</x:v>
      </x:c>
      <x:c r="AX295" s="6" t="str">
        <x:v>0.4312259451588853</x:v>
      </x:c>
      <x:c r="AY295" s="6" t="str">
        <x:v>1</x:v>
      </x:c>
      <x:c r="AZ295" s="6" t="str">
        <x:v>1</x:v>
      </x:c>
      <x:c r="BA295" s="9" t="str">
        <x:v>grid_cells_within_BIG_polygon</x:v>
      </x:c>
      <x:c r="BB295" s="6" t="str">
        <x:v>7</x:v>
      </x:c>
      <x:c r="BC295" s="6" t="str">
        <x:v>10</x:v>
      </x:c>
      <x:c r="BD295" s="6" t="str">
        <x:v>10</x:v>
      </x:c>
      <x:c r="BE295" s="6" t="str">
        <x:v>0</x:v>
      </x:c>
      <x:c r="BF295" s="6" t="str">
        <x:v>0</x:v>
      </x:c>
      <x:c r="BG295" s="6" t="str">
        <x:v>0</x:v>
      </x:c>
      <x:c r="BH295" s="6" t="str">
        <x:v>10</x:v>
      </x:c>
      <x:c r="BI295" s="6" t="str">
        <x:v>0</x:v>
      </x:c>
      <x:c r="BJ295" s="6" t="str">
        <x:v>0</x:v>
      </x:c>
      <x:c r="BK295" s="6" t="str">
        <x:v>0</x:v>
      </x:c>
      <x:c r="BL295" s="6" t="str">
        <x:v>0</x:v>
      </x:c>
      <x:c r="BM295" s="6" t="str">
        <x:v>0</x:v>
      </x:c>
      <x:c r="BN295" s="6" t="str">
        <x:v>10</x:v>
      </x:c>
      <x:c r="BO295" s="6" t="str">
        <x:v>0.0</x:v>
      </x:c>
      <x:c r="BP295" s="6" t="str">
        <x:v>10</x:v>
      </x:c>
      <x:c r="BQ295" s="6" t="str">
        <x:v>0.0</x:v>
      </x:c>
      <x:c r="BR295" s="6" t="str">
        <x:v>10</x:v>
      </x:c>
      <x:c r="BS295" s="6" t="str">
        <x:v>0.0</x:v>
      </x:c>
      <x:c r="BT295" s="6" t="str">
        <x:v>10</x:v>
      </x:c>
      <x:c r="BU295" s="6" t="str"/>
      <x:c r="BV295" s="6" t="str">
        <x:v>0</x:v>
      </x:c>
      <x:c r="BW295" s="9" t="str">
        <x:v>operational_snapshot_annual_totals_may_differ</x:v>
      </x:c>
      <x:c r="BX295" s="9" t="str">
        <x:v>official_live_dashboard_snapshot_subject_to_revision</x:v>
      </x:c>
      <x:c r="BY295" s="9" t="str">
        <x:v>https://tbdashboard.sitb.id/ss_data_tbc03so_2024_provinsi_bulanan_list.php</x:v>
      </x:c>
      <x:c r="BZ295" s="6" t="n">
        <x:v>46246.610671296294</x:v>
      </x:c>
    </x:row>
    <x:row r="296" ht="18" customHeight="1">
      <x:c r="A296" s="6" t="str">
        <x:v>33</x:v>
      </x:c>
      <x:c r="B296" s="6" t="str">
        <x:v>JAWA TENGAH</x:v>
      </x:c>
      <x:c r="C296" s="6" t="str">
        <x:v>2024</x:v>
      </x:c>
      <x:c r="D296" s="6" t="str">
        <x:v>7</x:v>
      </x:c>
      <x:c r="E296" s="6" t="str">
        <x:v>2024-07</x:v>
      </x:c>
      <x:c r="F296" s="6" t="str">
        <x:v>7471</x:v>
      </x:c>
      <x:c r="G296" s="6" t="str">
        <x:v>2000</x:v>
      </x:c>
      <x:c r="H296" s="6" t="str">
        <x:v>4408</x:v>
      </x:c>
      <x:c r="I296" s="6" t="str">
        <x:v>607</x:v>
      </x:c>
      <x:c r="J296" s="6" t="str">
        <x:v>318</x:v>
      </x:c>
      <x:c r="K296" s="6" t="str">
        <x:v>40</x:v>
      </x:c>
      <x:c r="L296" s="6" t="str">
        <x:v>23</x:v>
      </x:c>
      <x:c r="M296" s="6" t="str">
        <x:v>75</x:v>
      </x:c>
      <x:c r="N296" s="6" t="str">
        <x:v>7471</x:v>
      </x:c>
      <x:c r="O296" s="6" t="str">
        <x:v>0</x:v>
      </x:c>
      <x:c r="P296" s="10" t="n">
        <x:f>F296-M296</x:f>
        <x:v>7396</x:v>
      </x:c>
      <x:c r="Q296" s="11" t="n">
        <x:f>IFERROR(M296/F296,"")</x:f>
        <x:v>0.010038816758131442</x:v>
      </x:c>
      <x:c r="R296" s="10" t="n">
        <x:f>G296+H296</x:f>
        <x:v>6408</x:v>
      </x:c>
      <x:c r="S296" s="11" t="n">
        <x:f>IFERROR(R296/F296,"")</x:f>
        <x:v>0.8577165038147504</x:v>
      </x:c>
      <x:c r="T296" s="11" t="n">
        <x:f>IFERROR(R296/P296,"")</x:f>
        <x:v>0.8664142779881017</x:v>
      </x:c>
      <x:c r="U296" s="10" t="n">
        <x:f>I296+J296+K296</x:f>
        <x:v>965</x:v>
      </x:c>
      <x:c r="V296" s="11" t="n">
        <x:f>IFERROR(U296/P296,"")</x:f>
        <x:v>0.13047593293672255</x:v>
      </x:c>
      <x:c r="W296" s="9" t="str">
        <x:v>mature_le_5pct_pending</x:v>
      </x:c>
      <x:c r="X296" s="12" t="n">
        <x:f>IFERROR(F296/Z296*100000,"")</x:f>
        <x:v>19.716406763379368</x:v>
      </x:c>
      <x:c r="Y296" s="13" t="n">
        <x:f>LN(Z296)</x:f>
        <x:v>17.450258483184687</x:v>
      </x:c>
      <x:c r="Z296" s="6" t="str">
        <x:v>37892300</x:v>
      </x:c>
      <x:c r="AA296" s="6" t="str">
        <x:v>1104.0</x:v>
      </x:c>
      <x:c r="AB296" s="9" t="str">
        <x:v>2024-06-30</x:v>
      </x:c>
      <x:c r="AC296" s="8" t="str">
        <x:v>86.7</x:v>
      </x:c>
      <x:c r="AD296" s="9" t="str">
        <x:v>2024 (Susenas)</x:v>
      </x:c>
      <x:c r="AE296" s="8" t="str">
        <x:v>10.47</x:v>
      </x:c>
      <x:c r="AF296" s="9" t="str">
        <x:v>Maret 2024 (Susenas)</x:v>
      </x:c>
      <x:c r="AG296" s="6" t="str">
        <x:v>24.970675568230256</x:v>
      </x:c>
      <x:c r="AH296" s="8" t="str">
        <x:v>82.01494986570462</x:v>
      </x:c>
      <x:c r="AI296" s="6" t="str">
        <x:v>47.86652941105327</x:v>
      </x:c>
      <x:c r="AJ296" s="6" t="str">
        <x:v>0.5059508253179636</x:v>
      </x:c>
      <x:c r="AK296" s="8" t="str">
        <x:v>1.036197601813572</x:v>
      </x:c>
      <x:c r="AL296" s="6" t="str">
        <x:v>1.986324566150253</x:v>
      </x:c>
      <x:c r="AM296" s="6" t="str">
        <x:v>2.009453341753161</x:v>
      </x:c>
      <x:c r="AN296" s="6" t="str">
        <x:v>1.6773251699056615</x:v>
      </x:c>
      <x:c r="AO296" s="6" t="str">
        <x:v>1.2972456755784094</x:v>
      </x:c>
      <x:c r="AP296" s="8" t="str">
        <x:v>0.3164207085145504</x:v>
      </x:c>
      <x:c r="AQ296" s="6" t="str">
        <x:v>0.497552080431799</x:v>
      </x:c>
      <x:c r="AR296" s="6" t="str">
        <x:v>-0.0719304798075661</x:v>
      </x:c>
      <x:c r="AS296" s="6" t="str">
        <x:v>0.2473474363795949</x:v>
      </x:c>
      <x:c r="AT296" s="6" t="str">
        <x:v>-6.439692102684688</x:v>
      </x:c>
      <x:c r="AU296" s="8" t="str">
        <x:v>-0.1011432059096763</x:v>
      </x:c>
      <x:c r="AV296" s="6" t="str">
        <x:v>1.0844671306949123</x:v>
      </x:c>
      <x:c r="AW296" s="6" t="str">
        <x:v>-1.2148253831492242</x:v>
      </x:c>
      <x:c r="AX296" s="6" t="str">
        <x:v>-0.0771671527879957</x:v>
      </x:c>
      <x:c r="AY296" s="6" t="str">
        <x:v>0</x:v>
      </x:c>
      <x:c r="AZ296" s="6" t="str">
        <x:v>1</x:v>
      </x:c>
      <x:c r="BA296" s="9" t="str">
        <x:v>grid_cells_within_BIG_polygon</x:v>
      </x:c>
      <x:c r="BB296" s="6" t="str">
        <x:v>7</x:v>
      </x:c>
      <x:c r="BC296" s="6" t="str">
        <x:v>11</x:v>
      </x:c>
      <x:c r="BD296" s="6" t="str">
        <x:v>9</x:v>
      </x:c>
      <x:c r="BE296" s="6" t="str">
        <x:v>0</x:v>
      </x:c>
      <x:c r="BF296" s="6" t="str">
        <x:v>1</x:v>
      </x:c>
      <x:c r="BG296" s="6" t="str">
        <x:v>0</x:v>
      </x:c>
      <x:c r="BH296" s="6" t="str">
        <x:v>5</x:v>
      </x:c>
      <x:c r="BI296" s="6" t="str">
        <x:v>3</x:v>
      </x:c>
      <x:c r="BJ296" s="6" t="str">
        <x:v>0</x:v>
      </x:c>
      <x:c r="BK296" s="6" t="str">
        <x:v>2</x:v>
      </x:c>
      <x:c r="BL296" s="6" t="str">
        <x:v>0</x:v>
      </x:c>
      <x:c r="BM296" s="6" t="str">
        <x:v>0</x:v>
      </x:c>
      <x:c r="BN296" s="6" t="str">
        <x:v>11</x:v>
      </x:c>
      <x:c r="BO296" s="6" t="str">
        <x:v>2.0</x:v>
      </x:c>
      <x:c r="BP296" s="6" t="str">
        <x:v>11</x:v>
      </x:c>
      <x:c r="BQ296" s="6" t="str">
        <x:v>14.0</x:v>
      </x:c>
      <x:c r="BR296" s="6" t="str">
        <x:v>11</x:v>
      </x:c>
      <x:c r="BS296" s="6" t="str">
        <x:v>275.0</x:v>
      </x:c>
      <x:c r="BT296" s="6" t="str">
        <x:v>11</x:v>
      </x:c>
      <x:c r="BU296" s="6" t="str"/>
      <x:c r="BV296" s="6" t="str">
        <x:v>0</x:v>
      </x:c>
      <x:c r="BW296" s="9" t="str">
        <x:v>operational_snapshot_annual_totals_may_differ</x:v>
      </x:c>
      <x:c r="BX296" s="9" t="str">
        <x:v>official_live_dashboard_snapshot_subject_to_revision</x:v>
      </x:c>
      <x:c r="BY296" s="9" t="str">
        <x:v>https://tbdashboard.sitb.id/ss_data_tbc03so_2024_provinsi_bulanan_list.php</x:v>
      </x:c>
      <x:c r="BZ296" s="6" t="n">
        <x:v>46246.610671296294</x:v>
      </x:c>
    </x:row>
    <x:row r="297" ht="18" customHeight="1">
      <x:c r="A297" s="6" t="str">
        <x:v>33</x:v>
      </x:c>
      <x:c r="B297" s="6" t="str">
        <x:v>JAWA TENGAH</x:v>
      </x:c>
      <x:c r="C297" s="6" t="str">
        <x:v>2024</x:v>
      </x:c>
      <x:c r="D297" s="6" t="str">
        <x:v>8</x:v>
      </x:c>
      <x:c r="E297" s="6" t="str">
        <x:v>2024-08</x:v>
      </x:c>
      <x:c r="F297" s="6" t="str">
        <x:v>7317</x:v>
      </x:c>
      <x:c r="G297" s="6" t="str">
        <x:v>1823</x:v>
      </x:c>
      <x:c r="H297" s="6" t="str">
        <x:v>4352</x:v>
      </x:c>
      <x:c r="I297" s="6" t="str">
        <x:v>620</x:v>
      </x:c>
      <x:c r="J297" s="6" t="str">
        <x:v>405</x:v>
      </x:c>
      <x:c r="K297" s="6" t="str">
        <x:v>31</x:v>
      </x:c>
      <x:c r="L297" s="6" t="str">
        <x:v>20</x:v>
      </x:c>
      <x:c r="M297" s="6" t="str">
        <x:v>66</x:v>
      </x:c>
      <x:c r="N297" s="6" t="str">
        <x:v>7317</x:v>
      </x:c>
      <x:c r="O297" s="6" t="str">
        <x:v>0</x:v>
      </x:c>
      <x:c r="P297" s="10" t="n">
        <x:f>F297-M297</x:f>
        <x:v>7251</x:v>
      </x:c>
      <x:c r="Q297" s="11" t="n">
        <x:f>IFERROR(M297/F297,"")</x:f>
        <x:v>0.009020090200902008</x:v>
      </x:c>
      <x:c r="R297" s="10" t="n">
        <x:f>G297+H297</x:f>
        <x:v>6175</x:v>
      </x:c>
      <x:c r="S297" s="11" t="n">
        <x:f>IFERROR(R297/F297,"")</x:f>
        <x:v>0.8439251059177258</x:v>
      </x:c>
      <x:c r="T297" s="11" t="n">
        <x:f>IFERROR(R297/P297,"")</x:f>
        <x:v>0.8516066749413874</x:v>
      </x:c>
      <x:c r="U297" s="10" t="n">
        <x:f>I297+J297+K297</x:f>
        <x:v>1056</x:v>
      </x:c>
      <x:c r="V297" s="11" t="n">
        <x:f>IFERROR(U297/P297,"")</x:f>
        <x:v>0.14563508481588747</x:v>
      </x:c>
      <x:c r="W297" s="9" t="str">
        <x:v>mature_le_5pct_pending</x:v>
      </x:c>
      <x:c r="X297" s="12" t="n">
        <x:f>IFERROR(F297/Z297*100000,"")</x:f>
        <x:v>19.309991739746597</x:v>
      </x:c>
      <x:c r="Y297" s="13" t="n">
        <x:f>LN(Z297)</x:f>
        <x:v>17.450258483184687</x:v>
      </x:c>
      <x:c r="Z297" s="6" t="str">
        <x:v>37892300</x:v>
      </x:c>
      <x:c r="AA297" s="6" t="str">
        <x:v>1104.0</x:v>
      </x:c>
      <x:c r="AB297" s="9" t="str">
        <x:v>2024-06-30</x:v>
      </x:c>
      <x:c r="AC297" s="8" t="str">
        <x:v>86.7</x:v>
      </x:c>
      <x:c r="AD297" s="9" t="str">
        <x:v>2024 (Susenas)</x:v>
      </x:c>
      <x:c r="AE297" s="8" t="str">
        <x:v>10.47</x:v>
      </x:c>
      <x:c r="AF297" s="9" t="str">
        <x:v>Maret 2024 (Susenas)</x:v>
      </x:c>
      <x:c r="AG297" s="6" t="str">
        <x:v>25.465183753341623</x:v>
      </x:c>
      <x:c r="AH297" s="8" t="str">
        <x:v>76.4311493740511</x:v>
      </x:c>
      <x:c r="AI297" s="6" t="str">
        <x:v>28.34178964537192</x:v>
      </x:c>
      <x:c r="AJ297" s="6" t="str">
        <x:v>0.5166262926051033</x:v>
      </x:c>
      <x:c r="AK297" s="8" t="str">
        <x:v>1.191817460496103</x:v>
      </x:c>
      <x:c r="AL297" s="6" t="str">
        <x:v>1.036197601813572</x:v>
      </x:c>
      <x:c r="AM297" s="6" t="str">
        <x:v>1.986324566150253</x:v>
      </x:c>
      <x:c r="AN297" s="6" t="str">
        <x:v>1.4047798761533088</x:v>
      </x:c>
      <x:c r="AO297" s="6" t="str">
        <x:v>1.3355586740866985</x:v>
      </x:c>
      <x:c r="AP297" s="8" t="str">
        <x:v>0.2672300206851856</x:v>
      </x:c>
      <x:c r="AQ297" s="6" t="str">
        <x:v>0.3164207085145504</x:v>
      </x:c>
      <x:c r="AR297" s="6" t="str">
        <x:v>0.497552080431799</x:v>
      </x:c>
      <x:c r="AS297" s="6" t="str">
        <x:v>0.3604009365438454</x:v>
      </x:c>
      <x:c r="AT297" s="6" t="str">
        <x:v>-7.566499865022791</x:v>
      </x:c>
      <x:c r="AU297" s="8" t="str">
        <x:v>-0.1704618156725422</x:v>
      </x:c>
      <x:c r="AV297" s="6" t="str">
        <x:v>-0.1011432059096763</x:v>
      </x:c>
      <x:c r="AW297" s="6" t="str">
        <x:v>1.0844671306949123</x:v>
      </x:c>
      <x:c r="AX297" s="6" t="str">
        <x:v>0.2709540363708982</x:v>
      </x:c>
      <x:c r="AY297" s="6" t="str">
        <x:v>0</x:v>
      </x:c>
      <x:c r="AZ297" s="6" t="str">
        <x:v>1</x:v>
      </x:c>
      <x:c r="BA297" s="9" t="str">
        <x:v>grid_cells_within_BIG_polygon</x:v>
      </x:c>
      <x:c r="BB297" s="6" t="str">
        <x:v>7</x:v>
      </x:c>
      <x:c r="BC297" s="6" t="str">
        <x:v>27</x:v>
      </x:c>
      <x:c r="BD297" s="6" t="str">
        <x:v>25</x:v>
      </x:c>
      <x:c r="BE297" s="6" t="str">
        <x:v>0</x:v>
      </x:c>
      <x:c r="BF297" s="6" t="str">
        <x:v>0</x:v>
      </x:c>
      <x:c r="BG297" s="6" t="str">
        <x:v>1</x:v>
      </x:c>
      <x:c r="BH297" s="6" t="str">
        <x:v>3</x:v>
      </x:c>
      <x:c r="BI297" s="6" t="str">
        <x:v>21</x:v>
      </x:c>
      <x:c r="BJ297" s="6" t="str">
        <x:v>0</x:v>
      </x:c>
      <x:c r="BK297" s="6" t="str">
        <x:v>2</x:v>
      </x:c>
      <x:c r="BL297" s="6" t="str">
        <x:v>0</x:v>
      </x:c>
      <x:c r="BM297" s="6" t="str">
        <x:v>0</x:v>
      </x:c>
      <x:c r="BN297" s="6" t="str">
        <x:v>27</x:v>
      </x:c>
      <x:c r="BO297" s="6" t="str">
        <x:v>0.0</x:v>
      </x:c>
      <x:c r="BP297" s="6" t="str">
        <x:v>27</x:v>
      </x:c>
      <x:c r="BQ297" s="6" t="str">
        <x:v>4.0</x:v>
      </x:c>
      <x:c r="BR297" s="6" t="str">
        <x:v>27</x:v>
      </x:c>
      <x:c r="BS297" s="6" t="str">
        <x:v>65.0</x:v>
      </x:c>
      <x:c r="BT297" s="6" t="str">
        <x:v>27</x:v>
      </x:c>
      <x:c r="BU297" s="6" t="str"/>
      <x:c r="BV297" s="6" t="str">
        <x:v>0</x:v>
      </x:c>
      <x:c r="BW297" s="9" t="str">
        <x:v>operational_snapshot_annual_totals_may_differ</x:v>
      </x:c>
      <x:c r="BX297" s="9" t="str">
        <x:v>official_live_dashboard_snapshot_subject_to_revision</x:v>
      </x:c>
      <x:c r="BY297" s="9" t="str">
        <x:v>https://tbdashboard.sitb.id/ss_data_tbc03so_2024_provinsi_bulanan_list.php</x:v>
      </x:c>
      <x:c r="BZ297" s="6" t="n">
        <x:v>46246.610671296294</x:v>
      </x:c>
    </x:row>
    <x:row r="298" ht="18" customHeight="1">
      <x:c r="A298" s="6" t="str">
        <x:v>33</x:v>
      </x:c>
      <x:c r="B298" s="6" t="str">
        <x:v>JAWA TENGAH</x:v>
      </x:c>
      <x:c r="C298" s="6" t="str">
        <x:v>2024</x:v>
      </x:c>
      <x:c r="D298" s="6" t="str">
        <x:v>9</x:v>
      </x:c>
      <x:c r="E298" s="6" t="str">
        <x:v>2024-09</x:v>
      </x:c>
      <x:c r="F298" s="6" t="str">
        <x:v>7230</x:v>
      </x:c>
      <x:c r="G298" s="6" t="str">
        <x:v>1741</x:v>
      </x:c>
      <x:c r="H298" s="6" t="str">
        <x:v>4418</x:v>
      </x:c>
      <x:c r="I298" s="6" t="str">
        <x:v>603</x:v>
      </x:c>
      <x:c r="J298" s="6" t="str">
        <x:v>377</x:v>
      </x:c>
      <x:c r="K298" s="6" t="str">
        <x:v>28</x:v>
      </x:c>
      <x:c r="L298" s="6" t="str">
        <x:v>6</x:v>
      </x:c>
      <x:c r="M298" s="6" t="str">
        <x:v>57</x:v>
      </x:c>
      <x:c r="N298" s="6" t="str">
        <x:v>7230</x:v>
      </x:c>
      <x:c r="O298" s="6" t="str">
        <x:v>0</x:v>
      </x:c>
      <x:c r="P298" s="10" t="n">
        <x:f>F298-M298</x:f>
        <x:v>7173</x:v>
      </x:c>
      <x:c r="Q298" s="11" t="n">
        <x:f>IFERROR(M298/F298,"")</x:f>
        <x:v>0.007883817427385892</x:v>
      </x:c>
      <x:c r="R298" s="10" t="n">
        <x:f>G298+H298</x:f>
        <x:v>6159</x:v>
      </x:c>
      <x:c r="S298" s="11" t="n">
        <x:f>IFERROR(R298/F298,"")</x:f>
        <x:v>0.8518672199170124</x:v>
      </x:c>
      <x:c r="T298" s="11" t="n">
        <x:f>IFERROR(R298/P298,"")</x:f>
        <x:v>0.8586365537432037</x:v>
      </x:c>
      <x:c r="U298" s="10" t="n">
        <x:f>I298+J298+K298</x:f>
        <x:v>1008</x:v>
      </x:c>
      <x:c r="V298" s="11" t="n">
        <x:f>IFERROR(U298/P298,"")</x:f>
        <x:v>0.14052697616060225</x:v>
      </x:c>
      <x:c r="W298" s="9" t="str">
        <x:v>mature_le_5pct_pending</x:v>
      </x:c>
      <x:c r="X298" s="12" t="n">
        <x:f>IFERROR(F298/Z298*100000,"")</x:f>
        <x:v>19.080393641980034</x:v>
      </x:c>
      <x:c r="Y298" s="13" t="n">
        <x:f>LN(Z298)</x:f>
        <x:v>17.450258483184687</x:v>
      </x:c>
      <x:c r="Z298" s="6" t="str">
        <x:v>37892300</x:v>
      </x:c>
      <x:c r="AA298" s="6" t="str">
        <x:v>1104.0</x:v>
      </x:c>
      <x:c r="AB298" s="9" t="str">
        <x:v>2024-06-30</x:v>
      </x:c>
      <x:c r="AC298" s="8" t="str">
        <x:v>86.7</x:v>
      </x:c>
      <x:c r="AD298" s="9" t="str">
        <x:v>2024 (Susenas)</x:v>
      </x:c>
      <x:c r="AE298" s="8" t="str">
        <x:v>10.47</x:v>
      </x:c>
      <x:c r="AF298" s="9" t="str">
        <x:v>Maret 2024 (Susenas)</x:v>
      </x:c>
      <x:c r="AG298" s="6" t="str">
        <x:v>26.33648930882485</x:v>
      </x:c>
      <x:c r="AH298" s="8" t="str">
        <x:v>77.65310353846903</x:v>
      </x:c>
      <x:c r="AI298" s="6" t="str">
        <x:v>194.8562384809395</x:v>
      </x:c>
      <x:c r="AJ298" s="6" t="str">
        <x:v>0.271992401577247</x:v>
      </x:c>
      <x:c r="AK298" s="8" t="str">
        <x:v>0.545104602870545</x:v>
      </x:c>
      <x:c r="AL298" s="6" t="str">
        <x:v>1.191817460496103</x:v>
      </x:c>
      <x:c r="AM298" s="6" t="str">
        <x:v>1.036197601813572</x:v>
      </x:c>
      <x:c r="AN298" s="6" t="str">
        <x:v>0.9243732217267392</x:v>
      </x:c>
      <x:c r="AO298" s="6" t="str">
        <x:v>6.440096628979958</x:v>
      </x:c>
      <x:c r="AP298" s="8" t="str">
        <x:v>1.0334133565861228</x:v>
      </x:c>
      <x:c r="AQ298" s="6" t="str">
        <x:v>0.2672300206851856</x:v>
      </x:c>
      <x:c r="AR298" s="6" t="str">
        <x:v>0.3164207085145504</x:v>
      </x:c>
      <x:c r="AS298" s="6" t="str">
        <x:v>0.53902136192862</x:v>
      </x:c>
      <x:c r="AT298" s="6" t="str">
        <x:v>131.98910844458834</x:v>
      </x:c>
      <x:c r="AU298" s="8" t="str">
        <x:v>1.4780018208108003</x:v>
      </x:c>
      <x:c r="AV298" s="6" t="str">
        <x:v>-0.1704618156725422</x:v>
      </x:c>
      <x:c r="AW298" s="6" t="str">
        <x:v>-0.1011432059096763</x:v>
      </x:c>
      <x:c r="AX298" s="6" t="str">
        <x:v>0.4021322664095275</x:v>
      </x:c>
      <x:c r="AY298" s="6" t="str">
        <x:v>1</x:v>
      </x:c>
      <x:c r="AZ298" s="6" t="str">
        <x:v>0</x:v>
      </x:c>
      <x:c r="BA298" s="9" t="str">
        <x:v>grid_cells_within_BIG_polygon</x:v>
      </x:c>
      <x:c r="BB298" s="6" t="str">
        <x:v>7</x:v>
      </x:c>
      <x:c r="BC298" s="6" t="str">
        <x:v>17</x:v>
      </x:c>
      <x:c r="BD298" s="6" t="str">
        <x:v>17</x:v>
      </x:c>
      <x:c r="BE298" s="6" t="str">
        <x:v>2</x:v>
      </x:c>
      <x:c r="BF298" s="6" t="str">
        <x:v>0</x:v>
      </x:c>
      <x:c r="BG298" s="6" t="str">
        <x:v>2</x:v>
      </x:c>
      <x:c r="BH298" s="6" t="str">
        <x:v>1</x:v>
      </x:c>
      <x:c r="BI298" s="6" t="str">
        <x:v>12</x:v>
      </x:c>
      <x:c r="BJ298" s="6" t="str">
        <x:v>0</x:v>
      </x:c>
      <x:c r="BK298" s="6" t="str">
        <x:v>0</x:v>
      </x:c>
      <x:c r="BL298" s="6" t="str">
        <x:v>0</x:v>
      </x:c>
      <x:c r="BM298" s="6" t="str">
        <x:v>0</x:v>
      </x:c>
      <x:c r="BN298" s="6" t="str">
        <x:v>17</x:v>
      </x:c>
      <x:c r="BO298" s="6" t="str">
        <x:v>0.0</x:v>
      </x:c>
      <x:c r="BP298" s="6" t="str">
        <x:v>17</x:v>
      </x:c>
      <x:c r="BQ298" s="6" t="str">
        <x:v>0.0</x:v>
      </x:c>
      <x:c r="BR298" s="6" t="str">
        <x:v>17</x:v>
      </x:c>
      <x:c r="BS298" s="6" t="str">
        <x:v>381.0</x:v>
      </x:c>
      <x:c r="BT298" s="6" t="str">
        <x:v>17</x:v>
      </x:c>
      <x:c r="BU298" s="6" t="str">
        <x:v>229.0</x:v>
      </x:c>
      <x:c r="BV298" s="6" t="str">
        <x:v>2</x:v>
      </x:c>
      <x:c r="BW298" s="9" t="str">
        <x:v>operational_snapshot_annual_totals_may_differ</x:v>
      </x:c>
      <x:c r="BX298" s="9" t="str">
        <x:v>official_live_dashboard_snapshot_subject_to_revision</x:v>
      </x:c>
      <x:c r="BY298" s="9" t="str">
        <x:v>https://tbdashboard.sitb.id/ss_data_tbc03so_2024_provinsi_bulanan_list.php</x:v>
      </x:c>
      <x:c r="BZ298" s="6" t="n">
        <x:v>46246.610671296294</x:v>
      </x:c>
    </x:row>
    <x:row r="299" ht="18" customHeight="1">
      <x:c r="A299" s="6" t="str">
        <x:v>33</x:v>
      </x:c>
      <x:c r="B299" s="6" t="str">
        <x:v>JAWA TENGAH</x:v>
      </x:c>
      <x:c r="C299" s="6" t="str">
        <x:v>2024</x:v>
      </x:c>
      <x:c r="D299" s="6" t="str">
        <x:v>10</x:v>
      </x:c>
      <x:c r="E299" s="6" t="str">
        <x:v>2024-10</x:v>
      </x:c>
      <x:c r="F299" s="6" t="str">
        <x:v>8126</x:v>
      </x:c>
      <x:c r="G299" s="6" t="str">
        <x:v>1963</x:v>
      </x:c>
      <x:c r="H299" s="6" t="str">
        <x:v>5069</x:v>
      </x:c>
      <x:c r="I299" s="6" t="str">
        <x:v>607</x:v>
      </x:c>
      <x:c r="J299" s="6" t="str">
        <x:v>354</x:v>
      </x:c>
      <x:c r="K299" s="6" t="str">
        <x:v>32</x:v>
      </x:c>
      <x:c r="L299" s="6" t="str">
        <x:v>11</x:v>
      </x:c>
      <x:c r="M299" s="6" t="str">
        <x:v>90</x:v>
      </x:c>
      <x:c r="N299" s="6" t="str">
        <x:v>8126</x:v>
      </x:c>
      <x:c r="O299" s="6" t="str">
        <x:v>0</x:v>
      </x:c>
      <x:c r="P299" s="10" t="n">
        <x:f>F299-M299</x:f>
        <x:v>8036</x:v>
      </x:c>
      <x:c r="Q299" s="11" t="n">
        <x:f>IFERROR(M299/F299,"")</x:f>
        <x:v>0.011075559931085405</x:v>
      </x:c>
      <x:c r="R299" s="10" t="n">
        <x:f>G299+H299</x:f>
        <x:v>7032</x:v>
      </x:c>
      <x:c r="S299" s="11" t="n">
        <x:f>IFERROR(R299/F299,"")</x:f>
        <x:v>0.8653704159488063</x:v>
      </x:c>
      <x:c r="T299" s="11" t="n">
        <x:f>IFERROR(R299/P299,"")</x:f>
        <x:v>0.8750622200099551</x:v>
      </x:c>
      <x:c r="U299" s="10" t="n">
        <x:f>I299+J299+K299</x:f>
        <x:v>993</x:v>
      </x:c>
      <x:c r="V299" s="11" t="n">
        <x:f>IFERROR(U299/P299,"")</x:f>
        <x:v>0.12356893977103037</x:v>
      </x:c>
      <x:c r="W299" s="9" t="str">
        <x:v>mature_le_5pct_pending</x:v>
      </x:c>
      <x:c r="X299" s="12" t="n">
        <x:f>IFERROR(F299/Z299*100000,"")</x:f>
        <x:v>21.444990143116147</x:v>
      </x:c>
      <x:c r="Y299" s="13" t="n">
        <x:f>LN(Z299)</x:f>
        <x:v>17.450258483184687</x:v>
      </x:c>
      <x:c r="Z299" s="6" t="str">
        <x:v>37892300</x:v>
      </x:c>
      <x:c r="AA299" s="6" t="str">
        <x:v>1104.0</x:v>
      </x:c>
      <x:c r="AB299" s="9" t="str">
        <x:v>2024-06-30</x:v>
      </x:c>
      <x:c r="AC299" s="8" t="str">
        <x:v>86.7</x:v>
      </x:c>
      <x:c r="AD299" s="9" t="str">
        <x:v>2024 (Susenas)</x:v>
      </x:c>
      <x:c r="AE299" s="8" t="str">
        <x:v>10.47</x:v>
      </x:c>
      <x:c r="AF299" s="9" t="str">
        <x:v>Maret 2024 (Susenas)</x:v>
      </x:c>
      <x:c r="AG299" s="6" t="str">
        <x:v>27.186456006165606</x:v>
      </x:c>
      <x:c r="AH299" s="8" t="str">
        <x:v>76.64321930485589</x:v>
      </x:c>
      <x:c r="AI299" s="6" t="str">
        <x:v>138.1200004562055</x:v>
      </x:c>
      <x:c r="AJ299" s="6" t="str">
        <x:v>0.5796980663168014</x:v>
      </x:c>
      <x:c r="AK299" s="8" t="str">
        <x:v>0.7235311906142459</x:v>
      </x:c>
      <x:c r="AL299" s="6" t="str">
        <x:v>0.545104602870545</x:v>
      </x:c>
      <x:c r="AM299" s="6" t="str">
        <x:v>1.191817460496103</x:v>
      </x:c>
      <x:c r="AN299" s="6" t="str">
        <x:v>0.8201510846602974</x:v>
      </x:c>
      <x:c r="AO299" s="6" t="str">
        <x:v>2.8285855380867844</x:v>
      </x:c>
      <x:c r="AP299" s="8" t="str">
        <x:v>0.356508602149536</x:v>
      </x:c>
      <x:c r="AQ299" s="6" t="str">
        <x:v>1.0334133565861228</x:v>
      </x:c>
      <x:c r="AR299" s="6" t="str">
        <x:v>0.2672300206851856</x:v>
      </x:c>
      <x:c r="AS299" s="6" t="str">
        <x:v>0.5523839931402819</x:v>
      </x:c>
      <x:c r="AT299" s="6" t="str">
        <x:v>-4.292049586860259</x:v>
      </x:c>
      <x:c r="AU299" s="8" t="str">
        <x:v>-0.0406857738124388</x:v>
      </x:c>
      <x:c r="AV299" s="6" t="str">
        <x:v>1.4780018208108003</x:v>
      </x:c>
      <x:c r="AW299" s="6" t="str">
        <x:v>-0.1704618156725422</x:v>
      </x:c>
      <x:c r="AX299" s="6" t="str">
        <x:v>0.4222847437752735</x:v>
      </x:c>
      <x:c r="AY299" s="6" t="str">
        <x:v>0</x:v>
      </x:c>
      <x:c r="AZ299" s="6" t="str">
        <x:v>0</x:v>
      </x:c>
      <x:c r="BA299" s="9" t="str">
        <x:v>grid_cells_within_BIG_polygon</x:v>
      </x:c>
      <x:c r="BB299" s="6" t="str">
        <x:v>7</x:v>
      </x:c>
      <x:c r="BC299" s="6" t="str">
        <x:v>9</x:v>
      </x:c>
      <x:c r="BD299" s="6" t="str">
        <x:v>9</x:v>
      </x:c>
      <x:c r="BE299" s="6" t="str">
        <x:v>1</x:v>
      </x:c>
      <x:c r="BF299" s="6" t="str">
        <x:v>0</x:v>
      </x:c>
      <x:c r="BG299" s="6" t="str">
        <x:v>6</x:v>
      </x:c>
      <x:c r="BH299" s="6" t="str">
        <x:v>0</x:v>
      </x:c>
      <x:c r="BI299" s="6" t="str">
        <x:v>2</x:v>
      </x:c>
      <x:c r="BJ299" s="6" t="str">
        <x:v>0</x:v>
      </x:c>
      <x:c r="BK299" s="6" t="str">
        <x:v>0</x:v>
      </x:c>
      <x:c r="BL299" s="6" t="str">
        <x:v>0</x:v>
      </x:c>
      <x:c r="BM299" s="6" t="str">
        <x:v>0</x:v>
      </x:c>
      <x:c r="BN299" s="6" t="str">
        <x:v>9</x:v>
      </x:c>
      <x:c r="BO299" s="6" t="str">
        <x:v>0.0</x:v>
      </x:c>
      <x:c r="BP299" s="6" t="str">
        <x:v>9</x:v>
      </x:c>
      <x:c r="BQ299" s="6" t="str">
        <x:v>2.0</x:v>
      </x:c>
      <x:c r="BR299" s="6" t="str">
        <x:v>9</x:v>
      </x:c>
      <x:c r="BS299" s="6" t="str">
        <x:v>82.0</x:v>
      </x:c>
      <x:c r="BT299" s="6" t="str">
        <x:v>9</x:v>
      </x:c>
      <x:c r="BU299" s="6" t="str">
        <x:v>32.0</x:v>
      </x:c>
      <x:c r="BV299" s="6" t="str">
        <x:v>1</x:v>
      </x:c>
      <x:c r="BW299" s="9" t="str">
        <x:v>operational_snapshot_annual_totals_may_differ</x:v>
      </x:c>
      <x:c r="BX299" s="9" t="str">
        <x:v>official_live_dashboard_snapshot_subject_to_revision</x:v>
      </x:c>
      <x:c r="BY299" s="9" t="str">
        <x:v>https://tbdashboard.sitb.id/ss_data_tbc03so_2024_provinsi_bulanan_list.php</x:v>
      </x:c>
      <x:c r="BZ299" s="6" t="n">
        <x:v>46246.610671296294</x:v>
      </x:c>
    </x:row>
    <x:row r="300" ht="18" customHeight="1">
      <x:c r="A300" s="6" t="str">
        <x:v>33</x:v>
      </x:c>
      <x:c r="B300" s="6" t="str">
        <x:v>JAWA TENGAH</x:v>
      </x:c>
      <x:c r="C300" s="6" t="str">
        <x:v>2024</x:v>
      </x:c>
      <x:c r="D300" s="6" t="str">
        <x:v>11</x:v>
      </x:c>
      <x:c r="E300" s="6" t="str">
        <x:v>2024-11</x:v>
      </x:c>
      <x:c r="F300" s="6" t="str">
        <x:v>7117</x:v>
      </x:c>
      <x:c r="G300" s="6" t="str">
        <x:v>1684</x:v>
      </x:c>
      <x:c r="H300" s="6" t="str">
        <x:v>4428</x:v>
      </x:c>
      <x:c r="I300" s="6" t="str">
        <x:v>566</x:v>
      </x:c>
      <x:c r="J300" s="6" t="str">
        <x:v>324</x:v>
      </x:c>
      <x:c r="K300" s="6" t="str">
        <x:v>28</x:v>
      </x:c>
      <x:c r="L300" s="6" t="str">
        <x:v>6</x:v>
      </x:c>
      <x:c r="M300" s="6" t="str">
        <x:v>81</x:v>
      </x:c>
      <x:c r="N300" s="6" t="str">
        <x:v>7117</x:v>
      </x:c>
      <x:c r="O300" s="6" t="str">
        <x:v>0</x:v>
      </x:c>
      <x:c r="P300" s="10" t="n">
        <x:f>F300-M300</x:f>
        <x:v>7036</x:v>
      </x:c>
      <x:c r="Q300" s="11" t="n">
        <x:f>IFERROR(M300/F300,"")</x:f>
        <x:v>0.011381199943796544</x:v>
      </x:c>
      <x:c r="R300" s="10" t="n">
        <x:f>G300+H300</x:f>
        <x:v>6112</x:v>
      </x:c>
      <x:c r="S300" s="11" t="n">
        <x:f>IFERROR(R300/F300,"")</x:f>
        <x:v>0.858788815512154</x:v>
      </x:c>
      <x:c r="T300" s="11" t="n">
        <x:f>IFERROR(R300/P300,"")</x:f>
        <x:v>0.8686753837407618</x:v>
      </x:c>
      <x:c r="U300" s="10" t="n">
        <x:f>I300+J300+K300</x:f>
        <x:v>918</x:v>
      </x:c>
      <x:c r="V300" s="11" t="n">
        <x:f>IFERROR(U300/P300,"")</x:f>
        <x:v>0.1304718590108016</x:v>
      </x:c>
      <x:c r="W300" s="9" t="str">
        <x:v>mature_le_5pct_pending</x:v>
      </x:c>
      <x:c r="X300" s="12" t="n">
        <x:f>IFERROR(F300/Z300*100000,"")</x:f>
        <x:v>18.782180020743002</x:v>
      </x:c>
      <x:c r="Y300" s="13" t="n">
        <x:f>LN(Z300)</x:f>
        <x:v>17.450258483184687</x:v>
      </x:c>
      <x:c r="Z300" s="6" t="str">
        <x:v>37892300</x:v>
      </x:c>
      <x:c r="AA300" s="6" t="str">
        <x:v>1104.0</x:v>
      </x:c>
      <x:c r="AB300" s="9" t="str">
        <x:v>2024-06-30</x:v>
      </x:c>
      <x:c r="AC300" s="8" t="str">
        <x:v>86.7</x:v>
      </x:c>
      <x:c r="AD300" s="9" t="str">
        <x:v>2024 (Susenas)</x:v>
      </x:c>
      <x:c r="AE300" s="8" t="str">
        <x:v>10.47</x:v>
      </x:c>
      <x:c r="AF300" s="9" t="str">
        <x:v>Maret 2024 (Susenas)</x:v>
      </x:c>
      <x:c r="AG300" s="6" t="str">
        <x:v>26.563353284515177</x:v>
      </x:c>
      <x:c r="AH300" s="8" t="str">
        <x:v>84.28272252823987</x:v>
      </x:c>
      <x:c r="AI300" s="6" t="str">
        <x:v>302.03656996948723</x:v>
      </x:c>
      <x:c r="AJ300" s="6" t="str">
        <x:v>0.4092665694307662</x:v>
      </x:c>
      <x:c r="AK300" s="8" t="str">
        <x:v>0.5243159920520715</x:v>
      </x:c>
      <x:c r="AL300" s="6" t="str">
        <x:v>0.7235311906142459</x:v>
      </x:c>
      <x:c r="AM300" s="6" t="str">
        <x:v>0.545104602870545</x:v>
      </x:c>
      <x:c r="AN300" s="6" t="str">
        <x:v>0.5976505951789535</x:v>
      </x:c>
      <x:c r="AO300" s="6" t="str">
        <x:v>3.1548547473993267</x:v>
      </x:c>
      <x:c r="AP300" s="8" t="str">
        <x:v>0.6014247812352898</x:v>
      </x:c>
      <x:c r="AQ300" s="6" t="str">
        <x:v>0.356508602149536</x:v>
      </x:c>
      <x:c r="AR300" s="6" t="str">
        <x:v>1.0334133565861228</x:v>
      </x:c>
      <x:c r="AS300" s="6" t="str">
        <x:v>0.6637822466569833</x:v>
      </x:c>
      <x:c r="AT300" s="6" t="str">
        <x:v>69.18696828057773</x:v>
      </x:c>
      <x:c r="AU300" s="8" t="str">
        <x:v>0.954327216509029</x:v>
      </x:c>
      <x:c r="AV300" s="6" t="str">
        <x:v>-0.0406857738124388</x:v>
      </x:c>
      <x:c r="AW300" s="6" t="str">
        <x:v>1.4780018208108003</x:v>
      </x:c>
      <x:c r="AX300" s="6" t="str">
        <x:v>0.7972144211691305</x:v>
      </x:c>
      <x:c r="AY300" s="6" t="str">
        <x:v>0</x:v>
      </x:c>
      <x:c r="AZ300" s="6" t="str">
        <x:v>0</x:v>
      </x:c>
      <x:c r="BA300" s="9" t="str">
        <x:v>grid_cells_within_BIG_polygon</x:v>
      </x:c>
      <x:c r="BB300" s="6" t="str">
        <x:v>7</x:v>
      </x:c>
      <x:c r="BC300" s="6" t="str">
        <x:v>26</x:v>
      </x:c>
      <x:c r="BD300" s="6" t="str">
        <x:v>26</x:v>
      </x:c>
      <x:c r="BE300" s="6" t="str">
        <x:v>9</x:v>
      </x:c>
      <x:c r="BF300" s="6" t="str">
        <x:v>3</x:v>
      </x:c>
      <x:c r="BG300" s="6" t="str">
        <x:v>14</x:v>
      </x:c>
      <x:c r="BH300" s="6" t="str">
        <x:v>0</x:v>
      </x:c>
      <x:c r="BI300" s="6" t="str">
        <x:v>0</x:v>
      </x:c>
      <x:c r="BJ300" s="6" t="str">
        <x:v>0</x:v>
      </x:c>
      <x:c r="BK300" s="6" t="str">
        <x:v>0</x:v>
      </x:c>
      <x:c r="BL300" s="6" t="str">
        <x:v>0</x:v>
      </x:c>
      <x:c r="BM300" s="6" t="str">
        <x:v>0</x:v>
      </x:c>
      <x:c r="BN300" s="6" t="str">
        <x:v>26</x:v>
      </x:c>
      <x:c r="BO300" s="6" t="str">
        <x:v>6.0</x:v>
      </x:c>
      <x:c r="BP300" s="6" t="str">
        <x:v>26</x:v>
      </x:c>
      <x:c r="BQ300" s="6" t="str">
        <x:v>10.0</x:v>
      </x:c>
      <x:c r="BR300" s="6" t="str">
        <x:v>26</x:v>
      </x:c>
      <x:c r="BS300" s="6" t="str">
        <x:v>511.0</x:v>
      </x:c>
      <x:c r="BT300" s="6" t="str">
        <x:v>26</x:v>
      </x:c>
      <x:c r="BU300" s="6" t="str">
        <x:v>10569.0</x:v>
      </x:c>
      <x:c r="BV300" s="6" t="str">
        <x:v>6</x:v>
      </x:c>
      <x:c r="BW300" s="9" t="str">
        <x:v>operational_snapshot_annual_totals_may_differ</x:v>
      </x:c>
      <x:c r="BX300" s="9" t="str">
        <x:v>official_live_dashboard_snapshot_subject_to_revision</x:v>
      </x:c>
      <x:c r="BY300" s="9" t="str">
        <x:v>https://tbdashboard.sitb.id/ss_data_tbc03so_2024_provinsi_bulanan_list.php</x:v>
      </x:c>
      <x:c r="BZ300" s="6" t="n">
        <x:v>46246.610671296294</x:v>
      </x:c>
    </x:row>
    <x:row r="301" ht="18" customHeight="1">
      <x:c r="A301" s="6" t="str">
        <x:v>33</x:v>
      </x:c>
      <x:c r="B301" s="6" t="str">
        <x:v>JAWA TENGAH</x:v>
      </x:c>
      <x:c r="C301" s="6" t="str">
        <x:v>2024</x:v>
      </x:c>
      <x:c r="D301" s="6" t="str">
        <x:v>12</x:v>
      </x:c>
      <x:c r="E301" s="6" t="str">
        <x:v>2024-12</x:v>
      </x:c>
      <x:c r="F301" s="6" t="str">
        <x:v>6915</x:v>
      </x:c>
      <x:c r="G301" s="6" t="str">
        <x:v>1688</x:v>
      </x:c>
      <x:c r="H301" s="6" t="str">
        <x:v>4214</x:v>
      </x:c>
      <x:c r="I301" s="6" t="str">
        <x:v>586</x:v>
      </x:c>
      <x:c r="J301" s="6" t="str">
        <x:v>322</x:v>
      </x:c>
      <x:c r="K301" s="6" t="str">
        <x:v>27</x:v>
      </x:c>
      <x:c r="L301" s="6" t="str">
        <x:v>7</x:v>
      </x:c>
      <x:c r="M301" s="6" t="str">
        <x:v>71</x:v>
      </x:c>
      <x:c r="N301" s="6" t="str">
        <x:v>6915</x:v>
      </x:c>
      <x:c r="O301" s="6" t="str">
        <x:v>0</x:v>
      </x:c>
      <x:c r="P301" s="10" t="n">
        <x:f>F301-M301</x:f>
        <x:v>6844</x:v>
      </x:c>
      <x:c r="Q301" s="11" t="n">
        <x:f>IFERROR(M301/F301,"")</x:f>
        <x:v>0.010267534345625452</x:v>
      </x:c>
      <x:c r="R301" s="10" t="n">
        <x:f>G301+H301</x:f>
        <x:v>5902</x:v>
      </x:c>
      <x:c r="S301" s="11" t="n">
        <x:f>IFERROR(R301/F301,"")</x:f>
        <x:v>0.8535068691250903</x:v>
      </x:c>
      <x:c r="T301" s="11" t="n">
        <x:f>IFERROR(R301/P301,"")</x:f>
        <x:v>0.8623611922852134</x:v>
      </x:c>
      <x:c r="U301" s="10" t="n">
        <x:f>I301+J301+K301</x:f>
        <x:v>935</x:v>
      </x:c>
      <x:c r="V301" s="11" t="n">
        <x:f>IFERROR(U301/P301,"")</x:f>
        <x:v>0.13661601402688486</x:v>
      </x:c>
      <x:c r="W301" s="9" t="str">
        <x:v>mature_le_5pct_pending</x:v>
      </x:c>
      <x:c r="X301" s="12" t="n">
        <x:f>IFERROR(F301/Z301*100000,"")</x:f>
        <x:v>18.249090184549367</x:v>
      </x:c>
      <x:c r="Y301" s="13" t="n">
        <x:f>LN(Z301)</x:f>
        <x:v>17.450258483184687</x:v>
      </x:c>
      <x:c r="Z301" s="6" t="str">
        <x:v>37892300</x:v>
      </x:c>
      <x:c r="AA301" s="6" t="str">
        <x:v>1104.0</x:v>
      </x:c>
      <x:c r="AB301" s="9" t="str">
        <x:v>2024-06-30</x:v>
      </x:c>
      <x:c r="AC301" s="8" t="str">
        <x:v>86.7</x:v>
      </x:c>
      <x:c r="AD301" s="9" t="str">
        <x:v>2024 (Susenas)</x:v>
      </x:c>
      <x:c r="AE301" s="8" t="str">
        <x:v>10.47</x:v>
      </x:c>
      <x:c r="AF301" s="9" t="str">
        <x:v>Maret 2024 (Susenas)</x:v>
      </x:c>
      <x:c r="AG301" s="6" t="str">
        <x:v>25.800356814206125</x:v>
      </x:c>
      <x:c r="AH301" s="8" t="str">
        <x:v>87.82644055616574</x:v>
      </x:c>
      <x:c r="AI301" s="6" t="str">
        <x:v>307.64815172631046</x:v>
      </x:c>
      <x:c r="AJ301" s="6" t="str">
        <x:v>0.3534076972518676</x:v>
      </x:c>
      <x:c r="AK301" s="8" t="str">
        <x:v>0.719728784808335</x:v>
      </x:c>
      <x:c r="AL301" s="6" t="str">
        <x:v>0.5243159920520715</x:v>
      </x:c>
      <x:c r="AM301" s="6" t="str">
        <x:v>0.7235311906142459</x:v>
      </x:c>
      <x:c r="AN301" s="6" t="str">
        <x:v>0.6558586558248836</x:v>
      </x:c>
      <x:c r="AO301" s="6" t="str">
        <x:v>2.2284825337362406</x:v>
      </x:c>
      <x:c r="AP301" s="8" t="str">
        <x:v>1.0240875826963185</x:v>
      </x:c>
      <x:c r="AQ301" s="6" t="str">
        <x:v>0.6014247812352898</x:v>
      </x:c>
      <x:c r="AR301" s="6" t="str">
        <x:v>0.356508602149536</x:v>
      </x:c>
      <x:c r="AS301" s="6" t="str">
        <x:v>0.6606736553603817</x:v>
      </x:c>
      <x:c r="AT301" s="6" t="str">
        <x:v>21.01552714887009</x:v>
      </x:c>
      <x:c r="AU301" s="8" t="str">
        <x:v>0.2936282481915344</x:v>
      </x:c>
      <x:c r="AV301" s="6" t="str">
        <x:v>0.954327216509029</x:v>
      </x:c>
      <x:c r="AW301" s="6" t="str">
        <x:v>-0.0406857738124388</x:v>
      </x:c>
      <x:c r="AX301" s="6" t="str">
        <x:v>0.4024232302960418</x:v>
      </x:c>
      <x:c r="AY301" s="6" t="str">
        <x:v>0</x:v>
      </x:c>
      <x:c r="AZ301" s="6" t="str">
        <x:v>0</x:v>
      </x:c>
      <x:c r="BA301" s="9" t="str">
        <x:v>grid_cells_within_BIG_polygon</x:v>
      </x:c>
      <x:c r="BB301" s="6" t="str">
        <x:v>7</x:v>
      </x:c>
      <x:c r="BC301" s="6" t="str">
        <x:v>29</x:v>
      </x:c>
      <x:c r="BD301" s="6" t="str">
        <x:v>29</x:v>
      </x:c>
      <x:c r="BE301" s="6" t="str">
        <x:v>11</x:v>
      </x:c>
      <x:c r="BF301" s="6" t="str">
        <x:v>2</x:v>
      </x:c>
      <x:c r="BG301" s="6" t="str">
        <x:v>16</x:v>
      </x:c>
      <x:c r="BH301" s="6" t="str">
        <x:v>0</x:v>
      </x:c>
      <x:c r="BI301" s="6" t="str">
        <x:v>0</x:v>
      </x:c>
      <x:c r="BJ301" s="6" t="str">
        <x:v>0</x:v>
      </x:c>
      <x:c r="BK301" s="6" t="str">
        <x:v>0</x:v>
      </x:c>
      <x:c r="BL301" s="6" t="str">
        <x:v>0</x:v>
      </x:c>
      <x:c r="BM301" s="6" t="str">
        <x:v>0</x:v>
      </x:c>
      <x:c r="BN301" s="6" t="str">
        <x:v>29</x:v>
      </x:c>
      <x:c r="BO301" s="6" t="str">
        <x:v>2.0</x:v>
      </x:c>
      <x:c r="BP301" s="6" t="str">
        <x:v>29</x:v>
      </x:c>
      <x:c r="BQ301" s="6" t="str">
        <x:v>11.0</x:v>
      </x:c>
      <x:c r="BR301" s="6" t="str">
        <x:v>29</x:v>
      </x:c>
      <x:c r="BS301" s="6" t="str">
        <x:v>353.0</x:v>
      </x:c>
      <x:c r="BT301" s="6" t="str">
        <x:v>29</x:v>
      </x:c>
      <x:c r="BU301" s="6" t="str">
        <x:v>2864.0</x:v>
      </x:c>
      <x:c r="BV301" s="6" t="str">
        <x:v>11</x:v>
      </x:c>
      <x:c r="BW301" s="9" t="str">
        <x:v>operational_snapshot_annual_totals_may_differ</x:v>
      </x:c>
      <x:c r="BX301" s="9" t="str">
        <x:v>official_live_dashboard_snapshot_subject_to_revision</x:v>
      </x:c>
      <x:c r="BY301" s="9" t="str">
        <x:v>https://tbdashboard.sitb.id/ss_data_tbc03so_2024_provinsi_bulanan_list.php</x:v>
      </x:c>
      <x:c r="BZ301" s="6" t="n">
        <x:v>46246.610671296294</x:v>
      </x:c>
    </x:row>
    <x:row r="302" ht="18" customHeight="1">
      <x:c r="A302" s="6" t="str">
        <x:v>33</x:v>
      </x:c>
      <x:c r="B302" s="6" t="str">
        <x:v>JAWA TENGAH</x:v>
      </x:c>
      <x:c r="C302" s="6" t="str">
        <x:v>2025</x:v>
      </x:c>
      <x:c r="D302" s="6" t="str">
        <x:v>1</x:v>
      </x:c>
      <x:c r="E302" s="6" t="str">
        <x:v>2025-01</x:v>
      </x:c>
      <x:c r="F302" s="6" t="str">
        <x:v>7594</x:v>
      </x:c>
      <x:c r="G302" s="6" t="str">
        <x:v>2047</x:v>
      </x:c>
      <x:c r="H302" s="6" t="str">
        <x:v>4391</x:v>
      </x:c>
      <x:c r="I302" s="6" t="str">
        <x:v>475</x:v>
      </x:c>
      <x:c r="J302" s="6" t="str">
        <x:v>380</x:v>
      </x:c>
      <x:c r="K302" s="6" t="str">
        <x:v>20</x:v>
      </x:c>
      <x:c r="L302" s="6" t="str">
        <x:v>14</x:v>
      </x:c>
      <x:c r="M302" s="6" t="str">
        <x:v>267</x:v>
      </x:c>
      <x:c r="N302" s="6" t="str">
        <x:v>7594</x:v>
      </x:c>
      <x:c r="O302" s="6" t="str">
        <x:v>0</x:v>
      </x:c>
      <x:c r="P302" s="10" t="n">
        <x:f>F302-M302</x:f>
        <x:v>7327</x:v>
      </x:c>
      <x:c r="Q302" s="11" t="n">
        <x:f>IFERROR(M302/F302,"")</x:f>
        <x:v>0.035159336318145905</x:v>
      </x:c>
      <x:c r="R302" s="10" t="n">
        <x:f>G302+H302</x:f>
        <x:v>6438</x:v>
      </x:c>
      <x:c r="S302" s="11" t="n">
        <x:f>IFERROR(R302/F302,"")</x:f>
        <x:v>0.8477745588622597</x:v>
      </x:c>
      <x:c r="T302" s="11" t="n">
        <x:f>IFERROR(R302/P302,"")</x:f>
        <x:v>0.878667940494063</x:v>
      </x:c>
      <x:c r="U302" s="10" t="n">
        <x:f>I302+J302+K302</x:f>
        <x:v>875</x:v>
      </x:c>
      <x:c r="V302" s="11" t="n">
        <x:f>IFERROR(U302/P302,"")</x:f>
        <x:v>0.11942131841135527</x:v>
      </x:c>
      <x:c r="W302" s="9" t="str">
        <x:v>mature_le_5pct_pending</x:v>
      </x:c>
      <x:c r="X302" s="12" t="n">
        <x:f>IFERROR(F302/Z302*100000,"")</x:f>
        <x:v>19.86195496666571</x:v>
      </x:c>
      <x:c r="Y302" s="13" t="n">
        <x:f>LN(Z302)</x:f>
        <x:v>17.459233114594543</x:v>
      </x:c>
      <x:c r="Z302" s="6" t="str">
        <x:v>38233900</x:v>
      </x:c>
      <x:c r="AA302" s="6" t="str">
        <x:v>1113.0</x:v>
      </x:c>
      <x:c r="AB302" s="9" t="str">
        <x:v>2025-06-30</x:v>
      </x:c>
      <x:c r="AC302" s="8" t="str">
        <x:v>87.5</x:v>
      </x:c>
      <x:c r="AD302" s="9" t="str">
        <x:v>2025 (Susenas)</x:v>
      </x:c>
      <x:c r="AE302" s="8" t="str">
        <x:v>9.48</x:v>
      </x:c>
      <x:c r="AF302" s="9" t="str">
        <x:v>Maret 2025 (Susenas)</x:v>
      </x:c>
      <x:c r="AG302" s="6" t="str">
        <x:v>25.50603417248193</x:v>
      </x:c>
      <x:c r="AH302" s="8" t="str">
        <x:v>88.25235420473804</x:v>
      </x:c>
      <x:c r="AI302" s="6" t="str">
        <x:v>348.8021233931904</x:v>
      </x:c>
      <x:c r="AJ302" s="6" t="str">
        <x:v>0.362566255709396</x:v>
      </x:c>
      <x:c r="AK302" s="8" t="str">
        <x:v>0.6919036484760362</x:v>
      </x:c>
      <x:c r="AL302" s="6" t="str">
        <x:v>0.719728784808335</x:v>
      </x:c>
      <x:c r="AM302" s="6" t="str">
        <x:v>0.5243159920520715</x:v>
      </x:c>
      <x:c r="AN302" s="6" t="str">
        <x:v>0.6453161417788137</x:v>
      </x:c>
      <x:c r="AO302" s="6" t="str">
        <x:v>0.6284051735200364</x:v>
      </x:c>
      <x:c r="AP302" s="8" t="str">
        <x:v>0.2800336713801683</x:v>
      </x:c>
      <x:c r="AQ302" s="6" t="str">
        <x:v>1.0240875826963185</x:v>
      </x:c>
      <x:c r="AR302" s="6" t="str">
        <x:v>0.6014247812352898</x:v>
      </x:c>
      <x:c r="AS302" s="6" t="str">
        <x:v>0.6351820117705925</x:v>
      </x:c>
      <x:c r="AT302" s="6" t="str">
        <x:v>17.500024968374532</x:v>
      </x:c>
      <x:c r="AU302" s="8" t="str">
        <x:v>0.1620653169301032</x:v>
      </x:c>
      <x:c r="AV302" s="6" t="str">
        <x:v>0.2936282481915344</x:v>
      </x:c>
      <x:c r="AW302" s="6" t="str">
        <x:v>0.954327216509029</x:v>
      </x:c>
      <x:c r="AX302" s="6" t="str">
        <x:v>0.4700069272102226</x:v>
      </x:c>
      <x:c r="AY302" s="6" t="str">
        <x:v>0</x:v>
      </x:c>
      <x:c r="AZ302" s="6" t="str">
        <x:v>0</x:v>
      </x:c>
      <x:c r="BA302" s="9" t="str">
        <x:v>grid_cells_within_BIG_polygon</x:v>
      </x:c>
      <x:c r="BB302" s="6" t="str">
        <x:v>7</x:v>
      </x:c>
      <x:c r="BC302" s="6" t="str">
        <x:v>54</x:v>
      </x:c>
      <x:c r="BD302" s="6" t="str">
        <x:v>54</x:v>
      </x:c>
      <x:c r="BE302" s="6" t="str">
        <x:v>41</x:v>
      </x:c>
      <x:c r="BF302" s="6" t="str">
        <x:v>8</x:v>
      </x:c>
      <x:c r="BG302" s="6" t="str">
        <x:v>5</x:v>
      </x:c>
      <x:c r="BH302" s="6" t="str">
        <x:v>0</x:v>
      </x:c>
      <x:c r="BI302" s="6" t="str">
        <x:v>0</x:v>
      </x:c>
      <x:c r="BJ302" s="6" t="str">
        <x:v>0</x:v>
      </x:c>
      <x:c r="BK302" s="6" t="str">
        <x:v>0</x:v>
      </x:c>
      <x:c r="BL302" s="6" t="str">
        <x:v>0</x:v>
      </x:c>
      <x:c r="BM302" s="6" t="str">
        <x:v>0</x:v>
      </x:c>
      <x:c r="BN302" s="6" t="str">
        <x:v>54</x:v>
      </x:c>
      <x:c r="BO302" s="6" t="str">
        <x:v>31.0</x:v>
      </x:c>
      <x:c r="BP302" s="6" t="str">
        <x:v>54</x:v>
      </x:c>
      <x:c r="BQ302" s="6" t="str">
        <x:v>24.0</x:v>
      </x:c>
      <x:c r="BR302" s="6" t="str">
        <x:v>54</x:v>
      </x:c>
      <x:c r="BS302" s="6" t="str">
        <x:v>420.0</x:v>
      </x:c>
      <x:c r="BT302" s="6" t="str">
        <x:v>54</x:v>
      </x:c>
      <x:c r="BU302" s="6" t="str">
        <x:v>60176.0</x:v>
      </x:c>
      <x:c r="BV302" s="6" t="str">
        <x:v>36</x:v>
      </x:c>
      <x:c r="BW302" s="9" t="str">
        <x:v>operational_snapshot_annual_totals_may_differ</x:v>
      </x:c>
      <x:c r="BX302" s="9" t="str">
        <x:v>official_live_dashboard_snapshot_subject_to_revision</x:v>
      </x:c>
      <x:c r="BY302" s="9" t="str">
        <x:v>https://tbdashboard.sitb.id/ss_data_tbc03so_2025_provinsi_bulanan_list.php</x:v>
      </x:c>
      <x:c r="BZ302" s="6" t="n">
        <x:v>46246.610671296294</x:v>
      </x:c>
    </x:row>
    <x:row r="303" ht="18" customHeight="1">
      <x:c r="A303" s="6" t="str">
        <x:v>33</x:v>
      </x:c>
      <x:c r="B303" s="6" t="str">
        <x:v>JAWA TENGAH</x:v>
      </x:c>
      <x:c r="C303" s="6" t="str">
        <x:v>2025</x:v>
      </x:c>
      <x:c r="D303" s="6" t="str">
        <x:v>2</x:v>
      </x:c>
      <x:c r="E303" s="6" t="str">
        <x:v>2025-02</x:v>
      </x:c>
      <x:c r="F303" s="6" t="str">
        <x:v>7515</x:v>
      </x:c>
      <x:c r="G303" s="6" t="str">
        <x:v>2006</x:v>
      </x:c>
      <x:c r="H303" s="6" t="str">
        <x:v>4332</x:v>
      </x:c>
      <x:c r="I303" s="6" t="str">
        <x:v>488</x:v>
      </x:c>
      <x:c r="J303" s="6" t="str">
        <x:v>362</x:v>
      </x:c>
      <x:c r="K303" s="6" t="str">
        <x:v>34</x:v>
      </x:c>
      <x:c r="L303" s="6" t="str">
        <x:v>7</x:v>
      </x:c>
      <x:c r="M303" s="6" t="str">
        <x:v>286</x:v>
      </x:c>
      <x:c r="N303" s="6" t="str">
        <x:v>7515</x:v>
      </x:c>
      <x:c r="O303" s="6" t="str">
        <x:v>0</x:v>
      </x:c>
      <x:c r="P303" s="10" t="n">
        <x:f>F303-M303</x:f>
        <x:v>7229</x:v>
      </x:c>
      <x:c r="Q303" s="11" t="n">
        <x:f>IFERROR(M303/F303,"")</x:f>
        <x:v>0.03805721889554225</x:v>
      </x:c>
      <x:c r="R303" s="10" t="n">
        <x:f>G303+H303</x:f>
        <x:v>6338</x:v>
      </x:c>
      <x:c r="S303" s="11" t="n">
        <x:f>IFERROR(R303/F303,"")</x:f>
        <x:v>0.8433799068529607</x:v>
      </x:c>
      <x:c r="T303" s="11" t="n">
        <x:f>IFERROR(R303/P303,"")</x:f>
        <x:v>0.8767464379582238</x:v>
      </x:c>
      <x:c r="U303" s="10" t="n">
        <x:f>I303+J303+K303</x:f>
        <x:v>884</x:v>
      </x:c>
      <x:c r="V303" s="11" t="n">
        <x:f>IFERROR(U303/P303,"")</x:f>
        <x:v>0.12228524000553327</x:v>
      </x:c>
      <x:c r="W303" s="9" t="str">
        <x:v>mature_le_5pct_pending</x:v>
      </x:c>
      <x:c r="X303" s="12" t="n">
        <x:f>IFERROR(F303/Z303*100000,"")</x:f>
        <x:v>19.655332048260835</x:v>
      </x:c>
      <x:c r="Y303" s="13" t="n">
        <x:f>LN(Z303)</x:f>
        <x:v>17.459233114594543</x:v>
      </x:c>
      <x:c r="Z303" s="6" t="str">
        <x:v>38233900</x:v>
      </x:c>
      <x:c r="AA303" s="6" t="str">
        <x:v>1113.0</x:v>
      </x:c>
      <x:c r="AB303" s="9" t="str">
        <x:v>2025-06-30</x:v>
      </x:c>
      <x:c r="AC303" s="8" t="str">
        <x:v>87.5</x:v>
      </x:c>
      <x:c r="AD303" s="9" t="str">
        <x:v>2025 (Susenas)</x:v>
      </x:c>
      <x:c r="AE303" s="8" t="str">
        <x:v>9.48</x:v>
      </x:c>
      <x:c r="AF303" s="9" t="str">
        <x:v>Maret 2025 (Susenas)</x:v>
      </x:c>
      <x:c r="AG303" s="6" t="str">
        <x:v>25.371690914825837</x:v>
      </x:c>
      <x:c r="AH303" s="8" t="str">
        <x:v>89.05710502350958</x:v>
      </x:c>
      <x:c r="AI303" s="6" t="str">
        <x:v>278.5658866414805</x:v>
      </x:c>
      <x:c r="AJ303" s="6" t="str">
        <x:v>0.3098342387833384</x:v>
      </x:c>
      <x:c r="AK303" s="8" t="str">
        <x:v>0.6914407185538989</x:v>
      </x:c>
      <x:c r="AL303" s="6" t="str">
        <x:v>0.6919036484760362</x:v>
      </x:c>
      <x:c r="AM303" s="6" t="str">
        <x:v>0.719728784808335</x:v>
      </x:c>
      <x:c r="AN303" s="6" t="str">
        <x:v>0.7010243839460895</x:v>
      </x:c>
      <x:c r="AO303" s="6" t="str">
        <x:v>0.4355926319367427</x:v>
      </x:c>
      <x:c r="AP303" s="8" t="str">
        <x:v>0.3350410657393893</x:v>
      </x:c>
      <x:c r="AQ303" s="6" t="str">
        <x:v>0.2800336713801683</x:v>
      </x:c>
      <x:c r="AR303" s="6" t="str">
        <x:v>1.0240875826963185</x:v>
      </x:c>
      <x:c r="AS303" s="6" t="str">
        <x:v>0.5463874399386257</x:v>
      </x:c>
      <x:c r="AT303" s="6" t="str">
        <x:v>-37.41747010074579</x:v>
      </x:c>
      <x:c r="AU303" s="8" t="str">
        <x:v>-0.368965008575311</x:v>
      </x:c>
      <x:c r="AV303" s="6" t="str">
        <x:v>0.1620653169301032</x:v>
      </x:c>
      <x:c r="AW303" s="6" t="str">
        <x:v>0.2936282481915344</x:v>
      </x:c>
      <x:c r="AX303" s="6" t="str">
        <x:v>0.0289095188487759</x:v>
      </x:c>
      <x:c r="AY303" s="6" t="str">
        <x:v>0</x:v>
      </x:c>
      <x:c r="AZ303" s="6" t="str">
        <x:v>0</x:v>
      </x:c>
      <x:c r="BA303" s="9" t="str">
        <x:v>grid_cells_within_BIG_polygon</x:v>
      </x:c>
      <x:c r="BB303" s="6" t="str">
        <x:v>7</x:v>
      </x:c>
      <x:c r="BC303" s="6" t="str">
        <x:v>31</x:v>
      </x:c>
      <x:c r="BD303" s="6" t="str">
        <x:v>31</x:v>
      </x:c>
      <x:c r="BE303" s="6" t="str">
        <x:v>10</x:v>
      </x:c>
      <x:c r="BF303" s="6" t="str">
        <x:v>2</x:v>
      </x:c>
      <x:c r="BG303" s="6" t="str">
        <x:v>18</x:v>
      </x:c>
      <x:c r="BH303" s="6" t="str">
        <x:v>0</x:v>
      </x:c>
      <x:c r="BI303" s="6" t="str">
        <x:v>1</x:v>
      </x:c>
      <x:c r="BJ303" s="6" t="str">
        <x:v>0</x:v>
      </x:c>
      <x:c r="BK303" s="6" t="str">
        <x:v>0</x:v>
      </x:c>
      <x:c r="BL303" s="6" t="str">
        <x:v>0</x:v>
      </x:c>
      <x:c r="BM303" s="6" t="str">
        <x:v>0</x:v>
      </x:c>
      <x:c r="BN303" s="6" t="str">
        <x:v>31</x:v>
      </x:c>
      <x:c r="BO303" s="6" t="str">
        <x:v>0.0</x:v>
      </x:c>
      <x:c r="BP303" s="6" t="str">
        <x:v>31</x:v>
      </x:c>
      <x:c r="BQ303" s="6" t="str">
        <x:v>4.0</x:v>
      </x:c>
      <x:c r="BR303" s="6" t="str">
        <x:v>31</x:v>
      </x:c>
      <x:c r="BS303" s="6" t="str">
        <x:v>402.0</x:v>
      </x:c>
      <x:c r="BT303" s="6" t="str">
        <x:v>31</x:v>
      </x:c>
      <x:c r="BU303" s="6" t="str">
        <x:v>1622.0</x:v>
      </x:c>
      <x:c r="BV303" s="6" t="str">
        <x:v>7</x:v>
      </x:c>
      <x:c r="BW303" s="9" t="str">
        <x:v>operational_snapshot_annual_totals_may_differ</x:v>
      </x:c>
      <x:c r="BX303" s="9" t="str">
        <x:v>official_live_dashboard_snapshot_subject_to_revision</x:v>
      </x:c>
      <x:c r="BY303" s="9" t="str">
        <x:v>https://tbdashboard.sitb.id/ss_data_tbc03so_2025_provinsi_bulanan_list.php</x:v>
      </x:c>
      <x:c r="BZ303" s="6" t="n">
        <x:v>46246.610671296294</x:v>
      </x:c>
    </x:row>
    <x:row r="304" ht="18" customHeight="1">
      <x:c r="A304" s="6" t="str">
        <x:v>33</x:v>
      </x:c>
      <x:c r="B304" s="6" t="str">
        <x:v>JAWA TENGAH</x:v>
      </x:c>
      <x:c r="C304" s="6" t="str">
        <x:v>2025</x:v>
      </x:c>
      <x:c r="D304" s="6" t="str">
        <x:v>3</x:v>
      </x:c>
      <x:c r="E304" s="6" t="str">
        <x:v>2025-03</x:v>
      </x:c>
      <x:c r="F304" s="6" t="str">
        <x:v>7066</x:v>
      </x:c>
      <x:c r="G304" s="6" t="str">
        <x:v>1803</x:v>
      </x:c>
      <x:c r="H304" s="6" t="str">
        <x:v>4123</x:v>
      </x:c>
      <x:c r="I304" s="6" t="str">
        <x:v>507</x:v>
      </x:c>
      <x:c r="J304" s="6" t="str">
        <x:v>337</x:v>
      </x:c>
      <x:c r="K304" s="6" t="str">
        <x:v>35</x:v>
      </x:c>
      <x:c r="L304" s="6" t="str">
        <x:v>4</x:v>
      </x:c>
      <x:c r="M304" s="6" t="str">
        <x:v>257</x:v>
      </x:c>
      <x:c r="N304" s="6" t="str">
        <x:v>7066</x:v>
      </x:c>
      <x:c r="O304" s="6" t="str">
        <x:v>0</x:v>
      </x:c>
      <x:c r="P304" s="10" t="n">
        <x:f>F304-M304</x:f>
        <x:v>6809</x:v>
      </x:c>
      <x:c r="Q304" s="11" t="n">
        <x:f>IFERROR(M304/F304,"")</x:f>
        <x:v>0.03637135578828191</x:v>
      </x:c>
      <x:c r="R304" s="10" t="n">
        <x:f>G304+H304</x:f>
        <x:v>5926</x:v>
      </x:c>
      <x:c r="S304" s="11" t="n">
        <x:f>IFERROR(R304/F304,"")</x:f>
        <x:v>0.8386640249080102</x:v>
      </x:c>
      <x:c r="T304" s="11" t="n">
        <x:f>IFERROR(R304/P304,"")</x:f>
        <x:v>0.8703186958437362</x:v>
      </x:c>
      <x:c r="U304" s="10" t="n">
        <x:f>I304+J304+K304</x:f>
        <x:v>879</x:v>
      </x:c>
      <x:c r="V304" s="11" t="n">
        <x:f>IFERROR(U304/P304,"")</x:f>
        <x:v>0.12909384637979146</x:v>
      </x:c>
      <x:c r="W304" s="9" t="str">
        <x:v>mature_le_5pct_pending</x:v>
      </x:c>
      <x:c r="X304" s="12" t="n">
        <x:f>IFERROR(F304/Z304*100000,"")</x:f>
        <x:v>18.480981537326823</x:v>
      </x:c>
      <x:c r="Y304" s="13" t="n">
        <x:f>LN(Z304)</x:f>
        <x:v>17.459233114594543</x:v>
      </x:c>
      <x:c r="Z304" s="6" t="str">
        <x:v>38233900</x:v>
      </x:c>
      <x:c r="AA304" s="6" t="str">
        <x:v>1113.0</x:v>
      </x:c>
      <x:c r="AB304" s="9" t="str">
        <x:v>2025-06-30</x:v>
      </x:c>
      <x:c r="AC304" s="8" t="str">
        <x:v>87.5</x:v>
      </x:c>
      <x:c r="AD304" s="9" t="str">
        <x:v>2025 (Susenas)</x:v>
      </x:c>
      <x:c r="AE304" s="8" t="str">
        <x:v>9.48</x:v>
      </x:c>
      <x:c r="AF304" s="9" t="str">
        <x:v>Maret 2025 (Susenas)</x:v>
      </x:c>
      <x:c r="AG304" s="6" t="str">
        <x:v>25.768911704722285</x:v>
      </x:c>
      <x:c r="AH304" s="8" t="str">
        <x:v>87.77939262292915</x:v>
      </x:c>
      <x:c r="AI304" s="6" t="str">
        <x:v>234.76554527727427</x:v>
      </x:c>
      <x:c r="AJ304" s="6" t="str">
        <x:v>0.3968570748925373</x:v>
      </x:c>
      <x:c r="AK304" s="8" t="str">
        <x:v>1.041732799428872</x:v>
      </x:c>
      <x:c r="AL304" s="6" t="str">
        <x:v>0.6914407185538989</x:v>
      </x:c>
      <x:c r="AM304" s="6" t="str">
        <x:v>0.6919036484760362</x:v>
      </x:c>
      <x:c r="AN304" s="6" t="str">
        <x:v>0.8083590554862684</x:v>
      </x:c>
      <x:c r="AO304" s="6" t="str">
        <x:v>0.2743837630744821</x:v>
      </x:c>
      <x:c r="AP304" s="8" t="str">
        <x:v>0.222840187573069</x:v>
      </x:c>
      <x:c r="AQ304" s="6" t="str">
        <x:v>0.3350410657393893</x:v>
      </x:c>
      <x:c r="AR304" s="6" t="str">
        <x:v>0.2800336713801683</x:v>
      </x:c>
      <x:c r="AS304" s="6" t="str">
        <x:v>0.2793049748975426</x:v>
      </x:c>
      <x:c r="AT304" s="6" t="str">
        <x:v>0.0575851878894582</x:v>
      </x:c>
      <x:c r="AU304" s="8" t="str">
        <x:v>0.0008258441395553</x:v>
      </x:c>
      <x:c r="AV304" s="6" t="str">
        <x:v>-0.368965008575311</x:v>
      </x:c>
      <x:c r="AW304" s="6" t="str">
        <x:v>0.1620653169301032</x:v>
      </x:c>
      <x:c r="AX304" s="6" t="str">
        <x:v>-0.0686912825018837</x:v>
      </x:c>
      <x:c r="AY304" s="6" t="str">
        <x:v>0</x:v>
      </x:c>
      <x:c r="AZ304" s="6" t="str">
        <x:v>1</x:v>
      </x:c>
      <x:c r="BA304" s="9" t="str">
        <x:v>grid_cells_within_BIG_polygon</x:v>
      </x:c>
      <x:c r="BB304" s="6" t="str">
        <x:v>7</x:v>
      </x:c>
      <x:c r="BC304" s="6" t="str">
        <x:v>26</x:v>
      </x:c>
      <x:c r="BD304" s="6" t="str">
        <x:v>26</x:v>
      </x:c>
      <x:c r="BE304" s="6" t="str">
        <x:v>14</x:v>
      </x:c>
      <x:c r="BF304" s="6" t="str">
        <x:v>4</x:v>
      </x:c>
      <x:c r="BG304" s="6" t="str">
        <x:v>8</x:v>
      </x:c>
      <x:c r="BH304" s="6" t="str">
        <x:v>0</x:v>
      </x:c>
      <x:c r="BI304" s="6" t="str">
        <x:v>0</x:v>
      </x:c>
      <x:c r="BJ304" s="6" t="str">
        <x:v>0</x:v>
      </x:c>
      <x:c r="BK304" s="6" t="str">
        <x:v>0</x:v>
      </x:c>
      <x:c r="BL304" s="6" t="str">
        <x:v>0</x:v>
      </x:c>
      <x:c r="BM304" s="6" t="str">
        <x:v>0</x:v>
      </x:c>
      <x:c r="BN304" s="6" t="str">
        <x:v>26</x:v>
      </x:c>
      <x:c r="BO304" s="6" t="str">
        <x:v>2.0</x:v>
      </x:c>
      <x:c r="BP304" s="6" t="str">
        <x:v>26</x:v>
      </x:c>
      <x:c r="BQ304" s="6" t="str">
        <x:v>3.0</x:v>
      </x:c>
      <x:c r="BR304" s="6" t="str">
        <x:v>26</x:v>
      </x:c>
      <x:c r="BS304" s="6" t="str">
        <x:v>211.0</x:v>
      </x:c>
      <x:c r="BT304" s="6" t="str">
        <x:v>26</x:v>
      </x:c>
      <x:c r="BU304" s="6" t="str">
        <x:v>9840.0</x:v>
      </x:c>
      <x:c r="BV304" s="6" t="str">
        <x:v>13</x:v>
      </x:c>
      <x:c r="BW304" s="9" t="str">
        <x:v>operational_snapshot_annual_totals_may_differ</x:v>
      </x:c>
      <x:c r="BX304" s="9" t="str">
        <x:v>official_live_dashboard_snapshot_subject_to_revision</x:v>
      </x:c>
      <x:c r="BY304" s="9" t="str">
        <x:v>https://tbdashboard.sitb.id/ss_data_tbc03so_2025_provinsi_bulanan_list.php</x:v>
      </x:c>
      <x:c r="BZ304" s="6" t="n">
        <x:v>46246.610671296294</x:v>
      </x:c>
    </x:row>
    <x:row r="305" ht="18" customHeight="1">
      <x:c r="A305" s="6" t="str">
        <x:v>33</x:v>
      </x:c>
      <x:c r="B305" s="6" t="str">
        <x:v>JAWA TENGAH</x:v>
      </x:c>
      <x:c r="C305" s="6" t="str">
        <x:v>2025</x:v>
      </x:c>
      <x:c r="D305" s="6" t="str">
        <x:v>4</x:v>
      </x:c>
      <x:c r="E305" s="6" t="str">
        <x:v>2025-04</x:v>
      </x:c>
      <x:c r="F305" s="6" t="str">
        <x:v>6620</x:v>
      </x:c>
      <x:c r="G305" s="6" t="str">
        <x:v>1807</x:v>
      </x:c>
      <x:c r="H305" s="6" t="str">
        <x:v>3707</x:v>
      </x:c>
      <x:c r="I305" s="6" t="str">
        <x:v>443</x:v>
      </x:c>
      <x:c r="J305" s="6" t="str">
        <x:v>340</x:v>
      </x:c>
      <x:c r="K305" s="6" t="str">
        <x:v>31</x:v>
      </x:c>
      <x:c r="L305" s="6" t="str">
        <x:v>2</x:v>
      </x:c>
      <x:c r="M305" s="6" t="str">
        <x:v>290</x:v>
      </x:c>
      <x:c r="N305" s="6" t="str">
        <x:v>6620</x:v>
      </x:c>
      <x:c r="O305" s="6" t="str">
        <x:v>0</x:v>
      </x:c>
      <x:c r="P305" s="10" t="n">
        <x:f>F305-M305</x:f>
        <x:v>6330</x:v>
      </x:c>
      <x:c r="Q305" s="11" t="n">
        <x:f>IFERROR(M305/F305,"")</x:f>
        <x:v>0.04380664652567976</x:v>
      </x:c>
      <x:c r="R305" s="10" t="n">
        <x:f>G305+H305</x:f>
        <x:v>5514</x:v>
      </x:c>
      <x:c r="S305" s="11" t="n">
        <x:f>IFERROR(R305/F305,"")</x:f>
        <x:v>0.8329305135951661</x:v>
      </x:c>
      <x:c r="T305" s="11" t="n">
        <x:f>IFERROR(R305/P305,"")</x:f>
        <x:v>0.8710900473933649</x:v>
      </x:c>
      <x:c r="U305" s="10" t="n">
        <x:f>I305+J305+K305</x:f>
        <x:v>814</x:v>
      </x:c>
      <x:c r="V305" s="11" t="n">
        <x:f>IFERROR(U305/P305,"")</x:f>
        <x:v>0.12859399684044234</x:v>
      </x:c>
      <x:c r="W305" s="9" t="str">
        <x:v>mature_le_5pct_pending</x:v>
      </x:c>
      <x:c r="X305" s="12" t="n">
        <x:f>IFERROR(F305/Z305*100000,"")</x:f>
        <x:v>17.314477466332235</x:v>
      </x:c>
      <x:c r="Y305" s="13" t="n">
        <x:f>LN(Z305)</x:f>
        <x:v>17.459233114594543</x:v>
      </x:c>
      <x:c r="Z305" s="6" t="str">
        <x:v>38233900</x:v>
      </x:c>
      <x:c r="AA305" s="6" t="str">
        <x:v>1113.0</x:v>
      </x:c>
      <x:c r="AB305" s="9" t="str">
        <x:v>2025-06-30</x:v>
      </x:c>
      <x:c r="AC305" s="8" t="str">
        <x:v>87.5</x:v>
      </x:c>
      <x:c r="AD305" s="9" t="str">
        <x:v>2025 (Susenas)</x:v>
      </x:c>
      <x:c r="AE305" s="8" t="str">
        <x:v>9.48</x:v>
      </x:c>
      <x:c r="AF305" s="9" t="str">
        <x:v>Maret 2025 (Susenas)</x:v>
      </x:c>
      <x:c r="AG305" s="6" t="str">
        <x:v>25.800393288547195</x:v>
      </x:c>
      <x:c r="AH305" s="8" t="str">
        <x:v>85.69613290302802</x:v>
      </x:c>
      <x:c r="AI305" s="6" t="str">
        <x:v>173.65226979455647</x:v>
      </x:c>
      <x:c r="AJ305" s="6" t="str">
        <x:v>0.2113664381607591</x:v>
      </x:c>
      <x:c r="AK305" s="8" t="str">
        <x:v>0.5446531144194824</x:v>
      </x:c>
      <x:c r="AL305" s="6" t="str">
        <x:v>1.041732799428872</x:v>
      </x:c>
      <x:c r="AM305" s="6" t="str">
        <x:v>0.6914407185538989</x:v>
      </x:c>
      <x:c r="AN305" s="6" t="str">
        <x:v>0.7592755441340838</x:v>
      </x:c>
      <x:c r="AO305" s="6" t="str">
        <x:v>-1.27417386261898</x:v>
      </x:c>
      <x:c r="AP305" s="8" t="str">
        <x:v>-1.4836054165561636</x:v>
      </x:c>
      <x:c r="AQ305" s="6" t="str">
        <x:v>0.222840187573069</x:v>
      </x:c>
      <x:c r="AR305" s="6" t="str">
        <x:v>0.3350410657393893</x:v>
      </x:c>
      <x:c r="AS305" s="6" t="str">
        <x:v>-0.3085747210812347</x:v>
      </x:c>
      <x:c r="AT305" s="6" t="str">
        <x:v>-18.767746111648904</x:v>
      </x:c>
      <x:c r="AU305" s="8" t="str">
        <x:v>-0.3483852520172245</x:v>
      </x:c>
      <x:c r="AV305" s="6" t="str">
        <x:v>0.0008258441395553</x:v>
      </x:c>
      <x:c r="AW305" s="6" t="str">
        <x:v>-0.368965008575311</x:v>
      </x:c>
      <x:c r="AX305" s="6" t="str">
        <x:v>-0.238841472150993</x:v>
      </x:c>
      <x:c r="AY305" s="6" t="str">
        <x:v>0</x:v>
      </x:c>
      <x:c r="AZ305" s="6" t="str">
        <x:v>0</x:v>
      </x:c>
      <x:c r="BA305" s="9" t="str">
        <x:v>grid_cells_within_BIG_polygon</x:v>
      </x:c>
      <x:c r="BB305" s="6" t="str">
        <x:v>7</x:v>
      </x:c>
      <x:c r="BC305" s="6" t="str">
        <x:v>19</x:v>
      </x:c>
      <x:c r="BD305" s="6" t="str">
        <x:v>19</x:v>
      </x:c>
      <x:c r="BE305" s="6" t="str">
        <x:v>11</x:v>
      </x:c>
      <x:c r="BF305" s="6" t="str">
        <x:v>3</x:v>
      </x:c>
      <x:c r="BG305" s="6" t="str">
        <x:v>5</x:v>
      </x:c>
      <x:c r="BH305" s="6" t="str">
        <x:v>0</x:v>
      </x:c>
      <x:c r="BI305" s="6" t="str">
        <x:v>0</x:v>
      </x:c>
      <x:c r="BJ305" s="6" t="str">
        <x:v>0</x:v>
      </x:c>
      <x:c r="BK305" s="6" t="str">
        <x:v>0</x:v>
      </x:c>
      <x:c r="BL305" s="6" t="str">
        <x:v>0</x:v>
      </x:c>
      <x:c r="BM305" s="6" t="str">
        <x:v>0</x:v>
      </x:c>
      <x:c r="BN305" s="6" t="str">
        <x:v>19</x:v>
      </x:c>
      <x:c r="BO305" s="6" t="str">
        <x:v>1.0</x:v>
      </x:c>
      <x:c r="BP305" s="6" t="str">
        <x:v>19</x:v>
      </x:c>
      <x:c r="BQ305" s="6" t="str">
        <x:v>0.0</x:v>
      </x:c>
      <x:c r="BR305" s="6" t="str">
        <x:v>19</x:v>
      </x:c>
      <x:c r="BS305" s="6" t="str">
        <x:v>334.0</x:v>
      </x:c>
      <x:c r="BT305" s="6" t="str">
        <x:v>19</x:v>
      </x:c>
      <x:c r="BU305" s="6" t="str">
        <x:v>1149.0</x:v>
      </x:c>
      <x:c r="BV305" s="6" t="str">
        <x:v>9</x:v>
      </x:c>
      <x:c r="BW305" s="9" t="str">
        <x:v>operational_snapshot_annual_totals_may_differ</x:v>
      </x:c>
      <x:c r="BX305" s="9" t="str">
        <x:v>official_live_dashboard_snapshot_subject_to_revision</x:v>
      </x:c>
      <x:c r="BY305" s="9" t="str">
        <x:v>https://tbdashboard.sitb.id/ss_data_tbc03so_2025_provinsi_bulanan_list.php</x:v>
      </x:c>
      <x:c r="BZ305" s="6" t="n">
        <x:v>46246.610671296294</x:v>
      </x:c>
    </x:row>
    <x:row r="306" ht="18" customHeight="1">
      <x:c r="A306" s="6" t="str">
        <x:v>33</x:v>
      </x:c>
      <x:c r="B306" s="6" t="str">
        <x:v>JAWA TENGAH</x:v>
      </x:c>
      <x:c r="C306" s="6" t="str">
        <x:v>2025</x:v>
      </x:c>
      <x:c r="D306" s="6" t="str">
        <x:v>5</x:v>
      </x:c>
      <x:c r="E306" s="6" t="str">
        <x:v>2025-05</x:v>
      </x:c>
      <x:c r="F306" s="6" t="str">
        <x:v>7142</x:v>
      </x:c>
      <x:c r="G306" s="6" t="str">
        <x:v>1673</x:v>
      </x:c>
      <x:c r="H306" s="6" t="str">
        <x:v>4197</x:v>
      </x:c>
      <x:c r="I306" s="6" t="str">
        <x:v>471</x:v>
      </x:c>
      <x:c r="J306" s="6" t="str">
        <x:v>349</x:v>
      </x:c>
      <x:c r="K306" s="6" t="str">
        <x:v>33</x:v>
      </x:c>
      <x:c r="L306" s="6" t="str">
        <x:v>7</x:v>
      </x:c>
      <x:c r="M306" s="6" t="str">
        <x:v>412</x:v>
      </x:c>
      <x:c r="N306" s="6" t="str">
        <x:v>7142</x:v>
      </x:c>
      <x:c r="O306" s="6" t="str">
        <x:v>0</x:v>
      </x:c>
      <x:c r="P306" s="10" t="n">
        <x:f>F306-M306</x:f>
        <x:v>6730</x:v>
      </x:c>
      <x:c r="Q306" s="11" t="n">
        <x:f>IFERROR(M306/F306,"")</x:f>
        <x:v>0.057686922430691685</x:v>
      </x:c>
      <x:c r="R306" s="10" t="n">
        <x:f>G306+H306</x:f>
        <x:v>5870</x:v>
      </x:c>
      <x:c r="S306" s="11" t="n">
        <x:f>IFERROR(R306/F306,"")</x:f>
        <x:v>0.8218986278353403</x:v>
      </x:c>
      <x:c r="T306" s="11" t="n">
        <x:f>IFERROR(R306/P306,"")</x:f>
        <x:v>0.8722139673105498</x:v>
      </x:c>
      <x:c r="U306" s="10" t="n">
        <x:f>I306+J306+K306</x:f>
        <x:v>853</x:v>
      </x:c>
      <x:c r="V306" s="11" t="n">
        <x:f>IFERROR(U306/P306,"")</x:f>
        <x:v>0.12674591381872213</x:v>
      </x:c>
      <x:c r="W306" s="9" t="str">
        <x:v>provisional_gt_5pct_pending</x:v>
      </x:c>
      <x:c r="X306" s="12" t="n">
        <x:f>IFERROR(F306/Z306*100000,"")</x:f>
        <x:v>18.679758015792267</x:v>
      </x:c>
      <x:c r="Y306" s="13" t="n">
        <x:f>LN(Z306)</x:f>
        <x:v>17.459233114594543</x:v>
      </x:c>
      <x:c r="Z306" s="6" t="str">
        <x:v>38233900</x:v>
      </x:c>
      <x:c r="AA306" s="6" t="str">
        <x:v>1113.0</x:v>
      </x:c>
      <x:c r="AB306" s="9" t="str">
        <x:v>2025-06-30</x:v>
      </x:c>
      <x:c r="AC306" s="8" t="str">
        <x:v>87.5</x:v>
      </x:c>
      <x:c r="AD306" s="9" t="str">
        <x:v>2025 (Susenas)</x:v>
      </x:c>
      <x:c r="AE306" s="8" t="str">
        <x:v>9.48</x:v>
      </x:c>
      <x:c r="AF306" s="9" t="str">
        <x:v>Maret 2025 (Susenas)</x:v>
      </x:c>
      <x:c r="AG306" s="6" t="str">
        <x:v>25.92043769209284</x:v>
      </x:c>
      <x:c r="AH306" s="8" t="str">
        <x:v>88.29597590477732</x:v>
      </x:c>
      <x:c r="AI306" s="6" t="str">
        <x:v>386.07534954541177</x:v>
      </x:c>
      <x:c r="AJ306" s="6" t="str">
        <x:v>0.5275719783503341</x:v>
      </x:c>
      <x:c r="AK306" s="8" t="str">
        <x:v>1.2038995980147058</x:v>
      </x:c>
      <x:c r="AL306" s="6" t="str">
        <x:v>0.5446531144194824</x:v>
      </x:c>
      <x:c r="AM306" s="6" t="str">
        <x:v>1.041732799428872</x:v>
      </x:c>
      <x:c r="AN306" s="6" t="str">
        <x:v>0.9300951706210197</x:v>
      </x:c>
      <x:c r="AO306" s="6" t="str">
        <x:v>2.473422113197344</x:v>
      </x:c>
      <x:c r="AP306" s="8" t="str">
        <x:v>1.7796637468969048</x:v>
      </x:c>
      <x:c r="AQ306" s="6" t="str">
        <x:v>-1.4836054165561636</x:v>
      </x:c>
      <x:c r="AR306" s="6" t="str">
        <x:v>0.222840187573069</x:v>
      </x:c>
      <x:c r="AS306" s="6" t="str">
        <x:v>0.1729661726379371</x:v>
      </x:c>
      <x:c r="AT306" s="6" t="str">
        <x:v>244.82239818944728</x:v>
      </x:c>
      <x:c r="AU306" s="8" t="str">
        <x:v>3.387462297082028</x:v>
      </x:c>
      <x:c r="AV306" s="6" t="str">
        <x:v>-0.3483852520172245</x:v>
      </x:c>
      <x:c r="AW306" s="6" t="str">
        <x:v>0.0008258441395553</x:v>
      </x:c>
      <x:c r="AX306" s="6" t="str">
        <x:v>1.01330096306812</x:v>
      </x:c>
      <x:c r="AY306" s="6" t="str">
        <x:v>1</x:v>
      </x:c>
      <x:c r="AZ306" s="6" t="str">
        <x:v>1</x:v>
      </x:c>
      <x:c r="BA306" s="9" t="str">
        <x:v>grid_cells_within_BIG_polygon</x:v>
      </x:c>
      <x:c r="BB306" s="6" t="str">
        <x:v>7</x:v>
      </x:c>
      <x:c r="BC306" s="6" t="str">
        <x:v>30</x:v>
      </x:c>
      <x:c r="BD306" s="6" t="str">
        <x:v>30</x:v>
      </x:c>
      <x:c r="BE306" s="6" t="str">
        <x:v>19</x:v>
      </x:c>
      <x:c r="BF306" s="6" t="str">
        <x:v>5</x:v>
      </x:c>
      <x:c r="BG306" s="6" t="str">
        <x:v>6</x:v>
      </x:c>
      <x:c r="BH306" s="6" t="str">
        <x:v>0</x:v>
      </x:c>
      <x:c r="BI306" s="6" t="str">
        <x:v>0</x:v>
      </x:c>
      <x:c r="BJ306" s="6" t="str">
        <x:v>0</x:v>
      </x:c>
      <x:c r="BK306" s="6" t="str">
        <x:v>0</x:v>
      </x:c>
      <x:c r="BL306" s="6" t="str">
        <x:v>0</x:v>
      </x:c>
      <x:c r="BM306" s="6" t="str">
        <x:v>0</x:v>
      </x:c>
      <x:c r="BN306" s="6" t="str">
        <x:v>30</x:v>
      </x:c>
      <x:c r="BO306" s="6" t="str">
        <x:v>3.0</x:v>
      </x:c>
      <x:c r="BP306" s="6" t="str">
        <x:v>30</x:v>
      </x:c>
      <x:c r="BQ306" s="6" t="str">
        <x:v>2.0</x:v>
      </x:c>
      <x:c r="BR306" s="6" t="str">
        <x:v>30</x:v>
      </x:c>
      <x:c r="BS306" s="6" t="str">
        <x:v>73.0</x:v>
      </x:c>
      <x:c r="BT306" s="6" t="str">
        <x:v>30</x:v>
      </x:c>
      <x:c r="BU306" s="6" t="str">
        <x:v>29512.0</x:v>
      </x:c>
      <x:c r="BV306" s="6" t="str">
        <x:v>18</x:v>
      </x:c>
      <x:c r="BW306" s="9" t="str">
        <x:v>operational_snapshot_annual_totals_may_differ</x:v>
      </x:c>
      <x:c r="BX306" s="9" t="str">
        <x:v>official_live_dashboard_snapshot_subject_to_revision</x:v>
      </x:c>
      <x:c r="BY306" s="9" t="str">
        <x:v>https://tbdashboard.sitb.id/ss_data_tbc03so_2025_provinsi_bulanan_list.php</x:v>
      </x:c>
      <x:c r="BZ306" s="6" t="n">
        <x:v>46246.610671296294</x:v>
      </x:c>
    </x:row>
    <x:row r="307" ht="18" customHeight="1">
      <x:c r="A307" s="6" t="str">
        <x:v>33</x:v>
      </x:c>
      <x:c r="B307" s="6" t="str">
        <x:v>JAWA TENGAH</x:v>
      </x:c>
      <x:c r="C307" s="6" t="str">
        <x:v>2025</x:v>
      </x:c>
      <x:c r="D307" s="6" t="str">
        <x:v>6</x:v>
      </x:c>
      <x:c r="E307" s="6" t="str">
        <x:v>2025-06</x:v>
      </x:c>
      <x:c r="F307" s="6" t="str">
        <x:v>6115</x:v>
      </x:c>
      <x:c r="G307" s="6" t="str">
        <x:v>1402</x:v>
      </x:c>
      <x:c r="H307" s="6" t="str">
        <x:v>3652</x:v>
      </x:c>
      <x:c r="I307" s="6" t="str">
        <x:v>385</x:v>
      </x:c>
      <x:c r="J307" s="6" t="str">
        <x:v>300</x:v>
      </x:c>
      <x:c r="K307" s="6" t="str">
        <x:v>15</x:v>
      </x:c>
      <x:c r="L307" s="6" t="str">
        <x:v>4</x:v>
      </x:c>
      <x:c r="M307" s="6" t="str">
        <x:v>357</x:v>
      </x:c>
      <x:c r="N307" s="6" t="str">
        <x:v>6115</x:v>
      </x:c>
      <x:c r="O307" s="6" t="str">
        <x:v>0</x:v>
      </x:c>
      <x:c r="P307" s="10" t="n">
        <x:f>F307-M307</x:f>
        <x:v>5758</x:v>
      </x:c>
      <x:c r="Q307" s="11" t="n">
        <x:f>IFERROR(M307/F307,"")</x:f>
        <x:v>0.05838103025347506</x:v>
      </x:c>
      <x:c r="R307" s="10" t="n">
        <x:f>G307+H307</x:f>
        <x:v>5054</x:v>
      </x:c>
      <x:c r="S307" s="11" t="n">
        <x:f>IFERROR(R307/F307,"")</x:f>
        <x:v>0.8264922322158627</x:v>
      </x:c>
      <x:c r="T307" s="11" t="n">
        <x:f>IFERROR(R307/P307,"")</x:f>
        <x:v>0.8777353247655436</x:v>
      </x:c>
      <x:c r="U307" s="10" t="n">
        <x:f>I307+J307+K307</x:f>
        <x:v>700</x:v>
      </x:c>
      <x:c r="V307" s="11" t="n">
        <x:f>IFERROR(U307/P307,"")</x:f>
        <x:v>0.12156998957971518</x:v>
      </x:c>
      <x:c r="W307" s="9" t="str">
        <x:v>provisional_gt_5pct_pending</x:v>
      </x:c>
      <x:c r="X307" s="12" t="n">
        <x:f>IFERROR(F307/Z307*100000,"")</x:f>
        <x:v>15.993660076528943</x:v>
      </x:c>
      <x:c r="Y307" s="13" t="n">
        <x:f>LN(Z307)</x:f>
        <x:v>17.459233114594543</x:v>
      </x:c>
      <x:c r="Z307" s="6" t="str">
        <x:v>38233900</x:v>
      </x:c>
      <x:c r="AA307" s="6" t="str">
        <x:v>1113.0</x:v>
      </x:c>
      <x:c r="AB307" s="9" t="str">
        <x:v>2025-06-30</x:v>
      </x:c>
      <x:c r="AC307" s="8" t="str">
        <x:v>87.5</x:v>
      </x:c>
      <x:c r="AD307" s="9" t="str">
        <x:v>2025 (Susenas)</x:v>
      </x:c>
      <x:c r="AE307" s="8" t="str">
        <x:v>9.48</x:v>
      </x:c>
      <x:c r="AF307" s="9" t="str">
        <x:v>Maret 2025 (Susenas)</x:v>
      </x:c>
      <x:c r="AG307" s="6" t="str">
        <x:v>25.4361689689598</x:v>
      </x:c>
      <x:c r="AH307" s="8" t="str">
        <x:v>87.10873132726715</x:v>
      </x:c>
      <x:c r="AI307" s="6" t="str">
        <x:v>196.44185081973777</x:v>
      </x:c>
      <x:c r="AJ307" s="6" t="str">
        <x:v>0.6161402564052025</x:v>
      </x:c>
      <x:c r="AK307" s="8" t="str">
        <x:v>1.2573694745866018</x:v>
      </x:c>
      <x:c r="AL307" s="6" t="str">
        <x:v>1.2038995980147058</x:v>
      </x:c>
      <x:c r="AM307" s="6" t="str">
        <x:v>0.5446531144194824</x:v>
      </x:c>
      <x:c r="AN307" s="6" t="str">
        <x:v>1.0019740623402629</x:v>
      </x:c>
      <x:c r="AO307" s="6" t="str">
        <x:v>2.6381989685803973</x:v>
      </x:c>
      <x:c r="AP307" s="8" t="str">
        <x:v>1.0790408790184367</x:v>
      </x:c>
      <x:c r="AQ307" s="6" t="str">
        <x:v>1.7796637468969048</x:v>
      </x:c>
      <x:c r="AR307" s="6" t="str">
        <x:v>-1.4836054165561636</x:v>
      </x:c>
      <x:c r="AS307" s="6" t="str">
        <x:v>0.4583664031197263</x:v>
      </x:c>
      <x:c r="AT307" s="6" t="str">
        <x:v>100.9801598571157</x:v>
      </x:c>
      <x:c r="AU307" s="8" t="str">
        <x:v>1.3915308510447129</x:v>
      </x:c>
      <x:c r="AV307" s="6" t="str">
        <x:v>3.387462297082028</x:v>
      </x:c>
      <x:c r="AW307" s="6" t="str">
        <x:v>-0.3483852520172245</x:v>
      </x:c>
      <x:c r="AX307" s="6" t="str">
        <x:v>1.4768692987031724</x:v>
      </x:c>
      <x:c r="AY307" s="6" t="str">
        <x:v>1</x:v>
      </x:c>
      <x:c r="AZ307" s="6" t="str">
        <x:v>1</x:v>
      </x:c>
      <x:c r="BA307" s="9" t="str">
        <x:v>grid_cells_within_BIG_polygon</x:v>
      </x:c>
      <x:c r="BB307" s="6" t="str">
        <x:v>7</x:v>
      </x:c>
      <x:c r="BC307" s="6" t="str">
        <x:v>11</x:v>
      </x:c>
      <x:c r="BD307" s="6" t="str">
        <x:v>11</x:v>
      </x:c>
      <x:c r="BE307" s="6" t="str">
        <x:v>4</x:v>
      </x:c>
      <x:c r="BF307" s="6" t="str">
        <x:v>1</x:v>
      </x:c>
      <x:c r="BG307" s="6" t="str">
        <x:v>5</x:v>
      </x:c>
      <x:c r="BH307" s="6" t="str">
        <x:v>0</x:v>
      </x:c>
      <x:c r="BI307" s="6" t="str">
        <x:v>1</x:v>
      </x:c>
      <x:c r="BJ307" s="6" t="str">
        <x:v>0</x:v>
      </x:c>
      <x:c r="BK307" s="6" t="str">
        <x:v>0</x:v>
      </x:c>
      <x:c r="BL307" s="6" t="str">
        <x:v>0</x:v>
      </x:c>
      <x:c r="BM307" s="6" t="str">
        <x:v>0</x:v>
      </x:c>
      <x:c r="BN307" s="6" t="str">
        <x:v>11</x:v>
      </x:c>
      <x:c r="BO307" s="6" t="str"/>
      <x:c r="BP307" s="6" t="str">
        <x:v>0</x:v>
      </x:c>
      <x:c r="BQ307" s="6" t="str"/>
      <x:c r="BR307" s="6" t="str">
        <x:v>0</x:v>
      </x:c>
      <x:c r="BS307" s="6" t="str">
        <x:v>79.0</x:v>
      </x:c>
      <x:c r="BT307" s="6" t="str">
        <x:v>11</x:v>
      </x:c>
      <x:c r="BU307" s="6" t="str">
        <x:v>537.0</x:v>
      </x:c>
      <x:c r="BV307" s="6" t="str">
        <x:v>3</x:v>
      </x:c>
      <x:c r="BW307" s="9" t="str">
        <x:v>operational_snapshot_annual_totals_may_differ</x:v>
      </x:c>
      <x:c r="BX307" s="9" t="str">
        <x:v>official_live_dashboard_snapshot_subject_to_revision</x:v>
      </x:c>
      <x:c r="BY307" s="9" t="str">
        <x:v>https://tbdashboard.sitb.id/ss_data_tbc03so_2025_provinsi_bulanan_list.php</x:v>
      </x:c>
      <x:c r="BZ307" s="6" t="n">
        <x:v>46246.610671296294</x:v>
      </x:c>
    </x:row>
    <x:row r="308" ht="18" customHeight="1">
      <x:c r="A308" s="6" t="str">
        <x:v>33</x:v>
      </x:c>
      <x:c r="B308" s="6" t="str">
        <x:v>JAWA TENGAH</x:v>
      </x:c>
      <x:c r="C308" s="6" t="str">
        <x:v>2025</x:v>
      </x:c>
      <x:c r="D308" s="6" t="str">
        <x:v>7</x:v>
      </x:c>
      <x:c r="E308" s="6" t="str">
        <x:v>2025-07</x:v>
      </x:c>
      <x:c r="F308" s="6" t="str">
        <x:v>7113</x:v>
      </x:c>
      <x:c r="G308" s="6" t="str">
        <x:v>1586</x:v>
      </x:c>
      <x:c r="H308" s="6" t="str">
        <x:v>4147</x:v>
      </x:c>
      <x:c r="I308" s="6" t="str">
        <x:v>468</x:v>
      </x:c>
      <x:c r="J308" s="6" t="str">
        <x:v>360</x:v>
      </x:c>
      <x:c r="K308" s="6" t="str">
        <x:v>27</x:v>
      </x:c>
      <x:c r="L308" s="6" t="str">
        <x:v>5</x:v>
      </x:c>
      <x:c r="M308" s="6" t="str">
        <x:v>520</x:v>
      </x:c>
      <x:c r="N308" s="6" t="str">
        <x:v>7113</x:v>
      </x:c>
      <x:c r="O308" s="6" t="str">
        <x:v>0</x:v>
      </x:c>
      <x:c r="P308" s="10" t="n">
        <x:f>F308-M308</x:f>
        <x:v>6593</x:v>
      </x:c>
      <x:c r="Q308" s="11" t="n">
        <x:f>IFERROR(M308/F308,"")</x:f>
        <x:v>0.07310558132995923</x:v>
      </x:c>
      <x:c r="R308" s="10" t="n">
        <x:f>G308+H308</x:f>
        <x:v>5733</x:v>
      </x:c>
      <x:c r="S308" s="11" t="n">
        <x:f>IFERROR(R308/F308,"")</x:f>
        <x:v>0.8059890341628005</x:v>
      </x:c>
      <x:c r="T308" s="11" t="n">
        <x:f>IFERROR(R308/P308,"")</x:f>
        <x:v>0.8695586227817382</x:v>
      </x:c>
      <x:c r="U308" s="10" t="n">
        <x:f>I308+J308+K308</x:f>
        <x:v>855</x:v>
      </x:c>
      <x:c r="V308" s="11" t="n">
        <x:f>IFERROR(U308/P308,"")</x:f>
        <x:v>0.12968299711815562</x:v>
      </x:c>
      <x:c r="W308" s="9" t="str">
        <x:v>provisional_gt_5pct_pending</x:v>
      </x:c>
      <x:c r="X308" s="12" t="n">
        <x:f>IFERROR(F308/Z308*100000,"")</x:f>
        <x:v>18.603909096377823</x:v>
      </x:c>
      <x:c r="Y308" s="13" t="n">
        <x:f>LN(Z308)</x:f>
        <x:v>17.459233114594543</x:v>
      </x:c>
      <x:c r="Z308" s="6" t="str">
        <x:v>38233900</x:v>
      </x:c>
      <x:c r="AA308" s="6" t="str">
        <x:v>1113.0</x:v>
      </x:c>
      <x:c r="AB308" s="9" t="str">
        <x:v>2025-06-30</x:v>
      </x:c>
      <x:c r="AC308" s="8" t="str">
        <x:v>87.5</x:v>
      </x:c>
      <x:c r="AD308" s="9" t="str">
        <x:v>2025 (Susenas)</x:v>
      </x:c>
      <x:c r="AE308" s="8" t="str">
        <x:v>9.48</x:v>
      </x:c>
      <x:c r="AF308" s="9" t="str">
        <x:v>Maret 2025 (Susenas)</x:v>
      </x:c>
      <x:c r="AG308" s="6" t="str">
        <x:v>24.59344526328831</x:v>
      </x:c>
      <x:c r="AH308" s="8" t="str">
        <x:v>85.33251478307986</x:v>
      </x:c>
      <x:c r="AI308" s="6" t="str">
        <x:v>42.11230110296548</x:v>
      </x:c>
      <x:c r="AJ308" s="6" t="str">
        <x:v>0.1287205203760173</x:v>
      </x:c>
      <x:c r="AK308" s="8" t="str">
        <x:v>0.2636222491266851</x:v>
      </x:c>
      <x:c r="AL308" s="6" t="str">
        <x:v>1.2573694745866018</x:v>
      </x:c>
      <x:c r="AM308" s="6" t="str">
        <x:v>1.2038995980147058</x:v>
      </x:c>
      <x:c r="AN308" s="6" t="str">
        <x:v>0.9082971072426638</x:v>
      </x:c>
      <x:c r="AO308" s="6" t="str">
        <x:v>4.614810592953646</x:v>
      </x:c>
      <x:c r="AP308" s="8" t="str">
        <x:v>1.1256323030961497</x:v>
      </x:c>
      <x:c r="AQ308" s="6" t="str">
        <x:v>1.0790408790184367</x:v>
      </x:c>
      <x:c r="AR308" s="6" t="str">
        <x:v>1.7796637468969048</x:v>
      </x:c>
      <x:c r="AS308" s="6" t="str">
        <x:v>1.3281123096704974</x:v>
      </x:c>
      <x:c r="AT308" s="6" t="str">
        <x:v>-12.193920410772485</x:v>
      </x:c>
      <x:c r="AU308" s="8" t="str">
        <x:v>-0.1915203682546863</x:v>
      </x:c>
      <x:c r="AV308" s="6" t="str">
        <x:v>1.3915308510447129</x:v>
      </x:c>
      <x:c r="AW308" s="6" t="str">
        <x:v>3.387462297082028</x:v>
      </x:c>
      <x:c r="AX308" s="6" t="str">
        <x:v>1.5291575932906851</x:v>
      </x:c>
      <x:c r="AY308" s="6" t="str">
        <x:v>0</x:v>
      </x:c>
      <x:c r="AZ308" s="6" t="str">
        <x:v>0</x:v>
      </x:c>
      <x:c r="BA308" s="9" t="str">
        <x:v>grid_cells_within_BIG_polygon</x:v>
      </x:c>
      <x:c r="BB308" s="6" t="str">
        <x:v>7</x:v>
      </x:c>
      <x:c r="BC308" s="6" t="str">
        <x:v>8</x:v>
      </x:c>
      <x:c r="BD308" s="6" t="str">
        <x:v>8</x:v>
      </x:c>
      <x:c r="BE308" s="6" t="str">
        <x:v>0</x:v>
      </x:c>
      <x:c r="BF308" s="6" t="str">
        <x:v>2</x:v>
      </x:c>
      <x:c r="BG308" s="6" t="str">
        <x:v>2</x:v>
      </x:c>
      <x:c r="BH308" s="6" t="str">
        <x:v>3</x:v>
      </x:c>
      <x:c r="BI308" s="6" t="str">
        <x:v>1</x:v>
      </x:c>
      <x:c r="BJ308" s="6" t="str">
        <x:v>0</x:v>
      </x:c>
      <x:c r="BK308" s="6" t="str">
        <x:v>0</x:v>
      </x:c>
      <x:c r="BL308" s="6" t="str">
        <x:v>0</x:v>
      </x:c>
      <x:c r="BM308" s="6" t="str">
        <x:v>0</x:v>
      </x:c>
      <x:c r="BN308" s="6" t="str">
        <x:v>8</x:v>
      </x:c>
      <x:c r="BO308" s="6" t="str">
        <x:v>1.0</x:v>
      </x:c>
      <x:c r="BP308" s="6" t="str">
        <x:v>1</x:v>
      </x:c>
      <x:c r="BQ308" s="6" t="str"/>
      <x:c r="BR308" s="6" t="str">
        <x:v>0</x:v>
      </x:c>
      <x:c r="BS308" s="6" t="str">
        <x:v>137.0</x:v>
      </x:c>
      <x:c r="BT308" s="6" t="str">
        <x:v>8</x:v>
      </x:c>
      <x:c r="BU308" s="6" t="str"/>
      <x:c r="BV308" s="6" t="str">
        <x:v>0</x:v>
      </x:c>
      <x:c r="BW308" s="9" t="str">
        <x:v>operational_snapshot_annual_totals_may_differ</x:v>
      </x:c>
      <x:c r="BX308" s="9" t="str">
        <x:v>official_live_dashboard_snapshot_subject_to_revision</x:v>
      </x:c>
      <x:c r="BY308" s="9" t="str">
        <x:v>https://tbdashboard.sitb.id/ss_data_tbc03so_2025_provinsi_bulanan_list.php</x:v>
      </x:c>
      <x:c r="BZ308" s="6" t="n">
        <x:v>46246.610671296294</x:v>
      </x:c>
    </x:row>
    <x:row r="309" ht="18" customHeight="1">
      <x:c r="A309" s="6" t="str">
        <x:v>33</x:v>
      </x:c>
      <x:c r="B309" s="6" t="str">
        <x:v>JAWA TENGAH</x:v>
      </x:c>
      <x:c r="C309" s="6" t="str">
        <x:v>2025</x:v>
      </x:c>
      <x:c r="D309" s="6" t="str">
        <x:v>8</x:v>
      </x:c>
      <x:c r="E309" s="6" t="str">
        <x:v>2025-08</x:v>
      </x:c>
      <x:c r="F309" s="6" t="str">
        <x:v>6970</x:v>
      </x:c>
      <x:c r="G309" s="6" t="str">
        <x:v>1700</x:v>
      </x:c>
      <x:c r="H309" s="6" t="str">
        <x:v>3825</x:v>
      </x:c>
      <x:c r="I309" s="6" t="str">
        <x:v>443</x:v>
      </x:c>
      <x:c r="J309" s="6" t="str">
        <x:v>356</x:v>
      </x:c>
      <x:c r="K309" s="6" t="str">
        <x:v>21</x:v>
      </x:c>
      <x:c r="L309" s="6" t="str">
        <x:v>9</x:v>
      </x:c>
      <x:c r="M309" s="6" t="str">
        <x:v>616</x:v>
      </x:c>
      <x:c r="N309" s="6" t="str">
        <x:v>6970</x:v>
      </x:c>
      <x:c r="O309" s="6" t="str">
        <x:v>0</x:v>
      </x:c>
      <x:c r="P309" s="10" t="n">
        <x:f>F309-M309</x:f>
        <x:v>6354</x:v>
      </x:c>
      <x:c r="Q309" s="11" t="n">
        <x:f>IFERROR(M309/F309,"")</x:f>
        <x:v>0.08837876614060258</x:v>
      </x:c>
      <x:c r="R309" s="10" t="n">
        <x:f>G309+H309</x:f>
        <x:v>5525</x:v>
      </x:c>
      <x:c r="S309" s="11" t="n">
        <x:f>IFERROR(R309/F309,"")</x:f>
        <x:v>0.7926829268292683</x:v>
      </x:c>
      <x:c r="T309" s="11" t="n">
        <x:f>IFERROR(R309/P309,"")</x:f>
        <x:v>0.8695310040919106</x:v>
      </x:c>
      <x:c r="U309" s="10" t="n">
        <x:f>I309+J309+K309</x:f>
        <x:v>820</x:v>
      </x:c>
      <x:c r="V309" s="11" t="n">
        <x:f>IFERROR(U309/P309,"")</x:f>
        <x:v>0.12905256531318854</x:v>
      </x:c>
      <x:c r="W309" s="9" t="str">
        <x:v>provisional_gt_5pct_pending</x:v>
      </x:c>
      <x:c r="X309" s="12" t="n">
        <x:f>IFERROR(F309/Z309*100000,"")</x:f>
        <x:v>18.229895459265204</x:v>
      </x:c>
      <x:c r="Y309" s="13" t="n">
        <x:f>LN(Z309)</x:f>
        <x:v>17.459233114594543</x:v>
      </x:c>
      <x:c r="Z309" s="6" t="str">
        <x:v>38233900</x:v>
      </x:c>
      <x:c r="AA309" s="6" t="str">
        <x:v>1113.0</x:v>
      </x:c>
      <x:c r="AB309" s="9" t="str">
        <x:v>2025-06-30</x:v>
      </x:c>
      <x:c r="AC309" s="8" t="str">
        <x:v>87.5</x:v>
      </x:c>
      <x:c r="AD309" s="9" t="str">
        <x:v>2025 (Susenas)</x:v>
      </x:c>
      <x:c r="AE309" s="8" t="str">
        <x:v>9.48</x:v>
      </x:c>
      <x:c r="AF309" s="9" t="str">
        <x:v>Maret 2025 (Susenas)</x:v>
      </x:c>
      <x:c r="AG309" s="6" t="str">
        <x:v>25.176305351278582</x:v>
      </x:c>
      <x:c r="AH309" s="8" t="str">
        <x:v>83.0752226303422</x:v>
      </x:c>
      <x:c r="AI309" s="6" t="str">
        <x:v>159.01539916268564</x:v>
      </x:c>
      <x:c r="AJ309" s="6" t="str">
        <x:v>0.2277478905420622</x:v>
      </x:c>
      <x:c r="AK309" s="8" t="str">
        <x:v>0.525397016033527</x:v>
      </x:c>
      <x:c r="AL309" s="6" t="str">
        <x:v>0.2636222491266851</x:v>
      </x:c>
      <x:c r="AM309" s="6" t="str">
        <x:v>1.2573694745866018</x:v>
      </x:c>
      <x:c r="AN309" s="6" t="str">
        <x:v>0.6821295799156041</x:v>
      </x:c>
      <x:c r="AO309" s="6" t="str">
        <x:v>7.979631930377792</x:v>
      </x:c>
      <x:c r="AP309" s="8" t="str">
        <x:v>1.596633114807354</x:v>
      </x:c>
      <x:c r="AQ309" s="6" t="str">
        <x:v>1.1256323030961497</x:v>
      </x:c>
      <x:c r="AR309" s="6" t="str">
        <x:v>1.0790408790184367</x:v>
      </x:c>
      <x:c r="AS309" s="6" t="str">
        <x:v>1.2671020989739803</x:v>
      </x:c>
      <x:c r="AT309" s="6" t="str">
        <x:v>123.10710965229092</x:v>
      </x:c>
      <x:c r="AU309" s="8" t="str">
        <x:v>2.7734172745491814</x:v>
      </x:c>
      <x:c r="AV309" s="6" t="str">
        <x:v>-0.1915203682546863</x:v>
      </x:c>
      <x:c r="AW309" s="6" t="str">
        <x:v>1.3915308510447129</x:v>
      </x:c>
      <x:c r="AX309" s="6" t="str">
        <x:v>1.3244759191130695</x:v>
      </x:c>
      <x:c r="AY309" s="6" t="str">
        <x:v>1</x:v>
      </x:c>
      <x:c r="AZ309" s="6" t="str">
        <x:v>0</x:v>
      </x:c>
      <x:c r="BA309" s="9" t="str">
        <x:v>grid_cells_within_BIG_polygon</x:v>
      </x:c>
      <x:c r="BB309" s="6" t="str">
        <x:v>7</x:v>
      </x:c>
      <x:c r="BC309" s="6" t="str">
        <x:v>25</x:v>
      </x:c>
      <x:c r="BD309" s="6" t="str">
        <x:v>25</x:v>
      </x:c>
      <x:c r="BE309" s="6" t="str">
        <x:v>2</x:v>
      </x:c>
      <x:c r="BF309" s="6" t="str">
        <x:v>1</x:v>
      </x:c>
      <x:c r="BG309" s="6" t="str">
        <x:v>5</x:v>
      </x:c>
      <x:c r="BH309" s="6" t="str">
        <x:v>10</x:v>
      </x:c>
      <x:c r="BI309" s="6" t="str">
        <x:v>6</x:v>
      </x:c>
      <x:c r="BJ309" s="6" t="str">
        <x:v>1</x:v>
      </x:c>
      <x:c r="BK309" s="6" t="str">
        <x:v>0</x:v>
      </x:c>
      <x:c r="BL309" s="6" t="str">
        <x:v>0</x:v>
      </x:c>
      <x:c r="BM309" s="6" t="str">
        <x:v>0</x:v>
      </x:c>
      <x:c r="BN309" s="6" t="str">
        <x:v>25</x:v>
      </x:c>
      <x:c r="BO309" s="6" t="str">
        <x:v>8.0</x:v>
      </x:c>
      <x:c r="BP309" s="6" t="str">
        <x:v>3</x:v>
      </x:c>
      <x:c r="BQ309" s="6" t="str">
        <x:v>1.0</x:v>
      </x:c>
      <x:c r="BR309" s="6" t="str">
        <x:v>1</x:v>
      </x:c>
      <x:c r="BS309" s="6" t="str">
        <x:v>47.0</x:v>
      </x:c>
      <x:c r="BT309" s="6" t="str">
        <x:v>25</x:v>
      </x:c>
      <x:c r="BU309" s="6" t="str">
        <x:v>122.0</x:v>
      </x:c>
      <x:c r="BV309" s="6" t="str">
        <x:v>1</x:v>
      </x:c>
      <x:c r="BW309" s="9" t="str">
        <x:v>operational_snapshot_annual_totals_may_differ</x:v>
      </x:c>
      <x:c r="BX309" s="9" t="str">
        <x:v>official_live_dashboard_snapshot_subject_to_revision</x:v>
      </x:c>
      <x:c r="BY309" s="9" t="str">
        <x:v>https://tbdashboard.sitb.id/ss_data_tbc03so_2025_provinsi_bulanan_list.php</x:v>
      </x:c>
      <x:c r="BZ309" s="6" t="n">
        <x:v>46246.610671296294</x:v>
      </x:c>
    </x:row>
    <x:row r="310" ht="18" customHeight="1">
      <x:c r="A310" s="6" t="str">
        <x:v>33</x:v>
      </x:c>
      <x:c r="B310" s="6" t="str">
        <x:v>JAWA TENGAH</x:v>
      </x:c>
      <x:c r="C310" s="6" t="str">
        <x:v>2025</x:v>
      </x:c>
      <x:c r="D310" s="6" t="str">
        <x:v>9</x:v>
      </x:c>
      <x:c r="E310" s="6" t="str">
        <x:v>2025-09</x:v>
      </x:c>
      <x:c r="F310" s="6" t="str">
        <x:v>7861</x:v>
      </x:c>
      <x:c r="G310" s="6" t="str">
        <x:v>1778</x:v>
      </x:c>
      <x:c r="H310" s="6" t="str">
        <x:v>4340</x:v>
      </x:c>
      <x:c r="I310" s="6" t="str">
        <x:v>501</x:v>
      </x:c>
      <x:c r="J310" s="6" t="str">
        <x:v>352</x:v>
      </x:c>
      <x:c r="K310" s="6" t="str">
        <x:v>34</x:v>
      </x:c>
      <x:c r="L310" s="6" t="str">
        <x:v>10</x:v>
      </x:c>
      <x:c r="M310" s="6" t="str">
        <x:v>846</x:v>
      </x:c>
      <x:c r="N310" s="6" t="str">
        <x:v>7861</x:v>
      </x:c>
      <x:c r="O310" s="6" t="str">
        <x:v>0</x:v>
      </x:c>
      <x:c r="P310" s="10" t="n">
        <x:f>F310-M310</x:f>
        <x:v>7015</x:v>
      </x:c>
      <x:c r="Q310" s="11" t="n">
        <x:f>IFERROR(M310/F310,"")</x:f>
        <x:v>0.10761989568757156</x:v>
      </x:c>
      <x:c r="R310" s="10" t="n">
        <x:f>G310+H310</x:f>
        <x:v>6118</x:v>
      </x:c>
      <x:c r="S310" s="11" t="n">
        <x:f>IFERROR(R310/F310,"")</x:f>
        <x:v>0.7782724844167409</x:v>
      </x:c>
      <x:c r="T310" s="11" t="n">
        <x:f>IFERROR(R310/P310,"")</x:f>
        <x:v>0.8721311475409836</x:v>
      </x:c>
      <x:c r="U310" s="10" t="n">
        <x:f>I310+J310+K310</x:f>
        <x:v>887</x:v>
      </x:c>
      <x:c r="V310" s="11" t="n">
        <x:f>IFERROR(U310/P310,"")</x:f>
        <x:v>0.12644333570919458</x:v>
      </x:c>
      <x:c r="W310" s="9" t="str">
        <x:v>provisional_gt_5pct_pending</x:v>
      </x:c>
      <x:c r="X310" s="12" t="n">
        <x:f>IFERROR(F310/Z310*100000,"")</x:f>
        <x:v>20.560288121274574</x:v>
      </x:c>
      <x:c r="Y310" s="13" t="n">
        <x:f>LN(Z310)</x:f>
        <x:v>17.459233114594543</x:v>
      </x:c>
      <x:c r="Z310" s="6" t="str">
        <x:v>38233900</x:v>
      </x:c>
      <x:c r="AA310" s="6" t="str">
        <x:v>1113.0</x:v>
      </x:c>
      <x:c r="AB310" s="9" t="str">
        <x:v>2025-06-30</x:v>
      </x:c>
      <x:c r="AC310" s="8" t="str">
        <x:v>87.5</x:v>
      </x:c>
      <x:c r="AD310" s="9" t="str">
        <x:v>2025 (Susenas)</x:v>
      </x:c>
      <x:c r="AE310" s="8" t="str">
        <x:v>9.48</x:v>
      </x:c>
      <x:c r="AF310" s="9" t="str">
        <x:v>Maret 2025 (Susenas)</x:v>
      </x:c>
      <x:c r="AG310" s="6" t="str">
        <x:v>25.80637354243797</x:v>
      </x:c>
      <x:c r="AH310" s="8" t="str">
        <x:v>81.64920590211034</x:v>
      </x:c>
      <x:c r="AI310" s="6" t="str">
        <x:v>224.94223142155764</x:v>
      </x:c>
      <x:c r="AJ310" s="6" t="str">
        <x:v>-0.2581233648096273</x:v>
      </x:c>
      <x:c r="AK310" s="8" t="str">
        <x:v>-0.5173094301540628</x:v>
      </x:c>
      <x:c r="AL310" s="6" t="str">
        <x:v>0.525397016033527</x:v>
      </x:c>
      <x:c r="AM310" s="6" t="str">
        <x:v>0.2636222491266851</x:v>
      </x:c>
      <x:c r="AN310" s="6" t="str">
        <x:v>0.0905699450020491</x:v>
      </x:c>
      <x:c r="AO310" s="6" t="str">
        <x:v>10.436198992621271</x:v>
      </x:c>
      <x:c r="AP310" s="8" t="str">
        <x:v>1.674649939635094</x:v>
      </x:c>
      <x:c r="AQ310" s="6" t="str">
        <x:v>1.596633114807354</x:v>
      </x:c>
      <x:c r="AR310" s="6" t="str">
        <x:v>1.1256323030961497</x:v>
      </x:c>
      <x:c r="AS310" s="6" t="str">
        <x:v>1.4656384525128665</x:v>
      </x:c>
      <x:c r="AT310" s="6" t="str">
        <x:v>162.07510138520644</x:v>
      </x:c>
      <x:c r="AU310" s="8" t="str">
        <x:v>1.8149019853103785</x:v>
      </x:c>
      <x:c r="AV310" s="6" t="str">
        <x:v>2.7734172745491814</x:v>
      </x:c>
      <x:c r="AW310" s="6" t="str">
        <x:v>-0.1915203682546863</x:v>
      </x:c>
      <x:c r="AX310" s="6" t="str">
        <x:v>1.465599630534958</x:v>
      </x:c>
      <x:c r="AY310" s="6" t="str">
        <x:v>1</x:v>
      </x:c>
      <x:c r="AZ310" s="6" t="str">
        <x:v>0</x:v>
      </x:c>
      <x:c r="BA310" s="9" t="str">
        <x:v>grid_cells_within_BIG_polygon</x:v>
      </x:c>
      <x:c r="BB310" s="6" t="str">
        <x:v>7</x:v>
      </x:c>
      <x:c r="BC310" s="6" t="str">
        <x:v>25</x:v>
      </x:c>
      <x:c r="BD310" s="6" t="str">
        <x:v>25</x:v>
      </x:c>
      <x:c r="BE310" s="6" t="str">
        <x:v>2</x:v>
      </x:c>
      <x:c r="BF310" s="6" t="str">
        <x:v>2</x:v>
      </x:c>
      <x:c r="BG310" s="6" t="str">
        <x:v>13</x:v>
      </x:c>
      <x:c r="BH310" s="6" t="str">
        <x:v>1</x:v>
      </x:c>
      <x:c r="BI310" s="6" t="str">
        <x:v>7</x:v>
      </x:c>
      <x:c r="BJ310" s="6" t="str">
        <x:v>0</x:v>
      </x:c>
      <x:c r="BK310" s="6" t="str">
        <x:v>0</x:v>
      </x:c>
      <x:c r="BL310" s="6" t="str">
        <x:v>0</x:v>
      </x:c>
      <x:c r="BM310" s="6" t="str">
        <x:v>0</x:v>
      </x:c>
      <x:c r="BN310" s="6" t="str">
        <x:v>25</x:v>
      </x:c>
      <x:c r="BO310" s="6" t="str">
        <x:v>1.0</x:v>
      </x:c>
      <x:c r="BP310" s="6" t="str">
        <x:v>1</x:v>
      </x:c>
      <x:c r="BQ310" s="6" t="str"/>
      <x:c r="BR310" s="6" t="str">
        <x:v>0</x:v>
      </x:c>
      <x:c r="BS310" s="6" t="str">
        <x:v>246.0</x:v>
      </x:c>
      <x:c r="BT310" s="6" t="str">
        <x:v>25</x:v>
      </x:c>
      <x:c r="BU310" s="6" t="str">
        <x:v>3.0</x:v>
      </x:c>
      <x:c r="BV310" s="6" t="str">
        <x:v>1</x:v>
      </x:c>
      <x:c r="BW310" s="9" t="str">
        <x:v>operational_snapshot_annual_totals_may_differ</x:v>
      </x:c>
      <x:c r="BX310" s="9" t="str">
        <x:v>official_live_dashboard_snapshot_subject_to_revision</x:v>
      </x:c>
      <x:c r="BY310" s="9" t="str">
        <x:v>https://tbdashboard.sitb.id/ss_data_tbc03so_2025_provinsi_bulanan_list.php</x:v>
      </x:c>
      <x:c r="BZ310" s="6" t="n">
        <x:v>46246.610671296294</x:v>
      </x:c>
    </x:row>
    <x:row r="311" ht="18" customHeight="1">
      <x:c r="A311" s="6" t="str">
        <x:v>33</x:v>
      </x:c>
      <x:c r="B311" s="6" t="str">
        <x:v>JAWA TENGAH</x:v>
      </x:c>
      <x:c r="C311" s="6" t="str">
        <x:v>2025</x:v>
      </x:c>
      <x:c r="D311" s="6" t="str">
        <x:v>10</x:v>
      </x:c>
      <x:c r="E311" s="6" t="str">
        <x:v>2025-10</x:v>
      </x:c>
      <x:c r="F311" s="6" t="str">
        <x:v>8600</x:v>
      </x:c>
      <x:c r="G311" s="6" t="str">
        <x:v>1954</x:v>
      </x:c>
      <x:c r="H311" s="6" t="str">
        <x:v>4507</x:v>
      </x:c>
      <x:c r="I311" s="6" t="str">
        <x:v>531</x:v>
      </x:c>
      <x:c r="J311" s="6" t="str">
        <x:v>344</x:v>
      </x:c>
      <x:c r="K311" s="6" t="str">
        <x:v>16</x:v>
      </x:c>
      <x:c r="L311" s="6" t="str">
        <x:v>4</x:v>
      </x:c>
      <x:c r="M311" s="6" t="str">
        <x:v>1244</x:v>
      </x:c>
      <x:c r="N311" s="6" t="str">
        <x:v>8600</x:v>
      </x:c>
      <x:c r="O311" s="6" t="str">
        <x:v>0</x:v>
      </x:c>
      <x:c r="P311" s="10" t="n">
        <x:f>F311-M311</x:f>
        <x:v>7356</x:v>
      </x:c>
      <x:c r="Q311" s="11" t="n">
        <x:f>IFERROR(M311/F311,"")</x:f>
        <x:v>0.14465116279069767</x:v>
      </x:c>
      <x:c r="R311" s="10" t="n">
        <x:f>G311+H311</x:f>
        <x:v>6461</x:v>
      </x:c>
      <x:c r="S311" s="11" t="n">
        <x:f>IFERROR(R311/F311,"")</x:f>
        <x:v>0.7512790697674419</x:v>
      </x:c>
      <x:c r="T311" s="11" t="n">
        <x:f>IFERROR(R311/P311,"")</x:f>
        <x:v>0.8783306144643828</x:v>
      </x:c>
      <x:c r="U311" s="10" t="n">
        <x:f>I311+J311+K311</x:f>
        <x:v>891</x:v>
      </x:c>
      <x:c r="V311" s="11" t="n">
        <x:f>IFERROR(U311/P311,"")</x:f>
        <x:v>0.12112561174551387</x:v>
      </x:c>
      <x:c r="W311" s="9" t="str">
        <x:v>provisional_gt_5pct_pending</x:v>
      </x:c>
      <x:c r="X311" s="12" t="n">
        <x:f>IFERROR(F311/Z311*100000,"")</x:f>
        <x:v>22.493127826353053</x:v>
      </x:c>
      <x:c r="Y311" s="13" t="n">
        <x:f>LN(Z311)</x:f>
        <x:v>17.459233114594543</x:v>
      </x:c>
      <x:c r="Z311" s="6" t="str">
        <x:v>38233900</x:v>
      </x:c>
      <x:c r="AA311" s="6" t="str">
        <x:v>1113.0</x:v>
      </x:c>
      <x:c r="AB311" s="9" t="str">
        <x:v>2025-06-30</x:v>
      </x:c>
      <x:c r="AC311" s="8" t="str">
        <x:v>87.5</x:v>
      </x:c>
      <x:c r="AD311" s="9" t="str">
        <x:v>2025 (Susenas)</x:v>
      </x:c>
      <x:c r="AE311" s="8" t="str">
        <x:v>9.48</x:v>
      </x:c>
      <x:c r="AF311" s="9" t="str">
        <x:v>Maret 2025 (Susenas)</x:v>
      </x:c>
      <x:c r="AG311" s="6" t="str">
        <x:v>26.230593104502617</x:v>
      </x:c>
      <x:c r="AH311" s="8" t="str">
        <x:v>83.50078897975386</x:v>
      </x:c>
      <x:c r="AI311" s="6" t="str">
        <x:v>370.16090611475727</x:v>
      </x:c>
      <x:c r="AJ311" s="6" t="str">
        <x:v>-0.3761648353461879</x:v>
      </x:c>
      <x:c r="AK311" s="8" t="str">
        <x:v>-0.4694978420654271</x:v>
      </x:c>
      <x:c r="AL311" s="6" t="str">
        <x:v>-0.5173094301540628</x:v>
      </x:c>
      <x:c r="AM311" s="6" t="str">
        <x:v>0.525397016033527</x:v>
      </x:c>
      <x:c r="AN311" s="6" t="str">
        <x:v>-0.1538034187286549</x:v>
      </x:c>
      <x:c r="AO311" s="6" t="str">
        <x:v>9.686155212984758</x:v>
      </x:c>
      <x:c r="AP311" s="8" t="str">
        <x:v>1.2208213641367665</x:v>
      </x:c>
      <x:c r="AQ311" s="6" t="str">
        <x:v>1.674649939635094</x:v>
      </x:c>
      <x:c r="AR311" s="6" t="str">
        <x:v>1.596633114807354</x:v>
      </x:c>
      <x:c r="AS311" s="6" t="str">
        <x:v>1.4973681395264054</x:v>
      </x:c>
      <x:c r="AT311" s="6" t="str">
        <x:v>227.7488560716915</x:v>
      </x:c>
      <x:c r="AU311" s="8" t="str">
        <x:v>2.1589075933656536</x:v>
      </x:c>
      <x:c r="AV311" s="6" t="str">
        <x:v>1.8149019853103785</x:v>
      </x:c>
      <x:c r="AW311" s="6" t="str">
        <x:v>2.7734172745491814</x:v>
      </x:c>
      <x:c r="AX311" s="6" t="str">
        <x:v>2.2490756177417377</x:v>
      </x:c>
      <x:c r="AY311" s="6" t="str">
        <x:v>1</x:v>
      </x:c>
      <x:c r="AZ311" s="6" t="str">
        <x:v>0</x:v>
      </x:c>
      <x:c r="BA311" s="9" t="str">
        <x:v>grid_cells_within_BIG_polygon</x:v>
      </x:c>
      <x:c r="BB311" s="6" t="str">
        <x:v>7</x:v>
      </x:c>
      <x:c r="BC311" s="6" t="str">
        <x:v>41</x:v>
      </x:c>
      <x:c r="BD311" s="6" t="str">
        <x:v>41</x:v>
      </x:c>
      <x:c r="BE311" s="6" t="str">
        <x:v>11</x:v>
      </x:c>
      <x:c r="BF311" s="6" t="str">
        <x:v>4</x:v>
      </x:c>
      <x:c r="BG311" s="6" t="str">
        <x:v>23</x:v>
      </x:c>
      <x:c r="BH311" s="6" t="str">
        <x:v>0</x:v>
      </x:c>
      <x:c r="BI311" s="6" t="str">
        <x:v>3</x:v>
      </x:c>
      <x:c r="BJ311" s="6" t="str">
        <x:v>0</x:v>
      </x:c>
      <x:c r="BK311" s="6" t="str">
        <x:v>0</x:v>
      </x:c>
      <x:c r="BL311" s="6" t="str">
        <x:v>0</x:v>
      </x:c>
      <x:c r="BM311" s="6" t="str">
        <x:v>0</x:v>
      </x:c>
      <x:c r="BN311" s="6" t="str">
        <x:v>41</x:v>
      </x:c>
      <x:c r="BO311" s="6" t="str">
        <x:v>5.0</x:v>
      </x:c>
      <x:c r="BP311" s="6" t="str">
        <x:v>2</x:v>
      </x:c>
      <x:c r="BQ311" s="6" t="str">
        <x:v>4.0</x:v>
      </x:c>
      <x:c r="BR311" s="6" t="str">
        <x:v>4</x:v>
      </x:c>
      <x:c r="BS311" s="6" t="str">
        <x:v>827.0</x:v>
      </x:c>
      <x:c r="BT311" s="6" t="str">
        <x:v>41</x:v>
      </x:c>
      <x:c r="BU311" s="6" t="str">
        <x:v>100370.0</x:v>
      </x:c>
      <x:c r="BV311" s="6" t="str">
        <x:v>8</x:v>
      </x:c>
      <x:c r="BW311" s="9" t="str">
        <x:v>operational_snapshot_annual_totals_may_differ</x:v>
      </x:c>
      <x:c r="BX311" s="9" t="str">
        <x:v>official_live_dashboard_snapshot_subject_to_revision</x:v>
      </x:c>
      <x:c r="BY311" s="9" t="str">
        <x:v>https://tbdashboard.sitb.id/ss_data_tbc03so_2025_provinsi_bulanan_list.php</x:v>
      </x:c>
      <x:c r="BZ311" s="6" t="n">
        <x:v>46246.610671296294</x:v>
      </x:c>
    </x:row>
    <x:row r="312" ht="18" customHeight="1">
      <x:c r="A312" s="6" t="str">
        <x:v>33</x:v>
      </x:c>
      <x:c r="B312" s="6" t="str">
        <x:v>JAWA TENGAH</x:v>
      </x:c>
      <x:c r="C312" s="6" t="str">
        <x:v>2025</x:v>
      </x:c>
      <x:c r="D312" s="6" t="str">
        <x:v>11</x:v>
      </x:c>
      <x:c r="E312" s="6" t="str">
        <x:v>2025-11</x:v>
      </x:c>
      <x:c r="F312" s="6" t="str">
        <x:v>7657</x:v>
      </x:c>
      <x:c r="G312" s="6" t="str">
        <x:v>1565</x:v>
      </x:c>
      <x:c r="H312" s="6" t="str">
        <x:v>3712</x:v>
      </x:c>
      <x:c r="I312" s="6" t="str">
        <x:v>462</x:v>
      </x:c>
      <x:c r="J312" s="6" t="str">
        <x:v>316</x:v>
      </x:c>
      <x:c r="K312" s="6" t="str">
        <x:v>20</x:v>
      </x:c>
      <x:c r="L312" s="6" t="str">
        <x:v>3</x:v>
      </x:c>
      <x:c r="M312" s="6" t="str">
        <x:v>1579</x:v>
      </x:c>
      <x:c r="N312" s="6" t="str">
        <x:v>7657</x:v>
      </x:c>
      <x:c r="O312" s="6" t="str">
        <x:v>0</x:v>
      </x:c>
      <x:c r="P312" s="10" t="n">
        <x:f>F312-M312</x:f>
        <x:v>6078</x:v>
      </x:c>
      <x:c r="Q312" s="11" t="n">
        <x:f>IFERROR(M312/F312,"")</x:f>
        <x:v>0.20621653389055766</x:v>
      </x:c>
      <x:c r="R312" s="10" t="n">
        <x:f>G312+H312</x:f>
        <x:v>5277</x:v>
      </x:c>
      <x:c r="S312" s="11" t="n">
        <x:f>IFERROR(R312/F312,"")</x:f>
        <x:v>0.689173305472117</x:v>
      </x:c>
      <x:c r="T312" s="11" t="n">
        <x:f>IFERROR(R312/P312,"")</x:f>
        <x:v>0.868213228035538</x:v>
      </x:c>
      <x:c r="U312" s="10" t="n">
        <x:f>I312+J312+K312</x:f>
        <x:v>798</x:v>
      </x:c>
      <x:c r="V312" s="11" t="n">
        <x:f>IFERROR(U312/P312,"")</x:f>
        <x:v>0.13129318854886476</x:v>
      </x:c>
      <x:c r="W312" s="9" t="str">
        <x:v>provisional_gt_5pct_pending</x:v>
      </x:c>
      <x:c r="X312" s="12" t="n">
        <x:f>IFERROR(F312/Z312*100000,"")</x:f>
        <x:v>20.026730205393644</x:v>
      </x:c>
      <x:c r="Y312" s="13" t="n">
        <x:f>LN(Z312)</x:f>
        <x:v>17.459233114594543</x:v>
      </x:c>
      <x:c r="Z312" s="6" t="str">
        <x:v>38233900</x:v>
      </x:c>
      <x:c r="AA312" s="6" t="str">
        <x:v>1113.0</x:v>
      </x:c>
      <x:c r="AB312" s="9" t="str">
        <x:v>2025-06-30</x:v>
      </x:c>
      <x:c r="AC312" s="8" t="str">
        <x:v>87.5</x:v>
      </x:c>
      <x:c r="AD312" s="9" t="str">
        <x:v>2025 (Susenas)</x:v>
      </x:c>
      <x:c r="AE312" s="8" t="str">
        <x:v>9.48</x:v>
      </x:c>
      <x:c r="AF312" s="9" t="str">
        <x:v>Maret 2025 (Susenas)</x:v>
      </x:c>
      <x:c r="AG312" s="6" t="str">
        <x:v>25.453308880969523</x:v>
      </x:c>
      <x:c r="AH312" s="8" t="str">
        <x:v>87.64735282310178</x:v>
      </x:c>
      <x:c r="AI312" s="6" t="str">
        <x:v>318.9735758062452</x:v>
      </x:c>
      <x:c r="AJ312" s="6" t="str">
        <x:v>-0.7007778341148878</x:v>
      </x:c>
      <x:c r="AK312" s="8" t="str">
        <x:v>-0.8977743425589166</x:v>
      </x:c>
      <x:c r="AL312" s="6" t="str">
        <x:v>-0.4694978420654271</x:v>
      </x:c>
      <x:c r="AM312" s="6" t="str">
        <x:v>-0.5173094301540628</x:v>
      </x:c>
      <x:c r="AN312" s="6" t="str">
        <x:v>-0.6281938715928027</x:v>
      </x:c>
      <x:c r="AO312" s="6" t="str">
        <x:v>6.519485042261238</x:v>
      </x:c>
      <x:c r="AP312" s="8" t="str">
        <x:v>1.2428400605577576</x:v>
      </x:c>
      <x:c r="AQ312" s="6" t="str">
        <x:v>1.2208213641367665</x:v>
      </x:c>
      <x:c r="AR312" s="6" t="str">
        <x:v>1.674649939635094</x:v>
      </x:c>
      <x:c r="AS312" s="6" t="str">
        <x:v>1.3794371214432062</x:v>
      </x:c>
      <x:c r="AT312" s="6" t="str">
        <x:v>86.1239741173357</x:v>
      </x:c>
      <x:c r="AU312" s="8" t="str">
        <x:v>1.1879470156978285</x:v>
      </x:c>
      <x:c r="AV312" s="6" t="str">
        <x:v>2.1589075933656536</x:v>
      </x:c>
      <x:c r="AW312" s="6" t="str">
        <x:v>1.8149019853103785</x:v>
      </x:c>
      <x:c r="AX312" s="6" t="str">
        <x:v>1.7205855314579537</x:v>
      </x:c>
      <x:c r="AY312" s="6" t="str">
        <x:v>1</x:v>
      </x:c>
      <x:c r="AZ312" s="6" t="str">
        <x:v>0</x:v>
      </x:c>
      <x:c r="BA312" s="9" t="str">
        <x:v>grid_cells_within_BIG_polygon</x:v>
      </x:c>
      <x:c r="BB312" s="6" t="str">
        <x:v>7</x:v>
      </x:c>
      <x:c r="BC312" s="6" t="str">
        <x:v>37</x:v>
      </x:c>
      <x:c r="BD312" s="6" t="str">
        <x:v>37</x:v>
      </x:c>
      <x:c r="BE312" s="6" t="str">
        <x:v>19</x:v>
      </x:c>
      <x:c r="BF312" s="6" t="str">
        <x:v>9</x:v>
      </x:c>
      <x:c r="BG312" s="6" t="str">
        <x:v>9</x:v>
      </x:c>
      <x:c r="BH312" s="6" t="str">
        <x:v>0</x:v>
      </x:c>
      <x:c r="BI312" s="6" t="str">
        <x:v>0</x:v>
      </x:c>
      <x:c r="BJ312" s="6" t="str">
        <x:v>0</x:v>
      </x:c>
      <x:c r="BK312" s="6" t="str">
        <x:v>0</x:v>
      </x:c>
      <x:c r="BL312" s="6" t="str">
        <x:v>0</x:v>
      </x:c>
      <x:c r="BM312" s="6" t="str">
        <x:v>0</x:v>
      </x:c>
      <x:c r="BN312" s="6" t="str">
        <x:v>37</x:v>
      </x:c>
      <x:c r="BO312" s="6" t="str">
        <x:v>41.0</x:v>
      </x:c>
      <x:c r="BP312" s="6" t="str">
        <x:v>3</x:v>
      </x:c>
      <x:c r="BQ312" s="6" t="str">
        <x:v>82.0</x:v>
      </x:c>
      <x:c r="BR312" s="6" t="str">
        <x:v>4</x:v>
      </x:c>
      <x:c r="BS312" s="6" t="str">
        <x:v>502.0</x:v>
      </x:c>
      <x:c r="BT312" s="6" t="str">
        <x:v>37</x:v>
      </x:c>
      <x:c r="BU312" s="6" t="str">
        <x:v>9058.0</x:v>
      </x:c>
      <x:c r="BV312" s="6" t="str">
        <x:v>17</x:v>
      </x:c>
      <x:c r="BW312" s="9" t="str">
        <x:v>operational_snapshot_annual_totals_may_differ</x:v>
      </x:c>
      <x:c r="BX312" s="9" t="str">
        <x:v>official_live_dashboard_snapshot_subject_to_revision</x:v>
      </x:c>
      <x:c r="BY312" s="9" t="str">
        <x:v>https://tbdashboard.sitb.id/ss_data_tbc03so_2025_provinsi_bulanan_list.php</x:v>
      </x:c>
      <x:c r="BZ312" s="6" t="n">
        <x:v>46246.610671296294</x:v>
      </x:c>
    </x:row>
    <x:row r="313" ht="18" customHeight="1">
      <x:c r="A313" s="6" t="str">
        <x:v>33</x:v>
      </x:c>
      <x:c r="B313" s="6" t="str">
        <x:v>JAWA TENGAH</x:v>
      </x:c>
      <x:c r="C313" s="6" t="str">
        <x:v>2025</x:v>
      </x:c>
      <x:c r="D313" s="6" t="str">
        <x:v>12</x:v>
      </x:c>
      <x:c r="E313" s="6" t="str">
        <x:v>2025-12</x:v>
      </x:c>
      <x:c r="F313" s="6" t="str">
        <x:v>7414</x:v>
      </x:c>
      <x:c r="G313" s="6" t="str">
        <x:v>1381</x:v>
      </x:c>
      <x:c r="H313" s="6" t="str">
        <x:v>3126</x:v>
      </x:c>
      <x:c r="I313" s="6" t="str">
        <x:v>358</x:v>
      </x:c>
      <x:c r="J313" s="6" t="str">
        <x:v>337</x:v>
      </x:c>
      <x:c r="K313" s="6" t="str">
        <x:v>14</x:v>
      </x:c>
      <x:c r="L313" s="6" t="str">
        <x:v>12</x:v>
      </x:c>
      <x:c r="M313" s="6" t="str">
        <x:v>2186</x:v>
      </x:c>
      <x:c r="N313" s="6" t="str">
        <x:v>7414</x:v>
      </x:c>
      <x:c r="O313" s="6" t="str">
        <x:v>0</x:v>
      </x:c>
      <x:c r="P313" s="10" t="n">
        <x:f>F313-M313</x:f>
        <x:v>5228</x:v>
      </x:c>
      <x:c r="Q313" s="11" t="n">
        <x:f>IFERROR(M313/F313,"")</x:f>
        <x:v>0.2948475856487726</x:v>
      </x:c>
      <x:c r="R313" s="10" t="n">
        <x:f>G313+H313</x:f>
        <x:v>4507</x:v>
      </x:c>
      <x:c r="S313" s="11" t="n">
        <x:f>IFERROR(R313/F313,"")</x:f>
        <x:v>0.607903965470731</x:v>
      </x:c>
      <x:c r="T313" s="11" t="n">
        <x:f>IFERROR(R313/P313,"")</x:f>
        <x:v>0.862088752869166</x:v>
      </x:c>
      <x:c r="U313" s="10" t="n">
        <x:f>I313+J313+K313</x:f>
        <x:v>709</x:v>
      </x:c>
      <x:c r="V313" s="11" t="n">
        <x:f>IFERROR(U313/P313,"")</x:f>
        <x:v>0.1356159143075746</x:v>
      </x:c>
      <x:c r="W313" s="9" t="str">
        <x:v>provisional_gt_5pct_pending</x:v>
      </x:c>
      <x:c r="X313" s="12" t="n">
        <x:f>IFERROR(F313/Z313*100000,"")</x:f>
        <x:v>19.39116857030018</x:v>
      </x:c>
      <x:c r="Y313" s="13" t="n">
        <x:f>LN(Z313)</x:f>
        <x:v>17.459233114594543</x:v>
      </x:c>
      <x:c r="Z313" s="6" t="str">
        <x:v>38233900</x:v>
      </x:c>
      <x:c r="AA313" s="6" t="str">
        <x:v>1113.0</x:v>
      </x:c>
      <x:c r="AB313" s="9" t="str">
        <x:v>2025-06-30</x:v>
      </x:c>
      <x:c r="AC313" s="8" t="str">
        <x:v>87.5</x:v>
      </x:c>
      <x:c r="AD313" s="9" t="str">
        <x:v>2025 (Susenas)</x:v>
      </x:c>
      <x:c r="AE313" s="8" t="str">
        <x:v>9.48</x:v>
      </x:c>
      <x:c r="AF313" s="9" t="str">
        <x:v>Maret 2025 (Susenas)</x:v>
      </x:c>
      <x:c r="AG313" s="6" t="str">
        <x:v>25.533243861491968</x:v>
      </x:c>
      <x:c r="AH313" s="8" t="str">
        <x:v>87.38778100014913</x:v>
      </x:c>
      <x:c r="AI313" s="6" t="str">
        <x:v>312.304395181997</x:v>
      </x:c>
      <x:c r="AJ313" s="6" t="str">
        <x:v>0.0862947445377102</x:v>
      </x:c>
      <x:c r="AK313" s="8" t="str">
        <x:v>0.1757426680415735</x:v>
      </x:c>
      <x:c r="AL313" s="6" t="str">
        <x:v>-0.8977743425589166</x:v>
      </x:c>
      <x:c r="AM313" s="6" t="str">
        <x:v>-0.4694978420654271</x:v>
      </x:c>
      <x:c r="AN313" s="6" t="str">
        <x:v>-0.3971765055275906</x:v>
      </x:c>
      <x:c r="AO313" s="6" t="str">
        <x:v>1.7898229777196375</x:v>
      </x:c>
      <x:c r="AP313" s="8" t="str">
        <x:v>0.8225038603439973</x:v>
      </x:c>
      <x:c r="AQ313" s="6" t="str">
        <x:v>1.2428400605577576</x:v>
      </x:c>
      <x:c r="AR313" s="6" t="str">
        <x:v>1.2208213641367665</x:v>
      </x:c>
      <x:c r="AS313" s="6" t="str">
        <x:v>1.095388428346174</x:v>
      </x:c>
      <x:c r="AT313" s="6" t="str">
        <x:v>25.671770604556627</x:v>
      </x:c>
      <x:c r="AU313" s="8" t="str">
        <x:v>0.3586851272962797</x:v>
      </x:c>
      <x:c r="AV313" s="6" t="str">
        <x:v>1.1879470156978285</x:v>
      </x:c>
      <x:c r="AW313" s="6" t="str">
        <x:v>2.1589075933656536</x:v>
      </x:c>
      <x:c r="AX313" s="6" t="str">
        <x:v>1.235179912119921</x:v>
      </x:c>
      <x:c r="AY313" s="6" t="str">
        <x:v>0</x:v>
      </x:c>
      <x:c r="AZ313" s="6" t="str">
        <x:v>0</x:v>
      </x:c>
      <x:c r="BA313" s="9" t="str">
        <x:v>grid_cells_within_BIG_polygon</x:v>
      </x:c>
      <x:c r="BB313" s="6" t="str">
        <x:v>7</x:v>
      </x:c>
      <x:c r="BC313" s="6" t="str">
        <x:v>36</x:v>
      </x:c>
      <x:c r="BD313" s="6" t="str">
        <x:v>36</x:v>
      </x:c>
      <x:c r="BE313" s="6" t="str">
        <x:v>18</x:v>
      </x:c>
      <x:c r="BF313" s="6" t="str">
        <x:v>4</x:v>
      </x:c>
      <x:c r="BG313" s="6" t="str">
        <x:v>14</x:v>
      </x:c>
      <x:c r="BH313" s="6" t="str">
        <x:v>0</x:v>
      </x:c>
      <x:c r="BI313" s="6" t="str">
        <x:v>0</x:v>
      </x:c>
      <x:c r="BJ313" s="6" t="str">
        <x:v>0</x:v>
      </x:c>
      <x:c r="BK313" s="6" t="str">
        <x:v>0</x:v>
      </x:c>
      <x:c r="BL313" s="6" t="str">
        <x:v>0</x:v>
      </x:c>
      <x:c r="BM313" s="6" t="str">
        <x:v>0</x:v>
      </x:c>
      <x:c r="BN313" s="6" t="str">
        <x:v>36</x:v>
      </x:c>
      <x:c r="BO313" s="6" t="str"/>
      <x:c r="BP313" s="6" t="str">
        <x:v>0</x:v>
      </x:c>
      <x:c r="BQ313" s="6" t="str">
        <x:v>1.0</x:v>
      </x:c>
      <x:c r="BR313" s="6" t="str">
        <x:v>1</x:v>
      </x:c>
      <x:c r="BS313" s="6" t="str">
        <x:v>290.0</x:v>
      </x:c>
      <x:c r="BT313" s="6" t="str">
        <x:v>36</x:v>
      </x:c>
      <x:c r="BU313" s="6" t="str">
        <x:v>2197.0</x:v>
      </x:c>
      <x:c r="BV313" s="6" t="str">
        <x:v>20</x:v>
      </x:c>
      <x:c r="BW313" s="9" t="str">
        <x:v>operational_snapshot_annual_totals_may_differ</x:v>
      </x:c>
      <x:c r="BX313" s="9" t="str">
        <x:v>official_live_dashboard_snapshot_subject_to_revision</x:v>
      </x:c>
      <x:c r="BY313" s="9" t="str">
        <x:v>https://tbdashboard.sitb.id/ss_data_tbc03so_2025_provinsi_bulanan_list.php</x:v>
      </x:c>
      <x:c r="BZ313" s="6" t="n">
        <x:v>46246.610671296294</x:v>
      </x:c>
    </x:row>
    <x:row r="314" ht="18" customHeight="1">
      <x:c r="A314" s="6" t="str">
        <x:v>34</x:v>
      </x:c>
      <x:c r="B314" s="6" t="str">
        <x:v>DI YOGYAKARTA</x:v>
      </x:c>
      <x:c r="C314" s="6" t="str">
        <x:v>2024</x:v>
      </x:c>
      <x:c r="D314" s="6" t="str">
        <x:v>1</x:v>
      </x:c>
      <x:c r="E314" s="6" t="str">
        <x:v>2024-01</x:v>
      </x:c>
      <x:c r="F314" s="6" t="str">
        <x:v>507</x:v>
      </x:c>
      <x:c r="G314" s="6" t="str">
        <x:v>84</x:v>
      </x:c>
      <x:c r="H314" s="6" t="str">
        <x:v>363</x:v>
      </x:c>
      <x:c r="I314" s="6" t="str">
        <x:v>27</x:v>
      </x:c>
      <x:c r="J314" s="6" t="str">
        <x:v>28</x:v>
      </x:c>
      <x:c r="K314" s="6" t="str">
        <x:v>5</x:v>
      </x:c>
      <x:c r="L314" s="6" t="str">
        <x:v>0</x:v>
      </x:c>
      <x:c r="M314" s="6" t="str">
        <x:v>0</x:v>
      </x:c>
      <x:c r="N314" s="6" t="str">
        <x:v>507</x:v>
      </x:c>
      <x:c r="O314" s="6" t="str">
        <x:v>0</x:v>
      </x:c>
      <x:c r="P314" s="10" t="n">
        <x:f>F314-M314</x:f>
        <x:v>507</x:v>
      </x:c>
      <x:c r="Q314" s="11" t="n">
        <x:f>IFERROR(M314/F314,"")</x:f>
        <x:v>0</x:v>
      </x:c>
      <x:c r="R314" s="10" t="n">
        <x:f>G314+H314</x:f>
        <x:v>447</x:v>
      </x:c>
      <x:c r="S314" s="11" t="n">
        <x:f>IFERROR(R314/F314,"")</x:f>
        <x:v>0.8816568047337278</x:v>
      </x:c>
      <x:c r="T314" s="11" t="n">
        <x:f>IFERROR(R314/P314,"")</x:f>
        <x:v>0.8816568047337278</x:v>
      </x:c>
      <x:c r="U314" s="10" t="n">
        <x:f>I314+J314+K314</x:f>
        <x:v>60</x:v>
      </x:c>
      <x:c r="V314" s="11" t="n">
        <x:f>IFERROR(U314/P314,"")</x:f>
        <x:v>0.11834319526627218</x:v>
      </x:c>
      <x:c r="W314" s="9" t="str">
        <x:v>mature_le_5pct_pending</x:v>
      </x:c>
      <x:c r="X314" s="12" t="n">
        <x:f>IFERROR(F314/Z314*100000,"")</x:f>
        <x:v>13.485835882431175</x:v>
      </x:c>
      <x:c r="Y314" s="13" t="n">
        <x:f>LN(Z314)</x:f>
        <x:v>15.139796527800218</x:v>
      </x:c>
      <x:c r="Z314" s="6" t="str">
        <x:v>3759500</x:v>
      </x:c>
      <x:c r="AA314" s="6" t="str">
        <x:v>1186.0</x:v>
      </x:c>
      <x:c r="AB314" s="9" t="str">
        <x:v>2024-06-30</x:v>
      </x:c>
      <x:c r="AC314" s="8" t="str">
        <x:v>96.7</x:v>
      </x:c>
      <x:c r="AD314" s="9" t="str">
        <x:v>2024 (Susenas)</x:v>
      </x:c>
      <x:c r="AE314" s="8" t="str">
        <x:v>10.83</x:v>
      </x:c>
      <x:c r="AF314" s="9" t="str">
        <x:v>Maret 2024 (Susenas)</x:v>
      </x:c>
      <x:c r="AG314" s="6" t="str">
        <x:v>26.89</x:v>
      </x:c>
      <x:c r="AH314" s="8" t="str">
        <x:v>86.4</x:v>
      </x:c>
      <x:c r="AI314" s="6" t="str">
        <x:v>338.21</x:v>
      </x:c>
      <x:c r="AJ314" s="6" t="str">
        <x:v>0.963000000000001</x:v>
      </x:c>
      <x:c r="AK314" s="8" t="str">
        <x:v>2.263441173021955</x:v>
      </x:c>
      <x:c r="AL314" s="6" t="str">
        <x:v>1.1611334226688086</x:v>
      </x:c>
      <x:c r="AM314" s="6" t="str">
        <x:v>1.713527968803953</x:v>
      </x:c>
      <x:c r="AN314" s="6" t="str">
        <x:v>1.7127008548315723</x:v>
      </x:c>
      <x:c r="AO314" s="6" t="str">
        <x:v>-0.1569999999999964</x:v>
      </x:c>
      <x:c r="AP314" s="8" t="str">
        <x:v>-0.0824089410300411</x:v>
      </x:c>
      <x:c r="AQ314" s="6" t="str">
        <x:v>-1.0477875990719323</x:v>
      </x:c>
      <x:c r="AR314" s="6" t="str">
        <x:v>-0.8332717560506113</x:v>
      </x:c>
      <x:c r="AS314" s="6" t="str">
        <x:v>-0.6544894320508621</x:v>
      </x:c>
      <x:c r="AT314" s="6" t="str">
        <x:v>4.009333333333302</x:v>
      </x:c>
      <x:c r="AU314" s="8" t="str">
        <x:v>0.0319875180690421</x:v>
      </x:c>
      <x:c r="AV314" s="6" t="str">
        <x:v>0.210363510115121</x:v>
      </x:c>
      <x:c r="AW314" s="6" t="str">
        <x:v>-0.1652184329760817</x:v>
      </x:c>
      <x:c r="AX314" s="6" t="str">
        <x:v>0.0257108650693605</x:v>
      </x:c>
      <x:c r="AY314" s="6" t="str">
        <x:v>0</x:v>
      </x:c>
      <x:c r="AZ314" s="6" t="str">
        <x:v>1</x:v>
      </x:c>
      <x:c r="BA314" s="9" t="str">
        <x:v>grid_cells_within_BIG_polygon</x:v>
      </x:c>
      <x:c r="BB314" s="6" t="str">
        <x:v>1</x:v>
      </x:c>
      <x:c r="BC314" s="6" t="str">
        <x:v>26</x:v>
      </x:c>
      <x:c r="BD314" s="6" t="str">
        <x:v>26</x:v>
      </x:c>
      <x:c r="BE314" s="6" t="str">
        <x:v>0</x:v>
      </x:c>
      <x:c r="BF314" s="6" t="str">
        <x:v>0</x:v>
      </x:c>
      <x:c r="BG314" s="6" t="str">
        <x:v>26</x:v>
      </x:c>
      <x:c r="BH314" s="6" t="str">
        <x:v>0</x:v>
      </x:c>
      <x:c r="BI314" s="6" t="str">
        <x:v>0</x:v>
      </x:c>
      <x:c r="BJ314" s="6" t="str">
        <x:v>0</x:v>
      </x:c>
      <x:c r="BK314" s="6" t="str">
        <x:v>0</x:v>
      </x:c>
      <x:c r="BL314" s="6" t="str">
        <x:v>0</x:v>
      </x:c>
      <x:c r="BM314" s="6" t="str">
        <x:v>0</x:v>
      </x:c>
      <x:c r="BN314" s="6" t="str">
        <x:v>26</x:v>
      </x:c>
      <x:c r="BO314" s="6" t="str">
        <x:v>2.0</x:v>
      </x:c>
      <x:c r="BP314" s="6" t="str">
        <x:v>4</x:v>
      </x:c>
      <x:c r="BQ314" s="6" t="str">
        <x:v>3.0</x:v>
      </x:c>
      <x:c r="BR314" s="6" t="str">
        <x:v>6</x:v>
      </x:c>
      <x:c r="BS314" s="6" t="str">
        <x:v>633.0</x:v>
      </x:c>
      <x:c r="BT314" s="6" t="str">
        <x:v>26</x:v>
      </x:c>
      <x:c r="BU314" s="6" t="str"/>
      <x:c r="BV314" s="6" t="str">
        <x:v>0</x:v>
      </x:c>
      <x:c r="BW314" s="9" t="str">
        <x:v>operational_snapshot_annual_totals_may_differ</x:v>
      </x:c>
      <x:c r="BX314" s="9" t="str">
        <x:v>official_live_dashboard_snapshot_subject_to_revision</x:v>
      </x:c>
      <x:c r="BY314" s="9" t="str">
        <x:v>https://tbdashboard.sitb.id/ss_data_tbc03so_2024_provinsi_bulanan_list.php</x:v>
      </x:c>
      <x:c r="BZ314" s="6" t="n">
        <x:v>46246.610671296294</x:v>
      </x:c>
    </x:row>
    <x:row r="315" ht="18" customHeight="1">
      <x:c r="A315" s="6" t="str">
        <x:v>34</x:v>
      </x:c>
      <x:c r="B315" s="6" t="str">
        <x:v>DI YOGYAKARTA</x:v>
      </x:c>
      <x:c r="C315" s="6" t="str">
        <x:v>2024</x:v>
      </x:c>
      <x:c r="D315" s="6" t="str">
        <x:v>2</x:v>
      </x:c>
      <x:c r="E315" s="6" t="str">
        <x:v>2024-02</x:v>
      </x:c>
      <x:c r="F315" s="6" t="str">
        <x:v>410</x:v>
      </x:c>
      <x:c r="G315" s="6" t="str">
        <x:v>81</x:v>
      </x:c>
      <x:c r="H315" s="6" t="str">
        <x:v>264</x:v>
      </x:c>
      <x:c r="I315" s="6" t="str">
        <x:v>30</x:v>
      </x:c>
      <x:c r="J315" s="6" t="str">
        <x:v>29</x:v>
      </x:c>
      <x:c r="K315" s="6" t="str">
        <x:v>6</x:v>
      </x:c>
      <x:c r="L315" s="6" t="str">
        <x:v>0</x:v>
      </x:c>
      <x:c r="M315" s="6" t="str">
        <x:v>0</x:v>
      </x:c>
      <x:c r="N315" s="6" t="str">
        <x:v>410</x:v>
      </x:c>
      <x:c r="O315" s="6" t="str">
        <x:v>0</x:v>
      </x:c>
      <x:c r="P315" s="10" t="n">
        <x:f>F315-M315</x:f>
        <x:v>410</x:v>
      </x:c>
      <x:c r="Q315" s="11" t="n">
        <x:f>IFERROR(M315/F315,"")</x:f>
        <x:v>0</x:v>
      </x:c>
      <x:c r="R315" s="10" t="n">
        <x:f>G315+H315</x:f>
        <x:v>345</x:v>
      </x:c>
      <x:c r="S315" s="11" t="n">
        <x:f>IFERROR(R315/F315,"")</x:f>
        <x:v>0.8414634146341463</x:v>
      </x:c>
      <x:c r="T315" s="11" t="n">
        <x:f>IFERROR(R315/P315,"")</x:f>
        <x:v>0.8414634146341463</x:v>
      </x:c>
      <x:c r="U315" s="10" t="n">
        <x:f>I315+J315+K315</x:f>
        <x:v>65</x:v>
      </x:c>
      <x:c r="V315" s="11" t="n">
        <x:f>IFERROR(U315/P315,"")</x:f>
        <x:v>0.15853658536585366</x:v>
      </x:c>
      <x:c r="W315" s="9" t="str">
        <x:v>mature_le_5pct_pending</x:v>
      </x:c>
      <x:c r="X315" s="12" t="n">
        <x:f>IFERROR(F315/Z315*100000,"")</x:f>
        <x:v>10.905705545950259</x:v>
      </x:c>
      <x:c r="Y315" s="13" t="n">
        <x:f>LN(Z315)</x:f>
        <x:v>15.139796527800218</x:v>
      </x:c>
      <x:c r="Z315" s="6" t="str">
        <x:v>3759500</x:v>
      </x:c>
      <x:c r="AA315" s="6" t="str">
        <x:v>1186.0</x:v>
      </x:c>
      <x:c r="AB315" s="9" t="str">
        <x:v>2024-06-30</x:v>
      </x:c>
      <x:c r="AC315" s="8" t="str">
        <x:v>96.7</x:v>
      </x:c>
      <x:c r="AD315" s="9" t="str">
        <x:v>2024 (Susenas)</x:v>
      </x:c>
      <x:c r="AE315" s="8" t="str">
        <x:v>10.83</x:v>
      </x:c>
      <x:c r="AF315" s="9" t="str">
        <x:v>Maret 2024 (Susenas)</x:v>
      </x:c>
      <x:c r="AG315" s="6" t="str">
        <x:v>27.18</x:v>
      </x:c>
      <x:c r="AH315" s="8" t="str">
        <x:v>85.56</x:v>
      </x:c>
      <x:c r="AI315" s="6" t="str">
        <x:v>268.25</x:v>
      </x:c>
      <x:c r="AJ315" s="6" t="str">
        <x:v>1.2233333333333327</x:v>
      </x:c>
      <x:c r="AK315" s="8" t="str">
        <x:v>2.905871005473544</x:v>
      </x:c>
      <x:c r="AL315" s="6" t="str">
        <x:v>2.263441173021955</x:v>
      </x:c>
      <x:c r="AM315" s="6" t="str">
        <x:v>1.1611334226688086</x:v>
      </x:c>
      <x:c r="AN315" s="6" t="str">
        <x:v>2.110148533721436</x:v>
      </x:c>
      <x:c r="AO315" s="6" t="str">
        <x:v>-1.6113333333333202</x:v>
      </x:c>
      <x:c r="AP315" s="8" t="str">
        <x:v>-1.0541218424284924</x:v>
      </x:c>
      <x:c r="AQ315" s="6" t="str">
        <x:v>-0.0824089410300411</x:v>
      </x:c>
      <x:c r="AR315" s="6" t="str">
        <x:v>-1.0477875990719323</x:v>
      </x:c>
      <x:c r="AS315" s="6" t="str">
        <x:v>-0.7281061275101557</x:v>
      </x:c>
      <x:c r="AT315" s="6" t="str">
        <x:v>-46.71766666666667</x:v>
      </x:c>
      <x:c r="AU315" s="8" t="str">
        <x:v>-0.4140368335412146</x:v>
      </x:c>
      <x:c r="AV315" s="6" t="str">
        <x:v>0.0319875180690421</x:v>
      </x:c>
      <x:c r="AW315" s="6" t="str">
        <x:v>0.210363510115121</x:v>
      </x:c>
      <x:c r="AX315" s="6" t="str">
        <x:v>-0.0572286017856837</x:v>
      </x:c>
      <x:c r="AY315" s="6" t="str">
        <x:v>0</x:v>
      </x:c>
      <x:c r="AZ315" s="6" t="str">
        <x:v>1</x:v>
      </x:c>
      <x:c r="BA315" s="9" t="str">
        <x:v>grid_cells_within_BIG_polygon</x:v>
      </x:c>
      <x:c r="BB315" s="6" t="str">
        <x:v>1</x:v>
      </x:c>
      <x:c r="BC315" s="6" t="str">
        <x:v>4</x:v>
      </x:c>
      <x:c r="BD315" s="6" t="str">
        <x:v>4</x:v>
      </x:c>
      <x:c r="BE315" s="6" t="str">
        <x:v>0</x:v>
      </x:c>
      <x:c r="BF315" s="6" t="str">
        <x:v>0</x:v>
      </x:c>
      <x:c r="BG315" s="6" t="str">
        <x:v>3</x:v>
      </x:c>
      <x:c r="BH315" s="6" t="str">
        <x:v>0</x:v>
      </x:c>
      <x:c r="BI315" s="6" t="str">
        <x:v>1</x:v>
      </x:c>
      <x:c r="BJ315" s="6" t="str">
        <x:v>0</x:v>
      </x:c>
      <x:c r="BK315" s="6" t="str">
        <x:v>0</x:v>
      </x:c>
      <x:c r="BL315" s="6" t="str">
        <x:v>0</x:v>
      </x:c>
      <x:c r="BM315" s="6" t="str">
        <x:v>0</x:v>
      </x:c>
      <x:c r="BN315" s="6" t="str">
        <x:v>4</x:v>
      </x:c>
      <x:c r="BO315" s="6" t="str"/>
      <x:c r="BP315" s="6" t="str">
        <x:v>0</x:v>
      </x:c>
      <x:c r="BQ315" s="6" t="str"/>
      <x:c r="BR315" s="6" t="str">
        <x:v>0</x:v>
      </x:c>
      <x:c r="BS315" s="6" t="str">
        <x:v>42.0</x:v>
      </x:c>
      <x:c r="BT315" s="6" t="str">
        <x:v>4</x:v>
      </x:c>
      <x:c r="BU315" s="6" t="str"/>
      <x:c r="BV315" s="6" t="str">
        <x:v>0</x:v>
      </x:c>
      <x:c r="BW315" s="9" t="str">
        <x:v>operational_snapshot_annual_totals_may_differ</x:v>
      </x:c>
      <x:c r="BX315" s="9" t="str">
        <x:v>official_live_dashboard_snapshot_subject_to_revision</x:v>
      </x:c>
      <x:c r="BY315" s="9" t="str">
        <x:v>https://tbdashboard.sitb.id/ss_data_tbc03so_2024_provinsi_bulanan_list.php</x:v>
      </x:c>
      <x:c r="BZ315" s="6" t="n">
        <x:v>46246.610671296294</x:v>
      </x:c>
    </x:row>
    <x:row r="316" ht="18" customHeight="1">
      <x:c r="A316" s="6" t="str">
        <x:v>34</x:v>
      </x:c>
      <x:c r="B316" s="6" t="str">
        <x:v>DI YOGYAKARTA</x:v>
      </x:c>
      <x:c r="C316" s="6" t="str">
        <x:v>2024</x:v>
      </x:c>
      <x:c r="D316" s="6" t="str">
        <x:v>3</x:v>
      </x:c>
      <x:c r="E316" s="6" t="str">
        <x:v>2024-03</x:v>
      </x:c>
      <x:c r="F316" s="6" t="str">
        <x:v>478</x:v>
      </x:c>
      <x:c r="G316" s="6" t="str">
        <x:v>92</x:v>
      </x:c>
      <x:c r="H316" s="6" t="str">
        <x:v>316</x:v>
      </x:c>
      <x:c r="I316" s="6" t="str">
        <x:v>30</x:v>
      </x:c>
      <x:c r="J316" s="6" t="str">
        <x:v>32</x:v>
      </x:c>
      <x:c r="K316" s="6" t="str">
        <x:v>6</x:v>
      </x:c>
      <x:c r="L316" s="6" t="str">
        <x:v>2</x:v>
      </x:c>
      <x:c r="M316" s="6" t="str">
        <x:v>0</x:v>
      </x:c>
      <x:c r="N316" s="6" t="str">
        <x:v>478</x:v>
      </x:c>
      <x:c r="O316" s="6" t="str">
        <x:v>0</x:v>
      </x:c>
      <x:c r="P316" s="10" t="n">
        <x:f>F316-M316</x:f>
        <x:v>478</x:v>
      </x:c>
      <x:c r="Q316" s="11" t="n">
        <x:f>IFERROR(M316/F316,"")</x:f>
        <x:v>0</x:v>
      </x:c>
      <x:c r="R316" s="10" t="n">
        <x:f>G316+H316</x:f>
        <x:v>408</x:v>
      </x:c>
      <x:c r="S316" s="11" t="n">
        <x:f>IFERROR(R316/F316,"")</x:f>
        <x:v>0.8535564853556485</x:v>
      </x:c>
      <x:c r="T316" s="11" t="n">
        <x:f>IFERROR(R316/P316,"")</x:f>
        <x:v>0.8535564853556485</x:v>
      </x:c>
      <x:c r="U316" s="10" t="n">
        <x:f>I316+J316+K316</x:f>
        <x:v>68</x:v>
      </x:c>
      <x:c r="V316" s="11" t="n">
        <x:f>IFERROR(U316/P316,"")</x:f>
        <x:v>0.14225941422594143</x:v>
      </x:c>
      <x:c r="W316" s="9" t="str">
        <x:v>mature_le_5pct_pending</x:v>
      </x:c>
      <x:c r="X316" s="12" t="n">
        <x:f>IFERROR(F316/Z316*100000,"")</x:f>
        <x:v>12.71445670966884</x:v>
      </x:c>
      <x:c r="Y316" s="13" t="n">
        <x:f>LN(Z316)</x:f>
        <x:v>15.139796527800218</x:v>
      </x:c>
      <x:c r="Z316" s="6" t="str">
        <x:v>3759500</x:v>
      </x:c>
      <x:c r="AA316" s="6" t="str">
        <x:v>1186.0</x:v>
      </x:c>
      <x:c r="AB316" s="9" t="str">
        <x:v>2024-06-30</x:v>
      </x:c>
      <x:c r="AC316" s="8" t="str">
        <x:v>96.7</x:v>
      </x:c>
      <x:c r="AD316" s="9" t="str">
        <x:v>2024 (Susenas)</x:v>
      </x:c>
      <x:c r="AE316" s="8" t="str">
        <x:v>10.83</x:v>
      </x:c>
      <x:c r="AF316" s="9" t="str">
        <x:v>Maret 2024 (Susenas)</x:v>
      </x:c>
      <x:c r="AG316" s="6" t="str">
        <x:v>26.98</x:v>
      </x:c>
      <x:c r="AH316" s="8" t="str">
        <x:v>86.84</x:v>
      </x:c>
      <x:c r="AI316" s="6" t="str">
        <x:v>391.84</x:v>
      </x:c>
      <x:c r="AJ316" s="6" t="str">
        <x:v>0.8036666666666683</x:v>
      </x:c>
      <x:c r="AK316" s="8" t="str">
        <x:v>1.8902999675353624</x:v>
      </x:c>
      <x:c r="AL316" s="6" t="str">
        <x:v>2.905871005473544</x:v>
      </x:c>
      <x:c r="AM316" s="6" t="str">
        <x:v>2.263441173021955</x:v>
      </x:c>
      <x:c r="AN316" s="6" t="str">
        <x:v>2.353204048676953</x:v>
      </x:c>
      <x:c r="AO316" s="6" t="str">
        <x:v>0.4380000000000024</x:v>
      </x:c>
      <x:c r="AP316" s="8" t="str">
        <x:v>0.2775629960544678</x:v>
      </x:c>
      <x:c r="AQ316" s="6" t="str">
        <x:v>-1.0541218424284924</x:v>
      </x:c>
      <x:c r="AR316" s="6" t="str">
        <x:v>-0.0824089410300411</x:v>
      </x:c>
      <x:c r="AS316" s="6" t="str">
        <x:v>-0.2863225958013556</x:v>
      </x:c>
      <x:c r="AT316" s="6" t="str">
        <x:v>163.83500000000004</x:v>
      </x:c>
      <x:c r="AU316" s="8" t="str">
        <x:v>1.734560303515875</x:v>
      </x:c>
      <x:c r="AV316" s="6" t="str">
        <x:v>-0.4140368335412146</x:v>
      </x:c>
      <x:c r="AW316" s="6" t="str">
        <x:v>0.0319875180690421</x:v>
      </x:c>
      <x:c r="AX316" s="6" t="str">
        <x:v>0.4508369960145675</x:v>
      </x:c>
      <x:c r="AY316" s="6" t="str">
        <x:v>1</x:v>
      </x:c>
      <x:c r="AZ316" s="6" t="str">
        <x:v>1</x:v>
      </x:c>
      <x:c r="BA316" s="9" t="str">
        <x:v>grid_cells_within_BIG_polygon</x:v>
      </x:c>
      <x:c r="BB316" s="6" t="str">
        <x:v>1</x:v>
      </x:c>
      <x:c r="BC316" s="6" t="str">
        <x:v>34</x:v>
      </x:c>
      <x:c r="BD316" s="6" t="str">
        <x:v>34</x:v>
      </x:c>
      <x:c r="BE316" s="6" t="str">
        <x:v>0</x:v>
      </x:c>
      <x:c r="BF316" s="6" t="str">
        <x:v>1</x:v>
      </x:c>
      <x:c r="BG316" s="6" t="str">
        <x:v>33</x:v>
      </x:c>
      <x:c r="BH316" s="6" t="str">
        <x:v>0</x:v>
      </x:c>
      <x:c r="BI316" s="6" t="str">
        <x:v>0</x:v>
      </x:c>
      <x:c r="BJ316" s="6" t="str">
        <x:v>0</x:v>
      </x:c>
      <x:c r="BK316" s="6" t="str">
        <x:v>0</x:v>
      </x:c>
      <x:c r="BL316" s="6" t="str">
        <x:v>0</x:v>
      </x:c>
      <x:c r="BM316" s="6" t="str">
        <x:v>0</x:v>
      </x:c>
      <x:c r="BN316" s="6" t="str">
        <x:v>34</x:v>
      </x:c>
      <x:c r="BO316" s="6" t="str"/>
      <x:c r="BP316" s="6" t="str">
        <x:v>0</x:v>
      </x:c>
      <x:c r="BQ316" s="6" t="str"/>
      <x:c r="BR316" s="6" t="str">
        <x:v>0</x:v>
      </x:c>
      <x:c r="BS316" s="6" t="str">
        <x:v>617.0</x:v>
      </x:c>
      <x:c r="BT316" s="6" t="str">
        <x:v>34</x:v>
      </x:c>
      <x:c r="BU316" s="6" t="str"/>
      <x:c r="BV316" s="6" t="str">
        <x:v>0</x:v>
      </x:c>
      <x:c r="BW316" s="9" t="str">
        <x:v>operational_snapshot_annual_totals_may_differ</x:v>
      </x:c>
      <x:c r="BX316" s="9" t="str">
        <x:v>official_live_dashboard_snapshot_subject_to_revision</x:v>
      </x:c>
      <x:c r="BY316" s="9" t="str">
        <x:v>https://tbdashboard.sitb.id/ss_data_tbc03so_2024_provinsi_bulanan_list.php</x:v>
      </x:c>
      <x:c r="BZ316" s="6" t="n">
        <x:v>46246.610671296294</x:v>
      </x:c>
    </x:row>
    <x:row r="317" ht="18" customHeight="1">
      <x:c r="A317" s="6" t="str">
        <x:v>34</x:v>
      </x:c>
      <x:c r="B317" s="6" t="str">
        <x:v>DI YOGYAKARTA</x:v>
      </x:c>
      <x:c r="C317" s="6" t="str">
        <x:v>2024</x:v>
      </x:c>
      <x:c r="D317" s="6" t="str">
        <x:v>4</x:v>
      </x:c>
      <x:c r="E317" s="6" t="str">
        <x:v>2024-04</x:v>
      </x:c>
      <x:c r="F317" s="6" t="str">
        <x:v>438</x:v>
      </x:c>
      <x:c r="G317" s="6" t="str">
        <x:v>77</x:v>
      </x:c>
      <x:c r="H317" s="6" t="str">
        <x:v>291</x:v>
      </x:c>
      <x:c r="I317" s="6" t="str">
        <x:v>38</x:v>
      </x:c>
      <x:c r="J317" s="6" t="str">
        <x:v>29</x:v>
      </x:c>
      <x:c r="K317" s="6" t="str">
        <x:v>1</x:v>
      </x:c>
      <x:c r="L317" s="6" t="str">
        <x:v>2</x:v>
      </x:c>
      <x:c r="M317" s="6" t="str">
        <x:v>0</x:v>
      </x:c>
      <x:c r="N317" s="6" t="str">
        <x:v>438</x:v>
      </x:c>
      <x:c r="O317" s="6" t="str">
        <x:v>0</x:v>
      </x:c>
      <x:c r="P317" s="10" t="n">
        <x:f>F317-M317</x:f>
        <x:v>438</x:v>
      </x:c>
      <x:c r="Q317" s="11" t="n">
        <x:f>IFERROR(M317/F317,"")</x:f>
        <x:v>0</x:v>
      </x:c>
      <x:c r="R317" s="10" t="n">
        <x:f>G317+H317</x:f>
        <x:v>368</x:v>
      </x:c>
      <x:c r="S317" s="11" t="n">
        <x:f>IFERROR(R317/F317,"")</x:f>
        <x:v>0.8401826484018264</x:v>
      </x:c>
      <x:c r="T317" s="11" t="n">
        <x:f>IFERROR(R317/P317,"")</x:f>
        <x:v>0.8401826484018264</x:v>
      </x:c>
      <x:c r="U317" s="10" t="n">
        <x:f>I317+J317+K317</x:f>
        <x:v>68</x:v>
      </x:c>
      <x:c r="V317" s="11" t="n">
        <x:f>IFERROR(U317/P317,"")</x:f>
        <x:v>0.1552511415525114</x:v>
      </x:c>
      <x:c r="W317" s="9" t="str">
        <x:v>mature_le_5pct_pending</x:v>
      </x:c>
      <x:c r="X317" s="12" t="n">
        <x:f>IFERROR(F317/Z317*100000,"")</x:f>
        <x:v>11.650485436893204</x:v>
      </x:c>
      <x:c r="Y317" s="13" t="n">
        <x:f>LN(Z317)</x:f>
        <x:v>15.139796527800218</x:v>
      </x:c>
      <x:c r="Z317" s="6" t="str">
        <x:v>3759500</x:v>
      </x:c>
      <x:c r="AA317" s="6" t="str">
        <x:v>1186.0</x:v>
      </x:c>
      <x:c r="AB317" s="9" t="str">
        <x:v>2024-06-30</x:v>
      </x:c>
      <x:c r="AC317" s="8" t="str">
        <x:v>96.7</x:v>
      </x:c>
      <x:c r="AD317" s="9" t="str">
        <x:v>2024 (Susenas)</x:v>
      </x:c>
      <x:c r="AE317" s="8" t="str">
        <x:v>10.83</x:v>
      </x:c>
      <x:c r="AF317" s="9" t="str">
        <x:v>Maret 2024 (Susenas)</x:v>
      </x:c>
      <x:c r="AG317" s="6" t="str">
        <x:v>27.23</x:v>
      </x:c>
      <x:c r="AH317" s="8" t="str">
        <x:v>88.05</x:v>
      </x:c>
      <x:c r="AI317" s="6" t="str">
        <x:v>315.3</x:v>
      </x:c>
      <x:c r="AJ317" s="6" t="str">
        <x:v>0.8796666666666688</x:v>
      </x:c>
      <x:c r="AK317" s="8" t="str">
        <x:v>1.88614401255401</x:v>
      </x:c>
      <x:c r="AL317" s="6" t="str">
        <x:v>1.8902999675353624</x:v>
      </x:c>
      <x:c r="AM317" s="6" t="str">
        <x:v>2.905871005473544</x:v>
      </x:c>
      <x:c r="AN317" s="6" t="str">
        <x:v>2.227438328520972</x:v>
      </x:c>
      <x:c r="AO317" s="6" t="str">
        <x:v>2.24733333333333</x:v>
      </x:c>
      <x:c r="AP317" s="8" t="str">
        <x:v>2.17785693251353</x:v>
      </x:c>
      <x:c r="AQ317" s="6" t="str">
        <x:v>0.2775629960544678</x:v>
      </x:c>
      <x:c r="AR317" s="6" t="str">
        <x:v>-1.0541218424284924</x:v>
      </x:c>
      <x:c r="AS317" s="6" t="str">
        <x:v>0.4670993620465014</x:v>
      </x:c>
      <x:c r="AT317" s="6" t="str">
        <x:v>131.67000000000002</x:v>
      </x:c>
      <x:c r="AU317" s="8" t="str">
        <x:v>1.877334367659237</x:v>
      </x:c>
      <x:c r="AV317" s="6" t="str">
        <x:v>1.734560303515875</x:v>
      </x:c>
      <x:c r="AW317" s="6" t="str">
        <x:v>-0.4140368335412146</x:v>
      </x:c>
      <x:c r="AX317" s="6" t="str">
        <x:v>1.0659526125446324</x:v>
      </x:c>
      <x:c r="AY317" s="6" t="str">
        <x:v>1</x:v>
      </x:c>
      <x:c r="AZ317" s="6" t="str">
        <x:v>1</x:v>
      </x:c>
      <x:c r="BA317" s="9" t="str">
        <x:v>grid_cells_within_BIG_polygon</x:v>
      </x:c>
      <x:c r="BB317" s="6" t="str">
        <x:v>1</x:v>
      </x:c>
      <x:c r="BC317" s="6" t="str">
        <x:v>0</x:v>
      </x:c>
      <x:c r="BD317" s="6" t="str">
        <x:v>0</x:v>
      </x:c>
      <x:c r="BE317" s="6" t="str">
        <x:v>0</x:v>
      </x:c>
      <x:c r="BF317" s="6" t="str">
        <x:v>0</x:v>
      </x:c>
      <x:c r="BG317" s="6" t="str">
        <x:v>0</x:v>
      </x:c>
      <x:c r="BH317" s="6" t="str">
        <x:v>0</x:v>
      </x:c>
      <x:c r="BI317" s="6" t="str">
        <x:v>0</x:v>
      </x:c>
      <x:c r="BJ317" s="6" t="str">
        <x:v>0</x:v>
      </x:c>
      <x:c r="BK317" s="6" t="str">
        <x:v>0</x:v>
      </x:c>
      <x:c r="BL317" s="6" t="str">
        <x:v>0</x:v>
      </x:c>
      <x:c r="BM317" s="6" t="str">
        <x:v>0</x:v>
      </x:c>
      <x:c r="BN317" s="6" t="str">
        <x:v>0</x:v>
      </x:c>
      <x:c r="BO317" s="6" t="str"/>
      <x:c r="BP317" s="6" t="str">
        <x:v>0</x:v>
      </x:c>
      <x:c r="BQ317" s="6" t="str"/>
      <x:c r="BR317" s="6" t="str">
        <x:v>0</x:v>
      </x:c>
      <x:c r="BS317" s="6" t="str"/>
      <x:c r="BT317" s="6" t="str">
        <x:v>0</x:v>
      </x:c>
      <x:c r="BU317" s="6" t="str"/>
      <x:c r="BV317" s="6" t="str">
        <x:v>0</x:v>
      </x:c>
      <x:c r="BW317" s="9" t="str">
        <x:v>operational_snapshot_annual_totals_may_differ</x:v>
      </x:c>
      <x:c r="BX317" s="9" t="str">
        <x:v>official_live_dashboard_snapshot_subject_to_revision</x:v>
      </x:c>
      <x:c r="BY317" s="9" t="str">
        <x:v>https://tbdashboard.sitb.id/ss_data_tbc03so_2024_provinsi_bulanan_list.php</x:v>
      </x:c>
      <x:c r="BZ317" s="6" t="n">
        <x:v>46246.610671296294</x:v>
      </x:c>
    </x:row>
    <x:row r="318" ht="18" customHeight="1">
      <x:c r="A318" s="6" t="str">
        <x:v>34</x:v>
      </x:c>
      <x:c r="B318" s="6" t="str">
        <x:v>DI YOGYAKARTA</x:v>
      </x:c>
      <x:c r="C318" s="6" t="str">
        <x:v>2024</x:v>
      </x:c>
      <x:c r="D318" s="6" t="str">
        <x:v>5</x:v>
      </x:c>
      <x:c r="E318" s="6" t="str">
        <x:v>2024-05</x:v>
      </x:c>
      <x:c r="F318" s="6" t="str">
        <x:v>534</x:v>
      </x:c>
      <x:c r="G318" s="6" t="str">
        <x:v>108</x:v>
      </x:c>
      <x:c r="H318" s="6" t="str">
        <x:v>363</x:v>
      </x:c>
      <x:c r="I318" s="6" t="str">
        <x:v>25</x:v>
      </x:c>
      <x:c r="J318" s="6" t="str">
        <x:v>32</x:v>
      </x:c>
      <x:c r="K318" s="6" t="str">
        <x:v>5</x:v>
      </x:c>
      <x:c r="L318" s="6" t="str">
        <x:v>0</x:v>
      </x:c>
      <x:c r="M318" s="6" t="str">
        <x:v>1</x:v>
      </x:c>
      <x:c r="N318" s="6" t="str">
        <x:v>534</x:v>
      </x:c>
      <x:c r="O318" s="6" t="str">
        <x:v>0</x:v>
      </x:c>
      <x:c r="P318" s="10" t="n">
        <x:f>F318-M318</x:f>
        <x:v>533</x:v>
      </x:c>
      <x:c r="Q318" s="11" t="n">
        <x:f>IFERROR(M318/F318,"")</x:f>
        <x:v>0.0018726591760299626</x:v>
      </x:c>
      <x:c r="R318" s="10" t="n">
        <x:f>G318+H318</x:f>
        <x:v>471</x:v>
      </x:c>
      <x:c r="S318" s="11" t="n">
        <x:f>IFERROR(R318/F318,"")</x:f>
        <x:v>0.8820224719101124</x:v>
      </x:c>
      <x:c r="T318" s="11" t="n">
        <x:f>IFERROR(R318/P318,"")</x:f>
        <x:v>0.8836772983114447</x:v>
      </x:c>
      <x:c r="U318" s="10" t="n">
        <x:f>I318+J318+K318</x:f>
        <x:v>62</x:v>
      </x:c>
      <x:c r="V318" s="11" t="n">
        <x:f>IFERROR(U318/P318,"")</x:f>
        <x:v>0.11632270168855535</x:v>
      </x:c>
      <x:c r="W318" s="9" t="str">
        <x:v>mature_le_5pct_pending</x:v>
      </x:c>
      <x:c r="X318" s="12" t="n">
        <x:f>IFERROR(F318/Z318*100000,"")</x:f>
        <x:v>14.204016491554727</x:v>
      </x:c>
      <x:c r="Y318" s="13" t="n">
        <x:f>LN(Z318)</x:f>
        <x:v>15.139796527800218</x:v>
      </x:c>
      <x:c r="Z318" s="6" t="str">
        <x:v>3759500</x:v>
      </x:c>
      <x:c r="AA318" s="6" t="str">
        <x:v>1186.0</x:v>
      </x:c>
      <x:c r="AB318" s="9" t="str">
        <x:v>2024-06-30</x:v>
      </x:c>
      <x:c r="AC318" s="8" t="str">
        <x:v>96.7</x:v>
      </x:c>
      <x:c r="AD318" s="9" t="str">
        <x:v>2024 (Susenas)</x:v>
      </x:c>
      <x:c r="AE318" s="8" t="str">
        <x:v>10.83</x:v>
      </x:c>
      <x:c r="AF318" s="9" t="str">
        <x:v>Maret 2024 (Susenas)</x:v>
      </x:c>
      <x:c r="AG318" s="6" t="str">
        <x:v>26.25</x:v>
      </x:c>
      <x:c r="AH318" s="8" t="str">
        <x:v>87.24</x:v>
      </x:c>
      <x:c r="AI318" s="6" t="str">
        <x:v>52.7</x:v>
      </x:c>
      <x:c r="AJ318" s="6" t="str">
        <x:v>0.2506666666666675</x:v>
      </x:c>
      <x:c r="AK318" s="8" t="str">
        <x:v>0.4760490645785834</x:v>
      </x:c>
      <x:c r="AL318" s="6" t="str">
        <x:v>1.88614401255401</x:v>
      </x:c>
      <x:c r="AM318" s="6" t="str">
        <x:v>1.8902999675353624</x:v>
      </x:c>
      <x:c r="AN318" s="6" t="str">
        <x:v>1.4174976815559852</x:v>
      </x:c>
      <x:c r="AO318" s="6" t="str">
        <x:v>2.4183333333333223</x:v>
      </x:c>
      <x:c r="AP318" s="8" t="str">
        <x:v>1.6819871757455844</x:v>
      </x:c>
      <x:c r="AQ318" s="6" t="str">
        <x:v>2.17785693251353</x:v>
      </x:c>
      <x:c r="AR318" s="6" t="str">
        <x:v>0.2775629960544678</x:v>
      </x:c>
      <x:c r="AS318" s="6" t="str">
        <x:v>1.3791357014378605</x:v>
      </x:c>
      <x:c r="AT318" s="6" t="str">
        <x:v>-69.92566666666667</x:v>
      </x:c>
      <x:c r="AU318" s="8" t="str">
        <x:v>-0.8689816388326804</x:v>
      </x:c>
      <x:c r="AV318" s="6" t="str">
        <x:v>1.877334367659237</x:v>
      </x:c>
      <x:c r="AW318" s="6" t="str">
        <x:v>1.734560303515875</x:v>
      </x:c>
      <x:c r="AX318" s="6" t="str">
        <x:v>0.914304344114144</x:v>
      </x:c>
      <x:c r="AY318" s="6" t="str">
        <x:v>0</x:v>
      </x:c>
      <x:c r="AZ318" s="6" t="str">
        <x:v>0</x:v>
      </x:c>
      <x:c r="BA318" s="9" t="str">
        <x:v>grid_cells_within_BIG_polygon</x:v>
      </x:c>
      <x:c r="BB318" s="6" t="str">
        <x:v>1</x:v>
      </x:c>
      <x:c r="BC318" s="6" t="str">
        <x:v>0</x:v>
      </x:c>
      <x:c r="BD318" s="6" t="str">
        <x:v>0</x:v>
      </x:c>
      <x:c r="BE318" s="6" t="str">
        <x:v>0</x:v>
      </x:c>
      <x:c r="BF318" s="6" t="str">
        <x:v>0</x:v>
      </x:c>
      <x:c r="BG318" s="6" t="str">
        <x:v>0</x:v>
      </x:c>
      <x:c r="BH318" s="6" t="str">
        <x:v>0</x:v>
      </x:c>
      <x:c r="BI318" s="6" t="str">
        <x:v>0</x:v>
      </x:c>
      <x:c r="BJ318" s="6" t="str">
        <x:v>0</x:v>
      </x:c>
      <x:c r="BK318" s="6" t="str">
        <x:v>0</x:v>
      </x:c>
      <x:c r="BL318" s="6" t="str">
        <x:v>0</x:v>
      </x:c>
      <x:c r="BM318" s="6" t="str">
        <x:v>0</x:v>
      </x:c>
      <x:c r="BN318" s="6" t="str">
        <x:v>0</x:v>
      </x:c>
      <x:c r="BO318" s="6" t="str"/>
      <x:c r="BP318" s="6" t="str">
        <x:v>0</x:v>
      </x:c>
      <x:c r="BQ318" s="6" t="str"/>
      <x:c r="BR318" s="6" t="str">
        <x:v>0</x:v>
      </x:c>
      <x:c r="BS318" s="6" t="str"/>
      <x:c r="BT318" s="6" t="str">
        <x:v>0</x:v>
      </x:c>
      <x:c r="BU318" s="6" t="str"/>
      <x:c r="BV318" s="6" t="str">
        <x:v>0</x:v>
      </x:c>
      <x:c r="BW318" s="9" t="str">
        <x:v>operational_snapshot_annual_totals_may_differ</x:v>
      </x:c>
      <x:c r="BX318" s="9" t="str">
        <x:v>official_live_dashboard_snapshot_subject_to_revision</x:v>
      </x:c>
      <x:c r="BY318" s="9" t="str">
        <x:v>https://tbdashboard.sitb.id/ss_data_tbc03so_2024_provinsi_bulanan_list.php</x:v>
      </x:c>
      <x:c r="BZ318" s="6" t="n">
        <x:v>46246.610671296294</x:v>
      </x:c>
    </x:row>
    <x:row r="319" ht="18" customHeight="1">
      <x:c r="A319" s="6" t="str">
        <x:v>34</x:v>
      </x:c>
      <x:c r="B319" s="6" t="str">
        <x:v>DI YOGYAKARTA</x:v>
      </x:c>
      <x:c r="C319" s="6" t="str">
        <x:v>2024</x:v>
      </x:c>
      <x:c r="D319" s="6" t="str">
        <x:v>6</x:v>
      </x:c>
      <x:c r="E319" s="6" t="str">
        <x:v>2024-06</x:v>
      </x:c>
      <x:c r="F319" s="6" t="str">
        <x:v>458</x:v>
      </x:c>
      <x:c r="G319" s="6" t="str">
        <x:v>81</x:v>
      </x:c>
      <x:c r="H319" s="6" t="str">
        <x:v>312</x:v>
      </x:c>
      <x:c r="I319" s="6" t="str">
        <x:v>28</x:v>
      </x:c>
      <x:c r="J319" s="6" t="str">
        <x:v>31</x:v>
      </x:c>
      <x:c r="K319" s="6" t="str">
        <x:v>5</x:v>
      </x:c>
      <x:c r="L319" s="6" t="str">
        <x:v>1</x:v>
      </x:c>
      <x:c r="M319" s="6" t="str">
        <x:v>0</x:v>
      </x:c>
      <x:c r="N319" s="6" t="str">
        <x:v>458</x:v>
      </x:c>
      <x:c r="O319" s="6" t="str">
        <x:v>0</x:v>
      </x:c>
      <x:c r="P319" s="10" t="n">
        <x:f>F319-M319</x:f>
        <x:v>458</x:v>
      </x:c>
      <x:c r="Q319" s="11" t="n">
        <x:f>IFERROR(M319/F319,"")</x:f>
        <x:v>0</x:v>
      </x:c>
      <x:c r="R319" s="10" t="n">
        <x:f>G319+H319</x:f>
        <x:v>393</x:v>
      </x:c>
      <x:c r="S319" s="11" t="n">
        <x:f>IFERROR(R319/F319,"")</x:f>
        <x:v>0.8580786026200873</x:v>
      </x:c>
      <x:c r="T319" s="11" t="n">
        <x:f>IFERROR(R319/P319,"")</x:f>
        <x:v>0.8580786026200873</x:v>
      </x:c>
      <x:c r="U319" s="10" t="n">
        <x:f>I319+J319+K319</x:f>
        <x:v>64</x:v>
      </x:c>
      <x:c r="V319" s="11" t="n">
        <x:f>IFERROR(U319/P319,"")</x:f>
        <x:v>0.13973799126637554</x:v>
      </x:c>
      <x:c r="W319" s="9" t="str">
        <x:v>mature_le_5pct_pending</x:v>
      </x:c>
      <x:c r="X319" s="12" t="n">
        <x:f>IFERROR(F319/Z319*100000,"")</x:f>
        <x:v>12.182471073281022</x:v>
      </x:c>
      <x:c r="Y319" s="13" t="n">
        <x:f>LN(Z319)</x:f>
        <x:v>15.139796527800218</x:v>
      </x:c>
      <x:c r="Z319" s="6" t="str">
        <x:v>3759500</x:v>
      </x:c>
      <x:c r="AA319" s="6" t="str">
        <x:v>1186.0</x:v>
      </x:c>
      <x:c r="AB319" s="9" t="str">
        <x:v>2024-06-30</x:v>
      </x:c>
      <x:c r="AC319" s="8" t="str">
        <x:v>96.7</x:v>
      </x:c>
      <x:c r="AD319" s="9" t="str">
        <x:v>2024 (Susenas)</x:v>
      </x:c>
      <x:c r="AE319" s="8" t="str">
        <x:v>10.83</x:v>
      </x:c>
      <x:c r="AF319" s="9" t="str">
        <x:v>Maret 2024 (Susenas)</x:v>
      </x:c>
      <x:c r="AG319" s="6" t="str">
        <x:v>26.12</x:v>
      </x:c>
      <x:c r="AH319" s="8" t="str">
        <x:v>85.88</x:v>
      </x:c>
      <x:c r="AI319" s="6" t="str">
        <x:v>166.5</x:v>
      </x:c>
      <x:c r="AJ319" s="6" t="str">
        <x:v>0.7963333333333331</x:v>
      </x:c>
      <x:c r="AK319" s="8" t="str">
        <x:v>1.2063318754644834</x:v>
      </x:c>
      <x:c r="AL319" s="6" t="str">
        <x:v>0.4760490645785834</x:v>
      </x:c>
      <x:c r="AM319" s="6" t="str">
        <x:v>1.88614401255401</x:v>
      </x:c>
      <x:c r="AN319" s="6" t="str">
        <x:v>1.189508317532359</x:v>
      </x:c>
      <x:c r="AO319" s="6" t="str">
        <x:v>2.1119999999999948</x:v>
      </x:c>
      <x:c r="AP319" s="8" t="str">
        <x:v>0.7977340078411486</x:v>
      </x:c>
      <x:c r="AQ319" s="6" t="str">
        <x:v>1.6819871757455844</x:v>
      </x:c>
      <x:c r="AR319" s="6" t="str">
        <x:v>2.17785693251353</x:v>
      </x:c>
      <x:c r="AS319" s="6" t="str">
        <x:v>1.5525260387000872</x:v>
      </x:c>
      <x:c r="AT319" s="6" t="str">
        <x:v>79.83999999999999</x:v>
      </x:c>
      <x:c r="AU319" s="8" t="str">
        <x:v>1.0629395422246082</x:v>
      </x:c>
      <x:c r="AV319" s="6" t="str">
        <x:v>-0.8689816388326804</x:v>
      </x:c>
      <x:c r="AW319" s="6" t="str">
        <x:v>1.877334367659237</x:v>
      </x:c>
      <x:c r="AX319" s="6" t="str">
        <x:v>0.6904307570170548</x:v>
      </x:c>
      <x:c r="AY319" s="6" t="str">
        <x:v>1</x:v>
      </x:c>
      <x:c r="AZ319" s="6" t="str">
        <x:v>1</x:v>
      </x:c>
      <x:c r="BA319" s="9" t="str">
        <x:v>grid_cells_within_BIG_polygon</x:v>
      </x:c>
      <x:c r="BB319" s="6" t="str">
        <x:v>1</x:v>
      </x:c>
      <x:c r="BC319" s="6" t="str">
        <x:v>1</x:v>
      </x:c>
      <x:c r="BD319" s="6" t="str">
        <x:v>1</x:v>
      </x:c>
      <x:c r="BE319" s="6" t="str">
        <x:v>0</x:v>
      </x:c>
      <x:c r="BF319" s="6" t="str">
        <x:v>0</x:v>
      </x:c>
      <x:c r="BG319" s="6" t="str">
        <x:v>0</x:v>
      </x:c>
      <x:c r="BH319" s="6" t="str">
        <x:v>0</x:v>
      </x:c>
      <x:c r="BI319" s="6" t="str">
        <x:v>1</x:v>
      </x:c>
      <x:c r="BJ319" s="6" t="str">
        <x:v>0</x:v>
      </x:c>
      <x:c r="BK319" s="6" t="str">
        <x:v>0</x:v>
      </x:c>
      <x:c r="BL319" s="6" t="str">
        <x:v>0</x:v>
      </x:c>
      <x:c r="BM319" s="6" t="str">
        <x:v>0</x:v>
      </x:c>
      <x:c r="BN319" s="6" t="str">
        <x:v>1</x:v>
      </x:c>
      <x:c r="BO319" s="6" t="str"/>
      <x:c r="BP319" s="6" t="str">
        <x:v>0</x:v>
      </x:c>
      <x:c r="BQ319" s="6" t="str"/>
      <x:c r="BR319" s="6" t="str">
        <x:v>0</x:v>
      </x:c>
      <x:c r="BS319" s="6" t="str">
        <x:v>0.0</x:v>
      </x:c>
      <x:c r="BT319" s="6" t="str">
        <x:v>1</x:v>
      </x:c>
      <x:c r="BU319" s="6" t="str"/>
      <x:c r="BV319" s="6" t="str">
        <x:v>0</x:v>
      </x:c>
      <x:c r="BW319" s="9" t="str">
        <x:v>operational_snapshot_annual_totals_may_differ</x:v>
      </x:c>
      <x:c r="BX319" s="9" t="str">
        <x:v>official_live_dashboard_snapshot_subject_to_revision</x:v>
      </x:c>
      <x:c r="BY319" s="9" t="str">
        <x:v>https://tbdashboard.sitb.id/ss_data_tbc03so_2024_provinsi_bulanan_list.php</x:v>
      </x:c>
      <x:c r="BZ319" s="6" t="n">
        <x:v>46246.610671296294</x:v>
      </x:c>
    </x:row>
    <x:row r="320" ht="18" customHeight="1">
      <x:c r="A320" s="6" t="str">
        <x:v>34</x:v>
      </x:c>
      <x:c r="B320" s="6" t="str">
        <x:v>DI YOGYAKARTA</x:v>
      </x:c>
      <x:c r="C320" s="6" t="str">
        <x:v>2024</x:v>
      </x:c>
      <x:c r="D320" s="6" t="str">
        <x:v>7</x:v>
      </x:c>
      <x:c r="E320" s="6" t="str">
        <x:v>2024-07</x:v>
      </x:c>
      <x:c r="F320" s="6" t="str">
        <x:v>506</x:v>
      </x:c>
      <x:c r="G320" s="6" t="str">
        <x:v>79</x:v>
      </x:c>
      <x:c r="H320" s="6" t="str">
        <x:v>344</x:v>
      </x:c>
      <x:c r="I320" s="6" t="str">
        <x:v>43</x:v>
      </x:c>
      <x:c r="J320" s="6" t="str">
        <x:v>35</x:v>
      </x:c>
      <x:c r="K320" s="6" t="str">
        <x:v>5</x:v>
      </x:c>
      <x:c r="L320" s="6" t="str">
        <x:v>0</x:v>
      </x:c>
      <x:c r="M320" s="6" t="str">
        <x:v>0</x:v>
      </x:c>
      <x:c r="N320" s="6" t="str">
        <x:v>506</x:v>
      </x:c>
      <x:c r="O320" s="6" t="str">
        <x:v>0</x:v>
      </x:c>
      <x:c r="P320" s="10" t="n">
        <x:f>F320-M320</x:f>
        <x:v>506</x:v>
      </x:c>
      <x:c r="Q320" s="11" t="n">
        <x:f>IFERROR(M320/F320,"")</x:f>
        <x:v>0</x:v>
      </x:c>
      <x:c r="R320" s="10" t="n">
        <x:f>G320+H320</x:f>
        <x:v>423</x:v>
      </x:c>
      <x:c r="S320" s="11" t="n">
        <x:f>IFERROR(R320/F320,"")</x:f>
        <x:v>0.8359683794466403</x:v>
      </x:c>
      <x:c r="T320" s="11" t="n">
        <x:f>IFERROR(R320/P320,"")</x:f>
        <x:v>0.8359683794466403</x:v>
      </x:c>
      <x:c r="U320" s="10" t="n">
        <x:f>I320+J320+K320</x:f>
        <x:v>83</x:v>
      </x:c>
      <x:c r="V320" s="11" t="n">
        <x:f>IFERROR(U320/P320,"")</x:f>
        <x:v>0.16403162055335968</x:v>
      </x:c>
      <x:c r="W320" s="9" t="str">
        <x:v>mature_le_5pct_pending</x:v>
      </x:c>
      <x:c r="X320" s="12" t="n">
        <x:f>IFERROR(F320/Z320*100000,"")</x:f>
        <x:v>13.459236600611783</x:v>
      </x:c>
      <x:c r="Y320" s="13" t="n">
        <x:f>LN(Z320)</x:f>
        <x:v>15.139796527800218</x:v>
      </x:c>
      <x:c r="Z320" s="6" t="str">
        <x:v>3759500</x:v>
      </x:c>
      <x:c r="AA320" s="6" t="str">
        <x:v>1186.0</x:v>
      </x:c>
      <x:c r="AB320" s="9" t="str">
        <x:v>2024-06-30</x:v>
      </x:c>
      <x:c r="AC320" s="8" t="str">
        <x:v>96.7</x:v>
      </x:c>
      <x:c r="AD320" s="9" t="str">
        <x:v>2024 (Susenas)</x:v>
      </x:c>
      <x:c r="AE320" s="8" t="str">
        <x:v>10.83</x:v>
      </x:c>
      <x:c r="AF320" s="9" t="str">
        <x:v>Maret 2024 (Susenas)</x:v>
      </x:c>
      <x:c r="AG320" s="6" t="str">
        <x:v>25.06</x:v>
      </x:c>
      <x:c r="AH320" s="8" t="str">
        <x:v>82.71</x:v>
      </x:c>
      <x:c r="AI320" s="6" t="str">
        <x:v>32.24</x:v>
      </x:c>
      <x:c r="AJ320" s="6" t="str">
        <x:v>0.4073333333333302</x:v>
      </x:c>
      <x:c r="AK320" s="8" t="str">
        <x:v>0.5413008974785163</x:v>
      </x:c>
      <x:c r="AL320" s="6" t="str">
        <x:v>1.2063318754644834</x:v>
      </x:c>
      <x:c r="AM320" s="6" t="str">
        <x:v>0.4760490645785834</x:v>
      </x:c>
      <x:c r="AN320" s="6" t="str">
        <x:v>0.7412272791738612</x:v>
      </x:c>
      <x:c r="AO320" s="6" t="str">
        <x:v>1.7630000000000052</x:v>
      </x:c>
      <x:c r="AP320" s="8" t="str">
        <x:v>0.4652109675889628</x:v>
      </x:c>
      <x:c r="AQ320" s="6" t="str">
        <x:v>0.7977340078411486</x:v>
      </x:c>
      <x:c r="AR320" s="6" t="str">
        <x:v>1.6819871757455844</x:v>
      </x:c>
      <x:c r="AS320" s="6" t="str">
        <x:v>0.9816440503918984</x:v>
      </x:c>
      <x:c r="AT320" s="6" t="str">
        <x:v>-15.189999999999998</x:v>
      </x:c>
      <x:c r="AU320" s="8" t="str">
        <x:v>-0.2503927322261463</x:v>
      </x:c>
      <x:c r="AV320" s="6" t="str">
        <x:v>1.0629395422246082</x:v>
      </x:c>
      <x:c r="AW320" s="6" t="str">
        <x:v>-0.8689816388326804</x:v>
      </x:c>
      <x:c r="AX320" s="6" t="str">
        <x:v>-0.0188116096114061</x:v>
      </x:c>
      <x:c r="AY320" s="6" t="str">
        <x:v>0</x:v>
      </x:c>
      <x:c r="AZ320" s="6" t="str">
        <x:v>0</x:v>
      </x:c>
      <x:c r="BA320" s="9" t="str">
        <x:v>grid_cells_within_BIG_polygon</x:v>
      </x:c>
      <x:c r="BB320" s="6" t="str">
        <x:v>1</x:v>
      </x:c>
      <x:c r="BC320" s="6" t="str">
        <x:v>1</x:v>
      </x:c>
      <x:c r="BD320" s="6" t="str">
        <x:v>1</x:v>
      </x:c>
      <x:c r="BE320" s="6" t="str">
        <x:v>0</x:v>
      </x:c>
      <x:c r="BF320" s="6" t="str">
        <x:v>0</x:v>
      </x:c>
      <x:c r="BG320" s="6" t="str">
        <x:v>0</x:v>
      </x:c>
      <x:c r="BH320" s="6" t="str">
        <x:v>1</x:v>
      </x:c>
      <x:c r="BI320" s="6" t="str">
        <x:v>0</x:v>
      </x:c>
      <x:c r="BJ320" s="6" t="str">
        <x:v>0</x:v>
      </x:c>
      <x:c r="BK320" s="6" t="str">
        <x:v>0</x:v>
      </x:c>
      <x:c r="BL320" s="6" t="str">
        <x:v>0</x:v>
      </x:c>
      <x:c r="BM320" s="6" t="str">
        <x:v>0</x:v>
      </x:c>
      <x:c r="BN320" s="6" t="str">
        <x:v>1</x:v>
      </x:c>
      <x:c r="BO320" s="6" t="str">
        <x:v>0.0</x:v>
      </x:c>
      <x:c r="BP320" s="6" t="str">
        <x:v>1</x:v>
      </x:c>
      <x:c r="BQ320" s="6" t="str">
        <x:v>0.0</x:v>
      </x:c>
      <x:c r="BR320" s="6" t="str">
        <x:v>1</x:v>
      </x:c>
      <x:c r="BS320" s="6" t="str">
        <x:v>0.0</x:v>
      </x:c>
      <x:c r="BT320" s="6" t="str">
        <x:v>1</x:v>
      </x:c>
      <x:c r="BU320" s="6" t="str"/>
      <x:c r="BV320" s="6" t="str">
        <x:v>0</x:v>
      </x:c>
      <x:c r="BW320" s="9" t="str">
        <x:v>operational_snapshot_annual_totals_may_differ</x:v>
      </x:c>
      <x:c r="BX320" s="9" t="str">
        <x:v>official_live_dashboard_snapshot_subject_to_revision</x:v>
      </x:c>
      <x:c r="BY320" s="9" t="str">
        <x:v>https://tbdashboard.sitb.id/ss_data_tbc03so_2024_provinsi_bulanan_list.php</x:v>
      </x:c>
      <x:c r="BZ320" s="6" t="n">
        <x:v>46246.610671296294</x:v>
      </x:c>
    </x:row>
    <x:row r="321" ht="18" customHeight="1">
      <x:c r="A321" s="6" t="str">
        <x:v>34</x:v>
      </x:c>
      <x:c r="B321" s="6" t="str">
        <x:v>DI YOGYAKARTA</x:v>
      </x:c>
      <x:c r="C321" s="6" t="str">
        <x:v>2024</x:v>
      </x:c>
      <x:c r="D321" s="6" t="str">
        <x:v>8</x:v>
      </x:c>
      <x:c r="E321" s="6" t="str">
        <x:v>2024-08</x:v>
      </x:c>
      <x:c r="F321" s="6" t="str">
        <x:v>484</x:v>
      </x:c>
      <x:c r="G321" s="6" t="str">
        <x:v>82</x:v>
      </x:c>
      <x:c r="H321" s="6" t="str">
        <x:v>333</x:v>
      </x:c>
      <x:c r="I321" s="6" t="str">
        <x:v>28</x:v>
      </x:c>
      <x:c r="J321" s="6" t="str">
        <x:v>34</x:v>
      </x:c>
      <x:c r="K321" s="6" t="str">
        <x:v>7</x:v>
      </x:c>
      <x:c r="L321" s="6" t="str">
        <x:v>0</x:v>
      </x:c>
      <x:c r="M321" s="6" t="str">
        <x:v>0</x:v>
      </x:c>
      <x:c r="N321" s="6" t="str">
        <x:v>484</x:v>
      </x:c>
      <x:c r="O321" s="6" t="str">
        <x:v>0</x:v>
      </x:c>
      <x:c r="P321" s="10" t="n">
        <x:f>F321-M321</x:f>
        <x:v>484</x:v>
      </x:c>
      <x:c r="Q321" s="11" t="n">
        <x:f>IFERROR(M321/F321,"")</x:f>
        <x:v>0</x:v>
      </x:c>
      <x:c r="R321" s="10" t="n">
        <x:f>G321+H321</x:f>
        <x:v>415</x:v>
      </x:c>
      <x:c r="S321" s="11" t="n">
        <x:f>IFERROR(R321/F321,"")</x:f>
        <x:v>0.8574380165289256</x:v>
      </x:c>
      <x:c r="T321" s="11" t="n">
        <x:f>IFERROR(R321/P321,"")</x:f>
        <x:v>0.8574380165289256</x:v>
      </x:c>
      <x:c r="U321" s="10" t="n">
        <x:f>I321+J321+K321</x:f>
        <x:v>69</x:v>
      </x:c>
      <x:c r="V321" s="11" t="n">
        <x:f>IFERROR(U321/P321,"")</x:f>
        <x:v>0.14256198347107438</x:v>
      </x:c>
      <x:c r="W321" s="9" t="str">
        <x:v>mature_le_5pct_pending</x:v>
      </x:c>
      <x:c r="X321" s="12" t="n">
        <x:f>IFERROR(F321/Z321*100000,"")</x:f>
        <x:v>12.874052400585184</x:v>
      </x:c>
      <x:c r="Y321" s="13" t="n">
        <x:f>LN(Z321)</x:f>
        <x:v>15.139796527800218</x:v>
      </x:c>
      <x:c r="Z321" s="6" t="str">
        <x:v>3759500</x:v>
      </x:c>
      <x:c r="AA321" s="6" t="str">
        <x:v>1186.0</x:v>
      </x:c>
      <x:c r="AB321" s="9" t="str">
        <x:v>2024-06-30</x:v>
      </x:c>
      <x:c r="AC321" s="8" t="str">
        <x:v>96.7</x:v>
      </x:c>
      <x:c r="AD321" s="9" t="str">
        <x:v>2024 (Susenas)</x:v>
      </x:c>
      <x:c r="AE321" s="8" t="str">
        <x:v>10.83</x:v>
      </x:c>
      <x:c r="AF321" s="9" t="str">
        <x:v>Maret 2024 (Susenas)</x:v>
      </x:c>
      <x:c r="AG321" s="6" t="str">
        <x:v>24.86</x:v>
      </x:c>
      <x:c r="AH321" s="8" t="str">
        <x:v>80.12</x:v>
      </x:c>
      <x:c r="AI321" s="6" t="str">
        <x:v>24.8</x:v>
      </x:c>
      <x:c r="AJ321" s="6" t="str">
        <x:v>0.0649999999999977</x:v>
      </x:c>
      <x:c r="AK321" s="8" t="str">
        <x:v>0.1155960729532266</x:v>
      </x:c>
      <x:c r="AL321" s="6" t="str">
        <x:v>0.5413008974785163</x:v>
      </x:c>
      <x:c r="AM321" s="6" t="str">
        <x:v>1.2063318754644834</x:v>
      </x:c>
      <x:c r="AN321" s="6" t="str">
        <x:v>0.6210762819654089</x:v>
      </x:c>
      <x:c r="AO321" s="6" t="str">
        <x:v>3.5349999999999966</x:v>
      </x:c>
      <x:c r="AP321" s="8" t="str">
        <x:v>0.8015982100336777</x:v>
      </x:c>
      <x:c r="AQ321" s="6" t="str">
        <x:v>0.4652109675889628</x:v>
      </x:c>
      <x:c r="AR321" s="6" t="str">
        <x:v>0.7977340078411486</x:v>
      </x:c>
      <x:c r="AS321" s="6" t="str">
        <x:v>0.6881810618212626</x:v>
      </x:c>
      <x:c r="AT321" s="6" t="str">
        <x:v>-5.941666666666666</x:v>
      </x:c>
      <x:c r="AU321" s="8" t="str">
        <x:v>-0.1386663371850183</x:v>
      </x:c>
      <x:c r="AV321" s="6" t="str">
        <x:v>-0.2503927322261463</x:v>
      </x:c>
      <x:c r="AW321" s="6" t="str">
        <x:v>1.0629395422246082</x:v>
      </x:c>
      <x:c r="AX321" s="6" t="str">
        <x:v>0.2246268242711478</x:v>
      </x:c>
      <x:c r="AY321" s="6" t="str">
        <x:v>0</x:v>
      </x:c>
      <x:c r="AZ321" s="6" t="str">
        <x:v>0</x:v>
      </x:c>
      <x:c r="BA321" s="9" t="str">
        <x:v>grid_cells_within_BIG_polygon</x:v>
      </x:c>
      <x:c r="BB321" s="6" t="str">
        <x:v>1</x:v>
      </x:c>
      <x:c r="BC321" s="6" t="str">
        <x:v>14</x:v>
      </x:c>
      <x:c r="BD321" s="6" t="str">
        <x:v>10</x:v>
      </x:c>
      <x:c r="BE321" s="6" t="str">
        <x:v>0</x:v>
      </x:c>
      <x:c r="BF321" s="6" t="str">
        <x:v>0</x:v>
      </x:c>
      <x:c r="BG321" s="6" t="str">
        <x:v>0</x:v>
      </x:c>
      <x:c r="BH321" s="6" t="str">
        <x:v>0</x:v>
      </x:c>
      <x:c r="BI321" s="6" t="str">
        <x:v>10</x:v>
      </x:c>
      <x:c r="BJ321" s="6" t="str">
        <x:v>0</x:v>
      </x:c>
      <x:c r="BK321" s="6" t="str">
        <x:v>4</x:v>
      </x:c>
      <x:c r="BL321" s="6" t="str">
        <x:v>0</x:v>
      </x:c>
      <x:c r="BM321" s="6" t="str">
        <x:v>0</x:v>
      </x:c>
      <x:c r="BN321" s="6" t="str">
        <x:v>14</x:v>
      </x:c>
      <x:c r="BO321" s="6" t="str">
        <x:v>0.0</x:v>
      </x:c>
      <x:c r="BP321" s="6" t="str">
        <x:v>3</x:v>
      </x:c>
      <x:c r="BQ321" s="6" t="str">
        <x:v>0.0</x:v>
      </x:c>
      <x:c r="BR321" s="6" t="str">
        <x:v>3</x:v>
      </x:c>
      <x:c r="BS321" s="6" t="str">
        <x:v>77.0</x:v>
      </x:c>
      <x:c r="BT321" s="6" t="str">
        <x:v>14</x:v>
      </x:c>
      <x:c r="BU321" s="6" t="str"/>
      <x:c r="BV321" s="6" t="str">
        <x:v>0</x:v>
      </x:c>
      <x:c r="BW321" s="9" t="str">
        <x:v>operational_snapshot_annual_totals_may_differ</x:v>
      </x:c>
      <x:c r="BX321" s="9" t="str">
        <x:v>official_live_dashboard_snapshot_subject_to_revision</x:v>
      </x:c>
      <x:c r="BY321" s="9" t="str">
        <x:v>https://tbdashboard.sitb.id/ss_data_tbc03so_2024_provinsi_bulanan_list.php</x:v>
      </x:c>
      <x:c r="BZ321" s="6" t="n">
        <x:v>46246.610671296294</x:v>
      </x:c>
    </x:row>
    <x:row r="322" ht="18" customHeight="1">
      <x:c r="A322" s="6" t="str">
        <x:v>34</x:v>
      </x:c>
      <x:c r="B322" s="6" t="str">
        <x:v>DI YOGYAKARTA</x:v>
      </x:c>
      <x:c r="C322" s="6" t="str">
        <x:v>2024</x:v>
      </x:c>
      <x:c r="D322" s="6" t="str">
        <x:v>9</x:v>
      </x:c>
      <x:c r="E322" s="6" t="str">
        <x:v>2024-09</x:v>
      </x:c>
      <x:c r="F322" s="6" t="str">
        <x:v>505</x:v>
      </x:c>
      <x:c r="G322" s="6" t="str">
        <x:v>90</x:v>
      </x:c>
      <x:c r="H322" s="6" t="str">
        <x:v>337</x:v>
      </x:c>
      <x:c r="I322" s="6" t="str">
        <x:v>40</x:v>
      </x:c>
      <x:c r="J322" s="6" t="str">
        <x:v>31</x:v>
      </x:c>
      <x:c r="K322" s="6" t="str">
        <x:v>7</x:v>
      </x:c>
      <x:c r="L322" s="6" t="str">
        <x:v>0</x:v>
      </x:c>
      <x:c r="M322" s="6" t="str">
        <x:v>0</x:v>
      </x:c>
      <x:c r="N322" s="6" t="str">
        <x:v>505</x:v>
      </x:c>
      <x:c r="O322" s="6" t="str">
        <x:v>0</x:v>
      </x:c>
      <x:c r="P322" s="10" t="n">
        <x:f>F322-M322</x:f>
        <x:v>505</x:v>
      </x:c>
      <x:c r="Q322" s="11" t="n">
        <x:f>IFERROR(M322/F322,"")</x:f>
        <x:v>0</x:v>
      </x:c>
      <x:c r="R322" s="10" t="n">
        <x:f>G322+H322</x:f>
        <x:v>427</x:v>
      </x:c>
      <x:c r="S322" s="11" t="n">
        <x:f>IFERROR(R322/F322,"")</x:f>
        <x:v>0.8455445544554455</x:v>
      </x:c>
      <x:c r="T322" s="11" t="n">
        <x:f>IFERROR(R322/P322,"")</x:f>
        <x:v>0.8455445544554455</x:v>
      </x:c>
      <x:c r="U322" s="10" t="n">
        <x:f>I322+J322+K322</x:f>
        <x:v>78</x:v>
      </x:c>
      <x:c r="V322" s="11" t="n">
        <x:f>IFERROR(U322/P322,"")</x:f>
        <x:v>0.15445544554455445</x:v>
      </x:c>
      <x:c r="W322" s="9" t="str">
        <x:v>mature_le_5pct_pending</x:v>
      </x:c>
      <x:c r="X322" s="12" t="n">
        <x:f>IFERROR(F322/Z322*100000,"")</x:f>
        <x:v>13.432637318792393</x:v>
      </x:c>
      <x:c r="Y322" s="13" t="n">
        <x:f>LN(Z322)</x:f>
        <x:v>15.139796527800218</x:v>
      </x:c>
      <x:c r="Z322" s="6" t="str">
        <x:v>3759500</x:v>
      </x:c>
      <x:c r="AA322" s="6" t="str">
        <x:v>1186.0</x:v>
      </x:c>
      <x:c r="AB322" s="9" t="str">
        <x:v>2024-06-30</x:v>
      </x:c>
      <x:c r="AC322" s="8" t="str">
        <x:v>96.7</x:v>
      </x:c>
      <x:c r="AD322" s="9" t="str">
        <x:v>2024 (Susenas)</x:v>
      </x:c>
      <x:c r="AE322" s="8" t="str">
        <x:v>10.83</x:v>
      </x:c>
      <x:c r="AF322" s="9" t="str">
        <x:v>Maret 2024 (Susenas)</x:v>
      </x:c>
      <x:c r="AG322" s="6" t="str">
        <x:v>26.0</x:v>
      </x:c>
      <x:c r="AH322" s="8" t="str">
        <x:v>81.08</x:v>
      </x:c>
      <x:c r="AI322" s="6" t="str">
        <x:v>194.7</x:v>
      </x:c>
      <x:c r="AJ322" s="6" t="str">
        <x:v>0.3556666666666643</x:v>
      </x:c>
      <x:c r="AK322" s="8" t="str">
        <x:v>0.6638061339362131</x:v>
      </x:c>
      <x:c r="AL322" s="6" t="str">
        <x:v>0.1155960729532266</x:v>
      </x:c>
      <x:c r="AM322" s="6" t="str">
        <x:v>0.5413008974785163</x:v>
      </x:c>
      <x:c r="AN322" s="6" t="str">
        <x:v>0.4402343681226521</x:v>
      </x:c>
      <x:c r="AO322" s="6" t="str">
        <x:v>6.614000000000004</x:v>
      </x:c>
      <x:c r="AP322" s="8" t="str">
        <x:v>1.2994913654845175</x:v>
      </x:c>
      <x:c r="AQ322" s="6" t="str">
        <x:v>0.8015982100336777</x:v>
      </x:c>
      <x:c r="AR322" s="6" t="str">
        <x:v>0.4652109675889628</x:v>
      </x:c>
      <x:c r="AS322" s="6" t="str">
        <x:v>0.8554335143690522</x:v>
      </x:c>
      <x:c r="AT322" s="6" t="str">
        <x:v>131.24</x:v>
      </x:c>
      <x:c r="AU322" s="8" t="str">
        <x:v>1.2991540820560823</x:v>
      </x:c>
      <x:c r="AV322" s="6" t="str">
        <x:v>-0.1386663371850183</x:v>
      </x:c>
      <x:c r="AW322" s="6" t="str">
        <x:v>-0.2503927322261463</x:v>
      </x:c>
      <x:c r="AX322" s="6" t="str">
        <x:v>0.3033650042149726</x:v>
      </x:c>
      <x:c r="AY322" s="6" t="str">
        <x:v>1</x:v>
      </x:c>
      <x:c r="AZ322" s="6" t="str">
        <x:v>0</x:v>
      </x:c>
      <x:c r="BA322" s="9" t="str">
        <x:v>grid_cells_within_BIG_polygon</x:v>
      </x:c>
      <x:c r="BB322" s="6" t="str">
        <x:v>1</x:v>
      </x:c>
      <x:c r="BC322" s="6" t="str">
        <x:v>6</x:v>
      </x:c>
      <x:c r="BD322" s="6" t="str">
        <x:v>6</x:v>
      </x:c>
      <x:c r="BE322" s="6" t="str">
        <x:v>0</x:v>
      </x:c>
      <x:c r="BF322" s="6" t="str">
        <x:v>0</x:v>
      </x:c>
      <x:c r="BG322" s="6" t="str">
        <x:v>0</x:v>
      </x:c>
      <x:c r="BH322" s="6" t="str">
        <x:v>2</x:v>
      </x:c>
      <x:c r="BI322" s="6" t="str">
        <x:v>4</x:v>
      </x:c>
      <x:c r="BJ322" s="6" t="str">
        <x:v>0</x:v>
      </x:c>
      <x:c r="BK322" s="6" t="str">
        <x:v>0</x:v>
      </x:c>
      <x:c r="BL322" s="6" t="str">
        <x:v>0</x:v>
      </x:c>
      <x:c r="BM322" s="6" t="str">
        <x:v>0</x:v>
      </x:c>
      <x:c r="BN322" s="6" t="str">
        <x:v>6</x:v>
      </x:c>
      <x:c r="BO322" s="6" t="str">
        <x:v>0.0</x:v>
      </x:c>
      <x:c r="BP322" s="6" t="str">
        <x:v>2</x:v>
      </x:c>
      <x:c r="BQ322" s="6" t="str">
        <x:v>0.0</x:v>
      </x:c>
      <x:c r="BR322" s="6" t="str">
        <x:v>2</x:v>
      </x:c>
      <x:c r="BS322" s="6" t="str">
        <x:v>0.0</x:v>
      </x:c>
      <x:c r="BT322" s="6" t="str">
        <x:v>6</x:v>
      </x:c>
      <x:c r="BU322" s="6" t="str"/>
      <x:c r="BV322" s="6" t="str">
        <x:v>0</x:v>
      </x:c>
      <x:c r="BW322" s="9" t="str">
        <x:v>operational_snapshot_annual_totals_may_differ</x:v>
      </x:c>
      <x:c r="BX322" s="9" t="str">
        <x:v>official_live_dashboard_snapshot_subject_to_revision</x:v>
      </x:c>
      <x:c r="BY322" s="9" t="str">
        <x:v>https://tbdashboard.sitb.id/ss_data_tbc03so_2024_provinsi_bulanan_list.php</x:v>
      </x:c>
      <x:c r="BZ322" s="6" t="n">
        <x:v>46246.610671296294</x:v>
      </x:c>
    </x:row>
    <x:row r="323" ht="18" customHeight="1">
      <x:c r="A323" s="6" t="str">
        <x:v>34</x:v>
      </x:c>
      <x:c r="B323" s="6" t="str">
        <x:v>DI YOGYAKARTA</x:v>
      </x:c>
      <x:c r="C323" s="6" t="str">
        <x:v>2024</x:v>
      </x:c>
      <x:c r="D323" s="6" t="str">
        <x:v>10</x:v>
      </x:c>
      <x:c r="E323" s="6" t="str">
        <x:v>2024-10</x:v>
      </x:c>
      <x:c r="F323" s="6" t="str">
        <x:v>594</x:v>
      </x:c>
      <x:c r="G323" s="6" t="str">
        <x:v>87</x:v>
      </x:c>
      <x:c r="H323" s="6" t="str">
        <x:v>431</x:v>
      </x:c>
      <x:c r="I323" s="6" t="str">
        <x:v>40</x:v>
      </x:c>
      <x:c r="J323" s="6" t="str">
        <x:v>33</x:v>
      </x:c>
      <x:c r="K323" s="6" t="str">
        <x:v>1</x:v>
      </x:c>
      <x:c r="L323" s="6" t="str">
        <x:v>2</x:v>
      </x:c>
      <x:c r="M323" s="6" t="str">
        <x:v>0</x:v>
      </x:c>
      <x:c r="N323" s="6" t="str">
        <x:v>594</x:v>
      </x:c>
      <x:c r="O323" s="6" t="str">
        <x:v>0</x:v>
      </x:c>
      <x:c r="P323" s="10" t="n">
        <x:f>F323-M323</x:f>
        <x:v>594</x:v>
      </x:c>
      <x:c r="Q323" s="11" t="n">
        <x:f>IFERROR(M323/F323,"")</x:f>
        <x:v>0</x:v>
      </x:c>
      <x:c r="R323" s="10" t="n">
        <x:f>G323+H323</x:f>
        <x:v>518</x:v>
      </x:c>
      <x:c r="S323" s="11" t="n">
        <x:f>IFERROR(R323/F323,"")</x:f>
        <x:v>0.8720538720538721</x:v>
      </x:c>
      <x:c r="T323" s="11" t="n">
        <x:f>IFERROR(R323/P323,"")</x:f>
        <x:v>0.8720538720538721</x:v>
      </x:c>
      <x:c r="U323" s="10" t="n">
        <x:f>I323+J323+K323</x:f>
        <x:v>74</x:v>
      </x:c>
      <x:c r="V323" s="11" t="n">
        <x:f>IFERROR(U323/P323,"")</x:f>
        <x:v>0.12457912457912458</x:v>
      </x:c>
      <x:c r="W323" s="9" t="str">
        <x:v>mature_le_5pct_pending</x:v>
      </x:c>
      <x:c r="X323" s="12" t="n">
        <x:f>IFERROR(F323/Z323*100000,"")</x:f>
        <x:v>15.79997340071818</x:v>
      </x:c>
      <x:c r="Y323" s="13" t="n">
        <x:f>LN(Z323)</x:f>
        <x:v>15.139796527800218</x:v>
      </x:c>
      <x:c r="Z323" s="6" t="str">
        <x:v>3759500</x:v>
      </x:c>
      <x:c r="AA323" s="6" t="str">
        <x:v>1186.0</x:v>
      </x:c>
      <x:c r="AB323" s="9" t="str">
        <x:v>2024-06-30</x:v>
      </x:c>
      <x:c r="AC323" s="8" t="str">
        <x:v>96.7</x:v>
      </x:c>
      <x:c r="AD323" s="9" t="str">
        <x:v>2024 (Susenas)</x:v>
      </x:c>
      <x:c r="AE323" s="8" t="str">
        <x:v>10.83</x:v>
      </x:c>
      <x:c r="AF323" s="9" t="str">
        <x:v>Maret 2024 (Susenas)</x:v>
      </x:c>
      <x:c r="AG323" s="6" t="str">
        <x:v>26.99</x:v>
      </x:c>
      <x:c r="AH323" s="8" t="str">
        <x:v>79.44</x:v>
      </x:c>
      <x:c r="AI323" s="6" t="str">
        <x:v>120.59</x:v>
      </x:c>
      <x:c r="AJ323" s="6" t="str">
        <x:v>0.5919999999999952</x:v>
      </x:c>
      <x:c r="AK323" s="8" t="str">
        <x:v>1.306314465981513</x:v>
      </x:c>
      <x:c r="AL323" s="6" t="str">
        <x:v>0.6638061339362131</x:v>
      </x:c>
      <x:c r="AM323" s="6" t="str">
        <x:v>0.1155960729532266</x:v>
      </x:c>
      <x:c r="AN323" s="6" t="str">
        <x:v>0.6952388909569843</x:v>
      </x:c>
      <x:c r="AO323" s="6" t="str">
        <x:v>2.86933333333333</x:v>
      </x:c>
      <x:c r="AP323" s="8" t="str">
        <x:v>0.5106088257040698</x:v>
      </x:c>
      <x:c r="AQ323" s="6" t="str">
        <x:v>1.2994913654845175</x:v>
      </x:c>
      <x:c r="AR323" s="6" t="str">
        <x:v>0.8015982100336777</x:v>
      </x:c>
      <x:c r="AS323" s="6" t="str">
        <x:v>0.8705661337407546</x:v>
      </x:c>
      <x:c r="AT323" s="6" t="str">
        <x:v>-18.941000000000003</x:v>
      </x:c>
      <x:c r="AU323" s="8" t="str">
        <x:v>-0.1704528591556786</x:v>
      </x:c>
      <x:c r="AV323" s="6" t="str">
        <x:v>1.2991540820560823</x:v>
      </x:c>
      <x:c r="AW323" s="6" t="str">
        <x:v>-0.1386663371850183</x:v>
      </x:c>
      <x:c r="AX323" s="6" t="str">
        <x:v>0.3300116285717951</x:v>
      </x:c>
      <x:c r="AY323" s="6" t="str">
        <x:v>0</x:v>
      </x:c>
      <x:c r="AZ323" s="6" t="str">
        <x:v>1</x:v>
      </x:c>
      <x:c r="BA323" s="9" t="str">
        <x:v>grid_cells_within_BIG_polygon</x:v>
      </x:c>
      <x:c r="BB323" s="6" t="str">
        <x:v>1</x:v>
      </x:c>
      <x:c r="BC323" s="6" t="str">
        <x:v>4</x:v>
      </x:c>
      <x:c r="BD323" s="6" t="str">
        <x:v>4</x:v>
      </x:c>
      <x:c r="BE323" s="6" t="str">
        <x:v>0</x:v>
      </x:c>
      <x:c r="BF323" s="6" t="str">
        <x:v>0</x:v>
      </x:c>
      <x:c r="BG323" s="6" t="str">
        <x:v>4</x:v>
      </x:c>
      <x:c r="BH323" s="6" t="str">
        <x:v>0</x:v>
      </x:c>
      <x:c r="BI323" s="6" t="str">
        <x:v>0</x:v>
      </x:c>
      <x:c r="BJ323" s="6" t="str">
        <x:v>0</x:v>
      </x:c>
      <x:c r="BK323" s="6" t="str">
        <x:v>0</x:v>
      </x:c>
      <x:c r="BL323" s="6" t="str">
        <x:v>0</x:v>
      </x:c>
      <x:c r="BM323" s="6" t="str">
        <x:v>0</x:v>
      </x:c>
      <x:c r="BN323" s="6" t="str">
        <x:v>4</x:v>
      </x:c>
      <x:c r="BO323" s="6" t="str"/>
      <x:c r="BP323" s="6" t="str">
        <x:v>0</x:v>
      </x:c>
      <x:c r="BQ323" s="6" t="str">
        <x:v>3.0</x:v>
      </x:c>
      <x:c r="BR323" s="6" t="str">
        <x:v>1</x:v>
      </x:c>
      <x:c r="BS323" s="6" t="str">
        <x:v>149.0</x:v>
      </x:c>
      <x:c r="BT323" s="6" t="str">
        <x:v>4</x:v>
      </x:c>
      <x:c r="BU323" s="6" t="str"/>
      <x:c r="BV323" s="6" t="str">
        <x:v>0</x:v>
      </x:c>
      <x:c r="BW323" s="9" t="str">
        <x:v>operational_snapshot_annual_totals_may_differ</x:v>
      </x:c>
      <x:c r="BX323" s="9" t="str">
        <x:v>official_live_dashboard_snapshot_subject_to_revision</x:v>
      </x:c>
      <x:c r="BY323" s="9" t="str">
        <x:v>https://tbdashboard.sitb.id/ss_data_tbc03so_2024_provinsi_bulanan_list.php</x:v>
      </x:c>
      <x:c r="BZ323" s="6" t="n">
        <x:v>46246.610671296294</x:v>
      </x:c>
    </x:row>
    <x:row r="324" ht="18" customHeight="1">
      <x:c r="A324" s="6" t="str">
        <x:v>34</x:v>
      </x:c>
      <x:c r="B324" s="6" t="str">
        <x:v>DI YOGYAKARTA</x:v>
      </x:c>
      <x:c r="C324" s="6" t="str">
        <x:v>2024</x:v>
      </x:c>
      <x:c r="D324" s="6" t="str">
        <x:v>11</x:v>
      </x:c>
      <x:c r="E324" s="6" t="str">
        <x:v>2024-11</x:v>
      </x:c>
      <x:c r="F324" s="6" t="str">
        <x:v>578</x:v>
      </x:c>
      <x:c r="G324" s="6" t="str">
        <x:v>72</x:v>
      </x:c>
      <x:c r="H324" s="6" t="str">
        <x:v>405</x:v>
      </x:c>
      <x:c r="I324" s="6" t="str">
        <x:v>61</x:v>
      </x:c>
      <x:c r="J324" s="6" t="str">
        <x:v>29</x:v>
      </x:c>
      <x:c r="K324" s="6" t="str">
        <x:v>8</x:v>
      </x:c>
      <x:c r="L324" s="6" t="str">
        <x:v>0</x:v>
      </x:c>
      <x:c r="M324" s="6" t="str">
        <x:v>3</x:v>
      </x:c>
      <x:c r="N324" s="6" t="str">
        <x:v>578</x:v>
      </x:c>
      <x:c r="O324" s="6" t="str">
        <x:v>0</x:v>
      </x:c>
      <x:c r="P324" s="10" t="n">
        <x:f>F324-M324</x:f>
        <x:v>575</x:v>
      </x:c>
      <x:c r="Q324" s="11" t="n">
        <x:f>IFERROR(M324/F324,"")</x:f>
        <x:v>0.005190311418685121</x:v>
      </x:c>
      <x:c r="R324" s="10" t="n">
        <x:f>G324+H324</x:f>
        <x:v>477</x:v>
      </x:c>
      <x:c r="S324" s="11" t="n">
        <x:f>IFERROR(R324/F324,"")</x:f>
        <x:v>0.8252595155709342</x:v>
      </x:c>
      <x:c r="T324" s="11" t="n">
        <x:f>IFERROR(R324/P324,"")</x:f>
        <x:v>0.8295652173913044</x:v>
      </x:c>
      <x:c r="U324" s="10" t="n">
        <x:f>I324+J324+K324</x:f>
        <x:v>98</x:v>
      </x:c>
      <x:c r="V324" s="11" t="n">
        <x:f>IFERROR(U324/P324,"")</x:f>
        <x:v>0.17043478260869566</x:v>
      </x:c>
      <x:c r="W324" s="9" t="str">
        <x:v>mature_le_5pct_pending</x:v>
      </x:c>
      <x:c r="X324" s="12" t="n">
        <x:f>IFERROR(F324/Z324*100000,"")</x:f>
        <x:v>15.374384891607928</x:v>
      </x:c>
      <x:c r="Y324" s="13" t="n">
        <x:f>LN(Z324)</x:f>
        <x:v>15.139796527800218</x:v>
      </x:c>
      <x:c r="Z324" s="6" t="str">
        <x:v>3759500</x:v>
      </x:c>
      <x:c r="AA324" s="6" t="str">
        <x:v>1186.0</x:v>
      </x:c>
      <x:c r="AB324" s="9" t="str">
        <x:v>2024-06-30</x:v>
      </x:c>
      <x:c r="AC324" s="8" t="str">
        <x:v>96.7</x:v>
      </x:c>
      <x:c r="AD324" s="9" t="str">
        <x:v>2024 (Susenas)</x:v>
      </x:c>
      <x:c r="AE324" s="8" t="str">
        <x:v>10.83</x:v>
      </x:c>
      <x:c r="AF324" s="9" t="str">
        <x:v>Maret 2024 (Susenas)</x:v>
      </x:c>
      <x:c r="AG324" s="6" t="str">
        <x:v>27.22</x:v>
      </x:c>
      <x:c r="AH324" s="8" t="str">
        <x:v>85.69</x:v>
      </x:c>
      <x:c r="AI324" s="6" t="str">
        <x:v>348.90000000000003</x:v>
      </x:c>
      <x:c r="AJ324" s="6" t="str">
        <x:v>0.8243333333333318</x:v>
      </x:c>
      <x:c r="AK324" s="8" t="str">
        <x:v>1.4349998871832623</x:v>
      </x:c>
      <x:c r="AL324" s="6" t="str">
        <x:v>1.306314465981513</x:v>
      </x:c>
      <x:c r="AM324" s="6" t="str">
        <x:v>0.6638061339362131</x:v>
      </x:c>
      <x:c r="AN324" s="6" t="str">
        <x:v>1.1350401623669963</x:v>
      </x:c>
      <x:c r="AO324" s="6" t="str">
        <x:v>3.3983333333333263</x:v>
      </x:c>
      <x:c r="AP324" s="8" t="str">
        <x:v>0.832455223217634</x:v>
      </x:c>
      <x:c r="AQ324" s="6" t="str">
        <x:v>0.5106088257040698</x:v>
      </x:c>
      <x:c r="AR324" s="6" t="str">
        <x:v>1.2994913654845175</x:v>
      </x:c>
      <x:c r="AS324" s="6" t="str">
        <x:v>0.8808518048020734</x:v>
      </x:c>
      <x:c r="AT324" s="6" t="str">
        <x:v>116.49000000000004</x:v>
      </x:c>
      <x:c r="AU324" s="8" t="str">
        <x:v>1.4352196314231</x:v>
      </x:c>
      <x:c r="AV324" s="6" t="str">
        <x:v>-0.1704528591556786</x:v>
      </x:c>
      <x:c r="AW324" s="6" t="str">
        <x:v>1.2991540820560823</x:v>
      </x:c>
      <x:c r="AX324" s="6" t="str">
        <x:v>0.8546402847745013</x:v>
      </x:c>
      <x:c r="AY324" s="6" t="str">
        <x:v>1</x:v>
      </x:c>
      <x:c r="AZ324" s="6" t="str">
        <x:v>1</x:v>
      </x:c>
      <x:c r="BA324" s="9" t="str">
        <x:v>grid_cells_within_BIG_polygon</x:v>
      </x:c>
      <x:c r="BB324" s="6" t="str">
        <x:v>1</x:v>
      </x:c>
      <x:c r="BC324" s="6" t="str">
        <x:v>20</x:v>
      </x:c>
      <x:c r="BD324" s="6" t="str">
        <x:v>20</x:v>
      </x:c>
      <x:c r="BE324" s="6" t="str">
        <x:v>0</x:v>
      </x:c>
      <x:c r="BF324" s="6" t="str">
        <x:v>3</x:v>
      </x:c>
      <x:c r="BG324" s="6" t="str">
        <x:v>17</x:v>
      </x:c>
      <x:c r="BH324" s="6" t="str">
        <x:v>0</x:v>
      </x:c>
      <x:c r="BI324" s="6" t="str">
        <x:v>0</x:v>
      </x:c>
      <x:c r="BJ324" s="6" t="str">
        <x:v>0</x:v>
      </x:c>
      <x:c r="BK324" s="6" t="str">
        <x:v>0</x:v>
      </x:c>
      <x:c r="BL324" s="6" t="str">
        <x:v>0</x:v>
      </x:c>
      <x:c r="BM324" s="6" t="str">
        <x:v>0</x:v>
      </x:c>
      <x:c r="BN324" s="6" t="str">
        <x:v>20</x:v>
      </x:c>
      <x:c r="BO324" s="6" t="str">
        <x:v>1.0</x:v>
      </x:c>
      <x:c r="BP324" s="6" t="str">
        <x:v>1</x:v>
      </x:c>
      <x:c r="BQ324" s="6" t="str">
        <x:v>1.0</x:v>
      </x:c>
      <x:c r="BR324" s="6" t="str">
        <x:v>1</x:v>
      </x:c>
      <x:c r="BS324" s="6" t="str">
        <x:v>268.0</x:v>
      </x:c>
      <x:c r="BT324" s="6" t="str">
        <x:v>20</x:v>
      </x:c>
      <x:c r="BU324" s="6" t="str"/>
      <x:c r="BV324" s="6" t="str">
        <x:v>0</x:v>
      </x:c>
      <x:c r="BW324" s="9" t="str">
        <x:v>operational_snapshot_annual_totals_may_differ</x:v>
      </x:c>
      <x:c r="BX324" s="9" t="str">
        <x:v>official_live_dashboard_snapshot_subject_to_revision</x:v>
      </x:c>
      <x:c r="BY324" s="9" t="str">
        <x:v>https://tbdashboard.sitb.id/ss_data_tbc03so_2024_provinsi_bulanan_list.php</x:v>
      </x:c>
      <x:c r="BZ324" s="6" t="n">
        <x:v>46246.610671296294</x:v>
      </x:c>
    </x:row>
    <x:row r="325" ht="18" customHeight="1">
      <x:c r="A325" s="6" t="str">
        <x:v>34</x:v>
      </x:c>
      <x:c r="B325" s="6" t="str">
        <x:v>DI YOGYAKARTA</x:v>
      </x:c>
      <x:c r="C325" s="6" t="str">
        <x:v>2024</x:v>
      </x:c>
      <x:c r="D325" s="6" t="str">
        <x:v>12</x:v>
      </x:c>
      <x:c r="E325" s="6" t="str">
        <x:v>2024-12</x:v>
      </x:c>
      <x:c r="F325" s="6" t="str">
        <x:v>590</x:v>
      </x:c>
      <x:c r="G325" s="6" t="str">
        <x:v>98</x:v>
      </x:c>
      <x:c r="H325" s="6" t="str">
        <x:v>396</x:v>
      </x:c>
      <x:c r="I325" s="6" t="str">
        <x:v>50</x:v>
      </x:c>
      <x:c r="J325" s="6" t="str">
        <x:v>39</x:v>
      </x:c>
      <x:c r="K325" s="6" t="str">
        <x:v>3</x:v>
      </x:c>
      <x:c r="L325" s="6" t="str">
        <x:v>2</x:v>
      </x:c>
      <x:c r="M325" s="6" t="str">
        <x:v>2</x:v>
      </x:c>
      <x:c r="N325" s="6" t="str">
        <x:v>590</x:v>
      </x:c>
      <x:c r="O325" s="6" t="str">
        <x:v>0</x:v>
      </x:c>
      <x:c r="P325" s="10" t="n">
        <x:f>F325-M325</x:f>
        <x:v>588</x:v>
      </x:c>
      <x:c r="Q325" s="11" t="n">
        <x:f>IFERROR(M325/F325,"")</x:f>
        <x:v>0.003389830508474576</x:v>
      </x:c>
      <x:c r="R325" s="10" t="n">
        <x:f>G325+H325</x:f>
        <x:v>494</x:v>
      </x:c>
      <x:c r="S325" s="11" t="n">
        <x:f>IFERROR(R325/F325,"")</x:f>
        <x:v>0.8372881355932204</x:v>
      </x:c>
      <x:c r="T325" s="11" t="n">
        <x:f>IFERROR(R325/P325,"")</x:f>
        <x:v>0.8401360544217688</x:v>
      </x:c>
      <x:c r="U325" s="10" t="n">
        <x:f>I325+J325+K325</x:f>
        <x:v>92</x:v>
      </x:c>
      <x:c r="V325" s="11" t="n">
        <x:f>IFERROR(U325/P325,"")</x:f>
        <x:v>0.1564625850340136</x:v>
      </x:c>
      <x:c r="W325" s="9" t="str">
        <x:v>mature_le_5pct_pending</x:v>
      </x:c>
      <x:c r="X325" s="12" t="n">
        <x:f>IFERROR(F325/Z325*100000,"")</x:f>
        <x:v>15.693576273440618</x:v>
      </x:c>
      <x:c r="Y325" s="13" t="n">
        <x:f>LN(Z325)</x:f>
        <x:v>15.139796527800218</x:v>
      </x:c>
      <x:c r="Z325" s="6" t="str">
        <x:v>3759500</x:v>
      </x:c>
      <x:c r="AA325" s="6" t="str">
        <x:v>1186.0</x:v>
      </x:c>
      <x:c r="AB325" s="9" t="str">
        <x:v>2024-06-30</x:v>
      </x:c>
      <x:c r="AC325" s="8" t="str">
        <x:v>96.7</x:v>
      </x:c>
      <x:c r="AD325" s="9" t="str">
        <x:v>2024 (Susenas)</x:v>
      </x:c>
      <x:c r="AE325" s="8" t="str">
        <x:v>10.83</x:v>
      </x:c>
      <x:c r="AF325" s="9" t="str">
        <x:v>Maret 2024 (Susenas)</x:v>
      </x:c>
      <x:c r="AG325" s="6" t="str">
        <x:v>26.52</x:v>
      </x:c>
      <x:c r="AH325" s="8" t="str">
        <x:v>88.16</x:v>
      </x:c>
      <x:c r="AI325" s="6" t="str">
        <x:v>323.64</x:v>
      </x:c>
      <x:c r="AJ325" s="6" t="str">
        <x:v>0.5139999999999958</x:v>
      </x:c>
      <x:c r="AK325" s="8" t="str">
        <x:v>1.0397605910309555</x:v>
      </x:c>
      <x:c r="AL325" s="6" t="str">
        <x:v>1.4349998871832623</x:v>
      </x:c>
      <x:c r="AM325" s="6" t="str">
        <x:v>1.306314465981513</x:v>
      </x:c>
      <x:c r="AN325" s="6" t="str">
        <x:v>1.2603583147319102</x:v>
      </x:c>
      <x:c r="AO325" s="6" t="str">
        <x:v>2.857333333333329</x:v>
      </x:c>
      <x:c r="AP325" s="8" t="str">
        <x:v>1.2945568318311578</x:v>
      </x:c>
      <x:c r="AQ325" s="6" t="str">
        <x:v>0.832455223217634</x:v>
      </x:c>
      <x:c r="AR325" s="6" t="str">
        <x:v>0.5106088257040698</x:v>
      </x:c>
      <x:c r="AS325" s="6" t="str">
        <x:v>0.8792069602509535</x:v>
      </x:c>
      <x:c r="AT325" s="6" t="str">
        <x:v>43.62733333333336</x:v>
      </x:c>
      <x:c r="AU325" s="8" t="str">
        <x:v>0.5408981362399748</x:v>
      </x:c>
      <x:c r="AV325" s="6" t="str">
        <x:v>1.4352196314231</x:v>
      </x:c>
      <x:c r="AW325" s="6" t="str">
        <x:v>-0.1704528591556786</x:v>
      </x:c>
      <x:c r="AX325" s="6" t="str">
        <x:v>0.6018883028357989</x:v>
      </x:c>
      <x:c r="AY325" s="6" t="str">
        <x:v>0</x:v>
      </x:c>
      <x:c r="AZ325" s="6" t="str">
        <x:v>1</x:v>
      </x:c>
      <x:c r="BA325" s="9" t="str">
        <x:v>grid_cells_within_BIG_polygon</x:v>
      </x:c>
      <x:c r="BB325" s="6" t="str">
        <x:v>1</x:v>
      </x:c>
      <x:c r="BC325" s="6" t="str">
        <x:v>4</x:v>
      </x:c>
      <x:c r="BD325" s="6" t="str">
        <x:v>4</x:v>
      </x:c>
      <x:c r="BE325" s="6" t="str">
        <x:v>0</x:v>
      </x:c>
      <x:c r="BF325" s="6" t="str">
        <x:v>1</x:v>
      </x:c>
      <x:c r="BG325" s="6" t="str">
        <x:v>3</x:v>
      </x:c>
      <x:c r="BH325" s="6" t="str">
        <x:v>0</x:v>
      </x:c>
      <x:c r="BI325" s="6" t="str">
        <x:v>0</x:v>
      </x:c>
      <x:c r="BJ325" s="6" t="str">
        <x:v>0</x:v>
      </x:c>
      <x:c r="BK325" s="6" t="str">
        <x:v>0</x:v>
      </x:c>
      <x:c r="BL325" s="6" t="str">
        <x:v>0</x:v>
      </x:c>
      <x:c r="BM325" s="6" t="str">
        <x:v>0</x:v>
      </x:c>
      <x:c r="BN325" s="6" t="str">
        <x:v>4</x:v>
      </x:c>
      <x:c r="BO325" s="6" t="str">
        <x:v>0.0</x:v>
      </x:c>
      <x:c r="BP325" s="6" t="str">
        <x:v>1</x:v>
      </x:c>
      <x:c r="BQ325" s="6" t="str">
        <x:v>1.0</x:v>
      </x:c>
      <x:c r="BR325" s="6" t="str">
        <x:v>1</x:v>
      </x:c>
      <x:c r="BS325" s="6" t="str">
        <x:v>19.0</x:v>
      </x:c>
      <x:c r="BT325" s="6" t="str">
        <x:v>4</x:v>
      </x:c>
      <x:c r="BU325" s="6" t="str"/>
      <x:c r="BV325" s="6" t="str">
        <x:v>0</x:v>
      </x:c>
      <x:c r="BW325" s="9" t="str">
        <x:v>operational_snapshot_annual_totals_may_differ</x:v>
      </x:c>
      <x:c r="BX325" s="9" t="str">
        <x:v>official_live_dashboard_snapshot_subject_to_revision</x:v>
      </x:c>
      <x:c r="BY325" s="9" t="str">
        <x:v>https://tbdashboard.sitb.id/ss_data_tbc03so_2024_provinsi_bulanan_list.php</x:v>
      </x:c>
      <x:c r="BZ325" s="6" t="n">
        <x:v>46246.610671296294</x:v>
      </x:c>
    </x:row>
    <x:row r="326" ht="18" customHeight="1">
      <x:c r="A326" s="6" t="str">
        <x:v>34</x:v>
      </x:c>
      <x:c r="B326" s="6" t="str">
        <x:v>DI YOGYAKARTA</x:v>
      </x:c>
      <x:c r="C326" s="6" t="str">
        <x:v>2025</x:v>
      </x:c>
      <x:c r="D326" s="6" t="str">
        <x:v>1</x:v>
      </x:c>
      <x:c r="E326" s="6" t="str">
        <x:v>2025-01</x:v>
      </x:c>
      <x:c r="F326" s="6" t="str">
        <x:v>525</x:v>
      </x:c>
      <x:c r="G326" s="6" t="str">
        <x:v>91</x:v>
      </x:c>
      <x:c r="H326" s="6" t="str">
        <x:v>311</x:v>
      </x:c>
      <x:c r="I326" s="6" t="str">
        <x:v>42</x:v>
      </x:c>
      <x:c r="J326" s="6" t="str">
        <x:v>30</x:v>
      </x:c>
      <x:c r="K326" s="6" t="str">
        <x:v>4</x:v>
      </x:c>
      <x:c r="L326" s="6" t="str">
        <x:v>2</x:v>
      </x:c>
      <x:c r="M326" s="6" t="str">
        <x:v>45</x:v>
      </x:c>
      <x:c r="N326" s="6" t="str">
        <x:v>525</x:v>
      </x:c>
      <x:c r="O326" s="6" t="str">
        <x:v>0</x:v>
      </x:c>
      <x:c r="P326" s="10" t="n">
        <x:f>F326-M326</x:f>
        <x:v>480</x:v>
      </x:c>
      <x:c r="Q326" s="11" t="n">
        <x:f>IFERROR(M326/F326,"")</x:f>
        <x:v>0.08571428571428572</x:v>
      </x:c>
      <x:c r="R326" s="10" t="n">
        <x:f>G326+H326</x:f>
        <x:v>402</x:v>
      </x:c>
      <x:c r="S326" s="11" t="n">
        <x:f>IFERROR(R326/F326,"")</x:f>
        <x:v>0.7657142857142857</x:v>
      </x:c>
      <x:c r="T326" s="11" t="n">
        <x:f>IFERROR(R326/P326,"")</x:f>
        <x:v>0.8375</x:v>
      </x:c>
      <x:c r="U326" s="10" t="n">
        <x:f>I326+J326+K326</x:f>
        <x:v>76</x:v>
      </x:c>
      <x:c r="V326" s="11" t="n">
        <x:f>IFERROR(U326/P326,"")</x:f>
        <x:v>0.15833333333333333</x:v>
      </x:c>
      <x:c r="W326" s="9" t="str">
        <x:v>provisional_gt_5pct_pending</x:v>
      </x:c>
      <x:c r="X326" s="12" t="n">
        <x:f>IFERROR(F326/Z326*100000,"")</x:f>
        <x:v>13.88337961126537</x:v>
      </x:c>
      <x:c r="Y326" s="13" t="n">
        <x:f>LN(Z326)</x:f>
        <x:v>15.145631314278221</x:v>
      </x:c>
      <x:c r="Z326" s="6" t="str">
        <x:v>3781500</x:v>
      </x:c>
      <x:c r="AA326" s="6" t="str">
        <x:v>1193.0</x:v>
      </x:c>
      <x:c r="AB326" s="9" t="str">
        <x:v>2025-06-30</x:v>
      </x:c>
      <x:c r="AC326" s="8" t="str">
        <x:v>96.94</x:v>
      </x:c>
      <x:c r="AD326" s="9" t="str">
        <x:v>2025 (Susenas)</x:v>
      </x:c>
      <x:c r="AE326" s="8" t="str">
        <x:v>10.23</x:v>
      </x:c>
      <x:c r="AF326" s="9" t="str">
        <x:v>Maret 2025 (Susenas)</x:v>
      </x:c>
      <x:c r="AG326" s="6" t="str">
        <x:v>26.31</x:v>
      </x:c>
      <x:c r="AH326" s="8" t="str">
        <x:v>87.53</x:v>
      </x:c>
      <x:c r="AI326" s="6" t="str">
        <x:v>343.17</x:v>
      </x:c>
      <x:c r="AJ326" s="6" t="str">
        <x:v>0.3829999999999991</x:v>
      </x:c>
      <x:c r="AK326" s="8" t="str">
        <x:v>0.900205575563246</x:v>
      </x:c>
      <x:c r="AL326" s="6" t="str">
        <x:v>1.0397605910309555</x:v>
      </x:c>
      <x:c r="AM326" s="6" t="str">
        <x:v>1.4349998871832623</x:v>
      </x:c>
      <x:c r="AN326" s="6" t="str">
        <x:v>1.124988684592488</x:v>
      </x:c>
      <x:c r="AO326" s="6" t="str">
        <x:v>0.972999999999999</x:v>
      </x:c>
      <x:c r="AP326" s="8" t="str">
        <x:v>0.5107254753008389</x:v>
      </x:c>
      <x:c r="AQ326" s="6" t="str">
        <x:v>1.2945568318311578</x:v>
      </x:c>
      <x:c r="AR326" s="6" t="str">
        <x:v>0.832455223217634</x:v>
      </x:c>
      <x:c r="AS326" s="6" t="str">
        <x:v>0.8792458434498766</x:v>
      </x:c>
      <x:c r="AT326" s="6" t="str">
        <x:v>8.969333333333338</x:v>
      </x:c>
      <x:c r="AU326" s="8" t="str">
        <x:v>0.0715597053709505</x:v>
      </x:c>
      <x:c r="AV326" s="6" t="str">
        <x:v>0.5408981362399748</x:v>
      </x:c>
      <x:c r="AW326" s="6" t="str">
        <x:v>1.4352196314231</x:v>
      </x:c>
      <x:c r="AX326" s="6" t="str">
        <x:v>0.6825591576780085</x:v>
      </x:c>
      <x:c r="AY326" s="6" t="str">
        <x:v>0</x:v>
      </x:c>
      <x:c r="AZ326" s="6" t="str">
        <x:v>0</x:v>
      </x:c>
      <x:c r="BA326" s="9" t="str">
        <x:v>grid_cells_within_BIG_polygon</x:v>
      </x:c>
      <x:c r="BB326" s="6" t="str">
        <x:v>1</x:v>
      </x:c>
      <x:c r="BC326" s="6" t="str">
        <x:v>8</x:v>
      </x:c>
      <x:c r="BD326" s="6" t="str">
        <x:v>8</x:v>
      </x:c>
      <x:c r="BE326" s="6" t="str">
        <x:v>0</x:v>
      </x:c>
      <x:c r="BF326" s="6" t="str">
        <x:v>3</x:v>
      </x:c>
      <x:c r="BG326" s="6" t="str">
        <x:v>5</x:v>
      </x:c>
      <x:c r="BH326" s="6" t="str">
        <x:v>0</x:v>
      </x:c>
      <x:c r="BI326" s="6" t="str">
        <x:v>0</x:v>
      </x:c>
      <x:c r="BJ326" s="6" t="str">
        <x:v>0</x:v>
      </x:c>
      <x:c r="BK326" s="6" t="str">
        <x:v>0</x:v>
      </x:c>
      <x:c r="BL326" s="6" t="str">
        <x:v>0</x:v>
      </x:c>
      <x:c r="BM326" s="6" t="str">
        <x:v>0</x:v>
      </x:c>
      <x:c r="BN326" s="6" t="str">
        <x:v>8</x:v>
      </x:c>
      <x:c r="BO326" s="6" t="str">
        <x:v>1.0</x:v>
      </x:c>
      <x:c r="BP326" s="6" t="str">
        <x:v>8</x:v>
      </x:c>
      <x:c r="BQ326" s="6" t="str">
        <x:v>0.0</x:v>
      </x:c>
      <x:c r="BR326" s="6" t="str">
        <x:v>8</x:v>
      </x:c>
      <x:c r="BS326" s="6" t="str">
        <x:v>113.0</x:v>
      </x:c>
      <x:c r="BT326" s="6" t="str">
        <x:v>8</x:v>
      </x:c>
      <x:c r="BU326" s="6" t="str"/>
      <x:c r="BV326" s="6" t="str">
        <x:v>0</x:v>
      </x:c>
      <x:c r="BW326" s="9" t="str">
        <x:v>operational_snapshot_annual_totals_may_differ</x:v>
      </x:c>
      <x:c r="BX326" s="9" t="str">
        <x:v>official_live_dashboard_snapshot_subject_to_revision</x:v>
      </x:c>
      <x:c r="BY326" s="9" t="str">
        <x:v>https://tbdashboard.sitb.id/ss_data_tbc03so_2025_provinsi_bulanan_list.php</x:v>
      </x:c>
      <x:c r="BZ326" s="6" t="n">
        <x:v>46246.610671296294</x:v>
      </x:c>
    </x:row>
    <x:row r="327" ht="18" customHeight="1">
      <x:c r="A327" s="6" t="str">
        <x:v>34</x:v>
      </x:c>
      <x:c r="B327" s="6" t="str">
        <x:v>DI YOGYAKARTA</x:v>
      </x:c>
      <x:c r="C327" s="6" t="str">
        <x:v>2025</x:v>
      </x:c>
      <x:c r="D327" s="6" t="str">
        <x:v>2</x:v>
      </x:c>
      <x:c r="E327" s="6" t="str">
        <x:v>2025-02</x:v>
      </x:c>
      <x:c r="F327" s="6" t="str">
        <x:v>539</x:v>
      </x:c>
      <x:c r="G327" s="6" t="str">
        <x:v>109</x:v>
      </x:c>
      <x:c r="H327" s="6" t="str">
        <x:v>314</x:v>
      </x:c>
      <x:c r="I327" s="6" t="str">
        <x:v>35</x:v>
      </x:c>
      <x:c r="J327" s="6" t="str">
        <x:v>31</x:v>
      </x:c>
      <x:c r="K327" s="6" t="str">
        <x:v>6</x:v>
      </x:c>
      <x:c r="L327" s="6" t="str">
        <x:v>4</x:v>
      </x:c>
      <x:c r="M327" s="6" t="str">
        <x:v>40</x:v>
      </x:c>
      <x:c r="N327" s="6" t="str">
        <x:v>539</x:v>
      </x:c>
      <x:c r="O327" s="6" t="str">
        <x:v>0</x:v>
      </x:c>
      <x:c r="P327" s="10" t="n">
        <x:f>F327-M327</x:f>
        <x:v>499</x:v>
      </x:c>
      <x:c r="Q327" s="11" t="n">
        <x:f>IFERROR(M327/F327,"")</x:f>
        <x:v>0.07421150278293136</x:v>
      </x:c>
      <x:c r="R327" s="10" t="n">
        <x:f>G327+H327</x:f>
        <x:v>423</x:v>
      </x:c>
      <x:c r="S327" s="11" t="n">
        <x:f>IFERROR(R327/F327,"")</x:f>
        <x:v>0.7847866419294991</x:v>
      </x:c>
      <x:c r="T327" s="11" t="n">
        <x:f>IFERROR(R327/P327,"")</x:f>
        <x:v>0.8476953907815631</x:v>
      </x:c>
      <x:c r="U327" s="10" t="n">
        <x:f>I327+J327+K327</x:f>
        <x:v>72</x:v>
      </x:c>
      <x:c r="V327" s="11" t="n">
        <x:f>IFERROR(U327/P327,"")</x:f>
        <x:v>0.14428857715430862</x:v>
      </x:c>
      <x:c r="W327" s="9" t="str">
        <x:v>provisional_gt_5pct_pending</x:v>
      </x:c>
      <x:c r="X327" s="12" t="n">
        <x:f>IFERROR(F327/Z327*100000,"")</x:f>
        <x:v>14.25360306756578</x:v>
      </x:c>
      <x:c r="Y327" s="13" t="n">
        <x:f>LN(Z327)</x:f>
        <x:v>15.145631314278221</x:v>
      </x:c>
      <x:c r="Z327" s="6" t="str">
        <x:v>3781500</x:v>
      </x:c>
      <x:c r="AA327" s="6" t="str">
        <x:v>1193.0</x:v>
      </x:c>
      <x:c r="AB327" s="9" t="str">
        <x:v>2025-06-30</x:v>
      </x:c>
      <x:c r="AC327" s="8" t="str">
        <x:v>96.94</x:v>
      </x:c>
      <x:c r="AD327" s="9" t="str">
        <x:v>2025 (Susenas)</x:v>
      </x:c>
      <x:c r="AE327" s="8" t="str">
        <x:v>10.23</x:v>
      </x:c>
      <x:c r="AF327" s="9" t="str">
        <x:v>Maret 2025 (Susenas)</x:v>
      </x:c>
      <x:c r="AG327" s="6" t="str">
        <x:v>26.44</x:v>
      </x:c>
      <x:c r="AH327" s="8" t="str">
        <x:v>87.25</x:v>
      </x:c>
      <x:c r="AI327" s="6" t="str">
        <x:v>278.32</x:v>
      </x:c>
      <x:c r="AJ327" s="6" t="str">
        <x:v>0.4833333333333343</x:v>
      </x:c>
      <x:c r="AK327" s="8" t="str">
        <x:v>1.1480961738247</x:v>
      </x:c>
      <x:c r="AL327" s="6" t="str">
        <x:v>0.900205575563246</x:v>
      </x:c>
      <x:c r="AM327" s="6" t="str">
        <x:v>1.0397605910309555</x:v>
      </x:c>
      <x:c r="AN327" s="6" t="str">
        <x:v>1.0293541134729671</x:v>
      </x:c>
      <x:c r="AO327" s="6" t="str">
        <x:v>0.0786666666666775</x:v>
      </x:c>
      <x:c r="AP327" s="8" t="str">
        <x:v>0.051463126771444</x:v>
      </x:c>
      <x:c r="AQ327" s="6" t="str">
        <x:v>0.5107254753008389</x:v>
      </x:c>
      <x:c r="AR327" s="6" t="str">
        <x:v>1.2945568318311578</x:v>
      </x:c>
      <x:c r="AS327" s="6" t="str">
        <x:v>0.6189151446344799</x:v>
      </x:c>
      <x:c r="AT327" s="6" t="str">
        <x:v>-36.64766666666668</x:v>
      </x:c>
      <x:c r="AU327" s="8" t="str">
        <x:v>-0.3247911324768058</x:v>
      </x:c>
      <x:c r="AV327" s="6" t="str">
        <x:v>0.0715597053709505</x:v>
      </x:c>
      <x:c r="AW327" s="6" t="str">
        <x:v>0.5408981362399748</x:v>
      </x:c>
      <x:c r="AX327" s="6" t="str">
        <x:v>0.0958889030447065</x:v>
      </x:c>
      <x:c r="AY327" s="6" t="str">
        <x:v>0</x:v>
      </x:c>
      <x:c r="AZ327" s="6" t="str">
        <x:v>1</x:v>
      </x:c>
      <x:c r="BA327" s="9" t="str">
        <x:v>grid_cells_within_BIG_polygon</x:v>
      </x:c>
      <x:c r="BB327" s="6" t="str">
        <x:v>1</x:v>
      </x:c>
      <x:c r="BC327" s="6" t="str">
        <x:v>5</x:v>
      </x:c>
      <x:c r="BD327" s="6" t="str">
        <x:v>5</x:v>
      </x:c>
      <x:c r="BE327" s="6" t="str">
        <x:v>1</x:v>
      </x:c>
      <x:c r="BF327" s="6" t="str">
        <x:v>0</x:v>
      </x:c>
      <x:c r="BG327" s="6" t="str">
        <x:v>4</x:v>
      </x:c>
      <x:c r="BH327" s="6" t="str">
        <x:v>0</x:v>
      </x:c>
      <x:c r="BI327" s="6" t="str">
        <x:v>0</x:v>
      </x:c>
      <x:c r="BJ327" s="6" t="str">
        <x:v>0</x:v>
      </x:c>
      <x:c r="BK327" s="6" t="str">
        <x:v>0</x:v>
      </x:c>
      <x:c r="BL327" s="6" t="str">
        <x:v>0</x:v>
      </x:c>
      <x:c r="BM327" s="6" t="str">
        <x:v>0</x:v>
      </x:c>
      <x:c r="BN327" s="6" t="str">
        <x:v>5</x:v>
      </x:c>
      <x:c r="BO327" s="6" t="str">
        <x:v>0.0</x:v>
      </x:c>
      <x:c r="BP327" s="6" t="str">
        <x:v>5</x:v>
      </x:c>
      <x:c r="BQ327" s="6" t="str">
        <x:v>0.0</x:v>
      </x:c>
      <x:c r="BR327" s="6" t="str">
        <x:v>5</x:v>
      </x:c>
      <x:c r="BS327" s="6" t="str">
        <x:v>71.0</x:v>
      </x:c>
      <x:c r="BT327" s="6" t="str">
        <x:v>5</x:v>
      </x:c>
      <x:c r="BU327" s="6" t="str">
        <x:v>6.0</x:v>
      </x:c>
      <x:c r="BV327" s="6" t="str">
        <x:v>1</x:v>
      </x:c>
      <x:c r="BW327" s="9" t="str">
        <x:v>operational_snapshot_annual_totals_may_differ</x:v>
      </x:c>
      <x:c r="BX327" s="9" t="str">
        <x:v>official_live_dashboard_snapshot_subject_to_revision</x:v>
      </x:c>
      <x:c r="BY327" s="9" t="str">
        <x:v>https://tbdashboard.sitb.id/ss_data_tbc03so_2025_provinsi_bulanan_list.php</x:v>
      </x:c>
      <x:c r="BZ327" s="6" t="n">
        <x:v>46246.610671296294</x:v>
      </x:c>
    </x:row>
    <x:row r="328" ht="18" customHeight="1">
      <x:c r="A328" s="6" t="str">
        <x:v>34</x:v>
      </x:c>
      <x:c r="B328" s="6" t="str">
        <x:v>DI YOGYAKARTA</x:v>
      </x:c>
      <x:c r="C328" s="6" t="str">
        <x:v>2025</x:v>
      </x:c>
      <x:c r="D328" s="6" t="str">
        <x:v>3</x:v>
      </x:c>
      <x:c r="E328" s="6" t="str">
        <x:v>2025-03</x:v>
      </x:c>
      <x:c r="F328" s="6" t="str">
        <x:v>506</x:v>
      </x:c>
      <x:c r="G328" s="6" t="str">
        <x:v>96</x:v>
      </x:c>
      <x:c r="H328" s="6" t="str">
        <x:v>293</x:v>
      </x:c>
      <x:c r="I328" s="6" t="str">
        <x:v>41</x:v>
      </x:c>
      <x:c r="J328" s="6" t="str">
        <x:v>36</x:v>
      </x:c>
      <x:c r="K328" s="6" t="str">
        <x:v>6</x:v>
      </x:c>
      <x:c r="L328" s="6" t="str">
        <x:v>0</x:v>
      </x:c>
      <x:c r="M328" s="6" t="str">
        <x:v>34</x:v>
      </x:c>
      <x:c r="N328" s="6" t="str">
        <x:v>506</x:v>
      </x:c>
      <x:c r="O328" s="6" t="str">
        <x:v>0</x:v>
      </x:c>
      <x:c r="P328" s="10" t="n">
        <x:f>F328-M328</x:f>
        <x:v>472</x:v>
      </x:c>
      <x:c r="Q328" s="11" t="n">
        <x:f>IFERROR(M328/F328,"")</x:f>
        <x:v>0.06719367588932806</x:v>
      </x:c>
      <x:c r="R328" s="10" t="n">
        <x:f>G328+H328</x:f>
        <x:v>389</x:v>
      </x:c>
      <x:c r="S328" s="11" t="n">
        <x:f>IFERROR(R328/F328,"")</x:f>
        <x:v>0.7687747035573123</x:v>
      </x:c>
      <x:c r="T328" s="11" t="n">
        <x:f>IFERROR(R328/P328,"")</x:f>
        <x:v>0.8241525423728814</x:v>
      </x:c>
      <x:c r="U328" s="10" t="n">
        <x:f>I328+J328+K328</x:f>
        <x:v>83</x:v>
      </x:c>
      <x:c r="V328" s="11" t="n">
        <x:f>IFERROR(U328/P328,"")</x:f>
        <x:v>0.17584745762711865</x:v>
      </x:c>
      <x:c r="W328" s="9" t="str">
        <x:v>provisional_gt_5pct_pending</x:v>
      </x:c>
      <x:c r="X328" s="12" t="n">
        <x:f>IFERROR(F328/Z328*100000,"")</x:f>
        <x:v>13.380933492000528</x:v>
      </x:c>
      <x:c r="Y328" s="13" t="n">
        <x:f>LN(Z328)</x:f>
        <x:v>15.145631314278221</x:v>
      </x:c>
      <x:c r="Z328" s="6" t="str">
        <x:v>3781500</x:v>
      </x:c>
      <x:c r="AA328" s="6" t="str">
        <x:v>1193.0</x:v>
      </x:c>
      <x:c r="AB328" s="9" t="str">
        <x:v>2025-06-30</x:v>
      </x:c>
      <x:c r="AC328" s="8" t="str">
        <x:v>96.94</x:v>
      </x:c>
      <x:c r="AD328" s="9" t="str">
        <x:v>2025 (Susenas)</x:v>
      </x:c>
      <x:c r="AE328" s="8" t="str">
        <x:v>10.23</x:v>
      </x:c>
      <x:c r="AF328" s="9" t="str">
        <x:v>Maret 2025 (Susenas)</x:v>
      </x:c>
      <x:c r="AG328" s="6" t="str">
        <x:v>26.8</x:v>
      </x:c>
      <x:c r="AH328" s="8" t="str">
        <x:v>86.6</x:v>
      </x:c>
      <x:c r="AI328" s="6" t="str">
        <x:v>282.1</x:v>
      </x:c>
      <x:c r="AJ328" s="6" t="str">
        <x:v>0.6236666666666686</x:v>
      </x:c>
      <x:c r="AK328" s="8" t="str">
        <x:v>1.4669229528240009</x:v>
      </x:c>
      <x:c r="AL328" s="6" t="str">
        <x:v>1.1480961738247</x:v>
      </x:c>
      <x:c r="AM328" s="6" t="str">
        <x:v>0.900205575563246</x:v>
      </x:c>
      <x:c r="AN328" s="6" t="str">
        <x:v>1.1717415674039824</x:v>
      </x:c>
      <x:c r="AO328" s="6" t="str">
        <x:v>0.1979999999999933</x:v>
      </x:c>
      <x:c r="AP328" s="8" t="str">
        <x:v>0.1254736831479052</x:v>
      </x:c>
      <x:c r="AQ328" s="6" t="str">
        <x:v>0.051463126771444</x:v>
      </x:c>
      <x:c r="AR328" s="6" t="str">
        <x:v>0.5107254753008389</x:v>
      </x:c>
      <x:c r="AS328" s="6" t="str">
        <x:v>0.2292207617400623</x:v>
      </x:c>
      <x:c r="AT328" s="6" t="str">
        <x:v>54.09499999999997</x:v>
      </x:c>
      <x:c r="AU328" s="8" t="str">
        <x:v>0.572716694349139</x:v>
      </x:c>
      <x:c r="AV328" s="6" t="str">
        <x:v>-0.3247911324768058</x:v>
      </x:c>
      <x:c r="AW328" s="6" t="str">
        <x:v>0.0715597053709505</x:v>
      </x:c>
      <x:c r="AX328" s="6" t="str">
        <x:v>0.1064950890810946</x:v>
      </x:c>
      <x:c r="AY328" s="6" t="str">
        <x:v>0</x:v>
      </x:c>
      <x:c r="AZ328" s="6" t="str">
        <x:v>1</x:v>
      </x:c>
      <x:c r="BA328" s="9" t="str">
        <x:v>grid_cells_within_BIG_polygon</x:v>
      </x:c>
      <x:c r="BB328" s="6" t="str">
        <x:v>1</x:v>
      </x:c>
      <x:c r="BC328" s="6" t="str">
        <x:v>7</x:v>
      </x:c>
      <x:c r="BD328" s="6" t="str">
        <x:v>7</x:v>
      </x:c>
      <x:c r="BE328" s="6" t="str">
        <x:v>3</x:v>
      </x:c>
      <x:c r="BF328" s="6" t="str">
        <x:v>2</x:v>
      </x:c>
      <x:c r="BG328" s="6" t="str">
        <x:v>2</x:v>
      </x:c>
      <x:c r="BH328" s="6" t="str">
        <x:v>0</x:v>
      </x:c>
      <x:c r="BI328" s="6" t="str">
        <x:v>0</x:v>
      </x:c>
      <x:c r="BJ328" s="6" t="str">
        <x:v>0</x:v>
      </x:c>
      <x:c r="BK328" s="6" t="str">
        <x:v>0</x:v>
      </x:c>
      <x:c r="BL328" s="6" t="str">
        <x:v>0</x:v>
      </x:c>
      <x:c r="BM328" s="6" t="str">
        <x:v>0</x:v>
      </x:c>
      <x:c r="BN328" s="6" t="str">
        <x:v>7</x:v>
      </x:c>
      <x:c r="BO328" s="6" t="str">
        <x:v>0.0</x:v>
      </x:c>
      <x:c r="BP328" s="6" t="str">
        <x:v>7</x:v>
      </x:c>
      <x:c r="BQ328" s="6" t="str">
        <x:v>0.0</x:v>
      </x:c>
      <x:c r="BR328" s="6" t="str">
        <x:v>7</x:v>
      </x:c>
      <x:c r="BS328" s="6" t="str">
        <x:v>37.0</x:v>
      </x:c>
      <x:c r="BT328" s="6" t="str">
        <x:v>7</x:v>
      </x:c>
      <x:c r="BU328" s="6" t="str">
        <x:v>831.0</x:v>
      </x:c>
      <x:c r="BV328" s="6" t="str">
        <x:v>3</x:v>
      </x:c>
      <x:c r="BW328" s="9" t="str">
        <x:v>operational_snapshot_annual_totals_may_differ</x:v>
      </x:c>
      <x:c r="BX328" s="9" t="str">
        <x:v>official_live_dashboard_snapshot_subject_to_revision</x:v>
      </x:c>
      <x:c r="BY328" s="9" t="str">
        <x:v>https://tbdashboard.sitb.id/ss_data_tbc03so_2025_provinsi_bulanan_list.php</x:v>
      </x:c>
      <x:c r="BZ328" s="6" t="n">
        <x:v>46246.610671296294</x:v>
      </x:c>
    </x:row>
    <x:row r="329" ht="18" customHeight="1">
      <x:c r="A329" s="6" t="str">
        <x:v>34</x:v>
      </x:c>
      <x:c r="B329" s="6" t="str">
        <x:v>DI YOGYAKARTA</x:v>
      </x:c>
      <x:c r="C329" s="6" t="str">
        <x:v>2025</x:v>
      </x:c>
      <x:c r="D329" s="6" t="str">
        <x:v>4</x:v>
      </x:c>
      <x:c r="E329" s="6" t="str">
        <x:v>2025-04</x:v>
      </x:c>
      <x:c r="F329" s="6" t="str">
        <x:v>444</x:v>
      </x:c>
      <x:c r="G329" s="6" t="str">
        <x:v>68</x:v>
      </x:c>
      <x:c r="H329" s="6" t="str">
        <x:v>281</x:v>
      </x:c>
      <x:c r="I329" s="6" t="str">
        <x:v>30</x:v>
      </x:c>
      <x:c r="J329" s="6" t="str">
        <x:v>25</x:v>
      </x:c>
      <x:c r="K329" s="6" t="str">
        <x:v>5</x:v>
      </x:c>
      <x:c r="L329" s="6" t="str">
        <x:v>1</x:v>
      </x:c>
      <x:c r="M329" s="6" t="str">
        <x:v>34</x:v>
      </x:c>
      <x:c r="N329" s="6" t="str">
        <x:v>444</x:v>
      </x:c>
      <x:c r="O329" s="6" t="str">
        <x:v>0</x:v>
      </x:c>
      <x:c r="P329" s="10" t="n">
        <x:f>F329-M329</x:f>
        <x:v>410</x:v>
      </x:c>
      <x:c r="Q329" s="11" t="n">
        <x:f>IFERROR(M329/F329,"")</x:f>
        <x:v>0.07657657657657657</x:v>
      </x:c>
      <x:c r="R329" s="10" t="n">
        <x:f>G329+H329</x:f>
        <x:v>349</x:v>
      </x:c>
      <x:c r="S329" s="11" t="n">
        <x:f>IFERROR(R329/F329,"")</x:f>
        <x:v>0.786036036036036</x:v>
      </x:c>
      <x:c r="T329" s="11" t="n">
        <x:f>IFERROR(R329/P329,"")</x:f>
        <x:v>0.8512195121951219</x:v>
      </x:c>
      <x:c r="U329" s="10" t="n">
        <x:f>I329+J329+K329</x:f>
        <x:v>60</x:v>
      </x:c>
      <x:c r="V329" s="11" t="n">
        <x:f>IFERROR(U329/P329,"")</x:f>
        <x:v>0.14634146341463414</x:v>
      </x:c>
      <x:c r="W329" s="9" t="str">
        <x:v>provisional_gt_5pct_pending</x:v>
      </x:c>
      <x:c r="X329" s="12" t="n">
        <x:f>IFERROR(F329/Z329*100000,"")</x:f>
        <x:v>11.74137247124157</x:v>
      </x:c>
      <x:c r="Y329" s="13" t="n">
        <x:f>LN(Z329)</x:f>
        <x:v>15.145631314278221</x:v>
      </x:c>
      <x:c r="Z329" s="6" t="str">
        <x:v>3781500</x:v>
      </x:c>
      <x:c r="AA329" s="6" t="str">
        <x:v>1193.0</x:v>
      </x:c>
      <x:c r="AB329" s="9" t="str">
        <x:v>2025-06-30</x:v>
      </x:c>
      <x:c r="AC329" s="8" t="str">
        <x:v>96.94</x:v>
      </x:c>
      <x:c r="AD329" s="9" t="str">
        <x:v>2025 (Susenas)</x:v>
      </x:c>
      <x:c r="AE329" s="8" t="str">
        <x:v>10.23</x:v>
      </x:c>
      <x:c r="AF329" s="9" t="str">
        <x:v>Maret 2025 (Susenas)</x:v>
      </x:c>
      <x:c r="AG329" s="6" t="str">
        <x:v>26.64</x:v>
      </x:c>
      <x:c r="AH329" s="8" t="str">
        <x:v>83.26</x:v>
      </x:c>
      <x:c r="AI329" s="6" t="str">
        <x:v>172.79999999999998</x:v>
      </x:c>
      <x:c r="AJ329" s="6" t="str">
        <x:v>0.2896666666666689</x:v>
      </x:c>
      <x:c r="AK329" s="8" t="str">
        <x:v>0.6210909992078225</x:v>
      </x:c>
      <x:c r="AL329" s="6" t="str">
        <x:v>1.4669229528240009</x:v>
      </x:c>
      <x:c r="AM329" s="6" t="str">
        <x:v>1.1480961738247</x:v>
      </x:c>
      <x:c r="AN329" s="6" t="str">
        <x:v>1.078703375285508</x:v>
      </x:c>
      <x:c r="AO329" s="6" t="str">
        <x:v>-2.542666666666662</x:v>
      </x:c>
      <x:c r="AP329" s="8" t="str">
        <x:v>-2.4640600239117774</x:v>
      </x:c>
      <x:c r="AQ329" s="6" t="str">
        <x:v>0.1254736831479052</x:v>
      </x:c>
      <x:c r="AR329" s="6" t="str">
        <x:v>0.051463126771444</x:v>
      </x:c>
      <x:c r="AS329" s="6" t="str">
        <x:v>-0.7623744046641431</x:v>
      </x:c>
      <x:c r="AT329" s="6" t="str">
        <x:v>-10.830000000000013</x:v>
      </x:c>
      <x:c r="AU329" s="8" t="str">
        <x:v>-0.1544127834871235</x:v>
      </x:c>
      <x:c r="AV329" s="6" t="str">
        <x:v>0.572716694349139</x:v>
      </x:c>
      <x:c r="AW329" s="6" t="str">
        <x:v>-0.3247911324768058</x:v>
      </x:c>
      <x:c r="AX329" s="6" t="str">
        <x:v>0.0311709261284032</x:v>
      </x:c>
      <x:c r="AY329" s="6" t="str">
        <x:v>0</x:v>
      </x:c>
      <x:c r="AZ329" s="6" t="str">
        <x:v>0</x:v>
      </x:c>
      <x:c r="BA329" s="9" t="str">
        <x:v>grid_cells_within_BIG_polygon</x:v>
      </x:c>
      <x:c r="BB329" s="6" t="str">
        <x:v>1</x:v>
      </x:c>
      <x:c r="BC329" s="6" t="str">
        <x:v>0</x:v>
      </x:c>
      <x:c r="BD329" s="6" t="str">
        <x:v>0</x:v>
      </x:c>
      <x:c r="BE329" s="6" t="str">
        <x:v>0</x:v>
      </x:c>
      <x:c r="BF329" s="6" t="str">
        <x:v>0</x:v>
      </x:c>
      <x:c r="BG329" s="6" t="str">
        <x:v>0</x:v>
      </x:c>
      <x:c r="BH329" s="6" t="str">
        <x:v>0</x:v>
      </x:c>
      <x:c r="BI329" s="6" t="str">
        <x:v>0</x:v>
      </x:c>
      <x:c r="BJ329" s="6" t="str">
        <x:v>0</x:v>
      </x:c>
      <x:c r="BK329" s="6" t="str">
        <x:v>0</x:v>
      </x:c>
      <x:c r="BL329" s="6" t="str">
        <x:v>0</x:v>
      </x:c>
      <x:c r="BM329" s="6" t="str">
        <x:v>0</x:v>
      </x:c>
      <x:c r="BN329" s="6" t="str">
        <x:v>0</x:v>
      </x:c>
      <x:c r="BO329" s="6" t="str"/>
      <x:c r="BP329" s="6" t="str">
        <x:v>0</x:v>
      </x:c>
      <x:c r="BQ329" s="6" t="str"/>
      <x:c r="BR329" s="6" t="str">
        <x:v>0</x:v>
      </x:c>
      <x:c r="BS329" s="6" t="str"/>
      <x:c r="BT329" s="6" t="str">
        <x:v>0</x:v>
      </x:c>
      <x:c r="BU329" s="6" t="str"/>
      <x:c r="BV329" s="6" t="str">
        <x:v>0</x:v>
      </x:c>
      <x:c r="BW329" s="9" t="str">
        <x:v>operational_snapshot_annual_totals_may_differ</x:v>
      </x:c>
      <x:c r="BX329" s="9" t="str">
        <x:v>official_live_dashboard_snapshot_subject_to_revision</x:v>
      </x:c>
      <x:c r="BY329" s="9" t="str">
        <x:v>https://tbdashboard.sitb.id/ss_data_tbc03so_2025_provinsi_bulanan_list.php</x:v>
      </x:c>
      <x:c r="BZ329" s="6" t="n">
        <x:v>46246.610671296294</x:v>
      </x:c>
    </x:row>
    <x:row r="330" ht="18" customHeight="1">
      <x:c r="A330" s="6" t="str">
        <x:v>34</x:v>
      </x:c>
      <x:c r="B330" s="6" t="str">
        <x:v>DI YOGYAKARTA</x:v>
      </x:c>
      <x:c r="C330" s="6" t="str">
        <x:v>2025</x:v>
      </x:c>
      <x:c r="D330" s="6" t="str">
        <x:v>5</x:v>
      </x:c>
      <x:c r="E330" s="6" t="str">
        <x:v>2025-05</x:v>
      </x:c>
      <x:c r="F330" s="6" t="str">
        <x:v>515</x:v>
      </x:c>
      <x:c r="G330" s="6" t="str">
        <x:v>105</x:v>
      </x:c>
      <x:c r="H330" s="6" t="str">
        <x:v>287</x:v>
      </x:c>
      <x:c r="I330" s="6" t="str">
        <x:v>37</x:v>
      </x:c>
      <x:c r="J330" s="6" t="str">
        <x:v>40</x:v>
      </x:c>
      <x:c r="K330" s="6" t="str">
        <x:v>5</x:v>
      </x:c>
      <x:c r="L330" s="6" t="str">
        <x:v>3</x:v>
      </x:c>
      <x:c r="M330" s="6" t="str">
        <x:v>38</x:v>
      </x:c>
      <x:c r="N330" s="6" t="str">
        <x:v>515</x:v>
      </x:c>
      <x:c r="O330" s="6" t="str">
        <x:v>0</x:v>
      </x:c>
      <x:c r="P330" s="10" t="n">
        <x:f>F330-M330</x:f>
        <x:v>477</x:v>
      </x:c>
      <x:c r="Q330" s="11" t="n">
        <x:f>IFERROR(M330/F330,"")</x:f>
        <x:v>0.07378640776699029</x:v>
      </x:c>
      <x:c r="R330" s="10" t="n">
        <x:f>G330+H330</x:f>
        <x:v>392</x:v>
      </x:c>
      <x:c r="S330" s="11" t="n">
        <x:f>IFERROR(R330/F330,"")</x:f>
        <x:v>0.7611650485436893</x:v>
      </x:c>
      <x:c r="T330" s="11" t="n">
        <x:f>IFERROR(R330/P330,"")</x:f>
        <x:v>0.8218029350104822</x:v>
      </x:c>
      <x:c r="U330" s="10" t="n">
        <x:f>I330+J330+K330</x:f>
        <x:v>82</x:v>
      </x:c>
      <x:c r="V330" s="11" t="n">
        <x:f>IFERROR(U330/P330,"")</x:f>
        <x:v>0.1719077568134172</x:v>
      </x:c>
      <x:c r="W330" s="9" t="str">
        <x:v>provisional_gt_5pct_pending</x:v>
      </x:c>
      <x:c r="X330" s="12" t="n">
        <x:f>IFERROR(F330/Z330*100000,"")</x:f>
        <x:v>13.618934285336508</x:v>
      </x:c>
      <x:c r="Y330" s="13" t="n">
        <x:f>LN(Z330)</x:f>
        <x:v>15.145631314278221</x:v>
      </x:c>
      <x:c r="Z330" s="6" t="str">
        <x:v>3781500</x:v>
      </x:c>
      <x:c r="AA330" s="6" t="str">
        <x:v>1193.0</x:v>
      </x:c>
      <x:c r="AB330" s="9" t="str">
        <x:v>2025-06-30</x:v>
      </x:c>
      <x:c r="AC330" s="8" t="str">
        <x:v>96.94</x:v>
      </x:c>
      <x:c r="AD330" s="9" t="str">
        <x:v>2025 (Susenas)</x:v>
      </x:c>
      <x:c r="AE330" s="8" t="str">
        <x:v>10.23</x:v>
      </x:c>
      <x:c r="AF330" s="9" t="str">
        <x:v>Maret 2025 (Susenas)</x:v>
      </x:c>
      <x:c r="AG330" s="6" t="str">
        <x:v>26.63</x:v>
      </x:c>
      <x:c r="AH330" s="8" t="str">
        <x:v>87.83</x:v>
      </x:c>
      <x:c r="AI330" s="6" t="str">
        <x:v>425.0100000000001</x:v>
      </x:c>
      <x:c r="AJ330" s="6" t="str">
        <x:v>0.6306666666666665</x:v>
      </x:c>
      <x:c r="AK330" s="8" t="str">
        <x:v>1.1977191890727084</x:v>
      </x:c>
      <x:c r="AL330" s="6" t="str">
        <x:v>0.6210909992078225</x:v>
      </x:c>
      <x:c r="AM330" s="6" t="str">
        <x:v>1.4669229528240009</x:v>
      </x:c>
      <x:c r="AN330" s="6" t="str">
        <x:v>1.0952443803681775</x:v>
      </x:c>
      <x:c r="AO330" s="6" t="str">
        <x:v>3.0083333333333258</x:v>
      </x:c>
      <x:c r="AP330" s="8" t="str">
        <x:v>2.0923410421921336</x:v>
      </x:c>
      <x:c r="AQ330" s="6" t="str">
        <x:v>-2.4640600239117774</x:v>
      </x:c>
      <x:c r="AR330" s="6" t="str">
        <x:v>0.1254736831479052</x:v>
      </x:c>
      <x:c r="AS330" s="6" t="str">
        <x:v>-0.0820817661905799</x:v>
      </x:c>
      <x:c r="AT330" s="6" t="str">
        <x:v>302.3843333333334</x:v>
      </x:c>
      <x:c r="AU330" s="8" t="str">
        <x:v>3.7577966155106735</x:v>
      </x:c>
      <x:c r="AV330" s="6" t="str">
        <x:v>-0.1544127834871235</x:v>
      </x:c>
      <x:c r="AW330" s="6" t="str">
        <x:v>0.572716694349139</x:v>
      </x:c>
      <x:c r="AX330" s="6" t="str">
        <x:v>1.3920335087908968</x:v>
      </x:c>
      <x:c r="AY330" s="6" t="str">
        <x:v>1</x:v>
      </x:c>
      <x:c r="AZ330" s="6" t="str">
        <x:v>1</x:v>
      </x:c>
      <x:c r="BA330" s="9" t="str">
        <x:v>grid_cells_within_BIG_polygon</x:v>
      </x:c>
      <x:c r="BB330" s="6" t="str">
        <x:v>1</x:v>
      </x:c>
      <x:c r="BC330" s="6" t="str">
        <x:v>3</x:v>
      </x:c>
      <x:c r="BD330" s="6" t="str">
        <x:v>3</x:v>
      </x:c>
      <x:c r="BE330" s="6" t="str">
        <x:v>0</x:v>
      </x:c>
      <x:c r="BF330" s="6" t="str">
        <x:v>0</x:v>
      </x:c>
      <x:c r="BG330" s="6" t="str">
        <x:v>3</x:v>
      </x:c>
      <x:c r="BH330" s="6" t="str">
        <x:v>0</x:v>
      </x:c>
      <x:c r="BI330" s="6" t="str">
        <x:v>0</x:v>
      </x:c>
      <x:c r="BJ330" s="6" t="str">
        <x:v>0</x:v>
      </x:c>
      <x:c r="BK330" s="6" t="str">
        <x:v>0</x:v>
      </x:c>
      <x:c r="BL330" s="6" t="str">
        <x:v>0</x:v>
      </x:c>
      <x:c r="BM330" s="6" t="str">
        <x:v>0</x:v>
      </x:c>
      <x:c r="BN330" s="6" t="str">
        <x:v>3</x:v>
      </x:c>
      <x:c r="BO330" s="6" t="str">
        <x:v>1.0</x:v>
      </x:c>
      <x:c r="BP330" s="6" t="str">
        <x:v>3</x:v>
      </x:c>
      <x:c r="BQ330" s="6" t="str">
        <x:v>0.0</x:v>
      </x:c>
      <x:c r="BR330" s="6" t="str">
        <x:v>3</x:v>
      </x:c>
      <x:c r="BS330" s="6" t="str">
        <x:v>68.0</x:v>
      </x:c>
      <x:c r="BT330" s="6" t="str">
        <x:v>3</x:v>
      </x:c>
      <x:c r="BU330" s="6" t="str"/>
      <x:c r="BV330" s="6" t="str">
        <x:v>0</x:v>
      </x:c>
      <x:c r="BW330" s="9" t="str">
        <x:v>operational_snapshot_annual_totals_may_differ</x:v>
      </x:c>
      <x:c r="BX330" s="9" t="str">
        <x:v>official_live_dashboard_snapshot_subject_to_revision</x:v>
      </x:c>
      <x:c r="BY330" s="9" t="str">
        <x:v>https://tbdashboard.sitb.id/ss_data_tbc03so_2025_provinsi_bulanan_list.php</x:v>
      </x:c>
      <x:c r="BZ330" s="6" t="n">
        <x:v>46246.610671296294</x:v>
      </x:c>
    </x:row>
    <x:row r="331" ht="18" customHeight="1">
      <x:c r="A331" s="6" t="str">
        <x:v>34</x:v>
      </x:c>
      <x:c r="B331" s="6" t="str">
        <x:v>DI YOGYAKARTA</x:v>
      </x:c>
      <x:c r="C331" s="6" t="str">
        <x:v>2025</x:v>
      </x:c>
      <x:c r="D331" s="6" t="str">
        <x:v>6</x:v>
      </x:c>
      <x:c r="E331" s="6" t="str">
        <x:v>2025-06</x:v>
      </x:c>
      <x:c r="F331" s="6" t="str">
        <x:v>414</x:v>
      </x:c>
      <x:c r="G331" s="6" t="str">
        <x:v>84</x:v>
      </x:c>
      <x:c r="H331" s="6" t="str">
        <x:v>221</x:v>
      </x:c>
      <x:c r="I331" s="6" t="str">
        <x:v>28</x:v>
      </x:c>
      <x:c r="J331" s="6" t="str">
        <x:v>25</x:v>
      </x:c>
      <x:c r="K331" s="6" t="str">
        <x:v>0</x:v>
      </x:c>
      <x:c r="L331" s="6" t="str">
        <x:v>1</x:v>
      </x:c>
      <x:c r="M331" s="6" t="str">
        <x:v>55</x:v>
      </x:c>
      <x:c r="N331" s="6" t="str">
        <x:v>414</x:v>
      </x:c>
      <x:c r="O331" s="6" t="str">
        <x:v>0</x:v>
      </x:c>
      <x:c r="P331" s="10" t="n">
        <x:f>F331-M331</x:f>
        <x:v>359</x:v>
      </x:c>
      <x:c r="Q331" s="11" t="n">
        <x:f>IFERROR(M331/F331,"")</x:f>
        <x:v>0.13285024154589373</x:v>
      </x:c>
      <x:c r="R331" s="10" t="n">
        <x:f>G331+H331</x:f>
        <x:v>305</x:v>
      </x:c>
      <x:c r="S331" s="11" t="n">
        <x:f>IFERROR(R331/F331,"")</x:f>
        <x:v>0.7367149758454107</x:v>
      </x:c>
      <x:c r="T331" s="11" t="n">
        <x:f>IFERROR(R331/P331,"")</x:f>
        <x:v>0.8495821727019499</x:v>
      </x:c>
      <x:c r="U331" s="10" t="n">
        <x:f>I331+J331+K331</x:f>
        <x:v>53</x:v>
      </x:c>
      <x:c r="V331" s="11" t="n">
        <x:f>IFERROR(U331/P331,"")</x:f>
        <x:v>0.14763231197771587</x:v>
      </x:c>
      <x:c r="W331" s="9" t="str">
        <x:v>provisional_gt_5pct_pending</x:v>
      </x:c>
      <x:c r="X331" s="12" t="n">
        <x:f>IFERROR(F331/Z331*100000,"")</x:f>
        <x:v>10.948036493454978</x:v>
      </x:c>
      <x:c r="Y331" s="13" t="n">
        <x:f>LN(Z331)</x:f>
        <x:v>15.145631314278221</x:v>
      </x:c>
      <x:c r="Z331" s="6" t="str">
        <x:v>3781500</x:v>
      </x:c>
      <x:c r="AA331" s="6" t="str">
        <x:v>1193.0</x:v>
      </x:c>
      <x:c r="AB331" s="9" t="str">
        <x:v>2025-06-30</x:v>
      </x:c>
      <x:c r="AC331" s="8" t="str">
        <x:v>96.94</x:v>
      </x:c>
      <x:c r="AD331" s="9" t="str">
        <x:v>2025 (Susenas)</x:v>
      </x:c>
      <x:c r="AE331" s="8" t="str">
        <x:v>10.23</x:v>
      </x:c>
      <x:c r="AF331" s="9" t="str">
        <x:v>Maret 2025 (Susenas)</x:v>
      </x:c>
      <x:c r="AG331" s="6" t="str">
        <x:v>26.21</x:v>
      </x:c>
      <x:c r="AH331" s="8" t="str">
        <x:v>85.31</x:v>
      </x:c>
      <x:c r="AI331" s="6" t="str">
        <x:v>164.70000000000002</x:v>
      </x:c>
      <x:c r="AJ331" s="6" t="str">
        <x:v>0.886333333333333</x:v>
      </x:c>
      <x:c r="AK331" s="8" t="str">
        <x:v>1.342669090355823</x:v>
      </x:c>
      <x:c r="AL331" s="6" t="str">
        <x:v>1.1977191890727084</x:v>
      </x:c>
      <x:c r="AM331" s="6" t="str">
        <x:v>0.6210909992078225</x:v>
      </x:c>
      <x:c r="AN331" s="6" t="str">
        <x:v>1.0538264262121182</x:v>
      </x:c>
      <x:c r="AO331" s="6" t="str">
        <x:v>1.5420000000000016</x:v>
      </x:c>
      <x:c r="AP331" s="8" t="str">
        <x:v>0.5824364773158406</x:v>
      </x:c>
      <x:c r="AQ331" s="6" t="str">
        <x:v>2.0923410421921336</x:v>
      </x:c>
      <x:c r="AR331" s="6" t="str">
        <x:v>-2.4640600239117774</x:v>
      </x:c>
      <x:c r="AS331" s="6" t="str">
        <x:v>0.0702391651987318</x:v>
      </x:c>
      <x:c r="AT331" s="6" t="str">
        <x:v>78.04</x:v>
      </x:c>
      <x:c r="AU331" s="8" t="str">
        <x:v>1.0389754743888833</x:v>
      </x:c>
      <x:c r="AV331" s="6" t="str">
        <x:v>3.7577966155106735</x:v>
      </x:c>
      <x:c r="AW331" s="6" t="str">
        <x:v>-0.1544127834871235</x:v>
      </x:c>
      <x:c r="AX331" s="6" t="str">
        <x:v>1.5474531021374782</x:v>
      </x:c>
      <x:c r="AY331" s="6" t="str">
        <x:v>1</x:v>
      </x:c>
      <x:c r="AZ331" s="6" t="str">
        <x:v>1</x:v>
      </x:c>
      <x:c r="BA331" s="9" t="str">
        <x:v>grid_cells_within_BIG_polygon</x:v>
      </x:c>
      <x:c r="BB331" s="6" t="str">
        <x:v>1</x:v>
      </x:c>
      <x:c r="BC331" s="6" t="str">
        <x:v>0</x:v>
      </x:c>
      <x:c r="BD331" s="6" t="str">
        <x:v>0</x:v>
      </x:c>
      <x:c r="BE331" s="6" t="str">
        <x:v>0</x:v>
      </x:c>
      <x:c r="BF331" s="6" t="str">
        <x:v>0</x:v>
      </x:c>
      <x:c r="BG331" s="6" t="str">
        <x:v>0</x:v>
      </x:c>
      <x:c r="BH331" s="6" t="str">
        <x:v>0</x:v>
      </x:c>
      <x:c r="BI331" s="6" t="str">
        <x:v>0</x:v>
      </x:c>
      <x:c r="BJ331" s="6" t="str">
        <x:v>0</x:v>
      </x:c>
      <x:c r="BK331" s="6" t="str">
        <x:v>0</x:v>
      </x:c>
      <x:c r="BL331" s="6" t="str">
        <x:v>0</x:v>
      </x:c>
      <x:c r="BM331" s="6" t="str">
        <x:v>0</x:v>
      </x:c>
      <x:c r="BN331" s="6" t="str">
        <x:v>0</x:v>
      </x:c>
      <x:c r="BO331" s="6" t="str"/>
      <x:c r="BP331" s="6" t="str">
        <x:v>0</x:v>
      </x:c>
      <x:c r="BQ331" s="6" t="str"/>
      <x:c r="BR331" s="6" t="str">
        <x:v>0</x:v>
      </x:c>
      <x:c r="BS331" s="6" t="str"/>
      <x:c r="BT331" s="6" t="str">
        <x:v>0</x:v>
      </x:c>
      <x:c r="BU331" s="6" t="str"/>
      <x:c r="BV331" s="6" t="str">
        <x:v>0</x:v>
      </x:c>
      <x:c r="BW331" s="9" t="str">
        <x:v>operational_snapshot_annual_totals_may_differ</x:v>
      </x:c>
      <x:c r="BX331" s="9" t="str">
        <x:v>official_live_dashboard_snapshot_subject_to_revision</x:v>
      </x:c>
      <x:c r="BY331" s="9" t="str">
        <x:v>https://tbdashboard.sitb.id/ss_data_tbc03so_2025_provinsi_bulanan_list.php</x:v>
      </x:c>
      <x:c r="BZ331" s="6" t="n">
        <x:v>46246.610671296294</x:v>
      </x:c>
    </x:row>
    <x:row r="332" ht="18" customHeight="1">
      <x:c r="A332" s="6" t="str">
        <x:v>34</x:v>
      </x:c>
      <x:c r="B332" s="6" t="str">
        <x:v>DI YOGYAKARTA</x:v>
      </x:c>
      <x:c r="C332" s="6" t="str">
        <x:v>2025</x:v>
      </x:c>
      <x:c r="D332" s="6" t="str">
        <x:v>7</x:v>
      </x:c>
      <x:c r="E332" s="6" t="str">
        <x:v>2025-07</x:v>
      </x:c>
      <x:c r="F332" s="6" t="str">
        <x:v>430</x:v>
      </x:c>
      <x:c r="G332" s="6" t="str">
        <x:v>75</x:v>
      </x:c>
      <x:c r="H332" s="6" t="str">
        <x:v>230</x:v>
      </x:c>
      <x:c r="I332" s="6" t="str">
        <x:v>33</x:v>
      </x:c>
      <x:c r="J332" s="6" t="str">
        <x:v>28</x:v>
      </x:c>
      <x:c r="K332" s="6" t="str">
        <x:v>2</x:v>
      </x:c>
      <x:c r="L332" s="6" t="str">
        <x:v>1</x:v>
      </x:c>
      <x:c r="M332" s="6" t="str">
        <x:v>61</x:v>
      </x:c>
      <x:c r="N332" s="6" t="str">
        <x:v>430</x:v>
      </x:c>
      <x:c r="O332" s="6" t="str">
        <x:v>0</x:v>
      </x:c>
      <x:c r="P332" s="10" t="n">
        <x:f>F332-M332</x:f>
        <x:v>369</x:v>
      </x:c>
      <x:c r="Q332" s="11" t="n">
        <x:f>IFERROR(M332/F332,"")</x:f>
        <x:v>0.14186046511627906</x:v>
      </x:c>
      <x:c r="R332" s="10" t="n">
        <x:f>G332+H332</x:f>
        <x:v>305</x:v>
      </x:c>
      <x:c r="S332" s="11" t="n">
        <x:f>IFERROR(R332/F332,"")</x:f>
        <x:v>0.7093023255813954</x:v>
      </x:c>
      <x:c r="T332" s="11" t="n">
        <x:f>IFERROR(R332/P332,"")</x:f>
        <x:v>0.8265582655826558</x:v>
      </x:c>
      <x:c r="U332" s="10" t="n">
        <x:f>I332+J332+K332</x:f>
        <x:v>63</x:v>
      </x:c>
      <x:c r="V332" s="11" t="n">
        <x:f>IFERROR(U332/P332,"")</x:f>
        <x:v>0.17073170731707318</x:v>
      </x:c>
      <x:c r="W332" s="9" t="str">
        <x:v>provisional_gt_5pct_pending</x:v>
      </x:c>
      <x:c r="X332" s="12" t="n">
        <x:f>IFERROR(F332/Z332*100000,"")</x:f>
        <x:v>11.371149014941162</x:v>
      </x:c>
      <x:c r="Y332" s="13" t="n">
        <x:f>LN(Z332)</x:f>
        <x:v>15.145631314278221</x:v>
      </x:c>
      <x:c r="Z332" s="6" t="str">
        <x:v>3781500</x:v>
      </x:c>
      <x:c r="AA332" s="6" t="str">
        <x:v>1193.0</x:v>
      </x:c>
      <x:c r="AB332" s="9" t="str">
        <x:v>2025-06-30</x:v>
      </x:c>
      <x:c r="AC332" s="8" t="str">
        <x:v>96.94</x:v>
      </x:c>
      <x:c r="AD332" s="9" t="str">
        <x:v>2025 (Susenas)</x:v>
      </x:c>
      <x:c r="AE332" s="8" t="str">
        <x:v>10.23</x:v>
      </x:c>
      <x:c r="AF332" s="9" t="str">
        <x:v>Maret 2025 (Susenas)</x:v>
      </x:c>
      <x:c r="AG332" s="6" t="str">
        <x:v>24.75</x:v>
      </x:c>
      <x:c r="AH332" s="8" t="str">
        <x:v>85.86</x:v>
      </x:c>
      <x:c r="AI332" s="6" t="str">
        <x:v>35.65</x:v>
      </x:c>
      <x:c r="AJ332" s="6" t="str">
        <x:v>0.0973333333333315</x:v>
      </x:c>
      <x:c r="AK332" s="8" t="str">
        <x:v>0.1293452226380728</x:v>
      </x:c>
      <x:c r="AL332" s="6" t="str">
        <x:v>1.342669090355823</x:v>
      </x:c>
      <x:c r="AM332" s="6" t="str">
        <x:v>1.1977191890727084</x:v>
      </x:c>
      <x:c r="AN332" s="6" t="str">
        <x:v>0.889911167355535</x:v>
      </x:c>
      <x:c r="AO332" s="6" t="str">
        <x:v>4.913000000000011</x:v>
      </x:c>
      <x:c r="AP332" s="8" t="str">
        <x:v>1.2964160429748002</x:v>
      </x:c>
      <x:c r="AQ332" s="6" t="str">
        <x:v>0.5824364773158406</x:v>
      </x:c>
      <x:c r="AR332" s="6" t="str">
        <x:v>2.0923410421921336</x:v>
      </x:c>
      <x:c r="AS332" s="6" t="str">
        <x:v>1.3237311874942577</x:v>
      </x:c>
      <x:c r="AT332" s="6" t="str">
        <x:v>-11.78</x:v>
      </x:c>
      <x:c r="AU332" s="8" t="str">
        <x:v>-0.1941821188692564</x:v>
      </x:c>
      <x:c r="AV332" s="6" t="str">
        <x:v>1.0389754743888833</x:v>
      </x:c>
      <x:c r="AW332" s="6" t="str">
        <x:v>3.7577966155106735</x:v>
      </x:c>
      <x:c r="AX332" s="6" t="str">
        <x:v>1.5341966570101009</x:v>
      </x:c>
      <x:c r="AY332" s="6" t="str">
        <x:v>0</x:v>
      </x:c>
      <x:c r="AZ332" s="6" t="str">
        <x:v>0</x:v>
      </x:c>
      <x:c r="BA332" s="9" t="str">
        <x:v>grid_cells_within_BIG_polygon</x:v>
      </x:c>
      <x:c r="BB332" s="6" t="str">
        <x:v>1</x:v>
      </x:c>
      <x:c r="BC332" s="6" t="str">
        <x:v>0</x:v>
      </x:c>
      <x:c r="BD332" s="6" t="str">
        <x:v>0</x:v>
      </x:c>
      <x:c r="BE332" s="6" t="str">
        <x:v>0</x:v>
      </x:c>
      <x:c r="BF332" s="6" t="str">
        <x:v>0</x:v>
      </x:c>
      <x:c r="BG332" s="6" t="str">
        <x:v>0</x:v>
      </x:c>
      <x:c r="BH332" s="6" t="str">
        <x:v>0</x:v>
      </x:c>
      <x:c r="BI332" s="6" t="str">
        <x:v>0</x:v>
      </x:c>
      <x:c r="BJ332" s="6" t="str">
        <x:v>0</x:v>
      </x:c>
      <x:c r="BK332" s="6" t="str">
        <x:v>0</x:v>
      </x:c>
      <x:c r="BL332" s="6" t="str">
        <x:v>0</x:v>
      </x:c>
      <x:c r="BM332" s="6" t="str">
        <x:v>0</x:v>
      </x:c>
      <x:c r="BN332" s="6" t="str">
        <x:v>0</x:v>
      </x:c>
      <x:c r="BO332" s="6" t="str"/>
      <x:c r="BP332" s="6" t="str">
        <x:v>0</x:v>
      </x:c>
      <x:c r="BQ332" s="6" t="str"/>
      <x:c r="BR332" s="6" t="str">
        <x:v>0</x:v>
      </x:c>
      <x:c r="BS332" s="6" t="str"/>
      <x:c r="BT332" s="6" t="str">
        <x:v>0</x:v>
      </x:c>
      <x:c r="BU332" s="6" t="str"/>
      <x:c r="BV332" s="6" t="str">
        <x:v>0</x:v>
      </x:c>
      <x:c r="BW332" s="9" t="str">
        <x:v>operational_snapshot_annual_totals_may_differ</x:v>
      </x:c>
      <x:c r="BX332" s="9" t="str">
        <x:v>official_live_dashboard_snapshot_subject_to_revision</x:v>
      </x:c>
      <x:c r="BY332" s="9" t="str">
        <x:v>https://tbdashboard.sitb.id/ss_data_tbc03so_2025_provinsi_bulanan_list.php</x:v>
      </x:c>
      <x:c r="BZ332" s="6" t="n">
        <x:v>46246.610671296294</x:v>
      </x:c>
    </x:row>
    <x:row r="333" ht="18" customHeight="1">
      <x:c r="A333" s="6" t="str">
        <x:v>34</x:v>
      </x:c>
      <x:c r="B333" s="6" t="str">
        <x:v>DI YOGYAKARTA</x:v>
      </x:c>
      <x:c r="C333" s="6" t="str">
        <x:v>2025</x:v>
      </x:c>
      <x:c r="D333" s="6" t="str">
        <x:v>8</x:v>
      </x:c>
      <x:c r="E333" s="6" t="str">
        <x:v>2025-08</x:v>
      </x:c>
      <x:c r="F333" s="6" t="str">
        <x:v>498</x:v>
      </x:c>
      <x:c r="G333" s="6" t="str">
        <x:v>80</x:v>
      </x:c>
      <x:c r="H333" s="6" t="str">
        <x:v>269</x:v>
      </x:c>
      <x:c r="I333" s="6" t="str">
        <x:v>24</x:v>
      </x:c>
      <x:c r="J333" s="6" t="str">
        <x:v>34</x:v>
      </x:c>
      <x:c r="K333" s="6" t="str">
        <x:v>5</x:v>
      </x:c>
      <x:c r="L333" s="6" t="str">
        <x:v>3</x:v>
      </x:c>
      <x:c r="M333" s="6" t="str">
        <x:v>83</x:v>
      </x:c>
      <x:c r="N333" s="6" t="str">
        <x:v>498</x:v>
      </x:c>
      <x:c r="O333" s="6" t="str">
        <x:v>0</x:v>
      </x:c>
      <x:c r="P333" s="10" t="n">
        <x:f>F333-M333</x:f>
        <x:v>415</x:v>
      </x:c>
      <x:c r="Q333" s="11" t="n">
        <x:f>IFERROR(M333/F333,"")</x:f>
        <x:v>0.16666666666666666</x:v>
      </x:c>
      <x:c r="R333" s="10" t="n">
        <x:f>G333+H333</x:f>
        <x:v>349</x:v>
      </x:c>
      <x:c r="S333" s="11" t="n">
        <x:f>IFERROR(R333/F333,"")</x:f>
        <x:v>0.7008032128514057</x:v>
      </x:c>
      <x:c r="T333" s="11" t="n">
        <x:f>IFERROR(R333/P333,"")</x:f>
        <x:v>0.8409638554216867</x:v>
      </x:c>
      <x:c r="U333" s="10" t="n">
        <x:f>I333+J333+K333</x:f>
        <x:v>63</x:v>
      </x:c>
      <x:c r="V333" s="11" t="n">
        <x:f>IFERROR(U333/P333,"")</x:f>
        <x:v>0.15180722891566265</x:v>
      </x:c>
      <x:c r="W333" s="9" t="str">
        <x:v>provisional_gt_5pct_pending</x:v>
      </x:c>
      <x:c r="X333" s="12" t="n">
        <x:f>IFERROR(F333/Z333*100000,"")</x:f>
        <x:v>13.169377231257439</x:v>
      </x:c>
      <x:c r="Y333" s="13" t="n">
        <x:f>LN(Z333)</x:f>
        <x:v>15.145631314278221</x:v>
      </x:c>
      <x:c r="Z333" s="6" t="str">
        <x:v>3781500</x:v>
      </x:c>
      <x:c r="AA333" s="6" t="str">
        <x:v>1193.0</x:v>
      </x:c>
      <x:c r="AB333" s="9" t="str">
        <x:v>2025-06-30</x:v>
      </x:c>
      <x:c r="AC333" s="8" t="str">
        <x:v>96.94</x:v>
      </x:c>
      <x:c r="AD333" s="9" t="str">
        <x:v>2025 (Susenas)</x:v>
      </x:c>
      <x:c r="AE333" s="8" t="str">
        <x:v>10.23</x:v>
      </x:c>
      <x:c r="AF333" s="9" t="str">
        <x:v>Maret 2025 (Susenas)</x:v>
      </x:c>
      <x:c r="AG333" s="6" t="str">
        <x:v>25.38</x:v>
      </x:c>
      <x:c r="AH333" s="8" t="str">
        <x:v>83.59</x:v>
      </x:c>
      <x:c r="AI333" s="6" t="str">
        <x:v>108.5</x:v>
      </x:c>
      <x:c r="AJ333" s="6" t="str">
        <x:v>0.5849999999999973</x:v>
      </x:c>
      <x:c r="AK333" s="8" t="str">
        <x:v>1.0403646565790714</x:v>
      </x:c>
      <x:c r="AL333" s="6" t="str">
        <x:v>0.1293452226380728</x:v>
      </x:c>
      <x:c r="AM333" s="6" t="str">
        <x:v>1.342669090355823</x:v>
      </x:c>
      <x:c r="AN333" s="6" t="str">
        <x:v>0.8374596565243227</x:v>
      </x:c>
      <x:c r="AO333" s="6" t="str">
        <x:v>7.004999999999996</x:v>
      </x:c>
      <x:c r="AP333" s="8" t="str">
        <x:v>1.5884569904627763</x:v>
      </x:c>
      <x:c r="AQ333" s="6" t="str">
        <x:v>1.2964160429748002</x:v>
      </x:c>
      <x:c r="AR333" s="6" t="str">
        <x:v>0.5824364773158406</x:v>
      </x:c>
      <x:c r="AS333" s="6" t="str">
        <x:v>1.155769836917805</x:v>
      </x:c>
      <x:c r="AT333" s="6" t="str">
        <x:v>77.75833333333333</x:v>
      </x:c>
      <x:c r="AU333" s="8" t="str">
        <x:v>1.8147203257691529</x:v>
      </x:c>
      <x:c r="AV333" s="6" t="str">
        <x:v>-0.1941821188692564</x:v>
      </x:c>
      <x:c r="AW333" s="6" t="str">
        <x:v>1.0389754743888833</x:v>
      </x:c>
      <x:c r="AX333" s="6" t="str">
        <x:v>0.8865045604295934</x:v>
      </x:c>
      <x:c r="AY333" s="6" t="str">
        <x:v>1</x:v>
      </x:c>
      <x:c r="AZ333" s="6" t="str">
        <x:v>1</x:v>
      </x:c>
      <x:c r="BA333" s="9" t="str">
        <x:v>grid_cells_within_BIG_polygon</x:v>
      </x:c>
      <x:c r="BB333" s="6" t="str">
        <x:v>1</x:v>
      </x:c>
      <x:c r="BC333" s="6" t="str">
        <x:v>1</x:v>
      </x:c>
      <x:c r="BD333" s="6" t="str">
        <x:v>1</x:v>
      </x:c>
      <x:c r="BE333" s="6" t="str">
        <x:v>1</x:v>
      </x:c>
      <x:c r="BF333" s="6" t="str">
        <x:v>0</x:v>
      </x:c>
      <x:c r="BG333" s="6" t="str">
        <x:v>0</x:v>
      </x:c>
      <x:c r="BH333" s="6" t="str">
        <x:v>0</x:v>
      </x:c>
      <x:c r="BI333" s="6" t="str">
        <x:v>0</x:v>
      </x:c>
      <x:c r="BJ333" s="6" t="str">
        <x:v>0</x:v>
      </x:c>
      <x:c r="BK333" s="6" t="str">
        <x:v>0</x:v>
      </x:c>
      <x:c r="BL333" s="6" t="str">
        <x:v>0</x:v>
      </x:c>
      <x:c r="BM333" s="6" t="str">
        <x:v>0</x:v>
      </x:c>
      <x:c r="BN333" s="6" t="str">
        <x:v>1</x:v>
      </x:c>
      <x:c r="BO333" s="6" t="str"/>
      <x:c r="BP333" s="6" t="str">
        <x:v>0</x:v>
      </x:c>
      <x:c r="BQ333" s="6" t="str"/>
      <x:c r="BR333" s="6" t="str">
        <x:v>0</x:v>
      </x:c>
      <x:c r="BS333" s="6" t="str">
        <x:v>0.0</x:v>
      </x:c>
      <x:c r="BT333" s="6" t="str">
        <x:v>1</x:v>
      </x:c>
      <x:c r="BU333" s="6" t="str">
        <x:v>90.0</x:v>
      </x:c>
      <x:c r="BV333" s="6" t="str">
        <x:v>1</x:v>
      </x:c>
      <x:c r="BW333" s="9" t="str">
        <x:v>operational_snapshot_annual_totals_may_differ</x:v>
      </x:c>
      <x:c r="BX333" s="9" t="str">
        <x:v>official_live_dashboard_snapshot_subject_to_revision</x:v>
      </x:c>
      <x:c r="BY333" s="9" t="str">
        <x:v>https://tbdashboard.sitb.id/ss_data_tbc03so_2025_provinsi_bulanan_list.php</x:v>
      </x:c>
      <x:c r="BZ333" s="6" t="n">
        <x:v>46246.610671296294</x:v>
      </x:c>
    </x:row>
    <x:row r="334" ht="18" customHeight="1">
      <x:c r="A334" s="6" t="str">
        <x:v>34</x:v>
      </x:c>
      <x:c r="B334" s="6" t="str">
        <x:v>DI YOGYAKARTA</x:v>
      </x:c>
      <x:c r="C334" s="6" t="str">
        <x:v>2025</x:v>
      </x:c>
      <x:c r="D334" s="6" t="str">
        <x:v>9</x:v>
      </x:c>
      <x:c r="E334" s="6" t="str">
        <x:v>2025-09</x:v>
      </x:c>
      <x:c r="F334" s="6" t="str">
        <x:v>480</x:v>
      </x:c>
      <x:c r="G334" s="6" t="str">
        <x:v>77</x:v>
      </x:c>
      <x:c r="H334" s="6" t="str">
        <x:v>246</x:v>
      </x:c>
      <x:c r="I334" s="6" t="str">
        <x:v>28</x:v>
      </x:c>
      <x:c r="J334" s="6" t="str">
        <x:v>35</x:v>
      </x:c>
      <x:c r="K334" s="6" t="str">
        <x:v>3</x:v>
      </x:c>
      <x:c r="L334" s="6" t="str">
        <x:v>0</x:v>
      </x:c>
      <x:c r="M334" s="6" t="str">
        <x:v>91</x:v>
      </x:c>
      <x:c r="N334" s="6" t="str">
        <x:v>480</x:v>
      </x:c>
      <x:c r="O334" s="6" t="str">
        <x:v>0</x:v>
      </x:c>
      <x:c r="P334" s="10" t="n">
        <x:f>F334-M334</x:f>
        <x:v>389</x:v>
      </x:c>
      <x:c r="Q334" s="11" t="n">
        <x:f>IFERROR(M334/F334,"")</x:f>
        <x:v>0.18958333333333333</x:v>
      </x:c>
      <x:c r="R334" s="10" t="n">
        <x:f>G334+H334</x:f>
        <x:v>323</x:v>
      </x:c>
      <x:c r="S334" s="11" t="n">
        <x:f>IFERROR(R334/F334,"")</x:f>
        <x:v>0.6729166666666667</x:v>
      </x:c>
      <x:c r="T334" s="11" t="n">
        <x:f>IFERROR(R334/P334,"")</x:f>
        <x:v>0.8303341902313625</x:v>
      </x:c>
      <x:c r="U334" s="10" t="n">
        <x:f>I334+J334+K334</x:f>
        <x:v>66</x:v>
      </x:c>
      <x:c r="V334" s="11" t="n">
        <x:f>IFERROR(U334/P334,"")</x:f>
        <x:v>0.16966580976863754</x:v>
      </x:c>
      <x:c r="W334" s="9" t="str">
        <x:v>provisional_gt_5pct_pending</x:v>
      </x:c>
      <x:c r="X334" s="12" t="n">
        <x:f>IFERROR(F334/Z334*100000,"")</x:f>
        <x:v>12.693375644585482</x:v>
      </x:c>
      <x:c r="Y334" s="13" t="n">
        <x:f>LN(Z334)</x:f>
        <x:v>15.145631314278221</x:v>
      </x:c>
      <x:c r="Z334" s="6" t="str">
        <x:v>3781500</x:v>
      </x:c>
      <x:c r="AA334" s="6" t="str">
        <x:v>1193.0</x:v>
      </x:c>
      <x:c r="AB334" s="9" t="str">
        <x:v>2025-06-30</x:v>
      </x:c>
      <x:c r="AC334" s="8" t="str">
        <x:v>96.94</x:v>
      </x:c>
      <x:c r="AD334" s="9" t="str">
        <x:v>2025 (Susenas)</x:v>
      </x:c>
      <x:c r="AE334" s="8" t="str">
        <x:v>10.23</x:v>
      </x:c>
      <x:c r="AF334" s="9" t="str">
        <x:v>Maret 2025 (Susenas)</x:v>
      </x:c>
      <x:c r="AG334" s="6" t="str">
        <x:v>25.97</x:v>
      </x:c>
      <x:c r="AH334" s="8" t="str">
        <x:v>82.38</x:v>
      </x:c>
      <x:c r="AI334" s="6" t="str">
        <x:v>175.2</x:v>
      </x:c>
      <x:c r="AJ334" s="6" t="str">
        <x:v>0.3256666666666632</x:v>
      </x:c>
      <x:c r="AK334" s="8" t="str">
        <x:v>0.6078149886182546</x:v>
      </x:c>
      <x:c r="AL334" s="6" t="str">
        <x:v>1.0403646565790714</x:v>
      </x:c>
      <x:c r="AM334" s="6" t="str">
        <x:v>0.1293452226380728</x:v>
      </x:c>
      <x:c r="AN334" s="6" t="str">
        <x:v>0.5925082892784665</x:v>
      </x:c>
      <x:c r="AO334" s="6" t="str">
        <x:v>7.9140000000000015</x:v>
      </x:c>
      <x:c r="AP334" s="8" t="str">
        <x:v>1.5549099888788125</x:v>
      </x:c>
      <x:c r="AQ334" s="6" t="str">
        <x:v>1.5884569904627763</x:v>
      </x:c>
      <x:c r="AR334" s="6" t="str">
        <x:v>1.2964160429748002</x:v>
      </x:c>
      <x:c r="AS334" s="6" t="str">
        <x:v>1.4799276741054623</x:v>
      </x:c>
      <x:c r="AT334" s="6" t="str">
        <x:v>111.73999999999998</x:v>
      </x:c>
      <x:c r="AU334" s="8" t="str">
        <x:v>1.1061221969593615</x:v>
      </x:c>
      <x:c r="AV334" s="6" t="str">
        <x:v>1.8147203257691529</x:v>
      </x:c>
      <x:c r="AW334" s="6" t="str">
        <x:v>-0.1941821188692564</x:v>
      </x:c>
      <x:c r="AX334" s="6" t="str">
        <x:v>0.9088868012864194</x:v>
      </x:c>
      <x:c r="AY334" s="6" t="str">
        <x:v>1</x:v>
      </x:c>
      <x:c r="AZ334" s="6" t="str">
        <x:v>0</x:v>
      </x:c>
      <x:c r="BA334" s="9" t="str">
        <x:v>grid_cells_within_BIG_polygon</x:v>
      </x:c>
      <x:c r="BB334" s="6" t="str">
        <x:v>1</x:v>
      </x:c>
      <x:c r="BC334" s="6" t="str">
        <x:v>0</x:v>
      </x:c>
      <x:c r="BD334" s="6" t="str">
        <x:v>0</x:v>
      </x:c>
      <x:c r="BE334" s="6" t="str">
        <x:v>0</x:v>
      </x:c>
      <x:c r="BF334" s="6" t="str">
        <x:v>0</x:v>
      </x:c>
      <x:c r="BG334" s="6" t="str">
        <x:v>0</x:v>
      </x:c>
      <x:c r="BH334" s="6" t="str">
        <x:v>0</x:v>
      </x:c>
      <x:c r="BI334" s="6" t="str">
        <x:v>0</x:v>
      </x:c>
      <x:c r="BJ334" s="6" t="str">
        <x:v>0</x:v>
      </x:c>
      <x:c r="BK334" s="6" t="str">
        <x:v>0</x:v>
      </x:c>
      <x:c r="BL334" s="6" t="str">
        <x:v>0</x:v>
      </x:c>
      <x:c r="BM334" s="6" t="str">
        <x:v>0</x:v>
      </x:c>
      <x:c r="BN334" s="6" t="str">
        <x:v>0</x:v>
      </x:c>
      <x:c r="BO334" s="6" t="str"/>
      <x:c r="BP334" s="6" t="str">
        <x:v>0</x:v>
      </x:c>
      <x:c r="BQ334" s="6" t="str"/>
      <x:c r="BR334" s="6" t="str">
        <x:v>0</x:v>
      </x:c>
      <x:c r="BS334" s="6" t="str"/>
      <x:c r="BT334" s="6" t="str">
        <x:v>0</x:v>
      </x:c>
      <x:c r="BU334" s="6" t="str"/>
      <x:c r="BV334" s="6" t="str">
        <x:v>0</x:v>
      </x:c>
      <x:c r="BW334" s="9" t="str">
        <x:v>operational_snapshot_annual_totals_may_differ</x:v>
      </x:c>
      <x:c r="BX334" s="9" t="str">
        <x:v>official_live_dashboard_snapshot_subject_to_revision</x:v>
      </x:c>
      <x:c r="BY334" s="9" t="str">
        <x:v>https://tbdashboard.sitb.id/ss_data_tbc03so_2025_provinsi_bulanan_list.php</x:v>
      </x:c>
      <x:c r="BZ334" s="6" t="n">
        <x:v>46246.610671296294</x:v>
      </x:c>
    </x:row>
    <x:row r="335" ht="18" customHeight="1">
      <x:c r="A335" s="6" t="str">
        <x:v>34</x:v>
      </x:c>
      <x:c r="B335" s="6" t="str">
        <x:v>DI YOGYAKARTA</x:v>
      </x:c>
      <x:c r="C335" s="6" t="str">
        <x:v>2025</x:v>
      </x:c>
      <x:c r="D335" s="6" t="str">
        <x:v>10</x:v>
      </x:c>
      <x:c r="E335" s="6" t="str">
        <x:v>2025-10</x:v>
      </x:c>
      <x:c r="F335" s="6" t="str">
        <x:v>511</x:v>
      </x:c>
      <x:c r="G335" s="6" t="str">
        <x:v>75</x:v>
      </x:c>
      <x:c r="H335" s="6" t="str">
        <x:v>231</x:v>
      </x:c>
      <x:c r="I335" s="6" t="str">
        <x:v>31</x:v>
      </x:c>
      <x:c r="J335" s="6" t="str">
        <x:v>41</x:v>
      </x:c>
      <x:c r="K335" s="6" t="str">
        <x:v>5</x:v>
      </x:c>
      <x:c r="L335" s="6" t="str">
        <x:v>3</x:v>
      </x:c>
      <x:c r="M335" s="6" t="str">
        <x:v>125</x:v>
      </x:c>
      <x:c r="N335" s="6" t="str">
        <x:v>511</x:v>
      </x:c>
      <x:c r="O335" s="6" t="str">
        <x:v>0</x:v>
      </x:c>
      <x:c r="P335" s="10" t="n">
        <x:f>F335-M335</x:f>
        <x:v>386</x:v>
      </x:c>
      <x:c r="Q335" s="11" t="n">
        <x:f>IFERROR(M335/F335,"")</x:f>
        <x:v>0.2446183953033268</x:v>
      </x:c>
      <x:c r="R335" s="10" t="n">
        <x:f>G335+H335</x:f>
        <x:v>306</x:v>
      </x:c>
      <x:c r="S335" s="11" t="n">
        <x:f>IFERROR(R335/F335,"")</x:f>
        <x:v>0.598825831702544</x:v>
      </x:c>
      <x:c r="T335" s="11" t="n">
        <x:f>IFERROR(R335/P335,"")</x:f>
        <x:v>0.7927461139896373</x:v>
      </x:c>
      <x:c r="U335" s="10" t="n">
        <x:f>I335+J335+K335</x:f>
        <x:v>77</x:v>
      </x:c>
      <x:c r="V335" s="11" t="n">
        <x:f>IFERROR(U335/P335,"")</x:f>
        <x:v>0.19948186528497408</x:v>
      </x:c>
      <x:c r="W335" s="9" t="str">
        <x:v>provisional_gt_5pct_pending</x:v>
      </x:c>
      <x:c r="X335" s="12" t="n">
        <x:f>IFERROR(F335/Z335*100000,"")</x:f>
        <x:v>13.51315615496496</x:v>
      </x:c>
      <x:c r="Y335" s="13" t="n">
        <x:f>LN(Z335)</x:f>
        <x:v>15.145631314278221</x:v>
      </x:c>
      <x:c r="Z335" s="6" t="str">
        <x:v>3781500</x:v>
      </x:c>
      <x:c r="AA335" s="6" t="str">
        <x:v>1193.0</x:v>
      </x:c>
      <x:c r="AB335" s="9" t="str">
        <x:v>2025-06-30</x:v>
      </x:c>
      <x:c r="AC335" s="8" t="str">
        <x:v>96.94</x:v>
      </x:c>
      <x:c r="AD335" s="9" t="str">
        <x:v>2025 (Susenas)</x:v>
      </x:c>
      <x:c r="AE335" s="8" t="str">
        <x:v>10.23</x:v>
      </x:c>
      <x:c r="AF335" s="9" t="str">
        <x:v>Maret 2025 (Susenas)</x:v>
      </x:c>
      <x:c r="AG335" s="6" t="str">
        <x:v>26.59</x:v>
      </x:c>
      <x:c r="AH335" s="8" t="str">
        <x:v>84.42</x:v>
      </x:c>
      <x:c r="AI335" s="6" t="str">
        <x:v>324.26000000000005</x:v>
      </x:c>
      <x:c r="AJ335" s="6" t="str">
        <x:v>0.1919999999999966</x:v>
      </x:c>
      <x:c r="AK335" s="8" t="str">
        <x:v>0.4236695565345406</x:v>
      </x:c>
      <x:c r="AL335" s="6" t="str">
        <x:v>0.6078149886182546</x:v>
      </x:c>
      <x:c r="AM335" s="6" t="str">
        <x:v>1.0403646565790714</x:v>
      </x:c>
      <x:c r="AN335" s="6" t="str">
        <x:v>0.6906164005772893</x:v>
      </x:c>
      <x:c r="AO335" s="6" t="str">
        <x:v>7.849333333333334</x:v>
      </x:c>
      <x:c r="AP335" s="8" t="str">
        <x:v>1.3968188461523523</x:v>
      </x:c>
      <x:c r="AQ335" s="6" t="str">
        <x:v>1.5549099888788125</x:v>
      </x:c>
      <x:c r="AR335" s="6" t="str">
        <x:v>1.5884569904627763</x:v>
      </x:c>
      <x:c r="AS335" s="6" t="str">
        <x:v>1.513395275164647</x:v>
      </x:c>
      <x:c r="AT335" s="6" t="str">
        <x:v>184.72900000000004</x:v>
      </x:c>
      <x:c r="AU335" s="8" t="str">
        <x:v>1.662403580537953</x:v>
      </x:c>
      <x:c r="AV335" s="6" t="str">
        <x:v>1.1061221969593615</x:v>
      </x:c>
      <x:c r="AW335" s="6" t="str">
        <x:v>1.8147203257691529</x:v>
      </x:c>
      <x:c r="AX335" s="6" t="str">
        <x:v>1.5277487010888224</x:v>
      </x:c>
      <x:c r="AY335" s="6" t="str">
        <x:v>1</x:v>
      </x:c>
      <x:c r="AZ335" s="6" t="str">
        <x:v>0</x:v>
      </x:c>
      <x:c r="BA335" s="9" t="str">
        <x:v>grid_cells_within_BIG_polygon</x:v>
      </x:c>
      <x:c r="BB335" s="6" t="str">
        <x:v>1</x:v>
      </x:c>
      <x:c r="BC335" s="6" t="str">
        <x:v>3</x:v>
      </x:c>
      <x:c r="BD335" s="6" t="str">
        <x:v>3</x:v>
      </x:c>
      <x:c r="BE335" s="6" t="str">
        <x:v>0</x:v>
      </x:c>
      <x:c r="BF335" s="6" t="str">
        <x:v>0</x:v>
      </x:c>
      <x:c r="BG335" s="6" t="str">
        <x:v>3</x:v>
      </x:c>
      <x:c r="BH335" s="6" t="str">
        <x:v>0</x:v>
      </x:c>
      <x:c r="BI335" s="6" t="str">
        <x:v>0</x:v>
      </x:c>
      <x:c r="BJ335" s="6" t="str">
        <x:v>0</x:v>
      </x:c>
      <x:c r="BK335" s="6" t="str">
        <x:v>0</x:v>
      </x:c>
      <x:c r="BL335" s="6" t="str">
        <x:v>0</x:v>
      </x:c>
      <x:c r="BM335" s="6" t="str">
        <x:v>0</x:v>
      </x:c>
      <x:c r="BN335" s="6" t="str">
        <x:v>3</x:v>
      </x:c>
      <x:c r="BO335" s="6" t="str"/>
      <x:c r="BP335" s="6" t="str">
        <x:v>0</x:v>
      </x:c>
      <x:c r="BQ335" s="6" t="str">
        <x:v>9.0</x:v>
      </x:c>
      <x:c r="BR335" s="6" t="str">
        <x:v>1</x:v>
      </x:c>
      <x:c r="BS335" s="6" t="str">
        <x:v>6.0</x:v>
      </x:c>
      <x:c r="BT335" s="6" t="str">
        <x:v>3</x:v>
      </x:c>
      <x:c r="BU335" s="6" t="str"/>
      <x:c r="BV335" s="6" t="str">
        <x:v>0</x:v>
      </x:c>
      <x:c r="BW335" s="9" t="str">
        <x:v>operational_snapshot_annual_totals_may_differ</x:v>
      </x:c>
      <x:c r="BX335" s="9" t="str">
        <x:v>official_live_dashboard_snapshot_subject_to_revision</x:v>
      </x:c>
      <x:c r="BY335" s="9" t="str">
        <x:v>https://tbdashboard.sitb.id/ss_data_tbc03so_2025_provinsi_bulanan_list.php</x:v>
      </x:c>
      <x:c r="BZ335" s="6" t="n">
        <x:v>46246.610671296294</x:v>
      </x:c>
    </x:row>
    <x:row r="336" ht="18" customHeight="1">
      <x:c r="A336" s="6" t="str">
        <x:v>34</x:v>
      </x:c>
      <x:c r="B336" s="6" t="str">
        <x:v>DI YOGYAKARTA</x:v>
      </x:c>
      <x:c r="C336" s="6" t="str">
        <x:v>2025</x:v>
      </x:c>
      <x:c r="D336" s="6" t="str">
        <x:v>11</x:v>
      </x:c>
      <x:c r="E336" s="6" t="str">
        <x:v>2025-11</x:v>
      </x:c>
      <x:c r="F336" s="6" t="str">
        <x:v>455</x:v>
      </x:c>
      <x:c r="G336" s="6" t="str">
        <x:v>73</x:v>
      </x:c>
      <x:c r="H336" s="6" t="str">
        <x:v>168</x:v>
      </x:c>
      <x:c r="I336" s="6" t="str">
        <x:v>26</x:v>
      </x:c>
      <x:c r="J336" s="6" t="str">
        <x:v>28</x:v>
      </x:c>
      <x:c r="K336" s="6" t="str">
        <x:v>3</x:v>
      </x:c>
      <x:c r="L336" s="6" t="str">
        <x:v>5</x:v>
      </x:c>
      <x:c r="M336" s="6" t="str">
        <x:v>152</x:v>
      </x:c>
      <x:c r="N336" s="6" t="str">
        <x:v>455</x:v>
      </x:c>
      <x:c r="O336" s="6" t="str">
        <x:v>0</x:v>
      </x:c>
      <x:c r="P336" s="10" t="n">
        <x:f>F336-M336</x:f>
        <x:v>303</x:v>
      </x:c>
      <x:c r="Q336" s="11" t="n">
        <x:f>IFERROR(M336/F336,"")</x:f>
        <x:v>0.33406593406593404</x:v>
      </x:c>
      <x:c r="R336" s="10" t="n">
        <x:f>G336+H336</x:f>
        <x:v>241</x:v>
      </x:c>
      <x:c r="S336" s="11" t="n">
        <x:f>IFERROR(R336/F336,"")</x:f>
        <x:v>0.5296703296703297</x:v>
      </x:c>
      <x:c r="T336" s="11" t="n">
        <x:f>IFERROR(R336/P336,"")</x:f>
        <x:v>0.7953795379537953</x:v>
      </x:c>
      <x:c r="U336" s="10" t="n">
        <x:f>I336+J336+K336</x:f>
        <x:v>57</x:v>
      </x:c>
      <x:c r="V336" s="11" t="n">
        <x:f>IFERROR(U336/P336,"")</x:f>
        <x:v>0.18811881188118812</x:v>
      </x:c>
      <x:c r="W336" s="9" t="str">
        <x:v>provisional_gt_5pct_pending</x:v>
      </x:c>
      <x:c r="X336" s="12" t="n">
        <x:f>IFERROR(F336/Z336*100000,"")</x:f>
        <x:v>12.032262329763322</x:v>
      </x:c>
      <x:c r="Y336" s="13" t="n">
        <x:f>LN(Z336)</x:f>
        <x:v>15.145631314278221</x:v>
      </x:c>
      <x:c r="Z336" s="6" t="str">
        <x:v>3781500</x:v>
      </x:c>
      <x:c r="AA336" s="6" t="str">
        <x:v>1193.0</x:v>
      </x:c>
      <x:c r="AB336" s="9" t="str">
        <x:v>2025-06-30</x:v>
      </x:c>
      <x:c r="AC336" s="8" t="str">
        <x:v>96.94</x:v>
      </x:c>
      <x:c r="AD336" s="9" t="str">
        <x:v>2025 (Susenas)</x:v>
      </x:c>
      <x:c r="AE336" s="8" t="str">
        <x:v>10.23</x:v>
      </x:c>
      <x:c r="AF336" s="9" t="str">
        <x:v>Maret 2025 (Susenas)</x:v>
      </x:c>
      <x:c r="AG336" s="6" t="str">
        <x:v>26.01</x:v>
      </x:c>
      <x:c r="AH336" s="8" t="str">
        <x:v>86.96</x:v>
      </x:c>
      <x:c r="AI336" s="6" t="str">
        <x:v>312.3</x:v>
      </x:c>
      <x:c r="AJ336" s="6" t="str">
        <x:v>-0.3856666666666655</x:v>
      </x:c>
      <x:c r="AK336" s="8" t="str">
        <x:v>-0.6713687300732037</x:v>
      </x:c>
      <x:c r="AL336" s="6" t="str">
        <x:v>0.4236695565345406</x:v>
      </x:c>
      <x:c r="AM336" s="6" t="str">
        <x:v>0.6078149886182546</x:v>
      </x:c>
      <x:c r="AN336" s="6" t="str">
        <x:v>0.1200386050265308</x:v>
      </x:c>
      <x:c r="AO336" s="6" t="str">
        <x:v>4.668333333333322</x:v>
      </x:c>
      <x:c r="AP336" s="8" t="str">
        <x:v>1.1435542325809671</x:v>
      </x:c>
      <x:c r="AQ336" s="6" t="str">
        <x:v>1.3968188461523523</x:v>
      </x:c>
      <x:c r="AR336" s="6" t="str">
        <x:v>1.5549099888788125</x:v>
      </x:c>
      <x:c r="AS336" s="6" t="str">
        <x:v>1.3650943558707105</x:v>
      </x:c>
      <x:c r="AT336" s="6" t="str">
        <x:v>79.89000000000001</x:v>
      </x:c>
      <x:c r="AU336" s="8" t="str">
        <x:v>0.9842878904145544</x:v>
      </x:c>
      <x:c r="AV336" s="6" t="str">
        <x:v>1.662403580537953</x:v>
      </x:c>
      <x:c r="AW336" s="6" t="str">
        <x:v>1.1061221969593615</x:v>
      </x:c>
      <x:c r="AX336" s="6" t="str">
        <x:v>1.2509378893039564</x:v>
      </x:c>
      <x:c r="AY336" s="6" t="str">
        <x:v>0</x:v>
      </x:c>
      <x:c r="AZ336" s="6" t="str">
        <x:v>0</x:v>
      </x:c>
      <x:c r="BA336" s="9" t="str">
        <x:v>grid_cells_within_BIG_polygon</x:v>
      </x:c>
      <x:c r="BB336" s="6" t="str">
        <x:v>1</x:v>
      </x:c>
      <x:c r="BC336" s="6" t="str">
        <x:v>1</x:v>
      </x:c>
      <x:c r="BD336" s="6" t="str">
        <x:v>1</x:v>
      </x:c>
      <x:c r="BE336" s="6" t="str">
        <x:v>0</x:v>
      </x:c>
      <x:c r="BF336" s="6" t="str">
        <x:v>0</x:v>
      </x:c>
      <x:c r="BG336" s="6" t="str">
        <x:v>1</x:v>
      </x:c>
      <x:c r="BH336" s="6" t="str">
        <x:v>0</x:v>
      </x:c>
      <x:c r="BI336" s="6" t="str">
        <x:v>0</x:v>
      </x:c>
      <x:c r="BJ336" s="6" t="str">
        <x:v>0</x:v>
      </x:c>
      <x:c r="BK336" s="6" t="str">
        <x:v>0</x:v>
      </x:c>
      <x:c r="BL336" s="6" t="str">
        <x:v>0</x:v>
      </x:c>
      <x:c r="BM336" s="6" t="str">
        <x:v>0</x:v>
      </x:c>
      <x:c r="BN336" s="6" t="str">
        <x:v>1</x:v>
      </x:c>
      <x:c r="BO336" s="6" t="str">
        <x:v>2.0</x:v>
      </x:c>
      <x:c r="BP336" s="6" t="str">
        <x:v>1</x:v>
      </x:c>
      <x:c r="BQ336" s="6" t="str"/>
      <x:c r="BR336" s="6" t="str">
        <x:v>0</x:v>
      </x:c>
      <x:c r="BS336" s="6" t="str">
        <x:v>0.0</x:v>
      </x:c>
      <x:c r="BT336" s="6" t="str">
        <x:v>1</x:v>
      </x:c>
      <x:c r="BU336" s="6" t="str"/>
      <x:c r="BV336" s="6" t="str">
        <x:v>0</x:v>
      </x:c>
      <x:c r="BW336" s="9" t="str">
        <x:v>operational_snapshot_annual_totals_may_differ</x:v>
      </x:c>
      <x:c r="BX336" s="9" t="str">
        <x:v>official_live_dashboard_snapshot_subject_to_revision</x:v>
      </x:c>
      <x:c r="BY336" s="9" t="str">
        <x:v>https://tbdashboard.sitb.id/ss_data_tbc03so_2025_provinsi_bulanan_list.php</x:v>
      </x:c>
      <x:c r="BZ336" s="6" t="n">
        <x:v>46246.610671296294</x:v>
      </x:c>
    </x:row>
    <x:row r="337" ht="18" customHeight="1">
      <x:c r="A337" s="6" t="str">
        <x:v>34</x:v>
      </x:c>
      <x:c r="B337" s="6" t="str">
        <x:v>DI YOGYAKARTA</x:v>
      </x:c>
      <x:c r="C337" s="6" t="str">
        <x:v>2025</x:v>
      </x:c>
      <x:c r="D337" s="6" t="str">
        <x:v>12</x:v>
      </x:c>
      <x:c r="E337" s="6" t="str">
        <x:v>2025-12</x:v>
      </x:c>
      <x:c r="F337" s="6" t="str">
        <x:v>460</x:v>
      </x:c>
      <x:c r="G337" s="6" t="str">
        <x:v>75</x:v>
      </x:c>
      <x:c r="H337" s="6" t="str">
        <x:v>145</x:v>
      </x:c>
      <x:c r="I337" s="6" t="str">
        <x:v>15</x:v>
      </x:c>
      <x:c r="J337" s="6" t="str">
        <x:v>31</x:v>
      </x:c>
      <x:c r="K337" s="6" t="str">
        <x:v>2</x:v>
      </x:c>
      <x:c r="L337" s="6" t="str">
        <x:v>2</x:v>
      </x:c>
      <x:c r="M337" s="6" t="str">
        <x:v>190</x:v>
      </x:c>
      <x:c r="N337" s="6" t="str">
        <x:v>460</x:v>
      </x:c>
      <x:c r="O337" s="6" t="str">
        <x:v>0</x:v>
      </x:c>
      <x:c r="P337" s="10" t="n">
        <x:f>F337-M337</x:f>
        <x:v>270</x:v>
      </x:c>
      <x:c r="Q337" s="11" t="n">
        <x:f>IFERROR(M337/F337,"")</x:f>
        <x:v>0.41304347826086957</x:v>
      </x:c>
      <x:c r="R337" s="10" t="n">
        <x:f>G337+H337</x:f>
        <x:v>220</x:v>
      </x:c>
      <x:c r="S337" s="11" t="n">
        <x:f>IFERROR(R337/F337,"")</x:f>
        <x:v>0.4782608695652174</x:v>
      </x:c>
      <x:c r="T337" s="11" t="n">
        <x:f>IFERROR(R337/P337,"")</x:f>
        <x:v>0.8148148148148148</x:v>
      </x:c>
      <x:c r="U337" s="10" t="n">
        <x:f>I337+J337+K337</x:f>
        <x:v>48</x:v>
      </x:c>
      <x:c r="V337" s="11" t="n">
        <x:f>IFERROR(U337/P337,"")</x:f>
        <x:v>0.17777777777777778</x:v>
      </x:c>
      <x:c r="W337" s="9" t="str">
        <x:v>provisional_gt_5pct_pending</x:v>
      </x:c>
      <x:c r="X337" s="12" t="n">
        <x:f>IFERROR(F337/Z337*100000,"")</x:f>
        <x:v>12.164484992727754</x:v>
      </x:c>
      <x:c r="Y337" s="13" t="n">
        <x:f>LN(Z337)</x:f>
        <x:v>15.145631314278221</x:v>
      </x:c>
      <x:c r="Z337" s="6" t="str">
        <x:v>3781500</x:v>
      </x:c>
      <x:c r="AA337" s="6" t="str">
        <x:v>1193.0</x:v>
      </x:c>
      <x:c r="AB337" s="9" t="str">
        <x:v>2025-06-30</x:v>
      </x:c>
      <x:c r="AC337" s="8" t="str">
        <x:v>96.94</x:v>
      </x:c>
      <x:c r="AD337" s="9" t="str">
        <x:v>2025 (Susenas)</x:v>
      </x:c>
      <x:c r="AE337" s="8" t="str">
        <x:v>10.23</x:v>
      </x:c>
      <x:c r="AF337" s="9" t="str">
        <x:v>Maret 2025 (Susenas)</x:v>
      </x:c>
      <x:c r="AG337" s="6" t="str">
        <x:v>26.26</x:v>
      </x:c>
      <x:c r="AH337" s="8" t="str">
        <x:v>86.65</x:v>
      </x:c>
      <x:c r="AI337" s="6" t="str">
        <x:v>342.23999999999995</x:v>
      </x:c>
      <x:c r="AJ337" s="6" t="str">
        <x:v>0.2539999999999978</x:v>
      </x:c>
      <x:c r="AK337" s="8" t="str">
        <x:v>0.5138116539335847</x:v>
      </x:c>
      <x:c r="AL337" s="6" t="str">
        <x:v>-0.6713687300732037</x:v>
      </x:c>
      <x:c r="AM337" s="6" t="str">
        <x:v>0.4236695565345406</x:v>
      </x:c>
      <x:c r="AN337" s="6" t="str">
        <x:v>0.0887041601316409</x:v>
      </x:c>
      <x:c r="AO337" s="6" t="str">
        <x:v>1.3473333333333386</x:v>
      </x:c>
      <x:c r="AP337" s="8" t="str">
        <x:v>0.6104291547202015</x:v>
      </x:c>
      <x:c r="AQ337" s="6" t="str">
        <x:v>1.1435542325809671</x:v>
      </x:c>
      <x:c r="AR337" s="6" t="str">
        <x:v>1.3968188461523523</x:v>
      </x:c>
      <x:c r="AS337" s="6" t="str">
        <x:v>1.0502674111511732</x:v>
      </x:c>
      <x:c r="AT337" s="6" t="str">
        <x:v>62.22733333333332</x:v>
      </x:c>
      <x:c r="AU337" s="8" t="str">
        <x:v>0.7715036893503379</x:v>
      </x:c>
      <x:c r="AV337" s="6" t="str">
        <x:v>0.9842878904145544</x:v>
      </x:c>
      <x:c r="AW337" s="6" t="str">
        <x:v>1.662403580537953</x:v>
      </x:c>
      <x:c r="AX337" s="6" t="str">
        <x:v>1.1393983867676152</x:v>
      </x:c>
      <x:c r="AY337" s="6" t="str">
        <x:v>0</x:v>
      </x:c>
      <x:c r="AZ337" s="6" t="str">
        <x:v>0</x:v>
      </x:c>
      <x:c r="BA337" s="9" t="str">
        <x:v>grid_cells_within_BIG_polygon</x:v>
      </x:c>
      <x:c r="BB337" s="6" t="str">
        <x:v>1</x:v>
      </x:c>
      <x:c r="BC337" s="6" t="str">
        <x:v>1</x:v>
      </x:c>
      <x:c r="BD337" s="6" t="str">
        <x:v>1</x:v>
      </x:c>
      <x:c r="BE337" s="6" t="str">
        <x:v>0</x:v>
      </x:c>
      <x:c r="BF337" s="6" t="str">
        <x:v>0</x:v>
      </x:c>
      <x:c r="BG337" s="6" t="str">
        <x:v>1</x:v>
      </x:c>
      <x:c r="BH337" s="6" t="str">
        <x:v>0</x:v>
      </x:c>
      <x:c r="BI337" s="6" t="str">
        <x:v>0</x:v>
      </x:c>
      <x:c r="BJ337" s="6" t="str">
        <x:v>0</x:v>
      </x:c>
      <x:c r="BK337" s="6" t="str">
        <x:v>0</x:v>
      </x:c>
      <x:c r="BL337" s="6" t="str">
        <x:v>0</x:v>
      </x:c>
      <x:c r="BM337" s="6" t="str">
        <x:v>0</x:v>
      </x:c>
      <x:c r="BN337" s="6" t="str">
        <x:v>1</x:v>
      </x:c>
      <x:c r="BO337" s="6" t="str"/>
      <x:c r="BP337" s="6" t="str">
        <x:v>0</x:v>
      </x:c>
      <x:c r="BQ337" s="6" t="str"/>
      <x:c r="BR337" s="6" t="str">
        <x:v>0</x:v>
      </x:c>
      <x:c r="BS337" s="6" t="str">
        <x:v>0.0</x:v>
      </x:c>
      <x:c r="BT337" s="6" t="str">
        <x:v>1</x:v>
      </x:c>
      <x:c r="BU337" s="6" t="str"/>
      <x:c r="BV337" s="6" t="str">
        <x:v>0</x:v>
      </x:c>
      <x:c r="BW337" s="9" t="str">
        <x:v>operational_snapshot_annual_totals_may_differ</x:v>
      </x:c>
      <x:c r="BX337" s="9" t="str">
        <x:v>official_live_dashboard_snapshot_subject_to_revision</x:v>
      </x:c>
      <x:c r="BY337" s="9" t="str">
        <x:v>https://tbdashboard.sitb.id/ss_data_tbc03so_2025_provinsi_bulanan_list.php</x:v>
      </x:c>
      <x:c r="BZ337" s="6" t="n">
        <x:v>46246.610671296294</x:v>
      </x:c>
    </x:row>
    <x:row r="338" ht="18" customHeight="1">
      <x:c r="A338" s="6" t="str">
        <x:v>35</x:v>
      </x:c>
      <x:c r="B338" s="6" t="str">
        <x:v>JAWA TIMUR</x:v>
      </x:c>
      <x:c r="C338" s="6" t="str">
        <x:v>2024</x:v>
      </x:c>
      <x:c r="D338" s="6" t="str">
        <x:v>1</x:v>
      </x:c>
      <x:c r="E338" s="6" t="str">
        <x:v>2024-01</x:v>
      </x:c>
      <x:c r="F338" s="6" t="str">
        <x:v>7440</x:v>
      </x:c>
      <x:c r="G338" s="6" t="str">
        <x:v>2377</x:v>
      </x:c>
      <x:c r="H338" s="6" t="str">
        <x:v>4236</x:v>
      </x:c>
      <x:c r="I338" s="6" t="str">
        <x:v>417</x:v>
      </x:c>
      <x:c r="J338" s="6" t="str">
        <x:v>371</x:v>
      </x:c>
      <x:c r="K338" s="6" t="str">
        <x:v>33</x:v>
      </x:c>
      <x:c r="L338" s="6" t="str">
        <x:v>0</x:v>
      </x:c>
      <x:c r="M338" s="6" t="str">
        <x:v>6</x:v>
      </x:c>
      <x:c r="N338" s="6" t="str">
        <x:v>7440</x:v>
      </x:c>
      <x:c r="O338" s="6" t="str">
        <x:v>0</x:v>
      </x:c>
      <x:c r="P338" s="10" t="n">
        <x:f>F338-M338</x:f>
        <x:v>7434</x:v>
      </x:c>
      <x:c r="Q338" s="11" t="n">
        <x:f>IFERROR(M338/F338,"")</x:f>
        <x:v>0.0008064516129032258</x:v>
      </x:c>
      <x:c r="R338" s="10" t="n">
        <x:f>G338+H338</x:f>
        <x:v>6613</x:v>
      </x:c>
      <x:c r="S338" s="11" t="n">
        <x:f>IFERROR(R338/F338,"")</x:f>
        <x:v>0.8888440860215053</x:v>
      </x:c>
      <x:c r="T338" s="11" t="n">
        <x:f>IFERROR(R338/P338,"")</x:f>
        <x:v>0.889561474307237</x:v>
      </x:c>
      <x:c r="U338" s="10" t="n">
        <x:f>I338+J338+K338</x:f>
        <x:v>821</x:v>
      </x:c>
      <x:c r="V338" s="11" t="n">
        <x:f>IFERROR(U338/P338,"")</x:f>
        <x:v>0.11043852569276298</x:v>
      </x:c>
      <x:c r="W338" s="9" t="str">
        <x:v>mature_le_5pct_pending</x:v>
      </x:c>
      <x:c r="X338" s="12" t="n">
        <x:f>IFERROR(F338/Z338*100000,"")</x:f>
        <x:v>17.79287089406785</x:v>
      </x:c>
      <x:c r="Y338" s="13" t="n">
        <x:f>LN(Z338)</x:f>
        <x:v>17.548753727294727</x:v>
      </x:c>
      <x:c r="Z338" s="6" t="str">
        <x:v>41814500</x:v>
      </x:c>
      <x:c r="AA338" s="6" t="str">
        <x:v>870.0</x:v>
      </x:c>
      <x:c r="AB338" s="9" t="str">
        <x:v>2024-06-30</x:v>
      </x:c>
      <x:c r="AC338" s="8" t="str">
        <x:v>85.56</x:v>
      </x:c>
      <x:c r="AD338" s="9" t="str">
        <x:v>2024 (Susenas)</x:v>
      </x:c>
      <x:c r="AE338" s="8" t="str">
        <x:v>9.79</x:v>
      </x:c>
      <x:c r="AF338" s="9" t="str">
        <x:v>Maret 2024 (Susenas)</x:v>
      </x:c>
      <x:c r="AG338" s="6" t="str">
        <x:v>26.96062623956446</x:v>
      </x:c>
      <x:c r="AH338" s="8" t="str">
        <x:v>84.73521494731392</x:v>
      </x:c>
      <x:c r="AI338" s="6" t="str">
        <x:v>277.0422993170055</x:v>
      </x:c>
      <x:c r="AJ338" s="6" t="str">
        <x:v>1.0954516910072414</x:v>
      </x:c>
      <x:c r="AK338" s="8" t="str">
        <x:v>1.9729590730951168</x:v>
      </x:c>
      <x:c r="AL338" s="6" t="str">
        <x:v>1.31165440568227</x:v>
      </x:c>
      <x:c r="AM338" s="6" t="str">
        <x:v>1.6624813177305484</x:v>
      </x:c>
      <x:c r="AN338" s="6" t="str">
        <x:v>1.6490315988359785</x:v>
      </x:c>
      <x:c r="AO338" s="6" t="str">
        <x:v>-1.181118319565016</x:v>
      </x:c>
      <x:c r="AP338" s="8" t="str">
        <x:v>-0.449685416942664</x:v>
      </x:c>
      <x:c r="AQ338" s="6" t="str">
        <x:v>-0.1695222384242267</x:v>
      </x:c>
      <x:c r="AR338" s="6" t="str">
        <x:v>-0.7281075390847563</x:v>
      </x:c>
      <x:c r="AS338" s="6" t="str">
        <x:v>-0.4491050648172159</x:v>
      </x:c>
      <x:c r="AT338" s="6" t="str">
        <x:v>-36.13330296508286</x:v>
      </x:c>
      <x:c r="AU338" s="8" t="str">
        <x:v>-0.4399016755125935</x:v>
      </x:c>
      <x:c r="AV338" s="6" t="str">
        <x:v>3.974763559103325</x:v>
      </x:c>
      <x:c r="AW338" s="6" t="str">
        <x:v>-0.1082447543315263</x:v>
      </x:c>
      <x:c r="AX338" s="6" t="str">
        <x:v>1.1422057097530685</x:v>
      </x:c>
      <x:c r="AY338" s="6" t="str">
        <x:v>0</x:v>
      </x:c>
      <x:c r="AZ338" s="6" t="str">
        <x:v>1</x:v>
      </x:c>
      <x:c r="BA338" s="9" t="str">
        <x:v>grid_cells_within_BIG_polygon</x:v>
      </x:c>
      <x:c r="BB338" s="6" t="str">
        <x:v>16</x:v>
      </x:c>
      <x:c r="BC338" s="6" t="str">
        <x:v>45</x:v>
      </x:c>
      <x:c r="BD338" s="6" t="str">
        <x:v>45</x:v>
      </x:c>
      <x:c r="BE338" s="6" t="str">
        <x:v>9</x:v>
      </x:c>
      <x:c r="BF338" s="6" t="str">
        <x:v>1</x:v>
      </x:c>
      <x:c r="BG338" s="6" t="str">
        <x:v>35</x:v>
      </x:c>
      <x:c r="BH338" s="6" t="str">
        <x:v>0</x:v>
      </x:c>
      <x:c r="BI338" s="6" t="str">
        <x:v>0</x:v>
      </x:c>
      <x:c r="BJ338" s="6" t="str">
        <x:v>0</x:v>
      </x:c>
      <x:c r="BK338" s="6" t="str">
        <x:v>0</x:v>
      </x:c>
      <x:c r="BL338" s="6" t="str">
        <x:v>0</x:v>
      </x:c>
      <x:c r="BM338" s="6" t="str">
        <x:v>0</x:v>
      </x:c>
      <x:c r="BN338" s="6" t="str">
        <x:v>45</x:v>
      </x:c>
      <x:c r="BO338" s="6" t="str">
        <x:v>3.0</x:v>
      </x:c>
      <x:c r="BP338" s="6" t="str">
        <x:v>45</x:v>
      </x:c>
      <x:c r="BQ338" s="6" t="str">
        <x:v>23.0</x:v>
      </x:c>
      <x:c r="BR338" s="6" t="str">
        <x:v>45</x:v>
      </x:c>
      <x:c r="BS338" s="6" t="str">
        <x:v>1132.0</x:v>
      </x:c>
      <x:c r="BT338" s="6" t="str">
        <x:v>45</x:v>
      </x:c>
      <x:c r="BU338" s="6" t="str">
        <x:v>997.0</x:v>
      </x:c>
      <x:c r="BV338" s="6" t="str">
        <x:v>6</x:v>
      </x:c>
      <x:c r="BW338" s="9" t="str">
        <x:v>operational_snapshot_annual_totals_may_differ</x:v>
      </x:c>
      <x:c r="BX338" s="9" t="str">
        <x:v>official_live_dashboard_snapshot_subject_to_revision</x:v>
      </x:c>
      <x:c r="BY338" s="9" t="str">
        <x:v>https://tbdashboard.sitb.id/ss_data_tbc03so_2024_provinsi_bulanan_list.php</x:v>
      </x:c>
      <x:c r="BZ338" s="6" t="n">
        <x:v>46246.610671296294</x:v>
      </x:c>
    </x:row>
    <x:row r="339" ht="18" customHeight="1">
      <x:c r="A339" s="6" t="str">
        <x:v>35</x:v>
      </x:c>
      <x:c r="B339" s="6" t="str">
        <x:v>JAWA TIMUR</x:v>
      </x:c>
      <x:c r="C339" s="6" t="str">
        <x:v>2024</x:v>
      </x:c>
      <x:c r="D339" s="6" t="str">
        <x:v>2</x:v>
      </x:c>
      <x:c r="E339" s="6" t="str">
        <x:v>2024-02</x:v>
      </x:c>
      <x:c r="F339" s="6" t="str">
        <x:v>6262</x:v>
      </x:c>
      <x:c r="G339" s="6" t="str">
        <x:v>2084</x:v>
      </x:c>
      <x:c r="H339" s="6" t="str">
        <x:v>3454</x:v>
      </x:c>
      <x:c r="I339" s="6" t="str">
        <x:v>377</x:v>
      </x:c>
      <x:c r="J339" s="6" t="str">
        <x:v>307</x:v>
      </x:c>
      <x:c r="K339" s="6" t="str">
        <x:v>27</x:v>
      </x:c>
      <x:c r="L339" s="6" t="str">
        <x:v>2</x:v>
      </x:c>
      <x:c r="M339" s="6" t="str">
        <x:v>11</x:v>
      </x:c>
      <x:c r="N339" s="6" t="str">
        <x:v>6262</x:v>
      </x:c>
      <x:c r="O339" s="6" t="str">
        <x:v>0</x:v>
      </x:c>
      <x:c r="P339" s="10" t="n">
        <x:f>F339-M339</x:f>
        <x:v>6251</x:v>
      </x:c>
      <x:c r="Q339" s="11" t="n">
        <x:f>IFERROR(M339/F339,"")</x:f>
        <x:v>0.0017566272756307888</x:v>
      </x:c>
      <x:c r="R339" s="10" t="n">
        <x:f>G339+H339</x:f>
        <x:v>5538</x:v>
      </x:c>
      <x:c r="S339" s="11" t="n">
        <x:f>IFERROR(R339/F339,"")</x:f>
        <x:v>0.8843819865857554</x:v>
      </x:c>
      <x:c r="T339" s="11" t="n">
        <x:f>IFERROR(R339/P339,"")</x:f>
        <x:v>0.8859382498800192</x:v>
      </x:c>
      <x:c r="U339" s="10" t="n">
        <x:f>I339+J339+K339</x:f>
        <x:v>711</x:v>
      </x:c>
      <x:c r="V339" s="11" t="n">
        <x:f>IFERROR(U339/P339,"")</x:f>
        <x:v>0.11374180131179011</x:v>
      </x:c>
      <x:c r="W339" s="9" t="str">
        <x:v>mature_le_5pct_pending</x:v>
      </x:c>
      <x:c r="X339" s="12" t="n">
        <x:f>IFERROR(F339/Z339*100000,"")</x:f>
        <x:v>14.975666335840438</x:v>
      </x:c>
      <x:c r="Y339" s="13" t="n">
        <x:f>LN(Z339)</x:f>
        <x:v>17.548753727294727</x:v>
      </x:c>
      <x:c r="Z339" s="6" t="str">
        <x:v>41814500</x:v>
      </x:c>
      <x:c r="AA339" s="6" t="str">
        <x:v>870.0</x:v>
      </x:c>
      <x:c r="AB339" s="9" t="str">
        <x:v>2024-06-30</x:v>
      </x:c>
      <x:c r="AC339" s="8" t="str">
        <x:v>85.56</x:v>
      </x:c>
      <x:c r="AD339" s="9" t="str">
        <x:v>2024 (Susenas)</x:v>
      </x:c>
      <x:c r="AE339" s="8" t="str">
        <x:v>9.79</x:v>
      </x:c>
      <x:c r="AF339" s="9" t="str">
        <x:v>Maret 2024 (Susenas)</x:v>
      </x:c>
      <x:c r="AG339" s="6" t="str">
        <x:v>26.918652302313745</x:v>
      </x:c>
      <x:c r="AH339" s="8" t="str">
        <x:v>85.95410344815751</x:v>
      </x:c>
      <x:c r="AI339" s="6" t="str">
        <x:v>340.67124667237925</x:v>
      </x:c>
      <x:c r="AJ339" s="6" t="str">
        <x:v>1.199638915412006</x:v>
      </x:c>
      <x:c r="AK339" s="8" t="str">
        <x:v>2.5735572423217183</x:v>
      </x:c>
      <x:c r="AL339" s="6" t="str">
        <x:v>1.9729590730951168</x:v>
      </x:c>
      <x:c r="AM339" s="6" t="str">
        <x:v>1.31165440568227</x:v>
      </x:c>
      <x:c r="AN339" s="6" t="str">
        <x:v>1.9527235736997015</x:v>
      </x:c>
      <x:c r="AO339" s="6" t="str">
        <x:v>-1.258178742111781</x:v>
      </x:c>
      <x:c r="AP339" s="8" t="str">
        <x:v>-0.8159336787530149</x:v>
      </x:c>
      <x:c r="AQ339" s="6" t="str">
        <x:v>-0.449685416942664</x:v>
      </x:c>
      <x:c r="AR339" s="6" t="str">
        <x:v>-0.1695222384242267</x:v>
      </x:c>
      <x:c r="AS339" s="6" t="str">
        <x:v>-0.4783804447066354</x:v>
      </x:c>
      <x:c r="AT339" s="6" t="str">
        <x:v>60.63707979445206</x:v>
      </x:c>
      <x:c r="AU339" s="8" t="str">
        <x:v>0.8312708880696528</x:v>
      </x:c>
      <x:c r="AV339" s="6" t="str">
        <x:v>-0.4399016755125935</x:v>
      </x:c>
      <x:c r="AW339" s="6" t="str">
        <x:v>3.974763559103325</x:v>
      </x:c>
      <x:c r="AX339" s="6" t="str">
        <x:v>1.4553775905534614</x:v>
      </x:c>
      <x:c r="AY339" s="6" t="str">
        <x:v>0</x:v>
      </x:c>
      <x:c r="AZ339" s="6" t="str">
        <x:v>1</x:v>
      </x:c>
      <x:c r="BA339" s="9" t="str">
        <x:v>grid_cells_within_BIG_polygon</x:v>
      </x:c>
      <x:c r="BB339" s="6" t="str">
        <x:v>16</x:v>
      </x:c>
      <x:c r="BC339" s="6" t="str">
        <x:v>44</x:v>
      </x:c>
      <x:c r="BD339" s="6" t="str">
        <x:v>44</x:v>
      </x:c>
      <x:c r="BE339" s="6" t="str">
        <x:v>26</x:v>
      </x:c>
      <x:c r="BF339" s="6" t="str">
        <x:v>0</x:v>
      </x:c>
      <x:c r="BG339" s="6" t="str">
        <x:v>17</x:v>
      </x:c>
      <x:c r="BH339" s="6" t="str">
        <x:v>0</x:v>
      </x:c>
      <x:c r="BI339" s="6" t="str">
        <x:v>1</x:v>
      </x:c>
      <x:c r="BJ339" s="6" t="str">
        <x:v>0</x:v>
      </x:c>
      <x:c r="BK339" s="6" t="str">
        <x:v>0</x:v>
      </x:c>
      <x:c r="BL339" s="6" t="str">
        <x:v>0</x:v>
      </x:c>
      <x:c r="BM339" s="6" t="str">
        <x:v>0</x:v>
      </x:c>
      <x:c r="BN339" s="6" t="str">
        <x:v>44</x:v>
      </x:c>
      <x:c r="BO339" s="6" t="str">
        <x:v>1.0</x:v>
      </x:c>
      <x:c r="BP339" s="6" t="str">
        <x:v>44</x:v>
      </x:c>
      <x:c r="BQ339" s="6" t="str">
        <x:v>4.0</x:v>
      </x:c>
      <x:c r="BR339" s="6" t="str">
        <x:v>44</x:v>
      </x:c>
      <x:c r="BS339" s="6" t="str">
        <x:v>1048.0</x:v>
      </x:c>
      <x:c r="BT339" s="6" t="str">
        <x:v>44</x:v>
      </x:c>
      <x:c r="BU339" s="6" t="str">
        <x:v>10681.0</x:v>
      </x:c>
      <x:c r="BV339" s="6" t="str">
        <x:v>18</x:v>
      </x:c>
      <x:c r="BW339" s="9" t="str">
        <x:v>operational_snapshot_annual_totals_may_differ</x:v>
      </x:c>
      <x:c r="BX339" s="9" t="str">
        <x:v>official_live_dashboard_snapshot_subject_to_revision</x:v>
      </x:c>
      <x:c r="BY339" s="9" t="str">
        <x:v>https://tbdashboard.sitb.id/ss_data_tbc03so_2024_provinsi_bulanan_list.php</x:v>
      </x:c>
      <x:c r="BZ339" s="6" t="n">
        <x:v>46246.610671296294</x:v>
      </x:c>
    </x:row>
    <x:row r="340" ht="18" customHeight="1">
      <x:c r="A340" s="6" t="str">
        <x:v>35</x:v>
      </x:c>
      <x:c r="B340" s="6" t="str">
        <x:v>JAWA TIMUR</x:v>
      </x:c>
      <x:c r="C340" s="6" t="str">
        <x:v>2024</x:v>
      </x:c>
      <x:c r="D340" s="6" t="str">
        <x:v>3</x:v>
      </x:c>
      <x:c r="E340" s="6" t="str">
        <x:v>2024-03</x:v>
      </x:c>
      <x:c r="F340" s="6" t="str">
        <x:v>6539</x:v>
      </x:c>
      <x:c r="G340" s="6" t="str">
        <x:v>2279</x:v>
      </x:c>
      <x:c r="H340" s="6" t="str">
        <x:v>3519</x:v>
      </x:c>
      <x:c r="I340" s="6" t="str">
        <x:v>371</x:v>
      </x:c>
      <x:c r="J340" s="6" t="str">
        <x:v>322</x:v>
      </x:c>
      <x:c r="K340" s="6" t="str">
        <x:v>27</x:v>
      </x:c>
      <x:c r="L340" s="6" t="str">
        <x:v>5</x:v>
      </x:c>
      <x:c r="M340" s="6" t="str">
        <x:v>16</x:v>
      </x:c>
      <x:c r="N340" s="6" t="str">
        <x:v>6539</x:v>
      </x:c>
      <x:c r="O340" s="6" t="str">
        <x:v>0</x:v>
      </x:c>
      <x:c r="P340" s="10" t="n">
        <x:f>F340-M340</x:f>
        <x:v>6523</x:v>
      </x:c>
      <x:c r="Q340" s="11" t="n">
        <x:f>IFERROR(M340/F340,"")</x:f>
        <x:v>0.0024468573176326656</x:v>
      </x:c>
      <x:c r="R340" s="10" t="n">
        <x:f>G340+H340</x:f>
        <x:v>5798</x:v>
      </x:c>
      <x:c r="S340" s="11" t="n">
        <x:f>IFERROR(R340/F340,"")</x:f>
        <x:v>0.8866799204771372</x:v>
      </x:c>
      <x:c r="T340" s="11" t="n">
        <x:f>IFERROR(R340/P340,"")</x:f>
        <x:v>0.8888548214011958</x:v>
      </x:c>
      <x:c r="U340" s="10" t="n">
        <x:f>I340+J340+K340</x:f>
        <x:v>720</x:v>
      </x:c>
      <x:c r="V340" s="11" t="n">
        <x:f>IFERROR(U340/P340,"")</x:f>
        <x:v>0.11037866012570903</x:v>
      </x:c>
      <x:c r="W340" s="9" t="str">
        <x:v>mature_le_5pct_pending</x:v>
      </x:c>
      <x:c r="X340" s="12" t="n">
        <x:f>IFERROR(F340/Z340*100000,"")</x:f>
        <x:v>15.63811596455775</x:v>
      </x:c>
      <x:c r="Y340" s="13" t="n">
        <x:f>LN(Z340)</x:f>
        <x:v>17.548753727294727</x:v>
      </x:c>
      <x:c r="Z340" s="6" t="str">
        <x:v>41814500</x:v>
      </x:c>
      <x:c r="AA340" s="6" t="str">
        <x:v>870.0</x:v>
      </x:c>
      <x:c r="AB340" s="9" t="str">
        <x:v>2024-06-30</x:v>
      </x:c>
      <x:c r="AC340" s="8" t="str">
        <x:v>85.56</x:v>
      </x:c>
      <x:c r="AD340" s="9" t="str">
        <x:v>2024 (Susenas)</x:v>
      </x:c>
      <x:c r="AE340" s="8" t="str">
        <x:v>9.79</x:v>
      </x:c>
      <x:c r="AF340" s="9" t="str">
        <x:v>Maret 2024 (Susenas)</x:v>
      </x:c>
      <x:c r="AG340" s="6" t="str">
        <x:v>26.920720879421488</x:v>
      </x:c>
      <x:c r="AH340" s="8" t="str">
        <x:v>86.53969919575545</x:v>
      </x:c>
      <x:c r="AI340" s="6" t="str">
        <x:v>228.71575644439423</x:v>
      </x:c>
      <x:c r="AJ340" s="6" t="str">
        <x:v>0.9292199965855056</x:v>
      </x:c>
      <x:c r="AK340" s="8" t="str">
        <x:v>2.188616531943253</x:v>
      </x:c>
      <x:c r="AL340" s="6" t="str">
        <x:v>2.5735572423217183</x:v>
      </x:c>
      <x:c r="AM340" s="6" t="str">
        <x:v>1.9729590730951168</x:v>
      </x:c>
      <x:c r="AN340" s="6" t="str">
        <x:v>2.245044282453363</x:v>
      </x:c>
      <x:c r="AO340" s="6" t="str">
        <x:v>0.6545995639192057</x:v>
      </x:c>
      <x:c r="AP340" s="8" t="str">
        <x:v>0.4053125246891353</x:v>
      </x:c>
      <x:c r="AQ340" s="6" t="str">
        <x:v>-0.8159336787530149</x:v>
      </x:c>
      <x:c r="AR340" s="6" t="str">
        <x:v>-0.449685416942664</x:v>
      </x:c>
      <x:c r="AS340" s="6" t="str">
        <x:v>-0.2867688570021813</x:v>
      </x:c>
      <x:c r="AT340" s="6" t="str">
        <x:v>-5.226951602619522</x:v>
      </x:c>
      <x:c r="AU340" s="8" t="str">
        <x:v>-0.07692207170401</x:v>
      </x:c>
      <x:c r="AV340" s="6" t="str">
        <x:v>0.8312708880696528</x:v>
      </x:c>
      <x:c r="AW340" s="6" t="str">
        <x:v>-0.4399016755125935</x:v>
      </x:c>
      <x:c r="AX340" s="6" t="str">
        <x:v>0.1048157136176832</x:v>
      </x:c>
      <x:c r="AY340" s="6" t="str">
        <x:v>0</x:v>
      </x:c>
      <x:c r="AZ340" s="6" t="str">
        <x:v>1</x:v>
      </x:c>
      <x:c r="BA340" s="9" t="str">
        <x:v>grid_cells_within_BIG_polygon</x:v>
      </x:c>
      <x:c r="BB340" s="6" t="str">
        <x:v>16</x:v>
      </x:c>
      <x:c r="BC340" s="6" t="str">
        <x:v>45</x:v>
      </x:c>
      <x:c r="BD340" s="6" t="str">
        <x:v>38</x:v>
      </x:c>
      <x:c r="BE340" s="6" t="str">
        <x:v>28</x:v>
      </x:c>
      <x:c r="BF340" s="6" t="str">
        <x:v>3</x:v>
      </x:c>
      <x:c r="BG340" s="6" t="str">
        <x:v>7</x:v>
      </x:c>
      <x:c r="BH340" s="6" t="str">
        <x:v>0</x:v>
      </x:c>
      <x:c r="BI340" s="6" t="str">
        <x:v>0</x:v>
      </x:c>
      <x:c r="BJ340" s="6" t="str">
        <x:v>0</x:v>
      </x:c>
      <x:c r="BK340" s="6" t="str">
        <x:v>7</x:v>
      </x:c>
      <x:c r="BL340" s="6" t="str">
        <x:v>0</x:v>
      </x:c>
      <x:c r="BM340" s="6" t="str">
        <x:v>0</x:v>
      </x:c>
      <x:c r="BN340" s="6" t="str">
        <x:v>45</x:v>
      </x:c>
      <x:c r="BO340" s="6" t="str">
        <x:v>2.0</x:v>
      </x:c>
      <x:c r="BP340" s="6" t="str">
        <x:v>45</x:v>
      </x:c>
      <x:c r="BQ340" s="6" t="str">
        <x:v>9.0</x:v>
      </x:c>
      <x:c r="BR340" s="6" t="str">
        <x:v>45</x:v>
      </x:c>
      <x:c r="BS340" s="6" t="str">
        <x:v>6584.0</x:v>
      </x:c>
      <x:c r="BT340" s="6" t="str">
        <x:v>45</x:v>
      </x:c>
      <x:c r="BU340" s="6" t="str">
        <x:v>18576.0</x:v>
      </x:c>
      <x:c r="BV340" s="6" t="str">
        <x:v>23</x:v>
      </x:c>
      <x:c r="BW340" s="9" t="str">
        <x:v>operational_snapshot_annual_totals_may_differ</x:v>
      </x:c>
      <x:c r="BX340" s="9" t="str">
        <x:v>official_live_dashboard_snapshot_subject_to_revision</x:v>
      </x:c>
      <x:c r="BY340" s="9" t="str">
        <x:v>https://tbdashboard.sitb.id/ss_data_tbc03so_2024_provinsi_bulanan_list.php</x:v>
      </x:c>
      <x:c r="BZ340" s="6" t="n">
        <x:v>46246.610671296294</x:v>
      </x:c>
    </x:row>
    <x:row r="341" ht="18" customHeight="1">
      <x:c r="A341" s="6" t="str">
        <x:v>35</x:v>
      </x:c>
      <x:c r="B341" s="6" t="str">
        <x:v>JAWA TIMUR</x:v>
      </x:c>
      <x:c r="C341" s="6" t="str">
        <x:v>2024</x:v>
      </x:c>
      <x:c r="D341" s="6" t="str">
        <x:v>4</x:v>
      </x:c>
      <x:c r="E341" s="6" t="str">
        <x:v>2024-04</x:v>
      </x:c>
      <x:c r="F341" s="6" t="str">
        <x:v>5975</x:v>
      </x:c>
      <x:c r="G341" s="6" t="str">
        <x:v>2096</x:v>
      </x:c>
      <x:c r="H341" s="6" t="str">
        <x:v>3195</x:v>
      </x:c>
      <x:c r="I341" s="6" t="str">
        <x:v>332</x:v>
      </x:c>
      <x:c r="J341" s="6" t="str">
        <x:v>307</x:v>
      </x:c>
      <x:c r="K341" s="6" t="str">
        <x:v>30</x:v>
      </x:c>
      <x:c r="L341" s="6" t="str">
        <x:v>2</x:v>
      </x:c>
      <x:c r="M341" s="6" t="str">
        <x:v>13</x:v>
      </x:c>
      <x:c r="N341" s="6" t="str">
        <x:v>5975</x:v>
      </x:c>
      <x:c r="O341" s="6" t="str">
        <x:v>0</x:v>
      </x:c>
      <x:c r="P341" s="10" t="n">
        <x:f>F341-M341</x:f>
        <x:v>5962</x:v>
      </x:c>
      <x:c r="Q341" s="11" t="n">
        <x:f>IFERROR(M341/F341,"")</x:f>
        <x:v>0.0021757322175732217</x:v>
      </x:c>
      <x:c r="R341" s="10" t="n">
        <x:f>G341+H341</x:f>
        <x:v>5291</x:v>
      </x:c>
      <x:c r="S341" s="11" t="n">
        <x:f>IFERROR(R341/F341,"")</x:f>
        <x:v>0.8855230125523013</x:v>
      </x:c>
      <x:c r="T341" s="11" t="n">
        <x:f>IFERROR(R341/P341,"")</x:f>
        <x:v>0.8874538745387454</x:v>
      </x:c>
      <x:c r="U341" s="10" t="n">
        <x:f>I341+J341+K341</x:f>
        <x:v>669</x:v>
      </x:c>
      <x:c r="V341" s="11" t="n">
        <x:f>IFERROR(U341/P341,"")</x:f>
        <x:v>0.11221066756122107</x:v>
      </x:c>
      <x:c r="W341" s="9" t="str">
        <x:v>mature_le_5pct_pending</x:v>
      </x:c>
      <x:c r="X341" s="12" t="n">
        <x:f>IFERROR(F341/Z341*100000,"")</x:f>
        <x:v>14.28930155807196</x:v>
      </x:c>
      <x:c r="Y341" s="13" t="n">
        <x:f>LN(Z341)</x:f>
        <x:v>17.548753727294727</x:v>
      </x:c>
      <x:c r="Z341" s="6" t="str">
        <x:v>41814500</x:v>
      </x:c>
      <x:c r="AA341" s="6" t="str">
        <x:v>870.0</x:v>
      </x:c>
      <x:c r="AB341" s="9" t="str">
        <x:v>2024-06-30</x:v>
      </x:c>
      <x:c r="AC341" s="8" t="str">
        <x:v>85.56</x:v>
      </x:c>
      <x:c r="AD341" s="9" t="str">
        <x:v>2024 (Susenas)</x:v>
      </x:c>
      <x:c r="AE341" s="8" t="str">
        <x:v>9.79</x:v>
      </x:c>
      <x:c r="AF341" s="9" t="str">
        <x:v>Maret 2024 (Susenas)</x:v>
      </x:c>
      <x:c r="AG341" s="6" t="str">
        <x:v>27.224709038341675</x:v>
      </x:c>
      <x:c r="AH341" s="8" t="str">
        <x:v>86.70657542762659</x:v>
      </x:c>
      <x:c r="AI341" s="6" t="str">
        <x:v>247.1974588467521</x:v>
      </x:c>
      <x:c r="AJ341" s="6" t="str">
        <x:v>1.0008486853614116</x:v>
      </x:c>
      <x:c r="AK341" s="8" t="str">
        <x:v>2.4494385464642576</x:v>
      </x:c>
      <x:c r="AL341" s="6" t="str">
        <x:v>2.188616531943253</x:v>
      </x:c>
      <x:c r="AM341" s="6" t="str">
        <x:v>2.5735572423217183</x:v>
      </x:c>
      <x:c r="AN341" s="6" t="str">
        <x:v>2.40387077357641</x:v>
      </x:c>
      <x:c r="AO341" s="6" t="str">
        <x:v>1.706337840473125</x:v>
      </x:c>
      <x:c r="AP341" s="8" t="str">
        <x:v>1.6100181731633556</x:v>
      </x:c>
      <x:c r="AQ341" s="6" t="str">
        <x:v>0.4053125246891353</x:v>
      </x:c>
      <x:c r="AR341" s="6" t="str">
        <x:v>-0.8159336787530149</x:v>
      </x:c>
      <x:c r="AS341" s="6" t="str">
        <x:v>0.3997990063664918</x:v>
      </x:c>
      <x:c r="AT341" s="6" t="str">
        <x:v>73.79368027784591</x:v>
      </x:c>
      <x:c r="AU341" s="8" t="str">
        <x:v>1.2604366255209964</x:v>
      </x:c>
      <x:c r="AV341" s="6" t="str">
        <x:v>-0.07692207170401</x:v>
      </x:c>
      <x:c r="AW341" s="6" t="str">
        <x:v>0.8312708880696528</x:v>
      </x:c>
      <x:c r="AX341" s="6" t="str">
        <x:v>0.6715951472955465</x:v>
      </x:c>
      <x:c r="AY341" s="6" t="str">
        <x:v>1</x:v>
      </x:c>
      <x:c r="AZ341" s="6" t="str">
        <x:v>1</x:v>
      </x:c>
      <x:c r="BA341" s="9" t="str">
        <x:v>grid_cells_within_BIG_polygon</x:v>
      </x:c>
      <x:c r="BB341" s="6" t="str">
        <x:v>16</x:v>
      </x:c>
      <x:c r="BC341" s="6" t="str">
        <x:v>17</x:v>
      </x:c>
      <x:c r="BD341" s="6" t="str">
        <x:v>17</x:v>
      </x:c>
      <x:c r="BE341" s="6" t="str">
        <x:v>10</x:v>
      </x:c>
      <x:c r="BF341" s="6" t="str">
        <x:v>2</x:v>
      </x:c>
      <x:c r="BG341" s="6" t="str">
        <x:v>5</x:v>
      </x:c>
      <x:c r="BH341" s="6" t="str">
        <x:v>0</x:v>
      </x:c>
      <x:c r="BI341" s="6" t="str">
        <x:v>0</x:v>
      </x:c>
      <x:c r="BJ341" s="6" t="str">
        <x:v>0</x:v>
      </x:c>
      <x:c r="BK341" s="6" t="str">
        <x:v>0</x:v>
      </x:c>
      <x:c r="BL341" s="6" t="str">
        <x:v>0</x:v>
      </x:c>
      <x:c r="BM341" s="6" t="str">
        <x:v>0</x:v>
      </x:c>
      <x:c r="BN341" s="6" t="str">
        <x:v>17</x:v>
      </x:c>
      <x:c r="BO341" s="6" t="str">
        <x:v>7.0</x:v>
      </x:c>
      <x:c r="BP341" s="6" t="str">
        <x:v>17</x:v>
      </x:c>
      <x:c r="BQ341" s="6" t="str">
        <x:v>2.0</x:v>
      </x:c>
      <x:c r="BR341" s="6" t="str">
        <x:v>17</x:v>
      </x:c>
      <x:c r="BS341" s="6" t="str">
        <x:v>139.0</x:v>
      </x:c>
      <x:c r="BT341" s="6" t="str">
        <x:v>17</x:v>
      </x:c>
      <x:c r="BU341" s="6" t="str">
        <x:v>2447.0</x:v>
      </x:c>
      <x:c r="BV341" s="6" t="str">
        <x:v>9</x:v>
      </x:c>
      <x:c r="BW341" s="9" t="str">
        <x:v>operational_snapshot_annual_totals_may_differ</x:v>
      </x:c>
      <x:c r="BX341" s="9" t="str">
        <x:v>official_live_dashboard_snapshot_subject_to_revision</x:v>
      </x:c>
      <x:c r="BY341" s="9" t="str">
        <x:v>https://tbdashboard.sitb.id/ss_data_tbc03so_2024_provinsi_bulanan_list.php</x:v>
      </x:c>
      <x:c r="BZ341" s="6" t="n">
        <x:v>46246.610671296294</x:v>
      </x:c>
    </x:row>
    <x:row r="342" ht="18" customHeight="1">
      <x:c r="A342" s="6" t="str">
        <x:v>35</x:v>
      </x:c>
      <x:c r="B342" s="6" t="str">
        <x:v>JAWA TIMUR</x:v>
      </x:c>
      <x:c r="C342" s="6" t="str">
        <x:v>2024</x:v>
      </x:c>
      <x:c r="D342" s="6" t="str">
        <x:v>5</x:v>
      </x:c>
      <x:c r="E342" s="6" t="str">
        <x:v>2024-05</x:v>
      </x:c>
      <x:c r="F342" s="6" t="str">
        <x:v>7275</x:v>
      </x:c>
      <x:c r="G342" s="6" t="str">
        <x:v>2688</x:v>
      </x:c>
      <x:c r="H342" s="6" t="str">
        <x:v>3784</x:v>
      </x:c>
      <x:c r="I342" s="6" t="str">
        <x:v>410</x:v>
      </x:c>
      <x:c r="J342" s="6" t="str">
        <x:v>347</x:v>
      </x:c>
      <x:c r="K342" s="6" t="str">
        <x:v>27</x:v>
      </x:c>
      <x:c r="L342" s="6" t="str">
        <x:v>5</x:v>
      </x:c>
      <x:c r="M342" s="6" t="str">
        <x:v>14</x:v>
      </x:c>
      <x:c r="N342" s="6" t="str">
        <x:v>7275</x:v>
      </x:c>
      <x:c r="O342" s="6" t="str">
        <x:v>0</x:v>
      </x:c>
      <x:c r="P342" s="10" t="n">
        <x:f>F342-M342</x:f>
        <x:v>7261</x:v>
      </x:c>
      <x:c r="Q342" s="11" t="n">
        <x:f>IFERROR(M342/F342,"")</x:f>
        <x:v>0.0019243986254295533</x:v>
      </x:c>
      <x:c r="R342" s="10" t="n">
        <x:f>G342+H342</x:f>
        <x:v>6472</x:v>
      </x:c>
      <x:c r="S342" s="11" t="n">
        <x:f>IFERROR(R342/F342,"")</x:f>
        <x:v>0.8896219931271477</x:v>
      </x:c>
      <x:c r="T342" s="11" t="n">
        <x:f>IFERROR(R342/P342,"")</x:f>
        <x:v>0.891337281366203</x:v>
      </x:c>
      <x:c r="U342" s="10" t="n">
        <x:f>I342+J342+K342</x:f>
        <x:v>784</x:v>
      </x:c>
      <x:c r="V342" s="11" t="n">
        <x:f>IFERROR(U342/P342,"")</x:f>
        <x:v>0.1079741082495524</x:v>
      </x:c>
      <x:c r="W342" s="9" t="str">
        <x:v>mature_le_5pct_pending</x:v>
      </x:c>
      <x:c r="X342" s="12" t="n">
        <x:f>IFERROR(F342/Z342*100000,"")</x:f>
        <x:v>17.398270934723598</x:v>
      </x:c>
      <x:c r="Y342" s="13" t="n">
        <x:f>LN(Z342)</x:f>
        <x:v>17.548753727294727</x:v>
      </x:c>
      <x:c r="Z342" s="6" t="str">
        <x:v>41814500</x:v>
      </x:c>
      <x:c r="AA342" s="6" t="str">
        <x:v>870.0</x:v>
      </x:c>
      <x:c r="AB342" s="9" t="str">
        <x:v>2024-06-30</x:v>
      </x:c>
      <x:c r="AC342" s="8" t="str">
        <x:v>85.56</x:v>
      </x:c>
      <x:c r="AD342" s="9" t="str">
        <x:v>2024 (Susenas)</x:v>
      </x:c>
      <x:c r="AE342" s="8" t="str">
        <x:v>9.79</x:v>
      </x:c>
      <x:c r="AF342" s="9" t="str">
        <x:v>Maret 2024 (Susenas)</x:v>
      </x:c>
      <x:c r="AG342" s="6" t="str">
        <x:v>26.71216512244697</x:v>
      </x:c>
      <x:c r="AH342" s="8" t="str">
        <x:v>84.46993480879033</x:v>
      </x:c>
      <x:c r="AI342" s="6" t="str">
        <x:v>19.80277866004624</x:v>
      </x:c>
      <x:c r="AJ342" s="6" t="str">
        <x:v>0.7792201021884395</x:v>
      </x:c>
      <x:c r="AK342" s="8" t="str">
        <x:v>1.6859750808128875</x:v>
      </x:c>
      <x:c r="AL342" s="6" t="str">
        <x:v>2.4494385464642576</x:v>
      </x:c>
      <x:c r="AM342" s="6" t="str">
        <x:v>2.188616531943253</x:v>
      </x:c>
      <x:c r="AN342" s="6" t="str">
        <x:v>2.1080100530734662</x:v>
      </x:c>
      <x:c r="AO342" s="6" t="str">
        <x:v>0.8159989770686025</x:v>
      </x:c>
      <x:c r="AP342" s="8" t="str">
        <x:v>0.5141407803186305</x:v>
      </x:c>
      <x:c r="AQ342" s="6" t="str">
        <x:v>1.6100181731633556</x:v>
      </x:c>
      <x:c r="AR342" s="6" t="str">
        <x:v>0.4053125246891353</x:v>
      </x:c>
      <x:c r="AS342" s="6" t="str">
        <x:v>0.8431571593903736</x:v>
      </x:c>
      <x:c r="AT342" s="6" t="str">
        <x:v>-78.88351793285915</x:v>
      </x:c>
      <x:c r="AU342" s="8" t="str">
        <x:v>-1.2369734313276175</x:v>
      </x:c>
      <x:c r="AV342" s="6" t="str">
        <x:v>1.2604366255209964</x:v>
      </x:c>
      <x:c r="AW342" s="6" t="str">
        <x:v>-0.07692207170401</x:v>
      </x:c>
      <x:c r="AX342" s="6" t="str">
        <x:v>-0.0178196258368769</x:v>
      </x:c>
      <x:c r="AY342" s="6" t="str">
        <x:v>0</x:v>
      </x:c>
      <x:c r="AZ342" s="6" t="str">
        <x:v>1</x:v>
      </x:c>
      <x:c r="BA342" s="9" t="str">
        <x:v>grid_cells_within_BIG_polygon</x:v>
      </x:c>
      <x:c r="BB342" s="6" t="str">
        <x:v>16</x:v>
      </x:c>
      <x:c r="BC342" s="6" t="str">
        <x:v>2</x:v>
      </x:c>
      <x:c r="BD342" s="6" t="str">
        <x:v>2</x:v>
      </x:c>
      <x:c r="BE342" s="6" t="str">
        <x:v>0</x:v>
      </x:c>
      <x:c r="BF342" s="6" t="str">
        <x:v>0</x:v>
      </x:c>
      <x:c r="BG342" s="6" t="str">
        <x:v>0</x:v>
      </x:c>
      <x:c r="BH342" s="6" t="str">
        <x:v>1</x:v>
      </x:c>
      <x:c r="BI342" s="6" t="str">
        <x:v>1</x:v>
      </x:c>
      <x:c r="BJ342" s="6" t="str">
        <x:v>0</x:v>
      </x:c>
      <x:c r="BK342" s="6" t="str">
        <x:v>0</x:v>
      </x:c>
      <x:c r="BL342" s="6" t="str">
        <x:v>0</x:v>
      </x:c>
      <x:c r="BM342" s="6" t="str">
        <x:v>0</x:v>
      </x:c>
      <x:c r="BN342" s="6" t="str">
        <x:v>2</x:v>
      </x:c>
      <x:c r="BO342" s="6" t="str">
        <x:v>0.0</x:v>
      </x:c>
      <x:c r="BP342" s="6" t="str">
        <x:v>2</x:v>
      </x:c>
      <x:c r="BQ342" s="6" t="str">
        <x:v>0.0</x:v>
      </x:c>
      <x:c r="BR342" s="6" t="str">
        <x:v>2</x:v>
      </x:c>
      <x:c r="BS342" s="6" t="str">
        <x:v>0.0</x:v>
      </x:c>
      <x:c r="BT342" s="6" t="str">
        <x:v>2</x:v>
      </x:c>
      <x:c r="BU342" s="6" t="str"/>
      <x:c r="BV342" s="6" t="str">
        <x:v>0</x:v>
      </x:c>
      <x:c r="BW342" s="9" t="str">
        <x:v>operational_snapshot_annual_totals_may_differ</x:v>
      </x:c>
      <x:c r="BX342" s="9" t="str">
        <x:v>official_live_dashboard_snapshot_subject_to_revision</x:v>
      </x:c>
      <x:c r="BY342" s="9" t="str">
        <x:v>https://tbdashboard.sitb.id/ss_data_tbc03so_2024_provinsi_bulanan_list.php</x:v>
      </x:c>
      <x:c r="BZ342" s="6" t="n">
        <x:v>46246.610671296294</x:v>
      </x:c>
    </x:row>
    <x:row r="343" ht="18" customHeight="1">
      <x:c r="A343" s="6" t="str">
        <x:v>35</x:v>
      </x:c>
      <x:c r="B343" s="6" t="str">
        <x:v>JAWA TIMUR</x:v>
      </x:c>
      <x:c r="C343" s="6" t="str">
        <x:v>2024</x:v>
      </x:c>
      <x:c r="D343" s="6" t="str">
        <x:v>6</x:v>
      </x:c>
      <x:c r="E343" s="6" t="str">
        <x:v>2024-06</x:v>
      </x:c>
      <x:c r="F343" s="6" t="str">
        <x:v>6122</x:v>
      </x:c>
      <x:c r="G343" s="6" t="str">
        <x:v>2158</x:v>
      </x:c>
      <x:c r="H343" s="6" t="str">
        <x:v>3220</x:v>
      </x:c>
      <x:c r="I343" s="6" t="str">
        <x:v>336</x:v>
      </x:c>
      <x:c r="J343" s="6" t="str">
        <x:v>362</x:v>
      </x:c>
      <x:c r="K343" s="6" t="str">
        <x:v>19</x:v>
      </x:c>
      <x:c r="L343" s="6" t="str">
        <x:v>2</x:v>
      </x:c>
      <x:c r="M343" s="6" t="str">
        <x:v>25</x:v>
      </x:c>
      <x:c r="N343" s="6" t="str">
        <x:v>6122</x:v>
      </x:c>
      <x:c r="O343" s="6" t="str">
        <x:v>0</x:v>
      </x:c>
      <x:c r="P343" s="10" t="n">
        <x:f>F343-M343</x:f>
        <x:v>6097</x:v>
      </x:c>
      <x:c r="Q343" s="11" t="n">
        <x:f>IFERROR(M343/F343,"")</x:f>
        <x:v>0.004083632799738647</x:v>
      </x:c>
      <x:c r="R343" s="10" t="n">
        <x:f>G343+H343</x:f>
        <x:v>5378</x:v>
      </x:c>
      <x:c r="S343" s="11" t="n">
        <x:f>IFERROR(R343/F343,"")</x:f>
        <x:v>0.8784710878797779</x:v>
      </x:c>
      <x:c r="T343" s="11" t="n">
        <x:f>IFERROR(R343/P343,"")</x:f>
        <x:v>0.8820731507298671</x:v>
      </x:c>
      <x:c r="U343" s="10" t="n">
        <x:f>I343+J343+K343</x:f>
        <x:v>717</x:v>
      </x:c>
      <x:c r="V343" s="11" t="n">
        <x:f>IFERROR(U343/P343,"")</x:f>
        <x:v>0.1175988190913564</x:v>
      </x:c>
      <x:c r="W343" s="9" t="str">
        <x:v>mature_le_5pct_pending</x:v>
      </x:c>
      <x:c r="X343" s="12" t="n">
        <x:f>IFERROR(F343/Z343*100000,"")</x:f>
        <x:v>14.640854249124109</x:v>
      </x:c>
      <x:c r="Y343" s="13" t="n">
        <x:f>LN(Z343)</x:f>
        <x:v>17.548753727294727</x:v>
      </x:c>
      <x:c r="Z343" s="6" t="str">
        <x:v>41814500</x:v>
      </x:c>
      <x:c r="AA343" s="6" t="str">
        <x:v>870.0</x:v>
      </x:c>
      <x:c r="AB343" s="9" t="str">
        <x:v>2024-06-30</x:v>
      </x:c>
      <x:c r="AC343" s="8" t="str">
        <x:v>85.56</x:v>
      </x:c>
      <x:c r="AD343" s="9" t="str">
        <x:v>2024 (Susenas)</x:v>
      </x:c>
      <x:c r="AE343" s="8" t="str">
        <x:v>9.79</x:v>
      </x:c>
      <x:c r="AF343" s="9" t="str">
        <x:v>Maret 2024 (Susenas)</x:v>
      </x:c>
      <x:c r="AG343" s="6" t="str">
        <x:v>26.37644455006596</x:v>
      </x:c>
      <x:c r="AH343" s="8" t="str">
        <x:v>82.64047122308871</x:v>
      </x:c>
      <x:c r="AI343" s="6" t="str">
        <x:v>84.21599421619739</x:v>
      </x:c>
      <x:c r="AJ343" s="6" t="str">
        <x:v>0.9515592664928044</x:v>
      </x:c>
      <x:c r="AK343" s="8" t="str">
        <x:v>2.0184075694977506</x:v>
      </x:c>
      <x:c r="AL343" s="6" t="str">
        <x:v>1.6859750808128875</x:v>
      </x:c>
      <x:c r="AM343" s="6" t="str">
        <x:v>2.4494385464642576</x:v>
      </x:c>
      <x:c r="AN343" s="6" t="str">
        <x:v>2.0512737322582986</x:v>
      </x:c>
      <x:c r="AO343" s="6" t="str">
        <x:v>0.754799541254485</x:v>
      </x:c>
      <x:c r="AP343" s="8" t="str">
        <x:v>0.2665343025644795</x:v>
      </x:c>
      <x:c r="AQ343" s="6" t="str">
        <x:v>0.5141407803186305</x:v>
      </x:c>
      <x:c r="AR343" s="6" t="str">
        <x:v>1.6100181731633556</x:v>
      </x:c>
      <x:c r="AS343" s="6" t="str">
        <x:v>0.7968977520154884</x:v>
      </x:c>
      <x:c r="AT343" s="6" t="str">
        <x:v>19.27586954762572</x:v>
      </x:c>
      <x:c r="AU343" s="8" t="str">
        <x:v>0.3618064024530527</x:v>
      </x:c>
      <x:c r="AV343" s="6" t="str">
        <x:v>-1.2369734313276175</x:v>
      </x:c>
      <x:c r="AW343" s="6" t="str">
        <x:v>1.2604366255209964</x:v>
      </x:c>
      <x:c r="AX343" s="6" t="str">
        <x:v>0.128423198882144</x:v>
      </x:c>
      <x:c r="AY343" s="6" t="str">
        <x:v>0</x:v>
      </x:c>
      <x:c r="AZ343" s="6" t="str">
        <x:v>1</x:v>
      </x:c>
      <x:c r="BA343" s="9" t="str">
        <x:v>grid_cells_within_BIG_polygon</x:v>
      </x:c>
      <x:c r="BB343" s="6" t="str">
        <x:v>16</x:v>
      </x:c>
      <x:c r="BC343" s="6" t="str">
        <x:v>10</x:v>
      </x:c>
      <x:c r="BD343" s="6" t="str">
        <x:v>10</x:v>
      </x:c>
      <x:c r="BE343" s="6" t="str">
        <x:v>1</x:v>
      </x:c>
      <x:c r="BF343" s="6" t="str">
        <x:v>2</x:v>
      </x:c>
      <x:c r="BG343" s="6" t="str">
        <x:v>4</x:v>
      </x:c>
      <x:c r="BH343" s="6" t="str">
        <x:v>1</x:v>
      </x:c>
      <x:c r="BI343" s="6" t="str">
        <x:v>2</x:v>
      </x:c>
      <x:c r="BJ343" s="6" t="str">
        <x:v>0</x:v>
      </x:c>
      <x:c r="BK343" s="6" t="str">
        <x:v>0</x:v>
      </x:c>
      <x:c r="BL343" s="6" t="str">
        <x:v>0</x:v>
      </x:c>
      <x:c r="BM343" s="6" t="str">
        <x:v>0</x:v>
      </x:c>
      <x:c r="BN343" s="6" t="str">
        <x:v>10</x:v>
      </x:c>
      <x:c r="BO343" s="6" t="str">
        <x:v>8.0</x:v>
      </x:c>
      <x:c r="BP343" s="6" t="str">
        <x:v>10</x:v>
      </x:c>
      <x:c r="BQ343" s="6" t="str">
        <x:v>1.0</x:v>
      </x:c>
      <x:c r="BR343" s="6" t="str">
        <x:v>10</x:v>
      </x:c>
      <x:c r="BS343" s="6" t="str">
        <x:v>120.0</x:v>
      </x:c>
      <x:c r="BT343" s="6" t="str">
        <x:v>10</x:v>
      </x:c>
      <x:c r="BU343" s="6" t="str">
        <x:v>22.0</x:v>
      </x:c>
      <x:c r="BV343" s="6" t="str">
        <x:v>1</x:v>
      </x:c>
      <x:c r="BW343" s="9" t="str">
        <x:v>operational_snapshot_annual_totals_may_differ</x:v>
      </x:c>
      <x:c r="BX343" s="9" t="str">
        <x:v>official_live_dashboard_snapshot_subject_to_revision</x:v>
      </x:c>
      <x:c r="BY343" s="9" t="str">
        <x:v>https://tbdashboard.sitb.id/ss_data_tbc03so_2024_provinsi_bulanan_list.php</x:v>
      </x:c>
      <x:c r="BZ343" s="6" t="n">
        <x:v>46246.610671296294</x:v>
      </x:c>
    </x:row>
    <x:row r="344" ht="18" customHeight="1">
      <x:c r="A344" s="6" t="str">
        <x:v>35</x:v>
      </x:c>
      <x:c r="B344" s="6" t="str">
        <x:v>JAWA TIMUR</x:v>
      </x:c>
      <x:c r="C344" s="6" t="str">
        <x:v>2024</x:v>
      </x:c>
      <x:c r="D344" s="6" t="str">
        <x:v>7</x:v>
      </x:c>
      <x:c r="E344" s="6" t="str">
        <x:v>2024-07</x:v>
      </x:c>
      <x:c r="F344" s="6" t="str">
        <x:v>7207</x:v>
      </x:c>
      <x:c r="G344" s="6" t="str">
        <x:v>2509</x:v>
      </x:c>
      <x:c r="H344" s="6" t="str">
        <x:v>3837</x:v>
      </x:c>
      <x:c r="I344" s="6" t="str">
        <x:v>428</x:v>
      </x:c>
      <x:c r="J344" s="6" t="str">
        <x:v>381</x:v>
      </x:c>
      <x:c r="K344" s="6" t="str">
        <x:v>24</x:v>
      </x:c>
      <x:c r="L344" s="6" t="str">
        <x:v>6</x:v>
      </x:c>
      <x:c r="M344" s="6" t="str">
        <x:v>22</x:v>
      </x:c>
      <x:c r="N344" s="6" t="str">
        <x:v>7207</x:v>
      </x:c>
      <x:c r="O344" s="6" t="str">
        <x:v>0</x:v>
      </x:c>
      <x:c r="P344" s="10" t="n">
        <x:f>F344-M344</x:f>
        <x:v>7185</x:v>
      </x:c>
      <x:c r="Q344" s="11" t="n">
        <x:f>IFERROR(M344/F344,"")</x:f>
        <x:v>0.0030525877618981546</x:v>
      </x:c>
      <x:c r="R344" s="10" t="n">
        <x:f>G344+H344</x:f>
        <x:v>6346</x:v>
      </x:c>
      <x:c r="S344" s="11" t="n">
        <x:f>IFERROR(R344/F344,"")</x:f>
        <x:v>0.8805328153184404</x:v>
      </x:c>
      <x:c r="T344" s="11" t="n">
        <x:f>IFERROR(R344/P344,"")</x:f>
        <x:v>0.8832289491997216</x:v>
      </x:c>
      <x:c r="U344" s="10" t="n">
        <x:f>I344+J344+K344</x:f>
        <x:v>833</x:v>
      </x:c>
      <x:c r="V344" s="11" t="n">
        <x:f>IFERROR(U344/P344,"")</x:f>
        <x:v>0.11593597773138482</x:v>
      </x:c>
      <x:c r="W344" s="9" t="str">
        <x:v>mature_le_5pct_pending</x:v>
      </x:c>
      <x:c r="X344" s="12" t="n">
        <x:f>IFERROR(F344/Z344*100000,"")</x:f>
        <x:v>17.23564792117567</x:v>
      </x:c>
      <x:c r="Y344" s="13" t="n">
        <x:f>LN(Z344)</x:f>
        <x:v>17.548753727294727</x:v>
      </x:c>
      <x:c r="Z344" s="6" t="str">
        <x:v>41814500</x:v>
      </x:c>
      <x:c r="AA344" s="6" t="str">
        <x:v>870.0</x:v>
      </x:c>
      <x:c r="AB344" s="9" t="str">
        <x:v>2024-06-30</x:v>
      </x:c>
      <x:c r="AC344" s="8" t="str">
        <x:v>85.56</x:v>
      </x:c>
      <x:c r="AD344" s="9" t="str">
        <x:v>2024 (Susenas)</x:v>
      </x:c>
      <x:c r="AE344" s="8" t="str">
        <x:v>9.79</x:v>
      </x:c>
      <x:c r="AF344" s="9" t="str">
        <x:v>Maret 2024 (Susenas)</x:v>
      </x:c>
      <x:c r="AG344" s="6" t="str">
        <x:v>25.774204263437763</x:v>
      </x:c>
      <x:c r="AH344" s="8" t="str">
        <x:v>77.86618863009164</x:v>
      </x:c>
      <x:c r="AI344" s="6" t="str">
        <x:v>29.98671542027114</x:v>
      </x:c>
      <x:c r="AJ344" s="6" t="str">
        <x:v>0.6717356590166972</x:v>
      </x:c>
      <x:c r="AK344" s="8" t="str">
        <x:v>1.62783333823123</x:v>
      </x:c>
      <x:c r="AL344" s="6" t="str">
        <x:v>2.0184075694977506</x:v>
      </x:c>
      <x:c r="AM344" s="6" t="str">
        <x:v>1.6859750808128875</x:v>
      </x:c>
      <x:c r="AN344" s="6" t="str">
        <x:v>1.7774053295139562</x:v>
      </x:c>
      <x:c r="AO344" s="6" t="str">
        <x:v>0.1568740410667146</x:v>
      </x:c>
      <x:c r="AP344" s="8" t="str">
        <x:v>0.0374061581439313</x:v>
      </x:c>
      <x:c r="AQ344" s="6" t="str">
        <x:v>0.2665343025644795</x:v>
      </x:c>
      <x:c r="AR344" s="6" t="str">
        <x:v>0.5141407803186305</x:v>
      </x:c>
      <x:c r="AS344" s="6" t="str">
        <x:v>0.2726937470090136</x:v>
      </x:c>
      <x:c r="AT344" s="6" t="str">
        <x:v>-4.063638815274629</x:v>
      </x:c>
      <x:c r="AU344" s="8" t="str">
        <x:v>-0.1042254603965046</x:v>
      </x:c>
      <x:c r="AV344" s="6" t="str">
        <x:v>0.3618064024530527</x:v>
      </x:c>
      <x:c r="AW344" s="6" t="str">
        <x:v>-1.2369734313276175</x:v>
      </x:c>
      <x:c r="AX344" s="6" t="str">
        <x:v>-0.3264641630903563</x:v>
      </x:c>
      <x:c r="AY344" s="6" t="str">
        <x:v>0</x:v>
      </x:c>
      <x:c r="AZ344" s="6" t="str">
        <x:v>1</x:v>
      </x:c>
      <x:c r="BA344" s="9" t="str">
        <x:v>grid_cells_within_BIG_polygon</x:v>
      </x:c>
      <x:c r="BB344" s="6" t="str">
        <x:v>16</x:v>
      </x:c>
      <x:c r="BC344" s="6" t="str">
        <x:v>15</x:v>
      </x:c>
      <x:c r="BD344" s="6" t="str">
        <x:v>15</x:v>
      </x:c>
      <x:c r="BE344" s="6" t="str">
        <x:v>0</x:v>
      </x:c>
      <x:c r="BF344" s="6" t="str">
        <x:v>0</x:v>
      </x:c>
      <x:c r="BG344" s="6" t="str">
        <x:v>0</x:v>
      </x:c>
      <x:c r="BH344" s="6" t="str">
        <x:v>2</x:v>
      </x:c>
      <x:c r="BI344" s="6" t="str">
        <x:v>13</x:v>
      </x:c>
      <x:c r="BJ344" s="6" t="str">
        <x:v>0</x:v>
      </x:c>
      <x:c r="BK344" s="6" t="str">
        <x:v>0</x:v>
      </x:c>
      <x:c r="BL344" s="6" t="str">
        <x:v>0</x:v>
      </x:c>
      <x:c r="BM344" s="6" t="str">
        <x:v>0</x:v>
      </x:c>
      <x:c r="BN344" s="6" t="str">
        <x:v>15</x:v>
      </x:c>
      <x:c r="BO344" s="6" t="str">
        <x:v>0.0</x:v>
      </x:c>
      <x:c r="BP344" s="6" t="str">
        <x:v>15</x:v>
      </x:c>
      <x:c r="BQ344" s="6" t="str">
        <x:v>0.0</x:v>
      </x:c>
      <x:c r="BR344" s="6" t="str">
        <x:v>15</x:v>
      </x:c>
      <x:c r="BS344" s="6" t="str">
        <x:v>0.0</x:v>
      </x:c>
      <x:c r="BT344" s="6" t="str">
        <x:v>15</x:v>
      </x:c>
      <x:c r="BU344" s="6" t="str"/>
      <x:c r="BV344" s="6" t="str">
        <x:v>0</x:v>
      </x:c>
      <x:c r="BW344" s="9" t="str">
        <x:v>operational_snapshot_annual_totals_may_differ</x:v>
      </x:c>
      <x:c r="BX344" s="9" t="str">
        <x:v>official_live_dashboard_snapshot_subject_to_revision</x:v>
      </x:c>
      <x:c r="BY344" s="9" t="str">
        <x:v>https://tbdashboard.sitb.id/ss_data_tbc03so_2024_provinsi_bulanan_list.php</x:v>
      </x:c>
      <x:c r="BZ344" s="6" t="n">
        <x:v>46246.610671296294</x:v>
      </x:c>
    </x:row>
    <x:row r="345" ht="18" customHeight="1">
      <x:c r="A345" s="6" t="str">
        <x:v>35</x:v>
      </x:c>
      <x:c r="B345" s="6" t="str">
        <x:v>JAWA TIMUR</x:v>
      </x:c>
      <x:c r="C345" s="6" t="str">
        <x:v>2024</x:v>
      </x:c>
      <x:c r="D345" s="6" t="str">
        <x:v>8</x:v>
      </x:c>
      <x:c r="E345" s="6" t="str">
        <x:v>2024-08</x:v>
      </x:c>
      <x:c r="F345" s="6" t="str">
        <x:v>6794</x:v>
      </x:c>
      <x:c r="G345" s="6" t="str">
        <x:v>2272</x:v>
      </x:c>
      <x:c r="H345" s="6" t="str">
        <x:v>3727</x:v>
      </x:c>
      <x:c r="I345" s="6" t="str">
        <x:v>388</x:v>
      </x:c>
      <x:c r="J345" s="6" t="str">
        <x:v>346</x:v>
      </x:c>
      <x:c r="K345" s="6" t="str">
        <x:v>30</x:v>
      </x:c>
      <x:c r="L345" s="6" t="str">
        <x:v>4</x:v>
      </x:c>
      <x:c r="M345" s="6" t="str">
        <x:v>27</x:v>
      </x:c>
      <x:c r="N345" s="6" t="str">
        <x:v>6794</x:v>
      </x:c>
      <x:c r="O345" s="6" t="str">
        <x:v>0</x:v>
      </x:c>
      <x:c r="P345" s="10" t="n">
        <x:f>F345-M345</x:f>
        <x:v>6767</x:v>
      </x:c>
      <x:c r="Q345" s="11" t="n">
        <x:f>IFERROR(M345/F345,"")</x:f>
        <x:v>0.003974094789520165</x:v>
      </x:c>
      <x:c r="R345" s="10" t="n">
        <x:f>G345+H345</x:f>
        <x:v>5999</x:v>
      </x:c>
      <x:c r="S345" s="11" t="n">
        <x:f>IFERROR(R345/F345,"")</x:f>
        <x:v>0.8829849867530174</x:v>
      </x:c>
      <x:c r="T345" s="11" t="n">
        <x:f>IFERROR(R345/P345,"")</x:f>
        <x:v>0.8865080537904537</x:v>
      </x:c>
      <x:c r="U345" s="10" t="n">
        <x:f>I345+J345+K345</x:f>
        <x:v>764</x:v>
      </x:c>
      <x:c r="V345" s="11" t="n">
        <x:f>IFERROR(U345/P345,"")</x:f>
        <x:v>0.11290084232303828</x:v>
      </x:c>
      <x:c r="W345" s="9" t="str">
        <x:v>mature_le_5pct_pending</x:v>
      </x:c>
      <x:c r="X345" s="12" t="n">
        <x:f>IFERROR(F345/Z345*100000,"")</x:f>
        <x:v>16.247952265362493</x:v>
      </x:c>
      <x:c r="Y345" s="13" t="n">
        <x:f>LN(Z345)</x:f>
        <x:v>17.548753727294727</x:v>
      </x:c>
      <x:c r="Z345" s="6" t="str">
        <x:v>41814500</x:v>
      </x:c>
      <x:c r="AA345" s="6" t="str">
        <x:v>870.0</x:v>
      </x:c>
      <x:c r="AB345" s="9" t="str">
        <x:v>2024-06-30</x:v>
      </x:c>
      <x:c r="AC345" s="8" t="str">
        <x:v>85.56</x:v>
      </x:c>
      <x:c r="AD345" s="9" t="str">
        <x:v>2024 (Susenas)</x:v>
      </x:c>
      <x:c r="AE345" s="8" t="str">
        <x:v>9.79</x:v>
      </x:c>
      <x:c r="AF345" s="9" t="str">
        <x:v>Maret 2024 (Susenas)</x:v>
      </x:c>
      <x:c r="AG345" s="6" t="str">
        <x:v>26.456455189122405</x:v>
      </x:c>
      <x:c r="AH345" s="8" t="str">
        <x:v>71.5210689053189</x:v>
      </x:c>
      <x:c r="AI345" s="6" t="str">
        <x:v>8.77706756783438</x:v>
      </x:c>
      <x:c r="AJ345" s="6" t="str">
        <x:v>0.888071758836972</x:v>
      </x:c>
      <x:c r="AK345" s="8" t="str">
        <x:v>2.347868878224745</x:v>
      </x:c>
      <x:c r="AL345" s="6" t="str">
        <x:v>1.62783333823123</x:v>
      </x:c>
      <x:c r="AM345" s="6" t="str">
        <x:v>2.0184075694977506</x:v>
      </x:c>
      <x:c r="AN345" s="6" t="str">
        <x:v>1.998036595317909</x:v>
      </x:c>
      <x:c r="AO345" s="6" t="str">
        <x:v>-0.7937744735206991</x:v>
      </x:c>
      <x:c r="AP345" s="8" t="str">
        <x:v>-0.1893919007172514</x:v>
      </x:c>
      <x:c r="AQ345" s="6" t="str">
        <x:v>0.0374061581439313</x:v>
      </x:c>
      <x:c r="AR345" s="6" t="str">
        <x:v>0.2665343025644795</x:v>
      </x:c>
      <x:c r="AS345" s="6" t="str">
        <x:v>0.0381828533303863</x:v>
      </x:c>
      <x:c r="AT345" s="6" t="str">
        <x:v>-10.43423030782474</x:v>
      </x:c>
      <x:c r="AU345" s="8" t="str">
        <x:v>-0.4786393182447067</x:v>
      </x:c>
      <x:c r="AV345" s="6" t="str">
        <x:v>-0.1042254603965046</x:v>
      </x:c>
      <x:c r="AW345" s="6" t="str">
        <x:v>0.3618064024530527</x:v>
      </x:c>
      <x:c r="AX345" s="6" t="str">
        <x:v>-0.0736861253960526</x:v>
      </x:c>
      <x:c r="AY345" s="6" t="str">
        <x:v>0</x:v>
      </x:c>
      <x:c r="AZ345" s="6" t="str">
        <x:v>1</x:v>
      </x:c>
      <x:c r="BA345" s="9" t="str">
        <x:v>grid_cells_within_BIG_polygon</x:v>
      </x:c>
      <x:c r="BB345" s="6" t="str">
        <x:v>16</x:v>
      </x:c>
      <x:c r="BC345" s="6" t="str">
        <x:v>61</x:v>
      </x:c>
      <x:c r="BD345" s="6" t="str">
        <x:v>61</x:v>
      </x:c>
      <x:c r="BE345" s="6" t="str">
        <x:v>0</x:v>
      </x:c>
      <x:c r="BF345" s="6" t="str">
        <x:v>0</x:v>
      </x:c>
      <x:c r="BG345" s="6" t="str">
        <x:v>0</x:v>
      </x:c>
      <x:c r="BH345" s="6" t="str">
        <x:v>1</x:v>
      </x:c>
      <x:c r="BI345" s="6" t="str">
        <x:v>60</x:v>
      </x:c>
      <x:c r="BJ345" s="6" t="str">
        <x:v>0</x:v>
      </x:c>
      <x:c r="BK345" s="6" t="str">
        <x:v>0</x:v>
      </x:c>
      <x:c r="BL345" s="6" t="str">
        <x:v>0</x:v>
      </x:c>
      <x:c r="BM345" s="6" t="str">
        <x:v>0</x:v>
      </x:c>
      <x:c r="BN345" s="6" t="str">
        <x:v>61</x:v>
      </x:c>
      <x:c r="BO345" s="6" t="str">
        <x:v>0.0</x:v>
      </x:c>
      <x:c r="BP345" s="6" t="str">
        <x:v>61</x:v>
      </x:c>
      <x:c r="BQ345" s="6" t="str">
        <x:v>0.0</x:v>
      </x:c>
      <x:c r="BR345" s="6" t="str">
        <x:v>61</x:v>
      </x:c>
      <x:c r="BS345" s="6" t="str">
        <x:v>0.0</x:v>
      </x:c>
      <x:c r="BT345" s="6" t="str">
        <x:v>61</x:v>
      </x:c>
      <x:c r="BU345" s="6" t="str"/>
      <x:c r="BV345" s="6" t="str">
        <x:v>0</x:v>
      </x:c>
      <x:c r="BW345" s="9" t="str">
        <x:v>operational_snapshot_annual_totals_may_differ</x:v>
      </x:c>
      <x:c r="BX345" s="9" t="str">
        <x:v>official_live_dashboard_snapshot_subject_to_revision</x:v>
      </x:c>
      <x:c r="BY345" s="9" t="str">
        <x:v>https://tbdashboard.sitb.id/ss_data_tbc03so_2024_provinsi_bulanan_list.php</x:v>
      </x:c>
      <x:c r="BZ345" s="6" t="n">
        <x:v>46246.610671296294</x:v>
      </x:c>
    </x:row>
    <x:row r="346" ht="18" customHeight="1">
      <x:c r="A346" s="6" t="str">
        <x:v>35</x:v>
      </x:c>
      <x:c r="B346" s="6" t="str">
        <x:v>JAWA TIMUR</x:v>
      </x:c>
      <x:c r="C346" s="6" t="str">
        <x:v>2024</x:v>
      </x:c>
      <x:c r="D346" s="6" t="str">
        <x:v>9</x:v>
      </x:c>
      <x:c r="E346" s="6" t="str">
        <x:v>2024-09</x:v>
      </x:c>
      <x:c r="F346" s="6" t="str">
        <x:v>6768</x:v>
      </x:c>
      <x:c r="G346" s="6" t="str">
        <x:v>2249</x:v>
      </x:c>
      <x:c r="H346" s="6" t="str">
        <x:v>3718</x:v>
      </x:c>
      <x:c r="I346" s="6" t="str">
        <x:v>380</x:v>
      </x:c>
      <x:c r="J346" s="6" t="str">
        <x:v>367</x:v>
      </x:c>
      <x:c r="K346" s="6" t="str">
        <x:v>29</x:v>
      </x:c>
      <x:c r="L346" s="6" t="str">
        <x:v>5</x:v>
      </x:c>
      <x:c r="M346" s="6" t="str">
        <x:v>20</x:v>
      </x:c>
      <x:c r="N346" s="6" t="str">
        <x:v>6768</x:v>
      </x:c>
      <x:c r="O346" s="6" t="str">
        <x:v>0</x:v>
      </x:c>
      <x:c r="P346" s="10" t="n">
        <x:f>F346-M346</x:f>
        <x:v>6748</x:v>
      </x:c>
      <x:c r="Q346" s="11" t="n">
        <x:f>IFERROR(M346/F346,"")</x:f>
        <x:v>0.002955082742316785</x:v>
      </x:c>
      <x:c r="R346" s="10" t="n">
        <x:f>G346+H346</x:f>
        <x:v>5967</x:v>
      </x:c>
      <x:c r="S346" s="11" t="n">
        <x:f>IFERROR(R346/F346,"")</x:f>
        <x:v>0.8816489361702128</x:v>
      </x:c>
      <x:c r="T346" s="11" t="n">
        <x:f>IFERROR(R346/P346,"")</x:f>
        <x:v>0.8842620035566093</x:v>
      </x:c>
      <x:c r="U346" s="10" t="n">
        <x:f>I346+J346+K346</x:f>
        <x:v>776</x:v>
      </x:c>
      <x:c r="V346" s="11" t="n">
        <x:f>IFERROR(U346/P346,"")</x:f>
        <x:v>0.11499703615886188</x:v>
      </x:c>
      <x:c r="W346" s="9" t="str">
        <x:v>mature_le_5pct_pending</x:v>
      </x:c>
      <x:c r="X346" s="12" t="n">
        <x:f>IFERROR(F346/Z346*100000,"")</x:f>
        <x:v>16.18577287782946</x:v>
      </x:c>
      <x:c r="Y346" s="13" t="n">
        <x:f>LN(Z346)</x:f>
        <x:v>17.548753727294727</x:v>
      </x:c>
      <x:c r="Z346" s="6" t="str">
        <x:v>41814500</x:v>
      </x:c>
      <x:c r="AA346" s="6" t="str">
        <x:v>870.0</x:v>
      </x:c>
      <x:c r="AB346" s="9" t="str">
        <x:v>2024-06-30</x:v>
      </x:c>
      <x:c r="AC346" s="8" t="str">
        <x:v>85.56</x:v>
      </x:c>
      <x:c r="AD346" s="9" t="str">
        <x:v>2024 (Susenas)</x:v>
      </x:c>
      <x:c r="AE346" s="8" t="str">
        <x:v>9.79</x:v>
      </x:c>
      <x:c r="AF346" s="9" t="str">
        <x:v>Maret 2024 (Susenas)</x:v>
      </x:c>
      <x:c r="AG346" s="6" t="str">
        <x:v>27.589732289433112</x:v>
      </x:c>
      <x:c r="AH346" s="8" t="str">
        <x:v>71.65059080495196</x:v>
      </x:c>
      <x:c r="AI346" s="6" t="str">
        <x:v>65.50894252438854</x:v>
      </x:c>
      <x:c r="AJ346" s="6" t="str">
        <x:v>0.891788868409936</x:v>
      </x:c>
      <x:c r="AK346" s="8" t="str">
        <x:v>2.028488947624689</x:v>
      </x:c>
      <x:c r="AL346" s="6" t="str">
        <x:v>2.347868878224745</x:v>
      </x:c>
      <x:c r="AM346" s="6" t="str">
        <x:v>1.62783333823123</x:v>
      </x:c>
      <x:c r="AN346" s="6" t="str">
        <x:v>2.001397054693555</x:v>
      </x:c>
      <x:c r="AO346" s="6" t="str">
        <x:v>3.138732406087115</x:v>
      </x:c>
      <x:c r="AP346" s="8" t="str">
        <x:v>0.6900305214252059</x:v>
      </x:c>
      <x:c r="AQ346" s="6" t="str">
        <x:v>-0.1893919007172514</x:v>
      </x:c>
      <x:c r="AR346" s="6" t="str">
        <x:v>0.0374061581439313</x:v>
      </x:c>
      <x:c r="AS346" s="6" t="str">
        <x:v>0.1793482596172951</x:v>
      </x:c>
      <x:c r="AT346" s="6" t="str">
        <x:v>39.76448932113505</x:v>
      </x:c>
      <x:c r="AU346" s="8" t="str">
        <x:v>0.974127918342348</x:v>
      </x:c>
      <x:c r="AV346" s="6" t="str">
        <x:v>-0.4786393182447067</x:v>
      </x:c>
      <x:c r="AW346" s="6" t="str">
        <x:v>-0.1042254603965046</x:v>
      </x:c>
      <x:c r="AX346" s="6" t="str">
        <x:v>0.1304210465670457</x:v>
      </x:c>
      <x:c r="AY346" s="6" t="str">
        <x:v>0</x:v>
      </x:c>
      <x:c r="AZ346" s="6" t="str">
        <x:v>1</x:v>
      </x:c>
      <x:c r="BA346" s="9" t="str">
        <x:v>grid_cells_within_BIG_polygon</x:v>
      </x:c>
      <x:c r="BB346" s="6" t="str">
        <x:v>16</x:v>
      </x:c>
      <x:c r="BC346" s="6" t="str">
        <x:v>70</x:v>
      </x:c>
      <x:c r="BD346" s="6" t="str">
        <x:v>70</x:v>
      </x:c>
      <x:c r="BE346" s="6" t="str">
        <x:v>0</x:v>
      </x:c>
      <x:c r="BF346" s="6" t="str">
        <x:v>0</x:v>
      </x:c>
      <x:c r="BG346" s="6" t="str">
        <x:v>15</x:v>
      </x:c>
      <x:c r="BH346" s="6" t="str">
        <x:v>5</x:v>
      </x:c>
      <x:c r="BI346" s="6" t="str">
        <x:v>50</x:v>
      </x:c>
      <x:c r="BJ346" s="6" t="str">
        <x:v>0</x:v>
      </x:c>
      <x:c r="BK346" s="6" t="str">
        <x:v>0</x:v>
      </x:c>
      <x:c r="BL346" s="6" t="str">
        <x:v>0</x:v>
      </x:c>
      <x:c r="BM346" s="6" t="str">
        <x:v>0</x:v>
      </x:c>
      <x:c r="BN346" s="6" t="str">
        <x:v>70</x:v>
      </x:c>
      <x:c r="BO346" s="6" t="str">
        <x:v>2.0</x:v>
      </x:c>
      <x:c r="BP346" s="6" t="str">
        <x:v>70</x:v>
      </x:c>
      <x:c r="BQ346" s="6" t="str">
        <x:v>8.0</x:v>
      </x:c>
      <x:c r="BR346" s="6" t="str">
        <x:v>70</x:v>
      </x:c>
      <x:c r="BS346" s="6" t="str">
        <x:v>324.0</x:v>
      </x:c>
      <x:c r="BT346" s="6" t="str">
        <x:v>70</x:v>
      </x:c>
      <x:c r="BU346" s="6" t="str"/>
      <x:c r="BV346" s="6" t="str">
        <x:v>0</x:v>
      </x:c>
      <x:c r="BW346" s="9" t="str">
        <x:v>operational_snapshot_annual_totals_may_differ</x:v>
      </x:c>
      <x:c r="BX346" s="9" t="str">
        <x:v>official_live_dashboard_snapshot_subject_to_revision</x:v>
      </x:c>
      <x:c r="BY346" s="9" t="str">
        <x:v>https://tbdashboard.sitb.id/ss_data_tbc03so_2024_provinsi_bulanan_list.php</x:v>
      </x:c>
      <x:c r="BZ346" s="6" t="n">
        <x:v>46246.610671296294</x:v>
      </x:c>
    </x:row>
    <x:row r="347" ht="18" customHeight="1">
      <x:c r="A347" s="6" t="str">
        <x:v>35</x:v>
      </x:c>
      <x:c r="B347" s="6" t="str">
        <x:v>JAWA TIMUR</x:v>
      </x:c>
      <x:c r="C347" s="6" t="str">
        <x:v>2024</x:v>
      </x:c>
      <x:c r="D347" s="6" t="str">
        <x:v>10</x:v>
      </x:c>
      <x:c r="E347" s="6" t="str">
        <x:v>2024-10</x:v>
      </x:c>
      <x:c r="F347" s="6" t="str">
        <x:v>7668</x:v>
      </x:c>
      <x:c r="G347" s="6" t="str">
        <x:v>2438</x:v>
      </x:c>
      <x:c r="H347" s="6" t="str">
        <x:v>4297</x:v>
      </x:c>
      <x:c r="I347" s="6" t="str">
        <x:v>493</x:v>
      </x:c>
      <x:c r="J347" s="6" t="str">
        <x:v>393</x:v>
      </x:c>
      <x:c r="K347" s="6" t="str">
        <x:v>32</x:v>
      </x:c>
      <x:c r="L347" s="6" t="str">
        <x:v>8</x:v>
      </x:c>
      <x:c r="M347" s="6" t="str">
        <x:v>7</x:v>
      </x:c>
      <x:c r="N347" s="6" t="str">
        <x:v>7668</x:v>
      </x:c>
      <x:c r="O347" s="6" t="str">
        <x:v>0</x:v>
      </x:c>
      <x:c r="P347" s="10" t="n">
        <x:f>F347-M347</x:f>
        <x:v>7661</x:v>
      </x:c>
      <x:c r="Q347" s="11" t="n">
        <x:f>IFERROR(M347/F347,"")</x:f>
        <x:v>0.0009128847157016171</x:v>
      </x:c>
      <x:c r="R347" s="10" t="n">
        <x:f>G347+H347</x:f>
        <x:v>6735</x:v>
      </x:c>
      <x:c r="S347" s="11" t="n">
        <x:f>IFERROR(R347/F347,"")</x:f>
        <x:v>0.8783255086071987</x:v>
      </x:c>
      <x:c r="T347" s="11" t="n">
        <x:f>IFERROR(R347/P347,"")</x:f>
        <x:v>0.8791280511682548</x:v>
      </x:c>
      <x:c r="U347" s="10" t="n">
        <x:f>I347+J347+K347</x:f>
        <x:v>918</x:v>
      </x:c>
      <x:c r="V347" s="11" t="n">
        <x:f>IFERROR(U347/P347,"")</x:f>
        <x:v>0.11982769873384676</x:v>
      </x:c>
      <x:c r="W347" s="9" t="str">
        <x:v>mature_le_5pct_pending</x:v>
      </x:c>
      <x:c r="X347" s="12" t="n">
        <x:f>IFERROR(F347/Z347*100000,"")</x:f>
        <x:v>18.33813629243444</x:v>
      </x:c>
      <x:c r="Y347" s="13" t="n">
        <x:f>LN(Z347)</x:f>
        <x:v>17.548753727294727</x:v>
      </x:c>
      <x:c r="Z347" s="6" t="str">
        <x:v>41814500</x:v>
      </x:c>
      <x:c r="AA347" s="6" t="str">
        <x:v>870.0</x:v>
      </x:c>
      <x:c r="AB347" s="9" t="str">
        <x:v>2024-06-30</x:v>
      </x:c>
      <x:c r="AC347" s="8" t="str">
        <x:v>85.56</x:v>
      </x:c>
      <x:c r="AD347" s="9" t="str">
        <x:v>2024 (Susenas)</x:v>
      </x:c>
      <x:c r="AE347" s="8" t="str">
        <x:v>9.79</x:v>
      </x:c>
      <x:c r="AF347" s="9" t="str">
        <x:v>Maret 2024 (Susenas)</x:v>
      </x:c>
      <x:c r="AG347" s="6" t="str">
        <x:v>28.63778334762461</x:v>
      </x:c>
      <x:c r="AH347" s="8" t="str">
        <x:v>69.51717716728562</x:v>
      </x:c>
      <x:c r="AI347" s="6" t="str">
        <x:v>58.51098171094427</x:v>
      </x:c>
      <x:c r="AJ347" s="6" t="str">
        <x:v>1.0696039662202068</x:v>
      </x:c>
      <x:c r="AK347" s="8" t="str">
        <x:v>2.02788241112428</x:v>
      </x:c>
      <x:c r="AL347" s="6" t="str">
        <x:v>2.028488947624689</x:v>
      </x:c>
      <x:c r="AM347" s="6" t="str">
        <x:v>2.347868878224745</x:v>
      </x:c>
      <x:c r="AN347" s="6" t="str">
        <x:v>2.134746745657905</x:v>
      </x:c>
      <x:c r="AO347" s="6" t="str">
        <x:v>0.0143659201939811</x:v>
      </x:c>
      <x:c r="AP347" s="8" t="str">
        <x:v>0.0024018311148745</x:v>
      </x:c>
      <x:c r="AQ347" s="6" t="str">
        <x:v>0.6900305214252059</x:v>
      </x:c>
      <x:c r="AR347" s="6" t="str">
        <x:v>-0.1893919007172514</x:v>
      </x:c>
      <x:c r="AS347" s="6" t="str">
        <x:v>0.1676801506076095</x:v>
      </x:c>
      <x:c r="AT347" s="6" t="str">
        <x:v>-13.511670830902055</x:v>
      </x:c>
      <x:c r="AU347" s="8" t="str">
        <x:v>-0.1990933900158317</x:v>
      </x:c>
      <x:c r="AV347" s="6" t="str">
        <x:v>0.974127918342348</x:v>
      </x:c>
      <x:c r="AW347" s="6" t="str">
        <x:v>-0.4786393182447067</x:v>
      </x:c>
      <x:c r="AX347" s="6" t="str">
        <x:v>0.0987984033606033</x:v>
      </x:c>
      <x:c r="AY347" s="6" t="str">
        <x:v>0</x:v>
      </x:c>
      <x:c r="AZ347" s="6" t="str">
        <x:v>1</x:v>
      </x:c>
      <x:c r="BA347" s="9" t="str">
        <x:v>grid_cells_within_BIG_polygon</x:v>
      </x:c>
      <x:c r="BB347" s="6" t="str">
        <x:v>16</x:v>
      </x:c>
      <x:c r="BC347" s="6" t="str">
        <x:v>46</x:v>
      </x:c>
      <x:c r="BD347" s="6" t="str">
        <x:v>46</x:v>
      </x:c>
      <x:c r="BE347" s="6" t="str">
        <x:v>0</x:v>
      </x:c>
      <x:c r="BF347" s="6" t="str">
        <x:v>0</x:v>
      </x:c>
      <x:c r="BG347" s="6" t="str">
        <x:v>19</x:v>
      </x:c>
      <x:c r="BH347" s="6" t="str">
        <x:v>1</x:v>
      </x:c>
      <x:c r="BI347" s="6" t="str">
        <x:v>26</x:v>
      </x:c>
      <x:c r="BJ347" s="6" t="str">
        <x:v>0</x:v>
      </x:c>
      <x:c r="BK347" s="6" t="str">
        <x:v>0</x:v>
      </x:c>
      <x:c r="BL347" s="6" t="str">
        <x:v>0</x:v>
      </x:c>
      <x:c r="BM347" s="6" t="str">
        <x:v>0</x:v>
      </x:c>
      <x:c r="BN347" s="6" t="str">
        <x:v>46</x:v>
      </x:c>
      <x:c r="BO347" s="6" t="str">
        <x:v>0.0</x:v>
      </x:c>
      <x:c r="BP347" s="6" t="str">
        <x:v>46</x:v>
      </x:c>
      <x:c r="BQ347" s="6" t="str">
        <x:v>5.0</x:v>
      </x:c>
      <x:c r="BR347" s="6" t="str">
        <x:v>46</x:v>
      </x:c>
      <x:c r="BS347" s="6" t="str">
        <x:v>603.0</x:v>
      </x:c>
      <x:c r="BT347" s="6" t="str">
        <x:v>46</x:v>
      </x:c>
      <x:c r="BU347" s="6" t="str"/>
      <x:c r="BV347" s="6" t="str">
        <x:v>0</x:v>
      </x:c>
      <x:c r="BW347" s="9" t="str">
        <x:v>operational_snapshot_annual_totals_may_differ</x:v>
      </x:c>
      <x:c r="BX347" s="9" t="str">
        <x:v>official_live_dashboard_snapshot_subject_to_revision</x:v>
      </x:c>
      <x:c r="BY347" s="9" t="str">
        <x:v>https://tbdashboard.sitb.id/ss_data_tbc03so_2024_provinsi_bulanan_list.php</x:v>
      </x:c>
      <x:c r="BZ347" s="6" t="n">
        <x:v>46246.610671296294</x:v>
      </x:c>
    </x:row>
    <x:row r="348" ht="18" customHeight="1">
      <x:c r="A348" s="6" t="str">
        <x:v>35</x:v>
      </x:c>
      <x:c r="B348" s="6" t="str">
        <x:v>JAWA TIMUR</x:v>
      </x:c>
      <x:c r="C348" s="6" t="str">
        <x:v>2024</x:v>
      </x:c>
      <x:c r="D348" s="6" t="str">
        <x:v>11</x:v>
      </x:c>
      <x:c r="E348" s="6" t="str">
        <x:v>2024-11</x:v>
      </x:c>
      <x:c r="F348" s="6" t="str">
        <x:v>7115</x:v>
      </x:c>
      <x:c r="G348" s="6" t="str">
        <x:v>2213</x:v>
      </x:c>
      <x:c r="H348" s="6" t="str">
        <x:v>4039</x:v>
      </x:c>
      <x:c r="I348" s="6" t="str">
        <x:v>438</x:v>
      </x:c>
      <x:c r="J348" s="6" t="str">
        <x:v>387</x:v>
      </x:c>
      <x:c r="K348" s="6" t="str">
        <x:v>21</x:v>
      </x:c>
      <x:c r="L348" s="6" t="str">
        <x:v>1</x:v>
      </x:c>
      <x:c r="M348" s="6" t="str">
        <x:v>16</x:v>
      </x:c>
      <x:c r="N348" s="6" t="str">
        <x:v>7115</x:v>
      </x:c>
      <x:c r="O348" s="6" t="str">
        <x:v>0</x:v>
      </x:c>
      <x:c r="P348" s="10" t="n">
        <x:f>F348-M348</x:f>
        <x:v>7099</x:v>
      </x:c>
      <x:c r="Q348" s="11" t="n">
        <x:f>IFERROR(M348/F348,"")</x:f>
        <x:v>0.0022487702037948</x:v>
      </x:c>
      <x:c r="R348" s="10" t="n">
        <x:f>G348+H348</x:f>
        <x:v>6252</x:v>
      </x:c>
      <x:c r="S348" s="11" t="n">
        <x:f>IFERROR(R348/F348,"")</x:f>
        <x:v>0.878706957132818</x:v>
      </x:c>
      <x:c r="T348" s="11" t="n">
        <x:f>IFERROR(R348/P348,"")</x:f>
        <x:v>0.8806874207634878</x:v>
      </x:c>
      <x:c r="U348" s="10" t="n">
        <x:f>I348+J348+K348</x:f>
        <x:v>846</x:v>
      </x:c>
      <x:c r="V348" s="11" t="n">
        <x:f>IFERROR(U348/P348,"")</x:f>
        <x:v>0.11917171432596141</x:v>
      </x:c>
      <x:c r="W348" s="9" t="str">
        <x:v>mature_le_5pct_pending</x:v>
      </x:c>
      <x:c r="X348" s="12" t="n">
        <x:f>IFERROR(F348/Z348*100000,"")</x:f>
        <x:v>17.015628549904935</x:v>
      </x:c>
      <x:c r="Y348" s="13" t="n">
        <x:f>LN(Z348)</x:f>
        <x:v>17.548753727294727</x:v>
      </x:c>
      <x:c r="Z348" s="6" t="str">
        <x:v>41814500</x:v>
      </x:c>
      <x:c r="AA348" s="6" t="str">
        <x:v>870.0</x:v>
      </x:c>
      <x:c r="AB348" s="9" t="str">
        <x:v>2024-06-30</x:v>
      </x:c>
      <x:c r="AC348" s="8" t="str">
        <x:v>85.56</x:v>
      </x:c>
      <x:c r="AD348" s="9" t="str">
        <x:v>2024 (Susenas)</x:v>
      </x:c>
      <x:c r="AE348" s="8" t="str">
        <x:v>9.79</x:v>
      </x:c>
      <x:c r="AF348" s="9" t="str">
        <x:v>Maret 2024 (Susenas)</x:v>
      </x:c>
      <x:c r="AG348" s="6" t="str">
        <x:v>28.021470220542543</x:v>
      </x:c>
      <x:c r="AH348" s="8" t="str">
        <x:v>78.23143679499483</x:v>
      </x:c>
      <x:c r="AI348" s="6" t="str">
        <x:v>194.54281239669396</x:v>
      </x:c>
      <x:c r="AJ348" s="6" t="str">
        <x:v>0.6998885251056741</x:v>
      </x:c>
      <x:c r="AK348" s="8" t="str">
        <x:v>0.8796275797085801</x:v>
      </x:c>
      <x:c r="AL348" s="6" t="str">
        <x:v>2.02788241112428</x:v>
      </x:c>
      <x:c r="AM348" s="6" t="str">
        <x:v>2.028488947624689</x:v>
      </x:c>
      <x:c r="AN348" s="6" t="str">
        <x:v>1.6453329794858498</x:v>
      </x:c>
      <x:c r="AO348" s="6" t="str">
        <x:v>2.2947181196656032</x:v>
      </x:c>
      <x:c r="AP348" s="8" t="str">
        <x:v>0.421498321359288</x:v>
      </x:c>
      <x:c r="AQ348" s="6" t="str">
        <x:v>0.0024018311148745</x:v>
      </x:c>
      <x:c r="AR348" s="6" t="str">
        <x:v>0.6900305214252059</x:v>
      </x:c>
      <x:c r="AS348" s="6" t="str">
        <x:v>0.3713102246331227</x:v>
      </x:c>
      <x:c r="AT348" s="6" t="str">
        <x:v>43.72806286165724</x:v>
      </x:c>
      <x:c r="AU348" s="8" t="str">
        <x:v>0.6522393666527879</x:v>
      </x:c>
      <x:c r="AV348" s="6" t="str">
        <x:v>-0.1990933900158317</x:v>
      </x:c>
      <x:c r="AW348" s="6" t="str">
        <x:v>0.974127918342348</x:v>
      </x:c>
      <x:c r="AX348" s="6" t="str">
        <x:v>0.4757579649931016</x:v>
      </x:c>
      <x:c r="AY348" s="6" t="str">
        <x:v>0</x:v>
      </x:c>
      <x:c r="AZ348" s="6" t="str">
        <x:v>0</x:v>
      </x:c>
      <x:c r="BA348" s="9" t="str">
        <x:v>grid_cells_within_BIG_polygon</x:v>
      </x:c>
      <x:c r="BB348" s="6" t="str">
        <x:v>16</x:v>
      </x:c>
      <x:c r="BC348" s="6" t="str">
        <x:v>44</x:v>
      </x:c>
      <x:c r="BD348" s="6" t="str">
        <x:v>43</x:v>
      </x:c>
      <x:c r="BE348" s="6" t="str">
        <x:v>12</x:v>
      </x:c>
      <x:c r="BF348" s="6" t="str">
        <x:v>2</x:v>
      </x:c>
      <x:c r="BG348" s="6" t="str">
        <x:v>28</x:v>
      </x:c>
      <x:c r="BH348" s="6" t="str">
        <x:v>0</x:v>
      </x:c>
      <x:c r="BI348" s="6" t="str">
        <x:v>1</x:v>
      </x:c>
      <x:c r="BJ348" s="6" t="str">
        <x:v>0</x:v>
      </x:c>
      <x:c r="BK348" s="6" t="str">
        <x:v>1</x:v>
      </x:c>
      <x:c r="BL348" s="6" t="str">
        <x:v>0</x:v>
      </x:c>
      <x:c r="BM348" s="6" t="str">
        <x:v>0</x:v>
      </x:c>
      <x:c r="BN348" s="6" t="str">
        <x:v>44</x:v>
      </x:c>
      <x:c r="BO348" s="6" t="str">
        <x:v>3.0</x:v>
      </x:c>
      <x:c r="BP348" s="6" t="str">
        <x:v>44</x:v>
      </x:c>
      <x:c r="BQ348" s="6" t="str">
        <x:v>2.0</x:v>
      </x:c>
      <x:c r="BR348" s="6" t="str">
        <x:v>44</x:v>
      </x:c>
      <x:c r="BS348" s="6" t="str">
        <x:v>872.0</x:v>
      </x:c>
      <x:c r="BT348" s="6" t="str">
        <x:v>44</x:v>
      </x:c>
      <x:c r="BU348" s="6" t="str">
        <x:v>1189.0</x:v>
      </x:c>
      <x:c r="BV348" s="6" t="str">
        <x:v>10</x:v>
      </x:c>
      <x:c r="BW348" s="9" t="str">
        <x:v>operational_snapshot_annual_totals_may_differ</x:v>
      </x:c>
      <x:c r="BX348" s="9" t="str">
        <x:v>official_live_dashboard_snapshot_subject_to_revision</x:v>
      </x:c>
      <x:c r="BY348" s="9" t="str">
        <x:v>https://tbdashboard.sitb.id/ss_data_tbc03so_2024_provinsi_bulanan_list.php</x:v>
      </x:c>
      <x:c r="BZ348" s="6" t="n">
        <x:v>46246.610671296294</x:v>
      </x:c>
    </x:row>
    <x:row r="349" ht="18" customHeight="1">
      <x:c r="A349" s="6" t="str">
        <x:v>35</x:v>
      </x:c>
      <x:c r="B349" s="6" t="str">
        <x:v>JAWA TIMUR</x:v>
      </x:c>
      <x:c r="C349" s="6" t="str">
        <x:v>2024</x:v>
      </x:c>
      <x:c r="D349" s="6" t="str">
        <x:v>12</x:v>
      </x:c>
      <x:c r="E349" s="6" t="str">
        <x:v>2024-12</x:v>
      </x:c>
      <x:c r="F349" s="6" t="str">
        <x:v>6638</x:v>
      </x:c>
      <x:c r="G349" s="6" t="str">
        <x:v>2127</x:v>
      </x:c>
      <x:c r="H349" s="6" t="str">
        <x:v>3687</x:v>
      </x:c>
      <x:c r="I349" s="6" t="str">
        <x:v>401</x:v>
      </x:c>
      <x:c r="J349" s="6" t="str">
        <x:v>379</x:v>
      </x:c>
      <x:c r="K349" s="6" t="str">
        <x:v>27</x:v>
      </x:c>
      <x:c r="L349" s="6" t="str">
        <x:v>4</x:v>
      </x:c>
      <x:c r="M349" s="6" t="str">
        <x:v>13</x:v>
      </x:c>
      <x:c r="N349" s="6" t="str">
        <x:v>6638</x:v>
      </x:c>
      <x:c r="O349" s="6" t="str">
        <x:v>0</x:v>
      </x:c>
      <x:c r="P349" s="10" t="n">
        <x:f>F349-M349</x:f>
        <x:v>6625</x:v>
      </x:c>
      <x:c r="Q349" s="11" t="n">
        <x:f>IFERROR(M349/F349,"")</x:f>
        <x:v>0.001958421211208195</x:v>
      </x:c>
      <x:c r="R349" s="10" t="n">
        <x:f>G349+H349</x:f>
        <x:v>5814</x:v>
      </x:c>
      <x:c r="S349" s="11" t="n">
        <x:f>IFERROR(R349/F349,"")</x:f>
        <x:v>0.8758662247664959</x:v>
      </x:c>
      <x:c r="T349" s="11" t="n">
        <x:f>IFERROR(R349/P349,"")</x:f>
        <x:v>0.8775849056603774</x:v>
      </x:c>
      <x:c r="U349" s="10" t="n">
        <x:f>I349+J349+K349</x:f>
        <x:v>807</x:v>
      </x:c>
      <x:c r="V349" s="11" t="n">
        <x:f>IFERROR(U349/P349,"")</x:f>
        <x:v>0.12181132075471698</x:v>
      </x:c>
      <x:c r="W349" s="9" t="str">
        <x:v>mature_le_5pct_pending</x:v>
      </x:c>
      <x:c r="X349" s="12" t="n">
        <x:f>IFERROR(F349/Z349*100000,"")</x:f>
        <x:v>15.874875940164298</x:v>
      </x:c>
      <x:c r="Y349" s="13" t="n">
        <x:f>LN(Z349)</x:f>
        <x:v>17.548753727294727</x:v>
      </x:c>
      <x:c r="Z349" s="6" t="str">
        <x:v>41814500</x:v>
      </x:c>
      <x:c r="AA349" s="6" t="str">
        <x:v>870.0</x:v>
      </x:c>
      <x:c r="AB349" s="9" t="str">
        <x:v>2024-06-30</x:v>
      </x:c>
      <x:c r="AC349" s="8" t="str">
        <x:v>85.56</x:v>
      </x:c>
      <x:c r="AD349" s="9" t="str">
        <x:v>2024 (Susenas)</x:v>
      </x:c>
      <x:c r="AE349" s="8" t="str">
        <x:v>9.79</x:v>
      </x:c>
      <x:c r="AF349" s="9" t="str">
        <x:v>Maret 2024 (Susenas)</x:v>
      </x:c>
      <x:c r="AG349" s="6" t="str">
        <x:v>26.51383200521737</x:v>
      </x:c>
      <x:c r="AH349" s="8" t="str">
        <x:v>86.4889384247877</x:v>
      </x:c>
      <x:c r="AI349" s="6" t="str">
        <x:v>392.0541464070088</x:v>
      </x:c>
      <x:c r="AJ349" s="6" t="str">
        <x:v>0.2055216692315866</x:v>
      </x:c>
      <x:c r="AK349" s="8" t="str">
        <x:v>0.3311638984599836</x:v>
      </x:c>
      <x:c r="AL349" s="6" t="str">
        <x:v>0.8796275797085801</x:v>
      </x:c>
      <x:c r="AM349" s="6" t="str">
        <x:v>2.02788241112428</x:v>
      </x:c>
      <x:c r="AN349" s="6" t="str">
        <x:v>1.0795579630976146</x:v>
      </x:c>
      <x:c r="AO349" s="6" t="str">
        <x:v>3.694358919656409</x:v>
      </x:c>
      <x:c r="AP349" s="8" t="str">
        <x:v>1.2161347486786618</x:v>
      </x:c>
      <x:c r="AQ349" s="6" t="str">
        <x:v>0.421498321359288</x:v>
      </x:c>
      <x:c r="AR349" s="6" t="str">
        <x:v>0.0024018311148745</x:v>
      </x:c>
      <x:c r="AS349" s="6" t="str">
        <x:v>0.5466783003842747</x:v>
      </x:c>
      <x:c r="AT349" s="6" t="str">
        <x:v>135.8345343369412</x:v>
      </x:c>
      <x:c r="AU349" s="8" t="str">
        <x:v>1.9732514165291168</x:v>
      </x:c>
      <x:c r="AV349" s="6" t="str">
        <x:v>0.6522393666527879</x:v>
      </x:c>
      <x:c r="AW349" s="6" t="str">
        <x:v>-0.1990933900158317</x:v>
      </x:c>
      <x:c r="AX349" s="6" t="str">
        <x:v>0.8087991310553578</x:v>
      </x:c>
      <x:c r="AY349" s="6" t="str">
        <x:v>1</x:v>
      </x:c>
      <x:c r="AZ349" s="6" t="str">
        <x:v>0</x:v>
      </x:c>
      <x:c r="BA349" s="9" t="str">
        <x:v>grid_cells_within_BIG_polygon</x:v>
      </x:c>
      <x:c r="BB349" s="6" t="str">
        <x:v>16</x:v>
      </x:c>
      <x:c r="BC349" s="6" t="str">
        <x:v>62</x:v>
      </x:c>
      <x:c r="BD349" s="6" t="str">
        <x:v>62</x:v>
      </x:c>
      <x:c r="BE349" s="6" t="str">
        <x:v>41</x:v>
      </x:c>
      <x:c r="BF349" s="6" t="str">
        <x:v>5</x:v>
      </x:c>
      <x:c r="BG349" s="6" t="str">
        <x:v>16</x:v>
      </x:c>
      <x:c r="BH349" s="6" t="str">
        <x:v>0</x:v>
      </x:c>
      <x:c r="BI349" s="6" t="str">
        <x:v>0</x:v>
      </x:c>
      <x:c r="BJ349" s="6" t="str">
        <x:v>0</x:v>
      </x:c>
      <x:c r="BK349" s="6" t="str">
        <x:v>0</x:v>
      </x:c>
      <x:c r="BL349" s="6" t="str">
        <x:v>0</x:v>
      </x:c>
      <x:c r="BM349" s="6" t="str">
        <x:v>0</x:v>
      </x:c>
      <x:c r="BN349" s="6" t="str">
        <x:v>62</x:v>
      </x:c>
      <x:c r="BO349" s="6" t="str">
        <x:v>4.0</x:v>
      </x:c>
      <x:c r="BP349" s="6" t="str">
        <x:v>62</x:v>
      </x:c>
      <x:c r="BQ349" s="6" t="str">
        <x:v>2.0</x:v>
      </x:c>
      <x:c r="BR349" s="6" t="str">
        <x:v>62</x:v>
      </x:c>
      <x:c r="BS349" s="6" t="str">
        <x:v>326.0</x:v>
      </x:c>
      <x:c r="BT349" s="6" t="str">
        <x:v>62</x:v>
      </x:c>
      <x:c r="BU349" s="6" t="str">
        <x:v>20774.0</x:v>
      </x:c>
      <x:c r="BV349" s="6" t="str">
        <x:v>28</x:v>
      </x:c>
      <x:c r="BW349" s="9" t="str">
        <x:v>operational_snapshot_annual_totals_may_differ</x:v>
      </x:c>
      <x:c r="BX349" s="9" t="str">
        <x:v>official_live_dashboard_snapshot_subject_to_revision</x:v>
      </x:c>
      <x:c r="BY349" s="9" t="str">
        <x:v>https://tbdashboard.sitb.id/ss_data_tbc03so_2024_provinsi_bulanan_list.php</x:v>
      </x:c>
      <x:c r="BZ349" s="6" t="n">
        <x:v>46246.610671296294</x:v>
      </x:c>
    </x:row>
    <x:row r="350" ht="18" customHeight="1">
      <x:c r="A350" s="6" t="str">
        <x:v>35</x:v>
      </x:c>
      <x:c r="B350" s="6" t="str">
        <x:v>JAWA TIMUR</x:v>
      </x:c>
      <x:c r="C350" s="6" t="str">
        <x:v>2025</x:v>
      </x:c>
      <x:c r="D350" s="6" t="str">
        <x:v>1</x:v>
      </x:c>
      <x:c r="E350" s="6" t="str">
        <x:v>2025-01</x:v>
      </x:c>
      <x:c r="F350" s="6" t="str">
        <x:v>6968</x:v>
      </x:c>
      <x:c r="G350" s="6" t="str">
        <x:v>2290</x:v>
      </x:c>
      <x:c r="H350" s="6" t="str">
        <x:v>3680</x:v>
      </x:c>
      <x:c r="I350" s="6" t="str">
        <x:v>380</x:v>
      </x:c>
      <x:c r="J350" s="6" t="str">
        <x:v>379</x:v>
      </x:c>
      <x:c r="K350" s="6" t="str">
        <x:v>25</x:v>
      </x:c>
      <x:c r="L350" s="6" t="str">
        <x:v>7</x:v>
      </x:c>
      <x:c r="M350" s="6" t="str">
        <x:v>207</x:v>
      </x:c>
      <x:c r="N350" s="6" t="str">
        <x:v>6968</x:v>
      </x:c>
      <x:c r="O350" s="6" t="str">
        <x:v>0</x:v>
      </x:c>
      <x:c r="P350" s="10" t="n">
        <x:f>F350-M350</x:f>
        <x:v>6761</x:v>
      </x:c>
      <x:c r="Q350" s="11" t="n">
        <x:f>IFERROR(M350/F350,"")</x:f>
        <x:v>0.02970723306544202</x:v>
      </x:c>
      <x:c r="R350" s="10" t="n">
        <x:f>G350+H350</x:f>
        <x:v>5970</x:v>
      </x:c>
      <x:c r="S350" s="11" t="n">
        <x:f>IFERROR(R350/F350,"")</x:f>
        <x:v>0.8567738231917337</x:v>
      </x:c>
      <x:c r="T350" s="11" t="n">
        <x:f>IFERROR(R350/P350,"")</x:f>
        <x:v>0.8830054725632303</x:v>
      </x:c>
      <x:c r="U350" s="10" t="n">
        <x:f>I350+J350+K350</x:f>
        <x:v>784</x:v>
      </x:c>
      <x:c r="V350" s="11" t="n">
        <x:f>IFERROR(U350/P350,"")</x:f>
        <x:v>0.11595917763644431</x:v>
      </x:c>
      <x:c r="W350" s="9" t="str">
        <x:v>mature_le_5pct_pending</x:v>
      </x:c>
      <x:c r="X350" s="12" t="n">
        <x:f>IFERROR(F350/Z350*100000,"")</x:f>
        <x:v>16.555276519210345</x:v>
      </x:c>
      <x:c r="Y350" s="13" t="n">
        <x:f>LN(Z350)</x:f>
        <x:v>17.55530410957971</x:v>
      </x:c>
      <x:c r="Z350" s="6" t="str">
        <x:v>42089300</x:v>
      </x:c>
      <x:c r="AA350" s="6" t="str">
        <x:v>876.0</x:v>
      </x:c>
      <x:c r="AB350" s="9" t="str">
        <x:v>2025-06-30</x:v>
      </x:c>
      <x:c r="AC350" s="8" t="str">
        <x:v>88.26</x:v>
      </x:c>
      <x:c r="AD350" s="9" t="str">
        <x:v>2025 (Susenas)</x:v>
      </x:c>
      <x:c r="AE350" s="8" t="str">
        <x:v>9.5</x:v>
      </x:c>
      <x:c r="AF350" s="9" t="str">
        <x:v>Maret 2025 (Susenas)</x:v>
      </x:c>
      <x:c r="AG350" s="6" t="str">
        <x:v>26.035087934609425</x:v>
      </x:c>
      <x:c r="AH350" s="8" t="str">
        <x:v>87.42218074392144</x:v>
      </x:c>
      <x:c r="AI350" s="6" t="str">
        <x:v>403.647544126682</x:v>
      </x:c>
      <x:c r="AJ350" s="6" t="str">
        <x:v>0.1699133860522081</x:v>
      </x:c>
      <x:c r="AK350" s="8" t="str">
        <x:v>0.306021853272032</x:v>
      </x:c>
      <x:c r="AL350" s="6" t="str">
        <x:v>0.3311638984599836</x:v>
      </x:c>
      <x:c r="AM350" s="6" t="str">
        <x:v>0.8796275797085801</x:v>
      </x:c>
      <x:c r="AN350" s="6" t="str">
        <x:v>0.5056044438135321</x:v>
      </x:c>
      <x:c r="AO350" s="6" t="str">
        <x:v>1.505847477042508</x:v>
      </x:c>
      <x:c r="AP350" s="8" t="str">
        <x:v>0.5733190649479585</x:v>
      </x:c>
      <x:c r="AQ350" s="6" t="str">
        <x:v>1.2161347486786618</x:v>
      </x:c>
      <x:c r="AR350" s="6" t="str">
        <x:v>0.421498321359288</x:v>
      </x:c>
      <x:c r="AS350" s="6" t="str">
        <x:v>0.7369840449953026</x:v>
      </x:c>
      <x:c r="AT350" s="6" t="str">
        <x:v>90.47194184459369</x:v>
      </x:c>
      <x:c r="AU350" s="8" t="str">
        <x:v>1.1014425900331863</x:v>
      </x:c>
      <x:c r="AV350" s="6" t="str">
        <x:v>1.9732514165291168</x:v>
      </x:c>
      <x:c r="AW350" s="6" t="str">
        <x:v>0.6522393666527879</x:v>
      </x:c>
      <x:c r="AX350" s="6" t="str">
        <x:v>1.2423111244050304</x:v>
      </x:c>
      <x:c r="AY350" s="6" t="str">
        <x:v>1</x:v>
      </x:c>
      <x:c r="AZ350" s="6" t="str">
        <x:v>0</x:v>
      </x:c>
      <x:c r="BA350" s="9" t="str">
        <x:v>grid_cells_within_BIG_polygon</x:v>
      </x:c>
      <x:c r="BB350" s="6" t="str">
        <x:v>16</x:v>
      </x:c>
      <x:c r="BC350" s="6" t="str">
        <x:v>58</x:v>
      </x:c>
      <x:c r="BD350" s="6" t="str">
        <x:v>58</x:v>
      </x:c>
      <x:c r="BE350" s="6" t="str">
        <x:v>42</x:v>
      </x:c>
      <x:c r="BF350" s="6" t="str">
        <x:v>3</x:v>
      </x:c>
      <x:c r="BG350" s="6" t="str">
        <x:v>13</x:v>
      </x:c>
      <x:c r="BH350" s="6" t="str">
        <x:v>0</x:v>
      </x:c>
      <x:c r="BI350" s="6" t="str">
        <x:v>0</x:v>
      </x:c>
      <x:c r="BJ350" s="6" t="str">
        <x:v>0</x:v>
      </x:c>
      <x:c r="BK350" s="6" t="str">
        <x:v>0</x:v>
      </x:c>
      <x:c r="BL350" s="6" t="str">
        <x:v>0</x:v>
      </x:c>
      <x:c r="BM350" s="6" t="str">
        <x:v>0</x:v>
      </x:c>
      <x:c r="BN350" s="6" t="str">
        <x:v>58</x:v>
      </x:c>
      <x:c r="BO350" s="6" t="str">
        <x:v>6.0</x:v>
      </x:c>
      <x:c r="BP350" s="6" t="str">
        <x:v>58</x:v>
      </x:c>
      <x:c r="BQ350" s="6" t="str">
        <x:v>5.0</x:v>
      </x:c>
      <x:c r="BR350" s="6" t="str">
        <x:v>58</x:v>
      </x:c>
      <x:c r="BS350" s="6" t="str">
        <x:v>265.0</x:v>
      </x:c>
      <x:c r="BT350" s="6" t="str">
        <x:v>58</x:v>
      </x:c>
      <x:c r="BU350" s="6" t="str">
        <x:v>18246.0</x:v>
      </x:c>
      <x:c r="BV350" s="6" t="str">
        <x:v>33</x:v>
      </x:c>
      <x:c r="BW350" s="9" t="str">
        <x:v>operational_snapshot_annual_totals_may_differ</x:v>
      </x:c>
      <x:c r="BX350" s="9" t="str">
        <x:v>official_live_dashboard_snapshot_subject_to_revision</x:v>
      </x:c>
      <x:c r="BY350" s="9" t="str">
        <x:v>https://tbdashboard.sitb.id/ss_data_tbc03so_2025_provinsi_bulanan_list.php</x:v>
      </x:c>
      <x:c r="BZ350" s="6" t="n">
        <x:v>46246.610671296294</x:v>
      </x:c>
    </x:row>
    <x:row r="351" ht="18" customHeight="1">
      <x:c r="A351" s="6" t="str">
        <x:v>35</x:v>
      </x:c>
      <x:c r="B351" s="6" t="str">
        <x:v>JAWA TIMUR</x:v>
      </x:c>
      <x:c r="C351" s="6" t="str">
        <x:v>2025</x:v>
      </x:c>
      <x:c r="D351" s="6" t="str">
        <x:v>2</x:v>
      </x:c>
      <x:c r="E351" s="6" t="str">
        <x:v>2025-02</x:v>
      </x:c>
      <x:c r="F351" s="6" t="str">
        <x:v>7094</x:v>
      </x:c>
      <x:c r="G351" s="6" t="str">
        <x:v>2395</x:v>
      </x:c>
      <x:c r="H351" s="6" t="str">
        <x:v>3733</x:v>
      </x:c>
      <x:c r="I351" s="6" t="str">
        <x:v>357</x:v>
      </x:c>
      <x:c r="J351" s="6" t="str">
        <x:v>346</x:v>
      </x:c>
      <x:c r="K351" s="6" t="str">
        <x:v>22</x:v>
      </x:c>
      <x:c r="L351" s="6" t="str">
        <x:v>4</x:v>
      </x:c>
      <x:c r="M351" s="6" t="str">
        <x:v>237</x:v>
      </x:c>
      <x:c r="N351" s="6" t="str">
        <x:v>7094</x:v>
      </x:c>
      <x:c r="O351" s="6" t="str">
        <x:v>0</x:v>
      </x:c>
      <x:c r="P351" s="10" t="n">
        <x:f>F351-M351</x:f>
        <x:v>6857</x:v>
      </x:c>
      <x:c r="Q351" s="11" t="n">
        <x:f>IFERROR(M351/F351,"")</x:f>
        <x:v>0.0334085142373837</x:v>
      </x:c>
      <x:c r="R351" s="10" t="n">
        <x:f>G351+H351</x:f>
        <x:v>6128</x:v>
      </x:c>
      <x:c r="S351" s="11" t="n">
        <x:f>IFERROR(R351/F351,"")</x:f>
        <x:v>0.8638285875387651</x:v>
      </x:c>
      <x:c r="T351" s="11" t="n">
        <x:f>IFERROR(R351/P351,"")</x:f>
        <x:v>0.8936852851101065</x:v>
      </x:c>
      <x:c r="U351" s="10" t="n">
        <x:f>I351+J351+K351</x:f>
        <x:v>725</x:v>
      </x:c>
      <x:c r="V351" s="11" t="n">
        <x:f>IFERROR(U351/P351,"")</x:f>
        <x:v>0.10573136940352924</x:v>
      </x:c>
      <x:c r="W351" s="9" t="str">
        <x:v>mature_le_5pct_pending</x:v>
      </x:c>
      <x:c r="X351" s="12" t="n">
        <x:f>IFERROR(F351/Z351*100000,"")</x:f>
        <x:v>16.854640015395837</x:v>
      </x:c>
      <x:c r="Y351" s="13" t="n">
        <x:f>LN(Z351)</x:f>
        <x:v>17.55530410957971</x:v>
      </x:c>
      <x:c r="Z351" s="6" t="str">
        <x:v>42089300</x:v>
      </x:c>
      <x:c r="AA351" s="6" t="str">
        <x:v>876.0</x:v>
      </x:c>
      <x:c r="AB351" s="9" t="str">
        <x:v>2025-06-30</x:v>
      </x:c>
      <x:c r="AC351" s="8" t="str">
        <x:v>88.26</x:v>
      </x:c>
      <x:c r="AD351" s="9" t="str">
        <x:v>2025 (Susenas)</x:v>
      </x:c>
      <x:c r="AE351" s="8" t="str">
        <x:v>9.5</x:v>
      </x:c>
      <x:c r="AF351" s="9" t="str">
        <x:v>Maret 2025 (Susenas)</x:v>
      </x:c>
      <x:c r="AG351" s="6" t="str">
        <x:v>26.044372998288427</x:v>
      </x:c>
      <x:c r="AH351" s="8" t="str">
        <x:v>87.90669162233995</x:v>
      </x:c>
      <x:c r="AI351" s="6" t="str">
        <x:v>260.1417679144022</x:v>
      </x:c>
      <x:c r="AJ351" s="6" t="str">
        <x:v>0.3253596113866877</x:v>
      </x:c>
      <x:c r="AK351" s="8" t="str">
        <x:v>0.6979863469630904</x:v>
      </x:c>
      <x:c r="AL351" s="6" t="str">
        <x:v>0.306021853272032</x:v>
      </x:c>
      <x:c r="AM351" s="6" t="str">
        <x:v>0.3311638984599836</x:v>
      </x:c>
      <x:c r="AN351" s="6" t="str">
        <x:v>0.4450573662317021</x:v>
      </x:c>
      <x:c r="AO351" s="6" t="str">
        <x:v>0.6944094320706569</x:v>
      </x:c>
      <x:c r="AP351" s="8" t="str">
        <x:v>0.4503271462997464</x:v>
      </x:c>
      <x:c r="AQ351" s="6" t="str">
        <x:v>0.5733190649479585</x:v>
      </x:c>
      <x:c r="AR351" s="6" t="str">
        <x:v>1.2161347486786618</x:v>
      </x:c>
      <x:c r="AS351" s="6" t="str">
        <x:v>0.7465936533087887</x:v>
      </x:c>
      <x:c r="AT351" s="6" t="str">
        <x:v>-19.89239896352501</x:v>
      </x:c>
      <x:c r="AU351" s="8" t="str">
        <x:v>-0.272703966093008</x:v>
      </x:c>
      <x:c r="AV351" s="6" t="str">
        <x:v>1.1014425900331863</x:v>
      </x:c>
      <x:c r="AW351" s="6" t="str">
        <x:v>1.9732514165291168</x:v>
      </x:c>
      <x:c r="AX351" s="6" t="str">
        <x:v>0.9339966801564318</x:v>
      </x:c>
      <x:c r="AY351" s="6" t="str">
        <x:v>0</x:v>
      </x:c>
      <x:c r="AZ351" s="6" t="str">
        <x:v>0</x:v>
      </x:c>
      <x:c r="BA351" s="9" t="str">
        <x:v>grid_cells_within_BIG_polygon</x:v>
      </x:c>
      <x:c r="BB351" s="6" t="str">
        <x:v>16</x:v>
      </x:c>
      <x:c r="BC351" s="6" t="str">
        <x:v>45</x:v>
      </x:c>
      <x:c r="BD351" s="6" t="str">
        <x:v>45</x:v>
      </x:c>
      <x:c r="BE351" s="6" t="str">
        <x:v>21</x:v>
      </x:c>
      <x:c r="BF351" s="6" t="str">
        <x:v>3</x:v>
      </x:c>
      <x:c r="BG351" s="6" t="str">
        <x:v>21</x:v>
      </x:c>
      <x:c r="BH351" s="6" t="str">
        <x:v>0</x:v>
      </x:c>
      <x:c r="BI351" s="6" t="str">
        <x:v>0</x:v>
      </x:c>
      <x:c r="BJ351" s="6" t="str">
        <x:v>0</x:v>
      </x:c>
      <x:c r="BK351" s="6" t="str">
        <x:v>0</x:v>
      </x:c>
      <x:c r="BL351" s="6" t="str">
        <x:v>0</x:v>
      </x:c>
      <x:c r="BM351" s="6" t="str">
        <x:v>0</x:v>
      </x:c>
      <x:c r="BN351" s="6" t="str">
        <x:v>45</x:v>
      </x:c>
      <x:c r="BO351" s="6" t="str">
        <x:v>4.0</x:v>
      </x:c>
      <x:c r="BP351" s="6" t="str">
        <x:v>45</x:v>
      </x:c>
      <x:c r="BQ351" s="6" t="str">
        <x:v>11.0</x:v>
      </x:c>
      <x:c r="BR351" s="6" t="str">
        <x:v>45</x:v>
      </x:c>
      <x:c r="BS351" s="6" t="str">
        <x:v>747.0</x:v>
      </x:c>
      <x:c r="BT351" s="6" t="str">
        <x:v>45</x:v>
      </x:c>
      <x:c r="BU351" s="6" t="str">
        <x:v>16463.0</x:v>
      </x:c>
      <x:c r="BV351" s="6" t="str">
        <x:v>15</x:v>
      </x:c>
      <x:c r="BW351" s="9" t="str">
        <x:v>operational_snapshot_annual_totals_may_differ</x:v>
      </x:c>
      <x:c r="BX351" s="9" t="str">
        <x:v>official_live_dashboard_snapshot_subject_to_revision</x:v>
      </x:c>
      <x:c r="BY351" s="9" t="str">
        <x:v>https://tbdashboard.sitb.id/ss_data_tbc03so_2025_provinsi_bulanan_list.php</x:v>
      </x:c>
      <x:c r="BZ351" s="6" t="n">
        <x:v>46246.610671296294</x:v>
      </x:c>
    </x:row>
    <x:row r="352" ht="18" customHeight="1">
      <x:c r="A352" s="6" t="str">
        <x:v>35</x:v>
      </x:c>
      <x:c r="B352" s="6" t="str">
        <x:v>JAWA TIMUR</x:v>
      </x:c>
      <x:c r="C352" s="6" t="str">
        <x:v>2025</x:v>
      </x:c>
      <x:c r="D352" s="6" t="str">
        <x:v>3</x:v>
      </x:c>
      <x:c r="E352" s="6" t="str">
        <x:v>2025-03</x:v>
      </x:c>
      <x:c r="F352" s="6" t="str">
        <x:v>6685</x:v>
      </x:c>
      <x:c r="G352" s="6" t="str">
        <x:v>2258</x:v>
      </x:c>
      <x:c r="H352" s="6" t="str">
        <x:v>3453</x:v>
      </x:c>
      <x:c r="I352" s="6" t="str">
        <x:v>353</x:v>
      </x:c>
      <x:c r="J352" s="6" t="str">
        <x:v>387</x:v>
      </x:c>
      <x:c r="K352" s="6" t="str">
        <x:v>17</x:v>
      </x:c>
      <x:c r="L352" s="6" t="str">
        <x:v>6</x:v>
      </x:c>
      <x:c r="M352" s="6" t="str">
        <x:v>211</x:v>
      </x:c>
      <x:c r="N352" s="6" t="str">
        <x:v>6685</x:v>
      </x:c>
      <x:c r="O352" s="6" t="str">
        <x:v>0</x:v>
      </x:c>
      <x:c r="P352" s="10" t="n">
        <x:f>F352-M352</x:f>
        <x:v>6474</x:v>
      </x:c>
      <x:c r="Q352" s="11" t="n">
        <x:f>IFERROR(M352/F352,"")</x:f>
        <x:v>0.03156320119670905</x:v>
      </x:c>
      <x:c r="R352" s="10" t="n">
        <x:f>G352+H352</x:f>
        <x:v>5711</x:v>
      </x:c>
      <x:c r="S352" s="11" t="n">
        <x:f>IFERROR(R352/F352,"")</x:f>
        <x:v>0.8543006731488407</x:v>
      </x:c>
      <x:c r="T352" s="11" t="n">
        <x:f>IFERROR(R352/P352,"")</x:f>
        <x:v>0.8821439604572134</x:v>
      </x:c>
      <x:c r="U352" s="10" t="n">
        <x:f>I352+J352+K352</x:f>
        <x:v>757</x:v>
      </x:c>
      <x:c r="V352" s="11" t="n">
        <x:f>IFERROR(U352/P352,"")</x:f>
        <x:v>0.11692925548347236</x:v>
      </x:c>
      <x:c r="W352" s="9" t="str">
        <x:v>mature_le_5pct_pending</x:v>
      </x:c>
      <x:c r="X352" s="12" t="n">
        <x:f>IFERROR(F352/Z352*100000,"")</x:f>
        <x:v>15.882896603174677</x:v>
      </x:c>
      <x:c r="Y352" s="13" t="n">
        <x:f>LN(Z352)</x:f>
        <x:v>17.55530410957971</x:v>
      </x:c>
      <x:c r="Z352" s="6" t="str">
        <x:v>42089300</x:v>
      </x:c>
      <x:c r="AA352" s="6" t="str">
        <x:v>876.0</x:v>
      </x:c>
      <x:c r="AB352" s="9" t="str">
        <x:v>2025-06-30</x:v>
      </x:c>
      <x:c r="AC352" s="8" t="str">
        <x:v>88.26</x:v>
      </x:c>
      <x:c r="AD352" s="9" t="str">
        <x:v>2025 (Susenas)</x:v>
      </x:c>
      <x:c r="AE352" s="8" t="str">
        <x:v>9.5</x:v>
      </x:c>
      <x:c r="AF352" s="9" t="str">
        <x:v>Maret 2025 (Susenas)</x:v>
      </x:c>
      <x:c r="AG352" s="6" t="str">
        <x:v>26.49379254825511</x:v>
      </x:c>
      <x:c r="AH352" s="8" t="str">
        <x:v>86.28929276394969</x:v>
      </x:c>
      <x:c r="AI352" s="6" t="str">
        <x:v>321.0989926884954</x:v>
      </x:c>
      <x:c r="AJ352" s="6" t="str">
        <x:v>0.5022916654191292</x:v>
      </x:c>
      <x:c r="AK352" s="8" t="str">
        <x:v>1.1830608971321863</x:v>
      </x:c>
      <x:c r="AL352" s="6" t="str">
        <x:v>0.6979863469630904</x:v>
      </x:c>
      <x:c r="AM352" s="6" t="str">
        <x:v>0.306021853272032</x:v>
      </x:c>
      <x:c r="AN352" s="6" t="str">
        <x:v>0.7290230324557697</x:v>
      </x:c>
      <x:c r="AO352" s="6" t="str">
        <x:v>0.4041931321134484</x:v>
      </x:c>
      <x:c r="AP352" s="8" t="str">
        <x:v>0.2502668010624143</x:v>
      </x:c>
      <x:c r="AQ352" s="6" t="str">
        <x:v>0.4503271462997464</x:v>
      </x:c>
      <x:c r="AR352" s="6" t="str">
        <x:v>0.5733190649479585</x:v>
      </x:c>
      <x:c r="AS352" s="6" t="str">
        <x:v>0.4246376707700396</x:v>
      </x:c>
      <x:c r="AT352" s="6" t="str">
        <x:v>87.15628464148162</x:v>
      </x:c>
      <x:c r="AU352" s="8" t="str">
        <x:v>1.2826294341977986</x:v>
      </x:c>
      <x:c r="AV352" s="6" t="str">
        <x:v>-0.272703966093008</x:v>
      </x:c>
      <x:c r="AW352" s="6" t="str">
        <x:v>1.1014425900331863</x:v>
      </x:c>
      <x:c r="AX352" s="6" t="str">
        <x:v>0.7037893527126592</x:v>
      </x:c>
      <x:c r="AY352" s="6" t="str">
        <x:v>1</x:v>
      </x:c>
      <x:c r="AZ352" s="6" t="str">
        <x:v>1</x:v>
      </x:c>
      <x:c r="BA352" s="9" t="str">
        <x:v>grid_cells_within_BIG_polygon</x:v>
      </x:c>
      <x:c r="BB352" s="6" t="str">
        <x:v>16</x:v>
      </x:c>
      <x:c r="BC352" s="6" t="str">
        <x:v>51</x:v>
      </x:c>
      <x:c r="BD352" s="6" t="str">
        <x:v>51</x:v>
      </x:c>
      <x:c r="BE352" s="6" t="str">
        <x:v>22</x:v>
      </x:c>
      <x:c r="BF352" s="6" t="str">
        <x:v>1</x:v>
      </x:c>
      <x:c r="BG352" s="6" t="str">
        <x:v>28</x:v>
      </x:c>
      <x:c r="BH352" s="6" t="str">
        <x:v>0</x:v>
      </x:c>
      <x:c r="BI352" s="6" t="str">
        <x:v>0</x:v>
      </x:c>
      <x:c r="BJ352" s="6" t="str">
        <x:v>0</x:v>
      </x:c>
      <x:c r="BK352" s="6" t="str">
        <x:v>0</x:v>
      </x:c>
      <x:c r="BL352" s="6" t="str">
        <x:v>0</x:v>
      </x:c>
      <x:c r="BM352" s="6" t="str">
        <x:v>0</x:v>
      </x:c>
      <x:c r="BN352" s="6" t="str">
        <x:v>51</x:v>
      </x:c>
      <x:c r="BO352" s="6" t="str">
        <x:v>6.0</x:v>
      </x:c>
      <x:c r="BP352" s="6" t="str">
        <x:v>51</x:v>
      </x:c>
      <x:c r="BQ352" s="6" t="str">
        <x:v>7.0</x:v>
      </x:c>
      <x:c r="BR352" s="6" t="str">
        <x:v>51</x:v>
      </x:c>
      <x:c r="BS352" s="6" t="str">
        <x:v>399.0</x:v>
      </x:c>
      <x:c r="BT352" s="6" t="str">
        <x:v>51</x:v>
      </x:c>
      <x:c r="BU352" s="6" t="str">
        <x:v>5873.0</x:v>
      </x:c>
      <x:c r="BV352" s="6" t="str">
        <x:v>16</x:v>
      </x:c>
      <x:c r="BW352" s="9" t="str">
        <x:v>operational_snapshot_annual_totals_may_differ</x:v>
      </x:c>
      <x:c r="BX352" s="9" t="str">
        <x:v>official_live_dashboard_snapshot_subject_to_revision</x:v>
      </x:c>
      <x:c r="BY352" s="9" t="str">
        <x:v>https://tbdashboard.sitb.id/ss_data_tbc03so_2025_provinsi_bulanan_list.php</x:v>
      </x:c>
      <x:c r="BZ352" s="6" t="n">
        <x:v>46246.610671296294</x:v>
      </x:c>
    </x:row>
    <x:row r="353" ht="18" customHeight="1">
      <x:c r="A353" s="6" t="str">
        <x:v>35</x:v>
      </x:c>
      <x:c r="B353" s="6" t="str">
        <x:v>JAWA TIMUR</x:v>
      </x:c>
      <x:c r="C353" s="6" t="str">
        <x:v>2025</x:v>
      </x:c>
      <x:c r="D353" s="6" t="str">
        <x:v>4</x:v>
      </x:c>
      <x:c r="E353" s="6" t="str">
        <x:v>2025-04</x:v>
      </x:c>
      <x:c r="F353" s="6" t="str">
        <x:v>6174</x:v>
      </x:c>
      <x:c r="G353" s="6" t="str">
        <x:v>2167</x:v>
      </x:c>
      <x:c r="H353" s="6" t="str">
        <x:v>3142</x:v>
      </x:c>
      <x:c r="I353" s="6" t="str">
        <x:v>308</x:v>
      </x:c>
      <x:c r="J353" s="6" t="str">
        <x:v>336</x:v>
      </x:c>
      <x:c r="K353" s="6" t="str">
        <x:v>25</x:v>
      </x:c>
      <x:c r="L353" s="6" t="str">
        <x:v>4</x:v>
      </x:c>
      <x:c r="M353" s="6" t="str">
        <x:v>192</x:v>
      </x:c>
      <x:c r="N353" s="6" t="str">
        <x:v>6174</x:v>
      </x:c>
      <x:c r="O353" s="6" t="str">
        <x:v>0</x:v>
      </x:c>
      <x:c r="P353" s="10" t="n">
        <x:f>F353-M353</x:f>
        <x:v>5982</x:v>
      </x:c>
      <x:c r="Q353" s="11" t="n">
        <x:f>IFERROR(M353/F353,"")</x:f>
        <x:v>0.031098153547133137</x:v>
      </x:c>
      <x:c r="R353" s="10" t="n">
        <x:f>G353+H353</x:f>
        <x:v>5309</x:v>
      </x:c>
      <x:c r="S353" s="11" t="n">
        <x:f>IFERROR(R353/F353,"")</x:f>
        <x:v>0.8598963394881762</x:v>
      </x:c>
      <x:c r="T353" s="11" t="n">
        <x:f>IFERROR(R353/P353,"")</x:f>
        <x:v>0.8874958207957205</x:v>
      </x:c>
      <x:c r="U353" s="10" t="n">
        <x:f>I353+J353+K353</x:f>
        <x:v>669</x:v>
      </x:c>
      <x:c r="V353" s="11" t="n">
        <x:f>IFERROR(U353/P353,"")</x:f>
        <x:v>0.11183550651955868</x:v>
      </x:c>
      <x:c r="W353" s="9" t="str">
        <x:v>mature_le_5pct_pending</x:v>
      </x:c>
      <x:c r="X353" s="12" t="n">
        <x:f>IFERROR(F353/Z353*100000,"")</x:f>
        <x:v>14.668811313089074</x:v>
      </x:c>
      <x:c r="Y353" s="13" t="n">
        <x:f>LN(Z353)</x:f>
        <x:v>17.55530410957971</x:v>
      </x:c>
      <x:c r="Z353" s="6" t="str">
        <x:v>42089300</x:v>
      </x:c>
      <x:c r="AA353" s="6" t="str">
        <x:v>876.0</x:v>
      </x:c>
      <x:c r="AB353" s="9" t="str">
        <x:v>2025-06-30</x:v>
      </x:c>
      <x:c r="AC353" s="8" t="str">
        <x:v>88.26</x:v>
      </x:c>
      <x:c r="AD353" s="9" t="str">
        <x:v>2025 (Susenas)</x:v>
      </x:c>
      <x:c r="AE353" s="8" t="str">
        <x:v>9.5</x:v>
      </x:c>
      <x:c r="AF353" s="9" t="str">
        <x:v>Maret 2025 (Susenas)</x:v>
      </x:c>
      <x:c r="AG353" s="6" t="str">
        <x:v>26.40212682078364</x:v>
      </x:c>
      <x:c r="AH353" s="8" t="str">
        <x:v>83.33921699568057</x:v>
      </x:c>
      <x:c r="AI353" s="6" t="str">
        <x:v>227.195800804308</x:v>
      </x:c>
      <x:c r="AJ353" s="6" t="str">
        <x:v>0.1782664678033754</x:v>
      </x:c>
      <x:c r="AK353" s="8" t="str">
        <x:v>0.4362824912158821</x:v>
      </x:c>
      <x:c r="AL353" s="6" t="str">
        <x:v>1.1830608971321863</x:v>
      </x:c>
      <x:c r="AM353" s="6" t="str">
        <x:v>0.6979863469630904</x:v>
      </x:c>
      <x:c r="AN353" s="6" t="str">
        <x:v>0.7724432451037199</x:v>
      </x:c>
      <x:c r="AO353" s="6" t="str">
        <x:v>-1.6610205914728908</x:v>
      </x:c>
      <x:c r="AP353" s="8" t="str">
        <x:v>-1.5672590004382665</x:v>
      </x:c>
      <x:c r="AQ353" s="6" t="str">
        <x:v>0.2502668010624143</x:v>
      </x:c>
      <x:c r="AR353" s="6" t="str">
        <x:v>0.4503271462997464</x:v>
      </x:c>
      <x:c r="AS353" s="6" t="str">
        <x:v>-0.2888883510253686</x:v>
      </x:c>
      <x:c r="AT353" s="6" t="str">
        <x:v>53.79202223540176</x:v>
      </x:c>
      <x:c r="AU353" s="8" t="str">
        <x:v>0.918797310705417</x:v>
      </x:c>
      <x:c r="AV353" s="6" t="str">
        <x:v>1.2826294341977986</x:v>
      </x:c>
      <x:c r="AW353" s="6" t="str">
        <x:v>-0.272703966093008</x:v>
      </x:c>
      <x:c r="AX353" s="6" t="str">
        <x:v>0.6429075929367362</x:v>
      </x:c>
      <x:c r="AY353" s="6" t="str">
        <x:v>0</x:v>
      </x:c>
      <x:c r="AZ353" s="6" t="str">
        <x:v>0</x:v>
      </x:c>
      <x:c r="BA353" s="9" t="str">
        <x:v>grid_cells_within_BIG_polygon</x:v>
      </x:c>
      <x:c r="BB353" s="6" t="str">
        <x:v>16</x:v>
      </x:c>
      <x:c r="BC353" s="6" t="str">
        <x:v>10</x:v>
      </x:c>
      <x:c r="BD353" s="6" t="str">
        <x:v>10</x:v>
      </x:c>
      <x:c r="BE353" s="6" t="str">
        <x:v>5</x:v>
      </x:c>
      <x:c r="BF353" s="6" t="str">
        <x:v>2</x:v>
      </x:c>
      <x:c r="BG353" s="6" t="str">
        <x:v>3</x:v>
      </x:c>
      <x:c r="BH353" s="6" t="str">
        <x:v>0</x:v>
      </x:c>
      <x:c r="BI353" s="6" t="str">
        <x:v>0</x:v>
      </x:c>
      <x:c r="BJ353" s="6" t="str">
        <x:v>0</x:v>
      </x:c>
      <x:c r="BK353" s="6" t="str">
        <x:v>0</x:v>
      </x:c>
      <x:c r="BL353" s="6" t="str">
        <x:v>0</x:v>
      </x:c>
      <x:c r="BM353" s="6" t="str">
        <x:v>0</x:v>
      </x:c>
      <x:c r="BN353" s="6" t="str">
        <x:v>10</x:v>
      </x:c>
      <x:c r="BO353" s="6" t="str">
        <x:v>10.0</x:v>
      </x:c>
      <x:c r="BP353" s="6" t="str">
        <x:v>10</x:v>
      </x:c>
      <x:c r="BQ353" s="6" t="str">
        <x:v>4.0</x:v>
      </x:c>
      <x:c r="BR353" s="6" t="str">
        <x:v>10</x:v>
      </x:c>
      <x:c r="BS353" s="6" t="str">
        <x:v>57.0</x:v>
      </x:c>
      <x:c r="BT353" s="6" t="str">
        <x:v>10</x:v>
      </x:c>
      <x:c r="BU353" s="6" t="str">
        <x:v>1596.0</x:v>
      </x:c>
      <x:c r="BV353" s="6" t="str">
        <x:v>4</x:v>
      </x:c>
      <x:c r="BW353" s="9" t="str">
        <x:v>operational_snapshot_annual_totals_may_differ</x:v>
      </x:c>
      <x:c r="BX353" s="9" t="str">
        <x:v>official_live_dashboard_snapshot_subject_to_revision</x:v>
      </x:c>
      <x:c r="BY353" s="9" t="str">
        <x:v>https://tbdashboard.sitb.id/ss_data_tbc03so_2025_provinsi_bulanan_list.php</x:v>
      </x:c>
      <x:c r="BZ353" s="6" t="n">
        <x:v>46246.610671296294</x:v>
      </x:c>
    </x:row>
    <x:row r="354" ht="18" customHeight="1">
      <x:c r="A354" s="6" t="str">
        <x:v>35</x:v>
      </x:c>
      <x:c r="B354" s="6" t="str">
        <x:v>JAWA TIMUR</x:v>
      </x:c>
      <x:c r="C354" s="6" t="str">
        <x:v>2025</x:v>
      </x:c>
      <x:c r="D354" s="6" t="str">
        <x:v>5</x:v>
      </x:c>
      <x:c r="E354" s="6" t="str">
        <x:v>2025-05</x:v>
      </x:c>
      <x:c r="F354" s="6" t="str">
        <x:v>6723</x:v>
      </x:c>
      <x:c r="G354" s="6" t="str">
        <x:v>2210</x:v>
      </x:c>
      <x:c r="H354" s="6" t="str">
        <x:v>3527</x:v>
      </x:c>
      <x:c r="I354" s="6" t="str">
        <x:v>322</x:v>
      </x:c>
      <x:c r="J354" s="6" t="str">
        <x:v>369</x:v>
      </x:c>
      <x:c r="K354" s="6" t="str">
        <x:v>23</x:v>
      </x:c>
      <x:c r="L354" s="6" t="str">
        <x:v>4</x:v>
      </x:c>
      <x:c r="M354" s="6" t="str">
        <x:v>268</x:v>
      </x:c>
      <x:c r="N354" s="6" t="str">
        <x:v>6723</x:v>
      </x:c>
      <x:c r="O354" s="6" t="str">
        <x:v>0</x:v>
      </x:c>
      <x:c r="P354" s="10" t="n">
        <x:f>F354-M354</x:f>
        <x:v>6455</x:v>
      </x:c>
      <x:c r="Q354" s="11" t="n">
        <x:f>IFERROR(M354/F354,"")</x:f>
        <x:v>0.03986315632901978</x:v>
      </x:c>
      <x:c r="R354" s="10" t="n">
        <x:f>G354+H354</x:f>
        <x:v>5737</x:v>
      </x:c>
      <x:c r="S354" s="11" t="n">
        <x:f>IFERROR(R354/F354,"")</x:f>
        <x:v>0.8533392830581585</x:v>
      </x:c>
      <x:c r="T354" s="11" t="n">
        <x:f>IFERROR(R354/P354,"")</x:f>
        <x:v>0.8887683965917893</x:v>
      </x:c>
      <x:c r="U354" s="10" t="n">
        <x:f>I354+J354+K354</x:f>
        <x:v>714</x:v>
      </x:c>
      <x:c r="V354" s="11" t="n">
        <x:f>IFERROR(U354/P354,"")</x:f>
        <x:v>0.11061192873741287</x:v>
      </x:c>
      <x:c r="W354" s="9" t="str">
        <x:v>mature_le_5pct_pending</x:v>
      </x:c>
      <x:c r="X354" s="12" t="n">
        <x:f>IFERROR(F354/Z354*100000,"")</x:f>
        <x:v>15.973180832183003</x:v>
      </x:c>
      <x:c r="Y354" s="13" t="n">
        <x:f>LN(Z354)</x:f>
        <x:v>17.55530410957971</x:v>
      </x:c>
      <x:c r="Z354" s="6" t="str">
        <x:v>42089300</x:v>
      </x:c>
      <x:c r="AA354" s="6" t="str">
        <x:v>876.0</x:v>
      </x:c>
      <x:c r="AB354" s="9" t="str">
        <x:v>2025-06-30</x:v>
      </x:c>
      <x:c r="AC354" s="8" t="str">
        <x:v>88.26</x:v>
      </x:c>
      <x:c r="AD354" s="9" t="str">
        <x:v>2025 (Susenas)</x:v>
      </x:c>
      <x:c r="AE354" s="8" t="str">
        <x:v>9.5</x:v>
      </x:c>
      <x:c r="AF354" s="9" t="str">
        <x:v>Maret 2025 (Susenas)</x:v>
      </x:c>
      <x:c r="AG354" s="6" t="str">
        <x:v>26.499704988390267</x:v>
      </x:c>
      <x:c r="AH354" s="8" t="str">
        <x:v>86.58225333461324</x:v>
      </x:c>
      <x:c r="AI354" s="6" t="str">
        <x:v>299.21298312880657</x:v>
      </x:c>
      <x:c r="AJ354" s="6" t="str">
        <x:v>0.5667599681317341</x:v>
      </x:c>
      <x:c r="AK354" s="8" t="str">
        <x:v>1.2262814837409444</x:v>
      </x:c>
      <x:c r="AL354" s="6" t="str">
        <x:v>0.4362824912158821</x:v>
      </x:c>
      <x:c r="AM354" s="6" t="str">
        <x:v>1.1830608971321863</x:v>
      </x:c>
      <x:c r="AN354" s="6" t="str">
        <x:v>0.9485416240296712</x:v>
      </x:c>
      <x:c r="AO354" s="6" t="str">
        <x:v>2.9283175028915167</x:v>
      </x:c>
      <x:c r="AP354" s="8" t="str">
        <x:v>1.8450604575093388</x:v>
      </x:c>
      <x:c r="AQ354" s="6" t="str">
        <x:v>-1.5672590004382665</x:v>
      </x:c>
      <x:c r="AR354" s="6" t="str">
        <x:v>0.2502668010624143</x:v>
      </x:c>
      <x:c r="AS354" s="6" t="str">
        <x:v>0.1760227527111621</x:v>
      </x:c>
      <x:c r="AT354" s="6" t="str">
        <x:v>200.5266865359012</x:v>
      </x:c>
      <x:c r="AU354" s="8" t="str">
        <x:v>3.144461479623577</x:v>
      </x:c>
      <x:c r="AV354" s="6" t="str">
        <x:v>0.918797310705417</x:v>
      </x:c>
      <x:c r="AW354" s="6" t="str">
        <x:v>1.2826294341977986</x:v>
      </x:c>
      <x:c r="AX354" s="6" t="str">
        <x:v>1.7819627415089314</x:v>
      </x:c>
      <x:c r="AY354" s="6" t="str">
        <x:v>1</x:v>
      </x:c>
      <x:c r="AZ354" s="6" t="str">
        <x:v>1</x:v>
      </x:c>
      <x:c r="BA354" s="9" t="str">
        <x:v>grid_cells_within_BIG_polygon</x:v>
      </x:c>
      <x:c r="BB354" s="6" t="str">
        <x:v>16</x:v>
      </x:c>
      <x:c r="BC354" s="6" t="str">
        <x:v>34</x:v>
      </x:c>
      <x:c r="BD354" s="6" t="str">
        <x:v>34</x:v>
      </x:c>
      <x:c r="BE354" s="6" t="str">
        <x:v>29</x:v>
      </x:c>
      <x:c r="BF354" s="6" t="str">
        <x:v>2</x:v>
      </x:c>
      <x:c r="BG354" s="6" t="str">
        <x:v>3</x:v>
      </x:c>
      <x:c r="BH354" s="6" t="str">
        <x:v>0</x:v>
      </x:c>
      <x:c r="BI354" s="6" t="str">
        <x:v>0</x:v>
      </x:c>
      <x:c r="BJ354" s="6" t="str">
        <x:v>0</x:v>
      </x:c>
      <x:c r="BK354" s="6" t="str">
        <x:v>0</x:v>
      </x:c>
      <x:c r="BL354" s="6" t="str">
        <x:v>0</x:v>
      </x:c>
      <x:c r="BM354" s="6" t="str">
        <x:v>0</x:v>
      </x:c>
      <x:c r="BN354" s="6" t="str">
        <x:v>34</x:v>
      </x:c>
      <x:c r="BO354" s="6" t="str">
        <x:v>10.0</x:v>
      </x:c>
      <x:c r="BP354" s="6" t="str">
        <x:v>34</x:v>
      </x:c>
      <x:c r="BQ354" s="6" t="str">
        <x:v>1.0</x:v>
      </x:c>
      <x:c r="BR354" s="6" t="str">
        <x:v>34</x:v>
      </x:c>
      <x:c r="BS354" s="6" t="str">
        <x:v>108.0</x:v>
      </x:c>
      <x:c r="BT354" s="6" t="str">
        <x:v>34</x:v>
      </x:c>
      <x:c r="BU354" s="6" t="str">
        <x:v>8344.0</x:v>
      </x:c>
      <x:c r="BV354" s="6" t="str">
        <x:v>25</x:v>
      </x:c>
      <x:c r="BW354" s="9" t="str">
        <x:v>operational_snapshot_annual_totals_may_differ</x:v>
      </x:c>
      <x:c r="BX354" s="9" t="str">
        <x:v>official_live_dashboard_snapshot_subject_to_revision</x:v>
      </x:c>
      <x:c r="BY354" s="9" t="str">
        <x:v>https://tbdashboard.sitb.id/ss_data_tbc03so_2025_provinsi_bulanan_list.php</x:v>
      </x:c>
      <x:c r="BZ354" s="6" t="n">
        <x:v>46246.610671296294</x:v>
      </x:c>
    </x:row>
    <x:row r="355" ht="18" customHeight="1">
      <x:c r="A355" s="6" t="str">
        <x:v>35</x:v>
      </x:c>
      <x:c r="B355" s="6" t="str">
        <x:v>JAWA TIMUR</x:v>
      </x:c>
      <x:c r="C355" s="6" t="str">
        <x:v>2025</x:v>
      </x:c>
      <x:c r="D355" s="6" t="str">
        <x:v>6</x:v>
      </x:c>
      <x:c r="E355" s="6" t="str">
        <x:v>2025-06</x:v>
      </x:c>
      <x:c r="F355" s="6" t="str">
        <x:v>6381</x:v>
      </x:c>
      <x:c r="G355" s="6" t="str">
        <x:v>2101</x:v>
      </x:c>
      <x:c r="H355" s="6" t="str">
        <x:v>3251</x:v>
      </x:c>
      <x:c r="I355" s="6" t="str">
        <x:v>326</x:v>
      </x:c>
      <x:c r="J355" s="6" t="str">
        <x:v>331</x:v>
      </x:c>
      <x:c r="K355" s="6" t="str">
        <x:v>27</x:v>
      </x:c>
      <x:c r="L355" s="6" t="str">
        <x:v>8</x:v>
      </x:c>
      <x:c r="M355" s="6" t="str">
        <x:v>337</x:v>
      </x:c>
      <x:c r="N355" s="6" t="str">
        <x:v>6381</x:v>
      </x:c>
      <x:c r="O355" s="6" t="str">
        <x:v>0</x:v>
      </x:c>
      <x:c r="P355" s="10" t="n">
        <x:f>F355-M355</x:f>
        <x:v>6044</x:v>
      </x:c>
      <x:c r="Q355" s="11" t="n">
        <x:f>IFERROR(M355/F355,"")</x:f>
        <x:v>0.052813038708666354</x:v>
      </x:c>
      <x:c r="R355" s="10" t="n">
        <x:f>G355+H355</x:f>
        <x:v>5352</x:v>
      </x:c>
      <x:c r="S355" s="11" t="n">
        <x:f>IFERROR(R355/F355,"")</x:f>
        <x:v>0.8387400094029149</x:v>
      </x:c>
      <x:c r="T355" s="11" t="n">
        <x:f>IFERROR(R355/P355,"")</x:f>
        <x:v>0.885506287227002</x:v>
      </x:c>
      <x:c r="U355" s="10" t="n">
        <x:f>I355+J355+K355</x:f>
        <x:v>684</x:v>
      </x:c>
      <x:c r="V355" s="11" t="n">
        <x:f>IFERROR(U355/P355,"")</x:f>
        <x:v>0.11317008603573792</x:v>
      </x:c>
      <x:c r="W355" s="9" t="str">
        <x:v>provisional_gt_5pct_pending</x:v>
      </x:c>
      <x:c r="X355" s="12" t="n">
        <x:f>IFERROR(F355/Z355*100000,"")</x:f>
        <x:v>15.160622771108097</x:v>
      </x:c>
      <x:c r="Y355" s="13" t="n">
        <x:f>LN(Z355)</x:f>
        <x:v>17.55530410957971</x:v>
      </x:c>
      <x:c r="Z355" s="6" t="str">
        <x:v>42089300</x:v>
      </x:c>
      <x:c r="AA355" s="6" t="str">
        <x:v>876.0</x:v>
      </x:c>
      <x:c r="AB355" s="9" t="str">
        <x:v>2025-06-30</x:v>
      </x:c>
      <x:c r="AC355" s="8" t="str">
        <x:v>88.26</x:v>
      </x:c>
      <x:c r="AD355" s="9" t="str">
        <x:v>2025 (Susenas)</x:v>
      </x:c>
      <x:c r="AE355" s="8" t="str">
        <x:v>9.5</x:v>
      </x:c>
      <x:c r="AF355" s="9" t="str">
        <x:v>Maret 2025 (Susenas)</x:v>
      </x:c>
      <x:c r="AG355" s="6" t="str">
        <x:v>25.952466427611768</x:v>
      </x:c>
      <x:c r="AH355" s="8" t="str">
        <x:v>84.52162565762153</x:v>
      </x:c>
      <x:c r="AI355" s="6" t="str">
        <x:v>68.99887988510376</x:v>
      </x:c>
      <x:c r="AJ355" s="6" t="str">
        <x:v>0.5275811440386136</x:v>
      </x:c>
      <x:c r="AK355" s="8" t="str">
        <x:v>1.1190829748068805</x:v>
      </x:c>
      <x:c r="AL355" s="6" t="str">
        <x:v>1.2262814837409444</x:v>
      </x:c>
      <x:c r="AM355" s="6" t="str">
        <x:v>0.4362824912158821</x:v>
      </x:c>
      <x:c r="AN355" s="6" t="str">
        <x:v>0.927215649921236</x:v>
      </x:c>
      <x:c r="AO355" s="6" t="str">
        <x:v>2.6359539757873023</x:v>
      </x:c>
      <x:c r="AP355" s="8" t="str">
        <x:v>0.9308062818385568</x:v>
      </x:c>
      <x:c r="AQ355" s="6" t="str">
        <x:v>1.8450604575093388</x:v>
      </x:c>
      <x:c r="AR355" s="6" t="str">
        <x:v>-1.5672590004382665</x:v>
      </x:c>
      <x:c r="AS355" s="6" t="str">
        <x:v>0.4028692463032096</x:v>
      </x:c>
      <x:c r="AT355" s="6" t="str">
        <x:v>4.058755216532092</x:v>
      </x:c>
      <x:c r="AU355" s="8" t="str">
        <x:v>0.0761824839965217</x:v>
      </x:c>
      <x:c r="AV355" s="6" t="str">
        <x:v>3.144461479623577</x:v>
      </x:c>
      <x:c r="AW355" s="6" t="str">
        <x:v>0.918797310705417</x:v>
      </x:c>
      <x:c r="AX355" s="6" t="str">
        <x:v>1.379813758108506</x:v>
      </x:c>
      <x:c r="AY355" s="6" t="str">
        <x:v>0</x:v>
      </x:c>
      <x:c r="AZ355" s="6" t="str">
        <x:v>1</x:v>
      </x:c>
      <x:c r="BA355" s="9" t="str">
        <x:v>grid_cells_within_BIG_polygon</x:v>
      </x:c>
      <x:c r="BB355" s="6" t="str">
        <x:v>16</x:v>
      </x:c>
      <x:c r="BC355" s="6" t="str">
        <x:v>9</x:v>
      </x:c>
      <x:c r="BD355" s="6" t="str">
        <x:v>9</x:v>
      </x:c>
      <x:c r="BE355" s="6" t="str">
        <x:v>5</x:v>
      </x:c>
      <x:c r="BF355" s="6" t="str">
        <x:v>1</x:v>
      </x:c>
      <x:c r="BG355" s="6" t="str">
        <x:v>3</x:v>
      </x:c>
      <x:c r="BH355" s="6" t="str">
        <x:v>0</x:v>
      </x:c>
      <x:c r="BI355" s="6" t="str">
        <x:v>0</x:v>
      </x:c>
      <x:c r="BJ355" s="6" t="str">
        <x:v>0</x:v>
      </x:c>
      <x:c r="BK355" s="6" t="str">
        <x:v>0</x:v>
      </x:c>
      <x:c r="BL355" s="6" t="str">
        <x:v>0</x:v>
      </x:c>
      <x:c r="BM355" s="6" t="str">
        <x:v>0</x:v>
      </x:c>
      <x:c r="BN355" s="6" t="str">
        <x:v>9</x:v>
      </x:c>
      <x:c r="BO355" s="6" t="str">
        <x:v>1.0</x:v>
      </x:c>
      <x:c r="BP355" s="6" t="str">
        <x:v>1</x:v>
      </x:c>
      <x:c r="BQ355" s="6" t="str"/>
      <x:c r="BR355" s="6" t="str">
        <x:v>0</x:v>
      </x:c>
      <x:c r="BS355" s="6" t="str">
        <x:v>26.0</x:v>
      </x:c>
      <x:c r="BT355" s="6" t="str">
        <x:v>9</x:v>
      </x:c>
      <x:c r="BU355" s="6" t="str">
        <x:v>6663.0</x:v>
      </x:c>
      <x:c r="BV355" s="6" t="str">
        <x:v>5</x:v>
      </x:c>
      <x:c r="BW355" s="9" t="str">
        <x:v>operational_snapshot_annual_totals_may_differ</x:v>
      </x:c>
      <x:c r="BX355" s="9" t="str">
        <x:v>official_live_dashboard_snapshot_subject_to_revision</x:v>
      </x:c>
      <x:c r="BY355" s="9" t="str">
        <x:v>https://tbdashboard.sitb.id/ss_data_tbc03so_2025_provinsi_bulanan_list.php</x:v>
      </x:c>
      <x:c r="BZ355" s="6" t="n">
        <x:v>46246.610671296294</x:v>
      </x:c>
    </x:row>
    <x:row r="356" ht="18" customHeight="1">
      <x:c r="A356" s="6" t="str">
        <x:v>35</x:v>
      </x:c>
      <x:c r="B356" s="6" t="str">
        <x:v>JAWA TIMUR</x:v>
      </x:c>
      <x:c r="C356" s="6" t="str">
        <x:v>2025</x:v>
      </x:c>
      <x:c r="D356" s="6" t="str">
        <x:v>7</x:v>
      </x:c>
      <x:c r="E356" s="6" t="str">
        <x:v>2025-07</x:v>
      </x:c>
      <x:c r="F356" s="6" t="str">
        <x:v>7309</x:v>
      </x:c>
      <x:c r="G356" s="6" t="str">
        <x:v>2269</x:v>
      </x:c>
      <x:c r="H356" s="6" t="str">
        <x:v>3806</x:v>
      </x:c>
      <x:c r="I356" s="6" t="str">
        <x:v>367</x:v>
      </x:c>
      <x:c r="J356" s="6" t="str">
        <x:v>408</x:v>
      </x:c>
      <x:c r="K356" s="6" t="str">
        <x:v>20</x:v>
      </x:c>
      <x:c r="L356" s="6" t="str">
        <x:v>4</x:v>
      </x:c>
      <x:c r="M356" s="6" t="str">
        <x:v>435</x:v>
      </x:c>
      <x:c r="N356" s="6" t="str">
        <x:v>7309</x:v>
      </x:c>
      <x:c r="O356" s="6" t="str">
        <x:v>0</x:v>
      </x:c>
      <x:c r="P356" s="10" t="n">
        <x:f>F356-M356</x:f>
        <x:v>6874</x:v>
      </x:c>
      <x:c r="Q356" s="11" t="n">
        <x:f>IFERROR(M356/F356,"")</x:f>
        <x:v>0.05951566561773156</x:v>
      </x:c>
      <x:c r="R356" s="10" t="n">
        <x:f>G356+H356</x:f>
        <x:v>6075</x:v>
      </x:c>
      <x:c r="S356" s="11" t="n">
        <x:f>IFERROR(R356/F356,"")</x:f>
        <x:v>0.831167054316596</x:v>
      </x:c>
      <x:c r="T356" s="11" t="n">
        <x:f>IFERROR(R356/P356,"")</x:f>
        <x:v>0.8837649112598196</x:v>
      </x:c>
      <x:c r="U356" s="10" t="n">
        <x:f>I356+J356+K356</x:f>
        <x:v>795</x:v>
      </x:c>
      <x:c r="V356" s="11" t="n">
        <x:f>IFERROR(U356/P356,"")</x:f>
        <x:v>0.1156531859179517</x:v>
      </x:c>
      <x:c r="W356" s="9" t="str">
        <x:v>provisional_gt_5pct_pending</x:v>
      </x:c>
      <x:c r="X356" s="12" t="n">
        <x:f>IFERROR(F356/Z356*100000,"")</x:f>
        <x:v>17.365458679521872</x:v>
      </x:c>
      <x:c r="Y356" s="13" t="n">
        <x:f>LN(Z356)</x:f>
        <x:v>17.55530410957971</x:v>
      </x:c>
      <x:c r="Z356" s="6" t="str">
        <x:v>42089300</x:v>
      </x:c>
      <x:c r="AA356" s="6" t="str">
        <x:v>876.0</x:v>
      </x:c>
      <x:c r="AB356" s="9" t="str">
        <x:v>2025-06-30</x:v>
      </x:c>
      <x:c r="AC356" s="8" t="str">
        <x:v>88.26</x:v>
      </x:c>
      <x:c r="AD356" s="9" t="str">
        <x:v>2025 (Susenas)</x:v>
      </x:c>
      <x:c r="AE356" s="8" t="str">
        <x:v>9.5</x:v>
      </x:c>
      <x:c r="AF356" s="9" t="str">
        <x:v>Maret 2025 (Susenas)</x:v>
      </x:c>
      <x:c r="AG356" s="6" t="str">
        <x:v>25.16542128556975</x:v>
      </x:c>
      <x:c r="AH356" s="8" t="str">
        <x:v>83.11123393721341</x:v>
      </x:c>
      <x:c r="AI356" s="6" t="str">
        <x:v>36.8368084349927</x:v>
      </x:c>
      <x:c r="AJ356" s="6" t="str">
        <x:v>0.0629526811486833</x:v>
      </x:c>
      <x:c r="AK356" s="8" t="str">
        <x:v>0.152554761280464</x:v>
      </x:c>
      <x:c r="AL356" s="6" t="str">
        <x:v>1.1190829748068805</x:v>
      </x:c>
      <x:c r="AM356" s="6" t="str">
        <x:v>1.2262814837409444</x:v>
      </x:c>
      <x:c r="AN356" s="6" t="str">
        <x:v>0.8326397399427633</x:v>
      </x:c>
      <x:c r="AO356" s="6" t="str">
        <x:v>5.4019193481884855</x:v>
      </x:c>
      <x:c r="AP356" s="8" t="str">
        <x:v>1.2880719336679032</x:v>
      </x:c>
      <x:c r="AQ356" s="6" t="str">
        <x:v>0.9308062818385568</x:v>
      </x:c>
      <x:c r="AR356" s="6" t="str">
        <x:v>1.8450604575093388</x:v>
      </x:c>
      <x:c r="AS356" s="6" t="str">
        <x:v>1.3546462243385993</x:v>
      </x:c>
      <x:c r="AT356" s="6" t="str">
        <x:v>2.786454199446929</x:v>
      </x:c>
      <x:c r="AU356" s="8" t="str">
        <x:v>0.0714678358518196</x:v>
      </x:c>
      <x:c r="AV356" s="6" t="str">
        <x:v>0.0761824839965217</x:v>
      </x:c>
      <x:c r="AW356" s="6" t="str">
        <x:v>3.144461479623577</x:v>
      </x:c>
      <x:c r="AX356" s="6" t="str">
        <x:v>1.0973705998239731</x:v>
      </x:c>
      <x:c r="AY356" s="6" t="str">
        <x:v>0</x:v>
      </x:c>
      <x:c r="AZ356" s="6" t="str">
        <x:v>0</x:v>
      </x:c>
      <x:c r="BA356" s="9" t="str">
        <x:v>grid_cells_within_BIG_polygon</x:v>
      </x:c>
      <x:c r="BB356" s="6" t="str">
        <x:v>16</x:v>
      </x:c>
      <x:c r="BC356" s="6" t="str">
        <x:v>5</x:v>
      </x:c>
      <x:c r="BD356" s="6" t="str">
        <x:v>4</x:v>
      </x:c>
      <x:c r="BE356" s="6" t="str">
        <x:v>0</x:v>
      </x:c>
      <x:c r="BF356" s="6" t="str">
        <x:v>0</x:v>
      </x:c>
      <x:c r="BG356" s="6" t="str">
        <x:v>0</x:v>
      </x:c>
      <x:c r="BH356" s="6" t="str">
        <x:v>0</x:v>
      </x:c>
      <x:c r="BI356" s="6" t="str">
        <x:v>4</x:v>
      </x:c>
      <x:c r="BJ356" s="6" t="str">
        <x:v>0</x:v>
      </x:c>
      <x:c r="BK356" s="6" t="str">
        <x:v>1</x:v>
      </x:c>
      <x:c r="BL356" s="6" t="str">
        <x:v>0</x:v>
      </x:c>
      <x:c r="BM356" s="6" t="str">
        <x:v>0</x:v>
      </x:c>
      <x:c r="BN356" s="6" t="str">
        <x:v>5</x:v>
      </x:c>
      <x:c r="BO356" s="6" t="str"/>
      <x:c r="BP356" s="6" t="str">
        <x:v>0</x:v>
      </x:c>
      <x:c r="BQ356" s="6" t="str"/>
      <x:c r="BR356" s="6" t="str">
        <x:v>0</x:v>
      </x:c>
      <x:c r="BS356" s="6" t="str">
        <x:v>16.0</x:v>
      </x:c>
      <x:c r="BT356" s="6" t="str">
        <x:v>5</x:v>
      </x:c>
      <x:c r="BU356" s="6" t="str"/>
      <x:c r="BV356" s="6" t="str">
        <x:v>0</x:v>
      </x:c>
      <x:c r="BW356" s="9" t="str">
        <x:v>operational_snapshot_annual_totals_may_differ</x:v>
      </x:c>
      <x:c r="BX356" s="9" t="str">
        <x:v>official_live_dashboard_snapshot_subject_to_revision</x:v>
      </x:c>
      <x:c r="BY356" s="9" t="str">
        <x:v>https://tbdashboard.sitb.id/ss_data_tbc03so_2025_provinsi_bulanan_list.php</x:v>
      </x:c>
      <x:c r="BZ356" s="6" t="n">
        <x:v>46246.610671296294</x:v>
      </x:c>
    </x:row>
    <x:row r="357" ht="18" customHeight="1">
      <x:c r="A357" s="6" t="str">
        <x:v>35</x:v>
      </x:c>
      <x:c r="B357" s="6" t="str">
        <x:v>JAWA TIMUR</x:v>
      </x:c>
      <x:c r="C357" s="6" t="str">
        <x:v>2025</x:v>
      </x:c>
      <x:c r="D357" s="6" t="str">
        <x:v>8</x:v>
      </x:c>
      <x:c r="E357" s="6" t="str">
        <x:v>2025-08</x:v>
      </x:c>
      <x:c r="F357" s="6" t="str">
        <x:v>6789</x:v>
      </x:c>
      <x:c r="G357" s="6" t="str">
        <x:v>1993</x:v>
      </x:c>
      <x:c r="H357" s="6" t="str">
        <x:v>3514</x:v>
      </x:c>
      <x:c r="I357" s="6" t="str">
        <x:v>351</x:v>
      </x:c>
      <x:c r="J357" s="6" t="str">
        <x:v>373</x:v>
      </x:c>
      <x:c r="K357" s="6" t="str">
        <x:v>18</x:v>
      </x:c>
      <x:c r="L357" s="6" t="str">
        <x:v>7</x:v>
      </x:c>
      <x:c r="M357" s="6" t="str">
        <x:v>533</x:v>
      </x:c>
      <x:c r="N357" s="6" t="str">
        <x:v>6789</x:v>
      </x:c>
      <x:c r="O357" s="6" t="str">
        <x:v>0</x:v>
      </x:c>
      <x:c r="P357" s="10" t="n">
        <x:f>F357-M357</x:f>
        <x:v>6256</x:v>
      </x:c>
      <x:c r="Q357" s="11" t="n">
        <x:f>IFERROR(M357/F357,"")</x:f>
        <x:v>0.0785093533657387</x:v>
      </x:c>
      <x:c r="R357" s="10" t="n">
        <x:f>G357+H357</x:f>
        <x:v>5507</x:v>
      </x:c>
      <x:c r="S357" s="11" t="n">
        <x:f>IFERROR(R357/F357,"")</x:f>
        <x:v>0.811165120047135</x:v>
      </x:c>
      <x:c r="T357" s="11" t="n">
        <x:f>IFERROR(R357/P357,"")</x:f>
        <x:v>0.8802749360613811</x:v>
      </x:c>
      <x:c r="U357" s="10" t="n">
        <x:f>I357+J357+K357</x:f>
        <x:v>742</x:v>
      </x:c>
      <x:c r="V357" s="11" t="n">
        <x:f>IFERROR(U357/P357,"")</x:f>
        <x:v>0.11860613810741688</x:v>
      </x:c>
      <x:c r="W357" s="9" t="str">
        <x:v>provisional_gt_5pct_pending</x:v>
      </x:c>
      <x:c r="X357" s="12" t="n">
        <x:f>IFERROR(F357/Z357*100000,"")</x:f>
        <x:v>16.129990282565878</x:v>
      </x:c>
      <x:c r="Y357" s="13" t="n">
        <x:f>LN(Z357)</x:f>
        <x:v>17.55530410957971</x:v>
      </x:c>
      <x:c r="Z357" s="6" t="str">
        <x:v>42089300</x:v>
      </x:c>
      <x:c r="AA357" s="6" t="str">
        <x:v>876.0</x:v>
      </x:c>
      <x:c r="AB357" s="9" t="str">
        <x:v>2025-06-30</x:v>
      </x:c>
      <x:c r="AC357" s="8" t="str">
        <x:v>88.26</x:v>
      </x:c>
      <x:c r="AD357" s="9" t="str">
        <x:v>2025 (Susenas)</x:v>
      </x:c>
      <x:c r="AE357" s="8" t="str">
        <x:v>9.5</x:v>
      </x:c>
      <x:c r="AF357" s="9" t="str">
        <x:v>Maret 2025 (Susenas)</x:v>
      </x:c>
      <x:c r="AG357" s="6" t="str">
        <x:v>25.979741656653864</x:v>
      </x:c>
      <x:c r="AH357" s="8" t="str">
        <x:v>78.08309045281243</x:v>
      </x:c>
      <x:c r="AI357" s="6" t="str">
        <x:v>36.06051355151857</x:v>
      </x:c>
      <x:c r="AJ357" s="6" t="str">
        <x:v>0.4113582263684314</x:v>
      </x:c>
      <x:c r="AK357" s="8" t="str">
        <x:v>1.0875418206711265</x:v>
      </x:c>
      <x:c r="AL357" s="6" t="str">
        <x:v>0.152554761280464</x:v>
      </x:c>
      <x:c r="AM357" s="6" t="str">
        <x:v>1.1190829748068805</x:v>
      </x:c>
      <x:c r="AN357" s="6" t="str">
        <x:v>0.7863931855861573</x:v>
      </x:c>
      <x:c r="AO357" s="6" t="str">
        <x:v>5.76824707397283</x:v>
      </x:c>
      <x:c r="AP357" s="8" t="str">
        <x:v>1.3762842137023577</x:v>
      </x:c>
      <x:c r="AQ357" s="6" t="str">
        <x:v>1.2880719336679032</x:v>
      </x:c>
      <x:c r="AR357" s="6" t="str">
        <x:v>0.9308062818385568</x:v>
      </x:c>
      <x:c r="AS357" s="6" t="str">
        <x:v>1.198387476402939</x:v>
      </x:c>
      <x:c r="AT357" s="6" t="str">
        <x:v>16.849215675859448</x:v>
      </x:c>
      <x:c r="AU357" s="8" t="str">
        <x:v>0.7729077149086491</x:v>
      </x:c>
      <x:c r="AV357" s="6" t="str">
        <x:v>0.0714678358518196</x:v>
      </x:c>
      <x:c r="AW357" s="6" t="str">
        <x:v>0.0761824839965217</x:v>
      </x:c>
      <x:c r="AX357" s="6" t="str">
        <x:v>0.3068526782523304</x:v>
      </x:c>
      <x:c r="AY357" s="6" t="str">
        <x:v>0</x:v>
      </x:c>
      <x:c r="AZ357" s="6" t="str">
        <x:v>1</x:v>
      </x:c>
      <x:c r="BA357" s="9" t="str">
        <x:v>grid_cells_within_BIG_polygon</x:v>
      </x:c>
      <x:c r="BB357" s="6" t="str">
        <x:v>16</x:v>
      </x:c>
      <x:c r="BC357" s="6" t="str">
        <x:v>11</x:v>
      </x:c>
      <x:c r="BD357" s="6" t="str">
        <x:v>11</x:v>
      </x:c>
      <x:c r="BE357" s="6" t="str">
        <x:v>2</x:v>
      </x:c>
      <x:c r="BF357" s="6" t="str">
        <x:v>1</x:v>
      </x:c>
      <x:c r="BG357" s="6" t="str">
        <x:v>2</x:v>
      </x:c>
      <x:c r="BH357" s="6" t="str">
        <x:v>2</x:v>
      </x:c>
      <x:c r="BI357" s="6" t="str">
        <x:v>4</x:v>
      </x:c>
      <x:c r="BJ357" s="6" t="str">
        <x:v>0</x:v>
      </x:c>
      <x:c r="BK357" s="6" t="str">
        <x:v>0</x:v>
      </x:c>
      <x:c r="BL357" s="6" t="str">
        <x:v>0</x:v>
      </x:c>
      <x:c r="BM357" s="6" t="str">
        <x:v>0</x:v>
      </x:c>
      <x:c r="BN357" s="6" t="str">
        <x:v>11</x:v>
      </x:c>
      <x:c r="BO357" s="6" t="str"/>
      <x:c r="BP357" s="6" t="str">
        <x:v>0</x:v>
      </x:c>
      <x:c r="BQ357" s="6" t="str"/>
      <x:c r="BR357" s="6" t="str">
        <x:v>0</x:v>
      </x:c>
      <x:c r="BS357" s="6" t="str">
        <x:v>29.0</x:v>
      </x:c>
      <x:c r="BT357" s="6" t="str">
        <x:v>11</x:v>
      </x:c>
      <x:c r="BU357" s="6" t="str">
        <x:v>130.0</x:v>
      </x:c>
      <x:c r="BV357" s="6" t="str">
        <x:v>2</x:v>
      </x:c>
      <x:c r="BW357" s="9" t="str">
        <x:v>operational_snapshot_annual_totals_may_differ</x:v>
      </x:c>
      <x:c r="BX357" s="9" t="str">
        <x:v>official_live_dashboard_snapshot_subject_to_revision</x:v>
      </x:c>
      <x:c r="BY357" s="9" t="str">
        <x:v>https://tbdashboard.sitb.id/ss_data_tbc03so_2025_provinsi_bulanan_list.php</x:v>
      </x:c>
      <x:c r="BZ357" s="6" t="n">
        <x:v>46246.610671296294</x:v>
      </x:c>
    </x:row>
    <x:row r="358" ht="18" customHeight="1">
      <x:c r="A358" s="6" t="str">
        <x:v>35</x:v>
      </x:c>
      <x:c r="B358" s="6" t="str">
        <x:v>JAWA TIMUR</x:v>
      </x:c>
      <x:c r="C358" s="6" t="str">
        <x:v>2025</x:v>
      </x:c>
      <x:c r="D358" s="6" t="str">
        <x:v>9</x:v>
      </x:c>
      <x:c r="E358" s="6" t="str">
        <x:v>2025-09</x:v>
      </x:c>
      <x:c r="F358" s="6" t="str">
        <x:v>7465</x:v>
      </x:c>
      <x:c r="G358" s="6" t="str">
        <x:v>2162</x:v>
      </x:c>
      <x:c r="H358" s="6" t="str">
        <x:v>3777</x:v>
      </x:c>
      <x:c r="I358" s="6" t="str">
        <x:v>401</x:v>
      </x:c>
      <x:c r="J358" s="6" t="str">
        <x:v>393</x:v>
      </x:c>
      <x:c r="K358" s="6" t="str">
        <x:v>17</x:v>
      </x:c>
      <x:c r="L358" s="6" t="str">
        <x:v>12</x:v>
      </x:c>
      <x:c r="M358" s="6" t="str">
        <x:v>703</x:v>
      </x:c>
      <x:c r="N358" s="6" t="str">
        <x:v>7465</x:v>
      </x:c>
      <x:c r="O358" s="6" t="str">
        <x:v>0</x:v>
      </x:c>
      <x:c r="P358" s="10" t="n">
        <x:f>F358-M358</x:f>
        <x:v>6762</x:v>
      </x:c>
      <x:c r="Q358" s="11" t="n">
        <x:f>IFERROR(M358/F358,"")</x:f>
        <x:v>0.0941728064300067</x:v>
      </x:c>
      <x:c r="R358" s="10" t="n">
        <x:f>G358+H358</x:f>
        <x:v>5939</x:v>
      </x:c>
      <x:c r="S358" s="11" t="n">
        <x:f>IFERROR(R358/F358,"")</x:f>
        <x:v>0.7955793703951775</x:v>
      </x:c>
      <x:c r="T358" s="11" t="n">
        <x:f>IFERROR(R358/P358,"")</x:f>
        <x:v>0.878290446613428</x:v>
      </x:c>
      <x:c r="U358" s="10" t="n">
        <x:f>I358+J358+K358</x:f>
        <x:v>811</x:v>
      </x:c>
      <x:c r="V358" s="11" t="n">
        <x:f>IFERROR(U358/P358,"")</x:f>
        <x:v>0.1199349304939367</x:v>
      </x:c>
      <x:c r="W358" s="9" t="str">
        <x:v>provisional_gt_5pct_pending</x:v>
      </x:c>
      <x:c r="X358" s="12" t="n">
        <x:f>IFERROR(F358/Z358*100000,"")</x:f>
        <x:v>17.736099198608674</x:v>
      </x:c>
      <x:c r="Y358" s="13" t="n">
        <x:f>LN(Z358)</x:f>
        <x:v>17.55530410957971</x:v>
      </x:c>
      <x:c r="Z358" s="6" t="str">
        <x:v>42089300</x:v>
      </x:c>
      <x:c r="AA358" s="6" t="str">
        <x:v>876.0</x:v>
      </x:c>
      <x:c r="AB358" s="9" t="str">
        <x:v>2025-06-30</x:v>
      </x:c>
      <x:c r="AC358" s="8" t="str">
        <x:v>88.26</x:v>
      </x:c>
      <x:c r="AD358" s="9" t="str">
        <x:v>2025 (Susenas)</x:v>
      </x:c>
      <x:c r="AE358" s="8" t="str">
        <x:v>9.5</x:v>
      </x:c>
      <x:c r="AF358" s="9" t="str">
        <x:v>Maret 2025 (Susenas)</x:v>
      </x:c>
      <x:c r="AG358" s="6" t="str">
        <x:v>27.05978340912895</x:v>
      </x:c>
      <x:c r="AH358" s="8" t="str">
        <x:v>74.67328011397038</x:v>
      </x:c>
      <x:c r="AI358" s="6" t="str">
        <x:v>61.20991480593296</x:v>
      </x:c>
      <x:c r="AJ358" s="6" t="str">
        <x:v>0.3618399881057748</x:v>
      </x:c>
      <x:c r="AK358" s="8" t="str">
        <x:v>0.8230517812920429</x:v>
      </x:c>
      <x:c r="AL358" s="6" t="str">
        <x:v>1.0875418206711265</x:v>
      </x:c>
      <x:c r="AM358" s="6" t="str">
        <x:v>0.152554761280464</x:v>
      </x:c>
      <x:c r="AN358" s="6" t="str">
        <x:v>0.6877161210812114</x:v>
      </x:c>
      <x:c r="AO358" s="6" t="str">
        <x:v>6.161421715105533</x:v>
      </x:c>
      <x:c r="AP358" s="8" t="str">
        <x:v>1.35454969992012</x:v>
      </x:c>
      <x:c r="AQ358" s="6" t="str">
        <x:v>1.3762842137023577</x:v>
      </x:c>
      <x:c r="AR358" s="6" t="str">
        <x:v>1.2880719336679032</x:v>
      </x:c>
      <x:c r="AS358" s="6" t="str">
        <x:v>1.3396352824301268</x:v>
      </x:c>
      <x:c r="AT358" s="6" t="str">
        <x:v>35.46546160267947</x:v>
      </x:c>
      <x:c r="AU358" s="8" t="str">
        <x:v>0.8688127742585197</x:v>
      </x:c>
      <x:c r="AV358" s="6" t="str">
        <x:v>0.7729077149086491</x:v>
      </x:c>
      <x:c r="AW358" s="6" t="str">
        <x:v>0.0714678358518196</x:v>
      </x:c>
      <x:c r="AX358" s="6" t="str">
        <x:v>0.5710627750063297</x:v>
      </x:c>
      <x:c r="AY358" s="6" t="str">
        <x:v>0</x:v>
      </x:c>
      <x:c r="AZ358" s="6" t="str">
        <x:v>0</x:v>
      </x:c>
      <x:c r="BA358" s="9" t="str">
        <x:v>grid_cells_within_BIG_polygon</x:v>
      </x:c>
      <x:c r="BB358" s="6" t="str">
        <x:v>16</x:v>
      </x:c>
      <x:c r="BC358" s="6" t="str">
        <x:v>23</x:v>
      </x:c>
      <x:c r="BD358" s="6" t="str">
        <x:v>16</x:v>
      </x:c>
      <x:c r="BE358" s="6" t="str">
        <x:v>1</x:v>
      </x:c>
      <x:c r="BF358" s="6" t="str">
        <x:v>1</x:v>
      </x:c>
      <x:c r="BG358" s="6" t="str">
        <x:v>7</x:v>
      </x:c>
      <x:c r="BH358" s="6" t="str">
        <x:v>0</x:v>
      </x:c>
      <x:c r="BI358" s="6" t="str">
        <x:v>7</x:v>
      </x:c>
      <x:c r="BJ358" s="6" t="str">
        <x:v>0</x:v>
      </x:c>
      <x:c r="BK358" s="6" t="str">
        <x:v>7</x:v>
      </x:c>
      <x:c r="BL358" s="6" t="str">
        <x:v>0</x:v>
      </x:c>
      <x:c r="BM358" s="6" t="str">
        <x:v>0</x:v>
      </x:c>
      <x:c r="BN358" s="6" t="str">
        <x:v>23</x:v>
      </x:c>
      <x:c r="BO358" s="6" t="str">
        <x:v>1.0</x:v>
      </x:c>
      <x:c r="BP358" s="6" t="str">
        <x:v>1</x:v>
      </x:c>
      <x:c r="BQ358" s="6" t="str">
        <x:v>5.0</x:v>
      </x:c>
      <x:c r="BR358" s="6" t="str">
        <x:v>3</x:v>
      </x:c>
      <x:c r="BS358" s="6" t="str">
        <x:v>837.0</x:v>
      </x:c>
      <x:c r="BT358" s="6" t="str">
        <x:v>23</x:v>
      </x:c>
      <x:c r="BU358" s="6" t="str">
        <x:v>953.0</x:v>
      </x:c>
      <x:c r="BV358" s="6" t="str">
        <x:v>2</x:v>
      </x:c>
      <x:c r="BW358" s="9" t="str">
        <x:v>operational_snapshot_annual_totals_may_differ</x:v>
      </x:c>
      <x:c r="BX358" s="9" t="str">
        <x:v>official_live_dashboard_snapshot_subject_to_revision</x:v>
      </x:c>
      <x:c r="BY358" s="9" t="str">
        <x:v>https://tbdashboard.sitb.id/ss_data_tbc03so_2025_provinsi_bulanan_list.php</x:v>
      </x:c>
      <x:c r="BZ358" s="6" t="n">
        <x:v>46246.610671296294</x:v>
      </x:c>
    </x:row>
    <x:row r="359" ht="18" customHeight="1">
      <x:c r="A359" s="6" t="str">
        <x:v>35</x:v>
      </x:c>
      <x:c r="B359" s="6" t="str">
        <x:v>JAWA TIMUR</x:v>
      </x:c>
      <x:c r="C359" s="6" t="str">
        <x:v>2025</x:v>
      </x:c>
      <x:c r="D359" s="6" t="str">
        <x:v>10</x:v>
      </x:c>
      <x:c r="E359" s="6" t="str">
        <x:v>2025-10</x:v>
      </x:c>
      <x:c r="F359" s="6" t="str">
        <x:v>8699</x:v>
      </x:c>
      <x:c r="G359" s="6" t="str">
        <x:v>2337</x:v>
      </x:c>
      <x:c r="H359" s="6" t="str">
        <x:v>4488</x:v>
      </x:c>
      <x:c r="I359" s="6" t="str">
        <x:v>419</x:v>
      </x:c>
      <x:c r="J359" s="6" t="str">
        <x:v>385</x:v>
      </x:c>
      <x:c r="K359" s="6" t="str">
        <x:v>25</x:v>
      </x:c>
      <x:c r="L359" s="6" t="str">
        <x:v>11</x:v>
      </x:c>
      <x:c r="M359" s="6" t="str">
        <x:v>1034</x:v>
      </x:c>
      <x:c r="N359" s="6" t="str">
        <x:v>8699</x:v>
      </x:c>
      <x:c r="O359" s="6" t="str">
        <x:v>0</x:v>
      </x:c>
      <x:c r="P359" s="10" t="n">
        <x:f>F359-M359</x:f>
        <x:v>7665</x:v>
      </x:c>
      <x:c r="Q359" s="11" t="n">
        <x:f>IFERROR(M359/F359,"")</x:f>
        <x:v>0.11886423726865157</x:v>
      </x:c>
      <x:c r="R359" s="10" t="n">
        <x:f>G359+H359</x:f>
        <x:v>6825</x:v>
      </x:c>
      <x:c r="S359" s="11" t="n">
        <x:f>IFERROR(R359/F359,"")</x:f>
        <x:v>0.784572939418324</x:v>
      </x:c>
      <x:c r="T359" s="11" t="n">
        <x:f>IFERROR(R359/P359,"")</x:f>
        <x:v>0.8904109589041096</x:v>
      </x:c>
      <x:c r="U359" s="10" t="n">
        <x:f>I359+J359+K359</x:f>
        <x:v>829</x:v>
      </x:c>
      <x:c r="V359" s="11" t="n">
        <x:f>IFERROR(U359/P359,"")</x:f>
        <x:v>0.1081539465101109</x:v>
      </x:c>
      <x:c r="W359" s="9" t="str">
        <x:v>provisional_gt_5pct_pending</x:v>
      </x:c>
      <x:c r="X359" s="12" t="n">
        <x:f>IFERROR(F359/Z359*100000,"")</x:f>
        <x:v>20.667960740615786</x:v>
      </x:c>
      <x:c r="Y359" s="13" t="n">
        <x:f>LN(Z359)</x:f>
        <x:v>17.55530410957971</x:v>
      </x:c>
      <x:c r="Z359" s="6" t="str">
        <x:v>42089300</x:v>
      </x:c>
      <x:c r="AA359" s="6" t="str">
        <x:v>876.0</x:v>
      </x:c>
      <x:c r="AB359" s="9" t="str">
        <x:v>2025-06-30</x:v>
      </x:c>
      <x:c r="AC359" s="8" t="str">
        <x:v>88.26</x:v>
      </x:c>
      <x:c r="AD359" s="9" t="str">
        <x:v>2025 (Susenas)</x:v>
      </x:c>
      <x:c r="AE359" s="8" t="str">
        <x:v>9.5</x:v>
      </x:c>
      <x:c r="AF359" s="9" t="str">
        <x:v>Maret 2025 (Susenas)</x:v>
      </x:c>
      <x:c r="AG359" s="6" t="str">
        <x:v>27.84569525395226</x:v>
      </x:c>
      <x:c r="AH359" s="8" t="str">
        <x:v>74.88491222921215</x:v>
      </x:c>
      <x:c r="AI359" s="6" t="str">
        <x:v>114.87454200589777</x:v>
      </x:c>
      <x:c r="AJ359" s="6" t="str">
        <x:v>0.277515872547859</x:v>
      </x:c>
      <x:c r="AK359" s="8" t="str">
        <x:v>0.5261475971675198</x:v>
      </x:c>
      <x:c r="AL359" s="6" t="str">
        <x:v>0.8230517812920429</x:v>
      </x:c>
      <x:c r="AM359" s="6" t="str">
        <x:v>1.0875418206711265</x:v>
      </x:c>
      <x:c r="AN359" s="6" t="str">
        <x:v>0.8122470663768967</x:v>
      </x:c>
      <x:c r="AO359" s="6" t="str">
        <x:v>5.382100982120505</x:v>
      </x:c>
      <x:c r="AP359" s="8" t="str">
        <x:v>0.899830809840477</x:v>
      </x:c>
      <x:c r="AQ359" s="6" t="str">
        <x:v>1.35454969992012</x:v>
      </x:c>
      <x:c r="AR359" s="6" t="str">
        <x:v>1.3762842137023577</x:v>
      </x:c>
      <x:c r="AS359" s="6" t="str">
        <x:v>1.2102215744876512</x:v>
      </x:c>
      <x:c r="AT359" s="6" t="str">
        <x:v>42.85188946405143</x:v>
      </x:c>
      <x:c r="AU359" s="8" t="str">
        <x:v>0.6314191670855059</x:v>
      </x:c>
      <x:c r="AV359" s="6" t="str">
        <x:v>0.8688127742585197</x:v>
      </x:c>
      <x:c r="AW359" s="6" t="str">
        <x:v>0.7729077149086491</x:v>
      </x:c>
      <x:c r="AX359" s="6" t="str">
        <x:v>0.7577132187508918</x:v>
      </x:c>
      <x:c r="AY359" s="6" t="str">
        <x:v>0</x:v>
      </x:c>
      <x:c r="AZ359" s="6" t="str">
        <x:v>0</x:v>
      </x:c>
      <x:c r="BA359" s="9" t="str">
        <x:v>grid_cells_within_BIG_polygon</x:v>
      </x:c>
      <x:c r="BB359" s="6" t="str">
        <x:v>16</x:v>
      </x:c>
      <x:c r="BC359" s="6" t="str">
        <x:v>23</x:v>
      </x:c>
      <x:c r="BD359" s="6" t="str">
        <x:v>23</x:v>
      </x:c>
      <x:c r="BE359" s="6" t="str">
        <x:v>6</x:v>
      </x:c>
      <x:c r="BF359" s="6" t="str">
        <x:v>0</x:v>
      </x:c>
      <x:c r="BG359" s="6" t="str">
        <x:v>13</x:v>
      </x:c>
      <x:c r="BH359" s="6" t="str">
        <x:v>1</x:v>
      </x:c>
      <x:c r="BI359" s="6" t="str">
        <x:v>3</x:v>
      </x:c>
      <x:c r="BJ359" s="6" t="str">
        <x:v>0</x:v>
      </x:c>
      <x:c r="BK359" s="6" t="str">
        <x:v>0</x:v>
      </x:c>
      <x:c r="BL359" s="6" t="str">
        <x:v>0</x:v>
      </x:c>
      <x:c r="BM359" s="6" t="str">
        <x:v>0</x:v>
      </x:c>
      <x:c r="BN359" s="6" t="str">
        <x:v>23</x:v>
      </x:c>
      <x:c r="BO359" s="6" t="str">
        <x:v>2.0</x:v>
      </x:c>
      <x:c r="BP359" s="6" t="str">
        <x:v>1</x:v>
      </x:c>
      <x:c r="BQ359" s="6" t="str">
        <x:v>7.0</x:v>
      </x:c>
      <x:c r="BR359" s="6" t="str">
        <x:v>2</x:v>
      </x:c>
      <x:c r="BS359" s="6" t="str">
        <x:v>766.0</x:v>
      </x:c>
      <x:c r="BT359" s="6" t="str">
        <x:v>23</x:v>
      </x:c>
      <x:c r="BU359" s="6" t="str">
        <x:v>2429.0</x:v>
      </x:c>
      <x:c r="BV359" s="6" t="str">
        <x:v>6</x:v>
      </x:c>
      <x:c r="BW359" s="9" t="str">
        <x:v>operational_snapshot_annual_totals_may_differ</x:v>
      </x:c>
      <x:c r="BX359" s="9" t="str">
        <x:v>official_live_dashboard_snapshot_subject_to_revision</x:v>
      </x:c>
      <x:c r="BY359" s="9" t="str">
        <x:v>https://tbdashboard.sitb.id/ss_data_tbc03so_2025_provinsi_bulanan_list.php</x:v>
      </x:c>
      <x:c r="BZ359" s="6" t="n">
        <x:v>46246.610671296294</x:v>
      </x:c>
    </x:row>
    <x:row r="360" ht="18" customHeight="1">
      <x:c r="A360" s="6" t="str">
        <x:v>35</x:v>
      </x:c>
      <x:c r="B360" s="6" t="str">
        <x:v>JAWA TIMUR</x:v>
      </x:c>
      <x:c r="C360" s="6" t="str">
        <x:v>2025</x:v>
      </x:c>
      <x:c r="D360" s="6" t="str">
        <x:v>11</x:v>
      </x:c>
      <x:c r="E360" s="6" t="str">
        <x:v>2025-11</x:v>
      </x:c>
      <x:c r="F360" s="6" t="str">
        <x:v>7379</x:v>
      </x:c>
      <x:c r="G360" s="6" t="str">
        <x:v>1911</x:v>
      </x:c>
      <x:c r="H360" s="6" t="str">
        <x:v>3492</x:v>
      </x:c>
      <x:c r="I360" s="6" t="str">
        <x:v>334</x:v>
      </x:c>
      <x:c r="J360" s="6" t="str">
        <x:v>321</x:v>
      </x:c>
      <x:c r="K360" s="6" t="str">
        <x:v>21</x:v>
      </x:c>
      <x:c r="L360" s="6" t="str">
        <x:v>5</x:v>
      </x:c>
      <x:c r="M360" s="6" t="str">
        <x:v>1295</x:v>
      </x:c>
      <x:c r="N360" s="6" t="str">
        <x:v>7379</x:v>
      </x:c>
      <x:c r="O360" s="6" t="str">
        <x:v>0</x:v>
      </x:c>
      <x:c r="P360" s="10" t="n">
        <x:f>F360-M360</x:f>
        <x:v>6084</x:v>
      </x:c>
      <x:c r="Q360" s="11" t="n">
        <x:f>IFERROR(M360/F360,"")</x:f>
        <x:v>0.17549803496408728</x:v>
      </x:c>
      <x:c r="R360" s="10" t="n">
        <x:f>G360+H360</x:f>
        <x:v>5403</x:v>
      </x:c>
      <x:c r="S360" s="11" t="n">
        <x:f>IFERROR(R360/F360,"")</x:f>
        <x:v>0.732213036996883</x:v>
      </x:c>
      <x:c r="T360" s="11" t="n">
        <x:f>IFERROR(R360/P360,"")</x:f>
        <x:v>0.8880670611439843</x:v>
      </x:c>
      <x:c r="U360" s="10" t="n">
        <x:f>I360+J360+K360</x:f>
        <x:v>676</x:v>
      </x:c>
      <x:c r="V360" s="11" t="n">
        <x:f>IFERROR(U360/P360,"")</x:f>
        <x:v>0.1111111111111111</x:v>
      </x:c>
      <x:c r="W360" s="9" t="str">
        <x:v>provisional_gt_5pct_pending</x:v>
      </x:c>
      <x:c r="X360" s="12" t="n">
        <x:f>IFERROR(F360/Z360*100000,"")</x:f>
        <x:v>17.53177173295826</x:v>
      </x:c>
      <x:c r="Y360" s="13" t="n">
        <x:f>LN(Z360)</x:f>
        <x:v>17.55530410957971</x:v>
      </x:c>
      <x:c r="Z360" s="6" t="str">
        <x:v>42089300</x:v>
      </x:c>
      <x:c r="AA360" s="6" t="str">
        <x:v>876.0</x:v>
      </x:c>
      <x:c r="AB360" s="9" t="str">
        <x:v>2025-06-30</x:v>
      </x:c>
      <x:c r="AC360" s="8" t="str">
        <x:v>88.26</x:v>
      </x:c>
      <x:c r="AD360" s="9" t="str">
        <x:v>2025 (Susenas)</x:v>
      </x:c>
      <x:c r="AE360" s="8" t="str">
        <x:v>9.5</x:v>
      </x:c>
      <x:c r="AF360" s="9" t="str">
        <x:v>Maret 2025 (Susenas)</x:v>
      </x:c>
      <x:c r="AG360" s="6" t="str">
        <x:v>26.344037107763384</x:v>
      </x:c>
      <x:c r="AH360" s="8" t="str">
        <x:v>84.38073747532522</x:v>
      </x:c>
      <x:c r="AI360" s="6" t="str">
        <x:v>385.5897217165463</x:v>
      </x:c>
      <x:c r="AJ360" s="6" t="str">
        <x:v>-0.977544587673485</x:v>
      </x:c>
      <x:c r="AK360" s="8" t="str">
        <x:v>-1.2285887664505135</x:v>
      </x:c>
      <x:c r="AL360" s="6" t="str">
        <x:v>0.5261475971675198</x:v>
      </x:c>
      <x:c r="AM360" s="6" t="str">
        <x:v>0.8230517812920429</x:v>
      </x:c>
      <x:c r="AN360" s="6" t="str">
        <x:v>0.04020353733635</x:v>
      </x:c>
      <x:c r="AO360" s="6" t="str">
        <x:v>8.444018799995987</x:v>
      </x:c>
      <x:c r="AP360" s="8" t="str">
        <x:v>1.5510139215893028</x:v>
      </x:c>
      <x:c r="AQ360" s="6" t="str">
        <x:v>0.899830809840477</x:v>
      </x:c>
      <x:c r="AR360" s="6" t="str">
        <x:v>1.35454969992012</x:v>
      </x:c>
      <x:c r="AS360" s="6" t="str">
        <x:v>1.2684648104499665</x:v>
      </x:c>
      <x:c r="AT360" s="6" t="str">
        <x:v>234.7749721815096</x:v>
      </x:c>
      <x:c r="AU360" s="8" t="str">
        <x:v>3.5018582836850216</x:v>
      </x:c>
      <x:c r="AV360" s="6" t="str">
        <x:v>0.6314191670855059</x:v>
      </x:c>
      <x:c r="AW360" s="6" t="str">
        <x:v>0.8688127742585197</x:v>
      </x:c>
      <x:c r="AX360" s="6" t="str">
        <x:v>1.667363408343016</x:v>
      </x:c>
      <x:c r="AY360" s="6" t="str">
        <x:v>1</x:v>
      </x:c>
      <x:c r="AZ360" s="6" t="str">
        <x:v>0</x:v>
      </x:c>
      <x:c r="BA360" s="9" t="str">
        <x:v>grid_cells_within_BIG_polygon</x:v>
      </x:c>
      <x:c r="BB360" s="6" t="str">
        <x:v>16</x:v>
      </x:c>
      <x:c r="BC360" s="6" t="str">
        <x:v>36</x:v>
      </x:c>
      <x:c r="BD360" s="6" t="str">
        <x:v>34</x:v>
      </x:c>
      <x:c r="BE360" s="6" t="str">
        <x:v>21</x:v>
      </x:c>
      <x:c r="BF360" s="6" t="str">
        <x:v>4</x:v>
      </x:c>
      <x:c r="BG360" s="6" t="str">
        <x:v>9</x:v>
      </x:c>
      <x:c r="BH360" s="6" t="str">
        <x:v>0</x:v>
      </x:c>
      <x:c r="BI360" s="6" t="str">
        <x:v>0</x:v>
      </x:c>
      <x:c r="BJ360" s="6" t="str">
        <x:v>0</x:v>
      </x:c>
      <x:c r="BK360" s="6" t="str">
        <x:v>0</x:v>
      </x:c>
      <x:c r="BL360" s="6" t="str">
        <x:v>2</x:v>
      </x:c>
      <x:c r="BM360" s="6" t="str">
        <x:v>0</x:v>
      </x:c>
      <x:c r="BN360" s="6" t="str">
        <x:v>36</x:v>
      </x:c>
      <x:c r="BO360" s="6" t="str">
        <x:v>5.0</x:v>
      </x:c>
      <x:c r="BP360" s="6" t="str">
        <x:v>2</x:v>
      </x:c>
      <x:c r="BQ360" s="6" t="str">
        <x:v>5.0</x:v>
      </x:c>
      <x:c r="BR360" s="6" t="str">
        <x:v>3</x:v>
      </x:c>
      <x:c r="BS360" s="6" t="str">
        <x:v>317.0</x:v>
      </x:c>
      <x:c r="BT360" s="6" t="str">
        <x:v>36</x:v>
      </x:c>
      <x:c r="BU360" s="6" t="str">
        <x:v>21750.0</x:v>
      </x:c>
      <x:c r="BV360" s="6" t="str">
        <x:v>19</x:v>
      </x:c>
      <x:c r="BW360" s="9" t="str">
        <x:v>operational_snapshot_annual_totals_may_differ</x:v>
      </x:c>
      <x:c r="BX360" s="9" t="str">
        <x:v>official_live_dashboard_snapshot_subject_to_revision</x:v>
      </x:c>
      <x:c r="BY360" s="9" t="str">
        <x:v>https://tbdashboard.sitb.id/ss_data_tbc03so_2025_provinsi_bulanan_list.php</x:v>
      </x:c>
      <x:c r="BZ360" s="6" t="n">
        <x:v>46246.610671296294</x:v>
      </x:c>
    </x:row>
    <x:row r="361" ht="18" customHeight="1">
      <x:c r="A361" s="6" t="str">
        <x:v>35</x:v>
      </x:c>
      <x:c r="B361" s="6" t="str">
        <x:v>JAWA TIMUR</x:v>
      </x:c>
      <x:c r="C361" s="6" t="str">
        <x:v>2025</x:v>
      </x:c>
      <x:c r="D361" s="6" t="str">
        <x:v>12</x:v>
      </x:c>
      <x:c r="E361" s="6" t="str">
        <x:v>2025-12</x:v>
      </x:c>
      <x:c r="F361" s="6" t="str">
        <x:v>7203</x:v>
      </x:c>
      <x:c r="G361" s="6" t="str">
        <x:v>1715</x:v>
      </x:c>
      <x:c r="H361" s="6" t="str">
        <x:v>2809</x:v>
      </x:c>
      <x:c r="I361" s="6" t="str">
        <x:v>325</x:v>
      </x:c>
      <x:c r="J361" s="6" t="str">
        <x:v>355</x:v>
      </x:c>
      <x:c r="K361" s="6" t="str">
        <x:v>14</x:v>
      </x:c>
      <x:c r="L361" s="6" t="str">
        <x:v>14</x:v>
      </x:c>
      <x:c r="M361" s="6" t="str">
        <x:v>1971</x:v>
      </x:c>
      <x:c r="N361" s="6" t="str">
        <x:v>7203</x:v>
      </x:c>
      <x:c r="O361" s="6" t="str">
        <x:v>0</x:v>
      </x:c>
      <x:c r="P361" s="10" t="n">
        <x:f>F361-M361</x:f>
        <x:v>5232</x:v>
      </x:c>
      <x:c r="Q361" s="11" t="n">
        <x:f>IFERROR(M361/F361,"")</x:f>
        <x:v>0.2736359850062474</x:v>
      </x:c>
      <x:c r="R361" s="10" t="n">
        <x:f>G361+H361</x:f>
        <x:v>4524</x:v>
      </x:c>
      <x:c r="S361" s="11" t="n">
        <x:f>IFERROR(R361/F361,"")</x:f>
        <x:v>0.6280716368179925</x:v>
      </x:c>
      <x:c r="T361" s="11" t="n">
        <x:f>IFERROR(R361/P361,"")</x:f>
        <x:v>0.8646788990825688</x:v>
      </x:c>
      <x:c r="U361" s="10" t="n">
        <x:f>I361+J361+K361</x:f>
        <x:v>694</x:v>
      </x:c>
      <x:c r="V361" s="11" t="n">
        <x:f>IFERROR(U361/P361,"")</x:f>
        <x:v>0.1326452599388379</x:v>
      </x:c>
      <x:c r="W361" s="9" t="str">
        <x:v>provisional_gt_5pct_pending</x:v>
      </x:c>
      <x:c r="X361" s="12" t="n">
        <x:f>IFERROR(F361/Z361*100000,"")</x:f>
        <x:v>17.11361319860392</x:v>
      </x:c>
      <x:c r="Y361" s="13" t="n">
        <x:f>LN(Z361)</x:f>
        <x:v>17.55530410957971</x:v>
      </x:c>
      <x:c r="Z361" s="6" t="str">
        <x:v>42089300</x:v>
      </x:c>
      <x:c r="AA361" s="6" t="str">
        <x:v>876.0</x:v>
      </x:c>
      <x:c r="AB361" s="9" t="str">
        <x:v>2025-06-30</x:v>
      </x:c>
      <x:c r="AC361" s="8" t="str">
        <x:v>88.26</x:v>
      </x:c>
      <x:c r="AD361" s="9" t="str">
        <x:v>2025 (Susenas)</x:v>
      </x:c>
      <x:c r="AE361" s="8" t="str">
        <x:v>9.5</x:v>
      </x:c>
      <x:c r="AF361" s="9" t="str">
        <x:v>Maret 2025 (Susenas)</x:v>
      </x:c>
      <x:c r="AG361" s="6" t="str">
        <x:v>26.29952335023491</x:v>
      </x:c>
      <x:c r="AH361" s="8" t="str">
        <x:v>85.68341036828647</x:v>
      </x:c>
      <x:c r="AI361" s="6" t="str">
        <x:v>348.13832902620027</x:v>
      </x:c>
      <x:c r="AJ361" s="6" t="str">
        <x:v>-0.0087869857508735</x:v>
      </x:c>
      <x:c r="AK361" s="8" t="str">
        <x:v>-0.0141587622748072</x:v>
      </x:c>
      <x:c r="AL361" s="6" t="str">
        <x:v>-1.2285887664505135</x:v>
      </x:c>
      <x:c r="AM361" s="6" t="str">
        <x:v>0.5261475971675198</x:v>
      </x:c>
      <x:c r="AN361" s="6" t="str">
        <x:v>-0.2388666438526</x:v>
      </x:c>
      <x:c r="AO361" s="6" t="str">
        <x:v>2.888830863155178</x:v>
      </x:c>
      <x:c r="AP361" s="8" t="str">
        <x:v>0.9509654238102906</x:v>
      </x:c>
      <x:c r="AQ361" s="6" t="str">
        <x:v>1.5510139215893028</x:v>
      </x:c>
      <x:c r="AR361" s="6" t="str">
        <x:v>0.899830809840477</x:v>
      </x:c>
      <x:c r="AS361" s="6" t="str">
        <x:v>1.1339367184133569</x:v>
      </x:c>
      <x:c r="AT361" s="6" t="str">
        <x:v>91.91871695613264</x:v>
      </x:c>
      <x:c r="AU361" s="8" t="str">
        <x:v>1.3352917895629757</x:v>
      </x:c>
      <x:c r="AV361" s="6" t="str">
        <x:v>3.5018582836850216</x:v>
      </x:c>
      <x:c r="AW361" s="6" t="str">
        <x:v>0.6314191670855059</x:v>
      </x:c>
      <x:c r="AX361" s="6" t="str">
        <x:v>1.8228564134445011</x:v>
      </x:c>
      <x:c r="AY361" s="6" t="str">
        <x:v>1</x:v>
      </x:c>
      <x:c r="AZ361" s="6" t="str">
        <x:v>0</x:v>
      </x:c>
      <x:c r="BA361" s="9" t="str">
        <x:v>grid_cells_within_BIG_polygon</x:v>
      </x:c>
      <x:c r="BB361" s="6" t="str">
        <x:v>16</x:v>
      </x:c>
      <x:c r="BC361" s="6" t="str">
        <x:v>44</x:v>
      </x:c>
      <x:c r="BD361" s="6" t="str">
        <x:v>43</x:v>
      </x:c>
      <x:c r="BE361" s="6" t="str">
        <x:v>21</x:v>
      </x:c>
      <x:c r="BF361" s="6" t="str">
        <x:v>1</x:v>
      </x:c>
      <x:c r="BG361" s="6" t="str">
        <x:v>21</x:v>
      </x:c>
      <x:c r="BH361" s="6" t="str">
        <x:v>0</x:v>
      </x:c>
      <x:c r="BI361" s="6" t="str">
        <x:v>0</x:v>
      </x:c>
      <x:c r="BJ361" s="6" t="str">
        <x:v>0</x:v>
      </x:c>
      <x:c r="BK361" s="6" t="str">
        <x:v>0</x:v>
      </x:c>
      <x:c r="BL361" s="6" t="str">
        <x:v>1</x:v>
      </x:c>
      <x:c r="BM361" s="6" t="str">
        <x:v>0</x:v>
      </x:c>
      <x:c r="BN361" s="6" t="str">
        <x:v>44</x:v>
      </x:c>
      <x:c r="BO361" s="6" t="str">
        <x:v>5.0</x:v>
      </x:c>
      <x:c r="BP361" s="6" t="str">
        <x:v>5</x:v>
      </x:c>
      <x:c r="BQ361" s="6" t="str">
        <x:v>4.0</x:v>
      </x:c>
      <x:c r="BR361" s="6" t="str">
        <x:v>2</x:v>
      </x:c>
      <x:c r="BS361" s="6" t="str">
        <x:v>550.0</x:v>
      </x:c>
      <x:c r="BT361" s="6" t="str">
        <x:v>44</x:v>
      </x:c>
      <x:c r="BU361" s="6" t="str">
        <x:v>9718.0</x:v>
      </x:c>
      <x:c r="BV361" s="6" t="str">
        <x:v>20</x:v>
      </x:c>
      <x:c r="BW361" s="9" t="str">
        <x:v>operational_snapshot_annual_totals_may_differ</x:v>
      </x:c>
      <x:c r="BX361" s="9" t="str">
        <x:v>official_live_dashboard_snapshot_subject_to_revision</x:v>
      </x:c>
      <x:c r="BY361" s="9" t="str">
        <x:v>https://tbdashboard.sitb.id/ss_data_tbc03so_2025_provinsi_bulanan_list.php</x:v>
      </x:c>
      <x:c r="BZ361" s="6" t="n">
        <x:v>46246.610671296294</x:v>
      </x:c>
    </x:row>
    <x:row r="362" ht="18" customHeight="1">
      <x:c r="A362" s="6" t="str">
        <x:v>36</x:v>
      </x:c>
      <x:c r="B362" s="6" t="str">
        <x:v>BANTEN</x:v>
      </x:c>
      <x:c r="C362" s="6" t="str">
        <x:v>2024</x:v>
      </x:c>
      <x:c r="D362" s="6" t="str">
        <x:v>1</x:v>
      </x:c>
      <x:c r="E362" s="6" t="str">
        <x:v>2024-01</x:v>
      </x:c>
      <x:c r="F362" s="6" t="str">
        <x:v>4319</x:v>
      </x:c>
      <x:c r="G362" s="6" t="str">
        <x:v>694</x:v>
      </x:c>
      <x:c r="H362" s="6" t="str">
        <x:v>3231</x:v>
      </x:c>
      <x:c r="I362" s="6" t="str">
        <x:v>228</x:v>
      </x:c>
      <x:c r="J362" s="6" t="str">
        <x:v>119</x:v>
      </x:c>
      <x:c r="K362" s="6" t="str">
        <x:v>1</x:v>
      </x:c>
      <x:c r="L362" s="6" t="str">
        <x:v>16</x:v>
      </x:c>
      <x:c r="M362" s="6" t="str">
        <x:v>30</x:v>
      </x:c>
      <x:c r="N362" s="6" t="str">
        <x:v>4319</x:v>
      </x:c>
      <x:c r="O362" s="6" t="str">
        <x:v>0</x:v>
      </x:c>
      <x:c r="P362" s="10" t="n">
        <x:f>F362-M362</x:f>
        <x:v>4289</x:v>
      </x:c>
      <x:c r="Q362" s="11" t="n">
        <x:f>IFERROR(M362/F362,"")</x:f>
        <x:v>0.00694605232692753</x:v>
      </x:c>
      <x:c r="R362" s="10" t="n">
        <x:f>G362+H362</x:f>
        <x:v>3925</x:v>
      </x:c>
      <x:c r="S362" s="11" t="n">
        <x:f>IFERROR(R362/F362,"")</x:f>
        <x:v>0.9087751794396851</x:v>
      </x:c>
      <x:c r="T362" s="11" t="n">
        <x:f>IFERROR(R362/P362,"")</x:f>
        <x:v>0.9151317323385405</x:v>
      </x:c>
      <x:c r="U362" s="10" t="n">
        <x:f>I362+J362+K362</x:f>
        <x:v>348</x:v>
      </x:c>
      <x:c r="V362" s="11" t="n">
        <x:f>IFERROR(U362/P362,"")</x:f>
        <x:v>0.08113779435765912</x:v>
      </x:c>
      <x:c r="W362" s="9" t="str">
        <x:v>mature_le_5pct_pending</x:v>
      </x:c>
      <x:c r="X362" s="12" t="n">
        <x:f>IFERROR(F362/Z362*100000,"")</x:f>
        <x:v>34.742667760670564</x:v>
      </x:c>
      <x:c r="Y362" s="13" t="n">
        <x:f>LN(Z362)</x:f>
        <x:v>16.33573608787663</x:v>
      </x:c>
      <x:c r="Z362" s="6" t="str">
        <x:v>12431400</x:v>
      </x:c>
      <x:c r="AA362" s="6" t="str">
        <x:v>1329.0</x:v>
      </x:c>
      <x:c r="AB362" s="9" t="str">
        <x:v>2024-06-30</x:v>
      </x:c>
      <x:c r="AC362" s="8" t="str">
        <x:v>87.93</x:v>
      </x:c>
      <x:c r="AD362" s="9" t="str">
        <x:v>2024 (Susenas)</x:v>
      </x:c>
      <x:c r="AE362" s="8" t="str">
        <x:v>5.84</x:v>
      </x:c>
      <x:c r="AF362" s="9" t="str">
        <x:v>Maret 2024 (Susenas)</x:v>
      </x:c>
      <x:c r="AG362" s="6" t="str">
        <x:v>27.030391848999464</x:v>
      </x:c>
      <x:c r="AH362" s="8" t="str">
        <x:v>85.1942378059096</x:v>
      </x:c>
      <x:c r="AI362" s="6" t="str">
        <x:v>410.903444550618</x:v>
      </x:c>
      <x:c r="AJ362" s="6" t="str">
        <x:v>1.0800219817731431</x:v>
      </x:c>
      <x:c r="AK362" s="8" t="str">
        <x:v>1.886296447493402</x:v>
      </x:c>
      <x:c r="AL362" s="6" t="str">
        <x:v>2.683373613055449</x:v>
      </x:c>
      <x:c r="AM362" s="6" t="str">
        <x:v>1.867909114992826</x:v>
      </x:c>
      <x:c r="AN362" s="6" t="str">
        <x:v>2.14585972518056</x:v>
      </x:c>
      <x:c r="AO362" s="6" t="str">
        <x:v>-0.7361173954116111</x:v>
      </x:c>
      <x:c r="AP362" s="8" t="str">
        <x:v>-0.2928381961187387</x:v>
      </x:c>
      <x:c r="AQ362" s="6" t="str">
        <x:v>-2.218960356469831</x:v>
      </x:c>
      <x:c r="AR362" s="6" t="str">
        <x:v>-0.485411471323171</x:v>
      </x:c>
      <x:c r="AS362" s="6" t="str">
        <x:v>-0.9990700079705804</x:v>
      </x:c>
      <x:c r="AT362" s="6" t="str">
        <x:v>105.13389030159244</x:v>
      </x:c>
      <x:c r="AU362" s="8" t="str">
        <x:v>0.9445584820235048</x:v>
      </x:c>
      <x:c r="AV362" s="6" t="str">
        <x:v>-1.246128261024331</x:v>
      </x:c>
      <x:c r="AW362" s="6" t="str">
        <x:v>0.3906214660485383</x:v>
      </x:c>
      <x:c r="AX362" s="6" t="str">
        <x:v>0.0296838956825704</x:v>
      </x:c>
      <x:c r="AY362" s="6" t="str">
        <x:v>0</x:v>
      </x:c>
      <x:c r="AZ362" s="6" t="str">
        <x:v>1</x:v>
      </x:c>
      <x:c r="BA362" s="9" t="str">
        <x:v>grid_cells_within_BIG_polygon</x:v>
      </x:c>
      <x:c r="BB362" s="6" t="str">
        <x:v>2</x:v>
      </x:c>
      <x:c r="BC362" s="6" t="str">
        <x:v>13</x:v>
      </x:c>
      <x:c r="BD362" s="6" t="str">
        <x:v>12</x:v>
      </x:c>
      <x:c r="BE362" s="6" t="str">
        <x:v>7</x:v>
      </x:c>
      <x:c r="BF362" s="6" t="str">
        <x:v>2</x:v>
      </x:c>
      <x:c r="BG362" s="6" t="str">
        <x:v>3</x:v>
      </x:c>
      <x:c r="BH362" s="6" t="str">
        <x:v>0</x:v>
      </x:c>
      <x:c r="BI362" s="6" t="str">
        <x:v>0</x:v>
      </x:c>
      <x:c r="BJ362" s="6" t="str">
        <x:v>0</x:v>
      </x:c>
      <x:c r="BK362" s="6" t="str">
        <x:v>1</x:v>
      </x:c>
      <x:c r="BL362" s="6" t="str">
        <x:v>0</x:v>
      </x:c>
      <x:c r="BM362" s="6" t="str">
        <x:v>0</x:v>
      </x:c>
      <x:c r="BN362" s="6" t="str">
        <x:v>13</x:v>
      </x:c>
      <x:c r="BO362" s="6" t="str">
        <x:v>0.0</x:v>
      </x:c>
      <x:c r="BP362" s="6" t="str">
        <x:v>13</x:v>
      </x:c>
      <x:c r="BQ362" s="6" t="str">
        <x:v>0.0</x:v>
      </x:c>
      <x:c r="BR362" s="6" t="str">
        <x:v>13</x:v>
      </x:c>
      <x:c r="BS362" s="6" t="str">
        <x:v>47.0</x:v>
      </x:c>
      <x:c r="BT362" s="6" t="str">
        <x:v>13</x:v>
      </x:c>
      <x:c r="BU362" s="6" t="str">
        <x:v>1421.0</x:v>
      </x:c>
      <x:c r="BV362" s="6" t="str">
        <x:v>3</x:v>
      </x:c>
      <x:c r="BW362" s="9" t="str">
        <x:v>operational_snapshot_annual_totals_may_differ</x:v>
      </x:c>
      <x:c r="BX362" s="9" t="str">
        <x:v>official_live_dashboard_snapshot_subject_to_revision</x:v>
      </x:c>
      <x:c r="BY362" s="9" t="str">
        <x:v>https://tbdashboard.sitb.id/ss_data_tbc03so_2024_provinsi_bulanan_list.php</x:v>
      </x:c>
      <x:c r="BZ362" s="6" t="n">
        <x:v>46246.610671296294</x:v>
      </x:c>
    </x:row>
    <x:row r="363" ht="18" customHeight="1">
      <x:c r="A363" s="6" t="str">
        <x:v>36</x:v>
      </x:c>
      <x:c r="B363" s="6" t="str">
        <x:v>BANTEN</x:v>
      </x:c>
      <x:c r="C363" s="6" t="str">
        <x:v>2024</x:v>
      </x:c>
      <x:c r="D363" s="6" t="str">
        <x:v>2</x:v>
      </x:c>
      <x:c r="E363" s="6" t="str">
        <x:v>2024-02</x:v>
      </x:c>
      <x:c r="F363" s="6" t="str">
        <x:v>3771</x:v>
      </x:c>
      <x:c r="G363" s="6" t="str">
        <x:v>575</x:v>
      </x:c>
      <x:c r="H363" s="6" t="str">
        <x:v>2837</x:v>
      </x:c>
      <x:c r="I363" s="6" t="str">
        <x:v>204</x:v>
      </x:c>
      <x:c r="J363" s="6" t="str">
        <x:v>96</x:v>
      </x:c>
      <x:c r="K363" s="6" t="str">
        <x:v>6</x:v>
      </x:c>
      <x:c r="L363" s="6" t="str">
        <x:v>15</x:v>
      </x:c>
      <x:c r="M363" s="6" t="str">
        <x:v>38</x:v>
      </x:c>
      <x:c r="N363" s="6" t="str">
        <x:v>3771</x:v>
      </x:c>
      <x:c r="O363" s="6" t="str">
        <x:v>0</x:v>
      </x:c>
      <x:c r="P363" s="10" t="n">
        <x:f>F363-M363</x:f>
        <x:v>3733</x:v>
      </x:c>
      <x:c r="Q363" s="11" t="n">
        <x:f>IFERROR(M363/F363,"")</x:f>
        <x:v>0.01007690267833466</x:v>
      </x:c>
      <x:c r="R363" s="10" t="n">
        <x:f>G363+H363</x:f>
        <x:v>3412</x:v>
      </x:c>
      <x:c r="S363" s="11" t="n">
        <x:f>IFERROR(R363/F363,"")</x:f>
        <x:v>0.9047997878546804</x:v>
      </x:c>
      <x:c r="T363" s="11" t="n">
        <x:f>IFERROR(R363/P363,"")</x:f>
        <x:v>0.9140101794803107</x:v>
      </x:c>
      <x:c r="U363" s="10" t="n">
        <x:f>I363+J363+K363</x:f>
        <x:v>306</x:v>
      </x:c>
      <x:c r="V363" s="11" t="n">
        <x:f>IFERROR(U363/P363,"")</x:f>
        <x:v>0.08197160460755425</x:v>
      </x:c>
      <x:c r="W363" s="9" t="str">
        <x:v>mature_le_5pct_pending</x:v>
      </x:c>
      <x:c r="X363" s="12" t="n">
        <x:f>IFERROR(F363/Z363*100000,"")</x:f>
        <x:v>30.33447560210435</x:v>
      </x:c>
      <x:c r="Y363" s="13" t="n">
        <x:f>LN(Z363)</x:f>
        <x:v>16.33573608787663</x:v>
      </x:c>
      <x:c r="Z363" s="6" t="str">
        <x:v>12431400</x:v>
      </x:c>
      <x:c r="AA363" s="6" t="str">
        <x:v>1329.0</x:v>
      </x:c>
      <x:c r="AB363" s="9" t="str">
        <x:v>2024-06-30</x:v>
      </x:c>
      <x:c r="AC363" s="8" t="str">
        <x:v>87.93</x:v>
      </x:c>
      <x:c r="AD363" s="9" t="str">
        <x:v>2024 (Susenas)</x:v>
      </x:c>
      <x:c r="AE363" s="8" t="str">
        <x:v>5.84</x:v>
      </x:c>
      <x:c r="AF363" s="9" t="str">
        <x:v>Maret 2024 (Susenas)</x:v>
      </x:c>
      <x:c r="AG363" s="6" t="str">
        <x:v>27.160334505243444</x:v>
      </x:c>
      <x:c r="AH363" s="8" t="str">
        <x:v>84.99935010409845</x:v>
      </x:c>
      <x:c r="AI363" s="6" t="str">
        <x:v>356.99859200611013</x:v>
      </x:c>
      <x:c r="AJ363" s="6" t="str">
        <x:v>1.316798210282769</x:v>
      </x:c>
      <x:c r="AK363" s="8" t="str">
        <x:v>2.7204114590456028</x:v>
      </x:c>
      <x:c r="AL363" s="6" t="str">
        <x:v>1.886296447493402</x:v>
      </x:c>
      <x:c r="AM363" s="6" t="str">
        <x:v>2.683373613055449</x:v>
      </x:c>
      <x:c r="AN363" s="6" t="str">
        <x:v>2.430027173198152</x:v>
      </x:c>
      <x:c r="AO363" s="6" t="str">
        <x:v>-2.190274078118776</x:v>
      </x:c>
      <x:c r="AP363" s="8" t="str">
        <x:v>-1.582494230452156</x:v>
      </x:c>
      <x:c r="AQ363" s="6" t="str">
        <x:v>-0.2928381961187387</x:v>
      </x:c>
      <x:c r="AR363" s="6" t="str">
        <x:v>-2.218960356469831</x:v>
      </x:c>
      <x:c r="AS363" s="6" t="str">
        <x:v>-1.3647642610135753</x:v>
      </x:c>
      <x:c r="AT363" s="6" t="str">
        <x:v>42.55910605189109</x:v>
      </x:c>
      <x:c r="AU363" s="8" t="str">
        <x:v>0.344517956061068</x:v>
      </x:c>
      <x:c r="AV363" s="6" t="str">
        <x:v>0.9445584820235048</x:v>
      </x:c>
      <x:c r="AW363" s="6" t="str">
        <x:v>-1.246128261024331</x:v>
      </x:c>
      <x:c r="AX363" s="6" t="str">
        <x:v>0.0143160590200803</x:v>
      </x:c>
      <x:c r="AY363" s="6" t="str">
        <x:v>0</x:v>
      </x:c>
      <x:c r="AZ363" s="6" t="str">
        <x:v>1</x:v>
      </x:c>
      <x:c r="BA363" s="9" t="str">
        <x:v>grid_cells_within_BIG_polygon</x:v>
      </x:c>
      <x:c r="BB363" s="6" t="str">
        <x:v>2</x:v>
      </x:c>
      <x:c r="BC363" s="6" t="str">
        <x:v>10</x:v>
      </x:c>
      <x:c r="BD363" s="6" t="str">
        <x:v>10</x:v>
      </x:c>
      <x:c r="BE363" s="6" t="str">
        <x:v>10</x:v>
      </x:c>
      <x:c r="BF363" s="6" t="str">
        <x:v>0</x:v>
      </x:c>
      <x:c r="BG363" s="6" t="str">
        <x:v>0</x:v>
      </x:c>
      <x:c r="BH363" s="6" t="str">
        <x:v>0</x:v>
      </x:c>
      <x:c r="BI363" s="6" t="str">
        <x:v>0</x:v>
      </x:c>
      <x:c r="BJ363" s="6" t="str">
        <x:v>0</x:v>
      </x:c>
      <x:c r="BK363" s="6" t="str">
        <x:v>0</x:v>
      </x:c>
      <x:c r="BL363" s="6" t="str">
        <x:v>0</x:v>
      </x:c>
      <x:c r="BM363" s="6" t="str">
        <x:v>0</x:v>
      </x:c>
      <x:c r="BN363" s="6" t="str">
        <x:v>10</x:v>
      </x:c>
      <x:c r="BO363" s="6" t="str">
        <x:v>0.0</x:v>
      </x:c>
      <x:c r="BP363" s="6" t="str">
        <x:v>10</x:v>
      </x:c>
      <x:c r="BQ363" s="6" t="str">
        <x:v>0.0</x:v>
      </x:c>
      <x:c r="BR363" s="6" t="str">
        <x:v>10</x:v>
      </x:c>
      <x:c r="BS363" s="6" t="str">
        <x:v>0.0</x:v>
      </x:c>
      <x:c r="BT363" s="6" t="str">
        <x:v>10</x:v>
      </x:c>
      <x:c r="BU363" s="6" t="str">
        <x:v>3123.0</x:v>
      </x:c>
      <x:c r="BV363" s="6" t="str">
        <x:v>7</x:v>
      </x:c>
      <x:c r="BW363" s="9" t="str">
        <x:v>operational_snapshot_annual_totals_may_differ</x:v>
      </x:c>
      <x:c r="BX363" s="9" t="str">
        <x:v>official_live_dashboard_snapshot_subject_to_revision</x:v>
      </x:c>
      <x:c r="BY363" s="9" t="str">
        <x:v>https://tbdashboard.sitb.id/ss_data_tbc03so_2024_provinsi_bulanan_list.php</x:v>
      </x:c>
      <x:c r="BZ363" s="6" t="n">
        <x:v>46246.610671296294</x:v>
      </x:c>
    </x:row>
    <x:row r="364" ht="18" customHeight="1">
      <x:c r="A364" s="6" t="str">
        <x:v>36</x:v>
      </x:c>
      <x:c r="B364" s="6" t="str">
        <x:v>BANTEN</x:v>
      </x:c>
      <x:c r="C364" s="6" t="str">
        <x:v>2024</x:v>
      </x:c>
      <x:c r="D364" s="6" t="str">
        <x:v>3</x:v>
      </x:c>
      <x:c r="E364" s="6" t="str">
        <x:v>2024-03</x:v>
      </x:c>
      <x:c r="F364" s="6" t="str">
        <x:v>4057</x:v>
      </x:c>
      <x:c r="G364" s="6" t="str">
        <x:v>659</x:v>
      </x:c>
      <x:c r="H364" s="6" t="str">
        <x:v>3006</x:v>
      </x:c>
      <x:c r="I364" s="6" t="str">
        <x:v>222</x:v>
      </x:c>
      <x:c r="J364" s="6" t="str">
        <x:v>107</x:v>
      </x:c>
      <x:c r="K364" s="6" t="str">
        <x:v>4</x:v>
      </x:c>
      <x:c r="L364" s="6" t="str">
        <x:v>22</x:v>
      </x:c>
      <x:c r="M364" s="6" t="str">
        <x:v>37</x:v>
      </x:c>
      <x:c r="N364" s="6" t="str">
        <x:v>4057</x:v>
      </x:c>
      <x:c r="O364" s="6" t="str">
        <x:v>0</x:v>
      </x:c>
      <x:c r="P364" s="10" t="n">
        <x:f>F364-M364</x:f>
        <x:v>4020</x:v>
      </x:c>
      <x:c r="Q364" s="11" t="n">
        <x:f>IFERROR(M364/F364,"")</x:f>
        <x:v>0.009120039438008381</x:v>
      </x:c>
      <x:c r="R364" s="10" t="n">
        <x:f>G364+H364</x:f>
        <x:v>3665</x:v>
      </x:c>
      <x:c r="S364" s="11" t="n">
        <x:f>IFERROR(R364/F364,"")</x:f>
        <x:v>0.9033768794675869</x:v>
      </x:c>
      <x:c r="T364" s="11" t="n">
        <x:f>IFERROR(R364/P364,"")</x:f>
        <x:v>0.9116915422885572</x:v>
      </x:c>
      <x:c r="U364" s="10" t="n">
        <x:f>I364+J364+K364</x:f>
        <x:v>333</x:v>
      </x:c>
      <x:c r="V364" s="11" t="n">
        <x:f>IFERROR(U364/P364,"")</x:f>
        <x:v>0.08283582089552238</x:v>
      </x:c>
      <x:c r="W364" s="9" t="str">
        <x:v>mature_le_5pct_pending</x:v>
      </x:c>
      <x:c r="X364" s="12" t="n">
        <x:f>IFERROR(F364/Z364*100000,"")</x:f>
        <x:v>32.63510143668452</x:v>
      </x:c>
      <x:c r="Y364" s="13" t="n">
        <x:f>LN(Z364)</x:f>
        <x:v>16.33573608787663</x:v>
      </x:c>
      <x:c r="Z364" s="6" t="str">
        <x:v>12431400</x:v>
      </x:c>
      <x:c r="AA364" s="6" t="str">
        <x:v>1329.0</x:v>
      </x:c>
      <x:c r="AB364" s="9" t="str">
        <x:v>2024-06-30</x:v>
      </x:c>
      <x:c r="AC364" s="8" t="str">
        <x:v>87.93</x:v>
      </x:c>
      <x:c r="AD364" s="9" t="str">
        <x:v>2024 (Susenas)</x:v>
      </x:c>
      <x:c r="AE364" s="8" t="str">
        <x:v>5.84</x:v>
      </x:c>
      <x:c r="AF364" s="9" t="str">
        <x:v>Maret 2024 (Susenas)</x:v>
      </x:c>
      <x:c r="AG364" s="6" t="str">
        <x:v>27.11038229170679</x:v>
      </x:c>
      <x:c r="AH364" s="8" t="str">
        <x:v>86.34915895824506</x:v>
      </x:c>
      <x:c r="AI364" s="6" t="str">
        <x:v>330.76644468712686</x:v>
      </x:c>
      <x:c r="AJ364" s="6" t="str">
        <x:v>0.8976744717890099</x:v>
      </x:c>
      <x:c r="AK364" s="8" t="str">
        <x:v>2.261572954911041</x:v>
      </x:c>
      <x:c r="AL364" s="6" t="str">
        <x:v>2.7204114590456028</x:v>
      </x:c>
      <x:c r="AM364" s="6" t="str">
        <x:v>1.886296447493402</x:v>
      </x:c>
      <x:c r="AN364" s="6" t="str">
        <x:v>2.2894269538166827</x:v>
      </x:c>
      <x:c r="AO364" s="6" t="str">
        <x:v>0.0272576714330199</x:v>
      </x:c>
      <x:c r="AP364" s="8" t="str">
        <x:v>0.0218525392175631</x:v>
      </x:c>
      <x:c r="AQ364" s="6" t="str">
        <x:v>-1.582494230452156</x:v>
      </x:c>
      <x:c r="AR364" s="6" t="str">
        <x:v>-0.2928381961187387</x:v>
      </x:c>
      <x:c r="AS364" s="6" t="str">
        <x:v>-0.6178266291177773</x:v>
      </x:c>
      <x:c r="AT364" s="6" t="str">
        <x:v>109.98468170798508</x:v>
      </x:c>
      <x:c r="AU364" s="8" t="str">
        <x:v>1.584506102282979</x:v>
      </x:c>
      <x:c r="AV364" s="6" t="str">
        <x:v>0.344517956061068</x:v>
      </x:c>
      <x:c r="AW364" s="6" t="str">
        <x:v>0.9445584820235048</x:v>
      </x:c>
      <x:c r="AX364" s="6" t="str">
        <x:v>0.9578608467891836</x:v>
      </x:c>
      <x:c r="AY364" s="6" t="str">
        <x:v>1</x:v>
      </x:c>
      <x:c r="AZ364" s="6" t="str">
        <x:v>1</x:v>
      </x:c>
      <x:c r="BA364" s="9" t="str">
        <x:v>grid_cells_within_BIG_polygon</x:v>
      </x:c>
      <x:c r="BB364" s="6" t="str">
        <x:v>2</x:v>
      </x:c>
      <x:c r="BC364" s="6" t="str">
        <x:v>10</x:v>
      </x:c>
      <x:c r="BD364" s="6" t="str">
        <x:v>10</x:v>
      </x:c>
      <x:c r="BE364" s="6" t="str">
        <x:v>7</x:v>
      </x:c>
      <x:c r="BF364" s="6" t="str">
        <x:v>2</x:v>
      </x:c>
      <x:c r="BG364" s="6" t="str">
        <x:v>1</x:v>
      </x:c>
      <x:c r="BH364" s="6" t="str">
        <x:v>0</x:v>
      </x:c>
      <x:c r="BI364" s="6" t="str">
        <x:v>0</x:v>
      </x:c>
      <x:c r="BJ364" s="6" t="str">
        <x:v>0</x:v>
      </x:c>
      <x:c r="BK364" s="6" t="str">
        <x:v>0</x:v>
      </x:c>
      <x:c r="BL364" s="6" t="str">
        <x:v>0</x:v>
      </x:c>
      <x:c r="BM364" s="6" t="str">
        <x:v>0</x:v>
      </x:c>
      <x:c r="BN364" s="6" t="str">
        <x:v>10</x:v>
      </x:c>
      <x:c r="BO364" s="6" t="str">
        <x:v>0.0</x:v>
      </x:c>
      <x:c r="BP364" s="6" t="str">
        <x:v>10</x:v>
      </x:c>
      <x:c r="BQ364" s="6" t="str">
        <x:v>0.0</x:v>
      </x:c>
      <x:c r="BR364" s="6" t="str">
        <x:v>10</x:v>
      </x:c>
      <x:c r="BS364" s="6" t="str">
        <x:v>13.0</x:v>
      </x:c>
      <x:c r="BT364" s="6" t="str">
        <x:v>10</x:v>
      </x:c>
      <x:c r="BU364" s="6" t="str">
        <x:v>269.0</x:v>
      </x:c>
      <x:c r="BV364" s="6" t="str">
        <x:v>3</x:v>
      </x:c>
      <x:c r="BW364" s="9" t="str">
        <x:v>operational_snapshot_annual_totals_may_differ</x:v>
      </x:c>
      <x:c r="BX364" s="9" t="str">
        <x:v>official_live_dashboard_snapshot_subject_to_revision</x:v>
      </x:c>
      <x:c r="BY364" s="9" t="str">
        <x:v>https://tbdashboard.sitb.id/ss_data_tbc03so_2024_provinsi_bulanan_list.php</x:v>
      </x:c>
      <x:c r="BZ364" s="6" t="n">
        <x:v>46246.610671296294</x:v>
      </x:c>
    </x:row>
    <x:row r="365" ht="18" customHeight="1">
      <x:c r="A365" s="6" t="str">
        <x:v>36</x:v>
      </x:c>
      <x:c r="B365" s="6" t="str">
        <x:v>BANTEN</x:v>
      </x:c>
      <x:c r="C365" s="6" t="str">
        <x:v>2024</x:v>
      </x:c>
      <x:c r="D365" s="6" t="str">
        <x:v>4</x:v>
      </x:c>
      <x:c r="E365" s="6" t="str">
        <x:v>2024-04</x:v>
      </x:c>
      <x:c r="F365" s="6" t="str">
        <x:v>3996</x:v>
      </x:c>
      <x:c r="G365" s="6" t="str">
        <x:v>704</x:v>
      </x:c>
      <x:c r="H365" s="6" t="str">
        <x:v>2920</x:v>
      </x:c>
      <x:c r="I365" s="6" t="str">
        <x:v>204</x:v>
      </x:c>
      <x:c r="J365" s="6" t="str">
        <x:v>109</x:v>
      </x:c>
      <x:c r="K365" s="6" t="str">
        <x:v>2</x:v>
      </x:c>
      <x:c r="L365" s="6" t="str">
        <x:v>19</x:v>
      </x:c>
      <x:c r="M365" s="6" t="str">
        <x:v>38</x:v>
      </x:c>
      <x:c r="N365" s="6" t="str">
        <x:v>3996</x:v>
      </x:c>
      <x:c r="O365" s="6" t="str">
        <x:v>0</x:v>
      </x:c>
      <x:c r="P365" s="10" t="n">
        <x:f>F365-M365</x:f>
        <x:v>3958</x:v>
      </x:c>
      <x:c r="Q365" s="11" t="n">
        <x:f>IFERROR(M365/F365,"")</x:f>
        <x:v>0.00950950950950951</x:v>
      </x:c>
      <x:c r="R365" s="10" t="n">
        <x:f>G365+H365</x:f>
        <x:v>3624</x:v>
      </x:c>
      <x:c r="S365" s="11" t="n">
        <x:f>IFERROR(R365/F365,"")</x:f>
        <x:v>0.9069069069069069</x:v>
      </x:c>
      <x:c r="T365" s="11" t="n">
        <x:f>IFERROR(R365/P365,"")</x:f>
        <x:v>0.9156139464375948</x:v>
      </x:c>
      <x:c r="U365" s="10" t="n">
        <x:f>I365+J365+K365</x:f>
        <x:v>315</x:v>
      </x:c>
      <x:c r="V365" s="11" t="n">
        <x:f>IFERROR(U365/P365,"")</x:f>
        <x:v>0.07958564931783729</x:v>
      </x:c>
      <x:c r="W365" s="9" t="str">
        <x:v>mature_le_5pct_pending</x:v>
      </x:c>
      <x:c r="X365" s="12" t="n">
        <x:f>IFERROR(F365/Z365*100000,"")</x:f>
        <x:v>32.14440851392442</x:v>
      </x:c>
      <x:c r="Y365" s="13" t="n">
        <x:f>LN(Z365)</x:f>
        <x:v>16.33573608787663</x:v>
      </x:c>
      <x:c r="Z365" s="6" t="str">
        <x:v>12431400</x:v>
      </x:c>
      <x:c r="AA365" s="6" t="str">
        <x:v>1329.0</x:v>
      </x:c>
      <x:c r="AB365" s="9" t="str">
        <x:v>2024-06-30</x:v>
      </x:c>
      <x:c r="AC365" s="8" t="str">
        <x:v>87.93</x:v>
      </x:c>
      <x:c r="AD365" s="9" t="str">
        <x:v>2024 (Susenas)</x:v>
      </x:c>
      <x:c r="AE365" s="8" t="str">
        <x:v>5.84</x:v>
      </x:c>
      <x:c r="AF365" s="9" t="str">
        <x:v>Maret 2024 (Susenas)</x:v>
      </x:c>
      <x:c r="AG365" s="6" t="str">
        <x:v>27.88537512373729</x:v>
      </x:c>
      <x:c r="AH365" s="8" t="str">
        <x:v>84.75396064442216</x:v>
      </x:c>
      <x:c r="AI365" s="6" t="str">
        <x:v>271.34648769494385</x:v>
      </x:c>
      <x:c r="AJ365" s="6" t="str">
        <x:v>1.3503346076390272</x:v>
      </x:c>
      <x:c r="AK365" s="8" t="str">
        <x:v>3.376459199289925</x:v>
      </x:c>
      <x:c r="AL365" s="6" t="str">
        <x:v>2.261572954911041</x:v>
      </x:c>
      <x:c r="AM365" s="6" t="str">
        <x:v>2.7204114590456028</x:v>
      </x:c>
      <x:c r="AN365" s="6" t="str">
        <x:v>2.7861478710821905</x:v>
      </x:c>
      <x:c r="AO365" s="6" t="str">
        <x:v>-1.1897318439913391</x:v>
      </x:c>
      <x:c r="AP365" s="8" t="str">
        <x:v>-1.0677849590555464</x:v>
      </x:c>
      <x:c r="AQ365" s="6" t="str">
        <x:v>0.0218525392175631</x:v>
      </x:c>
      <x:c r="AR365" s="6" t="str">
        <x:v>-1.582494230452156</x:v>
      </x:c>
      <x:c r="AS365" s="6" t="str">
        <x:v>-0.8761422167633798</x:v>
      </x:c>
      <x:c r="AT365" s="6" t="str">
        <x:v>90.48626873060188</x:v>
      </x:c>
      <x:c r="AU365" s="8" t="str">
        <x:v>1.668599855295605</x:v>
      </x:c>
      <x:c r="AV365" s="6" t="str">
        <x:v>1.584506102282979</x:v>
      </x:c>
      <x:c r="AW365" s="6" t="str">
        <x:v>0.344517956061068</x:v>
      </x:c>
      <x:c r="AX365" s="6" t="str">
        <x:v>1.199207971213217</x:v>
      </x:c>
      <x:c r="AY365" s="6" t="str">
        <x:v>1</x:v>
      </x:c>
      <x:c r="AZ365" s="6" t="str">
        <x:v>1</x:v>
      </x:c>
      <x:c r="BA365" s="9" t="str">
        <x:v>grid_cells_within_BIG_polygon</x:v>
      </x:c>
      <x:c r="BB365" s="6" t="str">
        <x:v>2</x:v>
      </x:c>
      <x:c r="BC365" s="6" t="str">
        <x:v>13</x:v>
      </x:c>
      <x:c r="BD365" s="6" t="str">
        <x:v>13</x:v>
      </x:c>
      <x:c r="BE365" s="6" t="str">
        <x:v>12</x:v>
      </x:c>
      <x:c r="BF365" s="6" t="str">
        <x:v>0</x:v>
      </x:c>
      <x:c r="BG365" s="6" t="str">
        <x:v>1</x:v>
      </x:c>
      <x:c r="BH365" s="6" t="str">
        <x:v>0</x:v>
      </x:c>
      <x:c r="BI365" s="6" t="str">
        <x:v>0</x:v>
      </x:c>
      <x:c r="BJ365" s="6" t="str">
        <x:v>0</x:v>
      </x:c>
      <x:c r="BK365" s="6" t="str">
        <x:v>0</x:v>
      </x:c>
      <x:c r="BL365" s="6" t="str">
        <x:v>0</x:v>
      </x:c>
      <x:c r="BM365" s="6" t="str">
        <x:v>0</x:v>
      </x:c>
      <x:c r="BN365" s="6" t="str">
        <x:v>13</x:v>
      </x:c>
      <x:c r="BO365" s="6" t="str">
        <x:v>0.0</x:v>
      </x:c>
      <x:c r="BP365" s="6" t="str">
        <x:v>13</x:v>
      </x:c>
      <x:c r="BQ365" s="6" t="str">
        <x:v>3.0</x:v>
      </x:c>
      <x:c r="BR365" s="6" t="str">
        <x:v>13</x:v>
      </x:c>
      <x:c r="BS365" s="6" t="str">
        <x:v>10.0</x:v>
      </x:c>
      <x:c r="BT365" s="6" t="str">
        <x:v>13</x:v>
      </x:c>
      <x:c r="BU365" s="6" t="str">
        <x:v>442.0</x:v>
      </x:c>
      <x:c r="BV365" s="6" t="str">
        <x:v>5</x:v>
      </x:c>
      <x:c r="BW365" s="9" t="str">
        <x:v>operational_snapshot_annual_totals_may_differ</x:v>
      </x:c>
      <x:c r="BX365" s="9" t="str">
        <x:v>official_live_dashboard_snapshot_subject_to_revision</x:v>
      </x:c>
      <x:c r="BY365" s="9" t="str">
        <x:v>https://tbdashboard.sitb.id/ss_data_tbc03so_2024_provinsi_bulanan_list.php</x:v>
      </x:c>
      <x:c r="BZ365" s="6" t="n">
        <x:v>46246.610671296294</x:v>
      </x:c>
    </x:row>
    <x:row r="366" ht="18" customHeight="1">
      <x:c r="A366" s="6" t="str">
        <x:v>36</x:v>
      </x:c>
      <x:c r="B366" s="6" t="str">
        <x:v>BANTEN</x:v>
      </x:c>
      <x:c r="C366" s="6" t="str">
        <x:v>2024</x:v>
      </x:c>
      <x:c r="D366" s="6" t="str">
        <x:v>5</x:v>
      </x:c>
      <x:c r="E366" s="6" t="str">
        <x:v>2024-05</x:v>
      </x:c>
      <x:c r="F366" s="6" t="str">
        <x:v>4877</x:v>
      </x:c>
      <x:c r="G366" s="6" t="str">
        <x:v>957</x:v>
      </x:c>
      <x:c r="H366" s="6" t="str">
        <x:v>3537</x:v>
      </x:c>
      <x:c r="I366" s="6" t="str">
        <x:v>220</x:v>
      </x:c>
      <x:c r="J366" s="6" t="str">
        <x:v>114</x:v>
      </x:c>
      <x:c r="K366" s="6" t="str">
        <x:v>7</x:v>
      </x:c>
      <x:c r="L366" s="6" t="str">
        <x:v>11</x:v>
      </x:c>
      <x:c r="M366" s="6" t="str">
        <x:v>31</x:v>
      </x:c>
      <x:c r="N366" s="6" t="str">
        <x:v>4877</x:v>
      </x:c>
      <x:c r="O366" s="6" t="str">
        <x:v>0</x:v>
      </x:c>
      <x:c r="P366" s="10" t="n">
        <x:f>F366-M366</x:f>
        <x:v>4846</x:v>
      </x:c>
      <x:c r="Q366" s="11" t="n">
        <x:f>IFERROR(M366/F366,"")</x:f>
        <x:v>0.006356366618823047</x:v>
      </x:c>
      <x:c r="R366" s="10" t="n">
        <x:f>G366+H366</x:f>
        <x:v>4494</x:v>
      </x:c>
      <x:c r="S366" s="11" t="n">
        <x:f>IFERROR(R366/F366,"")</x:f>
        <x:v>0.9214681156448636</x:v>
      </x:c>
      <x:c r="T366" s="11" t="n">
        <x:f>IFERROR(R366/P366,"")</x:f>
        <x:v>0.9273627734213784</x:v>
      </x:c>
      <x:c r="U366" s="10" t="n">
        <x:f>I366+J366+K366</x:f>
        <x:v>341</x:v>
      </x:c>
      <x:c r="V366" s="11" t="n">
        <x:f>IFERROR(U366/P366,"")</x:f>
        <x:v>0.07036731324803962</x:v>
      </x:c>
      <x:c r="W366" s="9" t="str">
        <x:v>mature_le_5pct_pending</x:v>
      </x:c>
      <x:c r="X366" s="12" t="n">
        <x:f>IFERROR(F366/Z366*100000,"")</x:f>
        <x:v>39.23130138198433</x:v>
      </x:c>
      <x:c r="Y366" s="13" t="n">
        <x:f>LN(Z366)</x:f>
        <x:v>16.33573608787663</x:v>
      </x:c>
      <x:c r="Z366" s="6" t="str">
        <x:v>12431400</x:v>
      </x:c>
      <x:c r="AA366" s="6" t="str">
        <x:v>1329.0</x:v>
      </x:c>
      <x:c r="AB366" s="9" t="str">
        <x:v>2024-06-30</x:v>
      </x:c>
      <x:c r="AC366" s="8" t="str">
        <x:v>87.93</x:v>
      </x:c>
      <x:c r="AD366" s="9" t="str">
        <x:v>2024 (Susenas)</x:v>
      </x:c>
      <x:c r="AE366" s="8" t="str">
        <x:v>5.84</x:v>
      </x:c>
      <x:c r="AF366" s="9" t="str">
        <x:v>Maret 2024 (Susenas)</x:v>
      </x:c>
      <x:c r="AG366" s="6" t="str">
        <x:v>27.910377513060457</x:v>
      </x:c>
      <x:c r="AH366" s="8" t="str">
        <x:v>83.36427125643394</x:v>
      </x:c>
      <x:c r="AI366" s="6" t="str">
        <x:v>131.1258521349813</x:v>
      </x:c>
      <x:c r="AJ366" s="6" t="str">
        <x:v>1.176675746094702</x:v>
      </x:c>
      <x:c r="AK366" s="8" t="str">
        <x:v>3.2986547262361605</x:v>
      </x:c>
      <x:c r="AL366" s="6" t="str">
        <x:v>3.376459199289925</x:v>
      </x:c>
      <x:c r="AM366" s="6" t="str">
        <x:v>2.261572954911041</x:v>
      </x:c>
      <x:c r="AN366" s="6" t="str">
        <x:v>2.978895626812376</x:v>
      </x:c>
      <x:c r="AO366" s="6" t="str">
        <x:v>-1.187659657985364</x:v>
      </x:c>
      <x:c r="AP366" s="8" t="str">
        <x:v>-0.8464543906174896</x:v>
      </x:c>
      <x:c r="AQ366" s="6" t="str">
        <x:v>-1.0677849590555464</x:v>
      </x:c>
      <x:c r="AR366" s="6" t="str">
        <x:v>0.0218525392175631</x:v>
      </x:c>
      <x:c r="AS366" s="6" t="str">
        <x:v>-0.6307956034851577</x:v>
      </x:c>
      <x:c r="AT366" s="6" t="str">
        <x:v>-11.093107388700645</x:v>
      </x:c>
      <x:c r="AU366" s="8" t="str">
        <x:v>-0.2209207734038244</x:v>
      </x:c>
      <x:c r="AV366" s="6" t="str">
        <x:v>1.668599855295605</x:v>
      </x:c>
      <x:c r="AW366" s="6" t="str">
        <x:v>1.584506102282979</x:v>
      </x:c>
      <x:c r="AX366" s="6" t="str">
        <x:v>1.0107283947249197</x:v>
      </x:c>
      <x:c r="AY366" s="6" t="str">
        <x:v>0</x:v>
      </x:c>
      <x:c r="AZ366" s="6" t="str">
        <x:v>1</x:v>
      </x:c>
      <x:c r="BA366" s="9" t="str">
        <x:v>grid_cells_within_BIG_polygon</x:v>
      </x:c>
      <x:c r="BB366" s="6" t="str">
        <x:v>2</x:v>
      </x:c>
      <x:c r="BC366" s="6" t="str">
        <x:v>6</x:v>
      </x:c>
      <x:c r="BD366" s="6" t="str">
        <x:v>6</x:v>
      </x:c>
      <x:c r="BE366" s="6" t="str">
        <x:v>5</x:v>
      </x:c>
      <x:c r="BF366" s="6" t="str">
        <x:v>1</x:v>
      </x:c>
      <x:c r="BG366" s="6" t="str">
        <x:v>0</x:v>
      </x:c>
      <x:c r="BH366" s="6" t="str">
        <x:v>0</x:v>
      </x:c>
      <x:c r="BI366" s="6" t="str">
        <x:v>0</x:v>
      </x:c>
      <x:c r="BJ366" s="6" t="str">
        <x:v>0</x:v>
      </x:c>
      <x:c r="BK366" s="6" t="str">
        <x:v>0</x:v>
      </x:c>
      <x:c r="BL366" s="6" t="str">
        <x:v>0</x:v>
      </x:c>
      <x:c r="BM366" s="6" t="str">
        <x:v>0</x:v>
      </x:c>
      <x:c r="BN366" s="6" t="str">
        <x:v>6</x:v>
      </x:c>
      <x:c r="BO366" s="6" t="str">
        <x:v>0.0</x:v>
      </x:c>
      <x:c r="BP366" s="6" t="str">
        <x:v>6</x:v>
      </x:c>
      <x:c r="BQ366" s="6" t="str">
        <x:v>0.0</x:v>
      </x:c>
      <x:c r="BR366" s="6" t="str">
        <x:v>6</x:v>
      </x:c>
      <x:c r="BS366" s="6" t="str">
        <x:v>5.0</x:v>
      </x:c>
      <x:c r="BT366" s="6" t="str">
        <x:v>6</x:v>
      </x:c>
      <x:c r="BU366" s="6" t="str">
        <x:v>908.0</x:v>
      </x:c>
      <x:c r="BV366" s="6" t="str">
        <x:v>3</x:v>
      </x:c>
      <x:c r="BW366" s="9" t="str">
        <x:v>operational_snapshot_annual_totals_may_differ</x:v>
      </x:c>
      <x:c r="BX366" s="9" t="str">
        <x:v>official_live_dashboard_snapshot_subject_to_revision</x:v>
      </x:c>
      <x:c r="BY366" s="9" t="str">
        <x:v>https://tbdashboard.sitb.id/ss_data_tbc03so_2024_provinsi_bulanan_list.php</x:v>
      </x:c>
      <x:c r="BZ366" s="6" t="n">
        <x:v>46246.610671296294</x:v>
      </x:c>
    </x:row>
    <x:row r="367" ht="18" customHeight="1">
      <x:c r="A367" s="6" t="str">
        <x:v>36</x:v>
      </x:c>
      <x:c r="B367" s="6" t="str">
        <x:v>BANTEN</x:v>
      </x:c>
      <x:c r="C367" s="6" t="str">
        <x:v>2024</x:v>
      </x:c>
      <x:c r="D367" s="6" t="str">
        <x:v>6</x:v>
      </x:c>
      <x:c r="E367" s="6" t="str">
        <x:v>2024-06</x:v>
      </x:c>
      <x:c r="F367" s="6" t="str">
        <x:v>3971</x:v>
      </x:c>
      <x:c r="G367" s="6" t="str">
        <x:v>712</x:v>
      </x:c>
      <x:c r="H367" s="6" t="str">
        <x:v>2910</x:v>
      </x:c>
      <x:c r="I367" s="6" t="str">
        <x:v>185</x:v>
      </x:c>
      <x:c r="J367" s="6" t="str">
        <x:v>125</x:v>
      </x:c>
      <x:c r="K367" s="6" t="str">
        <x:v>3</x:v>
      </x:c>
      <x:c r="L367" s="6" t="str">
        <x:v>14</x:v>
      </x:c>
      <x:c r="M367" s="6" t="str">
        <x:v>22</x:v>
      </x:c>
      <x:c r="N367" s="6" t="str">
        <x:v>3971</x:v>
      </x:c>
      <x:c r="O367" s="6" t="str">
        <x:v>0</x:v>
      </x:c>
      <x:c r="P367" s="10" t="n">
        <x:f>F367-M367</x:f>
        <x:v>3949</x:v>
      </x:c>
      <x:c r="Q367" s="11" t="n">
        <x:f>IFERROR(M367/F367,"")</x:f>
        <x:v>0.00554016620498615</x:v>
      </x:c>
      <x:c r="R367" s="10" t="n">
        <x:f>G367+H367</x:f>
        <x:v>3622</x:v>
      </x:c>
      <x:c r="S367" s="11" t="n">
        <x:f>IFERROR(R367/F367,"")</x:f>
        <x:v>0.9121128179299924</x:v>
      </x:c>
      <x:c r="T367" s="11" t="n">
        <x:f>IFERROR(R367/P367,"")</x:f>
        <x:v>0.9171942263864269</x:v>
      </x:c>
      <x:c r="U367" s="10" t="n">
        <x:f>I367+J367+K367</x:f>
        <x:v>313</x:v>
      </x:c>
      <x:c r="V367" s="11" t="n">
        <x:f>IFERROR(U367/P367,"")</x:f>
        <x:v>0.079260572296784</x:v>
      </x:c>
      <x:c r="W367" s="9" t="str">
        <x:v>mature_le_5pct_pending</x:v>
      </x:c>
      <x:c r="X367" s="12" t="n">
        <x:f>IFERROR(F367/Z367*100000,"")</x:f>
        <x:v>31.943304857055523</x:v>
      </x:c>
      <x:c r="Y367" s="13" t="n">
        <x:f>LN(Z367)</x:f>
        <x:v>16.33573608787663</x:v>
      </x:c>
      <x:c r="Z367" s="6" t="str">
        <x:v>12431400</x:v>
      </x:c>
      <x:c r="AA367" s="6" t="str">
        <x:v>1329.0</x:v>
      </x:c>
      <x:c r="AB367" s="9" t="str">
        <x:v>2024-06-30</x:v>
      </x:c>
      <x:c r="AC367" s="8" t="str">
        <x:v>87.93</x:v>
      </x:c>
      <x:c r="AD367" s="9" t="str">
        <x:v>2024 (Susenas)</x:v>
      </x:c>
      <x:c r="AE367" s="8" t="str">
        <x:v>5.84</x:v>
      </x:c>
      <x:c r="AF367" s="9" t="str">
        <x:v>Maret 2024 (Susenas)</x:v>
      </x:c>
      <x:c r="AG367" s="6" t="str">
        <x:v>27.330372734414123</x:v>
      </x:c>
      <x:c r="AH367" s="8" t="str">
        <x:v>82.90924975252544</x:v>
      </x:c>
      <x:c r="AI367" s="6" t="str">
        <x:v>199.18781445184607</x:v>
      </x:c>
      <x:c r="AJ367" s="6" t="str">
        <x:v>1.0313212274292844</x:v>
      </x:c>
      <x:c r="AK367" s="8" t="str">
        <x:v>3.296363659583771</x:v>
      </x:c>
      <x:c r="AL367" s="6" t="str">
        <x:v>3.2986547262361605</x:v>
      </x:c>
      <x:c r="AM367" s="6" t="str">
        <x:v>3.376459199289925</x:v>
      </x:c>
      <x:c r="AN367" s="6" t="str">
        <x:v>3.323825861703286</x:v>
      </x:c>
      <x:c r="AO367" s="6" t="str">
        <x:v>-0.4341907988306417</x:v>
      </x:c>
      <x:c r="AP367" s="8" t="str">
        <x:v>-0.21376933403341</x:v>
      </x:c>
      <x:c r="AQ367" s="6" t="str">
        <x:v>-0.8464543906174896</x:v>
      </x:c>
      <x:c r="AR367" s="6" t="str">
        <x:v>-1.0677849590555464</x:v>
      </x:c>
      <x:c r="AS367" s="6" t="str">
        <x:v>-0.7093362279021488</x:v>
      </x:c>
      <x:c r="AT367" s="6" t="str">
        <x:v>108.72921937386852</x:v>
      </x:c>
      <x:c r="AU367" s="8" t="str">
        <x:v>2.166439335263504</x:v>
      </x:c>
      <x:c r="AV367" s="6" t="str">
        <x:v>-0.2209207734038244</x:v>
      </x:c>
      <x:c r="AW367" s="6" t="str">
        <x:v>1.668599855295605</x:v>
      </x:c>
      <x:c r="AX367" s="6" t="str">
        <x:v>1.2047061390517613</x:v>
      </x:c>
      <x:c r="AY367" s="6" t="str">
        <x:v>1</x:v>
      </x:c>
      <x:c r="AZ367" s="6" t="str">
        <x:v>1</x:v>
      </x:c>
      <x:c r="BA367" s="9" t="str">
        <x:v>grid_cells_within_BIG_polygon</x:v>
      </x:c>
      <x:c r="BB367" s="6" t="str">
        <x:v>2</x:v>
      </x:c>
      <x:c r="BC367" s="6" t="str">
        <x:v>2</x:v>
      </x:c>
      <x:c r="BD367" s="6" t="str">
        <x:v>2</x:v>
      </x:c>
      <x:c r="BE367" s="6" t="str">
        <x:v>2</x:v>
      </x:c>
      <x:c r="BF367" s="6" t="str">
        <x:v>0</x:v>
      </x:c>
      <x:c r="BG367" s="6" t="str">
        <x:v>0</x:v>
      </x:c>
      <x:c r="BH367" s="6" t="str">
        <x:v>0</x:v>
      </x:c>
      <x:c r="BI367" s="6" t="str">
        <x:v>0</x:v>
      </x:c>
      <x:c r="BJ367" s="6" t="str">
        <x:v>0</x:v>
      </x:c>
      <x:c r="BK367" s="6" t="str">
        <x:v>0</x:v>
      </x:c>
      <x:c r="BL367" s="6" t="str">
        <x:v>0</x:v>
      </x:c>
      <x:c r="BM367" s="6" t="str">
        <x:v>0</x:v>
      </x:c>
      <x:c r="BN367" s="6" t="str">
        <x:v>2</x:v>
      </x:c>
      <x:c r="BO367" s="6" t="str">
        <x:v>0.0</x:v>
      </x:c>
      <x:c r="BP367" s="6" t="str">
        <x:v>2</x:v>
      </x:c>
      <x:c r="BQ367" s="6" t="str">
        <x:v>0.0</x:v>
      </x:c>
      <x:c r="BR367" s="6" t="str">
        <x:v>2</x:v>
      </x:c>
      <x:c r="BS367" s="6" t="str">
        <x:v>10.0</x:v>
      </x:c>
      <x:c r="BT367" s="6" t="str">
        <x:v>2</x:v>
      </x:c>
      <x:c r="BU367" s="6" t="str"/>
      <x:c r="BV367" s="6" t="str">
        <x:v>0</x:v>
      </x:c>
      <x:c r="BW367" s="9" t="str">
        <x:v>operational_snapshot_annual_totals_may_differ</x:v>
      </x:c>
      <x:c r="BX367" s="9" t="str">
        <x:v>official_live_dashboard_snapshot_subject_to_revision</x:v>
      </x:c>
      <x:c r="BY367" s="9" t="str">
        <x:v>https://tbdashboard.sitb.id/ss_data_tbc03so_2024_provinsi_bulanan_list.php</x:v>
      </x:c>
      <x:c r="BZ367" s="6" t="n">
        <x:v>46246.610671296294</x:v>
      </x:c>
    </x:row>
    <x:row r="368" ht="18" customHeight="1">
      <x:c r="A368" s="6" t="str">
        <x:v>36</x:v>
      </x:c>
      <x:c r="B368" s="6" t="str">
        <x:v>BANTEN</x:v>
      </x:c>
      <x:c r="C368" s="6" t="str">
        <x:v>2024</x:v>
      </x:c>
      <x:c r="D368" s="6" t="str">
        <x:v>7</x:v>
      </x:c>
      <x:c r="E368" s="6" t="str">
        <x:v>2024-07</x:v>
      </x:c>
      <x:c r="F368" s="6" t="str">
        <x:v>4595</x:v>
      </x:c>
      <x:c r="G368" s="6" t="str">
        <x:v>922</x:v>
      </x:c>
      <x:c r="H368" s="6" t="str">
        <x:v>3261</x:v>
      </x:c>
      <x:c r="I368" s="6" t="str">
        <x:v>193</x:v>
      </x:c>
      <x:c r="J368" s="6" t="str">
        <x:v>132</x:v>
      </x:c>
      <x:c r="K368" s="6" t="str">
        <x:v>12</x:v>
      </x:c>
      <x:c r="L368" s="6" t="str">
        <x:v>12</x:v>
      </x:c>
      <x:c r="M368" s="6" t="str">
        <x:v>63</x:v>
      </x:c>
      <x:c r="N368" s="6" t="str">
        <x:v>4595</x:v>
      </x:c>
      <x:c r="O368" s="6" t="str">
        <x:v>0</x:v>
      </x:c>
      <x:c r="P368" s="10" t="n">
        <x:f>F368-M368</x:f>
        <x:v>4532</x:v>
      </x:c>
      <x:c r="Q368" s="11" t="n">
        <x:f>IFERROR(M368/F368,"")</x:f>
        <x:v>0.013710554951033732</x:v>
      </x:c>
      <x:c r="R368" s="10" t="n">
        <x:f>G368+H368</x:f>
        <x:v>4183</x:v>
      </x:c>
      <x:c r="S368" s="11" t="n">
        <x:f>IFERROR(R368/F368,"")</x:f>
        <x:v>0.9103373231773667</x:v>
      </x:c>
      <x:c r="T368" s="11" t="n">
        <x:f>IFERROR(R368/P368,"")</x:f>
        <x:v>0.9229920564872022</x:v>
      </x:c>
      <x:c r="U368" s="10" t="n">
        <x:f>I368+J368+K368</x:f>
        <x:v>337</x:v>
      </x:c>
      <x:c r="V368" s="11" t="n">
        <x:f>IFERROR(U368/P368,"")</x:f>
        <x:v>0.07436010591350398</x:v>
      </x:c>
      <x:c r="W368" s="9" t="str">
        <x:v>mature_le_5pct_pending</x:v>
      </x:c>
      <x:c r="X368" s="12" t="n">
        <x:f>IFERROR(F368/Z368*100000,"")</x:f>
        <x:v>36.96285213250318</x:v>
      </x:c>
      <x:c r="Y368" s="13" t="n">
        <x:f>LN(Z368)</x:f>
        <x:v>16.33573608787663</x:v>
      </x:c>
      <x:c r="Z368" s="6" t="str">
        <x:v>12431400</x:v>
      </x:c>
      <x:c r="AA368" s="6" t="str">
        <x:v>1329.0</x:v>
      </x:c>
      <x:c r="AB368" s="9" t="str">
        <x:v>2024-06-30</x:v>
      </x:c>
      <x:c r="AC368" s="8" t="str">
        <x:v>87.93</x:v>
      </x:c>
      <x:c r="AD368" s="9" t="str">
        <x:v>2024 (Susenas)</x:v>
      </x:c>
      <x:c r="AE368" s="8" t="str">
        <x:v>5.84</x:v>
      </x:c>
      <x:c r="AF368" s="9" t="str">
        <x:v>Maret 2024 (Susenas)</x:v>
      </x:c>
      <x:c r="AG368" s="6" t="str">
        <x:v>26.52541335290797</x:v>
      </x:c>
      <x:c r="AH368" s="8" t="str">
        <x:v>81.53903471344036</x:v>
      </x:c>
      <x:c r="AI368" s="6" t="str">
        <x:v>195.7604817898904</x:v>
      </x:c>
      <x:c r="AJ368" s="6" t="str">
        <x:v>0.6718437667111665</x:v>
      </x:c>
      <x:c r="AK368" s="8" t="str">
        <x:v>1.894376578663439</x:v>
      </x:c>
      <x:c r="AL368" s="6" t="str">
        <x:v>3.296363659583771</x:v>
      </x:c>
      <x:c r="AM368" s="6" t="str">
        <x:v>3.2986547262361605</x:v>
      </x:c>
      <x:c r="AN368" s="6" t="str">
        <x:v>2.829798321494457</x:v>
      </x:c>
      <x:c r="AO368" s="6" t="str">
        <x:v>-0.0641815885607286</x:v>
      </x:c>
      <x:c r="AP368" s="8" t="str">
        <x:v>-0.0248436678367178</x:v>
      </x:c>
      <x:c r="AQ368" s="6" t="str">
        <x:v>-0.21376933403341</x:v>
      </x:c>
      <x:c r="AR368" s="6" t="str">
        <x:v>-0.8464543906174896</x:v>
      </x:c>
      <x:c r="AS368" s="6" t="str">
        <x:v>-0.361689130829206</x:v>
      </x:c>
      <x:c r="AT368" s="6" t="str">
        <x:v>113.09416077864192</x:v>
      </x:c>
      <x:c r="AU368" s="8" t="str">
        <x:v>1.5173260376026432</x:v>
      </x:c>
      <x:c r="AV368" s="6" t="str">
        <x:v>2.166439335263504</x:v>
      </x:c>
      <x:c r="AW368" s="6" t="str">
        <x:v>-0.2209207734038244</x:v>
      </x:c>
      <x:c r="AX368" s="6" t="str">
        <x:v>1.1542815331541074</x:v>
      </x:c>
      <x:c r="AY368" s="6" t="str">
        <x:v>1</x:v>
      </x:c>
      <x:c r="AZ368" s="6" t="str">
        <x:v>1</x:v>
      </x:c>
      <x:c r="BA368" s="9" t="str">
        <x:v>grid_cells_within_BIG_polygon</x:v>
      </x:c>
      <x:c r="BB368" s="6" t="str">
        <x:v>2</x:v>
      </x:c>
      <x:c r="BC368" s="6" t="str">
        <x:v>4</x:v>
      </x:c>
      <x:c r="BD368" s="6" t="str">
        <x:v>4</x:v>
      </x:c>
      <x:c r="BE368" s="6" t="str">
        <x:v>4</x:v>
      </x:c>
      <x:c r="BF368" s="6" t="str">
        <x:v>0</x:v>
      </x:c>
      <x:c r="BG368" s="6" t="str">
        <x:v>0</x:v>
      </x:c>
      <x:c r="BH368" s="6" t="str">
        <x:v>0</x:v>
      </x:c>
      <x:c r="BI368" s="6" t="str">
        <x:v>0</x:v>
      </x:c>
      <x:c r="BJ368" s="6" t="str">
        <x:v>0</x:v>
      </x:c>
      <x:c r="BK368" s="6" t="str">
        <x:v>0</x:v>
      </x:c>
      <x:c r="BL368" s="6" t="str">
        <x:v>0</x:v>
      </x:c>
      <x:c r="BM368" s="6" t="str">
        <x:v>0</x:v>
      </x:c>
      <x:c r="BN368" s="6" t="str">
        <x:v>4</x:v>
      </x:c>
      <x:c r="BO368" s="6" t="str">
        <x:v>0.0</x:v>
      </x:c>
      <x:c r="BP368" s="6" t="str">
        <x:v>4</x:v>
      </x:c>
      <x:c r="BQ368" s="6" t="str">
        <x:v>0.0</x:v>
      </x:c>
      <x:c r="BR368" s="6" t="str">
        <x:v>4</x:v>
      </x:c>
      <x:c r="BS368" s="6" t="str">
        <x:v>0.0</x:v>
      </x:c>
      <x:c r="BT368" s="6" t="str">
        <x:v>4</x:v>
      </x:c>
      <x:c r="BU368" s="6" t="str">
        <x:v>363.0</x:v>
      </x:c>
      <x:c r="BV368" s="6" t="str">
        <x:v>3</x:v>
      </x:c>
      <x:c r="BW368" s="9" t="str">
        <x:v>operational_snapshot_annual_totals_may_differ</x:v>
      </x:c>
      <x:c r="BX368" s="9" t="str">
        <x:v>official_live_dashboard_snapshot_subject_to_revision</x:v>
      </x:c>
      <x:c r="BY368" s="9" t="str">
        <x:v>https://tbdashboard.sitb.id/ss_data_tbc03so_2024_provinsi_bulanan_list.php</x:v>
      </x:c>
      <x:c r="BZ368" s="6" t="n">
        <x:v>46246.610671296294</x:v>
      </x:c>
    </x:row>
    <x:row r="369" ht="18" customHeight="1">
      <x:c r="A369" s="6" t="str">
        <x:v>36</x:v>
      </x:c>
      <x:c r="B369" s="6" t="str">
        <x:v>BANTEN</x:v>
      </x:c>
      <x:c r="C369" s="6" t="str">
        <x:v>2024</x:v>
      </x:c>
      <x:c r="D369" s="6" t="str">
        <x:v>8</x:v>
      </x:c>
      <x:c r="E369" s="6" t="str">
        <x:v>2024-08</x:v>
      </x:c>
      <x:c r="F369" s="6" t="str">
        <x:v>4848</x:v>
      </x:c>
      <x:c r="G369" s="6" t="str">
        <x:v>872</x:v>
      </x:c>
      <x:c r="H369" s="6" t="str">
        <x:v>3615</x:v>
      </x:c>
      <x:c r="I369" s="6" t="str">
        <x:v>174</x:v>
      </x:c>
      <x:c r="J369" s="6" t="str">
        <x:v>99</x:v>
      </x:c>
      <x:c r="K369" s="6" t="str">
        <x:v>9</x:v>
      </x:c>
      <x:c r="L369" s="6" t="str">
        <x:v>22</x:v>
      </x:c>
      <x:c r="M369" s="6" t="str">
        <x:v>57</x:v>
      </x:c>
      <x:c r="N369" s="6" t="str">
        <x:v>4848</x:v>
      </x:c>
      <x:c r="O369" s="6" t="str">
        <x:v>0</x:v>
      </x:c>
      <x:c r="P369" s="10" t="n">
        <x:f>F369-M369</x:f>
        <x:v>4791</x:v>
      </x:c>
      <x:c r="Q369" s="11" t="n">
        <x:f>IFERROR(M369/F369,"")</x:f>
        <x:v>0.011757425742574257</x:v>
      </x:c>
      <x:c r="R369" s="10" t="n">
        <x:f>G369+H369</x:f>
        <x:v>4487</x:v>
      </x:c>
      <x:c r="S369" s="11" t="n">
        <x:f>IFERROR(R369/F369,"")</x:f>
        <x:v>0.925536303630363</x:v>
      </x:c>
      <x:c r="T369" s="11" t="n">
        <x:f>IFERROR(R369/P369,"")</x:f>
        <x:v>0.936547693592152</x:v>
      </x:c>
      <x:c r="U369" s="10" t="n">
        <x:f>I369+J369+K369</x:f>
        <x:v>282</x:v>
      </x:c>
      <x:c r="V369" s="11" t="n">
        <x:f>IFERROR(U369/P369,"")</x:f>
        <x:v>0.058860363180964305</x:v>
      </x:c>
      <x:c r="W369" s="9" t="str">
        <x:v>mature_le_5pct_pending</x:v>
      </x:c>
      <x:c r="X369" s="12" t="n">
        <x:f>IFERROR(F369/Z369*100000,"")</x:f>
        <x:v>38.99802114001641</x:v>
      </x:c>
      <x:c r="Y369" s="13" t="n">
        <x:f>LN(Z369)</x:f>
        <x:v>16.33573608787663</x:v>
      </x:c>
      <x:c r="Z369" s="6" t="str">
        <x:v>12431400</x:v>
      </x:c>
      <x:c r="AA369" s="6" t="str">
        <x:v>1329.0</x:v>
      </x:c>
      <x:c r="AB369" s="9" t="str">
        <x:v>2024-06-30</x:v>
      </x:c>
      <x:c r="AC369" s="8" t="str">
        <x:v>87.93</x:v>
      </x:c>
      <x:c r="AD369" s="9" t="str">
        <x:v>2024 (Susenas)</x:v>
      </x:c>
      <x:c r="AE369" s="8" t="str">
        <x:v>5.84</x:v>
      </x:c>
      <x:c r="AF369" s="9" t="str">
        <x:v>Maret 2024 (Susenas)</x:v>
      </x:c>
      <x:c r="AG369" s="6" t="str">
        <x:v>26.58541813155431</x:v>
      </x:c>
      <x:c r="AH369" s="8" t="str">
        <x:v>79.44417568350724</x:v>
      </x:c>
      <x:c r="AI369" s="6" t="str">
        <x:v>59.82911117178171</x:v>
      </x:c>
      <x:c r="AJ369" s="6" t="str">
        <x:v>0.6485169641944957</x:v>
      </x:c>
      <x:c r="AK369" s="8" t="str">
        <x:v>1.8929787674377452</x:v>
      </x:c>
      <x:c r="AL369" s="6" t="str">
        <x:v>1.894376578663439</x:v>
      </x:c>
      <x:c r="AM369" s="6" t="str">
        <x:v>3.296363659583771</x:v>
      </x:c>
      <x:c r="AN369" s="6" t="str">
        <x:v>2.361239668561652</x:v>
      </x:c>
      <x:c r="AO369" s="6" t="str">
        <x:v>0.2937179290243534</x:v>
      </x:c>
      <x:c r="AP369" s="8" t="str">
        <x:v>0.1024124647386942</x:v>
      </x:c>
      <x:c r="AQ369" s="6" t="str">
        <x:v>-0.0248436678367178</x:v>
      </x:c>
      <x:c r="AR369" s="6" t="str">
        <x:v>-0.21376933403341</x:v>
      </x:c>
      <x:c r="AS369" s="6" t="str">
        <x:v>-0.0454001790438113</x:v>
      </x:c>
      <x:c r="AT369" s="6" t="str">
        <x:v>1.3641333242327391</x:v>
      </x:c>
      <x:c r="AU369" s="8" t="str">
        <x:v>0.0252397233736989</x:v>
      </x:c>
      <x:c r="AV369" s="6" t="str">
        <x:v>1.5173260376026432</x:v>
      </x:c>
      <x:c r="AW369" s="6" t="str">
        <x:v>2.166439335263504</x:v>
      </x:c>
      <x:c r="AX369" s="6" t="str">
        <x:v>1.2363350320799484</x:v>
      </x:c>
      <x:c r="AY369" s="6" t="str">
        <x:v>0</x:v>
      </x:c>
      <x:c r="AZ369" s="6" t="str">
        <x:v>1</x:v>
      </x:c>
      <x:c r="BA369" s="9" t="str">
        <x:v>grid_cells_within_BIG_polygon</x:v>
      </x:c>
      <x:c r="BB369" s="6" t="str">
        <x:v>2</x:v>
      </x:c>
      <x:c r="BC369" s="6" t="str">
        <x:v>2</x:v>
      </x:c>
      <x:c r="BD369" s="6" t="str">
        <x:v>2</x:v>
      </x:c>
      <x:c r="BE369" s="6" t="str">
        <x:v>0</x:v>
      </x:c>
      <x:c r="BF369" s="6" t="str">
        <x:v>0</x:v>
      </x:c>
      <x:c r="BG369" s="6" t="str">
        <x:v>0</x:v>
      </x:c>
      <x:c r="BH369" s="6" t="str">
        <x:v>0</x:v>
      </x:c>
      <x:c r="BI369" s="6" t="str">
        <x:v>2</x:v>
      </x:c>
      <x:c r="BJ369" s="6" t="str">
        <x:v>0</x:v>
      </x:c>
      <x:c r="BK369" s="6" t="str">
        <x:v>0</x:v>
      </x:c>
      <x:c r="BL369" s="6" t="str">
        <x:v>0</x:v>
      </x:c>
      <x:c r="BM369" s="6" t="str">
        <x:v>0</x:v>
      </x:c>
      <x:c r="BN369" s="6" t="str">
        <x:v>2</x:v>
      </x:c>
      <x:c r="BO369" s="6" t="str">
        <x:v>0.0</x:v>
      </x:c>
      <x:c r="BP369" s="6" t="str">
        <x:v>2</x:v>
      </x:c>
      <x:c r="BQ369" s="6" t="str">
        <x:v>0.0</x:v>
      </x:c>
      <x:c r="BR369" s="6" t="str">
        <x:v>2</x:v>
      </x:c>
      <x:c r="BS369" s="6" t="str">
        <x:v>0.0</x:v>
      </x:c>
      <x:c r="BT369" s="6" t="str">
        <x:v>2</x:v>
      </x:c>
      <x:c r="BU369" s="6" t="str"/>
      <x:c r="BV369" s="6" t="str">
        <x:v>0</x:v>
      </x:c>
      <x:c r="BW369" s="9" t="str">
        <x:v>operational_snapshot_annual_totals_may_differ</x:v>
      </x:c>
      <x:c r="BX369" s="9" t="str">
        <x:v>official_live_dashboard_snapshot_subject_to_revision</x:v>
      </x:c>
      <x:c r="BY369" s="9" t="str">
        <x:v>https://tbdashboard.sitb.id/ss_data_tbc03so_2024_provinsi_bulanan_list.php</x:v>
      </x:c>
      <x:c r="BZ369" s="6" t="n">
        <x:v>46246.610671296294</x:v>
      </x:c>
    </x:row>
    <x:row r="370" ht="18" customHeight="1">
      <x:c r="A370" s="6" t="str">
        <x:v>36</x:v>
      </x:c>
      <x:c r="B370" s="6" t="str">
        <x:v>BANTEN</x:v>
      </x:c>
      <x:c r="C370" s="6" t="str">
        <x:v>2024</x:v>
      </x:c>
      <x:c r="D370" s="6" t="str">
        <x:v>9</x:v>
      </x:c>
      <x:c r="E370" s="6" t="str">
        <x:v>2024-09</x:v>
      </x:c>
      <x:c r="F370" s="6" t="str">
        <x:v>4442</x:v>
      </x:c>
      <x:c r="G370" s="6" t="str">
        <x:v>705</x:v>
      </x:c>
      <x:c r="H370" s="6" t="str">
        <x:v>3363</x:v>
      </x:c>
      <x:c r="I370" s="6" t="str">
        <x:v>175</x:v>
      </x:c>
      <x:c r="J370" s="6" t="str">
        <x:v>116</x:v>
      </x:c>
      <x:c r="K370" s="6" t="str">
        <x:v>7</x:v>
      </x:c>
      <x:c r="L370" s="6" t="str">
        <x:v>22</x:v>
      </x:c>
      <x:c r="M370" s="6" t="str">
        <x:v>54</x:v>
      </x:c>
      <x:c r="N370" s="6" t="str">
        <x:v>4442</x:v>
      </x:c>
      <x:c r="O370" s="6" t="str">
        <x:v>0</x:v>
      </x:c>
      <x:c r="P370" s="10" t="n">
        <x:f>F370-M370</x:f>
        <x:v>4388</x:v>
      </x:c>
      <x:c r="Q370" s="11" t="n">
        <x:f>IFERROR(M370/F370,"")</x:f>
        <x:v>0.012156686177397569</x:v>
      </x:c>
      <x:c r="R370" s="10" t="n">
        <x:f>G370+H370</x:f>
        <x:v>4068</x:v>
      </x:c>
      <x:c r="S370" s="11" t="n">
        <x:f>IFERROR(R370/F370,"")</x:f>
        <x:v>0.9158036920306168</x:v>
      </x:c>
      <x:c r="T370" s="11" t="n">
        <x:f>IFERROR(R370/P370,"")</x:f>
        <x:v>0.927073837739289</x:v>
      </x:c>
      <x:c r="U370" s="10" t="n">
        <x:f>I370+J370+K370</x:f>
        <x:v>298</x:v>
      </x:c>
      <x:c r="V370" s="11" t="n">
        <x:f>IFERROR(U370/P370,"")</x:f>
        <x:v>0.06791248860528715</x:v>
      </x:c>
      <x:c r="W370" s="9" t="str">
        <x:v>mature_le_5pct_pending</x:v>
      </x:c>
      <x:c r="X370" s="12" t="n">
        <x:f>IFERROR(F370/Z370*100000,"")</x:f>
        <x:v>35.73209775246553</x:v>
      </x:c>
      <x:c r="Y370" s="13" t="n">
        <x:f>LN(Z370)</x:f>
        <x:v>16.33573608787663</x:v>
      </x:c>
      <x:c r="Z370" s="6" t="str">
        <x:v>12431400</x:v>
      </x:c>
      <x:c r="AA370" s="6" t="str">
        <x:v>1329.0</x:v>
      </x:c>
      <x:c r="AB370" s="9" t="str">
        <x:v>2024-06-30</x:v>
      </x:c>
      <x:c r="AC370" s="8" t="str">
        <x:v>87.93</x:v>
      </x:c>
      <x:c r="AD370" s="9" t="str">
        <x:v>2024 (Susenas)</x:v>
      </x:c>
      <x:c r="AE370" s="8" t="str">
        <x:v>5.84</x:v>
      </x:c>
      <x:c r="AF370" s="9" t="str">
        <x:v>Maret 2024 (Susenas)</x:v>
      </x:c>
      <x:c r="AG370" s="6" t="str">
        <x:v>26.945394238322628</x:v>
      </x:c>
      <x:c r="AH370" s="8" t="str">
        <x:v>79.90924019523274</x:v>
      </x:c>
      <x:c r="AI370" s="6" t="str">
        <x:v>128.53731269398085</x:v>
      </x:c>
      <x:c r="AJ370" s="6" t="str">
        <x:v>0.3835015132380022</x:v>
      </x:c>
      <x:c r="AK370" s="8" t="str">
        <x:v>1.2717928289935747</x:v>
      </x:c>
      <x:c r="AL370" s="6" t="str">
        <x:v>1.8929787674377452</x:v>
      </x:c>
      <x:c r="AM370" s="6" t="str">
        <x:v>1.894376578663439</x:v>
      </x:c>
      <x:c r="AN370" s="6" t="str">
        <x:v>1.6863827250315868</x:v>
      </x:c>
      <x:c r="AO370" s="6" t="str">
        <x:v>2.7657789364092054</x:v>
      </x:c>
      <x:c r="AP370" s="8" t="str">
        <x:v>0.6747772141647467</x:v>
      </x:c>
      <x:c r="AQ370" s="6" t="str">
        <x:v>0.1024124647386942</x:v>
      </x:c>
      <x:c r="AR370" s="6" t="str">
        <x:v>-0.0248436678367178</x:v>
      </x:c>
      <x:c r="AS370" s="6" t="str">
        <x:v>0.2507820036889075</x:v>
      </x:c>
      <x:c r="AT370" s="6" t="str">
        <x:v>55.174862101800514</x:v>
      </x:c>
      <x:c r="AU370" s="8" t="str">
        <x:v>0.8053655743479051</x:v>
      </x:c>
      <x:c r="AV370" s="6" t="str">
        <x:v>0.0252397233736989</x:v>
      </x:c>
      <x:c r="AW370" s="6" t="str">
        <x:v>1.5173260376026432</x:v>
      </x:c>
      <x:c r="AX370" s="6" t="str">
        <x:v>0.7826437784414155</x:v>
      </x:c>
      <x:c r="AY370" s="6" t="str">
        <x:v>0</x:v>
      </x:c>
      <x:c r="AZ370" s="6" t="str">
        <x:v>1</x:v>
      </x:c>
      <x:c r="BA370" s="9" t="str">
        <x:v>grid_cells_within_BIG_polygon</x:v>
      </x:c>
      <x:c r="BB370" s="6" t="str">
        <x:v>2</x:v>
      </x:c>
      <x:c r="BC370" s="6" t="str">
        <x:v>4</x:v>
      </x:c>
      <x:c r="BD370" s="6" t="str">
        <x:v>4</x:v>
      </x:c>
      <x:c r="BE370" s="6" t="str">
        <x:v>0</x:v>
      </x:c>
      <x:c r="BF370" s="6" t="str">
        <x:v>0</x:v>
      </x:c>
      <x:c r="BG370" s="6" t="str">
        <x:v>2</x:v>
      </x:c>
      <x:c r="BH370" s="6" t="str">
        <x:v>1</x:v>
      </x:c>
      <x:c r="BI370" s="6" t="str">
        <x:v>1</x:v>
      </x:c>
      <x:c r="BJ370" s="6" t="str">
        <x:v>0</x:v>
      </x:c>
      <x:c r="BK370" s="6" t="str">
        <x:v>0</x:v>
      </x:c>
      <x:c r="BL370" s="6" t="str">
        <x:v>0</x:v>
      </x:c>
      <x:c r="BM370" s="6" t="str">
        <x:v>0</x:v>
      </x:c>
      <x:c r="BN370" s="6" t="str">
        <x:v>4</x:v>
      </x:c>
      <x:c r="BO370" s="6" t="str">
        <x:v>0.0</x:v>
      </x:c>
      <x:c r="BP370" s="6" t="str">
        <x:v>4</x:v>
      </x:c>
      <x:c r="BQ370" s="6" t="str">
        <x:v>0.0</x:v>
      </x:c>
      <x:c r="BR370" s="6" t="str">
        <x:v>4</x:v>
      </x:c>
      <x:c r="BS370" s="6" t="str">
        <x:v>30.0</x:v>
      </x:c>
      <x:c r="BT370" s="6" t="str">
        <x:v>4</x:v>
      </x:c>
      <x:c r="BU370" s="6" t="str"/>
      <x:c r="BV370" s="6" t="str">
        <x:v>0</x:v>
      </x:c>
      <x:c r="BW370" s="9" t="str">
        <x:v>operational_snapshot_annual_totals_may_differ</x:v>
      </x:c>
      <x:c r="BX370" s="9" t="str">
        <x:v>official_live_dashboard_snapshot_subject_to_revision</x:v>
      </x:c>
      <x:c r="BY370" s="9" t="str">
        <x:v>https://tbdashboard.sitb.id/ss_data_tbc03so_2024_provinsi_bulanan_list.php</x:v>
      </x:c>
      <x:c r="BZ370" s="6" t="n">
        <x:v>46246.610671296294</x:v>
      </x:c>
    </x:row>
    <x:row r="371" ht="18" customHeight="1">
      <x:c r="A371" s="6" t="str">
        <x:v>36</x:v>
      </x:c>
      <x:c r="B371" s="6" t="str">
        <x:v>BANTEN</x:v>
      </x:c>
      <x:c r="C371" s="6" t="str">
        <x:v>2024</x:v>
      </x:c>
      <x:c r="D371" s="6" t="str">
        <x:v>10</x:v>
      </x:c>
      <x:c r="E371" s="6" t="str">
        <x:v>2024-10</x:v>
      </x:c>
      <x:c r="F371" s="6" t="str">
        <x:v>5018</x:v>
      </x:c>
      <x:c r="G371" s="6" t="str">
        <x:v>855</x:v>
      </x:c>
      <x:c r="H371" s="6" t="str">
        <x:v>3738</x:v>
      </x:c>
      <x:c r="I371" s="6" t="str">
        <x:v>212</x:v>
      </x:c>
      <x:c r="J371" s="6" t="str">
        <x:v>122</x:v>
      </x:c>
      <x:c r="K371" s="6" t="str">
        <x:v>2</x:v>
      </x:c>
      <x:c r="L371" s="6" t="str">
        <x:v>21</x:v>
      </x:c>
      <x:c r="M371" s="6" t="str">
        <x:v>68</x:v>
      </x:c>
      <x:c r="N371" s="6" t="str">
        <x:v>5018</x:v>
      </x:c>
      <x:c r="O371" s="6" t="str">
        <x:v>0</x:v>
      </x:c>
      <x:c r="P371" s="10" t="n">
        <x:f>F371-M371</x:f>
        <x:v>4950</x:v>
      </x:c>
      <x:c r="Q371" s="11" t="n">
        <x:f>IFERROR(M371/F371,"")</x:f>
        <x:v>0.013551215623754484</x:v>
      </x:c>
      <x:c r="R371" s="10" t="n">
        <x:f>G371+H371</x:f>
        <x:v>4593</x:v>
      </x:c>
      <x:c r="S371" s="11" t="n">
        <x:f>IFERROR(R371/F371,"")</x:f>
        <x:v>0.9153049023515345</x:v>
      </x:c>
      <x:c r="T371" s="11" t="n">
        <x:f>IFERROR(R371/P371,"")</x:f>
        <x:v>0.9278787878787879</x:v>
      </x:c>
      <x:c r="U371" s="10" t="n">
        <x:f>I371+J371+K371</x:f>
        <x:v>336</x:v>
      </x:c>
      <x:c r="V371" s="11" t="n">
        <x:f>IFERROR(U371/P371,"")</x:f>
        <x:v>0.06787878787878789</x:v>
      </x:c>
      <x:c r="W371" s="9" t="str">
        <x:v>mature_le_5pct_pending</x:v>
      </x:c>
      <x:c r="X371" s="12" t="n">
        <x:f>IFERROR(F371/Z371*100000,"")</x:f>
        <x:v>40.365526006724906</x:v>
      </x:c>
      <x:c r="Y371" s="13" t="n">
        <x:f>LN(Z371)</x:f>
        <x:v>16.33573608787663</x:v>
      </x:c>
      <x:c r="Z371" s="6" t="str">
        <x:v>12431400</x:v>
      </x:c>
      <x:c r="AA371" s="6" t="str">
        <x:v>1329.0</x:v>
      </x:c>
      <x:c r="AB371" s="9" t="str">
        <x:v>2024-06-30</x:v>
      </x:c>
      <x:c r="AC371" s="8" t="str">
        <x:v>87.93</x:v>
      </x:c>
      <x:c r="AD371" s="9" t="str">
        <x:v>2024 (Susenas)</x:v>
      </x:c>
      <x:c r="AE371" s="8" t="str">
        <x:v>5.84</x:v>
      </x:c>
      <x:c r="AF371" s="9" t="str">
        <x:v>Maret 2024 (Susenas)</x:v>
      </x:c>
      <x:c r="AG371" s="6" t="str">
        <x:v>27.67036317712145</x:v>
      </x:c>
      <x:c r="AH371" s="8" t="str">
        <x:v>78.87437160800695</x:v>
      </x:c>
      <x:c r="AI371" s="6" t="str">
        <x:v>73.31314827454524</x:v>
      </x:c>
      <x:c r="AJ371" s="6" t="str">
        <x:v>0.6656536050333557</x:v>
      </x:c>
      <x:c r="AK371" s="8" t="str">
        <x:v>1.2004652671411236</x:v>
      </x:c>
      <x:c r="AL371" s="6" t="str">
        <x:v>1.2717928289935747</x:v>
      </x:c>
      <x:c r="AM371" s="6" t="str">
        <x:v>1.8929787674377452</x:v>
      </x:c>
      <x:c r="AN371" s="6" t="str">
        <x:v>1.455078954524148</x:v>
      </x:c>
      <x:c r="AO371" s="6" t="str">
        <x:v>0.8210648303019212</x:v>
      </x:c>
      <x:c r="AP371" s="8" t="str">
        <x:v>0.1491307739035781</x:v>
      </x:c>
      <x:c r="AQ371" s="6" t="str">
        <x:v>0.6747772141647467</x:v>
      </x:c>
      <x:c r="AR371" s="6" t="str">
        <x:v>0.1024124647386942</x:v>
      </x:c>
      <x:c r="AS371" s="6" t="str">
        <x:v>0.3087734842690062</x:v>
      </x:c>
      <x:c r="AT371" s="6" t="str">
        <x:v>-54.86113235139105</x:v>
      </x:c>
      <x:c r="AU371" s="8" t="str">
        <x:v>-0.7113161296217081</x:v>
      </x:c>
      <x:c r="AV371" s="6" t="str">
        <x:v>0.8053655743479051</x:v>
      </x:c>
      <x:c r="AW371" s="6" t="str">
        <x:v>0.0252397233736989</x:v>
      </x:c>
      <x:c r="AX371" s="6" t="str">
        <x:v>0.0397630560332985</x:v>
      </x:c>
      <x:c r="AY371" s="6" t="str">
        <x:v>0</x:v>
      </x:c>
      <x:c r="AZ371" s="6" t="str">
        <x:v>1</x:v>
      </x:c>
      <x:c r="BA371" s="9" t="str">
        <x:v>grid_cells_within_BIG_polygon</x:v>
      </x:c>
      <x:c r="BB371" s="6" t="str">
        <x:v>2</x:v>
      </x:c>
      <x:c r="BC371" s="6" t="str">
        <x:v>3</x:v>
      </x:c>
      <x:c r="BD371" s="6" t="str">
        <x:v>3</x:v>
      </x:c>
      <x:c r="BE371" s="6" t="str">
        <x:v>0</x:v>
      </x:c>
      <x:c r="BF371" s="6" t="str">
        <x:v>0</x:v>
      </x:c>
      <x:c r="BG371" s="6" t="str">
        <x:v>2</x:v>
      </x:c>
      <x:c r="BH371" s="6" t="str">
        <x:v>0</x:v>
      </x:c>
      <x:c r="BI371" s="6" t="str">
        <x:v>1</x:v>
      </x:c>
      <x:c r="BJ371" s="6" t="str">
        <x:v>0</x:v>
      </x:c>
      <x:c r="BK371" s="6" t="str">
        <x:v>0</x:v>
      </x:c>
      <x:c r="BL371" s="6" t="str">
        <x:v>0</x:v>
      </x:c>
      <x:c r="BM371" s="6" t="str">
        <x:v>0</x:v>
      </x:c>
      <x:c r="BN371" s="6" t="str">
        <x:v>3</x:v>
      </x:c>
      <x:c r="BO371" s="6" t="str">
        <x:v>0.0</x:v>
      </x:c>
      <x:c r="BP371" s="6" t="str">
        <x:v>3</x:v>
      </x:c>
      <x:c r="BQ371" s="6" t="str">
        <x:v>0.0</x:v>
      </x:c>
      <x:c r="BR371" s="6" t="str">
        <x:v>3</x:v>
      </x:c>
      <x:c r="BS371" s="6" t="str">
        <x:v>184.0</x:v>
      </x:c>
      <x:c r="BT371" s="6" t="str">
        <x:v>3</x:v>
      </x:c>
      <x:c r="BU371" s="6" t="str"/>
      <x:c r="BV371" s="6" t="str">
        <x:v>0</x:v>
      </x:c>
      <x:c r="BW371" s="9" t="str">
        <x:v>operational_snapshot_annual_totals_may_differ</x:v>
      </x:c>
      <x:c r="BX371" s="9" t="str">
        <x:v>official_live_dashboard_snapshot_subject_to_revision</x:v>
      </x:c>
      <x:c r="BY371" s="9" t="str">
        <x:v>https://tbdashboard.sitb.id/ss_data_tbc03so_2024_provinsi_bulanan_list.php</x:v>
      </x:c>
      <x:c r="BZ371" s="6" t="n">
        <x:v>46246.610671296294</x:v>
      </x:c>
    </x:row>
    <x:row r="372" ht="18" customHeight="1">
      <x:c r="A372" s="6" t="str">
        <x:v>36</x:v>
      </x:c>
      <x:c r="B372" s="6" t="str">
        <x:v>BANTEN</x:v>
      </x:c>
      <x:c r="C372" s="6" t="str">
        <x:v>2024</x:v>
      </x:c>
      <x:c r="D372" s="6" t="str">
        <x:v>11</x:v>
      </x:c>
      <x:c r="E372" s="6" t="str">
        <x:v>2024-11</x:v>
      </x:c>
      <x:c r="F372" s="6" t="str">
        <x:v>4575</x:v>
      </x:c>
      <x:c r="G372" s="6" t="str">
        <x:v>757</x:v>
      </x:c>
      <x:c r="H372" s="6" t="str">
        <x:v>3389</x:v>
      </x:c>
      <x:c r="I372" s="6" t="str">
        <x:v>218</x:v>
      </x:c>
      <x:c r="J372" s="6" t="str">
        <x:v>99</x:v>
      </x:c>
      <x:c r="K372" s="6" t="str">
        <x:v>10</x:v>
      </x:c>
      <x:c r="L372" s="6" t="str">
        <x:v>19</x:v>
      </x:c>
      <x:c r="M372" s="6" t="str">
        <x:v>83</x:v>
      </x:c>
      <x:c r="N372" s="6" t="str">
        <x:v>4575</x:v>
      </x:c>
      <x:c r="O372" s="6" t="str">
        <x:v>0</x:v>
      </x:c>
      <x:c r="P372" s="10" t="n">
        <x:f>F372-M372</x:f>
        <x:v>4492</x:v>
      </x:c>
      <x:c r="Q372" s="11" t="n">
        <x:f>IFERROR(M372/F372,"")</x:f>
        <x:v>0.01814207650273224</x:v>
      </x:c>
      <x:c r="R372" s="10" t="n">
        <x:f>G372+H372</x:f>
        <x:v>4146</x:v>
      </x:c>
      <x:c r="S372" s="11" t="n">
        <x:f>IFERROR(R372/F372,"")</x:f>
        <x:v>0.9062295081967213</x:v>
      </x:c>
      <x:c r="T372" s="11" t="n">
        <x:f>IFERROR(R372/P372,"")</x:f>
        <x:v>0.9229741763134461</x:v>
      </x:c>
      <x:c r="U372" s="10" t="n">
        <x:f>I372+J372+K372</x:f>
        <x:v>327</x:v>
      </x:c>
      <x:c r="V372" s="11" t="n">
        <x:f>IFERROR(U372/P372,"")</x:f>
        <x:v>0.07279608192341941</x:v>
      </x:c>
      <x:c r="W372" s="9" t="str">
        <x:v>mature_le_5pct_pending</x:v>
      </x:c>
      <x:c r="X372" s="12" t="n">
        <x:f>IFERROR(F372/Z372*100000,"")</x:f>
        <x:v>36.80196920700806</x:v>
      </x:c>
      <x:c r="Y372" s="13" t="n">
        <x:f>LN(Z372)</x:f>
        <x:v>16.33573608787663</x:v>
      </x:c>
      <x:c r="Z372" s="6" t="str">
        <x:v>12431400</x:v>
      </x:c>
      <x:c r="AA372" s="6" t="str">
        <x:v>1329.0</x:v>
      </x:c>
      <x:c r="AB372" s="9" t="str">
        <x:v>2024-06-30</x:v>
      </x:c>
      <x:c r="AC372" s="8" t="str">
        <x:v>87.93</x:v>
      </x:c>
      <x:c r="AD372" s="9" t="str">
        <x:v>2024 (Susenas)</x:v>
      </x:c>
      <x:c r="AE372" s="8" t="str">
        <x:v>5.84</x:v>
      </x:c>
      <x:c r="AF372" s="9" t="str">
        <x:v>Maret 2024 (Susenas)</x:v>
      </x:c>
      <x:c r="AG372" s="6" t="str">
        <x:v>27.285389459676296</x:v>
      </x:c>
      <x:c r="AH372" s="8" t="str">
        <x:v>83.09905382802569</x:v>
      </x:c>
      <x:c r="AI372" s="6" t="str">
        <x:v>264.2787828102731</x:v>
      </x:c>
      <x:c r="AJ372" s="6" t="str">
        <x:v>0.4531708878042622</x:v>
      </x:c>
      <x:c r="AK372" s="8" t="str">
        <x:v>0.737233203307512</x:v>
      </x:c>
      <x:c r="AL372" s="6" t="str">
        <x:v>1.2004652671411236</x:v>
      </x:c>
      <x:c r="AM372" s="6" t="str">
        <x:v>1.2717928289935747</x:v>
      </x:c>
      <x:c r="AN372" s="6" t="str">
        <x:v>1.0698304331474038</x:v>
      </x:c>
      <x:c r="AO372" s="6" t="str">
        <x:v>1.6094053031584536</x:v>
      </x:c>
      <x:c r="AP372" s="8" t="str">
        <x:v>0.4314827016505302</x:v>
      </x:c>
      <x:c r="AQ372" s="6" t="str">
        <x:v>0.1491307739035781</x:v>
      </x:c>
      <x:c r="AR372" s="6" t="str">
        <x:v>0.6747772141647467</x:v>
      </x:c>
      <x:c r="AS372" s="6" t="str">
        <x:v>0.4184635632396181</x:v>
      </x:c>
      <x:c r="AT372" s="6" t="str">
        <x:v>79.1849711572768</x:v>
      </x:c>
      <x:c r="AU372" s="8" t="str">
        <x:v>1.2426080067046097</x:v>
      </x:c>
      <x:c r="AV372" s="6" t="str">
        <x:v>-0.7113161296217081</x:v>
      </x:c>
      <x:c r="AW372" s="6" t="str">
        <x:v>0.8053655743479051</x:v>
      </x:c>
      <x:c r="AX372" s="6" t="str">
        <x:v>0.4455524838102687</x:v>
      </x:c>
      <x:c r="AY372" s="6" t="str">
        <x:v>1</x:v>
      </x:c>
      <x:c r="AZ372" s="6" t="str">
        <x:v>0</x:v>
      </x:c>
      <x:c r="BA372" s="9" t="str">
        <x:v>grid_cells_within_BIG_polygon</x:v>
      </x:c>
      <x:c r="BB372" s="6" t="str">
        <x:v>2</x:v>
      </x:c>
      <x:c r="BC372" s="6" t="str">
        <x:v>12</x:v>
      </x:c>
      <x:c r="BD372" s="6" t="str">
        <x:v>12</x:v>
      </x:c>
      <x:c r="BE372" s="6" t="str">
        <x:v>7</x:v>
      </x:c>
      <x:c r="BF372" s="6" t="str">
        <x:v>0</x:v>
      </x:c>
      <x:c r="BG372" s="6" t="str">
        <x:v>4</x:v>
      </x:c>
      <x:c r="BH372" s="6" t="str">
        <x:v>1</x:v>
      </x:c>
      <x:c r="BI372" s="6" t="str">
        <x:v>0</x:v>
      </x:c>
      <x:c r="BJ372" s="6" t="str">
        <x:v>0</x:v>
      </x:c>
      <x:c r="BK372" s="6" t="str">
        <x:v>0</x:v>
      </x:c>
      <x:c r="BL372" s="6" t="str">
        <x:v>0</x:v>
      </x:c>
      <x:c r="BM372" s="6" t="str">
        <x:v>0</x:v>
      </x:c>
      <x:c r="BN372" s="6" t="str">
        <x:v>12</x:v>
      </x:c>
      <x:c r="BO372" s="6" t="str">
        <x:v>0.0</x:v>
      </x:c>
      <x:c r="BP372" s="6" t="str">
        <x:v>12</x:v>
      </x:c>
      <x:c r="BQ372" s="6" t="str">
        <x:v>0.0</x:v>
      </x:c>
      <x:c r="BR372" s="6" t="str">
        <x:v>12</x:v>
      </x:c>
      <x:c r="BS372" s="6" t="str">
        <x:v>165.0</x:v>
      </x:c>
      <x:c r="BT372" s="6" t="str">
        <x:v>12</x:v>
      </x:c>
      <x:c r="BU372" s="6" t="str">
        <x:v>668.0</x:v>
      </x:c>
      <x:c r="BV372" s="6" t="str">
        <x:v>1</x:v>
      </x:c>
      <x:c r="BW372" s="9" t="str">
        <x:v>operational_snapshot_annual_totals_may_differ</x:v>
      </x:c>
      <x:c r="BX372" s="9" t="str">
        <x:v>official_live_dashboard_snapshot_subject_to_revision</x:v>
      </x:c>
      <x:c r="BY372" s="9" t="str">
        <x:v>https://tbdashboard.sitb.id/ss_data_tbc03so_2024_provinsi_bulanan_list.php</x:v>
      </x:c>
      <x:c r="BZ372" s="6" t="n">
        <x:v>46246.610671296294</x:v>
      </x:c>
    </x:row>
    <x:row r="373" ht="18" customHeight="1">
      <x:c r="A373" s="6" t="str">
        <x:v>36</x:v>
      </x:c>
      <x:c r="B373" s="6" t="str">
        <x:v>BANTEN</x:v>
      </x:c>
      <x:c r="C373" s="6" t="str">
        <x:v>2024</x:v>
      </x:c>
      <x:c r="D373" s="6" t="str">
        <x:v>12</x:v>
      </x:c>
      <x:c r="E373" s="6" t="str">
        <x:v>2024-12</x:v>
      </x:c>
      <x:c r="F373" s="6" t="str">
        <x:v>4363</x:v>
      </x:c>
      <x:c r="G373" s="6" t="str">
        <x:v>730</x:v>
      </x:c>
      <x:c r="H373" s="6" t="str">
        <x:v>3239</x:v>
      </x:c>
      <x:c r="I373" s="6" t="str">
        <x:v>217</x:v>
      </x:c>
      <x:c r="J373" s="6" t="str">
        <x:v>96</x:v>
      </x:c>
      <x:c r="K373" s="6" t="str">
        <x:v>6</x:v>
      </x:c>
      <x:c r="L373" s="6" t="str">
        <x:v>8</x:v>
      </x:c>
      <x:c r="M373" s="6" t="str">
        <x:v>67</x:v>
      </x:c>
      <x:c r="N373" s="6" t="str">
        <x:v>4363</x:v>
      </x:c>
      <x:c r="O373" s="6" t="str">
        <x:v>0</x:v>
      </x:c>
      <x:c r="P373" s="10" t="n">
        <x:f>F373-M373</x:f>
        <x:v>4296</x:v>
      </x:c>
      <x:c r="Q373" s="11" t="n">
        <x:f>IFERROR(M373/F373,"")</x:f>
        <x:v>0.015356406142562456</x:v>
      </x:c>
      <x:c r="R373" s="10" t="n">
        <x:f>G373+H373</x:f>
        <x:v>3969</x:v>
      </x:c>
      <x:c r="S373" s="11" t="n">
        <x:f>IFERROR(R373/F373,"")</x:f>
        <x:v>0.9096951638780656</x:v>
      </x:c>
      <x:c r="T373" s="11" t="n">
        <x:f>IFERROR(R373/P373,"")</x:f>
        <x:v>0.9238826815642458</x:v>
      </x:c>
      <x:c r="U373" s="10" t="n">
        <x:f>I373+J373+K373</x:f>
        <x:v>319</x:v>
      </x:c>
      <x:c r="V373" s="11" t="n">
        <x:f>IFERROR(U373/P373,"")</x:f>
        <x:v>0.07425512104283054</x:v>
      </x:c>
      <x:c r="W373" s="9" t="str">
        <x:v>mature_le_5pct_pending</x:v>
      </x:c>
      <x:c r="X373" s="12" t="n">
        <x:f>IFERROR(F373/Z373*100000,"")</x:f>
        <x:v>35.09661019675982</x:v>
      </x:c>
      <x:c r="Y373" s="13" t="n">
        <x:f>LN(Z373)</x:f>
        <x:v>16.33573608787663</x:v>
      </x:c>
      <x:c r="Z373" s="6" t="str">
        <x:v>12431400</x:v>
      </x:c>
      <x:c r="AA373" s="6" t="str">
        <x:v>1329.0</x:v>
      </x:c>
      <x:c r="AB373" s="9" t="str">
        <x:v>2024-06-30</x:v>
      </x:c>
      <x:c r="AC373" s="8" t="str">
        <x:v>87.93</x:v>
      </x:c>
      <x:c r="AD373" s="9" t="str">
        <x:v>2024 (Susenas)</x:v>
      </x:c>
      <x:c r="AE373" s="8" t="str">
        <x:v>5.84</x:v>
      </x:c>
      <x:c r="AF373" s="9" t="str">
        <x:v>Maret 2024 (Susenas)</x:v>
      </x:c>
      <x:c r="AG373" s="6" t="str">
        <x:v>26.71042529952381</x:v>
      </x:c>
      <x:c r="AH373" s="8" t="str">
        <x:v>86.44901559885501</x:v>
      </x:c>
      <x:c r="AI373" s="6" t="str">
        <x:v>356.03344455061807</x:v>
      </x:c>
      <x:c r="AJ373" s="6" t="str">
        <x:v>0.4565376716619447</x:v>
      </x:c>
      <x:c r="AK373" s="8" t="str">
        <x:v>0.94124312888551</x:v>
      </x:c>
      <x:c r="AL373" s="6" t="str">
        <x:v>0.737233203307512</x:v>
      </x:c>
      <x:c r="AM373" s="6" t="str">
        <x:v>1.2004652671411236</x:v>
      </x:c>
      <x:c r="AN373" s="6" t="str">
        <x:v>0.9596471997780488</x:v>
      </x:c>
      <x:c r="AO373" s="6" t="str">
        <x:v>2.1669289290115046</x:v>
      </x:c>
      <x:c r="AP373" s="8" t="str">
        <x:v>1.0137760267363385</x:v>
      </x:c>
      <x:c r="AQ373" s="6" t="str">
        <x:v>0.4314827016505302</x:v>
      </x:c>
      <x:c r="AR373" s="6" t="str">
        <x:v>0.1491307739035781</x:v>
      </x:c>
      <x:c r="AS373" s="6" t="str">
        <x:v>0.5314631674301488</x:v>
      </x:c>
      <x:c r="AT373" s="6" t="str">
        <x:v>133.54153712551508</x:v>
      </x:c>
      <x:c r="AU373" s="8" t="str">
        <x:v>1.692103469119369</x:v>
      </x:c>
      <x:c r="AV373" s="6" t="str">
        <x:v>1.2426080067046097</x:v>
      </x:c>
      <x:c r="AW373" s="6" t="str">
        <x:v>-0.7113161296217081</x:v>
      </x:c>
      <x:c r="AX373" s="6" t="str">
        <x:v>0.7411317820674234</x:v>
      </x:c>
      <x:c r="AY373" s="6" t="str">
        <x:v>1</x:v>
      </x:c>
      <x:c r="AZ373" s="6" t="str">
        <x:v>0</x:v>
      </x:c>
      <x:c r="BA373" s="9" t="str">
        <x:v>grid_cells_within_BIG_polygon</x:v>
      </x:c>
      <x:c r="BB373" s="6" t="str">
        <x:v>2</x:v>
      </x:c>
      <x:c r="BC373" s="6" t="str">
        <x:v>18</x:v>
      </x:c>
      <x:c r="BD373" s="6" t="str">
        <x:v>18</x:v>
      </x:c>
      <x:c r="BE373" s="6" t="str">
        <x:v>12</x:v>
      </x:c>
      <x:c r="BF373" s="6" t="str">
        <x:v>2</x:v>
      </x:c>
      <x:c r="BG373" s="6" t="str">
        <x:v>4</x:v>
      </x:c>
      <x:c r="BH373" s="6" t="str">
        <x:v>0</x:v>
      </x:c>
      <x:c r="BI373" s="6" t="str">
        <x:v>0</x:v>
      </x:c>
      <x:c r="BJ373" s="6" t="str">
        <x:v>0</x:v>
      </x:c>
      <x:c r="BK373" s="6" t="str">
        <x:v>0</x:v>
      </x:c>
      <x:c r="BL373" s="6" t="str">
        <x:v>0</x:v>
      </x:c>
      <x:c r="BM373" s="6" t="str">
        <x:v>0</x:v>
      </x:c>
      <x:c r="BN373" s="6" t="str">
        <x:v>18</x:v>
      </x:c>
      <x:c r="BO373" s="6" t="str">
        <x:v>9.0</x:v>
      </x:c>
      <x:c r="BP373" s="6" t="str">
        <x:v>18</x:v>
      </x:c>
      <x:c r="BQ373" s="6" t="str">
        <x:v>3.0</x:v>
      </x:c>
      <x:c r="BR373" s="6" t="str">
        <x:v>18</x:v>
      </x:c>
      <x:c r="BS373" s="6" t="str">
        <x:v>445.0</x:v>
      </x:c>
      <x:c r="BT373" s="6" t="str">
        <x:v>18</x:v>
      </x:c>
      <x:c r="BU373" s="6" t="str">
        <x:v>6705.0</x:v>
      </x:c>
      <x:c r="BV373" s="6" t="str">
        <x:v>10</x:v>
      </x:c>
      <x:c r="BW373" s="9" t="str">
        <x:v>operational_snapshot_annual_totals_may_differ</x:v>
      </x:c>
      <x:c r="BX373" s="9" t="str">
        <x:v>official_live_dashboard_snapshot_subject_to_revision</x:v>
      </x:c>
      <x:c r="BY373" s="9" t="str">
        <x:v>https://tbdashboard.sitb.id/ss_data_tbc03so_2024_provinsi_bulanan_list.php</x:v>
      </x:c>
      <x:c r="BZ373" s="6" t="n">
        <x:v>46246.610671296294</x:v>
      </x:c>
    </x:row>
    <x:row r="374" ht="18" customHeight="1">
      <x:c r="A374" s="6" t="str">
        <x:v>36</x:v>
      </x:c>
      <x:c r="B374" s="6" t="str">
        <x:v>BANTEN</x:v>
      </x:c>
      <x:c r="C374" s="6" t="str">
        <x:v>2025</x:v>
      </x:c>
      <x:c r="D374" s="6" t="str">
        <x:v>1</x:v>
      </x:c>
      <x:c r="E374" s="6" t="str">
        <x:v>2025-01</x:v>
      </x:c>
      <x:c r="F374" s="6" t="str">
        <x:v>4832</x:v>
      </x:c>
      <x:c r="G374" s="6" t="str">
        <x:v>823</x:v>
      </x:c>
      <x:c r="H374" s="6" t="str">
        <x:v>3319</x:v>
      </x:c>
      <x:c r="I374" s="6" t="str">
        <x:v>291</x:v>
      </x:c>
      <x:c r="J374" s="6" t="str">
        <x:v>132</x:v>
      </x:c>
      <x:c r="K374" s="6" t="str">
        <x:v>2</x:v>
      </x:c>
      <x:c r="L374" s="6" t="str">
        <x:v>16</x:v>
      </x:c>
      <x:c r="M374" s="6" t="str">
        <x:v>249</x:v>
      </x:c>
      <x:c r="N374" s="6" t="str">
        <x:v>4832</x:v>
      </x:c>
      <x:c r="O374" s="6" t="str">
        <x:v>0</x:v>
      </x:c>
      <x:c r="P374" s="10" t="n">
        <x:f>F374-M374</x:f>
        <x:v>4583</x:v>
      </x:c>
      <x:c r="Q374" s="11" t="n">
        <x:f>IFERROR(M374/F374,"")</x:f>
        <x:v>0.051531456953642384</x:v>
      </x:c>
      <x:c r="R374" s="10" t="n">
        <x:f>G374+H374</x:f>
        <x:v>4142</x:v>
      </x:c>
      <x:c r="S374" s="11" t="n">
        <x:f>IFERROR(R374/F374,"")</x:f>
        <x:v>0.8572019867549668</x:v>
      </x:c>
      <x:c r="T374" s="11" t="n">
        <x:f>IFERROR(R374/P374,"")</x:f>
        <x:v>0.9037748199869081</x:v>
      </x:c>
      <x:c r="U374" s="10" t="n">
        <x:f>I374+J374+K374</x:f>
        <x:v>425</x:v>
      </x:c>
      <x:c r="V374" s="11" t="n">
        <x:f>IFERROR(U374/P374,"")</x:f>
        <x:v>0.09273401701941959</x:v>
      </x:c>
      <x:c r="W374" s="9" t="str">
        <x:v>provisional_gt_5pct_pending</x:v>
      </x:c>
      <x:c r="X374" s="12" t="n">
        <x:f>IFERROR(F374/Z374*100000,"")</x:f>
        <x:v>38.54068626669006</x:v>
      </x:c>
      <x:c r="Y374" s="13" t="n">
        <x:f>LN(Z374)</x:f>
        <x:v>16.344226735148734</x:v>
      </x:c>
      <x:c r="Z374" s="6" t="str">
        <x:v>12537400</x:v>
      </x:c>
      <x:c r="AA374" s="6" t="str">
        <x:v>1341.0</x:v>
      </x:c>
      <x:c r="AB374" s="9" t="str">
        <x:v>2025-06-30</x:v>
      </x:c>
      <x:c r="AC374" s="8" t="str">
        <x:v>90.7</x:v>
      </x:c>
      <x:c r="AD374" s="9" t="str">
        <x:v>2025 (Susenas)</x:v>
      </x:c>
      <x:c r="AE374" s="8" t="str">
        <x:v>5.63</x:v>
      </x:c>
      <x:c r="AF374" s="9" t="str">
        <x:v>Maret 2025 (Susenas)</x:v>
      </x:c>
      <x:c r="AG374" s="6" t="str">
        <x:v>26.21538945967629</x:v>
      </x:c>
      <x:c r="AH374" s="8" t="str">
        <x:v>87.85925453117176</x:v>
      </x:c>
      <x:c r="AI374" s="6" t="str">
        <x:v>533.6865540842936</x:v>
      </x:c>
      <x:c r="AJ374" s="6" t="str">
        <x:v>0.2650195924499741</x:v>
      </x:c>
      <x:c r="AK374" s="8" t="str">
        <x:v>0.4628660566091512</x:v>
      </x:c>
      <x:c r="AL374" s="6" t="str">
        <x:v>0.94124312888551</x:v>
      </x:c>
      <x:c r="AM374" s="6" t="str">
        <x:v>0.737233203307512</x:v>
      </x:c>
      <x:c r="AN374" s="6" t="str">
        <x:v>0.7137807962673914</x:v>
      </x:c>
      <x:c r="AO374" s="6" t="str">
        <x:v>1.928899329850552</x:v>
      </x:c>
      <x:c r="AP374" s="8" t="str">
        <x:v>0.7673441814701744</x:v>
      </x:c>
      <x:c r="AQ374" s="6" t="str">
        <x:v>1.0137760267363385</x:v>
      </x:c>
      <x:c r="AR374" s="6" t="str">
        <x:v>0.4314827016505302</x:v>
      </x:c>
      <x:c r="AS374" s="6" t="str">
        <x:v>0.7375343032856808</x:v>
      </x:c>
      <x:c r="AT374" s="6" t="str">
        <x:v>227.916999835268</x:v>
      </x:c>
      <x:c r="AU374" s="8" t="str">
        <x:v>2.0476835278727554</x:v>
      </x:c>
      <x:c r="AV374" s="6" t="str">
        <x:v>1.692103469119369</x:v>
      </x:c>
      <x:c r="AW374" s="6" t="str">
        <x:v>1.2426080067046097</x:v>
      </x:c>
      <x:c r="AX374" s="6" t="str">
        <x:v>1.660798334565578</x:v>
      </x:c>
      <x:c r="AY374" s="6" t="str">
        <x:v>1</x:v>
      </x:c>
      <x:c r="AZ374" s="6" t="str">
        <x:v>0</x:v>
      </x:c>
      <x:c r="BA374" s="9" t="str">
        <x:v>grid_cells_within_BIG_polygon</x:v>
      </x:c>
      <x:c r="BB374" s="6" t="str">
        <x:v>2</x:v>
      </x:c>
      <x:c r="BC374" s="6" t="str">
        <x:v>10</x:v>
      </x:c>
      <x:c r="BD374" s="6" t="str">
        <x:v>10</x:v>
      </x:c>
      <x:c r="BE374" s="6" t="str">
        <x:v>9</x:v>
      </x:c>
      <x:c r="BF374" s="6" t="str">
        <x:v>0</x:v>
      </x:c>
      <x:c r="BG374" s="6" t="str">
        <x:v>1</x:v>
      </x:c>
      <x:c r="BH374" s="6" t="str">
        <x:v>0</x:v>
      </x:c>
      <x:c r="BI374" s="6" t="str">
        <x:v>0</x:v>
      </x:c>
      <x:c r="BJ374" s="6" t="str">
        <x:v>0</x:v>
      </x:c>
      <x:c r="BK374" s="6" t="str">
        <x:v>0</x:v>
      </x:c>
      <x:c r="BL374" s="6" t="str">
        <x:v>0</x:v>
      </x:c>
      <x:c r="BM374" s="6" t="str">
        <x:v>0</x:v>
      </x:c>
      <x:c r="BN374" s="6" t="str">
        <x:v>10</x:v>
      </x:c>
      <x:c r="BO374" s="6" t="str">
        <x:v>0.0</x:v>
      </x:c>
      <x:c r="BP374" s="6" t="str">
        <x:v>10</x:v>
      </x:c>
      <x:c r="BQ374" s="6" t="str">
        <x:v>0.0</x:v>
      </x:c>
      <x:c r="BR374" s="6" t="str">
        <x:v>10</x:v>
      </x:c>
      <x:c r="BS374" s="6" t="str">
        <x:v>19.0</x:v>
      </x:c>
      <x:c r="BT374" s="6" t="str">
        <x:v>10</x:v>
      </x:c>
      <x:c r="BU374" s="6" t="str">
        <x:v>1437.0</x:v>
      </x:c>
      <x:c r="BV374" s="6" t="str">
        <x:v>5</x:v>
      </x:c>
      <x:c r="BW374" s="9" t="str">
        <x:v>operational_snapshot_annual_totals_may_differ</x:v>
      </x:c>
      <x:c r="BX374" s="9" t="str">
        <x:v>official_live_dashboard_snapshot_subject_to_revision</x:v>
      </x:c>
      <x:c r="BY374" s="9" t="str">
        <x:v>https://tbdashboard.sitb.id/ss_data_tbc03so_2025_provinsi_bulanan_list.php</x:v>
      </x:c>
      <x:c r="BZ374" s="6" t="n">
        <x:v>46246.610671296294</x:v>
      </x:c>
    </x:row>
    <x:row r="375" ht="18" customHeight="1">
      <x:c r="A375" s="6" t="str">
        <x:v>36</x:v>
      </x:c>
      <x:c r="B375" s="6" t="str">
        <x:v>BANTEN</x:v>
      </x:c>
      <x:c r="C375" s="6" t="str">
        <x:v>2025</x:v>
      </x:c>
      <x:c r="D375" s="6" t="str">
        <x:v>2</x:v>
      </x:c>
      <x:c r="E375" s="6" t="str">
        <x:v>2025-02</x:v>
      </x:c>
      <x:c r="F375" s="6" t="str">
        <x:v>4744</x:v>
      </x:c>
      <x:c r="G375" s="6" t="str">
        <x:v>805</x:v>
      </x:c>
      <x:c r="H375" s="6" t="str">
        <x:v>3316</x:v>
      </x:c>
      <x:c r="I375" s="6" t="str">
        <x:v>282</x:v>
      </x:c>
      <x:c r="J375" s="6" t="str">
        <x:v>108</x:v>
      </x:c>
      <x:c r="K375" s="6" t="str">
        <x:v>7</x:v>
      </x:c>
      <x:c r="L375" s="6" t="str">
        <x:v>17</x:v>
      </x:c>
      <x:c r="M375" s="6" t="str">
        <x:v>209</x:v>
      </x:c>
      <x:c r="N375" s="6" t="str">
        <x:v>4744</x:v>
      </x:c>
      <x:c r="O375" s="6" t="str">
        <x:v>0</x:v>
      </x:c>
      <x:c r="P375" s="10" t="n">
        <x:f>F375-M375</x:f>
        <x:v>4535</x:v>
      </x:c>
      <x:c r="Q375" s="11" t="n">
        <x:f>IFERROR(M375/F375,"")</x:f>
        <x:v>0.04405564924114671</x:v>
      </x:c>
      <x:c r="R375" s="10" t="n">
        <x:f>G375+H375</x:f>
        <x:v>4121</x:v>
      </x:c>
      <x:c r="S375" s="11" t="n">
        <x:f>IFERROR(R375/F375,"")</x:f>
        <x:v>0.8686762225969646</x:v>
      </x:c>
      <x:c r="T375" s="11" t="n">
        <x:f>IFERROR(R375/P375,"")</x:f>
        <x:v>0.908710033076075</x:v>
      </x:c>
      <x:c r="U375" s="10" t="n">
        <x:f>I375+J375+K375</x:f>
        <x:v>397</x:v>
      </x:c>
      <x:c r="V375" s="11" t="n">
        <x:f>IFERROR(U375/P375,"")</x:f>
        <x:v>0.08754134509371554</x:v>
      </x:c>
      <x:c r="W375" s="9" t="str">
        <x:v>mature_le_5pct_pending</x:v>
      </x:c>
      <x:c r="X375" s="12" t="n">
        <x:f>IFERROR(F375/Z375*100000,"")</x:f>
        <x:v>37.8387863512371</x:v>
      </x:c>
      <x:c r="Y375" s="13" t="n">
        <x:f>LN(Z375)</x:f>
        <x:v>16.344226735148734</x:v>
      </x:c>
      <x:c r="Z375" s="6" t="str">
        <x:v>12537400</x:v>
      </x:c>
      <x:c r="AA375" s="6" t="str">
        <x:v>1341.0</x:v>
      </x:c>
      <x:c r="AB375" s="9" t="str">
        <x:v>2025-06-30</x:v>
      </x:c>
      <x:c r="AC375" s="8" t="str">
        <x:v>90.7</x:v>
      </x:c>
      <x:c r="AD375" s="9" t="str">
        <x:v>2025 (Susenas)</x:v>
      </x:c>
      <x:c r="AE375" s="8" t="str">
        <x:v>5.63</x:v>
      </x:c>
      <x:c r="AF375" s="9" t="str">
        <x:v>Maret 2025 (Susenas)</x:v>
      </x:c>
      <x:c r="AG375" s="6" t="str">
        <x:v>26.260372734414126</x:v>
      </x:c>
      <x:c r="AH375" s="8" t="str">
        <x:v>86.58935966139113</x:v>
      </x:c>
      <x:c r="AI375" s="6" t="str">
        <x:v>265.4540492202246</x:v>
      </x:c>
      <x:c r="AJ375" s="6" t="str">
        <x:v>0.4168364394534514</x:v>
      </x:c>
      <x:c r="AK375" s="8" t="str">
        <x:v>0.861154440810965</x:v>
      </x:c>
      <x:c r="AL375" s="6" t="str">
        <x:v>0.4628660566091512</x:v>
      </x:c>
      <x:c r="AM375" s="6" t="str">
        <x:v>0.94124312888551</x:v>
      </x:c>
      <x:c r="AN375" s="6" t="str">
        <x:v>0.7550878754352089</x:v>
      </x:c>
      <x:c r="AO375" s="6" t="str">
        <x:v>-0.6002645208261015</x:v>
      </x:c>
      <x:c r="AP375" s="8" t="str">
        <x:v>-0.4336969288192072</x:v>
      </x:c>
      <x:c r="AQ375" s="6" t="str">
        <x:v>0.7673441814701744</x:v>
      </x:c>
      <x:c r="AR375" s="6" t="str">
        <x:v>1.0137760267363385</x:v>
      </x:c>
      <x:c r="AS375" s="6" t="str">
        <x:v>0.4491410931291016</x:v>
      </x:c>
      <x:c r="AT375" s="6" t="str">
        <x:v>-48.98543673399445</x:v>
      </x:c>
      <x:c r="AU375" s="8" t="str">
        <x:v>-0.3965394038065006</x:v>
      </x:c>
      <x:c r="AV375" s="6" t="str">
        <x:v>2.0476835278727554</x:v>
      </x:c>
      <x:c r="AW375" s="6" t="str">
        <x:v>1.692103469119369</x:v>
      </x:c>
      <x:c r="AX375" s="6" t="str">
        <x:v>1.1144158643952078</x:v>
      </x:c>
      <x:c r="AY375" s="6" t="str">
        <x:v>0</x:v>
      </x:c>
      <x:c r="AZ375" s="6" t="str">
        <x:v>0</x:v>
      </x:c>
      <x:c r="BA375" s="9" t="str">
        <x:v>grid_cells_within_BIG_polygon</x:v>
      </x:c>
      <x:c r="BB375" s="6" t="str">
        <x:v>2</x:v>
      </x:c>
      <x:c r="BC375" s="6" t="str">
        <x:v>8</x:v>
      </x:c>
      <x:c r="BD375" s="6" t="str">
        <x:v>8</x:v>
      </x:c>
      <x:c r="BE375" s="6" t="str">
        <x:v>5</x:v>
      </x:c>
      <x:c r="BF375" s="6" t="str">
        <x:v>1</x:v>
      </x:c>
      <x:c r="BG375" s="6" t="str">
        <x:v>2</x:v>
      </x:c>
      <x:c r="BH375" s="6" t="str">
        <x:v>0</x:v>
      </x:c>
      <x:c r="BI375" s="6" t="str">
        <x:v>0</x:v>
      </x:c>
      <x:c r="BJ375" s="6" t="str">
        <x:v>0</x:v>
      </x:c>
      <x:c r="BK375" s="6" t="str">
        <x:v>0</x:v>
      </x:c>
      <x:c r="BL375" s="6" t="str">
        <x:v>0</x:v>
      </x:c>
      <x:c r="BM375" s="6" t="str">
        <x:v>0</x:v>
      </x:c>
      <x:c r="BN375" s="6" t="str">
        <x:v>8</x:v>
      </x:c>
      <x:c r="BO375" s="6" t="str">
        <x:v>1.0</x:v>
      </x:c>
      <x:c r="BP375" s="6" t="str">
        <x:v>8</x:v>
      </x:c>
      <x:c r="BQ375" s="6" t="str">
        <x:v>1.0</x:v>
      </x:c>
      <x:c r="BR375" s="6" t="str">
        <x:v>8</x:v>
      </x:c>
      <x:c r="BS375" s="6" t="str">
        <x:v>12.0</x:v>
      </x:c>
      <x:c r="BT375" s="6" t="str">
        <x:v>8</x:v>
      </x:c>
      <x:c r="BU375" s="6" t="str">
        <x:v>769.0</x:v>
      </x:c>
      <x:c r="BV375" s="6" t="str">
        <x:v>4</x:v>
      </x:c>
      <x:c r="BW375" s="9" t="str">
        <x:v>operational_snapshot_annual_totals_may_differ</x:v>
      </x:c>
      <x:c r="BX375" s="9" t="str">
        <x:v>official_live_dashboard_snapshot_subject_to_revision</x:v>
      </x:c>
      <x:c r="BY375" s="9" t="str">
        <x:v>https://tbdashboard.sitb.id/ss_data_tbc03so_2025_provinsi_bulanan_list.php</x:v>
      </x:c>
      <x:c r="BZ375" s="6" t="n">
        <x:v>46246.610671296294</x:v>
      </x:c>
    </x:row>
    <x:row r="376" ht="18" customHeight="1">
      <x:c r="A376" s="6" t="str">
        <x:v>36</x:v>
      </x:c>
      <x:c r="B376" s="6" t="str">
        <x:v>BANTEN</x:v>
      </x:c>
      <x:c r="C376" s="6" t="str">
        <x:v>2025</x:v>
      </x:c>
      <x:c r="D376" s="6" t="str">
        <x:v>3</x:v>
      </x:c>
      <x:c r="E376" s="6" t="str">
        <x:v>2025-03</x:v>
      </x:c>
      <x:c r="F376" s="6" t="str">
        <x:v>4476</x:v>
      </x:c>
      <x:c r="G376" s="6" t="str">
        <x:v>869</x:v>
      </x:c>
      <x:c r="H376" s="6" t="str">
        <x:v>3032</x:v>
      </x:c>
      <x:c r="I376" s="6" t="str">
        <x:v>244</x:v>
      </x:c>
      <x:c r="J376" s="6" t="str">
        <x:v>96</x:v>
      </x:c>
      <x:c r="K376" s="6" t="str">
        <x:v>4</x:v>
      </x:c>
      <x:c r="L376" s="6" t="str">
        <x:v>7</x:v>
      </x:c>
      <x:c r="M376" s="6" t="str">
        <x:v>224</x:v>
      </x:c>
      <x:c r="N376" s="6" t="str">
        <x:v>4476</x:v>
      </x:c>
      <x:c r="O376" s="6" t="str">
        <x:v>0</x:v>
      </x:c>
      <x:c r="P376" s="10" t="n">
        <x:f>F376-M376</x:f>
        <x:v>4252</x:v>
      </x:c>
      <x:c r="Q376" s="11" t="n">
        <x:f>IFERROR(M376/F376,"")</x:f>
        <x:v>0.050044682752457555</x:v>
      </x:c>
      <x:c r="R376" s="10" t="n">
        <x:f>G376+H376</x:f>
        <x:v>3901</x:v>
      </x:c>
      <x:c r="S376" s="11" t="n">
        <x:f>IFERROR(R376/F376,"")</x:f>
        <x:v>0.8715370866845398</x:v>
      </x:c>
      <x:c r="T376" s="11" t="n">
        <x:f>IFERROR(R376/P376,"")</x:f>
        <x:v>0.9174506114769521</x:v>
      </x:c>
      <x:c r="U376" s="10" t="n">
        <x:f>I376+J376+K376</x:f>
        <x:v>344</x:v>
      </x:c>
      <x:c r="V376" s="11" t="n">
        <x:f>IFERROR(U376/P376,"")</x:f>
        <x:v>0.08090310442144873</x:v>
      </x:c>
      <x:c r="W376" s="9" t="str">
        <x:v>provisional_gt_5pct_pending</x:v>
      </x:c>
      <x:c r="X376" s="12" t="n">
        <x:f>IFERROR(F376/Z376*100000,"")</x:f>
        <x:v>35.70118206326671</x:v>
      </x:c>
      <x:c r="Y376" s="13" t="n">
        <x:f>LN(Z376)</x:f>
        <x:v>16.344226735148734</x:v>
      </x:c>
      <x:c r="Z376" s="6" t="str">
        <x:v>12537400</x:v>
      </x:c>
      <x:c r="AA376" s="6" t="str">
        <x:v>1341.0</x:v>
      </x:c>
      <x:c r="AB376" s="9" t="str">
        <x:v>2025-06-30</x:v>
      </x:c>
      <x:c r="AC376" s="8" t="str">
        <x:v>90.7</x:v>
      </x:c>
      <x:c r="AD376" s="9" t="str">
        <x:v>2025 (Susenas)</x:v>
      </x:c>
      <x:c r="AE376" s="8" t="str">
        <x:v>5.63</x:v>
      </x:c>
      <x:c r="AF376" s="9" t="str">
        <x:v>Maret 2025 (Susenas)</x:v>
      </x:c>
      <x:c r="AG376" s="6" t="str">
        <x:v>26.65539423832263</x:v>
      </x:c>
      <x:c r="AH376" s="8" t="str">
        <x:v>86.99920196606207</x:v>
      </x:c>
      <x:c r="AI376" s="6" t="str">
        <x:v>198.40118510429107</x:v>
      </x:c>
      <x:c r="AJ376" s="6" t="str">
        <x:v>0.4426864184048469</x:v>
      </x:c>
      <x:c r="AK376" s="8" t="str">
        <x:v>1.1152903004755943</x:v>
      </x:c>
      <x:c r="AL376" s="6" t="str">
        <x:v>0.861154440810965</x:v>
      </x:c>
      <x:c r="AM376" s="6" t="str">
        <x:v>0.4628660566091512</x:v>
      </x:c>
      <x:c r="AN376" s="6" t="str">
        <x:v>0.8131035992985703</x:v>
      </x:c>
      <x:c r="AO376" s="6" t="str">
        <x:v>0.6773006792500382</x:v>
      </x:c>
      <x:c r="AP376" s="8" t="str">
        <x:v>0.5429935455698542</x:v>
      </x:c>
      <x:c r="AQ376" s="6" t="str">
        <x:v>-0.4336969288192072</x:v>
      </x:c>
      <x:c r="AR376" s="6" t="str">
        <x:v>0.7673441814701744</x:v>
      </x:c>
      <x:c r="AS376" s="6" t="str">
        <x:v>0.2922135994069402</x:v>
      </x:c>
      <x:c r="AT376" s="6" t="str">
        <x:v>-22.3805778748507</x:v>
      </x:c>
      <x:c r="AU376" s="8" t="str">
        <x:v>-0.3224281933139944</x:v>
      </x:c>
      <x:c r="AV376" s="6" t="str">
        <x:v>-0.3965394038065006</x:v>
      </x:c>
      <x:c r="AW376" s="6" t="str">
        <x:v>2.0476835278727554</x:v>
      </x:c>
      <x:c r="AX376" s="6" t="str">
        <x:v>0.4429053102507533</x:v>
      </x:c>
      <x:c r="AY376" s="6" t="str">
        <x:v>0</x:v>
      </x:c>
      <x:c r="AZ376" s="6" t="str">
        <x:v>1</x:v>
      </x:c>
      <x:c r="BA376" s="9" t="str">
        <x:v>grid_cells_within_BIG_polygon</x:v>
      </x:c>
      <x:c r="BB376" s="6" t="str">
        <x:v>2</x:v>
      </x:c>
      <x:c r="BC376" s="6" t="str">
        <x:v>7</x:v>
      </x:c>
      <x:c r="BD376" s="6" t="str">
        <x:v>7</x:v>
      </x:c>
      <x:c r="BE376" s="6" t="str">
        <x:v>7</x:v>
      </x:c>
      <x:c r="BF376" s="6" t="str">
        <x:v>0</x:v>
      </x:c>
      <x:c r="BG376" s="6" t="str">
        <x:v>0</x:v>
      </x:c>
      <x:c r="BH376" s="6" t="str">
        <x:v>0</x:v>
      </x:c>
      <x:c r="BI376" s="6" t="str">
        <x:v>0</x:v>
      </x:c>
      <x:c r="BJ376" s="6" t="str">
        <x:v>0</x:v>
      </x:c>
      <x:c r="BK376" s="6" t="str">
        <x:v>0</x:v>
      </x:c>
      <x:c r="BL376" s="6" t="str">
        <x:v>0</x:v>
      </x:c>
      <x:c r="BM376" s="6" t="str">
        <x:v>0</x:v>
      </x:c>
      <x:c r="BN376" s="6" t="str">
        <x:v>7</x:v>
      </x:c>
      <x:c r="BO376" s="6" t="str">
        <x:v>0.0</x:v>
      </x:c>
      <x:c r="BP376" s="6" t="str">
        <x:v>7</x:v>
      </x:c>
      <x:c r="BQ376" s="6" t="str">
        <x:v>0.0</x:v>
      </x:c>
      <x:c r="BR376" s="6" t="str">
        <x:v>7</x:v>
      </x:c>
      <x:c r="BS376" s="6" t="str">
        <x:v>0.0</x:v>
      </x:c>
      <x:c r="BT376" s="6" t="str">
        <x:v>7</x:v>
      </x:c>
      <x:c r="BU376" s="6" t="str">
        <x:v>11101.0</x:v>
      </x:c>
      <x:c r="BV376" s="6" t="str">
        <x:v>5</x:v>
      </x:c>
      <x:c r="BW376" s="9" t="str">
        <x:v>operational_snapshot_annual_totals_may_differ</x:v>
      </x:c>
      <x:c r="BX376" s="9" t="str">
        <x:v>official_live_dashboard_snapshot_subject_to_revision</x:v>
      </x:c>
      <x:c r="BY376" s="9" t="str">
        <x:v>https://tbdashboard.sitb.id/ss_data_tbc03so_2025_provinsi_bulanan_list.php</x:v>
      </x:c>
      <x:c r="BZ376" s="6" t="n">
        <x:v>46246.610671296294</x:v>
      </x:c>
    </x:row>
    <x:row r="377" ht="18" customHeight="1">
      <x:c r="A377" s="6" t="str">
        <x:v>36</x:v>
      </x:c>
      <x:c r="B377" s="6" t="str">
        <x:v>BANTEN</x:v>
      </x:c>
      <x:c r="C377" s="6" t="str">
        <x:v>2025</x:v>
      </x:c>
      <x:c r="D377" s="6" t="str">
        <x:v>4</x:v>
      </x:c>
      <x:c r="E377" s="6" t="str">
        <x:v>2025-04</x:v>
      </x:c>
      <x:c r="F377" s="6" t="str">
        <x:v>4176</x:v>
      </x:c>
      <x:c r="G377" s="6" t="str">
        <x:v>796</x:v>
      </x:c>
      <x:c r="H377" s="6" t="str">
        <x:v>2776</x:v>
      </x:c>
      <x:c r="I377" s="6" t="str">
        <x:v>260</x:v>
      </x:c>
      <x:c r="J377" s="6" t="str">
        <x:v>104</x:v>
      </x:c>
      <x:c r="K377" s="6" t="str">
        <x:v>5</x:v>
      </x:c>
      <x:c r="L377" s="6" t="str">
        <x:v>8</x:v>
      </x:c>
      <x:c r="M377" s="6" t="str">
        <x:v>227</x:v>
      </x:c>
      <x:c r="N377" s="6" t="str">
        <x:v>4176</x:v>
      </x:c>
      <x:c r="O377" s="6" t="str">
        <x:v>0</x:v>
      </x:c>
      <x:c r="P377" s="10" t="n">
        <x:f>F377-M377</x:f>
        <x:v>3949</x:v>
      </x:c>
      <x:c r="Q377" s="11" t="n">
        <x:f>IFERROR(M377/F377,"")</x:f>
        <x:v>0.05435823754789272</x:v>
      </x:c>
      <x:c r="R377" s="10" t="n">
        <x:f>G377+H377</x:f>
        <x:v>3572</x:v>
      </x:c>
      <x:c r="S377" s="11" t="n">
        <x:f>IFERROR(R377/F377,"")</x:f>
        <x:v>0.8553639846743295</x:v>
      </x:c>
      <x:c r="T377" s="11" t="n">
        <x:f>IFERROR(R377/P377,"")</x:f>
        <x:v>0.9045327931121803</x:v>
      </x:c>
      <x:c r="U377" s="10" t="n">
        <x:f>I377+J377+K377</x:f>
        <x:v>369</x:v>
      </x:c>
      <x:c r="V377" s="11" t="n">
        <x:f>IFERROR(U377/P377,"")</x:f>
        <x:v>0.09344137756394023</x:v>
      </x:c>
      <x:c r="W377" s="9" t="str">
        <x:v>provisional_gt_5pct_pending</x:v>
      </x:c>
      <x:c r="X377" s="12" t="n">
        <x:f>IFERROR(F377/Z377*100000,"")</x:f>
        <x:v>33.30834144240433</x:v>
      </x:c>
      <x:c r="Y377" s="13" t="n">
        <x:f>LN(Z377)</x:f>
        <x:v>16.344226735148734</x:v>
      </x:c>
      <x:c r="Z377" s="6" t="str">
        <x:v>12537400</x:v>
      </x:c>
      <x:c r="AA377" s="6" t="str">
        <x:v>1341.0</x:v>
      </x:c>
      <x:c r="AB377" s="9" t="str">
        <x:v>2025-06-30</x:v>
      </x:c>
      <x:c r="AC377" s="8" t="str">
        <x:v>90.7</x:v>
      </x:c>
      <x:c r="AD377" s="9" t="str">
        <x:v>2025 (Susenas)</x:v>
      </x:c>
      <x:c r="AE377" s="8" t="str">
        <x:v>5.63</x:v>
      </x:c>
      <x:c r="AF377" s="9" t="str">
        <x:v>Maret 2025 (Susenas)</x:v>
      </x:c>
      <x:c r="AG377" s="6" t="str">
        <x:v>26.875379902383624</x:v>
      </x:c>
      <x:c r="AH377" s="8" t="str">
        <x:v>85.03423780590958</x:v>
      </x:c>
      <x:c r="AI377" s="6" t="str">
        <x:v>171.45107519542535</x:v>
      </x:c>
      <x:c r="AJ377" s="6" t="str">
        <x:v>0.3403393862853576</x:v>
      </x:c>
      <x:c r="AK377" s="8" t="str">
        <x:v>0.8510054065140815</x:v>
      </x:c>
      <x:c r="AL377" s="6" t="str">
        <x:v>1.1152903004755943</x:v>
      </x:c>
      <x:c r="AM377" s="6" t="str">
        <x:v>0.861154440810965</x:v>
      </x:c>
      <x:c r="AN377" s="6" t="str">
        <x:v>0.942483382600214</x:v>
      </x:c>
      <x:c r="AO377" s="6" t="str">
        <x:v>-0.9094546825039204</x:v>
      </x:c>
      <x:c r="AP377" s="8" t="str">
        <x:v>-0.8162360584234246</x:v>
      </x:c>
      <x:c r="AQ377" s="6" t="str">
        <x:v>0.5429935455698542</x:v>
      </x:c>
      <x:c r="AR377" s="6" t="str">
        <x:v>-0.4336969288192072</x:v>
      </x:c>
      <x:c r="AS377" s="6" t="str">
        <x:v>-0.2356464805575927</x:v>
      </x:c>
      <x:c r="AT377" s="6" t="str">
        <x:v>-9.40914376891658</x:v>
      </x:c>
      <x:c r="AU377" s="8" t="str">
        <x:v>-0.1735080488069685</x:v>
      </x:c>
      <x:c r="AV377" s="6" t="str">
        <x:v>-0.3224281933139944</x:v>
      </x:c>
      <x:c r="AW377" s="6" t="str">
        <x:v>-0.3965394038065006</x:v>
      </x:c>
      <x:c r="AX377" s="6" t="str">
        <x:v>-0.2974918819758213</x:v>
      </x:c>
      <x:c r="AY377" s="6" t="str">
        <x:v>0</x:v>
      </x:c>
      <x:c r="AZ377" s="6" t="str">
        <x:v>0</x:v>
      </x:c>
      <x:c r="BA377" s="9" t="str">
        <x:v>grid_cells_within_BIG_polygon</x:v>
      </x:c>
      <x:c r="BB377" s="6" t="str">
        <x:v>2</x:v>
      </x:c>
      <x:c r="BC377" s="6" t="str">
        <x:v>5</x:v>
      </x:c>
      <x:c r="BD377" s="6" t="str">
        <x:v>5</x:v>
      </x:c>
      <x:c r="BE377" s="6" t="str">
        <x:v>5</x:v>
      </x:c>
      <x:c r="BF377" s="6" t="str">
        <x:v>0</x:v>
      </x:c>
      <x:c r="BG377" s="6" t="str">
        <x:v>0</x:v>
      </x:c>
      <x:c r="BH377" s="6" t="str">
        <x:v>0</x:v>
      </x:c>
      <x:c r="BI377" s="6" t="str">
        <x:v>0</x:v>
      </x:c>
      <x:c r="BJ377" s="6" t="str">
        <x:v>0</x:v>
      </x:c>
      <x:c r="BK377" s="6" t="str">
        <x:v>0</x:v>
      </x:c>
      <x:c r="BL377" s="6" t="str">
        <x:v>0</x:v>
      </x:c>
      <x:c r="BM377" s="6" t="str">
        <x:v>0</x:v>
      </x:c>
      <x:c r="BN377" s="6" t="str">
        <x:v>5</x:v>
      </x:c>
      <x:c r="BO377" s="6" t="str">
        <x:v>1.0</x:v>
      </x:c>
      <x:c r="BP377" s="6" t="str">
        <x:v>5</x:v>
      </x:c>
      <x:c r="BQ377" s="6" t="str">
        <x:v>0.0</x:v>
      </x:c>
      <x:c r="BR377" s="6" t="str">
        <x:v>5</x:v>
      </x:c>
      <x:c r="BS377" s="6" t="str">
        <x:v>0.0</x:v>
      </x:c>
      <x:c r="BT377" s="6" t="str">
        <x:v>5</x:v>
      </x:c>
      <x:c r="BU377" s="6" t="str">
        <x:v>1801.0</x:v>
      </x:c>
      <x:c r="BV377" s="6" t="str">
        <x:v>5</x:v>
      </x:c>
      <x:c r="BW377" s="9" t="str">
        <x:v>operational_snapshot_annual_totals_may_differ</x:v>
      </x:c>
      <x:c r="BX377" s="9" t="str">
        <x:v>official_live_dashboard_snapshot_subject_to_revision</x:v>
      </x:c>
      <x:c r="BY377" s="9" t="str">
        <x:v>https://tbdashboard.sitb.id/ss_data_tbc03so_2025_provinsi_bulanan_list.php</x:v>
      </x:c>
      <x:c r="BZ377" s="6" t="n">
        <x:v>46246.610671296294</x:v>
      </x:c>
    </x:row>
    <x:row r="378" ht="18" customHeight="1">
      <x:c r="A378" s="6" t="str">
        <x:v>36</x:v>
      </x:c>
      <x:c r="B378" s="6" t="str">
        <x:v>BANTEN</x:v>
      </x:c>
      <x:c r="C378" s="6" t="str">
        <x:v>2025</x:v>
      </x:c>
      <x:c r="D378" s="6" t="str">
        <x:v>5</x:v>
      </x:c>
      <x:c r="E378" s="6" t="str">
        <x:v>2025-05</x:v>
      </x:c>
      <x:c r="F378" s="6" t="str">
        <x:v>4520</x:v>
      </x:c>
      <x:c r="G378" s="6" t="str">
        <x:v>868</x:v>
      </x:c>
      <x:c r="H378" s="6" t="str">
        <x:v>2957</x:v>
      </x:c>
      <x:c r="I378" s="6" t="str">
        <x:v>293</x:v>
      </x:c>
      <x:c r="J378" s="6" t="str">
        <x:v>128</x:v>
      </x:c>
      <x:c r="K378" s="6" t="str">
        <x:v>5</x:v>
      </x:c>
      <x:c r="L378" s="6" t="str">
        <x:v>6</x:v>
      </x:c>
      <x:c r="M378" s="6" t="str">
        <x:v>263</x:v>
      </x:c>
      <x:c r="N378" s="6" t="str">
        <x:v>4520</x:v>
      </x:c>
      <x:c r="O378" s="6" t="str">
        <x:v>0</x:v>
      </x:c>
      <x:c r="P378" s="10" t="n">
        <x:f>F378-M378</x:f>
        <x:v>4257</x:v>
      </x:c>
      <x:c r="Q378" s="11" t="n">
        <x:f>IFERROR(M378/F378,"")</x:f>
        <x:v>0.0581858407079646</x:v>
      </x:c>
      <x:c r="R378" s="10" t="n">
        <x:f>G378+H378</x:f>
        <x:v>3825</x:v>
      </x:c>
      <x:c r="S378" s="11" t="n">
        <x:f>IFERROR(R378/F378,"")</x:f>
        <x:v>0.8462389380530974</x:v>
      </x:c>
      <x:c r="T378" s="11" t="n">
        <x:f>IFERROR(R378/P378,"")</x:f>
        <x:v>0.8985200845665962</x:v>
      </x:c>
      <x:c r="U378" s="10" t="n">
        <x:f>I378+J378+K378</x:f>
        <x:v>426</x:v>
      </x:c>
      <x:c r="V378" s="11" t="n">
        <x:f>IFERROR(U378/P378,"")</x:f>
        <x:v>0.10007047216349542</x:v>
      </x:c>
      <x:c r="W378" s="9" t="str">
        <x:v>provisional_gt_5pct_pending</x:v>
      </x:c>
      <x:c r="X378" s="12" t="n">
        <x:f>IFERROR(F378/Z378*100000,"")</x:f>
        <x:v>36.05213202099319</x:v>
      </x:c>
      <x:c r="Y378" s="13" t="n">
        <x:f>LN(Z378)</x:f>
        <x:v>16.344226735148734</x:v>
      </x:c>
      <x:c r="Z378" s="6" t="str">
        <x:v>12537400</x:v>
      </x:c>
      <x:c r="AA378" s="6" t="str">
        <x:v>1341.0</x:v>
      </x:c>
      <x:c r="AB378" s="9" t="str">
        <x:v>2025-06-30</x:v>
      </x:c>
      <x:c r="AC378" s="8" t="str">
        <x:v>90.7</x:v>
      </x:c>
      <x:c r="AD378" s="9" t="str">
        <x:v>2025 (Susenas)</x:v>
      </x:c>
      <x:c r="AE378" s="8" t="str">
        <x:v>5.63</x:v>
      </x:c>
      <x:c r="AF378" s="9" t="str">
        <x:v>Maret 2025 (Susenas)</x:v>
      </x:c>
      <x:c r="AG378" s="6" t="str">
        <x:v>27.29540857426164</x:v>
      </x:c>
      <x:c r="AH378" s="8" t="str">
        <x:v>84.65413745433655</x:v>
      </x:c>
      <x:c r="AI378" s="6" t="str">
        <x:v>190.17203792181655</x:v>
      </x:c>
      <x:c r="AJ378" s="6" t="str">
        <x:v>0.5617068072958809</x:v>
      </x:c>
      <x:c r="AK378" s="8" t="str">
        <x:v>1.5746706947900817</x:v>
      </x:c>
      <x:c r="AL378" s="6" t="str">
        <x:v>0.8510054065140815</x:v>
      </x:c>
      <x:c r="AM378" s="6" t="str">
        <x:v>1.1152903004755943</x:v>
      </x:c>
      <x:c r="AN378" s="6" t="str">
        <x:v>1.180322133926586</x:v>
      </x:c>
      <x:c r="AO378" s="6" t="str">
        <x:v>0.1022065399172476</x:v>
      </x:c>
      <x:c r="AP378" s="8" t="str">
        <x:v>0.0728434058369288</x:v>
      </x:c>
      <x:c r="AQ378" s="6" t="str">
        <x:v>-0.8162360584234246</x:v>
      </x:c>
      <x:c r="AR378" s="6" t="str">
        <x:v>0.5429935455698542</x:v>
      </x:c>
      <x:c r="AS378" s="6" t="str">
        <x:v>-0.0667997023388807</x:v>
      </x:c>
      <x:c r="AT378" s="6" t="str">
        <x:v>47.95307839813464</x:v>
      </x:c>
      <x:c r="AU378" s="8" t="str">
        <x:v>0.9549922123354658</x:v>
      </x:c>
      <x:c r="AV378" s="6" t="str">
        <x:v>-0.1735080488069685</x:v>
      </x:c>
      <x:c r="AW378" s="6" t="str">
        <x:v>-0.3224281933139944</x:v>
      </x:c>
      <x:c r="AX378" s="6" t="str">
        <x:v>0.1530186567381674</x:v>
      </x:c>
      <x:c r="AY378" s="6" t="str">
        <x:v>0</x:v>
      </x:c>
      <x:c r="AZ378" s="6" t="str">
        <x:v>1</x:v>
      </x:c>
      <x:c r="BA378" s="9" t="str">
        <x:v>grid_cells_within_BIG_polygon</x:v>
      </x:c>
      <x:c r="BB378" s="6" t="str">
        <x:v>2</x:v>
      </x:c>
      <x:c r="BC378" s="6" t="str">
        <x:v>4</x:v>
      </x:c>
      <x:c r="BD378" s="6" t="str">
        <x:v>4</x:v>
      </x:c>
      <x:c r="BE378" s="6" t="str">
        <x:v>4</x:v>
      </x:c>
      <x:c r="BF378" s="6" t="str">
        <x:v>0</x:v>
      </x:c>
      <x:c r="BG378" s="6" t="str">
        <x:v>0</x:v>
      </x:c>
      <x:c r="BH378" s="6" t="str">
        <x:v>0</x:v>
      </x:c>
      <x:c r="BI378" s="6" t="str">
        <x:v>0</x:v>
      </x:c>
      <x:c r="BJ378" s="6" t="str">
        <x:v>0</x:v>
      </x:c>
      <x:c r="BK378" s="6" t="str">
        <x:v>0</x:v>
      </x:c>
      <x:c r="BL378" s="6" t="str">
        <x:v>0</x:v>
      </x:c>
      <x:c r="BM378" s="6" t="str">
        <x:v>0</x:v>
      </x:c>
      <x:c r="BN378" s="6" t="str">
        <x:v>4</x:v>
      </x:c>
      <x:c r="BO378" s="6" t="str">
        <x:v>0.0</x:v>
      </x:c>
      <x:c r="BP378" s="6" t="str">
        <x:v>4</x:v>
      </x:c>
      <x:c r="BQ378" s="6" t="str">
        <x:v>0.0</x:v>
      </x:c>
      <x:c r="BR378" s="6" t="str">
        <x:v>4</x:v>
      </x:c>
      <x:c r="BS378" s="6" t="str">
        <x:v>0.0</x:v>
      </x:c>
      <x:c r="BT378" s="6" t="str">
        <x:v>4</x:v>
      </x:c>
      <x:c r="BU378" s="6" t="str">
        <x:v>4730.0</x:v>
      </x:c>
      <x:c r="BV378" s="6" t="str">
        <x:v>4</x:v>
      </x:c>
      <x:c r="BW378" s="9" t="str">
        <x:v>operational_snapshot_annual_totals_may_differ</x:v>
      </x:c>
      <x:c r="BX378" s="9" t="str">
        <x:v>official_live_dashboard_snapshot_subject_to_revision</x:v>
      </x:c>
      <x:c r="BY378" s="9" t="str">
        <x:v>https://tbdashboard.sitb.id/ss_data_tbc03so_2025_provinsi_bulanan_list.php</x:v>
      </x:c>
      <x:c r="BZ378" s="6" t="n">
        <x:v>46246.610671296294</x:v>
      </x:c>
    </x:row>
    <x:row r="379" ht="18" customHeight="1">
      <x:c r="A379" s="6" t="str">
        <x:v>36</x:v>
      </x:c>
      <x:c r="B379" s="6" t="str">
        <x:v>BANTEN</x:v>
      </x:c>
      <x:c r="C379" s="6" t="str">
        <x:v>2025</x:v>
      </x:c>
      <x:c r="D379" s="6" t="str">
        <x:v>6</x:v>
      </x:c>
      <x:c r="E379" s="6" t="str">
        <x:v>2025-06</x:v>
      </x:c>
      <x:c r="F379" s="6" t="str">
        <x:v>3981</x:v>
      </x:c>
      <x:c r="G379" s="6" t="str">
        <x:v>749</x:v>
      </x:c>
      <x:c r="H379" s="6" t="str">
        <x:v>2605</x:v>
      </x:c>
      <x:c r="I379" s="6" t="str">
        <x:v>243</x:v>
      </x:c>
      <x:c r="J379" s="6" t="str">
        <x:v>106</x:v>
      </x:c>
      <x:c r="K379" s="6" t="str">
        <x:v>6</x:v>
      </x:c>
      <x:c r="L379" s="6" t="str">
        <x:v>7</x:v>
      </x:c>
      <x:c r="M379" s="6" t="str">
        <x:v>265</x:v>
      </x:c>
      <x:c r="N379" s="6" t="str">
        <x:v>3981</x:v>
      </x:c>
      <x:c r="O379" s="6" t="str">
        <x:v>0</x:v>
      </x:c>
      <x:c r="P379" s="10" t="n">
        <x:f>F379-M379</x:f>
        <x:v>3716</x:v>
      </x:c>
      <x:c r="Q379" s="11" t="n">
        <x:f>IFERROR(M379/F379,"")</x:f>
        <x:v>0.06656618939964833</x:v>
      </x:c>
      <x:c r="R379" s="10" t="n">
        <x:f>G379+H379</x:f>
        <x:v>3354</x:v>
      </x:c>
      <x:c r="S379" s="11" t="n">
        <x:f>IFERROR(R379/F379,"")</x:f>
        <x:v>0.8425018839487566</x:v>
      </x:c>
      <x:c r="T379" s="11" t="n">
        <x:f>IFERROR(R379/P379,"")</x:f>
        <x:v>0.9025834230355221</x:v>
      </x:c>
      <x:c r="U379" s="10" t="n">
        <x:f>I379+J379+K379</x:f>
        <x:v>355</x:v>
      </x:c>
      <x:c r="V379" s="11" t="n">
        <x:f>IFERROR(U379/P379,"")</x:f>
        <x:v>0.09553283100107643</x:v>
      </x:c>
      <x:c r="W379" s="9" t="str">
        <x:v>provisional_gt_5pct_pending</x:v>
      </x:c>
      <x:c r="X379" s="12" t="n">
        <x:f>IFERROR(F379/Z379*100000,"")</x:f>
        <x:v>31.752995038843782</x:v>
      </x:c>
      <x:c r="Y379" s="13" t="n">
        <x:f>LN(Z379)</x:f>
        <x:v>16.344226735148734</x:v>
      </x:c>
      <x:c r="Z379" s="6" t="str">
        <x:v>12537400</x:v>
      </x:c>
      <x:c r="AA379" s="6" t="str">
        <x:v>1341.0</x:v>
      </x:c>
      <x:c r="AB379" s="9" t="str">
        <x:v>2025-06-30</x:v>
      </x:c>
      <x:c r="AC379" s="8" t="str">
        <x:v>90.7</x:v>
      </x:c>
      <x:c r="AD379" s="9" t="str">
        <x:v>2025 (Susenas)</x:v>
      </x:c>
      <x:c r="AE379" s="8" t="str">
        <x:v>5.63</x:v>
      </x:c>
      <x:c r="AF379" s="9" t="str">
        <x:v>Maret 2025 (Susenas)</x:v>
      </x:c>
      <x:c r="AG379" s="6" t="str">
        <x:v>26.835408574261635</x:v>
      </x:c>
      <x:c r="AH379" s="8" t="str">
        <x:v>84.89907294261103</x:v>
      </x:c>
      <x:c r="AI379" s="6" t="str">
        <x:v>214.9447673822633</x:v>
      </x:c>
      <x:c r="AJ379" s="6" t="str">
        <x:v>0.5363570672767963</x:v>
      </x:c>
      <x:c r="AK379" s="8" t="str">
        <x:v>1.7143329334345434</x:v>
      </x:c>
      <x:c r="AL379" s="6" t="str">
        <x:v>1.5746706947900817</x:v>
      </x:c>
      <x:c r="AM379" s="6" t="str">
        <x:v>0.8510054065140815</x:v>
      </x:c>
      <x:c r="AN379" s="6" t="str">
        <x:v>1.380003011579569</x:v>
      </x:c>
      <x:c r="AO379" s="6" t="str">
        <x:v>1.555632391254946</x:v>
      </x:c>
      <x:c r="AP379" s="8" t="str">
        <x:v>0.7658994644174447</x:v>
      </x:c>
      <x:c r="AQ379" s="6" t="str">
        <x:v>0.0728434058369288</x:v>
      </x:c>
      <x:c r="AR379" s="6" t="str">
        <x:v>-0.8162360584234246</x:v>
      </x:c>
      <x:c r="AS379" s="6" t="str">
        <x:v>0.007502270610316</x:v>
      </x:c>
      <x:c r="AT379" s="6" t="str">
        <x:v>124.48617230428576</x:v>
      </x:c>
      <x:c r="AU379" s="8" t="str">
        <x:v>2.4803980193130246</x:v>
      </x:c>
      <x:c r="AV379" s="6" t="str">
        <x:v>0.9549922123354658</x:v>
      </x:c>
      <x:c r="AW379" s="6" t="str">
        <x:v>-0.1735080488069685</x:v>
      </x:c>
      <x:c r="AX379" s="6" t="str">
        <x:v>1.0872940609471735</x:v>
      </x:c>
      <x:c r="AY379" s="6" t="str">
        <x:v>1</x:v>
      </x:c>
      <x:c r="AZ379" s="6" t="str">
        <x:v>1</x:v>
      </x:c>
      <x:c r="BA379" s="9" t="str">
        <x:v>grid_cells_within_BIG_polygon</x:v>
      </x:c>
      <x:c r="BB379" s="6" t="str">
        <x:v>2</x:v>
      </x:c>
      <x:c r="BC379" s="6" t="str">
        <x:v>6</x:v>
      </x:c>
      <x:c r="BD379" s="6" t="str">
        <x:v>6</x:v>
      </x:c>
      <x:c r="BE379" s="6" t="str">
        <x:v>6</x:v>
      </x:c>
      <x:c r="BF379" s="6" t="str">
        <x:v>0</x:v>
      </x:c>
      <x:c r="BG379" s="6" t="str">
        <x:v>0</x:v>
      </x:c>
      <x:c r="BH379" s="6" t="str">
        <x:v>0</x:v>
      </x:c>
      <x:c r="BI379" s="6" t="str">
        <x:v>0</x:v>
      </x:c>
      <x:c r="BJ379" s="6" t="str">
        <x:v>0</x:v>
      </x:c>
      <x:c r="BK379" s="6" t="str">
        <x:v>0</x:v>
      </x:c>
      <x:c r="BL379" s="6" t="str">
        <x:v>0</x:v>
      </x:c>
      <x:c r="BM379" s="6" t="str">
        <x:v>0</x:v>
      </x:c>
      <x:c r="BN379" s="6" t="str">
        <x:v>6</x:v>
      </x:c>
      <x:c r="BO379" s="6" t="str"/>
      <x:c r="BP379" s="6" t="str">
        <x:v>0</x:v>
      </x:c>
      <x:c r="BQ379" s="6" t="str"/>
      <x:c r="BR379" s="6" t="str">
        <x:v>0</x:v>
      </x:c>
      <x:c r="BS379" s="6" t="str">
        <x:v>0.0</x:v>
      </x:c>
      <x:c r="BT379" s="6" t="str">
        <x:v>6</x:v>
      </x:c>
      <x:c r="BU379" s="6" t="str">
        <x:v>2560.0</x:v>
      </x:c>
      <x:c r="BV379" s="6" t="str">
        <x:v>6</x:v>
      </x:c>
      <x:c r="BW379" s="9" t="str">
        <x:v>operational_snapshot_annual_totals_may_differ</x:v>
      </x:c>
      <x:c r="BX379" s="9" t="str">
        <x:v>official_live_dashboard_snapshot_subject_to_revision</x:v>
      </x:c>
      <x:c r="BY379" s="9" t="str">
        <x:v>https://tbdashboard.sitb.id/ss_data_tbc03so_2025_provinsi_bulanan_list.php</x:v>
      </x:c>
      <x:c r="BZ379" s="6" t="n">
        <x:v>46246.610671296294</x:v>
      </x:c>
    </x:row>
    <x:row r="380" ht="18" customHeight="1">
      <x:c r="A380" s="6" t="str">
        <x:v>36</x:v>
      </x:c>
      <x:c r="B380" s="6" t="str">
        <x:v>BANTEN</x:v>
      </x:c>
      <x:c r="C380" s="6" t="str">
        <x:v>2025</x:v>
      </x:c>
      <x:c r="D380" s="6" t="str">
        <x:v>7</x:v>
      </x:c>
      <x:c r="E380" s="6" t="str">
        <x:v>2025-07</x:v>
      </x:c>
      <x:c r="F380" s="6" t="str">
        <x:v>4894</x:v>
      </x:c>
      <x:c r="G380" s="6" t="str">
        <x:v>851</x:v>
      </x:c>
      <x:c r="H380" s="6" t="str">
        <x:v>3051</x:v>
      </x:c>
      <x:c r="I380" s="6" t="str">
        <x:v>273</x:v>
      </x:c>
      <x:c r="J380" s="6" t="str">
        <x:v>137</x:v>
      </x:c>
      <x:c r="K380" s="6" t="str">
        <x:v>8</x:v>
      </x:c>
      <x:c r="L380" s="6" t="str">
        <x:v>7</x:v>
      </x:c>
      <x:c r="M380" s="6" t="str">
        <x:v>567</x:v>
      </x:c>
      <x:c r="N380" s="6" t="str">
        <x:v>4894</x:v>
      </x:c>
      <x:c r="O380" s="6" t="str">
        <x:v>0</x:v>
      </x:c>
      <x:c r="P380" s="10" t="n">
        <x:f>F380-M380</x:f>
        <x:v>4327</x:v>
      </x:c>
      <x:c r="Q380" s="11" t="n">
        <x:f>IFERROR(M380/F380,"")</x:f>
        <x:v>0.11585615038823048</x:v>
      </x:c>
      <x:c r="R380" s="10" t="n">
        <x:f>G380+H380</x:f>
        <x:v>3902</x:v>
      </x:c>
      <x:c r="S380" s="11" t="n">
        <x:f>IFERROR(R380/F380,"")</x:f>
        <x:v>0.7973028197793216</x:v>
      </x:c>
      <x:c r="T380" s="11" t="n">
        <x:f>IFERROR(R380/P380,"")</x:f>
        <x:v>0.9017795239195747</x:v>
      </x:c>
      <x:c r="U380" s="10" t="n">
        <x:f>I380+J380+K380</x:f>
        <x:v>418</x:v>
      </x:c>
      <x:c r="V380" s="11" t="n">
        <x:f>IFERROR(U380/P380,"")</x:f>
        <x:v>0.09660272706263</x:v>
      </x:c>
      <x:c r="W380" s="9" t="str">
        <x:v>provisional_gt_5pct_pending</x:v>
      </x:c>
      <x:c r="X380" s="12" t="n">
        <x:f>IFERROR(F380/Z380*100000,"")</x:f>
        <x:v>39.03520666166829</x:v>
      </x:c>
      <x:c r="Y380" s="13" t="n">
        <x:f>LN(Z380)</x:f>
        <x:v>16.344226735148734</x:v>
      </x:c>
      <x:c r="Z380" s="6" t="str">
        <x:v>12537400</x:v>
      </x:c>
      <x:c r="AA380" s="6" t="str">
        <x:v>1341.0</x:v>
      </x:c>
      <x:c r="AB380" s="9" t="str">
        <x:v>2025-06-30</x:v>
      </x:c>
      <x:c r="AC380" s="8" t="str">
        <x:v>90.7</x:v>
      </x:c>
      <x:c r="AD380" s="9" t="str">
        <x:v>2025 (Susenas)</x:v>
      </x:c>
      <x:c r="AE380" s="8" t="str">
        <x:v>5.63</x:v>
      </x:c>
      <x:c r="AF380" s="9" t="str">
        <x:v>Maret 2025 (Susenas)</x:v>
      </x:c>
      <x:c r="AG380" s="6" t="str">
        <x:v>26.5203966276458</x:v>
      </x:c>
      <x:c r="AH380" s="8" t="str">
        <x:v>82.99912072907438</x:v>
      </x:c>
      <x:c r="AI380" s="6" t="str">
        <x:v>230.32777792945427</x:v>
      </x:c>
      <x:c r="AJ380" s="6" t="str">
        <x:v>0.6668270414489932</x:v>
      </x:c>
      <x:c r="AK380" s="8" t="str">
        <x:v>1.8802310774187485</x:v>
      </x:c>
      <x:c r="AL380" s="6" t="str">
        <x:v>1.7143329334345434</x:v>
      </x:c>
      <x:c r="AM380" s="6" t="str">
        <x:v>1.5746706947900817</x:v>
      </x:c>
      <x:c r="AN380" s="6" t="str">
        <x:v>1.723078235214458</x:v>
      </x:c>
      <x:c r="AO380" s="6" t="str">
        <x:v>1.3959044270732903</x:v>
      </x:c>
      <x:c r="AP380" s="8" t="str">
        <x:v>0.5403323086214844</x:v>
      </x:c>
      <x:c r="AQ380" s="6" t="str">
        <x:v>0.7658994644174447</x:v>
      </x:c>
      <x:c r="AR380" s="6" t="str">
        <x:v>0.0728434058369288</x:v>
      </x:c>
      <x:c r="AS380" s="6" t="str">
        <x:v>0.4596917262919524</x:v>
      </x:c>
      <x:c r="AT380" s="6" t="str">
        <x:v>147.66145691820583</x:v>
      </x:c>
      <x:c r="AU380" s="8" t="str">
        <x:v>1.9810976251096344</x:v>
      </x:c>
      <x:c r="AV380" s="6" t="str">
        <x:v>2.4803980193130246</x:v>
      </x:c>
      <x:c r="AW380" s="6" t="str">
        <x:v>0.9549922123354658</x:v>
      </x:c>
      <x:c r="AX380" s="6" t="str">
        <x:v>1.805495952252708</x:v>
      </x:c>
      <x:c r="AY380" s="6" t="str">
        <x:v>1</x:v>
      </x:c>
      <x:c r="AZ380" s="6" t="str">
        <x:v>1</x:v>
      </x:c>
      <x:c r="BA380" s="9" t="str">
        <x:v>grid_cells_within_BIG_polygon</x:v>
      </x:c>
      <x:c r="BB380" s="6" t="str">
        <x:v>2</x:v>
      </x:c>
      <x:c r="BC380" s="6" t="str">
        <x:v>7</x:v>
      </x:c>
      <x:c r="BD380" s="6" t="str">
        <x:v>7</x:v>
      </x:c>
      <x:c r="BE380" s="6" t="str">
        <x:v>5</x:v>
      </x:c>
      <x:c r="BF380" s="6" t="str">
        <x:v>1</x:v>
      </x:c>
      <x:c r="BG380" s="6" t="str">
        <x:v>0</x:v>
      </x:c>
      <x:c r="BH380" s="6" t="str">
        <x:v>1</x:v>
      </x:c>
      <x:c r="BI380" s="6" t="str">
        <x:v>0</x:v>
      </x:c>
      <x:c r="BJ380" s="6" t="str">
        <x:v>0</x:v>
      </x:c>
      <x:c r="BK380" s="6" t="str">
        <x:v>0</x:v>
      </x:c>
      <x:c r="BL380" s="6" t="str">
        <x:v>0</x:v>
      </x:c>
      <x:c r="BM380" s="6" t="str">
        <x:v>0</x:v>
      </x:c>
      <x:c r="BN380" s="6" t="str">
        <x:v>7</x:v>
      </x:c>
      <x:c r="BO380" s="6" t="str"/>
      <x:c r="BP380" s="6" t="str">
        <x:v>0</x:v>
      </x:c>
      <x:c r="BQ380" s="6" t="str"/>
      <x:c r="BR380" s="6" t="str">
        <x:v>0</x:v>
      </x:c>
      <x:c r="BS380" s="6" t="str">
        <x:v>0.0</x:v>
      </x:c>
      <x:c r="BT380" s="6" t="str">
        <x:v>7</x:v>
      </x:c>
      <x:c r="BU380" s="6" t="str">
        <x:v>9262.0</x:v>
      </x:c>
      <x:c r="BV380" s="6" t="str">
        <x:v>6</x:v>
      </x:c>
      <x:c r="BW380" s="9" t="str">
        <x:v>operational_snapshot_annual_totals_may_differ</x:v>
      </x:c>
      <x:c r="BX380" s="9" t="str">
        <x:v>official_live_dashboard_snapshot_subject_to_revision</x:v>
      </x:c>
      <x:c r="BY380" s="9" t="str">
        <x:v>https://tbdashboard.sitb.id/ss_data_tbc03so_2025_provinsi_bulanan_list.php</x:v>
      </x:c>
      <x:c r="BZ380" s="6" t="n">
        <x:v>46246.610671296294</x:v>
      </x:c>
    </x:row>
    <x:row r="381" ht="18" customHeight="1">
      <x:c r="A381" s="6" t="str">
        <x:v>36</x:v>
      </x:c>
      <x:c r="B381" s="6" t="str">
        <x:v>BANTEN</x:v>
      </x:c>
      <x:c r="C381" s="6" t="str">
        <x:v>2025</x:v>
      </x:c>
      <x:c r="D381" s="6" t="str">
        <x:v>8</x:v>
      </x:c>
      <x:c r="E381" s="6" t="str">
        <x:v>2025-08</x:v>
      </x:c>
      <x:c r="F381" s="6" t="str">
        <x:v>4829</x:v>
      </x:c>
      <x:c r="G381" s="6" t="str">
        <x:v>800</x:v>
      </x:c>
      <x:c r="H381" s="6" t="str">
        <x:v>3027</x:v>
      </x:c>
      <x:c r="I381" s="6" t="str">
        <x:v>270</x:v>
      </x:c>
      <x:c r="J381" s="6" t="str">
        <x:v>117</x:v>
      </x:c>
      <x:c r="K381" s="6" t="str">
        <x:v>9</x:v>
      </x:c>
      <x:c r="L381" s="6" t="str">
        <x:v>6</x:v>
      </x:c>
      <x:c r="M381" s="6" t="str">
        <x:v>600</x:v>
      </x:c>
      <x:c r="N381" s="6" t="str">
        <x:v>4829</x:v>
      </x:c>
      <x:c r="O381" s="6" t="str">
        <x:v>0</x:v>
      </x:c>
      <x:c r="P381" s="10" t="n">
        <x:f>F381-M381</x:f>
        <x:v>4229</x:v>
      </x:c>
      <x:c r="Q381" s="11" t="n">
        <x:f>IFERROR(M381/F381,"")</x:f>
        <x:v>0.12424932698281217</x:v>
      </x:c>
      <x:c r="R381" s="10" t="n">
        <x:f>G381+H381</x:f>
        <x:v>3827</x:v>
      </x:c>
      <x:c r="S381" s="11" t="n">
        <x:f>IFERROR(R381/F381,"")</x:f>
        <x:v>0.7925036239387037</x:v>
      </x:c>
      <x:c r="T381" s="11" t="n">
        <x:f>IFERROR(R381/P381,"")</x:f>
        <x:v>0.9049420666824308</x:v>
      </x:c>
      <x:c r="U381" s="10" t="n">
        <x:f>I381+J381+K381</x:f>
        <x:v>396</x:v>
      </x:c>
      <x:c r="V381" s="11" t="n">
        <x:f>IFERROR(U381/P381,"")</x:f>
        <x:v>0.09363915819342634</x:v>
      </x:c>
      <x:c r="W381" s="9" t="str">
        <x:v>provisional_gt_5pct_pending</x:v>
      </x:c>
      <x:c r="X381" s="12" t="n">
        <x:f>IFERROR(F381/Z381*100000,"")</x:f>
        <x:v>38.51675786048144</x:v>
      </x:c>
      <x:c r="Y381" s="13" t="n">
        <x:f>LN(Z381)</x:f>
        <x:v>16.344226735148734</x:v>
      </x:c>
      <x:c r="Z381" s="6" t="str">
        <x:v>12537400</x:v>
      </x:c>
      <x:c r="AA381" s="6" t="str">
        <x:v>1341.0</x:v>
      </x:c>
      <x:c r="AB381" s="9" t="str">
        <x:v>2025-06-30</x:v>
      </x:c>
      <x:c r="AC381" s="8" t="str">
        <x:v>90.7</x:v>
      </x:c>
      <x:c r="AD381" s="9" t="str">
        <x:v>2025 (Susenas)</x:v>
      </x:c>
      <x:c r="AE381" s="8" t="str">
        <x:v>5.63</x:v>
      </x:c>
      <x:c r="AF381" s="9" t="str">
        <x:v>Maret 2025 (Susenas)</x:v>
      </x:c>
      <x:c r="AG381" s="6" t="str">
        <x:v>26.37537512373729</x:v>
      </x:c>
      <x:c r="AH381" s="8" t="str">
        <x:v>82.77426647778759</x:v>
      </x:c>
      <x:c r="AI381" s="6" t="str">
        <x:v>206.92300013650885</x:v>
      </x:c>
      <x:c r="AJ381" s="6" t="str">
        <x:v>0.4384739563774786</x:v>
      </x:c>
      <x:c r="AK381" s="8" t="str">
        <x:v>1.279876911975522</x:v>
      </x:c>
      <x:c r="AL381" s="6" t="str">
        <x:v>1.8802310774187485</x:v>
      </x:c>
      <x:c r="AM381" s="6" t="str">
        <x:v>1.7143329334345434</x:v>
      </x:c>
      <x:c r="AN381" s="6" t="str">
        <x:v>1.624813640942938</x:v>
      </x:c>
      <x:c r="AO381" s="6" t="str">
        <x:v>3.6238087233047054</x:v>
      </x:c>
      <x:c r="AP381" s="8" t="str">
        <x:v>1.2635360201809278</x:v>
      </x:c>
      <x:c r="AQ381" s="6" t="str">
        <x:v>0.5403323086214844</x:v>
      </x:c>
      <x:c r="AR381" s="6" t="str">
        <x:v>0.7658994644174447</x:v>
      </x:c>
      <x:c r="AS381" s="6" t="str">
        <x:v>0.8565892644066188</x:v>
      </x:c>
      <x:c r="AT381" s="6" t="str">
        <x:v>148.45802228895988</x:v>
      </x:c>
      <x:c r="AU381" s="8" t="str">
        <x:v>2.7468278566446678</x:v>
      </x:c>
      <x:c r="AV381" s="6" t="str">
        <x:v>1.9810976251096344</x:v>
      </x:c>
      <x:c r="AW381" s="6" t="str">
        <x:v>2.4803980193130246</x:v>
      </x:c>
      <x:c r="AX381" s="6" t="str">
        <x:v>2.4027745003557754</x:v>
      </x:c>
      <x:c r="AY381" s="6" t="str">
        <x:v>1</x:v>
      </x:c>
      <x:c r="AZ381" s="6" t="str">
        <x:v>1</x:v>
      </x:c>
      <x:c r="BA381" s="9" t="str">
        <x:v>grid_cells_within_BIG_polygon</x:v>
      </x:c>
      <x:c r="BB381" s="6" t="str">
        <x:v>2</x:v>
      </x:c>
      <x:c r="BC381" s="6" t="str">
        <x:v>7</x:v>
      </x:c>
      <x:c r="BD381" s="6" t="str">
        <x:v>7</x:v>
      </x:c>
      <x:c r="BE381" s="6" t="str">
        <x:v>5</x:v>
      </x:c>
      <x:c r="BF381" s="6" t="str">
        <x:v>0</x:v>
      </x:c>
      <x:c r="BG381" s="6" t="str">
        <x:v>2</x:v>
      </x:c>
      <x:c r="BH381" s="6" t="str">
        <x:v>0</x:v>
      </x:c>
      <x:c r="BI381" s="6" t="str">
        <x:v>0</x:v>
      </x:c>
      <x:c r="BJ381" s="6" t="str">
        <x:v>0</x:v>
      </x:c>
      <x:c r="BK381" s="6" t="str">
        <x:v>0</x:v>
      </x:c>
      <x:c r="BL381" s="6" t="str">
        <x:v>0</x:v>
      </x:c>
      <x:c r="BM381" s="6" t="str">
        <x:v>0</x:v>
      </x:c>
      <x:c r="BN381" s="6" t="str">
        <x:v>7</x:v>
      </x:c>
      <x:c r="BO381" s="6" t="str"/>
      <x:c r="BP381" s="6" t="str">
        <x:v>0</x:v>
      </x:c>
      <x:c r="BQ381" s="6" t="str"/>
      <x:c r="BR381" s="6" t="str">
        <x:v>0</x:v>
      </x:c>
      <x:c r="BS381" s="6" t="str">
        <x:v>59.0</x:v>
      </x:c>
      <x:c r="BT381" s="6" t="str">
        <x:v>7</x:v>
      </x:c>
      <x:c r="BU381" s="6" t="str">
        <x:v>2922.0</x:v>
      </x:c>
      <x:c r="BV381" s="6" t="str">
        <x:v>5</x:v>
      </x:c>
      <x:c r="BW381" s="9" t="str">
        <x:v>operational_snapshot_annual_totals_may_differ</x:v>
      </x:c>
      <x:c r="BX381" s="9" t="str">
        <x:v>official_live_dashboard_snapshot_subject_to_revision</x:v>
      </x:c>
      <x:c r="BY381" s="9" t="str">
        <x:v>https://tbdashboard.sitb.id/ss_data_tbc03so_2025_provinsi_bulanan_list.php</x:v>
      </x:c>
      <x:c r="BZ381" s="6" t="n">
        <x:v>46246.610671296294</x:v>
      </x:c>
    </x:row>
    <x:row r="382" ht="18" customHeight="1">
      <x:c r="A382" s="6" t="str">
        <x:v>36</x:v>
      </x:c>
      <x:c r="B382" s="6" t="str">
        <x:v>BANTEN</x:v>
      </x:c>
      <x:c r="C382" s="6" t="str">
        <x:v>2025</x:v>
      </x:c>
      <x:c r="D382" s="6" t="str">
        <x:v>9</x:v>
      </x:c>
      <x:c r="E382" s="6" t="str">
        <x:v>2025-09</x:v>
      </x:c>
      <x:c r="F382" s="6" t="str">
        <x:v>4990</x:v>
      </x:c>
      <x:c r="G382" s="6" t="str">
        <x:v>846</x:v>
      </x:c>
      <x:c r="H382" s="6" t="str">
        <x:v>2913</x:v>
      </x:c>
      <x:c r="I382" s="6" t="str">
        <x:v>263</x:v>
      </x:c>
      <x:c r="J382" s="6" t="str">
        <x:v>118</x:v>
      </x:c>
      <x:c r="K382" s="6" t="str">
        <x:v>5</x:v>
      </x:c>
      <x:c r="L382" s="6" t="str">
        <x:v>7</x:v>
      </x:c>
      <x:c r="M382" s="6" t="str">
        <x:v>838</x:v>
      </x:c>
      <x:c r="N382" s="6" t="str">
        <x:v>4990</x:v>
      </x:c>
      <x:c r="O382" s="6" t="str">
        <x:v>0</x:v>
      </x:c>
      <x:c r="P382" s="10" t="n">
        <x:f>F382-M382</x:f>
        <x:v>4152</x:v>
      </x:c>
      <x:c r="Q382" s="11" t="n">
        <x:f>IFERROR(M382/F382,"")</x:f>
        <x:v>0.16793587174348698</x:v>
      </x:c>
      <x:c r="R382" s="10" t="n">
        <x:f>G382+H382</x:f>
        <x:v>3759</x:v>
      </x:c>
      <x:c r="S382" s="11" t="n">
        <x:f>IFERROR(R382/F382,"")</x:f>
        <x:v>0.7533066132264529</x:v>
      </x:c>
      <x:c r="T382" s="11" t="n">
        <x:f>IFERROR(R382/P382,"")</x:f>
        <x:v>0.9053468208092486</x:v>
      </x:c>
      <x:c r="U382" s="10" t="n">
        <x:f>I382+J382+K382</x:f>
        <x:v>386</x:v>
      </x:c>
      <x:c r="V382" s="11" t="n">
        <x:f>IFERROR(U382/P382,"")</x:f>
        <x:v>0.09296724470134875</x:v>
      </x:c>
      <x:c r="W382" s="9" t="str">
        <x:v>provisional_gt_5pct_pending</x:v>
      </x:c>
      <x:c r="X382" s="12" t="n">
        <x:f>IFERROR(F382/Z382*100000,"")</x:f>
        <x:v>39.80091566034425</x:v>
      </x:c>
      <x:c r="Y382" s="13" t="n">
        <x:f>LN(Z382)</x:f>
        <x:v>16.344226735148734</x:v>
      </x:c>
      <x:c r="Z382" s="6" t="str">
        <x:v>12537400</x:v>
      </x:c>
      <x:c r="AA382" s="6" t="str">
        <x:v>1341.0</x:v>
      </x:c>
      <x:c r="AB382" s="9" t="str">
        <x:v>2025-06-30</x:v>
      </x:c>
      <x:c r="AC382" s="8" t="str">
        <x:v>90.7</x:v>
      </x:c>
      <x:c r="AD382" s="9" t="str">
        <x:v>2025 (Susenas)</x:v>
      </x:c>
      <x:c r="AE382" s="8" t="str">
        <x:v>5.63</x:v>
      </x:c>
      <x:c r="AF382" s="9" t="str">
        <x:v>Maret 2025 (Susenas)</x:v>
      </x:c>
      <x:c r="AG382" s="6" t="str">
        <x:v>26.81535600915195</x:v>
      </x:c>
      <x:c r="AH382" s="8" t="str">
        <x:v>83.13935010409845</x:v>
      </x:c>
      <x:c r="AI382" s="6" t="str">
        <x:v>245.99096835842707</x:v>
      </x:c>
      <x:c r="AJ382" s="6" t="str">
        <x:v>0.2534632840673261</x:v>
      </x:c>
      <x:c r="AK382" s="8" t="str">
        <x:v>0.8405515388147469</x:v>
      </x:c>
      <x:c r="AL382" s="6" t="str">
        <x:v>1.279876911975522</x:v>
      </x:c>
      <x:c r="AM382" s="6" t="str">
        <x:v>1.8802310774187485</x:v>
      </x:c>
      <x:c r="AN382" s="6" t="str">
        <x:v>1.3335531760696728</x:v>
      </x:c>
      <x:c r="AO382" s="6" t="str">
        <x:v>5.995888845274919</x:v>
      </x:c>
      <x:c r="AP382" s="8" t="str">
        <x:v>1.4628389558526482</x:v>
      </x:c>
      <x:c r="AQ382" s="6" t="str">
        <x:v>1.2635360201809278</x:v>
      </x:c>
      <x:c r="AR382" s="6" t="str">
        <x:v>0.5403323086214844</x:v>
      </x:c>
      <x:c r="AS382" s="6" t="str">
        <x:v>1.0889024282183533</x:v>
      </x:c>
      <x:c r="AT382" s="6" t="str">
        <x:v>172.62851776624672</x:v>
      </x:c>
      <x:c r="AU382" s="8" t="str">
        <x:v>2.519789992462961</x:v>
      </x:c>
      <x:c r="AV382" s="6" t="str">
        <x:v>2.7468278566446678</x:v>
      </x:c>
      <x:c r="AW382" s="6" t="str">
        <x:v>1.9810976251096344</x:v>
      </x:c>
      <x:c r="AX382" s="6" t="str">
        <x:v>2.415905158072421</x:v>
      </x:c>
      <x:c r="AY382" s="6" t="str">
        <x:v>1</x:v>
      </x:c>
      <x:c r="AZ382" s="6" t="str">
        <x:v>0</x:v>
      </x:c>
      <x:c r="BA382" s="9" t="str">
        <x:v>grid_cells_within_BIG_polygon</x:v>
      </x:c>
      <x:c r="BB382" s="6" t="str">
        <x:v>2</x:v>
      </x:c>
      <x:c r="BC382" s="6" t="str">
        <x:v>2</x:v>
      </x:c>
      <x:c r="BD382" s="6" t="str">
        <x:v>2</x:v>
      </x:c>
      <x:c r="BE382" s="6" t="str">
        <x:v>1</x:v>
      </x:c>
      <x:c r="BF382" s="6" t="str">
        <x:v>0</x:v>
      </x:c>
      <x:c r="BG382" s="6" t="str">
        <x:v>0</x:v>
      </x:c>
      <x:c r="BH382" s="6" t="str">
        <x:v>0</x:v>
      </x:c>
      <x:c r="BI382" s="6" t="str">
        <x:v>1</x:v>
      </x:c>
      <x:c r="BJ382" s="6" t="str">
        <x:v>0</x:v>
      </x:c>
      <x:c r="BK382" s="6" t="str">
        <x:v>0</x:v>
      </x:c>
      <x:c r="BL382" s="6" t="str">
        <x:v>0</x:v>
      </x:c>
      <x:c r="BM382" s="6" t="str">
        <x:v>0</x:v>
      </x:c>
      <x:c r="BN382" s="6" t="str">
        <x:v>2</x:v>
      </x:c>
      <x:c r="BO382" s="6" t="str"/>
      <x:c r="BP382" s="6" t="str">
        <x:v>0</x:v>
      </x:c>
      <x:c r="BQ382" s="6" t="str"/>
      <x:c r="BR382" s="6" t="str">
        <x:v>0</x:v>
      </x:c>
      <x:c r="BS382" s="6" t="str">
        <x:v>0.0</x:v>
      </x:c>
      <x:c r="BT382" s="6" t="str">
        <x:v>2</x:v>
      </x:c>
      <x:c r="BU382" s="6" t="str">
        <x:v>1500.0</x:v>
      </x:c>
      <x:c r="BV382" s="6" t="str">
        <x:v>1</x:v>
      </x:c>
      <x:c r="BW382" s="9" t="str">
        <x:v>operational_snapshot_annual_totals_may_differ</x:v>
      </x:c>
      <x:c r="BX382" s="9" t="str">
        <x:v>official_live_dashboard_snapshot_subject_to_revision</x:v>
      </x:c>
      <x:c r="BY382" s="9" t="str">
        <x:v>https://tbdashboard.sitb.id/ss_data_tbc03so_2025_provinsi_bulanan_list.php</x:v>
      </x:c>
      <x:c r="BZ382" s="6" t="n">
        <x:v>46246.610671296294</x:v>
      </x:c>
    </x:row>
    <x:row r="383" ht="18" customHeight="1">
      <x:c r="A383" s="6" t="str">
        <x:v>36</x:v>
      </x:c>
      <x:c r="B383" s="6" t="str">
        <x:v>BANTEN</x:v>
      </x:c>
      <x:c r="C383" s="6" t="str">
        <x:v>2025</x:v>
      </x:c>
      <x:c r="D383" s="6" t="str">
        <x:v>10</x:v>
      </x:c>
      <x:c r="E383" s="6" t="str">
        <x:v>2025-10</x:v>
      </x:c>
      <x:c r="F383" s="6" t="str">
        <x:v>5035</x:v>
      </x:c>
      <x:c r="G383" s="6" t="str">
        <x:v>789</x:v>
      </x:c>
      <x:c r="H383" s="6" t="str">
        <x:v>2846</x:v>
      </x:c>
      <x:c r="I383" s="6" t="str">
        <x:v>288</x:v>
      </x:c>
      <x:c r="J383" s="6" t="str">
        <x:v>110</x:v>
      </x:c>
      <x:c r="K383" s="6" t="str">
        <x:v>1</x:v>
      </x:c>
      <x:c r="L383" s="6" t="str">
        <x:v>10</x:v>
      </x:c>
      <x:c r="M383" s="6" t="str">
        <x:v>991</x:v>
      </x:c>
      <x:c r="N383" s="6" t="str">
        <x:v>5035</x:v>
      </x:c>
      <x:c r="O383" s="6" t="str">
        <x:v>0</x:v>
      </x:c>
      <x:c r="P383" s="10" t="n">
        <x:f>F383-M383</x:f>
        <x:v>4044</x:v>
      </x:c>
      <x:c r="Q383" s="11" t="n">
        <x:f>IFERROR(M383/F383,"")</x:f>
        <x:v>0.19682224428997022</x:v>
      </x:c>
      <x:c r="R383" s="10" t="n">
        <x:f>G383+H383</x:f>
        <x:v>3635</x:v>
      </x:c>
      <x:c r="S383" s="11" t="n">
        <x:f>IFERROR(R383/F383,"")</x:f>
        <x:v>0.7219463753723933</x:v>
      </x:c>
      <x:c r="T383" s="11" t="n">
        <x:f>IFERROR(R383/P383,"")</x:f>
        <x:v>0.8988625123639961</x:v>
      </x:c>
      <x:c r="U383" s="10" t="n">
        <x:f>I383+J383+K383</x:f>
        <x:v>399</x:v>
      </x:c>
      <x:c r="V383" s="11" t="n">
        <x:f>IFERROR(U383/P383,"")</x:f>
        <x:v>0.09866468842729971</x:v>
      </x:c>
      <x:c r="W383" s="9" t="str">
        <x:v>provisional_gt_5pct_pending</x:v>
      </x:c>
      <x:c r="X383" s="12" t="n">
        <x:f>IFERROR(F383/Z383*100000,"")</x:f>
        <x:v>40.15984175347361</x:v>
      </x:c>
      <x:c r="Y383" s="13" t="n">
        <x:f>LN(Z383)</x:f>
        <x:v>16.344226735148734</x:v>
      </x:c>
      <x:c r="Z383" s="6" t="str">
        <x:v>12537400</x:v>
      </x:c>
      <x:c r="AA383" s="6" t="str">
        <x:v>1341.0</x:v>
      </x:c>
      <x:c r="AB383" s="9" t="str">
        <x:v>2025-06-30</x:v>
      </x:c>
      <x:c r="AC383" s="8" t="str">
        <x:v>90.7</x:v>
      </x:c>
      <x:c r="AD383" s="9" t="str">
        <x:v>2025 (Susenas)</x:v>
      </x:c>
      <x:c r="AE383" s="8" t="str">
        <x:v>5.63</x:v>
      </x:c>
      <x:c r="AF383" s="9" t="str">
        <x:v>Maret 2025 (Susenas)</x:v>
      </x:c>
      <x:c r="AG383" s="6" t="str">
        <x:v>26.995379902383625</x:v>
      </x:c>
      <x:c r="AH383" s="8" t="str">
        <x:v>83.15923063794008</x:v>
      </x:c>
      <x:c r="AI383" s="6" t="str">
        <x:v>193.280333651854</x:v>
      </x:c>
      <x:c r="AJ383" s="6" t="str">
        <x:v>-0.0093296697044742</x:v>
      </x:c>
      <x:c r="AK383" s="8" t="str">
        <x:v>-0.0168254845304396</x:v>
      </x:c>
      <x:c r="AL383" s="6" t="str">
        <x:v>0.8405515388147469</x:v>
      </x:c>
      <x:c r="AM383" s="6" t="str">
        <x:v>1.279876911975522</x:v>
      </x:c>
      <x:c r="AN383" s="6" t="str">
        <x:v>0.7012009887532766</x:v>
      </x:c>
      <x:c r="AO383" s="6" t="str">
        <x:v>5.105923860235052</x:v>
      </x:c>
      <x:c r="AP383" s="8" t="str">
        <x:v>0.9273937314908476</x:v>
      </x:c>
      <x:c r="AQ383" s="6" t="str">
        <x:v>1.4628389558526482</x:v>
      </x:c>
      <x:c r="AR383" s="6" t="str">
        <x:v>1.2635360201809278</x:v>
      </x:c>
      <x:c r="AS383" s="6" t="str">
        <x:v>1.217922902508141</x:v>
      </x:c>
      <x:c r="AT383" s="6" t="str">
        <x:v>65.10605302591767</x:v>
      </x:c>
      <x:c r="AU383" s="8" t="str">
        <x:v>0.8441492850842917</x:v>
      </x:c>
      <x:c r="AV383" s="6" t="str">
        <x:v>2.519789992462961</x:v>
      </x:c>
      <x:c r="AW383" s="6" t="str">
        <x:v>2.7468278566446678</x:v>
      </x:c>
      <x:c r="AX383" s="6" t="str">
        <x:v>2.036922378063973</x:v>
      </x:c>
      <x:c r="AY383" s="6" t="str">
        <x:v>0</x:v>
      </x:c>
      <x:c r="AZ383" s="6" t="str">
        <x:v>0</x:v>
      </x:c>
      <x:c r="BA383" s="9" t="str">
        <x:v>grid_cells_within_BIG_polygon</x:v>
      </x:c>
      <x:c r="BB383" s="6" t="str">
        <x:v>2</x:v>
      </x:c>
      <x:c r="BC383" s="6" t="str">
        <x:v>3</x:v>
      </x:c>
      <x:c r="BD383" s="6" t="str">
        <x:v>3</x:v>
      </x:c>
      <x:c r="BE383" s="6" t="str">
        <x:v>2</x:v>
      </x:c>
      <x:c r="BF383" s="6" t="str">
        <x:v>0</x:v>
      </x:c>
      <x:c r="BG383" s="6" t="str">
        <x:v>1</x:v>
      </x:c>
      <x:c r="BH383" s="6" t="str">
        <x:v>0</x:v>
      </x:c>
      <x:c r="BI383" s="6" t="str">
        <x:v>0</x:v>
      </x:c>
      <x:c r="BJ383" s="6" t="str">
        <x:v>0</x:v>
      </x:c>
      <x:c r="BK383" s="6" t="str">
        <x:v>0</x:v>
      </x:c>
      <x:c r="BL383" s="6" t="str">
        <x:v>0</x:v>
      </x:c>
      <x:c r="BM383" s="6" t="str">
        <x:v>0</x:v>
      </x:c>
      <x:c r="BN383" s="6" t="str">
        <x:v>3</x:v>
      </x:c>
      <x:c r="BO383" s="6" t="str"/>
      <x:c r="BP383" s="6" t="str">
        <x:v>0</x:v>
      </x:c>
      <x:c r="BQ383" s="6" t="str"/>
      <x:c r="BR383" s="6" t="str">
        <x:v>0</x:v>
      </x:c>
      <x:c r="BS383" s="6" t="str">
        <x:v>4.0</x:v>
      </x:c>
      <x:c r="BT383" s="6" t="str">
        <x:v>3</x:v>
      </x:c>
      <x:c r="BU383" s="6" t="str">
        <x:v>465.0</x:v>
      </x:c>
      <x:c r="BV383" s="6" t="str">
        <x:v>2</x:v>
      </x:c>
      <x:c r="BW383" s="9" t="str">
        <x:v>operational_snapshot_annual_totals_may_differ</x:v>
      </x:c>
      <x:c r="BX383" s="9" t="str">
        <x:v>official_live_dashboard_snapshot_subject_to_revision</x:v>
      </x:c>
      <x:c r="BY383" s="9" t="str">
        <x:v>https://tbdashboard.sitb.id/ss_data_tbc03so_2025_provinsi_bulanan_list.php</x:v>
      </x:c>
      <x:c r="BZ383" s="6" t="n">
        <x:v>46246.610671296294</x:v>
      </x:c>
    </x:row>
    <x:row r="384" ht="18" customHeight="1">
      <x:c r="A384" s="6" t="str">
        <x:v>36</x:v>
      </x:c>
      <x:c r="B384" s="6" t="str">
        <x:v>BANTEN</x:v>
      </x:c>
      <x:c r="C384" s="6" t="str">
        <x:v>2025</x:v>
      </x:c>
      <x:c r="D384" s="6" t="str">
        <x:v>11</x:v>
      </x:c>
      <x:c r="E384" s="6" t="str">
        <x:v>2025-11</x:v>
      </x:c>
      <x:c r="F384" s="6" t="str">
        <x:v>4598</x:v>
      </x:c>
      <x:c r="G384" s="6" t="str">
        <x:v>703</x:v>
      </x:c>
      <x:c r="H384" s="6" t="str">
        <x:v>2332</x:v>
      </x:c>
      <x:c r="I384" s="6" t="str">
        <x:v>232</x:v>
      </x:c>
      <x:c r="J384" s="6" t="str">
        <x:v>106</x:v>
      </x:c>
      <x:c r="K384" s="6" t="str">
        <x:v>2</x:v>
      </x:c>
      <x:c r="L384" s="6" t="str">
        <x:v>5</x:v>
      </x:c>
      <x:c r="M384" s="6" t="str">
        <x:v>1218</x:v>
      </x:c>
      <x:c r="N384" s="6" t="str">
        <x:v>4598</x:v>
      </x:c>
      <x:c r="O384" s="6" t="str">
        <x:v>0</x:v>
      </x:c>
      <x:c r="P384" s="10" t="n">
        <x:f>F384-M384</x:f>
        <x:v>3380</x:v>
      </x:c>
      <x:c r="Q384" s="11" t="n">
        <x:f>IFERROR(M384/F384,"")</x:f>
        <x:v>0.26489778164419314</x:v>
      </x:c>
      <x:c r="R384" s="10" t="n">
        <x:f>G384+H384</x:f>
        <x:v>3035</x:v>
      </x:c>
      <x:c r="S384" s="11" t="n">
        <x:f>IFERROR(R384/F384,"")</x:f>
        <x:v>0.6600695954762941</x:v>
      </x:c>
      <x:c r="T384" s="11" t="n">
        <x:f>IFERROR(R384/P384,"")</x:f>
        <x:v>0.8979289940828402</x:v>
      </x:c>
      <x:c r="U384" s="10" t="n">
        <x:f>I384+J384+K384</x:f>
        <x:v>340</x:v>
      </x:c>
      <x:c r="V384" s="11" t="n">
        <x:f>IFERROR(U384/P384,"")</x:f>
        <x:v>0.10059171597633136</x:v>
      </x:c>
      <x:c r="W384" s="9" t="str">
        <x:v>provisional_gt_5pct_pending</x:v>
      </x:c>
      <x:c r="X384" s="12" t="n">
        <x:f>IFERROR(F384/Z384*100000,"")</x:f>
        <x:v>36.67427058241741</x:v>
      </x:c>
      <x:c r="Y384" s="13" t="n">
        <x:f>LN(Z384)</x:f>
        <x:v>16.344226735148734</x:v>
      </x:c>
      <x:c r="Z384" s="6" t="str">
        <x:v>12537400</x:v>
      </x:c>
      <x:c r="AA384" s="6" t="str">
        <x:v>1341.0</x:v>
      </x:c>
      <x:c r="AB384" s="9" t="str">
        <x:v>2025-06-30</x:v>
      </x:c>
      <x:c r="AC384" s="8" t="str">
        <x:v>90.7</x:v>
      </x:c>
      <x:c r="AD384" s="9" t="str">
        <x:v>2025 (Susenas)</x:v>
      </x:c>
      <x:c r="AE384" s="8" t="str">
        <x:v>5.63</x:v>
      </x:c>
      <x:c r="AF384" s="9" t="str">
        <x:v>Maret 2025 (Susenas)</x:v>
      </x:c>
      <x:c r="AG384" s="6" t="str">
        <x:v>26.375418131554305</x:v>
      </x:c>
      <x:c r="AH384" s="8" t="str">
        <x:v>85.53919718741574</x:v>
      </x:c>
      <x:c r="AI384" s="6" t="str">
        <x:v>209.26053691516847</x:v>
      </x:c>
      <x:c r="AJ384" s="6" t="str">
        <x:v>-0.4568004403177284</x:v>
      </x:c>
      <x:c r="AK384" s="8" t="str">
        <x:v>-0.7431378778973573</x:v>
      </x:c>
      <x:c r="AL384" s="6" t="str">
        <x:v>-0.0168254845304396</x:v>
      </x:c>
      <x:c r="AM384" s="6" t="str">
        <x:v>0.8405515388147469</x:v>
      </x:c>
      <x:c r="AN384" s="6" t="str">
        <x:v>0.0268627254623169</x:v>
      </x:c>
      <x:c r="AO384" s="6" t="str">
        <x:v>4.049548662548503</x:v>
      </x:c>
      <x:c r="AP384" s="8" t="str">
        <x:v>1.085686864553402</x:v>
      </x:c>
      <x:c r="AQ384" s="6" t="str">
        <x:v>0.9273937314908476</x:v>
      </x:c>
      <x:c r="AR384" s="6" t="str">
        <x:v>1.4628389558526482</x:v>
      </x:c>
      <x:c r="AS384" s="6" t="str">
        <x:v>1.158639850632299</x:v>
      </x:c>
      <x:c r="AT384" s="6" t="str">
        <x:v>24.16672526217215</x:v>
      </x:c>
      <x:c r="AU384" s="8" t="str">
        <x:v>0.379235679040164</x:v>
      </x:c>
      <x:c r="AV384" s="6" t="str">
        <x:v>0.8441492850842917</x:v>
      </x:c>
      <x:c r="AW384" s="6" t="str">
        <x:v>2.519789992462961</x:v>
      </x:c>
      <x:c r="AX384" s="6" t="str">
        <x:v>1.2477249855291388</x:v>
      </x:c>
      <x:c r="AY384" s="6" t="str">
        <x:v>0</x:v>
      </x:c>
      <x:c r="AZ384" s="6" t="str">
        <x:v>0</x:v>
      </x:c>
      <x:c r="BA384" s="9" t="str">
        <x:v>grid_cells_within_BIG_polygon</x:v>
      </x:c>
      <x:c r="BB384" s="6" t="str">
        <x:v>2</x:v>
      </x:c>
      <x:c r="BC384" s="6" t="str">
        <x:v>6</x:v>
      </x:c>
      <x:c r="BD384" s="6" t="str">
        <x:v>6</x:v>
      </x:c>
      <x:c r="BE384" s="6" t="str">
        <x:v>6</x:v>
      </x:c>
      <x:c r="BF384" s="6" t="str">
        <x:v>0</x:v>
      </x:c>
      <x:c r="BG384" s="6" t="str">
        <x:v>0</x:v>
      </x:c>
      <x:c r="BH384" s="6" t="str">
        <x:v>0</x:v>
      </x:c>
      <x:c r="BI384" s="6" t="str">
        <x:v>0</x:v>
      </x:c>
      <x:c r="BJ384" s="6" t="str">
        <x:v>0</x:v>
      </x:c>
      <x:c r="BK384" s="6" t="str">
        <x:v>0</x:v>
      </x:c>
      <x:c r="BL384" s="6" t="str">
        <x:v>0</x:v>
      </x:c>
      <x:c r="BM384" s="6" t="str">
        <x:v>0</x:v>
      </x:c>
      <x:c r="BN384" s="6" t="str">
        <x:v>6</x:v>
      </x:c>
      <x:c r="BO384" s="6" t="str"/>
      <x:c r="BP384" s="6" t="str">
        <x:v>0</x:v>
      </x:c>
      <x:c r="BQ384" s="6" t="str"/>
      <x:c r="BR384" s="6" t="str">
        <x:v>0</x:v>
      </x:c>
      <x:c r="BS384" s="6" t="str">
        <x:v>0.0</x:v>
      </x:c>
      <x:c r="BT384" s="6" t="str">
        <x:v>6</x:v>
      </x:c>
      <x:c r="BU384" s="6" t="str">
        <x:v>3302.0</x:v>
      </x:c>
      <x:c r="BV384" s="6" t="str">
        <x:v>6</x:v>
      </x:c>
      <x:c r="BW384" s="9" t="str">
        <x:v>operational_snapshot_annual_totals_may_differ</x:v>
      </x:c>
      <x:c r="BX384" s="9" t="str">
        <x:v>official_live_dashboard_snapshot_subject_to_revision</x:v>
      </x:c>
      <x:c r="BY384" s="9" t="str">
        <x:v>https://tbdashboard.sitb.id/ss_data_tbc03so_2025_provinsi_bulanan_list.php</x:v>
      </x:c>
      <x:c r="BZ384" s="6" t="n">
        <x:v>46246.610671296294</x:v>
      </x:c>
    </x:row>
    <x:row r="385" ht="18" customHeight="1">
      <x:c r="A385" s="6" t="str">
        <x:v>36</x:v>
      </x:c>
      <x:c r="B385" s="6" t="str">
        <x:v>BANTEN</x:v>
      </x:c>
      <x:c r="C385" s="6" t="str">
        <x:v>2025</x:v>
      </x:c>
      <x:c r="D385" s="6" t="str">
        <x:v>12</x:v>
      </x:c>
      <x:c r="E385" s="6" t="str">
        <x:v>2025-12</x:v>
      </x:c>
      <x:c r="F385" s="6" t="str">
        <x:v>4280</x:v>
      </x:c>
      <x:c r="G385" s="6" t="str">
        <x:v>515</x:v>
      </x:c>
      <x:c r="H385" s="6" t="str">
        <x:v>1930</x:v>
      </x:c>
      <x:c r="I385" s="6" t="str">
        <x:v>210</x:v>
      </x:c>
      <x:c r="J385" s="6" t="str">
        <x:v>93</x:v>
      </x:c>
      <x:c r="K385" s="6" t="str">
        <x:v>6</x:v>
      </x:c>
      <x:c r="L385" s="6" t="str">
        <x:v>4</x:v>
      </x:c>
      <x:c r="M385" s="6" t="str">
        <x:v>1522</x:v>
      </x:c>
      <x:c r="N385" s="6" t="str">
        <x:v>4280</x:v>
      </x:c>
      <x:c r="O385" s="6" t="str">
        <x:v>0</x:v>
      </x:c>
      <x:c r="P385" s="10" t="n">
        <x:f>F385-M385</x:f>
        <x:v>2758</x:v>
      </x:c>
      <x:c r="Q385" s="11" t="n">
        <x:f>IFERROR(M385/F385,"")</x:f>
        <x:v>0.355607476635514</x:v>
      </x:c>
      <x:c r="R385" s="10" t="n">
        <x:f>G385+H385</x:f>
        <x:v>2445</x:v>
      </x:c>
      <x:c r="S385" s="11" t="n">
        <x:f>IFERROR(R385/F385,"")</x:f>
        <x:v>0.5712616822429907</x:v>
      </x:c>
      <x:c r="T385" s="11" t="n">
        <x:f>IFERROR(R385/P385,"")</x:f>
        <x:v>0.8865119651921682</x:v>
      </x:c>
      <x:c r="U385" s="10" t="n">
        <x:f>I385+J385+K385</x:f>
        <x:v>309</x:v>
      </x:c>
      <x:c r="V385" s="11" t="n">
        <x:f>IFERROR(U385/P385,"")</x:f>
        <x:v>0.112037708484409</x:v>
      </x:c>
      <x:c r="W385" s="9" t="str">
        <x:v>provisional_gt_5pct_pending</x:v>
      </x:c>
      <x:c r="X385" s="12" t="n">
        <x:f>IFERROR(F385/Z385*100000,"")</x:f>
        <x:v>34.13785952430329</x:v>
      </x:c>
      <x:c r="Y385" s="13" t="n">
        <x:f>LN(Z385)</x:f>
        <x:v>16.344226735148734</x:v>
      </x:c>
      <x:c r="Z385" s="6" t="str">
        <x:v>12537400</x:v>
      </x:c>
      <x:c r="AA385" s="6" t="str">
        <x:v>1341.0</x:v>
      </x:c>
      <x:c r="AB385" s="9" t="str">
        <x:v>2025-06-30</x:v>
      </x:c>
      <x:c r="AC385" s="8" t="str">
        <x:v>90.7</x:v>
      </x:c>
      <x:c r="AD385" s="9" t="str">
        <x:v>2025 (Susenas)</x:v>
      </x:c>
      <x:c r="AE385" s="8" t="str">
        <x:v>5.63</x:v>
      </x:c>
      <x:c r="AF385" s="9" t="str">
        <x:v>Maret 2025 (Susenas)</x:v>
      </x:c>
      <x:c r="AG385" s="6" t="str">
        <x:v>26.36037273441412</x:v>
      </x:c>
      <x:c r="AH385" s="8" t="str">
        <x:v>86.70434293612895</x:v>
      </x:c>
      <x:c r="AI385" s="6" t="str">
        <x:v>310.1681102162198</x:v>
      </x:c>
      <x:c r="AJ385" s="6" t="str">
        <x:v>0.106485106552256</x:v>
      </x:c>
      <x:c r="AK385" s="8" t="str">
        <x:v>0.2195402068488428</x:v>
      </x:c>
      <x:c r="AL385" s="6" t="str">
        <x:v>-0.7431378778973573</x:v>
      </x:c>
      <x:c r="AM385" s="6" t="str">
        <x:v>-0.0168254845304396</x:v>
      </x:c>
      <x:c r="AN385" s="6" t="str">
        <x:v>-0.1801410518596511</x:v>
      </x:c>
      <x:c r="AO385" s="6" t="str">
        <x:v>2.4222562662854443</x:v>
      </x:c>
      <x:c r="AP385" s="8" t="str">
        <x:v>1.133228367804498</x:v>
      </x:c>
      <x:c r="AQ385" s="6" t="str">
        <x:v>1.085686864553402</x:v>
      </x:c>
      <x:c r="AR385" s="6" t="str">
        <x:v>0.9273937314908476</x:v>
      </x:c>
      <x:c r="AS385" s="6" t="str">
        <x:v>1.048769654616249</x:v>
      </x:c>
      <x:c r="AT385" s="6" t="str">
        <x:v>87.67620279111682</x:v>
      </x:c>
      <x:c r="AU385" s="8" t="str">
        <x:v>1.1109442806744227</x:v>
      </x:c>
      <x:c r="AV385" s="6" t="str">
        <x:v>0.379235679040164</x:v>
      </x:c>
      <x:c r="AW385" s="6" t="str">
        <x:v>0.8441492850842917</x:v>
      </x:c>
      <x:c r="AX385" s="6" t="str">
        <x:v>0.7781097482662926</x:v>
      </x:c>
      <x:c r="AY385" s="6" t="str">
        <x:v>1</x:v>
      </x:c>
      <x:c r="AZ385" s="6" t="str">
        <x:v>0</x:v>
      </x:c>
      <x:c r="BA385" s="9" t="str">
        <x:v>grid_cells_within_BIG_polygon</x:v>
      </x:c>
      <x:c r="BB385" s="6" t="str">
        <x:v>2</x:v>
      </x:c>
      <x:c r="BC385" s="6" t="str">
        <x:v>6</x:v>
      </x:c>
      <x:c r="BD385" s="6" t="str">
        <x:v>6</x:v>
      </x:c>
      <x:c r="BE385" s="6" t="str">
        <x:v>4</x:v>
      </x:c>
      <x:c r="BF385" s="6" t="str">
        <x:v>0</x:v>
      </x:c>
      <x:c r="BG385" s="6" t="str">
        <x:v>2</x:v>
      </x:c>
      <x:c r="BH385" s="6" t="str">
        <x:v>0</x:v>
      </x:c>
      <x:c r="BI385" s="6" t="str">
        <x:v>0</x:v>
      </x:c>
      <x:c r="BJ385" s="6" t="str">
        <x:v>0</x:v>
      </x:c>
      <x:c r="BK385" s="6" t="str">
        <x:v>0</x:v>
      </x:c>
      <x:c r="BL385" s="6" t="str">
        <x:v>0</x:v>
      </x:c>
      <x:c r="BM385" s="6" t="str">
        <x:v>0</x:v>
      </x:c>
      <x:c r="BN385" s="6" t="str">
        <x:v>6</x:v>
      </x:c>
      <x:c r="BO385" s="6" t="str">
        <x:v>1.0</x:v>
      </x:c>
      <x:c r="BP385" s="6" t="str">
        <x:v>1</x:v>
      </x:c>
      <x:c r="BQ385" s="6" t="str"/>
      <x:c r="BR385" s="6" t="str">
        <x:v>0</x:v>
      </x:c>
      <x:c r="BS385" s="6" t="str">
        <x:v>15.0</x:v>
      </x:c>
      <x:c r="BT385" s="6" t="str">
        <x:v>6</x:v>
      </x:c>
      <x:c r="BU385" s="6" t="str">
        <x:v>1557.0</x:v>
      </x:c>
      <x:c r="BV385" s="6" t="str">
        <x:v>4</x:v>
      </x:c>
      <x:c r="BW385" s="9" t="str">
        <x:v>operational_snapshot_annual_totals_may_differ</x:v>
      </x:c>
      <x:c r="BX385" s="9" t="str">
        <x:v>official_live_dashboard_snapshot_subject_to_revision</x:v>
      </x:c>
      <x:c r="BY385" s="9" t="str">
        <x:v>https://tbdashboard.sitb.id/ss_data_tbc03so_2025_provinsi_bulanan_list.php</x:v>
      </x:c>
      <x:c r="BZ385" s="6" t="n">
        <x:v>46246.610671296294</x:v>
      </x:c>
    </x:row>
    <x:row r="386" ht="18" customHeight="1">
      <x:c r="A386" s="6" t="str">
        <x:v>51</x:v>
      </x:c>
      <x:c r="B386" s="6" t="str">
        <x:v>BALI</x:v>
      </x:c>
      <x:c r="C386" s="6" t="str">
        <x:v>2024</x:v>
      </x:c>
      <x:c r="D386" s="6" t="str">
        <x:v>1</x:v>
      </x:c>
      <x:c r="E386" s="6" t="str">
        <x:v>2024-01</x:v>
      </x:c>
      <x:c r="F386" s="6" t="str">
        <x:v>458</x:v>
      </x:c>
      <x:c r="G386" s="6" t="str">
        <x:v>167</x:v>
      </x:c>
      <x:c r="H386" s="6" t="str">
        <x:v>206</x:v>
      </x:c>
      <x:c r="I386" s="6" t="str">
        <x:v>40</x:v>
      </x:c>
      <x:c r="J386" s="6" t="str">
        <x:v>42</x:v>
      </x:c>
      <x:c r="K386" s="6" t="str">
        <x:v>3</x:v>
      </x:c>
      <x:c r="L386" s="6" t="str">
        <x:v>0</x:v>
      </x:c>
      <x:c r="M386" s="6" t="str">
        <x:v>0</x:v>
      </x:c>
      <x:c r="N386" s="6" t="str">
        <x:v>458</x:v>
      </x:c>
      <x:c r="O386" s="6" t="str">
        <x:v>0</x:v>
      </x:c>
      <x:c r="P386" s="10" t="n">
        <x:f>F386-M386</x:f>
        <x:v>458</x:v>
      </x:c>
      <x:c r="Q386" s="11" t="n">
        <x:f>IFERROR(M386/F386,"")</x:f>
        <x:v>0</x:v>
      </x:c>
      <x:c r="R386" s="10" t="n">
        <x:f>G386+H386</x:f>
        <x:v>373</x:v>
      </x:c>
      <x:c r="S386" s="11" t="n">
        <x:f>IFERROR(R386/F386,"")</x:f>
        <x:v>0.8144104803493449</x:v>
      </x:c>
      <x:c r="T386" s="11" t="n">
        <x:f>IFERROR(R386/P386,"")</x:f>
        <x:v>0.8144104803493449</x:v>
      </x:c>
      <x:c r="U386" s="10" t="n">
        <x:f>I386+J386+K386</x:f>
        <x:v>85</x:v>
      </x:c>
      <x:c r="V386" s="11" t="n">
        <x:f>IFERROR(U386/P386,"")</x:f>
        <x:v>0.185589519650655</x:v>
      </x:c>
      <x:c r="W386" s="9" t="str">
        <x:v>mature_le_5pct_pending</x:v>
      </x:c>
      <x:c r="X386" s="12" t="n">
        <x:f>IFERROR(F386/Z386*100000,"")</x:f>
        <x:v>10.33090474364469</x:v>
      </x:c>
      <x:c r="Y386" s="13" t="n">
        <x:f>LN(Z386)</x:f>
        <x:v>15.304654785698613</x:v>
      </x:c>
      <x:c r="Z386" s="6" t="str">
        <x:v>4433300</x:v>
      </x:c>
      <x:c r="AA386" s="6" t="str">
        <x:v>793.0</x:v>
      </x:c>
      <x:c r="AB386" s="9" t="str">
        <x:v>2024-06-30</x:v>
      </x:c>
      <x:c r="AC386" s="8" t="str">
        <x:v>96.83</x:v>
      </x:c>
      <x:c r="AD386" s="9" t="str">
        <x:v>2024 (Susenas)</x:v>
      </x:c>
      <x:c r="AE386" s="8" t="str">
        <x:v>4.0</x:v>
      </x:c>
      <x:c r="AF386" s="9" t="str">
        <x:v>Maret 2024 (Susenas)</x:v>
      </x:c>
      <x:c r="AG386" s="6" t="str">
        <x:v>26.74</x:v>
      </x:c>
      <x:c r="AH386" s="8" t="str">
        <x:v>82.48</x:v>
      </x:c>
      <x:c r="AI386" s="6" t="str">
        <x:v>181.97</x:v>
      </x:c>
      <x:c r="AJ386" s="6" t="str">
        <x:v>1.2673333333333332</x:v>
      </x:c>
      <x:c r="AK386" s="8" t="str">
        <x:v>2.4350708500726213</x:v>
      </x:c>
      <x:c r="AL386" s="6" t="str">
        <x:v>1.521854961381792</x:v>
      </x:c>
      <x:c r="AM386" s="6" t="str">
        <x:v>1.325276835655017</x:v>
      </x:c>
      <x:c r="AN386" s="6" t="str">
        <x:v>1.7607342157031436</x:v>
      </x:c>
      <x:c r="AO386" s="6" t="str">
        <x:v>-3.4096666666666664</x:v>
      </x:c>
      <x:c r="AP386" s="8" t="str">
        <x:v>-1.3095308855618404</x:v>
      </x:c>
      <x:c r="AQ386" s="6" t="str">
        <x:v>-0.7959118363773036</x:v>
      </x:c>
      <x:c r="AR386" s="6" t="str">
        <x:v>-0.0799644893879151</x:v>
      </x:c>
      <x:c r="AS386" s="6" t="str">
        <x:v>-0.7284690704423529</x:v>
      </x:c>
      <x:c r="AT386" s="6" t="str">
        <x:v>-127.98866666666666</x:v>
      </x:c>
      <x:c r="AU386" s="8" t="str">
        <x:v>-1.1415010829629877</x:v>
      </x:c>
      <x:c r="AV386" s="6" t="str">
        <x:v>-1.0956180061498526</x:v>
      </x:c>
      <x:c r="AW386" s="6" t="str">
        <x:v>-0.6329671156599703</x:v>
      </x:c>
      <x:c r="AX386" s="6" t="str">
        <x:v>-0.9566954015909372</x:v>
      </x:c>
      <x:c r="AY386" s="6" t="str">
        <x:v>0</x:v>
      </x:c>
      <x:c r="AZ386" s="6" t="str">
        <x:v>1</x:v>
      </x:c>
      <x:c r="BA386" s="9" t="str">
        <x:v>grid_cells_within_BIG_polygon</x:v>
      </x:c>
      <x:c r="BB386" s="6" t="str">
        <x:v>1</x:v>
      </x:c>
      <x:c r="BC386" s="6" t="str">
        <x:v>1</x:v>
      </x:c>
      <x:c r="BD386" s="6" t="str">
        <x:v>1</x:v>
      </x:c>
      <x:c r="BE386" s="6" t="str">
        <x:v>0</x:v>
      </x:c>
      <x:c r="BF386" s="6" t="str">
        <x:v>0</x:v>
      </x:c>
      <x:c r="BG386" s="6" t="str">
        <x:v>1</x:v>
      </x:c>
      <x:c r="BH386" s="6" t="str">
        <x:v>0</x:v>
      </x:c>
      <x:c r="BI386" s="6" t="str">
        <x:v>0</x:v>
      </x:c>
      <x:c r="BJ386" s="6" t="str">
        <x:v>0</x:v>
      </x:c>
      <x:c r="BK386" s="6" t="str">
        <x:v>0</x:v>
      </x:c>
      <x:c r="BL386" s="6" t="str">
        <x:v>0</x:v>
      </x:c>
      <x:c r="BM386" s="6" t="str">
        <x:v>0</x:v>
      </x:c>
      <x:c r="BN386" s="6" t="str">
        <x:v>1</x:v>
      </x:c>
      <x:c r="BO386" s="6" t="str">
        <x:v>1.0</x:v>
      </x:c>
      <x:c r="BP386" s="6" t="str">
        <x:v>1</x:v>
      </x:c>
      <x:c r="BQ386" s="6" t="str">
        <x:v>11.0</x:v>
      </x:c>
      <x:c r="BR386" s="6" t="str">
        <x:v>1</x:v>
      </x:c>
      <x:c r="BS386" s="6" t="str">
        <x:v>10.0</x:v>
      </x:c>
      <x:c r="BT386" s="6" t="str">
        <x:v>1</x:v>
      </x:c>
      <x:c r="BU386" s="6" t="str"/>
      <x:c r="BV386" s="6" t="str">
        <x:v>0</x:v>
      </x:c>
      <x:c r="BW386" s="9" t="str">
        <x:v>operational_snapshot_annual_totals_may_differ</x:v>
      </x:c>
      <x:c r="BX386" s="9" t="str">
        <x:v>official_live_dashboard_snapshot_subject_to_revision</x:v>
      </x:c>
      <x:c r="BY386" s="9" t="str">
        <x:v>https://tbdashboard.sitb.id/ss_data_tbc03so_2024_provinsi_bulanan_list.php</x:v>
      </x:c>
      <x:c r="BZ386" s="6" t="n">
        <x:v>46246.610671296294</x:v>
      </x:c>
    </x:row>
    <x:row r="387" ht="18" customHeight="1">
      <x:c r="A387" s="6" t="str">
        <x:v>51</x:v>
      </x:c>
      <x:c r="B387" s="6" t="str">
        <x:v>BALI</x:v>
      </x:c>
      <x:c r="C387" s="6" t="str">
        <x:v>2024</x:v>
      </x:c>
      <x:c r="D387" s="6" t="str">
        <x:v>2</x:v>
      </x:c>
      <x:c r="E387" s="6" t="str">
        <x:v>2024-02</x:v>
      </x:c>
      <x:c r="F387" s="6" t="str">
        <x:v>351</x:v>
      </x:c>
      <x:c r="G387" s="6" t="str">
        <x:v>129</x:v>
      </x:c>
      <x:c r="H387" s="6" t="str">
        <x:v>153</x:v>
      </x:c>
      <x:c r="I387" s="6" t="str">
        <x:v>29</x:v>
      </x:c>
      <x:c r="J387" s="6" t="str">
        <x:v>35</x:v>
      </x:c>
      <x:c r="K387" s="6" t="str">
        <x:v>4</x:v>
      </x:c>
      <x:c r="L387" s="6" t="str">
        <x:v>0</x:v>
      </x:c>
      <x:c r="M387" s="6" t="str">
        <x:v>1</x:v>
      </x:c>
      <x:c r="N387" s="6" t="str">
        <x:v>351</x:v>
      </x:c>
      <x:c r="O387" s="6" t="str">
        <x:v>0</x:v>
      </x:c>
      <x:c r="P387" s="10" t="n">
        <x:f>F387-M387</x:f>
        <x:v>350</x:v>
      </x:c>
      <x:c r="Q387" s="11" t="n">
        <x:f>IFERROR(M387/F387,"")</x:f>
        <x:v>0.002849002849002849</x:v>
      </x:c>
      <x:c r="R387" s="10" t="n">
        <x:f>G387+H387</x:f>
        <x:v>282</x:v>
      </x:c>
      <x:c r="S387" s="11" t="n">
        <x:f>IFERROR(R387/F387,"")</x:f>
        <x:v>0.8034188034188035</x:v>
      </x:c>
      <x:c r="T387" s="11" t="n">
        <x:f>IFERROR(R387/P387,"")</x:f>
        <x:v>0.8057142857142857</x:v>
      </x:c>
      <x:c r="U387" s="10" t="n">
        <x:f>I387+J387+K387</x:f>
        <x:v>68</x:v>
      </x:c>
      <x:c r="V387" s="11" t="n">
        <x:f>IFERROR(U387/P387,"")</x:f>
        <x:v>0.19428571428571428</x:v>
      </x:c>
      <x:c r="W387" s="9" t="str">
        <x:v>mature_le_5pct_pending</x:v>
      </x:c>
      <x:c r="X387" s="12" t="n">
        <x:f>IFERROR(F387/Z387*100000,"")</x:f>
        <x:v>7.917352762050842</x:v>
      </x:c>
      <x:c r="Y387" s="13" t="n">
        <x:f>LN(Z387)</x:f>
        <x:v>15.304654785698613</x:v>
      </x:c>
      <x:c r="Z387" s="6" t="str">
        <x:v>4433300</x:v>
      </x:c>
      <x:c r="AA387" s="6" t="str">
        <x:v>793.0</x:v>
      </x:c>
      <x:c r="AB387" s="9" t="str">
        <x:v>2024-06-30</x:v>
      </x:c>
      <x:c r="AC387" s="8" t="str">
        <x:v>96.83</x:v>
      </x:c>
      <x:c r="AD387" s="9" t="str">
        <x:v>2024 (Susenas)</x:v>
      </x:c>
      <x:c r="AE387" s="8" t="str">
        <x:v>4.0</x:v>
      </x:c>
      <x:c r="AF387" s="9" t="str">
        <x:v>Maret 2024 (Susenas)</x:v>
      </x:c>
      <x:c r="AG387" s="6" t="str">
        <x:v>26.79</x:v>
      </x:c>
      <x:c r="AH387" s="8" t="str">
        <x:v>84.01</x:v>
      </x:c>
      <x:c r="AI387" s="6" t="str">
        <x:v>203.29</x:v>
      </x:c>
      <x:c r="AJ387" s="6" t="str">
        <x:v>1.4036666666666662</x:v>
      </x:c>
      <x:c r="AK387" s="8" t="str">
        <x:v>2.609198063912351</x:v>
      </x:c>
      <x:c r="AL387" s="6" t="str">
        <x:v>2.4350708500726213</x:v>
      </x:c>
      <x:c r="AM387" s="6" t="str">
        <x:v>1.521854961381792</x:v>
      </x:c>
      <x:c r="AN387" s="6" t="str">
        <x:v>2.188707958455588</x:v>
      </x:c>
      <x:c r="AO387" s="6" t="str">
        <x:v>-2.6623333333333363</x:v>
      </x:c>
      <x:c r="AP387" s="8" t="str">
        <x:v>-1.1713768224388996</x:v>
      </x:c>
      <x:c r="AQ387" s="6" t="str">
        <x:v>-1.3095308855618404</x:v>
      </x:c>
      <x:c r="AR387" s="6" t="str">
        <x:v>-0.7959118363773036</x:v>
      </x:c>
      <x:c r="AS387" s="6" t="str">
        <x:v>-1.0922731814593476</x:v>
      </x:c>
      <x:c r="AT387" s="6" t="str">
        <x:v>-47.082</x:v>
      </x:c>
      <x:c r="AU387" s="8" t="str">
        <x:v>-0.585537771110394</x:v>
      </x:c>
      <x:c r="AV387" s="6" t="str">
        <x:v>-1.1415010829629877</x:v>
      </x:c>
      <x:c r="AW387" s="6" t="str">
        <x:v>-1.0956180061498526</x:v>
      </x:c>
      <x:c r="AX387" s="6" t="str">
        <x:v>-0.9408856200744116</x:v>
      </x:c>
      <x:c r="AY387" s="6" t="str">
        <x:v>0</x:v>
      </x:c>
      <x:c r="AZ387" s="6" t="str">
        <x:v>1</x:v>
      </x:c>
      <x:c r="BA387" s="9" t="str">
        <x:v>grid_cells_within_BIG_polygon</x:v>
      </x:c>
      <x:c r="BB387" s="6" t="str">
        <x:v>1</x:v>
      </x:c>
      <x:c r="BC387" s="6" t="str">
        <x:v>3</x:v>
      </x:c>
      <x:c r="BD387" s="6" t="str">
        <x:v>3</x:v>
      </x:c>
      <x:c r="BE387" s="6" t="str">
        <x:v>1</x:v>
      </x:c>
      <x:c r="BF387" s="6" t="str">
        <x:v>0</x:v>
      </x:c>
      <x:c r="BG387" s="6" t="str">
        <x:v>2</x:v>
      </x:c>
      <x:c r="BH387" s="6" t="str">
        <x:v>0</x:v>
      </x:c>
      <x:c r="BI387" s="6" t="str">
        <x:v>0</x:v>
      </x:c>
      <x:c r="BJ387" s="6" t="str">
        <x:v>0</x:v>
      </x:c>
      <x:c r="BK387" s="6" t="str">
        <x:v>0</x:v>
      </x:c>
      <x:c r="BL387" s="6" t="str">
        <x:v>0</x:v>
      </x:c>
      <x:c r="BM387" s="6" t="str">
        <x:v>0</x:v>
      </x:c>
      <x:c r="BN387" s="6" t="str">
        <x:v>3</x:v>
      </x:c>
      <x:c r="BO387" s="6" t="str">
        <x:v>0.0</x:v>
      </x:c>
      <x:c r="BP387" s="6" t="str">
        <x:v>3</x:v>
      </x:c>
      <x:c r="BQ387" s="6" t="str">
        <x:v>0.0</x:v>
      </x:c>
      <x:c r="BR387" s="6" t="str">
        <x:v>3</x:v>
      </x:c>
      <x:c r="BS387" s="6" t="str">
        <x:v>33.0</x:v>
      </x:c>
      <x:c r="BT387" s="6" t="str">
        <x:v>3</x:v>
      </x:c>
      <x:c r="BU387" s="6" t="str"/>
      <x:c r="BV387" s="6" t="str">
        <x:v>0</x:v>
      </x:c>
      <x:c r="BW387" s="9" t="str">
        <x:v>operational_snapshot_annual_totals_may_differ</x:v>
      </x:c>
      <x:c r="BX387" s="9" t="str">
        <x:v>official_live_dashboard_snapshot_subject_to_revision</x:v>
      </x:c>
      <x:c r="BY387" s="9" t="str">
        <x:v>https://tbdashboard.sitb.id/ss_data_tbc03so_2024_provinsi_bulanan_list.php</x:v>
      </x:c>
      <x:c r="BZ387" s="6" t="n">
        <x:v>46246.610671296294</x:v>
      </x:c>
    </x:row>
    <x:row r="388" ht="18" customHeight="1">
      <x:c r="A388" s="6" t="str">
        <x:v>51</x:v>
      </x:c>
      <x:c r="B388" s="6" t="str">
        <x:v>BALI</x:v>
      </x:c>
      <x:c r="C388" s="6" t="str">
        <x:v>2024</x:v>
      </x:c>
      <x:c r="D388" s="6" t="str">
        <x:v>3</x:v>
      </x:c>
      <x:c r="E388" s="6" t="str">
        <x:v>2024-03</x:v>
      </x:c>
      <x:c r="F388" s="6" t="str">
        <x:v>402</x:v>
      </x:c>
      <x:c r="G388" s="6" t="str">
        <x:v>153</x:v>
      </x:c>
      <x:c r="H388" s="6" t="str">
        <x:v>183</x:v>
      </x:c>
      <x:c r="I388" s="6" t="str">
        <x:v>30</x:v>
      </x:c>
      <x:c r="J388" s="6" t="str">
        <x:v>32</x:v>
      </x:c>
      <x:c r="K388" s="6" t="str">
        <x:v>4</x:v>
      </x:c>
      <x:c r="L388" s="6" t="str">
        <x:v>0</x:v>
      </x:c>
      <x:c r="M388" s="6" t="str">
        <x:v>0</x:v>
      </x:c>
      <x:c r="N388" s="6" t="str">
        <x:v>402</x:v>
      </x:c>
      <x:c r="O388" s="6" t="str">
        <x:v>0</x:v>
      </x:c>
      <x:c r="P388" s="10" t="n">
        <x:f>F388-M388</x:f>
        <x:v>402</x:v>
      </x:c>
      <x:c r="Q388" s="11" t="n">
        <x:f>IFERROR(M388/F388,"")</x:f>
        <x:v>0</x:v>
      </x:c>
      <x:c r="R388" s="10" t="n">
        <x:f>G388+H388</x:f>
        <x:v>336</x:v>
      </x:c>
      <x:c r="S388" s="11" t="n">
        <x:f>IFERROR(R388/F388,"")</x:f>
        <x:v>0.835820895522388</x:v>
      </x:c>
      <x:c r="T388" s="11" t="n">
        <x:f>IFERROR(R388/P388,"")</x:f>
        <x:v>0.835820895522388</x:v>
      </x:c>
      <x:c r="U388" s="10" t="n">
        <x:f>I388+J388+K388</x:f>
        <x:v>66</x:v>
      </x:c>
      <x:c r="V388" s="11" t="n">
        <x:f>IFERROR(U388/P388,"")</x:f>
        <x:v>0.16417910447761194</x:v>
      </x:c>
      <x:c r="W388" s="9" t="str">
        <x:v>mature_le_5pct_pending</x:v>
      </x:c>
      <x:c r="X388" s="12" t="n">
        <x:f>IFERROR(F388/Z388*100000,"")</x:f>
        <x:v>9.067737351408658</x:v>
      </x:c>
      <x:c r="Y388" s="13" t="n">
        <x:f>LN(Z388)</x:f>
        <x:v>15.304654785698613</x:v>
      </x:c>
      <x:c r="Z388" s="6" t="str">
        <x:v>4433300</x:v>
      </x:c>
      <x:c r="AA388" s="6" t="str">
        <x:v>793.0</x:v>
      </x:c>
      <x:c r="AB388" s="9" t="str">
        <x:v>2024-06-30</x:v>
      </x:c>
      <x:c r="AC388" s="8" t="str">
        <x:v>96.83</x:v>
      </x:c>
      <x:c r="AD388" s="9" t="str">
        <x:v>2024 (Susenas)</x:v>
      </x:c>
      <x:c r="AE388" s="8" t="str">
        <x:v>4.0</x:v>
      </x:c>
      <x:c r="AF388" s="9" t="str">
        <x:v>Maret 2024 (Susenas)</x:v>
      </x:c>
      <x:c r="AG388" s="6" t="str">
        <x:v>26.7</x:v>
      </x:c>
      <x:c r="AH388" s="8" t="str">
        <x:v>85.03</x:v>
      </x:c>
      <x:c r="AI388" s="6" t="str">
        <x:v>295.43</x:v>
      </x:c>
      <x:c r="AJ388" s="6" t="str">
        <x:v>1.1473333333333322</x:v>
      </x:c>
      <x:c r="AK388" s="8" t="str">
        <x:v>2.2793774713347075</x:v>
      </x:c>
      <x:c r="AL388" s="6" t="str">
        <x:v>2.609198063912351</x:v>
      </x:c>
      <x:c r="AM388" s="6" t="str">
        <x:v>2.4350708500726213</x:v>
      </x:c>
      <x:c r="AN388" s="6" t="str">
        <x:v>2.441215461773227</x:v>
      </x:c>
      <x:c r="AO388" s="6" t="str">
        <x:v>-0.7090000000000032</x:v>
      </x:c>
      <x:c r="AP388" s="8" t="str">
        <x:v>-0.331082790165491</x:v>
      </x:c>
      <x:c r="AQ388" s="6" t="str">
        <x:v>-1.1713768224388996</x:v>
      </x:c>
      <x:c r="AR388" s="6" t="str">
        <x:v>-1.3095308855618404</x:v>
      </x:c>
      <x:c r="AS388" s="6" t="str">
        <x:v>-0.93733016605541</x:v>
      </x:c>
      <x:c r="AT388" s="6" t="str">
        <x:v>105.741</x:v>
      </x:c>
      <x:c r="AU388" s="8" t="str">
        <x:v>1.318331015725945</x:v>
      </x:c>
      <x:c r="AV388" s="6" t="str">
        <x:v>-0.585537771110394</x:v>
      </x:c>
      <x:c r="AW388" s="6" t="str">
        <x:v>-1.1415010829629877</x:v>
      </x:c>
      <x:c r="AX388" s="6" t="str">
        <x:v>-0.1362359461158125</x:v>
      </x:c>
      <x:c r="AY388" s="6" t="str">
        <x:v>1</x:v>
      </x:c>
      <x:c r="AZ388" s="6" t="str">
        <x:v>1</x:v>
      </x:c>
      <x:c r="BA388" s="9" t="str">
        <x:v>grid_cells_within_BIG_polygon</x:v>
      </x:c>
      <x:c r="BB388" s="6" t="str">
        <x:v>1</x:v>
      </x:c>
      <x:c r="BC388" s="6" t="str">
        <x:v>3</x:v>
      </x:c>
      <x:c r="BD388" s="6" t="str">
        <x:v>3</x:v>
      </x:c>
      <x:c r="BE388" s="6" t="str">
        <x:v>0</x:v>
      </x:c>
      <x:c r="BF388" s="6" t="str">
        <x:v>1</x:v>
      </x:c>
      <x:c r="BG388" s="6" t="str">
        <x:v>2</x:v>
      </x:c>
      <x:c r="BH388" s="6" t="str">
        <x:v>0</x:v>
      </x:c>
      <x:c r="BI388" s="6" t="str">
        <x:v>0</x:v>
      </x:c>
      <x:c r="BJ388" s="6" t="str">
        <x:v>0</x:v>
      </x:c>
      <x:c r="BK388" s="6" t="str">
        <x:v>0</x:v>
      </x:c>
      <x:c r="BL388" s="6" t="str">
        <x:v>0</x:v>
      </x:c>
      <x:c r="BM388" s="6" t="str">
        <x:v>0</x:v>
      </x:c>
      <x:c r="BN388" s="6" t="str">
        <x:v>3</x:v>
      </x:c>
      <x:c r="BO388" s="6" t="str">
        <x:v>4.0</x:v>
      </x:c>
      <x:c r="BP388" s="6" t="str">
        <x:v>3</x:v>
      </x:c>
      <x:c r="BQ388" s="6" t="str">
        <x:v>0.0</x:v>
      </x:c>
      <x:c r="BR388" s="6" t="str">
        <x:v>3</x:v>
      </x:c>
      <x:c r="BS388" s="6" t="str">
        <x:v>5.0</x:v>
      </x:c>
      <x:c r="BT388" s="6" t="str">
        <x:v>3</x:v>
      </x:c>
      <x:c r="BU388" s="6" t="str"/>
      <x:c r="BV388" s="6" t="str">
        <x:v>0</x:v>
      </x:c>
      <x:c r="BW388" s="9" t="str">
        <x:v>operational_snapshot_annual_totals_may_differ</x:v>
      </x:c>
      <x:c r="BX388" s="9" t="str">
        <x:v>official_live_dashboard_snapshot_subject_to_revision</x:v>
      </x:c>
      <x:c r="BY388" s="9" t="str">
        <x:v>https://tbdashboard.sitb.id/ss_data_tbc03so_2024_provinsi_bulanan_list.php</x:v>
      </x:c>
      <x:c r="BZ388" s="6" t="n">
        <x:v>46246.610671296294</x:v>
      </x:c>
    </x:row>
    <x:row r="389" ht="18" customHeight="1">
      <x:c r="A389" s="6" t="str">
        <x:v>51</x:v>
      </x:c>
      <x:c r="B389" s="6" t="str">
        <x:v>BALI</x:v>
      </x:c>
      <x:c r="C389" s="6" t="str">
        <x:v>2024</x:v>
      </x:c>
      <x:c r="D389" s="6" t="str">
        <x:v>4</x:v>
      </x:c>
      <x:c r="E389" s="6" t="str">
        <x:v>2024-04</x:v>
      </x:c>
      <x:c r="F389" s="6" t="str">
        <x:v>389</x:v>
      </x:c>
      <x:c r="G389" s="6" t="str">
        <x:v>144</x:v>
      </x:c>
      <x:c r="H389" s="6" t="str">
        <x:v>171</x:v>
      </x:c>
      <x:c r="I389" s="6" t="str">
        <x:v>23</x:v>
      </x:c>
      <x:c r="J389" s="6" t="str">
        <x:v>46</x:v>
      </x:c>
      <x:c r="K389" s="6" t="str">
        <x:v>4</x:v>
      </x:c>
      <x:c r="L389" s="6" t="str">
        <x:v>1</x:v>
      </x:c>
      <x:c r="M389" s="6" t="str">
        <x:v>0</x:v>
      </x:c>
      <x:c r="N389" s="6" t="str">
        <x:v>389</x:v>
      </x:c>
      <x:c r="O389" s="6" t="str">
        <x:v>0</x:v>
      </x:c>
      <x:c r="P389" s="10" t="n">
        <x:f>F389-M389</x:f>
        <x:v>389</x:v>
      </x:c>
      <x:c r="Q389" s="11" t="n">
        <x:f>IFERROR(M389/F389,"")</x:f>
        <x:v>0</x:v>
      </x:c>
      <x:c r="R389" s="10" t="n">
        <x:f>G389+H389</x:f>
        <x:v>315</x:v>
      </x:c>
      <x:c r="S389" s="11" t="n">
        <x:f>IFERROR(R389/F389,"")</x:f>
        <x:v>0.8097686375321337</x:v>
      </x:c>
      <x:c r="T389" s="11" t="n">
        <x:f>IFERROR(R389/P389,"")</x:f>
        <x:v>0.8097686375321337</x:v>
      </x:c>
      <x:c r="U389" s="10" t="n">
        <x:f>I389+J389+K389</x:f>
        <x:v>73</x:v>
      </x:c>
      <x:c r="V389" s="11" t="n">
        <x:f>IFERROR(U389/P389,"")</x:f>
        <x:v>0.18766066838046272</x:v>
      </x:c>
      <x:c r="W389" s="9" t="str">
        <x:v>mature_le_5pct_pending</x:v>
      </x:c>
      <x:c r="X389" s="12" t="n">
        <x:f>IFERROR(F389/Z389*100000,"")</x:f>
        <x:v>8.774502063925294</x:v>
      </x:c>
      <x:c r="Y389" s="13" t="n">
        <x:f>LN(Z389)</x:f>
        <x:v>15.304654785698613</x:v>
      </x:c>
      <x:c r="Z389" s="6" t="str">
        <x:v>4433300</x:v>
      </x:c>
      <x:c r="AA389" s="6" t="str">
        <x:v>793.0</x:v>
      </x:c>
      <x:c r="AB389" s="9" t="str">
        <x:v>2024-06-30</x:v>
      </x:c>
      <x:c r="AC389" s="8" t="str">
        <x:v>96.83</x:v>
      </x:c>
      <x:c r="AD389" s="9" t="str">
        <x:v>2024 (Susenas)</x:v>
      </x:c>
      <x:c r="AE389" s="8" t="str">
        <x:v>4.0</x:v>
      </x:c>
      <x:c r="AF389" s="9" t="str">
        <x:v>Maret 2024 (Susenas)</x:v>
      </x:c>
      <x:c r="AG389" s="6" t="str">
        <x:v>26.52</x:v>
      </x:c>
      <x:c r="AH389" s="8" t="str">
        <x:v>87.61</x:v>
      </x:c>
      <x:c r="AI389" s="6" t="str">
        <x:v>228.3</x:v>
      </x:c>
      <x:c r="AJ389" s="6" t="str">
        <x:v>0.9310000000000008</x:v>
      </x:c>
      <x:c r="AK389" s="8" t="str">
        <x:v>2.046026904733336</x:v>
      </x:c>
      <x:c r="AL389" s="6" t="str">
        <x:v>2.2793774713347075</x:v>
      </x:c>
      <x:c r="AM389" s="6" t="str">
        <x:v>2.609198063912351</x:v>
      </x:c>
      <x:c r="AN389" s="6" t="str">
        <x:v>2.311534146660132</x:v>
      </x:c>
      <x:c r="AO389" s="6" t="str">
        <x:v>2.1043333333333294</x:v>
      </x:c>
      <x:c r="AP389" s="8" t="str">
        <x:v>1.639518043874206</x:v>
      </x:c>
      <x:c r="AQ389" s="6" t="str">
        <x:v>-0.331082790165491</x:v>
      </x:c>
      <x:c r="AR389" s="6" t="str">
        <x:v>-1.1713768224388996</x:v>
      </x:c>
      <x:c r="AS389" s="6" t="str">
        <x:v>0.0456861437566053</x:v>
      </x:c>
      <x:c r="AT389" s="6" t="str">
        <x:v>97.48000000000002</x:v>
      </x:c>
      <x:c r="AU389" s="8" t="str">
        <x:v>1.307729749960834</x:v>
      </x:c>
      <x:c r="AV389" s="6" t="str">
        <x:v>1.318331015725945</x:v>
      </x:c>
      <x:c r="AW389" s="6" t="str">
        <x:v>-0.585537771110394</x:v>
      </x:c>
      <x:c r="AX389" s="6" t="str">
        <x:v>0.6801743315254614</x:v>
      </x:c>
      <x:c r="AY389" s="6" t="str">
        <x:v>1</x:v>
      </x:c>
      <x:c r="AZ389" s="6" t="str">
        <x:v>1</x:v>
      </x:c>
      <x:c r="BA389" s="9" t="str">
        <x:v>grid_cells_within_BIG_polygon</x:v>
      </x:c>
      <x:c r="BB389" s="6" t="str">
        <x:v>1</x:v>
      </x:c>
      <x:c r="BC389" s="6" t="str">
        <x:v>0</x:v>
      </x:c>
      <x:c r="BD389" s="6" t="str">
        <x:v>0</x:v>
      </x:c>
      <x:c r="BE389" s="6" t="str">
        <x:v>0</x:v>
      </x:c>
      <x:c r="BF389" s="6" t="str">
        <x:v>0</x:v>
      </x:c>
      <x:c r="BG389" s="6" t="str">
        <x:v>0</x:v>
      </x:c>
      <x:c r="BH389" s="6" t="str">
        <x:v>0</x:v>
      </x:c>
      <x:c r="BI389" s="6" t="str">
        <x:v>0</x:v>
      </x:c>
      <x:c r="BJ389" s="6" t="str">
        <x:v>0</x:v>
      </x:c>
      <x:c r="BK389" s="6" t="str">
        <x:v>0</x:v>
      </x:c>
      <x:c r="BL389" s="6" t="str">
        <x:v>0</x:v>
      </x:c>
      <x:c r="BM389" s="6" t="str">
        <x:v>0</x:v>
      </x:c>
      <x:c r="BN389" s="6" t="str">
        <x:v>0</x:v>
      </x:c>
      <x:c r="BO389" s="6" t="str"/>
      <x:c r="BP389" s="6" t="str">
        <x:v>0</x:v>
      </x:c>
      <x:c r="BQ389" s="6" t="str"/>
      <x:c r="BR389" s="6" t="str">
        <x:v>0</x:v>
      </x:c>
      <x:c r="BS389" s="6" t="str"/>
      <x:c r="BT389" s="6" t="str">
        <x:v>0</x:v>
      </x:c>
      <x:c r="BU389" s="6" t="str"/>
      <x:c r="BV389" s="6" t="str">
        <x:v>0</x:v>
      </x:c>
      <x:c r="BW389" s="9" t="str">
        <x:v>operational_snapshot_annual_totals_may_differ</x:v>
      </x:c>
      <x:c r="BX389" s="9" t="str">
        <x:v>official_live_dashboard_snapshot_subject_to_revision</x:v>
      </x:c>
      <x:c r="BY389" s="9" t="str">
        <x:v>https://tbdashboard.sitb.id/ss_data_tbc03so_2024_provinsi_bulanan_list.php</x:v>
      </x:c>
      <x:c r="BZ389" s="6" t="n">
        <x:v>46246.610671296294</x:v>
      </x:c>
    </x:row>
    <x:row r="390" ht="18" customHeight="1">
      <x:c r="A390" s="6" t="str">
        <x:v>51</x:v>
      </x:c>
      <x:c r="B390" s="6" t="str">
        <x:v>BALI</x:v>
      </x:c>
      <x:c r="C390" s="6" t="str">
        <x:v>2024</x:v>
      </x:c>
      <x:c r="D390" s="6" t="str">
        <x:v>5</x:v>
      </x:c>
      <x:c r="E390" s="6" t="str">
        <x:v>2024-05</x:v>
      </x:c>
      <x:c r="F390" s="6" t="str">
        <x:v>472</x:v>
      </x:c>
      <x:c r="G390" s="6" t="str">
        <x:v>202</x:v>
      </x:c>
      <x:c r="H390" s="6" t="str">
        <x:v>179</x:v>
      </x:c>
      <x:c r="I390" s="6" t="str">
        <x:v>38</x:v>
      </x:c>
      <x:c r="J390" s="6" t="str">
        <x:v>44</x:v>
      </x:c>
      <x:c r="K390" s="6" t="str">
        <x:v>7</x:v>
      </x:c>
      <x:c r="L390" s="6" t="str">
        <x:v>2</x:v>
      </x:c>
      <x:c r="M390" s="6" t="str">
        <x:v>0</x:v>
      </x:c>
      <x:c r="N390" s="6" t="str">
        <x:v>472</x:v>
      </x:c>
      <x:c r="O390" s="6" t="str">
        <x:v>0</x:v>
      </x:c>
      <x:c r="P390" s="10" t="n">
        <x:f>F390-M390</x:f>
        <x:v>472</x:v>
      </x:c>
      <x:c r="Q390" s="11" t="n">
        <x:f>IFERROR(M390/F390,"")</x:f>
        <x:v>0</x:v>
      </x:c>
      <x:c r="R390" s="10" t="n">
        <x:f>G390+H390</x:f>
        <x:v>381</x:v>
      </x:c>
      <x:c r="S390" s="11" t="n">
        <x:f>IFERROR(R390/F390,"")</x:f>
        <x:v>0.8072033898305084</x:v>
      </x:c>
      <x:c r="T390" s="11" t="n">
        <x:f>IFERROR(R390/P390,"")</x:f>
        <x:v>0.8072033898305084</x:v>
      </x:c>
      <x:c r="U390" s="10" t="n">
        <x:f>I390+J390+K390</x:f>
        <x:v>89</x:v>
      </x:c>
      <x:c r="V390" s="11" t="n">
        <x:f>IFERROR(U390/P390,"")</x:f>
        <x:v>0.1885593220338983</x:v>
      </x:c>
      <x:c r="W390" s="9" t="str">
        <x:v>mature_le_5pct_pending</x:v>
      </x:c>
      <x:c r="X390" s="12" t="n">
        <x:f>IFERROR(F390/Z390*100000,"")</x:f>
        <x:v>10.646696591703696</x:v>
      </x:c>
      <x:c r="Y390" s="13" t="n">
        <x:f>LN(Z390)</x:f>
        <x:v>15.304654785698613</x:v>
      </x:c>
      <x:c r="Z390" s="6" t="str">
        <x:v>4433300</x:v>
      </x:c>
      <x:c r="AA390" s="6" t="str">
        <x:v>793.0</x:v>
      </x:c>
      <x:c r="AB390" s="9" t="str">
        <x:v>2024-06-30</x:v>
      </x:c>
      <x:c r="AC390" s="8" t="str">
        <x:v>96.83</x:v>
      </x:c>
      <x:c r="AD390" s="9" t="str">
        <x:v>2024 (Susenas)</x:v>
      </x:c>
      <x:c r="AE390" s="8" t="str">
        <x:v>4.0</x:v>
      </x:c>
      <x:c r="AF390" s="9" t="str">
        <x:v>Maret 2024 (Susenas)</x:v>
      </x:c>
      <x:c r="AG390" s="6" t="str">
        <x:v>25.69</x:v>
      </x:c>
      <x:c r="AH390" s="8" t="str">
        <x:v>86.52</x:v>
      </x:c>
      <x:c r="AI390" s="6" t="str">
        <x:v>10.23</x:v>
      </x:c>
      <x:c r="AJ390" s="6" t="str">
        <x:v>0.6913333333333327</x:v>
      </x:c>
      <x:c r="AK390" s="8" t="str">
        <x:v>1.2276620450844404</x:v>
      </x:c>
      <x:c r="AL390" s="6" t="str">
        <x:v>2.046026904733336</x:v>
      </x:c>
      <x:c r="AM390" s="6" t="str">
        <x:v>2.2793774713347075</x:v>
      </x:c>
      <x:c r="AN390" s="6" t="str">
        <x:v>1.8510221403841616</x:v>
      </x:c>
      <x:c r="AO390" s="6" t="str">
        <x:v>1.757333333333321</x:v>
      </x:c>
      <x:c r="AP390" s="8" t="str">
        <x:v>1.0170995228237607</x:v>
      </x:c>
      <x:c r="AQ390" s="6" t="str">
        <x:v>1.639518043874206</x:v>
      </x:c>
      <x:c r="AR390" s="6" t="str">
        <x:v>-0.331082790165491</x:v>
      </x:c>
      <x:c r="AS390" s="6" t="str">
        <x:v>0.7751782588441588</x:v>
      </x:c>
      <x:c r="AT390" s="6" t="str">
        <x:v>-64.15966666666667</x:v>
      </x:c>
      <x:c r="AU390" s="8" t="str">
        <x:v>-1.177081635741798</x:v>
      </x:c>
      <x:c r="AV390" s="6" t="str">
        <x:v>1.307729749960834</x:v>
      </x:c>
      <x:c r="AW390" s="6" t="str">
        <x:v>1.318331015725945</x:v>
      </x:c>
      <x:c r="AX390" s="6" t="str">
        <x:v>0.4829930433149932</x:v>
      </x:c>
      <x:c r="AY390" s="6" t="str">
        <x:v>0</x:v>
      </x:c>
      <x:c r="AZ390" s="6" t="str">
        <x:v>1</x:v>
      </x:c>
      <x:c r="BA390" s="9" t="str">
        <x:v>grid_cells_within_BIG_polygon</x:v>
      </x:c>
      <x:c r="BB390" s="6" t="str">
        <x:v>1</x:v>
      </x:c>
      <x:c r="BC390" s="6" t="str">
        <x:v>0</x:v>
      </x:c>
      <x:c r="BD390" s="6" t="str">
        <x:v>0</x:v>
      </x:c>
      <x:c r="BE390" s="6" t="str">
        <x:v>0</x:v>
      </x:c>
      <x:c r="BF390" s="6" t="str">
        <x:v>0</x:v>
      </x:c>
      <x:c r="BG390" s="6" t="str">
        <x:v>0</x:v>
      </x:c>
      <x:c r="BH390" s="6" t="str">
        <x:v>0</x:v>
      </x:c>
      <x:c r="BI390" s="6" t="str">
        <x:v>0</x:v>
      </x:c>
      <x:c r="BJ390" s="6" t="str">
        <x:v>0</x:v>
      </x:c>
      <x:c r="BK390" s="6" t="str">
        <x:v>0</x:v>
      </x:c>
      <x:c r="BL390" s="6" t="str">
        <x:v>0</x:v>
      </x:c>
      <x:c r="BM390" s="6" t="str">
        <x:v>0</x:v>
      </x:c>
      <x:c r="BN390" s="6" t="str">
        <x:v>0</x:v>
      </x:c>
      <x:c r="BO390" s="6" t="str"/>
      <x:c r="BP390" s="6" t="str">
        <x:v>0</x:v>
      </x:c>
      <x:c r="BQ390" s="6" t="str"/>
      <x:c r="BR390" s="6" t="str">
        <x:v>0</x:v>
      </x:c>
      <x:c r="BS390" s="6" t="str"/>
      <x:c r="BT390" s="6" t="str">
        <x:v>0</x:v>
      </x:c>
      <x:c r="BU390" s="6" t="str"/>
      <x:c r="BV390" s="6" t="str">
        <x:v>0</x:v>
      </x:c>
      <x:c r="BW390" s="9" t="str">
        <x:v>operational_snapshot_annual_totals_may_differ</x:v>
      </x:c>
      <x:c r="BX390" s="9" t="str">
        <x:v>official_live_dashboard_snapshot_subject_to_revision</x:v>
      </x:c>
      <x:c r="BY390" s="9" t="str">
        <x:v>https://tbdashboard.sitb.id/ss_data_tbc03so_2024_provinsi_bulanan_list.php</x:v>
      </x:c>
      <x:c r="BZ390" s="6" t="n">
        <x:v>46246.610671296294</x:v>
      </x:c>
    </x:row>
    <x:row r="391" ht="18" customHeight="1">
      <x:c r="A391" s="6" t="str">
        <x:v>51</x:v>
      </x:c>
      <x:c r="B391" s="6" t="str">
        <x:v>BALI</x:v>
      </x:c>
      <x:c r="C391" s="6" t="str">
        <x:v>2024</x:v>
      </x:c>
      <x:c r="D391" s="6" t="str">
        <x:v>6</x:v>
      </x:c>
      <x:c r="E391" s="6" t="str">
        <x:v>2024-06</x:v>
      </x:c>
      <x:c r="F391" s="6" t="str">
        <x:v>424</x:v>
      </x:c>
      <x:c r="G391" s="6" t="str">
        <x:v>161</x:v>
      </x:c>
      <x:c r="H391" s="6" t="str">
        <x:v>195</x:v>
      </x:c>
      <x:c r="I391" s="6" t="str">
        <x:v>24</x:v>
      </x:c>
      <x:c r="J391" s="6" t="str">
        <x:v>36</x:v>
      </x:c>
      <x:c r="K391" s="6" t="str">
        <x:v>8</x:v>
      </x:c>
      <x:c r="L391" s="6" t="str">
        <x:v>0</x:v>
      </x:c>
      <x:c r="M391" s="6" t="str">
        <x:v>0</x:v>
      </x:c>
      <x:c r="N391" s="6" t="str">
        <x:v>424</x:v>
      </x:c>
      <x:c r="O391" s="6" t="str">
        <x:v>0</x:v>
      </x:c>
      <x:c r="P391" s="10" t="n">
        <x:f>F391-M391</x:f>
        <x:v>424</x:v>
      </x:c>
      <x:c r="Q391" s="11" t="n">
        <x:f>IFERROR(M391/F391,"")</x:f>
        <x:v>0</x:v>
      </x:c>
      <x:c r="R391" s="10" t="n">
        <x:f>G391+H391</x:f>
        <x:v>356</x:v>
      </x:c>
      <x:c r="S391" s="11" t="n">
        <x:f>IFERROR(R391/F391,"")</x:f>
        <x:v>0.839622641509434</x:v>
      </x:c>
      <x:c r="T391" s="11" t="n">
        <x:f>IFERROR(R391/P391,"")</x:f>
        <x:v>0.839622641509434</x:v>
      </x:c>
      <x:c r="U391" s="10" t="n">
        <x:f>I391+J391+K391</x:f>
        <x:v>68</x:v>
      </x:c>
      <x:c r="V391" s="11" t="n">
        <x:f>IFERROR(U391/P391,"")</x:f>
        <x:v>0.16037735849056603</x:v>
      </x:c>
      <x:c r="W391" s="9" t="str">
        <x:v>mature_le_5pct_pending</x:v>
      </x:c>
      <x:c r="X391" s="12" t="n">
        <x:f>IFERROR(F391/Z391*100000,"")</x:f>
        <x:v>9.563981684072813</x:v>
      </x:c>
      <x:c r="Y391" s="13" t="n">
        <x:f>LN(Z391)</x:f>
        <x:v>15.304654785698613</x:v>
      </x:c>
      <x:c r="Z391" s="6" t="str">
        <x:v>4433300</x:v>
      </x:c>
      <x:c r="AA391" s="6" t="str">
        <x:v>793.0</x:v>
      </x:c>
      <x:c r="AB391" s="9" t="str">
        <x:v>2024-06-30</x:v>
      </x:c>
      <x:c r="AC391" s="8" t="str">
        <x:v>96.83</x:v>
      </x:c>
      <x:c r="AD391" s="9" t="str">
        <x:v>2024 (Susenas)</x:v>
      </x:c>
      <x:c r="AE391" s="8" t="str">
        <x:v>4.0</x:v>
      </x:c>
      <x:c r="AF391" s="9" t="str">
        <x:v>Maret 2024 (Susenas)</x:v>
      </x:c>
      <x:c r="AG391" s="6" t="str">
        <x:v>24.98</x:v>
      </x:c>
      <x:c r="AH391" s="8" t="str">
        <x:v>86.12</x:v>
      </x:c>
      <x:c r="AI391" s="6" t="str">
        <x:v>51.3</x:v>
      </x:c>
      <x:c r="AJ391" s="6" t="str">
        <x:v>0.7356666666666669</x:v>
      </x:c>
      <x:c r="AK391" s="8" t="str">
        <x:v>1.030573698605592</x:v>
      </x:c>
      <x:c r="AL391" s="6" t="str">
        <x:v>1.2276620450844404</x:v>
      </x:c>
      <x:c r="AM391" s="6" t="str">
        <x:v>2.046026904733336</x:v>
      </x:c>
      <x:c r="AN391" s="6" t="str">
        <x:v>1.4347542161411233</x:v>
      </x:c>
      <x:c r="AO391" s="6" t="str">
        <x:v>1.6963333333333424</x:v>
      </x:c>
      <x:c r="AP391" s="8" t="str">
        <x:v>0.9745696305783396</x:v>
      </x:c>
      <x:c r="AQ391" s="6" t="str">
        <x:v>1.0170995228237607</x:v>
      </x:c>
      <x:c r="AR391" s="6" t="str">
        <x:v>1.639518043874206</x:v>
      </x:c>
      <x:c r="AS391" s="6" t="str">
        <x:v>1.2103957324254355</x:v>
      </x:c>
      <x:c r="AT391" s="6" t="str">
        <x:v>4.199999999999996</x:v>
      </x:c>
      <x:c r="AU391" s="8" t="str">
        <x:v>0.0875240535570117</x:v>
      </x:c>
      <x:c r="AV391" s="6" t="str">
        <x:v>-1.177081635741798</x:v>
      </x:c>
      <x:c r="AW391" s="6" t="str">
        <x:v>1.307729749960834</x:v>
      </x:c>
      <x:c r="AX391" s="6" t="str">
        <x:v>0.072724055925349</x:v>
      </x:c>
      <x:c r="AY391" s="6" t="str">
        <x:v>0</x:v>
      </x:c>
      <x:c r="AZ391" s="6" t="str">
        <x:v>1</x:v>
      </x:c>
      <x:c r="BA391" s="9" t="str">
        <x:v>grid_cells_within_BIG_polygon</x:v>
      </x:c>
      <x:c r="BB391" s="6" t="str">
        <x:v>1</x:v>
      </x:c>
      <x:c r="BC391" s="6" t="str">
        <x:v>0</x:v>
      </x:c>
      <x:c r="BD391" s="6" t="str">
        <x:v>0</x:v>
      </x:c>
      <x:c r="BE391" s="6" t="str">
        <x:v>0</x:v>
      </x:c>
      <x:c r="BF391" s="6" t="str">
        <x:v>0</x:v>
      </x:c>
      <x:c r="BG391" s="6" t="str">
        <x:v>0</x:v>
      </x:c>
      <x:c r="BH391" s="6" t="str">
        <x:v>0</x:v>
      </x:c>
      <x:c r="BI391" s="6" t="str">
        <x:v>0</x:v>
      </x:c>
      <x:c r="BJ391" s="6" t="str">
        <x:v>0</x:v>
      </x:c>
      <x:c r="BK391" s="6" t="str">
        <x:v>0</x:v>
      </x:c>
      <x:c r="BL391" s="6" t="str">
        <x:v>0</x:v>
      </x:c>
      <x:c r="BM391" s="6" t="str">
        <x:v>0</x:v>
      </x:c>
      <x:c r="BN391" s="6" t="str">
        <x:v>0</x:v>
      </x:c>
      <x:c r="BO391" s="6" t="str"/>
      <x:c r="BP391" s="6" t="str">
        <x:v>0</x:v>
      </x:c>
      <x:c r="BQ391" s="6" t="str"/>
      <x:c r="BR391" s="6" t="str">
        <x:v>0</x:v>
      </x:c>
      <x:c r="BS391" s="6" t="str"/>
      <x:c r="BT391" s="6" t="str">
        <x:v>0</x:v>
      </x:c>
      <x:c r="BU391" s="6" t="str"/>
      <x:c r="BV391" s="6" t="str">
        <x:v>0</x:v>
      </x:c>
      <x:c r="BW391" s="9" t="str">
        <x:v>operational_snapshot_annual_totals_may_differ</x:v>
      </x:c>
      <x:c r="BX391" s="9" t="str">
        <x:v>official_live_dashboard_snapshot_subject_to_revision</x:v>
      </x:c>
      <x:c r="BY391" s="9" t="str">
        <x:v>https://tbdashboard.sitb.id/ss_data_tbc03so_2024_provinsi_bulanan_list.php</x:v>
      </x:c>
      <x:c r="BZ391" s="6" t="n">
        <x:v>46246.610671296294</x:v>
      </x:c>
    </x:row>
    <x:row r="392" ht="18" customHeight="1">
      <x:c r="A392" s="6" t="str">
        <x:v>51</x:v>
      </x:c>
      <x:c r="B392" s="6" t="str">
        <x:v>BALI</x:v>
      </x:c>
      <x:c r="C392" s="6" t="str">
        <x:v>2024</x:v>
      </x:c>
      <x:c r="D392" s="6" t="str">
        <x:v>7</x:v>
      </x:c>
      <x:c r="E392" s="6" t="str">
        <x:v>2024-07</x:v>
      </x:c>
      <x:c r="F392" s="6" t="str">
        <x:v>454</x:v>
      </x:c>
      <x:c r="G392" s="6" t="str">
        <x:v>182</x:v>
      </x:c>
      <x:c r="H392" s="6" t="str">
        <x:v>185</x:v>
      </x:c>
      <x:c r="I392" s="6" t="str">
        <x:v>45</x:v>
      </x:c>
      <x:c r="J392" s="6" t="str">
        <x:v>35</x:v>
      </x:c>
      <x:c r="K392" s="6" t="str">
        <x:v>7</x:v>
      </x:c>
      <x:c r="L392" s="6" t="str">
        <x:v>0</x:v>
      </x:c>
      <x:c r="M392" s="6" t="str">
        <x:v>0</x:v>
      </x:c>
      <x:c r="N392" s="6" t="str">
        <x:v>454</x:v>
      </x:c>
      <x:c r="O392" s="6" t="str">
        <x:v>0</x:v>
      </x:c>
      <x:c r="P392" s="10" t="n">
        <x:f>F392-M392</x:f>
        <x:v>454</x:v>
      </x:c>
      <x:c r="Q392" s="11" t="n">
        <x:f>IFERROR(M392/F392,"")</x:f>
        <x:v>0</x:v>
      </x:c>
      <x:c r="R392" s="10" t="n">
        <x:f>G392+H392</x:f>
        <x:v>367</x:v>
      </x:c>
      <x:c r="S392" s="11" t="n">
        <x:f>IFERROR(R392/F392,"")</x:f>
        <x:v>0.8083700440528634</x:v>
      </x:c>
      <x:c r="T392" s="11" t="n">
        <x:f>IFERROR(R392/P392,"")</x:f>
        <x:v>0.8083700440528634</x:v>
      </x:c>
      <x:c r="U392" s="10" t="n">
        <x:f>I392+J392+K392</x:f>
        <x:v>87</x:v>
      </x:c>
      <x:c r="V392" s="11" t="n">
        <x:f>IFERROR(U392/P392,"")</x:f>
        <x:v>0.19162995594713655</x:v>
      </x:c>
      <x:c r="W392" s="9" t="str">
        <x:v>mature_le_5pct_pending</x:v>
      </x:c>
      <x:c r="X392" s="12" t="n">
        <x:f>IFERROR(F392/Z392*100000,"")</x:f>
        <x:v>10.240678501342115</x:v>
      </x:c>
      <x:c r="Y392" s="13" t="n">
        <x:f>LN(Z392)</x:f>
        <x:v>15.304654785698613</x:v>
      </x:c>
      <x:c r="Z392" s="6" t="str">
        <x:v>4433300</x:v>
      </x:c>
      <x:c r="AA392" s="6" t="str">
        <x:v>793.0</x:v>
      </x:c>
      <x:c r="AB392" s="9" t="str">
        <x:v>2024-06-30</x:v>
      </x:c>
      <x:c r="AC392" s="8" t="str">
        <x:v>96.83</x:v>
      </x:c>
      <x:c r="AD392" s="9" t="str">
        <x:v>2024 (Susenas)</x:v>
      </x:c>
      <x:c r="AE392" s="8" t="str">
        <x:v>4.0</x:v>
      </x:c>
      <x:c r="AF392" s="9" t="str">
        <x:v>Maret 2024 (Susenas)</x:v>
      </x:c>
      <x:c r="AG392" s="6" t="str">
        <x:v>24.15</x:v>
      </x:c>
      <x:c r="AH392" s="8" t="str">
        <x:v>83.82</x:v>
      </x:c>
      <x:c r="AI392" s="6" t="str">
        <x:v>46.5</x:v>
      </x:c>
      <x:c r="AJ392" s="6" t="str">
        <x:v>0.6389999999999958</x:v>
      </x:c>
      <x:c r="AK392" s="8" t="str">
        <x:v>0.8801115693951613</x:v>
      </x:c>
      <x:c r="AL392" s="6" t="str">
        <x:v>1.030573698605592</x:v>
      </x:c>
      <x:c r="AM392" s="6" t="str">
        <x:v>1.2276620450844404</x:v>
      </x:c>
      <x:c r="AN392" s="6" t="str">
        <x:v>1.046115771028398</x:v>
      </x:c>
      <x:c r="AO392" s="6" t="str">
        <x:v>0.784333333333322</x:v>
      </x:c>
      <x:c r="AP392" s="8" t="str">
        <x:v>0.4612896204785743</x:v>
      </x:c>
      <x:c r="AQ392" s="6" t="str">
        <x:v>0.9745696305783396</x:v>
      </x:c>
      <x:c r="AR392" s="6" t="str">
        <x:v>1.0170995228237607</x:v>
      </x:c>
      <x:c r="AS392" s="6" t="str">
        <x:v>0.8176529246268918</x:v>
      </x:c>
      <x:c r="AT392" s="6" t="str">
        <x:v>12.741</x:v>
      </x:c>
      <x:c r="AU392" s="8" t="str">
        <x:v>0.3839204227830566</x:v>
      </x:c>
      <x:c r="AV392" s="6" t="str">
        <x:v>0.0875240535570117</x:v>
      </x:c>
      <x:c r="AW392" s="6" t="str">
        <x:v>-1.177081635741798</x:v>
      </x:c>
      <x:c r="AX392" s="6" t="str">
        <x:v>-0.2352123864672434</x:v>
      </x:c>
      <x:c r="AY392" s="6" t="str">
        <x:v>0</x:v>
      </x:c>
      <x:c r="AZ392" s="6" t="str">
        <x:v>0</x:v>
      </x:c>
      <x:c r="BA392" s="9" t="str">
        <x:v>grid_cells_within_BIG_polygon</x:v>
      </x:c>
      <x:c r="BB392" s="6" t="str">
        <x:v>1</x:v>
      </x:c>
      <x:c r="BC392" s="6" t="str">
        <x:v>0</x:v>
      </x:c>
      <x:c r="BD392" s="6" t="str">
        <x:v>0</x:v>
      </x:c>
      <x:c r="BE392" s="6" t="str">
        <x:v>0</x:v>
      </x:c>
      <x:c r="BF392" s="6" t="str">
        <x:v>0</x:v>
      </x:c>
      <x:c r="BG392" s="6" t="str">
        <x:v>0</x:v>
      </x:c>
      <x:c r="BH392" s="6" t="str">
        <x:v>0</x:v>
      </x:c>
      <x:c r="BI392" s="6" t="str">
        <x:v>0</x:v>
      </x:c>
      <x:c r="BJ392" s="6" t="str">
        <x:v>0</x:v>
      </x:c>
      <x:c r="BK392" s="6" t="str">
        <x:v>0</x:v>
      </x:c>
      <x:c r="BL392" s="6" t="str">
        <x:v>0</x:v>
      </x:c>
      <x:c r="BM392" s="6" t="str">
        <x:v>0</x:v>
      </x:c>
      <x:c r="BN392" s="6" t="str">
        <x:v>0</x:v>
      </x:c>
      <x:c r="BO392" s="6" t="str"/>
      <x:c r="BP392" s="6" t="str">
        <x:v>0</x:v>
      </x:c>
      <x:c r="BQ392" s="6" t="str"/>
      <x:c r="BR392" s="6" t="str">
        <x:v>0</x:v>
      </x:c>
      <x:c r="BS392" s="6" t="str"/>
      <x:c r="BT392" s="6" t="str">
        <x:v>0</x:v>
      </x:c>
      <x:c r="BU392" s="6" t="str"/>
      <x:c r="BV392" s="6" t="str">
        <x:v>0</x:v>
      </x:c>
      <x:c r="BW392" s="9" t="str">
        <x:v>operational_snapshot_annual_totals_may_differ</x:v>
      </x:c>
      <x:c r="BX392" s="9" t="str">
        <x:v>official_live_dashboard_snapshot_subject_to_revision</x:v>
      </x:c>
      <x:c r="BY392" s="9" t="str">
        <x:v>https://tbdashboard.sitb.id/ss_data_tbc03so_2024_provinsi_bulanan_list.php</x:v>
      </x:c>
      <x:c r="BZ392" s="6" t="n">
        <x:v>46246.610671296294</x:v>
      </x:c>
    </x:row>
    <x:row r="393" ht="18" customHeight="1">
      <x:c r="A393" s="6" t="str">
        <x:v>51</x:v>
      </x:c>
      <x:c r="B393" s="6" t="str">
        <x:v>BALI</x:v>
      </x:c>
      <x:c r="C393" s="6" t="str">
        <x:v>2024</x:v>
      </x:c>
      <x:c r="D393" s="6" t="str">
        <x:v>8</x:v>
      </x:c>
      <x:c r="E393" s="6" t="str">
        <x:v>2024-08</x:v>
      </x:c>
      <x:c r="F393" s="6" t="str">
        <x:v>422</x:v>
      </x:c>
      <x:c r="G393" s="6" t="str">
        <x:v>158</x:v>
      </x:c>
      <x:c r="H393" s="6" t="str">
        <x:v>181</x:v>
      </x:c>
      <x:c r="I393" s="6" t="str">
        <x:v>36</x:v>
      </x:c>
      <x:c r="J393" s="6" t="str">
        <x:v>37</x:v>
      </x:c>
      <x:c r="K393" s="6" t="str">
        <x:v>10</x:v>
      </x:c>
      <x:c r="L393" s="6" t="str">
        <x:v>0</x:v>
      </x:c>
      <x:c r="M393" s="6" t="str">
        <x:v>0</x:v>
      </x:c>
      <x:c r="N393" s="6" t="str">
        <x:v>422</x:v>
      </x:c>
      <x:c r="O393" s="6" t="str">
        <x:v>0</x:v>
      </x:c>
      <x:c r="P393" s="10" t="n">
        <x:f>F393-M393</x:f>
        <x:v>422</x:v>
      </x:c>
      <x:c r="Q393" s="11" t="n">
        <x:f>IFERROR(M393/F393,"")</x:f>
        <x:v>0</x:v>
      </x:c>
      <x:c r="R393" s="10" t="n">
        <x:f>G393+H393</x:f>
        <x:v>339</x:v>
      </x:c>
      <x:c r="S393" s="11" t="n">
        <x:f>IFERROR(R393/F393,"")</x:f>
        <x:v>0.8033175355450237</x:v>
      </x:c>
      <x:c r="T393" s="11" t="n">
        <x:f>IFERROR(R393/P393,"")</x:f>
        <x:v>0.8033175355450237</x:v>
      </x:c>
      <x:c r="U393" s="10" t="n">
        <x:f>I393+J393+K393</x:f>
        <x:v>83</x:v>
      </x:c>
      <x:c r="V393" s="11" t="n">
        <x:f>IFERROR(U393/P393,"")</x:f>
        <x:v>0.1966824644549763</x:v>
      </x:c>
      <x:c r="W393" s="9" t="str">
        <x:v>mature_le_5pct_pending</x:v>
      </x:c>
      <x:c r="X393" s="12" t="n">
        <x:f>IFERROR(F393/Z393*100000,"")</x:f>
        <x:v>9.518868562921526</x:v>
      </x:c>
      <x:c r="Y393" s="13" t="n">
        <x:f>LN(Z393)</x:f>
        <x:v>15.304654785698613</x:v>
      </x:c>
      <x:c r="Z393" s="6" t="str">
        <x:v>4433300</x:v>
      </x:c>
      <x:c r="AA393" s="6" t="str">
        <x:v>793.0</x:v>
      </x:c>
      <x:c r="AB393" s="9" t="str">
        <x:v>2024-06-30</x:v>
      </x:c>
      <x:c r="AC393" s="8" t="str">
        <x:v>96.83</x:v>
      </x:c>
      <x:c r="AD393" s="9" t="str">
        <x:v>2024 (Susenas)</x:v>
      </x:c>
      <x:c r="AE393" s="8" t="str">
        <x:v>4.0</x:v>
      </x:c>
      <x:c r="AF393" s="9" t="str">
        <x:v>Maret 2024 (Susenas)</x:v>
      </x:c>
      <x:c r="AG393" s="6" t="str">
        <x:v>24.29</x:v>
      </x:c>
      <x:c r="AH393" s="8" t="str">
        <x:v>81.51</x:v>
      </x:c>
      <x:c r="AI393" s="6" t="str">
        <x:v>5.89</x:v>
      </x:c>
      <x:c r="AJ393" s="6" t="str">
        <x:v>0.8053333333333335</x:v>
      </x:c>
      <x:c r="AK393" s="8" t="str">
        <x:v>1.272359934044858</x:v>
      </x:c>
      <x:c r="AL393" s="6" t="str">
        <x:v>0.8801115693951613</x:v>
      </x:c>
      <x:c r="AM393" s="6" t="str">
        <x:v>1.030573698605592</x:v>
      </x:c>
      <x:c r="AN393" s="6" t="str">
        <x:v>1.0610150673485377</x:v>
      </x:c>
      <x:c r="AO393" s="6" t="str">
        <x:v>0.5303333333333455</x:v>
      </x:c>
      <x:c r="AP393" s="8" t="str">
        <x:v>0.2952905039286181</x:v>
      </x:c>
      <x:c r="AQ393" s="6" t="str">
        <x:v>0.4612896204785743</x:v>
      </x:c>
      <x:c r="AR393" s="6" t="str">
        <x:v>0.9745696305783396</x:v>
      </x:c>
      <x:c r="AS393" s="6" t="str">
        <x:v>0.5770499183285109</x:v>
      </x:c>
      <x:c r="AT393" s="6" t="str">
        <x:v>-16.43</x:v>
      </x:c>
      <x:c r="AU393" s="8" t="str">
        <x:v>-0.6869486599418229</x:v>
      </x:c>
      <x:c r="AV393" s="6" t="str">
        <x:v>0.3839204227830566</x:v>
      </x:c>
      <x:c r="AW393" s="6" t="str">
        <x:v>0.0875240535570117</x:v>
      </x:c>
      <x:c r="AX393" s="6" t="str">
        <x:v>-0.0718347278672517</x:v>
      </x:c>
      <x:c r="AY393" s="6" t="str">
        <x:v>0</x:v>
      </x:c>
      <x:c r="AZ393" s="6" t="str">
        <x:v>1</x:v>
      </x:c>
      <x:c r="BA393" s="9" t="str">
        <x:v>grid_cells_within_BIG_polygon</x:v>
      </x:c>
      <x:c r="BB393" s="6" t="str">
        <x:v>1</x:v>
      </x:c>
      <x:c r="BC393" s="6" t="str">
        <x:v>4</x:v>
      </x:c>
      <x:c r="BD393" s="6" t="str">
        <x:v>4</x:v>
      </x:c>
      <x:c r="BE393" s="6" t="str">
        <x:v>0</x:v>
      </x:c>
      <x:c r="BF393" s="6" t="str">
        <x:v>0</x:v>
      </x:c>
      <x:c r="BG393" s="6" t="str">
        <x:v>0</x:v>
      </x:c>
      <x:c r="BH393" s="6" t="str">
        <x:v>0</x:v>
      </x:c>
      <x:c r="BI393" s="6" t="str">
        <x:v>4</x:v>
      </x:c>
      <x:c r="BJ393" s="6" t="str">
        <x:v>0</x:v>
      </x:c>
      <x:c r="BK393" s="6" t="str">
        <x:v>0</x:v>
      </x:c>
      <x:c r="BL393" s="6" t="str">
        <x:v>0</x:v>
      </x:c>
      <x:c r="BM393" s="6" t="str">
        <x:v>0</x:v>
      </x:c>
      <x:c r="BN393" s="6" t="str">
        <x:v>4</x:v>
      </x:c>
      <x:c r="BO393" s="6" t="str">
        <x:v>0.0</x:v>
      </x:c>
      <x:c r="BP393" s="6" t="str">
        <x:v>4</x:v>
      </x:c>
      <x:c r="BQ393" s="6" t="str">
        <x:v>0.0</x:v>
      </x:c>
      <x:c r="BR393" s="6" t="str">
        <x:v>4</x:v>
      </x:c>
      <x:c r="BS393" s="6" t="str">
        <x:v>0.0</x:v>
      </x:c>
      <x:c r="BT393" s="6" t="str">
        <x:v>4</x:v>
      </x:c>
      <x:c r="BU393" s="6" t="str"/>
      <x:c r="BV393" s="6" t="str">
        <x:v>0</x:v>
      </x:c>
      <x:c r="BW393" s="9" t="str">
        <x:v>operational_snapshot_annual_totals_may_differ</x:v>
      </x:c>
      <x:c r="BX393" s="9" t="str">
        <x:v>official_live_dashboard_snapshot_subject_to_revision</x:v>
      </x:c>
      <x:c r="BY393" s="9" t="str">
        <x:v>https://tbdashboard.sitb.id/ss_data_tbc03so_2024_provinsi_bulanan_list.php</x:v>
      </x:c>
      <x:c r="BZ393" s="6" t="n">
        <x:v>46246.610671296294</x:v>
      </x:c>
    </x:row>
    <x:row r="394" ht="18" customHeight="1">
      <x:c r="A394" s="6" t="str">
        <x:v>51</x:v>
      </x:c>
      <x:c r="B394" s="6" t="str">
        <x:v>BALI</x:v>
      </x:c>
      <x:c r="C394" s="6" t="str">
        <x:v>2024</x:v>
      </x:c>
      <x:c r="D394" s="6" t="str">
        <x:v>9</x:v>
      </x:c>
      <x:c r="E394" s="6" t="str">
        <x:v>2024-09</x:v>
      </x:c>
      <x:c r="F394" s="6" t="str">
        <x:v>346</x:v>
      </x:c>
      <x:c r="G394" s="6" t="str">
        <x:v>115</x:v>
      </x:c>
      <x:c r="H394" s="6" t="str">
        <x:v>162</x:v>
      </x:c>
      <x:c r="I394" s="6" t="str">
        <x:v>33</x:v>
      </x:c>
      <x:c r="J394" s="6" t="str">
        <x:v>32</x:v>
      </x:c>
      <x:c r="K394" s="6" t="str">
        <x:v>4</x:v>
      </x:c>
      <x:c r="L394" s="6" t="str">
        <x:v>0</x:v>
      </x:c>
      <x:c r="M394" s="6" t="str">
        <x:v>0</x:v>
      </x:c>
      <x:c r="N394" s="6" t="str">
        <x:v>346</x:v>
      </x:c>
      <x:c r="O394" s="6" t="str">
        <x:v>0</x:v>
      </x:c>
      <x:c r="P394" s="10" t="n">
        <x:f>F394-M394</x:f>
        <x:v>346</x:v>
      </x:c>
      <x:c r="Q394" s="11" t="n">
        <x:f>IFERROR(M394/F394,"")</x:f>
        <x:v>0</x:v>
      </x:c>
      <x:c r="R394" s="10" t="n">
        <x:f>G394+H394</x:f>
        <x:v>277</x:v>
      </x:c>
      <x:c r="S394" s="11" t="n">
        <x:f>IFERROR(R394/F394,"")</x:f>
        <x:v>0.8005780346820809</x:v>
      </x:c>
      <x:c r="T394" s="11" t="n">
        <x:f>IFERROR(R394/P394,"")</x:f>
        <x:v>0.8005780346820809</x:v>
      </x:c>
      <x:c r="U394" s="10" t="n">
        <x:f>I394+J394+K394</x:f>
        <x:v>69</x:v>
      </x:c>
      <x:c r="V394" s="11" t="n">
        <x:f>IFERROR(U394/P394,"")</x:f>
        <x:v>0.1994219653179191</x:v>
      </x:c>
      <x:c r="W394" s="9" t="str">
        <x:v>mature_le_5pct_pending</x:v>
      </x:c>
      <x:c r="X394" s="12" t="n">
        <x:f>IFERROR(F394/Z394*100000,"")</x:f>
        <x:v>7.804569959172626</x:v>
      </x:c>
      <x:c r="Y394" s="13" t="n">
        <x:f>LN(Z394)</x:f>
        <x:v>15.304654785698613</x:v>
      </x:c>
      <x:c r="Z394" s="6" t="str">
        <x:v>4433300</x:v>
      </x:c>
      <x:c r="AA394" s="6" t="str">
        <x:v>793.0</x:v>
      </x:c>
      <x:c r="AB394" s="9" t="str">
        <x:v>2024-06-30</x:v>
      </x:c>
      <x:c r="AC394" s="8" t="str">
        <x:v>96.83</x:v>
      </x:c>
      <x:c r="AD394" s="9" t="str">
        <x:v>2024 (Susenas)</x:v>
      </x:c>
      <x:c r="AE394" s="8" t="str">
        <x:v>4.0</x:v>
      </x:c>
      <x:c r="AF394" s="9" t="str">
        <x:v>Maret 2024 (Susenas)</x:v>
      </x:c>
      <x:c r="AG394" s="6" t="str">
        <x:v>25.75</x:v>
      </x:c>
      <x:c r="AH394" s="8" t="str">
        <x:v>79.32</x:v>
      </x:c>
      <x:c r="AI394" s="6" t="str">
        <x:v>18.9</x:v>
      </x:c>
      <x:c r="AJ394" s="6" t="str">
        <x:v>1.4019999999999977</x:v>
      </x:c>
      <x:c r="AK394" s="8" t="str">
        <x:v>2.374157823901332</x:v>
      </x:c>
      <x:c r="AL394" s="6" t="str">
        <x:v>1.272359934044858</x:v>
      </x:c>
      <x:c r="AM394" s="6" t="str">
        <x:v>0.8801115693951613</x:v>
      </x:c>
      <x:c r="AN394" s="6" t="str">
        <x:v>1.5088764424471173</x:v>
      </x:c>
      <x:c r="AO394" s="6" t="str">
        <x:v>-0.1890000000000071</x:v>
      </x:c>
      <x:c r="AP394" s="8" t="str">
        <x:v>-0.0797733419754861</x:v>
      </x:c>
      <x:c r="AQ394" s="6" t="str">
        <x:v>0.2952905039286181</x:v>
      </x:c>
      <x:c r="AR394" s="6" t="str">
        <x:v>0.4612896204785743</x:v>
      </x:c>
      <x:c r="AS394" s="6" t="str">
        <x:v>0.225602260810569</x:v>
      </x:c>
      <x:c r="AT394" s="6" t="str">
        <x:v>-15.240000000000002</x:v>
      </x:c>
      <x:c r="AU394" s="8" t="str">
        <x:v>-0.2800716969355162</x:v>
      </x:c>
      <x:c r="AV394" s="6" t="str">
        <x:v>-0.6869486599418229</x:v>
      </x:c>
      <x:c r="AW394" s="6" t="str">
        <x:v>0.3839204227830566</x:v>
      </x:c>
      <x:c r="AX394" s="6" t="str">
        <x:v>-0.1943666446980944</x:v>
      </x:c>
      <x:c r="AY394" s="6" t="str">
        <x:v>0</x:v>
      </x:c>
      <x:c r="AZ394" s="6" t="str">
        <x:v>1</x:v>
      </x:c>
      <x:c r="BA394" s="9" t="str">
        <x:v>grid_cells_within_BIG_polygon</x:v>
      </x:c>
      <x:c r="BB394" s="6" t="str">
        <x:v>1</x:v>
      </x:c>
      <x:c r="BC394" s="6" t="str">
        <x:v>7</x:v>
      </x:c>
      <x:c r="BD394" s="6" t="str">
        <x:v>4</x:v>
      </x:c>
      <x:c r="BE394" s="6" t="str">
        <x:v>0</x:v>
      </x:c>
      <x:c r="BF394" s="6" t="str">
        <x:v>1</x:v>
      </x:c>
      <x:c r="BG394" s="6" t="str">
        <x:v>0</x:v>
      </x:c>
      <x:c r="BH394" s="6" t="str">
        <x:v>0</x:v>
      </x:c>
      <x:c r="BI394" s="6" t="str">
        <x:v>3</x:v>
      </x:c>
      <x:c r="BJ394" s="6" t="str">
        <x:v>0</x:v>
      </x:c>
      <x:c r="BK394" s="6" t="str">
        <x:v>3</x:v>
      </x:c>
      <x:c r="BL394" s="6" t="str">
        <x:v>0</x:v>
      </x:c>
      <x:c r="BM394" s="6" t="str">
        <x:v>0</x:v>
      </x:c>
      <x:c r="BN394" s="6" t="str">
        <x:v>7</x:v>
      </x:c>
      <x:c r="BO394" s="6" t="str">
        <x:v>1.0</x:v>
      </x:c>
      <x:c r="BP394" s="6" t="str">
        <x:v>7</x:v>
      </x:c>
      <x:c r="BQ394" s="6" t="str">
        <x:v>3.0</x:v>
      </x:c>
      <x:c r="BR394" s="6" t="str">
        <x:v>7</x:v>
      </x:c>
      <x:c r="BS394" s="6" t="str">
        <x:v>25.0</x:v>
      </x:c>
      <x:c r="BT394" s="6" t="str">
        <x:v>7</x:v>
      </x:c>
      <x:c r="BU394" s="6" t="str"/>
      <x:c r="BV394" s="6" t="str">
        <x:v>0</x:v>
      </x:c>
      <x:c r="BW394" s="9" t="str">
        <x:v>operational_snapshot_annual_totals_may_differ</x:v>
      </x:c>
      <x:c r="BX394" s="9" t="str">
        <x:v>official_live_dashboard_snapshot_subject_to_revision</x:v>
      </x:c>
      <x:c r="BY394" s="9" t="str">
        <x:v>https://tbdashboard.sitb.id/ss_data_tbc03so_2024_provinsi_bulanan_list.php</x:v>
      </x:c>
      <x:c r="BZ394" s="6" t="n">
        <x:v>46246.610671296294</x:v>
      </x:c>
    </x:row>
    <x:row r="395" ht="18" customHeight="1">
      <x:c r="A395" s="6" t="str">
        <x:v>51</x:v>
      </x:c>
      <x:c r="B395" s="6" t="str">
        <x:v>BALI</x:v>
      </x:c>
      <x:c r="C395" s="6" t="str">
        <x:v>2024</x:v>
      </x:c>
      <x:c r="D395" s="6" t="str">
        <x:v>10</x:v>
      </x:c>
      <x:c r="E395" s="6" t="str">
        <x:v>2024-10</x:v>
      </x:c>
      <x:c r="F395" s="6" t="str">
        <x:v>466</x:v>
      </x:c>
      <x:c r="G395" s="6" t="str">
        <x:v>195</x:v>
      </x:c>
      <x:c r="H395" s="6" t="str">
        <x:v>186</x:v>
      </x:c>
      <x:c r="I395" s="6" t="str">
        <x:v>37</x:v>
      </x:c>
      <x:c r="J395" s="6" t="str">
        <x:v>40</x:v>
      </x:c>
      <x:c r="K395" s="6" t="str">
        <x:v>8</x:v>
      </x:c>
      <x:c r="L395" s="6" t="str">
        <x:v>0</x:v>
      </x:c>
      <x:c r="M395" s="6" t="str">
        <x:v>0</x:v>
      </x:c>
      <x:c r="N395" s="6" t="str">
        <x:v>466</x:v>
      </x:c>
      <x:c r="O395" s="6" t="str">
        <x:v>0</x:v>
      </x:c>
      <x:c r="P395" s="10" t="n">
        <x:f>F395-M395</x:f>
        <x:v>466</x:v>
      </x:c>
      <x:c r="Q395" s="11" t="n">
        <x:f>IFERROR(M395/F395,"")</x:f>
        <x:v>0</x:v>
      </x:c>
      <x:c r="R395" s="10" t="n">
        <x:f>G395+H395</x:f>
        <x:v>381</x:v>
      </x:c>
      <x:c r="S395" s="11" t="n">
        <x:f>IFERROR(R395/F395,"")</x:f>
        <x:v>0.8175965665236051</x:v>
      </x:c>
      <x:c r="T395" s="11" t="n">
        <x:f>IFERROR(R395/P395,"")</x:f>
        <x:v>0.8175965665236051</x:v>
      </x:c>
      <x:c r="U395" s="10" t="n">
        <x:f>I395+J395+K395</x:f>
        <x:v>85</x:v>
      </x:c>
      <x:c r="V395" s="11" t="n">
        <x:f>IFERROR(U395/P395,"")</x:f>
        <x:v>0.18240343347639484</x:v>
      </x:c>
      <x:c r="W395" s="9" t="str">
        <x:v>mature_le_5pct_pending</x:v>
      </x:c>
      <x:c r="X395" s="12" t="n">
        <x:f>IFERROR(F395/Z395*100000,"")</x:f>
        <x:v>10.511357228249837</x:v>
      </x:c>
      <x:c r="Y395" s="13" t="n">
        <x:f>LN(Z395)</x:f>
        <x:v>15.304654785698613</x:v>
      </x:c>
      <x:c r="Z395" s="6" t="str">
        <x:v>4433300</x:v>
      </x:c>
      <x:c r="AA395" s="6" t="str">
        <x:v>793.0</x:v>
      </x:c>
      <x:c r="AB395" s="9" t="str">
        <x:v>2024-06-30</x:v>
      </x:c>
      <x:c r="AC395" s="8" t="str">
        <x:v>96.83</x:v>
      </x:c>
      <x:c r="AD395" s="9" t="str">
        <x:v>2024 (Susenas)</x:v>
      </x:c>
      <x:c r="AE395" s="8" t="str">
        <x:v>4.0</x:v>
      </x:c>
      <x:c r="AF395" s="9" t="str">
        <x:v>Maret 2024 (Susenas)</x:v>
      </x:c>
      <x:c r="AG395" s="6" t="str">
        <x:v>26.75</x:v>
      </x:c>
      <x:c r="AH395" s="8" t="str">
        <x:v>77.25</x:v>
      </x:c>
      <x:c r="AI395" s="6" t="str">
        <x:v>81.84</x:v>
      </x:c>
      <x:c r="AJ395" s="6" t="str">
        <x:v>1.190999999999999</x:v>
      </x:c>
      <x:c r="AK395" s="8" t="str">
        <x:v>3.3555057523206187</x:v>
      </x:c>
      <x:c r="AL395" s="6" t="str">
        <x:v>2.374157823901332</x:v>
      </x:c>
      <x:c r="AM395" s="6" t="str">
        <x:v>1.272359934044858</x:v>
      </x:c>
      <x:c r="AN395" s="6" t="str">
        <x:v>2.334007836755603</x:v>
      </x:c>
      <x:c r="AO395" s="6" t="str">
        <x:v>-1.5423333333333318</x:v>
      </x:c>
      <x:c r="AP395" s="8" t="str">
        <x:v>-0.4553179051542183</x:v>
      </x:c>
      <x:c r="AQ395" s="6" t="str">
        <x:v>-0.0797733419754861</x:v>
      </x:c>
      <x:c r="AR395" s="6" t="str">
        <x:v>0.2952905039286181</x:v>
      </x:c>
      <x:c r="AS395" s="6" t="str">
        <x:v>-0.0799335810670285</x:v>
      </x:c>
      <x:c r="AT395" s="6" t="str">
        <x:v>10.385000000000003</x:v>
      </x:c>
      <x:c r="AU395" s="8" t="str">
        <x:v>0.1454330896127552</x:v>
      </x:c>
      <x:c r="AV395" s="6" t="str">
        <x:v>-0.2800716969355162</x:v>
      </x:c>
      <x:c r="AW395" s="6" t="str">
        <x:v>-0.6869486599418229</x:v>
      </x:c>
      <x:c r="AX395" s="6" t="str">
        <x:v>-0.2738624224215282</x:v>
      </x:c>
      <x:c r="AY395" s="6" t="str">
        <x:v>0</x:v>
      </x:c>
      <x:c r="AZ395" s="6" t="str">
        <x:v>1</x:v>
      </x:c>
      <x:c r="BA395" s="9" t="str">
        <x:v>grid_cells_within_BIG_polygon</x:v>
      </x:c>
      <x:c r="BB395" s="6" t="str">
        <x:v>1</x:v>
      </x:c>
      <x:c r="BC395" s="6" t="str">
        <x:v>7</x:v>
      </x:c>
      <x:c r="BD395" s="6" t="str">
        <x:v>7</x:v>
      </x:c>
      <x:c r="BE395" s="6" t="str">
        <x:v>0</x:v>
      </x:c>
      <x:c r="BF395" s="6" t="str">
        <x:v>0</x:v>
      </x:c>
      <x:c r="BG395" s="6" t="str">
        <x:v>3</x:v>
      </x:c>
      <x:c r="BH395" s="6" t="str">
        <x:v>0</x:v>
      </x:c>
      <x:c r="BI395" s="6" t="str">
        <x:v>4</x:v>
      </x:c>
      <x:c r="BJ395" s="6" t="str">
        <x:v>0</x:v>
      </x:c>
      <x:c r="BK395" s="6" t="str">
        <x:v>0</x:v>
      </x:c>
      <x:c r="BL395" s="6" t="str">
        <x:v>0</x:v>
      </x:c>
      <x:c r="BM395" s="6" t="str">
        <x:v>0</x:v>
      </x:c>
      <x:c r="BN395" s="6" t="str">
        <x:v>7</x:v>
      </x:c>
      <x:c r="BO395" s="6" t="str">
        <x:v>1.0</x:v>
      </x:c>
      <x:c r="BP395" s="6" t="str">
        <x:v>7</x:v>
      </x:c>
      <x:c r="BQ395" s="6" t="str">
        <x:v>0.0</x:v>
      </x:c>
      <x:c r="BR395" s="6" t="str">
        <x:v>7</x:v>
      </x:c>
      <x:c r="BS395" s="6" t="str">
        <x:v>148.0</x:v>
      </x:c>
      <x:c r="BT395" s="6" t="str">
        <x:v>7</x:v>
      </x:c>
      <x:c r="BU395" s="6" t="str"/>
      <x:c r="BV395" s="6" t="str">
        <x:v>0</x:v>
      </x:c>
      <x:c r="BW395" s="9" t="str">
        <x:v>operational_snapshot_annual_totals_may_differ</x:v>
      </x:c>
      <x:c r="BX395" s="9" t="str">
        <x:v>official_live_dashboard_snapshot_subject_to_revision</x:v>
      </x:c>
      <x:c r="BY395" s="9" t="str">
        <x:v>https://tbdashboard.sitb.id/ss_data_tbc03so_2024_provinsi_bulanan_list.php</x:v>
      </x:c>
      <x:c r="BZ395" s="6" t="n">
        <x:v>46246.610671296294</x:v>
      </x:c>
    </x:row>
    <x:row r="396" ht="18" customHeight="1">
      <x:c r="A396" s="6" t="str">
        <x:v>51</x:v>
      </x:c>
      <x:c r="B396" s="6" t="str">
        <x:v>BALI</x:v>
      </x:c>
      <x:c r="C396" s="6" t="str">
        <x:v>2024</x:v>
      </x:c>
      <x:c r="D396" s="6" t="str">
        <x:v>11</x:v>
      </x:c>
      <x:c r="E396" s="6" t="str">
        <x:v>2024-11</x:v>
      </x:c>
      <x:c r="F396" s="6" t="str">
        <x:v>410</x:v>
      </x:c>
      <x:c r="G396" s="6" t="str">
        <x:v>158</x:v>
      </x:c>
      <x:c r="H396" s="6" t="str">
        <x:v>178</x:v>
      </x:c>
      <x:c r="I396" s="6" t="str">
        <x:v>33</x:v>
      </x:c>
      <x:c r="J396" s="6" t="str">
        <x:v>37</x:v>
      </x:c>
      <x:c r="K396" s="6" t="str">
        <x:v>3</x:v>
      </x:c>
      <x:c r="L396" s="6" t="str">
        <x:v>0</x:v>
      </x:c>
      <x:c r="M396" s="6" t="str">
        <x:v>1</x:v>
      </x:c>
      <x:c r="N396" s="6" t="str">
        <x:v>410</x:v>
      </x:c>
      <x:c r="O396" s="6" t="str">
        <x:v>0</x:v>
      </x:c>
      <x:c r="P396" s="10" t="n">
        <x:f>F396-M396</x:f>
        <x:v>409</x:v>
      </x:c>
      <x:c r="Q396" s="11" t="n">
        <x:f>IFERROR(M396/F396,"")</x:f>
        <x:v>0.0024390243902439024</x:v>
      </x:c>
      <x:c r="R396" s="10" t="n">
        <x:f>G396+H396</x:f>
        <x:v>336</x:v>
      </x:c>
      <x:c r="S396" s="11" t="n">
        <x:f>IFERROR(R396/F396,"")</x:f>
        <x:v>0.8195121951219512</x:v>
      </x:c>
      <x:c r="T396" s="11" t="n">
        <x:f>IFERROR(R396/P396,"")</x:f>
        <x:v>0.8215158924205379</x:v>
      </x:c>
      <x:c r="U396" s="10" t="n">
        <x:f>I396+J396+K396</x:f>
        <x:v>73</x:v>
      </x:c>
      <x:c r="V396" s="11" t="n">
        <x:f>IFERROR(U396/P396,"")</x:f>
        <x:v>0.1784841075794621</x:v>
      </x:c>
      <x:c r="W396" s="9" t="str">
        <x:v>mature_le_5pct_pending</x:v>
      </x:c>
      <x:c r="X396" s="12" t="n">
        <x:f>IFERROR(F396/Z396*100000,"")</x:f>
        <x:v>9.248189836013804</x:v>
      </x:c>
      <x:c r="Y396" s="13" t="n">
        <x:f>LN(Z396)</x:f>
        <x:v>15.304654785698613</x:v>
      </x:c>
      <x:c r="Z396" s="6" t="str">
        <x:v>4433300</x:v>
      </x:c>
      <x:c r="AA396" s="6" t="str">
        <x:v>793.0</x:v>
      </x:c>
      <x:c r="AB396" s="9" t="str">
        <x:v>2024-06-30</x:v>
      </x:c>
      <x:c r="AC396" s="8" t="str">
        <x:v>96.83</x:v>
      </x:c>
      <x:c r="AD396" s="9" t="str">
        <x:v>2024 (Susenas)</x:v>
      </x:c>
      <x:c r="AE396" s="8" t="str">
        <x:v>4.0</x:v>
      </x:c>
      <x:c r="AF396" s="9" t="str">
        <x:v>Maret 2024 (Susenas)</x:v>
      </x:c>
      <x:c r="AG396" s="6" t="str">
        <x:v>27.15</x:v>
      </x:c>
      <x:c r="AH396" s="8" t="str">
        <x:v>80.72</x:v>
      </x:c>
      <x:c r="AI396" s="6" t="str">
        <x:v>121.2</x:v>
      </x:c>
      <x:c r="AJ396" s="6" t="str">
        <x:v>0.977999999999998</x:v>
      </x:c>
      <x:c r="AK396" s="8" t="str">
        <x:v>2.0315372182924887</x:v>
      </x:c>
      <x:c r="AL396" s="6" t="str">
        <x:v>3.3555057523206187</x:v>
      </x:c>
      <x:c r="AM396" s="6" t="str">
        <x:v>2.374157823901332</x:v>
      </x:c>
      <x:c r="AN396" s="6" t="str">
        <x:v>2.5870669315048134</x:v>
      </x:c>
      <x:c r="AO396" s="6" t="str">
        <x:v>0.0520000000000067</x:v>
      </x:c>
      <x:c r="AP396" s="8" t="str">
        <x:v>0.0144380328061533</x:v>
      </x:c>
      <x:c r="AQ396" s="6" t="str">
        <x:v>-0.4553179051542183</x:v>
      </x:c>
      <x:c r="AR396" s="6" t="str">
        <x:v>-0.0797733419754861</x:v>
      </x:c>
      <x:c r="AS396" s="6" t="str">
        <x:v>-0.1735510714411834</x:v>
      </x:c>
      <x:c r="AT396" s="6" t="str">
        <x:v>-19.310000000000016</x:v>
      </x:c>
      <x:c r="AU396" s="8" t="str">
        <x:v>-0.2419836666678683</x:v>
      </x:c>
      <x:c r="AV396" s="6" t="str">
        <x:v>0.1454330896127552</x:v>
      </x:c>
      <x:c r="AW396" s="6" t="str">
        <x:v>-0.2800716969355162</x:v>
      </x:c>
      <x:c r="AX396" s="6" t="str">
        <x:v>-0.1255407579968767</x:v>
      </x:c>
      <x:c r="AY396" s="6" t="str">
        <x:v>0</x:v>
      </x:c>
      <x:c r="AZ396" s="6" t="str">
        <x:v>1</x:v>
      </x:c>
      <x:c r="BA396" s="9" t="str">
        <x:v>grid_cells_within_BIG_polygon</x:v>
      </x:c>
      <x:c r="BB396" s="6" t="str">
        <x:v>1</x:v>
      </x:c>
      <x:c r="BC396" s="6" t="str">
        <x:v>3</x:v>
      </x:c>
      <x:c r="BD396" s="6" t="str">
        <x:v>3</x:v>
      </x:c>
      <x:c r="BE396" s="6" t="str">
        <x:v>0</x:v>
      </x:c>
      <x:c r="BF396" s="6" t="str">
        <x:v>0</x:v>
      </x:c>
      <x:c r="BG396" s="6" t="str">
        <x:v>3</x:v>
      </x:c>
      <x:c r="BH396" s="6" t="str">
        <x:v>0</x:v>
      </x:c>
      <x:c r="BI396" s="6" t="str">
        <x:v>0</x:v>
      </x:c>
      <x:c r="BJ396" s="6" t="str">
        <x:v>0</x:v>
      </x:c>
      <x:c r="BK396" s="6" t="str">
        <x:v>0</x:v>
      </x:c>
      <x:c r="BL396" s="6" t="str">
        <x:v>0</x:v>
      </x:c>
      <x:c r="BM396" s="6" t="str">
        <x:v>0</x:v>
      </x:c>
      <x:c r="BN396" s="6" t="str">
        <x:v>3</x:v>
      </x:c>
      <x:c r="BO396" s="6" t="str">
        <x:v>0.0</x:v>
      </x:c>
      <x:c r="BP396" s="6" t="str">
        <x:v>3</x:v>
      </x:c>
      <x:c r="BQ396" s="6" t="str">
        <x:v>0.0</x:v>
      </x:c>
      <x:c r="BR396" s="6" t="str">
        <x:v>3</x:v>
      </x:c>
      <x:c r="BS396" s="6" t="str">
        <x:v>23.0</x:v>
      </x:c>
      <x:c r="BT396" s="6" t="str">
        <x:v>3</x:v>
      </x:c>
      <x:c r="BU396" s="6" t="str"/>
      <x:c r="BV396" s="6" t="str">
        <x:v>0</x:v>
      </x:c>
      <x:c r="BW396" s="9" t="str">
        <x:v>operational_snapshot_annual_totals_may_differ</x:v>
      </x:c>
      <x:c r="BX396" s="9" t="str">
        <x:v>official_live_dashboard_snapshot_subject_to_revision</x:v>
      </x:c>
      <x:c r="BY396" s="9" t="str">
        <x:v>https://tbdashboard.sitb.id/ss_data_tbc03so_2024_provinsi_bulanan_list.php</x:v>
      </x:c>
      <x:c r="BZ396" s="6" t="n">
        <x:v>46246.610671296294</x:v>
      </x:c>
    </x:row>
    <x:row r="397" ht="18" customHeight="1">
      <x:c r="A397" s="6" t="str">
        <x:v>51</x:v>
      </x:c>
      <x:c r="B397" s="6" t="str">
        <x:v>BALI</x:v>
      </x:c>
      <x:c r="C397" s="6" t="str">
        <x:v>2024</x:v>
      </x:c>
      <x:c r="D397" s="6" t="str">
        <x:v>12</x:v>
      </x:c>
      <x:c r="E397" s="6" t="str">
        <x:v>2024-12</x:v>
      </x:c>
      <x:c r="F397" s="6" t="str">
        <x:v>427</x:v>
      </x:c>
      <x:c r="G397" s="6" t="str">
        <x:v>170</x:v>
      </x:c>
      <x:c r="H397" s="6" t="str">
        <x:v>189</x:v>
      </x:c>
      <x:c r="I397" s="6" t="str">
        <x:v>32</x:v>
      </x:c>
      <x:c r="J397" s="6" t="str">
        <x:v>34</x:v>
      </x:c>
      <x:c r="K397" s="6" t="str">
        <x:v>1</x:v>
      </x:c>
      <x:c r="L397" s="6" t="str">
        <x:v>0</x:v>
      </x:c>
      <x:c r="M397" s="6" t="str">
        <x:v>1</x:v>
      </x:c>
      <x:c r="N397" s="6" t="str">
        <x:v>427</x:v>
      </x:c>
      <x:c r="O397" s="6" t="str">
        <x:v>0</x:v>
      </x:c>
      <x:c r="P397" s="10" t="n">
        <x:f>F397-M397</x:f>
        <x:v>426</x:v>
      </x:c>
      <x:c r="Q397" s="11" t="n">
        <x:f>IFERROR(M397/F397,"")</x:f>
        <x:v>0.00234192037470726</x:v>
      </x:c>
      <x:c r="R397" s="10" t="n">
        <x:f>G397+H397</x:f>
        <x:v>359</x:v>
      </x:c>
      <x:c r="S397" s="11" t="n">
        <x:f>IFERROR(R397/F397,"")</x:f>
        <x:v>0.8407494145199064</x:v>
      </x:c>
      <x:c r="T397" s="11" t="n">
        <x:f>IFERROR(R397/P397,"")</x:f>
        <x:v>0.8427230046948356</x:v>
      </x:c>
      <x:c r="U397" s="10" t="n">
        <x:f>I397+J397+K397</x:f>
        <x:v>67</x:v>
      </x:c>
      <x:c r="V397" s="11" t="n">
        <x:f>IFERROR(U397/P397,"")</x:f>
        <x:v>0.1572769953051643</x:v>
      </x:c>
      <x:c r="W397" s="9" t="str">
        <x:v>mature_le_5pct_pending</x:v>
      </x:c>
      <x:c r="X397" s="12" t="n">
        <x:f>IFERROR(F397/Z397*100000,"")</x:f>
        <x:v>9.631651365799744</x:v>
      </x:c>
      <x:c r="Y397" s="13" t="n">
        <x:f>LN(Z397)</x:f>
        <x:v>15.304654785698613</x:v>
      </x:c>
      <x:c r="Z397" s="6" t="str">
        <x:v>4433300</x:v>
      </x:c>
      <x:c r="AA397" s="6" t="str">
        <x:v>793.0</x:v>
      </x:c>
      <x:c r="AB397" s="9" t="str">
        <x:v>2024-06-30</x:v>
      </x:c>
      <x:c r="AC397" s="8" t="str">
        <x:v>96.83</x:v>
      </x:c>
      <x:c r="AD397" s="9" t="str">
        <x:v>2024 (Susenas)</x:v>
      </x:c>
      <x:c r="AE397" s="8" t="str">
        <x:v>4.0</x:v>
      </x:c>
      <x:c r="AF397" s="9" t="str">
        <x:v>Maret 2024 (Susenas)</x:v>
      </x:c>
      <x:c r="AG397" s="6" t="str">
        <x:v>26.08</x:v>
      </x:c>
      <x:c r="AH397" s="8" t="str">
        <x:v>86.66</x:v>
      </x:c>
      <x:c r="AI397" s="6" t="str">
        <x:v>552.7299999999999</x:v>
      </x:c>
      <x:c r="AJ397" s="6" t="str">
        <x:v>0.3049999999999997</x:v>
      </x:c>
      <x:c r="AK397" s="8" t="str">
        <x:v>0.5626251675411449</x:v>
      </x:c>
      <x:c r="AL397" s="6" t="str">
        <x:v>2.0315372182924887</x:v>
      </x:c>
      <x:c r="AM397" s="6" t="str">
        <x:v>3.3555057523206187</x:v>
      </x:c>
      <x:c r="AN397" s="6" t="str">
        <x:v>1.9832227127180844</x:v>
      </x:c>
      <x:c r="AO397" s="6" t="str">
        <x:v>2.8729999999999905</x:v>
      </x:c>
      <x:c r="AP397" s="8" t="str">
        <x:v>1.0455668522688493</x:v>
      </x:c>
      <x:c r="AQ397" s="6" t="str">
        <x:v>0.0144380328061533</x:v>
      </x:c>
      <x:c r="AR397" s="6" t="str">
        <x:v>-0.4553179051542183</x:v>
      </x:c>
      <x:c r="AS397" s="6" t="str">
        <x:v>0.2015623266402617</x:v>
      </x:c>
      <x:c r="AT397" s="6" t="str">
        <x:v>300.25566666666657</x:v>
      </x:c>
      <x:c r="AU397" s="8" t="str">
        <x:v>2.9360299183525083</x:v>
      </x:c>
      <x:c r="AV397" s="6" t="str">
        <x:v>-0.2419836666678683</x:v>
      </x:c>
      <x:c r="AW397" s="6" t="str">
        <x:v>0.1454330896127552</x:v>
      </x:c>
      <x:c r="AX397" s="6" t="str">
        <x:v>0.946493113765798</x:v>
      </x:c>
      <x:c r="AY397" s="6" t="str">
        <x:v>1</x:v>
      </x:c>
      <x:c r="AZ397" s="6" t="str">
        <x:v>0</x:v>
      </x:c>
      <x:c r="BA397" s="9" t="str">
        <x:v>grid_cells_within_BIG_polygon</x:v>
      </x:c>
      <x:c r="BB397" s="6" t="str">
        <x:v>1</x:v>
      </x:c>
      <x:c r="BC397" s="6" t="str">
        <x:v>9</x:v>
      </x:c>
      <x:c r="BD397" s="6" t="str">
        <x:v>9</x:v>
      </x:c>
      <x:c r="BE397" s="6" t="str">
        <x:v>1</x:v>
      </x:c>
      <x:c r="BF397" s="6" t="str">
        <x:v>2</x:v>
      </x:c>
      <x:c r="BG397" s="6" t="str">
        <x:v>6</x:v>
      </x:c>
      <x:c r="BH397" s="6" t="str">
        <x:v>0</x:v>
      </x:c>
      <x:c r="BI397" s="6" t="str">
        <x:v>0</x:v>
      </x:c>
      <x:c r="BJ397" s="6" t="str">
        <x:v>0</x:v>
      </x:c>
      <x:c r="BK397" s="6" t="str">
        <x:v>0</x:v>
      </x:c>
      <x:c r="BL397" s="6" t="str">
        <x:v>0</x:v>
      </x:c>
      <x:c r="BM397" s="6" t="str">
        <x:v>0</x:v>
      </x:c>
      <x:c r="BN397" s="6" t="str">
        <x:v>9</x:v>
      </x:c>
      <x:c r="BO397" s="6" t="str">
        <x:v>7.0</x:v>
      </x:c>
      <x:c r="BP397" s="6" t="str">
        <x:v>9</x:v>
      </x:c>
      <x:c r="BQ397" s="6" t="str">
        <x:v>4.0</x:v>
      </x:c>
      <x:c r="BR397" s="6" t="str">
        <x:v>9</x:v>
      </x:c>
      <x:c r="BS397" s="6" t="str">
        <x:v>67.0</x:v>
      </x:c>
      <x:c r="BT397" s="6" t="str">
        <x:v>9</x:v>
      </x:c>
      <x:c r="BU397" s="6" t="str"/>
      <x:c r="BV397" s="6" t="str">
        <x:v>0</x:v>
      </x:c>
      <x:c r="BW397" s="9" t="str">
        <x:v>operational_snapshot_annual_totals_may_differ</x:v>
      </x:c>
      <x:c r="BX397" s="9" t="str">
        <x:v>official_live_dashboard_snapshot_subject_to_revision</x:v>
      </x:c>
      <x:c r="BY397" s="9" t="str">
        <x:v>https://tbdashboard.sitb.id/ss_data_tbc03so_2024_provinsi_bulanan_list.php</x:v>
      </x:c>
      <x:c r="BZ397" s="6" t="n">
        <x:v>46246.610671296294</x:v>
      </x:c>
    </x:row>
    <x:row r="398" ht="18" customHeight="1">
      <x:c r="A398" s="6" t="str">
        <x:v>51</x:v>
      </x:c>
      <x:c r="B398" s="6" t="str">
        <x:v>BALI</x:v>
      </x:c>
      <x:c r="C398" s="6" t="str">
        <x:v>2025</x:v>
      </x:c>
      <x:c r="D398" s="6" t="str">
        <x:v>1</x:v>
      </x:c>
      <x:c r="E398" s="6" t="str">
        <x:v>2025-01</x:v>
      </x:c>
      <x:c r="F398" s="6" t="str">
        <x:v>385</x:v>
      </x:c>
      <x:c r="G398" s="6" t="str">
        <x:v>153</x:v>
      </x:c>
      <x:c r="H398" s="6" t="str">
        <x:v>159</x:v>
      </x:c>
      <x:c r="I398" s="6" t="str">
        <x:v>33</x:v>
      </x:c>
      <x:c r="J398" s="6" t="str">
        <x:v>29</x:v>
      </x:c>
      <x:c r="K398" s="6" t="str">
        <x:v>0</x:v>
      </x:c>
      <x:c r="L398" s="6" t="str">
        <x:v>3</x:v>
      </x:c>
      <x:c r="M398" s="6" t="str">
        <x:v>8</x:v>
      </x:c>
      <x:c r="N398" s="6" t="str">
        <x:v>385</x:v>
      </x:c>
      <x:c r="O398" s="6" t="str">
        <x:v>0</x:v>
      </x:c>
      <x:c r="P398" s="10" t="n">
        <x:f>F398-M398</x:f>
        <x:v>377</x:v>
      </x:c>
      <x:c r="Q398" s="11" t="n">
        <x:f>IFERROR(M398/F398,"")</x:f>
        <x:v>0.02077922077922078</x:v>
      </x:c>
      <x:c r="R398" s="10" t="n">
        <x:f>G398+H398</x:f>
        <x:v>312</x:v>
      </x:c>
      <x:c r="S398" s="11" t="n">
        <x:f>IFERROR(R398/F398,"")</x:f>
        <x:v>0.8103896103896104</x:v>
      </x:c>
      <x:c r="T398" s="11" t="n">
        <x:f>IFERROR(R398/P398,"")</x:f>
        <x:v>0.8275862068965517</x:v>
      </x:c>
      <x:c r="U398" s="10" t="n">
        <x:f>I398+J398+K398</x:f>
        <x:v>62</x:v>
      </x:c>
      <x:c r="V398" s="11" t="n">
        <x:f>IFERROR(U398/P398,"")</x:f>
        <x:v>0.16445623342175067</x:v>
      </x:c>
      <x:c r="W398" s="9" t="str">
        <x:v>mature_le_5pct_pending</x:v>
      </x:c>
      <x:c r="X398" s="12" t="n">
        <x:f>IFERROR(F398/Z398*100000,"")</x:f>
        <x:v>8.629771591240221</x:v>
      </x:c>
      <x:c r="Y398" s="13" t="n">
        <x:f>LN(Z398)</x:f>
        <x:v>15.310950761344884</x:v>
      </x:c>
      <x:c r="Z398" s="6" t="str">
        <x:v>4461300</x:v>
      </x:c>
      <x:c r="AA398" s="6" t="str">
        <x:v>798.0</x:v>
      </x:c>
      <x:c r="AB398" s="9" t="str">
        <x:v>2025-06-30</x:v>
      </x:c>
      <x:c r="AC398" s="8" t="str">
        <x:v>98.2</x:v>
      </x:c>
      <x:c r="AD398" s="9" t="str">
        <x:v>2025 (Susenas)</x:v>
      </x:c>
      <x:c r="AE398" s="8" t="str">
        <x:v>3.72</x:v>
      </x:c>
      <x:c r="AF398" s="9" t="str">
        <x:v>Maret 2025 (Susenas)</x:v>
      </x:c>
      <x:c r="AG398" s="6" t="str">
        <x:v>25.45</x:v>
      </x:c>
      <x:c r="AH398" s="8" t="str">
        <x:v>88.74</x:v>
      </x:c>
      <x:c r="AI398" s="6" t="str">
        <x:v>394.32</x:v>
      </x:c>
      <x:c r="AJ398" s="6" t="str">
        <x:v>-0.0226666666666659</x:v>
      </x:c>
      <x:c r="AK398" s="8" t="str">
        <x:v>-0.0435520299329124</x:v>
      </x:c>
      <x:c r="AL398" s="6" t="str">
        <x:v>0.5626251675411449</x:v>
      </x:c>
      <x:c r="AM398" s="6" t="str">
        <x:v>2.0315372182924887</x:v>
      </x:c>
      <x:c r="AN398" s="6" t="str">
        <x:v>0.8502034519669074</x:v>
      </x:c>
      <x:c r="AO398" s="6" t="str">
        <x:v>2.8503333333333245</x:v>
      </x:c>
      <x:c r="AP398" s="8" t="str">
        <x:v>1.094710978828748</x:v>
      </x:c>
      <x:c r="AQ398" s="6" t="str">
        <x:v>1.0455668522688493</x:v>
      </x:c>
      <x:c r="AR398" s="6" t="str">
        <x:v>0.0144380328061533</x:v>
      </x:c>
      <x:c r="AS398" s="6" t="str">
        <x:v>0.7182386213012505</x:v>
      </x:c>
      <x:c r="AT398" s="6" t="str">
        <x:v>84.36133333333333</x:v>
      </x:c>
      <x:c r="AU398" s="8" t="str">
        <x:v>0.7523990667939473</x:v>
      </x:c>
      <x:c r="AV398" s="6" t="str">
        <x:v>2.9360299183525083</x:v>
      </x:c>
      <x:c r="AW398" s="6" t="str">
        <x:v>-0.2419836666678683</x:v>
      </x:c>
      <x:c r="AX398" s="6" t="str">
        <x:v>1.1488151061595289</x:v>
      </x:c>
      <x:c r="AY398" s="6" t="str">
        <x:v>0</x:v>
      </x:c>
      <x:c r="AZ398" s="6" t="str">
        <x:v>0</x:v>
      </x:c>
      <x:c r="BA398" s="9" t="str">
        <x:v>grid_cells_within_BIG_polygon</x:v>
      </x:c>
      <x:c r="BB398" s="6" t="str">
        <x:v>1</x:v>
      </x:c>
      <x:c r="BC398" s="6" t="str">
        <x:v>6</x:v>
      </x:c>
      <x:c r="BD398" s="6" t="str">
        <x:v>6</x:v>
      </x:c>
      <x:c r="BE398" s="6" t="str">
        <x:v>0</x:v>
      </x:c>
      <x:c r="BF398" s="6" t="str">
        <x:v>4</x:v>
      </x:c>
      <x:c r="BG398" s="6" t="str">
        <x:v>2</x:v>
      </x:c>
      <x:c r="BH398" s="6" t="str">
        <x:v>0</x:v>
      </x:c>
      <x:c r="BI398" s="6" t="str">
        <x:v>0</x:v>
      </x:c>
      <x:c r="BJ398" s="6" t="str">
        <x:v>0</x:v>
      </x:c>
      <x:c r="BK398" s="6" t="str">
        <x:v>0</x:v>
      </x:c>
      <x:c r="BL398" s="6" t="str">
        <x:v>0</x:v>
      </x:c>
      <x:c r="BM398" s="6" t="str">
        <x:v>0</x:v>
      </x:c>
      <x:c r="BN398" s="6" t="str">
        <x:v>6</x:v>
      </x:c>
      <x:c r="BO398" s="6" t="str">
        <x:v>9.0</x:v>
      </x:c>
      <x:c r="BP398" s="6" t="str">
        <x:v>6</x:v>
      </x:c>
      <x:c r="BQ398" s="6" t="str">
        <x:v>7.0</x:v>
      </x:c>
      <x:c r="BR398" s="6" t="str">
        <x:v>6</x:v>
      </x:c>
      <x:c r="BS398" s="6" t="str">
        <x:v>50.0</x:v>
      </x:c>
      <x:c r="BT398" s="6" t="str">
        <x:v>6</x:v>
      </x:c>
      <x:c r="BU398" s="6" t="str"/>
      <x:c r="BV398" s="6" t="str">
        <x:v>0</x:v>
      </x:c>
      <x:c r="BW398" s="9" t="str">
        <x:v>operational_snapshot_annual_totals_may_differ</x:v>
      </x:c>
      <x:c r="BX398" s="9" t="str">
        <x:v>official_live_dashboard_snapshot_subject_to_revision</x:v>
      </x:c>
      <x:c r="BY398" s="9" t="str">
        <x:v>https://tbdashboard.sitb.id/ss_data_tbc03so_2025_provinsi_bulanan_list.php</x:v>
      </x:c>
      <x:c r="BZ398" s="6" t="n">
        <x:v>46246.610671296294</x:v>
      </x:c>
    </x:row>
    <x:row r="399" ht="18" customHeight="1">
      <x:c r="A399" s="6" t="str">
        <x:v>51</x:v>
      </x:c>
      <x:c r="B399" s="6" t="str">
        <x:v>BALI</x:v>
      </x:c>
      <x:c r="C399" s="6" t="str">
        <x:v>2025</x:v>
      </x:c>
      <x:c r="D399" s="6" t="str">
        <x:v>2</x:v>
      </x:c>
      <x:c r="E399" s="6" t="str">
        <x:v>2025-02</x:v>
      </x:c>
      <x:c r="F399" s="6" t="str">
        <x:v>403</x:v>
      </x:c>
      <x:c r="G399" s="6" t="str">
        <x:v>179</x:v>
      </x:c>
      <x:c r="H399" s="6" t="str">
        <x:v>137</x:v>
      </x:c>
      <x:c r="I399" s="6" t="str">
        <x:v>27</x:v>
      </x:c>
      <x:c r="J399" s="6" t="str">
        <x:v>48</x:v>
      </x:c>
      <x:c r="K399" s="6" t="str">
        <x:v>7</x:v>
      </x:c>
      <x:c r="L399" s="6" t="str">
        <x:v>0</x:v>
      </x:c>
      <x:c r="M399" s="6" t="str">
        <x:v>5</x:v>
      </x:c>
      <x:c r="N399" s="6" t="str">
        <x:v>403</x:v>
      </x:c>
      <x:c r="O399" s="6" t="str">
        <x:v>0</x:v>
      </x:c>
      <x:c r="P399" s="10" t="n">
        <x:f>F399-M399</x:f>
        <x:v>398</x:v>
      </x:c>
      <x:c r="Q399" s="11" t="n">
        <x:f>IFERROR(M399/F399,"")</x:f>
        <x:v>0.01240694789081886</x:v>
      </x:c>
      <x:c r="R399" s="10" t="n">
        <x:f>G399+H399</x:f>
        <x:v>316</x:v>
      </x:c>
      <x:c r="S399" s="11" t="n">
        <x:f>IFERROR(R399/F399,"")</x:f>
        <x:v>0.7841191066997518</x:v>
      </x:c>
      <x:c r="T399" s="11" t="n">
        <x:f>IFERROR(R399/P399,"")</x:f>
        <x:v>0.7939698492462312</x:v>
      </x:c>
      <x:c r="U399" s="10" t="n">
        <x:f>I399+J399+K399</x:f>
        <x:v>82</x:v>
      </x:c>
      <x:c r="V399" s="11" t="n">
        <x:f>IFERROR(U399/P399,"")</x:f>
        <x:v>0.20603015075376885</x:v>
      </x:c>
      <x:c r="W399" s="9" t="str">
        <x:v>mature_le_5pct_pending</x:v>
      </x:c>
      <x:c r="X399" s="12" t="n">
        <x:f>IFERROR(F399/Z399*100000,"")</x:f>
        <x:v>9.033241431869635</x:v>
      </x:c>
      <x:c r="Y399" s="13" t="n">
        <x:f>LN(Z399)</x:f>
        <x:v>15.310950761344884</x:v>
      </x:c>
      <x:c r="Z399" s="6" t="str">
        <x:v>4461300</x:v>
      </x:c>
      <x:c r="AA399" s="6" t="str">
        <x:v>798.0</x:v>
      </x:c>
      <x:c r="AB399" s="9" t="str">
        <x:v>2025-06-30</x:v>
      </x:c>
      <x:c r="AC399" s="8" t="str">
        <x:v>98.2</x:v>
      </x:c>
      <x:c r="AD399" s="9" t="str">
        <x:v>2025 (Susenas)</x:v>
      </x:c>
      <x:c r="AE399" s="8" t="str">
        <x:v>3.72</x:v>
      </x:c>
      <x:c r="AF399" s="9" t="str">
        <x:v>Maret 2025 (Susenas)</x:v>
      </x:c>
      <x:c r="AG399" s="6" t="str">
        <x:v>25.78</x:v>
      </x:c>
      <x:c r="AH399" s="8" t="str">
        <x:v>87.53</x:v>
      </x:c>
      <x:c r="AI399" s="6" t="str">
        <x:v>266.0</x:v>
      </x:c>
      <x:c r="AJ399" s="6" t="str">
        <x:v>0.3936666666666681</x:v>
      </x:c>
      <x:c r="AK399" s="8" t="str">
        <x:v>0.7317651183758013</x:v>
      </x:c>
      <x:c r="AL399" s="6" t="str">
        <x:v>-0.0435520299329124</x:v>
      </x:c>
      <x:c r="AM399" s="6" t="str">
        <x:v>0.5626251675411449</x:v>
      </x:c>
      <x:c r="AN399" s="6" t="str">
        <x:v>0.4169460853280116</x:v>
      </x:c>
      <x:c r="AO399" s="6" t="str">
        <x:v>0.8576666666666597</x:v>
      </x:c>
      <x:c r="AP399" s="8" t="str">
        <x:v>0.3773572760905548</x:v>
      </x:c>
      <x:c r="AQ399" s="6" t="str">
        <x:v>1.094710978828748</x:v>
      </x:c>
      <x:c r="AR399" s="6" t="str">
        <x:v>1.0455668522688493</x:v>
      </x:c>
      <x:c r="AS399" s="6" t="str">
        <x:v>0.8392117023960509</x:v>
      </x:c>
      <x:c r="AT399" s="6" t="str">
        <x:v>15.628000000000014</x:v>
      </x:c>
      <x:c r="AU399" s="8" t="str">
        <x:v>0.1943584445629592</x:v>
      </x:c>
      <x:c r="AV399" s="6" t="str">
        <x:v>0.7523990667939473</x:v>
      </x:c>
      <x:c r="AW399" s="6" t="str">
        <x:v>2.9360299183525083</x:v>
      </x:c>
      <x:c r="AX399" s="6" t="str">
        <x:v>1.2942624765698043</x:v>
      </x:c>
      <x:c r="AY399" s="6" t="str">
        <x:v>0</x:v>
      </x:c>
      <x:c r="AZ399" s="6" t="str">
        <x:v>0</x:v>
      </x:c>
      <x:c r="BA399" s="9" t="str">
        <x:v>grid_cells_within_BIG_polygon</x:v>
      </x:c>
      <x:c r="BB399" s="6" t="str">
        <x:v>1</x:v>
      </x:c>
      <x:c r="BC399" s="6" t="str">
        <x:v>7</x:v>
      </x:c>
      <x:c r="BD399" s="6" t="str">
        <x:v>7</x:v>
      </x:c>
      <x:c r="BE399" s="6" t="str">
        <x:v>0</x:v>
      </x:c>
      <x:c r="BF399" s="6" t="str">
        <x:v>0</x:v>
      </x:c>
      <x:c r="BG399" s="6" t="str">
        <x:v>7</x:v>
      </x:c>
      <x:c r="BH399" s="6" t="str">
        <x:v>0</x:v>
      </x:c>
      <x:c r="BI399" s="6" t="str">
        <x:v>0</x:v>
      </x:c>
      <x:c r="BJ399" s="6" t="str">
        <x:v>0</x:v>
      </x:c>
      <x:c r="BK399" s="6" t="str">
        <x:v>0</x:v>
      </x:c>
      <x:c r="BL399" s="6" t="str">
        <x:v>0</x:v>
      </x:c>
      <x:c r="BM399" s="6" t="str">
        <x:v>0</x:v>
      </x:c>
      <x:c r="BN399" s="6" t="str">
        <x:v>7</x:v>
      </x:c>
      <x:c r="BO399" s="6" t="str">
        <x:v>5.0</x:v>
      </x:c>
      <x:c r="BP399" s="6" t="str">
        <x:v>7</x:v>
      </x:c>
      <x:c r="BQ399" s="6" t="str">
        <x:v>6.0</x:v>
      </x:c>
      <x:c r="BR399" s="6" t="str">
        <x:v>7</x:v>
      </x:c>
      <x:c r="BS399" s="6" t="str">
        <x:v>61.0</x:v>
      </x:c>
      <x:c r="BT399" s="6" t="str">
        <x:v>7</x:v>
      </x:c>
      <x:c r="BU399" s="6" t="str"/>
      <x:c r="BV399" s="6" t="str">
        <x:v>0</x:v>
      </x:c>
      <x:c r="BW399" s="9" t="str">
        <x:v>operational_snapshot_annual_totals_may_differ</x:v>
      </x:c>
      <x:c r="BX399" s="9" t="str">
        <x:v>official_live_dashboard_snapshot_subject_to_revision</x:v>
      </x:c>
      <x:c r="BY399" s="9" t="str">
        <x:v>https://tbdashboard.sitb.id/ss_data_tbc03so_2025_provinsi_bulanan_list.php</x:v>
      </x:c>
      <x:c r="BZ399" s="6" t="n">
        <x:v>46246.610671296294</x:v>
      </x:c>
    </x:row>
    <x:row r="400" ht="18" customHeight="1">
      <x:c r="A400" s="6" t="str">
        <x:v>51</x:v>
      </x:c>
      <x:c r="B400" s="6" t="str">
        <x:v>BALI</x:v>
      </x:c>
      <x:c r="C400" s="6" t="str">
        <x:v>2025</x:v>
      </x:c>
      <x:c r="D400" s="6" t="str">
        <x:v>3</x:v>
      </x:c>
      <x:c r="E400" s="6" t="str">
        <x:v>2025-03</x:v>
      </x:c>
      <x:c r="F400" s="6" t="str">
        <x:v>384</x:v>
      </x:c>
      <x:c r="G400" s="6" t="str">
        <x:v>173</x:v>
      </x:c>
      <x:c r="H400" s="6" t="str">
        <x:v>152</x:v>
      </x:c>
      <x:c r="I400" s="6" t="str">
        <x:v>21</x:v>
      </x:c>
      <x:c r="J400" s="6" t="str">
        <x:v>28</x:v>
      </x:c>
      <x:c r="K400" s="6" t="str">
        <x:v>2</x:v>
      </x:c>
      <x:c r="L400" s="6" t="str">
        <x:v>1</x:v>
      </x:c>
      <x:c r="M400" s="6" t="str">
        <x:v>7</x:v>
      </x:c>
      <x:c r="N400" s="6" t="str">
        <x:v>384</x:v>
      </x:c>
      <x:c r="O400" s="6" t="str">
        <x:v>0</x:v>
      </x:c>
      <x:c r="P400" s="10" t="n">
        <x:f>F400-M400</x:f>
        <x:v>377</x:v>
      </x:c>
      <x:c r="Q400" s="11" t="n">
        <x:f>IFERROR(M400/F400,"")</x:f>
        <x:v>0.018229166666666668</x:v>
      </x:c>
      <x:c r="R400" s="10" t="n">
        <x:f>G400+H400</x:f>
        <x:v>325</x:v>
      </x:c>
      <x:c r="S400" s="11" t="n">
        <x:f>IFERROR(R400/F400,"")</x:f>
        <x:v>0.8463541666666666</x:v>
      </x:c>
      <x:c r="T400" s="11" t="n">
        <x:f>IFERROR(R400/P400,"")</x:f>
        <x:v>0.8620689655172413</x:v>
      </x:c>
      <x:c r="U400" s="10" t="n">
        <x:f>I400+J400+K400</x:f>
        <x:v>51</x:v>
      </x:c>
      <x:c r="V400" s="11" t="n">
        <x:f>IFERROR(U400/P400,"")</x:f>
        <x:v>0.13527851458885942</x:v>
      </x:c>
      <x:c r="W400" s="9" t="str">
        <x:v>mature_le_5pct_pending</x:v>
      </x:c>
      <x:c r="X400" s="12" t="n">
        <x:f>IFERROR(F400/Z400*100000,"")</x:f>
        <x:v>8.607356600094143</x:v>
      </x:c>
      <x:c r="Y400" s="13" t="n">
        <x:f>LN(Z400)</x:f>
        <x:v>15.310950761344884</x:v>
      </x:c>
      <x:c r="Z400" s="6" t="str">
        <x:v>4461300</x:v>
      </x:c>
      <x:c r="AA400" s="6" t="str">
        <x:v>798.0</x:v>
      </x:c>
      <x:c r="AB400" s="9" t="str">
        <x:v>2025-06-30</x:v>
      </x:c>
      <x:c r="AC400" s="8" t="str">
        <x:v>98.2</x:v>
      </x:c>
      <x:c r="AD400" s="9" t="str">
        <x:v>2025 (Susenas)</x:v>
      </x:c>
      <x:c r="AE400" s="8" t="str">
        <x:v>3.72</x:v>
      </x:c>
      <x:c r="AF400" s="9" t="str">
        <x:v>Maret 2025 (Susenas)</x:v>
      </x:c>
      <x:c r="AG400" s="6" t="str">
        <x:v>25.99</x:v>
      </x:c>
      <x:c r="AH400" s="8" t="str">
        <x:v>86.73</x:v>
      </x:c>
      <x:c r="AI400" s="6" t="str">
        <x:v>307.83</x:v>
      </x:c>
      <x:c r="AJ400" s="6" t="str">
        <x:v>0.4373333333333313</x:v>
      </x:c>
      <x:c r="AK400" s="8" t="str">
        <x:v>0.8688388269584909</x:v>
      </x:c>
      <x:c r="AL400" s="6" t="str">
        <x:v>0.7317651183758013</x:v>
      </x:c>
      <x:c r="AM400" s="6" t="str">
        <x:v>-0.0435520299329124</x:v>
      </x:c>
      <x:c r="AN400" s="6" t="str">
        <x:v>0.5190173051337935</x:v>
      </x:c>
      <x:c r="AO400" s="6" t="str">
        <x:v>0.9909999999999995</x:v>
      </x:c>
      <x:c r="AP400" s="8" t="str">
        <x:v>0.4627687518392102</x:v>
      </x:c>
      <x:c r="AQ400" s="6" t="str">
        <x:v>0.3773572760905548</x:v>
      </x:c>
      <x:c r="AR400" s="6" t="str">
        <x:v>1.094710978828748</x:v>
      </x:c>
      <x:c r="AS400" s="6" t="str">
        <x:v>0.6449456689195047</x:v>
      </x:c>
      <x:c r="AT400" s="6" t="str">
        <x:v>118.141</x:v>
      </x:c>
      <x:c r="AU400" s="8" t="str">
        <x:v>1.4729286135829889</x:v>
      </x:c>
      <x:c r="AV400" s="6" t="str">
        <x:v>0.1943584445629592</x:v>
      </x:c>
      <x:c r="AW400" s="6" t="str">
        <x:v>0.7523990667939473</x:v>
      </x:c>
      <x:c r="AX400" s="6" t="str">
        <x:v>0.8065620416466315</x:v>
      </x:c>
      <x:c r="AY400" s="6" t="str">
        <x:v>1</x:v>
      </x:c>
      <x:c r="AZ400" s="6" t="str">
        <x:v>0</x:v>
      </x:c>
      <x:c r="BA400" s="9" t="str">
        <x:v>grid_cells_within_BIG_polygon</x:v>
      </x:c>
      <x:c r="BB400" s="6" t="str">
        <x:v>1</x:v>
      </x:c>
      <x:c r="BC400" s="6" t="str">
        <x:v>11</x:v>
      </x:c>
      <x:c r="BD400" s="6" t="str">
        <x:v>11</x:v>
      </x:c>
      <x:c r="BE400" s="6" t="str">
        <x:v>1</x:v>
      </x:c>
      <x:c r="BF400" s="6" t="str">
        <x:v>0</x:v>
      </x:c>
      <x:c r="BG400" s="6" t="str">
        <x:v>10</x:v>
      </x:c>
      <x:c r="BH400" s="6" t="str">
        <x:v>0</x:v>
      </x:c>
      <x:c r="BI400" s="6" t="str">
        <x:v>0</x:v>
      </x:c>
      <x:c r="BJ400" s="6" t="str">
        <x:v>0</x:v>
      </x:c>
      <x:c r="BK400" s="6" t="str">
        <x:v>0</x:v>
      </x:c>
      <x:c r="BL400" s="6" t="str">
        <x:v>0</x:v>
      </x:c>
      <x:c r="BM400" s="6" t="str">
        <x:v>0</x:v>
      </x:c>
      <x:c r="BN400" s="6" t="str">
        <x:v>11</x:v>
      </x:c>
      <x:c r="BO400" s="6" t="str">
        <x:v>7.0</x:v>
      </x:c>
      <x:c r="BP400" s="6" t="str">
        <x:v>11</x:v>
      </x:c>
      <x:c r="BQ400" s="6" t="str">
        <x:v>4.0</x:v>
      </x:c>
      <x:c r="BR400" s="6" t="str">
        <x:v>11</x:v>
      </x:c>
      <x:c r="BS400" s="6" t="str">
        <x:v>45.0</x:v>
      </x:c>
      <x:c r="BT400" s="6" t="str">
        <x:v>11</x:v>
      </x:c>
      <x:c r="BU400" s="6" t="str"/>
      <x:c r="BV400" s="6" t="str">
        <x:v>0</x:v>
      </x:c>
      <x:c r="BW400" s="9" t="str">
        <x:v>operational_snapshot_annual_totals_may_differ</x:v>
      </x:c>
      <x:c r="BX400" s="9" t="str">
        <x:v>official_live_dashboard_snapshot_subject_to_revision</x:v>
      </x:c>
      <x:c r="BY400" s="9" t="str">
        <x:v>https://tbdashboard.sitb.id/ss_data_tbc03so_2025_provinsi_bulanan_list.php</x:v>
      </x:c>
      <x:c r="BZ400" s="6" t="n">
        <x:v>46246.610671296294</x:v>
      </x:c>
    </x:row>
    <x:row r="401" ht="18" customHeight="1">
      <x:c r="A401" s="6" t="str">
        <x:v>51</x:v>
      </x:c>
      <x:c r="B401" s="6" t="str">
        <x:v>BALI</x:v>
      </x:c>
      <x:c r="C401" s="6" t="str">
        <x:v>2025</x:v>
      </x:c>
      <x:c r="D401" s="6" t="str">
        <x:v>4</x:v>
      </x:c>
      <x:c r="E401" s="6" t="str">
        <x:v>2025-04</x:v>
      </x:c>
      <x:c r="F401" s="6" t="str">
        <x:v>403</x:v>
      </x:c>
      <x:c r="G401" s="6" t="str">
        <x:v>166</x:v>
      </x:c>
      <x:c r="H401" s="6" t="str">
        <x:v>140</x:v>
      </x:c>
      <x:c r="I401" s="6" t="str">
        <x:v>33</x:v>
      </x:c>
      <x:c r="J401" s="6" t="str">
        <x:v>47</x:v>
      </x:c>
      <x:c r="K401" s="6" t="str">
        <x:v>0</x:v>
      </x:c>
      <x:c r="L401" s="6" t="str">
        <x:v>1</x:v>
      </x:c>
      <x:c r="M401" s="6" t="str">
        <x:v>16</x:v>
      </x:c>
      <x:c r="N401" s="6" t="str">
        <x:v>403</x:v>
      </x:c>
      <x:c r="O401" s="6" t="str">
        <x:v>0</x:v>
      </x:c>
      <x:c r="P401" s="10" t="n">
        <x:f>F401-M401</x:f>
        <x:v>387</x:v>
      </x:c>
      <x:c r="Q401" s="11" t="n">
        <x:f>IFERROR(M401/F401,"")</x:f>
        <x:v>0.03970223325062035</x:v>
      </x:c>
      <x:c r="R401" s="10" t="n">
        <x:f>G401+H401</x:f>
        <x:v>306</x:v>
      </x:c>
      <x:c r="S401" s="11" t="n">
        <x:f>IFERROR(R401/F401,"")</x:f>
        <x:v>0.7593052109181141</x:v>
      </x:c>
      <x:c r="T401" s="11" t="n">
        <x:f>IFERROR(R401/P401,"")</x:f>
        <x:v>0.7906976744186046</x:v>
      </x:c>
      <x:c r="U401" s="10" t="n">
        <x:f>I401+J401+K401</x:f>
        <x:v>80</x:v>
      </x:c>
      <x:c r="V401" s="11" t="n">
        <x:f>IFERROR(U401/P401,"")</x:f>
        <x:v>0.20671834625322996</x:v>
      </x:c>
      <x:c r="W401" s="9" t="str">
        <x:v>mature_le_5pct_pending</x:v>
      </x:c>
      <x:c r="X401" s="12" t="n">
        <x:f>IFERROR(F401/Z401*100000,"")</x:f>
        <x:v>9.033241431869635</x:v>
      </x:c>
      <x:c r="Y401" s="13" t="n">
        <x:f>LN(Z401)</x:f>
        <x:v>15.310950761344884</x:v>
      </x:c>
      <x:c r="Z401" s="6" t="str">
        <x:v>4461300</x:v>
      </x:c>
      <x:c r="AA401" s="6" t="str">
        <x:v>798.0</x:v>
      </x:c>
      <x:c r="AB401" s="9" t="str">
        <x:v>2025-06-30</x:v>
      </x:c>
      <x:c r="AC401" s="8" t="str">
        <x:v>98.2</x:v>
      </x:c>
      <x:c r="AD401" s="9" t="str">
        <x:v>2025 (Susenas)</x:v>
      </x:c>
      <x:c r="AE401" s="8" t="str">
        <x:v>3.72</x:v>
      </x:c>
      <x:c r="AF401" s="9" t="str">
        <x:v>Maret 2025 (Susenas)</x:v>
      </x:c>
      <x:c r="AG401" s="6" t="str">
        <x:v>25.79</x:v>
      </x:c>
      <x:c r="AH401" s="8" t="str">
        <x:v>83.76</x:v>
      </x:c>
      <x:c r="AI401" s="6" t="str">
        <x:v>165.6</x:v>
      </x:c>
      <x:c r="AJ401" s="6" t="str">
        <x:v>0.2010000000000005</x:v>
      </x:c>
      <x:c r="AK401" s="8" t="str">
        <x:v>0.441730835500968</x:v>
      </x:c>
      <x:c r="AL401" s="6" t="str">
        <x:v>0.8688388269584909</x:v>
      </x:c>
      <x:c r="AM401" s="6" t="str">
        <x:v>0.7317651183758013</x:v>
      </x:c>
      <x:c r="AN401" s="6" t="str">
        <x:v>0.6807782602784204</x:v>
      </x:c>
      <x:c r="AO401" s="6" t="str">
        <x:v>-1.745666666666665</x:v>
      </x:c>
      <x:c r="AP401" s="8" t="str">
        <x:v>-1.3600753992981505</x:v>
      </x:c>
      <x:c r="AQ401" s="6" t="str">
        <x:v>0.4627687518392102</x:v>
      </x:c>
      <x:c r="AR401" s="6" t="str">
        <x:v>0.3773572760905548</x:v>
      </x:c>
      <x:c r="AS401" s="6" t="str">
        <x:v>-0.1733164571227948</x:v>
      </x:c>
      <x:c r="AT401" s="6" t="str">
        <x:v>34.78</x:v>
      </x:c>
      <x:c r="AU401" s="8" t="str">
        <x:v>0.4665863839109335</x:v>
      </x:c>
      <x:c r="AV401" s="6" t="str">
        <x:v>1.4729286135829889</x:v>
      </x:c>
      <x:c r="AW401" s="6" t="str">
        <x:v>0.1943584445629592</x:v>
      </x:c>
      <x:c r="AX401" s="6" t="str">
        <x:v>0.7112911473522935</x:v>
      </x:c>
      <x:c r="AY401" s="6" t="str">
        <x:v>0</x:v>
      </x:c>
      <x:c r="AZ401" s="6" t="str">
        <x:v>0</x:v>
      </x:c>
      <x:c r="BA401" s="9" t="str">
        <x:v>grid_cells_within_BIG_polygon</x:v>
      </x:c>
      <x:c r="BB401" s="6" t="str">
        <x:v>1</x:v>
      </x:c>
      <x:c r="BC401" s="6" t="str">
        <x:v>0</x:v>
      </x:c>
      <x:c r="BD401" s="6" t="str">
        <x:v>0</x:v>
      </x:c>
      <x:c r="BE401" s="6" t="str">
        <x:v>0</x:v>
      </x:c>
      <x:c r="BF401" s="6" t="str">
        <x:v>0</x:v>
      </x:c>
      <x:c r="BG401" s="6" t="str">
        <x:v>0</x:v>
      </x:c>
      <x:c r="BH401" s="6" t="str">
        <x:v>0</x:v>
      </x:c>
      <x:c r="BI401" s="6" t="str">
        <x:v>0</x:v>
      </x:c>
      <x:c r="BJ401" s="6" t="str">
        <x:v>0</x:v>
      </x:c>
      <x:c r="BK401" s="6" t="str">
        <x:v>0</x:v>
      </x:c>
      <x:c r="BL401" s="6" t="str">
        <x:v>0</x:v>
      </x:c>
      <x:c r="BM401" s="6" t="str">
        <x:v>0</x:v>
      </x:c>
      <x:c r="BN401" s="6" t="str">
        <x:v>0</x:v>
      </x:c>
      <x:c r="BO401" s="6" t="str"/>
      <x:c r="BP401" s="6" t="str">
        <x:v>0</x:v>
      </x:c>
      <x:c r="BQ401" s="6" t="str"/>
      <x:c r="BR401" s="6" t="str">
        <x:v>0</x:v>
      </x:c>
      <x:c r="BS401" s="6" t="str"/>
      <x:c r="BT401" s="6" t="str">
        <x:v>0</x:v>
      </x:c>
      <x:c r="BU401" s="6" t="str"/>
      <x:c r="BV401" s="6" t="str">
        <x:v>0</x:v>
      </x:c>
      <x:c r="BW401" s="9" t="str">
        <x:v>operational_snapshot_annual_totals_may_differ</x:v>
      </x:c>
      <x:c r="BX401" s="9" t="str">
        <x:v>official_live_dashboard_snapshot_subject_to_revision</x:v>
      </x:c>
      <x:c r="BY401" s="9" t="str">
        <x:v>https://tbdashboard.sitb.id/ss_data_tbc03so_2025_provinsi_bulanan_list.php</x:v>
      </x:c>
      <x:c r="BZ401" s="6" t="n">
        <x:v>46246.610671296294</x:v>
      </x:c>
    </x:row>
    <x:row r="402" ht="18" customHeight="1">
      <x:c r="A402" s="6" t="str">
        <x:v>51</x:v>
      </x:c>
      <x:c r="B402" s="6" t="str">
        <x:v>BALI</x:v>
      </x:c>
      <x:c r="C402" s="6" t="str">
        <x:v>2025</x:v>
      </x:c>
      <x:c r="D402" s="6" t="str">
        <x:v>5</x:v>
      </x:c>
      <x:c r="E402" s="6" t="str">
        <x:v>2025-05</x:v>
      </x:c>
      <x:c r="F402" s="6" t="str">
        <x:v>417</x:v>
      </x:c>
      <x:c r="G402" s="6" t="str">
        <x:v>164</x:v>
      </x:c>
      <x:c r="H402" s="6" t="str">
        <x:v>161</x:v>
      </x:c>
      <x:c r="I402" s="6" t="str">
        <x:v>38</x:v>
      </x:c>
      <x:c r="J402" s="6" t="str">
        <x:v>34</x:v>
      </x:c>
      <x:c r="K402" s="6" t="str">
        <x:v>4</x:v>
      </x:c>
      <x:c r="L402" s="6" t="str">
        <x:v>0</x:v>
      </x:c>
      <x:c r="M402" s="6" t="str">
        <x:v>16</x:v>
      </x:c>
      <x:c r="N402" s="6" t="str">
        <x:v>417</x:v>
      </x:c>
      <x:c r="O402" s="6" t="str">
        <x:v>0</x:v>
      </x:c>
      <x:c r="P402" s="10" t="n">
        <x:f>F402-M402</x:f>
        <x:v>401</x:v>
      </x:c>
      <x:c r="Q402" s="11" t="n">
        <x:f>IFERROR(M402/F402,"")</x:f>
        <x:v>0.03836930455635491</x:v>
      </x:c>
      <x:c r="R402" s="10" t="n">
        <x:f>G402+H402</x:f>
        <x:v>325</x:v>
      </x:c>
      <x:c r="S402" s="11" t="n">
        <x:f>IFERROR(R402/F402,"")</x:f>
        <x:v>0.7793764988009593</x:v>
      </x:c>
      <x:c r="T402" s="11" t="n">
        <x:f>IFERROR(R402/P402,"")</x:f>
        <x:v>0.8104738154613467</x:v>
      </x:c>
      <x:c r="U402" s="10" t="n">
        <x:f>I402+J402+K402</x:f>
        <x:v>76</x:v>
      </x:c>
      <x:c r="V402" s="11" t="n">
        <x:f>IFERROR(U402/P402,"")</x:f>
        <x:v>0.18952618453865336</x:v>
      </x:c>
      <x:c r="W402" s="9" t="str">
        <x:v>mature_le_5pct_pending</x:v>
      </x:c>
      <x:c r="X402" s="12" t="n">
        <x:f>IFERROR(F402/Z402*100000,"")</x:f>
        <x:v>9.347051307914734</x:v>
      </x:c>
      <x:c r="Y402" s="13" t="n">
        <x:f>LN(Z402)</x:f>
        <x:v>15.310950761344884</x:v>
      </x:c>
      <x:c r="Z402" s="6" t="str">
        <x:v>4461300</x:v>
      </x:c>
      <x:c r="AA402" s="6" t="str">
        <x:v>798.0</x:v>
      </x:c>
      <x:c r="AB402" s="9" t="str">
        <x:v>2025-06-30</x:v>
      </x:c>
      <x:c r="AC402" s="8" t="str">
        <x:v>98.2</x:v>
      </x:c>
      <x:c r="AD402" s="9" t="str">
        <x:v>2025 (Susenas)</x:v>
      </x:c>
      <x:c r="AE402" s="8" t="str">
        <x:v>3.72</x:v>
      </x:c>
      <x:c r="AF402" s="9" t="str">
        <x:v>Maret 2025 (Susenas)</x:v>
      </x:c>
      <x:c r="AG402" s="6" t="str">
        <x:v>25.75</x:v>
      </x:c>
      <x:c r="AH402" s="8" t="str">
        <x:v>87.65999999999998</x:v>
      </x:c>
      <x:c r="AI402" s="6" t="str">
        <x:v>154.69</x:v>
      </x:c>
      <x:c r="AJ402" s="6" t="str">
        <x:v>0.7513333333333314</x:v>
      </x:c>
      <x:c r="AK402" s="8" t="str">
        <x:v>1.3342093778304358</x:v>
      </x:c>
      <x:c r="AL402" s="6" t="str">
        <x:v>0.441730835500968</x:v>
      </x:c>
      <x:c r="AM402" s="6" t="str">
        <x:v>0.8688388269584909</x:v>
      </x:c>
      <x:c r="AN402" s="6" t="str">
        <x:v>0.8815930134299652</x:v>
      </x:c>
      <x:c r="AO402" s="6" t="str">
        <x:v>2.897333333333308</x:v>
      </x:c>
      <x:c r="AP402" s="8" t="str">
        <x:v>1.6769023240485796</x:v>
      </x:c>
      <x:c r="AQ402" s="6" t="str">
        <x:v>-1.3600753992981505</x:v>
      </x:c>
      <x:c r="AR402" s="6" t="str">
        <x:v>0.4627687518392102</x:v>
      </x:c>
      <x:c r="AS402" s="6" t="str">
        <x:v>0.2598652255298801</x:v>
      </x:c>
      <x:c r="AT402" s="6" t="str">
        <x:v>80.30033333333333</x:v>
      </x:c>
      <x:c r="AU402" s="8" t="str">
        <x:v>1.4732004173537625</x:v>
      </x:c>
      <x:c r="AV402" s="6" t="str">
        <x:v>0.4665863839109335</x:v>
      </x:c>
      <x:c r="AW402" s="6" t="str">
        <x:v>1.4729286135829889</x:v>
      </x:c>
      <x:c r="AX402" s="6" t="str">
        <x:v>1.1375718049492278</x:v>
      </x:c>
      <x:c r="AY402" s="6" t="str">
        <x:v>1</x:v>
      </x:c>
      <x:c r="AZ402" s="6" t="str">
        <x:v>1</x:v>
      </x:c>
      <x:c r="BA402" s="9" t="str">
        <x:v>grid_cells_within_BIG_polygon</x:v>
      </x:c>
      <x:c r="BB402" s="6" t="str">
        <x:v>1</x:v>
      </x:c>
      <x:c r="BC402" s="6" t="str">
        <x:v>1</x:v>
      </x:c>
      <x:c r="BD402" s="6" t="str">
        <x:v>1</x:v>
      </x:c>
      <x:c r="BE402" s="6" t="str">
        <x:v>0</x:v>
      </x:c>
      <x:c r="BF402" s="6" t="str">
        <x:v>0</x:v>
      </x:c>
      <x:c r="BG402" s="6" t="str">
        <x:v>0</x:v>
      </x:c>
      <x:c r="BH402" s="6" t="str">
        <x:v>0</x:v>
      </x:c>
      <x:c r="BI402" s="6" t="str">
        <x:v>1</x:v>
      </x:c>
      <x:c r="BJ402" s="6" t="str">
        <x:v>0</x:v>
      </x:c>
      <x:c r="BK402" s="6" t="str">
        <x:v>0</x:v>
      </x:c>
      <x:c r="BL402" s="6" t="str">
        <x:v>0</x:v>
      </x:c>
      <x:c r="BM402" s="6" t="str">
        <x:v>0</x:v>
      </x:c>
      <x:c r="BN402" s="6" t="str">
        <x:v>1</x:v>
      </x:c>
      <x:c r="BO402" s="6" t="str">
        <x:v>0.0</x:v>
      </x:c>
      <x:c r="BP402" s="6" t="str">
        <x:v>1</x:v>
      </x:c>
      <x:c r="BQ402" s="6" t="str">
        <x:v>0.0</x:v>
      </x:c>
      <x:c r="BR402" s="6" t="str">
        <x:v>1</x:v>
      </x:c>
      <x:c r="BS402" s="6" t="str">
        <x:v>31.0</x:v>
      </x:c>
      <x:c r="BT402" s="6" t="str">
        <x:v>1</x:v>
      </x:c>
      <x:c r="BU402" s="6" t="str"/>
      <x:c r="BV402" s="6" t="str">
        <x:v>0</x:v>
      </x:c>
      <x:c r="BW402" s="9" t="str">
        <x:v>operational_snapshot_annual_totals_may_differ</x:v>
      </x:c>
      <x:c r="BX402" s="9" t="str">
        <x:v>official_live_dashboard_snapshot_subject_to_revision</x:v>
      </x:c>
      <x:c r="BY402" s="9" t="str">
        <x:v>https://tbdashboard.sitb.id/ss_data_tbc03so_2025_provinsi_bulanan_list.php</x:v>
      </x:c>
      <x:c r="BZ402" s="6" t="n">
        <x:v>46246.610671296294</x:v>
      </x:c>
    </x:row>
    <x:row r="403" ht="18" customHeight="1">
      <x:c r="A403" s="6" t="str">
        <x:v>51</x:v>
      </x:c>
      <x:c r="B403" s="6" t="str">
        <x:v>BALI</x:v>
      </x:c>
      <x:c r="C403" s="6" t="str">
        <x:v>2025</x:v>
      </x:c>
      <x:c r="D403" s="6" t="str">
        <x:v>6</x:v>
      </x:c>
      <x:c r="E403" s="6" t="str">
        <x:v>2025-06</x:v>
      </x:c>
      <x:c r="F403" s="6" t="str">
        <x:v>400</x:v>
      </x:c>
      <x:c r="G403" s="6" t="str">
        <x:v>167</x:v>
      </x:c>
      <x:c r="H403" s="6" t="str">
        <x:v>147</x:v>
      </x:c>
      <x:c r="I403" s="6" t="str">
        <x:v>24</x:v>
      </x:c>
      <x:c r="J403" s="6" t="str">
        <x:v>39</x:v>
      </x:c>
      <x:c r="K403" s="6" t="str">
        <x:v>3</x:v>
      </x:c>
      <x:c r="L403" s="6" t="str">
        <x:v>0</x:v>
      </x:c>
      <x:c r="M403" s="6" t="str">
        <x:v>20</x:v>
      </x:c>
      <x:c r="N403" s="6" t="str">
        <x:v>400</x:v>
      </x:c>
      <x:c r="O403" s="6" t="str">
        <x:v>0</x:v>
      </x:c>
      <x:c r="P403" s="10" t="n">
        <x:f>F403-M403</x:f>
        <x:v>380</x:v>
      </x:c>
      <x:c r="Q403" s="11" t="n">
        <x:f>IFERROR(M403/F403,"")</x:f>
        <x:v>0.05</x:v>
      </x:c>
      <x:c r="R403" s="10" t="n">
        <x:f>G403+H403</x:f>
        <x:v>314</x:v>
      </x:c>
      <x:c r="S403" s="11" t="n">
        <x:f>IFERROR(R403/F403,"")</x:f>
        <x:v>0.785</x:v>
      </x:c>
      <x:c r="T403" s="11" t="n">
        <x:f>IFERROR(R403/P403,"")</x:f>
        <x:v>0.8263157894736842</x:v>
      </x:c>
      <x:c r="U403" s="10" t="n">
        <x:f>I403+J403+K403</x:f>
        <x:v>66</x:v>
      </x:c>
      <x:c r="V403" s="11" t="n">
        <x:f>IFERROR(U403/P403,"")</x:f>
        <x:v>0.1736842105263158</x:v>
      </x:c>
      <x:c r="W403" s="9" t="str">
        <x:v>mature_le_5pct_pending</x:v>
      </x:c>
      <x:c r="X403" s="12" t="n">
        <x:f>IFERROR(F403/Z403*100000,"")</x:f>
        <x:v>8.965996458431398</x:v>
      </x:c>
      <x:c r="Y403" s="13" t="n">
        <x:f>LN(Z403)</x:f>
        <x:v>15.310950761344884</x:v>
      </x:c>
      <x:c r="Z403" s="6" t="str">
        <x:v>4461300</x:v>
      </x:c>
      <x:c r="AA403" s="6" t="str">
        <x:v>798.0</x:v>
      </x:c>
      <x:c r="AB403" s="9" t="str">
        <x:v>2025-06-30</x:v>
      </x:c>
      <x:c r="AC403" s="8" t="str">
        <x:v>98.2</x:v>
      </x:c>
      <x:c r="AD403" s="9" t="str">
        <x:v>2025 (Susenas)</x:v>
      </x:c>
      <x:c r="AE403" s="8" t="str">
        <x:v>3.72</x:v>
      </x:c>
      <x:c r="AF403" s="9" t="str">
        <x:v>Maret 2025 (Susenas)</x:v>
      </x:c>
      <x:c r="AG403" s="6" t="str">
        <x:v>24.91</x:v>
      </x:c>
      <x:c r="AH403" s="8" t="str">
        <x:v>85.93</x:v>
      </x:c>
      <x:c r="AI403" s="6" t="str">
        <x:v>109.5</x:v>
      </x:c>
      <x:c r="AJ403" s="6" t="str">
        <x:v>0.6656666666666666</x:v>
      </x:c>
      <x:c r="AK403" s="8" t="str">
        <x:v>0.932512766703836</x:v>
      </x:c>
      <x:c r="AL403" s="6" t="str">
        <x:v>1.3342093778304358</x:v>
      </x:c>
      <x:c r="AM403" s="6" t="str">
        <x:v>0.441730835500968</x:v>
      </x:c>
      <x:c r="AN403" s="6" t="str">
        <x:v>0.9028176600117468</x:v>
      </x:c>
      <x:c r="AO403" s="6" t="str">
        <x:v>1.5063333333333446</x:v>
      </x:c>
      <x:c r="AP403" s="8" t="str">
        <x:v>0.8654117037892565</x:v>
      </x:c>
      <x:c r="AQ403" s="6" t="str">
        <x:v>1.6769023240485796</x:v>
      </x:c>
      <x:c r="AR403" s="6" t="str">
        <x:v>-1.3600753992981505</x:v>
      </x:c>
      <x:c r="AS403" s="6" t="str">
        <x:v>0.3940795428465622</x:v>
      </x:c>
      <x:c r="AT403" s="6" t="str">
        <x:v>62.4</x:v>
      </x:c>
      <x:c r="AU403" s="8" t="str">
        <x:v>1.300357367132748</x:v>
      </x:c>
      <x:c r="AV403" s="6" t="str">
        <x:v>1.4732004173537625</x:v>
      </x:c>
      <x:c r="AW403" s="6" t="str">
        <x:v>0.4665863839109335</x:v>
      </x:c>
      <x:c r="AX403" s="6" t="str">
        <x:v>1.080048056132481</x:v>
      </x:c>
      <x:c r="AY403" s="6" t="str">
        <x:v>1</x:v>
      </x:c>
      <x:c r="AZ403" s="6" t="str">
        <x:v>0</x:v>
      </x:c>
      <x:c r="BA403" s="9" t="str">
        <x:v>grid_cells_within_BIG_polygon</x:v>
      </x:c>
      <x:c r="BB403" s="6" t="str">
        <x:v>1</x:v>
      </x:c>
      <x:c r="BC403" s="6" t="str">
        <x:v>1</x:v>
      </x:c>
      <x:c r="BD403" s="6" t="str">
        <x:v>1</x:v>
      </x:c>
      <x:c r="BE403" s="6" t="str">
        <x:v>1</x:v>
      </x:c>
      <x:c r="BF403" s="6" t="str">
        <x:v>0</x:v>
      </x:c>
      <x:c r="BG403" s="6" t="str">
        <x:v>0</x:v>
      </x:c>
      <x:c r="BH403" s="6" t="str">
        <x:v>0</x:v>
      </x:c>
      <x:c r="BI403" s="6" t="str">
        <x:v>0</x:v>
      </x:c>
      <x:c r="BJ403" s="6" t="str">
        <x:v>0</x:v>
      </x:c>
      <x:c r="BK403" s="6" t="str">
        <x:v>0</x:v>
      </x:c>
      <x:c r="BL403" s="6" t="str">
        <x:v>0</x:v>
      </x:c>
      <x:c r="BM403" s="6" t="str">
        <x:v>0</x:v>
      </x:c>
      <x:c r="BN403" s="6" t="str">
        <x:v>1</x:v>
      </x:c>
      <x:c r="BO403" s="6" t="str">
        <x:v>0.0</x:v>
      </x:c>
      <x:c r="BP403" s="6" t="str">
        <x:v>1</x:v>
      </x:c>
      <x:c r="BQ403" s="6" t="str">
        <x:v>0.0</x:v>
      </x:c>
      <x:c r="BR403" s="6" t="str">
        <x:v>1</x:v>
      </x:c>
      <x:c r="BS403" s="6" t="str">
        <x:v>0.0</x:v>
      </x:c>
      <x:c r="BT403" s="6" t="str">
        <x:v>1</x:v>
      </x:c>
      <x:c r="BU403" s="6" t="str">
        <x:v>45.0</x:v>
      </x:c>
      <x:c r="BV403" s="6" t="str">
        <x:v>1</x:v>
      </x:c>
      <x:c r="BW403" s="9" t="str">
        <x:v>operational_snapshot_annual_totals_may_differ</x:v>
      </x:c>
      <x:c r="BX403" s="9" t="str">
        <x:v>official_live_dashboard_snapshot_subject_to_revision</x:v>
      </x:c>
      <x:c r="BY403" s="9" t="str">
        <x:v>https://tbdashboard.sitb.id/ss_data_tbc03so_2025_provinsi_bulanan_list.php</x:v>
      </x:c>
      <x:c r="BZ403" s="6" t="n">
        <x:v>46246.610671296294</x:v>
      </x:c>
    </x:row>
    <x:row r="404" ht="18" customHeight="1">
      <x:c r="A404" s="6" t="str">
        <x:v>51</x:v>
      </x:c>
      <x:c r="B404" s="6" t="str">
        <x:v>BALI</x:v>
      </x:c>
      <x:c r="C404" s="6" t="str">
        <x:v>2025</x:v>
      </x:c>
      <x:c r="D404" s="6" t="str">
        <x:v>7</x:v>
      </x:c>
      <x:c r="E404" s="6" t="str">
        <x:v>2025-07</x:v>
      </x:c>
      <x:c r="F404" s="6" t="str">
        <x:v>403</x:v>
      </x:c>
      <x:c r="G404" s="6" t="str">
        <x:v>148</x:v>
      </x:c>
      <x:c r="H404" s="6" t="str">
        <x:v>169</x:v>
      </x:c>
      <x:c r="I404" s="6" t="str">
        <x:v>28</x:v>
      </x:c>
      <x:c r="J404" s="6" t="str">
        <x:v>39</x:v>
      </x:c>
      <x:c r="K404" s="6" t="str">
        <x:v>5</x:v>
      </x:c>
      <x:c r="L404" s="6" t="str">
        <x:v>0</x:v>
      </x:c>
      <x:c r="M404" s="6" t="str">
        <x:v>14</x:v>
      </x:c>
      <x:c r="N404" s="6" t="str">
        <x:v>403</x:v>
      </x:c>
      <x:c r="O404" s="6" t="str">
        <x:v>0</x:v>
      </x:c>
      <x:c r="P404" s="10" t="n">
        <x:f>F404-M404</x:f>
        <x:v>389</x:v>
      </x:c>
      <x:c r="Q404" s="11" t="n">
        <x:f>IFERROR(M404/F404,"")</x:f>
        <x:v>0.034739454094292806</x:v>
      </x:c>
      <x:c r="R404" s="10" t="n">
        <x:f>G404+H404</x:f>
        <x:v>317</x:v>
      </x:c>
      <x:c r="S404" s="11" t="n">
        <x:f>IFERROR(R404/F404,"")</x:f>
        <x:v>0.7866004962779156</x:v>
      </x:c>
      <x:c r="T404" s="11" t="n">
        <x:f>IFERROR(R404/P404,"")</x:f>
        <x:v>0.8149100257069408</x:v>
      </x:c>
      <x:c r="U404" s="10" t="n">
        <x:f>I404+J404+K404</x:f>
        <x:v>72</x:v>
      </x:c>
      <x:c r="V404" s="11" t="n">
        <x:f>IFERROR(U404/P404,"")</x:f>
        <x:v>0.18508997429305912</x:v>
      </x:c>
      <x:c r="W404" s="9" t="str">
        <x:v>mature_le_5pct_pending</x:v>
      </x:c>
      <x:c r="X404" s="12" t="n">
        <x:f>IFERROR(F404/Z404*100000,"")</x:f>
        <x:v>9.033241431869635</x:v>
      </x:c>
      <x:c r="Y404" s="13" t="n">
        <x:f>LN(Z404)</x:f>
        <x:v>15.310950761344884</x:v>
      </x:c>
      <x:c r="Z404" s="6" t="str">
        <x:v>4461300</x:v>
      </x:c>
      <x:c r="AA404" s="6" t="str">
        <x:v>798.0</x:v>
      </x:c>
      <x:c r="AB404" s="9" t="str">
        <x:v>2025-06-30</x:v>
      </x:c>
      <x:c r="AC404" s="8" t="str">
        <x:v>98.2</x:v>
      </x:c>
      <x:c r="AD404" s="9" t="str">
        <x:v>2025 (Susenas)</x:v>
      </x:c>
      <x:c r="AE404" s="8" t="str">
        <x:v>3.72</x:v>
      </x:c>
      <x:c r="AF404" s="9" t="str">
        <x:v>Maret 2025 (Susenas)</x:v>
      </x:c>
      <x:c r="AG404" s="6" t="str">
        <x:v>23.89</x:v>
      </x:c>
      <x:c r="AH404" s="8" t="str">
        <x:v>86.19</x:v>
      </x:c>
      <x:c r="AI404" s="6" t="str">
        <x:v>75.64</x:v>
      </x:c>
      <x:c r="AJ404" s="6" t="str">
        <x:v>0.3789999999999978</x:v>
      </x:c>
      <x:c r="AK404" s="8" t="str">
        <x:v>0.5220067054785077</x:v>
      </x:c>
      <x:c r="AL404" s="6" t="str">
        <x:v>0.932512766703836</x:v>
      </x:c>
      <x:c r="AM404" s="6" t="str">
        <x:v>1.3342093778304358</x:v>
      </x:c>
      <x:c r="AN404" s="6" t="str">
        <x:v>0.9295762833375936</x:v>
      </x:c>
      <x:c r="AO404" s="6" t="str">
        <x:v>3.1543333333333266</x:v>
      </x:c>
      <x:c r="AP404" s="8" t="str">
        <x:v>1.8551566844831289</x:v>
      </x:c>
      <x:c r="AQ404" s="6" t="str">
        <x:v>0.8654117037892565</x:v>
      </x:c>
      <x:c r="AR404" s="6" t="str">
        <x:v>1.6769023240485796</x:v>
      </x:c>
      <x:c r="AS404" s="6" t="str">
        <x:v>1.465823570773655</x:v>
      </x:c>
      <x:c r="AT404" s="6" t="str">
        <x:v>41.881</x:v>
      </x:c>
      <x:c r="AU404" s="8" t="str">
        <x:v>1.261986596544792</x:v>
      </x:c>
      <x:c r="AV404" s="6" t="str">
        <x:v>1.300357367132748</x:v>
      </x:c>
      <x:c r="AW404" s="6" t="str">
        <x:v>1.4732004173537625</x:v>
      </x:c>
      <x:c r="AX404" s="6" t="str">
        <x:v>1.345181460343767</x:v>
      </x:c>
      <x:c r="AY404" s="6" t="str">
        <x:v>1</x:v>
      </x:c>
      <x:c r="AZ404" s="6" t="str">
        <x:v>0</x:v>
      </x:c>
      <x:c r="BA404" s="9" t="str">
        <x:v>grid_cells_within_BIG_polygon</x:v>
      </x:c>
      <x:c r="BB404" s="6" t="str">
        <x:v>1</x:v>
      </x:c>
      <x:c r="BC404" s="6" t="str">
        <x:v>3</x:v>
      </x:c>
      <x:c r="BD404" s="6" t="str">
        <x:v>3</x:v>
      </x:c>
      <x:c r="BE404" s="6" t="str">
        <x:v>2</x:v>
      </x:c>
      <x:c r="BF404" s="6" t="str">
        <x:v>0</x:v>
      </x:c>
      <x:c r="BG404" s="6" t="str">
        <x:v>1</x:v>
      </x:c>
      <x:c r="BH404" s="6" t="str">
        <x:v>0</x:v>
      </x:c>
      <x:c r="BI404" s="6" t="str">
        <x:v>0</x:v>
      </x:c>
      <x:c r="BJ404" s="6" t="str">
        <x:v>0</x:v>
      </x:c>
      <x:c r="BK404" s="6" t="str">
        <x:v>0</x:v>
      </x:c>
      <x:c r="BL404" s="6" t="str">
        <x:v>0</x:v>
      </x:c>
      <x:c r="BM404" s="6" t="str">
        <x:v>0</x:v>
      </x:c>
      <x:c r="BN404" s="6" t="str">
        <x:v>3</x:v>
      </x:c>
      <x:c r="BO404" s="6" t="str">
        <x:v>2.0</x:v>
      </x:c>
      <x:c r="BP404" s="6" t="str">
        <x:v>1</x:v>
      </x:c>
      <x:c r="BQ404" s="6" t="str"/>
      <x:c r="BR404" s="6" t="str">
        <x:v>0</x:v>
      </x:c>
      <x:c r="BS404" s="6" t="str">
        <x:v>0.0</x:v>
      </x:c>
      <x:c r="BT404" s="6" t="str">
        <x:v>3</x:v>
      </x:c>
      <x:c r="BU404" s="6" t="str">
        <x:v>159.0</x:v>
      </x:c>
      <x:c r="BV404" s="6" t="str">
        <x:v>2</x:v>
      </x:c>
      <x:c r="BW404" s="9" t="str">
        <x:v>operational_snapshot_annual_totals_may_differ</x:v>
      </x:c>
      <x:c r="BX404" s="9" t="str">
        <x:v>official_live_dashboard_snapshot_subject_to_revision</x:v>
      </x:c>
      <x:c r="BY404" s="9" t="str">
        <x:v>https://tbdashboard.sitb.id/ss_data_tbc03so_2025_provinsi_bulanan_list.php</x:v>
      </x:c>
      <x:c r="BZ404" s="6" t="n">
        <x:v>46246.610671296294</x:v>
      </x:c>
    </x:row>
    <x:row r="405" ht="18" customHeight="1">
      <x:c r="A405" s="6" t="str">
        <x:v>51</x:v>
      </x:c>
      <x:c r="B405" s="6" t="str">
        <x:v>BALI</x:v>
      </x:c>
      <x:c r="C405" s="6" t="str">
        <x:v>2025</x:v>
      </x:c>
      <x:c r="D405" s="6" t="str">
        <x:v>8</x:v>
      </x:c>
      <x:c r="E405" s="6" t="str">
        <x:v>2025-08</x:v>
      </x:c>
      <x:c r="F405" s="6" t="str">
        <x:v>444</x:v>
      </x:c>
      <x:c r="G405" s="6" t="str">
        <x:v>182</x:v>
      </x:c>
      <x:c r="H405" s="6" t="str">
        <x:v>170</x:v>
      </x:c>
      <x:c r="I405" s="6" t="str">
        <x:v>26</x:v>
      </x:c>
      <x:c r="J405" s="6" t="str">
        <x:v>21</x:v>
      </x:c>
      <x:c r="K405" s="6" t="str">
        <x:v>2</x:v>
      </x:c>
      <x:c r="L405" s="6" t="str">
        <x:v>1</x:v>
      </x:c>
      <x:c r="M405" s="6" t="str">
        <x:v>42</x:v>
      </x:c>
      <x:c r="N405" s="6" t="str">
        <x:v>444</x:v>
      </x:c>
      <x:c r="O405" s="6" t="str">
        <x:v>0</x:v>
      </x:c>
      <x:c r="P405" s="10" t="n">
        <x:f>F405-M405</x:f>
        <x:v>402</x:v>
      </x:c>
      <x:c r="Q405" s="11" t="n">
        <x:f>IFERROR(M405/F405,"")</x:f>
        <x:v>0.0945945945945946</x:v>
      </x:c>
      <x:c r="R405" s="10" t="n">
        <x:f>G405+H405</x:f>
        <x:v>352</x:v>
      </x:c>
      <x:c r="S405" s="11" t="n">
        <x:f>IFERROR(R405/F405,"")</x:f>
        <x:v>0.7927927927927928</x:v>
      </x:c>
      <x:c r="T405" s="11" t="n">
        <x:f>IFERROR(R405/P405,"")</x:f>
        <x:v>0.8756218905472637</x:v>
      </x:c>
      <x:c r="U405" s="10" t="n">
        <x:f>I405+J405+K405</x:f>
        <x:v>49</x:v>
      </x:c>
      <x:c r="V405" s="11" t="n">
        <x:f>IFERROR(U405/P405,"")</x:f>
        <x:v>0.12189054726368159</x:v>
      </x:c>
      <x:c r="W405" s="9" t="str">
        <x:v>provisional_gt_5pct_pending</x:v>
      </x:c>
      <x:c r="X405" s="12" t="n">
        <x:f>IFERROR(F405/Z405*100000,"")</x:f>
        <x:v>9.952256068858851</x:v>
      </x:c>
      <x:c r="Y405" s="13" t="n">
        <x:f>LN(Z405)</x:f>
        <x:v>15.310950761344884</x:v>
      </x:c>
      <x:c r="Z405" s="6" t="str">
        <x:v>4461300</x:v>
      </x:c>
      <x:c r="AA405" s="6" t="str">
        <x:v>798.0</x:v>
      </x:c>
      <x:c r="AB405" s="9" t="str">
        <x:v>2025-06-30</x:v>
      </x:c>
      <x:c r="AC405" s="8" t="str">
        <x:v>98.2</x:v>
      </x:c>
      <x:c r="AD405" s="9" t="str">
        <x:v>2025 (Susenas)</x:v>
      </x:c>
      <x:c r="AE405" s="8" t="str">
        <x:v>3.72</x:v>
      </x:c>
      <x:c r="AF405" s="9" t="str">
        <x:v>Maret 2025 (Susenas)</x:v>
      </x:c>
      <x:c r="AG405" s="6" t="str">
        <x:v>24.23</x:v>
      </x:c>
      <x:c r="AH405" s="8" t="str">
        <x:v>83.93</x:v>
      </x:c>
      <x:c r="AI405" s="6" t="str">
        <x:v>9.92</x:v>
      </x:c>
      <x:c r="AJ405" s="6" t="str">
        <x:v>0.7453333333333347</x:v>
      </x:c>
      <x:c r="AK405" s="8" t="str">
        <x:v>1.1775649058461537</x:v>
      </x:c>
      <x:c r="AL405" s="6" t="str">
        <x:v>0.5220067054785077</x:v>
      </x:c>
      <x:c r="AM405" s="6" t="str">
        <x:v>0.932512766703836</x:v>
      </x:c>
      <x:c r="AN405" s="6" t="str">
        <x:v>0.8773614593428327</x:v>
      </x:c>
      <x:c r="AO405" s="6" t="str">
        <x:v>2.9503333333333472</x:v>
      </x:c>
      <x:c r="AP405" s="8" t="str">
        <x:v>1.6427506287065687</x:v>
      </x:c>
      <x:c r="AQ405" s="6" t="str">
        <x:v>1.8551566844831289</x:v>
      </x:c>
      <x:c r="AR405" s="6" t="str">
        <x:v>0.8654117037892565</x:v>
      </x:c>
      <x:c r="AS405" s="6" t="str">
        <x:v>1.4544396723263182</x:v>
      </x:c>
      <x:c r="AT405" s="6" t="str">
        <x:v>-12.4</x:v>
      </x:c>
      <x:c r="AU405" s="8" t="str">
        <x:v>-0.5184518188240173</x:v>
      </x:c>
      <x:c r="AV405" s="6" t="str">
        <x:v>1.261986596544792</x:v>
      </x:c>
      <x:c r="AW405" s="6" t="str">
        <x:v>1.300357367132748</x:v>
      </x:c>
      <x:c r="AX405" s="6" t="str">
        <x:v>0.6812973816178406</x:v>
      </x:c>
      <x:c r="AY405" s="6" t="str">
        <x:v>0</x:v>
      </x:c>
      <x:c r="AZ405" s="6" t="str">
        <x:v>1</x:v>
      </x:c>
      <x:c r="BA405" s="9" t="str">
        <x:v>grid_cells_within_BIG_polygon</x:v>
      </x:c>
      <x:c r="BB405" s="6" t="str">
        <x:v>1</x:v>
      </x:c>
      <x:c r="BC405" s="6" t="str">
        <x:v>1</x:v>
      </x:c>
      <x:c r="BD405" s="6" t="str">
        <x:v>1</x:v>
      </x:c>
      <x:c r="BE405" s="6" t="str">
        <x:v>0</x:v>
      </x:c>
      <x:c r="BF405" s="6" t="str">
        <x:v>0</x:v>
      </x:c>
      <x:c r="BG405" s="6" t="str">
        <x:v>0</x:v>
      </x:c>
      <x:c r="BH405" s="6" t="str">
        <x:v>0</x:v>
      </x:c>
      <x:c r="BI405" s="6" t="str">
        <x:v>0</x:v>
      </x:c>
      <x:c r="BJ405" s="6" t="str">
        <x:v>1</x:v>
      </x:c>
      <x:c r="BK405" s="6" t="str">
        <x:v>0</x:v>
      </x:c>
      <x:c r="BL405" s="6" t="str">
        <x:v>0</x:v>
      </x:c>
      <x:c r="BM405" s="6" t="str">
        <x:v>0</x:v>
      </x:c>
      <x:c r="BN405" s="6" t="str">
        <x:v>1</x:v>
      </x:c>
      <x:c r="BO405" s="6" t="str">
        <x:v>3.0</x:v>
      </x:c>
      <x:c r="BP405" s="6" t="str">
        <x:v>1</x:v>
      </x:c>
      <x:c r="BQ405" s="6" t="str"/>
      <x:c r="BR405" s="6" t="str">
        <x:v>0</x:v>
      </x:c>
      <x:c r="BS405" s="6" t="str">
        <x:v>0.0</x:v>
      </x:c>
      <x:c r="BT405" s="6" t="str">
        <x:v>1</x:v>
      </x:c>
      <x:c r="BU405" s="6" t="str"/>
      <x:c r="BV405" s="6" t="str">
        <x:v>0</x:v>
      </x:c>
      <x:c r="BW405" s="9" t="str">
        <x:v>operational_snapshot_annual_totals_may_differ</x:v>
      </x:c>
      <x:c r="BX405" s="9" t="str">
        <x:v>official_live_dashboard_snapshot_subject_to_revision</x:v>
      </x:c>
      <x:c r="BY405" s="9" t="str">
        <x:v>https://tbdashboard.sitb.id/ss_data_tbc03so_2025_provinsi_bulanan_list.php</x:v>
      </x:c>
      <x:c r="BZ405" s="6" t="n">
        <x:v>46246.610671296294</x:v>
      </x:c>
    </x:row>
    <x:row r="406" ht="18" customHeight="1">
      <x:c r="A406" s="6" t="str">
        <x:v>51</x:v>
      </x:c>
      <x:c r="B406" s="6" t="str">
        <x:v>BALI</x:v>
      </x:c>
      <x:c r="C406" s="6" t="str">
        <x:v>2025</x:v>
      </x:c>
      <x:c r="D406" s="6" t="str">
        <x:v>9</x:v>
      </x:c>
      <x:c r="E406" s="6" t="str">
        <x:v>2025-09</x:v>
      </x:c>
      <x:c r="F406" s="6" t="str">
        <x:v>459</x:v>
      </x:c>
      <x:c r="G406" s="6" t="str">
        <x:v>172</x:v>
      </x:c>
      <x:c r="H406" s="6" t="str">
        <x:v>166</x:v>
      </x:c>
      <x:c r="I406" s="6" t="str">
        <x:v>39</x:v>
      </x:c>
      <x:c r="J406" s="6" t="str">
        <x:v>34</x:v>
      </x:c>
      <x:c r="K406" s="6" t="str">
        <x:v>4</x:v>
      </x:c>
      <x:c r="L406" s="6" t="str">
        <x:v>0</x:v>
      </x:c>
      <x:c r="M406" s="6" t="str">
        <x:v>44</x:v>
      </x:c>
      <x:c r="N406" s="6" t="str">
        <x:v>459</x:v>
      </x:c>
      <x:c r="O406" s="6" t="str">
        <x:v>0</x:v>
      </x:c>
      <x:c r="P406" s="10" t="n">
        <x:f>F406-M406</x:f>
        <x:v>415</x:v>
      </x:c>
      <x:c r="Q406" s="11" t="n">
        <x:f>IFERROR(M406/F406,"")</x:f>
        <x:v>0.09586056644880174</x:v>
      </x:c>
      <x:c r="R406" s="10" t="n">
        <x:f>G406+H406</x:f>
        <x:v>338</x:v>
      </x:c>
      <x:c r="S406" s="11" t="n">
        <x:f>IFERROR(R406/F406,"")</x:f>
        <x:v>0.7363834422657952</x:v>
      </x:c>
      <x:c r="T406" s="11" t="n">
        <x:f>IFERROR(R406/P406,"")</x:f>
        <x:v>0.8144578313253013</x:v>
      </x:c>
      <x:c r="U406" s="10" t="n">
        <x:f>I406+J406+K406</x:f>
        <x:v>77</x:v>
      </x:c>
      <x:c r="V406" s="11" t="n">
        <x:f>IFERROR(U406/P406,"")</x:f>
        <x:v>0.1855421686746988</x:v>
      </x:c>
      <x:c r="W406" s="9" t="str">
        <x:v>provisional_gt_5pct_pending</x:v>
      </x:c>
      <x:c r="X406" s="12" t="n">
        <x:f>IFERROR(F406/Z406*100000,"")</x:f>
        <x:v>10.28848093605003</x:v>
      </x:c>
      <x:c r="Y406" s="13" t="n">
        <x:f>LN(Z406)</x:f>
        <x:v>15.310950761344884</x:v>
      </x:c>
      <x:c r="Z406" s="6" t="str">
        <x:v>4461300</x:v>
      </x:c>
      <x:c r="AA406" s="6" t="str">
        <x:v>798.0</x:v>
      </x:c>
      <x:c r="AB406" s="9" t="str">
        <x:v>2025-06-30</x:v>
      </x:c>
      <x:c r="AC406" s="8" t="str">
        <x:v>98.2</x:v>
      </x:c>
      <x:c r="AD406" s="9" t="str">
        <x:v>2025 (Susenas)</x:v>
      </x:c>
      <x:c r="AE406" s="8" t="str">
        <x:v>3.72</x:v>
      </x:c>
      <x:c r="AF406" s="9" t="str">
        <x:v>Maret 2025 (Susenas)</x:v>
      </x:c>
      <x:c r="AG406" s="6" t="str">
        <x:v>24.93</x:v>
      </x:c>
      <x:c r="AH406" s="8" t="str">
        <x:v>84.09</x:v>
      </x:c>
      <x:c r="AI406" s="6" t="str">
        <x:v>123.3</x:v>
      </x:c>
      <x:c r="AJ406" s="6" t="str">
        <x:v>0.5819999999999972</x:v>
      </x:c>
      <x:c r="AK406" s="8" t="str">
        <x:v>0.9855633762557569</x:v>
      </x:c>
      <x:c r="AL406" s="6" t="str">
        <x:v>1.1775649058461537</x:v>
      </x:c>
      <x:c r="AM406" s="6" t="str">
        <x:v>0.5220067054785077</x:v>
      </x:c>
      <x:c r="AN406" s="6" t="str">
        <x:v>0.8950449958601397</x:v>
      </x:c>
      <x:c r="AO406" s="6" t="str">
        <x:v>4.581000000000003</x:v>
      </x:c>
      <x:c r="AP406" s="8" t="str">
        <x:v>1.9335538602629023</x:v>
      </x:c>
      <x:c r="AQ406" s="6" t="str">
        <x:v>1.6427506287065687</x:v>
      </x:c>
      <x:c r="AR406" s="6" t="str">
        <x:v>1.8551566844831289</x:v>
      </x:c>
      <x:c r="AS406" s="6" t="str">
        <x:v>1.8104870578175336</x:v>
      </x:c>
      <x:c r="AT406" s="6" t="str">
        <x:v>89.16000000000001</x:v>
      </x:c>
      <x:c r="AU406" s="8" t="str">
        <x:v>1.6385296915203824</x:v>
      </x:c>
      <x:c r="AV406" s="6" t="str">
        <x:v>-0.5184518188240173</x:v>
      </x:c>
      <x:c r="AW406" s="6" t="str">
        <x:v>1.261986596544792</x:v>
      </x:c>
      <x:c r="AX406" s="6" t="str">
        <x:v>0.7940214897470521</x:v>
      </x:c>
      <x:c r="AY406" s="6" t="str">
        <x:v>1</x:v>
      </x:c>
      <x:c r="AZ406" s="6" t="str">
        <x:v>0</x:v>
      </x:c>
      <x:c r="BA406" s="9" t="str">
        <x:v>grid_cells_within_BIG_polygon</x:v>
      </x:c>
      <x:c r="BB406" s="6" t="str">
        <x:v>1</x:v>
      </x:c>
      <x:c r="BC406" s="6" t="str">
        <x:v>9</x:v>
      </x:c>
      <x:c r="BD406" s="6" t="str">
        <x:v>8</x:v>
      </x:c>
      <x:c r="BE406" s="6" t="str">
        <x:v>8</x:v>
      </x:c>
      <x:c r="BF406" s="6" t="str">
        <x:v>0</x:v>
      </x:c>
      <x:c r="BG406" s="6" t="str">
        <x:v>0</x:v>
      </x:c>
      <x:c r="BH406" s="6" t="str">
        <x:v>0</x:v>
      </x:c>
      <x:c r="BI406" s="6" t="str">
        <x:v>0</x:v>
      </x:c>
      <x:c r="BJ406" s="6" t="str">
        <x:v>0</x:v>
      </x:c>
      <x:c r="BK406" s="6" t="str">
        <x:v>1</x:v>
      </x:c>
      <x:c r="BL406" s="6" t="str">
        <x:v>0</x:v>
      </x:c>
      <x:c r="BM406" s="6" t="str">
        <x:v>0</x:v>
      </x:c>
      <x:c r="BN406" s="6" t="str">
        <x:v>9</x:v>
      </x:c>
      <x:c r="BO406" s="6" t="str">
        <x:v>18.0</x:v>
      </x:c>
      <x:c r="BP406" s="6" t="str">
        <x:v>4</x:v>
      </x:c>
      <x:c r="BQ406" s="6" t="str"/>
      <x:c r="BR406" s="6" t="str">
        <x:v>0</x:v>
      </x:c>
      <x:c r="BS406" s="6" t="str">
        <x:v>2381.0</x:v>
      </x:c>
      <x:c r="BT406" s="6" t="str">
        <x:v>9</x:v>
      </x:c>
      <x:c r="BU406" s="6" t="str">
        <x:v>51.0</x:v>
      </x:c>
      <x:c r="BV406" s="6" t="str">
        <x:v>3</x:v>
      </x:c>
      <x:c r="BW406" s="9" t="str">
        <x:v>operational_snapshot_annual_totals_may_differ</x:v>
      </x:c>
      <x:c r="BX406" s="9" t="str">
        <x:v>official_live_dashboard_snapshot_subject_to_revision</x:v>
      </x:c>
      <x:c r="BY406" s="9" t="str">
        <x:v>https://tbdashboard.sitb.id/ss_data_tbc03so_2025_provinsi_bulanan_list.php</x:v>
      </x:c>
      <x:c r="BZ406" s="6" t="n">
        <x:v>46246.610671296294</x:v>
      </x:c>
    </x:row>
    <x:row r="407" ht="18" customHeight="1">
      <x:c r="A407" s="6" t="str">
        <x:v>51</x:v>
      </x:c>
      <x:c r="B407" s="6" t="str">
        <x:v>BALI</x:v>
      </x:c>
      <x:c r="C407" s="6" t="str">
        <x:v>2025</x:v>
      </x:c>
      <x:c r="D407" s="6" t="str">
        <x:v>10</x:v>
      </x:c>
      <x:c r="E407" s="6" t="str">
        <x:v>2025-10</x:v>
      </x:c>
      <x:c r="F407" s="6" t="str">
        <x:v>523</x:v>
      </x:c>
      <x:c r="G407" s="6" t="str">
        <x:v>191</x:v>
      </x:c>
      <x:c r="H407" s="6" t="str">
        <x:v>206</x:v>
      </x:c>
      <x:c r="I407" s="6" t="str">
        <x:v>21</x:v>
      </x:c>
      <x:c r="J407" s="6" t="str">
        <x:v>36</x:v>
      </x:c>
      <x:c r="K407" s="6" t="str">
        <x:v>1</x:v>
      </x:c>
      <x:c r="L407" s="6" t="str">
        <x:v>1</x:v>
      </x:c>
      <x:c r="M407" s="6" t="str">
        <x:v>67</x:v>
      </x:c>
      <x:c r="N407" s="6" t="str">
        <x:v>523</x:v>
      </x:c>
      <x:c r="O407" s="6" t="str">
        <x:v>0</x:v>
      </x:c>
      <x:c r="P407" s="10" t="n">
        <x:f>F407-M407</x:f>
        <x:v>456</x:v>
      </x:c>
      <x:c r="Q407" s="11" t="n">
        <x:f>IFERROR(M407/F407,"")</x:f>
        <x:v>0.12810707456978968</x:v>
      </x:c>
      <x:c r="R407" s="10" t="n">
        <x:f>G407+H407</x:f>
        <x:v>397</x:v>
      </x:c>
      <x:c r="S407" s="11" t="n">
        <x:f>IFERROR(R407/F407,"")</x:f>
        <x:v>0.7590822179732314</x:v>
      </x:c>
      <x:c r="T407" s="11" t="n">
        <x:f>IFERROR(R407/P407,"")</x:f>
        <x:v>0.8706140350877193</x:v>
      </x:c>
      <x:c r="U407" s="10" t="n">
        <x:f>I407+J407+K407</x:f>
        <x:v>58</x:v>
      </x:c>
      <x:c r="V407" s="11" t="n">
        <x:f>IFERROR(U407/P407,"")</x:f>
        <x:v>0.12719298245614036</x:v>
      </x:c>
      <x:c r="W407" s="9" t="str">
        <x:v>provisional_gt_5pct_pending</x:v>
      </x:c>
      <x:c r="X407" s="12" t="n">
        <x:f>IFERROR(F407/Z407*100000,"")</x:f>
        <x:v>11.723040369399053</x:v>
      </x:c>
      <x:c r="Y407" s="13" t="n">
        <x:f>LN(Z407)</x:f>
        <x:v>15.310950761344884</x:v>
      </x:c>
      <x:c r="Z407" s="6" t="str">
        <x:v>4461300</x:v>
      </x:c>
      <x:c r="AA407" s="6" t="str">
        <x:v>798.0</x:v>
      </x:c>
      <x:c r="AB407" s="9" t="str">
        <x:v>2025-06-30</x:v>
      </x:c>
      <x:c r="AC407" s="8" t="str">
        <x:v>98.2</x:v>
      </x:c>
      <x:c r="AD407" s="9" t="str">
        <x:v>2025 (Susenas)</x:v>
      </x:c>
      <x:c r="AE407" s="8" t="str">
        <x:v>3.72</x:v>
      </x:c>
      <x:c r="AF407" s="9" t="str">
        <x:v>Maret 2025 (Susenas)</x:v>
      </x:c>
      <x:c r="AG407" s="6" t="str">
        <x:v>26.04</x:v>
      </x:c>
      <x:c r="AH407" s="8" t="str">
        <x:v>84.0</x:v>
      </x:c>
      <x:c r="AI407" s="6" t="str">
        <x:v>99.82</x:v>
      </x:c>
      <x:c r="AJ407" s="6" t="str">
        <x:v>0.4809999999999981</x:v>
      </x:c>
      <x:c r="AK407" s="8" t="str">
        <x:v>1.355162272767601</x:v>
      </x:c>
      <x:c r="AL407" s="6" t="str">
        <x:v>0.9855633762557569</x:v>
      </x:c>
      <x:c r="AM407" s="6" t="str">
        <x:v>1.1775649058461537</x:v>
      </x:c>
      <x:c r="AN407" s="6" t="str">
        <x:v>1.1727635182898375</x:v>
      </x:c>
      <x:c r="AO407" s="6" t="str">
        <x:v>5.207666666666668</x:v>
      </x:c>
      <x:c r="AP407" s="8" t="str">
        <x:v>1.5373744612544549</x:v>
      </x:c>
      <x:c r="AQ407" s="6" t="str">
        <x:v>1.9335538602629023</x:v>
      </x:c>
      <x:c r="AR407" s="6" t="str">
        <x:v>1.6427506287065687</x:v>
      </x:c>
      <x:c r="AS407" s="6" t="str">
        <x:v>1.7045596500746425</x:v>
      </x:c>
      <x:c r="AT407" s="6" t="str">
        <x:v>28.36500000000001</x:v>
      </x:c>
      <x:c r="AU407" s="8" t="str">
        <x:v>0.3972276925243911</x:v>
      </x:c>
      <x:c r="AV407" s="6" t="str">
        <x:v>1.6385296915203824</x:v>
      </x:c>
      <x:c r="AW407" s="6" t="str">
        <x:v>-0.5184518188240173</x:v>
      </x:c>
      <x:c r="AX407" s="6" t="str">
        <x:v>0.5057685217402518</x:v>
      </x:c>
      <x:c r="AY407" s="6" t="str">
        <x:v>0</x:v>
      </x:c>
      <x:c r="AZ407" s="6" t="str">
        <x:v>1</x:v>
      </x:c>
      <x:c r="BA407" s="9" t="str">
        <x:v>grid_cells_within_BIG_polygon</x:v>
      </x:c>
      <x:c r="BB407" s="6" t="str">
        <x:v>1</x:v>
      </x:c>
      <x:c r="BC407" s="6" t="str">
        <x:v>0</x:v>
      </x:c>
      <x:c r="BD407" s="6" t="str">
        <x:v>0</x:v>
      </x:c>
      <x:c r="BE407" s="6" t="str">
        <x:v>0</x:v>
      </x:c>
      <x:c r="BF407" s="6" t="str">
        <x:v>0</x:v>
      </x:c>
      <x:c r="BG407" s="6" t="str">
        <x:v>0</x:v>
      </x:c>
      <x:c r="BH407" s="6" t="str">
        <x:v>0</x:v>
      </x:c>
      <x:c r="BI407" s="6" t="str">
        <x:v>0</x:v>
      </x:c>
      <x:c r="BJ407" s="6" t="str">
        <x:v>0</x:v>
      </x:c>
      <x:c r="BK407" s="6" t="str">
        <x:v>0</x:v>
      </x:c>
      <x:c r="BL407" s="6" t="str">
        <x:v>0</x:v>
      </x:c>
      <x:c r="BM407" s="6" t="str">
        <x:v>0</x:v>
      </x:c>
      <x:c r="BN407" s="6" t="str">
        <x:v>0</x:v>
      </x:c>
      <x:c r="BO407" s="6" t="str"/>
      <x:c r="BP407" s="6" t="str">
        <x:v>0</x:v>
      </x:c>
      <x:c r="BQ407" s="6" t="str"/>
      <x:c r="BR407" s="6" t="str">
        <x:v>0</x:v>
      </x:c>
      <x:c r="BS407" s="6" t="str"/>
      <x:c r="BT407" s="6" t="str">
        <x:v>0</x:v>
      </x:c>
      <x:c r="BU407" s="6" t="str"/>
      <x:c r="BV407" s="6" t="str">
        <x:v>0</x:v>
      </x:c>
      <x:c r="BW407" s="9" t="str">
        <x:v>operational_snapshot_annual_totals_may_differ</x:v>
      </x:c>
      <x:c r="BX407" s="9" t="str">
        <x:v>official_live_dashboard_snapshot_subject_to_revision</x:v>
      </x:c>
      <x:c r="BY407" s="9" t="str">
        <x:v>https://tbdashboard.sitb.id/ss_data_tbc03so_2025_provinsi_bulanan_list.php</x:v>
      </x:c>
      <x:c r="BZ407" s="6" t="n">
        <x:v>46246.610671296294</x:v>
      </x:c>
    </x:row>
    <x:row r="408" ht="18" customHeight="1">
      <x:c r="A408" s="6" t="str">
        <x:v>51</x:v>
      </x:c>
      <x:c r="B408" s="6" t="str">
        <x:v>BALI</x:v>
      </x:c>
      <x:c r="C408" s="6" t="str">
        <x:v>2025</x:v>
      </x:c>
      <x:c r="D408" s="6" t="str">
        <x:v>11</x:v>
      </x:c>
      <x:c r="E408" s="6" t="str">
        <x:v>2025-11</x:v>
      </x:c>
      <x:c r="F408" s="6" t="str">
        <x:v>387</x:v>
      </x:c>
      <x:c r="G408" s="6" t="str">
        <x:v>119</x:v>
      </x:c>
      <x:c r="H408" s="6" t="str">
        <x:v>137</x:v>
      </x:c>
      <x:c r="I408" s="6" t="str">
        <x:v>31</x:v>
      </x:c>
      <x:c r="J408" s="6" t="str">
        <x:v>33</x:v>
      </x:c>
      <x:c r="K408" s="6" t="str">
        <x:v>0</x:v>
      </x:c>
      <x:c r="L408" s="6" t="str">
        <x:v>1</x:v>
      </x:c>
      <x:c r="M408" s="6" t="str">
        <x:v>66</x:v>
      </x:c>
      <x:c r="N408" s="6" t="str">
        <x:v>387</x:v>
      </x:c>
      <x:c r="O408" s="6" t="str">
        <x:v>0</x:v>
      </x:c>
      <x:c r="P408" s="10" t="n">
        <x:f>F408-M408</x:f>
        <x:v>321</x:v>
      </x:c>
      <x:c r="Q408" s="11" t="n">
        <x:f>IFERROR(M408/F408,"")</x:f>
        <x:v>0.17054263565891473</x:v>
      </x:c>
      <x:c r="R408" s="10" t="n">
        <x:f>G408+H408</x:f>
        <x:v>256</x:v>
      </x:c>
      <x:c r="S408" s="11" t="n">
        <x:f>IFERROR(R408/F408,"")</x:f>
        <x:v>0.661498708010336</x:v>
      </x:c>
      <x:c r="T408" s="11" t="n">
        <x:f>IFERROR(R408/P408,"")</x:f>
        <x:v>0.7975077881619937</x:v>
      </x:c>
      <x:c r="U408" s="10" t="n">
        <x:f>I408+J408+K408</x:f>
        <x:v>64</x:v>
      </x:c>
      <x:c r="V408" s="11" t="n">
        <x:f>IFERROR(U408/P408,"")</x:f>
        <x:v>0.19937694704049844</x:v>
      </x:c>
      <x:c r="W408" s="9" t="str">
        <x:v>provisional_gt_5pct_pending</x:v>
      </x:c>
      <x:c r="X408" s="12" t="n">
        <x:f>IFERROR(F408/Z408*100000,"")</x:f>
        <x:v>8.674601573532378</x:v>
      </x:c>
      <x:c r="Y408" s="13" t="n">
        <x:f>LN(Z408)</x:f>
        <x:v>15.310950761344884</x:v>
      </x:c>
      <x:c r="Z408" s="6" t="str">
        <x:v>4461300</x:v>
      </x:c>
      <x:c r="AA408" s="6" t="str">
        <x:v>798.0</x:v>
      </x:c>
      <x:c r="AB408" s="9" t="str">
        <x:v>2025-06-30</x:v>
      </x:c>
      <x:c r="AC408" s="8" t="str">
        <x:v>98.2</x:v>
      </x:c>
      <x:c r="AD408" s="9" t="str">
        <x:v>2025 (Susenas)</x:v>
      </x:c>
      <x:c r="AE408" s="8" t="str">
        <x:v>3.72</x:v>
      </x:c>
      <x:c r="AF408" s="9" t="str">
        <x:v>Maret 2025 (Susenas)</x:v>
      </x:c>
      <x:c r="AG408" s="6" t="str">
        <x:v>25.91</x:v>
      </x:c>
      <x:c r="AH408" s="8" t="str">
        <x:v>85.25</x:v>
      </x:c>
      <x:c r="AI408" s="6" t="str">
        <x:v>245.1</x:v>
      </x:c>
      <x:c r="AJ408" s="6" t="str">
        <x:v>-0.2620000000000004</x:v>
      </x:c>
      <x:c r="AK408" s="8" t="str">
        <x:v>-0.5442359419147588</x:v>
      </x:c>
      <x:c r="AL408" s="6" t="str">
        <x:v>1.355162272767601</x:v>
      </x:c>
      <x:c r="AM408" s="6" t="str">
        <x:v>0.9855633762557569</x:v>
      </x:c>
      <x:c r="AN408" s="6" t="str">
        <x:v>0.5988299023695333</x:v>
      </x:c>
      <x:c r="AO408" s="6" t="str">
        <x:v>4.582000000000008</x:v>
      </x:c>
      <x:c r="AP408" s="8" t="str">
        <x:v>1.2722128138035833</x:v>
      </x:c>
      <x:c r="AQ408" s="6" t="str">
        <x:v>1.5373744612544549</x:v>
      </x:c>
      <x:c r="AR408" s="6" t="str">
        <x:v>1.9335538602629023</x:v>
      </x:c>
      <x:c r="AS408" s="6" t="str">
        <x:v>1.5810470451069805</x:v>
      </x:c>
      <x:c r="AT408" s="6" t="str">
        <x:v>104.58999999999996</x:v>
      </x:c>
      <x:c r="AU408" s="8" t="str">
        <x:v>1.310671760579613</x:v>
      </x:c>
      <x:c r="AV408" s="6" t="str">
        <x:v>0.3972276925243911</x:v>
      </x:c>
      <x:c r="AW408" s="6" t="str">
        <x:v>1.6385296915203824</x:v>
      </x:c>
      <x:c r="AX408" s="6" t="str">
        <x:v>1.115476381541462</x:v>
      </x:c>
      <x:c r="AY408" s="6" t="str">
        <x:v>1</x:v>
      </x:c>
      <x:c r="AZ408" s="6" t="str">
        <x:v>0</x:v>
      </x:c>
      <x:c r="BA408" s="9" t="str">
        <x:v>grid_cells_within_BIG_polygon</x:v>
      </x:c>
      <x:c r="BB408" s="6" t="str">
        <x:v>1</x:v>
      </x:c>
      <x:c r="BC408" s="6" t="str">
        <x:v>0</x:v>
      </x:c>
      <x:c r="BD408" s="6" t="str">
        <x:v>0</x:v>
      </x:c>
      <x:c r="BE408" s="6" t="str">
        <x:v>0</x:v>
      </x:c>
      <x:c r="BF408" s="6" t="str">
        <x:v>0</x:v>
      </x:c>
      <x:c r="BG408" s="6" t="str">
        <x:v>0</x:v>
      </x:c>
      <x:c r="BH408" s="6" t="str">
        <x:v>0</x:v>
      </x:c>
      <x:c r="BI408" s="6" t="str">
        <x:v>0</x:v>
      </x:c>
      <x:c r="BJ408" s="6" t="str">
        <x:v>0</x:v>
      </x:c>
      <x:c r="BK408" s="6" t="str">
        <x:v>0</x:v>
      </x:c>
      <x:c r="BL408" s="6" t="str">
        <x:v>0</x:v>
      </x:c>
      <x:c r="BM408" s="6" t="str">
        <x:v>0</x:v>
      </x:c>
      <x:c r="BN408" s="6" t="str">
        <x:v>0</x:v>
      </x:c>
      <x:c r="BO408" s="6" t="str"/>
      <x:c r="BP408" s="6" t="str">
        <x:v>0</x:v>
      </x:c>
      <x:c r="BQ408" s="6" t="str"/>
      <x:c r="BR408" s="6" t="str">
        <x:v>0</x:v>
      </x:c>
      <x:c r="BS408" s="6" t="str"/>
      <x:c r="BT408" s="6" t="str">
        <x:v>0</x:v>
      </x:c>
      <x:c r="BU408" s="6" t="str"/>
      <x:c r="BV408" s="6" t="str">
        <x:v>0</x:v>
      </x:c>
      <x:c r="BW408" s="9" t="str">
        <x:v>operational_snapshot_annual_totals_may_differ</x:v>
      </x:c>
      <x:c r="BX408" s="9" t="str">
        <x:v>official_live_dashboard_snapshot_subject_to_revision</x:v>
      </x:c>
      <x:c r="BY408" s="9" t="str">
        <x:v>https://tbdashboard.sitb.id/ss_data_tbc03so_2025_provinsi_bulanan_list.php</x:v>
      </x:c>
      <x:c r="BZ408" s="6" t="n">
        <x:v>46246.610671296294</x:v>
      </x:c>
    </x:row>
    <x:row r="409" ht="18" customHeight="1">
      <x:c r="A409" s="6" t="str">
        <x:v>51</x:v>
      </x:c>
      <x:c r="B409" s="6" t="str">
        <x:v>BALI</x:v>
      </x:c>
      <x:c r="C409" s="6" t="str">
        <x:v>2025</x:v>
      </x:c>
      <x:c r="D409" s="6" t="str">
        <x:v>12</x:v>
      </x:c>
      <x:c r="E409" s="6" t="str">
        <x:v>2025-12</x:v>
      </x:c>
      <x:c r="F409" s="6" t="str">
        <x:v>455</x:v>
      </x:c>
      <x:c r="G409" s="6" t="str">
        <x:v>141</x:v>
      </x:c>
      <x:c r="H409" s="6" t="str">
        <x:v>124</x:v>
      </x:c>
      <x:c r="I409" s="6" t="str">
        <x:v>34</x:v>
      </x:c>
      <x:c r="J409" s="6" t="str">
        <x:v>29</x:v>
      </x:c>
      <x:c r="K409" s="6" t="str">
        <x:v>2</x:v>
      </x:c>
      <x:c r="L409" s="6" t="str">
        <x:v>1</x:v>
      </x:c>
      <x:c r="M409" s="6" t="str">
        <x:v>124</x:v>
      </x:c>
      <x:c r="N409" s="6" t="str">
        <x:v>455</x:v>
      </x:c>
      <x:c r="O409" s="6" t="str">
        <x:v>0</x:v>
      </x:c>
      <x:c r="P409" s="10" t="n">
        <x:f>F409-M409</x:f>
        <x:v>331</x:v>
      </x:c>
      <x:c r="Q409" s="11" t="n">
        <x:f>IFERROR(M409/F409,"")</x:f>
        <x:v>0.2725274725274725</x:v>
      </x:c>
      <x:c r="R409" s="10" t="n">
        <x:f>G409+H409</x:f>
        <x:v>265</x:v>
      </x:c>
      <x:c r="S409" s="11" t="n">
        <x:f>IFERROR(R409/F409,"")</x:f>
        <x:v>0.5824175824175825</x:v>
      </x:c>
      <x:c r="T409" s="11" t="n">
        <x:f>IFERROR(R409/P409,"")</x:f>
        <x:v>0.8006042296072508</x:v>
      </x:c>
      <x:c r="U409" s="10" t="n">
        <x:f>I409+J409+K409</x:f>
        <x:v>65</x:v>
      </x:c>
      <x:c r="V409" s="11" t="n">
        <x:f>IFERROR(U409/P409,"")</x:f>
        <x:v>0.19637462235649547</x:v>
      </x:c>
      <x:c r="W409" s="9" t="str">
        <x:v>provisional_gt_5pct_pending</x:v>
      </x:c>
      <x:c r="X409" s="12" t="n">
        <x:f>IFERROR(F409/Z409*100000,"")</x:f>
        <x:v>10.198820971465716</x:v>
      </x:c>
      <x:c r="Y409" s="13" t="n">
        <x:f>LN(Z409)</x:f>
        <x:v>15.310950761344884</x:v>
      </x:c>
      <x:c r="Z409" s="6" t="str">
        <x:v>4461300</x:v>
      </x:c>
      <x:c r="AA409" s="6" t="str">
        <x:v>798.0</x:v>
      </x:c>
      <x:c r="AB409" s="9" t="str">
        <x:v>2025-06-30</x:v>
      </x:c>
      <x:c r="AC409" s="8" t="str">
        <x:v>98.2</x:v>
      </x:c>
      <x:c r="AD409" s="9" t="str">
        <x:v>2025 (Susenas)</x:v>
      </x:c>
      <x:c r="AE409" s="8" t="str">
        <x:v>3.72</x:v>
      </x:c>
      <x:c r="AF409" s="9" t="str">
        <x:v>Maret 2025 (Susenas)</x:v>
      </x:c>
      <x:c r="AG409" s="6" t="str">
        <x:v>25.96</x:v>
      </x:c>
      <x:c r="AH409" s="8" t="str">
        <x:v>86.08</x:v>
      </x:c>
      <x:c r="AI409" s="6" t="str">
        <x:v>359.91</x:v>
      </x:c>
      <x:c r="AJ409" s="6" t="str">
        <x:v>0.1850000000000022</x:v>
      </x:c>
      <x:c r="AK409" s="8" t="str">
        <x:v>0.3412644458856169</x:v>
      </x:c>
      <x:c r="AL409" s="6" t="str">
        <x:v>-0.5442359419147588</x:v>
      </x:c>
      <x:c r="AM409" s="6" t="str">
        <x:v>1.355162272767601</x:v>
      </x:c>
      <x:c r="AN409" s="6" t="str">
        <x:v>0.3840635922461533</x:v>
      </x:c>
      <x:c r="AO409" s="6" t="str">
        <x:v>2.292999999999992</x:v>
      </x:c>
      <x:c r="AP409" s="8" t="str">
        <x:v>0.8344882674042712</x:v>
      </x:c>
      <x:c r="AQ409" s="6" t="str">
        <x:v>1.2722128138035833</x:v>
      </x:c>
      <x:c r="AR409" s="6" t="str">
        <x:v>1.5373744612544549</x:v>
      </x:c>
      <x:c r="AS409" s="6" t="str">
        <x:v>1.2146918474874366</x:v>
      </x:c>
      <x:c r="AT409" s="6" t="str">
        <x:v>107.4356666666666</x:v>
      </x:c>
      <x:c r="AU409" s="8" t="str">
        <x:v>1.050552467946141</x:v>
      </x:c>
      <x:c r="AV409" s="6" t="str">
        <x:v>1.310671760579613</x:v>
      </x:c>
      <x:c r="AW409" s="6" t="str">
        <x:v>0.3972276925243911</x:v>
      </x:c>
      <x:c r="AX409" s="6" t="str">
        <x:v>0.9194839736833816</x:v>
      </x:c>
      <x:c r="AY409" s="6" t="str">
        <x:v>1</x:v>
      </x:c>
      <x:c r="AZ409" s="6" t="str">
        <x:v>0</x:v>
      </x:c>
      <x:c r="BA409" s="9" t="str">
        <x:v>grid_cells_within_BIG_polygon</x:v>
      </x:c>
      <x:c r="BB409" s="6" t="str">
        <x:v>1</x:v>
      </x:c>
      <x:c r="BC409" s="6" t="str">
        <x:v>2</x:v>
      </x:c>
      <x:c r="BD409" s="6" t="str">
        <x:v>2</x:v>
      </x:c>
      <x:c r="BE409" s="6" t="str">
        <x:v>2</x:v>
      </x:c>
      <x:c r="BF409" s="6" t="str">
        <x:v>0</x:v>
      </x:c>
      <x:c r="BG409" s="6" t="str">
        <x:v>0</x:v>
      </x:c>
      <x:c r="BH409" s="6" t="str">
        <x:v>0</x:v>
      </x:c>
      <x:c r="BI409" s="6" t="str">
        <x:v>0</x:v>
      </x:c>
      <x:c r="BJ409" s="6" t="str">
        <x:v>0</x:v>
      </x:c>
      <x:c r="BK409" s="6" t="str">
        <x:v>0</x:v>
      </x:c>
      <x:c r="BL409" s="6" t="str">
        <x:v>0</x:v>
      </x:c>
      <x:c r="BM409" s="6" t="str">
        <x:v>0</x:v>
      </x:c>
      <x:c r="BN409" s="6" t="str">
        <x:v>2</x:v>
      </x:c>
      <x:c r="BO409" s="6" t="str">
        <x:v>1.0</x:v>
      </x:c>
      <x:c r="BP409" s="6" t="str">
        <x:v>1</x:v>
      </x:c>
      <x:c r="BQ409" s="6" t="str"/>
      <x:c r="BR409" s="6" t="str">
        <x:v>0</x:v>
      </x:c>
      <x:c r="BS409" s="6" t="str">
        <x:v>0.0</x:v>
      </x:c>
      <x:c r="BT409" s="6" t="str">
        <x:v>2</x:v>
      </x:c>
      <x:c r="BU409" s="6" t="str">
        <x:v>191.0</x:v>
      </x:c>
      <x:c r="BV409" s="6" t="str">
        <x:v>1</x:v>
      </x:c>
      <x:c r="BW409" s="9" t="str">
        <x:v>operational_snapshot_annual_totals_may_differ</x:v>
      </x:c>
      <x:c r="BX409" s="9" t="str">
        <x:v>official_live_dashboard_snapshot_subject_to_revision</x:v>
      </x:c>
      <x:c r="BY409" s="9" t="str">
        <x:v>https://tbdashboard.sitb.id/ss_data_tbc03so_2025_provinsi_bulanan_list.php</x:v>
      </x:c>
      <x:c r="BZ409" s="6" t="n">
        <x:v>46246.610671296294</x:v>
      </x:c>
    </x:row>
    <x:row r="410" ht="18" customHeight="1">
      <x:c r="A410" s="6" t="str">
        <x:v>52</x:v>
      </x:c>
      <x:c r="B410" s="6" t="str">
        <x:v>NUSA TENGGARA BARAT</x:v>
      </x:c>
      <x:c r="C410" s="6" t="str">
        <x:v>2024</x:v>
      </x:c>
      <x:c r="D410" s="6" t="str">
        <x:v>1</x:v>
      </x:c>
      <x:c r="E410" s="6" t="str">
        <x:v>2024-01</x:v>
      </x:c>
      <x:c r="F410" s="6" t="str">
        <x:v>962</x:v>
      </x:c>
      <x:c r="G410" s="6" t="str">
        <x:v>370</x:v>
      </x:c>
      <x:c r="H410" s="6" t="str">
        <x:v>487</x:v>
      </x:c>
      <x:c r="I410" s="6" t="str">
        <x:v>45</x:v>
      </x:c>
      <x:c r="J410" s="6" t="str">
        <x:v>60</x:v>
      </x:c>
      <x:c r="K410" s="6" t="str">
        <x:v>0</x:v>
      </x:c>
      <x:c r="L410" s="6" t="str">
        <x:v>0</x:v>
      </x:c>
      <x:c r="M410" s="6" t="str">
        <x:v>0</x:v>
      </x:c>
      <x:c r="N410" s="6" t="str">
        <x:v>962</x:v>
      </x:c>
      <x:c r="O410" s="6" t="str">
        <x:v>0</x:v>
      </x:c>
      <x:c r="P410" s="10" t="n">
        <x:f>F410-M410</x:f>
        <x:v>962</x:v>
      </x:c>
      <x:c r="Q410" s="11" t="n">
        <x:f>IFERROR(M410/F410,"")</x:f>
        <x:v>0</x:v>
      </x:c>
      <x:c r="R410" s="10" t="n">
        <x:f>G410+H410</x:f>
        <x:v>857</x:v>
      </x:c>
      <x:c r="S410" s="11" t="n">
        <x:f>IFERROR(R410/F410,"")</x:f>
        <x:v>0.8908523908523909</x:v>
      </x:c>
      <x:c r="T410" s="11" t="n">
        <x:f>IFERROR(R410/P410,"")</x:f>
        <x:v>0.8908523908523909</x:v>
      </x:c>
      <x:c r="U410" s="10" t="n">
        <x:f>I410+J410+K410</x:f>
        <x:v>105</x:v>
      </x:c>
      <x:c r="V410" s="11" t="n">
        <x:f>IFERROR(U410/P410,"")</x:f>
        <x:v>0.10914760914760915</x:v>
      </x:c>
      <x:c r="W410" s="9" t="str">
        <x:v>mature_le_5pct_pending</x:v>
      </x:c>
      <x:c r="X410" s="12" t="n">
        <x:f>IFERROR(F410/Z410*100000,"")</x:f>
        <x:v>17.03861140630535</x:v>
      </x:c>
      <x:c r="Y410" s="13" t="n">
        <x:f>LN(Z410)</x:f>
        <x:v>15.546457887795572</x:v>
      </x:c>
      <x:c r="Z410" s="6" t="str">
        <x:v>5646000</x:v>
      </x:c>
      <x:c r="AA410" s="6" t="str">
        <x:v>287.0</x:v>
      </x:c>
      <x:c r="AB410" s="9" t="str">
        <x:v>2024-06-30</x:v>
      </x:c>
      <x:c r="AC410" s="8" t="str">
        <x:v>86.8</x:v>
      </x:c>
      <x:c r="AD410" s="9" t="str">
        <x:v>2024 (Susenas)</x:v>
      </x:c>
      <x:c r="AE410" s="8" t="str">
        <x:v>12.91</x:v>
      </x:c>
      <x:c r="AF410" s="9" t="str">
        <x:v>Maret 2024 (Susenas)</x:v>
      </x:c>
      <x:c r="AG410" s="6" t="str">
        <x:v>27.92002110085005</x:v>
      </x:c>
      <x:c r="AH410" s="8" t="str">
        <x:v>79.932495688036</x:v>
      </x:c>
      <x:c r="AI410" s="6" t="str">
        <x:v>169.17549774704554</x:v>
      </x:c>
      <x:c r="AJ410" s="6" t="str">
        <x:v>1.4387414153786438</x:v>
      </x:c>
      <x:c r="AK410" s="8" t="str">
        <x:v>2.4160419105225763</x:v>
      </x:c>
      <x:c r="AL410" s="6" t="str">
        <x:v>1.809535851491923</x:v>
      </x:c>
      <x:c r="AM410" s="6" t="str">
        <x:v>1.668256802342459</x:v>
      </x:c>
      <x:c r="AN410" s="6" t="str">
        <x:v>1.9646115214523192</x:v>
      </x:c>
      <x:c r="AO410" s="6" t="str">
        <x:v>-3.717072764314125</x:v>
      </x:c>
      <x:c r="AP410" s="8" t="str">
        <x:v>-1.2721733121767789</x:v>
      </x:c>
      <x:c r="AQ410" s="6" t="str">
        <x:v>-0.9533670856347792</x:v>
      </x:c>
      <x:c r="AR410" s="6" t="str">
        <x:v>-0.6957339889376518</x:v>
      </x:c>
      <x:c r="AS410" s="6" t="str">
        <x:v>-0.9737581289164045</x:v>
      </x:c>
      <x:c r="AT410" s="6" t="str">
        <x:v>-73.06714275252705</x:v>
      </x:c>
      <x:c r="AU410" s="8" t="str">
        <x:v>-0.8813367784011346</x:v>
      </x:c>
      <x:c r="AV410" s="6" t="str">
        <x:v>-0.8032241743520769</x:v>
      </x:c>
      <x:c r="AW410" s="6" t="str">
        <x:v>-1.0442286289355416</x:v>
      </x:c>
      <x:c r="AX410" s="6" t="str">
        <x:v>-0.9095965272295836</x:v>
      </x:c>
      <x:c r="AY410" s="6" t="str">
        <x:v>0</x:v>
      </x:c>
      <x:c r="AZ410" s="6" t="str">
        <x:v>1</x:v>
      </x:c>
      <x:c r="BA410" s="9" t="str">
        <x:v>grid_cells_within_BIG_polygon</x:v>
      </x:c>
      <x:c r="BB410" s="6" t="str">
        <x:v>7</x:v>
      </x:c>
      <x:c r="BC410" s="6" t="str">
        <x:v>2</x:v>
      </x:c>
      <x:c r="BD410" s="6" t="str">
        <x:v>2</x:v>
      </x:c>
      <x:c r="BE410" s="6" t="str">
        <x:v>2</x:v>
      </x:c>
      <x:c r="BF410" s="6" t="str">
        <x:v>0</x:v>
      </x:c>
      <x:c r="BG410" s="6" t="str">
        <x:v>0</x:v>
      </x:c>
      <x:c r="BH410" s="6" t="str">
        <x:v>0</x:v>
      </x:c>
      <x:c r="BI410" s="6" t="str">
        <x:v>0</x:v>
      </x:c>
      <x:c r="BJ410" s="6" t="str">
        <x:v>0</x:v>
      </x:c>
      <x:c r="BK410" s="6" t="str">
        <x:v>0</x:v>
      </x:c>
      <x:c r="BL410" s="6" t="str">
        <x:v>0</x:v>
      </x:c>
      <x:c r="BM410" s="6" t="str">
        <x:v>0</x:v>
      </x:c>
      <x:c r="BN410" s="6" t="str">
        <x:v>2</x:v>
      </x:c>
      <x:c r="BO410" s="6" t="str">
        <x:v>0.0</x:v>
      </x:c>
      <x:c r="BP410" s="6" t="str">
        <x:v>2</x:v>
      </x:c>
      <x:c r="BQ410" s="6" t="str">
        <x:v>0.0</x:v>
      </x:c>
      <x:c r="BR410" s="6" t="str">
        <x:v>2</x:v>
      </x:c>
      <x:c r="BS410" s="6" t="str">
        <x:v>0.0</x:v>
      </x:c>
      <x:c r="BT410" s="6" t="str">
        <x:v>2</x:v>
      </x:c>
      <x:c r="BU410" s="6" t="str">
        <x:v>20.0</x:v>
      </x:c>
      <x:c r="BV410" s="6" t="str">
        <x:v>1</x:v>
      </x:c>
      <x:c r="BW410" s="9" t="str">
        <x:v>operational_snapshot_annual_totals_may_differ</x:v>
      </x:c>
      <x:c r="BX410" s="9" t="str">
        <x:v>official_live_dashboard_snapshot_subject_to_revision</x:v>
      </x:c>
      <x:c r="BY410" s="9" t="str">
        <x:v>https://tbdashboard.sitb.id/ss_data_tbc03so_2024_provinsi_bulanan_list.php</x:v>
      </x:c>
      <x:c r="BZ410" s="6" t="n">
        <x:v>46246.610671296294</x:v>
      </x:c>
    </x:row>
    <x:row r="411" ht="18" customHeight="1">
      <x:c r="A411" s="6" t="str">
        <x:v>52</x:v>
      </x:c>
      <x:c r="B411" s="6" t="str">
        <x:v>NUSA TENGGARA BARAT</x:v>
      </x:c>
      <x:c r="C411" s="6" t="str">
        <x:v>2024</x:v>
      </x:c>
      <x:c r="D411" s="6" t="str">
        <x:v>2</x:v>
      </x:c>
      <x:c r="E411" s="6" t="str">
        <x:v>2024-02</x:v>
      </x:c>
      <x:c r="F411" s="6" t="str">
        <x:v>905</x:v>
      </x:c>
      <x:c r="G411" s="6" t="str">
        <x:v>331</x:v>
      </x:c>
      <x:c r="H411" s="6" t="str">
        <x:v>474</x:v>
      </x:c>
      <x:c r="I411" s="6" t="str">
        <x:v>38</x:v>
      </x:c>
      <x:c r="J411" s="6" t="str">
        <x:v>57</x:v>
      </x:c>
      <x:c r="K411" s="6" t="str">
        <x:v>4</x:v>
      </x:c>
      <x:c r="L411" s="6" t="str">
        <x:v>1</x:v>
      </x:c>
      <x:c r="M411" s="6" t="str">
        <x:v>0</x:v>
      </x:c>
      <x:c r="N411" s="6" t="str">
        <x:v>905</x:v>
      </x:c>
      <x:c r="O411" s="6" t="str">
        <x:v>0</x:v>
      </x:c>
      <x:c r="P411" s="10" t="n">
        <x:f>F411-M411</x:f>
        <x:v>905</x:v>
      </x:c>
      <x:c r="Q411" s="11" t="n">
        <x:f>IFERROR(M411/F411,"")</x:f>
        <x:v>0</x:v>
      </x:c>
      <x:c r="R411" s="10" t="n">
        <x:f>G411+H411</x:f>
        <x:v>805</x:v>
      </x:c>
      <x:c r="S411" s="11" t="n">
        <x:f>IFERROR(R411/F411,"")</x:f>
        <x:v>0.8895027624309392</x:v>
      </x:c>
      <x:c r="T411" s="11" t="n">
        <x:f>IFERROR(R411/P411,"")</x:f>
        <x:v>0.8895027624309392</x:v>
      </x:c>
      <x:c r="U411" s="10" t="n">
        <x:f>I411+J411+K411</x:f>
        <x:v>99</x:v>
      </x:c>
      <x:c r="V411" s="11" t="n">
        <x:f>IFERROR(U411/P411,"")</x:f>
        <x:v>0.10939226519337017</x:v>
      </x:c>
      <x:c r="W411" s="9" t="str">
        <x:v>mature_le_5pct_pending</x:v>
      </x:c>
      <x:c r="X411" s="12" t="n">
        <x:f>IFERROR(F411/Z411*100000,"")</x:f>
        <x:v>16.029047113000356</x:v>
      </x:c>
      <x:c r="Y411" s="13" t="n">
        <x:f>LN(Z411)</x:f>
        <x:v>15.546457887795572</x:v>
      </x:c>
      <x:c r="Z411" s="6" t="str">
        <x:v>5646000</x:v>
      </x:c>
      <x:c r="AA411" s="6" t="str">
        <x:v>287.0</x:v>
      </x:c>
      <x:c r="AB411" s="9" t="str">
        <x:v>2024-06-30</x:v>
      </x:c>
      <x:c r="AC411" s="8" t="str">
        <x:v>86.8</x:v>
      </x:c>
      <x:c r="AD411" s="9" t="str">
        <x:v>2024 (Susenas)</x:v>
      </x:c>
      <x:c r="AE411" s="8" t="str">
        <x:v>12.91</x:v>
      </x:c>
      <x:c r="AF411" s="9" t="str">
        <x:v>Maret 2024 (Susenas)</x:v>
      </x:c>
      <x:c r="AG411" s="6" t="str">
        <x:v>27.769975062631744</x:v>
      </x:c>
      <x:c r="AH411" s="8" t="str">
        <x:v>82.43836754503319</x:v>
      </x:c>
      <x:c r="AI411" s="6" t="str">
        <x:v>183.13981219184404</x:v>
      </x:c>
      <x:c r="AJ411" s="6" t="str">
        <x:v>1.4848593260186824</x:v>
      </x:c>
      <x:c r="AK411" s="8" t="str">
        <x:v>2.61487500614996</x:v>
      </x:c>
      <x:c r="AL411" s="6" t="str">
        <x:v>2.4160419105225763</x:v>
      </x:c>
      <x:c r="AM411" s="6" t="str">
        <x:v>1.809535851491923</x:v>
      </x:c>
      <x:c r="AN411" s="6" t="str">
        <x:v>2.2801509227214862</x:v>
      </x:c>
      <x:c r="AO411" s="6" t="str">
        <x:v>-2.540473877233921</x:v>
      </x:c>
      <x:c r="AP411" s="8" t="str">
        <x:v>-1.001390506355696</x:v>
      </x:c>
      <x:c r="AQ411" s="6" t="str">
        <x:v>-1.2721733121767789</x:v>
      </x:c>
      <x:c r="AR411" s="6" t="str">
        <x:v>-0.9533670856347792</x:v>
      </x:c>
      <x:c r="AS411" s="6" t="str">
        <x:v>-1.075643634722419</x:v>
      </x:c>
      <x:c r="AT411" s="6" t="str">
        <x:v>-52.72383676729049</x:v>
      </x:c>
      <x:c r="AU411" s="8" t="str">
        <x:v>-0.7262981247597402</x:v>
      </x:c>
      <x:c r="AV411" s="6" t="str">
        <x:v>-0.8813367784011346</x:v>
      </x:c>
      <x:c r="AW411" s="6" t="str">
        <x:v>-0.8032241743520769</x:v>
      </x:c>
      <x:c r="AX411" s="6" t="str">
        <x:v>-0.8036196925043168</x:v>
      </x:c>
      <x:c r="AY411" s="6" t="str">
        <x:v>0</x:v>
      </x:c>
      <x:c r="AZ411" s="6" t="str">
        <x:v>1</x:v>
      </x:c>
      <x:c r="BA411" s="9" t="str">
        <x:v>grid_cells_within_BIG_polygon</x:v>
      </x:c>
      <x:c r="BB411" s="6" t="str">
        <x:v>7</x:v>
      </x:c>
      <x:c r="BC411" s="6" t="str">
        <x:v>10</x:v>
      </x:c>
      <x:c r="BD411" s="6" t="str">
        <x:v>10</x:v>
      </x:c>
      <x:c r="BE411" s="6" t="str">
        <x:v>8</x:v>
      </x:c>
      <x:c r="BF411" s="6" t="str">
        <x:v>0</x:v>
      </x:c>
      <x:c r="BG411" s="6" t="str">
        <x:v>2</x:v>
      </x:c>
      <x:c r="BH411" s="6" t="str">
        <x:v>0</x:v>
      </x:c>
      <x:c r="BI411" s="6" t="str">
        <x:v>0</x:v>
      </x:c>
      <x:c r="BJ411" s="6" t="str">
        <x:v>0</x:v>
      </x:c>
      <x:c r="BK411" s="6" t="str">
        <x:v>0</x:v>
      </x:c>
      <x:c r="BL411" s="6" t="str">
        <x:v>0</x:v>
      </x:c>
      <x:c r="BM411" s="6" t="str">
        <x:v>0</x:v>
      </x:c>
      <x:c r="BN411" s="6" t="str">
        <x:v>10</x:v>
      </x:c>
      <x:c r="BO411" s="6" t="str">
        <x:v>1.0</x:v>
      </x:c>
      <x:c r="BP411" s="6" t="str">
        <x:v>10</x:v>
      </x:c>
      <x:c r="BQ411" s="6" t="str">
        <x:v>7.0</x:v>
      </x:c>
      <x:c r="BR411" s="6" t="str">
        <x:v>10</x:v>
      </x:c>
      <x:c r="BS411" s="6" t="str">
        <x:v>29.0</x:v>
      </x:c>
      <x:c r="BT411" s="6" t="str">
        <x:v>10</x:v>
      </x:c>
      <x:c r="BU411" s="6" t="str">
        <x:v>30.0</x:v>
      </x:c>
      <x:c r="BV411" s="6" t="str">
        <x:v>1</x:v>
      </x:c>
      <x:c r="BW411" s="9" t="str">
        <x:v>operational_snapshot_annual_totals_may_differ</x:v>
      </x:c>
      <x:c r="BX411" s="9" t="str">
        <x:v>official_live_dashboard_snapshot_subject_to_revision</x:v>
      </x:c>
      <x:c r="BY411" s="9" t="str">
        <x:v>https://tbdashboard.sitb.id/ss_data_tbc03so_2024_provinsi_bulanan_list.php</x:v>
      </x:c>
      <x:c r="BZ411" s="6" t="n">
        <x:v>46246.610671296294</x:v>
      </x:c>
    </x:row>
    <x:row r="412" ht="18" customHeight="1">
      <x:c r="A412" s="6" t="str">
        <x:v>52</x:v>
      </x:c>
      <x:c r="B412" s="6" t="str">
        <x:v>NUSA TENGGARA BARAT</x:v>
      </x:c>
      <x:c r="C412" s="6" t="str">
        <x:v>2024</x:v>
      </x:c>
      <x:c r="D412" s="6" t="str">
        <x:v>3</x:v>
      </x:c>
      <x:c r="E412" s="6" t="str">
        <x:v>2024-03</x:v>
      </x:c>
      <x:c r="F412" s="6" t="str">
        <x:v>878</x:v>
      </x:c>
      <x:c r="G412" s="6" t="str">
        <x:v>326</x:v>
      </x:c>
      <x:c r="H412" s="6" t="str">
        <x:v>442</x:v>
      </x:c>
      <x:c r="I412" s="6" t="str">
        <x:v>45</x:v>
      </x:c>
      <x:c r="J412" s="6" t="str">
        <x:v>62</x:v>
      </x:c>
      <x:c r="K412" s="6" t="str">
        <x:v>0</x:v>
      </x:c>
      <x:c r="L412" s="6" t="str">
        <x:v>1</x:v>
      </x:c>
      <x:c r="M412" s="6" t="str">
        <x:v>2</x:v>
      </x:c>
      <x:c r="N412" s="6" t="str">
        <x:v>878</x:v>
      </x:c>
      <x:c r="O412" s="6" t="str">
        <x:v>0</x:v>
      </x:c>
      <x:c r="P412" s="10" t="n">
        <x:f>F412-M412</x:f>
        <x:v>876</x:v>
      </x:c>
      <x:c r="Q412" s="11" t="n">
        <x:f>IFERROR(M412/F412,"")</x:f>
        <x:v>0.002277904328018223</x:v>
      </x:c>
      <x:c r="R412" s="10" t="n">
        <x:f>G412+H412</x:f>
        <x:v>768</x:v>
      </x:c>
      <x:c r="S412" s="11" t="n">
        <x:f>IFERROR(R412/F412,"")</x:f>
        <x:v>0.8747152619589977</x:v>
      </x:c>
      <x:c r="T412" s="11" t="n">
        <x:f>IFERROR(R412/P412,"")</x:f>
        <x:v>0.8767123287671232</x:v>
      </x:c>
      <x:c r="U412" s="10" t="n">
        <x:f>I412+J412+K412</x:f>
        <x:v>107</x:v>
      </x:c>
      <x:c r="V412" s="11" t="n">
        <x:f>IFERROR(U412/P412,"")</x:f>
        <x:v>0.12214611872146118</x:v>
      </x:c>
      <x:c r="W412" s="9" t="str">
        <x:v>mature_le_5pct_pending</x:v>
      </x:c>
      <x:c r="X412" s="12" t="n">
        <x:f>IFERROR(F412/Z412*100000,"")</x:f>
        <x:v>15.55083244775062</x:v>
      </x:c>
      <x:c r="Y412" s="13" t="n">
        <x:f>LN(Z412)</x:f>
        <x:v>15.546457887795572</x:v>
      </x:c>
      <x:c r="Z412" s="6" t="str">
        <x:v>5646000</x:v>
      </x:c>
      <x:c r="AA412" s="6" t="str">
        <x:v>287.0</x:v>
      </x:c>
      <x:c r="AB412" s="9" t="str">
        <x:v>2024-06-30</x:v>
      </x:c>
      <x:c r="AC412" s="8" t="str">
        <x:v>86.8</x:v>
      </x:c>
      <x:c r="AD412" s="9" t="str">
        <x:v>2024 (Susenas)</x:v>
      </x:c>
      <x:c r="AE412" s="8" t="str">
        <x:v>12.91</x:v>
      </x:c>
      <x:c r="AF412" s="9" t="str">
        <x:v>Maret 2024 (Susenas)</x:v>
      </x:c>
      <x:c r="AG412" s="6" t="str">
        <x:v>27.50287742159616</x:v>
      </x:c>
      <x:c r="AH412" s="8" t="str">
        <x:v>83.7655016329916</x:v>
      </x:c>
      <x:c r="AI412" s="6" t="str">
        <x:v>242.9773817575692</x:v>
      </x:c>
      <x:c r="AJ412" s="6" t="str">
        <x:v>0.9347267726675454</x:v>
      </x:c>
      <x:c r="AK412" s="8" t="str">
        <x:v>1.700733342134033</x:v>
      </x:c>
      <x:c r="AL412" s="6" t="str">
        <x:v>2.61487500614996</x:v>
      </x:c>
      <x:c r="AM412" s="6" t="str">
        <x:v>2.4160419105225763</x:v>
      </x:c>
      <x:c r="AN412" s="6" t="str">
        <x:v>2.2438834196021893</x:v>
      </x:c>
      <x:c r="AO412" s="6" t="str">
        <x:v>0.6061199567830613</x:v>
      </x:c>
      <x:c r="AP412" s="8" t="str">
        <x:v>0.2380075429586191</x:v>
      </x:c>
      <x:c r="AQ412" s="6" t="str">
        <x:v>-1.001390506355696</x:v>
      </x:c>
      <x:c r="AR412" s="6" t="str">
        <x:v>-1.2721733121767789</x:v>
      </x:c>
      <x:c r="AS412" s="6" t="str">
        <x:v>-0.6785187585246195</x:v>
      </x:c>
      <x:c r="AT412" s="6" t="str">
        <x:v>60.89219472565975</x:v>
      </x:c>
      <x:c r="AU412" s="8" t="str">
        <x:v>0.8081194794220912</x:v>
      </x:c>
      <x:c r="AV412" s="6" t="str">
        <x:v>-0.7262981247597402</x:v>
      </x:c>
      <x:c r="AW412" s="6" t="str">
        <x:v>-0.8813367784011346</x:v>
      </x:c>
      <x:c r="AX412" s="6" t="str">
        <x:v>-0.2665051412462607</x:v>
      </x:c>
      <x:c r="AY412" s="6" t="str">
        <x:v>0</x:v>
      </x:c>
      <x:c r="AZ412" s="6" t="str">
        <x:v>1</x:v>
      </x:c>
      <x:c r="BA412" s="9" t="str">
        <x:v>grid_cells_within_BIG_polygon</x:v>
      </x:c>
      <x:c r="BB412" s="6" t="str">
        <x:v>7</x:v>
      </x:c>
      <x:c r="BC412" s="6" t="str">
        <x:v>10</x:v>
      </x:c>
      <x:c r="BD412" s="6" t="str">
        <x:v>10</x:v>
      </x:c>
      <x:c r="BE412" s="6" t="str">
        <x:v>5</x:v>
      </x:c>
      <x:c r="BF412" s="6" t="str">
        <x:v>1</x:v>
      </x:c>
      <x:c r="BG412" s="6" t="str">
        <x:v>3</x:v>
      </x:c>
      <x:c r="BH412" s="6" t="str">
        <x:v>0</x:v>
      </x:c>
      <x:c r="BI412" s="6" t="str">
        <x:v>0</x:v>
      </x:c>
      <x:c r="BJ412" s="6" t="str">
        <x:v>1</x:v>
      </x:c>
      <x:c r="BK412" s="6" t="str">
        <x:v>0</x:v>
      </x:c>
      <x:c r="BL412" s="6" t="str">
        <x:v>0</x:v>
      </x:c>
      <x:c r="BM412" s="6" t="str">
        <x:v>0</x:v>
      </x:c>
      <x:c r="BN412" s="6" t="str">
        <x:v>10</x:v>
      </x:c>
      <x:c r="BO412" s="6" t="str">
        <x:v>0.0</x:v>
      </x:c>
      <x:c r="BP412" s="6" t="str">
        <x:v>10</x:v>
      </x:c>
      <x:c r="BQ412" s="6" t="str">
        <x:v>0.0</x:v>
      </x:c>
      <x:c r="BR412" s="6" t="str">
        <x:v>10</x:v>
      </x:c>
      <x:c r="BS412" s="6" t="str">
        <x:v>79.0</x:v>
      </x:c>
      <x:c r="BT412" s="6" t="str">
        <x:v>10</x:v>
      </x:c>
      <x:c r="BU412" s="6" t="str">
        <x:v>245.0</x:v>
      </x:c>
      <x:c r="BV412" s="6" t="str">
        <x:v>2</x:v>
      </x:c>
      <x:c r="BW412" s="9" t="str">
        <x:v>operational_snapshot_annual_totals_may_differ</x:v>
      </x:c>
      <x:c r="BX412" s="9" t="str">
        <x:v>official_live_dashboard_snapshot_subject_to_revision</x:v>
      </x:c>
      <x:c r="BY412" s="9" t="str">
        <x:v>https://tbdashboard.sitb.id/ss_data_tbc03so_2024_provinsi_bulanan_list.php</x:v>
      </x:c>
      <x:c r="BZ412" s="6" t="n">
        <x:v>46246.610671296294</x:v>
      </x:c>
    </x:row>
    <x:row r="413" ht="18" customHeight="1">
      <x:c r="A413" s="6" t="str">
        <x:v>52</x:v>
      </x:c>
      <x:c r="B413" s="6" t="str">
        <x:v>NUSA TENGGARA BARAT</x:v>
      </x:c>
      <x:c r="C413" s="6" t="str">
        <x:v>2024</x:v>
      </x:c>
      <x:c r="D413" s="6" t="str">
        <x:v>4</x:v>
      </x:c>
      <x:c r="E413" s="6" t="str">
        <x:v>2024-04</x:v>
      </x:c>
      <x:c r="F413" s="6" t="str">
        <x:v>810</x:v>
      </x:c>
      <x:c r="G413" s="6" t="str">
        <x:v>310</x:v>
      </x:c>
      <x:c r="H413" s="6" t="str">
        <x:v>389</x:v>
      </x:c>
      <x:c r="I413" s="6" t="str">
        <x:v>48</x:v>
      </x:c>
      <x:c r="J413" s="6" t="str">
        <x:v>60</x:v>
      </x:c>
      <x:c r="K413" s="6" t="str">
        <x:v>0</x:v>
      </x:c>
      <x:c r="L413" s="6" t="str">
        <x:v>0</x:v>
      </x:c>
      <x:c r="M413" s="6" t="str">
        <x:v>3</x:v>
      </x:c>
      <x:c r="N413" s="6" t="str">
        <x:v>810</x:v>
      </x:c>
      <x:c r="O413" s="6" t="str">
        <x:v>0</x:v>
      </x:c>
      <x:c r="P413" s="10" t="n">
        <x:f>F413-M413</x:f>
        <x:v>807</x:v>
      </x:c>
      <x:c r="Q413" s="11" t="n">
        <x:f>IFERROR(M413/F413,"")</x:f>
        <x:v>0.003703703703703704</x:v>
      </x:c>
      <x:c r="R413" s="10" t="n">
        <x:f>G413+H413</x:f>
        <x:v>699</x:v>
      </x:c>
      <x:c r="S413" s="11" t="n">
        <x:f>IFERROR(R413/F413,"")</x:f>
        <x:v>0.8629629629629629</x:v>
      </x:c>
      <x:c r="T413" s="11" t="n">
        <x:f>IFERROR(R413/P413,"")</x:f>
        <x:v>0.8661710037174721</x:v>
      </x:c>
      <x:c r="U413" s="10" t="n">
        <x:f>I413+J413+K413</x:f>
        <x:v>108</x:v>
      </x:c>
      <x:c r="V413" s="11" t="n">
        <x:f>IFERROR(U413/P413,"")</x:f>
        <x:v>0.13382899628252787</x:v>
      </x:c>
      <x:c r="W413" s="9" t="str">
        <x:v>mature_le_5pct_pending</x:v>
      </x:c>
      <x:c r="X413" s="12" t="n">
        <x:f>IFERROR(F413/Z413*100000,"")</x:f>
        <x:v>14.346439957492029</x:v>
      </x:c>
      <x:c r="Y413" s="13" t="n">
        <x:f>LN(Z413)</x:f>
        <x:v>15.546457887795572</x:v>
      </x:c>
      <x:c r="Z413" s="6" t="str">
        <x:v>5646000</x:v>
      </x:c>
      <x:c r="AA413" s="6" t="str">
        <x:v>287.0</x:v>
      </x:c>
      <x:c r="AB413" s="9" t="str">
        <x:v>2024-06-30</x:v>
      </x:c>
      <x:c r="AC413" s="8" t="str">
        <x:v>86.8</x:v>
      </x:c>
      <x:c r="AD413" s="9" t="str">
        <x:v>2024 (Susenas)</x:v>
      </x:c>
      <x:c r="AE413" s="8" t="str">
        <x:v>12.91</x:v>
      </x:c>
      <x:c r="AF413" s="9" t="str">
        <x:v>Maret 2024 (Susenas)</x:v>
      </x:c>
      <x:c r="AG413" s="6" t="str">
        <x:v>27.595808554447007</x:v>
      </x:c>
      <x:c r="AH413" s="8" t="str">
        <x:v>83.9249971308493</x:v>
      </x:c>
      <x:c r="AI413" s="6" t="str">
        <x:v>143.01396509097964</x:v>
      </x:c>
      <x:c r="AJ413" s="6" t="str">
        <x:v>0.9116460768031692</x:v>
      </x:c>
      <x:c r="AK413" s="8" t="str">
        <x:v>1.865373248141287</x:v>
      </x:c>
      <x:c r="AL413" s="6" t="str">
        <x:v>1.700733342134033</x:v>
      </x:c>
      <x:c r="AM413" s="6" t="str">
        <x:v>2.61487500614996</x:v>
      </x:c>
      <x:c r="AN413" s="6" t="str">
        <x:v>2.060327198808426</x:v>
      </x:c>
      <x:c r="AO413" s="6" t="str">
        <x:v>1.7038505676163993</x:v>
      </x:c>
      <x:c r="AP413" s="8" t="str">
        <x:v>0.972377409474978</x:v>
      </x:c>
      <x:c r="AQ413" s="6" t="str">
        <x:v>0.2380075429586191</x:v>
      </x:c>
      <x:c r="AR413" s="6" t="str">
        <x:v>-1.001390506355696</x:v>
      </x:c>
      <x:c r="AS413" s="6" t="str">
        <x:v>0.0696648153592993</x:v>
      </x:c>
      <x:c r="AT413" s="6" t="str">
        <x:v>25.011177827561013</x:v>
      </x:c>
      <x:c r="AU413" s="8" t="str">
        <x:v>0.4945066552975268</x:v>
      </x:c>
      <x:c r="AV413" s="6" t="str">
        <x:v>0.8081194794220912</x:v>
      </x:c>
      <x:c r="AW413" s="6" t="str">
        <x:v>-0.7262981247597402</x:v>
      </x:c>
      <x:c r="AX413" s="6" t="str">
        <x:v>0.1921093366532931</x:v>
      </x:c>
      <x:c r="AY413" s="6" t="str">
        <x:v>0</x:v>
      </x:c>
      <x:c r="AZ413" s="6" t="str">
        <x:v>1</x:v>
      </x:c>
      <x:c r="BA413" s="9" t="str">
        <x:v>grid_cells_within_BIG_polygon</x:v>
      </x:c>
      <x:c r="BB413" s="6" t="str">
        <x:v>7</x:v>
      </x:c>
      <x:c r="BC413" s="6" t="str">
        <x:v>2</x:v>
      </x:c>
      <x:c r="BD413" s="6" t="str">
        <x:v>2</x:v>
      </x:c>
      <x:c r="BE413" s="6" t="str">
        <x:v>2</x:v>
      </x:c>
      <x:c r="BF413" s="6" t="str">
        <x:v>0</x:v>
      </x:c>
      <x:c r="BG413" s="6" t="str">
        <x:v>0</x:v>
      </x:c>
      <x:c r="BH413" s="6" t="str">
        <x:v>0</x:v>
      </x:c>
      <x:c r="BI413" s="6" t="str">
        <x:v>0</x:v>
      </x:c>
      <x:c r="BJ413" s="6" t="str">
        <x:v>0</x:v>
      </x:c>
      <x:c r="BK413" s="6" t="str">
        <x:v>0</x:v>
      </x:c>
      <x:c r="BL413" s="6" t="str">
        <x:v>0</x:v>
      </x:c>
      <x:c r="BM413" s="6" t="str">
        <x:v>0</x:v>
      </x:c>
      <x:c r="BN413" s="6" t="str">
        <x:v>2</x:v>
      </x:c>
      <x:c r="BO413" s="6" t="str">
        <x:v>0.0</x:v>
      </x:c>
      <x:c r="BP413" s="6" t="str">
        <x:v>2</x:v>
      </x:c>
      <x:c r="BQ413" s="6" t="str">
        <x:v>0.0</x:v>
      </x:c>
      <x:c r="BR413" s="6" t="str">
        <x:v>2</x:v>
      </x:c>
      <x:c r="BS413" s="6" t="str">
        <x:v>0.0</x:v>
      </x:c>
      <x:c r="BT413" s="6" t="str">
        <x:v>2</x:v>
      </x:c>
      <x:c r="BU413" s="6" t="str">
        <x:v>145.0</x:v>
      </x:c>
      <x:c r="BV413" s="6" t="str">
        <x:v>1</x:v>
      </x:c>
      <x:c r="BW413" s="9" t="str">
        <x:v>operational_snapshot_annual_totals_may_differ</x:v>
      </x:c>
      <x:c r="BX413" s="9" t="str">
        <x:v>official_live_dashboard_snapshot_subject_to_revision</x:v>
      </x:c>
      <x:c r="BY413" s="9" t="str">
        <x:v>https://tbdashboard.sitb.id/ss_data_tbc03so_2024_provinsi_bulanan_list.php</x:v>
      </x:c>
      <x:c r="BZ413" s="6" t="n">
        <x:v>46246.610671296294</x:v>
      </x:c>
    </x:row>
    <x:row r="414" ht="18" customHeight="1">
      <x:c r="A414" s="6" t="str">
        <x:v>52</x:v>
      </x:c>
      <x:c r="B414" s="6" t="str">
        <x:v>NUSA TENGGARA BARAT</x:v>
      </x:c>
      <x:c r="C414" s="6" t="str">
        <x:v>2024</x:v>
      </x:c>
      <x:c r="D414" s="6" t="str">
        <x:v>5</x:v>
      </x:c>
      <x:c r="E414" s="6" t="str">
        <x:v>2024-05</x:v>
      </x:c>
      <x:c r="F414" s="6" t="str">
        <x:v>953</x:v>
      </x:c>
      <x:c r="G414" s="6" t="str">
        <x:v>414</x:v>
      </x:c>
      <x:c r="H414" s="6" t="str">
        <x:v>422</x:v>
      </x:c>
      <x:c r="I414" s="6" t="str">
        <x:v>38</x:v>
      </x:c>
      <x:c r="J414" s="6" t="str">
        <x:v>75</x:v>
      </x:c>
      <x:c r="K414" s="6" t="str">
        <x:v>1</x:v>
      </x:c>
      <x:c r="L414" s="6" t="str">
        <x:v>0</x:v>
      </x:c>
      <x:c r="M414" s="6" t="str">
        <x:v>3</x:v>
      </x:c>
      <x:c r="N414" s="6" t="str">
        <x:v>953</x:v>
      </x:c>
      <x:c r="O414" s="6" t="str">
        <x:v>0</x:v>
      </x:c>
      <x:c r="P414" s="10" t="n">
        <x:f>F414-M414</x:f>
        <x:v>950</x:v>
      </x:c>
      <x:c r="Q414" s="11" t="n">
        <x:f>IFERROR(M414/F414,"")</x:f>
        <x:v>0.0031479538300104933</x:v>
      </x:c>
      <x:c r="R414" s="10" t="n">
        <x:f>G414+H414</x:f>
        <x:v>836</x:v>
      </x:c>
      <x:c r="S414" s="11" t="n">
        <x:f>IFERROR(R414/F414,"")</x:f>
        <x:v>0.8772298006295908</x:v>
      </x:c>
      <x:c r="T414" s="11" t="n">
        <x:f>IFERROR(R414/P414,"")</x:f>
        <x:v>0.88</x:v>
      </x:c>
      <x:c r="U414" s="10" t="n">
        <x:f>I414+J414+K414</x:f>
        <x:v>114</x:v>
      </x:c>
      <x:c r="V414" s="11" t="n">
        <x:f>IFERROR(U414/P414,"")</x:f>
        <x:v>0.12</x:v>
      </x:c>
      <x:c r="W414" s="9" t="str">
        <x:v>mature_le_5pct_pending</x:v>
      </x:c>
      <x:c r="X414" s="12" t="n">
        <x:f>IFERROR(F414/Z414*100000,"")</x:f>
        <x:v>16.87920651788877</x:v>
      </x:c>
      <x:c r="Y414" s="13" t="n">
        <x:f>LN(Z414)</x:f>
        <x:v>15.546457887795572</x:v>
      </x:c>
      <x:c r="Z414" s="6" t="str">
        <x:v>5646000</x:v>
      </x:c>
      <x:c r="AA414" s="6" t="str">
        <x:v>287.0</x:v>
      </x:c>
      <x:c r="AB414" s="9" t="str">
        <x:v>2024-06-30</x:v>
      </x:c>
      <x:c r="AC414" s="8" t="str">
        <x:v>86.8</x:v>
      </x:c>
      <x:c r="AD414" s="9" t="str">
        <x:v>2024 (Susenas)</x:v>
      </x:c>
      <x:c r="AE414" s="8" t="str">
        <x:v>12.91</x:v>
      </x:c>
      <x:c r="AF414" s="9" t="str">
        <x:v>Maret 2024 (Susenas)</x:v>
      </x:c>
      <x:c r="AG414" s="6" t="str">
        <x:v>27.0973911346773</x:v>
      </x:c>
      <x:c r="AH414" s="8" t="str">
        <x:v>81.55559180764509</x:v>
      </x:c>
      <x:c r="AI414" s="6" t="str">
        <x:v>9.297026698400938</x:v>
      </x:c>
      <x:c r="AJ414" s="6" t="str">
        <x:v>0.9549764677074926</x:v>
      </x:c>
      <x:c r="AK414" s="8" t="str">
        <x:v>1.5765190838265697</x:v>
      </x:c>
      <x:c r="AL414" s="6" t="str">
        <x:v>1.865373248141287</x:v>
      </x:c>
      <x:c r="AM414" s="6" t="str">
        <x:v>1.700733342134033</x:v>
      </x:c>
      <x:c r="AN414" s="6" t="str">
        <x:v>1.714208558033963</x:v>
      </x:c>
      <x:c r="AO414" s="6" t="str">
        <x:v>0.587862595297139</x:v>
      </x:c>
      <x:c r="AP414" s="8" t="str">
        <x:v>0.2420310674461522</x:v>
      </x:c>
      <x:c r="AQ414" s="6" t="str">
        <x:v>0.972377409474978</x:v>
      </x:c>
      <x:c r="AR414" s="6" t="str">
        <x:v>0.2380075429586191</x:v>
      </x:c>
      <x:c r="AS414" s="6" t="str">
        <x:v>0.4841386732932488</x:v>
      </x:c>
      <x:c r="AT414" s="6" t="str">
        <x:v>-45.47665704516525</x:v>
      </x:c>
      <x:c r="AU414" s="8" t="str">
        <x:v>-1.031522682451502</x:v>
      </x:c>
      <x:c r="AV414" s="6" t="str">
        <x:v>0.4945066552975268</x:v>
      </x:c>
      <x:c r="AW414" s="6" t="str">
        <x:v>0.8081194794220912</x:v>
      </x:c>
      <x:c r="AX414" s="6" t="str">
        <x:v>0.0903678174227058</x:v>
      </x:c>
      <x:c r="AY414" s="6" t="str">
        <x:v>0</x:v>
      </x:c>
      <x:c r="AZ414" s="6" t="str">
        <x:v>1</x:v>
      </x:c>
      <x:c r="BA414" s="9" t="str">
        <x:v>grid_cells_within_BIG_polygon</x:v>
      </x:c>
      <x:c r="BB414" s="6" t="str">
        <x:v>7</x:v>
      </x:c>
      <x:c r="BC414" s="6" t="str">
        <x:v>0</x:v>
      </x:c>
      <x:c r="BD414" s="6" t="str">
        <x:v>0</x:v>
      </x:c>
      <x:c r="BE414" s="6" t="str">
        <x:v>0</x:v>
      </x:c>
      <x:c r="BF414" s="6" t="str">
        <x:v>0</x:v>
      </x:c>
      <x:c r="BG414" s="6" t="str">
        <x:v>0</x:v>
      </x:c>
      <x:c r="BH414" s="6" t="str">
        <x:v>0</x:v>
      </x:c>
      <x:c r="BI414" s="6" t="str">
        <x:v>0</x:v>
      </x:c>
      <x:c r="BJ414" s="6" t="str">
        <x:v>0</x:v>
      </x:c>
      <x:c r="BK414" s="6" t="str">
        <x:v>0</x:v>
      </x:c>
      <x:c r="BL414" s="6" t="str">
        <x:v>0</x:v>
      </x:c>
      <x:c r="BM414" s="6" t="str">
        <x:v>0</x:v>
      </x:c>
      <x:c r="BN414" s="6" t="str">
        <x:v>0</x:v>
      </x:c>
      <x:c r="BO414" s="6" t="str"/>
      <x:c r="BP414" s="6" t="str">
        <x:v>0</x:v>
      </x:c>
      <x:c r="BQ414" s="6" t="str"/>
      <x:c r="BR414" s="6" t="str">
        <x:v>0</x:v>
      </x:c>
      <x:c r="BS414" s="6" t="str"/>
      <x:c r="BT414" s="6" t="str">
        <x:v>0</x:v>
      </x:c>
      <x:c r="BU414" s="6" t="str"/>
      <x:c r="BV414" s="6" t="str">
        <x:v>0</x:v>
      </x:c>
      <x:c r="BW414" s="9" t="str">
        <x:v>operational_snapshot_annual_totals_may_differ</x:v>
      </x:c>
      <x:c r="BX414" s="9" t="str">
        <x:v>official_live_dashboard_snapshot_subject_to_revision</x:v>
      </x:c>
      <x:c r="BY414" s="9" t="str">
        <x:v>https://tbdashboard.sitb.id/ss_data_tbc03so_2024_provinsi_bulanan_list.php</x:v>
      </x:c>
      <x:c r="BZ414" s="6" t="n">
        <x:v>46246.610671296294</x:v>
      </x:c>
    </x:row>
    <x:row r="415" ht="18" customHeight="1">
      <x:c r="A415" s="6" t="str">
        <x:v>52</x:v>
      </x:c>
      <x:c r="B415" s="6" t="str">
        <x:v>NUSA TENGGARA BARAT</x:v>
      </x:c>
      <x:c r="C415" s="6" t="str">
        <x:v>2024</x:v>
      </x:c>
      <x:c r="D415" s="6" t="str">
        <x:v>6</x:v>
      </x:c>
      <x:c r="E415" s="6" t="str">
        <x:v>2024-06</x:v>
      </x:c>
      <x:c r="F415" s="6" t="str">
        <x:v>828</x:v>
      </x:c>
      <x:c r="G415" s="6" t="str">
        <x:v>328</x:v>
      </x:c>
      <x:c r="H415" s="6" t="str">
        <x:v>397</x:v>
      </x:c>
      <x:c r="I415" s="6" t="str">
        <x:v>35</x:v>
      </x:c>
      <x:c r="J415" s="6" t="str">
        <x:v>66</x:v>
      </x:c>
      <x:c r="K415" s="6" t="str">
        <x:v>1</x:v>
      </x:c>
      <x:c r="L415" s="6" t="str">
        <x:v>0</x:v>
      </x:c>
      <x:c r="M415" s="6" t="str">
        <x:v>1</x:v>
      </x:c>
      <x:c r="N415" s="6" t="str">
        <x:v>828</x:v>
      </x:c>
      <x:c r="O415" s="6" t="str">
        <x:v>0</x:v>
      </x:c>
      <x:c r="P415" s="10" t="n">
        <x:f>F415-M415</x:f>
        <x:v>827</x:v>
      </x:c>
      <x:c r="Q415" s="11" t="n">
        <x:f>IFERROR(M415/F415,"")</x:f>
        <x:v>0.0012077294685990338</x:v>
      </x:c>
      <x:c r="R415" s="10" t="n">
        <x:f>G415+H415</x:f>
        <x:v>725</x:v>
      </x:c>
      <x:c r="S415" s="11" t="n">
        <x:f>IFERROR(R415/F415,"")</x:f>
        <x:v>0.8756038647342995</x:v>
      </x:c>
      <x:c r="T415" s="11" t="n">
        <x:f>IFERROR(R415/P415,"")</x:f>
        <x:v>0.8766626360338573</x:v>
      </x:c>
      <x:c r="U415" s="10" t="n">
        <x:f>I415+J415+K415</x:f>
        <x:v>102</x:v>
      </x:c>
      <x:c r="V415" s="11" t="n">
        <x:f>IFERROR(U415/P415,"")</x:f>
        <x:v>0.12333736396614269</x:v>
      </x:c>
      <x:c r="W415" s="9" t="str">
        <x:v>mature_le_5pct_pending</x:v>
      </x:c>
      <x:c r="X415" s="12" t="n">
        <x:f>IFERROR(F415/Z415*100000,"")</x:f>
        <x:v>14.665249734325187</x:v>
      </x:c>
      <x:c r="Y415" s="13" t="n">
        <x:f>LN(Z415)</x:f>
        <x:v>15.546457887795572</x:v>
      </x:c>
      <x:c r="Z415" s="6" t="str">
        <x:v>5646000</x:v>
      </x:c>
      <x:c r="AA415" s="6" t="str">
        <x:v>287.0</x:v>
      </x:c>
      <x:c r="AB415" s="9" t="str">
        <x:v>2024-06-30</x:v>
      </x:c>
      <x:c r="AC415" s="8" t="str">
        <x:v>86.8</x:v>
      </x:c>
      <x:c r="AD415" s="9" t="str">
        <x:v>2024 (Susenas)</x:v>
      </x:c>
      <x:c r="AE415" s="8" t="str">
        <x:v>12.91</x:v>
      </x:c>
      <x:c r="AF415" s="9" t="str">
        <x:v>Maret 2024 (Susenas)</x:v>
      </x:c>
      <x:c r="AG415" s="6" t="str">
        <x:v>26.48890465758013</x:v>
      </x:c>
      <x:c r="AH415" s="8" t="str">
        <x:v>79.06504894032088</x:v>
      </x:c>
      <x:c r="AI415" s="6" t="str">
        <x:v>18.810397129060764</x:v>
      </x:c>
      <x:c r="AJ415" s="6" t="str">
        <x:v>1.0059712878587312</x:v>
      </x:c>
      <x:c r="AK415" s="8" t="str">
        <x:v>1.3674402384320592</x:v>
      </x:c>
      <x:c r="AL415" s="6" t="str">
        <x:v>1.5765190838265697</x:v>
      </x:c>
      <x:c r="AM415" s="6" t="str">
        <x:v>1.865373248141287</x:v>
      </x:c>
      <x:c r="AN415" s="6" t="str">
        <x:v>1.6031108567999717</x:v>
      </x:c>
      <x:c r="AO415" s="6" t="str">
        <x:v>-0.4281115054590714</x:v>
      </x:c>
      <x:c r="AP415" s="8" t="str">
        <x:v>-0.1629577385499937</x:v>
      </x:c>
      <x:c r="AQ415" s="6" t="str">
        <x:v>0.2420310674461522</x:v>
      </x:c>
      <x:c r="AR415" s="6" t="str">
        <x:v>0.972377409474978</x:v>
      </x:c>
      <x:c r="AS415" s="6" t="str">
        <x:v>0.3504835794570445</x:v>
      </x:c>
      <x:c r="AT415" s="6" t="str">
        <x:v>-8.954801418993657</x:v>
      </x:c>
      <x:c r="AU415" s="8" t="str">
        <x:v>-0.2928096017236278</x:v>
      </x:c>
      <x:c r="AV415" s="6" t="str">
        <x:v>-1.031522682451502</x:v>
      </x:c>
      <x:c r="AW415" s="6" t="str">
        <x:v>0.4945066552975268</x:v>
      </x:c>
      <x:c r="AX415" s="6" t="str">
        <x:v>-0.2766085429592005</x:v>
      </x:c>
      <x:c r="AY415" s="6" t="str">
        <x:v>0</x:v>
      </x:c>
      <x:c r="AZ415" s="6" t="str">
        <x:v>1</x:v>
      </x:c>
      <x:c r="BA415" s="9" t="str">
        <x:v>grid_cells_within_BIG_polygon</x:v>
      </x:c>
      <x:c r="BB415" s="6" t="str">
        <x:v>7</x:v>
      </x:c>
      <x:c r="BC415" s="6" t="str">
        <x:v>7</x:v>
      </x:c>
      <x:c r="BD415" s="6" t="str">
        <x:v>7</x:v>
      </x:c>
      <x:c r="BE415" s="6" t="str">
        <x:v>0</x:v>
      </x:c>
      <x:c r="BF415" s="6" t="str">
        <x:v>0</x:v>
      </x:c>
      <x:c r="BG415" s="6" t="str">
        <x:v>0</x:v>
      </x:c>
      <x:c r="BH415" s="6" t="str">
        <x:v>5</x:v>
      </x:c>
      <x:c r="BI415" s="6" t="str">
        <x:v>2</x:v>
      </x:c>
      <x:c r="BJ415" s="6" t="str">
        <x:v>0</x:v>
      </x:c>
      <x:c r="BK415" s="6" t="str">
        <x:v>0</x:v>
      </x:c>
      <x:c r="BL415" s="6" t="str">
        <x:v>0</x:v>
      </x:c>
      <x:c r="BM415" s="6" t="str">
        <x:v>0</x:v>
      </x:c>
      <x:c r="BN415" s="6" t="str">
        <x:v>7</x:v>
      </x:c>
      <x:c r="BO415" s="6" t="str">
        <x:v>0.0</x:v>
      </x:c>
      <x:c r="BP415" s="6" t="str">
        <x:v>7</x:v>
      </x:c>
      <x:c r="BQ415" s="6" t="str">
        <x:v>0.0</x:v>
      </x:c>
      <x:c r="BR415" s="6" t="str">
        <x:v>7</x:v>
      </x:c>
      <x:c r="BS415" s="6" t="str">
        <x:v>0.0</x:v>
      </x:c>
      <x:c r="BT415" s="6" t="str">
        <x:v>7</x:v>
      </x:c>
      <x:c r="BU415" s="6" t="str"/>
      <x:c r="BV415" s="6" t="str">
        <x:v>0</x:v>
      </x:c>
      <x:c r="BW415" s="9" t="str">
        <x:v>operational_snapshot_annual_totals_may_differ</x:v>
      </x:c>
      <x:c r="BX415" s="9" t="str">
        <x:v>official_live_dashboard_snapshot_subject_to_revision</x:v>
      </x:c>
      <x:c r="BY415" s="9" t="str">
        <x:v>https://tbdashboard.sitb.id/ss_data_tbc03so_2024_provinsi_bulanan_list.php</x:v>
      </x:c>
      <x:c r="BZ415" s="6" t="n">
        <x:v>46246.610671296294</x:v>
      </x:c>
    </x:row>
    <x:row r="416" ht="18" customHeight="1">
      <x:c r="A416" s="6" t="str">
        <x:v>52</x:v>
      </x:c>
      <x:c r="B416" s="6" t="str">
        <x:v>NUSA TENGGARA BARAT</x:v>
      </x:c>
      <x:c r="C416" s="6" t="str">
        <x:v>2024</x:v>
      </x:c>
      <x:c r="D416" s="6" t="str">
        <x:v>7</x:v>
      </x:c>
      <x:c r="E416" s="6" t="str">
        <x:v>2024-07</x:v>
      </x:c>
      <x:c r="F416" s="6" t="str">
        <x:v>974</x:v>
      </x:c>
      <x:c r="G416" s="6" t="str">
        <x:v>403</x:v>
      </x:c>
      <x:c r="H416" s="6" t="str">
        <x:v>444</x:v>
      </x:c>
      <x:c r="I416" s="6" t="str">
        <x:v>36</x:v>
      </x:c>
      <x:c r="J416" s="6" t="str">
        <x:v>81</x:v>
      </x:c>
      <x:c r="K416" s="6" t="str">
        <x:v>3</x:v>
      </x:c>
      <x:c r="L416" s="6" t="str">
        <x:v>2</x:v>
      </x:c>
      <x:c r="M416" s="6" t="str">
        <x:v>5</x:v>
      </x:c>
      <x:c r="N416" s="6" t="str">
        <x:v>974</x:v>
      </x:c>
      <x:c r="O416" s="6" t="str">
        <x:v>0</x:v>
      </x:c>
      <x:c r="P416" s="10" t="n">
        <x:f>F416-M416</x:f>
        <x:v>969</x:v>
      </x:c>
      <x:c r="Q416" s="11" t="n">
        <x:f>IFERROR(M416/F416,"")</x:f>
        <x:v>0.00513347022587269</x:v>
      </x:c>
      <x:c r="R416" s="10" t="n">
        <x:f>G416+H416</x:f>
        <x:v>847</x:v>
      </x:c>
      <x:c r="S416" s="11" t="n">
        <x:f>IFERROR(R416/F416,"")</x:f>
        <x:v>0.8696098562628337</x:v>
      </x:c>
      <x:c r="T416" s="11" t="n">
        <x:f>IFERROR(R416/P416,"")</x:f>
        <x:v>0.8740970072239422</x:v>
      </x:c>
      <x:c r="U416" s="10" t="n">
        <x:f>I416+J416+K416</x:f>
        <x:v>120</x:v>
      </x:c>
      <x:c r="V416" s="11" t="n">
        <x:f>IFERROR(U416/P416,"")</x:f>
        <x:v>0.1238390092879257</x:v>
      </x:c>
      <x:c r="W416" s="9" t="str">
        <x:v>mature_le_5pct_pending</x:v>
      </x:c>
      <x:c r="X416" s="12" t="n">
        <x:f>IFERROR(F416/Z416*100000,"")</x:f>
        <x:v>17.25115125752745</x:v>
      </x:c>
      <x:c r="Y416" s="13" t="n">
        <x:f>LN(Z416)</x:f>
        <x:v>15.546457887795572</x:v>
      </x:c>
      <x:c r="Z416" s="6" t="str">
        <x:v>5646000</x:v>
      </x:c>
      <x:c r="AA416" s="6" t="str">
        <x:v>287.0</x:v>
      </x:c>
      <x:c r="AB416" s="9" t="str">
        <x:v>2024-06-30</x:v>
      </x:c>
      <x:c r="AC416" s="8" t="str">
        <x:v>86.8</x:v>
      </x:c>
      <x:c r="AD416" s="9" t="str">
        <x:v>2024 (Susenas)</x:v>
      </x:c>
      <x:c r="AE416" s="8" t="str">
        <x:v>12.91</x:v>
      </x:c>
      <x:c r="AF416" s="9" t="str">
        <x:v>Maret 2024 (Susenas)</x:v>
      </x:c>
      <x:c r="AG416" s="6" t="str">
        <x:v>25.953220789974367</x:v>
      </x:c>
      <x:c r="AH416" s="8" t="str">
        <x:v>76.29613852796344</x:v>
      </x:c>
      <x:c r="AI416" s="6" t="str">
        <x:v>24.222102461397263</x:v>
      </x:c>
      <x:c r="AJ416" s="6" t="str">
        <x:v>0.9295965201289178</x:v>
      </x:c>
      <x:c r="AK416" s="8" t="str">
        <x:v>1.450607764651917</x:v>
      </x:c>
      <x:c r="AL416" s="6" t="str">
        <x:v>1.3674402384320592</x:v>
      </x:c>
      <x:c r="AM416" s="6" t="str">
        <x:v>1.5765190838265697</x:v>
      </x:c>
      <x:c r="AN416" s="6" t="str">
        <x:v>1.4648556956368486</x:v>
      </x:c>
      <x:c r="AO416" s="6" t="str">
        <x:v>-0.402187278340989</x:v>
      </x:c>
      <x:c r="AP416" s="8" t="str">
        <x:v>-0.1458623408518229</x:v>
      </x:c>
      <x:c r="AQ416" s="6" t="str">
        <x:v>-0.1629577385499937</x:v>
      </x:c>
      <x:c r="AR416" s="6" t="str">
        <x:v>0.2420310674461522</x:v>
      </x:c>
      <x:c r="AS416" s="6" t="str">
        <x:v>-0.0222630039852225</x:v>
      </x:c>
      <x:c r="AT416" s="6" t="str">
        <x:v>4.648170428416051</x:v>
      </x:c>
      <x:c r="AU416" s="8" t="str">
        <x:v>0.1330800462987265</x:v>
      </x:c>
      <x:c r="AV416" s="6" t="str">
        <x:v>-0.2928096017236278</x:v>
      </x:c>
      <x:c r="AW416" s="6" t="str">
        <x:v>-1.031522682451502</x:v>
      </x:c>
      <x:c r="AX416" s="6" t="str">
        <x:v>-0.3970840792921339</x:v>
      </x:c>
      <x:c r="AY416" s="6" t="str">
        <x:v>0</x:v>
      </x:c>
      <x:c r="AZ416" s="6" t="str">
        <x:v>1</x:v>
      </x:c>
      <x:c r="BA416" s="9" t="str">
        <x:v>grid_cells_within_BIG_polygon</x:v>
      </x:c>
      <x:c r="BB416" s="6" t="str">
        <x:v>7</x:v>
      </x:c>
      <x:c r="BC416" s="6" t="str">
        <x:v>4</x:v>
      </x:c>
      <x:c r="BD416" s="6" t="str">
        <x:v>4</x:v>
      </x:c>
      <x:c r="BE416" s="6" t="str">
        <x:v>0</x:v>
      </x:c>
      <x:c r="BF416" s="6" t="str">
        <x:v>0</x:v>
      </x:c>
      <x:c r="BG416" s="6" t="str">
        <x:v>0</x:v>
      </x:c>
      <x:c r="BH416" s="6" t="str">
        <x:v>4</x:v>
      </x:c>
      <x:c r="BI416" s="6" t="str">
        <x:v>0</x:v>
      </x:c>
      <x:c r="BJ416" s="6" t="str">
        <x:v>0</x:v>
      </x:c>
      <x:c r="BK416" s="6" t="str">
        <x:v>0</x:v>
      </x:c>
      <x:c r="BL416" s="6" t="str">
        <x:v>0</x:v>
      </x:c>
      <x:c r="BM416" s="6" t="str">
        <x:v>0</x:v>
      </x:c>
      <x:c r="BN416" s="6" t="str">
        <x:v>4</x:v>
      </x:c>
      <x:c r="BO416" s="6" t="str">
        <x:v>0.0</x:v>
      </x:c>
      <x:c r="BP416" s="6" t="str">
        <x:v>4</x:v>
      </x:c>
      <x:c r="BQ416" s="6" t="str">
        <x:v>0.0</x:v>
      </x:c>
      <x:c r="BR416" s="6" t="str">
        <x:v>4</x:v>
      </x:c>
      <x:c r="BS416" s="6" t="str">
        <x:v>0.0</x:v>
      </x:c>
      <x:c r="BT416" s="6" t="str">
        <x:v>4</x:v>
      </x:c>
      <x:c r="BU416" s="6" t="str"/>
      <x:c r="BV416" s="6" t="str">
        <x:v>0</x:v>
      </x:c>
      <x:c r="BW416" s="9" t="str">
        <x:v>operational_snapshot_annual_totals_may_differ</x:v>
      </x:c>
      <x:c r="BX416" s="9" t="str">
        <x:v>official_live_dashboard_snapshot_subject_to_revision</x:v>
      </x:c>
      <x:c r="BY416" s="9" t="str">
        <x:v>https://tbdashboard.sitb.id/ss_data_tbc03so_2024_provinsi_bulanan_list.php</x:v>
      </x:c>
      <x:c r="BZ416" s="6" t="n">
        <x:v>46246.610671296294</x:v>
      </x:c>
    </x:row>
    <x:row r="417" ht="18" customHeight="1">
      <x:c r="A417" s="6" t="str">
        <x:v>52</x:v>
      </x:c>
      <x:c r="B417" s="6" t="str">
        <x:v>NUSA TENGGARA BARAT</x:v>
      </x:c>
      <x:c r="C417" s="6" t="str">
        <x:v>2024</x:v>
      </x:c>
      <x:c r="D417" s="6" t="str">
        <x:v>8</x:v>
      </x:c>
      <x:c r="E417" s="6" t="str">
        <x:v>2024-08</x:v>
      </x:c>
      <x:c r="F417" s="6" t="str">
        <x:v>932</x:v>
      </x:c>
      <x:c r="G417" s="6" t="str">
        <x:v>361</x:v>
      </x:c>
      <x:c r="H417" s="6" t="str">
        <x:v>463</x:v>
      </x:c>
      <x:c r="I417" s="6" t="str">
        <x:v>44</x:v>
      </x:c>
      <x:c r="J417" s="6" t="str">
        <x:v>59</x:v>
      </x:c>
      <x:c r="K417" s="6" t="str">
        <x:v>1</x:v>
      </x:c>
      <x:c r="L417" s="6" t="str">
        <x:v>0</x:v>
      </x:c>
      <x:c r="M417" s="6" t="str">
        <x:v>4</x:v>
      </x:c>
      <x:c r="N417" s="6" t="str">
        <x:v>932</x:v>
      </x:c>
      <x:c r="O417" s="6" t="str">
        <x:v>0</x:v>
      </x:c>
      <x:c r="P417" s="10" t="n">
        <x:f>F417-M417</x:f>
        <x:v>928</x:v>
      </x:c>
      <x:c r="Q417" s="11" t="n">
        <x:f>IFERROR(M417/F417,"")</x:f>
        <x:v>0.004291845493562232</x:v>
      </x:c>
      <x:c r="R417" s="10" t="n">
        <x:f>G417+H417</x:f>
        <x:v>824</x:v>
      </x:c>
      <x:c r="S417" s="11" t="n">
        <x:f>IFERROR(R417/F417,"")</x:f>
        <x:v>0.8841201716738197</x:v>
      </x:c>
      <x:c r="T417" s="11" t="n">
        <x:f>IFERROR(R417/P417,"")</x:f>
        <x:v>0.8879310344827587</x:v>
      </x:c>
      <x:c r="U417" s="10" t="n">
        <x:f>I417+J417+K417</x:f>
        <x:v>104</x:v>
      </x:c>
      <x:c r="V417" s="11" t="n">
        <x:f>IFERROR(U417/P417,"")</x:f>
        <x:v>0.11206896551724138</x:v>
      </x:c>
      <x:c r="W417" s="9" t="str">
        <x:v>mature_le_5pct_pending</x:v>
      </x:c>
      <x:c r="X417" s="12" t="n">
        <x:f>IFERROR(F417/Z417*100000,"")</x:f>
        <x:v>16.507261778250086</x:v>
      </x:c>
      <x:c r="Y417" s="13" t="n">
        <x:f>LN(Z417)</x:f>
        <x:v>15.546457887795572</x:v>
      </x:c>
      <x:c r="Z417" s="6" t="str">
        <x:v>5646000</x:v>
      </x:c>
      <x:c r="AA417" s="6" t="str">
        <x:v>287.0</x:v>
      </x:c>
      <x:c r="AB417" s="9" t="str">
        <x:v>2024-06-30</x:v>
      </x:c>
      <x:c r="AC417" s="8" t="str">
        <x:v>86.8</x:v>
      </x:c>
      <x:c r="AD417" s="9" t="str">
        <x:v>2024 (Susenas)</x:v>
      </x:c>
      <x:c r="AE417" s="8" t="str">
        <x:v>12.91</x:v>
      </x:c>
      <x:c r="AF417" s="9" t="str">
        <x:v>Maret 2024 (Susenas)</x:v>
      </x:c>
      <x:c r="AG417" s="6" t="str">
        <x:v>26.617617489250645</x:v>
      </x:c>
      <x:c r="AH417" s="8" t="str">
        <x:v>71.87425094453687</x:v>
      </x:c>
      <x:c r="AI417" s="6" t="str">
        <x:v>4.559907940039337</x:v>
      </x:c>
      <x:c r="AJ417" s="6" t="str">
        <x:v>1.2824627518803489</x:v>
      </x:c>
      <x:c r="AK417" s="8" t="str">
        <x:v>2.3374696908657024</x:v>
      </x:c>
      <x:c r="AL417" s="6" t="str">
        <x:v>1.450607764651917</x:v>
      </x:c>
      <x:c r="AM417" s="6" t="str">
        <x:v>1.3674402384320592</x:v>
      </x:c>
      <x:c r="AN417" s="6" t="str">
        <x:v>1.718505897983226</x:v>
      </x:c>
      <x:c r="AO417" s="6" t="str">
        <x:v>-1.2763984180206762</x:v>
      </x:c>
      <x:c r="AP417" s="8" t="str">
        <x:v>-0.6356575031429716</x:v>
      </x:c>
      <x:c r="AQ417" s="6" t="str">
        <x:v>-0.1458623408518229</x:v>
      </x:c>
      <x:c r="AR417" s="6" t="str">
        <x:v>-0.1629577385499937</x:v>
      </x:c>
      <x:c r="AS417" s="6" t="str">
        <x:v>-0.3148258608482638</x:v>
      </x:c>
      <x:c r="AT417" s="6" t="str">
        <x:v>-3.182458518529579</x:v>
      </x:c>
      <x:c r="AU417" s="8" t="str">
        <x:v>-0.3456113810385753</x:v>
      </x:c>
      <x:c r="AV417" s="6" t="str">
        <x:v>0.1330800462987265</x:v>
      </x:c>
      <x:c r="AW417" s="6" t="str">
        <x:v>-0.2928096017236278</x:v>
      </x:c>
      <x:c r="AX417" s="6" t="str">
        <x:v>-0.1684469788211584</x:v>
      </x:c>
      <x:c r="AY417" s="6" t="str">
        <x:v>0</x:v>
      </x:c>
      <x:c r="AZ417" s="6" t="str">
        <x:v>1</x:v>
      </x:c>
      <x:c r="BA417" s="9" t="str">
        <x:v>grid_cells_within_BIG_polygon</x:v>
      </x:c>
      <x:c r="BB417" s="6" t="str">
        <x:v>7</x:v>
      </x:c>
      <x:c r="BC417" s="6" t="str">
        <x:v>1</x:v>
      </x:c>
      <x:c r="BD417" s="6" t="str">
        <x:v>1</x:v>
      </x:c>
      <x:c r="BE417" s="6" t="str">
        <x:v>1</x:v>
      </x:c>
      <x:c r="BF417" s="6" t="str">
        <x:v>0</x:v>
      </x:c>
      <x:c r="BG417" s="6" t="str">
        <x:v>0</x:v>
      </x:c>
      <x:c r="BH417" s="6" t="str">
        <x:v>0</x:v>
      </x:c>
      <x:c r="BI417" s="6" t="str">
        <x:v>0</x:v>
      </x:c>
      <x:c r="BJ417" s="6" t="str">
        <x:v>0</x:v>
      </x:c>
      <x:c r="BK417" s="6" t="str">
        <x:v>0</x:v>
      </x:c>
      <x:c r="BL417" s="6" t="str">
        <x:v>0</x:v>
      </x:c>
      <x:c r="BM417" s="6" t="str">
        <x:v>0</x:v>
      </x:c>
      <x:c r="BN417" s="6" t="str">
        <x:v>1</x:v>
      </x:c>
      <x:c r="BO417" s="6" t="str">
        <x:v>0.0</x:v>
      </x:c>
      <x:c r="BP417" s="6" t="str">
        <x:v>1</x:v>
      </x:c>
      <x:c r="BQ417" s="6" t="str">
        <x:v>0.0</x:v>
      </x:c>
      <x:c r="BR417" s="6" t="str">
        <x:v>1</x:v>
      </x:c>
      <x:c r="BS417" s="6" t="str">
        <x:v>0.0</x:v>
      </x:c>
      <x:c r="BT417" s="6" t="str">
        <x:v>1</x:v>
      </x:c>
      <x:c r="BU417" s="6" t="str">
        <x:v>150.0</x:v>
      </x:c>
      <x:c r="BV417" s="6" t="str">
        <x:v>1</x:v>
      </x:c>
      <x:c r="BW417" s="9" t="str">
        <x:v>operational_snapshot_annual_totals_may_differ</x:v>
      </x:c>
      <x:c r="BX417" s="9" t="str">
        <x:v>official_live_dashboard_snapshot_subject_to_revision</x:v>
      </x:c>
      <x:c r="BY417" s="9" t="str">
        <x:v>https://tbdashboard.sitb.id/ss_data_tbc03so_2024_provinsi_bulanan_list.php</x:v>
      </x:c>
      <x:c r="BZ417" s="6" t="n">
        <x:v>46246.610671296294</x:v>
      </x:c>
    </x:row>
    <x:row r="418" ht="18" customHeight="1">
      <x:c r="A418" s="6" t="str">
        <x:v>52</x:v>
      </x:c>
      <x:c r="B418" s="6" t="str">
        <x:v>NUSA TENGGARA BARAT</x:v>
      </x:c>
      <x:c r="C418" s="6" t="str">
        <x:v>2024</x:v>
      </x:c>
      <x:c r="D418" s="6" t="str">
        <x:v>9</x:v>
      </x:c>
      <x:c r="E418" s="6" t="str">
        <x:v>2024-09</x:v>
      </x:c>
      <x:c r="F418" s="6" t="str">
        <x:v>886</x:v>
      </x:c>
      <x:c r="G418" s="6" t="str">
        <x:v>330</x:v>
      </x:c>
      <x:c r="H418" s="6" t="str">
        <x:v>438</x:v>
      </x:c>
      <x:c r="I418" s="6" t="str">
        <x:v>35</x:v>
      </x:c>
      <x:c r="J418" s="6" t="str">
        <x:v>78</x:v>
      </x:c>
      <x:c r="K418" s="6" t="str">
        <x:v>0</x:v>
      </x:c>
      <x:c r="L418" s="6" t="str">
        <x:v>0</x:v>
      </x:c>
      <x:c r="M418" s="6" t="str">
        <x:v>5</x:v>
      </x:c>
      <x:c r="N418" s="6" t="str">
        <x:v>886</x:v>
      </x:c>
      <x:c r="O418" s="6" t="str">
        <x:v>0</x:v>
      </x:c>
      <x:c r="P418" s="10" t="n">
        <x:f>F418-M418</x:f>
        <x:v>881</x:v>
      </x:c>
      <x:c r="Q418" s="11" t="n">
        <x:f>IFERROR(M418/F418,"")</x:f>
        <x:v>0.0056433408577878106</x:v>
      </x:c>
      <x:c r="R418" s="10" t="n">
        <x:f>G418+H418</x:f>
        <x:v>768</x:v>
      </x:c>
      <x:c r="S418" s="11" t="n">
        <x:f>IFERROR(R418/F418,"")</x:f>
        <x:v>0.8668171557562077</x:v>
      </x:c>
      <x:c r="T418" s="11" t="n">
        <x:f>IFERROR(R418/P418,"")</x:f>
        <x:v>0.8717366628830874</x:v>
      </x:c>
      <x:c r="U418" s="10" t="n">
        <x:f>I418+J418+K418</x:f>
        <x:v>113</x:v>
      </x:c>
      <x:c r="V418" s="11" t="n">
        <x:f>IFERROR(U418/P418,"")</x:f>
        <x:v>0.1282633371169126</x:v>
      </x:c>
      <x:c r="W418" s="9" t="str">
        <x:v>mature_le_5pct_pending</x:v>
      </x:c>
      <x:c r="X418" s="12" t="n">
        <x:f>IFERROR(F418/Z418*100000,"")</x:f>
        <x:v>15.69252568189869</x:v>
      </x:c>
      <x:c r="Y418" s="13" t="n">
        <x:f>LN(Z418)</x:f>
        <x:v>15.546457887795572</x:v>
      </x:c>
      <x:c r="Z418" s="6" t="str">
        <x:v>5646000</x:v>
      </x:c>
      <x:c r="AA418" s="6" t="str">
        <x:v>287.0</x:v>
      </x:c>
      <x:c r="AB418" s="9" t="str">
        <x:v>2024-06-30</x:v>
      </x:c>
      <x:c r="AC418" s="8" t="str">
        <x:v>86.8</x:v>
      </x:c>
      <x:c r="AD418" s="9" t="str">
        <x:v>2024 (Susenas)</x:v>
      </x:c>
      <x:c r="AE418" s="8" t="str">
        <x:v>12.91</x:v>
      </x:c>
      <x:c r="AF418" s="9" t="str">
        <x:v>Maret 2024 (Susenas)</x:v>
      </x:c>
      <x:c r="AG418" s="6" t="str">
        <x:v>28.07761173447336</x:v>
      </x:c>
      <x:c r="AH418" s="8" t="str">
        <x:v>69.5012737734677</x:v>
      </x:c>
      <x:c r="AI418" s="6" t="str">
        <x:v>9.597928280176136</x:v>
      </x:c>
      <x:c r="AJ418" s="6" t="str">
        <x:v>1.5939585005631542</x:v>
      </x:c>
      <x:c r="AK418" s="8" t="str">
        <x:v>3.0394301499587817</x:v>
      </x:c>
      <x:c r="AL418" s="6" t="str">
        <x:v>2.3374696908657024</x:v>
      </x:c>
      <x:c r="AM418" s="6" t="str">
        <x:v>1.450607764651917</x:v>
      </x:c>
      <x:c r="AN418" s="6" t="str">
        <x:v>2.2758358684921336</x:v>
      </x:c>
      <x:c r="AO418" s="6" t="str">
        <x:v>-1.693610135374925</x:v>
      </x:c>
      <x:c r="AP418" s="8" t="str">
        <x:v>-0.6411014596767326</x:v>
      </x:c>
      <x:c r="AQ418" s="6" t="str">
        <x:v>-0.6356575031429716</x:v>
      </x:c>
      <x:c r="AR418" s="6" t="str">
        <x:v>-0.1458623408518229</x:v>
      </x:c>
      <x:c r="AS418" s="6" t="str">
        <x:v>-0.4742071012238434</x:v>
      </x:c>
      <x:c r="AT418" s="6" t="str">
        <x:v>-13.0818511200278</x:v>
      </x:c>
      <x:c r="AU418" s="8" t="str">
        <x:v>-0.2537927880288794</x:v>
      </x:c>
      <x:c r="AV418" s="6" t="str">
        <x:v>-0.3456113810385753</x:v>
      </x:c>
      <x:c r="AW418" s="6" t="str">
        <x:v>0.1330800462987265</x:v>
      </x:c>
      <x:c r="AX418" s="6" t="str">
        <x:v>-0.1554413742562423</x:v>
      </x:c>
      <x:c r="AY418" s="6" t="str">
        <x:v>0</x:v>
      </x:c>
      <x:c r="AZ418" s="6" t="str">
        <x:v>1</x:v>
      </x:c>
      <x:c r="BA418" s="9" t="str">
        <x:v>grid_cells_within_BIG_polygon</x:v>
      </x:c>
      <x:c r="BB418" s="6" t="str">
        <x:v>7</x:v>
      </x:c>
      <x:c r="BC418" s="6" t="str">
        <x:v>0</x:v>
      </x:c>
      <x:c r="BD418" s="6" t="str">
        <x:v>0</x:v>
      </x:c>
      <x:c r="BE418" s="6" t="str">
        <x:v>0</x:v>
      </x:c>
      <x:c r="BF418" s="6" t="str">
        <x:v>0</x:v>
      </x:c>
      <x:c r="BG418" s="6" t="str">
        <x:v>0</x:v>
      </x:c>
      <x:c r="BH418" s="6" t="str">
        <x:v>0</x:v>
      </x:c>
      <x:c r="BI418" s="6" t="str">
        <x:v>0</x:v>
      </x:c>
      <x:c r="BJ418" s="6" t="str">
        <x:v>0</x:v>
      </x:c>
      <x:c r="BK418" s="6" t="str">
        <x:v>0</x:v>
      </x:c>
      <x:c r="BL418" s="6" t="str">
        <x:v>0</x:v>
      </x:c>
      <x:c r="BM418" s="6" t="str">
        <x:v>0</x:v>
      </x:c>
      <x:c r="BN418" s="6" t="str">
        <x:v>0</x:v>
      </x:c>
      <x:c r="BO418" s="6" t="str"/>
      <x:c r="BP418" s="6" t="str">
        <x:v>0</x:v>
      </x:c>
      <x:c r="BQ418" s="6" t="str"/>
      <x:c r="BR418" s="6" t="str">
        <x:v>0</x:v>
      </x:c>
      <x:c r="BS418" s="6" t="str"/>
      <x:c r="BT418" s="6" t="str">
        <x:v>0</x:v>
      </x:c>
      <x:c r="BU418" s="6" t="str"/>
      <x:c r="BV418" s="6" t="str">
        <x:v>0</x:v>
      </x:c>
      <x:c r="BW418" s="9" t="str">
        <x:v>operational_snapshot_annual_totals_may_differ</x:v>
      </x:c>
      <x:c r="BX418" s="9" t="str">
        <x:v>official_live_dashboard_snapshot_subject_to_revision</x:v>
      </x:c>
      <x:c r="BY418" s="9" t="str">
        <x:v>https://tbdashboard.sitb.id/ss_data_tbc03so_2024_provinsi_bulanan_list.php</x:v>
      </x:c>
      <x:c r="BZ418" s="6" t="n">
        <x:v>46246.610671296294</x:v>
      </x:c>
    </x:row>
    <x:row r="419" ht="18" customHeight="1">
      <x:c r="A419" s="6" t="str">
        <x:v>52</x:v>
      </x:c>
      <x:c r="B419" s="6" t="str">
        <x:v>NUSA TENGGARA BARAT</x:v>
      </x:c>
      <x:c r="C419" s="6" t="str">
        <x:v>2024</x:v>
      </x:c>
      <x:c r="D419" s="6" t="str">
        <x:v>10</x:v>
      </x:c>
      <x:c r="E419" s="6" t="str">
        <x:v>2024-10</x:v>
      </x:c>
      <x:c r="F419" s="6" t="str">
        <x:v>938</x:v>
      </x:c>
      <x:c r="G419" s="6" t="str">
        <x:v>327</x:v>
      </x:c>
      <x:c r="H419" s="6" t="str">
        <x:v>499</x:v>
      </x:c>
      <x:c r="I419" s="6" t="str">
        <x:v>36</x:v>
      </x:c>
      <x:c r="J419" s="6" t="str">
        <x:v>69</x:v>
      </x:c>
      <x:c r="K419" s="6" t="str">
        <x:v>0</x:v>
      </x:c>
      <x:c r="L419" s="6" t="str">
        <x:v>0</x:v>
      </x:c>
      <x:c r="M419" s="6" t="str">
        <x:v>7</x:v>
      </x:c>
      <x:c r="N419" s="6" t="str">
        <x:v>938</x:v>
      </x:c>
      <x:c r="O419" s="6" t="str">
        <x:v>0</x:v>
      </x:c>
      <x:c r="P419" s="10" t="n">
        <x:f>F419-M419</x:f>
        <x:v>931</x:v>
      </x:c>
      <x:c r="Q419" s="11" t="n">
        <x:f>IFERROR(M419/F419,"")</x:f>
        <x:v>0.007462686567164179</x:v>
      </x:c>
      <x:c r="R419" s="10" t="n">
        <x:f>G419+H419</x:f>
        <x:v>826</x:v>
      </x:c>
      <x:c r="S419" s="11" t="n">
        <x:f>IFERROR(R419/F419,"")</x:f>
        <x:v>0.8805970149253731</x:v>
      </x:c>
      <x:c r="T419" s="11" t="n">
        <x:f>IFERROR(R419/P419,"")</x:f>
        <x:v>0.8872180451127819</x:v>
      </x:c>
      <x:c r="U419" s="10" t="n">
        <x:f>I419+J419+K419</x:f>
        <x:v>105</x:v>
      </x:c>
      <x:c r="V419" s="11" t="n">
        <x:f>IFERROR(U419/P419,"")</x:f>
        <x:v>0.11278195488721804</x:v>
      </x:c>
      <x:c r="W419" s="9" t="str">
        <x:v>mature_le_5pct_pending</x:v>
      </x:c>
      <x:c r="X419" s="12" t="n">
        <x:f>IFERROR(F419/Z419*100000,"")</x:f>
        <x:v>16.613531703861142</x:v>
      </x:c>
      <x:c r="Y419" s="13" t="n">
        <x:f>LN(Z419)</x:f>
        <x:v>15.546457887795572</x:v>
      </x:c>
      <x:c r="Z419" s="6" t="str">
        <x:v>5646000</x:v>
      </x:c>
      <x:c r="AA419" s="6" t="str">
        <x:v>287.0</x:v>
      </x:c>
      <x:c r="AB419" s="9" t="str">
        <x:v>2024-06-30</x:v>
      </x:c>
      <x:c r="AC419" s="8" t="str">
        <x:v>86.8</x:v>
      </x:c>
      <x:c r="AD419" s="9" t="str">
        <x:v>2024 (Susenas)</x:v>
      </x:c>
      <x:c r="AE419" s="8" t="str">
        <x:v>12.91</x:v>
      </x:c>
      <x:c r="AF419" s="9" t="str">
        <x:v>Maret 2024 (Susenas)</x:v>
      </x:c>
      <x:c r="AG419" s="6" t="str">
        <x:v>28.827586797105106</x:v>
      </x:c>
      <x:c r="AH419" s="8" t="str">
        <x:v>69.70144641678635</x:v>
      </x:c>
      <x:c r="AI419" s="6" t="str">
        <x:v>52.874951109106966</x:v>
      </x:c>
      <x:c r="AJ419" s="6" t="str">
        <x:v>1.1549810720785203</x:v>
      </x:c>
      <x:c r="AK419" s="8" t="str">
        <x:v>3.117977348009155</x:v>
      </x:c>
      <x:c r="AL419" s="6" t="str">
        <x:v>3.0394301499587817</x:v>
      </x:c>
      <x:c r="AM419" s="6" t="str">
        <x:v>2.3374696908657024</x:v>
      </x:c>
      <x:c r="AN419" s="6" t="str">
        <x:v>2.8316257296112126</x:v>
      </x:c>
      <x:c r="AO419" s="6" t="str">
        <x:v>-1.123318684031858</x:v>
      </x:c>
      <x:c r="AP419" s="8" t="str">
        <x:v>-0.2927772429432217</x:v>
      </x:c>
      <x:c r="AQ419" s="6" t="str">
        <x:v>-0.6411014596767326</x:v>
      </x:c>
      <x:c r="AR419" s="6" t="str">
        <x:v>-0.6356575031429716</x:v>
      </x:c>
      <x:c r="AS419" s="6" t="str">
        <x:v>-0.5231787352543097</x:v>
      </x:c>
      <x:c r="AT419" s="6" t="str">
        <x:v>-2.8574173895637927</x:v>
      </x:c>
      <x:c r="AU419" s="8" t="str">
        <x:v>-0.056846212230245</x:v>
      </x:c>
      <x:c r="AV419" s="6" t="str">
        <x:v>-0.2537927880288794</x:v>
      </x:c>
      <x:c r="AW419" s="6" t="str">
        <x:v>-0.3456113810385753</x:v>
      </x:c>
      <x:c r="AX419" s="6" t="str">
        <x:v>-0.2187501270992328</x:v>
      </x:c>
      <x:c r="AY419" s="6" t="str">
        <x:v>0</x:v>
      </x:c>
      <x:c r="AZ419" s="6" t="str">
        <x:v>1</x:v>
      </x:c>
      <x:c r="BA419" s="9" t="str">
        <x:v>grid_cells_within_BIG_polygon</x:v>
      </x:c>
      <x:c r="BB419" s="6" t="str">
        <x:v>7</x:v>
      </x:c>
      <x:c r="BC419" s="6" t="str">
        <x:v>0</x:v>
      </x:c>
      <x:c r="BD419" s="6" t="str">
        <x:v>0</x:v>
      </x:c>
      <x:c r="BE419" s="6" t="str">
        <x:v>0</x:v>
      </x:c>
      <x:c r="BF419" s="6" t="str">
        <x:v>0</x:v>
      </x:c>
      <x:c r="BG419" s="6" t="str">
        <x:v>0</x:v>
      </x:c>
      <x:c r="BH419" s="6" t="str">
        <x:v>0</x:v>
      </x:c>
      <x:c r="BI419" s="6" t="str">
        <x:v>0</x:v>
      </x:c>
      <x:c r="BJ419" s="6" t="str">
        <x:v>0</x:v>
      </x:c>
      <x:c r="BK419" s="6" t="str">
        <x:v>0</x:v>
      </x:c>
      <x:c r="BL419" s="6" t="str">
        <x:v>0</x:v>
      </x:c>
      <x:c r="BM419" s="6" t="str">
        <x:v>0</x:v>
      </x:c>
      <x:c r="BN419" s="6" t="str">
        <x:v>0</x:v>
      </x:c>
      <x:c r="BO419" s="6" t="str"/>
      <x:c r="BP419" s="6" t="str">
        <x:v>0</x:v>
      </x:c>
      <x:c r="BQ419" s="6" t="str"/>
      <x:c r="BR419" s="6" t="str">
        <x:v>0</x:v>
      </x:c>
      <x:c r="BS419" s="6" t="str"/>
      <x:c r="BT419" s="6" t="str">
        <x:v>0</x:v>
      </x:c>
      <x:c r="BU419" s="6" t="str"/>
      <x:c r="BV419" s="6" t="str">
        <x:v>0</x:v>
      </x:c>
      <x:c r="BW419" s="9" t="str">
        <x:v>operational_snapshot_annual_totals_may_differ</x:v>
      </x:c>
      <x:c r="BX419" s="9" t="str">
        <x:v>official_live_dashboard_snapshot_subject_to_revision</x:v>
      </x:c>
      <x:c r="BY419" s="9" t="str">
        <x:v>https://tbdashboard.sitb.id/ss_data_tbc03so_2024_provinsi_bulanan_list.php</x:v>
      </x:c>
      <x:c r="BZ419" s="6" t="n">
        <x:v>46246.610671296294</x:v>
      </x:c>
    </x:row>
    <x:row r="420" ht="18" customHeight="1">
      <x:c r="A420" s="6" t="str">
        <x:v>52</x:v>
      </x:c>
      <x:c r="B420" s="6" t="str">
        <x:v>NUSA TENGGARA BARAT</x:v>
      </x:c>
      <x:c r="C420" s="6" t="str">
        <x:v>2024</x:v>
      </x:c>
      <x:c r="D420" s="6" t="str">
        <x:v>11</x:v>
      </x:c>
      <x:c r="E420" s="6" t="str">
        <x:v>2024-11</x:v>
      </x:c>
      <x:c r="F420" s="6" t="str">
        <x:v>911</x:v>
      </x:c>
      <x:c r="G420" s="6" t="str">
        <x:v>306</x:v>
      </x:c>
      <x:c r="H420" s="6" t="str">
        <x:v>488</x:v>
      </x:c>
      <x:c r="I420" s="6" t="str">
        <x:v>42</x:v>
      </x:c>
      <x:c r="J420" s="6" t="str">
        <x:v>67</x:v>
      </x:c>
      <x:c r="K420" s="6" t="str">
        <x:v>2</x:v>
      </x:c>
      <x:c r="L420" s="6" t="str">
        <x:v>0</x:v>
      </x:c>
      <x:c r="M420" s="6" t="str">
        <x:v>6</x:v>
      </x:c>
      <x:c r="N420" s="6" t="str">
        <x:v>911</x:v>
      </x:c>
      <x:c r="O420" s="6" t="str">
        <x:v>0</x:v>
      </x:c>
      <x:c r="P420" s="10" t="n">
        <x:f>F420-M420</x:f>
        <x:v>905</x:v>
      </x:c>
      <x:c r="Q420" s="11" t="n">
        <x:f>IFERROR(M420/F420,"")</x:f>
        <x:v>0.006586169045005488</x:v>
      </x:c>
      <x:c r="R420" s="10" t="n">
        <x:f>G420+H420</x:f>
        <x:v>794</x:v>
      </x:c>
      <x:c r="S420" s="11" t="n">
        <x:f>IFERROR(R420/F420,"")</x:f>
        <x:v>0.8715697036223929</x:v>
      </x:c>
      <x:c r="T420" s="11" t="n">
        <x:f>IFERROR(R420/P420,"")</x:f>
        <x:v>0.8773480662983425</x:v>
      </x:c>
      <x:c r="U420" s="10" t="n">
        <x:f>I420+J420+K420</x:f>
        <x:v>111</x:v>
      </x:c>
      <x:c r="V420" s="11" t="n">
        <x:f>IFERROR(U420/P420,"")</x:f>
        <x:v>0.12265193370165746</x:v>
      </x:c>
      <x:c r="W420" s="9" t="str">
        <x:v>mature_le_5pct_pending</x:v>
      </x:c>
      <x:c r="X420" s="12" t="n">
        <x:f>IFERROR(F420/Z420*100000,"")</x:f>
        <x:v>16.135317038611404</x:v>
      </x:c>
      <x:c r="Y420" s="13" t="n">
        <x:f>LN(Z420)</x:f>
        <x:v>15.546457887795572</x:v>
      </x:c>
      <x:c r="Z420" s="6" t="str">
        <x:v>5646000</x:v>
      </x:c>
      <x:c r="AA420" s="6" t="str">
        <x:v>287.0</x:v>
      </x:c>
      <x:c r="AB420" s="9" t="str">
        <x:v>2024-06-30</x:v>
      </x:c>
      <x:c r="AC420" s="8" t="str">
        <x:v>86.8</x:v>
      </x:c>
      <x:c r="AD420" s="9" t="str">
        <x:v>2024 (Susenas)</x:v>
      </x:c>
      <x:c r="AE420" s="8" t="str">
        <x:v>12.91</x:v>
      </x:c>
      <x:c r="AF420" s="9" t="str">
        <x:v>Maret 2024 (Susenas)</x:v>
      </x:c>
      <x:c r="AG420" s="6" t="str">
        <x:v>28.775772107524176</x:v>
      </x:c>
      <x:c r="AH420" s="8" t="str">
        <x:v>74.80771725519959</x:v>
      </x:c>
      <x:c r="AI420" s="6" t="str">
        <x:v>119.19322838063096</x:v>
      </x:c>
      <x:c r="AJ420" s="6" t="str">
        <x:v>0.8852670905509399</x:v>
      </x:c>
      <x:c r="AK420" s="8" t="str">
        <x:v>1.3054674070305363</x:v>
      </x:c>
      <x:c r="AL420" s="6" t="str">
        <x:v>3.117977348009155</x:v>
      </x:c>
      <x:c r="AM420" s="6" t="str">
        <x:v>3.0394301499587817</x:v>
      </x:c>
      <x:c r="AN420" s="6" t="str">
        <x:v>2.487624968332824</x:v>
      </x:c>
      <x:c r="AO420" s="6" t="str">
        <x:v>0.1313068542182236</x:v>
      </x:c>
      <x:c r="AP420" s="8" t="str">
        <x:v>0.0306548202603869</x:v>
      </x:c>
      <x:c r="AQ420" s="6" t="str">
        <x:v>-0.2927772429432217</x:v>
      </x:c>
      <x:c r="AR420" s="6" t="str">
        <x:v>-0.6411014596767326</x:v>
      </x:c>
      <x:c r="AS420" s="6" t="str">
        <x:v>-0.3010746274531902</x:v>
      </x:c>
      <x:c r="AT420" s="6" t="str">
        <x:v>-27.401667082486256</x:v>
      </x:c>
      <x:c r="AU420" s="8" t="str">
        <x:v>-0.445227587298093</x:v>
      </x:c>
      <x:c r="AV420" s="6" t="str">
        <x:v>-0.056846212230245</x:v>
      </x:c>
      <x:c r="AW420" s="6" t="str">
        <x:v>-0.2537927880288794</x:v>
      </x:c>
      <x:c r="AX420" s="6" t="str">
        <x:v>-0.2519555291857386</x:v>
      </x:c>
      <x:c r="AY420" s="6" t="str">
        <x:v>0</x:v>
      </x:c>
      <x:c r="AZ420" s="6" t="str">
        <x:v>1</x:v>
      </x:c>
      <x:c r="BA420" s="9" t="str">
        <x:v>grid_cells_within_BIG_polygon</x:v>
      </x:c>
      <x:c r="BB420" s="6" t="str">
        <x:v>7</x:v>
      </x:c>
      <x:c r="BC420" s="6" t="str">
        <x:v>12</x:v>
      </x:c>
      <x:c r="BD420" s="6" t="str">
        <x:v>12</x:v>
      </x:c>
      <x:c r="BE420" s="6" t="str">
        <x:v>2</x:v>
      </x:c>
      <x:c r="BF420" s="6" t="str">
        <x:v>0</x:v>
      </x:c>
      <x:c r="BG420" s="6" t="str">
        <x:v>9</x:v>
      </x:c>
      <x:c r="BH420" s="6" t="str">
        <x:v>0</x:v>
      </x:c>
      <x:c r="BI420" s="6" t="str">
        <x:v>1</x:v>
      </x:c>
      <x:c r="BJ420" s="6" t="str">
        <x:v>0</x:v>
      </x:c>
      <x:c r="BK420" s="6" t="str">
        <x:v>0</x:v>
      </x:c>
      <x:c r="BL420" s="6" t="str">
        <x:v>0</x:v>
      </x:c>
      <x:c r="BM420" s="6" t="str">
        <x:v>0</x:v>
      </x:c>
      <x:c r="BN420" s="6" t="str">
        <x:v>12</x:v>
      </x:c>
      <x:c r="BO420" s="6" t="str">
        <x:v>1.0</x:v>
      </x:c>
      <x:c r="BP420" s="6" t="str">
        <x:v>12</x:v>
      </x:c>
      <x:c r="BQ420" s="6" t="str">
        <x:v>1.0</x:v>
      </x:c>
      <x:c r="BR420" s="6" t="str">
        <x:v>12</x:v>
      </x:c>
      <x:c r="BS420" s="6" t="str">
        <x:v>563.0</x:v>
      </x:c>
      <x:c r="BT420" s="6" t="str">
        <x:v>12</x:v>
      </x:c>
      <x:c r="BU420" s="6" t="str">
        <x:v>68.0</x:v>
      </x:c>
      <x:c r="BV420" s="6" t="str">
        <x:v>1</x:v>
      </x:c>
      <x:c r="BW420" s="9" t="str">
        <x:v>operational_snapshot_annual_totals_may_differ</x:v>
      </x:c>
      <x:c r="BX420" s="9" t="str">
        <x:v>official_live_dashboard_snapshot_subject_to_revision</x:v>
      </x:c>
      <x:c r="BY420" s="9" t="str">
        <x:v>https://tbdashboard.sitb.id/ss_data_tbc03so_2024_provinsi_bulanan_list.php</x:v>
      </x:c>
      <x:c r="BZ420" s="6" t="n">
        <x:v>46246.610671296294</x:v>
      </x:c>
    </x:row>
    <x:row r="421" ht="18" customHeight="1">
      <x:c r="A421" s="6" t="str">
        <x:v>52</x:v>
      </x:c>
      <x:c r="B421" s="6" t="str">
        <x:v>NUSA TENGGARA BARAT</x:v>
      </x:c>
      <x:c r="C421" s="6" t="str">
        <x:v>2024</x:v>
      </x:c>
      <x:c r="D421" s="6" t="str">
        <x:v>12</x:v>
      </x:c>
      <x:c r="E421" s="6" t="str">
        <x:v>2024-12</x:v>
      </x:c>
      <x:c r="F421" s="6" t="str">
        <x:v>778</x:v>
      </x:c>
      <x:c r="G421" s="6" t="str">
        <x:v>287</x:v>
      </x:c>
      <x:c r="H421" s="6" t="str">
        <x:v>374</x:v>
      </x:c>
      <x:c r="I421" s="6" t="str">
        <x:v>47</x:v>
      </x:c>
      <x:c r="J421" s="6" t="str">
        <x:v>59</x:v>
      </x:c>
      <x:c r="K421" s="6" t="str">
        <x:v>0</x:v>
      </x:c>
      <x:c r="L421" s="6" t="str">
        <x:v>1</x:v>
      </x:c>
      <x:c r="M421" s="6" t="str">
        <x:v>10</x:v>
      </x:c>
      <x:c r="N421" s="6" t="str">
        <x:v>778</x:v>
      </x:c>
      <x:c r="O421" s="6" t="str">
        <x:v>0</x:v>
      </x:c>
      <x:c r="P421" s="10" t="n">
        <x:f>F421-M421</x:f>
        <x:v>768</x:v>
      </x:c>
      <x:c r="Q421" s="11" t="n">
        <x:f>IFERROR(M421/F421,"")</x:f>
        <x:v>0.012853470437017995</x:v>
      </x:c>
      <x:c r="R421" s="10" t="n">
        <x:f>G421+H421</x:f>
        <x:v>661</x:v>
      </x:c>
      <x:c r="S421" s="11" t="n">
        <x:f>IFERROR(R421/F421,"")</x:f>
        <x:v>0.8496143958868895</x:v>
      </x:c>
      <x:c r="T421" s="11" t="n">
        <x:f>IFERROR(R421/P421,"")</x:f>
        <x:v>0.8606770833333334</x:v>
      </x:c>
      <x:c r="U421" s="10" t="n">
        <x:f>I421+J421+K421</x:f>
        <x:v>106</x:v>
      </x:c>
      <x:c r="V421" s="11" t="n">
        <x:f>IFERROR(U421/P421,"")</x:f>
        <x:v>0.13802083333333334</x:v>
      </x:c>
      <x:c r="W421" s="9" t="str">
        <x:v>mature_le_5pct_pending</x:v>
      </x:c>
      <x:c r="X421" s="12" t="n">
        <x:f>IFERROR(F421/Z421*100000,"")</x:f>
        <x:v>13.779667020899751</x:v>
      </x:c>
      <x:c r="Y421" s="13" t="n">
        <x:f>LN(Z421)</x:f>
        <x:v>15.546457887795572</x:v>
      </x:c>
      <x:c r="Z421" s="6" t="str">
        <x:v>5646000</x:v>
      </x:c>
      <x:c r="AA421" s="6" t="str">
        <x:v>287.0</x:v>
      </x:c>
      <x:c r="AB421" s="9" t="str">
        <x:v>2024-06-30</x:v>
      </x:c>
      <x:c r="AC421" s="8" t="str">
        <x:v>86.8</x:v>
      </x:c>
      <x:c r="AD421" s="9" t="str">
        <x:v>2024 (Susenas)</x:v>
      </x:c>
      <x:c r="AE421" s="8" t="str">
        <x:v>12.91</x:v>
      </x:c>
      <x:c r="AF421" s="9" t="str">
        <x:v>Maret 2024 (Susenas)</x:v>
      </x:c>
      <x:c r="AG421" s="6" t="str">
        <x:v>27.1699961634818</x:v>
      </x:c>
      <x:c r="AH421" s="8" t="str">
        <x:v>83.50538461918676</x:v>
      </x:c>
      <x:c r="AI421" s="6" t="str">
        <x:v>402.5007770432175</x:v>
      </x:c>
      <x:c r="AJ421" s="6" t="str">
        <x:v>0.1799976986382816</x:v>
      </x:c>
      <x:c r="AK421" s="8" t="str">
        <x:v>0.2856746548002754</x:v>
      </x:c>
      <x:c r="AL421" s="6" t="str">
        <x:v>1.3054674070305363</x:v>
      </x:c>
      <x:c r="AM421" s="6" t="str">
        <x:v>3.117977348009155</x:v>
      </x:c>
      <x:c r="AN421" s="6" t="str">
        <x:v>1.5697064699466552</x:v>
      </x:c>
      <x:c r="AO421" s="6" t="str">
        <x:v>2.64627859735954</x:v>
      </x:c>
      <x:c r="AP421" s="8" t="str">
        <x:v>0.8401884599679484</x:v>
      </x:c>
      <x:c r="AQ421" s="6" t="str">
        <x:v>0.0306548202603869</x:v>
      </x:c>
      <x:c r="AR421" s="6" t="str">
        <x:v>-0.2927772429432217</x:v>
      </x:c>
      <x:c r="AS421" s="6" t="str">
        <x:v>0.1926886790950368</x:v>
      </x:c>
      <x:c r="AT421" s="6" t="str">
        <x:v>171.08385232598243</x:v>
      </x:c>
      <x:c r="AU421" s="8" t="str">
        <x:v>2.4675657882689443</x:v>
      </x:c>
      <x:c r="AV421" s="6" t="str">
        <x:v>-0.445227587298093</x:v>
      </x:c>
      <x:c r="AW421" s="6" t="str">
        <x:v>-0.056846212230245</x:v>
      </x:c>
      <x:c r="AX421" s="6" t="str">
        <x:v>0.6551639962468693</x:v>
      </x:c>
      <x:c r="AY421" s="6" t="str">
        <x:v>1</x:v>
      </x:c>
      <x:c r="AZ421" s="6" t="str">
        <x:v>0</x:v>
      </x:c>
      <x:c r="BA421" s="9" t="str">
        <x:v>grid_cells_within_BIG_polygon</x:v>
      </x:c>
      <x:c r="BB421" s="6" t="str">
        <x:v>7</x:v>
      </x:c>
      <x:c r="BC421" s="6" t="str">
        <x:v>29</x:v>
      </x:c>
      <x:c r="BD421" s="6" t="str">
        <x:v>28</x:v>
      </x:c>
      <x:c r="BE421" s="6" t="str">
        <x:v>24</x:v>
      </x:c>
      <x:c r="BF421" s="6" t="str">
        <x:v>0</x:v>
      </x:c>
      <x:c r="BG421" s="6" t="str">
        <x:v>3</x:v>
      </x:c>
      <x:c r="BH421" s="6" t="str">
        <x:v>0</x:v>
      </x:c>
      <x:c r="BI421" s="6" t="str">
        <x:v>0</x:v>
      </x:c>
      <x:c r="BJ421" s="6" t="str">
        <x:v>1</x:v>
      </x:c>
      <x:c r="BK421" s="6" t="str">
        <x:v>1</x:v>
      </x:c>
      <x:c r="BL421" s="6" t="str">
        <x:v>0</x:v>
      </x:c>
      <x:c r="BM421" s="6" t="str">
        <x:v>0</x:v>
      </x:c>
      <x:c r="BN421" s="6" t="str">
        <x:v>29</x:v>
      </x:c>
      <x:c r="BO421" s="6" t="str">
        <x:v>0.0</x:v>
      </x:c>
      <x:c r="BP421" s="6" t="str">
        <x:v>29</x:v>
      </x:c>
      <x:c r="BQ421" s="6" t="str">
        <x:v>2.0</x:v>
      </x:c>
      <x:c r="BR421" s="6" t="str">
        <x:v>29</x:v>
      </x:c>
      <x:c r="BS421" s="6" t="str">
        <x:v>82.0</x:v>
      </x:c>
      <x:c r="BT421" s="6" t="str">
        <x:v>29</x:v>
      </x:c>
      <x:c r="BU421" s="6" t="str">
        <x:v>6585.0</x:v>
      </x:c>
      <x:c r="BV421" s="6" t="str">
        <x:v>16</x:v>
      </x:c>
      <x:c r="BW421" s="9" t="str">
        <x:v>operational_snapshot_annual_totals_may_differ</x:v>
      </x:c>
      <x:c r="BX421" s="9" t="str">
        <x:v>official_live_dashboard_snapshot_subject_to_revision</x:v>
      </x:c>
      <x:c r="BY421" s="9" t="str">
        <x:v>https://tbdashboard.sitb.id/ss_data_tbc03so_2024_provinsi_bulanan_list.php</x:v>
      </x:c>
      <x:c r="BZ421" s="6" t="n">
        <x:v>46246.610671296294</x:v>
      </x:c>
    </x:row>
    <x:row r="422" ht="18" customHeight="1">
      <x:c r="A422" s="6" t="str">
        <x:v>52</x:v>
      </x:c>
      <x:c r="B422" s="6" t="str">
        <x:v>NUSA TENGGARA BARAT</x:v>
      </x:c>
      <x:c r="C422" s="6" t="str">
        <x:v>2025</x:v>
      </x:c>
      <x:c r="D422" s="6" t="str">
        <x:v>1</x:v>
      </x:c>
      <x:c r="E422" s="6" t="str">
        <x:v>2025-01</x:v>
      </x:c>
      <x:c r="F422" s="6" t="str">
        <x:v>975</x:v>
      </x:c>
      <x:c r="G422" s="6" t="str">
        <x:v>341</x:v>
      </x:c>
      <x:c r="H422" s="6" t="str">
        <x:v>452</x:v>
      </x:c>
      <x:c r="I422" s="6" t="str">
        <x:v>45</x:v>
      </x:c>
      <x:c r="J422" s="6" t="str">
        <x:v>94</x:v>
      </x:c>
      <x:c r="K422" s="6" t="str">
        <x:v>3</x:v>
      </x:c>
      <x:c r="L422" s="6" t="str">
        <x:v>3</x:v>
      </x:c>
      <x:c r="M422" s="6" t="str">
        <x:v>37</x:v>
      </x:c>
      <x:c r="N422" s="6" t="str">
        <x:v>975</x:v>
      </x:c>
      <x:c r="O422" s="6" t="str">
        <x:v>0</x:v>
      </x:c>
      <x:c r="P422" s="10" t="n">
        <x:f>F422-M422</x:f>
        <x:v>938</x:v>
      </x:c>
      <x:c r="Q422" s="11" t="n">
        <x:f>IFERROR(M422/F422,"")</x:f>
        <x:v>0.03794871794871795</x:v>
      </x:c>
      <x:c r="R422" s="10" t="n">
        <x:f>G422+H422</x:f>
        <x:v>793</x:v>
      </x:c>
      <x:c r="S422" s="11" t="n">
        <x:f>IFERROR(R422/F422,"")</x:f>
        <x:v>0.8133333333333334</x:v>
      </x:c>
      <x:c r="T422" s="11" t="n">
        <x:f>IFERROR(R422/P422,"")</x:f>
        <x:v>0.8454157782515992</x:v>
      </x:c>
      <x:c r="U422" s="10" t="n">
        <x:f>I422+J422+K422</x:f>
        <x:v>142</x:v>
      </x:c>
      <x:c r="V422" s="11" t="n">
        <x:f>IFERROR(U422/P422,"")</x:f>
        <x:v>0.1513859275053305</x:v>
      </x:c>
      <x:c r="W422" s="9" t="str">
        <x:v>mature_le_5pct_pending</x:v>
      </x:c>
      <x:c r="X422" s="12" t="n">
        <x:f>IFERROR(F422/Z422*100000,"")</x:f>
        <x:v>17.012440892673308</x:v>
      </x:c>
      <x:c r="Y422" s="13" t="n">
        <x:f>LN(Z422)</x:f>
        <x:v>15.56141804234343</x:v>
      </x:c>
      <x:c r="Z422" s="6" t="str">
        <x:v>5731100</x:v>
      </x:c>
      <x:c r="AA422" s="6" t="str">
        <x:v>291.0</x:v>
      </x:c>
      <x:c r="AB422" s="9" t="str">
        <x:v>2025-06-30</x:v>
      </x:c>
      <x:c r="AC422" s="8" t="str">
        <x:v>88.29</x:v>
      </x:c>
      <x:c r="AD422" s="9" t="str">
        <x:v>2025 (Susenas)</x:v>
      </x:c>
      <x:c r="AE422" s="8" t="str">
        <x:v>11.78</x:v>
      </x:c>
      <x:c r="AF422" s="9" t="str">
        <x:v>Maret 2025 (Susenas)</x:v>
      </x:c>
      <x:c r="AG422" s="6" t="str">
        <x:v>26.395685785864856</x:v>
      </x:c>
      <x:c r="AH422" s="8" t="str">
        <x:v>86.69129867788406</x:v>
      </x:c>
      <x:c r="AI422" s="6" t="str">
        <x:v>315.8302955931362</x:v>
      </x:c>
      <x:c r="AJ422" s="6" t="str">
        <x:v>-0.0855938996065504</x:v>
      </x:c>
      <x:c r="AK422" s="8" t="str">
        <x:v>-0.1437356612689591</x:v>
      </x:c>
      <x:c r="AL422" s="6" t="str">
        <x:v>0.2856746548002754</x:v>
      </x:c>
      <x:c r="AM422" s="6" t="str">
        <x:v>1.3054674070305363</x:v>
      </x:c>
      <x:c r="AN422" s="6" t="str">
        <x:v>0.4824688001872839</x:v>
      </x:c>
      <x:c r="AO422" s="6" t="str">
        <x:v>3.04173022553394</x:v>
      </x:c>
      <x:c r="AP422" s="8" t="str">
        <x:v>1.0410363910322196</x:v>
      </x:c>
      <x:c r="AQ422" s="6" t="str">
        <x:v>0.8401884599679484</x:v>
      </x:c>
      <x:c r="AR422" s="6" t="str">
        <x:v>0.0306548202603869</x:v>
      </x:c>
      <x:c r="AS422" s="6" t="str">
        <x:v>0.6372932237535173</x:v>
      </x:c>
      <x:c r="AT422" s="6" t="str">
        <x:v>73.58765509356363</x:v>
      </x:c>
      <x:c r="AU422" s="8" t="str">
        <x:v>0.8876152046880492</x:v>
      </x:c>
      <x:c r="AV422" s="6" t="str">
        <x:v>2.4675657882689443</x:v>
      </x:c>
      <x:c r="AW422" s="6" t="str">
        <x:v>-0.445227587298093</x:v>
      </x:c>
      <x:c r="AX422" s="6" t="str">
        <x:v>0.9699844685529672</x:v>
      </x:c>
      <x:c r="AY422" s="6" t="str">
        <x:v>0</x:v>
      </x:c>
      <x:c r="AZ422" s="6" t="str">
        <x:v>0</x:v>
      </x:c>
      <x:c r="BA422" s="9" t="str">
        <x:v>grid_cells_within_BIG_polygon</x:v>
      </x:c>
      <x:c r="BB422" s="6" t="str">
        <x:v>7</x:v>
      </x:c>
      <x:c r="BC422" s="6" t="str">
        <x:v>26</x:v>
      </x:c>
      <x:c r="BD422" s="6" t="str">
        <x:v>26</x:v>
      </x:c>
      <x:c r="BE422" s="6" t="str">
        <x:v>26</x:v>
      </x:c>
      <x:c r="BF422" s="6" t="str">
        <x:v>0</x:v>
      </x:c>
      <x:c r="BG422" s="6" t="str">
        <x:v>0</x:v>
      </x:c>
      <x:c r="BH422" s="6" t="str">
        <x:v>0</x:v>
      </x:c>
      <x:c r="BI422" s="6" t="str">
        <x:v>0</x:v>
      </x:c>
      <x:c r="BJ422" s="6" t="str">
        <x:v>0</x:v>
      </x:c>
      <x:c r="BK422" s="6" t="str">
        <x:v>0</x:v>
      </x:c>
      <x:c r="BL422" s="6" t="str">
        <x:v>0</x:v>
      </x:c>
      <x:c r="BM422" s="6" t="str">
        <x:v>0</x:v>
      </x:c>
      <x:c r="BN422" s="6" t="str">
        <x:v>26</x:v>
      </x:c>
      <x:c r="BO422" s="6" t="str">
        <x:v>3.0</x:v>
      </x:c>
      <x:c r="BP422" s="6" t="str">
        <x:v>26</x:v>
      </x:c>
      <x:c r="BQ422" s="6" t="str">
        <x:v>0.0</x:v>
      </x:c>
      <x:c r="BR422" s="6" t="str">
        <x:v>26</x:v>
      </x:c>
      <x:c r="BS422" s="6" t="str">
        <x:v>11.0</x:v>
      </x:c>
      <x:c r="BT422" s="6" t="str">
        <x:v>26</x:v>
      </x:c>
      <x:c r="BU422" s="6" t="str">
        <x:v>11342.0</x:v>
      </x:c>
      <x:c r="BV422" s="6" t="str">
        <x:v>22</x:v>
      </x:c>
      <x:c r="BW422" s="9" t="str">
        <x:v>operational_snapshot_annual_totals_may_differ</x:v>
      </x:c>
      <x:c r="BX422" s="9" t="str">
        <x:v>official_live_dashboard_snapshot_subject_to_revision</x:v>
      </x:c>
      <x:c r="BY422" s="9" t="str">
        <x:v>https://tbdashboard.sitb.id/ss_data_tbc03so_2025_provinsi_bulanan_list.php</x:v>
      </x:c>
      <x:c r="BZ422" s="6" t="n">
        <x:v>46246.610671296294</x:v>
      </x:c>
    </x:row>
    <x:row r="423" ht="18" customHeight="1">
      <x:c r="A423" s="6" t="str">
        <x:v>52</x:v>
      </x:c>
      <x:c r="B423" s="6" t="str">
        <x:v>NUSA TENGGARA BARAT</x:v>
      </x:c>
      <x:c r="C423" s="6" t="str">
        <x:v>2025</x:v>
      </x:c>
      <x:c r="D423" s="6" t="str">
        <x:v>2</x:v>
      </x:c>
      <x:c r="E423" s="6" t="str">
        <x:v>2025-02</x:v>
      </x:c>
      <x:c r="F423" s="6" t="str">
        <x:v>980</x:v>
      </x:c>
      <x:c r="G423" s="6" t="str">
        <x:v>366</x:v>
      </x:c>
      <x:c r="H423" s="6" t="str">
        <x:v>455</x:v>
      </x:c>
      <x:c r="I423" s="6" t="str">
        <x:v>46</x:v>
      </x:c>
      <x:c r="J423" s="6" t="str">
        <x:v>70</x:v>
      </x:c>
      <x:c r="K423" s="6" t="str">
        <x:v>2</x:v>
      </x:c>
      <x:c r="L423" s="6" t="str">
        <x:v>7</x:v>
      </x:c>
      <x:c r="M423" s="6" t="str">
        <x:v>34</x:v>
      </x:c>
      <x:c r="N423" s="6" t="str">
        <x:v>980</x:v>
      </x:c>
      <x:c r="O423" s="6" t="str">
        <x:v>0</x:v>
      </x:c>
      <x:c r="P423" s="10" t="n">
        <x:f>F423-M423</x:f>
        <x:v>946</x:v>
      </x:c>
      <x:c r="Q423" s="11" t="n">
        <x:f>IFERROR(M423/F423,"")</x:f>
        <x:v>0.03469387755102041</x:v>
      </x:c>
      <x:c r="R423" s="10" t="n">
        <x:f>G423+H423</x:f>
        <x:v>821</x:v>
      </x:c>
      <x:c r="S423" s="11" t="n">
        <x:f>IFERROR(R423/F423,"")</x:f>
        <x:v>0.8377551020408164</x:v>
      </x:c>
      <x:c r="T423" s="11" t="n">
        <x:f>IFERROR(R423/P423,"")</x:f>
        <x:v>0.8678646934460887</x:v>
      </x:c>
      <x:c r="U423" s="10" t="n">
        <x:f>I423+J423+K423</x:f>
        <x:v>118</x:v>
      </x:c>
      <x:c r="V423" s="11" t="n">
        <x:f>IFERROR(U423/P423,"")</x:f>
        <x:v>0.12473572938689217</x:v>
      </x:c>
      <x:c r="W423" s="9" t="str">
        <x:v>mature_le_5pct_pending</x:v>
      </x:c>
      <x:c r="X423" s="12" t="n">
        <x:f>IFERROR(F423/Z423*100000,"")</x:f>
        <x:v>17.0996841793024</x:v>
      </x:c>
      <x:c r="Y423" s="13" t="n">
        <x:f>LN(Z423)</x:f>
        <x:v>15.56141804234343</x:v>
      </x:c>
      <x:c r="Z423" s="6" t="str">
        <x:v>5731100</x:v>
      </x:c>
      <x:c r="AA423" s="6" t="str">
        <x:v>291.0</x:v>
      </x:c>
      <x:c r="AB423" s="9" t="str">
        <x:v>2025-06-30</x:v>
      </x:c>
      <x:c r="AC423" s="8" t="str">
        <x:v>88.29</x:v>
      </x:c>
      <x:c r="AD423" s="9" t="str">
        <x:v>2025 (Susenas)</x:v>
      </x:c>
      <x:c r="AE423" s="8" t="str">
        <x:v>11.78</x:v>
      </x:c>
      <x:c r="AF423" s="9" t="str">
        <x:v>Maret 2025 (Susenas)</x:v>
      </x:c>
      <x:c r="AG423" s="6" t="str">
        <x:v>26.585643584164732</x:v>
      </x:c>
      <x:c r="AH423" s="8" t="str">
        <x:v>85.37159217152575</x:v>
      </x:c>
      <x:c r="AI423" s="6" t="str">
        <x:v>224.1941684923476</x:v>
      </x:c>
      <x:c r="AJ423" s="6" t="str">
        <x:v>0.3005278475516739</x:v>
      </x:c>
      <x:c r="AK423" s="8" t="str">
        <x:v>0.5292371765088205</x:v>
      </x:c>
      <x:c r="AL423" s="6" t="str">
        <x:v>-0.1437356612689591</x:v>
      </x:c>
      <x:c r="AM423" s="6" t="str">
        <x:v>0.2856746548002754</x:v>
      </x:c>
      <x:c r="AN423" s="6" t="str">
        <x:v>0.2237253900133786</x:v>
      </x:c>
      <x:c r="AO423" s="6" t="str">
        <x:v>0.3927507492586386</x:v>
      </x:c>
      <x:c r="AP423" s="8" t="str">
        <x:v>0.1548124053532526</x:v>
      </x:c>
      <x:c r="AQ423" s="6" t="str">
        <x:v>1.0410363910322196</x:v>
      </x:c>
      <x:c r="AR423" s="6" t="str">
        <x:v>0.8401884599679484</x:v>
      </x:c>
      <x:c r="AS423" s="6" t="str">
        <x:v>0.6786790854511392</x:v>
      </x:c>
      <x:c r="AT423" s="6" t="str">
        <x:v>-11.669480466786922</x:v>
      </x:c>
      <x:c r="AU423" s="8" t="str">
        <x:v>-0.1607531298861375</x:v>
      </x:c>
      <x:c r="AV423" s="6" t="str">
        <x:v>0.8876152046880492</x:v>
      </x:c>
      <x:c r="AW423" s="6" t="str">
        <x:v>2.4675657882689443</x:v>
      </x:c>
      <x:c r="AX423" s="6" t="str">
        <x:v>1.064809287690286</x:v>
      </x:c>
      <x:c r="AY423" s="6" t="str">
        <x:v>0</x:v>
      </x:c>
      <x:c r="AZ423" s="6" t="str">
        <x:v>0</x:v>
      </x:c>
      <x:c r="BA423" s="9" t="str">
        <x:v>grid_cells_within_BIG_polygon</x:v>
      </x:c>
      <x:c r="BB423" s="6" t="str">
        <x:v>7</x:v>
      </x:c>
      <x:c r="BC423" s="6" t="str">
        <x:v>26</x:v>
      </x:c>
      <x:c r="BD423" s="6" t="str">
        <x:v>26</x:v>
      </x:c>
      <x:c r="BE423" s="6" t="str">
        <x:v>13</x:v>
      </x:c>
      <x:c r="BF423" s="6" t="str">
        <x:v>2</x:v>
      </x:c>
      <x:c r="BG423" s="6" t="str">
        <x:v>11</x:v>
      </x:c>
      <x:c r="BH423" s="6" t="str">
        <x:v>0</x:v>
      </x:c>
      <x:c r="BI423" s="6" t="str">
        <x:v>0</x:v>
      </x:c>
      <x:c r="BJ423" s="6" t="str">
        <x:v>0</x:v>
      </x:c>
      <x:c r="BK423" s="6" t="str">
        <x:v>0</x:v>
      </x:c>
      <x:c r="BL423" s="6" t="str">
        <x:v>0</x:v>
      </x:c>
      <x:c r="BM423" s="6" t="str">
        <x:v>0</x:v>
      </x:c>
      <x:c r="BN423" s="6" t="str">
        <x:v>26</x:v>
      </x:c>
      <x:c r="BO423" s="6" t="str">
        <x:v>7.0</x:v>
      </x:c>
      <x:c r="BP423" s="6" t="str">
        <x:v>26</x:v>
      </x:c>
      <x:c r="BQ423" s="6" t="str">
        <x:v>3.0</x:v>
      </x:c>
      <x:c r="BR423" s="6" t="str">
        <x:v>26</x:v>
      </x:c>
      <x:c r="BS423" s="6" t="str">
        <x:v>164.0</x:v>
      </x:c>
      <x:c r="BT423" s="6" t="str">
        <x:v>26</x:v>
      </x:c>
      <x:c r="BU423" s="6" t="str">
        <x:v>10281.0</x:v>
      </x:c>
      <x:c r="BV423" s="6" t="str">
        <x:v>11</x:v>
      </x:c>
      <x:c r="BW423" s="9" t="str">
        <x:v>operational_snapshot_annual_totals_may_differ</x:v>
      </x:c>
      <x:c r="BX423" s="9" t="str">
        <x:v>official_live_dashboard_snapshot_subject_to_revision</x:v>
      </x:c>
      <x:c r="BY423" s="9" t="str">
        <x:v>https://tbdashboard.sitb.id/ss_data_tbc03so_2025_provinsi_bulanan_list.php</x:v>
      </x:c>
      <x:c r="BZ423" s="6" t="n">
        <x:v>46246.610671296294</x:v>
      </x:c>
    </x:row>
    <x:row r="424" ht="18" customHeight="1">
      <x:c r="A424" s="6" t="str">
        <x:v>52</x:v>
      </x:c>
      <x:c r="B424" s="6" t="str">
        <x:v>NUSA TENGGARA BARAT</x:v>
      </x:c>
      <x:c r="C424" s="6" t="str">
        <x:v>2025</x:v>
      </x:c>
      <x:c r="D424" s="6" t="str">
        <x:v>3</x:v>
      </x:c>
      <x:c r="E424" s="6" t="str">
        <x:v>2025-03</x:v>
      </x:c>
      <x:c r="F424" s="6" t="str">
        <x:v>837</x:v>
      </x:c>
      <x:c r="G424" s="6" t="str">
        <x:v>320</x:v>
      </x:c>
      <x:c r="H424" s="6" t="str">
        <x:v>361</x:v>
      </x:c>
      <x:c r="I424" s="6" t="str">
        <x:v>48</x:v>
      </x:c>
      <x:c r="J424" s="6" t="str">
        <x:v>73</x:v>
      </x:c>
      <x:c r="K424" s="6" t="str">
        <x:v>1</x:v>
      </x:c>
      <x:c r="L424" s="6" t="str">
        <x:v>3</x:v>
      </x:c>
      <x:c r="M424" s="6" t="str">
        <x:v>31</x:v>
      </x:c>
      <x:c r="N424" s="6" t="str">
        <x:v>837</x:v>
      </x:c>
      <x:c r="O424" s="6" t="str">
        <x:v>0</x:v>
      </x:c>
      <x:c r="P424" s="10" t="n">
        <x:f>F424-M424</x:f>
        <x:v>806</x:v>
      </x:c>
      <x:c r="Q424" s="11" t="n">
        <x:f>IFERROR(M424/F424,"")</x:f>
        <x:v>0.037037037037037035</x:v>
      </x:c>
      <x:c r="R424" s="10" t="n">
        <x:f>G424+H424</x:f>
        <x:v>681</x:v>
      </x:c>
      <x:c r="S424" s="11" t="n">
        <x:f>IFERROR(R424/F424,"")</x:f>
        <x:v>0.8136200716845878</x:v>
      </x:c>
      <x:c r="T424" s="11" t="n">
        <x:f>IFERROR(R424/P424,"")</x:f>
        <x:v>0.8449131513647643</x:v>
      </x:c>
      <x:c r="U424" s="10" t="n">
        <x:f>I424+J424+K424</x:f>
        <x:v>122</x:v>
      </x:c>
      <x:c r="V424" s="11" t="n">
        <x:f>IFERROR(U424/P424,"")</x:f>
        <x:v>0.1513647642679901</x:v>
      </x:c>
      <x:c r="W424" s="9" t="str">
        <x:v>mature_le_5pct_pending</x:v>
      </x:c>
      <x:c r="X424" s="12" t="n">
        <x:f>IFERROR(F424/Z424*100000,"")</x:f>
        <x:v>14.604526181710318</x:v>
      </x:c>
      <x:c r="Y424" s="13" t="n">
        <x:f>LN(Z424)</x:f>
        <x:v>15.56141804234343</x:v>
      </x:c>
      <x:c r="Z424" s="6" t="str">
        <x:v>5731100</x:v>
      </x:c>
      <x:c r="AA424" s="6" t="str">
        <x:v>291.0</x:v>
      </x:c>
      <x:c r="AB424" s="9" t="str">
        <x:v>2025-06-30</x:v>
      </x:c>
      <x:c r="AC424" s="8" t="str">
        <x:v>88.29</x:v>
      </x:c>
      <x:c r="AD424" s="9" t="str">
        <x:v>2025 (Susenas)</x:v>
      </x:c>
      <x:c r="AE424" s="8" t="str">
        <x:v>11.78</x:v>
      </x:c>
      <x:c r="AF424" s="9" t="str">
        <x:v>Maret 2025 (Susenas)</x:v>
      </x:c>
      <x:c r="AG424" s="6" t="str">
        <x:v>27.02139650909796</x:v>
      </x:c>
      <x:c r="AH424" s="8" t="str">
        <x:v>84.36421062814394</x:v>
      </x:c>
      <x:c r="AI424" s="6" t="str">
        <x:v>286.5287243412251</x:v>
      </x:c>
      <x:c r="AJ424" s="6" t="str">
        <x:v>0.4532458601693498</x:v>
      </x:c>
      <x:c r="AK424" s="8" t="str">
        <x:v>0.824679862730755</x:v>
      </x:c>
      <x:c r="AL424" s="6" t="str">
        <x:v>0.5292371765088205</x:v>
      </x:c>
      <x:c r="AM424" s="6" t="str">
        <x:v>-0.1437356612689591</x:v>
      </x:c>
      <x:c r="AN424" s="6" t="str">
        <x:v>0.4033937926568718</x:v>
      </x:c>
      <x:c r="AO424" s="6" t="str">
        <x:v>1.2048289519353972</x:v>
      </x:c>
      <x:c r="AP424" s="8" t="str">
        <x:v>0.4731049940303926</x:v>
      </x:c>
      <x:c r="AQ424" s="6" t="str">
        <x:v>0.1548124053532526</x:v>
      </x:c>
      <x:c r="AR424" s="6" t="str">
        <x:v>1.0410363910322196</x:v>
      </x:c>
      <x:c r="AS424" s="6" t="str">
        <x:v>0.5563179301386206</x:v>
      </x:c>
      <x:c r="AT424" s="6" t="str">
        <x:v>104.44353730931569</x:v>
      </x:c>
      <x:c r="AU424" s="8" t="str">
        <x:v>1.386103052774987</x:v>
      </x:c>
      <x:c r="AV424" s="6" t="str">
        <x:v>-0.1607531298861375</x:v>
      </x:c>
      <x:c r="AW424" s="6" t="str">
        <x:v>0.8876152046880492</x:v>
      </x:c>
      <x:c r="AX424" s="6" t="str">
        <x:v>0.7043217091923001</x:v>
      </x:c>
      <x:c r="AY424" s="6" t="str">
        <x:v>1</x:v>
      </x:c>
      <x:c r="AZ424" s="6" t="str">
        <x:v>0</x:v>
      </x:c>
      <x:c r="BA424" s="9" t="str">
        <x:v>grid_cells_within_BIG_polygon</x:v>
      </x:c>
      <x:c r="BB424" s="6" t="str">
        <x:v>7</x:v>
      </x:c>
      <x:c r="BC424" s="6" t="str">
        <x:v>10</x:v>
      </x:c>
      <x:c r="BD424" s="6" t="str">
        <x:v>10</x:v>
      </x:c>
      <x:c r="BE424" s="6" t="str">
        <x:v>5</x:v>
      </x:c>
      <x:c r="BF424" s="6" t="str">
        <x:v>0</x:v>
      </x:c>
      <x:c r="BG424" s="6" t="str">
        <x:v>5</x:v>
      </x:c>
      <x:c r="BH424" s="6" t="str">
        <x:v>0</x:v>
      </x:c>
      <x:c r="BI424" s="6" t="str">
        <x:v>0</x:v>
      </x:c>
      <x:c r="BJ424" s="6" t="str">
        <x:v>0</x:v>
      </x:c>
      <x:c r="BK424" s="6" t="str">
        <x:v>0</x:v>
      </x:c>
      <x:c r="BL424" s="6" t="str">
        <x:v>0</x:v>
      </x:c>
      <x:c r="BM424" s="6" t="str">
        <x:v>0</x:v>
      </x:c>
      <x:c r="BN424" s="6" t="str">
        <x:v>10</x:v>
      </x:c>
      <x:c r="BO424" s="6" t="str">
        <x:v>0.0</x:v>
      </x:c>
      <x:c r="BP424" s="6" t="str">
        <x:v>10</x:v>
      </x:c>
      <x:c r="BQ424" s="6" t="str">
        <x:v>0.0</x:v>
      </x:c>
      <x:c r="BR424" s="6" t="str">
        <x:v>10</x:v>
      </x:c>
      <x:c r="BS424" s="6" t="str">
        <x:v>187.0</x:v>
      </x:c>
      <x:c r="BT424" s="6" t="str">
        <x:v>10</x:v>
      </x:c>
      <x:c r="BU424" s="6" t="str">
        <x:v>699.0</x:v>
      </x:c>
      <x:c r="BV424" s="6" t="str">
        <x:v>4</x:v>
      </x:c>
      <x:c r="BW424" s="9" t="str">
        <x:v>operational_snapshot_annual_totals_may_differ</x:v>
      </x:c>
      <x:c r="BX424" s="9" t="str">
        <x:v>official_live_dashboard_snapshot_subject_to_revision</x:v>
      </x:c>
      <x:c r="BY424" s="9" t="str">
        <x:v>https://tbdashboard.sitb.id/ss_data_tbc03so_2025_provinsi_bulanan_list.php</x:v>
      </x:c>
      <x:c r="BZ424" s="6" t="n">
        <x:v>46246.610671296294</x:v>
      </x:c>
    </x:row>
    <x:row r="425" ht="18" customHeight="1">
      <x:c r="A425" s="6" t="str">
        <x:v>52</x:v>
      </x:c>
      <x:c r="B425" s="6" t="str">
        <x:v>NUSA TENGGARA BARAT</x:v>
      </x:c>
      <x:c r="C425" s="6" t="str">
        <x:v>2025</x:v>
      </x:c>
      <x:c r="D425" s="6" t="str">
        <x:v>4</x:v>
      </x:c>
      <x:c r="E425" s="6" t="str">
        <x:v>2025-04</x:v>
      </x:c>
      <x:c r="F425" s="6" t="str">
        <x:v>840</x:v>
      </x:c>
      <x:c r="G425" s="6" t="str">
        <x:v>309</x:v>
      </x:c>
      <x:c r="H425" s="6" t="str">
        <x:v>366</x:v>
      </x:c>
      <x:c r="I425" s="6" t="str">
        <x:v>36</x:v>
      </x:c>
      <x:c r="J425" s="6" t="str">
        <x:v>79</x:v>
      </x:c>
      <x:c r="K425" s="6" t="str">
        <x:v>4</x:v>
      </x:c>
      <x:c r="L425" s="6" t="str">
        <x:v>1</x:v>
      </x:c>
      <x:c r="M425" s="6" t="str">
        <x:v>45</x:v>
      </x:c>
      <x:c r="N425" s="6" t="str">
        <x:v>840</x:v>
      </x:c>
      <x:c r="O425" s="6" t="str">
        <x:v>0</x:v>
      </x:c>
      <x:c r="P425" s="10" t="n">
        <x:f>F425-M425</x:f>
        <x:v>795</x:v>
      </x:c>
      <x:c r="Q425" s="11" t="n">
        <x:f>IFERROR(M425/F425,"")</x:f>
        <x:v>0.05357142857142857</x:v>
      </x:c>
      <x:c r="R425" s="10" t="n">
        <x:f>G425+H425</x:f>
        <x:v>675</x:v>
      </x:c>
      <x:c r="S425" s="11" t="n">
        <x:f>IFERROR(R425/F425,"")</x:f>
        <x:v>0.8035714285714286</x:v>
      </x:c>
      <x:c r="T425" s="11" t="n">
        <x:f>IFERROR(R425/P425,"")</x:f>
        <x:v>0.8490566037735849</x:v>
      </x:c>
      <x:c r="U425" s="10" t="n">
        <x:f>I425+J425+K425</x:f>
        <x:v>119</x:v>
      </x:c>
      <x:c r="V425" s="11" t="n">
        <x:f>IFERROR(U425/P425,"")</x:f>
        <x:v>0.14968553459119496</x:v>
      </x:c>
      <x:c r="W425" s="9" t="str">
        <x:v>provisional_gt_5pct_pending</x:v>
      </x:c>
      <x:c r="X425" s="12" t="n">
        <x:f>IFERROR(F425/Z425*100000,"")</x:f>
        <x:v>14.656872153687774</x:v>
      </x:c>
      <x:c r="Y425" s="13" t="n">
        <x:f>LN(Z425)</x:f>
        <x:v>15.56141804234343</x:v>
      </x:c>
      <x:c r="Z425" s="6" t="str">
        <x:v>5731100</x:v>
      </x:c>
      <x:c r="AA425" s="6" t="str">
        <x:v>291.0</x:v>
      </x:c>
      <x:c r="AB425" s="9" t="str">
        <x:v>2025-06-30</x:v>
      </x:c>
      <x:c r="AC425" s="8" t="str">
        <x:v>88.29</x:v>
      </x:c>
      <x:c r="AD425" s="9" t="str">
        <x:v>2025 (Susenas)</x:v>
      </x:c>
      <x:c r="AE425" s="8" t="str">
        <x:v>11.78</x:v>
      </x:c>
      <x:c r="AF425" s="9" t="str">
        <x:v>Maret 2025 (Susenas)</x:v>
      </x:c>
      <x:c r="AG425" s="6" t="str">
        <x:v>26.93291195025988</x:v>
      </x:c>
      <x:c r="AH425" s="8" t="str">
        <x:v>80.84960675688527</x:v>
      </x:c>
      <x:c r="AI425" s="6" t="str">
        <x:v>115.16126985456972</x:v>
      </x:c>
      <x:c r="AJ425" s="6" t="str">
        <x:v>0.2487494726160442</x:v>
      </x:c>
      <x:c r="AK425" s="8" t="str">
        <x:v>0.508981087632548</x:v>
      </x:c>
      <x:c r="AL425" s="6" t="str">
        <x:v>0.824679862730755</x:v>
      </x:c>
      <x:c r="AM425" s="6" t="str">
        <x:v>0.5292371765088205</x:v>
      </x:c>
      <x:c r="AN425" s="6" t="str">
        <x:v>0.6209660422907075</x:v>
      </x:c>
      <x:c r="AO425" s="6" t="str">
        <x:v>-1.3715398063476414</x:v>
      </x:c>
      <x:c r="AP425" s="8" t="str">
        <x:v>-0.782729629719728</x:v>
      </x:c>
      <x:c r="AQ425" s="6" t="str">
        <x:v>0.4731049940303926</x:v>
      </x:c>
      <x:c r="AR425" s="6" t="str">
        <x:v>0.1548124053532526</x:v>
      </x:c>
      <x:c r="AS425" s="6" t="str">
        <x:v>-0.0516040767786953</x:v>
      </x:c>
      <x:c r="AT425" s="6" t="str">
        <x:v>-2.841517408848901</x:v>
      </x:c>
      <x:c r="AU425" s="8" t="str">
        <x:v>-0.0561808515979269</x:v>
      </x:c>
      <x:c r="AV425" s="6" t="str">
        <x:v>1.386103052774987</x:v>
      </x:c>
      <x:c r="AW425" s="6" t="str">
        <x:v>-0.1607531298861375</x:v>
      </x:c>
      <x:c r="AX425" s="6" t="str">
        <x:v>0.3897230237636412</x:v>
      </x:c>
      <x:c r="AY425" s="6" t="str">
        <x:v>0</x:v>
      </x:c>
      <x:c r="AZ425" s="6" t="str">
        <x:v>0</x:v>
      </x:c>
      <x:c r="BA425" s="9" t="str">
        <x:v>grid_cells_within_BIG_polygon</x:v>
      </x:c>
      <x:c r="BB425" s="6" t="str">
        <x:v>7</x:v>
      </x:c>
      <x:c r="BC425" s="6" t="str">
        <x:v>4</x:v>
      </x:c>
      <x:c r="BD425" s="6" t="str">
        <x:v>4</x:v>
      </x:c>
      <x:c r="BE425" s="6" t="str">
        <x:v>3</x:v>
      </x:c>
      <x:c r="BF425" s="6" t="str">
        <x:v>0</x:v>
      </x:c>
      <x:c r="BG425" s="6" t="str">
        <x:v>0</x:v>
      </x:c>
      <x:c r="BH425" s="6" t="str">
        <x:v>1</x:v>
      </x:c>
      <x:c r="BI425" s="6" t="str">
        <x:v>0</x:v>
      </x:c>
      <x:c r="BJ425" s="6" t="str">
        <x:v>0</x:v>
      </x:c>
      <x:c r="BK425" s="6" t="str">
        <x:v>0</x:v>
      </x:c>
      <x:c r="BL425" s="6" t="str">
        <x:v>0</x:v>
      </x:c>
      <x:c r="BM425" s="6" t="str">
        <x:v>0</x:v>
      </x:c>
      <x:c r="BN425" s="6" t="str">
        <x:v>4</x:v>
      </x:c>
      <x:c r="BO425" s="6" t="str">
        <x:v>0.0</x:v>
      </x:c>
      <x:c r="BP425" s="6" t="str">
        <x:v>4</x:v>
      </x:c>
      <x:c r="BQ425" s="6" t="str">
        <x:v>0.0</x:v>
      </x:c>
      <x:c r="BR425" s="6" t="str">
        <x:v>4</x:v>
      </x:c>
      <x:c r="BS425" s="6" t="str">
        <x:v>0.0</x:v>
      </x:c>
      <x:c r="BT425" s="6" t="str">
        <x:v>4</x:v>
      </x:c>
      <x:c r="BU425" s="6" t="str">
        <x:v>104.0</x:v>
      </x:c>
      <x:c r="BV425" s="6" t="str">
        <x:v>2</x:v>
      </x:c>
      <x:c r="BW425" s="9" t="str">
        <x:v>operational_snapshot_annual_totals_may_differ</x:v>
      </x:c>
      <x:c r="BX425" s="9" t="str">
        <x:v>official_live_dashboard_snapshot_subject_to_revision</x:v>
      </x:c>
      <x:c r="BY425" s="9" t="str">
        <x:v>https://tbdashboard.sitb.id/ss_data_tbc03so_2025_provinsi_bulanan_list.php</x:v>
      </x:c>
      <x:c r="BZ425" s="6" t="n">
        <x:v>46246.610671296294</x:v>
      </x:c>
    </x:row>
    <x:row r="426" ht="18" customHeight="1">
      <x:c r="A426" s="6" t="str">
        <x:v>52</x:v>
      </x:c>
      <x:c r="B426" s="6" t="str">
        <x:v>NUSA TENGGARA BARAT</x:v>
      </x:c>
      <x:c r="C426" s="6" t="str">
        <x:v>2025</x:v>
      </x:c>
      <x:c r="D426" s="6" t="str">
        <x:v>5</x:v>
      </x:c>
      <x:c r="E426" s="6" t="str">
        <x:v>2025-05</x:v>
      </x:c>
      <x:c r="F426" s="6" t="str">
        <x:v>932</x:v>
      </x:c>
      <x:c r="G426" s="6" t="str">
        <x:v>345</x:v>
      </x:c>
      <x:c r="H426" s="6" t="str">
        <x:v>409</x:v>
      </x:c>
      <x:c r="I426" s="6" t="str">
        <x:v>48</x:v>
      </x:c>
      <x:c r="J426" s="6" t="str">
        <x:v>73</x:v>
      </x:c>
      <x:c r="K426" s="6" t="str">
        <x:v>3</x:v>
      </x:c>
      <x:c r="L426" s="6" t="str">
        <x:v>0</x:v>
      </x:c>
      <x:c r="M426" s="6" t="str">
        <x:v>54</x:v>
      </x:c>
      <x:c r="N426" s="6" t="str">
        <x:v>932</x:v>
      </x:c>
      <x:c r="O426" s="6" t="str">
        <x:v>0</x:v>
      </x:c>
      <x:c r="P426" s="10" t="n">
        <x:f>F426-M426</x:f>
        <x:v>878</x:v>
      </x:c>
      <x:c r="Q426" s="11" t="n">
        <x:f>IFERROR(M426/F426,"")</x:f>
        <x:v>0.05793991416309013</x:v>
      </x:c>
      <x:c r="R426" s="10" t="n">
        <x:f>G426+H426</x:f>
        <x:v>754</x:v>
      </x:c>
      <x:c r="S426" s="11" t="n">
        <x:f>IFERROR(R426/F426,"")</x:f>
        <x:v>0.8090128755364807</x:v>
      </x:c>
      <x:c r="T426" s="11" t="n">
        <x:f>IFERROR(R426/P426,"")</x:f>
        <x:v>0.8587699316628702</x:v>
      </x:c>
      <x:c r="U426" s="10" t="n">
        <x:f>I426+J426+K426</x:f>
        <x:v>124</x:v>
      </x:c>
      <x:c r="V426" s="11" t="n">
        <x:f>IFERROR(U426/P426,"")</x:f>
        <x:v>0.14123006833712984</x:v>
      </x:c>
      <x:c r="W426" s="9" t="str">
        <x:v>provisional_gt_5pct_pending</x:v>
      </x:c>
      <x:c r="X426" s="12" t="n">
        <x:f>IFERROR(F426/Z426*100000,"")</x:f>
        <x:v>16.2621486276631</x:v>
      </x:c>
      <x:c r="Y426" s="13" t="n">
        <x:f>LN(Z426)</x:f>
        <x:v>15.56141804234343</x:v>
      </x:c>
      <x:c r="Z426" s="6" t="str">
        <x:v>5731100</x:v>
      </x:c>
      <x:c r="AA426" s="6" t="str">
        <x:v>291.0</x:v>
      </x:c>
      <x:c r="AB426" s="9" t="str">
        <x:v>2025-06-30</x:v>
      </x:c>
      <x:c r="AC426" s="8" t="str">
        <x:v>88.29</x:v>
      </x:c>
      <x:c r="AD426" s="9" t="str">
        <x:v>2025 (Susenas)</x:v>
      </x:c>
      <x:c r="AE426" s="8" t="str">
        <x:v>11.78</x:v>
      </x:c>
      <x:c r="AF426" s="9" t="str">
        <x:v>Maret 2025 (Susenas)</x:v>
      </x:c>
      <x:c r="AG426" s="6" t="str">
        <x:v>26.74436984364893</x:v>
      </x:c>
      <x:c r="AH426" s="8" t="str">
        <x:v>84.91053712902286</x:v>
      </x:c>
      <x:c r="AI426" s="6" t="str">
        <x:v>104.9026799562409</x:v>
      </x:c>
      <x:c r="AJ426" s="6" t="str">
        <x:v>0.6019551766791196</x:v>
      </x:c>
      <x:c r="AK426" s="8" t="str">
        <x:v>0.9937352968717356</x:v>
      </x:c>
      <x:c r="AL426" s="6" t="str">
        <x:v>0.508981087632548</x:v>
      </x:c>
      <x:c r="AM426" s="6" t="str">
        <x:v>0.824679862730755</x:v>
      </x:c>
      <x:c r="AN426" s="6" t="str">
        <x:v>0.7757987490783459</x:v>
      </x:c>
      <x:c r="AO426" s="6" t="str">
        <x:v>3.9428079166749086</x:v>
      </x:c>
      <x:c r="AP426" s="8" t="str">
        <x:v>1.62330792338577</x:v>
      </x:c>
      <x:c r="AQ426" s="6" t="str">
        <x:v>-0.782729629719728</x:v>
      </x:c>
      <x:c r="AR426" s="6" t="str">
        <x:v>0.4731049940303926</x:v>
      </x:c>
      <x:c r="AS426" s="6" t="str">
        <x:v>0.4378944292321438</x:v>
      </x:c>
      <x:c r="AT426" s="6" t="str">
        <x:v>50.12899621267471</x:v>
      </x:c>
      <x:c r="AU426" s="8" t="str">
        <x:v>1.1370492028590466</x:v>
      </x:c>
      <x:c r="AV426" s="6" t="str">
        <x:v>-0.0561808515979269</x:v>
      </x:c>
      <x:c r="AW426" s="6" t="str">
        <x:v>1.386103052774987</x:v>
      </x:c>
      <x:c r="AX426" s="6" t="str">
        <x:v>0.8223238013453692</x:v>
      </x:c>
      <x:c r="AY426" s="6" t="str">
        <x:v>1</x:v>
      </x:c>
      <x:c r="AZ426" s="6" t="str">
        <x:v>0</x:v>
      </x:c>
      <x:c r="BA426" s="9" t="str">
        <x:v>grid_cells_within_BIG_polygon</x:v>
      </x:c>
      <x:c r="BB426" s="6" t="str">
        <x:v>7</x:v>
      </x:c>
      <x:c r="BC426" s="6" t="str">
        <x:v>4</x:v>
      </x:c>
      <x:c r="BD426" s="6" t="str">
        <x:v>4</x:v>
      </x:c>
      <x:c r="BE426" s="6" t="str">
        <x:v>3</x:v>
      </x:c>
      <x:c r="BF426" s="6" t="str">
        <x:v>0</x:v>
      </x:c>
      <x:c r="BG426" s="6" t="str">
        <x:v>1</x:v>
      </x:c>
      <x:c r="BH426" s="6" t="str">
        <x:v>0</x:v>
      </x:c>
      <x:c r="BI426" s="6" t="str">
        <x:v>0</x:v>
      </x:c>
      <x:c r="BJ426" s="6" t="str">
        <x:v>0</x:v>
      </x:c>
      <x:c r="BK426" s="6" t="str">
        <x:v>0</x:v>
      </x:c>
      <x:c r="BL426" s="6" t="str">
        <x:v>0</x:v>
      </x:c>
      <x:c r="BM426" s="6" t="str">
        <x:v>0</x:v>
      </x:c>
      <x:c r="BN426" s="6" t="str">
        <x:v>4</x:v>
      </x:c>
      <x:c r="BO426" s="6" t="str">
        <x:v>0.0</x:v>
      </x:c>
      <x:c r="BP426" s="6" t="str">
        <x:v>4</x:v>
      </x:c>
      <x:c r="BQ426" s="6" t="str">
        <x:v>0.0</x:v>
      </x:c>
      <x:c r="BR426" s="6" t="str">
        <x:v>4</x:v>
      </x:c>
      <x:c r="BS426" s="6" t="str">
        <x:v>9.0</x:v>
      </x:c>
      <x:c r="BT426" s="6" t="str">
        <x:v>4</x:v>
      </x:c>
      <x:c r="BU426" s="6" t="str">
        <x:v>275.0</x:v>
      </x:c>
      <x:c r="BV426" s="6" t="str">
        <x:v>2</x:v>
      </x:c>
      <x:c r="BW426" s="9" t="str">
        <x:v>operational_snapshot_annual_totals_may_differ</x:v>
      </x:c>
      <x:c r="BX426" s="9" t="str">
        <x:v>official_live_dashboard_snapshot_subject_to_revision</x:v>
      </x:c>
      <x:c r="BY426" s="9" t="str">
        <x:v>https://tbdashboard.sitb.id/ss_data_tbc03so_2025_provinsi_bulanan_list.php</x:v>
      </x:c>
      <x:c r="BZ426" s="6" t="n">
        <x:v>46246.610671296294</x:v>
      </x:c>
    </x:row>
    <x:row r="427" ht="18" customHeight="1">
      <x:c r="A427" s="6" t="str">
        <x:v>52</x:v>
      </x:c>
      <x:c r="B427" s="6" t="str">
        <x:v>NUSA TENGGARA BARAT</x:v>
      </x:c>
      <x:c r="C427" s="6" t="str">
        <x:v>2025</x:v>
      </x:c>
      <x:c r="D427" s="6" t="str">
        <x:v>6</x:v>
      </x:c>
      <x:c r="E427" s="6" t="str">
        <x:v>2025-06</x:v>
      </x:c>
      <x:c r="F427" s="6" t="str">
        <x:v>893</x:v>
      </x:c>
      <x:c r="G427" s="6" t="str">
        <x:v>320</x:v>
      </x:c>
      <x:c r="H427" s="6" t="str">
        <x:v>405</x:v>
      </x:c>
      <x:c r="I427" s="6" t="str">
        <x:v>41</x:v>
      </x:c>
      <x:c r="J427" s="6" t="str">
        <x:v>67</x:v>
      </x:c>
      <x:c r="K427" s="6" t="str">
        <x:v>4</x:v>
      </x:c>
      <x:c r="L427" s="6" t="str">
        <x:v>1</x:v>
      </x:c>
      <x:c r="M427" s="6" t="str">
        <x:v>55</x:v>
      </x:c>
      <x:c r="N427" s="6" t="str">
        <x:v>893</x:v>
      </x:c>
      <x:c r="O427" s="6" t="str">
        <x:v>0</x:v>
      </x:c>
      <x:c r="P427" s="10" t="n">
        <x:f>F427-M427</x:f>
        <x:v>838</x:v>
      </x:c>
      <x:c r="Q427" s="11" t="n">
        <x:f>IFERROR(M427/F427,"")</x:f>
        <x:v>0.06159014557670773</x:v>
      </x:c>
      <x:c r="R427" s="10" t="n">
        <x:f>G427+H427</x:f>
        <x:v>725</x:v>
      </x:c>
      <x:c r="S427" s="11" t="n">
        <x:f>IFERROR(R427/F427,"")</x:f>
        <x:v>0.8118701007838746</x:v>
      </x:c>
      <x:c r="T427" s="11" t="n">
        <x:f>IFERROR(R427/P427,"")</x:f>
        <x:v>0.8651551312649165</x:v>
      </x:c>
      <x:c r="U427" s="10" t="n">
        <x:f>I427+J427+K427</x:f>
        <x:v>112</x:v>
      </x:c>
      <x:c r="V427" s="11" t="n">
        <x:f>IFERROR(U427/P427,"")</x:f>
        <x:v>0.13365155131264916</x:v>
      </x:c>
      <x:c r="W427" s="9" t="str">
        <x:v>provisional_gt_5pct_pending</x:v>
      </x:c>
      <x:c r="X427" s="12" t="n">
        <x:f>IFERROR(F427/Z427*100000,"")</x:f>
        <x:v>15.581650991956169</x:v>
      </x:c>
      <x:c r="Y427" s="13" t="n">
        <x:f>LN(Z427)</x:f>
        <x:v>15.56141804234343</x:v>
      </x:c>
      <x:c r="Z427" s="6" t="str">
        <x:v>5731100</x:v>
      </x:c>
      <x:c r="AA427" s="6" t="str">
        <x:v>291.0</x:v>
      </x:c>
      <x:c r="AB427" s="9" t="str">
        <x:v>2025-06-30</x:v>
      </x:c>
      <x:c r="AC427" s="8" t="str">
        <x:v>88.29</x:v>
      </x:c>
      <x:c r="AD427" s="9" t="str">
        <x:v>2025 (Susenas)</x:v>
      </x:c>
      <x:c r="AE427" s="8" t="str">
        <x:v>11.78</x:v>
      </x:c>
      <x:c r="AF427" s="9" t="str">
        <x:v>Maret 2025 (Susenas)</x:v>
      </x:c>
      <x:c r="AG427" s="6" t="str">
        <x:v>25.74012276858215</x:v>
      </x:c>
      <x:c r="AH427" s="8" t="str">
        <x:v>83.3033781036962</x:v>
      </x:c>
      <x:c r="AI427" s="6" t="str">
        <x:v>53.86804147393875</x:v>
      </x:c>
      <x:c r="AJ427" s="6" t="str">
        <x:v>0.2571893988607527</x:v>
      </x:c>
      <x:c r="AK427" s="8" t="str">
        <x:v>0.349603549470026</x:v>
      </x:c>
      <x:c r="AL427" s="6" t="str">
        <x:v>0.9937352968717356</x:v>
      </x:c>
      <x:c r="AM427" s="6" t="str">
        <x:v>0.508981087632548</x:v>
      </x:c>
      <x:c r="AN427" s="6" t="str">
        <x:v>0.6174399779914362</x:v>
      </x:c>
      <x:c r="AO427" s="6" t="str">
        <x:v>3.810217657916255</x:v>
      </x:c>
      <x:c r="AP427" s="8" t="str">
        <x:v>1.450333487887647</x:v>
      </x:c>
      <x:c r="AQ427" s="6" t="str">
        <x:v>1.62330792338577</x:v>
      </x:c>
      <x:c r="AR427" s="6" t="str">
        <x:v>-0.782729629719728</x:v>
      </x:c>
      <x:c r="AS427" s="6" t="str">
        <x:v>0.7636372605178954</x:v>
      </x:c>
      <x:c r="AT427" s="6" t="str">
        <x:v>26.10284292588433</x:v>
      </x:c>
      <x:c r="AU427" s="8" t="str">
        <x:v>0.8535268046001568</x:v>
      </x:c>
      <x:c r="AV427" s="6" t="str">
        <x:v>1.1370492028590466</x:v>
      </x:c>
      <x:c r="AW427" s="6" t="str">
        <x:v>-0.0561808515979269</x:v>
      </x:c>
      <x:c r="AX427" s="6" t="str">
        <x:v>0.6447983852870927</x:v>
      </x:c>
      <x:c r="AY427" s="6" t="str">
        <x:v>0</x:v>
      </x:c>
      <x:c r="AZ427" s="6" t="str">
        <x:v>0</x:v>
      </x:c>
      <x:c r="BA427" s="9" t="str">
        <x:v>grid_cells_within_BIG_polygon</x:v>
      </x:c>
      <x:c r="BB427" s="6" t="str">
        <x:v>7</x:v>
      </x:c>
      <x:c r="BC427" s="6" t="str">
        <x:v>3</x:v>
      </x:c>
      <x:c r="BD427" s="6" t="str">
        <x:v>3</x:v>
      </x:c>
      <x:c r="BE427" s="6" t="str">
        <x:v>1</x:v>
      </x:c>
      <x:c r="BF427" s="6" t="str">
        <x:v>0</x:v>
      </x:c>
      <x:c r="BG427" s="6" t="str">
        <x:v>0</x:v>
      </x:c>
      <x:c r="BH427" s="6" t="str">
        <x:v>2</x:v>
      </x:c>
      <x:c r="BI427" s="6" t="str">
        <x:v>0</x:v>
      </x:c>
      <x:c r="BJ427" s="6" t="str">
        <x:v>0</x:v>
      </x:c>
      <x:c r="BK427" s="6" t="str">
        <x:v>0</x:v>
      </x:c>
      <x:c r="BL427" s="6" t="str">
        <x:v>0</x:v>
      </x:c>
      <x:c r="BM427" s="6" t="str">
        <x:v>0</x:v>
      </x:c>
      <x:c r="BN427" s="6" t="str">
        <x:v>3</x:v>
      </x:c>
      <x:c r="BO427" s="6" t="str"/>
      <x:c r="BP427" s="6" t="str">
        <x:v>0</x:v>
      </x:c>
      <x:c r="BQ427" s="6" t="str"/>
      <x:c r="BR427" s="6" t="str">
        <x:v>0</x:v>
      </x:c>
      <x:c r="BS427" s="6" t="str">
        <x:v>0.0</x:v>
      </x:c>
      <x:c r="BT427" s="6" t="str">
        <x:v>3</x:v>
      </x:c>
      <x:c r="BU427" s="6" t="str">
        <x:v>300.0</x:v>
      </x:c>
      <x:c r="BV427" s="6" t="str">
        <x:v>1</x:v>
      </x:c>
      <x:c r="BW427" s="9" t="str">
        <x:v>operational_snapshot_annual_totals_may_differ</x:v>
      </x:c>
      <x:c r="BX427" s="9" t="str">
        <x:v>official_live_dashboard_snapshot_subject_to_revision</x:v>
      </x:c>
      <x:c r="BY427" s="9" t="str">
        <x:v>https://tbdashboard.sitb.id/ss_data_tbc03so_2025_provinsi_bulanan_list.php</x:v>
      </x:c>
      <x:c r="BZ427" s="6" t="n">
        <x:v>46246.610671296294</x:v>
      </x:c>
    </x:row>
    <x:row r="428" ht="18" customHeight="1">
      <x:c r="A428" s="6" t="str">
        <x:v>52</x:v>
      </x:c>
      <x:c r="B428" s="6" t="str">
        <x:v>NUSA TENGGARA BARAT</x:v>
      </x:c>
      <x:c r="C428" s="6" t="str">
        <x:v>2025</x:v>
      </x:c>
      <x:c r="D428" s="6" t="str">
        <x:v>7</x:v>
      </x:c>
      <x:c r="E428" s="6" t="str">
        <x:v>2025-07</x:v>
      </x:c>
      <x:c r="F428" s="6" t="str">
        <x:v>944</x:v>
      </x:c>
      <x:c r="G428" s="6" t="str">
        <x:v>307</x:v>
      </x:c>
      <x:c r="H428" s="6" t="str">
        <x:v>435</x:v>
      </x:c>
      <x:c r="I428" s="6" t="str">
        <x:v>46</x:v>
      </x:c>
      <x:c r="J428" s="6" t="str">
        <x:v>69</x:v>
      </x:c>
      <x:c r="K428" s="6" t="str">
        <x:v>2</x:v>
      </x:c>
      <x:c r="L428" s="6" t="str">
        <x:v>0</x:v>
      </x:c>
      <x:c r="M428" s="6" t="str">
        <x:v>85</x:v>
      </x:c>
      <x:c r="N428" s="6" t="str">
        <x:v>944</x:v>
      </x:c>
      <x:c r="O428" s="6" t="str">
        <x:v>0</x:v>
      </x:c>
      <x:c r="P428" s="10" t="n">
        <x:f>F428-M428</x:f>
        <x:v>859</x:v>
      </x:c>
      <x:c r="Q428" s="11" t="n">
        <x:f>IFERROR(M428/F428,"")</x:f>
        <x:v>0.09004237288135593</x:v>
      </x:c>
      <x:c r="R428" s="10" t="n">
        <x:f>G428+H428</x:f>
        <x:v>742</x:v>
      </x:c>
      <x:c r="S428" s="11" t="n">
        <x:f>IFERROR(R428/F428,"")</x:f>
        <x:v>0.7860169491525424</x:v>
      </x:c>
      <x:c r="T428" s="11" t="n">
        <x:f>IFERROR(R428/P428,"")</x:f>
        <x:v>0.8637951105937136</x:v>
      </x:c>
      <x:c r="U428" s="10" t="n">
        <x:f>I428+J428+K428</x:f>
        <x:v>117</x:v>
      </x:c>
      <x:c r="V428" s="11" t="n">
        <x:f>IFERROR(U428/P428,"")</x:f>
        <x:v>0.1362048894062864</x:v>
      </x:c>
      <x:c r="W428" s="9" t="str">
        <x:v>provisional_gt_5pct_pending</x:v>
      </x:c>
      <x:c r="X428" s="12" t="n">
        <x:f>IFERROR(F428/Z428*100000,"")</x:f>
        <x:v>16.471532515572925</x:v>
      </x:c>
      <x:c r="Y428" s="13" t="n">
        <x:f>LN(Z428)</x:f>
        <x:v>15.56141804234343</x:v>
      </x:c>
      <x:c r="Z428" s="6" t="str">
        <x:v>5731100</x:v>
      </x:c>
      <x:c r="AA428" s="6" t="str">
        <x:v>291.0</x:v>
      </x:c>
      <x:c r="AB428" s="9" t="str">
        <x:v>2025-06-30</x:v>
      </x:c>
      <x:c r="AC428" s="8" t="str">
        <x:v>88.29</x:v>
      </x:c>
      <x:c r="AD428" s="9" t="str">
        <x:v>2025 (Susenas)</x:v>
      </x:c>
      <x:c r="AE428" s="8" t="str">
        <x:v>11.78</x:v>
      </x:c>
      <x:c r="AF428" s="9" t="str">
        <x:v>Maret 2025 (Susenas)</x:v>
      </x:c>
      <x:c r="AG428" s="6" t="str">
        <x:v>25.27883176373448</x:v>
      </x:c>
      <x:c r="AH428" s="8" t="str">
        <x:v>81.61261271831683</x:v>
      </x:c>
      <x:c r="AI428" s="6" t="str">
        <x:v>24.615534325776025</x:v>
      </x:c>
      <x:c r="AJ428" s="6" t="str">
        <x:v>0.2552074938890278</x:v>
      </x:c>
      <x:c r="AK428" s="8" t="str">
        <x:v>0.3982437156514311</x:v>
      </x:c>
      <x:c r="AL428" s="6" t="str">
        <x:v>0.349603549470026</x:v>
      </x:c>
      <x:c r="AM428" s="6" t="str">
        <x:v>0.9937352968717356</x:v>
      </x:c>
      <x:c r="AN428" s="6" t="str">
        <x:v>0.5805275206643973</x:v>
      </x:c>
      <x:c r="AO428" s="6" t="str">
        <x:v>4.9142869120124</x:v>
      </x:c>
      <x:c r="AP428" s="8" t="str">
        <x:v>1.7822776383192016</x:v>
      </x:c>
      <x:c r="AQ428" s="6" t="str">
        <x:v>1.450333487887647</x:v>
      </x:c>
      <x:c r="AR428" s="6" t="str">
        <x:v>1.62330792338577</x:v>
      </x:c>
      <x:c r="AS428" s="6" t="str">
        <x:v>1.6186396831975385</x:v>
      </x:c>
      <x:c r="AT428" s="6" t="str">
        <x:v>5.041602292794813</x:v>
      </x:c>
      <x:c r="AU428" s="8" t="str">
        <x:v>0.1443442483182642</x:v>
      </x:c>
      <x:c r="AV428" s="6" t="str">
        <x:v>0.8535268046001568</x:v>
      </x:c>
      <x:c r="AW428" s="6" t="str">
        <x:v>1.1370492028590466</x:v>
      </x:c>
      <x:c r="AX428" s="6" t="str">
        <x:v>0.7116400852591563</x:v>
      </x:c>
      <x:c r="AY428" s="6" t="str">
        <x:v>0</x:v>
      </x:c>
      <x:c r="AZ428" s="6" t="str">
        <x:v>0</x:v>
      </x:c>
      <x:c r="BA428" s="9" t="str">
        <x:v>grid_cells_within_BIG_polygon</x:v>
      </x:c>
      <x:c r="BB428" s="6" t="str">
        <x:v>7</x:v>
      </x:c>
      <x:c r="BC428" s="6" t="str">
        <x:v>3</x:v>
      </x:c>
      <x:c r="BD428" s="6" t="str">
        <x:v>3</x:v>
      </x:c>
      <x:c r="BE428" s="6" t="str">
        <x:v>2</x:v>
      </x:c>
      <x:c r="BF428" s="6" t="str">
        <x:v>0</x:v>
      </x:c>
      <x:c r="BG428" s="6" t="str">
        <x:v>0</x:v>
      </x:c>
      <x:c r="BH428" s="6" t="str">
        <x:v>1</x:v>
      </x:c>
      <x:c r="BI428" s="6" t="str">
        <x:v>0</x:v>
      </x:c>
      <x:c r="BJ428" s="6" t="str">
        <x:v>0</x:v>
      </x:c>
      <x:c r="BK428" s="6" t="str">
        <x:v>0</x:v>
      </x:c>
      <x:c r="BL428" s="6" t="str">
        <x:v>0</x:v>
      </x:c>
      <x:c r="BM428" s="6" t="str">
        <x:v>0</x:v>
      </x:c>
      <x:c r="BN428" s="6" t="str">
        <x:v>3</x:v>
      </x:c>
      <x:c r="BO428" s="6" t="str">
        <x:v>2.0</x:v>
      </x:c>
      <x:c r="BP428" s="6" t="str">
        <x:v>2</x:v>
      </x:c>
      <x:c r="BQ428" s="6" t="str">
        <x:v>16.0</x:v>
      </x:c>
      <x:c r="BR428" s="6" t="str">
        <x:v>1</x:v>
      </x:c>
      <x:c r="BS428" s="6" t="str">
        <x:v>82.0</x:v>
      </x:c>
      <x:c r="BT428" s="6" t="str">
        <x:v>3</x:v>
      </x:c>
      <x:c r="BU428" s="6" t="str">
        <x:v>10187.0</x:v>
      </x:c>
      <x:c r="BV428" s="6" t="str">
        <x:v>2</x:v>
      </x:c>
      <x:c r="BW428" s="9" t="str">
        <x:v>operational_snapshot_annual_totals_may_differ</x:v>
      </x:c>
      <x:c r="BX428" s="9" t="str">
        <x:v>official_live_dashboard_snapshot_subject_to_revision</x:v>
      </x:c>
      <x:c r="BY428" s="9" t="str">
        <x:v>https://tbdashboard.sitb.id/ss_data_tbc03so_2025_provinsi_bulanan_list.php</x:v>
      </x:c>
      <x:c r="BZ428" s="6" t="n">
        <x:v>46246.610671296294</x:v>
      </x:c>
    </x:row>
    <x:row r="429" ht="18" customHeight="1">
      <x:c r="A429" s="6" t="str">
        <x:v>52</x:v>
      </x:c>
      <x:c r="B429" s="6" t="str">
        <x:v>NUSA TENGGARA BARAT</x:v>
      </x:c>
      <x:c r="C429" s="6" t="str">
        <x:v>2025</x:v>
      </x:c>
      <x:c r="D429" s="6" t="str">
        <x:v>8</x:v>
      </x:c>
      <x:c r="E429" s="6" t="str">
        <x:v>2025-08</x:v>
      </x:c>
      <x:c r="F429" s="6" t="str">
        <x:v>1000</x:v>
      </x:c>
      <x:c r="G429" s="6" t="str">
        <x:v>330</x:v>
      </x:c>
      <x:c r="H429" s="6" t="str">
        <x:v>461</x:v>
      </x:c>
      <x:c r="I429" s="6" t="str">
        <x:v>44</x:v>
      </x:c>
      <x:c r="J429" s="6" t="str">
        <x:v>71</x:v>
      </x:c>
      <x:c r="K429" s="6" t="str">
        <x:v>1</x:v>
      </x:c>
      <x:c r="L429" s="6" t="str">
        <x:v>1</x:v>
      </x:c>
      <x:c r="M429" s="6" t="str">
        <x:v>92</x:v>
      </x:c>
      <x:c r="N429" s="6" t="str">
        <x:v>1000</x:v>
      </x:c>
      <x:c r="O429" s="6" t="str">
        <x:v>0</x:v>
      </x:c>
      <x:c r="P429" s="10" t="n">
        <x:f>F429-M429</x:f>
        <x:v>908</x:v>
      </x:c>
      <x:c r="Q429" s="11" t="n">
        <x:f>IFERROR(M429/F429,"")</x:f>
        <x:v>0.092</x:v>
      </x:c>
      <x:c r="R429" s="10" t="n">
        <x:f>G429+H429</x:f>
        <x:v>791</x:v>
      </x:c>
      <x:c r="S429" s="11" t="n">
        <x:f>IFERROR(R429/F429,"")</x:f>
        <x:v>0.791</x:v>
      </x:c>
      <x:c r="T429" s="11" t="n">
        <x:f>IFERROR(R429/P429,"")</x:f>
        <x:v>0.8711453744493393</x:v>
      </x:c>
      <x:c r="U429" s="10" t="n">
        <x:f>I429+J429+K429</x:f>
        <x:v>116</x:v>
      </x:c>
      <x:c r="V429" s="11" t="n">
        <x:f>IFERROR(U429/P429,"")</x:f>
        <x:v>0.1277533039647577</x:v>
      </x:c>
      <x:c r="W429" s="9" t="str">
        <x:v>provisional_gt_5pct_pending</x:v>
      </x:c>
      <x:c r="X429" s="12" t="n">
        <x:f>IFERROR(F429/Z429*100000,"")</x:f>
        <x:v>17.44865732581878</x:v>
      </x:c>
      <x:c r="Y429" s="13" t="n">
        <x:f>LN(Z429)</x:f>
        <x:v>15.56141804234343</x:v>
      </x:c>
      <x:c r="Z429" s="6" t="str">
        <x:v>5731100</x:v>
      </x:c>
      <x:c r="AA429" s="6" t="str">
        <x:v>291.0</x:v>
      </x:c>
      <x:c r="AB429" s="9" t="str">
        <x:v>2025-06-30</x:v>
      </x:c>
      <x:c r="AC429" s="8" t="str">
        <x:v>88.29</x:v>
      </x:c>
      <x:c r="AD429" s="9" t="str">
        <x:v>2025 (Susenas)</x:v>
      </x:c>
      <x:c r="AE429" s="8" t="str">
        <x:v>11.78</x:v>
      </x:c>
      <x:c r="AF429" s="9" t="str">
        <x:v>Maret 2025 (Susenas)</x:v>
      </x:c>
      <x:c r="AG429" s="6" t="str">
        <x:v>25.84179358873087</x:v>
      </x:c>
      <x:c r="AH429" s="8" t="str">
        <x:v>76.34324959681271</x:v>
      </x:c>
      <x:c r="AI429" s="6" t="str">
        <x:v>11.378361823207822</x:v>
      </x:c>
      <x:c r="AJ429" s="6" t="str">
        <x:v>0.5066388513605737</x:v>
      </x:c>
      <x:c r="AK429" s="8" t="str">
        <x:v>0.9234209395430796</x:v>
      </x:c>
      <x:c r="AL429" s="6" t="str">
        <x:v>0.3982437156514311</x:v>
      </x:c>
      <x:c r="AM429" s="6" t="str">
        <x:v>0.349603549470026</x:v>
      </x:c>
      <x:c r="AN429" s="6" t="str">
        <x:v>0.5570894015548452</x:v>
      </x:c>
      <x:c r="AO429" s="6" t="str">
        <x:v>3.192600234255167</x:v>
      </x:c>
      <x:c r="AP429" s="8" t="str">
        <x:v>1.5899426580199911</x:v>
      </x:c>
      <x:c r="AQ429" s="6" t="str">
        <x:v>1.7822776383192016</x:v>
      </x:c>
      <x:c r="AR429" s="6" t="str">
        <x:v>1.450333487887647</x:v>
      </x:c>
      <x:c r="AS429" s="6" t="str">
        <x:v>1.6075179280756122</x:v>
      </x:c>
      <x:c r="AT429" s="6" t="str">
        <x:v>3.635995364638906</x:v>
      </x:c>
      <x:c r="AU429" s="8" t="str">
        <x:v>0.3948649674790824</x:v>
      </x:c>
      <x:c r="AV429" s="6" t="str">
        <x:v>0.1443442483182642</x:v>
      </x:c>
      <x:c r="AW429" s="6" t="str">
        <x:v>0.8535268046001568</x:v>
      </x:c>
      <x:c r="AX429" s="6" t="str">
        <x:v>0.4642453401325015</x:v>
      </x:c>
      <x:c r="AY429" s="6" t="str">
        <x:v>0</x:v>
      </x:c>
      <x:c r="AZ429" s="6" t="str">
        <x:v>0</x:v>
      </x:c>
      <x:c r="BA429" s="9" t="str">
        <x:v>grid_cells_within_BIG_polygon</x:v>
      </x:c>
      <x:c r="BB429" s="6" t="str">
        <x:v>7</x:v>
      </x:c>
      <x:c r="BC429" s="6" t="str">
        <x:v>1</x:v>
      </x:c>
      <x:c r="BD429" s="6" t="str">
        <x:v>1</x:v>
      </x:c>
      <x:c r="BE429" s="6" t="str">
        <x:v>0</x:v>
      </x:c>
      <x:c r="BF429" s="6" t="str">
        <x:v>0</x:v>
      </x:c>
      <x:c r="BG429" s="6" t="str">
        <x:v>0</x:v>
      </x:c>
      <x:c r="BH429" s="6" t="str">
        <x:v>1</x:v>
      </x:c>
      <x:c r="BI429" s="6" t="str">
        <x:v>0</x:v>
      </x:c>
      <x:c r="BJ429" s="6" t="str">
        <x:v>0</x:v>
      </x:c>
      <x:c r="BK429" s="6" t="str">
        <x:v>0</x:v>
      </x:c>
      <x:c r="BL429" s="6" t="str">
        <x:v>0</x:v>
      </x:c>
      <x:c r="BM429" s="6" t="str">
        <x:v>0</x:v>
      </x:c>
      <x:c r="BN429" s="6" t="str">
        <x:v>1</x:v>
      </x:c>
      <x:c r="BO429" s="6" t="str"/>
      <x:c r="BP429" s="6" t="str">
        <x:v>0</x:v>
      </x:c>
      <x:c r="BQ429" s="6" t="str"/>
      <x:c r="BR429" s="6" t="str">
        <x:v>0</x:v>
      </x:c>
      <x:c r="BS429" s="6" t="str">
        <x:v>0.0</x:v>
      </x:c>
      <x:c r="BT429" s="6" t="str">
        <x:v>1</x:v>
      </x:c>
      <x:c r="BU429" s="6" t="str"/>
      <x:c r="BV429" s="6" t="str">
        <x:v>0</x:v>
      </x:c>
      <x:c r="BW429" s="9" t="str">
        <x:v>operational_snapshot_annual_totals_may_differ</x:v>
      </x:c>
      <x:c r="BX429" s="9" t="str">
        <x:v>official_live_dashboard_snapshot_subject_to_revision</x:v>
      </x:c>
      <x:c r="BY429" s="9" t="str">
        <x:v>https://tbdashboard.sitb.id/ss_data_tbc03so_2025_provinsi_bulanan_list.php</x:v>
      </x:c>
      <x:c r="BZ429" s="6" t="n">
        <x:v>46246.610671296294</x:v>
      </x:c>
    </x:row>
    <x:row r="430" ht="18" customHeight="1">
      <x:c r="A430" s="6" t="str">
        <x:v>52</x:v>
      </x:c>
      <x:c r="B430" s="6" t="str">
        <x:v>NUSA TENGGARA BARAT</x:v>
      </x:c>
      <x:c r="C430" s="6" t="str">
        <x:v>2025</x:v>
      </x:c>
      <x:c r="D430" s="6" t="str">
        <x:v>9</x:v>
      </x:c>
      <x:c r="E430" s="6" t="str">
        <x:v>2025-09</x:v>
      </x:c>
      <x:c r="F430" s="6" t="str">
        <x:v>958</x:v>
      </x:c>
      <x:c r="G430" s="6" t="str">
        <x:v>267</x:v>
      </x:c>
      <x:c r="H430" s="6" t="str">
        <x:v>434</x:v>
      </x:c>
      <x:c r="I430" s="6" t="str">
        <x:v>29</x:v>
      </x:c>
      <x:c r="J430" s="6" t="str">
        <x:v>76</x:v>
      </x:c>
      <x:c r="K430" s="6" t="str">
        <x:v>1</x:v>
      </x:c>
      <x:c r="L430" s="6" t="str">
        <x:v>2</x:v>
      </x:c>
      <x:c r="M430" s="6" t="str">
        <x:v>149</x:v>
      </x:c>
      <x:c r="N430" s="6" t="str">
        <x:v>958</x:v>
      </x:c>
      <x:c r="O430" s="6" t="str">
        <x:v>0</x:v>
      </x:c>
      <x:c r="P430" s="10" t="n">
        <x:f>F430-M430</x:f>
        <x:v>809</x:v>
      </x:c>
      <x:c r="Q430" s="11" t="n">
        <x:f>IFERROR(M430/F430,"")</x:f>
        <x:v>0.15553235908141963</x:v>
      </x:c>
      <x:c r="R430" s="10" t="n">
        <x:f>G430+H430</x:f>
        <x:v>701</x:v>
      </x:c>
      <x:c r="S430" s="11" t="n">
        <x:f>IFERROR(R430/F430,"")</x:f>
        <x:v>0.7317327766179541</x:v>
      </x:c>
      <x:c r="T430" s="11" t="n">
        <x:f>IFERROR(R430/P430,"")</x:f>
        <x:v>0.8665018541409147</x:v>
      </x:c>
      <x:c r="U430" s="10" t="n">
        <x:f>I430+J430+K430</x:f>
        <x:v>106</x:v>
      </x:c>
      <x:c r="V430" s="11" t="n">
        <x:f>IFERROR(U430/P430,"")</x:f>
        <x:v>0.13102595797280595</x:v>
      </x:c>
      <x:c r="W430" s="9" t="str">
        <x:v>provisional_gt_5pct_pending</x:v>
      </x:c>
      <x:c r="X430" s="12" t="n">
        <x:f>IFERROR(F430/Z430*100000,"")</x:f>
        <x:v>16.71581371813439</x:v>
      </x:c>
      <x:c r="Y430" s="13" t="n">
        <x:f>LN(Z430)</x:f>
        <x:v>15.56141804234343</x:v>
      </x:c>
      <x:c r="Z430" s="6" t="str">
        <x:v>5731100</x:v>
      </x:c>
      <x:c r="AA430" s="6" t="str">
        <x:v>291.0</x:v>
      </x:c>
      <x:c r="AB430" s="9" t="str">
        <x:v>2025-06-30</x:v>
      </x:c>
      <x:c r="AC430" s="8" t="str">
        <x:v>88.29</x:v>
      </x:c>
      <x:c r="AD430" s="9" t="str">
        <x:v>2025 (Susenas)</x:v>
      </x:c>
      <x:c r="AE430" s="8" t="str">
        <x:v>11.78</x:v>
      </x:c>
      <x:c r="AF430" s="9" t="str">
        <x:v>Maret 2025 (Susenas)</x:v>
      </x:c>
      <x:c r="AG430" s="6" t="str">
        <x:v>26.846115475902398</x:v>
      </x:c>
      <x:c r="AH430" s="8" t="str">
        <x:v>75.9759639663857</x:v>
      </x:c>
      <x:c r="AI430" s="6" t="str">
        <x:v>49.36838676057607</x:v>
      </x:c>
      <x:c r="AJ430" s="6" t="str">
        <x:v>0.3624622419921905</x:v>
      </x:c>
      <x:c r="AK430" s="8" t="str">
        <x:v>0.6911589392970336</x:v>
      </x:c>
      <x:c r="AL430" s="6" t="str">
        <x:v>0.9234209395430796</x:v>
      </x:c>
      <x:c r="AM430" s="6" t="str">
        <x:v>0.3982437156514311</x:v>
      </x:c>
      <x:c r="AN430" s="6" t="str">
        <x:v>0.6709411981638477</x:v>
      </x:c>
      <x:c r="AO430" s="6" t="str">
        <x:v>4.781080057543079</x:v>
      </x:c>
      <x:c r="AP430" s="8" t="str">
        <x:v>1.809836478714525</x:v>
      </x:c>
      <x:c r="AQ430" s="6" t="str">
        <x:v>1.5899426580199911</x:v>
      </x:c>
      <x:c r="AR430" s="6" t="str">
        <x:v>1.7822776383192016</x:v>
      </x:c>
      <x:c r="AS430" s="6" t="str">
        <x:v>1.7273522583512382</x:v>
      </x:c>
      <x:c r="AT430" s="6" t="str">
        <x:v>26.68860736037213</x:v>
      </x:c>
      <x:c r="AU430" s="8" t="str">
        <x:v>0.5177689310519017</x:v>
      </x:c>
      <x:c r="AV430" s="6" t="str">
        <x:v>0.3948649674790824</x:v>
      </x:c>
      <x:c r="AW430" s="6" t="str">
        <x:v>0.1443442483182642</x:v>
      </x:c>
      <x:c r="AX430" s="6" t="str">
        <x:v>0.3523260489497499</x:v>
      </x:c>
      <x:c r="AY430" s="6" t="str">
        <x:v>0</x:v>
      </x:c>
      <x:c r="AZ430" s="6" t="str">
        <x:v>0</x:v>
      </x:c>
      <x:c r="BA430" s="9" t="str">
        <x:v>grid_cells_within_BIG_polygon</x:v>
      </x:c>
      <x:c r="BB430" s="6" t="str">
        <x:v>7</x:v>
      </x:c>
      <x:c r="BC430" s="6" t="str">
        <x:v>4</x:v>
      </x:c>
      <x:c r="BD430" s="6" t="str">
        <x:v>4</x:v>
      </x:c>
      <x:c r="BE430" s="6" t="str">
        <x:v>2</x:v>
      </x:c>
      <x:c r="BF430" s="6" t="str">
        <x:v>0</x:v>
      </x:c>
      <x:c r="BG430" s="6" t="str">
        <x:v>0</x:v>
      </x:c>
      <x:c r="BH430" s="6" t="str">
        <x:v>1</x:v>
      </x:c>
      <x:c r="BI430" s="6" t="str">
        <x:v>1</x:v>
      </x:c>
      <x:c r="BJ430" s="6" t="str">
        <x:v>0</x:v>
      </x:c>
      <x:c r="BK430" s="6" t="str">
        <x:v>0</x:v>
      </x:c>
      <x:c r="BL430" s="6" t="str">
        <x:v>0</x:v>
      </x:c>
      <x:c r="BM430" s="6" t="str">
        <x:v>0</x:v>
      </x:c>
      <x:c r="BN430" s="6" t="str">
        <x:v>4</x:v>
      </x:c>
      <x:c r="BO430" s="6" t="str"/>
      <x:c r="BP430" s="6" t="str">
        <x:v>0</x:v>
      </x:c>
      <x:c r="BQ430" s="6" t="str"/>
      <x:c r="BR430" s="6" t="str">
        <x:v>0</x:v>
      </x:c>
      <x:c r="BS430" s="6" t="str">
        <x:v>0.0</x:v>
      </x:c>
      <x:c r="BT430" s="6" t="str">
        <x:v>4</x:v>
      </x:c>
      <x:c r="BU430" s="6" t="str">
        <x:v>297.0</x:v>
      </x:c>
      <x:c r="BV430" s="6" t="str">
        <x:v>2</x:v>
      </x:c>
      <x:c r="BW430" s="9" t="str">
        <x:v>operational_snapshot_annual_totals_may_differ</x:v>
      </x:c>
      <x:c r="BX430" s="9" t="str">
        <x:v>official_live_dashboard_snapshot_subject_to_revision</x:v>
      </x:c>
      <x:c r="BY430" s="9" t="str">
        <x:v>https://tbdashboard.sitb.id/ss_data_tbc03so_2025_provinsi_bulanan_list.php</x:v>
      </x:c>
      <x:c r="BZ430" s="6" t="n">
        <x:v>46246.610671296294</x:v>
      </x:c>
    </x:row>
    <x:row r="431" ht="18" customHeight="1">
      <x:c r="A431" s="6" t="str">
        <x:v>52</x:v>
      </x:c>
      <x:c r="B431" s="6" t="str">
        <x:v>NUSA TENGGARA BARAT</x:v>
      </x:c>
      <x:c r="C431" s="6" t="str">
        <x:v>2025</x:v>
      </x:c>
      <x:c r="D431" s="6" t="str">
        <x:v>10</x:v>
      </x:c>
      <x:c r="E431" s="6" t="str">
        <x:v>2025-10</x:v>
      </x:c>
      <x:c r="F431" s="6" t="str">
        <x:v>994</x:v>
      </x:c>
      <x:c r="G431" s="6" t="str">
        <x:v>230</x:v>
      </x:c>
      <x:c r="H431" s="6" t="str">
        <x:v>413</x:v>
      </x:c>
      <x:c r="I431" s="6" t="str">
        <x:v>32</x:v>
      </x:c>
      <x:c r="J431" s="6" t="str">
        <x:v>84</x:v>
      </x:c>
      <x:c r="K431" s="6" t="str">
        <x:v>1</x:v>
      </x:c>
      <x:c r="L431" s="6" t="str">
        <x:v>1</x:v>
      </x:c>
      <x:c r="M431" s="6" t="str">
        <x:v>233</x:v>
      </x:c>
      <x:c r="N431" s="6" t="str">
        <x:v>994</x:v>
      </x:c>
      <x:c r="O431" s="6" t="str">
        <x:v>0</x:v>
      </x:c>
      <x:c r="P431" s="10" t="n">
        <x:f>F431-M431</x:f>
        <x:v>761</x:v>
      </x:c>
      <x:c r="Q431" s="11" t="n">
        <x:f>IFERROR(M431/F431,"")</x:f>
        <x:v>0.23440643863179075</x:v>
      </x:c>
      <x:c r="R431" s="10" t="n">
        <x:f>G431+H431</x:f>
        <x:v>643</x:v>
      </x:c>
      <x:c r="S431" s="11" t="n">
        <x:f>IFERROR(R431/F431,"")</x:f>
        <x:v>0.6468812877263581</x:v>
      </x:c>
      <x:c r="T431" s="11" t="n">
        <x:f>IFERROR(R431/P431,"")</x:f>
        <x:v>0.8449408672798949</x:v>
      </x:c>
      <x:c r="U431" s="10" t="n">
        <x:f>I431+J431+K431</x:f>
        <x:v>117</x:v>
      </x:c>
      <x:c r="V431" s="11" t="n">
        <x:f>IFERROR(U431/P431,"")</x:f>
        <x:v>0.15374507227332457</x:v>
      </x:c>
      <x:c r="W431" s="9" t="str">
        <x:v>provisional_gt_5pct_pending</x:v>
      </x:c>
      <x:c r="X431" s="12" t="n">
        <x:f>IFERROR(F431/Z431*100000,"")</x:f>
        <x:v>17.343965381863867</x:v>
      </x:c>
      <x:c r="Y431" s="13" t="n">
        <x:f>LN(Z431)</x:f>
        <x:v>15.56141804234343</x:v>
      </x:c>
      <x:c r="Z431" s="6" t="str">
        <x:v>5731100</x:v>
      </x:c>
      <x:c r="AA431" s="6" t="str">
        <x:v>291.0</x:v>
      </x:c>
      <x:c r="AB431" s="9" t="str">
        <x:v>2025-06-30</x:v>
      </x:c>
      <x:c r="AC431" s="8" t="str">
        <x:v>88.29</x:v>
      </x:c>
      <x:c r="AD431" s="9" t="str">
        <x:v>2025 (Susenas)</x:v>
      </x:c>
      <x:c r="AE431" s="8" t="str">
        <x:v>11.78</x:v>
      </x:c>
      <x:c r="AF431" s="9" t="str">
        <x:v>Maret 2025 (Susenas)</x:v>
      </x:c>
      <x:c r="AG431" s="6" t="str">
        <x:v>28.11460387125866</x:v>
      </x:c>
      <x:c r="AH431" s="8" t="str">
        <x:v>74.41195859196503</x:v>
      </x:c>
      <x:c r="AI431" s="6" t="str">
        <x:v>80.42237291945385</x:v>
      </x:c>
      <x:c r="AJ431" s="6" t="str">
        <x:v>0.4419981462320734</x:v>
      </x:c>
      <x:c r="AK431" s="8" t="str">
        <x:v>1.1932145392941569</x:v>
      </x:c>
      <x:c r="AL431" s="6" t="str">
        <x:v>0.6911589392970336</x:v>
      </x:c>
      <x:c r="AM431" s="6" t="str">
        <x:v>0.9234209395430796</x:v>
      </x:c>
      <x:c r="AN431" s="6" t="str">
        <x:v>0.9359314727114232</x:v>
      </x:c>
      <x:c r="AO431" s="6" t="str">
        <x:v>3.58719349114682</x:v>
      </x:c>
      <x:c r="AP431" s="8" t="str">
        <x:v>0.9349516171779892</x:v>
      </x:c>
      <x:c r="AQ431" s="6" t="str">
        <x:v>1.809836478714525</x:v>
      </x:c>
      <x:c r="AR431" s="6" t="str">
        <x:v>1.5899426580199911</x:v>
      </x:c>
      <x:c r="AS431" s="6" t="str">
        <x:v>1.4449102513041676</x:v>
      </x:c>
      <x:c r="AT431" s="6" t="str">
        <x:v>24.69000442078309</x:v>
      </x:c>
      <x:c r="AU431" s="8" t="str">
        <x:v>0.4911894343457413</x:v>
      </x:c>
      <x:c r="AV431" s="6" t="str">
        <x:v>0.5177689310519017</x:v>
      </x:c>
      <x:c r="AW431" s="6" t="str">
        <x:v>0.3948649674790824</x:v>
      </x:c>
      <x:c r="AX431" s="6" t="str">
        <x:v>0.4679411109589089</x:v>
      </x:c>
      <x:c r="AY431" s="6" t="str">
        <x:v>0</x:v>
      </x:c>
      <x:c r="AZ431" s="6" t="str">
        <x:v>1</x:v>
      </x:c>
      <x:c r="BA431" s="9" t="str">
        <x:v>grid_cells_within_BIG_polygon</x:v>
      </x:c>
      <x:c r="BB431" s="6" t="str">
        <x:v>7</x:v>
      </x:c>
      <x:c r="BC431" s="6" t="str">
        <x:v>3</x:v>
      </x:c>
      <x:c r="BD431" s="6" t="str">
        <x:v>3</x:v>
      </x:c>
      <x:c r="BE431" s="6" t="str">
        <x:v>0</x:v>
      </x:c>
      <x:c r="BF431" s="6" t="str">
        <x:v>0</x:v>
      </x:c>
      <x:c r="BG431" s="6" t="str">
        <x:v>2</x:v>
      </x:c>
      <x:c r="BH431" s="6" t="str">
        <x:v>1</x:v>
      </x:c>
      <x:c r="BI431" s="6" t="str">
        <x:v>0</x:v>
      </x:c>
      <x:c r="BJ431" s="6" t="str">
        <x:v>0</x:v>
      </x:c>
      <x:c r="BK431" s="6" t="str">
        <x:v>0</x:v>
      </x:c>
      <x:c r="BL431" s="6" t="str">
        <x:v>0</x:v>
      </x:c>
      <x:c r="BM431" s="6" t="str">
        <x:v>0</x:v>
      </x:c>
      <x:c r="BN431" s="6" t="str">
        <x:v>3</x:v>
      </x:c>
      <x:c r="BO431" s="6" t="str"/>
      <x:c r="BP431" s="6" t="str">
        <x:v>0</x:v>
      </x:c>
      <x:c r="BQ431" s="6" t="str"/>
      <x:c r="BR431" s="6" t="str">
        <x:v>0</x:v>
      </x:c>
      <x:c r="BS431" s="6" t="str">
        <x:v>5.0</x:v>
      </x:c>
      <x:c r="BT431" s="6" t="str">
        <x:v>3</x:v>
      </x:c>
      <x:c r="BU431" s="6" t="str"/>
      <x:c r="BV431" s="6" t="str">
        <x:v>0</x:v>
      </x:c>
      <x:c r="BW431" s="9" t="str">
        <x:v>operational_snapshot_annual_totals_may_differ</x:v>
      </x:c>
      <x:c r="BX431" s="9" t="str">
        <x:v>official_live_dashboard_snapshot_subject_to_revision</x:v>
      </x:c>
      <x:c r="BY431" s="9" t="str">
        <x:v>https://tbdashboard.sitb.id/ss_data_tbc03so_2025_provinsi_bulanan_list.php</x:v>
      </x:c>
      <x:c r="BZ431" s="6" t="n">
        <x:v>46246.610671296294</x:v>
      </x:c>
    </x:row>
    <x:row r="432" ht="18" customHeight="1">
      <x:c r="A432" s="6" t="str">
        <x:v>52</x:v>
      </x:c>
      <x:c r="B432" s="6" t="str">
        <x:v>NUSA TENGGARA BARAT</x:v>
      </x:c>
      <x:c r="C432" s="6" t="str">
        <x:v>2025</x:v>
      </x:c>
      <x:c r="D432" s="6" t="str">
        <x:v>11</x:v>
      </x:c>
      <x:c r="E432" s="6" t="str">
        <x:v>2025-11</x:v>
      </x:c>
      <x:c r="F432" s="6" t="str">
        <x:v>1114</x:v>
      </x:c>
      <x:c r="G432" s="6" t="str">
        <x:v>248</x:v>
      </x:c>
      <x:c r="H432" s="6" t="str">
        <x:v>454</x:v>
      </x:c>
      <x:c r="I432" s="6" t="str">
        <x:v>41</x:v>
      </x:c>
      <x:c r="J432" s="6" t="str">
        <x:v>86</x:v>
      </x:c>
      <x:c r="K432" s="6" t="str">
        <x:v>1</x:v>
      </x:c>
      <x:c r="L432" s="6" t="str">
        <x:v>1</x:v>
      </x:c>
      <x:c r="M432" s="6" t="str">
        <x:v>283</x:v>
      </x:c>
      <x:c r="N432" s="6" t="str">
        <x:v>1114</x:v>
      </x:c>
      <x:c r="O432" s="6" t="str">
        <x:v>0</x:v>
      </x:c>
      <x:c r="P432" s="10" t="n">
        <x:f>F432-M432</x:f>
        <x:v>831</x:v>
      </x:c>
      <x:c r="Q432" s="11" t="n">
        <x:f>IFERROR(M432/F432,"")</x:f>
        <x:v>0.2540394973070018</x:v>
      </x:c>
      <x:c r="R432" s="10" t="n">
        <x:f>G432+H432</x:f>
        <x:v>702</x:v>
      </x:c>
      <x:c r="S432" s="11" t="n">
        <x:f>IFERROR(R432/F432,"")</x:f>
        <x:v>0.63016157989228</x:v>
      </x:c>
      <x:c r="T432" s="11" t="n">
        <x:f>IFERROR(R432/P432,"")</x:f>
        <x:v>0.8447653429602888</x:v>
      </x:c>
      <x:c r="U432" s="10" t="n">
        <x:f>I432+J432+K432</x:f>
        <x:v>128</x:v>
      </x:c>
      <x:c r="V432" s="11" t="n">
        <x:f>IFERROR(U432/P432,"")</x:f>
        <x:v>0.15403128760529483</x:v>
      </x:c>
      <x:c r="W432" s="9" t="str">
        <x:v>provisional_gt_5pct_pending</x:v>
      </x:c>
      <x:c r="X432" s="12" t="n">
        <x:f>IFERROR(F432/Z432*100000,"")</x:f>
        <x:v>19.43780426096212</x:v>
      </x:c>
      <x:c r="Y432" s="13" t="n">
        <x:f>LN(Z432)</x:f>
        <x:v>15.56141804234343</x:v>
      </x:c>
      <x:c r="Z432" s="6" t="str">
        <x:v>5731100</x:v>
      </x:c>
      <x:c r="AA432" s="6" t="str">
        <x:v>291.0</x:v>
      </x:c>
      <x:c r="AB432" s="9" t="str">
        <x:v>2025-06-30</x:v>
      </x:c>
      <x:c r="AC432" s="8" t="str">
        <x:v>88.29</x:v>
      </x:c>
      <x:c r="AD432" s="9" t="str">
        <x:v>2025 (Susenas)</x:v>
      </x:c>
      <x:c r="AE432" s="8" t="str">
        <x:v>11.78</x:v>
      </x:c>
      <x:c r="AF432" s="9" t="str">
        <x:v>Maret 2025 (Susenas)</x:v>
      </x:c>
      <x:c r="AG432" s="6" t="str">
        <x:v>27.410134278136724</x:v>
      </x:c>
      <x:c r="AH432" s="8" t="str">
        <x:v>79.92324190730038</x:v>
      </x:c>
      <x:c r="AI432" s="6" t="str">
        <x:v>203.9920584073418</x:v>
      </x:c>
      <x:c r="AJ432" s="6" t="str">
        <x:v>-0.4803707388365126</x:v>
      </x:c>
      <x:c r="AK432" s="8" t="str">
        <x:v>-0.7083832094695496</x:v>
      </x:c>
      <x:c r="AL432" s="6" t="str">
        <x:v>1.1932145392941569</x:v>
      </x:c>
      <x:c r="AM432" s="6" t="str">
        <x:v>0.6911589392970336</x:v>
      </x:c>
      <x:c r="AN432" s="6" t="str">
        <x:v>0.39199675637388</x:v>
      </x:c>
      <x:c r="AO432" s="6" t="str">
        <x:v>5.246831506319012</x:v>
      </x:c>
      <x:c r="AP432" s="8" t="str">
        <x:v>1.2249221696792576</x:v>
      </x:c>
      <x:c r="AQ432" s="6" t="str">
        <x:v>0.9349516171779892</x:v>
      </x:c>
      <x:c r="AR432" s="6" t="str">
        <x:v>1.809836478714525</x:v>
      </x:c>
      <x:c r="AS432" s="6" t="str">
        <x:v>1.3232367551905897</x:v>
      </x:c>
      <x:c r="AT432" s="6" t="str">
        <x:v>57.39716294422459</x:v>
      </x:c>
      <x:c r="AU432" s="8" t="str">
        <x:v>0.932600206348246</x:v>
      </x:c>
      <x:c r="AV432" s="6" t="str">
        <x:v>0.4911894343457413</x:v>
      </x:c>
      <x:c r="AW432" s="6" t="str">
        <x:v>0.5177689310519017</x:v>
      </x:c>
      <x:c r="AX432" s="6" t="str">
        <x:v>0.6471861905819635</x:v>
      </x:c>
      <x:c r="AY432" s="6" t="str">
        <x:v>0</x:v>
      </x:c>
      <x:c r="AZ432" s="6" t="str">
        <x:v>0</x:v>
      </x:c>
      <x:c r="BA432" s="9" t="str">
        <x:v>grid_cells_within_BIG_polygon</x:v>
      </x:c>
      <x:c r="BB432" s="6" t="str">
        <x:v>7</x:v>
      </x:c>
      <x:c r="BC432" s="6" t="str">
        <x:v>21</x:v>
      </x:c>
      <x:c r="BD432" s="6" t="str">
        <x:v>21</x:v>
      </x:c>
      <x:c r="BE432" s="6" t="str">
        <x:v>18</x:v>
      </x:c>
      <x:c r="BF432" s="6" t="str">
        <x:v>0</x:v>
      </x:c>
      <x:c r="BG432" s="6" t="str">
        <x:v>3</x:v>
      </x:c>
      <x:c r="BH432" s="6" t="str">
        <x:v>0</x:v>
      </x:c>
      <x:c r="BI432" s="6" t="str">
        <x:v>0</x:v>
      </x:c>
      <x:c r="BJ432" s="6" t="str">
        <x:v>0</x:v>
      </x:c>
      <x:c r="BK432" s="6" t="str">
        <x:v>0</x:v>
      </x:c>
      <x:c r="BL432" s="6" t="str">
        <x:v>0</x:v>
      </x:c>
      <x:c r="BM432" s="6" t="str">
        <x:v>0</x:v>
      </x:c>
      <x:c r="BN432" s="6" t="str">
        <x:v>21</x:v>
      </x:c>
      <x:c r="BO432" s="6" t="str">
        <x:v>3.0</x:v>
      </x:c>
      <x:c r="BP432" s="6" t="str">
        <x:v>2</x:v>
      </x:c>
      <x:c r="BQ432" s="6" t="str">
        <x:v>3.0</x:v>
      </x:c>
      <x:c r="BR432" s="6" t="str">
        <x:v>1</x:v>
      </x:c>
      <x:c r="BS432" s="6" t="str">
        <x:v>57.0</x:v>
      </x:c>
      <x:c r="BT432" s="6" t="str">
        <x:v>21</x:v>
      </x:c>
      <x:c r="BU432" s="6" t="str">
        <x:v>6164.0</x:v>
      </x:c>
      <x:c r="BV432" s="6" t="str">
        <x:v>17</x:v>
      </x:c>
      <x:c r="BW432" s="9" t="str">
        <x:v>operational_snapshot_annual_totals_may_differ</x:v>
      </x:c>
      <x:c r="BX432" s="9" t="str">
        <x:v>official_live_dashboard_snapshot_subject_to_revision</x:v>
      </x:c>
      <x:c r="BY432" s="9" t="str">
        <x:v>https://tbdashboard.sitb.id/ss_data_tbc03so_2025_provinsi_bulanan_list.php</x:v>
      </x:c>
      <x:c r="BZ432" s="6" t="n">
        <x:v>46246.610671296294</x:v>
      </x:c>
    </x:row>
    <x:row r="433" ht="18" customHeight="1">
      <x:c r="A433" s="6" t="str">
        <x:v>52</x:v>
      </x:c>
      <x:c r="B433" s="6" t="str">
        <x:v>NUSA TENGGARA BARAT</x:v>
      </x:c>
      <x:c r="C433" s="6" t="str">
        <x:v>2025</x:v>
      </x:c>
      <x:c r="D433" s="6" t="str">
        <x:v>12</x:v>
      </x:c>
      <x:c r="E433" s="6" t="str">
        <x:v>2025-12</x:v>
      </x:c>
      <x:c r="F433" s="6" t="str">
        <x:v>1020</x:v>
      </x:c>
      <x:c r="G433" s="6" t="str">
        <x:v>224</x:v>
      </x:c>
      <x:c r="H433" s="6" t="str">
        <x:v>379</x:v>
      </x:c>
      <x:c r="I433" s="6" t="str">
        <x:v>24</x:v>
      </x:c>
      <x:c r="J433" s="6" t="str">
        <x:v>54</x:v>
      </x:c>
      <x:c r="K433" s="6" t="str">
        <x:v>1</x:v>
      </x:c>
      <x:c r="L433" s="6" t="str">
        <x:v>1</x:v>
      </x:c>
      <x:c r="M433" s="6" t="str">
        <x:v>337</x:v>
      </x:c>
      <x:c r="N433" s="6" t="str">
        <x:v>1020</x:v>
      </x:c>
      <x:c r="O433" s="6" t="str">
        <x:v>0</x:v>
      </x:c>
      <x:c r="P433" s="10" t="n">
        <x:f>F433-M433</x:f>
        <x:v>683</x:v>
      </x:c>
      <x:c r="Q433" s="11" t="n">
        <x:f>IFERROR(M433/F433,"")</x:f>
        <x:v>0.3303921568627451</x:v>
      </x:c>
      <x:c r="R433" s="10" t="n">
        <x:f>G433+H433</x:f>
        <x:v>603</x:v>
      </x:c>
      <x:c r="S433" s="11" t="n">
        <x:f>IFERROR(R433/F433,"")</x:f>
        <x:v>0.5911764705882353</x:v>
      </x:c>
      <x:c r="T433" s="11" t="n">
        <x:f>IFERROR(R433/P433,"")</x:f>
        <x:v>0.8828696925329429</x:v>
      </x:c>
      <x:c r="U433" s="10" t="n">
        <x:f>I433+J433+K433</x:f>
        <x:v>79</x:v>
      </x:c>
      <x:c r="V433" s="11" t="n">
        <x:f>IFERROR(U433/P433,"")</x:f>
        <x:v>0.11566617862371889</x:v>
      </x:c>
      <x:c r="W433" s="9" t="str">
        <x:v>provisional_gt_5pct_pending</x:v>
      </x:c>
      <x:c r="X433" s="12" t="n">
        <x:f>IFERROR(F433/Z433*100000,"")</x:f>
        <x:v>17.797630472335154</x:v>
      </x:c>
      <x:c r="Y433" s="13" t="n">
        <x:f>LN(Z433)</x:f>
        <x:v>15.56141804234343</x:v>
      </x:c>
      <x:c r="Z433" s="6" t="str">
        <x:v>5731100</x:v>
      </x:c>
      <x:c r="AA433" s="6" t="str">
        <x:v>291.0</x:v>
      </x:c>
      <x:c r="AB433" s="9" t="str">
        <x:v>2025-06-30</x:v>
      </x:c>
      <x:c r="AC433" s="8" t="str">
        <x:v>88.29</x:v>
      </x:c>
      <x:c r="AD433" s="9" t="str">
        <x:v>2025 (Susenas)</x:v>
      </x:c>
      <x:c r="AE433" s="8" t="str">
        <x:v>11.78</x:v>
      </x:c>
      <x:c r="AF433" s="9" t="str">
        <x:v>Maret 2025 (Susenas)</x:v>
      </x:c>
      <x:c r="AG433" s="6" t="str">
        <x:v>27.135708804974005</x:v>
      </x:c>
      <x:c r="AH433" s="8" t="str">
        <x:v>82.51838289110596</x:v>
      </x:c>
      <x:c r="AI433" s="6" t="str">
        <x:v>228.3396489256334</x:v>
      </x:c>
      <x:c r="AJ433" s="6" t="str">
        <x:v>0.1457103401304884</x:v>
      </x:c>
      <x:c r="AK433" s="8" t="str">
        <x:v>0.2312571295772951</x:v>
      </x:c>
      <x:c r="AL433" s="6" t="str">
        <x:v>-0.7083832094695496</x:v>
      </x:c>
      <x:c r="AM433" s="6" t="str">
        <x:v>1.1932145392941569</x:v>
      </x:c>
      <x:c r="AN433" s="6" t="str">
        <x:v>0.2386961531339672</x:v>
      </x:c>
      <x:c r="AO433" s="6" t="str">
        <x:v>1.6592768692787416</x:v>
      </x:c>
      <x:c r="AP433" s="8" t="str">
        <x:v>0.5268172742094445</x:v>
      </x:c>
      <x:c r="AQ433" s="6" t="str">
        <x:v>1.2249221696792576</x:v>
      </x:c>
      <x:c r="AR433" s="6" t="str">
        <x:v>0.9349516171779892</x:v>
      </x:c>
      <x:c r="AS433" s="6" t="str">
        <x:v>0.8955636870222293</x:v>
      </x:c>
      <x:c r="AT433" s="6" t="str">
        <x:v>-3.0772757916016644</x:v>
      </x:c>
      <x:c r="AU433" s="8" t="str">
        <x:v>-0.0443839693880408</x:v>
      </x:c>
      <x:c r="AV433" s="6" t="str">
        <x:v>0.932600206348246</x:v>
      </x:c>
      <x:c r="AW433" s="6" t="str">
        <x:v>0.4911894343457413</x:v>
      </x:c>
      <x:c r="AX433" s="6" t="str">
        <x:v>0.4598018904353159</x:v>
      </x:c>
      <x:c r="AY433" s="6" t="str">
        <x:v>0</x:v>
      </x:c>
      <x:c r="AZ433" s="6" t="str">
        <x:v>0</x:v>
      </x:c>
      <x:c r="BA433" s="9" t="str">
        <x:v>grid_cells_within_BIG_polygon</x:v>
      </x:c>
      <x:c r="BB433" s="6" t="str">
        <x:v>7</x:v>
      </x:c>
      <x:c r="BC433" s="6" t="str">
        <x:v>13</x:v>
      </x:c>
      <x:c r="BD433" s="6" t="str">
        <x:v>13</x:v>
      </x:c>
      <x:c r="BE433" s="6" t="str">
        <x:v>13</x:v>
      </x:c>
      <x:c r="BF433" s="6" t="str">
        <x:v>0</x:v>
      </x:c>
      <x:c r="BG433" s="6" t="str">
        <x:v>0</x:v>
      </x:c>
      <x:c r="BH433" s="6" t="str">
        <x:v>0</x:v>
      </x:c>
      <x:c r="BI433" s="6" t="str">
        <x:v>0</x:v>
      </x:c>
      <x:c r="BJ433" s="6" t="str">
        <x:v>0</x:v>
      </x:c>
      <x:c r="BK433" s="6" t="str">
        <x:v>0</x:v>
      </x:c>
      <x:c r="BL433" s="6" t="str">
        <x:v>0</x:v>
      </x:c>
      <x:c r="BM433" s="6" t="str">
        <x:v>0</x:v>
      </x:c>
      <x:c r="BN433" s="6" t="str">
        <x:v>13</x:v>
      </x:c>
      <x:c r="BO433" s="6" t="str">
        <x:v>1.0</x:v>
      </x:c>
      <x:c r="BP433" s="6" t="str">
        <x:v>1</x:v>
      </x:c>
      <x:c r="BQ433" s="6" t="str"/>
      <x:c r="BR433" s="6" t="str">
        <x:v>0</x:v>
      </x:c>
      <x:c r="BS433" s="6" t="str">
        <x:v>0.0</x:v>
      </x:c>
      <x:c r="BT433" s="6" t="str">
        <x:v>13</x:v>
      </x:c>
      <x:c r="BU433" s="6" t="str">
        <x:v>2107.0</x:v>
      </x:c>
      <x:c r="BV433" s="6" t="str">
        <x:v>10</x:v>
      </x:c>
      <x:c r="BW433" s="9" t="str">
        <x:v>operational_snapshot_annual_totals_may_differ</x:v>
      </x:c>
      <x:c r="BX433" s="9" t="str">
        <x:v>official_live_dashboard_snapshot_subject_to_revision</x:v>
      </x:c>
      <x:c r="BY433" s="9" t="str">
        <x:v>https://tbdashboard.sitb.id/ss_data_tbc03so_2025_provinsi_bulanan_list.php</x:v>
      </x:c>
      <x:c r="BZ433" s="6" t="n">
        <x:v>46246.610671296294</x:v>
      </x:c>
    </x:row>
    <x:row r="434" ht="18" customHeight="1">
      <x:c r="A434" s="6" t="str">
        <x:v>53</x:v>
      </x:c>
      <x:c r="B434" s="6" t="str">
        <x:v>NUSA TENGGARA TIMUR</x:v>
      </x:c>
      <x:c r="C434" s="6" t="str">
        <x:v>2024</x:v>
      </x:c>
      <x:c r="D434" s="6" t="str">
        <x:v>1</x:v>
      </x:c>
      <x:c r="E434" s="6" t="str">
        <x:v>2024-01</x:v>
      </x:c>
      <x:c r="F434" s="6" t="str">
        <x:v>805</x:v>
      </x:c>
      <x:c r="G434" s="6" t="str">
        <x:v>210</x:v>
      </x:c>
      <x:c r="H434" s="6" t="str">
        <x:v>484</x:v>
      </x:c>
      <x:c r="I434" s="6" t="str">
        <x:v>45</x:v>
      </x:c>
      <x:c r="J434" s="6" t="str">
        <x:v>47</x:v>
      </x:c>
      <x:c r="K434" s="6" t="str">
        <x:v>1</x:v>
      </x:c>
      <x:c r="L434" s="6" t="str">
        <x:v>5</x:v>
      </x:c>
      <x:c r="M434" s="6" t="str">
        <x:v>13</x:v>
      </x:c>
      <x:c r="N434" s="6" t="str">
        <x:v>805</x:v>
      </x:c>
      <x:c r="O434" s="6" t="str">
        <x:v>0</x:v>
      </x:c>
      <x:c r="P434" s="10" t="n">
        <x:f>F434-M434</x:f>
        <x:v>792</x:v>
      </x:c>
      <x:c r="Q434" s="11" t="n">
        <x:f>IFERROR(M434/F434,"")</x:f>
        <x:v>0.016149068322981366</x:v>
      </x:c>
      <x:c r="R434" s="10" t="n">
        <x:f>G434+H434</x:f>
        <x:v>694</x:v>
      </x:c>
      <x:c r="S434" s="11" t="n">
        <x:f>IFERROR(R434/F434,"")</x:f>
        <x:v>0.8621118012422361</x:v>
      </x:c>
      <x:c r="T434" s="11" t="n">
        <x:f>IFERROR(R434/P434,"")</x:f>
        <x:v>0.8762626262626263</x:v>
      </x:c>
      <x:c r="U434" s="10" t="n">
        <x:f>I434+J434+K434</x:f>
        <x:v>93</x:v>
      </x:c>
      <x:c r="V434" s="11" t="n">
        <x:f>IFERROR(U434/P434,"")</x:f>
        <x:v>0.11742424242424243</x:v>
      </x:c>
      <x:c r="W434" s="9" t="str">
        <x:v>mature_le_5pct_pending</x:v>
      </x:c>
      <x:c r="X434" s="12" t="n">
        <x:f>IFERROR(F434/Z434*100000,"")</x:f>
        <x:v>14.232673267326732</x:v>
      </x:c>
      <x:c r="Y434" s="13" t="n">
        <x:f>LN(Z434)</x:f>
        <x:v>15.548227486558545</x:v>
      </x:c>
      <x:c r="Z434" s="6" t="str">
        <x:v>5656000</x:v>
      </x:c>
      <x:c r="AA434" s="6" t="str">
        <x:v>122.0</x:v>
      </x:c>
      <x:c r="AB434" s="9" t="str">
        <x:v>2024-06-30</x:v>
      </x:c>
      <x:c r="AC434" s="8" t="str">
        <x:v>77.66</x:v>
      </x:c>
      <x:c r="AD434" s="9" t="str">
        <x:v>2024 (Susenas)</x:v>
      </x:c>
      <x:c r="AE434" s="8" t="str">
        <x:v>19.48</x:v>
      </x:c>
      <x:c r="AF434" s="9" t="str">
        <x:v>Maret 2024 (Susenas)</x:v>
      </x:c>
      <x:c r="AG434" s="6" t="str">
        <x:v>27.71758920862128</x:v>
      </x:c>
      <x:c r="AH434" s="8" t="str">
        <x:v>80.7681011789436</x:v>
      </x:c>
      <x:c r="AI434" s="6" t="str">
        <x:v>176.550318465995</x:v>
      </x:c>
      <x:c r="AJ434" s="6" t="str">
        <x:v>1.2733207977113636</x:v>
      </x:c>
      <x:c r="AK434" s="8" t="str">
        <x:v>2.368490337191157</x:v>
      </x:c>
      <x:c r="AL434" s="6" t="str">
        <x:v>1.705766769755304</x:v>
      </x:c>
      <x:c r="AM434" s="6" t="str">
        <x:v>1.436645352730384</x:v>
      </x:c>
      <x:c r="AN434" s="6" t="str">
        <x:v>1.836967486558948</x:v>
      </x:c>
      <x:c r="AO434" s="6" t="str">
        <x:v>-2.648884948461884</x:v>
      </x:c>
      <x:c r="AP434" s="8" t="str">
        <x:v>-0.9204377667949404</x:v>
      </x:c>
      <x:c r="AQ434" s="6" t="str">
        <x:v>-0.4499648543779548</x:v>
      </x:c>
      <x:c r="AR434" s="6" t="str">
        <x:v>-0.4164217296296972</x:v>
      </x:c>
      <x:c r="AS434" s="6" t="str">
        <x:v>-0.5956081169341972</x:v>
      </x:c>
      <x:c r="AT434" s="6" t="str">
        <x:v>-75.59710684605417</x:v>
      </x:c>
      <x:c r="AU434" s="8" t="str">
        <x:v>-0.8087109523156855</x:v>
      </x:c>
      <x:c r="AV434" s="6" t="str">
        <x:v>-0.9186638015242627</x:v>
      </x:c>
      <x:c r="AW434" s="6" t="str">
        <x:v>-0.2429427857510159</x:v>
      </x:c>
      <x:c r="AX434" s="6" t="str">
        <x:v>-0.6567725131969879</x:v>
      </x:c>
      <x:c r="AY434" s="6" t="str">
        <x:v>0</x:v>
      </x:c>
      <x:c r="AZ434" s="6" t="str">
        <x:v>1</x:v>
      </x:c>
      <x:c r="BA434" s="9" t="str">
        <x:v>grid_cells_within_BIG_polygon</x:v>
      </x:c>
      <x:c r="BB434" s="6" t="str">
        <x:v>14</x:v>
      </x:c>
      <x:c r="BC434" s="6" t="str">
        <x:v>8</x:v>
      </x:c>
      <x:c r="BD434" s="6" t="str">
        <x:v>7</x:v>
      </x:c>
      <x:c r="BE434" s="6" t="str">
        <x:v>0</x:v>
      </x:c>
      <x:c r="BF434" s="6" t="str">
        <x:v>0</x:v>
      </x:c>
      <x:c r="BG434" s="6" t="str">
        <x:v>7</x:v>
      </x:c>
      <x:c r="BH434" s="6" t="str">
        <x:v>0</x:v>
      </x:c>
      <x:c r="BI434" s="6" t="str">
        <x:v>0</x:v>
      </x:c>
      <x:c r="BJ434" s="6" t="str">
        <x:v>0</x:v>
      </x:c>
      <x:c r="BK434" s="6" t="str">
        <x:v>0</x:v>
      </x:c>
      <x:c r="BL434" s="6" t="str">
        <x:v>1</x:v>
      </x:c>
      <x:c r="BM434" s="6" t="str">
        <x:v>0</x:v>
      </x:c>
      <x:c r="BN434" s="6" t="str">
        <x:v>8</x:v>
      </x:c>
      <x:c r="BO434" s="6" t="str">
        <x:v>4.0</x:v>
      </x:c>
      <x:c r="BP434" s="6" t="str">
        <x:v>8</x:v>
      </x:c>
      <x:c r="BQ434" s="6" t="str">
        <x:v>6.0</x:v>
      </x:c>
      <x:c r="BR434" s="6" t="str">
        <x:v>8</x:v>
      </x:c>
      <x:c r="BS434" s="6" t="str">
        <x:v>301.0</x:v>
      </x:c>
      <x:c r="BT434" s="6" t="str">
        <x:v>8</x:v>
      </x:c>
      <x:c r="BU434" s="6" t="str"/>
      <x:c r="BV434" s="6" t="str">
        <x:v>0</x:v>
      </x:c>
      <x:c r="BW434" s="9" t="str">
        <x:v>operational_snapshot_annual_totals_may_differ</x:v>
      </x:c>
      <x:c r="BX434" s="9" t="str">
        <x:v>official_live_dashboard_snapshot_subject_to_revision</x:v>
      </x:c>
      <x:c r="BY434" s="9" t="str">
        <x:v>https://tbdashboard.sitb.id/ss_data_tbc03so_2024_provinsi_bulanan_list.php</x:v>
      </x:c>
      <x:c r="BZ434" s="6" t="n">
        <x:v>46246.610671296294</x:v>
      </x:c>
    </x:row>
    <x:row r="435" ht="18" customHeight="1">
      <x:c r="A435" s="6" t="str">
        <x:v>53</x:v>
      </x:c>
      <x:c r="B435" s="6" t="str">
        <x:v>NUSA TENGGARA TIMUR</x:v>
      </x:c>
      <x:c r="C435" s="6" t="str">
        <x:v>2024</x:v>
      </x:c>
      <x:c r="D435" s="6" t="str">
        <x:v>2</x:v>
      </x:c>
      <x:c r="E435" s="6" t="str">
        <x:v>2024-02</x:v>
      </x:c>
      <x:c r="F435" s="6" t="str">
        <x:v>665</x:v>
      </x:c>
      <x:c r="G435" s="6" t="str">
        <x:v>185</x:v>
      </x:c>
      <x:c r="H435" s="6" t="str">
        <x:v>390</x:v>
      </x:c>
      <x:c r="I435" s="6" t="str">
        <x:v>34</x:v>
      </x:c>
      <x:c r="J435" s="6" t="str">
        <x:v>44</x:v>
      </x:c>
      <x:c r="K435" s="6" t="str">
        <x:v>1</x:v>
      </x:c>
      <x:c r="L435" s="6" t="str">
        <x:v>5</x:v>
      </x:c>
      <x:c r="M435" s="6" t="str">
        <x:v>6</x:v>
      </x:c>
      <x:c r="N435" s="6" t="str">
        <x:v>665</x:v>
      </x:c>
      <x:c r="O435" s="6" t="str">
        <x:v>0</x:v>
      </x:c>
      <x:c r="P435" s="10" t="n">
        <x:f>F435-M435</x:f>
        <x:v>659</x:v>
      </x:c>
      <x:c r="Q435" s="11" t="n">
        <x:f>IFERROR(M435/F435,"")</x:f>
        <x:v>0.009022556390977444</x:v>
      </x:c>
      <x:c r="R435" s="10" t="n">
        <x:f>G435+H435</x:f>
        <x:v>575</x:v>
      </x:c>
      <x:c r="S435" s="11" t="n">
        <x:f>IFERROR(R435/F435,"")</x:f>
        <x:v>0.8646616541353384</x:v>
      </x:c>
      <x:c r="T435" s="11" t="n">
        <x:f>IFERROR(R435/P435,"")</x:f>
        <x:v>0.8725341426403642</x:v>
      </x:c>
      <x:c r="U435" s="10" t="n">
        <x:f>I435+J435+K435</x:f>
        <x:v>79</x:v>
      </x:c>
      <x:c r="V435" s="11" t="n">
        <x:f>IFERROR(U435/P435,"")</x:f>
        <x:v>0.11987860394537178</x:v>
      </x:c>
      <x:c r="W435" s="9" t="str">
        <x:v>mature_le_5pct_pending</x:v>
      </x:c>
      <x:c r="X435" s="12" t="n">
        <x:f>IFERROR(F435/Z435*100000,"")</x:f>
        <x:v>11.757425742574258</x:v>
      </x:c>
      <x:c r="Y435" s="13" t="n">
        <x:f>LN(Z435)</x:f>
        <x:v>15.548227486558545</x:v>
      </x:c>
      <x:c r="Z435" s="6" t="str">
        <x:v>5656000</x:v>
      </x:c>
      <x:c r="AA435" s="6" t="str">
        <x:v>122.0</x:v>
      </x:c>
      <x:c r="AB435" s="9" t="str">
        <x:v>2024-06-30</x:v>
      </x:c>
      <x:c r="AC435" s="8" t="str">
        <x:v>77.66</x:v>
      </x:c>
      <x:c r="AD435" s="9" t="str">
        <x:v>2024 (Susenas)</x:v>
      </x:c>
      <x:c r="AE435" s="8" t="str">
        <x:v>19.48</x:v>
      </x:c>
      <x:c r="AF435" s="9" t="str">
        <x:v>Maret 2024 (Susenas)</x:v>
      </x:c>
      <x:c r="AG435" s="6" t="str">
        <x:v>27.53201080857162</x:v>
      </x:c>
      <x:c r="AH435" s="8" t="str">
        <x:v>82.5789134541777</x:v>
      </x:c>
      <x:c r="AI435" s="6" t="str">
        <x:v>176.9019899868088</x:v>
      </x:c>
      <x:c r="AJ435" s="6" t="str">
        <x:v>1.3025002587547796</x:v>
      </x:c>
      <x:c r="AK435" s="8" t="str">
        <x:v>2.442064304834281</x:v>
      </x:c>
      <x:c r="AL435" s="6" t="str">
        <x:v>2.368490337191157</x:v>
      </x:c>
      <x:c r="AM435" s="6" t="str">
        <x:v>1.705766769755304</x:v>
      </x:c>
      <x:c r="AN435" s="6" t="str">
        <x:v>2.1721071372602467</x:v>
      </x:c>
      <x:c r="AO435" s="6" t="str">
        <x:v>-2.055590104431232</x:v>
      </x:c>
      <x:c r="AP435" s="8" t="str">
        <x:v>-0.8330352601221704</x:v>
      </x:c>
      <x:c r="AQ435" s="6" t="str">
        <x:v>-0.9204377667949404</x:v>
      </x:c>
      <x:c r="AR435" s="6" t="str">
        <x:v>-0.4499648543779548</x:v>
      </x:c>
      <x:c r="AS435" s="6" t="str">
        <x:v>-0.7344792937650215</x:v>
      </x:c>
      <x:c r="AT435" s="6" t="str">
        <x:v>-73.6331258085095</x:v>
      </x:c>
      <x:c r="AU435" s="8" t="str">
        <x:v>-0.9868508353622372</x:v>
      </x:c>
      <x:c r="AV435" s="6" t="str">
        <x:v>-0.8087109523156855</x:v>
      </x:c>
      <x:c r="AW435" s="6" t="str">
        <x:v>-0.9186638015242627</x:v>
      </x:c>
      <x:c r="AX435" s="6" t="str">
        <x:v>-0.904741863067395</x:v>
      </x:c>
      <x:c r="AY435" s="6" t="str">
        <x:v>0</x:v>
      </x:c>
      <x:c r="AZ435" s="6" t="str">
        <x:v>1</x:v>
      </x:c>
      <x:c r="BA435" s="9" t="str">
        <x:v>grid_cells_within_BIG_polygon</x:v>
      </x:c>
      <x:c r="BB435" s="6" t="str">
        <x:v>14</x:v>
      </x:c>
      <x:c r="BC435" s="6" t="str">
        <x:v>1</x:v>
      </x:c>
      <x:c r="BD435" s="6" t="str">
        <x:v>1</x:v>
      </x:c>
      <x:c r="BE435" s="6" t="str">
        <x:v>1</x:v>
      </x:c>
      <x:c r="BF435" s="6" t="str">
        <x:v>0</x:v>
      </x:c>
      <x:c r="BG435" s="6" t="str">
        <x:v>0</x:v>
      </x:c>
      <x:c r="BH435" s="6" t="str">
        <x:v>0</x:v>
      </x:c>
      <x:c r="BI435" s="6" t="str">
        <x:v>0</x:v>
      </x:c>
      <x:c r="BJ435" s="6" t="str">
        <x:v>0</x:v>
      </x:c>
      <x:c r="BK435" s="6" t="str">
        <x:v>0</x:v>
      </x:c>
      <x:c r="BL435" s="6" t="str">
        <x:v>0</x:v>
      </x:c>
      <x:c r="BM435" s="6" t="str">
        <x:v>0</x:v>
      </x:c>
      <x:c r="BN435" s="6" t="str">
        <x:v>1</x:v>
      </x:c>
      <x:c r="BO435" s="6" t="str">
        <x:v>0.0</x:v>
      </x:c>
      <x:c r="BP435" s="6" t="str">
        <x:v>1</x:v>
      </x:c>
      <x:c r="BQ435" s="6" t="str">
        <x:v>0.0</x:v>
      </x:c>
      <x:c r="BR435" s="6" t="str">
        <x:v>1</x:v>
      </x:c>
      <x:c r="BS435" s="6" t="str">
        <x:v>8.0</x:v>
      </x:c>
      <x:c r="BT435" s="6" t="str">
        <x:v>1</x:v>
      </x:c>
      <x:c r="BU435" s="6" t="str">
        <x:v>14.0</x:v>
      </x:c>
      <x:c r="BV435" s="6" t="str">
        <x:v>1</x:v>
      </x:c>
      <x:c r="BW435" s="9" t="str">
        <x:v>operational_snapshot_annual_totals_may_differ</x:v>
      </x:c>
      <x:c r="BX435" s="9" t="str">
        <x:v>official_live_dashboard_snapshot_subject_to_revision</x:v>
      </x:c>
      <x:c r="BY435" s="9" t="str">
        <x:v>https://tbdashboard.sitb.id/ss_data_tbc03so_2024_provinsi_bulanan_list.php</x:v>
      </x:c>
      <x:c r="BZ435" s="6" t="n">
        <x:v>46246.610671296294</x:v>
      </x:c>
    </x:row>
    <x:row r="436" ht="18" customHeight="1">
      <x:c r="A436" s="6" t="str">
        <x:v>53</x:v>
      </x:c>
      <x:c r="B436" s="6" t="str">
        <x:v>NUSA TENGGARA TIMUR</x:v>
      </x:c>
      <x:c r="C436" s="6" t="str">
        <x:v>2024</x:v>
      </x:c>
      <x:c r="D436" s="6" t="str">
        <x:v>3</x:v>
      </x:c>
      <x:c r="E436" s="6" t="str">
        <x:v>2024-03</x:v>
      </x:c>
      <x:c r="F436" s="6" t="str">
        <x:v>777</x:v>
      </x:c>
      <x:c r="G436" s="6" t="str">
        <x:v>200</x:v>
      </x:c>
      <x:c r="H436" s="6" t="str">
        <x:v>480</x:v>
      </x:c>
      <x:c r="I436" s="6" t="str">
        <x:v>31</x:v>
      </x:c>
      <x:c r="J436" s="6" t="str">
        <x:v>54</x:v>
      </x:c>
      <x:c r="K436" s="6" t="str">
        <x:v>2</x:v>
      </x:c>
      <x:c r="L436" s="6" t="str">
        <x:v>6</x:v>
      </x:c>
      <x:c r="M436" s="6" t="str">
        <x:v>4</x:v>
      </x:c>
      <x:c r="N436" s="6" t="str">
        <x:v>777</x:v>
      </x:c>
      <x:c r="O436" s="6" t="str">
        <x:v>0</x:v>
      </x:c>
      <x:c r="P436" s="10" t="n">
        <x:f>F436-M436</x:f>
        <x:v>773</x:v>
      </x:c>
      <x:c r="Q436" s="11" t="n">
        <x:f>IFERROR(M436/F436,"")</x:f>
        <x:v>0.005148005148005148</x:v>
      </x:c>
      <x:c r="R436" s="10" t="n">
        <x:f>G436+H436</x:f>
        <x:v>680</x:v>
      </x:c>
      <x:c r="S436" s="11" t="n">
        <x:f>IFERROR(R436/F436,"")</x:f>
        <x:v>0.8751608751608752</x:v>
      </x:c>
      <x:c r="T436" s="11" t="n">
        <x:f>IFERROR(R436/P436,"")</x:f>
        <x:v>0.8796895213454075</x:v>
      </x:c>
      <x:c r="U436" s="10" t="n">
        <x:f>I436+J436+K436</x:f>
        <x:v>87</x:v>
      </x:c>
      <x:c r="V436" s="11" t="n">
        <x:f>IFERROR(U436/P436,"")</x:f>
        <x:v>0.11254851228978008</x:v>
      </x:c>
      <x:c r="W436" s="9" t="str">
        <x:v>mature_le_5pct_pending</x:v>
      </x:c>
      <x:c r="X436" s="12" t="n">
        <x:f>IFERROR(F436/Z436*100000,"")</x:f>
        <x:v>13.737623762376236</x:v>
      </x:c>
      <x:c r="Y436" s="13" t="n">
        <x:f>LN(Z436)</x:f>
        <x:v>15.548227486558545</x:v>
      </x:c>
      <x:c r="Z436" s="6" t="str">
        <x:v>5656000</x:v>
      </x:c>
      <x:c r="AA436" s="6" t="str">
        <x:v>122.0</x:v>
      </x:c>
      <x:c r="AB436" s="9" t="str">
        <x:v>2024-06-30</x:v>
      </x:c>
      <x:c r="AC436" s="8" t="str">
        <x:v>77.66</x:v>
      </x:c>
      <x:c r="AD436" s="9" t="str">
        <x:v>2024 (Susenas)</x:v>
      </x:c>
      <x:c r="AE436" s="8" t="str">
        <x:v>19.48</x:v>
      </x:c>
      <x:c r="AF436" s="9" t="str">
        <x:v>Maret 2024 (Susenas)</x:v>
      </x:c>
      <x:c r="AG436" s="6" t="str">
        <x:v>27.141603867776936</x:v>
      </x:c>
      <x:c r="AH436" s="8" t="str">
        <x:v>84.96582886402602</x:v>
      </x:c>
      <x:c r="AI436" s="6" t="str">
        <x:v>343.1659434407693</x:v>
      </x:c>
      <x:c r="AJ436" s="6" t="str">
        <x:v>0.7274038168282324</x:v>
      </x:c>
      <x:c r="AK436" s="8" t="str">
        <x:v>1.361894522009412</x:v>
      </x:c>
      <x:c r="AL436" s="6" t="str">
        <x:v>2.442064304834281</x:v>
      </x:c>
      <x:c r="AM436" s="6" t="str">
        <x:v>2.368490337191157</x:v>
      </x:c>
      <x:c r="AN436" s="6" t="str">
        <x:v>2.057483054678283</x:v>
      </x:c>
      <x:c r="AO436" s="6" t="str">
        <x:v>2.410673366532123</x:v>
      </x:c>
      <x:c r="AP436" s="8" t="str">
        <x:v>0.9247263733621462</x:v>
      </x:c>
      <x:c r="AQ436" s="6" t="str">
        <x:v>-0.8330352601221704</x:v>
      </x:c>
      <x:c r="AR436" s="6" t="str">
        <x:v>-0.9204377667949404</x:v>
      </x:c>
      <x:c r="AS436" s="6" t="str">
        <x:v>-0.2762488845183213</x:v>
      </x:c>
      <x:c r="AT436" s="6" t="str">
        <x:v>153.9340085656423</x:v>
      </x:c>
      <x:c r="AU436" s="8" t="str">
        <x:v>2.076165678343464</x:v>
      </x:c>
      <x:c r="AV436" s="6" t="str">
        <x:v>-0.9868508353622372</x:v>
      </x:c>
      <x:c r="AW436" s="6" t="str">
        <x:v>-0.8087109523156855</x:v>
      </x:c>
      <x:c r="AX436" s="6" t="str">
        <x:v>0.093534630221847</x:v>
      </x:c>
      <x:c r="AY436" s="6" t="str">
        <x:v>1</x:v>
      </x:c>
      <x:c r="AZ436" s="6" t="str">
        <x:v>1</x:v>
      </x:c>
      <x:c r="BA436" s="9" t="str">
        <x:v>grid_cells_within_BIG_polygon</x:v>
      </x:c>
      <x:c r="BB436" s="6" t="str">
        <x:v>14</x:v>
      </x:c>
      <x:c r="BC436" s="6" t="str">
        <x:v>16</x:v>
      </x:c>
      <x:c r="BD436" s="6" t="str">
        <x:v>16</x:v>
      </x:c>
      <x:c r="BE436" s="6" t="str">
        <x:v>9</x:v>
      </x:c>
      <x:c r="BF436" s="6" t="str">
        <x:v>1</x:v>
      </x:c>
      <x:c r="BG436" s="6" t="str">
        <x:v>4</x:v>
      </x:c>
      <x:c r="BH436" s="6" t="str">
        <x:v>0</x:v>
      </x:c>
      <x:c r="BI436" s="6" t="str">
        <x:v>0</x:v>
      </x:c>
      <x:c r="BJ436" s="6" t="str">
        <x:v>2</x:v>
      </x:c>
      <x:c r="BK436" s="6" t="str">
        <x:v>0</x:v>
      </x:c>
      <x:c r="BL436" s="6" t="str">
        <x:v>0</x:v>
      </x:c>
      <x:c r="BM436" s="6" t="str">
        <x:v>0</x:v>
      </x:c>
      <x:c r="BN436" s="6" t="str">
        <x:v>16</x:v>
      </x:c>
      <x:c r="BO436" s="6" t="str">
        <x:v>5.0</x:v>
      </x:c>
      <x:c r="BP436" s="6" t="str">
        <x:v>16</x:v>
      </x:c>
      <x:c r="BQ436" s="6" t="str">
        <x:v>0.0</x:v>
      </x:c>
      <x:c r="BR436" s="6" t="str">
        <x:v>16</x:v>
      </x:c>
      <x:c r="BS436" s="6" t="str">
        <x:v>77.0</x:v>
      </x:c>
      <x:c r="BT436" s="6" t="str">
        <x:v>16</x:v>
      </x:c>
      <x:c r="BU436" s="6" t="str">
        <x:v>2501.0</x:v>
      </x:c>
      <x:c r="BV436" s="6" t="str">
        <x:v>5</x:v>
      </x:c>
      <x:c r="BW436" s="9" t="str">
        <x:v>operational_snapshot_annual_totals_may_differ</x:v>
      </x:c>
      <x:c r="BX436" s="9" t="str">
        <x:v>official_live_dashboard_snapshot_subject_to_revision</x:v>
      </x:c>
      <x:c r="BY436" s="9" t="str">
        <x:v>https://tbdashboard.sitb.id/ss_data_tbc03so_2024_provinsi_bulanan_list.php</x:v>
      </x:c>
      <x:c r="BZ436" s="6" t="n">
        <x:v>46246.610671296294</x:v>
      </x:c>
    </x:row>
    <x:row r="437" ht="18" customHeight="1">
      <x:c r="A437" s="6" t="str">
        <x:v>53</x:v>
      </x:c>
      <x:c r="B437" s="6" t="str">
        <x:v>NUSA TENGGARA TIMUR</x:v>
      </x:c>
      <x:c r="C437" s="6" t="str">
        <x:v>2024</x:v>
      </x:c>
      <x:c r="D437" s="6" t="str">
        <x:v>4</x:v>
      </x:c>
      <x:c r="E437" s="6" t="str">
        <x:v>2024-04</x:v>
      </x:c>
      <x:c r="F437" s="6" t="str">
        <x:v>751</x:v>
      </x:c>
      <x:c r="G437" s="6" t="str">
        <x:v>185</x:v>
      </x:c>
      <x:c r="H437" s="6" t="str">
        <x:v>464</x:v>
      </x:c>
      <x:c r="I437" s="6" t="str">
        <x:v>40</x:v>
      </x:c>
      <x:c r="J437" s="6" t="str">
        <x:v>58</x:v>
      </x:c>
      <x:c r="K437" s="6" t="str">
        <x:v>0</x:v>
      </x:c>
      <x:c r="L437" s="6" t="str">
        <x:v>2</x:v>
      </x:c>
      <x:c r="M437" s="6" t="str">
        <x:v>2</x:v>
      </x:c>
      <x:c r="N437" s="6" t="str">
        <x:v>751</x:v>
      </x:c>
      <x:c r="O437" s="6" t="str">
        <x:v>0</x:v>
      </x:c>
      <x:c r="P437" s="10" t="n">
        <x:f>F437-M437</x:f>
        <x:v>749</x:v>
      </x:c>
      <x:c r="Q437" s="11" t="n">
        <x:f>IFERROR(M437/F437,"")</x:f>
        <x:v>0.002663115845539281</x:v>
      </x:c>
      <x:c r="R437" s="10" t="n">
        <x:f>G437+H437</x:f>
        <x:v>649</x:v>
      </x:c>
      <x:c r="S437" s="11" t="n">
        <x:f>IFERROR(R437/F437,"")</x:f>
        <x:v>0.8641810918774967</x:v>
      </x:c>
      <x:c r="T437" s="11" t="n">
        <x:f>IFERROR(R437/P437,"")</x:f>
        <x:v>0.8664886515353805</x:v>
      </x:c>
      <x:c r="U437" s="10" t="n">
        <x:f>I437+J437+K437</x:f>
        <x:v>98</x:v>
      </x:c>
      <x:c r="V437" s="11" t="n">
        <x:f>IFERROR(U437/P437,"")</x:f>
        <x:v>0.1308411214953271</x:v>
      </x:c>
      <x:c r="W437" s="9" t="str">
        <x:v>mature_le_5pct_pending</x:v>
      </x:c>
      <x:c r="X437" s="12" t="n">
        <x:f>IFERROR(F437/Z437*100000,"")</x:f>
        <x:v>13.27793493635078</x:v>
      </x:c>
      <x:c r="Y437" s="13" t="n">
        <x:f>LN(Z437)</x:f>
        <x:v>15.548227486558545</x:v>
      </x:c>
      <x:c r="Z437" s="6" t="str">
        <x:v>5656000</x:v>
      </x:c>
      <x:c r="AA437" s="6" t="str">
        <x:v>122.0</x:v>
      </x:c>
      <x:c r="AB437" s="9" t="str">
        <x:v>2024-06-30</x:v>
      </x:c>
      <x:c r="AC437" s="8" t="str">
        <x:v>77.66</x:v>
      </x:c>
      <x:c r="AD437" s="9" t="str">
        <x:v>2024 (Susenas)</x:v>
      </x:c>
      <x:c r="AE437" s="8" t="str">
        <x:v>19.48</x:v>
      </x:c>
      <x:c r="AF437" s="9" t="str">
        <x:v>Maret 2024 (Susenas)</x:v>
      </x:c>
      <x:c r="AG437" s="6" t="str">
        <x:v>26.986216606084284</x:v>
      </x:c>
      <x:c r="AH437" s="8" t="str">
        <x:v>83.73769582836779</x:v>
      </x:c>
      <x:c r="AI437" s="6" t="str">
        <x:v>208.70477114498857</x:v>
      </x:c>
      <x:c r="AJ437" s="6" t="str">
        <x:v>0.4740717270038317</x:v>
      </x:c>
      <x:c r="AK437" s="8" t="str">
        <x:v>0.9707196483290444</x:v>
      </x:c>
      <x:c r="AL437" s="6" t="str">
        <x:v>1.361894522009412</x:v>
      </x:c>
      <x:c r="AM437" s="6" t="str">
        <x:v>2.442064304834281</x:v>
      </x:c>
      <x:c r="AN437" s="6" t="str">
        <x:v>1.5915594917242453</x:v>
      </x:c>
      <x:c r="AO437" s="6" t="str">
        <x:v>3.563582832038975</x:v>
      </x:c>
      <x:c r="AP437" s="8" t="str">
        <x:v>1.435499682267718</x:v>
      </x:c>
      <x:c r="AQ437" s="6" t="str">
        <x:v>0.9247263733621462</x:v>
      </x:c>
      <x:c r="AR437" s="6" t="str">
        <x:v>-0.8330352601221704</x:v>
      </x:c>
      <x:c r="AS437" s="6" t="str">
        <x:v>0.5090635985025648</x:v>
      </x:c>
      <x:c r="AT437" s="6" t="str">
        <x:v>97.10683311658018</x:v>
      </x:c>
      <x:c r="AU437" s="8" t="str">
        <x:v>1.8209999758089248</x:v>
      </x:c>
      <x:c r="AV437" s="6" t="str">
        <x:v>2.076165678343464</x:v>
      </x:c>
      <x:c r="AW437" s="6" t="str">
        <x:v>-0.9868508353622372</x:v>
      </x:c>
      <x:c r="AX437" s="6" t="str">
        <x:v>0.9701049395967172</x:v>
      </x:c>
      <x:c r="AY437" s="6" t="str">
        <x:v>1</x:v>
      </x:c>
      <x:c r="AZ437" s="6" t="str">
        <x:v>0</x:v>
      </x:c>
      <x:c r="BA437" s="9" t="str">
        <x:v>grid_cells_within_BIG_polygon</x:v>
      </x:c>
      <x:c r="BB437" s="6" t="str">
        <x:v>14</x:v>
      </x:c>
      <x:c r="BC437" s="6" t="str">
        <x:v>1</x:v>
      </x:c>
      <x:c r="BD437" s="6" t="str">
        <x:v>1</x:v>
      </x:c>
      <x:c r="BE437" s="6" t="str">
        <x:v>0</x:v>
      </x:c>
      <x:c r="BF437" s="6" t="str">
        <x:v>1</x:v>
      </x:c>
      <x:c r="BG437" s="6" t="str">
        <x:v>0</x:v>
      </x:c>
      <x:c r="BH437" s="6" t="str">
        <x:v>0</x:v>
      </x:c>
      <x:c r="BI437" s="6" t="str">
        <x:v>0</x:v>
      </x:c>
      <x:c r="BJ437" s="6" t="str">
        <x:v>0</x:v>
      </x:c>
      <x:c r="BK437" s="6" t="str">
        <x:v>0</x:v>
      </x:c>
      <x:c r="BL437" s="6" t="str">
        <x:v>0</x:v>
      </x:c>
      <x:c r="BM437" s="6" t="str">
        <x:v>0</x:v>
      </x:c>
      <x:c r="BN437" s="6" t="str">
        <x:v>1</x:v>
      </x:c>
      <x:c r="BO437" s="6" t="str">
        <x:v>0.0</x:v>
      </x:c>
      <x:c r="BP437" s="6" t="str">
        <x:v>1</x:v>
      </x:c>
      <x:c r="BQ437" s="6" t="str">
        <x:v>0.0</x:v>
      </x:c>
      <x:c r="BR437" s="6" t="str">
        <x:v>1</x:v>
      </x:c>
      <x:c r="BS437" s="6" t="str">
        <x:v>0.0</x:v>
      </x:c>
      <x:c r="BT437" s="6" t="str">
        <x:v>1</x:v>
      </x:c>
      <x:c r="BU437" s="6" t="str"/>
      <x:c r="BV437" s="6" t="str">
        <x:v>0</x:v>
      </x:c>
      <x:c r="BW437" s="9" t="str">
        <x:v>operational_snapshot_annual_totals_may_differ</x:v>
      </x:c>
      <x:c r="BX437" s="9" t="str">
        <x:v>official_live_dashboard_snapshot_subject_to_revision</x:v>
      </x:c>
      <x:c r="BY437" s="9" t="str">
        <x:v>https://tbdashboard.sitb.id/ss_data_tbc03so_2024_provinsi_bulanan_list.php</x:v>
      </x:c>
      <x:c r="BZ437" s="6" t="n">
        <x:v>46246.610671296294</x:v>
      </x:c>
    </x:row>
    <x:row r="438" ht="18" customHeight="1">
      <x:c r="A438" s="6" t="str">
        <x:v>53</x:v>
      </x:c>
      <x:c r="B438" s="6" t="str">
        <x:v>NUSA TENGGARA TIMUR</x:v>
      </x:c>
      <x:c r="C438" s="6" t="str">
        <x:v>2024</x:v>
      </x:c>
      <x:c r="D438" s="6" t="str">
        <x:v>5</x:v>
      </x:c>
      <x:c r="E438" s="6" t="str">
        <x:v>2024-05</x:v>
      </x:c>
      <x:c r="F438" s="6" t="str">
        <x:v>798</x:v>
      </x:c>
      <x:c r="G438" s="6" t="str">
        <x:v>188</x:v>
      </x:c>
      <x:c r="H438" s="6" t="str">
        <x:v>506</x:v>
      </x:c>
      <x:c r="I438" s="6" t="str">
        <x:v>35</x:v>
      </x:c>
      <x:c r="J438" s="6" t="str">
        <x:v>59</x:v>
      </x:c>
      <x:c r="K438" s="6" t="str">
        <x:v>1</x:v>
      </x:c>
      <x:c r="L438" s="6" t="str">
        <x:v>1</x:v>
      </x:c>
      <x:c r="M438" s="6" t="str">
        <x:v>8</x:v>
      </x:c>
      <x:c r="N438" s="6" t="str">
        <x:v>798</x:v>
      </x:c>
      <x:c r="O438" s="6" t="str">
        <x:v>0</x:v>
      </x:c>
      <x:c r="P438" s="10" t="n">
        <x:f>F438-M438</x:f>
        <x:v>790</x:v>
      </x:c>
      <x:c r="Q438" s="11" t="n">
        <x:f>IFERROR(M438/F438,"")</x:f>
        <x:v>0.010025062656641603</x:v>
      </x:c>
      <x:c r="R438" s="10" t="n">
        <x:f>G438+H438</x:f>
        <x:v>694</x:v>
      </x:c>
      <x:c r="S438" s="11" t="n">
        <x:f>IFERROR(R438/F438,"")</x:f>
        <x:v>0.8696741854636592</x:v>
      </x:c>
      <x:c r="T438" s="11" t="n">
        <x:f>IFERROR(R438/P438,"")</x:f>
        <x:v>0.8784810126582279</x:v>
      </x:c>
      <x:c r="U438" s="10" t="n">
        <x:f>I438+J438+K438</x:f>
        <x:v>95</x:v>
      </x:c>
      <x:c r="V438" s="11" t="n">
        <x:f>IFERROR(U438/P438,"")</x:f>
        <x:v>0.12025316455696203</x:v>
      </x:c>
      <x:c r="W438" s="9" t="str">
        <x:v>mature_le_5pct_pending</x:v>
      </x:c>
      <x:c r="X438" s="12" t="n">
        <x:f>IFERROR(F438/Z438*100000,"")</x:f>
        <x:v>14.108910891089108</x:v>
      </x:c>
      <x:c r="Y438" s="13" t="n">
        <x:f>LN(Z438)</x:f>
        <x:v>15.548227486558545</x:v>
      </x:c>
      <x:c r="Z438" s="6" t="str">
        <x:v>5656000</x:v>
      </x:c>
      <x:c r="AA438" s="6" t="str">
        <x:v>122.0</x:v>
      </x:c>
      <x:c r="AB438" s="9" t="str">
        <x:v>2024-06-30</x:v>
      </x:c>
      <x:c r="AC438" s="8" t="str">
        <x:v>77.66</x:v>
      </x:c>
      <x:c r="AD438" s="9" t="str">
        <x:v>2024 (Susenas)</x:v>
      </x:c>
      <x:c r="AE438" s="8" t="str">
        <x:v>19.48</x:v>
      </x:c>
      <x:c r="AF438" s="9" t="str">
        <x:v>Maret 2024 (Susenas)</x:v>
      </x:c>
      <x:c r="AG438" s="6" t="str">
        <x:v>26.652892001668636</x:v>
      </x:c>
      <x:c r="AH438" s="8" t="str">
        <x:v>80.7505640109745</x:v>
      </x:c>
      <x:c r="AI438" s="6" t="str">
        <x:v>23.71124160089069</x:v>
      </x:c>
      <x:c r="AJ438" s="6" t="str">
        <x:v>0.5223061824580597</x:v>
      </x:c>
      <x:c r="AK438" s="8" t="str">
        <x:v>0.9027999533863564</x:v>
      </x:c>
      <x:c r="AL438" s="6" t="str">
        <x:v>0.9707196483290444</x:v>
      </x:c>
      <x:c r="AM438" s="6" t="str">
        <x:v>1.361894522009412</x:v>
      </x:c>
      <x:c r="AN438" s="6" t="str">
        <x:v>1.078471374574937</x:v>
      </x:c>
      <x:c r="AO438" s="6" t="str">
        <x:v>3.75664369452619</x:v>
      </x:c>
      <x:c r="AP438" s="8" t="str">
        <x:v>1.0571880026253306</x:v>
      </x:c>
      <x:c r="AQ438" s="6" t="str">
        <x:v>1.435499682267718</x:v>
      </x:c>
      <x:c r="AR438" s="6" t="str">
        <x:v>0.9247263733621462</x:v>
      </x:c>
      <x:c r="AS438" s="6" t="str">
        <x:v>1.1391380194183989</x:v>
      </x:c>
      <x:c r="AT438" s="6" t="str">
        <x:v>-26.21901627692596</x:v>
      </x:c>
      <x:c r="AU438" s="8" t="str">
        <x:v>-0.6093663928018211</x:v>
      </x:c>
      <x:c r="AV438" s="6" t="str">
        <x:v>1.8209999758089248</x:v>
      </x:c>
      <x:c r="AW438" s="6" t="str">
        <x:v>2.076165678343464</x:v>
      </x:c>
      <x:c r="AX438" s="6" t="str">
        <x:v>1.0959330871168558</x:v>
      </x:c>
      <x:c r="AY438" s="6" t="str">
        <x:v>0</x:v>
      </x:c>
      <x:c r="AZ438" s="6" t="str">
        <x:v>0</x:v>
      </x:c>
      <x:c r="BA438" s="9" t="str">
        <x:v>grid_cells_within_BIG_polygon</x:v>
      </x:c>
      <x:c r="BB438" s="6" t="str">
        <x:v>14</x:v>
      </x:c>
      <x:c r="BC438" s="6" t="str">
        <x:v>3</x:v>
      </x:c>
      <x:c r="BD438" s="6" t="str">
        <x:v>2</x:v>
      </x:c>
      <x:c r="BE438" s="6" t="str">
        <x:v>0</x:v>
      </x:c>
      <x:c r="BF438" s="6" t="str">
        <x:v>2</x:v>
      </x:c>
      <x:c r="BG438" s="6" t="str">
        <x:v>0</x:v>
      </x:c>
      <x:c r="BH438" s="6" t="str">
        <x:v>0</x:v>
      </x:c>
      <x:c r="BI438" s="6" t="str">
        <x:v>0</x:v>
      </x:c>
      <x:c r="BJ438" s="6" t="str">
        <x:v>0</x:v>
      </x:c>
      <x:c r="BK438" s="6" t="str">
        <x:v>0</x:v>
      </x:c>
      <x:c r="BL438" s="6" t="str">
        <x:v>1</x:v>
      </x:c>
      <x:c r="BM438" s="6" t="str">
        <x:v>0</x:v>
      </x:c>
      <x:c r="BN438" s="6" t="str">
        <x:v>3</x:v>
      </x:c>
      <x:c r="BO438" s="6" t="str">
        <x:v>5.0</x:v>
      </x:c>
      <x:c r="BP438" s="6" t="str">
        <x:v>3</x:v>
      </x:c>
      <x:c r="BQ438" s="6" t="str">
        <x:v>0.0</x:v>
      </x:c>
      <x:c r="BR438" s="6" t="str">
        <x:v>3</x:v>
      </x:c>
      <x:c r="BS438" s="6" t="str">
        <x:v>2.0</x:v>
      </x:c>
      <x:c r="BT438" s="6" t="str">
        <x:v>3</x:v>
      </x:c>
      <x:c r="BU438" s="6" t="str"/>
      <x:c r="BV438" s="6" t="str">
        <x:v>0</x:v>
      </x:c>
      <x:c r="BW438" s="9" t="str">
        <x:v>operational_snapshot_annual_totals_may_differ</x:v>
      </x:c>
      <x:c r="BX438" s="9" t="str">
        <x:v>official_live_dashboard_snapshot_subject_to_revision</x:v>
      </x:c>
      <x:c r="BY438" s="9" t="str">
        <x:v>https://tbdashboard.sitb.id/ss_data_tbc03so_2024_provinsi_bulanan_list.php</x:v>
      </x:c>
      <x:c r="BZ438" s="6" t="n">
        <x:v>46246.610671296294</x:v>
      </x:c>
    </x:row>
    <x:row r="439" ht="18" customHeight="1">
      <x:c r="A439" s="6" t="str">
        <x:v>53</x:v>
      </x:c>
      <x:c r="B439" s="6" t="str">
        <x:v>NUSA TENGGARA TIMUR</x:v>
      </x:c>
      <x:c r="C439" s="6" t="str">
        <x:v>2024</x:v>
      </x:c>
      <x:c r="D439" s="6" t="str">
        <x:v>6</x:v>
      </x:c>
      <x:c r="E439" s="6" t="str">
        <x:v>2024-06</x:v>
      </x:c>
      <x:c r="F439" s="6" t="str">
        <x:v>754</x:v>
      </x:c>
      <x:c r="G439" s="6" t="str">
        <x:v>180</x:v>
      </x:c>
      <x:c r="H439" s="6" t="str">
        <x:v>475</x:v>
      </x:c>
      <x:c r="I439" s="6" t="str">
        <x:v>29</x:v>
      </x:c>
      <x:c r="J439" s="6" t="str">
        <x:v>62</x:v>
      </x:c>
      <x:c r="K439" s="6" t="str">
        <x:v>1</x:v>
      </x:c>
      <x:c r="L439" s="6" t="str">
        <x:v>4</x:v>
      </x:c>
      <x:c r="M439" s="6" t="str">
        <x:v>3</x:v>
      </x:c>
      <x:c r="N439" s="6" t="str">
        <x:v>754</x:v>
      </x:c>
      <x:c r="O439" s="6" t="str">
        <x:v>0</x:v>
      </x:c>
      <x:c r="P439" s="10" t="n">
        <x:f>F439-M439</x:f>
        <x:v>751</x:v>
      </x:c>
      <x:c r="Q439" s="11" t="n">
        <x:f>IFERROR(M439/F439,"")</x:f>
        <x:v>0.003978779840848806</x:v>
      </x:c>
      <x:c r="R439" s="10" t="n">
        <x:f>G439+H439</x:f>
        <x:v>655</x:v>
      </x:c>
      <x:c r="S439" s="11" t="n">
        <x:f>IFERROR(R439/F439,"")</x:f>
        <x:v>0.8687002652519894</x:v>
      </x:c>
      <x:c r="T439" s="11" t="n">
        <x:f>IFERROR(R439/P439,"")</x:f>
        <x:v>0.8721704394141145</x:v>
      </x:c>
      <x:c r="U439" s="10" t="n">
        <x:f>I439+J439+K439</x:f>
        <x:v>92</x:v>
      </x:c>
      <x:c r="V439" s="11" t="n">
        <x:f>IFERROR(U439/P439,"")</x:f>
        <x:v>0.12250332889480692</x:v>
      </x:c>
      <x:c r="W439" s="9" t="str">
        <x:v>mature_le_5pct_pending</x:v>
      </x:c>
      <x:c r="X439" s="12" t="n">
        <x:f>IFERROR(F439/Z439*100000,"")</x:f>
        <x:v>13.330975954738332</x:v>
      </x:c>
      <x:c r="Y439" s="13" t="n">
        <x:f>LN(Z439)</x:f>
        <x:v>15.548227486558545</x:v>
      </x:c>
      <x:c r="Z439" s="6" t="str">
        <x:v>5656000</x:v>
      </x:c>
      <x:c r="AA439" s="6" t="str">
        <x:v>122.0</x:v>
      </x:c>
      <x:c r="AB439" s="9" t="str">
        <x:v>2024-06-30</x:v>
      </x:c>
      <x:c r="AC439" s="8" t="str">
        <x:v>77.66</x:v>
      </x:c>
      <x:c r="AD439" s="9" t="str">
        <x:v>2024 (Susenas)</x:v>
      </x:c>
      <x:c r="AE439" s="8" t="str">
        <x:v>19.48</x:v>
      </x:c>
      <x:c r="AF439" s="9" t="str">
        <x:v>Maret 2024 (Susenas)</x:v>
      </x:c>
      <x:c r="AG439" s="6" t="str">
        <x:v>25.777263023661764</x:v>
      </x:c>
      <x:c r="AH439" s="8" t="str">
        <x:v>77.05006062053269</x:v>
      </x:c>
      <x:c r="AI439" s="6" t="str">
        <x:v>27.079359028088653</x:v>
      </x:c>
      <x:c r="AJ439" s="6" t="str">
        <x:v>0.3400341334805929</x:v>
      </x:c>
      <x:c r="AK439" s="8" t="str">
        <x:v>0.5185009422059219</x:v>
      </x:c>
      <x:c r="AL439" s="6" t="str">
        <x:v>0.9027999533863564</x:v>
      </x:c>
      <x:c r="AM439" s="6" t="str">
        <x:v>0.9707196483290444</x:v>
      </x:c>
      <x:c r="AN439" s="6" t="str">
        <x:v>0.7973401813071069</x:v>
      </x:c>
      <x:c r="AO439" s="6" t="str">
        <x:v>2.441599846592439</x:v>
      </x:c>
      <x:c r="AP439" s="8" t="str">
        <x:v>0.7825788870154101</x:v>
      </x:c>
      <x:c r="AQ439" s="6" t="str">
        <x:v>1.0571880026253306</x:v>
      </x:c>
      <x:c r="AR439" s="6" t="str">
        <x:v>1.435499682267718</x:v>
      </x:c>
      <x:c r="AS439" s="6" t="str">
        <x:v>1.0917555239694865</x:v>
      </x:c>
      <x:c r="AT439" s="6" t="str">
        <x:v>3.962208570103815</x:v>
      </x:c>
      <x:c r="AU439" s="8" t="str">
        <x:v>0.1840505733930923</x:v>
      </x:c>
      <x:c r="AV439" s="6" t="str">
        <x:v>-0.6093663928018211</x:v>
      </x:c>
      <x:c r="AW439" s="6" t="str">
        <x:v>1.8209999758089248</x:v>
      </x:c>
      <x:c r="AX439" s="6" t="str">
        <x:v>0.4652280521333987</x:v>
      </x:c>
      <x:c r="AY439" s="6" t="str">
        <x:v>0</x:v>
      </x:c>
      <x:c r="AZ439" s="6" t="str">
        <x:v>0</x:v>
      </x:c>
      <x:c r="BA439" s="9" t="str">
        <x:v>grid_cells_within_BIG_polygon</x:v>
      </x:c>
      <x:c r="BB439" s="6" t="str">
        <x:v>14</x:v>
      </x:c>
      <x:c r="BC439" s="6" t="str">
        <x:v>2</x:v>
      </x:c>
      <x:c r="BD439" s="6" t="str">
        <x:v>2</x:v>
      </x:c>
      <x:c r="BE439" s="6" t="str">
        <x:v>1</x:v>
      </x:c>
      <x:c r="BF439" s="6" t="str">
        <x:v>1</x:v>
      </x:c>
      <x:c r="BG439" s="6" t="str">
        <x:v>0</x:v>
      </x:c>
      <x:c r="BH439" s="6" t="str">
        <x:v>0</x:v>
      </x:c>
      <x:c r="BI439" s="6" t="str">
        <x:v>0</x:v>
      </x:c>
      <x:c r="BJ439" s="6" t="str">
        <x:v>0</x:v>
      </x:c>
      <x:c r="BK439" s="6" t="str">
        <x:v>0</x:v>
      </x:c>
      <x:c r="BL439" s="6" t="str">
        <x:v>0</x:v>
      </x:c>
      <x:c r="BM439" s="6" t="str">
        <x:v>0</x:v>
      </x:c>
      <x:c r="BN439" s="6" t="str">
        <x:v>2</x:v>
      </x:c>
      <x:c r="BO439" s="6" t="str">
        <x:v>5.0</x:v>
      </x:c>
      <x:c r="BP439" s="6" t="str">
        <x:v>2</x:v>
      </x:c>
      <x:c r="BQ439" s="6" t="str">
        <x:v>0.0</x:v>
      </x:c>
      <x:c r="BR439" s="6" t="str">
        <x:v>2</x:v>
      </x:c>
      <x:c r="BS439" s="6" t="str">
        <x:v>1.0</x:v>
      </x:c>
      <x:c r="BT439" s="6" t="str">
        <x:v>2</x:v>
      </x:c>
      <x:c r="BU439" s="6" t="str">
        <x:v>1.0</x:v>
      </x:c>
      <x:c r="BV439" s="6" t="str">
        <x:v>1</x:v>
      </x:c>
      <x:c r="BW439" s="9" t="str">
        <x:v>operational_snapshot_annual_totals_may_differ</x:v>
      </x:c>
      <x:c r="BX439" s="9" t="str">
        <x:v>official_live_dashboard_snapshot_subject_to_revision</x:v>
      </x:c>
      <x:c r="BY439" s="9" t="str">
        <x:v>https://tbdashboard.sitb.id/ss_data_tbc03so_2024_provinsi_bulanan_list.php</x:v>
      </x:c>
      <x:c r="BZ439" s="6" t="n">
        <x:v>46246.610671296294</x:v>
      </x:c>
    </x:row>
    <x:row r="440" ht="18" customHeight="1">
      <x:c r="A440" s="6" t="str">
        <x:v>53</x:v>
      </x:c>
      <x:c r="B440" s="6" t="str">
        <x:v>NUSA TENGGARA TIMUR</x:v>
      </x:c>
      <x:c r="C440" s="6" t="str">
        <x:v>2024</x:v>
      </x:c>
      <x:c r="D440" s="6" t="str">
        <x:v>7</x:v>
      </x:c>
      <x:c r="E440" s="6" t="str">
        <x:v>2024-07</x:v>
      </x:c>
      <x:c r="F440" s="6" t="str">
        <x:v>870</x:v>
      </x:c>
      <x:c r="G440" s="6" t="str">
        <x:v>204</x:v>
      </x:c>
      <x:c r="H440" s="6" t="str">
        <x:v>549</x:v>
      </x:c>
      <x:c r="I440" s="6" t="str">
        <x:v>40</x:v>
      </x:c>
      <x:c r="J440" s="6" t="str">
        <x:v>60</x:v>
      </x:c>
      <x:c r="K440" s="6" t="str">
        <x:v>1</x:v>
      </x:c>
      <x:c r="L440" s="6" t="str">
        <x:v>6</x:v>
      </x:c>
      <x:c r="M440" s="6" t="str">
        <x:v>10</x:v>
      </x:c>
      <x:c r="N440" s="6" t="str">
        <x:v>870</x:v>
      </x:c>
      <x:c r="O440" s="6" t="str">
        <x:v>0</x:v>
      </x:c>
      <x:c r="P440" s="10" t="n">
        <x:f>F440-M440</x:f>
        <x:v>860</x:v>
      </x:c>
      <x:c r="Q440" s="11" t="n">
        <x:f>IFERROR(M440/F440,"")</x:f>
        <x:v>0.011494252873563218</x:v>
      </x:c>
      <x:c r="R440" s="10" t="n">
        <x:f>G440+H440</x:f>
        <x:v>753</x:v>
      </x:c>
      <x:c r="S440" s="11" t="n">
        <x:f>IFERROR(R440/F440,"")</x:f>
        <x:v>0.8655172413793103</x:v>
      </x:c>
      <x:c r="T440" s="11" t="n">
        <x:f>IFERROR(R440/P440,"")</x:f>
        <x:v>0.8755813953488372</x:v>
      </x:c>
      <x:c r="U440" s="10" t="n">
        <x:f>I440+J440+K440</x:f>
        <x:v>101</x:v>
      </x:c>
      <x:c r="V440" s="11" t="n">
        <x:f>IFERROR(U440/P440,"")</x:f>
        <x:v>0.11744186046511627</x:v>
      </x:c>
      <x:c r="W440" s="9" t="str">
        <x:v>mature_le_5pct_pending</x:v>
      </x:c>
      <x:c r="X440" s="12" t="n">
        <x:f>IFERROR(F440/Z440*100000,"")</x:f>
        <x:v>15.381895332390382</x:v>
      </x:c>
      <x:c r="Y440" s="13" t="n">
        <x:f>LN(Z440)</x:f>
        <x:v>15.548227486558545</x:v>
      </x:c>
      <x:c r="Z440" s="6" t="str">
        <x:v>5656000</x:v>
      </x:c>
      <x:c r="AA440" s="6" t="str">
        <x:v>122.0</x:v>
      </x:c>
      <x:c r="AB440" s="9" t="str">
        <x:v>2024-06-30</x:v>
      </x:c>
      <x:c r="AC440" s="8" t="str">
        <x:v>77.66</x:v>
      </x:c>
      <x:c r="AD440" s="9" t="str">
        <x:v>2024 (Susenas)</x:v>
      </x:c>
      <x:c r="AE440" s="8" t="str">
        <x:v>19.48</x:v>
      </x:c>
      <x:c r="AF440" s="9" t="str">
        <x:v>Maret 2024 (Susenas)</x:v>
      </x:c>
      <x:c r="AG440" s="6" t="str">
        <x:v>25.44148378823559</x:v>
      </x:c>
      <x:c r="AH440" s="8" t="str">
        <x:v>73.5580448037401</x:v>
      </x:c>
      <x:c r="AI440" s="6" t="str">
        <x:v>26.670218547878253</x:v>
      </x:c>
      <x:c r="AJ440" s="6" t="str">
        <x:v>0.4219841914267164</x:v>
      </x:c>
      <x:c r="AK440" s="8" t="str">
        <x:v>0.7838697069408466</x:v>
      </x:c>
      <x:c r="AL440" s="6" t="str">
        <x:v>0.5185009422059219</x:v>
      </x:c>
      <x:c r="AM440" s="6" t="str">
        <x:v>0.9027999533863564</x:v>
      </x:c>
      <x:c r="AN440" s="6" t="str">
        <x:v>0.7350568675110409</x:v>
      </x:c>
      <x:c r="AO440" s="6" t="str">
        <x:v>1.7185386540877232</x:v>
      </x:c>
      <x:c r="AP440" s="8" t="str">
        <x:v>0.5777649018799396</x:v>
      </x:c>
      <x:c r="AQ440" s="6" t="str">
        <x:v>0.7825788870154101</x:v>
      </x:c>
      <x:c r="AR440" s="6" t="str">
        <x:v>1.0571880026253306</x:v>
      </x:c>
      <x:c r="AS440" s="6" t="str">
        <x:v>0.8058439305068936</x:v>
      </x:c>
      <x:c r="AT440" s="6" t="str">
        <x:v>11.737168129548836</x:v>
      </x:c>
      <x:c r="AU440" s="8" t="str">
        <x:v>0.6502495236939638</x:v>
      </x:c>
      <x:c r="AV440" s="6" t="str">
        <x:v>0.1840505733930923</x:v>
      </x:c>
      <x:c r="AW440" s="6" t="str">
        <x:v>-0.6093663928018211</x:v>
      </x:c>
      <x:c r="AX440" s="6" t="str">
        <x:v>0.0749779014284117</x:v>
      </x:c>
      <x:c r="AY440" s="6" t="str">
        <x:v>0</x:v>
      </x:c>
      <x:c r="AZ440" s="6" t="str">
        <x:v>0</x:v>
      </x:c>
      <x:c r="BA440" s="9" t="str">
        <x:v>grid_cells_within_BIG_polygon</x:v>
      </x:c>
      <x:c r="BB440" s="6" t="str">
        <x:v>14</x:v>
      </x:c>
      <x:c r="BC440" s="6" t="str">
        <x:v>7</x:v>
      </x:c>
      <x:c r="BD440" s="6" t="str">
        <x:v>7</x:v>
      </x:c>
      <x:c r="BE440" s="6" t="str">
        <x:v>0</x:v>
      </x:c>
      <x:c r="BF440" s="6" t="str">
        <x:v>0</x:v>
      </x:c>
      <x:c r="BG440" s="6" t="str">
        <x:v>0</x:v>
      </x:c>
      <x:c r="BH440" s="6" t="str">
        <x:v>0</x:v>
      </x:c>
      <x:c r="BI440" s="6" t="str">
        <x:v>7</x:v>
      </x:c>
      <x:c r="BJ440" s="6" t="str">
        <x:v>0</x:v>
      </x:c>
      <x:c r="BK440" s="6" t="str">
        <x:v>0</x:v>
      </x:c>
      <x:c r="BL440" s="6" t="str">
        <x:v>0</x:v>
      </x:c>
      <x:c r="BM440" s="6" t="str">
        <x:v>0</x:v>
      </x:c>
      <x:c r="BN440" s="6" t="str">
        <x:v>7</x:v>
      </x:c>
      <x:c r="BO440" s="6" t="str">
        <x:v>0.0</x:v>
      </x:c>
      <x:c r="BP440" s="6" t="str">
        <x:v>7</x:v>
      </x:c>
      <x:c r="BQ440" s="6" t="str">
        <x:v>0.0</x:v>
      </x:c>
      <x:c r="BR440" s="6" t="str">
        <x:v>7</x:v>
      </x:c>
      <x:c r="BS440" s="6" t="str">
        <x:v>5.0</x:v>
      </x:c>
      <x:c r="BT440" s="6" t="str">
        <x:v>7</x:v>
      </x:c>
      <x:c r="BU440" s="6" t="str"/>
      <x:c r="BV440" s="6" t="str">
        <x:v>0</x:v>
      </x:c>
      <x:c r="BW440" s="9" t="str">
        <x:v>operational_snapshot_annual_totals_may_differ</x:v>
      </x:c>
      <x:c r="BX440" s="9" t="str">
        <x:v>official_live_dashboard_snapshot_subject_to_revision</x:v>
      </x:c>
      <x:c r="BY440" s="9" t="str">
        <x:v>https://tbdashboard.sitb.id/ss_data_tbc03so_2024_provinsi_bulanan_list.php</x:v>
      </x:c>
      <x:c r="BZ440" s="6" t="n">
        <x:v>46246.610671296294</x:v>
      </x:c>
    </x:row>
    <x:row r="441" ht="18" customHeight="1">
      <x:c r="A441" s="6" t="str">
        <x:v>53</x:v>
      </x:c>
      <x:c r="B441" s="6" t="str">
        <x:v>NUSA TENGGARA TIMUR</x:v>
      </x:c>
      <x:c r="C441" s="6" t="str">
        <x:v>2024</x:v>
      </x:c>
      <x:c r="D441" s="6" t="str">
        <x:v>8</x:v>
      </x:c>
      <x:c r="E441" s="6" t="str">
        <x:v>2024-08</x:v>
      </x:c>
      <x:c r="F441" s="6" t="str">
        <x:v>848</x:v>
      </x:c>
      <x:c r="G441" s="6" t="str">
        <x:v>214</x:v>
      </x:c>
      <x:c r="H441" s="6" t="str">
        <x:v>519</x:v>
      </x:c>
      <x:c r="I441" s="6" t="str">
        <x:v>42</x:v>
      </x:c>
      <x:c r="J441" s="6" t="str">
        <x:v>54</x:v>
      </x:c>
      <x:c r="K441" s="6" t="str">
        <x:v>1</x:v>
      </x:c>
      <x:c r="L441" s="6" t="str">
        <x:v>7</x:v>
      </x:c>
      <x:c r="M441" s="6" t="str">
        <x:v>11</x:v>
      </x:c>
      <x:c r="N441" s="6" t="str">
        <x:v>848</x:v>
      </x:c>
      <x:c r="O441" s="6" t="str">
        <x:v>0</x:v>
      </x:c>
      <x:c r="P441" s="10" t="n">
        <x:f>F441-M441</x:f>
        <x:v>837</x:v>
      </x:c>
      <x:c r="Q441" s="11" t="n">
        <x:f>IFERROR(M441/F441,"")</x:f>
        <x:v>0.012971698113207548</x:v>
      </x:c>
      <x:c r="R441" s="10" t="n">
        <x:f>G441+H441</x:f>
        <x:v>733</x:v>
      </x:c>
      <x:c r="S441" s="11" t="n">
        <x:f>IFERROR(R441/F441,"")</x:f>
        <x:v>0.8643867924528302</x:v>
      </x:c>
      <x:c r="T441" s="11" t="n">
        <x:f>IFERROR(R441/P441,"")</x:f>
        <x:v>0.8757467144563919</x:v>
      </x:c>
      <x:c r="U441" s="10" t="n">
        <x:f>I441+J441+K441</x:f>
        <x:v>97</x:v>
      </x:c>
      <x:c r="V441" s="11" t="n">
        <x:f>IFERROR(U441/P441,"")</x:f>
        <x:v>0.11589008363201912</x:v>
      </x:c>
      <x:c r="W441" s="9" t="str">
        <x:v>mature_le_5pct_pending</x:v>
      </x:c>
      <x:c r="X441" s="12" t="n">
        <x:f>IFERROR(F441/Z441*100000,"")</x:f>
        <x:v>14.992927864214995</x:v>
      </x:c>
      <x:c r="Y441" s="13" t="n">
        <x:f>LN(Z441)</x:f>
        <x:v>15.548227486558545</x:v>
      </x:c>
      <x:c r="Z441" s="6" t="str">
        <x:v>5656000</x:v>
      </x:c>
      <x:c r="AA441" s="6" t="str">
        <x:v>122.0</x:v>
      </x:c>
      <x:c r="AB441" s="9" t="str">
        <x:v>2024-06-30</x:v>
      </x:c>
      <x:c r="AC441" s="8" t="str">
        <x:v>77.66</x:v>
      </x:c>
      <x:c r="AD441" s="9" t="str">
        <x:v>2024 (Susenas)</x:v>
      </x:c>
      <x:c r="AE441" s="8" t="str">
        <x:v>19.48</x:v>
      </x:c>
      <x:c r="AF441" s="9" t="str">
        <x:v>Maret 2024 (Susenas)</x:v>
      </x:c>
      <x:c r="AG441" s="6" t="str">
        <x:v>26.147549028873076</x:v>
      </x:c>
      <x:c r="AH441" s="8" t="str">
        <x:v>69.70658526693978</x:v>
      </x:c>
      <x:c r="AI441" s="6" t="str">
        <x:v>10.381413096098196</x:v>
      </x:c>
      <x:c r="AJ441" s="6" t="str">
        <x:v>0.7867979655894892</x:v>
      </x:c>
      <x:c r="AK441" s="8" t="str">
        <x:v>1.648784422590024</x:v>
      </x:c>
      <x:c r="AL441" s="6" t="str">
        <x:v>0.7838697069408466</x:v>
      </x:c>
      <x:c r="AM441" s="6" t="str">
        <x:v>0.5185009422059219</x:v>
      </x:c>
      <x:c r="AN441" s="6" t="str">
        <x:v>0.9837183572455968</x:v>
      </x:c>
      <x:c r="AO441" s="6" t="str">
        <x:v>1.497456216061039</x:v>
      </x:c>
      <x:c r="AP441" s="8" t="str">
        <x:v>0.7990921587879503</x:v>
      </x:c>
      <x:c r="AQ441" s="6" t="str">
        <x:v>0.5777649018799396</x:v>
      </x:c>
      <x:c r="AR441" s="6" t="str">
        <x:v>0.7825788870154101</x:v>
      </x:c>
      <x:c r="AS441" s="6" t="str">
        <x:v>0.7198119825611001</x:v>
      </x:c>
      <x:c r="AT441" s="6" t="str">
        <x:v>1.793928793608151</x:v>
      </x:c>
      <x:c r="AU441" s="8" t="str">
        <x:v>0.2128060649223245</x:v>
      </x:c>
      <x:c r="AV441" s="6" t="str">
        <x:v>0.6502495236939638</x:v>
      </x:c>
      <x:c r="AW441" s="6" t="str">
        <x:v>0.1840505733930923</x:v>
      </x:c>
      <x:c r="AX441" s="6" t="str">
        <x:v>0.3490353873364603</x:v>
      </x:c>
      <x:c r="AY441" s="6" t="str">
        <x:v>0</x:v>
      </x:c>
      <x:c r="AZ441" s="6" t="str">
        <x:v>1</x:v>
      </x:c>
      <x:c r="BA441" s="9" t="str">
        <x:v>grid_cells_within_BIG_polygon</x:v>
      </x:c>
      <x:c r="BB441" s="6" t="str">
        <x:v>14</x:v>
      </x:c>
      <x:c r="BC441" s="6" t="str">
        <x:v>2</x:v>
      </x:c>
      <x:c r="BD441" s="6" t="str">
        <x:v>2</x:v>
      </x:c>
      <x:c r="BE441" s="6" t="str">
        <x:v>0</x:v>
      </x:c>
      <x:c r="BF441" s="6" t="str">
        <x:v>0</x:v>
      </x:c>
      <x:c r="BG441" s="6" t="str">
        <x:v>0</x:v>
      </x:c>
      <x:c r="BH441" s="6" t="str">
        <x:v>0</x:v>
      </x:c>
      <x:c r="BI441" s="6" t="str">
        <x:v>2</x:v>
      </x:c>
      <x:c r="BJ441" s="6" t="str">
        <x:v>0</x:v>
      </x:c>
      <x:c r="BK441" s="6" t="str">
        <x:v>0</x:v>
      </x:c>
      <x:c r="BL441" s="6" t="str">
        <x:v>0</x:v>
      </x:c>
      <x:c r="BM441" s="6" t="str">
        <x:v>0</x:v>
      </x:c>
      <x:c r="BN441" s="6" t="str">
        <x:v>2</x:v>
      </x:c>
      <x:c r="BO441" s="6" t="str">
        <x:v>0.0</x:v>
      </x:c>
      <x:c r="BP441" s="6" t="str">
        <x:v>2</x:v>
      </x:c>
      <x:c r="BQ441" s="6" t="str">
        <x:v>0.0</x:v>
      </x:c>
      <x:c r="BR441" s="6" t="str">
        <x:v>2</x:v>
      </x:c>
      <x:c r="BS441" s="6" t="str">
        <x:v>0.0</x:v>
      </x:c>
      <x:c r="BT441" s="6" t="str">
        <x:v>2</x:v>
      </x:c>
      <x:c r="BU441" s="6" t="str"/>
      <x:c r="BV441" s="6" t="str">
        <x:v>0</x:v>
      </x:c>
      <x:c r="BW441" s="9" t="str">
        <x:v>operational_snapshot_annual_totals_may_differ</x:v>
      </x:c>
      <x:c r="BX441" s="9" t="str">
        <x:v>official_live_dashboard_snapshot_subject_to_revision</x:v>
      </x:c>
      <x:c r="BY441" s="9" t="str">
        <x:v>https://tbdashboard.sitb.id/ss_data_tbc03so_2024_provinsi_bulanan_list.php</x:v>
      </x:c>
      <x:c r="BZ441" s="6" t="n">
        <x:v>46246.610671296294</x:v>
      </x:c>
    </x:row>
    <x:row r="442" ht="18" customHeight="1">
      <x:c r="A442" s="6" t="str">
        <x:v>53</x:v>
      </x:c>
      <x:c r="B442" s="6" t="str">
        <x:v>NUSA TENGGARA TIMUR</x:v>
      </x:c>
      <x:c r="C442" s="6" t="str">
        <x:v>2024</x:v>
      </x:c>
      <x:c r="D442" s="6" t="str">
        <x:v>9</x:v>
      </x:c>
      <x:c r="E442" s="6" t="str">
        <x:v>2024-09</x:v>
      </x:c>
      <x:c r="F442" s="6" t="str">
        <x:v>768</x:v>
      </x:c>
      <x:c r="G442" s="6" t="str">
        <x:v>169</x:v>
      </x:c>
      <x:c r="H442" s="6" t="str">
        <x:v>471</x:v>
      </x:c>
      <x:c r="I442" s="6" t="str">
        <x:v>36</x:v>
      </x:c>
      <x:c r="J442" s="6" t="str">
        <x:v>53</x:v>
      </x:c>
      <x:c r="K442" s="6" t="str">
        <x:v>1</x:v>
      </x:c>
      <x:c r="L442" s="6" t="str">
        <x:v>5</x:v>
      </x:c>
      <x:c r="M442" s="6" t="str">
        <x:v>33</x:v>
      </x:c>
      <x:c r="N442" s="6" t="str">
        <x:v>768</x:v>
      </x:c>
      <x:c r="O442" s="6" t="str">
        <x:v>0</x:v>
      </x:c>
      <x:c r="P442" s="10" t="n">
        <x:f>F442-M442</x:f>
        <x:v>735</x:v>
      </x:c>
      <x:c r="Q442" s="11" t="n">
        <x:f>IFERROR(M442/F442,"")</x:f>
        <x:v>0.04296875</x:v>
      </x:c>
      <x:c r="R442" s="10" t="n">
        <x:f>G442+H442</x:f>
        <x:v>640</x:v>
      </x:c>
      <x:c r="S442" s="11" t="n">
        <x:f>IFERROR(R442/F442,"")</x:f>
        <x:v>0.8333333333333334</x:v>
      </x:c>
      <x:c r="T442" s="11" t="n">
        <x:f>IFERROR(R442/P442,"")</x:f>
        <x:v>0.8707482993197279</x:v>
      </x:c>
      <x:c r="U442" s="10" t="n">
        <x:f>I442+J442+K442</x:f>
        <x:v>90</x:v>
      </x:c>
      <x:c r="V442" s="11" t="n">
        <x:f>IFERROR(U442/P442,"")</x:f>
        <x:v>0.12244897959183673</x:v>
      </x:c>
      <x:c r="W442" s="9" t="str">
        <x:v>mature_le_5pct_pending</x:v>
      </x:c>
      <x:c r="X442" s="12" t="n">
        <x:f>IFERROR(F442/Z442*100000,"")</x:f>
        <x:v>13.57850070721358</x:v>
      </x:c>
      <x:c r="Y442" s="13" t="n">
        <x:f>LN(Z442)</x:f>
        <x:v>15.548227486558545</x:v>
      </x:c>
      <x:c r="Z442" s="6" t="str">
        <x:v>5656000</x:v>
      </x:c>
      <x:c r="AA442" s="6" t="str">
        <x:v>122.0</x:v>
      </x:c>
      <x:c r="AB442" s="9" t="str">
        <x:v>2024-06-30</x:v>
      </x:c>
      <x:c r="AC442" s="8" t="str">
        <x:v>77.66</x:v>
      </x:c>
      <x:c r="AD442" s="9" t="str">
        <x:v>2024 (Susenas)</x:v>
      </x:c>
      <x:c r="AE442" s="8" t="str">
        <x:v>19.48</x:v>
      </x:c>
      <x:c r="AF442" s="9" t="str">
        <x:v>Maret 2024 (Susenas)</x:v>
      </x:c>
      <x:c r="AG442" s="6" t="str">
        <x:v>27.458255525195888</x:v>
      </x:c>
      <x:c r="AH442" s="8" t="str">
        <x:v>69.97206665091525</x:v>
      </x:c>
      <x:c r="AI442" s="6" t="str">
        <x:v>40.0426824763762</x:v>
      </x:c>
      <x:c r="AJ442" s="6" t="str">
        <x:v>0.8493597386901968</x:v>
      </x:c>
      <x:c r="AK442" s="8" t="str">
        <x:v>1.6934880542669344</x:v>
      </x:c>
      <x:c r="AL442" s="6" t="str">
        <x:v>1.648784422590024</x:v>
      </x:c>
      <x:c r="AM442" s="6" t="str">
        <x:v>0.7838697069408466</x:v>
      </x:c>
      <x:c r="AN442" s="6" t="str">
        <x:v>1.3753807279326011</x:v>
      </x:c>
      <x:c r="AO442" s="6" t="str">
        <x:v>3.3160510147180986</x:v>
      </x:c>
      <x:c r="AP442" s="8" t="str">
        <x:v>1.2823699076248016</x:v>
      </x:c>
      <x:c r="AQ442" s="6" t="str">
        <x:v>0.7990921587879503</x:v>
      </x:c>
      <x:c r="AR442" s="6" t="str">
        <x:v>0.5777649018799396</x:v>
      </x:c>
      <x:c r="AS442" s="6" t="str">
        <x:v>0.8864089894308974</x:v>
      </x:c>
      <x:c r="AT442" s="6" t="str">
        <x:v>21.94962305535968</x:v>
      </x:c>
      <x:c r="AU442" s="8" t="str">
        <x:v>0.7765490990573037</x:v>
      </x:c>
      <x:c r="AV442" s="6" t="str">
        <x:v>0.2128060649223245</x:v>
      </x:c>
      <x:c r="AW442" s="6" t="str">
        <x:v>0.6502495236939638</x:v>
      </x:c>
      <x:c r="AX442" s="6" t="str">
        <x:v>0.5465348958911974</x:v>
      </x:c>
      <x:c r="AY442" s="6" t="str">
        <x:v>0</x:v>
      </x:c>
      <x:c r="AZ442" s="6" t="str">
        <x:v>1</x:v>
      </x:c>
      <x:c r="BA442" s="9" t="str">
        <x:v>grid_cells_within_BIG_polygon</x:v>
      </x:c>
      <x:c r="BB442" s="6" t="str">
        <x:v>14</x:v>
      </x:c>
      <x:c r="BC442" s="6" t="str">
        <x:v>4</x:v>
      </x:c>
      <x:c r="BD442" s="6" t="str">
        <x:v>4</x:v>
      </x:c>
      <x:c r="BE442" s="6" t="str">
        <x:v>1</x:v>
      </x:c>
      <x:c r="BF442" s="6" t="str">
        <x:v>0</x:v>
      </x:c>
      <x:c r="BG442" s="6" t="str">
        <x:v>0</x:v>
      </x:c>
      <x:c r="BH442" s="6" t="str">
        <x:v>0</x:v>
      </x:c>
      <x:c r="BI442" s="6" t="str">
        <x:v>3</x:v>
      </x:c>
      <x:c r="BJ442" s="6" t="str">
        <x:v>0</x:v>
      </x:c>
      <x:c r="BK442" s="6" t="str">
        <x:v>0</x:v>
      </x:c>
      <x:c r="BL442" s="6" t="str">
        <x:v>0</x:v>
      </x:c>
      <x:c r="BM442" s="6" t="str">
        <x:v>0</x:v>
      </x:c>
      <x:c r="BN442" s="6" t="str">
        <x:v>4</x:v>
      </x:c>
      <x:c r="BO442" s="6" t="str">
        <x:v>0.0</x:v>
      </x:c>
      <x:c r="BP442" s="6" t="str">
        <x:v>4</x:v>
      </x:c>
      <x:c r="BQ442" s="6" t="str">
        <x:v>0.0</x:v>
      </x:c>
      <x:c r="BR442" s="6" t="str">
        <x:v>4</x:v>
      </x:c>
      <x:c r="BS442" s="6" t="str">
        <x:v>0.0</x:v>
      </x:c>
      <x:c r="BT442" s="6" t="str">
        <x:v>4</x:v>
      </x:c>
      <x:c r="BU442" s="6" t="str">
        <x:v>58.0</x:v>
      </x:c>
      <x:c r="BV442" s="6" t="str">
        <x:v>1</x:v>
      </x:c>
      <x:c r="BW442" s="9" t="str">
        <x:v>operational_snapshot_annual_totals_may_differ</x:v>
      </x:c>
      <x:c r="BX442" s="9" t="str">
        <x:v>official_live_dashboard_snapshot_subject_to_revision</x:v>
      </x:c>
      <x:c r="BY442" s="9" t="str">
        <x:v>https://tbdashboard.sitb.id/ss_data_tbc03so_2024_provinsi_bulanan_list.php</x:v>
      </x:c>
      <x:c r="BZ442" s="6" t="n">
        <x:v>46246.610671296294</x:v>
      </x:c>
    </x:row>
    <x:row r="443" ht="18" customHeight="1">
      <x:c r="A443" s="6" t="str">
        <x:v>53</x:v>
      </x:c>
      <x:c r="B443" s="6" t="str">
        <x:v>NUSA TENGGARA TIMUR</x:v>
      </x:c>
      <x:c r="C443" s="6" t="str">
        <x:v>2024</x:v>
      </x:c>
      <x:c r="D443" s="6" t="str">
        <x:v>10</x:v>
      </x:c>
      <x:c r="E443" s="6" t="str">
        <x:v>2024-10</x:v>
      </x:c>
      <x:c r="F443" s="6" t="str">
        <x:v>892</x:v>
      </x:c>
      <x:c r="G443" s="6" t="str">
        <x:v>199</x:v>
      </x:c>
      <x:c r="H443" s="6" t="str">
        <x:v>576</x:v>
      </x:c>
      <x:c r="I443" s="6" t="str">
        <x:v>37</x:v>
      </x:c>
      <x:c r="J443" s="6" t="str">
        <x:v>54</x:v>
      </x:c>
      <x:c r="K443" s="6" t="str">
        <x:v>1</x:v>
      </x:c>
      <x:c r="L443" s="6" t="str">
        <x:v>6</x:v>
      </x:c>
      <x:c r="M443" s="6" t="str">
        <x:v>19</x:v>
      </x:c>
      <x:c r="N443" s="6" t="str">
        <x:v>892</x:v>
      </x:c>
      <x:c r="O443" s="6" t="str">
        <x:v>0</x:v>
      </x:c>
      <x:c r="P443" s="10" t="n">
        <x:f>F443-M443</x:f>
        <x:v>873</x:v>
      </x:c>
      <x:c r="Q443" s="11" t="n">
        <x:f>IFERROR(M443/F443,"")</x:f>
        <x:v>0.021300448430493273</x:v>
      </x:c>
      <x:c r="R443" s="10" t="n">
        <x:f>G443+H443</x:f>
        <x:v>775</x:v>
      </x:c>
      <x:c r="S443" s="11" t="n">
        <x:f>IFERROR(R443/F443,"")</x:f>
        <x:v>0.8688340807174888</x:v>
      </x:c>
      <x:c r="T443" s="11" t="n">
        <x:f>IFERROR(R443/P443,"")</x:f>
        <x:v>0.8877434135166093</x:v>
      </x:c>
      <x:c r="U443" s="10" t="n">
        <x:f>I443+J443+K443</x:f>
        <x:v>92</x:v>
      </x:c>
      <x:c r="V443" s="11" t="n">
        <x:f>IFERROR(U443/P443,"")</x:f>
        <x:v>0.10538373424971363</x:v>
      </x:c>
      <x:c r="W443" s="9" t="str">
        <x:v>mature_le_5pct_pending</x:v>
      </x:c>
      <x:c r="X443" s="12" t="n">
        <x:f>IFERROR(F443/Z443*100000,"")</x:f>
        <x:v>15.770862800565771</x:v>
      </x:c>
      <x:c r="Y443" s="13" t="n">
        <x:f>LN(Z443)</x:f>
        <x:v>15.548227486558545</x:v>
      </x:c>
      <x:c r="Z443" s="6" t="str">
        <x:v>5656000</x:v>
      </x:c>
      <x:c r="AA443" s="6" t="str">
        <x:v>122.0</x:v>
      </x:c>
      <x:c r="AB443" s="9" t="str">
        <x:v>2024-06-30</x:v>
      </x:c>
      <x:c r="AC443" s="8" t="str">
        <x:v>77.66</x:v>
      </x:c>
      <x:c r="AD443" s="9" t="str">
        <x:v>2024 (Susenas)</x:v>
      </x:c>
      <x:c r="AE443" s="8" t="str">
        <x:v>19.48</x:v>
      </x:c>
      <x:c r="AF443" s="9" t="str">
        <x:v>Maret 2024 (Susenas)</x:v>
      </x:c>
      <x:c r="AG443" s="6" t="str">
        <x:v>28.447928910203085</x:v>
      </x:c>
      <x:c r="AH443" s="8" t="str">
        <x:v>69.18552510581199</x:v>
      </x:c>
      <x:c r="AI443" s="6" t="str">
        <x:v>53.5243502909382</x:v>
      </x:c>
      <x:c r="AJ443" s="6" t="str">
        <x:v>0.5464112755162276</x:v>
      </x:c>
      <x:c r="AK443" s="8" t="str">
        <x:v>1.401612106642318</x:v>
      </x:c>
      <x:c r="AL443" s="6" t="str">
        <x:v>1.6934880542669344</x:v>
      </x:c>
      <x:c r="AM443" s="6" t="str">
        <x:v>1.648784422590024</x:v>
      </x:c>
      <x:c r="AN443" s="6" t="str">
        <x:v>1.581294861166425</x:v>
      </x:c>
      <x:c r="AO443" s="6" t="str">
        <x:v>3.0526529531210542</x:v>
      </x:c>
      <x:c r="AP443" s="8" t="str">
        <x:v>0.843935967106431</x:v>
      </x:c>
      <x:c r="AQ443" s="6" t="str">
        <x:v>1.2823699076248016</x:v>
      </x:c>
      <x:c r="AR443" s="6" t="str">
        <x:v>0.7990921587879503</x:v>
      </x:c>
      <x:c r="AS443" s="6" t="str">
        <x:v>0.9751326778397278</x:v>
      </x:c>
      <x:c r="AT443" s="6" t="str">
        <x:v>15.16742682661726</x:v>
      </x:c>
      <x:c r="AU443" s="8" t="str">
        <x:v>0.4372469147290402</x:v>
      </x:c>
      <x:c r="AV443" s="6" t="str">
        <x:v>0.7765490990573037</x:v>
      </x:c>
      <x:c r="AW443" s="6" t="str">
        <x:v>0.2128060649223245</x:v>
      </x:c>
      <x:c r="AX443" s="6" t="str">
        <x:v>0.4755340262362229</x:v>
      </x:c>
      <x:c r="AY443" s="6" t="str">
        <x:v>0</x:v>
      </x:c>
      <x:c r="AZ443" s="6" t="str">
        <x:v>1</x:v>
      </x:c>
      <x:c r="BA443" s="9" t="str">
        <x:v>grid_cells_within_BIG_polygon</x:v>
      </x:c>
      <x:c r="BB443" s="6" t="str">
        <x:v>14</x:v>
      </x:c>
      <x:c r="BC443" s="6" t="str">
        <x:v>7</x:v>
      </x:c>
      <x:c r="BD443" s="6" t="str">
        <x:v>7</x:v>
      </x:c>
      <x:c r="BE443" s="6" t="str">
        <x:v>1</x:v>
      </x:c>
      <x:c r="BF443" s="6" t="str">
        <x:v>0</x:v>
      </x:c>
      <x:c r="BG443" s="6" t="str">
        <x:v>1</x:v>
      </x:c>
      <x:c r="BH443" s="6" t="str">
        <x:v>1</x:v>
      </x:c>
      <x:c r="BI443" s="6" t="str">
        <x:v>2</x:v>
      </x:c>
      <x:c r="BJ443" s="6" t="str">
        <x:v>2</x:v>
      </x:c>
      <x:c r="BK443" s="6" t="str">
        <x:v>0</x:v>
      </x:c>
      <x:c r="BL443" s="6" t="str">
        <x:v>0</x:v>
      </x:c>
      <x:c r="BM443" s="6" t="str">
        <x:v>0</x:v>
      </x:c>
      <x:c r="BN443" s="6" t="str">
        <x:v>7</x:v>
      </x:c>
      <x:c r="BO443" s="6" t="str">
        <x:v>0.0</x:v>
      </x:c>
      <x:c r="BP443" s="6" t="str">
        <x:v>7</x:v>
      </x:c>
      <x:c r="BQ443" s="6" t="str">
        <x:v>0.0</x:v>
      </x:c>
      <x:c r="BR443" s="6" t="str">
        <x:v>7</x:v>
      </x:c>
      <x:c r="BS443" s="6" t="str">
        <x:v>60.0</x:v>
      </x:c>
      <x:c r="BT443" s="6" t="str">
        <x:v>7</x:v>
      </x:c>
      <x:c r="BU443" s="6" t="str">
        <x:v>28.0</x:v>
      </x:c>
      <x:c r="BV443" s="6" t="str">
        <x:v>3</x:v>
      </x:c>
      <x:c r="BW443" s="9" t="str">
        <x:v>operational_snapshot_annual_totals_may_differ</x:v>
      </x:c>
      <x:c r="BX443" s="9" t="str">
        <x:v>official_live_dashboard_snapshot_subject_to_revision</x:v>
      </x:c>
      <x:c r="BY443" s="9" t="str">
        <x:v>https://tbdashboard.sitb.id/ss_data_tbc03so_2024_provinsi_bulanan_list.php</x:v>
      </x:c>
      <x:c r="BZ443" s="6" t="n">
        <x:v>46246.610671296294</x:v>
      </x:c>
    </x:row>
    <x:row r="444" ht="18" customHeight="1">
      <x:c r="A444" s="6" t="str">
        <x:v>53</x:v>
      </x:c>
      <x:c r="B444" s="6" t="str">
        <x:v>NUSA TENGGARA TIMUR</x:v>
      </x:c>
      <x:c r="C444" s="6" t="str">
        <x:v>2024</x:v>
      </x:c>
      <x:c r="D444" s="6" t="str">
        <x:v>11</x:v>
      </x:c>
      <x:c r="E444" s="6" t="str">
        <x:v>2024-11</x:v>
      </x:c>
      <x:c r="F444" s="6" t="str">
        <x:v>805</x:v>
      </x:c>
      <x:c r="G444" s="6" t="str">
        <x:v>197</x:v>
      </x:c>
      <x:c r="H444" s="6" t="str">
        <x:v>488</x:v>
      </x:c>
      <x:c r="I444" s="6" t="str">
        <x:v>44</x:v>
      </x:c>
      <x:c r="J444" s="6" t="str">
        <x:v>47</x:v>
      </x:c>
      <x:c r="K444" s="6" t="str">
        <x:v>1</x:v>
      </x:c>
      <x:c r="L444" s="6" t="str">
        <x:v>4</x:v>
      </x:c>
      <x:c r="M444" s="6" t="str">
        <x:v>24</x:v>
      </x:c>
      <x:c r="N444" s="6" t="str">
        <x:v>805</x:v>
      </x:c>
      <x:c r="O444" s="6" t="str">
        <x:v>0</x:v>
      </x:c>
      <x:c r="P444" s="10" t="n">
        <x:f>F444-M444</x:f>
        <x:v>781</x:v>
      </x:c>
      <x:c r="Q444" s="11" t="n">
        <x:f>IFERROR(M444/F444,"")</x:f>
        <x:v>0.02981366459627329</x:v>
      </x:c>
      <x:c r="R444" s="10" t="n">
        <x:f>G444+H444</x:f>
        <x:v>685</x:v>
      </x:c>
      <x:c r="S444" s="11" t="n">
        <x:f>IFERROR(R444/F444,"")</x:f>
        <x:v>0.8509316770186336</x:v>
      </x:c>
      <x:c r="T444" s="11" t="n">
        <x:f>IFERROR(R444/P444,"")</x:f>
        <x:v>0.8770806658130602</x:v>
      </x:c>
      <x:c r="U444" s="10" t="n">
        <x:f>I444+J444+K444</x:f>
        <x:v>92</x:v>
      </x:c>
      <x:c r="V444" s="11" t="n">
        <x:f>IFERROR(U444/P444,"")</x:f>
        <x:v>0.117797695262484</x:v>
      </x:c>
      <x:c r="W444" s="9" t="str">
        <x:v>mature_le_5pct_pending</x:v>
      </x:c>
      <x:c r="X444" s="12" t="n">
        <x:f>IFERROR(F444/Z444*100000,"")</x:f>
        <x:v>14.232673267326732</x:v>
      </x:c>
      <x:c r="Y444" s="13" t="n">
        <x:f>LN(Z444)</x:f>
        <x:v>15.548227486558545</x:v>
      </x:c>
      <x:c r="Z444" s="6" t="str">
        <x:v>5656000</x:v>
      </x:c>
      <x:c r="AA444" s="6" t="str">
        <x:v>122.0</x:v>
      </x:c>
      <x:c r="AB444" s="9" t="str">
        <x:v>2024-06-30</x:v>
      </x:c>
      <x:c r="AC444" s="8" t="str">
        <x:v>77.66</x:v>
      </x:c>
      <x:c r="AD444" s="9" t="str">
        <x:v>2024 (Susenas)</x:v>
      </x:c>
      <x:c r="AE444" s="8" t="str">
        <x:v>19.48</x:v>
      </x:c>
      <x:c r="AF444" s="9" t="str">
        <x:v>Maret 2024 (Susenas)</x:v>
      </x:c>
      <x:c r="AG444" s="6" t="str">
        <x:v>28.89800068229349</x:v>
      </x:c>
      <x:c r="AH444" s="8" t="str">
        <x:v>71.19866506867054</x:v>
      </x:c>
      <x:c r="AI444" s="6" t="str">
        <x:v>89.34746689222781</x:v>
      </x:c>
      <x:c r="AJ444" s="6" t="str">
        <x:v>0.6173370499497715</x:v>
      </x:c>
      <x:c r="AK444" s="8" t="str">
        <x:v>1.119874175963408</x:v>
      </x:c>
      <x:c r="AL444" s="6" t="str">
        <x:v>1.401612106642318</x:v>
      </x:c>
      <x:c r="AM444" s="6" t="str">
        <x:v>1.6934880542669344</x:v>
      </x:c>
      <x:c r="AN444" s="6" t="str">
        <x:v>1.4049914456242198</x:v>
      </x:c>
      <x:c r="AO444" s="6" t="str">
        <x:v>1.39505886525248</x:v>
      </x:c>
      <x:c r="AP444" s="8" t="str">
        <x:v>0.3177948770621884</x:v>
      </x:c>
      <x:c r="AQ444" s="6" t="str">
        <x:v>0.843935967106431</x:v>
      </x:c>
      <x:c r="AR444" s="6" t="str">
        <x:v>1.2823699076248016</x:v>
      </x:c>
      <x:c r="AS444" s="6" t="str">
        <x:v>0.8147002505978072</x:v>
      </x:c>
      <x:c r="AT444" s="6" t="str">
        <x:v>-14.792074278290002</x:v>
      </x:c>
      <x:c r="AU444" s="8" t="str">
        <x:v>-0.3113131599812659</x:v>
      </x:c>
      <x:c r="AV444" s="6" t="str">
        <x:v>0.4372469147290402</x:v>
      </x:c>
      <x:c r="AW444" s="6" t="str">
        <x:v>0.7765490990573037</x:v>
      </x:c>
      <x:c r="AX444" s="6" t="str">
        <x:v>0.3008276179350261</x:v>
      </x:c>
      <x:c r="AY444" s="6" t="str">
        <x:v>0</x:v>
      </x:c>
      <x:c r="AZ444" s="6" t="str">
        <x:v>1</x:v>
      </x:c>
      <x:c r="BA444" s="9" t="str">
        <x:v>grid_cells_within_BIG_polygon</x:v>
      </x:c>
      <x:c r="BB444" s="6" t="str">
        <x:v>14</x:v>
      </x:c>
      <x:c r="BC444" s="6" t="str">
        <x:v>1</x:v>
      </x:c>
      <x:c r="BD444" s="6" t="str">
        <x:v>0</x:v>
      </x:c>
      <x:c r="BE444" s="6" t="str">
        <x:v>0</x:v>
      </x:c>
      <x:c r="BF444" s="6" t="str">
        <x:v>0</x:v>
      </x:c>
      <x:c r="BG444" s="6" t="str">
        <x:v>0</x:v>
      </x:c>
      <x:c r="BH444" s="6" t="str">
        <x:v>0</x:v>
      </x:c>
      <x:c r="BI444" s="6" t="str">
        <x:v>0</x:v>
      </x:c>
      <x:c r="BJ444" s="6" t="str">
        <x:v>0</x:v>
      </x:c>
      <x:c r="BK444" s="6" t="str">
        <x:v>0</x:v>
      </x:c>
      <x:c r="BL444" s="6" t="str">
        <x:v>1</x:v>
      </x:c>
      <x:c r="BM444" s="6" t="str">
        <x:v>0</x:v>
      </x:c>
      <x:c r="BN444" s="6" t="str">
        <x:v>1</x:v>
      </x:c>
      <x:c r="BO444" s="6" t="str">
        <x:v>9.0</x:v>
      </x:c>
      <x:c r="BP444" s="6" t="str">
        <x:v>1</x:v>
      </x:c>
      <x:c r="BQ444" s="6" t="str">
        <x:v>63.0</x:v>
      </x:c>
      <x:c r="BR444" s="6" t="str">
        <x:v>1</x:v>
      </x:c>
      <x:c r="BS444" s="6" t="str">
        <x:v>2384.0</x:v>
      </x:c>
      <x:c r="BT444" s="6" t="str">
        <x:v>1</x:v>
      </x:c>
      <x:c r="BU444" s="6" t="str"/>
      <x:c r="BV444" s="6" t="str">
        <x:v>0</x:v>
      </x:c>
      <x:c r="BW444" s="9" t="str">
        <x:v>operational_snapshot_annual_totals_may_differ</x:v>
      </x:c>
      <x:c r="BX444" s="9" t="str">
        <x:v>official_live_dashboard_snapshot_subject_to_revision</x:v>
      </x:c>
      <x:c r="BY444" s="9" t="str">
        <x:v>https://tbdashboard.sitb.id/ss_data_tbc03so_2024_provinsi_bulanan_list.php</x:v>
      </x:c>
      <x:c r="BZ444" s="6" t="n">
        <x:v>46246.610671296294</x:v>
      </x:c>
    </x:row>
    <x:row r="445" ht="18" customHeight="1">
      <x:c r="A445" s="6" t="str">
        <x:v>53</x:v>
      </x:c>
      <x:c r="B445" s="6" t="str">
        <x:v>NUSA TENGGARA TIMUR</x:v>
      </x:c>
      <x:c r="C445" s="6" t="str">
        <x:v>2024</x:v>
      </x:c>
      <x:c r="D445" s="6" t="str">
        <x:v>12</x:v>
      </x:c>
      <x:c r="E445" s="6" t="str">
        <x:v>2024-12</x:v>
      </x:c>
      <x:c r="F445" s="6" t="str">
        <x:v>674</x:v>
      </x:c>
      <x:c r="G445" s="6" t="str">
        <x:v>130</x:v>
      </x:c>
      <x:c r="H445" s="6" t="str">
        <x:v>441</x:v>
      </x:c>
      <x:c r="I445" s="6" t="str">
        <x:v>37</x:v>
      </x:c>
      <x:c r="J445" s="6" t="str">
        <x:v>47</x:v>
      </x:c>
      <x:c r="K445" s="6" t="str">
        <x:v>0</x:v>
      </x:c>
      <x:c r="L445" s="6" t="str">
        <x:v>3</x:v>
      </x:c>
      <x:c r="M445" s="6" t="str">
        <x:v>16</x:v>
      </x:c>
      <x:c r="N445" s="6" t="str">
        <x:v>674</x:v>
      </x:c>
      <x:c r="O445" s="6" t="str">
        <x:v>0</x:v>
      </x:c>
      <x:c r="P445" s="10" t="n">
        <x:f>F445-M445</x:f>
        <x:v>658</x:v>
      </x:c>
      <x:c r="Q445" s="11" t="n">
        <x:f>IFERROR(M445/F445,"")</x:f>
        <x:v>0.02373887240356083</x:v>
      </x:c>
      <x:c r="R445" s="10" t="n">
        <x:f>G445+H445</x:f>
        <x:v>571</x:v>
      </x:c>
      <x:c r="S445" s="11" t="n">
        <x:f>IFERROR(R445/F445,"")</x:f>
        <x:v>0.8471810089020771</x:v>
      </x:c>
      <x:c r="T445" s="11" t="n">
        <x:f>IFERROR(R445/P445,"")</x:f>
        <x:v>0.8677811550151976</x:v>
      </x:c>
      <x:c r="U445" s="10" t="n">
        <x:f>I445+J445+K445</x:f>
        <x:v>84</x:v>
      </x:c>
      <x:c r="V445" s="11" t="n">
        <x:f>IFERROR(U445/P445,"")</x:f>
        <x:v>0.1276595744680851</x:v>
      </x:c>
      <x:c r="W445" s="9" t="str">
        <x:v>mature_le_5pct_pending</x:v>
      </x:c>
      <x:c r="X445" s="12" t="n">
        <x:f>IFERROR(F445/Z445*100000,"")</x:f>
        <x:v>11.916548797736917</x:v>
      </x:c>
      <x:c r="Y445" s="13" t="n">
        <x:f>LN(Z445)</x:f>
        <x:v>15.548227486558545</x:v>
      </x:c>
      <x:c r="Z445" s="6" t="str">
        <x:v>5656000</x:v>
      </x:c>
      <x:c r="AA445" s="6" t="str">
        <x:v>122.0</x:v>
      </x:c>
      <x:c r="AB445" s="9" t="str">
        <x:v>2024-06-30</x:v>
      </x:c>
      <x:c r="AC445" s="8" t="str">
        <x:v>77.66</x:v>
      </x:c>
      <x:c r="AD445" s="9" t="str">
        <x:v>2024 (Susenas)</x:v>
      </x:c>
      <x:c r="AE445" s="8" t="str">
        <x:v>19.48</x:v>
      </x:c>
      <x:c r="AF445" s="9" t="str">
        <x:v>Maret 2024 (Susenas)</x:v>
      </x:c>
      <x:c r="AG445" s="6" t="str">
        <x:v>27.078493728232623</x:v>
      </x:c>
      <x:c r="AH445" s="8" t="str">
        <x:v>83.92620437375467</x:v>
      </x:c>
      <x:c r="AI445" s="6" t="str">
        <x:v>350.6805466346992</x:v>
      </x:c>
      <x:c r="AJ445" s="6" t="str">
        <x:v>-0.1065046741471533</x:v>
      </x:c>
      <x:c r="AK445" s="8" t="str">
        <x:v>-0.1689982111360762</x:v>
      </x:c>
      <x:c r="AL445" s="6" t="str">
        <x:v>1.119874175963408</x:v>
      </x:c>
      <x:c r="AM445" s="6" t="str">
        <x:v>1.401612106642318</x:v>
      </x:c>
      <x:c r="AN445" s="6" t="str">
        <x:v>0.7841626904898827</x:v>
      </x:c>
      <x:c r="AO445" s="6" t="str">
        <x:v>4.874451202624854</x:v>
      </x:c>
      <x:c r="AP445" s="8" t="str">
        <x:v>1.3538103575186278</x:v>
      </x:c>
      <x:c r="AQ445" s="6" t="str">
        <x:v>0.3177948770621884</x:v>
      </x:c>
      <x:c r="AR445" s="6" t="str">
        <x:v>0.843935967106431</x:v>
      </x:c>
      <x:c r="AS445" s="6" t="str">
        <x:v>0.8385137338957492</x:v>
      </x:c>
      <x:c r="AT445" s="6" t="str">
        <x:v>119.16166999478966</x:v>
      </x:c>
      <x:c r="AU445" s="8" t="str">
        <x:v>1.5199084718474662</x:v>
      </x:c>
      <x:c r="AV445" s="6" t="str">
        <x:v>-0.3113131599812659</x:v>
      </x:c>
      <x:c r="AW445" s="6" t="str">
        <x:v>0.4372469147290402</x:v>
      </x:c>
      <x:c r="AX445" s="6" t="str">
        <x:v>0.5486140755317469</x:v>
      </x:c>
      <x:c r="AY445" s="6" t="str">
        <x:v>1</x:v>
      </x:c>
      <x:c r="AZ445" s="6" t="str">
        <x:v>0</x:v>
      </x:c>
      <x:c r="BA445" s="9" t="str">
        <x:v>grid_cells_within_BIG_polygon</x:v>
      </x:c>
      <x:c r="BB445" s="6" t="str">
        <x:v>14</x:v>
      </x:c>
      <x:c r="BC445" s="6" t="str">
        <x:v>2</x:v>
      </x:c>
      <x:c r="BD445" s="6" t="str">
        <x:v>2</x:v>
      </x:c>
      <x:c r="BE445" s="6" t="str">
        <x:v>1</x:v>
      </x:c>
      <x:c r="BF445" s="6" t="str">
        <x:v>0</x:v>
      </x:c>
      <x:c r="BG445" s="6" t="str">
        <x:v>1</x:v>
      </x:c>
      <x:c r="BH445" s="6" t="str">
        <x:v>0</x:v>
      </x:c>
      <x:c r="BI445" s="6" t="str">
        <x:v>0</x:v>
      </x:c>
      <x:c r="BJ445" s="6" t="str">
        <x:v>0</x:v>
      </x:c>
      <x:c r="BK445" s="6" t="str">
        <x:v>0</x:v>
      </x:c>
      <x:c r="BL445" s="6" t="str">
        <x:v>0</x:v>
      </x:c>
      <x:c r="BM445" s="6" t="str">
        <x:v>0</x:v>
      </x:c>
      <x:c r="BN445" s="6" t="str">
        <x:v>2</x:v>
      </x:c>
      <x:c r="BO445" s="6" t="str">
        <x:v>3.0</x:v>
      </x:c>
      <x:c r="BP445" s="6" t="str">
        <x:v>2</x:v>
      </x:c>
      <x:c r="BQ445" s="6" t="str">
        <x:v>0.0</x:v>
      </x:c>
      <x:c r="BR445" s="6" t="str">
        <x:v>2</x:v>
      </x:c>
      <x:c r="BS445" s="6" t="str">
        <x:v>2.0</x:v>
      </x:c>
      <x:c r="BT445" s="6" t="str">
        <x:v>2</x:v>
      </x:c>
      <x:c r="BU445" s="6" t="str">
        <x:v>2633.0</x:v>
      </x:c>
      <x:c r="BV445" s="6" t="str">
        <x:v>1</x:v>
      </x:c>
      <x:c r="BW445" s="9" t="str">
        <x:v>operational_snapshot_annual_totals_may_differ</x:v>
      </x:c>
      <x:c r="BX445" s="9" t="str">
        <x:v>official_live_dashboard_snapshot_subject_to_revision</x:v>
      </x:c>
      <x:c r="BY445" s="9" t="str">
        <x:v>https://tbdashboard.sitb.id/ss_data_tbc03so_2024_provinsi_bulanan_list.php</x:v>
      </x:c>
      <x:c r="BZ445" s="6" t="n">
        <x:v>46246.610671296294</x:v>
      </x:c>
    </x:row>
    <x:row r="446" ht="18" customHeight="1">
      <x:c r="A446" s="6" t="str">
        <x:v>53</x:v>
      </x:c>
      <x:c r="B446" s="6" t="str">
        <x:v>NUSA TENGGARA TIMUR</x:v>
      </x:c>
      <x:c r="C446" s="6" t="str">
        <x:v>2025</x:v>
      </x:c>
      <x:c r="D446" s="6" t="str">
        <x:v>1</x:v>
      </x:c>
      <x:c r="E446" s="6" t="str">
        <x:v>2025-01</x:v>
      </x:c>
      <x:c r="F446" s="6" t="str">
        <x:v>850</x:v>
      </x:c>
      <x:c r="G446" s="6" t="str">
        <x:v>171</x:v>
      </x:c>
      <x:c r="H446" s="6" t="str">
        <x:v>543</x:v>
      </x:c>
      <x:c r="I446" s="6" t="str">
        <x:v>24</x:v>
      </x:c>
      <x:c r="J446" s="6" t="str">
        <x:v>58</x:v>
      </x:c>
      <x:c r="K446" s="6" t="str">
        <x:v>2</x:v>
      </x:c>
      <x:c r="L446" s="6" t="str">
        <x:v>1</x:v>
      </x:c>
      <x:c r="M446" s="6" t="str">
        <x:v>51</x:v>
      </x:c>
      <x:c r="N446" s="6" t="str">
        <x:v>850</x:v>
      </x:c>
      <x:c r="O446" s="6" t="str">
        <x:v>0</x:v>
      </x:c>
      <x:c r="P446" s="10" t="n">
        <x:f>F446-M446</x:f>
        <x:v>799</x:v>
      </x:c>
      <x:c r="Q446" s="11" t="n">
        <x:f>IFERROR(M446/F446,"")</x:f>
        <x:v>0.06</x:v>
      </x:c>
      <x:c r="R446" s="10" t="n">
        <x:f>G446+H446</x:f>
        <x:v>714</x:v>
      </x:c>
      <x:c r="S446" s="11" t="n">
        <x:f>IFERROR(R446/F446,"")</x:f>
        <x:v>0.84</x:v>
      </x:c>
      <x:c r="T446" s="11" t="n">
        <x:f>IFERROR(R446/P446,"")</x:f>
        <x:v>0.8936170212765957</x:v>
      </x:c>
      <x:c r="U446" s="10" t="n">
        <x:f>I446+J446+K446</x:f>
        <x:v>84</x:v>
      </x:c>
      <x:c r="V446" s="11" t="n">
        <x:f>IFERROR(U446/P446,"")</x:f>
        <x:v>0.10513141426783479</x:v>
      </x:c>
      <x:c r="W446" s="9" t="str">
        <x:v>provisional_gt_5pct_pending</x:v>
      </x:c>
      <x:c r="X446" s="12" t="n">
        <x:f>IFERROR(F446/Z446*100000,"")</x:f>
        <x:v>14.801657785671994</x:v>
      </x:c>
      <x:c r="Y446" s="13" t="n">
        <x:f>LN(Z446)</x:f>
        <x:v>15.563422627412052</x:v>
      </x:c>
      <x:c r="Z446" s="6" t="str">
        <x:v>5742600</x:v>
      </x:c>
      <x:c r="AA446" s="6" t="str">
        <x:v>124.0</x:v>
      </x:c>
      <x:c r="AB446" s="9" t="str">
        <x:v>2025-06-30</x:v>
      </x:c>
      <x:c r="AC446" s="8" t="str">
        <x:v>80.8</x:v>
      </x:c>
      <x:c r="AD446" s="9" t="str">
        <x:v>2025 (Susenas)</x:v>
      </x:c>
      <x:c r="AE446" s="8" t="str">
        <x:v>18.6</x:v>
      </x:c>
      <x:c r="AF446" s="9" t="str">
        <x:v>Maret 2025 (Susenas)</x:v>
      </x:c>
      <x:c r="AG446" s="6" t="str">
        <x:v>26.58275069159914</x:v>
      </x:c>
      <x:c r="AH446" s="8" t="str">
        <x:v>85.29110676463857</x:v>
      </x:c>
      <x:c r="AI446" s="6" t="str">
        <x:v>412.6168619393046</x:v>
      </x:c>
      <x:c r="AJ446" s="6" t="str">
        <x:v>0.138482280689228</x:v>
      </x:c>
      <x:c r="AK446" s="8" t="str">
        <x:v>0.2575894026659729</x:v>
      </x:c>
      <x:c r="AL446" s="6" t="str">
        <x:v>-0.1689982111360762</x:v>
      </x:c>
      <x:c r="AM446" s="6" t="str">
        <x:v>1.119874175963408</x:v>
      </x:c>
      <x:c r="AN446" s="6" t="str">
        <x:v>0.4028217891644344</x:v>
      </x:c>
      <x:c r="AO446" s="6" t="str">
        <x:v>1.8741206372330907</x:v>
      </x:c>
      <x:c r="AP446" s="8" t="str">
        <x:v>0.6512217206869596</x:v>
      </x:c>
      <x:c r="AQ446" s="6" t="str">
        <x:v>1.3538103575186278</x:v>
      </x:c>
      <x:c r="AR446" s="6" t="str">
        <x:v>0.3177948770621884</x:v>
      </x:c>
      <x:c r="AS446" s="6" t="str">
        <x:v>0.7742756517559254</x:v>
      </x:c>
      <x:c r="AT446" s="6" t="str">
        <x:v>160.46943662725545</x:v>
      </x:c>
      <x:c r="AU446" s="8" t="str">
        <x:v>1.7166449395564782</x:v>
      </x:c>
      <x:c r="AV446" s="6" t="str">
        <x:v>1.5199084718474662</x:v>
      </x:c>
      <x:c r="AW446" s="6" t="str">
        <x:v>-0.3113131599812659</x:v>
      </x:c>
      <x:c r="AX446" s="6" t="str">
        <x:v>0.9750800838075596</x:v>
      </x:c>
      <x:c r="AY446" s="6" t="str">
        <x:v>1</x:v>
      </x:c>
      <x:c r="AZ446" s="6" t="str">
        <x:v>0</x:v>
      </x:c>
      <x:c r="BA446" s="9" t="str">
        <x:v>grid_cells_within_BIG_polygon</x:v>
      </x:c>
      <x:c r="BB446" s="6" t="str">
        <x:v>14</x:v>
      </x:c>
      <x:c r="BC446" s="6" t="str">
        <x:v>19</x:v>
      </x:c>
      <x:c r="BD446" s="6" t="str">
        <x:v>18</x:v>
      </x:c>
      <x:c r="BE446" s="6" t="str">
        <x:v>13</x:v>
      </x:c>
      <x:c r="BF446" s="6" t="str">
        <x:v>2</x:v>
      </x:c>
      <x:c r="BG446" s="6" t="str">
        <x:v>3</x:v>
      </x:c>
      <x:c r="BH446" s="6" t="str">
        <x:v>0</x:v>
      </x:c>
      <x:c r="BI446" s="6" t="str">
        <x:v>0</x:v>
      </x:c>
      <x:c r="BJ446" s="6" t="str">
        <x:v>0</x:v>
      </x:c>
      <x:c r="BK446" s="6" t="str">
        <x:v>0</x:v>
      </x:c>
      <x:c r="BL446" s="6" t="str">
        <x:v>1</x:v>
      </x:c>
      <x:c r="BM446" s="6" t="str">
        <x:v>0</x:v>
      </x:c>
      <x:c r="BN446" s="6" t="str">
        <x:v>19</x:v>
      </x:c>
      <x:c r="BO446" s="6" t="str">
        <x:v>7.0</x:v>
      </x:c>
      <x:c r="BP446" s="6" t="str">
        <x:v>19</x:v>
      </x:c>
      <x:c r="BQ446" s="6" t="str">
        <x:v>3.0</x:v>
      </x:c>
      <x:c r="BR446" s="6" t="str">
        <x:v>19</x:v>
      </x:c>
      <x:c r="BS446" s="6" t="str">
        <x:v>62.0</x:v>
      </x:c>
      <x:c r="BT446" s="6" t="str">
        <x:v>19</x:v>
      </x:c>
      <x:c r="BU446" s="6" t="str">
        <x:v>825.0</x:v>
      </x:c>
      <x:c r="BV446" s="6" t="str">
        <x:v>10</x:v>
      </x:c>
      <x:c r="BW446" s="9" t="str">
        <x:v>operational_snapshot_annual_totals_may_differ</x:v>
      </x:c>
      <x:c r="BX446" s="9" t="str">
        <x:v>official_live_dashboard_snapshot_subject_to_revision</x:v>
      </x:c>
      <x:c r="BY446" s="9" t="str">
        <x:v>https://tbdashboard.sitb.id/ss_data_tbc03so_2025_provinsi_bulanan_list.php</x:v>
      </x:c>
      <x:c r="BZ446" s="6" t="n">
        <x:v>46246.610671296294</x:v>
      </x:c>
    </x:row>
    <x:row r="447" ht="18" customHeight="1">
      <x:c r="A447" s="6" t="str">
        <x:v>53</x:v>
      </x:c>
      <x:c r="B447" s="6" t="str">
        <x:v>NUSA TENGGARA TIMUR</x:v>
      </x:c>
      <x:c r="C447" s="6" t="str">
        <x:v>2025</x:v>
      </x:c>
      <x:c r="D447" s="6" t="str">
        <x:v>2</x:v>
      </x:c>
      <x:c r="E447" s="6" t="str">
        <x:v>2025-02</x:v>
      </x:c>
      <x:c r="F447" s="6" t="str">
        <x:v>956</x:v>
      </x:c>
      <x:c r="G447" s="6" t="str">
        <x:v>189</x:v>
      </x:c>
      <x:c r="H447" s="6" t="str">
        <x:v>604</x:v>
      </x:c>
      <x:c r="I447" s="6" t="str">
        <x:v>41</x:v>
      </x:c>
      <x:c r="J447" s="6" t="str">
        <x:v>68</x:v>
      </x:c>
      <x:c r="K447" s="6" t="str">
        <x:v>1</x:v>
      </x:c>
      <x:c r="L447" s="6" t="str">
        <x:v>2</x:v>
      </x:c>
      <x:c r="M447" s="6" t="str">
        <x:v>51</x:v>
      </x:c>
      <x:c r="N447" s="6" t="str">
        <x:v>956</x:v>
      </x:c>
      <x:c r="O447" s="6" t="str">
        <x:v>0</x:v>
      </x:c>
      <x:c r="P447" s="10" t="n">
        <x:f>F447-M447</x:f>
        <x:v>905</x:v>
      </x:c>
      <x:c r="Q447" s="11" t="n">
        <x:f>IFERROR(M447/F447,"")</x:f>
        <x:v>0.053347280334728034</x:v>
      </x:c>
      <x:c r="R447" s="10" t="n">
        <x:f>G447+H447</x:f>
        <x:v>793</x:v>
      </x:c>
      <x:c r="S447" s="11" t="n">
        <x:f>IFERROR(R447/F447,"")</x:f>
        <x:v>0.8294979079497908</x:v>
      </x:c>
      <x:c r="T447" s="11" t="n">
        <x:f>IFERROR(R447/P447,"")</x:f>
        <x:v>0.876243093922652</x:v>
      </x:c>
      <x:c r="U447" s="10" t="n">
        <x:f>I447+J447+K447</x:f>
        <x:v>110</x:v>
      </x:c>
      <x:c r="V447" s="11" t="n">
        <x:f>IFERROR(U447/P447,"")</x:f>
        <x:v>0.12154696132596685</x:v>
      </x:c>
      <x:c r="W447" s="9" t="str">
        <x:v>provisional_gt_5pct_pending</x:v>
      </x:c>
      <x:c r="X447" s="12" t="n">
        <x:f>IFERROR(F447/Z447*100000,"")</x:f>
        <x:v>16.6475115801205</x:v>
      </x:c>
      <x:c r="Y447" s="13" t="n">
        <x:f>LN(Z447)</x:f>
        <x:v>15.563422627412052</x:v>
      </x:c>
      <x:c r="Z447" s="6" t="str">
        <x:v>5742600</x:v>
      </x:c>
      <x:c r="AA447" s="6" t="str">
        <x:v>124.0</x:v>
      </x:c>
      <x:c r="AB447" s="9" t="str">
        <x:v>2025-06-30</x:v>
      </x:c>
      <x:c r="AC447" s="8" t="str">
        <x:v>80.8</x:v>
      </x:c>
      <x:c r="AD447" s="9" t="str">
        <x:v>2025 (Susenas)</x:v>
      </x:c>
      <x:c r="AE447" s="8" t="str">
        <x:v>18.6</x:v>
      </x:c>
      <x:c r="AF447" s="9" t="str">
        <x:v>Maret 2025 (Susenas)</x:v>
      </x:c>
      <x:c r="AG447" s="6" t="str">
        <x:v>26.45559077732941</x:v>
      </x:c>
      <x:c r="AH447" s="8" t="str">
        <x:v>85.25067237665114</x:v>
      </x:c>
      <x:c r="AI447" s="6" t="str">
        <x:v>237.307378431424</x:v>
      </x:c>
      <x:c r="AJ447" s="6" t="str">
        <x:v>0.2260802275125684</x:v>
      </x:c>
      <x:c r="AK447" s="8" t="str">
        <x:v>0.4238789588917849</x:v>
      </x:c>
      <x:c r="AL447" s="6" t="str">
        <x:v>0.2575894026659729</x:v>
      </x:c>
      <x:c r="AM447" s="6" t="str">
        <x:v>-0.1689982111360762</x:v>
      </x:c>
      <x:c r="AN447" s="6" t="str">
        <x:v>0.1708233834738933</x:v>
      </x:c>
      <x:c r="AO447" s="6" t="str">
        <x:v>0.6161688180422118</x:v>
      </x:c>
      <x:c r="AP447" s="8" t="str">
        <x:v>0.2497046227798358</x:v>
      </x:c>
      <x:c r="AQ447" s="6" t="str">
        <x:v>0.6512217206869596</x:v>
      </x:c>
      <x:c r="AR447" s="6" t="str">
        <x:v>1.3538103575186278</x:v>
      </x:c>
      <x:c r="AS447" s="6" t="str">
        <x:v>0.7515789003284746</x:v>
      </x:c>
      <x:c r="AT447" s="6" t="str">
        <x:v>-13.227737363894336</x:v>
      </x:c>
      <x:c r="AU447" s="8" t="str">
        <x:v>-0.177281672130274</x:v>
      </x:c>
      <x:c r="AV447" s="6" t="str">
        <x:v>1.7166449395564782</x:v>
      </x:c>
      <x:c r="AW447" s="6" t="str">
        <x:v>1.5199084718474662</x:v>
      </x:c>
      <x:c r="AX447" s="6" t="str">
        <x:v>1.0197572464245568</x:v>
      </x:c>
      <x:c r="AY447" s="6" t="str">
        <x:v>0</x:v>
      </x:c>
      <x:c r="AZ447" s="6" t="str">
        <x:v>0</x:v>
      </x:c>
      <x:c r="BA447" s="9" t="str">
        <x:v>grid_cells_within_BIG_polygon</x:v>
      </x:c>
      <x:c r="BB447" s="6" t="str">
        <x:v>14</x:v>
      </x:c>
      <x:c r="BC447" s="6" t="str">
        <x:v>15</x:v>
      </x:c>
      <x:c r="BD447" s="6" t="str">
        <x:v>15</x:v>
      </x:c>
      <x:c r="BE447" s="6" t="str">
        <x:v>11</x:v>
      </x:c>
      <x:c r="BF447" s="6" t="str">
        <x:v>2</x:v>
      </x:c>
      <x:c r="BG447" s="6" t="str">
        <x:v>2</x:v>
      </x:c>
      <x:c r="BH447" s="6" t="str">
        <x:v>0</x:v>
      </x:c>
      <x:c r="BI447" s="6" t="str">
        <x:v>0</x:v>
      </x:c>
      <x:c r="BJ447" s="6" t="str">
        <x:v>0</x:v>
      </x:c>
      <x:c r="BK447" s="6" t="str">
        <x:v>0</x:v>
      </x:c>
      <x:c r="BL447" s="6" t="str">
        <x:v>0</x:v>
      </x:c>
      <x:c r="BM447" s="6" t="str">
        <x:v>0</x:v>
      </x:c>
      <x:c r="BN447" s="6" t="str">
        <x:v>15</x:v>
      </x:c>
      <x:c r="BO447" s="6" t="str">
        <x:v>2.0</x:v>
      </x:c>
      <x:c r="BP447" s="6" t="str">
        <x:v>15</x:v>
      </x:c>
      <x:c r="BQ447" s="6" t="str">
        <x:v>1.0</x:v>
      </x:c>
      <x:c r="BR447" s="6" t="str">
        <x:v>15</x:v>
      </x:c>
      <x:c r="BS447" s="6" t="str">
        <x:v>102.0</x:v>
      </x:c>
      <x:c r="BT447" s="6" t="str">
        <x:v>15</x:v>
      </x:c>
      <x:c r="BU447" s="6" t="str">
        <x:v>377.0</x:v>
      </x:c>
      <x:c r="BV447" s="6" t="str">
        <x:v>6</x:v>
      </x:c>
      <x:c r="BW447" s="9" t="str">
        <x:v>operational_snapshot_annual_totals_may_differ</x:v>
      </x:c>
      <x:c r="BX447" s="9" t="str">
        <x:v>official_live_dashboard_snapshot_subject_to_revision</x:v>
      </x:c>
      <x:c r="BY447" s="9" t="str">
        <x:v>https://tbdashboard.sitb.id/ss_data_tbc03so_2025_provinsi_bulanan_list.php</x:v>
      </x:c>
      <x:c r="BZ447" s="6" t="n">
        <x:v>46246.610671296294</x:v>
      </x:c>
    </x:row>
    <x:row r="448" ht="18" customHeight="1">
      <x:c r="A448" s="6" t="str">
        <x:v>53</x:v>
      </x:c>
      <x:c r="B448" s="6" t="str">
        <x:v>NUSA TENGGARA TIMUR</x:v>
      </x:c>
      <x:c r="C448" s="6" t="str">
        <x:v>2025</x:v>
      </x:c>
      <x:c r="D448" s="6" t="str">
        <x:v>3</x:v>
      </x:c>
      <x:c r="E448" s="6" t="str">
        <x:v>2025-03</x:v>
      </x:c>
      <x:c r="F448" s="6" t="str">
        <x:v>983</x:v>
      </x:c>
      <x:c r="G448" s="6" t="str">
        <x:v>205</x:v>
      </x:c>
      <x:c r="H448" s="6" t="str">
        <x:v>619</x:v>
      </x:c>
      <x:c r="I448" s="6" t="str">
        <x:v>37</x:v>
      </x:c>
      <x:c r="J448" s="6" t="str">
        <x:v>66</x:v>
      </x:c>
      <x:c r="K448" s="6" t="str">
        <x:v>1</x:v>
      </x:c>
      <x:c r="L448" s="6" t="str">
        <x:v>0</x:v>
      </x:c>
      <x:c r="M448" s="6" t="str">
        <x:v>55</x:v>
      </x:c>
      <x:c r="N448" s="6" t="str">
        <x:v>983</x:v>
      </x:c>
      <x:c r="O448" s="6" t="str">
        <x:v>0</x:v>
      </x:c>
      <x:c r="P448" s="10" t="n">
        <x:f>F448-M448</x:f>
        <x:v>928</x:v>
      </x:c>
      <x:c r="Q448" s="11" t="n">
        <x:f>IFERROR(M448/F448,"")</x:f>
        <x:v>0.05595116988809766</x:v>
      </x:c>
      <x:c r="R448" s="10" t="n">
        <x:f>G448+H448</x:f>
        <x:v>824</x:v>
      </x:c>
      <x:c r="S448" s="11" t="n">
        <x:f>IFERROR(R448/F448,"")</x:f>
        <x:v>0.8382502543234995</x:v>
      </x:c>
      <x:c r="T448" s="11" t="n">
        <x:f>IFERROR(R448/P448,"")</x:f>
        <x:v>0.8879310344827587</x:v>
      </x:c>
      <x:c r="U448" s="10" t="n">
        <x:f>I448+J448+K448</x:f>
        <x:v>104</x:v>
      </x:c>
      <x:c r="V448" s="11" t="n">
        <x:f>IFERROR(U448/P448,"")</x:f>
        <x:v>0.11206896551724138</x:v>
      </x:c>
      <x:c r="W448" s="9" t="str">
        <x:v>provisional_gt_5pct_pending</x:v>
      </x:c>
      <x:c r="X448" s="12" t="n">
        <x:f>IFERROR(F448/Z448*100000,"")</x:f>
        <x:v>17.117681886253614</x:v>
      </x:c>
      <x:c r="Y448" s="13" t="n">
        <x:f>LN(Z448)</x:f>
        <x:v>15.563422627412052</x:v>
      </x:c>
      <x:c r="Z448" s="6" t="str">
        <x:v>5742600</x:v>
      </x:c>
      <x:c r="AA448" s="6" t="str">
        <x:v>124.0</x:v>
      </x:c>
      <x:c r="AB448" s="9" t="str">
        <x:v>2025-06-30</x:v>
      </x:c>
      <x:c r="AC448" s="8" t="str">
        <x:v>80.8</x:v>
      </x:c>
      <x:c r="AD448" s="9" t="str">
        <x:v>2025 (Susenas)</x:v>
      </x:c>
      <x:c r="AE448" s="8" t="str">
        <x:v>18.6</x:v>
      </x:c>
      <x:c r="AF448" s="9" t="str">
        <x:v>Maret 2025 (Susenas)</x:v>
      </x:c>
      <x:c r="AG448" s="6" t="str">
        <x:v>26.887888458960308</x:v>
      </x:c>
      <x:c r="AH448" s="8" t="str">
        <x:v>83.7553254939625</x:v>
      </x:c>
      <x:c r="AI448" s="6" t="str">
        <x:v>204.26043283368884</x:v>
      </x:c>
      <x:c r="AJ448" s="6" t="str">
        <x:v>0.4736884080116041</x:v>
      </x:c>
      <x:c r="AK448" s="8" t="str">
        <x:v>0.8868714090933877</x:v>
      </x:c>
      <x:c r="AL448" s="6" t="str">
        <x:v>0.4238789588917849</x:v>
      </x:c>
      <x:c r="AM448" s="6" t="str">
        <x:v>0.2575894026659729</x:v>
      </x:c>
      <x:c r="AN448" s="6" t="str">
        <x:v>0.5227799235503814</x:v>
      </x:c>
      <x:c r="AO448" s="6" t="str">
        <x:v>1.2001699964686026</x:v>
      </x:c>
      <x:c r="AP448" s="8" t="str">
        <x:v>0.4603812626216617</x:v>
      </x:c>
      <x:c r="AQ448" s="6" t="str">
        <x:v>0.2497046227798358</x:v>
      </x:c>
      <x:c r="AR448" s="6" t="str">
        <x:v>0.6512217206869596</x:v>
      </x:c>
      <x:c r="AS448" s="6" t="str">
        <x:v>0.4537692020294859</x:v>
      </x:c>
      <x:c r="AT448" s="6" t="str">
        <x:v>15.028497958561786</x:v>
      </x:c>
      <x:c r="AU448" s="8" t="str">
        <x:v>0.2026949856588411</x:v>
      </x:c>
      <x:c r="AV448" s="6" t="str">
        <x:v>-0.177281672130274</x:v>
      </x:c>
      <x:c r="AW448" s="6" t="str">
        <x:v>1.7166449395564782</x:v>
      </x:c>
      <x:c r="AX448" s="6" t="str">
        <x:v>0.5806860843616818</x:v>
      </x:c>
      <x:c r="AY448" s="6" t="str">
        <x:v>0</x:v>
      </x:c>
      <x:c r="AZ448" s="6" t="str">
        <x:v>0</x:v>
      </x:c>
      <x:c r="BA448" s="9" t="str">
        <x:v>grid_cells_within_BIG_polygon</x:v>
      </x:c>
      <x:c r="BB448" s="6" t="str">
        <x:v>14</x:v>
      </x:c>
      <x:c r="BC448" s="6" t="str">
        <x:v>12</x:v>
      </x:c>
      <x:c r="BD448" s="6" t="str">
        <x:v>11</x:v>
      </x:c>
      <x:c r="BE448" s="6" t="str">
        <x:v>6</x:v>
      </x:c>
      <x:c r="BF448" s="6" t="str">
        <x:v>5</x:v>
      </x:c>
      <x:c r="BG448" s="6" t="str">
        <x:v>0</x:v>
      </x:c>
      <x:c r="BH448" s="6" t="str">
        <x:v>0</x:v>
      </x:c>
      <x:c r="BI448" s="6" t="str">
        <x:v>0</x:v>
      </x:c>
      <x:c r="BJ448" s="6" t="str">
        <x:v>0</x:v>
      </x:c>
      <x:c r="BK448" s="6" t="str">
        <x:v>0</x:v>
      </x:c>
      <x:c r="BL448" s="6" t="str">
        <x:v>1</x:v>
      </x:c>
      <x:c r="BM448" s="6" t="str">
        <x:v>0</x:v>
      </x:c>
      <x:c r="BN448" s="6" t="str">
        <x:v>12</x:v>
      </x:c>
      <x:c r="BO448" s="6" t="str">
        <x:v>2.0</x:v>
      </x:c>
      <x:c r="BP448" s="6" t="str">
        <x:v>12</x:v>
      </x:c>
      <x:c r="BQ448" s="6" t="str">
        <x:v>1.0</x:v>
      </x:c>
      <x:c r="BR448" s="6" t="str">
        <x:v>12</x:v>
      </x:c>
      <x:c r="BS448" s="6" t="str">
        <x:v>222.0</x:v>
      </x:c>
      <x:c r="BT448" s="6" t="str">
        <x:v>12</x:v>
      </x:c>
      <x:c r="BU448" s="6" t="str">
        <x:v>220.0</x:v>
      </x:c>
      <x:c r="BV448" s="6" t="str">
        <x:v>4</x:v>
      </x:c>
      <x:c r="BW448" s="9" t="str">
        <x:v>operational_snapshot_annual_totals_may_differ</x:v>
      </x:c>
      <x:c r="BX448" s="9" t="str">
        <x:v>official_live_dashboard_snapshot_subject_to_revision</x:v>
      </x:c>
      <x:c r="BY448" s="9" t="str">
        <x:v>https://tbdashboard.sitb.id/ss_data_tbc03so_2025_provinsi_bulanan_list.php</x:v>
      </x:c>
      <x:c r="BZ448" s="6" t="n">
        <x:v>46246.610671296294</x:v>
      </x:c>
    </x:row>
    <x:row r="449" ht="18" customHeight="1">
      <x:c r="A449" s="6" t="str">
        <x:v>53</x:v>
      </x:c>
      <x:c r="B449" s="6" t="str">
        <x:v>NUSA TENGGARA TIMUR</x:v>
      </x:c>
      <x:c r="C449" s="6" t="str">
        <x:v>2025</x:v>
      </x:c>
      <x:c r="D449" s="6" t="str">
        <x:v>4</x:v>
      </x:c>
      <x:c r="E449" s="6" t="str">
        <x:v>2025-04</x:v>
      </x:c>
      <x:c r="F449" s="6" t="str">
        <x:v>764</x:v>
      </x:c>
      <x:c r="G449" s="6" t="str">
        <x:v>167</x:v>
      </x:c>
      <x:c r="H449" s="6" t="str">
        <x:v>445</x:v>
      </x:c>
      <x:c r="I449" s="6" t="str">
        <x:v>42</x:v>
      </x:c>
      <x:c r="J449" s="6" t="str">
        <x:v>71</x:v>
      </x:c>
      <x:c r="K449" s="6" t="str">
        <x:v>1</x:v>
      </x:c>
      <x:c r="L449" s="6" t="str">
        <x:v>0</x:v>
      </x:c>
      <x:c r="M449" s="6" t="str">
        <x:v>38</x:v>
      </x:c>
      <x:c r="N449" s="6" t="str">
        <x:v>764</x:v>
      </x:c>
      <x:c r="O449" s="6" t="str">
        <x:v>0</x:v>
      </x:c>
      <x:c r="P449" s="10" t="n">
        <x:f>F449-M449</x:f>
        <x:v>726</x:v>
      </x:c>
      <x:c r="Q449" s="11" t="n">
        <x:f>IFERROR(M449/F449,"")</x:f>
        <x:v>0.049738219895287955</x:v>
      </x:c>
      <x:c r="R449" s="10" t="n">
        <x:f>G449+H449</x:f>
        <x:v>612</x:v>
      </x:c>
      <x:c r="S449" s="11" t="n">
        <x:f>IFERROR(R449/F449,"")</x:f>
        <x:v>0.8010471204188482</x:v>
      </x:c>
      <x:c r="T449" s="11" t="n">
        <x:f>IFERROR(R449/P449,"")</x:f>
        <x:v>0.8429752066115702</x:v>
      </x:c>
      <x:c r="U449" s="10" t="n">
        <x:f>I449+J449+K449</x:f>
        <x:v>114</x:v>
      </x:c>
      <x:c r="V449" s="11" t="n">
        <x:f>IFERROR(U449/P449,"")</x:f>
        <x:v>0.15702479338842976</x:v>
      </x:c>
      <x:c r="W449" s="9" t="str">
        <x:v>mature_le_5pct_pending</x:v>
      </x:c>
      <x:c r="X449" s="12" t="n">
        <x:f>IFERROR(F449/Z449*100000,"")</x:f>
        <x:v>13.30407829206283</x:v>
      </x:c>
      <x:c r="Y449" s="13" t="n">
        <x:f>LN(Z449)</x:f>
        <x:v>15.563422627412052</x:v>
      </x:c>
      <x:c r="Z449" s="6" t="str">
        <x:v>5742600</x:v>
      </x:c>
      <x:c r="AA449" s="6" t="str">
        <x:v>124.0</x:v>
      </x:c>
      <x:c r="AB449" s="9" t="str">
        <x:v>2025-06-30</x:v>
      </x:c>
      <x:c r="AC449" s="8" t="str">
        <x:v>80.8</x:v>
      </x:c>
      <x:c r="AD449" s="9" t="str">
        <x:v>2025 (Susenas)</x:v>
      </x:c>
      <x:c r="AE449" s="8" t="str">
        <x:v>18.6</x:v>
      </x:c>
      <x:c r="AF449" s="9" t="str">
        <x:v>Maret 2025 (Susenas)</x:v>
      </x:c>
      <x:c r="AG449" s="6" t="str">
        <x:v>26.666116868378115</x:v>
      </x:c>
      <x:c r="AH449" s="8" t="str">
        <x:v>80.66016157049012</x:v>
      </x:c>
      <x:c r="AI449" s="6" t="str">
        <x:v>115.65260409223188</x:v>
      </x:c>
      <x:c r="AJ449" s="6" t="str">
        <x:v>0.1539719892976627</x:v>
      </x:c>
      <x:c r="AK449" s="8" t="str">
        <x:v>0.3152764166050816</x:v>
      </x:c>
      <x:c r="AL449" s="6" t="str">
        <x:v>0.8868714090933877</x:v>
      </x:c>
      <x:c r="AM449" s="6" t="str">
        <x:v>0.4238789588917849</x:v>
      </x:c>
      <x:c r="AN449" s="6" t="str">
        <x:v>0.542008928196751</x:v>
      </x:c>
      <x:c r="AO449" s="6" t="str">
        <x:v>0.4860485741613018</x:v>
      </x:c>
      <x:c r="AP449" s="8" t="str">
        <x:v>0.1957924388629996</x:v>
      </x:c>
      <x:c r="AQ449" s="6" t="str">
        <x:v>0.4603812626216617</x:v>
      </x:c>
      <x:c r="AR449" s="6" t="str">
        <x:v>0.2497046227798358</x:v>
      </x:c>
      <x:c r="AS449" s="6" t="str">
        <x:v>0.3019594414214993</x:v>
      </x:c>
      <x:c r="AT449" s="6" t="str">
        <x:v>4.054666063823476</x:v>
      </x:c>
      <x:c r="AU449" s="8" t="str">
        <x:v>0.0760352960462793</x:v>
      </x:c>
      <x:c r="AV449" s="6" t="str">
        <x:v>0.2026949856588411</x:v>
      </x:c>
      <x:c r="AW449" s="6" t="str">
        <x:v>-0.177281672130274</x:v>
      </x:c>
      <x:c r="AX449" s="6" t="str">
        <x:v>0.0338162031916155</x:v>
      </x:c>
      <x:c r="AY449" s="6" t="str">
        <x:v>0</x:v>
      </x:c>
      <x:c r="AZ449" s="6" t="str">
        <x:v>0</x:v>
      </x:c>
      <x:c r="BA449" s="9" t="str">
        <x:v>grid_cells_within_BIG_polygon</x:v>
      </x:c>
      <x:c r="BB449" s="6" t="str">
        <x:v>14</x:v>
      </x:c>
      <x:c r="BC449" s="6" t="str">
        <x:v>2</x:v>
      </x:c>
      <x:c r="BD449" s="6" t="str">
        <x:v>2</x:v>
      </x:c>
      <x:c r="BE449" s="6" t="str">
        <x:v>2</x:v>
      </x:c>
      <x:c r="BF449" s="6" t="str">
        <x:v>0</x:v>
      </x:c>
      <x:c r="BG449" s="6" t="str">
        <x:v>0</x:v>
      </x:c>
      <x:c r="BH449" s="6" t="str">
        <x:v>0</x:v>
      </x:c>
      <x:c r="BI449" s="6" t="str">
        <x:v>0</x:v>
      </x:c>
      <x:c r="BJ449" s="6" t="str">
        <x:v>0</x:v>
      </x:c>
      <x:c r="BK449" s="6" t="str">
        <x:v>0</x:v>
      </x:c>
      <x:c r="BL449" s="6" t="str">
        <x:v>0</x:v>
      </x:c>
      <x:c r="BM449" s="6" t="str">
        <x:v>0</x:v>
      </x:c>
      <x:c r="BN449" s="6" t="str">
        <x:v>2</x:v>
      </x:c>
      <x:c r="BO449" s="6" t="str">
        <x:v>0.0</x:v>
      </x:c>
      <x:c r="BP449" s="6" t="str">
        <x:v>2</x:v>
      </x:c>
      <x:c r="BQ449" s="6" t="str">
        <x:v>0.0</x:v>
      </x:c>
      <x:c r="BR449" s="6" t="str">
        <x:v>2</x:v>
      </x:c>
      <x:c r="BS449" s="6" t="str">
        <x:v>0.0</x:v>
      </x:c>
      <x:c r="BT449" s="6" t="str">
        <x:v>2</x:v>
      </x:c>
      <x:c r="BU449" s="6" t="str">
        <x:v>74.0</x:v>
      </x:c>
      <x:c r="BV449" s="6" t="str">
        <x:v>2</x:v>
      </x:c>
      <x:c r="BW449" s="9" t="str">
        <x:v>operational_snapshot_annual_totals_may_differ</x:v>
      </x:c>
      <x:c r="BX449" s="9" t="str">
        <x:v>official_live_dashboard_snapshot_subject_to_revision</x:v>
      </x:c>
      <x:c r="BY449" s="9" t="str">
        <x:v>https://tbdashboard.sitb.id/ss_data_tbc03so_2025_provinsi_bulanan_list.php</x:v>
      </x:c>
      <x:c r="BZ449" s="6" t="n">
        <x:v>46246.610671296294</x:v>
      </x:c>
    </x:row>
    <x:row r="450" ht="18" customHeight="1">
      <x:c r="A450" s="6" t="str">
        <x:v>53</x:v>
      </x:c>
      <x:c r="B450" s="6" t="str">
        <x:v>NUSA TENGGARA TIMUR</x:v>
      </x:c>
      <x:c r="C450" s="6" t="str">
        <x:v>2025</x:v>
      </x:c>
      <x:c r="D450" s="6" t="str">
        <x:v>5</x:v>
      </x:c>
      <x:c r="E450" s="6" t="str">
        <x:v>2025-05</x:v>
      </x:c>
      <x:c r="F450" s="6" t="str">
        <x:v>856</x:v>
      </x:c>
      <x:c r="G450" s="6" t="str">
        <x:v>190</x:v>
      </x:c>
      <x:c r="H450" s="6" t="str">
        <x:v>476</x:v>
      </x:c>
      <x:c r="I450" s="6" t="str">
        <x:v>43</x:v>
      </x:c>
      <x:c r="J450" s="6" t="str">
        <x:v>57</x:v>
      </x:c>
      <x:c r="K450" s="6" t="str">
        <x:v>0</x:v>
      </x:c>
      <x:c r="L450" s="6" t="str">
        <x:v>0</x:v>
      </x:c>
      <x:c r="M450" s="6" t="str">
        <x:v>90</x:v>
      </x:c>
      <x:c r="N450" s="6" t="str">
        <x:v>856</x:v>
      </x:c>
      <x:c r="O450" s="6" t="str">
        <x:v>0</x:v>
      </x:c>
      <x:c r="P450" s="10" t="n">
        <x:f>F450-M450</x:f>
        <x:v>766</x:v>
      </x:c>
      <x:c r="Q450" s="11" t="n">
        <x:f>IFERROR(M450/F450,"")</x:f>
        <x:v>0.10514018691588785</x:v>
      </x:c>
      <x:c r="R450" s="10" t="n">
        <x:f>G450+H450</x:f>
        <x:v>666</x:v>
      </x:c>
      <x:c r="S450" s="11" t="n">
        <x:f>IFERROR(R450/F450,"")</x:f>
        <x:v>0.7780373831775701</x:v>
      </x:c>
      <x:c r="T450" s="11" t="n">
        <x:f>IFERROR(R450/P450,"")</x:f>
        <x:v>0.8694516971279374</x:v>
      </x:c>
      <x:c r="U450" s="10" t="n">
        <x:f>I450+J450+K450</x:f>
        <x:v>100</x:v>
      </x:c>
      <x:c r="V450" s="11" t="n">
        <x:f>IFERROR(U450/P450,"")</x:f>
        <x:v>0.13054830287206268</x:v>
      </x:c>
      <x:c r="W450" s="9" t="str">
        <x:v>provisional_gt_5pct_pending</x:v>
      </x:c>
      <x:c r="X450" s="12" t="n">
        <x:f>IFERROR(F450/Z450*100000,"")</x:f>
        <x:v>14.906140075923798</x:v>
      </x:c>
      <x:c r="Y450" s="13" t="n">
        <x:f>LN(Z450)</x:f>
        <x:v>15.563422627412052</x:v>
      </x:c>
      <x:c r="Z450" s="6" t="str">
        <x:v>5742600</x:v>
      </x:c>
      <x:c r="AA450" s="6" t="str">
        <x:v>124.0</x:v>
      </x:c>
      <x:c r="AB450" s="9" t="str">
        <x:v>2025-06-30</x:v>
      </x:c>
      <x:c r="AC450" s="8" t="str">
        <x:v>80.8</x:v>
      </x:c>
      <x:c r="AD450" s="9" t="str">
        <x:v>2025 (Susenas)</x:v>
      </x:c>
      <x:c r="AE450" s="8" t="str">
        <x:v>18.6</x:v>
      </x:c>
      <x:c r="AF450" s="9" t="str">
        <x:v>Maret 2025 (Susenas)</x:v>
      </x:c>
      <x:c r="AG450" s="6" t="str">
        <x:v>26.335746214382823</x:v>
      </x:c>
      <x:c r="AH450" s="8" t="str">
        <x:v>82.99047160057299</x:v>
      </x:c>
      <x:c r="AI450" s="6" t="str">
        <x:v>109.30885770471224</x:v>
      </x:c>
      <x:c r="AJ450" s="6" t="str">
        <x:v>0.2051603951722498</x:v>
      </x:c>
      <x:c r="AK450" s="8" t="str">
        <x:v>0.3546172751135419</x:v>
      </x:c>
      <x:c r="AL450" s="6" t="str">
        <x:v>0.3152764166050816</x:v>
      </x:c>
      <x:c r="AM450" s="6" t="str">
        <x:v>0.8868714090933877</x:v>
      </x:c>
      <x:c r="AN450" s="6" t="str">
        <x:v>0.51892170027067</x:v>
      </x:c>
      <x:c r="AO450" s="6" t="str">
        <x:v>5.996551284124678</x:v>
      </x:c>
      <x:c r="AP450" s="8" t="str">
        <x:v>1.6875388219386886</x:v>
      </x:c>
      <x:c r="AQ450" s="6" t="str">
        <x:v>0.1957924388629996</x:v>
      </x:c>
      <x:c r="AR450" s="6" t="str">
        <x:v>0.4603812626216617</x:v>
      </x:c>
      <x:c r="AS450" s="6" t="str">
        <x:v>0.7812375078077834</x:v>
      </x:c>
      <x:c r="AT450" s="6" t="str">
        <x:v>59.3785998268956</x:v>
      </x:c>
      <x:c r="AU450" s="8" t="str">
        <x:v>1.3800412190895714</x:v>
      </x:c>
      <x:c r="AV450" s="6" t="str">
        <x:v>0.0760352960462793</x:v>
      </x:c>
      <x:c r="AW450" s="6" t="str">
        <x:v>0.2026949856588411</x:v>
      </x:c>
      <x:c r="AX450" s="6" t="str">
        <x:v>0.5529238335982307</x:v>
      </x:c>
      <x:c r="AY450" s="6" t="str">
        <x:v>1</x:v>
      </x:c>
      <x:c r="AZ450" s="6" t="str">
        <x:v>0</x:v>
      </x:c>
      <x:c r="BA450" s="9" t="str">
        <x:v>grid_cells_within_BIG_polygon</x:v>
      </x:c>
      <x:c r="BB450" s="6" t="str">
        <x:v>14</x:v>
      </x:c>
      <x:c r="BC450" s="6" t="str">
        <x:v>6</x:v>
      </x:c>
      <x:c r="BD450" s="6" t="str">
        <x:v>6</x:v>
      </x:c>
      <x:c r="BE450" s="6" t="str">
        <x:v>3</x:v>
      </x:c>
      <x:c r="BF450" s="6" t="str">
        <x:v>3</x:v>
      </x:c>
      <x:c r="BG450" s="6" t="str">
        <x:v>0</x:v>
      </x:c>
      <x:c r="BH450" s="6" t="str">
        <x:v>0</x:v>
      </x:c>
      <x:c r="BI450" s="6" t="str">
        <x:v>0</x:v>
      </x:c>
      <x:c r="BJ450" s="6" t="str">
        <x:v>0</x:v>
      </x:c>
      <x:c r="BK450" s="6" t="str">
        <x:v>0</x:v>
      </x:c>
      <x:c r="BL450" s="6" t="str">
        <x:v>0</x:v>
      </x:c>
      <x:c r="BM450" s="6" t="str">
        <x:v>0</x:v>
      </x:c>
      <x:c r="BN450" s="6" t="str">
        <x:v>6</x:v>
      </x:c>
      <x:c r="BO450" s="6" t="str">
        <x:v>0.0</x:v>
      </x:c>
      <x:c r="BP450" s="6" t="str">
        <x:v>5</x:v>
      </x:c>
      <x:c r="BQ450" s="6" t="str">
        <x:v>0.0</x:v>
      </x:c>
      <x:c r="BR450" s="6" t="str">
        <x:v>5</x:v>
      </x:c>
      <x:c r="BS450" s="6" t="str">
        <x:v>338.0</x:v>
      </x:c>
      <x:c r="BT450" s="6" t="str">
        <x:v>6</x:v>
      </x:c>
      <x:c r="BU450" s="6" t="str">
        <x:v>36.0</x:v>
      </x:c>
      <x:c r="BV450" s="6" t="str">
        <x:v>1</x:v>
      </x:c>
      <x:c r="BW450" s="9" t="str">
        <x:v>operational_snapshot_annual_totals_may_differ</x:v>
      </x:c>
      <x:c r="BX450" s="9" t="str">
        <x:v>official_live_dashboard_snapshot_subject_to_revision</x:v>
      </x:c>
      <x:c r="BY450" s="9" t="str">
        <x:v>https://tbdashboard.sitb.id/ss_data_tbc03so_2025_provinsi_bulanan_list.php</x:v>
      </x:c>
      <x:c r="BZ450" s="6" t="n">
        <x:v>46246.610671296294</x:v>
      </x:c>
    </x:row>
    <x:row r="451" ht="18" customHeight="1">
      <x:c r="A451" s="6" t="str">
        <x:v>53</x:v>
      </x:c>
      <x:c r="B451" s="6" t="str">
        <x:v>NUSA TENGGARA TIMUR</x:v>
      </x:c>
      <x:c r="C451" s="6" t="str">
        <x:v>2025</x:v>
      </x:c>
      <x:c r="D451" s="6" t="str">
        <x:v>6</x:v>
      </x:c>
      <x:c r="E451" s="6" t="str">
        <x:v>2025-06</x:v>
      </x:c>
      <x:c r="F451" s="6" t="str">
        <x:v>803</x:v>
      </x:c>
      <x:c r="G451" s="6" t="str">
        <x:v>170</x:v>
      </x:c>
      <x:c r="H451" s="6" t="str">
        <x:v>464</x:v>
      </x:c>
      <x:c r="I451" s="6" t="str">
        <x:v>30</x:v>
      </x:c>
      <x:c r="J451" s="6" t="str">
        <x:v>61</x:v>
      </x:c>
      <x:c r="K451" s="6" t="str">
        <x:v>0</x:v>
      </x:c>
      <x:c r="L451" s="6" t="str">
        <x:v>0</x:v>
      </x:c>
      <x:c r="M451" s="6" t="str">
        <x:v>78</x:v>
      </x:c>
      <x:c r="N451" s="6" t="str">
        <x:v>803</x:v>
      </x:c>
      <x:c r="O451" s="6" t="str">
        <x:v>0</x:v>
      </x:c>
      <x:c r="P451" s="10" t="n">
        <x:f>F451-M451</x:f>
        <x:v>725</x:v>
      </x:c>
      <x:c r="Q451" s="11" t="n">
        <x:f>IFERROR(M451/F451,"")</x:f>
        <x:v>0.09713574097135741</x:v>
      </x:c>
      <x:c r="R451" s="10" t="n">
        <x:f>G451+H451</x:f>
        <x:v>634</x:v>
      </x:c>
      <x:c r="S451" s="11" t="n">
        <x:f>IFERROR(R451/F451,"")</x:f>
        <x:v>0.7895392278953923</x:v>
      </x:c>
      <x:c r="T451" s="11" t="n">
        <x:f>IFERROR(R451/P451,"")</x:f>
        <x:v>0.8744827586206897</x:v>
      </x:c>
      <x:c r="U451" s="10" t="n">
        <x:f>I451+J451+K451</x:f>
        <x:v>91</x:v>
      </x:c>
      <x:c r="V451" s="11" t="n">
        <x:f>IFERROR(U451/P451,"")</x:f>
        <x:v>0.12551724137931033</x:v>
      </x:c>
      <x:c r="W451" s="9" t="str">
        <x:v>provisional_gt_5pct_pending</x:v>
      </x:c>
      <x:c r="X451" s="12" t="n">
        <x:f>IFERROR(F451/Z451*100000,"")</x:f>
        <x:v>13.983213178699543</x:v>
      </x:c>
      <x:c r="Y451" s="13" t="n">
        <x:f>LN(Z451)</x:f>
        <x:v>15.563422627412052</x:v>
      </x:c>
      <x:c r="Z451" s="6" t="str">
        <x:v>5742600</x:v>
      </x:c>
      <x:c r="AA451" s="6" t="str">
        <x:v>124.0</x:v>
      </x:c>
      <x:c r="AB451" s="9" t="str">
        <x:v>2025-06-30</x:v>
      </x:c>
      <x:c r="AC451" s="8" t="str">
        <x:v>80.8</x:v>
      </x:c>
      <x:c r="AD451" s="9" t="str">
        <x:v>2025 (Susenas)</x:v>
      </x:c>
      <x:c r="AE451" s="8" t="str">
        <x:v>18.6</x:v>
      </x:c>
      <x:c r="AF451" s="9" t="str">
        <x:v>Maret 2025 (Susenas)</x:v>
      </x:c>
      <x:c r="AG451" s="6" t="str">
        <x:v>25.570140051365303</x:v>
      </x:c>
      <x:c r="AH451" s="8" t="str">
        <x:v>78.28532485507276</x:v>
      </x:c>
      <x:c r="AI451" s="6" t="str">
        <x:v>28.42299263101313</x:v>
      </x:c>
      <x:c r="AJ451" s="6" t="str">
        <x:v>0.1329111611841327</x:v>
      </x:c>
      <x:c r="AK451" s="8" t="str">
        <x:v>0.2026695426081075</x:v>
      </x:c>
      <x:c r="AL451" s="6" t="str">
        <x:v>0.3546172751135419</x:v>
      </x:c>
      <x:c r="AM451" s="6" t="str">
        <x:v>0.3152764166050816</x:v>
      </x:c>
      <x:c r="AN451" s="6" t="str">
        <x:v>0.2908544114422432</x:v>
      </x:c>
      <x:c r="AO451" s="6" t="str">
        <x:v>3.676864081132507</x:v>
      </x:c>
      <x:c r="AP451" s="8" t="str">
        <x:v>1.1785044155926867</x:v>
      </x:c>
      <x:c r="AQ451" s="6" t="str">
        <x:v>1.6875388219386886</x:v>
      </x:c>
      <x:c r="AR451" s="6" t="str">
        <x:v>0.1957924388629996</x:v>
      </x:c>
      <x:c r="AS451" s="6" t="str">
        <x:v>1.0206118921314584</x:v>
      </x:c>
      <x:c r="AT451" s="6" t="str">
        <x:v>5.305842173028292</x:v>
      </x:c>
      <x:c r="AU451" s="8" t="str">
        <x:v>0.2464643839416866</x:v>
      </x:c>
      <x:c r="AV451" s="6" t="str">
        <x:v>1.3800412190895714</x:v>
      </x:c>
      <x:c r="AW451" s="6" t="str">
        <x:v>0.0760352960462793</x:v>
      </x:c>
      <x:c r="AX451" s="6" t="str">
        <x:v>0.5675136330258459</x:v>
      </x:c>
      <x:c r="AY451" s="6" t="str">
        <x:v>0</x:v>
      </x:c>
      <x:c r="AZ451" s="6" t="str">
        <x:v>0</x:v>
      </x:c>
      <x:c r="BA451" s="9" t="str">
        <x:v>grid_cells_within_BIG_polygon</x:v>
      </x:c>
      <x:c r="BB451" s="6" t="str">
        <x:v>14</x:v>
      </x:c>
      <x:c r="BC451" s="6" t="str">
        <x:v>2</x:v>
      </x:c>
      <x:c r="BD451" s="6" t="str">
        <x:v>2</x:v>
      </x:c>
      <x:c r="BE451" s="6" t="str">
        <x:v>1</x:v>
      </x:c>
      <x:c r="BF451" s="6" t="str">
        <x:v>0</x:v>
      </x:c>
      <x:c r="BG451" s="6" t="str">
        <x:v>1</x:v>
      </x:c>
      <x:c r="BH451" s="6" t="str">
        <x:v>0</x:v>
      </x:c>
      <x:c r="BI451" s="6" t="str">
        <x:v>0</x:v>
      </x:c>
      <x:c r="BJ451" s="6" t="str">
        <x:v>0</x:v>
      </x:c>
      <x:c r="BK451" s="6" t="str">
        <x:v>0</x:v>
      </x:c>
      <x:c r="BL451" s="6" t="str">
        <x:v>0</x:v>
      </x:c>
      <x:c r="BM451" s="6" t="str">
        <x:v>0</x:v>
      </x:c>
      <x:c r="BN451" s="6" t="str">
        <x:v>2</x:v>
      </x:c>
      <x:c r="BO451" s="6" t="str">
        <x:v>1.0</x:v>
      </x:c>
      <x:c r="BP451" s="6" t="str">
        <x:v>1</x:v>
      </x:c>
      <x:c r="BQ451" s="6" t="str">
        <x:v>1.0</x:v>
      </x:c>
      <x:c r="BR451" s="6" t="str">
        <x:v>1</x:v>
      </x:c>
      <x:c r="BS451" s="6" t="str">
        <x:v>0.0</x:v>
      </x:c>
      <x:c r="BT451" s="6" t="str">
        <x:v>2</x:v>
      </x:c>
      <x:c r="BU451" s="6" t="str">
        <x:v>200.0</x:v>
      </x:c>
      <x:c r="BV451" s="6" t="str">
        <x:v>1</x:v>
      </x:c>
      <x:c r="BW451" s="9" t="str">
        <x:v>operational_snapshot_annual_totals_may_differ</x:v>
      </x:c>
      <x:c r="BX451" s="9" t="str">
        <x:v>official_live_dashboard_snapshot_subject_to_revision</x:v>
      </x:c>
      <x:c r="BY451" s="9" t="str">
        <x:v>https://tbdashboard.sitb.id/ss_data_tbc03so_2025_provinsi_bulanan_list.php</x:v>
      </x:c>
      <x:c r="BZ451" s="6" t="n">
        <x:v>46246.610671296294</x:v>
      </x:c>
    </x:row>
    <x:row r="452" ht="18" customHeight="1">
      <x:c r="A452" s="6" t="str">
        <x:v>53</x:v>
      </x:c>
      <x:c r="B452" s="6" t="str">
        <x:v>NUSA TENGGARA TIMUR</x:v>
      </x:c>
      <x:c r="C452" s="6" t="str">
        <x:v>2025</x:v>
      </x:c>
      <x:c r="D452" s="6" t="str">
        <x:v>7</x:v>
      </x:c>
      <x:c r="E452" s="6" t="str">
        <x:v>2025-07</x:v>
      </x:c>
      <x:c r="F452" s="6" t="str">
        <x:v>976</x:v>
      </x:c>
      <x:c r="G452" s="6" t="str">
        <x:v>209</x:v>
      </x:c>
      <x:c r="H452" s="6" t="str">
        <x:v>555</x:v>
      </x:c>
      <x:c r="I452" s="6" t="str">
        <x:v>51</x:v>
      </x:c>
      <x:c r="J452" s="6" t="str">
        <x:v>59</x:v>
      </x:c>
      <x:c r="K452" s="6" t="str">
        <x:v>2</x:v>
      </x:c>
      <x:c r="L452" s="6" t="str">
        <x:v>0</x:v>
      </x:c>
      <x:c r="M452" s="6" t="str">
        <x:v>100</x:v>
      </x:c>
      <x:c r="N452" s="6" t="str">
        <x:v>976</x:v>
      </x:c>
      <x:c r="O452" s="6" t="str">
        <x:v>0</x:v>
      </x:c>
      <x:c r="P452" s="10" t="n">
        <x:f>F452-M452</x:f>
        <x:v>876</x:v>
      </x:c>
      <x:c r="Q452" s="11" t="n">
        <x:f>IFERROR(M452/F452,"")</x:f>
        <x:v>0.10245901639344263</x:v>
      </x:c>
      <x:c r="R452" s="10" t="n">
        <x:f>G452+H452</x:f>
        <x:v>764</x:v>
      </x:c>
      <x:c r="S452" s="11" t="n">
        <x:f>IFERROR(R452/F452,"")</x:f>
        <x:v>0.7827868852459017</x:v>
      </x:c>
      <x:c r="T452" s="11" t="n">
        <x:f>IFERROR(R452/P452,"")</x:f>
        <x:v>0.8721461187214612</x:v>
      </x:c>
      <x:c r="U452" s="10" t="n">
        <x:f>I452+J452+K452</x:f>
        <x:v>112</x:v>
      </x:c>
      <x:c r="V452" s="11" t="n">
        <x:f>IFERROR(U452/P452,"")</x:f>
        <x:v>0.1278538812785388</x:v>
      </x:c>
      <x:c r="W452" s="9" t="str">
        <x:v>provisional_gt_5pct_pending</x:v>
      </x:c>
      <x:c r="X452" s="12" t="n">
        <x:f>IFERROR(F452/Z452*100000,"")</x:f>
        <x:v>16.995785880959843</x:v>
      </x:c>
      <x:c r="Y452" s="13" t="n">
        <x:f>LN(Z452)</x:f>
        <x:v>15.563422627412052</x:v>
      </x:c>
      <x:c r="Z452" s="6" t="str">
        <x:v>5742600</x:v>
      </x:c>
      <x:c r="AA452" s="6" t="str">
        <x:v>124.0</x:v>
      </x:c>
      <x:c r="AB452" s="9" t="str">
        <x:v>2025-06-30</x:v>
      </x:c>
      <x:c r="AC452" s="8" t="str">
        <x:v>80.8</x:v>
      </x:c>
      <x:c r="AD452" s="9" t="str">
        <x:v>2025 (Susenas)</x:v>
      </x:c>
      <x:c r="AE452" s="8" t="str">
        <x:v>18.6</x:v>
      </x:c>
      <x:c r="AF452" s="9" t="str">
        <x:v>Maret 2025 (Susenas)</x:v>
      </x:c>
      <x:c r="AG452" s="6" t="str">
        <x:v>25.53321313607489</x:v>
      </x:c>
      <x:c r="AH452" s="8" t="str">
        <x:v>75.35927753391184</x:v>
      </x:c>
      <x:c r="AI452" s="6" t="str">
        <x:v>10.334346600156964</x:v>
      </x:c>
      <x:c r="AJ452" s="6" t="str">
        <x:v>0.5137135392660177</x:v>
      </x:c>
      <x:c r="AK452" s="8" t="str">
        <x:v>0.9542643768586064</x:v>
      </x:c>
      <x:c r="AL452" s="6" t="str">
        <x:v>0.2026695426081075</x:v>
      </x:c>
      <x:c r="AM452" s="6" t="str">
        <x:v>0.3546172751135419</x:v>
      </x:c>
      <x:c r="AN452" s="6" t="str">
        <x:v>0.5038503981934181</x:v>
      </x:c>
      <x:c r="AO452" s="6" t="str">
        <x:v>3.5197713842594567</x:v>
      </x:c>
      <x:c r="AP452" s="8" t="str">
        <x:v>1.1833311771192074</x:v>
      </x:c>
      <x:c r="AQ452" s="6" t="str">
        <x:v>1.1785044155926867</x:v>
      </x:c>
      <x:c r="AR452" s="6" t="str">
        <x:v>1.6875388219386886</x:v>
      </x:c>
      <x:c r="AS452" s="6" t="str">
        <x:v>1.3497914715501944</x:v>
      </x:c>
      <x:c r="AT452" s="6" t="str">
        <x:v>-4.598703818172453</x:v>
      </x:c>
      <x:c r="AU452" s="8" t="str">
        <x:v>-0.2547722699692804</x:v>
      </x:c>
      <x:c r="AV452" s="6" t="str">
        <x:v>0.2464643839416866</x:v>
      </x:c>
      <x:c r="AW452" s="6" t="str">
        <x:v>1.3800412190895714</x:v>
      </x:c>
      <x:c r="AX452" s="6" t="str">
        <x:v>0.4572444443539926</x:v>
      </x:c>
      <x:c r="AY452" s="6" t="str">
        <x:v>0</x:v>
      </x:c>
      <x:c r="AZ452" s="6" t="str">
        <x:v>0</x:v>
      </x:c>
      <x:c r="BA452" s="9" t="str">
        <x:v>grid_cells_within_BIG_polygon</x:v>
      </x:c>
      <x:c r="BB452" s="6" t="str">
        <x:v>14</x:v>
      </x:c>
      <x:c r="BC452" s="6" t="str">
        <x:v>1</x:v>
      </x:c>
      <x:c r="BD452" s="6" t="str">
        <x:v>0</x:v>
      </x:c>
      <x:c r="BE452" s="6" t="str">
        <x:v>0</x:v>
      </x:c>
      <x:c r="BF452" s="6" t="str">
        <x:v>0</x:v>
      </x:c>
      <x:c r="BG452" s="6" t="str">
        <x:v>0</x:v>
      </x:c>
      <x:c r="BH452" s="6" t="str">
        <x:v>0</x:v>
      </x:c>
      <x:c r="BI452" s="6" t="str">
        <x:v>0</x:v>
      </x:c>
      <x:c r="BJ452" s="6" t="str">
        <x:v>0</x:v>
      </x:c>
      <x:c r="BK452" s="6" t="str">
        <x:v>0</x:v>
      </x:c>
      <x:c r="BL452" s="6" t="str">
        <x:v>1</x:v>
      </x:c>
      <x:c r="BM452" s="6" t="str">
        <x:v>0</x:v>
      </x:c>
      <x:c r="BN452" s="6" t="str">
        <x:v>1</x:v>
      </x:c>
      <x:c r="BO452" s="6" t="str"/>
      <x:c r="BP452" s="6" t="str">
        <x:v>0</x:v>
      </x:c>
      <x:c r="BQ452" s="6" t="str"/>
      <x:c r="BR452" s="6" t="str">
        <x:v>0</x:v>
      </x:c>
      <x:c r="BS452" s="6" t="str">
        <x:v>0.0</x:v>
      </x:c>
      <x:c r="BT452" s="6" t="str">
        <x:v>1</x:v>
      </x:c>
      <x:c r="BU452" s="6" t="str"/>
      <x:c r="BV452" s="6" t="str">
        <x:v>0</x:v>
      </x:c>
      <x:c r="BW452" s="9" t="str">
        <x:v>operational_snapshot_annual_totals_may_differ</x:v>
      </x:c>
      <x:c r="BX452" s="9" t="str">
        <x:v>official_live_dashboard_snapshot_subject_to_revision</x:v>
      </x:c>
      <x:c r="BY452" s="9" t="str">
        <x:v>https://tbdashboard.sitb.id/ss_data_tbc03so_2025_provinsi_bulanan_list.php</x:v>
      </x:c>
      <x:c r="BZ452" s="6" t="n">
        <x:v>46246.610671296294</x:v>
      </x:c>
    </x:row>
    <x:row r="453" ht="18" customHeight="1">
      <x:c r="A453" s="6" t="str">
        <x:v>53</x:v>
      </x:c>
      <x:c r="B453" s="6" t="str">
        <x:v>NUSA TENGGARA TIMUR</x:v>
      </x:c>
      <x:c r="C453" s="6" t="str">
        <x:v>2025</x:v>
      </x:c>
      <x:c r="D453" s="6" t="str">
        <x:v>8</x:v>
      </x:c>
      <x:c r="E453" s="6" t="str">
        <x:v>2025-08</x:v>
      </x:c>
      <x:c r="F453" s="6" t="str">
        <x:v>955</x:v>
      </x:c>
      <x:c r="G453" s="6" t="str">
        <x:v>195</x:v>
      </x:c>
      <x:c r="H453" s="6" t="str">
        <x:v>509</x:v>
      </x:c>
      <x:c r="I453" s="6" t="str">
        <x:v>49</x:v>
      </x:c>
      <x:c r="J453" s="6" t="str">
        <x:v>54</x:v>
      </x:c>
      <x:c r="K453" s="6" t="str">
        <x:v>0</x:v>
      </x:c>
      <x:c r="L453" s="6" t="str">
        <x:v>3</x:v>
      </x:c>
      <x:c r="M453" s="6" t="str">
        <x:v>145</x:v>
      </x:c>
      <x:c r="N453" s="6" t="str">
        <x:v>955</x:v>
      </x:c>
      <x:c r="O453" s="6" t="str">
        <x:v>0</x:v>
      </x:c>
      <x:c r="P453" s="10" t="n">
        <x:f>F453-M453</x:f>
        <x:v>810</x:v>
      </x:c>
      <x:c r="Q453" s="11" t="n">
        <x:f>IFERROR(M453/F453,"")</x:f>
        <x:v>0.1518324607329843</x:v>
      </x:c>
      <x:c r="R453" s="10" t="n">
        <x:f>G453+H453</x:f>
        <x:v>704</x:v>
      </x:c>
      <x:c r="S453" s="11" t="n">
        <x:f>IFERROR(R453/F453,"")</x:f>
        <x:v>0.7371727748691099</x:v>
      </x:c>
      <x:c r="T453" s="11" t="n">
        <x:f>IFERROR(R453/P453,"")</x:f>
        <x:v>0.8691358024691358</x:v>
      </x:c>
      <x:c r="U453" s="10" t="n">
        <x:f>I453+J453+K453</x:f>
        <x:v>103</x:v>
      </x:c>
      <x:c r="V453" s="11" t="n">
        <x:f>IFERROR(U453/P453,"")</x:f>
        <x:v>0.1271604938271605</x:v>
      </x:c>
      <x:c r="W453" s="9" t="str">
        <x:v>provisional_gt_5pct_pending</x:v>
      </x:c>
      <x:c r="X453" s="12" t="n">
        <x:f>IFERROR(F453/Z453*100000,"")</x:f>
        <x:v>16.630097865078536</x:v>
      </x:c>
      <x:c r="Y453" s="13" t="n">
        <x:f>LN(Z453)</x:f>
        <x:v>15.563422627412052</x:v>
      </x:c>
      <x:c r="Z453" s="6" t="str">
        <x:v>5742600</x:v>
      </x:c>
      <x:c r="AA453" s="6" t="str">
        <x:v>124.0</x:v>
      </x:c>
      <x:c r="AB453" s="9" t="str">
        <x:v>2025-06-30</x:v>
      </x:c>
      <x:c r="AC453" s="8" t="str">
        <x:v>80.8</x:v>
      </x:c>
      <x:c r="AD453" s="9" t="str">
        <x:v>2025 (Susenas)</x:v>
      </x:c>
      <x:c r="AE453" s="8" t="str">
        <x:v>18.6</x:v>
      </x:c>
      <x:c r="AF453" s="9" t="str">
        <x:v>Maret 2025 (Susenas)</x:v>
      </x:c>
      <x:c r="AG453" s="6" t="str">
        <x:v>26.093538296282517</x:v>
      </x:c>
      <x:c r="AH453" s="8" t="str">
        <x:v>68.5578914741699</x:v>
      </x:c>
      <x:c r="AI453" s="6" t="str">
        <x:v>5.9743255894635725</x:v>
      </x:c>
      <x:c r="AJ453" s="6" t="str">
        <x:v>0.7327872329989304</x:v>
      </x:c>
      <x:c r="AK453" s="8" t="str">
        <x:v>1.5356015491680417</x:v>
      </x:c>
      <x:c r="AL453" s="6" t="str">
        <x:v>0.9542643768586064</x:v>
      </x:c>
      <x:c r="AM453" s="6" t="str">
        <x:v>0.2026695426081075</x:v>
      </x:c>
      <x:c r="AN453" s="6" t="str">
        <x:v>0.8975118228782514</x:v>
      </x:c>
      <x:c r="AO453" s="6" t="str">
        <x:v>0.3487624232911628</x:v>
      </x:c>
      <x:c r="AP453" s="8" t="str">
        <x:v>0.1861111628792305</x:v>
      </x:c>
      <x:c r="AQ453" s="6" t="str">
        <x:v>1.1833311771192074</x:v>
      </x:c>
      <x:c r="AR453" s="6" t="str">
        <x:v>1.1785044155926867</x:v>
      </x:c>
      <x:c r="AS453" s="6" t="str">
        <x:v>0.8493155851970418</x:v>
      </x:c>
      <x:c r="AT453" s="6" t="str">
        <x:v>-2.613158713026471</x:v>
      </x:c>
      <x:c r="AU453" s="8" t="str">
        <x:v>-0.3099877903281582</x:v>
      </x:c>
      <x:c r="AV453" s="6" t="str">
        <x:v>-0.2547722699692804</x:v>
      </x:c>
      <x:c r="AW453" s="6" t="str">
        <x:v>0.2464643839416866</x:v>
      </x:c>
      <x:c r="AX453" s="6" t="str">
        <x:v>-0.1060985587852505</x:v>
      </x:c>
      <x:c r="AY453" s="6" t="str">
        <x:v>0</x:v>
      </x:c>
      <x:c r="AZ453" s="6" t="str">
        <x:v>1</x:v>
      </x:c>
      <x:c r="BA453" s="9" t="str">
        <x:v>grid_cells_within_BIG_polygon</x:v>
      </x:c>
      <x:c r="BB453" s="6" t="str">
        <x:v>14</x:v>
      </x:c>
      <x:c r="BC453" s="6" t="str">
        <x:v>0</x:v>
      </x:c>
      <x:c r="BD453" s="6" t="str">
        <x:v>0</x:v>
      </x:c>
      <x:c r="BE453" s="6" t="str">
        <x:v>0</x:v>
      </x:c>
      <x:c r="BF453" s="6" t="str">
        <x:v>0</x:v>
      </x:c>
      <x:c r="BG453" s="6" t="str">
        <x:v>0</x:v>
      </x:c>
      <x:c r="BH453" s="6" t="str">
        <x:v>0</x:v>
      </x:c>
      <x:c r="BI453" s="6" t="str">
        <x:v>0</x:v>
      </x:c>
      <x:c r="BJ453" s="6" t="str">
        <x:v>0</x:v>
      </x:c>
      <x:c r="BK453" s="6" t="str">
        <x:v>0</x:v>
      </x:c>
      <x:c r="BL453" s="6" t="str">
        <x:v>0</x:v>
      </x:c>
      <x:c r="BM453" s="6" t="str">
        <x:v>0</x:v>
      </x:c>
      <x:c r="BN453" s="6" t="str">
        <x:v>0</x:v>
      </x:c>
      <x:c r="BO453" s="6" t="str"/>
      <x:c r="BP453" s="6" t="str">
        <x:v>0</x:v>
      </x:c>
      <x:c r="BQ453" s="6" t="str"/>
      <x:c r="BR453" s="6" t="str">
        <x:v>0</x:v>
      </x:c>
      <x:c r="BS453" s="6" t="str"/>
      <x:c r="BT453" s="6" t="str">
        <x:v>0</x:v>
      </x:c>
      <x:c r="BU453" s="6" t="str"/>
      <x:c r="BV453" s="6" t="str">
        <x:v>0</x:v>
      </x:c>
      <x:c r="BW453" s="9" t="str">
        <x:v>operational_snapshot_annual_totals_may_differ</x:v>
      </x:c>
      <x:c r="BX453" s="9" t="str">
        <x:v>official_live_dashboard_snapshot_subject_to_revision</x:v>
      </x:c>
      <x:c r="BY453" s="9" t="str">
        <x:v>https://tbdashboard.sitb.id/ss_data_tbc03so_2025_provinsi_bulanan_list.php</x:v>
      </x:c>
      <x:c r="BZ453" s="6" t="n">
        <x:v>46246.610671296294</x:v>
      </x:c>
    </x:row>
    <x:row r="454" ht="18" customHeight="1">
      <x:c r="A454" s="6" t="str">
        <x:v>53</x:v>
      </x:c>
      <x:c r="B454" s="6" t="str">
        <x:v>NUSA TENGGARA TIMUR</x:v>
      </x:c>
      <x:c r="C454" s="6" t="str">
        <x:v>2025</x:v>
      </x:c>
      <x:c r="D454" s="6" t="str">
        <x:v>9</x:v>
      </x:c>
      <x:c r="E454" s="6" t="str">
        <x:v>2025-09</x:v>
      </x:c>
      <x:c r="F454" s="6" t="str">
        <x:v>973</x:v>
      </x:c>
      <x:c r="G454" s="6" t="str">
        <x:v>201</x:v>
      </x:c>
      <x:c r="H454" s="6" t="str">
        <x:v>505</x:v>
      </x:c>
      <x:c r="I454" s="6" t="str">
        <x:v>29</x:v>
      </x:c>
      <x:c r="J454" s="6" t="str">
        <x:v>62</x:v>
      </x:c>
      <x:c r="K454" s="6" t="str">
        <x:v>0</x:v>
      </x:c>
      <x:c r="L454" s="6" t="str">
        <x:v>0</x:v>
      </x:c>
      <x:c r="M454" s="6" t="str">
        <x:v>176</x:v>
      </x:c>
      <x:c r="N454" s="6" t="str">
        <x:v>973</x:v>
      </x:c>
      <x:c r="O454" s="6" t="str">
        <x:v>0</x:v>
      </x:c>
      <x:c r="P454" s="10" t="n">
        <x:f>F454-M454</x:f>
        <x:v>797</x:v>
      </x:c>
      <x:c r="Q454" s="11" t="n">
        <x:f>IFERROR(M454/F454,"")</x:f>
        <x:v>0.18088386433710174</x:v>
      </x:c>
      <x:c r="R454" s="10" t="n">
        <x:f>G454+H454</x:f>
        <x:v>706</x:v>
      </x:c>
      <x:c r="S454" s="11" t="n">
        <x:f>IFERROR(R454/F454,"")</x:f>
        <x:v>0.7255909558067831</x:v>
      </x:c>
      <x:c r="T454" s="11" t="n">
        <x:f>IFERROR(R454/P454,"")</x:f>
        <x:v>0.8858218318695107</x:v>
      </x:c>
      <x:c r="U454" s="10" t="n">
        <x:f>I454+J454+K454</x:f>
        <x:v>91</x:v>
      </x:c>
      <x:c r="V454" s="11" t="n">
        <x:f>IFERROR(U454/P454,"")</x:f>
        <x:v>0.11417816813048934</x:v>
      </x:c>
      <x:c r="W454" s="9" t="str">
        <x:v>provisional_gt_5pct_pending</x:v>
      </x:c>
      <x:c r="X454" s="12" t="n">
        <x:f>IFERROR(F454/Z454*100000,"")</x:f>
        <x:v>16.943544735833942</x:v>
      </x:c>
      <x:c r="Y454" s="13" t="n">
        <x:f>LN(Z454)</x:f>
        <x:v>15.563422627412052</x:v>
      </x:c>
      <x:c r="Z454" s="6" t="str">
        <x:v>5742600</x:v>
      </x:c>
      <x:c r="AA454" s="6" t="str">
        <x:v>124.0</x:v>
      </x:c>
      <x:c r="AB454" s="9" t="str">
        <x:v>2025-06-30</x:v>
      </x:c>
      <x:c r="AC454" s="8" t="str">
        <x:v>80.8</x:v>
      </x:c>
      <x:c r="AD454" s="9" t="str">
        <x:v>2025 (Susenas)</x:v>
      </x:c>
      <x:c r="AE454" s="8" t="str">
        <x:v>18.6</x:v>
      </x:c>
      <x:c r="AF454" s="9" t="str">
        <x:v>Maret 2025 (Susenas)</x:v>
      </x:c>
      <x:c r="AG454" s="6" t="str">
        <x:v>27.3627804548152</x:v>
      </x:c>
      <x:c r="AH454" s="8" t="str">
        <x:v>68.2022400832176</x:v>
      </x:c>
      <x:c r="AI454" s="6" t="str">
        <x:v>15.28056331813968</x:v>
      </x:c>
      <x:c r="AJ454" s="6" t="str">
        <x:v>0.7538846683095102</x:v>
      </x:c>
      <x:c r="AK454" s="8" t="str">
        <x:v>1.5031259687985032</x:v>
      </x:c>
      <x:c r="AL454" s="6" t="str">
        <x:v>1.5356015491680417</x:v>
      </x:c>
      <x:c r="AM454" s="6" t="str">
        <x:v>0.9542643768586064</x:v>
      </x:c>
      <x:c r="AN454" s="6" t="str">
        <x:v>1.33099729827505</x:v>
      </x:c>
      <x:c r="AO454" s="6" t="str">
        <x:v>1.5462244470204496</x:v>
      </x:c>
      <x:c r="AP454" s="8" t="str">
        <x:v>0.5979496975445013</x:v>
      </x:c>
      <x:c r="AQ454" s="6" t="str">
        <x:v>0.1861111628792305</x:v>
      </x:c>
      <x:c r="AR454" s="6" t="str">
        <x:v>1.1833311771192074</x:v>
      </x:c>
      <x:c r="AS454" s="6" t="str">
        <x:v>0.6557973458476466</x:v>
      </x:c>
      <x:c r="AT454" s="6" t="str">
        <x:v>-2.8124961028768425</x:v>
      </x:c>
      <x:c r="AU454" s="8" t="str">
        <x:v>-0.0995024520139943</x:v>
      </x:c>
      <x:c r="AV454" s="6" t="str">
        <x:v>-0.3099877903281582</x:v>
      </x:c>
      <x:c r="AW454" s="6" t="str">
        <x:v>-0.2547722699692804</x:v>
      </x:c>
      <x:c r="AX454" s="6" t="str">
        <x:v>-0.2214208374371442</x:v>
      </x:c>
      <x:c r="AY454" s="6" t="str">
        <x:v>0</x:v>
      </x:c>
      <x:c r="AZ454" s="6" t="str">
        <x:v>1</x:v>
      </x:c>
      <x:c r="BA454" s="9" t="str">
        <x:v>grid_cells_within_BIG_polygon</x:v>
      </x:c>
      <x:c r="BB454" s="6" t="str">
        <x:v>14</x:v>
      </x:c>
      <x:c r="BC454" s="6" t="str">
        <x:v>2</x:v>
      </x:c>
      <x:c r="BD454" s="6" t="str">
        <x:v>2</x:v>
      </x:c>
      <x:c r="BE454" s="6" t="str">
        <x:v>1</x:v>
      </x:c>
      <x:c r="BF454" s="6" t="str">
        <x:v>0</x:v>
      </x:c>
      <x:c r="BG454" s="6" t="str">
        <x:v>1</x:v>
      </x:c>
      <x:c r="BH454" s="6" t="str">
        <x:v>0</x:v>
      </x:c>
      <x:c r="BI454" s="6" t="str">
        <x:v>0</x:v>
      </x:c>
      <x:c r="BJ454" s="6" t="str">
        <x:v>0</x:v>
      </x:c>
      <x:c r="BK454" s="6" t="str">
        <x:v>0</x:v>
      </x:c>
      <x:c r="BL454" s="6" t="str">
        <x:v>0</x:v>
      </x:c>
      <x:c r="BM454" s="6" t="str">
        <x:v>0</x:v>
      </x:c>
      <x:c r="BN454" s="6" t="str">
        <x:v>2</x:v>
      </x:c>
      <x:c r="BO454" s="6" t="str">
        <x:v>6.0</x:v>
      </x:c>
      <x:c r="BP454" s="6" t="str">
        <x:v>1</x:v>
      </x:c>
      <x:c r="BQ454" s="6" t="str">
        <x:v>22.0</x:v>
      </x:c>
      <x:c r="BR454" s="6" t="str">
        <x:v>1</x:v>
      </x:c>
      <x:c r="BS454" s="6" t="str">
        <x:v>157.0</x:v>
      </x:c>
      <x:c r="BT454" s="6" t="str">
        <x:v>2</x:v>
      </x:c>
      <x:c r="BU454" s="6" t="str"/>
      <x:c r="BV454" s="6" t="str">
        <x:v>0</x:v>
      </x:c>
      <x:c r="BW454" s="9" t="str">
        <x:v>operational_snapshot_annual_totals_may_differ</x:v>
      </x:c>
      <x:c r="BX454" s="9" t="str">
        <x:v>official_live_dashboard_snapshot_subject_to_revision</x:v>
      </x:c>
      <x:c r="BY454" s="9" t="str">
        <x:v>https://tbdashboard.sitb.id/ss_data_tbc03so_2025_provinsi_bulanan_list.php</x:v>
      </x:c>
      <x:c r="BZ454" s="6" t="n">
        <x:v>46246.610671296294</x:v>
      </x:c>
    </x:row>
    <x:row r="455" ht="18" customHeight="1">
      <x:c r="A455" s="6" t="str">
        <x:v>53</x:v>
      </x:c>
      <x:c r="B455" s="6" t="str">
        <x:v>NUSA TENGGARA TIMUR</x:v>
      </x:c>
      <x:c r="C455" s="6" t="str">
        <x:v>2025</x:v>
      </x:c>
      <x:c r="D455" s="6" t="str">
        <x:v>10</x:v>
      </x:c>
      <x:c r="E455" s="6" t="str">
        <x:v>2025-10</x:v>
      </x:c>
      <x:c r="F455" s="6" t="str">
        <x:v>991</x:v>
      </x:c>
      <x:c r="G455" s="6" t="str">
        <x:v>198</x:v>
      </x:c>
      <x:c r="H455" s="6" t="str">
        <x:v>495</x:v>
      </x:c>
      <x:c r="I455" s="6" t="str">
        <x:v>43</x:v>
      </x:c>
      <x:c r="J455" s="6" t="str">
        <x:v>47</x:v>
      </x:c>
      <x:c r="K455" s="6" t="str">
        <x:v>0</x:v>
      </x:c>
      <x:c r="L455" s="6" t="str">
        <x:v>2</x:v>
      </x:c>
      <x:c r="M455" s="6" t="str">
        <x:v>206</x:v>
      </x:c>
      <x:c r="N455" s="6" t="str">
        <x:v>991</x:v>
      </x:c>
      <x:c r="O455" s="6" t="str">
        <x:v>0</x:v>
      </x:c>
      <x:c r="P455" s="10" t="n">
        <x:f>F455-M455</x:f>
        <x:v>785</x:v>
      </x:c>
      <x:c r="Q455" s="11" t="n">
        <x:f>IFERROR(M455/F455,"")</x:f>
        <x:v>0.20787083753784055</x:v>
      </x:c>
      <x:c r="R455" s="10" t="n">
        <x:f>G455+H455</x:f>
        <x:v>693</x:v>
      </x:c>
      <x:c r="S455" s="11" t="n">
        <x:f>IFERROR(R455/F455,"")</x:f>
        <x:v>0.6992936427850656</x:v>
      </x:c>
      <x:c r="T455" s="11" t="n">
        <x:f>IFERROR(R455/P455,"")</x:f>
        <x:v>0.8828025477707007</x:v>
      </x:c>
      <x:c r="U455" s="10" t="n">
        <x:f>I455+J455+K455</x:f>
        <x:v>90</x:v>
      </x:c>
      <x:c r="V455" s="11" t="n">
        <x:f>IFERROR(U455/P455,"")</x:f>
        <x:v>0.11464968152866242</x:v>
      </x:c>
      <x:c r="W455" s="9" t="str">
        <x:v>provisional_gt_5pct_pending</x:v>
      </x:c>
      <x:c r="X455" s="12" t="n">
        <x:f>IFERROR(F455/Z455*100000,"")</x:f>
        <x:v>17.25699160658935</x:v>
      </x:c>
      <x:c r="Y455" s="13" t="n">
        <x:f>LN(Z455)</x:f>
        <x:v>15.563422627412052</x:v>
      </x:c>
      <x:c r="Z455" s="6" t="str">
        <x:v>5742600</x:v>
      </x:c>
      <x:c r="AA455" s="6" t="str">
        <x:v>124.0</x:v>
      </x:c>
      <x:c r="AB455" s="9" t="str">
        <x:v>2025-06-30</x:v>
      </x:c>
      <x:c r="AC455" s="8" t="str">
        <x:v>80.8</x:v>
      </x:c>
      <x:c r="AD455" s="9" t="str">
        <x:v>2025 (Susenas)</x:v>
      </x:c>
      <x:c r="AE455" s="8" t="str">
        <x:v>18.6</x:v>
      </x:c>
      <x:c r="AF455" s="9" t="str">
        <x:v>Maret 2025 (Susenas)</x:v>
      </x:c>
      <x:c r="AG455" s="6" t="str">
        <x:v>28.568688323581377</x:v>
      </x:c>
      <x:c r="AH455" s="8" t="str">
        <x:v>67.41512530707679</x:v>
      </x:c>
      <x:c r="AI455" s="6" t="str">
        <x:v>36.72650024570644</x:v>
      </x:c>
      <x:c r="AJ455" s="6" t="str">
        <x:v>0.6671706888945188</x:v>
      </x:c>
      <x:c r="AK455" s="8" t="str">
        <x:v>1.711374850140115</x:v>
      </x:c>
      <x:c r="AL455" s="6" t="str">
        <x:v>1.5031259687985032</x:v>
      </x:c>
      <x:c r="AM455" s="6" t="str">
        <x:v>1.5356015491680417</x:v>
      </x:c>
      <x:c r="AN455" s="6" t="str">
        <x:v>1.5833674560355526</x:v>
      </x:c>
      <x:c r="AO455" s="6" t="str">
        <x:v>1.282253154385856</x:v>
      </x:c>
      <x:c r="AP455" s="8" t="str">
        <x:v>0.3544915103485681</x:v>
      </x:c>
      <x:c r="AQ455" s="6" t="str">
        <x:v>0.5979496975445013</x:v>
      </x:c>
      <x:c r="AR455" s="6" t="str">
        <x:v>0.1861111628792305</x:v>
      </x:c>
      <x:c r="AS455" s="6" t="str">
        <x:v>0.3795174569241001</x:v>
      </x:c>
      <x:c r="AT455" s="6" t="str">
        <x:v>-1.6304232186144958</x:v>
      </x:c>
      <x:c r="AU455" s="8" t="str">
        <x:v>-0.0470018764679793</x:v>
      </x:c>
      <x:c r="AV455" s="6" t="str">
        <x:v>-0.0995024520139943</x:v>
      </x:c>
      <x:c r="AW455" s="6" t="str">
        <x:v>-0.3099877903281582</x:v>
      </x:c>
      <x:c r="AX455" s="6" t="str">
        <x:v>-0.1521640396033772</x:v>
      </x:c>
      <x:c r="AY455" s="6" t="str">
        <x:v>0</x:v>
      </x:c>
      <x:c r="AZ455" s="6" t="str">
        <x:v>1</x:v>
      </x:c>
      <x:c r="BA455" s="9" t="str">
        <x:v>grid_cells_within_BIG_polygon</x:v>
      </x:c>
      <x:c r="BB455" s="6" t="str">
        <x:v>14</x:v>
      </x:c>
      <x:c r="BC455" s="6" t="str">
        <x:v>0</x:v>
      </x:c>
      <x:c r="BD455" s="6" t="str">
        <x:v>0</x:v>
      </x:c>
      <x:c r="BE455" s="6" t="str">
        <x:v>0</x:v>
      </x:c>
      <x:c r="BF455" s="6" t="str">
        <x:v>0</x:v>
      </x:c>
      <x:c r="BG455" s="6" t="str">
        <x:v>0</x:v>
      </x:c>
      <x:c r="BH455" s="6" t="str">
        <x:v>0</x:v>
      </x:c>
      <x:c r="BI455" s="6" t="str">
        <x:v>0</x:v>
      </x:c>
      <x:c r="BJ455" s="6" t="str">
        <x:v>0</x:v>
      </x:c>
      <x:c r="BK455" s="6" t="str">
        <x:v>0</x:v>
      </x:c>
      <x:c r="BL455" s="6" t="str">
        <x:v>0</x:v>
      </x:c>
      <x:c r="BM455" s="6" t="str">
        <x:v>0</x:v>
      </x:c>
      <x:c r="BN455" s="6" t="str">
        <x:v>0</x:v>
      </x:c>
      <x:c r="BO455" s="6" t="str"/>
      <x:c r="BP455" s="6" t="str">
        <x:v>0</x:v>
      </x:c>
      <x:c r="BQ455" s="6" t="str"/>
      <x:c r="BR455" s="6" t="str">
        <x:v>0</x:v>
      </x:c>
      <x:c r="BS455" s="6" t="str"/>
      <x:c r="BT455" s="6" t="str">
        <x:v>0</x:v>
      </x:c>
      <x:c r="BU455" s="6" t="str"/>
      <x:c r="BV455" s="6" t="str">
        <x:v>0</x:v>
      </x:c>
      <x:c r="BW455" s="9" t="str">
        <x:v>operational_snapshot_annual_totals_may_differ</x:v>
      </x:c>
      <x:c r="BX455" s="9" t="str">
        <x:v>official_live_dashboard_snapshot_subject_to_revision</x:v>
      </x:c>
      <x:c r="BY455" s="9" t="str">
        <x:v>https://tbdashboard.sitb.id/ss_data_tbc03so_2025_provinsi_bulanan_list.php</x:v>
      </x:c>
      <x:c r="BZ455" s="6" t="n">
        <x:v>46246.610671296294</x:v>
      </x:c>
    </x:row>
    <x:row r="456" ht="18" customHeight="1">
      <x:c r="A456" s="6" t="str">
        <x:v>53</x:v>
      </x:c>
      <x:c r="B456" s="6" t="str">
        <x:v>NUSA TENGGARA TIMUR</x:v>
      </x:c>
      <x:c r="C456" s="6" t="str">
        <x:v>2025</x:v>
      </x:c>
      <x:c r="D456" s="6" t="str">
        <x:v>11</x:v>
      </x:c>
      <x:c r="E456" s="6" t="str">
        <x:v>2025-11</x:v>
      </x:c>
      <x:c r="F456" s="6" t="str">
        <x:v>943</x:v>
      </x:c>
      <x:c r="G456" s="6" t="str">
        <x:v>133</x:v>
      </x:c>
      <x:c r="H456" s="6" t="str">
        <x:v>458</x:v>
      </x:c>
      <x:c r="I456" s="6" t="str">
        <x:v>44</x:v>
      </x:c>
      <x:c r="J456" s="6" t="str">
        <x:v>67</x:v>
      </x:c>
      <x:c r="K456" s="6" t="str">
        <x:v>1</x:v>
      </x:c>
      <x:c r="L456" s="6" t="str">
        <x:v>0</x:v>
      </x:c>
      <x:c r="M456" s="6" t="str">
        <x:v>240</x:v>
      </x:c>
      <x:c r="N456" s="6" t="str">
        <x:v>943</x:v>
      </x:c>
      <x:c r="O456" s="6" t="str">
        <x:v>0</x:v>
      </x:c>
      <x:c r="P456" s="10" t="n">
        <x:f>F456-M456</x:f>
        <x:v>703</x:v>
      </x:c>
      <x:c r="Q456" s="11" t="n">
        <x:f>IFERROR(M456/F456,"")</x:f>
        <x:v>0.2545068928950159</x:v>
      </x:c>
      <x:c r="R456" s="10" t="n">
        <x:f>G456+H456</x:f>
        <x:v>591</x:v>
      </x:c>
      <x:c r="S456" s="11" t="n">
        <x:f>IFERROR(R456/F456,"")</x:f>
        <x:v>0.6267232237539767</x:v>
      </x:c>
      <x:c r="T456" s="11" t="n">
        <x:f>IFERROR(R456/P456,"")</x:f>
        <x:v>0.8406827880512091</x:v>
      </x:c>
      <x:c r="U456" s="10" t="n">
        <x:f>I456+J456+K456</x:f>
        <x:v>112</x:v>
      </x:c>
      <x:c r="V456" s="11" t="n">
        <x:f>IFERROR(U456/P456,"")</x:f>
        <x:v>0.1593172119487909</x:v>
      </x:c>
      <x:c r="W456" s="9" t="str">
        <x:v>provisional_gt_5pct_pending</x:v>
      </x:c>
      <x:c r="X456" s="12" t="n">
        <x:f>IFERROR(F456/Z456*100000,"")</x:f>
        <x:v>16.421133284574932</x:v>
      </x:c>
      <x:c r="Y456" s="13" t="n">
        <x:f>LN(Z456)</x:f>
        <x:v>15.563422627412052</x:v>
      </x:c>
      <x:c r="Z456" s="6" t="str">
        <x:v>5742600</x:v>
      </x:c>
      <x:c r="AA456" s="6" t="str">
        <x:v>124.0</x:v>
      </x:c>
      <x:c r="AB456" s="9" t="str">
        <x:v>2025-06-30</x:v>
      </x:c>
      <x:c r="AC456" s="8" t="str">
        <x:v>80.8</x:v>
      </x:c>
      <x:c r="AD456" s="9" t="str">
        <x:v>2025 (Susenas)</x:v>
      </x:c>
      <x:c r="AE456" s="8" t="str">
        <x:v>18.6</x:v>
      </x:c>
      <x:c r="AF456" s="9" t="str">
        <x:v>Maret 2025 (Susenas)</x:v>
      </x:c>
      <x:c r="AG456" s="6" t="str">
        <x:v>28.05772318275255</x:v>
      </x:c>
      <x:c r="AH456" s="8" t="str">
        <x:v>75.22125890606583</x:v>
      </x:c>
      <x:c r="AI456" s="6" t="str">
        <x:v>141.97765577012248</x:v>
      </x:c>
      <x:c r="AJ456" s="6" t="str">
        <x:v>-0.2229404495911673</x:v>
      </x:c>
      <x:c r="AK456" s="8" t="str">
        <x:v>-0.404422919854128</x:v>
      </x:c>
      <x:c r="AL456" s="6" t="str">
        <x:v>1.711374850140115</x:v>
      </x:c>
      <x:c r="AM456" s="6" t="str">
        <x:v>1.5031259687985032</x:v>
      </x:c>
      <x:c r="AN456" s="6" t="str">
        <x:v>0.936692633028163</x:v>
      </x:c>
      <x:c r="AO456" s="6" t="str">
        <x:v>5.417652702647771</x:v>
      </x:c>
      <x:c r="AP456" s="8" t="str">
        <x:v>1.2341431014038144</x:v>
      </x:c>
      <x:c r="AQ456" s="6" t="str">
        <x:v>0.3544915103485681</x:v>
      </x:c>
      <x:c r="AR456" s="6" t="str">
        <x:v>0.5979496975445013</x:v>
      </x:c>
      <x:c r="AS456" s="6" t="str">
        <x:v>0.7288614364322948</x:v>
      </x:c>
      <x:c r="AT456" s="6" t="str">
        <x:v>37.838114599604666</x:v>
      </x:c>
      <x:c r="AU456" s="8" t="str">
        <x:v>0.7963388232186419</x:v>
      </x:c>
      <x:c r="AV456" s="6" t="str">
        <x:v>-0.0470018764679793</x:v>
      </x:c>
      <x:c r="AW456" s="6" t="str">
        <x:v>-0.0995024520139943</x:v>
      </x:c>
      <x:c r="AX456" s="6" t="str">
        <x:v>0.2166114982455561</x:v>
      </x:c>
      <x:c r="AY456" s="6" t="str">
        <x:v>0</x:v>
      </x:c>
      <x:c r="AZ456" s="6" t="str">
        <x:v>0</x:v>
      </x:c>
      <x:c r="BA456" s="9" t="str">
        <x:v>grid_cells_within_BIG_polygon</x:v>
      </x:c>
      <x:c r="BB456" s="6" t="str">
        <x:v>14</x:v>
      </x:c>
      <x:c r="BC456" s="6" t="str">
        <x:v>1</x:v>
      </x:c>
      <x:c r="BD456" s="6" t="str">
        <x:v>1</x:v>
      </x:c>
      <x:c r="BE456" s="6" t="str">
        <x:v>0</x:v>
      </x:c>
      <x:c r="BF456" s="6" t="str">
        <x:v>0</x:v>
      </x:c>
      <x:c r="BG456" s="6" t="str">
        <x:v>1</x:v>
      </x:c>
      <x:c r="BH456" s="6" t="str">
        <x:v>0</x:v>
      </x:c>
      <x:c r="BI456" s="6" t="str">
        <x:v>0</x:v>
      </x:c>
      <x:c r="BJ456" s="6" t="str">
        <x:v>0</x:v>
      </x:c>
      <x:c r="BK456" s="6" t="str">
        <x:v>0</x:v>
      </x:c>
      <x:c r="BL456" s="6" t="str">
        <x:v>0</x:v>
      </x:c>
      <x:c r="BM456" s="6" t="str">
        <x:v>0</x:v>
      </x:c>
      <x:c r="BN456" s="6" t="str">
        <x:v>1</x:v>
      </x:c>
      <x:c r="BO456" s="6" t="str"/>
      <x:c r="BP456" s="6" t="str">
        <x:v>0</x:v>
      </x:c>
      <x:c r="BQ456" s="6" t="str"/>
      <x:c r="BR456" s="6" t="str">
        <x:v>0</x:v>
      </x:c>
      <x:c r="BS456" s="6" t="str">
        <x:v>4.0</x:v>
      </x:c>
      <x:c r="BT456" s="6" t="str">
        <x:v>1</x:v>
      </x:c>
      <x:c r="BU456" s="6" t="str"/>
      <x:c r="BV456" s="6" t="str">
        <x:v>0</x:v>
      </x:c>
      <x:c r="BW456" s="9" t="str">
        <x:v>operational_snapshot_annual_totals_may_differ</x:v>
      </x:c>
      <x:c r="BX456" s="9" t="str">
        <x:v>official_live_dashboard_snapshot_subject_to_revision</x:v>
      </x:c>
      <x:c r="BY456" s="9" t="str">
        <x:v>https://tbdashboard.sitb.id/ss_data_tbc03so_2025_provinsi_bulanan_list.php</x:v>
      </x:c>
      <x:c r="BZ456" s="6" t="n">
        <x:v>46246.610671296294</x:v>
      </x:c>
    </x:row>
    <x:row r="457" ht="18" customHeight="1">
      <x:c r="A457" s="6" t="str">
        <x:v>53</x:v>
      </x:c>
      <x:c r="B457" s="6" t="str">
        <x:v>NUSA TENGGARA TIMUR</x:v>
      </x:c>
      <x:c r="C457" s="6" t="str">
        <x:v>2025</x:v>
      </x:c>
      <x:c r="D457" s="6" t="str">
        <x:v>12</x:v>
      </x:c>
      <x:c r="E457" s="6" t="str">
        <x:v>2025-12</x:v>
      </x:c>
      <x:c r="F457" s="6" t="str">
        <x:v>714</x:v>
      </x:c>
      <x:c r="G457" s="6" t="str">
        <x:v>133</x:v>
      </x:c>
      <x:c r="H457" s="6" t="str">
        <x:v>293</x:v>
      </x:c>
      <x:c r="I457" s="6" t="str">
        <x:v>24</x:v>
      </x:c>
      <x:c r="J457" s="6" t="str">
        <x:v>42</x:v>
      </x:c>
      <x:c r="K457" s="6" t="str">
        <x:v>0</x:v>
      </x:c>
      <x:c r="L457" s="6" t="str">
        <x:v>2</x:v>
      </x:c>
      <x:c r="M457" s="6" t="str">
        <x:v>220</x:v>
      </x:c>
      <x:c r="N457" s="6" t="str">
        <x:v>714</x:v>
      </x:c>
      <x:c r="O457" s="6" t="str">
        <x:v>0</x:v>
      </x:c>
      <x:c r="P457" s="10" t="n">
        <x:f>F457-M457</x:f>
        <x:v>494</x:v>
      </x:c>
      <x:c r="Q457" s="11" t="n">
        <x:f>IFERROR(M457/F457,"")</x:f>
        <x:v>0.3081232492997199</x:v>
      </x:c>
      <x:c r="R457" s="10" t="n">
        <x:f>G457+H457</x:f>
        <x:v>426</x:v>
      </x:c>
      <x:c r="S457" s="11" t="n">
        <x:f>IFERROR(R457/F457,"")</x:f>
        <x:v>0.5966386554621849</x:v>
      </x:c>
      <x:c r="T457" s="11" t="n">
        <x:f>IFERROR(R457/P457,"")</x:f>
        <x:v>0.8623481781376519</x:v>
      </x:c>
      <x:c r="U457" s="10" t="n">
        <x:f>I457+J457+K457</x:f>
        <x:v>66</x:v>
      </x:c>
      <x:c r="V457" s="11" t="n">
        <x:f>IFERROR(U457/P457,"")</x:f>
        <x:v>0.13360323886639677</x:v>
      </x:c>
      <x:c r="W457" s="9" t="str">
        <x:v>provisional_gt_5pct_pending</x:v>
      </x:c>
      <x:c r="X457" s="12" t="n">
        <x:f>IFERROR(F457/Z457*100000,"")</x:f>
        <x:v>12.433392539964476</x:v>
      </x:c>
      <x:c r="Y457" s="13" t="n">
        <x:f>LN(Z457)</x:f>
        <x:v>15.563422627412052</x:v>
      </x:c>
      <x:c r="Z457" s="6" t="str">
        <x:v>5742600</x:v>
      </x:c>
      <x:c r="AA457" s="6" t="str">
        <x:v>124.0</x:v>
      </x:c>
      <x:c r="AB457" s="9" t="str">
        <x:v>2025-06-30</x:v>
      </x:c>
      <x:c r="AC457" s="8" t="str">
        <x:v>80.8</x:v>
      </x:c>
      <x:c r="AD457" s="9" t="str">
        <x:v>2025 (Susenas)</x:v>
      </x:c>
      <x:c r="AE457" s="8" t="str">
        <x:v>18.6</x:v>
      </x:c>
      <x:c r="AF457" s="9" t="str">
        <x:v>Maret 2025 (Susenas)</x:v>
      </x:c>
      <x:c r="AG457" s="6" t="str">
        <x:v>27.101555612603764</x:v>
      </x:c>
      <x:c r="AH457" s="8" t="str">
        <x:v>81.81722510043339</x:v>
      </x:c>
      <x:c r="AI457" s="6" t="str">
        <x:v>257.0534404240945</x:v>
      </x:c>
      <x:c r="AJ457" s="6" t="str">
        <x:v>-0.083442789776015</x:v>
      </x:c>
      <x:c r="AK457" s="8" t="str">
        <x:v>-0.1324043504876271</x:v>
      </x:c>
      <x:c r="AL457" s="6" t="str">
        <x:v>-0.404422919854128</x:v>
      </x:c>
      <x:c r="AM457" s="6" t="str">
        <x:v>1.711374850140115</x:v>
      </x:c>
      <x:c r="AN457" s="6" t="str">
        <x:v>0.3915158599327861</x:v>
      </x:c>
      <x:c r="AO457" s="6" t="str">
        <x:v>2.765471929303573</x:v>
      </x:c>
      <x:c r="AP457" s="8" t="str">
        <x:v>0.7680709859813807</x:v>
      </x:c>
      <x:c r="AQ457" s="6" t="str">
        <x:v>1.2341431014038144</x:v>
      </x:c>
      <x:c r="AR457" s="6" t="str">
        <x:v>0.3544915103485681</x:v>
      </x:c>
      <x:c r="AS457" s="6" t="str">
        <x:v>0.7855685325779213</x:v>
      </x:c>
      <x:c r="AT457" s="6" t="str">
        <x:v>25.53456378418494</x:v>
      </x:c>
      <x:c r="AU457" s="8" t="str">
        <x:v>0.3256936548657732</x:v>
      </x:c>
      <x:c r="AV457" s="6" t="str">
        <x:v>0.7963388232186419</x:v>
      </x:c>
      <x:c r="AW457" s="6" t="str">
        <x:v>-0.0470018764679793</x:v>
      </x:c>
      <x:c r="AX457" s="6" t="str">
        <x:v>0.3583435338721454</x:v>
      </x:c>
      <x:c r="AY457" s="6" t="str">
        <x:v>0</x:v>
      </x:c>
      <x:c r="AZ457" s="6" t="str">
        <x:v>0</x:v>
      </x:c>
      <x:c r="BA457" s="9" t="str">
        <x:v>grid_cells_within_BIG_polygon</x:v>
      </x:c>
      <x:c r="BB457" s="6" t="str">
        <x:v>14</x:v>
      </x:c>
      <x:c r="BC457" s="6" t="str">
        <x:v>3</x:v>
      </x:c>
      <x:c r="BD457" s="6" t="str">
        <x:v>3</x:v>
      </x:c>
      <x:c r="BE457" s="6" t="str">
        <x:v>2</x:v>
      </x:c>
      <x:c r="BF457" s="6" t="str">
        <x:v>0</x:v>
      </x:c>
      <x:c r="BG457" s="6" t="str">
        <x:v>1</x:v>
      </x:c>
      <x:c r="BH457" s="6" t="str">
        <x:v>0</x:v>
      </x:c>
      <x:c r="BI457" s="6" t="str">
        <x:v>0</x:v>
      </x:c>
      <x:c r="BJ457" s="6" t="str">
        <x:v>0</x:v>
      </x:c>
      <x:c r="BK457" s="6" t="str">
        <x:v>0</x:v>
      </x:c>
      <x:c r="BL457" s="6" t="str">
        <x:v>0</x:v>
      </x:c>
      <x:c r="BM457" s="6" t="str">
        <x:v>0</x:v>
      </x:c>
      <x:c r="BN457" s="6" t="str">
        <x:v>3</x:v>
      </x:c>
      <x:c r="BO457" s="6" t="str"/>
      <x:c r="BP457" s="6" t="str">
        <x:v>0</x:v>
      </x:c>
      <x:c r="BQ457" s="6" t="str"/>
      <x:c r="BR457" s="6" t="str">
        <x:v>0</x:v>
      </x:c>
      <x:c r="BS457" s="6" t="str">
        <x:v>26.0</x:v>
      </x:c>
      <x:c r="BT457" s="6" t="str">
        <x:v>3</x:v>
      </x:c>
      <x:c r="BU457" s="6" t="str">
        <x:v>50.0</x:v>
      </x:c>
      <x:c r="BV457" s="6" t="str">
        <x:v>2</x:v>
      </x:c>
      <x:c r="BW457" s="9" t="str">
        <x:v>operational_snapshot_annual_totals_may_differ</x:v>
      </x:c>
      <x:c r="BX457" s="9" t="str">
        <x:v>official_live_dashboard_snapshot_subject_to_revision</x:v>
      </x:c>
      <x:c r="BY457" s="9" t="str">
        <x:v>https://tbdashboard.sitb.id/ss_data_tbc03so_2025_provinsi_bulanan_list.php</x:v>
      </x:c>
      <x:c r="BZ457" s="6" t="n">
        <x:v>46246.610671296294</x:v>
      </x:c>
    </x:row>
    <x:row r="458" ht="18" customHeight="1">
      <x:c r="A458" s="6" t="str">
        <x:v>61</x:v>
      </x:c>
      <x:c r="B458" s="6" t="str">
        <x:v>KALIMANTAN BARAT</x:v>
      </x:c>
      <x:c r="C458" s="6" t="str">
        <x:v>2024</x:v>
      </x:c>
      <x:c r="D458" s="6" t="str">
        <x:v>1</x:v>
      </x:c>
      <x:c r="E458" s="6" t="str">
        <x:v>2024-01</x:v>
      </x:c>
      <x:c r="F458" s="6" t="str">
        <x:v>1206</x:v>
      </x:c>
      <x:c r="G458" s="6" t="str">
        <x:v>263</x:v>
      </x:c>
      <x:c r="H458" s="6" t="str">
        <x:v>786</x:v>
      </x:c>
      <x:c r="I458" s="6" t="str">
        <x:v>91</x:v>
      </x:c>
      <x:c r="J458" s="6" t="str">
        <x:v>45</x:v>
      </x:c>
      <x:c r="K458" s="6" t="str">
        <x:v>0</x:v>
      </x:c>
      <x:c r="L458" s="6" t="str">
        <x:v>7</x:v>
      </x:c>
      <x:c r="M458" s="6" t="str">
        <x:v>14</x:v>
      </x:c>
      <x:c r="N458" s="6" t="str">
        <x:v>1206</x:v>
      </x:c>
      <x:c r="O458" s="6" t="str">
        <x:v>0</x:v>
      </x:c>
      <x:c r="P458" s="10" t="n">
        <x:f>F458-M458</x:f>
        <x:v>1192</x:v>
      </x:c>
      <x:c r="Q458" s="11" t="n">
        <x:f>IFERROR(M458/F458,"")</x:f>
        <x:v>0.011608623548922056</x:v>
      </x:c>
      <x:c r="R458" s="10" t="n">
        <x:f>G458+H458</x:f>
        <x:v>1049</x:v>
      </x:c>
      <x:c r="S458" s="11" t="n">
        <x:f>IFERROR(R458/F458,"")</x:f>
        <x:v>0.8698175787728026</x:v>
      </x:c>
      <x:c r="T458" s="11" t="n">
        <x:f>IFERROR(R458/P458,"")</x:f>
        <x:v>0.8800335570469798</x:v>
      </x:c>
      <x:c r="U458" s="10" t="n">
        <x:f>I458+J458+K458</x:f>
        <x:v>136</x:v>
      </x:c>
      <x:c r="V458" s="11" t="n">
        <x:f>IFERROR(U458/P458,"")</x:f>
        <x:v>0.11409395973154363</x:v>
      </x:c>
      <x:c r="W458" s="9" t="str">
        <x:v>mature_le_5pct_pending</x:v>
      </x:c>
      <x:c r="X458" s="12" t="n">
        <x:f>IFERROR(F458/Z458*100000,"")</x:f>
        <x:v>21.174611535422702</x:v>
      </x:c>
      <x:c r="Y458" s="13" t="n">
        <x:f>LN(Z458)</x:f>
        <x:v>15.555186947322104</x:v>
      </x:c>
      <x:c r="Z458" s="6" t="str">
        <x:v>5695500</x:v>
      </x:c>
      <x:c r="AA458" s="6" t="str">
        <x:v>39.0</x:v>
      </x:c>
      <x:c r="AB458" s="9" t="str">
        <x:v>2024-06-30</x:v>
      </x:c>
      <x:c r="AC458" s="8" t="str">
        <x:v>81.56</x:v>
      </x:c>
      <x:c r="AD458" s="9" t="str">
        <x:v>2024 (Susenas)</x:v>
      </x:c>
      <x:c r="AE458" s="8" t="str">
        <x:v>6.32</x:v>
      </x:c>
      <x:c r="AF458" s="9" t="str">
        <x:v>Maret 2024 (Susenas)</x:v>
      </x:c>
      <x:c r="AG458" s="6" t="str">
        <x:v>25.88855912244885</x:v>
      </x:c>
      <x:c r="AH458" s="8" t="str">
        <x:v>92.58312345978769</x:v>
      </x:c>
      <x:c r="AI458" s="6" t="str">
        <x:v>442.85095368478136</x:v>
      </x:c>
      <x:c r="AJ458" s="6" t="str">
        <x:v>0.8857442406376883</x:v>
      </x:c>
      <x:c r="AK458" s="8" t="str">
        <x:v>2.575313348217888</x:v>
      </x:c>
      <x:c r="AL458" s="6" t="str">
        <x:v>4.253073321165529</x:v>
      </x:c>
      <x:c r="AM458" s="6" t="str">
        <x:v>4.707468915889657</x:v>
      </x:c>
      <x:c r="AN458" s="6" t="str">
        <x:v>3.845285195091024</x:v>
      </x:c>
      <x:c r="AO458" s="6" t="str">
        <x:v>0.7387273097636182</x:v>
      </x:c>
      <x:c r="AP458" s="8" t="str">
        <x:v>1.1258436457116443</x:v>
      </x:c>
      <x:c r="AQ458" s="6" t="str">
        <x:v>-0.2589959938788888</x:v>
      </x:c>
      <x:c r="AR458" s="6" t="str">
        <x:v>-1.090760280238103</x:v>
      </x:c>
      <x:c r="AS458" s="6" t="str">
        <x:v>-0.0746375428017821</x:v>
      </x:c>
      <x:c r="AT458" s="6" t="str">
        <x:v>113.82667678077524</x:v>
      </x:c>
      <x:c r="AU458" s="8" t="str">
        <x:v>1.4599122974797158</x:v>
      </x:c>
      <x:c r="AV458" s="6" t="str">
        <x:v>0.5083363944148623</x:v>
      </x:c>
      <x:c r="AW458" s="6" t="str">
        <x:v>0.8079763561112691</x:v>
      </x:c>
      <x:c r="AX458" s="6" t="str">
        <x:v>0.9254083493352824</x:v>
      </x:c>
      <x:c r="AY458" s="6" t="str">
        <x:v>1</x:v>
      </x:c>
      <x:c r="AZ458" s="6" t="str">
        <x:v>1</x:v>
      </x:c>
      <x:c r="BA458" s="9" t="str">
        <x:v>grid_cells_within_BIG_polygon</x:v>
      </x:c>
      <x:c r="BB458" s="6" t="str">
        <x:v>35</x:v>
      </x:c>
      <x:c r="BC458" s="6" t="str">
        <x:v>9</x:v>
      </x:c>
      <x:c r="BD458" s="6" t="str">
        <x:v>9</x:v>
      </x:c>
      <x:c r="BE458" s="6" t="str">
        <x:v>9</x:v>
      </x:c>
      <x:c r="BF458" s="6" t="str">
        <x:v>0</x:v>
      </x:c>
      <x:c r="BG458" s="6" t="str">
        <x:v>0</x:v>
      </x:c>
      <x:c r="BH458" s="6" t="str">
        <x:v>0</x:v>
      </x:c>
      <x:c r="BI458" s="6" t="str">
        <x:v>0</x:v>
      </x:c>
      <x:c r="BJ458" s="6" t="str">
        <x:v>0</x:v>
      </x:c>
      <x:c r="BK458" s="6" t="str">
        <x:v>0</x:v>
      </x:c>
      <x:c r="BL458" s="6" t="str">
        <x:v>0</x:v>
      </x:c>
      <x:c r="BM458" s="6" t="str">
        <x:v>0</x:v>
      </x:c>
      <x:c r="BN458" s="6" t="str">
        <x:v>9</x:v>
      </x:c>
      <x:c r="BO458" s="6" t="str">
        <x:v>0.0</x:v>
      </x:c>
      <x:c r="BP458" s="6" t="str">
        <x:v>9</x:v>
      </x:c>
      <x:c r="BQ458" s="6" t="str">
        <x:v>0.0</x:v>
      </x:c>
      <x:c r="BR458" s="6" t="str">
        <x:v>9</x:v>
      </x:c>
      <x:c r="BS458" s="6" t="str">
        <x:v>3.0</x:v>
      </x:c>
      <x:c r="BT458" s="6" t="str">
        <x:v>9</x:v>
      </x:c>
      <x:c r="BU458" s="6" t="str">
        <x:v>38504.0</x:v>
      </x:c>
      <x:c r="BV458" s="6" t="str">
        <x:v>9</x:v>
      </x:c>
      <x:c r="BW458" s="9" t="str">
        <x:v>operational_snapshot_annual_totals_may_differ</x:v>
      </x:c>
      <x:c r="BX458" s="9" t="str">
        <x:v>official_live_dashboard_snapshot_subject_to_revision</x:v>
      </x:c>
      <x:c r="BY458" s="9" t="str">
        <x:v>https://tbdashboard.sitb.id/ss_data_tbc03so_2024_provinsi_bulanan_list.php</x:v>
      </x:c>
      <x:c r="BZ458" s="6" t="n">
        <x:v>46246.610671296294</x:v>
      </x:c>
    </x:row>
    <x:row r="459" ht="18" customHeight="1">
      <x:c r="A459" s="6" t="str">
        <x:v>61</x:v>
      </x:c>
      <x:c r="B459" s="6" t="str">
        <x:v>KALIMANTAN BARAT</x:v>
      </x:c>
      <x:c r="C459" s="6" t="str">
        <x:v>2024</x:v>
      </x:c>
      <x:c r="D459" s="6" t="str">
        <x:v>2</x:v>
      </x:c>
      <x:c r="E459" s="6" t="str">
        <x:v>2024-02</x:v>
      </x:c>
      <x:c r="F459" s="6" t="str">
        <x:v>1003</x:v>
      </x:c>
      <x:c r="G459" s="6" t="str">
        <x:v>239</x:v>
      </x:c>
      <x:c r="H459" s="6" t="str">
        <x:v>604</x:v>
      </x:c>
      <x:c r="I459" s="6" t="str">
        <x:v>92</x:v>
      </x:c>
      <x:c r="J459" s="6" t="str">
        <x:v>51</x:v>
      </x:c>
      <x:c r="K459" s="6" t="str">
        <x:v>1</x:v>
      </x:c>
      <x:c r="L459" s="6" t="str">
        <x:v>4</x:v>
      </x:c>
      <x:c r="M459" s="6" t="str">
        <x:v>12</x:v>
      </x:c>
      <x:c r="N459" s="6" t="str">
        <x:v>1003</x:v>
      </x:c>
      <x:c r="O459" s="6" t="str">
        <x:v>0</x:v>
      </x:c>
      <x:c r="P459" s="10" t="n">
        <x:f>F459-M459</x:f>
        <x:v>991</x:v>
      </x:c>
      <x:c r="Q459" s="11" t="n">
        <x:f>IFERROR(M459/F459,"")</x:f>
        <x:v>0.011964107676969093</x:v>
      </x:c>
      <x:c r="R459" s="10" t="n">
        <x:f>G459+H459</x:f>
        <x:v>843</x:v>
      </x:c>
      <x:c r="S459" s="11" t="n">
        <x:f>IFERROR(R459/F459,"")</x:f>
        <x:v>0.8404785643070788</x:v>
      </x:c>
      <x:c r="T459" s="11" t="n">
        <x:f>IFERROR(R459/P459,"")</x:f>
        <x:v>0.8506559031281534</x:v>
      </x:c>
      <x:c r="U459" s="10" t="n">
        <x:f>I459+J459+K459</x:f>
        <x:v>144</x:v>
      </x:c>
      <x:c r="V459" s="11" t="n">
        <x:f>IFERROR(U459/P459,"")</x:f>
        <x:v>0.14530776992936428</x:v>
      </x:c>
      <x:c r="W459" s="9" t="str">
        <x:v>mature_le_5pct_pending</x:v>
      </x:c>
      <x:c r="X459" s="12" t="n">
        <x:f>IFERROR(F459/Z459*100000,"")</x:f>
        <x:v>17.610394170836624</x:v>
      </x:c>
      <x:c r="Y459" s="13" t="n">
        <x:f>LN(Z459)</x:f>
        <x:v>15.555186947322104</x:v>
      </x:c>
      <x:c r="Z459" s="6" t="str">
        <x:v>5695500</x:v>
      </x:c>
      <x:c r="AA459" s="6" t="str">
        <x:v>39.0</x:v>
      </x:c>
      <x:c r="AB459" s="9" t="str">
        <x:v>2024-06-30</x:v>
      </x:c>
      <x:c r="AC459" s="8" t="str">
        <x:v>81.56</x:v>
      </x:c>
      <x:c r="AD459" s="9" t="str">
        <x:v>2024 (Susenas)</x:v>
      </x:c>
      <x:c r="AE459" s="8" t="str">
        <x:v>6.32</x:v>
      </x:c>
      <x:c r="AF459" s="9" t="str">
        <x:v>Maret 2024 (Susenas)</x:v>
      </x:c>
      <x:c r="AG459" s="6" t="str">
        <x:v>26.176272433094564</x:v>
      </x:c>
      <x:c r="AH459" s="8" t="str">
        <x:v>91.83255219516631</x:v>
      </x:c>
      <x:c r="AI459" s="6" t="str">
        <x:v>398.0113456031951</x:v>
      </x:c>
      <x:c r="AJ459" s="6" t="str">
        <x:v>1.0351227263608005</x:v>
      </x:c>
      <x:c r="AK459" s="8" t="str">
        <x:v>3.3507817318446618</x:v>
      </x:c>
      <x:c r="AL459" s="6" t="str">
        <x:v>2.575313348217888</x:v>
      </x:c>
      <x:c r="AM459" s="6" t="str">
        <x:v>4.253073321165529</x:v>
      </x:c>
      <x:c r="AN459" s="6" t="str">
        <x:v>3.393056133742693</x:v>
      </x:c>
      <x:c r="AO459" s="6" t="str">
        <x:v>0.7903264874126705</x:v>
      </x:c>
      <x:c r="AP459" s="8" t="str">
        <x:v>0.9029482930879336</x:v>
      </x:c>
      <x:c r="AQ459" s="6" t="str">
        <x:v>1.1258436457116443</x:v>
      </x:c>
      <x:c r="AR459" s="6" t="str">
        <x:v>-0.2589959938788888</x:v>
      </x:c>
      <x:c r="AS459" s="6" t="str">
        <x:v>0.58993198164023</x:v>
      </x:c>
      <x:c r="AT459" s="6" t="str">
        <x:v>134.84296133043733</x:v>
      </x:c>
      <x:c r="AU459" s="8" t="str">
        <x:v>1.3934964817860986</x:v>
      </x:c>
      <x:c r="AV459" s="6" t="str">
        <x:v>1.4599122974797158</x:v>
      </x:c>
      <x:c r="AW459" s="6" t="str">
        <x:v>0.5083363944148623</x:v>
      </x:c>
      <x:c r="AX459" s="6" t="str">
        <x:v>1.1205817245602256</x:v>
      </x:c>
      <x:c r="AY459" s="6" t="str">
        <x:v>1</x:v>
      </x:c>
      <x:c r="AZ459" s="6" t="str">
        <x:v>1</x:v>
      </x:c>
      <x:c r="BA459" s="9" t="str">
        <x:v>grid_cells_within_BIG_polygon</x:v>
      </x:c>
      <x:c r="BB459" s="6" t="str">
        <x:v>35</x:v>
      </x:c>
      <x:c r="BC459" s="6" t="str">
        <x:v>2</x:v>
      </x:c>
      <x:c r="BD459" s="6" t="str">
        <x:v>2</x:v>
      </x:c>
      <x:c r="BE459" s="6" t="str">
        <x:v>2</x:v>
      </x:c>
      <x:c r="BF459" s="6" t="str">
        <x:v>0</x:v>
      </x:c>
      <x:c r="BG459" s="6" t="str">
        <x:v>0</x:v>
      </x:c>
      <x:c r="BH459" s="6" t="str">
        <x:v>0</x:v>
      </x:c>
      <x:c r="BI459" s="6" t="str">
        <x:v>0</x:v>
      </x:c>
      <x:c r="BJ459" s="6" t="str">
        <x:v>0</x:v>
      </x:c>
      <x:c r="BK459" s="6" t="str">
        <x:v>0</x:v>
      </x:c>
      <x:c r="BL459" s="6" t="str">
        <x:v>0</x:v>
      </x:c>
      <x:c r="BM459" s="6" t="str">
        <x:v>0</x:v>
      </x:c>
      <x:c r="BN459" s="6" t="str">
        <x:v>2</x:v>
      </x:c>
      <x:c r="BO459" s="6" t="str">
        <x:v>0.0</x:v>
      </x:c>
      <x:c r="BP459" s="6" t="str">
        <x:v>2</x:v>
      </x:c>
      <x:c r="BQ459" s="6" t="str">
        <x:v>0.0</x:v>
      </x:c>
      <x:c r="BR459" s="6" t="str">
        <x:v>2</x:v>
      </x:c>
      <x:c r="BS459" s="6" t="str">
        <x:v>0.0</x:v>
      </x:c>
      <x:c r="BT459" s="6" t="str">
        <x:v>2</x:v>
      </x:c>
      <x:c r="BU459" s="6" t="str">
        <x:v>380.0</x:v>
      </x:c>
      <x:c r="BV459" s="6" t="str">
        <x:v>2</x:v>
      </x:c>
      <x:c r="BW459" s="9" t="str">
        <x:v>operational_snapshot_annual_totals_may_differ</x:v>
      </x:c>
      <x:c r="BX459" s="9" t="str">
        <x:v>official_live_dashboard_snapshot_subject_to_revision</x:v>
      </x:c>
      <x:c r="BY459" s="9" t="str">
        <x:v>https://tbdashboard.sitb.id/ss_data_tbc03so_2024_provinsi_bulanan_list.php</x:v>
      </x:c>
      <x:c r="BZ459" s="6" t="n">
        <x:v>46246.610671296294</x:v>
      </x:c>
    </x:row>
    <x:row r="460" ht="18" customHeight="1">
      <x:c r="A460" s="6" t="str">
        <x:v>61</x:v>
      </x:c>
      <x:c r="B460" s="6" t="str">
        <x:v>KALIMANTAN BARAT</x:v>
      </x:c>
      <x:c r="C460" s="6" t="str">
        <x:v>2024</x:v>
      </x:c>
      <x:c r="D460" s="6" t="str">
        <x:v>3</x:v>
      </x:c>
      <x:c r="E460" s="6" t="str">
        <x:v>2024-03</x:v>
      </x:c>
      <x:c r="F460" s="6" t="str">
        <x:v>1090</x:v>
      </x:c>
      <x:c r="G460" s="6" t="str">
        <x:v>296</x:v>
      </x:c>
      <x:c r="H460" s="6" t="str">
        <x:v>656</x:v>
      </x:c>
      <x:c r="I460" s="6" t="str">
        <x:v>76</x:v>
      </x:c>
      <x:c r="J460" s="6" t="str">
        <x:v>39</x:v>
      </x:c>
      <x:c r="K460" s="6" t="str">
        <x:v>5</x:v>
      </x:c>
      <x:c r="L460" s="6" t="str">
        <x:v>3</x:v>
      </x:c>
      <x:c r="M460" s="6" t="str">
        <x:v>15</x:v>
      </x:c>
      <x:c r="N460" s="6" t="str">
        <x:v>1090</x:v>
      </x:c>
      <x:c r="O460" s="6" t="str">
        <x:v>0</x:v>
      </x:c>
      <x:c r="P460" s="10" t="n">
        <x:f>F460-M460</x:f>
        <x:v>1075</x:v>
      </x:c>
      <x:c r="Q460" s="11" t="n">
        <x:f>IFERROR(M460/F460,"")</x:f>
        <x:v>0.013761467889908258</x:v>
      </x:c>
      <x:c r="R460" s="10" t="n">
        <x:f>G460+H460</x:f>
        <x:v>952</x:v>
      </x:c>
      <x:c r="S460" s="11" t="n">
        <x:f>IFERROR(R460/F460,"")</x:f>
        <x:v>0.8733944954128441</x:v>
      </x:c>
      <x:c r="T460" s="11" t="n">
        <x:f>IFERROR(R460/P460,"")</x:f>
        <x:v>0.8855813953488372</x:v>
      </x:c>
      <x:c r="U460" s="10" t="n">
        <x:f>I460+J460+K460</x:f>
        <x:v>120</x:v>
      </x:c>
      <x:c r="V460" s="11" t="n">
        <x:f>IFERROR(U460/P460,"")</x:f>
        <x:v>0.11162790697674418</x:v>
      </x:c>
      <x:c r="W460" s="9" t="str">
        <x:v>mature_le_5pct_pending</x:v>
      </x:c>
      <x:c r="X460" s="12" t="n">
        <x:f>IFERROR(F460/Z460*100000,"")</x:f>
        <x:v>19.137915898516372</x:v>
      </x:c>
      <x:c r="Y460" s="13" t="n">
        <x:f>LN(Z460)</x:f>
        <x:v>15.555186947322104</x:v>
      </x:c>
      <x:c r="Z460" s="6" t="str">
        <x:v>5695500</x:v>
      </x:c>
      <x:c r="AA460" s="6" t="str">
        <x:v>39.0</x:v>
      </x:c>
      <x:c r="AB460" s="9" t="str">
        <x:v>2024-06-30</x:v>
      </x:c>
      <x:c r="AC460" s="8" t="str">
        <x:v>81.56</x:v>
      </x:c>
      <x:c r="AD460" s="9" t="str">
        <x:v>2024 (Susenas)</x:v>
      </x:c>
      <x:c r="AE460" s="8" t="str">
        <x:v>6.32</x:v>
      </x:c>
      <x:c r="AF460" s="9" t="str">
        <x:v>Maret 2024 (Susenas)</x:v>
      </x:c>
      <x:c r="AG460" s="6" t="str">
        <x:v>26.40542029029303</x:v>
      </x:c>
      <x:c r="AH460" s="8" t="str">
        <x:v>91.69710156408875</x:v>
      </x:c>
      <x:c r="AI460" s="6" t="str">
        <x:v>369.15892583365286</x:v>
      </x:c>
      <x:c r="AJ460" s="6" t="str">
        <x:v>0.9538422097359174</x:v>
      </x:c>
      <x:c r="AK460" s="8" t="str">
        <x:v>3.234359361906223</x:v>
      </x:c>
      <x:c r="AL460" s="6" t="str">
        <x:v>3.3507817318446618</x:v>
      </x:c>
      <x:c r="AM460" s="6" t="str">
        <x:v>2.575313348217888</x:v>
      </x:c>
      <x:c r="AN460" s="6" t="str">
        <x:v>3.053484813989591</x:v>
      </x:c>
      <x:c r="AO460" s="6" t="str">
        <x:v>0.8269804219020642</x:v>
      </x:c>
      <x:c r="AP460" s="8" t="str">
        <x:v>1.2223941571700752</x:v>
      </x:c>
      <x:c r="AQ460" s="6" t="str">
        <x:v>0.9029482930879336</x:v>
      </x:c>
      <x:c r="AR460" s="6" t="str">
        <x:v>1.1258436457116443</x:v>
      </x:c>
      <x:c r="AS460" s="6" t="str">
        <x:v>1.0837286986565513</x:v>
      </x:c>
      <x:c r="AT460" s="6" t="str">
        <x:v>95.09979185349796</x:v>
      </x:c>
      <x:c r="AU460" s="8" t="str">
        <x:v>1.1716119415630657</x:v>
      </x:c>
      <x:c r="AV460" s="6" t="str">
        <x:v>1.3934964817860986</x:v>
      </x:c>
      <x:c r="AW460" s="6" t="str">
        <x:v>1.4599122974797158</x:v>
      </x:c>
      <x:c r="AX460" s="6" t="str">
        <x:v>1.3416735736096268</x:v>
      </x:c>
      <x:c r="AY460" s="6" t="str">
        <x:v>1</x:v>
      </x:c>
      <x:c r="AZ460" s="6" t="str">
        <x:v>1</x:v>
      </x:c>
      <x:c r="BA460" s="9" t="str">
        <x:v>grid_cells_within_BIG_polygon</x:v>
      </x:c>
      <x:c r="BB460" s="6" t="str">
        <x:v>35</x:v>
      </x:c>
      <x:c r="BC460" s="6" t="str">
        <x:v>7</x:v>
      </x:c>
      <x:c r="BD460" s="6" t="str">
        <x:v>7</x:v>
      </x:c>
      <x:c r="BE460" s="6" t="str">
        <x:v>7</x:v>
      </x:c>
      <x:c r="BF460" s="6" t="str">
        <x:v>0</x:v>
      </x:c>
      <x:c r="BG460" s="6" t="str">
        <x:v>0</x:v>
      </x:c>
      <x:c r="BH460" s="6" t="str">
        <x:v>0</x:v>
      </x:c>
      <x:c r="BI460" s="6" t="str">
        <x:v>0</x:v>
      </x:c>
      <x:c r="BJ460" s="6" t="str">
        <x:v>0</x:v>
      </x:c>
      <x:c r="BK460" s="6" t="str">
        <x:v>0</x:v>
      </x:c>
      <x:c r="BL460" s="6" t="str">
        <x:v>0</x:v>
      </x:c>
      <x:c r="BM460" s="6" t="str">
        <x:v>0</x:v>
      </x:c>
      <x:c r="BN460" s="6" t="str">
        <x:v>7</x:v>
      </x:c>
      <x:c r="BO460" s="6" t="str">
        <x:v>2.0</x:v>
      </x:c>
      <x:c r="BP460" s="6" t="str">
        <x:v>7</x:v>
      </x:c>
      <x:c r="BQ460" s="6" t="str">
        <x:v>0.0</x:v>
      </x:c>
      <x:c r="BR460" s="6" t="str">
        <x:v>7</x:v>
      </x:c>
      <x:c r="BS460" s="6" t="str">
        <x:v>1.0</x:v>
      </x:c>
      <x:c r="BT460" s="6" t="str">
        <x:v>7</x:v>
      </x:c>
      <x:c r="BU460" s="6" t="str">
        <x:v>21544.0</x:v>
      </x:c>
      <x:c r="BV460" s="6" t="str">
        <x:v>7</x:v>
      </x:c>
      <x:c r="BW460" s="9" t="str">
        <x:v>operational_snapshot_annual_totals_may_differ</x:v>
      </x:c>
      <x:c r="BX460" s="9" t="str">
        <x:v>official_live_dashboard_snapshot_subject_to_revision</x:v>
      </x:c>
      <x:c r="BY460" s="9" t="str">
        <x:v>https://tbdashboard.sitb.id/ss_data_tbc03so_2024_provinsi_bulanan_list.php</x:v>
      </x:c>
      <x:c r="BZ460" s="6" t="n">
        <x:v>46246.610671296294</x:v>
      </x:c>
    </x:row>
    <x:row r="461" ht="18" customHeight="1">
      <x:c r="A461" s="6" t="str">
        <x:v>61</x:v>
      </x:c>
      <x:c r="B461" s="6" t="str">
        <x:v>KALIMANTAN BARAT</x:v>
      </x:c>
      <x:c r="C461" s="6" t="str">
        <x:v>2024</x:v>
      </x:c>
      <x:c r="D461" s="6" t="str">
        <x:v>4</x:v>
      </x:c>
      <x:c r="E461" s="6" t="str">
        <x:v>2024-04</x:v>
      </x:c>
      <x:c r="F461" s="6" t="str">
        <x:v>917</x:v>
      </x:c>
      <x:c r="G461" s="6" t="str">
        <x:v>241</x:v>
      </x:c>
      <x:c r="H461" s="6" t="str">
        <x:v>562</x:v>
      </x:c>
      <x:c r="I461" s="6" t="str">
        <x:v>67</x:v>
      </x:c>
      <x:c r="J461" s="6" t="str">
        <x:v>32</x:v>
      </x:c>
      <x:c r="K461" s="6" t="str">
        <x:v>2</x:v>
      </x:c>
      <x:c r="L461" s="6" t="str">
        <x:v>3</x:v>
      </x:c>
      <x:c r="M461" s="6" t="str">
        <x:v>10</x:v>
      </x:c>
      <x:c r="N461" s="6" t="str">
        <x:v>917</x:v>
      </x:c>
      <x:c r="O461" s="6" t="str">
        <x:v>0</x:v>
      </x:c>
      <x:c r="P461" s="10" t="n">
        <x:f>F461-M461</x:f>
        <x:v>907</x:v>
      </x:c>
      <x:c r="Q461" s="11" t="n">
        <x:f>IFERROR(M461/F461,"")</x:f>
        <x:v>0.010905125408942203</x:v>
      </x:c>
      <x:c r="R461" s="10" t="n">
        <x:f>G461+H461</x:f>
        <x:v>803</x:v>
      </x:c>
      <x:c r="S461" s="11" t="n">
        <x:f>IFERROR(R461/F461,"")</x:f>
        <x:v>0.8756815703380589</x:v>
      </x:c>
      <x:c r="T461" s="11" t="n">
        <x:f>IFERROR(R461/P461,"")</x:f>
        <x:v>0.8853362734288864</x:v>
      </x:c>
      <x:c r="U461" s="10" t="n">
        <x:f>I461+J461+K461</x:f>
        <x:v>101</x:v>
      </x:c>
      <x:c r="V461" s="11" t="n">
        <x:f>IFERROR(U461/P461,"")</x:f>
        <x:v>0.1113561190738699</x:v>
      </x:c>
      <x:c r="W461" s="9" t="str">
        <x:v>mature_le_5pct_pending</x:v>
      </x:c>
      <x:c r="X461" s="12" t="n">
        <x:f>IFERROR(F461/Z461*100000,"")</x:f>
        <x:v>16.10043016416469</x:v>
      </x:c>
      <x:c r="Y461" s="13" t="n">
        <x:f>LN(Z461)</x:f>
        <x:v>15.555186947322104</x:v>
      </x:c>
      <x:c r="Z461" s="6" t="str">
        <x:v>5695500</x:v>
      </x:c>
      <x:c r="AA461" s="6" t="str">
        <x:v>39.0</x:v>
      </x:c>
      <x:c r="AB461" s="9" t="str">
        <x:v>2024-06-30</x:v>
      </x:c>
      <x:c r="AC461" s="8" t="str">
        <x:v>81.56</x:v>
      </x:c>
      <x:c r="AD461" s="9" t="str">
        <x:v>2024 (Susenas)</x:v>
      </x:c>
      <x:c r="AE461" s="8" t="str">
        <x:v>6.32</x:v>
      </x:c>
      <x:c r="AF461" s="9" t="str">
        <x:v>Maret 2024 (Susenas)</x:v>
      </x:c>
      <x:c r="AG461" s="6" t="str">
        <x:v>26.753704647354084</x:v>
      </x:c>
      <x:c r="AH461" s="8" t="str">
        <x:v>92.09566559343584</x:v>
      </x:c>
      <x:c r="AI461" s="6" t="str">
        <x:v>286.7369735101838</x:v>
      </x:c>
      <x:c r="AJ461" s="6" t="str">
        <x:v>1.072025068883196</x:v>
      </x:c>
      <x:c r="AK461" s="8" t="str">
        <x:v>3.9231737491217897</x:v>
      </x:c>
      <x:c r="AL461" s="6" t="str">
        <x:v>3.234359361906223</x:v>
      </x:c>
      <x:c r="AM461" s="6" t="str">
        <x:v>3.3507817318446618</x:v>
      </x:c>
      <x:c r="AN461" s="6" t="str">
        <x:v>3.502771614290891</x:v>
      </x:c>
      <x:c r="AO461" s="6" t="str">
        <x:v>0.5677084089062419</x:v>
      </x:c>
      <x:c r="AP461" s="8" t="str">
        <x:v>1.0039188210819407</x:v>
      </x:c>
      <x:c r="AQ461" s="6" t="str">
        <x:v>1.2223941571700752</x:v>
      </x:c>
      <x:c r="AR461" s="6" t="str">
        <x:v>0.9029482930879336</x:v>
      </x:c>
      <x:c r="AS461" s="6" t="str">
        <x:v>1.04308709044665</x:v>
      </x:c>
      <x:c r="AT461" s="6" t="str">
        <x:v>-1.9169722099355224</x:v>
      </x:c>
      <x:c r="AU461" s="8" t="str">
        <x:v>-0.0374471172629678</x:v>
      </x:c>
      <x:c r="AV461" s="6" t="str">
        <x:v>1.1716119415630657</x:v>
      </x:c>
      <x:c r="AW461" s="6" t="str">
        <x:v>1.3934964817860986</x:v>
      </x:c>
      <x:c r="AX461" s="6" t="str">
        <x:v>0.8425537686953989</x:v>
      </x:c>
      <x:c r="AY461" s="6" t="str">
        <x:v>0</x:v>
      </x:c>
      <x:c r="AZ461" s="6" t="str">
        <x:v>1</x:v>
      </x:c>
      <x:c r="BA461" s="9" t="str">
        <x:v>grid_cells_within_BIG_polygon</x:v>
      </x:c>
      <x:c r="BB461" s="6" t="str">
        <x:v>35</x:v>
      </x:c>
      <x:c r="BC461" s="6" t="str">
        <x:v>2</x:v>
      </x:c>
      <x:c r="BD461" s="6" t="str">
        <x:v>2</x:v>
      </x:c>
      <x:c r="BE461" s="6" t="str">
        <x:v>1</x:v>
      </x:c>
      <x:c r="BF461" s="6" t="str">
        <x:v>0</x:v>
      </x:c>
      <x:c r="BG461" s="6" t="str">
        <x:v>0</x:v>
      </x:c>
      <x:c r="BH461" s="6" t="str">
        <x:v>0</x:v>
      </x:c>
      <x:c r="BI461" s="6" t="str">
        <x:v>1</x:v>
      </x:c>
      <x:c r="BJ461" s="6" t="str">
        <x:v>0</x:v>
      </x:c>
      <x:c r="BK461" s="6" t="str">
        <x:v>0</x:v>
      </x:c>
      <x:c r="BL461" s="6" t="str">
        <x:v>0</x:v>
      </x:c>
      <x:c r="BM461" s="6" t="str">
        <x:v>0</x:v>
      </x:c>
      <x:c r="BN461" s="6" t="str">
        <x:v>2</x:v>
      </x:c>
      <x:c r="BO461" s="6" t="str">
        <x:v>0.0</x:v>
      </x:c>
      <x:c r="BP461" s="6" t="str">
        <x:v>2</x:v>
      </x:c>
      <x:c r="BQ461" s="6" t="str">
        <x:v>0.0</x:v>
      </x:c>
      <x:c r="BR461" s="6" t="str">
        <x:v>2</x:v>
      </x:c>
      <x:c r="BS461" s="6" t="str">
        <x:v>0.0</x:v>
      </x:c>
      <x:c r="BT461" s="6" t="str">
        <x:v>2</x:v>
      </x:c>
      <x:c r="BU461" s="6" t="str">
        <x:v>103.0</x:v>
      </x:c>
      <x:c r="BV461" s="6" t="str">
        <x:v>1</x:v>
      </x:c>
      <x:c r="BW461" s="9" t="str">
        <x:v>operational_snapshot_annual_totals_may_differ</x:v>
      </x:c>
      <x:c r="BX461" s="9" t="str">
        <x:v>official_live_dashboard_snapshot_subject_to_revision</x:v>
      </x:c>
      <x:c r="BY461" s="9" t="str">
        <x:v>https://tbdashboard.sitb.id/ss_data_tbc03so_2024_provinsi_bulanan_list.php</x:v>
      </x:c>
      <x:c r="BZ461" s="6" t="n">
        <x:v>46246.610671296294</x:v>
      </x:c>
    </x:row>
    <x:row r="462" ht="18" customHeight="1">
      <x:c r="A462" s="6" t="str">
        <x:v>61</x:v>
      </x:c>
      <x:c r="B462" s="6" t="str">
        <x:v>KALIMANTAN BARAT</x:v>
      </x:c>
      <x:c r="C462" s="6" t="str">
        <x:v>2024</x:v>
      </x:c>
      <x:c r="D462" s="6" t="str">
        <x:v>5</x:v>
      </x:c>
      <x:c r="E462" s="6" t="str">
        <x:v>2024-05</x:v>
      </x:c>
      <x:c r="F462" s="6" t="str">
        <x:v>1056</x:v>
      </x:c>
      <x:c r="G462" s="6" t="str">
        <x:v>263</x:v>
      </x:c>
      <x:c r="H462" s="6" t="str">
        <x:v>638</x:v>
      </x:c>
      <x:c r="I462" s="6" t="str">
        <x:v>98</x:v>
      </x:c>
      <x:c r="J462" s="6" t="str">
        <x:v>44</x:v>
      </x:c>
      <x:c r="K462" s="6" t="str">
        <x:v>0</x:v>
      </x:c>
      <x:c r="L462" s="6" t="str">
        <x:v>2</x:v>
      </x:c>
      <x:c r="M462" s="6" t="str">
        <x:v>11</x:v>
      </x:c>
      <x:c r="N462" s="6" t="str">
        <x:v>1056</x:v>
      </x:c>
      <x:c r="O462" s="6" t="str">
        <x:v>0</x:v>
      </x:c>
      <x:c r="P462" s="10" t="n">
        <x:f>F462-M462</x:f>
        <x:v>1045</x:v>
      </x:c>
      <x:c r="Q462" s="11" t="n">
        <x:f>IFERROR(M462/F462,"")</x:f>
        <x:v>0.010416666666666666</x:v>
      </x:c>
      <x:c r="R462" s="10" t="n">
        <x:f>G462+H462</x:f>
        <x:v>901</x:v>
      </x:c>
      <x:c r="S462" s="11" t="n">
        <x:f>IFERROR(R462/F462,"")</x:f>
        <x:v>0.853219696969697</x:v>
      </x:c>
      <x:c r="T462" s="11" t="n">
        <x:f>IFERROR(R462/P462,"")</x:f>
        <x:v>0.8622009569377991</x:v>
      </x:c>
      <x:c r="U462" s="10" t="n">
        <x:f>I462+J462+K462</x:f>
        <x:v>142</x:v>
      </x:c>
      <x:c r="V462" s="11" t="n">
        <x:f>IFERROR(U462/P462,"")</x:f>
        <x:v>0.13588516746411483</x:v>
      </x:c>
      <x:c r="W462" s="9" t="str">
        <x:v>mature_le_5pct_pending</x:v>
      </x:c>
      <x:c r="X462" s="12" t="n">
        <x:f>IFERROR(F462/Z462*100000,"")</x:f>
        <x:v>18.540953384250724</x:v>
      </x:c>
      <x:c r="Y462" s="13" t="n">
        <x:f>LN(Z462)</x:f>
        <x:v>15.555186947322104</x:v>
      </x:c>
      <x:c r="Z462" s="6" t="str">
        <x:v>5695500</x:v>
      </x:c>
      <x:c r="AA462" s="6" t="str">
        <x:v>39.0</x:v>
      </x:c>
      <x:c r="AB462" s="9" t="str">
        <x:v>2024-06-30</x:v>
      </x:c>
      <x:c r="AC462" s="8" t="str">
        <x:v>81.56</x:v>
      </x:c>
      <x:c r="AD462" s="9" t="str">
        <x:v>2024 (Susenas)</x:v>
      </x:c>
      <x:c r="AE462" s="8" t="str">
        <x:v>6.32</x:v>
      </x:c>
      <x:c r="AF462" s="9" t="str">
        <x:v>Maret 2024 (Susenas)</x:v>
      </x:c>
      <x:c r="AG462" s="6" t="str">
        <x:v>26.787696361635827</x:v>
      </x:c>
      <x:c r="AH462" s="8" t="str">
        <x:v>93.11769693780408</x:v>
      </x:c>
      <x:c r="AI462" s="6" t="str">
        <x:v>410.1800661853166</x:v>
      </x:c>
      <x:c r="AJ462" s="6" t="str">
        <x:v>0.9290723229018418</x:v>
      </x:c>
      <x:c r="AK462" s="8" t="str">
        <x:v>3.1071727685595243</x:v>
      </x:c>
      <x:c r="AL462" s="6" t="str">
        <x:v>3.9231737491217897</x:v>
      </x:c>
      <x:c r="AM462" s="6" t="str">
        <x:v>3.234359361906223</x:v>
      </x:c>
      <x:c r="AN462" s="6" t="str">
        <x:v>3.421568626529179</x:v>
      </x:c>
      <x:c r="AO462" s="6" t="str">
        <x:v>1.5773436006372634</x:v>
      </x:c>
      <x:c r="AP462" s="8" t="str">
        <x:v>1.9766502539163464</x:v>
      </x:c>
      <x:c r="AQ462" s="6" t="str">
        <x:v>1.0039188210819407</x:v>
      </x:c>
      <x:c r="AR462" s="6" t="str">
        <x:v>1.2223941571700752</x:v>
      </x:c>
      <x:c r="AS462" s="6" t="str">
        <x:v>1.4009877440561211</x:v>
      </x:c>
      <x:c r="AT462" s="6" t="str">
        <x:v>163.0141184750235</x:v>
      </x:c>
      <x:c r="AU462" s="8" t="str">
        <x:v>2.072127708119281</x:v>
      </x:c>
      <x:c r="AV462" s="6" t="str">
        <x:v>-0.0374471172629678</x:v>
      </x:c>
      <x:c r="AW462" s="6" t="str">
        <x:v>1.1716119415630657</x:v>
      </x:c>
      <x:c r="AX462" s="6" t="str">
        <x:v>1.0687641774731265</x:v>
      </x:c>
      <x:c r="AY462" s="6" t="str">
        <x:v>1</x:v>
      </x:c>
      <x:c r="AZ462" s="6" t="str">
        <x:v>1</x:v>
      </x:c>
      <x:c r="BA462" s="9" t="str">
        <x:v>grid_cells_within_BIG_polygon</x:v>
      </x:c>
      <x:c r="BB462" s="6" t="str">
        <x:v>35</x:v>
      </x:c>
      <x:c r="BC462" s="6" t="str">
        <x:v>7</x:v>
      </x:c>
      <x:c r="BD462" s="6" t="str">
        <x:v>7</x:v>
      </x:c>
      <x:c r="BE462" s="6" t="str">
        <x:v>6</x:v>
      </x:c>
      <x:c r="BF462" s="6" t="str">
        <x:v>0</x:v>
      </x:c>
      <x:c r="BG462" s="6" t="str">
        <x:v>1</x:v>
      </x:c>
      <x:c r="BH462" s="6" t="str">
        <x:v>0</x:v>
      </x:c>
      <x:c r="BI462" s="6" t="str">
        <x:v>0</x:v>
      </x:c>
      <x:c r="BJ462" s="6" t="str">
        <x:v>0</x:v>
      </x:c>
      <x:c r="BK462" s="6" t="str">
        <x:v>0</x:v>
      </x:c>
      <x:c r="BL462" s="6" t="str">
        <x:v>0</x:v>
      </x:c>
      <x:c r="BM462" s="6" t="str">
        <x:v>0</x:v>
      </x:c>
      <x:c r="BN462" s="6" t="str">
        <x:v>7</x:v>
      </x:c>
      <x:c r="BO462" s="6" t="str">
        <x:v>0.0</x:v>
      </x:c>
      <x:c r="BP462" s="6" t="str">
        <x:v>7</x:v>
      </x:c>
      <x:c r="BQ462" s="6" t="str">
        <x:v>0.0</x:v>
      </x:c>
      <x:c r="BR462" s="6" t="str">
        <x:v>7</x:v>
      </x:c>
      <x:c r="BS462" s="6" t="str">
        <x:v>14.0</x:v>
      </x:c>
      <x:c r="BT462" s="6" t="str">
        <x:v>7</x:v>
      </x:c>
      <x:c r="BU462" s="6" t="str">
        <x:v>13107.0</x:v>
      </x:c>
      <x:c r="BV462" s="6" t="str">
        <x:v>6</x:v>
      </x:c>
      <x:c r="BW462" s="9" t="str">
        <x:v>operational_snapshot_annual_totals_may_differ</x:v>
      </x:c>
      <x:c r="BX462" s="9" t="str">
        <x:v>official_live_dashboard_snapshot_subject_to_revision</x:v>
      </x:c>
      <x:c r="BY462" s="9" t="str">
        <x:v>https://tbdashboard.sitb.id/ss_data_tbc03so_2024_provinsi_bulanan_list.php</x:v>
      </x:c>
      <x:c r="BZ462" s="6" t="n">
        <x:v>46246.610671296294</x:v>
      </x:c>
    </x:row>
    <x:row r="463" ht="18" customHeight="1">
      <x:c r="A463" s="6" t="str">
        <x:v>61</x:v>
      </x:c>
      <x:c r="B463" s="6" t="str">
        <x:v>KALIMANTAN BARAT</x:v>
      </x:c>
      <x:c r="C463" s="6" t="str">
        <x:v>2024</x:v>
      </x:c>
      <x:c r="D463" s="6" t="str">
        <x:v>6</x:v>
      </x:c>
      <x:c r="E463" s="6" t="str">
        <x:v>2024-06</x:v>
      </x:c>
      <x:c r="F463" s="6" t="str">
        <x:v>1043</x:v>
      </x:c>
      <x:c r="G463" s="6" t="str">
        <x:v>264</x:v>
      </x:c>
      <x:c r="H463" s="6" t="str">
        <x:v>646</x:v>
      </x:c>
      <x:c r="I463" s="6" t="str">
        <x:v>89</x:v>
      </x:c>
      <x:c r="J463" s="6" t="str">
        <x:v>34</x:v>
      </x:c>
      <x:c r="K463" s="6" t="str">
        <x:v>3</x:v>
      </x:c>
      <x:c r="L463" s="6" t="str">
        <x:v>2</x:v>
      </x:c>
      <x:c r="M463" s="6" t="str">
        <x:v>5</x:v>
      </x:c>
      <x:c r="N463" s="6" t="str">
        <x:v>1043</x:v>
      </x:c>
      <x:c r="O463" s="6" t="str">
        <x:v>0</x:v>
      </x:c>
      <x:c r="P463" s="10" t="n">
        <x:f>F463-M463</x:f>
        <x:v>1038</x:v>
      </x:c>
      <x:c r="Q463" s="11" t="n">
        <x:f>IFERROR(M463/F463,"")</x:f>
        <x:v>0.004793863854266539</x:v>
      </x:c>
      <x:c r="R463" s="10" t="n">
        <x:f>G463+H463</x:f>
        <x:v>910</x:v>
      </x:c>
      <x:c r="S463" s="11" t="n">
        <x:f>IFERROR(R463/F463,"")</x:f>
        <x:v>0.87248322147651</x:v>
      </x:c>
      <x:c r="T463" s="11" t="n">
        <x:f>IFERROR(R463/P463,"")</x:f>
        <x:v>0.8766859344894027</x:v>
      </x:c>
      <x:c r="U463" s="10" t="n">
        <x:f>I463+J463+K463</x:f>
        <x:v>126</x:v>
      </x:c>
      <x:c r="V463" s="11" t="n">
        <x:f>IFERROR(U463/P463,"")</x:f>
        <x:v>0.12138728323699421</x:v>
      </x:c>
      <x:c r="W463" s="9" t="str">
        <x:v>mature_le_5pct_pending</x:v>
      </x:c>
      <x:c r="X463" s="12" t="n">
        <x:f>IFERROR(F463/Z463*100000,"")</x:f>
        <x:v>18.312703011149154</x:v>
      </x:c>
      <x:c r="Y463" s="13" t="n">
        <x:f>LN(Z463)</x:f>
        <x:v>15.555186947322104</x:v>
      </x:c>
      <x:c r="Z463" s="6" t="str">
        <x:v>5695500</x:v>
      </x:c>
      <x:c r="AA463" s="6" t="str">
        <x:v>39.0</x:v>
      </x:c>
      <x:c r="AB463" s="9" t="str">
        <x:v>2024-06-30</x:v>
      </x:c>
      <x:c r="AC463" s="8" t="str">
        <x:v>81.56</x:v>
      </x:c>
      <x:c r="AD463" s="9" t="str">
        <x:v>2024 (Susenas)</x:v>
      </x:c>
      <x:c r="AE463" s="8" t="str">
        <x:v>6.32</x:v>
      </x:c>
      <x:c r="AF463" s="9" t="str">
        <x:v>Maret 2024 (Susenas)</x:v>
      </x:c>
      <x:c r="AG463" s="6" t="str">
        <x:v>26.13055550161865</x:v>
      </x:c>
      <x:c r="AH463" s="8" t="str">
        <x:v>92.42828701311257</x:v>
      </x:c>
      <x:c r="AI463" s="6" t="str">
        <x:v>273.0310166488023</x:v>
      </x:c>
      <x:c r="AJ463" s="6" t="str">
        <x:v>0.676443336216046</x:v>
      </x:c>
      <x:c r="AK463" s="8" t="str">
        <x:v>2.85976556532298</x:v>
      </x:c>
      <x:c r="AL463" s="6" t="str">
        <x:v>3.1071727685595243</x:v>
      </x:c>
      <x:c r="AM463" s="6" t="str">
        <x:v>3.9231737491217897</x:v>
      </x:c>
      <x:c r="AN463" s="6" t="str">
        <x:v>3.2967040276680977</x:v>
      </x:c>
      <x:c r="AO463" s="6" t="str">
        <x:v>1.1697483487083815</x:v>
      </x:c>
      <x:c r="AP463" s="8" t="str">
        <x:v>1.507359417951705</x:v>
      </x:c>
      <x:c r="AQ463" s="6" t="str">
        <x:v>1.9766502539163464</x:v>
      </x:c>
      <x:c r="AR463" s="6" t="str">
        <x:v>1.0039188210819407</x:v>
      </x:c>
      <x:c r="AS463" s="6" t="str">
        <x:v>1.495976164316664</x:v>
      </x:c>
      <x:c r="AT463" s="6" t="str">
        <x:v>61.31393986248492</x:v>
      </x:c>
      <x:c r="AU463" s="8" t="str">
        <x:v>0.9318304747613306</x:v>
      </x:c>
      <x:c r="AV463" s="6" t="str">
        <x:v>2.072127708119281</x:v>
      </x:c>
      <x:c r="AW463" s="6" t="str">
        <x:v>-0.0374471172629678</x:v>
      </x:c>
      <x:c r="AX463" s="6" t="str">
        <x:v>0.988837021872548</x:v>
      </x:c>
      <x:c r="AY463" s="6" t="str">
        <x:v>0</x:v>
      </x:c>
      <x:c r="AZ463" s="6" t="str">
        <x:v>1</x:v>
      </x:c>
      <x:c r="BA463" s="9" t="str">
        <x:v>grid_cells_within_BIG_polygon</x:v>
      </x:c>
      <x:c r="BB463" s="6" t="str">
        <x:v>35</x:v>
      </x:c>
      <x:c r="BC463" s="6" t="str">
        <x:v>1</x:v>
      </x:c>
      <x:c r="BD463" s="6" t="str">
        <x:v>1</x:v>
      </x:c>
      <x:c r="BE463" s="6" t="str">
        <x:v>1</x:v>
      </x:c>
      <x:c r="BF463" s="6" t="str">
        <x:v>0</x:v>
      </x:c>
      <x:c r="BG463" s="6" t="str">
        <x:v>0</x:v>
      </x:c>
      <x:c r="BH463" s="6" t="str">
        <x:v>0</x:v>
      </x:c>
      <x:c r="BI463" s="6" t="str">
        <x:v>0</x:v>
      </x:c>
      <x:c r="BJ463" s="6" t="str">
        <x:v>0</x:v>
      </x:c>
      <x:c r="BK463" s="6" t="str">
        <x:v>0</x:v>
      </x:c>
      <x:c r="BL463" s="6" t="str">
        <x:v>0</x:v>
      </x:c>
      <x:c r="BM463" s="6" t="str">
        <x:v>0</x:v>
      </x:c>
      <x:c r="BN463" s="6" t="str">
        <x:v>1</x:v>
      </x:c>
      <x:c r="BO463" s="6" t="str">
        <x:v>0.0</x:v>
      </x:c>
      <x:c r="BP463" s="6" t="str">
        <x:v>1</x:v>
      </x:c>
      <x:c r="BQ463" s="6" t="str">
        <x:v>0.0</x:v>
      </x:c>
      <x:c r="BR463" s="6" t="str">
        <x:v>1</x:v>
      </x:c>
      <x:c r="BS463" s="6" t="str">
        <x:v>0.0</x:v>
      </x:c>
      <x:c r="BT463" s="6" t="str">
        <x:v>1</x:v>
      </x:c>
      <x:c r="BU463" s="6" t="str">
        <x:v>1152.0</x:v>
      </x:c>
      <x:c r="BV463" s="6" t="str">
        <x:v>1</x:v>
      </x:c>
      <x:c r="BW463" s="9" t="str">
        <x:v>operational_snapshot_annual_totals_may_differ</x:v>
      </x:c>
      <x:c r="BX463" s="9" t="str">
        <x:v>official_live_dashboard_snapshot_subject_to_revision</x:v>
      </x:c>
      <x:c r="BY463" s="9" t="str">
        <x:v>https://tbdashboard.sitb.id/ss_data_tbc03so_2024_provinsi_bulanan_list.php</x:v>
      </x:c>
      <x:c r="BZ463" s="6" t="n">
        <x:v>46246.610671296294</x:v>
      </x:c>
    </x:row>
    <x:row r="464" ht="18" customHeight="1">
      <x:c r="A464" s="6" t="str">
        <x:v>61</x:v>
      </x:c>
      <x:c r="B464" s="6" t="str">
        <x:v>KALIMANTAN BARAT</x:v>
      </x:c>
      <x:c r="C464" s="6" t="str">
        <x:v>2024</x:v>
      </x:c>
      <x:c r="D464" s="6" t="str">
        <x:v>7</x:v>
      </x:c>
      <x:c r="E464" s="6" t="str">
        <x:v>2024-07</x:v>
      </x:c>
      <x:c r="F464" s="6" t="str">
        <x:v>1276</x:v>
      </x:c>
      <x:c r="G464" s="6" t="str">
        <x:v>304</x:v>
      </x:c>
      <x:c r="H464" s="6" t="str">
        <x:v>812</x:v>
      </x:c>
      <x:c r="I464" s="6" t="str">
        <x:v>81</x:v>
      </x:c>
      <x:c r="J464" s="6" t="str">
        <x:v>59</x:v>
      </x:c>
      <x:c r="K464" s="6" t="str">
        <x:v>0</x:v>
      </x:c>
      <x:c r="L464" s="6" t="str">
        <x:v>7</x:v>
      </x:c>
      <x:c r="M464" s="6" t="str">
        <x:v>13</x:v>
      </x:c>
      <x:c r="N464" s="6" t="str">
        <x:v>1276</x:v>
      </x:c>
      <x:c r="O464" s="6" t="str">
        <x:v>0</x:v>
      </x:c>
      <x:c r="P464" s="10" t="n">
        <x:f>F464-M464</x:f>
        <x:v>1263</x:v>
      </x:c>
      <x:c r="Q464" s="11" t="n">
        <x:f>IFERROR(M464/F464,"")</x:f>
        <x:v>0.01018808777429467</x:v>
      </x:c>
      <x:c r="R464" s="10" t="n">
        <x:f>G464+H464</x:f>
        <x:v>1116</x:v>
      </x:c>
      <x:c r="S464" s="11" t="n">
        <x:f>IFERROR(R464/F464,"")</x:f>
        <x:v>0.8746081504702194</x:v>
      </x:c>
      <x:c r="T464" s="11" t="n">
        <x:f>IFERROR(R464/P464,"")</x:f>
        <x:v>0.8836104513064132</x:v>
      </x:c>
      <x:c r="U464" s="10" t="n">
        <x:f>I464+J464+K464</x:f>
        <x:v>140</x:v>
      </x:c>
      <x:c r="V464" s="11" t="n">
        <x:f>IFERROR(U464/P464,"")</x:f>
        <x:v>0.11084718923198733</x:v>
      </x:c>
      <x:c r="W464" s="9" t="str">
        <x:v>mature_le_5pct_pending</x:v>
      </x:c>
      <x:c r="X464" s="12" t="n">
        <x:f>IFERROR(F464/Z464*100000,"")</x:f>
        <x:v>22.403652005969626</x:v>
      </x:c>
      <x:c r="Y464" s="13" t="n">
        <x:f>LN(Z464)</x:f>
        <x:v>15.555186947322104</x:v>
      </x:c>
      <x:c r="Z464" s="6" t="str">
        <x:v>5695500</x:v>
      </x:c>
      <x:c r="AA464" s="6" t="str">
        <x:v>39.0</x:v>
      </x:c>
      <x:c r="AB464" s="9" t="str">
        <x:v>2024-06-30</x:v>
      </x:c>
      <x:c r="AC464" s="8" t="str">
        <x:v>81.56</x:v>
      </x:c>
      <x:c r="AD464" s="9" t="str">
        <x:v>2024 (Susenas)</x:v>
      </x:c>
      <x:c r="AE464" s="8" t="str">
        <x:v>6.32</x:v>
      </x:c>
      <x:c r="AF464" s="9" t="str">
        <x:v>Maret 2024 (Susenas)</x:v>
      </x:c>
      <x:c r="AG464" s="6" t="str">
        <x:v>26.071135023046416</x:v>
      </x:c>
      <x:c r="AH464" s="8" t="str">
        <x:v>90.50119039744168</x:v>
      </x:c>
      <x:c r="AI464" s="6" t="str">
        <x:v>170.7414241389151</x:v>
      </x:c>
      <x:c r="AJ464" s="6" t="str">
        <x:v>0.9621615071094212</x:v>
      </x:c>
      <x:c r="AK464" s="8" t="str">
        <x:v>3.499647756719442</x:v>
      </x:c>
      <x:c r="AL464" s="6" t="str">
        <x:v>2.85976556532298</x:v>
      </x:c>
      <x:c r="AM464" s="6" t="str">
        <x:v>3.1071727685595243</x:v>
      </x:c>
      <x:c r="AN464" s="6" t="str">
        <x:v>3.155528696867316</x:v>
      </x:c>
      <x:c r="AO464" s="6" t="str">
        <x:v>0.0025499699683564</x:v>
      </x:c>
      <x:c r="AP464" s="8" t="str">
        <x:v>0.0027021779864088</x:v>
      </x:c>
      <x:c r="AQ464" s="6" t="str">
        <x:v>1.507359417951705</x:v>
      </x:c>
      <x:c r="AR464" s="6" t="str">
        <x:v>1.9766502539163464</x:v>
      </x:c>
      <x:c r="AS464" s="6" t="str">
        <x:v>1.1622372832848202</x:v>
      </x:c>
      <x:c r="AT464" s="6" t="str">
        <x:v>-18.308151455804108</x:v>
      </x:c>
      <x:c r="AU464" s="8" t="str">
        <x:v>-0.2059341680312734</x:v>
      </x:c>
      <x:c r="AV464" s="6" t="str">
        <x:v>0.9318304747613306</x:v>
      </x:c>
      <x:c r="AW464" s="6" t="str">
        <x:v>2.072127708119281</x:v>
      </x:c>
      <x:c r="AX464" s="6" t="str">
        <x:v>0.932674671616446</x:v>
      </x:c>
      <x:c r="AY464" s="6" t="str">
        <x:v>0</x:v>
      </x:c>
      <x:c r="AZ464" s="6" t="str">
        <x:v>1</x:v>
      </x:c>
      <x:c r="BA464" s="9" t="str">
        <x:v>grid_cells_within_BIG_polygon</x:v>
      </x:c>
      <x:c r="BB464" s="6" t="str">
        <x:v>35</x:v>
      </x:c>
      <x:c r="BC464" s="6" t="str">
        <x:v>4</x:v>
      </x:c>
      <x:c r="BD464" s="6" t="str">
        <x:v>4</x:v>
      </x:c>
      <x:c r="BE464" s="6" t="str">
        <x:v>0</x:v>
      </x:c>
      <x:c r="BF464" s="6" t="str">
        <x:v>0</x:v>
      </x:c>
      <x:c r="BG464" s="6" t="str">
        <x:v>0</x:v>
      </x:c>
      <x:c r="BH464" s="6" t="str">
        <x:v>0</x:v>
      </x:c>
      <x:c r="BI464" s="6" t="str">
        <x:v>4</x:v>
      </x:c>
      <x:c r="BJ464" s="6" t="str">
        <x:v>0</x:v>
      </x:c>
      <x:c r="BK464" s="6" t="str">
        <x:v>0</x:v>
      </x:c>
      <x:c r="BL464" s="6" t="str">
        <x:v>0</x:v>
      </x:c>
      <x:c r="BM464" s="6" t="str">
        <x:v>0</x:v>
      </x:c>
      <x:c r="BN464" s="6" t="str">
        <x:v>4</x:v>
      </x:c>
      <x:c r="BO464" s="6" t="str">
        <x:v>0.0</x:v>
      </x:c>
      <x:c r="BP464" s="6" t="str">
        <x:v>4</x:v>
      </x:c>
      <x:c r="BQ464" s="6" t="str">
        <x:v>0.0</x:v>
      </x:c>
      <x:c r="BR464" s="6" t="str">
        <x:v>4</x:v>
      </x:c>
      <x:c r="BS464" s="6" t="str">
        <x:v>0.0</x:v>
      </x:c>
      <x:c r="BT464" s="6" t="str">
        <x:v>4</x:v>
      </x:c>
      <x:c r="BU464" s="6" t="str"/>
      <x:c r="BV464" s="6" t="str">
        <x:v>0</x:v>
      </x:c>
      <x:c r="BW464" s="9" t="str">
        <x:v>operational_snapshot_annual_totals_may_differ</x:v>
      </x:c>
      <x:c r="BX464" s="9" t="str">
        <x:v>official_live_dashboard_snapshot_subject_to_revision</x:v>
      </x:c>
      <x:c r="BY464" s="9" t="str">
        <x:v>https://tbdashboard.sitb.id/ss_data_tbc03so_2024_provinsi_bulanan_list.php</x:v>
      </x:c>
      <x:c r="BZ464" s="6" t="n">
        <x:v>46246.610671296294</x:v>
      </x:c>
    </x:row>
    <x:row r="465" ht="18" customHeight="1">
      <x:c r="A465" s="6" t="str">
        <x:v>61</x:v>
      </x:c>
      <x:c r="B465" s="6" t="str">
        <x:v>KALIMANTAN BARAT</x:v>
      </x:c>
      <x:c r="C465" s="6" t="str">
        <x:v>2024</x:v>
      </x:c>
      <x:c r="D465" s="6" t="str">
        <x:v>8</x:v>
      </x:c>
      <x:c r="E465" s="6" t="str">
        <x:v>2024-08</x:v>
      </x:c>
      <x:c r="F465" s="6" t="str">
        <x:v>1012</x:v>
      </x:c>
      <x:c r="G465" s="6" t="str">
        <x:v>273</x:v>
      </x:c>
      <x:c r="H465" s="6" t="str">
        <x:v>589</x:v>
      </x:c>
      <x:c r="I465" s="6" t="str">
        <x:v>96</x:v>
      </x:c>
      <x:c r="J465" s="6" t="str">
        <x:v>37</x:v>
      </x:c>
      <x:c r="K465" s="6" t="str">
        <x:v>0</x:v>
      </x:c>
      <x:c r="L465" s="6" t="str">
        <x:v>5</x:v>
      </x:c>
      <x:c r="M465" s="6" t="str">
        <x:v>12</x:v>
      </x:c>
      <x:c r="N465" s="6" t="str">
        <x:v>1012</x:v>
      </x:c>
      <x:c r="O465" s="6" t="str">
        <x:v>0</x:v>
      </x:c>
      <x:c r="P465" s="10" t="n">
        <x:f>F465-M465</x:f>
        <x:v>1000</x:v>
      </x:c>
      <x:c r="Q465" s="11" t="n">
        <x:f>IFERROR(M465/F465,"")</x:f>
        <x:v>0.011857707509881422</x:v>
      </x:c>
      <x:c r="R465" s="10" t="n">
        <x:f>G465+H465</x:f>
        <x:v>862</x:v>
      </x:c>
      <x:c r="S465" s="11" t="n">
        <x:f>IFERROR(R465/F465,"")</x:f>
        <x:v>0.8517786561264822</x:v>
      </x:c>
      <x:c r="T465" s="11" t="n">
        <x:f>IFERROR(R465/P465,"")</x:f>
        <x:v>0.862</x:v>
      </x:c>
      <x:c r="U465" s="10" t="n">
        <x:f>I465+J465+K465</x:f>
        <x:v>133</x:v>
      </x:c>
      <x:c r="V465" s="11" t="n">
        <x:f>IFERROR(U465/P465,"")</x:f>
        <x:v>0.133</x:v>
      </x:c>
      <x:c r="W465" s="9" t="str">
        <x:v>mature_le_5pct_pending</x:v>
      </x:c>
      <x:c r="X465" s="12" t="n">
        <x:f>IFERROR(F465/Z465*100000,"")</x:f>
        <x:v>17.768413659906944</x:v>
      </x:c>
      <x:c r="Y465" s="13" t="n">
        <x:f>LN(Z465)</x:f>
        <x:v>15.555186947322104</x:v>
      </x:c>
      <x:c r="Z465" s="6" t="str">
        <x:v>5695500</x:v>
      </x:c>
      <x:c r="AA465" s="6" t="str">
        <x:v>39.0</x:v>
      </x:c>
      <x:c r="AB465" s="9" t="str">
        <x:v>2024-06-30</x:v>
      </x:c>
      <x:c r="AC465" s="8" t="str">
        <x:v>81.56</x:v>
      </x:c>
      <x:c r="AD465" s="9" t="str">
        <x:v>2024 (Susenas)</x:v>
      </x:c>
      <x:c r="AE465" s="8" t="str">
        <x:v>6.32</x:v>
      </x:c>
      <x:c r="AF465" s="9" t="str">
        <x:v>Maret 2024 (Susenas)</x:v>
      </x:c>
      <x:c r="AG465" s="6" t="str">
        <x:v>25.845420398775467</x:v>
      </x:c>
      <x:c r="AH465" s="8" t="str">
        <x:v>91.556054608072</x:v>
      </x:c>
      <x:c r="AI465" s="6" t="str">
        <x:v>357.8328559036884</x:v>
      </x:c>
      <x:c r="AJ465" s="6" t="str">
        <x:v>0.6578262749341413</x:v>
      </x:c>
      <x:c r="AK465" s="8" t="str">
        <x:v>2.4463865136330183</x:v>
      </x:c>
      <x:c r="AL465" s="6" t="str">
        <x:v>3.499647756719442</x:v>
      </x:c>
      <x:c r="AM465" s="6" t="str">
        <x:v>2.85976556532298</x:v>
      </x:c>
      <x:c r="AN465" s="6" t="str">
        <x:v>2.9352666118918136</x:v>
      </x:c>
      <x:c r="AO465" s="6" t="str">
        <x:v>2.1255484273996075</x:v>
      </x:c>
      <x:c r="AP465" s="8" t="str">
        <x:v>1.74869566832444</x:v>
      </x:c>
      <x:c r="AQ465" s="6" t="str">
        <x:v>0.0027021779864088</x:v>
      </x:c>
      <x:c r="AR465" s="6" t="str">
        <x:v>1.507359417951705</x:v>
      </x:c>
      <x:c r="AS465" s="6" t="str">
        <x:v>1.086252421420851</x:v>
      </x:c>
      <x:c r="AT465" s="6" t="str">
        <x:v>182.0319580387831</x:v>
      </x:c>
      <x:c r="AU465" s="8" t="str">
        <x:v>1.6911131035136175</x:v>
      </x:c>
      <x:c r="AV465" s="6" t="str">
        <x:v>-0.2059341680312734</x:v>
      </x:c>
      <x:c r="AW465" s="6" t="str">
        <x:v>0.9318304747613306</x:v>
      </x:c>
      <x:c r="AX465" s="6" t="str">
        <x:v>0.8056698034145583</x:v>
      </x:c>
      <x:c r="AY465" s="6" t="str">
        <x:v>1</x:v>
      </x:c>
      <x:c r="AZ465" s="6" t="str">
        <x:v>1</x:v>
      </x:c>
      <x:c r="BA465" s="9" t="str">
        <x:v>grid_cells_within_BIG_polygon</x:v>
      </x:c>
      <x:c r="BB465" s="6" t="str">
        <x:v>35</x:v>
      </x:c>
      <x:c r="BC465" s="6" t="str">
        <x:v>9</x:v>
      </x:c>
      <x:c r="BD465" s="6" t="str">
        <x:v>9</x:v>
      </x:c>
      <x:c r="BE465" s="6" t="str">
        <x:v>7</x:v>
      </x:c>
      <x:c r="BF465" s="6" t="str">
        <x:v>0</x:v>
      </x:c>
      <x:c r="BG465" s="6" t="str">
        <x:v>1</x:v>
      </x:c>
      <x:c r="BH465" s="6" t="str">
        <x:v>0</x:v>
      </x:c>
      <x:c r="BI465" s="6" t="str">
        <x:v>1</x:v>
      </x:c>
      <x:c r="BJ465" s="6" t="str">
        <x:v>0</x:v>
      </x:c>
      <x:c r="BK465" s="6" t="str">
        <x:v>0</x:v>
      </x:c>
      <x:c r="BL465" s="6" t="str">
        <x:v>0</x:v>
      </x:c>
      <x:c r="BM465" s="6" t="str">
        <x:v>0</x:v>
      </x:c>
      <x:c r="BN465" s="6" t="str">
        <x:v>9</x:v>
      </x:c>
      <x:c r="BO465" s="6" t="str">
        <x:v>1.0</x:v>
      </x:c>
      <x:c r="BP465" s="6" t="str">
        <x:v>9</x:v>
      </x:c>
      <x:c r="BQ465" s="6" t="str">
        <x:v>0.0</x:v>
      </x:c>
      <x:c r="BR465" s="6" t="str">
        <x:v>9</x:v>
      </x:c>
      <x:c r="BS465" s="6" t="str">
        <x:v>12.0</x:v>
      </x:c>
      <x:c r="BT465" s="6" t="str">
        <x:v>9</x:v>
      </x:c>
      <x:c r="BU465" s="6" t="str">
        <x:v>2599.0</x:v>
      </x:c>
      <x:c r="BV465" s="6" t="str">
        <x:v>7</x:v>
      </x:c>
      <x:c r="BW465" s="9" t="str">
        <x:v>operational_snapshot_annual_totals_may_differ</x:v>
      </x:c>
      <x:c r="BX465" s="9" t="str">
        <x:v>official_live_dashboard_snapshot_subject_to_revision</x:v>
      </x:c>
      <x:c r="BY465" s="9" t="str">
        <x:v>https://tbdashboard.sitb.id/ss_data_tbc03so_2024_provinsi_bulanan_list.php</x:v>
      </x:c>
      <x:c r="BZ465" s="6" t="n">
        <x:v>46246.610671296294</x:v>
      </x:c>
    </x:row>
    <x:row r="466" ht="18" customHeight="1">
      <x:c r="A466" s="6" t="str">
        <x:v>61</x:v>
      </x:c>
      <x:c r="B466" s="6" t="str">
        <x:v>KALIMANTAN BARAT</x:v>
      </x:c>
      <x:c r="C466" s="6" t="str">
        <x:v>2024</x:v>
      </x:c>
      <x:c r="D466" s="6" t="str">
        <x:v>9</x:v>
      </x:c>
      <x:c r="E466" s="6" t="str">
        <x:v>2024-09</x:v>
      </x:c>
      <x:c r="F466" s="6" t="str">
        <x:v>973</x:v>
      </x:c>
      <x:c r="G466" s="6" t="str">
        <x:v>232</x:v>
      </x:c>
      <x:c r="H466" s="6" t="str">
        <x:v>590</x:v>
      </x:c>
      <x:c r="I466" s="6" t="str">
        <x:v>85</x:v>
      </x:c>
      <x:c r="J466" s="6" t="str">
        <x:v>42</x:v>
      </x:c>
      <x:c r="K466" s="6" t="str">
        <x:v>3</x:v>
      </x:c>
      <x:c r="L466" s="6" t="str">
        <x:v>2</x:v>
      </x:c>
      <x:c r="M466" s="6" t="str">
        <x:v>19</x:v>
      </x:c>
      <x:c r="N466" s="6" t="str">
        <x:v>973</x:v>
      </x:c>
      <x:c r="O466" s="6" t="str">
        <x:v>0</x:v>
      </x:c>
      <x:c r="P466" s="10" t="n">
        <x:f>F466-M466</x:f>
        <x:v>954</x:v>
      </x:c>
      <x:c r="Q466" s="11" t="n">
        <x:f>IFERROR(M466/F466,"")</x:f>
        <x:v>0.019527235354573486</x:v>
      </x:c>
      <x:c r="R466" s="10" t="n">
        <x:f>G466+H466</x:f>
        <x:v>822</x:v>
      </x:c>
      <x:c r="S466" s="11" t="n">
        <x:f>IFERROR(R466/F466,"")</x:f>
        <x:v>0.8448098663926003</x:v>
      </x:c>
      <x:c r="T466" s="11" t="n">
        <x:f>IFERROR(R466/P466,"")</x:f>
        <x:v>0.8616352201257862</x:v>
      </x:c>
      <x:c r="U466" s="10" t="n">
        <x:f>I466+J466+K466</x:f>
        <x:v>130</x:v>
      </x:c>
      <x:c r="V466" s="11" t="n">
        <x:f>IFERROR(U466/P466,"")</x:f>
        <x:v>0.13626834381551362</x:v>
      </x:c>
      <x:c r="W466" s="9" t="str">
        <x:v>mature_le_5pct_pending</x:v>
      </x:c>
      <x:c r="X466" s="12" t="n">
        <x:f>IFERROR(F466/Z466*100000,"")</x:f>
        <x:v>17.08366254060223</x:v>
      </x:c>
      <x:c r="Y466" s="13" t="n">
        <x:f>LN(Z466)</x:f>
        <x:v>15.555186947322104</x:v>
      </x:c>
      <x:c r="Z466" s="6" t="str">
        <x:v>5695500</x:v>
      </x:c>
      <x:c r="AA466" s="6" t="str">
        <x:v>39.0</x:v>
      </x:c>
      <x:c r="AB466" s="9" t="str">
        <x:v>2024-06-30</x:v>
      </x:c>
      <x:c r="AC466" s="8" t="str">
        <x:v>81.56</x:v>
      </x:c>
      <x:c r="AD466" s="9" t="str">
        <x:v>2024 (Susenas)</x:v>
      </x:c>
      <x:c r="AE466" s="8" t="str">
        <x:v>6.32</x:v>
      </x:c>
      <x:c r="AF466" s="9" t="str">
        <x:v>Maret 2024 (Susenas)</x:v>
      </x:c>
      <x:c r="AG466" s="6" t="str">
        <x:v>26.14569839386912</x:v>
      </x:c>
      <x:c r="AH466" s="8" t="str">
        <x:v>89.0214574471982</x:v>
      </x:c>
      <x:c r="AI466" s="6" t="str">
        <x:v>264.5770582530725</x:v>
      </x:c>
      <x:c r="AJ466" s="6" t="str">
        <x:v>0.8404787980788804</x:v>
      </x:c>
      <x:c r="AK466" s="8" t="str">
        <x:v>2.461144960044248</x:v>
      </x:c>
      <x:c r="AL466" s="6" t="str">
        <x:v>2.4463865136330183</x:v>
      </x:c>
      <x:c r="AM466" s="6" t="str">
        <x:v>3.499647756719442</x:v>
      </x:c>
      <x:c r="AN466" s="6" t="str">
        <x:v>2.8023930767989023</x:v>
      </x:c>
      <x:c r="AO466" s="6" t="str">
        <x:v>-0.2105798258174616</x:v>
      </x:c>
      <x:c r="AP466" s="8" t="str">
        <x:v>-0.1801885121859051</x:v>
      </x:c>
      <x:c r="AQ466" s="6" t="str">
        <x:v>1.74869566832444</x:v>
      </x:c>
      <x:c r="AR466" s="6" t="str">
        <x:v>0.0027021779864088</x:v>
      </x:c>
      <x:c r="AS466" s="6" t="str">
        <x:v>0.5237364447083147</x:v>
      </x:c>
      <x:c r="AT466" s="6" t="str">
        <x:v>66.1907386367483</x:v>
      </x:c>
      <x:c r="AU466" s="8" t="str">
        <x:v>0.7173287686372408</x:v>
      </x:c>
      <x:c r="AV466" s="6" t="str">
        <x:v>1.6911131035136175</x:v>
      </x:c>
      <x:c r="AW466" s="6" t="str">
        <x:v>-0.2059341680312734</x:v>
      </x:c>
      <x:c r="AX466" s="6" t="str">
        <x:v>0.7341692347065284</x:v>
      </x:c>
      <x:c r="AY466" s="6" t="str">
        <x:v>0</x:v>
      </x:c>
      <x:c r="AZ466" s="6" t="str">
        <x:v>1</x:v>
      </x:c>
      <x:c r="BA466" s="9" t="str">
        <x:v>grid_cells_within_BIG_polygon</x:v>
      </x:c>
      <x:c r="BB466" s="6" t="str">
        <x:v>35</x:v>
      </x:c>
      <x:c r="BC466" s="6" t="str">
        <x:v>7</x:v>
      </x:c>
      <x:c r="BD466" s="6" t="str">
        <x:v>7</x:v>
      </x:c>
      <x:c r="BE466" s="6" t="str">
        <x:v>3</x:v>
      </x:c>
      <x:c r="BF466" s="6" t="str">
        <x:v>0</x:v>
      </x:c>
      <x:c r="BG466" s="6" t="str">
        <x:v>1</x:v>
      </x:c>
      <x:c r="BH466" s="6" t="str">
        <x:v>0</x:v>
      </x:c>
      <x:c r="BI466" s="6" t="str">
        <x:v>3</x:v>
      </x:c>
      <x:c r="BJ466" s="6" t="str">
        <x:v>0</x:v>
      </x:c>
      <x:c r="BK466" s="6" t="str">
        <x:v>0</x:v>
      </x:c>
      <x:c r="BL466" s="6" t="str">
        <x:v>0</x:v>
      </x:c>
      <x:c r="BM466" s="6" t="str">
        <x:v>0</x:v>
      </x:c>
      <x:c r="BN466" s="6" t="str">
        <x:v>7</x:v>
      </x:c>
      <x:c r="BO466" s="6" t="str">
        <x:v>1.0</x:v>
      </x:c>
      <x:c r="BP466" s="6" t="str">
        <x:v>7</x:v>
      </x:c>
      <x:c r="BQ466" s="6" t="str">
        <x:v>2.0</x:v>
      </x:c>
      <x:c r="BR466" s="6" t="str">
        <x:v>7</x:v>
      </x:c>
      <x:c r="BS466" s="6" t="str">
        <x:v>20.0</x:v>
      </x:c>
      <x:c r="BT466" s="6" t="str">
        <x:v>7</x:v>
      </x:c>
      <x:c r="BU466" s="6" t="str">
        <x:v>285.0</x:v>
      </x:c>
      <x:c r="BV466" s="6" t="str">
        <x:v>2</x:v>
      </x:c>
      <x:c r="BW466" s="9" t="str">
        <x:v>operational_snapshot_annual_totals_may_differ</x:v>
      </x:c>
      <x:c r="BX466" s="9" t="str">
        <x:v>official_live_dashboard_snapshot_subject_to_revision</x:v>
      </x:c>
      <x:c r="BY466" s="9" t="str">
        <x:v>https://tbdashboard.sitb.id/ss_data_tbc03so_2024_provinsi_bulanan_list.php</x:v>
      </x:c>
      <x:c r="BZ466" s="6" t="n">
        <x:v>46246.610671296294</x:v>
      </x:c>
    </x:row>
    <x:row r="467" ht="18" customHeight="1">
      <x:c r="A467" s="6" t="str">
        <x:v>61</x:v>
      </x:c>
      <x:c r="B467" s="6" t="str">
        <x:v>KALIMANTAN BARAT</x:v>
      </x:c>
      <x:c r="C467" s="6" t="str">
        <x:v>2024</x:v>
      </x:c>
      <x:c r="D467" s="6" t="str">
        <x:v>10</x:v>
      </x:c>
      <x:c r="E467" s="6" t="str">
        <x:v>2024-10</x:v>
      </x:c>
      <x:c r="F467" s="6" t="str">
        <x:v>1159</x:v>
      </x:c>
      <x:c r="G467" s="6" t="str">
        <x:v>285</x:v>
      </x:c>
      <x:c r="H467" s="6" t="str">
        <x:v>712</x:v>
      </x:c>
      <x:c r="I467" s="6" t="str">
        <x:v>93</x:v>
      </x:c>
      <x:c r="J467" s="6" t="str">
        <x:v>32</x:v>
      </x:c>
      <x:c r="K467" s="6" t="str">
        <x:v>3</x:v>
      </x:c>
      <x:c r="L467" s="6" t="str">
        <x:v>8</x:v>
      </x:c>
      <x:c r="M467" s="6" t="str">
        <x:v>26</x:v>
      </x:c>
      <x:c r="N467" s="6" t="str">
        <x:v>1159</x:v>
      </x:c>
      <x:c r="O467" s="6" t="str">
        <x:v>0</x:v>
      </x:c>
      <x:c r="P467" s="10" t="n">
        <x:f>F467-M467</x:f>
        <x:v>1133</x:v>
      </x:c>
      <x:c r="Q467" s="11" t="n">
        <x:f>IFERROR(M467/F467,"")</x:f>
        <x:v>0.022433132010353754</x:v>
      </x:c>
      <x:c r="R467" s="10" t="n">
        <x:f>G467+H467</x:f>
        <x:v>997</x:v>
      </x:c>
      <x:c r="S467" s="11" t="n">
        <x:f>IFERROR(R467/F467,"")</x:f>
        <x:v>0.8602243313201036</x:v>
      </x:c>
      <x:c r="T467" s="11" t="n">
        <x:f>IFERROR(R467/P467,"")</x:f>
        <x:v>0.8799646954986761</x:v>
      </x:c>
      <x:c r="U467" s="10" t="n">
        <x:f>I467+J467+K467</x:f>
        <x:v>128</x:v>
      </x:c>
      <x:c r="V467" s="11" t="n">
        <x:f>IFERROR(U467/P467,"")</x:f>
        <x:v>0.11297440423654016</x:v>
      </x:c>
      <x:c r="W467" s="9" t="str">
        <x:v>mature_le_5pct_pending</x:v>
      </x:c>
      <x:c r="X467" s="12" t="n">
        <x:f>IFERROR(F467/Z467*100000,"")</x:f>
        <x:v>20.349398648055484</x:v>
      </x:c>
      <x:c r="Y467" s="13" t="n">
        <x:f>LN(Z467)</x:f>
        <x:v>15.555186947322104</x:v>
      </x:c>
      <x:c r="Z467" s="6" t="str">
        <x:v>5695500</x:v>
      </x:c>
      <x:c r="AA467" s="6" t="str">
        <x:v>39.0</x:v>
      </x:c>
      <x:c r="AB467" s="9" t="str">
        <x:v>2024-06-30</x:v>
      </x:c>
      <x:c r="AC467" s="8" t="str">
        <x:v>81.56</x:v>
      </x:c>
      <x:c r="AD467" s="9" t="str">
        <x:v>2024 (Susenas)</x:v>
      </x:c>
      <x:c r="AE467" s="8" t="str">
        <x:v>6.32</x:v>
      </x:c>
      <x:c r="AF467" s="9" t="str">
        <x:v>Maret 2024 (Susenas)</x:v>
      </x:c>
      <x:c r="AG467" s="6" t="str">
        <x:v>26.05398122854208</x:v>
      </x:c>
      <x:c r="AH467" s="8" t="str">
        <x:v>90.48543525782704</x:v>
      </x:c>
      <x:c r="AI467" s="6" t="str">
        <x:v>343.32229892315814</x:v>
      </x:c>
      <x:c r="AJ467" s="6" t="str">
        <x:v>0.7030749709400261</x:v>
      </x:c>
      <x:c r="AK467" s="8" t="str">
        <x:v>2.5151219071470434</x:v>
      </x:c>
      <x:c r="AL467" s="6" t="str">
        <x:v>2.461144960044248</x:v>
      </x:c>
      <x:c r="AM467" s="6" t="str">
        <x:v>2.4463865136330183</x:v>
      </x:c>
      <x:c r="AN467" s="6" t="str">
        <x:v>2.4742177936081027</x:v>
      </x:c>
      <x:c r="AO467" s="6" t="str">
        <x:v>0.0564602115798038</x:v>
      </x:c>
      <x:c r="AP467" s="8" t="str">
        <x:v>0.0616424436889667</x:v>
      </x:c>
      <x:c r="AQ467" s="6" t="str">
        <x:v>-0.1801885121859051</x:v>
      </x:c>
      <x:c r="AR467" s="6" t="str">
        <x:v>1.74869566832444</x:v>
      </x:c>
      <x:c r="AS467" s="6" t="str">
        <x:v>0.5433831999425007</x:v>
      </x:c>
      <x:c r="AT467" s="6" t="str">
        <x:v>44.45717232544348</x:v>
      </x:c>
      <x:c r="AU467" s="8" t="str">
        <x:v>0.4401665608783404</x:v>
      </x:c>
      <x:c r="AV467" s="6" t="str">
        <x:v>0.7173287686372408</x:v>
      </x:c>
      <x:c r="AW467" s="6" t="str">
        <x:v>1.6911131035136175</x:v>
      </x:c>
      <x:c r="AX467" s="6" t="str">
        <x:v>0.9495361443430662</x:v>
      </x:c>
      <x:c r="AY467" s="6" t="str">
        <x:v>0</x:v>
      </x:c>
      <x:c r="AZ467" s="6" t="str">
        <x:v>1</x:v>
      </x:c>
      <x:c r="BA467" s="9" t="str">
        <x:v>grid_cells_within_BIG_polygon</x:v>
      </x:c>
      <x:c r="BB467" s="6" t="str">
        <x:v>35</x:v>
      </x:c>
      <x:c r="BC467" s="6" t="str">
        <x:v>7</x:v>
      </x:c>
      <x:c r="BD467" s="6" t="str">
        <x:v>7</x:v>
      </x:c>
      <x:c r="BE467" s="6" t="str">
        <x:v>6</x:v>
      </x:c>
      <x:c r="BF467" s="6" t="str">
        <x:v>0</x:v>
      </x:c>
      <x:c r="BG467" s="6" t="str">
        <x:v>0</x:v>
      </x:c>
      <x:c r="BH467" s="6" t="str">
        <x:v>0</x:v>
      </x:c>
      <x:c r="BI467" s="6" t="str">
        <x:v>1</x:v>
      </x:c>
      <x:c r="BJ467" s="6" t="str">
        <x:v>0</x:v>
      </x:c>
      <x:c r="BK467" s="6" t="str">
        <x:v>0</x:v>
      </x:c>
      <x:c r="BL467" s="6" t="str">
        <x:v>0</x:v>
      </x:c>
      <x:c r="BM467" s="6" t="str">
        <x:v>0</x:v>
      </x:c>
      <x:c r="BN467" s="6" t="str">
        <x:v>7</x:v>
      </x:c>
      <x:c r="BO467" s="6" t="str">
        <x:v>0.0</x:v>
      </x:c>
      <x:c r="BP467" s="6" t="str">
        <x:v>7</x:v>
      </x:c>
      <x:c r="BQ467" s="6" t="str">
        <x:v>0.0</x:v>
      </x:c>
      <x:c r="BR467" s="6" t="str">
        <x:v>7</x:v>
      </x:c>
      <x:c r="BS467" s="6" t="str">
        <x:v>3.0</x:v>
      </x:c>
      <x:c r="BT467" s="6" t="str">
        <x:v>7</x:v>
      </x:c>
      <x:c r="BU467" s="6" t="str">
        <x:v>2016.0</x:v>
      </x:c>
      <x:c r="BV467" s="6" t="str">
        <x:v>5</x:v>
      </x:c>
      <x:c r="BW467" s="9" t="str">
        <x:v>operational_snapshot_annual_totals_may_differ</x:v>
      </x:c>
      <x:c r="BX467" s="9" t="str">
        <x:v>official_live_dashboard_snapshot_subject_to_revision</x:v>
      </x:c>
      <x:c r="BY467" s="9" t="str">
        <x:v>https://tbdashboard.sitb.id/ss_data_tbc03so_2024_provinsi_bulanan_list.php</x:v>
      </x:c>
      <x:c r="BZ467" s="6" t="n">
        <x:v>46246.610671296294</x:v>
      </x:c>
    </x:row>
    <x:row r="468" ht="18" customHeight="1">
      <x:c r="A468" s="6" t="str">
        <x:v>61</x:v>
      </x:c>
      <x:c r="B468" s="6" t="str">
        <x:v>KALIMANTAN BARAT</x:v>
      </x:c>
      <x:c r="C468" s="6" t="str">
        <x:v>2024</x:v>
      </x:c>
      <x:c r="D468" s="6" t="str">
        <x:v>11</x:v>
      </x:c>
      <x:c r="E468" s="6" t="str">
        <x:v>2024-11</x:v>
      </x:c>
      <x:c r="F468" s="6" t="str">
        <x:v>1079</x:v>
      </x:c>
      <x:c r="G468" s="6" t="str">
        <x:v>235</x:v>
      </x:c>
      <x:c r="H468" s="6" t="str">
        <x:v>676</x:v>
      </x:c>
      <x:c r="I468" s="6" t="str">
        <x:v>93</x:v>
      </x:c>
      <x:c r="J468" s="6" t="str">
        <x:v>44</x:v>
      </x:c>
      <x:c r="K468" s="6" t="str">
        <x:v>5</x:v>
      </x:c>
      <x:c r="L468" s="6" t="str">
        <x:v>4</x:v>
      </x:c>
      <x:c r="M468" s="6" t="str">
        <x:v>22</x:v>
      </x:c>
      <x:c r="N468" s="6" t="str">
        <x:v>1079</x:v>
      </x:c>
      <x:c r="O468" s="6" t="str">
        <x:v>0</x:v>
      </x:c>
      <x:c r="P468" s="10" t="n">
        <x:f>F468-M468</x:f>
        <x:v>1057</x:v>
      </x:c>
      <x:c r="Q468" s="11" t="n">
        <x:f>IFERROR(M468/F468,"")</x:f>
        <x:v>0.020389249304911955</x:v>
      </x:c>
      <x:c r="R468" s="10" t="n">
        <x:f>G468+H468</x:f>
        <x:v>911</x:v>
      </x:c>
      <x:c r="S468" s="11" t="n">
        <x:f>IFERROR(R468/F468,"")</x:f>
        <x:v>0.8443002780352178</x:v>
      </x:c>
      <x:c r="T468" s="11" t="n">
        <x:f>IFERROR(R468/P468,"")</x:f>
        <x:v>0.8618732261116367</x:v>
      </x:c>
      <x:c r="U468" s="10" t="n">
        <x:f>I468+J468+K468</x:f>
        <x:v>142</x:v>
      </x:c>
      <x:c r="V468" s="11" t="n">
        <x:f>IFERROR(U468/P468,"")</x:f>
        <x:v>0.13434247871333965</x:v>
      </x:c>
      <x:c r="W468" s="9" t="str">
        <x:v>mature_le_5pct_pending</x:v>
      </x:c>
      <x:c r="X468" s="12" t="n">
        <x:f>IFERROR(F468/Z468*100000,"")</x:f>
        <x:v>18.94478096743043</x:v>
      </x:c>
      <x:c r="Y468" s="13" t="n">
        <x:f>LN(Z468)</x:f>
        <x:v>15.555186947322104</x:v>
      </x:c>
      <x:c r="Z468" s="6" t="str">
        <x:v>5695500</x:v>
      </x:c>
      <x:c r="AA468" s="6" t="str">
        <x:v>39.0</x:v>
      </x:c>
      <x:c r="AB468" s="9" t="str">
        <x:v>2024-06-30</x:v>
      </x:c>
      <x:c r="AC468" s="8" t="str">
        <x:v>81.56</x:v>
      </x:c>
      <x:c r="AD468" s="9" t="str">
        <x:v>2024 (Susenas)</x:v>
      </x:c>
      <x:c r="AE468" s="8" t="str">
        <x:v>6.32</x:v>
      </x:c>
      <x:c r="AF468" s="9" t="str">
        <x:v>Maret 2024 (Susenas)</x:v>
      </x:c>
      <x:c r="AG468" s="6" t="str">
        <x:v>25.94598536447004</x:v>
      </x:c>
      <x:c r="AH468" s="8" t="str">
        <x:v>91.56339555861382</x:v>
      </x:c>
      <x:c r="AI468" s="6" t="str">
        <x:v>404.0876119504738</x:v>
      </x:c>
      <x:c r="AJ468" s="6" t="str">
        <x:v>0.6973490981664838</x:v>
      </x:c>
      <x:c r="AK468" s="8" t="str">
        <x:v>3.614590859345984</x:v>
      </x:c>
      <x:c r="AL468" s="6" t="str">
        <x:v>2.5151219071470434</x:v>
      </x:c>
      <x:c r="AM468" s="6" t="str">
        <x:v>2.461144960044248</x:v>
      </x:c>
      <x:c r="AN468" s="6" t="str">
        <x:v>2.863619242179091</x:v>
      </x:c>
      <x:c r="AO468" s="6" t="str">
        <x:v>-0.2816740044075203</x:v>
      </x:c>
      <x:c r="AP468" s="8" t="str">
        <x:v>-0.7601718757103311</x:v>
      </x:c>
      <x:c r="AQ468" s="6" t="str">
        <x:v>0.0616424436889667</x:v>
      </x:c>
      <x:c r="AR468" s="6" t="str">
        <x:v>-0.1801885121859051</x:v>
      </x:c>
      <x:c r="AS468" s="6" t="str">
        <x:v>-0.292905981402423</x:v>
      </x:c>
      <x:c r="AT468" s="6" t="str">
        <x:v>56.49528069705775</x:v>
      </x:c>
      <x:c r="AU468" s="8" t="str">
        <x:v>0.6288677965997863</x:v>
      </x:c>
      <x:c r="AV468" s="6" t="str">
        <x:v>0.4401665608783404</x:v>
      </x:c>
      <x:c r="AW468" s="6" t="str">
        <x:v>0.7173287686372408</x:v>
      </x:c>
      <x:c r="AX468" s="6" t="str">
        <x:v>0.5954543753717892</x:v>
      </x:c>
      <x:c r="AY468" s="6" t="str">
        <x:v>0</x:v>
      </x:c>
      <x:c r="AZ468" s="6" t="str">
        <x:v>1</x:v>
      </x:c>
      <x:c r="BA468" s="9" t="str">
        <x:v>grid_cells_within_BIG_polygon</x:v>
      </x:c>
      <x:c r="BB468" s="6" t="str">
        <x:v>35</x:v>
      </x:c>
      <x:c r="BC468" s="6" t="str">
        <x:v>9</x:v>
      </x:c>
      <x:c r="BD468" s="6" t="str">
        <x:v>9</x:v>
      </x:c>
      <x:c r="BE468" s="6" t="str">
        <x:v>9</x:v>
      </x:c>
      <x:c r="BF468" s="6" t="str">
        <x:v>0</x:v>
      </x:c>
      <x:c r="BG468" s="6" t="str">
        <x:v>0</x:v>
      </x:c>
      <x:c r="BH468" s="6" t="str">
        <x:v>0</x:v>
      </x:c>
      <x:c r="BI468" s="6" t="str">
        <x:v>0</x:v>
      </x:c>
      <x:c r="BJ468" s="6" t="str">
        <x:v>0</x:v>
      </x:c>
      <x:c r="BK468" s="6" t="str">
        <x:v>0</x:v>
      </x:c>
      <x:c r="BL468" s="6" t="str">
        <x:v>0</x:v>
      </x:c>
      <x:c r="BM468" s="6" t="str">
        <x:v>0</x:v>
      </x:c>
      <x:c r="BN468" s="6" t="str">
        <x:v>9</x:v>
      </x:c>
      <x:c r="BO468" s="6" t="str">
        <x:v>0.0</x:v>
      </x:c>
      <x:c r="BP468" s="6" t="str">
        <x:v>9</x:v>
      </x:c>
      <x:c r="BQ468" s="6" t="str">
        <x:v>0.0</x:v>
      </x:c>
      <x:c r="BR468" s="6" t="str">
        <x:v>9</x:v>
      </x:c>
      <x:c r="BS468" s="6" t="str">
        <x:v>0.0</x:v>
      </x:c>
      <x:c r="BT468" s="6" t="str">
        <x:v>9</x:v>
      </x:c>
      <x:c r="BU468" s="6" t="str">
        <x:v>12410.0</x:v>
      </x:c>
      <x:c r="BV468" s="6" t="str">
        <x:v>9</x:v>
      </x:c>
      <x:c r="BW468" s="9" t="str">
        <x:v>operational_snapshot_annual_totals_may_differ</x:v>
      </x:c>
      <x:c r="BX468" s="9" t="str">
        <x:v>official_live_dashboard_snapshot_subject_to_revision</x:v>
      </x:c>
      <x:c r="BY468" s="9" t="str">
        <x:v>https://tbdashboard.sitb.id/ss_data_tbc03so_2024_provinsi_bulanan_list.php</x:v>
      </x:c>
      <x:c r="BZ468" s="6" t="n">
        <x:v>46246.610671296294</x:v>
      </x:c>
    </x:row>
    <x:row r="469" ht="18" customHeight="1">
      <x:c r="A469" s="6" t="str">
        <x:v>61</x:v>
      </x:c>
      <x:c r="B469" s="6" t="str">
        <x:v>KALIMANTAN BARAT</x:v>
      </x:c>
      <x:c r="C469" s="6" t="str">
        <x:v>2024</x:v>
      </x:c>
      <x:c r="D469" s="6" t="str">
        <x:v>12</x:v>
      </x:c>
      <x:c r="E469" s="6" t="str">
        <x:v>2024-12</x:v>
      </x:c>
      <x:c r="F469" s="6" t="str">
        <x:v>986</x:v>
      </x:c>
      <x:c r="G469" s="6" t="str">
        <x:v>243</x:v>
      </x:c>
      <x:c r="H469" s="6" t="str">
        <x:v>592</x:v>
      </x:c>
      <x:c r="I469" s="6" t="str">
        <x:v>66</x:v>
      </x:c>
      <x:c r="J469" s="6" t="str">
        <x:v>45</x:v>
      </x:c>
      <x:c r="K469" s="6" t="str">
        <x:v>1</x:v>
      </x:c>
      <x:c r="L469" s="6" t="str">
        <x:v>3</x:v>
      </x:c>
      <x:c r="M469" s="6" t="str">
        <x:v>36</x:v>
      </x:c>
      <x:c r="N469" s="6" t="str">
        <x:v>986</x:v>
      </x:c>
      <x:c r="O469" s="6" t="str">
        <x:v>0</x:v>
      </x:c>
      <x:c r="P469" s="10" t="n">
        <x:f>F469-M469</x:f>
        <x:v>950</x:v>
      </x:c>
      <x:c r="Q469" s="11" t="n">
        <x:f>IFERROR(M469/F469,"")</x:f>
        <x:v>0.036511156186612576</x:v>
      </x:c>
      <x:c r="R469" s="10" t="n">
        <x:f>G469+H469</x:f>
        <x:v>835</x:v>
      </x:c>
      <x:c r="S469" s="11" t="n">
        <x:f>IFERROR(R469/F469,"")</x:f>
        <x:v>0.8468559837728195</x:v>
      </x:c>
      <x:c r="T469" s="11" t="n">
        <x:f>IFERROR(R469/P469,"")</x:f>
        <x:v>0.8789473684210526</x:v>
      </x:c>
      <x:c r="U469" s="10" t="n">
        <x:f>I469+J469+K469</x:f>
        <x:v>112</x:v>
      </x:c>
      <x:c r="V469" s="11" t="n">
        <x:f>IFERROR(U469/P469,"")</x:f>
        <x:v>0.11789473684210526</x:v>
      </x:c>
      <x:c r="W469" s="9" t="str">
        <x:v>mature_le_5pct_pending</x:v>
      </x:c>
      <x:c r="X469" s="12" t="n">
        <x:f>IFERROR(F469/Z469*100000,"")</x:f>
        <x:v>17.3119129137038</x:v>
      </x:c>
      <x:c r="Y469" s="13" t="n">
        <x:f>LN(Z469)</x:f>
        <x:v>15.555186947322104</x:v>
      </x:c>
      <x:c r="Z469" s="6" t="str">
        <x:v>5695500</x:v>
      </x:c>
      <x:c r="AA469" s="6" t="str">
        <x:v>39.0</x:v>
      </x:c>
      <x:c r="AB469" s="9" t="str">
        <x:v>2024-06-30</x:v>
      </x:c>
      <x:c r="AC469" s="8" t="str">
        <x:v>81.56</x:v>
      </x:c>
      <x:c r="AD469" s="9" t="str">
        <x:v>2024 (Susenas)</x:v>
      </x:c>
      <x:c r="AE469" s="8" t="str">
        <x:v>6.32</x:v>
      </x:c>
      <x:c r="AF469" s="9" t="str">
        <x:v>Maret 2024 (Susenas)</x:v>
      </x:c>
      <x:c r="AG469" s="6" t="str">
        <x:v>25.738276068477152</x:v>
      </x:c>
      <x:c r="AH469" s="8" t="str">
        <x:v>92.19997085605353</x:v>
      </x:c>
      <x:c r="AI469" s="6" t="str">
        <x:v>336.99196080732946</x:v>
      </x:c>
      <x:c r="AJ469" s="6" t="str">
        <x:v>0.6499272149400355</x:v>
      </x:c>
      <x:c r="AK469" s="8" t="str">
        <x:v>2.7996271145189198</x:v>
      </x:c>
      <x:c r="AL469" s="6" t="str">
        <x:v>3.614590859345984</x:v>
      </x:c>
      <x:c r="AM469" s="6" t="str">
        <x:v>2.5151219071470434</x:v>
      </x:c>
      <x:c r="AN469" s="6" t="str">
        <x:v>2.9764466270039818</x:v>
      </x:c>
      <x:c r="AO469" s="6" t="str">
        <x:v>-0.1025097310456715</x:v>
      </x:c>
      <x:c r="AP469" s="8" t="str">
        <x:v>-0.1681668502091782</x:v>
      </x:c>
      <x:c r="AQ469" s="6" t="str">
        <x:v>-0.7601718757103311</x:v>
      </x:c>
      <x:c r="AR469" s="6" t="str">
        <x:v>0.0616424436889667</x:v>
      </x:c>
      <x:c r="AS469" s="6" t="str">
        <x:v>-0.288898760743514</x:v>
      </x:c>
      <x:c r="AT469" s="6" t="str">
        <x:v>-34.21010489532239</x:v>
      </x:c>
      <x:c r="AU469" s="8" t="str">
        <x:v>-0.3334189898465946</x:v>
      </x:c>
      <x:c r="AV469" s="6" t="str">
        <x:v>0.6288677965997863</x:v>
      </x:c>
      <x:c r="AW469" s="6" t="str">
        <x:v>0.4401665608783404</x:v>
      </x:c>
      <x:c r="AX469" s="6" t="str">
        <x:v>0.245205122543844</x:v>
      </x:c>
      <x:c r="AY469" s="6" t="str">
        <x:v>0</x:v>
      </x:c>
      <x:c r="AZ469" s="6" t="str">
        <x:v>1</x:v>
      </x:c>
      <x:c r="BA469" s="9" t="str">
        <x:v>grid_cells_within_BIG_polygon</x:v>
      </x:c>
      <x:c r="BB469" s="6" t="str">
        <x:v>35</x:v>
      </x:c>
      <x:c r="BC469" s="6" t="str">
        <x:v>5</x:v>
      </x:c>
      <x:c r="BD469" s="6" t="str">
        <x:v>5</x:v>
      </x:c>
      <x:c r="BE469" s="6" t="str">
        <x:v>5</x:v>
      </x:c>
      <x:c r="BF469" s="6" t="str">
        <x:v>0</x:v>
      </x:c>
      <x:c r="BG469" s="6" t="str">
        <x:v>0</x:v>
      </x:c>
      <x:c r="BH469" s="6" t="str">
        <x:v>0</x:v>
      </x:c>
      <x:c r="BI469" s="6" t="str">
        <x:v>0</x:v>
      </x:c>
      <x:c r="BJ469" s="6" t="str">
        <x:v>0</x:v>
      </x:c>
      <x:c r="BK469" s="6" t="str">
        <x:v>0</x:v>
      </x:c>
      <x:c r="BL469" s="6" t="str">
        <x:v>0</x:v>
      </x:c>
      <x:c r="BM469" s="6" t="str">
        <x:v>0</x:v>
      </x:c>
      <x:c r="BN469" s="6" t="str">
        <x:v>5</x:v>
      </x:c>
      <x:c r="BO469" s="6" t="str">
        <x:v>0.0</x:v>
      </x:c>
      <x:c r="BP469" s="6" t="str">
        <x:v>5</x:v>
      </x:c>
      <x:c r="BQ469" s="6" t="str">
        <x:v>0.0</x:v>
      </x:c>
      <x:c r="BR469" s="6" t="str">
        <x:v>5</x:v>
      </x:c>
      <x:c r="BS469" s="6" t="str">
        <x:v>0.0</x:v>
      </x:c>
      <x:c r="BT469" s="6" t="str">
        <x:v>5</x:v>
      </x:c>
      <x:c r="BU469" s="6" t="str">
        <x:v>3997.0</x:v>
      </x:c>
      <x:c r="BV469" s="6" t="str">
        <x:v>5</x:v>
      </x:c>
      <x:c r="BW469" s="9" t="str">
        <x:v>operational_snapshot_annual_totals_may_differ</x:v>
      </x:c>
      <x:c r="BX469" s="9" t="str">
        <x:v>official_live_dashboard_snapshot_subject_to_revision</x:v>
      </x:c>
      <x:c r="BY469" s="9" t="str">
        <x:v>https://tbdashboard.sitb.id/ss_data_tbc03so_2024_provinsi_bulanan_list.php</x:v>
      </x:c>
      <x:c r="BZ469" s="6" t="n">
        <x:v>46246.610671296294</x:v>
      </x:c>
    </x:row>
    <x:row r="470" ht="18" customHeight="1">
      <x:c r="A470" s="6" t="str">
        <x:v>61</x:v>
      </x:c>
      <x:c r="B470" s="6" t="str">
        <x:v>KALIMANTAN BARAT</x:v>
      </x:c>
      <x:c r="C470" s="6" t="str">
        <x:v>2025</x:v>
      </x:c>
      <x:c r="D470" s="6" t="str">
        <x:v>1</x:v>
      </x:c>
      <x:c r="E470" s="6" t="str">
        <x:v>2025-01</x:v>
      </x:c>
      <x:c r="F470" s="6" t="str">
        <x:v>1127</x:v>
      </x:c>
      <x:c r="G470" s="6" t="str">
        <x:v>278</x:v>
      </x:c>
      <x:c r="H470" s="6" t="str">
        <x:v>673</x:v>
      </x:c>
      <x:c r="I470" s="6" t="str">
        <x:v>80</x:v>
      </x:c>
      <x:c r="J470" s="6" t="str">
        <x:v>47</x:v>
      </x:c>
      <x:c r="K470" s="6" t="str">
        <x:v>2</x:v>
      </x:c>
      <x:c r="L470" s="6" t="str">
        <x:v>4</x:v>
      </x:c>
      <x:c r="M470" s="6" t="str">
        <x:v>43</x:v>
      </x:c>
      <x:c r="N470" s="6" t="str">
        <x:v>1127</x:v>
      </x:c>
      <x:c r="O470" s="6" t="str">
        <x:v>0</x:v>
      </x:c>
      <x:c r="P470" s="10" t="n">
        <x:f>F470-M470</x:f>
        <x:v>1084</x:v>
      </x:c>
      <x:c r="Q470" s="11" t="n">
        <x:f>IFERROR(M470/F470,"")</x:f>
        <x:v>0.038154392191659274</x:v>
      </x:c>
      <x:c r="R470" s="10" t="n">
        <x:f>G470+H470</x:f>
        <x:v>951</x:v>
      </x:c>
      <x:c r="S470" s="11" t="n">
        <x:f>IFERROR(R470/F470,"")</x:f>
        <x:v>0.8438331854480923</x:v>
      </x:c>
      <x:c r="T470" s="11" t="n">
        <x:f>IFERROR(R470/P470,"")</x:f>
        <x:v>0.8773062730627307</x:v>
      </x:c>
      <x:c r="U470" s="10" t="n">
        <x:f>I470+J470+K470</x:f>
        <x:v>129</x:v>
      </x:c>
      <x:c r="V470" s="11" t="n">
        <x:f>IFERROR(U470/P470,"")</x:f>
        <x:v>0.11900369003690037</x:v>
      </x:c>
      <x:c r="W470" s="9" t="str">
        <x:v>mature_le_5pct_pending</x:v>
      </x:c>
      <x:c r="X470" s="12" t="n">
        <x:f>IFERROR(F470/Z470*100000,"")</x:f>
        <x:v>19.54561220950399</x:v>
      </x:c>
      <x:c r="Y470" s="13" t="n">
        <x:f>LN(Z470)</x:f>
        <x:v>15.567489157180484</x:v>
      </x:c>
      <x:c r="Z470" s="6" t="str">
        <x:v>5766000</x:v>
      </x:c>
      <x:c r="AA470" s="6" t="str">
        <x:v>39.0</x:v>
      </x:c>
      <x:c r="AB470" s="9" t="str">
        <x:v>2025-06-30</x:v>
      </x:c>
      <x:c r="AC470" s="8" t="str">
        <x:v>88.37</x:v>
      </x:c>
      <x:c r="AD470" s="9" t="str">
        <x:v>2025 (Susenas)</x:v>
      </x:c>
      <x:c r="AE470" s="8" t="str">
        <x:v>6.16</x:v>
      </x:c>
      <x:c r="AF470" s="9" t="str">
        <x:v>Maret 2025 (Susenas)</x:v>
      </x:c>
      <x:c r="AG470" s="6" t="str">
        <x:v>25.37684522037908</x:v>
      </x:c>
      <x:c r="AH470" s="8" t="str">
        <x:v>93.30285992243842</x:v>
      </x:c>
      <x:c r="AI470" s="6" t="str">
        <x:v>543.5269296195179</x:v>
      </x:c>
      <x:c r="AJ470" s="6" t="str">
        <x:v>0.3740303385679198</x:v>
      </x:c>
      <x:c r="AK470" s="8" t="str">
        <x:v>1.087498263447849</x:v>
      </x:c>
      <x:c r="AL470" s="6" t="str">
        <x:v>2.7996271145189198</x:v>
      </x:c>
      <x:c r="AM470" s="6" t="str">
        <x:v>3.614590859345984</x:v>
      </x:c>
      <x:c r="AN470" s="6" t="str">
        <x:v>2.5005720791042503</x:v>
      </x:c>
      <x:c r="AO470" s="6" t="str">
        <x:v>1.4584637724143477</x:v>
      </x:c>
      <x:c r="AP470" s="8" t="str">
        <x:v>2.222744643349849</x:v>
      </x:c>
      <x:c r="AQ470" s="6" t="str">
        <x:v>-0.1681668502091782</x:v>
      </x:c>
      <x:c r="AR470" s="6" t="str">
        <x:v>-0.7601718757103311</x:v>
      </x:c>
      <x:c r="AS470" s="6" t="str">
        <x:v>0.4314686391434468</x:v>
      </x:c>
      <x:c r="AT470" s="6" t="str">
        <x:v>214.50265271551177</x:v>
      </x:c>
      <x:c r="AU470" s="8" t="str">
        <x:v>2.7511570169488317</x:v>
      </x:c>
      <x:c r="AV470" s="6" t="str">
        <x:v>-0.3334189898465946</x:v>
      </x:c>
      <x:c r="AW470" s="6" t="str">
        <x:v>0.6288677965997863</x:v>
      </x:c>
      <x:c r="AX470" s="6" t="str">
        <x:v>1.015535274567341</x:v>
      </x:c>
      <x:c r="AY470" s="6" t="str">
        <x:v>1</x:v>
      </x:c>
      <x:c r="AZ470" s="6" t="str">
        <x:v>1</x:v>
      </x:c>
      <x:c r="BA470" s="9" t="str">
        <x:v>grid_cells_within_BIG_polygon</x:v>
      </x:c>
      <x:c r="BB470" s="6" t="str">
        <x:v>35</x:v>
      </x:c>
      <x:c r="BC470" s="6" t="str">
        <x:v>9</x:v>
      </x:c>
      <x:c r="BD470" s="6" t="str">
        <x:v>9</x:v>
      </x:c>
      <x:c r="BE470" s="6" t="str">
        <x:v>9</x:v>
      </x:c>
      <x:c r="BF470" s="6" t="str">
        <x:v>0</x:v>
      </x:c>
      <x:c r="BG470" s="6" t="str">
        <x:v>0</x:v>
      </x:c>
      <x:c r="BH470" s="6" t="str">
        <x:v>0</x:v>
      </x:c>
      <x:c r="BI470" s="6" t="str">
        <x:v>0</x:v>
      </x:c>
      <x:c r="BJ470" s="6" t="str">
        <x:v>0</x:v>
      </x:c>
      <x:c r="BK470" s="6" t="str">
        <x:v>0</x:v>
      </x:c>
      <x:c r="BL470" s="6" t="str">
        <x:v>0</x:v>
      </x:c>
      <x:c r="BM470" s="6" t="str">
        <x:v>0</x:v>
      </x:c>
      <x:c r="BN470" s="6" t="str">
        <x:v>9</x:v>
      </x:c>
      <x:c r="BO470" s="6" t="str">
        <x:v>2.0</x:v>
      </x:c>
      <x:c r="BP470" s="6" t="str">
        <x:v>9</x:v>
      </x:c>
      <x:c r="BQ470" s="6" t="str">
        <x:v>0.0</x:v>
      </x:c>
      <x:c r="BR470" s="6" t="str">
        <x:v>9</x:v>
      </x:c>
      <x:c r="BS470" s="6" t="str">
        <x:v>34.0</x:v>
      </x:c>
      <x:c r="BT470" s="6" t="str">
        <x:v>9</x:v>
      </x:c>
      <x:c r="BU470" s="6" t="str">
        <x:v>54274.0</x:v>
      </x:c>
      <x:c r="BV470" s="6" t="str">
        <x:v>9</x:v>
      </x:c>
      <x:c r="BW470" s="9" t="str">
        <x:v>operational_snapshot_annual_totals_may_differ</x:v>
      </x:c>
      <x:c r="BX470" s="9" t="str">
        <x:v>official_live_dashboard_snapshot_subject_to_revision</x:v>
      </x:c>
      <x:c r="BY470" s="9" t="str">
        <x:v>https://tbdashboard.sitb.id/ss_data_tbc03so_2025_provinsi_bulanan_list.php</x:v>
      </x:c>
      <x:c r="BZ470" s="6" t="n">
        <x:v>46246.610671296294</x:v>
      </x:c>
    </x:row>
    <x:row r="471" ht="18" customHeight="1">
      <x:c r="A471" s="6" t="str">
        <x:v>61</x:v>
      </x:c>
      <x:c r="B471" s="6" t="str">
        <x:v>KALIMANTAN BARAT</x:v>
      </x:c>
      <x:c r="C471" s="6" t="str">
        <x:v>2025</x:v>
      </x:c>
      <x:c r="D471" s="6" t="str">
        <x:v>2</x:v>
      </x:c>
      <x:c r="E471" s="6" t="str">
        <x:v>2025-02</x:v>
      </x:c>
      <x:c r="F471" s="6" t="str">
        <x:v>1094</x:v>
      </x:c>
      <x:c r="G471" s="6" t="str">
        <x:v>296</x:v>
      </x:c>
      <x:c r="H471" s="6" t="str">
        <x:v>597</x:v>
      </x:c>
      <x:c r="I471" s="6" t="str">
        <x:v>96</x:v>
      </x:c>
      <x:c r="J471" s="6" t="str">
        <x:v>39</x:v>
      </x:c>
      <x:c r="K471" s="6" t="str">
        <x:v>0</x:v>
      </x:c>
      <x:c r="L471" s="6" t="str">
        <x:v>2</x:v>
      </x:c>
      <x:c r="M471" s="6" t="str">
        <x:v>64</x:v>
      </x:c>
      <x:c r="N471" s="6" t="str">
        <x:v>1094</x:v>
      </x:c>
      <x:c r="O471" s="6" t="str">
        <x:v>0</x:v>
      </x:c>
      <x:c r="P471" s="10" t="n">
        <x:f>F471-M471</x:f>
        <x:v>1030</x:v>
      </x:c>
      <x:c r="Q471" s="11" t="n">
        <x:f>IFERROR(M471/F471,"")</x:f>
        <x:v>0.05850091407678245</x:v>
      </x:c>
      <x:c r="R471" s="10" t="n">
        <x:f>G471+H471</x:f>
        <x:v>893</x:v>
      </x:c>
      <x:c r="S471" s="11" t="n">
        <x:f>IFERROR(R471/F471,"")</x:f>
        <x:v>0.8162705667276051</x:v>
      </x:c>
      <x:c r="T471" s="11" t="n">
        <x:f>IFERROR(R471/P471,"")</x:f>
        <x:v>0.8669902912621359</x:v>
      </x:c>
      <x:c r="U471" s="10" t="n">
        <x:f>I471+J471+K471</x:f>
        <x:v>135</x:v>
      </x:c>
      <x:c r="V471" s="11" t="n">
        <x:f>IFERROR(U471/P471,"")</x:f>
        <x:v>0.13106796116504854</x:v>
      </x:c>
      <x:c r="W471" s="9" t="str">
        <x:v>provisional_gt_5pct_pending</x:v>
      </x:c>
      <x:c r="X471" s="12" t="n">
        <x:f>IFERROR(F471/Z471*100000,"")</x:f>
        <x:v>18.97329171002428</x:v>
      </x:c>
      <x:c r="Y471" s="13" t="n">
        <x:f>LN(Z471)</x:f>
        <x:v>15.567489157180484</x:v>
      </x:c>
      <x:c r="Z471" s="6" t="str">
        <x:v>5766000</x:v>
      </x:c>
      <x:c r="AA471" s="6" t="str">
        <x:v>39.0</x:v>
      </x:c>
      <x:c r="AB471" s="9" t="str">
        <x:v>2025-06-30</x:v>
      </x:c>
      <x:c r="AC471" s="8" t="str">
        <x:v>88.37</x:v>
      </x:c>
      <x:c r="AD471" s="9" t="str">
        <x:v>2025 (Susenas)</x:v>
      </x:c>
      <x:c r="AE471" s="8" t="str">
        <x:v>6.16</x:v>
      </x:c>
      <x:c r="AF471" s="9" t="str">
        <x:v>Maret 2025 (Susenas)</x:v>
      </x:c>
      <x:c r="AG471" s="6" t="str">
        <x:v>25.40741233983064</x:v>
      </x:c>
      <x:c r="AH471" s="8" t="str">
        <x:v>91.3662921870378</x:v>
      </x:c>
      <x:c r="AI471" s="6" t="str">
        <x:v>222.7967308987586</x:v>
      </x:c>
      <x:c r="AJ471" s="6" t="str">
        <x:v>0.266262633096872</x:v>
      </x:c>
      <x:c r="AK471" s="8" t="str">
        <x:v>0.8619151566602523</x:v>
      </x:c>
      <x:c r="AL471" s="6" t="str">
        <x:v>1.087498263447849</x:v>
      </x:c>
      <x:c r="AM471" s="6" t="str">
        <x:v>2.7996271145189198</x:v>
      </x:c>
      <x:c r="AN471" s="6" t="str">
        <x:v>1.58301351154234</x:v>
      </x:c>
      <x:c r="AO471" s="6" t="str">
        <x:v>0.3240664792841699</x:v>
      </x:c>
      <x:c r="AP471" s="8" t="str">
        <x:v>0.3702460678935435</x:v>
      </x:c>
      <x:c r="AQ471" s="6" t="str">
        <x:v>2.222744643349849</x:v>
      </x:c>
      <x:c r="AR471" s="6" t="str">
        <x:v>-0.1681668502091782</x:v>
      </x:c>
      <x:c r="AS471" s="6" t="str">
        <x:v>0.8082746203447383</x:v>
      </x:c>
      <x:c r="AT471" s="6" t="str">
        <x:v>-40.37165337399915</x:v>
      </x:c>
      <x:c r="AU471" s="8" t="str">
        <x:v>-0.4172094441228869</x:v>
      </x:c>
      <x:c r="AV471" s="6" t="str">
        <x:v>2.7511570169488317</x:v>
      </x:c>
      <x:c r="AW471" s="6" t="str">
        <x:v>-0.3334189898465946</x:v>
      </x:c>
      <x:c r="AX471" s="6" t="str">
        <x:v>0.6668428609931166</x:v>
      </x:c>
      <x:c r="AY471" s="6" t="str">
        <x:v>0</x:v>
      </x:c>
      <x:c r="AZ471" s="6" t="str">
        <x:v>0</x:v>
      </x:c>
      <x:c r="BA471" s="9" t="str">
        <x:v>grid_cells_within_BIG_polygon</x:v>
      </x:c>
      <x:c r="BB471" s="6" t="str">
        <x:v>35</x:v>
      </x:c>
      <x:c r="BC471" s="6" t="str">
        <x:v>1</x:v>
      </x:c>
      <x:c r="BD471" s="6" t="str">
        <x:v>1</x:v>
      </x:c>
      <x:c r="BE471" s="6" t="str">
        <x:v>1</x:v>
      </x:c>
      <x:c r="BF471" s="6" t="str">
        <x:v>0</x:v>
      </x:c>
      <x:c r="BG471" s="6" t="str">
        <x:v>0</x:v>
      </x:c>
      <x:c r="BH471" s="6" t="str">
        <x:v>0</x:v>
      </x:c>
      <x:c r="BI471" s="6" t="str">
        <x:v>0</x:v>
      </x:c>
      <x:c r="BJ471" s="6" t="str">
        <x:v>0</x:v>
      </x:c>
      <x:c r="BK471" s="6" t="str">
        <x:v>0</x:v>
      </x:c>
      <x:c r="BL471" s="6" t="str">
        <x:v>0</x:v>
      </x:c>
      <x:c r="BM471" s="6" t="str">
        <x:v>0</x:v>
      </x:c>
      <x:c r="BN471" s="6" t="str">
        <x:v>1</x:v>
      </x:c>
      <x:c r="BO471" s="6" t="str">
        <x:v>0.0</x:v>
      </x:c>
      <x:c r="BP471" s="6" t="str">
        <x:v>1</x:v>
      </x:c>
      <x:c r="BQ471" s="6" t="str">
        <x:v>0.0</x:v>
      </x:c>
      <x:c r="BR471" s="6" t="str">
        <x:v>1</x:v>
      </x:c>
      <x:c r="BS471" s="6" t="str">
        <x:v>0.0</x:v>
      </x:c>
      <x:c r="BT471" s="6" t="str">
        <x:v>1</x:v>
      </x:c>
      <x:c r="BU471" s="6" t="str">
        <x:v>657.0</x:v>
      </x:c>
      <x:c r="BV471" s="6" t="str">
        <x:v>1</x:v>
      </x:c>
      <x:c r="BW471" s="9" t="str">
        <x:v>operational_snapshot_annual_totals_may_differ</x:v>
      </x:c>
      <x:c r="BX471" s="9" t="str">
        <x:v>official_live_dashboard_snapshot_subject_to_revision</x:v>
      </x:c>
      <x:c r="BY471" s="9" t="str">
        <x:v>https://tbdashboard.sitb.id/ss_data_tbc03so_2025_provinsi_bulanan_list.php</x:v>
      </x:c>
      <x:c r="BZ471" s="6" t="n">
        <x:v>46246.610671296294</x:v>
      </x:c>
    </x:row>
    <x:row r="472" ht="18" customHeight="1">
      <x:c r="A472" s="6" t="str">
        <x:v>61</x:v>
      </x:c>
      <x:c r="B472" s="6" t="str">
        <x:v>KALIMANTAN BARAT</x:v>
      </x:c>
      <x:c r="C472" s="6" t="str">
        <x:v>2025</x:v>
      </x:c>
      <x:c r="D472" s="6" t="str">
        <x:v>3</x:v>
      </x:c>
      <x:c r="E472" s="6" t="str">
        <x:v>2025-03</x:v>
      </x:c>
      <x:c r="F472" s="6" t="str">
        <x:v>1061</x:v>
      </x:c>
      <x:c r="G472" s="6" t="str">
        <x:v>257</x:v>
      </x:c>
      <x:c r="H472" s="6" t="str">
        <x:v>622</x:v>
      </x:c>
      <x:c r="I472" s="6" t="str">
        <x:v>92</x:v>
      </x:c>
      <x:c r="J472" s="6" t="str">
        <x:v>39</x:v>
      </x:c>
      <x:c r="K472" s="6" t="str">
        <x:v>1</x:v>
      </x:c>
      <x:c r="L472" s="6" t="str">
        <x:v>1</x:v>
      </x:c>
      <x:c r="M472" s="6" t="str">
        <x:v>49</x:v>
      </x:c>
      <x:c r="N472" s="6" t="str">
        <x:v>1061</x:v>
      </x:c>
      <x:c r="O472" s="6" t="str">
        <x:v>0</x:v>
      </x:c>
      <x:c r="P472" s="10" t="n">
        <x:f>F472-M472</x:f>
        <x:v>1012</x:v>
      </x:c>
      <x:c r="Q472" s="11" t="n">
        <x:f>IFERROR(M472/F472,"")</x:f>
        <x:v>0.046182846371347785</x:v>
      </x:c>
      <x:c r="R472" s="10" t="n">
        <x:f>G472+H472</x:f>
        <x:v>879</x:v>
      </x:c>
      <x:c r="S472" s="11" t="n">
        <x:f>IFERROR(R472/F472,"")</x:f>
        <x:v>0.8284637134778511</x:v>
      </x:c>
      <x:c r="T472" s="11" t="n">
        <x:f>IFERROR(R472/P472,"")</x:f>
        <x:v>0.8685770750988142</x:v>
      </x:c>
      <x:c r="U472" s="10" t="n">
        <x:f>I472+J472+K472</x:f>
        <x:v>132</x:v>
      </x:c>
      <x:c r="V472" s="11" t="n">
        <x:f>IFERROR(U472/P472,"")</x:f>
        <x:v>0.13043478260869565</x:v>
      </x:c>
      <x:c r="W472" s="9" t="str">
        <x:v>mature_le_5pct_pending</x:v>
      </x:c>
      <x:c r="X472" s="12" t="n">
        <x:f>IFERROR(F472/Z472*100000,"")</x:f>
        <x:v>18.400971210544572</x:v>
      </x:c>
      <x:c r="Y472" s="13" t="n">
        <x:f>LN(Z472)</x:f>
        <x:v>15.567489157180484</x:v>
      </x:c>
      <x:c r="Z472" s="6" t="str">
        <x:v>5766000</x:v>
      </x:c>
      <x:c r="AA472" s="6" t="str">
        <x:v>39.0</x:v>
      </x:c>
      <x:c r="AB472" s="9" t="str">
        <x:v>2025-06-30</x:v>
      </x:c>
      <x:c r="AC472" s="8" t="str">
        <x:v>88.37</x:v>
      </x:c>
      <x:c r="AD472" s="9" t="str">
        <x:v>2025 (Susenas)</x:v>
      </x:c>
      <x:c r="AE472" s="8" t="str">
        <x:v>6.16</x:v>
      </x:c>
      <x:c r="AF472" s="9" t="str">
        <x:v>Maret 2025 (Susenas)</x:v>
      </x:c>
      <x:c r="AG472" s="6" t="str">
        <x:v>25.71055497978112</x:v>
      </x:c>
      <x:c r="AH472" s="8" t="str">
        <x:v>91.84340415216737</x:v>
      </x:c>
      <x:c r="AI472" s="6" t="str">
        <x:v>421.0599457761893</x:v>
      </x:c>
      <x:c r="AJ472" s="6" t="str">
        <x:v>0.258976899224006</x:v>
      </x:c>
      <x:c r="AK472" s="8" t="str">
        <x:v>0.8781582005628737</x:v>
      </x:c>
      <x:c r="AL472" s="6" t="str">
        <x:v>0.8619151566602523</x:v>
      </x:c>
      <x:c r="AM472" s="6" t="str">
        <x:v>1.087498263447849</x:v>
      </x:c>
      <x:c r="AN472" s="6" t="str">
        <x:v>0.9425238735569912</x:v>
      </x:c>
      <x:c r="AO472" s="6" t="str">
        <x:v>0.973283009980662</x:v>
      </x:c>
      <x:c r="AP472" s="8" t="str">
        <x:v>1.4386500975885983</x:v>
      </x:c>
      <x:c r="AQ472" s="6" t="str">
        <x:v>0.3702460678935435</x:v>
      </x:c>
      <x:c r="AR472" s="6" t="str">
        <x:v>2.222744643349849</x:v>
      </x:c>
      <x:c r="AS472" s="6" t="str">
        <x:v>1.343880269610664</x:v>
      </x:c>
      <x:c r="AT472" s="6" t="str">
        <x:v>147.00081179603433</x:v>
      </x:c>
      <x:c r="AU472" s="8" t="str">
        <x:v>1.811022959808547</x:v>
      </x:c>
      <x:c r="AV472" s="6" t="str">
        <x:v>-0.4172094441228869</x:v>
      </x:c>
      <x:c r="AW472" s="6" t="str">
        <x:v>2.7511570169488317</x:v>
      </x:c>
      <x:c r="AX472" s="6" t="str">
        <x:v>1.3816568442114974</x:v>
      </x:c>
      <x:c r="AY472" s="6" t="str">
        <x:v>1</x:v>
      </x:c>
      <x:c r="AZ472" s="6" t="str">
        <x:v>0</x:v>
      </x:c>
      <x:c r="BA472" s="9" t="str">
        <x:v>grid_cells_within_BIG_polygon</x:v>
      </x:c>
      <x:c r="BB472" s="6" t="str">
        <x:v>35</x:v>
      </x:c>
      <x:c r="BC472" s="6" t="str">
        <x:v>10</x:v>
      </x:c>
      <x:c r="BD472" s="6" t="str">
        <x:v>10</x:v>
      </x:c>
      <x:c r="BE472" s="6" t="str">
        <x:v>10</x:v>
      </x:c>
      <x:c r="BF472" s="6" t="str">
        <x:v>0</x:v>
      </x:c>
      <x:c r="BG472" s="6" t="str">
        <x:v>0</x:v>
      </x:c>
      <x:c r="BH472" s="6" t="str">
        <x:v>0</x:v>
      </x:c>
      <x:c r="BI472" s="6" t="str">
        <x:v>0</x:v>
      </x:c>
      <x:c r="BJ472" s="6" t="str">
        <x:v>0</x:v>
      </x:c>
      <x:c r="BK472" s="6" t="str">
        <x:v>0</x:v>
      </x:c>
      <x:c r="BL472" s="6" t="str">
        <x:v>0</x:v>
      </x:c>
      <x:c r="BM472" s="6" t="str">
        <x:v>0</x:v>
      </x:c>
      <x:c r="BN472" s="6" t="str">
        <x:v>10</x:v>
      </x:c>
      <x:c r="BO472" s="6" t="str">
        <x:v>0.0</x:v>
      </x:c>
      <x:c r="BP472" s="6" t="str">
        <x:v>10</x:v>
      </x:c>
      <x:c r="BQ472" s="6" t="str">
        <x:v>0.0</x:v>
      </x:c>
      <x:c r="BR472" s="6" t="str">
        <x:v>10</x:v>
      </x:c>
      <x:c r="BS472" s="6" t="str">
        <x:v>0.0</x:v>
      </x:c>
      <x:c r="BT472" s="6" t="str">
        <x:v>10</x:v>
      </x:c>
      <x:c r="BU472" s="6" t="str">
        <x:v>9151.0</x:v>
      </x:c>
      <x:c r="BV472" s="6" t="str">
        <x:v>10</x:v>
      </x:c>
      <x:c r="BW472" s="9" t="str">
        <x:v>operational_snapshot_annual_totals_may_differ</x:v>
      </x:c>
      <x:c r="BX472" s="9" t="str">
        <x:v>official_live_dashboard_snapshot_subject_to_revision</x:v>
      </x:c>
      <x:c r="BY472" s="9" t="str">
        <x:v>https://tbdashboard.sitb.id/ss_data_tbc03so_2025_provinsi_bulanan_list.php</x:v>
      </x:c>
      <x:c r="BZ472" s="6" t="n">
        <x:v>46246.610671296294</x:v>
      </x:c>
    </x:row>
    <x:row r="473" ht="18" customHeight="1">
      <x:c r="A473" s="6" t="str">
        <x:v>61</x:v>
      </x:c>
      <x:c r="B473" s="6" t="str">
        <x:v>KALIMANTAN BARAT</x:v>
      </x:c>
      <x:c r="C473" s="6" t="str">
        <x:v>2025</x:v>
      </x:c>
      <x:c r="D473" s="6" t="str">
        <x:v>4</x:v>
      </x:c>
      <x:c r="E473" s="6" t="str">
        <x:v>2025-04</x:v>
      </x:c>
      <x:c r="F473" s="6" t="str">
        <x:v>1039</x:v>
      </x:c>
      <x:c r="G473" s="6" t="str">
        <x:v>275</x:v>
      </x:c>
      <x:c r="H473" s="6" t="str">
        <x:v>565</x:v>
      </x:c>
      <x:c r="I473" s="6" t="str">
        <x:v>96</x:v>
      </x:c>
      <x:c r="J473" s="6" t="str">
        <x:v>36</x:v>
      </x:c>
      <x:c r="K473" s="6" t="str">
        <x:v>5</x:v>
      </x:c>
      <x:c r="L473" s="6" t="str">
        <x:v>0</x:v>
      </x:c>
      <x:c r="M473" s="6" t="str">
        <x:v>62</x:v>
      </x:c>
      <x:c r="N473" s="6" t="str">
        <x:v>1039</x:v>
      </x:c>
      <x:c r="O473" s="6" t="str">
        <x:v>0</x:v>
      </x:c>
      <x:c r="P473" s="10" t="n">
        <x:f>F473-M473</x:f>
        <x:v>977</x:v>
      </x:c>
      <x:c r="Q473" s="11" t="n">
        <x:f>IFERROR(M473/F473,"")</x:f>
        <x:v>0.059672762271414825</x:v>
      </x:c>
      <x:c r="R473" s="10" t="n">
        <x:f>G473+H473</x:f>
        <x:v>840</x:v>
      </x:c>
      <x:c r="S473" s="11" t="n">
        <x:f>IFERROR(R473/F473,"")</x:f>
        <x:v>0.8084696823869105</x:v>
      </x:c>
      <x:c r="T473" s="11" t="n">
        <x:f>IFERROR(R473/P473,"")</x:f>
        <x:v>0.8597748208802457</x:v>
      </x:c>
      <x:c r="U473" s="10" t="n">
        <x:f>I473+J473+K473</x:f>
        <x:v>137</x:v>
      </x:c>
      <x:c r="V473" s="11" t="n">
        <x:f>IFERROR(U473/P473,"")</x:f>
        <x:v>0.14022517911975435</x:v>
      </x:c>
      <x:c r="W473" s="9" t="str">
        <x:v>provisional_gt_5pct_pending</x:v>
      </x:c>
      <x:c r="X473" s="12" t="n">
        <x:f>IFERROR(F473/Z473*100000,"")</x:f>
        <x:v>18.019424210891433</x:v>
      </x:c>
      <x:c r="Y473" s="13" t="n">
        <x:f>LN(Z473)</x:f>
        <x:v>15.567489157180484</x:v>
      </x:c>
      <x:c r="Z473" s="6" t="str">
        <x:v>5766000</x:v>
      </x:c>
      <x:c r="AA473" s="6" t="str">
        <x:v>39.0</x:v>
      </x:c>
      <x:c r="AB473" s="9" t="str">
        <x:v>2025-06-30</x:v>
      </x:c>
      <x:c r="AC473" s="8" t="str">
        <x:v>88.37</x:v>
      </x:c>
      <x:c r="AD473" s="9" t="str">
        <x:v>2025 (Susenas)</x:v>
      </x:c>
      <x:c r="AE473" s="8" t="str">
        <x:v>6.16</x:v>
      </x:c>
      <x:c r="AF473" s="9" t="str">
        <x:v>Maret 2025 (Susenas)</x:v>
      </x:c>
      <x:c r="AG473" s="6" t="str">
        <x:v>25.804266914762557</x:v>
      </x:c>
      <x:c r="AH473" s="8" t="str">
        <x:v>91.09771163542364</x:v>
      </x:c>
      <x:c r="AI473" s="6" t="str">
        <x:v>247.98185332777277</x:v>
      </x:c>
      <x:c r="AJ473" s="6" t="str">
        <x:v>0.1225873362916658</x:v>
      </x:c>
      <x:c r="AK473" s="8" t="str">
        <x:v>0.4486195646667558</x:v>
      </x:c>
      <x:c r="AL473" s="6" t="str">
        <x:v>0.8781582005628737</x:v>
      </x:c>
      <x:c r="AM473" s="6" t="str">
        <x:v>0.8619151566602523</x:v>
      </x:c>
      <x:c r="AN473" s="6" t="str">
        <x:v>0.729564307296627</x:v>
      </x:c>
      <x:c r="AO473" s="6" t="str">
        <x:v>-0.4302455491059476</x:v>
      </x:c>
      <x:c r="AP473" s="8" t="str">
        <x:v>-0.7608335505657967</x:v>
      </x:c>
      <x:c r="AQ473" s="6" t="str">
        <x:v>1.4386500975885983</x:v>
      </x:c>
      <x:c r="AR473" s="6" t="str">
        <x:v>0.3702460678935435</x:v>
      </x:c>
      <x:c r="AS473" s="6" t="str">
        <x:v>0.3493542049721152</x:v>
      </x:c>
      <x:c r="AT473" s="6" t="str">
        <x:v>-40.6720923923466</x:v>
      </x:c>
      <x:c r="AU473" s="8" t="str">
        <x:v>-0.7945094901494136</x:v>
      </x:c>
      <x:c r="AV473" s="6" t="str">
        <x:v>1.811022959808547</x:v>
      </x:c>
      <x:c r="AW473" s="6" t="str">
        <x:v>-0.4172094441228869</x:v>
      </x:c>
      <x:c r="AX473" s="6" t="str">
        <x:v>0.1997680085120821</x:v>
      </x:c>
      <x:c r="AY473" s="6" t="str">
        <x:v>0</x:v>
      </x:c>
      <x:c r="AZ473" s="6" t="str">
        <x:v>0</x:v>
      </x:c>
      <x:c r="BA473" s="9" t="str">
        <x:v>grid_cells_within_BIG_polygon</x:v>
      </x:c>
      <x:c r="BB473" s="6" t="str">
        <x:v>35</x:v>
      </x:c>
      <x:c r="BC473" s="6" t="str">
        <x:v>1</x:v>
      </x:c>
      <x:c r="BD473" s="6" t="str">
        <x:v>1</x:v>
      </x:c>
      <x:c r="BE473" s="6" t="str">
        <x:v>1</x:v>
      </x:c>
      <x:c r="BF473" s="6" t="str">
        <x:v>0</x:v>
      </x:c>
      <x:c r="BG473" s="6" t="str">
        <x:v>0</x:v>
      </x:c>
      <x:c r="BH473" s="6" t="str">
        <x:v>0</x:v>
      </x:c>
      <x:c r="BI473" s="6" t="str">
        <x:v>0</x:v>
      </x:c>
      <x:c r="BJ473" s="6" t="str">
        <x:v>0</x:v>
      </x:c>
      <x:c r="BK473" s="6" t="str">
        <x:v>0</x:v>
      </x:c>
      <x:c r="BL473" s="6" t="str">
        <x:v>0</x:v>
      </x:c>
      <x:c r="BM473" s="6" t="str">
        <x:v>0</x:v>
      </x:c>
      <x:c r="BN473" s="6" t="str">
        <x:v>1</x:v>
      </x:c>
      <x:c r="BO473" s="6" t="str">
        <x:v>0.0</x:v>
      </x:c>
      <x:c r="BP473" s="6" t="str">
        <x:v>1</x:v>
      </x:c>
      <x:c r="BQ473" s="6" t="str">
        <x:v>0.0</x:v>
      </x:c>
      <x:c r="BR473" s="6" t="str">
        <x:v>1</x:v>
      </x:c>
      <x:c r="BS473" s="6" t="str">
        <x:v>0.0</x:v>
      </x:c>
      <x:c r="BT473" s="6" t="str">
        <x:v>1</x:v>
      </x:c>
      <x:c r="BU473" s="6" t="str">
        <x:v>50.0</x:v>
      </x:c>
      <x:c r="BV473" s="6" t="str">
        <x:v>1</x:v>
      </x:c>
      <x:c r="BW473" s="9" t="str">
        <x:v>operational_snapshot_annual_totals_may_differ</x:v>
      </x:c>
      <x:c r="BX473" s="9" t="str">
        <x:v>official_live_dashboard_snapshot_subject_to_revision</x:v>
      </x:c>
      <x:c r="BY473" s="9" t="str">
        <x:v>https://tbdashboard.sitb.id/ss_data_tbc03so_2025_provinsi_bulanan_list.php</x:v>
      </x:c>
      <x:c r="BZ473" s="6" t="n">
        <x:v>46246.610671296294</x:v>
      </x:c>
    </x:row>
    <x:row r="474" ht="18" customHeight="1">
      <x:c r="A474" s="6" t="str">
        <x:v>61</x:v>
      </x:c>
      <x:c r="B474" s="6" t="str">
        <x:v>KALIMANTAN BARAT</x:v>
      </x:c>
      <x:c r="C474" s="6" t="str">
        <x:v>2025</x:v>
      </x:c>
      <x:c r="D474" s="6" t="str">
        <x:v>5</x:v>
      </x:c>
      <x:c r="E474" s="6" t="str">
        <x:v>2025-05</x:v>
      </x:c>
      <x:c r="F474" s="6" t="str">
        <x:v>1002</x:v>
      </x:c>
      <x:c r="G474" s="6" t="str">
        <x:v>256</x:v>
      </x:c>
      <x:c r="H474" s="6" t="str">
        <x:v>535</x:v>
      </x:c>
      <x:c r="I474" s="6" t="str">
        <x:v>81</x:v>
      </x:c>
      <x:c r="J474" s="6" t="str">
        <x:v>41</x:v>
      </x:c>
      <x:c r="K474" s="6" t="str">
        <x:v>3</x:v>
      </x:c>
      <x:c r="L474" s="6" t="str">
        <x:v>1</x:v>
      </x:c>
      <x:c r="M474" s="6" t="str">
        <x:v>85</x:v>
      </x:c>
      <x:c r="N474" s="6" t="str">
        <x:v>1002</x:v>
      </x:c>
      <x:c r="O474" s="6" t="str">
        <x:v>0</x:v>
      </x:c>
      <x:c r="P474" s="10" t="n">
        <x:f>F474-M474</x:f>
        <x:v>917</x:v>
      </x:c>
      <x:c r="Q474" s="11" t="n">
        <x:f>IFERROR(M474/F474,"")</x:f>
        <x:v>0.08483033932135728</x:v>
      </x:c>
      <x:c r="R474" s="10" t="n">
        <x:f>G474+H474</x:f>
        <x:v>791</x:v>
      </x:c>
      <x:c r="S474" s="11" t="n">
        <x:f>IFERROR(R474/F474,"")</x:f>
        <x:v>0.7894211576846307</x:v>
      </x:c>
      <x:c r="T474" s="11" t="n">
        <x:f>IFERROR(R474/P474,"")</x:f>
        <x:v>0.8625954198473282</x:v>
      </x:c>
      <x:c r="U474" s="10" t="n">
        <x:f>I474+J474+K474</x:f>
        <x:v>125</x:v>
      </x:c>
      <x:c r="V474" s="11" t="n">
        <x:f>IFERROR(U474/P474,"")</x:f>
        <x:v>0.13631406761177753</x:v>
      </x:c>
      <x:c r="W474" s="9" t="str">
        <x:v>provisional_gt_5pct_pending</x:v>
      </x:c>
      <x:c r="X474" s="12" t="n">
        <x:f>IFERROR(F474/Z474*100000,"")</x:f>
        <x:v>17.377731529656607</x:v>
      </x:c>
      <x:c r="Y474" s="13" t="n">
        <x:f>LN(Z474)</x:f>
        <x:v>15.567489157180484</x:v>
      </x:c>
      <x:c r="Z474" s="6" t="str">
        <x:v>5766000</x:v>
      </x:c>
      <x:c r="AA474" s="6" t="str">
        <x:v>39.0</x:v>
      </x:c>
      <x:c r="AB474" s="9" t="str">
        <x:v>2025-06-30</x:v>
      </x:c>
      <x:c r="AC474" s="8" t="str">
        <x:v>88.37</x:v>
      </x:c>
      <x:c r="AD474" s="9" t="str">
        <x:v>2025 (Susenas)</x:v>
      </x:c>
      <x:c r="AE474" s="8" t="str">
        <x:v>6.16</x:v>
      </x:c>
      <x:c r="AF474" s="9" t="str">
        <x:v>Maret 2025 (Susenas)</x:v>
      </x:c>
      <x:c r="AG474" s="6" t="str">
        <x:v>26.32712297557933</x:v>
      </x:c>
      <x:c r="AH474" s="8" t="str">
        <x:v>90.94027961839038</x:v>
      </x:c>
      <x:c r="AI474" s="6" t="str">
        <x:v>240.10340838505664</x:v>
      </x:c>
      <x:c r="AJ474" s="6" t="str">
        <x:v>0.4684989368453429</x:v>
      </x:c>
      <x:c r="AK474" s="8" t="str">
        <x:v>1.5668394190435226</x:v>
      </x:c>
      <x:c r="AL474" s="6" t="str">
        <x:v>0.4486195646667558</x:v>
      </x:c>
      <x:c r="AM474" s="6" t="str">
        <x:v>0.8781582005628737</x:v>
      </x:c>
      <x:c r="AN474" s="6" t="str">
        <x:v>0.9645390614243836</x:v>
      </x:c>
      <x:c r="AO474" s="6" t="str">
        <x:v>-0.6000737187764287</x:v>
      </x:c>
      <x:c r="AP474" s="8" t="str">
        <x:v>-0.7519831874987432</x:v>
      </x:c>
      <x:c r="AQ474" s="6" t="str">
        <x:v>-0.7608335505657967</x:v>
      </x:c>
      <x:c r="AR474" s="6" t="str">
        <x:v>1.4386500975885983</x:v>
      </x:c>
      <x:c r="AS474" s="6" t="str">
        <x:v>-0.0247222134919803</x:v>
      </x:c>
      <x:c r="AT474" s="6" t="str">
        <x:v>-7.062539325236457</x:v>
      </x:c>
      <x:c r="AU474" s="8" t="str">
        <x:v>-0.0897743309745699</x:v>
      </x:c>
      <x:c r="AV474" s="6" t="str">
        <x:v>-0.7945094901494136</x:v>
      </x:c>
      <x:c r="AW474" s="6" t="str">
        <x:v>1.811022959808547</x:v>
      </x:c>
      <x:c r="AX474" s="6" t="str">
        <x:v>0.3089130462281877</x:v>
      </x:c>
      <x:c r="AY474" s="6" t="str">
        <x:v>0</x:v>
      </x:c>
      <x:c r="AZ474" s="6" t="str">
        <x:v>1</x:v>
      </x:c>
      <x:c r="BA474" s="9" t="str">
        <x:v>grid_cells_within_BIG_polygon</x:v>
      </x:c>
      <x:c r="BB474" s="6" t="str">
        <x:v>35</x:v>
      </x:c>
      <x:c r="BC474" s="6" t="str">
        <x:v>1</x:v>
      </x:c>
      <x:c r="BD474" s="6" t="str">
        <x:v>1</x:v>
      </x:c>
      <x:c r="BE474" s="6" t="str">
        <x:v>0</x:v>
      </x:c>
      <x:c r="BF474" s="6" t="str">
        <x:v>0</x:v>
      </x:c>
      <x:c r="BG474" s="6" t="str">
        <x:v>0</x:v>
      </x:c>
      <x:c r="BH474" s="6" t="str">
        <x:v>0</x:v>
      </x:c>
      <x:c r="BI474" s="6" t="str">
        <x:v>1</x:v>
      </x:c>
      <x:c r="BJ474" s="6" t="str">
        <x:v>0</x:v>
      </x:c>
      <x:c r="BK474" s="6" t="str">
        <x:v>0</x:v>
      </x:c>
      <x:c r="BL474" s="6" t="str">
        <x:v>0</x:v>
      </x:c>
      <x:c r="BM474" s="6" t="str">
        <x:v>0</x:v>
      </x:c>
      <x:c r="BN474" s="6" t="str">
        <x:v>1</x:v>
      </x:c>
      <x:c r="BO474" s="6" t="str">
        <x:v>0.0</x:v>
      </x:c>
      <x:c r="BP474" s="6" t="str">
        <x:v>1</x:v>
      </x:c>
      <x:c r="BQ474" s="6" t="str">
        <x:v>0.0</x:v>
      </x:c>
      <x:c r="BR474" s="6" t="str">
        <x:v>1</x:v>
      </x:c>
      <x:c r="BS474" s="6" t="str">
        <x:v>0.0</x:v>
      </x:c>
      <x:c r="BT474" s="6" t="str">
        <x:v>1</x:v>
      </x:c>
      <x:c r="BU474" s="6" t="str"/>
      <x:c r="BV474" s="6" t="str">
        <x:v>0</x:v>
      </x:c>
      <x:c r="BW474" s="9" t="str">
        <x:v>operational_snapshot_annual_totals_may_differ</x:v>
      </x:c>
      <x:c r="BX474" s="9" t="str">
        <x:v>official_live_dashboard_snapshot_subject_to_revision</x:v>
      </x:c>
      <x:c r="BY474" s="9" t="str">
        <x:v>https://tbdashboard.sitb.id/ss_data_tbc03so_2025_provinsi_bulanan_list.php</x:v>
      </x:c>
      <x:c r="BZ474" s="6" t="n">
        <x:v>46246.610671296294</x:v>
      </x:c>
    </x:row>
    <x:row r="475" ht="18" customHeight="1">
      <x:c r="A475" s="6" t="str">
        <x:v>61</x:v>
      </x:c>
      <x:c r="B475" s="6" t="str">
        <x:v>KALIMANTAN BARAT</x:v>
      </x:c>
      <x:c r="C475" s="6" t="str">
        <x:v>2025</x:v>
      </x:c>
      <x:c r="D475" s="6" t="str">
        <x:v>6</x:v>
      </x:c>
      <x:c r="E475" s="6" t="str">
        <x:v>2025-06</x:v>
      </x:c>
      <x:c r="F475" s="6" t="str">
        <x:v>984</x:v>
      </x:c>
      <x:c r="G475" s="6" t="str">
        <x:v>248</x:v>
      </x:c>
      <x:c r="H475" s="6" t="str">
        <x:v>535</x:v>
      </x:c>
      <x:c r="I475" s="6" t="str">
        <x:v>78</x:v>
      </x:c>
      <x:c r="J475" s="6" t="str">
        <x:v>44</x:v>
      </x:c>
      <x:c r="K475" s="6" t="str">
        <x:v>1</x:v>
      </x:c>
      <x:c r="L475" s="6" t="str">
        <x:v>0</x:v>
      </x:c>
      <x:c r="M475" s="6" t="str">
        <x:v>78</x:v>
      </x:c>
      <x:c r="N475" s="6" t="str">
        <x:v>984</x:v>
      </x:c>
      <x:c r="O475" s="6" t="str">
        <x:v>0</x:v>
      </x:c>
      <x:c r="P475" s="10" t="n">
        <x:f>F475-M475</x:f>
        <x:v>906</x:v>
      </x:c>
      <x:c r="Q475" s="11" t="n">
        <x:f>IFERROR(M475/F475,"")</x:f>
        <x:v>0.07926829268292683</x:v>
      </x:c>
      <x:c r="R475" s="10" t="n">
        <x:f>G475+H475</x:f>
        <x:v>783</x:v>
      </x:c>
      <x:c r="S475" s="11" t="n">
        <x:f>IFERROR(R475/F475,"")</x:f>
        <x:v>0.7957317073170732</x:v>
      </x:c>
      <x:c r="T475" s="11" t="n">
        <x:f>IFERROR(R475/P475,"")</x:f>
        <x:v>0.8642384105960265</x:v>
      </x:c>
      <x:c r="U475" s="10" t="n">
        <x:f>I475+J475+K475</x:f>
        <x:v>123</x:v>
      </x:c>
      <x:c r="V475" s="11" t="n">
        <x:f>IFERROR(U475/P475,"")</x:f>
        <x:v>0.1357615894039735</x:v>
      </x:c>
      <x:c r="W475" s="9" t="str">
        <x:v>provisional_gt_5pct_pending</x:v>
      </x:c>
      <x:c r="X475" s="12" t="n">
        <x:f>IFERROR(F475/Z475*100000,"")</x:f>
        <x:v>17.065556711758585</x:v>
      </x:c>
      <x:c r="Y475" s="13" t="n">
        <x:f>LN(Z475)</x:f>
        <x:v>15.567489157180484</x:v>
      </x:c>
      <x:c r="Z475" s="6" t="str">
        <x:v>5766000</x:v>
      </x:c>
      <x:c r="AA475" s="6" t="str">
        <x:v>39.0</x:v>
      </x:c>
      <x:c r="AB475" s="9" t="str">
        <x:v>2025-06-30</x:v>
      </x:c>
      <x:c r="AC475" s="8" t="str">
        <x:v>88.37</x:v>
      </x:c>
      <x:c r="AD475" s="9" t="str">
        <x:v>2025 (Susenas)</x:v>
      </x:c>
      <x:c r="AE475" s="8" t="str">
        <x:v>6.16</x:v>
      </x:c>
      <x:c r="AF475" s="9" t="str">
        <x:v>Maret 2025 (Susenas)</x:v>
      </x:c>
      <x:c r="AG475" s="6" t="str">
        <x:v>25.74227671428161</x:v>
      </x:c>
      <x:c r="AH475" s="8" t="str">
        <x:v>91.22540164448634</x:v>
      </x:c>
      <x:c r="AI475" s="6" t="str">
        <x:v>187.6533398798164</x:v>
      </x:c>
      <x:c r="AJ475" s="6" t="str">
        <x:v>0.2881645488790063</x:v>
      </x:c>
      <x:c r="AK475" s="8" t="str">
        <x:v>1.2182588103252645</x:v>
      </x:c>
      <x:c r="AL475" s="6" t="str">
        <x:v>1.5668394190435226</x:v>
      </x:c>
      <x:c r="AM475" s="6" t="str">
        <x:v>0.4486195646667558</x:v>
      </x:c>
      <x:c r="AN475" s="6" t="str">
        <x:v>1.0779059313451806</x:v>
      </x:c>
      <x:c r="AO475" s="6" t="str">
        <x:v>-0.0331370199178309</x:v>
      </x:c>
      <x:c r="AP475" s="8" t="str">
        <x:v>-0.0427009784721209</x:v>
      </x:c>
      <x:c r="AQ475" s="6" t="str">
        <x:v>-0.7519831874987432</x:v>
      </x:c>
      <x:c r="AR475" s="6" t="str">
        <x:v>-0.7608335505657967</x:v>
      </x:c>
      <x:c r="AS475" s="6" t="str">
        <x:v>-0.5185059055122202</x:v>
      </x:c>
      <x:c r="AT475" s="6" t="str">
        <x:v>-24.063736906500992</x:v>
      </x:c>
      <x:c r="AU475" s="8" t="str">
        <x:v>-0.3657133016799714</x:v>
      </x:c>
      <x:c r="AV475" s="6" t="str">
        <x:v>-0.0897743309745699</x:v>
      </x:c>
      <x:c r="AW475" s="6" t="str">
        <x:v>-0.7945094901494136</x:v>
      </x:c>
      <x:c r="AX475" s="6" t="str">
        <x:v>-0.4166657076013183</x:v>
      </x:c>
      <x:c r="AY475" s="6" t="str">
        <x:v>0</x:v>
      </x:c>
      <x:c r="AZ475" s="6" t="str">
        <x:v>1</x:v>
      </x:c>
      <x:c r="BA475" s="9" t="str">
        <x:v>grid_cells_within_BIG_polygon</x:v>
      </x:c>
      <x:c r="BB475" s="6" t="str">
        <x:v>35</x:v>
      </x:c>
      <x:c r="BC475" s="6" t="str">
        <x:v>2</x:v>
      </x:c>
      <x:c r="BD475" s="6" t="str">
        <x:v>2</x:v>
      </x:c>
      <x:c r="BE475" s="6" t="str">
        <x:v>1</x:v>
      </x:c>
      <x:c r="BF475" s="6" t="str">
        <x:v>0</x:v>
      </x:c>
      <x:c r="BG475" s="6" t="str">
        <x:v>0</x:v>
      </x:c>
      <x:c r="BH475" s="6" t="str">
        <x:v>0</x:v>
      </x:c>
      <x:c r="BI475" s="6" t="str">
        <x:v>1</x:v>
      </x:c>
      <x:c r="BJ475" s="6" t="str">
        <x:v>0</x:v>
      </x:c>
      <x:c r="BK475" s="6" t="str">
        <x:v>0</x:v>
      </x:c>
      <x:c r="BL475" s="6" t="str">
        <x:v>0</x:v>
      </x:c>
      <x:c r="BM475" s="6" t="str">
        <x:v>0</x:v>
      </x:c>
      <x:c r="BN475" s="6" t="str">
        <x:v>2</x:v>
      </x:c>
      <x:c r="BO475" s="6" t="str">
        <x:v>1.0</x:v>
      </x:c>
      <x:c r="BP475" s="6" t="str">
        <x:v>1</x:v>
      </x:c>
      <x:c r="BQ475" s="6" t="str"/>
      <x:c r="BR475" s="6" t="str">
        <x:v>0</x:v>
      </x:c>
      <x:c r="BS475" s="6" t="str">
        <x:v>0.0</x:v>
      </x:c>
      <x:c r="BT475" s="6" t="str">
        <x:v>2</x:v>
      </x:c>
      <x:c r="BU475" s="6" t="str">
        <x:v>9122.0</x:v>
      </x:c>
      <x:c r="BV475" s="6" t="str">
        <x:v>1</x:v>
      </x:c>
      <x:c r="BW475" s="9" t="str">
        <x:v>operational_snapshot_annual_totals_may_differ</x:v>
      </x:c>
      <x:c r="BX475" s="9" t="str">
        <x:v>official_live_dashboard_snapshot_subject_to_revision</x:v>
      </x:c>
      <x:c r="BY475" s="9" t="str">
        <x:v>https://tbdashboard.sitb.id/ss_data_tbc03so_2025_provinsi_bulanan_list.php</x:v>
      </x:c>
      <x:c r="BZ475" s="6" t="n">
        <x:v>46246.610671296294</x:v>
      </x:c>
    </x:row>
    <x:row r="476" ht="18" customHeight="1">
      <x:c r="A476" s="6" t="str">
        <x:v>61</x:v>
      </x:c>
      <x:c r="B476" s="6" t="str">
        <x:v>KALIMANTAN BARAT</x:v>
      </x:c>
      <x:c r="C476" s="6" t="str">
        <x:v>2025</x:v>
      </x:c>
      <x:c r="D476" s="6" t="str">
        <x:v>7</x:v>
      </x:c>
      <x:c r="E476" s="6" t="str">
        <x:v>2025-07</x:v>
      </x:c>
      <x:c r="F476" s="6" t="str">
        <x:v>1232</x:v>
      </x:c>
      <x:c r="G476" s="6" t="str">
        <x:v>341</x:v>
      </x:c>
      <x:c r="H476" s="6" t="str">
        <x:v>642</x:v>
      </x:c>
      <x:c r="I476" s="6" t="str">
        <x:v>97</x:v>
      </x:c>
      <x:c r="J476" s="6" t="str">
        <x:v>41</x:v>
      </x:c>
      <x:c r="K476" s="6" t="str">
        <x:v>1</x:v>
      </x:c>
      <x:c r="L476" s="6" t="str">
        <x:v>1</x:v>
      </x:c>
      <x:c r="M476" s="6" t="str">
        <x:v>109</x:v>
      </x:c>
      <x:c r="N476" s="6" t="str">
        <x:v>1232</x:v>
      </x:c>
      <x:c r="O476" s="6" t="str">
        <x:v>0</x:v>
      </x:c>
      <x:c r="P476" s="10" t="n">
        <x:f>F476-M476</x:f>
        <x:v>1123</x:v>
      </x:c>
      <x:c r="Q476" s="11" t="n">
        <x:f>IFERROR(M476/F476,"")</x:f>
        <x:v>0.08847402597402597</x:v>
      </x:c>
      <x:c r="R476" s="10" t="n">
        <x:f>G476+H476</x:f>
        <x:v>983</x:v>
      </x:c>
      <x:c r="S476" s="11" t="n">
        <x:f>IFERROR(R476/F476,"")</x:f>
        <x:v>0.7978896103896104</x:v>
      </x:c>
      <x:c r="T476" s="11" t="n">
        <x:f>IFERROR(R476/P476,"")</x:f>
        <x:v>0.8753339269813001</x:v>
      </x:c>
      <x:c r="U476" s="10" t="n">
        <x:f>I476+J476+K476</x:f>
        <x:v>139</x:v>
      </x:c>
      <x:c r="V476" s="11" t="n">
        <x:f>IFERROR(U476/P476,"")</x:f>
        <x:v>0.12377560106856635</x:v>
      </x:c>
      <x:c r="W476" s="9" t="str">
        <x:v>provisional_gt_5pct_pending</x:v>
      </x:c>
      <x:c r="X476" s="12" t="n">
        <x:f>IFERROR(F476/Z476*100000,"")</x:f>
        <x:v>21.36663198057579</x:v>
      </x:c>
      <x:c r="Y476" s="13" t="n">
        <x:f>LN(Z476)</x:f>
        <x:v>15.567489157180484</x:v>
      </x:c>
      <x:c r="Z476" s="6" t="str">
        <x:v>5766000</x:v>
      </x:c>
      <x:c r="AA476" s="6" t="str">
        <x:v>39.0</x:v>
      </x:c>
      <x:c r="AB476" s="9" t="str">
        <x:v>2025-06-30</x:v>
      </x:c>
      <x:c r="AC476" s="8" t="str">
        <x:v>88.37</x:v>
      </x:c>
      <x:c r="AD476" s="9" t="str">
        <x:v>2025 (Susenas)</x:v>
      </x:c>
      <x:c r="AE476" s="8" t="str">
        <x:v>6.16</x:v>
      </x:c>
      <x:c r="AF476" s="9" t="str">
        <x:v>Maret 2025 (Susenas)</x:v>
      </x:c>
      <x:c r="AG476" s="6" t="str">
        <x:v>25.89113632866766</x:v>
      </x:c>
      <x:c r="AH476" s="8" t="str">
        <x:v>89.81828282451163</x:v>
      </x:c>
      <x:c r="AI476" s="6" t="str">
        <x:v>79.10309480875864</x:v>
      </x:c>
      <x:c r="AJ476" s="6" t="str">
        <x:v>0.7821628127306646</x:v>
      </x:c>
      <x:c r="AK476" s="8" t="str">
        <x:v>2.844942676189334</x:v>
      </x:c>
      <x:c r="AL476" s="6" t="str">
        <x:v>1.2182588103252645</x:v>
      </x:c>
      <x:c r="AM476" s="6" t="str">
        <x:v>1.5668394190435226</x:v>
      </x:c>
      <x:c r="AN476" s="6" t="str">
        <x:v>1.8766803018527067</x:v>
      </x:c>
      <x:c r="AO476" s="6" t="str">
        <x:v>-0.680357602961692</x:v>
      </x:c>
      <x:c r="AP476" s="8" t="str">
        <x:v>-0.7209682311646745</x:v>
      </x:c>
      <x:c r="AQ476" s="6" t="str">
        <x:v>-0.0427009784721209</x:v>
      </x:c>
      <x:c r="AR476" s="6" t="str">
        <x:v>-0.7519831874987432</x:v>
      </x:c>
      <x:c r="AS476" s="6" t="str">
        <x:v>-0.505217465711846</x:v>
      </x:c>
      <x:c r="AT476" s="6" t="str">
        <x:v>-109.94648078596056</x:v>
      </x:c>
      <x:c r="AU476" s="8" t="str">
        <x:v>-1.2367025203653328</x:v>
      </x:c>
      <x:c r="AV476" s="6" t="str">
        <x:v>-0.3657133016799714</x:v>
      </x:c>
      <x:c r="AW476" s="6" t="str">
        <x:v>-0.0897743309745699</x:v>
      </x:c>
      <x:c r="AX476" s="6" t="str">
        <x:v>-0.5640633843399581</x:v>
      </x:c>
      <x:c r="AY476" s="6" t="str">
        <x:v>0</x:v>
      </x:c>
      <x:c r="AZ476" s="6" t="str">
        <x:v>1</x:v>
      </x:c>
      <x:c r="BA476" s="9" t="str">
        <x:v>grid_cells_within_BIG_polygon</x:v>
      </x:c>
      <x:c r="BB476" s="6" t="str">
        <x:v>35</x:v>
      </x:c>
      <x:c r="BC476" s="6" t="str">
        <x:v>5</x:v>
      </x:c>
      <x:c r="BD476" s="6" t="str">
        <x:v>5</x:v>
      </x:c>
      <x:c r="BE476" s="6" t="str">
        <x:v>0</x:v>
      </x:c>
      <x:c r="BF476" s="6" t="str">
        <x:v>0</x:v>
      </x:c>
      <x:c r="BG476" s="6" t="str">
        <x:v>0</x:v>
      </x:c>
      <x:c r="BH476" s="6" t="str">
        <x:v>0</x:v>
      </x:c>
      <x:c r="BI476" s="6" t="str">
        <x:v>5</x:v>
      </x:c>
      <x:c r="BJ476" s="6" t="str">
        <x:v>0</x:v>
      </x:c>
      <x:c r="BK476" s="6" t="str">
        <x:v>0</x:v>
      </x:c>
      <x:c r="BL476" s="6" t="str">
        <x:v>0</x:v>
      </x:c>
      <x:c r="BM476" s="6" t="str">
        <x:v>0</x:v>
      </x:c>
      <x:c r="BN476" s="6" t="str">
        <x:v>5</x:v>
      </x:c>
      <x:c r="BO476" s="6" t="str">
        <x:v>1.0</x:v>
      </x:c>
      <x:c r="BP476" s="6" t="str">
        <x:v>1</x:v>
      </x:c>
      <x:c r="BQ476" s="6" t="str"/>
      <x:c r="BR476" s="6" t="str">
        <x:v>0</x:v>
      </x:c>
      <x:c r="BS476" s="6" t="str">
        <x:v>0.0</x:v>
      </x:c>
      <x:c r="BT476" s="6" t="str">
        <x:v>5</x:v>
      </x:c>
      <x:c r="BU476" s="6" t="str"/>
      <x:c r="BV476" s="6" t="str">
        <x:v>0</x:v>
      </x:c>
      <x:c r="BW476" s="9" t="str">
        <x:v>operational_snapshot_annual_totals_may_differ</x:v>
      </x:c>
      <x:c r="BX476" s="9" t="str">
        <x:v>official_live_dashboard_snapshot_subject_to_revision</x:v>
      </x:c>
      <x:c r="BY476" s="9" t="str">
        <x:v>https://tbdashboard.sitb.id/ss_data_tbc03so_2025_provinsi_bulanan_list.php</x:v>
      </x:c>
      <x:c r="BZ476" s="6" t="n">
        <x:v>46246.610671296294</x:v>
      </x:c>
    </x:row>
    <x:row r="477" ht="18" customHeight="1">
      <x:c r="A477" s="6" t="str">
        <x:v>61</x:v>
      </x:c>
      <x:c r="B477" s="6" t="str">
        <x:v>KALIMANTAN BARAT</x:v>
      </x:c>
      <x:c r="C477" s="6" t="str">
        <x:v>2025</x:v>
      </x:c>
      <x:c r="D477" s="6" t="str">
        <x:v>8</x:v>
      </x:c>
      <x:c r="E477" s="6" t="str">
        <x:v>2025-08</x:v>
      </x:c>
      <x:c r="F477" s="6" t="str">
        <x:v>1129</x:v>
      </x:c>
      <x:c r="G477" s="6" t="str">
        <x:v>235</x:v>
      </x:c>
      <x:c r="H477" s="6" t="str">
        <x:v>626</x:v>
      </x:c>
      <x:c r="I477" s="6" t="str">
        <x:v>75</x:v>
      </x:c>
      <x:c r="J477" s="6" t="str">
        <x:v>56</x:v>
      </x:c>
      <x:c r="K477" s="6" t="str">
        <x:v>2</x:v>
      </x:c>
      <x:c r="L477" s="6" t="str">
        <x:v>0</x:v>
      </x:c>
      <x:c r="M477" s="6" t="str">
        <x:v>135</x:v>
      </x:c>
      <x:c r="N477" s="6" t="str">
        <x:v>1129</x:v>
      </x:c>
      <x:c r="O477" s="6" t="str">
        <x:v>0</x:v>
      </x:c>
      <x:c r="P477" s="10" t="n">
        <x:f>F477-M477</x:f>
        <x:v>994</x:v>
      </x:c>
      <x:c r="Q477" s="11" t="n">
        <x:f>IFERROR(M477/F477,"")</x:f>
        <x:v>0.1195748449955713</x:v>
      </x:c>
      <x:c r="R477" s="10" t="n">
        <x:f>G477+H477</x:f>
        <x:v>861</x:v>
      </x:c>
      <x:c r="S477" s="11" t="n">
        <x:f>IFERROR(R477/F477,"")</x:f>
        <x:v>0.7626217891939769</x:v>
      </x:c>
      <x:c r="T477" s="11" t="n">
        <x:f>IFERROR(R477/P477,"")</x:f>
        <x:v>0.8661971830985915</x:v>
      </x:c>
      <x:c r="U477" s="10" t="n">
        <x:f>I477+J477+K477</x:f>
        <x:v>133</x:v>
      </x:c>
      <x:c r="V477" s="11" t="n">
        <x:f>IFERROR(U477/P477,"")</x:f>
        <x:v>0.13380281690140844</x:v>
      </x:c>
      <x:c r="W477" s="9" t="str">
        <x:v>provisional_gt_5pct_pending</x:v>
      </x:c>
      <x:c r="X477" s="12" t="n">
        <x:f>IFERROR(F477/Z477*100000,"")</x:f>
        <x:v>19.580298300381546</x:v>
      </x:c>
      <x:c r="Y477" s="13" t="n">
        <x:f>LN(Z477)</x:f>
        <x:v>15.567489157180484</x:v>
      </x:c>
      <x:c r="Z477" s="6" t="str">
        <x:v>5766000</x:v>
      </x:c>
      <x:c r="AA477" s="6" t="str">
        <x:v>39.0</x:v>
      </x:c>
      <x:c r="AB477" s="9" t="str">
        <x:v>2025-06-30</x:v>
      </x:c>
      <x:c r="AC477" s="8" t="str">
        <x:v>88.37</x:v>
      </x:c>
      <x:c r="AD477" s="9" t="str">
        <x:v>2025 (Susenas)</x:v>
      </x:c>
      <x:c r="AE477" s="8" t="str">
        <x:v>6.16</x:v>
      </x:c>
      <x:c r="AF477" s="9" t="str">
        <x:v>Maret 2025 (Susenas)</x:v>
      </x:c>
      <x:c r="AG477" s="6" t="str">
        <x:v>25.234843444565847</x:v>
      </x:c>
      <x:c r="AH477" s="8" t="str">
        <x:v>90.66199235443436</x:v>
      </x:c>
      <x:c r="AI477" s="6" t="str">
        <x:v>322.5437610276769</x:v>
      </x:c>
      <x:c r="AJ477" s="6" t="str">
        <x:v>0.0472493207245214</x:v>
      </x:c>
      <x:c r="AK477" s="8" t="str">
        <x:v>0.175715238814933</x:v>
      </x:c>
      <x:c r="AL477" s="6" t="str">
        <x:v>2.844942676189334</x:v>
      </x:c>
      <x:c r="AM477" s="6" t="str">
        <x:v>1.2182588103252645</x:v>
      </x:c>
      <x:c r="AN477" s="6" t="str">
        <x:v>1.41297224177651</x:v>
      </x:c>
      <x:c r="AO477" s="6" t="str">
        <x:v>1.2314861737619651</x:v>
      </x:c>
      <x:c r="AP477" s="8" t="str">
        <x:v>1.013147717501581</x:v>
      </x:c>
      <x:c r="AQ477" s="6" t="str">
        <x:v>-0.7209682311646745</x:v>
      </x:c>
      <x:c r="AR477" s="6" t="str">
        <x:v>-0.0427009784721209</x:v>
      </x:c>
      <x:c r="AS477" s="6" t="str">
        <x:v>0.0831595026215953</x:v>
      </x:c>
      <x:c r="AT477" s="6" t="str">
        <x:v>146.74286316277164</x:v>
      </x:c>
      <x:c r="AU477" s="8" t="str">
        <x:v>1.3632703917231774</x:v>
      </x:c>
      <x:c r="AV477" s="6" t="str">
        <x:v>-1.2367025203653328</x:v>
      </x:c>
      <x:c r="AW477" s="6" t="str">
        <x:v>-0.3657133016799714</x:v>
      </x:c>
      <x:c r="AX477" s="6" t="str">
        <x:v>-0.0797151434407089</x:v>
      </x:c>
      <x:c r="AY477" s="6" t="str">
        <x:v>1</x:v>
      </x:c>
      <x:c r="AZ477" s="6" t="str">
        <x:v>0</x:v>
      </x:c>
      <x:c r="BA477" s="9" t="str">
        <x:v>grid_cells_within_BIG_polygon</x:v>
      </x:c>
      <x:c r="BB477" s="6" t="str">
        <x:v>35</x:v>
      </x:c>
      <x:c r="BC477" s="6" t="str">
        <x:v>1</x:v>
      </x:c>
      <x:c r="BD477" s="6" t="str">
        <x:v>1</x:v>
      </x:c>
      <x:c r="BE477" s="6" t="str">
        <x:v>1</x:v>
      </x:c>
      <x:c r="BF477" s="6" t="str">
        <x:v>0</x:v>
      </x:c>
      <x:c r="BG477" s="6" t="str">
        <x:v>0</x:v>
      </x:c>
      <x:c r="BH477" s="6" t="str">
        <x:v>0</x:v>
      </x:c>
      <x:c r="BI477" s="6" t="str">
        <x:v>0</x:v>
      </x:c>
      <x:c r="BJ477" s="6" t="str">
        <x:v>0</x:v>
      </x:c>
      <x:c r="BK477" s="6" t="str">
        <x:v>0</x:v>
      </x:c>
      <x:c r="BL477" s="6" t="str">
        <x:v>0</x:v>
      </x:c>
      <x:c r="BM477" s="6" t="str">
        <x:v>0</x:v>
      </x:c>
      <x:c r="BN477" s="6" t="str">
        <x:v>1</x:v>
      </x:c>
      <x:c r="BO477" s="6" t="str"/>
      <x:c r="BP477" s="6" t="str">
        <x:v>0</x:v>
      </x:c>
      <x:c r="BQ477" s="6" t="str"/>
      <x:c r="BR477" s="6" t="str">
        <x:v>0</x:v>
      </x:c>
      <x:c r="BS477" s="6" t="str">
        <x:v>0.0</x:v>
      </x:c>
      <x:c r="BT477" s="6" t="str">
        <x:v>1</x:v>
      </x:c>
      <x:c r="BU477" s="6" t="str">
        <x:v>1562.0</x:v>
      </x:c>
      <x:c r="BV477" s="6" t="str">
        <x:v>1</x:v>
      </x:c>
      <x:c r="BW477" s="9" t="str">
        <x:v>operational_snapshot_annual_totals_may_differ</x:v>
      </x:c>
      <x:c r="BX477" s="9" t="str">
        <x:v>official_live_dashboard_snapshot_subject_to_revision</x:v>
      </x:c>
      <x:c r="BY477" s="9" t="str">
        <x:v>https://tbdashboard.sitb.id/ss_data_tbc03so_2025_provinsi_bulanan_list.php</x:v>
      </x:c>
      <x:c r="BZ477" s="6" t="n">
        <x:v>46246.610671296294</x:v>
      </x:c>
    </x:row>
    <x:row r="478" ht="18" customHeight="1">
      <x:c r="A478" s="6" t="str">
        <x:v>61</x:v>
      </x:c>
      <x:c r="B478" s="6" t="str">
        <x:v>KALIMANTAN BARAT</x:v>
      </x:c>
      <x:c r="C478" s="6" t="str">
        <x:v>2025</x:v>
      </x:c>
      <x:c r="D478" s="6" t="str">
        <x:v>9</x:v>
      </x:c>
      <x:c r="E478" s="6" t="str">
        <x:v>2025-09</x:v>
      </x:c>
      <x:c r="F478" s="6" t="str">
        <x:v>1158</x:v>
      </x:c>
      <x:c r="G478" s="6" t="str">
        <x:v>247</x:v>
      </x:c>
      <x:c r="H478" s="6" t="str">
        <x:v>567</x:v>
      </x:c>
      <x:c r="I478" s="6" t="str">
        <x:v>77</x:v>
      </x:c>
      <x:c r="J478" s="6" t="str">
        <x:v>48</x:v>
      </x:c>
      <x:c r="K478" s="6" t="str">
        <x:v>2</x:v>
      </x:c>
      <x:c r="L478" s="6" t="str">
        <x:v>0</x:v>
      </x:c>
      <x:c r="M478" s="6" t="str">
        <x:v>217</x:v>
      </x:c>
      <x:c r="N478" s="6" t="str">
        <x:v>1158</x:v>
      </x:c>
      <x:c r="O478" s="6" t="str">
        <x:v>0</x:v>
      </x:c>
      <x:c r="P478" s="10" t="n">
        <x:f>F478-M478</x:f>
        <x:v>941</x:v>
      </x:c>
      <x:c r="Q478" s="11" t="n">
        <x:f>IFERROR(M478/F478,"")</x:f>
        <x:v>0.18739205526770294</x:v>
      </x:c>
      <x:c r="R478" s="10" t="n">
        <x:f>G478+H478</x:f>
        <x:v>814</x:v>
      </x:c>
      <x:c r="S478" s="11" t="n">
        <x:f>IFERROR(R478/F478,"")</x:f>
        <x:v>0.7029360967184801</x:v>
      </x:c>
      <x:c r="T478" s="11" t="n">
        <x:f>IFERROR(R478/P478,"")</x:f>
        <x:v>0.8650371944739639</x:v>
      </x:c>
      <x:c r="U478" s="10" t="n">
        <x:f>I478+J478+K478</x:f>
        <x:v>127</x:v>
      </x:c>
      <x:c r="V478" s="11" t="n">
        <x:f>IFERROR(U478/P478,"")</x:f>
        <x:v>0.13496280552603612</x:v>
      </x:c>
      <x:c r="W478" s="9" t="str">
        <x:v>provisional_gt_5pct_pending</x:v>
      </x:c>
      <x:c r="X478" s="12" t="n">
        <x:f>IFERROR(F478/Z478*100000,"")</x:f>
        <x:v>20.083246618106138</x:v>
      </x:c>
      <x:c r="Y478" s="13" t="n">
        <x:f>LN(Z478)</x:f>
        <x:v>15.567489157180484</x:v>
      </x:c>
      <x:c r="Z478" s="6" t="str">
        <x:v>5766000</x:v>
      </x:c>
      <x:c r="AA478" s="6" t="str">
        <x:v>39.0</x:v>
      </x:c>
      <x:c r="AB478" s="9" t="str">
        <x:v>2025-06-30</x:v>
      </x:c>
      <x:c r="AC478" s="8" t="str">
        <x:v>88.37</x:v>
      </x:c>
      <x:c r="AD478" s="9" t="str">
        <x:v>2025 (Susenas)</x:v>
      </x:c>
      <x:c r="AE478" s="8" t="str">
        <x:v>6.16</x:v>
      </x:c>
      <x:c r="AF478" s="9" t="str">
        <x:v>Maret 2025 (Susenas)</x:v>
      </x:c>
      <x:c r="AG478" s="6" t="str">
        <x:v>25.5451298385478</x:v>
      </x:c>
      <x:c r="AH478" s="8" t="str">
        <x:v>90.69968004351746</x:v>
      </x:c>
      <x:c r="AI478" s="6" t="str">
        <x:v>358.85070994381164</x:v>
      </x:c>
      <x:c r="AJ478" s="6" t="str">
        <x:v>0.2399102427575634</x:v>
      </x:c>
      <x:c r="AK478" s="8" t="str">
        <x:v>0.702520856177926</x:v>
      </x:c>
      <x:c r="AL478" s="6" t="str">
        <x:v>0.175715238814933</x:v>
      </x:c>
      <x:c r="AM478" s="6" t="str">
        <x:v>2.844942676189334</x:v>
      </x:c>
      <x:c r="AN478" s="6" t="str">
        <x:v>1.241059590394064</x:v>
      </x:c>
      <x:c r="AO478" s="6" t="str">
        <x:v>1.4676427705017971</x:v>
      </x:c>
      <x:c r="AP478" s="8" t="str">
        <x:v>1.2558295468738578</x:v>
      </x:c>
      <x:c r="AQ478" s="6" t="str">
        <x:v>1.013147717501581</x:v>
      </x:c>
      <x:c r="AR478" s="6" t="str">
        <x:v>-0.7209682311646745</x:v>
      </x:c>
      <x:c r="AS478" s="6" t="str">
        <x:v>0.5160030110702549</x:v>
      </x:c>
      <x:c r="AT478" s="6" t="str">
        <x:v>160.46439032748745</x:v>
      </x:c>
      <x:c r="AU478" s="8" t="str">
        <x:v>1.739000438648026</x:v>
      </x:c>
      <x:c r="AV478" s="6" t="str">
        <x:v>1.3632703917231774</x:v>
      </x:c>
      <x:c r="AW478" s="6" t="str">
        <x:v>-1.2367025203653328</x:v>
      </x:c>
      <x:c r="AX478" s="6" t="str">
        <x:v>0.6218561033352902</x:v>
      </x:c>
      <x:c r="AY478" s="6" t="str">
        <x:v>1</x:v>
      </x:c>
      <x:c r="AZ478" s="6" t="str">
        <x:v>0</x:v>
      </x:c>
      <x:c r="BA478" s="9" t="str">
        <x:v>grid_cells_within_BIG_polygon</x:v>
      </x:c>
      <x:c r="BB478" s="6" t="str">
        <x:v>35</x:v>
      </x:c>
      <x:c r="BC478" s="6" t="str">
        <x:v>7</x:v>
      </x:c>
      <x:c r="BD478" s="6" t="str">
        <x:v>7</x:v>
      </x:c>
      <x:c r="BE478" s="6" t="str">
        <x:v>7</x:v>
      </x:c>
      <x:c r="BF478" s="6" t="str">
        <x:v>0</x:v>
      </x:c>
      <x:c r="BG478" s="6" t="str">
        <x:v>0</x:v>
      </x:c>
      <x:c r="BH478" s="6" t="str">
        <x:v>0</x:v>
      </x:c>
      <x:c r="BI478" s="6" t="str">
        <x:v>0</x:v>
      </x:c>
      <x:c r="BJ478" s="6" t="str">
        <x:v>0</x:v>
      </x:c>
      <x:c r="BK478" s="6" t="str">
        <x:v>0</x:v>
      </x:c>
      <x:c r="BL478" s="6" t="str">
        <x:v>0</x:v>
      </x:c>
      <x:c r="BM478" s="6" t="str">
        <x:v>0</x:v>
      </x:c>
      <x:c r="BN478" s="6" t="str">
        <x:v>7</x:v>
      </x:c>
      <x:c r="BO478" s="6" t="str"/>
      <x:c r="BP478" s="6" t="str">
        <x:v>0</x:v>
      </x:c>
      <x:c r="BQ478" s="6" t="str"/>
      <x:c r="BR478" s="6" t="str">
        <x:v>0</x:v>
      </x:c>
      <x:c r="BS478" s="6" t="str">
        <x:v>0.0</x:v>
      </x:c>
      <x:c r="BT478" s="6" t="str">
        <x:v>7</x:v>
      </x:c>
      <x:c r="BU478" s="6" t="str">
        <x:v>4517.0</x:v>
      </x:c>
      <x:c r="BV478" s="6" t="str">
        <x:v>7</x:v>
      </x:c>
      <x:c r="BW478" s="9" t="str">
        <x:v>operational_snapshot_annual_totals_may_differ</x:v>
      </x:c>
      <x:c r="BX478" s="9" t="str">
        <x:v>official_live_dashboard_snapshot_subject_to_revision</x:v>
      </x:c>
      <x:c r="BY478" s="9" t="str">
        <x:v>https://tbdashboard.sitb.id/ss_data_tbc03so_2025_provinsi_bulanan_list.php</x:v>
      </x:c>
      <x:c r="BZ478" s="6" t="n">
        <x:v>46246.610671296294</x:v>
      </x:c>
    </x:row>
    <x:row r="479" ht="18" customHeight="1">
      <x:c r="A479" s="6" t="str">
        <x:v>61</x:v>
      </x:c>
      <x:c r="B479" s="6" t="str">
        <x:v>KALIMANTAN BARAT</x:v>
      </x:c>
      <x:c r="C479" s="6" t="str">
        <x:v>2025</x:v>
      </x:c>
      <x:c r="D479" s="6" t="str">
        <x:v>10</x:v>
      </x:c>
      <x:c r="E479" s="6" t="str">
        <x:v>2025-10</x:v>
      </x:c>
      <x:c r="F479" s="6" t="str">
        <x:v>1176</x:v>
      </x:c>
      <x:c r="G479" s="6" t="str">
        <x:v>239</x:v>
      </x:c>
      <x:c r="H479" s="6" t="str">
        <x:v>543</x:v>
      </x:c>
      <x:c r="I479" s="6" t="str">
        <x:v>75</x:v>
      </x:c>
      <x:c r="J479" s="6" t="str">
        <x:v>49</x:v>
      </x:c>
      <x:c r="K479" s="6" t="str">
        <x:v>1</x:v>
      </x:c>
      <x:c r="L479" s="6" t="str">
        <x:v>1</x:v>
      </x:c>
      <x:c r="M479" s="6" t="str">
        <x:v>268</x:v>
      </x:c>
      <x:c r="N479" s="6" t="str">
        <x:v>1176</x:v>
      </x:c>
      <x:c r="O479" s="6" t="str">
        <x:v>0</x:v>
      </x:c>
      <x:c r="P479" s="10" t="n">
        <x:f>F479-M479</x:f>
        <x:v>908</x:v>
      </x:c>
      <x:c r="Q479" s="11" t="n">
        <x:f>IFERROR(M479/F479,"")</x:f>
        <x:v>0.22789115646258504</x:v>
      </x:c>
      <x:c r="R479" s="10" t="n">
        <x:f>G479+H479</x:f>
        <x:v>782</x:v>
      </x:c>
      <x:c r="S479" s="11" t="n">
        <x:f>IFERROR(R479/F479,"")</x:f>
        <x:v>0.6649659863945578</x:v>
      </x:c>
      <x:c r="T479" s="11" t="n">
        <x:f>IFERROR(R479/P479,"")</x:f>
        <x:v>0.8612334801762115</x:v>
      </x:c>
      <x:c r="U479" s="10" t="n">
        <x:f>I479+J479+K479</x:f>
        <x:v>125</x:v>
      </x:c>
      <x:c r="V479" s="11" t="n">
        <x:f>IFERROR(U479/P479,"")</x:f>
        <x:v>0.13766519823788545</x:v>
      </x:c>
      <x:c r="W479" s="9" t="str">
        <x:v>provisional_gt_5pct_pending</x:v>
      </x:c>
      <x:c r="X479" s="12" t="n">
        <x:f>IFERROR(F479/Z479*100000,"")</x:f>
        <x:v>20.395421436004163</x:v>
      </x:c>
      <x:c r="Y479" s="13" t="n">
        <x:f>LN(Z479)</x:f>
        <x:v>15.567489157180484</x:v>
      </x:c>
      <x:c r="Z479" s="6" t="str">
        <x:v>5766000</x:v>
      </x:c>
      <x:c r="AA479" s="6" t="str">
        <x:v>39.0</x:v>
      </x:c>
      <x:c r="AB479" s="9" t="str">
        <x:v>2025-06-30</x:v>
      </x:c>
      <x:c r="AC479" s="8" t="str">
        <x:v>88.37</x:v>
      </x:c>
      <x:c r="AD479" s="9" t="str">
        <x:v>2025 (Susenas)</x:v>
      </x:c>
      <x:c r="AE479" s="8" t="str">
        <x:v>6.16</x:v>
      </x:c>
      <x:c r="AF479" s="9" t="str">
        <x:v>Maret 2025 (Susenas)</x:v>
      </x:c>
      <x:c r="AG479" s="6" t="str">
        <x:v>25.72083914308821</x:v>
      </x:c>
      <x:c r="AH479" s="8" t="str">
        <x:v>90.10313527550882</x:v>
      </x:c>
      <x:c r="AI479" s="6" t="str">
        <x:v>315.75812046284915</x:v>
      </x:c>
      <x:c r="AJ479" s="6" t="str">
        <x:v>0.3699328854861541</x:v>
      </x:c>
      <x:c r="AK479" s="8" t="str">
        <x:v>1.3233671271448406</x:v>
      </x:c>
      <x:c r="AL479" s="6" t="str">
        <x:v>0.702520856177926</x:v>
      </x:c>
      <x:c r="AM479" s="6" t="str">
        <x:v>0.175715238814933</x:v>
      </x:c>
      <x:c r="AN479" s="6" t="str">
        <x:v>0.7338677407125663</x:v>
      </x:c>
      <x:c r="AO479" s="6" t="str">
        <x:v>-0.3258397707384119</x:v>
      </x:c>
      <x:c r="AP479" s="8" t="str">
        <x:v>-0.3557471564019631</x:v>
      </x:c>
      <x:c r="AQ479" s="6" t="str">
        <x:v>1.2558295468738578</x:v>
      </x:c>
      <x:c r="AR479" s="6" t="str">
        <x:v>1.013147717501581</x:v>
      </x:c>
      <x:c r="AS479" s="6" t="str">
        <x:v>0.6377433693244922</x:v>
      </x:c>
      <x:c r="AT479" s="6" t="str">
        <x:v>16.892993865134486</x:v>
      </x:c>
      <x:c r="AU479" s="8" t="str">
        <x:v>0.1672560494428831</x:v>
      </x:c>
      <x:c r="AV479" s="6" t="str">
        <x:v>1.739000438648026</x:v>
      </x:c>
      <x:c r="AW479" s="6" t="str">
        <x:v>1.3632703917231774</x:v>
      </x:c>
      <x:c r="AX479" s="6" t="str">
        <x:v>1.0898422932713625</x:v>
      </x:c>
      <x:c r="AY479" s="6" t="str">
        <x:v>0</x:v>
      </x:c>
      <x:c r="AZ479" s="6" t="str">
        <x:v>1</x:v>
      </x:c>
      <x:c r="BA479" s="9" t="str">
        <x:v>grid_cells_within_BIG_polygon</x:v>
      </x:c>
      <x:c r="BB479" s="6" t="str">
        <x:v>35</x:v>
      </x:c>
      <x:c r="BC479" s="6" t="str">
        <x:v>2</x:v>
      </x:c>
      <x:c r="BD479" s="6" t="str">
        <x:v>2</x:v>
      </x:c>
      <x:c r="BE479" s="6" t="str">
        <x:v>1</x:v>
      </x:c>
      <x:c r="BF479" s="6" t="str">
        <x:v>0</x:v>
      </x:c>
      <x:c r="BG479" s="6" t="str">
        <x:v>1</x:v>
      </x:c>
      <x:c r="BH479" s="6" t="str">
        <x:v>0</x:v>
      </x:c>
      <x:c r="BI479" s="6" t="str">
        <x:v>0</x:v>
      </x:c>
      <x:c r="BJ479" s="6" t="str">
        <x:v>0</x:v>
      </x:c>
      <x:c r="BK479" s="6" t="str">
        <x:v>0</x:v>
      </x:c>
      <x:c r="BL479" s="6" t="str">
        <x:v>0</x:v>
      </x:c>
      <x:c r="BM479" s="6" t="str">
        <x:v>0</x:v>
      </x:c>
      <x:c r="BN479" s="6" t="str">
        <x:v>2</x:v>
      </x:c>
      <x:c r="BO479" s="6" t="str"/>
      <x:c r="BP479" s="6" t="str">
        <x:v>0</x:v>
      </x:c>
      <x:c r="BQ479" s="6" t="str"/>
      <x:c r="BR479" s="6" t="str">
        <x:v>0</x:v>
      </x:c>
      <x:c r="BS479" s="6" t="str">
        <x:v>0.0</x:v>
      </x:c>
      <x:c r="BT479" s="6" t="str">
        <x:v>2</x:v>
      </x:c>
      <x:c r="BU479" s="6" t="str">
        <x:v>611.0</x:v>
      </x:c>
      <x:c r="BV479" s="6" t="str">
        <x:v>1</x:v>
      </x:c>
      <x:c r="BW479" s="9" t="str">
        <x:v>operational_snapshot_annual_totals_may_differ</x:v>
      </x:c>
      <x:c r="BX479" s="9" t="str">
        <x:v>official_live_dashboard_snapshot_subject_to_revision</x:v>
      </x:c>
      <x:c r="BY479" s="9" t="str">
        <x:v>https://tbdashboard.sitb.id/ss_data_tbc03so_2025_provinsi_bulanan_list.php</x:v>
      </x:c>
      <x:c r="BZ479" s="6" t="n">
        <x:v>46246.610671296294</x:v>
      </x:c>
    </x:row>
    <x:row r="480" ht="18" customHeight="1">
      <x:c r="A480" s="6" t="str">
        <x:v>61</x:v>
      </x:c>
      <x:c r="B480" s="6" t="str">
        <x:v>KALIMANTAN BARAT</x:v>
      </x:c>
      <x:c r="C480" s="6" t="str">
        <x:v>2025</x:v>
      </x:c>
      <x:c r="D480" s="6" t="str">
        <x:v>11</x:v>
      </x:c>
      <x:c r="E480" s="6" t="str">
        <x:v>2025-11</x:v>
      </x:c>
      <x:c r="F480" s="6" t="str">
        <x:v>1148</x:v>
      </x:c>
      <x:c r="G480" s="6" t="str">
        <x:v>222</x:v>
      </x:c>
      <x:c r="H480" s="6" t="str">
        <x:v>465</x:v>
      </x:c>
      <x:c r="I480" s="6" t="str">
        <x:v>70</x:v>
      </x:c>
      <x:c r="J480" s="6" t="str">
        <x:v>51</x:v>
      </x:c>
      <x:c r="K480" s="6" t="str">
        <x:v>0</x:v>
      </x:c>
      <x:c r="L480" s="6" t="str">
        <x:v>3</x:v>
      </x:c>
      <x:c r="M480" s="6" t="str">
        <x:v>337</x:v>
      </x:c>
      <x:c r="N480" s="6" t="str">
        <x:v>1148</x:v>
      </x:c>
      <x:c r="O480" s="6" t="str">
        <x:v>0</x:v>
      </x:c>
      <x:c r="P480" s="10" t="n">
        <x:f>F480-M480</x:f>
        <x:v>811</x:v>
      </x:c>
      <x:c r="Q480" s="11" t="n">
        <x:f>IFERROR(M480/F480,"")</x:f>
        <x:v>0.2935540069686411</x:v>
      </x:c>
      <x:c r="R480" s="10" t="n">
        <x:f>G480+H480</x:f>
        <x:v>687</x:v>
      </x:c>
      <x:c r="S480" s="11" t="n">
        <x:f>IFERROR(R480/F480,"")</x:f>
        <x:v>0.5984320557491289</x:v>
      </x:c>
      <x:c r="T480" s="11" t="n">
        <x:f>IFERROR(R480/P480,"")</x:f>
        <x:v>0.8471023427866831</x:v>
      </x:c>
      <x:c r="U480" s="10" t="n">
        <x:f>I480+J480+K480</x:f>
        <x:v>121</x:v>
      </x:c>
      <x:c r="V480" s="11" t="n">
        <x:f>IFERROR(U480/P480,"")</x:f>
        <x:v>0.14919852034525277</x:v>
      </x:c>
      <x:c r="W480" s="9" t="str">
        <x:v>provisional_gt_5pct_pending</x:v>
      </x:c>
      <x:c r="X480" s="12" t="n">
        <x:f>IFERROR(F480/Z480*100000,"")</x:f>
        <x:v>19.90981616371835</x:v>
      </x:c>
      <x:c r="Y480" s="13" t="n">
        <x:f>LN(Z480)</x:f>
        <x:v>15.567489157180484</x:v>
      </x:c>
      <x:c r="Z480" s="6" t="str">
        <x:v>5766000</x:v>
      </x:c>
      <x:c r="AA480" s="6" t="str">
        <x:v>39.0</x:v>
      </x:c>
      <x:c r="AB480" s="9" t="str">
        <x:v>2025-06-30</x:v>
      </x:c>
      <x:c r="AC480" s="8" t="str">
        <x:v>88.37</x:v>
      </x:c>
      <x:c r="AD480" s="9" t="str">
        <x:v>2025 (Susenas)</x:v>
      </x:c>
      <x:c r="AE480" s="8" t="str">
        <x:v>6.16</x:v>
      </x:c>
      <x:c r="AF480" s="9" t="str">
        <x:v>Maret 2025 (Susenas)</x:v>
      </x:c>
      <x:c r="AG480" s="6" t="str">
        <x:v>25.656557357758928</x:v>
      </x:c>
      <x:c r="AH480" s="8" t="str">
        <x:v>90.92055729657496</x:v>
      </x:c>
      <x:c r="AI480" s="6" t="str">
        <x:v>329.788196840675</x:v>
      </x:c>
      <x:c r="AJ480" s="6" t="str">
        <x:v>0.4079210914553748</x:v>
      </x:c>
      <x:c r="AK480" s="8" t="str">
        <x:v>2.114389840591753</x:v>
      </x:c>
      <x:c r="AL480" s="6" t="str">
        <x:v>1.3233671271448406</x:v>
      </x:c>
      <x:c r="AM480" s="6" t="str">
        <x:v>0.702520856177926</x:v>
      </x:c>
      <x:c r="AN480" s="6" t="str">
        <x:v>1.3800926079715063</x:v>
      </x:c>
      <x:c r="AO480" s="6" t="str">
        <x:v>-0.9245122664463707</x:v>
      </x:c>
      <x:c r="AP480" s="8" t="str">
        <x:v>-2.4950411209582803</x:v>
      </x:c>
      <x:c r="AQ480" s="6" t="str">
        <x:v>-0.3557471564019631</x:v>
      </x:c>
      <x:c r="AR480" s="6" t="str">
        <x:v>1.2558295468738578</x:v>
      </x:c>
      <x:c r="AS480" s="6" t="str">
        <x:v>-0.5316529101621285</x:v>
      </x:c>
      <x:c r="AT480" s="6" t="str">
        <x:v>-17.804134412741064</x:v>
      </x:c>
      <x:c r="AU480" s="8" t="str">
        <x:v>-0.1981837534102208</x:v>
      </x:c>
      <x:c r="AV480" s="6" t="str">
        <x:v>0.1672560494428831</x:v>
      </x:c>
      <x:c r="AW480" s="6" t="str">
        <x:v>1.739000438648026</x:v>
      </x:c>
      <x:c r="AX480" s="6" t="str">
        <x:v>0.5693575782268961</x:v>
      </x:c>
      <x:c r="AY480" s="6" t="str">
        <x:v>0</x:v>
      </x:c>
      <x:c r="AZ480" s="6" t="str">
        <x:v>1</x:v>
      </x:c>
      <x:c r="BA480" s="9" t="str">
        <x:v>grid_cells_within_BIG_polygon</x:v>
      </x:c>
      <x:c r="BB480" s="6" t="str">
        <x:v>35</x:v>
      </x:c>
      <x:c r="BC480" s="6" t="str">
        <x:v>1</x:v>
      </x:c>
      <x:c r="BD480" s="6" t="str">
        <x:v>1</x:v>
      </x:c>
      <x:c r="BE480" s="6" t="str">
        <x:v>0</x:v>
      </x:c>
      <x:c r="BF480" s="6" t="str">
        <x:v>0</x:v>
      </x:c>
      <x:c r="BG480" s="6" t="str">
        <x:v>1</x:v>
      </x:c>
      <x:c r="BH480" s="6" t="str">
        <x:v>0</x:v>
      </x:c>
      <x:c r="BI480" s="6" t="str">
        <x:v>0</x:v>
      </x:c>
      <x:c r="BJ480" s="6" t="str">
        <x:v>0</x:v>
      </x:c>
      <x:c r="BK480" s="6" t="str">
        <x:v>0</x:v>
      </x:c>
      <x:c r="BL480" s="6" t="str">
        <x:v>0</x:v>
      </x:c>
      <x:c r="BM480" s="6" t="str">
        <x:v>0</x:v>
      </x:c>
      <x:c r="BN480" s="6" t="str">
        <x:v>1</x:v>
      </x:c>
      <x:c r="BO480" s="6" t="str"/>
      <x:c r="BP480" s="6" t="str">
        <x:v>0</x:v>
      </x:c>
      <x:c r="BQ480" s="6" t="str">
        <x:v>1.0</x:v>
      </x:c>
      <x:c r="BR480" s="6" t="str">
        <x:v>1</x:v>
      </x:c>
      <x:c r="BS480" s="6" t="str">
        <x:v>1.0</x:v>
      </x:c>
      <x:c r="BT480" s="6" t="str">
        <x:v>1</x:v>
      </x:c>
      <x:c r="BU480" s="6" t="str"/>
      <x:c r="BV480" s="6" t="str">
        <x:v>0</x:v>
      </x:c>
      <x:c r="BW480" s="9" t="str">
        <x:v>operational_snapshot_annual_totals_may_differ</x:v>
      </x:c>
      <x:c r="BX480" s="9" t="str">
        <x:v>official_live_dashboard_snapshot_subject_to_revision</x:v>
      </x:c>
      <x:c r="BY480" s="9" t="str">
        <x:v>https://tbdashboard.sitb.id/ss_data_tbc03so_2025_provinsi_bulanan_list.php</x:v>
      </x:c>
      <x:c r="BZ480" s="6" t="n">
        <x:v>46246.610671296294</x:v>
      </x:c>
    </x:row>
    <x:row r="481" ht="18" customHeight="1">
      <x:c r="A481" s="6" t="str">
        <x:v>61</x:v>
      </x:c>
      <x:c r="B481" s="6" t="str">
        <x:v>KALIMANTAN BARAT</x:v>
      </x:c>
      <x:c r="C481" s="6" t="str">
        <x:v>2025</x:v>
      </x:c>
      <x:c r="D481" s="6" t="str">
        <x:v>12</x:v>
      </x:c>
      <x:c r="E481" s="6" t="str">
        <x:v>2025-12</x:v>
      </x:c>
      <x:c r="F481" s="6" t="str">
        <x:v>1093</x:v>
      </x:c>
      <x:c r="G481" s="6" t="str">
        <x:v>157</x:v>
      </x:c>
      <x:c r="H481" s="6" t="str">
        <x:v>438</x:v>
      </x:c>
      <x:c r="I481" s="6" t="str">
        <x:v>50</x:v>
      </x:c>
      <x:c r="J481" s="6" t="str">
        <x:v>45</x:v>
      </x:c>
      <x:c r="K481" s="6" t="str">
        <x:v>0</x:v>
      </x:c>
      <x:c r="L481" s="6" t="str">
        <x:v>1</x:v>
      </x:c>
      <x:c r="M481" s="6" t="str">
        <x:v>402</x:v>
      </x:c>
      <x:c r="N481" s="6" t="str">
        <x:v>1093</x:v>
      </x:c>
      <x:c r="O481" s="6" t="str">
        <x:v>0</x:v>
      </x:c>
      <x:c r="P481" s="10" t="n">
        <x:f>F481-M481</x:f>
        <x:v>691</x:v>
      </x:c>
      <x:c r="Q481" s="11" t="n">
        <x:f>IFERROR(M481/F481,"")</x:f>
        <x:v>0.3677950594693504</x:v>
      </x:c>
      <x:c r="R481" s="10" t="n">
        <x:f>G481+H481</x:f>
        <x:v>595</x:v>
      </x:c>
      <x:c r="S481" s="11" t="n">
        <x:f>IFERROR(R481/F481,"")</x:f>
        <x:v>0.5443732845379688</x:v>
      </x:c>
      <x:c r="T481" s="11" t="n">
        <x:f>IFERROR(R481/P481,"")</x:f>
        <x:v>0.8610709117221418</x:v>
      </x:c>
      <x:c r="U481" s="10" t="n">
        <x:f>I481+J481+K481</x:f>
        <x:v>95</x:v>
      </x:c>
      <x:c r="V481" s="11" t="n">
        <x:f>IFERROR(U481/P481,"")</x:f>
        <x:v>0.13748191027496381</x:v>
      </x:c>
      <x:c r="W481" s="9" t="str">
        <x:v>provisional_gt_5pct_pending</x:v>
      </x:c>
      <x:c r="X481" s="12" t="n">
        <x:f>IFERROR(F481/Z481*100000,"")</x:f>
        <x:v>18.955948664585502</x:v>
      </x:c>
      <x:c r="Y481" s="13" t="n">
        <x:f>LN(Z481)</x:f>
        <x:v>15.567489157180484</x:v>
      </x:c>
      <x:c r="Z481" s="6" t="str">
        <x:v>5766000</x:v>
      </x:c>
      <x:c r="AA481" s="6" t="str">
        <x:v>39.0</x:v>
      </x:c>
      <x:c r="AB481" s="9" t="str">
        <x:v>2025-06-30</x:v>
      </x:c>
      <x:c r="AC481" s="8" t="str">
        <x:v>88.37</x:v>
      </x:c>
      <x:c r="AD481" s="9" t="str">
        <x:v>2025 (Susenas)</x:v>
      </x:c>
      <x:c r="AE481" s="8" t="str">
        <x:v>6.16</x:v>
      </x:c>
      <x:c r="AF481" s="9" t="str">
        <x:v>Maret 2025 (Susenas)</x:v>
      </x:c>
      <x:c r="AG481" s="6" t="str">
        <x:v>25.45884769189588</x:v>
      </x:c>
      <x:c r="AH481" s="8" t="str">
        <x:v>91.91396755305686</x:v>
      </x:c>
      <x:c r="AI481" s="6" t="str">
        <x:v>420.73158036180433</x:v>
      </x:c>
      <x:c r="AJ481" s="6" t="str">
        <x:v>0.3704988383587633</x:v>
      </x:c>
      <x:c r="AK481" s="8" t="str">
        <x:v>1.5959611629167691</x:v>
      </x:c>
      <x:c r="AL481" s="6" t="str">
        <x:v>2.114389840591753</x:v>
      </x:c>
      <x:c r="AM481" s="6" t="str">
        <x:v>1.3233671271448406</x:v>
      </x:c>
      <x:c r="AN481" s="6" t="str">
        <x:v>1.6779060435511208</x:v>
      </x:c>
      <x:c r="AO481" s="6" t="str">
        <x:v>-0.388513034042333</x:v>
      </x:c>
      <x:c r="AP481" s="8" t="str">
        <x:v>-0.637354254407335</x:v>
      </x:c>
      <x:c r="AQ481" s="6" t="str">
        <x:v>-2.4950411209582803</x:v>
      </x:c>
      <x:c r="AR481" s="6" t="str">
        <x:v>-0.3557471564019631</x:v>
      </x:c>
      <x:c r="AS481" s="6" t="str">
        <x:v>-1.1627141772558591</x:v>
      </x:c>
      <x:c r="AT481" s="6" t="str">
        <x:v>49.52951465915248</x:v>
      </x:c>
      <x:c r="AU481" s="8" t="str">
        <x:v>0.4827252297465104</x:v>
      </x:c>
      <x:c r="AV481" s="6" t="str">
        <x:v>-0.1981837534102208</x:v>
      </x:c>
      <x:c r="AW481" s="6" t="str">
        <x:v>0.1672560494428831</x:v>
      </x:c>
      <x:c r="AX481" s="6" t="str">
        <x:v>0.1505991752597242</x:v>
      </x:c>
      <x:c r="AY481" s="6" t="str">
        <x:v>0</x:v>
      </x:c>
      <x:c r="AZ481" s="6" t="str">
        <x:v>1</x:v>
      </x:c>
      <x:c r="BA481" s="9" t="str">
        <x:v>grid_cells_within_BIG_polygon</x:v>
      </x:c>
      <x:c r="BB481" s="6" t="str">
        <x:v>35</x:v>
      </x:c>
      <x:c r="BC481" s="6" t="str">
        <x:v>3</x:v>
      </x:c>
      <x:c r="BD481" s="6" t="str">
        <x:v>3</x:v>
      </x:c>
      <x:c r="BE481" s="6" t="str">
        <x:v>2</x:v>
      </x:c>
      <x:c r="BF481" s="6" t="str">
        <x:v>0</x:v>
      </x:c>
      <x:c r="BG481" s="6" t="str">
        <x:v>0</x:v>
      </x:c>
      <x:c r="BH481" s="6" t="str">
        <x:v>0</x:v>
      </x:c>
      <x:c r="BI481" s="6" t="str">
        <x:v>0</x:v>
      </x:c>
      <x:c r="BJ481" s="6" t="str">
        <x:v>1</x:v>
      </x:c>
      <x:c r="BK481" s="6" t="str">
        <x:v>0</x:v>
      </x:c>
      <x:c r="BL481" s="6" t="str">
        <x:v>0</x:v>
      </x:c>
      <x:c r="BM481" s="6" t="str">
        <x:v>0</x:v>
      </x:c>
      <x:c r="BN481" s="6" t="str">
        <x:v>3</x:v>
      </x:c>
      <x:c r="BO481" s="6" t="str">
        <x:v>1.0</x:v>
      </x:c>
      <x:c r="BP481" s="6" t="str">
        <x:v>1</x:v>
      </x:c>
      <x:c r="BQ481" s="6" t="str"/>
      <x:c r="BR481" s="6" t="str">
        <x:v>0</x:v>
      </x:c>
      <x:c r="BS481" s="6" t="str">
        <x:v>0.0</x:v>
      </x:c>
      <x:c r="BT481" s="6" t="str">
        <x:v>3</x:v>
      </x:c>
      <x:c r="BU481" s="6" t="str">
        <x:v>506.0</x:v>
      </x:c>
      <x:c r="BV481" s="6" t="str">
        <x:v>3</x:v>
      </x:c>
      <x:c r="BW481" s="9" t="str">
        <x:v>operational_snapshot_annual_totals_may_differ</x:v>
      </x:c>
      <x:c r="BX481" s="9" t="str">
        <x:v>official_live_dashboard_snapshot_subject_to_revision</x:v>
      </x:c>
      <x:c r="BY481" s="9" t="str">
        <x:v>https://tbdashboard.sitb.id/ss_data_tbc03so_2025_provinsi_bulanan_list.php</x:v>
      </x:c>
      <x:c r="BZ481" s="6" t="n">
        <x:v>46246.610671296294</x:v>
      </x:c>
    </x:row>
    <x:row r="482" ht="18" customHeight="1">
      <x:c r="A482" s="6" t="str">
        <x:v>62</x:v>
      </x:c>
      <x:c r="B482" s="6" t="str">
        <x:v>KALIMANTAN TENGAH</x:v>
      </x:c>
      <x:c r="C482" s="6" t="str">
        <x:v>2024</x:v>
      </x:c>
      <x:c r="D482" s="6" t="str">
        <x:v>1</x:v>
      </x:c>
      <x:c r="E482" s="6" t="str">
        <x:v>2024-01</x:v>
      </x:c>
      <x:c r="F482" s="6" t="str">
        <x:v>467</x:v>
      </x:c>
      <x:c r="G482" s="6" t="str">
        <x:v>114</x:v>
      </x:c>
      <x:c r="H482" s="6" t="str">
        <x:v>261</x:v>
      </x:c>
      <x:c r="I482" s="6" t="str">
        <x:v>44</x:v>
      </x:c>
      <x:c r="J482" s="6" t="str">
        <x:v>24</x:v>
      </x:c>
      <x:c r="K482" s="6" t="str">
        <x:v>1</x:v>
      </x:c>
      <x:c r="L482" s="6" t="str">
        <x:v>7</x:v>
      </x:c>
      <x:c r="M482" s="6" t="str">
        <x:v>16</x:v>
      </x:c>
      <x:c r="N482" s="6" t="str">
        <x:v>467</x:v>
      </x:c>
      <x:c r="O482" s="6" t="str">
        <x:v>0</x:v>
      </x:c>
      <x:c r="P482" s="10" t="n">
        <x:f>F482-M482</x:f>
        <x:v>451</x:v>
      </x:c>
      <x:c r="Q482" s="11" t="n">
        <x:f>IFERROR(M482/F482,"")</x:f>
        <x:v>0.034261241970021415</x:v>
      </x:c>
      <x:c r="R482" s="10" t="n">
        <x:f>G482+H482</x:f>
        <x:v>375</x:v>
      </x:c>
      <x:c r="S482" s="11" t="n">
        <x:f>IFERROR(R482/F482,"")</x:f>
        <x:v>0.8029978586723768</x:v>
      </x:c>
      <x:c r="T482" s="11" t="n">
        <x:f>IFERROR(R482/P482,"")</x:f>
        <x:v>0.8314855875831486</x:v>
      </x:c>
      <x:c r="U482" s="10" t="n">
        <x:f>I482+J482+K482</x:f>
        <x:v>69</x:v>
      </x:c>
      <x:c r="V482" s="11" t="n">
        <x:f>IFERROR(U482/P482,"")</x:f>
        <x:v>0.15299334811529933</x:v>
      </x:c>
      <x:c r="W482" s="9" t="str">
        <x:v>mature_le_5pct_pending</x:v>
      </x:c>
      <x:c r="X482" s="12" t="n">
        <x:f>IFERROR(F482/Z482*100000,"")</x:f>
        <x:v>16.620991564935757</x:v>
      </x:c>
      <x:c r="Y482" s="13" t="n">
        <x:f>LN(Z482)</x:f>
        <x:v>14.84858827404467</x:v>
      </x:c>
      <x:c r="Z482" s="6" t="str">
        <x:v>2809700</x:v>
      </x:c>
      <x:c r="AA482" s="6" t="str">
        <x:v>18.0</x:v>
      </x:c>
      <x:c r="AB482" s="9" t="str">
        <x:v>2024-06-30</x:v>
      </x:c>
      <x:c r="AC482" s="8" t="str">
        <x:v>78.15</x:v>
      </x:c>
      <x:c r="AD482" s="9" t="str">
        <x:v>2024 (Susenas)</x:v>
      </x:c>
      <x:c r="AE482" s="8" t="str">
        <x:v>5.17</x:v>
      </x:c>
      <x:c r="AF482" s="9" t="str">
        <x:v>Maret 2024 (Susenas)</x:v>
      </x:c>
      <x:c r="AG482" s="6" t="str">
        <x:v>26.432786043999418</x:v>
      </x:c>
      <x:c r="AH482" s="8" t="str">
        <x:v>89.74790348035415</x:v>
      </x:c>
      <x:c r="AI482" s="6" t="str">
        <x:v>400.9484240975388</x:v>
      </x:c>
      <x:c r="AJ482" s="6" t="str">
        <x:v>0.8690510425474613</x:v>
      </x:c>
      <x:c r="AK482" s="8" t="str">
        <x:v>2.4083924848320915</x:v>
      </x:c>
      <x:c r="AL482" s="6" t="str">
        <x:v>4.010385207937853</x:v>
      </x:c>
      <x:c r="AM482" s="6" t="str">
        <x:v>3.701296656478015</x:v>
      </x:c>
      <x:c r="AN482" s="6" t="str">
        <x:v>3.373358116415987</x:v>
      </x:c>
      <x:c r="AO482" s="6" t="str">
        <x:v>0.1421236298553907</x:v>
      </x:c>
      <x:c r="AP482" s="8" t="str">
        <x:v>0.2529556762433797</x:v>
      </x:c>
      <x:c r="AQ482" s="6" t="str">
        <x:v>-1.7141513796102663</x:v>
      </x:c>
      <x:c r="AR482" s="6" t="str">
        <x:v>-1.2059018018890444</x:v>
      </x:c>
      <x:c r="AS482" s="6" t="str">
        <x:v>-0.8890325017519772</x:v>
      </x:c>
      <x:c r="AT482" s="6" t="str">
        <x:v>118.94943288693032</x:v>
      </x:c>
      <x:c r="AU482" s="8" t="str">
        <x:v>2.59585842269926</x:v>
      </x:c>
      <x:c r="AV482" s="6" t="str">
        <x:v>-0.035705318251092</x:v>
      </x:c>
      <x:c r="AW482" s="6" t="str">
        <x:v>0.1232116841510011</x:v>
      </x:c>
      <x:c r="AX482" s="6" t="str">
        <x:v>0.8944549295330556</x:v>
      </x:c>
      <x:c r="AY482" s="6" t="str">
        <x:v>1</x:v>
      </x:c>
      <x:c r="AZ482" s="6" t="str">
        <x:v>1</x:v>
      </x:c>
      <x:c r="BA482" s="9" t="str">
        <x:v>grid_cells_within_BIG_polygon</x:v>
      </x:c>
      <x:c r="BB482" s="6" t="str">
        <x:v>41</x:v>
      </x:c>
      <x:c r="BC482" s="6" t="str">
        <x:v>6</x:v>
      </x:c>
      <x:c r="BD482" s="6" t="str">
        <x:v>6</x:v>
      </x:c>
      <x:c r="BE482" s="6" t="str">
        <x:v>6</x:v>
      </x:c>
      <x:c r="BF482" s="6" t="str">
        <x:v>0</x:v>
      </x:c>
      <x:c r="BG482" s="6" t="str">
        <x:v>0</x:v>
      </x:c>
      <x:c r="BH482" s="6" t="str">
        <x:v>0</x:v>
      </x:c>
      <x:c r="BI482" s="6" t="str">
        <x:v>0</x:v>
      </x:c>
      <x:c r="BJ482" s="6" t="str">
        <x:v>0</x:v>
      </x:c>
      <x:c r="BK482" s="6" t="str">
        <x:v>0</x:v>
      </x:c>
      <x:c r="BL482" s="6" t="str">
        <x:v>0</x:v>
      </x:c>
      <x:c r="BM482" s="6" t="str">
        <x:v>0</x:v>
      </x:c>
      <x:c r="BN482" s="6" t="str">
        <x:v>6</x:v>
      </x:c>
      <x:c r="BO482" s="6" t="str">
        <x:v>0.0</x:v>
      </x:c>
      <x:c r="BP482" s="6" t="str">
        <x:v>6</x:v>
      </x:c>
      <x:c r="BQ482" s="6" t="str">
        <x:v>0.0</x:v>
      </x:c>
      <x:c r="BR482" s="6" t="str">
        <x:v>6</x:v>
      </x:c>
      <x:c r="BS482" s="6" t="str">
        <x:v>0.0</x:v>
      </x:c>
      <x:c r="BT482" s="6" t="str">
        <x:v>6</x:v>
      </x:c>
      <x:c r="BU482" s="6" t="str">
        <x:v>27384.0</x:v>
      </x:c>
      <x:c r="BV482" s="6" t="str">
        <x:v>6</x:v>
      </x:c>
      <x:c r="BW482" s="9" t="str">
        <x:v>operational_snapshot_annual_totals_may_differ</x:v>
      </x:c>
      <x:c r="BX482" s="9" t="str">
        <x:v>official_live_dashboard_snapshot_subject_to_revision</x:v>
      </x:c>
      <x:c r="BY482" s="9" t="str">
        <x:v>https://tbdashboard.sitb.id/ss_data_tbc03so_2024_provinsi_bulanan_list.php</x:v>
      </x:c>
      <x:c r="BZ482" s="6" t="n">
        <x:v>46246.610671296294</x:v>
      </x:c>
    </x:row>
    <x:row r="483" ht="18" customHeight="1">
      <x:c r="A483" s="6" t="str">
        <x:v>62</x:v>
      </x:c>
      <x:c r="B483" s="6" t="str">
        <x:v>KALIMANTAN TENGAH</x:v>
      </x:c>
      <x:c r="C483" s="6" t="str">
        <x:v>2024</x:v>
      </x:c>
      <x:c r="D483" s="6" t="str">
        <x:v>2</x:v>
      </x:c>
      <x:c r="E483" s="6" t="str">
        <x:v>2024-02</x:v>
      </x:c>
      <x:c r="F483" s="6" t="str">
        <x:v>433</x:v>
      </x:c>
      <x:c r="G483" s="6" t="str">
        <x:v>98</x:v>
      </x:c>
      <x:c r="H483" s="6" t="str">
        <x:v>235</x:v>
      </x:c>
      <x:c r="I483" s="6" t="str">
        <x:v>39</x:v>
      </x:c>
      <x:c r="J483" s="6" t="str">
        <x:v>30</x:v>
      </x:c>
      <x:c r="K483" s="6" t="str">
        <x:v>0</x:v>
      </x:c>
      <x:c r="L483" s="6" t="str">
        <x:v>5</x:v>
      </x:c>
      <x:c r="M483" s="6" t="str">
        <x:v>26</x:v>
      </x:c>
      <x:c r="N483" s="6" t="str">
        <x:v>433</x:v>
      </x:c>
      <x:c r="O483" s="6" t="str">
        <x:v>0</x:v>
      </x:c>
      <x:c r="P483" s="10" t="n">
        <x:f>F483-M483</x:f>
        <x:v>407</x:v>
      </x:c>
      <x:c r="Q483" s="11" t="n">
        <x:f>IFERROR(M483/F483,"")</x:f>
        <x:v>0.06004618937644342</x:v>
      </x:c>
      <x:c r="R483" s="10" t="n">
        <x:f>G483+H483</x:f>
        <x:v>333</x:v>
      </x:c>
      <x:c r="S483" s="11" t="n">
        <x:f>IFERROR(R483/F483,"")</x:f>
        <x:v>0.76905311778291</x:v>
      </x:c>
      <x:c r="T483" s="11" t="n">
        <x:f>IFERROR(R483/P483,"")</x:f>
        <x:v>0.8181818181818182</x:v>
      </x:c>
      <x:c r="U483" s="10" t="n">
        <x:f>I483+J483+K483</x:f>
        <x:v>69</x:v>
      </x:c>
      <x:c r="V483" s="11" t="n">
        <x:f>IFERROR(U483/P483,"")</x:f>
        <x:v>0.16953316953316952</x:v>
      </x:c>
      <x:c r="W483" s="9" t="str">
        <x:v>provisional_gt_5pct_pending</x:v>
      </x:c>
      <x:c r="X483" s="12" t="n">
        <x:f>IFERROR(F483/Z483*100000,"")</x:f>
        <x:v>15.410897960636365</x:v>
      </x:c>
      <x:c r="Y483" s="13" t="n">
        <x:f>LN(Z483)</x:f>
        <x:v>14.84858827404467</x:v>
      </x:c>
      <x:c r="Z483" s="6" t="str">
        <x:v>2809700</x:v>
      </x:c>
      <x:c r="AA483" s="6" t="str">
        <x:v>18.0</x:v>
      </x:c>
      <x:c r="AB483" s="9" t="str">
        <x:v>2024-06-30</x:v>
      </x:c>
      <x:c r="AC483" s="8" t="str">
        <x:v>78.15</x:v>
      </x:c>
      <x:c r="AD483" s="9" t="str">
        <x:v>2024 (Susenas)</x:v>
      </x:c>
      <x:c r="AE483" s="8" t="str">
        <x:v>5.17</x:v>
      </x:c>
      <x:c r="AF483" s="9" t="str">
        <x:v>Maret 2024 (Susenas)</x:v>
      </x:c>
      <x:c r="AG483" s="6" t="str">
        <x:v>26.809838971196065</x:v>
      </x:c>
      <x:c r="AH483" s="8" t="str">
        <x:v>88.96944793472346</x:v>
      </x:c>
      <x:c r="AI483" s="6" t="str">
        <x:v>372.7265711798629</x:v>
      </x:c>
      <x:c r="AJ483" s="6" t="str">
        <x:v>1.124001208863433</x:v>
      </x:c>
      <x:c r="AK483" s="8" t="str">
        <x:v>3.124322688318128</x:v>
      </x:c>
      <x:c r="AL483" s="6" t="str">
        <x:v>2.4083924848320915</x:v>
      </x:c>
      <x:c r="AM483" s="6" t="str">
        <x:v>4.010385207937853</x:v>
      </x:c>
      <x:c r="AN483" s="6" t="str">
        <x:v>3.1810334603626917</x:v>
      </x:c>
      <x:c r="AO483" s="6" t="str">
        <x:v>-0.0993297975536364</x:v>
      </x:c>
      <x:c r="AP483" s="8" t="str">
        <x:v>-0.1144135120946071</x:v>
      </x:c>
      <x:c r="AQ483" s="6" t="str">
        <x:v>0.2529556762433797</x:v>
      </x:c>
      <x:c r="AR483" s="6" t="str">
        <x:v>-1.7141513796102663</x:v>
      </x:c>
      <x:c r="AS483" s="6" t="str">
        <x:v>-0.5252030718204982</x:v>
      </x:c>
      <x:c r="AT483" s="6" t="str">
        <x:v>107.89001132396618</x:v>
      </x:c>
      <x:c r="AU483" s="8" t="str">
        <x:v>1.2740251204619537</x:v>
      </x:c>
      <x:c r="AV483" s="6" t="str">
        <x:v>2.59585842269926</x:v>
      </x:c>
      <x:c r="AW483" s="6" t="str">
        <x:v>-0.035705318251092</x:v>
      </x:c>
      <x:c r="AX483" s="6" t="str">
        <x:v>1.2780594083033732</x:v>
      </x:c>
      <x:c r="AY483" s="6" t="str">
        <x:v>1</x:v>
      </x:c>
      <x:c r="AZ483" s="6" t="str">
        <x:v>1</x:v>
      </x:c>
      <x:c r="BA483" s="9" t="str">
        <x:v>grid_cells_within_BIG_polygon</x:v>
      </x:c>
      <x:c r="BB483" s="6" t="str">
        <x:v>41</x:v>
      </x:c>
      <x:c r="BC483" s="6" t="str">
        <x:v>11</x:v>
      </x:c>
      <x:c r="BD483" s="6" t="str">
        <x:v>11</x:v>
      </x:c>
      <x:c r="BE483" s="6" t="str">
        <x:v>3</x:v>
      </x:c>
      <x:c r="BF483" s="6" t="str">
        <x:v>0</x:v>
      </x:c>
      <x:c r="BG483" s="6" t="str">
        <x:v>0</x:v>
      </x:c>
      <x:c r="BH483" s="6" t="str">
        <x:v>0</x:v>
      </x:c>
      <x:c r="BI483" s="6" t="str">
        <x:v>8</x:v>
      </x:c>
      <x:c r="BJ483" s="6" t="str">
        <x:v>0</x:v>
      </x:c>
      <x:c r="BK483" s="6" t="str">
        <x:v>0</x:v>
      </x:c>
      <x:c r="BL483" s="6" t="str">
        <x:v>0</x:v>
      </x:c>
      <x:c r="BM483" s="6" t="str">
        <x:v>0</x:v>
      </x:c>
      <x:c r="BN483" s="6" t="str">
        <x:v>11</x:v>
      </x:c>
      <x:c r="BO483" s="6" t="str">
        <x:v>0.0</x:v>
      </x:c>
      <x:c r="BP483" s="6" t="str">
        <x:v>11</x:v>
      </x:c>
      <x:c r="BQ483" s="6" t="str">
        <x:v>0.0</x:v>
      </x:c>
      <x:c r="BR483" s="6" t="str">
        <x:v>11</x:v>
      </x:c>
      <x:c r="BS483" s="6" t="str">
        <x:v>0.0</x:v>
      </x:c>
      <x:c r="BT483" s="6" t="str">
        <x:v>11</x:v>
      </x:c>
      <x:c r="BU483" s="6" t="str">
        <x:v>4213.0</x:v>
      </x:c>
      <x:c r="BV483" s="6" t="str">
        <x:v>3</x:v>
      </x:c>
      <x:c r="BW483" s="9" t="str">
        <x:v>operational_snapshot_annual_totals_may_differ</x:v>
      </x:c>
      <x:c r="BX483" s="9" t="str">
        <x:v>official_live_dashboard_snapshot_subject_to_revision</x:v>
      </x:c>
      <x:c r="BY483" s="9" t="str">
        <x:v>https://tbdashboard.sitb.id/ss_data_tbc03so_2024_provinsi_bulanan_list.php</x:v>
      </x:c>
      <x:c r="BZ483" s="6" t="n">
        <x:v>46246.610671296294</x:v>
      </x:c>
    </x:row>
    <x:row r="484" ht="18" customHeight="1">
      <x:c r="A484" s="6" t="str">
        <x:v>62</x:v>
      </x:c>
      <x:c r="B484" s="6" t="str">
        <x:v>KALIMANTAN TENGAH</x:v>
      </x:c>
      <x:c r="C484" s="6" t="str">
        <x:v>2024</x:v>
      </x:c>
      <x:c r="D484" s="6" t="str">
        <x:v>3</x:v>
      </x:c>
      <x:c r="E484" s="6" t="str">
        <x:v>2024-03</x:v>
      </x:c>
      <x:c r="F484" s="6" t="str">
        <x:v>425</x:v>
      </x:c>
      <x:c r="G484" s="6" t="str">
        <x:v>93</x:v>
      </x:c>
      <x:c r="H484" s="6" t="str">
        <x:v>243</x:v>
      </x:c>
      <x:c r="I484" s="6" t="str">
        <x:v>44</x:v>
      </x:c>
      <x:c r="J484" s="6" t="str">
        <x:v>25</x:v>
      </x:c>
      <x:c r="K484" s="6" t="str">
        <x:v>1</x:v>
      </x:c>
      <x:c r="L484" s="6" t="str">
        <x:v>5</x:v>
      </x:c>
      <x:c r="M484" s="6" t="str">
        <x:v>14</x:v>
      </x:c>
      <x:c r="N484" s="6" t="str">
        <x:v>425</x:v>
      </x:c>
      <x:c r="O484" s="6" t="str">
        <x:v>0</x:v>
      </x:c>
      <x:c r="P484" s="10" t="n">
        <x:f>F484-M484</x:f>
        <x:v>411</x:v>
      </x:c>
      <x:c r="Q484" s="11" t="n">
        <x:f>IFERROR(M484/F484,"")</x:f>
        <x:v>0.03294117647058824</x:v>
      </x:c>
      <x:c r="R484" s="10" t="n">
        <x:f>G484+H484</x:f>
        <x:v>336</x:v>
      </x:c>
      <x:c r="S484" s="11" t="n">
        <x:f>IFERROR(R484/F484,"")</x:f>
        <x:v>0.7905882352941176</x:v>
      </x:c>
      <x:c r="T484" s="11" t="n">
        <x:f>IFERROR(R484/P484,"")</x:f>
        <x:v>0.8175182481751825</x:v>
      </x:c>
      <x:c r="U484" s="10" t="n">
        <x:f>I484+J484+K484</x:f>
        <x:v>70</x:v>
      </x:c>
      <x:c r="V484" s="11" t="n">
        <x:f>IFERROR(U484/P484,"")</x:f>
        <x:v>0.170316301703163</x:v>
      </x:c>
      <x:c r="W484" s="9" t="str">
        <x:v>mature_le_5pct_pending</x:v>
      </x:c>
      <x:c r="X484" s="12" t="n">
        <x:f>IFERROR(F484/Z484*100000,"")</x:f>
        <x:v>15.126170053742392</x:v>
      </x:c>
      <x:c r="Y484" s="13" t="n">
        <x:f>LN(Z484)</x:f>
        <x:v>14.84858827404467</x:v>
      </x:c>
      <x:c r="Z484" s="6" t="str">
        <x:v>2809700</x:v>
      </x:c>
      <x:c r="AA484" s="6" t="str">
        <x:v>18.0</x:v>
      </x:c>
      <x:c r="AB484" s="9" t="str">
        <x:v>2024-06-30</x:v>
      </x:c>
      <x:c r="AC484" s="8" t="str">
        <x:v>78.15</x:v>
      </x:c>
      <x:c r="AD484" s="9" t="str">
        <x:v>2024 (Susenas)</x:v>
      </x:c>
      <x:c r="AE484" s="8" t="str">
        <x:v>5.17</x:v>
      </x:c>
      <x:c r="AF484" s="9" t="str">
        <x:v>Maret 2024 (Susenas)</x:v>
      </x:c>
      <x:c r="AG484" s="6" t="str">
        <x:v>26.888845456549003</x:v>
      </x:c>
      <x:c r="AH484" s="8" t="str">
        <x:v>89.67539147983962</x:v>
      </x:c>
      <x:c r="AI484" s="6" t="str">
        <x:v>344.8897434251588</x:v>
      </x:c>
      <x:c r="AJ484" s="6" t="str">
        <x:v>0.967163120021663</x:v>
      </x:c>
      <x:c r="AK484" s="8" t="str">
        <x:v>3.070907155897228</x:v>
      </x:c>
      <x:c r="AL484" s="6" t="str">
        <x:v>3.124322688318128</x:v>
      </x:c>
      <x:c r="AM484" s="6" t="str">
        <x:v>2.4083924848320915</x:v>
      </x:c>
      <x:c r="AN484" s="6" t="str">
        <x:v>2.8678741096824827</x:v>
      </x:c>
      <x:c r="AO484" s="6" t="str">
        <x:v>0.6300970768403573</x:v>
      </x:c>
      <x:c r="AP484" s="8" t="str">
        <x:v>1.1151929658877058</x:v>
      </x:c>
      <x:c r="AQ484" s="6" t="str">
        <x:v>-0.1144135120946071</x:v>
      </x:c>
      <x:c r="AR484" s="6" t="str">
        <x:v>0.2529556762433797</x:v>
      </x:c>
      <x:c r="AS484" s="6" t="str">
        <x:v>0.4179117100121592</x:v>
      </x:c>
      <x:c r="AT484" s="6" t="str">
        <x:v>43.602954135845664</x:v>
      </x:c>
      <x:c r="AU484" s="8" t="str">
        <x:v>0.6515334643964258</x:v>
      </x:c>
      <x:c r="AV484" s="6" t="str">
        <x:v>1.2740251204619537</x:v>
      </x:c>
      <x:c r="AW484" s="6" t="str">
        <x:v>2.59585842269926</x:v>
      </x:c>
      <x:c r="AX484" s="6" t="str">
        <x:v>1.5071390025192126</x:v>
      </x:c>
      <x:c r="AY484" s="6" t="str">
        <x:v>0</x:v>
      </x:c>
      <x:c r="AZ484" s="6" t="str">
        <x:v>1</x:v>
      </x:c>
      <x:c r="BA484" s="9" t="str">
        <x:v>grid_cells_within_BIG_polygon</x:v>
      </x:c>
      <x:c r="BB484" s="6" t="str">
        <x:v>41</x:v>
      </x:c>
      <x:c r="BC484" s="6" t="str">
        <x:v>4</x:v>
      </x:c>
      <x:c r="BD484" s="6" t="str">
        <x:v>4</x:v>
      </x:c>
      <x:c r="BE484" s="6" t="str">
        <x:v>4</x:v>
      </x:c>
      <x:c r="BF484" s="6" t="str">
        <x:v>0</x:v>
      </x:c>
      <x:c r="BG484" s="6" t="str">
        <x:v>0</x:v>
      </x:c>
      <x:c r="BH484" s="6" t="str">
        <x:v>0</x:v>
      </x:c>
      <x:c r="BI484" s="6" t="str">
        <x:v>0</x:v>
      </x:c>
      <x:c r="BJ484" s="6" t="str">
        <x:v>0</x:v>
      </x:c>
      <x:c r="BK484" s="6" t="str">
        <x:v>0</x:v>
      </x:c>
      <x:c r="BL484" s="6" t="str">
        <x:v>0</x:v>
      </x:c>
      <x:c r="BM484" s="6" t="str">
        <x:v>0</x:v>
      </x:c>
      <x:c r="BN484" s="6" t="str">
        <x:v>4</x:v>
      </x:c>
      <x:c r="BO484" s="6" t="str">
        <x:v>4.0</x:v>
      </x:c>
      <x:c r="BP484" s="6" t="str">
        <x:v>4</x:v>
      </x:c>
      <x:c r="BQ484" s="6" t="str">
        <x:v>0.0</x:v>
      </x:c>
      <x:c r="BR484" s="6" t="str">
        <x:v>4</x:v>
      </x:c>
      <x:c r="BS484" s="6" t="str">
        <x:v>0.0</x:v>
      </x:c>
      <x:c r="BT484" s="6" t="str">
        <x:v>4</x:v>
      </x:c>
      <x:c r="BU484" s="6" t="str">
        <x:v>6556.0</x:v>
      </x:c>
      <x:c r="BV484" s="6" t="str">
        <x:v>4</x:v>
      </x:c>
      <x:c r="BW484" s="9" t="str">
        <x:v>operational_snapshot_annual_totals_may_differ</x:v>
      </x:c>
      <x:c r="BX484" s="9" t="str">
        <x:v>official_live_dashboard_snapshot_subject_to_revision</x:v>
      </x:c>
      <x:c r="BY484" s="9" t="str">
        <x:v>https://tbdashboard.sitb.id/ss_data_tbc03so_2024_provinsi_bulanan_list.php</x:v>
      </x:c>
      <x:c r="BZ484" s="6" t="n">
        <x:v>46246.610671296294</x:v>
      </x:c>
    </x:row>
    <x:row r="485" ht="18" customHeight="1">
      <x:c r="A485" s="6" t="str">
        <x:v>62</x:v>
      </x:c>
      <x:c r="B485" s="6" t="str">
        <x:v>KALIMANTAN TENGAH</x:v>
      </x:c>
      <x:c r="C485" s="6" t="str">
        <x:v>2024</x:v>
      </x:c>
      <x:c r="D485" s="6" t="str">
        <x:v>4</x:v>
      </x:c>
      <x:c r="E485" s="6" t="str">
        <x:v>2024-04</x:v>
      </x:c>
      <x:c r="F485" s="6" t="str">
        <x:v>358</x:v>
      </x:c>
      <x:c r="G485" s="6" t="str">
        <x:v>75</x:v>
      </x:c>
      <x:c r="H485" s="6" t="str">
        <x:v>204</x:v>
      </x:c>
      <x:c r="I485" s="6" t="str">
        <x:v>33</x:v>
      </x:c>
      <x:c r="J485" s="6" t="str">
        <x:v>18</x:v>
      </x:c>
      <x:c r="K485" s="6" t="str">
        <x:v>0</x:v>
      </x:c>
      <x:c r="L485" s="6" t="str">
        <x:v>5</x:v>
      </x:c>
      <x:c r="M485" s="6" t="str">
        <x:v>23</x:v>
      </x:c>
      <x:c r="N485" s="6" t="str">
        <x:v>358</x:v>
      </x:c>
      <x:c r="O485" s="6" t="str">
        <x:v>0</x:v>
      </x:c>
      <x:c r="P485" s="10" t="n">
        <x:f>F485-M485</x:f>
        <x:v>335</x:v>
      </x:c>
      <x:c r="Q485" s="11" t="n">
        <x:f>IFERROR(M485/F485,"")</x:f>
        <x:v>0.06424581005586592</x:v>
      </x:c>
      <x:c r="R485" s="10" t="n">
        <x:f>G485+H485</x:f>
        <x:v>279</x:v>
      </x:c>
      <x:c r="S485" s="11" t="n">
        <x:f>IFERROR(R485/F485,"")</x:f>
        <x:v>0.7793296089385475</x:v>
      </x:c>
      <x:c r="T485" s="11" t="n">
        <x:f>IFERROR(R485/P485,"")</x:f>
        <x:v>0.8328358208955224</x:v>
      </x:c>
      <x:c r="U485" s="10" t="n">
        <x:f>I485+J485+K485</x:f>
        <x:v>51</x:v>
      </x:c>
      <x:c r="V485" s="11" t="n">
        <x:f>IFERROR(U485/P485,"")</x:f>
        <x:v>0.15223880597014924</x:v>
      </x:c>
      <x:c r="W485" s="9" t="str">
        <x:v>provisional_gt_5pct_pending</x:v>
      </x:c>
      <x:c r="X485" s="12" t="n">
        <x:f>IFERROR(F485/Z485*100000,"")</x:f>
        <x:v>12.741573833505358</x:v>
      </x:c>
      <x:c r="Y485" s="13" t="n">
        <x:f>LN(Z485)</x:f>
        <x:v>14.84858827404467</x:v>
      </x:c>
      <x:c r="Z485" s="6" t="str">
        <x:v>2809700</x:v>
      </x:c>
      <x:c r="AA485" s="6" t="str">
        <x:v>18.0</x:v>
      </x:c>
      <x:c r="AB485" s="9" t="str">
        <x:v>2024-06-30</x:v>
      </x:c>
      <x:c r="AC485" s="8" t="str">
        <x:v>78.15</x:v>
      </x:c>
      <x:c r="AD485" s="9" t="str">
        <x:v>2024 (Susenas)</x:v>
      </x:c>
      <x:c r="AE485" s="8" t="str">
        <x:v>5.17</x:v>
      </x:c>
      <x:c r="AF485" s="9" t="str">
        <x:v>Maret 2024 (Susenas)</x:v>
      </x:c>
      <x:c r="AG485" s="6" t="str">
        <x:v>27.29884936960657</x:v>
      </x:c>
      <x:c r="AH485" s="8" t="str">
        <x:v>89.622487170912</x:v>
      </x:c>
      <x:c r="AI485" s="6" t="str">
        <x:v>305.1245593369223</x:v>
      </x:c>
      <x:c r="AJ485" s="6" t="str">
        <x:v>1.165567589568461</x:v>
      </x:c>
      <x:c r="AK485" s="8" t="str">
        <x:v>4.16548455047336</x:v>
      </x:c>
      <x:c r="AL485" s="6" t="str">
        <x:v>3.070907155897228</x:v>
      </x:c>
      <x:c r="AM485" s="6" t="str">
        <x:v>3.124322688318128</x:v>
      </x:c>
      <x:c r="AN485" s="6" t="str">
        <x:v>3.453571464896239</x:v>
      </x:c>
      <x:c r="AO485" s="6" t="str">
        <x:v>0.1086934733973379</x:v>
      </x:c>
      <x:c r="AP485" s="8" t="str">
        <x:v>0.2293609219585584</x:v>
      </x:c>
      <x:c r="AQ485" s="6" t="str">
        <x:v>1.1151929658877058</x:v>
      </x:c>
      <x:c r="AR485" s="6" t="str">
        <x:v>-0.1144135120946071</x:v>
      </x:c>
      <x:c r="AS485" s="6" t="str">
        <x:v>0.4100467919172187</x:v>
      </x:c>
      <x:c r="AT485" s="6" t="str">
        <x:v>8.866777099114017</x:v>
      </x:c>
      <x:c r="AU485" s="8" t="str">
        <x:v>0.1506650358689623</x:v>
      </x:c>
      <x:c r="AV485" s="6" t="str">
        <x:v>0.6515334643964258</x:v>
      </x:c>
      <x:c r="AW485" s="6" t="str">
        <x:v>1.2740251204619537</x:v>
      </x:c>
      <x:c r="AX485" s="6" t="str">
        <x:v>0.6920745402424466</x:v>
      </x:c>
      <x:c r="AY485" s="6" t="str">
        <x:v>0</x:v>
      </x:c>
      <x:c r="AZ485" s="6" t="str">
        <x:v>1</x:v>
      </x:c>
      <x:c r="BA485" s="9" t="str">
        <x:v>grid_cells_within_BIG_polygon</x:v>
      </x:c>
      <x:c r="BB485" s="6" t="str">
        <x:v>41</x:v>
      </x:c>
      <x:c r="BC485" s="6" t="str">
        <x:v>3</x:v>
      </x:c>
      <x:c r="BD485" s="6" t="str">
        <x:v>3</x:v>
      </x:c>
      <x:c r="BE485" s="6" t="str">
        <x:v>3</x:v>
      </x:c>
      <x:c r="BF485" s="6" t="str">
        <x:v>0</x:v>
      </x:c>
      <x:c r="BG485" s="6" t="str">
        <x:v>0</x:v>
      </x:c>
      <x:c r="BH485" s="6" t="str">
        <x:v>0</x:v>
      </x:c>
      <x:c r="BI485" s="6" t="str">
        <x:v>0</x:v>
      </x:c>
      <x:c r="BJ485" s="6" t="str">
        <x:v>0</x:v>
      </x:c>
      <x:c r="BK485" s="6" t="str">
        <x:v>0</x:v>
      </x:c>
      <x:c r="BL485" s="6" t="str">
        <x:v>0</x:v>
      </x:c>
      <x:c r="BM485" s="6" t="str">
        <x:v>0</x:v>
      </x:c>
      <x:c r="BN485" s="6" t="str">
        <x:v>3</x:v>
      </x:c>
      <x:c r="BO485" s="6" t="str">
        <x:v>0.0</x:v>
      </x:c>
      <x:c r="BP485" s="6" t="str">
        <x:v>3</x:v>
      </x:c>
      <x:c r="BQ485" s="6" t="str">
        <x:v>0.0</x:v>
      </x:c>
      <x:c r="BR485" s="6" t="str">
        <x:v>3</x:v>
      </x:c>
      <x:c r="BS485" s="6" t="str">
        <x:v>0.0</x:v>
      </x:c>
      <x:c r="BT485" s="6" t="str">
        <x:v>3</x:v>
      </x:c>
      <x:c r="BU485" s="6" t="str">
        <x:v>606.0</x:v>
      </x:c>
      <x:c r="BV485" s="6" t="str">
        <x:v>3</x:v>
      </x:c>
      <x:c r="BW485" s="9" t="str">
        <x:v>operational_snapshot_annual_totals_may_differ</x:v>
      </x:c>
      <x:c r="BX485" s="9" t="str">
        <x:v>official_live_dashboard_snapshot_subject_to_revision</x:v>
      </x:c>
      <x:c r="BY485" s="9" t="str">
        <x:v>https://tbdashboard.sitb.id/ss_data_tbc03so_2024_provinsi_bulanan_list.php</x:v>
      </x:c>
      <x:c r="BZ485" s="6" t="n">
        <x:v>46246.610671296294</x:v>
      </x:c>
    </x:row>
    <x:row r="486" ht="18" customHeight="1">
      <x:c r="A486" s="6" t="str">
        <x:v>62</x:v>
      </x:c>
      <x:c r="B486" s="6" t="str">
        <x:v>KALIMANTAN TENGAH</x:v>
      </x:c>
      <x:c r="C486" s="6" t="str">
        <x:v>2024</x:v>
      </x:c>
      <x:c r="D486" s="6" t="str">
        <x:v>5</x:v>
      </x:c>
      <x:c r="E486" s="6" t="str">
        <x:v>2024-05</x:v>
      </x:c>
      <x:c r="F486" s="6" t="str">
        <x:v>441</x:v>
      </x:c>
      <x:c r="G486" s="6" t="str">
        <x:v>124</x:v>
      </x:c>
      <x:c r="H486" s="6" t="str">
        <x:v>230</x:v>
      </x:c>
      <x:c r="I486" s="6" t="str">
        <x:v>36</x:v>
      </x:c>
      <x:c r="J486" s="6" t="str">
        <x:v>23</x:v>
      </x:c>
      <x:c r="K486" s="6" t="str">
        <x:v>1</x:v>
      </x:c>
      <x:c r="L486" s="6" t="str">
        <x:v>5</x:v>
      </x:c>
      <x:c r="M486" s="6" t="str">
        <x:v>22</x:v>
      </x:c>
      <x:c r="N486" s="6" t="str">
        <x:v>441</x:v>
      </x:c>
      <x:c r="O486" s="6" t="str">
        <x:v>0</x:v>
      </x:c>
      <x:c r="P486" s="10" t="n">
        <x:f>F486-M486</x:f>
        <x:v>419</x:v>
      </x:c>
      <x:c r="Q486" s="11" t="n">
        <x:f>IFERROR(M486/F486,"")</x:f>
        <x:v>0.049886621315192746</x:v>
      </x:c>
      <x:c r="R486" s="10" t="n">
        <x:f>G486+H486</x:f>
        <x:v>354</x:v>
      </x:c>
      <x:c r="S486" s="11" t="n">
        <x:f>IFERROR(R486/F486,"")</x:f>
        <x:v>0.8027210884353742</x:v>
      </x:c>
      <x:c r="T486" s="11" t="n">
        <x:f>IFERROR(R486/P486,"")</x:f>
        <x:v>0.8448687350835322</x:v>
      </x:c>
      <x:c r="U486" s="10" t="n">
        <x:f>I486+J486+K486</x:f>
        <x:v>60</x:v>
      </x:c>
      <x:c r="V486" s="11" t="n">
        <x:f>IFERROR(U486/P486,"")</x:f>
        <x:v>0.1431980906921241</x:v>
      </x:c>
      <x:c r="W486" s="9" t="str">
        <x:v>mature_le_5pct_pending</x:v>
      </x:c>
      <x:c r="X486" s="12" t="n">
        <x:f>IFERROR(F486/Z486*100000,"")</x:f>
        <x:v>15.69562586753034</x:v>
      </x:c>
      <x:c r="Y486" s="13" t="n">
        <x:f>LN(Z486)</x:f>
        <x:v>14.84858827404467</x:v>
      </x:c>
      <x:c r="Z486" s="6" t="str">
        <x:v>2809700</x:v>
      </x:c>
      <x:c r="AA486" s="6" t="str">
        <x:v>18.0</x:v>
      </x:c>
      <x:c r="AB486" s="9" t="str">
        <x:v>2024-06-30</x:v>
      </x:c>
      <x:c r="AC486" s="8" t="str">
        <x:v>78.15</x:v>
      </x:c>
      <x:c r="AD486" s="9" t="str">
        <x:v>2024 (Susenas)</x:v>
      </x:c>
      <x:c r="AE486" s="8" t="str">
        <x:v>5.17</x:v>
      </x:c>
      <x:c r="AF486" s="9" t="str">
        <x:v>Maret 2024 (Susenas)</x:v>
      </x:c>
      <x:c r="AG486" s="6" t="str">
        <x:v>27.107137700635395</x:v>
      </x:c>
      <x:c r="AH486" s="8" t="str">
        <x:v>90.8900505785592</x:v>
      </x:c>
      <x:c r="AI486" s="6" t="str">
        <x:v>296.7667142010192</x:v>
      </x:c>
      <x:c r="AJ486" s="6" t="str">
        <x:v>0.9627040411822564</x:v>
      </x:c>
      <x:c r="AK486" s="8" t="str">
        <x:v>2.9201636193665945</x:v>
      </x:c>
      <x:c r="AL486" s="6" t="str">
        <x:v>4.16548455047336</x:v>
      </x:c>
      <x:c r="AM486" s="6" t="str">
        <x:v>3.070907155897228</x:v>
      </x:c>
      <x:c r="AN486" s="6" t="str">
        <x:v>3.3855184419123945</x:v>
      </x:c>
      <x:c r="AO486" s="6" t="str">
        <x:v>1.3155945140462535</x:v>
      </x:c>
      <x:c r="AP486" s="8" t="str">
        <x:v>1.7984005747353509</x:v>
      </x:c>
      <x:c r="AQ486" s="6" t="str">
        <x:v>0.2293609219585584</x:v>
      </x:c>
      <x:c r="AR486" s="6" t="str">
        <x:v>1.1151929658877058</x:v>
      </x:c>
      <x:c r="AS486" s="6" t="str">
        <x:v>1.0476514875272047</x:v>
      </x:c>
      <x:c r="AT486" s="6" t="str">
        <x:v>65.74457570417758</x:v>
      </x:c>
      <x:c r="AU486" s="8" t="str">
        <x:v>0.945348606673671</x:v>
      </x:c>
      <x:c r="AV486" s="6" t="str">
        <x:v>0.1506650358689623</x:v>
      </x:c>
      <x:c r="AW486" s="6" t="str">
        <x:v>0.6515334643964258</x:v>
      </x:c>
      <x:c r="AX486" s="6" t="str">
        <x:v>0.5825157023130191</x:v>
      </x:c>
      <x:c r="AY486" s="6" t="str">
        <x:v>0</x:v>
      </x:c>
      <x:c r="AZ486" s="6" t="str">
        <x:v>1</x:v>
      </x:c>
      <x:c r="BA486" s="9" t="str">
        <x:v>grid_cells_within_BIG_polygon</x:v>
      </x:c>
      <x:c r="BB486" s="6" t="str">
        <x:v>41</x:v>
      </x:c>
      <x:c r="BC486" s="6" t="str">
        <x:v>4</x:v>
      </x:c>
      <x:c r="BD486" s="6" t="str">
        <x:v>4</x:v>
      </x:c>
      <x:c r="BE486" s="6" t="str">
        <x:v>4</x:v>
      </x:c>
      <x:c r="BF486" s="6" t="str">
        <x:v>0</x:v>
      </x:c>
      <x:c r="BG486" s="6" t="str">
        <x:v>0</x:v>
      </x:c>
      <x:c r="BH486" s="6" t="str">
        <x:v>0</x:v>
      </x:c>
      <x:c r="BI486" s="6" t="str">
        <x:v>0</x:v>
      </x:c>
      <x:c r="BJ486" s="6" t="str">
        <x:v>0</x:v>
      </x:c>
      <x:c r="BK486" s="6" t="str">
        <x:v>0</x:v>
      </x:c>
      <x:c r="BL486" s="6" t="str">
        <x:v>0</x:v>
      </x:c>
      <x:c r="BM486" s="6" t="str">
        <x:v>0</x:v>
      </x:c>
      <x:c r="BN486" s="6" t="str">
        <x:v>4</x:v>
      </x:c>
      <x:c r="BO486" s="6" t="str">
        <x:v>0.0</x:v>
      </x:c>
      <x:c r="BP486" s="6" t="str">
        <x:v>4</x:v>
      </x:c>
      <x:c r="BQ486" s="6" t="str">
        <x:v>0.0</x:v>
      </x:c>
      <x:c r="BR486" s="6" t="str">
        <x:v>4</x:v>
      </x:c>
      <x:c r="BS486" s="6" t="str">
        <x:v>0.0</x:v>
      </x:c>
      <x:c r="BT486" s="6" t="str">
        <x:v>4</x:v>
      </x:c>
      <x:c r="BU486" s="6" t="str">
        <x:v>4323.0</x:v>
      </x:c>
      <x:c r="BV486" s="6" t="str">
        <x:v>4</x:v>
      </x:c>
      <x:c r="BW486" s="9" t="str">
        <x:v>operational_snapshot_annual_totals_may_differ</x:v>
      </x:c>
      <x:c r="BX486" s="9" t="str">
        <x:v>official_live_dashboard_snapshot_subject_to_revision</x:v>
      </x:c>
      <x:c r="BY486" s="9" t="str">
        <x:v>https://tbdashboard.sitb.id/ss_data_tbc03so_2024_provinsi_bulanan_list.php</x:v>
      </x:c>
      <x:c r="BZ486" s="6" t="n">
        <x:v>46246.610671296294</x:v>
      </x:c>
    </x:row>
    <x:row r="487" ht="18" customHeight="1">
      <x:c r="A487" s="6" t="str">
        <x:v>62</x:v>
      </x:c>
      <x:c r="B487" s="6" t="str">
        <x:v>KALIMANTAN TENGAH</x:v>
      </x:c>
      <x:c r="C487" s="6" t="str">
        <x:v>2024</x:v>
      </x:c>
      <x:c r="D487" s="6" t="str">
        <x:v>6</x:v>
      </x:c>
      <x:c r="E487" s="6" t="str">
        <x:v>2024-06</x:v>
      </x:c>
      <x:c r="F487" s="6" t="str">
        <x:v>386</x:v>
      </x:c>
      <x:c r="G487" s="6" t="str">
        <x:v>93</x:v>
      </x:c>
      <x:c r="H487" s="6" t="str">
        <x:v>209</x:v>
      </x:c>
      <x:c r="I487" s="6" t="str">
        <x:v>42</x:v>
      </x:c>
      <x:c r="J487" s="6" t="str">
        <x:v>18</x:v>
      </x:c>
      <x:c r="K487" s="6" t="str">
        <x:v>0</x:v>
      </x:c>
      <x:c r="L487" s="6" t="str">
        <x:v>3</x:v>
      </x:c>
      <x:c r="M487" s="6" t="str">
        <x:v>21</x:v>
      </x:c>
      <x:c r="N487" s="6" t="str">
        <x:v>386</x:v>
      </x:c>
      <x:c r="O487" s="6" t="str">
        <x:v>0</x:v>
      </x:c>
      <x:c r="P487" s="10" t="n">
        <x:f>F487-M487</x:f>
        <x:v>365</x:v>
      </x:c>
      <x:c r="Q487" s="11" t="n">
        <x:f>IFERROR(M487/F487,"")</x:f>
        <x:v>0.054404145077720206</x:v>
      </x:c>
      <x:c r="R487" s="10" t="n">
        <x:f>G487+H487</x:f>
        <x:v>302</x:v>
      </x:c>
      <x:c r="S487" s="11" t="n">
        <x:f>IFERROR(R487/F487,"")</x:f>
        <x:v>0.7823834196891192</x:v>
      </x:c>
      <x:c r="T487" s="11" t="n">
        <x:f>IFERROR(R487/P487,"")</x:f>
        <x:v>0.8273972602739726</x:v>
      </x:c>
      <x:c r="U487" s="10" t="n">
        <x:f>I487+J487+K487</x:f>
        <x:v>60</x:v>
      </x:c>
      <x:c r="V487" s="11" t="n">
        <x:f>IFERROR(U487/P487,"")</x:f>
        <x:v>0.1643835616438356</x:v>
      </x:c>
      <x:c r="W487" s="9" t="str">
        <x:v>provisional_gt_5pct_pending</x:v>
      </x:c>
      <x:c r="X487" s="12" t="n">
        <x:f>IFERROR(F487/Z487*100000,"")</x:f>
        <x:v>13.738121507634267</x:v>
      </x:c>
      <x:c r="Y487" s="13" t="n">
        <x:f>LN(Z487)</x:f>
        <x:v>14.84858827404467</x:v>
      </x:c>
      <x:c r="Z487" s="6" t="str">
        <x:v>2809700</x:v>
      </x:c>
      <x:c r="AA487" s="6" t="str">
        <x:v>18.0</x:v>
      </x:c>
      <x:c r="AB487" s="9" t="str">
        <x:v>2024-06-30</x:v>
      </x:c>
      <x:c r="AC487" s="8" t="str">
        <x:v>78.15</x:v>
      </x:c>
      <x:c r="AD487" s="9" t="str">
        <x:v>2024 (Susenas)</x:v>
      </x:c>
      <x:c r="AE487" s="8" t="str">
        <x:v>5.17</x:v>
      </x:c>
      <x:c r="AF487" s="9" t="str">
        <x:v>Maret 2024 (Susenas)</x:v>
      </x:c>
      <x:c r="AG487" s="6" t="str">
        <x:v>26.372784058256183</x:v>
      </x:c>
      <x:c r="AH487" s="8" t="str">
        <x:v>90.3509481682286</x:v>
      </x:c>
      <x:c r="AI487" s="6" t="str">
        <x:v>186.54332041054465</x:v>
      </x:c>
      <x:c r="AJ487" s="6" t="str">
        <x:v>0.7762306244947368</x:v>
      </x:c>
      <x:c r="AK487" s="8" t="str">
        <x:v>2.414839252334203</x:v>
      </x:c>
      <x:c r="AL487" s="6" t="str">
        <x:v>2.9201636193665945</x:v>
      </x:c>
      <x:c r="AM487" s="6" t="str">
        <x:v>4.16548455047336</x:v>
      </x:c>
      <x:c r="AN487" s="6" t="str">
        <x:v>3.16682914072472</x:v>
      </x:c>
      <x:c r="AO487" s="6" t="str">
        <x:v>0.7106777600990455</x:v>
      </x:c>
      <x:c r="AP487" s="8" t="str">
        <x:v>0.6714053625245525</x:v>
      </x:c>
      <x:c r="AQ487" s="6" t="str">
        <x:v>1.7984005747353509</x:v>
      </x:c>
      <x:c r="AR487" s="6" t="str">
        <x:v>0.2293609219585584</x:v>
      </x:c>
      <x:c r="AS487" s="6" t="str">
        <x:v>0.8997222864061537</x:v>
      </x:c>
      <x:c r="AT487" s="6" t="str">
        <x:v>1.160528459733456</x:v>
      </x:c>
      <x:c r="AU487" s="8" t="str">
        <x:v>0.018168502782915</x:v>
      </x:c>
      <x:c r="AV487" s="6" t="str">
        <x:v>0.945348606673671</x:v>
      </x:c>
      <x:c r="AW487" s="6" t="str">
        <x:v>0.1506650358689623</x:v>
      </x:c>
      <x:c r="AX487" s="6" t="str">
        <x:v>0.3713940484418489</x:v>
      </x:c>
      <x:c r="AY487" s="6" t="str">
        <x:v>0</x:v>
      </x:c>
      <x:c r="AZ487" s="6" t="str">
        <x:v>1</x:v>
      </x:c>
      <x:c r="BA487" s="9" t="str">
        <x:v>grid_cells_within_BIG_polygon</x:v>
      </x:c>
      <x:c r="BB487" s="6" t="str">
        <x:v>41</x:v>
      </x:c>
      <x:c r="BC487" s="6" t="str">
        <x:v>2</x:v>
      </x:c>
      <x:c r="BD487" s="6" t="str">
        <x:v>2</x:v>
      </x:c>
      <x:c r="BE487" s="6" t="str">
        <x:v>0</x:v>
      </x:c>
      <x:c r="BF487" s="6" t="str">
        <x:v>0</x:v>
      </x:c>
      <x:c r="BG487" s="6" t="str">
        <x:v>0</x:v>
      </x:c>
      <x:c r="BH487" s="6" t="str">
        <x:v>0</x:v>
      </x:c>
      <x:c r="BI487" s="6" t="str">
        <x:v>2</x:v>
      </x:c>
      <x:c r="BJ487" s="6" t="str">
        <x:v>0</x:v>
      </x:c>
      <x:c r="BK487" s="6" t="str">
        <x:v>0</x:v>
      </x:c>
      <x:c r="BL487" s="6" t="str">
        <x:v>0</x:v>
      </x:c>
      <x:c r="BM487" s="6" t="str">
        <x:v>0</x:v>
      </x:c>
      <x:c r="BN487" s="6" t="str">
        <x:v>2</x:v>
      </x:c>
      <x:c r="BO487" s="6" t="str">
        <x:v>0.0</x:v>
      </x:c>
      <x:c r="BP487" s="6" t="str">
        <x:v>2</x:v>
      </x:c>
      <x:c r="BQ487" s="6" t="str">
        <x:v>0.0</x:v>
      </x:c>
      <x:c r="BR487" s="6" t="str">
        <x:v>2</x:v>
      </x:c>
      <x:c r="BS487" s="6" t="str">
        <x:v>0.0</x:v>
      </x:c>
      <x:c r="BT487" s="6" t="str">
        <x:v>2</x:v>
      </x:c>
      <x:c r="BU487" s="6" t="str"/>
      <x:c r="BV487" s="6" t="str">
        <x:v>0</x:v>
      </x:c>
      <x:c r="BW487" s="9" t="str">
        <x:v>operational_snapshot_annual_totals_may_differ</x:v>
      </x:c>
      <x:c r="BX487" s="9" t="str">
        <x:v>official_live_dashboard_snapshot_subject_to_revision</x:v>
      </x:c>
      <x:c r="BY487" s="9" t="str">
        <x:v>https://tbdashboard.sitb.id/ss_data_tbc03so_2024_provinsi_bulanan_list.php</x:v>
      </x:c>
      <x:c r="BZ487" s="6" t="n">
        <x:v>46246.610671296294</x:v>
      </x:c>
    </x:row>
    <x:row r="488" ht="18" customHeight="1">
      <x:c r="A488" s="6" t="str">
        <x:v>62</x:v>
      </x:c>
      <x:c r="B488" s="6" t="str">
        <x:v>KALIMANTAN TENGAH</x:v>
      </x:c>
      <x:c r="C488" s="6" t="str">
        <x:v>2024</x:v>
      </x:c>
      <x:c r="D488" s="6" t="str">
        <x:v>7</x:v>
      </x:c>
      <x:c r="E488" s="6" t="str">
        <x:v>2024-07</x:v>
      </x:c>
      <x:c r="F488" s="6" t="str">
        <x:v>487</x:v>
      </x:c>
      <x:c r="G488" s="6" t="str">
        <x:v>104</x:v>
      </x:c>
      <x:c r="H488" s="6" t="str">
        <x:v>282</x:v>
      </x:c>
      <x:c r="I488" s="6" t="str">
        <x:v>41</x:v>
      </x:c>
      <x:c r="J488" s="6" t="str">
        <x:v>24</x:v>
      </x:c>
      <x:c r="K488" s="6" t="str">
        <x:v>2</x:v>
      </x:c>
      <x:c r="L488" s="6" t="str">
        <x:v>5</x:v>
      </x:c>
      <x:c r="M488" s="6" t="str">
        <x:v>29</x:v>
      </x:c>
      <x:c r="N488" s="6" t="str">
        <x:v>487</x:v>
      </x:c>
      <x:c r="O488" s="6" t="str">
        <x:v>0</x:v>
      </x:c>
      <x:c r="P488" s="10" t="n">
        <x:f>F488-M488</x:f>
        <x:v>458</x:v>
      </x:c>
      <x:c r="Q488" s="11" t="n">
        <x:f>IFERROR(M488/F488,"")</x:f>
        <x:v>0.059548254620123205</x:v>
      </x:c>
      <x:c r="R488" s="10" t="n">
        <x:f>G488+H488</x:f>
        <x:v>386</x:v>
      </x:c>
      <x:c r="S488" s="11" t="n">
        <x:f>IFERROR(R488/F488,"")</x:f>
        <x:v>0.7926078028747433</x:v>
      </x:c>
      <x:c r="T488" s="11" t="n">
        <x:f>IFERROR(R488/P488,"")</x:f>
        <x:v>0.8427947598253275</x:v>
      </x:c>
      <x:c r="U488" s="10" t="n">
        <x:f>I488+J488+K488</x:f>
        <x:v>67</x:v>
      </x:c>
      <x:c r="V488" s="11" t="n">
        <x:f>IFERROR(U488/P488,"")</x:f>
        <x:v>0.1462882096069869</x:v>
      </x:c>
      <x:c r="W488" s="9" t="str">
        <x:v>provisional_gt_5pct_pending</x:v>
      </x:c>
      <x:c r="X488" s="12" t="n">
        <x:f>IFERROR(F488/Z488*100000,"")</x:f>
        <x:v>17.332811332170692</x:v>
      </x:c>
      <x:c r="Y488" s="13" t="n">
        <x:f>LN(Z488)</x:f>
        <x:v>14.84858827404467</x:v>
      </x:c>
      <x:c r="Z488" s="6" t="str">
        <x:v>2809700</x:v>
      </x:c>
      <x:c r="AA488" s="6" t="str">
        <x:v>18.0</x:v>
      </x:c>
      <x:c r="AB488" s="9" t="str">
        <x:v>2024-06-30</x:v>
      </x:c>
      <x:c r="AC488" s="8" t="str">
        <x:v>78.15</x:v>
      </x:c>
      <x:c r="AD488" s="9" t="str">
        <x:v>2024 (Susenas)</x:v>
      </x:c>
      <x:c r="AE488" s="8" t="str">
        <x:v>5.17</x:v>
      </x:c>
      <x:c r="AF488" s="9" t="str">
        <x:v>Maret 2024 (Susenas)</x:v>
      </x:c>
      <x:c r="AG488" s="6" t="str">
        <x:v>26.08818625838665</x:v>
      </x:c>
      <x:c r="AH488" s="8" t="str">
        <x:v>88.77296401150683</x:v>
      </x:c>
      <x:c r="AI488" s="6" t="str">
        <x:v>121.55758629839949</x:v>
      </x:c>
      <x:c r="AJ488" s="6" t="str">
        <x:v>0.9156626585900902</x:v>
      </x:c>
      <x:c r="AK488" s="8" t="str">
        <x:v>2.702878514709754</x:v>
      </x:c>
      <x:c r="AL488" s="6" t="str">
        <x:v>2.414839252334203</x:v>
      </x:c>
      <x:c r="AM488" s="6" t="str">
        <x:v>2.9201636193665945</x:v>
      </x:c>
      <x:c r="AN488" s="6" t="str">
        <x:v>2.6792937954701848</x:v>
      </x:c>
      <x:c r="AO488" s="6" t="str">
        <x:v>0.3930915679822675</x:v>
      </x:c>
      <x:c r="AP488" s="8" t="str">
        <x:v>0.2493963288412538</x:v>
      </x:c>
      <x:c r="AQ488" s="6" t="str">
        <x:v>0.6714053625245525</x:v>
      </x:c>
      <x:c r="AR488" s="6" t="str">
        <x:v>1.7984005747353509</x:v>
      </x:c>
      <x:c r="AS488" s="6" t="str">
        <x:v>0.906400755367052</x:v>
      </x:c>
      <x:c r="AT488" s="6" t="str">
        <x:v>-16.72550147575852</x:v>
      </x:c>
      <x:c r="AU488" s="8" t="str">
        <x:v>-0.2120132231128886</x:v>
      </x:c>
      <x:c r="AV488" s="6" t="str">
        <x:v>0.018168502782915</x:v>
      </x:c>
      <x:c r="AW488" s="6" t="str">
        <x:v>0.945348606673671</x:v>
      </x:c>
      <x:c r="AX488" s="6" t="str">
        <x:v>0.2505012954478986</x:v>
      </x:c>
      <x:c r="AY488" s="6" t="str">
        <x:v>0</x:v>
      </x:c>
      <x:c r="AZ488" s="6" t="str">
        <x:v>1</x:v>
      </x:c>
      <x:c r="BA488" s="9" t="str">
        <x:v>grid_cells_within_BIG_polygon</x:v>
      </x:c>
      <x:c r="BB488" s="6" t="str">
        <x:v>41</x:v>
      </x:c>
      <x:c r="BC488" s="6" t="str">
        <x:v>6</x:v>
      </x:c>
      <x:c r="BD488" s="6" t="str">
        <x:v>6</x:v>
      </x:c>
      <x:c r="BE488" s="6" t="str">
        <x:v>1</x:v>
      </x:c>
      <x:c r="BF488" s="6" t="str">
        <x:v>0</x:v>
      </x:c>
      <x:c r="BG488" s="6" t="str">
        <x:v>0</x:v>
      </x:c>
      <x:c r="BH488" s="6" t="str">
        <x:v>0</x:v>
      </x:c>
      <x:c r="BI488" s="6" t="str">
        <x:v>5</x:v>
      </x:c>
      <x:c r="BJ488" s="6" t="str">
        <x:v>0</x:v>
      </x:c>
      <x:c r="BK488" s="6" t="str">
        <x:v>0</x:v>
      </x:c>
      <x:c r="BL488" s="6" t="str">
        <x:v>0</x:v>
      </x:c>
      <x:c r="BM488" s="6" t="str">
        <x:v>0</x:v>
      </x:c>
      <x:c r="BN488" s="6" t="str">
        <x:v>6</x:v>
      </x:c>
      <x:c r="BO488" s="6" t="str">
        <x:v>0.0</x:v>
      </x:c>
      <x:c r="BP488" s="6" t="str">
        <x:v>5</x:v>
      </x:c>
      <x:c r="BQ488" s="6" t="str">
        <x:v>0.0</x:v>
      </x:c>
      <x:c r="BR488" s="6" t="str">
        <x:v>5</x:v>
      </x:c>
      <x:c r="BS488" s="6" t="str">
        <x:v>0.0</x:v>
      </x:c>
      <x:c r="BT488" s="6" t="str">
        <x:v>6</x:v>
      </x:c>
      <x:c r="BU488" s="6" t="str">
        <x:v>129.0</x:v>
      </x:c>
      <x:c r="BV488" s="6" t="str">
        <x:v>1</x:v>
      </x:c>
      <x:c r="BW488" s="9" t="str">
        <x:v>operational_snapshot_annual_totals_may_differ</x:v>
      </x:c>
      <x:c r="BX488" s="9" t="str">
        <x:v>official_live_dashboard_snapshot_subject_to_revision</x:v>
      </x:c>
      <x:c r="BY488" s="9" t="str">
        <x:v>https://tbdashboard.sitb.id/ss_data_tbc03so_2024_provinsi_bulanan_list.php</x:v>
      </x:c>
      <x:c r="BZ488" s="6" t="n">
        <x:v>46246.610671296294</x:v>
      </x:c>
    </x:row>
    <x:row r="489" ht="18" customHeight="1">
      <x:c r="A489" s="6" t="str">
        <x:v>62</x:v>
      </x:c>
      <x:c r="B489" s="6" t="str">
        <x:v>KALIMANTAN TENGAH</x:v>
      </x:c>
      <x:c r="C489" s="6" t="str">
        <x:v>2024</x:v>
      </x:c>
      <x:c r="D489" s="6" t="str">
        <x:v>8</x:v>
      </x:c>
      <x:c r="E489" s="6" t="str">
        <x:v>2024-08</x:v>
      </x:c>
      <x:c r="F489" s="6" t="str">
        <x:v>461</x:v>
      </x:c>
      <x:c r="G489" s="6" t="str">
        <x:v>97</x:v>
      </x:c>
      <x:c r="H489" s="6" t="str">
        <x:v>246</x:v>
      </x:c>
      <x:c r="I489" s="6" t="str">
        <x:v>58</x:v>
      </x:c>
      <x:c r="J489" s="6" t="str">
        <x:v>31</x:v>
      </x:c>
      <x:c r="K489" s="6" t="str">
        <x:v>3</x:v>
      </x:c>
      <x:c r="L489" s="6" t="str">
        <x:v>7</x:v>
      </x:c>
      <x:c r="M489" s="6" t="str">
        <x:v>19</x:v>
      </x:c>
      <x:c r="N489" s="6" t="str">
        <x:v>461</x:v>
      </x:c>
      <x:c r="O489" s="6" t="str">
        <x:v>0</x:v>
      </x:c>
      <x:c r="P489" s="10" t="n">
        <x:f>F489-M489</x:f>
        <x:v>442</x:v>
      </x:c>
      <x:c r="Q489" s="11" t="n">
        <x:f>IFERROR(M489/F489,"")</x:f>
        <x:v>0.04121475054229935</x:v>
      </x:c>
      <x:c r="R489" s="10" t="n">
        <x:f>G489+H489</x:f>
        <x:v>343</x:v>
      </x:c>
      <x:c r="S489" s="11" t="n">
        <x:f>IFERROR(R489/F489,"")</x:f>
        <x:v>0.7440347071583514</x:v>
      </x:c>
      <x:c r="T489" s="11" t="n">
        <x:f>IFERROR(R489/P489,"")</x:f>
        <x:v>0.7760180995475113</x:v>
      </x:c>
      <x:c r="U489" s="10" t="n">
        <x:f>I489+J489+K489</x:f>
        <x:v>92</x:v>
      </x:c>
      <x:c r="V489" s="11" t="n">
        <x:f>IFERROR(U489/P489,"")</x:f>
        <x:v>0.2081447963800905</x:v>
      </x:c>
      <x:c r="W489" s="9" t="str">
        <x:v>mature_le_5pct_pending</x:v>
      </x:c>
      <x:c r="X489" s="12" t="n">
        <x:f>IFERROR(F489/Z489*100000,"")</x:f>
        <x:v>16.407445634765278</x:v>
      </x:c>
      <x:c r="Y489" s="13" t="n">
        <x:f>LN(Z489)</x:f>
        <x:v>14.84858827404467</x:v>
      </x:c>
      <x:c r="Z489" s="6" t="str">
        <x:v>2809700</x:v>
      </x:c>
      <x:c r="AA489" s="6" t="str">
        <x:v>18.0</x:v>
      </x:c>
      <x:c r="AB489" s="9" t="str">
        <x:v>2024-06-30</x:v>
      </x:c>
      <x:c r="AC489" s="8" t="str">
        <x:v>78.15</x:v>
      </x:c>
      <x:c r="AD489" s="9" t="str">
        <x:v>2024 (Susenas)</x:v>
      </x:c>
      <x:c r="AE489" s="8" t="str">
        <x:v>5.17</x:v>
      </x:c>
      <x:c r="AF489" s="9" t="str">
        <x:v>Maret 2024 (Susenas)</x:v>
      </x:c>
      <x:c r="AG489" s="6" t="str">
        <x:v>26.00889370948004</x:v>
      </x:c>
      <x:c r="AH489" s="8" t="str">
        <x:v>88.55006378754639</x:v>
      </x:c>
      <x:c r="AI489" s="6" t="str">
        <x:v>188.09852449603903</x:v>
      </x:c>
      <x:c r="AJ489" s="6" t="str">
        <x:v>0.7148315964218952</x:v>
      </x:c>
      <x:c r="AK489" s="8" t="str">
        <x:v>1.7821830434076569</x:v>
      </x:c>
      <x:c r="AL489" s="6" t="str">
        <x:v>2.702878514709754</x:v>
      </x:c>
      <x:c r="AM489" s="6" t="str">
        <x:v>2.414839252334203</x:v>
      </x:c>
      <x:c r="AN489" s="6" t="str">
        <x:v>2.299966936817205</x:v>
      </x:c>
      <x:c r="AO489" s="6" t="str">
        <x:v>2.401342912354409</x:v>
      </x:c>
      <x:c r="AP489" s="8" t="str">
        <x:v>0.9482368730115972</x:v>
      </x:c>
      <x:c r="AQ489" s="6" t="str">
        <x:v>0.2493963288412538</x:v>
      </x:c>
      <x:c r="AR489" s="6" t="str">
        <x:v>0.6714053625245525</x:v>
      </x:c>
      <x:c r="AS489" s="6" t="str">
        <x:v>0.6230128547924676</x:v>
      </x:c>
      <x:c r="AT489" s="6" t="str">
        <x:v>70.62581725969918</x:v>
      </x:c>
      <x:c r="AU489" s="8" t="str">
        <x:v>0.8304675352889279</x:v>
      </x:c>
      <x:c r="AV489" s="6" t="str">
        <x:v>-0.2120132231128886</x:v>
      </x:c>
      <x:c r="AW489" s="6" t="str">
        <x:v>0.018168502782915</x:v>
      </x:c>
      <x:c r="AX489" s="6" t="str">
        <x:v>0.2122076049863175</x:v>
      </x:c>
      <x:c r="AY489" s="6" t="str">
        <x:v>0</x:v>
      </x:c>
      <x:c r="AZ489" s="6" t="str">
        <x:v>1</x:v>
      </x:c>
      <x:c r="BA489" s="9" t="str">
        <x:v>grid_cells_within_BIG_polygon</x:v>
      </x:c>
      <x:c r="BB489" s="6" t="str">
        <x:v>41</x:v>
      </x:c>
      <x:c r="BC489" s="6" t="str">
        <x:v>2</x:v>
      </x:c>
      <x:c r="BD489" s="6" t="str">
        <x:v>2</x:v>
      </x:c>
      <x:c r="BE489" s="6" t="str">
        <x:v>2</x:v>
      </x:c>
      <x:c r="BF489" s="6" t="str">
        <x:v>0</x:v>
      </x:c>
      <x:c r="BG489" s="6" t="str">
        <x:v>0</x:v>
      </x:c>
      <x:c r="BH489" s="6" t="str">
        <x:v>0</x:v>
      </x:c>
      <x:c r="BI489" s="6" t="str">
        <x:v>0</x:v>
      </x:c>
      <x:c r="BJ489" s="6" t="str">
        <x:v>0</x:v>
      </x:c>
      <x:c r="BK489" s="6" t="str">
        <x:v>0</x:v>
      </x:c>
      <x:c r="BL489" s="6" t="str">
        <x:v>0</x:v>
      </x:c>
      <x:c r="BM489" s="6" t="str">
        <x:v>0</x:v>
      </x:c>
      <x:c r="BN489" s="6" t="str">
        <x:v>2</x:v>
      </x:c>
      <x:c r="BO489" s="6" t="str">
        <x:v>0.0</x:v>
      </x:c>
      <x:c r="BP489" s="6" t="str">
        <x:v>2</x:v>
      </x:c>
      <x:c r="BQ489" s="6" t="str">
        <x:v>0.0</x:v>
      </x:c>
      <x:c r="BR489" s="6" t="str">
        <x:v>2</x:v>
      </x:c>
      <x:c r="BS489" s="6" t="str">
        <x:v>0.0</x:v>
      </x:c>
      <x:c r="BT489" s="6" t="str">
        <x:v>2</x:v>
      </x:c>
      <x:c r="BU489" s="6" t="str">
        <x:v>110.0</x:v>
      </x:c>
      <x:c r="BV489" s="6" t="str">
        <x:v>2</x:v>
      </x:c>
      <x:c r="BW489" s="9" t="str">
        <x:v>operational_snapshot_annual_totals_may_differ</x:v>
      </x:c>
      <x:c r="BX489" s="9" t="str">
        <x:v>official_live_dashboard_snapshot_subject_to_revision</x:v>
      </x:c>
      <x:c r="BY489" s="9" t="str">
        <x:v>https://tbdashboard.sitb.id/ss_data_tbc03so_2024_provinsi_bulanan_list.php</x:v>
      </x:c>
      <x:c r="BZ489" s="6" t="n">
        <x:v>46246.610671296294</x:v>
      </x:c>
    </x:row>
    <x:row r="490" ht="18" customHeight="1">
      <x:c r="A490" s="6" t="str">
        <x:v>62</x:v>
      </x:c>
      <x:c r="B490" s="6" t="str">
        <x:v>KALIMANTAN TENGAH</x:v>
      </x:c>
      <x:c r="C490" s="6" t="str">
        <x:v>2024</x:v>
      </x:c>
      <x:c r="D490" s="6" t="str">
        <x:v>9</x:v>
      </x:c>
      <x:c r="E490" s="6" t="str">
        <x:v>2024-09</x:v>
      </x:c>
      <x:c r="F490" s="6" t="str">
        <x:v>455</x:v>
      </x:c>
      <x:c r="G490" s="6" t="str">
        <x:v>98</x:v>
      </x:c>
      <x:c r="H490" s="6" t="str">
        <x:v>230</x:v>
      </x:c>
      <x:c r="I490" s="6" t="str">
        <x:v>50</x:v>
      </x:c>
      <x:c r="J490" s="6" t="str">
        <x:v>21</x:v>
      </x:c>
      <x:c r="K490" s="6" t="str">
        <x:v>4</x:v>
      </x:c>
      <x:c r="L490" s="6" t="str">
        <x:v>11</x:v>
      </x:c>
      <x:c r="M490" s="6" t="str">
        <x:v>41</x:v>
      </x:c>
      <x:c r="N490" s="6" t="str">
        <x:v>455</x:v>
      </x:c>
      <x:c r="O490" s="6" t="str">
        <x:v>0</x:v>
      </x:c>
      <x:c r="P490" s="10" t="n">
        <x:f>F490-M490</x:f>
        <x:v>414</x:v>
      </x:c>
      <x:c r="Q490" s="11" t="n">
        <x:f>IFERROR(M490/F490,"")</x:f>
        <x:v>0.09010989010989011</x:v>
      </x:c>
      <x:c r="R490" s="10" t="n">
        <x:f>G490+H490</x:f>
        <x:v>328</x:v>
      </x:c>
      <x:c r="S490" s="11" t="n">
        <x:f>IFERROR(R490/F490,"")</x:f>
        <x:v>0.7208791208791209</x:v>
      </x:c>
      <x:c r="T490" s="11" t="n">
        <x:f>IFERROR(R490/P490,"")</x:f>
        <x:v>0.7922705314009661</x:v>
      </x:c>
      <x:c r="U490" s="10" t="n">
        <x:f>I490+J490+K490</x:f>
        <x:v>75</x:v>
      </x:c>
      <x:c r="V490" s="11" t="n">
        <x:f>IFERROR(U490/P490,"")</x:f>
        <x:v>0.18115942028985507</x:v>
      </x:c>
      <x:c r="W490" s="9" t="str">
        <x:v>provisional_gt_5pct_pending</x:v>
      </x:c>
      <x:c r="X490" s="12" t="n">
        <x:f>IFERROR(F490/Z490*100000,"")</x:f>
        <x:v>16.193899704594795</x:v>
      </x:c>
      <x:c r="Y490" s="13" t="n">
        <x:f>LN(Z490)</x:f>
        <x:v>14.84858827404467</x:v>
      </x:c>
      <x:c r="Z490" s="6" t="str">
        <x:v>2809700</x:v>
      </x:c>
      <x:c r="AA490" s="6" t="str">
        <x:v>18.0</x:v>
      </x:c>
      <x:c r="AB490" s="9" t="str">
        <x:v>2024-06-30</x:v>
      </x:c>
      <x:c r="AC490" s="8" t="str">
        <x:v>78.15</x:v>
      </x:c>
      <x:c r="AD490" s="9" t="str">
        <x:v>2024 (Susenas)</x:v>
      </x:c>
      <x:c r="AE490" s="8" t="str">
        <x:v>5.17</x:v>
      </x:c>
      <x:c r="AF490" s="9" t="str">
        <x:v>Maret 2024 (Susenas)</x:v>
      </x:c>
      <x:c r="AG490" s="6" t="str">
        <x:v>26.52493427887324</x:v>
      </x:c>
      <x:c r="AH490" s="8" t="str">
        <x:v>85.23596705980148</x:v>
      </x:c>
      <x:c r="AI490" s="6" t="str">
        <x:v>178.5072100475661</x:v>
      </x:c>
      <x:c r="AJ490" s="6" t="str">
        <x:v>0.8377137534398571</x:v>
      </x:c>
      <x:c r="AK490" s="8" t="str">
        <x:v>1.6920311577895355</x:v>
      </x:c>
      <x:c r="AL490" s="6" t="str">
        <x:v>1.7821830434076569</x:v>
      </x:c>
      <x:c r="AM490" s="6" t="str">
        <x:v>2.702878514709754</x:v>
      </x:c>
      <x:c r="AN490" s="6" t="str">
        <x:v>2.059030905302316</x:v>
      </x:c>
      <x:c r="AO490" s="6" t="str">
        <x:v>0.598965391218357</x:v>
      </x:c>
      <x:c r="AP490" s="8" t="str">
        <x:v>0.1793348745258355</x:v>
      </x:c>
      <x:c r="AQ490" s="6" t="str">
        <x:v>0.9482368730115972</x:v>
      </x:c>
      <x:c r="AR490" s="6" t="str">
        <x:v>0.2493963288412538</x:v>
      </x:c>
      <x:c r="AS490" s="6" t="str">
        <x:v>0.4589893587928952</x:v>
      </x:c>
      <x:c r="AT490" s="6" t="str">
        <x:v>41.31693392106283</x:v>
      </x:c>
      <x:c r="AU490" s="8" t="str">
        <x:v>0.4801788337121704</x:v>
      </x:c>
      <x:c r="AV490" s="6" t="str">
        <x:v>0.8304675352889279</x:v>
      </x:c>
      <x:c r="AW490" s="6" t="str">
        <x:v>-0.2120132231128886</x:v>
      </x:c>
      <x:c r="AX490" s="6" t="str">
        <x:v>0.3662110486294027</x:v>
      </x:c>
      <x:c r="AY490" s="6" t="str">
        <x:v>0</x:v>
      </x:c>
      <x:c r="AZ490" s="6" t="str">
        <x:v>1</x:v>
      </x:c>
      <x:c r="BA490" s="9" t="str">
        <x:v>grid_cells_within_BIG_polygon</x:v>
      </x:c>
      <x:c r="BB490" s="6" t="str">
        <x:v>41</x:v>
      </x:c>
      <x:c r="BC490" s="6" t="str">
        <x:v>3</x:v>
      </x:c>
      <x:c r="BD490" s="6" t="str">
        <x:v>3</x:v>
      </x:c>
      <x:c r="BE490" s="6" t="str">
        <x:v>1</x:v>
      </x:c>
      <x:c r="BF490" s="6" t="str">
        <x:v>0</x:v>
      </x:c>
      <x:c r="BG490" s="6" t="str">
        <x:v>0</x:v>
      </x:c>
      <x:c r="BH490" s="6" t="str">
        <x:v>0</x:v>
      </x:c>
      <x:c r="BI490" s="6" t="str">
        <x:v>2</x:v>
      </x:c>
      <x:c r="BJ490" s="6" t="str">
        <x:v>0</x:v>
      </x:c>
      <x:c r="BK490" s="6" t="str">
        <x:v>0</x:v>
      </x:c>
      <x:c r="BL490" s="6" t="str">
        <x:v>0</x:v>
      </x:c>
      <x:c r="BM490" s="6" t="str">
        <x:v>0</x:v>
      </x:c>
      <x:c r="BN490" s="6" t="str">
        <x:v>3</x:v>
      </x:c>
      <x:c r="BO490" s="6" t="str">
        <x:v>0.0</x:v>
      </x:c>
      <x:c r="BP490" s="6" t="str">
        <x:v>3</x:v>
      </x:c>
      <x:c r="BQ490" s="6" t="str">
        <x:v>0.0</x:v>
      </x:c>
      <x:c r="BR490" s="6" t="str">
        <x:v>3</x:v>
      </x:c>
      <x:c r="BS490" s="6" t="str">
        <x:v>0.0</x:v>
      </x:c>
      <x:c r="BT490" s="6" t="str">
        <x:v>3</x:v>
      </x:c>
      <x:c r="BU490" s="6" t="str">
        <x:v>242.0</x:v>
      </x:c>
      <x:c r="BV490" s="6" t="str">
        <x:v>1</x:v>
      </x:c>
      <x:c r="BW490" s="9" t="str">
        <x:v>operational_snapshot_annual_totals_may_differ</x:v>
      </x:c>
      <x:c r="BX490" s="9" t="str">
        <x:v>official_live_dashboard_snapshot_subject_to_revision</x:v>
      </x:c>
      <x:c r="BY490" s="9" t="str">
        <x:v>https://tbdashboard.sitb.id/ss_data_tbc03so_2024_provinsi_bulanan_list.php</x:v>
      </x:c>
      <x:c r="BZ490" s="6" t="n">
        <x:v>46246.610671296294</x:v>
      </x:c>
    </x:row>
    <x:row r="491" ht="18" customHeight="1">
      <x:c r="A491" s="6" t="str">
        <x:v>62</x:v>
      </x:c>
      <x:c r="B491" s="6" t="str">
        <x:v>KALIMANTAN TENGAH</x:v>
      </x:c>
      <x:c r="C491" s="6" t="str">
        <x:v>2024</x:v>
      </x:c>
      <x:c r="D491" s="6" t="str">
        <x:v>10</x:v>
      </x:c>
      <x:c r="E491" s="6" t="str">
        <x:v>2024-10</x:v>
      </x:c>
      <x:c r="F491" s="6" t="str">
        <x:v>426</x:v>
      </x:c>
      <x:c r="G491" s="6" t="str">
        <x:v>90</x:v>
      </x:c>
      <x:c r="H491" s="6" t="str">
        <x:v>240</x:v>
      </x:c>
      <x:c r="I491" s="6" t="str">
        <x:v>36</x:v>
      </x:c>
      <x:c r="J491" s="6" t="str">
        <x:v>22</x:v>
      </x:c>
      <x:c r="K491" s="6" t="str">
        <x:v>2</x:v>
      </x:c>
      <x:c r="L491" s="6" t="str">
        <x:v>4</x:v>
      </x:c>
      <x:c r="M491" s="6" t="str">
        <x:v>32</x:v>
      </x:c>
      <x:c r="N491" s="6" t="str">
        <x:v>426</x:v>
      </x:c>
      <x:c r="O491" s="6" t="str">
        <x:v>0</x:v>
      </x:c>
      <x:c r="P491" s="10" t="n">
        <x:f>F491-M491</x:f>
        <x:v>394</x:v>
      </x:c>
      <x:c r="Q491" s="11" t="n">
        <x:f>IFERROR(M491/F491,"")</x:f>
        <x:v>0.07511737089201878</x:v>
      </x:c>
      <x:c r="R491" s="10" t="n">
        <x:f>G491+H491</x:f>
        <x:v>330</x:v>
      </x:c>
      <x:c r="S491" s="11" t="n">
        <x:f>IFERROR(R491/F491,"")</x:f>
        <x:v>0.7746478873239436</x:v>
      </x:c>
      <x:c r="T491" s="11" t="n">
        <x:f>IFERROR(R491/P491,"")</x:f>
        <x:v>0.8375634517766497</x:v>
      </x:c>
      <x:c r="U491" s="10" t="n">
        <x:f>I491+J491+K491</x:f>
        <x:v>60</x:v>
      </x:c>
      <x:c r="V491" s="11" t="n">
        <x:f>IFERROR(U491/P491,"")</x:f>
        <x:v>0.15228426395939088</x:v>
      </x:c>
      <x:c r="W491" s="9" t="str">
        <x:v>provisional_gt_5pct_pending</x:v>
      </x:c>
      <x:c r="X491" s="12" t="n">
        <x:f>IFERROR(F491/Z491*100000,"")</x:f>
        <x:v>15.16176104210414</x:v>
      </x:c>
      <x:c r="Y491" s="13" t="n">
        <x:f>LN(Z491)</x:f>
        <x:v>14.84858827404467</x:v>
      </x:c>
      <x:c r="Z491" s="6" t="str">
        <x:v>2809700</x:v>
      </x:c>
      <x:c r="AA491" s="6" t="str">
        <x:v>18.0</x:v>
      </x:c>
      <x:c r="AB491" s="9" t="str">
        <x:v>2024-06-30</x:v>
      </x:c>
      <x:c r="AC491" s="8" t="str">
        <x:v>78.15</x:v>
      </x:c>
      <x:c r="AD491" s="9" t="str">
        <x:v>2024 (Susenas)</x:v>
      </x:c>
      <x:c r="AE491" s="8" t="str">
        <x:v>5.17</x:v>
      </x:c>
      <x:c r="AF491" s="9" t="str">
        <x:v>Maret 2024 (Susenas)</x:v>
      </x:c>
      <x:c r="AG491" s="6" t="str">
        <x:v>26.705104376828285</x:v>
      </x:c>
      <x:c r="AH491" s="8" t="str">
        <x:v>86.53726637344958</x:v>
      </x:c>
      <x:c r="AI491" s="6" t="str">
        <x:v>222.983592680169</x:v>
      </x:c>
      <x:c r="AJ491" s="6" t="str">
        <x:v>0.6362421920464705</x:v>
      </x:c>
      <x:c r="AK491" s="8" t="str">
        <x:v>1.662525973276315</x:v>
      </x:c>
      <x:c r="AL491" s="6" t="str">
        <x:v>1.6920311577895355</x:v>
      </x:c>
      <x:c r="AM491" s="6" t="str">
        <x:v>1.7821830434076569</x:v>
      </x:c>
      <x:c r="AN491" s="6" t="str">
        <x:v>1.712246724824503</x:v>
      </x:c>
      <x:c r="AO491" s="6" t="str">
        <x:v>1.1049812176354408</x:v>
      </x:c>
      <x:c r="AP491" s="8" t="str">
        <x:v>0.3301699223942151</x:v>
      </x:c>
      <x:c r="AQ491" s="6" t="str">
        <x:v>0.1793348745258355</x:v>
      </x:c>
      <x:c r="AR491" s="6" t="str">
        <x:v>0.9482368730115972</x:v>
      </x:c>
      <x:c r="AS491" s="6" t="str">
        <x:v>0.4859138899772157</x:v>
      </x:c>
      <x:c r="AT491" s="6" t="str">
        <x:v>8.057989996074951</x:v>
      </x:c>
      <x:c r="AU491" s="8" t="str">
        <x:v>0.0851227190668182</x:v>
      </x:c>
      <x:c r="AV491" s="6" t="str">
        <x:v>0.4801788337121704</x:v>
      </x:c>
      <x:c r="AW491" s="6" t="str">
        <x:v>0.8304675352889279</x:v>
      </x:c>
      <x:c r="AX491" s="6" t="str">
        <x:v>0.4652563626893049</x:v>
      </x:c>
      <x:c r="AY491" s="6" t="str">
        <x:v>0</x:v>
      </x:c>
      <x:c r="AZ491" s="6" t="str">
        <x:v>1</x:v>
      </x:c>
      <x:c r="BA491" s="9" t="str">
        <x:v>grid_cells_within_BIG_polygon</x:v>
      </x:c>
      <x:c r="BB491" s="6" t="str">
        <x:v>41</x:v>
      </x:c>
      <x:c r="BC491" s="6" t="str">
        <x:v>6</x:v>
      </x:c>
      <x:c r="BD491" s="6" t="str">
        <x:v>6</x:v>
      </x:c>
      <x:c r="BE491" s="6" t="str">
        <x:v>6</x:v>
      </x:c>
      <x:c r="BF491" s="6" t="str">
        <x:v>0</x:v>
      </x:c>
      <x:c r="BG491" s="6" t="str">
        <x:v>0</x:v>
      </x:c>
      <x:c r="BH491" s="6" t="str">
        <x:v>0</x:v>
      </x:c>
      <x:c r="BI491" s="6" t="str">
        <x:v>0</x:v>
      </x:c>
      <x:c r="BJ491" s="6" t="str">
        <x:v>0</x:v>
      </x:c>
      <x:c r="BK491" s="6" t="str">
        <x:v>0</x:v>
      </x:c>
      <x:c r="BL491" s="6" t="str">
        <x:v>0</x:v>
      </x:c>
      <x:c r="BM491" s="6" t="str">
        <x:v>0</x:v>
      </x:c>
      <x:c r="BN491" s="6" t="str">
        <x:v>6</x:v>
      </x:c>
      <x:c r="BO491" s="6" t="str">
        <x:v>0.0</x:v>
      </x:c>
      <x:c r="BP491" s="6" t="str">
        <x:v>5</x:v>
      </x:c>
      <x:c r="BQ491" s="6" t="str">
        <x:v>0.0</x:v>
      </x:c>
      <x:c r="BR491" s="6" t="str">
        <x:v>5</x:v>
      </x:c>
      <x:c r="BS491" s="6" t="str">
        <x:v>0.0</x:v>
      </x:c>
      <x:c r="BT491" s="6" t="str">
        <x:v>6</x:v>
      </x:c>
      <x:c r="BU491" s="6" t="str">
        <x:v>21760.0</x:v>
      </x:c>
      <x:c r="BV491" s="6" t="str">
        <x:v>6</x:v>
      </x:c>
      <x:c r="BW491" s="9" t="str">
        <x:v>operational_snapshot_annual_totals_may_differ</x:v>
      </x:c>
      <x:c r="BX491" s="9" t="str">
        <x:v>official_live_dashboard_snapshot_subject_to_revision</x:v>
      </x:c>
      <x:c r="BY491" s="9" t="str">
        <x:v>https://tbdashboard.sitb.id/ss_data_tbc03so_2024_provinsi_bulanan_list.php</x:v>
      </x:c>
      <x:c r="BZ491" s="6" t="n">
        <x:v>46246.610671296294</x:v>
      </x:c>
    </x:row>
    <x:row r="492" ht="18" customHeight="1">
      <x:c r="A492" s="6" t="str">
        <x:v>62</x:v>
      </x:c>
      <x:c r="B492" s="6" t="str">
        <x:v>KALIMANTAN TENGAH</x:v>
      </x:c>
      <x:c r="C492" s="6" t="str">
        <x:v>2024</x:v>
      </x:c>
      <x:c r="D492" s="6" t="str">
        <x:v>11</x:v>
      </x:c>
      <x:c r="E492" s="6" t="str">
        <x:v>2024-11</x:v>
      </x:c>
      <x:c r="F492" s="6" t="str">
        <x:v>474</x:v>
      </x:c>
      <x:c r="G492" s="6" t="str">
        <x:v>95</x:v>
      </x:c>
      <x:c r="H492" s="6" t="str">
        <x:v>255</x:v>
      </x:c>
      <x:c r="I492" s="6" t="str">
        <x:v>44</x:v>
      </x:c>
      <x:c r="J492" s="6" t="str">
        <x:v>32</x:v>
      </x:c>
      <x:c r="K492" s="6" t="str">
        <x:v>2</x:v>
      </x:c>
      <x:c r="L492" s="6" t="str">
        <x:v>7</x:v>
      </x:c>
      <x:c r="M492" s="6" t="str">
        <x:v>39</x:v>
      </x:c>
      <x:c r="N492" s="6" t="str">
        <x:v>474</x:v>
      </x:c>
      <x:c r="O492" s="6" t="str">
        <x:v>0</x:v>
      </x:c>
      <x:c r="P492" s="10" t="n">
        <x:f>F492-M492</x:f>
        <x:v>435</x:v>
      </x:c>
      <x:c r="Q492" s="11" t="n">
        <x:f>IFERROR(M492/F492,"")</x:f>
        <x:v>0.08227848101265822</x:v>
      </x:c>
      <x:c r="R492" s="10" t="n">
        <x:f>G492+H492</x:f>
        <x:v>350</x:v>
      </x:c>
      <x:c r="S492" s="11" t="n">
        <x:f>IFERROR(R492/F492,"")</x:f>
        <x:v>0.7383966244725738</x:v>
      </x:c>
      <x:c r="T492" s="11" t="n">
        <x:f>IFERROR(R492/P492,"")</x:f>
        <x:v>0.8045977011494253</x:v>
      </x:c>
      <x:c r="U492" s="10" t="n">
        <x:f>I492+J492+K492</x:f>
        <x:v>78</x:v>
      </x:c>
      <x:c r="V492" s="11" t="n">
        <x:f>IFERROR(U492/P492,"")</x:f>
        <x:v>0.1793103448275862</x:v>
      </x:c>
      <x:c r="W492" s="9" t="str">
        <x:v>provisional_gt_5pct_pending</x:v>
      </x:c>
      <x:c r="X492" s="12" t="n">
        <x:f>IFERROR(F492/Z492*100000,"")</x:f>
        <x:v>16.870128483467983</x:v>
      </x:c>
      <x:c r="Y492" s="13" t="n">
        <x:f>LN(Z492)</x:f>
        <x:v>14.84858827404467</x:v>
      </x:c>
      <x:c r="Z492" s="6" t="str">
        <x:v>2809700</x:v>
      </x:c>
      <x:c r="AA492" s="6" t="str">
        <x:v>18.0</x:v>
      </x:c>
      <x:c r="AB492" s="9" t="str">
        <x:v>2024-06-30</x:v>
      </x:c>
      <x:c r="AC492" s="8" t="str">
        <x:v>78.15</x:v>
      </x:c>
      <x:c r="AD492" s="9" t="str">
        <x:v>2024 (Susenas)</x:v>
      </x:c>
      <x:c r="AE492" s="8" t="str">
        <x:v>5.17</x:v>
      </x:c>
      <x:c r="AF492" s="9" t="str">
        <x:v>Maret 2024 (Susenas)</x:v>
      </x:c>
      <x:c r="AG492" s="6" t="str">
        <x:v>26.76269872828606</x:v>
      </x:c>
      <x:c r="AH492" s="8" t="str">
        <x:v>88.38281731750445</x:v>
      </x:c>
      <x:c r="AI492" s="6" t="str">
        <x:v>469.4270715960229</x:v>
      </x:c>
      <x:c r="AJ492" s="6" t="str">
        <x:v>0.7944005310867404</x:v>
      </x:c>
      <x:c r="AK492" s="8" t="str">
        <x:v>2.7307513860429617</x:v>
      </x:c>
      <x:c r="AL492" s="6" t="str">
        <x:v>1.662525973276315</x:v>
      </x:c>
      <x:c r="AM492" s="6" t="str">
        <x:v>1.6920311577895355</x:v>
      </x:c>
      <x:c r="AN492" s="6" t="str">
        <x:v>2.0284361723696045</x:v>
      </x:c>
      <x:c r="AO492" s="6" t="str">
        <x:v>0.1360967863288777</x:v>
      </x:c>
      <x:c r="AP492" s="8" t="str">
        <x:v>0.0895698531199545</x:v>
      </x:c>
      <x:c r="AQ492" s="6" t="str">
        <x:v>0.3301699223942151</x:v>
      </x:c>
      <x:c r="AR492" s="6" t="str">
        <x:v>0.1793348745258355</x:v>
      </x:c>
      <x:c r="AS492" s="6" t="str">
        <x:v>0.1996915500133348</x:v>
      </x:c>
      <x:c r="AT492" s="6" t="str">
        <x:v>163.74638584492044</x:v>
      </x:c>
      <x:c r="AU492" s="8" t="str">
        <x:v>2.624726800853729</x:v>
      </x:c>
      <x:c r="AV492" s="6" t="str">
        <x:v>0.0851227190668182</x:v>
      </x:c>
      <x:c r="AW492" s="6" t="str">
        <x:v>0.4801788337121704</x:v>
      </x:c>
      <x:c r="AX492" s="6" t="str">
        <x:v>1.0633427845442387</x:v>
      </x:c>
      <x:c r="AY492" s="6" t="str">
        <x:v>1</x:v>
      </x:c>
      <x:c r="AZ492" s="6" t="str">
        <x:v>1</x:v>
      </x:c>
      <x:c r="BA492" s="9" t="str">
        <x:v>grid_cells_within_BIG_polygon</x:v>
      </x:c>
      <x:c r="BB492" s="6" t="str">
        <x:v>41</x:v>
      </x:c>
      <x:c r="BC492" s="6" t="str">
        <x:v>7</x:v>
      </x:c>
      <x:c r="BD492" s="6" t="str">
        <x:v>7</x:v>
      </x:c>
      <x:c r="BE492" s="6" t="str">
        <x:v>7</x:v>
      </x:c>
      <x:c r="BF492" s="6" t="str">
        <x:v>0</x:v>
      </x:c>
      <x:c r="BG492" s="6" t="str">
        <x:v>0</x:v>
      </x:c>
      <x:c r="BH492" s="6" t="str">
        <x:v>0</x:v>
      </x:c>
      <x:c r="BI492" s="6" t="str">
        <x:v>0</x:v>
      </x:c>
      <x:c r="BJ492" s="6" t="str">
        <x:v>0</x:v>
      </x:c>
      <x:c r="BK492" s="6" t="str">
        <x:v>0</x:v>
      </x:c>
      <x:c r="BL492" s="6" t="str">
        <x:v>0</x:v>
      </x:c>
      <x:c r="BM492" s="6" t="str">
        <x:v>0</x:v>
      </x:c>
      <x:c r="BN492" s="6" t="str">
        <x:v>7</x:v>
      </x:c>
      <x:c r="BO492" s="6" t="str">
        <x:v>0.0</x:v>
      </x:c>
      <x:c r="BP492" s="6" t="str">
        <x:v>4</x:v>
      </x:c>
      <x:c r="BQ492" s="6" t="str">
        <x:v>2.0</x:v>
      </x:c>
      <x:c r="BR492" s="6" t="str">
        <x:v>4</x:v>
      </x:c>
      <x:c r="BS492" s="6" t="str">
        <x:v>0.0</x:v>
      </x:c>
      <x:c r="BT492" s="6" t="str">
        <x:v>7</x:v>
      </x:c>
      <x:c r="BU492" s="6" t="str">
        <x:v>4929.0</x:v>
      </x:c>
      <x:c r="BV492" s="6" t="str">
        <x:v>7</x:v>
      </x:c>
      <x:c r="BW492" s="9" t="str">
        <x:v>operational_snapshot_annual_totals_may_differ</x:v>
      </x:c>
      <x:c r="BX492" s="9" t="str">
        <x:v>official_live_dashboard_snapshot_subject_to_revision</x:v>
      </x:c>
      <x:c r="BY492" s="9" t="str">
        <x:v>https://tbdashboard.sitb.id/ss_data_tbc03so_2024_provinsi_bulanan_list.php</x:v>
      </x:c>
      <x:c r="BZ492" s="6" t="n">
        <x:v>46246.610671296294</x:v>
      </x:c>
    </x:row>
    <x:row r="493" ht="18" customHeight="1">
      <x:c r="A493" s="6" t="str">
        <x:v>62</x:v>
      </x:c>
      <x:c r="B493" s="6" t="str">
        <x:v>KALIMANTAN TENGAH</x:v>
      </x:c>
      <x:c r="C493" s="6" t="str">
        <x:v>2024</x:v>
      </x:c>
      <x:c r="D493" s="6" t="str">
        <x:v>12</x:v>
      </x:c>
      <x:c r="E493" s="6" t="str">
        <x:v>2024-12</x:v>
      </x:c>
      <x:c r="F493" s="6" t="str">
        <x:v>411</x:v>
      </x:c>
      <x:c r="G493" s="6" t="str">
        <x:v>89</x:v>
      </x:c>
      <x:c r="H493" s="6" t="str">
        <x:v>216</x:v>
      </x:c>
      <x:c r="I493" s="6" t="str">
        <x:v>55</x:v>
      </x:c>
      <x:c r="J493" s="6" t="str">
        <x:v>23</x:v>
      </x:c>
      <x:c r="K493" s="6" t="str">
        <x:v>1</x:v>
      </x:c>
      <x:c r="L493" s="6" t="str">
        <x:v>4</x:v>
      </x:c>
      <x:c r="M493" s="6" t="str">
        <x:v>23</x:v>
      </x:c>
      <x:c r="N493" s="6" t="str">
        <x:v>411</x:v>
      </x:c>
      <x:c r="O493" s="6" t="str">
        <x:v>0</x:v>
      </x:c>
      <x:c r="P493" s="10" t="n">
        <x:f>F493-M493</x:f>
        <x:v>388</x:v>
      </x:c>
      <x:c r="Q493" s="11" t="n">
        <x:f>IFERROR(M493/F493,"")</x:f>
        <x:v>0.05596107055961071</x:v>
      </x:c>
      <x:c r="R493" s="10" t="n">
        <x:f>G493+H493</x:f>
        <x:v>305</x:v>
      </x:c>
      <x:c r="S493" s="11" t="n">
        <x:f>IFERROR(R493/F493,"")</x:f>
        <x:v>0.7420924574209246</x:v>
      </x:c>
      <x:c r="T493" s="11" t="n">
        <x:f>IFERROR(R493/P493,"")</x:f>
        <x:v>0.7860824742268041</x:v>
      </x:c>
      <x:c r="U493" s="10" t="n">
        <x:f>I493+J493+K493</x:f>
        <x:v>79</x:v>
      </x:c>
      <x:c r="V493" s="11" t="n">
        <x:f>IFERROR(U493/P493,"")</x:f>
        <x:v>0.2036082474226804</x:v>
      </x:c>
      <x:c r="W493" s="9" t="str">
        <x:v>provisional_gt_5pct_pending</x:v>
      </x:c>
      <x:c r="X493" s="12" t="n">
        <x:f>IFERROR(F493/Z493*100000,"")</x:f>
        <x:v>14.627896216677936</x:v>
      </x:c>
      <x:c r="Y493" s="13" t="n">
        <x:f>LN(Z493)</x:f>
        <x:v>14.84858827404467</x:v>
      </x:c>
      <x:c r="Z493" s="6" t="str">
        <x:v>2809700</x:v>
      </x:c>
      <x:c r="AA493" s="6" t="str">
        <x:v>18.0</x:v>
      </x:c>
      <x:c r="AB493" s="9" t="str">
        <x:v>2024-06-30</x:v>
      </x:c>
      <x:c r="AC493" s="8" t="str">
        <x:v>78.15</x:v>
      </x:c>
      <x:c r="AD493" s="9" t="str">
        <x:v>2024 (Susenas)</x:v>
      </x:c>
      <x:c r="AE493" s="8" t="str">
        <x:v>5.17</x:v>
      </x:c>
      <x:c r="AF493" s="9" t="str">
        <x:v>Maret 2024 (Susenas)</x:v>
      </x:c>
      <x:c r="AG493" s="6" t="str">
        <x:v>26.123784746736742</x:v>
      </x:c>
      <x:c r="AH493" s="8" t="str">
        <x:v>90.97813332082556</x:v>
      </x:c>
      <x:c r="AI493" s="6" t="str">
        <x:v>378.849680569404</x:v>
      </x:c>
      <x:c r="AJ493" s="6" t="str">
        <x:v>0.4979998762938038</x:v>
      </x:c>
      <x:c r="AK493" s="8" t="str">
        <x:v>1.7979652317849402</x:v>
      </x:c>
      <x:c r="AL493" s="6" t="str">
        <x:v>2.7307513860429617</x:v>
      </x:c>
      <x:c r="AM493" s="6" t="str">
        <x:v>1.662525973276315</x:v>
      </x:c>
      <x:c r="AN493" s="6" t="str">
        <x:v>2.063747530368073</x:v>
      </x:c>
      <x:c r="AO493" s="6" t="str">
        <x:v>0.9783062376061764</x:v>
      </x:c>
      <x:c r="AP493" s="8" t="str">
        <x:v>1.4040826780860125</x:v>
      </x:c>
      <x:c r="AQ493" s="6" t="str">
        <x:v>0.0895698531199545</x:v>
      </x:c>
      <x:c r="AR493" s="6" t="str">
        <x:v>0.3301699223942151</x:v>
      </x:c>
      <x:c r="AS493" s="6" t="str">
        <x:v>0.607940817866727</x:v>
      </x:c>
      <x:c r="AT493" s="6" t="str">
        <x:v>37.26792139821475</x:v>
      </x:c>
      <x:c r="AU493" s="8" t="str">
        <x:v>0.5457521368514981</x:v>
      </x:c>
      <x:c r="AV493" s="6" t="str">
        <x:v>2.624726800853729</x:v>
      </x:c>
      <x:c r="AW493" s="6" t="str">
        <x:v>0.0851227190668182</x:v>
      </x:c>
      <x:c r="AX493" s="6" t="str">
        <x:v>1.085200552257348</x:v>
      </x:c>
      <x:c r="AY493" s="6" t="str">
        <x:v>0</x:v>
      </x:c>
      <x:c r="AZ493" s="6" t="str">
        <x:v>1</x:v>
      </x:c>
      <x:c r="BA493" s="9" t="str">
        <x:v>grid_cells_within_BIG_polygon</x:v>
      </x:c>
      <x:c r="BB493" s="6" t="str">
        <x:v>41</x:v>
      </x:c>
      <x:c r="BC493" s="6" t="str">
        <x:v>2</x:v>
      </x:c>
      <x:c r="BD493" s="6" t="str">
        <x:v>2</x:v>
      </x:c>
      <x:c r="BE493" s="6" t="str">
        <x:v>2</x:v>
      </x:c>
      <x:c r="BF493" s="6" t="str">
        <x:v>0</x:v>
      </x:c>
      <x:c r="BG493" s="6" t="str">
        <x:v>0</x:v>
      </x:c>
      <x:c r="BH493" s="6" t="str">
        <x:v>0</x:v>
      </x:c>
      <x:c r="BI493" s="6" t="str">
        <x:v>0</x:v>
      </x:c>
      <x:c r="BJ493" s="6" t="str">
        <x:v>0</x:v>
      </x:c>
      <x:c r="BK493" s="6" t="str">
        <x:v>0</x:v>
      </x:c>
      <x:c r="BL493" s="6" t="str">
        <x:v>0</x:v>
      </x:c>
      <x:c r="BM493" s="6" t="str">
        <x:v>0</x:v>
      </x:c>
      <x:c r="BN493" s="6" t="str">
        <x:v>2</x:v>
      </x:c>
      <x:c r="BO493" s="6" t="str">
        <x:v>0.0</x:v>
      </x:c>
      <x:c r="BP493" s="6" t="str">
        <x:v>2</x:v>
      </x:c>
      <x:c r="BQ493" s="6" t="str">
        <x:v>0.0</x:v>
      </x:c>
      <x:c r="BR493" s="6" t="str">
        <x:v>2</x:v>
      </x:c>
      <x:c r="BS493" s="6" t="str">
        <x:v>0.0</x:v>
      </x:c>
      <x:c r="BT493" s="6" t="str">
        <x:v>2</x:v>
      </x:c>
      <x:c r="BU493" s="6" t="str">
        <x:v>400.0</x:v>
      </x:c>
      <x:c r="BV493" s="6" t="str">
        <x:v>2</x:v>
      </x:c>
      <x:c r="BW493" s="9" t="str">
        <x:v>operational_snapshot_annual_totals_may_differ</x:v>
      </x:c>
      <x:c r="BX493" s="9" t="str">
        <x:v>official_live_dashboard_snapshot_subject_to_revision</x:v>
      </x:c>
      <x:c r="BY493" s="9" t="str">
        <x:v>https://tbdashboard.sitb.id/ss_data_tbc03so_2024_provinsi_bulanan_list.php</x:v>
      </x:c>
      <x:c r="BZ493" s="6" t="n">
        <x:v>46246.610671296294</x:v>
      </x:c>
    </x:row>
    <x:row r="494" ht="18" customHeight="1">
      <x:c r="A494" s="6" t="str">
        <x:v>62</x:v>
      </x:c>
      <x:c r="B494" s="6" t="str">
        <x:v>KALIMANTAN TENGAH</x:v>
      </x:c>
      <x:c r="C494" s="6" t="str">
        <x:v>2025</x:v>
      </x:c>
      <x:c r="D494" s="6" t="str">
        <x:v>1</x:v>
      </x:c>
      <x:c r="E494" s="6" t="str">
        <x:v>2025-01</x:v>
      </x:c>
      <x:c r="F494" s="6" t="str">
        <x:v>473</x:v>
      </x:c>
      <x:c r="G494" s="6" t="str">
        <x:v>109</x:v>
      </x:c>
      <x:c r="H494" s="6" t="str">
        <x:v>255</x:v>
      </x:c>
      <x:c r="I494" s="6" t="str">
        <x:v>37</x:v>
      </x:c>
      <x:c r="J494" s="6" t="str">
        <x:v>21</x:v>
      </x:c>
      <x:c r="K494" s="6" t="str">
        <x:v>2</x:v>
      </x:c>
      <x:c r="L494" s="6" t="str">
        <x:v>4</x:v>
      </x:c>
      <x:c r="M494" s="6" t="str">
        <x:v>45</x:v>
      </x:c>
      <x:c r="N494" s="6" t="str">
        <x:v>473</x:v>
      </x:c>
      <x:c r="O494" s="6" t="str">
        <x:v>0</x:v>
      </x:c>
      <x:c r="P494" s="10" t="n">
        <x:f>F494-M494</x:f>
        <x:v>428</x:v>
      </x:c>
      <x:c r="Q494" s="11" t="n">
        <x:f>IFERROR(M494/F494,"")</x:f>
        <x:v>0.09513742071881606</x:v>
      </x:c>
      <x:c r="R494" s="10" t="n">
        <x:f>G494+H494</x:f>
        <x:v>364</x:v>
      </x:c>
      <x:c r="S494" s="11" t="n">
        <x:f>IFERROR(R494/F494,"")</x:f>
        <x:v>0.7695560253699789</x:v>
      </x:c>
      <x:c r="T494" s="11" t="n">
        <x:f>IFERROR(R494/P494,"")</x:f>
        <x:v>0.8504672897196262</x:v>
      </x:c>
      <x:c r="U494" s="10" t="n">
        <x:f>I494+J494+K494</x:f>
        <x:v>60</x:v>
      </x:c>
      <x:c r="V494" s="11" t="n">
        <x:f>IFERROR(U494/P494,"")</x:f>
        <x:v>0.14018691588785046</x:v>
      </x:c>
      <x:c r="W494" s="9" t="str">
        <x:v>provisional_gt_5pct_pending</x:v>
      </x:c>
      <x:c r="X494" s="12" t="n">
        <x:f>IFERROR(F494/Z494*100000,"")</x:f>
        <x:v>16.625659050966608</x:v>
      </x:c>
      <x:c r="Y494" s="13" t="n">
        <x:f>LN(Z494)</x:f>
        <x:v>14.861073625542568</x:v>
      </x:c>
      <x:c r="Z494" s="6" t="str">
        <x:v>2845000</x:v>
      </x:c>
      <x:c r="AA494" s="6" t="str">
        <x:v>19.0</x:v>
      </x:c>
      <x:c r="AB494" s="9" t="str">
        <x:v>2025-06-30</x:v>
      </x:c>
      <x:c r="AC494" s="8" t="str">
        <x:v>83.14</x:v>
      </x:c>
      <x:c r="AD494" s="9" t="str">
        <x:v>2025 (Susenas)</x:v>
      </x:c>
      <x:c r="AE494" s="8" t="str">
        <x:v>5.19</x:v>
      </x:c>
      <x:c r="AF494" s="9" t="str">
        <x:v>Maret 2025 (Susenas)</x:v>
      </x:c>
      <x:c r="AG494" s="6" t="str">
        <x:v>25.82549275290536</x:v>
      </x:c>
      <x:c r="AH494" s="8" t="str">
        <x:v>91.00109519239228</x:v>
      </x:c>
      <x:c r="AI494" s="6" t="str">
        <x:v>487.037495329427</x:v>
      </x:c>
      <x:c r="AJ494" s="6" t="str">
        <x:v>0.2617577514534055</x:v>
      </x:c>
      <x:c r="AK494" s="8" t="str">
        <x:v>0.7254066453898761</x:v>
      </x:c>
      <x:c r="AL494" s="6" t="str">
        <x:v>1.7979652317849402</x:v>
      </x:c>
      <x:c r="AM494" s="6" t="str">
        <x:v>2.7307513860429617</x:v>
      </x:c>
      <x:c r="AN494" s="6" t="str">
        <x:v>1.7513744210725932</x:v>
      </x:c>
      <x:c r="AO494" s="6" t="str">
        <x:v>1.3953153418935216</x:v>
      </x:c>
      <x:c r="AP494" s="8" t="str">
        <x:v>2.483421906973275</x:v>
      </x:c>
      <x:c r="AQ494" s="6" t="str">
        <x:v>1.4040826780860125</x:v>
      </x:c>
      <x:c r="AR494" s="6" t="str">
        <x:v>0.0895698531199545</x:v>
      </x:c>
      <x:c r="AS494" s="6" t="str">
        <x:v>1.3256914793930803</x:v>
      </x:c>
      <x:c r="AT494" s="6" t="str">
        <x:v>205.03850411881848</x:v>
      </x:c>
      <x:c r="AU494" s="8" t="str">
        <x:v>4.474598280770563</x:v>
      </x:c>
      <x:c r="AV494" s="6" t="str">
        <x:v>0.5457521368514981</x:v>
      </x:c>
      <x:c r="AW494" s="6" t="str">
        <x:v>2.624726800853729</x:v>
      </x:c>
      <x:c r="AX494" s="6" t="str">
        <x:v>2.548359072825263</x:v>
      </x:c>
      <x:c r="AY494" s="6" t="str">
        <x:v>1</x:v>
      </x:c>
      <x:c r="AZ494" s="6" t="str">
        <x:v>0</x:v>
      </x:c>
      <x:c r="BA494" s="9" t="str">
        <x:v>grid_cells_within_BIG_polygon</x:v>
      </x:c>
      <x:c r="BB494" s="6" t="str">
        <x:v>41</x:v>
      </x:c>
      <x:c r="BC494" s="6" t="str">
        <x:v>8</x:v>
      </x:c>
      <x:c r="BD494" s="6" t="str">
        <x:v>8</x:v>
      </x:c>
      <x:c r="BE494" s="6" t="str">
        <x:v>7</x:v>
      </x:c>
      <x:c r="BF494" s="6" t="str">
        <x:v>0</x:v>
      </x:c>
      <x:c r="BG494" s="6" t="str">
        <x:v>0</x:v>
      </x:c>
      <x:c r="BH494" s="6" t="str">
        <x:v>0</x:v>
      </x:c>
      <x:c r="BI494" s="6" t="str">
        <x:v>1</x:v>
      </x:c>
      <x:c r="BJ494" s="6" t="str">
        <x:v>0</x:v>
      </x:c>
      <x:c r="BK494" s="6" t="str">
        <x:v>0</x:v>
      </x:c>
      <x:c r="BL494" s="6" t="str">
        <x:v>0</x:v>
      </x:c>
      <x:c r="BM494" s="6" t="str">
        <x:v>0</x:v>
      </x:c>
      <x:c r="BN494" s="6" t="str">
        <x:v>8</x:v>
      </x:c>
      <x:c r="BO494" s="6" t="str">
        <x:v>0.0</x:v>
      </x:c>
      <x:c r="BP494" s="6" t="str">
        <x:v>8</x:v>
      </x:c>
      <x:c r="BQ494" s="6" t="str">
        <x:v>0.0</x:v>
      </x:c>
      <x:c r="BR494" s="6" t="str">
        <x:v>8</x:v>
      </x:c>
      <x:c r="BS494" s="6" t="str">
        <x:v>17.0</x:v>
      </x:c>
      <x:c r="BT494" s="6" t="str">
        <x:v>8</x:v>
      </x:c>
      <x:c r="BU494" s="6" t="str">
        <x:v>5204.0</x:v>
      </x:c>
      <x:c r="BV494" s="6" t="str">
        <x:v>7</x:v>
      </x:c>
      <x:c r="BW494" s="9" t="str">
        <x:v>operational_snapshot_annual_totals_may_differ</x:v>
      </x:c>
      <x:c r="BX494" s="9" t="str">
        <x:v>official_live_dashboard_snapshot_subject_to_revision</x:v>
      </x:c>
      <x:c r="BY494" s="9" t="str">
        <x:v>https://tbdashboard.sitb.id/ss_data_tbc03so_2025_provinsi_bulanan_list.php</x:v>
      </x:c>
      <x:c r="BZ494" s="6" t="n">
        <x:v>46246.610671296294</x:v>
      </x:c>
    </x:row>
    <x:row r="495" ht="18" customHeight="1">
      <x:c r="A495" s="6" t="str">
        <x:v>62</x:v>
      </x:c>
      <x:c r="B495" s="6" t="str">
        <x:v>KALIMANTAN TENGAH</x:v>
      </x:c>
      <x:c r="C495" s="6" t="str">
        <x:v>2025</x:v>
      </x:c>
      <x:c r="D495" s="6" t="str">
        <x:v>2</x:v>
      </x:c>
      <x:c r="E495" s="6" t="str">
        <x:v>2025-02</x:v>
      </x:c>
      <x:c r="F495" s="6" t="str">
        <x:v>507</x:v>
      </x:c>
      <x:c r="G495" s="6" t="str">
        <x:v>120</x:v>
      </x:c>
      <x:c r="H495" s="6" t="str">
        <x:v>294</x:v>
      </x:c>
      <x:c r="I495" s="6" t="str">
        <x:v>34</x:v>
      </x:c>
      <x:c r="J495" s="6" t="str">
        <x:v>28</x:v>
      </x:c>
      <x:c r="K495" s="6" t="str">
        <x:v>1</x:v>
      </x:c>
      <x:c r="L495" s="6" t="str">
        <x:v>1</x:v>
      </x:c>
      <x:c r="M495" s="6" t="str">
        <x:v>29</x:v>
      </x:c>
      <x:c r="N495" s="6" t="str">
        <x:v>507</x:v>
      </x:c>
      <x:c r="O495" s="6" t="str">
        <x:v>0</x:v>
      </x:c>
      <x:c r="P495" s="10" t="n">
        <x:f>F495-M495</x:f>
        <x:v>478</x:v>
      </x:c>
      <x:c r="Q495" s="11" t="n">
        <x:f>IFERROR(M495/F495,"")</x:f>
        <x:v>0.05719921104536489</x:v>
      </x:c>
      <x:c r="R495" s="10" t="n">
        <x:f>G495+H495</x:f>
        <x:v>414</x:v>
      </x:c>
      <x:c r="S495" s="11" t="n">
        <x:f>IFERROR(R495/F495,"")</x:f>
        <x:v>0.8165680473372781</x:v>
      </x:c>
      <x:c r="T495" s="11" t="n">
        <x:f>IFERROR(R495/P495,"")</x:f>
        <x:v>0.8661087866108786</x:v>
      </x:c>
      <x:c r="U495" s="10" t="n">
        <x:f>I495+J495+K495</x:f>
        <x:v>63</x:v>
      </x:c>
      <x:c r="V495" s="11" t="n">
        <x:f>IFERROR(U495/P495,"")</x:f>
        <x:v>0.13179916317991633</x:v>
      </x:c>
      <x:c r="W495" s="9" t="str">
        <x:v>provisional_gt_5pct_pending</x:v>
      </x:c>
      <x:c r="X495" s="12" t="n">
        <x:f>IFERROR(F495/Z495*100000,"")</x:f>
        <x:v>17.8207381370826</x:v>
      </x:c>
      <x:c r="Y495" s="13" t="n">
        <x:f>LN(Z495)</x:f>
        <x:v>14.861073625542568</x:v>
      </x:c>
      <x:c r="Z495" s="6" t="str">
        <x:v>2845000</x:v>
      </x:c>
      <x:c r="AA495" s="6" t="str">
        <x:v>19.0</x:v>
      </x:c>
      <x:c r="AB495" s="9" t="str">
        <x:v>2025-06-30</x:v>
      </x:c>
      <x:c r="AC495" s="8" t="str">
        <x:v>83.14</x:v>
      </x:c>
      <x:c r="AD495" s="9" t="str">
        <x:v>2025 (Susenas)</x:v>
      </x:c>
      <x:c r="AE495" s="8" t="str">
        <x:v>5.19</x:v>
      </x:c>
      <x:c r="AF495" s="9" t="str">
        <x:v>Maret 2025 (Susenas)</x:v>
      </x:c>
      <x:c r="AG495" s="6" t="str">
        <x:v>26.001293357946327</x:v>
      </x:c>
      <x:c r="AH495" s="8" t="str">
        <x:v>89.23874239621773</x:v>
      </x:c>
      <x:c r="AI495" s="6" t="str">
        <x:v>233.22070263113648</x:v>
      </x:c>
      <x:c r="AJ495" s="6" t="str">
        <x:v>0.3154555956136953</x:v>
      </x:c>
      <x:c r="AK495" s="8" t="str">
        <x:v>0.876854105458997</x:v>
      </x:c>
      <x:c r="AL495" s="6" t="str">
        <x:v>0.7254066453898761</x:v>
      </x:c>
      <x:c r="AM495" s="6" t="str">
        <x:v>1.7979652317849402</x:v>
      </x:c>
      <x:c r="AN495" s="6" t="str">
        <x:v>1.1334086608779383</x:v>
      </x:c>
      <x:c r="AO495" s="6" t="str">
        <x:v>0.1699646639406324</x:v>
      </x:c>
      <x:c r="AP495" s="8" t="str">
        <x:v>0.1957746276783333</x:v>
      </x:c>
      <x:c r="AQ495" s="6" t="str">
        <x:v>2.483421906973275</x:v>
      </x:c>
      <x:c r="AR495" s="6" t="str">
        <x:v>1.4040826780860125</x:v>
      </x:c>
      <x:c r="AS495" s="6" t="str">
        <x:v>1.36109307091254</x:v>
      </x:c>
      <x:c r="AT495" s="6" t="str">
        <x:v>-31.61585722476019</x:v>
      </x:c>
      <x:c r="AU495" s="8" t="str">
        <x:v>-0.3733375853334029</x:v>
      </x:c>
      <x:c r="AV495" s="6" t="str">
        <x:v>4.474598280770563</x:v>
      </x:c>
      <x:c r="AW495" s="6" t="str">
        <x:v>0.5457521368514981</x:v>
      </x:c>
      <x:c r="AX495" s="6" t="str">
        <x:v>1.5490042774295525</x:v>
      </x:c>
      <x:c r="AY495" s="6" t="str">
        <x:v>0</x:v>
      </x:c>
      <x:c r="AZ495" s="6" t="str">
        <x:v>0</x:v>
      </x:c>
      <x:c r="BA495" s="9" t="str">
        <x:v>grid_cells_within_BIG_polygon</x:v>
      </x:c>
      <x:c r="BB495" s="6" t="str">
        <x:v>41</x:v>
      </x:c>
      <x:c r="BC495" s="6" t="str">
        <x:v>8</x:v>
      </x:c>
      <x:c r="BD495" s="6" t="str">
        <x:v>8</x:v>
      </x:c>
      <x:c r="BE495" s="6" t="str">
        <x:v>0</x:v>
      </x:c>
      <x:c r="BF495" s="6" t="str">
        <x:v>0</x:v>
      </x:c>
      <x:c r="BG495" s="6" t="str">
        <x:v>0</x:v>
      </x:c>
      <x:c r="BH495" s="6" t="str">
        <x:v>0</x:v>
      </x:c>
      <x:c r="BI495" s="6" t="str">
        <x:v>8</x:v>
      </x:c>
      <x:c r="BJ495" s="6" t="str">
        <x:v>0</x:v>
      </x:c>
      <x:c r="BK495" s="6" t="str">
        <x:v>0</x:v>
      </x:c>
      <x:c r="BL495" s="6" t="str">
        <x:v>0</x:v>
      </x:c>
      <x:c r="BM495" s="6" t="str">
        <x:v>0</x:v>
      </x:c>
      <x:c r="BN495" s="6" t="str">
        <x:v>8</x:v>
      </x:c>
      <x:c r="BO495" s="6" t="str">
        <x:v>0.0</x:v>
      </x:c>
      <x:c r="BP495" s="6" t="str">
        <x:v>8</x:v>
      </x:c>
      <x:c r="BQ495" s="6" t="str">
        <x:v>0.0</x:v>
      </x:c>
      <x:c r="BR495" s="6" t="str">
        <x:v>8</x:v>
      </x:c>
      <x:c r="BS495" s="6" t="str">
        <x:v>0.0</x:v>
      </x:c>
      <x:c r="BT495" s="6" t="str">
        <x:v>8</x:v>
      </x:c>
      <x:c r="BU495" s="6" t="str"/>
      <x:c r="BV495" s="6" t="str">
        <x:v>0</x:v>
      </x:c>
      <x:c r="BW495" s="9" t="str">
        <x:v>operational_snapshot_annual_totals_may_differ</x:v>
      </x:c>
      <x:c r="BX495" s="9" t="str">
        <x:v>official_live_dashboard_snapshot_subject_to_revision</x:v>
      </x:c>
      <x:c r="BY495" s="9" t="str">
        <x:v>https://tbdashboard.sitb.id/ss_data_tbc03so_2025_provinsi_bulanan_list.php</x:v>
      </x:c>
      <x:c r="BZ495" s="6" t="n">
        <x:v>46246.610671296294</x:v>
      </x:c>
    </x:row>
    <x:row r="496" ht="18" customHeight="1">
      <x:c r="A496" s="6" t="str">
        <x:v>62</x:v>
      </x:c>
      <x:c r="B496" s="6" t="str">
        <x:v>KALIMANTAN TENGAH</x:v>
      </x:c>
      <x:c r="C496" s="6" t="str">
        <x:v>2025</x:v>
      </x:c>
      <x:c r="D496" s="6" t="str">
        <x:v>3</x:v>
      </x:c>
      <x:c r="E496" s="6" t="str">
        <x:v>2025-03</x:v>
      </x:c>
      <x:c r="F496" s="6" t="str">
        <x:v>445</x:v>
      </x:c>
      <x:c r="G496" s="6" t="str">
        <x:v>87</x:v>
      </x:c>
      <x:c r="H496" s="6" t="str">
        <x:v>246</x:v>
      </x:c>
      <x:c r="I496" s="6" t="str">
        <x:v>43</x:v>
      </x:c>
      <x:c r="J496" s="6" t="str">
        <x:v>32</x:v>
      </x:c>
      <x:c r="K496" s="6" t="str">
        <x:v>1</x:v>
      </x:c>
      <x:c r="L496" s="6" t="str">
        <x:v>1</x:v>
      </x:c>
      <x:c r="M496" s="6" t="str">
        <x:v>35</x:v>
      </x:c>
      <x:c r="N496" s="6" t="str">
        <x:v>445</x:v>
      </x:c>
      <x:c r="O496" s="6" t="str">
        <x:v>0</x:v>
      </x:c>
      <x:c r="P496" s="10" t="n">
        <x:f>F496-M496</x:f>
        <x:v>410</x:v>
      </x:c>
      <x:c r="Q496" s="11" t="n">
        <x:f>IFERROR(M496/F496,"")</x:f>
        <x:v>0.07865168539325842</x:v>
      </x:c>
      <x:c r="R496" s="10" t="n">
        <x:f>G496+H496</x:f>
        <x:v>333</x:v>
      </x:c>
      <x:c r="S496" s="11" t="n">
        <x:f>IFERROR(R496/F496,"")</x:f>
        <x:v>0.748314606741573</x:v>
      </x:c>
      <x:c r="T496" s="11" t="n">
        <x:f>IFERROR(R496/P496,"")</x:f>
        <x:v>0.8121951219512196</x:v>
      </x:c>
      <x:c r="U496" s="10" t="n">
        <x:f>I496+J496+K496</x:f>
        <x:v>76</x:v>
      </x:c>
      <x:c r="V496" s="11" t="n">
        <x:f>IFERROR(U496/P496,"")</x:f>
        <x:v>0.18536585365853658</x:v>
      </x:c>
      <x:c r="W496" s="9" t="str">
        <x:v>provisional_gt_5pct_pending</x:v>
      </x:c>
      <x:c r="X496" s="12" t="n">
        <x:f>IFERROR(F496/Z496*100000,"")</x:f>
        <x:v>15.641476274165202</x:v>
      </x:c>
      <x:c r="Y496" s="13" t="n">
        <x:f>LN(Z496)</x:f>
        <x:v>14.861073625542568</x:v>
      </x:c>
      <x:c r="Z496" s="6" t="str">
        <x:v>2845000</x:v>
      </x:c>
      <x:c r="AA496" s="6" t="str">
        <x:v>19.0</x:v>
      </x:c>
      <x:c r="AB496" s="9" t="str">
        <x:v>2025-06-30</x:v>
      </x:c>
      <x:c r="AC496" s="8" t="str">
        <x:v>83.14</x:v>
      </x:c>
      <x:c r="AD496" s="9" t="str">
        <x:v>2025 (Susenas)</x:v>
      </x:c>
      <x:c r="AE496" s="8" t="str">
        <x:v>5.19</x:v>
      </x:c>
      <x:c r="AF496" s="9" t="str">
        <x:v>Maret 2025 (Susenas)</x:v>
      </x:c>
      <x:c r="AG496" s="6" t="str">
        <x:v>26.12445951511697</x:v>
      </x:c>
      <x:c r="AH496" s="8" t="str">
        <x:v>89.74303788999008</x:v>
      </x:c>
      <x:c r="AI496" s="6" t="str">
        <x:v>402.0477719038548</x:v>
      </x:c>
      <x:c r="AJ496" s="6" t="str">
        <x:v>0.2027771785896348</x:v>
      </x:c>
      <x:c r="AK496" s="8" t="str">
        <x:v>0.6438519789398214</x:v>
      </x:c>
      <x:c r="AL496" s="6" t="str">
        <x:v>0.876854105458997</x:v>
      </x:c>
      <x:c r="AM496" s="6" t="str">
        <x:v>0.7254066453898761</x:v>
      </x:c>
      <x:c r="AN496" s="6" t="str">
        <x:v>0.7487042432628987</x:v>
      </x:c>
      <x:c r="AO496" s="6" t="str">
        <x:v>0.6977434869908166</x:v>
      </x:c>
      <x:c r="AP496" s="8" t="str">
        <x:v>1.2349186455331935</x:v>
      </x:c>
      <x:c r="AQ496" s="6" t="str">
        <x:v>0.1957746276783333</x:v>
      </x:c>
      <x:c r="AR496" s="6" t="str">
        <x:v>2.483421906973275</x:v>
      </x:c>
      <x:c r="AS496" s="6" t="str">
        <x:v>1.3047050600616006</x:v>
      </x:c>
      <x:c r="AT496" s="6" t="str">
        <x:v>100.76098261454172</x:v>
      </x:c>
      <x:c r="AU496" s="8" t="str">
        <x:v>1.5056124838310143</x:v>
      </x:c>
      <x:c r="AV496" s="6" t="str">
        <x:v>-0.3733375853334029</x:v>
      </x:c>
      <x:c r="AW496" s="6" t="str">
        <x:v>4.474598280770563</x:v>
      </x:c>
      <x:c r="AX496" s="6" t="str">
        <x:v>1.8689577264227248</x:v>
      </x:c>
      <x:c r="AY496" s="6" t="str">
        <x:v>1</x:v>
      </x:c>
      <x:c r="AZ496" s="6" t="str">
        <x:v>0</x:v>
      </x:c>
      <x:c r="BA496" s="9" t="str">
        <x:v>grid_cells_within_BIG_polygon</x:v>
      </x:c>
      <x:c r="BB496" s="6" t="str">
        <x:v>41</x:v>
      </x:c>
      <x:c r="BC496" s="6" t="str">
        <x:v>14</x:v>
      </x:c>
      <x:c r="BD496" s="6" t="str">
        <x:v>14</x:v>
      </x:c>
      <x:c r="BE496" s="6" t="str">
        <x:v>12</x:v>
      </x:c>
      <x:c r="BF496" s="6" t="str">
        <x:v>0</x:v>
      </x:c>
      <x:c r="BG496" s="6" t="str">
        <x:v>1</x:v>
      </x:c>
      <x:c r="BH496" s="6" t="str">
        <x:v>0</x:v>
      </x:c>
      <x:c r="BI496" s="6" t="str">
        <x:v>1</x:v>
      </x:c>
      <x:c r="BJ496" s="6" t="str">
        <x:v>0</x:v>
      </x:c>
      <x:c r="BK496" s="6" t="str">
        <x:v>0</x:v>
      </x:c>
      <x:c r="BL496" s="6" t="str">
        <x:v>0</x:v>
      </x:c>
      <x:c r="BM496" s="6" t="str">
        <x:v>0</x:v>
      </x:c>
      <x:c r="BN496" s="6" t="str">
        <x:v>14</x:v>
      </x:c>
      <x:c r="BO496" s="6" t="str">
        <x:v>1.0</x:v>
      </x:c>
      <x:c r="BP496" s="6" t="str">
        <x:v>14</x:v>
      </x:c>
      <x:c r="BQ496" s="6" t="str">
        <x:v>0.0</x:v>
      </x:c>
      <x:c r="BR496" s="6" t="str">
        <x:v>14</x:v>
      </x:c>
      <x:c r="BS496" s="6" t="str">
        <x:v>50.0</x:v>
      </x:c>
      <x:c r="BT496" s="6" t="str">
        <x:v>14</x:v>
      </x:c>
      <x:c r="BU496" s="6" t="str">
        <x:v>20616.0</x:v>
      </x:c>
      <x:c r="BV496" s="6" t="str">
        <x:v>12</x:v>
      </x:c>
      <x:c r="BW496" s="9" t="str">
        <x:v>operational_snapshot_annual_totals_may_differ</x:v>
      </x:c>
      <x:c r="BX496" s="9" t="str">
        <x:v>official_live_dashboard_snapshot_subject_to_revision</x:v>
      </x:c>
      <x:c r="BY496" s="9" t="str">
        <x:v>https://tbdashboard.sitb.id/ss_data_tbc03so_2025_provinsi_bulanan_list.php</x:v>
      </x:c>
      <x:c r="BZ496" s="6" t="n">
        <x:v>46246.610671296294</x:v>
      </x:c>
    </x:row>
    <x:row r="497" ht="18" customHeight="1">
      <x:c r="A497" s="6" t="str">
        <x:v>62</x:v>
      </x:c>
      <x:c r="B497" s="6" t="str">
        <x:v>KALIMANTAN TENGAH</x:v>
      </x:c>
      <x:c r="C497" s="6" t="str">
        <x:v>2025</x:v>
      </x:c>
      <x:c r="D497" s="6" t="str">
        <x:v>4</x:v>
      </x:c>
      <x:c r="E497" s="6" t="str">
        <x:v>2025-04</x:v>
      </x:c>
      <x:c r="F497" s="6" t="str">
        <x:v>387</x:v>
      </x:c>
      <x:c r="G497" s="6" t="str">
        <x:v>98</x:v>
      </x:c>
      <x:c r="H497" s="6" t="str">
        <x:v>199</x:v>
      </x:c>
      <x:c r="I497" s="6" t="str">
        <x:v>41</x:v>
      </x:c>
      <x:c r="J497" s="6" t="str">
        <x:v>19</x:v>
      </x:c>
      <x:c r="K497" s="6" t="str">
        <x:v>0</x:v>
      </x:c>
      <x:c r="L497" s="6" t="str">
        <x:v>1</x:v>
      </x:c>
      <x:c r="M497" s="6" t="str">
        <x:v>29</x:v>
      </x:c>
      <x:c r="N497" s="6" t="str">
        <x:v>387</x:v>
      </x:c>
      <x:c r="O497" s="6" t="str">
        <x:v>0</x:v>
      </x:c>
      <x:c r="P497" s="10" t="n">
        <x:f>F497-M497</x:f>
        <x:v>358</x:v>
      </x:c>
      <x:c r="Q497" s="11" t="n">
        <x:f>IFERROR(M497/F497,"")</x:f>
        <x:v>0.07493540051679587</x:v>
      </x:c>
      <x:c r="R497" s="10" t="n">
        <x:f>G497+H497</x:f>
        <x:v>297</x:v>
      </x:c>
      <x:c r="S497" s="11" t="n">
        <x:f>IFERROR(R497/F497,"")</x:f>
        <x:v>0.7674418604651163</x:v>
      </x:c>
      <x:c r="T497" s="11" t="n">
        <x:f>IFERROR(R497/P497,"")</x:f>
        <x:v>0.8296089385474861</x:v>
      </x:c>
      <x:c r="U497" s="10" t="n">
        <x:f>I497+J497+K497</x:f>
        <x:v>60</x:v>
      </x:c>
      <x:c r="V497" s="11" t="n">
        <x:f>IFERROR(U497/P497,"")</x:f>
        <x:v>0.16759776536312848</x:v>
      </x:c>
      <x:c r="W497" s="9" t="str">
        <x:v>provisional_gt_5pct_pending</x:v>
      </x:c>
      <x:c r="X497" s="12" t="n">
        <x:f>IFERROR(F497/Z497*100000,"")</x:f>
        <x:v>13.602811950790862</x:v>
      </x:c>
      <x:c r="Y497" s="13" t="n">
        <x:f>LN(Z497)</x:f>
        <x:v>14.861073625542568</x:v>
      </x:c>
      <x:c r="Z497" s="6" t="str">
        <x:v>2845000</x:v>
      </x:c>
      <x:c r="AA497" s="6" t="str">
        <x:v>19.0</x:v>
      </x:c>
      <x:c r="AB497" s="9" t="str">
        <x:v>2025-06-30</x:v>
      </x:c>
      <x:c r="AC497" s="8" t="str">
        <x:v>83.14</x:v>
      </x:c>
      <x:c r="AD497" s="9" t="str">
        <x:v>2025 (Susenas)</x:v>
      </x:c>
      <x:c r="AE497" s="8" t="str">
        <x:v>5.19</x:v>
      </x:c>
      <x:c r="AF497" s="9" t="str">
        <x:v>Maret 2025 (Susenas)</x:v>
      </x:c>
      <x:c r="AG497" s="6" t="str">
        <x:v>26.230271109125425</x:v>
      </x:c>
      <x:c r="AH497" s="8" t="str">
        <x:v>89.20078667458979</x:v>
      </x:c>
      <x:c r="AI497" s="6" t="str">
        <x:v>247.3800441702321</x:v>
      </x:c>
      <x:c r="AJ497" s="6" t="str">
        <x:v>0.0969893290873109</x:v>
      </x:c>
      <x:c r="AK497" s="8" t="str">
        <x:v>0.3466187250655707</x:v>
      </x:c>
      <x:c r="AL497" s="6" t="str">
        <x:v>0.6438519789398214</x:v>
      </x:c>
      <x:c r="AM497" s="6" t="str">
        <x:v>0.876854105458997</x:v>
      </x:c>
      <x:c r="AN497" s="6" t="str">
        <x:v>0.6224416031547969</x:v>
      </x:c>
      <x:c r="AO497" s="6" t="str">
        <x:v>-0.3130070229248645</x:v>
      </x:c>
      <x:c r="AP497" s="8" t="str">
        <x:v>-0.6604957695584033</x:v>
      </x:c>
      <x:c r="AQ497" s="6" t="str">
        <x:v>1.2349186455331935</x:v>
      </x:c>
      <x:c r="AR497" s="6" t="str">
        <x:v>0.1957746276783333</x:v>
      </x:c>
      <x:c r="AS497" s="6" t="str">
        <x:v>0.2567325012177077</x:v>
      </x:c>
      <x:c r="AT497" s="6" t="str">
        <x:v>-48.87773806757616</x:v>
      </x:c>
      <x:c r="AU497" s="8" t="str">
        <x:v>-0.8305347114095095</x:v>
      </x:c>
      <x:c r="AV497" s="6" t="str">
        <x:v>1.5056124838310143</x:v>
      </x:c>
      <x:c r="AW497" s="6" t="str">
        <x:v>-0.3733375853334029</x:v>
      </x:c>
      <x:c r="AX497" s="6" t="str">
        <x:v>0.1005800623627004</x:v>
      </x:c>
      <x:c r="AY497" s="6" t="str">
        <x:v>0</x:v>
      </x:c>
      <x:c r="AZ497" s="6" t="str">
        <x:v>0</x:v>
      </x:c>
      <x:c r="BA497" s="9" t="str">
        <x:v>grid_cells_within_BIG_polygon</x:v>
      </x:c>
      <x:c r="BB497" s="6" t="str">
        <x:v>41</x:v>
      </x:c>
      <x:c r="BC497" s="6" t="str">
        <x:v>4</x:v>
      </x:c>
      <x:c r="BD497" s="6" t="str">
        <x:v>4</x:v>
      </x:c>
      <x:c r="BE497" s="6" t="str">
        <x:v>3</x:v>
      </x:c>
      <x:c r="BF497" s="6" t="str">
        <x:v>1</x:v>
      </x:c>
      <x:c r="BG497" s="6" t="str">
        <x:v>0</x:v>
      </x:c>
      <x:c r="BH497" s="6" t="str">
        <x:v>0</x:v>
      </x:c>
      <x:c r="BI497" s="6" t="str">
        <x:v>0</x:v>
      </x:c>
      <x:c r="BJ497" s="6" t="str">
        <x:v>0</x:v>
      </x:c>
      <x:c r="BK497" s="6" t="str">
        <x:v>0</x:v>
      </x:c>
      <x:c r="BL497" s="6" t="str">
        <x:v>0</x:v>
      </x:c>
      <x:c r="BM497" s="6" t="str">
        <x:v>0</x:v>
      </x:c>
      <x:c r="BN497" s="6" t="str">
        <x:v>4</x:v>
      </x:c>
      <x:c r="BO497" s="6" t="str">
        <x:v>4.0</x:v>
      </x:c>
      <x:c r="BP497" s="6" t="str">
        <x:v>4</x:v>
      </x:c>
      <x:c r="BQ497" s="6" t="str">
        <x:v>0.0</x:v>
      </x:c>
      <x:c r="BR497" s="6" t="str">
        <x:v>4</x:v>
      </x:c>
      <x:c r="BS497" s="6" t="str">
        <x:v>0.0</x:v>
      </x:c>
      <x:c r="BT497" s="6" t="str">
        <x:v>4</x:v>
      </x:c>
      <x:c r="BU497" s="6" t="str">
        <x:v>11715.0</x:v>
      </x:c>
      <x:c r="BV497" s="6" t="str">
        <x:v>3</x:v>
      </x:c>
      <x:c r="BW497" s="9" t="str">
        <x:v>operational_snapshot_annual_totals_may_differ</x:v>
      </x:c>
      <x:c r="BX497" s="9" t="str">
        <x:v>official_live_dashboard_snapshot_subject_to_revision</x:v>
      </x:c>
      <x:c r="BY497" s="9" t="str">
        <x:v>https://tbdashboard.sitb.id/ss_data_tbc03so_2025_provinsi_bulanan_list.php</x:v>
      </x:c>
      <x:c r="BZ497" s="6" t="n">
        <x:v>46246.610671296294</x:v>
      </x:c>
    </x:row>
    <x:row r="498" ht="18" customHeight="1">
      <x:c r="A498" s="6" t="str">
        <x:v>62</x:v>
      </x:c>
      <x:c r="B498" s="6" t="str">
        <x:v>KALIMANTAN TENGAH</x:v>
      </x:c>
      <x:c r="C498" s="6" t="str">
        <x:v>2025</x:v>
      </x:c>
      <x:c r="D498" s="6" t="str">
        <x:v>5</x:v>
      </x:c>
      <x:c r="E498" s="6" t="str">
        <x:v>2025-05</x:v>
      </x:c>
      <x:c r="F498" s="6" t="str">
        <x:v>438</x:v>
      </x:c>
      <x:c r="G498" s="6" t="str">
        <x:v>99</x:v>
      </x:c>
      <x:c r="H498" s="6" t="str">
        <x:v>230</x:v>
      </x:c>
      <x:c r="I498" s="6" t="str">
        <x:v>38</x:v>
      </x:c>
      <x:c r="J498" s="6" t="str">
        <x:v>30</x:v>
      </x:c>
      <x:c r="K498" s="6" t="str">
        <x:v>1</x:v>
      </x:c>
      <x:c r="L498" s="6" t="str">
        <x:v>0</x:v>
      </x:c>
      <x:c r="M498" s="6" t="str">
        <x:v>40</x:v>
      </x:c>
      <x:c r="N498" s="6" t="str">
        <x:v>438</x:v>
      </x:c>
      <x:c r="O498" s="6" t="str">
        <x:v>0</x:v>
      </x:c>
      <x:c r="P498" s="10" t="n">
        <x:f>F498-M498</x:f>
        <x:v>398</x:v>
      </x:c>
      <x:c r="Q498" s="11" t="n">
        <x:f>IFERROR(M498/F498,"")</x:f>
        <x:v>0.091324200913242</x:v>
      </x:c>
      <x:c r="R498" s="10" t="n">
        <x:f>G498+H498</x:f>
        <x:v>329</x:v>
      </x:c>
      <x:c r="S498" s="11" t="n">
        <x:f>IFERROR(R498/F498,"")</x:f>
        <x:v>0.7511415525114156</x:v>
      </x:c>
      <x:c r="T498" s="11" t="n">
        <x:f>IFERROR(R498/P498,"")</x:f>
        <x:v>0.8266331658291457</x:v>
      </x:c>
      <x:c r="U498" s="10" t="n">
        <x:f>I498+J498+K498</x:f>
        <x:v>69</x:v>
      </x:c>
      <x:c r="V498" s="11" t="n">
        <x:f>IFERROR(U498/P498,"")</x:f>
        <x:v>0.17336683417085427</x:v>
      </x:c>
      <x:c r="W498" s="9" t="str">
        <x:v>provisional_gt_5pct_pending</x:v>
      </x:c>
      <x:c r="X498" s="12" t="n">
        <x:f>IFERROR(F498/Z498*100000,"")</x:f>
        <x:v>15.39543057996485</x:v>
      </x:c>
      <x:c r="Y498" s="13" t="n">
        <x:f>LN(Z498)</x:f>
        <x:v>14.861073625542568</x:v>
      </x:c>
      <x:c r="Z498" s="6" t="str">
        <x:v>2845000</x:v>
      </x:c>
      <x:c r="AA498" s="6" t="str">
        <x:v>19.0</x:v>
      </x:c>
      <x:c r="AB498" s="9" t="str">
        <x:v>2025-06-30</x:v>
      </x:c>
      <x:c r="AC498" s="8" t="str">
        <x:v>83.14</x:v>
      </x:c>
      <x:c r="AD498" s="9" t="str">
        <x:v>2025 (Susenas)</x:v>
      </x:c>
      <x:c r="AE498" s="8" t="str">
        <x:v>5.19</x:v>
      </x:c>
      <x:c r="AF498" s="9" t="str">
        <x:v>Maret 2025 (Susenas)</x:v>
      </x:c>
      <x:c r="AG498" s="6" t="str">
        <x:v>26.61369254983436</x:v>
      </x:c>
      <x:c r="AH498" s="8" t="str">
        <x:v>88.88539406307922</x:v>
      </x:c>
      <x:c r="AI498" s="6" t="str">
        <x:v>345.09124728693</x:v>
      </x:c>
      <x:c r="AJ498" s="6" t="str">
        <x:v>0.4692588903812194</x:v>
      </x:c>
      <x:c r="AK498" s="8" t="str">
        <x:v>1.423399800080563</x:v>
      </x:c>
      <x:c r="AL498" s="6" t="str">
        <x:v>0.3466187250655707</x:v>
      </x:c>
      <x:c r="AM498" s="6" t="str">
        <x:v>0.6438519789398214</x:v>
      </x:c>
      <x:c r="AN498" s="6" t="str">
        <x:v>0.8046235013619856</x:v>
      </x:c>
      <x:c r="AO498" s="6" t="str">
        <x:v>-0.6890620014337401</x:v>
      </x:c>
      <x:c r="AP498" s="8" t="str">
        <x:v>-0.941938785983081</x:v>
      </x:c>
      <x:c r="AQ498" s="6" t="str">
        <x:v>-0.6604957695584033</x:v>
      </x:c>
      <x:c r="AR498" s="6" t="str">
        <x:v>1.2349186455331935</x:v>
      </x:c>
      <x:c r="AS498" s="6" t="str">
        <x:v>-0.122505303336097</x:v>
      </x:c>
      <x:c r="AT498" s="6" t="str">
        <x:v>114.06910879008832</x:v>
      </x:c>
      <x:c r="AU498" s="8" t="str">
        <x:v>1.64021247234797</x:v>
      </x:c>
      <x:c r="AV498" s="6" t="str">
        <x:v>-0.8305347114095095</x:v>
      </x:c>
      <x:c r="AW498" s="6" t="str">
        <x:v>1.5056124838310143</x:v>
      </x:c>
      <x:c r="AX498" s="6" t="str">
        <x:v>0.771763414923158</x:v>
      </x:c>
      <x:c r="AY498" s="6" t="str">
        <x:v>1</x:v>
      </x:c>
      <x:c r="AZ498" s="6" t="str">
        <x:v>1</x:v>
      </x:c>
      <x:c r="BA498" s="9" t="str">
        <x:v>grid_cells_within_BIG_polygon</x:v>
      </x:c>
      <x:c r="BB498" s="6" t="str">
        <x:v>41</x:v>
      </x:c>
      <x:c r="BC498" s="6" t="str">
        <x:v>5</x:v>
      </x:c>
      <x:c r="BD498" s="6" t="str">
        <x:v>5</x:v>
      </x:c>
      <x:c r="BE498" s="6" t="str">
        <x:v>2</x:v>
      </x:c>
      <x:c r="BF498" s="6" t="str">
        <x:v>0</x:v>
      </x:c>
      <x:c r="BG498" s="6" t="str">
        <x:v>0</x:v>
      </x:c>
      <x:c r="BH498" s="6" t="str">
        <x:v>0</x:v>
      </x:c>
      <x:c r="BI498" s="6" t="str">
        <x:v>3</x:v>
      </x:c>
      <x:c r="BJ498" s="6" t="str">
        <x:v>0</x:v>
      </x:c>
      <x:c r="BK498" s="6" t="str">
        <x:v>0</x:v>
      </x:c>
      <x:c r="BL498" s="6" t="str">
        <x:v>0</x:v>
      </x:c>
      <x:c r="BM498" s="6" t="str">
        <x:v>0</x:v>
      </x:c>
      <x:c r="BN498" s="6" t="str">
        <x:v>5</x:v>
      </x:c>
      <x:c r="BO498" s="6" t="str">
        <x:v>0.0</x:v>
      </x:c>
      <x:c r="BP498" s="6" t="str">
        <x:v>5</x:v>
      </x:c>
      <x:c r="BQ498" s="6" t="str">
        <x:v>0.0</x:v>
      </x:c>
      <x:c r="BR498" s="6" t="str">
        <x:v>5</x:v>
      </x:c>
      <x:c r="BS498" s="6" t="str">
        <x:v>0.0</x:v>
      </x:c>
      <x:c r="BT498" s="6" t="str">
        <x:v>5</x:v>
      </x:c>
      <x:c r="BU498" s="6" t="str">
        <x:v>255.0</x:v>
      </x:c>
      <x:c r="BV498" s="6" t="str">
        <x:v>2</x:v>
      </x:c>
      <x:c r="BW498" s="9" t="str">
        <x:v>operational_snapshot_annual_totals_may_differ</x:v>
      </x:c>
      <x:c r="BX498" s="9" t="str">
        <x:v>official_live_dashboard_snapshot_subject_to_revision</x:v>
      </x:c>
      <x:c r="BY498" s="9" t="str">
        <x:v>https://tbdashboard.sitb.id/ss_data_tbc03so_2025_provinsi_bulanan_list.php</x:v>
      </x:c>
      <x:c r="BZ498" s="6" t="n">
        <x:v>46246.610671296294</x:v>
      </x:c>
    </x:row>
    <x:row r="499" ht="18" customHeight="1">
      <x:c r="A499" s="6" t="str">
        <x:v>62</x:v>
      </x:c>
      <x:c r="B499" s="6" t="str">
        <x:v>KALIMANTAN TENGAH</x:v>
      </x:c>
      <x:c r="C499" s="6" t="str">
        <x:v>2025</x:v>
      </x:c>
      <x:c r="D499" s="6" t="str">
        <x:v>6</x:v>
      </x:c>
      <x:c r="E499" s="6" t="str">
        <x:v>2025-06</x:v>
      </x:c>
      <x:c r="F499" s="6" t="str">
        <x:v>498</x:v>
      </x:c>
      <x:c r="G499" s="6" t="str">
        <x:v>159</x:v>
      </x:c>
      <x:c r="H499" s="6" t="str">
        <x:v>221</x:v>
      </x:c>
      <x:c r="I499" s="6" t="str">
        <x:v>46</x:v>
      </x:c>
      <x:c r="J499" s="6" t="str">
        <x:v>29</x:v>
      </x:c>
      <x:c r="K499" s="6" t="str">
        <x:v>1</x:v>
      </x:c>
      <x:c r="L499" s="6" t="str">
        <x:v>2</x:v>
      </x:c>
      <x:c r="M499" s="6" t="str">
        <x:v>40</x:v>
      </x:c>
      <x:c r="N499" s="6" t="str">
        <x:v>498</x:v>
      </x:c>
      <x:c r="O499" s="6" t="str">
        <x:v>0</x:v>
      </x:c>
      <x:c r="P499" s="10" t="n">
        <x:f>F499-M499</x:f>
        <x:v>458</x:v>
      </x:c>
      <x:c r="Q499" s="11" t="n">
        <x:f>IFERROR(M499/F499,"")</x:f>
        <x:v>0.08032128514056225</x:v>
      </x:c>
      <x:c r="R499" s="10" t="n">
        <x:f>G499+H499</x:f>
        <x:v>380</x:v>
      </x:c>
      <x:c r="S499" s="11" t="n">
        <x:f>IFERROR(R499/F499,"")</x:f>
        <x:v>0.7630522088353414</x:v>
      </x:c>
      <x:c r="T499" s="11" t="n">
        <x:f>IFERROR(R499/P499,"")</x:f>
        <x:v>0.8296943231441049</x:v>
      </x:c>
      <x:c r="U499" s="10" t="n">
        <x:f>I499+J499+K499</x:f>
        <x:v>76</x:v>
      </x:c>
      <x:c r="V499" s="11" t="n">
        <x:f>IFERROR(U499/P499,"")</x:f>
        <x:v>0.16593886462882096</x:v>
      </x:c>
      <x:c r="W499" s="9" t="str">
        <x:v>provisional_gt_5pct_pending</x:v>
      </x:c>
      <x:c r="X499" s="12" t="n">
        <x:f>IFERROR(F499/Z499*100000,"")</x:f>
        <x:v>17.50439367311072</x:v>
      </x:c>
      <x:c r="Y499" s="13" t="n">
        <x:f>LN(Z499)</x:f>
        <x:v>14.861073625542568</x:v>
      </x:c>
      <x:c r="Z499" s="6" t="str">
        <x:v>2845000</x:v>
      </x:c>
      <x:c r="AA499" s="6" t="str">
        <x:v>19.0</x:v>
      </x:c>
      <x:c r="AB499" s="9" t="str">
        <x:v>2025-06-30</x:v>
      </x:c>
      <x:c r="AC499" s="8" t="str">
        <x:v>83.14</x:v>
      </x:c>
      <x:c r="AD499" s="9" t="str">
        <x:v>2025 (Susenas)</x:v>
      </x:c>
      <x:c r="AE499" s="8" t="str">
        <x:v>5.19</x:v>
      </x:c>
      <x:c r="AF499" s="9" t="str">
        <x:v>Maret 2025 (Susenas)</x:v>
      </x:c>
      <x:c r="AG499" s="6" t="str">
        <x:v>25.689371976460613</x:v>
      </x:c>
      <x:c r="AH499" s="8" t="str">
        <x:v>90.41274540740083</x:v>
      </x:c>
      <x:c r="AI499" s="6" t="str">
        <x:v>157.34199968666482</x:v>
      </x:c>
      <x:c r="AJ499" s="6" t="str">
        <x:v>0.0928185426991667</x:v>
      </x:c>
      <x:c r="AK499" s="8" t="str">
        <x:v>0.2887567859105074</x:v>
      </x:c>
      <x:c r="AL499" s="6" t="str">
        <x:v>1.423399800080563</x:v>
      </x:c>
      <x:c r="AM499" s="6" t="str">
        <x:v>0.3466187250655707</x:v>
      </x:c>
      <x:c r="AN499" s="6" t="str">
        <x:v>0.686258437018881</x:v>
      </x:c>
      <x:c r="AO499" s="6" t="str">
        <x:v>0.7724749992712816</x:v>
      </x:c>
      <x:c r="AP499" s="8" t="str">
        <x:v>0.7297876562995388</x:v>
      </x:c>
      <x:c r="AQ499" s="6" t="str">
        <x:v>-0.941938785983081</x:v>
      </x:c>
      <x:c r="AR499" s="6" t="str">
        <x:v>-0.6604957695584033</x:v>
      </x:c>
      <x:c r="AS499" s="6" t="str">
        <x:v>-0.2908822997473152</x:v>
      </x:c>
      <x:c r="AT499" s="6" t="str">
        <x:v>-28.040792264146376</x:v>
      </x:c>
      <x:c r="AU499" s="8" t="str">
        <x:v>-0.4389889864513079</x:v>
      </x:c>
      <x:c r="AV499" s="6" t="str">
        <x:v>1.64021247234797</x:v>
      </x:c>
      <x:c r="AW499" s="6" t="str">
        <x:v>-0.8305347114095095</x:v>
      </x:c>
      <x:c r="AX499" s="6" t="str">
        <x:v>0.1235629248290504</x:v>
      </x:c>
      <x:c r="AY499" s="6" t="str">
        <x:v>0</x:v>
      </x:c>
      <x:c r="AZ499" s="6" t="str">
        <x:v>0</x:v>
      </x:c>
      <x:c r="BA499" s="9" t="str">
        <x:v>grid_cells_within_BIG_polygon</x:v>
      </x:c>
      <x:c r="BB499" s="6" t="str">
        <x:v>41</x:v>
      </x:c>
      <x:c r="BC499" s="6" t="str">
        <x:v>5</x:v>
      </x:c>
      <x:c r="BD499" s="6" t="str">
        <x:v>5</x:v>
      </x:c>
      <x:c r="BE499" s="6" t="str">
        <x:v>0</x:v>
      </x:c>
      <x:c r="BF499" s="6" t="str">
        <x:v>0</x:v>
      </x:c>
      <x:c r="BG499" s="6" t="str">
        <x:v>0</x:v>
      </x:c>
      <x:c r="BH499" s="6" t="str">
        <x:v>0</x:v>
      </x:c>
      <x:c r="BI499" s="6" t="str">
        <x:v>5</x:v>
      </x:c>
      <x:c r="BJ499" s="6" t="str">
        <x:v>0</x:v>
      </x:c>
      <x:c r="BK499" s="6" t="str">
        <x:v>0</x:v>
      </x:c>
      <x:c r="BL499" s="6" t="str">
        <x:v>0</x:v>
      </x:c>
      <x:c r="BM499" s="6" t="str">
        <x:v>0</x:v>
      </x:c>
      <x:c r="BN499" s="6" t="str">
        <x:v>5</x:v>
      </x:c>
      <x:c r="BO499" s="6" t="str"/>
      <x:c r="BP499" s="6" t="str">
        <x:v>0</x:v>
      </x:c>
      <x:c r="BQ499" s="6" t="str"/>
      <x:c r="BR499" s="6" t="str">
        <x:v>0</x:v>
      </x:c>
      <x:c r="BS499" s="6" t="str">
        <x:v>0.0</x:v>
      </x:c>
      <x:c r="BT499" s="6" t="str">
        <x:v>5</x:v>
      </x:c>
      <x:c r="BU499" s="6" t="str"/>
      <x:c r="BV499" s="6" t="str">
        <x:v>0</x:v>
      </x:c>
      <x:c r="BW499" s="9" t="str">
        <x:v>operational_snapshot_annual_totals_may_differ</x:v>
      </x:c>
      <x:c r="BX499" s="9" t="str">
        <x:v>official_live_dashboard_snapshot_subject_to_revision</x:v>
      </x:c>
      <x:c r="BY499" s="9" t="str">
        <x:v>https://tbdashboard.sitb.id/ss_data_tbc03so_2025_provinsi_bulanan_list.php</x:v>
      </x:c>
      <x:c r="BZ499" s="6" t="n">
        <x:v>46246.610671296294</x:v>
      </x:c>
    </x:row>
    <x:row r="500" ht="18" customHeight="1">
      <x:c r="A500" s="6" t="str">
        <x:v>62</x:v>
      </x:c>
      <x:c r="B500" s="6" t="str">
        <x:v>KALIMANTAN TENGAH</x:v>
      </x:c>
      <x:c r="C500" s="6" t="str">
        <x:v>2025</x:v>
      </x:c>
      <x:c r="D500" s="6" t="str">
        <x:v>7</x:v>
      </x:c>
      <x:c r="E500" s="6" t="str">
        <x:v>2025-07</x:v>
      </x:c>
      <x:c r="F500" s="6" t="str">
        <x:v>483</x:v>
      </x:c>
      <x:c r="G500" s="6" t="str">
        <x:v>132</x:v>
      </x:c>
      <x:c r="H500" s="6" t="str">
        <x:v>205</x:v>
      </x:c>
      <x:c r="I500" s="6" t="str">
        <x:v>62</x:v>
      </x:c>
      <x:c r="J500" s="6" t="str">
        <x:v>17</x:v>
      </x:c>
      <x:c r="K500" s="6" t="str">
        <x:v>1</x:v>
      </x:c>
      <x:c r="L500" s="6" t="str">
        <x:v>0</x:v>
      </x:c>
      <x:c r="M500" s="6" t="str">
        <x:v>66</x:v>
      </x:c>
      <x:c r="N500" s="6" t="str">
        <x:v>483</x:v>
      </x:c>
      <x:c r="O500" s="6" t="str">
        <x:v>0</x:v>
      </x:c>
      <x:c r="P500" s="10" t="n">
        <x:f>F500-M500</x:f>
        <x:v>417</x:v>
      </x:c>
      <x:c r="Q500" s="11" t="n">
        <x:f>IFERROR(M500/F500,"")</x:f>
        <x:v>0.13664596273291926</x:v>
      </x:c>
      <x:c r="R500" s="10" t="n">
        <x:f>G500+H500</x:f>
        <x:v>337</x:v>
      </x:c>
      <x:c r="S500" s="11" t="n">
        <x:f>IFERROR(R500/F500,"")</x:f>
        <x:v>0.6977225672877847</x:v>
      </x:c>
      <x:c r="T500" s="11" t="n">
        <x:f>IFERROR(R500/P500,"")</x:f>
        <x:v>0.8081534772182254</x:v>
      </x:c>
      <x:c r="U500" s="10" t="n">
        <x:f>I500+J500+K500</x:f>
        <x:v>80</x:v>
      </x:c>
      <x:c r="V500" s="11" t="n">
        <x:f>IFERROR(U500/P500,"")</x:f>
        <x:v>0.19184652278177458</x:v>
      </x:c>
      <x:c r="W500" s="9" t="str">
        <x:v>provisional_gt_5pct_pending</x:v>
      </x:c>
      <x:c r="X500" s="12" t="n">
        <x:f>IFERROR(F500/Z500*100000,"")</x:f>
        <x:v>16.97715289982425</x:v>
      </x:c>
      <x:c r="Y500" s="13" t="n">
        <x:f>LN(Z500)</x:f>
        <x:v>14.861073625542568</x:v>
      </x:c>
      <x:c r="Z500" s="6" t="str">
        <x:v>2845000</x:v>
      </x:c>
      <x:c r="AA500" s="6" t="str">
        <x:v>19.0</x:v>
      </x:c>
      <x:c r="AB500" s="9" t="str">
        <x:v>2025-06-30</x:v>
      </x:c>
      <x:c r="AC500" s="8" t="str">
        <x:v>83.14</x:v>
      </x:c>
      <x:c r="AD500" s="9" t="str">
        <x:v>2025 (Susenas)</x:v>
      </x:c>
      <x:c r="AE500" s="8" t="str">
        <x:v>5.19</x:v>
      </x:c>
      <x:c r="AF500" s="9" t="str">
        <x:v>Maret 2025 (Susenas)</x:v>
      </x:c>
      <x:c r="AG500" s="6" t="str">
        <x:v>25.850114391816824</x:v>
      </x:c>
      <x:c r="AH500" s="8" t="str">
        <x:v>88.41795816945965</x:v>
      </x:c>
      <x:c r="AI500" s="6" t="str">
        <x:v>60.19828261825162</x:v>
      </x:c>
      <x:c r="AJ500" s="6" t="str">
        <x:v>0.6775907920202684</x:v>
      </x:c>
      <x:c r="AK500" s="8" t="str">
        <x:v>2.000131354419054</x:v>
      </x:c>
      <x:c r="AL500" s="6" t="str">
        <x:v>0.2887567859105074</x:v>
      </x:c>
      <x:c r="AM500" s="6" t="str">
        <x:v>1.423399800080563</x:v>
      </x:c>
      <x:c r="AN500" s="6" t="str">
        <x:v>1.2374293134700425</x:v>
      </x:c>
      <x:c r="AO500" s="6" t="str">
        <x:v>0.0380857259350904</x:v>
      </x:c>
      <x:c r="AP500" s="8" t="str">
        <x:v>0.0241634290916516</x:v>
      </x:c>
      <x:c r="AQ500" s="6" t="str">
        <x:v>0.7297876562995388</x:v>
      </x:c>
      <x:c r="AR500" s="6" t="str">
        <x:v>-0.941938785983081</x:v>
      </x:c>
      <x:c r="AS500" s="6" t="str">
        <x:v>-0.0626625668639636</x:v>
      </x:c>
      <x:c r="AT500" s="6" t="str">
        <x:v>-78.08480515590637</x:v>
      </x:c>
      <x:c r="AU500" s="8" t="str">
        <x:v>-0.9898065682060408</x:v>
      </x:c>
      <x:c r="AV500" s="6" t="str">
        <x:v>-0.4389889864513079</x:v>
      </x:c>
      <x:c r="AW500" s="6" t="str">
        <x:v>1.64021247234797</x:v>
      </x:c>
      <x:c r="AX500" s="6" t="str">
        <x:v>0.0704723058968733</x:v>
      </x:c>
      <x:c r="AY500" s="6" t="str">
        <x:v>0</x:v>
      </x:c>
      <x:c r="AZ500" s="6" t="str">
        <x:v>1</x:v>
      </x:c>
      <x:c r="BA500" s="9" t="str">
        <x:v>grid_cells_within_BIG_polygon</x:v>
      </x:c>
      <x:c r="BB500" s="6" t="str">
        <x:v>41</x:v>
      </x:c>
      <x:c r="BC500" s="6" t="str">
        <x:v>36</x:v>
      </x:c>
      <x:c r="BD500" s="6" t="str">
        <x:v>36</x:v>
      </x:c>
      <x:c r="BE500" s="6" t="str">
        <x:v>0</x:v>
      </x:c>
      <x:c r="BF500" s="6" t="str">
        <x:v>0</x:v>
      </x:c>
      <x:c r="BG500" s="6" t="str">
        <x:v>0</x:v>
      </x:c>
      <x:c r="BH500" s="6" t="str">
        <x:v>0</x:v>
      </x:c>
      <x:c r="BI500" s="6" t="str">
        <x:v>36</x:v>
      </x:c>
      <x:c r="BJ500" s="6" t="str">
        <x:v>0</x:v>
      </x:c>
      <x:c r="BK500" s="6" t="str">
        <x:v>0</x:v>
      </x:c>
      <x:c r="BL500" s="6" t="str">
        <x:v>0</x:v>
      </x:c>
      <x:c r="BM500" s="6" t="str">
        <x:v>0</x:v>
      </x:c>
      <x:c r="BN500" s="6" t="str">
        <x:v>36</x:v>
      </x:c>
      <x:c r="BO500" s="6" t="str"/>
      <x:c r="BP500" s="6" t="str">
        <x:v>0</x:v>
      </x:c>
      <x:c r="BQ500" s="6" t="str"/>
      <x:c r="BR500" s="6" t="str">
        <x:v>0</x:v>
      </x:c>
      <x:c r="BS500" s="6" t="str">
        <x:v>0.0</x:v>
      </x:c>
      <x:c r="BT500" s="6" t="str">
        <x:v>36</x:v>
      </x:c>
      <x:c r="BU500" s="6" t="str"/>
      <x:c r="BV500" s="6" t="str">
        <x:v>0</x:v>
      </x:c>
      <x:c r="BW500" s="9" t="str">
        <x:v>operational_snapshot_annual_totals_may_differ</x:v>
      </x:c>
      <x:c r="BX500" s="9" t="str">
        <x:v>official_live_dashboard_snapshot_subject_to_revision</x:v>
      </x:c>
      <x:c r="BY500" s="9" t="str">
        <x:v>https://tbdashboard.sitb.id/ss_data_tbc03so_2025_provinsi_bulanan_list.php</x:v>
      </x:c>
      <x:c r="BZ500" s="6" t="n">
        <x:v>46246.610671296294</x:v>
      </x:c>
    </x:row>
    <x:row r="501" ht="18" customHeight="1">
      <x:c r="A501" s="6" t="str">
        <x:v>62</x:v>
      </x:c>
      <x:c r="B501" s="6" t="str">
        <x:v>KALIMANTAN TENGAH</x:v>
      </x:c>
      <x:c r="C501" s="6" t="str">
        <x:v>2025</x:v>
      </x:c>
      <x:c r="D501" s="6" t="str">
        <x:v>8</x:v>
      </x:c>
      <x:c r="E501" s="6" t="str">
        <x:v>2025-08</x:v>
      </x:c>
      <x:c r="F501" s="6" t="str">
        <x:v>489</x:v>
      </x:c>
      <x:c r="G501" s="6" t="str">
        <x:v>128</x:v>
      </x:c>
      <x:c r="H501" s="6" t="str">
        <x:v>206</x:v>
      </x:c>
      <x:c r="I501" s="6" t="str">
        <x:v>45</x:v>
      </x:c>
      <x:c r="J501" s="6" t="str">
        <x:v>29</x:v>
      </x:c>
      <x:c r="K501" s="6" t="str">
        <x:v>0</x:v>
      </x:c>
      <x:c r="L501" s="6" t="str">
        <x:v>1</x:v>
      </x:c>
      <x:c r="M501" s="6" t="str">
        <x:v>80</x:v>
      </x:c>
      <x:c r="N501" s="6" t="str">
        <x:v>489</x:v>
      </x:c>
      <x:c r="O501" s="6" t="str">
        <x:v>0</x:v>
      </x:c>
      <x:c r="P501" s="10" t="n">
        <x:f>F501-M501</x:f>
        <x:v>409</x:v>
      </x:c>
      <x:c r="Q501" s="11" t="n">
        <x:f>IFERROR(M501/F501,"")</x:f>
        <x:v>0.16359918200409</x:v>
      </x:c>
      <x:c r="R501" s="10" t="n">
        <x:f>G501+H501</x:f>
        <x:v>334</x:v>
      </x:c>
      <x:c r="S501" s="11" t="n">
        <x:f>IFERROR(R501/F501,"")</x:f>
        <x:v>0.6830265848670757</x:v>
      </x:c>
      <x:c r="T501" s="11" t="n">
        <x:f>IFERROR(R501/P501,"")</x:f>
        <x:v>0.8166259168704156</x:v>
      </x:c>
      <x:c r="U501" s="10" t="n">
        <x:f>I501+J501+K501</x:f>
        <x:v>74</x:v>
      </x:c>
      <x:c r="V501" s="11" t="n">
        <x:f>IFERROR(U501/P501,"")</x:f>
        <x:v>0.18092909535452323</x:v>
      </x:c>
      <x:c r="W501" s="9" t="str">
        <x:v>provisional_gt_5pct_pending</x:v>
      </x:c>
      <x:c r="X501" s="12" t="n">
        <x:f>IFERROR(F501/Z501*100000,"")</x:f>
        <x:v>17.18804920913884</x:v>
      </x:c>
      <x:c r="Y501" s="13" t="n">
        <x:f>LN(Z501)</x:f>
        <x:v>14.861073625542568</x:v>
      </x:c>
      <x:c r="Z501" s="6" t="str">
        <x:v>2845000</x:v>
      </x:c>
      <x:c r="AA501" s="6" t="str">
        <x:v>19.0</x:v>
      </x:c>
      <x:c r="AB501" s="9" t="str">
        <x:v>2025-06-30</x:v>
      </x:c>
      <x:c r="AC501" s="8" t="str">
        <x:v>83.14</x:v>
      </x:c>
      <x:c r="AD501" s="9" t="str">
        <x:v>2025 (Susenas)</x:v>
      </x:c>
      <x:c r="AE501" s="8" t="str">
        <x:v>5.19</x:v>
      </x:c>
      <x:c r="AF501" s="9" t="str">
        <x:v>Maret 2025 (Susenas)</x:v>
      </x:c>
      <x:c r="AG501" s="6" t="str">
        <x:v>25.442288323966324</x:v>
      </x:c>
      <x:c r="AH501" s="8" t="str">
        <x:v>88.91094170521654</x:v>
      </x:c>
      <x:c r="AI501" s="6" t="str">
        <x:v>258.0268523266326</x:v>
      </x:c>
      <x:c r="AJ501" s="6" t="str">
        <x:v>0.1482262109081809</x:v>
      </x:c>
      <x:c r="AK501" s="8" t="str">
        <x:v>0.3695503122573439</x:v>
      </x:c>
      <x:c r="AL501" s="6" t="str">
        <x:v>2.000131354419054</x:v>
      </x:c>
      <x:c r="AM501" s="6" t="str">
        <x:v>0.2887567859105074</x:v>
      </x:c>
      <x:c r="AN501" s="6" t="str">
        <x:v>0.8861461508623024</x:v>
      </x:c>
      <x:c r="AO501" s="6" t="str">
        <x:v>2.7622208300245603</x:v>
      </x:c>
      <x:c r="AP501" s="8" t="str">
        <x:v>1.0907395311825503</x:v>
      </x:c>
      <x:c r="AQ501" s="6" t="str">
        <x:v>0.0241634290916516</x:v>
      </x:c>
      <x:c r="AR501" s="6" t="str">
        <x:v>0.7297876562995388</x:v>
      </x:c>
      <x:c r="AS501" s="6" t="str">
        <x:v>0.6148968721912468</x:v>
      </x:c>
      <x:c r="AT501" s="6" t="str">
        <x:v>140.55414509029274</x:v>
      </x:c>
      <x:c r="AU501" s="8" t="str">
        <x:v>1.652733504216514</x:v>
      </x:c>
      <x:c r="AV501" s="6" t="str">
        <x:v>-0.9898065682060408</x:v>
      </x:c>
      <x:c r="AW501" s="6" t="str">
        <x:v>-0.4389889864513079</x:v>
      </x:c>
      <x:c r="AX501" s="6" t="str">
        <x:v>0.0746459831863881</x:v>
      </x:c>
      <x:c r="AY501" s="6" t="str">
        <x:v>1</x:v>
      </x:c>
      <x:c r="AZ501" s="6" t="str">
        <x:v>0</x:v>
      </x:c>
      <x:c r="BA501" s="9" t="str">
        <x:v>grid_cells_within_BIG_polygon</x:v>
      </x:c>
      <x:c r="BB501" s="6" t="str">
        <x:v>41</x:v>
      </x:c>
      <x:c r="BC501" s="6" t="str">
        <x:v>20</x:v>
      </x:c>
      <x:c r="BD501" s="6" t="str">
        <x:v>20</x:v>
      </x:c>
      <x:c r="BE501" s="6" t="str">
        <x:v>4</x:v>
      </x:c>
      <x:c r="BF501" s="6" t="str">
        <x:v>0</x:v>
      </x:c>
      <x:c r="BG501" s="6" t="str">
        <x:v>1</x:v>
      </x:c>
      <x:c r="BH501" s="6" t="str">
        <x:v>0</x:v>
      </x:c>
      <x:c r="BI501" s="6" t="str">
        <x:v>15</x:v>
      </x:c>
      <x:c r="BJ501" s="6" t="str">
        <x:v>0</x:v>
      </x:c>
      <x:c r="BK501" s="6" t="str">
        <x:v>0</x:v>
      </x:c>
      <x:c r="BL501" s="6" t="str">
        <x:v>0</x:v>
      </x:c>
      <x:c r="BM501" s="6" t="str">
        <x:v>0</x:v>
      </x:c>
      <x:c r="BN501" s="6" t="str">
        <x:v>20</x:v>
      </x:c>
      <x:c r="BO501" s="6" t="str"/>
      <x:c r="BP501" s="6" t="str">
        <x:v>0</x:v>
      </x:c>
      <x:c r="BQ501" s="6" t="str">
        <x:v>1.0</x:v>
      </x:c>
      <x:c r="BR501" s="6" t="str">
        <x:v>1</x:v>
      </x:c>
      <x:c r="BS501" s="6" t="str">
        <x:v>49.0</x:v>
      </x:c>
      <x:c r="BT501" s="6" t="str">
        <x:v>20</x:v>
      </x:c>
      <x:c r="BU501" s="6" t="str">
        <x:v>2537.0</x:v>
      </x:c>
      <x:c r="BV501" s="6" t="str">
        <x:v>3</x:v>
      </x:c>
      <x:c r="BW501" s="9" t="str">
        <x:v>operational_snapshot_annual_totals_may_differ</x:v>
      </x:c>
      <x:c r="BX501" s="9" t="str">
        <x:v>official_live_dashboard_snapshot_subject_to_revision</x:v>
      </x:c>
      <x:c r="BY501" s="9" t="str">
        <x:v>https://tbdashboard.sitb.id/ss_data_tbc03so_2025_provinsi_bulanan_list.php</x:v>
      </x:c>
      <x:c r="BZ501" s="6" t="n">
        <x:v>46246.610671296294</x:v>
      </x:c>
    </x:row>
    <x:row r="502" ht="18" customHeight="1">
      <x:c r="A502" s="6" t="str">
        <x:v>62</x:v>
      </x:c>
      <x:c r="B502" s="6" t="str">
        <x:v>KALIMANTAN TENGAH</x:v>
      </x:c>
      <x:c r="C502" s="6" t="str">
        <x:v>2025</x:v>
      </x:c>
      <x:c r="D502" s="6" t="str">
        <x:v>9</x:v>
      </x:c>
      <x:c r="E502" s="6" t="str">
        <x:v>2025-09</x:v>
      </x:c>
      <x:c r="F502" s="6" t="str">
        <x:v>485</x:v>
      </x:c>
      <x:c r="G502" s="6" t="str">
        <x:v>111</x:v>
      </x:c>
      <x:c r="H502" s="6" t="str">
        <x:v>198</x:v>
      </x:c>
      <x:c r="I502" s="6" t="str">
        <x:v>62</x:v>
      </x:c>
      <x:c r="J502" s="6" t="str">
        <x:v>24</x:v>
      </x:c>
      <x:c r="K502" s="6" t="str">
        <x:v>2</x:v>
      </x:c>
      <x:c r="L502" s="6" t="str">
        <x:v>0</x:v>
      </x:c>
      <x:c r="M502" s="6" t="str">
        <x:v>88</x:v>
      </x:c>
      <x:c r="N502" s="6" t="str">
        <x:v>485</x:v>
      </x:c>
      <x:c r="O502" s="6" t="str">
        <x:v>0</x:v>
      </x:c>
      <x:c r="P502" s="10" t="n">
        <x:f>F502-M502</x:f>
        <x:v>397</x:v>
      </x:c>
      <x:c r="Q502" s="11" t="n">
        <x:f>IFERROR(M502/F502,"")</x:f>
        <x:v>0.18144329896907216</x:v>
      </x:c>
      <x:c r="R502" s="10" t="n">
        <x:f>G502+H502</x:f>
        <x:v>309</x:v>
      </x:c>
      <x:c r="S502" s="11" t="n">
        <x:f>IFERROR(R502/F502,"")</x:f>
        <x:v>0.6371134020618556</x:v>
      </x:c>
      <x:c r="T502" s="11" t="n">
        <x:f>IFERROR(R502/P502,"")</x:f>
        <x:v>0.7783375314861462</x:v>
      </x:c>
      <x:c r="U502" s="10" t="n">
        <x:f>I502+J502+K502</x:f>
        <x:v>88</x:v>
      </x:c>
      <x:c r="V502" s="11" t="n">
        <x:f>IFERROR(U502/P502,"")</x:f>
        <x:v>0.2216624685138539</x:v>
      </x:c>
      <x:c r="W502" s="9" t="str">
        <x:v>provisional_gt_5pct_pending</x:v>
      </x:c>
      <x:c r="X502" s="12" t="n">
        <x:f>IFERROR(F502/Z502*100000,"")</x:f>
        <x:v>17.047451669595784</x:v>
      </x:c>
      <x:c r="Y502" s="13" t="n">
        <x:f>LN(Z502)</x:f>
        <x:v>14.861073625542568</x:v>
      </x:c>
      <x:c r="Z502" s="6" t="str">
        <x:v>2845000</x:v>
      </x:c>
      <x:c r="AA502" s="6" t="str">
        <x:v>19.0</x:v>
      </x:c>
      <x:c r="AB502" s="9" t="str">
        <x:v>2025-06-30</x:v>
      </x:c>
      <x:c r="AC502" s="8" t="str">
        <x:v>83.14</x:v>
      </x:c>
      <x:c r="AD502" s="9" t="str">
        <x:v>2025 (Susenas)</x:v>
      </x:c>
      <x:c r="AE502" s="8" t="str">
        <x:v>5.19</x:v>
      </x:c>
      <x:c r="AF502" s="9" t="str">
        <x:v>Maret 2025 (Susenas)</x:v>
      </x:c>
      <x:c r="AG502" s="6" t="str">
        <x:v>25.94718128959889</x:v>
      </x:c>
      <x:c r="AH502" s="8" t="str">
        <x:v>88.58888646700976</x:v>
      </x:c>
      <x:c r="AI502" s="6" t="str">
        <x:v>260.4825076987346</x:v>
      </x:c>
      <x:c r="AJ502" s="6" t="str">
        <x:v>0.2599607641655126</x:v>
      </x:c>
      <x:c r="AK502" s="8" t="str">
        <x:v>0.5250740016678075</x:v>
      </x:c>
      <x:c r="AL502" s="6" t="str">
        <x:v>0.3695503122573439</x:v>
      </x:c>
      <x:c r="AM502" s="6" t="str">
        <x:v>2.000131354419054</x:v>
      </x:c>
      <x:c r="AN502" s="6" t="str">
        <x:v>0.964918556114736</x:v>
      </x:c>
      <x:c r="AO502" s="6" t="str">
        <x:v>3.951884798426633</x:v>
      </x:c>
      <x:c r="AP502" s="8" t="str">
        <x:v>1.1832248988957557</x:v>
      </x:c>
      <x:c r="AQ502" s="6" t="str">
        <x:v>1.0907395311825503</x:v>
      </x:c>
      <x:c r="AR502" s="6" t="str">
        <x:v>0.0241634290916516</x:v>
      </x:c>
      <x:c r="AS502" s="6" t="str">
        <x:v>0.7660426197233191</x:v>
      </x:c>
      <x:c r="AT502" s="6" t="str">
        <x:v>123.29223157223132</x:v>
      </x:c>
      <x:c r="AU502" s="8" t="str">
        <x:v>1.4328827031365052</x:v>
      </x:c>
      <x:c r="AV502" s="6" t="str">
        <x:v>1.652733504216514</x:v>
      </x:c>
      <x:c r="AW502" s="6" t="str">
        <x:v>-0.9898065682060408</x:v>
      </x:c>
      <x:c r="AX502" s="6" t="str">
        <x:v>0.6986032130489925</x:v>
      </x:c>
      <x:c r="AY502" s="6" t="str">
        <x:v>1</x:v>
      </x:c>
      <x:c r="AZ502" s="6" t="str">
        <x:v>0</x:v>
      </x:c>
      <x:c r="BA502" s="9" t="str">
        <x:v>grid_cells_within_BIG_polygon</x:v>
      </x:c>
      <x:c r="BB502" s="6" t="str">
        <x:v>41</x:v>
      </x:c>
      <x:c r="BC502" s="6" t="str">
        <x:v>18</x:v>
      </x:c>
      <x:c r="BD502" s="6" t="str">
        <x:v>18</x:v>
      </x:c>
      <x:c r="BE502" s="6" t="str">
        <x:v>8</x:v>
      </x:c>
      <x:c r="BF502" s="6" t="str">
        <x:v>0</x:v>
      </x:c>
      <x:c r="BG502" s="6" t="str">
        <x:v>0</x:v>
      </x:c>
      <x:c r="BH502" s="6" t="str">
        <x:v>0</x:v>
      </x:c>
      <x:c r="BI502" s="6" t="str">
        <x:v>10</x:v>
      </x:c>
      <x:c r="BJ502" s="6" t="str">
        <x:v>0</x:v>
      </x:c>
      <x:c r="BK502" s="6" t="str">
        <x:v>0</x:v>
      </x:c>
      <x:c r="BL502" s="6" t="str">
        <x:v>0</x:v>
      </x:c>
      <x:c r="BM502" s="6" t="str">
        <x:v>0</x:v>
      </x:c>
      <x:c r="BN502" s="6" t="str">
        <x:v>18</x:v>
      </x:c>
      <x:c r="BO502" s="6" t="str"/>
      <x:c r="BP502" s="6" t="str">
        <x:v>0</x:v>
      </x:c>
      <x:c r="BQ502" s="6" t="str"/>
      <x:c r="BR502" s="6" t="str">
        <x:v>0</x:v>
      </x:c>
      <x:c r="BS502" s="6" t="str">
        <x:v>0.0</x:v>
      </x:c>
      <x:c r="BT502" s="6" t="str">
        <x:v>18</x:v>
      </x:c>
      <x:c r="BU502" s="6" t="str">
        <x:v>1549.0</x:v>
      </x:c>
      <x:c r="BV502" s="6" t="str">
        <x:v>7</x:v>
      </x:c>
      <x:c r="BW502" s="9" t="str">
        <x:v>operational_snapshot_annual_totals_may_differ</x:v>
      </x:c>
      <x:c r="BX502" s="9" t="str">
        <x:v>official_live_dashboard_snapshot_subject_to_revision</x:v>
      </x:c>
      <x:c r="BY502" s="9" t="str">
        <x:v>https://tbdashboard.sitb.id/ss_data_tbc03so_2025_provinsi_bulanan_list.php</x:v>
      </x:c>
      <x:c r="BZ502" s="6" t="n">
        <x:v>46246.610671296294</x:v>
      </x:c>
    </x:row>
    <x:row r="503" ht="18" customHeight="1">
      <x:c r="A503" s="6" t="str">
        <x:v>62</x:v>
      </x:c>
      <x:c r="B503" s="6" t="str">
        <x:v>KALIMANTAN TENGAH</x:v>
      </x:c>
      <x:c r="C503" s="6" t="str">
        <x:v>2025</x:v>
      </x:c>
      <x:c r="D503" s="6" t="str">
        <x:v>10</x:v>
      </x:c>
      <x:c r="E503" s="6" t="str">
        <x:v>2025-10</x:v>
      </x:c>
      <x:c r="F503" s="6" t="str">
        <x:v>552</x:v>
      </x:c>
      <x:c r="G503" s="6" t="str">
        <x:v>99</x:v>
      </x:c>
      <x:c r="H503" s="6" t="str">
        <x:v>252</x:v>
      </x:c>
      <x:c r="I503" s="6" t="str">
        <x:v>59</x:v>
      </x:c>
      <x:c r="J503" s="6" t="str">
        <x:v>20</x:v>
      </x:c>
      <x:c r="K503" s="6" t="str">
        <x:v>0</x:v>
      </x:c>
      <x:c r="L503" s="6" t="str">
        <x:v>0</x:v>
      </x:c>
      <x:c r="M503" s="6" t="str">
        <x:v>122</x:v>
      </x:c>
      <x:c r="N503" s="6" t="str">
        <x:v>552</x:v>
      </x:c>
      <x:c r="O503" s="6" t="str">
        <x:v>0</x:v>
      </x:c>
      <x:c r="P503" s="10" t="n">
        <x:f>F503-M503</x:f>
        <x:v>430</x:v>
      </x:c>
      <x:c r="Q503" s="11" t="n">
        <x:f>IFERROR(M503/F503,"")</x:f>
        <x:v>0.2210144927536232</x:v>
      </x:c>
      <x:c r="R503" s="10" t="n">
        <x:f>G503+H503</x:f>
        <x:v>351</x:v>
      </x:c>
      <x:c r="S503" s="11" t="n">
        <x:f>IFERROR(R503/F503,"")</x:f>
        <x:v>0.6358695652173914</x:v>
      </x:c>
      <x:c r="T503" s="11" t="n">
        <x:f>IFERROR(R503/P503,"")</x:f>
        <x:v>0.8162790697674419</x:v>
      </x:c>
      <x:c r="U503" s="10" t="n">
        <x:f>I503+J503+K503</x:f>
        <x:v>79</x:v>
      </x:c>
      <x:c r="V503" s="11" t="n">
        <x:f>IFERROR(U503/P503,"")</x:f>
        <x:v>0.18372093023255814</x:v>
      </x:c>
      <x:c r="W503" s="9" t="str">
        <x:v>provisional_gt_5pct_pending</x:v>
      </x:c>
      <x:c r="X503" s="12" t="n">
        <x:f>IFERROR(F503/Z503*100000,"")</x:f>
        <x:v>19.402460456942002</x:v>
      </x:c>
      <x:c r="Y503" s="13" t="n">
        <x:f>LN(Z503)</x:f>
        <x:v>14.861073625542568</x:v>
      </x:c>
      <x:c r="Z503" s="6" t="str">
        <x:v>2845000</x:v>
      </x:c>
      <x:c r="AA503" s="6" t="str">
        <x:v>19.0</x:v>
      </x:c>
      <x:c r="AB503" s="9" t="str">
        <x:v>2025-06-30</x:v>
      </x:c>
      <x:c r="AC503" s="8" t="str">
        <x:v>83.14</x:v>
      </x:c>
      <x:c r="AD503" s="9" t="str">
        <x:v>2025 (Susenas)</x:v>
      </x:c>
      <x:c r="AE503" s="8" t="str">
        <x:v>5.19</x:v>
      </x:c>
      <x:c r="AF503" s="9" t="str">
        <x:v>Maret 2025 (Susenas)</x:v>
      </x:c>
      <x:c r="AG503" s="6" t="str">
        <x:v>26.09152795690538</x:v>
      </x:c>
      <x:c r="AH503" s="8" t="str">
        <x:v>88.08511726329189</x:v>
      </x:c>
      <x:c r="AI503" s="6" t="str">
        <x:v>337.10136189325607</x:v>
      </x:c>
      <x:c r="AJ503" s="6" t="str">
        <x:v>0.0226657721235667</x:v>
      </x:c>
      <x:c r="AK503" s="8" t="str">
        <x:v>0.0592265576392955</x:v>
      </x:c>
      <x:c r="AL503" s="6" t="str">
        <x:v>0.5250740016678075</x:v>
      </x:c>
      <x:c r="AM503" s="6" t="str">
        <x:v>0.3695503122573439</x:v>
      </x:c>
      <x:c r="AN503" s="6" t="str">
        <x:v>0.3179502905214829</x:v>
      </x:c>
      <x:c r="AO503" s="6" t="str">
        <x:v>2.652832107477749</x:v>
      </x:c>
      <x:c r="AP503" s="8" t="str">
        <x:v>0.7926699178879489</x:v>
      </x:c>
      <x:c r="AQ503" s="6" t="str">
        <x:v>1.1832248988957557</x:v>
      </x:c>
      <x:c r="AR503" s="6" t="str">
        <x:v>1.0907395311825503</x:v>
      </x:c>
      <x:c r="AS503" s="6" t="str">
        <x:v>1.0222114493220849</x:v>
      </x:c>
      <x:c r="AT503" s="6" t="str">
        <x:v>122.175759209162</x:v>
      </x:c>
      <x:c r="AU503" s="8" t="str">
        <x:v>1.2906361056544542</x:v>
      </x:c>
      <x:c r="AV503" s="6" t="str">
        <x:v>1.4328827031365052</x:v>
      </x:c>
      <x:c r="AW503" s="6" t="str">
        <x:v>1.652733504216514</x:v>
      </x:c>
      <x:c r="AX503" s="6" t="str">
        <x:v>1.4587507710024907</x:v>
      </x:c>
      <x:c r="AY503" s="6" t="str">
        <x:v>1</x:v>
      </x:c>
      <x:c r="AZ503" s="6" t="str">
        <x:v>0</x:v>
      </x:c>
      <x:c r="BA503" s="9" t="str">
        <x:v>grid_cells_within_BIG_polygon</x:v>
      </x:c>
      <x:c r="BB503" s="6" t="str">
        <x:v>41</x:v>
      </x:c>
      <x:c r="BC503" s="6" t="str">
        <x:v>8</x:v>
      </x:c>
      <x:c r="BD503" s="6" t="str">
        <x:v>8</x:v>
      </x:c>
      <x:c r="BE503" s="6" t="str">
        <x:v>1</x:v>
      </x:c>
      <x:c r="BF503" s="6" t="str">
        <x:v>0</x:v>
      </x:c>
      <x:c r="BG503" s="6" t="str">
        <x:v>0</x:v>
      </x:c>
      <x:c r="BH503" s="6" t="str">
        <x:v>0</x:v>
      </x:c>
      <x:c r="BI503" s="6" t="str">
        <x:v>7</x:v>
      </x:c>
      <x:c r="BJ503" s="6" t="str">
        <x:v>0</x:v>
      </x:c>
      <x:c r="BK503" s="6" t="str">
        <x:v>0</x:v>
      </x:c>
      <x:c r="BL503" s="6" t="str">
        <x:v>0</x:v>
      </x:c>
      <x:c r="BM503" s="6" t="str">
        <x:v>0</x:v>
      </x:c>
      <x:c r="BN503" s="6" t="str">
        <x:v>8</x:v>
      </x:c>
      <x:c r="BO503" s="6" t="str"/>
      <x:c r="BP503" s="6" t="str">
        <x:v>0</x:v>
      </x:c>
      <x:c r="BQ503" s="6" t="str"/>
      <x:c r="BR503" s="6" t="str">
        <x:v>0</x:v>
      </x:c>
      <x:c r="BS503" s="6" t="str">
        <x:v>0.0</x:v>
      </x:c>
      <x:c r="BT503" s="6" t="str">
        <x:v>8</x:v>
      </x:c>
      <x:c r="BU503" s="6" t="str">
        <x:v>3369.0</x:v>
      </x:c>
      <x:c r="BV503" s="6" t="str">
        <x:v>1</x:v>
      </x:c>
      <x:c r="BW503" s="9" t="str">
        <x:v>operational_snapshot_annual_totals_may_differ</x:v>
      </x:c>
      <x:c r="BX503" s="9" t="str">
        <x:v>official_live_dashboard_snapshot_subject_to_revision</x:v>
      </x:c>
      <x:c r="BY503" s="9" t="str">
        <x:v>https://tbdashboard.sitb.id/ss_data_tbc03so_2025_provinsi_bulanan_list.php</x:v>
      </x:c>
      <x:c r="BZ503" s="6" t="n">
        <x:v>46246.610671296294</x:v>
      </x:c>
    </x:row>
    <x:row r="504" ht="18" customHeight="1">
      <x:c r="A504" s="6" t="str">
        <x:v>62</x:v>
      </x:c>
      <x:c r="B504" s="6" t="str">
        <x:v>KALIMANTAN TENGAH</x:v>
      </x:c>
      <x:c r="C504" s="6" t="str">
        <x:v>2025</x:v>
      </x:c>
      <x:c r="D504" s="6" t="str">
        <x:v>11</x:v>
      </x:c>
      <x:c r="E504" s="6" t="str">
        <x:v>2025-11</x:v>
      </x:c>
      <x:c r="F504" s="6" t="str">
        <x:v>461</x:v>
      </x:c>
      <x:c r="G504" s="6" t="str">
        <x:v>90</x:v>
      </x:c>
      <x:c r="H504" s="6" t="str">
        <x:v>164</x:v>
      </x:c>
      <x:c r="I504" s="6" t="str">
        <x:v>46</x:v>
      </x:c>
      <x:c r="J504" s="6" t="str">
        <x:v>22</x:v>
      </x:c>
      <x:c r="K504" s="6" t="str">
        <x:v>0</x:v>
      </x:c>
      <x:c r="L504" s="6" t="str">
        <x:v>1</x:v>
      </x:c>
      <x:c r="M504" s="6" t="str">
        <x:v>138</x:v>
      </x:c>
      <x:c r="N504" s="6" t="str">
        <x:v>461</x:v>
      </x:c>
      <x:c r="O504" s="6" t="str">
        <x:v>0</x:v>
      </x:c>
      <x:c r="P504" s="10" t="n">
        <x:f>F504-M504</x:f>
        <x:v>323</x:v>
      </x:c>
      <x:c r="Q504" s="11" t="n">
        <x:f>IFERROR(M504/F504,"")</x:f>
        <x:v>0.2993492407809111</x:v>
      </x:c>
      <x:c r="R504" s="10" t="n">
        <x:f>G504+H504</x:f>
        <x:v>254</x:v>
      </x:c>
      <x:c r="S504" s="11" t="n">
        <x:f>IFERROR(R504/F504,"")</x:f>
        <x:v>0.5509761388286334</x:v>
      </x:c>
      <x:c r="T504" s="11" t="n">
        <x:f>IFERROR(R504/P504,"")</x:f>
        <x:v>0.7863777089783281</x:v>
      </x:c>
      <x:c r="U504" s="10" t="n">
        <x:f>I504+J504+K504</x:f>
        <x:v>68</x:v>
      </x:c>
      <x:c r="V504" s="11" t="n">
        <x:f>IFERROR(U504/P504,"")</x:f>
        <x:v>0.21052631578947367</x:v>
      </x:c>
      <x:c r="W504" s="9" t="str">
        <x:v>provisional_gt_5pct_pending</x:v>
      </x:c>
      <x:c r="X504" s="12" t="n">
        <x:f>IFERROR(F504/Z504*100000,"")</x:f>
        <x:v>16.203866432337435</x:v>
      </x:c>
      <x:c r="Y504" s="13" t="n">
        <x:f>LN(Z504)</x:f>
        <x:v>14.861073625542568</x:v>
      </x:c>
      <x:c r="Z504" s="6" t="str">
        <x:v>2845000</x:v>
      </x:c>
      <x:c r="AA504" s="6" t="str">
        <x:v>19.0</x:v>
      </x:c>
      <x:c r="AB504" s="9" t="str">
        <x:v>2025-06-30</x:v>
      </x:c>
      <x:c r="AC504" s="8" t="str">
        <x:v>83.14</x:v>
      </x:c>
      <x:c r="AD504" s="9" t="str">
        <x:v>2025 (Susenas)</x:v>
      </x:c>
      <x:c r="AE504" s="8" t="str">
        <x:v>5.19</x:v>
      </x:c>
      <x:c r="AF504" s="9" t="str">
        <x:v>Maret 2025 (Susenas)</x:v>
      </x:c>
      <x:c r="AG504" s="6" t="str">
        <x:v>26.144948105011288</x:v>
      </x:c>
      <x:c r="AH504" s="8" t="str">
        <x:v>89.10555664000098</x:v>
      </x:c>
      <x:c r="AI504" s="6" t="str">
        <x:v>358.1781952973801</x:v>
      </x:c>
      <x:c r="AJ504" s="6" t="str">
        <x:v>0.1766499078119672</x:v>
      </x:c>
      <x:c r="AK504" s="8" t="str">
        <x:v>0.6072339603574852</x:v>
      </x:c>
      <x:c r="AL504" s="6" t="str">
        <x:v>0.0592265576392955</x:v>
      </x:c>
      <x:c r="AM504" s="6" t="str">
        <x:v>0.5250740016678075</x:v>
      </x:c>
      <x:c r="AN504" s="6" t="str">
        <x:v>0.39717817322153</x:v>
      </x:c>
      <x:c r="AO504" s="6" t="str">
        <x:v>0.8588361088254146</x:v>
      </x:c>
      <x:c r="AP504" s="8" t="str">
        <x:v>0.5652288066208597</x:v>
      </x:c>
      <x:c r="AQ504" s="6" t="str">
        <x:v>0.7926699178879489</x:v>
      </x:c>
      <x:c r="AR504" s="6" t="str">
        <x:v>1.1832248988957557</x:v>
      </x:c>
      <x:c r="AS504" s="6" t="str">
        <x:v>0.8470412078015214</x:v>
      </x:c>
      <x:c r="AT504" s="6" t="str">
        <x:v>52.49750954627763</x:v>
      </x:c>
      <x:c r="AU504" s="8" t="str">
        <x:v>0.8414941164850377</x:v>
      </x:c>
      <x:c r="AV504" s="6" t="str">
        <x:v>1.2906361056544542</x:v>
      </x:c>
      <x:c r="AW504" s="6" t="str">
        <x:v>1.4328827031365052</x:v>
      </x:c>
      <x:c r="AX504" s="6" t="str">
        <x:v>1.1883376417586653</x:v>
      </x:c>
      <x:c r="AY504" s="6" t="str">
        <x:v>0</x:v>
      </x:c>
      <x:c r="AZ504" s="6" t="str">
        <x:v>0</x:v>
      </x:c>
      <x:c r="BA504" s="9" t="str">
        <x:v>grid_cells_within_BIG_polygon</x:v>
      </x:c>
      <x:c r="BB504" s="6" t="str">
        <x:v>41</x:v>
      </x:c>
      <x:c r="BC504" s="6" t="str">
        <x:v>2</x:v>
      </x:c>
      <x:c r="BD504" s="6" t="str">
        <x:v>2</x:v>
      </x:c>
      <x:c r="BE504" s="6" t="str">
        <x:v>2</x:v>
      </x:c>
      <x:c r="BF504" s="6" t="str">
        <x:v>0</x:v>
      </x:c>
      <x:c r="BG504" s="6" t="str">
        <x:v>0</x:v>
      </x:c>
      <x:c r="BH504" s="6" t="str">
        <x:v>0</x:v>
      </x:c>
      <x:c r="BI504" s="6" t="str">
        <x:v>0</x:v>
      </x:c>
      <x:c r="BJ504" s="6" t="str">
        <x:v>0</x:v>
      </x:c>
      <x:c r="BK504" s="6" t="str">
        <x:v>0</x:v>
      </x:c>
      <x:c r="BL504" s="6" t="str">
        <x:v>0</x:v>
      </x:c>
      <x:c r="BM504" s="6" t="str">
        <x:v>0</x:v>
      </x:c>
      <x:c r="BN504" s="6" t="str">
        <x:v>2</x:v>
      </x:c>
      <x:c r="BO504" s="6" t="str"/>
      <x:c r="BP504" s="6" t="str">
        <x:v>0</x:v>
      </x:c>
      <x:c r="BQ504" s="6" t="str"/>
      <x:c r="BR504" s="6" t="str">
        <x:v>0</x:v>
      </x:c>
      <x:c r="BS504" s="6" t="str">
        <x:v>0.0</x:v>
      </x:c>
      <x:c r="BT504" s="6" t="str">
        <x:v>2</x:v>
      </x:c>
      <x:c r="BU504" s="6" t="str">
        <x:v>348.0</x:v>
      </x:c>
      <x:c r="BV504" s="6" t="str">
        <x:v>2</x:v>
      </x:c>
      <x:c r="BW504" s="9" t="str">
        <x:v>operational_snapshot_annual_totals_may_differ</x:v>
      </x:c>
      <x:c r="BX504" s="9" t="str">
        <x:v>official_live_dashboard_snapshot_subject_to_revision</x:v>
      </x:c>
      <x:c r="BY504" s="9" t="str">
        <x:v>https://tbdashboard.sitb.id/ss_data_tbc03so_2025_provinsi_bulanan_list.php</x:v>
      </x:c>
      <x:c r="BZ504" s="6" t="n">
        <x:v>46246.610671296294</x:v>
      </x:c>
    </x:row>
    <x:row r="505" ht="18" customHeight="1">
      <x:c r="A505" s="6" t="str">
        <x:v>62</x:v>
      </x:c>
      <x:c r="B505" s="6" t="str">
        <x:v>KALIMANTAN TENGAH</x:v>
      </x:c>
      <x:c r="C505" s="6" t="str">
        <x:v>2025</x:v>
      </x:c>
      <x:c r="D505" s="6" t="str">
        <x:v>12</x:v>
      </x:c>
      <x:c r="E505" s="6" t="str">
        <x:v>2025-12</x:v>
      </x:c>
      <x:c r="F505" s="6" t="str">
        <x:v>431</x:v>
      </x:c>
      <x:c r="G505" s="6" t="str">
        <x:v>68</x:v>
      </x:c>
      <x:c r="H505" s="6" t="str">
        <x:v>136</x:v>
      </x:c>
      <x:c r="I505" s="6" t="str">
        <x:v>36</x:v>
      </x:c>
      <x:c r="J505" s="6" t="str">
        <x:v>20</x:v>
      </x:c>
      <x:c r="K505" s="6" t="str">
        <x:v>1</x:v>
      </x:c>
      <x:c r="L505" s="6" t="str">
        <x:v>2</x:v>
      </x:c>
      <x:c r="M505" s="6" t="str">
        <x:v>168</x:v>
      </x:c>
      <x:c r="N505" s="6" t="str">
        <x:v>431</x:v>
      </x:c>
      <x:c r="O505" s="6" t="str">
        <x:v>0</x:v>
      </x:c>
      <x:c r="P505" s="10" t="n">
        <x:f>F505-M505</x:f>
        <x:v>263</x:v>
      </x:c>
      <x:c r="Q505" s="11" t="n">
        <x:f>IFERROR(M505/F505,"")</x:f>
        <x:v>0.38979118329466356</x:v>
      </x:c>
      <x:c r="R505" s="10" t="n">
        <x:f>G505+H505</x:f>
        <x:v>204</x:v>
      </x:c>
      <x:c r="S505" s="11" t="n">
        <x:f>IFERROR(R505/F505,"")</x:f>
        <x:v>0.4733178654292343</x:v>
      </x:c>
      <x:c r="T505" s="11" t="n">
        <x:f>IFERROR(R505/P505,"")</x:f>
        <x:v>0.7756653992395437</x:v>
      </x:c>
      <x:c r="U505" s="10" t="n">
        <x:f>I505+J505+K505</x:f>
        <x:v>57</x:v>
      </x:c>
      <x:c r="V505" s="11" t="n">
        <x:f>IFERROR(U505/P505,"")</x:f>
        <x:v>0.21673003802281368</x:v>
      </x:c>
      <x:c r="W505" s="9" t="str">
        <x:v>provisional_gt_5pct_pending</x:v>
      </x:c>
      <x:c r="X505" s="12" t="n">
        <x:f>IFERROR(F505/Z505*100000,"")</x:f>
        <x:v>15.149384885764501</x:v>
      </x:c>
      <x:c r="Y505" s="13" t="n">
        <x:f>LN(Z505)</x:f>
        <x:v>14.861073625542568</x:v>
      </x:c>
      <x:c r="Z505" s="6" t="str">
        <x:v>2845000</x:v>
      </x:c>
      <x:c r="AA505" s="6" t="str">
        <x:v>19.0</x:v>
      </x:c>
      <x:c r="AB505" s="9" t="str">
        <x:v>2025-06-30</x:v>
      </x:c>
      <x:c r="AC505" s="8" t="str">
        <x:v>83.14</x:v>
      </x:c>
      <x:c r="AD505" s="9" t="str">
        <x:v>2025 (Susenas)</x:v>
      </x:c>
      <x:c r="AE505" s="8" t="str">
        <x:v>5.19</x:v>
      </x:c>
      <x:c r="AF505" s="9" t="str">
        <x:v>Maret 2025 (Susenas)</x:v>
      </x:c>
      <x:c r="AG505" s="6" t="str">
        <x:v>25.911589509871533</x:v>
      </x:c>
      <x:c r="AH505" s="8" t="str">
        <x:v>90.03998384448587</x:v>
      </x:c>
      <x:c r="AI505" s="6" t="str">
        <x:v>383.71965341603607</x:v>
      </x:c>
      <x:c r="AJ505" s="6" t="str">
        <x:v>0.2858046394285907</x:v>
      </x:c>
      <x:c r="AK505" s="8" t="str">
        <x:v>1.031861310086496</x:v>
      </x:c>
      <x:c r="AL505" s="6" t="str">
        <x:v>0.6072339603574852</x:v>
      </x:c>
      <x:c r="AM505" s="6" t="str">
        <x:v>0.0592265576392955</x:v>
      </x:c>
      <x:c r="AN505" s="6" t="str">
        <x:v>0.5661072760277596</x:v>
      </x:c>
      <x:c r="AO505" s="6" t="str">
        <x:v>0.0401567612665019</x:v>
      </x:c>
      <x:c r="AP505" s="8" t="str">
        <x:v>0.0576337048001406</x:v>
      </x:c>
      <x:c r="AQ505" s="6" t="str">
        <x:v>0.5652288066208597</x:v>
      </x:c>
      <x:c r="AR505" s="6" t="str">
        <x:v>0.7926699178879489</x:v>
      </x:c>
      <x:c r="AS505" s="6" t="str">
        <x:v>0.471844143102983</x:v>
      </x:c>
      <x:c r="AT505" s="6" t="str">
        <x:v>42.13789424484685</x:v>
      </x:c>
      <x:c r="AU505" s="8" t="str">
        <x:v>0.6170681101535551</x:v>
      </x:c>
      <x:c r="AV505" s="6" t="str">
        <x:v>0.8414941164850377</x:v>
      </x:c>
      <x:c r="AW505" s="6" t="str">
        <x:v>1.2906361056544542</x:v>
      </x:c>
      <x:c r="AX505" s="6" t="str">
        <x:v>0.916399444097682</x:v>
      </x:c>
      <x:c r="AY505" s="6" t="str">
        <x:v>0</x:v>
      </x:c>
      <x:c r="AZ505" s="6" t="str">
        <x:v>1</x:v>
      </x:c>
      <x:c r="BA505" s="9" t="str">
        <x:v>grid_cells_within_BIG_polygon</x:v>
      </x:c>
      <x:c r="BB505" s="6" t="str">
        <x:v>41</x:v>
      </x:c>
      <x:c r="BC505" s="6" t="str">
        <x:v>6</x:v>
      </x:c>
      <x:c r="BD505" s="6" t="str">
        <x:v>6</x:v>
      </x:c>
      <x:c r="BE505" s="6" t="str">
        <x:v>6</x:v>
      </x:c>
      <x:c r="BF505" s="6" t="str">
        <x:v>0</x:v>
      </x:c>
      <x:c r="BG505" s="6" t="str">
        <x:v>0</x:v>
      </x:c>
      <x:c r="BH505" s="6" t="str">
        <x:v>0</x:v>
      </x:c>
      <x:c r="BI505" s="6" t="str">
        <x:v>0</x:v>
      </x:c>
      <x:c r="BJ505" s="6" t="str">
        <x:v>0</x:v>
      </x:c>
      <x:c r="BK505" s="6" t="str">
        <x:v>0</x:v>
      </x:c>
      <x:c r="BL505" s="6" t="str">
        <x:v>0</x:v>
      </x:c>
      <x:c r="BM505" s="6" t="str">
        <x:v>0</x:v>
      </x:c>
      <x:c r="BN505" s="6" t="str">
        <x:v>6</x:v>
      </x:c>
      <x:c r="BO505" s="6" t="str"/>
      <x:c r="BP505" s="6" t="str">
        <x:v>0</x:v>
      </x:c>
      <x:c r="BQ505" s="6" t="str"/>
      <x:c r="BR505" s="6" t="str">
        <x:v>0</x:v>
      </x:c>
      <x:c r="BS505" s="6" t="str">
        <x:v>0.0</x:v>
      </x:c>
      <x:c r="BT505" s="6" t="str">
        <x:v>6</x:v>
      </x:c>
      <x:c r="BU505" s="6" t="str">
        <x:v>5589.0</x:v>
      </x:c>
      <x:c r="BV505" s="6" t="str">
        <x:v>5</x:v>
      </x:c>
      <x:c r="BW505" s="9" t="str">
        <x:v>operational_snapshot_annual_totals_may_differ</x:v>
      </x:c>
      <x:c r="BX505" s="9" t="str">
        <x:v>official_live_dashboard_snapshot_subject_to_revision</x:v>
      </x:c>
      <x:c r="BY505" s="9" t="str">
        <x:v>https://tbdashboard.sitb.id/ss_data_tbc03so_2025_provinsi_bulanan_list.php</x:v>
      </x:c>
      <x:c r="BZ505" s="6" t="n">
        <x:v>46246.610671296294</x:v>
      </x:c>
    </x:row>
    <x:row r="506" ht="18" customHeight="1">
      <x:c r="A506" s="6" t="str">
        <x:v>63</x:v>
      </x:c>
      <x:c r="B506" s="6" t="str">
        <x:v>KALIMANTAN SELATAN</x:v>
      </x:c>
      <x:c r="C506" s="6" t="str">
        <x:v>2024</x:v>
      </x:c>
      <x:c r="D506" s="6" t="str">
        <x:v>1</x:v>
      </x:c>
      <x:c r="E506" s="6" t="str">
        <x:v>2024-01</x:v>
      </x:c>
      <x:c r="F506" s="6" t="str">
        <x:v>939</x:v>
      </x:c>
      <x:c r="G506" s="6" t="str">
        <x:v>195</x:v>
      </x:c>
      <x:c r="H506" s="6" t="str">
        <x:v>548</x:v>
      </x:c>
      <x:c r="I506" s="6" t="str">
        <x:v>91</x:v>
      </x:c>
      <x:c r="J506" s="6" t="str">
        <x:v>48</x:v>
      </x:c>
      <x:c r="K506" s="6" t="str">
        <x:v>4</x:v>
      </x:c>
      <x:c r="L506" s="6" t="str">
        <x:v>9</x:v>
      </x:c>
      <x:c r="M506" s="6" t="str">
        <x:v>44</x:v>
      </x:c>
      <x:c r="N506" s="6" t="str">
        <x:v>939</x:v>
      </x:c>
      <x:c r="O506" s="6" t="str">
        <x:v>0</x:v>
      </x:c>
      <x:c r="P506" s="10" t="n">
        <x:f>F506-M506</x:f>
        <x:v>895</x:v>
      </x:c>
      <x:c r="Q506" s="11" t="n">
        <x:f>IFERROR(M506/F506,"")</x:f>
        <x:v>0.046858359957401494</x:v>
      </x:c>
      <x:c r="R506" s="10" t="n">
        <x:f>G506+H506</x:f>
        <x:v>743</x:v>
      </x:c>
      <x:c r="S506" s="11" t="n">
        <x:f>IFERROR(R506/F506,"")</x:f>
        <x:v>0.7912673056443025</x:v>
      </x:c>
      <x:c r="T506" s="11" t="n">
        <x:f>IFERROR(R506/P506,"")</x:f>
        <x:v>0.8301675977653631</x:v>
      </x:c>
      <x:c r="U506" s="10" t="n">
        <x:f>I506+J506+K506</x:f>
        <x:v>143</x:v>
      </x:c>
      <x:c r="V506" s="11" t="n">
        <x:f>IFERROR(U506/P506,"")</x:f>
        <x:v>0.15977653631284916</x:v>
      </x:c>
      <x:c r="W506" s="9" t="str">
        <x:v>mature_le_5pct_pending</x:v>
      </x:c>
      <x:c r="X506" s="12" t="n">
        <x:f>IFERROR(F506/Z506*100000,"")</x:f>
        <x:v>21.973136144521927</x:v>
      </x:c>
      <x:c r="Y506" s="13" t="n">
        <x:f>LN(Z506)</x:f>
        <x:v>15.267920321291024</x:v>
      </x:c>
      <x:c r="Z506" s="6" t="str">
        <x:v>4273400</x:v>
      </x:c>
      <x:c r="AA506" s="6" t="str">
        <x:v>115.0</x:v>
      </x:c>
      <x:c r="AB506" s="9" t="str">
        <x:v>2024-06-30</x:v>
      </x:c>
      <x:c r="AC506" s="8" t="str">
        <x:v>83.7</x:v>
      </x:c>
      <x:c r="AD506" s="9" t="str">
        <x:v>2024 (Susenas)</x:v>
      </x:c>
      <x:c r="AE506" s="8" t="str">
        <x:v>4.11</x:v>
      </x:c>
      <x:c r="AF506" s="9" t="str">
        <x:v>Maret 2024 (Susenas)</x:v>
      </x:c>
      <x:c r="AG506" s="6" t="str">
        <x:v>26.86645727784497</x:v>
      </x:c>
      <x:c r="AH506" s="8" t="str">
        <x:v>87.91306446070068</x:v>
      </x:c>
      <x:c r="AI506" s="6" t="str">
        <x:v>399.1397755417021</x:v>
      </x:c>
      <x:c r="AJ506" s="6" t="str">
        <x:v>0.926465272923032</x:v>
      </x:c>
      <x:c r="AK506" s="8" t="str">
        <x:v>2.251506926127608</x:v>
      </x:c>
      <x:c r="AL506" s="6" t="str">
        <x:v>2.815235976357916</x:v>
      </x:c>
      <x:c r="AM506" s="6" t="str">
        <x:v>2.6744301562403208</x:v>
      </x:c>
      <x:c r="AN506" s="6" t="str">
        <x:v>2.580391019575281</x:v>
      </x:c>
      <x:c r="AO506" s="6" t="str">
        <x:v>-0.0253374243701074</x:v>
      </x:c>
      <x:c r="AP506" s="8" t="str">
        <x:v>-0.0253623723935632</x:v>
      </x:c>
      <x:c r="AQ506" s="6" t="str">
        <x:v>-0.8313673304372595</x:v>
      </x:c>
      <x:c r="AR506" s="6" t="str">
        <x:v>-1.0409492651126149</x:v>
      </x:c>
      <x:c r="AS506" s="6" t="str">
        <x:v>-0.6325596559811456</x:v>
      </x:c>
      <x:c r="AT506" s="6" t="str">
        <x:v>93.18189123635057</x:v>
      </x:c>
      <x:c r="AU506" s="8" t="str">
        <x:v>1.3288239615894362</x:v>
      </x:c>
      <x:c r="AV506" s="6" t="str">
        <x:v>-0.0556762562629895</x:v>
      </x:c>
      <x:c r="AW506" s="6" t="str">
        <x:v>-0.0753496927693271</x:v>
      </x:c>
      <x:c r="AX506" s="6" t="str">
        <x:v>0.3992660041857059</x:v>
      </x:c>
      <x:c r="AY506" s="6" t="str">
        <x:v>1</x:v>
      </x:c>
      <x:c r="AZ506" s="6" t="str">
        <x:v>1</x:v>
      </x:c>
      <x:c r="BA506" s="9" t="str">
        <x:v>grid_cells_within_BIG_polygon</x:v>
      </x:c>
      <x:c r="BB506" s="6" t="str">
        <x:v>9</x:v>
      </x:c>
      <x:c r="BC506" s="6" t="str">
        <x:v>8</x:v>
      </x:c>
      <x:c r="BD506" s="6" t="str">
        <x:v>8</x:v>
      </x:c>
      <x:c r="BE506" s="6" t="str">
        <x:v>8</x:v>
      </x:c>
      <x:c r="BF506" s="6" t="str">
        <x:v>0</x:v>
      </x:c>
      <x:c r="BG506" s="6" t="str">
        <x:v>0</x:v>
      </x:c>
      <x:c r="BH506" s="6" t="str">
        <x:v>0</x:v>
      </x:c>
      <x:c r="BI506" s="6" t="str">
        <x:v>0</x:v>
      </x:c>
      <x:c r="BJ506" s="6" t="str">
        <x:v>0</x:v>
      </x:c>
      <x:c r="BK506" s="6" t="str">
        <x:v>0</x:v>
      </x:c>
      <x:c r="BL506" s="6" t="str">
        <x:v>0</x:v>
      </x:c>
      <x:c r="BM506" s="6" t="str">
        <x:v>0</x:v>
      </x:c>
      <x:c r="BN506" s="6" t="str">
        <x:v>8</x:v>
      </x:c>
      <x:c r="BO506" s="6" t="str">
        <x:v>0.0</x:v>
      </x:c>
      <x:c r="BP506" s="6" t="str">
        <x:v>8</x:v>
      </x:c>
      <x:c r="BQ506" s="6" t="str">
        <x:v>0.0</x:v>
      </x:c>
      <x:c r="BR506" s="6" t="str">
        <x:v>8</x:v>
      </x:c>
      <x:c r="BS506" s="6" t="str">
        <x:v>0.0</x:v>
      </x:c>
      <x:c r="BT506" s="6" t="str">
        <x:v>8</x:v>
      </x:c>
      <x:c r="BU506" s="6" t="str">
        <x:v>633.0</x:v>
      </x:c>
      <x:c r="BV506" s="6" t="str">
        <x:v>8</x:v>
      </x:c>
      <x:c r="BW506" s="9" t="str">
        <x:v>operational_snapshot_annual_totals_may_differ</x:v>
      </x:c>
      <x:c r="BX506" s="9" t="str">
        <x:v>official_live_dashboard_snapshot_subject_to_revision</x:v>
      </x:c>
      <x:c r="BY506" s="9" t="str">
        <x:v>https://tbdashboard.sitb.id/ss_data_tbc03so_2024_provinsi_bulanan_list.php</x:v>
      </x:c>
      <x:c r="BZ506" s="6" t="n">
        <x:v>46246.610671296294</x:v>
      </x:c>
    </x:row>
    <x:row r="507" ht="18" customHeight="1">
      <x:c r="A507" s="6" t="str">
        <x:v>63</x:v>
      </x:c>
      <x:c r="B507" s="6" t="str">
        <x:v>KALIMANTAN SELATAN</x:v>
      </x:c>
      <x:c r="C507" s="6" t="str">
        <x:v>2024</x:v>
      </x:c>
      <x:c r="D507" s="6" t="str">
        <x:v>2</x:v>
      </x:c>
      <x:c r="E507" s="6" t="str">
        <x:v>2024-02</x:v>
      </x:c>
      <x:c r="F507" s="6" t="str">
        <x:v>842</x:v>
      </x:c>
      <x:c r="G507" s="6" t="str">
        <x:v>168</x:v>
      </x:c>
      <x:c r="H507" s="6" t="str">
        <x:v>529</x:v>
      </x:c>
      <x:c r="I507" s="6" t="str">
        <x:v>72</x:v>
      </x:c>
      <x:c r="J507" s="6" t="str">
        <x:v>30</x:v>
      </x:c>
      <x:c r="K507" s="6" t="str">
        <x:v>2</x:v>
      </x:c>
      <x:c r="L507" s="6" t="str">
        <x:v>4</x:v>
      </x:c>
      <x:c r="M507" s="6" t="str">
        <x:v>37</x:v>
      </x:c>
      <x:c r="N507" s="6" t="str">
        <x:v>842</x:v>
      </x:c>
      <x:c r="O507" s="6" t="str">
        <x:v>0</x:v>
      </x:c>
      <x:c r="P507" s="10" t="n">
        <x:f>F507-M507</x:f>
        <x:v>805</x:v>
      </x:c>
      <x:c r="Q507" s="11" t="n">
        <x:f>IFERROR(M507/F507,"")</x:f>
        <x:v>0.043942992874109264</x:v>
      </x:c>
      <x:c r="R507" s="10" t="n">
        <x:f>G507+H507</x:f>
        <x:v>697</x:v>
      </x:c>
      <x:c r="S507" s="11" t="n">
        <x:f>IFERROR(R507/F507,"")</x:f>
        <x:v>0.827790973871734</x:v>
      </x:c>
      <x:c r="T507" s="11" t="n">
        <x:f>IFERROR(R507/P507,"")</x:f>
        <x:v>0.8658385093167702</x:v>
      </x:c>
      <x:c r="U507" s="10" t="n">
        <x:f>I507+J507+K507</x:f>
        <x:v>104</x:v>
      </x:c>
      <x:c r="V507" s="11" t="n">
        <x:f>IFERROR(U507/P507,"")</x:f>
        <x:v>0.12919254658385093</x:v>
      </x:c>
      <x:c r="W507" s="9" t="str">
        <x:v>mature_le_5pct_pending</x:v>
      </x:c>
      <x:c r="X507" s="12" t="n">
        <x:f>IFERROR(F507/Z507*100000,"")</x:f>
        <x:v>19.703280760050546</x:v>
      </x:c>
      <x:c r="Y507" s="13" t="n">
        <x:f>LN(Z507)</x:f>
        <x:v>15.267920321291024</x:v>
      </x:c>
      <x:c r="Z507" s="6" t="str">
        <x:v>4273400</x:v>
      </x:c>
      <x:c r="AA507" s="6" t="str">
        <x:v>115.0</x:v>
      </x:c>
      <x:c r="AB507" s="9" t="str">
        <x:v>2024-06-30</x:v>
      </x:c>
      <x:c r="AC507" s="8" t="str">
        <x:v>83.7</x:v>
      </x:c>
      <x:c r="AD507" s="9" t="str">
        <x:v>2024 (Susenas)</x:v>
      </x:c>
      <x:c r="AE507" s="8" t="str">
        <x:v>4.11</x:v>
      </x:c>
      <x:c r="AF507" s="9" t="str">
        <x:v>Maret 2024 (Susenas)</x:v>
      </x:c>
      <x:c r="AG507" s="6" t="str">
        <x:v>27.16092192532078</x:v>
      </x:c>
      <x:c r="AH507" s="8" t="str">
        <x:v>86.78299535759702</x:v>
      </x:c>
      <x:c r="AI507" s="6" t="str">
        <x:v>295.2740666671965</x:v>
      </x:c>
      <x:c r="AJ507" s="6" t="str">
        <x:v>1.1370495206335</x:v>
      </x:c>
      <x:c r="AK507" s="8" t="str">
        <x:v>2.830885207861705</x:v>
      </x:c>
      <x:c r="AL507" s="6" t="str">
        <x:v>2.251506926127608</x:v>
      </x:c>
      <x:c r="AM507" s="6" t="str">
        <x:v>2.815235976357916</x:v>
      </x:c>
      <x:c r="AN507" s="6" t="str">
        <x:v>2.632542703449076</x:v>
      </x:c>
      <x:c r="AO507" s="6" t="str">
        <x:v>-0.8849596435580906</x:v>
      </x:c>
      <x:c r="AP507" s="8" t="str">
        <x:v>-0.8138596137000138</x:v>
      </x:c>
      <x:c r="AQ507" s="6" t="str">
        <x:v>-0.0253623723935632</x:v>
      </x:c>
      <x:c r="AR507" s="6" t="str">
        <x:v>-0.8313673304372595</x:v>
      </x:c>
      <x:c r="AS507" s="6" t="str">
        <x:v>-0.5568631055102786</x:v>
      </x:c>
      <x:c r="AT507" s="6" t="str">
        <x:v>20.801915588121236</x:v>
      </x:c>
      <x:c r="AU507" s="8" t="str">
        <x:v>0.2349105175642509</x:v>
      </x:c>
      <x:c r="AV507" s="6" t="str">
        <x:v>1.3288239615894362</x:v>
      </x:c>
      <x:c r="AW507" s="6" t="str">
        <x:v>-0.0556762562629895</x:v>
      </x:c>
      <x:c r="AX507" s="6" t="str">
        <x:v>0.5026860742968987</x:v>
      </x:c>
      <x:c r="AY507" s="6" t="str">
        <x:v>0</x:v>
      </x:c>
      <x:c r="AZ507" s="6" t="str">
        <x:v>1</x:v>
      </x:c>
      <x:c r="BA507" s="9" t="str">
        <x:v>grid_cells_within_BIG_polygon</x:v>
      </x:c>
      <x:c r="BB507" s="6" t="str">
        <x:v>9</x:v>
      </x:c>
      <x:c r="BC507" s="6" t="str">
        <x:v>2</x:v>
      </x:c>
      <x:c r="BD507" s="6" t="str">
        <x:v>2</x:v>
      </x:c>
      <x:c r="BE507" s="6" t="str">
        <x:v>2</x:v>
      </x:c>
      <x:c r="BF507" s="6" t="str">
        <x:v>0</x:v>
      </x:c>
      <x:c r="BG507" s="6" t="str">
        <x:v>0</x:v>
      </x:c>
      <x:c r="BH507" s="6" t="str">
        <x:v>0</x:v>
      </x:c>
      <x:c r="BI507" s="6" t="str">
        <x:v>0</x:v>
      </x:c>
      <x:c r="BJ507" s="6" t="str">
        <x:v>0</x:v>
      </x:c>
      <x:c r="BK507" s="6" t="str">
        <x:v>0</x:v>
      </x:c>
      <x:c r="BL507" s="6" t="str">
        <x:v>0</x:v>
      </x:c>
      <x:c r="BM507" s="6" t="str">
        <x:v>0</x:v>
      </x:c>
      <x:c r="BN507" s="6" t="str">
        <x:v>2</x:v>
      </x:c>
      <x:c r="BO507" s="6" t="str">
        <x:v>0.0</x:v>
      </x:c>
      <x:c r="BP507" s="6" t="str">
        <x:v>2</x:v>
      </x:c>
      <x:c r="BQ507" s="6" t="str">
        <x:v>0.0</x:v>
      </x:c>
      <x:c r="BR507" s="6" t="str">
        <x:v>2</x:v>
      </x:c>
      <x:c r="BS507" s="6" t="str">
        <x:v>0.0</x:v>
      </x:c>
      <x:c r="BT507" s="6" t="str">
        <x:v>2</x:v>
      </x:c>
      <x:c r="BU507" s="6" t="str">
        <x:v>491.0</x:v>
      </x:c>
      <x:c r="BV507" s="6" t="str">
        <x:v>2</x:v>
      </x:c>
      <x:c r="BW507" s="9" t="str">
        <x:v>operational_snapshot_annual_totals_may_differ</x:v>
      </x:c>
      <x:c r="BX507" s="9" t="str">
        <x:v>official_live_dashboard_snapshot_subject_to_revision</x:v>
      </x:c>
      <x:c r="BY507" s="9" t="str">
        <x:v>https://tbdashboard.sitb.id/ss_data_tbc03so_2024_provinsi_bulanan_list.php</x:v>
      </x:c>
      <x:c r="BZ507" s="6" t="n">
        <x:v>46246.610671296294</x:v>
      </x:c>
    </x:row>
    <x:row r="508" ht="18" customHeight="1">
      <x:c r="A508" s="6" t="str">
        <x:v>63</x:v>
      </x:c>
      <x:c r="B508" s="6" t="str">
        <x:v>KALIMANTAN SELATAN</x:v>
      </x:c>
      <x:c r="C508" s="6" t="str">
        <x:v>2024</x:v>
      </x:c>
      <x:c r="D508" s="6" t="str">
        <x:v>3</x:v>
      </x:c>
      <x:c r="E508" s="6" t="str">
        <x:v>2024-03</x:v>
      </x:c>
      <x:c r="F508" s="6" t="str">
        <x:v>897</x:v>
      </x:c>
      <x:c r="G508" s="6" t="str">
        <x:v>191</x:v>
      </x:c>
      <x:c r="H508" s="6" t="str">
        <x:v>537</x:v>
      </x:c>
      <x:c r="I508" s="6" t="str">
        <x:v>79</x:v>
      </x:c>
      <x:c r="J508" s="6" t="str">
        <x:v>28</x:v>
      </x:c>
      <x:c r="K508" s="6" t="str">
        <x:v>4</x:v>
      </x:c>
      <x:c r="L508" s="6" t="str">
        <x:v>8</x:v>
      </x:c>
      <x:c r="M508" s="6" t="str">
        <x:v>50</x:v>
      </x:c>
      <x:c r="N508" s="6" t="str">
        <x:v>897</x:v>
      </x:c>
      <x:c r="O508" s="6" t="str">
        <x:v>0</x:v>
      </x:c>
      <x:c r="P508" s="10" t="n">
        <x:f>F508-M508</x:f>
        <x:v>847</x:v>
      </x:c>
      <x:c r="Q508" s="11" t="n">
        <x:f>IFERROR(M508/F508,"")</x:f>
        <x:v>0.055741360089186176</x:v>
      </x:c>
      <x:c r="R508" s="10" t="n">
        <x:f>G508+H508</x:f>
        <x:v>728</x:v>
      </x:c>
      <x:c r="S508" s="11" t="n">
        <x:f>IFERROR(R508/F508,"")</x:f>
        <x:v>0.8115942028985508</x:v>
      </x:c>
      <x:c r="T508" s="11" t="n">
        <x:f>IFERROR(R508/P508,"")</x:f>
        <x:v>0.859504132231405</x:v>
      </x:c>
      <x:c r="U508" s="10" t="n">
        <x:f>I508+J508+K508</x:f>
        <x:v>111</x:v>
      </x:c>
      <x:c r="V508" s="11" t="n">
        <x:f>IFERROR(U508/P508,"")</x:f>
        <x:v>0.13105076741440377</x:v>
      </x:c>
      <x:c r="W508" s="9" t="str">
        <x:v>provisional_gt_5pct_pending</x:v>
      </x:c>
      <x:c r="X508" s="12" t="n">
        <x:f>IFERROR(F508/Z508*100000,"")</x:f>
        <x:v>20.990312163616792</x:v>
      </x:c>
      <x:c r="Y508" s="13" t="n">
        <x:f>LN(Z508)</x:f>
        <x:v>15.267920321291024</x:v>
      </x:c>
      <x:c r="Z508" s="6" t="str">
        <x:v>4273400</x:v>
      </x:c>
      <x:c r="AA508" s="6" t="str">
        <x:v>115.0</x:v>
      </x:c>
      <x:c r="AB508" s="9" t="str">
        <x:v>2024-06-30</x:v>
      </x:c>
      <x:c r="AC508" s="8" t="str">
        <x:v>83.7</x:v>
      </x:c>
      <x:c r="AD508" s="9" t="str">
        <x:v>2024 (Susenas)</x:v>
      </x:c>
      <x:c r="AE508" s="8" t="str">
        <x:v>4.11</x:v>
      </x:c>
      <x:c r="AF508" s="9" t="str">
        <x:v>Maret 2024 (Susenas)</x:v>
      </x:c>
      <x:c r="AG508" s="6" t="str">
        <x:v>27.304218769258902</x:v>
      </x:c>
      <x:c r="AH508" s="8" t="str">
        <x:v>87.4709878988701</x:v>
      </x:c>
      <x:c r="AI508" s="6" t="str">
        <x:v>298.21578445867954</x:v>
      </x:c>
      <x:c r="AJ508" s="6" t="str">
        <x:v>1.0262201238527098</x:v>
      </x:c>
      <x:c r="AK508" s="8" t="str">
        <x:v>2.6972293044108397</x:v>
      </x:c>
      <x:c r="AL508" s="6" t="str">
        <x:v>2.830885207861705</x:v>
      </x:c>
      <x:c r="AM508" s="6" t="str">
        <x:v>2.251506926127608</x:v>
      </x:c>
      <x:c r="AN508" s="6" t="str">
        <x:v>2.593207146133384</x:v>
      </x:c>
      <x:c r="AO508" s="6" t="str">
        <x:v>0.2114691299076554</x:v>
      </x:c>
      <x:c r="AP508" s="8" t="str">
        <x:v>0.2084413875090943</x:v>
      </x:c>
      <x:c r="AQ508" s="6" t="str">
        <x:v>-0.8138596137000138</x:v>
      </x:c>
      <x:c r="AR508" s="6" t="str">
        <x:v>-0.0253623723935632</x:v>
      </x:c>
      <x:c r="AS508" s="6" t="str">
        <x:v>-0.2102601995281606</x:v>
      </x:c>
      <x:c r="AT508" s="6" t="str">
        <x:v>10.019745390610012</x:v>
      </x:c>
      <x:c r="AU508" s="8" t="str">
        <x:v>0.100802116477526</x:v>
      </x:c>
      <x:c r="AV508" s="6" t="str">
        <x:v>0.2349105175642509</x:v>
      </x:c>
      <x:c r="AW508" s="6" t="str">
        <x:v>1.3288239615894362</x:v>
      </x:c>
      <x:c r="AX508" s="6" t="str">
        <x:v>0.5548455318770705</x:v>
      </x:c>
      <x:c r="AY508" s="6" t="str">
        <x:v>0</x:v>
      </x:c>
      <x:c r="AZ508" s="6" t="str">
        <x:v>1</x:v>
      </x:c>
      <x:c r="BA508" s="9" t="str">
        <x:v>grid_cells_within_BIG_polygon</x:v>
      </x:c>
      <x:c r="BB508" s="6" t="str">
        <x:v>9</x:v>
      </x:c>
      <x:c r="BC508" s="6" t="str">
        <x:v>0</x:v>
      </x:c>
      <x:c r="BD508" s="6" t="str">
        <x:v>0</x:v>
      </x:c>
      <x:c r="BE508" s="6" t="str">
        <x:v>0</x:v>
      </x:c>
      <x:c r="BF508" s="6" t="str">
        <x:v>0</x:v>
      </x:c>
      <x:c r="BG508" s="6" t="str">
        <x:v>0</x:v>
      </x:c>
      <x:c r="BH508" s="6" t="str">
        <x:v>0</x:v>
      </x:c>
      <x:c r="BI508" s="6" t="str">
        <x:v>0</x:v>
      </x:c>
      <x:c r="BJ508" s="6" t="str">
        <x:v>0</x:v>
      </x:c>
      <x:c r="BK508" s="6" t="str">
        <x:v>0</x:v>
      </x:c>
      <x:c r="BL508" s="6" t="str">
        <x:v>0</x:v>
      </x:c>
      <x:c r="BM508" s="6" t="str">
        <x:v>0</x:v>
      </x:c>
      <x:c r="BN508" s="6" t="str">
        <x:v>0</x:v>
      </x:c>
      <x:c r="BO508" s="6" t="str"/>
      <x:c r="BP508" s="6" t="str">
        <x:v>0</x:v>
      </x:c>
      <x:c r="BQ508" s="6" t="str"/>
      <x:c r="BR508" s="6" t="str">
        <x:v>0</x:v>
      </x:c>
      <x:c r="BS508" s="6" t="str"/>
      <x:c r="BT508" s="6" t="str">
        <x:v>0</x:v>
      </x:c>
      <x:c r="BU508" s="6" t="str"/>
      <x:c r="BV508" s="6" t="str">
        <x:v>0</x:v>
      </x:c>
      <x:c r="BW508" s="9" t="str">
        <x:v>operational_snapshot_annual_totals_may_differ</x:v>
      </x:c>
      <x:c r="BX508" s="9" t="str">
        <x:v>official_live_dashboard_snapshot_subject_to_revision</x:v>
      </x:c>
      <x:c r="BY508" s="9" t="str">
        <x:v>https://tbdashboard.sitb.id/ss_data_tbc03so_2024_provinsi_bulanan_list.php</x:v>
      </x:c>
      <x:c r="BZ508" s="6" t="n">
        <x:v>46246.610671296294</x:v>
      </x:c>
    </x:row>
    <x:row r="509" ht="18" customHeight="1">
      <x:c r="A509" s="6" t="str">
        <x:v>63</x:v>
      </x:c>
      <x:c r="B509" s="6" t="str">
        <x:v>KALIMANTAN SELATAN</x:v>
      </x:c>
      <x:c r="C509" s="6" t="str">
        <x:v>2024</x:v>
      </x:c>
      <x:c r="D509" s="6" t="str">
        <x:v>4</x:v>
      </x:c>
      <x:c r="E509" s="6" t="str">
        <x:v>2024-04</x:v>
      </x:c>
      <x:c r="F509" s="6" t="str">
        <x:v>749</x:v>
      </x:c>
      <x:c r="G509" s="6" t="str">
        <x:v>156</x:v>
      </x:c>
      <x:c r="H509" s="6" t="str">
        <x:v>440</x:v>
      </x:c>
      <x:c r="I509" s="6" t="str">
        <x:v>59</x:v>
      </x:c>
      <x:c r="J509" s="6" t="str">
        <x:v>31</x:v>
      </x:c>
      <x:c r="K509" s="6" t="str">
        <x:v>0</x:v>
      </x:c>
      <x:c r="L509" s="6" t="str">
        <x:v>7</x:v>
      </x:c>
      <x:c r="M509" s="6" t="str">
        <x:v>56</x:v>
      </x:c>
      <x:c r="N509" s="6" t="str">
        <x:v>749</x:v>
      </x:c>
      <x:c r="O509" s="6" t="str">
        <x:v>0</x:v>
      </x:c>
      <x:c r="P509" s="10" t="n">
        <x:f>F509-M509</x:f>
        <x:v>693</x:v>
      </x:c>
      <x:c r="Q509" s="11" t="n">
        <x:f>IFERROR(M509/F509,"")</x:f>
        <x:v>0.07476635514018691</x:v>
      </x:c>
      <x:c r="R509" s="10" t="n">
        <x:f>G509+H509</x:f>
        <x:v>596</x:v>
      </x:c>
      <x:c r="S509" s="11" t="n">
        <x:f>IFERROR(R509/F509,"")</x:f>
        <x:v>0.7957276368491322</x:v>
      </x:c>
      <x:c r="T509" s="11" t="n">
        <x:f>IFERROR(R509/P509,"")</x:f>
        <x:v>0.86002886002886</x:v>
      </x:c>
      <x:c r="U509" s="10" t="n">
        <x:f>I509+J509+K509</x:f>
        <x:v>90</x:v>
      </x:c>
      <x:c r="V509" s="11" t="n">
        <x:f>IFERROR(U509/P509,"")</x:f>
        <x:v>0.12987012987012986</x:v>
      </x:c>
      <x:c r="W509" s="9" t="str">
        <x:v>provisional_gt_5pct_pending</x:v>
      </x:c>
      <x:c r="X509" s="12" t="n">
        <x:f>IFERROR(F509/Z509*100000,"")</x:f>
        <x:v>17.527027659474893</x:v>
      </x:c>
      <x:c r="Y509" s="13" t="n">
        <x:f>LN(Z509)</x:f>
        <x:v>15.267920321291024</x:v>
      </x:c>
      <x:c r="Z509" s="6" t="str">
        <x:v>4273400</x:v>
      </x:c>
      <x:c r="AA509" s="6" t="str">
        <x:v>115.0</x:v>
      </x:c>
      <x:c r="AB509" s="9" t="str">
        <x:v>2024-06-30</x:v>
      </x:c>
      <x:c r="AC509" s="8" t="str">
        <x:v>83.7</x:v>
      </x:c>
      <x:c r="AD509" s="9" t="str">
        <x:v>2024 (Susenas)</x:v>
      </x:c>
      <x:c r="AE509" s="8" t="str">
        <x:v>4.11</x:v>
      </x:c>
      <x:c r="AF509" s="9" t="str">
        <x:v>Maret 2024 (Susenas)</x:v>
      </x:c>
      <x:c r="AG509" s="6" t="str">
        <x:v>27.73754758401853</x:v>
      </x:c>
      <x:c r="AH509" s="8" t="str">
        <x:v>86.86990972057708</x:v>
      </x:c>
      <x:c r="AI509" s="6" t="str">
        <x:v>168.6425818734062</x:v>
      </x:c>
      <x:c r="AJ509" s="6" t="str">
        <x:v>1.2099715599725371</x:v>
      </x:c>
      <x:c r="AK509" s="8" t="str">
        <x:v>3.868430936567695</x:v>
      </x:c>
      <x:c r="AL509" s="6" t="str">
        <x:v>2.6972293044108397</x:v>
      </x:c>
      <x:c r="AM509" s="6" t="str">
        <x:v>2.830885207861705</x:v>
      </x:c>
      <x:c r="AN509" s="6" t="str">
        <x:v>3.13218181628008</x:v>
      </x:c>
      <x:c r="AO509" s="6" t="str">
        <x:v>-0.3307811393221129</x:v>
      </x:c>
      <x:c r="AP509" s="8" t="str">
        <x:v>-0.4363470920510099</x:v>
      </x:c>
      <x:c r="AQ509" s="6" t="str">
        <x:v>0.2084413875090943</x:v>
      </x:c>
      <x:c r="AR509" s="6" t="str">
        <x:v>-0.8138596137000138</x:v>
      </x:c>
      <x:c r="AS509" s="6" t="str">
        <x:v>-0.3472551060806428</x:v>
      </x:c>
      <x:c r="AT509" s="6" t="str">
        <x:v>-58.86984175883154</x:v>
      </x:c>
      <x:c r="AU509" s="8" t="str">
        <x:v>-1.1172225566963532</x:v>
      </x:c>
      <x:c r="AV509" s="6" t="str">
        <x:v>0.100802116477526</x:v>
      </x:c>
      <x:c r="AW509" s="6" t="str">
        <x:v>0.2349105175642509</x:v>
      </x:c>
      <x:c r="AX509" s="6" t="str">
        <x:v>-0.2605033075515259</x:v>
      </x:c>
      <x:c r="AY509" s="6" t="str">
        <x:v>0</x:v>
      </x:c>
      <x:c r="AZ509" s="6" t="str">
        <x:v>1</x:v>
      </x:c>
      <x:c r="BA509" s="9" t="str">
        <x:v>grid_cells_within_BIG_polygon</x:v>
      </x:c>
      <x:c r="BB509" s="6" t="str">
        <x:v>9</x:v>
      </x:c>
      <x:c r="BC509" s="6" t="str">
        <x:v>0</x:v>
      </x:c>
      <x:c r="BD509" s="6" t="str">
        <x:v>0</x:v>
      </x:c>
      <x:c r="BE509" s="6" t="str">
        <x:v>0</x:v>
      </x:c>
      <x:c r="BF509" s="6" t="str">
        <x:v>0</x:v>
      </x:c>
      <x:c r="BG509" s="6" t="str">
        <x:v>0</x:v>
      </x:c>
      <x:c r="BH509" s="6" t="str">
        <x:v>0</x:v>
      </x:c>
      <x:c r="BI509" s="6" t="str">
        <x:v>0</x:v>
      </x:c>
      <x:c r="BJ509" s="6" t="str">
        <x:v>0</x:v>
      </x:c>
      <x:c r="BK509" s="6" t="str">
        <x:v>0</x:v>
      </x:c>
      <x:c r="BL509" s="6" t="str">
        <x:v>0</x:v>
      </x:c>
      <x:c r="BM509" s="6" t="str">
        <x:v>0</x:v>
      </x:c>
      <x:c r="BN509" s="6" t="str">
        <x:v>0</x:v>
      </x:c>
      <x:c r="BO509" s="6" t="str"/>
      <x:c r="BP509" s="6" t="str">
        <x:v>0</x:v>
      </x:c>
      <x:c r="BQ509" s="6" t="str"/>
      <x:c r="BR509" s="6" t="str">
        <x:v>0</x:v>
      </x:c>
      <x:c r="BS509" s="6" t="str"/>
      <x:c r="BT509" s="6" t="str">
        <x:v>0</x:v>
      </x:c>
      <x:c r="BU509" s="6" t="str"/>
      <x:c r="BV509" s="6" t="str">
        <x:v>0</x:v>
      </x:c>
      <x:c r="BW509" s="9" t="str">
        <x:v>operational_snapshot_annual_totals_may_differ</x:v>
      </x:c>
      <x:c r="BX509" s="9" t="str">
        <x:v>official_live_dashboard_snapshot_subject_to_revision</x:v>
      </x:c>
      <x:c r="BY509" s="9" t="str">
        <x:v>https://tbdashboard.sitb.id/ss_data_tbc03so_2024_provinsi_bulanan_list.php</x:v>
      </x:c>
      <x:c r="BZ509" s="6" t="n">
        <x:v>46246.610671296294</x:v>
      </x:c>
    </x:row>
    <x:row r="510" ht="18" customHeight="1">
      <x:c r="A510" s="6" t="str">
        <x:v>63</x:v>
      </x:c>
      <x:c r="B510" s="6" t="str">
        <x:v>KALIMANTAN SELATAN</x:v>
      </x:c>
      <x:c r="C510" s="6" t="str">
        <x:v>2024</x:v>
      </x:c>
      <x:c r="D510" s="6" t="str">
        <x:v>5</x:v>
      </x:c>
      <x:c r="E510" s="6" t="str">
        <x:v>2024-05</x:v>
      </x:c>
      <x:c r="F510" s="6" t="str">
        <x:v>1070</x:v>
      </x:c>
      <x:c r="G510" s="6" t="str">
        <x:v>226</x:v>
      </x:c>
      <x:c r="H510" s="6" t="str">
        <x:v>618</x:v>
      </x:c>
      <x:c r="I510" s="6" t="str">
        <x:v>112</x:v>
      </x:c>
      <x:c r="J510" s="6" t="str">
        <x:v>44</x:v>
      </x:c>
      <x:c r="K510" s="6" t="str">
        <x:v>1</x:v>
      </x:c>
      <x:c r="L510" s="6" t="str">
        <x:v>10</x:v>
      </x:c>
      <x:c r="M510" s="6" t="str">
        <x:v>59</x:v>
      </x:c>
      <x:c r="N510" s="6" t="str">
        <x:v>1070</x:v>
      </x:c>
      <x:c r="O510" s="6" t="str">
        <x:v>0</x:v>
      </x:c>
      <x:c r="P510" s="10" t="n">
        <x:f>F510-M510</x:f>
        <x:v>1011</x:v>
      </x:c>
      <x:c r="Q510" s="11" t="n">
        <x:f>IFERROR(M510/F510,"")</x:f>
        <x:v>0.05514018691588785</x:v>
      </x:c>
      <x:c r="R510" s="10" t="n">
        <x:f>G510+H510</x:f>
        <x:v>844</x:v>
      </x:c>
      <x:c r="S510" s="11" t="n">
        <x:f>IFERROR(R510/F510,"")</x:f>
        <x:v>0.788785046728972</x:v>
      </x:c>
      <x:c r="T510" s="11" t="n">
        <x:f>IFERROR(R510/P510,"")</x:f>
        <x:v>0.8348170128585559</x:v>
      </x:c>
      <x:c r="U510" s="10" t="n">
        <x:f>I510+J510+K510</x:f>
        <x:v>157</x:v>
      </x:c>
      <x:c r="V510" s="11" t="n">
        <x:f>IFERROR(U510/P510,"")</x:f>
        <x:v>0.1552917903066271</x:v>
      </x:c>
      <x:c r="W510" s="9" t="str">
        <x:v>provisional_gt_5pct_pending</x:v>
      </x:c>
      <x:c r="X510" s="12" t="n">
        <x:f>IFERROR(F510/Z510*100000,"")</x:f>
        <x:v>25.03861094210699</x:v>
      </x:c>
      <x:c r="Y510" s="13" t="n">
        <x:f>LN(Z510)</x:f>
        <x:v>15.267920321291024</x:v>
      </x:c>
      <x:c r="Z510" s="6" t="str">
        <x:v>4273400</x:v>
      </x:c>
      <x:c r="AA510" s="6" t="str">
        <x:v>115.0</x:v>
      </x:c>
      <x:c r="AB510" s="9" t="str">
        <x:v>2024-06-30</x:v>
      </x:c>
      <x:c r="AC510" s="8" t="str">
        <x:v>83.7</x:v>
      </x:c>
      <x:c r="AD510" s="9" t="str">
        <x:v>2024 (Susenas)</x:v>
      </x:c>
      <x:c r="AE510" s="8" t="str">
        <x:v>4.11</x:v>
      </x:c>
      <x:c r="AF510" s="9" t="str">
        <x:v>Maret 2024 (Susenas)</x:v>
      </x:c>
      <x:c r="AG510" s="6" t="str">
        <x:v>27.422009272528303</x:v>
      </x:c>
      <x:c r="AH510" s="8" t="str">
        <x:v>89.07649912182035</x:v>
      </x:c>
      <x:c r="AI510" s="6" t="str">
        <x:v>201.6198139965101</x:v>
      </x:c>
      <x:c r="AJ510" s="6" t="str">
        <x:v>0.9894906655163532</x:v>
      </x:c>
      <x:c r="AK510" s="8" t="str">
        <x:v>2.6007959975421806</x:v>
      </x:c>
      <x:c r="AL510" s="6" t="str">
        <x:v>3.868430936567695</x:v>
      </x:c>
      <x:c r="AM510" s="6" t="str">
        <x:v>2.6972293044108397</x:v>
      </x:c>
      <x:c r="AN510" s="6" t="str">
        <x:v>3.055485412840239</x:v>
      </x:c>
      <x:c r="AO510" s="6" t="str">
        <x:v>1.3752925399055158</x:v>
      </x:c>
      <x:c r="AP510" s="8" t="str">
        <x:v>1.568733755502068</x:v>
      </x:c>
      <x:c r="AQ510" s="6" t="str">
        <x:v>-0.4363470920510099</x:v>
      </x:c>
      <x:c r="AR510" s="6" t="str">
        <x:v>0.2084413875090943</x:v>
      </x:c>
      <x:c r="AS510" s="6" t="str">
        <x:v>0.4469426836533843</x:v>
      </x:c>
      <x:c r="AT510" s="6" t="str">
        <x:v>2.0270760724166337</x:v>
      </x:c>
      <x:c r="AU510" s="8" t="str">
        <x:v>0.0359796795088319</x:v>
      </x:c>
      <x:c r="AV510" s="6" t="str">
        <x:v>-1.1172225566963532</x:v>
      </x:c>
      <x:c r="AW510" s="6" t="str">
        <x:v>0.100802116477526</x:v>
      </x:c>
      <x:c r="AX510" s="6" t="str">
        <x:v>-0.3268135869033322</x:v>
      </x:c>
      <x:c r="AY510" s="6" t="str">
        <x:v>0</x:v>
      </x:c>
      <x:c r="AZ510" s="6" t="str">
        <x:v>1</x:v>
      </x:c>
      <x:c r="BA510" s="9" t="str">
        <x:v>grid_cells_within_BIG_polygon</x:v>
      </x:c>
      <x:c r="BB510" s="6" t="str">
        <x:v>9</x:v>
      </x:c>
      <x:c r="BC510" s="6" t="str">
        <x:v>0</x:v>
      </x:c>
      <x:c r="BD510" s="6" t="str">
        <x:v>0</x:v>
      </x:c>
      <x:c r="BE510" s="6" t="str">
        <x:v>0</x:v>
      </x:c>
      <x:c r="BF510" s="6" t="str">
        <x:v>0</x:v>
      </x:c>
      <x:c r="BG510" s="6" t="str">
        <x:v>0</x:v>
      </x:c>
      <x:c r="BH510" s="6" t="str">
        <x:v>0</x:v>
      </x:c>
      <x:c r="BI510" s="6" t="str">
        <x:v>0</x:v>
      </x:c>
      <x:c r="BJ510" s="6" t="str">
        <x:v>0</x:v>
      </x:c>
      <x:c r="BK510" s="6" t="str">
        <x:v>0</x:v>
      </x:c>
      <x:c r="BL510" s="6" t="str">
        <x:v>0</x:v>
      </x:c>
      <x:c r="BM510" s="6" t="str">
        <x:v>0</x:v>
      </x:c>
      <x:c r="BN510" s="6" t="str">
        <x:v>0</x:v>
      </x:c>
      <x:c r="BO510" s="6" t="str"/>
      <x:c r="BP510" s="6" t="str">
        <x:v>0</x:v>
      </x:c>
      <x:c r="BQ510" s="6" t="str"/>
      <x:c r="BR510" s="6" t="str">
        <x:v>0</x:v>
      </x:c>
      <x:c r="BS510" s="6" t="str"/>
      <x:c r="BT510" s="6" t="str">
        <x:v>0</x:v>
      </x:c>
      <x:c r="BU510" s="6" t="str"/>
      <x:c r="BV510" s="6" t="str">
        <x:v>0</x:v>
      </x:c>
      <x:c r="BW510" s="9" t="str">
        <x:v>operational_snapshot_annual_totals_may_differ</x:v>
      </x:c>
      <x:c r="BX510" s="9" t="str">
        <x:v>official_live_dashboard_snapshot_subject_to_revision</x:v>
      </x:c>
      <x:c r="BY510" s="9" t="str">
        <x:v>https://tbdashboard.sitb.id/ss_data_tbc03so_2024_provinsi_bulanan_list.php</x:v>
      </x:c>
      <x:c r="BZ510" s="6" t="n">
        <x:v>46246.610671296294</x:v>
      </x:c>
    </x:row>
    <x:row r="511" ht="18" customHeight="1">
      <x:c r="A511" s="6" t="str">
        <x:v>63</x:v>
      </x:c>
      <x:c r="B511" s="6" t="str">
        <x:v>KALIMANTAN SELATAN</x:v>
      </x:c>
      <x:c r="C511" s="6" t="str">
        <x:v>2024</x:v>
      </x:c>
      <x:c r="D511" s="6" t="str">
        <x:v>6</x:v>
      </x:c>
      <x:c r="E511" s="6" t="str">
        <x:v>2024-06</x:v>
      </x:c>
      <x:c r="F511" s="6" t="str">
        <x:v>920</x:v>
      </x:c>
      <x:c r="G511" s="6" t="str">
        <x:v>195</x:v>
      </x:c>
      <x:c r="H511" s="6" t="str">
        <x:v>513</x:v>
      </x:c>
      <x:c r="I511" s="6" t="str">
        <x:v>100</x:v>
      </x:c>
      <x:c r="J511" s="6" t="str">
        <x:v>48</x:v>
      </x:c>
      <x:c r="K511" s="6" t="str">
        <x:v>2</x:v>
      </x:c>
      <x:c r="L511" s="6" t="str">
        <x:v>12</x:v>
      </x:c>
      <x:c r="M511" s="6" t="str">
        <x:v>50</x:v>
      </x:c>
      <x:c r="N511" s="6" t="str">
        <x:v>920</x:v>
      </x:c>
      <x:c r="O511" s="6" t="str">
        <x:v>0</x:v>
      </x:c>
      <x:c r="P511" s="10" t="n">
        <x:f>F511-M511</x:f>
        <x:v>870</x:v>
      </x:c>
      <x:c r="Q511" s="11" t="n">
        <x:f>IFERROR(M511/F511,"")</x:f>
        <x:v>0.05434782608695652</x:v>
      </x:c>
      <x:c r="R511" s="10" t="n">
        <x:f>G511+H511</x:f>
        <x:v>708</x:v>
      </x:c>
      <x:c r="S511" s="11" t="n">
        <x:f>IFERROR(R511/F511,"")</x:f>
        <x:v>0.7695652173913043</x:v>
      </x:c>
      <x:c r="T511" s="11" t="n">
        <x:f>IFERROR(R511/P511,"")</x:f>
        <x:v>0.8137931034482758</x:v>
      </x:c>
      <x:c r="U511" s="10" t="n">
        <x:f>I511+J511+K511</x:f>
        <x:v>150</x:v>
      </x:c>
      <x:c r="V511" s="11" t="n">
        <x:f>IFERROR(U511/P511,"")</x:f>
        <x:v>0.1724137931034483</x:v>
      </x:c>
      <x:c r="W511" s="9" t="str">
        <x:v>provisional_gt_5pct_pending</x:v>
      </x:c>
      <x:c r="X511" s="12" t="n">
        <x:f>IFERROR(F511/Z511*100000,"")</x:f>
        <x:v>21.528525296017225</x:v>
      </x:c>
      <x:c r="Y511" s="13" t="n">
        <x:f>LN(Z511)</x:f>
        <x:v>15.267920321291024</x:v>
      </x:c>
      <x:c r="Z511" s="6" t="str">
        <x:v>4273400</x:v>
      </x:c>
      <x:c r="AA511" s="6" t="str">
        <x:v>115.0</x:v>
      </x:c>
      <x:c r="AB511" s="9" t="str">
        <x:v>2024-06-30</x:v>
      </x:c>
      <x:c r="AC511" s="8" t="str">
        <x:v>83.7</x:v>
      </x:c>
      <x:c r="AD511" s="9" t="str">
        <x:v>2024 (Susenas)</x:v>
      </x:c>
      <x:c r="AE511" s="8" t="str">
        <x:v>4.11</x:v>
      </x:c>
      <x:c r="AF511" s="9" t="str">
        <x:v>Maret 2024 (Susenas)</x:v>
      </x:c>
      <x:c r="AG511" s="6" t="str">
        <x:v>26.49753568756886</x:v>
      </x:c>
      <x:c r="AH511" s="8" t="str">
        <x:v>89.22086585374329</x:v>
      </x:c>
      <x:c r="AI511" s="6" t="str">
        <x:v>263.06470828176805</x:v>
      </x:c>
      <x:c r="AJ511" s="6" t="str">
        <x:v>0.6829483638676201</x:v>
      </x:c>
      <x:c r="AK511" s="8" t="str">
        <x:v>1.9924116070197877</x:v>
      </x:c>
      <x:c r="AL511" s="6" t="str">
        <x:v>2.6007959975421806</x:v>
      </x:c>
      <x:c r="AM511" s="6" t="str">
        <x:v>3.868430936567695</x:v>
      </x:c>
      <x:c r="AN511" s="6" t="str">
        <x:v>2.8205461803765544</x:v>
      </x:c>
      <x:c r="AO511" s="6" t="str">
        <x:v>0.9719473416879084</x:v>
      </x:c>
      <x:c r="AP511" s="8" t="str">
        <x:v>0.5768235159073792</x:v>
      </x:c>
      <x:c r="AQ511" s="6" t="str">
        <x:v>1.568733755502068</x:v>
      </x:c>
      <x:c r="AR511" s="6" t="str">
        <x:v>-0.4363470920510099</x:v>
      </x:c>
      <x:c r="AS511" s="6" t="str">
        <x:v>0.5697367264528127</x:v>
      </x:c>
      <x:c r="AT511" s="6" t="str">
        <x:v>77.30717430622289</x:v>
      </x:c>
      <x:c r="AU511" s="8" t="str">
        <x:v>0.9214062402007154</x:v>
      </x:c>
      <x:c r="AV511" s="6" t="str">
        <x:v>0.0359796795088319</x:v>
      </x:c>
      <x:c r="AW511" s="6" t="str">
        <x:v>-1.1172225566963532</x:v>
      </x:c>
      <x:c r="AX511" s="6" t="str">
        <x:v>-0.0532788789956024</x:v>
      </x:c>
      <x:c r="AY511" s="6" t="str">
        <x:v>0</x:v>
      </x:c>
      <x:c r="AZ511" s="6" t="str">
        <x:v>1</x:v>
      </x:c>
      <x:c r="BA511" s="9" t="str">
        <x:v>grid_cells_within_BIG_polygon</x:v>
      </x:c>
      <x:c r="BB511" s="6" t="str">
        <x:v>9</x:v>
      </x:c>
      <x:c r="BC511" s="6" t="str">
        <x:v>3</x:v>
      </x:c>
      <x:c r="BD511" s="6" t="str">
        <x:v>3</x:v>
      </x:c>
      <x:c r="BE511" s="6" t="str">
        <x:v>1</x:v>
      </x:c>
      <x:c r="BF511" s="6" t="str">
        <x:v>0</x:v>
      </x:c>
      <x:c r="BG511" s="6" t="str">
        <x:v>2</x:v>
      </x:c>
      <x:c r="BH511" s="6" t="str">
        <x:v>0</x:v>
      </x:c>
      <x:c r="BI511" s="6" t="str">
        <x:v>0</x:v>
      </x:c>
      <x:c r="BJ511" s="6" t="str">
        <x:v>0</x:v>
      </x:c>
      <x:c r="BK511" s="6" t="str">
        <x:v>0</x:v>
      </x:c>
      <x:c r="BL511" s="6" t="str">
        <x:v>0</x:v>
      </x:c>
      <x:c r="BM511" s="6" t="str">
        <x:v>0</x:v>
      </x:c>
      <x:c r="BN511" s="6" t="str">
        <x:v>3</x:v>
      </x:c>
      <x:c r="BO511" s="6" t="str">
        <x:v>0.0</x:v>
      </x:c>
      <x:c r="BP511" s="6" t="str">
        <x:v>3</x:v>
      </x:c>
      <x:c r="BQ511" s="6" t="str">
        <x:v>0.0</x:v>
      </x:c>
      <x:c r="BR511" s="6" t="str">
        <x:v>3</x:v>
      </x:c>
      <x:c r="BS511" s="6" t="str">
        <x:v>19.0</x:v>
      </x:c>
      <x:c r="BT511" s="6" t="str">
        <x:v>3</x:v>
      </x:c>
      <x:c r="BU511" s="6" t="str">
        <x:v>5503.0</x:v>
      </x:c>
      <x:c r="BV511" s="6" t="str">
        <x:v>1</x:v>
      </x:c>
      <x:c r="BW511" s="9" t="str">
        <x:v>operational_snapshot_annual_totals_may_differ</x:v>
      </x:c>
      <x:c r="BX511" s="9" t="str">
        <x:v>official_live_dashboard_snapshot_subject_to_revision</x:v>
      </x:c>
      <x:c r="BY511" s="9" t="str">
        <x:v>https://tbdashboard.sitb.id/ss_data_tbc03so_2024_provinsi_bulanan_list.php</x:v>
      </x:c>
      <x:c r="BZ511" s="6" t="n">
        <x:v>46246.610671296294</x:v>
      </x:c>
    </x:row>
    <x:row r="512" ht="18" customHeight="1">
      <x:c r="A512" s="6" t="str">
        <x:v>63</x:v>
      </x:c>
      <x:c r="B512" s="6" t="str">
        <x:v>KALIMANTAN SELATAN</x:v>
      </x:c>
      <x:c r="C512" s="6" t="str">
        <x:v>2024</x:v>
      </x:c>
      <x:c r="D512" s="6" t="str">
        <x:v>7</x:v>
      </x:c>
      <x:c r="E512" s="6" t="str">
        <x:v>2024-07</x:v>
      </x:c>
      <x:c r="F512" s="6" t="str">
        <x:v>1078</x:v>
      </x:c>
      <x:c r="G512" s="6" t="str">
        <x:v>217</x:v>
      </x:c>
      <x:c r="H512" s="6" t="str">
        <x:v>629</x:v>
      </x:c>
      <x:c r="I512" s="6" t="str">
        <x:v>110</x:v>
      </x:c>
      <x:c r="J512" s="6" t="str">
        <x:v>39</x:v>
      </x:c>
      <x:c r="K512" s="6" t="str">
        <x:v>8</x:v>
      </x:c>
      <x:c r="L512" s="6" t="str">
        <x:v>9</x:v>
      </x:c>
      <x:c r="M512" s="6" t="str">
        <x:v>66</x:v>
      </x:c>
      <x:c r="N512" s="6" t="str">
        <x:v>1078</x:v>
      </x:c>
      <x:c r="O512" s="6" t="str">
        <x:v>0</x:v>
      </x:c>
      <x:c r="P512" s="10" t="n">
        <x:f>F512-M512</x:f>
        <x:v>1012</x:v>
      </x:c>
      <x:c r="Q512" s="11" t="n">
        <x:f>IFERROR(M512/F512,"")</x:f>
        <x:v>0.061224489795918366</x:v>
      </x:c>
      <x:c r="R512" s="10" t="n">
        <x:f>G512+H512</x:f>
        <x:v>846</x:v>
      </x:c>
      <x:c r="S512" s="11" t="n">
        <x:f>IFERROR(R512/F512,"")</x:f>
        <x:v>0.7847866419294991</x:v>
      </x:c>
      <x:c r="T512" s="11" t="n">
        <x:f>IFERROR(R512/P512,"")</x:f>
        <x:v>0.8359683794466403</x:v>
      </x:c>
      <x:c r="U512" s="10" t="n">
        <x:f>I512+J512+K512</x:f>
        <x:v>157</x:v>
      </x:c>
      <x:c r="V512" s="11" t="n">
        <x:f>IFERROR(U512/P512,"")</x:f>
        <x:v>0.1551383399209486</x:v>
      </x:c>
      <x:c r="W512" s="9" t="str">
        <x:v>provisional_gt_5pct_pending</x:v>
      </x:c>
      <x:c r="X512" s="12" t="n">
        <x:f>IFERROR(F512/Z512*100000,"")</x:f>
        <x:v>25.225815509898442</x:v>
      </x:c>
      <x:c r="Y512" s="13" t="n">
        <x:f>LN(Z512)</x:f>
        <x:v>15.267920321291024</x:v>
      </x:c>
      <x:c r="Z512" s="6" t="str">
        <x:v>4273400</x:v>
      </x:c>
      <x:c r="AA512" s="6" t="str">
        <x:v>115.0</x:v>
      </x:c>
      <x:c r="AB512" s="9" t="str">
        <x:v>2024-06-30</x:v>
      </x:c>
      <x:c r="AC512" s="8" t="str">
        <x:v>83.7</x:v>
      </x:c>
      <x:c r="AD512" s="9" t="str">
        <x:v>2024 (Susenas)</x:v>
      </x:c>
      <x:c r="AE512" s="8" t="str">
        <x:v>4.11</x:v>
      </x:c>
      <x:c r="AF512" s="9" t="str">
        <x:v>Maret 2024 (Susenas)</x:v>
      </x:c>
      <x:c r="AG512" s="6" t="str">
        <x:v>26.219841404722864</x:v>
      </x:c>
      <x:c r="AH512" s="8" t="str">
        <x:v>87.57532944241473</x:v>
      </x:c>
      <x:c r="AI512" s="6" t="str">
        <x:v>114.8763047475516</x:v>
      </x:c>
      <x:c r="AJ512" s="6" t="str">
        <x:v>0.8911301836683236</x:v>
      </x:c>
      <x:c r="AK512" s="8" t="str">
        <x:v>2.4865532194490254</x:v>
      </x:c>
      <x:c r="AL512" s="6" t="str">
        <x:v>1.9924116070197877</x:v>
      </x:c>
      <x:c r="AM512" s="6" t="str">
        <x:v>2.6007959975421806</x:v>
      </x:c>
      <x:c r="AN512" s="6" t="str">
        <x:v>2.359920274670331</x:v>
      </x:c>
      <x:c r="AO512" s="6" t="str">
        <x:v>0.4867676340564202</x:v>
      </x:c>
      <x:c r="AP512" s="8" t="str">
        <x:v>0.2397666286018538</x:v>
      </x:c>
      <x:c r="AQ512" s="6" t="str">
        <x:v>0.5768235159073792</x:v>
      </x:c>
      <x:c r="AR512" s="6" t="str">
        <x:v>1.568733755502068</x:v>
      </x:c>
      <x:c r="AS512" s="6" t="str">
        <x:v>0.795107966670434</x:v>
      </x:c>
      <x:c r="AT512" s="6" t="str">
        <x:v>-38.824145232729904</x:v>
      </x:c>
      <x:c r="AU512" s="8" t="str">
        <x:v>-0.3617949054445676</x:v>
      </x:c>
      <x:c r="AV512" s="6" t="str">
        <x:v>0.9214062402007154</x:v>
      </x:c>
      <x:c r="AW512" s="6" t="str">
        <x:v>0.0359796795088319</x:v>
      </x:c>
      <x:c r="AX512" s="6" t="str">
        <x:v>0.1985303380883261</x:v>
      </x:c>
      <x:c r="AY512" s="6" t="str">
        <x:v>0</x:v>
      </x:c>
      <x:c r="AZ512" s="6" t="str">
        <x:v>1</x:v>
      </x:c>
      <x:c r="BA512" s="9" t="str">
        <x:v>grid_cells_within_BIG_polygon</x:v>
      </x:c>
      <x:c r="BB512" s="6" t="str">
        <x:v>9</x:v>
      </x:c>
      <x:c r="BC512" s="6" t="str">
        <x:v>3</x:v>
      </x:c>
      <x:c r="BD512" s="6" t="str">
        <x:v>3</x:v>
      </x:c>
      <x:c r="BE512" s="6" t="str">
        <x:v>0</x:v>
      </x:c>
      <x:c r="BF512" s="6" t="str">
        <x:v>0</x:v>
      </x:c>
      <x:c r="BG512" s="6" t="str">
        <x:v>0</x:v>
      </x:c>
      <x:c r="BH512" s="6" t="str">
        <x:v>0</x:v>
      </x:c>
      <x:c r="BI512" s="6" t="str">
        <x:v>3</x:v>
      </x:c>
      <x:c r="BJ512" s="6" t="str">
        <x:v>0</x:v>
      </x:c>
      <x:c r="BK512" s="6" t="str">
        <x:v>0</x:v>
      </x:c>
      <x:c r="BL512" s="6" t="str">
        <x:v>0</x:v>
      </x:c>
      <x:c r="BM512" s="6" t="str">
        <x:v>0</x:v>
      </x:c>
      <x:c r="BN512" s="6" t="str">
        <x:v>3</x:v>
      </x:c>
      <x:c r="BO512" s="6" t="str">
        <x:v>0.0</x:v>
      </x:c>
      <x:c r="BP512" s="6" t="str">
        <x:v>3</x:v>
      </x:c>
      <x:c r="BQ512" s="6" t="str">
        <x:v>0.0</x:v>
      </x:c>
      <x:c r="BR512" s="6" t="str">
        <x:v>3</x:v>
      </x:c>
      <x:c r="BS512" s="6" t="str">
        <x:v>0.0</x:v>
      </x:c>
      <x:c r="BT512" s="6" t="str">
        <x:v>3</x:v>
      </x:c>
      <x:c r="BU512" s="6" t="str"/>
      <x:c r="BV512" s="6" t="str">
        <x:v>0</x:v>
      </x:c>
      <x:c r="BW512" s="9" t="str">
        <x:v>operational_snapshot_annual_totals_may_differ</x:v>
      </x:c>
      <x:c r="BX512" s="9" t="str">
        <x:v>official_live_dashboard_snapshot_subject_to_revision</x:v>
      </x:c>
      <x:c r="BY512" s="9" t="str">
        <x:v>https://tbdashboard.sitb.id/ss_data_tbc03so_2024_provinsi_bulanan_list.php</x:v>
      </x:c>
      <x:c r="BZ512" s="6" t="n">
        <x:v>46246.610671296294</x:v>
      </x:c>
    </x:row>
    <x:row r="513" ht="18" customHeight="1">
      <x:c r="A513" s="6" t="str">
        <x:v>63</x:v>
      </x:c>
      <x:c r="B513" s="6" t="str">
        <x:v>KALIMANTAN SELATAN</x:v>
      </x:c>
      <x:c r="C513" s="6" t="str">
        <x:v>2024</x:v>
      </x:c>
      <x:c r="D513" s="6" t="str">
        <x:v>8</x:v>
      </x:c>
      <x:c r="E513" s="6" t="str">
        <x:v>2024-08</x:v>
      </x:c>
      <x:c r="F513" s="6" t="str">
        <x:v>935</x:v>
      </x:c>
      <x:c r="G513" s="6" t="str">
        <x:v>179</x:v>
      </x:c>
      <x:c r="H513" s="6" t="str">
        <x:v>549</x:v>
      </x:c>
      <x:c r="I513" s="6" t="str">
        <x:v>102</x:v>
      </x:c>
      <x:c r="J513" s="6" t="str">
        <x:v>38</x:v>
      </x:c>
      <x:c r="K513" s="6" t="str">
        <x:v>2</x:v>
      </x:c>
      <x:c r="L513" s="6" t="str">
        <x:v>9</x:v>
      </x:c>
      <x:c r="M513" s="6" t="str">
        <x:v>56</x:v>
      </x:c>
      <x:c r="N513" s="6" t="str">
        <x:v>935</x:v>
      </x:c>
      <x:c r="O513" s="6" t="str">
        <x:v>0</x:v>
      </x:c>
      <x:c r="P513" s="10" t="n">
        <x:f>F513-M513</x:f>
        <x:v>879</x:v>
      </x:c>
      <x:c r="Q513" s="11" t="n">
        <x:f>IFERROR(M513/F513,"")</x:f>
        <x:v>0.059893048128342244</x:v>
      </x:c>
      <x:c r="R513" s="10" t="n">
        <x:f>G513+H513</x:f>
        <x:v>728</x:v>
      </x:c>
      <x:c r="S513" s="11" t="n">
        <x:f>IFERROR(R513/F513,"")</x:f>
        <x:v>0.7786096256684492</x:v>
      </x:c>
      <x:c r="T513" s="11" t="n">
        <x:f>IFERROR(R513/P513,"")</x:f>
        <x:v>0.8282138794084186</x:v>
      </x:c>
      <x:c r="U513" s="10" t="n">
        <x:f>I513+J513+K513</x:f>
        <x:v>142</x:v>
      </x:c>
      <x:c r="V513" s="11" t="n">
        <x:f>IFERROR(U513/P513,"")</x:f>
        <x:v>0.161547212741752</x:v>
      </x:c>
      <x:c r="W513" s="9" t="str">
        <x:v>provisional_gt_5pct_pending</x:v>
      </x:c>
      <x:c r="X513" s="12" t="n">
        <x:f>IFERROR(F513/Z513*100000,"")</x:f>
        <x:v>21.8795338606262</x:v>
      </x:c>
      <x:c r="Y513" s="13" t="n">
        <x:f>LN(Z513)</x:f>
        <x:v>15.267920321291024</x:v>
      </x:c>
      <x:c r="Z513" s="6" t="str">
        <x:v>4273400</x:v>
      </x:c>
      <x:c r="AA513" s="6" t="str">
        <x:v>115.0</x:v>
      </x:c>
      <x:c r="AB513" s="9" t="str">
        <x:v>2024-06-30</x:v>
      </x:c>
      <x:c r="AC513" s="8" t="str">
        <x:v>83.7</x:v>
      </x:c>
      <x:c r="AD513" s="9" t="str">
        <x:v>2024 (Susenas)</x:v>
      </x:c>
      <x:c r="AE513" s="8" t="str">
        <x:v>4.11</x:v>
      </x:c>
      <x:c r="AF513" s="9" t="str">
        <x:v>Maret 2024 (Susenas)</x:v>
      </x:c>
      <x:c r="AG513" s="6" t="str">
        <x:v>26.183139390660944</x:v>
      </x:c>
      <x:c r="AH513" s="8" t="str">
        <x:v>86.97783035497531</x:v>
      </x:c>
      <x:c r="AI513" s="6" t="str">
        <x:v>181.5426230845528</x:v>
      </x:c>
      <x:c r="AJ513" s="6" t="str">
        <x:v>0.6941182323972015</x:v>
      </x:c>
      <x:c r="AK513" s="8" t="str">
        <x:v>1.8131398367576823</x:v>
      </x:c>
      <x:c r="AL513" s="6" t="str">
        <x:v>2.4865532194490254</x:v>
      </x:c>
      <x:c r="AM513" s="6" t="str">
        <x:v>1.9924116070197877</x:v>
      </x:c>
      <x:c r="AN513" s="6" t="str">
        <x:v>2.0973682210754983</x:v>
      </x:c>
      <x:c r="AO513" s="6" t="str">
        <x:v>2.789958869240067</x:v>
      </x:c>
      <x:c r="AP513" s="8" t="str">
        <x:v>0.8948206233575773</x:v>
      </x:c>
      <x:c r="AQ513" s="6" t="str">
        <x:v>0.2397666286018538</x:v>
      </x:c>
      <x:c r="AR513" s="6" t="str">
        <x:v>0.5768235159073792</x:v>
      </x:c>
      <x:c r="AS513" s="6" t="str">
        <x:v>0.5704702559556037</x:v>
      </x:c>
      <x:c r="AT513" s="6" t="str">
        <x:v>78.82146279042199</x:v>
      </x:c>
      <x:c r="AU513" s="8" t="str">
        <x:v>0.9067246543722236</x:v>
      </x:c>
      <x:c r="AV513" s="6" t="str">
        <x:v>-0.3617949054445676</x:v>
      </x:c>
      <x:c r="AW513" s="6" t="str">
        <x:v>0.9214062402007154</x:v>
      </x:c>
      <x:c r="AX513" s="6" t="str">
        <x:v>0.4887786630427899</x:v>
      </x:c>
      <x:c r="AY513" s="6" t="str">
        <x:v>0</x:v>
      </x:c>
      <x:c r="AZ513" s="6" t="str">
        <x:v>1</x:v>
      </x:c>
      <x:c r="BA513" s="9" t="str">
        <x:v>grid_cells_within_BIG_polygon</x:v>
      </x:c>
      <x:c r="BB513" s="6" t="str">
        <x:v>9</x:v>
      </x:c>
      <x:c r="BC513" s="6" t="str">
        <x:v>1</x:v>
      </x:c>
      <x:c r="BD513" s="6" t="str">
        <x:v>1</x:v>
      </x:c>
      <x:c r="BE513" s="6" t="str">
        <x:v>1</x:v>
      </x:c>
      <x:c r="BF513" s="6" t="str">
        <x:v>0</x:v>
      </x:c>
      <x:c r="BG513" s="6" t="str">
        <x:v>0</x:v>
      </x:c>
      <x:c r="BH513" s="6" t="str">
        <x:v>0</x:v>
      </x:c>
      <x:c r="BI513" s="6" t="str">
        <x:v>0</x:v>
      </x:c>
      <x:c r="BJ513" s="6" t="str">
        <x:v>0</x:v>
      </x:c>
      <x:c r="BK513" s="6" t="str">
        <x:v>0</x:v>
      </x:c>
      <x:c r="BL513" s="6" t="str">
        <x:v>0</x:v>
      </x:c>
      <x:c r="BM513" s="6" t="str">
        <x:v>0</x:v>
      </x:c>
      <x:c r="BN513" s="6" t="str">
        <x:v>1</x:v>
      </x:c>
      <x:c r="BO513" s="6" t="str">
        <x:v>0.0</x:v>
      </x:c>
      <x:c r="BP513" s="6" t="str">
        <x:v>1</x:v>
      </x:c>
      <x:c r="BQ513" s="6" t="str">
        <x:v>0.0</x:v>
      </x:c>
      <x:c r="BR513" s="6" t="str">
        <x:v>1</x:v>
      </x:c>
      <x:c r="BS513" s="6" t="str">
        <x:v>0.0</x:v>
      </x:c>
      <x:c r="BT513" s="6" t="str">
        <x:v>1</x:v>
      </x:c>
      <x:c r="BU513" s="6" t="str">
        <x:v>244.0</x:v>
      </x:c>
      <x:c r="BV513" s="6" t="str">
        <x:v>1</x:v>
      </x:c>
      <x:c r="BW513" s="9" t="str">
        <x:v>operational_snapshot_annual_totals_may_differ</x:v>
      </x:c>
      <x:c r="BX513" s="9" t="str">
        <x:v>official_live_dashboard_snapshot_subject_to_revision</x:v>
      </x:c>
      <x:c r="BY513" s="9" t="str">
        <x:v>https://tbdashboard.sitb.id/ss_data_tbc03so_2024_provinsi_bulanan_list.php</x:v>
      </x:c>
      <x:c r="BZ513" s="6" t="n">
        <x:v>46246.610671296294</x:v>
      </x:c>
    </x:row>
    <x:row r="514" ht="18" customHeight="1">
      <x:c r="A514" s="6" t="str">
        <x:v>63</x:v>
      </x:c>
      <x:c r="B514" s="6" t="str">
        <x:v>KALIMANTAN SELATAN</x:v>
      </x:c>
      <x:c r="C514" s="6" t="str">
        <x:v>2024</x:v>
      </x:c>
      <x:c r="D514" s="6" t="str">
        <x:v>9</x:v>
      </x:c>
      <x:c r="E514" s="6" t="str">
        <x:v>2024-09</x:v>
      </x:c>
      <x:c r="F514" s="6" t="str">
        <x:v>998</x:v>
      </x:c>
      <x:c r="G514" s="6" t="str">
        <x:v>187</x:v>
      </x:c>
      <x:c r="H514" s="6" t="str">
        <x:v>579</x:v>
      </x:c>
      <x:c r="I514" s="6" t="str">
        <x:v>88</x:v>
      </x:c>
      <x:c r="J514" s="6" t="str">
        <x:v>53</x:v>
      </x:c>
      <x:c r="K514" s="6" t="str">
        <x:v>9</x:v>
      </x:c>
      <x:c r="L514" s="6" t="str">
        <x:v>11</x:v>
      </x:c>
      <x:c r="M514" s="6" t="str">
        <x:v>71</x:v>
      </x:c>
      <x:c r="N514" s="6" t="str">
        <x:v>998</x:v>
      </x:c>
      <x:c r="O514" s="6" t="str">
        <x:v>0</x:v>
      </x:c>
      <x:c r="P514" s="10" t="n">
        <x:f>F514-M514</x:f>
        <x:v>927</x:v>
      </x:c>
      <x:c r="Q514" s="11" t="n">
        <x:f>IFERROR(M514/F514,"")</x:f>
        <x:v>0.07114228456913828</x:v>
      </x:c>
      <x:c r="R514" s="10" t="n">
        <x:f>G514+H514</x:f>
        <x:v>766</x:v>
      </x:c>
      <x:c r="S514" s="11" t="n">
        <x:f>IFERROR(R514/F514,"")</x:f>
        <x:v>0.7675350701402806</x:v>
      </x:c>
      <x:c r="T514" s="11" t="n">
        <x:f>IFERROR(R514/P514,"")</x:f>
        <x:v>0.8263214670981661</x:v>
      </x:c>
      <x:c r="U514" s="10" t="n">
        <x:f>I514+J514+K514</x:f>
        <x:v>150</x:v>
      </x:c>
      <x:c r="V514" s="11" t="n">
        <x:f>IFERROR(U514/P514,"")</x:f>
        <x:v>0.16181229773462782</x:v>
      </x:c>
      <x:c r="W514" s="9" t="str">
        <x:v>provisional_gt_5pct_pending</x:v>
      </x:c>
      <x:c r="X514" s="12" t="n">
        <x:f>IFERROR(F514/Z514*100000,"")</x:f>
        <x:v>23.3537698319839</x:v>
      </x:c>
      <x:c r="Y514" s="13" t="n">
        <x:f>LN(Z514)</x:f>
        <x:v>15.267920321291024</x:v>
      </x:c>
      <x:c r="Z514" s="6" t="str">
        <x:v>4273400</x:v>
      </x:c>
      <x:c r="AA514" s="6" t="str">
        <x:v>115.0</x:v>
      </x:c>
      <x:c r="AB514" s="9" t="str">
        <x:v>2024-06-30</x:v>
      </x:c>
      <x:c r="AC514" s="8" t="str">
        <x:v>83.7</x:v>
      </x:c>
      <x:c r="AD514" s="9" t="str">
        <x:v>2024 (Susenas)</x:v>
      </x:c>
      <x:c r="AE514" s="8" t="str">
        <x:v>4.11</x:v>
      </x:c>
      <x:c r="AF514" s="9" t="str">
        <x:v>Maret 2024 (Susenas)</x:v>
      </x:c>
      <x:c r="AG514" s="6" t="str">
        <x:v>26.765341942122383</x:v>
      </x:c>
      <x:c r="AH514" s="8" t="str">
        <x:v>83.97321435476063</x:v>
      </x:c>
      <x:c r="AI514" s="6" t="str">
        <x:v>76.64336707748008</x:v>
      </x:c>
      <x:c r="AJ514" s="6" t="str">
        <x:v>0.7415460444586657</x:v>
      </x:c>
      <x:c r="AK514" s="8" t="str">
        <x:v>1.867656741387665</x:v>
      </x:c>
      <x:c r="AL514" s="6" t="str">
        <x:v>1.8131398367576823</x:v>
      </x:c>
      <x:c r="AM514" s="6" t="str">
        <x:v>2.4865532194490254</x:v>
      </x:c>
      <x:c r="AN514" s="6" t="str">
        <x:v>2.055783265864791</x:v>
      </x:c>
      <x:c r="AO514" s="6" t="str">
        <x:v>1.838308719481475</x:v>
      </x:c>
      <x:c r="AP514" s="8" t="str">
        <x:v>0.4548774043988622</x:v>
      </x:c>
      <x:c r="AQ514" s="6" t="str">
        <x:v>0.8948206233575773</x:v>
      </x:c>
      <x:c r="AR514" s="6" t="str">
        <x:v>0.2397666286018538</x:v>
      </x:c>
      <x:c r="AS514" s="6" t="str">
        <x:v>0.5298215521194315</x:v>
      </x:c>
      <x:c r="AT514" s="6" t="str">
        <x:v>-25.33263868871191</x:v>
      </x:c>
      <x:c r="AU514" s="8" t="str">
        <x:v>-0.3233287801531893</x:v>
      </x:c>
      <x:c r="AV514" s="6" t="str">
        <x:v>0.9067246543722236</x:v>
      </x:c>
      <x:c r="AW514" s="6" t="str">
        <x:v>-0.3617949054445676</x:v>
      </x:c>
      <x:c r="AX514" s="6" t="str">
        <x:v>0.0738669895914884</x:v>
      </x:c>
      <x:c r="AY514" s="6" t="str">
        <x:v>0</x:v>
      </x:c>
      <x:c r="AZ514" s="6" t="str">
        <x:v>1</x:v>
      </x:c>
      <x:c r="BA514" s="9" t="str">
        <x:v>grid_cells_within_BIG_polygon</x:v>
      </x:c>
      <x:c r="BB514" s="6" t="str">
        <x:v>9</x:v>
      </x:c>
      <x:c r="BC514" s="6" t="str">
        <x:v>3</x:v>
      </x:c>
      <x:c r="BD514" s="6" t="str">
        <x:v>3</x:v>
      </x:c>
      <x:c r="BE514" s="6" t="str">
        <x:v>0</x:v>
      </x:c>
      <x:c r="BF514" s="6" t="str">
        <x:v>1</x:v>
      </x:c>
      <x:c r="BG514" s="6" t="str">
        <x:v>0</x:v>
      </x:c>
      <x:c r="BH514" s="6" t="str">
        <x:v>0</x:v>
      </x:c>
      <x:c r="BI514" s="6" t="str">
        <x:v>2</x:v>
      </x:c>
      <x:c r="BJ514" s="6" t="str">
        <x:v>0</x:v>
      </x:c>
      <x:c r="BK514" s="6" t="str">
        <x:v>0</x:v>
      </x:c>
      <x:c r="BL514" s="6" t="str">
        <x:v>0</x:v>
      </x:c>
      <x:c r="BM514" s="6" t="str">
        <x:v>0</x:v>
      </x:c>
      <x:c r="BN514" s="6" t="str">
        <x:v>3</x:v>
      </x:c>
      <x:c r="BO514" s="6" t="str">
        <x:v>0.0</x:v>
      </x:c>
      <x:c r="BP514" s="6" t="str">
        <x:v>3</x:v>
      </x:c>
      <x:c r="BQ514" s="6" t="str">
        <x:v>0.0</x:v>
      </x:c>
      <x:c r="BR514" s="6" t="str">
        <x:v>3</x:v>
      </x:c>
      <x:c r="BS514" s="6" t="str">
        <x:v>12.0</x:v>
      </x:c>
      <x:c r="BT514" s="6" t="str">
        <x:v>3</x:v>
      </x:c>
      <x:c r="BU514" s="6" t="str"/>
      <x:c r="BV514" s="6" t="str">
        <x:v>0</x:v>
      </x:c>
      <x:c r="BW514" s="9" t="str">
        <x:v>operational_snapshot_annual_totals_may_differ</x:v>
      </x:c>
      <x:c r="BX514" s="9" t="str">
        <x:v>official_live_dashboard_snapshot_subject_to_revision</x:v>
      </x:c>
      <x:c r="BY514" s="9" t="str">
        <x:v>https://tbdashboard.sitb.id/ss_data_tbc03so_2024_provinsi_bulanan_list.php</x:v>
      </x:c>
      <x:c r="BZ514" s="6" t="n">
        <x:v>46246.610671296294</x:v>
      </x:c>
    </x:row>
    <x:row r="515" ht="18" customHeight="1">
      <x:c r="A515" s="6" t="str">
        <x:v>63</x:v>
      </x:c>
      <x:c r="B515" s="6" t="str">
        <x:v>KALIMANTAN SELATAN</x:v>
      </x:c>
      <x:c r="C515" s="6" t="str">
        <x:v>2024</x:v>
      </x:c>
      <x:c r="D515" s="6" t="str">
        <x:v>10</x:v>
      </x:c>
      <x:c r="E515" s="6" t="str">
        <x:v>2024-10</x:v>
      </x:c>
      <x:c r="F515" s="6" t="str">
        <x:v>995</x:v>
      </x:c>
      <x:c r="G515" s="6" t="str">
        <x:v>202</x:v>
      </x:c>
      <x:c r="H515" s="6" t="str">
        <x:v>580</x:v>
      </x:c>
      <x:c r="I515" s="6" t="str">
        <x:v>96</x:v>
      </x:c>
      <x:c r="J515" s="6" t="str">
        <x:v>50</x:v>
      </x:c>
      <x:c r="K515" s="6" t="str">
        <x:v>4</x:v>
      </x:c>
      <x:c r="L515" s="6" t="str">
        <x:v>9</x:v>
      </x:c>
      <x:c r="M515" s="6" t="str">
        <x:v>54</x:v>
      </x:c>
      <x:c r="N515" s="6" t="str">
        <x:v>995</x:v>
      </x:c>
      <x:c r="O515" s="6" t="str">
        <x:v>0</x:v>
      </x:c>
      <x:c r="P515" s="10" t="n">
        <x:f>F515-M515</x:f>
        <x:v>941</x:v>
      </x:c>
      <x:c r="Q515" s="11" t="n">
        <x:f>IFERROR(M515/F515,"")</x:f>
        <x:v>0.054271356783919596</x:v>
      </x:c>
      <x:c r="R515" s="10" t="n">
        <x:f>G515+H515</x:f>
        <x:v>782</x:v>
      </x:c>
      <x:c r="S515" s="11" t="n">
        <x:f>IFERROR(R515/F515,"")</x:f>
        <x:v>0.785929648241206</x:v>
      </x:c>
      <x:c r="T515" s="11" t="n">
        <x:f>IFERROR(R515/P515,"")</x:f>
        <x:v>0.8310308182784272</x:v>
      </x:c>
      <x:c r="U515" s="10" t="n">
        <x:f>I515+J515+K515</x:f>
        <x:v>150</x:v>
      </x:c>
      <x:c r="V515" s="11" t="n">
        <x:f>IFERROR(U515/P515,"")</x:f>
        <x:v>0.1594048884165781</x:v>
      </x:c>
      <x:c r="W515" s="9" t="str">
        <x:v>provisional_gt_5pct_pending</x:v>
      </x:c>
      <x:c r="X515" s="12" t="n">
        <x:f>IFERROR(F515/Z515*100000,"")</x:f>
        <x:v>23.283568119062107</x:v>
      </x:c>
      <x:c r="Y515" s="13" t="n">
        <x:f>LN(Z515)</x:f>
        <x:v>15.267920321291024</x:v>
      </x:c>
      <x:c r="Z515" s="6" t="str">
        <x:v>4273400</x:v>
      </x:c>
      <x:c r="AA515" s="6" t="str">
        <x:v>115.0</x:v>
      </x:c>
      <x:c r="AB515" s="9" t="str">
        <x:v>2024-06-30</x:v>
      </x:c>
      <x:c r="AC515" s="8" t="str">
        <x:v>83.7</x:v>
      </x:c>
      <x:c r="AD515" s="9" t="str">
        <x:v>2024 (Susenas)</x:v>
      </x:c>
      <x:c r="AE515" s="8" t="str">
        <x:v>4.11</x:v>
      </x:c>
      <x:c r="AF515" s="9" t="str">
        <x:v>Maret 2024 (Susenas)</x:v>
      </x:c>
      <x:c r="AG515" s="6" t="str">
        <x:v>27.261946128584857</x:v>
      </x:c>
      <x:c r="AH515" s="8" t="str">
        <x:v>83.65575053647056</x:v>
      </x:c>
      <x:c r="AI515" s="6" t="str">
        <x:v>118.70174878766868</x:v>
      </x:c>
      <x:c r="AJ515" s="6" t="str">
        <x:v>0.5629821710607956</x:v>
      </x:c>
      <x:c r="AK515" s="8" t="str">
        <x:v>1.3391246319528716</x:v>
      </x:c>
      <x:c r="AL515" s="6" t="str">
        <x:v>1.867656741387665</x:v>
      </x:c>
      <x:c r="AM515" s="6" t="str">
        <x:v>1.8131398367576823</x:v>
      </x:c>
      <x:c r="AN515" s="6" t="str">
        <x:v>1.6733070700327397</x:v>
      </x:c>
      <x:c r="AO515" s="6" t="str">
        <x:v>2.2141472192878666</x:v>
      </x:c>
      <x:c r="AP515" s="8" t="str">
        <x:v>0.4477959977887003</x:v>
      </x:c>
      <x:c r="AQ515" s="6" t="str">
        <x:v>0.4548774043988622</x:v>
      </x:c>
      <x:c r="AR515" s="6" t="str">
        <x:v>0.8948206233575773</x:v>
      </x:c>
      <x:c r="AS515" s="6" t="str">
        <x:v>0.5991646751817136</x:v>
      </x:c>
      <x:c r="AT515" s="6" t="str">
        <x:v>-18.46173878069945</x:v>
      </x:c>
      <x:c r="AU515" s="8" t="str">
        <x:v>-0.2096692547487389</x:v>
      </x:c>
      <x:c r="AV515" s="6" t="str">
        <x:v>-0.3233287801531893</x:v>
      </x:c>
      <x:c r="AW515" s="6" t="str">
        <x:v>0.9067246543722236</x:v>
      </x:c>
      <x:c r="AX515" s="6" t="str">
        <x:v>0.1245755398234313</x:v>
      </x:c>
      <x:c r="AY515" s="6" t="str">
        <x:v>0</x:v>
      </x:c>
      <x:c r="AZ515" s="6" t="str">
        <x:v>1</x:v>
      </x:c>
      <x:c r="BA515" s="9" t="str">
        <x:v>grid_cells_within_BIG_polygon</x:v>
      </x:c>
      <x:c r="BB515" s="6" t="str">
        <x:v>9</x:v>
      </x:c>
      <x:c r="BC515" s="6" t="str">
        <x:v>2</x:v>
      </x:c>
      <x:c r="BD515" s="6" t="str">
        <x:v>2</x:v>
      </x:c>
      <x:c r="BE515" s="6" t="str">
        <x:v>0</x:v>
      </x:c>
      <x:c r="BF515" s="6" t="str">
        <x:v>0</x:v>
      </x:c>
      <x:c r="BG515" s="6" t="str">
        <x:v>1</x:v>
      </x:c>
      <x:c r="BH515" s="6" t="str">
        <x:v>0</x:v>
      </x:c>
      <x:c r="BI515" s="6" t="str">
        <x:v>1</x:v>
      </x:c>
      <x:c r="BJ515" s="6" t="str">
        <x:v>0</x:v>
      </x:c>
      <x:c r="BK515" s="6" t="str">
        <x:v>0</x:v>
      </x:c>
      <x:c r="BL515" s="6" t="str">
        <x:v>0</x:v>
      </x:c>
      <x:c r="BM515" s="6" t="str">
        <x:v>0</x:v>
      </x:c>
      <x:c r="BN515" s="6" t="str">
        <x:v>2</x:v>
      </x:c>
      <x:c r="BO515" s="6" t="str">
        <x:v>0.0</x:v>
      </x:c>
      <x:c r="BP515" s="6" t="str">
        <x:v>2</x:v>
      </x:c>
      <x:c r="BQ515" s="6" t="str">
        <x:v>0.0</x:v>
      </x:c>
      <x:c r="BR515" s="6" t="str">
        <x:v>2</x:v>
      </x:c>
      <x:c r="BS515" s="6" t="str">
        <x:v>6.0</x:v>
      </x:c>
      <x:c r="BT515" s="6" t="str">
        <x:v>2</x:v>
      </x:c>
      <x:c r="BU515" s="6" t="str"/>
      <x:c r="BV515" s="6" t="str">
        <x:v>0</x:v>
      </x:c>
      <x:c r="BW515" s="9" t="str">
        <x:v>operational_snapshot_annual_totals_may_differ</x:v>
      </x:c>
      <x:c r="BX515" s="9" t="str">
        <x:v>official_live_dashboard_snapshot_subject_to_revision</x:v>
      </x:c>
      <x:c r="BY515" s="9" t="str">
        <x:v>https://tbdashboard.sitb.id/ss_data_tbc03so_2024_provinsi_bulanan_list.php</x:v>
      </x:c>
      <x:c r="BZ515" s="6" t="n">
        <x:v>46246.610671296294</x:v>
      </x:c>
    </x:row>
    <x:row r="516" ht="18" customHeight="1">
      <x:c r="A516" s="6" t="str">
        <x:v>63</x:v>
      </x:c>
      <x:c r="B516" s="6" t="str">
        <x:v>KALIMANTAN SELATAN</x:v>
      </x:c>
      <x:c r="C516" s="6" t="str">
        <x:v>2024</x:v>
      </x:c>
      <x:c r="D516" s="6" t="str">
        <x:v>11</x:v>
      </x:c>
      <x:c r="E516" s="6" t="str">
        <x:v>2024-11</x:v>
      </x:c>
      <x:c r="F516" s="6" t="str">
        <x:v>962</x:v>
      </x:c>
      <x:c r="G516" s="6" t="str">
        <x:v>191</x:v>
      </x:c>
      <x:c r="H516" s="6" t="str">
        <x:v>563</x:v>
      </x:c>
      <x:c r="I516" s="6" t="str">
        <x:v>96</x:v>
      </x:c>
      <x:c r="J516" s="6" t="str">
        <x:v>50</x:v>
      </x:c>
      <x:c r="K516" s="6" t="str">
        <x:v>1</x:v>
      </x:c>
      <x:c r="L516" s="6" t="str">
        <x:v>14</x:v>
      </x:c>
      <x:c r="M516" s="6" t="str">
        <x:v>47</x:v>
      </x:c>
      <x:c r="N516" s="6" t="str">
        <x:v>962</x:v>
      </x:c>
      <x:c r="O516" s="6" t="str">
        <x:v>0</x:v>
      </x:c>
      <x:c r="P516" s="10" t="n">
        <x:f>F516-M516</x:f>
        <x:v>915</x:v>
      </x:c>
      <x:c r="Q516" s="11" t="n">
        <x:f>IFERROR(M516/F516,"")</x:f>
        <x:v>0.04885654885654886</x:v>
      </x:c>
      <x:c r="R516" s="10" t="n">
        <x:f>G516+H516</x:f>
        <x:v>754</x:v>
      </x:c>
      <x:c r="S516" s="11" t="n">
        <x:f>IFERROR(R516/F516,"")</x:f>
        <x:v>0.7837837837837838</x:v>
      </x:c>
      <x:c r="T516" s="11" t="n">
        <x:f>IFERROR(R516/P516,"")</x:f>
        <x:v>0.8240437158469945</x:v>
      </x:c>
      <x:c r="U516" s="10" t="n">
        <x:f>I516+J516+K516</x:f>
        <x:v>147</x:v>
      </x:c>
      <x:c r="V516" s="11" t="n">
        <x:f>IFERROR(U516/P516,"")</x:f>
        <x:v>0.16065573770491803</x:v>
      </x:c>
      <x:c r="W516" s="9" t="str">
        <x:v>mature_le_5pct_pending</x:v>
      </x:c>
      <x:c r="X516" s="12" t="n">
        <x:f>IFERROR(F516/Z516*100000,"")</x:f>
        <x:v>22.511349276922356</x:v>
      </x:c>
      <x:c r="Y516" s="13" t="n">
        <x:f>LN(Z516)</x:f>
        <x:v>15.267920321291024</x:v>
      </x:c>
      <x:c r="Z516" s="6" t="str">
        <x:v>4273400</x:v>
      </x:c>
      <x:c r="AA516" s="6" t="str">
        <x:v>115.0</x:v>
      </x:c>
      <x:c r="AB516" s="9" t="str">
        <x:v>2024-06-30</x:v>
      </x:c>
      <x:c r="AC516" s="8" t="str">
        <x:v>83.7</x:v>
      </x:c>
      <x:c r="AD516" s="9" t="str">
        <x:v>2024 (Susenas)</x:v>
      </x:c>
      <x:c r="AE516" s="8" t="str">
        <x:v>4.11</x:v>
      </x:c>
      <x:c r="AF516" s="9" t="str">
        <x:v>Maret 2024 (Susenas)</x:v>
      </x:c>
      <x:c r="AG516" s="6" t="str">
        <x:v>27.429692500158936</x:v>
      </x:c>
      <x:c r="AH516" s="8" t="str">
        <x:v>84.49260466123563</x:v>
      </x:c>
      <x:c r="AI516" s="6" t="str">
        <x:v>310.50888965723686</x:v>
      </x:c>
      <x:c r="AJ516" s="6" t="str">
        <x:v>0.6372108863467609</x:v>
      </x:c>
      <x:c r="AK516" s="8" t="str">
        <x:v>1.2588129986897931</x:v>
      </x:c>
      <x:c r="AL516" s="6" t="str">
        <x:v>1.3391246319528716</x:v>
      </x:c>
      <x:c r="AM516" s="6" t="str">
        <x:v>1.867656741387665</x:v>
      </x:c>
      <x:c r="AN516" s="6" t="str">
        <x:v>1.4885314573434432</x:v>
      </x:c>
      <x:c r="AO516" s="6" t="str">
        <x:v>0.8243157142012478</x:v>
      </x:c>
      <x:c r="AP516" s="8" t="str">
        <x:v>0.2429623460802165</x:v>
      </x:c>
      <x:c r="AQ516" s="6" t="str">
        <x:v>0.4477959977887003</x:v>
      </x:c>
      <x:c r="AR516" s="6" t="str">
        <x:v>0.4548774043988622</x:v>
      </x:c>
      <x:c r="AS516" s="6" t="str">
        <x:v>0.3818785827559267</x:v>
      </x:c>
      <x:c r="AT516" s="6" t="str">
        <x:v>85.84226818390036</x:v>
      </x:c>
      <x:c r="AU516" s="8" t="str">
        <x:v>1.2688057826692158</x:v>
      </x:c>
      <x:c r="AV516" s="6" t="str">
        <x:v>-0.2096692547487389</x:v>
      </x:c>
      <x:c r="AW516" s="6" t="str">
        <x:v>-0.3233287801531893</x:v>
      </x:c>
      <x:c r="AX516" s="6" t="str">
        <x:v>0.245269249255762</x:v>
      </x:c>
      <x:c r="AY516" s="6" t="str">
        <x:v>1</x:v>
      </x:c>
      <x:c r="AZ516" s="6" t="str">
        <x:v>1</x:v>
      </x:c>
      <x:c r="BA516" s="9" t="str">
        <x:v>grid_cells_within_BIG_polygon</x:v>
      </x:c>
      <x:c r="BB516" s="6" t="str">
        <x:v>9</x:v>
      </x:c>
      <x:c r="BC516" s="6" t="str">
        <x:v>1</x:v>
      </x:c>
      <x:c r="BD516" s="6" t="str">
        <x:v>1</x:v>
      </x:c>
      <x:c r="BE516" s="6" t="str">
        <x:v>0</x:v>
      </x:c>
      <x:c r="BF516" s="6" t="str">
        <x:v>0</x:v>
      </x:c>
      <x:c r="BG516" s="6" t="str">
        <x:v>1</x:v>
      </x:c>
      <x:c r="BH516" s="6" t="str">
        <x:v>0</x:v>
      </x:c>
      <x:c r="BI516" s="6" t="str">
        <x:v>0</x:v>
      </x:c>
      <x:c r="BJ516" s="6" t="str">
        <x:v>0</x:v>
      </x:c>
      <x:c r="BK516" s="6" t="str">
        <x:v>0</x:v>
      </x:c>
      <x:c r="BL516" s="6" t="str">
        <x:v>0</x:v>
      </x:c>
      <x:c r="BM516" s="6" t="str">
        <x:v>0</x:v>
      </x:c>
      <x:c r="BN516" s="6" t="str">
        <x:v>1</x:v>
      </x:c>
      <x:c r="BO516" s="6" t="str">
        <x:v>0.0</x:v>
      </x:c>
      <x:c r="BP516" s="6" t="str">
        <x:v>1</x:v>
      </x:c>
      <x:c r="BQ516" s="6" t="str">
        <x:v>0.0</x:v>
      </x:c>
      <x:c r="BR516" s="6" t="str">
        <x:v>1</x:v>
      </x:c>
      <x:c r="BS516" s="6" t="str">
        <x:v>8.0</x:v>
      </x:c>
      <x:c r="BT516" s="6" t="str">
        <x:v>1</x:v>
      </x:c>
      <x:c r="BU516" s="6" t="str"/>
      <x:c r="BV516" s="6" t="str">
        <x:v>0</x:v>
      </x:c>
      <x:c r="BW516" s="9" t="str">
        <x:v>operational_snapshot_annual_totals_may_differ</x:v>
      </x:c>
      <x:c r="BX516" s="9" t="str">
        <x:v>official_live_dashboard_snapshot_subject_to_revision</x:v>
      </x:c>
      <x:c r="BY516" s="9" t="str">
        <x:v>https://tbdashboard.sitb.id/ss_data_tbc03so_2024_provinsi_bulanan_list.php</x:v>
      </x:c>
      <x:c r="BZ516" s="6" t="n">
        <x:v>46246.610671296294</x:v>
      </x:c>
    </x:row>
    <x:row r="517" ht="18" customHeight="1">
      <x:c r="A517" s="6" t="str">
        <x:v>63</x:v>
      </x:c>
      <x:c r="B517" s="6" t="str">
        <x:v>KALIMANTAN SELATAN</x:v>
      </x:c>
      <x:c r="C517" s="6" t="str">
        <x:v>2024</x:v>
      </x:c>
      <x:c r="D517" s="6" t="str">
        <x:v>12</x:v>
      </x:c>
      <x:c r="E517" s="6" t="str">
        <x:v>2024-12</x:v>
      </x:c>
      <x:c r="F517" s="6" t="str">
        <x:v>877</x:v>
      </x:c>
      <x:c r="G517" s="6" t="str">
        <x:v>185</x:v>
      </x:c>
      <x:c r="H517" s="6" t="str">
        <x:v>506</x:v>
      </x:c>
      <x:c r="I517" s="6" t="str">
        <x:v>100</x:v>
      </x:c>
      <x:c r="J517" s="6" t="str">
        <x:v>48</x:v>
      </x:c>
      <x:c r="K517" s="6" t="str">
        <x:v>5</x:v>
      </x:c>
      <x:c r="L517" s="6" t="str">
        <x:v>6</x:v>
      </x:c>
      <x:c r="M517" s="6" t="str">
        <x:v>27</x:v>
      </x:c>
      <x:c r="N517" s="6" t="str">
        <x:v>877</x:v>
      </x:c>
      <x:c r="O517" s="6" t="str">
        <x:v>0</x:v>
      </x:c>
      <x:c r="P517" s="10" t="n">
        <x:f>F517-M517</x:f>
        <x:v>850</x:v>
      </x:c>
      <x:c r="Q517" s="11" t="n">
        <x:f>IFERROR(M517/F517,"")</x:f>
        <x:v>0.03078677309007982</x:v>
      </x:c>
      <x:c r="R517" s="10" t="n">
        <x:f>G517+H517</x:f>
        <x:v>691</x:v>
      </x:c>
      <x:c r="S517" s="11" t="n">
        <x:f>IFERROR(R517/F517,"")</x:f>
        <x:v>0.7879133409350056</x:v>
      </x:c>
      <x:c r="T517" s="11" t="n">
        <x:f>IFERROR(R517/P517,"")</x:f>
        <x:v>0.8129411764705883</x:v>
      </x:c>
      <x:c r="U517" s="10" t="n">
        <x:f>I517+J517+K517</x:f>
        <x:v>153</x:v>
      </x:c>
      <x:c r="V517" s="11" t="n">
        <x:f>IFERROR(U517/P517,"")</x:f>
        <x:v>0.18</x:v>
      </x:c>
      <x:c r="W517" s="9" t="str">
        <x:v>mature_le_5pct_pending</x:v>
      </x:c>
      <x:c r="X517" s="12" t="n">
        <x:f>IFERROR(F517/Z517*100000,"")</x:f>
        <x:v>20.522300744138157</x:v>
      </x:c>
      <x:c r="Y517" s="13" t="n">
        <x:f>LN(Z517)</x:f>
        <x:v>15.267920321291024</x:v>
      </x:c>
      <x:c r="Z517" s="6" t="str">
        <x:v>4273400</x:v>
      </x:c>
      <x:c r="AA517" s="6" t="str">
        <x:v>115.0</x:v>
      </x:c>
      <x:c r="AB517" s="9" t="str">
        <x:v>2024-06-30</x:v>
      </x:c>
      <x:c r="AC517" s="8" t="str">
        <x:v>83.7</x:v>
      </x:c>
      <x:c r="AD517" s="9" t="str">
        <x:v>2024 (Susenas)</x:v>
      </x:c>
      <x:c r="AE517" s="8" t="str">
        <x:v>4.11</x:v>
      </x:c>
      <x:c r="AF517" s="9" t="str">
        <x:v>Maret 2024 (Susenas)</x:v>
      </x:c>
      <x:c r="AG517" s="6" t="str">
        <x:v>26.483138966590754</x:v>
      </x:c>
      <x:c r="AH517" s="8" t="str">
        <x:v>88.72193718693917</x:v>
      </x:c>
      <x:c r="AI517" s="6" t="str">
        <x:v>327.50290426899824</x:v>
      </x:c>
      <x:c r="AJ517" s="6" t="str">
        <x:v>0.2678552882524982</x:v>
      </x:c>
      <x:c r="AK517" s="8" t="str">
        <x:v>0.6119636558679341</x:v>
      </x:c>
      <x:c r="AL517" s="6" t="str">
        <x:v>1.2588129986897931</x:v>
      </x:c>
      <x:c r="AM517" s="6" t="str">
        <x:v>1.3391246319528716</x:v>
      </x:c>
      <x:c r="AN517" s="6" t="str">
        <x:v>1.069967095503533</x:v>
      </x:c>
      <x:c r="AO517" s="6" t="str">
        <x:v>1.6013305596248273</x:v>
      </x:c>
      <x:c r="AP517" s="8" t="str">
        <x:v>0.8459331485694684</x:v>
      </x:c>
      <x:c r="AQ517" s="6" t="str">
        <x:v>0.2429623460802165</x:v>
      </x:c>
      <x:c r="AR517" s="6" t="str">
        <x:v>0.4477959977887003</x:v>
      </x:c>
      <x:c r="AS517" s="6" t="str">
        <x:v>0.5122304974794621</x:v>
      </x:c>
      <x:c r="AT517" s="6" t="str">
        <x:v>9.329287028877104</x:v>
      </x:c>
      <x:c r="AU517" s="8" t="str">
        <x:v>0.1417998672453407</x:v>
      </x:c>
      <x:c r="AV517" s="6" t="str">
        <x:v>1.2688057826692158</x:v>
      </x:c>
      <x:c r="AW517" s="6" t="str">
        <x:v>-0.2096692547487389</x:v>
      </x:c>
      <x:c r="AX517" s="6" t="str">
        <x:v>0.4003121317219387</x:v>
      </x:c>
      <x:c r="AY517" s="6" t="str">
        <x:v>0</x:v>
      </x:c>
      <x:c r="AZ517" s="6" t="str">
        <x:v>0</x:v>
      </x:c>
      <x:c r="BA517" s="9" t="str">
        <x:v>grid_cells_within_BIG_polygon</x:v>
      </x:c>
      <x:c r="BB517" s="6" t="str">
        <x:v>9</x:v>
      </x:c>
      <x:c r="BC517" s="6" t="str">
        <x:v>3</x:v>
      </x:c>
      <x:c r="BD517" s="6" t="str">
        <x:v>3</x:v>
      </x:c>
      <x:c r="BE517" s="6" t="str">
        <x:v>3</x:v>
      </x:c>
      <x:c r="BF517" s="6" t="str">
        <x:v>0</x:v>
      </x:c>
      <x:c r="BG517" s="6" t="str">
        <x:v>0</x:v>
      </x:c>
      <x:c r="BH517" s="6" t="str">
        <x:v>0</x:v>
      </x:c>
      <x:c r="BI517" s="6" t="str">
        <x:v>0</x:v>
      </x:c>
      <x:c r="BJ517" s="6" t="str">
        <x:v>0</x:v>
      </x:c>
      <x:c r="BK517" s="6" t="str">
        <x:v>0</x:v>
      </x:c>
      <x:c r="BL517" s="6" t="str">
        <x:v>0</x:v>
      </x:c>
      <x:c r="BM517" s="6" t="str">
        <x:v>0</x:v>
      </x:c>
      <x:c r="BN517" s="6" t="str">
        <x:v>3</x:v>
      </x:c>
      <x:c r="BO517" s="6" t="str">
        <x:v>0.0</x:v>
      </x:c>
      <x:c r="BP517" s="6" t="str">
        <x:v>3</x:v>
      </x:c>
      <x:c r="BQ517" s="6" t="str">
        <x:v>0.0</x:v>
      </x:c>
      <x:c r="BR517" s="6" t="str">
        <x:v>3</x:v>
      </x:c>
      <x:c r="BS517" s="6" t="str">
        <x:v>0.0</x:v>
      </x:c>
      <x:c r="BT517" s="6" t="str">
        <x:v>3</x:v>
      </x:c>
      <x:c r="BU517" s="6" t="str">
        <x:v>7794.0</x:v>
      </x:c>
      <x:c r="BV517" s="6" t="str">
        <x:v>3</x:v>
      </x:c>
      <x:c r="BW517" s="9" t="str">
        <x:v>operational_snapshot_annual_totals_may_differ</x:v>
      </x:c>
      <x:c r="BX517" s="9" t="str">
        <x:v>official_live_dashboard_snapshot_subject_to_revision</x:v>
      </x:c>
      <x:c r="BY517" s="9" t="str">
        <x:v>https://tbdashboard.sitb.id/ss_data_tbc03so_2024_provinsi_bulanan_list.php</x:v>
      </x:c>
      <x:c r="BZ517" s="6" t="n">
        <x:v>46246.610671296294</x:v>
      </x:c>
    </x:row>
    <x:row r="518" ht="18" customHeight="1">
      <x:c r="A518" s="6" t="str">
        <x:v>63</x:v>
      </x:c>
      <x:c r="B518" s="6" t="str">
        <x:v>KALIMANTAN SELATAN</x:v>
      </x:c>
      <x:c r="C518" s="6" t="str">
        <x:v>2025</x:v>
      </x:c>
      <x:c r="D518" s="6" t="str">
        <x:v>1</x:v>
      </x:c>
      <x:c r="E518" s="6" t="str">
        <x:v>2025-01</x:v>
      </x:c>
      <x:c r="F518" s="6" t="str">
        <x:v>921</x:v>
      </x:c>
      <x:c r="G518" s="6" t="str">
        <x:v>198</x:v>
      </x:c>
      <x:c r="H518" s="6" t="str">
        <x:v>483</x:v>
      </x:c>
      <x:c r="I518" s="6" t="str">
        <x:v>115</x:v>
      </x:c>
      <x:c r="J518" s="6" t="str">
        <x:v>55</x:v>
      </x:c>
      <x:c r="K518" s="6" t="str">
        <x:v>2</x:v>
      </x:c>
      <x:c r="L518" s="6" t="str">
        <x:v>8</x:v>
      </x:c>
      <x:c r="M518" s="6" t="str">
        <x:v>60</x:v>
      </x:c>
      <x:c r="N518" s="6" t="str">
        <x:v>921</x:v>
      </x:c>
      <x:c r="O518" s="6" t="str">
        <x:v>0</x:v>
      </x:c>
      <x:c r="P518" s="10" t="n">
        <x:f>F518-M518</x:f>
        <x:v>861</x:v>
      </x:c>
      <x:c r="Q518" s="11" t="n">
        <x:f>IFERROR(M518/F518,"")</x:f>
        <x:v>0.06514657980456026</x:v>
      </x:c>
      <x:c r="R518" s="10" t="n">
        <x:f>G518+H518</x:f>
        <x:v>681</x:v>
      </x:c>
      <x:c r="S518" s="11" t="n">
        <x:f>IFERROR(R518/F518,"")</x:f>
        <x:v>0.739413680781759</x:v>
      </x:c>
      <x:c r="T518" s="11" t="n">
        <x:f>IFERROR(R518/P518,"")</x:f>
        <x:v>0.7909407665505227</x:v>
      </x:c>
      <x:c r="U518" s="10" t="n">
        <x:f>I518+J518+K518</x:f>
        <x:v>172</x:v>
      </x:c>
      <x:c r="V518" s="11" t="n">
        <x:f>IFERROR(U518/P518,"")</x:f>
        <x:v>0.1997677119628339</x:v>
      </x:c>
      <x:c r="W518" s="9" t="str">
        <x:v>provisional_gt_5pct_pending</x:v>
      </x:c>
      <x:c r="X518" s="12" t="n">
        <x:f>IFERROR(F518/Z518*100000,"")</x:f>
        <x:v>21.303171188675318</x:v>
      </x:c>
      <x:c r="Y518" s="13" t="n">
        <x:f>LN(Z518)</x:f>
        <x:v>15.279529557494563</x:v>
      </x:c>
      <x:c r="Z518" s="6" t="str">
        <x:v>4323300</x:v>
      </x:c>
      <x:c r="AA518" s="6" t="str">
        <x:v>116.0</x:v>
      </x:c>
      <x:c r="AB518" s="9" t="str">
        <x:v>2025-06-30</x:v>
      </x:c>
      <x:c r="AC518" s="8" t="str">
        <x:v>86.8</x:v>
      </x:c>
      <x:c r="AD518" s="9" t="str">
        <x:v>2025 (Susenas)</x:v>
      </x:c>
      <x:c r="AE518" s="8" t="str">
        <x:v>3.84</x:v>
      </x:c>
      <x:c r="AF518" s="9" t="str">
        <x:v>Maret 2025 (Susenas)</x:v>
      </x:c>
      <x:c r="AG518" s="6" t="str">
        <x:v>26.080941876020507</x:v>
      </x:c>
      <x:c r="AH518" s="8" t="str">
        <x:v>88.88738754421658</x:v>
      </x:c>
      <x:c r="AI518" s="6" t="str">
        <x:v>492.5437994862574</x:v>
      </x:c>
      <x:c r="AJ518" s="6" t="str">
        <x:v>0.1409498710985701</x:v>
      </x:c>
      <x:c r="AK518" s="8" t="str">
        <x:v>0.3425380532763786</x:v>
      </x:c>
      <x:c r="AL518" s="6" t="str">
        <x:v>0.6119636558679341</x:v>
      </x:c>
      <x:c r="AM518" s="6" t="str">
        <x:v>1.2588129986897931</x:v>
      </x:c>
      <x:c r="AN518" s="6" t="str">
        <x:v>0.7377715692780353</x:v>
      </x:c>
      <x:c r="AO518" s="6" t="str">
        <x:v>0.9489856591457908</x:v>
      </x:c>
      <x:c r="AP518" s="8" t="str">
        <x:v>0.9499200602174154</x:v>
      </x:c>
      <x:c r="AQ518" s="6" t="str">
        <x:v>0.8459331485694684</x:v>
      </x:c>
      <x:c r="AR518" s="6" t="str">
        <x:v>0.2429623460802165</x:v>
      </x:c>
      <x:c r="AS518" s="6" t="str">
        <x:v>0.6796051849557004</x:v>
      </x:c>
      <x:c r="AT518" s="6" t="str">
        <x:v>186.5859151809059</x:v>
      </x:c>
      <x:c r="AU518" s="8" t="str">
        <x:v>2.6608156552499733</x:v>
      </x:c>
      <x:c r="AV518" s="6" t="str">
        <x:v>0.1417998672453407</x:v>
      </x:c>
      <x:c r="AW518" s="6" t="str">
        <x:v>1.2688057826692158</x:v>
      </x:c>
      <x:c r="AX518" s="6" t="str">
        <x:v>1.3571404350548428</x:v>
      </x:c>
      <x:c r="AY518" s="6" t="str">
        <x:v>1</x:v>
      </x:c>
      <x:c r="AZ518" s="6" t="str">
        <x:v>0</x:v>
      </x:c>
      <x:c r="BA518" s="9" t="str">
        <x:v>grid_cells_within_BIG_polygon</x:v>
      </x:c>
      <x:c r="BB518" s="6" t="str">
        <x:v>9</x:v>
      </x:c>
      <x:c r="BC518" s="6" t="str">
        <x:v>16</x:v>
      </x:c>
      <x:c r="BD518" s="6" t="str">
        <x:v>16</x:v>
      </x:c>
      <x:c r="BE518" s="6" t="str">
        <x:v>16</x:v>
      </x:c>
      <x:c r="BF518" s="6" t="str">
        <x:v>0</x:v>
      </x:c>
      <x:c r="BG518" s="6" t="str">
        <x:v>0</x:v>
      </x:c>
      <x:c r="BH518" s="6" t="str">
        <x:v>0</x:v>
      </x:c>
      <x:c r="BI518" s="6" t="str">
        <x:v>0</x:v>
      </x:c>
      <x:c r="BJ518" s="6" t="str">
        <x:v>0</x:v>
      </x:c>
      <x:c r="BK518" s="6" t="str">
        <x:v>0</x:v>
      </x:c>
      <x:c r="BL518" s="6" t="str">
        <x:v>0</x:v>
      </x:c>
      <x:c r="BM518" s="6" t="str">
        <x:v>0</x:v>
      </x:c>
      <x:c r="BN518" s="6" t="str">
        <x:v>16</x:v>
      </x:c>
      <x:c r="BO518" s="6" t="str">
        <x:v>0.0</x:v>
      </x:c>
      <x:c r="BP518" s="6" t="str">
        <x:v>16</x:v>
      </x:c>
      <x:c r="BQ518" s="6" t="str">
        <x:v>0.0</x:v>
      </x:c>
      <x:c r="BR518" s="6" t="str">
        <x:v>16</x:v>
      </x:c>
      <x:c r="BS518" s="6" t="str">
        <x:v>0.0</x:v>
      </x:c>
      <x:c r="BT518" s="6" t="str">
        <x:v>16</x:v>
      </x:c>
      <x:c r="BU518" s="6" t="str">
        <x:v>47362.0</x:v>
      </x:c>
      <x:c r="BV518" s="6" t="str">
        <x:v>15</x:v>
      </x:c>
      <x:c r="BW518" s="9" t="str">
        <x:v>operational_snapshot_annual_totals_may_differ</x:v>
      </x:c>
      <x:c r="BX518" s="9" t="str">
        <x:v>official_live_dashboard_snapshot_subject_to_revision</x:v>
      </x:c>
      <x:c r="BY518" s="9" t="str">
        <x:v>https://tbdashboard.sitb.id/ss_data_tbc03so_2025_provinsi_bulanan_list.php</x:v>
      </x:c>
      <x:c r="BZ518" s="6" t="n">
        <x:v>46246.610671296294</x:v>
      </x:c>
    </x:row>
    <x:row r="519" ht="18" customHeight="1">
      <x:c r="A519" s="6" t="str">
        <x:v>63</x:v>
      </x:c>
      <x:c r="B519" s="6" t="str">
        <x:v>KALIMANTAN SELATAN</x:v>
      </x:c>
      <x:c r="C519" s="6" t="str">
        <x:v>2025</x:v>
      </x:c>
      <x:c r="D519" s="6" t="str">
        <x:v>2</x:v>
      </x:c>
      <x:c r="E519" s="6" t="str">
        <x:v>2025-02</x:v>
      </x:c>
      <x:c r="F519" s="6" t="str">
        <x:v>892</x:v>
      </x:c>
      <x:c r="G519" s="6" t="str">
        <x:v>186</x:v>
      </x:c>
      <x:c r="H519" s="6" t="str">
        <x:v>478</x:v>
      </x:c>
      <x:c r="I519" s="6" t="str">
        <x:v>98</x:v>
      </x:c>
      <x:c r="J519" s="6" t="str">
        <x:v>41</x:v>
      </x:c>
      <x:c r="K519" s="6" t="str">
        <x:v>7</x:v>
      </x:c>
      <x:c r="L519" s="6" t="str">
        <x:v>2</x:v>
      </x:c>
      <x:c r="M519" s="6" t="str">
        <x:v>80</x:v>
      </x:c>
      <x:c r="N519" s="6" t="str">
        <x:v>892</x:v>
      </x:c>
      <x:c r="O519" s="6" t="str">
        <x:v>0</x:v>
      </x:c>
      <x:c r="P519" s="10" t="n">
        <x:f>F519-M519</x:f>
        <x:v>812</x:v>
      </x:c>
      <x:c r="Q519" s="11" t="n">
        <x:f>IFERROR(M519/F519,"")</x:f>
        <x:v>0.08968609865470852</x:v>
      </x:c>
      <x:c r="R519" s="10" t="n">
        <x:f>G519+H519</x:f>
        <x:v>664</x:v>
      </x:c>
      <x:c r="S519" s="11" t="n">
        <x:f>IFERROR(R519/F519,"")</x:f>
        <x:v>0.7443946188340808</x:v>
      </x:c>
      <x:c r="T519" s="11" t="n">
        <x:f>IFERROR(R519/P519,"")</x:f>
        <x:v>0.8177339901477833</x:v>
      </x:c>
      <x:c r="U519" s="10" t="n">
        <x:f>I519+J519+K519</x:f>
        <x:v>146</x:v>
      </x:c>
      <x:c r="V519" s="11" t="n">
        <x:f>IFERROR(U519/P519,"")</x:f>
        <x:v>0.17980295566502463</x:v>
      </x:c>
      <x:c r="W519" s="9" t="str">
        <x:v>provisional_gt_5pct_pending</x:v>
      </x:c>
      <x:c r="X519" s="12" t="n">
        <x:f>IFERROR(F519/Z519*100000,"")</x:f>
        <x:v>20.632387296740916</x:v>
      </x:c>
      <x:c r="Y519" s="13" t="n">
        <x:f>LN(Z519)</x:f>
        <x:v>15.279529557494563</x:v>
      </x:c>
      <x:c r="Z519" s="6" t="str">
        <x:v>4323300</x:v>
      </x:c>
      <x:c r="AA519" s="6" t="str">
        <x:v>116.0</x:v>
      </x:c>
      <x:c r="AB519" s="9" t="str">
        <x:v>2025-06-30</x:v>
      </x:c>
      <x:c r="AC519" s="8" t="str">
        <x:v>86.8</x:v>
      </x:c>
      <x:c r="AD519" s="9" t="str">
        <x:v>2025 (Susenas)</x:v>
      </x:c>
      <x:c r="AE519" s="8" t="str">
        <x:v>3.84</x:v>
      </x:c>
      <x:c r="AF519" s="9" t="str">
        <x:v>Maret 2025 (Susenas)</x:v>
      </x:c>
      <x:c r="AG519" s="6" t="str">
        <x:v>26.349781731910834</x:v>
      </x:c>
      <x:c r="AH519" s="8" t="str">
        <x:v>87.46414219750682</x:v>
      </x:c>
      <x:c r="AI519" s="6" t="str">
        <x:v>203.3727458221419</x:v>
      </x:c>
      <x:c r="AJ519" s="6" t="str">
        <x:v>0.325909327223556</x:v>
      </x:c>
      <x:c r="AK519" s="8" t="str">
        <x:v>0.8114087177375506</x:v>
      </x:c>
      <x:c r="AL519" s="6" t="str">
        <x:v>0.3425380532763786</x:v>
      </x:c>
      <x:c r="AM519" s="6" t="str">
        <x:v>0.6119636558679341</x:v>
      </x:c>
      <x:c r="AN519" s="6" t="str">
        <x:v>0.5886368089606212</x:v>
      </x:c>
      <x:c r="AO519" s="6" t="str">
        <x:v>-0.2038128036482902</x:v>
      </x:c>
      <x:c r="AP519" s="8" t="str">
        <x:v>-0.1874379366921107</x:v>
      </x:c>
      <x:c r="AQ519" s="6" t="str">
        <x:v>0.9499200602174154</x:v>
      </x:c>
      <x:c r="AR519" s="6" t="str">
        <x:v>0.8459331485694684</x:v>
      </x:c>
      <x:c r="AS519" s="6" t="str">
        <x:v>0.5361384240315913</x:v>
      </x:c>
      <x:c r="AT519" s="6" t="str">
        <x:v>-71.09940525693338</x:v>
      </x:c>
      <x:c r="AU519" s="8" t="str">
        <x:v>-0.8029067331161648</x:v>
      </x:c>
      <x:c r="AV519" s="6" t="str">
        <x:v>2.6608156552499733</x:v>
      </x:c>
      <x:c r="AW519" s="6" t="str">
        <x:v>0.1417998672453407</x:v>
      </x:c>
      <x:c r="AX519" s="6" t="str">
        <x:v>0.6665695964597158</x:v>
      </x:c>
      <x:c r="AY519" s="6" t="str">
        <x:v>0</x:v>
      </x:c>
      <x:c r="AZ519" s="6" t="str">
        <x:v>0</x:v>
      </x:c>
      <x:c r="BA519" s="9" t="str">
        <x:v>grid_cells_within_BIG_polygon</x:v>
      </x:c>
      <x:c r="BB519" s="6" t="str">
        <x:v>9</x:v>
      </x:c>
      <x:c r="BC519" s="6" t="str">
        <x:v>4</x:v>
      </x:c>
      <x:c r="BD519" s="6" t="str">
        <x:v>4</x:v>
      </x:c>
      <x:c r="BE519" s="6" t="str">
        <x:v>1</x:v>
      </x:c>
      <x:c r="BF519" s="6" t="str">
        <x:v>0</x:v>
      </x:c>
      <x:c r="BG519" s="6" t="str">
        <x:v>3</x:v>
      </x:c>
      <x:c r="BH519" s="6" t="str">
        <x:v>0</x:v>
      </x:c>
      <x:c r="BI519" s="6" t="str">
        <x:v>0</x:v>
      </x:c>
      <x:c r="BJ519" s="6" t="str">
        <x:v>0</x:v>
      </x:c>
      <x:c r="BK519" s="6" t="str">
        <x:v>0</x:v>
      </x:c>
      <x:c r="BL519" s="6" t="str">
        <x:v>0</x:v>
      </x:c>
      <x:c r="BM519" s="6" t="str">
        <x:v>0</x:v>
      </x:c>
      <x:c r="BN519" s="6" t="str">
        <x:v>4</x:v>
      </x:c>
      <x:c r="BO519" s="6" t="str">
        <x:v>0.0</x:v>
      </x:c>
      <x:c r="BP519" s="6" t="str">
        <x:v>4</x:v>
      </x:c>
      <x:c r="BQ519" s="6" t="str">
        <x:v>0.0</x:v>
      </x:c>
      <x:c r="BR519" s="6" t="str">
        <x:v>4</x:v>
      </x:c>
      <x:c r="BS519" s="6" t="str">
        <x:v>104.0</x:v>
      </x:c>
      <x:c r="BT519" s="6" t="str">
        <x:v>4</x:v>
      </x:c>
      <x:c r="BU519" s="6" t="str">
        <x:v>1465.0</x:v>
      </x:c>
      <x:c r="BV519" s="6" t="str">
        <x:v>1</x:v>
      </x:c>
      <x:c r="BW519" s="9" t="str">
        <x:v>operational_snapshot_annual_totals_may_differ</x:v>
      </x:c>
      <x:c r="BX519" s="9" t="str">
        <x:v>official_live_dashboard_snapshot_subject_to_revision</x:v>
      </x:c>
      <x:c r="BY519" s="9" t="str">
        <x:v>https://tbdashboard.sitb.id/ss_data_tbc03so_2025_provinsi_bulanan_list.php</x:v>
      </x:c>
      <x:c r="BZ519" s="6" t="n">
        <x:v>46246.610671296294</x:v>
      </x:c>
    </x:row>
    <x:row r="520" ht="18" customHeight="1">
      <x:c r="A520" s="6" t="str">
        <x:v>63</x:v>
      </x:c>
      <x:c r="B520" s="6" t="str">
        <x:v>KALIMANTAN SELATAN</x:v>
      </x:c>
      <x:c r="C520" s="6" t="str">
        <x:v>2025</x:v>
      </x:c>
      <x:c r="D520" s="6" t="str">
        <x:v>3</x:v>
      </x:c>
      <x:c r="E520" s="6" t="str">
        <x:v>2025-03</x:v>
      </x:c>
      <x:c r="F520" s="6" t="str">
        <x:v>882</x:v>
      </x:c>
      <x:c r="G520" s="6" t="str">
        <x:v>199</x:v>
      </x:c>
      <x:c r="H520" s="6" t="str">
        <x:v>456</x:v>
      </x:c>
      <x:c r="I520" s="6" t="str">
        <x:v>102</x:v>
      </x:c>
      <x:c r="J520" s="6" t="str">
        <x:v>48</x:v>
      </x:c>
      <x:c r="K520" s="6" t="str">
        <x:v>1</x:v>
      </x:c>
      <x:c r="L520" s="6" t="str">
        <x:v>1</x:v>
      </x:c>
      <x:c r="M520" s="6" t="str">
        <x:v>75</x:v>
      </x:c>
      <x:c r="N520" s="6" t="str">
        <x:v>882</x:v>
      </x:c>
      <x:c r="O520" s="6" t="str">
        <x:v>0</x:v>
      </x:c>
      <x:c r="P520" s="10" t="n">
        <x:f>F520-M520</x:f>
        <x:v>807</x:v>
      </x:c>
      <x:c r="Q520" s="11" t="n">
        <x:f>IFERROR(M520/F520,"")</x:f>
        <x:v>0.08503401360544217</x:v>
      </x:c>
      <x:c r="R520" s="10" t="n">
        <x:f>G520+H520</x:f>
        <x:v>655</x:v>
      </x:c>
      <x:c r="S520" s="11" t="n">
        <x:f>IFERROR(R520/F520,"")</x:f>
        <x:v>0.7426303854875284</x:v>
      </x:c>
      <x:c r="T520" s="11" t="n">
        <x:f>IFERROR(R520/P520,"")</x:f>
        <x:v>0.8116480793060719</x:v>
      </x:c>
      <x:c r="U520" s="10" t="n">
        <x:f>I520+J520+K520</x:f>
        <x:v>151</x:v>
      </x:c>
      <x:c r="V520" s="11" t="n">
        <x:f>IFERROR(U520/P520,"")</x:f>
        <x:v>0.18711276332094176</x:v>
      </x:c>
      <x:c r="W520" s="9" t="str">
        <x:v>provisional_gt_5pct_pending</x:v>
      </x:c>
      <x:c r="X520" s="12" t="n">
        <x:f>IFERROR(F520/Z520*100000,"")</x:f>
        <x:v>20.401082506418707</x:v>
      </x:c>
      <x:c r="Y520" s="13" t="n">
        <x:f>LN(Z520)</x:f>
        <x:v>15.279529557494563</x:v>
      </x:c>
      <x:c r="Z520" s="6" t="str">
        <x:v>4323300</x:v>
      </x:c>
      <x:c r="AA520" s="6" t="str">
        <x:v>116.0</x:v>
      </x:c>
      <x:c r="AB520" s="9" t="str">
        <x:v>2025-06-30</x:v>
      </x:c>
      <x:c r="AC520" s="8" t="str">
        <x:v>86.8</x:v>
      </x:c>
      <x:c r="AD520" s="9" t="str">
        <x:v>2025 (Susenas)</x:v>
      </x:c>
      <x:c r="AE520" s="8" t="str">
        <x:v>3.84</x:v>
      </x:c>
      <x:c r="AF520" s="9" t="str">
        <x:v>Maret 2025 (Susenas)</x:v>
      </x:c>
      <x:c r="AG520" s="6" t="str">
        <x:v>26.54754081110124</x:v>
      </x:c>
      <x:c r="AH520" s="8" t="str">
        <x:v>87.55109584597511</x:v>
      </x:c>
      <x:c r="AI520" s="6" t="str">
        <x:v>313.2142484518824</x:v>
      </x:c>
      <x:c r="AJ520" s="6" t="str">
        <x:v>0.2695421656950429</x:v>
      </x:c>
      <x:c r="AK520" s="8" t="str">
        <x:v>0.7084416015519283</x:v>
      </x:c>
      <x:c r="AL520" s="6" t="str">
        <x:v>0.8114087177375506</x:v>
      </x:c>
      <x:c r="AM520" s="6" t="str">
        <x:v>0.3425380532763786</x:v>
      </x:c>
      <x:c r="AN520" s="6" t="str">
        <x:v>0.6207961241886192</x:v>
      </x:c>
      <x:c r="AO520" s="6" t="str">
        <x:v>0.2915770770126613</x:v>
      </x:c>
      <x:c r="AP520" s="8" t="str">
        <x:v>0.2874023765308214</x:v>
      </x:c>
      <x:c r="AQ520" s="6" t="str">
        <x:v>-0.1874379366921107</x:v>
      </x:c>
      <x:c r="AR520" s="6" t="str">
        <x:v>0.9499200602174154</x:v>
      </x:c>
      <x:c r="AS520" s="6" t="str">
        <x:v>0.349961500018709</x:v>
      </x:c>
      <x:c r="AT520" s="6" t="str">
        <x:v>25.01820938381286</x:v>
      </x:c>
      <x:c r="AU520" s="8" t="str">
        <x:v>0.2516918702075627</x:v>
      </x:c>
      <x:c r="AV520" s="6" t="str">
        <x:v>-0.8029067331161648</x:v>
      </x:c>
      <x:c r="AW520" s="6" t="str">
        <x:v>2.6608156552499733</x:v>
      </x:c>
      <x:c r="AX520" s="6" t="str">
        <x:v>0.7032002641137898</x:v>
      </x:c>
      <x:c r="AY520" s="6" t="str">
        <x:v>0</x:v>
      </x:c>
      <x:c r="AZ520" s="6" t="str">
        <x:v>0</x:v>
      </x:c>
      <x:c r="BA520" s="9" t="str">
        <x:v>grid_cells_within_BIG_polygon</x:v>
      </x:c>
      <x:c r="BB520" s="6" t="str">
        <x:v>9</x:v>
      </x:c>
      <x:c r="BC520" s="6" t="str">
        <x:v>9</x:v>
      </x:c>
      <x:c r="BD520" s="6" t="str">
        <x:v>9</x:v>
      </x:c>
      <x:c r="BE520" s="6" t="str">
        <x:v>9</x:v>
      </x:c>
      <x:c r="BF520" s="6" t="str">
        <x:v>0</x:v>
      </x:c>
      <x:c r="BG520" s="6" t="str">
        <x:v>0</x:v>
      </x:c>
      <x:c r="BH520" s="6" t="str">
        <x:v>0</x:v>
      </x:c>
      <x:c r="BI520" s="6" t="str">
        <x:v>0</x:v>
      </x:c>
      <x:c r="BJ520" s="6" t="str">
        <x:v>0</x:v>
      </x:c>
      <x:c r="BK520" s="6" t="str">
        <x:v>0</x:v>
      </x:c>
      <x:c r="BL520" s="6" t="str">
        <x:v>0</x:v>
      </x:c>
      <x:c r="BM520" s="6" t="str">
        <x:v>0</x:v>
      </x:c>
      <x:c r="BN520" s="6" t="str">
        <x:v>9</x:v>
      </x:c>
      <x:c r="BO520" s="6" t="str">
        <x:v>0.0</x:v>
      </x:c>
      <x:c r="BP520" s="6" t="str">
        <x:v>9</x:v>
      </x:c>
      <x:c r="BQ520" s="6" t="str">
        <x:v>0.0</x:v>
      </x:c>
      <x:c r="BR520" s="6" t="str">
        <x:v>9</x:v>
      </x:c>
      <x:c r="BS520" s="6" t="str">
        <x:v>0.0</x:v>
      </x:c>
      <x:c r="BT520" s="6" t="str">
        <x:v>9</x:v>
      </x:c>
      <x:c r="BU520" s="6" t="str">
        <x:v>4269.0</x:v>
      </x:c>
      <x:c r="BV520" s="6" t="str">
        <x:v>8</x:v>
      </x:c>
      <x:c r="BW520" s="9" t="str">
        <x:v>operational_snapshot_annual_totals_may_differ</x:v>
      </x:c>
      <x:c r="BX520" s="9" t="str">
        <x:v>official_live_dashboard_snapshot_subject_to_revision</x:v>
      </x:c>
      <x:c r="BY520" s="9" t="str">
        <x:v>https://tbdashboard.sitb.id/ss_data_tbc03so_2025_provinsi_bulanan_list.php</x:v>
      </x:c>
      <x:c r="BZ520" s="6" t="n">
        <x:v>46246.610671296294</x:v>
      </x:c>
    </x:row>
    <x:row r="521" ht="18" customHeight="1">
      <x:c r="A521" s="6" t="str">
        <x:v>63</x:v>
      </x:c>
      <x:c r="B521" s="6" t="str">
        <x:v>KALIMANTAN SELATAN</x:v>
      </x:c>
      <x:c r="C521" s="6" t="str">
        <x:v>2025</x:v>
      </x:c>
      <x:c r="D521" s="6" t="str">
        <x:v>4</x:v>
      </x:c>
      <x:c r="E521" s="6" t="str">
        <x:v>2025-04</x:v>
      </x:c>
      <x:c r="F521" s="6" t="str">
        <x:v>851</x:v>
      </x:c>
      <x:c r="G521" s="6" t="str">
        <x:v>214</x:v>
      </x:c>
      <x:c r="H521" s="6" t="str">
        <x:v>433</x:v>
      </x:c>
      <x:c r="I521" s="6" t="str">
        <x:v>78</x:v>
      </x:c>
      <x:c r="J521" s="6" t="str">
        <x:v>57</x:v>
      </x:c>
      <x:c r="K521" s="6" t="str">
        <x:v>3</x:v>
      </x:c>
      <x:c r="L521" s="6" t="str">
        <x:v>0</x:v>
      </x:c>
      <x:c r="M521" s="6" t="str">
        <x:v>66</x:v>
      </x:c>
      <x:c r="N521" s="6" t="str">
        <x:v>851</x:v>
      </x:c>
      <x:c r="O521" s="6" t="str">
        <x:v>0</x:v>
      </x:c>
      <x:c r="P521" s="10" t="n">
        <x:f>F521-M521</x:f>
        <x:v>785</x:v>
      </x:c>
      <x:c r="Q521" s="11" t="n">
        <x:f>IFERROR(M521/F521,"")</x:f>
        <x:v>0.07755581668625147</x:v>
      </x:c>
      <x:c r="R521" s="10" t="n">
        <x:f>G521+H521</x:f>
        <x:v>647</x:v>
      </x:c>
      <x:c r="S521" s="11" t="n">
        <x:f>IFERROR(R521/F521,"")</x:f>
        <x:v>0.7602820211515864</x:v>
      </x:c>
      <x:c r="T521" s="11" t="n">
        <x:f>IFERROR(R521/P521,"")</x:f>
        <x:v>0.824203821656051</x:v>
      </x:c>
      <x:c r="U521" s="10" t="n">
        <x:f>I521+J521+K521</x:f>
        <x:v>138</x:v>
      </x:c>
      <x:c r="V521" s="11" t="n">
        <x:f>IFERROR(U521/P521,"")</x:f>
        <x:v>0.17579617834394903</x:v>
      </x:c>
      <x:c r="W521" s="9" t="str">
        <x:v>provisional_gt_5pct_pending</x:v>
      </x:c>
      <x:c r="X521" s="12" t="n">
        <x:f>IFERROR(F521/Z521*100000,"")</x:f>
        <x:v>19.684037656419864</x:v>
      </x:c>
      <x:c r="Y521" s="13" t="n">
        <x:f>LN(Z521)</x:f>
        <x:v>15.279529557494563</x:v>
      </x:c>
      <x:c r="Z521" s="6" t="str">
        <x:v>4323300</x:v>
      </x:c>
      <x:c r="AA521" s="6" t="str">
        <x:v>116.0</x:v>
      </x:c>
      <x:c r="AB521" s="9" t="str">
        <x:v>2025-06-30</x:v>
      </x:c>
      <x:c r="AC521" s="8" t="str">
        <x:v>86.8</x:v>
      </x:c>
      <x:c r="AD521" s="9" t="str">
        <x:v>2025 (Susenas)</x:v>
      </x:c>
      <x:c r="AE521" s="8" t="str">
        <x:v>3.84</x:v>
      </x:c>
      <x:c r="AF521" s="9" t="str">
        <x:v>Maret 2025 (Susenas)</x:v>
      </x:c>
      <x:c r="AG521" s="6" t="str">
        <x:v>26.681972595722364</x:v>
      </x:c>
      <x:c r="AH521" s="8" t="str">
        <x:v>86.2646517927117</x:v>
      </x:c>
      <x:c r="AI521" s="6" t="str">
        <x:v>270.7680181892836</x:v>
      </x:c>
      <x:c r="AJ521" s="6" t="str">
        <x:v>0.1543965716763722</x:v>
      </x:c>
      <x:c r="AK521" s="8" t="str">
        <x:v>0.4936252174277767</x:v>
      </x:c>
      <x:c r="AL521" s="6" t="str">
        <x:v>0.7084416015519283</x:v>
      </x:c>
      <x:c r="AM521" s="6" t="str">
        <x:v>0.8114087177375506</x:v>
      </x:c>
      <x:c r="AN521" s="6" t="str">
        <x:v>0.6711585122390852</x:v>
      </x:c>
      <x:c r="AO521" s="6" t="str">
        <x:v>-0.936039067187494</x:v>
      </x:c>
      <x:c r="AP521" s="8" t="str">
        <x:v>-1.2347678765797712</x:v>
      </x:c>
      <x:c r="AQ521" s="6" t="str">
        <x:v>0.2874023765308214</x:v>
      </x:c>
      <x:c r="AR521" s="6" t="str">
        <x:v>-0.1874379366921107</x:v>
      </x:c>
      <x:c r="AS521" s="6" t="str">
        <x:v>-0.3782678122470198</x:v>
      </x:c>
      <x:c r="AT521" s="6" t="str">
        <x:v>43.25559455704584</x:v>
      </x:c>
      <x:c r="AU521" s="8" t="str">
        <x:v>0.8208978400250893</x:v>
      </x:c>
      <x:c r="AV521" s="6" t="str">
        <x:v>0.2516918702075627</x:v>
      </x:c>
      <x:c r="AW521" s="6" t="str">
        <x:v>-0.8029067331161648</x:v>
      </x:c>
      <x:c r="AX521" s="6" t="str">
        <x:v>0.0898943257054951</x:v>
      </x:c>
      <x:c r="AY521" s="6" t="str">
        <x:v>0</x:v>
      </x:c>
      <x:c r="AZ521" s="6" t="str">
        <x:v>0</x:v>
      </x:c>
      <x:c r="BA521" s="9" t="str">
        <x:v>grid_cells_within_BIG_polygon</x:v>
      </x:c>
      <x:c r="BB521" s="6" t="str">
        <x:v>9</x:v>
      </x:c>
      <x:c r="BC521" s="6" t="str">
        <x:v>2</x:v>
      </x:c>
      <x:c r="BD521" s="6" t="str">
        <x:v>2</x:v>
      </x:c>
      <x:c r="BE521" s="6" t="str">
        <x:v>2</x:v>
      </x:c>
      <x:c r="BF521" s="6" t="str">
        <x:v>0</x:v>
      </x:c>
      <x:c r="BG521" s="6" t="str">
        <x:v>0</x:v>
      </x:c>
      <x:c r="BH521" s="6" t="str">
        <x:v>0</x:v>
      </x:c>
      <x:c r="BI521" s="6" t="str">
        <x:v>0</x:v>
      </x:c>
      <x:c r="BJ521" s="6" t="str">
        <x:v>0</x:v>
      </x:c>
      <x:c r="BK521" s="6" t="str">
        <x:v>0</x:v>
      </x:c>
      <x:c r="BL521" s="6" t="str">
        <x:v>0</x:v>
      </x:c>
      <x:c r="BM521" s="6" t="str">
        <x:v>0</x:v>
      </x:c>
      <x:c r="BN521" s="6" t="str">
        <x:v>2</x:v>
      </x:c>
      <x:c r="BO521" s="6" t="str">
        <x:v>0.0</x:v>
      </x:c>
      <x:c r="BP521" s="6" t="str">
        <x:v>2</x:v>
      </x:c>
      <x:c r="BQ521" s="6" t="str">
        <x:v>0.0</x:v>
      </x:c>
      <x:c r="BR521" s="6" t="str">
        <x:v>2</x:v>
      </x:c>
      <x:c r="BS521" s="6" t="str">
        <x:v>0.0</x:v>
      </x:c>
      <x:c r="BT521" s="6" t="str">
        <x:v>2</x:v>
      </x:c>
      <x:c r="BU521" s="6" t="str">
        <x:v>5066.0</x:v>
      </x:c>
      <x:c r="BV521" s="6" t="str">
        <x:v>2</x:v>
      </x:c>
      <x:c r="BW521" s="9" t="str">
        <x:v>operational_snapshot_annual_totals_may_differ</x:v>
      </x:c>
      <x:c r="BX521" s="9" t="str">
        <x:v>official_live_dashboard_snapshot_subject_to_revision</x:v>
      </x:c>
      <x:c r="BY521" s="9" t="str">
        <x:v>https://tbdashboard.sitb.id/ss_data_tbc03so_2025_provinsi_bulanan_list.php</x:v>
      </x:c>
      <x:c r="BZ521" s="6" t="n">
        <x:v>46246.610671296294</x:v>
      </x:c>
    </x:row>
    <x:row r="522" ht="18" customHeight="1">
      <x:c r="A522" s="6" t="str">
        <x:v>63</x:v>
      </x:c>
      <x:c r="B522" s="6" t="str">
        <x:v>KALIMANTAN SELATAN</x:v>
      </x:c>
      <x:c r="C522" s="6" t="str">
        <x:v>2025</x:v>
      </x:c>
      <x:c r="D522" s="6" t="str">
        <x:v>5</x:v>
      </x:c>
      <x:c r="E522" s="6" t="str">
        <x:v>2025-05</x:v>
      </x:c>
      <x:c r="F522" s="6" t="str">
        <x:v>863</x:v>
      </x:c>
      <x:c r="G522" s="6" t="str">
        <x:v>199</x:v>
      </x:c>
      <x:c r="H522" s="6" t="str">
        <x:v>440</x:v>
      </x:c>
      <x:c r="I522" s="6" t="str">
        <x:v>84</x:v>
      </x:c>
      <x:c r="J522" s="6" t="str">
        <x:v>57</x:v>
      </x:c>
      <x:c r="K522" s="6" t="str">
        <x:v>1</x:v>
      </x:c>
      <x:c r="L522" s="6" t="str">
        <x:v>1</x:v>
      </x:c>
      <x:c r="M522" s="6" t="str">
        <x:v>81</x:v>
      </x:c>
      <x:c r="N522" s="6" t="str">
        <x:v>863</x:v>
      </x:c>
      <x:c r="O522" s="6" t="str">
        <x:v>0</x:v>
      </x:c>
      <x:c r="P522" s="10" t="n">
        <x:f>F522-M522</x:f>
        <x:v>782</x:v>
      </x:c>
      <x:c r="Q522" s="11" t="n">
        <x:f>IFERROR(M522/F522,"")</x:f>
        <x:v>0.09385863267670916</x:v>
      </x:c>
      <x:c r="R522" s="10" t="n">
        <x:f>G522+H522</x:f>
        <x:v>639</x:v>
      </x:c>
      <x:c r="S522" s="11" t="n">
        <x:f>IFERROR(R522/F522,"")</x:f>
        <x:v>0.7404403244495944</x:v>
      </x:c>
      <x:c r="T522" s="11" t="n">
        <x:f>IFERROR(R522/P522,"")</x:f>
        <x:v>0.8171355498721228</x:v>
      </x:c>
      <x:c r="U522" s="10" t="n">
        <x:f>I522+J522+K522</x:f>
        <x:v>142</x:v>
      </x:c>
      <x:c r="V522" s="11" t="n">
        <x:f>IFERROR(U522/P522,"")</x:f>
        <x:v>0.1815856777493606</x:v>
      </x:c>
      <x:c r="W522" s="9" t="str">
        <x:v>provisional_gt_5pct_pending</x:v>
      </x:c>
      <x:c r="X522" s="12" t="n">
        <x:f>IFERROR(F522/Z522*100000,"")</x:f>
        <x:v>19.961603404806514</x:v>
      </x:c>
      <x:c r="Y522" s="13" t="n">
        <x:f>LN(Z522)</x:f>
        <x:v>15.279529557494563</x:v>
      </x:c>
      <x:c r="Z522" s="6" t="str">
        <x:v>4323300</x:v>
      </x:c>
      <x:c r="AA522" s="6" t="str">
        <x:v>116.0</x:v>
      </x:c>
      <x:c r="AB522" s="9" t="str">
        <x:v>2025-06-30</x:v>
      </x:c>
      <x:c r="AC522" s="8" t="str">
        <x:v>86.8</x:v>
      </x:c>
      <x:c r="AD522" s="9" t="str">
        <x:v>2025 (Susenas)</x:v>
      </x:c>
      <x:c r="AE522" s="8" t="str">
        <x:v>3.84</x:v>
      </x:c>
      <x:c r="AF522" s="9" t="str">
        <x:v>Maret 2025 (Susenas)</x:v>
      </x:c>
      <x:c r="AG522" s="6" t="str">
        <x:v>26.94865305425048</x:v>
      </x:c>
      <x:c r="AH522" s="8" t="str">
        <x:v>86.92218422883913</x:v>
      </x:c>
      <x:c r="AI522" s="6" t="str">
        <x:v>126.49602090802657</x:v>
      </x:c>
      <x:c r="AJ522" s="6" t="str">
        <x:v>0.5161344472385316</x:v>
      </x:c>
      <x:c r="AK522" s="8" t="str">
        <x:v>1.356617552194012</x:v>
      </x:c>
      <x:c r="AL522" s="6" t="str">
        <x:v>0.4936252174277767</x:v>
      </x:c>
      <x:c r="AM522" s="6" t="str">
        <x:v>0.7084416015519283</x:v>
      </x:c>
      <x:c r="AN522" s="6" t="str">
        <x:v>0.852894790391239</x:v>
      </x:c>
      <x:c r="AO522" s="6" t="str">
        <x:v>-0.7790223530757032</x:v>
      </x:c>
      <x:c r="AP522" s="8" t="str">
        <x:v>-0.8885954268642103</x:v>
      </x:c>
      <x:c r="AQ522" s="6" t="str">
        <x:v>-1.2347678765797712</x:v>
      </x:c>
      <x:c r="AR522" s="6" t="str">
        <x:v>0.2874023765308214</x:v>
      </x:c>
      <x:c r="AS522" s="6" t="str">
        <x:v>-0.6119869756377198</x:v>
      </x:c>
      <x:c r="AT522" s="6" t="str">
        <x:v>-73.09671701606692</x:v>
      </x:c>
      <x:c r="AU522" s="8" t="str">
        <x:v>-1.2974335236715846</x:v>
      </x:c>
      <x:c r="AV522" s="6" t="str">
        <x:v>0.8208978400250893</x:v>
      </x:c>
      <x:c r="AW522" s="6" t="str">
        <x:v>0.2516918702075627</x:v>
      </x:c>
      <x:c r="AX522" s="6" t="str">
        <x:v>-0.0749479378129781</x:v>
      </x:c>
      <x:c r="AY522" s="6" t="str">
        <x:v>0</x:v>
      </x:c>
      <x:c r="AZ522" s="6" t="str">
        <x:v>1</x:v>
      </x:c>
      <x:c r="BA522" s="9" t="str">
        <x:v>grid_cells_within_BIG_polygon</x:v>
      </x:c>
      <x:c r="BB522" s="6" t="str">
        <x:v>9</x:v>
      </x:c>
      <x:c r="BC522" s="6" t="str">
        <x:v>4</x:v>
      </x:c>
      <x:c r="BD522" s="6" t="str">
        <x:v>4</x:v>
      </x:c>
      <x:c r="BE522" s="6" t="str">
        <x:v>0</x:v>
      </x:c>
      <x:c r="BF522" s="6" t="str">
        <x:v>1</x:v>
      </x:c>
      <x:c r="BG522" s="6" t="str">
        <x:v>0</x:v>
      </x:c>
      <x:c r="BH522" s="6" t="str">
        <x:v>0</x:v>
      </x:c>
      <x:c r="BI522" s="6" t="str">
        <x:v>3</x:v>
      </x:c>
      <x:c r="BJ522" s="6" t="str">
        <x:v>0</x:v>
      </x:c>
      <x:c r="BK522" s="6" t="str">
        <x:v>0</x:v>
      </x:c>
      <x:c r="BL522" s="6" t="str">
        <x:v>0</x:v>
      </x:c>
      <x:c r="BM522" s="6" t="str">
        <x:v>0</x:v>
      </x:c>
      <x:c r="BN522" s="6" t="str">
        <x:v>4</x:v>
      </x:c>
      <x:c r="BO522" s="6" t="str">
        <x:v>1.0</x:v>
      </x:c>
      <x:c r="BP522" s="6" t="str">
        <x:v>3</x:v>
      </x:c>
      <x:c r="BQ522" s="6" t="str">
        <x:v>0.0</x:v>
      </x:c>
      <x:c r="BR522" s="6" t="str">
        <x:v>3</x:v>
      </x:c>
      <x:c r="BS522" s="6" t="str">
        <x:v>0.0</x:v>
      </x:c>
      <x:c r="BT522" s="6" t="str">
        <x:v>4</x:v>
      </x:c>
      <x:c r="BU522" s="6" t="str"/>
      <x:c r="BV522" s="6" t="str">
        <x:v>0</x:v>
      </x:c>
      <x:c r="BW522" s="9" t="str">
        <x:v>operational_snapshot_annual_totals_may_differ</x:v>
      </x:c>
      <x:c r="BX522" s="9" t="str">
        <x:v>official_live_dashboard_snapshot_subject_to_revision</x:v>
      </x:c>
      <x:c r="BY522" s="9" t="str">
        <x:v>https://tbdashboard.sitb.id/ss_data_tbc03so_2025_provinsi_bulanan_list.php</x:v>
      </x:c>
      <x:c r="BZ522" s="6" t="n">
        <x:v>46246.610671296294</x:v>
      </x:c>
    </x:row>
    <x:row r="523" ht="18" customHeight="1">
      <x:c r="A523" s="6" t="str">
        <x:v>63</x:v>
      </x:c>
      <x:c r="B523" s="6" t="str">
        <x:v>KALIMANTAN SELATAN</x:v>
      </x:c>
      <x:c r="C523" s="6" t="str">
        <x:v>2025</x:v>
      </x:c>
      <x:c r="D523" s="6" t="str">
        <x:v>6</x:v>
      </x:c>
      <x:c r="E523" s="6" t="str">
        <x:v>2025-06</x:v>
      </x:c>
      <x:c r="F523" s="6" t="str">
        <x:v>795</x:v>
      </x:c>
      <x:c r="G523" s="6" t="str">
        <x:v>182</x:v>
      </x:c>
      <x:c r="H523" s="6" t="str">
        <x:v>366</x:v>
      </x:c>
      <x:c r="I523" s="6" t="str">
        <x:v>96</x:v>
      </x:c>
      <x:c r="J523" s="6" t="str">
        <x:v>45</x:v>
      </x:c>
      <x:c r="K523" s="6" t="str">
        <x:v>1</x:v>
      </x:c>
      <x:c r="L523" s="6" t="str">
        <x:v>1</x:v>
      </x:c>
      <x:c r="M523" s="6" t="str">
        <x:v>104</x:v>
      </x:c>
      <x:c r="N523" s="6" t="str">
        <x:v>795</x:v>
      </x:c>
      <x:c r="O523" s="6" t="str">
        <x:v>0</x:v>
      </x:c>
      <x:c r="P523" s="10" t="n">
        <x:f>F523-M523</x:f>
        <x:v>691</x:v>
      </x:c>
      <x:c r="Q523" s="11" t="n">
        <x:f>IFERROR(M523/F523,"")</x:f>
        <x:v>0.13081761006289308</x:v>
      </x:c>
      <x:c r="R523" s="10" t="n">
        <x:f>G523+H523</x:f>
        <x:v>548</x:v>
      </x:c>
      <x:c r="S523" s="11" t="n">
        <x:f>IFERROR(R523/F523,"")</x:f>
        <x:v>0.6893081761006289</x:v>
      </x:c>
      <x:c r="T523" s="11" t="n">
        <x:f>IFERROR(R523/P523,"")</x:f>
        <x:v>0.7930535455861071</x:v>
      </x:c>
      <x:c r="U523" s="10" t="n">
        <x:f>I523+J523+K523</x:f>
        <x:v>142</x:v>
      </x:c>
      <x:c r="V523" s="11" t="n">
        <x:f>IFERROR(U523/P523,"")</x:f>
        <x:v>0.20549927641099855</x:v>
      </x:c>
      <x:c r="W523" s="9" t="str">
        <x:v>provisional_gt_5pct_pending</x:v>
      </x:c>
      <x:c r="X523" s="12" t="n">
        <x:f>IFERROR(F523/Z523*100000,"")</x:f>
        <x:v>18.388730830615504</x:v>
      </x:c>
      <x:c r="Y523" s="13" t="n">
        <x:f>LN(Z523)</x:f>
        <x:v>15.279529557494563</x:v>
      </x:c>
      <x:c r="Z523" s="6" t="str">
        <x:v>4323300</x:v>
      </x:c>
      <x:c r="AA523" s="6" t="str">
        <x:v>116.0</x:v>
      </x:c>
      <x:c r="AB523" s="9" t="str">
        <x:v>2025-06-30</x:v>
      </x:c>
      <x:c r="AC523" s="8" t="str">
        <x:v>86.8</x:v>
      </x:c>
      <x:c r="AD523" s="9" t="str">
        <x:v>2025 (Susenas)</x:v>
      </x:c>
      <x:c r="AE523" s="8" t="str">
        <x:v>3.84</x:v>
      </x:c>
      <x:c r="AF523" s="9" t="str">
        <x:v>Maret 2025 (Susenas)</x:v>
      </x:c>
      <x:c r="AG523" s="6" t="str">
        <x:v>26.126429372009188</x:v>
      </x:c>
      <x:c r="AH523" s="8" t="str">
        <x:v>88.75861540526984</x:v>
      </x:c>
      <x:c r="AI523" s="6" t="str">
        <x:v>180.1044024405278</x:v>
      </x:c>
      <x:c r="AJ523" s="6" t="str">
        <x:v>0.3118420483079482</x:v>
      </x:c>
      <x:c r="AK523" s="8" t="str">
        <x:v>0.909757969236478</x:v>
      </x:c>
      <x:c r="AL523" s="6" t="str">
        <x:v>1.356617552194012</x:v>
      </x:c>
      <x:c r="AM523" s="6" t="str">
        <x:v>0.4936252174277767</x:v>
      </x:c>
      <x:c r="AN523" s="6" t="str">
        <x:v>0.9200002462860888</x:v>
      </x:c>
      <x:c r="AO523" s="6" t="str">
        <x:v>0.5096968932144534</x:v>
      </x:c>
      <x:c r="AP523" s="8" t="str">
        <x:v>0.3024908257688655</x:v>
      </x:c>
      <x:c r="AQ523" s="6" t="str">
        <x:v>-0.8885954268642103</x:v>
      </x:c>
      <x:c r="AR523" s="6" t="str">
        <x:v>-1.2347678765797712</x:v>
      </x:c>
      <x:c r="AS523" s="6" t="str">
        <x:v>-0.6069574925583717</x:v>
      </x:c>
      <x:c r="AT523" s="6" t="str">
        <x:v>-5.653131535017366</x:v>
      </x:c>
      <x:c r="AU523" s="8" t="str">
        <x:v>-0.067378360673327</x:v>
      </x:c>
      <x:c r="AV523" s="6" t="str">
        <x:v>-1.2974335236715846</x:v>
      </x:c>
      <x:c r="AW523" s="6" t="str">
        <x:v>0.8208978400250893</x:v>
      </x:c>
      <x:c r="AX523" s="6" t="str">
        <x:v>-0.1813046814399413</x:v>
      </x:c>
      <x:c r="AY523" s="6" t="str">
        <x:v>0</x:v>
      </x:c>
      <x:c r="AZ523" s="6" t="str">
        <x:v>0</x:v>
      </x:c>
      <x:c r="BA523" s="9" t="str">
        <x:v>grid_cells_within_BIG_polygon</x:v>
      </x:c>
      <x:c r="BB523" s="6" t="str">
        <x:v>9</x:v>
      </x:c>
      <x:c r="BC523" s="6" t="str">
        <x:v>3</x:v>
      </x:c>
      <x:c r="BD523" s="6" t="str">
        <x:v>3</x:v>
      </x:c>
      <x:c r="BE523" s="6" t="str">
        <x:v>1</x:v>
      </x:c>
      <x:c r="BF523" s="6" t="str">
        <x:v>0</x:v>
      </x:c>
      <x:c r="BG523" s="6" t="str">
        <x:v>0</x:v>
      </x:c>
      <x:c r="BH523" s="6" t="str">
        <x:v>0</x:v>
      </x:c>
      <x:c r="BI523" s="6" t="str">
        <x:v>2</x:v>
      </x:c>
      <x:c r="BJ523" s="6" t="str">
        <x:v>0</x:v>
      </x:c>
      <x:c r="BK523" s="6" t="str">
        <x:v>0</x:v>
      </x:c>
      <x:c r="BL523" s="6" t="str">
        <x:v>0</x:v>
      </x:c>
      <x:c r="BM523" s="6" t="str">
        <x:v>0</x:v>
      </x:c>
      <x:c r="BN523" s="6" t="str">
        <x:v>3</x:v>
      </x:c>
      <x:c r="BO523" s="6" t="str">
        <x:v>0.0</x:v>
      </x:c>
      <x:c r="BP523" s="6" t="str">
        <x:v>1</x:v>
      </x:c>
      <x:c r="BQ523" s="6" t="str">
        <x:v>0.0</x:v>
      </x:c>
      <x:c r="BR523" s="6" t="str">
        <x:v>1</x:v>
      </x:c>
      <x:c r="BS523" s="6" t="str">
        <x:v>0.0</x:v>
      </x:c>
      <x:c r="BT523" s="6" t="str">
        <x:v>3</x:v>
      </x:c>
      <x:c r="BU523" s="6" t="str"/>
      <x:c r="BV523" s="6" t="str">
        <x:v>0</x:v>
      </x:c>
      <x:c r="BW523" s="9" t="str">
        <x:v>operational_snapshot_annual_totals_may_differ</x:v>
      </x:c>
      <x:c r="BX523" s="9" t="str">
        <x:v>official_live_dashboard_snapshot_subject_to_revision</x:v>
      </x:c>
      <x:c r="BY523" s="9" t="str">
        <x:v>https://tbdashboard.sitb.id/ss_data_tbc03so_2025_provinsi_bulanan_list.php</x:v>
      </x:c>
      <x:c r="BZ523" s="6" t="n">
        <x:v>46246.610671296294</x:v>
      </x:c>
    </x:row>
    <x:row r="524" ht="18" customHeight="1">
      <x:c r="A524" s="6" t="str">
        <x:v>63</x:v>
      </x:c>
      <x:c r="B524" s="6" t="str">
        <x:v>KALIMANTAN SELATAN</x:v>
      </x:c>
      <x:c r="C524" s="6" t="str">
        <x:v>2025</x:v>
      </x:c>
      <x:c r="D524" s="6" t="str">
        <x:v>7</x:v>
      </x:c>
      <x:c r="E524" s="6" t="str">
        <x:v>2025-07</x:v>
      </x:c>
      <x:c r="F524" s="6" t="str">
        <x:v>941</x:v>
      </x:c>
      <x:c r="G524" s="6" t="str">
        <x:v>197</x:v>
      </x:c>
      <x:c r="H524" s="6" t="str">
        <x:v>416</x:v>
      </x:c>
      <x:c r="I524" s="6" t="str">
        <x:v>123</x:v>
      </x:c>
      <x:c r="J524" s="6" t="str">
        <x:v>53</x:v>
      </x:c>
      <x:c r="K524" s="6" t="str">
        <x:v>0</x:v>
      </x:c>
      <x:c r="L524" s="6" t="str">
        <x:v>0</x:v>
      </x:c>
      <x:c r="M524" s="6" t="str">
        <x:v>152</x:v>
      </x:c>
      <x:c r="N524" s="6" t="str">
        <x:v>941</x:v>
      </x:c>
      <x:c r="O524" s="6" t="str">
        <x:v>0</x:v>
      </x:c>
      <x:c r="P524" s="10" t="n">
        <x:f>F524-M524</x:f>
        <x:v>789</x:v>
      </x:c>
      <x:c r="Q524" s="11" t="n">
        <x:f>IFERROR(M524/F524,"")</x:f>
        <x:v>0.16153028692879914</x:v>
      </x:c>
      <x:c r="R524" s="10" t="n">
        <x:f>G524+H524</x:f>
        <x:v>613</x:v>
      </x:c>
      <x:c r="S524" s="11" t="n">
        <x:f>IFERROR(R524/F524,"")</x:f>
        <x:v>0.6514346439957492</x:v>
      </x:c>
      <x:c r="T524" s="11" t="n">
        <x:f>IFERROR(R524/P524,"")</x:f>
        <x:v>0.7769328263624842</x:v>
      </x:c>
      <x:c r="U524" s="10" t="n">
        <x:f>I524+J524+K524</x:f>
        <x:v>176</x:v>
      </x:c>
      <x:c r="V524" s="11" t="n">
        <x:f>IFERROR(U524/P524,"")</x:f>
        <x:v>0.22306717363751585</x:v>
      </x:c>
      <x:c r="W524" s="9" t="str">
        <x:v>provisional_gt_5pct_pending</x:v>
      </x:c>
      <x:c r="X524" s="12" t="n">
        <x:f>IFERROR(F524/Z524*100000,"")</x:f>
        <x:v>21.765780769319733</x:v>
      </x:c>
      <x:c r="Y524" s="13" t="n">
        <x:f>LN(Z524)</x:f>
        <x:v>15.279529557494563</x:v>
      </x:c>
      <x:c r="Z524" s="6" t="str">
        <x:v>4323300</x:v>
      </x:c>
      <x:c r="AA524" s="6" t="str">
        <x:v>116.0</x:v>
      </x:c>
      <x:c r="AB524" s="9" t="str">
        <x:v>2025-06-30</x:v>
      </x:c>
      <x:c r="AC524" s="8" t="str">
        <x:v>86.8</x:v>
      </x:c>
      <x:c r="AD524" s="9" t="str">
        <x:v>2025 (Susenas)</x:v>
      </x:c>
      <x:c r="AE524" s="8" t="str">
        <x:v>3.84</x:v>
      </x:c>
      <x:c r="AF524" s="9" t="str">
        <x:v>Maret 2025 (Susenas)</x:v>
      </x:c>
      <x:c r="AG524" s="6" t="str">
        <x:v>26.000903467414798</x:v>
      </x:c>
      <x:c r="AH524" s="8" t="str">
        <x:v>87.55076171294814</x:v>
      </x:c>
      <x:c r="AI524" s="6" t="str">
        <x:v>89.35035731049189</x:v>
      </x:c>
      <x:c r="AJ524" s="6" t="str">
        <x:v>0.6721922463602539</x:v>
      </x:c>
      <x:c r="AK524" s="8" t="str">
        <x:v>1.8756426669280768</x:v>
      </x:c>
      <x:c r="AL524" s="6" t="str">
        <x:v>0.909757969236478</x:v>
      </x:c>
      <x:c r="AM524" s="6" t="str">
        <x:v>1.356617552194012</x:v>
      </x:c>
      <x:c r="AN524" s="6" t="str">
        <x:v>1.3806727294528558</x:v>
      </x:c>
      <x:c r="AO524" s="6" t="str">
        <x:v>0.4621999045898377</x:v>
      </x:c>
      <x:c r="AP524" s="8" t="str">
        <x:v>0.2276653275816587</x:v>
      </x:c>
      <x:c r="AQ524" s="6" t="str">
        <x:v>0.3024908257688655</x:v>
      </x:c>
      <x:c r="AR524" s="6" t="str">
        <x:v>-0.8885954268642103</x:v>
      </x:c>
      <x:c r="AS524" s="6" t="str">
        <x:v>-0.119479757837895</x:v>
      </x:c>
      <x:c r="AT524" s="6" t="str">
        <x:v>-64.35009266978963</x:v>
      </x:c>
      <x:c r="AU524" s="8" t="str">
        <x:v>-0.5996664074187699</x:v>
      </x:c>
      <x:c r="AV524" s="6" t="str">
        <x:v>-0.067378360673327</x:v>
      </x:c>
      <x:c r="AW524" s="6" t="str">
        <x:v>-1.2974335236715846</x:v>
      </x:c>
      <x:c r="AX524" s="6" t="str">
        <x:v>-0.6548260972545611</x:v>
      </x:c>
      <x:c r="AY524" s="6" t="str">
        <x:v>0</x:v>
      </x:c>
      <x:c r="AZ524" s="6" t="str">
        <x:v>1</x:v>
      </x:c>
      <x:c r="BA524" s="9" t="str">
        <x:v>grid_cells_within_BIG_polygon</x:v>
      </x:c>
      <x:c r="BB524" s="6" t="str">
        <x:v>9</x:v>
      </x:c>
      <x:c r="BC524" s="6" t="str">
        <x:v>3</x:v>
      </x:c>
      <x:c r="BD524" s="6" t="str">
        <x:v>3</x:v>
      </x:c>
      <x:c r="BE524" s="6" t="str">
        <x:v>0</x:v>
      </x:c>
      <x:c r="BF524" s="6" t="str">
        <x:v>0</x:v>
      </x:c>
      <x:c r="BG524" s="6" t="str">
        <x:v>0</x:v>
      </x:c>
      <x:c r="BH524" s="6" t="str">
        <x:v>0</x:v>
      </x:c>
      <x:c r="BI524" s="6" t="str">
        <x:v>3</x:v>
      </x:c>
      <x:c r="BJ524" s="6" t="str">
        <x:v>0</x:v>
      </x:c>
      <x:c r="BK524" s="6" t="str">
        <x:v>0</x:v>
      </x:c>
      <x:c r="BL524" s="6" t="str">
        <x:v>0</x:v>
      </x:c>
      <x:c r="BM524" s="6" t="str">
        <x:v>0</x:v>
      </x:c>
      <x:c r="BN524" s="6" t="str">
        <x:v>3</x:v>
      </x:c>
      <x:c r="BO524" s="6" t="str"/>
      <x:c r="BP524" s="6" t="str">
        <x:v>0</x:v>
      </x:c>
      <x:c r="BQ524" s="6" t="str"/>
      <x:c r="BR524" s="6" t="str">
        <x:v>0</x:v>
      </x:c>
      <x:c r="BS524" s="6" t="str">
        <x:v>0.0</x:v>
      </x:c>
      <x:c r="BT524" s="6" t="str">
        <x:v>3</x:v>
      </x:c>
      <x:c r="BU524" s="6" t="str"/>
      <x:c r="BV524" s="6" t="str">
        <x:v>0</x:v>
      </x:c>
      <x:c r="BW524" s="9" t="str">
        <x:v>operational_snapshot_annual_totals_may_differ</x:v>
      </x:c>
      <x:c r="BX524" s="9" t="str">
        <x:v>official_live_dashboard_snapshot_subject_to_revision</x:v>
      </x:c>
      <x:c r="BY524" s="9" t="str">
        <x:v>https://tbdashboard.sitb.id/ss_data_tbc03so_2025_provinsi_bulanan_list.php</x:v>
      </x:c>
      <x:c r="BZ524" s="6" t="n">
        <x:v>46246.610671296294</x:v>
      </x:c>
    </x:row>
    <x:row r="525" ht="18" customHeight="1">
      <x:c r="A525" s="6" t="str">
        <x:v>63</x:v>
      </x:c>
      <x:c r="B525" s="6" t="str">
        <x:v>KALIMANTAN SELATAN</x:v>
      </x:c>
      <x:c r="C525" s="6" t="str">
        <x:v>2025</x:v>
      </x:c>
      <x:c r="D525" s="6" t="str">
        <x:v>8</x:v>
      </x:c>
      <x:c r="E525" s="6" t="str">
        <x:v>2025-08</x:v>
      </x:c>
      <x:c r="F525" s="6" t="str">
        <x:v>919</x:v>
      </x:c>
      <x:c r="G525" s="6" t="str">
        <x:v>188</x:v>
      </x:c>
      <x:c r="H525" s="6" t="str">
        <x:v>400</x:v>
      </x:c>
      <x:c r="I525" s="6" t="str">
        <x:v>97</x:v>
      </x:c>
      <x:c r="J525" s="6" t="str">
        <x:v>58</x:v>
      </x:c>
      <x:c r="K525" s="6" t="str">
        <x:v>2</x:v>
      </x:c>
      <x:c r="L525" s="6" t="str">
        <x:v>1</x:v>
      </x:c>
      <x:c r="M525" s="6" t="str">
        <x:v>173</x:v>
      </x:c>
      <x:c r="N525" s="6" t="str">
        <x:v>919</x:v>
      </x:c>
      <x:c r="O525" s="6" t="str">
        <x:v>0</x:v>
      </x:c>
      <x:c r="P525" s="10" t="n">
        <x:f>F525-M525</x:f>
        <x:v>746</x:v>
      </x:c>
      <x:c r="Q525" s="11" t="n">
        <x:f>IFERROR(M525/F525,"")</x:f>
        <x:v>0.1882480957562568</x:v>
      </x:c>
      <x:c r="R525" s="10" t="n">
        <x:f>G525+H525</x:f>
        <x:v>588</x:v>
      </x:c>
      <x:c r="S525" s="11" t="n">
        <x:f>IFERROR(R525/F525,"")</x:f>
        <x:v>0.6398258977149075</x:v>
      </x:c>
      <x:c r="T525" s="11" t="n">
        <x:f>IFERROR(R525/P525,"")</x:f>
        <x:v>0.7882037533512064</x:v>
      </x:c>
      <x:c r="U525" s="10" t="n">
        <x:f>I525+J525+K525</x:f>
        <x:v>157</x:v>
      </x:c>
      <x:c r="V525" s="11" t="n">
        <x:f>IFERROR(U525/P525,"")</x:f>
        <x:v>0.21045576407506703</x:v>
      </x:c>
      <x:c r="W525" s="9" t="str">
        <x:v>provisional_gt_5pct_pending</x:v>
      </x:c>
      <x:c r="X525" s="12" t="n">
        <x:f>IFERROR(F525/Z525*100000,"")</x:f>
        <x:v>21.256910230610874</x:v>
      </x:c>
      <x:c r="Y525" s="13" t="n">
        <x:f>LN(Z525)</x:f>
        <x:v>15.279529557494563</x:v>
      </x:c>
      <x:c r="Z525" s="6" t="str">
        <x:v>4323300</x:v>
      </x:c>
      <x:c r="AA525" s="6" t="str">
        <x:v>116.0</x:v>
      </x:c>
      <x:c r="AB525" s="9" t="str">
        <x:v>2025-06-30</x:v>
      </x:c>
      <x:c r="AC525" s="8" t="str">
        <x:v>86.8</x:v>
      </x:c>
      <x:c r="AD525" s="9" t="str">
        <x:v>2025 (Susenas)</x:v>
      </x:c>
      <x:c r="AE525" s="8" t="str">
        <x:v>3.84</x:v>
      </x:c>
      <x:c r="AF525" s="9" t="str">
        <x:v>Maret 2025 (Susenas)</x:v>
      </x:c>
      <x:c r="AG525" s="6" t="str">
        <x:v>25.794213351366945</x:v>
      </x:c>
      <x:c r="AH525" s="8" t="str">
        <x:v>87.40546132080334</x:v>
      </x:c>
      <x:c r="AI525" s="6" t="str">
        <x:v>210.0203166405929</x:v>
      </x:c>
      <x:c r="AJ525" s="6" t="str">
        <x:v>0.3051921931032026</x:v>
      </x:c>
      <x:c r="AK525" s="8" t="str">
        <x:v>0.7972073018047565</x:v>
      </x:c>
      <x:c r="AL525" s="6" t="str">
        <x:v>1.8756426669280768</x:v>
      </x:c>
      <x:c r="AM525" s="6" t="str">
        <x:v>0.909757969236478</x:v>
      </x:c>
      <x:c r="AN525" s="6" t="str">
        <x:v>1.1942026459897706</x:v>
      </x:c>
      <x:c r="AO525" s="6" t="str">
        <x:v>3.2175898350680967</x:v>
      </x:c>
      <x:c r="AP525" s="8" t="str">
        <x:v>1.031974260863878</x:v>
      </x:c>
      <x:c r="AQ525" s="6" t="str">
        <x:v>0.2276653275816587</x:v>
      </x:c>
      <x:c r="AR525" s="6" t="str">
        <x:v>0.3024908257688655</x:v>
      </x:c>
      <x:c r="AS525" s="6" t="str">
        <x:v>0.5207101380714677</x:v>
      </x:c>
      <x:c r="AT525" s="6" t="str">
        <x:v>107.29915634646214</x:v>
      </x:c>
      <x:c r="AU525" s="8" t="str">
        <x:v>1.2343185093045417</x:v>
      </x:c>
      <x:c r="AV525" s="6" t="str">
        <x:v>-0.5996664074187699</x:v>
      </x:c>
      <x:c r="AW525" s="6" t="str">
        <x:v>-0.067378360673327</x:v>
      </x:c>
      <x:c r="AX525" s="6" t="str">
        <x:v>0.1890912470708143</x:v>
      </x:c>
      <x:c r="AY525" s="6" t="str">
        <x:v>1</x:v>
      </x:c>
      <x:c r="AZ525" s="6" t="str">
        <x:v>0</x:v>
      </x:c>
      <x:c r="BA525" s="9" t="str">
        <x:v>grid_cells_within_BIG_polygon</x:v>
      </x:c>
      <x:c r="BB525" s="6" t="str">
        <x:v>9</x:v>
      </x:c>
      <x:c r="BC525" s="6" t="str">
        <x:v>0</x:v>
      </x:c>
      <x:c r="BD525" s="6" t="str">
        <x:v>0</x:v>
      </x:c>
      <x:c r="BE525" s="6" t="str">
        <x:v>0</x:v>
      </x:c>
      <x:c r="BF525" s="6" t="str">
        <x:v>0</x:v>
      </x:c>
      <x:c r="BG525" s="6" t="str">
        <x:v>0</x:v>
      </x:c>
      <x:c r="BH525" s="6" t="str">
        <x:v>0</x:v>
      </x:c>
      <x:c r="BI525" s="6" t="str">
        <x:v>0</x:v>
      </x:c>
      <x:c r="BJ525" s="6" t="str">
        <x:v>0</x:v>
      </x:c>
      <x:c r="BK525" s="6" t="str">
        <x:v>0</x:v>
      </x:c>
      <x:c r="BL525" s="6" t="str">
        <x:v>0</x:v>
      </x:c>
      <x:c r="BM525" s="6" t="str">
        <x:v>0</x:v>
      </x:c>
      <x:c r="BN525" s="6" t="str">
        <x:v>0</x:v>
      </x:c>
      <x:c r="BO525" s="6" t="str"/>
      <x:c r="BP525" s="6" t="str">
        <x:v>0</x:v>
      </x:c>
      <x:c r="BQ525" s="6" t="str"/>
      <x:c r="BR525" s="6" t="str">
        <x:v>0</x:v>
      </x:c>
      <x:c r="BS525" s="6" t="str"/>
      <x:c r="BT525" s="6" t="str">
        <x:v>0</x:v>
      </x:c>
      <x:c r="BU525" s="6" t="str"/>
      <x:c r="BV525" s="6" t="str">
        <x:v>0</x:v>
      </x:c>
      <x:c r="BW525" s="9" t="str">
        <x:v>operational_snapshot_annual_totals_may_differ</x:v>
      </x:c>
      <x:c r="BX525" s="9" t="str">
        <x:v>official_live_dashboard_snapshot_subject_to_revision</x:v>
      </x:c>
      <x:c r="BY525" s="9" t="str">
        <x:v>https://tbdashboard.sitb.id/ss_data_tbc03so_2025_provinsi_bulanan_list.php</x:v>
      </x:c>
      <x:c r="BZ525" s="6" t="n">
        <x:v>46246.610671296294</x:v>
      </x:c>
    </x:row>
    <x:row r="526" ht="18" customHeight="1">
      <x:c r="A526" s="6" t="str">
        <x:v>63</x:v>
      </x:c>
      <x:c r="B526" s="6" t="str">
        <x:v>KALIMANTAN SELATAN</x:v>
      </x:c>
      <x:c r="C526" s="6" t="str">
        <x:v>2025</x:v>
      </x:c>
      <x:c r="D526" s="6" t="str">
        <x:v>9</x:v>
      </x:c>
      <x:c r="E526" s="6" t="str">
        <x:v>2025-09</x:v>
      </x:c>
      <x:c r="F526" s="6" t="str">
        <x:v>912</x:v>
      </x:c>
      <x:c r="G526" s="6" t="str">
        <x:v>152</x:v>
      </x:c>
      <x:c r="H526" s="6" t="str">
        <x:v>413</x:v>
      </x:c>
      <x:c r="I526" s="6" t="str">
        <x:v>89</x:v>
      </x:c>
      <x:c r="J526" s="6" t="str">
        <x:v>31</x:v>
      </x:c>
      <x:c r="K526" s="6" t="str">
        <x:v>6</x:v>
      </x:c>
      <x:c r="L526" s="6" t="str">
        <x:v>1</x:v>
      </x:c>
      <x:c r="M526" s="6" t="str">
        <x:v>220</x:v>
      </x:c>
      <x:c r="N526" s="6" t="str">
        <x:v>912</x:v>
      </x:c>
      <x:c r="O526" s="6" t="str">
        <x:v>0</x:v>
      </x:c>
      <x:c r="P526" s="10" t="n">
        <x:f>F526-M526</x:f>
        <x:v>692</x:v>
      </x:c>
      <x:c r="Q526" s="11" t="n">
        <x:f>IFERROR(M526/F526,"")</x:f>
        <x:v>0.2412280701754386</x:v>
      </x:c>
      <x:c r="R526" s="10" t="n">
        <x:f>G526+H526</x:f>
        <x:v>565</x:v>
      </x:c>
      <x:c r="S526" s="11" t="n">
        <x:f>IFERROR(R526/F526,"")</x:f>
        <x:v>0.6195175438596491</x:v>
      </x:c>
      <x:c r="T526" s="11" t="n">
        <x:f>IFERROR(R526/P526,"")</x:f>
        <x:v>0.8164739884393064</x:v>
      </x:c>
      <x:c r="U526" s="10" t="n">
        <x:f>I526+J526+K526</x:f>
        <x:v>126</x:v>
      </x:c>
      <x:c r="V526" s="11" t="n">
        <x:f>IFERROR(U526/P526,"")</x:f>
        <x:v>0.18208092485549132</x:v>
      </x:c>
      <x:c r="W526" s="9" t="str">
        <x:v>provisional_gt_5pct_pending</x:v>
      </x:c>
      <x:c r="X526" s="12" t="n">
        <x:f>IFERROR(F526/Z526*100000,"")</x:f>
        <x:v>21.09499687738533</x:v>
      </x:c>
      <x:c r="Y526" s="13" t="n">
        <x:f>LN(Z526)</x:f>
        <x:v>15.279529557494563</x:v>
      </x:c>
      <x:c r="Z526" s="6" t="str">
        <x:v>4323300</x:v>
      </x:c>
      <x:c r="AA526" s="6" t="str">
        <x:v>116.0</x:v>
      </x:c>
      <x:c r="AB526" s="9" t="str">
        <x:v>2025-06-30</x:v>
      </x:c>
      <x:c r="AC526" s="8" t="str">
        <x:v>86.8</x:v>
      </x:c>
      <x:c r="AD526" s="9" t="str">
        <x:v>2025 (Susenas)</x:v>
      </x:c>
      <x:c r="AE526" s="8" t="str">
        <x:v>3.84</x:v>
      </x:c>
      <x:c r="AF526" s="9" t="str">
        <x:v>Maret 2025 (Susenas)</x:v>
      </x:c>
      <x:c r="AG526" s="6" t="str">
        <x:v>26.248644670541218</x:v>
      </x:c>
      <x:c r="AH526" s="8" t="str">
        <x:v>86.87975027047638</x:v>
      </x:c>
      <x:c r="AI526" s="6" t="str">
        <x:v>156.60228749101884</x:v>
      </x:c>
      <x:c r="AJ526" s="6" t="str">
        <x:v>0.2248487728775003</x:v>
      </x:c>
      <x:c r="AK526" s="8" t="str">
        <x:v>0.5663037778914555</x:v>
      </x:c>
      <x:c r="AL526" s="6" t="str">
        <x:v>0.7972073018047565</x:v>
      </x:c>
      <x:c r="AM526" s="6" t="str">
        <x:v>1.8756426669280768</x:v>
      </x:c>
      <x:c r="AN526" s="6" t="str">
        <x:v>1.0797179155414298</x:v>
      </x:c>
      <x:c r="AO526" s="6" t="str">
        <x:v>4.744844635197225</x:v>
      </x:c>
      <x:c r="AP526" s="8" t="str">
        <x:v>1.1740806041235394</x:v>
      </x:c>
      <x:c r="AQ526" s="6" t="str">
        <x:v>1.031974260863878</x:v>
      </x:c>
      <x:c r="AR526" s="6" t="str">
        <x:v>0.2276653275816587</x:v>
      </x:c>
      <x:c r="AS526" s="6" t="str">
        <x:v>0.8112400641896924</x:v>
      </x:c>
      <x:c r="AT526" s="6" t="str">
        <x:v>54.62628172482685</x:v>
      </x:c>
      <x:c r="AU526" s="8" t="str">
        <x:v>0.6972131585432877</x:v>
      </x:c>
      <x:c r="AV526" s="6" t="str">
        <x:v>1.2343185093045417</x:v>
      </x:c>
      <x:c r="AW526" s="6" t="str">
        <x:v>-0.5996664074187699</x:v>
      </x:c>
      <x:c r="AX526" s="6" t="str">
        <x:v>0.443955086809686</x:v>
      </x:c>
      <x:c r="AY526" s="6" t="str">
        <x:v>0</x:v>
      </x:c>
      <x:c r="AZ526" s="6" t="str">
        <x:v>0</x:v>
      </x:c>
      <x:c r="BA526" s="9" t="str">
        <x:v>grid_cells_within_BIG_polygon</x:v>
      </x:c>
      <x:c r="BB526" s="6" t="str">
        <x:v>9</x:v>
      </x:c>
      <x:c r="BC526" s="6" t="str">
        <x:v>2</x:v>
      </x:c>
      <x:c r="BD526" s="6" t="str">
        <x:v>2</x:v>
      </x:c>
      <x:c r="BE526" s="6" t="str">
        <x:v>0</x:v>
      </x:c>
      <x:c r="BF526" s="6" t="str">
        <x:v>0</x:v>
      </x:c>
      <x:c r="BG526" s="6" t="str">
        <x:v>1</x:v>
      </x:c>
      <x:c r="BH526" s="6" t="str">
        <x:v>0</x:v>
      </x:c>
      <x:c r="BI526" s="6" t="str">
        <x:v>1</x:v>
      </x:c>
      <x:c r="BJ526" s="6" t="str">
        <x:v>0</x:v>
      </x:c>
      <x:c r="BK526" s="6" t="str">
        <x:v>0</x:v>
      </x:c>
      <x:c r="BL526" s="6" t="str">
        <x:v>0</x:v>
      </x:c>
      <x:c r="BM526" s="6" t="str">
        <x:v>0</x:v>
      </x:c>
      <x:c r="BN526" s="6" t="str">
        <x:v>2</x:v>
      </x:c>
      <x:c r="BO526" s="6" t="str"/>
      <x:c r="BP526" s="6" t="str">
        <x:v>0</x:v>
      </x:c>
      <x:c r="BQ526" s="6" t="str"/>
      <x:c r="BR526" s="6" t="str">
        <x:v>0</x:v>
      </x:c>
      <x:c r="BS526" s="6" t="str">
        <x:v>23.0</x:v>
      </x:c>
      <x:c r="BT526" s="6" t="str">
        <x:v>2</x:v>
      </x:c>
      <x:c r="BU526" s="6" t="str"/>
      <x:c r="BV526" s="6" t="str">
        <x:v>0</x:v>
      </x:c>
      <x:c r="BW526" s="9" t="str">
        <x:v>operational_snapshot_annual_totals_may_differ</x:v>
      </x:c>
      <x:c r="BX526" s="9" t="str">
        <x:v>official_live_dashboard_snapshot_subject_to_revision</x:v>
      </x:c>
      <x:c r="BY526" s="9" t="str">
        <x:v>https://tbdashboard.sitb.id/ss_data_tbc03so_2025_provinsi_bulanan_list.php</x:v>
      </x:c>
      <x:c r="BZ526" s="6" t="n">
        <x:v>46246.610671296294</x:v>
      </x:c>
    </x:row>
    <x:row r="527" ht="18" customHeight="1">
      <x:c r="A527" s="6" t="str">
        <x:v>63</x:v>
      </x:c>
      <x:c r="B527" s="6" t="str">
        <x:v>KALIMANTAN SELATAN</x:v>
      </x:c>
      <x:c r="C527" s="6" t="str">
        <x:v>2025</x:v>
      </x:c>
      <x:c r="D527" s="6" t="str">
        <x:v>10</x:v>
      </x:c>
      <x:c r="E527" s="6" t="str">
        <x:v>2025-10</x:v>
      </x:c>
      <x:c r="F527" s="6" t="str">
        <x:v>1153</x:v>
      </x:c>
      <x:c r="G527" s="6" t="str">
        <x:v>168</x:v>
      </x:c>
      <x:c r="H527" s="6" t="str">
        <x:v>517</x:v>
      </x:c>
      <x:c r="I527" s="6" t="str">
        <x:v>84</x:v>
      </x:c>
      <x:c r="J527" s="6" t="str">
        <x:v>58</x:v>
      </x:c>
      <x:c r="K527" s="6" t="str">
        <x:v>3</x:v>
      </x:c>
      <x:c r="L527" s="6" t="str">
        <x:v>0</x:v>
      </x:c>
      <x:c r="M527" s="6" t="str">
        <x:v>323</x:v>
      </x:c>
      <x:c r="N527" s="6" t="str">
        <x:v>1153</x:v>
      </x:c>
      <x:c r="O527" s="6" t="str">
        <x:v>0</x:v>
      </x:c>
      <x:c r="P527" s="10" t="n">
        <x:f>F527-M527</x:f>
        <x:v>830</x:v>
      </x:c>
      <x:c r="Q527" s="11" t="n">
        <x:f>IFERROR(M527/F527,"")</x:f>
        <x:v>0.28013876843018215</x:v>
      </x:c>
      <x:c r="R527" s="10" t="n">
        <x:f>G527+H527</x:f>
        <x:v>685</x:v>
      </x:c>
      <x:c r="S527" s="11" t="n">
        <x:f>IFERROR(R527/F527,"")</x:f>
        <x:v>0.5941023417172593</x:v>
      </x:c>
      <x:c r="T527" s="11" t="n">
        <x:f>IFERROR(R527/P527,"")</x:f>
        <x:v>0.8253012048192772</x:v>
      </x:c>
      <x:c r="U527" s="10" t="n">
        <x:f>I527+J527+K527</x:f>
        <x:v>145</x:v>
      </x:c>
      <x:c r="V527" s="11" t="n">
        <x:f>IFERROR(U527/P527,"")</x:f>
        <x:v>0.1746987951807229</x:v>
      </x:c>
      <x:c r="W527" s="9" t="str">
        <x:v>provisional_gt_5pct_pending</x:v>
      </x:c>
      <x:c r="X527" s="12" t="n">
        <x:f>IFERROR(F527/Z527*100000,"")</x:f>
        <x:v>26.66944232415053</x:v>
      </x:c>
      <x:c r="Y527" s="13" t="n">
        <x:f>LN(Z527)</x:f>
        <x:v>15.279529557494563</x:v>
      </x:c>
      <x:c r="Z527" s="6" t="str">
        <x:v>4323300</x:v>
      </x:c>
      <x:c r="AA527" s="6" t="str">
        <x:v>116.0</x:v>
      </x:c>
      <x:c r="AB527" s="9" t="str">
        <x:v>2025-06-30</x:v>
      </x:c>
      <x:c r="AC527" s="8" t="str">
        <x:v>86.8</x:v>
      </x:c>
      <x:c r="AD527" s="9" t="str">
        <x:v>2025 (Susenas)</x:v>
      </x:c>
      <x:c r="AE527" s="8" t="str">
        <x:v>3.84</x:v>
      </x:c>
      <x:c r="AF527" s="9" t="str">
        <x:v>Maret 2025 (Susenas)</x:v>
      </x:c>
      <x:c r="AG527" s="6" t="str">
        <x:v>26.66644258267521</x:v>
      </x:c>
      <x:c r="AH527" s="8" t="str">
        <x:v>85.9453202994728</x:v>
      </x:c>
      <x:c r="AI527" s="6" t="str">
        <x:v>356.98170993201313</x:v>
      </x:c>
      <x:c r="AJ527" s="6" t="str">
        <x:v>-0.0325213748488515</x:v>
      </x:c>
      <x:c r="AK527" s="8" t="str">
        <x:v>-0.0773562225656463</x:v>
      </x:c>
      <x:c r="AL527" s="6" t="str">
        <x:v>0.5663037778914555</x:v>
      </x:c>
      <x:c r="AM527" s="6" t="str">
        <x:v>0.7972073018047565</x:v>
      </x:c>
      <x:c r="AN527" s="6" t="str">
        <x:v>0.4287182857101885</x:v>
      </x:c>
      <x:c r="AO527" s="6" t="str">
        <x:v>4.503716982290101</x:v>
      </x:c>
      <x:c r="AP527" s="8" t="str">
        <x:v>0.9108456846384198</x:v>
      </x:c>
      <x:c r="AQ527" s="6" t="str">
        <x:v>1.1740806041235394</x:v>
      </x:c>
      <x:c r="AR527" s="6" t="str">
        <x:v>1.031974260863878</x:v>
      </x:c>
      <x:c r="AS527" s="6" t="str">
        <x:v>1.0389668498752795</x:v>
      </x:c>
      <x:c r="AT527" s="6" t="str">
        <x:v>219.818222363645</x:v>
      </x:c>
      <x:c r="AU527" s="8" t="str">
        <x:v>2.496467066870278</x:v>
      </x:c>
      <x:c r="AV527" s="6" t="str">
        <x:v>0.6972131585432877</x:v>
      </x:c>
      <x:c r="AW527" s="6" t="str">
        <x:v>1.2343185093045417</x:v>
      </x:c>
      <x:c r="AX527" s="6" t="str">
        <x:v>1.4759995782393684</x:v>
      </x:c>
      <x:c r="AY527" s="6" t="str">
        <x:v>1</x:v>
      </x:c>
      <x:c r="AZ527" s="6" t="str">
        <x:v>0</x:v>
      </x:c>
      <x:c r="BA527" s="9" t="str">
        <x:v>grid_cells_within_BIG_polygon</x:v>
      </x:c>
      <x:c r="BB527" s="6" t="str">
        <x:v>9</x:v>
      </x:c>
      <x:c r="BC527" s="6" t="str">
        <x:v>0</x:v>
      </x:c>
      <x:c r="BD527" s="6" t="str">
        <x:v>0</x:v>
      </x:c>
      <x:c r="BE527" s="6" t="str">
        <x:v>0</x:v>
      </x:c>
      <x:c r="BF527" s="6" t="str">
        <x:v>0</x:v>
      </x:c>
      <x:c r="BG527" s="6" t="str">
        <x:v>0</x:v>
      </x:c>
      <x:c r="BH527" s="6" t="str">
        <x:v>0</x:v>
      </x:c>
      <x:c r="BI527" s="6" t="str">
        <x:v>0</x:v>
      </x:c>
      <x:c r="BJ527" s="6" t="str">
        <x:v>0</x:v>
      </x:c>
      <x:c r="BK527" s="6" t="str">
        <x:v>0</x:v>
      </x:c>
      <x:c r="BL527" s="6" t="str">
        <x:v>0</x:v>
      </x:c>
      <x:c r="BM527" s="6" t="str">
        <x:v>0</x:v>
      </x:c>
      <x:c r="BN527" s="6" t="str">
        <x:v>0</x:v>
      </x:c>
      <x:c r="BO527" s="6" t="str"/>
      <x:c r="BP527" s="6" t="str">
        <x:v>0</x:v>
      </x:c>
      <x:c r="BQ527" s="6" t="str"/>
      <x:c r="BR527" s="6" t="str">
        <x:v>0</x:v>
      </x:c>
      <x:c r="BS527" s="6" t="str"/>
      <x:c r="BT527" s="6" t="str">
        <x:v>0</x:v>
      </x:c>
      <x:c r="BU527" s="6" t="str"/>
      <x:c r="BV527" s="6" t="str">
        <x:v>0</x:v>
      </x:c>
      <x:c r="BW527" s="9" t="str">
        <x:v>operational_snapshot_annual_totals_may_differ</x:v>
      </x:c>
      <x:c r="BX527" s="9" t="str">
        <x:v>official_live_dashboard_snapshot_subject_to_revision</x:v>
      </x:c>
      <x:c r="BY527" s="9" t="str">
        <x:v>https://tbdashboard.sitb.id/ss_data_tbc03so_2025_provinsi_bulanan_list.php</x:v>
      </x:c>
      <x:c r="BZ527" s="6" t="n">
        <x:v>46246.610671296294</x:v>
      </x:c>
    </x:row>
    <x:row r="528" ht="18" customHeight="1">
      <x:c r="A528" s="6" t="str">
        <x:v>63</x:v>
      </x:c>
      <x:c r="B528" s="6" t="str">
        <x:v>KALIMANTAN SELATAN</x:v>
      </x:c>
      <x:c r="C528" s="6" t="str">
        <x:v>2025</x:v>
      </x:c>
      <x:c r="D528" s="6" t="str">
        <x:v>11</x:v>
      </x:c>
      <x:c r="E528" s="6" t="str">
        <x:v>2025-11</x:v>
      </x:c>
      <x:c r="F528" s="6" t="str">
        <x:v>910</x:v>
      </x:c>
      <x:c r="G528" s="6" t="str">
        <x:v>124</x:v>
      </x:c>
      <x:c r="H528" s="6" t="str">
        <x:v>335</x:v>
      </x:c>
      <x:c r="I528" s="6" t="str">
        <x:v>78</x:v>
      </x:c>
      <x:c r="J528" s="6" t="str">
        <x:v>37</x:v>
      </x:c>
      <x:c r="K528" s="6" t="str">
        <x:v>1</x:v>
      </x:c>
      <x:c r="L528" s="6" t="str">
        <x:v>1</x:v>
      </x:c>
      <x:c r="M528" s="6" t="str">
        <x:v>334</x:v>
      </x:c>
      <x:c r="N528" s="6" t="str">
        <x:v>910</x:v>
      </x:c>
      <x:c r="O528" s="6" t="str">
        <x:v>0</x:v>
      </x:c>
      <x:c r="P528" s="10" t="n">
        <x:f>F528-M528</x:f>
        <x:v>576</x:v>
      </x:c>
      <x:c r="Q528" s="11" t="n">
        <x:f>IFERROR(M528/F528,"")</x:f>
        <x:v>0.367032967032967</x:v>
      </x:c>
      <x:c r="R528" s="10" t="n">
        <x:f>G528+H528</x:f>
        <x:v>459</x:v>
      </x:c>
      <x:c r="S528" s="11" t="n">
        <x:f>IFERROR(R528/F528,"")</x:f>
        <x:v>0.5043956043956044</x:v>
      </x:c>
      <x:c r="T528" s="11" t="n">
        <x:f>IFERROR(R528/P528,"")</x:f>
        <x:v>0.796875</x:v>
      </x:c>
      <x:c r="U528" s="10" t="n">
        <x:f>I528+J528+K528</x:f>
        <x:v>116</x:v>
      </x:c>
      <x:c r="V528" s="11" t="n">
        <x:f>IFERROR(U528/P528,"")</x:f>
        <x:v>0.2013888888888889</x:v>
      </x:c>
      <x:c r="W528" s="9" t="str">
        <x:v>provisional_gt_5pct_pending</x:v>
      </x:c>
      <x:c r="X528" s="12" t="n">
        <x:f>IFERROR(F528/Z528*100000,"")</x:f>
        <x:v>21.04873591932089</x:v>
      </x:c>
      <x:c r="Y528" s="13" t="n">
        <x:f>LN(Z528)</x:f>
        <x:v>15.279529557494563</x:v>
      </x:c>
      <x:c r="Z528" s="6" t="str">
        <x:v>4323300</x:v>
      </x:c>
      <x:c r="AA528" s="6" t="str">
        <x:v>116.0</x:v>
      </x:c>
      <x:c r="AB528" s="9" t="str">
        <x:v>2025-06-30</x:v>
      </x:c>
      <x:c r="AC528" s="8" t="str">
        <x:v>86.8</x:v>
      </x:c>
      <x:c r="AD528" s="9" t="str">
        <x:v>2025 (Susenas)</x:v>
      </x:c>
      <x:c r="AE528" s="8" t="str">
        <x:v>3.84</x:v>
      </x:c>
      <x:c r="AF528" s="9" t="str">
        <x:v>Maret 2025 (Susenas)</x:v>
      </x:c>
      <x:c r="AG528" s="6" t="str">
        <x:v>26.53534101046724</x:v>
      </x:c>
      <x:c r="AH528" s="8" t="str">
        <x:v>87.27853637401243</x:v>
      </x:c>
      <x:c r="AI528" s="6" t="str">
        <x:v>259.2070649043401</x:v>
      </x:c>
      <x:c r="AJ528" s="6" t="str">
        <x:v>-0.2571406033449364</x:v>
      </x:c>
      <x:c r="AK528" s="8" t="str">
        <x:v>-0.5079824292351992</x:v>
      </x:c>
      <x:c r="AL528" s="6" t="str">
        <x:v>-0.0773562225656463</x:v>
      </x:c>
      <x:c r="AM528" s="6" t="str">
        <x:v>0.5663037778914555</x:v>
      </x:c>
      <x:c r="AN528" s="6" t="str">
        <x:v>-0.0063449579697966</x:v>
      </x:c>
      <x:c r="AO528" s="6" t="str">
        <x:v>3.6102474269780487</x:v>
      </x:c>
      <x:c r="AP528" s="8" t="str">
        <x:v>1.0640997977802764</x:v>
      </x:c>
      <x:c r="AQ528" s="6" t="str">
        <x:v>0.9108456846384198</x:v>
      </x:c>
      <x:c r="AR528" s="6" t="str">
        <x:v>1.1740806041235394</x:v>
      </x:c>
      <x:c r="AS528" s="6" t="str">
        <x:v>1.0496753621807455</x:v>
      </x:c>
      <x:c r="AT528" s="6" t="str">
        <x:v>34.54044343100358</x:v>
      </x:c>
      <x:c r="AU528" s="8" t="str">
        <x:v>0.5105307127641303</x:v>
      </x:c>
      <x:c r="AV528" s="6" t="str">
        <x:v>2.496467066870278</x:v>
      </x:c>
      <x:c r="AW528" s="6" t="str">
        <x:v>0.6972131585432877</x:v>
      </x:c>
      <x:c r="AX528" s="6" t="str">
        <x:v>1.2347369793925649</x:v>
      </x:c>
      <x:c r="AY528" s="6" t="str">
        <x:v>0</x:v>
      </x:c>
      <x:c r="AZ528" s="6" t="str">
        <x:v>0</x:v>
      </x:c>
      <x:c r="BA528" s="9" t="str">
        <x:v>grid_cells_within_BIG_polygon</x:v>
      </x:c>
      <x:c r="BB528" s="6" t="str">
        <x:v>9</x:v>
      </x:c>
      <x:c r="BC528" s="6" t="str">
        <x:v>3</x:v>
      </x:c>
      <x:c r="BD528" s="6" t="str">
        <x:v>3</x:v>
      </x:c>
      <x:c r="BE528" s="6" t="str">
        <x:v>2</x:v>
      </x:c>
      <x:c r="BF528" s="6" t="str">
        <x:v>0</x:v>
      </x:c>
      <x:c r="BG528" s="6" t="str">
        <x:v>1</x:v>
      </x:c>
      <x:c r="BH528" s="6" t="str">
        <x:v>0</x:v>
      </x:c>
      <x:c r="BI528" s="6" t="str">
        <x:v>0</x:v>
      </x:c>
      <x:c r="BJ528" s="6" t="str">
        <x:v>0</x:v>
      </x:c>
      <x:c r="BK528" s="6" t="str">
        <x:v>0</x:v>
      </x:c>
      <x:c r="BL528" s="6" t="str">
        <x:v>0</x:v>
      </x:c>
      <x:c r="BM528" s="6" t="str">
        <x:v>0</x:v>
      </x:c>
      <x:c r="BN528" s="6" t="str">
        <x:v>3</x:v>
      </x:c>
      <x:c r="BO528" s="6" t="str"/>
      <x:c r="BP528" s="6" t="str">
        <x:v>0</x:v>
      </x:c>
      <x:c r="BQ528" s="6" t="str"/>
      <x:c r="BR528" s="6" t="str">
        <x:v>0</x:v>
      </x:c>
      <x:c r="BS528" s="6" t="str">
        <x:v>16.0</x:v>
      </x:c>
      <x:c r="BT528" s="6" t="str">
        <x:v>3</x:v>
      </x:c>
      <x:c r="BU528" s="6" t="str">
        <x:v>2129.0</x:v>
      </x:c>
      <x:c r="BV528" s="6" t="str">
        <x:v>1</x:v>
      </x:c>
      <x:c r="BW528" s="9" t="str">
        <x:v>operational_snapshot_annual_totals_may_differ</x:v>
      </x:c>
      <x:c r="BX528" s="9" t="str">
        <x:v>official_live_dashboard_snapshot_subject_to_revision</x:v>
      </x:c>
      <x:c r="BY528" s="9" t="str">
        <x:v>https://tbdashboard.sitb.id/ss_data_tbc03so_2025_provinsi_bulanan_list.php</x:v>
      </x:c>
      <x:c r="BZ528" s="6" t="n">
        <x:v>46246.610671296294</x:v>
      </x:c>
    </x:row>
    <x:row r="529" ht="18" customHeight="1">
      <x:c r="A529" s="6" t="str">
        <x:v>63</x:v>
      </x:c>
      <x:c r="B529" s="6" t="str">
        <x:v>KALIMANTAN SELATAN</x:v>
      </x:c>
      <x:c r="C529" s="6" t="str">
        <x:v>2025</x:v>
      </x:c>
      <x:c r="D529" s="6" t="str">
        <x:v>12</x:v>
      </x:c>
      <x:c r="E529" s="6" t="str">
        <x:v>2025-12</x:v>
      </x:c>
      <x:c r="F529" s="6" t="str">
        <x:v>807</x:v>
      </x:c>
      <x:c r="G529" s="6" t="str">
        <x:v>105</x:v>
      </x:c>
      <x:c r="H529" s="6" t="str">
        <x:v>245</x:v>
      </x:c>
      <x:c r="I529" s="6" t="str">
        <x:v>56</x:v>
      </x:c>
      <x:c r="J529" s="6" t="str">
        <x:v>25</x:v>
      </x:c>
      <x:c r="K529" s="6" t="str">
        <x:v>2</x:v>
      </x:c>
      <x:c r="L529" s="6" t="str">
        <x:v>0</x:v>
      </x:c>
      <x:c r="M529" s="6" t="str">
        <x:v>374</x:v>
      </x:c>
      <x:c r="N529" s="6" t="str">
        <x:v>807</x:v>
      </x:c>
      <x:c r="O529" s="6" t="str">
        <x:v>0</x:v>
      </x:c>
      <x:c r="P529" s="10" t="n">
        <x:f>F529-M529</x:f>
        <x:v>433</x:v>
      </x:c>
      <x:c r="Q529" s="11" t="n">
        <x:f>IFERROR(M529/F529,"")</x:f>
        <x:v>0.4634448574969021</x:v>
      </x:c>
      <x:c r="R529" s="10" t="n">
        <x:f>G529+H529</x:f>
        <x:v>350</x:v>
      </x:c>
      <x:c r="S529" s="11" t="n">
        <x:f>IFERROR(R529/F529,"")</x:f>
        <x:v>0.43370508054522927</x:v>
      </x:c>
      <x:c r="T529" s="11" t="n">
        <x:f>IFERROR(R529/P529,"")</x:f>
        <x:v>0.8083140877598153</x:v>
      </x:c>
      <x:c r="U529" s="10" t="n">
        <x:f>I529+J529+K529</x:f>
        <x:v>83</x:v>
      </x:c>
      <x:c r="V529" s="11" t="n">
        <x:f>IFERROR(U529/P529,"")</x:f>
        <x:v>0.19168591224018475</x:v>
      </x:c>
      <x:c r="W529" s="9" t="str">
        <x:v>provisional_gt_5pct_pending</x:v>
      </x:c>
      <x:c r="X529" s="12" t="n">
        <x:f>IFERROR(F529/Z529*100000,"")</x:f>
        <x:v>18.66629657900215</x:v>
      </x:c>
      <x:c r="Y529" s="13" t="n">
        <x:f>LN(Z529)</x:f>
        <x:v>15.279529557494563</x:v>
      </x:c>
      <x:c r="Z529" s="6" t="str">
        <x:v>4323300</x:v>
      </x:c>
      <x:c r="AA529" s="6" t="str">
        <x:v>116.0</x:v>
      </x:c>
      <x:c r="AB529" s="9" t="str">
        <x:v>2025-06-30</x:v>
      </x:c>
      <x:c r="AC529" s="8" t="str">
        <x:v>86.8</x:v>
      </x:c>
      <x:c r="AD529" s="9" t="str">
        <x:v>2025 (Susenas)</x:v>
      </x:c>
      <x:c r="AE529" s="8" t="str">
        <x:v>3.84</x:v>
      </x:c>
      <x:c r="AF529" s="9" t="str">
        <x:v>Maret 2025 (Susenas)</x:v>
      </x:c>
      <x:c r="AG529" s="6" t="str">
        <x:v>26.30541440346568</x:v>
      </x:c>
      <x:c r="AH529" s="8" t="str">
        <x:v>88.4394153998942</x:v>
      </x:c>
      <x:c r="AI529" s="6" t="str">
        <x:v>423.0315413962027</x:v>
      </x:c>
      <x:c r="AJ529" s="6" t="str">
        <x:v>0.0901307251274232</x:v>
      </x:c>
      <x:c r="AK529" s="8" t="str">
        <x:v>0.2059198771652079</x:v>
      </x:c>
      <x:c r="AL529" s="6" t="str">
        <x:v>-0.5079824292351992</x:v>
      </x:c>
      <x:c r="AM529" s="6" t="str">
        <x:v>-0.0773562225656463</x:v>
      </x:c>
      <x:c r="AN529" s="6" t="str">
        <x:v>-0.1264729248785458</x:v>
      </x:c>
      <x:c r="AO529" s="6" t="str">
        <x:v>1.3188087725798567</x:v>
      </x:c>
      <x:c r="AP529" s="8" t="str">
        <x:v>0.6966856722018043</x:v>
      </x:c>
      <x:c r="AQ529" s="6" t="str">
        <x:v>1.0640997977802764</x:v>
      </x:c>
      <x:c r="AR529" s="6" t="str">
        <x:v>0.9108456846384198</x:v>
      </x:c>
      <x:c r="AS529" s="6" t="str">
        <x:v>0.8905437182068338</x:v>
      </x:c>
      <x:c r="AT529" s="6" t="str">
        <x:v>104.8579241560816</x:v>
      </x:c>
      <x:c r="AU529" s="8" t="str">
        <x:v>1.5937809265521152</x:v>
      </x:c>
      <x:c r="AV529" s="6" t="str">
        <x:v>0.5105307127641303</x:v>
      </x:c>
      <x:c r="AW529" s="6" t="str">
        <x:v>2.496467066870278</x:v>
      </x:c>
      <x:c r="AX529" s="6" t="str">
        <x:v>1.533592902062174</x:v>
      </x:c>
      <x:c r="AY529" s="6" t="str">
        <x:v>1</x:v>
      </x:c>
      <x:c r="AZ529" s="6" t="str">
        <x:v>0</x:v>
      </x:c>
      <x:c r="BA529" s="9" t="str">
        <x:v>grid_cells_within_BIG_polygon</x:v>
      </x:c>
      <x:c r="BB529" s="6" t="str">
        <x:v>9</x:v>
      </x:c>
      <x:c r="BC529" s="6" t="str">
        <x:v>19</x:v>
      </x:c>
      <x:c r="BD529" s="6" t="str">
        <x:v>19</x:v>
      </x:c>
      <x:c r="BE529" s="6" t="str">
        <x:v>13</x:v>
      </x:c>
      <x:c r="BF529" s="6" t="str">
        <x:v>0</x:v>
      </x:c>
      <x:c r="BG529" s="6" t="str">
        <x:v>5</x:v>
      </x:c>
      <x:c r="BH529" s="6" t="str">
        <x:v>0</x:v>
      </x:c>
      <x:c r="BI529" s="6" t="str">
        <x:v>0</x:v>
      </x:c>
      <x:c r="BJ529" s="6" t="str">
        <x:v>1</x:v>
      </x:c>
      <x:c r="BK529" s="6" t="str">
        <x:v>0</x:v>
      </x:c>
      <x:c r="BL529" s="6" t="str">
        <x:v>0</x:v>
      </x:c>
      <x:c r="BM529" s="6" t="str">
        <x:v>0</x:v>
      </x:c>
      <x:c r="BN529" s="6" t="str">
        <x:v>19</x:v>
      </x:c>
      <x:c r="BO529" s="6" t="str">
        <x:v>3.0</x:v>
      </x:c>
      <x:c r="BP529" s="6" t="str">
        <x:v>1</x:v>
      </x:c>
      <x:c r="BQ529" s="6" t="str">
        <x:v>1.0</x:v>
      </x:c>
      <x:c r="BR529" s="6" t="str">
        <x:v>1</x:v>
      </x:c>
      <x:c r="BS529" s="6" t="str">
        <x:v>100.0</x:v>
      </x:c>
      <x:c r="BT529" s="6" t="str">
        <x:v>19</x:v>
      </x:c>
      <x:c r="BU529" s="6" t="str">
        <x:v>46129.0</x:v>
      </x:c>
      <x:c r="BV529" s="6" t="str">
        <x:v>14</x:v>
      </x:c>
      <x:c r="BW529" s="9" t="str">
        <x:v>operational_snapshot_annual_totals_may_differ</x:v>
      </x:c>
      <x:c r="BX529" s="9" t="str">
        <x:v>official_live_dashboard_snapshot_subject_to_revision</x:v>
      </x:c>
      <x:c r="BY529" s="9" t="str">
        <x:v>https://tbdashboard.sitb.id/ss_data_tbc03so_2025_provinsi_bulanan_list.php</x:v>
      </x:c>
      <x:c r="BZ529" s="6" t="n">
        <x:v>46246.610671296294</x:v>
      </x:c>
    </x:row>
    <x:row r="530" ht="18" customHeight="1">
      <x:c r="A530" s="6" t="str">
        <x:v>64</x:v>
      </x:c>
      <x:c r="B530" s="6" t="str">
        <x:v>KALIMANTAN TIMUR</x:v>
      </x:c>
      <x:c r="C530" s="6" t="str">
        <x:v>2024</x:v>
      </x:c>
      <x:c r="D530" s="6" t="str">
        <x:v>1</x:v>
      </x:c>
      <x:c r="E530" s="6" t="str">
        <x:v>2024-01</x:v>
      </x:c>
      <x:c r="F530" s="6" t="str">
        <x:v>976</x:v>
      </x:c>
      <x:c r="G530" s="6" t="str">
        <x:v>214</x:v>
      </x:c>
      <x:c r="H530" s="6" t="str">
        <x:v>609</x:v>
      </x:c>
      <x:c r="I530" s="6" t="str">
        <x:v>81</x:v>
      </x:c>
      <x:c r="J530" s="6" t="str">
        <x:v>50</x:v>
      </x:c>
      <x:c r="K530" s="6" t="str">
        <x:v>3</x:v>
      </x:c>
      <x:c r="L530" s="6" t="str">
        <x:v>6</x:v>
      </x:c>
      <x:c r="M530" s="6" t="str">
        <x:v>13</x:v>
      </x:c>
      <x:c r="N530" s="6" t="str">
        <x:v>976</x:v>
      </x:c>
      <x:c r="O530" s="6" t="str">
        <x:v>0</x:v>
      </x:c>
      <x:c r="P530" s="10" t="n">
        <x:f>F530-M530</x:f>
        <x:v>963</x:v>
      </x:c>
      <x:c r="Q530" s="11" t="n">
        <x:f>IFERROR(M530/F530,"")</x:f>
        <x:v>0.01331967213114754</x:v>
      </x:c>
      <x:c r="R530" s="10" t="n">
        <x:f>G530+H530</x:f>
        <x:v>823</x:v>
      </x:c>
      <x:c r="S530" s="11" t="n">
        <x:f>IFERROR(R530/F530,"")</x:f>
        <x:v>0.8432377049180327</x:v>
      </x:c>
      <x:c r="T530" s="11" t="n">
        <x:f>IFERROR(R530/P530,"")</x:f>
        <x:v>0.8546209761163032</x:v>
      </x:c>
      <x:c r="U530" s="10" t="n">
        <x:f>I530+J530+K530</x:f>
        <x:v>134</x:v>
      </x:c>
      <x:c r="V530" s="11" t="n">
        <x:f>IFERROR(U530/P530,"")</x:f>
        <x:v>0.1391484942886812</x:v>
      </x:c>
      <x:c r="W530" s="9" t="str">
        <x:v>mature_le_5pct_pending</x:v>
      </x:c>
      <x:c r="X530" s="12" t="n">
        <x:f>IFERROR(F530/Z530*100000,"")</x:f>
        <x:v>24.123186435650908</x:v>
      </x:c>
      <x:c r="Y530" s="13" t="n">
        <x:f>LN(Z530)</x:f>
        <x:v>15.213214580635729</x:v>
      </x:c>
      <x:c r="Z530" s="6" t="str">
        <x:v>4045900</x:v>
      </x:c>
      <x:c r="AA530" s="6" t="str">
        <x:v>32.0</x:v>
      </x:c>
      <x:c r="AB530" s="9" t="str">
        <x:v>2024-06-30</x:v>
      </x:c>
      <x:c r="AC530" s="8" t="str">
        <x:v>91.65</x:v>
      </x:c>
      <x:c r="AD530" s="9" t="str">
        <x:v>2024 (Susenas)</x:v>
      </x:c>
      <x:c r="AE530" s="8" t="str">
        <x:v>5.78</x:v>
      </x:c>
      <x:c r="AF530" s="9" t="str">
        <x:v>Maret 2024 (Susenas)</x:v>
      </x:c>
      <x:c r="AG530" s="6" t="str">
        <x:v>25.593128107032957</x:v>
      </x:c>
      <x:c r="AH530" s="8" t="str">
        <x:v>90.68603169617</x:v>
      </x:c>
      <x:c r="AI530" s="6" t="str">
        <x:v>280.81821077136766</x:v>
      </x:c>
      <x:c r="AJ530" s="6" t="str">
        <x:v>0.8554676594358561</x:v>
      </x:c>
      <x:c r="AK530" s="8" t="str">
        <x:v>2.578806110431028</x:v>
      </x:c>
      <x:c r="AL530" s="6" t="str">
        <x:v>3.584830637325754</x:v>
      </x:c>
      <x:c r="AM530" s="6" t="str">
        <x:v>3.4225875858324883</x:v>
      </x:c>
      <x:c r="AN530" s="6" t="str">
        <x:v>3.195408111196423</x:v>
      </x:c>
      <x:c r="AO530" s="6" t="str">
        <x:v>0.5139028482688417</x:v>
      </x:c>
      <x:c r="AP530" s="8" t="str">
        <x:v>0.3827302669760102</x:v>
      </x:c>
      <x:c r="AQ530" s="6" t="str">
        <x:v>-0.0950859213843464</x:v>
      </x:c>
      <x:c r="AR530" s="6" t="str">
        <x:v>-0.4278424814977856</x:v>
      </x:c>
      <x:c r="AS530" s="6" t="str">
        <x:v>-0.0467327119687066</x:v>
      </x:c>
      <x:c r="AT530" s="6" t="str">
        <x:v>46.73367129334349</x:v>
      </x:c>
      <x:c r="AU530" s="8" t="str">
        <x:v>0.732106051464793</x:v>
      </x:c>
      <x:c r="AV530" s="6" t="str">
        <x:v>-0.1403366584172408</x:v>
      </x:c>
      <x:c r="AW530" s="6" t="str">
        <x:v>-0.3316679925520156</x:v>
      </x:c>
      <x:c r="AX530" s="6" t="str">
        <x:v>0.0867004668318456</x:v>
      </x:c>
      <x:c r="AY530" s="6" t="str">
        <x:v>0</x:v>
      </x:c>
      <x:c r="AZ530" s="6" t="str">
        <x:v>1</x:v>
      </x:c>
      <x:c r="BA530" s="9" t="str">
        <x:v>grid_cells_within_BIG_polygon</x:v>
      </x:c>
      <x:c r="BB530" s="6" t="str">
        <x:v>33</x:v>
      </x:c>
      <x:c r="BC530" s="6" t="str">
        <x:v>4</x:v>
      </x:c>
      <x:c r="BD530" s="6" t="str">
        <x:v>4</x:v>
      </x:c>
      <x:c r="BE530" s="6" t="str">
        <x:v>0</x:v>
      </x:c>
      <x:c r="BF530" s="6" t="str">
        <x:v>0</x:v>
      </x:c>
      <x:c r="BG530" s="6" t="str">
        <x:v>1</x:v>
      </x:c>
      <x:c r="BH530" s="6" t="str">
        <x:v>0</x:v>
      </x:c>
      <x:c r="BI530" s="6" t="str">
        <x:v>3</x:v>
      </x:c>
      <x:c r="BJ530" s="6" t="str">
        <x:v>0</x:v>
      </x:c>
      <x:c r="BK530" s="6" t="str">
        <x:v>0</x:v>
      </x:c>
      <x:c r="BL530" s="6" t="str">
        <x:v>0</x:v>
      </x:c>
      <x:c r="BM530" s="6" t="str">
        <x:v>0</x:v>
      </x:c>
      <x:c r="BN530" s="6" t="str">
        <x:v>4</x:v>
      </x:c>
      <x:c r="BO530" s="6" t="str">
        <x:v>0.0</x:v>
      </x:c>
      <x:c r="BP530" s="6" t="str">
        <x:v>4</x:v>
      </x:c>
      <x:c r="BQ530" s="6" t="str">
        <x:v>0.0</x:v>
      </x:c>
      <x:c r="BR530" s="6" t="str">
        <x:v>4</x:v>
      </x:c>
      <x:c r="BS530" s="6" t="str">
        <x:v>30.0</x:v>
      </x:c>
      <x:c r="BT530" s="6" t="str">
        <x:v>4</x:v>
      </x:c>
      <x:c r="BU530" s="6" t="str">
        <x:v>0.0</x:v>
      </x:c>
      <x:c r="BV530" s="6" t="str">
        <x:v>4</x:v>
      </x:c>
      <x:c r="BW530" s="9" t="str">
        <x:v>operational_snapshot_annual_totals_may_differ</x:v>
      </x:c>
      <x:c r="BX530" s="9" t="str">
        <x:v>official_live_dashboard_snapshot_subject_to_revision</x:v>
      </x:c>
      <x:c r="BY530" s="9" t="str">
        <x:v>https://tbdashboard.sitb.id/ss_data_tbc03so_2024_provinsi_bulanan_list.php</x:v>
      </x:c>
      <x:c r="BZ530" s="6" t="n">
        <x:v>46246.610671296294</x:v>
      </x:c>
    </x:row>
    <x:row r="531" ht="18" customHeight="1">
      <x:c r="A531" s="6" t="str">
        <x:v>64</x:v>
      </x:c>
      <x:c r="B531" s="6" t="str">
        <x:v>KALIMANTAN TIMUR</x:v>
      </x:c>
      <x:c r="C531" s="6" t="str">
        <x:v>2024</x:v>
      </x:c>
      <x:c r="D531" s="6" t="str">
        <x:v>2</x:v>
      </x:c>
      <x:c r="E531" s="6" t="str">
        <x:v>2024-02</x:v>
      </x:c>
      <x:c r="F531" s="6" t="str">
        <x:v>827</x:v>
      </x:c>
      <x:c r="G531" s="6" t="str">
        <x:v>166</x:v>
      </x:c>
      <x:c r="H531" s="6" t="str">
        <x:v>520</x:v>
      </x:c>
      <x:c r="I531" s="6" t="str">
        <x:v>88</x:v>
      </x:c>
      <x:c r="J531" s="6" t="str">
        <x:v>31</x:v>
      </x:c>
      <x:c r="K531" s="6" t="str">
        <x:v>4</x:v>
      </x:c>
      <x:c r="L531" s="6" t="str">
        <x:v>5</x:v>
      </x:c>
      <x:c r="M531" s="6" t="str">
        <x:v>13</x:v>
      </x:c>
      <x:c r="N531" s="6" t="str">
        <x:v>827</x:v>
      </x:c>
      <x:c r="O531" s="6" t="str">
        <x:v>0</x:v>
      </x:c>
      <x:c r="P531" s="10" t="n">
        <x:f>F531-M531</x:f>
        <x:v>814</x:v>
      </x:c>
      <x:c r="Q531" s="11" t="n">
        <x:f>IFERROR(M531/F531,"")</x:f>
        <x:v>0.015719467956469165</x:v>
      </x:c>
      <x:c r="R531" s="10" t="n">
        <x:f>G531+H531</x:f>
        <x:v>686</x:v>
      </x:c>
      <x:c r="S531" s="11" t="n">
        <x:f>IFERROR(R531/F531,"")</x:f>
        <x:v>0.8295042321644498</x:v>
      </x:c>
      <x:c r="T531" s="11" t="n">
        <x:f>IFERROR(R531/P531,"")</x:f>
        <x:v>0.8427518427518428</x:v>
      </x:c>
      <x:c r="U531" s="10" t="n">
        <x:f>I531+J531+K531</x:f>
        <x:v>123</x:v>
      </x:c>
      <x:c r="V531" s="11" t="n">
        <x:f>IFERROR(U531/P531,"")</x:f>
        <x:v>0.1511056511056511</x:v>
      </x:c>
      <x:c r="W531" s="9" t="str">
        <x:v>mature_le_5pct_pending</x:v>
      </x:c>
      <x:c r="X531" s="12" t="n">
        <x:f>IFERROR(F531/Z531*100000,"")</x:f>
        <x:v>20.440445883486987</x:v>
      </x:c>
      <x:c r="Y531" s="13" t="n">
        <x:f>LN(Z531)</x:f>
        <x:v>15.213214580635729</x:v>
      </x:c>
      <x:c r="Z531" s="6" t="str">
        <x:v>4045900</x:v>
      </x:c>
      <x:c r="AA531" s="6" t="str">
        <x:v>32.0</x:v>
      </x:c>
      <x:c r="AB531" s="9" t="str">
        <x:v>2024-06-30</x:v>
      </x:c>
      <x:c r="AC531" s="8" t="str">
        <x:v>91.65</x:v>
      </x:c>
      <x:c r="AD531" s="9" t="str">
        <x:v>2024 (Susenas)</x:v>
      </x:c>
      <x:c r="AE531" s="8" t="str">
        <x:v>5.78</x:v>
      </x:c>
      <x:c r="AF531" s="9" t="str">
        <x:v>Maret 2024 (Susenas)</x:v>
      </x:c>
      <x:c r="AG531" s="6" t="str">
        <x:v>25.78101410493235</x:v>
      </x:c>
      <x:c r="AH531" s="8" t="str">
        <x:v>89.97113203834134</x:v>
      </x:c>
      <x:c r="AI531" s="6" t="str">
        <x:v>247.4032641165195</x:v>
      </x:c>
      <x:c r="AJ531" s="6" t="str">
        <x:v>0.971728057948674</x:v>
      </x:c>
      <x:c r="AK531" s="8" t="str">
        <x:v>2.579027344440551</x:v>
      </x:c>
      <x:c r="AL531" s="6" t="str">
        <x:v>2.578806110431028</x:v>
      </x:c>
      <x:c r="AM531" s="6" t="str">
        <x:v>3.584830637325754</x:v>
      </x:c>
      <x:c r="AN531" s="6" t="str">
        <x:v>2.914221364065777</x:v>
      </x:c>
      <x:c r="AO531" s="6" t="str">
        <x:v>0.2323763285775726</x:v>
      </x:c>
      <x:c r="AP531" s="8" t="str">
        <x:v>0.1164226681217897</x:v>
      </x:c>
      <x:c r="AQ531" s="6" t="str">
        <x:v>0.3827302669760102</x:v>
      </x:c>
      <x:c r="AR531" s="6" t="str">
        <x:v>-0.0950859213843464</x:v>
      </x:c>
      <x:c r="AS531" s="6" t="str">
        <x:v>0.1346890045711518</x:v>
      </x:c>
      <x:c r="AT531" s="6" t="str">
        <x:v>33.62497509141011</x:v>
      </x:c>
      <x:c r="AU531" s="8" t="str">
        <x:v>0.4891673036490643</x:v>
      </x:c>
      <x:c r="AV531" s="6" t="str">
        <x:v>0.732106051464793</x:v>
      </x:c>
      <x:c r="AW531" s="6" t="str">
        <x:v>-0.1403366584172408</x:v>
      </x:c>
      <x:c r="AX531" s="6" t="str">
        <x:v>0.3603122322322056</x:v>
      </x:c>
      <x:c r="AY531" s="6" t="str">
        <x:v>0</x:v>
      </x:c>
      <x:c r="AZ531" s="6" t="str">
        <x:v>1</x:v>
      </x:c>
      <x:c r="BA531" s="9" t="str">
        <x:v>grid_cells_within_BIG_polygon</x:v>
      </x:c>
      <x:c r="BB531" s="6" t="str">
        <x:v>33</x:v>
      </x:c>
      <x:c r="BC531" s="6" t="str">
        <x:v>19</x:v>
      </x:c>
      <x:c r="BD531" s="6" t="str">
        <x:v>19</x:v>
      </x:c>
      <x:c r="BE531" s="6" t="str">
        <x:v>0</x:v>
      </x:c>
      <x:c r="BF531" s="6" t="str">
        <x:v>0</x:v>
      </x:c>
      <x:c r="BG531" s="6" t="str">
        <x:v>0</x:v>
      </x:c>
      <x:c r="BH531" s="6" t="str">
        <x:v>0</x:v>
      </x:c>
      <x:c r="BI531" s="6" t="str">
        <x:v>19</x:v>
      </x:c>
      <x:c r="BJ531" s="6" t="str">
        <x:v>0</x:v>
      </x:c>
      <x:c r="BK531" s="6" t="str">
        <x:v>0</x:v>
      </x:c>
      <x:c r="BL531" s="6" t="str">
        <x:v>0</x:v>
      </x:c>
      <x:c r="BM531" s="6" t="str">
        <x:v>0</x:v>
      </x:c>
      <x:c r="BN531" s="6" t="str">
        <x:v>19</x:v>
      </x:c>
      <x:c r="BO531" s="6" t="str">
        <x:v>0.0</x:v>
      </x:c>
      <x:c r="BP531" s="6" t="str">
        <x:v>19</x:v>
      </x:c>
      <x:c r="BQ531" s="6" t="str">
        <x:v>0.0</x:v>
      </x:c>
      <x:c r="BR531" s="6" t="str">
        <x:v>19</x:v>
      </x:c>
      <x:c r="BS531" s="6" t="str">
        <x:v>0.0</x:v>
      </x:c>
      <x:c r="BT531" s="6" t="str">
        <x:v>19</x:v>
      </x:c>
      <x:c r="BU531" s="6" t="str">
        <x:v>0.0</x:v>
      </x:c>
      <x:c r="BV531" s="6" t="str">
        <x:v>18</x:v>
      </x:c>
      <x:c r="BW531" s="9" t="str">
        <x:v>operational_snapshot_annual_totals_may_differ</x:v>
      </x:c>
      <x:c r="BX531" s="9" t="str">
        <x:v>official_live_dashboard_snapshot_subject_to_revision</x:v>
      </x:c>
      <x:c r="BY531" s="9" t="str">
        <x:v>https://tbdashboard.sitb.id/ss_data_tbc03so_2024_provinsi_bulanan_list.php</x:v>
      </x:c>
      <x:c r="BZ531" s="6" t="n">
        <x:v>46246.610671296294</x:v>
      </x:c>
    </x:row>
    <x:row r="532" ht="18" customHeight="1">
      <x:c r="A532" s="6" t="str">
        <x:v>64</x:v>
      </x:c>
      <x:c r="B532" s="6" t="str">
        <x:v>KALIMANTAN TIMUR</x:v>
      </x:c>
      <x:c r="C532" s="6" t="str">
        <x:v>2024</x:v>
      </x:c>
      <x:c r="D532" s="6" t="str">
        <x:v>3</x:v>
      </x:c>
      <x:c r="E532" s="6" t="str">
        <x:v>2024-03</x:v>
      </x:c>
      <x:c r="F532" s="6" t="str">
        <x:v>809</x:v>
      </x:c>
      <x:c r="G532" s="6" t="str">
        <x:v>172</x:v>
      </x:c>
      <x:c r="H532" s="6" t="str">
        <x:v>517</x:v>
      </x:c>
      <x:c r="I532" s="6" t="str">
        <x:v>68</x:v>
      </x:c>
      <x:c r="J532" s="6" t="str">
        <x:v>37</x:v>
      </x:c>
      <x:c r="K532" s="6" t="str">
        <x:v>1</x:v>
      </x:c>
      <x:c r="L532" s="6" t="str">
        <x:v>10</x:v>
      </x:c>
      <x:c r="M532" s="6" t="str">
        <x:v>4</x:v>
      </x:c>
      <x:c r="N532" s="6" t="str">
        <x:v>809</x:v>
      </x:c>
      <x:c r="O532" s="6" t="str">
        <x:v>0</x:v>
      </x:c>
      <x:c r="P532" s="10" t="n">
        <x:f>F532-M532</x:f>
        <x:v>805</x:v>
      </x:c>
      <x:c r="Q532" s="11" t="n">
        <x:f>IFERROR(M532/F532,"")</x:f>
        <x:v>0.004944375772558714</x:v>
      </x:c>
      <x:c r="R532" s="10" t="n">
        <x:f>G532+H532</x:f>
        <x:v>689</x:v>
      </x:c>
      <x:c r="S532" s="11" t="n">
        <x:f>IFERROR(R532/F532,"")</x:f>
        <x:v>0.8516687268232386</x:v>
      </x:c>
      <x:c r="T532" s="11" t="n">
        <x:f>IFERROR(R532/P532,"")</x:f>
        <x:v>0.8559006211180125</x:v>
      </x:c>
      <x:c r="U532" s="10" t="n">
        <x:f>I532+J532+K532</x:f>
        <x:v>106</x:v>
      </x:c>
      <x:c r="V532" s="11" t="n">
        <x:f>IFERROR(U532/P532,"")</x:f>
        <x:v>0.13167701863354037</x:v>
      </x:c>
      <x:c r="W532" s="9" t="str">
        <x:v>mature_le_5pct_pending</x:v>
      </x:c>
      <x:c r="X532" s="12" t="n">
        <x:f>IFERROR(F532/Z532*100000,"")</x:f>
        <x:v>19.99555105168195</x:v>
      </x:c>
      <x:c r="Y532" s="13" t="n">
        <x:f>LN(Z532)</x:f>
        <x:v>15.213214580635729</x:v>
      </x:c>
      <x:c r="Z532" s="6" t="str">
        <x:v>4045900</x:v>
      </x:c>
      <x:c r="AA532" s="6" t="str">
        <x:v>32.0</x:v>
      </x:c>
      <x:c r="AB532" s="9" t="str">
        <x:v>2024-06-30</x:v>
      </x:c>
      <x:c r="AC532" s="8" t="str">
        <x:v>91.65</x:v>
      </x:c>
      <x:c r="AD532" s="9" t="str">
        <x:v>2024 (Susenas)</x:v>
      </x:c>
      <x:c r="AE532" s="8" t="str">
        <x:v>5.78</x:v>
      </x:c>
      <x:c r="AF532" s="9" t="str">
        <x:v>Maret 2024 (Susenas)</x:v>
      </x:c>
      <x:c r="AG532" s="6" t="str">
        <x:v>25.879492743192028</x:v>
      </x:c>
      <x:c r="AH532" s="8" t="str">
        <x:v>90.8193347177026</x:v>
      </x:c>
      <x:c r="AI532" s="6" t="str">
        <x:v>278.7371201798801</x:v>
      </x:c>
      <x:c r="AJ532" s="6" t="str">
        <x:v>0.777587834821837</x:v>
      </x:c>
      <x:c r="AK532" s="8" t="str">
        <x:v>1.699546125981759</x:v>
      </x:c>
      <x:c r="AL532" s="6" t="str">
        <x:v>2.579027344440551</x:v>
      </x:c>
      <x:c r="AM532" s="6" t="str">
        <x:v>2.578806110431028</x:v>
      </x:c>
      <x:c r="AN532" s="6" t="str">
        <x:v>2.285793193617779</x:v>
      </x:c>
      <x:c r="AO532" s="6" t="str">
        <x:v>1.512714371752779</x:v>
      </x:c>
      <x:c r="AP532" s="8" t="str">
        <x:v>0.5169816100786301</x:v>
      </x:c>
      <x:c r="AQ532" s="6" t="str">
        <x:v>0.1164226681217897</x:v>
      </x:c>
      <x:c r="AR532" s="6" t="str">
        <x:v>0.3827302669760102</x:v>
      </x:c>
      <x:c r="AS532" s="6" t="str">
        <x:v>0.3387115150588106</x:v>
      </x:c>
      <x:c r="AT532" s="6" t="str">
        <x:v>47.78912047623104</x:v>
      </x:c>
      <x:c r="AU532" s="8" t="str">
        <x:v>0.7625014664816538</x:v>
      </x:c>
      <x:c r="AV532" s="6" t="str">
        <x:v>0.4891673036490643</x:v>
      </x:c>
      <x:c r="AW532" s="6" t="str">
        <x:v>0.732106051464793</x:v>
      </x:c>
      <x:c r="AX532" s="6" t="str">
        <x:v>0.6612582738651706</x:v>
      </x:c>
      <x:c r="AY532" s="6" t="str">
        <x:v>0</x:v>
      </x:c>
      <x:c r="AZ532" s="6" t="str">
        <x:v>1</x:v>
      </x:c>
      <x:c r="BA532" s="9" t="str">
        <x:v>grid_cells_within_BIG_polygon</x:v>
      </x:c>
      <x:c r="BB532" s="6" t="str">
        <x:v>33</x:v>
      </x:c>
      <x:c r="BC532" s="6" t="str">
        <x:v>29</x:v>
      </x:c>
      <x:c r="BD532" s="6" t="str">
        <x:v>29</x:v>
      </x:c>
      <x:c r="BE532" s="6" t="str">
        <x:v>2</x:v>
      </x:c>
      <x:c r="BF532" s="6" t="str">
        <x:v>0</x:v>
      </x:c>
      <x:c r="BG532" s="6" t="str">
        <x:v>0</x:v>
      </x:c>
      <x:c r="BH532" s="6" t="str">
        <x:v>0</x:v>
      </x:c>
      <x:c r="BI532" s="6" t="str">
        <x:v>27</x:v>
      </x:c>
      <x:c r="BJ532" s="6" t="str">
        <x:v>0</x:v>
      </x:c>
      <x:c r="BK532" s="6" t="str">
        <x:v>0</x:v>
      </x:c>
      <x:c r="BL532" s="6" t="str">
        <x:v>0</x:v>
      </x:c>
      <x:c r="BM532" s="6" t="str">
        <x:v>0</x:v>
      </x:c>
      <x:c r="BN532" s="6" t="str">
        <x:v>29</x:v>
      </x:c>
      <x:c r="BO532" s="6" t="str">
        <x:v>0.0</x:v>
      </x:c>
      <x:c r="BP532" s="6" t="str">
        <x:v>29</x:v>
      </x:c>
      <x:c r="BQ532" s="6" t="str">
        <x:v>0.0</x:v>
      </x:c>
      <x:c r="BR532" s="6" t="str">
        <x:v>29</x:v>
      </x:c>
      <x:c r="BS532" s="6" t="str">
        <x:v>2.0</x:v>
      </x:c>
      <x:c r="BT532" s="6" t="str">
        <x:v>29</x:v>
      </x:c>
      <x:c r="BU532" s="6" t="str">
        <x:v>62.0</x:v>
      </x:c>
      <x:c r="BV532" s="6" t="str">
        <x:v>29</x:v>
      </x:c>
      <x:c r="BW532" s="9" t="str">
        <x:v>operational_snapshot_annual_totals_may_differ</x:v>
      </x:c>
      <x:c r="BX532" s="9" t="str">
        <x:v>official_live_dashboard_snapshot_subject_to_revision</x:v>
      </x:c>
      <x:c r="BY532" s="9" t="str">
        <x:v>https://tbdashboard.sitb.id/ss_data_tbc03so_2024_provinsi_bulanan_list.php</x:v>
      </x:c>
      <x:c r="BZ532" s="6" t="n">
        <x:v>46246.610671296294</x:v>
      </x:c>
    </x:row>
    <x:row r="533" ht="18" customHeight="1">
      <x:c r="A533" s="6" t="str">
        <x:v>64</x:v>
      </x:c>
      <x:c r="B533" s="6" t="str">
        <x:v>KALIMANTAN TIMUR</x:v>
      </x:c>
      <x:c r="C533" s="6" t="str">
        <x:v>2024</x:v>
      </x:c>
      <x:c r="D533" s="6" t="str">
        <x:v>4</x:v>
      </x:c>
      <x:c r="E533" s="6" t="str">
        <x:v>2024-04</x:v>
      </x:c>
      <x:c r="F533" s="6" t="str">
        <x:v>697</x:v>
      </x:c>
      <x:c r="G533" s="6" t="str">
        <x:v>166</x:v>
      </x:c>
      <x:c r="H533" s="6" t="str">
        <x:v>422</x:v>
      </x:c>
      <x:c r="I533" s="6" t="str">
        <x:v>62</x:v>
      </x:c>
      <x:c r="J533" s="6" t="str">
        <x:v>29</x:v>
      </x:c>
      <x:c r="K533" s="6" t="str">
        <x:v>5</x:v>
      </x:c>
      <x:c r="L533" s="6" t="str">
        <x:v>6</x:v>
      </x:c>
      <x:c r="M533" s="6" t="str">
        <x:v>7</x:v>
      </x:c>
      <x:c r="N533" s="6" t="str">
        <x:v>697</x:v>
      </x:c>
      <x:c r="O533" s="6" t="str">
        <x:v>0</x:v>
      </x:c>
      <x:c r="P533" s="10" t="n">
        <x:f>F533-M533</x:f>
        <x:v>690</x:v>
      </x:c>
      <x:c r="Q533" s="11" t="n">
        <x:f>IFERROR(M533/F533,"")</x:f>
        <x:v>0.010043041606886656</x:v>
      </x:c>
      <x:c r="R533" s="10" t="n">
        <x:f>G533+H533</x:f>
        <x:v>588</x:v>
      </x:c>
      <x:c r="S533" s="11" t="n">
        <x:f>IFERROR(R533/F533,"")</x:f>
        <x:v>0.8436154949784792</x:v>
      </x:c>
      <x:c r="T533" s="11" t="n">
        <x:f>IFERROR(R533/P533,"")</x:f>
        <x:v>0.8521739130434782</x:v>
      </x:c>
      <x:c r="U533" s="10" t="n">
        <x:f>I533+J533+K533</x:f>
        <x:v>96</x:v>
      </x:c>
      <x:c r="V533" s="11" t="n">
        <x:f>IFERROR(U533/P533,"")</x:f>
        <x:v>0.1391304347826087</x:v>
      </x:c>
      <x:c r="W533" s="9" t="str">
        <x:v>mature_le_5pct_pending</x:v>
      </x:c>
      <x:c r="X533" s="12" t="n">
        <x:f>IFERROR(F533/Z533*100000,"")</x:f>
        <x:v>17.22731654267283</x:v>
      </x:c>
      <x:c r="Y533" s="13" t="n">
        <x:f>LN(Z533)</x:f>
        <x:v>15.213214580635729</x:v>
      </x:c>
      <x:c r="Z533" s="6" t="str">
        <x:v>4045900</x:v>
      </x:c>
      <x:c r="AA533" s="6" t="str">
        <x:v>32.0</x:v>
      </x:c>
      <x:c r="AB533" s="9" t="str">
        <x:v>2024-06-30</x:v>
      </x:c>
      <x:c r="AC533" s="8" t="str">
        <x:v>91.65</x:v>
      </x:c>
      <x:c r="AD533" s="9" t="str">
        <x:v>2024 (Susenas)</x:v>
      </x:c>
      <x:c r="AE533" s="8" t="str">
        <x:v>5.78</x:v>
      </x:c>
      <x:c r="AF533" s="9" t="str">
        <x:v>Maret 2024 (Susenas)</x:v>
      </x:c>
      <x:c r="AG533" s="6" t="str">
        <x:v>26.268586432398195</x:v>
      </x:c>
      <x:c r="AH533" s="8" t="str">
        <x:v>90.0065838890122</x:v>
      </x:c>
      <x:c r="AI533" s="6" t="str">
        <x:v>195.38829193758295</x:v>
      </x:c>
      <x:c r="AJ533" s="6" t="str">
        <x:v>0.906558523579438</x:v>
      </x:c>
      <x:c r="AK533" s="8" t="str">
        <x:v>2.1055692216513258</x:v>
      </x:c>
      <x:c r="AL533" s="6" t="str">
        <x:v>1.699546125981759</x:v>
      </x:c>
      <x:c r="AM533" s="6" t="str">
        <x:v>2.579027344440551</x:v>
      </x:c>
      <x:c r="AN533" s="6" t="str">
        <x:v>2.128047564024545</x:v>
      </x:c>
      <x:c r="AO533" s="6" t="str">
        <x:v>0.3208389110263283</x:v>
      </x:c>
      <x:c r="AP533" s="8" t="str">
        <x:v>0.1269484364599401</x:v>
      </x:c>
      <x:c r="AQ533" s="6" t="str">
        <x:v>0.5169816100786301</x:v>
      </x:c>
      <x:c r="AR533" s="6" t="str">
        <x:v>0.1164226681217897</x:v>
      </x:c>
      <x:c r="AS533" s="6" t="str">
        <x:v>0.2534509048867873</x:v>
      </x:c>
      <x:c r="AT533" s="6" t="str">
        <x:v>-27.95176320608041</x:v>
      </x:c>
      <x:c r="AU533" s="8" t="str">
        <x:v>-0.5759671239445369</x:v>
      </x:c>
      <x:c r="AV533" s="6" t="str">
        <x:v>0.7625014664816538</x:v>
      </x:c>
      <x:c r="AW533" s="6" t="str">
        <x:v>0.4891673036490643</x:v>
      </x:c>
      <x:c r="AX533" s="6" t="str">
        <x:v>0.2252338820620606</x:v>
      </x:c>
      <x:c r="AY533" s="6" t="str">
        <x:v>0</x:v>
      </x:c>
      <x:c r="AZ533" s="6" t="str">
        <x:v>1</x:v>
      </x:c>
      <x:c r="BA533" s="9" t="str">
        <x:v>grid_cells_within_BIG_polygon</x:v>
      </x:c>
      <x:c r="BB533" s="6" t="str">
        <x:v>33</x:v>
      </x:c>
      <x:c r="BC533" s="6" t="str">
        <x:v>38</x:v>
      </x:c>
      <x:c r="BD533" s="6" t="str">
        <x:v>38</x:v>
      </x:c>
      <x:c r="BE533" s="6" t="str">
        <x:v>0</x:v>
      </x:c>
      <x:c r="BF533" s="6" t="str">
        <x:v>0</x:v>
      </x:c>
      <x:c r="BG533" s="6" t="str">
        <x:v>0</x:v>
      </x:c>
      <x:c r="BH533" s="6" t="str">
        <x:v>0</x:v>
      </x:c>
      <x:c r="BI533" s="6" t="str">
        <x:v>38</x:v>
      </x:c>
      <x:c r="BJ533" s="6" t="str">
        <x:v>0</x:v>
      </x:c>
      <x:c r="BK533" s="6" t="str">
        <x:v>0</x:v>
      </x:c>
      <x:c r="BL533" s="6" t="str">
        <x:v>0</x:v>
      </x:c>
      <x:c r="BM533" s="6" t="str">
        <x:v>0</x:v>
      </x:c>
      <x:c r="BN533" s="6" t="str">
        <x:v>38</x:v>
      </x:c>
      <x:c r="BO533" s="6" t="str">
        <x:v>0.0</x:v>
      </x:c>
      <x:c r="BP533" s="6" t="str">
        <x:v>38</x:v>
      </x:c>
      <x:c r="BQ533" s="6" t="str">
        <x:v>0.0</x:v>
      </x:c>
      <x:c r="BR533" s="6" t="str">
        <x:v>38</x:v>
      </x:c>
      <x:c r="BS533" s="6" t="str">
        <x:v>0.0</x:v>
      </x:c>
      <x:c r="BT533" s="6" t="str">
        <x:v>38</x:v>
      </x:c>
      <x:c r="BU533" s="6" t="str">
        <x:v>0.0</x:v>
      </x:c>
      <x:c r="BV533" s="6" t="str">
        <x:v>35</x:v>
      </x:c>
      <x:c r="BW533" s="9" t="str">
        <x:v>operational_snapshot_annual_totals_may_differ</x:v>
      </x:c>
      <x:c r="BX533" s="9" t="str">
        <x:v>official_live_dashboard_snapshot_subject_to_revision</x:v>
      </x:c>
      <x:c r="BY533" s="9" t="str">
        <x:v>https://tbdashboard.sitb.id/ss_data_tbc03so_2024_provinsi_bulanan_list.php</x:v>
      </x:c>
      <x:c r="BZ533" s="6" t="n">
        <x:v>46246.610671296294</x:v>
      </x:c>
    </x:row>
    <x:row r="534" ht="18" customHeight="1">
      <x:c r="A534" s="6" t="str">
        <x:v>64</x:v>
      </x:c>
      <x:c r="B534" s="6" t="str">
        <x:v>KALIMANTAN TIMUR</x:v>
      </x:c>
      <x:c r="C534" s="6" t="str">
        <x:v>2024</x:v>
      </x:c>
      <x:c r="D534" s="6" t="str">
        <x:v>5</x:v>
      </x:c>
      <x:c r="E534" s="6" t="str">
        <x:v>2024-05</x:v>
      </x:c>
      <x:c r="F534" s="6" t="str">
        <x:v>821</x:v>
      </x:c>
      <x:c r="G534" s="6" t="str">
        <x:v>171</x:v>
      </x:c>
      <x:c r="H534" s="6" t="str">
        <x:v>531</x:v>
      </x:c>
      <x:c r="I534" s="6" t="str">
        <x:v>65</x:v>
      </x:c>
      <x:c r="J534" s="6" t="str">
        <x:v>35</x:v>
      </x:c>
      <x:c r="K534" s="6" t="str">
        <x:v>0</x:v>
      </x:c>
      <x:c r="L534" s="6" t="str">
        <x:v>10</x:v>
      </x:c>
      <x:c r="M534" s="6" t="str">
        <x:v>9</x:v>
      </x:c>
      <x:c r="N534" s="6" t="str">
        <x:v>821</x:v>
      </x:c>
      <x:c r="O534" s="6" t="str">
        <x:v>0</x:v>
      </x:c>
      <x:c r="P534" s="10" t="n">
        <x:f>F534-M534</x:f>
        <x:v>812</x:v>
      </x:c>
      <x:c r="Q534" s="11" t="n">
        <x:f>IFERROR(M534/F534,"")</x:f>
        <x:v>0.010962241169305725</x:v>
      </x:c>
      <x:c r="R534" s="10" t="n">
        <x:f>G534+H534</x:f>
        <x:v>702</x:v>
      </x:c>
      <x:c r="S534" s="11" t="n">
        <x:f>IFERROR(R534/F534,"")</x:f>
        <x:v>0.8550548112058465</x:v>
      </x:c>
      <x:c r="T534" s="11" t="n">
        <x:f>IFERROR(R534/P534,"")</x:f>
        <x:v>0.8645320197044335</x:v>
      </x:c>
      <x:c r="U534" s="10" t="n">
        <x:f>I534+J534+K534</x:f>
        <x:v>100</x:v>
      </x:c>
      <x:c r="V534" s="11" t="n">
        <x:f>IFERROR(U534/P534,"")</x:f>
        <x:v>0.12315270935960591</x:v>
      </x:c>
      <x:c r="W534" s="9" t="str">
        <x:v>mature_le_5pct_pending</x:v>
      </x:c>
      <x:c r="X534" s="12" t="n">
        <x:f>IFERROR(F534/Z534*100000,"")</x:f>
        <x:v>20.29214760621864</x:v>
      </x:c>
      <x:c r="Y534" s="13" t="n">
        <x:f>LN(Z534)</x:f>
        <x:v>15.213214580635729</x:v>
      </x:c>
      <x:c r="Z534" s="6" t="str">
        <x:v>4045900</x:v>
      </x:c>
      <x:c r="AA534" s="6" t="str">
        <x:v>32.0</x:v>
      </x:c>
      <x:c r="AB534" s="9" t="str">
        <x:v>2024-06-30</x:v>
      </x:c>
      <x:c r="AC534" s="8" t="str">
        <x:v>91.65</x:v>
      </x:c>
      <x:c r="AD534" s="9" t="str">
        <x:v>2024 (Susenas)</x:v>
      </x:c>
      <x:c r="AE534" s="8" t="str">
        <x:v>5.78</x:v>
      </x:c>
      <x:c r="AF534" s="9" t="str">
        <x:v>Maret 2024 (Susenas)</x:v>
      </x:c>
      <x:c r="AG534" s="6" t="str">
        <x:v>26.36250192049972</x:v>
      </x:c>
      <x:c r="AH534" s="8" t="str">
        <x:v>91.23059196149492</x:v>
      </x:c>
      <x:c r="AI534" s="6" t="str">
        <x:v>292.0863139114902</x:v>
      </x:c>
      <x:c r="AJ534" s="6" t="str">
        <x:v>0.9616269575108198</x:v>
      </x:c>
      <x:c r="AK534" s="8" t="str">
        <x:v>2.8372275481702727</x:v>
      </x:c>
      <x:c r="AL534" s="6" t="str">
        <x:v>2.1055692216513258</x:v>
      </x:c>
      <x:c r="AM534" s="6" t="str">
        <x:v>1.699546125981759</x:v>
      </x:c>
      <x:c r="AN534" s="6" t="str">
        <x:v>2.214114298601119</x:v>
      </x:c>
      <x:c r="AO534" s="6" t="str">
        <x:v>0.5269758620280669</x:v>
      </x:c>
      <x:c r="AP534" s="8" t="str">
        <x:v>0.6443865585639421</x:v>
      </x:c>
      <x:c r="AQ534" s="6" t="str">
        <x:v>0.1269484364599401</x:v>
      </x:c>
      <x:c r="AR534" s="6" t="str">
        <x:v>0.5169816100786301</x:v>
      </x:c>
      <x:c r="AS534" s="6" t="str">
        <x:v>0.4294388683675048</x:v>
      </x:c>
      <x:c r="AT534" s="6" t="str">
        <x:v>61.35525583205097</x:v>
      </x:c>
      <x:c r="AU534" s="8" t="str">
        <x:v>1.28727940612607</x:v>
      </x:c>
      <x:c r="AV534" s="6" t="str">
        <x:v>-0.5759671239445369</x:v>
      </x:c>
      <x:c r="AW534" s="6" t="str">
        <x:v>0.7625014664816538</x:v>
      </x:c>
      <x:c r="AX534" s="6" t="str">
        <x:v>0.4912712495543958</x:v>
      </x:c>
      <x:c r="AY534" s="6" t="str">
        <x:v>1</x:v>
      </x:c>
      <x:c r="AZ534" s="6" t="str">
        <x:v>1</x:v>
      </x:c>
      <x:c r="BA534" s="9" t="str">
        <x:v>grid_cells_within_BIG_polygon</x:v>
      </x:c>
      <x:c r="BB534" s="6" t="str">
        <x:v>33</x:v>
      </x:c>
      <x:c r="BC534" s="6" t="str">
        <x:v>38</x:v>
      </x:c>
      <x:c r="BD534" s="6" t="str">
        <x:v>38</x:v>
      </x:c>
      <x:c r="BE534" s="6" t="str">
        <x:v>37</x:v>
      </x:c>
      <x:c r="BF534" s="6" t="str">
        <x:v>0</x:v>
      </x:c>
      <x:c r="BG534" s="6" t="str">
        <x:v>0</x:v>
      </x:c>
      <x:c r="BH534" s="6" t="str">
        <x:v>0</x:v>
      </x:c>
      <x:c r="BI534" s="6" t="str">
        <x:v>1</x:v>
      </x:c>
      <x:c r="BJ534" s="6" t="str">
        <x:v>0</x:v>
      </x:c>
      <x:c r="BK534" s="6" t="str">
        <x:v>0</x:v>
      </x:c>
      <x:c r="BL534" s="6" t="str">
        <x:v>0</x:v>
      </x:c>
      <x:c r="BM534" s="6" t="str">
        <x:v>0</x:v>
      </x:c>
      <x:c r="BN534" s="6" t="str">
        <x:v>38</x:v>
      </x:c>
      <x:c r="BO534" s="6" t="str">
        <x:v>0.0</x:v>
      </x:c>
      <x:c r="BP534" s="6" t="str">
        <x:v>38</x:v>
      </x:c>
      <x:c r="BQ534" s="6" t="str">
        <x:v>0.0</x:v>
      </x:c>
      <x:c r="BR534" s="6" t="str">
        <x:v>38</x:v>
      </x:c>
      <x:c r="BS534" s="6" t="str">
        <x:v>97.0</x:v>
      </x:c>
      <x:c r="BT534" s="6" t="str">
        <x:v>38</x:v>
      </x:c>
      <x:c r="BU534" s="6" t="str">
        <x:v>9795.0</x:v>
      </x:c>
      <x:c r="BV534" s="6" t="str">
        <x:v>38</x:v>
      </x:c>
      <x:c r="BW534" s="9" t="str">
        <x:v>operational_snapshot_annual_totals_may_differ</x:v>
      </x:c>
      <x:c r="BX534" s="9" t="str">
        <x:v>official_live_dashboard_snapshot_subject_to_revision</x:v>
      </x:c>
      <x:c r="BY534" s="9" t="str">
        <x:v>https://tbdashboard.sitb.id/ss_data_tbc03so_2024_provinsi_bulanan_list.php</x:v>
      </x:c>
      <x:c r="BZ534" s="6" t="n">
        <x:v>46246.610671296294</x:v>
      </x:c>
    </x:row>
    <x:row r="535" ht="18" customHeight="1">
      <x:c r="A535" s="6" t="str">
        <x:v>64</x:v>
      </x:c>
      <x:c r="B535" s="6" t="str">
        <x:v>KALIMANTAN TIMUR</x:v>
      </x:c>
      <x:c r="C535" s="6" t="str">
        <x:v>2024</x:v>
      </x:c>
      <x:c r="D535" s="6" t="str">
        <x:v>6</x:v>
      </x:c>
      <x:c r="E535" s="6" t="str">
        <x:v>2024-06</x:v>
      </x:c>
      <x:c r="F535" s="6" t="str">
        <x:v>791</x:v>
      </x:c>
      <x:c r="G535" s="6" t="str">
        <x:v>182</x:v>
      </x:c>
      <x:c r="H535" s="6" t="str">
        <x:v>489</x:v>
      </x:c>
      <x:c r="I535" s="6" t="str">
        <x:v>73</x:v>
      </x:c>
      <x:c r="J535" s="6" t="str">
        <x:v>33</x:v>
      </x:c>
      <x:c r="K535" s="6" t="str">
        <x:v>1</x:v>
      </x:c>
      <x:c r="L535" s="6" t="str">
        <x:v>10</x:v>
      </x:c>
      <x:c r="M535" s="6" t="str">
        <x:v>3</x:v>
      </x:c>
      <x:c r="N535" s="6" t="str">
        <x:v>791</x:v>
      </x:c>
      <x:c r="O535" s="6" t="str">
        <x:v>0</x:v>
      </x:c>
      <x:c r="P535" s="10" t="n">
        <x:f>F535-M535</x:f>
        <x:v>788</x:v>
      </x:c>
      <x:c r="Q535" s="11" t="n">
        <x:f>IFERROR(M535/F535,"")</x:f>
        <x:v>0.0037926675094816687</x:v>
      </x:c>
      <x:c r="R535" s="10" t="n">
        <x:f>G535+H535</x:f>
        <x:v>671</x:v>
      </x:c>
      <x:c r="S535" s="11" t="n">
        <x:f>IFERROR(R535/F535,"")</x:f>
        <x:v>0.8482932996207333</x:v>
      </x:c>
      <x:c r="T535" s="11" t="n">
        <x:f>IFERROR(R535/P535,"")</x:f>
        <x:v>0.8515228426395939</x:v>
      </x:c>
      <x:c r="U535" s="10" t="n">
        <x:f>I535+J535+K535</x:f>
        <x:v>107</x:v>
      </x:c>
      <x:c r="V535" s="11" t="n">
        <x:f>IFERROR(U535/P535,"")</x:f>
        <x:v>0.13578680203045684</x:v>
      </x:c>
      <x:c r="W535" s="9" t="str">
        <x:v>mature_le_5pct_pending</x:v>
      </x:c>
      <x:c r="X535" s="12" t="n">
        <x:f>IFERROR(F535/Z535*100000,"")</x:f>
        <x:v>19.550656219876913</x:v>
      </x:c>
      <x:c r="Y535" s="13" t="n">
        <x:f>LN(Z535)</x:f>
        <x:v>15.213214580635729</x:v>
      </x:c>
      <x:c r="Z535" s="6" t="str">
        <x:v>4045900</x:v>
      </x:c>
      <x:c r="AA535" s="6" t="str">
        <x:v>32.0</x:v>
      </x:c>
      <x:c r="AB535" s="9" t="str">
        <x:v>2024-06-30</x:v>
      </x:c>
      <x:c r="AC535" s="8" t="str">
        <x:v>91.65</x:v>
      </x:c>
      <x:c r="AD535" s="9" t="str">
        <x:v>2024 (Susenas)</x:v>
      </x:c>
      <x:c r="AE535" s="8" t="str">
        <x:v>5.78</x:v>
      </x:c>
      <x:c r="AF535" s="9" t="str">
        <x:v>Maret 2024 (Susenas)</x:v>
      </x:c>
      <x:c r="AG535" s="6" t="str">
        <x:v>25.487052227016825</x:v>
      </x:c>
      <x:c r="AH535" s="8" t="str">
        <x:v>91.60631749837808</x:v>
      </x:c>
      <x:c r="AI535" s="6" t="str">
        <x:v>263.5294618787832</x:v>
      </x:c>
      <x:c r="AJ535" s="6" t="str">
        <x:v>0.5683102701746243</x:v>
      </x:c>
      <x:c r="AK535" s="8" t="str">
        <x:v>2.1107184750062413</x:v>
      </x:c>
      <x:c r="AL535" s="6" t="str">
        <x:v>2.8372275481702727</x:v>
      </x:c>
      <x:c r="AM535" s="6" t="str">
        <x:v>2.1055692216513258</x:v>
      </x:c>
      <x:c r="AN535" s="6" t="str">
        <x:v>2.3511717482759464</x:v>
      </x:c>
      <x:c r="AO535" s="6" t="str">
        <x:v>0.6929536748064891</x:v>
      </x:c>
      <x:c r="AP535" s="8" t="str">
        <x:v>0.7413635939088697</x:v>
      </x:c>
      <x:c r="AQ535" s="6" t="str">
        <x:v>0.6443865585639421</x:v>
      </x:c>
      <x:c r="AR535" s="6" t="str">
        <x:v>0.1269484364599401</x:v>
      </x:c>
      <x:c r="AS535" s="6" t="str">
        <x:v>0.5042328629775846</x:v>
      </x:c>
      <x:c r="AT535" s="6" t="str">
        <x:v>68.89024604616341</x:v>
      </x:c>
      <x:c r="AU535" s="8" t="str">
        <x:v>1.2260450080761809</x:v>
      </x:c>
      <x:c r="AV535" s="6" t="str">
        <x:v>1.28727940612607</x:v>
      </x:c>
      <x:c r="AW535" s="6" t="str">
        <x:v>-0.5759671239445369</x:v>
      </x:c>
      <x:c r="AX535" s="6" t="str">
        <x:v>0.645785763419238</x:v>
      </x:c>
      <x:c r="AY535" s="6" t="str">
        <x:v>1</x:v>
      </x:c>
      <x:c r="AZ535" s="6" t="str">
        <x:v>1</x:v>
      </x:c>
      <x:c r="BA535" s="9" t="str">
        <x:v>grid_cells_within_BIG_polygon</x:v>
      </x:c>
      <x:c r="BB535" s="6" t="str">
        <x:v>33</x:v>
      </x:c>
      <x:c r="BC535" s="6" t="str">
        <x:v>6</x:v>
      </x:c>
      <x:c r="BD535" s="6" t="str">
        <x:v>6</x:v>
      </x:c>
      <x:c r="BE535" s="6" t="str">
        <x:v>6</x:v>
      </x:c>
      <x:c r="BF535" s="6" t="str">
        <x:v>0</x:v>
      </x:c>
      <x:c r="BG535" s="6" t="str">
        <x:v>0</x:v>
      </x:c>
      <x:c r="BH535" s="6" t="str">
        <x:v>0</x:v>
      </x:c>
      <x:c r="BI535" s="6" t="str">
        <x:v>0</x:v>
      </x:c>
      <x:c r="BJ535" s="6" t="str">
        <x:v>0</x:v>
      </x:c>
      <x:c r="BK535" s="6" t="str">
        <x:v>0</x:v>
      </x:c>
      <x:c r="BL535" s="6" t="str">
        <x:v>0</x:v>
      </x:c>
      <x:c r="BM535" s="6" t="str">
        <x:v>0</x:v>
      </x:c>
      <x:c r="BN535" s="6" t="str">
        <x:v>6</x:v>
      </x:c>
      <x:c r="BO535" s="6" t="str">
        <x:v>0.0</x:v>
      </x:c>
      <x:c r="BP535" s="6" t="str">
        <x:v>6</x:v>
      </x:c>
      <x:c r="BQ535" s="6" t="str">
        <x:v>0.0</x:v>
      </x:c>
      <x:c r="BR535" s="6" t="str">
        <x:v>6</x:v>
      </x:c>
      <x:c r="BS535" s="6" t="str">
        <x:v>0.0</x:v>
      </x:c>
      <x:c r="BT535" s="6" t="str">
        <x:v>6</x:v>
      </x:c>
      <x:c r="BU535" s="6" t="str">
        <x:v>243.0</x:v>
      </x:c>
      <x:c r="BV535" s="6" t="str">
        <x:v>6</x:v>
      </x:c>
      <x:c r="BW535" s="9" t="str">
        <x:v>operational_snapshot_annual_totals_may_differ</x:v>
      </x:c>
      <x:c r="BX535" s="9" t="str">
        <x:v>official_live_dashboard_snapshot_subject_to_revision</x:v>
      </x:c>
      <x:c r="BY535" s="9" t="str">
        <x:v>https://tbdashboard.sitb.id/ss_data_tbc03so_2024_provinsi_bulanan_list.php</x:v>
      </x:c>
      <x:c r="BZ535" s="6" t="n">
        <x:v>46246.610671296294</x:v>
      </x:c>
    </x:row>
    <x:row r="536" ht="18" customHeight="1">
      <x:c r="A536" s="6" t="str">
        <x:v>64</x:v>
      </x:c>
      <x:c r="B536" s="6" t="str">
        <x:v>KALIMANTAN TIMUR</x:v>
      </x:c>
      <x:c r="C536" s="6" t="str">
        <x:v>2024</x:v>
      </x:c>
      <x:c r="D536" s="6" t="str">
        <x:v>7</x:v>
      </x:c>
      <x:c r="E536" s="6" t="str">
        <x:v>2024-07</x:v>
      </x:c>
      <x:c r="F536" s="6" t="str">
        <x:v>931</x:v>
      </x:c>
      <x:c r="G536" s="6" t="str">
        <x:v>186</x:v>
      </x:c>
      <x:c r="H536" s="6" t="str">
        <x:v>610</x:v>
      </x:c>
      <x:c r="I536" s="6" t="str">
        <x:v>85</x:v>
      </x:c>
      <x:c r="J536" s="6" t="str">
        <x:v>31</x:v>
      </x:c>
      <x:c r="K536" s="6" t="str">
        <x:v>3</x:v>
      </x:c>
      <x:c r="L536" s="6" t="str">
        <x:v>12</x:v>
      </x:c>
      <x:c r="M536" s="6" t="str">
        <x:v>4</x:v>
      </x:c>
      <x:c r="N536" s="6" t="str">
        <x:v>931</x:v>
      </x:c>
      <x:c r="O536" s="6" t="str">
        <x:v>0</x:v>
      </x:c>
      <x:c r="P536" s="10" t="n">
        <x:f>F536-M536</x:f>
        <x:v>927</x:v>
      </x:c>
      <x:c r="Q536" s="11" t="n">
        <x:f>IFERROR(M536/F536,"")</x:f>
        <x:v>0.004296455424274973</x:v>
      </x:c>
      <x:c r="R536" s="10" t="n">
        <x:f>G536+H536</x:f>
        <x:v>796</x:v>
      </x:c>
      <x:c r="S536" s="11" t="n">
        <x:f>IFERROR(R536/F536,"")</x:f>
        <x:v>0.8549946294307197</x:v>
      </x:c>
      <x:c r="T536" s="11" t="n">
        <x:f>IFERROR(R536/P536,"")</x:f>
        <x:v>0.8586839266450917</x:v>
      </x:c>
      <x:c r="U536" s="10" t="n">
        <x:f>I536+J536+K536</x:f>
        <x:v>119</x:v>
      </x:c>
      <x:c r="V536" s="11" t="n">
        <x:f>IFERROR(U536/P536,"")</x:f>
        <x:v>0.12837108953613807</x:v>
      </x:c>
      <x:c r="W536" s="9" t="str">
        <x:v>mature_le_5pct_pending</x:v>
      </x:c>
      <x:c r="X536" s="12" t="n">
        <x:f>IFERROR(F536/Z536*100000,"")</x:f>
        <x:v>23.010949356138312</x:v>
      </x:c>
      <x:c r="Y536" s="13" t="n">
        <x:f>LN(Z536)</x:f>
        <x:v>15.213214580635729</x:v>
      </x:c>
      <x:c r="Z536" s="6" t="str">
        <x:v>4045900</x:v>
      </x:c>
      <x:c r="AA536" s="6" t="str">
        <x:v>32.0</x:v>
      </x:c>
      <x:c r="AB536" s="9" t="str">
        <x:v>2024-06-30</x:v>
      </x:c>
      <x:c r="AC536" s="8" t="str">
        <x:v>91.65</x:v>
      </x:c>
      <x:c r="AD536" s="9" t="str">
        <x:v>2024 (Susenas)</x:v>
      </x:c>
      <x:c r="AE536" s="8" t="str">
        <x:v>5.78</x:v>
      </x:c>
      <x:c r="AF536" s="9" t="str">
        <x:v>Maret 2024 (Susenas)</x:v>
      </x:c>
      <x:c r="AG536" s="6" t="str">
        <x:v>25.2797770105447</x:v>
      </x:c>
      <x:c r="AH536" s="8" t="str">
        <x:v>91.10056292740542</x:v>
      </x:c>
      <x:c r="AI536" s="6" t="str">
        <x:v>155.385124465078</x:v>
      </x:c>
      <x:c r="AJ536" s="6" t="str">
        <x:v>0.7145236707873295</x:v>
      </x:c>
      <x:c r="AK536" s="8" t="str">
        <x:v>2.539276457859643</x:v>
      </x:c>
      <x:c r="AL536" s="6" t="str">
        <x:v>2.1107184750062413</x:v>
      </x:c>
      <x:c r="AM536" s="6" t="str">
        <x:v>2.8372275481702727</x:v>
      </x:c>
      <x:c r="AN536" s="6" t="str">
        <x:v>2.495740827012052</x:v>
      </x:c>
      <x:c r="AO536" s="6" t="str">
        <x:v>0.8300401191734608</x:v>
      </x:c>
      <x:c r="AP536" s="8" t="str">
        <x:v>0.7224600973721496</x:v>
      </x:c>
      <x:c r="AQ536" s="6" t="str">
        <x:v>0.7413635939088697</x:v>
      </x:c>
      <x:c r="AR536" s="6" t="str">
        <x:v>0.6443865585639421</x:v>
      </x:c>
      <x:c r="AS536" s="6" t="str">
        <x:v>0.7027367499483211</x:v>
      </x:c>
      <x:c r="AT536" s="6" t="str">
        <x:v>-2.232111903680192</x:v>
      </x:c>
      <x:c r="AU536" s="8" t="str">
        <x:v>-0.0350884782854331</x:v>
      </x:c>
      <x:c r="AV536" s="6" t="str">
        <x:v>1.2260450080761809</x:v>
      </x:c>
      <x:c r="AW536" s="6" t="str">
        <x:v>1.28727940612607</x:v>
      </x:c>
      <x:c r="AX536" s="6" t="str">
        <x:v>0.826078645305606</x:v>
      </x:c>
      <x:c r="AY536" s="6" t="str">
        <x:v>0</x:v>
      </x:c>
      <x:c r="AZ536" s="6" t="str">
        <x:v>1</x:v>
      </x:c>
      <x:c r="BA536" s="9" t="str">
        <x:v>grid_cells_within_BIG_polygon</x:v>
      </x:c>
      <x:c r="BB536" s="6" t="str">
        <x:v>33</x:v>
      </x:c>
      <x:c r="BC536" s="6" t="str">
        <x:v>13</x:v>
      </x:c>
      <x:c r="BD536" s="6" t="str">
        <x:v>13</x:v>
      </x:c>
      <x:c r="BE536" s="6" t="str">
        <x:v>9</x:v>
      </x:c>
      <x:c r="BF536" s="6" t="str">
        <x:v>2</x:v>
      </x:c>
      <x:c r="BG536" s="6" t="str">
        <x:v>0</x:v>
      </x:c>
      <x:c r="BH536" s="6" t="str">
        <x:v>0</x:v>
      </x:c>
      <x:c r="BI536" s="6" t="str">
        <x:v>2</x:v>
      </x:c>
      <x:c r="BJ536" s="6" t="str">
        <x:v>0</x:v>
      </x:c>
      <x:c r="BK536" s="6" t="str">
        <x:v>0</x:v>
      </x:c>
      <x:c r="BL536" s="6" t="str">
        <x:v>0</x:v>
      </x:c>
      <x:c r="BM536" s="6" t="str">
        <x:v>0</x:v>
      </x:c>
      <x:c r="BN536" s="6" t="str">
        <x:v>13</x:v>
      </x:c>
      <x:c r="BO536" s="6" t="str">
        <x:v>0.0</x:v>
      </x:c>
      <x:c r="BP536" s="6" t="str">
        <x:v>13</x:v>
      </x:c>
      <x:c r="BQ536" s="6" t="str">
        <x:v>0.0</x:v>
      </x:c>
      <x:c r="BR536" s="6" t="str">
        <x:v>13</x:v>
      </x:c>
      <x:c r="BS536" s="6" t="str">
        <x:v>21.0</x:v>
      </x:c>
      <x:c r="BT536" s="6" t="str">
        <x:v>13</x:v>
      </x:c>
      <x:c r="BU536" s="6" t="str">
        <x:v>447.0</x:v>
      </x:c>
      <x:c r="BV536" s="6" t="str">
        <x:v>13</x:v>
      </x:c>
      <x:c r="BW536" s="9" t="str">
        <x:v>operational_snapshot_annual_totals_may_differ</x:v>
      </x:c>
      <x:c r="BX536" s="9" t="str">
        <x:v>official_live_dashboard_snapshot_subject_to_revision</x:v>
      </x:c>
      <x:c r="BY536" s="9" t="str">
        <x:v>https://tbdashboard.sitb.id/ss_data_tbc03so_2024_provinsi_bulanan_list.php</x:v>
      </x:c>
      <x:c r="BZ536" s="6" t="n">
        <x:v>46246.610671296294</x:v>
      </x:c>
    </x:row>
    <x:row r="537" ht="18" customHeight="1">
      <x:c r="A537" s="6" t="str">
        <x:v>64</x:v>
      </x:c>
      <x:c r="B537" s="6" t="str">
        <x:v>KALIMANTAN TIMUR</x:v>
      </x:c>
      <x:c r="C537" s="6" t="str">
        <x:v>2024</x:v>
      </x:c>
      <x:c r="D537" s="6" t="str">
        <x:v>8</x:v>
      </x:c>
      <x:c r="E537" s="6" t="str">
        <x:v>2024-08</x:v>
      </x:c>
      <x:c r="F537" s="6" t="str">
        <x:v>922</x:v>
      </x:c>
      <x:c r="G537" s="6" t="str">
        <x:v>224</x:v>
      </x:c>
      <x:c r="H537" s="6" t="str">
        <x:v>551</x:v>
      </x:c>
      <x:c r="I537" s="6" t="str">
        <x:v>80</x:v>
      </x:c>
      <x:c r="J537" s="6" t="str">
        <x:v>40</x:v>
      </x:c>
      <x:c r="K537" s="6" t="str">
        <x:v>4</x:v>
      </x:c>
      <x:c r="L537" s="6" t="str">
        <x:v>11</x:v>
      </x:c>
      <x:c r="M537" s="6" t="str">
        <x:v>12</x:v>
      </x:c>
      <x:c r="N537" s="6" t="str">
        <x:v>922</x:v>
      </x:c>
      <x:c r="O537" s="6" t="str">
        <x:v>0</x:v>
      </x:c>
      <x:c r="P537" s="10" t="n">
        <x:f>F537-M537</x:f>
        <x:v>910</x:v>
      </x:c>
      <x:c r="Q537" s="11" t="n">
        <x:f>IFERROR(M537/F537,"")</x:f>
        <x:v>0.013015184381778741</x:v>
      </x:c>
      <x:c r="R537" s="10" t="n">
        <x:f>G537+H537</x:f>
        <x:v>775</x:v>
      </x:c>
      <x:c r="S537" s="11" t="n">
        <x:f>IFERROR(R537/F537,"")</x:f>
        <x:v>0.8405639913232104</x:v>
      </x:c>
      <x:c r="T537" s="11" t="n">
        <x:f>IFERROR(R537/P537,"")</x:f>
        <x:v>0.8516483516483516</x:v>
      </x:c>
      <x:c r="U537" s="10" t="n">
        <x:f>I537+J537+K537</x:f>
        <x:v>124</x:v>
      </x:c>
      <x:c r="V537" s="11" t="n">
        <x:f>IFERROR(U537/P537,"")</x:f>
        <x:v>0.13626373626373625</x:v>
      </x:c>
      <x:c r="W537" s="9" t="str">
        <x:v>mature_le_5pct_pending</x:v>
      </x:c>
      <x:c r="X537" s="12" t="n">
        <x:f>IFERROR(F537/Z537*100000,"")</x:f>
        <x:v>22.788501940235793</x:v>
      </x:c>
      <x:c r="Y537" s="13" t="n">
        <x:f>LN(Z537)</x:f>
        <x:v>15.213214580635729</x:v>
      </x:c>
      <x:c r="Z537" s="6" t="str">
        <x:v>4045900</x:v>
      </x:c>
      <x:c r="AA537" s="6" t="str">
        <x:v>32.0</x:v>
      </x:c>
      <x:c r="AB537" s="9" t="str">
        <x:v>2024-06-30</x:v>
      </x:c>
      <x:c r="AC537" s="8" t="str">
        <x:v>91.65</x:v>
      </x:c>
      <x:c r="AD537" s="9" t="str">
        <x:v>2024 (Susenas)</x:v>
      </x:c>
      <x:c r="AE537" s="8" t="str">
        <x:v>5.78</x:v>
      </x:c>
      <x:c r="AF537" s="9" t="str">
        <x:v>Maret 2024 (Susenas)</x:v>
      </x:c>
      <x:c r="AG537" s="6" t="str">
        <x:v>25.31068470603068</x:v>
      </x:c>
      <x:c r="AH537" s="8" t="str">
        <x:v>91.09211009113858</x:v>
      </x:c>
      <x:c r="AI537" s="6" t="str">
        <x:v>247.06135584342144</x:v>
      </x:c>
      <x:c r="AJ537" s="6" t="str">
        <x:v>0.6397552062874361</x:v>
      </x:c>
      <x:c r="AK537" s="8" t="str">
        <x:v>2.3682376689037463</x:v>
      </x:c>
      <x:c r="AL537" s="6" t="str">
        <x:v>2.539276457859643</x:v>
      </x:c>
      <x:c r="AM537" s="6" t="str">
        <x:v>2.1107184750062413</x:v>
      </x:c>
      <x:c r="AN537" s="6" t="str">
        <x:v>2.3394108672565435</x:v>
      </x:c>
      <x:c r="AO537" s="6" t="str">
        <x:v>2.004316652289006</x:v>
      </x:c>
      <x:c r="AP537" s="8" t="str">
        <x:v>1.1487029163186802</x:v>
      </x:c>
      <x:c r="AQ537" s="6" t="str">
        <x:v>0.7224600973721496</x:v>
      </x:c>
      <x:c r="AR537" s="6" t="str">
        <x:v>0.7413635939088697</x:v>
      </x:c>
      <x:c r="AS537" s="6" t="str">
        <x:v>0.8708422025332339</x:v>
      </x:c>
      <x:c r="AT537" s="6" t="str">
        <x:v>109.25545891311896</x:v>
      </x:c>
      <x:c r="AU537" s="8" t="str">
        <x:v>1.8390220670733703</x:v>
      </x:c>
      <x:c r="AV537" s="6" t="str">
        <x:v>-0.0350884782854331</x:v>
      </x:c>
      <x:c r="AW537" s="6" t="str">
        <x:v>1.2260450080761809</x:v>
      </x:c>
      <x:c r="AX537" s="6" t="str">
        <x:v>1.0099928656213728</x:v>
      </x:c>
      <x:c r="AY537" s="6" t="str">
        <x:v>1</x:v>
      </x:c>
      <x:c r="AZ537" s="6" t="str">
        <x:v>1</x:v>
      </x:c>
      <x:c r="BA537" s="9" t="str">
        <x:v>grid_cells_within_BIG_polygon</x:v>
      </x:c>
      <x:c r="BB537" s="6" t="str">
        <x:v>33</x:v>
      </x:c>
      <x:c r="BC537" s="6" t="str">
        <x:v>14</x:v>
      </x:c>
      <x:c r="BD537" s="6" t="str">
        <x:v>14</x:v>
      </x:c>
      <x:c r="BE537" s="6" t="str">
        <x:v>9</x:v>
      </x:c>
      <x:c r="BF537" s="6" t="str">
        <x:v>1</x:v>
      </x:c>
      <x:c r="BG537" s="6" t="str">
        <x:v>0</x:v>
      </x:c>
      <x:c r="BH537" s="6" t="str">
        <x:v>0</x:v>
      </x:c>
      <x:c r="BI537" s="6" t="str">
        <x:v>4</x:v>
      </x:c>
      <x:c r="BJ537" s="6" t="str">
        <x:v>0</x:v>
      </x:c>
      <x:c r="BK537" s="6" t="str">
        <x:v>0</x:v>
      </x:c>
      <x:c r="BL537" s="6" t="str">
        <x:v>0</x:v>
      </x:c>
      <x:c r="BM537" s="6" t="str">
        <x:v>0</x:v>
      </x:c>
      <x:c r="BN537" s="6" t="str">
        <x:v>14</x:v>
      </x:c>
      <x:c r="BO537" s="6" t="str">
        <x:v>1.0</x:v>
      </x:c>
      <x:c r="BP537" s="6" t="str">
        <x:v>14</x:v>
      </x:c>
      <x:c r="BQ537" s="6" t="str">
        <x:v>0.0</x:v>
      </x:c>
      <x:c r="BR537" s="6" t="str">
        <x:v>14</x:v>
      </x:c>
      <x:c r="BS537" s="6" t="str">
        <x:v>5.0</x:v>
      </x:c>
      <x:c r="BT537" s="6" t="str">
        <x:v>14</x:v>
      </x:c>
      <x:c r="BU537" s="6" t="str">
        <x:v>274.0</x:v>
      </x:c>
      <x:c r="BV537" s="6" t="str">
        <x:v>13</x:v>
      </x:c>
      <x:c r="BW537" s="9" t="str">
        <x:v>operational_snapshot_annual_totals_may_differ</x:v>
      </x:c>
      <x:c r="BX537" s="9" t="str">
        <x:v>official_live_dashboard_snapshot_subject_to_revision</x:v>
      </x:c>
      <x:c r="BY537" s="9" t="str">
        <x:v>https://tbdashboard.sitb.id/ss_data_tbc03so_2024_provinsi_bulanan_list.php</x:v>
      </x:c>
      <x:c r="BZ537" s="6" t="n">
        <x:v>46246.610671296294</x:v>
      </x:c>
    </x:row>
    <x:row r="538" ht="18" customHeight="1">
      <x:c r="A538" s="6" t="str">
        <x:v>64</x:v>
      </x:c>
      <x:c r="B538" s="6" t="str">
        <x:v>KALIMANTAN TIMUR</x:v>
      </x:c>
      <x:c r="C538" s="6" t="str">
        <x:v>2024</x:v>
      </x:c>
      <x:c r="D538" s="6" t="str">
        <x:v>9</x:v>
      </x:c>
      <x:c r="E538" s="6" t="str">
        <x:v>2024-09</x:v>
      </x:c>
      <x:c r="F538" s="6" t="str">
        <x:v>937</x:v>
      </x:c>
      <x:c r="G538" s="6" t="str">
        <x:v>194</x:v>
      </x:c>
      <x:c r="H538" s="6" t="str">
        <x:v>559</x:v>
      </x:c>
      <x:c r="I538" s="6" t="str">
        <x:v>97</x:v>
      </x:c>
      <x:c r="J538" s="6" t="str">
        <x:v>62</x:v>
      </x:c>
      <x:c r="K538" s="6" t="str">
        <x:v>3</x:v>
      </x:c>
      <x:c r="L538" s="6" t="str">
        <x:v>14</x:v>
      </x:c>
      <x:c r="M538" s="6" t="str">
        <x:v>8</x:v>
      </x:c>
      <x:c r="N538" s="6" t="str">
        <x:v>937</x:v>
      </x:c>
      <x:c r="O538" s="6" t="str">
        <x:v>0</x:v>
      </x:c>
      <x:c r="P538" s="10" t="n">
        <x:f>F538-M538</x:f>
        <x:v>929</x:v>
      </x:c>
      <x:c r="Q538" s="11" t="n">
        <x:f>IFERROR(M538/F538,"")</x:f>
        <x:v>0.008537886872998933</x:v>
      </x:c>
      <x:c r="R538" s="10" t="n">
        <x:f>G538+H538</x:f>
        <x:v>753</x:v>
      </x:c>
      <x:c r="S538" s="11" t="n">
        <x:f>IFERROR(R538/F538,"")</x:f>
        <x:v>0.8036286019210246</x:v>
      </x:c>
      <x:c r="T538" s="11" t="n">
        <x:f>IFERROR(R538/P538,"")</x:f>
        <x:v>0.8105489773950484</x:v>
      </x:c>
      <x:c r="U538" s="10" t="n">
        <x:f>I538+J538+K538</x:f>
        <x:v>162</x:v>
      </x:c>
      <x:c r="V538" s="11" t="n">
        <x:f>IFERROR(U538/P538,"")</x:f>
        <x:v>0.1743810548977395</x:v>
      </x:c>
      <x:c r="W538" s="9" t="str">
        <x:v>mature_le_5pct_pending</x:v>
      </x:c>
      <x:c r="X538" s="12" t="n">
        <x:f>IFERROR(F538/Z538*100000,"")</x:f>
        <x:v>23.159247633406657</x:v>
      </x:c>
      <x:c r="Y538" s="13" t="n">
        <x:f>LN(Z538)</x:f>
        <x:v>15.213214580635729</x:v>
      </x:c>
      <x:c r="Z538" s="6" t="str">
        <x:v>4045900</x:v>
      </x:c>
      <x:c r="AA538" s="6" t="str">
        <x:v>32.0</x:v>
      </x:c>
      <x:c r="AB538" s="9" t="str">
        <x:v>2024-06-30</x:v>
      </x:c>
      <x:c r="AC538" s="8" t="str">
        <x:v>91.65</x:v>
      </x:c>
      <x:c r="AD538" s="9" t="str">
        <x:v>2024 (Susenas)</x:v>
      </x:c>
      <x:c r="AE538" s="8" t="str">
        <x:v>5.78</x:v>
      </x:c>
      <x:c r="AF538" s="9" t="str">
        <x:v>Maret 2024 (Susenas)</x:v>
      </x:c>
      <x:c r="AG538" s="6" t="str">
        <x:v>25.690985013403125</x:v>
      </x:c>
      <x:c r="AH538" s="8" t="str">
        <x:v>88.73636755679813</x:v>
      </x:c>
      <x:c r="AI538" s="6" t="str">
        <x:v>210.4543346437158</x:v>
      </x:c>
      <x:c r="AJ538" s="6" t="str">
        <x:v>0.7824557006572164</x:v>
      </x:c>
      <x:c r="AK538" s="8" t="str">
        <x:v>2.2127342285034968</x:v>
      </x:c>
      <x:c r="AL538" s="6" t="str">
        <x:v>2.3682376689037463</x:v>
      </x:c>
      <x:c r="AM538" s="6" t="str">
        <x:v>2.539276457859643</x:v>
      </x:c>
      <x:c r="AN538" s="6" t="str">
        <x:v>2.373416118422295</x:v>
      </x:c>
      <x:c r="AO538" s="6" t="str">
        <x:v>0.4460789820475952</x:v>
      </x:c>
      <x:c r="AP538" s="8" t="str">
        <x:v>0.1809845774596669</x:v>
      </x:c>
      <x:c r="AQ538" s="6" t="str">
        <x:v>1.1487029163186802</x:v>
      </x:c>
      <x:c r="AR538" s="6" t="str">
        <x:v>0.7224600973721496</x:v>
      </x:c>
      <x:c r="AS538" s="6" t="str">
        <x:v>0.6840491970501662</x:v>
      </x:c>
      <x:c r="AT538" s="6" t="str">
        <x:v>62.09949291635658</x:v>
      </x:c>
      <x:c r="AU538" s="8" t="str">
        <x:v>0.8980827245251533</x:v>
      </x:c>
      <x:c r="AV538" s="6" t="str">
        <x:v>1.8390220670733703</x:v>
      </x:c>
      <x:c r="AW538" s="6" t="str">
        <x:v>-0.0350884782854331</x:v>
      </x:c>
      <x:c r="AX538" s="6" t="str">
        <x:v>0.900672104437697</x:v>
      </x:c>
      <x:c r="AY538" s="6" t="str">
        <x:v>0</x:v>
      </x:c>
      <x:c r="AZ538" s="6" t="str">
        <x:v>1</x:v>
      </x:c>
      <x:c r="BA538" s="9" t="str">
        <x:v>grid_cells_within_BIG_polygon</x:v>
      </x:c>
      <x:c r="BB538" s="6" t="str">
        <x:v>33</x:v>
      </x:c>
      <x:c r="BC538" s="6" t="str">
        <x:v>24</x:v>
      </x:c>
      <x:c r="BD538" s="6" t="str">
        <x:v>24</x:v>
      </x:c>
      <x:c r="BE538" s="6" t="str">
        <x:v>1</x:v>
      </x:c>
      <x:c r="BF538" s="6" t="str">
        <x:v>0</x:v>
      </x:c>
      <x:c r="BG538" s="6" t="str">
        <x:v>1</x:v>
      </x:c>
      <x:c r="BH538" s="6" t="str">
        <x:v>0</x:v>
      </x:c>
      <x:c r="BI538" s="6" t="str">
        <x:v>21</x:v>
      </x:c>
      <x:c r="BJ538" s="6" t="str">
        <x:v>1</x:v>
      </x:c>
      <x:c r="BK538" s="6" t="str">
        <x:v>0</x:v>
      </x:c>
      <x:c r="BL538" s="6" t="str">
        <x:v>0</x:v>
      </x:c>
      <x:c r="BM538" s="6" t="str">
        <x:v>0</x:v>
      </x:c>
      <x:c r="BN538" s="6" t="str">
        <x:v>24</x:v>
      </x:c>
      <x:c r="BO538" s="6" t="str">
        <x:v>0.0</x:v>
      </x:c>
      <x:c r="BP538" s="6" t="str">
        <x:v>24</x:v>
      </x:c>
      <x:c r="BQ538" s="6" t="str">
        <x:v>1.0</x:v>
      </x:c>
      <x:c r="BR538" s="6" t="str">
        <x:v>24</x:v>
      </x:c>
      <x:c r="BS538" s="6" t="str">
        <x:v>31.0</x:v>
      </x:c>
      <x:c r="BT538" s="6" t="str">
        <x:v>24</x:v>
      </x:c>
      <x:c r="BU538" s="6" t="str">
        <x:v>512.0</x:v>
      </x:c>
      <x:c r="BV538" s="6" t="str">
        <x:v>24</x:v>
      </x:c>
      <x:c r="BW538" s="9" t="str">
        <x:v>operational_snapshot_annual_totals_may_differ</x:v>
      </x:c>
      <x:c r="BX538" s="9" t="str">
        <x:v>official_live_dashboard_snapshot_subject_to_revision</x:v>
      </x:c>
      <x:c r="BY538" s="9" t="str">
        <x:v>https://tbdashboard.sitb.id/ss_data_tbc03so_2024_provinsi_bulanan_list.php</x:v>
      </x:c>
      <x:c r="BZ538" s="6" t="n">
        <x:v>46246.610671296294</x:v>
      </x:c>
    </x:row>
    <x:row r="539" ht="18" customHeight="1">
      <x:c r="A539" s="6" t="str">
        <x:v>64</x:v>
      </x:c>
      <x:c r="B539" s="6" t="str">
        <x:v>KALIMANTAN TIMUR</x:v>
      </x:c>
      <x:c r="C539" s="6" t="str">
        <x:v>2024</x:v>
      </x:c>
      <x:c r="D539" s="6" t="str">
        <x:v>10</x:v>
      </x:c>
      <x:c r="E539" s="6" t="str">
        <x:v>2024-10</x:v>
      </x:c>
      <x:c r="F539" s="6" t="str">
        <x:v>1001</x:v>
      </x:c>
      <x:c r="G539" s="6" t="str">
        <x:v>209</x:v>
      </x:c>
      <x:c r="H539" s="6" t="str">
        <x:v>611</x:v>
      </x:c>
      <x:c r="I539" s="6" t="str">
        <x:v>98</x:v>
      </x:c>
      <x:c r="J539" s="6" t="str">
        <x:v>49</x:v>
      </x:c>
      <x:c r="K539" s="6" t="str">
        <x:v>6</x:v>
      </x:c>
      <x:c r="L539" s="6" t="str">
        <x:v>17</x:v>
      </x:c>
      <x:c r="M539" s="6" t="str">
        <x:v>11</x:v>
      </x:c>
      <x:c r="N539" s="6" t="str">
        <x:v>1001</x:v>
      </x:c>
      <x:c r="O539" s="6" t="str">
        <x:v>0</x:v>
      </x:c>
      <x:c r="P539" s="10" t="n">
        <x:f>F539-M539</x:f>
        <x:v>990</x:v>
      </x:c>
      <x:c r="Q539" s="11" t="n">
        <x:f>IFERROR(M539/F539,"")</x:f>
        <x:v>0.01098901098901099</x:v>
      </x:c>
      <x:c r="R539" s="10" t="n">
        <x:f>G539+H539</x:f>
        <x:v>820</x:v>
      </x:c>
      <x:c r="S539" s="11" t="n">
        <x:f>IFERROR(R539/F539,"")</x:f>
        <x:v>0.8191808191808192</x:v>
      </x:c>
      <x:c r="T539" s="11" t="n">
        <x:f>IFERROR(R539/P539,"")</x:f>
        <x:v>0.8282828282828283</x:v>
      </x:c>
      <x:c r="U539" s="10" t="n">
        <x:f>I539+J539+K539</x:f>
        <x:v>153</x:v>
      </x:c>
      <x:c r="V539" s="11" t="n">
        <x:f>IFERROR(U539/P539,"")</x:f>
        <x:v>0.15454545454545454</x:v>
      </x:c>
      <x:c r="W539" s="9" t="str">
        <x:v>mature_le_5pct_pending</x:v>
      </x:c>
      <x:c r="X539" s="12" t="n">
        <x:f>IFERROR(F539/Z539*100000,"")</x:f>
        <x:v>24.741095924269015</x:v>
      </x:c>
      <x:c r="Y539" s="13" t="n">
        <x:f>LN(Z539)</x:f>
        <x:v>15.213214580635729</x:v>
      </x:c>
      <x:c r="Z539" s="6" t="str">
        <x:v>4045900</x:v>
      </x:c>
      <x:c r="AA539" s="6" t="str">
        <x:v>32.0</x:v>
      </x:c>
      <x:c r="AB539" s="9" t="str">
        <x:v>2024-06-30</x:v>
      </x:c>
      <x:c r="AC539" s="8" t="str">
        <x:v>91.65</x:v>
      </x:c>
      <x:c r="AD539" s="9" t="str">
        <x:v>2024 (Susenas)</x:v>
      </x:c>
      <x:c r="AE539" s="8" t="str">
        <x:v>5.78</x:v>
      </x:c>
      <x:c r="AF539" s="9" t="str">
        <x:v>Maret 2024 (Susenas)</x:v>
      </x:c>
      <x:c r="AG539" s="6" t="str">
        <x:v>25.655536646966997</x:v>
      </x:c>
      <x:c r="AH539" s="8" t="str">
        <x:v>89.69818297127591</x:v>
      </x:c>
      <x:c r="AI539" s="6" t="str">
        <x:v>208.12330192451876</x:v>
      </x:c>
      <x:c r="AJ539" s="6" t="str">
        <x:v>0.4658404580348119</x:v>
      </x:c>
      <x:c r="AK539" s="8" t="str">
        <x:v>1.526837423925841</x:v>
      </x:c>
      <x:c r="AL539" s="6" t="str">
        <x:v>2.2127342285034968</x:v>
      </x:c>
      <x:c r="AM539" s="6" t="str">
        <x:v>2.3682376689037463</x:v>
      </x:c>
      <x:c r="AN539" s="6" t="str">
        <x:v>2.035936440444361</x:v>
      </x:c>
      <x:c r="AO539" s="6" t="str">
        <x:v>1.1931769399265306</x:v>
      </x:c>
      <x:c r="AP539" s="8" t="str">
        <x:v>0.4464633218133551</x:v>
      </x:c>
      <x:c r="AQ539" s="6" t="str">
        <x:v>0.1809845774596669</x:v>
      </x:c>
      <x:c r="AR539" s="6" t="str">
        <x:v>1.1487029163186802</x:v>
      </x:c>
      <x:c r="AS539" s="6" t="str">
        <x:v>0.5920502718639015</x:v>
      </x:c>
      <x:c r="AT539" s="6" t="str">
        <x:v>13.077400131313937</x:v>
      </x:c>
      <x:c r="AU539" s="8" t="str">
        <x:v>0.1854476899879527</x:v>
      </x:c>
      <x:c r="AV539" s="6" t="str">
        <x:v>0.8980827245251533</x:v>
      </x:c>
      <x:c r="AW539" s="6" t="str">
        <x:v>1.8390220670733703</x:v>
      </x:c>
      <x:c r="AX539" s="6" t="str">
        <x:v>0.9741841605288256</x:v>
      </x:c>
      <x:c r="AY539" s="6" t="str">
        <x:v>0</x:v>
      </x:c>
      <x:c r="AZ539" s="6" t="str">
        <x:v>1</x:v>
      </x:c>
      <x:c r="BA539" s="9" t="str">
        <x:v>grid_cells_within_BIG_polygon</x:v>
      </x:c>
      <x:c r="BB539" s="6" t="str">
        <x:v>33</x:v>
      </x:c>
      <x:c r="BC539" s="6" t="str">
        <x:v>20</x:v>
      </x:c>
      <x:c r="BD539" s="6" t="str">
        <x:v>20</x:v>
      </x:c>
      <x:c r="BE539" s="6" t="str">
        <x:v>6</x:v>
      </x:c>
      <x:c r="BF539" s="6" t="str">
        <x:v>0</x:v>
      </x:c>
      <x:c r="BG539" s="6" t="str">
        <x:v>1</x:v>
      </x:c>
      <x:c r="BH539" s="6" t="str">
        <x:v>0</x:v>
      </x:c>
      <x:c r="BI539" s="6" t="str">
        <x:v>13</x:v>
      </x:c>
      <x:c r="BJ539" s="6" t="str">
        <x:v>0</x:v>
      </x:c>
      <x:c r="BK539" s="6" t="str">
        <x:v>0</x:v>
      </x:c>
      <x:c r="BL539" s="6" t="str">
        <x:v>0</x:v>
      </x:c>
      <x:c r="BM539" s="6" t="str">
        <x:v>0</x:v>
      </x:c>
      <x:c r="BN539" s="6" t="str">
        <x:v>20</x:v>
      </x:c>
      <x:c r="BO539" s="6" t="str">
        <x:v>0.0</x:v>
      </x:c>
      <x:c r="BP539" s="6" t="str">
        <x:v>20</x:v>
      </x:c>
      <x:c r="BQ539" s="6" t="str">
        <x:v>0.0</x:v>
      </x:c>
      <x:c r="BR539" s="6" t="str">
        <x:v>20</x:v>
      </x:c>
      <x:c r="BS539" s="6" t="str">
        <x:v>22.0</x:v>
      </x:c>
      <x:c r="BT539" s="6" t="str">
        <x:v>20</x:v>
      </x:c>
      <x:c r="BU539" s="6" t="str">
        <x:v>176.0</x:v>
      </x:c>
      <x:c r="BV539" s="6" t="str">
        <x:v>19</x:v>
      </x:c>
      <x:c r="BW539" s="9" t="str">
        <x:v>operational_snapshot_annual_totals_may_differ</x:v>
      </x:c>
      <x:c r="BX539" s="9" t="str">
        <x:v>official_live_dashboard_snapshot_subject_to_revision</x:v>
      </x:c>
      <x:c r="BY539" s="9" t="str">
        <x:v>https://tbdashboard.sitb.id/ss_data_tbc03so_2024_provinsi_bulanan_list.php</x:v>
      </x:c>
      <x:c r="BZ539" s="6" t="n">
        <x:v>46246.610671296294</x:v>
      </x:c>
    </x:row>
    <x:row r="540" ht="18" customHeight="1">
      <x:c r="A540" s="6" t="str">
        <x:v>64</x:v>
      </x:c>
      <x:c r="B540" s="6" t="str">
        <x:v>KALIMANTAN TIMUR</x:v>
      </x:c>
      <x:c r="C540" s="6" t="str">
        <x:v>2024</x:v>
      </x:c>
      <x:c r="D540" s="6" t="str">
        <x:v>11</x:v>
      </x:c>
      <x:c r="E540" s="6" t="str">
        <x:v>2024-11</x:v>
      </x:c>
      <x:c r="F540" s="6" t="str">
        <x:v>905</x:v>
      </x:c>
      <x:c r="G540" s="6" t="str">
        <x:v>208</x:v>
      </x:c>
      <x:c r="H540" s="6" t="str">
        <x:v>540</x:v>
      </x:c>
      <x:c r="I540" s="6" t="str">
        <x:v>103</x:v>
      </x:c>
      <x:c r="J540" s="6" t="str">
        <x:v>41</x:v>
      </x:c>
      <x:c r="K540" s="6" t="str">
        <x:v>4</x:v>
      </x:c>
      <x:c r="L540" s="6" t="str">
        <x:v>6</x:v>
      </x:c>
      <x:c r="M540" s="6" t="str">
        <x:v>3</x:v>
      </x:c>
      <x:c r="N540" s="6" t="str">
        <x:v>905</x:v>
      </x:c>
      <x:c r="O540" s="6" t="str">
        <x:v>0</x:v>
      </x:c>
      <x:c r="P540" s="10" t="n">
        <x:f>F540-M540</x:f>
        <x:v>902</x:v>
      </x:c>
      <x:c r="Q540" s="11" t="n">
        <x:f>IFERROR(M540/F540,"")</x:f>
        <x:v>0.0033149171270718232</x:v>
      </x:c>
      <x:c r="R540" s="10" t="n">
        <x:f>G540+H540</x:f>
        <x:v>748</x:v>
      </x:c>
      <x:c r="S540" s="11" t="n">
        <x:f>IFERROR(R540/F540,"")</x:f>
        <x:v>0.8265193370165745</x:v>
      </x:c>
      <x:c r="T540" s="11" t="n">
        <x:f>IFERROR(R540/P540,"")</x:f>
        <x:v>0.8292682926829268</x:v>
      </x:c>
      <x:c r="U540" s="10" t="n">
        <x:f>I540+J540+K540</x:f>
        <x:v>148</x:v>
      </x:c>
      <x:c r="V540" s="11" t="n">
        <x:f>IFERROR(U540/P540,"")</x:f>
        <x:v>0.164079822616408</x:v>
      </x:c>
      <x:c r="W540" s="9" t="str">
        <x:v>mature_le_5pct_pending</x:v>
      </x:c>
      <x:c r="X540" s="12" t="n">
        <x:f>IFERROR(F540/Z540*100000,"")</x:f>
        <x:v>22.368323487975484</x:v>
      </x:c>
      <x:c r="Y540" s="13" t="n">
        <x:f>LN(Z540)</x:f>
        <x:v>15.213214580635729</x:v>
      </x:c>
      <x:c r="Z540" s="6" t="str">
        <x:v>4045900</x:v>
      </x:c>
      <x:c r="AA540" s="6" t="str">
        <x:v>32.0</x:v>
      </x:c>
      <x:c r="AB540" s="9" t="str">
        <x:v>2024-06-30</x:v>
      </x:c>
      <x:c r="AC540" s="8" t="str">
        <x:v>91.65</x:v>
      </x:c>
      <x:c r="AD540" s="9" t="str">
        <x:v>2024 (Susenas)</x:v>
      </x:c>
      <x:c r="AE540" s="8" t="str">
        <x:v>5.78</x:v>
      </x:c>
      <x:c r="AF540" s="9" t="str">
        <x:v>Maret 2024 (Susenas)</x:v>
      </x:c>
      <x:c r="AG540" s="6" t="str">
        <x:v>25.77887893890131</x:v>
      </x:c>
      <x:c r="AH540" s="8" t="str">
        <x:v>90.15119107558202</x:v>
      </x:c>
      <x:c r="AI540" s="6" t="str">
        <x:v>249.69039923655987</x:v>
      </x:c>
      <x:c r="AJ540" s="6" t="str">
        <x:v>0.5904641788386122</x:v>
      </x:c>
      <x:c r="AK540" s="8" t="str">
        <x:v>2.4388400174133307</x:v>
      </x:c>
      <x:c r="AL540" s="6" t="str">
        <x:v>1.526837423925841</x:v>
      </x:c>
      <x:c r="AM540" s="6" t="str">
        <x:v>2.2127342285034968</x:v>
      </x:c>
      <x:c r="AN540" s="6" t="str">
        <x:v>2.0594705566142224</x:v>
      </x:c>
      <x:c r="AO540" s="6" t="str">
        <x:v>0.4802552156825754</x:v>
      </x:c>
      <x:c r="AP540" s="8" t="str">
        <x:v>0.3296050596811074</x:v>
      </x:c>
      <x:c r="AQ540" s="6" t="str">
        <x:v>0.4464633218133551</x:v>
      </x:c>
      <x:c r="AR540" s="6" t="str">
        <x:v>0.1809845774596669</x:v>
      </x:c>
      <x:c r="AS540" s="6" t="str">
        <x:v>0.3190176529847104</x:v>
      </x:c>
      <x:c r="AT540" s="6" t="str">
        <x:v>12.604526245535595</x:v>
      </x:c>
      <x:c r="AU540" s="8" t="str">
        <x:v>0.2206739299229409</x:v>
      </x:c>
      <x:c r="AV540" s="6" t="str">
        <x:v>0.1854476899879527</x:v>
      </x:c>
      <x:c r="AW540" s="6" t="str">
        <x:v>0.8980827245251533</x:v>
      </x:c>
      <x:c r="AX540" s="6" t="str">
        <x:v>0.4347347814786824</x:v>
      </x:c>
      <x:c r="AY540" s="6" t="str">
        <x:v>0</x:v>
      </x:c>
      <x:c r="AZ540" s="6" t="str">
        <x:v>1</x:v>
      </x:c>
      <x:c r="BA540" s="9" t="str">
        <x:v>grid_cells_within_BIG_polygon</x:v>
      </x:c>
      <x:c r="BB540" s="6" t="str">
        <x:v>33</x:v>
      </x:c>
      <x:c r="BC540" s="6" t="str">
        <x:v>10</x:v>
      </x:c>
      <x:c r="BD540" s="6" t="str">
        <x:v>10</x:v>
      </x:c>
      <x:c r="BE540" s="6" t="str">
        <x:v>9</x:v>
      </x:c>
      <x:c r="BF540" s="6" t="str">
        <x:v>0</x:v>
      </x:c>
      <x:c r="BG540" s="6" t="str">
        <x:v>0</x:v>
      </x:c>
      <x:c r="BH540" s="6" t="str">
        <x:v>0</x:v>
      </x:c>
      <x:c r="BI540" s="6" t="str">
        <x:v>1</x:v>
      </x:c>
      <x:c r="BJ540" s="6" t="str">
        <x:v>0</x:v>
      </x:c>
      <x:c r="BK540" s="6" t="str">
        <x:v>0</x:v>
      </x:c>
      <x:c r="BL540" s="6" t="str">
        <x:v>0</x:v>
      </x:c>
      <x:c r="BM540" s="6" t="str">
        <x:v>0</x:v>
      </x:c>
      <x:c r="BN540" s="6" t="str">
        <x:v>10</x:v>
      </x:c>
      <x:c r="BO540" s="6" t="str">
        <x:v>0.0</x:v>
      </x:c>
      <x:c r="BP540" s="6" t="str">
        <x:v>10</x:v>
      </x:c>
      <x:c r="BQ540" s="6" t="str">
        <x:v>0.0</x:v>
      </x:c>
      <x:c r="BR540" s="6" t="str">
        <x:v>10</x:v>
      </x:c>
      <x:c r="BS540" s="6" t="str">
        <x:v>0.0</x:v>
      </x:c>
      <x:c r="BT540" s="6" t="str">
        <x:v>10</x:v>
      </x:c>
      <x:c r="BU540" s="6" t="str">
        <x:v>255.0</x:v>
      </x:c>
      <x:c r="BV540" s="6" t="str">
        <x:v>10</x:v>
      </x:c>
      <x:c r="BW540" s="9" t="str">
        <x:v>operational_snapshot_annual_totals_may_differ</x:v>
      </x:c>
      <x:c r="BX540" s="9" t="str">
        <x:v>official_live_dashboard_snapshot_subject_to_revision</x:v>
      </x:c>
      <x:c r="BY540" s="9" t="str">
        <x:v>https://tbdashboard.sitb.id/ss_data_tbc03so_2024_provinsi_bulanan_list.php</x:v>
      </x:c>
      <x:c r="BZ540" s="6" t="n">
        <x:v>46246.610671296294</x:v>
      </x:c>
    </x:row>
    <x:row r="541" ht="18" customHeight="1">
      <x:c r="A541" s="6" t="str">
        <x:v>64</x:v>
      </x:c>
      <x:c r="B541" s="6" t="str">
        <x:v>KALIMANTAN TIMUR</x:v>
      </x:c>
      <x:c r="C541" s="6" t="str">
        <x:v>2024</x:v>
      </x:c>
      <x:c r="D541" s="6" t="str">
        <x:v>12</x:v>
      </x:c>
      <x:c r="E541" s="6" t="str">
        <x:v>2024-12</x:v>
      </x:c>
      <x:c r="F541" s="6" t="str">
        <x:v>789</x:v>
      </x:c>
      <x:c r="G541" s="6" t="str">
        <x:v>162</x:v>
      </x:c>
      <x:c r="H541" s="6" t="str">
        <x:v>496</x:v>
      </x:c>
      <x:c r="I541" s="6" t="str">
        <x:v>80</x:v>
      </x:c>
      <x:c r="J541" s="6" t="str">
        <x:v>34</x:v>
      </x:c>
      <x:c r="K541" s="6" t="str">
        <x:v>0</x:v>
      </x:c>
      <x:c r="L541" s="6" t="str">
        <x:v>6</x:v>
      </x:c>
      <x:c r="M541" s="6" t="str">
        <x:v>11</x:v>
      </x:c>
      <x:c r="N541" s="6" t="str">
        <x:v>789</x:v>
      </x:c>
      <x:c r="O541" s="6" t="str">
        <x:v>0</x:v>
      </x:c>
      <x:c r="P541" s="10" t="n">
        <x:f>F541-M541</x:f>
        <x:v>778</x:v>
      </x:c>
      <x:c r="Q541" s="11" t="n">
        <x:f>IFERROR(M541/F541,"")</x:f>
        <x:v>0.01394169835234474</x:v>
      </x:c>
      <x:c r="R541" s="10" t="n">
        <x:f>G541+H541</x:f>
        <x:v>658</x:v>
      </x:c>
      <x:c r="S541" s="11" t="n">
        <x:f>IFERROR(R541/F541,"")</x:f>
        <x:v>0.8339670468948035</x:v>
      </x:c>
      <x:c r="T541" s="11" t="n">
        <x:f>IFERROR(R541/P541,"")</x:f>
        <x:v>0.8457583547557841</x:v>
      </x:c>
      <x:c r="U541" s="10" t="n">
        <x:f>I541+J541+K541</x:f>
        <x:v>114</x:v>
      </x:c>
      <x:c r="V541" s="11" t="n">
        <x:f>IFERROR(U541/P541,"")</x:f>
        <x:v>0.14652956298200515</x:v>
      </x:c>
      <x:c r="W541" s="9" t="str">
        <x:v>mature_le_5pct_pending</x:v>
      </x:c>
      <x:c r="X541" s="12" t="n">
        <x:f>IFERROR(F541/Z541*100000,"")</x:f>
        <x:v>19.50122346078746</x:v>
      </x:c>
      <x:c r="Y541" s="13" t="n">
        <x:f>LN(Z541)</x:f>
        <x:v>15.213214580635729</x:v>
      </x:c>
      <x:c r="Z541" s="6" t="str">
        <x:v>4045900</x:v>
      </x:c>
      <x:c r="AA541" s="6" t="str">
        <x:v>32.0</x:v>
      </x:c>
      <x:c r="AB541" s="9" t="str">
        <x:v>2024-06-30</x:v>
      </x:c>
      <x:c r="AC541" s="8" t="str">
        <x:v>91.65</x:v>
      </x:c>
      <x:c r="AD541" s="9" t="str">
        <x:v>2024 (Susenas)</x:v>
      </x:c>
      <x:c r="AE541" s="8" t="str">
        <x:v>5.78</x:v>
      </x:c>
      <x:c r="AF541" s="9" t="str">
        <x:v>Maret 2024 (Susenas)</x:v>
      </x:c>
      <x:c r="AG541" s="6" t="str">
        <x:v>25.533414082161308</x:v>
      </x:c>
      <x:c r="AH541" s="8" t="str">
        <x:v>91.77420928872029</x:v>
      </x:c>
      <x:c r="AI541" s="6" t="str">
        <x:v>331.32842568541304</x:v>
      </x:c>
      <x:c r="AJ541" s="6" t="str">
        <x:v>0.5819868242848116</x:v>
      </x:c>
      <x:c r="AK541" s="8" t="str">
        <x:v>2.313802412672214</x:v>
      </x:c>
      <x:c r="AL541" s="6" t="str">
        <x:v>2.4388400174133307</x:v>
      </x:c>
      <x:c r="AM541" s="6" t="str">
        <x:v>1.526837423925841</x:v>
      </x:c>
      <x:c r="AN541" s="6" t="str">
        <x:v>2.093159951337128</x:v>
      </x:c>
      <x:c r="AO541" s="6" t="str">
        <x:v>1.3034450103949524</x:v>
      </x:c>
      <x:c r="AP541" s="8" t="str">
        <x:v>1.4423828556781355</x:v>
      </x:c>
      <x:c r="AQ541" s="6" t="str">
        <x:v>0.3296050596811074</x:v>
      </x:c>
      <x:c r="AR541" s="6" t="str">
        <x:v>0.4464633218133551</x:v>
      </x:c>
      <x:c r="AS541" s="6" t="str">
        <x:v>0.7394837457242</x:v>
      </x:c>
      <x:c r="AT541" s="6" t="str">
        <x:v>71.47634959089294</x:v>
      </x:c>
      <x:c r="AU541" s="8" t="str">
        <x:v>1.3074018039088162</x:v>
      </x:c>
      <x:c r="AV541" s="6" t="str">
        <x:v>0.2206739299229409</x:v>
      </x:c>
      <x:c r="AW541" s="6" t="str">
        <x:v>0.1854476899879527</x:v>
      </x:c>
      <x:c r="AX541" s="6" t="str">
        <x:v>0.5711744746065701</x:v>
      </x:c>
      <x:c r="AY541" s="6" t="str">
        <x:v>1</x:v>
      </x:c>
      <x:c r="AZ541" s="6" t="str">
        <x:v>1</x:v>
      </x:c>
      <x:c r="BA541" s="9" t="str">
        <x:v>grid_cells_within_BIG_polygon</x:v>
      </x:c>
      <x:c r="BB541" s="6" t="str">
        <x:v>33</x:v>
      </x:c>
      <x:c r="BC541" s="6" t="str">
        <x:v>4</x:v>
      </x:c>
      <x:c r="BD541" s="6" t="str">
        <x:v>4</x:v>
      </x:c>
      <x:c r="BE541" s="6" t="str">
        <x:v>3</x:v>
      </x:c>
      <x:c r="BF541" s="6" t="str">
        <x:v>0</x:v>
      </x:c>
      <x:c r="BG541" s="6" t="str">
        <x:v>1</x:v>
      </x:c>
      <x:c r="BH541" s="6" t="str">
        <x:v>0</x:v>
      </x:c>
      <x:c r="BI541" s="6" t="str">
        <x:v>0</x:v>
      </x:c>
      <x:c r="BJ541" s="6" t="str">
        <x:v>0</x:v>
      </x:c>
      <x:c r="BK541" s="6" t="str">
        <x:v>0</x:v>
      </x:c>
      <x:c r="BL541" s="6" t="str">
        <x:v>0</x:v>
      </x:c>
      <x:c r="BM541" s="6" t="str">
        <x:v>0</x:v>
      </x:c>
      <x:c r="BN541" s="6" t="str">
        <x:v>4</x:v>
      </x:c>
      <x:c r="BO541" s="6" t="str">
        <x:v>0.0</x:v>
      </x:c>
      <x:c r="BP541" s="6" t="str">
        <x:v>4</x:v>
      </x:c>
      <x:c r="BQ541" s="6" t="str">
        <x:v>0.0</x:v>
      </x:c>
      <x:c r="BR541" s="6" t="str">
        <x:v>4</x:v>
      </x:c>
      <x:c r="BS541" s="6" t="str">
        <x:v>25.0</x:v>
      </x:c>
      <x:c r="BT541" s="6" t="str">
        <x:v>4</x:v>
      </x:c>
      <x:c r="BU541" s="6" t="str">
        <x:v>356.0</x:v>
      </x:c>
      <x:c r="BV541" s="6" t="str">
        <x:v>4</x:v>
      </x:c>
      <x:c r="BW541" s="9" t="str">
        <x:v>operational_snapshot_annual_totals_may_differ</x:v>
      </x:c>
      <x:c r="BX541" s="9" t="str">
        <x:v>official_live_dashboard_snapshot_subject_to_revision</x:v>
      </x:c>
      <x:c r="BY541" s="9" t="str">
        <x:v>https://tbdashboard.sitb.id/ss_data_tbc03so_2024_provinsi_bulanan_list.php</x:v>
      </x:c>
      <x:c r="BZ541" s="6" t="n">
        <x:v>46246.610671296294</x:v>
      </x:c>
    </x:row>
    <x:row r="542" ht="18" customHeight="1">
      <x:c r="A542" s="6" t="str">
        <x:v>64</x:v>
      </x:c>
      <x:c r="B542" s="6" t="str">
        <x:v>KALIMANTAN TIMUR</x:v>
      </x:c>
      <x:c r="C542" s="6" t="str">
        <x:v>2025</x:v>
      </x:c>
      <x:c r="D542" s="6" t="str">
        <x:v>1</x:v>
      </x:c>
      <x:c r="E542" s="6" t="str">
        <x:v>2025-01</x:v>
      </x:c>
      <x:c r="F542" s="6" t="str">
        <x:v>1006</x:v>
      </x:c>
      <x:c r="G542" s="6" t="str">
        <x:v>220</x:v>
      </x:c>
      <x:c r="H542" s="6" t="str">
        <x:v>587</x:v>
      </x:c>
      <x:c r="I542" s="6" t="str">
        <x:v>68</x:v>
      </x:c>
      <x:c r="J542" s="6" t="str">
        <x:v>49</x:v>
      </x:c>
      <x:c r="K542" s="6" t="str">
        <x:v>3</x:v>
      </x:c>
      <x:c r="L542" s="6" t="str">
        <x:v>6</x:v>
      </x:c>
      <x:c r="M542" s="6" t="str">
        <x:v>73</x:v>
      </x:c>
      <x:c r="N542" s="6" t="str">
        <x:v>1006</x:v>
      </x:c>
      <x:c r="O542" s="6" t="str">
        <x:v>0</x:v>
      </x:c>
      <x:c r="P542" s="10" t="n">
        <x:f>F542-M542</x:f>
        <x:v>933</x:v>
      </x:c>
      <x:c r="Q542" s="11" t="n">
        <x:f>IFERROR(M542/F542,"")</x:f>
        <x:v>0.07256461232604373</x:v>
      </x:c>
      <x:c r="R542" s="10" t="n">
        <x:f>G542+H542</x:f>
        <x:v>807</x:v>
      </x:c>
      <x:c r="S542" s="11" t="n">
        <x:f>IFERROR(R542/F542,"")</x:f>
        <x:v>0.8021868787276342</x:v>
      </x:c>
      <x:c r="T542" s="11" t="n">
        <x:f>IFERROR(R542/P542,"")</x:f>
        <x:v>0.864951768488746</x:v>
      </x:c>
      <x:c r="U542" s="10" t="n">
        <x:f>I542+J542+K542</x:f>
        <x:v>120</x:v>
      </x:c>
      <x:c r="V542" s="11" t="n">
        <x:f>IFERROR(U542/P542,"")</x:f>
        <x:v>0.12861736334405144</x:v>
      </x:c>
      <x:c r="W542" s="9" t="str">
        <x:v>provisional_gt_5pct_pending</x:v>
      </x:c>
      <x:c r="X542" s="12" t="n">
        <x:f>IFERROR(F542/Z542*100000,"")</x:f>
        <x:v>23.57296841315962</x:v>
      </x:c>
      <x:c r="Y542" s="13" t="n">
        <x:f>LN(Z542)</x:f>
        <x:v>15.266562166299444</x:v>
      </x:c>
      <x:c r="Z542" s="6" t="str">
        <x:v>4267600</x:v>
      </x:c>
      <x:c r="AA542" s="6" t="str">
        <x:v>34.0</x:v>
      </x:c>
      <x:c r="AB542" s="9" t="str">
        <x:v>2025-06-30</x:v>
      </x:c>
      <x:c r="AC542" s="8" t="str">
        <x:v>92.57</x:v>
      </x:c>
      <x:c r="AD542" s="9" t="str">
        <x:v>2025 (Susenas)</x:v>
      </x:c>
      <x:c r="AE542" s="8" t="str">
        <x:v>5.17</x:v>
      </x:c>
      <x:c r="AF542" s="9" t="str">
        <x:v>Maret 2025 (Susenas)</x:v>
      </x:c>
      <x:c r="AG542" s="6" t="str">
        <x:v>25.063121114057523</x:v>
      </x:c>
      <x:c r="AH542" s="8" t="str">
        <x:v>91.8023583433326</x:v>
      </x:c>
      <x:c r="AI542" s="6" t="str">
        <x:v>406.6924216034303</x:v>
      </x:c>
      <x:c r="AJ542" s="6" t="str">
        <x:v>0.325460666460426</x:v>
      </x:c>
      <x:c r="AK542" s="8" t="str">
        <x:v>0.9811007419340474</x:v>
      </x:c>
      <x:c r="AL542" s="6" t="str">
        <x:v>2.313802412672214</x:v>
      </x:c>
      <x:c r="AM542" s="6" t="str">
        <x:v>2.4388400174133307</x:v>
      </x:c>
      <x:c r="AN542" s="6" t="str">
        <x:v>1.9112477240065304</x:v>
      </x:c>
      <x:c r="AO542" s="6" t="str">
        <x:v>1.6302294954314362</x:v>
      </x:c>
      <x:c r="AP542" s="8" t="str">
        <x:v>1.2141169719538796</x:v>
      </x:c>
      <x:c r="AQ542" s="6" t="str">
        <x:v>1.4423828556781355</x:v>
      </x:c>
      <x:c r="AR542" s="6" t="str">
        <x:v>0.3296050596811074</x:v>
      </x:c>
      <x:c r="AS542" s="6" t="str">
        <x:v>0.9953682957710416</x:v>
      </x:c>
      <x:c r="AT542" s="6" t="str">
        <x:v>172.60788212540615</x:v>
      </x:c>
      <x:c r="AU542" s="8" t="str">
        <x:v>2.703987757378065</x:v>
      </x:c>
      <x:c r="AV542" s="6" t="str">
        <x:v>1.3074018039088162</x:v>
      </x:c>
      <x:c r="AW542" s="6" t="str">
        <x:v>0.2206739299229409</x:v>
      </x:c>
      <x:c r="AX542" s="6" t="str">
        <x:v>1.4106878304032742</x:v>
      </x:c>
      <x:c r="AY542" s="6" t="str">
        <x:v>1</x:v>
      </x:c>
      <x:c r="AZ542" s="6" t="str">
        <x:v>0</x:v>
      </x:c>
      <x:c r="BA542" s="9" t="str">
        <x:v>grid_cells_within_BIG_polygon</x:v>
      </x:c>
      <x:c r="BB542" s="6" t="str">
        <x:v>33</x:v>
      </x:c>
      <x:c r="BC542" s="6" t="str">
        <x:v>13</x:v>
      </x:c>
      <x:c r="BD542" s="6" t="str">
        <x:v>13</x:v>
      </x:c>
      <x:c r="BE542" s="6" t="str">
        <x:v>10</x:v>
      </x:c>
      <x:c r="BF542" s="6" t="str">
        <x:v>3</x:v>
      </x:c>
      <x:c r="BG542" s="6" t="str">
        <x:v>0</x:v>
      </x:c>
      <x:c r="BH542" s="6" t="str">
        <x:v>0</x:v>
      </x:c>
      <x:c r="BI542" s="6" t="str">
        <x:v>0</x:v>
      </x:c>
      <x:c r="BJ542" s="6" t="str">
        <x:v>0</x:v>
      </x:c>
      <x:c r="BK542" s="6" t="str">
        <x:v>0</x:v>
      </x:c>
      <x:c r="BL542" s="6" t="str">
        <x:v>0</x:v>
      </x:c>
      <x:c r="BM542" s="6" t="str">
        <x:v>0</x:v>
      </x:c>
      <x:c r="BN542" s="6" t="str">
        <x:v>13</x:v>
      </x:c>
      <x:c r="BO542" s="6" t="str">
        <x:v>0.0</x:v>
      </x:c>
      <x:c r="BP542" s="6" t="str">
        <x:v>13</x:v>
      </x:c>
      <x:c r="BQ542" s="6" t="str">
        <x:v>0.0</x:v>
      </x:c>
      <x:c r="BR542" s="6" t="str">
        <x:v>13</x:v>
      </x:c>
      <x:c r="BS542" s="6" t="str">
        <x:v>10.0</x:v>
      </x:c>
      <x:c r="BT542" s="6" t="str">
        <x:v>13</x:v>
      </x:c>
      <x:c r="BU542" s="6" t="str">
        <x:v>9202.0</x:v>
      </x:c>
      <x:c r="BV542" s="6" t="str">
        <x:v>11</x:v>
      </x:c>
      <x:c r="BW542" s="9" t="str">
        <x:v>operational_snapshot_annual_totals_may_differ</x:v>
      </x:c>
      <x:c r="BX542" s="9" t="str">
        <x:v>official_live_dashboard_snapshot_subject_to_revision</x:v>
      </x:c>
      <x:c r="BY542" s="9" t="str">
        <x:v>https://tbdashboard.sitb.id/ss_data_tbc03so_2025_provinsi_bulanan_list.php</x:v>
      </x:c>
      <x:c r="BZ542" s="6" t="n">
        <x:v>46246.610671296294</x:v>
      </x:c>
    </x:row>
    <x:row r="543" ht="18" customHeight="1">
      <x:c r="A543" s="6" t="str">
        <x:v>64</x:v>
      </x:c>
      <x:c r="B543" s="6" t="str">
        <x:v>KALIMANTAN TIMUR</x:v>
      </x:c>
      <x:c r="C543" s="6" t="str">
        <x:v>2025</x:v>
      </x:c>
      <x:c r="D543" s="6" t="str">
        <x:v>2</x:v>
      </x:c>
      <x:c r="E543" s="6" t="str">
        <x:v>2025-02</x:v>
      </x:c>
      <x:c r="F543" s="6" t="str">
        <x:v>953</x:v>
      </x:c>
      <x:c r="G543" s="6" t="str">
        <x:v>208</x:v>
      </x:c>
      <x:c r="H543" s="6" t="str">
        <x:v>561</x:v>
      </x:c>
      <x:c r="I543" s="6" t="str">
        <x:v>83</x:v>
      </x:c>
      <x:c r="J543" s="6" t="str">
        <x:v>38</x:v>
      </x:c>
      <x:c r="K543" s="6" t="str">
        <x:v>2</x:v>
      </x:c>
      <x:c r="L543" s="6" t="str">
        <x:v>3</x:v>
      </x:c>
      <x:c r="M543" s="6" t="str">
        <x:v>58</x:v>
      </x:c>
      <x:c r="N543" s="6" t="str">
        <x:v>953</x:v>
      </x:c>
      <x:c r="O543" s="6" t="str">
        <x:v>0</x:v>
      </x:c>
      <x:c r="P543" s="10" t="n">
        <x:f>F543-M543</x:f>
        <x:v>895</x:v>
      </x:c>
      <x:c r="Q543" s="11" t="n">
        <x:f>IFERROR(M543/F543,"")</x:f>
        <x:v>0.060860440713536204</x:v>
      </x:c>
      <x:c r="R543" s="10" t="n">
        <x:f>G543+H543</x:f>
        <x:v>769</x:v>
      </x:c>
      <x:c r="S543" s="11" t="n">
        <x:f>IFERROR(R543/F543,"")</x:f>
        <x:v>0.8069254984260231</x:v>
      </x:c>
      <x:c r="T543" s="11" t="n">
        <x:f>IFERROR(R543/P543,"")</x:f>
        <x:v>0.8592178770949721</x:v>
      </x:c>
      <x:c r="U543" s="10" t="n">
        <x:f>I543+J543+K543</x:f>
        <x:v>123</x:v>
      </x:c>
      <x:c r="V543" s="11" t="n">
        <x:f>IFERROR(U543/P543,"")</x:f>
        <x:v>0.13743016759776536</x:v>
      </x:c>
      <x:c r="W543" s="9" t="str">
        <x:v>provisional_gt_5pct_pending</x:v>
      </x:c>
      <x:c r="X543" s="12" t="n">
        <x:f>IFERROR(F543/Z543*100000,"")</x:f>
        <x:v>22.331052582247633</x:v>
      </x:c>
      <x:c r="Y543" s="13" t="n">
        <x:f>LN(Z543)</x:f>
        <x:v>15.266562166299444</x:v>
      </x:c>
      <x:c r="Z543" s="6" t="str">
        <x:v>4267600</x:v>
      </x:c>
      <x:c r="AA543" s="6" t="str">
        <x:v>34.0</x:v>
      </x:c>
      <x:c r="AB543" s="9" t="str">
        <x:v>2025-06-30</x:v>
      </x:c>
      <x:c r="AC543" s="8" t="str">
        <x:v>92.57</x:v>
      </x:c>
      <x:c r="AD543" s="9" t="str">
        <x:v>2025 (Susenas)</x:v>
      </x:c>
      <x:c r="AE543" s="8" t="str">
        <x:v>5.17</x:v>
      </x:c>
      <x:c r="AF543" s="9" t="str">
        <x:v>Maret 2025 (Susenas)</x:v>
      </x:c>
      <x:c r="AG543" s="6" t="str">
        <x:v>25.05160699946522</x:v>
      </x:c>
      <x:c r="AH543" s="8" t="str">
        <x:v>91.28237552575712</x:v>
      </x:c>
      <x:c r="AI543" s="6" t="str">
        <x:v>240.0576882252269</x:v>
      </x:c>
      <x:c r="AJ543" s="6" t="str">
        <x:v>0.2423209524815455</x:v>
      </x:c>
      <x:c r="AK543" s="8" t="str">
        <x:v>0.6431350391384858</x:v>
      </x:c>
      <x:c r="AL543" s="6" t="str">
        <x:v>0.9811007419340474</x:v>
      </x:c>
      <x:c r="AM543" s="6" t="str">
        <x:v>2.313802412672214</x:v>
      </x:c>
      <x:c r="AN543" s="6" t="str">
        <x:v>1.3126793979149154</x:v>
      </x:c>
      <x:c r="AO543" s="6" t="str">
        <x:v>1.5436198159933523</x:v>
      </x:c>
      <x:c r="AP543" s="8" t="str">
        <x:v>0.7733676603106331</x:v>
      </x:c>
      <x:c r="AQ543" s="6" t="str">
        <x:v>1.2141169719538796</x:v>
      </x:c>
      <x:c r="AR543" s="6" t="str">
        <x:v>1.4423828556781355</x:v>
      </x:c>
      <x:c r="AS543" s="6" t="str">
        <x:v>1.14328916264755</x:v>
      </x:c>
      <x:c r="AT543" s="6" t="str">
        <x:v>26.279399200117524</x:v>
      </x:c>
      <x:c r="AU543" s="8" t="str">
        <x:v>0.3823057954182049</x:v>
      </x:c>
      <x:c r="AV543" s="6" t="str">
        <x:v>2.703987757378065</x:v>
      </x:c>
      <x:c r="AW543" s="6" t="str">
        <x:v>1.3074018039088162</x:v>
      </x:c>
      <x:c r="AX543" s="6" t="str">
        <x:v>1.4645651189016953</x:v>
      </x:c>
      <x:c r="AY543" s="6" t="str">
        <x:v>0</x:v>
      </x:c>
      <x:c r="AZ543" s="6" t="str">
        <x:v>0</x:v>
      </x:c>
      <x:c r="BA543" s="9" t="str">
        <x:v>grid_cells_within_BIG_polygon</x:v>
      </x:c>
      <x:c r="BB543" s="6" t="str">
        <x:v>33</x:v>
      </x:c>
      <x:c r="BC543" s="6" t="str">
        <x:v>5</x:v>
      </x:c>
      <x:c r="BD543" s="6" t="str">
        <x:v>5</x:v>
      </x:c>
      <x:c r="BE543" s="6" t="str">
        <x:v>2</x:v>
      </x:c>
      <x:c r="BF543" s="6" t="str">
        <x:v>2</x:v>
      </x:c>
      <x:c r="BG543" s="6" t="str">
        <x:v>0</x:v>
      </x:c>
      <x:c r="BH543" s="6" t="str">
        <x:v>0</x:v>
      </x:c>
      <x:c r="BI543" s="6" t="str">
        <x:v>1</x:v>
      </x:c>
      <x:c r="BJ543" s="6" t="str">
        <x:v>0</x:v>
      </x:c>
      <x:c r="BK543" s="6" t="str">
        <x:v>0</x:v>
      </x:c>
      <x:c r="BL543" s="6" t="str">
        <x:v>0</x:v>
      </x:c>
      <x:c r="BM543" s="6" t="str">
        <x:v>0</x:v>
      </x:c>
      <x:c r="BN543" s="6" t="str">
        <x:v>5</x:v>
      </x:c>
      <x:c r="BO543" s="6" t="str">
        <x:v>1.0</x:v>
      </x:c>
      <x:c r="BP543" s="6" t="str">
        <x:v>5</x:v>
      </x:c>
      <x:c r="BQ543" s="6" t="str">
        <x:v>0.0</x:v>
      </x:c>
      <x:c r="BR543" s="6" t="str">
        <x:v>5</x:v>
      </x:c>
      <x:c r="BS543" s="6" t="str">
        <x:v>7.0</x:v>
      </x:c>
      <x:c r="BT543" s="6" t="str">
        <x:v>5</x:v>
      </x:c>
      <x:c r="BU543" s="6" t="str">
        <x:v>170.0</x:v>
      </x:c>
      <x:c r="BV543" s="6" t="str">
        <x:v>2</x:v>
      </x:c>
      <x:c r="BW543" s="9" t="str">
        <x:v>operational_snapshot_annual_totals_may_differ</x:v>
      </x:c>
      <x:c r="BX543" s="9" t="str">
        <x:v>official_live_dashboard_snapshot_subject_to_revision</x:v>
      </x:c>
      <x:c r="BY543" s="9" t="str">
        <x:v>https://tbdashboard.sitb.id/ss_data_tbc03so_2025_provinsi_bulanan_list.php</x:v>
      </x:c>
      <x:c r="BZ543" s="6" t="n">
        <x:v>46246.610671296294</x:v>
      </x:c>
    </x:row>
    <x:row r="544" ht="18" customHeight="1">
      <x:c r="A544" s="6" t="str">
        <x:v>64</x:v>
      </x:c>
      <x:c r="B544" s="6" t="str">
        <x:v>KALIMANTAN TIMUR</x:v>
      </x:c>
      <x:c r="C544" s="6" t="str">
        <x:v>2025</x:v>
      </x:c>
      <x:c r="D544" s="6" t="str">
        <x:v>3</x:v>
      </x:c>
      <x:c r="E544" s="6" t="str">
        <x:v>2025-03</x:v>
      </x:c>
      <x:c r="F544" s="6" t="str">
        <x:v>776</x:v>
      </x:c>
      <x:c r="G544" s="6" t="str">
        <x:v>193</x:v>
      </x:c>
      <x:c r="H544" s="6" t="str">
        <x:v>436</x:v>
      </x:c>
      <x:c r="I544" s="6" t="str">
        <x:v>68</x:v>
      </x:c>
      <x:c r="J544" s="6" t="str">
        <x:v>29</x:v>
      </x:c>
      <x:c r="K544" s="6" t="str">
        <x:v>5</x:v>
      </x:c>
      <x:c r="L544" s="6" t="str">
        <x:v>1</x:v>
      </x:c>
      <x:c r="M544" s="6" t="str">
        <x:v>44</x:v>
      </x:c>
      <x:c r="N544" s="6" t="str">
        <x:v>776</x:v>
      </x:c>
      <x:c r="O544" s="6" t="str">
        <x:v>0</x:v>
      </x:c>
      <x:c r="P544" s="10" t="n">
        <x:f>F544-M544</x:f>
        <x:v>732</x:v>
      </x:c>
      <x:c r="Q544" s="11" t="n">
        <x:f>IFERROR(M544/F544,"")</x:f>
        <x:v>0.05670103092783505</x:v>
      </x:c>
      <x:c r="R544" s="10" t="n">
        <x:f>G544+H544</x:f>
        <x:v>629</x:v>
      </x:c>
      <x:c r="S544" s="11" t="n">
        <x:f>IFERROR(R544/F544,"")</x:f>
        <x:v>0.8105670103092784</x:v>
      </x:c>
      <x:c r="T544" s="11" t="n">
        <x:f>IFERROR(R544/P544,"")</x:f>
        <x:v>0.8592896174863388</x:v>
      </x:c>
      <x:c r="U544" s="10" t="n">
        <x:f>I544+J544+K544</x:f>
        <x:v>102</x:v>
      </x:c>
      <x:c r="V544" s="11" t="n">
        <x:f>IFERROR(U544/P544,"")</x:f>
        <x:v>0.13934426229508196</x:v>
      </x:c>
      <x:c r="W544" s="9" t="str">
        <x:v>provisional_gt_5pct_pending</x:v>
      </x:c>
      <x:c r="X544" s="12" t="n">
        <x:f>IFERROR(F544/Z544*100000,"")</x:f>
        <x:v>18.183522354484957</x:v>
      </x:c>
      <x:c r="Y544" s="13" t="n">
        <x:f>LN(Z544)</x:f>
        <x:v>15.266562166299444</x:v>
      </x:c>
      <x:c r="Z544" s="6" t="str">
        <x:v>4267600</x:v>
      </x:c>
      <x:c r="AA544" s="6" t="str">
        <x:v>34.0</x:v>
      </x:c>
      <x:c r="AB544" s="9" t="str">
        <x:v>2025-06-30</x:v>
      </x:c>
      <x:c r="AC544" s="8" t="str">
        <x:v>92.57</x:v>
      </x:c>
      <x:c r="AD544" s="9" t="str">
        <x:v>2025 (Susenas)</x:v>
      </x:c>
      <x:c r="AE544" s="8" t="str">
        <x:v>5.17</x:v>
      </x:c>
      <x:c r="AF544" s="9" t="str">
        <x:v>Maret 2025 (Susenas)</x:v>
      </x:c>
      <x:c r="AG544" s="6" t="str">
        <x:v>25.288874103504067</x:v>
      </x:c>
      <x:c r="AH544" s="8" t="str">
        <x:v>90.73786363565192</x:v>
      </x:c>
      <x:c r="AI544" s="6" t="str">
        <x:v>245.15074552059443</x:v>
      </x:c>
      <x:c r="AJ544" s="6" t="str">
        <x:v>0.1869691951338765</x:v>
      </x:c>
      <x:c r="AK544" s="8" t="str">
        <x:v>0.4086519323447416</x:v>
      </x:c>
      <x:c r="AL544" s="6" t="str">
        <x:v>0.6431350391384858</x:v>
      </x:c>
      <x:c r="AM544" s="6" t="str">
        <x:v>0.9811007419340474</x:v>
      </x:c>
      <x:c r="AN544" s="6" t="str">
        <x:v>0.6776292378057579</x:v>
      </x:c>
      <x:c r="AO544" s="6" t="str">
        <x:v>1.4312432897020957</x:v>
      </x:c>
      <x:c r="AP544" s="8" t="str">
        <x:v>0.489138249851539</x:v>
      </x:c>
      <x:c r="AQ544" s="6" t="str">
        <x:v>0.7733676603106331</x:v>
      </x:c>
      <x:c r="AR544" s="6" t="str">
        <x:v>1.2141169719538796</x:v>
      </x:c>
      <x:c r="AS544" s="6" t="str">
        <x:v>0.8255409607053513</x:v>
      </x:c>
      <x:c r="AT544" s="6" t="str">
        <x:v>14.20274581694531</x:v>
      </x:c>
      <x:c r="AU544" s="8" t="str">
        <x:v>0.2266125512578395</x:v>
      </x:c>
      <x:c r="AV544" s="6" t="str">
        <x:v>0.3823057954182049</x:v>
      </x:c>
      <x:c r="AW544" s="6" t="str">
        <x:v>2.703987757378065</x:v>
      </x:c>
      <x:c r="AX544" s="6" t="str">
        <x:v>1.104302034684703</x:v>
      </x:c>
      <x:c r="AY544" s="6" t="str">
        <x:v>0</x:v>
      </x:c>
      <x:c r="AZ544" s="6" t="str">
        <x:v>0</x:v>
      </x:c>
      <x:c r="BA544" s="9" t="str">
        <x:v>grid_cells_within_BIG_polygon</x:v>
      </x:c>
      <x:c r="BB544" s="6" t="str">
        <x:v>33</x:v>
      </x:c>
      <x:c r="BC544" s="6" t="str">
        <x:v>4</x:v>
      </x:c>
      <x:c r="BD544" s="6" t="str">
        <x:v>4</x:v>
      </x:c>
      <x:c r="BE544" s="6" t="str">
        <x:v>4</x:v>
      </x:c>
      <x:c r="BF544" s="6" t="str">
        <x:v>0</x:v>
      </x:c>
      <x:c r="BG544" s="6" t="str">
        <x:v>0</x:v>
      </x:c>
      <x:c r="BH544" s="6" t="str">
        <x:v>0</x:v>
      </x:c>
      <x:c r="BI544" s="6" t="str">
        <x:v>0</x:v>
      </x:c>
      <x:c r="BJ544" s="6" t="str">
        <x:v>0</x:v>
      </x:c>
      <x:c r="BK544" s="6" t="str">
        <x:v>0</x:v>
      </x:c>
      <x:c r="BL544" s="6" t="str">
        <x:v>0</x:v>
      </x:c>
      <x:c r="BM544" s="6" t="str">
        <x:v>0</x:v>
      </x:c>
      <x:c r="BN544" s="6" t="str">
        <x:v>4</x:v>
      </x:c>
      <x:c r="BO544" s="6" t="str">
        <x:v>2.0</x:v>
      </x:c>
      <x:c r="BP544" s="6" t="str">
        <x:v>4</x:v>
      </x:c>
      <x:c r="BQ544" s="6" t="str">
        <x:v>0.0</x:v>
      </x:c>
      <x:c r="BR544" s="6" t="str">
        <x:v>4</x:v>
      </x:c>
      <x:c r="BS544" s="6" t="str">
        <x:v>0.0</x:v>
      </x:c>
      <x:c r="BT544" s="6" t="str">
        <x:v>4</x:v>
      </x:c>
      <x:c r="BU544" s="6" t="str">
        <x:v>6052.0</x:v>
      </x:c>
      <x:c r="BV544" s="6" t="str">
        <x:v>4</x:v>
      </x:c>
      <x:c r="BW544" s="9" t="str">
        <x:v>operational_snapshot_annual_totals_may_differ</x:v>
      </x:c>
      <x:c r="BX544" s="9" t="str">
        <x:v>official_live_dashboard_snapshot_subject_to_revision</x:v>
      </x:c>
      <x:c r="BY544" s="9" t="str">
        <x:v>https://tbdashboard.sitb.id/ss_data_tbc03so_2025_provinsi_bulanan_list.php</x:v>
      </x:c>
      <x:c r="BZ544" s="6" t="n">
        <x:v>46246.610671296294</x:v>
      </x:c>
    </x:row>
    <x:row r="545" ht="18" customHeight="1">
      <x:c r="A545" s="6" t="str">
        <x:v>64</x:v>
      </x:c>
      <x:c r="B545" s="6" t="str">
        <x:v>KALIMANTAN TIMUR</x:v>
      </x:c>
      <x:c r="C545" s="6" t="str">
        <x:v>2025</x:v>
      </x:c>
      <x:c r="D545" s="6" t="str">
        <x:v>4</x:v>
      </x:c>
      <x:c r="E545" s="6" t="str">
        <x:v>2025-04</x:v>
      </x:c>
      <x:c r="F545" s="6" t="str">
        <x:v>725</x:v>
      </x:c>
      <x:c r="G545" s="6" t="str">
        <x:v>172</x:v>
      </x:c>
      <x:c r="H545" s="6" t="str">
        <x:v>403</x:v>
      </x:c>
      <x:c r="I545" s="6" t="str">
        <x:v>45</x:v>
      </x:c>
      <x:c r="J545" s="6" t="str">
        <x:v>36</x:v>
      </x:c>
      <x:c r="K545" s="6" t="str">
        <x:v>1</x:v>
      </x:c>
      <x:c r="L545" s="6" t="str">
        <x:v>2</x:v>
      </x:c>
      <x:c r="M545" s="6" t="str">
        <x:v>66</x:v>
      </x:c>
      <x:c r="N545" s="6" t="str">
        <x:v>725</x:v>
      </x:c>
      <x:c r="O545" s="6" t="str">
        <x:v>0</x:v>
      </x:c>
      <x:c r="P545" s="10" t="n">
        <x:f>F545-M545</x:f>
        <x:v>659</x:v>
      </x:c>
      <x:c r="Q545" s="11" t="n">
        <x:f>IFERROR(M545/F545,"")</x:f>
        <x:v>0.0910344827586207</x:v>
      </x:c>
      <x:c r="R545" s="10" t="n">
        <x:f>G545+H545</x:f>
        <x:v>575</x:v>
      </x:c>
      <x:c r="S545" s="11" t="n">
        <x:f>IFERROR(R545/F545,"")</x:f>
        <x:v>0.7931034482758621</x:v>
      </x:c>
      <x:c r="T545" s="11" t="n">
        <x:f>IFERROR(R545/P545,"")</x:f>
        <x:v>0.8725341426403642</x:v>
      </x:c>
      <x:c r="U545" s="10" t="n">
        <x:f>I545+J545+K545</x:f>
        <x:v>82</x:v>
      </x:c>
      <x:c r="V545" s="11" t="n">
        <x:f>IFERROR(U545/P545,"")</x:f>
        <x:v>0.1244309559939302</x:v>
      </x:c>
      <x:c r="W545" s="9" t="str">
        <x:v>provisional_gt_5pct_pending</x:v>
      </x:c>
      <x:c r="X545" s="12" t="n">
        <x:f>IFERROR(F545/Z545*100000,"")</x:f>
        <x:v>16.98847127190927</x:v>
      </x:c>
      <x:c r="Y545" s="13" t="n">
        <x:f>LN(Z545)</x:f>
        <x:v>15.266562166299444</x:v>
      </x:c>
      <x:c r="Z545" s="6" t="str">
        <x:v>4267600</x:v>
      </x:c>
      <x:c r="AA545" s="6" t="str">
        <x:v>34.0</x:v>
      </x:c>
      <x:c r="AB545" s="9" t="str">
        <x:v>2025-06-30</x:v>
      </x:c>
      <x:c r="AC545" s="8" t="str">
        <x:v>92.57</x:v>
      </x:c>
      <x:c r="AD545" s="9" t="str">
        <x:v>2025 (Susenas)</x:v>
      </x:c>
      <x:c r="AE545" s="8" t="str">
        <x:v>5.17</x:v>
      </x:c>
      <x:c r="AF545" s="9" t="str">
        <x:v>Maret 2025 (Susenas)</x:v>
      </x:c>
      <x:c r="AG545" s="6" t="str">
        <x:v>25.418560271943107</x:v>
      </x:c>
      <x:c r="AH545" s="8" t="str">
        <x:v>90.08059700367872</x:v>
      </x:c>
      <x:c r="AI545" s="6" t="str">
        <x:v>271.5508558575764</x:v>
      </x:c>
      <x:c r="AJ545" s="6" t="str">
        <x:v>0.0565323631243508</x:v>
      </x:c>
      <x:c r="AK545" s="8" t="str">
        <x:v>0.131301841773946</x:v>
      </x:c>
      <x:c r="AL545" s="6" t="str">
        <x:v>0.4086519323447416</x:v>
      </x:c>
      <x:c r="AM545" s="6" t="str">
        <x:v>0.6431350391384858</x:v>
      </x:c>
      <x:c r="AN545" s="6" t="str">
        <x:v>0.3943629377523909</x:v>
      </x:c>
      <x:c r="AO545" s="6" t="str">
        <x:v>0.394852025692856</x:v>
      </x:c>
      <x:c r="AP545" s="8" t="str">
        <x:v>0.1562336910270674</x:v>
      </x:c>
      <x:c r="AQ545" s="6" t="str">
        <x:v>0.489138249851539</x:v>
      </x:c>
      <x:c r="AR545" s="6" t="str">
        <x:v>0.7733676603106331</x:v>
      </x:c>
      <x:c r="AS545" s="6" t="str">
        <x:v>0.4729132003964138</x:v>
      </x:c>
      <x:c r="AT545" s="6" t="str">
        <x:v>48.21080071391299</x:v>
      </x:c>
      <x:c r="AU545" s="8" t="str">
        <x:v>0.9934198435186832</x:v>
      </x:c>
      <x:c r="AV545" s="6" t="str">
        <x:v>0.2266125512578395</x:v>
      </x:c>
      <x:c r="AW545" s="6" t="str">
        <x:v>0.3823057954182049</x:v>
      </x:c>
      <x:c r="AX545" s="6" t="str">
        <x:v>0.5341127300649092</x:v>
      </x:c>
      <x:c r="AY545" s="6" t="str">
        <x:v>0</x:v>
      </x:c>
      <x:c r="AZ545" s="6" t="str">
        <x:v>0</x:v>
      </x:c>
      <x:c r="BA545" s="9" t="str">
        <x:v>grid_cells_within_BIG_polygon</x:v>
      </x:c>
      <x:c r="BB545" s="6" t="str">
        <x:v>33</x:v>
      </x:c>
      <x:c r="BC545" s="6" t="str">
        <x:v>6</x:v>
      </x:c>
      <x:c r="BD545" s="6" t="str">
        <x:v>6</x:v>
      </x:c>
      <x:c r="BE545" s="6" t="str">
        <x:v>4</x:v>
      </x:c>
      <x:c r="BF545" s="6" t="str">
        <x:v>2</x:v>
      </x:c>
      <x:c r="BG545" s="6" t="str">
        <x:v>0</x:v>
      </x:c>
      <x:c r="BH545" s="6" t="str">
        <x:v>0</x:v>
      </x:c>
      <x:c r="BI545" s="6" t="str">
        <x:v>0</x:v>
      </x:c>
      <x:c r="BJ545" s="6" t="str">
        <x:v>0</x:v>
      </x:c>
      <x:c r="BK545" s="6" t="str">
        <x:v>0</x:v>
      </x:c>
      <x:c r="BL545" s="6" t="str">
        <x:v>0</x:v>
      </x:c>
      <x:c r="BM545" s="6" t="str">
        <x:v>0</x:v>
      </x:c>
      <x:c r="BN545" s="6" t="str">
        <x:v>6</x:v>
      </x:c>
      <x:c r="BO545" s="6" t="str">
        <x:v>0.0</x:v>
      </x:c>
      <x:c r="BP545" s="6" t="str">
        <x:v>6</x:v>
      </x:c>
      <x:c r="BQ545" s="6" t="str">
        <x:v>0.0</x:v>
      </x:c>
      <x:c r="BR545" s="6" t="str">
        <x:v>6</x:v>
      </x:c>
      <x:c r="BS545" s="6" t="str">
        <x:v>20.0</x:v>
      </x:c>
      <x:c r="BT545" s="6" t="str">
        <x:v>6</x:v>
      </x:c>
      <x:c r="BU545" s="6" t="str">
        <x:v>4988.0</x:v>
      </x:c>
      <x:c r="BV545" s="6" t="str">
        <x:v>4</x:v>
      </x:c>
      <x:c r="BW545" s="9" t="str">
        <x:v>operational_snapshot_annual_totals_may_differ</x:v>
      </x:c>
      <x:c r="BX545" s="9" t="str">
        <x:v>official_live_dashboard_snapshot_subject_to_revision</x:v>
      </x:c>
      <x:c r="BY545" s="9" t="str">
        <x:v>https://tbdashboard.sitb.id/ss_data_tbc03so_2025_provinsi_bulanan_list.php</x:v>
      </x:c>
      <x:c r="BZ545" s="6" t="n">
        <x:v>46246.610671296294</x:v>
      </x:c>
    </x:row>
    <x:row r="546" ht="18" customHeight="1">
      <x:c r="A546" s="6" t="str">
        <x:v>64</x:v>
      </x:c>
      <x:c r="B546" s="6" t="str">
        <x:v>KALIMANTAN TIMUR</x:v>
      </x:c>
      <x:c r="C546" s="6" t="str">
        <x:v>2025</x:v>
      </x:c>
      <x:c r="D546" s="6" t="str">
        <x:v>5</x:v>
      </x:c>
      <x:c r="E546" s="6" t="str">
        <x:v>2025-05</x:v>
      </x:c>
      <x:c r="F546" s="6" t="str">
        <x:v>889</x:v>
      </x:c>
      <x:c r="G546" s="6" t="str">
        <x:v>191</x:v>
      </x:c>
      <x:c r="H546" s="6" t="str">
        <x:v>477</x:v>
      </x:c>
      <x:c r="I546" s="6" t="str">
        <x:v>62</x:v>
      </x:c>
      <x:c r="J546" s="6" t="str">
        <x:v>49</x:v>
      </x:c>
      <x:c r="K546" s="6" t="str">
        <x:v>5</x:v>
      </x:c>
      <x:c r="L546" s="6" t="str">
        <x:v>4</x:v>
      </x:c>
      <x:c r="M546" s="6" t="str">
        <x:v>101</x:v>
      </x:c>
      <x:c r="N546" s="6" t="str">
        <x:v>889</x:v>
      </x:c>
      <x:c r="O546" s="6" t="str">
        <x:v>0</x:v>
      </x:c>
      <x:c r="P546" s="10" t="n">
        <x:f>F546-M546</x:f>
        <x:v>788</x:v>
      </x:c>
      <x:c r="Q546" s="11" t="n">
        <x:f>IFERROR(M546/F546,"")</x:f>
        <x:v>0.11361079865016872</x:v>
      </x:c>
      <x:c r="R546" s="10" t="n">
        <x:f>G546+H546</x:f>
        <x:v>668</x:v>
      </x:c>
      <x:c r="S546" s="11" t="n">
        <x:f>IFERROR(R546/F546,"")</x:f>
        <x:v>0.7514060742407199</x:v>
      </x:c>
      <x:c r="T546" s="11" t="n">
        <x:f>IFERROR(R546/P546,"")</x:f>
        <x:v>0.8477157360406091</x:v>
      </x:c>
      <x:c r="U546" s="10" t="n">
        <x:f>I546+J546+K546</x:f>
        <x:v>116</x:v>
      </x:c>
      <x:c r="V546" s="11" t="n">
        <x:f>IFERROR(U546/P546,"")</x:f>
        <x:v>0.14720812182741116</x:v>
      </x:c>
      <x:c r="W546" s="9" t="str">
        <x:v>provisional_gt_5pct_pending</x:v>
      </x:c>
      <x:c r="X546" s="12" t="n">
        <x:f>IFERROR(F546/Z546*100000,"")</x:f>
        <x:v>20.83138063548599</x:v>
      </x:c>
      <x:c r="Y546" s="13" t="n">
        <x:f>LN(Z546)</x:f>
        <x:v>15.266562166299444</x:v>
      </x:c>
      <x:c r="Z546" s="6" t="str">
        <x:v>4267600</x:v>
      </x:c>
      <x:c r="AA546" s="6" t="str">
        <x:v>34.0</x:v>
      </x:c>
      <x:c r="AB546" s="9" t="str">
        <x:v>2025-06-30</x:v>
      </x:c>
      <x:c r="AC546" s="8" t="str">
        <x:v>92.57</x:v>
      </x:c>
      <x:c r="AD546" s="9" t="str">
        <x:v>2025 (Susenas)</x:v>
      </x:c>
      <x:c r="AE546" s="8" t="str">
        <x:v>5.17</x:v>
      </x:c>
      <x:c r="AF546" s="9" t="str">
        <x:v>Maret 2025 (Susenas)</x:v>
      </x:c>
      <x:c r="AG546" s="6" t="str">
        <x:v>25.782204925322304</x:v>
      </x:c>
      <x:c r="AH546" s="8" t="str">
        <x:v>90.43298950379776</x:v>
      </x:c>
      <x:c r="AI546" s="6" t="str">
        <x:v>268.4121942727273</x:v>
      </x:c>
      <x:c r="AJ546" s="6" t="str">
        <x:v>0.3813299623334032</x:v>
      </x:c>
      <x:c r="AK546" s="8" t="str">
        <x:v>1.125093120180016</x:v>
      </x:c>
      <x:c r="AL546" s="6" t="str">
        <x:v>0.131301841773946</x:v>
      </x:c>
      <x:c r="AM546" s="6" t="str">
        <x:v>0.4086519323447416</x:v>
      </x:c>
      <x:c r="AN546" s="6" t="str">
        <x:v>0.555015631432901</x:v>
      </x:c>
      <x:c r="AO546" s="6" t="str">
        <x:v>-0.2706265956690856</x:v>
      </x:c>
      <x:c r="AP546" s="8" t="str">
        <x:v>-0.3309224448496458</x:v>
      </x:c>
      <x:c r="AQ546" s="6" t="str">
        <x:v>0.1562336910270674</x:v>
      </x:c>
      <x:c r="AR546" s="6" t="str">
        <x:v>0.489138249851539</x:v>
      </x:c>
      <x:c r="AS546" s="6" t="str">
        <x:v>0.1048164986763208</x:v>
      </x:c>
      <x:c r="AT546" s="6" t="str">
        <x:v>37.68113619328804</x:v>
      </x:c>
      <x:c r="AU546" s="8" t="str">
        <x:v>0.7905785733145387</x:v>
      </x:c>
      <x:c r="AV546" s="6" t="str">
        <x:v>0.9934198435186832</x:v>
      </x:c>
      <x:c r="AW546" s="6" t="str">
        <x:v>0.2266125512578395</x:v>
      </x:c>
      <x:c r="AX546" s="6" t="str">
        <x:v>0.6702036560303538</x:v>
      </x:c>
      <x:c r="AY546" s="6" t="str">
        <x:v>0</x:v>
      </x:c>
      <x:c r="AZ546" s="6" t="str">
        <x:v>1</x:v>
      </x:c>
      <x:c r="BA546" s="9" t="str">
        <x:v>grid_cells_within_BIG_polygon</x:v>
      </x:c>
      <x:c r="BB546" s="6" t="str">
        <x:v>33</x:v>
      </x:c>
      <x:c r="BC546" s="6" t="str">
        <x:v>10</x:v>
      </x:c>
      <x:c r="BD546" s="6" t="str">
        <x:v>10</x:v>
      </x:c>
      <x:c r="BE546" s="6" t="str">
        <x:v>8</x:v>
      </x:c>
      <x:c r="BF546" s="6" t="str">
        <x:v>2</x:v>
      </x:c>
      <x:c r="BG546" s="6" t="str">
        <x:v>0</x:v>
      </x:c>
      <x:c r="BH546" s="6" t="str">
        <x:v>0</x:v>
      </x:c>
      <x:c r="BI546" s="6" t="str">
        <x:v>0</x:v>
      </x:c>
      <x:c r="BJ546" s="6" t="str">
        <x:v>0</x:v>
      </x:c>
      <x:c r="BK546" s="6" t="str">
        <x:v>0</x:v>
      </x:c>
      <x:c r="BL546" s="6" t="str">
        <x:v>0</x:v>
      </x:c>
      <x:c r="BM546" s="6" t="str">
        <x:v>0</x:v>
      </x:c>
      <x:c r="BN546" s="6" t="str">
        <x:v>10</x:v>
      </x:c>
      <x:c r="BO546" s="6" t="str">
        <x:v>8.0</x:v>
      </x:c>
      <x:c r="BP546" s="6" t="str">
        <x:v>10</x:v>
      </x:c>
      <x:c r="BQ546" s="6" t="str">
        <x:v>5.0</x:v>
      </x:c>
      <x:c r="BR546" s="6" t="str">
        <x:v>10</x:v>
      </x:c>
      <x:c r="BS546" s="6" t="str">
        <x:v>39.0</x:v>
      </x:c>
      <x:c r="BT546" s="6" t="str">
        <x:v>10</x:v>
      </x:c>
      <x:c r="BU546" s="6" t="str">
        <x:v>19002.0</x:v>
      </x:c>
      <x:c r="BV546" s="6" t="str">
        <x:v>8</x:v>
      </x:c>
      <x:c r="BW546" s="9" t="str">
        <x:v>operational_snapshot_annual_totals_may_differ</x:v>
      </x:c>
      <x:c r="BX546" s="9" t="str">
        <x:v>official_live_dashboard_snapshot_subject_to_revision</x:v>
      </x:c>
      <x:c r="BY546" s="9" t="str">
        <x:v>https://tbdashboard.sitb.id/ss_data_tbc03so_2025_provinsi_bulanan_list.php</x:v>
      </x:c>
      <x:c r="BZ546" s="6" t="n">
        <x:v>46246.610671296294</x:v>
      </x:c>
    </x:row>
    <x:row r="547" ht="18" customHeight="1">
      <x:c r="A547" s="6" t="str">
        <x:v>64</x:v>
      </x:c>
      <x:c r="B547" s="6" t="str">
        <x:v>KALIMANTAN TIMUR</x:v>
      </x:c>
      <x:c r="C547" s="6" t="str">
        <x:v>2025</x:v>
      </x:c>
      <x:c r="D547" s="6" t="str">
        <x:v>6</x:v>
      </x:c>
      <x:c r="E547" s="6" t="str">
        <x:v>2025-06</x:v>
      </x:c>
      <x:c r="F547" s="6" t="str">
        <x:v>782</x:v>
      </x:c>
      <x:c r="G547" s="6" t="str">
        <x:v>158</x:v>
      </x:c>
      <x:c r="H547" s="6" t="str">
        <x:v>400</x:v>
      </x:c>
      <x:c r="I547" s="6" t="str">
        <x:v>69</x:v>
      </x:c>
      <x:c r="J547" s="6" t="str">
        <x:v>33</x:v>
      </x:c>
      <x:c r="K547" s="6" t="str">
        <x:v>3</x:v>
      </x:c>
      <x:c r="L547" s="6" t="str">
        <x:v>0</x:v>
      </x:c>
      <x:c r="M547" s="6" t="str">
        <x:v>119</x:v>
      </x:c>
      <x:c r="N547" s="6" t="str">
        <x:v>782</x:v>
      </x:c>
      <x:c r="O547" s="6" t="str">
        <x:v>0</x:v>
      </x:c>
      <x:c r="P547" s="10" t="n">
        <x:f>F547-M547</x:f>
        <x:v>663</x:v>
      </x:c>
      <x:c r="Q547" s="11" t="n">
        <x:f>IFERROR(M547/F547,"")</x:f>
        <x:v>0.15217391304347827</x:v>
      </x:c>
      <x:c r="R547" s="10" t="n">
        <x:f>G547+H547</x:f>
        <x:v>558</x:v>
      </x:c>
      <x:c r="S547" s="11" t="n">
        <x:f>IFERROR(R547/F547,"")</x:f>
        <x:v>0.7135549872122762</x:v>
      </x:c>
      <x:c r="T547" s="11" t="n">
        <x:f>IFERROR(R547/P547,"")</x:f>
        <x:v>0.8416289592760181</x:v>
      </x:c>
      <x:c r="U547" s="10" t="n">
        <x:f>I547+J547+K547</x:f>
        <x:v>105</x:v>
      </x:c>
      <x:c r="V547" s="11" t="n">
        <x:f>IFERROR(U547/P547,"")</x:f>
        <x:v>0.1583710407239819</x:v>
      </x:c>
      <x:c r="W547" s="9" t="str">
        <x:v>provisional_gt_5pct_pending</x:v>
      </x:c>
      <x:c r="X547" s="12" t="n">
        <x:f>IFERROR(F547/Z547*100000,"")</x:f>
        <x:v>18.324116599493863</x:v>
      </x:c>
      <x:c r="Y547" s="13" t="n">
        <x:f>LN(Z547)</x:f>
        <x:v>15.266562166299444</x:v>
      </x:c>
      <x:c r="Z547" s="6" t="str">
        <x:v>4267600</x:v>
      </x:c>
      <x:c r="AA547" s="6" t="str">
        <x:v>34.0</x:v>
      </x:c>
      <x:c r="AB547" s="9" t="str">
        <x:v>2025-06-30</x:v>
      </x:c>
      <x:c r="AC547" s="8" t="str">
        <x:v>92.57</x:v>
      </x:c>
      <x:c r="AD547" s="9" t="str">
        <x:v>2025 (Susenas)</x:v>
      </x:c>
      <x:c r="AE547" s="8" t="str">
        <x:v>5.17</x:v>
      </x:c>
      <x:c r="AF547" s="9" t="str">
        <x:v>Maret 2025 (Susenas)</x:v>
      </x:c>
      <x:c r="AG547" s="6" t="str">
        <x:v>25.05826904640402</x:v>
      </x:c>
      <x:c r="AH547" s="8" t="str">
        <x:v>91.46934115771955</x:v>
      </x:c>
      <x:c r="AI547" s="6" t="str">
        <x:v>238.50310567367796</x:v>
      </x:c>
      <x:c r="AJ547" s="6" t="str">
        <x:v>0.1395270895618203</x:v>
      </x:c>
      <x:c r="AK547" s="8" t="str">
        <x:v>0.5182070801069514</x:v>
      </x:c>
      <x:c r="AL547" s="6" t="str">
        <x:v>1.125093120180016</x:v>
      </x:c>
      <x:c r="AM547" s="6" t="str">
        <x:v>0.131301841773946</x:v>
      </x:c>
      <x:c r="AN547" s="6" t="str">
        <x:v>0.5915340140203041</x:v>
      </x:c>
      <x:c r="AO547" s="6" t="str">
        <x:v>0.5559773341479683</x:v>
      </x:c>
      <x:c r="AP547" s="8" t="str">
        <x:v>0.5948180514244537</x:v>
      </x:c>
      <x:c r="AQ547" s="6" t="str">
        <x:v>-0.3309224448496458</x:v>
      </x:c>
      <x:c r="AR547" s="6" t="str">
        <x:v>0.1562336910270674</x:v>
      </x:c>
      <x:c r="AS547" s="6" t="str">
        <x:v>0.1400430992006257</x:v>
      </x:c>
      <x:c r="AT547" s="6" t="str">
        <x:v>43.86388984105815</x:v>
      </x:c>
      <x:c r="AU547" s="8" t="str">
        <x:v>0.7806490216103368</x:v>
      </x:c>
      <x:c r="AV547" s="6" t="str">
        <x:v>0.7905785733145387</x:v>
      </x:c>
      <x:c r="AW547" s="6" t="str">
        <x:v>0.9934198435186832</x:v>
      </x:c>
      <x:c r="AX547" s="6" t="str">
        <x:v>0.8548824794811862</x:v>
      </x:c>
      <x:c r="AY547" s="6" t="str">
        <x:v>0</x:v>
      </x:c>
      <x:c r="AZ547" s="6" t="str">
        <x:v>0</x:v>
      </x:c>
      <x:c r="BA547" s="9" t="str">
        <x:v>grid_cells_within_BIG_polygon</x:v>
      </x:c>
      <x:c r="BB547" s="6" t="str">
        <x:v>33</x:v>
      </x:c>
      <x:c r="BC547" s="6" t="str">
        <x:v>0</x:v>
      </x:c>
      <x:c r="BD547" s="6" t="str">
        <x:v>0</x:v>
      </x:c>
      <x:c r="BE547" s="6" t="str">
        <x:v>0</x:v>
      </x:c>
      <x:c r="BF547" s="6" t="str">
        <x:v>0</x:v>
      </x:c>
      <x:c r="BG547" s="6" t="str">
        <x:v>0</x:v>
      </x:c>
      <x:c r="BH547" s="6" t="str">
        <x:v>0</x:v>
      </x:c>
      <x:c r="BI547" s="6" t="str">
        <x:v>0</x:v>
      </x:c>
      <x:c r="BJ547" s="6" t="str">
        <x:v>0</x:v>
      </x:c>
      <x:c r="BK547" s="6" t="str">
        <x:v>0</x:v>
      </x:c>
      <x:c r="BL547" s="6" t="str">
        <x:v>0</x:v>
      </x:c>
      <x:c r="BM547" s="6" t="str">
        <x:v>0</x:v>
      </x:c>
      <x:c r="BN547" s="6" t="str">
        <x:v>0</x:v>
      </x:c>
      <x:c r="BO547" s="6" t="str"/>
      <x:c r="BP547" s="6" t="str">
        <x:v>0</x:v>
      </x:c>
      <x:c r="BQ547" s="6" t="str"/>
      <x:c r="BR547" s="6" t="str">
        <x:v>0</x:v>
      </x:c>
      <x:c r="BS547" s="6" t="str"/>
      <x:c r="BT547" s="6" t="str">
        <x:v>0</x:v>
      </x:c>
      <x:c r="BU547" s="6" t="str"/>
      <x:c r="BV547" s="6" t="str">
        <x:v>0</x:v>
      </x:c>
      <x:c r="BW547" s="9" t="str">
        <x:v>operational_snapshot_annual_totals_may_differ</x:v>
      </x:c>
      <x:c r="BX547" s="9" t="str">
        <x:v>official_live_dashboard_snapshot_subject_to_revision</x:v>
      </x:c>
      <x:c r="BY547" s="9" t="str">
        <x:v>https://tbdashboard.sitb.id/ss_data_tbc03so_2025_provinsi_bulanan_list.php</x:v>
      </x:c>
      <x:c r="BZ547" s="6" t="n">
        <x:v>46246.610671296294</x:v>
      </x:c>
    </x:row>
    <x:row r="548" ht="18" customHeight="1">
      <x:c r="A548" s="6" t="str">
        <x:v>64</x:v>
      </x:c>
      <x:c r="B548" s="6" t="str">
        <x:v>KALIMANTAN TIMUR</x:v>
      </x:c>
      <x:c r="C548" s="6" t="str">
        <x:v>2025</x:v>
      </x:c>
      <x:c r="D548" s="6" t="str">
        <x:v>7</x:v>
      </x:c>
      <x:c r="E548" s="6" t="str">
        <x:v>2025-07</x:v>
      </x:c>
      <x:c r="F548" s="6" t="str">
        <x:v>892</x:v>
      </x:c>
      <x:c r="G548" s="6" t="str">
        <x:v>198</x:v>
      </x:c>
      <x:c r="H548" s="6" t="str">
        <x:v>476</x:v>
      </x:c>
      <x:c r="I548" s="6" t="str">
        <x:v>52</x:v>
      </x:c>
      <x:c r="J548" s="6" t="str">
        <x:v>32</x:v>
      </x:c>
      <x:c r="K548" s="6" t="str">
        <x:v>0</x:v>
      </x:c>
      <x:c r="L548" s="6" t="str">
        <x:v>2</x:v>
      </x:c>
      <x:c r="M548" s="6" t="str">
        <x:v>132</x:v>
      </x:c>
      <x:c r="N548" s="6" t="str">
        <x:v>892</x:v>
      </x:c>
      <x:c r="O548" s="6" t="str">
        <x:v>0</x:v>
      </x:c>
      <x:c r="P548" s="10" t="n">
        <x:f>F548-M548</x:f>
        <x:v>760</x:v>
      </x:c>
      <x:c r="Q548" s="11" t="n">
        <x:f>IFERROR(M548/F548,"")</x:f>
        <x:v>0.14798206278026907</x:v>
      </x:c>
      <x:c r="R548" s="10" t="n">
        <x:f>G548+H548</x:f>
        <x:v>674</x:v>
      </x:c>
      <x:c r="S548" s="11" t="n">
        <x:f>IFERROR(R548/F548,"")</x:f>
        <x:v>0.7556053811659192</x:v>
      </x:c>
      <x:c r="T548" s="11" t="n">
        <x:f>IFERROR(R548/P548,"")</x:f>
        <x:v>0.8868421052631579</x:v>
      </x:c>
      <x:c r="U548" s="10" t="n">
        <x:f>I548+J548+K548</x:f>
        <x:v>84</x:v>
      </x:c>
      <x:c r="V548" s="11" t="n">
        <x:f>IFERROR(U548/P548,"")</x:f>
        <x:v>0.11052631578947368</x:v>
      </x:c>
      <x:c r="W548" s="9" t="str">
        <x:v>provisional_gt_5pct_pending</x:v>
      </x:c>
      <x:c r="X548" s="12" t="n">
        <x:f>IFERROR(F548/Z548*100000,"")</x:f>
        <x:v>20.90167775799044</x:v>
      </x:c>
      <x:c r="Y548" s="13" t="n">
        <x:f>LN(Z548)</x:f>
        <x:v>15.266562166299444</x:v>
      </x:c>
      <x:c r="Z548" s="6" t="str">
        <x:v>4267600</x:v>
      </x:c>
      <x:c r="AA548" s="6" t="str">
        <x:v>34.0</x:v>
      </x:c>
      <x:c r="AB548" s="9" t="str">
        <x:v>2025-06-30</x:v>
      </x:c>
      <x:c r="AC548" s="8" t="str">
        <x:v>92.57</x:v>
      </x:c>
      <x:c r="AD548" s="9" t="str">
        <x:v>2025 (Susenas)</x:v>
      </x:c>
      <x:c r="AE548" s="8" t="str">
        <x:v>5.17</x:v>
      </x:c>
      <x:c r="AF548" s="9" t="str">
        <x:v>Maret 2025 (Susenas)</x:v>
      </x:c>
      <x:c r="AG548" s="6" t="str">
        <x:v>25.05432338199544</x:v>
      </x:c>
      <x:c r="AH548" s="8" t="str">
        <x:v>90.76963467879942</x:v>
      </x:c>
      <x:c r="AI548" s="6" t="str">
        <x:v>142.82896516515498</x:v>
      </x:c>
      <x:c r="AJ548" s="6" t="str">
        <x:v>0.4890700422380725</x:v>
      </x:c>
      <x:c r="AK548" s="8" t="str">
        <x:v>1.7380586470020427</x:v>
      </x:c>
      <x:c r="AL548" s="6" t="str">
        <x:v>0.5182070801069514</x:v>
      </x:c>
      <x:c r="AM548" s="6" t="str">
        <x:v>1.125093120180016</x:v>
      </x:c>
      <x:c r="AN548" s="6" t="str">
        <x:v>1.127119615763003</x:v>
      </x:c>
      <x:c r="AO548" s="6" t="str">
        <x:v>0.4991118705674608</x:v>
      </x:c>
      <x:c r="AP548" s="8" t="str">
        <x:v>0.4344228697871026</x:v>
      </x:c>
      <x:c r="AQ548" s="6" t="str">
        <x:v>0.5948180514244537</x:v>
      </x:c>
      <x:c r="AR548" s="6" t="str">
        <x:v>-0.3309224448496458</x:v>
      </x:c>
      <x:c r="AS548" s="6" t="str">
        <x:v>0.2327728254539708</x:v>
      </x:c>
      <x:c r="AT548" s="6" t="str">
        <x:v>-14.788271203603216</x:v>
      </x:c>
      <x:c r="AU548" s="8" t="str">
        <x:v>-0.232469497676705</x:v>
      </x:c>
      <x:c r="AV548" s="6" t="str">
        <x:v>0.7806490216103368</x:v>
      </x:c>
      <x:c r="AW548" s="6" t="str">
        <x:v>0.7905785733145387</x:v>
      </x:c>
      <x:c r="AX548" s="6" t="str">
        <x:v>0.4462526990827235</x:v>
      </x:c>
      <x:c r="AY548" s="6" t="str">
        <x:v>0</x:v>
      </x:c>
      <x:c r="AZ548" s="6" t="str">
        <x:v>1</x:v>
      </x:c>
      <x:c r="BA548" s="9" t="str">
        <x:v>grid_cells_within_BIG_polygon</x:v>
      </x:c>
      <x:c r="BB548" s="6" t="str">
        <x:v>33</x:v>
      </x:c>
      <x:c r="BC548" s="6" t="str">
        <x:v>5</x:v>
      </x:c>
      <x:c r="BD548" s="6" t="str">
        <x:v>5</x:v>
      </x:c>
      <x:c r="BE548" s="6" t="str">
        <x:v>1</x:v>
      </x:c>
      <x:c r="BF548" s="6" t="str">
        <x:v>0</x:v>
      </x:c>
      <x:c r="BG548" s="6" t="str">
        <x:v>0</x:v>
      </x:c>
      <x:c r="BH548" s="6" t="str">
        <x:v>1</x:v>
      </x:c>
      <x:c r="BI548" s="6" t="str">
        <x:v>3</x:v>
      </x:c>
      <x:c r="BJ548" s="6" t="str">
        <x:v>0</x:v>
      </x:c>
      <x:c r="BK548" s="6" t="str">
        <x:v>0</x:v>
      </x:c>
      <x:c r="BL548" s="6" t="str">
        <x:v>0</x:v>
      </x:c>
      <x:c r="BM548" s="6" t="str">
        <x:v>0</x:v>
      </x:c>
      <x:c r="BN548" s="6" t="str">
        <x:v>5</x:v>
      </x:c>
      <x:c r="BO548" s="6" t="str"/>
      <x:c r="BP548" s="6" t="str">
        <x:v>0</x:v>
      </x:c>
      <x:c r="BQ548" s="6" t="str"/>
      <x:c r="BR548" s="6" t="str">
        <x:v>0</x:v>
      </x:c>
      <x:c r="BS548" s="6" t="str">
        <x:v>0.0</x:v>
      </x:c>
      <x:c r="BT548" s="6" t="str">
        <x:v>5</x:v>
      </x:c>
      <x:c r="BU548" s="6" t="str">
        <x:v>30.0</x:v>
      </x:c>
      <x:c r="BV548" s="6" t="str">
        <x:v>1</x:v>
      </x:c>
      <x:c r="BW548" s="9" t="str">
        <x:v>operational_snapshot_annual_totals_may_differ</x:v>
      </x:c>
      <x:c r="BX548" s="9" t="str">
        <x:v>official_live_dashboard_snapshot_subject_to_revision</x:v>
      </x:c>
      <x:c r="BY548" s="9" t="str">
        <x:v>https://tbdashboard.sitb.id/ss_data_tbc03so_2025_provinsi_bulanan_list.php</x:v>
      </x:c>
      <x:c r="BZ548" s="6" t="n">
        <x:v>46246.610671296294</x:v>
      </x:c>
    </x:row>
    <x:row r="549" ht="18" customHeight="1">
      <x:c r="A549" s="6" t="str">
        <x:v>64</x:v>
      </x:c>
      <x:c r="B549" s="6" t="str">
        <x:v>KALIMANTAN TIMUR</x:v>
      </x:c>
      <x:c r="C549" s="6" t="str">
        <x:v>2025</x:v>
      </x:c>
      <x:c r="D549" s="6" t="str">
        <x:v>8</x:v>
      </x:c>
      <x:c r="E549" s="6" t="str">
        <x:v>2025-08</x:v>
      </x:c>
      <x:c r="F549" s="6" t="str">
        <x:v>867</x:v>
      </x:c>
      <x:c r="G549" s="6" t="str">
        <x:v>151</x:v>
      </x:c>
      <x:c r="H549" s="6" t="str">
        <x:v>456</x:v>
      </x:c>
      <x:c r="I549" s="6" t="str">
        <x:v>62</x:v>
      </x:c>
      <x:c r="J549" s="6" t="str">
        <x:v>46</x:v>
      </x:c>
      <x:c r="K549" s="6" t="str">
        <x:v>1</x:v>
      </x:c>
      <x:c r="L549" s="6" t="str">
        <x:v>4</x:v>
      </x:c>
      <x:c r="M549" s="6" t="str">
        <x:v>147</x:v>
      </x:c>
      <x:c r="N549" s="6" t="str">
        <x:v>867</x:v>
      </x:c>
      <x:c r="O549" s="6" t="str">
        <x:v>0</x:v>
      </x:c>
      <x:c r="P549" s="10" t="n">
        <x:f>F549-M549</x:f>
        <x:v>720</x:v>
      </x:c>
      <x:c r="Q549" s="11" t="n">
        <x:f>IFERROR(M549/F549,"")</x:f>
        <x:v>0.1695501730103806</x:v>
      </x:c>
      <x:c r="R549" s="10" t="n">
        <x:f>G549+H549</x:f>
        <x:v>607</x:v>
      </x:c>
      <x:c r="S549" s="11" t="n">
        <x:f>IFERROR(R549/F549,"")</x:f>
        <x:v>0.7001153402537486</x:v>
      </x:c>
      <x:c r="T549" s="11" t="n">
        <x:f>IFERROR(R549/P549,"")</x:f>
        <x:v>0.8430555555555556</x:v>
      </x:c>
      <x:c r="U549" s="10" t="n">
        <x:f>I549+J549+K549</x:f>
        <x:v>109</x:v>
      </x:c>
      <x:c r="V549" s="11" t="n">
        <x:f>IFERROR(U549/P549,"")</x:f>
        <x:v>0.15138888888888888</x:v>
      </x:c>
      <x:c r="W549" s="9" t="str">
        <x:v>provisional_gt_5pct_pending</x:v>
      </x:c>
      <x:c r="X549" s="12" t="n">
        <x:f>IFERROR(F549/Z549*100000,"")</x:f>
        <x:v>20.31586840378667</x:v>
      </x:c>
      <x:c r="Y549" s="13" t="n">
        <x:f>LN(Z549)</x:f>
        <x:v>15.266562166299444</x:v>
      </x:c>
      <x:c r="Z549" s="6" t="str">
        <x:v>4267600</x:v>
      </x:c>
      <x:c r="AA549" s="6" t="str">
        <x:v>34.0</x:v>
      </x:c>
      <x:c r="AB549" s="9" t="str">
        <x:v>2025-06-30</x:v>
      </x:c>
      <x:c r="AC549" s="8" t="str">
        <x:v>92.57</x:v>
      </x:c>
      <x:c r="AD549" s="9" t="str">
        <x:v>2025 (Susenas)</x:v>
      </x:c>
      <x:c r="AE549" s="8" t="str">
        <x:v>5.17</x:v>
      </x:c>
      <x:c r="AF549" s="9" t="str">
        <x:v>Maret 2025 (Susenas)</x:v>
      </x:c>
      <x:c r="AG549" s="6" t="str">
        <x:v>24.693417740270775</x:v>
      </x:c>
      <x:c r="AH549" s="8" t="str">
        <x:v>90.6268996488749</x:v>
      </x:c>
      <x:c r="AI549" s="6" t="str">
        <x:v>243.8890539355034</x:v>
      </x:c>
      <x:c r="AJ549" s="6" t="str">
        <x:v>0.022488240527533</x:v>
      </x:c>
      <x:c r="AK549" s="8" t="str">
        <x:v>0.0832466821704043</x:v>
      </x:c>
      <x:c r="AL549" s="6" t="str">
        <x:v>1.7380586470020427</x:v>
      </x:c>
      <x:c r="AM549" s="6" t="str">
        <x:v>0.5182070801069514</x:v>
      </x:c>
      <x:c r="AN549" s="6" t="str">
        <x:v>0.7798374697597993</x:v>
      </x:c>
      <x:c r="AO549" s="6" t="str">
        <x:v>1.5391062100253237</x:v>
      </x:c>
      <x:c r="AP549" s="8" t="str">
        <x:v>0.8820840708783138</x:v>
      </x:c>
      <x:c r="AQ549" s="6" t="str">
        <x:v>0.4344228697871026</x:v>
      </x:c>
      <x:c r="AR549" s="6" t="str">
        <x:v>0.5948180514244537</x:v>
      </x:c>
      <x:c r="AS549" s="6" t="str">
        <x:v>0.637108330696624</x:v>
      </x:c>
      <x:c r="AT549" s="6" t="str">
        <x:v>106.08315700520092</x:v>
      </x:c>
      <x:c r="AU549" s="8" t="str">
        <x:v>1.785624888844323</x:v>
      </x:c>
      <x:c r="AV549" s="6" t="str">
        <x:v>-0.232469497676705</x:v>
      </x:c>
      <x:c r="AW549" s="6" t="str">
        <x:v>0.7806490216103368</x:v>
      </x:c>
      <x:c r="AX549" s="6" t="str">
        <x:v>0.7779348042593183</x:v>
      </x:c>
      <x:c r="AY549" s="6" t="str">
        <x:v>1</x:v>
      </x:c>
      <x:c r="AZ549" s="6" t="str">
        <x:v>0</x:v>
      </x:c>
      <x:c r="BA549" s="9" t="str">
        <x:v>grid_cells_within_BIG_polygon</x:v>
      </x:c>
      <x:c r="BB549" s="6" t="str">
        <x:v>33</x:v>
      </x:c>
      <x:c r="BC549" s="6" t="str">
        <x:v>1</x:v>
      </x:c>
      <x:c r="BD549" s="6" t="str">
        <x:v>1</x:v>
      </x:c>
      <x:c r="BE549" s="6" t="str">
        <x:v>0</x:v>
      </x:c>
      <x:c r="BF549" s="6" t="str">
        <x:v>0</x:v>
      </x:c>
      <x:c r="BG549" s="6" t="str">
        <x:v>0</x:v>
      </x:c>
      <x:c r="BH549" s="6" t="str">
        <x:v>0</x:v>
      </x:c>
      <x:c r="BI549" s="6" t="str">
        <x:v>1</x:v>
      </x:c>
      <x:c r="BJ549" s="6" t="str">
        <x:v>0</x:v>
      </x:c>
      <x:c r="BK549" s="6" t="str">
        <x:v>0</x:v>
      </x:c>
      <x:c r="BL549" s="6" t="str">
        <x:v>0</x:v>
      </x:c>
      <x:c r="BM549" s="6" t="str">
        <x:v>0</x:v>
      </x:c>
      <x:c r="BN549" s="6" t="str">
        <x:v>1</x:v>
      </x:c>
      <x:c r="BO549" s="6" t="str"/>
      <x:c r="BP549" s="6" t="str">
        <x:v>0</x:v>
      </x:c>
      <x:c r="BQ549" s="6" t="str"/>
      <x:c r="BR549" s="6" t="str">
        <x:v>0</x:v>
      </x:c>
      <x:c r="BS549" s="6" t="str">
        <x:v>0.0</x:v>
      </x:c>
      <x:c r="BT549" s="6" t="str">
        <x:v>1</x:v>
      </x:c>
      <x:c r="BU549" s="6" t="str"/>
      <x:c r="BV549" s="6" t="str">
        <x:v>0</x:v>
      </x:c>
      <x:c r="BW549" s="9" t="str">
        <x:v>operational_snapshot_annual_totals_may_differ</x:v>
      </x:c>
      <x:c r="BX549" s="9" t="str">
        <x:v>official_live_dashboard_snapshot_subject_to_revision</x:v>
      </x:c>
      <x:c r="BY549" s="9" t="str">
        <x:v>https://tbdashboard.sitb.id/ss_data_tbc03so_2025_provinsi_bulanan_list.php</x:v>
      </x:c>
      <x:c r="BZ549" s="6" t="n">
        <x:v>46246.610671296294</x:v>
      </x:c>
    </x:row>
    <x:row r="550" ht="18" customHeight="1">
      <x:c r="A550" s="6" t="str">
        <x:v>64</x:v>
      </x:c>
      <x:c r="B550" s="6" t="str">
        <x:v>KALIMANTAN TIMUR</x:v>
      </x:c>
      <x:c r="C550" s="6" t="str">
        <x:v>2025</x:v>
      </x:c>
      <x:c r="D550" s="6" t="str">
        <x:v>9</x:v>
      </x:c>
      <x:c r="E550" s="6" t="str">
        <x:v>2025-09</x:v>
      </x:c>
      <x:c r="F550" s="6" t="str">
        <x:v>872</x:v>
      </x:c>
      <x:c r="G550" s="6" t="str">
        <x:v>150</x:v>
      </x:c>
      <x:c r="H550" s="6" t="str">
        <x:v>437</x:v>
      </x:c>
      <x:c r="I550" s="6" t="str">
        <x:v>47</x:v>
      </x:c>
      <x:c r="J550" s="6" t="str">
        <x:v>30</x:v>
      </x:c>
      <x:c r="K550" s="6" t="str">
        <x:v>1</x:v>
      </x:c>
      <x:c r="L550" s="6" t="str">
        <x:v>2</x:v>
      </x:c>
      <x:c r="M550" s="6" t="str">
        <x:v>205</x:v>
      </x:c>
      <x:c r="N550" s="6" t="str">
        <x:v>872</x:v>
      </x:c>
      <x:c r="O550" s="6" t="str">
        <x:v>0</x:v>
      </x:c>
      <x:c r="P550" s="10" t="n">
        <x:f>F550-M550</x:f>
        <x:v>667</x:v>
      </x:c>
      <x:c r="Q550" s="11" t="n">
        <x:f>IFERROR(M550/F550,"")</x:f>
        <x:v>0.23509174311926606</x:v>
      </x:c>
      <x:c r="R550" s="10" t="n">
        <x:f>G550+H550</x:f>
        <x:v>587</x:v>
      </x:c>
      <x:c r="S550" s="11" t="n">
        <x:f>IFERROR(R550/F550,"")</x:f>
        <x:v>0.6731651376146789</x:v>
      </x:c>
      <x:c r="T550" s="11" t="n">
        <x:f>IFERROR(R550/P550,"")</x:f>
        <x:v>0.8800599700149925</x:v>
      </x:c>
      <x:c r="U550" s="10" t="n">
        <x:f>I550+J550+K550</x:f>
        <x:v>78</x:v>
      </x:c>
      <x:c r="V550" s="11" t="n">
        <x:f>IFERROR(U550/P550,"")</x:f>
        <x:v>0.11694152923538231</x:v>
      </x:c>
      <x:c r="W550" s="9" t="str">
        <x:v>provisional_gt_5pct_pending</x:v>
      </x:c>
      <x:c r="X550" s="12" t="n">
        <x:f>IFERROR(F550/Z550*100000,"")</x:f>
        <x:v>20.433030274627423</x:v>
      </x:c>
      <x:c r="Y550" s="13" t="n">
        <x:f>LN(Z550)</x:f>
        <x:v>15.266562166299444</x:v>
      </x:c>
      <x:c r="Z550" s="6" t="str">
        <x:v>4267600</x:v>
      </x:c>
      <x:c r="AA550" s="6" t="str">
        <x:v>34.0</x:v>
      </x:c>
      <x:c r="AB550" s="9" t="str">
        <x:v>2025-06-30</x:v>
      </x:c>
      <x:c r="AC550" s="8" t="str">
        <x:v>92.57</x:v>
      </x:c>
      <x:c r="AD550" s="9" t="str">
        <x:v>2025 (Susenas)</x:v>
      </x:c>
      <x:c r="AE550" s="8" t="str">
        <x:v>5.17</x:v>
      </x:c>
      <x:c r="AF550" s="9" t="str">
        <x:v>Maret 2025 (Susenas)</x:v>
      </x:c>
      <x:c r="AG550" s="6" t="str">
        <x:v>25.096443511663185</x:v>
      </x:c>
      <x:c r="AH550" s="8" t="str">
        <x:v>90.52449779041908</x:v>
      </x:c>
      <x:c r="AI550" s="6" t="str">
        <x:v>235.5462996262687</x:v>
      </x:c>
      <x:c r="AJ550" s="6" t="str">
        <x:v>0.1879141989172765</x:v>
      </x:c>
      <x:c r="AK550" s="8" t="str">
        <x:v>0.5314092281733288</x:v>
      </x:c>
      <x:c r="AL550" s="6" t="str">
        <x:v>0.0832466821704043</x:v>
      </x:c>
      <x:c r="AM550" s="6" t="str">
        <x:v>1.7380586470020427</x:v>
      </x:c>
      <x:c r="AN550" s="6" t="str">
        <x:v>0.7842381857819251</x:v>
      </x:c>
      <x:c r="AO550" s="6" t="str">
        <x:v>2.2342092156685567</x:v>
      </x:c>
      <x:c r="AP550" s="8" t="str">
        <x:v>0.9064704393786568</x:v>
      </x:c>
      <x:c r="AQ550" s="6" t="str">
        <x:v>0.8820840708783138</x:v>
      </x:c>
      <x:c r="AR550" s="6" t="str">
        <x:v>0.4344228697871026</x:v>
      </x:c>
      <x:c r="AS550" s="6" t="str">
        <x:v>0.7409924600146919</x:v>
      </x:c>
      <x:c r="AT550" s="6" t="str">
        <x:v>87.19145789890948</x:v>
      </x:c>
      <x:c r="AU550" s="8" t="str">
        <x:v>1.260962664713608</x:v>
      </x:c>
      <x:c r="AV550" s="6" t="str">
        <x:v>1.785624888844323</x:v>
      </x:c>
      <x:c r="AW550" s="6" t="str">
        <x:v>-0.232469497676705</x:v>
      </x:c>
      <x:c r="AX550" s="6" t="str">
        <x:v>0.9380393519604086</x:v>
      </x:c>
      <x:c r="AY550" s="6" t="str">
        <x:v>1</x:v>
      </x:c>
      <x:c r="AZ550" s="6" t="str">
        <x:v>0</x:v>
      </x:c>
      <x:c r="BA550" s="9" t="str">
        <x:v>grid_cells_within_BIG_polygon</x:v>
      </x:c>
      <x:c r="BB550" s="6" t="str">
        <x:v>33</x:v>
      </x:c>
      <x:c r="BC550" s="6" t="str">
        <x:v>3</x:v>
      </x:c>
      <x:c r="BD550" s="6" t="str">
        <x:v>3</x:v>
      </x:c>
      <x:c r="BE550" s="6" t="str">
        <x:v>3</x:v>
      </x:c>
      <x:c r="BF550" s="6" t="str">
        <x:v>0</x:v>
      </x:c>
      <x:c r="BG550" s="6" t="str">
        <x:v>0</x:v>
      </x:c>
      <x:c r="BH550" s="6" t="str">
        <x:v>0</x:v>
      </x:c>
      <x:c r="BI550" s="6" t="str">
        <x:v>0</x:v>
      </x:c>
      <x:c r="BJ550" s="6" t="str">
        <x:v>0</x:v>
      </x:c>
      <x:c r="BK550" s="6" t="str">
        <x:v>0</x:v>
      </x:c>
      <x:c r="BL550" s="6" t="str">
        <x:v>0</x:v>
      </x:c>
      <x:c r="BM550" s="6" t="str">
        <x:v>0</x:v>
      </x:c>
      <x:c r="BN550" s="6" t="str">
        <x:v>3</x:v>
      </x:c>
      <x:c r="BO550" s="6" t="str"/>
      <x:c r="BP550" s="6" t="str">
        <x:v>0</x:v>
      </x:c>
      <x:c r="BQ550" s="6" t="str"/>
      <x:c r="BR550" s="6" t="str">
        <x:v>0</x:v>
      </x:c>
      <x:c r="BS550" s="6" t="str">
        <x:v>0.0</x:v>
      </x:c>
      <x:c r="BT550" s="6" t="str">
        <x:v>3</x:v>
      </x:c>
      <x:c r="BU550" s="6" t="str">
        <x:v>1977.0</x:v>
      </x:c>
      <x:c r="BV550" s="6" t="str">
        <x:v>3</x:v>
      </x:c>
      <x:c r="BW550" s="9" t="str">
        <x:v>operational_snapshot_annual_totals_may_differ</x:v>
      </x:c>
      <x:c r="BX550" s="9" t="str">
        <x:v>official_live_dashboard_snapshot_subject_to_revision</x:v>
      </x:c>
      <x:c r="BY550" s="9" t="str">
        <x:v>https://tbdashboard.sitb.id/ss_data_tbc03so_2025_provinsi_bulanan_list.php</x:v>
      </x:c>
      <x:c r="BZ550" s="6" t="n">
        <x:v>46246.610671296294</x:v>
      </x:c>
    </x:row>
    <x:row r="551" ht="18" customHeight="1">
      <x:c r="A551" s="6" t="str">
        <x:v>64</x:v>
      </x:c>
      <x:c r="B551" s="6" t="str">
        <x:v>KALIMANTAN TIMUR</x:v>
      </x:c>
      <x:c r="C551" s="6" t="str">
        <x:v>2025</x:v>
      </x:c>
      <x:c r="D551" s="6" t="str">
        <x:v>10</x:v>
      </x:c>
      <x:c r="E551" s="6" t="str">
        <x:v>2025-10</x:v>
      </x:c>
      <x:c r="F551" s="6" t="str">
        <x:v>1133</x:v>
      </x:c>
      <x:c r="G551" s="6" t="str">
        <x:v>191</x:v>
      </x:c>
      <x:c r="H551" s="6" t="str">
        <x:v>504</x:v>
      </x:c>
      <x:c r="I551" s="6" t="str">
        <x:v>61</x:v>
      </x:c>
      <x:c r="J551" s="6" t="str">
        <x:v>25</x:v>
      </x:c>
      <x:c r="K551" s="6" t="str">
        <x:v>2</x:v>
      </x:c>
      <x:c r="L551" s="6" t="str">
        <x:v>2</x:v>
      </x:c>
      <x:c r="M551" s="6" t="str">
        <x:v>348</x:v>
      </x:c>
      <x:c r="N551" s="6" t="str">
        <x:v>1133</x:v>
      </x:c>
      <x:c r="O551" s="6" t="str">
        <x:v>0</x:v>
      </x:c>
      <x:c r="P551" s="10" t="n">
        <x:f>F551-M551</x:f>
        <x:v>785</x:v>
      </x:c>
      <x:c r="Q551" s="11" t="n">
        <x:f>IFERROR(M551/F551,"")</x:f>
        <x:v>0.30714916151809357</x:v>
      </x:c>
      <x:c r="R551" s="10" t="n">
        <x:f>G551+H551</x:f>
        <x:v>695</x:v>
      </x:c>
      <x:c r="S551" s="11" t="n">
        <x:f>IFERROR(R551/F551,"")</x:f>
        <x:v>0.6134157105030892</x:v>
      </x:c>
      <x:c r="T551" s="11" t="n">
        <x:f>IFERROR(R551/P551,"")</x:f>
        <x:v>0.8853503184713376</x:v>
      </x:c>
      <x:c r="U551" s="10" t="n">
        <x:f>I551+J551+K551</x:f>
        <x:v>88</x:v>
      </x:c>
      <x:c r="V551" s="11" t="n">
        <x:f>IFERROR(U551/P551,"")</x:f>
        <x:v>0.11210191082802548</x:v>
      </x:c>
      <x:c r="W551" s="9" t="str">
        <x:v>provisional_gt_5pct_pending</x:v>
      </x:c>
      <x:c r="X551" s="12" t="n">
        <x:f>IFERROR(F551/Z551*100000,"")</x:f>
        <x:v>26.54887993251476</x:v>
      </x:c>
      <x:c r="Y551" s="13" t="n">
        <x:f>LN(Z551)</x:f>
        <x:v>15.266562166299444</x:v>
      </x:c>
      <x:c r="Z551" s="6" t="str">
        <x:v>4267600</x:v>
      </x:c>
      <x:c r="AA551" s="6" t="str">
        <x:v>34.0</x:v>
      </x:c>
      <x:c r="AB551" s="9" t="str">
        <x:v>2025-06-30</x:v>
      </x:c>
      <x:c r="AC551" s="8" t="str">
        <x:v>92.57</x:v>
      </x:c>
      <x:c r="AD551" s="9" t="str">
        <x:v>2025 (Susenas)</x:v>
      </x:c>
      <x:c r="AE551" s="8" t="str">
        <x:v>5.17</x:v>
      </x:c>
      <x:c r="AF551" s="9" t="str">
        <x:v>Maret 2025 (Susenas)</x:v>
      </x:c>
      <x:c r="AG551" s="6" t="str">
        <x:v>25.3609917180761</x:v>
      </x:c>
      <x:c r="AH551" s="8" t="str">
        <x:v>89.67238661514426</x:v>
      </x:c>
      <x:c r="AI551" s="6" t="str">
        <x:v>294.33159467557533</x:v>
      </x:c>
      <x:c r="AJ551" s="6" t="str">
        <x:v>0.1712955291439186</x:v>
      </x:c>
      <x:c r="AK551" s="8" t="str">
        <x:v>0.561437762515187</x:v>
      </x:c>
      <x:c r="AL551" s="6" t="str">
        <x:v>0.5314092281733288</x:v>
      </x:c>
      <x:c r="AM551" s="6" t="str">
        <x:v>0.0832466821704043</x:v>
      </x:c>
      <x:c r="AN551" s="6" t="str">
        <x:v>0.3920312242863064</x:v>
      </x:c>
      <x:c r="AO551" s="6" t="str">
        <x:v>1.1673805837948803</x:v>
      </x:c>
      <x:c r="AP551" s="8" t="str">
        <x:v>0.4368108331808427</x:v>
      </x:c>
      <x:c r="AQ551" s="6" t="str">
        <x:v>0.9064704393786568</x:v>
      </x:c>
      <x:c r="AR551" s="6" t="str">
        <x:v>0.8820840708783138</x:v>
      </x:c>
      <x:c r="AS551" s="6" t="str">
        <x:v>0.741788447812605</x:v>
      </x:c>
      <x:c r="AT551" s="6" t="str">
        <x:v>99.28569288237054</x:v>
      </x:c>
      <x:c r="AU551" s="8" t="str">
        <x:v>1.4079482319884469</x:v>
      </x:c>
      <x:c r="AV551" s="6" t="str">
        <x:v>1.260962664713608</x:v>
      </x:c>
      <x:c r="AW551" s="6" t="str">
        <x:v>1.785624888844323</x:v>
      </x:c>
      <x:c r="AX551" s="6" t="str">
        <x:v>1.4848452618487926</x:v>
      </x:c>
      <x:c r="AY551" s="6" t="str">
        <x:v>1</x:v>
      </x:c>
      <x:c r="AZ551" s="6" t="str">
        <x:v>0</x:v>
      </x:c>
      <x:c r="BA551" s="9" t="str">
        <x:v>grid_cells_within_BIG_polygon</x:v>
      </x:c>
      <x:c r="BB551" s="6" t="str">
        <x:v>33</x:v>
      </x:c>
      <x:c r="BC551" s="6" t="str">
        <x:v>2</x:v>
      </x:c>
      <x:c r="BD551" s="6" t="str">
        <x:v>2</x:v>
      </x:c>
      <x:c r="BE551" s="6" t="str">
        <x:v>1</x:v>
      </x:c>
      <x:c r="BF551" s="6" t="str">
        <x:v>0</x:v>
      </x:c>
      <x:c r="BG551" s="6" t="str">
        <x:v>1</x:v>
      </x:c>
      <x:c r="BH551" s="6" t="str">
        <x:v>0</x:v>
      </x:c>
      <x:c r="BI551" s="6" t="str">
        <x:v>0</x:v>
      </x:c>
      <x:c r="BJ551" s="6" t="str">
        <x:v>0</x:v>
      </x:c>
      <x:c r="BK551" s="6" t="str">
        <x:v>0</x:v>
      </x:c>
      <x:c r="BL551" s="6" t="str">
        <x:v>0</x:v>
      </x:c>
      <x:c r="BM551" s="6" t="str">
        <x:v>0</x:v>
      </x:c>
      <x:c r="BN551" s="6" t="str">
        <x:v>2</x:v>
      </x:c>
      <x:c r="BO551" s="6" t="str">
        <x:v>2.0</x:v>
      </x:c>
      <x:c r="BP551" s="6" t="str">
        <x:v>1</x:v>
      </x:c>
      <x:c r="BQ551" s="6" t="str">
        <x:v>2.0</x:v>
      </x:c>
      <x:c r="BR551" s="6" t="str">
        <x:v>1</x:v>
      </x:c>
      <x:c r="BS551" s="6" t="str">
        <x:v>1.0</x:v>
      </x:c>
      <x:c r="BT551" s="6" t="str">
        <x:v>2</x:v>
      </x:c>
      <x:c r="BU551" s="6" t="str">
        <x:v>119.0</x:v>
      </x:c>
      <x:c r="BV551" s="6" t="str">
        <x:v>1</x:v>
      </x:c>
      <x:c r="BW551" s="9" t="str">
        <x:v>operational_snapshot_annual_totals_may_differ</x:v>
      </x:c>
      <x:c r="BX551" s="9" t="str">
        <x:v>official_live_dashboard_snapshot_subject_to_revision</x:v>
      </x:c>
      <x:c r="BY551" s="9" t="str">
        <x:v>https://tbdashboard.sitb.id/ss_data_tbc03so_2025_provinsi_bulanan_list.php</x:v>
      </x:c>
      <x:c r="BZ551" s="6" t="n">
        <x:v>46246.610671296294</x:v>
      </x:c>
    </x:row>
    <x:row r="552" ht="18" customHeight="1">
      <x:c r="A552" s="6" t="str">
        <x:v>64</x:v>
      </x:c>
      <x:c r="B552" s="6" t="str">
        <x:v>KALIMANTAN TIMUR</x:v>
      </x:c>
      <x:c r="C552" s="6" t="str">
        <x:v>2025</x:v>
      </x:c>
      <x:c r="D552" s="6" t="str">
        <x:v>11</x:v>
      </x:c>
      <x:c r="E552" s="6" t="str">
        <x:v>2025-11</x:v>
      </x:c>
      <x:c r="F552" s="6" t="str">
        <x:v>944</x:v>
      </x:c>
      <x:c r="G552" s="6" t="str">
        <x:v>152</x:v>
      </x:c>
      <x:c r="H552" s="6" t="str">
        <x:v>380</x:v>
      </x:c>
      <x:c r="I552" s="6" t="str">
        <x:v>50</x:v>
      </x:c>
      <x:c r="J552" s="6" t="str">
        <x:v>27</x:v>
      </x:c>
      <x:c r="K552" s="6" t="str">
        <x:v>1</x:v>
      </x:c>
      <x:c r="L552" s="6" t="str">
        <x:v>2</x:v>
      </x:c>
      <x:c r="M552" s="6" t="str">
        <x:v>332</x:v>
      </x:c>
      <x:c r="N552" s="6" t="str">
        <x:v>944</x:v>
      </x:c>
      <x:c r="O552" s="6" t="str">
        <x:v>0</x:v>
      </x:c>
      <x:c r="P552" s="10" t="n">
        <x:f>F552-M552</x:f>
        <x:v>612</x:v>
      </x:c>
      <x:c r="Q552" s="11" t="n">
        <x:f>IFERROR(M552/F552,"")</x:f>
        <x:v>0.3516949152542373</x:v>
      </x:c>
      <x:c r="R552" s="10" t="n">
        <x:f>G552+H552</x:f>
        <x:v>532</x:v>
      </x:c>
      <x:c r="S552" s="11" t="n">
        <x:f>IFERROR(R552/F552,"")</x:f>
        <x:v>0.5635593220338984</x:v>
      </x:c>
      <x:c r="T552" s="11" t="n">
        <x:f>IFERROR(R552/P552,"")</x:f>
        <x:v>0.869281045751634</x:v>
      </x:c>
      <x:c r="U552" s="10" t="n">
        <x:f>I552+J552+K552</x:f>
        <x:v>78</x:v>
      </x:c>
      <x:c r="V552" s="11" t="n">
        <x:f>IFERROR(U552/P552,"")</x:f>
        <x:v>0.12745098039215685</x:v>
      </x:c>
      <x:c r="W552" s="9" t="str">
        <x:v>provisional_gt_5pct_pending</x:v>
      </x:c>
      <x:c r="X552" s="12" t="n">
        <x:f>IFERROR(F552/Z552*100000,"")</x:f>
        <x:v>22.120161214734278</x:v>
      </x:c>
      <x:c r="Y552" s="13" t="n">
        <x:f>LN(Z552)</x:f>
        <x:v>15.266562166299444</x:v>
      </x:c>
      <x:c r="Z552" s="6" t="str">
        <x:v>4267600</x:v>
      </x:c>
      <x:c r="AA552" s="6" t="str">
        <x:v>34.0</x:v>
      </x:c>
      <x:c r="AB552" s="9" t="str">
        <x:v>2025-06-30</x:v>
      </x:c>
      <x:c r="AC552" s="8" t="str">
        <x:v>92.57</x:v>
      </x:c>
      <x:c r="AD552" s="9" t="str">
        <x:v>2025 (Susenas)</x:v>
      </x:c>
      <x:c r="AE552" s="8" t="str">
        <x:v>5.17</x:v>
      </x:c>
      <x:c r="AF552" s="9" t="str">
        <x:v>Maret 2025 (Susenas)</x:v>
      </x:c>
      <x:c r="AG552" s="6" t="str">
        <x:v>25.366447700899474</x:v>
      </x:c>
      <x:c r="AH552" s="8" t="str">
        <x:v>90.81540568145766</x:v>
      </x:c>
      <x:c r="AI552" s="6" t="str">
        <x:v>340.4700297920656</x:v>
      </x:c>
      <x:c r="AJ552" s="6" t="str">
        <x:v>0.1780329408367755</x:v>
      </x:c>
      <x:c r="AK552" s="8" t="str">
        <x:v>0.7353432707544205</x:v>
      </x:c>
      <x:c r="AL552" s="6" t="str">
        <x:v>0.561437762515187</x:v>
      </x:c>
      <x:c r="AM552" s="6" t="str">
        <x:v>0.5314092281733288</x:v>
      </x:c>
      <x:c r="AN552" s="6" t="str">
        <x:v>0.6093967538143118</x:v>
      </x:c>
      <x:c r="AO552" s="6" t="str">
        <x:v>1.144469821558218</x:v>
      </x:c>
      <x:c r="AP552" s="8" t="str">
        <x:v>0.785463710793405</x:v>
      </x:c>
      <x:c r="AQ552" s="6" t="str">
        <x:v>0.4368108331808427</x:v>
      </x:c>
      <x:c r="AR552" s="6" t="str">
        <x:v>0.9064704393786568</x:v>
      </x:c>
      <x:c r="AS552" s="6" t="str">
        <x:v>0.7095816611176357</x:v>
      </x:c>
      <x:c r="AT552" s="6" t="str">
        <x:v>103.38415680104131</x:v>
      </x:c>
      <x:c r="AU552" s="8" t="str">
        <x:v>1.809999656364387</x:v>
      </x:c>
      <x:c r="AV552" s="6" t="str">
        <x:v>1.4079482319884469</x:v>
      </x:c>
      <x:c r="AW552" s="6" t="str">
        <x:v>1.260962664713608</x:v>
      </x:c>
      <x:c r="AX552" s="6" t="str">
        <x:v>1.4929701843554806</x:v>
      </x:c>
      <x:c r="AY552" s="6" t="str">
        <x:v>1</x:v>
      </x:c>
      <x:c r="AZ552" s="6" t="str">
        <x:v>0</x:v>
      </x:c>
      <x:c r="BA552" s="9" t="str">
        <x:v>grid_cells_within_BIG_polygon</x:v>
      </x:c>
      <x:c r="BB552" s="6" t="str">
        <x:v>33</x:v>
      </x:c>
      <x:c r="BC552" s="6" t="str">
        <x:v>1</x:v>
      </x:c>
      <x:c r="BD552" s="6" t="str">
        <x:v>1</x:v>
      </x:c>
      <x:c r="BE552" s="6" t="str">
        <x:v>0</x:v>
      </x:c>
      <x:c r="BF552" s="6" t="str">
        <x:v>0</x:v>
      </x:c>
      <x:c r="BG552" s="6" t="str">
        <x:v>1</x:v>
      </x:c>
      <x:c r="BH552" s="6" t="str">
        <x:v>0</x:v>
      </x:c>
      <x:c r="BI552" s="6" t="str">
        <x:v>0</x:v>
      </x:c>
      <x:c r="BJ552" s="6" t="str">
        <x:v>0</x:v>
      </x:c>
      <x:c r="BK552" s="6" t="str">
        <x:v>0</x:v>
      </x:c>
      <x:c r="BL552" s="6" t="str">
        <x:v>0</x:v>
      </x:c>
      <x:c r="BM552" s="6" t="str">
        <x:v>0</x:v>
      </x:c>
      <x:c r="BN552" s="6" t="str">
        <x:v>1</x:v>
      </x:c>
      <x:c r="BO552" s="6" t="str"/>
      <x:c r="BP552" s="6" t="str">
        <x:v>0</x:v>
      </x:c>
      <x:c r="BQ552" s="6" t="str"/>
      <x:c r="BR552" s="6" t="str">
        <x:v>0</x:v>
      </x:c>
      <x:c r="BS552" s="6" t="str">
        <x:v>4.0</x:v>
      </x:c>
      <x:c r="BT552" s="6" t="str">
        <x:v>1</x:v>
      </x:c>
      <x:c r="BU552" s="6" t="str"/>
      <x:c r="BV552" s="6" t="str">
        <x:v>0</x:v>
      </x:c>
      <x:c r="BW552" s="9" t="str">
        <x:v>operational_snapshot_annual_totals_may_differ</x:v>
      </x:c>
      <x:c r="BX552" s="9" t="str">
        <x:v>official_live_dashboard_snapshot_subject_to_revision</x:v>
      </x:c>
      <x:c r="BY552" s="9" t="str">
        <x:v>https://tbdashboard.sitb.id/ss_data_tbc03so_2025_provinsi_bulanan_list.php</x:v>
      </x:c>
      <x:c r="BZ552" s="6" t="n">
        <x:v>46246.610671296294</x:v>
      </x:c>
    </x:row>
    <x:row r="553" ht="18" customHeight="1">
      <x:c r="A553" s="6" t="str">
        <x:v>64</x:v>
      </x:c>
      <x:c r="B553" s="6" t="str">
        <x:v>KALIMANTAN TIMUR</x:v>
      </x:c>
      <x:c r="C553" s="6" t="str">
        <x:v>2025</x:v>
      </x:c>
      <x:c r="D553" s="6" t="str">
        <x:v>12</x:v>
      </x:c>
      <x:c r="E553" s="6" t="str">
        <x:v>2025-12</x:v>
      </x:c>
      <x:c r="F553" s="6" t="str">
        <x:v>719</x:v>
      </x:c>
      <x:c r="G553" s="6" t="str">
        <x:v>105</x:v>
      </x:c>
      <x:c r="H553" s="6" t="str">
        <x:v>252</x:v>
      </x:c>
      <x:c r="I553" s="6" t="str">
        <x:v>32</x:v>
      </x:c>
      <x:c r="J553" s="6" t="str">
        <x:v>20</x:v>
      </x:c>
      <x:c r="K553" s="6" t="str">
        <x:v>0</x:v>
      </x:c>
      <x:c r="L553" s="6" t="str">
        <x:v>0</x:v>
      </x:c>
      <x:c r="M553" s="6" t="str">
        <x:v>310</x:v>
      </x:c>
      <x:c r="N553" s="6" t="str">
        <x:v>719</x:v>
      </x:c>
      <x:c r="O553" s="6" t="str">
        <x:v>0</x:v>
      </x:c>
      <x:c r="P553" s="10" t="n">
        <x:f>F553-M553</x:f>
        <x:v>409</x:v>
      </x:c>
      <x:c r="Q553" s="11" t="n">
        <x:f>IFERROR(M553/F553,"")</x:f>
        <x:v>0.43115438108484005</x:v>
      </x:c>
      <x:c r="R553" s="10" t="n">
        <x:f>G553+H553</x:f>
        <x:v>357</x:v>
      </x:c>
      <x:c r="S553" s="11" t="n">
        <x:f>IFERROR(R553/F553,"")</x:f>
        <x:v>0.4965229485396384</x:v>
      </x:c>
      <x:c r="T553" s="11" t="n">
        <x:f>IFERROR(R553/P553,"")</x:f>
        <x:v>0.8728606356968215</x:v>
      </x:c>
      <x:c r="U553" s="10" t="n">
        <x:f>I553+J553+K553</x:f>
        <x:v>52</x:v>
      </x:c>
      <x:c r="V553" s="11" t="n">
        <x:f>IFERROR(U553/P553,"")</x:f>
        <x:v>0.1271393643031785</x:v>
      </x:c>
      <x:c r="W553" s="9" t="str">
        <x:v>provisional_gt_5pct_pending</x:v>
      </x:c>
      <x:c r="X553" s="12" t="n">
        <x:f>IFERROR(F553/Z553*100000,"")</x:f>
        <x:v>16.847877026900363</x:v>
      </x:c>
      <x:c r="Y553" s="13" t="n">
        <x:f>LN(Z553)</x:f>
        <x:v>15.266562166299444</x:v>
      </x:c>
      <x:c r="Z553" s="6" t="str">
        <x:v>4267600</x:v>
      </x:c>
      <x:c r="AA553" s="6" t="str">
        <x:v>34.0</x:v>
      </x:c>
      <x:c r="AB553" s="9" t="str">
        <x:v>2025-06-30</x:v>
      </x:c>
      <x:c r="AC553" s="8" t="str">
        <x:v>92.57</x:v>
      </x:c>
      <x:c r="AD553" s="9" t="str">
        <x:v>2025 (Susenas)</x:v>
      </x:c>
      <x:c r="AE553" s="8" t="str">
        <x:v>5.17</x:v>
      </x:c>
      <x:c r="AF553" s="9" t="str">
        <x:v>Maret 2025 (Susenas)</x:v>
      </x:c>
      <x:c r="AG553" s="6" t="str">
        <x:v>25.29220045962567</x:v>
      </x:c>
      <x:c r="AH553" s="8" t="str">
        <x:v>90.66694943035478</x:v>
      </x:c>
      <x:c r="AI553" s="6" t="str">
        <x:v>250.7778071487496</x:v>
      </x:c>
      <x:c r="AJ553" s="6" t="str">
        <x:v>0.3407732017491724</x:v>
      </x:c>
      <x:c r="AK553" s="8" t="str">
        <x:v>1.35481049309014</x:v>
      </x:c>
      <x:c r="AL553" s="6" t="str">
        <x:v>0.7353432707544205</x:v>
      </x:c>
      <x:c r="AM553" s="6" t="str">
        <x:v>0.561437762515187</x:v>
      </x:c>
      <x:c r="AN553" s="6" t="str">
        <x:v>0.8838638421199155</x:v>
      </x:c>
      <x:c r="AO553" s="6" t="str">
        <x:v>0.1961851520294431</x:v>
      </x:c>
      <x:c r="AP553" s="8" t="str">
        <x:v>0.2170970754954474</x:v>
      </x:c>
      <x:c r="AQ553" s="6" t="str">
        <x:v>0.785463710793405</x:v>
      </x:c>
      <x:c r="AR553" s="6" t="str">
        <x:v>0.4368108331808427</x:v>
      </x:c>
      <x:c r="AS553" s="6" t="str">
        <x:v>0.4797905398232324</x:v>
      </x:c>
      <x:c r="AT553" s="6" t="str">
        <x:v>-9.07426894577054</x:v>
      </x:c>
      <x:c r="AU553" s="8" t="str">
        <x:v>-0.1659809945073881</x:v>
      </x:c>
      <x:c r="AV553" s="6" t="str">
        <x:v>1.809999656364387</x:v>
      </x:c>
      <x:c r="AW553" s="6" t="str">
        <x:v>1.4079482319884469</x:v>
      </x:c>
      <x:c r="AX553" s="6" t="str">
        <x:v>1.017322297948482</x:v>
      </x:c>
      <x:c r="AY553" s="6" t="str">
        <x:v>0</x:v>
      </x:c>
      <x:c r="AZ553" s="6" t="str">
        <x:v>1</x:v>
      </x:c>
      <x:c r="BA553" s="9" t="str">
        <x:v>grid_cells_within_BIG_polygon</x:v>
      </x:c>
      <x:c r="BB553" s="6" t="str">
        <x:v>33</x:v>
      </x:c>
      <x:c r="BC553" s="6" t="str">
        <x:v>0</x:v>
      </x:c>
      <x:c r="BD553" s="6" t="str">
        <x:v>0</x:v>
      </x:c>
      <x:c r="BE553" s="6" t="str">
        <x:v>0</x:v>
      </x:c>
      <x:c r="BF553" s="6" t="str">
        <x:v>0</x:v>
      </x:c>
      <x:c r="BG553" s="6" t="str">
        <x:v>0</x:v>
      </x:c>
      <x:c r="BH553" s="6" t="str">
        <x:v>0</x:v>
      </x:c>
      <x:c r="BI553" s="6" t="str">
        <x:v>0</x:v>
      </x:c>
      <x:c r="BJ553" s="6" t="str">
        <x:v>0</x:v>
      </x:c>
      <x:c r="BK553" s="6" t="str">
        <x:v>0</x:v>
      </x:c>
      <x:c r="BL553" s="6" t="str">
        <x:v>0</x:v>
      </x:c>
      <x:c r="BM553" s="6" t="str">
        <x:v>0</x:v>
      </x:c>
      <x:c r="BN553" s="6" t="str">
        <x:v>0</x:v>
      </x:c>
      <x:c r="BO553" s="6" t="str"/>
      <x:c r="BP553" s="6" t="str">
        <x:v>0</x:v>
      </x:c>
      <x:c r="BQ553" s="6" t="str"/>
      <x:c r="BR553" s="6" t="str">
        <x:v>0</x:v>
      </x:c>
      <x:c r="BS553" s="6" t="str"/>
      <x:c r="BT553" s="6" t="str">
        <x:v>0</x:v>
      </x:c>
      <x:c r="BU553" s="6" t="str"/>
      <x:c r="BV553" s="6" t="str">
        <x:v>0</x:v>
      </x:c>
      <x:c r="BW553" s="9" t="str">
        <x:v>operational_snapshot_annual_totals_may_differ</x:v>
      </x:c>
      <x:c r="BX553" s="9" t="str">
        <x:v>official_live_dashboard_snapshot_subject_to_revision</x:v>
      </x:c>
      <x:c r="BY553" s="9" t="str">
        <x:v>https://tbdashboard.sitb.id/ss_data_tbc03so_2025_provinsi_bulanan_list.php</x:v>
      </x:c>
      <x:c r="BZ553" s="6" t="n">
        <x:v>46246.610671296294</x:v>
      </x:c>
    </x:row>
    <x:row r="554" ht="18" customHeight="1">
      <x:c r="A554" s="6" t="str">
        <x:v>65</x:v>
      </x:c>
      <x:c r="B554" s="6" t="str">
        <x:v>KALIMANTAN UTARA</x:v>
      </x:c>
      <x:c r="C554" s="6" t="str">
        <x:v>2024</x:v>
      </x:c>
      <x:c r="D554" s="6" t="str">
        <x:v>1</x:v>
      </x:c>
      <x:c r="E554" s="6" t="str">
        <x:v>2024-01</x:v>
      </x:c>
      <x:c r="F554" s="6" t="str">
        <x:v>183</x:v>
      </x:c>
      <x:c r="G554" s="6" t="str">
        <x:v>52</x:v>
      </x:c>
      <x:c r="H554" s="6" t="str">
        <x:v>87</x:v>
      </x:c>
      <x:c r="I554" s="6" t="str">
        <x:v>27</x:v>
      </x:c>
      <x:c r="J554" s="6" t="str">
        <x:v>12</x:v>
      </x:c>
      <x:c r="K554" s="6" t="str">
        <x:v>1</x:v>
      </x:c>
      <x:c r="L554" s="6" t="str">
        <x:v>3</x:v>
      </x:c>
      <x:c r="M554" s="6" t="str">
        <x:v>1</x:v>
      </x:c>
      <x:c r="N554" s="6" t="str">
        <x:v>183</x:v>
      </x:c>
      <x:c r="O554" s="6" t="str">
        <x:v>0</x:v>
      </x:c>
      <x:c r="P554" s="10" t="n">
        <x:f>F554-M554</x:f>
        <x:v>182</x:v>
      </x:c>
      <x:c r="Q554" s="11" t="n">
        <x:f>IFERROR(M554/F554,"")</x:f>
        <x:v>0.00546448087431694</x:v>
      </x:c>
      <x:c r="R554" s="10" t="n">
        <x:f>G554+H554</x:f>
        <x:v>139</x:v>
      </x:c>
      <x:c r="S554" s="11" t="n">
        <x:f>IFERROR(R554/F554,"")</x:f>
        <x:v>0.7595628415300546</x:v>
      </x:c>
      <x:c r="T554" s="11" t="n">
        <x:f>IFERROR(R554/P554,"")</x:f>
        <x:v>0.7637362637362637</x:v>
      </x:c>
      <x:c r="U554" s="10" t="n">
        <x:f>I554+J554+K554</x:f>
        <x:v>40</x:v>
      </x:c>
      <x:c r="V554" s="11" t="n">
        <x:f>IFERROR(U554/P554,"")</x:f>
        <x:v>0.21978021978021978</x:v>
      </x:c>
      <x:c r="W554" s="9" t="str">
        <x:v>mature_le_5pct_pending</x:v>
      </x:c>
      <x:c r="X554" s="12" t="n">
        <x:f>IFERROR(F554/Z554*100000,"")</x:f>
        <x:v>24.736415247364153</x:v>
      </x:c>
      <x:c r="Y554" s="13" t="n">
        <x:f>LN(Z554)</x:f>
        <x:v>13.51413515838049</x:v>
      </x:c>
      <x:c r="Z554" s="6" t="str">
        <x:v>739800</x:v>
      </x:c>
      <x:c r="AA554" s="6" t="str">
        <x:v>11.0</x:v>
      </x:c>
      <x:c r="AB554" s="9" t="str">
        <x:v>2024-06-30</x:v>
      </x:c>
      <x:c r="AC554" s="8" t="str">
        <x:v>85.17</x:v>
      </x:c>
      <x:c r="AD554" s="9" t="str">
        <x:v>2024 (Susenas)</x:v>
      </x:c>
      <x:c r="AE554" s="8" t="str">
        <x:v>6.32</x:v>
      </x:c>
      <x:c r="AF554" s="9" t="str">
        <x:v>Maret 2024 (Susenas)</x:v>
      </x:c>
      <x:c r="AG554" s="6" t="str">
        <x:v>23.998172427751506</x:v>
      </x:c>
      <x:c r="AH554" s="8" t="str">
        <x:v>91.4202247056864</x:v>
      </x:c>
      <x:c r="AI554" s="6" t="str">
        <x:v>218.68013229908289</x:v>
      </x:c>
      <x:c r="AJ554" s="6" t="str">
        <x:v>0.9453138334952876</x:v>
      </x:c>
      <x:c r="AK554" s="8" t="str">
        <x:v>3.088395732576925</x:v>
      </x:c>
      <x:c r="AL554" s="6" t="str">
        <x:v>4.092631587365101</x:v>
      </x:c>
      <x:c r="AM554" s="6" t="str">
        <x:v>4.012124816758456</x:v>
      </x:c>
      <x:c r="AN554" s="6" t="str">
        <x:v>3.731050712233495</x:v>
      </x:c>
      <x:c r="AO554" s="6" t="str">
        <x:v>0.3453421604091176</x:v>
      </x:c>
      <x:c r="AP554" s="8" t="str">
        <x:v>0.247373282756556</x:v>
      </x:c>
      <x:c r="AQ554" s="6" t="str">
        <x:v>0.149120089598746</x:v>
      </x:c>
      <x:c r="AR554" s="6" t="str">
        <x:v>-0.1910770648787406</x:v>
      </x:c>
      <x:c r="AS554" s="6" t="str">
        <x:v>0.068472102492187</x:v>
      </x:c>
      <x:c r="AT554" s="6" t="str">
        <x:v>5.359158006238999</x:v>
      </x:c>
      <x:c r="AU554" s="8" t="str">
        <x:v>0.0754415733390871</x:v>
      </x:c>
      <x:c r="AV554" s="6" t="str">
        <x:v>0.7684252857218881</x:v>
      </x:c>
      <x:c r="AW554" s="6" t="str">
        <x:v>-0.2223351398819971</x:v>
      </x:c>
      <x:c r="AX554" s="6" t="str">
        <x:v>0.207177239726326</x:v>
      </x:c>
      <x:c r="AY554" s="6" t="str">
        <x:v>0</x:v>
      </x:c>
      <x:c r="AZ554" s="6" t="str">
        <x:v>1</x:v>
      </x:c>
      <x:c r="BA554" s="9" t="str">
        <x:v>grid_cells_within_BIG_polygon</x:v>
      </x:c>
      <x:c r="BB554" s="6" t="str">
        <x:v>16</x:v>
      </x:c>
      <x:c r="BC554" s="6" t="str">
        <x:v>1</x:v>
      </x:c>
      <x:c r="BD554" s="6" t="str">
        <x:v>1</x:v>
      </x:c>
      <x:c r="BE554" s="6" t="str">
        <x:v>1</x:v>
      </x:c>
      <x:c r="BF554" s="6" t="str">
        <x:v>0</x:v>
      </x:c>
      <x:c r="BG554" s="6" t="str">
        <x:v>0</x:v>
      </x:c>
      <x:c r="BH554" s="6" t="str">
        <x:v>0</x:v>
      </x:c>
      <x:c r="BI554" s="6" t="str">
        <x:v>0</x:v>
      </x:c>
      <x:c r="BJ554" s="6" t="str">
        <x:v>0</x:v>
      </x:c>
      <x:c r="BK554" s="6" t="str">
        <x:v>0</x:v>
      </x:c>
      <x:c r="BL554" s="6" t="str">
        <x:v>0</x:v>
      </x:c>
      <x:c r="BM554" s="6" t="str">
        <x:v>0</x:v>
      </x:c>
      <x:c r="BN554" s="6" t="str">
        <x:v>1</x:v>
      </x:c>
      <x:c r="BO554" s="6" t="str">
        <x:v>0.0</x:v>
      </x:c>
      <x:c r="BP554" s="6" t="str">
        <x:v>1</x:v>
      </x:c>
      <x:c r="BQ554" s="6" t="str">
        <x:v>0.0</x:v>
      </x:c>
      <x:c r="BR554" s="6" t="str">
        <x:v>1</x:v>
      </x:c>
      <x:c r="BS554" s="6" t="str">
        <x:v>3.0</x:v>
      </x:c>
      <x:c r="BT554" s="6" t="str">
        <x:v>1</x:v>
      </x:c>
      <x:c r="BU554" s="6" t="str">
        <x:v>1275.0</x:v>
      </x:c>
      <x:c r="BV554" s="6" t="str">
        <x:v>1</x:v>
      </x:c>
      <x:c r="BW554" s="9" t="str">
        <x:v>operational_snapshot_annual_totals_may_differ</x:v>
      </x:c>
      <x:c r="BX554" s="9" t="str">
        <x:v>official_live_dashboard_snapshot_subject_to_revision</x:v>
      </x:c>
      <x:c r="BY554" s="9" t="str">
        <x:v>https://tbdashboard.sitb.id/ss_data_tbc03so_2024_provinsi_bulanan_list.php</x:v>
      </x:c>
      <x:c r="BZ554" s="6" t="n">
        <x:v>46246.610671296294</x:v>
      </x:c>
    </x:row>
    <x:row r="555" ht="18" customHeight="1">
      <x:c r="A555" s="6" t="str">
        <x:v>65</x:v>
      </x:c>
      <x:c r="B555" s="6" t="str">
        <x:v>KALIMANTAN UTARA</x:v>
      </x:c>
      <x:c r="C555" s="6" t="str">
        <x:v>2024</x:v>
      </x:c>
      <x:c r="D555" s="6" t="str">
        <x:v>2</x:v>
      </x:c>
      <x:c r="E555" s="6" t="str">
        <x:v>2024-02</x:v>
      </x:c>
      <x:c r="F555" s="6" t="str">
        <x:v>145</x:v>
      </x:c>
      <x:c r="G555" s="6" t="str">
        <x:v>38</x:v>
      </x:c>
      <x:c r="H555" s="6" t="str">
        <x:v>71</x:v>
      </x:c>
      <x:c r="I555" s="6" t="str">
        <x:v>27</x:v>
      </x:c>
      <x:c r="J555" s="6" t="str">
        <x:v>8</x:v>
      </x:c>
      <x:c r="K555" s="6" t="str">
        <x:v>1</x:v>
      </x:c>
      <x:c r="L555" s="6" t="str">
        <x:v>0</x:v>
      </x:c>
      <x:c r="M555" s="6" t="str">
        <x:v>0</x:v>
      </x:c>
      <x:c r="N555" s="6" t="str">
        <x:v>145</x:v>
      </x:c>
      <x:c r="O555" s="6" t="str">
        <x:v>0</x:v>
      </x:c>
      <x:c r="P555" s="10" t="n">
        <x:f>F555-M555</x:f>
        <x:v>145</x:v>
      </x:c>
      <x:c r="Q555" s="11" t="n">
        <x:f>IFERROR(M555/F555,"")</x:f>
        <x:v>0</x:v>
      </x:c>
      <x:c r="R555" s="10" t="n">
        <x:f>G555+H555</x:f>
        <x:v>109</x:v>
      </x:c>
      <x:c r="S555" s="11" t="n">
        <x:f>IFERROR(R555/F555,"")</x:f>
        <x:v>0.7517241379310344</x:v>
      </x:c>
      <x:c r="T555" s="11" t="n">
        <x:f>IFERROR(R555/P555,"")</x:f>
        <x:v>0.7517241379310344</x:v>
      </x:c>
      <x:c r="U555" s="10" t="n">
        <x:f>I555+J555+K555</x:f>
        <x:v>36</x:v>
      </x:c>
      <x:c r="V555" s="11" t="n">
        <x:f>IFERROR(U555/P555,"")</x:f>
        <x:v>0.2482758620689655</x:v>
      </x:c>
      <x:c r="W555" s="9" t="str">
        <x:v>mature_le_5pct_pending</x:v>
      </x:c>
      <x:c r="X555" s="12" t="n">
        <x:f>IFERROR(F555/Z555*100000,"")</x:f>
        <x:v>19.599891862665586</x:v>
      </x:c>
      <x:c r="Y555" s="13" t="n">
        <x:f>LN(Z555)</x:f>
        <x:v>13.51413515838049</x:v>
      </x:c>
      <x:c r="Z555" s="6" t="str">
        <x:v>739800</x:v>
      </x:c>
      <x:c r="AA555" s="6" t="str">
        <x:v>11.0</x:v>
      </x:c>
      <x:c r="AB555" s="9" t="str">
        <x:v>2024-06-30</x:v>
      </x:c>
      <x:c r="AC555" s="8" t="str">
        <x:v>85.17</x:v>
      </x:c>
      <x:c r="AD555" s="9" t="str">
        <x:v>2024 (Susenas)</x:v>
      </x:c>
      <x:c r="AE555" s="8" t="str">
        <x:v>6.32</x:v>
      </x:c>
      <x:c r="AF555" s="9" t="str">
        <x:v>Maret 2024 (Susenas)</x:v>
      </x:c>
      <x:c r="AG555" s="6" t="str">
        <x:v>24.09067766254381</x:v>
      </x:c>
      <x:c r="AH555" s="8" t="str">
        <x:v>90.88545582434598</x:v>
      </x:c>
      <x:c r="AI555" s="6" t="str">
        <x:v>198.3616093703987</x:v>
      </x:c>
      <x:c r="AJ555" s="6" t="str">
        <x:v>0.9196156613924592</x:v>
      </x:c>
      <x:c r="AK555" s="8" t="str">
        <x:v>2.907525943054273</x:v>
      </x:c>
      <x:c r="AL555" s="6" t="str">
        <x:v>3.088395732576925</x:v>
      </x:c>
      <x:c r="AM555" s="6" t="str">
        <x:v>4.092631587365101</x:v>
      </x:c>
      <x:c r="AN555" s="6" t="str">
        <x:v>3.3628510876654336</x:v>
      </x:c>
      <x:c r="AO555" s="6" t="str">
        <x:v>0.5962292129930091</x:v>
      </x:c>
      <x:c r="AP555" s="8" t="str">
        <x:v>0.3926468589343324</x:v>
      </x:c>
      <x:c r="AQ555" s="6" t="str">
        <x:v>0.247373282756556</x:v>
      </x:c>
      <x:c r="AR555" s="6" t="str">
        <x:v>0.149120089598746</x:v>
      </x:c>
      <x:c r="AS555" s="6" t="str">
        <x:v>0.2630467437632114</x:v>
      </x:c>
      <x:c r="AT555" s="6" t="str">
        <x:v>16.437704836822547</x:v>
      </x:c>
      <x:c r="AU555" s="8" t="str">
        <x:v>0.2382790374452899</x:v>
      </x:c>
      <x:c r="AV555" s="6" t="str">
        <x:v>0.0754415733390871</x:v>
      </x:c>
      <x:c r="AW555" s="6" t="str">
        <x:v>0.7684252857218881</x:v>
      </x:c>
      <x:c r="AX555" s="6" t="str">
        <x:v>0.3607152988354217</x:v>
      </x:c>
      <x:c r="AY555" s="6" t="str">
        <x:v>0</x:v>
      </x:c>
      <x:c r="AZ555" s="6" t="str">
        <x:v>1</x:v>
      </x:c>
      <x:c r="BA555" s="9" t="str">
        <x:v>grid_cells_within_BIG_polygon</x:v>
      </x:c>
      <x:c r="BB555" s="6" t="str">
        <x:v>16</x:v>
      </x:c>
      <x:c r="BC555" s="6" t="str">
        <x:v>0</x:v>
      </x:c>
      <x:c r="BD555" s="6" t="str">
        <x:v>0</x:v>
      </x:c>
      <x:c r="BE555" s="6" t="str">
        <x:v>0</x:v>
      </x:c>
      <x:c r="BF555" s="6" t="str">
        <x:v>0</x:v>
      </x:c>
      <x:c r="BG555" s="6" t="str">
        <x:v>0</x:v>
      </x:c>
      <x:c r="BH555" s="6" t="str">
        <x:v>0</x:v>
      </x:c>
      <x:c r="BI555" s="6" t="str">
        <x:v>0</x:v>
      </x:c>
      <x:c r="BJ555" s="6" t="str">
        <x:v>0</x:v>
      </x:c>
      <x:c r="BK555" s="6" t="str">
        <x:v>0</x:v>
      </x:c>
      <x:c r="BL555" s="6" t="str">
        <x:v>0</x:v>
      </x:c>
      <x:c r="BM555" s="6" t="str">
        <x:v>0</x:v>
      </x:c>
      <x:c r="BN555" s="6" t="str">
        <x:v>0</x:v>
      </x:c>
      <x:c r="BO555" s="6" t="str"/>
      <x:c r="BP555" s="6" t="str">
        <x:v>0</x:v>
      </x:c>
      <x:c r="BQ555" s="6" t="str"/>
      <x:c r="BR555" s="6" t="str">
        <x:v>0</x:v>
      </x:c>
      <x:c r="BS555" s="6" t="str"/>
      <x:c r="BT555" s="6" t="str">
        <x:v>0</x:v>
      </x:c>
      <x:c r="BU555" s="6" t="str"/>
      <x:c r="BV555" s="6" t="str">
        <x:v>0</x:v>
      </x:c>
      <x:c r="BW555" s="9" t="str">
        <x:v>operational_snapshot_annual_totals_may_differ</x:v>
      </x:c>
      <x:c r="BX555" s="9" t="str">
        <x:v>official_live_dashboard_snapshot_subject_to_revision</x:v>
      </x:c>
      <x:c r="BY555" s="9" t="str">
        <x:v>https://tbdashboard.sitb.id/ss_data_tbc03so_2024_provinsi_bulanan_list.php</x:v>
      </x:c>
      <x:c r="BZ555" s="6" t="n">
        <x:v>46246.610671296294</x:v>
      </x:c>
    </x:row>
    <x:row r="556" ht="18" customHeight="1">
      <x:c r="A556" s="6" t="str">
        <x:v>65</x:v>
      </x:c>
      <x:c r="B556" s="6" t="str">
        <x:v>KALIMANTAN UTARA</x:v>
      </x:c>
      <x:c r="C556" s="6" t="str">
        <x:v>2024</x:v>
      </x:c>
      <x:c r="D556" s="6" t="str">
        <x:v>3</x:v>
      </x:c>
      <x:c r="E556" s="6" t="str">
        <x:v>2024-03</x:v>
      </x:c>
      <x:c r="F556" s="6" t="str">
        <x:v>160</x:v>
      </x:c>
      <x:c r="G556" s="6" t="str">
        <x:v>42</x:v>
      </x:c>
      <x:c r="H556" s="6" t="str">
        <x:v>80</x:v>
      </x:c>
      <x:c r="I556" s="6" t="str">
        <x:v>29</x:v>
      </x:c>
      <x:c r="J556" s="6" t="str">
        <x:v>5</x:v>
      </x:c>
      <x:c r="K556" s="6" t="str">
        <x:v>1</x:v>
      </x:c>
      <x:c r="L556" s="6" t="str">
        <x:v>2</x:v>
      </x:c>
      <x:c r="M556" s="6" t="str">
        <x:v>1</x:v>
      </x:c>
      <x:c r="N556" s="6" t="str">
        <x:v>160</x:v>
      </x:c>
      <x:c r="O556" s="6" t="str">
        <x:v>0</x:v>
      </x:c>
      <x:c r="P556" s="10" t="n">
        <x:f>F556-M556</x:f>
        <x:v>159</x:v>
      </x:c>
      <x:c r="Q556" s="11" t="n">
        <x:f>IFERROR(M556/F556,"")</x:f>
        <x:v>0.00625</x:v>
      </x:c>
      <x:c r="R556" s="10" t="n">
        <x:f>G556+H556</x:f>
        <x:v>122</x:v>
      </x:c>
      <x:c r="S556" s="11" t="n">
        <x:f>IFERROR(R556/F556,"")</x:f>
        <x:v>0.7625</x:v>
      </x:c>
      <x:c r="T556" s="11" t="n">
        <x:f>IFERROR(R556/P556,"")</x:f>
        <x:v>0.7672955974842768</x:v>
      </x:c>
      <x:c r="U556" s="10" t="n">
        <x:f>I556+J556+K556</x:f>
        <x:v>35</x:v>
      </x:c>
      <x:c r="V556" s="11" t="n">
        <x:f>IFERROR(U556/P556,"")</x:f>
        <x:v>0.22012578616352202</x:v>
      </x:c>
      <x:c r="W556" s="9" t="str">
        <x:v>mature_le_5pct_pending</x:v>
      </x:c>
      <x:c r="X556" s="12" t="n">
        <x:f>IFERROR(F556/Z556*100000,"")</x:f>
        <x:v>21.627466882941334</x:v>
      </x:c>
      <x:c r="Y556" s="13" t="n">
        <x:f>LN(Z556)</x:f>
        <x:v>13.51413515838049</x:v>
      </x:c>
      <x:c r="Z556" s="6" t="str">
        <x:v>739800</x:v>
      </x:c>
      <x:c r="AA556" s="6" t="str">
        <x:v>11.0</x:v>
      </x:c>
      <x:c r="AB556" s="9" t="str">
        <x:v>2024-06-30</x:v>
      </x:c>
      <x:c r="AC556" s="8" t="str">
        <x:v>85.17</x:v>
      </x:c>
      <x:c r="AD556" s="9" t="str">
        <x:v>2024 (Susenas)</x:v>
      </x:c>
      <x:c r="AE556" s="8" t="str">
        <x:v>6.32</x:v>
      </x:c>
      <x:c r="AF556" s="9" t="str">
        <x:v>Maret 2024 (Susenas)</x:v>
      </x:c>
      <x:c r="AG556" s="6" t="str">
        <x:v>24.344423868217117</x:v>
      </x:c>
      <x:c r="AH556" s="8" t="str">
        <x:v>90.61887966084971</x:v>
      </x:c>
      <x:c r="AI556" s="6" t="str">
        <x:v>223.1436867999421</x:v>
      </x:c>
      <x:c r="AJ556" s="6" t="str">
        <x:v>0.8249982458271958</x:v>
      </x:c>
      <x:c r="AK556" s="8" t="str">
        <x:v>2.292443238325657</x:v>
      </x:c>
      <x:c r="AL556" s="6" t="str">
        <x:v>2.907525943054273</x:v>
      </x:c>
      <x:c r="AM556" s="6" t="str">
        <x:v>3.088395732576925</x:v>
      </x:c>
      <x:c r="AN556" s="6" t="str">
        <x:v>2.7627883046522856</x:v>
      </x:c>
      <x:c r="AO556" s="6" t="str">
        <x:v>0.6909839127662849</x:v>
      </x:c>
      <x:c r="AP556" s="8" t="str">
        <x:v>0.3268272478162154</x:v>
      </x:c>
      <x:c r="AQ556" s="6" t="str">
        <x:v>0.3926468589343324</x:v>
      </x:c>
      <x:c r="AR556" s="6" t="str">
        <x:v>0.247373282756556</x:v>
      </x:c>
      <x:c r="AS556" s="6" t="str">
        <x:v>0.3222824631690345</x:v>
      </x:c>
      <x:c r="AT556" s="6" t="str">
        <x:v>11.990261918233102</x:v>
      </x:c>
      <x:c r="AU556" s="8" t="str">
        <x:v>0.129391223887658</x:v>
      </x:c>
      <x:c r="AV556" s="6" t="str">
        <x:v>0.2382790374452899</x:v>
      </x:c>
      <x:c r="AW556" s="6" t="str">
        <x:v>0.0754415733390871</x:v>
      </x:c>
      <x:c r="AX556" s="6" t="str">
        <x:v>0.1477039448906784</x:v>
      </x:c>
      <x:c r="AY556" s="6" t="str">
        <x:v>0</x:v>
      </x:c>
      <x:c r="AZ556" s="6" t="str">
        <x:v>1</x:v>
      </x:c>
      <x:c r="BA556" s="9" t="str">
        <x:v>grid_cells_within_BIG_polygon</x:v>
      </x:c>
      <x:c r="BB556" s="6" t="str">
        <x:v>16</x:v>
      </x:c>
      <x:c r="BC556" s="6" t="str">
        <x:v>0</x:v>
      </x:c>
      <x:c r="BD556" s="6" t="str">
        <x:v>0</x:v>
      </x:c>
      <x:c r="BE556" s="6" t="str">
        <x:v>0</x:v>
      </x:c>
      <x:c r="BF556" s="6" t="str">
        <x:v>0</x:v>
      </x:c>
      <x:c r="BG556" s="6" t="str">
        <x:v>0</x:v>
      </x:c>
      <x:c r="BH556" s="6" t="str">
        <x:v>0</x:v>
      </x:c>
      <x:c r="BI556" s="6" t="str">
        <x:v>0</x:v>
      </x:c>
      <x:c r="BJ556" s="6" t="str">
        <x:v>0</x:v>
      </x:c>
      <x:c r="BK556" s="6" t="str">
        <x:v>0</x:v>
      </x:c>
      <x:c r="BL556" s="6" t="str">
        <x:v>0</x:v>
      </x:c>
      <x:c r="BM556" s="6" t="str">
        <x:v>0</x:v>
      </x:c>
      <x:c r="BN556" s="6" t="str">
        <x:v>0</x:v>
      </x:c>
      <x:c r="BO556" s="6" t="str"/>
      <x:c r="BP556" s="6" t="str">
        <x:v>0</x:v>
      </x:c>
      <x:c r="BQ556" s="6" t="str"/>
      <x:c r="BR556" s="6" t="str">
        <x:v>0</x:v>
      </x:c>
      <x:c r="BS556" s="6" t="str"/>
      <x:c r="BT556" s="6" t="str">
        <x:v>0</x:v>
      </x:c>
      <x:c r="BU556" s="6" t="str"/>
      <x:c r="BV556" s="6" t="str">
        <x:v>0</x:v>
      </x:c>
      <x:c r="BW556" s="9" t="str">
        <x:v>operational_snapshot_annual_totals_may_differ</x:v>
      </x:c>
      <x:c r="BX556" s="9" t="str">
        <x:v>official_live_dashboard_snapshot_subject_to_revision</x:v>
      </x:c>
      <x:c r="BY556" s="9" t="str">
        <x:v>https://tbdashboard.sitb.id/ss_data_tbc03so_2024_provinsi_bulanan_list.php</x:v>
      </x:c>
      <x:c r="BZ556" s="6" t="n">
        <x:v>46246.610671296294</x:v>
      </x:c>
    </x:row>
    <x:row r="557" ht="18" customHeight="1">
      <x:c r="A557" s="6" t="str">
        <x:v>65</x:v>
      </x:c>
      <x:c r="B557" s="6" t="str">
        <x:v>KALIMANTAN UTARA</x:v>
      </x:c>
      <x:c r="C557" s="6" t="str">
        <x:v>2024</x:v>
      </x:c>
      <x:c r="D557" s="6" t="str">
        <x:v>4</x:v>
      </x:c>
      <x:c r="E557" s="6" t="str">
        <x:v>2024-04</x:v>
      </x:c>
      <x:c r="F557" s="6" t="str">
        <x:v>116</x:v>
      </x:c>
      <x:c r="G557" s="6" t="str">
        <x:v>27</x:v>
      </x:c>
      <x:c r="H557" s="6" t="str">
        <x:v>59</x:v>
      </x:c>
      <x:c r="I557" s="6" t="str">
        <x:v>25</x:v>
      </x:c>
      <x:c r="J557" s="6" t="str">
        <x:v>5</x:v>
      </x:c>
      <x:c r="K557" s="6" t="str">
        <x:v>0</x:v>
      </x:c>
      <x:c r="L557" s="6" t="str">
        <x:v>0</x:v>
      </x:c>
      <x:c r="M557" s="6" t="str">
        <x:v>0</x:v>
      </x:c>
      <x:c r="N557" s="6" t="str">
        <x:v>116</x:v>
      </x:c>
      <x:c r="O557" s="6" t="str">
        <x:v>0</x:v>
      </x:c>
      <x:c r="P557" s="10" t="n">
        <x:f>F557-M557</x:f>
        <x:v>116</x:v>
      </x:c>
      <x:c r="Q557" s="11" t="n">
        <x:f>IFERROR(M557/F557,"")</x:f>
        <x:v>0</x:v>
      </x:c>
      <x:c r="R557" s="10" t="n">
        <x:f>G557+H557</x:f>
        <x:v>86</x:v>
      </x:c>
      <x:c r="S557" s="11" t="n">
        <x:f>IFERROR(R557/F557,"")</x:f>
        <x:v>0.7413793103448276</x:v>
      </x:c>
      <x:c r="T557" s="11" t="n">
        <x:f>IFERROR(R557/P557,"")</x:f>
        <x:v>0.7413793103448276</x:v>
      </x:c>
      <x:c r="U557" s="10" t="n">
        <x:f>I557+J557+K557</x:f>
        <x:v>30</x:v>
      </x:c>
      <x:c r="V557" s="11" t="n">
        <x:f>IFERROR(U557/P557,"")</x:f>
        <x:v>0.25862068965517243</x:v>
      </x:c>
      <x:c r="W557" s="9" t="str">
        <x:v>mature_le_5pct_pending</x:v>
      </x:c>
      <x:c r="X557" s="12" t="n">
        <x:f>IFERROR(F557/Z557*100000,"")</x:f>
        <x:v>15.679913490132467</x:v>
      </x:c>
      <x:c r="Y557" s="13" t="n">
        <x:f>LN(Z557)</x:f>
        <x:v>13.51413515838049</x:v>
      </x:c>
      <x:c r="Z557" s="6" t="str">
        <x:v>739800</x:v>
      </x:c>
      <x:c r="AA557" s="6" t="str">
        <x:v>11.0</x:v>
      </x:c>
      <x:c r="AB557" s="9" t="str">
        <x:v>2024-06-30</x:v>
      </x:c>
      <x:c r="AC557" s="8" t="str">
        <x:v>85.17</x:v>
      </x:c>
      <x:c r="AD557" s="9" t="str">
        <x:v>2024 (Susenas)</x:v>
      </x:c>
      <x:c r="AE557" s="8" t="str">
        <x:v>6.32</x:v>
      </x:c>
      <x:c r="AF557" s="9" t="str">
        <x:v>Maret 2024 (Susenas)</x:v>
      </x:c>
      <x:c r="AG557" s="6" t="str">
        <x:v>24.711286809848215</x:v>
      </x:c>
      <x:c r="AH557" s="8" t="str">
        <x:v>90.89421489776528</x:v>
      </x:c>
      <x:c r="AI557" s="6" t="str">
        <x:v>209.19795931016228</x:v>
      </x:c>
      <x:c r="AJ557" s="6" t="str">
        <x:v>0.8225792848644353</x:v>
      </x:c>
      <x:c r="AK557" s="8" t="str">
        <x:v>1.9284476299704576</x:v>
      </x:c>
      <x:c r="AL557" s="6" t="str">
        <x:v>2.292443238325657</x:v>
      </x:c>
      <x:c r="AM557" s="6" t="str">
        <x:v>2.907525943054273</x:v>
      </x:c>
      <x:c r="AN557" s="6" t="str">
        <x:v>2.376138937116796</x:v>
      </x:c>
      <x:c r="AO557" s="6" t="str">
        <x:v>0.6535465009947359</x:v>
      </x:c>
      <x:c r="AP557" s="8" t="str">
        <x:v>0.2256711951177245</x:v>
      </x:c>
      <x:c r="AQ557" s="6" t="str">
        <x:v>0.3268272478162154</x:v>
      </x:c>
      <x:c r="AR557" s="6" t="str">
        <x:v>0.3926468589343324</x:v>
      </x:c>
      <x:c r="AS557" s="6" t="str">
        <x:v>0.3150484339560906</x:v>
      </x:c>
      <x:c r="AT557" s="6" t="str">
        <x:v>-1.8319303280449617</x:v>
      </x:c>
      <x:c r="AU557" s="8" t="str">
        <x:v>-0.0306768600979866</x:v>
      </x:c>
      <x:c r="AV557" s="6" t="str">
        <x:v>0.129391223887658</x:v>
      </x:c>
      <x:c r="AW557" s="6" t="str">
        <x:v>0.2382790374452899</x:v>
      </x:c>
      <x:c r="AX557" s="6" t="str">
        <x:v>0.1123311337449871</x:v>
      </x:c>
      <x:c r="AY557" s="6" t="str">
        <x:v>0</x:v>
      </x:c>
      <x:c r="AZ557" s="6" t="str">
        <x:v>1</x:v>
      </x:c>
      <x:c r="BA557" s="9" t="str">
        <x:v>grid_cells_within_BIG_polygon</x:v>
      </x:c>
      <x:c r="BB557" s="6" t="str">
        <x:v>16</x:v>
      </x:c>
      <x:c r="BC557" s="6" t="str">
        <x:v>0</x:v>
      </x:c>
      <x:c r="BD557" s="6" t="str">
        <x:v>0</x:v>
      </x:c>
      <x:c r="BE557" s="6" t="str">
        <x:v>0</x:v>
      </x:c>
      <x:c r="BF557" s="6" t="str">
        <x:v>0</x:v>
      </x:c>
      <x:c r="BG557" s="6" t="str">
        <x:v>0</x:v>
      </x:c>
      <x:c r="BH557" s="6" t="str">
        <x:v>0</x:v>
      </x:c>
      <x:c r="BI557" s="6" t="str">
        <x:v>0</x:v>
      </x:c>
      <x:c r="BJ557" s="6" t="str">
        <x:v>0</x:v>
      </x:c>
      <x:c r="BK557" s="6" t="str">
        <x:v>0</x:v>
      </x:c>
      <x:c r="BL557" s="6" t="str">
        <x:v>0</x:v>
      </x:c>
      <x:c r="BM557" s="6" t="str">
        <x:v>0</x:v>
      </x:c>
      <x:c r="BN557" s="6" t="str">
        <x:v>0</x:v>
      </x:c>
      <x:c r="BO557" s="6" t="str"/>
      <x:c r="BP557" s="6" t="str">
        <x:v>0</x:v>
      </x:c>
      <x:c r="BQ557" s="6" t="str"/>
      <x:c r="BR557" s="6" t="str">
        <x:v>0</x:v>
      </x:c>
      <x:c r="BS557" s="6" t="str"/>
      <x:c r="BT557" s="6" t="str">
        <x:v>0</x:v>
      </x:c>
      <x:c r="BU557" s="6" t="str"/>
      <x:c r="BV557" s="6" t="str">
        <x:v>0</x:v>
      </x:c>
      <x:c r="BW557" s="9" t="str">
        <x:v>operational_snapshot_annual_totals_may_differ</x:v>
      </x:c>
      <x:c r="BX557" s="9" t="str">
        <x:v>official_live_dashboard_snapshot_subject_to_revision</x:v>
      </x:c>
      <x:c r="BY557" s="9" t="str">
        <x:v>https://tbdashboard.sitb.id/ss_data_tbc03so_2024_provinsi_bulanan_list.php</x:v>
      </x:c>
      <x:c r="BZ557" s="6" t="n">
        <x:v>46246.610671296294</x:v>
      </x:c>
    </x:row>
    <x:row r="558" ht="18" customHeight="1">
      <x:c r="A558" s="6" t="str">
        <x:v>65</x:v>
      </x:c>
      <x:c r="B558" s="6" t="str">
        <x:v>KALIMANTAN UTARA</x:v>
      </x:c>
      <x:c r="C558" s="6" t="str">
        <x:v>2024</x:v>
      </x:c>
      <x:c r="D558" s="6" t="str">
        <x:v>5</x:v>
      </x:c>
      <x:c r="E558" s="6" t="str">
        <x:v>2024-05</x:v>
      </x:c>
      <x:c r="F558" s="6" t="str">
        <x:v>146</x:v>
      </x:c>
      <x:c r="G558" s="6" t="str">
        <x:v>39</x:v>
      </x:c>
      <x:c r="H558" s="6" t="str">
        <x:v>75</x:v>
      </x:c>
      <x:c r="I558" s="6" t="str">
        <x:v>19</x:v>
      </x:c>
      <x:c r="J558" s="6" t="str">
        <x:v>9</x:v>
      </x:c>
      <x:c r="K558" s="6" t="str">
        <x:v>0</x:v>
      </x:c>
      <x:c r="L558" s="6" t="str">
        <x:v>1</x:v>
      </x:c>
      <x:c r="M558" s="6" t="str">
        <x:v>3</x:v>
      </x:c>
      <x:c r="N558" s="6" t="str">
        <x:v>146</x:v>
      </x:c>
      <x:c r="O558" s="6" t="str">
        <x:v>0</x:v>
      </x:c>
      <x:c r="P558" s="10" t="n">
        <x:f>F558-M558</x:f>
        <x:v>143</x:v>
      </x:c>
      <x:c r="Q558" s="11" t="n">
        <x:f>IFERROR(M558/F558,"")</x:f>
        <x:v>0.02054794520547945</x:v>
      </x:c>
      <x:c r="R558" s="10" t="n">
        <x:f>G558+H558</x:f>
        <x:v>114</x:v>
      </x:c>
      <x:c r="S558" s="11" t="n">
        <x:f>IFERROR(R558/F558,"")</x:f>
        <x:v>0.7808219178082192</x:v>
      </x:c>
      <x:c r="T558" s="11" t="n">
        <x:f>IFERROR(R558/P558,"")</x:f>
        <x:v>0.7972027972027972</x:v>
      </x:c>
      <x:c r="U558" s="10" t="n">
        <x:f>I558+J558+K558</x:f>
        <x:v>28</x:v>
      </x:c>
      <x:c r="V558" s="11" t="n">
        <x:f>IFERROR(U558/P558,"")</x:f>
        <x:v>0.1958041958041958</x:v>
      </x:c>
      <x:c r="W558" s="9" t="str">
        <x:v>mature_le_5pct_pending</x:v>
      </x:c>
      <x:c r="X558" s="12" t="n">
        <x:f>IFERROR(F558/Z558*100000,"")</x:f>
        <x:v>19.73506353068397</x:v>
      </x:c>
      <x:c r="Y558" s="13" t="n">
        <x:f>LN(Z558)</x:f>
        <x:v>13.51413515838049</x:v>
      </x:c>
      <x:c r="Z558" s="6" t="str">
        <x:v>739800</x:v>
      </x:c>
      <x:c r="AA558" s="6" t="str">
        <x:v>11.0</x:v>
      </x:c>
      <x:c r="AB558" s="9" t="str">
        <x:v>2024-06-30</x:v>
      </x:c>
      <x:c r="AC558" s="8" t="str">
        <x:v>85.17</x:v>
      </x:c>
      <x:c r="AD558" s="9" t="str">
        <x:v>2024 (Susenas)</x:v>
      </x:c>
      <x:c r="AE558" s="8" t="str">
        <x:v>6.32</x:v>
      </x:c>
      <x:c r="AF558" s="9" t="str">
        <x:v>Maret 2024 (Susenas)</x:v>
      </x:c>
      <x:c r="AG558" s="6" t="str">
        <x:v>25.02128875493984</x:v>
      </x:c>
      <x:c r="AH558" s="8" t="str">
        <x:v>92.39922368910872</x:v>
      </x:c>
      <x:c r="AI558" s="6" t="str">
        <x:v>370.2403746471106</x:v>
      </x:c>
      <x:c r="AJ558" s="6" t="str">
        <x:v>1.0219105198831606</x:v>
      </x:c>
      <x:c r="AK558" s="8" t="str">
        <x:v>2.965795313947102</x:v>
      </x:c>
      <x:c r="AL558" s="6" t="str">
        <x:v>1.9284476299704576</x:v>
      </x:c>
      <x:c r="AM558" s="6" t="str">
        <x:v>2.292443238325657</x:v>
      </x:c>
      <x:c r="AN558" s="6" t="str">
        <x:v>2.3955620607477397</x:v>
      </x:c>
      <x:c r="AO558" s="6" t="str">
        <x:v>1.087872404618892</x:v>
      </x:c>
      <x:c r="AP558" s="8" t="str">
        <x:v>0.9190178714708236</x:v>
      </x:c>
      <x:c r="AQ558" s="6" t="str">
        <x:v>0.2256711951177245</x:v>
      </x:c>
      <x:c r="AR558" s="6" t="str">
        <x:v>0.3268272478162154</x:v>
      </x:c>
      <x:c r="AS558" s="6" t="str">
        <x:v>0.490505438134921</x:v>
      </x:c>
      <x:c r="AT558" s="6" t="str">
        <x:v>136.099898916914</x:v>
      </x:c>
      <x:c r="AU558" s="8" t="str">
        <x:v>2.0255156101864733</x:v>
      </x:c>
      <x:c r="AV558" s="6" t="str">
        <x:v>-0.0306768600979866</x:v>
      </x:c>
      <x:c r="AW558" s="6" t="str">
        <x:v>0.129391223887658</x:v>
      </x:c>
      <x:c r="AX558" s="6" t="str">
        <x:v>0.7080766579920482</x:v>
      </x:c>
      <x:c r="AY558" s="6" t="str">
        <x:v>1</x:v>
      </x:c>
      <x:c r="AZ558" s="6" t="str">
        <x:v>1</x:v>
      </x:c>
      <x:c r="BA558" s="9" t="str">
        <x:v>grid_cells_within_BIG_polygon</x:v>
      </x:c>
      <x:c r="BB558" s="6" t="str">
        <x:v>16</x:v>
      </x:c>
      <x:c r="BC558" s="6" t="str">
        <x:v>1</x:v>
      </x:c>
      <x:c r="BD558" s="6" t="str">
        <x:v>1</x:v>
      </x:c>
      <x:c r="BE558" s="6" t="str">
        <x:v>1</x:v>
      </x:c>
      <x:c r="BF558" s="6" t="str">
        <x:v>0</x:v>
      </x:c>
      <x:c r="BG558" s="6" t="str">
        <x:v>0</x:v>
      </x:c>
      <x:c r="BH558" s="6" t="str">
        <x:v>0</x:v>
      </x:c>
      <x:c r="BI558" s="6" t="str">
        <x:v>0</x:v>
      </x:c>
      <x:c r="BJ558" s="6" t="str">
        <x:v>0</x:v>
      </x:c>
      <x:c r="BK558" s="6" t="str">
        <x:v>0</x:v>
      </x:c>
      <x:c r="BL558" s="6" t="str">
        <x:v>0</x:v>
      </x:c>
      <x:c r="BM558" s="6" t="str">
        <x:v>0</x:v>
      </x:c>
      <x:c r="BN558" s="6" t="str">
        <x:v>1</x:v>
      </x:c>
      <x:c r="BO558" s="6" t="str">
        <x:v>0.0</x:v>
      </x:c>
      <x:c r="BP558" s="6" t="str">
        <x:v>1</x:v>
      </x:c>
      <x:c r="BQ558" s="6" t="str">
        <x:v>0.0</x:v>
      </x:c>
      <x:c r="BR558" s="6" t="str">
        <x:v>1</x:v>
      </x:c>
      <x:c r="BS558" s="6" t="str">
        <x:v>5.0</x:v>
      </x:c>
      <x:c r="BT558" s="6" t="str">
        <x:v>1</x:v>
      </x:c>
      <x:c r="BU558" s="6" t="str">
        <x:v>80.0</x:v>
      </x:c>
      <x:c r="BV558" s="6" t="str">
        <x:v>1</x:v>
      </x:c>
      <x:c r="BW558" s="9" t="str">
        <x:v>operational_snapshot_annual_totals_may_differ</x:v>
      </x:c>
      <x:c r="BX558" s="9" t="str">
        <x:v>official_live_dashboard_snapshot_subject_to_revision</x:v>
      </x:c>
      <x:c r="BY558" s="9" t="str">
        <x:v>https://tbdashboard.sitb.id/ss_data_tbc03so_2024_provinsi_bulanan_list.php</x:v>
      </x:c>
      <x:c r="BZ558" s="6" t="n">
        <x:v>46246.610671296294</x:v>
      </x:c>
    </x:row>
    <x:row r="559" ht="18" customHeight="1">
      <x:c r="A559" s="6" t="str">
        <x:v>65</x:v>
      </x:c>
      <x:c r="B559" s="6" t="str">
        <x:v>KALIMANTAN UTARA</x:v>
      </x:c>
      <x:c r="C559" s="6" t="str">
        <x:v>2024</x:v>
      </x:c>
      <x:c r="D559" s="6" t="str">
        <x:v>6</x:v>
      </x:c>
      <x:c r="E559" s="6" t="str">
        <x:v>2024-06</x:v>
      </x:c>
      <x:c r="F559" s="6" t="str">
        <x:v>127</x:v>
      </x:c>
      <x:c r="G559" s="6" t="str">
        <x:v>36</x:v>
      </x:c>
      <x:c r="H559" s="6" t="str">
        <x:v>57</x:v>
      </x:c>
      <x:c r="I559" s="6" t="str">
        <x:v>21</x:v>
      </x:c>
      <x:c r="J559" s="6" t="str">
        <x:v>6</x:v>
      </x:c>
      <x:c r="K559" s="6" t="str">
        <x:v>0</x:v>
      </x:c>
      <x:c r="L559" s="6" t="str">
        <x:v>2</x:v>
      </x:c>
      <x:c r="M559" s="6" t="str">
        <x:v>5</x:v>
      </x:c>
      <x:c r="N559" s="6" t="str">
        <x:v>127</x:v>
      </x:c>
      <x:c r="O559" s="6" t="str">
        <x:v>0</x:v>
      </x:c>
      <x:c r="P559" s="10" t="n">
        <x:f>F559-M559</x:f>
        <x:v>122</x:v>
      </x:c>
      <x:c r="Q559" s="11" t="n">
        <x:f>IFERROR(M559/F559,"")</x:f>
        <x:v>0.03937007874015748</x:v>
      </x:c>
      <x:c r="R559" s="10" t="n">
        <x:f>G559+H559</x:f>
        <x:v>93</x:v>
      </x:c>
      <x:c r="S559" s="11" t="n">
        <x:f>IFERROR(R559/F559,"")</x:f>
        <x:v>0.7322834645669292</x:v>
      </x:c>
      <x:c r="T559" s="11" t="n">
        <x:f>IFERROR(R559/P559,"")</x:f>
        <x:v>0.7622950819672131</x:v>
      </x:c>
      <x:c r="U559" s="10" t="n">
        <x:f>I559+J559+K559</x:f>
        <x:v>27</x:v>
      </x:c>
      <x:c r="V559" s="11" t="n">
        <x:f>IFERROR(U559/P559,"")</x:f>
        <x:v>0.22131147540983606</x:v>
      </x:c>
      <x:c r="W559" s="9" t="str">
        <x:v>mature_le_5pct_pending</x:v>
      </x:c>
      <x:c r="X559" s="12" t="n">
        <x:f>IFERROR(F559/Z559*100000,"")</x:f>
        <x:v>17.166801838334685</x:v>
      </x:c>
      <x:c r="Y559" s="13" t="n">
        <x:f>LN(Z559)</x:f>
        <x:v>13.51413515838049</x:v>
      </x:c>
      <x:c r="Z559" s="6" t="str">
        <x:v>739800</x:v>
      </x:c>
      <x:c r="AA559" s="6" t="str">
        <x:v>11.0</x:v>
      </x:c>
      <x:c r="AB559" s="9" t="str">
        <x:v>2024-06-30</x:v>
      </x:c>
      <x:c r="AC559" s="8" t="str">
        <x:v>85.17</x:v>
      </x:c>
      <x:c r="AD559" s="9" t="str">
        <x:v>2024 (Susenas)</x:v>
      </x:c>
      <x:c r="AE559" s="8" t="str">
        <x:v>6.32</x:v>
      </x:c>
      <x:c r="AF559" s="9" t="str">
        <x:v>Maret 2024 (Susenas)</x:v>
      </x:c>
      <x:c r="AG559" s="6" t="str">
        <x:v>24.005053413147778</x:v>
      </x:c>
      <x:c r="AH559" s="8" t="str">
        <x:v>93.1394573625059</x:v>
      </x:c>
      <x:c r="AI559" s="6" t="str">
        <x:v>315.62843152537585</x:v>
      </x:c>
      <x:c r="AJ559" s="6" t="str">
        <x:v>0.4411110270600815</x:v>
      </x:c>
      <x:c r="AK559" s="8" t="str">
        <x:v>1.7650576702818228</x:v>
      </x:c>
      <x:c r="AL559" s="6" t="str">
        <x:v>2.965795313947102</x:v>
      </x:c>
      <x:c r="AM559" s="6" t="str">
        <x:v>1.9284476299704576</x:v>
      </x:c>
      <x:c r="AN559" s="6" t="str">
        <x:v>2.2197668713997945</x:v>
      </x:c>
      <x:c r="AO559" s="6" t="str">
        <x:v>1.630309248888409</x:v>
      </x:c>
      <x:c r="AP559" s="8" t="str">
        <x:v>1.4984609111078702</x:v>
      </x:c>
      <x:c r="AQ559" s="6" t="str">
        <x:v>0.9190178714708236</x:v>
      </x:c>
      <x:c r="AR559" s="6" t="str">
        <x:v>0.2256711951177245</x:v>
      </x:c>
      <x:c r="AS559" s="6" t="str">
        <x:v>0.8810499925654726</x:v>
      </x:c>
      <x:c r="AT559" s="6" t="str">
        <x:v>115.05219321828768</x:v>
      </x:c>
      <x:c r="AU559" s="8" t="str">
        <x:v>1.925335224838558</x:v>
      </x:c>
      <x:c r="AV559" s="6" t="str">
        <x:v>2.0255156101864733</x:v>
      </x:c>
      <x:c r="AW559" s="6" t="str">
        <x:v>-0.0306768600979866</x:v>
      </x:c>
      <x:c r="AX559" s="6" t="str">
        <x:v>1.306724658309015</x:v>
      </x:c>
      <x:c r="AY559" s="6" t="str">
        <x:v>1</x:v>
      </x:c>
      <x:c r="AZ559" s="6" t="str">
        <x:v>1</x:v>
      </x:c>
      <x:c r="BA559" s="9" t="str">
        <x:v>grid_cells_within_BIG_polygon</x:v>
      </x:c>
      <x:c r="BB559" s="6" t="str">
        <x:v>16</x:v>
      </x:c>
      <x:c r="BC559" s="6" t="str">
        <x:v>1</x:v>
      </x:c>
      <x:c r="BD559" s="6" t="str">
        <x:v>1</x:v>
      </x:c>
      <x:c r="BE559" s="6" t="str">
        <x:v>1</x:v>
      </x:c>
      <x:c r="BF559" s="6" t="str">
        <x:v>0</x:v>
      </x:c>
      <x:c r="BG559" s="6" t="str">
        <x:v>0</x:v>
      </x:c>
      <x:c r="BH559" s="6" t="str">
        <x:v>0</x:v>
      </x:c>
      <x:c r="BI559" s="6" t="str">
        <x:v>0</x:v>
      </x:c>
      <x:c r="BJ559" s="6" t="str">
        <x:v>0</x:v>
      </x:c>
      <x:c r="BK559" s="6" t="str">
        <x:v>0</x:v>
      </x:c>
      <x:c r="BL559" s="6" t="str">
        <x:v>0</x:v>
      </x:c>
      <x:c r="BM559" s="6" t="str">
        <x:v>0</x:v>
      </x:c>
      <x:c r="BN559" s="6" t="str">
        <x:v>1</x:v>
      </x:c>
      <x:c r="BO559" s="6" t="str">
        <x:v>0.0</x:v>
      </x:c>
      <x:c r="BP559" s="6" t="str">
        <x:v>1</x:v>
      </x:c>
      <x:c r="BQ559" s="6" t="str">
        <x:v>0.0</x:v>
      </x:c>
      <x:c r="BR559" s="6" t="str">
        <x:v>1</x:v>
      </x:c>
      <x:c r="BS559" s="6" t="str">
        <x:v>774.0</x:v>
      </x:c>
      <x:c r="BT559" s="6" t="str">
        <x:v>1</x:v>
      </x:c>
      <x:c r="BU559" s="6" t="str"/>
      <x:c r="BV559" s="6" t="str">
        <x:v>0</x:v>
      </x:c>
      <x:c r="BW559" s="9" t="str">
        <x:v>operational_snapshot_annual_totals_may_differ</x:v>
      </x:c>
      <x:c r="BX559" s="9" t="str">
        <x:v>official_live_dashboard_snapshot_subject_to_revision</x:v>
      </x:c>
      <x:c r="BY559" s="9" t="str">
        <x:v>https://tbdashboard.sitb.id/ss_data_tbc03so_2024_provinsi_bulanan_list.php</x:v>
      </x:c>
      <x:c r="BZ559" s="6" t="n">
        <x:v>46246.610671296294</x:v>
      </x:c>
    </x:row>
    <x:row r="560" ht="18" customHeight="1">
      <x:c r="A560" s="6" t="str">
        <x:v>65</x:v>
      </x:c>
      <x:c r="B560" s="6" t="str">
        <x:v>KALIMANTAN UTARA</x:v>
      </x:c>
      <x:c r="C560" s="6" t="str">
        <x:v>2024</x:v>
      </x:c>
      <x:c r="D560" s="6" t="str">
        <x:v>7</x:v>
      </x:c>
      <x:c r="E560" s="6" t="str">
        <x:v>2024-07</x:v>
      </x:c>
      <x:c r="F560" s="6" t="str">
        <x:v>175</x:v>
      </x:c>
      <x:c r="G560" s="6" t="str">
        <x:v>40</x:v>
      </x:c>
      <x:c r="H560" s="6" t="str">
        <x:v>78</x:v>
      </x:c>
      <x:c r="I560" s="6" t="str">
        <x:v>30</x:v>
      </x:c>
      <x:c r="J560" s="6" t="str">
        <x:v>12</x:v>
      </x:c>
      <x:c r="K560" s="6" t="str">
        <x:v>0</x:v>
      </x:c>
      <x:c r="L560" s="6" t="str">
        <x:v>5</x:v>
      </x:c>
      <x:c r="M560" s="6" t="str">
        <x:v>10</x:v>
      </x:c>
      <x:c r="N560" s="6" t="str">
        <x:v>175</x:v>
      </x:c>
      <x:c r="O560" s="6" t="str">
        <x:v>0</x:v>
      </x:c>
      <x:c r="P560" s="10" t="n">
        <x:f>F560-M560</x:f>
        <x:v>165</x:v>
      </x:c>
      <x:c r="Q560" s="11" t="n">
        <x:f>IFERROR(M560/F560,"")</x:f>
        <x:v>0.05714285714285714</x:v>
      </x:c>
      <x:c r="R560" s="10" t="n">
        <x:f>G560+H560</x:f>
        <x:v>118</x:v>
      </x:c>
      <x:c r="S560" s="11" t="n">
        <x:f>IFERROR(R560/F560,"")</x:f>
        <x:v>0.6742857142857143</x:v>
      </x:c>
      <x:c r="T560" s="11" t="n">
        <x:f>IFERROR(R560/P560,"")</x:f>
        <x:v>0.7151515151515152</x:v>
      </x:c>
      <x:c r="U560" s="10" t="n">
        <x:f>I560+J560+K560</x:f>
        <x:v>42</x:v>
      </x:c>
      <x:c r="V560" s="11" t="n">
        <x:f>IFERROR(U560/P560,"")</x:f>
        <x:v>0.2545454545454545</x:v>
      </x:c>
      <x:c r="W560" s="9" t="str">
        <x:v>provisional_gt_5pct_pending</x:v>
      </x:c>
      <x:c r="X560" s="12" t="n">
        <x:f>IFERROR(F560/Z560*100000,"")</x:f>
        <x:v>23.655041903217086</x:v>
      </x:c>
      <x:c r="Y560" s="13" t="n">
        <x:f>LN(Z560)</x:f>
        <x:v>13.51413515838049</x:v>
      </x:c>
      <x:c r="Z560" s="6" t="str">
        <x:v>739800</x:v>
      </x:c>
      <x:c r="AA560" s="6" t="str">
        <x:v>11.0</x:v>
      </x:c>
      <x:c r="AB560" s="9" t="str">
        <x:v>2024-06-30</x:v>
      </x:c>
      <x:c r="AC560" s="8" t="str">
        <x:v>85.17</x:v>
      </x:c>
      <x:c r="AD560" s="9" t="str">
        <x:v>2024 (Susenas)</x:v>
      </x:c>
      <x:c r="AE560" s="8" t="str">
        <x:v>6.32</x:v>
      </x:c>
      <x:c r="AF560" s="9" t="str">
        <x:v>Maret 2024 (Susenas)</x:v>
      </x:c>
      <x:c r="AG560" s="6" t="str">
        <x:v>23.9224789561527</x:v>
      </x:c>
      <x:c r="AH560" s="8" t="str">
        <x:v>92.58180046968062</x:v>
      </x:c>
      <x:c r="AI560" s="6" t="str">
        <x:v>240.7460467461308</x:v>
      </x:c>
      <x:c r="AJ560" s="6" t="str">
        <x:v>0.6373570561526769</x:v>
      </x:c>
      <x:c r="AK560" s="8" t="str">
        <x:v>2.651269064612144</x:v>
      </x:c>
      <x:c r="AL560" s="6" t="str">
        <x:v>1.7650576702818228</x:v>
      </x:c>
      <x:c r="AM560" s="6" t="str">
        <x:v>2.965795313947102</x:v>
      </x:c>
      <x:c r="AN560" s="6" t="str">
        <x:v>2.4607073496136898</x:v>
      </x:c>
      <x:c r="AO560" s="6" t="str">
        <x:v>1.423263221727311</x:v>
      </x:c>
      <x:c r="AP560" s="8" t="str">
        <x:v>1.4881823063572506</x:v>
      </x:c>
      <x:c r="AQ560" s="6" t="str">
        <x:v>1.4984609111078702</x:v>
      </x:c>
      <x:c r="AR560" s="6" t="str">
        <x:v>0.9190178714708236</x:v>
      </x:c>
      <x:c r="AS560" s="6" t="str">
        <x:v>1.3018870296453149</x:v>
      </x:c>
      <x:c r="AT560" s="6" t="str">
        <x:v>52.25362402588351</x:v>
      </x:c>
      <x:c r="AU560" s="8" t="str">
        <x:v>0.916111799934958</x:v>
      </x:c>
      <x:c r="AV560" s="6" t="str">
        <x:v>1.925335224838558</x:v>
      </x:c>
      <x:c r="AW560" s="6" t="str">
        <x:v>2.0255156101864733</x:v>
      </x:c>
      <x:c r="AX560" s="6" t="str">
        <x:v>1.6223208783199965</x:v>
      </x:c>
      <x:c r="AY560" s="6" t="str">
        <x:v>0</x:v>
      </x:c>
      <x:c r="AZ560" s="6" t="str">
        <x:v>1</x:v>
      </x:c>
      <x:c r="BA560" s="9" t="str">
        <x:v>grid_cells_within_BIG_polygon</x:v>
      </x:c>
      <x:c r="BB560" s="6" t="str">
        <x:v>16</x:v>
      </x:c>
      <x:c r="BC560" s="6" t="str">
        <x:v>3</x:v>
      </x:c>
      <x:c r="BD560" s="6" t="str">
        <x:v>3</x:v>
      </x:c>
      <x:c r="BE560" s="6" t="str">
        <x:v>2</x:v>
      </x:c>
      <x:c r="BF560" s="6" t="str">
        <x:v>1</x:v>
      </x:c>
      <x:c r="BG560" s="6" t="str">
        <x:v>0</x:v>
      </x:c>
      <x:c r="BH560" s="6" t="str">
        <x:v>0</x:v>
      </x:c>
      <x:c r="BI560" s="6" t="str">
        <x:v>0</x:v>
      </x:c>
      <x:c r="BJ560" s="6" t="str">
        <x:v>0</x:v>
      </x:c>
      <x:c r="BK560" s="6" t="str">
        <x:v>0</x:v>
      </x:c>
      <x:c r="BL560" s="6" t="str">
        <x:v>0</x:v>
      </x:c>
      <x:c r="BM560" s="6" t="str">
        <x:v>0</x:v>
      </x:c>
      <x:c r="BN560" s="6" t="str">
        <x:v>3</x:v>
      </x:c>
      <x:c r="BO560" s="6" t="str">
        <x:v>0.0</x:v>
      </x:c>
      <x:c r="BP560" s="6" t="str">
        <x:v>3</x:v>
      </x:c>
      <x:c r="BQ560" s="6" t="str">
        <x:v>0.0</x:v>
      </x:c>
      <x:c r="BR560" s="6" t="str">
        <x:v>3</x:v>
      </x:c>
      <x:c r="BS560" s="6" t="str">
        <x:v>0.0</x:v>
      </x:c>
      <x:c r="BT560" s="6" t="str">
        <x:v>3</x:v>
      </x:c>
      <x:c r="BU560" s="6" t="str">
        <x:v>4196.0</x:v>
      </x:c>
      <x:c r="BV560" s="6" t="str">
        <x:v>2</x:v>
      </x:c>
      <x:c r="BW560" s="9" t="str">
        <x:v>operational_snapshot_annual_totals_may_differ</x:v>
      </x:c>
      <x:c r="BX560" s="9" t="str">
        <x:v>official_live_dashboard_snapshot_subject_to_revision</x:v>
      </x:c>
      <x:c r="BY560" s="9" t="str">
        <x:v>https://tbdashboard.sitb.id/ss_data_tbc03so_2024_provinsi_bulanan_list.php</x:v>
      </x:c>
      <x:c r="BZ560" s="6" t="n">
        <x:v>46246.610671296294</x:v>
      </x:c>
    </x:row>
    <x:row r="561" ht="18" customHeight="1">
      <x:c r="A561" s="6" t="str">
        <x:v>65</x:v>
      </x:c>
      <x:c r="B561" s="6" t="str">
        <x:v>KALIMANTAN UTARA</x:v>
      </x:c>
      <x:c r="C561" s="6" t="str">
        <x:v>2024</x:v>
      </x:c>
      <x:c r="D561" s="6" t="str">
        <x:v>8</x:v>
      </x:c>
      <x:c r="E561" s="6" t="str">
        <x:v>2024-08</x:v>
      </x:c>
      <x:c r="F561" s="6" t="str">
        <x:v>161</x:v>
      </x:c>
      <x:c r="G561" s="6" t="str">
        <x:v>37</x:v>
      </x:c>
      <x:c r="H561" s="6" t="str">
        <x:v>75</x:v>
      </x:c>
      <x:c r="I561" s="6" t="str">
        <x:v>30</x:v>
      </x:c>
      <x:c r="J561" s="6" t="str">
        <x:v>7</x:v>
      </x:c>
      <x:c r="K561" s="6" t="str">
        <x:v>1</x:v>
      </x:c>
      <x:c r="L561" s="6" t="str">
        <x:v>2</x:v>
      </x:c>
      <x:c r="M561" s="6" t="str">
        <x:v>9</x:v>
      </x:c>
      <x:c r="N561" s="6" t="str">
        <x:v>161</x:v>
      </x:c>
      <x:c r="O561" s="6" t="str">
        <x:v>0</x:v>
      </x:c>
      <x:c r="P561" s="10" t="n">
        <x:f>F561-M561</x:f>
        <x:v>152</x:v>
      </x:c>
      <x:c r="Q561" s="11" t="n">
        <x:f>IFERROR(M561/F561,"")</x:f>
        <x:v>0.055900621118012424</x:v>
      </x:c>
      <x:c r="R561" s="10" t="n">
        <x:f>G561+H561</x:f>
        <x:v>112</x:v>
      </x:c>
      <x:c r="S561" s="11" t="n">
        <x:f>IFERROR(R561/F561,"")</x:f>
        <x:v>0.6956521739130435</x:v>
      </x:c>
      <x:c r="T561" s="11" t="n">
        <x:f>IFERROR(R561/P561,"")</x:f>
        <x:v>0.7368421052631579</x:v>
      </x:c>
      <x:c r="U561" s="10" t="n">
        <x:f>I561+J561+K561</x:f>
        <x:v>38</x:v>
      </x:c>
      <x:c r="V561" s="11" t="n">
        <x:f>IFERROR(U561/P561,"")</x:f>
        <x:v>0.25</x:v>
      </x:c>
      <x:c r="W561" s="9" t="str">
        <x:v>provisional_gt_5pct_pending</x:v>
      </x:c>
      <x:c r="X561" s="12" t="n">
        <x:f>IFERROR(F561/Z561*100000,"")</x:f>
        <x:v>21.762638550959718</x:v>
      </x:c>
      <x:c r="Y561" s="13" t="n">
        <x:f>LN(Z561)</x:f>
        <x:v>13.51413515838049</x:v>
      </x:c>
      <x:c r="Z561" s="6" t="str">
        <x:v>739800</x:v>
      </x:c>
      <x:c r="AA561" s="6" t="str">
        <x:v>11.0</x:v>
      </x:c>
      <x:c r="AB561" s="9" t="str">
        <x:v>2024-06-30</x:v>
      </x:c>
      <x:c r="AC561" s="8" t="str">
        <x:v>85.17</x:v>
      </x:c>
      <x:c r="AD561" s="9" t="str">
        <x:v>2024 (Susenas)</x:v>
      </x:c>
      <x:c r="AE561" s="8" t="str">
        <x:v>6.32</x:v>
      </x:c>
      <x:c r="AF561" s="9" t="str">
        <x:v>Maret 2024 (Susenas)</x:v>
      </x:c>
      <x:c r="AG561" s="6" t="str">
        <x:v>23.961923787063064</x:v>
      </x:c>
      <x:c r="AH561" s="8" t="str">
        <x:v>91.8350917338145</x:v>
      </x:c>
      <x:c r="AI561" s="6" t="str">
        <x:v>252.19506016010885</x:v>
      </x:c>
      <x:c r="AJ561" s="6" t="str">
        <x:v>0.6290075567263571</x:v>
      </x:c>
      <x:c r="AK561" s="8" t="str">
        <x:v>2.2078600602354648</x:v>
      </x:c>
      <x:c r="AL561" s="6" t="str">
        <x:v>2.651269064612144</x:v>
      </x:c>
      <x:c r="AM561" s="6" t="str">
        <x:v>1.7650576702818228</x:v>
      </x:c>
      <x:c r="AN561" s="6" t="str">
        <x:v>2.2080622650431443</x:v>
      </x:c>
      <x:c r="AO561" s="6" t="str">
        <x:v>1.0832325911540153</x:v>
      </x:c>
      <x:c r="AP561" s="8" t="str">
        <x:v>1.084191813747914</x:v>
      </x:c>
      <x:c r="AQ561" s="6" t="str">
        <x:v>1.4881823063572506</x:v>
      </x:c>
      <x:c r="AR561" s="6" t="str">
        <x:v>1.4984609111078702</x:v>
      </x:c>
      <x:c r="AS561" s="6" t="str">
        <x:v>1.3569450104043448</x:v>
      </x:c>
      <x:c r="AT561" s="6" t="str">
        <x:v>63.79348119865927</x:v>
      </x:c>
      <x:c r="AU561" s="8" t="str">
        <x:v>1.211670060320282</x:v>
      </x:c>
      <x:c r="AV561" s="6" t="str">
        <x:v>0.916111799934958</x:v>
      </x:c>
      <x:c r="AW561" s="6" t="str">
        <x:v>1.925335224838558</x:v>
      </x:c>
      <x:c r="AX561" s="6" t="str">
        <x:v>1.3510390283645994</x:v>
      </x:c>
      <x:c r="AY561" s="6" t="str">
        <x:v>1</x:v>
      </x:c>
      <x:c r="AZ561" s="6" t="str">
        <x:v>1</x:v>
      </x:c>
      <x:c r="BA561" s="9" t="str">
        <x:v>grid_cells_within_BIG_polygon</x:v>
      </x:c>
      <x:c r="BB561" s="6" t="str">
        <x:v>16</x:v>
      </x:c>
      <x:c r="BC561" s="6" t="str">
        <x:v>0</x:v>
      </x:c>
      <x:c r="BD561" s="6" t="str">
        <x:v>0</x:v>
      </x:c>
      <x:c r="BE561" s="6" t="str">
        <x:v>0</x:v>
      </x:c>
      <x:c r="BF561" s="6" t="str">
        <x:v>0</x:v>
      </x:c>
      <x:c r="BG561" s="6" t="str">
        <x:v>0</x:v>
      </x:c>
      <x:c r="BH561" s="6" t="str">
        <x:v>0</x:v>
      </x:c>
      <x:c r="BI561" s="6" t="str">
        <x:v>0</x:v>
      </x:c>
      <x:c r="BJ561" s="6" t="str">
        <x:v>0</x:v>
      </x:c>
      <x:c r="BK561" s="6" t="str">
        <x:v>0</x:v>
      </x:c>
      <x:c r="BL561" s="6" t="str">
        <x:v>0</x:v>
      </x:c>
      <x:c r="BM561" s="6" t="str">
        <x:v>0</x:v>
      </x:c>
      <x:c r="BN561" s="6" t="str">
        <x:v>0</x:v>
      </x:c>
      <x:c r="BO561" s="6" t="str"/>
      <x:c r="BP561" s="6" t="str">
        <x:v>0</x:v>
      </x:c>
      <x:c r="BQ561" s="6" t="str"/>
      <x:c r="BR561" s="6" t="str">
        <x:v>0</x:v>
      </x:c>
      <x:c r="BS561" s="6" t="str"/>
      <x:c r="BT561" s="6" t="str">
        <x:v>0</x:v>
      </x:c>
      <x:c r="BU561" s="6" t="str"/>
      <x:c r="BV561" s="6" t="str">
        <x:v>0</x:v>
      </x:c>
      <x:c r="BW561" s="9" t="str">
        <x:v>operational_snapshot_annual_totals_may_differ</x:v>
      </x:c>
      <x:c r="BX561" s="9" t="str">
        <x:v>official_live_dashboard_snapshot_subject_to_revision</x:v>
      </x:c>
      <x:c r="BY561" s="9" t="str">
        <x:v>https://tbdashboard.sitb.id/ss_data_tbc03so_2024_provinsi_bulanan_list.php</x:v>
      </x:c>
      <x:c r="BZ561" s="6" t="n">
        <x:v>46246.610671296294</x:v>
      </x:c>
    </x:row>
    <x:row r="562" ht="18" customHeight="1">
      <x:c r="A562" s="6" t="str">
        <x:v>65</x:v>
      </x:c>
      <x:c r="B562" s="6" t="str">
        <x:v>KALIMANTAN UTARA</x:v>
      </x:c>
      <x:c r="C562" s="6" t="str">
        <x:v>2024</x:v>
      </x:c>
      <x:c r="D562" s="6" t="str">
        <x:v>9</x:v>
      </x:c>
      <x:c r="E562" s="6" t="str">
        <x:v>2024-09</x:v>
      </x:c>
      <x:c r="F562" s="6" t="str">
        <x:v>171</x:v>
      </x:c>
      <x:c r="G562" s="6" t="str">
        <x:v>37</x:v>
      </x:c>
      <x:c r="H562" s="6" t="str">
        <x:v>80</x:v>
      </x:c>
      <x:c r="I562" s="6" t="str">
        <x:v>26</x:v>
      </x:c>
      <x:c r="J562" s="6" t="str">
        <x:v>10</x:v>
      </x:c>
      <x:c r="K562" s="6" t="str">
        <x:v>0</x:v>
      </x:c>
      <x:c r="L562" s="6" t="str">
        <x:v>3</x:v>
      </x:c>
      <x:c r="M562" s="6" t="str">
        <x:v>15</x:v>
      </x:c>
      <x:c r="N562" s="6" t="str">
        <x:v>171</x:v>
      </x:c>
      <x:c r="O562" s="6" t="str">
        <x:v>0</x:v>
      </x:c>
      <x:c r="P562" s="10" t="n">
        <x:f>F562-M562</x:f>
        <x:v>156</x:v>
      </x:c>
      <x:c r="Q562" s="11" t="n">
        <x:f>IFERROR(M562/F562,"")</x:f>
        <x:v>0.08771929824561403</x:v>
      </x:c>
      <x:c r="R562" s="10" t="n">
        <x:f>G562+H562</x:f>
        <x:v>117</x:v>
      </x:c>
      <x:c r="S562" s="11" t="n">
        <x:f>IFERROR(R562/F562,"")</x:f>
        <x:v>0.6842105263157895</x:v>
      </x:c>
      <x:c r="T562" s="11" t="n">
        <x:f>IFERROR(R562/P562,"")</x:f>
        <x:v>0.75</x:v>
      </x:c>
      <x:c r="U562" s="10" t="n">
        <x:f>I562+J562+K562</x:f>
        <x:v>36</x:v>
      </x:c>
      <x:c r="V562" s="11" t="n">
        <x:f>IFERROR(U562/P562,"")</x:f>
        <x:v>0.23076923076923078</x:v>
      </x:c>
      <x:c r="W562" s="9" t="str">
        <x:v>provisional_gt_5pct_pending</x:v>
      </x:c>
      <x:c r="X562" s="12" t="n">
        <x:f>IFERROR(F562/Z562*100000,"")</x:f>
        <x:v>23.114355231143552</x:v>
      </x:c>
      <x:c r="Y562" s="13" t="n">
        <x:f>LN(Z562)</x:f>
        <x:v>13.51413515838049</x:v>
      </x:c>
      <x:c r="Z562" s="6" t="str">
        <x:v>739800</x:v>
      </x:c>
      <x:c r="AA562" s="6" t="str">
        <x:v>11.0</x:v>
      </x:c>
      <x:c r="AB562" s="9" t="str">
        <x:v>2024-06-30</x:v>
      </x:c>
      <x:c r="AC562" s="8" t="str">
        <x:v>85.17</x:v>
      </x:c>
      <x:c r="AD562" s="9" t="str">
        <x:v>2024 (Susenas)</x:v>
      </x:c>
      <x:c r="AE562" s="8" t="str">
        <x:v>6.32</x:v>
      </x:c>
      <x:c r="AF562" s="9" t="str">
        <x:v>Maret 2024 (Susenas)</x:v>
      </x:c>
      <x:c r="AG562" s="6" t="str">
        <x:v>24.292474454184656</x:v>
      </x:c>
      <x:c r="AH562" s="8" t="str">
        <x:v>90.38114493543682</x:v>
      </x:c>
      <x:c r="AI562" s="6" t="str">
        <x:v>282.85701642120176</x:v>
      </x:c>
      <x:c r="AJ562" s="6" t="str">
        <x:v>0.8479569104959772</x:v>
      </x:c>
      <x:c r="AK562" s="8" t="str">
        <x:v>3.368498460945408</x:v>
      </x:c>
      <x:c r="AL562" s="6" t="str">
        <x:v>2.2078600602354648</x:v>
      </x:c>
      <x:c r="AM562" s="6" t="str">
        <x:v>2.651269064612144</x:v>
      </x:c>
      <x:c r="AN562" s="6" t="str">
        <x:v>2.742542528597672</x:v>
      </x:c>
      <x:c r="AO562" s="6" t="str">
        <x:v>-0.1001483258265096</x:v>
      </x:c>
      <x:c r="AP562" s="8" t="str">
        <x:v>-0.1160669670613793</x:v>
      </x:c>
      <x:c r="AQ562" s="6" t="str">
        <x:v>1.084191813747914</x:v>
      </x:c>
      <x:c r="AR562" s="6" t="str">
        <x:v>1.4881823063572506</x:v>
      </x:c>
      <x:c r="AS562" s="6" t="str">
        <x:v>0.8187690510145952</x:v>
      </x:c>
      <x:c r="AT562" s="6" t="str">
        <x:v>94.51229909209611</x:v>
      </x:c>
      <x:c r="AU562" s="8" t="str">
        <x:v>1.6558352923920812</x:v>
      </x:c>
      <x:c r="AV562" s="6" t="str">
        <x:v>1.211670060320282</x:v>
      </x:c>
      <x:c r="AW562" s="6" t="str">
        <x:v>0.916111799934958</x:v>
      </x:c>
      <x:c r="AX562" s="6" t="str">
        <x:v>1.261205717549107</x:v>
      </x:c>
      <x:c r="AY562" s="6" t="str">
        <x:v>1</x:v>
      </x:c>
      <x:c r="AZ562" s="6" t="str">
        <x:v>1</x:v>
      </x:c>
      <x:c r="BA562" s="9" t="str">
        <x:v>grid_cells_within_BIG_polygon</x:v>
      </x:c>
      <x:c r="BB562" s="6" t="str">
        <x:v>16</x:v>
      </x:c>
      <x:c r="BC562" s="6" t="str">
        <x:v>2</x:v>
      </x:c>
      <x:c r="BD562" s="6" t="str">
        <x:v>2</x:v>
      </x:c>
      <x:c r="BE562" s="6" t="str">
        <x:v>0</x:v>
      </x:c>
      <x:c r="BF562" s="6" t="str">
        <x:v>0</x:v>
      </x:c>
      <x:c r="BG562" s="6" t="str">
        <x:v>0</x:v>
      </x:c>
      <x:c r="BH562" s="6" t="str">
        <x:v>0</x:v>
      </x:c>
      <x:c r="BI562" s="6" t="str">
        <x:v>2</x:v>
      </x:c>
      <x:c r="BJ562" s="6" t="str">
        <x:v>0</x:v>
      </x:c>
      <x:c r="BK562" s="6" t="str">
        <x:v>0</x:v>
      </x:c>
      <x:c r="BL562" s="6" t="str">
        <x:v>0</x:v>
      </x:c>
      <x:c r="BM562" s="6" t="str">
        <x:v>0</x:v>
      </x:c>
      <x:c r="BN562" s="6" t="str">
        <x:v>2</x:v>
      </x:c>
      <x:c r="BO562" s="6" t="str">
        <x:v>0.0</x:v>
      </x:c>
      <x:c r="BP562" s="6" t="str">
        <x:v>2</x:v>
      </x:c>
      <x:c r="BQ562" s="6" t="str">
        <x:v>0.0</x:v>
      </x:c>
      <x:c r="BR562" s="6" t="str">
        <x:v>2</x:v>
      </x:c>
      <x:c r="BS562" s="6" t="str">
        <x:v>0.0</x:v>
      </x:c>
      <x:c r="BT562" s="6" t="str">
        <x:v>2</x:v>
      </x:c>
      <x:c r="BU562" s="6" t="str"/>
      <x:c r="BV562" s="6" t="str">
        <x:v>0</x:v>
      </x:c>
      <x:c r="BW562" s="9" t="str">
        <x:v>operational_snapshot_annual_totals_may_differ</x:v>
      </x:c>
      <x:c r="BX562" s="9" t="str">
        <x:v>official_live_dashboard_snapshot_subject_to_revision</x:v>
      </x:c>
      <x:c r="BY562" s="9" t="str">
        <x:v>https://tbdashboard.sitb.id/ss_data_tbc03so_2024_provinsi_bulanan_list.php</x:v>
      </x:c>
      <x:c r="BZ562" s="6" t="n">
        <x:v>46246.610671296294</x:v>
      </x:c>
    </x:row>
    <x:row r="563" ht="18" customHeight="1">
      <x:c r="A563" s="6" t="str">
        <x:v>65</x:v>
      </x:c>
      <x:c r="B563" s="6" t="str">
        <x:v>KALIMANTAN UTARA</x:v>
      </x:c>
      <x:c r="C563" s="6" t="str">
        <x:v>2024</x:v>
      </x:c>
      <x:c r="D563" s="6" t="str">
        <x:v>10</x:v>
      </x:c>
      <x:c r="E563" s="6" t="str">
        <x:v>2024-10</x:v>
      </x:c>
      <x:c r="F563" s="6" t="str">
        <x:v>204</x:v>
      </x:c>
      <x:c r="G563" s="6" t="str">
        <x:v>36</x:v>
      </x:c>
      <x:c r="H563" s="6" t="str">
        <x:v>111</x:v>
      </x:c>
      <x:c r="I563" s="6" t="str">
        <x:v>20</x:v>
      </x:c>
      <x:c r="J563" s="6" t="str">
        <x:v>13</x:v>
      </x:c>
      <x:c r="K563" s="6" t="str">
        <x:v>0</x:v>
      </x:c>
      <x:c r="L563" s="6" t="str">
        <x:v>2</x:v>
      </x:c>
      <x:c r="M563" s="6" t="str">
        <x:v>22</x:v>
      </x:c>
      <x:c r="N563" s="6" t="str">
        <x:v>204</x:v>
      </x:c>
      <x:c r="O563" s="6" t="str">
        <x:v>0</x:v>
      </x:c>
      <x:c r="P563" s="10" t="n">
        <x:f>F563-M563</x:f>
        <x:v>182</x:v>
      </x:c>
      <x:c r="Q563" s="11" t="n">
        <x:f>IFERROR(M563/F563,"")</x:f>
        <x:v>0.10784313725490197</x:v>
      </x:c>
      <x:c r="R563" s="10" t="n">
        <x:f>G563+H563</x:f>
        <x:v>147</x:v>
      </x:c>
      <x:c r="S563" s="11" t="n">
        <x:f>IFERROR(R563/F563,"")</x:f>
        <x:v>0.7205882352941176</x:v>
      </x:c>
      <x:c r="T563" s="11" t="n">
        <x:f>IFERROR(R563/P563,"")</x:f>
        <x:v>0.8076923076923077</x:v>
      </x:c>
      <x:c r="U563" s="10" t="n">
        <x:f>I563+J563+K563</x:f>
        <x:v>33</x:v>
      </x:c>
      <x:c r="V563" s="11" t="n">
        <x:f>IFERROR(U563/P563,"")</x:f>
        <x:v>0.1813186813186813</x:v>
      </x:c>
      <x:c r="W563" s="9" t="str">
        <x:v>provisional_gt_5pct_pending</x:v>
      </x:c>
      <x:c r="X563" s="12" t="n">
        <x:f>IFERROR(F563/Z563*100000,"")</x:f>
        <x:v>27.575020275750205</x:v>
      </x:c>
      <x:c r="Y563" s="13" t="n">
        <x:f>LN(Z563)</x:f>
        <x:v>13.51413515838049</x:v>
      </x:c>
      <x:c r="Z563" s="6" t="str">
        <x:v>739800</x:v>
      </x:c>
      <x:c r="AA563" s="6" t="str">
        <x:v>11.0</x:v>
      </x:c>
      <x:c r="AB563" s="9" t="str">
        <x:v>2024-06-30</x:v>
      </x:c>
      <x:c r="AC563" s="8" t="str">
        <x:v>85.17</x:v>
      </x:c>
      <x:c r="AD563" s="9" t="str">
        <x:v>2024 (Susenas)</x:v>
      </x:c>
      <x:c r="AE563" s="8" t="str">
        <x:v>6.32</x:v>
      </x:c>
      <x:c r="AF563" s="9" t="str">
        <x:v>Maret 2024 (Susenas)</x:v>
      </x:c>
      <x:c r="AG563" s="6" t="str">
        <x:v>24.06625802891275</x:v>
      </x:c>
      <x:c r="AH563" s="8" t="str">
        <x:v>91.00826427149816</x:v>
      </x:c>
      <x:c r="AI563" s="6" t="str">
        <x:v>275.5073276106653</x:v>
      </x:c>
      <x:c r="AJ563" s="6" t="str">
        <x:v>0.5231020869751788</x:v>
      </x:c>
      <x:c r="AK563" s="8" t="str">
        <x:v>2.5787849286159976</x:v>
      </x:c>
      <x:c r="AL563" s="6" t="str">
        <x:v>3.368498460945408</x:v>
      </x:c>
      <x:c r="AM563" s="6" t="str">
        <x:v>2.2078600602354648</x:v>
      </x:c>
      <x:c r="AN563" s="6" t="str">
        <x:v>2.71838114993229</x:v>
      </x:c>
      <x:c r="AO563" s="6" t="str">
        <x:v>0.2213389412702326</x:v>
      </x:c>
      <x:c r="AP563" s="8" t="str">
        <x:v>0.2300502921697277</x:v>
      </x:c>
      <x:c r="AQ563" s="6" t="str">
        <x:v>-0.1160669670613793</x:v>
      </x:c>
      <x:c r="AR563" s="6" t="str">
        <x:v>1.084191813747914</x:v>
      </x:c>
      <x:c r="AS563" s="6" t="str">
        <x:v>0.3993917129520874</x:v>
      </x:c>
      <x:c r="AT563" s="6" t="str">
        <x:v>48.66945066033574</x:v>
      </x:c>
      <x:c r="AU563" s="8" t="str">
        <x:v>0.728436803771359</x:v>
      </x:c>
      <x:c r="AV563" s="6" t="str">
        <x:v>1.6558352923920812</x:v>
      </x:c>
      <x:c r="AW563" s="6" t="str">
        <x:v>1.211670060320282</x:v>
      </x:c>
      <x:c r="AX563" s="6" t="str">
        <x:v>1.198647385494574</x:v>
      </x:c>
      <x:c r="AY563" s="6" t="str">
        <x:v>0</x:v>
      </x:c>
      <x:c r="AZ563" s="6" t="str">
        <x:v>1</x:v>
      </x:c>
      <x:c r="BA563" s="9" t="str">
        <x:v>grid_cells_within_BIG_polygon</x:v>
      </x:c>
      <x:c r="BB563" s="6" t="str">
        <x:v>16</x:v>
      </x:c>
      <x:c r="BC563" s="6" t="str">
        <x:v>1</x:v>
      </x:c>
      <x:c r="BD563" s="6" t="str">
        <x:v>1</x:v>
      </x:c>
      <x:c r="BE563" s="6" t="str">
        <x:v>0</x:v>
      </x:c>
      <x:c r="BF563" s="6" t="str">
        <x:v>0</x:v>
      </x:c>
      <x:c r="BG563" s="6" t="str">
        <x:v>0</x:v>
      </x:c>
      <x:c r="BH563" s="6" t="str">
        <x:v>0</x:v>
      </x:c>
      <x:c r="BI563" s="6" t="str">
        <x:v>1</x:v>
      </x:c>
      <x:c r="BJ563" s="6" t="str">
        <x:v>0</x:v>
      </x:c>
      <x:c r="BK563" s="6" t="str">
        <x:v>0</x:v>
      </x:c>
      <x:c r="BL563" s="6" t="str">
        <x:v>0</x:v>
      </x:c>
      <x:c r="BM563" s="6" t="str">
        <x:v>0</x:v>
      </x:c>
      <x:c r="BN563" s="6" t="str">
        <x:v>1</x:v>
      </x:c>
      <x:c r="BO563" s="6" t="str">
        <x:v>0.0</x:v>
      </x:c>
      <x:c r="BP563" s="6" t="str">
        <x:v>1</x:v>
      </x:c>
      <x:c r="BQ563" s="6" t="str">
        <x:v>0.0</x:v>
      </x:c>
      <x:c r="BR563" s="6" t="str">
        <x:v>1</x:v>
      </x:c>
      <x:c r="BS563" s="6" t="str">
        <x:v>0.0</x:v>
      </x:c>
      <x:c r="BT563" s="6" t="str">
        <x:v>1</x:v>
      </x:c>
      <x:c r="BU563" s="6" t="str"/>
      <x:c r="BV563" s="6" t="str">
        <x:v>0</x:v>
      </x:c>
      <x:c r="BW563" s="9" t="str">
        <x:v>operational_snapshot_annual_totals_may_differ</x:v>
      </x:c>
      <x:c r="BX563" s="9" t="str">
        <x:v>official_live_dashboard_snapshot_subject_to_revision</x:v>
      </x:c>
      <x:c r="BY563" s="9" t="str">
        <x:v>https://tbdashboard.sitb.id/ss_data_tbc03so_2024_provinsi_bulanan_list.php</x:v>
      </x:c>
      <x:c r="BZ563" s="6" t="n">
        <x:v>46246.610671296294</x:v>
      </x:c>
    </x:row>
    <x:row r="564" ht="18" customHeight="1">
      <x:c r="A564" s="6" t="str">
        <x:v>65</x:v>
      </x:c>
      <x:c r="B564" s="6" t="str">
        <x:v>KALIMANTAN UTARA</x:v>
      </x:c>
      <x:c r="C564" s="6" t="str">
        <x:v>2024</x:v>
      </x:c>
      <x:c r="D564" s="6" t="str">
        <x:v>11</x:v>
      </x:c>
      <x:c r="E564" s="6" t="str">
        <x:v>2024-11</x:v>
      </x:c>
      <x:c r="F564" s="6" t="str">
        <x:v>177</x:v>
      </x:c>
      <x:c r="G564" s="6" t="str">
        <x:v>45</x:v>
      </x:c>
      <x:c r="H564" s="6" t="str">
        <x:v>72</x:v>
      </x:c>
      <x:c r="I564" s="6" t="str">
        <x:v>21</x:v>
      </x:c>
      <x:c r="J564" s="6" t="str">
        <x:v>14</x:v>
      </x:c>
      <x:c r="K564" s="6" t="str">
        <x:v>0</x:v>
      </x:c>
      <x:c r="L564" s="6" t="str">
        <x:v>2</x:v>
      </x:c>
      <x:c r="M564" s="6" t="str">
        <x:v>23</x:v>
      </x:c>
      <x:c r="N564" s="6" t="str">
        <x:v>177</x:v>
      </x:c>
      <x:c r="O564" s="6" t="str">
        <x:v>0</x:v>
      </x:c>
      <x:c r="P564" s="10" t="n">
        <x:f>F564-M564</x:f>
        <x:v>154</x:v>
      </x:c>
      <x:c r="Q564" s="11" t="n">
        <x:f>IFERROR(M564/F564,"")</x:f>
        <x:v>0.12994350282485875</x:v>
      </x:c>
      <x:c r="R564" s="10" t="n">
        <x:f>G564+H564</x:f>
        <x:v>117</x:v>
      </x:c>
      <x:c r="S564" s="11" t="n">
        <x:f>IFERROR(R564/F564,"")</x:f>
        <x:v>0.6610169491525424</x:v>
      </x:c>
      <x:c r="T564" s="11" t="n">
        <x:f>IFERROR(R564/P564,"")</x:f>
        <x:v>0.7597402597402597</x:v>
      </x:c>
      <x:c r="U564" s="10" t="n">
        <x:f>I564+J564+K564</x:f>
        <x:v>35</x:v>
      </x:c>
      <x:c r="V564" s="11" t="n">
        <x:f>IFERROR(U564/P564,"")</x:f>
        <x:v>0.22727272727272727</x:v>
      </x:c>
      <x:c r="W564" s="9" t="str">
        <x:v>provisional_gt_5pct_pending</x:v>
      </x:c>
      <x:c r="X564" s="12" t="n">
        <x:f>IFERROR(F564/Z564*100000,"")</x:f>
        <x:v>23.925385239253853</x:v>
      </x:c>
      <x:c r="Y564" s="13" t="n">
        <x:f>LN(Z564)</x:f>
        <x:v>13.51413515838049</x:v>
      </x:c>
      <x:c r="Z564" s="6" t="str">
        <x:v>739800</x:v>
      </x:c>
      <x:c r="AA564" s="6" t="str">
        <x:v>11.0</x:v>
      </x:c>
      <x:c r="AB564" s="9" t="str">
        <x:v>2024-06-30</x:v>
      </x:c>
      <x:c r="AC564" s="8" t="str">
        <x:v>85.17</x:v>
      </x:c>
      <x:c r="AD564" s="9" t="str">
        <x:v>2024 (Susenas)</x:v>
      </x:c>
      <x:c r="AE564" s="8" t="str">
        <x:v>6.32</x:v>
      </x:c>
      <x:c r="AF564" s="9" t="str">
        <x:v>Maret 2024 (Susenas)</x:v>
      </x:c>
      <x:c r="AG564" s="6" t="str">
        <x:v>24.138751624219697</x:v>
      </x:c>
      <x:c r="AH564" s="8" t="str">
        <x:v>91.33715743323796</x:v>
      </x:c>
      <x:c r="AI564" s="6" t="str">
        <x:v>268.69000399525214</x:v>
      </x:c>
      <x:c r="AJ564" s="6" t="str">
        <x:v>0.6107382484867365</x:v>
      </x:c>
      <x:c r="AK564" s="8" t="str">
        <x:v>3.067206359293428</x:v>
      </x:c>
      <x:c r="AL564" s="6" t="str">
        <x:v>2.5787849286159976</x:v>
      </x:c>
      <x:c r="AM564" s="6" t="str">
        <x:v>3.368498460945408</x:v>
      </x:c>
      <x:c r="AN564" s="6" t="str">
        <x:v>3.004829916284945</x:v>
      </x:c>
      <x:c r="AO564" s="6" t="str">
        <x:v>-0.0786914308331461</x:v>
      </x:c>
      <x:c r="AP564" s="8" t="str">
        <x:v>-0.0958895686550083</x:v>
      </x:c>
      <x:c r="AQ564" s="6" t="str">
        <x:v>0.2300502921697277</x:v>
      </x:c>
      <x:c r="AR564" s="6" t="str">
        <x:v>-0.1160669670613793</x:v>
      </x:c>
      <x:c r="AS564" s="6" t="str">
        <x:v>0.0060312521511132</x:v>
      </x:c>
      <x:c r="AT564" s="6" t="str">
        <x:v>29.03206577095756</x:v>
      </x:c>
      <x:c r="AU564" s="8" t="str">
        <x:v>0.5871142830809112</x:v>
      </x:c>
      <x:c r="AV564" s="6" t="str">
        <x:v>0.728436803771359</x:v>
      </x:c>
      <x:c r="AW564" s="6" t="str">
        <x:v>1.6558352923920812</x:v>
      </x:c>
      <x:c r="AX564" s="6" t="str">
        <x:v>0.9904621264147838</x:v>
      </x:c>
      <x:c r="AY564" s="6" t="str">
        <x:v>0</x:v>
      </x:c>
      <x:c r="AZ564" s="6" t="str">
        <x:v>1</x:v>
      </x:c>
      <x:c r="BA564" s="9" t="str">
        <x:v>grid_cells_within_BIG_polygon</x:v>
      </x:c>
      <x:c r="BB564" s="6" t="str">
        <x:v>16</x:v>
      </x:c>
      <x:c r="BC564" s="6" t="str">
        <x:v>0</x:v>
      </x:c>
      <x:c r="BD564" s="6" t="str">
        <x:v>0</x:v>
      </x:c>
      <x:c r="BE564" s="6" t="str">
        <x:v>0</x:v>
      </x:c>
      <x:c r="BF564" s="6" t="str">
        <x:v>0</x:v>
      </x:c>
      <x:c r="BG564" s="6" t="str">
        <x:v>0</x:v>
      </x:c>
      <x:c r="BH564" s="6" t="str">
        <x:v>0</x:v>
      </x:c>
      <x:c r="BI564" s="6" t="str">
        <x:v>0</x:v>
      </x:c>
      <x:c r="BJ564" s="6" t="str">
        <x:v>0</x:v>
      </x:c>
      <x:c r="BK564" s="6" t="str">
        <x:v>0</x:v>
      </x:c>
      <x:c r="BL564" s="6" t="str">
        <x:v>0</x:v>
      </x:c>
      <x:c r="BM564" s="6" t="str">
        <x:v>0</x:v>
      </x:c>
      <x:c r="BN564" s="6" t="str">
        <x:v>0</x:v>
      </x:c>
      <x:c r="BO564" s="6" t="str"/>
      <x:c r="BP564" s="6" t="str">
        <x:v>0</x:v>
      </x:c>
      <x:c r="BQ564" s="6" t="str"/>
      <x:c r="BR564" s="6" t="str">
        <x:v>0</x:v>
      </x:c>
      <x:c r="BS564" s="6" t="str"/>
      <x:c r="BT564" s="6" t="str">
        <x:v>0</x:v>
      </x:c>
      <x:c r="BU564" s="6" t="str"/>
      <x:c r="BV564" s="6" t="str">
        <x:v>0</x:v>
      </x:c>
      <x:c r="BW564" s="9" t="str">
        <x:v>operational_snapshot_annual_totals_may_differ</x:v>
      </x:c>
      <x:c r="BX564" s="9" t="str">
        <x:v>official_live_dashboard_snapshot_subject_to_revision</x:v>
      </x:c>
      <x:c r="BY564" s="9" t="str">
        <x:v>https://tbdashboard.sitb.id/ss_data_tbc03so_2024_provinsi_bulanan_list.php</x:v>
      </x:c>
      <x:c r="BZ564" s="6" t="n">
        <x:v>46246.610671296294</x:v>
      </x:c>
    </x:row>
    <x:row r="565" ht="18" customHeight="1">
      <x:c r="A565" s="6" t="str">
        <x:v>65</x:v>
      </x:c>
      <x:c r="B565" s="6" t="str">
        <x:v>KALIMANTAN UTARA</x:v>
      </x:c>
      <x:c r="C565" s="6" t="str">
        <x:v>2024</x:v>
      </x:c>
      <x:c r="D565" s="6" t="str">
        <x:v>12</x:v>
      </x:c>
      <x:c r="E565" s="6" t="str">
        <x:v>2024-12</x:v>
      </x:c>
      <x:c r="F565" s="6" t="str">
        <x:v>164</x:v>
      </x:c>
      <x:c r="G565" s="6" t="str">
        <x:v>39</x:v>
      </x:c>
      <x:c r="H565" s="6" t="str">
        <x:v>67</x:v>
      </x:c>
      <x:c r="I565" s="6" t="str">
        <x:v>27</x:v>
      </x:c>
      <x:c r="J565" s="6" t="str">
        <x:v>10</x:v>
      </x:c>
      <x:c r="K565" s="6" t="str">
        <x:v>1</x:v>
      </x:c>
      <x:c r="L565" s="6" t="str">
        <x:v>1</x:v>
      </x:c>
      <x:c r="M565" s="6" t="str">
        <x:v>19</x:v>
      </x:c>
      <x:c r="N565" s="6" t="str">
        <x:v>164</x:v>
      </x:c>
      <x:c r="O565" s="6" t="str">
        <x:v>0</x:v>
      </x:c>
      <x:c r="P565" s="10" t="n">
        <x:f>F565-M565</x:f>
        <x:v>145</x:v>
      </x:c>
      <x:c r="Q565" s="11" t="n">
        <x:f>IFERROR(M565/F565,"")</x:f>
        <x:v>0.11585365853658537</x:v>
      </x:c>
      <x:c r="R565" s="10" t="n">
        <x:f>G565+H565</x:f>
        <x:v>106</x:v>
      </x:c>
      <x:c r="S565" s="11" t="n">
        <x:f>IFERROR(R565/F565,"")</x:f>
        <x:v>0.6463414634146342</x:v>
      </x:c>
      <x:c r="T565" s="11" t="n">
        <x:f>IFERROR(R565/P565,"")</x:f>
        <x:v>0.7310344827586207</x:v>
      </x:c>
      <x:c r="U565" s="10" t="n">
        <x:f>I565+J565+K565</x:f>
        <x:v>38</x:v>
      </x:c>
      <x:c r="V565" s="11" t="n">
        <x:f>IFERROR(U565/P565,"")</x:f>
        <x:v>0.2620689655172414</x:v>
      </x:c>
      <x:c r="W565" s="9" t="str">
        <x:v>provisional_gt_5pct_pending</x:v>
      </x:c>
      <x:c r="X565" s="12" t="n">
        <x:f>IFERROR(F565/Z565*100000,"")</x:f>
        <x:v>22.168153555014868</x:v>
      </x:c>
      <x:c r="Y565" s="13" t="n">
        <x:f>LN(Z565)</x:f>
        <x:v>13.51413515838049</x:v>
      </x:c>
      <x:c r="Z565" s="6" t="str">
        <x:v>739800</x:v>
      </x:c>
      <x:c r="AA565" s="6" t="str">
        <x:v>11.0</x:v>
      </x:c>
      <x:c r="AB565" s="9" t="str">
        <x:v>2024-06-30</x:v>
      </x:c>
      <x:c r="AC565" s="8" t="str">
        <x:v>85.17</x:v>
      </x:c>
      <x:c r="AD565" s="9" t="str">
        <x:v>2024 (Susenas)</x:v>
      </x:c>
      <x:c r="AE565" s="8" t="str">
        <x:v>6.32</x:v>
      </x:c>
      <x:c r="AF565" s="9" t="str">
        <x:v>Maret 2024 (Susenas)</x:v>
      </x:c>
      <x:c r="AG565" s="6" t="str">
        <x:v>23.922501325369023</x:v>
      </x:c>
      <x:c r="AH565" s="8" t="str">
        <x:v>93.29710793951377</x:v>
      </x:c>
      <x:c r="AI565" s="6" t="str">
        <x:v>362.6350711768747</x:v>
      </x:c>
      <x:c r="AJ565" s="6" t="str">
        <x:v>0.6168195389351574</x:v>
      </x:c>
      <x:c r="AK565" s="8" t="str">
        <x:v>2.689262261107547</x:v>
      </x:c>
      <x:c r="AL565" s="6" t="str">
        <x:v>3.067206359293428</x:v>
      </x:c>
      <x:c r="AM565" s="6" t="str">
        <x:v>2.5787849286159976</x:v>
      </x:c>
      <x:c r="AN565" s="6" t="str">
        <x:v>2.7784178496723246</x:v>
      </x:c>
      <x:c r="AO565" s="6" t="str">
        <x:v>1.5140765016462725</x:v>
      </x:c>
      <x:c r="AP565" s="8" t="str">
        <x:v>1.7584464994362</x:v>
      </x:c>
      <x:c r="AQ565" s="6" t="str">
        <x:v>-0.0958895686550083</x:v>
      </x:c>
      <x:c r="AR565" s="6" t="str">
        <x:v>0.2300502921697277</x:v>
      </x:c>
      <x:c r="AS565" s="6" t="str">
        <x:v>0.630869074316973</x:v>
      </x:c>
      <x:c r="AT565" s="6" t="str">
        <x:v>112.07734440736598</x:v>
      </x:c>
      <x:c r="AU565" s="8" t="str">
        <x:v>1.7570507947244065</x:v>
      </x:c>
      <x:c r="AV565" s="6" t="str">
        <x:v>0.5871142830809112</x:v>
      </x:c>
      <x:c r="AW565" s="6" t="str">
        <x:v>0.728436803771359</x:v>
      </x:c>
      <x:c r="AX565" s="6" t="str">
        <x:v>1.0242006271922257</x:v>
      </x:c>
      <x:c r="AY565" s="6" t="str">
        <x:v>1</x:v>
      </x:c>
      <x:c r="AZ565" s="6" t="str">
        <x:v>1</x:v>
      </x:c>
      <x:c r="BA565" s="9" t="str">
        <x:v>grid_cells_within_BIG_polygon</x:v>
      </x:c>
      <x:c r="BB565" s="6" t="str">
        <x:v>16</x:v>
      </x:c>
      <x:c r="BC565" s="6" t="str">
        <x:v>1</x:v>
      </x:c>
      <x:c r="BD565" s="6" t="str">
        <x:v>1</x:v>
      </x:c>
      <x:c r="BE565" s="6" t="str">
        <x:v>0</x:v>
      </x:c>
      <x:c r="BF565" s="6" t="str">
        <x:v>1</x:v>
      </x:c>
      <x:c r="BG565" s="6" t="str">
        <x:v>0</x:v>
      </x:c>
      <x:c r="BH565" s="6" t="str">
        <x:v>0</x:v>
      </x:c>
      <x:c r="BI565" s="6" t="str">
        <x:v>0</x:v>
      </x:c>
      <x:c r="BJ565" s="6" t="str">
        <x:v>0</x:v>
      </x:c>
      <x:c r="BK565" s="6" t="str">
        <x:v>0</x:v>
      </x:c>
      <x:c r="BL565" s="6" t="str">
        <x:v>0</x:v>
      </x:c>
      <x:c r="BM565" s="6" t="str">
        <x:v>0</x:v>
      </x:c>
      <x:c r="BN565" s="6" t="str">
        <x:v>1</x:v>
      </x:c>
      <x:c r="BO565" s="6" t="str">
        <x:v>3.0</x:v>
      </x:c>
      <x:c r="BP565" s="6" t="str">
        <x:v>1</x:v>
      </x:c>
      <x:c r="BQ565" s="6" t="str">
        <x:v>0.0</x:v>
      </x:c>
      <x:c r="BR565" s="6" t="str">
        <x:v>1</x:v>
      </x:c>
      <x:c r="BS565" s="6" t="str">
        <x:v>10.0</x:v>
      </x:c>
      <x:c r="BT565" s="6" t="str">
        <x:v>1</x:v>
      </x:c>
      <x:c r="BU565" s="6" t="str"/>
      <x:c r="BV565" s="6" t="str">
        <x:v>0</x:v>
      </x:c>
      <x:c r="BW565" s="9" t="str">
        <x:v>operational_snapshot_annual_totals_may_differ</x:v>
      </x:c>
      <x:c r="BX565" s="9" t="str">
        <x:v>official_live_dashboard_snapshot_subject_to_revision</x:v>
      </x:c>
      <x:c r="BY565" s="9" t="str">
        <x:v>https://tbdashboard.sitb.id/ss_data_tbc03so_2024_provinsi_bulanan_list.php</x:v>
      </x:c>
      <x:c r="BZ565" s="6" t="n">
        <x:v>46246.610671296294</x:v>
      </x:c>
    </x:row>
    <x:row r="566" ht="18" customHeight="1">
      <x:c r="A566" s="6" t="str">
        <x:v>65</x:v>
      </x:c>
      <x:c r="B566" s="6" t="str">
        <x:v>KALIMANTAN UTARA</x:v>
      </x:c>
      <x:c r="C566" s="6" t="str">
        <x:v>2025</x:v>
      </x:c>
      <x:c r="D566" s="6" t="str">
        <x:v>1</x:v>
      </x:c>
      <x:c r="E566" s="6" t="str">
        <x:v>2025-01</x:v>
      </x:c>
      <x:c r="F566" s="6" t="str">
        <x:v>184</x:v>
      </x:c>
      <x:c r="G566" s="6" t="str">
        <x:v>39</x:v>
      </x:c>
      <x:c r="H566" s="6" t="str">
        <x:v>77</x:v>
      </x:c>
      <x:c r="I566" s="6" t="str">
        <x:v>29</x:v>
      </x:c>
      <x:c r="J566" s="6" t="str">
        <x:v>12</x:v>
      </x:c>
      <x:c r="K566" s="6" t="str">
        <x:v>4</x:v>
      </x:c>
      <x:c r="L566" s="6" t="str">
        <x:v>5</x:v>
      </x:c>
      <x:c r="M566" s="6" t="str">
        <x:v>18</x:v>
      </x:c>
      <x:c r="N566" s="6" t="str">
        <x:v>184</x:v>
      </x:c>
      <x:c r="O566" s="6" t="str">
        <x:v>0</x:v>
      </x:c>
      <x:c r="P566" s="10" t="n">
        <x:f>F566-M566</x:f>
        <x:v>166</x:v>
      </x:c>
      <x:c r="Q566" s="11" t="n">
        <x:f>IFERROR(M566/F566,"")</x:f>
        <x:v>0.09782608695652174</x:v>
      </x:c>
      <x:c r="R566" s="10" t="n">
        <x:f>G566+H566</x:f>
        <x:v>116</x:v>
      </x:c>
      <x:c r="S566" s="11" t="n">
        <x:f>IFERROR(R566/F566,"")</x:f>
        <x:v>0.6304347826086957</x:v>
      </x:c>
      <x:c r="T566" s="11" t="n">
        <x:f>IFERROR(R566/P566,"")</x:f>
        <x:v>0.6987951807228916</x:v>
      </x:c>
      <x:c r="U566" s="10" t="n">
        <x:f>I566+J566+K566</x:f>
        <x:v>45</x:v>
      </x:c>
      <x:c r="V566" s="11" t="n">
        <x:f>IFERROR(U566/P566,"")</x:f>
        <x:v>0.2710843373493976</x:v>
      </x:c>
      <x:c r="W566" s="9" t="str">
        <x:v>provisional_gt_5pct_pending</x:v>
      </x:c>
      <x:c r="X566" s="12" t="n">
        <x:f>IFERROR(F566/Z566*100000,"")</x:f>
        <x:v>24.55297571390446</x:v>
      </x:c>
      <x:c r="Y566" s="13" t="n">
        <x:f>LN(Z566)</x:f>
        <x:v>13.527028165341724</x:v>
      </x:c>
      <x:c r="Z566" s="6" t="str">
        <x:v>749400</x:v>
      </x:c>
      <x:c r="AA566" s="6" t="str">
        <x:v>11.0</x:v>
      </x:c>
      <x:c r="AB566" s="9" t="str">
        <x:v>2025-06-30</x:v>
      </x:c>
      <x:c r="AC566" s="8" t="str">
        <x:v>86.0</x:v>
      </x:c>
      <x:c r="AD566" s="9" t="str">
        <x:v>2025 (Susenas)</x:v>
      </x:c>
      <x:c r="AE566" s="8" t="str">
        <x:v>5.54</x:v>
      </x:c>
      <x:c r="AF566" s="9" t="str">
        <x:v>Maret 2025 (Susenas)</x:v>
      </x:c>
      <x:c r="AG566" s="6" t="str">
        <x:v>23.410044298127424</x:v>
      </x:c>
      <x:c r="AH566" s="8" t="str">
        <x:v>93.60201042016608</x:v>
      </x:c>
      <x:c r="AI566" s="6" t="str">
        <x:v>437.5347589115639</x:v>
      </x:c>
      <x:c r="AJ566" s="6" t="str">
        <x:v>0.3571857038712096</x:v>
      </x:c>
      <x:c r="AK566" s="8" t="str">
        <x:v>1.1669466419363768</x:v>
      </x:c>
      <x:c r="AL566" s="6" t="str">
        <x:v>2.689262261107547</x:v>
      </x:c>
      <x:c r="AM566" s="6" t="str">
        <x:v>3.067206359293428</x:v>
      </x:c>
      <x:c r="AN566" s="6" t="str">
        <x:v>2.3078050874457845</x:v>
      </x:c>
      <x:c r="AO566" s="6" t="str">
        <x:v>2.527127874888791</x:v>
      </x:c>
      <x:c r="AP566" s="8" t="str">
        <x:v>1.810216040857126</x:v>
      </x:c>
      <x:c r="AQ566" s="6" t="str">
        <x:v>1.7584464994362</x:v>
      </x:c>
      <x:c r="AR566" s="6" t="str">
        <x:v>-0.0958895686550083</x:v>
      </x:c>
      <x:c r="AS566" s="6" t="str">
        <x:v>1.1575909905461057</x:v>
      </x:c>
      <x:c r="AT566" s="6" t="str">
        <x:v>224.21378461872004</x:v>
      </x:c>
      <x:c r="AU566" s="8" t="str">
        <x:v>3.15628698692134</x:v>
      </x:c>
      <x:c r="AV566" s="6" t="str">
        <x:v>1.7570507947244065</x:v>
      </x:c>
      <x:c r="AW566" s="6" t="str">
        <x:v>0.5871142830809112</x:v>
      </x:c>
      <x:c r="AX566" s="6" t="str">
        <x:v>1.8334840215755528</x:v>
      </x:c>
      <x:c r="AY566" s="6" t="str">
        <x:v>1</x:v>
      </x:c>
      <x:c r="AZ566" s="6" t="str">
        <x:v>1</x:v>
      </x:c>
      <x:c r="BA566" s="9" t="str">
        <x:v>grid_cells_within_BIG_polygon</x:v>
      </x:c>
      <x:c r="BB566" s="6" t="str">
        <x:v>16</x:v>
      </x:c>
      <x:c r="BC566" s="6" t="str">
        <x:v>5</x:v>
      </x:c>
      <x:c r="BD566" s="6" t="str">
        <x:v>5</x:v>
      </x:c>
      <x:c r="BE566" s="6" t="str">
        <x:v>4</x:v>
      </x:c>
      <x:c r="BF566" s="6" t="str">
        <x:v>1</x:v>
      </x:c>
      <x:c r="BG566" s="6" t="str">
        <x:v>0</x:v>
      </x:c>
      <x:c r="BH566" s="6" t="str">
        <x:v>0</x:v>
      </x:c>
      <x:c r="BI566" s="6" t="str">
        <x:v>0</x:v>
      </x:c>
      <x:c r="BJ566" s="6" t="str">
        <x:v>0</x:v>
      </x:c>
      <x:c r="BK566" s="6" t="str">
        <x:v>0</x:v>
      </x:c>
      <x:c r="BL566" s="6" t="str">
        <x:v>0</x:v>
      </x:c>
      <x:c r="BM566" s="6" t="str">
        <x:v>0</x:v>
      </x:c>
      <x:c r="BN566" s="6" t="str">
        <x:v>5</x:v>
      </x:c>
      <x:c r="BO566" s="6" t="str">
        <x:v>1.0</x:v>
      </x:c>
      <x:c r="BP566" s="6" t="str">
        <x:v>5</x:v>
      </x:c>
      <x:c r="BQ566" s="6" t="str">
        <x:v>0.0</x:v>
      </x:c>
      <x:c r="BR566" s="6" t="str">
        <x:v>5</x:v>
      </x:c>
      <x:c r="BS566" s="6" t="str">
        <x:v>31.0</x:v>
      </x:c>
      <x:c r="BT566" s="6" t="str">
        <x:v>5</x:v>
      </x:c>
      <x:c r="BU566" s="6" t="str">
        <x:v>161.0</x:v>
      </x:c>
      <x:c r="BV566" s="6" t="str">
        <x:v>2</x:v>
      </x:c>
      <x:c r="BW566" s="9" t="str">
        <x:v>operational_snapshot_annual_totals_may_differ</x:v>
      </x:c>
      <x:c r="BX566" s="9" t="str">
        <x:v>official_live_dashboard_snapshot_subject_to_revision</x:v>
      </x:c>
      <x:c r="BY566" s="9" t="str">
        <x:v>https://tbdashboard.sitb.id/ss_data_tbc03so_2025_provinsi_bulanan_list.php</x:v>
      </x:c>
      <x:c r="BZ566" s="6" t="n">
        <x:v>46246.610671296294</x:v>
      </x:c>
    </x:row>
    <x:row r="567" ht="18" customHeight="1">
      <x:c r="A567" s="6" t="str">
        <x:v>65</x:v>
      </x:c>
      <x:c r="B567" s="6" t="str">
        <x:v>KALIMANTAN UTARA</x:v>
      </x:c>
      <x:c r="C567" s="6" t="str">
        <x:v>2025</x:v>
      </x:c>
      <x:c r="D567" s="6" t="str">
        <x:v>2</x:v>
      </x:c>
      <x:c r="E567" s="6" t="str">
        <x:v>2025-02</x:v>
      </x:c>
      <x:c r="F567" s="6" t="str">
        <x:v>184</x:v>
      </x:c>
      <x:c r="G567" s="6" t="str">
        <x:v>56</x:v>
      </x:c>
      <x:c r="H567" s="6" t="str">
        <x:v>90</x:v>
      </x:c>
      <x:c r="I567" s="6" t="str">
        <x:v>16</x:v>
      </x:c>
      <x:c r="J567" s="6" t="str">
        <x:v>6</x:v>
      </x:c>
      <x:c r="K567" s="6" t="str">
        <x:v>0</x:v>
      </x:c>
      <x:c r="L567" s="6" t="str">
        <x:v>2</x:v>
      </x:c>
      <x:c r="M567" s="6" t="str">
        <x:v>14</x:v>
      </x:c>
      <x:c r="N567" s="6" t="str">
        <x:v>184</x:v>
      </x:c>
      <x:c r="O567" s="6" t="str">
        <x:v>0</x:v>
      </x:c>
      <x:c r="P567" s="10" t="n">
        <x:f>F567-M567</x:f>
        <x:v>170</x:v>
      </x:c>
      <x:c r="Q567" s="11" t="n">
        <x:f>IFERROR(M567/F567,"")</x:f>
        <x:v>0.07608695652173914</x:v>
      </x:c>
      <x:c r="R567" s="10" t="n">
        <x:f>G567+H567</x:f>
        <x:v>146</x:v>
      </x:c>
      <x:c r="S567" s="11" t="n">
        <x:f>IFERROR(R567/F567,"")</x:f>
        <x:v>0.7934782608695652</x:v>
      </x:c>
      <x:c r="T567" s="11" t="n">
        <x:f>IFERROR(R567/P567,"")</x:f>
        <x:v>0.8588235294117647</x:v>
      </x:c>
      <x:c r="U567" s="10" t="n">
        <x:f>I567+J567+K567</x:f>
        <x:v>22</x:v>
      </x:c>
      <x:c r="V567" s="11" t="n">
        <x:f>IFERROR(U567/P567,"")</x:f>
        <x:v>0.12941176470588237</x:v>
      </x:c>
      <x:c r="W567" s="9" t="str">
        <x:v>provisional_gt_5pct_pending</x:v>
      </x:c>
      <x:c r="X567" s="12" t="n">
        <x:f>IFERROR(F567/Z567*100000,"")</x:f>
        <x:v>24.55297571390446</x:v>
      </x:c>
      <x:c r="Y567" s="13" t="n">
        <x:f>LN(Z567)</x:f>
        <x:v>13.527028165341724</x:v>
      </x:c>
      <x:c r="Z567" s="6" t="str">
        <x:v>749400</x:v>
      </x:c>
      <x:c r="AA567" s="6" t="str">
        <x:v>11.0</x:v>
      </x:c>
      <x:c r="AB567" s="9" t="str">
        <x:v>2025-06-30</x:v>
      </x:c>
      <x:c r="AC567" s="8" t="str">
        <x:v>86.0</x:v>
      </x:c>
      <x:c r="AD567" s="9" t="str">
        <x:v>2025 (Susenas)</x:v>
      </x:c>
      <x:c r="AE567" s="8" t="str">
        <x:v>5.54</x:v>
      </x:c>
      <x:c r="AF567" s="9" t="str">
        <x:v>Maret 2025 (Susenas)</x:v>
      </x:c>
      <x:c r="AG567" s="6" t="str">
        <x:v>23.371296305201508</x:v>
      </x:c>
      <x:c r="AH567" s="8" t="str">
        <x:v>92.64015701387036</x:v>
      </x:c>
      <x:c r="AI567" s="6" t="str">
        <x:v>289.56218534883834</x:v>
      </x:c>
      <x:c r="AJ567" s="6" t="str">
        <x:v>0.2002343040501557</x:v>
      </x:c>
      <x:c r="AK567" s="8" t="str">
        <x:v>0.6330758143393436</x:v>
      </x:c>
      <x:c r="AL567" s="6" t="str">
        <x:v>1.1669466419363768</x:v>
      </x:c>
      <x:c r="AM567" s="6" t="str">
        <x:v>2.689262261107547</x:v>
      </x:c>
      <x:c r="AN567" s="6" t="str">
        <x:v>1.496428239127756</x:v>
      </x:c>
      <x:c r="AO567" s="6" t="str">
        <x:v>2.3509304025173776</x:v>
      </x:c>
      <x:c r="AP567" s="8" t="str">
        <x:v>1.548205653137793</x:v>
      </x:c>
      <x:c r="AQ567" s="6" t="str">
        <x:v>1.810216040857126</x:v>
      </x:c>
      <x:c r="AR567" s="6" t="str">
        <x:v>1.7584464994362</x:v>
      </x:c>
      <x:c r="AS567" s="6" t="str">
        <x:v>1.7056227311437062</x:v>
      </x:c>
      <x:c r="AT567" s="6" t="str">
        <x:v>107.6382808152622</x:v>
      </x:c>
      <x:c r="AU567" s="8" t="str">
        <x:v>1.5603118683255486</x:v>
      </x:c>
      <x:c r="AV567" s="6" t="str">
        <x:v>3.15628698692134</x:v>
      </x:c>
      <x:c r="AW567" s="6" t="str">
        <x:v>1.7570507947244065</x:v>
      </x:c>
      <x:c r="AX567" s="6" t="str">
        <x:v>2.1578832166570985</x:v>
      </x:c>
      <x:c r="AY567" s="6" t="str">
        <x:v>1</x:v>
      </x:c>
      <x:c r="AZ567" s="6" t="str">
        <x:v>0</x:v>
      </x:c>
      <x:c r="BA567" s="9" t="str">
        <x:v>grid_cells_within_BIG_polygon</x:v>
      </x:c>
      <x:c r="BB567" s="6" t="str">
        <x:v>16</x:v>
      </x:c>
      <x:c r="BC567" s="6" t="str">
        <x:v>2</x:v>
      </x:c>
      <x:c r="BD567" s="6" t="str">
        <x:v>2</x:v>
      </x:c>
      <x:c r="BE567" s="6" t="str">
        <x:v>0</x:v>
      </x:c>
      <x:c r="BF567" s="6" t="str">
        <x:v>0</x:v>
      </x:c>
      <x:c r="BG567" s="6" t="str">
        <x:v>0</x:v>
      </x:c>
      <x:c r="BH567" s="6" t="str">
        <x:v>0</x:v>
      </x:c>
      <x:c r="BI567" s="6" t="str">
        <x:v>2</x:v>
      </x:c>
      <x:c r="BJ567" s="6" t="str">
        <x:v>0</x:v>
      </x:c>
      <x:c r="BK567" s="6" t="str">
        <x:v>0</x:v>
      </x:c>
      <x:c r="BL567" s="6" t="str">
        <x:v>0</x:v>
      </x:c>
      <x:c r="BM567" s="6" t="str">
        <x:v>0</x:v>
      </x:c>
      <x:c r="BN567" s="6" t="str">
        <x:v>2</x:v>
      </x:c>
      <x:c r="BO567" s="6" t="str">
        <x:v>0.0</x:v>
      </x:c>
      <x:c r="BP567" s="6" t="str">
        <x:v>2</x:v>
      </x:c>
      <x:c r="BQ567" s="6" t="str">
        <x:v>0.0</x:v>
      </x:c>
      <x:c r="BR567" s="6" t="str">
        <x:v>2</x:v>
      </x:c>
      <x:c r="BS567" s="6" t="str">
        <x:v>0.0</x:v>
      </x:c>
      <x:c r="BT567" s="6" t="str">
        <x:v>2</x:v>
      </x:c>
      <x:c r="BU567" s="6" t="str"/>
      <x:c r="BV567" s="6" t="str">
        <x:v>0</x:v>
      </x:c>
      <x:c r="BW567" s="9" t="str">
        <x:v>operational_snapshot_annual_totals_may_differ</x:v>
      </x:c>
      <x:c r="BX567" s="9" t="str">
        <x:v>official_live_dashboard_snapshot_subject_to_revision</x:v>
      </x:c>
      <x:c r="BY567" s="9" t="str">
        <x:v>https://tbdashboard.sitb.id/ss_data_tbc03so_2025_provinsi_bulanan_list.php</x:v>
      </x:c>
      <x:c r="BZ567" s="6" t="n">
        <x:v>46246.610671296294</x:v>
      </x:c>
    </x:row>
    <x:row r="568" ht="18" customHeight="1">
      <x:c r="A568" s="6" t="str">
        <x:v>65</x:v>
      </x:c>
      <x:c r="B568" s="6" t="str">
        <x:v>KALIMANTAN UTARA</x:v>
      </x:c>
      <x:c r="C568" s="6" t="str">
        <x:v>2025</x:v>
      </x:c>
      <x:c r="D568" s="6" t="str">
        <x:v>3</x:v>
      </x:c>
      <x:c r="E568" s="6" t="str">
        <x:v>2025-03</x:v>
      </x:c>
      <x:c r="F568" s="6" t="str">
        <x:v>150</x:v>
      </x:c>
      <x:c r="G568" s="6" t="str">
        <x:v>35</x:v>
      </x:c>
      <x:c r="H568" s="6" t="str">
        <x:v>73</x:v>
      </x:c>
      <x:c r="I568" s="6" t="str">
        <x:v>15</x:v>
      </x:c>
      <x:c r="J568" s="6" t="str">
        <x:v>14</x:v>
      </x:c>
      <x:c r="K568" s="6" t="str">
        <x:v>1</x:v>
      </x:c>
      <x:c r="L568" s="6" t="str">
        <x:v>0</x:v>
      </x:c>
      <x:c r="M568" s="6" t="str">
        <x:v>12</x:v>
      </x:c>
      <x:c r="N568" s="6" t="str">
        <x:v>150</x:v>
      </x:c>
      <x:c r="O568" s="6" t="str">
        <x:v>0</x:v>
      </x:c>
      <x:c r="P568" s="10" t="n">
        <x:f>F568-M568</x:f>
        <x:v>138</x:v>
      </x:c>
      <x:c r="Q568" s="11" t="n">
        <x:f>IFERROR(M568/F568,"")</x:f>
        <x:v>0.08</x:v>
      </x:c>
      <x:c r="R568" s="10" t="n">
        <x:f>G568+H568</x:f>
        <x:v>108</x:v>
      </x:c>
      <x:c r="S568" s="11" t="n">
        <x:f>IFERROR(R568/F568,"")</x:f>
        <x:v>0.72</x:v>
      </x:c>
      <x:c r="T568" s="11" t="n">
        <x:f>IFERROR(R568/P568,"")</x:f>
        <x:v>0.782608695652174</x:v>
      </x:c>
      <x:c r="U568" s="10" t="n">
        <x:f>I568+J568+K568</x:f>
        <x:v>30</x:v>
      </x:c>
      <x:c r="V568" s="11" t="n">
        <x:f>IFERROR(U568/P568,"")</x:f>
        <x:v>0.21739130434782608</x:v>
      </x:c>
      <x:c r="W568" s="9" t="str">
        <x:v>provisional_gt_5pct_pending</x:v>
      </x:c>
      <x:c r="X568" s="12" t="n">
        <x:f>IFERROR(F568/Z568*100000,"")</x:f>
        <x:v>20.016012810248196</x:v>
      </x:c>
      <x:c r="Y568" s="13" t="n">
        <x:f>LN(Z568)</x:f>
        <x:v>13.527028165341724</x:v>
      </x:c>
      <x:c r="Z568" s="6" t="str">
        <x:v>749400</x:v>
      </x:c>
      <x:c r="AA568" s="6" t="str">
        <x:v>11.0</x:v>
      </x:c>
      <x:c r="AB568" s="9" t="str">
        <x:v>2025-06-30</x:v>
      </x:c>
      <x:c r="AC568" s="8" t="str">
        <x:v>86.0</x:v>
      </x:c>
      <x:c r="AD568" s="9" t="str">
        <x:v>2025 (Susenas)</x:v>
      </x:c>
      <x:c r="AE568" s="8" t="str">
        <x:v>5.54</x:v>
      </x:c>
      <x:c r="AF568" s="9" t="str">
        <x:v>Maret 2025 (Susenas)</x:v>
      </x:c>
      <x:c r="AG568" s="6" t="str">
        <x:v>23.70382479502164</x:v>
      </x:c>
      <x:c r="AH568" s="8" t="str">
        <x:v>91.40704954664542</x:v>
      </x:c>
      <x:c r="AI568" s="6" t="str">
        <x:v>188.25762832711908</x:v>
      </x:c>
      <x:c r="AJ568" s="6" t="str">
        <x:v>0.1843991726317249</x:v>
      </x:c>
      <x:c r="AK568" s="8" t="str">
        <x:v>0.512394588219509</x:v>
      </x:c>
      <x:c r="AL568" s="6" t="str">
        <x:v>0.6330758143393436</x:v>
      </x:c>
      <x:c r="AM568" s="6" t="str">
        <x:v>1.1669466419363768</x:v>
      </x:c>
      <x:c r="AN568" s="6" t="str">
        <x:v>0.77080568149841</x:v>
      </x:c>
      <x:c r="AO568" s="6" t="str">
        <x:v>1.4791537985619811</x:v>
      </x:c>
      <x:c r="AP568" s="8" t="str">
        <x:v>0.6996223155841043</x:v>
      </x:c>
      <x:c r="AQ568" s="6" t="str">
        <x:v>1.548205653137793</x:v>
      </x:c>
      <x:c r="AR568" s="6" t="str">
        <x:v>1.810216040857126</x:v>
      </x:c>
      <x:c r="AS568" s="6" t="str">
        <x:v>1.3526813365263408</x:v>
      </x:c>
      <x:c r="AT568" s="6" t="str">
        <x:v>-22.895796554589936</x:v>
      </x:c>
      <x:c r="AU568" s="8" t="str">
        <x:v>-0.247076765985924</x:v>
      </x:c>
      <x:c r="AV568" s="6" t="str">
        <x:v>1.5603118683255486</x:v>
      </x:c>
      <x:c r="AW568" s="6" t="str">
        <x:v>3.15628698692134</x:v>
      </x:c>
      <x:c r="AX568" s="6" t="str">
        <x:v>1.4898406964203217</x:v>
      </x:c>
      <x:c r="AY568" s="6" t="str">
        <x:v>0</x:v>
      </x:c>
      <x:c r="AZ568" s="6" t="str">
        <x:v>0</x:v>
      </x:c>
      <x:c r="BA568" s="9" t="str">
        <x:v>grid_cells_within_BIG_polygon</x:v>
      </x:c>
      <x:c r="BB568" s="6" t="str">
        <x:v>16</x:v>
      </x:c>
      <x:c r="BC568" s="6" t="str">
        <x:v>2</x:v>
      </x:c>
      <x:c r="BD568" s="6" t="str">
        <x:v>2</x:v>
      </x:c>
      <x:c r="BE568" s="6" t="str">
        <x:v>0</x:v>
      </x:c>
      <x:c r="BF568" s="6" t="str">
        <x:v>0</x:v>
      </x:c>
      <x:c r="BG568" s="6" t="str">
        <x:v>0</x:v>
      </x:c>
      <x:c r="BH568" s="6" t="str">
        <x:v>0</x:v>
      </x:c>
      <x:c r="BI568" s="6" t="str">
        <x:v>2</x:v>
      </x:c>
      <x:c r="BJ568" s="6" t="str">
        <x:v>0</x:v>
      </x:c>
      <x:c r="BK568" s="6" t="str">
        <x:v>0</x:v>
      </x:c>
      <x:c r="BL568" s="6" t="str">
        <x:v>0</x:v>
      </x:c>
      <x:c r="BM568" s="6" t="str">
        <x:v>0</x:v>
      </x:c>
      <x:c r="BN568" s="6" t="str">
        <x:v>2</x:v>
      </x:c>
      <x:c r="BO568" s="6" t="str">
        <x:v>0.0</x:v>
      </x:c>
      <x:c r="BP568" s="6" t="str">
        <x:v>2</x:v>
      </x:c>
      <x:c r="BQ568" s="6" t="str">
        <x:v>0.0</x:v>
      </x:c>
      <x:c r="BR568" s="6" t="str">
        <x:v>2</x:v>
      </x:c>
      <x:c r="BS568" s="6" t="str">
        <x:v>0.0</x:v>
      </x:c>
      <x:c r="BT568" s="6" t="str">
        <x:v>2</x:v>
      </x:c>
      <x:c r="BU568" s="6" t="str"/>
      <x:c r="BV568" s="6" t="str">
        <x:v>0</x:v>
      </x:c>
      <x:c r="BW568" s="9" t="str">
        <x:v>operational_snapshot_annual_totals_may_differ</x:v>
      </x:c>
      <x:c r="BX568" s="9" t="str">
        <x:v>official_live_dashboard_snapshot_subject_to_revision</x:v>
      </x:c>
      <x:c r="BY568" s="9" t="str">
        <x:v>https://tbdashboard.sitb.id/ss_data_tbc03so_2025_provinsi_bulanan_list.php</x:v>
      </x:c>
      <x:c r="BZ568" s="6" t="n">
        <x:v>46246.610671296294</x:v>
      </x:c>
    </x:row>
    <x:row r="569" ht="18" customHeight="1">
      <x:c r="A569" s="6" t="str">
        <x:v>65</x:v>
      </x:c>
      <x:c r="B569" s="6" t="str">
        <x:v>KALIMANTAN UTARA</x:v>
      </x:c>
      <x:c r="C569" s="6" t="str">
        <x:v>2025</x:v>
      </x:c>
      <x:c r="D569" s="6" t="str">
        <x:v>4</x:v>
      </x:c>
      <x:c r="E569" s="6" t="str">
        <x:v>2025-04</x:v>
      </x:c>
      <x:c r="F569" s="6" t="str">
        <x:v>124</x:v>
      </x:c>
      <x:c r="G569" s="6" t="str">
        <x:v>27</x:v>
      </x:c>
      <x:c r="H569" s="6" t="str">
        <x:v>57</x:v>
      </x:c>
      <x:c r="I569" s="6" t="str">
        <x:v>17</x:v>
      </x:c>
      <x:c r="J569" s="6" t="str">
        <x:v>13</x:v>
      </x:c>
      <x:c r="K569" s="6" t="str">
        <x:v>1</x:v>
      </x:c>
      <x:c r="L569" s="6" t="str">
        <x:v>1</x:v>
      </x:c>
      <x:c r="M569" s="6" t="str">
        <x:v>8</x:v>
      </x:c>
      <x:c r="N569" s="6" t="str">
        <x:v>124</x:v>
      </x:c>
      <x:c r="O569" s="6" t="str">
        <x:v>0</x:v>
      </x:c>
      <x:c r="P569" s="10" t="n">
        <x:f>F569-M569</x:f>
        <x:v>116</x:v>
      </x:c>
      <x:c r="Q569" s="11" t="n">
        <x:f>IFERROR(M569/F569,"")</x:f>
        <x:v>0.06451612903225806</x:v>
      </x:c>
      <x:c r="R569" s="10" t="n">
        <x:f>G569+H569</x:f>
        <x:v>84</x:v>
      </x:c>
      <x:c r="S569" s="11" t="n">
        <x:f>IFERROR(R569/F569,"")</x:f>
        <x:v>0.6774193548387096</x:v>
      </x:c>
      <x:c r="T569" s="11" t="n">
        <x:f>IFERROR(R569/P569,"")</x:f>
        <x:v>0.7241379310344828</x:v>
      </x:c>
      <x:c r="U569" s="10" t="n">
        <x:f>I569+J569+K569</x:f>
        <x:v>31</x:v>
      </x:c>
      <x:c r="V569" s="11" t="n">
        <x:f>IFERROR(U569/P569,"")</x:f>
        <x:v>0.2672413793103448</x:v>
      </x:c>
      <x:c r="W569" s="9" t="str">
        <x:v>provisional_gt_5pct_pending</x:v>
      </x:c>
      <x:c r="X569" s="12" t="n">
        <x:f>IFERROR(F569/Z569*100000,"")</x:f>
        <x:v>16.546570589805178</x:v>
      </x:c>
      <x:c r="Y569" s="13" t="n">
        <x:f>LN(Z569)</x:f>
        <x:v>13.527028165341724</x:v>
      </x:c>
      <x:c r="Z569" s="6" t="str">
        <x:v>749400</x:v>
      </x:c>
      <x:c r="AA569" s="6" t="str">
        <x:v>11.0</x:v>
      </x:c>
      <x:c r="AB569" s="9" t="str">
        <x:v>2025-06-30</x:v>
      </x:c>
      <x:c r="AC569" s="8" t="str">
        <x:v>86.0</x:v>
      </x:c>
      <x:c r="AD569" s="9" t="str">
        <x:v>2025 (Susenas)</x:v>
      </x:c>
      <x:c r="AE569" s="8" t="str">
        <x:v>5.54</x:v>
      </x:c>
      <x:c r="AF569" s="9" t="str">
        <x:v>Maret 2025 (Susenas)</x:v>
      </x:c>
      <x:c r="AG569" s="6" t="str">
        <x:v>24.02997131272557</x:v>
      </x:c>
      <x:c r="AH569" s="8" t="str">
        <x:v>90.77805435872766</x:v>
      </x:c>
      <x:c r="AI569" s="6" t="str">
        <x:v>297.68841102832414</x:v>
      </x:c>
      <x:c r="AJ569" s="6" t="str">
        <x:v>0.1412637877417886</x:v>
      </x:c>
      <x:c r="AK569" s="8" t="str">
        <x:v>0.3311775796982269</x:v>
      </x:c>
      <x:c r="AL569" s="6" t="str">
        <x:v>0.512394588219509</x:v>
      </x:c>
      <x:c r="AM569" s="6" t="str">
        <x:v>0.6330758143393436</x:v>
      </x:c>
      <x:c r="AN569" s="6" t="str">
        <x:v>0.4922159940856934</x:v>
      </x:c>
      <x:c r="AO569" s="6" t="str">
        <x:v>0.5373859619571135</x:v>
      </x:c>
      <x:c r="AP569" s="8" t="str">
        <x:v>0.1855606786812659</x:v>
      </x:c>
      <x:c r="AQ569" s="6" t="str">
        <x:v>0.6996223155841043</x:v>
      </x:c>
      <x:c r="AR569" s="6" t="str">
        <x:v>1.548205653137793</x:v>
      </x:c>
      <x:c r="AS569" s="6" t="str">
        <x:v>0.8111295491343876</x:v>
      </x:c>
      <x:c r="AT569" s="6" t="str">
        <x:v>86.6585213901169</x:v>
      </x:c>
      <x:c r="AU569" s="8" t="str">
        <x:v>1.4511530795060648</x:v>
      </x:c>
      <x:c r="AV569" s="6" t="str">
        <x:v>-0.247076765985924</x:v>
      </x:c>
      <x:c r="AW569" s="6" t="str">
        <x:v>1.5603118683255486</x:v>
      </x:c>
      <x:c r="AX569" s="6" t="str">
        <x:v>0.9214627272818966</x:v>
      </x:c>
      <x:c r="AY569" s="6" t="str">
        <x:v>1</x:v>
      </x:c>
      <x:c r="AZ569" s="6" t="str">
        <x:v>0</x:v>
      </x:c>
      <x:c r="BA569" s="9" t="str">
        <x:v>grid_cells_within_BIG_polygon</x:v>
      </x:c>
      <x:c r="BB569" s="6" t="str">
        <x:v>16</x:v>
      </x:c>
      <x:c r="BC569" s="6" t="str">
        <x:v>0</x:v>
      </x:c>
      <x:c r="BD569" s="6" t="str">
        <x:v>0</x:v>
      </x:c>
      <x:c r="BE569" s="6" t="str">
        <x:v>0</x:v>
      </x:c>
      <x:c r="BF569" s="6" t="str">
        <x:v>0</x:v>
      </x:c>
      <x:c r="BG569" s="6" t="str">
        <x:v>0</x:v>
      </x:c>
      <x:c r="BH569" s="6" t="str">
        <x:v>0</x:v>
      </x:c>
      <x:c r="BI569" s="6" t="str">
        <x:v>0</x:v>
      </x:c>
      <x:c r="BJ569" s="6" t="str">
        <x:v>0</x:v>
      </x:c>
      <x:c r="BK569" s="6" t="str">
        <x:v>0</x:v>
      </x:c>
      <x:c r="BL569" s="6" t="str">
        <x:v>0</x:v>
      </x:c>
      <x:c r="BM569" s="6" t="str">
        <x:v>0</x:v>
      </x:c>
      <x:c r="BN569" s="6" t="str">
        <x:v>0</x:v>
      </x:c>
      <x:c r="BO569" s="6" t="str"/>
      <x:c r="BP569" s="6" t="str">
        <x:v>0</x:v>
      </x:c>
      <x:c r="BQ569" s="6" t="str"/>
      <x:c r="BR569" s="6" t="str">
        <x:v>0</x:v>
      </x:c>
      <x:c r="BS569" s="6" t="str"/>
      <x:c r="BT569" s="6" t="str">
        <x:v>0</x:v>
      </x:c>
      <x:c r="BU569" s="6" t="str"/>
      <x:c r="BV569" s="6" t="str">
        <x:v>0</x:v>
      </x:c>
      <x:c r="BW569" s="9" t="str">
        <x:v>operational_snapshot_annual_totals_may_differ</x:v>
      </x:c>
      <x:c r="BX569" s="9" t="str">
        <x:v>official_live_dashboard_snapshot_subject_to_revision</x:v>
      </x:c>
      <x:c r="BY569" s="9" t="str">
        <x:v>https://tbdashboard.sitb.id/ss_data_tbc03so_2025_provinsi_bulanan_list.php</x:v>
      </x:c>
      <x:c r="BZ569" s="6" t="n">
        <x:v>46246.610671296294</x:v>
      </x:c>
    </x:row>
    <x:row r="570" ht="18" customHeight="1">
      <x:c r="A570" s="6" t="str">
        <x:v>65</x:v>
      </x:c>
      <x:c r="B570" s="6" t="str">
        <x:v>KALIMANTAN UTARA</x:v>
      </x:c>
      <x:c r="C570" s="6" t="str">
        <x:v>2025</x:v>
      </x:c>
      <x:c r="D570" s="6" t="str">
        <x:v>5</x:v>
      </x:c>
      <x:c r="E570" s="6" t="str">
        <x:v>2025-05</x:v>
      </x:c>
      <x:c r="F570" s="6" t="str">
        <x:v>186</x:v>
      </x:c>
      <x:c r="G570" s="6" t="str">
        <x:v>54</x:v>
      </x:c>
      <x:c r="H570" s="6" t="str">
        <x:v>71</x:v>
      </x:c>
      <x:c r="I570" s="6" t="str">
        <x:v>29</x:v>
      </x:c>
      <x:c r="J570" s="6" t="str">
        <x:v>11</x:v>
      </x:c>
      <x:c r="K570" s="6" t="str">
        <x:v>1</x:v>
      </x:c>
      <x:c r="L570" s="6" t="str">
        <x:v>0</x:v>
      </x:c>
      <x:c r="M570" s="6" t="str">
        <x:v>20</x:v>
      </x:c>
      <x:c r="N570" s="6" t="str">
        <x:v>186</x:v>
      </x:c>
      <x:c r="O570" s="6" t="str">
        <x:v>0</x:v>
      </x:c>
      <x:c r="P570" s="10" t="n">
        <x:f>F570-M570</x:f>
        <x:v>166</x:v>
      </x:c>
      <x:c r="Q570" s="11" t="n">
        <x:f>IFERROR(M570/F570,"")</x:f>
        <x:v>0.10752688172043011</x:v>
      </x:c>
      <x:c r="R570" s="10" t="n">
        <x:f>G570+H570</x:f>
        <x:v>125</x:v>
      </x:c>
      <x:c r="S570" s="11" t="n">
        <x:f>IFERROR(R570/F570,"")</x:f>
        <x:v>0.6720430107526881</x:v>
      </x:c>
      <x:c r="T570" s="11" t="n">
        <x:f>IFERROR(R570/P570,"")</x:f>
        <x:v>0.7530120481927711</x:v>
      </x:c>
      <x:c r="U570" s="10" t="n">
        <x:f>I570+J570+K570</x:f>
        <x:v>41</x:v>
      </x:c>
      <x:c r="V570" s="11" t="n">
        <x:f>IFERROR(U570/P570,"")</x:f>
        <x:v>0.2469879518072289</x:v>
      </x:c>
      <x:c r="W570" s="9" t="str">
        <x:v>provisional_gt_5pct_pending</x:v>
      </x:c>
      <x:c r="X570" s="12" t="n">
        <x:f>IFERROR(F570/Z570*100000,"")</x:f>
        <x:v>24.819855884707763</x:v>
      </x:c>
      <x:c r="Y570" s="13" t="n">
        <x:f>LN(Z570)</x:f>
        <x:v>13.527028165341724</x:v>
      </x:c>
      <x:c r="Z570" s="6" t="str">
        <x:v>749400</x:v>
      </x:c>
      <x:c r="AA570" s="6" t="str">
        <x:v>11.0</x:v>
      </x:c>
      <x:c r="AB570" s="9" t="str">
        <x:v>2025-06-30</x:v>
      </x:c>
      <x:c r="AC570" s="8" t="str">
        <x:v>86.0</x:v>
      </x:c>
      <x:c r="AD570" s="9" t="str">
        <x:v>2025 (Susenas)</x:v>
      </x:c>
      <x:c r="AE570" s="8" t="str">
        <x:v>5.54</x:v>
      </x:c>
      <x:c r="AF570" s="9" t="str">
        <x:v>Maret 2025 (Susenas)</x:v>
      </x:c>
      <x:c r="AG570" s="6" t="str">
        <x:v>24.32310743860267</x:v>
      </x:c>
      <x:c r="AH570" s="8" t="str">
        <x:v>91.4808654179742</x:v>
      </x:c>
      <x:c r="AI570" s="6" t="str">
        <x:v>263.1952739782591</x:v>
      </x:c>
      <x:c r="AJ570" s="6" t="str">
        <x:v>0.3237292035459873</x:v>
      </x:c>
      <x:c r="AK570" s="8" t="str">
        <x:v>0.9395289863287548</x:v>
      </x:c>
      <x:c r="AL570" s="6" t="str">
        <x:v>0.3311775796982269</x:v>
      </x:c>
      <x:c r="AM570" s="6" t="str">
        <x:v>0.512394588219509</x:v>
      </x:c>
      <x:c r="AN570" s="6" t="str">
        <x:v>0.5943670514154973</x:v>
      </x:c>
      <x:c r="AO570" s="6" t="str">
        <x:v>0.1695141334843981</x:v>
      </x:c>
      <x:c r="AP570" s="8" t="str">
        <x:v>0.1432029321431573</x:v>
      </x:c>
      <x:c r="AQ570" s="6" t="str">
        <x:v>0.1855606786812659</x:v>
      </x:c>
      <x:c r="AR570" s="6" t="str">
        <x:v>0.6996223155841043</x:v>
      </x:c>
      <x:c r="AS570" s="6" t="str">
        <x:v>0.3427953088028424</x:v>
      </x:c>
      <x:c r="AT570" s="6" t="str">
        <x:v>29.05479824806244</x:v>
      </x:c>
      <x:c r="AU570" s="8" t="str">
        <x:v>0.4324099273445918</x:v>
      </x:c>
      <x:c r="AV570" s="6" t="str">
        <x:v>1.4511530795060648</x:v>
      </x:c>
      <x:c r="AW570" s="6" t="str">
        <x:v>-0.247076765985924</x:v>
      </x:c>
      <x:c r="AX570" s="6" t="str">
        <x:v>0.5454954136215776</x:v>
      </x:c>
      <x:c r="AY570" s="6" t="str">
        <x:v>0</x:v>
      </x:c>
      <x:c r="AZ570" s="6" t="str">
        <x:v>0</x:v>
      </x:c>
      <x:c r="BA570" s="9" t="str">
        <x:v>grid_cells_within_BIG_polygon</x:v>
      </x:c>
      <x:c r="BB570" s="6" t="str">
        <x:v>16</x:v>
      </x:c>
      <x:c r="BC570" s="6" t="str">
        <x:v>4</x:v>
      </x:c>
      <x:c r="BD570" s="6" t="str">
        <x:v>4</x:v>
      </x:c>
      <x:c r="BE570" s="6" t="str">
        <x:v>4</x:v>
      </x:c>
      <x:c r="BF570" s="6" t="str">
        <x:v>0</x:v>
      </x:c>
      <x:c r="BG570" s="6" t="str">
        <x:v>0</x:v>
      </x:c>
      <x:c r="BH570" s="6" t="str">
        <x:v>0</x:v>
      </x:c>
      <x:c r="BI570" s="6" t="str">
        <x:v>0</x:v>
      </x:c>
      <x:c r="BJ570" s="6" t="str">
        <x:v>0</x:v>
      </x:c>
      <x:c r="BK570" s="6" t="str">
        <x:v>0</x:v>
      </x:c>
      <x:c r="BL570" s="6" t="str">
        <x:v>0</x:v>
      </x:c>
      <x:c r="BM570" s="6" t="str">
        <x:v>0</x:v>
      </x:c>
      <x:c r="BN570" s="6" t="str">
        <x:v>4</x:v>
      </x:c>
      <x:c r="BO570" s="6" t="str">
        <x:v>0.0</x:v>
      </x:c>
      <x:c r="BP570" s="6" t="str">
        <x:v>4</x:v>
      </x:c>
      <x:c r="BQ570" s="6" t="str">
        <x:v>0.0</x:v>
      </x:c>
      <x:c r="BR570" s="6" t="str">
        <x:v>4</x:v>
      </x:c>
      <x:c r="BS570" s="6" t="str">
        <x:v>1.0</x:v>
      </x:c>
      <x:c r="BT570" s="6" t="str">
        <x:v>4</x:v>
      </x:c>
      <x:c r="BU570" s="6" t="str">
        <x:v>6341.0</x:v>
      </x:c>
      <x:c r="BV570" s="6" t="str">
        <x:v>4</x:v>
      </x:c>
      <x:c r="BW570" s="9" t="str">
        <x:v>operational_snapshot_annual_totals_may_differ</x:v>
      </x:c>
      <x:c r="BX570" s="9" t="str">
        <x:v>official_live_dashboard_snapshot_subject_to_revision</x:v>
      </x:c>
      <x:c r="BY570" s="9" t="str">
        <x:v>https://tbdashboard.sitb.id/ss_data_tbc03so_2025_provinsi_bulanan_list.php</x:v>
      </x:c>
      <x:c r="BZ570" s="6" t="n">
        <x:v>46246.610671296294</x:v>
      </x:c>
    </x:row>
    <x:row r="571" ht="18" customHeight="1">
      <x:c r="A571" s="6" t="str">
        <x:v>65</x:v>
      </x:c>
      <x:c r="B571" s="6" t="str">
        <x:v>KALIMANTAN UTARA</x:v>
      </x:c>
      <x:c r="C571" s="6" t="str">
        <x:v>2025</x:v>
      </x:c>
      <x:c r="D571" s="6" t="str">
        <x:v>6</x:v>
      </x:c>
      <x:c r="E571" s="6" t="str">
        <x:v>2025-06</x:v>
      </x:c>
      <x:c r="F571" s="6" t="str">
        <x:v>187</x:v>
      </x:c>
      <x:c r="G571" s="6" t="str">
        <x:v>46</x:v>
      </x:c>
      <x:c r="H571" s="6" t="str">
        <x:v>86</x:v>
      </x:c>
      <x:c r="I571" s="6" t="str">
        <x:v>26</x:v>
      </x:c>
      <x:c r="J571" s="6" t="str">
        <x:v>10</x:v>
      </x:c>
      <x:c r="K571" s="6" t="str">
        <x:v>2</x:v>
      </x:c>
      <x:c r="L571" s="6" t="str">
        <x:v>0</x:v>
      </x:c>
      <x:c r="M571" s="6" t="str">
        <x:v>17</x:v>
      </x:c>
      <x:c r="N571" s="6" t="str">
        <x:v>187</x:v>
      </x:c>
      <x:c r="O571" s="6" t="str">
        <x:v>0</x:v>
      </x:c>
      <x:c r="P571" s="10" t="n">
        <x:f>F571-M571</x:f>
        <x:v>170</x:v>
      </x:c>
      <x:c r="Q571" s="11" t="n">
        <x:f>IFERROR(M571/F571,"")</x:f>
        <x:v>0.09090909090909091</x:v>
      </x:c>
      <x:c r="R571" s="10" t="n">
        <x:f>G571+H571</x:f>
        <x:v>132</x:v>
      </x:c>
      <x:c r="S571" s="11" t="n">
        <x:f>IFERROR(R571/F571,"")</x:f>
        <x:v>0.7058823529411765</x:v>
      </x:c>
      <x:c r="T571" s="11" t="n">
        <x:f>IFERROR(R571/P571,"")</x:f>
        <x:v>0.7764705882352941</x:v>
      </x:c>
      <x:c r="U571" s="10" t="n">
        <x:f>I571+J571+K571</x:f>
        <x:v>38</x:v>
      </x:c>
      <x:c r="V571" s="11" t="n">
        <x:f>IFERROR(U571/P571,"")</x:f>
        <x:v>0.2235294117647059</x:v>
      </x:c>
      <x:c r="W571" s="9" t="str">
        <x:v>provisional_gt_5pct_pending</x:v>
      </x:c>
      <x:c r="X571" s="12" t="n">
        <x:f>IFERROR(F571/Z571*100000,"")</x:f>
        <x:v>24.953295970109423</x:v>
      </x:c>
      <x:c r="Y571" s="13" t="n">
        <x:f>LN(Z571)</x:f>
        <x:v>13.527028165341724</x:v>
      </x:c>
      <x:c r="Z571" s="6" t="str">
        <x:v>749400</x:v>
      </x:c>
      <x:c r="AA571" s="6" t="str">
        <x:v>11.0</x:v>
      </x:c>
      <x:c r="AB571" s="9" t="str">
        <x:v>2025-06-30</x:v>
      </x:c>
      <x:c r="AC571" s="8" t="str">
        <x:v>86.0</x:v>
      </x:c>
      <x:c r="AD571" s="9" t="str">
        <x:v>2025 (Susenas)</x:v>
      </x:c>
      <x:c r="AE571" s="8" t="str">
        <x:v>5.54</x:v>
      </x:c>
      <x:c r="AF571" s="9" t="str">
        <x:v>Maret 2025 (Susenas)</x:v>
      </x:c>
      <x:c r="AG571" s="6" t="str">
        <x:v>23.61307904922304</x:v>
      </x:c>
      <x:c r="AH571" s="8" t="str">
        <x:v>92.154554398182</x:v>
      </x:c>
      <x:c r="AI571" s="6" t="str">
        <x:v>281.6299588428773</x:v>
      </x:c>
      <x:c r="AJ571" s="6" t="str">
        <x:v>0.0491366631353464</x:v>
      </x:c>
      <x:c r="AK571" s="8" t="str">
        <x:v>0.19661499903353</x:v>
      </x:c>
      <x:c r="AL571" s="6" t="str">
        <x:v>0.9395289863287548</x:v>
      </x:c>
      <x:c r="AM571" s="6" t="str">
        <x:v>0.3311775796982269</x:v>
      </x:c>
      <x:c r="AN571" s="6" t="str">
        <x:v>0.4891071883535042</x:v>
      </x:c>
      <x:c r="AO571" s="6" t="str">
        <x:v>0.6454062845645154</x:v>
      </x:c>
      <x:c r="AP571" s="8" t="str">
        <x:v>0.593210208347095</x:v>
      </x:c>
      <x:c r="AQ571" s="6" t="str">
        <x:v>0.1432029321431573</x:v>
      </x:c>
      <x:c r="AR571" s="6" t="str">
        <x:v>0.1855606786812659</x:v>
      </x:c>
      <x:c r="AS571" s="6" t="str">
        <x:v>0.307324606390506</x:v>
      </x:c>
      <x:c r="AT571" s="6" t="str">
        <x:v>81.0537205357891</x:v>
      </x:c>
      <x:c r="AU571" s="8" t="str">
        <x:v>1.3563894688708111</x:v>
      </x:c>
      <x:c r="AV571" s="6" t="str">
        <x:v>0.4324099273445918</x:v>
      </x:c>
      <x:c r="AW571" s="6" t="str">
        <x:v>1.4511530795060648</x:v>
      </x:c>
      <x:c r="AX571" s="6" t="str">
        <x:v>1.0799841585738228</x:v>
      </x:c>
      <x:c r="AY571" s="6" t="str">
        <x:v>1</x:v>
      </x:c>
      <x:c r="AZ571" s="6" t="str">
        <x:v>0</x:v>
      </x:c>
      <x:c r="BA571" s="9" t="str">
        <x:v>grid_cells_within_BIG_polygon</x:v>
      </x:c>
      <x:c r="BB571" s="6" t="str">
        <x:v>16</x:v>
      </x:c>
      <x:c r="BC571" s="6" t="str">
        <x:v>0</x:v>
      </x:c>
      <x:c r="BD571" s="6" t="str">
        <x:v>0</x:v>
      </x:c>
      <x:c r="BE571" s="6" t="str">
        <x:v>0</x:v>
      </x:c>
      <x:c r="BF571" s="6" t="str">
        <x:v>0</x:v>
      </x:c>
      <x:c r="BG571" s="6" t="str">
        <x:v>0</x:v>
      </x:c>
      <x:c r="BH571" s="6" t="str">
        <x:v>0</x:v>
      </x:c>
      <x:c r="BI571" s="6" t="str">
        <x:v>0</x:v>
      </x:c>
      <x:c r="BJ571" s="6" t="str">
        <x:v>0</x:v>
      </x:c>
      <x:c r="BK571" s="6" t="str">
        <x:v>0</x:v>
      </x:c>
      <x:c r="BL571" s="6" t="str">
        <x:v>0</x:v>
      </x:c>
      <x:c r="BM571" s="6" t="str">
        <x:v>0</x:v>
      </x:c>
      <x:c r="BN571" s="6" t="str">
        <x:v>0</x:v>
      </x:c>
      <x:c r="BO571" s="6" t="str"/>
      <x:c r="BP571" s="6" t="str">
        <x:v>0</x:v>
      </x:c>
      <x:c r="BQ571" s="6" t="str"/>
      <x:c r="BR571" s="6" t="str">
        <x:v>0</x:v>
      </x:c>
      <x:c r="BS571" s="6" t="str"/>
      <x:c r="BT571" s="6" t="str">
        <x:v>0</x:v>
      </x:c>
      <x:c r="BU571" s="6" t="str"/>
      <x:c r="BV571" s="6" t="str">
        <x:v>0</x:v>
      </x:c>
      <x:c r="BW571" s="9" t="str">
        <x:v>operational_snapshot_annual_totals_may_differ</x:v>
      </x:c>
      <x:c r="BX571" s="9" t="str">
        <x:v>official_live_dashboard_snapshot_subject_to_revision</x:v>
      </x:c>
      <x:c r="BY571" s="9" t="str">
        <x:v>https://tbdashboard.sitb.id/ss_data_tbc03so_2025_provinsi_bulanan_list.php</x:v>
      </x:c>
      <x:c r="BZ571" s="6" t="n">
        <x:v>46246.610671296294</x:v>
      </x:c>
    </x:row>
    <x:row r="572" ht="18" customHeight="1">
      <x:c r="A572" s="6" t="str">
        <x:v>65</x:v>
      </x:c>
      <x:c r="B572" s="6" t="str">
        <x:v>KALIMANTAN UTARA</x:v>
      </x:c>
      <x:c r="C572" s="6" t="str">
        <x:v>2025</x:v>
      </x:c>
      <x:c r="D572" s="6" t="str">
        <x:v>7</x:v>
      </x:c>
      <x:c r="E572" s="6" t="str">
        <x:v>2025-07</x:v>
      </x:c>
      <x:c r="F572" s="6" t="str">
        <x:v>209</x:v>
      </x:c>
      <x:c r="G572" s="6" t="str">
        <x:v>42</x:v>
      </x:c>
      <x:c r="H572" s="6" t="str">
        <x:v>96</x:v>
      </x:c>
      <x:c r="I572" s="6" t="str">
        <x:v>21</x:v>
      </x:c>
      <x:c r="J572" s="6" t="str">
        <x:v>12</x:v>
      </x:c>
      <x:c r="K572" s="6" t="str">
        <x:v>0</x:v>
      </x:c>
      <x:c r="L572" s="6" t="str">
        <x:v>0</x:v>
      </x:c>
      <x:c r="M572" s="6" t="str">
        <x:v>38</x:v>
      </x:c>
      <x:c r="N572" s="6" t="str">
        <x:v>209</x:v>
      </x:c>
      <x:c r="O572" s="6" t="str">
        <x:v>0</x:v>
      </x:c>
      <x:c r="P572" s="10" t="n">
        <x:f>F572-M572</x:f>
        <x:v>171</x:v>
      </x:c>
      <x:c r="Q572" s="11" t="n">
        <x:f>IFERROR(M572/F572,"")</x:f>
        <x:v>0.18181818181818182</x:v>
      </x:c>
      <x:c r="R572" s="10" t="n">
        <x:f>G572+H572</x:f>
        <x:v>138</x:v>
      </x:c>
      <x:c r="S572" s="11" t="n">
        <x:f>IFERROR(R572/F572,"")</x:f>
        <x:v>0.6602870813397129</x:v>
      </x:c>
      <x:c r="T572" s="11" t="n">
        <x:f>IFERROR(R572/P572,"")</x:f>
        <x:v>0.8070175438596491</x:v>
      </x:c>
      <x:c r="U572" s="10" t="n">
        <x:f>I572+J572+K572</x:f>
        <x:v>33</x:v>
      </x:c>
      <x:c r="V572" s="11" t="n">
        <x:f>IFERROR(U572/P572,"")</x:f>
        <x:v>0.19298245614035087</x:v>
      </x:c>
      <x:c r="W572" s="9" t="str">
        <x:v>provisional_gt_5pct_pending</x:v>
      </x:c>
      <x:c r="X572" s="12" t="n">
        <x:f>IFERROR(F572/Z572*100000,"")</x:f>
        <x:v>27.88897784894582</x:v>
      </x:c>
      <x:c r="Y572" s="13" t="n">
        <x:f>LN(Z572)</x:f>
        <x:v>13.527028165341724</x:v>
      </x:c>
      <x:c r="Z572" s="6" t="str">
        <x:v>749400</x:v>
      </x:c>
      <x:c r="AA572" s="6" t="str">
        <x:v>11.0</x:v>
      </x:c>
      <x:c r="AB572" s="9" t="str">
        <x:v>2025-06-30</x:v>
      </x:c>
      <x:c r="AC572" s="8" t="str">
        <x:v>86.0</x:v>
      </x:c>
      <x:c r="AD572" s="9" t="str">
        <x:v>2025 (Susenas)</x:v>
      </x:c>
      <x:c r="AE572" s="8" t="str">
        <x:v>5.54</x:v>
      </x:c>
      <x:c r="AF572" s="9" t="str">
        <x:v>Maret 2025 (Susenas)</x:v>
      </x:c>
      <x:c r="AG572" s="6" t="str">
        <x:v>23.682482743685217</x:v>
      </x:c>
      <x:c r="AH572" s="8" t="str">
        <x:v>91.43383737420812</x:v>
      </x:c>
      <x:c r="AI572" s="6" t="str">
        <x:v>193.4237944147864</x:v>
      </x:c>
      <x:c r="AJ572" s="6" t="str">
        <x:v>0.3973608436851954</x:v>
      </x:c>
      <x:c r="AK572" s="8" t="str">
        <x:v>1.6529361402384397</x:v>
      </x:c>
      <x:c r="AL572" s="6" t="str">
        <x:v>0.19661499903353</x:v>
      </x:c>
      <x:c r="AM572" s="6" t="str">
        <x:v>0.9395289863287548</x:v>
      </x:c>
      <x:c r="AN572" s="6" t="str">
        <x:v>0.929693375200242</x:v>
      </x:c>
      <x:c r="AO572" s="6" t="str">
        <x:v>0.2753001262548196</x:v>
      </x:c>
      <x:c r="AP572" s="8" t="str">
        <x:v>0.2878573482234162</x:v>
      </x:c>
      <x:c r="AQ572" s="6" t="str">
        <x:v>0.593210208347095</x:v>
      </x:c>
      <x:c r="AR572" s="6" t="str">
        <x:v>0.1432029321431573</x:v>
      </x:c>
      <x:c r="AS572" s="6" t="str">
        <x:v>0.3414234962378895</x:v>
      </x:c>
      <x:c r="AT572" s="6" t="str">
        <x:v>4.931371694539138</x:v>
      </x:c>
      <x:c r="AU572" s="8" t="str">
        <x:v>0.0864569277911661</x:v>
      </x:c>
      <x:c r="AV572" s="6" t="str">
        <x:v>1.3563894688708111</x:v>
      </x:c>
      <x:c r="AW572" s="6" t="str">
        <x:v>0.4324099273445918</x:v>
      </x:c>
      <x:c r="AX572" s="6" t="str">
        <x:v>0.6250854413355232</x:v>
      </x:c>
      <x:c r="AY572" s="6" t="str">
        <x:v>0</x:v>
      </x:c>
      <x:c r="AZ572" s="6" t="str">
        <x:v>1</x:v>
      </x:c>
      <x:c r="BA572" s="9" t="str">
        <x:v>grid_cells_within_BIG_polygon</x:v>
      </x:c>
      <x:c r="BB572" s="6" t="str">
        <x:v>16</x:v>
      </x:c>
      <x:c r="BC572" s="6" t="str">
        <x:v>5</x:v>
      </x:c>
      <x:c r="BD572" s="6" t="str">
        <x:v>5</x:v>
      </x:c>
      <x:c r="BE572" s="6" t="str">
        <x:v>0</x:v>
      </x:c>
      <x:c r="BF572" s="6" t="str">
        <x:v>0</x:v>
      </x:c>
      <x:c r="BG572" s="6" t="str">
        <x:v>0</x:v>
      </x:c>
      <x:c r="BH572" s="6" t="str">
        <x:v>0</x:v>
      </x:c>
      <x:c r="BI572" s="6" t="str">
        <x:v>5</x:v>
      </x:c>
      <x:c r="BJ572" s="6" t="str">
        <x:v>0</x:v>
      </x:c>
      <x:c r="BK572" s="6" t="str">
        <x:v>0</x:v>
      </x:c>
      <x:c r="BL572" s="6" t="str">
        <x:v>0</x:v>
      </x:c>
      <x:c r="BM572" s="6" t="str">
        <x:v>0</x:v>
      </x:c>
      <x:c r="BN572" s="6" t="str">
        <x:v>5</x:v>
      </x:c>
      <x:c r="BO572" s="6" t="str"/>
      <x:c r="BP572" s="6" t="str">
        <x:v>0</x:v>
      </x:c>
      <x:c r="BQ572" s="6" t="str"/>
      <x:c r="BR572" s="6" t="str">
        <x:v>0</x:v>
      </x:c>
      <x:c r="BS572" s="6" t="str">
        <x:v>0.0</x:v>
      </x:c>
      <x:c r="BT572" s="6" t="str">
        <x:v>5</x:v>
      </x:c>
      <x:c r="BU572" s="6" t="str"/>
      <x:c r="BV572" s="6" t="str">
        <x:v>0</x:v>
      </x:c>
      <x:c r="BW572" s="9" t="str">
        <x:v>operational_snapshot_annual_totals_may_differ</x:v>
      </x:c>
      <x:c r="BX572" s="9" t="str">
        <x:v>official_live_dashboard_snapshot_subject_to_revision</x:v>
      </x:c>
      <x:c r="BY572" s="9" t="str">
        <x:v>https://tbdashboard.sitb.id/ss_data_tbc03so_2025_provinsi_bulanan_list.php</x:v>
      </x:c>
      <x:c r="BZ572" s="6" t="n">
        <x:v>46246.610671296294</x:v>
      </x:c>
    </x:row>
    <x:row r="573" ht="18" customHeight="1">
      <x:c r="A573" s="6" t="str">
        <x:v>65</x:v>
      </x:c>
      <x:c r="B573" s="6" t="str">
        <x:v>KALIMANTAN UTARA</x:v>
      </x:c>
      <x:c r="C573" s="6" t="str">
        <x:v>2025</x:v>
      </x:c>
      <x:c r="D573" s="6" t="str">
        <x:v>8</x:v>
      </x:c>
      <x:c r="E573" s="6" t="str">
        <x:v>2025-08</x:v>
      </x:c>
      <x:c r="F573" s="6" t="str">
        <x:v>159</x:v>
      </x:c>
      <x:c r="G573" s="6" t="str">
        <x:v>31</x:v>
      </x:c>
      <x:c r="H573" s="6" t="str">
        <x:v>64</x:v>
      </x:c>
      <x:c r="I573" s="6" t="str">
        <x:v>20</x:v>
      </x:c>
      <x:c r="J573" s="6" t="str">
        <x:v>8</x:v>
      </x:c>
      <x:c r="K573" s="6" t="str">
        <x:v>1</x:v>
      </x:c>
      <x:c r="L573" s="6" t="str">
        <x:v>1</x:v>
      </x:c>
      <x:c r="M573" s="6" t="str">
        <x:v>34</x:v>
      </x:c>
      <x:c r="N573" s="6" t="str">
        <x:v>159</x:v>
      </x:c>
      <x:c r="O573" s="6" t="str">
        <x:v>0</x:v>
      </x:c>
      <x:c r="P573" s="10" t="n">
        <x:f>F573-M573</x:f>
        <x:v>125</x:v>
      </x:c>
      <x:c r="Q573" s="11" t="n">
        <x:f>IFERROR(M573/F573,"")</x:f>
        <x:v>0.2138364779874214</x:v>
      </x:c>
      <x:c r="R573" s="10" t="n">
        <x:f>G573+H573</x:f>
        <x:v>95</x:v>
      </x:c>
      <x:c r="S573" s="11" t="n">
        <x:f>IFERROR(R573/F573,"")</x:f>
        <x:v>0.5974842767295597</x:v>
      </x:c>
      <x:c r="T573" s="11" t="n">
        <x:f>IFERROR(R573/P573,"")</x:f>
        <x:v>0.76</x:v>
      </x:c>
      <x:c r="U573" s="10" t="n">
        <x:f>I573+J573+K573</x:f>
        <x:v>29</x:v>
      </x:c>
      <x:c r="V573" s="11" t="n">
        <x:f>IFERROR(U573/P573,"")</x:f>
        <x:v>0.232</x:v>
      </x:c>
      <x:c r="W573" s="9" t="str">
        <x:v>provisional_gt_5pct_pending</x:v>
      </x:c>
      <x:c r="X573" s="12" t="n">
        <x:f>IFERROR(F573/Z573*100000,"")</x:f>
        <x:v>21.21697357886309</x:v>
      </x:c>
      <x:c r="Y573" s="13" t="n">
        <x:f>LN(Z573)</x:f>
        <x:v>13.527028165341724</x:v>
      </x:c>
      <x:c r="Z573" s="6" t="str">
        <x:v>749400</x:v>
      </x:c>
      <x:c r="AA573" s="6" t="str">
        <x:v>11.0</x:v>
      </x:c>
      <x:c r="AB573" s="9" t="str">
        <x:v>2025-06-30</x:v>
      </x:c>
      <x:c r="AC573" s="8" t="str">
        <x:v>86.0</x:v>
      </x:c>
      <x:c r="AD573" s="9" t="str">
        <x:v>2025 (Susenas)</x:v>
      </x:c>
      <x:c r="AE573" s="8" t="str">
        <x:v>5.54</x:v>
      </x:c>
      <x:c r="AF573" s="9" t="str">
        <x:v>Maret 2025 (Susenas)</x:v>
      </x:c>
      <x:c r="AG573" s="6" t="str">
        <x:v>23.239996654715146</x:v>
      </x:c>
      <x:c r="AH573" s="8" t="str">
        <x:v>91.865785919381</x:v>
      </x:c>
      <x:c r="AI573" s="6" t="str">
        <x:v>339.2962544134188</x:v>
      </x:c>
      <x:c r="AJ573" s="6" t="str">
        <x:v>-0.0929195756215648</x:v>
      </x:c>
      <x:c r="AK573" s="8" t="str">
        <x:v>-0.3261541417667447</x:v>
      </x:c>
      <x:c r="AL573" s="6" t="str">
        <x:v>1.6529361402384397</x:v>
      </x:c>
      <x:c r="AM573" s="6" t="str">
        <x:v>0.19661499903353</x:v>
      </x:c>
      <x:c r="AN573" s="6" t="str">
        <x:v>0.5077989991684088</x:v>
      </x:c>
      <x:c r="AO573" s="6" t="str">
        <x:v>1.1139267767205183</x:v>
      </x:c>
      <x:c r="AP573" s="8" t="str">
        <x:v>1.11491317958626</x:v>
      </x:c>
      <x:c r="AQ573" s="6" t="str">
        <x:v>0.2878573482234162</x:v>
      </x:c>
      <x:c r="AR573" s="6" t="str">
        <x:v>0.593210208347095</x:v>
      </x:c>
      <x:c r="AS573" s="6" t="str">
        <x:v>0.665326912052257</x:v>
      </x:c>
      <x:c r="AT573" s="6" t="str">
        <x:v>150.89467545196922</x:v>
      </x:c>
      <x:c r="AU573" s="8" t="str">
        <x:v>2.866038301586519</x:v>
      </x:c>
      <x:c r="AV573" s="6" t="str">
        <x:v>0.0864569277911661</x:v>
      </x:c>
      <x:c r="AW573" s="6" t="str">
        <x:v>1.3563894688708111</x:v>
      </x:c>
      <x:c r="AX573" s="6" t="str">
        <x:v>1.4362948994161655</x:v>
      </x:c>
      <x:c r="AY573" s="6" t="str">
        <x:v>1</x:v>
      </x:c>
      <x:c r="AZ573" s="6" t="str">
        <x:v>0</x:v>
      </x:c>
      <x:c r="BA573" s="9" t="str">
        <x:v>grid_cells_within_BIG_polygon</x:v>
      </x:c>
      <x:c r="BB573" s="6" t="str">
        <x:v>16</x:v>
      </x:c>
      <x:c r="BC573" s="6" t="str">
        <x:v>3</x:v>
      </x:c>
      <x:c r="BD573" s="6" t="str">
        <x:v>3</x:v>
      </x:c>
      <x:c r="BE573" s="6" t="str">
        <x:v>0</x:v>
      </x:c>
      <x:c r="BF573" s="6" t="str">
        <x:v>0</x:v>
      </x:c>
      <x:c r="BG573" s="6" t="str">
        <x:v>0</x:v>
      </x:c>
      <x:c r="BH573" s="6" t="str">
        <x:v>0</x:v>
      </x:c>
      <x:c r="BI573" s="6" t="str">
        <x:v>3</x:v>
      </x:c>
      <x:c r="BJ573" s="6" t="str">
        <x:v>0</x:v>
      </x:c>
      <x:c r="BK573" s="6" t="str">
        <x:v>0</x:v>
      </x:c>
      <x:c r="BL573" s="6" t="str">
        <x:v>0</x:v>
      </x:c>
      <x:c r="BM573" s="6" t="str">
        <x:v>0</x:v>
      </x:c>
      <x:c r="BN573" s="6" t="str">
        <x:v>3</x:v>
      </x:c>
      <x:c r="BO573" s="6" t="str"/>
      <x:c r="BP573" s="6" t="str">
        <x:v>0</x:v>
      </x:c>
      <x:c r="BQ573" s="6" t="str"/>
      <x:c r="BR573" s="6" t="str">
        <x:v>0</x:v>
      </x:c>
      <x:c r="BS573" s="6" t="str">
        <x:v>0.0</x:v>
      </x:c>
      <x:c r="BT573" s="6" t="str">
        <x:v>3</x:v>
      </x:c>
      <x:c r="BU573" s="6" t="str"/>
      <x:c r="BV573" s="6" t="str">
        <x:v>0</x:v>
      </x:c>
      <x:c r="BW573" s="9" t="str">
        <x:v>operational_snapshot_annual_totals_may_differ</x:v>
      </x:c>
      <x:c r="BX573" s="9" t="str">
        <x:v>official_live_dashboard_snapshot_subject_to_revision</x:v>
      </x:c>
      <x:c r="BY573" s="9" t="str">
        <x:v>https://tbdashboard.sitb.id/ss_data_tbc03so_2025_provinsi_bulanan_list.php</x:v>
      </x:c>
      <x:c r="BZ573" s="6" t="n">
        <x:v>46246.610671296294</x:v>
      </x:c>
    </x:row>
    <x:row r="574" ht="18" customHeight="1">
      <x:c r="A574" s="6" t="str">
        <x:v>65</x:v>
      </x:c>
      <x:c r="B574" s="6" t="str">
        <x:v>KALIMANTAN UTARA</x:v>
      </x:c>
      <x:c r="C574" s="6" t="str">
        <x:v>2025</x:v>
      </x:c>
      <x:c r="D574" s="6" t="str">
        <x:v>9</x:v>
      </x:c>
      <x:c r="E574" s="6" t="str">
        <x:v>2025-09</x:v>
      </x:c>
      <x:c r="F574" s="6" t="str">
        <x:v>237</x:v>
      </x:c>
      <x:c r="G574" s="6" t="str">
        <x:v>48</x:v>
      </x:c>
      <x:c r="H574" s="6" t="str">
        <x:v>81</x:v>
      </x:c>
      <x:c r="I574" s="6" t="str">
        <x:v>35</x:v>
      </x:c>
      <x:c r="J574" s="6" t="str">
        <x:v>18</x:v>
      </x:c>
      <x:c r="K574" s="6" t="str">
        <x:v>0</x:v>
      </x:c>
      <x:c r="L574" s="6" t="str">
        <x:v>0</x:v>
      </x:c>
      <x:c r="M574" s="6" t="str">
        <x:v>55</x:v>
      </x:c>
      <x:c r="N574" s="6" t="str">
        <x:v>237</x:v>
      </x:c>
      <x:c r="O574" s="6" t="str">
        <x:v>0</x:v>
      </x:c>
      <x:c r="P574" s="10" t="n">
        <x:f>F574-M574</x:f>
        <x:v>182</x:v>
      </x:c>
      <x:c r="Q574" s="11" t="n">
        <x:f>IFERROR(M574/F574,"")</x:f>
        <x:v>0.2320675105485232</x:v>
      </x:c>
      <x:c r="R574" s="10" t="n">
        <x:f>G574+H574</x:f>
        <x:v>129</x:v>
      </x:c>
      <x:c r="S574" s="11" t="n">
        <x:f>IFERROR(R574/F574,"")</x:f>
        <x:v>0.5443037974683544</x:v>
      </x:c>
      <x:c r="T574" s="11" t="n">
        <x:f>IFERROR(R574/P574,"")</x:f>
        <x:v>0.7087912087912088</x:v>
      </x:c>
      <x:c r="U574" s="10" t="n">
        <x:f>I574+J574+K574</x:f>
        <x:v>53</x:v>
      </x:c>
      <x:c r="V574" s="11" t="n">
        <x:f>IFERROR(U574/P574,"")</x:f>
        <x:v>0.29120879120879123</x:v>
      </x:c>
      <x:c r="W574" s="9" t="str">
        <x:v>provisional_gt_5pct_pending</x:v>
      </x:c>
      <x:c r="X574" s="12" t="n">
        <x:f>IFERROR(F574/Z574*100000,"")</x:f>
        <x:v>31.625300240192157</x:v>
      </x:c>
      <x:c r="Y574" s="13" t="n">
        <x:f>LN(Z574)</x:f>
        <x:v>13.527028165341724</x:v>
      </x:c>
      <x:c r="Z574" s="6" t="str">
        <x:v>749400</x:v>
      </x:c>
      <x:c r="AA574" s="6" t="str">
        <x:v>11.0</x:v>
      </x:c>
      <x:c r="AB574" s="9" t="str">
        <x:v>2025-06-30</x:v>
      </x:c>
      <x:c r="AC574" s="8" t="str">
        <x:v>86.0</x:v>
      </x:c>
      <x:c r="AD574" s="9" t="str">
        <x:v>2025 (Susenas)</x:v>
      </x:c>
      <x:c r="AE574" s="8" t="str">
        <x:v>5.54</x:v>
      </x:c>
      <x:c r="AF574" s="9" t="str">
        <x:v>Maret 2025 (Susenas)</x:v>
      </x:c>
      <x:c r="AG574" s="6" t="str">
        <x:v>23.710028786352947</x:v>
      </x:c>
      <x:c r="AH574" s="8" t="str">
        <x:v>91.56008471671856</x:v>
      </x:c>
      <x:c r="AI574" s="6" t="str">
        <x:v>346.79474384965295</x:v>
      </x:c>
      <x:c r="AJ574" s="6" t="str">
        <x:v>0.2655112426642674</x:v>
      </x:c>
      <x:c r="AK574" s="8" t="str">
        <x:v>1.0547401656944575</x:v>
      </x:c>
      <x:c r="AL574" s="6" t="str">
        <x:v>-0.3261541417667447</x:v>
      </x:c>
      <x:c r="AM574" s="6" t="str">
        <x:v>1.6529361402384397</x:v>
      </x:c>
      <x:c r="AN574" s="6" t="str">
        <x:v>0.793840721388718</x:v>
      </x:c>
      <x:c r="AO574" s="6" t="str">
        <x:v>1.0787914554552316</x:v>
      </x:c>
      <x:c r="AP574" s="8" t="str">
        <x:v>1.2502660558033578</x:v>
      </x:c>
      <x:c r="AQ574" s="6" t="str">
        <x:v>1.11491317958626</x:v>
      </x:c>
      <x:c r="AR574" s="6" t="str">
        <x:v>0.2878573482234162</x:v>
      </x:c>
      <x:c r="AS574" s="6" t="str">
        <x:v>0.8843455278710114</x:v>
      </x:c>
      <x:c r="AT574" s="6" t="str">
        <x:v>158.4500265205473</x:v>
      </x:c>
      <x:c r="AU574" s="8" t="str">
        <x:v>2.776010619924965</x:v>
      </x:c>
      <x:c r="AV574" s="6" t="str">
        <x:v>2.866038301586519</x:v>
      </x:c>
      <x:c r="AW574" s="6" t="str">
        <x:v>0.0864569277911661</x:v>
      </x:c>
      <x:c r="AX574" s="6" t="str">
        <x:v>1.9095019497675505</x:v>
      </x:c>
      <x:c r="AY574" s="6" t="str">
        <x:v>1</x:v>
      </x:c>
      <x:c r="AZ574" s="6" t="str">
        <x:v>1</x:v>
      </x:c>
      <x:c r="BA574" s="9" t="str">
        <x:v>grid_cells_within_BIG_polygon</x:v>
      </x:c>
      <x:c r="BB574" s="6" t="str">
        <x:v>16</x:v>
      </x:c>
      <x:c r="BC574" s="6" t="str">
        <x:v>0</x:v>
      </x:c>
      <x:c r="BD574" s="6" t="str">
        <x:v>0</x:v>
      </x:c>
      <x:c r="BE574" s="6" t="str">
        <x:v>0</x:v>
      </x:c>
      <x:c r="BF574" s="6" t="str">
        <x:v>0</x:v>
      </x:c>
      <x:c r="BG574" s="6" t="str">
        <x:v>0</x:v>
      </x:c>
      <x:c r="BH574" s="6" t="str">
        <x:v>0</x:v>
      </x:c>
      <x:c r="BI574" s="6" t="str">
        <x:v>0</x:v>
      </x:c>
      <x:c r="BJ574" s="6" t="str">
        <x:v>0</x:v>
      </x:c>
      <x:c r="BK574" s="6" t="str">
        <x:v>0</x:v>
      </x:c>
      <x:c r="BL574" s="6" t="str">
        <x:v>0</x:v>
      </x:c>
      <x:c r="BM574" s="6" t="str">
        <x:v>0</x:v>
      </x:c>
      <x:c r="BN574" s="6" t="str">
        <x:v>0</x:v>
      </x:c>
      <x:c r="BO574" s="6" t="str"/>
      <x:c r="BP574" s="6" t="str">
        <x:v>0</x:v>
      </x:c>
      <x:c r="BQ574" s="6" t="str"/>
      <x:c r="BR574" s="6" t="str">
        <x:v>0</x:v>
      </x:c>
      <x:c r="BS574" s="6" t="str"/>
      <x:c r="BT574" s="6" t="str">
        <x:v>0</x:v>
      </x:c>
      <x:c r="BU574" s="6" t="str"/>
      <x:c r="BV574" s="6" t="str">
        <x:v>0</x:v>
      </x:c>
      <x:c r="BW574" s="9" t="str">
        <x:v>operational_snapshot_annual_totals_may_differ</x:v>
      </x:c>
      <x:c r="BX574" s="9" t="str">
        <x:v>official_live_dashboard_snapshot_subject_to_revision</x:v>
      </x:c>
      <x:c r="BY574" s="9" t="str">
        <x:v>https://tbdashboard.sitb.id/ss_data_tbc03so_2025_provinsi_bulanan_list.php</x:v>
      </x:c>
      <x:c r="BZ574" s="6" t="n">
        <x:v>46246.610671296294</x:v>
      </x:c>
    </x:row>
    <x:row r="575" ht="18" customHeight="1">
      <x:c r="A575" s="6" t="str">
        <x:v>65</x:v>
      </x:c>
      <x:c r="B575" s="6" t="str">
        <x:v>KALIMANTAN UTARA</x:v>
      </x:c>
      <x:c r="C575" s="6" t="str">
        <x:v>2025</x:v>
      </x:c>
      <x:c r="D575" s="6" t="str">
        <x:v>10</x:v>
      </x:c>
      <x:c r="E575" s="6" t="str">
        <x:v>2025-10</x:v>
      </x:c>
      <x:c r="F575" s="6" t="str">
        <x:v>212</x:v>
      </x:c>
      <x:c r="G575" s="6" t="str">
        <x:v>44</x:v>
      </x:c>
      <x:c r="H575" s="6" t="str">
        <x:v>85</x:v>
      </x:c>
      <x:c r="I575" s="6" t="str">
        <x:v>28</x:v>
      </x:c>
      <x:c r="J575" s="6" t="str">
        <x:v>10</x:v>
      </x:c>
      <x:c r="K575" s="6" t="str">
        <x:v>0</x:v>
      </x:c>
      <x:c r="L575" s="6" t="str">
        <x:v>0</x:v>
      </x:c>
      <x:c r="M575" s="6" t="str">
        <x:v>45</x:v>
      </x:c>
      <x:c r="N575" s="6" t="str">
        <x:v>212</x:v>
      </x:c>
      <x:c r="O575" s="6" t="str">
        <x:v>0</x:v>
      </x:c>
      <x:c r="P575" s="10" t="n">
        <x:f>F575-M575</x:f>
        <x:v>167</x:v>
      </x:c>
      <x:c r="Q575" s="11" t="n">
        <x:f>IFERROR(M575/F575,"")</x:f>
        <x:v>0.21226415094339623</x:v>
      </x:c>
      <x:c r="R575" s="10" t="n">
        <x:f>G575+H575</x:f>
        <x:v>129</x:v>
      </x:c>
      <x:c r="S575" s="11" t="n">
        <x:f>IFERROR(R575/F575,"")</x:f>
        <x:v>0.6084905660377359</x:v>
      </x:c>
      <x:c r="T575" s="11" t="n">
        <x:f>IFERROR(R575/P575,"")</x:f>
        <x:v>0.7724550898203593</x:v>
      </x:c>
      <x:c r="U575" s="10" t="n">
        <x:f>I575+J575+K575</x:f>
        <x:v>38</x:v>
      </x:c>
      <x:c r="V575" s="11" t="n">
        <x:f>IFERROR(U575/P575,"")</x:f>
        <x:v>0.2275449101796407</x:v>
      </x:c>
      <x:c r="W575" s="9" t="str">
        <x:v>provisional_gt_5pct_pending</x:v>
      </x:c>
      <x:c r="X575" s="12" t="n">
        <x:f>IFERROR(F575/Z575*100000,"")</x:f>
        <x:v>28.289298105150785</x:v>
      </x:c>
      <x:c r="Y575" s="13" t="n">
        <x:f>LN(Z575)</x:f>
        <x:v>13.527028165341724</x:v>
      </x:c>
      <x:c r="Z575" s="6" t="str">
        <x:v>749400</x:v>
      </x:c>
      <x:c r="AA575" s="6" t="str">
        <x:v>11.0</x:v>
      </x:c>
      <x:c r="AB575" s="9" t="str">
        <x:v>2025-06-30</x:v>
      </x:c>
      <x:c r="AC575" s="8" t="str">
        <x:v>86.0</x:v>
      </x:c>
      <x:c r="AD575" s="9" t="str">
        <x:v>2025 (Susenas)</x:v>
      </x:c>
      <x:c r="AE575" s="8" t="str">
        <x:v>5.54</x:v>
      </x:c>
      <x:c r="AF575" s="9" t="str">
        <x:v>Maret 2025 (Susenas)</x:v>
      </x:c>
      <x:c r="AG575" s="6" t="str">
        <x:v>23.738122042183427</x:v>
      </x:c>
      <x:c r="AH575" s="8" t="str">
        <x:v>90.94839989053185</x:v>
      </x:c>
      <x:c r="AI575" s="6" t="str">
        <x:v>284.34631434032553</x:v>
      </x:c>
      <x:c r="AJ575" s="6" t="str">
        <x:v>0.1949661002458569</x:v>
      </x:c>
      <x:c r="AK575" s="8" t="str">
        <x:v>0.9611424871430656</x:v>
      </x:c>
      <x:c r="AL575" s="6" t="str">
        <x:v>1.0547401656944575</x:v>
      </x:c>
      <x:c r="AM575" s="6" t="str">
        <x:v>-0.3261541417667447</x:v>
      </x:c>
      <x:c r="AN575" s="6" t="str">
        <x:v>0.5632428370235932</x:v>
      </x:c>
      <x:c r="AO575" s="6" t="str">
        <x:v>0.1614745603039011</x:v>
      </x:c>
      <x:c r="AP575" s="8" t="str">
        <x:v>0.1678297978778966</x:v>
      </x:c>
      <x:c r="AQ575" s="6" t="str">
        <x:v>1.2502660558033578</x:v>
      </x:c>
      <x:c r="AR575" s="6" t="str">
        <x:v>1.11491317958626</x:v>
      </x:c>
      <x:c r="AS575" s="6" t="str">
        <x:v>0.8443363444225048</x:v>
      </x:c>
      <x:c r="AT575" s="6" t="str">
        <x:v>57.508437389995976</x:v>
      </x:c>
      <x:c r="AU575" s="8" t="str">
        <x:v>0.8607301244185648</x:v>
      </x:c>
      <x:c r="AV575" s="6" t="str">
        <x:v>2.776010619924965</x:v>
      </x:c>
      <x:c r="AW575" s="6" t="str">
        <x:v>2.866038301586519</x:v>
      </x:c>
      <x:c r="AX575" s="6" t="str">
        <x:v>2.1675930153100165</x:v>
      </x:c>
      <x:c r="AY575" s="6" t="str">
        <x:v>0</x:v>
      </x:c>
      <x:c r="AZ575" s="6" t="str">
        <x:v>0</x:v>
      </x:c>
      <x:c r="BA575" s="9" t="str">
        <x:v>grid_cells_within_BIG_polygon</x:v>
      </x:c>
      <x:c r="BB575" s="6" t="str">
        <x:v>16</x:v>
      </x:c>
      <x:c r="BC575" s="6" t="str">
        <x:v>0</x:v>
      </x:c>
      <x:c r="BD575" s="6" t="str">
        <x:v>0</x:v>
      </x:c>
      <x:c r="BE575" s="6" t="str">
        <x:v>0</x:v>
      </x:c>
      <x:c r="BF575" s="6" t="str">
        <x:v>0</x:v>
      </x:c>
      <x:c r="BG575" s="6" t="str">
        <x:v>0</x:v>
      </x:c>
      <x:c r="BH575" s="6" t="str">
        <x:v>0</x:v>
      </x:c>
      <x:c r="BI575" s="6" t="str">
        <x:v>0</x:v>
      </x:c>
      <x:c r="BJ575" s="6" t="str">
        <x:v>0</x:v>
      </x:c>
      <x:c r="BK575" s="6" t="str">
        <x:v>0</x:v>
      </x:c>
      <x:c r="BL575" s="6" t="str">
        <x:v>0</x:v>
      </x:c>
      <x:c r="BM575" s="6" t="str">
        <x:v>0</x:v>
      </x:c>
      <x:c r="BN575" s="6" t="str">
        <x:v>0</x:v>
      </x:c>
      <x:c r="BO575" s="6" t="str"/>
      <x:c r="BP575" s="6" t="str">
        <x:v>0</x:v>
      </x:c>
      <x:c r="BQ575" s="6" t="str"/>
      <x:c r="BR575" s="6" t="str">
        <x:v>0</x:v>
      </x:c>
      <x:c r="BS575" s="6" t="str"/>
      <x:c r="BT575" s="6" t="str">
        <x:v>0</x:v>
      </x:c>
      <x:c r="BU575" s="6" t="str"/>
      <x:c r="BV575" s="6" t="str">
        <x:v>0</x:v>
      </x:c>
      <x:c r="BW575" s="9" t="str">
        <x:v>operational_snapshot_annual_totals_may_differ</x:v>
      </x:c>
      <x:c r="BX575" s="9" t="str">
        <x:v>official_live_dashboard_snapshot_subject_to_revision</x:v>
      </x:c>
      <x:c r="BY575" s="9" t="str">
        <x:v>https://tbdashboard.sitb.id/ss_data_tbc03so_2025_provinsi_bulanan_list.php</x:v>
      </x:c>
      <x:c r="BZ575" s="6" t="n">
        <x:v>46246.610671296294</x:v>
      </x:c>
    </x:row>
    <x:row r="576" ht="18" customHeight="1">
      <x:c r="A576" s="6" t="str">
        <x:v>65</x:v>
      </x:c>
      <x:c r="B576" s="6" t="str">
        <x:v>KALIMANTAN UTARA</x:v>
      </x:c>
      <x:c r="C576" s="6" t="str">
        <x:v>2025</x:v>
      </x:c>
      <x:c r="D576" s="6" t="str">
        <x:v>11</x:v>
      </x:c>
      <x:c r="E576" s="6" t="str">
        <x:v>2025-11</x:v>
      </x:c>
      <x:c r="F576" s="6" t="str">
        <x:v>186</x:v>
      </x:c>
      <x:c r="G576" s="6" t="str">
        <x:v>30</x:v>
      </x:c>
      <x:c r="H576" s="6" t="str">
        <x:v>69</x:v>
      </x:c>
      <x:c r="I576" s="6" t="str">
        <x:v>18</x:v>
      </x:c>
      <x:c r="J576" s="6" t="str">
        <x:v>14</x:v>
      </x:c>
      <x:c r="K576" s="6" t="str">
        <x:v>0</x:v>
      </x:c>
      <x:c r="L576" s="6" t="str">
        <x:v>1</x:v>
      </x:c>
      <x:c r="M576" s="6" t="str">
        <x:v>54</x:v>
      </x:c>
      <x:c r="N576" s="6" t="str">
        <x:v>186</x:v>
      </x:c>
      <x:c r="O576" s="6" t="str">
        <x:v>0</x:v>
      </x:c>
      <x:c r="P576" s="10" t="n">
        <x:f>F576-M576</x:f>
        <x:v>132</x:v>
      </x:c>
      <x:c r="Q576" s="11" t="n">
        <x:f>IFERROR(M576/F576,"")</x:f>
        <x:v>0.2903225806451613</x:v>
      </x:c>
      <x:c r="R576" s="10" t="n">
        <x:f>G576+H576</x:f>
        <x:v>99</x:v>
      </x:c>
      <x:c r="S576" s="11" t="n">
        <x:f>IFERROR(R576/F576,"")</x:f>
        <x:v>0.532258064516129</x:v>
      </x:c>
      <x:c r="T576" s="11" t="n">
        <x:f>IFERROR(R576/P576,"")</x:f>
        <x:v>0.75</x:v>
      </x:c>
      <x:c r="U576" s="10" t="n">
        <x:f>I576+J576+K576</x:f>
        <x:v>32</x:v>
      </x:c>
      <x:c r="V576" s="11" t="n">
        <x:f>IFERROR(U576/P576,"")</x:f>
        <x:v>0.24242424242424243</x:v>
      </x:c>
      <x:c r="W576" s="9" t="str">
        <x:v>provisional_gt_5pct_pending</x:v>
      </x:c>
      <x:c r="X576" s="12" t="n">
        <x:f>IFERROR(F576/Z576*100000,"")</x:f>
        <x:v>24.819855884707763</x:v>
      </x:c>
      <x:c r="Y576" s="13" t="n">
        <x:f>LN(Z576)</x:f>
        <x:v>13.527028165341724</x:v>
      </x:c>
      <x:c r="Z576" s="6" t="str">
        <x:v>749400</x:v>
      </x:c>
      <x:c r="AA576" s="6" t="str">
        <x:v>11.0</x:v>
      </x:c>
      <x:c r="AB576" s="9" t="str">
        <x:v>2025-06-30</x:v>
      </x:c>
      <x:c r="AC576" s="8" t="str">
        <x:v>86.0</x:v>
      </x:c>
      <x:c r="AD576" s="9" t="str">
        <x:v>2025 (Susenas)</x:v>
      </x:c>
      <x:c r="AE576" s="8" t="str">
        <x:v>5.54</x:v>
      </x:c>
      <x:c r="AF576" s="9" t="str">
        <x:v>Maret 2025 (Susenas)</x:v>
      </x:c>
      <x:c r="AG576" s="6" t="str">
        <x:v>23.799987767961827</x:v>
      </x:c>
      <x:c r="AH576" s="8" t="str">
        <x:v>92.16076291656812</x:v>
      </x:c>
      <x:c r="AI576" s="6" t="str">
        <x:v>362.1884879650741</x:v>
      </x:c>
      <x:c r="AJ576" s="6" t="str">
        <x:v>0.2719743922288664</x:v>
      </x:c>
      <x:c r="AK576" s="8" t="str">
        <x:v>1.3658905226196272</x:v>
      </x:c>
      <x:c r="AL576" s="6" t="str">
        <x:v>0.9611424871430656</x:v>
      </x:c>
      <x:c r="AM576" s="6" t="str">
        <x:v>1.0547401656944575</x:v>
      </x:c>
      <x:c r="AN576" s="6" t="str">
        <x:v>1.127257725152384</x:v>
      </x:c>
      <x:c r="AO576" s="6" t="str">
        <x:v>0.7449140524970375</x:v>
      </x:c>
      <x:c r="AP576" s="8" t="str">
        <x:v>0.9077162077590276</x:v>
      </x:c>
      <x:c r="AQ576" s="6" t="str">
        <x:v>0.1678297978778966</x:v>
      </x:c>
      <x:c r="AR576" s="6" t="str">
        <x:v>1.2502660558033578</x:v>
      </x:c>
      <x:c r="AS576" s="6" t="str">
        <x:v>0.7752706871467606</x:v>
      </x:c>
      <x:c r="AT576" s="6" t="str">
        <x:v>122.53054974077946</x:v>
      </x:c>
      <x:c r="AU576" s="8" t="str">
        <x:v>2.477930314505308</x:v>
      </x:c>
      <x:c r="AV576" s="6" t="str">
        <x:v>0.8607301244185648</x:v>
      </x:c>
      <x:c r="AW576" s="6" t="str">
        <x:v>2.776010619924965</x:v>
      </x:c>
      <x:c r="AX576" s="6" t="str">
        <x:v>2.038223686282946</x:v>
      </x:c>
      <x:c r="AY576" s="6" t="str">
        <x:v>1</x:v>
      </x:c>
      <x:c r="AZ576" s="6" t="str">
        <x:v>1</x:v>
      </x:c>
      <x:c r="BA576" s="9" t="str">
        <x:v>grid_cells_within_BIG_polygon</x:v>
      </x:c>
      <x:c r="BB576" s="6" t="str">
        <x:v>16</x:v>
      </x:c>
      <x:c r="BC576" s="6" t="str">
        <x:v>4</x:v>
      </x:c>
      <x:c r="BD576" s="6" t="str">
        <x:v>3</x:v>
      </x:c>
      <x:c r="BE576" s="6" t="str">
        <x:v>3</x:v>
      </x:c>
      <x:c r="BF576" s="6" t="str">
        <x:v>0</x:v>
      </x:c>
      <x:c r="BG576" s="6" t="str">
        <x:v>0</x:v>
      </x:c>
      <x:c r="BH576" s="6" t="str">
        <x:v>0</x:v>
      </x:c>
      <x:c r="BI576" s="6" t="str">
        <x:v>0</x:v>
      </x:c>
      <x:c r="BJ576" s="6" t="str">
        <x:v>0</x:v>
      </x:c>
      <x:c r="BK576" s="6" t="str">
        <x:v>1</x:v>
      </x:c>
      <x:c r="BL576" s="6" t="str">
        <x:v>0</x:v>
      </x:c>
      <x:c r="BM576" s="6" t="str">
        <x:v>0</x:v>
      </x:c>
      <x:c r="BN576" s="6" t="str">
        <x:v>4</x:v>
      </x:c>
      <x:c r="BO576" s="6" t="str"/>
      <x:c r="BP576" s="6" t="str">
        <x:v>0</x:v>
      </x:c>
      <x:c r="BQ576" s="6" t="str">
        <x:v>2.0</x:v>
      </x:c>
      <x:c r="BR576" s="6" t="str">
        <x:v>1</x:v>
      </x:c>
      <x:c r="BS576" s="6" t="str">
        <x:v>22.0</x:v>
      </x:c>
      <x:c r="BT576" s="6" t="str">
        <x:v>4</x:v>
      </x:c>
      <x:c r="BU576" s="6" t="str">
        <x:v>152.0</x:v>
      </x:c>
      <x:c r="BV576" s="6" t="str">
        <x:v>3</x:v>
      </x:c>
      <x:c r="BW576" s="9" t="str">
        <x:v>operational_snapshot_annual_totals_may_differ</x:v>
      </x:c>
      <x:c r="BX576" s="9" t="str">
        <x:v>official_live_dashboard_snapshot_subject_to_revision</x:v>
      </x:c>
      <x:c r="BY576" s="9" t="str">
        <x:v>https://tbdashboard.sitb.id/ss_data_tbc03so_2025_provinsi_bulanan_list.php</x:v>
      </x:c>
      <x:c r="BZ576" s="6" t="n">
        <x:v>46246.610671296294</x:v>
      </x:c>
    </x:row>
    <x:row r="577" ht="18" customHeight="1">
      <x:c r="A577" s="6" t="str">
        <x:v>65</x:v>
      </x:c>
      <x:c r="B577" s="6" t="str">
        <x:v>KALIMANTAN UTARA</x:v>
      </x:c>
      <x:c r="C577" s="6" t="str">
        <x:v>2025</x:v>
      </x:c>
      <x:c r="D577" s="6" t="str">
        <x:v>12</x:v>
      </x:c>
      <x:c r="E577" s="6" t="str">
        <x:v>2025-12</x:v>
      </x:c>
      <x:c r="F577" s="6" t="str">
        <x:v>120</x:v>
      </x:c>
      <x:c r="G577" s="6" t="str">
        <x:v>17</x:v>
      </x:c>
      <x:c r="H577" s="6" t="str">
        <x:v>34</x:v>
      </x:c>
      <x:c r="I577" s="6" t="str">
        <x:v>11</x:v>
      </x:c>
      <x:c r="J577" s="6" t="str">
        <x:v>4</x:v>
      </x:c>
      <x:c r="K577" s="6" t="str">
        <x:v>1</x:v>
      </x:c>
      <x:c r="L577" s="6" t="str">
        <x:v>1</x:v>
      </x:c>
      <x:c r="M577" s="6" t="str">
        <x:v>52</x:v>
      </x:c>
      <x:c r="N577" s="6" t="str">
        <x:v>120</x:v>
      </x:c>
      <x:c r="O577" s="6" t="str">
        <x:v>0</x:v>
      </x:c>
      <x:c r="P577" s="10" t="n">
        <x:f>F577-M577</x:f>
        <x:v>68</x:v>
      </x:c>
      <x:c r="Q577" s="11" t="n">
        <x:f>IFERROR(M577/F577,"")</x:f>
        <x:v>0.43333333333333335</x:v>
      </x:c>
      <x:c r="R577" s="10" t="n">
        <x:f>G577+H577</x:f>
        <x:v>51</x:v>
      </x:c>
      <x:c r="S577" s="11" t="n">
        <x:f>IFERROR(R577/F577,"")</x:f>
        <x:v>0.425</x:v>
      </x:c>
      <x:c r="T577" s="11" t="n">
        <x:f>IFERROR(R577/P577,"")</x:f>
        <x:v>0.75</x:v>
      </x:c>
      <x:c r="U577" s="10" t="n">
        <x:f>I577+J577+K577</x:f>
        <x:v>16</x:v>
      </x:c>
      <x:c r="V577" s="11" t="n">
        <x:f>IFERROR(U577/P577,"")</x:f>
        <x:v>0.23529411764705882</x:v>
      </x:c>
      <x:c r="W577" s="9" t="str">
        <x:v>provisional_gt_5pct_pending</x:v>
      </x:c>
      <x:c r="X577" s="12" t="n">
        <x:f>IFERROR(F577/Z577*100000,"")</x:f>
        <x:v>16.01281024819856</x:v>
      </x:c>
      <x:c r="Y577" s="13" t="n">
        <x:f>LN(Z577)</x:f>
        <x:v>13.527028165341724</x:v>
      </x:c>
      <x:c r="Z577" s="6" t="str">
        <x:v>749400</x:v>
      </x:c>
      <x:c r="AA577" s="6" t="str">
        <x:v>11.0</x:v>
      </x:c>
      <x:c r="AB577" s="9" t="str">
        <x:v>2025-06-30</x:v>
      </x:c>
      <x:c r="AC577" s="8" t="str">
        <x:v>86.0</x:v>
      </x:c>
      <x:c r="AD577" s="9" t="str">
        <x:v>2025 (Susenas)</x:v>
      </x:c>
      <x:c r="AE577" s="8" t="str">
        <x:v>5.54</x:v>
      </x:c>
      <x:c r="AF577" s="9" t="str">
        <x:v>Maret 2025 (Susenas)</x:v>
      </x:c>
      <x:c r="AG577" s="6" t="str">
        <x:v>23.75312375582772</x:v>
      </x:c>
      <x:c r="AH577" s="8" t="str">
        <x:v>91.985898753412</x:v>
      </x:c>
      <x:c r="AI577" s="6" t="str">
        <x:v>298.1419477579244</x:v>
      </x:c>
      <x:c r="AJ577" s="6" t="str">
        <x:v>0.4474419693938465</x:v>
      </x:c>
      <x:c r="AK577" s="8" t="str">
        <x:v>1.950795534790937</x:v>
      </x:c>
      <x:c r="AL577" s="6" t="str">
        <x:v>1.3658905226196272</x:v>
      </x:c>
      <x:c r="AM577" s="6" t="str">
        <x:v>0.9611424871430656</x:v>
      </x:c>
      <x:c r="AN577" s="6" t="str">
        <x:v>1.4259428481845433</x:v>
      </x:c>
      <x:c r="AO577" s="6" t="str">
        <x:v>0.2028673155444949</x:v>
      </x:c>
      <x:c r="AP577" s="8" t="str">
        <x:v>0.2356098390546039</x:v>
      </x:c>
      <x:c r="AQ577" s="6" t="str">
        <x:v>0.9077162077590276</x:v>
      </x:c>
      <x:c r="AR577" s="6" t="str">
        <x:v>0.1678297978778966</x:v>
      </x:c>
      <x:c r="AS577" s="6" t="str">
        <x:v>0.4370519482305093</x:v>
      </x:c>
      <x:c r="AT577" s="6" t="str">
        <x:v>47.58422098841564</x:v>
      </x:c>
      <x:c r="AU577" s="8" t="str">
        <x:v>0.7459838894839355</x:v>
      </x:c>
      <x:c r="AV577" s="6" t="str">
        <x:v>2.477930314505308</x:v>
      </x:c>
      <x:c r="AW577" s="6" t="str">
        <x:v>0.8607301244185648</x:v>
      </x:c>
      <x:c r="AX577" s="6" t="str">
        <x:v>1.36154810946927</x:v>
      </x:c>
      <x:c r="AY577" s="6" t="str">
        <x:v>0</x:v>
      </x:c>
      <x:c r="AZ577" s="6" t="str">
        <x:v>1</x:v>
      </x:c>
      <x:c r="BA577" s="9" t="str">
        <x:v>grid_cells_within_BIG_polygon</x:v>
      </x:c>
      <x:c r="BB577" s="6" t="str">
        <x:v>16</x:v>
      </x:c>
      <x:c r="BC577" s="6" t="str">
        <x:v>0</x:v>
      </x:c>
      <x:c r="BD577" s="6" t="str">
        <x:v>0</x:v>
      </x:c>
      <x:c r="BE577" s="6" t="str">
        <x:v>0</x:v>
      </x:c>
      <x:c r="BF577" s="6" t="str">
        <x:v>0</x:v>
      </x:c>
      <x:c r="BG577" s="6" t="str">
        <x:v>0</x:v>
      </x:c>
      <x:c r="BH577" s="6" t="str">
        <x:v>0</x:v>
      </x:c>
      <x:c r="BI577" s="6" t="str">
        <x:v>0</x:v>
      </x:c>
      <x:c r="BJ577" s="6" t="str">
        <x:v>0</x:v>
      </x:c>
      <x:c r="BK577" s="6" t="str">
        <x:v>0</x:v>
      </x:c>
      <x:c r="BL577" s="6" t="str">
        <x:v>0</x:v>
      </x:c>
      <x:c r="BM577" s="6" t="str">
        <x:v>0</x:v>
      </x:c>
      <x:c r="BN577" s="6" t="str">
        <x:v>0</x:v>
      </x:c>
      <x:c r="BO577" s="6" t="str"/>
      <x:c r="BP577" s="6" t="str">
        <x:v>0</x:v>
      </x:c>
      <x:c r="BQ577" s="6" t="str"/>
      <x:c r="BR577" s="6" t="str">
        <x:v>0</x:v>
      </x:c>
      <x:c r="BS577" s="6" t="str"/>
      <x:c r="BT577" s="6" t="str">
        <x:v>0</x:v>
      </x:c>
      <x:c r="BU577" s="6" t="str"/>
      <x:c r="BV577" s="6" t="str">
        <x:v>0</x:v>
      </x:c>
      <x:c r="BW577" s="9" t="str">
        <x:v>operational_snapshot_annual_totals_may_differ</x:v>
      </x:c>
      <x:c r="BX577" s="9" t="str">
        <x:v>official_live_dashboard_snapshot_subject_to_revision</x:v>
      </x:c>
      <x:c r="BY577" s="9" t="str">
        <x:v>https://tbdashboard.sitb.id/ss_data_tbc03so_2025_provinsi_bulanan_list.php</x:v>
      </x:c>
      <x:c r="BZ577" s="6" t="n">
        <x:v>46246.610671296294</x:v>
      </x:c>
    </x:row>
    <x:row r="578" ht="18" customHeight="1">
      <x:c r="A578" s="6" t="str">
        <x:v>71</x:v>
      </x:c>
      <x:c r="B578" s="6" t="str">
        <x:v>SULAWESI UTARA</x:v>
      </x:c>
      <x:c r="C578" s="6" t="str">
        <x:v>2024</x:v>
      </x:c>
      <x:c r="D578" s="6" t="str">
        <x:v>1</x:v>
      </x:c>
      <x:c r="E578" s="6" t="str">
        <x:v>2024-01</x:v>
      </x:c>
      <x:c r="F578" s="6" t="str">
        <x:v>779</x:v>
      </x:c>
      <x:c r="G578" s="6" t="str">
        <x:v>206</x:v>
      </x:c>
      <x:c r="H578" s="6" t="str">
        <x:v>437</x:v>
      </x:c>
      <x:c r="I578" s="6" t="str">
        <x:v>72</x:v>
      </x:c>
      <x:c r="J578" s="6" t="str">
        <x:v>44</x:v>
      </x:c>
      <x:c r="K578" s="6" t="str">
        <x:v>3</x:v>
      </x:c>
      <x:c r="L578" s="6" t="str">
        <x:v>4</x:v>
      </x:c>
      <x:c r="M578" s="6" t="str">
        <x:v>13</x:v>
      </x:c>
      <x:c r="N578" s="6" t="str">
        <x:v>779</x:v>
      </x:c>
      <x:c r="O578" s="6" t="str">
        <x:v>0</x:v>
      </x:c>
      <x:c r="P578" s="10" t="n">
        <x:f>F578-M578</x:f>
        <x:v>766</x:v>
      </x:c>
      <x:c r="Q578" s="11" t="n">
        <x:f>IFERROR(M578/F578,"")</x:f>
        <x:v>0.01668806161745828</x:v>
      </x:c>
      <x:c r="R578" s="10" t="n">
        <x:f>G578+H578</x:f>
        <x:v>643</x:v>
      </x:c>
      <x:c r="S578" s="11" t="n">
        <x:f>IFERROR(R578/F578,"")</x:f>
        <x:v>0.8254172015404364</x:v>
      </x:c>
      <x:c r="T578" s="11" t="n">
        <x:f>IFERROR(R578/P578,"")</x:f>
        <x:v>0.839425587467363</x:v>
      </x:c>
      <x:c r="U578" s="10" t="n">
        <x:f>I578+J578+K578</x:f>
        <x:v>119</x:v>
      </x:c>
      <x:c r="V578" s="11" t="n">
        <x:f>IFERROR(U578/P578,"")</x:f>
        <x:v>0.15535248041775457</x:v>
      </x:c>
      <x:c r="W578" s="9" t="str">
        <x:v>mature_le_5pct_pending</x:v>
      </x:c>
      <x:c r="X578" s="12" t="n">
        <x:f>IFERROR(F578/Z578*100000,"")</x:f>
        <x:v>28.832630098452885</x:v>
      </x:c>
      <x:c r="Y578" s="13" t="n">
        <x:f>LN(Z578)</x:f>
        <x:v>14.809428775517718</x:v>
      </x:c>
      <x:c r="Z578" s="6" t="str">
        <x:v>2701800</x:v>
      </x:c>
      <x:c r="AA578" s="6" t="str">
        <x:v>186.0</x:v>
      </x:c>
      <x:c r="AB578" s="9" t="str">
        <x:v>2024-06-30</x:v>
      </x:c>
      <x:c r="AC578" s="8" t="str">
        <x:v>87.3</x:v>
      </x:c>
      <x:c r="AD578" s="9" t="str">
        <x:v>2024 (Susenas)</x:v>
      </x:c>
      <x:c r="AE578" s="8" t="str">
        <x:v>7.25</x:v>
      </x:c>
      <x:c r="AF578" s="9" t="str">
        <x:v>Maret 2024 (Susenas)</x:v>
      </x:c>
      <x:c r="AG578" s="6" t="str">
        <x:v>26.567359599474287</x:v>
      </x:c>
      <x:c r="AH578" s="8" t="str">
        <x:v>82.52607334225762</x:v>
      </x:c>
      <x:c r="AI578" s="6" t="str">
        <x:v>207.31700299509075</x:v>
      </x:c>
      <x:c r="AJ578" s="6" t="str">
        <x:v>0.8738549901379962</x:v>
      </x:c>
      <x:c r="AK578" s="8" t="str">
        <x:v>2.1693146097465674</x:v>
      </x:c>
      <x:c r="AL578" s="6" t="str">
        <x:v>2.8826022198039243</x:v>
      </x:c>
      <x:c r="AM578" s="6" t="str">
        <x:v>2.37863380508496</x:v>
      </x:c>
      <x:c r="AN578" s="6" t="str">
        <x:v>2.4768502115451505</x:v>
      </x:c>
      <x:c r="AO578" s="6" t="str">
        <x:v>-0.9615937247172468</x:v>
      </x:c>
      <x:c r="AP578" s="8" t="str">
        <x:v>-0.3568228500875702</x:v>
      </x:c>
      <x:c r="AQ578" s="6" t="str">
        <x:v>-1.223509591209924</x:v>
      </x:c>
      <x:c r="AR578" s="6" t="str">
        <x:v>-0.8825518103305371</x:v>
      </x:c>
      <x:c r="AS578" s="6" t="str">
        <x:v>-0.8209614172093437</x:v>
      </x:c>
      <x:c r="AT578" s="6" t="str">
        <x:v>6.373809024324686</x:v>
      </x:c>
      <x:c r="AU578" s="8" t="str">
        <x:v>0.0882387475902385</x:v>
      </x:c>
      <x:c r="AV578" s="6" t="str">
        <x:v>-1.3114110351077457</x:v>
      </x:c>
      <x:c r="AW578" s="6" t="str">
        <x:v>-0.8576135177111354</x:v>
      </x:c>
      <x:c r="AX578" s="6" t="str">
        <x:v>-0.6935952684095472</x:v>
      </x:c>
      <x:c r="AY578" s="6" t="str">
        <x:v>0</x:v>
      </x:c>
      <x:c r="AZ578" s="6" t="str">
        <x:v>1</x:v>
      </x:c>
      <x:c r="BA578" s="9" t="str">
        <x:v>grid_cells_within_BIG_polygon</x:v>
      </x:c>
      <x:c r="BB578" s="6" t="str">
        <x:v>5</x:v>
      </x:c>
      <x:c r="BC578" s="6" t="str">
        <x:v>1</x:v>
      </x:c>
      <x:c r="BD578" s="6" t="str">
        <x:v>1</x:v>
      </x:c>
      <x:c r="BE578" s="6" t="str">
        <x:v>1</x:v>
      </x:c>
      <x:c r="BF578" s="6" t="str">
        <x:v>0</x:v>
      </x:c>
      <x:c r="BG578" s="6" t="str">
        <x:v>0</x:v>
      </x:c>
      <x:c r="BH578" s="6" t="str">
        <x:v>0</x:v>
      </x:c>
      <x:c r="BI578" s="6" t="str">
        <x:v>0</x:v>
      </x:c>
      <x:c r="BJ578" s="6" t="str">
        <x:v>0</x:v>
      </x:c>
      <x:c r="BK578" s="6" t="str">
        <x:v>0</x:v>
      </x:c>
      <x:c r="BL578" s="6" t="str">
        <x:v>0</x:v>
      </x:c>
      <x:c r="BM578" s="6" t="str">
        <x:v>0</x:v>
      </x:c>
      <x:c r="BN578" s="6" t="str">
        <x:v>1</x:v>
      </x:c>
      <x:c r="BO578" s="6" t="str">
        <x:v>0.0</x:v>
      </x:c>
      <x:c r="BP578" s="6" t="str">
        <x:v>1</x:v>
      </x:c>
      <x:c r="BQ578" s="6" t="str">
        <x:v>0.0</x:v>
      </x:c>
      <x:c r="BR578" s="6" t="str">
        <x:v>1</x:v>
      </x:c>
      <x:c r="BS578" s="6" t="str">
        <x:v>5.0</x:v>
      </x:c>
      <x:c r="BT578" s="6" t="str">
        <x:v>1</x:v>
      </x:c>
      <x:c r="BU578" s="6" t="str"/>
      <x:c r="BV578" s="6" t="str">
        <x:v>0</x:v>
      </x:c>
      <x:c r="BW578" s="9" t="str">
        <x:v>operational_snapshot_annual_totals_may_differ</x:v>
      </x:c>
      <x:c r="BX578" s="9" t="str">
        <x:v>official_live_dashboard_snapshot_subject_to_revision</x:v>
      </x:c>
      <x:c r="BY578" s="9" t="str">
        <x:v>https://tbdashboard.sitb.id/ss_data_tbc03so_2024_provinsi_bulanan_list.php</x:v>
      </x:c>
      <x:c r="BZ578" s="6" t="n">
        <x:v>46246.610671296294</x:v>
      </x:c>
    </x:row>
    <x:row r="579" ht="18" customHeight="1">
      <x:c r="A579" s="6" t="str">
        <x:v>71</x:v>
      </x:c>
      <x:c r="B579" s="6" t="str">
        <x:v>SULAWESI UTARA</x:v>
      </x:c>
      <x:c r="C579" s="6" t="str">
        <x:v>2024</x:v>
      </x:c>
      <x:c r="D579" s="6" t="str">
        <x:v>2</x:v>
      </x:c>
      <x:c r="E579" s="6" t="str">
        <x:v>2024-02</x:v>
      </x:c>
      <x:c r="F579" s="6" t="str">
        <x:v>726</x:v>
      </x:c>
      <x:c r="G579" s="6" t="str">
        <x:v>192</x:v>
      </x:c>
      <x:c r="H579" s="6" t="str">
        <x:v>401</x:v>
      </x:c>
      <x:c r="I579" s="6" t="str">
        <x:v>71</x:v>
      </x:c>
      <x:c r="J579" s="6" t="str">
        <x:v>40</x:v>
      </x:c>
      <x:c r="K579" s="6" t="str">
        <x:v>1</x:v>
      </x:c>
      <x:c r="L579" s="6" t="str">
        <x:v>5</x:v>
      </x:c>
      <x:c r="M579" s="6" t="str">
        <x:v>16</x:v>
      </x:c>
      <x:c r="N579" s="6" t="str">
        <x:v>726</x:v>
      </x:c>
      <x:c r="O579" s="6" t="str">
        <x:v>0</x:v>
      </x:c>
      <x:c r="P579" s="10" t="n">
        <x:f>F579-M579</x:f>
        <x:v>710</x:v>
      </x:c>
      <x:c r="Q579" s="11" t="n">
        <x:f>IFERROR(M579/F579,"")</x:f>
        <x:v>0.02203856749311295</x:v>
      </x:c>
      <x:c r="R579" s="10" t="n">
        <x:f>G579+H579</x:f>
        <x:v>593</x:v>
      </x:c>
      <x:c r="S579" s="11" t="n">
        <x:f>IFERROR(R579/F579,"")</x:f>
        <x:v>0.8168044077134986</x:v>
      </x:c>
      <x:c r="T579" s="11" t="n">
        <x:f>IFERROR(R579/P579,"")</x:f>
        <x:v>0.8352112676056338</x:v>
      </x:c>
      <x:c r="U579" s="10" t="n">
        <x:f>I579+J579+K579</x:f>
        <x:v>112</x:v>
      </x:c>
      <x:c r="V579" s="11" t="n">
        <x:f>IFERROR(U579/P579,"")</x:f>
        <x:v>0.15774647887323945</x:v>
      </x:c>
      <x:c r="W579" s="9" t="str">
        <x:v>mature_le_5pct_pending</x:v>
      </x:c>
      <x:c r="X579" s="12" t="n">
        <x:f>IFERROR(F579/Z579*100000,"")</x:f>
        <x:v>26.870974905618475</x:v>
      </x:c>
      <x:c r="Y579" s="13" t="n">
        <x:f>LN(Z579)</x:f>
        <x:v>14.809428775517718</x:v>
      </x:c>
      <x:c r="Z579" s="6" t="str">
        <x:v>2701800</x:v>
      </x:c>
      <x:c r="AA579" s="6" t="str">
        <x:v>186.0</x:v>
      </x:c>
      <x:c r="AB579" s="9" t="str">
        <x:v>2024-06-30</x:v>
      </x:c>
      <x:c r="AC579" s="8" t="str">
        <x:v>87.3</x:v>
      </x:c>
      <x:c r="AD579" s="9" t="str">
        <x:v>2024 (Susenas)</x:v>
      </x:c>
      <x:c r="AE579" s="8" t="str">
        <x:v>7.25</x:v>
      </x:c>
      <x:c r="AF579" s="9" t="str">
        <x:v>Maret 2024 (Susenas)</x:v>
      </x:c>
      <x:c r="AG579" s="6" t="str">
        <x:v>26.43153049053431</x:v>
      </x:c>
      <x:c r="AH579" s="8" t="str">
        <x:v>81.93182162958922</x:v>
      </x:c>
      <x:c r="AI579" s="6" t="str">
        <x:v>100.80440304499788</x:v>
      </x:c>
      <x:c r="AJ579" s="6" t="str">
        <x:v>0.7717411010492263</x:v>
      </x:c>
      <x:c r="AK579" s="8" t="str">
        <x:v>1.7140835659230986</x:v>
      </x:c>
      <x:c r="AL579" s="6" t="str">
        <x:v>2.1693146097465674</x:v>
      </x:c>
      <x:c r="AM579" s="6" t="str">
        <x:v>2.8826022198039243</x:v>
      </x:c>
      <x:c r="AN579" s="6" t="str">
        <x:v>2.255333465157863</x:v>
      </x:c>
      <x:c r="AO579" s="6" t="str">
        <x:v>-0.9776525279437892</x:v>
      </x:c>
      <x:c r="AP579" s="8" t="str">
        <x:v>-0.3017055312216412</x:v>
      </x:c>
      <x:c r="AQ579" s="6" t="str">
        <x:v>-0.3568228500875702</x:v>
      </x:c>
      <x:c r="AR579" s="6" t="str">
        <x:v>-1.223509591209924</x:v>
      </x:c>
      <x:c r="AS579" s="6" t="str">
        <x:v>-0.6273459908397118</x:v>
      </x:c>
      <x:c r="AT579" s="6" t="str">
        <x:v>-54.15916600924844</x:v>
      </x:c>
      <x:c r="AU579" s="8" t="str">
        <x:v>-0.7203810786345253</x:v>
      </x:c>
      <x:c r="AV579" s="6" t="str">
        <x:v>0.0882387475902385</x:v>
      </x:c>
      <x:c r="AW579" s="6" t="str">
        <x:v>-1.3114110351077457</x:v>
      </x:c>
      <x:c r="AX579" s="6" t="str">
        <x:v>-0.6478511220506772</x:v>
      </x:c>
      <x:c r="AY579" s="6" t="str">
        <x:v>0</x:v>
      </x:c>
      <x:c r="AZ579" s="6" t="str">
        <x:v>1</x:v>
      </x:c>
      <x:c r="BA579" s="9" t="str">
        <x:v>grid_cells_within_BIG_polygon</x:v>
      </x:c>
      <x:c r="BB579" s="6" t="str">
        <x:v>5</x:v>
      </x:c>
      <x:c r="BC579" s="6" t="str">
        <x:v>2</x:v>
      </x:c>
      <x:c r="BD579" s="6" t="str">
        <x:v>2</x:v>
      </x:c>
      <x:c r="BE579" s="6" t="str">
        <x:v>2</x:v>
      </x:c>
      <x:c r="BF579" s="6" t="str">
        <x:v>0</x:v>
      </x:c>
      <x:c r="BG579" s="6" t="str">
        <x:v>0</x:v>
      </x:c>
      <x:c r="BH579" s="6" t="str">
        <x:v>0</x:v>
      </x:c>
      <x:c r="BI579" s="6" t="str">
        <x:v>0</x:v>
      </x:c>
      <x:c r="BJ579" s="6" t="str">
        <x:v>0</x:v>
      </x:c>
      <x:c r="BK579" s="6" t="str">
        <x:v>0</x:v>
      </x:c>
      <x:c r="BL579" s="6" t="str">
        <x:v>0</x:v>
      </x:c>
      <x:c r="BM579" s="6" t="str">
        <x:v>0</x:v>
      </x:c>
      <x:c r="BN579" s="6" t="str">
        <x:v>2</x:v>
      </x:c>
      <x:c r="BO579" s="6" t="str">
        <x:v>0.0</x:v>
      </x:c>
      <x:c r="BP579" s="6" t="str">
        <x:v>2</x:v>
      </x:c>
      <x:c r="BQ579" s="6" t="str">
        <x:v>0.0</x:v>
      </x:c>
      <x:c r="BR579" s="6" t="str">
        <x:v>2</x:v>
      </x:c>
      <x:c r="BS579" s="6" t="str">
        <x:v>0.0</x:v>
      </x:c>
      <x:c r="BT579" s="6" t="str">
        <x:v>2</x:v>
      </x:c>
      <x:c r="BU579" s="6" t="str">
        <x:v>758.0</x:v>
      </x:c>
      <x:c r="BV579" s="6" t="str">
        <x:v>2</x:v>
      </x:c>
      <x:c r="BW579" s="9" t="str">
        <x:v>operational_snapshot_annual_totals_may_differ</x:v>
      </x:c>
      <x:c r="BX579" s="9" t="str">
        <x:v>official_live_dashboard_snapshot_subject_to_revision</x:v>
      </x:c>
      <x:c r="BY579" s="9" t="str">
        <x:v>https://tbdashboard.sitb.id/ss_data_tbc03so_2024_provinsi_bulanan_list.php</x:v>
      </x:c>
      <x:c r="BZ579" s="6" t="n">
        <x:v>46246.610671296294</x:v>
      </x:c>
    </x:row>
    <x:row r="580" ht="18" customHeight="1">
      <x:c r="A580" s="6" t="str">
        <x:v>71</x:v>
      </x:c>
      <x:c r="B580" s="6" t="str">
        <x:v>SULAWESI UTARA</x:v>
      </x:c>
      <x:c r="C580" s="6" t="str">
        <x:v>2024</x:v>
      </x:c>
      <x:c r="D580" s="6" t="str">
        <x:v>3</x:v>
      </x:c>
      <x:c r="E580" s="6" t="str">
        <x:v>2024-03</x:v>
      </x:c>
      <x:c r="F580" s="6" t="str">
        <x:v>738</x:v>
      </x:c>
      <x:c r="G580" s="6" t="str">
        <x:v>213</x:v>
      </x:c>
      <x:c r="H580" s="6" t="str">
        <x:v>403</x:v>
      </x:c>
      <x:c r="I580" s="6" t="str">
        <x:v>72</x:v>
      </x:c>
      <x:c r="J580" s="6" t="str">
        <x:v>37</x:v>
      </x:c>
      <x:c r="K580" s="6" t="str">
        <x:v>2</x:v>
      </x:c>
      <x:c r="L580" s="6" t="str">
        <x:v>2</x:v>
      </x:c>
      <x:c r="M580" s="6" t="str">
        <x:v>9</x:v>
      </x:c>
      <x:c r="N580" s="6" t="str">
        <x:v>738</x:v>
      </x:c>
      <x:c r="O580" s="6" t="str">
        <x:v>0</x:v>
      </x:c>
      <x:c r="P580" s="10" t="n">
        <x:f>F580-M580</x:f>
        <x:v>729</x:v>
      </x:c>
      <x:c r="Q580" s="11" t="n">
        <x:f>IFERROR(M580/F580,"")</x:f>
        <x:v>0.012195121951219513</x:v>
      </x:c>
      <x:c r="R580" s="10" t="n">
        <x:f>G580+H580</x:f>
        <x:v>616</x:v>
      </x:c>
      <x:c r="S580" s="11" t="n">
        <x:f>IFERROR(R580/F580,"")</x:f>
        <x:v>0.8346883468834688</x:v>
      </x:c>
      <x:c r="T580" s="11" t="n">
        <x:f>IFERROR(R580/P580,"")</x:f>
        <x:v>0.8449931412894376</x:v>
      </x:c>
      <x:c r="U580" s="10" t="n">
        <x:f>I580+J580+K580</x:f>
        <x:v>111</x:v>
      </x:c>
      <x:c r="V580" s="11" t="n">
        <x:f>IFERROR(U580/P580,"")</x:f>
        <x:v>0.1522633744855967</x:v>
      </x:c>
      <x:c r="W580" s="9" t="str">
        <x:v>mature_le_5pct_pending</x:v>
      </x:c>
      <x:c r="X580" s="12" t="n">
        <x:f>IFERROR(F580/Z580*100000,"")</x:f>
        <x:v>27.315123251165893</x:v>
      </x:c>
      <x:c r="Y580" s="13" t="n">
        <x:f>LN(Z580)</x:f>
        <x:v>14.809428775517718</x:v>
      </x:c>
      <x:c r="Z580" s="6" t="str">
        <x:v>2701800</x:v>
      </x:c>
      <x:c r="AA580" s="6" t="str">
        <x:v>186.0</x:v>
      </x:c>
      <x:c r="AB580" s="9" t="str">
        <x:v>2024-06-30</x:v>
      </x:c>
      <x:c r="AC580" s="8" t="str">
        <x:v>87.3</x:v>
      </x:c>
      <x:c r="AD580" s="9" t="str">
        <x:v>2024 (Susenas)</x:v>
      </x:c>
      <x:c r="AE580" s="8" t="str">
        <x:v>7.25</x:v>
      </x:c>
      <x:c r="AF580" s="9" t="str">
        <x:v>Maret 2024 (Susenas)</x:v>
      </x:c>
      <x:c r="AG580" s="6" t="str">
        <x:v>26.741577867329426</x:v>
      </x:c>
      <x:c r="AH580" s="8" t="str">
        <x:v>81.61166479852449</x:v>
      </x:c>
      <x:c r="AI580" s="6" t="str">
        <x:v>107.03258853459177</x:v>
      </x:c>
      <x:c r="AJ580" s="6" t="str">
        <x:v>0.7998165292575337</x:v>
      </x:c>
      <x:c r="AK580" s="8" t="str">
        <x:v>1.7314852548462083</x:v>
      </x:c>
      <x:c r="AL580" s="6" t="str">
        <x:v>1.7140835659230986</x:v>
      </x:c>
      <x:c r="AM580" s="6" t="str">
        <x:v>2.1693146097465674</x:v>
      </x:c>
      <x:c r="AN580" s="6" t="str">
        <x:v>1.871627810171958</x:v>
      </x:c>
      <x:c r="AO580" s="6" t="str">
        <x:v>-0.1566344474634178</x:v>
      </x:c>
      <x:c r="AP580" s="8" t="str">
        <x:v>-0.0443726161115984</x:v>
      </x:c>
      <x:c r="AQ580" s="6" t="str">
        <x:v>-0.3017055312216412</x:v>
      </x:c>
      <x:c r="AR580" s="6" t="str">
        <x:v>-0.3568228500875702</x:v>
      </x:c>
      <x:c r="AS580" s="6" t="str">
        <x:v>-0.2343003324736031</x:v>
      </x:c>
      <x:c r="AT580" s="6" t="str">
        <x:v>-55.419094837800216</x:v>
      </x:c>
      <x:c r="AU580" s="8" t="str">
        <x:v>-0.6660897185910433</x:v>
      </x:c>
      <x:c r="AV580" s="6" t="str">
        <x:v>-0.7203810786345253</x:v>
      </x:c>
      <x:c r="AW580" s="6" t="str">
        <x:v>0.0882387475902385</x:v>
      </x:c>
      <x:c r="AX580" s="6" t="str">
        <x:v>-0.4327440165451099</x:v>
      </x:c>
      <x:c r="AY580" s="6" t="str">
        <x:v>0</x:v>
      </x:c>
      <x:c r="AZ580" s="6" t="str">
        <x:v>1</x:v>
      </x:c>
      <x:c r="BA580" s="9" t="str">
        <x:v>grid_cells_within_BIG_polygon</x:v>
      </x:c>
      <x:c r="BB580" s="6" t="str">
        <x:v>5</x:v>
      </x:c>
      <x:c r="BC580" s="6" t="str">
        <x:v>2</x:v>
      </x:c>
      <x:c r="BD580" s="6" t="str">
        <x:v>2</x:v>
      </x:c>
      <x:c r="BE580" s="6" t="str">
        <x:v>2</x:v>
      </x:c>
      <x:c r="BF580" s="6" t="str">
        <x:v>0</x:v>
      </x:c>
      <x:c r="BG580" s="6" t="str">
        <x:v>0</x:v>
      </x:c>
      <x:c r="BH580" s="6" t="str">
        <x:v>0</x:v>
      </x:c>
      <x:c r="BI580" s="6" t="str">
        <x:v>0</x:v>
      </x:c>
      <x:c r="BJ580" s="6" t="str">
        <x:v>0</x:v>
      </x:c>
      <x:c r="BK580" s="6" t="str">
        <x:v>0</x:v>
      </x:c>
      <x:c r="BL580" s="6" t="str">
        <x:v>0</x:v>
      </x:c>
      <x:c r="BM580" s="6" t="str">
        <x:v>0</x:v>
      </x:c>
      <x:c r="BN580" s="6" t="str">
        <x:v>2</x:v>
      </x:c>
      <x:c r="BO580" s="6" t="str">
        <x:v>0.0</x:v>
      </x:c>
      <x:c r="BP580" s="6" t="str">
        <x:v>2</x:v>
      </x:c>
      <x:c r="BQ580" s="6" t="str">
        <x:v>0.0</x:v>
      </x:c>
      <x:c r="BR580" s="6" t="str">
        <x:v>2</x:v>
      </x:c>
      <x:c r="BS580" s="6" t="str">
        <x:v>0.0</x:v>
      </x:c>
      <x:c r="BT580" s="6" t="str">
        <x:v>2</x:v>
      </x:c>
      <x:c r="BU580" s="6" t="str">
        <x:v>1495.0</x:v>
      </x:c>
      <x:c r="BV580" s="6" t="str">
        <x:v>2</x:v>
      </x:c>
      <x:c r="BW580" s="9" t="str">
        <x:v>operational_snapshot_annual_totals_may_differ</x:v>
      </x:c>
      <x:c r="BX580" s="9" t="str">
        <x:v>official_live_dashboard_snapshot_subject_to_revision</x:v>
      </x:c>
      <x:c r="BY580" s="9" t="str">
        <x:v>https://tbdashboard.sitb.id/ss_data_tbc03so_2024_provinsi_bulanan_list.php</x:v>
      </x:c>
      <x:c r="BZ580" s="6" t="n">
        <x:v>46246.610671296294</x:v>
      </x:c>
    </x:row>
    <x:row r="581" ht="18" customHeight="1">
      <x:c r="A581" s="6" t="str">
        <x:v>71</x:v>
      </x:c>
      <x:c r="B581" s="6" t="str">
        <x:v>SULAWESI UTARA</x:v>
      </x:c>
      <x:c r="C581" s="6" t="str">
        <x:v>2024</x:v>
      </x:c>
      <x:c r="D581" s="6" t="str">
        <x:v>4</x:v>
      </x:c>
      <x:c r="E581" s="6" t="str">
        <x:v>2024-04</x:v>
      </x:c>
      <x:c r="F581" s="6" t="str">
        <x:v>665</x:v>
      </x:c>
      <x:c r="G581" s="6" t="str">
        <x:v>182</x:v>
      </x:c>
      <x:c r="H581" s="6" t="str">
        <x:v>375</x:v>
      </x:c>
      <x:c r="I581" s="6" t="str">
        <x:v>65</x:v>
      </x:c>
      <x:c r="J581" s="6" t="str">
        <x:v>32</x:v>
      </x:c>
      <x:c r="K581" s="6" t="str">
        <x:v>1</x:v>
      </x:c>
      <x:c r="L581" s="6" t="str">
        <x:v>6</x:v>
      </x:c>
      <x:c r="M581" s="6" t="str">
        <x:v>4</x:v>
      </x:c>
      <x:c r="N581" s="6" t="str">
        <x:v>665</x:v>
      </x:c>
      <x:c r="O581" s="6" t="str">
        <x:v>0</x:v>
      </x:c>
      <x:c r="P581" s="10" t="n">
        <x:f>F581-M581</x:f>
        <x:v>661</x:v>
      </x:c>
      <x:c r="Q581" s="11" t="n">
        <x:f>IFERROR(M581/F581,"")</x:f>
        <x:v>0.006015037593984963</x:v>
      </x:c>
      <x:c r="R581" s="10" t="n">
        <x:f>G581+H581</x:f>
        <x:v>557</x:v>
      </x:c>
      <x:c r="S581" s="11" t="n">
        <x:f>IFERROR(R581/F581,"")</x:f>
        <x:v>0.837593984962406</x:v>
      </x:c>
      <x:c r="T581" s="11" t="n">
        <x:f>IFERROR(R581/P581,"")</x:f>
        <x:v>0.8426626323751891</x:v>
      </x:c>
      <x:c r="U581" s="10" t="n">
        <x:f>I581+J581+K581</x:f>
        <x:v>98</x:v>
      </x:c>
      <x:c r="V581" s="11" t="n">
        <x:f>IFERROR(U581/P581,"")</x:f>
        <x:v>0.14826021180030258</x:v>
      </x:c>
      <x:c r="W581" s="9" t="str">
        <x:v>mature_le_5pct_pending</x:v>
      </x:c>
      <x:c r="X581" s="12" t="n">
        <x:f>IFERROR(F581/Z581*100000,"")</x:f>
        <x:v>24.613220815752463</x:v>
      </x:c>
      <x:c r="Y581" s="13" t="n">
        <x:f>LN(Z581)</x:f>
        <x:v>14.809428775517718</x:v>
      </x:c>
      <x:c r="Z581" s="6" t="str">
        <x:v>2701800</x:v>
      </x:c>
      <x:c r="AA581" s="6" t="str">
        <x:v>186.0</x:v>
      </x:c>
      <x:c r="AB581" s="9" t="str">
        <x:v>2024-06-30</x:v>
      </x:c>
      <x:c r="AC581" s="8" t="str">
        <x:v>87.3</x:v>
      </x:c>
      <x:c r="AD581" s="9" t="str">
        <x:v>2024 (Susenas)</x:v>
      </x:c>
      <x:c r="AE581" s="8" t="str">
        <x:v>7.25</x:v>
      </x:c>
      <x:c r="AF581" s="9" t="str">
        <x:v>Maret 2024 (Susenas)</x:v>
      </x:c>
      <x:c r="AG581" s="6" t="str">
        <x:v>27.065521089364758</x:v>
      </x:c>
      <x:c r="AH581" s="8" t="str">
        <x:v>80.7256993632788</x:v>
      </x:c>
      <x:c r="AI581" s="6" t="str">
        <x:v>169.45869373038005</x:v>
      </x:c>
      <x:c r="AJ581" s="6" t="str">
        <x:v>0.7294006290219244</x:v>
      </x:c>
      <x:c r="AK581" s="8" t="str">
        <x:v>1.5250777281070285</x:v>
      </x:c>
      <x:c r="AL581" s="6" t="str">
        <x:v>1.7314852548462083</x:v>
      </x:c>
      <x:c r="AM581" s="6" t="str">
        <x:v>1.7140835659230986</x:v>
      </x:c>
      <x:c r="AN581" s="6" t="str">
        <x:v>1.6568821829587783</x:v>
      </x:c>
      <x:c r="AO581" s="6" t="str">
        <x:v>-0.6626992583369713</x:v>
      </x:c>
      <x:c r="AP581" s="8" t="str">
        <x:v>-0.2059026044374687</x:v>
      </x:c>
      <x:c r="AQ581" s="6" t="str">
        <x:v>-0.0443726161115984</x:v>
      </x:c>
      <x:c r="AR581" s="6" t="str">
        <x:v>-0.3017055312216412</x:v>
      </x:c>
      <x:c r="AS581" s="6" t="str">
        <x:v>-0.1839935839235693</x:v>
      </x:c>
      <x:c r="AT581" s="6" t="str">
        <x:v>14.073265221826064</x:v>
      </x:c>
      <x:c r="AU581" s="8" t="str">
        <x:v>0.2287935278182037</x:v>
      </x:c>
      <x:c r="AV581" s="6" t="str">
        <x:v>-0.6660897185910433</x:v>
      </x:c>
      <x:c r="AW581" s="6" t="str">
        <x:v>-0.7203810786345253</x:v>
      </x:c>
      <x:c r="AX581" s="6" t="str">
        <x:v>-0.3858924231357881</x:v>
      </x:c>
      <x:c r="AY581" s="6" t="str">
        <x:v>0</x:v>
      </x:c>
      <x:c r="AZ581" s="6" t="str">
        <x:v>1</x:v>
      </x:c>
      <x:c r="BA581" s="9" t="str">
        <x:v>grid_cells_within_BIG_polygon</x:v>
      </x:c>
      <x:c r="BB581" s="6" t="str">
        <x:v>5</x:v>
      </x:c>
      <x:c r="BC581" s="6" t="str">
        <x:v>3</x:v>
      </x:c>
      <x:c r="BD581" s="6" t="str">
        <x:v>2</x:v>
      </x:c>
      <x:c r="BE581" s="6" t="str">
        <x:v>2</x:v>
      </x:c>
      <x:c r="BF581" s="6" t="str">
        <x:v>0</x:v>
      </x:c>
      <x:c r="BG581" s="6" t="str">
        <x:v>0</x:v>
      </x:c>
      <x:c r="BH581" s="6" t="str">
        <x:v>0</x:v>
      </x:c>
      <x:c r="BI581" s="6" t="str">
        <x:v>0</x:v>
      </x:c>
      <x:c r="BJ581" s="6" t="str">
        <x:v>0</x:v>
      </x:c>
      <x:c r="BK581" s="6" t="str">
        <x:v>0</x:v>
      </x:c>
      <x:c r="BL581" s="6" t="str">
        <x:v>1</x:v>
      </x:c>
      <x:c r="BM581" s="6" t="str">
        <x:v>0</x:v>
      </x:c>
      <x:c r="BN581" s="6" t="str">
        <x:v>3</x:v>
      </x:c>
      <x:c r="BO581" s="6" t="str">
        <x:v>0.0</x:v>
      </x:c>
      <x:c r="BP581" s="6" t="str">
        <x:v>3</x:v>
      </x:c>
      <x:c r="BQ581" s="6" t="str">
        <x:v>3.0</x:v>
      </x:c>
      <x:c r="BR581" s="6" t="str">
        <x:v>3</x:v>
      </x:c>
      <x:c r="BS581" s="6" t="str">
        <x:v>827.0</x:v>
      </x:c>
      <x:c r="BT581" s="6" t="str">
        <x:v>3</x:v>
      </x:c>
      <x:c r="BU581" s="6" t="str">
        <x:v>5074.0</x:v>
      </x:c>
      <x:c r="BV581" s="6" t="str">
        <x:v>2</x:v>
      </x:c>
      <x:c r="BW581" s="9" t="str">
        <x:v>operational_snapshot_annual_totals_may_differ</x:v>
      </x:c>
      <x:c r="BX581" s="9" t="str">
        <x:v>official_live_dashboard_snapshot_subject_to_revision</x:v>
      </x:c>
      <x:c r="BY581" s="9" t="str">
        <x:v>https://tbdashboard.sitb.id/ss_data_tbc03so_2024_provinsi_bulanan_list.php</x:v>
      </x:c>
      <x:c r="BZ581" s="6" t="n">
        <x:v>46246.610671296294</x:v>
      </x:c>
    </x:row>
    <x:row r="582" ht="18" customHeight="1">
      <x:c r="A582" s="6" t="str">
        <x:v>71</x:v>
      </x:c>
      <x:c r="B582" s="6" t="str">
        <x:v>SULAWESI UTARA</x:v>
      </x:c>
      <x:c r="C582" s="6" t="str">
        <x:v>2024</x:v>
      </x:c>
      <x:c r="D582" s="6" t="str">
        <x:v>5</x:v>
      </x:c>
      <x:c r="E582" s="6" t="str">
        <x:v>2024-05</x:v>
      </x:c>
      <x:c r="F582" s="6" t="str">
        <x:v>753</x:v>
      </x:c>
      <x:c r="G582" s="6" t="str">
        <x:v>233</x:v>
      </x:c>
      <x:c r="H582" s="6" t="str">
        <x:v>394</x:v>
      </x:c>
      <x:c r="I582" s="6" t="str">
        <x:v>67</x:v>
      </x:c>
      <x:c r="J582" s="6" t="str">
        <x:v>42</x:v>
      </x:c>
      <x:c r="K582" s="6" t="str">
        <x:v>2</x:v>
      </x:c>
      <x:c r="L582" s="6" t="str">
        <x:v>7</x:v>
      </x:c>
      <x:c r="M582" s="6" t="str">
        <x:v>8</x:v>
      </x:c>
      <x:c r="N582" s="6" t="str">
        <x:v>753</x:v>
      </x:c>
      <x:c r="O582" s="6" t="str">
        <x:v>0</x:v>
      </x:c>
      <x:c r="P582" s="10" t="n">
        <x:f>F582-M582</x:f>
        <x:v>745</x:v>
      </x:c>
      <x:c r="Q582" s="11" t="n">
        <x:f>IFERROR(M582/F582,"")</x:f>
        <x:v>0.010624169986719787</x:v>
      </x:c>
      <x:c r="R582" s="10" t="n">
        <x:f>G582+H582</x:f>
        <x:v>627</x:v>
      </x:c>
      <x:c r="S582" s="11" t="n">
        <x:f>IFERROR(R582/F582,"")</x:f>
        <x:v>0.8326693227091634</x:v>
      </x:c>
      <x:c r="T582" s="11" t="n">
        <x:f>IFERROR(R582/P582,"")</x:f>
        <x:v>0.8416107382550335</x:v>
      </x:c>
      <x:c r="U582" s="10" t="n">
        <x:f>I582+J582+K582</x:f>
        <x:v>111</x:v>
      </x:c>
      <x:c r="V582" s="11" t="n">
        <x:f>IFERROR(U582/P582,"")</x:f>
        <x:v>0.14899328859060404</x:v>
      </x:c>
      <x:c r="W582" s="9" t="str">
        <x:v>mature_le_5pct_pending</x:v>
      </x:c>
      <x:c r="X582" s="12" t="n">
        <x:f>IFERROR(F582/Z582*100000,"")</x:f>
        <x:v>27.87030868310016</x:v>
      </x:c>
      <x:c r="Y582" s="13" t="n">
        <x:f>LN(Z582)</x:f>
        <x:v>14.809428775517718</x:v>
      </x:c>
      <x:c r="Z582" s="6" t="str">
        <x:v>2701800</x:v>
      </x:c>
      <x:c r="AA582" s="6" t="str">
        <x:v>186.0</x:v>
      </x:c>
      <x:c r="AB582" s="9" t="str">
        <x:v>2024-06-30</x:v>
      </x:c>
      <x:c r="AC582" s="8" t="str">
        <x:v>87.3</x:v>
      </x:c>
      <x:c r="AD582" s="9" t="str">
        <x:v>2024 (Susenas)</x:v>
      </x:c>
      <x:c r="AE582" s="8" t="str">
        <x:v>7.25</x:v>
      </x:c>
      <x:c r="AF582" s="9" t="str">
        <x:v>Maret 2024 (Susenas)</x:v>
      </x:c>
      <x:c r="AG582" s="6" t="str">
        <x:v>27.26340121005264</x:v>
      </x:c>
      <x:c r="AH582" s="8" t="str">
        <x:v>82.56268010672726</x:v>
      </x:c>
      <x:c r="AI582" s="6" t="str">
        <x:v>165.758219911353</x:v>
      </x:c>
      <x:c r="AJ582" s="6" t="str">
        <x:v>0.9624296797003852</x:v>
      </x:c>
      <x:c r="AK582" s="8" t="str">
        <x:v>2.143810884949066</x:v>
      </x:c>
      <x:c r="AL582" s="6" t="str">
        <x:v>1.5250777281070285</x:v>
      </x:c>
      <x:c r="AM582" s="6" t="str">
        <x:v>1.7314852548462083</x:v>
      </x:c>
      <x:c r="AN582" s="6" t="str">
        <x:v>1.800124622634101</x:v>
      </x:c>
      <x:c r="AO582" s="6" t="str">
        <x:v>-0.5194749105710628</x:v>
      </x:c>
      <x:c r="AP582" s="8" t="str">
        <x:v>-0.2568752859607506</x:v>
      </x:c>
      <x:c r="AQ582" s="6" t="str">
        <x:v>-0.2059026044374687</x:v>
      </x:c>
      <x:c r="AR582" s="6" t="str">
        <x:v>-0.0443726161115984</x:v>
      </x:c>
      <x:c r="AS582" s="6" t="str">
        <x:v>-0.1690501688366057</x:v>
      </x:c>
      <x:c r="AT582" s="6" t="str">
        <x:v>-7.991238872090662</x:v>
      </x:c>
      <x:c r="AU582" s="8" t="str">
        <x:v>-0.1523964402267465</x:v>
      </x:c>
      <x:c r="AV582" s="6" t="str">
        <x:v>0.2287935278182037</x:v>
      </x:c>
      <x:c r="AW582" s="6" t="str">
        <x:v>-0.6660897185910433</x:v>
      </x:c>
      <x:c r="AX582" s="6" t="str">
        <x:v>-0.1965642103331951</x:v>
      </x:c>
      <x:c r="AY582" s="6" t="str">
        <x:v>0</x:v>
      </x:c>
      <x:c r="AZ582" s="6" t="str">
        <x:v>1</x:v>
      </x:c>
      <x:c r="BA582" s="9" t="str">
        <x:v>grid_cells_within_BIG_polygon</x:v>
      </x:c>
      <x:c r="BB582" s="6" t="str">
        <x:v>5</x:v>
      </x:c>
      <x:c r="BC582" s="6" t="str">
        <x:v>2</x:v>
      </x:c>
      <x:c r="BD582" s="6" t="str">
        <x:v>2</x:v>
      </x:c>
      <x:c r="BE582" s="6" t="str">
        <x:v>2</x:v>
      </x:c>
      <x:c r="BF582" s="6" t="str">
        <x:v>0</x:v>
      </x:c>
      <x:c r="BG582" s="6" t="str">
        <x:v>0</x:v>
      </x:c>
      <x:c r="BH582" s="6" t="str">
        <x:v>0</x:v>
      </x:c>
      <x:c r="BI582" s="6" t="str">
        <x:v>0</x:v>
      </x:c>
      <x:c r="BJ582" s="6" t="str">
        <x:v>0</x:v>
      </x:c>
      <x:c r="BK582" s="6" t="str">
        <x:v>0</x:v>
      </x:c>
      <x:c r="BL582" s="6" t="str">
        <x:v>0</x:v>
      </x:c>
      <x:c r="BM582" s="6" t="str">
        <x:v>0</x:v>
      </x:c>
      <x:c r="BN582" s="6" t="str">
        <x:v>2</x:v>
      </x:c>
      <x:c r="BO582" s="6" t="str">
        <x:v>0.0</x:v>
      </x:c>
      <x:c r="BP582" s="6" t="str">
        <x:v>2</x:v>
      </x:c>
      <x:c r="BQ582" s="6" t="str">
        <x:v>0.0</x:v>
      </x:c>
      <x:c r="BR582" s="6" t="str">
        <x:v>2</x:v>
      </x:c>
      <x:c r="BS582" s="6" t="str">
        <x:v>0.0</x:v>
      </x:c>
      <x:c r="BT582" s="6" t="str">
        <x:v>2</x:v>
      </x:c>
      <x:c r="BU582" s="6" t="str">
        <x:v>812.0</x:v>
      </x:c>
      <x:c r="BV582" s="6" t="str">
        <x:v>2</x:v>
      </x:c>
      <x:c r="BW582" s="9" t="str">
        <x:v>operational_snapshot_annual_totals_may_differ</x:v>
      </x:c>
      <x:c r="BX582" s="9" t="str">
        <x:v>official_live_dashboard_snapshot_subject_to_revision</x:v>
      </x:c>
      <x:c r="BY582" s="9" t="str">
        <x:v>https://tbdashboard.sitb.id/ss_data_tbc03so_2024_provinsi_bulanan_list.php</x:v>
      </x:c>
      <x:c r="BZ582" s="6" t="n">
        <x:v>46246.610671296294</x:v>
      </x:c>
    </x:row>
    <x:row r="583" ht="18" customHeight="1">
      <x:c r="A583" s="6" t="str">
        <x:v>71</x:v>
      </x:c>
      <x:c r="B583" s="6" t="str">
        <x:v>SULAWESI UTARA</x:v>
      </x:c>
      <x:c r="C583" s="6" t="str">
        <x:v>2024</x:v>
      </x:c>
      <x:c r="D583" s="6" t="str">
        <x:v>6</x:v>
      </x:c>
      <x:c r="E583" s="6" t="str">
        <x:v>2024-06</x:v>
      </x:c>
      <x:c r="F583" s="6" t="str">
        <x:v>665</x:v>
      </x:c>
      <x:c r="G583" s="6" t="str">
        <x:v>183</x:v>
      </x:c>
      <x:c r="H583" s="6" t="str">
        <x:v>371</x:v>
      </x:c>
      <x:c r="I583" s="6" t="str">
        <x:v>54</x:v>
      </x:c>
      <x:c r="J583" s="6" t="str">
        <x:v>36</x:v>
      </x:c>
      <x:c r="K583" s="6" t="str">
        <x:v>0</x:v>
      </x:c>
      <x:c r="L583" s="6" t="str">
        <x:v>9</x:v>
      </x:c>
      <x:c r="M583" s="6" t="str">
        <x:v>12</x:v>
      </x:c>
      <x:c r="N583" s="6" t="str">
        <x:v>665</x:v>
      </x:c>
      <x:c r="O583" s="6" t="str">
        <x:v>0</x:v>
      </x:c>
      <x:c r="P583" s="10" t="n">
        <x:f>F583-M583</x:f>
        <x:v>653</x:v>
      </x:c>
      <x:c r="Q583" s="11" t="n">
        <x:f>IFERROR(M583/F583,"")</x:f>
        <x:v>0.01804511278195489</x:v>
      </x:c>
      <x:c r="R583" s="10" t="n">
        <x:f>G583+H583</x:f>
        <x:v>554</x:v>
      </x:c>
      <x:c r="S583" s="11" t="n">
        <x:f>IFERROR(R583/F583,"")</x:f>
        <x:v>0.8330827067669173</x:v>
      </x:c>
      <x:c r="T583" s="11" t="n">
        <x:f>IFERROR(R583/P583,"")</x:f>
        <x:v>0.8483920367534457</x:v>
      </x:c>
      <x:c r="U583" s="10" t="n">
        <x:f>I583+J583+K583</x:f>
        <x:v>90</x:v>
      </x:c>
      <x:c r="V583" s="11" t="n">
        <x:f>IFERROR(U583/P583,"")</x:f>
        <x:v>0.13782542113323124</x:v>
      </x:c>
      <x:c r="W583" s="9" t="str">
        <x:v>mature_le_5pct_pending</x:v>
      </x:c>
      <x:c r="X583" s="12" t="n">
        <x:f>IFERROR(F583/Z583*100000,"")</x:f>
        <x:v>24.613220815752463</x:v>
      </x:c>
      <x:c r="Y583" s="13" t="n">
        <x:f>LN(Z583)</x:f>
        <x:v>14.809428775517718</x:v>
      </x:c>
      <x:c r="Z583" s="6" t="str">
        <x:v>2701800</x:v>
      </x:c>
      <x:c r="AA583" s="6" t="str">
        <x:v>186.0</x:v>
      </x:c>
      <x:c r="AB583" s="9" t="str">
        <x:v>2024-06-30</x:v>
      </x:c>
      <x:c r="AC583" s="8" t="str">
        <x:v>87.3</x:v>
      </x:c>
      <x:c r="AD583" s="9" t="str">
        <x:v>2024 (Susenas)</x:v>
      </x:c>
      <x:c r="AE583" s="8" t="str">
        <x:v>7.25</x:v>
      </x:c>
      <x:c r="AF583" s="9" t="str">
        <x:v>Maret 2024 (Susenas)</x:v>
      </x:c>
      <x:c r="AG583" s="6" t="str">
        <x:v>26.10926588888096</x:v>
      </x:c>
      <x:c r="AH583" s="8" t="str">
        <x:v>85.17339410521004</x:v>
      </x:c>
      <x:c r="AI583" s="6" t="str">
        <x:v>255.4236276623137</x:v>
      </x:c>
      <x:c r="AJ583" s="6" t="str">
        <x:v>0.3743727210130636</x:v>
      </x:c>
      <x:c r="AK583" s="8" t="str">
        <x:v>1.124000944139207</x:v>
      </x:c>
      <x:c r="AL583" s="6" t="str">
        <x:v>2.143810884949066</x:v>
      </x:c>
      <x:c r="AM583" s="6" t="str">
        <x:v>1.5250777281070285</x:v>
      </x:c>
      <x:c r="AN583" s="6" t="str">
        <x:v>1.5976298523984338</x:v>
      </x:c>
      <x:c r="AO583" s="6" t="str">
        <x:v>1.0589528633263114</x:v>
      </x:c>
      <x:c r="AP583" s="8" t="str">
        <x:v>0.5483877439157933</x:v>
      </x:c>
      <x:c r="AQ583" s="6" t="str">
        <x:v>-0.2568752859607506</x:v>
      </x:c>
      <x:c r="AR583" s="6" t="str">
        <x:v>-0.2059026044374687</x:v>
      </x:c>
      <x:c r="AS583" s="6" t="str">
        <x:v>0.0285366178391914</x:v>
      </x:c>
      <x:c r="AT583" s="6" t="str">
        <x:v>76.30414334343061</x:v>
      </x:c>
      <x:c r="AU583" s="8" t="str">
        <x:v>1.1171837604612185</x:v>
      </x:c>
      <x:c r="AV583" s="6" t="str">
        <x:v>-0.1523964402267465</x:v>
      </x:c>
      <x:c r="AW583" s="6" t="str">
        <x:v>0.2287935278182037</x:v>
      </x:c>
      <x:c r="AX583" s="6" t="str">
        <x:v>0.3978602826842254</x:v>
      </x:c>
      <x:c r="AY583" s="6" t="str">
        <x:v>1</x:v>
      </x:c>
      <x:c r="AZ583" s="6" t="str">
        <x:v>1</x:v>
      </x:c>
      <x:c r="BA583" s="9" t="str">
        <x:v>grid_cells_within_BIG_polygon</x:v>
      </x:c>
      <x:c r="BB583" s="6" t="str">
        <x:v>5</x:v>
      </x:c>
      <x:c r="BC583" s="6" t="str">
        <x:v>4</x:v>
      </x:c>
      <x:c r="BD583" s="6" t="str">
        <x:v>4</x:v>
      </x:c>
      <x:c r="BE583" s="6" t="str">
        <x:v>4</x:v>
      </x:c>
      <x:c r="BF583" s="6" t="str">
        <x:v>0</x:v>
      </x:c>
      <x:c r="BG583" s="6" t="str">
        <x:v>0</x:v>
      </x:c>
      <x:c r="BH583" s="6" t="str">
        <x:v>0</x:v>
      </x:c>
      <x:c r="BI583" s="6" t="str">
        <x:v>0</x:v>
      </x:c>
      <x:c r="BJ583" s="6" t="str">
        <x:v>0</x:v>
      </x:c>
      <x:c r="BK583" s="6" t="str">
        <x:v>0</x:v>
      </x:c>
      <x:c r="BL583" s="6" t="str">
        <x:v>0</x:v>
      </x:c>
      <x:c r="BM583" s="6" t="str">
        <x:v>0</x:v>
      </x:c>
      <x:c r="BN583" s="6" t="str">
        <x:v>4</x:v>
      </x:c>
      <x:c r="BO583" s="6" t="str">
        <x:v>0.0</x:v>
      </x:c>
      <x:c r="BP583" s="6" t="str">
        <x:v>4</x:v>
      </x:c>
      <x:c r="BQ583" s="6" t="str">
        <x:v>0.0</x:v>
      </x:c>
      <x:c r="BR583" s="6" t="str">
        <x:v>4</x:v>
      </x:c>
      <x:c r="BS583" s="6" t="str">
        <x:v>0.0</x:v>
      </x:c>
      <x:c r="BT583" s="6" t="str">
        <x:v>4</x:v>
      </x:c>
      <x:c r="BU583" s="6" t="str">
        <x:v>2997.0</x:v>
      </x:c>
      <x:c r="BV583" s="6" t="str">
        <x:v>4</x:v>
      </x:c>
      <x:c r="BW583" s="9" t="str">
        <x:v>operational_snapshot_annual_totals_may_differ</x:v>
      </x:c>
      <x:c r="BX583" s="9" t="str">
        <x:v>official_live_dashboard_snapshot_subject_to_revision</x:v>
      </x:c>
      <x:c r="BY583" s="9" t="str">
        <x:v>https://tbdashboard.sitb.id/ss_data_tbc03so_2024_provinsi_bulanan_list.php</x:v>
      </x:c>
      <x:c r="BZ583" s="6" t="n">
        <x:v>46246.610671296294</x:v>
      </x:c>
    </x:row>
    <x:row r="584" ht="18" customHeight="1">
      <x:c r="A584" s="6" t="str">
        <x:v>71</x:v>
      </x:c>
      <x:c r="B584" s="6" t="str">
        <x:v>SULAWESI UTARA</x:v>
      </x:c>
      <x:c r="C584" s="6" t="str">
        <x:v>2024</x:v>
      </x:c>
      <x:c r="D584" s="6" t="str">
        <x:v>7</x:v>
      </x:c>
      <x:c r="E584" s="6" t="str">
        <x:v>2024-07</x:v>
      </x:c>
      <x:c r="F584" s="6" t="str">
        <x:v>737</x:v>
      </x:c>
      <x:c r="G584" s="6" t="str">
        <x:v>192</x:v>
      </x:c>
      <x:c r="H584" s="6" t="str">
        <x:v>402</x:v>
      </x:c>
      <x:c r="I584" s="6" t="str">
        <x:v>81</x:v>
      </x:c>
      <x:c r="J584" s="6" t="str">
        <x:v>51</x:v>
      </x:c>
      <x:c r="K584" s="6" t="str">
        <x:v>1</x:v>
      </x:c>
      <x:c r="L584" s="6" t="str">
        <x:v>1</x:v>
      </x:c>
      <x:c r="M584" s="6" t="str">
        <x:v>9</x:v>
      </x:c>
      <x:c r="N584" s="6" t="str">
        <x:v>737</x:v>
      </x:c>
      <x:c r="O584" s="6" t="str">
        <x:v>0</x:v>
      </x:c>
      <x:c r="P584" s="10" t="n">
        <x:f>F584-M584</x:f>
        <x:v>728</x:v>
      </x:c>
      <x:c r="Q584" s="11" t="n">
        <x:f>IFERROR(M584/F584,"")</x:f>
        <x:v>0.012211668928086838</x:v>
      </x:c>
      <x:c r="R584" s="10" t="n">
        <x:f>G584+H584</x:f>
        <x:v>594</x:v>
      </x:c>
      <x:c r="S584" s="11" t="n">
        <x:f>IFERROR(R584/F584,"")</x:f>
        <x:v>0.8059701492537313</x:v>
      </x:c>
      <x:c r="T584" s="11" t="n">
        <x:f>IFERROR(R584/P584,"")</x:f>
        <x:v>0.8159340659340659</x:v>
      </x:c>
      <x:c r="U584" s="10" t="n">
        <x:f>I584+J584+K584</x:f>
        <x:v>133</x:v>
      </x:c>
      <x:c r="V584" s="11" t="n">
        <x:f>IFERROR(U584/P584,"")</x:f>
        <x:v>0.18269230769230768</x:v>
      </x:c>
      <x:c r="W584" s="9" t="str">
        <x:v>mature_le_5pct_pending</x:v>
      </x:c>
      <x:c r="X584" s="12" t="n">
        <x:f>IFERROR(F584/Z584*100000,"")</x:f>
        <x:v>27.278110889036938</x:v>
      </x:c>
      <x:c r="Y584" s="13" t="n">
        <x:f>LN(Z584)</x:f>
        <x:v>14.809428775517718</x:v>
      </x:c>
      <x:c r="Z584" s="6" t="str">
        <x:v>2701800</x:v>
      </x:c>
      <x:c r="AA584" s="6" t="str">
        <x:v>186.0</x:v>
      </x:c>
      <x:c r="AB584" s="9" t="str">
        <x:v>2024-06-30</x:v>
      </x:c>
      <x:c r="AC584" s="8" t="str">
        <x:v>87.3</x:v>
      </x:c>
      <x:c r="AD584" s="9" t="str">
        <x:v>2024 (Susenas)</x:v>
      </x:c>
      <x:c r="AE584" s="8" t="str">
        <x:v>7.25</x:v>
      </x:c>
      <x:c r="AF584" s="9" t="str">
        <x:v>Maret 2024 (Susenas)</x:v>
      </x:c>
      <x:c r="AG584" s="6" t="str">
        <x:v>25.79523598484823</x:v>
      </x:c>
      <x:c r="AH584" s="8" t="str">
        <x:v>85.57298959027405</x:v>
      </x:c>
      <x:c r="AI584" s="6" t="str">
        <x:v>233.39117007084133</x:v>
      </x:c>
      <x:c r="AJ584" s="6" t="str">
        <x:v>0.5568159787342033</x:v>
      </x:c>
      <x:c r="AK584" s="8" t="str">
        <x:v>1.6649847267396565</x:v>
      </x:c>
      <x:c r="AL584" s="6" t="str">
        <x:v>1.124000944139207</x:v>
      </x:c>
      <x:c r="AM584" s="6" t="str">
        <x:v>2.143810884949066</x:v>
      </x:c>
      <x:c r="AN584" s="6" t="str">
        <x:v>1.6442655186093098</x:v>
      </x:c>
      <x:c r="AO584" s="6" t="str">
        <x:v>0.94822427114012</x:v>
      </x:c>
      <x:c r="AP584" s="8" t="str">
        <x:v>0.6371356100157072</x:v>
      </x:c>
      <x:c r="AQ584" s="6" t="str">
        <x:v>0.5483877439157933</x:v>
      </x:c>
      <x:c r="AR584" s="6" t="str">
        <x:v>-0.2568752859607506</x:v>
      </x:c>
      <x:c r="AS584" s="6" t="str">
        <x:v>0.3095493559902501</x:v>
      </x:c>
      <x:c r="AT584" s="6" t="str">
        <x:v>94.32335066787316</x:v>
      </x:c>
      <x:c r="AU584" s="8" t="str">
        <x:v>1.2790045501779943</x:v>
      </x:c>
      <x:c r="AV584" s="6" t="str">
        <x:v>1.1171837604612185</x:v>
      </x:c>
      <x:c r="AW584" s="6" t="str">
        <x:v>-0.1523964402267465</x:v>
      </x:c>
      <x:c r="AX584" s="6" t="str">
        <x:v>0.7479306234708223</x:v>
      </x:c>
      <x:c r="AY584" s="6" t="str">
        <x:v>1</x:v>
      </x:c>
      <x:c r="AZ584" s="6" t="str">
        <x:v>1</x:v>
      </x:c>
      <x:c r="BA584" s="9" t="str">
        <x:v>grid_cells_within_BIG_polygon</x:v>
      </x:c>
      <x:c r="BB584" s="6" t="str">
        <x:v>5</x:v>
      </x:c>
      <x:c r="BC584" s="6" t="str">
        <x:v>1</x:v>
      </x:c>
      <x:c r="BD584" s="6" t="str">
        <x:v>1</x:v>
      </x:c>
      <x:c r="BE584" s="6" t="str">
        <x:v>1</x:v>
      </x:c>
      <x:c r="BF584" s="6" t="str">
        <x:v>0</x:v>
      </x:c>
      <x:c r="BG584" s="6" t="str">
        <x:v>0</x:v>
      </x:c>
      <x:c r="BH584" s="6" t="str">
        <x:v>0</x:v>
      </x:c>
      <x:c r="BI584" s="6" t="str">
        <x:v>0</x:v>
      </x:c>
      <x:c r="BJ584" s="6" t="str">
        <x:v>0</x:v>
      </x:c>
      <x:c r="BK584" s="6" t="str">
        <x:v>0</x:v>
      </x:c>
      <x:c r="BL584" s="6" t="str">
        <x:v>0</x:v>
      </x:c>
      <x:c r="BM584" s="6" t="str">
        <x:v>0</x:v>
      </x:c>
      <x:c r="BN584" s="6" t="str">
        <x:v>1</x:v>
      </x:c>
      <x:c r="BO584" s="6" t="str">
        <x:v>0.0</x:v>
      </x:c>
      <x:c r="BP584" s="6" t="str">
        <x:v>1</x:v>
      </x:c>
      <x:c r="BQ584" s="6" t="str">
        <x:v>0.0</x:v>
      </x:c>
      <x:c r="BR584" s="6" t="str">
        <x:v>1</x:v>
      </x:c>
      <x:c r="BS584" s="6" t="str">
        <x:v>1.0</x:v>
      </x:c>
      <x:c r="BT584" s="6" t="str">
        <x:v>1</x:v>
      </x:c>
      <x:c r="BU584" s="6" t="str">
        <x:v>1026.0</x:v>
      </x:c>
      <x:c r="BV584" s="6" t="str">
        <x:v>1</x:v>
      </x:c>
      <x:c r="BW584" s="9" t="str">
        <x:v>operational_snapshot_annual_totals_may_differ</x:v>
      </x:c>
      <x:c r="BX584" s="9" t="str">
        <x:v>official_live_dashboard_snapshot_subject_to_revision</x:v>
      </x:c>
      <x:c r="BY584" s="9" t="str">
        <x:v>https://tbdashboard.sitb.id/ss_data_tbc03so_2024_provinsi_bulanan_list.php</x:v>
      </x:c>
      <x:c r="BZ584" s="6" t="n">
        <x:v>46246.610671296294</x:v>
      </x:c>
    </x:row>
    <x:row r="585" ht="18" customHeight="1">
      <x:c r="A585" s="6" t="str">
        <x:v>71</x:v>
      </x:c>
      <x:c r="B585" s="6" t="str">
        <x:v>SULAWESI UTARA</x:v>
      </x:c>
      <x:c r="C585" s="6" t="str">
        <x:v>2024</x:v>
      </x:c>
      <x:c r="D585" s="6" t="str">
        <x:v>8</x:v>
      </x:c>
      <x:c r="E585" s="6" t="str">
        <x:v>2024-08</x:v>
      </x:c>
      <x:c r="F585" s="6" t="str">
        <x:v>742</x:v>
      </x:c>
      <x:c r="G585" s="6" t="str">
        <x:v>186</x:v>
      </x:c>
      <x:c r="H585" s="6" t="str">
        <x:v>435</x:v>
      </x:c>
      <x:c r="I585" s="6" t="str">
        <x:v>61</x:v>
      </x:c>
      <x:c r="J585" s="6" t="str">
        <x:v>47</x:v>
      </x:c>
      <x:c r="K585" s="6" t="str">
        <x:v>1</x:v>
      </x:c>
      <x:c r="L585" s="6" t="str">
        <x:v>4</x:v>
      </x:c>
      <x:c r="M585" s="6" t="str">
        <x:v>8</x:v>
      </x:c>
      <x:c r="N585" s="6" t="str">
        <x:v>742</x:v>
      </x:c>
      <x:c r="O585" s="6" t="str">
        <x:v>0</x:v>
      </x:c>
      <x:c r="P585" s="10" t="n">
        <x:f>F585-M585</x:f>
        <x:v>734</x:v>
      </x:c>
      <x:c r="Q585" s="11" t="n">
        <x:f>IFERROR(M585/F585,"")</x:f>
        <x:v>0.01078167115902965</x:v>
      </x:c>
      <x:c r="R585" s="10" t="n">
        <x:f>G585+H585</x:f>
        <x:v>621</x:v>
      </x:c>
      <x:c r="S585" s="11" t="n">
        <x:f>IFERROR(R585/F585,"")</x:f>
        <x:v>0.8369272237196765</x:v>
      </x:c>
      <x:c r="T585" s="11" t="n">
        <x:f>IFERROR(R585/P585,"")</x:f>
        <x:v>0.8460490463215259</x:v>
      </x:c>
      <x:c r="U585" s="10" t="n">
        <x:f>I585+J585+K585</x:f>
        <x:v>109</x:v>
      </x:c>
      <x:c r="V585" s="11" t="n">
        <x:f>IFERROR(U585/P585,"")</x:f>
        <x:v>0.14850136239782016</x:v>
      </x:c>
      <x:c r="W585" s="9" t="str">
        <x:v>mature_le_5pct_pending</x:v>
      </x:c>
      <x:c r="X585" s="12" t="n">
        <x:f>IFERROR(F585/Z585*100000,"")</x:f>
        <x:v>27.463172699681692</x:v>
      </x:c>
      <x:c r="Y585" s="13" t="n">
        <x:f>LN(Z585)</x:f>
        <x:v>14.809428775517718</x:v>
      </x:c>
      <x:c r="Z585" s="6" t="str">
        <x:v>2701800</x:v>
      </x:c>
      <x:c r="AA585" s="6" t="str">
        <x:v>186.0</x:v>
      </x:c>
      <x:c r="AB585" s="9" t="str">
        <x:v>2024-06-30</x:v>
      </x:c>
      <x:c r="AC585" s="8" t="str">
        <x:v>87.3</x:v>
      </x:c>
      <x:c r="AD585" s="9" t="str">
        <x:v>2024 (Susenas)</x:v>
      </x:c>
      <x:c r="AE585" s="8" t="str">
        <x:v>7.25</x:v>
      </x:c>
      <x:c r="AF585" s="9" t="str">
        <x:v>Maret 2024 (Susenas)</x:v>
      </x:c>
      <x:c r="AG585" s="6" t="str">
        <x:v>25.745184189938342</x:v>
      </x:c>
      <x:c r="AH585" s="8" t="str">
        <x:v>85.68118772822544</x:v>
      </x:c>
      <x:c r="AI585" s="6" t="str">
        <x:v>147.68809869972978</x:v>
      </x:c>
      <x:c r="AJ585" s="6" t="str">
        <x:v>0.4561565953802891</x:v>
      </x:c>
      <x:c r="AK585" s="8" t="str">
        <x:v>1.336079598291155</x:v>
      </x:c>
      <x:c r="AL585" s="6" t="str">
        <x:v>1.6649847267396565</x:v>
      </x:c>
      <x:c r="AM585" s="6" t="str">
        <x:v>1.124000944139207</x:v>
      </x:c>
      <x:c r="AN585" s="6" t="str">
        <x:v>1.375021756390006</x:v>
      </x:c>
      <x:c r="AO585" s="6" t="str">
        <x:v>2.7558963984195515</x:v>
      </x:c>
      <x:c r="AP585" s="8" t="str">
        <x:v>0.8603663849841138</x:v>
      </x:c>
      <x:c r="AQ585" s="6" t="str">
        <x:v>0.6371356100157072</x:v>
      </x:c>
      <x:c r="AR585" s="6" t="str">
        <x:v>0.5483877439157933</x:v>
      </x:c>
      <x:c r="AS585" s="6" t="str">
        <x:v>0.6819632463052049</x:v>
      </x:c>
      <x:c r="AT585" s="6" t="str">
        <x:v>62.84103452055233</x:v>
      </x:c>
      <x:c r="AU585" s="8" t="str">
        <x:v>1.0407257888690131</x:v>
      </x:c>
      <x:c r="AV585" s="6" t="str">
        <x:v>1.2790045501779943</x:v>
      </x:c>
      <x:c r="AW585" s="6" t="str">
        <x:v>1.1171837604612185</x:v>
      </x:c>
      <x:c r="AX585" s="6" t="str">
        <x:v>1.145638033169409</x:v>
      </x:c>
      <x:c r="AY585" s="6" t="str">
        <x:v>1</x:v>
      </x:c>
      <x:c r="AZ585" s="6" t="str">
        <x:v>1</x:v>
      </x:c>
      <x:c r="BA585" s="9" t="str">
        <x:v>grid_cells_within_BIG_polygon</x:v>
      </x:c>
      <x:c r="BB585" s="6" t="str">
        <x:v>5</x:v>
      </x:c>
      <x:c r="BC585" s="6" t="str">
        <x:v>1</x:v>
      </x:c>
      <x:c r="BD585" s="6" t="str">
        <x:v>1</x:v>
      </x:c>
      <x:c r="BE585" s="6" t="str">
        <x:v>1</x:v>
      </x:c>
      <x:c r="BF585" s="6" t="str">
        <x:v>0</x:v>
      </x:c>
      <x:c r="BG585" s="6" t="str">
        <x:v>0</x:v>
      </x:c>
      <x:c r="BH585" s="6" t="str">
        <x:v>0</x:v>
      </x:c>
      <x:c r="BI585" s="6" t="str">
        <x:v>0</x:v>
      </x:c>
      <x:c r="BJ585" s="6" t="str">
        <x:v>0</x:v>
      </x:c>
      <x:c r="BK585" s="6" t="str">
        <x:v>0</x:v>
      </x:c>
      <x:c r="BL585" s="6" t="str">
        <x:v>0</x:v>
      </x:c>
      <x:c r="BM585" s="6" t="str">
        <x:v>0</x:v>
      </x:c>
      <x:c r="BN585" s="6" t="str">
        <x:v>1</x:v>
      </x:c>
      <x:c r="BO585" s="6" t="str">
        <x:v>0.0</x:v>
      </x:c>
      <x:c r="BP585" s="6" t="str">
        <x:v>1</x:v>
      </x:c>
      <x:c r="BQ585" s="6" t="str">
        <x:v>0.0</x:v>
      </x:c>
      <x:c r="BR585" s="6" t="str">
        <x:v>1</x:v>
      </x:c>
      <x:c r="BS585" s="6" t="str">
        <x:v>1.0</x:v>
      </x:c>
      <x:c r="BT585" s="6" t="str">
        <x:v>1</x:v>
      </x:c>
      <x:c r="BU585" s="6" t="str">
        <x:v>1248.0</x:v>
      </x:c>
      <x:c r="BV585" s="6" t="str">
        <x:v>1</x:v>
      </x:c>
      <x:c r="BW585" s="9" t="str">
        <x:v>operational_snapshot_annual_totals_may_differ</x:v>
      </x:c>
      <x:c r="BX585" s="9" t="str">
        <x:v>official_live_dashboard_snapshot_subject_to_revision</x:v>
      </x:c>
      <x:c r="BY585" s="9" t="str">
        <x:v>https://tbdashboard.sitb.id/ss_data_tbc03so_2024_provinsi_bulanan_list.php</x:v>
      </x:c>
      <x:c r="BZ585" s="6" t="n">
        <x:v>46246.610671296294</x:v>
      </x:c>
    </x:row>
    <x:row r="586" ht="18" customHeight="1">
      <x:c r="A586" s="6" t="str">
        <x:v>71</x:v>
      </x:c>
      <x:c r="B586" s="6" t="str">
        <x:v>SULAWESI UTARA</x:v>
      </x:c>
      <x:c r="C586" s="6" t="str">
        <x:v>2024</x:v>
      </x:c>
      <x:c r="D586" s="6" t="str">
        <x:v>9</x:v>
      </x:c>
      <x:c r="E586" s="6" t="str">
        <x:v>2024-09</x:v>
      </x:c>
      <x:c r="F586" s="6" t="str">
        <x:v>673</x:v>
      </x:c>
      <x:c r="G586" s="6" t="str">
        <x:v>174</x:v>
      </x:c>
      <x:c r="H586" s="6" t="str">
        <x:v>371</x:v>
      </x:c>
      <x:c r="I586" s="6" t="str">
        <x:v>72</x:v>
      </x:c>
      <x:c r="J586" s="6" t="str">
        <x:v>39</x:v>
      </x:c>
      <x:c r="K586" s="6" t="str">
        <x:v>1</x:v>
      </x:c>
      <x:c r="L586" s="6" t="str">
        <x:v>5</x:v>
      </x:c>
      <x:c r="M586" s="6" t="str">
        <x:v>11</x:v>
      </x:c>
      <x:c r="N586" s="6" t="str">
        <x:v>673</x:v>
      </x:c>
      <x:c r="O586" s="6" t="str">
        <x:v>0</x:v>
      </x:c>
      <x:c r="P586" s="10" t="n">
        <x:f>F586-M586</x:f>
        <x:v>662</x:v>
      </x:c>
      <x:c r="Q586" s="11" t="n">
        <x:f>IFERROR(M586/F586,"")</x:f>
        <x:v>0.01634472511144131</x:v>
      </x:c>
      <x:c r="R586" s="10" t="n">
        <x:f>G586+H586</x:f>
        <x:v>545</x:v>
      </x:c>
      <x:c r="S586" s="11" t="n">
        <x:f>IFERROR(R586/F586,"")</x:f>
        <x:v>0.8098068350668648</x:v>
      </x:c>
      <x:c r="T586" s="11" t="n">
        <x:f>IFERROR(R586/P586,"")</x:f>
        <x:v>0.823262839879154</x:v>
      </x:c>
      <x:c r="U586" s="10" t="n">
        <x:f>I586+J586+K586</x:f>
        <x:v>112</x:v>
      </x:c>
      <x:c r="V586" s="11" t="n">
        <x:f>IFERROR(U586/P586,"")</x:f>
        <x:v>0.1691842900302115</x:v>
      </x:c>
      <x:c r="W586" s="9" t="str">
        <x:v>mature_le_5pct_pending</x:v>
      </x:c>
      <x:c r="X586" s="12" t="n">
        <x:f>IFERROR(F586/Z586*100000,"")</x:f>
        <x:v>24.90931971278407</x:v>
      </x:c>
      <x:c r="Y586" s="13" t="n">
        <x:f>LN(Z586)</x:f>
        <x:v>14.809428775517718</x:v>
      </x:c>
      <x:c r="Z586" s="6" t="str">
        <x:v>2701800</x:v>
      </x:c>
      <x:c r="AA586" s="6" t="str">
        <x:v>186.0</x:v>
      </x:c>
      <x:c r="AB586" s="9" t="str">
        <x:v>2024-06-30</x:v>
      </x:c>
      <x:c r="AC586" s="8" t="str">
        <x:v>87.3</x:v>
      </x:c>
      <x:c r="AD586" s="9" t="str">
        <x:v>2024 (Susenas)</x:v>
      </x:c>
      <x:c r="AE586" s="8" t="str">
        <x:v>7.25</x:v>
      </x:c>
      <x:c r="AF586" s="9" t="str">
        <x:v>Maret 2024 (Susenas)</x:v>
      </x:c>
      <x:c r="AG586" s="6" t="str">
        <x:v>26.48528061790884</x:v>
      </x:c>
      <x:c r="AH586" s="8" t="str">
        <x:v>81.30234690539231</x:v>
      </x:c>
      <x:c r="AI586" s="6" t="str">
        <x:v>70.67175698205828</x:v>
      </x:c>
      <x:c r="AJ586" s="6" t="str">
        <x:v>0.6992150243025996</x:v>
      </x:c>
      <x:c r="AK586" s="8" t="str">
        <x:v>1.808444040821595</x:v>
      </x:c>
      <x:c r="AL586" s="6" t="str">
        <x:v>1.336079598291155</x:v>
      </x:c>
      <x:c r="AM586" s="6" t="str">
        <x:v>1.6649847267396565</x:v>
      </x:c>
      <x:c r="AN586" s="6" t="str">
        <x:v>1.6031694552841351</x:v>
      </x:c>
      <x:c r="AO586" s="6" t="str">
        <x:v>1.4682375772274412</x:v>
      </x:c>
      <x:c r="AP586" s="8" t="str">
        <x:v>0.3409952967843071</x:v>
      </x:c>
      <x:c r="AQ586" s="6" t="str">
        <x:v>0.8603663849841138</x:v>
      </x:c>
      <x:c r="AR586" s="6" t="str">
        <x:v>0.6371356100157072</x:v>
      </x:c>
      <x:c r="AS586" s="6" t="str">
        <x:v>0.6128324305947095</x:v>
      </x:c>
      <x:c r="AT586" s="6" t="str">
        <x:v>-4.054679850242906</x:v>
      </x:c>
      <x:c r="AU586" s="8" t="str">
        <x:v>-0.0730460810829985</x:v>
      </x:c>
      <x:c r="AV586" s="6" t="str">
        <x:v>1.0407257888690131</x:v>
      </x:c>
      <x:c r="AW586" s="6" t="str">
        <x:v>1.2790045501779943</x:v>
      </x:c>
      <x:c r="AX586" s="6" t="str">
        <x:v>0.7488947526546698</x:v>
      </x:c>
      <x:c r="AY586" s="6" t="str">
        <x:v>0</x:v>
      </x:c>
      <x:c r="AZ586" s="6" t="str">
        <x:v>1</x:v>
      </x:c>
      <x:c r="BA586" s="9" t="str">
        <x:v>grid_cells_within_BIG_polygon</x:v>
      </x:c>
      <x:c r="BB586" s="6" t="str">
        <x:v>5</x:v>
      </x:c>
      <x:c r="BC586" s="6" t="str">
        <x:v>0</x:v>
      </x:c>
      <x:c r="BD586" s="6" t="str">
        <x:v>0</x:v>
      </x:c>
      <x:c r="BE586" s="6" t="str">
        <x:v>0</x:v>
      </x:c>
      <x:c r="BF586" s="6" t="str">
        <x:v>0</x:v>
      </x:c>
      <x:c r="BG586" s="6" t="str">
        <x:v>0</x:v>
      </x:c>
      <x:c r="BH586" s="6" t="str">
        <x:v>0</x:v>
      </x:c>
      <x:c r="BI586" s="6" t="str">
        <x:v>0</x:v>
      </x:c>
      <x:c r="BJ586" s="6" t="str">
        <x:v>0</x:v>
      </x:c>
      <x:c r="BK586" s="6" t="str">
        <x:v>0</x:v>
      </x:c>
      <x:c r="BL586" s="6" t="str">
        <x:v>0</x:v>
      </x:c>
      <x:c r="BM586" s="6" t="str">
        <x:v>0</x:v>
      </x:c>
      <x:c r="BN586" s="6" t="str">
        <x:v>0</x:v>
      </x:c>
      <x:c r="BO586" s="6" t="str"/>
      <x:c r="BP586" s="6" t="str">
        <x:v>0</x:v>
      </x:c>
      <x:c r="BQ586" s="6" t="str"/>
      <x:c r="BR586" s="6" t="str">
        <x:v>0</x:v>
      </x:c>
      <x:c r="BS586" s="6" t="str"/>
      <x:c r="BT586" s="6" t="str">
        <x:v>0</x:v>
      </x:c>
      <x:c r="BU586" s="6" t="str"/>
      <x:c r="BV586" s="6" t="str">
        <x:v>0</x:v>
      </x:c>
      <x:c r="BW586" s="9" t="str">
        <x:v>operational_snapshot_annual_totals_may_differ</x:v>
      </x:c>
      <x:c r="BX586" s="9" t="str">
        <x:v>official_live_dashboard_snapshot_subject_to_revision</x:v>
      </x:c>
      <x:c r="BY586" s="9" t="str">
        <x:v>https://tbdashboard.sitb.id/ss_data_tbc03so_2024_provinsi_bulanan_list.php</x:v>
      </x:c>
      <x:c r="BZ586" s="6" t="n">
        <x:v>46246.610671296294</x:v>
      </x:c>
    </x:row>
    <x:row r="587" ht="18" customHeight="1">
      <x:c r="A587" s="6" t="str">
        <x:v>71</x:v>
      </x:c>
      <x:c r="B587" s="6" t="str">
        <x:v>SULAWESI UTARA</x:v>
      </x:c>
      <x:c r="C587" s="6" t="str">
        <x:v>2024</x:v>
      </x:c>
      <x:c r="D587" s="6" t="str">
        <x:v>10</x:v>
      </x:c>
      <x:c r="E587" s="6" t="str">
        <x:v>2024-10</x:v>
      </x:c>
      <x:c r="F587" s="6" t="str">
        <x:v>734</x:v>
      </x:c>
      <x:c r="G587" s="6" t="str">
        <x:v>204</x:v>
      </x:c>
      <x:c r="H587" s="6" t="str">
        <x:v>392</x:v>
      </x:c>
      <x:c r="I587" s="6" t="str">
        <x:v>82</x:v>
      </x:c>
      <x:c r="J587" s="6" t="str">
        <x:v>38</x:v>
      </x:c>
      <x:c r="K587" s="6" t="str">
        <x:v>1</x:v>
      </x:c>
      <x:c r="L587" s="6" t="str">
        <x:v>1</x:v>
      </x:c>
      <x:c r="M587" s="6" t="str">
        <x:v>16</x:v>
      </x:c>
      <x:c r="N587" s="6" t="str">
        <x:v>734</x:v>
      </x:c>
      <x:c r="O587" s="6" t="str">
        <x:v>0</x:v>
      </x:c>
      <x:c r="P587" s="10" t="n">
        <x:f>F587-M587</x:f>
        <x:v>718</x:v>
      </x:c>
      <x:c r="Q587" s="11" t="n">
        <x:f>IFERROR(M587/F587,"")</x:f>
        <x:v>0.021798365122615803</x:v>
      </x:c>
      <x:c r="R587" s="10" t="n">
        <x:f>G587+H587</x:f>
        <x:v>596</x:v>
      </x:c>
      <x:c r="S587" s="11" t="n">
        <x:f>IFERROR(R587/F587,"")</x:f>
        <x:v>0.8119891008174387</x:v>
      </x:c>
      <x:c r="T587" s="11" t="n">
        <x:f>IFERROR(R587/P587,"")</x:f>
        <x:v>0.83008356545961</x:v>
      </x:c>
      <x:c r="U587" s="10" t="n">
        <x:f>I587+J587+K587</x:f>
        <x:v>121</x:v>
      </x:c>
      <x:c r="V587" s="11" t="n">
        <x:f>IFERROR(U587/P587,"")</x:f>
        <x:v>0.16852367688022285</x:v>
      </x:c>
      <x:c r="W587" s="9" t="str">
        <x:v>mature_le_5pct_pending</x:v>
      </x:c>
      <x:c r="X587" s="12" t="n">
        <x:f>IFERROR(F587/Z587*100000,"")</x:f>
        <x:v>27.167073802650087</x:v>
      </x:c>
      <x:c r="Y587" s="13" t="n">
        <x:f>LN(Z587)</x:f>
        <x:v>14.809428775517718</x:v>
      </x:c>
      <x:c r="Z587" s="6" t="str">
        <x:v>2701800</x:v>
      </x:c>
      <x:c r="AA587" s="6" t="str">
        <x:v>186.0</x:v>
      </x:c>
      <x:c r="AB587" s="9" t="str">
        <x:v>2024-06-30</x:v>
      </x:c>
      <x:c r="AC587" s="8" t="str">
        <x:v>87.3</x:v>
      </x:c>
      <x:c r="AD587" s="9" t="str">
        <x:v>2024 (Susenas)</x:v>
      </x:c>
      <x:c r="AE587" s="8" t="str">
        <x:v>7.25</x:v>
      </x:c>
      <x:c r="AF587" s="9" t="str">
        <x:v>Maret 2024 (Susenas)</x:v>
      </x:c>
      <x:c r="AG587" s="6" t="str">
        <x:v>26.935371638563755</x:v>
      </x:c>
      <x:c r="AH587" s="8" t="str">
        <x:v>80.95018436765035</x:v>
      </x:c>
      <x:c r="AI587" s="6" t="str">
        <x:v>111.9205562857794</x:v>
      </x:c>
      <x:c r="AJ587" s="6" t="str">
        <x:v>0.533578276772996</x:v>
      </x:c>
      <x:c r="AK587" s="8" t="str">
        <x:v>1.244083986514095</x:v>
      </x:c>
      <x:c r="AL587" s="6" t="str">
        <x:v>1.808444040821595</x:v>
      </x:c>
      <x:c r="AM587" s="6" t="str">
        <x:v>1.336079598291155</x:v>
      </x:c>
      <x:c r="AN587" s="6" t="str">
        <x:v>1.4628692085422814</x:v>
      </x:c>
      <x:c r="AO587" s="6" t="str">
        <x:v>2.86332934728452</x:v>
      </x:c>
      <x:c r="AP587" s="8" t="str">
        <x:v>0.590220252613844</x:v>
      </x:c>
      <x:c r="AQ587" s="6" t="str">
        <x:v>0.3409952967843071</x:v>
      </x:c>
      <x:c r="AR587" s="6" t="str">
        <x:v>0.8603663849841138</x:v>
      </x:c>
      <x:c r="AS587" s="6" t="str">
        <x:v>0.5971939781274218</x:v>
      </x:c>
      <x:c r="AT587" s="6" t="str">
        <x:v>-11.854865800243516</x:v>
      </x:c>
      <x:c r="AU587" s="8" t="str">
        <x:v>-0.1620711659534801</x:v>
      </x:c>
      <x:c r="AV587" s="6" t="str">
        <x:v>-0.0730460810829985</x:v>
      </x:c>
      <x:c r="AW587" s="6" t="str">
        <x:v>1.0407257888690131</x:v>
      </x:c>
      <x:c r="AX587" s="6" t="str">
        <x:v>0.268536180610845</x:v>
      </x:c>
      <x:c r="AY587" s="6" t="str">
        <x:v>0</x:v>
      </x:c>
      <x:c r="AZ587" s="6" t="str">
        <x:v>1</x:v>
      </x:c>
      <x:c r="BA587" s="9" t="str">
        <x:v>grid_cells_within_BIG_polygon</x:v>
      </x:c>
      <x:c r="BB587" s="6" t="str">
        <x:v>5</x:v>
      </x:c>
      <x:c r="BC587" s="6" t="str">
        <x:v>1</x:v>
      </x:c>
      <x:c r="BD587" s="6" t="str">
        <x:v>1</x:v>
      </x:c>
      <x:c r="BE587" s="6" t="str">
        <x:v>0</x:v>
      </x:c>
      <x:c r="BF587" s="6" t="str">
        <x:v>0</x:v>
      </x:c>
      <x:c r="BG587" s="6" t="str">
        <x:v>1</x:v>
      </x:c>
      <x:c r="BH587" s="6" t="str">
        <x:v>0</x:v>
      </x:c>
      <x:c r="BI587" s="6" t="str">
        <x:v>0</x:v>
      </x:c>
      <x:c r="BJ587" s="6" t="str">
        <x:v>0</x:v>
      </x:c>
      <x:c r="BK587" s="6" t="str">
        <x:v>0</x:v>
      </x:c>
      <x:c r="BL587" s="6" t="str">
        <x:v>0</x:v>
      </x:c>
      <x:c r="BM587" s="6" t="str">
        <x:v>0</x:v>
      </x:c>
      <x:c r="BN587" s="6" t="str">
        <x:v>1</x:v>
      </x:c>
      <x:c r="BO587" s="6" t="str">
        <x:v>0.0</x:v>
      </x:c>
      <x:c r="BP587" s="6" t="str">
        <x:v>1</x:v>
      </x:c>
      <x:c r="BQ587" s="6" t="str">
        <x:v>0.0</x:v>
      </x:c>
      <x:c r="BR587" s="6" t="str">
        <x:v>1</x:v>
      </x:c>
      <x:c r="BS587" s="6" t="str">
        <x:v>0.0</x:v>
      </x:c>
      <x:c r="BT587" s="6" t="str">
        <x:v>1</x:v>
      </x:c>
      <x:c r="BU587" s="6" t="str"/>
      <x:c r="BV587" s="6" t="str">
        <x:v>0</x:v>
      </x:c>
      <x:c r="BW587" s="9" t="str">
        <x:v>operational_snapshot_annual_totals_may_differ</x:v>
      </x:c>
      <x:c r="BX587" s="9" t="str">
        <x:v>official_live_dashboard_snapshot_subject_to_revision</x:v>
      </x:c>
      <x:c r="BY587" s="9" t="str">
        <x:v>https://tbdashboard.sitb.id/ss_data_tbc03so_2024_provinsi_bulanan_list.php</x:v>
      </x:c>
      <x:c r="BZ587" s="6" t="n">
        <x:v>46246.610671296294</x:v>
      </x:c>
    </x:row>
    <x:row r="588" ht="18" customHeight="1">
      <x:c r="A588" s="6" t="str">
        <x:v>71</x:v>
      </x:c>
      <x:c r="B588" s="6" t="str">
        <x:v>SULAWESI UTARA</x:v>
      </x:c>
      <x:c r="C588" s="6" t="str">
        <x:v>2024</x:v>
      </x:c>
      <x:c r="D588" s="6" t="str">
        <x:v>11</x:v>
      </x:c>
      <x:c r="E588" s="6" t="str">
        <x:v>2024-11</x:v>
      </x:c>
      <x:c r="F588" s="6" t="str">
        <x:v>608</x:v>
      </x:c>
      <x:c r="G588" s="6" t="str">
        <x:v>166</x:v>
      </x:c>
      <x:c r="H588" s="6" t="str">
        <x:v>334</x:v>
      </x:c>
      <x:c r="I588" s="6" t="str">
        <x:v>65</x:v>
      </x:c>
      <x:c r="J588" s="6" t="str">
        <x:v>25</x:v>
      </x:c>
      <x:c r="K588" s="6" t="str">
        <x:v>1</x:v>
      </x:c>
      <x:c r="L588" s="6" t="str">
        <x:v>2</x:v>
      </x:c>
      <x:c r="M588" s="6" t="str">
        <x:v>15</x:v>
      </x:c>
      <x:c r="N588" s="6" t="str">
        <x:v>608</x:v>
      </x:c>
      <x:c r="O588" s="6" t="str">
        <x:v>0</x:v>
      </x:c>
      <x:c r="P588" s="10" t="n">
        <x:f>F588-M588</x:f>
        <x:v>593</x:v>
      </x:c>
      <x:c r="Q588" s="11" t="n">
        <x:f>IFERROR(M588/F588,"")</x:f>
        <x:v>0.024671052631578948</x:v>
      </x:c>
      <x:c r="R588" s="10" t="n">
        <x:f>G588+H588</x:f>
        <x:v>500</x:v>
      </x:c>
      <x:c r="S588" s="11" t="n">
        <x:f>IFERROR(R588/F588,"")</x:f>
        <x:v>0.8223684210526315</x:v>
      </x:c>
      <x:c r="T588" s="11" t="n">
        <x:f>IFERROR(R588/P588,"")</x:f>
        <x:v>0.8431703204047217</x:v>
      </x:c>
      <x:c r="U588" s="10" t="n">
        <x:f>I588+J588+K588</x:f>
        <x:v>91</x:v>
      </x:c>
      <x:c r="V588" s="11" t="n">
        <x:f>IFERROR(U588/P588,"")</x:f>
        <x:v>0.15345699831365936</x:v>
      </x:c>
      <x:c r="W588" s="9" t="str">
        <x:v>mature_le_5pct_pending</x:v>
      </x:c>
      <x:c r="X588" s="12" t="n">
        <x:f>IFERROR(F588/Z588*100000,"")</x:f>
        <x:v>22.50351617440225</x:v>
      </x:c>
      <x:c r="Y588" s="13" t="n">
        <x:f>LN(Z588)</x:f>
        <x:v>14.809428775517718</x:v>
      </x:c>
      <x:c r="Z588" s="6" t="str">
        <x:v>2701800</x:v>
      </x:c>
      <x:c r="AA588" s="6" t="str">
        <x:v>186.0</x:v>
      </x:c>
      <x:c r="AB588" s="9" t="str">
        <x:v>2024-06-30</x:v>
      </x:c>
      <x:c r="AC588" s="8" t="str">
        <x:v>87.3</x:v>
      </x:c>
      <x:c r="AD588" s="9" t="str">
        <x:v>2024 (Susenas)</x:v>
      </x:c>
      <x:c r="AE588" s="8" t="str">
        <x:v>7.25</x:v>
      </x:c>
      <x:c r="AF588" s="9" t="str">
        <x:v>Maret 2024 (Susenas)</x:v>
      </x:c>
      <x:c r="AG588" s="6" t="str">
        <x:v>27.077405066592224</x:v>
      </x:c>
      <x:c r="AH588" s="8" t="str">
        <x:v>80.27452682065741</x:v>
      </x:c>
      <x:c r="AI588" s="6" t="str">
        <x:v>134.77084643996668</x:v>
      </x:c>
      <x:c r="AJ588" s="6" t="str">
        <x:v>0.6605828511377858</x:v>
      </x:c>
      <x:c r="AK588" s="8" t="str">
        <x:v>1.4019913123092778</x:v>
      </x:c>
      <x:c r="AL588" s="6" t="str">
        <x:v>1.244083986514095</x:v>
      </x:c>
      <x:c r="AM588" s="6" t="str">
        <x:v>1.808444040821595</x:v>
      </x:c>
      <x:c r="AN588" s="6" t="str">
        <x:v>1.4848397798816555</x:v>
      </x:c>
      <x:c r="AO588" s="6" t="str">
        <x:v>-0.1706660681712435</x:v>
      </x:c>
      <x:c r="AP588" s="8" t="str">
        <x:v>-0.0434839096604892</x:v>
      </x:c>
      <x:c r="AQ588" s="6" t="str">
        <x:v>0.590220252613844</x:v>
      </x:c>
      <x:c r="AR588" s="6" t="str">
        <x:v>0.3409952967843071</x:v>
      </x:c>
      <x:c r="AS588" s="6" t="str">
        <x:v>0.2959105465792208</x:v>
      </x:c>
      <x:c r="AT588" s="6" t="str">
        <x:v>-36.63364983571822</x:v>
      </x:c>
      <x:c r="AU588" s="8" t="str">
        <x:v>-0.5622002786550429</x:v>
      </x:c>
      <x:c r="AV588" s="6" t="str">
        <x:v>-0.1620711659534801</x:v>
      </x:c>
      <x:c r="AW588" s="6" t="str">
        <x:v>-0.0730460810829985</x:v>
      </x:c>
      <x:c r="AX588" s="6" t="str">
        <x:v>-0.2657725085638403</x:v>
      </x:c>
      <x:c r="AY588" s="6" t="str">
        <x:v>0</x:v>
      </x:c>
      <x:c r="AZ588" s="6" t="str">
        <x:v>1</x:v>
      </x:c>
      <x:c r="BA588" s="9" t="str">
        <x:v>grid_cells_within_BIG_polygon</x:v>
      </x:c>
      <x:c r="BB588" s="6" t="str">
        <x:v>5</x:v>
      </x:c>
      <x:c r="BC588" s="6" t="str">
        <x:v>3</x:v>
      </x:c>
      <x:c r="BD588" s="6" t="str">
        <x:v>3</x:v>
      </x:c>
      <x:c r="BE588" s="6" t="str">
        <x:v>0</x:v>
      </x:c>
      <x:c r="BF588" s="6" t="str">
        <x:v>0</x:v>
      </x:c>
      <x:c r="BG588" s="6" t="str">
        <x:v>2</x:v>
      </x:c>
      <x:c r="BH588" s="6" t="str">
        <x:v>0</x:v>
      </x:c>
      <x:c r="BI588" s="6" t="str">
        <x:v>0</x:v>
      </x:c>
      <x:c r="BJ588" s="6" t="str">
        <x:v>1</x:v>
      </x:c>
      <x:c r="BK588" s="6" t="str">
        <x:v>0</x:v>
      </x:c>
      <x:c r="BL588" s="6" t="str">
        <x:v>0</x:v>
      </x:c>
      <x:c r="BM588" s="6" t="str">
        <x:v>0</x:v>
      </x:c>
      <x:c r="BN588" s="6" t="str">
        <x:v>3</x:v>
      </x:c>
      <x:c r="BO588" s="6" t="str">
        <x:v>0.0</x:v>
      </x:c>
      <x:c r="BP588" s="6" t="str">
        <x:v>3</x:v>
      </x:c>
      <x:c r="BQ588" s="6" t="str">
        <x:v>0.0</x:v>
      </x:c>
      <x:c r="BR588" s="6" t="str">
        <x:v>3</x:v>
      </x:c>
      <x:c r="BS588" s="6" t="str">
        <x:v>42.0</x:v>
      </x:c>
      <x:c r="BT588" s="6" t="str">
        <x:v>3</x:v>
      </x:c>
      <x:c r="BU588" s="6" t="str"/>
      <x:c r="BV588" s="6" t="str">
        <x:v>0</x:v>
      </x:c>
      <x:c r="BW588" s="9" t="str">
        <x:v>operational_snapshot_annual_totals_may_differ</x:v>
      </x:c>
      <x:c r="BX588" s="9" t="str">
        <x:v>official_live_dashboard_snapshot_subject_to_revision</x:v>
      </x:c>
      <x:c r="BY588" s="9" t="str">
        <x:v>https://tbdashboard.sitb.id/ss_data_tbc03so_2024_provinsi_bulanan_list.php</x:v>
      </x:c>
      <x:c r="BZ588" s="6" t="n">
        <x:v>46246.610671296294</x:v>
      </x:c>
    </x:row>
    <x:row r="589" ht="18" customHeight="1">
      <x:c r="A589" s="6" t="str">
        <x:v>71</x:v>
      </x:c>
      <x:c r="B589" s="6" t="str">
        <x:v>SULAWESI UTARA</x:v>
      </x:c>
      <x:c r="C589" s="6" t="str">
        <x:v>2024</x:v>
      </x:c>
      <x:c r="D589" s="6" t="str">
        <x:v>12</x:v>
      </x:c>
      <x:c r="E589" s="6" t="str">
        <x:v>2024-12</x:v>
      </x:c>
      <x:c r="F589" s="6" t="str">
        <x:v>613</x:v>
      </x:c>
      <x:c r="G589" s="6" t="str">
        <x:v>166</x:v>
      </x:c>
      <x:c r="H589" s="6" t="str">
        <x:v>342</x:v>
      </x:c>
      <x:c r="I589" s="6" t="str">
        <x:v>50</x:v>
      </x:c>
      <x:c r="J589" s="6" t="str">
        <x:v>30</x:v>
      </x:c>
      <x:c r="K589" s="6" t="str">
        <x:v>3</x:v>
      </x:c>
      <x:c r="L589" s="6" t="str">
        <x:v>1</x:v>
      </x:c>
      <x:c r="M589" s="6" t="str">
        <x:v>21</x:v>
      </x:c>
      <x:c r="N589" s="6" t="str">
        <x:v>613</x:v>
      </x:c>
      <x:c r="O589" s="6" t="str">
        <x:v>0</x:v>
      </x:c>
      <x:c r="P589" s="10" t="n">
        <x:f>F589-M589</x:f>
        <x:v>592</x:v>
      </x:c>
      <x:c r="Q589" s="11" t="n">
        <x:f>IFERROR(M589/F589,"")</x:f>
        <x:v>0.03425774877650897</x:v>
      </x:c>
      <x:c r="R589" s="10" t="n">
        <x:f>G589+H589</x:f>
        <x:v>508</x:v>
      </x:c>
      <x:c r="S589" s="11" t="n">
        <x:f>IFERROR(R589/F589,"")</x:f>
        <x:v>0.8287112561174551</x:v>
      </x:c>
      <x:c r="T589" s="11" t="n">
        <x:f>IFERROR(R589/P589,"")</x:f>
        <x:v>0.8581081081081081</x:v>
      </x:c>
      <x:c r="U589" s="10" t="n">
        <x:f>I589+J589+K589</x:f>
        <x:v>83</x:v>
      </x:c>
      <x:c r="V589" s="11" t="n">
        <x:f>IFERROR(U589/P589,"")</x:f>
        <x:v>0.14020270270270271</x:v>
      </x:c>
      <x:c r="W589" s="9" t="str">
        <x:v>mature_le_5pct_pending</x:v>
      </x:c>
      <x:c r="X589" s="12" t="n">
        <x:f>IFERROR(F589/Z589*100000,"")</x:f>
        <x:v>22.688577985047004</x:v>
      </x:c>
      <x:c r="Y589" s="13" t="n">
        <x:f>LN(Z589)</x:f>
        <x:v>14.809428775517718</x:v>
      </x:c>
      <x:c r="Z589" s="6" t="str">
        <x:v>2701800</x:v>
      </x:c>
      <x:c r="AA589" s="6" t="str">
        <x:v>186.0</x:v>
      </x:c>
      <x:c r="AB589" s="9" t="str">
        <x:v>2024-06-30</x:v>
      </x:c>
      <x:c r="AC589" s="8" t="str">
        <x:v>87.3</x:v>
      </x:c>
      <x:c r="AD589" s="9" t="str">
        <x:v>2024 (Susenas)</x:v>
      </x:c>
      <x:c r="AE589" s="8" t="str">
        <x:v>7.25</x:v>
      </x:c>
      <x:c r="AF589" s="9" t="str">
        <x:v>Maret 2024 (Susenas)</x:v>
      </x:c>
      <x:c r="AG589" s="6" t="str">
        <x:v>26.497439726504943</x:v>
      </x:c>
      <x:c r="AH589" s="8" t="str">
        <x:v>84.10823846661809</x:v>
      </x:c>
      <x:c r="AI589" s="6" t="str">
        <x:v>212.03962628163984</x:v>
      </x:c>
      <x:c r="AJ589" s="6" t="str">
        <x:v>0.4318769928757113</x:v>
      </x:c>
      <x:c r="AK589" s="8" t="str">
        <x:v>1.0255299266102176</x:v>
      </x:c>
      <x:c r="AL589" s="6" t="str">
        <x:v>1.4019913123092778</x:v>
      </x:c>
      <x:c r="AM589" s="6" t="str">
        <x:v>1.244083986514095</x:v>
      </x:c>
      <x:c r="AN589" s="6" t="str">
        <x:v>1.2238684084778633</x:v>
      </x:c>
      <x:c r="AO589" s="6" t="str">
        <x:v>1.1229988443486008</x:v>
      </x:c>
      <x:c r="AP589" s="8" t="str">
        <x:v>0.4602313947417569</x:v>
      </x:c>
      <x:c r="AQ589" s="6" t="str">
        <x:v>-0.0434839096604892</x:v>
      </x:c>
      <x:c r="AR589" s="6" t="str">
        <x:v>0.590220252613844</x:v>
      </x:c>
      <x:c r="AS589" s="6" t="str">
        <x:v>0.3356559125650374</x:v>
      </x:c>
      <x:c r="AT589" s="6" t="str">
        <x:v>23.816515792725937</x:v>
      </x:c>
      <x:c r="AU589" s="8" t="str">
        <x:v>0.345147888910325</x:v>
      </x:c>
      <x:c r="AV589" s="6" t="str">
        <x:v>-0.5622002786550429</x:v>
      </x:c>
      <x:c r="AW589" s="6" t="str">
        <x:v>-0.1620711659534801</x:v>
      </x:c>
      <x:c r="AX589" s="6" t="str">
        <x:v>-0.1263745185660658</x:v>
      </x:c>
      <x:c r="AY589" s="6" t="str">
        <x:v>0</x:v>
      </x:c>
      <x:c r="AZ589" s="6" t="str">
        <x:v>1</x:v>
      </x:c>
      <x:c r="BA589" s="9" t="str">
        <x:v>grid_cells_within_BIG_polygon</x:v>
      </x:c>
      <x:c r="BB589" s="6" t="str">
        <x:v>5</x:v>
      </x:c>
      <x:c r="BC589" s="6" t="str">
        <x:v>3</x:v>
      </x:c>
      <x:c r="BD589" s="6" t="str">
        <x:v>3</x:v>
      </x:c>
      <x:c r="BE589" s="6" t="str">
        <x:v>2</x:v>
      </x:c>
      <x:c r="BF589" s="6" t="str">
        <x:v>1</x:v>
      </x:c>
      <x:c r="BG589" s="6" t="str">
        <x:v>0</x:v>
      </x:c>
      <x:c r="BH589" s="6" t="str">
        <x:v>0</x:v>
      </x:c>
      <x:c r="BI589" s="6" t="str">
        <x:v>0</x:v>
      </x:c>
      <x:c r="BJ589" s="6" t="str">
        <x:v>0</x:v>
      </x:c>
      <x:c r="BK589" s="6" t="str">
        <x:v>0</x:v>
      </x:c>
      <x:c r="BL589" s="6" t="str">
        <x:v>0</x:v>
      </x:c>
      <x:c r="BM589" s="6" t="str">
        <x:v>0</x:v>
      </x:c>
      <x:c r="BN589" s="6" t="str">
        <x:v>3</x:v>
      </x:c>
      <x:c r="BO589" s="6" t="str">
        <x:v>0.0</x:v>
      </x:c>
      <x:c r="BP589" s="6" t="str">
        <x:v>3</x:v>
      </x:c>
      <x:c r="BQ589" s="6" t="str">
        <x:v>0.0</x:v>
      </x:c>
      <x:c r="BR589" s="6" t="str">
        <x:v>3</x:v>
      </x:c>
      <x:c r="BS589" s="6" t="str">
        <x:v>8.0</x:v>
      </x:c>
      <x:c r="BT589" s="6" t="str">
        <x:v>3</x:v>
      </x:c>
      <x:c r="BU589" s="6" t="str">
        <x:v>23.0</x:v>
      </x:c>
      <x:c r="BV589" s="6" t="str">
        <x:v>1</x:v>
      </x:c>
      <x:c r="BW589" s="9" t="str">
        <x:v>operational_snapshot_annual_totals_may_differ</x:v>
      </x:c>
      <x:c r="BX589" s="9" t="str">
        <x:v>official_live_dashboard_snapshot_subject_to_revision</x:v>
      </x:c>
      <x:c r="BY589" s="9" t="str">
        <x:v>https://tbdashboard.sitb.id/ss_data_tbc03so_2024_provinsi_bulanan_list.php</x:v>
      </x:c>
      <x:c r="BZ589" s="6" t="n">
        <x:v>46246.610671296294</x:v>
      </x:c>
    </x:row>
    <x:row r="590" ht="18" customHeight="1">
      <x:c r="A590" s="6" t="str">
        <x:v>71</x:v>
      </x:c>
      <x:c r="B590" s="6" t="str">
        <x:v>SULAWESI UTARA</x:v>
      </x:c>
      <x:c r="C590" s="6" t="str">
        <x:v>2025</x:v>
      </x:c>
      <x:c r="D590" s="6" t="str">
        <x:v>1</x:v>
      </x:c>
      <x:c r="E590" s="6" t="str">
        <x:v>2025-01</x:v>
      </x:c>
      <x:c r="F590" s="6" t="str">
        <x:v>766</x:v>
      </x:c>
      <x:c r="G590" s="6" t="str">
        <x:v>211</x:v>
      </x:c>
      <x:c r="H590" s="6" t="str">
        <x:v>434</x:v>
      </x:c>
      <x:c r="I590" s="6" t="str">
        <x:v>51</x:v>
      </x:c>
      <x:c r="J590" s="6" t="str">
        <x:v>43</x:v>
      </x:c>
      <x:c r="K590" s="6" t="str">
        <x:v>1</x:v>
      </x:c>
      <x:c r="L590" s="6" t="str">
        <x:v>3</x:v>
      </x:c>
      <x:c r="M590" s="6" t="str">
        <x:v>23</x:v>
      </x:c>
      <x:c r="N590" s="6" t="str">
        <x:v>766</x:v>
      </x:c>
      <x:c r="O590" s="6" t="str">
        <x:v>0</x:v>
      </x:c>
      <x:c r="P590" s="10" t="n">
        <x:f>F590-M590</x:f>
        <x:v>743</x:v>
      </x:c>
      <x:c r="Q590" s="11" t="n">
        <x:f>IFERROR(M590/F590,"")</x:f>
        <x:v>0.030026109660574413</x:v>
      </x:c>
      <x:c r="R590" s="10" t="n">
        <x:f>G590+H590</x:f>
        <x:v>645</x:v>
      </x:c>
      <x:c r="S590" s="11" t="n">
        <x:f>IFERROR(R590/F590,"")</x:f>
        <x:v>0.8420365535248042</x:v>
      </x:c>
      <x:c r="T590" s="11" t="n">
        <x:f>IFERROR(R590/P590,"")</x:f>
        <x:v>0.8681022880215343</x:v>
      </x:c>
      <x:c r="U590" s="10" t="n">
        <x:f>I590+J590+K590</x:f>
        <x:v>95</x:v>
      </x:c>
      <x:c r="V590" s="11" t="n">
        <x:f>IFERROR(U590/P590,"")</x:f>
        <x:v>0.1278600269179004</x:v>
      </x:c>
      <x:c r="W590" s="9" t="str">
        <x:v>mature_le_5pct_pending</x:v>
      </x:c>
      <x:c r="X590" s="12" t="n">
        <x:f>IFERROR(F590/Z590*100000,"")</x:f>
        <x:v>28.14727713676784</x:v>
      </x:c>
      <x:c r="Y590" s="13" t="n">
        <x:f>LN(Z590)</x:f>
        <x:v>14.816657011738895</x:v>
      </x:c>
      <x:c r="Z590" s="6" t="str">
        <x:v>2721400</x:v>
      </x:c>
      <x:c r="AA590" s="6" t="str">
        <x:v>188.0</x:v>
      </x:c>
      <x:c r="AB590" s="9" t="str">
        <x:v>2025-06-30</x:v>
      </x:c>
      <x:c r="AC590" s="8" t="str">
        <x:v>87.7</x:v>
      </x:c>
      <x:c r="AD590" s="9" t="str">
        <x:v>2025 (Susenas)</x:v>
      </x:c>
      <x:c r="AE590" s="8" t="str">
        <x:v>6.71</x:v>
      </x:c>
      <x:c r="AF590" s="9" t="str">
        <x:v>Maret 2025 (Susenas)</x:v>
      </x:c>
      <x:c r="AG590" s="6" t="str">
        <x:v>26.16936643808066</x:v>
      </x:c>
      <x:c r="AH590" s="8" t="str">
        <x:v>84.0945078295654</x:v>
      </x:c>
      <x:c r="AI590" s="6" t="str">
        <x:v>237.47086557206185</x:v>
      </x:c>
      <x:c r="AJ590" s="6" t="str">
        <x:v>0.475861828744371</x:v>
      </x:c>
      <x:c r="AK590" s="8" t="str">
        <x:v>1.1813104336142397</x:v>
      </x:c>
      <x:c r="AL590" s="6" t="str">
        <x:v>1.0255299266102176</x:v>
      </x:c>
      <x:c r="AM590" s="6" t="str">
        <x:v>1.4019913123092778</x:v>
      </x:c>
      <x:c r="AN590" s="6" t="str">
        <x:v>1.2029438908445782</x:v>
      </x:c>
      <x:c r="AO590" s="6" t="str">
        <x:v>0.6068407625905365</x:v>
      </x:c>
      <x:c r="AP590" s="8" t="str">
        <x:v>0.225183094368197</x:v>
      </x:c>
      <x:c r="AQ590" s="6" t="str">
        <x:v>0.4602313947417569</x:v>
      </x:c>
      <x:c r="AR590" s="6" t="str">
        <x:v>-0.0434839096604892</x:v>
      </x:c>
      <x:c r="AS590" s="6" t="str">
        <x:v>0.2139768598164884</x:v>
      </x:c>
      <x:c r="AT590" s="6" t="str">
        <x:v>36.52767160129579</x:v>
      </x:c>
      <x:c r="AU590" s="8" t="str">
        <x:v>0.505687569581262</x:v>
      </x:c>
      <x:c r="AV590" s="6" t="str">
        <x:v>0.345147888910325</x:v>
      </x:c>
      <x:c r="AW590" s="6" t="str">
        <x:v>-0.5622002786550429</x:v>
      </x:c>
      <x:c r="AX590" s="6" t="str">
        <x:v>0.0962117266121815</x:v>
      </x:c>
      <x:c r="AY590" s="6" t="str">
        <x:v>0</x:v>
      </x:c>
      <x:c r="AZ590" s="6" t="str">
        <x:v>1</x:v>
      </x:c>
      <x:c r="BA590" s="9" t="str">
        <x:v>grid_cells_within_BIG_polygon</x:v>
      </x:c>
      <x:c r="BB590" s="6" t="str">
        <x:v>5</x:v>
      </x:c>
      <x:c r="BC590" s="6" t="str">
        <x:v>5</x:v>
      </x:c>
      <x:c r="BD590" s="6" t="str">
        <x:v>5</x:v>
      </x:c>
      <x:c r="BE590" s="6" t="str">
        <x:v>4</x:v>
      </x:c>
      <x:c r="BF590" s="6" t="str">
        <x:v>1</x:v>
      </x:c>
      <x:c r="BG590" s="6" t="str">
        <x:v>0</x:v>
      </x:c>
      <x:c r="BH590" s="6" t="str">
        <x:v>0</x:v>
      </x:c>
      <x:c r="BI590" s="6" t="str">
        <x:v>0</x:v>
      </x:c>
      <x:c r="BJ590" s="6" t="str">
        <x:v>0</x:v>
      </x:c>
      <x:c r="BK590" s="6" t="str">
        <x:v>0</x:v>
      </x:c>
      <x:c r="BL590" s="6" t="str">
        <x:v>0</x:v>
      </x:c>
      <x:c r="BM590" s="6" t="str">
        <x:v>0</x:v>
      </x:c>
      <x:c r="BN590" s="6" t="str">
        <x:v>5</x:v>
      </x:c>
      <x:c r="BO590" s="6" t="str">
        <x:v>2.0</x:v>
      </x:c>
      <x:c r="BP590" s="6" t="str">
        <x:v>5</x:v>
      </x:c>
      <x:c r="BQ590" s="6" t="str">
        <x:v>0.0</x:v>
      </x:c>
      <x:c r="BR590" s="6" t="str">
        <x:v>5</x:v>
      </x:c>
      <x:c r="BS590" s="6" t="str">
        <x:v>0.0</x:v>
      </x:c>
      <x:c r="BT590" s="6" t="str">
        <x:v>5</x:v>
      </x:c>
      <x:c r="BU590" s="6" t="str">
        <x:v>10.0</x:v>
      </x:c>
      <x:c r="BV590" s="6" t="str">
        <x:v>1</x:v>
      </x:c>
      <x:c r="BW590" s="9" t="str">
        <x:v>operational_snapshot_annual_totals_may_differ</x:v>
      </x:c>
      <x:c r="BX590" s="9" t="str">
        <x:v>official_live_dashboard_snapshot_subject_to_revision</x:v>
      </x:c>
      <x:c r="BY590" s="9" t="str">
        <x:v>https://tbdashboard.sitb.id/ss_data_tbc03so_2025_provinsi_bulanan_list.php</x:v>
      </x:c>
      <x:c r="BZ590" s="6" t="n">
        <x:v>46246.610671296294</x:v>
      </x:c>
    </x:row>
    <x:row r="591" ht="18" customHeight="1">
      <x:c r="A591" s="6" t="str">
        <x:v>71</x:v>
      </x:c>
      <x:c r="B591" s="6" t="str">
        <x:v>SULAWESI UTARA</x:v>
      </x:c>
      <x:c r="C591" s="6" t="str">
        <x:v>2025</x:v>
      </x:c>
      <x:c r="D591" s="6" t="str">
        <x:v>2</x:v>
      </x:c>
      <x:c r="E591" s="6" t="str">
        <x:v>2025-02</x:v>
      </x:c>
      <x:c r="F591" s="6" t="str">
        <x:v>783</x:v>
      </x:c>
      <x:c r="G591" s="6" t="str">
        <x:v>189</x:v>
      </x:c>
      <x:c r="H591" s="6" t="str">
        <x:v>436</x:v>
      </x:c>
      <x:c r="I591" s="6" t="str">
        <x:v>78</x:v>
      </x:c>
      <x:c r="J591" s="6" t="str">
        <x:v>58</x:v>
      </x:c>
      <x:c r="K591" s="6" t="str">
        <x:v>0</x:v>
      </x:c>
      <x:c r="L591" s="6" t="str">
        <x:v>2</x:v>
      </x:c>
      <x:c r="M591" s="6" t="str">
        <x:v>20</x:v>
      </x:c>
      <x:c r="N591" s="6" t="str">
        <x:v>783</x:v>
      </x:c>
      <x:c r="O591" s="6" t="str">
        <x:v>0</x:v>
      </x:c>
      <x:c r="P591" s="10" t="n">
        <x:f>F591-M591</x:f>
        <x:v>763</x:v>
      </x:c>
      <x:c r="Q591" s="11" t="n">
        <x:f>IFERROR(M591/F591,"")</x:f>
        <x:v>0.02554278416347382</x:v>
      </x:c>
      <x:c r="R591" s="10" t="n">
        <x:f>G591+H591</x:f>
        <x:v>625</x:v>
      </x:c>
      <x:c r="S591" s="11" t="n">
        <x:f>IFERROR(R591/F591,"")</x:f>
        <x:v>0.7982120051085568</x:v>
      </x:c>
      <x:c r="T591" s="11" t="n">
        <x:f>IFERROR(R591/P591,"")</x:f>
        <x:v>0.8191349934469201</x:v>
      </x:c>
      <x:c r="U591" s="10" t="n">
        <x:f>I591+J591+K591</x:f>
        <x:v>136</x:v>
      </x:c>
      <x:c r="V591" s="11" t="n">
        <x:f>IFERROR(U591/P591,"")</x:f>
        <x:v>0.1782437745740498</x:v>
      </x:c>
      <x:c r="W591" s="9" t="str">
        <x:v>mature_le_5pct_pending</x:v>
      </x:c>
      <x:c r="X591" s="12" t="n">
        <x:f>IFERROR(F591/Z591*100000,"")</x:f>
        <x:v>28.771955611082532</x:v>
      </x:c>
      <x:c r="Y591" s="13" t="n">
        <x:f>LN(Z591)</x:f>
        <x:v>14.816657011738895</x:v>
      </x:c>
      <x:c r="Z591" s="6" t="str">
        <x:v>2721400</x:v>
      </x:c>
      <x:c r="AA591" s="6" t="str">
        <x:v>188.0</x:v>
      </x:c>
      <x:c r="AB591" s="9" t="str">
        <x:v>2025-06-30</x:v>
      </x:c>
      <x:c r="AC591" s="8" t="str">
        <x:v>87.7</x:v>
      </x:c>
      <x:c r="AD591" s="9" t="str">
        <x:v>2025 (Susenas)</x:v>
      </x:c>
      <x:c r="AE591" s="8" t="str">
        <x:v>6.71</x:v>
      </x:c>
      <x:c r="AF591" s="9" t="str">
        <x:v>Maret 2025 (Susenas)</x:v>
      </x:c>
      <x:c r="AG591" s="6" t="str">
        <x:v>25.83135682507081</x:v>
      </x:c>
      <x:c r="AH591" s="8" t="str">
        <x:v>84.19209768909184</x:v>
      </x:c>
      <x:c r="AI591" s="6" t="str">
        <x:v>203.28835760428169</x:v>
      </x:c>
      <x:c r="AJ591" s="6" t="str">
        <x:v>0.1715674355857217</x:v>
      </x:c>
      <x:c r="AK591" s="8" t="str">
        <x:v>0.3810616298461175</x:v>
      </x:c>
      <x:c r="AL591" s="6" t="str">
        <x:v>1.1813104336142397</x:v>
      </x:c>
      <x:c r="AM591" s="6" t="str">
        <x:v>1.0255299266102176</x:v>
      </x:c>
      <x:c r="AN591" s="6" t="str">
        <x:v>0.8626339966901914</x:v>
      </x:c>
      <x:c r="AO591" s="6" t="str">
        <x:v>1.2826235315588264</x:v>
      </x:c>
      <x:c r="AP591" s="8" t="str">
        <x:v>0.3958201946863708</x:v>
      </x:c>
      <x:c r="AQ591" s="6" t="str">
        <x:v>0.225183094368197</x:v>
      </x:c>
      <x:c r="AR591" s="6" t="str">
        <x:v>0.4602313947417569</x:v>
      </x:c>
      <x:c r="AS591" s="6" t="str">
        <x:v>0.3604115612654417</x:v>
      </x:c>
      <x:c r="AT591" s="6" t="str">
        <x:v>48.32478855003535</x:v>
      </x:c>
      <x:c r="AU591" s="8" t="str">
        <x:v>0.6427769455407629</x:v>
      </x:c>
      <x:c r="AV591" s="6" t="str">
        <x:v>0.505687569581262</x:v>
      </x:c>
      <x:c r="AW591" s="6" t="str">
        <x:v>0.345147888910325</x:v>
      </x:c>
      <x:c r="AX591" s="6" t="str">
        <x:v>0.4978708013441168</x:v>
      </x:c>
      <x:c r="AY591" s="6" t="str">
        <x:v>0</x:v>
      </x:c>
      <x:c r="AZ591" s="6" t="str">
        <x:v>0</x:v>
      </x:c>
      <x:c r="BA591" s="9" t="str">
        <x:v>grid_cells_within_BIG_polygon</x:v>
      </x:c>
      <x:c r="BB591" s="6" t="str">
        <x:v>5</x:v>
      </x:c>
      <x:c r="BC591" s="6" t="str">
        <x:v>2</x:v>
      </x:c>
      <x:c r="BD591" s="6" t="str">
        <x:v>1</x:v>
      </x:c>
      <x:c r="BE591" s="6" t="str">
        <x:v>0</x:v>
      </x:c>
      <x:c r="BF591" s="6" t="str">
        <x:v>0</x:v>
      </x:c>
      <x:c r="BG591" s="6" t="str">
        <x:v>1</x:v>
      </x:c>
      <x:c r="BH591" s="6" t="str">
        <x:v>0</x:v>
      </x:c>
      <x:c r="BI591" s="6" t="str">
        <x:v>0</x:v>
      </x:c>
      <x:c r="BJ591" s="6" t="str">
        <x:v>0</x:v>
      </x:c>
      <x:c r="BK591" s="6" t="str">
        <x:v>1</x:v>
      </x:c>
      <x:c r="BL591" s="6" t="str">
        <x:v>0</x:v>
      </x:c>
      <x:c r="BM591" s="6" t="str">
        <x:v>0</x:v>
      </x:c>
      <x:c r="BN591" s="6" t="str">
        <x:v>2</x:v>
      </x:c>
      <x:c r="BO591" s="6" t="str">
        <x:v>0.0</x:v>
      </x:c>
      <x:c r="BP591" s="6" t="str">
        <x:v>2</x:v>
      </x:c>
      <x:c r="BQ591" s="6" t="str">
        <x:v>0.0</x:v>
      </x:c>
      <x:c r="BR591" s="6" t="str">
        <x:v>2</x:v>
      </x:c>
      <x:c r="BS591" s="6" t="str">
        <x:v>22.0</x:v>
      </x:c>
      <x:c r="BT591" s="6" t="str">
        <x:v>2</x:v>
      </x:c>
      <x:c r="BU591" s="6" t="str"/>
      <x:c r="BV591" s="6" t="str">
        <x:v>0</x:v>
      </x:c>
      <x:c r="BW591" s="9" t="str">
        <x:v>operational_snapshot_annual_totals_may_differ</x:v>
      </x:c>
      <x:c r="BX591" s="9" t="str">
        <x:v>official_live_dashboard_snapshot_subject_to_revision</x:v>
      </x:c>
      <x:c r="BY591" s="9" t="str">
        <x:v>https://tbdashboard.sitb.id/ss_data_tbc03so_2025_provinsi_bulanan_list.php</x:v>
      </x:c>
      <x:c r="BZ591" s="6" t="n">
        <x:v>46246.610671296294</x:v>
      </x:c>
    </x:row>
    <x:row r="592" ht="18" customHeight="1">
      <x:c r="A592" s="6" t="str">
        <x:v>71</x:v>
      </x:c>
      <x:c r="B592" s="6" t="str">
        <x:v>SULAWESI UTARA</x:v>
      </x:c>
      <x:c r="C592" s="6" t="str">
        <x:v>2025</x:v>
      </x:c>
      <x:c r="D592" s="6" t="str">
        <x:v>3</x:v>
      </x:c>
      <x:c r="E592" s="6" t="str">
        <x:v>2025-03</x:v>
      </x:c>
      <x:c r="F592" s="6" t="str">
        <x:v>676</x:v>
      </x:c>
      <x:c r="G592" s="6" t="str">
        <x:v>158</x:v>
      </x:c>
      <x:c r="H592" s="6" t="str">
        <x:v>379</x:v>
      </x:c>
      <x:c r="I592" s="6" t="str">
        <x:v>70</x:v>
      </x:c>
      <x:c r="J592" s="6" t="str">
        <x:v>44</x:v>
      </x:c>
      <x:c r="K592" s="6" t="str">
        <x:v>0</x:v>
      </x:c>
      <x:c r="L592" s="6" t="str">
        <x:v>4</x:v>
      </x:c>
      <x:c r="M592" s="6" t="str">
        <x:v>21</x:v>
      </x:c>
      <x:c r="N592" s="6" t="str">
        <x:v>676</x:v>
      </x:c>
      <x:c r="O592" s="6" t="str">
        <x:v>0</x:v>
      </x:c>
      <x:c r="P592" s="10" t="n">
        <x:f>F592-M592</x:f>
        <x:v>655</x:v>
      </x:c>
      <x:c r="Q592" s="11" t="n">
        <x:f>IFERROR(M592/F592,"")</x:f>
        <x:v>0.03106508875739645</x:v>
      </x:c>
      <x:c r="R592" s="10" t="n">
        <x:f>G592+H592</x:f>
        <x:v>537</x:v>
      </x:c>
      <x:c r="S592" s="11" t="n">
        <x:f>IFERROR(R592/F592,"")</x:f>
        <x:v>0.7943786982248521</x:v>
      </x:c>
      <x:c r="T592" s="11" t="n">
        <x:f>IFERROR(R592/P592,"")</x:f>
        <x:v>0.8198473282442749</x:v>
      </x:c>
      <x:c r="U592" s="10" t="n">
        <x:f>I592+J592+K592</x:f>
        <x:v>114</x:v>
      </x:c>
      <x:c r="V592" s="11" t="n">
        <x:f>IFERROR(U592/P592,"")</x:f>
        <x:v>0.17404580152671756</x:v>
      </x:c>
      <x:c r="W592" s="9" t="str">
        <x:v>mature_le_5pct_pending</x:v>
      </x:c>
      <x:c r="X592" s="12" t="n">
        <x:f>IFERROR(F592/Z592*100000,"")</x:f>
        <x:v>24.840155802160655</x:v>
      </x:c>
      <x:c r="Y592" s="13" t="n">
        <x:f>LN(Z592)</x:f>
        <x:v>14.816657011738895</x:v>
      </x:c>
      <x:c r="Z592" s="6" t="str">
        <x:v>2721400</x:v>
      </x:c>
      <x:c r="AA592" s="6" t="str">
        <x:v>188.0</x:v>
      </x:c>
      <x:c r="AB592" s="9" t="str">
        <x:v>2025-06-30</x:v>
      </x:c>
      <x:c r="AC592" s="8" t="str">
        <x:v>87.7</x:v>
      </x:c>
      <x:c r="AD592" s="9" t="str">
        <x:v>2025 (Susenas)</x:v>
      </x:c>
      <x:c r="AE592" s="8" t="str">
        <x:v>6.71</x:v>
      </x:c>
      <x:c r="AF592" s="9" t="str">
        <x:v>Maret 2025 (Susenas)</x:v>
      </x:c>
      <x:c r="AG592" s="6" t="str">
        <x:v>26.23538771749216</x:v>
      </x:c>
      <x:c r="AH592" s="8" t="str">
        <x:v>84.03249185737981</x:v>
      </x:c>
      <x:c r="AI592" s="6" t="str">
        <x:v>295.4693667519338</x:v>
      </x:c>
      <x:c r="AJ592" s="6" t="str">
        <x:v>0.2936263794202673</x:v>
      </x:c>
      <x:c r="AK592" s="8" t="str">
        <x:v>0.6356579637983049</x:v>
      </x:c>
      <x:c r="AL592" s="6" t="str">
        <x:v>0.3810616298461175</x:v>
      </x:c>
      <x:c r="AM592" s="6" t="str">
        <x:v>1.1813104336142397</x:v>
      </x:c>
      <x:c r="AN592" s="6" t="str">
        <x:v>0.7326766757528871</x:v>
      </x:c>
      <x:c r="AO592" s="6" t="str">
        <x:v>2.264192611391905</x:v>
      </x:c>
      <x:c r="AP592" s="8" t="str">
        <x:v>0.6414179714297846</x:v>
      </x:c>
      <x:c r="AQ592" s="6" t="str">
        <x:v>0.3958201946863708</x:v>
      </x:c>
      <x:c r="AR592" s="6" t="str">
        <x:v>0.225183094368197</x:v>
      </x:c>
      <x:c r="AS592" s="6" t="str">
        <x:v>0.4208070868281177</x:v>
      </x:c>
      <x:c r="AT592" s="6" t="str">
        <x:v>133.01768337954184</x:v>
      </x:c>
      <x:c r="AU592" s="8" t="str">
        <x:v>1.5987578207336242</x:v>
      </x:c>
      <x:c r="AV592" s="6" t="str">
        <x:v>0.6427769455407629</x:v>
      </x:c>
      <x:c r="AW592" s="6" t="str">
        <x:v>0.505687569581262</x:v>
      </x:c>
      <x:c r="AX592" s="6" t="str">
        <x:v>0.91574077861855</x:v>
      </x:c>
      <x:c r="AY592" s="6" t="str">
        <x:v>1</x:v>
      </x:c>
      <x:c r="AZ592" s="6" t="str">
        <x:v>0</x:v>
      </x:c>
      <x:c r="BA592" s="9" t="str">
        <x:v>grid_cells_within_BIG_polygon</x:v>
      </x:c>
      <x:c r="BB592" s="6" t="str">
        <x:v>5</x:v>
      </x:c>
      <x:c r="BC592" s="6" t="str">
        <x:v>9</x:v>
      </x:c>
      <x:c r="BD592" s="6" t="str">
        <x:v>9</x:v>
      </x:c>
      <x:c r="BE592" s="6" t="str">
        <x:v>7</x:v>
      </x:c>
      <x:c r="BF592" s="6" t="str">
        <x:v>2</x:v>
      </x:c>
      <x:c r="BG592" s="6" t="str">
        <x:v>0</x:v>
      </x:c>
      <x:c r="BH592" s="6" t="str">
        <x:v>0</x:v>
      </x:c>
      <x:c r="BI592" s="6" t="str">
        <x:v>0</x:v>
      </x:c>
      <x:c r="BJ592" s="6" t="str">
        <x:v>0</x:v>
      </x:c>
      <x:c r="BK592" s="6" t="str">
        <x:v>0</x:v>
      </x:c>
      <x:c r="BL592" s="6" t="str">
        <x:v>0</x:v>
      </x:c>
      <x:c r="BM592" s="6" t="str">
        <x:v>0</x:v>
      </x:c>
      <x:c r="BN592" s="6" t="str">
        <x:v>9</x:v>
      </x:c>
      <x:c r="BO592" s="6" t="str">
        <x:v>2.0</x:v>
      </x:c>
      <x:c r="BP592" s="6" t="str">
        <x:v>9</x:v>
      </x:c>
      <x:c r="BQ592" s="6" t="str">
        <x:v>0.0</x:v>
      </x:c>
      <x:c r="BR592" s="6" t="str">
        <x:v>9</x:v>
      </x:c>
      <x:c r="BS592" s="6" t="str">
        <x:v>36.0</x:v>
      </x:c>
      <x:c r="BT592" s="6" t="str">
        <x:v>9</x:v>
      </x:c>
      <x:c r="BU592" s="6" t="str">
        <x:v>561.0</x:v>
      </x:c>
      <x:c r="BV592" s="6" t="str">
        <x:v>3</x:v>
      </x:c>
      <x:c r="BW592" s="9" t="str">
        <x:v>operational_snapshot_annual_totals_may_differ</x:v>
      </x:c>
      <x:c r="BX592" s="9" t="str">
        <x:v>official_live_dashboard_snapshot_subject_to_revision</x:v>
      </x:c>
      <x:c r="BY592" s="9" t="str">
        <x:v>https://tbdashboard.sitb.id/ss_data_tbc03so_2025_provinsi_bulanan_list.php</x:v>
      </x:c>
      <x:c r="BZ592" s="6" t="n">
        <x:v>46246.610671296294</x:v>
      </x:c>
    </x:row>
    <x:row r="593" ht="18" customHeight="1">
      <x:c r="A593" s="6" t="str">
        <x:v>71</x:v>
      </x:c>
      <x:c r="B593" s="6" t="str">
        <x:v>SULAWESI UTARA</x:v>
      </x:c>
      <x:c r="C593" s="6" t="str">
        <x:v>2025</x:v>
      </x:c>
      <x:c r="D593" s="6" t="str">
        <x:v>4</x:v>
      </x:c>
      <x:c r="E593" s="6" t="str">
        <x:v>2025-04</x:v>
      </x:c>
      <x:c r="F593" s="6" t="str">
        <x:v>684</x:v>
      </x:c>
      <x:c r="G593" s="6" t="str">
        <x:v>159</x:v>
      </x:c>
      <x:c r="H593" s="6" t="str">
        <x:v>367</x:v>
      </x:c>
      <x:c r="I593" s="6" t="str">
        <x:v>69</x:v>
      </x:c>
      <x:c r="J593" s="6" t="str">
        <x:v>55</x:v>
      </x:c>
      <x:c r="K593" s="6" t="str">
        <x:v>2</x:v>
      </x:c>
      <x:c r="L593" s="6" t="str">
        <x:v>0</x:v>
      </x:c>
      <x:c r="M593" s="6" t="str">
        <x:v>32</x:v>
      </x:c>
      <x:c r="N593" s="6" t="str">
        <x:v>684</x:v>
      </x:c>
      <x:c r="O593" s="6" t="str">
        <x:v>0</x:v>
      </x:c>
      <x:c r="P593" s="10" t="n">
        <x:f>F593-M593</x:f>
        <x:v>652</x:v>
      </x:c>
      <x:c r="Q593" s="11" t="n">
        <x:f>IFERROR(M593/F593,"")</x:f>
        <x:v>0.04678362573099415</x:v>
      </x:c>
      <x:c r="R593" s="10" t="n">
        <x:f>G593+H593</x:f>
        <x:v>526</x:v>
      </x:c>
      <x:c r="S593" s="11" t="n">
        <x:f>IFERROR(R593/F593,"")</x:f>
        <x:v>0.7690058479532164</x:v>
      </x:c>
      <x:c r="T593" s="11" t="n">
        <x:f>IFERROR(R593/P593,"")</x:f>
        <x:v>0.8067484662576687</x:v>
      </x:c>
      <x:c r="U593" s="10" t="n">
        <x:f>I593+J593+K593</x:f>
        <x:v>126</x:v>
      </x:c>
      <x:c r="V593" s="11" t="n">
        <x:f>IFERROR(U593/P593,"")</x:f>
        <x:v>0.19325153374233128</x:v>
      </x:c>
      <x:c r="W593" s="9" t="str">
        <x:v>mature_le_5pct_pending</x:v>
      </x:c>
      <x:c r="X593" s="12" t="n">
        <x:f>IFERROR(F593/Z593*100000,"")</x:f>
        <x:v>25.134122143014622</x:v>
      </x:c>
      <x:c r="Y593" s="13" t="n">
        <x:f>LN(Z593)</x:f>
        <x:v>14.816657011738895</x:v>
      </x:c>
      <x:c r="Z593" s="6" t="str">
        <x:v>2721400</x:v>
      </x:c>
      <x:c r="AA593" s="6" t="str">
        <x:v>188.0</x:v>
      </x:c>
      <x:c r="AB593" s="9" t="str">
        <x:v>2025-06-30</x:v>
      </x:c>
      <x:c r="AC593" s="8" t="str">
        <x:v>87.7</x:v>
      </x:c>
      <x:c r="AD593" s="9" t="str">
        <x:v>2025 (Susenas)</x:v>
      </x:c>
      <x:c r="AE593" s="8" t="str">
        <x:v>6.71</x:v>
      </x:c>
      <x:c r="AF593" s="9" t="str">
        <x:v>Maret 2025 (Susenas)</x:v>
      </x:c>
      <x:c r="AG593" s="6" t="str">
        <x:v>26.355386574656205</x:v>
      </x:c>
      <x:c r="AH593" s="8" t="str">
        <x:v>82.19028927996649</x:v>
      </x:c>
      <x:c r="AI593" s="6" t="str">
        <x:v>236.42131895561857</x:v>
      </x:c>
      <x:c r="AJ593" s="6" t="str">
        <x:v>0.0192661143133747</x:v>
      </x:c>
      <x:c r="AK593" s="8" t="str">
        <x:v>0.0402828304191231</x:v>
      </x:c>
      <x:c r="AL593" s="6" t="str">
        <x:v>0.6356579637983049</x:v>
      </x:c>
      <x:c r="AM593" s="6" t="str">
        <x:v>0.3810616298461175</x:v>
      </x:c>
      <x:c r="AN593" s="6" t="str">
        <x:v>0.3523341413545151</x:v>
      </x:c>
      <x:c r="AO593" s="6" t="str">
        <x:v>0.8018906583507146</x:v>
      </x:c>
      <x:c r="AP593" s="8" t="str">
        <x:v>0.2491497809169603</x:v>
      </x:c>
      <x:c r="AQ593" s="6" t="str">
        <x:v>0.6414179714297846</x:v>
      </x:c>
      <x:c r="AR593" s="6" t="str">
        <x:v>0.3958201946863708</x:v>
      </x:c>
      <x:c r="AS593" s="6" t="str">
        <x:v>0.4287959823443721</x:v>
      </x:c>
      <x:c r="AT593" s="6" t="str">
        <x:v>81.03589044706459</x:v>
      </x:c>
      <x:c r="AU593" s="8" t="str">
        <x:v>1.317426124146311</x:v>
      </x:c>
      <x:c r="AV593" s="6" t="str">
        <x:v>1.5987578207336242</x:v>
      </x:c>
      <x:c r="AW593" s="6" t="str">
        <x:v>0.6427769455407629</x:v>
      </x:c>
      <x:c r="AX593" s="6" t="str">
        <x:v>1.1863202968068995</x:v>
      </x:c>
      <x:c r="AY593" s="6" t="str">
        <x:v>1</x:v>
      </x:c>
      <x:c r="AZ593" s="6" t="str">
        <x:v>0</x:v>
      </x:c>
      <x:c r="BA593" s="9" t="str">
        <x:v>grid_cells_within_BIG_polygon</x:v>
      </x:c>
      <x:c r="BB593" s="6" t="str">
        <x:v>5</x:v>
      </x:c>
      <x:c r="BC593" s="6" t="str">
        <x:v>2</x:v>
      </x:c>
      <x:c r="BD593" s="6" t="str">
        <x:v>2</x:v>
      </x:c>
      <x:c r="BE593" s="6" t="str">
        <x:v>2</x:v>
      </x:c>
      <x:c r="BF593" s="6" t="str">
        <x:v>0</x:v>
      </x:c>
      <x:c r="BG593" s="6" t="str">
        <x:v>0</x:v>
      </x:c>
      <x:c r="BH593" s="6" t="str">
        <x:v>0</x:v>
      </x:c>
      <x:c r="BI593" s="6" t="str">
        <x:v>0</x:v>
      </x:c>
      <x:c r="BJ593" s="6" t="str">
        <x:v>0</x:v>
      </x:c>
      <x:c r="BK593" s="6" t="str">
        <x:v>0</x:v>
      </x:c>
      <x:c r="BL593" s="6" t="str">
        <x:v>0</x:v>
      </x:c>
      <x:c r="BM593" s="6" t="str">
        <x:v>0</x:v>
      </x:c>
      <x:c r="BN593" s="6" t="str">
        <x:v>2</x:v>
      </x:c>
      <x:c r="BO593" s="6" t="str">
        <x:v>0.0</x:v>
      </x:c>
      <x:c r="BP593" s="6" t="str">
        <x:v>2</x:v>
      </x:c>
      <x:c r="BQ593" s="6" t="str">
        <x:v>0.0</x:v>
      </x:c>
      <x:c r="BR593" s="6" t="str">
        <x:v>2</x:v>
      </x:c>
      <x:c r="BS593" s="6" t="str">
        <x:v>80.0</x:v>
      </x:c>
      <x:c r="BT593" s="6" t="str">
        <x:v>2</x:v>
      </x:c>
      <x:c r="BU593" s="6" t="str">
        <x:v>1889.0</x:v>
      </x:c>
      <x:c r="BV593" s="6" t="str">
        <x:v>1</x:v>
      </x:c>
      <x:c r="BW593" s="9" t="str">
        <x:v>operational_snapshot_annual_totals_may_differ</x:v>
      </x:c>
      <x:c r="BX593" s="9" t="str">
        <x:v>official_live_dashboard_snapshot_subject_to_revision</x:v>
      </x:c>
      <x:c r="BY593" s="9" t="str">
        <x:v>https://tbdashboard.sitb.id/ss_data_tbc03so_2025_provinsi_bulanan_list.php</x:v>
      </x:c>
      <x:c r="BZ593" s="6" t="n">
        <x:v>46246.610671296294</x:v>
      </x:c>
    </x:row>
    <x:row r="594" ht="18" customHeight="1">
      <x:c r="A594" s="6" t="str">
        <x:v>71</x:v>
      </x:c>
      <x:c r="B594" s="6" t="str">
        <x:v>SULAWESI UTARA</x:v>
      </x:c>
      <x:c r="C594" s="6" t="str">
        <x:v>2025</x:v>
      </x:c>
      <x:c r="D594" s="6" t="str">
        <x:v>5</x:v>
      </x:c>
      <x:c r="E594" s="6" t="str">
        <x:v>2025-05</x:v>
      </x:c>
      <x:c r="F594" s="6" t="str">
        <x:v>692</x:v>
      </x:c>
      <x:c r="G594" s="6" t="str">
        <x:v>164</x:v>
      </x:c>
      <x:c r="H594" s="6" t="str">
        <x:v>369</x:v>
      </x:c>
      <x:c r="I594" s="6" t="str">
        <x:v>79</x:v>
      </x:c>
      <x:c r="J594" s="6" t="str">
        <x:v>38</x:v>
      </x:c>
      <x:c r="K594" s="6" t="str">
        <x:v>0</x:v>
      </x:c>
      <x:c r="L594" s="6" t="str">
        <x:v>0</x:v>
      </x:c>
      <x:c r="M594" s="6" t="str">
        <x:v>42</x:v>
      </x:c>
      <x:c r="N594" s="6" t="str">
        <x:v>692</x:v>
      </x:c>
      <x:c r="O594" s="6" t="str">
        <x:v>0</x:v>
      </x:c>
      <x:c r="P594" s="10" t="n">
        <x:f>F594-M594</x:f>
        <x:v>650</x:v>
      </x:c>
      <x:c r="Q594" s="11" t="n">
        <x:f>IFERROR(M594/F594,"")</x:f>
        <x:v>0.06069364161849711</x:v>
      </x:c>
      <x:c r="R594" s="10" t="n">
        <x:f>G594+H594</x:f>
        <x:v>533</x:v>
      </x:c>
      <x:c r="S594" s="11" t="n">
        <x:f>IFERROR(R594/F594,"")</x:f>
        <x:v>0.7702312138728323</x:v>
      </x:c>
      <x:c r="T594" s="11" t="n">
        <x:f>IFERROR(R594/P594,"")</x:f>
        <x:v>0.82</x:v>
      </x:c>
      <x:c r="U594" s="10" t="n">
        <x:f>I594+J594+K594</x:f>
        <x:v>117</x:v>
      </x:c>
      <x:c r="V594" s="11" t="n">
        <x:f>IFERROR(U594/P594,"")</x:f>
        <x:v>0.18</x:v>
      </x:c>
      <x:c r="W594" s="9" t="str">
        <x:v>provisional_gt_5pct_pending</x:v>
      </x:c>
      <x:c r="X594" s="12" t="n">
        <x:f>IFERROR(F594/Z594*100000,"")</x:f>
        <x:v>25.428088483868596</x:v>
      </x:c>
      <x:c r="Y594" s="13" t="n">
        <x:f>LN(Z594)</x:f>
        <x:v>14.816657011738895</x:v>
      </x:c>
      <x:c r="Z594" s="6" t="str">
        <x:v>2721400</x:v>
      </x:c>
      <x:c r="AA594" s="6" t="str">
        <x:v>188.0</x:v>
      </x:c>
      <x:c r="AB594" s="9" t="str">
        <x:v>2025-06-30</x:v>
      </x:c>
      <x:c r="AC594" s="8" t="str">
        <x:v>87.7</x:v>
      </x:c>
      <x:c r="AD594" s="9" t="str">
        <x:v>2025 (Susenas)</x:v>
      </x:c>
      <x:c r="AE594" s="8" t="str">
        <x:v>6.71</x:v>
      </x:c>
      <x:c r="AF594" s="9" t="str">
        <x:v>Maret 2025 (Susenas)</x:v>
      </x:c>
      <x:c r="AG594" s="6" t="str">
        <x:v>26.67734336662075</x:v>
      </x:c>
      <x:c r="AH594" s="8" t="str">
        <x:v>82.50316446346908</x:v>
      </x:c>
      <x:c r="AI594" s="6" t="str">
        <x:v>209.22301225197145</x:v>
      </x:c>
      <x:c r="AJ594" s="6" t="str">
        <x:v>0.3763718362684969</x:v>
      </x:c>
      <x:c r="AK594" s="8" t="str">
        <x:v>0.8383677856151098</x:v>
      </x:c>
      <x:c r="AL594" s="6" t="str">
        <x:v>0.0402828304191231</x:v>
      </x:c>
      <x:c r="AM594" s="6" t="str">
        <x:v>0.6356579637983049</x:v>
      </x:c>
      <x:c r="AN594" s="6" t="str">
        <x:v>0.5047695266108457</x:v>
      </x:c>
      <x:c r="AO594" s="6" t="str">
        <x:v>-0.578990553829243</x:v>
      </x:c>
      <x:c r="AP594" s="8" t="str">
        <x:v>-0.2863051921409677</x:v>
      </x:c>
      <x:c r="AQ594" s="6" t="str">
        <x:v>0.2491497809169603</x:v>
      </x:c>
      <x:c r="AR594" s="6" t="str">
        <x:v>0.6414179714297846</x:v>
      </x:c>
      <x:c r="AS594" s="6" t="str">
        <x:v>0.2014208534019259</x:v>
      </x:c>
      <x:c r="AT594" s="6" t="str">
        <x:v>35.47355346852777</x:v>
      </x:c>
      <x:c r="AU594" s="8" t="str">
        <x:v>0.6764962676409726</x:v>
      </x:c>
      <x:c r="AV594" s="6" t="str">
        <x:v>1.317426124146311</x:v>
      </x:c>
      <x:c r="AW594" s="6" t="str">
        <x:v>1.5987578207336242</x:v>
      </x:c>
      <x:c r="AX594" s="6" t="str">
        <x:v>1.1975600708403027</x:v>
      </x:c>
      <x:c r="AY594" s="6" t="str">
        <x:v>0</x:v>
      </x:c>
      <x:c r="AZ594" s="6" t="str">
        <x:v>0</x:v>
      </x:c>
      <x:c r="BA594" s="9" t="str">
        <x:v>grid_cells_within_BIG_polygon</x:v>
      </x:c>
      <x:c r="BB594" s="6" t="str">
        <x:v>5</x:v>
      </x:c>
      <x:c r="BC594" s="6" t="str">
        <x:v>6</x:v>
      </x:c>
      <x:c r="BD594" s="6" t="str">
        <x:v>6</x:v>
      </x:c>
      <x:c r="BE594" s="6" t="str">
        <x:v>6</x:v>
      </x:c>
      <x:c r="BF594" s="6" t="str">
        <x:v>0</x:v>
      </x:c>
      <x:c r="BG594" s="6" t="str">
        <x:v>0</x:v>
      </x:c>
      <x:c r="BH594" s="6" t="str">
        <x:v>0</x:v>
      </x:c>
      <x:c r="BI594" s="6" t="str">
        <x:v>0</x:v>
      </x:c>
      <x:c r="BJ594" s="6" t="str">
        <x:v>0</x:v>
      </x:c>
      <x:c r="BK594" s="6" t="str">
        <x:v>0</x:v>
      </x:c>
      <x:c r="BL594" s="6" t="str">
        <x:v>0</x:v>
      </x:c>
      <x:c r="BM594" s="6" t="str">
        <x:v>0</x:v>
      </x:c>
      <x:c r="BN594" s="6" t="str">
        <x:v>6</x:v>
      </x:c>
      <x:c r="BO594" s="6" t="str">
        <x:v>0.0</x:v>
      </x:c>
      <x:c r="BP594" s="6" t="str">
        <x:v>6</x:v>
      </x:c>
      <x:c r="BQ594" s="6" t="str">
        <x:v>0.0</x:v>
      </x:c>
      <x:c r="BR594" s="6" t="str">
        <x:v>6</x:v>
      </x:c>
      <x:c r="BS594" s="6" t="str">
        <x:v>0.0</x:v>
      </x:c>
      <x:c r="BT594" s="6" t="str">
        <x:v>6</x:v>
      </x:c>
      <x:c r="BU594" s="6" t="str">
        <x:v>667.0</x:v>
      </x:c>
      <x:c r="BV594" s="6" t="str">
        <x:v>6</x:v>
      </x:c>
      <x:c r="BW594" s="9" t="str">
        <x:v>operational_snapshot_annual_totals_may_differ</x:v>
      </x:c>
      <x:c r="BX594" s="9" t="str">
        <x:v>official_live_dashboard_snapshot_subject_to_revision</x:v>
      </x:c>
      <x:c r="BY594" s="9" t="str">
        <x:v>https://tbdashboard.sitb.id/ss_data_tbc03so_2025_provinsi_bulanan_list.php</x:v>
      </x:c>
      <x:c r="BZ594" s="6" t="n">
        <x:v>46246.610671296294</x:v>
      </x:c>
    </x:row>
    <x:row r="595" ht="18" customHeight="1">
      <x:c r="A595" s="6" t="str">
        <x:v>71</x:v>
      </x:c>
      <x:c r="B595" s="6" t="str">
        <x:v>SULAWESI UTARA</x:v>
      </x:c>
      <x:c r="C595" s="6" t="str">
        <x:v>2025</x:v>
      </x:c>
      <x:c r="D595" s="6" t="str">
        <x:v>6</x:v>
      </x:c>
      <x:c r="E595" s="6" t="str">
        <x:v>2025-06</x:v>
      </x:c>
      <x:c r="F595" s="6" t="str">
        <x:v>657</x:v>
      </x:c>
      <x:c r="G595" s="6" t="str">
        <x:v>140</x:v>
      </x:c>
      <x:c r="H595" s="6" t="str">
        <x:v>359</x:v>
      </x:c>
      <x:c r="I595" s="6" t="str">
        <x:v>63</x:v>
      </x:c>
      <x:c r="J595" s="6" t="str">
        <x:v>38</x:v>
      </x:c>
      <x:c r="K595" s="6" t="str">
        <x:v>2</x:v>
      </x:c>
      <x:c r="L595" s="6" t="str">
        <x:v>2</x:v>
      </x:c>
      <x:c r="M595" s="6" t="str">
        <x:v>53</x:v>
      </x:c>
      <x:c r="N595" s="6" t="str">
        <x:v>657</x:v>
      </x:c>
      <x:c r="O595" s="6" t="str">
        <x:v>0</x:v>
      </x:c>
      <x:c r="P595" s="10" t="n">
        <x:f>F595-M595</x:f>
        <x:v>604</x:v>
      </x:c>
      <x:c r="Q595" s="11" t="n">
        <x:f>IFERROR(M595/F595,"")</x:f>
        <x:v>0.0806697108066971</x:v>
      </x:c>
      <x:c r="R595" s="10" t="n">
        <x:f>G595+H595</x:f>
        <x:v>499</x:v>
      </x:c>
      <x:c r="S595" s="11" t="n">
        <x:f>IFERROR(R595/F595,"")</x:f>
        <x:v>0.7595129375951294</x:v>
      </x:c>
      <x:c r="T595" s="11" t="n">
        <x:f>IFERROR(R595/P595,"")</x:f>
        <x:v>0.8261589403973509</x:v>
      </x:c>
      <x:c r="U595" s="10" t="n">
        <x:f>I595+J595+K595</x:f>
        <x:v>103</x:v>
      </x:c>
      <x:c r="V595" s="11" t="n">
        <x:f>IFERROR(U595/P595,"")</x:f>
        <x:v>0.17052980132450332</x:v>
      </x:c>
      <x:c r="W595" s="9" t="str">
        <x:v>provisional_gt_5pct_pending</x:v>
      </x:c>
      <x:c r="X595" s="12" t="n">
        <x:f>IFERROR(F595/Z595*100000,"")</x:f>
        <x:v>24.14198574263247</x:v>
      </x:c>
      <x:c r="Y595" s="13" t="n">
        <x:f>LN(Z595)</x:f>
        <x:v>14.816657011738895</x:v>
      </x:c>
      <x:c r="Z595" s="6" t="str">
        <x:v>2721400</x:v>
      </x:c>
      <x:c r="AA595" s="6" t="str">
        <x:v>188.0</x:v>
      </x:c>
      <x:c r="AB595" s="9" t="str">
        <x:v>2025-06-30</x:v>
      </x:c>
      <x:c r="AC595" s="8" t="str">
        <x:v>87.7</x:v>
      </x:c>
      <x:c r="AD595" s="9" t="str">
        <x:v>2025 (Susenas)</x:v>
      </x:c>
      <x:c r="AE595" s="8" t="str">
        <x:v>6.71</x:v>
      </x:c>
      <x:c r="AF595" s="9" t="str">
        <x:v>Maret 2025 (Susenas)</x:v>
      </x:c>
      <x:c r="AG595" s="6" t="str">
        <x:v>25.953269664629005</x:v>
      </x:c>
      <x:c r="AH595" s="8" t="str">
        <x:v>84.20274395822833</x:v>
      </x:c>
      <x:c r="AI595" s="6" t="str">
        <x:v>233.9377321749936</x:v>
      </x:c>
      <x:c r="AJ595" s="6" t="str">
        <x:v>0.2183764967611061</x:v>
      </x:c>
      <x:c r="AK595" s="8" t="str">
        <x:v>0.6556444280263964</x:v>
      </x:c>
      <x:c r="AL595" s="6" t="str">
        <x:v>0.8383677856151098</x:v>
      </x:c>
      <x:c r="AM595" s="6" t="str">
        <x:v>0.0402828304191231</x:v>
      </x:c>
      <x:c r="AN595" s="6" t="str">
        <x:v>0.511431681353543</x:v>
      </x:c>
      <x:c r="AO595" s="6" t="str">
        <x:v>0.0883027163446001</x:v>
      </x:c>
      <x:c r="AP595" s="8" t="str">
        <x:v>0.0457283124441865</x:v>
      </x:c>
      <x:c r="AQ595" s="6" t="str">
        <x:v>-0.2863051921409677</x:v>
      </x:c>
      <x:c r="AR595" s="6" t="str">
        <x:v>0.2491497809169603</x:v>
      </x:c>
      <x:c r="AS595" s="6" t="str">
        <x:v>0.0028576337400598</x:v>
      </x:c>
      <x:c r="AT595" s="6" t="str">
        <x:v>54.81824785611056</x:v>
      </x:c>
      <x:c r="AU595" s="8" t="str">
        <x:v>0.8026045978413745</x:v>
      </x:c>
      <x:c r="AV595" s="6" t="str">
        <x:v>0.6764962676409726</x:v>
      </x:c>
      <x:c r="AW595" s="6" t="str">
        <x:v>1.317426124146311</x:v>
      </x:c>
      <x:c r="AX595" s="6" t="str">
        <x:v>0.9321756632095528</x:v>
      </x:c>
      <x:c r="AY595" s="6" t="str">
        <x:v>0</x:v>
      </x:c>
      <x:c r="AZ595" s="6" t="str">
        <x:v>0</x:v>
      </x:c>
      <x:c r="BA595" s="9" t="str">
        <x:v>grid_cells_within_BIG_polygon</x:v>
      </x:c>
      <x:c r="BB595" s="6" t="str">
        <x:v>5</x:v>
      </x:c>
      <x:c r="BC595" s="6" t="str">
        <x:v>0</x:v>
      </x:c>
      <x:c r="BD595" s="6" t="str">
        <x:v>0</x:v>
      </x:c>
      <x:c r="BE595" s="6" t="str">
        <x:v>0</x:v>
      </x:c>
      <x:c r="BF595" s="6" t="str">
        <x:v>0</x:v>
      </x:c>
      <x:c r="BG595" s="6" t="str">
        <x:v>0</x:v>
      </x:c>
      <x:c r="BH595" s="6" t="str">
        <x:v>0</x:v>
      </x:c>
      <x:c r="BI595" s="6" t="str">
        <x:v>0</x:v>
      </x:c>
      <x:c r="BJ595" s="6" t="str">
        <x:v>0</x:v>
      </x:c>
      <x:c r="BK595" s="6" t="str">
        <x:v>0</x:v>
      </x:c>
      <x:c r="BL595" s="6" t="str">
        <x:v>0</x:v>
      </x:c>
      <x:c r="BM595" s="6" t="str">
        <x:v>0</x:v>
      </x:c>
      <x:c r="BN595" s="6" t="str">
        <x:v>0</x:v>
      </x:c>
      <x:c r="BO595" s="6" t="str"/>
      <x:c r="BP595" s="6" t="str">
        <x:v>0</x:v>
      </x:c>
      <x:c r="BQ595" s="6" t="str"/>
      <x:c r="BR595" s="6" t="str">
        <x:v>0</x:v>
      </x:c>
      <x:c r="BS595" s="6" t="str"/>
      <x:c r="BT595" s="6" t="str">
        <x:v>0</x:v>
      </x:c>
      <x:c r="BU595" s="6" t="str"/>
      <x:c r="BV595" s="6" t="str">
        <x:v>0</x:v>
      </x:c>
      <x:c r="BW595" s="9" t="str">
        <x:v>operational_snapshot_annual_totals_may_differ</x:v>
      </x:c>
      <x:c r="BX595" s="9" t="str">
        <x:v>official_live_dashboard_snapshot_subject_to_revision</x:v>
      </x:c>
      <x:c r="BY595" s="9" t="str">
        <x:v>https://tbdashboard.sitb.id/ss_data_tbc03so_2025_provinsi_bulanan_list.php</x:v>
      </x:c>
      <x:c r="BZ595" s="6" t="n">
        <x:v>46246.610671296294</x:v>
      </x:c>
    </x:row>
    <x:row r="596" ht="18" customHeight="1">
      <x:c r="A596" s="6" t="str">
        <x:v>71</x:v>
      </x:c>
      <x:c r="B596" s="6" t="str">
        <x:v>SULAWESI UTARA</x:v>
      </x:c>
      <x:c r="C596" s="6" t="str">
        <x:v>2025</x:v>
      </x:c>
      <x:c r="D596" s="6" t="str">
        <x:v>7</x:v>
      </x:c>
      <x:c r="E596" s="6" t="str">
        <x:v>2025-07</x:v>
      </x:c>
      <x:c r="F596" s="6" t="str">
        <x:v>732</x:v>
      </x:c>
      <x:c r="G596" s="6" t="str">
        <x:v>105</x:v>
      </x:c>
      <x:c r="H596" s="6" t="str">
        <x:v>416</x:v>
      </x:c>
      <x:c r="I596" s="6" t="str">
        <x:v>78</x:v>
      </x:c>
      <x:c r="J596" s="6" t="str">
        <x:v>51</x:v>
      </x:c>
      <x:c r="K596" s="6" t="str">
        <x:v>7</x:v>
      </x:c>
      <x:c r="L596" s="6" t="str">
        <x:v>2</x:v>
      </x:c>
      <x:c r="M596" s="6" t="str">
        <x:v>73</x:v>
      </x:c>
      <x:c r="N596" s="6" t="str">
        <x:v>732</x:v>
      </x:c>
      <x:c r="O596" s="6" t="str">
        <x:v>0</x:v>
      </x:c>
      <x:c r="P596" s="10" t="n">
        <x:f>F596-M596</x:f>
        <x:v>659</x:v>
      </x:c>
      <x:c r="Q596" s="11" t="n">
        <x:f>IFERROR(M596/F596,"")</x:f>
        <x:v>0.09972677595628415</x:v>
      </x:c>
      <x:c r="R596" s="10" t="n">
        <x:f>G596+H596</x:f>
        <x:v>521</x:v>
      </x:c>
      <x:c r="S596" s="11" t="n">
        <x:f>IFERROR(R596/F596,"")</x:f>
        <x:v>0.7117486338797814</x:v>
      </x:c>
      <x:c r="T596" s="11" t="n">
        <x:f>IFERROR(R596/P596,"")</x:f>
        <x:v>0.7905918057663126</x:v>
      </x:c>
      <x:c r="U596" s="10" t="n">
        <x:f>I596+J596+K596</x:f>
        <x:v>136</x:v>
      </x:c>
      <x:c r="V596" s="11" t="n">
        <x:f>IFERROR(U596/P596,"")</x:f>
        <x:v>0.20637329286798178</x:v>
      </x:c>
      <x:c r="W596" s="9" t="str">
        <x:v>provisional_gt_5pct_pending</x:v>
      </x:c>
      <x:c r="X596" s="12" t="n">
        <x:f>IFERROR(F596/Z596*100000,"")</x:f>
        <x:v>26.897920188138457</x:v>
      </x:c>
      <x:c r="Y596" s="13" t="n">
        <x:f>LN(Z596)</x:f>
        <x:v>14.816657011738895</x:v>
      </x:c>
      <x:c r="Z596" s="6" t="str">
        <x:v>2721400</x:v>
      </x:c>
      <x:c r="AA596" s="6" t="str">
        <x:v>188.0</x:v>
      </x:c>
      <x:c r="AB596" s="9" t="str">
        <x:v>2025-06-30</x:v>
      </x:c>
      <x:c r="AC596" s="8" t="str">
        <x:v>87.7</x:v>
      </x:c>
      <x:c r="AD596" s="9" t="str">
        <x:v>2025 (Susenas)</x:v>
      </x:c>
      <x:c r="AE596" s="8" t="str">
        <x:v>6.71</x:v>
      </x:c>
      <x:c r="AF596" s="9" t="str">
        <x:v>Maret 2025 (Susenas)</x:v>
      </x:c>
      <x:c r="AG596" s="6" t="str">
        <x:v>25.743135305760088</x:v>
      </x:c>
      <x:c r="AH596" s="8" t="str">
        <x:v>85.00704639047697</x:v>
      </x:c>
      <x:c r="AI596" s="6" t="str">
        <x:v>149.84065362033138</x:v>
      </x:c>
      <x:c r="AJ596" s="6" t="str">
        <x:v>0.5047152996460618</x:v>
      </x:c>
      <x:c r="AK596" s="8" t="str">
        <x:v>1.50919387617585</x:v>
      </x:c>
      <x:c r="AL596" s="6" t="str">
        <x:v>0.6556444280263964</x:v>
      </x:c>
      <x:c r="AM596" s="6" t="str">
        <x:v>0.8383677856151098</x:v>
      </x:c>
      <x:c r="AN596" s="6" t="str">
        <x:v>1.0010686966057851</x:v>
      </x:c>
      <x:c r="AO596" s="6" t="str">
        <x:v>0.3822810713430442</x:v>
      </x:c>
      <x:c r="AP596" s="8" t="str">
        <x:v>0.2568642155665901</x:v>
      </x:c>
      <x:c r="AQ596" s="6" t="str">
        <x:v>0.0457283124441865</x:v>
      </x:c>
      <x:c r="AR596" s="6" t="str">
        <x:v>-0.2863051921409677</x:v>
      </x:c>
      <x:c r="AS596" s="6" t="str">
        <x:v>0.0054291119566031</x:v>
      </x:c>
      <x:c r="AT596" s="6" t="str">
        <x:v>10.772834217363226</x:v>
      </x:c>
      <x:c r="AU596" s="8" t="str">
        <x:v>0.1460773380584937</x:v>
      </x:c>
      <x:c r="AV596" s="6" t="str">
        <x:v>0.8026045978413745</x:v>
      </x:c>
      <x:c r="AW596" s="6" t="str">
        <x:v>0.6764962676409726</x:v>
      </x:c>
      <x:c r="AX596" s="6" t="str">
        <x:v>0.5417260678469471</x:v>
      </x:c>
      <x:c r="AY596" s="6" t="str">
        <x:v>0</x:v>
      </x:c>
      <x:c r="AZ596" s="6" t="str">
        <x:v>1</x:v>
      </x:c>
      <x:c r="BA596" s="9" t="str">
        <x:v>grid_cells_within_BIG_polygon</x:v>
      </x:c>
      <x:c r="BB596" s="6" t="str">
        <x:v>5</x:v>
      </x:c>
      <x:c r="BC596" s="6" t="str">
        <x:v>1</x:v>
      </x:c>
      <x:c r="BD596" s="6" t="str">
        <x:v>1</x:v>
      </x:c>
      <x:c r="BE596" s="6" t="str">
        <x:v>0</x:v>
      </x:c>
      <x:c r="BF596" s="6" t="str">
        <x:v>0</x:v>
      </x:c>
      <x:c r="BG596" s="6" t="str">
        <x:v>0</x:v>
      </x:c>
      <x:c r="BH596" s="6" t="str">
        <x:v>0</x:v>
      </x:c>
      <x:c r="BI596" s="6" t="str">
        <x:v>1</x:v>
      </x:c>
      <x:c r="BJ596" s="6" t="str">
        <x:v>0</x:v>
      </x:c>
      <x:c r="BK596" s="6" t="str">
        <x:v>0</x:v>
      </x:c>
      <x:c r="BL596" s="6" t="str">
        <x:v>0</x:v>
      </x:c>
      <x:c r="BM596" s="6" t="str">
        <x:v>0</x:v>
      </x:c>
      <x:c r="BN596" s="6" t="str">
        <x:v>1</x:v>
      </x:c>
      <x:c r="BO596" s="6" t="str"/>
      <x:c r="BP596" s="6" t="str">
        <x:v>0</x:v>
      </x:c>
      <x:c r="BQ596" s="6" t="str"/>
      <x:c r="BR596" s="6" t="str">
        <x:v>0</x:v>
      </x:c>
      <x:c r="BS596" s="6" t="str">
        <x:v>0.0</x:v>
      </x:c>
      <x:c r="BT596" s="6" t="str">
        <x:v>1</x:v>
      </x:c>
      <x:c r="BU596" s="6" t="str"/>
      <x:c r="BV596" s="6" t="str">
        <x:v>0</x:v>
      </x:c>
      <x:c r="BW596" s="9" t="str">
        <x:v>operational_snapshot_annual_totals_may_differ</x:v>
      </x:c>
      <x:c r="BX596" s="9" t="str">
        <x:v>official_live_dashboard_snapshot_subject_to_revision</x:v>
      </x:c>
      <x:c r="BY596" s="9" t="str">
        <x:v>https://tbdashboard.sitb.id/ss_data_tbc03so_2025_provinsi_bulanan_list.php</x:v>
      </x:c>
      <x:c r="BZ596" s="6" t="n">
        <x:v>46246.610671296294</x:v>
      </x:c>
    </x:row>
    <x:row r="597" ht="18" customHeight="1">
      <x:c r="A597" s="6" t="str">
        <x:v>71</x:v>
      </x:c>
      <x:c r="B597" s="6" t="str">
        <x:v>SULAWESI UTARA</x:v>
      </x:c>
      <x:c r="C597" s="6" t="str">
        <x:v>2025</x:v>
      </x:c>
      <x:c r="D597" s="6" t="str">
        <x:v>8</x:v>
      </x:c>
      <x:c r="E597" s="6" t="str">
        <x:v>2025-08</x:v>
      </x:c>
      <x:c r="F597" s="6" t="str">
        <x:v>673</x:v>
      </x:c>
      <x:c r="G597" s="6" t="str">
        <x:v>98</x:v>
      </x:c>
      <x:c r="H597" s="6" t="str">
        <x:v>382</x:v>
      </x:c>
      <x:c r="I597" s="6" t="str">
        <x:v>55</x:v>
      </x:c>
      <x:c r="J597" s="6" t="str">
        <x:v>44</x:v>
      </x:c>
      <x:c r="K597" s="6" t="str">
        <x:v>3</x:v>
      </x:c>
      <x:c r="L597" s="6" t="str">
        <x:v>3</x:v>
      </x:c>
      <x:c r="M597" s="6" t="str">
        <x:v>88</x:v>
      </x:c>
      <x:c r="N597" s="6" t="str">
        <x:v>673</x:v>
      </x:c>
      <x:c r="O597" s="6" t="str">
        <x:v>0</x:v>
      </x:c>
      <x:c r="P597" s="10" t="n">
        <x:f>F597-M597</x:f>
        <x:v>585</x:v>
      </x:c>
      <x:c r="Q597" s="11" t="n">
        <x:f>IFERROR(M597/F597,"")</x:f>
        <x:v>0.13075780089153047</x:v>
      </x:c>
      <x:c r="R597" s="10" t="n">
        <x:f>G597+H597</x:f>
        <x:v>480</x:v>
      </x:c>
      <x:c r="S597" s="11" t="n">
        <x:f>IFERROR(R597/F597,"")</x:f>
        <x:v>0.7132243684992571</x:v>
      </x:c>
      <x:c r="T597" s="11" t="n">
        <x:f>IFERROR(R597/P597,"")</x:f>
        <x:v>0.8205128205128205</x:v>
      </x:c>
      <x:c r="U597" s="10" t="n">
        <x:f>I597+J597+K597</x:f>
        <x:v>102</x:v>
      </x:c>
      <x:c r="V597" s="11" t="n">
        <x:f>IFERROR(U597/P597,"")</x:f>
        <x:v>0.17435897435897435</x:v>
      </x:c>
      <x:c r="W597" s="9" t="str">
        <x:v>provisional_gt_5pct_pending</x:v>
      </x:c>
      <x:c r="X597" s="12" t="n">
        <x:f>IFERROR(F597/Z597*100000,"")</x:f>
        <x:v>24.729918424340415</x:v>
      </x:c>
      <x:c r="Y597" s="13" t="n">
        <x:f>LN(Z597)</x:f>
        <x:v>14.816657011738895</x:v>
      </x:c>
      <x:c r="Z597" s="6" t="str">
        <x:v>2721400</x:v>
      </x:c>
      <x:c r="AA597" s="6" t="str">
        <x:v>188.0</x:v>
      </x:c>
      <x:c r="AB597" s="9" t="str">
        <x:v>2025-06-30</x:v>
      </x:c>
      <x:c r="AC597" s="8" t="str">
        <x:v>87.7</x:v>
      </x:c>
      <x:c r="AD597" s="9" t="str">
        <x:v>2025 (Susenas)</x:v>
      </x:c>
      <x:c r="AE597" s="8" t="str">
        <x:v>6.71</x:v>
      </x:c>
      <x:c r="AF597" s="9" t="str">
        <x:v>Maret 2025 (Susenas)</x:v>
      </x:c>
      <x:c r="AG597" s="6" t="str">
        <x:v>25.29115451453082</x:v>
      </x:c>
      <x:c r="AH597" s="8" t="str">
        <x:v>85.17915705013908</x:v>
      </x:c>
      <x:c r="AI597" s="6" t="str">
        <x:v>164.03983302100545</x:v>
      </x:c>
      <x:c r="AJ597" s="6" t="str">
        <x:v>0.0021269199727633</x:v>
      </x:c>
      <x:c r="AK597" s="8" t="str">
        <x:v>0.0062297342877132</x:v>
      </x:c>
      <x:c r="AL597" s="6" t="str">
        <x:v>1.50919387617585</x:v>
      </x:c>
      <x:c r="AM597" s="6" t="str">
        <x:v>0.6556444280263964</x:v>
      </x:c>
      <x:c r="AN597" s="6" t="str">
        <x:v>0.7236893461633197</x:v>
      </x:c>
      <x:c r="AO597" s="6" t="str">
        <x:v>2.253865720333195</x:v>
      </x:c>
      <x:c r="AP597" s="8" t="str">
        <x:v>0.7036368649978093</x:v>
      </x:c>
      <x:c r="AQ597" s="6" t="str">
        <x:v>0.2568642155665901</x:v>
      </x:c>
      <x:c r="AR597" s="6" t="str">
        <x:v>0.0457283124441865</x:v>
      </x:c>
      <x:c r="AS597" s="6" t="str">
        <x:v>0.3354097976695288</x:v>
      </x:c>
      <x:c r="AT597" s="6" t="str">
        <x:v>79.192768841828</x:v>
      </x:c>
      <x:c r="AU597" s="8" t="str">
        <x:v>1.3115308723741306</x:v>
      </x:c>
      <x:c r="AV597" s="6" t="str">
        <x:v>0.1460773380584937</x:v>
      </x:c>
      <x:c r="AW597" s="6" t="str">
        <x:v>0.8026045978413745</x:v>
      </x:c>
      <x:c r="AX597" s="6" t="str">
        <x:v>0.7534042694246664</x:v>
      </x:c>
      <x:c r="AY597" s="6" t="str">
        <x:v>1</x:v>
      </x:c>
      <x:c r="AZ597" s="6" t="str">
        <x:v>0</x:v>
      </x:c>
      <x:c r="BA597" s="9" t="str">
        <x:v>grid_cells_within_BIG_polygon</x:v>
      </x:c>
      <x:c r="BB597" s="6" t="str">
        <x:v>5</x:v>
      </x:c>
      <x:c r="BC597" s="6" t="str">
        <x:v>6</x:v>
      </x:c>
      <x:c r="BD597" s="6" t="str">
        <x:v>6</x:v>
      </x:c>
      <x:c r="BE597" s="6" t="str">
        <x:v>5</x:v>
      </x:c>
      <x:c r="BF597" s="6" t="str">
        <x:v>0</x:v>
      </x:c>
      <x:c r="BG597" s="6" t="str">
        <x:v>1</x:v>
      </x:c>
      <x:c r="BH597" s="6" t="str">
        <x:v>0</x:v>
      </x:c>
      <x:c r="BI597" s="6" t="str">
        <x:v>0</x:v>
      </x:c>
      <x:c r="BJ597" s="6" t="str">
        <x:v>0</x:v>
      </x:c>
      <x:c r="BK597" s="6" t="str">
        <x:v>0</x:v>
      </x:c>
      <x:c r="BL597" s="6" t="str">
        <x:v>0</x:v>
      </x:c>
      <x:c r="BM597" s="6" t="str">
        <x:v>0</x:v>
      </x:c>
      <x:c r="BN597" s="6" t="str">
        <x:v>6</x:v>
      </x:c>
      <x:c r="BO597" s="6" t="str"/>
      <x:c r="BP597" s="6" t="str">
        <x:v>0</x:v>
      </x:c>
      <x:c r="BQ597" s="6" t="str"/>
      <x:c r="BR597" s="6" t="str">
        <x:v>0</x:v>
      </x:c>
      <x:c r="BS597" s="6" t="str">
        <x:v>73.0</x:v>
      </x:c>
      <x:c r="BT597" s="6" t="str">
        <x:v>6</x:v>
      </x:c>
      <x:c r="BU597" s="6" t="str">
        <x:v>376.0</x:v>
      </x:c>
      <x:c r="BV597" s="6" t="str">
        <x:v>3</x:v>
      </x:c>
      <x:c r="BW597" s="9" t="str">
        <x:v>operational_snapshot_annual_totals_may_differ</x:v>
      </x:c>
      <x:c r="BX597" s="9" t="str">
        <x:v>official_live_dashboard_snapshot_subject_to_revision</x:v>
      </x:c>
      <x:c r="BY597" s="9" t="str">
        <x:v>https://tbdashboard.sitb.id/ss_data_tbc03so_2025_provinsi_bulanan_list.php</x:v>
      </x:c>
      <x:c r="BZ597" s="6" t="n">
        <x:v>46246.610671296294</x:v>
      </x:c>
    </x:row>
    <x:row r="598" ht="18" customHeight="1">
      <x:c r="A598" s="6" t="str">
        <x:v>71</x:v>
      </x:c>
      <x:c r="B598" s="6" t="str">
        <x:v>SULAWESI UTARA</x:v>
      </x:c>
      <x:c r="C598" s="6" t="str">
        <x:v>2025</x:v>
      </x:c>
      <x:c r="D598" s="6" t="str">
        <x:v>9</x:v>
      </x:c>
      <x:c r="E598" s="6" t="str">
        <x:v>2025-09</x:v>
      </x:c>
      <x:c r="F598" s="6" t="str">
        <x:v>758</x:v>
      </x:c>
      <x:c r="G598" s="6" t="str">
        <x:v>98</x:v>
      </x:c>
      <x:c r="H598" s="6" t="str">
        <x:v>389</x:v>
      </x:c>
      <x:c r="I598" s="6" t="str">
        <x:v>69</x:v>
      </x:c>
      <x:c r="J598" s="6" t="str">
        <x:v>39</x:v>
      </x:c>
      <x:c r="K598" s="6" t="str">
        <x:v>4</x:v>
      </x:c>
      <x:c r="L598" s="6" t="str">
        <x:v>5</x:v>
      </x:c>
      <x:c r="M598" s="6" t="str">
        <x:v>154</x:v>
      </x:c>
      <x:c r="N598" s="6" t="str">
        <x:v>758</x:v>
      </x:c>
      <x:c r="O598" s="6" t="str">
        <x:v>0</x:v>
      </x:c>
      <x:c r="P598" s="10" t="n">
        <x:f>F598-M598</x:f>
        <x:v>604</x:v>
      </x:c>
      <x:c r="Q598" s="11" t="n">
        <x:f>IFERROR(M598/F598,"")</x:f>
        <x:v>0.20316622691292877</x:v>
      </x:c>
      <x:c r="R598" s="10" t="n">
        <x:f>G598+H598</x:f>
        <x:v>487</x:v>
      </x:c>
      <x:c r="S598" s="11" t="n">
        <x:f>IFERROR(R598/F598,"")</x:f>
        <x:v>0.6424802110817942</x:v>
      </x:c>
      <x:c r="T598" s="11" t="n">
        <x:f>IFERROR(R598/P598,"")</x:f>
        <x:v>0.8062913907284768</x:v>
      </x:c>
      <x:c r="U598" s="10" t="n">
        <x:f>I598+J598+K598</x:f>
        <x:v>112</x:v>
      </x:c>
      <x:c r="V598" s="11" t="n">
        <x:f>IFERROR(U598/P598,"")</x:f>
        <x:v>0.18543046357615894</x:v>
      </x:c>
      <x:c r="W598" s="9" t="str">
        <x:v>provisional_gt_5pct_pending</x:v>
      </x:c>
      <x:c r="X598" s="12" t="n">
        <x:f>IFERROR(F598/Z598*100000,"")</x:f>
        <x:v>27.853310795913867</x:v>
      </x:c>
      <x:c r="Y598" s="13" t="n">
        <x:f>LN(Z598)</x:f>
        <x:v>14.816657011738895</x:v>
      </x:c>
      <x:c r="Z598" s="6" t="str">
        <x:v>2721400</x:v>
      </x:c>
      <x:c r="AA598" s="6" t="str">
        <x:v>188.0</x:v>
      </x:c>
      <x:c r="AB598" s="9" t="str">
        <x:v>2025-06-30</x:v>
      </x:c>
      <x:c r="AC598" s="8" t="str">
        <x:v>87.7</x:v>
      </x:c>
      <x:c r="AD598" s="9" t="str">
        <x:v>2025 (Susenas)</x:v>
      </x:c>
      <x:c r="AE598" s="8" t="str">
        <x:v>6.71</x:v>
      </x:c>
      <x:c r="AF598" s="9" t="str">
        <x:v>Maret 2025 (Susenas)</x:v>
      </x:c>
      <x:c r="AG598" s="6" t="str">
        <x:v>25.79323310501767</x:v>
      </x:c>
      <x:c r="AH598" s="8" t="str">
        <x:v>84.71322745892559</x:v>
      </x:c>
      <x:c r="AI598" s="6" t="str">
        <x:v>145.81038776364954</x:v>
      </x:c>
      <x:c r="AJ598" s="6" t="str">
        <x:v>0.0071675114114313</x:v>
      </x:c>
      <x:c r="AK598" s="8" t="str">
        <x:v>0.0185379931051284</x:v>
      </x:c>
      <x:c r="AL598" s="6" t="str">
        <x:v>0.0062297342877132</x:v>
      </x:c>
      <x:c r="AM598" s="6" t="str">
        <x:v>1.50919387617585</x:v>
      </x:c>
      <x:c r="AN598" s="6" t="str">
        <x:v>0.511320534522897</x:v>
      </x:c>
      <x:c r="AO598" s="6" t="str">
        <x:v>4.879118130760716</x:v>
      </x:c>
      <x:c r="AP598" s="8" t="str">
        <x:v>1.133165613555684</x:v>
      </x:c>
      <x:c r="AQ598" s="6" t="str">
        <x:v>0.7036368649978093</x:v>
      </x:c>
      <x:c r="AR598" s="6" t="str">
        <x:v>0.2568642155665901</x:v>
      </x:c>
      <x:c r="AS598" s="6" t="str">
        <x:v>0.697888898040028</x:v>
      </x:c>
      <x:c r="AT598" s="6" t="str">
        <x:v>71.08395093134835</x:v>
      </x:c>
      <x:c r="AU598" s="8" t="str">
        <x:v>1.2805953207674574</x:v>
      </x:c>
      <x:c r="AV598" s="6" t="str">
        <x:v>1.3115308723741306</x:v>
      </x:c>
      <x:c r="AW598" s="6" t="str">
        <x:v>0.1460773380584937</x:v>
      </x:c>
      <x:c r="AX598" s="6" t="str">
        <x:v>0.9127345104000276</x:v>
      </x:c>
      <x:c r="AY598" s="6" t="str">
        <x:v>1</x:v>
      </x:c>
      <x:c r="AZ598" s="6" t="str">
        <x:v>0</x:v>
      </x:c>
      <x:c r="BA598" s="9" t="str">
        <x:v>grid_cells_within_BIG_polygon</x:v>
      </x:c>
      <x:c r="BB598" s="6" t="str">
        <x:v>5</x:v>
      </x:c>
      <x:c r="BC598" s="6" t="str">
        <x:v>1</x:v>
      </x:c>
      <x:c r="BD598" s="6" t="str">
        <x:v>1</x:v>
      </x:c>
      <x:c r="BE598" s="6" t="str">
        <x:v>1</x:v>
      </x:c>
      <x:c r="BF598" s="6" t="str">
        <x:v>0</x:v>
      </x:c>
      <x:c r="BG598" s="6" t="str">
        <x:v>0</x:v>
      </x:c>
      <x:c r="BH598" s="6" t="str">
        <x:v>0</x:v>
      </x:c>
      <x:c r="BI598" s="6" t="str">
        <x:v>0</x:v>
      </x:c>
      <x:c r="BJ598" s="6" t="str">
        <x:v>0</x:v>
      </x:c>
      <x:c r="BK598" s="6" t="str">
        <x:v>0</x:v>
      </x:c>
      <x:c r="BL598" s="6" t="str">
        <x:v>0</x:v>
      </x:c>
      <x:c r="BM598" s="6" t="str">
        <x:v>0</x:v>
      </x:c>
      <x:c r="BN598" s="6" t="str">
        <x:v>1</x:v>
      </x:c>
      <x:c r="BO598" s="6" t="str"/>
      <x:c r="BP598" s="6" t="str">
        <x:v>0</x:v>
      </x:c>
      <x:c r="BQ598" s="6" t="str"/>
      <x:c r="BR598" s="6" t="str">
        <x:v>0</x:v>
      </x:c>
      <x:c r="BS598" s="6" t="str">
        <x:v>0.0</x:v>
      </x:c>
      <x:c r="BT598" s="6" t="str">
        <x:v>1</x:v>
      </x:c>
      <x:c r="BU598" s="6" t="str">
        <x:v>57.0</x:v>
      </x:c>
      <x:c r="BV598" s="6" t="str">
        <x:v>1</x:v>
      </x:c>
      <x:c r="BW598" s="9" t="str">
        <x:v>operational_snapshot_annual_totals_may_differ</x:v>
      </x:c>
      <x:c r="BX598" s="9" t="str">
        <x:v>official_live_dashboard_snapshot_subject_to_revision</x:v>
      </x:c>
      <x:c r="BY598" s="9" t="str">
        <x:v>https://tbdashboard.sitb.id/ss_data_tbc03so_2025_provinsi_bulanan_list.php</x:v>
      </x:c>
      <x:c r="BZ598" s="6" t="n">
        <x:v>46246.610671296294</x:v>
      </x:c>
    </x:row>
    <x:row r="599" ht="18" customHeight="1">
      <x:c r="A599" s="6" t="str">
        <x:v>71</x:v>
      </x:c>
      <x:c r="B599" s="6" t="str">
        <x:v>SULAWESI UTARA</x:v>
      </x:c>
      <x:c r="C599" s="6" t="str">
        <x:v>2025</x:v>
      </x:c>
      <x:c r="D599" s="6" t="str">
        <x:v>10</x:v>
      </x:c>
      <x:c r="E599" s="6" t="str">
        <x:v>2025-10</x:v>
      </x:c>
      <x:c r="F599" s="6" t="str">
        <x:v>813</x:v>
      </x:c>
      <x:c r="G599" s="6" t="str">
        <x:v>116</x:v>
      </x:c>
      <x:c r="H599" s="6" t="str">
        <x:v>389</x:v>
      </x:c>
      <x:c r="I599" s="6" t="str">
        <x:v>72</x:v>
      </x:c>
      <x:c r="J599" s="6" t="str">
        <x:v>47</x:v>
      </x:c>
      <x:c r="K599" s="6" t="str">
        <x:v>1</x:v>
      </x:c>
      <x:c r="L599" s="6" t="str">
        <x:v>1</x:v>
      </x:c>
      <x:c r="M599" s="6" t="str">
        <x:v>187</x:v>
      </x:c>
      <x:c r="N599" s="6" t="str">
        <x:v>813</x:v>
      </x:c>
      <x:c r="O599" s="6" t="str">
        <x:v>0</x:v>
      </x:c>
      <x:c r="P599" s="10" t="n">
        <x:f>F599-M599</x:f>
        <x:v>626</x:v>
      </x:c>
      <x:c r="Q599" s="11" t="n">
        <x:f>IFERROR(M599/F599,"")</x:f>
        <x:v>0.23001230012300122</x:v>
      </x:c>
      <x:c r="R599" s="10" t="n">
        <x:f>G599+H599</x:f>
        <x:v>505</x:v>
      </x:c>
      <x:c r="S599" s="11" t="n">
        <x:f>IFERROR(R599/F599,"")</x:f>
        <x:v>0.6211562115621156</x:v>
      </x:c>
      <x:c r="T599" s="11" t="n">
        <x:f>IFERROR(R599/P599,"")</x:f>
        <x:v>0.8067092651757188</x:v>
      </x:c>
      <x:c r="U599" s="10" t="n">
        <x:f>I599+J599+K599</x:f>
        <x:v>120</x:v>
      </x:c>
      <x:c r="V599" s="11" t="n">
        <x:f>IFERROR(U599/P599,"")</x:f>
        <x:v>0.19169329073482427</x:v>
      </x:c>
      <x:c r="W599" s="9" t="str">
        <x:v>provisional_gt_5pct_pending</x:v>
      </x:c>
      <x:c r="X599" s="12" t="n">
        <x:f>IFERROR(F599/Z599*100000,"")</x:f>
        <x:v>29.874329389284927</x:v>
      </x:c>
      <x:c r="Y599" s="13" t="n">
        <x:f>LN(Z599)</x:f>
        <x:v>14.816657011738895</x:v>
      </x:c>
      <x:c r="Z599" s="6" t="str">
        <x:v>2721400</x:v>
      </x:c>
      <x:c r="AA599" s="6" t="str">
        <x:v>188.0</x:v>
      </x:c>
      <x:c r="AB599" s="9" t="str">
        <x:v>2025-06-30</x:v>
      </x:c>
      <x:c r="AC599" s="8" t="str">
        <x:v>87.7</x:v>
      </x:c>
      <x:c r="AD599" s="9" t="str">
        <x:v>2025 (Susenas)</x:v>
      </x:c>
      <x:c r="AE599" s="8" t="str">
        <x:v>6.71</x:v>
      </x:c>
      <x:c r="AF599" s="9" t="str">
        <x:v>Maret 2025 (Susenas)</x:v>
      </x:c>
      <x:c r="AG599" s="6" t="str">
        <x:v>26.39532555881984</x:v>
      </x:c>
      <x:c r="AH599" s="8" t="str">
        <x:v>80.62664999050621</x:v>
      </x:c>
      <x:c r="AI599" s="6" t="str">
        <x:v>192.5250382627723</x:v>
      </x:c>
      <x:c r="AJ599" s="6" t="str">
        <x:v>-0.0064678029709206</x:v>
      </x:c>
      <x:c r="AK599" s="8" t="str">
        <x:v>-0.0150802430577096</x:v>
      </x:c>
      <x:c r="AL599" s="6" t="str">
        <x:v>0.0185379931051284</x:v>
      </x:c>
      <x:c r="AM599" s="6" t="str">
        <x:v>0.0062297342877132</x:v>
      </x:c>
      <x:c r="AN599" s="6" t="str">
        <x:v>0.0032291614450438</x:v>
      </x:c>
      <x:c r="AO599" s="6" t="str">
        <x:v>2.539794970140377</x:v>
      </x:c>
      <x:c r="AP599" s="8" t="str">
        <x:v>0.5235298657785418</x:v>
      </x:c>
      <x:c r="AQ599" s="6" t="str">
        <x:v>1.133165613555684</x:v>
      </x:c>
      <x:c r="AR599" s="6" t="str">
        <x:v>0.7036368649978093</x:v>
      </x:c>
      <x:c r="AS599" s="6" t="str">
        <x:v>0.7867774481106785</x:v>
      </x:c>
      <x:c r="AT599" s="6" t="str">
        <x:v>68.74961617674938</x:v>
      </x:c>
      <x:c r="AU599" s="8" t="str">
        <x:v>0.9398951148304968</x:v>
      </x:c>
      <x:c r="AV599" s="6" t="str">
        <x:v>1.2805953207674574</x:v>
      </x:c>
      <x:c r="AW599" s="6" t="str">
        <x:v>1.3115308723741306</x:v>
      </x:c>
      <x:c r="AX599" s="6" t="str">
        <x:v>1.1773404359906952</x:v>
      </x:c>
      <x:c r="AY599" s="6" t="str">
        <x:v>0</x:v>
      </x:c>
      <x:c r="AZ599" s="6" t="str">
        <x:v>0</x:v>
      </x:c>
      <x:c r="BA599" s="9" t="str">
        <x:v>grid_cells_within_BIG_polygon</x:v>
      </x:c>
      <x:c r="BB599" s="6" t="str">
        <x:v>5</x:v>
      </x:c>
      <x:c r="BC599" s="6" t="str">
        <x:v>1</x:v>
      </x:c>
      <x:c r="BD599" s="6" t="str">
        <x:v>1</x:v>
      </x:c>
      <x:c r="BE599" s="6" t="str">
        <x:v>1</x:v>
      </x:c>
      <x:c r="BF599" s="6" t="str">
        <x:v>0</x:v>
      </x:c>
      <x:c r="BG599" s="6" t="str">
        <x:v>0</x:v>
      </x:c>
      <x:c r="BH599" s="6" t="str">
        <x:v>0</x:v>
      </x:c>
      <x:c r="BI599" s="6" t="str">
        <x:v>0</x:v>
      </x:c>
      <x:c r="BJ599" s="6" t="str">
        <x:v>0</x:v>
      </x:c>
      <x:c r="BK599" s="6" t="str">
        <x:v>0</x:v>
      </x:c>
      <x:c r="BL599" s="6" t="str">
        <x:v>0</x:v>
      </x:c>
      <x:c r="BM599" s="6" t="str">
        <x:v>0</x:v>
      </x:c>
      <x:c r="BN599" s="6" t="str">
        <x:v>1</x:v>
      </x:c>
      <x:c r="BO599" s="6" t="str"/>
      <x:c r="BP599" s="6" t="str">
        <x:v>0</x:v>
      </x:c>
      <x:c r="BQ599" s="6" t="str"/>
      <x:c r="BR599" s="6" t="str">
        <x:v>0</x:v>
      </x:c>
      <x:c r="BS599" s="6" t="str">
        <x:v>13.0</x:v>
      </x:c>
      <x:c r="BT599" s="6" t="str">
        <x:v>1</x:v>
      </x:c>
      <x:c r="BU599" s="6" t="str">
        <x:v>1907.0</x:v>
      </x:c>
      <x:c r="BV599" s="6" t="str">
        <x:v>1</x:v>
      </x:c>
      <x:c r="BW599" s="9" t="str">
        <x:v>operational_snapshot_annual_totals_may_differ</x:v>
      </x:c>
      <x:c r="BX599" s="9" t="str">
        <x:v>official_live_dashboard_snapshot_subject_to_revision</x:v>
      </x:c>
      <x:c r="BY599" s="9" t="str">
        <x:v>https://tbdashboard.sitb.id/ss_data_tbc03so_2025_provinsi_bulanan_list.php</x:v>
      </x:c>
      <x:c r="BZ599" s="6" t="n">
        <x:v>46246.610671296294</x:v>
      </x:c>
    </x:row>
    <x:row r="600" ht="18" customHeight="1">
      <x:c r="A600" s="6" t="str">
        <x:v>71</x:v>
      </x:c>
      <x:c r="B600" s="6" t="str">
        <x:v>SULAWESI UTARA</x:v>
      </x:c>
      <x:c r="C600" s="6" t="str">
        <x:v>2025</x:v>
      </x:c>
      <x:c r="D600" s="6" t="str">
        <x:v>11</x:v>
      </x:c>
      <x:c r="E600" s="6" t="str">
        <x:v>2025-11</x:v>
      </x:c>
      <x:c r="F600" s="6" t="str">
        <x:v>733</x:v>
      </x:c>
      <x:c r="G600" s="6" t="str">
        <x:v>78</x:v>
      </x:c>
      <x:c r="H600" s="6" t="str">
        <x:v>317</x:v>
      </x:c>
      <x:c r="I600" s="6" t="str">
        <x:v>49</x:v>
      </x:c>
      <x:c r="J600" s="6" t="str">
        <x:v>31</x:v>
      </x:c>
      <x:c r="K600" s="6" t="str">
        <x:v>4</x:v>
      </x:c>
      <x:c r="L600" s="6" t="str">
        <x:v>0</x:v>
      </x:c>
      <x:c r="M600" s="6" t="str">
        <x:v>254</x:v>
      </x:c>
      <x:c r="N600" s="6" t="str">
        <x:v>733</x:v>
      </x:c>
      <x:c r="O600" s="6" t="str">
        <x:v>0</x:v>
      </x:c>
      <x:c r="P600" s="10" t="n">
        <x:f>F600-M600</x:f>
        <x:v>479</x:v>
      </x:c>
      <x:c r="Q600" s="11" t="n">
        <x:f>IFERROR(M600/F600,"")</x:f>
        <x:v>0.34652114597544337</x:v>
      </x:c>
      <x:c r="R600" s="10" t="n">
        <x:f>G600+H600</x:f>
        <x:v>395</x:v>
      </x:c>
      <x:c r="S600" s="11" t="n">
        <x:f>IFERROR(R600/F600,"")</x:f>
        <x:v>0.538881309686221</x:v>
      </x:c>
      <x:c r="T600" s="11" t="n">
        <x:f>IFERROR(R600/P600,"")</x:f>
        <x:v>0.824634655532359</x:v>
      </x:c>
      <x:c r="U600" s="10" t="n">
        <x:f>I600+J600+K600</x:f>
        <x:v>84</x:v>
      </x:c>
      <x:c r="V600" s="11" t="n">
        <x:f>IFERROR(U600/P600,"")</x:f>
        <x:v>0.17536534446764093</x:v>
      </x:c>
      <x:c r="W600" s="9" t="str">
        <x:v>provisional_gt_5pct_pending</x:v>
      </x:c>
      <x:c r="X600" s="12" t="n">
        <x:f>IFERROR(F600/Z600*100000,"")</x:f>
        <x:v>26.934665980745205</x:v>
      </x:c>
      <x:c r="Y600" s="13" t="n">
        <x:f>LN(Z600)</x:f>
        <x:v>14.816657011738895</x:v>
      </x:c>
      <x:c r="Z600" s="6" t="str">
        <x:v>2721400</x:v>
      </x:c>
      <x:c r="AA600" s="6" t="str">
        <x:v>188.0</x:v>
      </x:c>
      <x:c r="AB600" s="9" t="str">
        <x:v>2025-06-30</x:v>
      </x:c>
      <x:c r="AC600" s="8" t="str">
        <x:v>87.7</x:v>
      </x:c>
      <x:c r="AD600" s="9" t="str">
        <x:v>2025 (Susenas)</x:v>
      </x:c>
      <x:c r="AE600" s="8" t="str">
        <x:v>6.71</x:v>
      </x:c>
      <x:c r="AF600" s="9" t="str">
        <x:v>Maret 2025 (Susenas)</x:v>
      </x:c>
      <x:c r="AG600" s="6" t="str">
        <x:v>26.505380632025336</x:v>
      </x:c>
      <x:c r="AH600" s="8" t="str">
        <x:v>82.9701730513872</x:v>
      </x:c>
      <x:c r="AI600" s="6" t="str">
        <x:v>202.8142906875624</x:v>
      </x:c>
      <x:c r="AJ600" s="6" t="str">
        <x:v>0.0885584165708976</x:v>
      </x:c>
      <x:c r="AK600" s="8" t="str">
        <x:v>0.1879523975689271</x:v>
      </x:c>
      <x:c r="AL600" s="6" t="str">
        <x:v>-0.0150802430577096</x:v>
      </x:c>
      <x:c r="AM600" s="6" t="str">
        <x:v>0.0185379931051284</x:v>
      </x:c>
      <x:c r="AN600" s="6" t="str">
        <x:v>0.0638033825387818</x:v>
      </x:c>
      <x:c r="AO600" s="6" t="str">
        <x:v>2.524980162558549</x:v>
      </x:c>
      <x:c r="AP600" s="8" t="str">
        <x:v>0.6433382479583223</x:v>
      </x:c>
      <x:c r="AQ600" s="6" t="str">
        <x:v>0.5235298657785418</x:v>
      </x:c>
      <x:c r="AR600" s="6" t="str">
        <x:v>1.133165613555684</x:v>
      </x:c>
      <x:c r="AS600" s="6" t="str">
        <x:v>0.7666779090975161</x:v>
      </x:c>
      <x:c r="AT600" s="6" t="str">
        <x:v>31.40979441187747</x:v>
      </x:c>
      <x:c r="AU600" s="8" t="str">
        <x:v>0.4820321002696759</x:v>
      </x:c>
      <x:c r="AV600" s="6" t="str">
        <x:v>0.9398951148304968</x:v>
      </x:c>
      <x:c r="AW600" s="6" t="str">
        <x:v>1.2805953207674574</x:v>
      </x:c>
      <x:c r="AX600" s="6" t="str">
        <x:v>0.9008408452892104</x:v>
      </x:c>
      <x:c r="AY600" s="6" t="str">
        <x:v>0</x:v>
      </x:c>
      <x:c r="AZ600" s="6" t="str">
        <x:v>0</x:v>
      </x:c>
      <x:c r="BA600" s="9" t="str">
        <x:v>grid_cells_within_BIG_polygon</x:v>
      </x:c>
      <x:c r="BB600" s="6" t="str">
        <x:v>5</x:v>
      </x:c>
      <x:c r="BC600" s="6" t="str">
        <x:v>2</x:v>
      </x:c>
      <x:c r="BD600" s="6" t="str">
        <x:v>2</x:v>
      </x:c>
      <x:c r="BE600" s="6" t="str">
        <x:v>1</x:v>
      </x:c>
      <x:c r="BF600" s="6" t="str">
        <x:v>0</x:v>
      </x:c>
      <x:c r="BG600" s="6" t="str">
        <x:v>1</x:v>
      </x:c>
      <x:c r="BH600" s="6" t="str">
        <x:v>0</x:v>
      </x:c>
      <x:c r="BI600" s="6" t="str">
        <x:v>0</x:v>
      </x:c>
      <x:c r="BJ600" s="6" t="str">
        <x:v>0</x:v>
      </x:c>
      <x:c r="BK600" s="6" t="str">
        <x:v>0</x:v>
      </x:c>
      <x:c r="BL600" s="6" t="str">
        <x:v>0</x:v>
      </x:c>
      <x:c r="BM600" s="6" t="str">
        <x:v>0</x:v>
      </x:c>
      <x:c r="BN600" s="6" t="str">
        <x:v>2</x:v>
      </x:c>
      <x:c r="BO600" s="6" t="str"/>
      <x:c r="BP600" s="6" t="str">
        <x:v>0</x:v>
      </x:c>
      <x:c r="BQ600" s="6" t="str"/>
      <x:c r="BR600" s="6" t="str">
        <x:v>0</x:v>
      </x:c>
      <x:c r="BS600" s="6" t="str">
        <x:v>18.0</x:v>
      </x:c>
      <x:c r="BT600" s="6" t="str">
        <x:v>2</x:v>
      </x:c>
      <x:c r="BU600" s="6" t="str">
        <x:v>28.0</x:v>
      </x:c>
      <x:c r="BV600" s="6" t="str">
        <x:v>1</x:v>
      </x:c>
      <x:c r="BW600" s="9" t="str">
        <x:v>operational_snapshot_annual_totals_may_differ</x:v>
      </x:c>
      <x:c r="BX600" s="9" t="str">
        <x:v>official_live_dashboard_snapshot_subject_to_revision</x:v>
      </x:c>
      <x:c r="BY600" s="9" t="str">
        <x:v>https://tbdashboard.sitb.id/ss_data_tbc03so_2025_provinsi_bulanan_list.php</x:v>
      </x:c>
      <x:c r="BZ600" s="6" t="n">
        <x:v>46246.610671296294</x:v>
      </x:c>
    </x:row>
    <x:row r="601" ht="18" customHeight="1">
      <x:c r="A601" s="6" t="str">
        <x:v>71</x:v>
      </x:c>
      <x:c r="B601" s="6" t="str">
        <x:v>SULAWESI UTARA</x:v>
      </x:c>
      <x:c r="C601" s="6" t="str">
        <x:v>2025</x:v>
      </x:c>
      <x:c r="D601" s="6" t="str">
        <x:v>12</x:v>
      </x:c>
      <x:c r="E601" s="6" t="str">
        <x:v>2025-12</x:v>
      </x:c>
      <x:c r="F601" s="6" t="str">
        <x:v>658</x:v>
      </x:c>
      <x:c r="G601" s="6" t="str">
        <x:v>66</x:v>
      </x:c>
      <x:c r="H601" s="6" t="str">
        <x:v>260</x:v>
      </x:c>
      <x:c r="I601" s="6" t="str">
        <x:v>40</x:v>
      </x:c>
      <x:c r="J601" s="6" t="str">
        <x:v>34</x:v>
      </x:c>
      <x:c r="K601" s="6" t="str">
        <x:v>1</x:v>
      </x:c>
      <x:c r="L601" s="6" t="str">
        <x:v>4</x:v>
      </x:c>
      <x:c r="M601" s="6" t="str">
        <x:v>253</x:v>
      </x:c>
      <x:c r="N601" s="6" t="str">
        <x:v>658</x:v>
      </x:c>
      <x:c r="O601" s="6" t="str">
        <x:v>0</x:v>
      </x:c>
      <x:c r="P601" s="10" t="n">
        <x:f>F601-M601</x:f>
        <x:v>405</x:v>
      </x:c>
      <x:c r="Q601" s="11" t="n">
        <x:f>IFERROR(M601/F601,"")</x:f>
        <x:v>0.3844984802431611</x:v>
      </x:c>
      <x:c r="R601" s="10" t="n">
        <x:f>G601+H601</x:f>
        <x:v>326</x:v>
      </x:c>
      <x:c r="S601" s="11" t="n">
        <x:f>IFERROR(R601/F601,"")</x:f>
        <x:v>0.49544072948328266</x:v>
      </x:c>
      <x:c r="T601" s="11" t="n">
        <x:f>IFERROR(R601/P601,"")</x:f>
        <x:v>0.8049382716049382</x:v>
      </x:c>
      <x:c r="U601" s="10" t="n">
        <x:f>I601+J601+K601</x:f>
        <x:v>75</x:v>
      </x:c>
      <x:c r="V601" s="11" t="n">
        <x:f>IFERROR(U601/P601,"")</x:f>
        <x:v>0.18518518518518517</x:v>
      </x:c>
      <x:c r="W601" s="9" t="str">
        <x:v>provisional_gt_5pct_pending</x:v>
      </x:c>
      <x:c r="X601" s="12" t="n">
        <x:f>IFERROR(F601/Z601*100000,"")</x:f>
        <x:v>24.178731535239216</x:v>
      </x:c>
      <x:c r="Y601" s="13" t="n">
        <x:f>LN(Z601)</x:f>
        <x:v>14.816657011738895</x:v>
      </x:c>
      <x:c r="Z601" s="6" t="str">
        <x:v>2721400</x:v>
      </x:c>
      <x:c r="AA601" s="6" t="str">
        <x:v>188.0</x:v>
      </x:c>
      <x:c r="AB601" s="9" t="str">
        <x:v>2025-06-30</x:v>
      </x:c>
      <x:c r="AC601" s="8" t="str">
        <x:v>87.7</x:v>
      </x:c>
      <x:c r="AD601" s="9" t="str">
        <x:v>2025 (Susenas)</x:v>
      </x:c>
      <x:c r="AE601" s="8" t="str">
        <x:v>6.71</x:v>
      </x:c>
      <x:c r="AF601" s="9" t="str">
        <x:v>Maret 2025 (Susenas)</x:v>
      </x:c>
      <x:c r="AG601" s="6" t="str">
        <x:v>26.14930618838938</x:v>
      </x:c>
      <x:c r="AH601" s="8" t="str">
        <x:v>84.79037403847919</x:v>
      </x:c>
      <x:c r="AI601" s="6" t="str">
        <x:v>199.77106811754416</x:v>
      </x:c>
      <x:c r="AJ601" s="6" t="str">
        <x:v>0.0837434547601496</x:v>
      </x:c>
      <x:c r="AK601" s="8" t="str">
        <x:v>0.1988562031110046</x:v>
      </x:c>
      <x:c r="AL601" s="6" t="str">
        <x:v>0.1879523975689271</x:v>
      </x:c>
      <x:c r="AM601" s="6" t="str">
        <x:v>-0.0150802430577096</x:v>
      </x:c>
      <x:c r="AN601" s="6" t="str">
        <x:v>0.1239094525407405</x:v>
      </x:c>
      <x:c r="AO601" s="6" t="str">
        <x:v>1.8051344162096967</x:v>
      </x:c>
      <x:c r="AP601" s="8" t="str">
        <x:v>0.7397866295672213</x:v>
      </x:c>
      <x:c r="AQ601" s="6" t="str">
        <x:v>0.6433382479583223</x:v>
      </x:c>
      <x:c r="AR601" s="6" t="str">
        <x:v>0.5235298657785418</x:v>
      </x:c>
      <x:c r="AS601" s="6" t="str">
        <x:v>0.635551581101362</x:v>
      </x:c>
      <x:c r="AT601" s="6" t="str">
        <x:v>11.547957628630256</x:v>
      </x:c>
      <x:c r="AU601" s="8" t="str">
        <x:v>0.167352488980145</x:v>
      </x:c>
      <x:c r="AV601" s="6" t="str">
        <x:v>0.4820321002696759</x:v>
      </x:c>
      <x:c r="AW601" s="6" t="str">
        <x:v>0.9398951148304968</x:v>
      </x:c>
      <x:c r="AX601" s="6" t="str">
        <x:v>0.5297599013601062</x:v>
      </x:c>
      <x:c r="AY601" s="6" t="str">
        <x:v>0</x:v>
      </x:c>
      <x:c r="AZ601" s="6" t="str">
        <x:v>0</x:v>
      </x:c>
      <x:c r="BA601" s="9" t="str">
        <x:v>grid_cells_within_BIG_polygon</x:v>
      </x:c>
      <x:c r="BB601" s="6" t="str">
        <x:v>5</x:v>
      </x:c>
      <x:c r="BC601" s="6" t="str">
        <x:v>1</x:v>
      </x:c>
      <x:c r="BD601" s="6" t="str">
        <x:v>1</x:v>
      </x:c>
      <x:c r="BE601" s="6" t="str">
        <x:v>1</x:v>
      </x:c>
      <x:c r="BF601" s="6" t="str">
        <x:v>0</x:v>
      </x:c>
      <x:c r="BG601" s="6" t="str">
        <x:v>0</x:v>
      </x:c>
      <x:c r="BH601" s="6" t="str">
        <x:v>0</x:v>
      </x:c>
      <x:c r="BI601" s="6" t="str">
        <x:v>0</x:v>
      </x:c>
      <x:c r="BJ601" s="6" t="str">
        <x:v>0</x:v>
      </x:c>
      <x:c r="BK601" s="6" t="str">
        <x:v>0</x:v>
      </x:c>
      <x:c r="BL601" s="6" t="str">
        <x:v>0</x:v>
      </x:c>
      <x:c r="BM601" s="6" t="str">
        <x:v>0</x:v>
      </x:c>
      <x:c r="BN601" s="6" t="str">
        <x:v>1</x:v>
      </x:c>
      <x:c r="BO601" s="6" t="str"/>
      <x:c r="BP601" s="6" t="str">
        <x:v>0</x:v>
      </x:c>
      <x:c r="BQ601" s="6" t="str"/>
      <x:c r="BR601" s="6" t="str">
        <x:v>0</x:v>
      </x:c>
      <x:c r="BS601" s="6" t="str">
        <x:v>0.0</x:v>
      </x:c>
      <x:c r="BT601" s="6" t="str">
        <x:v>1</x:v>
      </x:c>
      <x:c r="BU601" s="6" t="str">
        <x:v>18.0</x:v>
      </x:c>
      <x:c r="BV601" s="6" t="str">
        <x:v>1</x:v>
      </x:c>
      <x:c r="BW601" s="9" t="str">
        <x:v>operational_snapshot_annual_totals_may_differ</x:v>
      </x:c>
      <x:c r="BX601" s="9" t="str">
        <x:v>official_live_dashboard_snapshot_subject_to_revision</x:v>
      </x:c>
      <x:c r="BY601" s="9" t="str">
        <x:v>https://tbdashboard.sitb.id/ss_data_tbc03so_2025_provinsi_bulanan_list.php</x:v>
      </x:c>
      <x:c r="BZ601" s="6" t="n">
        <x:v>46246.610671296294</x:v>
      </x:c>
    </x:row>
    <x:row r="602" ht="18" customHeight="1">
      <x:c r="A602" s="6" t="str">
        <x:v>72</x:v>
      </x:c>
      <x:c r="B602" s="6" t="str">
        <x:v>SULAWESI TENGAH</x:v>
      </x:c>
      <x:c r="C602" s="6" t="str">
        <x:v>2024</x:v>
      </x:c>
      <x:c r="D602" s="6" t="str">
        <x:v>1</x:v>
      </x:c>
      <x:c r="E602" s="6" t="str">
        <x:v>2024-01</x:v>
      </x:c>
      <x:c r="F602" s="6" t="str">
        <x:v>633</x:v>
      </x:c>
      <x:c r="G602" s="6" t="str">
        <x:v>104</x:v>
      </x:c>
      <x:c r="H602" s="6" t="str">
        <x:v>427</x:v>
      </x:c>
      <x:c r="I602" s="6" t="str">
        <x:v>59</x:v>
      </x:c>
      <x:c r="J602" s="6" t="str">
        <x:v>41</x:v>
      </x:c>
      <x:c r="K602" s="6" t="str">
        <x:v>2</x:v>
      </x:c>
      <x:c r="L602" s="6" t="str">
        <x:v>0</x:v>
      </x:c>
      <x:c r="M602" s="6" t="str">
        <x:v>0</x:v>
      </x:c>
      <x:c r="N602" s="6" t="str">
        <x:v>633</x:v>
      </x:c>
      <x:c r="O602" s="6" t="str">
        <x:v>0</x:v>
      </x:c>
      <x:c r="P602" s="10" t="n">
        <x:f>F602-M602</x:f>
        <x:v>633</x:v>
      </x:c>
      <x:c r="Q602" s="11" t="n">
        <x:f>IFERROR(M602/F602,"")</x:f>
        <x:v>0</x:v>
      </x:c>
      <x:c r="R602" s="10" t="n">
        <x:f>G602+H602</x:f>
        <x:v>531</x:v>
      </x:c>
      <x:c r="S602" s="11" t="n">
        <x:f>IFERROR(R602/F602,"")</x:f>
        <x:v>0.8388625592417062</x:v>
      </x:c>
      <x:c r="T602" s="11" t="n">
        <x:f>IFERROR(R602/P602,"")</x:f>
        <x:v>0.8388625592417062</x:v>
      </x:c>
      <x:c r="U602" s="10" t="n">
        <x:f>I602+J602+K602</x:f>
        <x:v>102</x:v>
      </x:c>
      <x:c r="V602" s="11" t="n">
        <x:f>IFERROR(U602/P602,"")</x:f>
        <x:v>0.16113744075829384</x:v>
      </x:c>
      <x:c r="W602" s="9" t="str">
        <x:v>mature_le_5pct_pending</x:v>
      </x:c>
      <x:c r="X602" s="12" t="n">
        <x:f>IFERROR(F602/Z602*100000,"")</x:f>
        <x:v>20.276763405727465</x:v>
      </x:c>
      <x:c r="Y602" s="13" t="n">
        <x:f>LN(Z602)</x:f>
        <x:v>14.95392031650645</x:v>
      </x:c>
      <x:c r="Z602" s="6" t="str">
        <x:v>3121800</x:v>
      </x:c>
      <x:c r="AA602" s="6" t="str">
        <x:v>51.0</x:v>
      </x:c>
      <x:c r="AB602" s="9" t="str">
        <x:v>2024-06-30</x:v>
      </x:c>
      <x:c r="AC602" s="8" t="str">
        <x:v>77.4</x:v>
      </x:c>
      <x:c r="AD602" s="9" t="str">
        <x:v>2024 (Susenas)</x:v>
      </x:c>
      <x:c r="AE602" s="8" t="str">
        <x:v>11.77</x:v>
      </x:c>
      <x:c r="AF602" s="9" t="str">
        <x:v>Maret 2024 (Susenas)</x:v>
      </x:c>
      <x:c r="AG602" s="6" t="str">
        <x:v>24.78518483720717</x:v>
      </x:c>
      <x:c r="AH602" s="8" t="str">
        <x:v>85.76465178228582</x:v>
      </x:c>
      <x:c r="AI602" s="6" t="str">
        <x:v>207.74802819862745</x:v>
      </x:c>
      <x:c r="AJ602" s="6" t="str">
        <x:v>0.7483265163208657</x:v>
      </x:c>
      <x:c r="AK602" s="8" t="str">
        <x:v>1.7293240811790542</x:v>
      </x:c>
      <x:c r="AL602" s="6" t="str">
        <x:v>2.3343888865220634</x:v>
      </x:c>
      <x:c r="AM602" s="6" t="str">
        <x:v>2.52284415984075</x:v>
      </x:c>
      <x:c r="AN602" s="6" t="str">
        <x:v>2.195519042513956</x:v>
      </x:c>
      <x:c r="AO602" s="6" t="str">
        <x:v>-0.6280275292714492</x:v>
      </x:c>
      <x:c r="AP602" s="8" t="str">
        <x:v>-0.2985880702271681</x:v>
      </x:c>
      <x:c r="AQ602" s="6" t="str">
        <x:v>-0.5659405490456226</x:v>
      </x:c>
      <x:c r="AR602" s="6" t="str">
        <x:v>-0.2658572829047373</x:v>
      </x:c>
      <x:c r="AS602" s="6" t="str">
        <x:v>-0.3767953007258426</x:v>
      </x:c>
      <x:c r="AT602" s="6" t="str">
        <x:v>23.84906358144258</x:v>
      </x:c>
      <x:c r="AU602" s="8" t="str">
        <x:v>0.3179641093651969</x:v>
      </x:c>
      <x:c r="AV602" s="6" t="str">
        <x:v>1.790862210230053</x:v>
      </x:c>
      <x:c r="AW602" s="6" t="str">
        <x:v>1.5623855264215818</x:v>
      </x:c>
      <x:c r="AX602" s="6" t="str">
        <x:v>1.2237372820056107</x:v>
      </x:c>
      <x:c r="AY602" s="6" t="str">
        <x:v>0</x:v>
      </x:c>
      <x:c r="AZ602" s="6" t="str">
        <x:v>1</x:v>
      </x:c>
      <x:c r="BA602" s="9" t="str">
        <x:v>grid_cells_within_BIG_polygon</x:v>
      </x:c>
      <x:c r="BB602" s="6" t="str">
        <x:v>16</x:v>
      </x:c>
      <x:c r="BC602" s="6" t="str">
        <x:v>7</x:v>
      </x:c>
      <x:c r="BD602" s="6" t="str">
        <x:v>7</x:v>
      </x:c>
      <x:c r="BE602" s="6" t="str">
        <x:v>6</x:v>
      </x:c>
      <x:c r="BF602" s="6" t="str">
        <x:v>0</x:v>
      </x:c>
      <x:c r="BG602" s="6" t="str">
        <x:v>0</x:v>
      </x:c>
      <x:c r="BH602" s="6" t="str">
        <x:v>0</x:v>
      </x:c>
      <x:c r="BI602" s="6" t="str">
        <x:v>1</x:v>
      </x:c>
      <x:c r="BJ602" s="6" t="str">
        <x:v>0</x:v>
      </x:c>
      <x:c r="BK602" s="6" t="str">
        <x:v>0</x:v>
      </x:c>
      <x:c r="BL602" s="6" t="str">
        <x:v>0</x:v>
      </x:c>
      <x:c r="BM602" s="6" t="str">
        <x:v>0</x:v>
      </x:c>
      <x:c r="BN602" s="6" t="str">
        <x:v>7</x:v>
      </x:c>
      <x:c r="BO602" s="6" t="str">
        <x:v>1.0</x:v>
      </x:c>
      <x:c r="BP602" s="6" t="str">
        <x:v>7</x:v>
      </x:c>
      <x:c r="BQ602" s="6" t="str">
        <x:v>0.0</x:v>
      </x:c>
      <x:c r="BR602" s="6" t="str">
        <x:v>7</x:v>
      </x:c>
      <x:c r="BS602" s="6" t="str">
        <x:v>24.0</x:v>
      </x:c>
      <x:c r="BT602" s="6" t="str">
        <x:v>7</x:v>
      </x:c>
      <x:c r="BU602" s="6" t="str">
        <x:v>679.0</x:v>
      </x:c>
      <x:c r="BV602" s="6" t="str">
        <x:v>4</x:v>
      </x:c>
      <x:c r="BW602" s="9" t="str">
        <x:v>operational_snapshot_annual_totals_may_differ</x:v>
      </x:c>
      <x:c r="BX602" s="9" t="str">
        <x:v>official_live_dashboard_snapshot_subject_to_revision</x:v>
      </x:c>
      <x:c r="BY602" s="9" t="str">
        <x:v>https://tbdashboard.sitb.id/ss_data_tbc03so_2024_provinsi_bulanan_list.php</x:v>
      </x:c>
      <x:c r="BZ602" s="6" t="n">
        <x:v>46246.610671296294</x:v>
      </x:c>
    </x:row>
    <x:row r="603" ht="18" customHeight="1">
      <x:c r="A603" s="6" t="str">
        <x:v>72</x:v>
      </x:c>
      <x:c r="B603" s="6" t="str">
        <x:v>SULAWESI TENGAH</x:v>
      </x:c>
      <x:c r="C603" s="6" t="str">
        <x:v>2024</x:v>
      </x:c>
      <x:c r="D603" s="6" t="str">
        <x:v>2</x:v>
      </x:c>
      <x:c r="E603" s="6" t="str">
        <x:v>2024-02</x:v>
      </x:c>
      <x:c r="F603" s="6" t="str">
        <x:v>608</x:v>
      </x:c>
      <x:c r="G603" s="6" t="str">
        <x:v>97</x:v>
      </x:c>
      <x:c r="H603" s="6" t="str">
        <x:v>390</x:v>
      </x:c>
      <x:c r="I603" s="6" t="str">
        <x:v>69</x:v>
      </x:c>
      <x:c r="J603" s="6" t="str">
        <x:v>50</x:v>
      </x:c>
      <x:c r="K603" s="6" t="str">
        <x:v>1</x:v>
      </x:c>
      <x:c r="L603" s="6" t="str">
        <x:v>1</x:v>
      </x:c>
      <x:c r="M603" s="6" t="str">
        <x:v>0</x:v>
      </x:c>
      <x:c r="N603" s="6" t="str">
        <x:v>608</x:v>
      </x:c>
      <x:c r="O603" s="6" t="str">
        <x:v>0</x:v>
      </x:c>
      <x:c r="P603" s="10" t="n">
        <x:f>F603-M603</x:f>
        <x:v>608</x:v>
      </x:c>
      <x:c r="Q603" s="11" t="n">
        <x:f>IFERROR(M603/F603,"")</x:f>
        <x:v>0</x:v>
      </x:c>
      <x:c r="R603" s="10" t="n">
        <x:f>G603+H603</x:f>
        <x:v>487</x:v>
      </x:c>
      <x:c r="S603" s="11" t="n">
        <x:f>IFERROR(R603/F603,"")</x:f>
        <x:v>0.8009868421052632</x:v>
      </x:c>
      <x:c r="T603" s="11" t="n">
        <x:f>IFERROR(R603/P603,"")</x:f>
        <x:v>0.8009868421052632</x:v>
      </x:c>
      <x:c r="U603" s="10" t="n">
        <x:f>I603+J603+K603</x:f>
        <x:v>120</x:v>
      </x:c>
      <x:c r="V603" s="11" t="n">
        <x:f>IFERROR(U603/P603,"")</x:f>
        <x:v>0.19736842105263158</x:v>
      </x:c>
      <x:c r="W603" s="9" t="str">
        <x:v>mature_le_5pct_pending</x:v>
      </x:c>
      <x:c r="X603" s="12" t="n">
        <x:f>IFERROR(F603/Z603*100000,"")</x:f>
        <x:v>19.475943366006792</x:v>
      </x:c>
      <x:c r="Y603" s="13" t="n">
        <x:f>LN(Z603)</x:f>
        <x:v>14.95392031650645</x:v>
      </x:c>
      <x:c r="Z603" s="6" t="str">
        <x:v>3121800</x:v>
      </x:c>
      <x:c r="AA603" s="6" t="str">
        <x:v>51.0</x:v>
      </x:c>
      <x:c r="AB603" s="9" t="str">
        <x:v>2024-06-30</x:v>
      </x:c>
      <x:c r="AC603" s="8" t="str">
        <x:v>77.4</x:v>
      </x:c>
      <x:c r="AD603" s="9" t="str">
        <x:v>2024 (Susenas)</x:v>
      </x:c>
      <x:c r="AE603" s="8" t="str">
        <x:v>11.77</x:v>
      </x:c>
      <x:c r="AF603" s="9" t="str">
        <x:v>Maret 2024 (Susenas)</x:v>
      </x:c>
      <x:c r="AG603" s="6" t="str">
        <x:v>24.96018019511171</x:v>
      </x:c>
      <x:c r="AH603" s="8" t="str">
        <x:v>85.6857692940588</x:v>
      </x:c>
      <x:c r="AI603" s="6" t="str">
        <x:v>199.20526358212297</x:v>
      </x:c>
      <x:c r="AJ603" s="6" t="str">
        <x:v>0.9051091894327392</x:v>
      </x:c>
      <x:c r="AK603" s="8" t="str">
        <x:v>2.0282720579528544</x:v>
      </x:c>
      <x:c r="AL603" s="6" t="str">
        <x:v>1.7293240811790542</x:v>
      </x:c>
      <x:c r="AM603" s="6" t="str">
        <x:v>2.3343888865220634</x:v>
      </x:c>
      <x:c r="AN603" s="6" t="str">
        <x:v>2.0306616752179907</x:v>
      </x:c>
      <x:c r="AO603" s="6" t="str">
        <x:v>-0.3552000296430293</x:v>
      </x:c>
      <x:c r="AP603" s="8" t="str">
        <x:v>-0.1477750654068565</x:v>
      </x:c>
      <x:c r="AQ603" s="6" t="str">
        <x:v>-0.2985880702271681</x:v>
      </x:c>
      <x:c r="AR603" s="6" t="str">
        <x:v>-0.5659405490456226</x:v>
      </x:c>
      <x:c r="AS603" s="6" t="str">
        <x:v>-0.3374345615598824</x:v>
      </x:c>
      <x:c r="AT603" s="6" t="str">
        <x:v>39.65635002710266</x:v>
      </x:c>
      <x:c r="AU603" s="8" t="str">
        <x:v>0.6067091437987109</x:v>
      </x:c>
      <x:c r="AV603" s="6" t="str">
        <x:v>0.3179641093651969</x:v>
      </x:c>
      <x:c r="AW603" s="6" t="str">
        <x:v>1.790862210230053</x:v>
      </x:c>
      <x:c r="AX603" s="6" t="str">
        <x:v>0.9051784877979872</x:v>
      </x:c>
      <x:c r="AY603" s="6" t="str">
        <x:v>0</x:v>
      </x:c>
      <x:c r="AZ603" s="6" t="str">
        <x:v>1</x:v>
      </x:c>
      <x:c r="BA603" s="9" t="str">
        <x:v>grid_cells_within_BIG_polygon</x:v>
      </x:c>
      <x:c r="BB603" s="6" t="str">
        <x:v>16</x:v>
      </x:c>
      <x:c r="BC603" s="6" t="str">
        <x:v>2</x:v>
      </x:c>
      <x:c r="BD603" s="6" t="str">
        <x:v>2</x:v>
      </x:c>
      <x:c r="BE603" s="6" t="str">
        <x:v>1</x:v>
      </x:c>
      <x:c r="BF603" s="6" t="str">
        <x:v>0</x:v>
      </x:c>
      <x:c r="BG603" s="6" t="str">
        <x:v>0</x:v>
      </x:c>
      <x:c r="BH603" s="6" t="str">
        <x:v>0</x:v>
      </x:c>
      <x:c r="BI603" s="6" t="str">
        <x:v>1</x:v>
      </x:c>
      <x:c r="BJ603" s="6" t="str">
        <x:v>0</x:v>
      </x:c>
      <x:c r="BK603" s="6" t="str">
        <x:v>0</x:v>
      </x:c>
      <x:c r="BL603" s="6" t="str">
        <x:v>0</x:v>
      </x:c>
      <x:c r="BM603" s="6" t="str">
        <x:v>0</x:v>
      </x:c>
      <x:c r="BN603" s="6" t="str">
        <x:v>2</x:v>
      </x:c>
      <x:c r="BO603" s="6" t="str">
        <x:v>2.0</x:v>
      </x:c>
      <x:c r="BP603" s="6" t="str">
        <x:v>2</x:v>
      </x:c>
      <x:c r="BQ603" s="6" t="str">
        <x:v>0.0</x:v>
      </x:c>
      <x:c r="BR603" s="6" t="str">
        <x:v>2</x:v>
      </x:c>
      <x:c r="BS603" s="6" t="str">
        <x:v>0.0</x:v>
      </x:c>
      <x:c r="BT603" s="6" t="str">
        <x:v>2</x:v>
      </x:c>
      <x:c r="BU603" s="6" t="str"/>
      <x:c r="BV603" s="6" t="str">
        <x:v>0</x:v>
      </x:c>
      <x:c r="BW603" s="9" t="str">
        <x:v>operational_snapshot_annual_totals_may_differ</x:v>
      </x:c>
      <x:c r="BX603" s="9" t="str">
        <x:v>official_live_dashboard_snapshot_subject_to_revision</x:v>
      </x:c>
      <x:c r="BY603" s="9" t="str">
        <x:v>https://tbdashboard.sitb.id/ss_data_tbc03so_2024_provinsi_bulanan_list.php</x:v>
      </x:c>
      <x:c r="BZ603" s="6" t="n">
        <x:v>46246.610671296294</x:v>
      </x:c>
    </x:row>
    <x:row r="604" ht="18" customHeight="1">
      <x:c r="A604" s="6" t="str">
        <x:v>72</x:v>
      </x:c>
      <x:c r="B604" s="6" t="str">
        <x:v>SULAWESI TENGAH</x:v>
      </x:c>
      <x:c r="C604" s="6" t="str">
        <x:v>2024</x:v>
      </x:c>
      <x:c r="D604" s="6" t="str">
        <x:v>3</x:v>
      </x:c>
      <x:c r="E604" s="6" t="str">
        <x:v>2024-03</x:v>
      </x:c>
      <x:c r="F604" s="6" t="str">
        <x:v>616</x:v>
      </x:c>
      <x:c r="G604" s="6" t="str">
        <x:v>100</x:v>
      </x:c>
      <x:c r="H604" s="6" t="str">
        <x:v>391</x:v>
      </x:c>
      <x:c r="I604" s="6" t="str">
        <x:v>69</x:v>
      </x:c>
      <x:c r="J604" s="6" t="str">
        <x:v>56</x:v>
      </x:c>
      <x:c r="K604" s="6" t="str">
        <x:v>0</x:v>
      </x:c>
      <x:c r="L604" s="6" t="str">
        <x:v>0</x:v>
      </x:c>
      <x:c r="M604" s="6" t="str">
        <x:v>0</x:v>
      </x:c>
      <x:c r="N604" s="6" t="str">
        <x:v>616</x:v>
      </x:c>
      <x:c r="O604" s="6" t="str">
        <x:v>0</x:v>
      </x:c>
      <x:c r="P604" s="10" t="n">
        <x:f>F604-M604</x:f>
        <x:v>616</x:v>
      </x:c>
      <x:c r="Q604" s="11" t="n">
        <x:f>IFERROR(M604/F604,"")</x:f>
        <x:v>0</x:v>
      </x:c>
      <x:c r="R604" s="10" t="n">
        <x:f>G604+H604</x:f>
        <x:v>491</x:v>
      </x:c>
      <x:c r="S604" s="11" t="n">
        <x:f>IFERROR(R604/F604,"")</x:f>
        <x:v>0.797077922077922</x:v>
      </x:c>
      <x:c r="T604" s="11" t="n">
        <x:f>IFERROR(R604/P604,"")</x:f>
        <x:v>0.797077922077922</x:v>
      </x:c>
      <x:c r="U604" s="10" t="n">
        <x:f>I604+J604+K604</x:f>
        <x:v>125</x:v>
      </x:c>
      <x:c r="V604" s="11" t="n">
        <x:f>IFERROR(U604/P604,"")</x:f>
        <x:v>0.20292207792207792</x:v>
      </x:c>
      <x:c r="W604" s="9" t="str">
        <x:v>mature_le_5pct_pending</x:v>
      </x:c>
      <x:c r="X604" s="12" t="n">
        <x:f>IFERROR(F604/Z604*100000,"")</x:f>
        <x:v>19.732205778717407</x:v>
      </x:c>
      <x:c r="Y604" s="13" t="n">
        <x:f>LN(Z604)</x:f>
        <x:v>14.95392031650645</x:v>
      </x:c>
      <x:c r="Z604" s="6" t="str">
        <x:v>3121800</x:v>
      </x:c>
      <x:c r="AA604" s="6" t="str">
        <x:v>51.0</x:v>
      </x:c>
      <x:c r="AB604" s="9" t="str">
        <x:v>2024-06-30</x:v>
      </x:c>
      <x:c r="AC604" s="8" t="str">
        <x:v>77.4</x:v>
      </x:c>
      <x:c r="AD604" s="9" t="str">
        <x:v>2024 (Susenas)</x:v>
      </x:c>
      <x:c r="AE604" s="8" t="str">
        <x:v>11.77</x:v>
      </x:c>
      <x:c r="AF604" s="9" t="str">
        <x:v>Maret 2024 (Susenas)</x:v>
      </x:c>
      <x:c r="AG604" s="6" t="str">
        <x:v>25.140214017363785</x:v>
      </x:c>
      <x:c r="AH604" s="8" t="str">
        <x:v>86.20576374664775</x:v>
      </x:c>
      <x:c r="AI604" s="6" t="str">
        <x:v>208.73028163688312</x:v>
      </x:c>
      <x:c r="AJ604" s="6" t="str">
        <x:v>0.8924303946515693</x:v>
      </x:c>
      <x:c r="AK604" s="8" t="str">
        <x:v>1.8808496685801772</x:v>
      </x:c>
      <x:c r="AL604" s="6" t="str">
        <x:v>2.0282720579528544</x:v>
      </x:c>
      <x:c r="AM604" s="6" t="str">
        <x:v>1.7293240811790542</x:v>
      </x:c>
      <x:c r="AN604" s="6" t="str">
        <x:v>1.879481935904029</x:v>
      </x:c>
      <x:c r="AO604" s="6" t="str">
        <x:v>0.3706303941980877</x:v>
      </x:c>
      <x:c r="AP604" s="8" t="str">
        <x:v>0.1613971022573469</x:v>
      </x:c>
      <x:c r="AQ604" s="6" t="str">
        <x:v>-0.1477750654068565</x:v>
      </x:c>
      <x:c r="AR604" s="6" t="str">
        <x:v>-0.2985880702271681</x:v>
      </x:c>
      <x:c r="AS604" s="6" t="str">
        <x:v>-0.0949886777922258</x:v>
      </x:c>
      <x:c r="AT604" s="6" t="str">
        <x:v>6.443496136249138</x:v>
      </x:c>
      <x:c r="AU604" s="8" t="str">
        <x:v>0.0827182092101791</x:v>
      </x:c>
      <x:c r="AV604" s="6" t="str">
        <x:v>0.6067091437987109</x:v>
      </x:c>
      <x:c r="AW604" s="6" t="str">
        <x:v>0.3179641093651969</x:v>
      </x:c>
      <x:c r="AX604" s="6" t="str">
        <x:v>0.3357971541246958</x:v>
      </x:c>
      <x:c r="AY604" s="6" t="str">
        <x:v>0</x:v>
      </x:c>
      <x:c r="AZ604" s="6" t="str">
        <x:v>1</x:v>
      </x:c>
      <x:c r="BA604" s="9" t="str">
        <x:v>grid_cells_within_BIG_polygon</x:v>
      </x:c>
      <x:c r="BB604" s="6" t="str">
        <x:v>16</x:v>
      </x:c>
      <x:c r="BC604" s="6" t="str">
        <x:v>3</x:v>
      </x:c>
      <x:c r="BD604" s="6" t="str">
        <x:v>3</x:v>
      </x:c>
      <x:c r="BE604" s="6" t="str">
        <x:v>3</x:v>
      </x:c>
      <x:c r="BF604" s="6" t="str">
        <x:v>0</x:v>
      </x:c>
      <x:c r="BG604" s="6" t="str">
        <x:v>0</x:v>
      </x:c>
      <x:c r="BH604" s="6" t="str">
        <x:v>0</x:v>
      </x:c>
      <x:c r="BI604" s="6" t="str">
        <x:v>0</x:v>
      </x:c>
      <x:c r="BJ604" s="6" t="str">
        <x:v>0</x:v>
      </x:c>
      <x:c r="BK604" s="6" t="str">
        <x:v>0</x:v>
      </x:c>
      <x:c r="BL604" s="6" t="str">
        <x:v>0</x:v>
      </x:c>
      <x:c r="BM604" s="6" t="str">
        <x:v>0</x:v>
      </x:c>
      <x:c r="BN604" s="6" t="str">
        <x:v>3</x:v>
      </x:c>
      <x:c r="BO604" s="6" t="str">
        <x:v>0.0</x:v>
      </x:c>
      <x:c r="BP604" s="6" t="str">
        <x:v>3</x:v>
      </x:c>
      <x:c r="BQ604" s="6" t="str">
        <x:v>0.0</x:v>
      </x:c>
      <x:c r="BR604" s="6" t="str">
        <x:v>3</x:v>
      </x:c>
      <x:c r="BS604" s="6" t="str">
        <x:v>20.0</x:v>
      </x:c>
      <x:c r="BT604" s="6" t="str">
        <x:v>3</x:v>
      </x:c>
      <x:c r="BU604" s="6" t="str">
        <x:v>983.0</x:v>
      </x:c>
      <x:c r="BV604" s="6" t="str">
        <x:v>3</x:v>
      </x:c>
      <x:c r="BW604" s="9" t="str">
        <x:v>operational_snapshot_annual_totals_may_differ</x:v>
      </x:c>
      <x:c r="BX604" s="9" t="str">
        <x:v>official_live_dashboard_snapshot_subject_to_revision</x:v>
      </x:c>
      <x:c r="BY604" s="9" t="str">
        <x:v>https://tbdashboard.sitb.id/ss_data_tbc03so_2024_provinsi_bulanan_list.php</x:v>
      </x:c>
      <x:c r="BZ604" s="6" t="n">
        <x:v>46246.610671296294</x:v>
      </x:c>
    </x:row>
    <x:row r="605" ht="18" customHeight="1">
      <x:c r="A605" s="6" t="str">
        <x:v>72</x:v>
      </x:c>
      <x:c r="B605" s="6" t="str">
        <x:v>SULAWESI TENGAH</x:v>
      </x:c>
      <x:c r="C605" s="6" t="str">
        <x:v>2024</x:v>
      </x:c>
      <x:c r="D605" s="6" t="str">
        <x:v>4</x:v>
      </x:c>
      <x:c r="E605" s="6" t="str">
        <x:v>2024-04</x:v>
      </x:c>
      <x:c r="F605" s="6" t="str">
        <x:v>551</x:v>
      </x:c>
      <x:c r="G605" s="6" t="str">
        <x:v>85</x:v>
      </x:c>
      <x:c r="H605" s="6" t="str">
        <x:v>346</x:v>
      </x:c>
      <x:c r="I605" s="6" t="str">
        <x:v>71</x:v>
      </x:c>
      <x:c r="J605" s="6" t="str">
        <x:v>49</x:v>
      </x:c>
      <x:c r="K605" s="6" t="str">
        <x:v>0</x:v>
      </x:c>
      <x:c r="L605" s="6" t="str">
        <x:v>0</x:v>
      </x:c>
      <x:c r="M605" s="6" t="str">
        <x:v>0</x:v>
      </x:c>
      <x:c r="N605" s="6" t="str">
        <x:v>551</x:v>
      </x:c>
      <x:c r="O605" s="6" t="str">
        <x:v>0</x:v>
      </x:c>
      <x:c r="P605" s="10" t="n">
        <x:f>F605-M605</x:f>
        <x:v>551</x:v>
      </x:c>
      <x:c r="Q605" s="11" t="n">
        <x:f>IFERROR(M605/F605,"")</x:f>
        <x:v>0</x:v>
      </x:c>
      <x:c r="R605" s="10" t="n">
        <x:f>G605+H605</x:f>
        <x:v>431</x:v>
      </x:c>
      <x:c r="S605" s="11" t="n">
        <x:f>IFERROR(R605/F605,"")</x:f>
        <x:v>0.7822141560798548</x:v>
      </x:c>
      <x:c r="T605" s="11" t="n">
        <x:f>IFERROR(R605/P605,"")</x:f>
        <x:v>0.7822141560798548</x:v>
      </x:c>
      <x:c r="U605" s="10" t="n">
        <x:f>I605+J605+K605</x:f>
        <x:v>120</x:v>
      </x:c>
      <x:c r="V605" s="11" t="n">
        <x:f>IFERROR(U605/P605,"")</x:f>
        <x:v>0.2177858439201452</x:v>
      </x:c>
      <x:c r="W605" s="9" t="str">
        <x:v>mature_le_5pct_pending</x:v>
      </x:c>
      <x:c r="X605" s="12" t="n">
        <x:f>IFERROR(F605/Z605*100000,"")</x:f>
        <x:v>17.650073675443654</x:v>
      </x:c>
      <x:c r="Y605" s="13" t="n">
        <x:f>LN(Z605)</x:f>
        <x:v>14.95392031650645</x:v>
      </x:c>
      <x:c r="Z605" s="6" t="str">
        <x:v>3121800</x:v>
      </x:c>
      <x:c r="AA605" s="6" t="str">
        <x:v>51.0</x:v>
      </x:c>
      <x:c r="AB605" s="9" t="str">
        <x:v>2024-06-30</x:v>
      </x:c>
      <x:c r="AC605" s="8" t="str">
        <x:v>77.4</x:v>
      </x:c>
      <x:c r="AD605" s="9" t="str">
        <x:v>2024 (Susenas)</x:v>
      </x:c>
      <x:c r="AE605" s="8" t="str">
        <x:v>11.77</x:v>
      </x:c>
      <x:c r="AF605" s="9" t="str">
        <x:v>Maret 2024 (Susenas)</x:v>
      </x:c>
      <x:c r="AG605" s="6" t="str">
        <x:v>25.37962214299513</x:v>
      </x:c>
      <x:c r="AH605" s="8" t="str">
        <x:v>86.39425503213026</x:v>
      </x:c>
      <x:c r="AI605" s="6" t="str">
        <x:v>263.0088814749079</x:v>
      </x:c>
      <x:c r="AJ605" s="6" t="str">
        <x:v>0.9360443478629072</x:v>
      </x:c>
      <x:c r="AK605" s="8" t="str">
        <x:v>2.388563984598913</x:v>
      </x:c>
      <x:c r="AL605" s="6" t="str">
        <x:v>1.8808496685801772</x:v>
      </x:c>
      <x:c r="AM605" s="6" t="str">
        <x:v>2.0282720579528544</x:v>
      </x:c>
      <x:c r="AN605" s="6" t="str">
        <x:v>2.0992285703773157</x:v>
      </x:c>
      <x:c r="AO605" s="6" t="str">
        <x:v>-0.137612660578128</x:v>
      </x:c>
      <x:c r="AP605" s="8" t="str">
        <x:v>-0.0787452583405171</x:v>
      </x:c>
      <x:c r="AQ605" s="6" t="str">
        <x:v>0.1613971022573469</x:v>
      </x:c>
      <x:c r="AR605" s="6" t="str">
        <x:v>-0.1477750654068565</x:v>
      </x:c>
      <x:c r="AS605" s="6" t="str">
        <x:v>-0.0217077404966755</x:v>
      </x:c>
      <x:c r="AT605" s="6" t="str">
        <x:v>48.902318038460265</x:v>
      </x:c>
      <x:c r="AU605" s="8" t="str">
        <x:v>0.8491069407516535</x:v>
      </x:c>
      <x:c r="AV605" s="6" t="str">
        <x:v>0.0827182092101791</x:v>
      </x:c>
      <x:c r="AW605" s="6" t="str">
        <x:v>0.6067091437987109</x:v>
      </x:c>
      <x:c r="AX605" s="6" t="str">
        <x:v>0.512844764586848</x:v>
      </x:c>
      <x:c r="AY605" s="6" t="str">
        <x:v>0</x:v>
      </x:c>
      <x:c r="AZ605" s="6" t="str">
        <x:v>1</x:v>
      </x:c>
      <x:c r="BA605" s="9" t="str">
        <x:v>grid_cells_within_BIG_polygon</x:v>
      </x:c>
      <x:c r="BB605" s="6" t="str">
        <x:v>16</x:v>
      </x:c>
      <x:c r="BC605" s="6" t="str">
        <x:v>10</x:v>
      </x:c>
      <x:c r="BD605" s="6" t="str">
        <x:v>10</x:v>
      </x:c>
      <x:c r="BE605" s="6" t="str">
        <x:v>10</x:v>
      </x:c>
      <x:c r="BF605" s="6" t="str">
        <x:v>0</x:v>
      </x:c>
      <x:c r="BG605" s="6" t="str">
        <x:v>0</x:v>
      </x:c>
      <x:c r="BH605" s="6" t="str">
        <x:v>0</x:v>
      </x:c>
      <x:c r="BI605" s="6" t="str">
        <x:v>0</x:v>
      </x:c>
      <x:c r="BJ605" s="6" t="str">
        <x:v>0</x:v>
      </x:c>
      <x:c r="BK605" s="6" t="str">
        <x:v>0</x:v>
      </x:c>
      <x:c r="BL605" s="6" t="str">
        <x:v>0</x:v>
      </x:c>
      <x:c r="BM605" s="6" t="str">
        <x:v>0</x:v>
      </x:c>
      <x:c r="BN605" s="6" t="str">
        <x:v>10</x:v>
      </x:c>
      <x:c r="BO605" s="6" t="str">
        <x:v>0.0</x:v>
      </x:c>
      <x:c r="BP605" s="6" t="str">
        <x:v>10</x:v>
      </x:c>
      <x:c r="BQ605" s="6" t="str">
        <x:v>1.0</x:v>
      </x:c>
      <x:c r="BR605" s="6" t="str">
        <x:v>10</x:v>
      </x:c>
      <x:c r="BS605" s="6" t="str">
        <x:v>525.0</x:v>
      </x:c>
      <x:c r="BT605" s="6" t="str">
        <x:v>10</x:v>
      </x:c>
      <x:c r="BU605" s="6" t="str">
        <x:v>1537.0</x:v>
      </x:c>
      <x:c r="BV605" s="6" t="str">
        <x:v>8</x:v>
      </x:c>
      <x:c r="BW605" s="9" t="str">
        <x:v>operational_snapshot_annual_totals_may_differ</x:v>
      </x:c>
      <x:c r="BX605" s="9" t="str">
        <x:v>official_live_dashboard_snapshot_subject_to_revision</x:v>
      </x:c>
      <x:c r="BY605" s="9" t="str">
        <x:v>https://tbdashboard.sitb.id/ss_data_tbc03so_2024_provinsi_bulanan_list.php</x:v>
      </x:c>
      <x:c r="BZ605" s="6" t="n">
        <x:v>46246.610671296294</x:v>
      </x:c>
    </x:row>
    <x:row r="606" ht="18" customHeight="1">
      <x:c r="A606" s="6" t="str">
        <x:v>72</x:v>
      </x:c>
      <x:c r="B606" s="6" t="str">
        <x:v>SULAWESI TENGAH</x:v>
      </x:c>
      <x:c r="C606" s="6" t="str">
        <x:v>2024</x:v>
      </x:c>
      <x:c r="D606" s="6" t="str">
        <x:v>5</x:v>
      </x:c>
      <x:c r="E606" s="6" t="str">
        <x:v>2024-05</x:v>
      </x:c>
      <x:c r="F606" s="6" t="str">
        <x:v>767</x:v>
      </x:c>
      <x:c r="G606" s="6" t="str">
        <x:v>127</x:v>
      </x:c>
      <x:c r="H606" s="6" t="str">
        <x:v>501</x:v>
      </x:c>
      <x:c r="I606" s="6" t="str">
        <x:v>78</x:v>
      </x:c>
      <x:c r="J606" s="6" t="str">
        <x:v>61</x:v>
      </x:c>
      <x:c r="K606" s="6" t="str">
        <x:v>0</x:v>
      </x:c>
      <x:c r="L606" s="6" t="str">
        <x:v>0</x:v>
      </x:c>
      <x:c r="M606" s="6" t="str">
        <x:v>0</x:v>
      </x:c>
      <x:c r="N606" s="6" t="str">
        <x:v>767</x:v>
      </x:c>
      <x:c r="O606" s="6" t="str">
        <x:v>0</x:v>
      </x:c>
      <x:c r="P606" s="10" t="n">
        <x:f>F606-M606</x:f>
        <x:v>767</x:v>
      </x:c>
      <x:c r="Q606" s="11" t="n">
        <x:f>IFERROR(M606/F606,"")</x:f>
        <x:v>0</x:v>
      </x:c>
      <x:c r="R606" s="10" t="n">
        <x:f>G606+H606</x:f>
        <x:v>628</x:v>
      </x:c>
      <x:c r="S606" s="11" t="n">
        <x:f>IFERROR(R606/F606,"")</x:f>
        <x:v>0.81877444589309</x:v>
      </x:c>
      <x:c r="T606" s="11" t="n">
        <x:f>IFERROR(R606/P606,"")</x:f>
        <x:v>0.81877444589309</x:v>
      </x:c>
      <x:c r="U606" s="10" t="n">
        <x:f>I606+J606+K606</x:f>
        <x:v>139</x:v>
      </x:c>
      <x:c r="V606" s="11" t="n">
        <x:f>IFERROR(U606/P606,"")</x:f>
        <x:v>0.18122555410691005</x:v>
      </x:c>
      <x:c r="W606" s="9" t="str">
        <x:v>mature_le_5pct_pending</x:v>
      </x:c>
      <x:c r="X606" s="12" t="n">
        <x:f>IFERROR(F606/Z606*100000,"")</x:f>
        <x:v>24.569158818630275</x:v>
      </x:c>
      <x:c r="Y606" s="13" t="n">
        <x:f>LN(Z606)</x:f>
        <x:v>14.95392031650645</x:v>
      </x:c>
      <x:c r="Z606" s="6" t="str">
        <x:v>3121800</x:v>
      </x:c>
      <x:c r="AA606" s="6" t="str">
        <x:v>51.0</x:v>
      </x:c>
      <x:c r="AB606" s="9" t="str">
        <x:v>2024-06-30</x:v>
      </x:c>
      <x:c r="AC606" s="8" t="str">
        <x:v>77.4</x:v>
      </x:c>
      <x:c r="AD606" s="9" t="str">
        <x:v>2024 (Susenas)</x:v>
      </x:c>
      <x:c r="AE606" s="8" t="str">
        <x:v>11.77</x:v>
      </x:c>
      <x:c r="AF606" s="9" t="str">
        <x:v>Maret 2024 (Susenas)</x:v>
      </x:c>
      <x:c r="AG606" s="6" t="str">
        <x:v>25.33778125686205</x:v>
      </x:c>
      <x:c r="AH606" s="8" t="str">
        <x:v>87.8006410710842</x:v>
      </x:c>
      <x:c r="AI606" s="6" t="str">
        <x:v>352.2208988584938</x:v>
      </x:c>
      <x:c r="AJ606" s="6" t="str">
        <x:v>0.8737412663908373</x:v>
      </x:c>
      <x:c r="AK606" s="8" t="str">
        <x:v>2.2532945202063663</x:v>
      </x:c>
      <x:c r="AL606" s="6" t="str">
        <x:v>2.388563984598913</x:v>
      </x:c>
      <x:c r="AM606" s="6" t="str">
        <x:v>1.8808496685801772</x:v>
      </x:c>
      <x:c r="AN606" s="6" t="str">
        <x:v>2.1742360577951523</x:v>
      </x:c>
      <x:c r="AO606" s="6" t="str">
        <x:v>0.6380462018052384</x:v>
      </x:c>
      <x:c r="AP606" s="8" t="str">
        <x:v>0.5565716700644405</x:v>
      </x:c>
      <x:c r="AQ606" s="6" t="str">
        <x:v>-0.0787452583405171</x:v>
      </x:c>
      <x:c r="AR606" s="6" t="str">
        <x:v>0.1613971022573469</x:v>
      </x:c>
      <x:c r="AS606" s="6" t="str">
        <x:v>0.2130745046604234</x:v>
      </x:c>
      <x:c r="AT606" s="6" t="str">
        <x:v>144.04362720548912</x:v>
      </x:c>
      <x:c r="AU606" s="8" t="str">
        <x:v>2.3779157562316096</x:v>
      </x:c>
      <x:c r="AV606" s="6" t="str">
        <x:v>0.8491069407516535</x:v>
      </x:c>
      <x:c r="AW606" s="6" t="str">
        <x:v>0.0827182092101791</x:v>
      </x:c>
      <x:c r="AX606" s="6" t="str">
        <x:v>1.1032469687311477</x:v>
      </x:c>
      <x:c r="AY606" s="6" t="str">
        <x:v>1</x:v>
      </x:c>
      <x:c r="AZ606" s="6" t="str">
        <x:v>1</x:v>
      </x:c>
      <x:c r="BA606" s="9" t="str">
        <x:v>grid_cells_within_BIG_polygon</x:v>
      </x:c>
      <x:c r="BB606" s="6" t="str">
        <x:v>16</x:v>
      </x:c>
      <x:c r="BC606" s="6" t="str">
        <x:v>21</x:v>
      </x:c>
      <x:c r="BD606" s="6" t="str">
        <x:v>20</x:v>
      </x:c>
      <x:c r="BE606" s="6" t="str">
        <x:v>18</x:v>
      </x:c>
      <x:c r="BF606" s="6" t="str">
        <x:v>1</x:v>
      </x:c>
      <x:c r="BG606" s="6" t="str">
        <x:v>1</x:v>
      </x:c>
      <x:c r="BH606" s="6" t="str">
        <x:v>0</x:v>
      </x:c>
      <x:c r="BI606" s="6" t="str">
        <x:v>0</x:v>
      </x:c>
      <x:c r="BJ606" s="6" t="str">
        <x:v>0</x:v>
      </x:c>
      <x:c r="BK606" s="6" t="str">
        <x:v>1</x:v>
      </x:c>
      <x:c r="BL606" s="6" t="str">
        <x:v>0</x:v>
      </x:c>
      <x:c r="BM606" s="6" t="str">
        <x:v>0</x:v>
      </x:c>
      <x:c r="BN606" s="6" t="str">
        <x:v>21</x:v>
      </x:c>
      <x:c r="BO606" s="6" t="str">
        <x:v>0.0</x:v>
      </x:c>
      <x:c r="BP606" s="6" t="str">
        <x:v>21</x:v>
      </x:c>
      <x:c r="BQ606" s="6" t="str">
        <x:v>3.0</x:v>
      </x:c>
      <x:c r="BR606" s="6" t="str">
        <x:v>21</x:v>
      </x:c>
      <x:c r="BS606" s="6" t="str">
        <x:v>15.0</x:v>
      </x:c>
      <x:c r="BT606" s="6" t="str">
        <x:v>21</x:v>
      </x:c>
      <x:c r="BU606" s="6" t="str">
        <x:v>1685.0</x:v>
      </x:c>
      <x:c r="BV606" s="6" t="str">
        <x:v>18</x:v>
      </x:c>
      <x:c r="BW606" s="9" t="str">
        <x:v>operational_snapshot_annual_totals_may_differ</x:v>
      </x:c>
      <x:c r="BX606" s="9" t="str">
        <x:v>official_live_dashboard_snapshot_subject_to_revision</x:v>
      </x:c>
      <x:c r="BY606" s="9" t="str">
        <x:v>https://tbdashboard.sitb.id/ss_data_tbc03so_2024_provinsi_bulanan_list.php</x:v>
      </x:c>
      <x:c r="BZ606" s="6" t="n">
        <x:v>46246.610671296294</x:v>
      </x:c>
    </x:row>
    <x:row r="607" ht="18" customHeight="1">
      <x:c r="A607" s="6" t="str">
        <x:v>72</x:v>
      </x:c>
      <x:c r="B607" s="6" t="str">
        <x:v>SULAWESI TENGAH</x:v>
      </x:c>
      <x:c r="C607" s="6" t="str">
        <x:v>2024</x:v>
      </x:c>
      <x:c r="D607" s="6" t="str">
        <x:v>6</x:v>
      </x:c>
      <x:c r="E607" s="6" t="str">
        <x:v>2024-06</x:v>
      </x:c>
      <x:c r="F607" s="6" t="str">
        <x:v>655</x:v>
      </x:c>
      <x:c r="G607" s="6" t="str">
        <x:v>116</x:v>
      </x:c>
      <x:c r="H607" s="6" t="str">
        <x:v>413</x:v>
      </x:c>
      <x:c r="I607" s="6" t="str">
        <x:v>68</x:v>
      </x:c>
      <x:c r="J607" s="6" t="str">
        <x:v>56</x:v>
      </x:c>
      <x:c r="K607" s="6" t="str">
        <x:v>1</x:v>
      </x:c>
      <x:c r="L607" s="6" t="str">
        <x:v>1</x:v>
      </x:c>
      <x:c r="M607" s="6" t="str">
        <x:v>0</x:v>
      </x:c>
      <x:c r="N607" s="6" t="str">
        <x:v>655</x:v>
      </x:c>
      <x:c r="O607" s="6" t="str">
        <x:v>0</x:v>
      </x:c>
      <x:c r="P607" s="10" t="n">
        <x:f>F607-M607</x:f>
        <x:v>655</x:v>
      </x:c>
      <x:c r="Q607" s="11" t="n">
        <x:f>IFERROR(M607/F607,"")</x:f>
        <x:v>0</x:v>
      </x:c>
      <x:c r="R607" s="10" t="n">
        <x:f>G607+H607</x:f>
        <x:v>529</x:v>
      </x:c>
      <x:c r="S607" s="11" t="n">
        <x:f>IFERROR(R607/F607,"")</x:f>
        <x:v>0.8076335877862595</x:v>
      </x:c>
      <x:c r="T607" s="11" t="n">
        <x:f>IFERROR(R607/P607,"")</x:f>
        <x:v>0.8076335877862595</x:v>
      </x:c>
      <x:c r="U607" s="10" t="n">
        <x:f>I607+J607+K607</x:f>
        <x:v>125</x:v>
      </x:c>
      <x:c r="V607" s="11" t="n">
        <x:f>IFERROR(U607/P607,"")</x:f>
        <x:v>0.19083969465648856</x:v>
      </x:c>
      <x:c r="W607" s="9" t="str">
        <x:v>mature_le_5pct_pending</x:v>
      </x:c>
      <x:c r="X607" s="12" t="n">
        <x:f>IFERROR(F607/Z607*100000,"")</x:f>
        <x:v>20.981485040681658</x:v>
      </x:c>
      <x:c r="Y607" s="13" t="n">
        <x:f>LN(Z607)</x:f>
        <x:v>14.95392031650645</x:v>
      </x:c>
      <x:c r="Z607" s="6" t="str">
        <x:v>3121800</x:v>
      </x:c>
      <x:c r="AA607" s="6" t="str">
        <x:v>51.0</x:v>
      </x:c>
      <x:c r="AB607" s="9" t="str">
        <x:v>2024-06-30</x:v>
      </x:c>
      <x:c r="AC607" s="8" t="str">
        <x:v>77.4</x:v>
      </x:c>
      <x:c r="AD607" s="9" t="str">
        <x:v>2024 (Susenas)</x:v>
      </x:c>
      <x:c r="AE607" s="8" t="str">
        <x:v>11.77</x:v>
      </x:c>
      <x:c r="AF607" s="9" t="str">
        <x:v>Maret 2024 (Susenas)</x:v>
      </x:c>
      <x:c r="AG607" s="6" t="str">
        <x:v>24.365279472281</x:v>
      </x:c>
      <x:c r="AH607" s="8" t="str">
        <x:v>88.65445458424685</x:v>
      </x:c>
      <x:c r="AI607" s="6" t="str">
        <x:v>328.96858154167774</x:v>
      </x:c>
      <x:c r="AJ607" s="6" t="str">
        <x:v>0.4539739150299446</x:v>
      </x:c>
      <x:c r="AK607" s="8" t="str">
        <x:v>1.5027086998435222</x:v>
      </x:c>
      <x:c r="AL607" s="6" t="str">
        <x:v>2.2532945202063663</x:v>
      </x:c>
      <x:c r="AM607" s="6" t="str">
        <x:v>2.388563984598913</x:v>
      </x:c>
      <x:c r="AN607" s="6" t="str">
        <x:v>2.048189068216268</x:v>
      </x:c>
      <x:c r="AO607" s="6" t="str">
        <x:v>0.9317732339641508</x:v>
      </x:c>
      <x:c r="AP607" s="8" t="str">
        <x:v>0.6236785573840593</x:v>
      </x:c>
      <x:c r="AQ607" s="6" t="str">
        <x:v>0.5565716700644405</x:v>
      </x:c>
      <x:c r="AR607" s="6" t="str">
        <x:v>-0.0787452583405171</x:v>
      </x:c>
      <x:c r="AS607" s="6" t="str">
        <x:v>0.3671683230359943</x:v>
      </x:c>
      <x:c r="AT607" s="6" t="str">
        <x:v>96.15875287175558</x:v>
      </x:c>
      <x:c r="AU607" s="8" t="str">
        <x:v>1.4057702875543163</x:v>
      </x:c>
      <x:c r="AV607" s="6" t="str">
        <x:v>2.3779157562316096</x:v>
      </x:c>
      <x:c r="AW607" s="6" t="str">
        <x:v>0.8491069407516535</x:v>
      </x:c>
      <x:c r="AX607" s="6" t="str">
        <x:v>1.5442643281791932</x:v>
      </x:c>
      <x:c r="AY607" s="6" t="str">
        <x:v>1</x:v>
      </x:c>
      <x:c r="AZ607" s="6" t="str">
        <x:v>1</x:v>
      </x:c>
      <x:c r="BA607" s="9" t="str">
        <x:v>grid_cells_within_BIG_polygon</x:v>
      </x:c>
      <x:c r="BB607" s="6" t="str">
        <x:v>16</x:v>
      </x:c>
      <x:c r="BC607" s="6" t="str">
        <x:v>18</x:v>
      </x:c>
      <x:c r="BD607" s="6" t="str">
        <x:v>18</x:v>
      </x:c>
      <x:c r="BE607" s="6" t="str">
        <x:v>18</x:v>
      </x:c>
      <x:c r="BF607" s="6" t="str">
        <x:v>0</x:v>
      </x:c>
      <x:c r="BG607" s="6" t="str">
        <x:v>0</x:v>
      </x:c>
      <x:c r="BH607" s="6" t="str">
        <x:v>0</x:v>
      </x:c>
      <x:c r="BI607" s="6" t="str">
        <x:v>0</x:v>
      </x:c>
      <x:c r="BJ607" s="6" t="str">
        <x:v>0</x:v>
      </x:c>
      <x:c r="BK607" s="6" t="str">
        <x:v>0</x:v>
      </x:c>
      <x:c r="BL607" s="6" t="str">
        <x:v>0</x:v>
      </x:c>
      <x:c r="BM607" s="6" t="str">
        <x:v>0</x:v>
      </x:c>
      <x:c r="BN607" s="6" t="str">
        <x:v>18</x:v>
      </x:c>
      <x:c r="BO607" s="6" t="str">
        <x:v>1.0</x:v>
      </x:c>
      <x:c r="BP607" s="6" t="str">
        <x:v>18</x:v>
      </x:c>
      <x:c r="BQ607" s="6" t="str">
        <x:v>0.0</x:v>
      </x:c>
      <x:c r="BR607" s="6" t="str">
        <x:v>18</x:v>
      </x:c>
      <x:c r="BS607" s="6" t="str">
        <x:v>92.0</x:v>
      </x:c>
      <x:c r="BT607" s="6" t="str">
        <x:v>18</x:v>
      </x:c>
      <x:c r="BU607" s="6" t="str">
        <x:v>2635.0</x:v>
      </x:c>
      <x:c r="BV607" s="6" t="str">
        <x:v>18</x:v>
      </x:c>
      <x:c r="BW607" s="9" t="str">
        <x:v>operational_snapshot_annual_totals_may_differ</x:v>
      </x:c>
      <x:c r="BX607" s="9" t="str">
        <x:v>official_live_dashboard_snapshot_subject_to_revision</x:v>
      </x:c>
      <x:c r="BY607" s="9" t="str">
        <x:v>https://tbdashboard.sitb.id/ss_data_tbc03so_2024_provinsi_bulanan_list.php</x:v>
      </x:c>
      <x:c r="BZ607" s="6" t="n">
        <x:v>46246.610671296294</x:v>
      </x:c>
    </x:row>
    <x:row r="608" ht="18" customHeight="1">
      <x:c r="A608" s="6" t="str">
        <x:v>72</x:v>
      </x:c>
      <x:c r="B608" s="6" t="str">
        <x:v>SULAWESI TENGAH</x:v>
      </x:c>
      <x:c r="C608" s="6" t="str">
        <x:v>2024</x:v>
      </x:c>
      <x:c r="D608" s="6" t="str">
        <x:v>7</x:v>
      </x:c>
      <x:c r="E608" s="6" t="str">
        <x:v>2024-07</x:v>
      </x:c>
      <x:c r="F608" s="6" t="str">
        <x:v>703</x:v>
      </x:c>
      <x:c r="G608" s="6" t="str">
        <x:v>126</x:v>
      </x:c>
      <x:c r="H608" s="6" t="str">
        <x:v>432</x:v>
      </x:c>
      <x:c r="I608" s="6" t="str">
        <x:v>75</x:v>
      </x:c>
      <x:c r="J608" s="6" t="str">
        <x:v>69</x:v>
      </x:c>
      <x:c r="K608" s="6" t="str">
        <x:v>1</x:v>
      </x:c>
      <x:c r="L608" s="6" t="str">
        <x:v>0</x:v>
      </x:c>
      <x:c r="M608" s="6" t="str">
        <x:v>0</x:v>
      </x:c>
      <x:c r="N608" s="6" t="str">
        <x:v>703</x:v>
      </x:c>
      <x:c r="O608" s="6" t="str">
        <x:v>0</x:v>
      </x:c>
      <x:c r="P608" s="10" t="n">
        <x:f>F608-M608</x:f>
        <x:v>703</x:v>
      </x:c>
      <x:c r="Q608" s="11" t="n">
        <x:f>IFERROR(M608/F608,"")</x:f>
        <x:v>0</x:v>
      </x:c>
      <x:c r="R608" s="10" t="n">
        <x:f>G608+H608</x:f>
        <x:v>558</x:v>
      </x:c>
      <x:c r="S608" s="11" t="n">
        <x:f>IFERROR(R608/F608,"")</x:f>
        <x:v>0.7937411095305832</x:v>
      </x:c>
      <x:c r="T608" s="11" t="n">
        <x:f>IFERROR(R608/P608,"")</x:f>
        <x:v>0.7937411095305832</x:v>
      </x:c>
      <x:c r="U608" s="10" t="n">
        <x:f>I608+J608+K608</x:f>
        <x:v>145</x:v>
      </x:c>
      <x:c r="V608" s="11" t="n">
        <x:f>IFERROR(U608/P608,"")</x:f>
        <x:v>0.20625889046941678</x:v>
      </x:c>
      <x:c r="W608" s="9" t="str">
        <x:v>mature_le_5pct_pending</x:v>
      </x:c>
      <x:c r="X608" s="12" t="n">
        <x:f>IFERROR(F608/Z608*100000,"")</x:f>
        <x:v>22.51905951694535</x:v>
      </x:c>
      <x:c r="Y608" s="13" t="n">
        <x:f>LN(Z608)</x:f>
        <x:v>14.95392031650645</x:v>
      </x:c>
      <x:c r="Z608" s="6" t="str">
        <x:v>3121800</x:v>
      </x:c>
      <x:c r="AA608" s="6" t="str">
        <x:v>51.0</x:v>
      </x:c>
      <x:c r="AB608" s="9" t="str">
        <x:v>2024-06-30</x:v>
      </x:c>
      <x:c r="AC608" s="8" t="str">
        <x:v>77.4</x:v>
      </x:c>
      <x:c r="AD608" s="9" t="str">
        <x:v>2024 (Susenas)</x:v>
      </x:c>
      <x:c r="AE608" s="8" t="str">
        <x:v>11.77</x:v>
      </x:c>
      <x:c r="AF608" s="9" t="str">
        <x:v>Maret 2024 (Susenas)</x:v>
      </x:c>
      <x:c r="AG608" s="6" t="str">
        <x:v>24.032177791445093</x:v>
      </x:c>
      <x:c r="AH608" s="8" t="str">
        <x:v>88.16561302788102</x:v>
      </x:c>
      <x:c r="AI608" s="6" t="str">
        <x:v>350.2425294057651</x:v>
      </x:c>
      <x:c r="AJ608" s="6" t="str">
        <x:v>0.4851695460572358</x:v>
      </x:c>
      <x:c r="AK608" s="8" t="str">
        <x:v>1.645127404006267</x:v>
      </x:c>
      <x:c r="AL608" s="6" t="str">
        <x:v>1.5027086998435222</x:v>
      </x:c>
      <x:c r="AM608" s="6" t="str">
        <x:v>2.2532945202063663</x:v>
      </x:c>
      <x:c r="AN608" s="6" t="str">
        <x:v>1.8003768746853852</x:v>
      </x:c>
      <x:c r="AO608" s="6" t="str">
        <x:v>1.192477680530203</x:v>
      </x:c>
      <x:c r="AP608" s="8" t="str">
        <x:v>0.8023072305180479</x:v>
      </x:c>
      <x:c r="AQ608" s="6" t="str">
        <x:v>0.6236785573840593</x:v>
      </x:c>
      <x:c r="AR608" s="6" t="str">
        <x:v>0.5565716700644405</x:v>
      </x:c>
      <x:c r="AS608" s="6" t="str">
        <x:v>0.6608524859888493</x:v>
      </x:c>
      <x:c r="AT608" s="6" t="str">
        <x:v>173.7339671018515</x:v>
      </x:c>
      <x:c r="AU608" s="8" t="str">
        <x:v>2.36630447589252</x:v>
      </x:c>
      <x:c r="AV608" s="6" t="str">
        <x:v>1.4057702875543163</x:v>
      </x:c>
      <x:c r="AW608" s="6" t="str">
        <x:v>2.3779157562316096</x:v>
      </x:c>
      <x:c r="AX608" s="6" t="str">
        <x:v>2.0499968398928154</x:v>
      </x:c>
      <x:c r="AY608" s="6" t="str">
        <x:v>1</x:v>
      </x:c>
      <x:c r="AZ608" s="6" t="str">
        <x:v>1</x:v>
      </x:c>
      <x:c r="BA608" s="9" t="str">
        <x:v>grid_cells_within_BIG_polygon</x:v>
      </x:c>
      <x:c r="BB608" s="6" t="str">
        <x:v>16</x:v>
      </x:c>
      <x:c r="BC608" s="6" t="str">
        <x:v>11</x:v>
      </x:c>
      <x:c r="BD608" s="6" t="str">
        <x:v>11</x:v>
      </x:c>
      <x:c r="BE608" s="6" t="str">
        <x:v>10</x:v>
      </x:c>
      <x:c r="BF608" s="6" t="str">
        <x:v>0</x:v>
      </x:c>
      <x:c r="BG608" s="6" t="str">
        <x:v>1</x:v>
      </x:c>
      <x:c r="BH608" s="6" t="str">
        <x:v>0</x:v>
      </x:c>
      <x:c r="BI608" s="6" t="str">
        <x:v>0</x:v>
      </x:c>
      <x:c r="BJ608" s="6" t="str">
        <x:v>0</x:v>
      </x:c>
      <x:c r="BK608" s="6" t="str">
        <x:v>0</x:v>
      </x:c>
      <x:c r="BL608" s="6" t="str">
        <x:v>0</x:v>
      </x:c>
      <x:c r="BM608" s="6" t="str">
        <x:v>0</x:v>
      </x:c>
      <x:c r="BN608" s="6" t="str">
        <x:v>11</x:v>
      </x:c>
      <x:c r="BO608" s="6" t="str">
        <x:v>1.0</x:v>
      </x:c>
      <x:c r="BP608" s="6" t="str">
        <x:v>11</x:v>
      </x:c>
      <x:c r="BQ608" s="6" t="str">
        <x:v>0.0</x:v>
      </x:c>
      <x:c r="BR608" s="6" t="str">
        <x:v>11</x:v>
      </x:c>
      <x:c r="BS608" s="6" t="str">
        <x:v>14.0</x:v>
      </x:c>
      <x:c r="BT608" s="6" t="str">
        <x:v>11</x:v>
      </x:c>
      <x:c r="BU608" s="6" t="str">
        <x:v>1013.0</x:v>
      </x:c>
      <x:c r="BV608" s="6" t="str">
        <x:v>10</x:v>
      </x:c>
      <x:c r="BW608" s="9" t="str">
        <x:v>operational_snapshot_annual_totals_may_differ</x:v>
      </x:c>
      <x:c r="BX608" s="9" t="str">
        <x:v>official_live_dashboard_snapshot_subject_to_revision</x:v>
      </x:c>
      <x:c r="BY608" s="9" t="str">
        <x:v>https://tbdashboard.sitb.id/ss_data_tbc03so_2024_provinsi_bulanan_list.php</x:v>
      </x:c>
      <x:c r="BZ608" s="6" t="n">
        <x:v>46246.610671296294</x:v>
      </x:c>
    </x:row>
    <x:row r="609" ht="18" customHeight="1">
      <x:c r="A609" s="6" t="str">
        <x:v>72</x:v>
      </x:c>
      <x:c r="B609" s="6" t="str">
        <x:v>SULAWESI TENGAH</x:v>
      </x:c>
      <x:c r="C609" s="6" t="str">
        <x:v>2024</x:v>
      </x:c>
      <x:c r="D609" s="6" t="str">
        <x:v>8</x:v>
      </x:c>
      <x:c r="E609" s="6" t="str">
        <x:v>2024-08</x:v>
      </x:c>
      <x:c r="F609" s="6" t="str">
        <x:v>667</x:v>
      </x:c>
      <x:c r="G609" s="6" t="str">
        <x:v>119</x:v>
      </x:c>
      <x:c r="H609" s="6" t="str">
        <x:v>427</x:v>
      </x:c>
      <x:c r="I609" s="6" t="str">
        <x:v>71</x:v>
      </x:c>
      <x:c r="J609" s="6" t="str">
        <x:v>49</x:v>
      </x:c>
      <x:c r="K609" s="6" t="str">
        <x:v>1</x:v>
      </x:c>
      <x:c r="L609" s="6" t="str">
        <x:v>0</x:v>
      </x:c>
      <x:c r="M609" s="6" t="str">
        <x:v>0</x:v>
      </x:c>
      <x:c r="N609" s="6" t="str">
        <x:v>667</x:v>
      </x:c>
      <x:c r="O609" s="6" t="str">
        <x:v>0</x:v>
      </x:c>
      <x:c r="P609" s="10" t="n">
        <x:f>F609-M609</x:f>
        <x:v>667</x:v>
      </x:c>
      <x:c r="Q609" s="11" t="n">
        <x:f>IFERROR(M609/F609,"")</x:f>
        <x:v>0</x:v>
      </x:c>
      <x:c r="R609" s="10" t="n">
        <x:f>G609+H609</x:f>
        <x:v>546</x:v>
      </x:c>
      <x:c r="S609" s="11" t="n">
        <x:f>IFERROR(R609/F609,"")</x:f>
        <x:v>0.8185907046476761</x:v>
      </x:c>
      <x:c r="T609" s="11" t="n">
        <x:f>IFERROR(R609/P609,"")</x:f>
        <x:v>0.8185907046476761</x:v>
      </x:c>
      <x:c r="U609" s="10" t="n">
        <x:f>I609+J609+K609</x:f>
        <x:v>121</x:v>
      </x:c>
      <x:c r="V609" s="11" t="n">
        <x:f>IFERROR(U609/P609,"")</x:f>
        <x:v>0.18140929535232383</x:v>
      </x:c>
      <x:c r="W609" s="9" t="str">
        <x:v>mature_le_5pct_pending</x:v>
      </x:c>
      <x:c r="X609" s="12" t="n">
        <x:f>IFERROR(F609/Z609*100000,"")</x:f>
        <x:v>21.365878659747583</x:v>
      </x:c>
      <x:c r="Y609" s="13" t="n">
        <x:f>LN(Z609)</x:f>
        <x:v>14.95392031650645</x:v>
      </x:c>
      <x:c r="Z609" s="6" t="str">
        <x:v>3121800</x:v>
      </x:c>
      <x:c r="AA609" s="6" t="str">
        <x:v>51.0</x:v>
      </x:c>
      <x:c r="AB609" s="9" t="str">
        <x:v>2024-06-30</x:v>
      </x:c>
      <x:c r="AC609" s="8" t="str">
        <x:v>77.4</x:v>
      </x:c>
      <x:c r="AD609" s="9" t="str">
        <x:v>2024 (Susenas)</x:v>
      </x:c>
      <x:c r="AE609" s="8" t="str">
        <x:v>11.77</x:v>
      </x:c>
      <x:c r="AF609" s="9" t="str">
        <x:v>Maret 2024 (Susenas)</x:v>
      </x:c>
      <x:c r="AG609" s="6" t="str">
        <x:v>24.123433302397142</x:v>
      </x:c>
      <x:c r="AH609" s="8" t="str">
        <x:v>86.9969489164425</x:v>
      </x:c>
      <x:c r="AI609" s="6" t="str">
        <x:v>194.40987106832364</x:v>
      </x:c>
      <x:c r="AJ609" s="6" t="str">
        <x:v>0.4921571265809561</x:v>
      </x:c>
      <x:c r="AK609" s="8" t="str">
        <x:v>1.562972610324692</x:v>
      </x:c>
      <x:c r="AL609" s="6" t="str">
        <x:v>1.645127404006267</x:v>
      </x:c>
      <x:c r="AM609" s="6" t="str">
        <x:v>1.5027086998435222</x:v>
      </x:c>
      <x:c r="AN609" s="6" t="str">
        <x:v>1.5702695713914936</x:v>
      </x:c>
      <x:c r="AO609" s="6" t="str">
        <x:v>1.9140474972169272</x:v>
      </x:c>
      <x:c r="AP609" s="8" t="str">
        <x:v>0.797925671036412</x:v>
      </x:c>
      <x:c r="AQ609" s="6" t="str">
        <x:v>0.8023072305180479</x:v>
      </x:c>
      <x:c r="AR609" s="6" t="str">
        <x:v>0.6236785573840593</x:v>
      </x:c>
      <x:c r="AS609" s="6" t="str">
        <x:v>0.7413038196461731</x:v>
      </x:c>
      <x:c r="AT609" s="6" t="str">
        <x:v>69.686062723429</x:v>
      </x:c>
      <x:c r="AU609" s="8" t="str">
        <x:v>0.941277028350264</x:v>
      </x:c>
      <x:c r="AV609" s="6" t="str">
        <x:v>2.36630447589252</x:v>
      </x:c>
      <x:c r="AW609" s="6" t="str">
        <x:v>1.4057702875543163</x:v>
      </x:c>
      <x:c r="AX609" s="6" t="str">
        <x:v>1.5711172639323667</x:v>
      </x:c>
      <x:c r="AY609" s="6" t="str">
        <x:v>0</x:v>
      </x:c>
      <x:c r="AZ609" s="6" t="str">
        <x:v>1</x:v>
      </x:c>
      <x:c r="BA609" s="9" t="str">
        <x:v>grid_cells_within_BIG_polygon</x:v>
      </x:c>
      <x:c r="BB609" s="6" t="str">
        <x:v>16</x:v>
      </x:c>
      <x:c r="BC609" s="6" t="str">
        <x:v>5</x:v>
      </x:c>
      <x:c r="BD609" s="6" t="str">
        <x:v>5</x:v>
      </x:c>
      <x:c r="BE609" s="6" t="str">
        <x:v>5</x:v>
      </x:c>
      <x:c r="BF609" s="6" t="str">
        <x:v>0</x:v>
      </x:c>
      <x:c r="BG609" s="6" t="str">
        <x:v>0</x:v>
      </x:c>
      <x:c r="BH609" s="6" t="str">
        <x:v>0</x:v>
      </x:c>
      <x:c r="BI609" s="6" t="str">
        <x:v>0</x:v>
      </x:c>
      <x:c r="BJ609" s="6" t="str">
        <x:v>0</x:v>
      </x:c>
      <x:c r="BK609" s="6" t="str">
        <x:v>0</x:v>
      </x:c>
      <x:c r="BL609" s="6" t="str">
        <x:v>0</x:v>
      </x:c>
      <x:c r="BM609" s="6" t="str">
        <x:v>0</x:v>
      </x:c>
      <x:c r="BN609" s="6" t="str">
        <x:v>5</x:v>
      </x:c>
      <x:c r="BO609" s="6" t="str">
        <x:v>0.0</x:v>
      </x:c>
      <x:c r="BP609" s="6" t="str">
        <x:v>5</x:v>
      </x:c>
      <x:c r="BQ609" s="6" t="str">
        <x:v>0.0</x:v>
      </x:c>
      <x:c r="BR609" s="6" t="str">
        <x:v>5</x:v>
      </x:c>
      <x:c r="BS609" s="6" t="str">
        <x:v>0.0</x:v>
      </x:c>
      <x:c r="BT609" s="6" t="str">
        <x:v>5</x:v>
      </x:c>
      <x:c r="BU609" s="6" t="str">
        <x:v>517.0</x:v>
      </x:c>
      <x:c r="BV609" s="6" t="str">
        <x:v>5</x:v>
      </x:c>
      <x:c r="BW609" s="9" t="str">
        <x:v>operational_snapshot_annual_totals_may_differ</x:v>
      </x:c>
      <x:c r="BX609" s="9" t="str">
        <x:v>official_live_dashboard_snapshot_subject_to_revision</x:v>
      </x:c>
      <x:c r="BY609" s="9" t="str">
        <x:v>https://tbdashboard.sitb.id/ss_data_tbc03so_2024_provinsi_bulanan_list.php</x:v>
      </x:c>
      <x:c r="BZ609" s="6" t="n">
        <x:v>46246.610671296294</x:v>
      </x:c>
    </x:row>
    <x:row r="610" ht="18" customHeight="1">
      <x:c r="A610" s="6" t="str">
        <x:v>72</x:v>
      </x:c>
      <x:c r="B610" s="6" t="str">
        <x:v>SULAWESI TENGAH</x:v>
      </x:c>
      <x:c r="C610" s="6" t="str">
        <x:v>2024</x:v>
      </x:c>
      <x:c r="D610" s="6" t="str">
        <x:v>9</x:v>
      </x:c>
      <x:c r="E610" s="6" t="str">
        <x:v>2024-09</x:v>
      </x:c>
      <x:c r="F610" s="6" t="str">
        <x:v>669</x:v>
      </x:c>
      <x:c r="G610" s="6" t="str">
        <x:v>92</x:v>
      </x:c>
      <x:c r="H610" s="6" t="str">
        <x:v>441</x:v>
      </x:c>
      <x:c r="I610" s="6" t="str">
        <x:v>83</x:v>
      </x:c>
      <x:c r="J610" s="6" t="str">
        <x:v>52</x:v>
      </x:c>
      <x:c r="K610" s="6" t="str">
        <x:v>0</x:v>
      </x:c>
      <x:c r="L610" s="6" t="str">
        <x:v>1</x:v>
      </x:c>
      <x:c r="M610" s="6" t="str">
        <x:v>0</x:v>
      </x:c>
      <x:c r="N610" s="6" t="str">
        <x:v>669</x:v>
      </x:c>
      <x:c r="O610" s="6" t="str">
        <x:v>0</x:v>
      </x:c>
      <x:c r="P610" s="10" t="n">
        <x:f>F610-M610</x:f>
        <x:v>669</x:v>
      </x:c>
      <x:c r="Q610" s="11" t="n">
        <x:f>IFERROR(M610/F610,"")</x:f>
        <x:v>0</x:v>
      </x:c>
      <x:c r="R610" s="10" t="n">
        <x:f>G610+H610</x:f>
        <x:v>533</x:v>
      </x:c>
      <x:c r="S610" s="11" t="n">
        <x:f>IFERROR(R610/F610,"")</x:f>
        <x:v>0.796711509715994</x:v>
      </x:c>
      <x:c r="T610" s="11" t="n">
        <x:f>IFERROR(R610/P610,"")</x:f>
        <x:v>0.796711509715994</x:v>
      </x:c>
      <x:c r="U610" s="10" t="n">
        <x:f>I610+J610+K610</x:f>
        <x:v>135</x:v>
      </x:c>
      <x:c r="V610" s="11" t="n">
        <x:f>IFERROR(U610/P610,"")</x:f>
        <x:v>0.20179372197309417</x:v>
      </x:c>
      <x:c r="W610" s="9" t="str">
        <x:v>mature_le_5pct_pending</x:v>
      </x:c>
      <x:c r="X610" s="12" t="n">
        <x:f>IFERROR(F610/Z610*100000,"")</x:f>
        <x:v>21.429944262925236</x:v>
      </x:c>
      <x:c r="Y610" s="13" t="n">
        <x:f>LN(Z610)</x:f>
        <x:v>14.95392031650645</x:v>
      </x:c>
      <x:c r="Z610" s="6" t="str">
        <x:v>3121800</x:v>
      </x:c>
      <x:c r="AA610" s="6" t="str">
        <x:v>51.0</x:v>
      </x:c>
      <x:c r="AB610" s="9" t="str">
        <x:v>2024-06-30</x:v>
      </x:c>
      <x:c r="AC610" s="8" t="str">
        <x:v>77.4</x:v>
      </x:c>
      <x:c r="AD610" s="9" t="str">
        <x:v>2024 (Susenas)</x:v>
      </x:c>
      <x:c r="AE610" s="8" t="str">
        <x:v>11.77</x:v>
      </x:c>
      <x:c r="AF610" s="9" t="str">
        <x:v>Maret 2024 (Susenas)</x:v>
      </x:c>
      <x:c r="AG610" s="6" t="str">
        <x:v>24.841531720660186</x:v>
      </x:c>
      <x:c r="AH610" s="8" t="str">
        <x:v>84.30330571060456</x:v>
      </x:c>
      <x:c r="AI610" s="6" t="str">
        <x:v>80.54928948663097</x:v>
      </x:c>
      <x:c r="AJ610" s="6" t="str">
        <x:v>0.8012829998967064</x:v>
      </x:c>
      <x:c r="AK610" s="8" t="str">
        <x:v>2.6266471335586816</x:v>
      </x:c>
      <x:c r="AL610" s="6" t="str">
        <x:v>1.562972610324692</x:v>
      </x:c>
      <x:c r="AM610" s="6" t="str">
        <x:v>1.645127404006267</x:v>
      </x:c>
      <x:c r="AN610" s="6" t="str">
        <x:v>1.944915715963213</x:v>
      </x:c>
      <x:c r="AO610" s="6" t="str">
        <x:v>1.3950681789117425</x:v>
      </x:c>
      <x:c r="AP610" s="8" t="str">
        <x:v>0.4210168924729009</x:v>
      </x:c>
      <x:c r="AQ610" s="6" t="str">
        <x:v>0.797925671036412</x:v>
      </x:c>
      <x:c r="AR610" s="6" t="str">
        <x:v>0.8023072305180479</x:v>
      </x:c>
      <x:c r="AS610" s="6" t="str">
        <x:v>0.6737499313424536</x:v>
      </x:c>
      <x:c r="AT610" s="6" t="str">
        <x:v>-26.24913923986365</x:v>
      </x:c>
      <x:c r="AU610" s="8" t="str">
        <x:v>-0.4123791346688911</x:v>
      </x:c>
      <x:c r="AV610" s="6" t="str">
        <x:v>0.941277028350264</x:v>
      </x:c>
      <x:c r="AW610" s="6" t="str">
        <x:v>2.36630447589252</x:v>
      </x:c>
      <x:c r="AX610" s="6" t="str">
        <x:v>0.9650674565246308</x:v>
      </x:c>
      <x:c r="AY610" s="6" t="str">
        <x:v>0</x:v>
      </x:c>
      <x:c r="AZ610" s="6" t="str">
        <x:v>1</x:v>
      </x:c>
      <x:c r="BA610" s="9" t="str">
        <x:v>grid_cells_within_BIG_polygon</x:v>
      </x:c>
      <x:c r="BB610" s="6" t="str">
        <x:v>16</x:v>
      </x:c>
      <x:c r="BC610" s="6" t="str">
        <x:v>5</x:v>
      </x:c>
      <x:c r="BD610" s="6" t="str">
        <x:v>5</x:v>
      </x:c>
      <x:c r="BE610" s="6" t="str">
        <x:v>5</x:v>
      </x:c>
      <x:c r="BF610" s="6" t="str">
        <x:v>0</x:v>
      </x:c>
      <x:c r="BG610" s="6" t="str">
        <x:v>0</x:v>
      </x:c>
      <x:c r="BH610" s="6" t="str">
        <x:v>0</x:v>
      </x:c>
      <x:c r="BI610" s="6" t="str">
        <x:v>0</x:v>
      </x:c>
      <x:c r="BJ610" s="6" t="str">
        <x:v>0</x:v>
      </x:c>
      <x:c r="BK610" s="6" t="str">
        <x:v>0</x:v>
      </x:c>
      <x:c r="BL610" s="6" t="str">
        <x:v>0</x:v>
      </x:c>
      <x:c r="BM610" s="6" t="str">
        <x:v>0</x:v>
      </x:c>
      <x:c r="BN610" s="6" t="str">
        <x:v>5</x:v>
      </x:c>
      <x:c r="BO610" s="6" t="str">
        <x:v>0.0</x:v>
      </x:c>
      <x:c r="BP610" s="6" t="str">
        <x:v>5</x:v>
      </x:c>
      <x:c r="BQ610" s="6" t="str">
        <x:v>0.0</x:v>
      </x:c>
      <x:c r="BR610" s="6" t="str">
        <x:v>5</x:v>
      </x:c>
      <x:c r="BS610" s="6" t="str">
        <x:v>3.0</x:v>
      </x:c>
      <x:c r="BT610" s="6" t="str">
        <x:v>5</x:v>
      </x:c>
      <x:c r="BU610" s="6" t="str">
        <x:v>230.0</x:v>
      </x:c>
      <x:c r="BV610" s="6" t="str">
        <x:v>5</x:v>
      </x:c>
      <x:c r="BW610" s="9" t="str">
        <x:v>operational_snapshot_annual_totals_may_differ</x:v>
      </x:c>
      <x:c r="BX610" s="9" t="str">
        <x:v>official_live_dashboard_snapshot_subject_to_revision</x:v>
      </x:c>
      <x:c r="BY610" s="9" t="str">
        <x:v>https://tbdashboard.sitb.id/ss_data_tbc03so_2024_provinsi_bulanan_list.php</x:v>
      </x:c>
      <x:c r="BZ610" s="6" t="n">
        <x:v>46246.610671296294</x:v>
      </x:c>
    </x:row>
    <x:row r="611" ht="18" customHeight="1">
      <x:c r="A611" s="6" t="str">
        <x:v>72</x:v>
      </x:c>
      <x:c r="B611" s="6" t="str">
        <x:v>SULAWESI TENGAH</x:v>
      </x:c>
      <x:c r="C611" s="6" t="str">
        <x:v>2024</x:v>
      </x:c>
      <x:c r="D611" s="6" t="str">
        <x:v>10</x:v>
      </x:c>
      <x:c r="E611" s="6" t="str">
        <x:v>2024-10</x:v>
      </x:c>
      <x:c r="F611" s="6" t="str">
        <x:v>751</x:v>
      </x:c>
      <x:c r="G611" s="6" t="str">
        <x:v>150</x:v>
      </x:c>
      <x:c r="H611" s="6" t="str">
        <x:v>464</x:v>
      </x:c>
      <x:c r="I611" s="6" t="str">
        <x:v>92</x:v>
      </x:c>
      <x:c r="J611" s="6" t="str">
        <x:v>44</x:v>
      </x:c>
      <x:c r="K611" s="6" t="str">
        <x:v>1</x:v>
      </x:c>
      <x:c r="L611" s="6" t="str">
        <x:v>0</x:v>
      </x:c>
      <x:c r="M611" s="6" t="str">
        <x:v>0</x:v>
      </x:c>
      <x:c r="N611" s="6" t="str">
        <x:v>751</x:v>
      </x:c>
      <x:c r="O611" s="6" t="str">
        <x:v>0</x:v>
      </x:c>
      <x:c r="P611" s="10" t="n">
        <x:f>F611-M611</x:f>
        <x:v>751</x:v>
      </x:c>
      <x:c r="Q611" s="11" t="n">
        <x:f>IFERROR(M611/F611,"")</x:f>
        <x:v>0</x:v>
      </x:c>
      <x:c r="R611" s="10" t="n">
        <x:f>G611+H611</x:f>
        <x:v>614</x:v>
      </x:c>
      <x:c r="S611" s="11" t="n">
        <x:f>IFERROR(R611/F611,"")</x:f>
        <x:v>0.8175765645805593</x:v>
      </x:c>
      <x:c r="T611" s="11" t="n">
        <x:f>IFERROR(R611/P611,"")</x:f>
        <x:v>0.8175765645805593</x:v>
      </x:c>
      <x:c r="U611" s="10" t="n">
        <x:f>I611+J611+K611</x:f>
        <x:v>137</x:v>
      </x:c>
      <x:c r="V611" s="11" t="n">
        <x:f>IFERROR(U611/P611,"")</x:f>
        <x:v>0.18242343541944075</x:v>
      </x:c>
      <x:c r="W611" s="9" t="str">
        <x:v>mature_le_5pct_pending</x:v>
      </x:c>
      <x:c r="X611" s="12" t="n">
        <x:f>IFERROR(F611/Z611*100000,"")</x:f>
        <x:v>24.056633993209044</x:v>
      </x:c>
      <x:c r="Y611" s="13" t="n">
        <x:f>LN(Z611)</x:f>
        <x:v>14.95392031650645</x:v>
      </x:c>
      <x:c r="Z611" s="6" t="str">
        <x:v>3121800</x:v>
      </x:c>
      <x:c r="AA611" s="6" t="str">
        <x:v>51.0</x:v>
      </x:c>
      <x:c r="AB611" s="9" t="str">
        <x:v>2024-06-30</x:v>
      </x:c>
      <x:c r="AC611" s="8" t="str">
        <x:v>77.4</x:v>
      </x:c>
      <x:c r="AD611" s="9" t="str">
        <x:v>2024 (Susenas)</x:v>
      </x:c>
      <x:c r="AE611" s="8" t="str">
        <x:v>11.77</x:v>
      </x:c>
      <x:c r="AF611" s="9" t="str">
        <x:v>Maret 2024 (Susenas)</x:v>
      </x:c>
      <x:c r="AG611" s="6" t="str">
        <x:v>25.020249862904635</x:v>
      </x:c>
      <x:c r="AH611" s="8" t="str">
        <x:v>84.16139418201463</x:v>
      </x:c>
      <x:c r="AI611" s="6" t="str">
        <x:v>153.0557485066299</x:v>
      </x:c>
      <x:c r="AJ611" s="6" t="str">
        <x:v>0.4677849719326765</x:v>
      </x:c>
      <x:c r="AK611" s="8" t="str">
        <x:v>1.3505022918641816</x:v>
      </x:c>
      <x:c r="AL611" s="6" t="str">
        <x:v>2.6266471335586816</x:v>
      </x:c>
      <x:c r="AM611" s="6" t="str">
        <x:v>1.562972610324692</x:v>
      </x:c>
      <x:c r="AN611" s="6" t="str">
        <x:v>1.846707345249185</x:v>
      </x:c>
      <x:c r="AO611" s="6" t="str">
        <x:v>1.908116028512296</x:v>
      </x:c>
      <x:c r="AP611" s="8" t="str">
        <x:v>0.4446338408078042</x:v>
      </x:c>
      <x:c r="AQ611" s="6" t="str">
        <x:v>0.4210168924729009</x:v>
      </x:c>
      <x:c r="AR611" s="6" t="str">
        <x:v>0.797925671036412</x:v>
      </x:c>
      <x:c r="AS611" s="6" t="str">
        <x:v>0.5545254681057057</x:v>
      </x:c>
      <x:c r="AT611" s="6" t="str">
        <x:v>8.371113180983826</x:v>
      </x:c>
      <x:c r="AU611" s="8" t="str">
        <x:v>0.092759606894146</x:v>
      </x:c>
      <x:c r="AV611" s="6" t="str">
        <x:v>-0.4123791346688911</x:v>
      </x:c>
      <x:c r="AW611" s="6" t="str">
        <x:v>0.941277028350264</x:v>
      </x:c>
      <x:c r="AX611" s="6" t="str">
        <x:v>0.2072191668585064</x:v>
      </x:c>
      <x:c r="AY611" s="6" t="str">
        <x:v>0</x:v>
      </x:c>
      <x:c r="AZ611" s="6" t="str">
        <x:v>1</x:v>
      </x:c>
      <x:c r="BA611" s="9" t="str">
        <x:v>grid_cells_within_BIG_polygon</x:v>
      </x:c>
      <x:c r="BB611" s="6" t="str">
        <x:v>16</x:v>
      </x:c>
      <x:c r="BC611" s="6" t="str">
        <x:v>3</x:v>
      </x:c>
      <x:c r="BD611" s="6" t="str">
        <x:v>3</x:v>
      </x:c>
      <x:c r="BE611" s="6" t="str">
        <x:v>3</x:v>
      </x:c>
      <x:c r="BF611" s="6" t="str">
        <x:v>0</x:v>
      </x:c>
      <x:c r="BG611" s="6" t="str">
        <x:v>0</x:v>
      </x:c>
      <x:c r="BH611" s="6" t="str">
        <x:v>0</x:v>
      </x:c>
      <x:c r="BI611" s="6" t="str">
        <x:v>0</x:v>
      </x:c>
      <x:c r="BJ611" s="6" t="str">
        <x:v>0</x:v>
      </x:c>
      <x:c r="BK611" s="6" t="str">
        <x:v>0</x:v>
      </x:c>
      <x:c r="BL611" s="6" t="str">
        <x:v>0</x:v>
      </x:c>
      <x:c r="BM611" s="6" t="str">
        <x:v>0</x:v>
      </x:c>
      <x:c r="BN611" s="6" t="str">
        <x:v>3</x:v>
      </x:c>
      <x:c r="BO611" s="6" t="str">
        <x:v>0.0</x:v>
      </x:c>
      <x:c r="BP611" s="6" t="str">
        <x:v>3</x:v>
      </x:c>
      <x:c r="BQ611" s="6" t="str">
        <x:v>0.0</x:v>
      </x:c>
      <x:c r="BR611" s="6" t="str">
        <x:v>3</x:v>
      </x:c>
      <x:c r="BS611" s="6" t="str">
        <x:v>0.0</x:v>
      </x:c>
      <x:c r="BT611" s="6" t="str">
        <x:v>3</x:v>
      </x:c>
      <x:c r="BU611" s="6" t="str">
        <x:v>2089.0</x:v>
      </x:c>
      <x:c r="BV611" s="6" t="str">
        <x:v>3</x:v>
      </x:c>
      <x:c r="BW611" s="9" t="str">
        <x:v>operational_snapshot_annual_totals_may_differ</x:v>
      </x:c>
      <x:c r="BX611" s="9" t="str">
        <x:v>official_live_dashboard_snapshot_subject_to_revision</x:v>
      </x:c>
      <x:c r="BY611" s="9" t="str">
        <x:v>https://tbdashboard.sitb.id/ss_data_tbc03so_2024_provinsi_bulanan_list.php</x:v>
      </x:c>
      <x:c r="BZ611" s="6" t="n">
        <x:v>46246.610671296294</x:v>
      </x:c>
    </x:row>
    <x:row r="612" ht="18" customHeight="1">
      <x:c r="A612" s="6" t="str">
        <x:v>72</x:v>
      </x:c>
      <x:c r="B612" s="6" t="str">
        <x:v>SULAWESI TENGAH</x:v>
      </x:c>
      <x:c r="C612" s="6" t="str">
        <x:v>2024</x:v>
      </x:c>
      <x:c r="D612" s="6" t="str">
        <x:v>11</x:v>
      </x:c>
      <x:c r="E612" s="6" t="str">
        <x:v>2024-11</x:v>
      </x:c>
      <x:c r="F612" s="6" t="str">
        <x:v>686</x:v>
      </x:c>
      <x:c r="G612" s="6" t="str">
        <x:v>118</x:v>
      </x:c>
      <x:c r="H612" s="6" t="str">
        <x:v>445</x:v>
      </x:c>
      <x:c r="I612" s="6" t="str">
        <x:v>76</x:v>
      </x:c>
      <x:c r="J612" s="6" t="str">
        <x:v>47</x:v>
      </x:c>
      <x:c r="K612" s="6" t="str">
        <x:v>0</x:v>
      </x:c>
      <x:c r="L612" s="6" t="str">
        <x:v>0</x:v>
      </x:c>
      <x:c r="M612" s="6" t="str">
        <x:v>0</x:v>
      </x:c>
      <x:c r="N612" s="6" t="str">
        <x:v>686</x:v>
      </x:c>
      <x:c r="O612" s="6" t="str">
        <x:v>0</x:v>
      </x:c>
      <x:c r="P612" s="10" t="n">
        <x:f>F612-M612</x:f>
        <x:v>686</x:v>
      </x:c>
      <x:c r="Q612" s="11" t="n">
        <x:f>IFERROR(M612/F612,"")</x:f>
        <x:v>0</x:v>
      </x:c>
      <x:c r="R612" s="10" t="n">
        <x:f>G612+H612</x:f>
        <x:v>563</x:v>
      </x:c>
      <x:c r="S612" s="11" t="n">
        <x:f>IFERROR(R612/F612,"")</x:f>
        <x:v>0.8206997084548106</x:v>
      </x:c>
      <x:c r="T612" s="11" t="n">
        <x:f>IFERROR(R612/P612,"")</x:f>
        <x:v>0.8206997084548106</x:v>
      </x:c>
      <x:c r="U612" s="10" t="n">
        <x:f>I612+J612+K612</x:f>
        <x:v>123</x:v>
      </x:c>
      <x:c r="V612" s="11" t="n">
        <x:f>IFERROR(U612/P612,"")</x:f>
        <x:v>0.1793002915451895</x:v>
      </x:c>
      <x:c r="W612" s="9" t="str">
        <x:v>mature_le_5pct_pending</x:v>
      </x:c>
      <x:c r="X612" s="12" t="n">
        <x:f>IFERROR(F612/Z612*100000,"")</x:f>
        <x:v>21.974501889935294</x:v>
      </x:c>
      <x:c r="Y612" s="13" t="n">
        <x:f>LN(Z612)</x:f>
        <x:v>14.95392031650645</x:v>
      </x:c>
      <x:c r="Z612" s="6" t="str">
        <x:v>3121800</x:v>
      </x:c>
      <x:c r="AA612" s="6" t="str">
        <x:v>51.0</x:v>
      </x:c>
      <x:c r="AB612" s="9" t="str">
        <x:v>2024-06-30</x:v>
      </x:c>
      <x:c r="AC612" s="8" t="str">
        <x:v>77.4</x:v>
      </x:c>
      <x:c r="AD612" s="9" t="str">
        <x:v>2024 (Susenas)</x:v>
      </x:c>
      <x:c r="AE612" s="8" t="str">
        <x:v>11.77</x:v>
      </x:c>
      <x:c r="AF612" s="9" t="str">
        <x:v>Maret 2024 (Susenas)</x:v>
      </x:c>
      <x:c r="AG612" s="6" t="str">
        <x:v>25.195231391408097</x:v>
      </x:c>
      <x:c r="AH612" s="8" t="str">
        <x:v>84.77710968556862</x:v>
      </x:c>
      <x:c r="AI612" s="6" t="str">
        <x:v>147.68572725732434</x:v>
      </x:c>
      <x:c r="AJ612" s="6" t="str">
        <x:v>0.5790105363468001</x:v>
      </x:c>
      <x:c r="AK612" s="8" t="str">
        <x:v>1.6047433033317884</x:v>
      </x:c>
      <x:c r="AL612" s="6" t="str">
        <x:v>1.3505022918641816</x:v>
      </x:c>
      <x:c r="AM612" s="6" t="str">
        <x:v>2.6266471335586816</x:v>
      </x:c>
      <x:c r="AN612" s="6" t="str">
        <x:v>1.860630909584884</x:v>
      </x:c>
      <x:c r="AO612" s="6" t="str">
        <x:v>0.3884961242368803</x:v>
      </x:c>
      <x:c r="AP612" s="8" t="str">
        <x:v>0.1334000505206343</x:v>
      </x:c>
      <x:c r="AQ612" s="6" t="str">
        <x:v>0.4446338408078042</x:v>
      </x:c>
      <x:c r="AR612" s="6" t="str">
        <x:v>0.4210168924729009</x:v>
      </x:c>
      <x:c r="AS612" s="6" t="str">
        <x:v>0.3330169279337798</x:v>
      </x:c>
      <x:c r="AT612" s="6" t="str">
        <x:v>-9.02339354148478</x:v>
      </x:c>
      <x:c r="AU612" s="8" t="str">
        <x:v>-0.1658740254493706</x:v>
      </x:c>
      <x:c r="AV612" s="6" t="str">
        <x:v>0.092759606894146</x:v>
      </x:c>
      <x:c r="AW612" s="6" t="str">
        <x:v>-0.4123791346688911</x:v>
      </x:c>
      <x:c r="AX612" s="6" t="str">
        <x:v>-0.1618311844080384</x:v>
      </x:c>
      <x:c r="AY612" s="6" t="str">
        <x:v>0</x:v>
      </x:c>
      <x:c r="AZ612" s="6" t="str">
        <x:v>1</x:v>
      </x:c>
      <x:c r="BA612" s="9" t="str">
        <x:v>grid_cells_within_BIG_polygon</x:v>
      </x:c>
      <x:c r="BB612" s="6" t="str">
        <x:v>16</x:v>
      </x:c>
      <x:c r="BC612" s="6" t="str">
        <x:v>3</x:v>
      </x:c>
      <x:c r="BD612" s="6" t="str">
        <x:v>3</x:v>
      </x:c>
      <x:c r="BE612" s="6" t="str">
        <x:v>2</x:v>
      </x:c>
      <x:c r="BF612" s="6" t="str">
        <x:v>0</x:v>
      </x:c>
      <x:c r="BG612" s="6" t="str">
        <x:v>1</x:v>
      </x:c>
      <x:c r="BH612" s="6" t="str">
        <x:v>0</x:v>
      </x:c>
      <x:c r="BI612" s="6" t="str">
        <x:v>0</x:v>
      </x:c>
      <x:c r="BJ612" s="6" t="str">
        <x:v>0</x:v>
      </x:c>
      <x:c r="BK612" s="6" t="str">
        <x:v>0</x:v>
      </x:c>
      <x:c r="BL612" s="6" t="str">
        <x:v>0</x:v>
      </x:c>
      <x:c r="BM612" s="6" t="str">
        <x:v>0</x:v>
      </x:c>
      <x:c r="BN612" s="6" t="str">
        <x:v>3</x:v>
      </x:c>
      <x:c r="BO612" s="6" t="str">
        <x:v>0.0</x:v>
      </x:c>
      <x:c r="BP612" s="6" t="str">
        <x:v>3</x:v>
      </x:c>
      <x:c r="BQ612" s="6" t="str">
        <x:v>0.0</x:v>
      </x:c>
      <x:c r="BR612" s="6" t="str">
        <x:v>3</x:v>
      </x:c>
      <x:c r="BS612" s="6" t="str">
        <x:v>2.0</x:v>
      </x:c>
      <x:c r="BT612" s="6" t="str">
        <x:v>3</x:v>
      </x:c>
      <x:c r="BU612" s="6" t="str">
        <x:v>307.0</x:v>
      </x:c>
      <x:c r="BV612" s="6" t="str">
        <x:v>2</x:v>
      </x:c>
      <x:c r="BW612" s="9" t="str">
        <x:v>operational_snapshot_annual_totals_may_differ</x:v>
      </x:c>
      <x:c r="BX612" s="9" t="str">
        <x:v>official_live_dashboard_snapshot_subject_to_revision</x:v>
      </x:c>
      <x:c r="BY612" s="9" t="str">
        <x:v>https://tbdashboard.sitb.id/ss_data_tbc03so_2024_provinsi_bulanan_list.php</x:v>
      </x:c>
      <x:c r="BZ612" s="6" t="n">
        <x:v>46246.610671296294</x:v>
      </x:c>
    </x:row>
    <x:row r="613" ht="18" customHeight="1">
      <x:c r="A613" s="6" t="str">
        <x:v>72</x:v>
      </x:c>
      <x:c r="B613" s="6" t="str">
        <x:v>SULAWESI TENGAH</x:v>
      </x:c>
      <x:c r="C613" s="6" t="str">
        <x:v>2024</x:v>
      </x:c>
      <x:c r="D613" s="6" t="str">
        <x:v>12</x:v>
      </x:c>
      <x:c r="E613" s="6" t="str">
        <x:v>2024-12</x:v>
      </x:c>
      <x:c r="F613" s="6" t="str">
        <x:v>661</x:v>
      </x:c>
      <x:c r="G613" s="6" t="str">
        <x:v>103</x:v>
      </x:c>
      <x:c r="H613" s="6" t="str">
        <x:v>445</x:v>
      </x:c>
      <x:c r="I613" s="6" t="str">
        <x:v>76</x:v>
      </x:c>
      <x:c r="J613" s="6" t="str">
        <x:v>37</x:v>
      </x:c>
      <x:c r="K613" s="6" t="str">
        <x:v>0</x:v>
      </x:c>
      <x:c r="L613" s="6" t="str">
        <x:v>0</x:v>
      </x:c>
      <x:c r="M613" s="6" t="str">
        <x:v>0</x:v>
      </x:c>
      <x:c r="N613" s="6" t="str">
        <x:v>661</x:v>
      </x:c>
      <x:c r="O613" s="6" t="str">
        <x:v>0</x:v>
      </x:c>
      <x:c r="P613" s="10" t="n">
        <x:f>F613-M613</x:f>
        <x:v>661</x:v>
      </x:c>
      <x:c r="Q613" s="11" t="n">
        <x:f>IFERROR(M613/F613,"")</x:f>
        <x:v>0</x:v>
      </x:c>
      <x:c r="R613" s="10" t="n">
        <x:f>G613+H613</x:f>
        <x:v>548</x:v>
      </x:c>
      <x:c r="S613" s="11" t="n">
        <x:f>IFERROR(R613/F613,"")</x:f>
        <x:v>0.8290468986384266</x:v>
      </x:c>
      <x:c r="T613" s="11" t="n">
        <x:f>IFERROR(R613/P613,"")</x:f>
        <x:v>0.8290468986384266</x:v>
      </x:c>
      <x:c r="U613" s="10" t="n">
        <x:f>I613+J613+K613</x:f>
        <x:v>113</x:v>
      </x:c>
      <x:c r="V613" s="11" t="n">
        <x:f>IFERROR(U613/P613,"")</x:f>
        <x:v>0.17095310136157338</x:v>
      </x:c>
      <x:c r="W613" s="9" t="str">
        <x:v>mature_le_5pct_pending</x:v>
      </x:c>
      <x:c r="X613" s="12" t="n">
        <x:f>IFERROR(F613/Z613*100000,"")</x:f>
        <x:v>21.17368185021462</x:v>
      </x:c>
      <x:c r="Y613" s="13" t="n">
        <x:f>LN(Z613)</x:f>
        <x:v>14.95392031650645</x:v>
      </x:c>
      <x:c r="Z613" s="6" t="str">
        <x:v>3121800</x:v>
      </x:c>
      <x:c r="AA613" s="6" t="str">
        <x:v>51.0</x:v>
      </x:c>
      <x:c r="AB613" s="9" t="str">
        <x:v>2024-06-30</x:v>
      </x:c>
      <x:c r="AC613" s="8" t="str">
        <x:v>77.4</x:v>
      </x:c>
      <x:c r="AD613" s="9" t="str">
        <x:v>2024 (Susenas)</x:v>
      </x:c>
      <x:c r="AE613" s="8" t="str">
        <x:v>11.77</x:v>
      </x:c>
      <x:c r="AF613" s="9" t="str">
        <x:v>Maret 2024 (Susenas)</x:v>
      </x:c>
      <x:c r="AG613" s="6" t="str">
        <x:v>24.87332281447394</x:v>
      </x:c>
      <x:c r="AH613" s="8" t="str">
        <x:v>85.8420534907512</x:v>
      </x:c>
      <x:c r="AI613" s="6" t="str">
        <x:v>147.89791244307918</x:v>
      </x:c>
      <x:c r="AJ613" s="6" t="str">
        <x:v>0.5678922736099103</x:v>
      </x:c>
      <x:c r="AK613" s="8" t="str">
        <x:v>1.3573644730244927</x:v>
      </x:c>
      <x:c r="AL613" s="6" t="str">
        <x:v>1.6047433033317884</x:v>
      </x:c>
      <x:c r="AM613" s="6" t="str">
        <x:v>1.3505022918641816</x:v>
      </x:c>
      <x:c r="AN613" s="6" t="str">
        <x:v>1.4375366894068209</x:v>
      </x:c>
      <x:c r="AO613" s="6" t="str">
        <x:v>-0.4519153814172938</x:v>
      </x:c>
      <x:c r="AP613" s="8" t="str">
        <x:v>-0.2346265013259731</x:v>
      </x:c>
      <x:c r="AQ613" s="6" t="str">
        <x:v>0.1334000505206343</x:v>
      </x:c>
      <x:c r="AR613" s="6" t="str">
        <x:v>0.4446338408078042</x:v>
      </x:c>
      <x:c r="AS613" s="6" t="str">
        <x:v>0.1144691300008218</x:v>
      </x:c>
      <x:c r="AT613" s="6" t="str">
        <x:v>-35.12205863562994</x:v>
      </x:c>
      <x:c r="AU613" s="8" t="str">
        <x:v>-0.6067943650306254</x:v>
      </x:c>
      <x:c r="AV613" s="6" t="str">
        <x:v>-0.1658740254493706</x:v>
      </x:c>
      <x:c r="AW613" s="6" t="str">
        <x:v>0.092759606894146</x:v>
      </x:c>
      <x:c r="AX613" s="6" t="str">
        <x:v>-0.2266362611952832</x:v>
      </x:c>
      <x:c r="AY613" s="6" t="str">
        <x:v>0</x:v>
      </x:c>
      <x:c r="AZ613" s="6" t="str">
        <x:v>1</x:v>
      </x:c>
      <x:c r="BA613" s="9" t="str">
        <x:v>grid_cells_within_BIG_polygon</x:v>
      </x:c>
      <x:c r="BB613" s="6" t="str">
        <x:v>16</x:v>
      </x:c>
      <x:c r="BC613" s="6" t="str">
        <x:v>6</x:v>
      </x:c>
      <x:c r="BD613" s="6" t="str">
        <x:v>5</x:v>
      </x:c>
      <x:c r="BE613" s="6" t="str">
        <x:v>4</x:v>
      </x:c>
      <x:c r="BF613" s="6" t="str">
        <x:v>0</x:v>
      </x:c>
      <x:c r="BG613" s="6" t="str">
        <x:v>1</x:v>
      </x:c>
      <x:c r="BH613" s="6" t="str">
        <x:v>0</x:v>
      </x:c>
      <x:c r="BI613" s="6" t="str">
        <x:v>0</x:v>
      </x:c>
      <x:c r="BJ613" s="6" t="str">
        <x:v>0</x:v>
      </x:c>
      <x:c r="BK613" s="6" t="str">
        <x:v>1</x:v>
      </x:c>
      <x:c r="BL613" s="6" t="str">
        <x:v>0</x:v>
      </x:c>
      <x:c r="BM613" s="6" t="str">
        <x:v>0</x:v>
      </x:c>
      <x:c r="BN613" s="6" t="str">
        <x:v>6</x:v>
      </x:c>
      <x:c r="BO613" s="6" t="str">
        <x:v>0.0</x:v>
      </x:c>
      <x:c r="BP613" s="6" t="str">
        <x:v>6</x:v>
      </x:c>
      <x:c r="BQ613" s="6" t="str">
        <x:v>0.0</x:v>
      </x:c>
      <x:c r="BR613" s="6" t="str">
        <x:v>6</x:v>
      </x:c>
      <x:c r="BS613" s="6" t="str">
        <x:v>29.0</x:v>
      </x:c>
      <x:c r="BT613" s="6" t="str">
        <x:v>6</x:v>
      </x:c>
      <x:c r="BU613" s="6" t="str">
        <x:v>445.0</x:v>
      </x:c>
      <x:c r="BV613" s="6" t="str">
        <x:v>4</x:v>
      </x:c>
      <x:c r="BW613" s="9" t="str">
        <x:v>operational_snapshot_annual_totals_may_differ</x:v>
      </x:c>
      <x:c r="BX613" s="9" t="str">
        <x:v>official_live_dashboard_snapshot_subject_to_revision</x:v>
      </x:c>
      <x:c r="BY613" s="9" t="str">
        <x:v>https://tbdashboard.sitb.id/ss_data_tbc03so_2024_provinsi_bulanan_list.php</x:v>
      </x:c>
      <x:c r="BZ613" s="6" t="n">
        <x:v>46246.610671296294</x:v>
      </x:c>
    </x:row>
    <x:row r="614" ht="18" customHeight="1">
      <x:c r="A614" s="6" t="str">
        <x:v>72</x:v>
      </x:c>
      <x:c r="B614" s="6" t="str">
        <x:v>SULAWESI TENGAH</x:v>
      </x:c>
      <x:c r="C614" s="6" t="str">
        <x:v>2025</x:v>
      </x:c>
      <x:c r="D614" s="6" t="str">
        <x:v>1</x:v>
      </x:c>
      <x:c r="E614" s="6" t="str">
        <x:v>2025-01</x:v>
      </x:c>
      <x:c r="F614" s="6" t="str">
        <x:v>692</x:v>
      </x:c>
      <x:c r="G614" s="6" t="str">
        <x:v>159</x:v>
      </x:c>
      <x:c r="H614" s="6" t="str">
        <x:v>375</x:v>
      </x:c>
      <x:c r="I614" s="6" t="str">
        <x:v>75</x:v>
      </x:c>
      <x:c r="J614" s="6" t="str">
        <x:v>41</x:v>
      </x:c>
      <x:c r="K614" s="6" t="str">
        <x:v>1</x:v>
      </x:c>
      <x:c r="L614" s="6" t="str">
        <x:v>4</x:v>
      </x:c>
      <x:c r="M614" s="6" t="str">
        <x:v>37</x:v>
      </x:c>
      <x:c r="N614" s="6" t="str">
        <x:v>692</x:v>
      </x:c>
      <x:c r="O614" s="6" t="str">
        <x:v>0</x:v>
      </x:c>
      <x:c r="P614" s="10" t="n">
        <x:f>F614-M614</x:f>
        <x:v>655</x:v>
      </x:c>
      <x:c r="Q614" s="11" t="n">
        <x:f>IFERROR(M614/F614,"")</x:f>
        <x:v>0.05346820809248555</x:v>
      </x:c>
      <x:c r="R614" s="10" t="n">
        <x:f>G614+H614</x:f>
        <x:v>534</x:v>
      </x:c>
      <x:c r="S614" s="11" t="n">
        <x:f>IFERROR(R614/F614,"")</x:f>
        <x:v>0.7716763005780347</x:v>
      </x:c>
      <x:c r="T614" s="11" t="n">
        <x:f>IFERROR(R614/P614,"")</x:f>
        <x:v>0.815267175572519</x:v>
      </x:c>
      <x:c r="U614" s="10" t="n">
        <x:f>I614+J614+K614</x:f>
        <x:v>117</x:v>
      </x:c>
      <x:c r="V614" s="11" t="n">
        <x:f>IFERROR(U614/P614,"")</x:f>
        <x:v>0.17862595419847327</x:v>
      </x:c>
      <x:c r="W614" s="9" t="str">
        <x:v>provisional_gt_5pct_pending</x:v>
      </x:c>
      <x:c r="X614" s="12" t="n">
        <x:f>IFERROR(F614/Z614*100000,"")</x:f>
        <x:v>21.925794493203636</x:v>
      </x:c>
      <x:c r="Y614" s="13" t="n">
        <x:f>LN(Z614)</x:f>
        <x:v>14.964847646123994</x:v>
      </x:c>
      <x:c r="Z614" s="6" t="str">
        <x:v>3156100</x:v>
      </x:c>
      <x:c r="AA614" s="6" t="str">
        <x:v>51.0</x:v>
      </x:c>
      <x:c r="AB614" s="9" t="str">
        <x:v>2025-06-30</x:v>
      </x:c>
      <x:c r="AC614" s="8" t="str">
        <x:v>79.6</x:v>
      </x:c>
      <x:c r="AD614" s="9" t="str">
        <x:v>2025 (Susenas)</x:v>
      </x:c>
      <x:c r="AE614" s="8" t="str">
        <x:v>10.92</x:v>
      </x:c>
      <x:c r="AF614" s="9" t="str">
        <x:v>Maret 2025 (Susenas)</x:v>
      </x:c>
      <x:c r="AG614" s="6" t="str">
        <x:v>24.40769242884266</x:v>
      </x:c>
      <x:c r="AH614" s="8" t="str">
        <x:v>87.24645228444186</x:v>
      </x:c>
      <x:c r="AI614" s="6" t="str">
        <x:v>248.884794112736</x:v>
      </x:c>
      <x:c r="AJ614" s="6" t="str">
        <x:v>0.3708341079563588</x:v>
      </x:c>
      <x:c r="AK614" s="8" t="str">
        <x:v>0.8569686347136103</x:v>
      </x:c>
      <x:c r="AL614" s="6" t="str">
        <x:v>1.3573644730244927</x:v>
      </x:c>
      <x:c r="AM614" s="6" t="str">
        <x:v>1.6047433033317884</x:v>
      </x:c>
      <x:c r="AN614" s="6" t="str">
        <x:v>1.2730254703566306</x:v>
      </x:c>
      <x:c r="AO614" s="6" t="str">
        <x:v>0.8537729728845846</x:v>
      </x:c>
      <x:c r="AP614" s="8" t="str">
        <x:v>0.405916002888362</x:v>
      </x:c>
      <x:c r="AQ614" s="6" t="str">
        <x:v>-0.2346265013259731</x:v>
      </x:c>
      <x:c r="AR614" s="6" t="str">
        <x:v>0.1334000505206343</x:v>
      </x:c>
      <x:c r="AS614" s="6" t="str">
        <x:v>0.1015631840276744</x:v>
      </x:c>
      <x:c r="AT614" s="6" t="str">
        <x:v>64.98582949555114</x:v>
      </x:c>
      <x:c r="AU614" s="8" t="str">
        <x:v>0.8664139506504512</x:v>
      </x:c>
      <x:c r="AV614" s="6" t="str">
        <x:v>-0.6067943650306254</x:v>
      </x:c>
      <x:c r="AW614" s="6" t="str">
        <x:v>-0.1658740254493706</x:v>
      </x:c>
      <x:c r="AX614" s="6" t="str">
        <x:v>0.0312485200568185</x:v>
      </x:c>
      <x:c r="AY614" s="6" t="str">
        <x:v>0</x:v>
      </x:c>
      <x:c r="AZ614" s="6" t="str">
        <x:v>0</x:v>
      </x:c>
      <x:c r="BA614" s="9" t="str">
        <x:v>grid_cells_within_BIG_polygon</x:v>
      </x:c>
      <x:c r="BB614" s="6" t="str">
        <x:v>16</x:v>
      </x:c>
      <x:c r="BC614" s="6" t="str">
        <x:v>17</x:v>
      </x:c>
      <x:c r="BD614" s="6" t="str">
        <x:v>17</x:v>
      </x:c>
      <x:c r="BE614" s="6" t="str">
        <x:v>12</x:v>
      </x:c>
      <x:c r="BF614" s="6" t="str">
        <x:v>2</x:v>
      </x:c>
      <x:c r="BG614" s="6" t="str">
        <x:v>0</x:v>
      </x:c>
      <x:c r="BH614" s="6" t="str">
        <x:v>0</x:v>
      </x:c>
      <x:c r="BI614" s="6" t="str">
        <x:v>0</x:v>
      </x:c>
      <x:c r="BJ614" s="6" t="str">
        <x:v>3</x:v>
      </x:c>
      <x:c r="BK614" s="6" t="str">
        <x:v>0</x:v>
      </x:c>
      <x:c r="BL614" s="6" t="str">
        <x:v>0</x:v>
      </x:c>
      <x:c r="BM614" s="6" t="str">
        <x:v>0</x:v>
      </x:c>
      <x:c r="BN614" s="6" t="str">
        <x:v>17</x:v>
      </x:c>
      <x:c r="BO614" s="6" t="str">
        <x:v>1.0</x:v>
      </x:c>
      <x:c r="BP614" s="6" t="str">
        <x:v>17</x:v>
      </x:c>
      <x:c r="BQ614" s="6" t="str">
        <x:v>3.0</x:v>
      </x:c>
      <x:c r="BR614" s="6" t="str">
        <x:v>17</x:v>
      </x:c>
      <x:c r="BS614" s="6" t="str">
        <x:v>32.0</x:v>
      </x:c>
      <x:c r="BT614" s="6" t="str">
        <x:v>17</x:v>
      </x:c>
      <x:c r="BU614" s="6" t="str">
        <x:v>877.0</x:v>
      </x:c>
      <x:c r="BV614" s="6" t="str">
        <x:v>12</x:v>
      </x:c>
      <x:c r="BW614" s="9" t="str">
        <x:v>operational_snapshot_annual_totals_may_differ</x:v>
      </x:c>
      <x:c r="BX614" s="9" t="str">
        <x:v>official_live_dashboard_snapshot_subject_to_revision</x:v>
      </x:c>
      <x:c r="BY614" s="9" t="str">
        <x:v>https://tbdashboard.sitb.id/ss_data_tbc03so_2025_provinsi_bulanan_list.php</x:v>
      </x:c>
      <x:c r="BZ614" s="6" t="n">
        <x:v>46246.610671296294</x:v>
      </x:c>
    </x:row>
    <x:row r="615" ht="18" customHeight="1">
      <x:c r="A615" s="6" t="str">
        <x:v>72</x:v>
      </x:c>
      <x:c r="B615" s="6" t="str">
        <x:v>SULAWESI TENGAH</x:v>
      </x:c>
      <x:c r="C615" s="6" t="str">
        <x:v>2025</x:v>
      </x:c>
      <x:c r="D615" s="6" t="str">
        <x:v>2</x:v>
      </x:c>
      <x:c r="E615" s="6" t="str">
        <x:v>2025-02</x:v>
      </x:c>
      <x:c r="F615" s="6" t="str">
        <x:v>686</x:v>
      </x:c>
      <x:c r="G615" s="6" t="str">
        <x:v>107</x:v>
      </x:c>
      <x:c r="H615" s="6" t="str">
        <x:v>414</x:v>
      </x:c>
      <x:c r="I615" s="6" t="str">
        <x:v>86</x:v>
      </x:c>
      <x:c r="J615" s="6" t="str">
        <x:v>54</x:v>
      </x:c>
      <x:c r="K615" s="6" t="str">
        <x:v>0</x:v>
      </x:c>
      <x:c r="L615" s="6" t="str">
        <x:v>1</x:v>
      </x:c>
      <x:c r="M615" s="6" t="str">
        <x:v>24</x:v>
      </x:c>
      <x:c r="N615" s="6" t="str">
        <x:v>686</x:v>
      </x:c>
      <x:c r="O615" s="6" t="str">
        <x:v>0</x:v>
      </x:c>
      <x:c r="P615" s="10" t="n">
        <x:f>F615-M615</x:f>
        <x:v>662</x:v>
      </x:c>
      <x:c r="Q615" s="11" t="n">
        <x:f>IFERROR(M615/F615,"")</x:f>
        <x:v>0.03498542274052478</x:v>
      </x:c>
      <x:c r="R615" s="10" t="n">
        <x:f>G615+H615</x:f>
        <x:v>521</x:v>
      </x:c>
      <x:c r="S615" s="11" t="n">
        <x:f>IFERROR(R615/F615,"")</x:f>
        <x:v>0.7594752186588921</x:v>
      </x:c>
      <x:c r="T615" s="11" t="n">
        <x:f>IFERROR(R615/P615,"")</x:f>
        <x:v>0.7870090634441088</x:v>
      </x:c>
      <x:c r="U615" s="10" t="n">
        <x:f>I615+J615+K615</x:f>
        <x:v>140</x:v>
      </x:c>
      <x:c r="V615" s="11" t="n">
        <x:f>IFERROR(U615/P615,"")</x:f>
        <x:v>0.21148036253776434</x:v>
      </x:c>
      <x:c r="W615" s="9" t="str">
        <x:v>mature_le_5pct_pending</x:v>
      </x:c>
      <x:c r="X615" s="12" t="n">
        <x:f>IFERROR(F615/Z615*100000,"")</x:f>
        <x:v>21.73568644846488</x:v>
      </x:c>
      <x:c r="Y615" s="13" t="n">
        <x:f>LN(Z615)</x:f>
        <x:v>14.964847646123994</x:v>
      </x:c>
      <x:c r="Z615" s="6" t="str">
        <x:v>3156100</x:v>
      </x:c>
      <x:c r="AA615" s="6" t="str">
        <x:v>51.0</x:v>
      </x:c>
      <x:c r="AB615" s="9" t="str">
        <x:v>2025-06-30</x:v>
      </x:c>
      <x:c r="AC615" s="8" t="str">
        <x:v>79.6</x:v>
      </x:c>
      <x:c r="AD615" s="9" t="str">
        <x:v>2025 (Susenas)</x:v>
      </x:c>
      <x:c r="AE615" s="8" t="str">
        <x:v>10.92</x:v>
      </x:c>
      <x:c r="AF615" s="9" t="str">
        <x:v>Maret 2025 (Susenas)</x:v>
      </x:c>
      <x:c r="AG615" s="6" t="str">
        <x:v>24.25456790016865</x:v>
      </x:c>
      <x:c r="AH615" s="8" t="str">
        <x:v>85.66026417632472</x:v>
      </x:c>
      <x:c r="AI615" s="6" t="str">
        <x:v>135.878840474517</x:v>
      </x:c>
      <x:c r="AJ615" s="6" t="str">
        <x:v>0.1994968944896804</x:v>
      </x:c>
      <x:c r="AK615" s="8" t="str">
        <x:v>0.447055428743779</x:v>
      </x:c>
      <x:c r="AL615" s="6" t="str">
        <x:v>0.8569686347136103</x:v>
      </x:c>
      <x:c r="AM615" s="6" t="str">
        <x:v>1.3573644730244927</x:v>
      </x:c>
      <x:c r="AN615" s="6" t="str">
        <x:v>0.8871295121606274</x:v>
      </x:c>
      <x:c r="AO615" s="6" t="str">
        <x:v>-0.3807051473771139</x:v>
      </x:c>
      <x:c r="AP615" s="8" t="str">
        <x:v>-0.158386045493631</x:v>
      </x:c>
      <x:c r="AQ615" s="6" t="str">
        <x:v>0.405916002888362</x:v>
      </x:c>
      <x:c r="AR615" s="6" t="str">
        <x:v>-0.2346265013259731</x:v>
      </x:c>
      <x:c r="AS615" s="6" t="str">
        <x:v>0.0043011520229192</x:v>
      </x:c>
      <x:c r="AT615" s="6" t="str">
        <x:v>-23.6700730805033</x:v>
      </x:c>
      <x:c r="AU615" s="8" t="str">
        <x:v>-0.3621324141659613</x:v>
      </x:c>
      <x:c r="AV615" s="6" t="str">
        <x:v>0.8664139506504512</x:v>
      </x:c>
      <x:c r="AW615" s="6" t="str">
        <x:v>-0.6067943650306254</x:v>
      </x:c>
      <x:c r="AX615" s="6" t="str">
        <x:v>-0.0341709428487116</x:v>
      </x:c>
      <x:c r="AY615" s="6" t="str">
        <x:v>0</x:v>
      </x:c>
      <x:c r="AZ615" s="6" t="str">
        <x:v>0</x:v>
      </x:c>
      <x:c r="BA615" s="9" t="str">
        <x:v>grid_cells_within_BIG_polygon</x:v>
      </x:c>
      <x:c r="BB615" s="6" t="str">
        <x:v>16</x:v>
      </x:c>
      <x:c r="BC615" s="6" t="str">
        <x:v>13</x:v>
      </x:c>
      <x:c r="BD615" s="6" t="str">
        <x:v>13</x:v>
      </x:c>
      <x:c r="BE615" s="6" t="str">
        <x:v>6</x:v>
      </x:c>
      <x:c r="BF615" s="6" t="str">
        <x:v>2</x:v>
      </x:c>
      <x:c r="BG615" s="6" t="str">
        <x:v>5</x:v>
      </x:c>
      <x:c r="BH615" s="6" t="str">
        <x:v>0</x:v>
      </x:c>
      <x:c r="BI615" s="6" t="str">
        <x:v>0</x:v>
      </x:c>
      <x:c r="BJ615" s="6" t="str">
        <x:v>0</x:v>
      </x:c>
      <x:c r="BK615" s="6" t="str">
        <x:v>0</x:v>
      </x:c>
      <x:c r="BL615" s="6" t="str">
        <x:v>0</x:v>
      </x:c>
      <x:c r="BM615" s="6" t="str">
        <x:v>0</x:v>
      </x:c>
      <x:c r="BN615" s="6" t="str">
        <x:v>13</x:v>
      </x:c>
      <x:c r="BO615" s="6" t="str">
        <x:v>0.0</x:v>
      </x:c>
      <x:c r="BP615" s="6" t="str">
        <x:v>13</x:v>
      </x:c>
      <x:c r="BQ615" s="6" t="str">
        <x:v>0.0</x:v>
      </x:c>
      <x:c r="BR615" s="6" t="str">
        <x:v>13</x:v>
      </x:c>
      <x:c r="BS615" s="6" t="str">
        <x:v>107.0</x:v>
      </x:c>
      <x:c r="BT615" s="6" t="str">
        <x:v>13</x:v>
      </x:c>
      <x:c r="BU615" s="6" t="str">
        <x:v>1057.0</x:v>
      </x:c>
      <x:c r="BV615" s="6" t="str">
        <x:v>6</x:v>
      </x:c>
      <x:c r="BW615" s="9" t="str">
        <x:v>operational_snapshot_annual_totals_may_differ</x:v>
      </x:c>
      <x:c r="BX615" s="9" t="str">
        <x:v>official_live_dashboard_snapshot_subject_to_revision</x:v>
      </x:c>
      <x:c r="BY615" s="9" t="str">
        <x:v>https://tbdashboard.sitb.id/ss_data_tbc03so_2025_provinsi_bulanan_list.php</x:v>
      </x:c>
      <x:c r="BZ615" s="6" t="n">
        <x:v>46246.610671296294</x:v>
      </x:c>
    </x:row>
    <x:row r="616" ht="18" customHeight="1">
      <x:c r="A616" s="6" t="str">
        <x:v>72</x:v>
      </x:c>
      <x:c r="B616" s="6" t="str">
        <x:v>SULAWESI TENGAH</x:v>
      </x:c>
      <x:c r="C616" s="6" t="str">
        <x:v>2025</x:v>
      </x:c>
      <x:c r="D616" s="6" t="str">
        <x:v>3</x:v>
      </x:c>
      <x:c r="E616" s="6" t="str">
        <x:v>2025-03</x:v>
      </x:c>
      <x:c r="F616" s="6" t="str">
        <x:v>573</x:v>
      </x:c>
      <x:c r="G616" s="6" t="str">
        <x:v>103</x:v>
      </x:c>
      <x:c r="H616" s="6" t="str">
        <x:v>346</x:v>
      </x:c>
      <x:c r="I616" s="6" t="str">
        <x:v>67</x:v>
      </x:c>
      <x:c r="J616" s="6" t="str">
        <x:v>41</x:v>
      </x:c>
      <x:c r="K616" s="6" t="str">
        <x:v>2</x:v>
      </x:c>
      <x:c r="L616" s="6" t="str">
        <x:v>0</x:v>
      </x:c>
      <x:c r="M616" s="6" t="str">
        <x:v>14</x:v>
      </x:c>
      <x:c r="N616" s="6" t="str">
        <x:v>573</x:v>
      </x:c>
      <x:c r="O616" s="6" t="str">
        <x:v>0</x:v>
      </x:c>
      <x:c r="P616" s="10" t="n">
        <x:f>F616-M616</x:f>
        <x:v>559</x:v>
      </x:c>
      <x:c r="Q616" s="11" t="n">
        <x:f>IFERROR(M616/F616,"")</x:f>
        <x:v>0.02443280977312391</x:v>
      </x:c>
      <x:c r="R616" s="10" t="n">
        <x:f>G616+H616</x:f>
        <x:v>449</x:v>
      </x:c>
      <x:c r="S616" s="11" t="n">
        <x:f>IFERROR(R616/F616,"")</x:f>
        <x:v>0.7835951134380453</x:v>
      </x:c>
      <x:c r="T616" s="11" t="n">
        <x:f>IFERROR(R616/P616,"")</x:f>
        <x:v>0.8032200357781754</x:v>
      </x:c>
      <x:c r="U616" s="10" t="n">
        <x:f>I616+J616+K616</x:f>
        <x:v>110</x:v>
      </x:c>
      <x:c r="V616" s="11" t="n">
        <x:f>IFERROR(U616/P616,"")</x:f>
        <x:v>0.1967799642218247</x:v>
      </x:c>
      <x:c r="W616" s="9" t="str">
        <x:v>mature_le_5pct_pending</x:v>
      </x:c>
      <x:c r="X616" s="12" t="n">
        <x:f>IFERROR(F616/Z616*100000,"")</x:f>
        <x:v>18.15531827255157</x:v>
      </x:c>
      <x:c r="Y616" s="13" t="n">
        <x:f>LN(Z616)</x:f>
        <x:v>14.964847646123994</x:v>
      </x:c>
      <x:c r="Z616" s="6" t="str">
        <x:v>3156100</x:v>
      </x:c>
      <x:c r="AA616" s="6" t="str">
        <x:v>51.0</x:v>
      </x:c>
      <x:c r="AB616" s="9" t="str">
        <x:v>2025-06-30</x:v>
      </x:c>
      <x:c r="AC616" s="8" t="str">
        <x:v>79.6</x:v>
      </x:c>
      <x:c r="AD616" s="9" t="str">
        <x:v>2025 (Susenas)</x:v>
      </x:c>
      <x:c r="AE616" s="8" t="str">
        <x:v>10.92</x:v>
      </x:c>
      <x:c r="AF616" s="9" t="str">
        <x:v>Maret 2025 (Susenas)</x:v>
      </x:c>
      <x:c r="AG616" s="6" t="str">
        <x:v>24.4951917387791</x:v>
      </x:c>
      <x:c r="AH616" s="8" t="str">
        <x:v>86.63092398085709</x:v>
      </x:c>
      <x:c r="AI616" s="6" t="str">
        <x:v>268.7470232750905</x:v>
      </x:c>
      <x:c r="AJ616" s="6" t="str">
        <x:v>0.2474081160668824</x:v>
      </x:c>
      <x:c r="AK616" s="8" t="str">
        <x:v>0.5214271901733278</x:v>
      </x:c>
      <x:c r="AL616" s="6" t="str">
        <x:v>0.447055428743779</x:v>
      </x:c>
      <x:c r="AM616" s="6" t="str">
        <x:v>0.8569686347136103</x:v>
      </x:c>
      <x:c r="AN616" s="6" t="str">
        <x:v>0.6084837512102391</x:v>
      </x:c>
      <x:c r="AO616" s="6" t="str">
        <x:v>0.7957906284074312</x:v>
      </x:c>
      <x:c r="AP616" s="8" t="str">
        <x:v>0.3465401203978625</x:v>
      </x:c>
      <x:c r="AQ616" s="6" t="str">
        <x:v>-0.158386045493631</x:v>
      </x:c>
      <x:c r="AR616" s="6" t="str">
        <x:v>0.405916002888362</x:v>
      </x:c>
      <x:c r="AS616" s="6" t="str">
        <x:v>0.1980233592641978</x:v>
      </x:c>
      <x:c r="AT616" s="6" t="str">
        <x:v>66.46023777445652</x:v>
      </x:c>
      <x:c r="AU616" s="8" t="str">
        <x:v>0.8531815238405509</x:v>
      </x:c>
      <x:c r="AV616" s="6" t="str">
        <x:v>-0.3621324141659613</x:v>
      </x:c>
      <x:c r="AW616" s="6" t="str">
        <x:v>0.8664139506504512</x:v>
      </x:c>
      <x:c r="AX616" s="6" t="str">
        <x:v>0.4524876867750138</x:v>
      </x:c>
      <x:c r="AY616" s="6" t="str">
        <x:v>0</x:v>
      </x:c>
      <x:c r="AZ616" s="6" t="str">
        <x:v>0</x:v>
      </x:c>
      <x:c r="BA616" s="9" t="str">
        <x:v>grid_cells_within_BIG_polygon</x:v>
      </x:c>
      <x:c r="BB616" s="6" t="str">
        <x:v>16</x:v>
      </x:c>
      <x:c r="BC616" s="6" t="str">
        <x:v>24</x:v>
      </x:c>
      <x:c r="BD616" s="6" t="str">
        <x:v>24</x:v>
      </x:c>
      <x:c r="BE616" s="6" t="str">
        <x:v>23</x:v>
      </x:c>
      <x:c r="BF616" s="6" t="str">
        <x:v>0</x:v>
      </x:c>
      <x:c r="BG616" s="6" t="str">
        <x:v>0</x:v>
      </x:c>
      <x:c r="BH616" s="6" t="str">
        <x:v>0</x:v>
      </x:c>
      <x:c r="BI616" s="6" t="str">
        <x:v>0</x:v>
      </x:c>
      <x:c r="BJ616" s="6" t="str">
        <x:v>1</x:v>
      </x:c>
      <x:c r="BK616" s="6" t="str">
        <x:v>0</x:v>
      </x:c>
      <x:c r="BL616" s="6" t="str">
        <x:v>0</x:v>
      </x:c>
      <x:c r="BM616" s="6" t="str">
        <x:v>0</x:v>
      </x:c>
      <x:c r="BN616" s="6" t="str">
        <x:v>24</x:v>
      </x:c>
      <x:c r="BO616" s="6" t="str">
        <x:v>0.0</x:v>
      </x:c>
      <x:c r="BP616" s="6" t="str">
        <x:v>24</x:v>
      </x:c>
      <x:c r="BQ616" s="6" t="str">
        <x:v>0.0</x:v>
      </x:c>
      <x:c r="BR616" s="6" t="str">
        <x:v>24</x:v>
      </x:c>
      <x:c r="BS616" s="6" t="str">
        <x:v>56.0</x:v>
      </x:c>
      <x:c r="BT616" s="6" t="str">
        <x:v>24</x:v>
      </x:c>
      <x:c r="BU616" s="6" t="str">
        <x:v>2853.0</x:v>
      </x:c>
      <x:c r="BV616" s="6" t="str">
        <x:v>21</x:v>
      </x:c>
      <x:c r="BW616" s="9" t="str">
        <x:v>operational_snapshot_annual_totals_may_differ</x:v>
      </x:c>
      <x:c r="BX616" s="9" t="str">
        <x:v>official_live_dashboard_snapshot_subject_to_revision</x:v>
      </x:c>
      <x:c r="BY616" s="9" t="str">
        <x:v>https://tbdashboard.sitb.id/ss_data_tbc03so_2025_provinsi_bulanan_list.php</x:v>
      </x:c>
      <x:c r="BZ616" s="6" t="n">
        <x:v>46246.610671296294</x:v>
      </x:c>
    </x:row>
    <x:row r="617" ht="18" customHeight="1">
      <x:c r="A617" s="6" t="str">
        <x:v>72</x:v>
      </x:c>
      <x:c r="B617" s="6" t="str">
        <x:v>SULAWESI TENGAH</x:v>
      </x:c>
      <x:c r="C617" s="6" t="str">
        <x:v>2025</x:v>
      </x:c>
      <x:c r="D617" s="6" t="str">
        <x:v>4</x:v>
      </x:c>
      <x:c r="E617" s="6" t="str">
        <x:v>2025-04</x:v>
      </x:c>
      <x:c r="F617" s="6" t="str">
        <x:v>621</x:v>
      </x:c>
      <x:c r="G617" s="6" t="str">
        <x:v>133</x:v>
      </x:c>
      <x:c r="H617" s="6" t="str">
        <x:v>347</x:v>
      </x:c>
      <x:c r="I617" s="6" t="str">
        <x:v>71</x:v>
      </x:c>
      <x:c r="J617" s="6" t="str">
        <x:v>45</x:v>
      </x:c>
      <x:c r="K617" s="6" t="str">
        <x:v>0</x:v>
      </x:c>
      <x:c r="L617" s="6" t="str">
        <x:v>0</x:v>
      </x:c>
      <x:c r="M617" s="6" t="str">
        <x:v>25</x:v>
      </x:c>
      <x:c r="N617" s="6" t="str">
        <x:v>621</x:v>
      </x:c>
      <x:c r="O617" s="6" t="str">
        <x:v>0</x:v>
      </x:c>
      <x:c r="P617" s="10" t="n">
        <x:f>F617-M617</x:f>
        <x:v>596</x:v>
      </x:c>
      <x:c r="Q617" s="11" t="n">
        <x:f>IFERROR(M617/F617,"")</x:f>
        <x:v>0.040257648953301126</x:v>
      </x:c>
      <x:c r="R617" s="10" t="n">
        <x:f>G617+H617</x:f>
        <x:v>480</x:v>
      </x:c>
      <x:c r="S617" s="11" t="n">
        <x:f>IFERROR(R617/F617,"")</x:f>
        <x:v>0.7729468599033816</x:v>
      </x:c>
      <x:c r="T617" s="11" t="n">
        <x:f>IFERROR(R617/P617,"")</x:f>
        <x:v>0.8053691275167785</x:v>
      </x:c>
      <x:c r="U617" s="10" t="n">
        <x:f>I617+J617+K617</x:f>
        <x:v>116</x:v>
      </x:c>
      <x:c r="V617" s="11" t="n">
        <x:f>IFERROR(U617/P617,"")</x:f>
        <x:v>0.19463087248322147</x:v>
      </x:c>
      <x:c r="W617" s="9" t="str">
        <x:v>mature_le_5pct_pending</x:v>
      </x:c>
      <x:c r="X617" s="12" t="n">
        <x:f>IFERROR(F617/Z617*100000,"")</x:f>
        <x:v>19.676182630461646</x:v>
      </x:c>
      <x:c r="Y617" s="13" t="n">
        <x:f>LN(Z617)</x:f>
        <x:v>14.964847646123994</x:v>
      </x:c>
      <x:c r="Z617" s="6" t="str">
        <x:v>3156100</x:v>
      </x:c>
      <x:c r="AA617" s="6" t="str">
        <x:v>51.0</x:v>
      </x:c>
      <x:c r="AB617" s="9" t="str">
        <x:v>2025-06-30</x:v>
      </x:c>
      <x:c r="AC617" s="8" t="str">
        <x:v>79.6</x:v>
      </x:c>
      <x:c r="AD617" s="9" t="str">
        <x:v>2025 (Susenas)</x:v>
      </x:c>
      <x:c r="AE617" s="8" t="str">
        <x:v>10.92</x:v>
      </x:c>
      <x:c r="AF617" s="9" t="str">
        <x:v>Maret 2025 (Susenas)</x:v>
      </x:c>
      <x:c r="AG617" s="6" t="str">
        <x:v>24.48833114482642</x:v>
      </x:c>
      <x:c r="AH617" s="8" t="str">
        <x:v>85.87262241497378</x:v>
      </x:c>
      <x:c r="AI617" s="6" t="str">
        <x:v>216.83383204192333</x:v>
      </x:c>
      <x:c r="AJ617" s="6" t="str">
        <x:v>0.0447533496941972</x:v>
      </x:c>
      <x:c r="AK617" s="8" t="str">
        <x:v>0.1141999730181333</x:v>
      </x:c>
      <x:c r="AL617" s="6" t="str">
        <x:v>0.5214271901733278</x:v>
      </x:c>
      <x:c r="AM617" s="6" t="str">
        <x:v>0.447055428743779</x:v>
      </x:c>
      <x:c r="AN617" s="6" t="str">
        <x:v>0.3608941973117467</x:v>
      </x:c>
      <x:c r="AO617" s="6" t="str">
        <x:v>-0.6592452777346125</x:v>
      </x:c>
      <x:c r="AP617" s="8" t="str">
        <x:v>-0.3772359279072677</x:v>
      </x:c>
      <x:c r="AQ617" s="6" t="str">
        <x:v>0.3465401203978625</x:v>
      </x:c>
      <x:c r="AR617" s="6" t="str">
        <x:v>-0.158386045493631</x:v>
      </x:c>
      <x:c r="AS617" s="6" t="str">
        <x:v>-0.0630272843343454</x:v>
      </x:c>
      <x:c r="AT617" s="6" t="str">
        <x:v>2.727268605475672</x:v>
      </x:c>
      <x:c r="AU617" s="8" t="str">
        <x:v>0.0473544567024861</x:v>
      </x:c>
      <x:c r="AV617" s="6" t="str">
        <x:v>0.8531815238405509</x:v>
      </x:c>
      <x:c r="AW617" s="6" t="str">
        <x:v>-0.3621324141659613</x:v>
      </x:c>
      <x:c r="AX617" s="6" t="str">
        <x:v>0.1794678554590254</x:v>
      </x:c>
      <x:c r="AY617" s="6" t="str">
        <x:v>0</x:v>
      </x:c>
      <x:c r="AZ617" s="6" t="str">
        <x:v>0</x:v>
      </x:c>
      <x:c r="BA617" s="9" t="str">
        <x:v>grid_cells_within_BIG_polygon</x:v>
      </x:c>
      <x:c r="BB617" s="6" t="str">
        <x:v>16</x:v>
      </x:c>
      <x:c r="BC617" s="6" t="str">
        <x:v>6</x:v>
      </x:c>
      <x:c r="BD617" s="6" t="str">
        <x:v>6</x:v>
      </x:c>
      <x:c r="BE617" s="6" t="str">
        <x:v>6</x:v>
      </x:c>
      <x:c r="BF617" s="6" t="str">
        <x:v>0</x:v>
      </x:c>
      <x:c r="BG617" s="6" t="str">
        <x:v>0</x:v>
      </x:c>
      <x:c r="BH617" s="6" t="str">
        <x:v>0</x:v>
      </x:c>
      <x:c r="BI617" s="6" t="str">
        <x:v>0</x:v>
      </x:c>
      <x:c r="BJ617" s="6" t="str">
        <x:v>0</x:v>
      </x:c>
      <x:c r="BK617" s="6" t="str">
        <x:v>0</x:v>
      </x:c>
      <x:c r="BL617" s="6" t="str">
        <x:v>0</x:v>
      </x:c>
      <x:c r="BM617" s="6" t="str">
        <x:v>0</x:v>
      </x:c>
      <x:c r="BN617" s="6" t="str">
        <x:v>6</x:v>
      </x:c>
      <x:c r="BO617" s="6" t="str">
        <x:v>0.0</x:v>
      </x:c>
      <x:c r="BP617" s="6" t="str">
        <x:v>6</x:v>
      </x:c>
      <x:c r="BQ617" s="6" t="str">
        <x:v>0.0</x:v>
      </x:c>
      <x:c r="BR617" s="6" t="str">
        <x:v>6</x:v>
      </x:c>
      <x:c r="BS617" s="6" t="str">
        <x:v>34.0</x:v>
      </x:c>
      <x:c r="BT617" s="6" t="str">
        <x:v>6</x:v>
      </x:c>
      <x:c r="BU617" s="6" t="str">
        <x:v>1724.0</x:v>
      </x:c>
      <x:c r="BV617" s="6" t="str">
        <x:v>6</x:v>
      </x:c>
      <x:c r="BW617" s="9" t="str">
        <x:v>operational_snapshot_annual_totals_may_differ</x:v>
      </x:c>
      <x:c r="BX617" s="9" t="str">
        <x:v>official_live_dashboard_snapshot_subject_to_revision</x:v>
      </x:c>
      <x:c r="BY617" s="9" t="str">
        <x:v>https://tbdashboard.sitb.id/ss_data_tbc03so_2025_provinsi_bulanan_list.php</x:v>
      </x:c>
      <x:c r="BZ617" s="6" t="n">
        <x:v>46246.610671296294</x:v>
      </x:c>
    </x:row>
    <x:row r="618" ht="18" customHeight="1">
      <x:c r="A618" s="6" t="str">
        <x:v>72</x:v>
      </x:c>
      <x:c r="B618" s="6" t="str">
        <x:v>SULAWESI TENGAH</x:v>
      </x:c>
      <x:c r="C618" s="6" t="str">
        <x:v>2025</x:v>
      </x:c>
      <x:c r="D618" s="6" t="str">
        <x:v>5</x:v>
      </x:c>
      <x:c r="E618" s="6" t="str">
        <x:v>2025-05</x:v>
      </x:c>
      <x:c r="F618" s="6" t="str">
        <x:v>704</x:v>
      </x:c>
      <x:c r="G618" s="6" t="str">
        <x:v>131</x:v>
      </x:c>
      <x:c r="H618" s="6" t="str">
        <x:v>397</x:v>
      </x:c>
      <x:c r="I618" s="6" t="str">
        <x:v>87</x:v>
      </x:c>
      <x:c r="J618" s="6" t="str">
        <x:v>49</x:v>
      </x:c>
      <x:c r="K618" s="6" t="str">
        <x:v>1</x:v>
      </x:c>
      <x:c r="L618" s="6" t="str">
        <x:v>1</x:v>
      </x:c>
      <x:c r="M618" s="6" t="str">
        <x:v>38</x:v>
      </x:c>
      <x:c r="N618" s="6" t="str">
        <x:v>704</x:v>
      </x:c>
      <x:c r="O618" s="6" t="str">
        <x:v>0</x:v>
      </x:c>
      <x:c r="P618" s="10" t="n">
        <x:f>F618-M618</x:f>
        <x:v>666</x:v>
      </x:c>
      <x:c r="Q618" s="11" t="n">
        <x:f>IFERROR(M618/F618,"")</x:f>
        <x:v>0.05397727272727273</x:v>
      </x:c>
      <x:c r="R618" s="10" t="n">
        <x:f>G618+H618</x:f>
        <x:v>528</x:v>
      </x:c>
      <x:c r="S618" s="11" t="n">
        <x:f>IFERROR(R618/F618,"")</x:f>
        <x:v>0.75</x:v>
      </x:c>
      <x:c r="T618" s="11" t="n">
        <x:f>IFERROR(R618/P618,"")</x:f>
        <x:v>0.7927927927927928</x:v>
      </x:c>
      <x:c r="U618" s="10" t="n">
        <x:f>I618+J618+K618</x:f>
        <x:v>137</x:v>
      </x:c>
      <x:c r="V618" s="11" t="n">
        <x:f>IFERROR(U618/P618,"")</x:f>
        <x:v>0.2057057057057057</x:v>
      </x:c>
      <x:c r="W618" s="9" t="str">
        <x:v>provisional_gt_5pct_pending</x:v>
      </x:c>
      <x:c r="X618" s="12" t="n">
        <x:f>IFERROR(F618/Z618*100000,"")</x:f>
        <x:v>22.306010582681157</x:v>
      </x:c>
      <x:c r="Y618" s="13" t="n">
        <x:f>LN(Z618)</x:f>
        <x:v>14.964847646123994</x:v>
      </x:c>
      <x:c r="Z618" s="6" t="str">
        <x:v>3156100</x:v>
      </x:c>
      <x:c r="AA618" s="6" t="str">
        <x:v>51.0</x:v>
      </x:c>
      <x:c r="AB618" s="9" t="str">
        <x:v>2025-06-30</x:v>
      </x:c>
      <x:c r="AC618" s="8" t="str">
        <x:v>79.6</x:v>
      </x:c>
      <x:c r="AD618" s="9" t="str">
        <x:v>2025 (Susenas)</x:v>
      </x:c>
      <x:c r="AE618" s="8" t="str">
        <x:v>10.92</x:v>
      </x:c>
      <x:c r="AF618" s="9" t="str">
        <x:v>Maret 2025 (Susenas)</x:v>
      </x:c>
      <x:c r="AG618" s="6" t="str">
        <x:v>24.83713530515481</x:v>
      </x:c>
      <x:c r="AH618" s="8" t="str">
        <x:v>86.39996865350312</x:v>
      </x:c>
      <x:c r="AI618" s="6" t="str">
        <x:v>242.75962588902377</x:v>
      </x:c>
      <x:c r="AJ618" s="6" t="str">
        <x:v>0.3730953146835922</x:v>
      </x:c>
      <x:c r="AK618" s="8" t="str">
        <x:v>0.9621768599345903</x:v>
      </x:c>
      <x:c r="AL618" s="6" t="str">
        <x:v>0.1141999730181333</x:v>
      </x:c>
      <x:c r="AM618" s="6" t="str">
        <x:v>0.5214271901733278</x:v>
      </x:c>
      <x:c r="AN618" s="6" t="str">
        <x:v>0.5326013410420172</x:v>
      </x:c>
      <x:c r="AO618" s="6" t="str">
        <x:v>-0.762626215775839</x:v>
      </x:c>
      <x:c r="AP618" s="8" t="str">
        <x:v>-0.6652435910571363</x:v>
      </x:c>
      <x:c r="AQ618" s="6" t="str">
        <x:v>-0.3772359279072677</x:v>
      </x:c>
      <x:c r="AR618" s="6" t="str">
        <x:v>0.3465401203978625</x:v>
      </x:c>
      <x:c r="AS618" s="6" t="str">
        <x:v>-0.2319797995221804</x:v>
      </x:c>
      <x:c r="AT618" s="6" t="str">
        <x:v>34.582354236019086</x:v>
      </x:c>
      <x:c r="AU618" s="8" t="str">
        <x:v>0.5708959613194121</x:v>
      </x:c>
      <x:c r="AV618" s="6" t="str">
        <x:v>0.0473544567024861</x:v>
      </x:c>
      <x:c r="AW618" s="6" t="str">
        <x:v>0.8531815238405509</x:v>
      </x:c>
      <x:c r="AX618" s="6" t="str">
        <x:v>0.4904773139541499</x:v>
      </x:c>
      <x:c r="AY618" s="6" t="str">
        <x:v>0</x:v>
      </x:c>
      <x:c r="AZ618" s="6" t="str">
        <x:v>0</x:v>
      </x:c>
      <x:c r="BA618" s="9" t="str">
        <x:v>grid_cells_within_BIG_polygon</x:v>
      </x:c>
      <x:c r="BB618" s="6" t="str">
        <x:v>16</x:v>
      </x:c>
      <x:c r="BC618" s="6" t="str">
        <x:v>7</x:v>
      </x:c>
      <x:c r="BD618" s="6" t="str">
        <x:v>7</x:v>
      </x:c>
      <x:c r="BE618" s="6" t="str">
        <x:v>7</x:v>
      </x:c>
      <x:c r="BF618" s="6" t="str">
        <x:v>0</x:v>
      </x:c>
      <x:c r="BG618" s="6" t="str">
        <x:v>0</x:v>
      </x:c>
      <x:c r="BH618" s="6" t="str">
        <x:v>0</x:v>
      </x:c>
      <x:c r="BI618" s="6" t="str">
        <x:v>0</x:v>
      </x:c>
      <x:c r="BJ618" s="6" t="str">
        <x:v>0</x:v>
      </x:c>
      <x:c r="BK618" s="6" t="str">
        <x:v>0</x:v>
      </x:c>
      <x:c r="BL618" s="6" t="str">
        <x:v>0</x:v>
      </x:c>
      <x:c r="BM618" s="6" t="str">
        <x:v>0</x:v>
      </x:c>
      <x:c r="BN618" s="6" t="str">
        <x:v>7</x:v>
      </x:c>
      <x:c r="BO618" s="6" t="str">
        <x:v>2.0</x:v>
      </x:c>
      <x:c r="BP618" s="6" t="str">
        <x:v>7</x:v>
      </x:c>
      <x:c r="BQ618" s="6" t="str">
        <x:v>2.0</x:v>
      </x:c>
      <x:c r="BR618" s="6" t="str">
        <x:v>7</x:v>
      </x:c>
      <x:c r="BS618" s="6" t="str">
        <x:v>61.0</x:v>
      </x:c>
      <x:c r="BT618" s="6" t="str">
        <x:v>7</x:v>
      </x:c>
      <x:c r="BU618" s="6" t="str">
        <x:v>467.0</x:v>
      </x:c>
      <x:c r="BV618" s="6" t="str">
        <x:v>6</x:v>
      </x:c>
      <x:c r="BW618" s="9" t="str">
        <x:v>operational_snapshot_annual_totals_may_differ</x:v>
      </x:c>
      <x:c r="BX618" s="9" t="str">
        <x:v>official_live_dashboard_snapshot_subject_to_revision</x:v>
      </x:c>
      <x:c r="BY618" s="9" t="str">
        <x:v>https://tbdashboard.sitb.id/ss_data_tbc03so_2025_provinsi_bulanan_list.php</x:v>
      </x:c>
      <x:c r="BZ618" s="6" t="n">
        <x:v>46246.610671296294</x:v>
      </x:c>
    </x:row>
    <x:row r="619" ht="18" customHeight="1">
      <x:c r="A619" s="6" t="str">
        <x:v>72</x:v>
      </x:c>
      <x:c r="B619" s="6" t="str">
        <x:v>SULAWESI TENGAH</x:v>
      </x:c>
      <x:c r="C619" s="6" t="str">
        <x:v>2025</x:v>
      </x:c>
      <x:c r="D619" s="6" t="str">
        <x:v>6</x:v>
      </x:c>
      <x:c r="E619" s="6" t="str">
        <x:v>2025-06</x:v>
      </x:c>
      <x:c r="F619" s="6" t="str">
        <x:v>573</x:v>
      </x:c>
      <x:c r="G619" s="6" t="str">
        <x:v>71</x:v>
      </x:c>
      <x:c r="H619" s="6" t="str">
        <x:v>352</x:v>
      </x:c>
      <x:c r="I619" s="6" t="str">
        <x:v>58</x:v>
      </x:c>
      <x:c r="J619" s="6" t="str">
        <x:v>57</x:v>
      </x:c>
      <x:c r="K619" s="6" t="str">
        <x:v>0</x:v>
      </x:c>
      <x:c r="L619" s="6" t="str">
        <x:v>0</x:v>
      </x:c>
      <x:c r="M619" s="6" t="str">
        <x:v>35</x:v>
      </x:c>
      <x:c r="N619" s="6" t="str">
        <x:v>573</x:v>
      </x:c>
      <x:c r="O619" s="6" t="str">
        <x:v>0</x:v>
      </x:c>
      <x:c r="P619" s="10" t="n">
        <x:f>F619-M619</x:f>
        <x:v>538</x:v>
      </x:c>
      <x:c r="Q619" s="11" t="n">
        <x:f>IFERROR(M619/F619,"")</x:f>
        <x:v>0.06108202443280977</x:v>
      </x:c>
      <x:c r="R619" s="10" t="n">
        <x:f>G619+H619</x:f>
        <x:v>423</x:v>
      </x:c>
      <x:c r="S619" s="11" t="n">
        <x:f>IFERROR(R619/F619,"")</x:f>
        <x:v>0.7382198952879581</x:v>
      </x:c>
      <x:c r="T619" s="11" t="n">
        <x:f>IFERROR(R619/P619,"")</x:f>
        <x:v>0.7862453531598513</x:v>
      </x:c>
      <x:c r="U619" s="10" t="n">
        <x:f>I619+J619+K619</x:f>
        <x:v>115</x:v>
      </x:c>
      <x:c r="V619" s="11" t="n">
        <x:f>IFERROR(U619/P619,"")</x:f>
        <x:v>0.2137546468401487</x:v>
      </x:c>
      <x:c r="W619" s="9" t="str">
        <x:v>provisional_gt_5pct_pending</x:v>
      </x:c>
      <x:c r="X619" s="12" t="n">
        <x:f>IFERROR(F619/Z619*100000,"")</x:f>
        <x:v>18.15531827255157</x:v>
      </x:c>
      <x:c r="Y619" s="13" t="n">
        <x:f>LN(Z619)</x:f>
        <x:v>14.964847646123994</x:v>
      </x:c>
      <x:c r="Z619" s="6" t="str">
        <x:v>3156100</x:v>
      </x:c>
      <x:c r="AA619" s="6" t="str">
        <x:v>51.0</x:v>
      </x:c>
      <x:c r="AB619" s="9" t="str">
        <x:v>2025-06-30</x:v>
      </x:c>
      <x:c r="AC619" s="8" t="str">
        <x:v>79.6</x:v>
      </x:c>
      <x:c r="AD619" s="9" t="str">
        <x:v>2025 (Susenas)</x:v>
      </x:c>
      <x:c r="AE619" s="8" t="str">
        <x:v>10.92</x:v>
      </x:c>
      <x:c r="AF619" s="9" t="str">
        <x:v>Maret 2025 (Susenas)</x:v>
      </x:c>
      <x:c r="AG619" s="6" t="str">
        <x:v>24.05091383305776</x:v>
      </x:c>
      <x:c r="AH619" s="8" t="str">
        <x:v>86.96867374773639</x:v>
      </x:c>
      <x:c r="AI619" s="6" t="str">
        <x:v>205.62728540861931</x:v>
      </x:c>
      <x:c r="AJ619" s="6" t="str">
        <x:v>0.1396082758067045</x:v>
      </x:c>
      <x:c r="AK619" s="8" t="str">
        <x:v>0.4621203194263943</x:v>
      </x:c>
      <x:c r="AL619" s="6" t="str">
        <x:v>0.9621768599345903</x:v>
      </x:c>
      <x:c r="AM619" s="6" t="str">
        <x:v>0.1141999730181333</x:v>
      </x:c>
      <x:c r="AN619" s="6" t="str">
        <x:v>0.5128323841263727</x:v>
      </x:c>
      <x:c r="AO619" s="6" t="str">
        <x:v>-0.7540076025463094</x:v>
      </x:c>
      <x:c r="AP619" s="8" t="str">
        <x:v>-0.5046918677970826</x:v>
      </x:c>
      <x:c r="AQ619" s="6" t="str">
        <x:v>-0.6652435910571363</x:v>
      </x:c>
      <x:c r="AR619" s="6" t="str">
        <x:v>-0.3772359279072677</x:v>
      </x:c>
      <x:c r="AS619" s="6" t="str">
        <x:v>-0.5157237955871622</x:v>
      </x:c>
      <x:c r="AT619" s="6" t="str">
        <x:v>-27.18254326130281</x:v>
      </x:c>
      <x:c r="AU619" s="8" t="str">
        <x:v>-0.3973888025343069</x:v>
      </x:c>
      <x:c r="AV619" s="6" t="str">
        <x:v>0.5708959613194121</x:v>
      </x:c>
      <x:c r="AW619" s="6" t="str">
        <x:v>0.0473544567024861</x:v>
      </x:c>
      <x:c r="AX619" s="6" t="str">
        <x:v>0.0736205384958639</x:v>
      </x:c>
      <x:c r="AY619" s="6" t="str">
        <x:v>0</x:v>
      </x:c>
      <x:c r="AZ619" s="6" t="str">
        <x:v>0</x:v>
      </x:c>
      <x:c r="BA619" s="9" t="str">
        <x:v>grid_cells_within_BIG_polygon</x:v>
      </x:c>
      <x:c r="BB619" s="6" t="str">
        <x:v>16</x:v>
      </x:c>
      <x:c r="BC619" s="6" t="str">
        <x:v>7</x:v>
      </x:c>
      <x:c r="BD619" s="6" t="str">
        <x:v>7</x:v>
      </x:c>
      <x:c r="BE619" s="6" t="str">
        <x:v>6</x:v>
      </x:c>
      <x:c r="BF619" s="6" t="str">
        <x:v>1</x:v>
      </x:c>
      <x:c r="BG619" s="6" t="str">
        <x:v>0</x:v>
      </x:c>
      <x:c r="BH619" s="6" t="str">
        <x:v>0</x:v>
      </x:c>
      <x:c r="BI619" s="6" t="str">
        <x:v>0</x:v>
      </x:c>
      <x:c r="BJ619" s="6" t="str">
        <x:v>0</x:v>
      </x:c>
      <x:c r="BK619" s="6" t="str">
        <x:v>0</x:v>
      </x:c>
      <x:c r="BL619" s="6" t="str">
        <x:v>0</x:v>
      </x:c>
      <x:c r="BM619" s="6" t="str">
        <x:v>0</x:v>
      </x:c>
      <x:c r="BN619" s="6" t="str">
        <x:v>7</x:v>
      </x:c>
      <x:c r="BO619" s="6" t="str">
        <x:v>7.0</x:v>
      </x:c>
      <x:c r="BP619" s="6" t="str">
        <x:v>2</x:v>
      </x:c>
      <x:c r="BQ619" s="6" t="str">
        <x:v>0.0</x:v>
      </x:c>
      <x:c r="BR619" s="6" t="str">
        <x:v>1</x:v>
      </x:c>
      <x:c r="BS619" s="6" t="str">
        <x:v>8.0</x:v>
      </x:c>
      <x:c r="BT619" s="6" t="str">
        <x:v>7</x:v>
      </x:c>
      <x:c r="BU619" s="6" t="str">
        <x:v>2029.0</x:v>
      </x:c>
      <x:c r="BV619" s="6" t="str">
        <x:v>5</x:v>
      </x:c>
      <x:c r="BW619" s="9" t="str">
        <x:v>operational_snapshot_annual_totals_may_differ</x:v>
      </x:c>
      <x:c r="BX619" s="9" t="str">
        <x:v>official_live_dashboard_snapshot_subject_to_revision</x:v>
      </x:c>
      <x:c r="BY619" s="9" t="str">
        <x:v>https://tbdashboard.sitb.id/ss_data_tbc03so_2025_provinsi_bulanan_list.php</x:v>
      </x:c>
      <x:c r="BZ619" s="6" t="n">
        <x:v>46246.610671296294</x:v>
      </x:c>
    </x:row>
    <x:row r="620" ht="18" customHeight="1">
      <x:c r="A620" s="6" t="str">
        <x:v>72</x:v>
      </x:c>
      <x:c r="B620" s="6" t="str">
        <x:v>SULAWESI TENGAH</x:v>
      </x:c>
      <x:c r="C620" s="6" t="str">
        <x:v>2025</x:v>
      </x:c>
      <x:c r="D620" s="6" t="str">
        <x:v>7</x:v>
      </x:c>
      <x:c r="E620" s="6" t="str">
        <x:v>2025-07</x:v>
      </x:c>
      <x:c r="F620" s="6" t="str">
        <x:v>728</x:v>
      </x:c>
      <x:c r="G620" s="6" t="str">
        <x:v>77</x:v>
      </x:c>
      <x:c r="H620" s="6" t="str">
        <x:v>449</x:v>
      </x:c>
      <x:c r="I620" s="6" t="str">
        <x:v>84</x:v>
      </x:c>
      <x:c r="J620" s="6" t="str">
        <x:v>59</x:v>
      </x:c>
      <x:c r="K620" s="6" t="str">
        <x:v>1</x:v>
      </x:c>
      <x:c r="L620" s="6" t="str">
        <x:v>0</x:v>
      </x:c>
      <x:c r="M620" s="6" t="str">
        <x:v>58</x:v>
      </x:c>
      <x:c r="N620" s="6" t="str">
        <x:v>728</x:v>
      </x:c>
      <x:c r="O620" s="6" t="str">
        <x:v>0</x:v>
      </x:c>
      <x:c r="P620" s="10" t="n">
        <x:f>F620-M620</x:f>
        <x:v>670</x:v>
      </x:c>
      <x:c r="Q620" s="11" t="n">
        <x:f>IFERROR(M620/F620,"")</x:f>
        <x:v>0.07967032967032966</x:v>
      </x:c>
      <x:c r="R620" s="10" t="n">
        <x:f>G620+H620</x:f>
        <x:v>526</x:v>
      </x:c>
      <x:c r="S620" s="11" t="n">
        <x:f>IFERROR(R620/F620,"")</x:f>
        <x:v>0.7225274725274725</x:v>
      </x:c>
      <x:c r="T620" s="11" t="n">
        <x:f>IFERROR(R620/P620,"")</x:f>
        <x:v>0.7850746268656716</x:v>
      </x:c>
      <x:c r="U620" s="10" t="n">
        <x:f>I620+J620+K620</x:f>
        <x:v>144</x:v>
      </x:c>
      <x:c r="V620" s="11" t="n">
        <x:f>IFERROR(U620/P620,"")</x:f>
        <x:v>0.21492537313432836</x:v>
      </x:c>
      <x:c r="W620" s="9" t="str">
        <x:v>provisional_gt_5pct_pending</x:v>
      </x:c>
      <x:c r="X620" s="12" t="n">
        <x:f>IFERROR(F620/Z620*100000,"")</x:f>
        <x:v>23.066442761636196</x:v>
      </x:c>
      <x:c r="Y620" s="13" t="n">
        <x:f>LN(Z620)</x:f>
        <x:v>14.964847646123994</x:v>
      </x:c>
      <x:c r="Z620" s="6" t="str">
        <x:v>3156100</x:v>
      </x:c>
      <x:c r="AA620" s="6" t="str">
        <x:v>51.0</x:v>
      </x:c>
      <x:c r="AB620" s="9" t="str">
        <x:v>2025-06-30</x:v>
      </x:c>
      <x:c r="AC620" s="8" t="str">
        <x:v>79.6</x:v>
      </x:c>
      <x:c r="AD620" s="9" t="str">
        <x:v>2025 (Susenas)</x:v>
      </x:c>
      <x:c r="AE620" s="8" t="str">
        <x:v>10.92</x:v>
      </x:c>
      <x:c r="AF620" s="9" t="str">
        <x:v>Maret 2025 (Susenas)</x:v>
      </x:c>
      <x:c r="AG620" s="6" t="str">
        <x:v>24.09341366616461</x:v>
      </x:c>
      <x:c r="AH620" s="8" t="str">
        <x:v>86.6425451477221</x:v>
      </x:c>
      <x:c r="AI620" s="6" t="str">
        <x:v>156.87722868389255</x:v>
      </x:c>
      <x:c r="AJ620" s="6" t="str">
        <x:v>0.5464054207767575</x:v>
      </x:c>
      <x:c r="AK620" s="8" t="str">
        <x:v>1.852767839041929</x:v>
      </x:c>
      <x:c r="AL620" s="6" t="str">
        <x:v>0.4621203194263943</x:v>
      </x:c>
      <x:c r="AM620" s="6" t="str">
        <x:v>0.9621768599345903</x:v>
      </x:c>
      <x:c r="AN620" s="6" t="str">
        <x:v>1.0923550061343048</x:v>
      </x:c>
      <x:c r="AO620" s="6" t="str">
        <x:v>-0.3305901996287161</x:v>
      </x:c>
      <x:c r="AP620" s="8" t="str">
        <x:v>-0.2224233726392214</x:v>
      </x:c>
      <x:c r="AQ620" s="6" t="str">
        <x:v>-0.5046918677970826</x:v>
      </x:c>
      <x:c r="AR620" s="6" t="str">
        <x:v>-0.6652435910571363</x:v>
      </x:c>
      <x:c r="AS620" s="6" t="str">
        <x:v>-0.4641196104978134</x:v>
      </x:c>
      <x:c r="AT620" s="6" t="str">
        <x:v>-19.631333620021024</x:v>
      </x:c>
      <x:c r="AU620" s="8" t="str">
        <x:v>-0.2673841701062497</x:v>
      </x:c>
      <x:c r="AV620" s="6" t="str">
        <x:v>-0.3973888025343069</x:v>
      </x:c>
      <x:c r="AW620" s="6" t="str">
        <x:v>0.5708959613194121</x:v>
      </x:c>
      <x:c r="AX620" s="6" t="str">
        <x:v>-0.031292337107048</x:v>
      </x:c>
      <x:c r="AY620" s="6" t="str">
        <x:v>0</x:v>
      </x:c>
      <x:c r="AZ620" s="6" t="str">
        <x:v>1</x:v>
      </x:c>
      <x:c r="BA620" s="9" t="str">
        <x:v>grid_cells_within_BIG_polygon</x:v>
      </x:c>
      <x:c r="BB620" s="6" t="str">
        <x:v>16</x:v>
      </x:c>
      <x:c r="BC620" s="6" t="str">
        <x:v>9</x:v>
      </x:c>
      <x:c r="BD620" s="6" t="str">
        <x:v>7</x:v>
      </x:c>
      <x:c r="BE620" s="6" t="str">
        <x:v>5</x:v>
      </x:c>
      <x:c r="BF620" s="6" t="str">
        <x:v>0</x:v>
      </x:c>
      <x:c r="BG620" s="6" t="str">
        <x:v>2</x:v>
      </x:c>
      <x:c r="BH620" s="6" t="str">
        <x:v>0</x:v>
      </x:c>
      <x:c r="BI620" s="6" t="str">
        <x:v>0</x:v>
      </x:c>
      <x:c r="BJ620" s="6" t="str">
        <x:v>0</x:v>
      </x:c>
      <x:c r="BK620" s="6" t="str">
        <x:v>2</x:v>
      </x:c>
      <x:c r="BL620" s="6" t="str">
        <x:v>0</x:v>
      </x:c>
      <x:c r="BM620" s="6" t="str">
        <x:v>0</x:v>
      </x:c>
      <x:c r="BN620" s="6" t="str">
        <x:v>9</x:v>
      </x:c>
      <x:c r="BO620" s="6" t="str">
        <x:v>1.0</x:v>
      </x:c>
      <x:c r="BP620" s="6" t="str">
        <x:v>1</x:v>
      </x:c>
      <x:c r="BQ620" s="6" t="str">
        <x:v>7.0</x:v>
      </x:c>
      <x:c r="BR620" s="6" t="str">
        <x:v>2</x:v>
      </x:c>
      <x:c r="BS620" s="6" t="str">
        <x:v>610.0</x:v>
      </x:c>
      <x:c r="BT620" s="6" t="str">
        <x:v>9</x:v>
      </x:c>
      <x:c r="BU620" s="6" t="str">
        <x:v>1158.0</x:v>
      </x:c>
      <x:c r="BV620" s="6" t="str">
        <x:v>5</x:v>
      </x:c>
      <x:c r="BW620" s="9" t="str">
        <x:v>operational_snapshot_annual_totals_may_differ</x:v>
      </x:c>
      <x:c r="BX620" s="9" t="str">
        <x:v>official_live_dashboard_snapshot_subject_to_revision</x:v>
      </x:c>
      <x:c r="BY620" s="9" t="str">
        <x:v>https://tbdashboard.sitb.id/ss_data_tbc03so_2025_provinsi_bulanan_list.php</x:v>
      </x:c>
      <x:c r="BZ620" s="6" t="n">
        <x:v>46246.610671296294</x:v>
      </x:c>
    </x:row>
    <x:row r="621" ht="18" customHeight="1">
      <x:c r="A621" s="6" t="str">
        <x:v>72</x:v>
      </x:c>
      <x:c r="B621" s="6" t="str">
        <x:v>SULAWESI TENGAH</x:v>
      </x:c>
      <x:c r="C621" s="6" t="str">
        <x:v>2025</x:v>
      </x:c>
      <x:c r="D621" s="6" t="str">
        <x:v>8</x:v>
      </x:c>
      <x:c r="E621" s="6" t="str">
        <x:v>2025-08</x:v>
      </x:c>
      <x:c r="F621" s="6" t="str">
        <x:v>672</x:v>
      </x:c>
      <x:c r="G621" s="6" t="str">
        <x:v>74</x:v>
      </x:c>
      <x:c r="H621" s="6" t="str">
        <x:v>357</x:v>
      </x:c>
      <x:c r="I621" s="6" t="str">
        <x:v>70</x:v>
      </x:c>
      <x:c r="J621" s="6" t="str">
        <x:v>55</x:v>
      </x:c>
      <x:c r="K621" s="6" t="str">
        <x:v>1</x:v>
      </x:c>
      <x:c r="L621" s="6" t="str">
        <x:v>2</x:v>
      </x:c>
      <x:c r="M621" s="6" t="str">
        <x:v>113</x:v>
      </x:c>
      <x:c r="N621" s="6" t="str">
        <x:v>672</x:v>
      </x:c>
      <x:c r="O621" s="6" t="str">
        <x:v>0</x:v>
      </x:c>
      <x:c r="P621" s="10" t="n">
        <x:f>F621-M621</x:f>
        <x:v>559</x:v>
      </x:c>
      <x:c r="Q621" s="11" t="n">
        <x:f>IFERROR(M621/F621,"")</x:f>
        <x:v>0.16815476190476192</x:v>
      </x:c>
      <x:c r="R621" s="10" t="n">
        <x:f>G621+H621</x:f>
        <x:v>431</x:v>
      </x:c>
      <x:c r="S621" s="11" t="n">
        <x:f>IFERROR(R621/F621,"")</x:f>
        <x:v>0.6413690476190477</x:v>
      </x:c>
      <x:c r="T621" s="11" t="n">
        <x:f>IFERROR(R621/P621,"")</x:f>
        <x:v>0.7710196779964222</x:v>
      </x:c>
      <x:c r="U621" s="10" t="n">
        <x:f>I621+J621+K621</x:f>
        <x:v>126</x:v>
      </x:c>
      <x:c r="V621" s="11" t="n">
        <x:f>IFERROR(U621/P621,"")</x:f>
        <x:v>0.22540250447227192</x:v>
      </x:c>
      <x:c r="W621" s="9" t="str">
        <x:v>provisional_gt_5pct_pending</x:v>
      </x:c>
      <x:c r="X621" s="12" t="n">
        <x:f>IFERROR(F621/Z621*100000,"")</x:f>
        <x:v>21.292101010741103</x:v>
      </x:c>
      <x:c r="Y621" s="13" t="n">
        <x:f>LN(Z621)</x:f>
        <x:v>14.964847646123994</x:v>
      </x:c>
      <x:c r="Z621" s="6" t="str">
        <x:v>3156100</x:v>
      </x:c>
      <x:c r="AA621" s="6" t="str">
        <x:v>51.0</x:v>
      </x:c>
      <x:c r="AB621" s="9" t="str">
        <x:v>2025-06-30</x:v>
      </x:c>
      <x:c r="AC621" s="8" t="str">
        <x:v>79.6</x:v>
      </x:c>
      <x:c r="AD621" s="9" t="str">
        <x:v>2025 (Susenas)</x:v>
      </x:c>
      <x:c r="AE621" s="8" t="str">
        <x:v>10.92</x:v>
      </x:c>
      <x:c r="AF621" s="9" t="str">
        <x:v>Maret 2025 (Susenas)</x:v>
      </x:c>
      <x:c r="AG621" s="6" t="str">
        <x:v>23.660897790336705</x:v>
      </x:c>
      <x:c r="AH621" s="8" t="str">
        <x:v>87.14888960407549</x:v>
      </x:c>
      <x:c r="AI621" s="6" t="str">
        <x:v>179.35053456845563</x:v>
      </x:c>
      <x:c r="AJ621" s="6" t="str">
        <x:v>0.029621614520515</x:v>
      </x:c>
      <x:c r="AK621" s="8" t="str">
        <x:v>0.0940711201131932</x:v>
      </x:c>
      <x:c r="AL621" s="6" t="str">
        <x:v>1.852767839041929</x:v>
      </x:c>
      <x:c r="AM621" s="6" t="str">
        <x:v>0.4621203194263943</x:v>
      </x:c>
      <x:c r="AN621" s="6" t="str">
        <x:v>0.802986426193839</x:v>
      </x:c>
      <x:c r="AO621" s="6" t="str">
        <x:v>2.065988184849914</x:v>
      </x:c>
      <x:c r="AP621" s="8" t="str">
        <x:v>0.8612665104427313</x:v>
      </x:c>
      <x:c r="AQ621" s="6" t="str">
        <x:v>-0.2224233726392214</x:v>
      </x:c>
      <x:c r="AR621" s="6" t="str">
        <x:v>-0.5046918677970826</x:v>
      </x:c>
      <x:c r="AS621" s="6" t="str">
        <x:v>0.0447170900021423</x:v>
      </x:c>
      <x:c r="AT621" s="6" t="str">
        <x:v>54.62672622356099</x:v>
      </x:c>
      <x:c r="AU621" s="8" t="str">
        <x:v>0.7378646535432615</x:v>
      </x:c>
      <x:c r="AV621" s="6" t="str">
        <x:v>-0.2673841701062497</x:v>
      </x:c>
      <x:c r="AW621" s="6" t="str">
        <x:v>-0.3973888025343069</x:v>
      </x:c>
      <x:c r="AX621" s="6" t="str">
        <x:v>0.024363893634235</x:v>
      </x:c>
      <x:c r="AY621" s="6" t="str">
        <x:v>0</x:v>
      </x:c>
      <x:c r="AZ621" s="6" t="str">
        <x:v>0</x:v>
      </x:c>
      <x:c r="BA621" s="9" t="str">
        <x:v>grid_cells_within_BIG_polygon</x:v>
      </x:c>
      <x:c r="BB621" s="6" t="str">
        <x:v>16</x:v>
      </x:c>
      <x:c r="BC621" s="6" t="str">
        <x:v>10</x:v>
      </x:c>
      <x:c r="BD621" s="6" t="str">
        <x:v>9</x:v>
      </x:c>
      <x:c r="BE621" s="6" t="str">
        <x:v>9</x:v>
      </x:c>
      <x:c r="BF621" s="6" t="str">
        <x:v>0</x:v>
      </x:c>
      <x:c r="BG621" s="6" t="str">
        <x:v>0</x:v>
      </x:c>
      <x:c r="BH621" s="6" t="str">
        <x:v>0</x:v>
      </x:c>
      <x:c r="BI621" s="6" t="str">
        <x:v>0</x:v>
      </x:c>
      <x:c r="BJ621" s="6" t="str">
        <x:v>0</x:v>
      </x:c>
      <x:c r="BK621" s="6" t="str">
        <x:v>1</x:v>
      </x:c>
      <x:c r="BL621" s="6" t="str">
        <x:v>0</x:v>
      </x:c>
      <x:c r="BM621" s="6" t="str">
        <x:v>0</x:v>
      </x:c>
      <x:c r="BN621" s="6" t="str">
        <x:v>10</x:v>
      </x:c>
      <x:c r="BO621" s="6" t="str">
        <x:v>2.0</x:v>
      </x:c>
      <x:c r="BP621" s="6" t="str">
        <x:v>1</x:v>
      </x:c>
      <x:c r="BQ621" s="6" t="str">
        <x:v>46.0</x:v>
      </x:c>
      <x:c r="BR621" s="6" t="str">
        <x:v>1</x:v>
      </x:c>
      <x:c r="BS621" s="6" t="str">
        <x:v>365.0</x:v>
      </x:c>
      <x:c r="BT621" s="6" t="str">
        <x:v>10</x:v>
      </x:c>
      <x:c r="BU621" s="6" t="str">
        <x:v>814.0</x:v>
      </x:c>
      <x:c r="BV621" s="6" t="str">
        <x:v>7</x:v>
      </x:c>
      <x:c r="BW621" s="9" t="str">
        <x:v>operational_snapshot_annual_totals_may_differ</x:v>
      </x:c>
      <x:c r="BX621" s="9" t="str">
        <x:v>official_live_dashboard_snapshot_subject_to_revision</x:v>
      </x:c>
      <x:c r="BY621" s="9" t="str">
        <x:v>https://tbdashboard.sitb.id/ss_data_tbc03so_2025_provinsi_bulanan_list.php</x:v>
      </x:c>
      <x:c r="BZ621" s="6" t="n">
        <x:v>46246.610671296294</x:v>
      </x:c>
    </x:row>
    <x:row r="622" ht="18" customHeight="1">
      <x:c r="A622" s="6" t="str">
        <x:v>72</x:v>
      </x:c>
      <x:c r="B622" s="6" t="str">
        <x:v>SULAWESI TENGAH</x:v>
      </x:c>
      <x:c r="C622" s="6" t="str">
        <x:v>2025</x:v>
      </x:c>
      <x:c r="D622" s="6" t="str">
        <x:v>9</x:v>
      </x:c>
      <x:c r="E622" s="6" t="str">
        <x:v>2025-09</x:v>
      </x:c>
      <x:c r="F622" s="6" t="str">
        <x:v>707</x:v>
      </x:c>
      <x:c r="G622" s="6" t="str">
        <x:v>89</x:v>
      </x:c>
      <x:c r="H622" s="6" t="str">
        <x:v>378</x:v>
      </x:c>
      <x:c r="I622" s="6" t="str">
        <x:v>66</x:v>
      </x:c>
      <x:c r="J622" s="6" t="str">
        <x:v>46</x:v>
      </x:c>
      <x:c r="K622" s="6" t="str">
        <x:v>1</x:v>
      </x:c>
      <x:c r="L622" s="6" t="str">
        <x:v>2</x:v>
      </x:c>
      <x:c r="M622" s="6" t="str">
        <x:v>125</x:v>
      </x:c>
      <x:c r="N622" s="6" t="str">
        <x:v>707</x:v>
      </x:c>
      <x:c r="O622" s="6" t="str">
        <x:v>0</x:v>
      </x:c>
      <x:c r="P622" s="10" t="n">
        <x:f>F622-M622</x:f>
        <x:v>582</x:v>
      </x:c>
      <x:c r="Q622" s="11" t="n">
        <x:f>IFERROR(M622/F622,"")</x:f>
        <x:v>0.1768033946251768</x:v>
      </x:c>
      <x:c r="R622" s="10" t="n">
        <x:f>G622+H622</x:f>
        <x:v>467</x:v>
      </x:c>
      <x:c r="S622" s="11" t="n">
        <x:f>IFERROR(R622/F622,"")</x:f>
        <x:v>0.6605374823196606</x:v>
      </x:c>
      <x:c r="T622" s="11" t="n">
        <x:f>IFERROR(R622/P622,"")</x:f>
        <x:v>0.802405498281787</x:v>
      </x:c>
      <x:c r="U622" s="10" t="n">
        <x:f>I622+J622+K622</x:f>
        <x:v>113</x:v>
      </x:c>
      <x:c r="V622" s="11" t="n">
        <x:f>IFERROR(U622/P622,"")</x:f>
        <x:v>0.19415807560137457</x:v>
      </x:c>
      <x:c r="W622" s="9" t="str">
        <x:v>provisional_gt_5pct_pending</x:v>
      </x:c>
      <x:c r="X622" s="12" t="n">
        <x:f>IFERROR(F622/Z622*100000,"")</x:f>
        <x:v>22.401064605050536</x:v>
      </x:c>
      <x:c r="Y622" s="13" t="n">
        <x:f>LN(Z622)</x:f>
        <x:v>14.964847646123994</x:v>
      </x:c>
      <x:c r="Z622" s="6" t="str">
        <x:v>3156100</x:v>
      </x:c>
      <x:c r="AA622" s="6" t="str">
        <x:v>51.0</x:v>
      </x:c>
      <x:c r="AB622" s="9" t="str">
        <x:v>2025-06-30</x:v>
      </x:c>
      <x:c r="AC622" s="8" t="str">
        <x:v>79.6</x:v>
      </x:c>
      <x:c r="AD622" s="9" t="str">
        <x:v>2025 (Susenas)</x:v>
      </x:c>
      <x:c r="AE622" s="8" t="str">
        <x:v>10.92</x:v>
      </x:c>
      <x:c r="AF622" s="9" t="str">
        <x:v>Maret 2025 (Susenas)</x:v>
      </x:c>
      <x:c r="AG622" s="6" t="str">
        <x:v>24.27715244336496</x:v>
      </x:c>
      <x:c r="AH622" s="8" t="str">
        <x:v>85.36019424424968</x:v>
      </x:c>
      <x:c r="AI622" s="6" t="str">
        <x:v>113.38688868869563</x:v>
      </x:c>
      <x:c r="AJ622" s="6" t="str">
        <x:v>0.236903722601486</x:v>
      </x:c>
      <x:c r="AK622" s="8" t="str">
        <x:v>0.7765826605341565</x:v>
      </x:c>
      <x:c r="AL622" s="6" t="str">
        <x:v>0.0940711201131932</x:v>
      </x:c>
      <x:c r="AM622" s="6" t="str">
        <x:v>1.852767839041929</x:v>
      </x:c>
      <x:c r="AN622" s="6" t="str">
        <x:v>0.9078072065630932</x:v>
      </x:c>
      <x:c r="AO622" s="6" t="str">
        <x:v>2.451956712556864</x:v>
      </x:c>
      <x:c r="AP622" s="8" t="str">
        <x:v>0.7399747275463224</x:v>
      </x:c>
      <x:c r="AQ622" s="6" t="str">
        <x:v>0.8612665104427313</x:v>
      </x:c>
      <x:c r="AR622" s="6" t="str">
        <x:v>-0.2224233726392214</x:v>
      </x:c>
      <x:c r="AS622" s="6" t="str">
        <x:v>0.4596059551166107</x:v>
      </x:c>
      <x:c r="AT622" s="6" t="str">
        <x:v>6.5884599622010285</x:v>
      </x:c>
      <x:c r="AU622" s="8" t="str">
        <x:v>0.1035060004515107</x:v>
      </x:c>
      <x:c r="AV622" s="6" t="str">
        <x:v>0.7378646535432615</x:v>
      </x:c>
      <x:c r="AW622" s="6" t="str">
        <x:v>-0.2673841701062497</x:v>
      </x:c>
      <x:c r="AX622" s="6" t="str">
        <x:v>0.191328827962841</x:v>
      </x:c>
      <x:c r="AY622" s="6" t="str">
        <x:v>0</x:v>
      </x:c>
      <x:c r="AZ622" s="6" t="str">
        <x:v>0</x:v>
      </x:c>
      <x:c r="BA622" s="9" t="str">
        <x:v>grid_cells_within_BIG_polygon</x:v>
      </x:c>
      <x:c r="BB622" s="6" t="str">
        <x:v>16</x:v>
      </x:c>
      <x:c r="BC622" s="6" t="str">
        <x:v>11</x:v>
      </x:c>
      <x:c r="BD622" s="6" t="str">
        <x:v>11</x:v>
      </x:c>
      <x:c r="BE622" s="6" t="str">
        <x:v>9</x:v>
      </x:c>
      <x:c r="BF622" s="6" t="str">
        <x:v>0</x:v>
      </x:c>
      <x:c r="BG622" s="6" t="str">
        <x:v>2</x:v>
      </x:c>
      <x:c r="BH622" s="6" t="str">
        <x:v>0</x:v>
      </x:c>
      <x:c r="BI622" s="6" t="str">
        <x:v>0</x:v>
      </x:c>
      <x:c r="BJ622" s="6" t="str">
        <x:v>0</x:v>
      </x:c>
      <x:c r="BK622" s="6" t="str">
        <x:v>0</x:v>
      </x:c>
      <x:c r="BL622" s="6" t="str">
        <x:v>0</x:v>
      </x:c>
      <x:c r="BM622" s="6" t="str">
        <x:v>0</x:v>
      </x:c>
      <x:c r="BN622" s="6" t="str">
        <x:v>11</x:v>
      </x:c>
      <x:c r="BO622" s="6" t="str"/>
      <x:c r="BP622" s="6" t="str">
        <x:v>0</x:v>
      </x:c>
      <x:c r="BQ622" s="6" t="str"/>
      <x:c r="BR622" s="6" t="str">
        <x:v>0</x:v>
      </x:c>
      <x:c r="BS622" s="6" t="str">
        <x:v>12.0</x:v>
      </x:c>
      <x:c r="BT622" s="6" t="str">
        <x:v>11</x:v>
      </x:c>
      <x:c r="BU622" s="6" t="str">
        <x:v>702.0</x:v>
      </x:c>
      <x:c r="BV622" s="6" t="str">
        <x:v>9</x:v>
      </x:c>
      <x:c r="BW622" s="9" t="str">
        <x:v>operational_snapshot_annual_totals_may_differ</x:v>
      </x:c>
      <x:c r="BX622" s="9" t="str">
        <x:v>official_live_dashboard_snapshot_subject_to_revision</x:v>
      </x:c>
      <x:c r="BY622" s="9" t="str">
        <x:v>https://tbdashboard.sitb.id/ss_data_tbc03so_2025_provinsi_bulanan_list.php</x:v>
      </x:c>
      <x:c r="BZ622" s="6" t="n">
        <x:v>46246.610671296294</x:v>
      </x:c>
    </x:row>
    <x:row r="623" ht="18" customHeight="1">
      <x:c r="A623" s="6" t="str">
        <x:v>72</x:v>
      </x:c>
      <x:c r="B623" s="6" t="str">
        <x:v>SULAWESI TENGAH</x:v>
      </x:c>
      <x:c r="C623" s="6" t="str">
        <x:v>2025</x:v>
      </x:c>
      <x:c r="D623" s="6" t="str">
        <x:v>10</x:v>
      </x:c>
      <x:c r="E623" s="6" t="str">
        <x:v>2025-10</x:v>
      </x:c>
      <x:c r="F623" s="6" t="str">
        <x:v>766</x:v>
      </x:c>
      <x:c r="G623" s="6" t="str">
        <x:v>62</x:v>
      </x:c>
      <x:c r="H623" s="6" t="str">
        <x:v>385</x:v>
      </x:c>
      <x:c r="I623" s="6" t="str">
        <x:v>81</x:v>
      </x:c>
      <x:c r="J623" s="6" t="str">
        <x:v>53</x:v>
      </x:c>
      <x:c r="K623" s="6" t="str">
        <x:v>0</x:v>
      </x:c>
      <x:c r="L623" s="6" t="str">
        <x:v>0</x:v>
      </x:c>
      <x:c r="M623" s="6" t="str">
        <x:v>185</x:v>
      </x:c>
      <x:c r="N623" s="6" t="str">
        <x:v>766</x:v>
      </x:c>
      <x:c r="O623" s="6" t="str">
        <x:v>0</x:v>
      </x:c>
      <x:c r="P623" s="10" t="n">
        <x:f>F623-M623</x:f>
        <x:v>581</x:v>
      </x:c>
      <x:c r="Q623" s="11" t="n">
        <x:f>IFERROR(M623/F623,"")</x:f>
        <x:v>0.24151436031331594</x:v>
      </x:c>
      <x:c r="R623" s="10" t="n">
        <x:f>G623+H623</x:f>
        <x:v>447</x:v>
      </x:c>
      <x:c r="S623" s="11" t="n">
        <x:f>IFERROR(R623/F623,"")</x:f>
        <x:v>0.5835509138381201</x:v>
      </x:c>
      <x:c r="T623" s="11" t="n">
        <x:f>IFERROR(R623/P623,"")</x:f>
        <x:v>0.7693631669535284</x:v>
      </x:c>
      <x:c r="U623" s="10" t="n">
        <x:f>I623+J623+K623</x:f>
        <x:v>134</x:v>
      </x:c>
      <x:c r="V623" s="11" t="n">
        <x:f>IFERROR(U623/P623,"")</x:f>
        <x:v>0.2306368330464716</x:v>
      </x:c>
      <x:c r="W623" s="9" t="str">
        <x:v>provisional_gt_5pct_pending</x:v>
      </x:c>
      <x:c r="X623" s="12" t="n">
        <x:f>IFERROR(F623/Z623*100000,"")</x:f>
        <x:v>24.270460378315008</x:v>
      </x:c>
      <x:c r="Y623" s="13" t="n">
        <x:f>LN(Z623)</x:f>
        <x:v>14.964847646123994</x:v>
      </x:c>
      <x:c r="Z623" s="6" t="str">
        <x:v>3156100</x:v>
      </x:c>
      <x:c r="AA623" s="6" t="str">
        <x:v>51.0</x:v>
      </x:c>
      <x:c r="AB623" s="9" t="str">
        <x:v>2025-06-30</x:v>
      </x:c>
      <x:c r="AC623" s="8" t="str">
        <x:v>79.6</x:v>
      </x:c>
      <x:c r="AD623" s="9" t="str">
        <x:v>2025 (Susenas)</x:v>
      </x:c>
      <x:c r="AE623" s="8" t="str">
        <x:v>10.92</x:v>
      </x:c>
      <x:c r="AF623" s="9" t="str">
        <x:v>Maret 2025 (Susenas)</x:v>
      </x:c>
      <x:c r="AG623" s="6" t="str">
        <x:v>24.70210926654388</x:v>
      </x:c>
      <x:c r="AH623" s="8" t="str">
        <x:v>83.6777100772566</x:v>
      </x:c>
      <x:c r="AI623" s="6" t="str">
        <x:v>223.14510621441315</x:v>
      </x:c>
      <x:c r="AJ623" s="6" t="str">
        <x:v>0.1496443755719241</x:v>
      </x:c>
      <x:c r="AK623" s="8" t="str">
        <x:v>0.4320255764940506</x:v>
      </x:c>
      <x:c r="AL623" s="6" t="str">
        <x:v>0.7765826605341565</x:v>
      </x:c>
      <x:c r="AM623" s="6" t="str">
        <x:v>0.0940711201131932</x:v>
      </x:c>
      <x:c r="AN623" s="6" t="str">
        <x:v>0.4342264523804668</x:v>
      </x:c>
      <x:c r="AO623" s="6" t="str">
        <x:v>1.4244319237542695</x:v>
      </x:c>
      <x:c r="AP623" s="8" t="str">
        <x:v>0.3319245935593947</x:v>
      </x:c>
      <x:c r="AQ623" s="6" t="str">
        <x:v>0.7399747275463224</x:v>
      </x:c>
      <x:c r="AR623" s="6" t="str">
        <x:v>0.8612665104427313</x:v>
      </x:c>
      <x:c r="AS623" s="6" t="str">
        <x:v>0.6443886105161495</x:v>
      </x:c>
      <x:c r="AT623" s="6" t="str">
        <x:v>78.46047088876708</x:v>
      </x:c>
      <x:c r="AU623" s="8" t="str">
        <x:v>0.8694139332513803</x:v>
      </x:c>
      <x:c r="AV623" s="6" t="str">
        <x:v>0.1035060004515107</x:v>
      </x:c>
      <x:c r="AW623" s="6" t="str">
        <x:v>0.7378646535432615</x:v>
      </x:c>
      <x:c r="AX623" s="6" t="str">
        <x:v>0.570261529082051</x:v>
      </x:c>
      <x:c r="AY623" s="6" t="str">
        <x:v>0</x:v>
      </x:c>
      <x:c r="AZ623" s="6" t="str">
        <x:v>0</x:v>
      </x:c>
      <x:c r="BA623" s="9" t="str">
        <x:v>grid_cells_within_BIG_polygon</x:v>
      </x:c>
      <x:c r="BB623" s="6" t="str">
        <x:v>16</x:v>
      </x:c>
      <x:c r="BC623" s="6" t="str">
        <x:v>8</x:v>
      </x:c>
      <x:c r="BD623" s="6" t="str">
        <x:v>8</x:v>
      </x:c>
      <x:c r="BE623" s="6" t="str">
        <x:v>6</x:v>
      </x:c>
      <x:c r="BF623" s="6" t="str">
        <x:v>1</x:v>
      </x:c>
      <x:c r="BG623" s="6" t="str">
        <x:v>0</x:v>
      </x:c>
      <x:c r="BH623" s="6" t="str">
        <x:v>0</x:v>
      </x:c>
      <x:c r="BI623" s="6" t="str">
        <x:v>1</x:v>
      </x:c>
      <x:c r="BJ623" s="6" t="str">
        <x:v>0</x:v>
      </x:c>
      <x:c r="BK623" s="6" t="str">
        <x:v>0</x:v>
      </x:c>
      <x:c r="BL623" s="6" t="str">
        <x:v>0</x:v>
      </x:c>
      <x:c r="BM623" s="6" t="str">
        <x:v>0</x:v>
      </x:c>
      <x:c r="BN623" s="6" t="str">
        <x:v>8</x:v>
      </x:c>
      <x:c r="BO623" s="6" t="str"/>
      <x:c r="BP623" s="6" t="str">
        <x:v>0</x:v>
      </x:c>
      <x:c r="BQ623" s="6" t="str"/>
      <x:c r="BR623" s="6" t="str">
        <x:v>0</x:v>
      </x:c>
      <x:c r="BS623" s="6" t="str">
        <x:v>4.0</x:v>
      </x:c>
      <x:c r="BT623" s="6" t="str">
        <x:v>8</x:v>
      </x:c>
      <x:c r="BU623" s="6" t="str">
        <x:v>2757.0</x:v>
      </x:c>
      <x:c r="BV623" s="6" t="str">
        <x:v>7</x:v>
      </x:c>
      <x:c r="BW623" s="9" t="str">
        <x:v>operational_snapshot_annual_totals_may_differ</x:v>
      </x:c>
      <x:c r="BX623" s="9" t="str">
        <x:v>official_live_dashboard_snapshot_subject_to_revision</x:v>
      </x:c>
      <x:c r="BY623" s="9" t="str">
        <x:v>https://tbdashboard.sitb.id/ss_data_tbc03so_2025_provinsi_bulanan_list.php</x:v>
      </x:c>
      <x:c r="BZ623" s="6" t="n">
        <x:v>46246.610671296294</x:v>
      </x:c>
    </x:row>
    <x:row r="624" ht="18" customHeight="1">
      <x:c r="A624" s="6" t="str">
        <x:v>72</x:v>
      </x:c>
      <x:c r="B624" s="6" t="str">
        <x:v>SULAWESI TENGAH</x:v>
      </x:c>
      <x:c r="C624" s="6" t="str">
        <x:v>2025</x:v>
      </x:c>
      <x:c r="D624" s="6" t="str">
        <x:v>11</x:v>
      </x:c>
      <x:c r="E624" s="6" t="str">
        <x:v>2025-11</x:v>
      </x:c>
      <x:c r="F624" s="6" t="str">
        <x:v>662</x:v>
      </x:c>
      <x:c r="G624" s="6" t="str">
        <x:v>57</x:v>
      </x:c>
      <x:c r="H624" s="6" t="str">
        <x:v>329</x:v>
      </x:c>
      <x:c r="I624" s="6" t="str">
        <x:v>40</x:v>
      </x:c>
      <x:c r="J624" s="6" t="str">
        <x:v>45</x:v>
      </x:c>
      <x:c r="K624" s="6" t="str">
        <x:v>0</x:v>
      </x:c>
      <x:c r="L624" s="6" t="str">
        <x:v>0</x:v>
      </x:c>
      <x:c r="M624" s="6" t="str">
        <x:v>191</x:v>
      </x:c>
      <x:c r="N624" s="6" t="str">
        <x:v>662</x:v>
      </x:c>
      <x:c r="O624" s="6" t="str">
        <x:v>0</x:v>
      </x:c>
      <x:c r="P624" s="10" t="n">
        <x:f>F624-M624</x:f>
        <x:v>471</x:v>
      </x:c>
      <x:c r="Q624" s="11" t="n">
        <x:f>IFERROR(M624/F624,"")</x:f>
        <x:v>0.28851963746223563</x:v>
      </x:c>
      <x:c r="R624" s="10" t="n">
        <x:f>G624+H624</x:f>
        <x:v>386</x:v>
      </x:c>
      <x:c r="S624" s="11" t="n">
        <x:f>IFERROR(R624/F624,"")</x:f>
        <x:v>0.5830815709969789</x:v>
      </x:c>
      <x:c r="T624" s="11" t="n">
        <x:f>IFERROR(R624/P624,"")</x:f>
        <x:v>0.8195329087048833</x:v>
      </x:c>
      <x:c r="U624" s="10" t="n">
        <x:f>I624+J624+K624</x:f>
        <x:v>85</x:v>
      </x:c>
      <x:c r="V624" s="11" t="n">
        <x:f>IFERROR(U624/P624,"")</x:f>
        <x:v>0.18046709129511676</x:v>
      </x:c>
      <x:c r="W624" s="9" t="str">
        <x:v>provisional_gt_5pct_pending</x:v>
      </x:c>
      <x:c r="X624" s="12" t="n">
        <x:f>IFERROR(F624/Z624*100000,"")</x:f>
        <x:v>20.97525426950984</x:v>
      </x:c>
      <x:c r="Y624" s="13" t="n">
        <x:f>LN(Z624)</x:f>
        <x:v>14.964847646123994</x:v>
      </x:c>
      <x:c r="Z624" s="6" t="str">
        <x:v>3156100</x:v>
      </x:c>
      <x:c r="AA624" s="6" t="str">
        <x:v>51.0</x:v>
      </x:c>
      <x:c r="AB624" s="9" t="str">
        <x:v>2025-06-30</x:v>
      </x:c>
      <x:c r="AC624" s="8" t="str">
        <x:v>79.6</x:v>
      </x:c>
      <x:c r="AD624" s="9" t="str">
        <x:v>2025 (Susenas)</x:v>
      </x:c>
      <x:c r="AE624" s="8" t="str">
        <x:v>10.92</x:v>
      </x:c>
      <x:c r="AF624" s="9" t="str">
        <x:v>Maret 2025 (Susenas)</x:v>
      </x:c>
      <x:c r="AG624" s="6" t="str">
        <x:v>24.833942988075563</x:v>
      </x:c>
      <x:c r="AH624" s="8" t="str">
        <x:v>85.40285681820858</x:v>
      </x:c>
      <x:c r="AI624" s="6" t="str">
        <x:v>146.0602532045515</x:v>
      </x:c>
      <x:c r="AJ624" s="6" t="str">
        <x:v>0.2177221330142664</x:v>
      </x:c>
      <x:c r="AK624" s="8" t="str">
        <x:v>0.60342275832523</x:v>
      </x:c>
      <x:c r="AL624" s="6" t="str">
        <x:v>0.4320255764940506</x:v>
      </x:c>
      <x:c r="AM624" s="6" t="str">
        <x:v>0.7765826605341565</x:v>
      </x:c>
      <x:c r="AN624" s="6" t="str">
        <x:v>0.604010331784479</x:v>
      </x:c>
      <x:c r="AO624" s="6" t="str">
        <x:v>1.0142432568768385</x:v>
      </x:c>
      <x:c r="AP624" s="8" t="str">
        <x:v>0.3482662844406797</x:v>
      </x:c>
      <x:c r="AQ624" s="6" t="str">
        <x:v>0.3319245935593947</x:v>
      </x:c>
      <x:c r="AR624" s="6" t="str">
        <x:v>0.7399747275463224</x:v>
      </x:c>
      <x:c r="AS624" s="6" t="str">
        <x:v>0.4733885351821323</x:v>
      </x:c>
      <x:c r="AT624" s="6" t="str">
        <x:v>-10.648867594257638</x:v>
      </x:c>
      <x:c r="AU624" s="8" t="str">
        <x:v>-0.1957545712947168</x:v>
      </x:c>
      <x:c r="AV624" s="6" t="str">
        <x:v>0.8694139332513803</x:v>
      </x:c>
      <x:c r="AW624" s="6" t="str">
        <x:v>0.1035060004515107</x:v>
      </x:c>
      <x:c r="AX624" s="6" t="str">
        <x:v>0.2590551208027249</x:v>
      </x:c>
      <x:c r="AY624" s="6" t="str">
        <x:v>0</x:v>
      </x:c>
      <x:c r="AZ624" s="6" t="str">
        <x:v>0</x:v>
      </x:c>
      <x:c r="BA624" s="9" t="str">
        <x:v>grid_cells_within_BIG_polygon</x:v>
      </x:c>
      <x:c r="BB624" s="6" t="str">
        <x:v>16</x:v>
      </x:c>
      <x:c r="BC624" s="6" t="str">
        <x:v>11</x:v>
      </x:c>
      <x:c r="BD624" s="6" t="str">
        <x:v>11</x:v>
      </x:c>
      <x:c r="BE624" s="6" t="str">
        <x:v>8</x:v>
      </x:c>
      <x:c r="BF624" s="6" t="str">
        <x:v>0</x:v>
      </x:c>
      <x:c r="BG624" s="6" t="str">
        <x:v>2</x:v>
      </x:c>
      <x:c r="BH624" s="6" t="str">
        <x:v>0</x:v>
      </x:c>
      <x:c r="BI624" s="6" t="str">
        <x:v>0</x:v>
      </x:c>
      <x:c r="BJ624" s="6" t="str">
        <x:v>1</x:v>
      </x:c>
      <x:c r="BK624" s="6" t="str">
        <x:v>0</x:v>
      </x:c>
      <x:c r="BL624" s="6" t="str">
        <x:v>0</x:v>
      </x:c>
      <x:c r="BM624" s="6" t="str">
        <x:v>0</x:v>
      </x:c>
      <x:c r="BN624" s="6" t="str">
        <x:v>11</x:v>
      </x:c>
      <x:c r="BO624" s="6" t="str">
        <x:v>1.0</x:v>
      </x:c>
      <x:c r="BP624" s="6" t="str">
        <x:v>1</x:v>
      </x:c>
      <x:c r="BQ624" s="6" t="str"/>
      <x:c r="BR624" s="6" t="str">
        <x:v>0</x:v>
      </x:c>
      <x:c r="BS624" s="6" t="str">
        <x:v>9.0</x:v>
      </x:c>
      <x:c r="BT624" s="6" t="str">
        <x:v>11</x:v>
      </x:c>
      <x:c r="BU624" s="6" t="str">
        <x:v>381.0</x:v>
      </x:c>
      <x:c r="BV624" s="6" t="str">
        <x:v>9</x:v>
      </x:c>
      <x:c r="BW624" s="9" t="str">
        <x:v>operational_snapshot_annual_totals_may_differ</x:v>
      </x:c>
      <x:c r="BX624" s="9" t="str">
        <x:v>official_live_dashboard_snapshot_subject_to_revision</x:v>
      </x:c>
      <x:c r="BY624" s="9" t="str">
        <x:v>https://tbdashboard.sitb.id/ss_data_tbc03so_2025_provinsi_bulanan_list.php</x:v>
      </x:c>
      <x:c r="BZ624" s="6" t="n">
        <x:v>46246.610671296294</x:v>
      </x:c>
    </x:row>
    <x:row r="625" ht="18" customHeight="1">
      <x:c r="A625" s="6" t="str">
        <x:v>72</x:v>
      </x:c>
      <x:c r="B625" s="6" t="str">
        <x:v>SULAWESI TENGAH</x:v>
      </x:c>
      <x:c r="C625" s="6" t="str">
        <x:v>2025</x:v>
      </x:c>
      <x:c r="D625" s="6" t="str">
        <x:v>12</x:v>
      </x:c>
      <x:c r="E625" s="6" t="str">
        <x:v>2025-12</x:v>
      </x:c>
      <x:c r="F625" s="6" t="str">
        <x:v>640</x:v>
      </x:c>
      <x:c r="G625" s="6" t="str">
        <x:v>42</x:v>
      </x:c>
      <x:c r="H625" s="6" t="str">
        <x:v>256</x:v>
      </x:c>
      <x:c r="I625" s="6" t="str">
        <x:v>45</x:v>
      </x:c>
      <x:c r="J625" s="6" t="str">
        <x:v>35</x:v>
      </x:c>
      <x:c r="K625" s="6" t="str">
        <x:v>0</x:v>
      </x:c>
      <x:c r="L625" s="6" t="str">
        <x:v>1</x:v>
      </x:c>
      <x:c r="M625" s="6" t="str">
        <x:v>261</x:v>
      </x:c>
      <x:c r="N625" s="6" t="str">
        <x:v>640</x:v>
      </x:c>
      <x:c r="O625" s="6" t="str">
        <x:v>0</x:v>
      </x:c>
      <x:c r="P625" s="10" t="n">
        <x:f>F625-M625</x:f>
        <x:v>379</x:v>
      </x:c>
      <x:c r="Q625" s="11" t="n">
        <x:f>IFERROR(M625/F625,"")</x:f>
        <x:v>0.4078125</x:v>
      </x:c>
      <x:c r="R625" s="10" t="n">
        <x:f>G625+H625</x:f>
        <x:v>298</x:v>
      </x:c>
      <x:c r="S625" s="11" t="n">
        <x:f>IFERROR(R625/F625,"")</x:f>
        <x:v>0.465625</x:v>
      </x:c>
      <x:c r="T625" s="11" t="n">
        <x:f>IFERROR(R625/P625,"")</x:f>
        <x:v>0.7862796833773087</x:v>
      </x:c>
      <x:c r="U625" s="10" t="n">
        <x:f>I625+J625+K625</x:f>
        <x:v>80</x:v>
      </x:c>
      <x:c r="V625" s="11" t="n">
        <x:f>IFERROR(U625/P625,"")</x:f>
        <x:v>0.21108179419525067</x:v>
      </x:c>
      <x:c r="W625" s="9" t="str">
        <x:v>provisional_gt_5pct_pending</x:v>
      </x:c>
      <x:c r="X625" s="12" t="n">
        <x:f>IFERROR(F625/Z625*100000,"")</x:f>
        <x:v>20.278191438801052</x:v>
      </x:c>
      <x:c r="Y625" s="13" t="n">
        <x:f>LN(Z625)</x:f>
        <x:v>14.964847646123994</x:v>
      </x:c>
      <x:c r="Z625" s="6" t="str">
        <x:v>3156100</x:v>
      </x:c>
      <x:c r="AA625" s="6" t="str">
        <x:v>51.0</x:v>
      </x:c>
      <x:c r="AB625" s="9" t="str">
        <x:v>2025-06-30</x:v>
      </x:c>
      <x:c r="AC625" s="8" t="str">
        <x:v>79.6</x:v>
      </x:c>
      <x:c r="AD625" s="9" t="str">
        <x:v>2025 (Susenas)</x:v>
      </x:c>
      <x:c r="AE625" s="8" t="str">
        <x:v>10.92</x:v>
      </x:c>
      <x:c r="AF625" s="9" t="str">
        <x:v>Maret 2025 (Susenas)</x:v>
      </x:c>
      <x:c r="AG625" s="6" t="str">
        <x:v>24.46830731913036</x:v>
      </x:c>
      <x:c r="AH625" s="8" t="str">
        <x:v>86.51725765928619</x:v>
      </x:c>
      <x:c r="AI625" s="6" t="str">
        <x:v>167.87644100294634</x:v>
      </x:c>
      <x:c r="AJ625" s="6" t="str">
        <x:v>0.1628767782663303</x:v>
      </x:c>
      <x:c r="AK625" s="8" t="str">
        <x:v>0.3893047371362342</x:v>
      </x:c>
      <x:c r="AL625" s="6" t="str">
        <x:v>0.60342275832523</x:v>
      </x:c>
      <x:c r="AM625" s="6" t="str">
        <x:v>0.4320255764940506</x:v>
      </x:c>
      <x:c r="AN625" s="6" t="str">
        <x:v>0.4749176906518382</x:v>
      </x:c>
      <x:c r="AO625" s="6" t="str">
        <x:v>0.2232887871176956</x:v>
      </x:c>
      <x:c r="AP625" s="8" t="str">
        <x:v>0.1159276029562026</x:v>
      </x:c>
      <x:c r="AQ625" s="6" t="str">
        <x:v>0.3482662844406797</x:v>
      </x:c>
      <x:c r="AR625" s="6" t="str">
        <x:v>0.3319245935593947</x:v>
      </x:c>
      <x:c r="AS625" s="6" t="str">
        <x:v>0.2653728269854257</x:v>
      </x:c>
      <x:c r="AT625" s="6" t="str">
        <x:v>-15.143530075762785</x:v>
      </x:c>
      <x:c r="AU625" s="8" t="str">
        <x:v>-0.2616306980173072</x:v>
      </x:c>
      <x:c r="AV625" s="6" t="str">
        <x:v>-0.1957545712947168</x:v>
      </x:c>
      <x:c r="AW625" s="6" t="str">
        <x:v>0.8694139332513803</x:v>
      </x:c>
      <x:c r="AX625" s="6" t="str">
        <x:v>0.1373428879797855</x:v>
      </x:c>
      <x:c r="AY625" s="6" t="str">
        <x:v>0</x:v>
      </x:c>
      <x:c r="AZ625" s="6" t="str">
        <x:v>0</x:v>
      </x:c>
      <x:c r="BA625" s="9" t="str">
        <x:v>grid_cells_within_BIG_polygon</x:v>
      </x:c>
      <x:c r="BB625" s="6" t="str">
        <x:v>16</x:v>
      </x:c>
      <x:c r="BC625" s="6" t="str">
        <x:v>4</x:v>
      </x:c>
      <x:c r="BD625" s="6" t="str">
        <x:v>4</x:v>
      </x:c>
      <x:c r="BE625" s="6" t="str">
        <x:v>3</x:v>
      </x:c>
      <x:c r="BF625" s="6" t="str">
        <x:v>0</x:v>
      </x:c>
      <x:c r="BG625" s="6" t="str">
        <x:v>1</x:v>
      </x:c>
      <x:c r="BH625" s="6" t="str">
        <x:v>0</x:v>
      </x:c>
      <x:c r="BI625" s="6" t="str">
        <x:v>0</x:v>
      </x:c>
      <x:c r="BJ625" s="6" t="str">
        <x:v>0</x:v>
      </x:c>
      <x:c r="BK625" s="6" t="str">
        <x:v>0</x:v>
      </x:c>
      <x:c r="BL625" s="6" t="str">
        <x:v>0</x:v>
      </x:c>
      <x:c r="BM625" s="6" t="str">
        <x:v>0</x:v>
      </x:c>
      <x:c r="BN625" s="6" t="str">
        <x:v>4</x:v>
      </x:c>
      <x:c r="BO625" s="6" t="str"/>
      <x:c r="BP625" s="6" t="str">
        <x:v>0</x:v>
      </x:c>
      <x:c r="BQ625" s="6" t="str"/>
      <x:c r="BR625" s="6" t="str">
        <x:v>0</x:v>
      </x:c>
      <x:c r="BS625" s="6" t="str">
        <x:v>36.0</x:v>
      </x:c>
      <x:c r="BT625" s="6" t="str">
        <x:v>4</x:v>
      </x:c>
      <x:c r="BU625" s="6" t="str">
        <x:v>72.0</x:v>
      </x:c>
      <x:c r="BV625" s="6" t="str">
        <x:v>2</x:v>
      </x:c>
      <x:c r="BW625" s="9" t="str">
        <x:v>operational_snapshot_annual_totals_may_differ</x:v>
      </x:c>
      <x:c r="BX625" s="9" t="str">
        <x:v>official_live_dashboard_snapshot_subject_to_revision</x:v>
      </x:c>
      <x:c r="BY625" s="9" t="str">
        <x:v>https://tbdashboard.sitb.id/ss_data_tbc03so_2025_provinsi_bulanan_list.php</x:v>
      </x:c>
      <x:c r="BZ625" s="6" t="n">
        <x:v>46246.610671296294</x:v>
      </x:c>
    </x:row>
    <x:row r="626" ht="18" customHeight="1">
      <x:c r="A626" s="6" t="str">
        <x:v>73</x:v>
      </x:c>
      <x:c r="B626" s="6" t="str">
        <x:v>SULAWESI SELATAN</x:v>
      </x:c>
      <x:c r="C626" s="6" t="str">
        <x:v>2024</x:v>
      </x:c>
      <x:c r="D626" s="6" t="str">
        <x:v>1</x:v>
      </x:c>
      <x:c r="E626" s="6" t="str">
        <x:v>2024-01</x:v>
      </x:c>
      <x:c r="F626" s="6" t="str">
        <x:v>2249</x:v>
      </x:c>
      <x:c r="G626" s="6" t="str">
        <x:v>709</x:v>
      </x:c>
      <x:c r="H626" s="6" t="str">
        <x:v>1166</x:v>
      </x:c>
      <x:c r="I626" s="6" t="str">
        <x:v>226</x:v>
      </x:c>
      <x:c r="J626" s="6" t="str">
        <x:v>132</x:v>
      </x:c>
      <x:c r="K626" s="6" t="str">
        <x:v>13</x:v>
      </x:c>
      <x:c r="L626" s="6" t="str">
        <x:v>2</x:v>
      </x:c>
      <x:c r="M626" s="6" t="str">
        <x:v>1</x:v>
      </x:c>
      <x:c r="N626" s="6" t="str">
        <x:v>2249</x:v>
      </x:c>
      <x:c r="O626" s="6" t="str">
        <x:v>0</x:v>
      </x:c>
      <x:c r="P626" s="10" t="n">
        <x:f>F626-M626</x:f>
        <x:v>2248</x:v>
      </x:c>
      <x:c r="Q626" s="11" t="n">
        <x:f>IFERROR(M626/F626,"")</x:f>
        <x:v>0.00044464206313917296</x:v>
      </x:c>
      <x:c r="R626" s="10" t="n">
        <x:f>G626+H626</x:f>
        <x:v>1875</x:v>
      </x:c>
      <x:c r="S626" s="11" t="n">
        <x:f>IFERROR(R626/F626,"")</x:f>
        <x:v>0.8337038683859493</x:v>
      </x:c>
      <x:c r="T626" s="11" t="n">
        <x:f>IFERROR(R626/P626,"")</x:f>
        <x:v>0.8340747330960854</x:v>
      </x:c>
      <x:c r="U626" s="10" t="n">
        <x:f>I626+J626+K626</x:f>
        <x:v>371</x:v>
      </x:c>
      <x:c r="V626" s="11" t="n">
        <x:f>IFERROR(U626/P626,"")</x:f>
        <x:v>0.1650355871886121</x:v>
      </x:c>
      <x:c r="W626" s="9" t="str">
        <x:v>mature_le_5pct_pending</x:v>
      </x:c>
      <x:c r="X626" s="12" t="n">
        <x:f>IFERROR(F626/Z626*100000,"")</x:f>
        <x:v>23.765242935942684</x:v>
      </x:c>
      <x:c r="Y626" s="13" t="n">
        <x:f>LN(Z626)</x:f>
        <x:v>16.06294228449029</x:v>
      </x:c>
      <x:c r="Z626" s="6" t="str">
        <x:v>9463400</x:v>
      </x:c>
      <x:c r="AA626" s="6" t="str">
        <x:v>209.0</x:v>
      </x:c>
      <x:c r="AB626" s="9" t="str">
        <x:v>2024-06-30</x:v>
      </x:c>
      <x:c r="AC626" s="8" t="str">
        <x:v>93.83</x:v>
      </x:c>
      <x:c r="AD626" s="9" t="str">
        <x:v>2024 (Susenas)</x:v>
      </x:c>
      <x:c r="AE626" s="8" t="str">
        <x:v>8.06</x:v>
      </x:c>
      <x:c r="AF626" s="9" t="str">
        <x:v>Maret 2024 (Susenas)</x:v>
      </x:c>
      <x:c r="AG626" s="6" t="str">
        <x:v>24.44776174826544</x:v>
      </x:c>
      <x:c r="AH626" s="8" t="str">
        <x:v>85.7925833163604</x:v>
      </x:c>
      <x:c r="AI626" s="6" t="str">
        <x:v>364.4158639868416</x:v>
      </x:c>
      <x:c r="AJ626" s="6" t="str">
        <x:v>1.070275240036466</x:v>
      </x:c>
      <x:c r="AK626" s="8" t="str">
        <x:v>2.3327925841434656</x:v>
      </x:c>
      <x:c r="AL626" s="6" t="str">
        <x:v>2.6618391907633336</x:v>
      </x:c>
      <x:c r="AM626" s="6" t="str">
        <x:v>1.9266499227399008</x:v>
      </x:c>
      <x:c r="AN626" s="6" t="str">
        <x:v>2.3070938992155674</x:v>
      </x:c>
      <x:c r="AO626" s="6" t="str">
        <x:v>-2.0025090405757737</x:v>
      </x:c>
      <x:c r="AP626" s="8" t="str">
        <x:v>-1.2219165104428995</x:v>
      </x:c>
      <x:c r="AQ626" s="6" t="str">
        <x:v>-1.437446634313267</x:v>
      </x:c>
      <x:c r="AR626" s="6" t="str">
        <x:v>-0.5839307858310353</x:v>
      </x:c>
      <x:c r="AS626" s="6" t="str">
        <x:v>-1.0810979768624014</x:v>
      </x:c>
      <x:c r="AT626" s="6" t="str">
        <x:v>29.905179715238265</x:v>
      </x:c>
      <x:c r="AU626" s="8" t="str">
        <x:v>0.2770352136586531</x:v>
      </x:c>
      <x:c r="AV626" s="6" t="str">
        <x:v>-1.296228049789546</x:v>
      </x:c>
      <x:c r="AW626" s="6" t="str">
        <x:v>-0.0629789882789982</x:v>
      </x:c>
      <x:c r="AX626" s="6" t="str">
        <x:v>-0.3607239414699636</x:v>
      </x:c>
      <x:c r="AY626" s="6" t="str">
        <x:v>0</x:v>
      </x:c>
      <x:c r="AZ626" s="6" t="str">
        <x:v>1</x:v>
      </x:c>
      <x:c r="BA626" s="9" t="str">
        <x:v>grid_cells_within_BIG_polygon</x:v>
      </x:c>
      <x:c r="BB626" s="6" t="str">
        <x:v>10</x:v>
      </x:c>
      <x:c r="BC626" s="6" t="str">
        <x:v>12</x:v>
      </x:c>
      <x:c r="BD626" s="6" t="str">
        <x:v>12</x:v>
      </x:c>
      <x:c r="BE626" s="6" t="str">
        <x:v>5</x:v>
      </x:c>
      <x:c r="BF626" s="6" t="str">
        <x:v>2</x:v>
      </x:c>
      <x:c r="BG626" s="6" t="str">
        <x:v>4</x:v>
      </x:c>
      <x:c r="BH626" s="6" t="str">
        <x:v>0</x:v>
      </x:c>
      <x:c r="BI626" s="6" t="str">
        <x:v>0</x:v>
      </x:c>
      <x:c r="BJ626" s="6" t="str">
        <x:v>1</x:v>
      </x:c>
      <x:c r="BK626" s="6" t="str">
        <x:v>0</x:v>
      </x:c>
      <x:c r="BL626" s="6" t="str">
        <x:v>0</x:v>
      </x:c>
      <x:c r="BM626" s="6" t="str">
        <x:v>0</x:v>
      </x:c>
      <x:c r="BN626" s="6" t="str">
        <x:v>12</x:v>
      </x:c>
      <x:c r="BO626" s="6" t="str">
        <x:v>0.0</x:v>
      </x:c>
      <x:c r="BP626" s="6" t="str">
        <x:v>12</x:v>
      </x:c>
      <x:c r="BQ626" s="6" t="str">
        <x:v>0.0</x:v>
      </x:c>
      <x:c r="BR626" s="6" t="str">
        <x:v>12</x:v>
      </x:c>
      <x:c r="BS626" s="6" t="str">
        <x:v>43.0</x:v>
      </x:c>
      <x:c r="BT626" s="6" t="str">
        <x:v>12</x:v>
      </x:c>
      <x:c r="BU626" s="6" t="str">
        <x:v>350.0</x:v>
      </x:c>
      <x:c r="BV626" s="6" t="str">
        <x:v>4</x:v>
      </x:c>
      <x:c r="BW626" s="9" t="str">
        <x:v>operational_snapshot_annual_totals_may_differ</x:v>
      </x:c>
      <x:c r="BX626" s="9" t="str">
        <x:v>official_live_dashboard_snapshot_subject_to_revision</x:v>
      </x:c>
      <x:c r="BY626" s="9" t="str">
        <x:v>https://tbdashboard.sitb.id/ss_data_tbc03so_2024_provinsi_bulanan_list.php</x:v>
      </x:c>
      <x:c r="BZ626" s="6" t="n">
        <x:v>46246.610671296294</x:v>
      </x:c>
    </x:row>
    <x:row r="627" ht="18" customHeight="1">
      <x:c r="A627" s="6" t="str">
        <x:v>73</x:v>
      </x:c>
      <x:c r="B627" s="6" t="str">
        <x:v>SULAWESI SELATAN</x:v>
      </x:c>
      <x:c r="C627" s="6" t="str">
        <x:v>2024</x:v>
      </x:c>
      <x:c r="D627" s="6" t="str">
        <x:v>2</x:v>
      </x:c>
      <x:c r="E627" s="6" t="str">
        <x:v>2024-02</x:v>
      </x:c>
      <x:c r="F627" s="6" t="str">
        <x:v>1977</x:v>
      </x:c>
      <x:c r="G627" s="6" t="str">
        <x:v>692</x:v>
      </x:c>
      <x:c r="H627" s="6" t="str">
        <x:v>972</x:v>
      </x:c>
      <x:c r="I627" s="6" t="str">
        <x:v>177</x:v>
      </x:c>
      <x:c r="J627" s="6" t="str">
        <x:v>115</x:v>
      </x:c>
      <x:c r="K627" s="6" t="str">
        <x:v>16</x:v>
      </x:c>
      <x:c r="L627" s="6" t="str">
        <x:v>1</x:v>
      </x:c>
      <x:c r="M627" s="6" t="str">
        <x:v>4</x:v>
      </x:c>
      <x:c r="N627" s="6" t="str">
        <x:v>1977</x:v>
      </x:c>
      <x:c r="O627" s="6" t="str">
        <x:v>0</x:v>
      </x:c>
      <x:c r="P627" s="10" t="n">
        <x:f>F627-M627</x:f>
        <x:v>1973</x:v>
      </x:c>
      <x:c r="Q627" s="11" t="n">
        <x:f>IFERROR(M627/F627,"")</x:f>
        <x:v>0.0020232675771370764</x:v>
      </x:c>
      <x:c r="R627" s="10" t="n">
        <x:f>G627+H627</x:f>
        <x:v>1664</x:v>
      </x:c>
      <x:c r="S627" s="11" t="n">
        <x:f>IFERROR(R627/F627,"")</x:f>
        <x:v>0.8416793120890238</x:v>
      </x:c>
      <x:c r="T627" s="11" t="n">
        <x:f>IFERROR(R627/P627,"")</x:f>
        <x:v>0.843385707045109</x:v>
      </x:c>
      <x:c r="U627" s="10" t="n">
        <x:f>I627+J627+K627</x:f>
        <x:v>308</x:v>
      </x:c>
      <x:c r="V627" s="11" t="n">
        <x:f>IFERROR(U627/P627,"")</x:f>
        <x:v>0.15610745058286873</x:v>
      </x:c>
      <x:c r="W627" s="9" t="str">
        <x:v>mature_le_5pct_pending</x:v>
      </x:c>
      <x:c r="X627" s="12" t="n">
        <x:f>IFERROR(F627/Z627*100000,"")</x:f>
        <x:v>20.891011687131474</x:v>
      </x:c>
      <x:c r="Y627" s="13" t="n">
        <x:f>LN(Z627)</x:f>
        <x:v>16.06294228449029</x:v>
      </x:c>
      <x:c r="Z627" s="6" t="str">
        <x:v>9463400</x:v>
      </x:c>
      <x:c r="AA627" s="6" t="str">
        <x:v>209.0</x:v>
      </x:c>
      <x:c r="AB627" s="9" t="str">
        <x:v>2024-06-30</x:v>
      </x:c>
      <x:c r="AC627" s="8" t="str">
        <x:v>93.83</x:v>
      </x:c>
      <x:c r="AD627" s="9" t="str">
        <x:v>2024 (Susenas)</x:v>
      </x:c>
      <x:c r="AE627" s="8" t="str">
        <x:v>8.06</x:v>
      </x:c>
      <x:c r="AF627" s="9" t="str">
        <x:v>Maret 2024 (Susenas)</x:v>
      </x:c>
      <x:c r="AG627" s="6" t="str">
        <x:v>24.68881357687065</x:v>
      </x:c>
      <x:c r="AH627" s="8" t="str">
        <x:v>86.3874780723983</x:v>
      </x:c>
      <x:c r="AI627" s="6" t="str">
        <x:v>375.9475542553324</x:v>
      </x:c>
      <x:c r="AJ627" s="6" t="str">
        <x:v>1.2454243423244191</x:v>
      </x:c>
      <x:c r="AK627" s="8" t="str">
        <x:v>2.934101752630794</x:v>
      </x:c>
      <x:c r="AL627" s="6" t="str">
        <x:v>2.3327925841434656</x:v>
      </x:c>
      <x:c r="AM627" s="6" t="str">
        <x:v>2.6618391907633336</x:v>
      </x:c>
      <x:c r="AN627" s="6" t="str">
        <x:v>2.6429111758458643</x:v>
      </x:c>
      <x:c r="AO627" s="6" t="str">
        <x:v>-1.2694775605824449</x:v>
      </x:c>
      <x:c r="AP627" s="8" t="str">
        <x:v>-1.0461384053296416</x:v>
      </x:c>
      <x:c r="AQ627" s="6" t="str">
        <x:v>-1.2219165104428995</x:v>
      </x:c>
      <x:c r="AR627" s="6" t="str">
        <x:v>-1.437446634313267</x:v>
      </x:c>
      <x:c r="AS627" s="6" t="str">
        <x:v>-1.2351671833619369</x:v>
      </x:c>
      <x:c r="AT627" s="6" t="str">
        <x:v>93.12832448622704</x:v>
      </x:c>
      <x:c r="AU627" s="8" t="str">
        <x:v>0.9305951611421128</x:v>
      </x:c>
      <x:c r="AV627" s="6" t="str">
        <x:v>0.2770352136586531</x:v>
      </x:c>
      <x:c r="AW627" s="6" t="str">
        <x:v>-1.296228049789546</x:v>
      </x:c>
      <x:c r="AX627" s="6" t="str">
        <x:v>-0.0295325583295933</x:v>
      </x:c>
      <x:c r="AY627" s="6" t="str">
        <x:v>0</x:v>
      </x:c>
      <x:c r="AZ627" s="6" t="str">
        <x:v>1</x:v>
      </x:c>
      <x:c r="BA627" s="9" t="str">
        <x:v>grid_cells_within_BIG_polygon</x:v>
      </x:c>
      <x:c r="BB627" s="6" t="str">
        <x:v>10</x:v>
      </x:c>
      <x:c r="BC627" s="6" t="str">
        <x:v>14</x:v>
      </x:c>
      <x:c r="BD627" s="6" t="str">
        <x:v>14</x:v>
      </x:c>
      <x:c r="BE627" s="6" t="str">
        <x:v>2</x:v>
      </x:c>
      <x:c r="BF627" s="6" t="str">
        <x:v>1</x:v>
      </x:c>
      <x:c r="BG627" s="6" t="str">
        <x:v>11</x:v>
      </x:c>
      <x:c r="BH627" s="6" t="str">
        <x:v>0</x:v>
      </x:c>
      <x:c r="BI627" s="6" t="str">
        <x:v>0</x:v>
      </x:c>
      <x:c r="BJ627" s="6" t="str">
        <x:v>0</x:v>
      </x:c>
      <x:c r="BK627" s="6" t="str">
        <x:v>0</x:v>
      </x:c>
      <x:c r="BL627" s="6" t="str">
        <x:v>0</x:v>
      </x:c>
      <x:c r="BM627" s="6" t="str">
        <x:v>0</x:v>
      </x:c>
      <x:c r="BN627" s="6" t="str">
        <x:v>14</x:v>
      </x:c>
      <x:c r="BO627" s="6" t="str">
        <x:v>5.0</x:v>
      </x:c>
      <x:c r="BP627" s="6" t="str">
        <x:v>14</x:v>
      </x:c>
      <x:c r="BQ627" s="6" t="str">
        <x:v>8.0</x:v>
      </x:c>
      <x:c r="BR627" s="6" t="str">
        <x:v>14</x:v>
      </x:c>
      <x:c r="BS627" s="6" t="str">
        <x:v>126.0</x:v>
      </x:c>
      <x:c r="BT627" s="6" t="str">
        <x:v>14</x:v>
      </x:c>
      <x:c r="BU627" s="6" t="str">
        <x:v>307.0</x:v>
      </x:c>
      <x:c r="BV627" s="6" t="str">
        <x:v>2</x:v>
      </x:c>
      <x:c r="BW627" s="9" t="str">
        <x:v>operational_snapshot_annual_totals_may_differ</x:v>
      </x:c>
      <x:c r="BX627" s="9" t="str">
        <x:v>official_live_dashboard_snapshot_subject_to_revision</x:v>
      </x:c>
      <x:c r="BY627" s="9" t="str">
        <x:v>https://tbdashboard.sitb.id/ss_data_tbc03so_2024_provinsi_bulanan_list.php</x:v>
      </x:c>
      <x:c r="BZ627" s="6" t="n">
        <x:v>46246.610671296294</x:v>
      </x:c>
    </x:row>
    <x:row r="628" ht="18" customHeight="1">
      <x:c r="A628" s="6" t="str">
        <x:v>73</x:v>
      </x:c>
      <x:c r="B628" s="6" t="str">
        <x:v>SULAWESI SELATAN</x:v>
      </x:c>
      <x:c r="C628" s="6" t="str">
        <x:v>2024</x:v>
      </x:c>
      <x:c r="D628" s="6" t="str">
        <x:v>3</x:v>
      </x:c>
      <x:c r="E628" s="6" t="str">
        <x:v>2024-03</x:v>
      </x:c>
      <x:c r="F628" s="6" t="str">
        <x:v>2187</x:v>
      </x:c>
      <x:c r="G628" s="6" t="str">
        <x:v>715</x:v>
      </x:c>
      <x:c r="H628" s="6" t="str">
        <x:v>1099</x:v>
      </x:c>
      <x:c r="I628" s="6" t="str">
        <x:v>226</x:v>
      </x:c>
      <x:c r="J628" s="6" t="str">
        <x:v>137</x:v>
      </x:c>
      <x:c r="K628" s="6" t="str">
        <x:v>6</x:v>
      </x:c>
      <x:c r="L628" s="6" t="str">
        <x:v>3</x:v>
      </x:c>
      <x:c r="M628" s="6" t="str">
        <x:v>1</x:v>
      </x:c>
      <x:c r="N628" s="6" t="str">
        <x:v>2187</x:v>
      </x:c>
      <x:c r="O628" s="6" t="str">
        <x:v>0</x:v>
      </x:c>
      <x:c r="P628" s="10" t="n">
        <x:f>F628-M628</x:f>
        <x:v>2186</x:v>
      </x:c>
      <x:c r="Q628" s="11" t="n">
        <x:f>IFERROR(M628/F628,"")</x:f>
        <x:v>0.0004572473708276177</x:v>
      </x:c>
      <x:c r="R628" s="10" t="n">
        <x:f>G628+H628</x:f>
        <x:v>1814</x:v>
      </x:c>
      <x:c r="S628" s="11" t="n">
        <x:f>IFERROR(R628/F628,"")</x:f>
        <x:v>0.8294467306812986</x:v>
      </x:c>
      <x:c r="T628" s="11" t="n">
        <x:f>IFERROR(R628/P628,"")</x:f>
        <x:v>0.8298261665141812</x:v>
      </x:c>
      <x:c r="U628" s="10" t="n">
        <x:f>I628+J628+K628</x:f>
        <x:v>369</x:v>
      </x:c>
      <x:c r="V628" s="11" t="n">
        <x:f>IFERROR(U628/P628,"")</x:f>
        <x:v>0.1688014638609332</x:v>
      </x:c>
      <x:c r="W628" s="9" t="str">
        <x:v>mature_le_5pct_pending</x:v>
      </x:c>
      <x:c r="X628" s="12" t="n">
        <x:f>IFERROR(F628/Z628*100000,"")</x:f>
        <x:v>23.11008728364013</x:v>
      </x:c>
      <x:c r="Y628" s="13" t="n">
        <x:f>LN(Z628)</x:f>
        <x:v>16.06294228449029</x:v>
      </x:c>
      <x:c r="Z628" s="6" t="str">
        <x:v>9463400</x:v>
      </x:c>
      <x:c r="AA628" s="6" t="str">
        <x:v>209.0</x:v>
      </x:c>
      <x:c r="AB628" s="9" t="str">
        <x:v>2024-06-30</x:v>
      </x:c>
      <x:c r="AC628" s="8" t="str">
        <x:v>93.83</x:v>
      </x:c>
      <x:c r="AD628" s="9" t="str">
        <x:v>2024 (Susenas)</x:v>
      </x:c>
      <x:c r="AE628" s="8" t="str">
        <x:v>8.06</x:v>
      </x:c>
      <x:c r="AF628" s="9" t="str">
        <x:v>Maret 2024 (Susenas)</x:v>
      </x:c>
      <x:c r="AG628" s="6" t="str">
        <x:v>24.72476981509657</x:v>
      </x:c>
      <x:c r="AH628" s="8" t="str">
        <x:v>86.56322842437194</x:v>
      </x:c>
      <x:c r="AI628" s="6" t="str">
        <x:v>276.2612332548172</x:v>
      </x:c>
      <x:c r="AJ628" s="6" t="str">
        <x:v>1.1088876240967558</x:v>
      </x:c>
      <x:c r="AK628" s="8" t="str">
        <x:v>2.7228646228476663</x:v>
      </x:c>
      <x:c r="AL628" s="6" t="str">
        <x:v>2.934101752630794</x:v>
      </x:c>
      <x:c r="AM628" s="6" t="str">
        <x:v>2.3327925841434656</x:v>
      </x:c>
      <x:c r="AN628" s="6" t="str">
        <x:v>2.6632529865406425</x:v>
      </x:c>
      <x:c r="AO628" s="6" t="str">
        <x:v>-0.8857332824497348</x:v>
      </x:c>
      <x:c r="AP628" s="8" t="str">
        <x:v>-0.8447193359052425</x:v>
      </x:c>
      <x:c r="AQ628" s="6" t="str">
        <x:v>-1.0461384053296416</x:v>
      </x:c>
      <x:c r="AR628" s="6" t="str">
        <x:v>-1.2219165104428995</x:v>
      </x:c>
      <x:c r="AS628" s="6" t="str">
        <x:v>-1.0375914172259286</x:v>
      </x:c>
      <x:c r="AT628" s="6" t="str">
        <x:v>-14.164989055160788</x:v>
      </x:c>
      <x:c r="AU628" s="8" t="str">
        <x:v>-0.1687823286268051</x:v>
      </x:c>
      <x:c r="AV628" s="6" t="str">
        <x:v>0.9305951611421128</x:v>
      </x:c>
      <x:c r="AW628" s="6" t="str">
        <x:v>0.2770352136586531</x:v>
      </x:c>
      <x:c r="AX628" s="6" t="str">
        <x:v>0.3462826820579869</x:v>
      </x:c>
      <x:c r="AY628" s="6" t="str">
        <x:v>0</x:v>
      </x:c>
      <x:c r="AZ628" s="6" t="str">
        <x:v>1</x:v>
      </x:c>
      <x:c r="BA628" s="9" t="str">
        <x:v>grid_cells_within_BIG_polygon</x:v>
      </x:c>
      <x:c r="BB628" s="6" t="str">
        <x:v>10</x:v>
      </x:c>
      <x:c r="BC628" s="6" t="str">
        <x:v>14</x:v>
      </x:c>
      <x:c r="BD628" s="6" t="str">
        <x:v>14</x:v>
      </x:c>
      <x:c r="BE628" s="6" t="str">
        <x:v>11</x:v>
      </x:c>
      <x:c r="BF628" s="6" t="str">
        <x:v>0</x:v>
      </x:c>
      <x:c r="BG628" s="6" t="str">
        <x:v>3</x:v>
      </x:c>
      <x:c r="BH628" s="6" t="str">
        <x:v>0</x:v>
      </x:c>
      <x:c r="BI628" s="6" t="str">
        <x:v>0</x:v>
      </x:c>
      <x:c r="BJ628" s="6" t="str">
        <x:v>0</x:v>
      </x:c>
      <x:c r="BK628" s="6" t="str">
        <x:v>0</x:v>
      </x:c>
      <x:c r="BL628" s="6" t="str">
        <x:v>0</x:v>
      </x:c>
      <x:c r="BM628" s="6" t="str">
        <x:v>0</x:v>
      </x:c>
      <x:c r="BN628" s="6" t="str">
        <x:v>14</x:v>
      </x:c>
      <x:c r="BO628" s="6" t="str">
        <x:v>0.0</x:v>
      </x:c>
      <x:c r="BP628" s="6" t="str">
        <x:v>14</x:v>
      </x:c>
      <x:c r="BQ628" s="6" t="str">
        <x:v>0.0</x:v>
      </x:c>
      <x:c r="BR628" s="6" t="str">
        <x:v>14</x:v>
      </x:c>
      <x:c r="BS628" s="6" t="str">
        <x:v>43.0</x:v>
      </x:c>
      <x:c r="BT628" s="6" t="str">
        <x:v>14</x:v>
      </x:c>
      <x:c r="BU628" s="6" t="str">
        <x:v>4413.0</x:v>
      </x:c>
      <x:c r="BV628" s="6" t="str">
        <x:v>10</x:v>
      </x:c>
      <x:c r="BW628" s="9" t="str">
        <x:v>operational_snapshot_annual_totals_may_differ</x:v>
      </x:c>
      <x:c r="BX628" s="9" t="str">
        <x:v>official_live_dashboard_snapshot_subject_to_revision</x:v>
      </x:c>
      <x:c r="BY628" s="9" t="str">
        <x:v>https://tbdashboard.sitb.id/ss_data_tbc03so_2024_provinsi_bulanan_list.php</x:v>
      </x:c>
      <x:c r="BZ628" s="6" t="n">
        <x:v>46246.610671296294</x:v>
      </x:c>
    </x:row>
    <x:row r="629" ht="18" customHeight="1">
      <x:c r="A629" s="6" t="str">
        <x:v>73</x:v>
      </x:c>
      <x:c r="B629" s="6" t="str">
        <x:v>SULAWESI SELATAN</x:v>
      </x:c>
      <x:c r="C629" s="6" t="str">
        <x:v>2024</x:v>
      </x:c>
      <x:c r="D629" s="6" t="str">
        <x:v>4</x:v>
      </x:c>
      <x:c r="E629" s="6" t="str">
        <x:v>2024-04</x:v>
      </x:c>
      <x:c r="F629" s="6" t="str">
        <x:v>2077</x:v>
      </x:c>
      <x:c r="G629" s="6" t="str">
        <x:v>732</x:v>
      </x:c>
      <x:c r="H629" s="6" t="str">
        <x:v>1031</x:v>
      </x:c>
      <x:c r="I629" s="6" t="str">
        <x:v>196</x:v>
      </x:c>
      <x:c r="J629" s="6" t="str">
        <x:v>99</x:v>
      </x:c>
      <x:c r="K629" s="6" t="str">
        <x:v>10</x:v>
      </x:c>
      <x:c r="L629" s="6" t="str">
        <x:v>5</x:v>
      </x:c>
      <x:c r="M629" s="6" t="str">
        <x:v>4</x:v>
      </x:c>
      <x:c r="N629" s="6" t="str">
        <x:v>2077</x:v>
      </x:c>
      <x:c r="O629" s="6" t="str">
        <x:v>0</x:v>
      </x:c>
      <x:c r="P629" s="10" t="n">
        <x:f>F629-M629</x:f>
        <x:v>2073</x:v>
      </x:c>
      <x:c r="Q629" s="11" t="n">
        <x:f>IFERROR(M629/F629,"")</x:f>
        <x:v>0.0019258545979778526</x:v>
      </x:c>
      <x:c r="R629" s="10" t="n">
        <x:f>G629+H629</x:f>
        <x:v>1763</x:v>
      </x:c>
      <x:c r="S629" s="11" t="n">
        <x:f>IFERROR(R629/F629,"")</x:f>
        <x:v>0.8488204140587385</x:v>
      </x:c>
      <x:c r="T629" s="11" t="n">
        <x:f>IFERROR(R629/P629,"")</x:f>
        <x:v>0.8504582730342499</x:v>
      </x:c>
      <x:c r="U629" s="10" t="n">
        <x:f>I629+J629+K629</x:f>
        <x:v>305</x:v>
      </x:c>
      <x:c r="V629" s="11" t="n">
        <x:f>IFERROR(U629/P629,"")</x:f>
        <x:v>0.14712976362759286</x:v>
      </x:c>
      <x:c r="W629" s="9" t="str">
        <x:v>mature_le_5pct_pending</x:v>
      </x:c>
      <x:c r="X629" s="12" t="n">
        <x:f>IFERROR(F629/Z629*100000,"")</x:f>
        <x:v>21.9477143521356</x:v>
      </x:c>
      <x:c r="Y629" s="13" t="n">
        <x:f>LN(Z629)</x:f>
        <x:v>16.06294228449029</x:v>
      </x:c>
      <x:c r="Z629" s="6" t="str">
        <x:v>9463400</x:v>
      </x:c>
      <x:c r="AA629" s="6" t="str">
        <x:v>209.0</x:v>
      </x:c>
      <x:c r="AB629" s="9" t="str">
        <x:v>2024-06-30</x:v>
      </x:c>
      <x:c r="AC629" s="8" t="str">
        <x:v>93.83</x:v>
      </x:c>
      <x:c r="AD629" s="9" t="str">
        <x:v>2024 (Susenas)</x:v>
      </x:c>
      <x:c r="AE629" s="8" t="str">
        <x:v>8.06</x:v>
      </x:c>
      <x:c r="AF629" s="9" t="str">
        <x:v>Maret 2024 (Susenas)</x:v>
      </x:c>
      <x:c r="AG629" s="6" t="str">
        <x:v>24.803711831880918</x:v>
      </x:c>
      <x:c r="AH629" s="8" t="str">
        <x:v>88.08194992838017</x:v>
      </x:c>
      <x:c r="AI629" s="6" t="str">
        <x:v>301.75955674369527</x:v>
      </x:c>
      <x:c r="AJ629" s="6" t="str">
        <x:v>1.0848859221069451</x:v>
      </x:c>
      <x:c r="AK629" s="8" t="str">
        <x:v>2.979714406910692</x:v>
      </x:c>
      <x:c r="AL629" s="6" t="str">
        <x:v>2.7228646228476663</x:v>
      </x:c>
      <x:c r="AM629" s="6" t="str">
        <x:v>2.934101752630794</x:v>
      </x:c>
      <x:c r="AN629" s="6" t="str">
        <x:v>2.8788935941297176</x:v>
      </x:c>
      <x:c r="AO629" s="6" t="str">
        <x:v>-0.0723943961232578</x:v>
      </x:c>
      <x:c r="AP629" s="8" t="str">
        <x:v>-0.069551386904235</x:v>
      </x:c>
      <x:c r="AQ629" s="6" t="str">
        <x:v>-0.8447193359052425</x:v>
      </x:c>
      <x:c r="AR629" s="6" t="str">
        <x:v>-1.0461384053296416</x:v>
      </x:c>
      <x:c r="AS629" s="6" t="str">
        <x:v>-0.6534697093797072</x:v>
      </x:c>
      <x:c r="AT629" s="6" t="str">
        <x:v>14.358440949646592</x:v>
      </x:c>
      <x:c r="AU629" s="8" t="str">
        <x:v>0.1721124822707213</x:v>
      </x:c>
      <x:c r="AV629" s="6" t="str">
        <x:v>-0.1687823286268051</x:v>
      </x:c>
      <x:c r="AW629" s="6" t="str">
        <x:v>0.9305951611421128</x:v>
      </x:c>
      <x:c r="AX629" s="6" t="str">
        <x:v>0.3113084382620096</x:v>
      </x:c>
      <x:c r="AY629" s="6" t="str">
        <x:v>0</x:v>
      </x:c>
      <x:c r="AZ629" s="6" t="str">
        <x:v>1</x:v>
      </x:c>
      <x:c r="BA629" s="9" t="str">
        <x:v>grid_cells_within_BIG_polygon</x:v>
      </x:c>
      <x:c r="BB629" s="6" t="str">
        <x:v>10</x:v>
      </x:c>
      <x:c r="BC629" s="6" t="str">
        <x:v>29</x:v>
      </x:c>
      <x:c r="BD629" s="6" t="str">
        <x:v>29</x:v>
      </x:c>
      <x:c r="BE629" s="6" t="str">
        <x:v>24</x:v>
      </x:c>
      <x:c r="BF629" s="6" t="str">
        <x:v>5</x:v>
      </x:c>
      <x:c r="BG629" s="6" t="str">
        <x:v>0</x:v>
      </x:c>
      <x:c r="BH629" s="6" t="str">
        <x:v>0</x:v>
      </x:c>
      <x:c r="BI629" s="6" t="str">
        <x:v>0</x:v>
      </x:c>
      <x:c r="BJ629" s="6" t="str">
        <x:v>0</x:v>
      </x:c>
      <x:c r="BK629" s="6" t="str">
        <x:v>0</x:v>
      </x:c>
      <x:c r="BL629" s="6" t="str">
        <x:v>0</x:v>
      </x:c>
      <x:c r="BM629" s="6" t="str">
        <x:v>0</x:v>
      </x:c>
      <x:c r="BN629" s="6" t="str">
        <x:v>29</x:v>
      </x:c>
      <x:c r="BO629" s="6" t="str">
        <x:v>23.0</x:v>
      </x:c>
      <x:c r="BP629" s="6" t="str">
        <x:v>29</x:v>
      </x:c>
      <x:c r="BQ629" s="6" t="str">
        <x:v>8.0</x:v>
      </x:c>
      <x:c r="BR629" s="6" t="str">
        <x:v>29</x:v>
      </x:c>
      <x:c r="BS629" s="6" t="str">
        <x:v>49.0</x:v>
      </x:c>
      <x:c r="BT629" s="6" t="str">
        <x:v>29</x:v>
      </x:c>
      <x:c r="BU629" s="6" t="str">
        <x:v>25425.0</x:v>
      </x:c>
      <x:c r="BV629" s="6" t="str">
        <x:v>22</x:v>
      </x:c>
      <x:c r="BW629" s="9" t="str">
        <x:v>operational_snapshot_annual_totals_may_differ</x:v>
      </x:c>
      <x:c r="BX629" s="9" t="str">
        <x:v>official_live_dashboard_snapshot_subject_to_revision</x:v>
      </x:c>
      <x:c r="BY629" s="9" t="str">
        <x:v>https://tbdashboard.sitb.id/ss_data_tbc03so_2024_provinsi_bulanan_list.php</x:v>
      </x:c>
      <x:c r="BZ629" s="6" t="n">
        <x:v>46246.610671296294</x:v>
      </x:c>
    </x:row>
    <x:row r="630" ht="18" customHeight="1">
      <x:c r="A630" s="6" t="str">
        <x:v>73</x:v>
      </x:c>
      <x:c r="B630" s="6" t="str">
        <x:v>SULAWESI SELATAN</x:v>
      </x:c>
      <x:c r="C630" s="6" t="str">
        <x:v>2024</x:v>
      </x:c>
      <x:c r="D630" s="6" t="str">
        <x:v>5</x:v>
      </x:c>
      <x:c r="E630" s="6" t="str">
        <x:v>2024-05</x:v>
      </x:c>
      <x:c r="F630" s="6" t="str">
        <x:v>2705</x:v>
      </x:c>
      <x:c r="G630" s="6" t="str">
        <x:v>867</x:v>
      </x:c>
      <x:c r="H630" s="6" t="str">
        <x:v>1439</x:v>
      </x:c>
      <x:c r="I630" s="6" t="str">
        <x:v>228</x:v>
      </x:c>
      <x:c r="J630" s="6" t="str">
        <x:v>166</x:v>
      </x:c>
      <x:c r="K630" s="6" t="str">
        <x:v>4</x:v>
      </x:c>
      <x:c r="L630" s="6" t="str">
        <x:v>0</x:v>
      </x:c>
      <x:c r="M630" s="6" t="str">
        <x:v>1</x:v>
      </x:c>
      <x:c r="N630" s="6" t="str">
        <x:v>2705</x:v>
      </x:c>
      <x:c r="O630" s="6" t="str">
        <x:v>0</x:v>
      </x:c>
      <x:c r="P630" s="10" t="n">
        <x:f>F630-M630</x:f>
        <x:v>2704</x:v>
      </x:c>
      <x:c r="Q630" s="11" t="n">
        <x:f>IFERROR(M630/F630,"")</x:f>
        <x:v>0.0003696857670979667</x:v>
      </x:c>
      <x:c r="R630" s="10" t="n">
        <x:f>G630+H630</x:f>
        <x:v>2306</x:v>
      </x:c>
      <x:c r="S630" s="11" t="n">
        <x:f>IFERROR(R630/F630,"")</x:f>
        <x:v>0.8524953789279113</x:v>
      </x:c>
      <x:c r="T630" s="11" t="n">
        <x:f>IFERROR(R630/P630,"")</x:f>
        <x:v>0.852810650887574</x:v>
      </x:c>
      <x:c r="U630" s="10" t="n">
        <x:f>I630+J630+K630</x:f>
        <x:v>398</x:v>
      </x:c>
      <x:c r="V630" s="11" t="n">
        <x:f>IFERROR(U630/P630,"")</x:f>
        <x:v>0.14718934911242604</x:v>
      </x:c>
      <x:c r="W630" s="9" t="str">
        <x:v>mature_le_5pct_pending</x:v>
      </x:c>
      <x:c r="X630" s="12" t="n">
        <x:f>IFERROR(F630/Z630*100000,"")</x:f>
        <x:v>28.583807088361475</x:v>
      </x:c>
      <x:c r="Y630" s="13" t="n">
        <x:f>LN(Z630)</x:f>
        <x:v>16.06294228449029</x:v>
      </x:c>
      <x:c r="Z630" s="6" t="str">
        <x:v>9463400</x:v>
      </x:c>
      <x:c r="AA630" s="6" t="str">
        <x:v>209.0</x:v>
      </x:c>
      <x:c r="AB630" s="9" t="str">
        <x:v>2024-06-30</x:v>
      </x:c>
      <x:c r="AC630" s="8" t="str">
        <x:v>93.83</x:v>
      </x:c>
      <x:c r="AD630" s="9" t="str">
        <x:v>2024 (Susenas)</x:v>
      </x:c>
      <x:c r="AE630" s="8" t="str">
        <x:v>8.06</x:v>
      </x:c>
      <x:c r="AF630" s="9" t="str">
        <x:v>Maret 2024 (Susenas)</x:v>
      </x:c>
      <x:c r="AG630" s="6" t="str">
        <x:v>24.465826025849143</x:v>
      </x:c>
      <x:c r="AH630" s="8" t="str">
        <x:v>88.2533659482025</x:v>
      </x:c>
      <x:c r="AI630" s="6" t="str">
        <x:v>363.03097285886514</x:v>
      </x:c>
      <x:c r="AJ630" s="6" t="str">
        <x:v>0.8863872118453031</x:v>
      </x:c>
      <x:c r="AK630" s="8" t="str">
        <x:v>2.2257004326313714</x:v>
      </x:c>
      <x:c r="AL630" s="6" t="str">
        <x:v>2.979714406910692</x:v>
      </x:c>
      <x:c r="AM630" s="6" t="str">
        <x:v>2.7228646228476663</x:v>
      </x:c>
      <x:c r="AN630" s="6" t="str">
        <x:v>2.642759820796577</x:v>
      </x:c>
      <x:c r="AO630" s="6" t="str">
        <x:v>-0.1336507424633879</x:v>
      </x:c>
      <x:c r="AP630" s="8" t="str">
        <x:v>-0.1522522619916362</x:v>
      </x:c>
      <x:c r="AQ630" s="6" t="str">
        <x:v>-0.069551386904235</x:v>
      </x:c>
      <x:c r="AR630" s="6" t="str">
        <x:v>-0.8447193359052425</x:v>
      </x:c>
      <x:c r="AS630" s="6" t="str">
        <x:v>-0.355507661600372</x:v>
      </x:c>
      <x:c r="AT630" s="6" t="str">
        <x:v>122.3008194694265</x:v>
      </x:c>
      <x:c r="AU630" s="8" t="str">
        <x:v>1.6922915489913253</x:v>
      </x:c>
      <x:c r="AV630" s="6" t="str">
        <x:v>0.1721124822707213</x:v>
      </x:c>
      <x:c r="AW630" s="6" t="str">
        <x:v>-0.1687823286268051</x:v>
      </x:c>
      <x:c r="AX630" s="6" t="str">
        <x:v>0.5652072342117472</x:v>
      </x:c>
      <x:c r="AY630" s="6" t="str">
        <x:v>1</x:v>
      </x:c>
      <x:c r="AZ630" s="6" t="str">
        <x:v>1</x:v>
      </x:c>
      <x:c r="BA630" s="9" t="str">
        <x:v>grid_cells_within_BIG_polygon</x:v>
      </x:c>
      <x:c r="BB630" s="6" t="str">
        <x:v>10</x:v>
      </x:c>
      <x:c r="BC630" s="6" t="str">
        <x:v>17</x:v>
      </x:c>
      <x:c r="BD630" s="6" t="str">
        <x:v>17</x:v>
      </x:c>
      <x:c r="BE630" s="6" t="str">
        <x:v>15</x:v>
      </x:c>
      <x:c r="BF630" s="6" t="str">
        <x:v>2</x:v>
      </x:c>
      <x:c r="BG630" s="6" t="str">
        <x:v>0</x:v>
      </x:c>
      <x:c r="BH630" s="6" t="str">
        <x:v>0</x:v>
      </x:c>
      <x:c r="BI630" s="6" t="str">
        <x:v>0</x:v>
      </x:c>
      <x:c r="BJ630" s="6" t="str">
        <x:v>0</x:v>
      </x:c>
      <x:c r="BK630" s="6" t="str">
        <x:v>0</x:v>
      </x:c>
      <x:c r="BL630" s="6" t="str">
        <x:v>0</x:v>
      </x:c>
      <x:c r="BM630" s="6" t="str">
        <x:v>0</x:v>
      </x:c>
      <x:c r="BN630" s="6" t="str">
        <x:v>17</x:v>
      </x:c>
      <x:c r="BO630" s="6" t="str">
        <x:v>16.0</x:v>
      </x:c>
      <x:c r="BP630" s="6" t="str">
        <x:v>17</x:v>
      </x:c>
      <x:c r="BQ630" s="6" t="str">
        <x:v>63.0</x:v>
      </x:c>
      <x:c r="BR630" s="6" t="str">
        <x:v>17</x:v>
      </x:c>
      <x:c r="BS630" s="6" t="str">
        <x:v>381.0</x:v>
      </x:c>
      <x:c r="BT630" s="6" t="str">
        <x:v>17</x:v>
      </x:c>
      <x:c r="BU630" s="6" t="str">
        <x:v>21667.0</x:v>
      </x:c>
      <x:c r="BV630" s="6" t="str">
        <x:v>15</x:v>
      </x:c>
      <x:c r="BW630" s="9" t="str">
        <x:v>operational_snapshot_annual_totals_may_differ</x:v>
      </x:c>
      <x:c r="BX630" s="9" t="str">
        <x:v>official_live_dashboard_snapshot_subject_to_revision</x:v>
      </x:c>
      <x:c r="BY630" s="9" t="str">
        <x:v>https://tbdashboard.sitb.id/ss_data_tbc03so_2024_provinsi_bulanan_list.php</x:v>
      </x:c>
      <x:c r="BZ630" s="6" t="n">
        <x:v>46246.610671296294</x:v>
      </x:c>
    </x:row>
    <x:row r="631" ht="18" customHeight="1">
      <x:c r="A631" s="6" t="str">
        <x:v>73</x:v>
      </x:c>
      <x:c r="B631" s="6" t="str">
        <x:v>SULAWESI SELATAN</x:v>
      </x:c>
      <x:c r="C631" s="6" t="str">
        <x:v>2024</x:v>
      </x:c>
      <x:c r="D631" s="6" t="str">
        <x:v>6</x:v>
      </x:c>
      <x:c r="E631" s="6" t="str">
        <x:v>2024-06</x:v>
      </x:c>
      <x:c r="F631" s="6" t="str">
        <x:v>2055</x:v>
      </x:c>
      <x:c r="G631" s="6" t="str">
        <x:v>700</x:v>
      </x:c>
      <x:c r="H631" s="6" t="str">
        <x:v>1039</x:v>
      </x:c>
      <x:c r="I631" s="6" t="str">
        <x:v>199</x:v>
      </x:c>
      <x:c r="J631" s="6" t="str">
        <x:v>107</x:v>
      </x:c>
      <x:c r="K631" s="6" t="str">
        <x:v>6</x:v>
      </x:c>
      <x:c r="L631" s="6" t="str">
        <x:v>1</x:v>
      </x:c>
      <x:c r="M631" s="6" t="str">
        <x:v>3</x:v>
      </x:c>
      <x:c r="N631" s="6" t="str">
        <x:v>2055</x:v>
      </x:c>
      <x:c r="O631" s="6" t="str">
        <x:v>0</x:v>
      </x:c>
      <x:c r="P631" s="10" t="n">
        <x:f>F631-M631</x:f>
        <x:v>2052</x:v>
      </x:c>
      <x:c r="Q631" s="11" t="n">
        <x:f>IFERROR(M631/F631,"")</x:f>
        <x:v>0.00145985401459854</x:v>
      </x:c>
      <x:c r="R631" s="10" t="n">
        <x:f>G631+H631</x:f>
        <x:v>1739</x:v>
      </x:c>
      <x:c r="S631" s="11" t="n">
        <x:f>IFERROR(R631/F631,"")</x:f>
        <x:v>0.8462287104622871</x:v>
      </x:c>
      <x:c r="T631" s="11" t="n">
        <x:f>IFERROR(R631/P631,"")</x:f>
        <x:v>0.8474658869395711</x:v>
      </x:c>
      <x:c r="U631" s="10" t="n">
        <x:f>I631+J631+K631</x:f>
        <x:v>312</x:v>
      </x:c>
      <x:c r="V631" s="11" t="n">
        <x:f>IFERROR(U631/P631,"")</x:f>
        <x:v>0.15204678362573099</x:v>
      </x:c>
      <x:c r="W631" s="9" t="str">
        <x:v>mature_le_5pct_pending</x:v>
      </x:c>
      <x:c r="X631" s="12" t="n">
        <x:f>IFERROR(F631/Z631*100000,"")</x:f>
        <x:v>21.71523976583469</x:v>
      </x:c>
      <x:c r="Y631" s="13" t="n">
        <x:f>LN(Z631)</x:f>
        <x:v>16.06294228449029</x:v>
      </x:c>
      <x:c r="Z631" s="6" t="str">
        <x:v>9463400</x:v>
      </x:c>
      <x:c r="AA631" s="6" t="str">
        <x:v>209.0</x:v>
      </x:c>
      <x:c r="AB631" s="9" t="str">
        <x:v>2024-06-30</x:v>
      </x:c>
      <x:c r="AC631" s="8" t="str">
        <x:v>93.83</x:v>
      </x:c>
      <x:c r="AD631" s="9" t="str">
        <x:v>2024 (Susenas)</x:v>
      </x:c>
      <x:c r="AE631" s="8" t="str">
        <x:v>8.06</x:v>
      </x:c>
      <x:c r="AF631" s="9" t="str">
        <x:v>Maret 2024 (Susenas)</x:v>
      </x:c>
      <x:c r="AG631" s="6" t="str">
        <x:v>23.681823246261644</x:v>
      </x:c>
      <x:c r="AH631" s="8" t="str">
        <x:v>88.52870443345311</x:v>
      </x:c>
      <x:c r="AI631" s="6" t="str">
        <x:v>240.20776249044692</x:v>
      </x:c>
      <x:c r="AJ631" s="6" t="str">
        <x:v>0.7102126498710319</x:v>
      </x:c>
      <x:c r="AK631" s="8" t="str">
        <x:v>2.2933319456680974</x:v>
      </x:c>
      <x:c r="AL631" s="6" t="str">
        <x:v>2.2257004326313714</x:v>
      </x:c>
      <x:c r="AM631" s="6" t="str">
        <x:v>2.979714406910692</x:v>
      </x:c>
      <x:c r="AN631" s="6" t="str">
        <x:v>2.49958226173672</x:v>
      </x:c>
      <x:c r="AO631" s="6" t="str">
        <x:v>-0.0732559742742893</x:v>
      </x:c>
      <x:c r="AP631" s="8" t="str">
        <x:v>-0.0518887229445084</x:v>
      </x:c>
      <x:c r="AQ631" s="6" t="str">
        <x:v>-0.1522522619916362</x:v>
      </x:c>
      <x:c r="AR631" s="6" t="str">
        <x:v>-0.069551386904235</x:v>
      </x:c>
      <x:c r="AS631" s="6" t="str">
        <x:v>-0.0912307906134606</x:v>
      </x:c>
      <x:c r="AT631" s="6" t="str">
        <x:v>8.051834329248464</x:v>
      </x:c>
      <x:c r="AU631" s="8" t="str">
        <x:v>0.1188082891298687</x:v>
      </x:c>
      <x:c r="AV631" s="6" t="str">
        <x:v>1.6922915489913253</x:v>
      </x:c>
      <x:c r="AW631" s="6" t="str">
        <x:v>0.1721124822707213</x:v>
      </x:c>
      <x:c r="AX631" s="6" t="str">
        <x:v>0.6610707734639718</x:v>
      </x:c>
      <x:c r="AY631" s="6" t="str">
        <x:v>0</x:v>
      </x:c>
      <x:c r="AZ631" s="6" t="str">
        <x:v>1</x:v>
      </x:c>
      <x:c r="BA631" s="9" t="str">
        <x:v>grid_cells_within_BIG_polygon</x:v>
      </x:c>
      <x:c r="BB631" s="6" t="str">
        <x:v>10</x:v>
      </x:c>
      <x:c r="BC631" s="6" t="str">
        <x:v>11</x:v>
      </x:c>
      <x:c r="BD631" s="6" t="str">
        <x:v>11</x:v>
      </x:c>
      <x:c r="BE631" s="6" t="str">
        <x:v>11</x:v>
      </x:c>
      <x:c r="BF631" s="6" t="str">
        <x:v>0</x:v>
      </x:c>
      <x:c r="BG631" s="6" t="str">
        <x:v>0</x:v>
      </x:c>
      <x:c r="BH631" s="6" t="str">
        <x:v>0</x:v>
      </x:c>
      <x:c r="BI631" s="6" t="str">
        <x:v>0</x:v>
      </x:c>
      <x:c r="BJ631" s="6" t="str">
        <x:v>0</x:v>
      </x:c>
      <x:c r="BK631" s="6" t="str">
        <x:v>0</x:v>
      </x:c>
      <x:c r="BL631" s="6" t="str">
        <x:v>0</x:v>
      </x:c>
      <x:c r="BM631" s="6" t="str">
        <x:v>0</x:v>
      </x:c>
      <x:c r="BN631" s="6" t="str">
        <x:v>11</x:v>
      </x:c>
      <x:c r="BO631" s="6" t="str">
        <x:v>0.0</x:v>
      </x:c>
      <x:c r="BP631" s="6" t="str">
        <x:v>11</x:v>
      </x:c>
      <x:c r="BQ631" s="6" t="str">
        <x:v>0.0</x:v>
      </x:c>
      <x:c r="BR631" s="6" t="str">
        <x:v>11</x:v>
      </x:c>
      <x:c r="BS631" s="6" t="str">
        <x:v>0.0</x:v>
      </x:c>
      <x:c r="BT631" s="6" t="str">
        <x:v>11</x:v>
      </x:c>
      <x:c r="BU631" s="6" t="str">
        <x:v>1496.0</x:v>
      </x:c>
      <x:c r="BV631" s="6" t="str">
        <x:v>10</x:v>
      </x:c>
      <x:c r="BW631" s="9" t="str">
        <x:v>operational_snapshot_annual_totals_may_differ</x:v>
      </x:c>
      <x:c r="BX631" s="9" t="str">
        <x:v>official_live_dashboard_snapshot_subject_to_revision</x:v>
      </x:c>
      <x:c r="BY631" s="9" t="str">
        <x:v>https://tbdashboard.sitb.id/ss_data_tbc03so_2024_provinsi_bulanan_list.php</x:v>
      </x:c>
      <x:c r="BZ631" s="6" t="n">
        <x:v>46246.610671296294</x:v>
      </x:c>
    </x:row>
    <x:row r="632" ht="18" customHeight="1">
      <x:c r="A632" s="6" t="str">
        <x:v>73</x:v>
      </x:c>
      <x:c r="B632" s="6" t="str">
        <x:v>SULAWESI SELATAN</x:v>
      </x:c>
      <x:c r="C632" s="6" t="str">
        <x:v>2024</x:v>
      </x:c>
      <x:c r="D632" s="6" t="str">
        <x:v>7</x:v>
      </x:c>
      <x:c r="E632" s="6" t="str">
        <x:v>2024-07</x:v>
      </x:c>
      <x:c r="F632" s="6" t="str">
        <x:v>2334</x:v>
      </x:c>
      <x:c r="G632" s="6" t="str">
        <x:v>806</x:v>
      </x:c>
      <x:c r="H632" s="6" t="str">
        <x:v>1136</x:v>
      </x:c>
      <x:c r="I632" s="6" t="str">
        <x:v>251</x:v>
      </x:c>
      <x:c r="J632" s="6" t="str">
        <x:v>128</x:v>
      </x:c>
      <x:c r="K632" s="6" t="str">
        <x:v>3</x:v>
      </x:c>
      <x:c r="L632" s="6" t="str">
        <x:v>2</x:v>
      </x:c>
      <x:c r="M632" s="6" t="str">
        <x:v>8</x:v>
      </x:c>
      <x:c r="N632" s="6" t="str">
        <x:v>2334</x:v>
      </x:c>
      <x:c r="O632" s="6" t="str">
        <x:v>0</x:v>
      </x:c>
      <x:c r="P632" s="10" t="n">
        <x:f>F632-M632</x:f>
        <x:v>2326</x:v>
      </x:c>
      <x:c r="Q632" s="11" t="n">
        <x:f>IFERROR(M632/F632,"")</x:f>
        <x:v>0.003427592116538132</x:v>
      </x:c>
      <x:c r="R632" s="10" t="n">
        <x:f>G632+H632</x:f>
        <x:v>1942</x:v>
      </x:c>
      <x:c r="S632" s="11" t="n">
        <x:f>IFERROR(R632/F632,"")</x:f>
        <x:v>0.8320479862896315</x:v>
      </x:c>
      <x:c r="T632" s="11" t="n">
        <x:f>IFERROR(R632/P632,"")</x:f>
        <x:v>0.8349097162510748</x:v>
      </x:c>
      <x:c r="U632" s="10" t="n">
        <x:f>I632+J632+K632</x:f>
        <x:v>382</x:v>
      </x:c>
      <x:c r="V632" s="11" t="n">
        <x:f>IFERROR(U632/P632,"")</x:f>
        <x:v>0.1642304385210662</x:v>
      </x:c>
      <x:c r="W632" s="9" t="str">
        <x:v>mature_le_5pct_pending</x:v>
      </x:c>
      <x:c r="X632" s="12" t="n">
        <x:f>IFERROR(F632/Z632*100000,"")</x:f>
        <x:v>24.663440201196188</x:v>
      </x:c>
      <x:c r="Y632" s="13" t="n">
        <x:f>LN(Z632)</x:f>
        <x:v>16.06294228449029</x:v>
      </x:c>
      <x:c r="Z632" s="6" t="str">
        <x:v>9463400</x:v>
      </x:c>
      <x:c r="AA632" s="6" t="str">
        <x:v>209.0</x:v>
      </x:c>
      <x:c r="AB632" s="9" t="str">
        <x:v>2024-06-30</x:v>
      </x:c>
      <x:c r="AC632" s="8" t="str">
        <x:v>93.83</x:v>
      </x:c>
      <x:c r="AD632" s="9" t="str">
        <x:v>2024 (Susenas)</x:v>
      </x:c>
      <x:c r="AE632" s="8" t="str">
        <x:v>8.06</x:v>
      </x:c>
      <x:c r="AF632" s="9" t="str">
        <x:v>Maret 2024 (Susenas)</x:v>
      </x:c>
      <x:c r="AG632" s="6" t="str">
        <x:v>23.137913965473643</x:v>
      </x:c>
      <x:c r="AH632" s="8" t="str">
        <x:v>88.08172908126815</x:v>
      </x:c>
      <x:c r="AI632" s="6" t="str">
        <x:v>384.01055424425374</x:v>
      </x:c>
      <x:c r="AJ632" s="6" t="str">
        <x:v>0.5817073263701857</x:v>
      </x:c>
      <x:c r="AK632" s="8" t="str">
        <x:v>1.874750151520208</x:v>
      </x:c>
      <x:c r="AL632" s="6" t="str">
        <x:v>2.2933319456680974</x:v>
      </x:c>
      <x:c r="AM632" s="6" t="str">
        <x:v>2.2257004326313714</x:v>
      </x:c>
      <x:c r="AN632" s="6" t="str">
        <x:v>2.1312608432732256</x:v>
      </x:c>
      <x:c r="AO632" s="6" t="str">
        <x:v>1.1307420104409545</x:v>
      </x:c>
      <x:c r="AP632" s="8" t="str">
        <x:v>0.6684529053859369</x:v>
      </x:c>
      <x:c r="AQ632" s="6" t="str">
        <x:v>-0.0518887229445084</x:v>
      </x:c>
      <x:c r="AR632" s="6" t="str">
        <x:v>-0.1522522619916362</x:v>
      </x:c>
      <x:c r="AS632" s="6" t="str">
        <x:v>0.15477064014993</x:v>
      </x:c>
      <x:c r="AT632" s="6" t="str">
        <x:v>229.98859710602056</x:v>
      </x:c>
      <x:c r="AU632" s="8" t="str">
        <x:v>3.0454208999970698</x:v>
      </x:c>
      <x:c r="AV632" s="6" t="str">
        <x:v>0.1188082891298687</x:v>
      </x:c>
      <x:c r="AW632" s="6" t="str">
        <x:v>1.6922915489913253</x:v>
      </x:c>
      <x:c r="AX632" s="6" t="str">
        <x:v>1.6188402460394211</x:v>
      </x:c>
      <x:c r="AY632" s="6" t="str">
        <x:v>1</x:v>
      </x:c>
      <x:c r="AZ632" s="6" t="str">
        <x:v>1</x:v>
      </x:c>
      <x:c r="BA632" s="9" t="str">
        <x:v>grid_cells_within_BIG_polygon</x:v>
      </x:c>
      <x:c r="BB632" s="6" t="str">
        <x:v>10</x:v>
      </x:c>
      <x:c r="BC632" s="6" t="str">
        <x:v>9</x:v>
      </x:c>
      <x:c r="BD632" s="6" t="str">
        <x:v>9</x:v>
      </x:c>
      <x:c r="BE632" s="6" t="str">
        <x:v>7</x:v>
      </x:c>
      <x:c r="BF632" s="6" t="str">
        <x:v>1</x:v>
      </x:c>
      <x:c r="BG632" s="6" t="str">
        <x:v>1</x:v>
      </x:c>
      <x:c r="BH632" s="6" t="str">
        <x:v>0</x:v>
      </x:c>
      <x:c r="BI632" s="6" t="str">
        <x:v>0</x:v>
      </x:c>
      <x:c r="BJ632" s="6" t="str">
        <x:v>0</x:v>
      </x:c>
      <x:c r="BK632" s="6" t="str">
        <x:v>0</x:v>
      </x:c>
      <x:c r="BL632" s="6" t="str">
        <x:v>0</x:v>
      </x:c>
      <x:c r="BM632" s="6" t="str">
        <x:v>0</x:v>
      </x:c>
      <x:c r="BN632" s="6" t="str">
        <x:v>9</x:v>
      </x:c>
      <x:c r="BO632" s="6" t="str">
        <x:v>1.0</x:v>
      </x:c>
      <x:c r="BP632" s="6" t="str">
        <x:v>9</x:v>
      </x:c>
      <x:c r="BQ632" s="6" t="str">
        <x:v>0.0</x:v>
      </x:c>
      <x:c r="BR632" s="6" t="str">
        <x:v>9</x:v>
      </x:c>
      <x:c r="BS632" s="6" t="str">
        <x:v>6.0</x:v>
      </x:c>
      <x:c r="BT632" s="6" t="str">
        <x:v>9</x:v>
      </x:c>
      <x:c r="BU632" s="6" t="str">
        <x:v>6656.0</x:v>
      </x:c>
      <x:c r="BV632" s="6" t="str">
        <x:v>7</x:v>
      </x:c>
      <x:c r="BW632" s="9" t="str">
        <x:v>operational_snapshot_annual_totals_may_differ</x:v>
      </x:c>
      <x:c r="BX632" s="9" t="str">
        <x:v>official_live_dashboard_snapshot_subject_to_revision</x:v>
      </x:c>
      <x:c r="BY632" s="9" t="str">
        <x:v>https://tbdashboard.sitb.id/ss_data_tbc03so_2024_provinsi_bulanan_list.php</x:v>
      </x:c>
      <x:c r="BZ632" s="6" t="n">
        <x:v>46246.610671296294</x:v>
      </x:c>
    </x:row>
    <x:row r="633" ht="18" customHeight="1">
      <x:c r="A633" s="6" t="str">
        <x:v>73</x:v>
      </x:c>
      <x:c r="B633" s="6" t="str">
        <x:v>SULAWESI SELATAN</x:v>
      </x:c>
      <x:c r="C633" s="6" t="str">
        <x:v>2024</x:v>
      </x:c>
      <x:c r="D633" s="6" t="str">
        <x:v>8</x:v>
      </x:c>
      <x:c r="E633" s="6" t="str">
        <x:v>2024-08</x:v>
      </x:c>
      <x:c r="F633" s="6" t="str">
        <x:v>2049</x:v>
      </x:c>
      <x:c r="G633" s="6" t="str">
        <x:v>716</x:v>
      </x:c>
      <x:c r="H633" s="6" t="str">
        <x:v>1008</x:v>
      </x:c>
      <x:c r="I633" s="6" t="str">
        <x:v>205</x:v>
      </x:c>
      <x:c r="J633" s="6" t="str">
        <x:v>109</x:v>
      </x:c>
      <x:c r="K633" s="6" t="str">
        <x:v>5</x:v>
      </x:c>
      <x:c r="L633" s="6" t="str">
        <x:v>1</x:v>
      </x:c>
      <x:c r="M633" s="6" t="str">
        <x:v>5</x:v>
      </x:c>
      <x:c r="N633" s="6" t="str">
        <x:v>2049</x:v>
      </x:c>
      <x:c r="O633" s="6" t="str">
        <x:v>0</x:v>
      </x:c>
      <x:c r="P633" s="10" t="n">
        <x:f>F633-M633</x:f>
        <x:v>2044</x:v>
      </x:c>
      <x:c r="Q633" s="11" t="n">
        <x:f>IFERROR(M633/F633,"")</x:f>
        <x:v>0.002440214738897023</x:v>
      </x:c>
      <x:c r="R633" s="10" t="n">
        <x:f>G633+H633</x:f>
        <x:v>1724</x:v>
      </x:c>
      <x:c r="S633" s="11" t="n">
        <x:f>IFERROR(R633/F633,"")</x:f>
        <x:v>0.8413860419716935</x:v>
      </x:c>
      <x:c r="T633" s="11" t="n">
        <x:f>IFERROR(R633/P633,"")</x:f>
        <x:v>0.8434442270058709</x:v>
      </x:c>
      <x:c r="U633" s="10" t="n">
        <x:f>I633+J633+K633</x:f>
        <x:v>319</x:v>
      </x:c>
      <x:c r="V633" s="11" t="n">
        <x:f>IFERROR(U633/P633,"")</x:f>
        <x:v>0.1560665362035225</x:v>
      </x:c>
      <x:c r="W633" s="9" t="str">
        <x:v>mature_le_5pct_pending</x:v>
      </x:c>
      <x:c r="X633" s="12" t="n">
        <x:f>IFERROR(F633/Z633*100000,"")</x:f>
        <x:v>21.651837605934443</x:v>
      </x:c>
      <x:c r="Y633" s="13" t="n">
        <x:f>LN(Z633)</x:f>
        <x:v>16.06294228449029</x:v>
      </x:c>
      <x:c r="Z633" s="6" t="str">
        <x:v>9463400</x:v>
      </x:c>
      <x:c r="AA633" s="6" t="str">
        <x:v>209.0</x:v>
      </x:c>
      <x:c r="AB633" s="9" t="str">
        <x:v>2024-06-30</x:v>
      </x:c>
      <x:c r="AC633" s="8" t="str">
        <x:v>93.83</x:v>
      </x:c>
      <x:c r="AD633" s="9" t="str">
        <x:v>2024 (Susenas)</x:v>
      </x:c>
      <x:c r="AE633" s="8" t="str">
        <x:v>8.06</x:v>
      </x:c>
      <x:c r="AF633" s="9" t="str">
        <x:v>Maret 2024 (Susenas)</x:v>
      </x:c>
      <x:c r="AG633" s="6" t="str">
        <x:v>23.477711001861017</x:v>
      </x:c>
      <x:c r="AH633" s="8" t="str">
        <x:v>84.30270749397441</x:v>
      </x:c>
      <x:c r="AI633" s="6" t="str">
        <x:v>139.83763943530445</x:v>
      </x:c>
      <x:c r="AJ633" s="6" t="str">
        <x:v>0.7448891350676767</x:v>
      </x:c>
      <x:c r="AK633" s="8" t="str">
        <x:v>2.170618001123653</x:v>
      </x:c>
      <x:c r="AL633" s="6" t="str">
        <x:v>1.874750151520208</x:v>
      </x:c>
      <x:c r="AM633" s="6" t="str">
        <x:v>2.2933319456680974</x:v>
      </x:c>
      <x:c r="AN633" s="6" t="str">
        <x:v>2.112900032770653</x:v>
      </x:c>
      <x:c r="AO633" s="6" t="str">
        <x:v>0.671133719939931</x:v>
      </x:c>
      <x:c r="AP633" s="8" t="str">
        <x:v>0.287520621482199</x:v>
      </x:c>
      <x:c r="AQ633" s="6" t="str">
        <x:v>0.6684529053859369</x:v>
      </x:c>
      <x:c r="AR633" s="6" t="str">
        <x:v>-0.0518887229445084</x:v>
      </x:c>
      <x:c r="AS633" s="6" t="str">
        <x:v>0.3013616013078751</x:v>
      </x:c>
      <x:c r="AT633" s="6" t="str">
        <x:v>32.178551229186226</x:v>
      </x:c>
      <x:c r="AU633" s="8" t="str">
        <x:v>0.3932565009405221</x:v>
      </x:c>
      <x:c r="AV633" s="6" t="str">
        <x:v>3.0454208999970698</x:v>
      </x:c>
      <x:c r="AW633" s="6" t="str">
        <x:v>0.1188082891298687</x:v>
      </x:c>
      <x:c r="AX633" s="6" t="str">
        <x:v>1.1858285633558203</x:v>
      </x:c>
      <x:c r="AY633" s="6" t="str">
        <x:v>0</x:v>
      </x:c>
      <x:c r="AZ633" s="6" t="str">
        <x:v>1</x:v>
      </x:c>
      <x:c r="BA633" s="9" t="str">
        <x:v>grid_cells_within_BIG_polygon</x:v>
      </x:c>
      <x:c r="BB633" s="6" t="str">
        <x:v>10</x:v>
      </x:c>
      <x:c r="BC633" s="6" t="str">
        <x:v>7</x:v>
      </x:c>
      <x:c r="BD633" s="6" t="str">
        <x:v>7</x:v>
      </x:c>
      <x:c r="BE633" s="6" t="str">
        <x:v>5</x:v>
      </x:c>
      <x:c r="BF633" s="6" t="str">
        <x:v>0</x:v>
      </x:c>
      <x:c r="BG633" s="6" t="str">
        <x:v>0</x:v>
      </x:c>
      <x:c r="BH633" s="6" t="str">
        <x:v>1</x:v>
      </x:c>
      <x:c r="BI633" s="6" t="str">
        <x:v>1</x:v>
      </x:c>
      <x:c r="BJ633" s="6" t="str">
        <x:v>0</x:v>
      </x:c>
      <x:c r="BK633" s="6" t="str">
        <x:v>0</x:v>
      </x:c>
      <x:c r="BL633" s="6" t="str">
        <x:v>0</x:v>
      </x:c>
      <x:c r="BM633" s="6" t="str">
        <x:v>0</x:v>
      </x:c>
      <x:c r="BN633" s="6" t="str">
        <x:v>7</x:v>
      </x:c>
      <x:c r="BO633" s="6" t="str">
        <x:v>1.0</x:v>
      </x:c>
      <x:c r="BP633" s="6" t="str">
        <x:v>7</x:v>
      </x:c>
      <x:c r="BQ633" s="6" t="str">
        <x:v>0.0</x:v>
      </x:c>
      <x:c r="BR633" s="6" t="str">
        <x:v>7</x:v>
      </x:c>
      <x:c r="BS633" s="6" t="str">
        <x:v>5.0</x:v>
      </x:c>
      <x:c r="BT633" s="6" t="str">
        <x:v>7</x:v>
      </x:c>
      <x:c r="BU633" s="6" t="str">
        <x:v>6576.0</x:v>
      </x:c>
      <x:c r="BV633" s="6" t="str">
        <x:v>5</x:v>
      </x:c>
      <x:c r="BW633" s="9" t="str">
        <x:v>operational_snapshot_annual_totals_may_differ</x:v>
      </x:c>
      <x:c r="BX633" s="9" t="str">
        <x:v>official_live_dashboard_snapshot_subject_to_revision</x:v>
      </x:c>
      <x:c r="BY633" s="9" t="str">
        <x:v>https://tbdashboard.sitb.id/ss_data_tbc03so_2024_provinsi_bulanan_list.php</x:v>
      </x:c>
      <x:c r="BZ633" s="6" t="n">
        <x:v>46246.610671296294</x:v>
      </x:c>
    </x:row>
    <x:row r="634" ht="18" customHeight="1">
      <x:c r="A634" s="6" t="str">
        <x:v>73</x:v>
      </x:c>
      <x:c r="B634" s="6" t="str">
        <x:v>SULAWESI SELATAN</x:v>
      </x:c>
      <x:c r="C634" s="6" t="str">
        <x:v>2024</x:v>
      </x:c>
      <x:c r="D634" s="6" t="str">
        <x:v>9</x:v>
      </x:c>
      <x:c r="E634" s="6" t="str">
        <x:v>2024-09</x:v>
      </x:c>
      <x:c r="F634" s="6" t="str">
        <x:v>2079</x:v>
      </x:c>
      <x:c r="G634" s="6" t="str">
        <x:v>725</x:v>
      </x:c>
      <x:c r="H634" s="6" t="str">
        <x:v>1004</x:v>
      </x:c>
      <x:c r="I634" s="6" t="str">
        <x:v>211</x:v>
      </x:c>
      <x:c r="J634" s="6" t="str">
        <x:v>124</x:v>
      </x:c>
      <x:c r="K634" s="6" t="str">
        <x:v>6</x:v>
      </x:c>
      <x:c r="L634" s="6" t="str">
        <x:v>2</x:v>
      </x:c>
      <x:c r="M634" s="6" t="str">
        <x:v>7</x:v>
      </x:c>
      <x:c r="N634" s="6" t="str">
        <x:v>2079</x:v>
      </x:c>
      <x:c r="O634" s="6" t="str">
        <x:v>0</x:v>
      </x:c>
      <x:c r="P634" s="10" t="n">
        <x:f>F634-M634</x:f>
        <x:v>2072</x:v>
      </x:c>
      <x:c r="Q634" s="11" t="n">
        <x:f>IFERROR(M634/F634,"")</x:f>
        <x:v>0.003367003367003367</x:v>
      </x:c>
      <x:c r="R634" s="10" t="n">
        <x:f>G634+H634</x:f>
        <x:v>1729</x:v>
      </x:c>
      <x:c r="S634" s="11" t="n">
        <x:f>IFERROR(R634/F634,"")</x:f>
        <x:v>0.8316498316498316</x:v>
      </x:c>
      <x:c r="T634" s="11" t="n">
        <x:f>IFERROR(R634/P634,"")</x:f>
        <x:v>0.8344594594594594</x:v>
      </x:c>
      <x:c r="U634" s="10" t="n">
        <x:f>I634+J634+K634</x:f>
        <x:v>341</x:v>
      </x:c>
      <x:c r="V634" s="11" t="n">
        <x:f>IFERROR(U634/P634,"")</x:f>
        <x:v>0.16457528957528958</x:v>
      </x:c>
      <x:c r="W634" s="9" t="str">
        <x:v>mature_le_5pct_pending</x:v>
      </x:c>
      <x:c r="X634" s="12" t="n">
        <x:f>IFERROR(F634/Z634*100000,"")</x:f>
        <x:v>21.96884840543568</x:v>
      </x:c>
      <x:c r="Y634" s="13" t="n">
        <x:f>LN(Z634)</x:f>
        <x:v>16.06294228449029</x:v>
      </x:c>
      <x:c r="Z634" s="6" t="str">
        <x:v>9463400</x:v>
      </x:c>
      <x:c r="AA634" s="6" t="str">
        <x:v>209.0</x:v>
      </x:c>
      <x:c r="AB634" s="9" t="str">
        <x:v>2024-06-30</x:v>
      </x:c>
      <x:c r="AC634" s="8" t="str">
        <x:v>93.83</x:v>
      </x:c>
      <x:c r="AD634" s="9" t="str">
        <x:v>2024 (Susenas)</x:v>
      </x:c>
      <x:c r="AE634" s="8" t="str">
        <x:v>8.06</x:v>
      </x:c>
      <x:c r="AF634" s="9" t="str">
        <x:v>Maret 2024 (Susenas)</x:v>
      </x:c>
      <x:c r="AG634" s="6" t="str">
        <x:v>24.449266796218943</x:v>
      </x:c>
      <x:c r="AH634" s="8" t="str">
        <x:v>80.74587336305596</x:v>
      </x:c>
      <x:c r="AI634" s="6" t="str">
        <x:v>75.40898046639073</x:v>
      </x:c>
      <x:c r="AJ634" s="6" t="str">
        <x:v>1.0381411642652123</x:v>
      </x:c>
      <x:c r="AK634" s="8" t="str">
        <x:v>3.089572313001958</x:v>
      </x:c>
      <x:c r="AL634" s="6" t="str">
        <x:v>2.170618001123653</x:v>
      </x:c>
      <x:c r="AM634" s="6" t="str">
        <x:v>1.874750151520208</x:v>
      </x:c>
      <x:c r="AN634" s="6" t="str">
        <x:v>2.378313488548607</x:v>
      </x:c>
      <x:c r="AO634" s="6" t="str">
        <x:v>0.3081240674518994</x:v>
      </x:c>
      <x:c r="AP634" s="8" t="str">
        <x:v>0.1026788391525731</x:v>
      </x:c>
      <x:c r="AQ634" s="6" t="str">
        <x:v>0.287520621482199</x:v>
      </x:c>
      <x:c r="AR634" s="6" t="str">
        <x:v>0.6684529053859369</x:v>
      </x:c>
      <x:c r="AS634" s="6" t="str">
        <x:v>0.3528841220069023</x:v>
      </x:c>
      <x:c r="AT634" s="6" t="str">
        <x:v>-27.857211091951854</x:v>
      </x:c>
      <x:c r="AU634" s="8" t="str">
        <x:v>-0.3965004752682733</x:v>
      </x:c>
      <x:c r="AV634" s="6" t="str">
        <x:v>0.3932565009405221</x:v>
      </x:c>
      <x:c r="AW634" s="6" t="str">
        <x:v>3.0454208999970698</x:v>
      </x:c>
      <x:c r="AX634" s="6" t="str">
        <x:v>1.0140589752231064</x:v>
      </x:c>
      <x:c r="AY634" s="6" t="str">
        <x:v>0</x:v>
      </x:c>
      <x:c r="AZ634" s="6" t="str">
        <x:v>1</x:v>
      </x:c>
      <x:c r="BA634" s="9" t="str">
        <x:v>grid_cells_within_BIG_polygon</x:v>
      </x:c>
      <x:c r="BB634" s="6" t="str">
        <x:v>10</x:v>
      </x:c>
      <x:c r="BC634" s="6" t="str">
        <x:v>13</x:v>
      </x:c>
      <x:c r="BD634" s="6" t="str">
        <x:v>13</x:v>
      </x:c>
      <x:c r="BE634" s="6" t="str">
        <x:v>2</x:v>
      </x:c>
      <x:c r="BF634" s="6" t="str">
        <x:v>0</x:v>
      </x:c>
      <x:c r="BG634" s="6" t="str">
        <x:v>3</x:v>
      </x:c>
      <x:c r="BH634" s="6" t="str">
        <x:v>6</x:v>
      </x:c>
      <x:c r="BI634" s="6" t="str">
        <x:v>2</x:v>
      </x:c>
      <x:c r="BJ634" s="6" t="str">
        <x:v>0</x:v>
      </x:c>
      <x:c r="BK634" s="6" t="str">
        <x:v>0</x:v>
      </x:c>
      <x:c r="BL634" s="6" t="str">
        <x:v>0</x:v>
      </x:c>
      <x:c r="BM634" s="6" t="str">
        <x:v>0</x:v>
      </x:c>
      <x:c r="BN634" s="6" t="str">
        <x:v>13</x:v>
      </x:c>
      <x:c r="BO634" s="6" t="str">
        <x:v>0.0</x:v>
      </x:c>
      <x:c r="BP634" s="6" t="str">
        <x:v>13</x:v>
      </x:c>
      <x:c r="BQ634" s="6" t="str">
        <x:v>0.0</x:v>
      </x:c>
      <x:c r="BR634" s="6" t="str">
        <x:v>13</x:v>
      </x:c>
      <x:c r="BS634" s="6" t="str">
        <x:v>77.0</x:v>
      </x:c>
      <x:c r="BT634" s="6" t="str">
        <x:v>13</x:v>
      </x:c>
      <x:c r="BU634" s="6" t="str">
        <x:v>40.0</x:v>
      </x:c>
      <x:c r="BV634" s="6" t="str">
        <x:v>1</x:v>
      </x:c>
      <x:c r="BW634" s="9" t="str">
        <x:v>operational_snapshot_annual_totals_may_differ</x:v>
      </x:c>
      <x:c r="BX634" s="9" t="str">
        <x:v>official_live_dashboard_snapshot_subject_to_revision</x:v>
      </x:c>
      <x:c r="BY634" s="9" t="str">
        <x:v>https://tbdashboard.sitb.id/ss_data_tbc03so_2024_provinsi_bulanan_list.php</x:v>
      </x:c>
      <x:c r="BZ634" s="6" t="n">
        <x:v>46246.610671296294</x:v>
      </x:c>
    </x:row>
    <x:row r="635" ht="18" customHeight="1">
      <x:c r="A635" s="6" t="str">
        <x:v>73</x:v>
      </x:c>
      <x:c r="B635" s="6" t="str">
        <x:v>SULAWESI SELATAN</x:v>
      </x:c>
      <x:c r="C635" s="6" t="str">
        <x:v>2024</x:v>
      </x:c>
      <x:c r="D635" s="6" t="str">
        <x:v>10</x:v>
      </x:c>
      <x:c r="E635" s="6" t="str">
        <x:v>2024-10</x:v>
      </x:c>
      <x:c r="F635" s="6" t="str">
        <x:v>2260</x:v>
      </x:c>
      <x:c r="G635" s="6" t="str">
        <x:v>717</x:v>
      </x:c>
      <x:c r="H635" s="6" t="str">
        <x:v>1172</x:v>
      </x:c>
      <x:c r="I635" s="6" t="str">
        <x:v>225</x:v>
      </x:c>
      <x:c r="J635" s="6" t="str">
        <x:v>131</x:v>
      </x:c>
      <x:c r="K635" s="6" t="str">
        <x:v>5</x:v>
      </x:c>
      <x:c r="L635" s="6" t="str">
        <x:v>3</x:v>
      </x:c>
      <x:c r="M635" s="6" t="str">
        <x:v>7</x:v>
      </x:c>
      <x:c r="N635" s="6" t="str">
        <x:v>2260</x:v>
      </x:c>
      <x:c r="O635" s="6" t="str">
        <x:v>0</x:v>
      </x:c>
      <x:c r="P635" s="10" t="n">
        <x:f>F635-M635</x:f>
        <x:v>2253</x:v>
      </x:c>
      <x:c r="Q635" s="11" t="n">
        <x:f>IFERROR(M635/F635,"")</x:f>
        <x:v>0.003097345132743363</x:v>
      </x:c>
      <x:c r="R635" s="10" t="n">
        <x:f>G635+H635</x:f>
        <x:v>1889</x:v>
      </x:c>
      <x:c r="S635" s="11" t="n">
        <x:f>IFERROR(R635/F635,"")</x:f>
        <x:v>0.8358407079646017</x:v>
      </x:c>
      <x:c r="T635" s="11" t="n">
        <x:f>IFERROR(R635/P635,"")</x:f>
        <x:v>0.8384376387039503</x:v>
      </x:c>
      <x:c r="U635" s="10" t="n">
        <x:f>I635+J635+K635</x:f>
        <x:v>361</x:v>
      </x:c>
      <x:c r="V635" s="11" t="n">
        <x:f>IFERROR(U635/P635,"")</x:f>
        <x:v>0.16023080337328008</x:v>
      </x:c>
      <x:c r="W635" s="9" t="str">
        <x:v>mature_le_5pct_pending</x:v>
      </x:c>
      <x:c r="X635" s="12" t="n">
        <x:f>IFERROR(F635/Z635*100000,"")</x:f>
        <x:v>23.881480229093135</x:v>
      </x:c>
      <x:c r="Y635" s="13" t="n">
        <x:f>LN(Z635)</x:f>
        <x:v>16.06294228449029</x:v>
      </x:c>
      <x:c r="Z635" s="6" t="str">
        <x:v>9463400</x:v>
      </x:c>
      <x:c r="AA635" s="6" t="str">
        <x:v>209.0</x:v>
      </x:c>
      <x:c r="AB635" s="9" t="str">
        <x:v>2024-06-30</x:v>
      </x:c>
      <x:c r="AC635" s="8" t="str">
        <x:v>93.83</x:v>
      </x:c>
      <x:c r="AD635" s="9" t="str">
        <x:v>2024 (Susenas)</x:v>
      </x:c>
      <x:c r="AE635" s="8" t="str">
        <x:v>8.06</x:v>
      </x:c>
      <x:c r="AF635" s="9" t="str">
        <x:v>Maret 2024 (Susenas)</x:v>
      </x:c>
      <x:c r="AG635" s="6" t="str">
        <x:v>24.86504178984033</x:v>
      </x:c>
      <x:c r="AH635" s="8" t="str">
        <x:v>80.47353484900735</x:v>
      </x:c>
      <x:c r="AI635" s="6" t="str">
        <x:v>168.86109734315502</x:v>
      </x:c>
      <x:c r="AJ635" s="6" t="str">
        <x:v>0.6878479369091011</x:v>
      </x:c>
      <x:c r="AK635" s="8" t="str">
        <x:v>2.16089532165928</x:v>
      </x:c>
      <x:c r="AL635" s="6" t="str">
        <x:v>3.089572313001958</x:v>
      </x:c>
      <x:c r="AM635" s="6" t="str">
        <x:v>2.170618001123653</x:v>
      </x:c>
      <x:c r="AN635" s="6" t="str">
        <x:v>2.4736952119282978</x:v>
      </x:c>
      <x:c r="AO635" s="6" t="str">
        <x:v>1.1511495784212968</x:v>
      </x:c>
      <x:c r="AP635" s="8" t="str">
        <x:v>0.2472741611148346</x:v>
      </x:c>
      <x:c r="AQ635" s="6" t="str">
        <x:v>0.1026788391525731</x:v>
      </x:c>
      <x:c r="AR635" s="6" t="str">
        <x:v>0.287520621482199</x:v>
      </x:c>
      <x:c r="AS635" s="6" t="str">
        <x:v>0.2124912072498682</x:v>
      </x:c>
      <x:c r="AT635" s="6" t="str">
        <x:v>27.781628324449542</x:v>
      </x:c>
      <x:c r="AU635" s="8" t="str">
        <x:v>0.2897500984679682</x:v>
      </x:c>
      <x:c r="AV635" s="6" t="str">
        <x:v>-0.3965004752682733</x:v>
      </x:c>
      <x:c r="AW635" s="6" t="str">
        <x:v>0.3932565009405221</x:v>
      </x:c>
      <x:c r="AX635" s="6" t="str">
        <x:v>0.0955020413800724</x:v>
      </x:c>
      <x:c r="AY635" s="6" t="str">
        <x:v>0</x:v>
      </x:c>
      <x:c r="AZ635" s="6" t="str">
        <x:v>1</x:v>
      </x:c>
      <x:c r="BA635" s="9" t="str">
        <x:v>grid_cells_within_BIG_polygon</x:v>
      </x:c>
      <x:c r="BB635" s="6" t="str">
        <x:v>10</x:v>
      </x:c>
      <x:c r="BC635" s="6" t="str">
        <x:v>9</x:v>
      </x:c>
      <x:c r="BD635" s="6" t="str">
        <x:v>9</x:v>
      </x:c>
      <x:c r="BE635" s="6" t="str">
        <x:v>1</x:v>
      </x:c>
      <x:c r="BF635" s="6" t="str">
        <x:v>0</x:v>
      </x:c>
      <x:c r="BG635" s="6" t="str">
        <x:v>6</x:v>
      </x:c>
      <x:c r="BH635" s="6" t="str">
        <x:v>2</x:v>
      </x:c>
      <x:c r="BI635" s="6" t="str">
        <x:v>0</x:v>
      </x:c>
      <x:c r="BJ635" s="6" t="str">
        <x:v>0</x:v>
      </x:c>
      <x:c r="BK635" s="6" t="str">
        <x:v>0</x:v>
      </x:c>
      <x:c r="BL635" s="6" t="str">
        <x:v>0</x:v>
      </x:c>
      <x:c r="BM635" s="6" t="str">
        <x:v>0</x:v>
      </x:c>
      <x:c r="BN635" s="6" t="str">
        <x:v>9</x:v>
      </x:c>
      <x:c r="BO635" s="6" t="str">
        <x:v>1.0</x:v>
      </x:c>
      <x:c r="BP635" s="6" t="str">
        <x:v>9</x:v>
      </x:c>
      <x:c r="BQ635" s="6" t="str">
        <x:v>2.0</x:v>
      </x:c>
      <x:c r="BR635" s="6" t="str">
        <x:v>9</x:v>
      </x:c>
      <x:c r="BS635" s="6" t="str">
        <x:v>302.0</x:v>
      </x:c>
      <x:c r="BT635" s="6" t="str">
        <x:v>9</x:v>
      </x:c>
      <x:c r="BU635" s="6" t="str">
        <x:v>90.0</x:v>
      </x:c>
      <x:c r="BV635" s="6" t="str">
        <x:v>1</x:v>
      </x:c>
      <x:c r="BW635" s="9" t="str">
        <x:v>operational_snapshot_annual_totals_may_differ</x:v>
      </x:c>
      <x:c r="BX635" s="9" t="str">
        <x:v>official_live_dashboard_snapshot_subject_to_revision</x:v>
      </x:c>
      <x:c r="BY635" s="9" t="str">
        <x:v>https://tbdashboard.sitb.id/ss_data_tbc03so_2024_provinsi_bulanan_list.php</x:v>
      </x:c>
      <x:c r="BZ635" s="6" t="n">
        <x:v>46246.610671296294</x:v>
      </x:c>
    </x:row>
    <x:row r="636" ht="18" customHeight="1">
      <x:c r="A636" s="6" t="str">
        <x:v>73</x:v>
      </x:c>
      <x:c r="B636" s="6" t="str">
        <x:v>SULAWESI SELATAN</x:v>
      </x:c>
      <x:c r="C636" s="6" t="str">
        <x:v>2024</x:v>
      </x:c>
      <x:c r="D636" s="6" t="str">
        <x:v>11</x:v>
      </x:c>
      <x:c r="E636" s="6" t="str">
        <x:v>2024-11</x:v>
      </x:c>
      <x:c r="F636" s="6" t="str">
        <x:v>2120</x:v>
      </x:c>
      <x:c r="G636" s="6" t="str">
        <x:v>717</x:v>
      </x:c>
      <x:c r="H636" s="6" t="str">
        <x:v>1081</x:v>
      </x:c>
      <x:c r="I636" s="6" t="str">
        <x:v>210</x:v>
      </x:c>
      <x:c r="J636" s="6" t="str">
        <x:v>98</x:v>
      </x:c>
      <x:c r="K636" s="6" t="str">
        <x:v>5</x:v>
      </x:c>
      <x:c r="L636" s="6" t="str">
        <x:v>2</x:v>
      </x:c>
      <x:c r="M636" s="6" t="str">
        <x:v>7</x:v>
      </x:c>
      <x:c r="N636" s="6" t="str">
        <x:v>2120</x:v>
      </x:c>
      <x:c r="O636" s="6" t="str">
        <x:v>0</x:v>
      </x:c>
      <x:c r="P636" s="10" t="n">
        <x:f>F636-M636</x:f>
        <x:v>2113</x:v>
      </x:c>
      <x:c r="Q636" s="11" t="n">
        <x:f>IFERROR(M636/F636,"")</x:f>
        <x:v>0.0033018867924528303</x:v>
      </x:c>
      <x:c r="R636" s="10" t="n">
        <x:f>G636+H636</x:f>
        <x:v>1798</x:v>
      </x:c>
      <x:c r="S636" s="11" t="n">
        <x:f>IFERROR(R636/F636,"")</x:f>
        <x:v>0.8481132075471698</x:v>
      </x:c>
      <x:c r="T636" s="11" t="n">
        <x:f>IFERROR(R636/P636,"")</x:f>
        <x:v>0.8509228584950308</x:v>
      </x:c>
      <x:c r="U636" s="10" t="n">
        <x:f>I636+J636+K636</x:f>
        <x:v>313</x:v>
      </x:c>
      <x:c r="V636" s="11" t="n">
        <x:f>IFERROR(U636/P636,"")</x:f>
        <x:v>0.14813061997160434</x:v>
      </x:c>
      <x:c r="W636" s="9" t="str">
        <x:v>mature_le_5pct_pending</x:v>
      </x:c>
      <x:c r="X636" s="12" t="n">
        <x:f>IFERROR(F636/Z636*100000,"")</x:f>
        <x:v>22.402096498087367</x:v>
      </x:c>
      <x:c r="Y636" s="13" t="n">
        <x:f>LN(Z636)</x:f>
        <x:v>16.06294228449029</x:v>
      </x:c>
      <x:c r="Z636" s="6" t="str">
        <x:v>9463400</x:v>
      </x:c>
      <x:c r="AA636" s="6" t="str">
        <x:v>209.0</x:v>
      </x:c>
      <x:c r="AB636" s="9" t="str">
        <x:v>2024-06-30</x:v>
      </x:c>
      <x:c r="AC636" s="8" t="str">
        <x:v>93.83</x:v>
      </x:c>
      <x:c r="AD636" s="9" t="str">
        <x:v>2024 (Susenas)</x:v>
      </x:c>
      <x:c r="AE636" s="8" t="str">
        <x:v>8.06</x:v>
      </x:c>
      <x:c r="AF636" s="9" t="str">
        <x:v>Maret 2024 (Susenas)</x:v>
      </x:c>
      <x:c r="AG636" s="6" t="str">
        <x:v>24.78652672610615</x:v>
      </x:c>
      <x:c r="AH636" s="8" t="str">
        <x:v>84.4455462376193</x:v>
      </x:c>
      <x:c r="AI636" s="6" t="str">
        <x:v>269.17237350727527</x:v>
      </x:c>
      <x:c r="AJ636" s="6" t="str">
        <x:v>0.3917214576759491</x:v>
      </x:c>
      <x:c r="AK636" s="8" t="str">
        <x:v>0.7376715107121458</x:v>
      </x:c>
      <x:c r="AL636" s="6" t="str">
        <x:v>2.16089532165928</x:v>
      </x:c>
      <x:c r="AM636" s="6" t="str">
        <x:v>3.089572313001958</x:v>
      </x:c>
      <x:c r="AN636" s="6" t="str">
        <x:v>1.9960463817911285</x:v>
      </x:c>
      <x:c r="AO636" s="6" t="str">
        <x:v>2.4442933459487506</x:v>
      </x:c>
      <x:c r="AP636" s="8" t="str">
        <x:v>0.5579124199631713</x:v>
      </x:c>
      <x:c r="AQ636" s="6" t="str">
        <x:v>0.2472741611148346</x:v>
      </x:c>
      <x:c r="AR636" s="6" t="str">
        <x:v>0.1026788391525731</x:v>
      </x:c>
      <x:c r="AS636" s="6" t="str">
        <x:v>0.3026218067435256</x:v>
      </x:c>
      <x:c r="AT636" s="6" t="str">
        <x:v>73.05600813385573</x:v>
      </x:c>
      <x:c r="AU636" s="8" t="str">
        <x:v>0.7394434845578963</x:v>
      </x:c>
      <x:c r="AV636" s="6" t="str">
        <x:v>0.2897500984679682</x:v>
      </x:c>
      <x:c r="AW636" s="6" t="str">
        <x:v>-0.3965004752682733</x:v>
      </x:c>
      <x:c r="AX636" s="6" t="str">
        <x:v>0.2108977025858639</x:v>
      </x:c>
      <x:c r="AY636" s="6" t="str">
        <x:v>0</x:v>
      </x:c>
      <x:c r="AZ636" s="6" t="str">
        <x:v>0</x:v>
      </x:c>
      <x:c r="BA636" s="9" t="str">
        <x:v>grid_cells_within_BIG_polygon</x:v>
      </x:c>
      <x:c r="BB636" s="6" t="str">
        <x:v>10</x:v>
      </x:c>
      <x:c r="BC636" s="6" t="str">
        <x:v>13</x:v>
      </x:c>
      <x:c r="BD636" s="6" t="str">
        <x:v>13</x:v>
      </x:c>
      <x:c r="BE636" s="6" t="str">
        <x:v>1</x:v>
      </x:c>
      <x:c r="BF636" s="6" t="str">
        <x:v>0</x:v>
      </x:c>
      <x:c r="BG636" s="6" t="str">
        <x:v>11</x:v>
      </x:c>
      <x:c r="BH636" s="6" t="str">
        <x:v>1</x:v>
      </x:c>
      <x:c r="BI636" s="6" t="str">
        <x:v>0</x:v>
      </x:c>
      <x:c r="BJ636" s="6" t="str">
        <x:v>0</x:v>
      </x:c>
      <x:c r="BK636" s="6" t="str">
        <x:v>0</x:v>
      </x:c>
      <x:c r="BL636" s="6" t="str">
        <x:v>0</x:v>
      </x:c>
      <x:c r="BM636" s="6" t="str">
        <x:v>0</x:v>
      </x:c>
      <x:c r="BN636" s="6" t="str">
        <x:v>13</x:v>
      </x:c>
      <x:c r="BO636" s="6" t="str">
        <x:v>10.0</x:v>
      </x:c>
      <x:c r="BP636" s="6" t="str">
        <x:v>13</x:v>
      </x:c>
      <x:c r="BQ636" s="6" t="str">
        <x:v>8.0</x:v>
      </x:c>
      <x:c r="BR636" s="6" t="str">
        <x:v>13</x:v>
      </x:c>
      <x:c r="BS636" s="6" t="str">
        <x:v>130.0</x:v>
      </x:c>
      <x:c r="BT636" s="6" t="str">
        <x:v>13</x:v>
      </x:c>
      <x:c r="BU636" s="6" t="str">
        <x:v>473.0</x:v>
      </x:c>
      <x:c r="BV636" s="6" t="str">
        <x:v>1</x:v>
      </x:c>
      <x:c r="BW636" s="9" t="str">
        <x:v>operational_snapshot_annual_totals_may_differ</x:v>
      </x:c>
      <x:c r="BX636" s="9" t="str">
        <x:v>official_live_dashboard_snapshot_subject_to_revision</x:v>
      </x:c>
      <x:c r="BY636" s="9" t="str">
        <x:v>https://tbdashboard.sitb.id/ss_data_tbc03so_2024_provinsi_bulanan_list.php</x:v>
      </x:c>
      <x:c r="BZ636" s="6" t="n">
        <x:v>46246.610671296294</x:v>
      </x:c>
    </x:row>
    <x:row r="637" ht="18" customHeight="1">
      <x:c r="A637" s="6" t="str">
        <x:v>73</x:v>
      </x:c>
      <x:c r="B637" s="6" t="str">
        <x:v>SULAWESI SELATAN</x:v>
      </x:c>
      <x:c r="C637" s="6" t="str">
        <x:v>2024</x:v>
      </x:c>
      <x:c r="D637" s="6" t="str">
        <x:v>12</x:v>
      </x:c>
      <x:c r="E637" s="6" t="str">
        <x:v>2024-12</x:v>
      </x:c>
      <x:c r="F637" s="6" t="str">
        <x:v>1852</x:v>
      </x:c>
      <x:c r="G637" s="6" t="str">
        <x:v>622</x:v>
      </x:c>
      <x:c r="H637" s="6" t="str">
        <x:v>906</x:v>
      </x:c>
      <x:c r="I637" s="6" t="str">
        <x:v>193</x:v>
      </x:c>
      <x:c r="J637" s="6" t="str">
        <x:v>120</x:v>
      </x:c>
      <x:c r="K637" s="6" t="str">
        <x:v>3</x:v>
      </x:c>
      <x:c r="L637" s="6" t="str">
        <x:v>0</x:v>
      </x:c>
      <x:c r="M637" s="6" t="str">
        <x:v>8</x:v>
      </x:c>
      <x:c r="N637" s="6" t="str">
        <x:v>1852</x:v>
      </x:c>
      <x:c r="O637" s="6" t="str">
        <x:v>0</x:v>
      </x:c>
      <x:c r="P637" s="10" t="n">
        <x:f>F637-M637</x:f>
        <x:v>1844</x:v>
      </x:c>
      <x:c r="Q637" s="11" t="n">
        <x:f>IFERROR(M637/F637,"")</x:f>
        <x:v>0.004319654427645789</x:v>
      </x:c>
      <x:c r="R637" s="10" t="n">
        <x:f>G637+H637</x:f>
        <x:v>1528</x:v>
      </x:c>
      <x:c r="S637" s="11" t="n">
        <x:f>IFERROR(R637/F637,"")</x:f>
        <x:v>0.8250539956803455</x:v>
      </x:c>
      <x:c r="T637" s="11" t="n">
        <x:f>IFERROR(R637/P637,"")</x:f>
        <x:v>0.8286334056399133</x:v>
      </x:c>
      <x:c r="U637" s="10" t="n">
        <x:f>I637+J637+K637</x:f>
        <x:v>316</x:v>
      </x:c>
      <x:c r="V637" s="11" t="n">
        <x:f>IFERROR(U637/P637,"")</x:f>
        <x:v>0.17136659436008678</x:v>
      </x:c>
      <x:c r="W637" s="9" t="str">
        <x:v>mature_le_5pct_pending</x:v>
      </x:c>
      <x:c r="X637" s="12" t="n">
        <x:f>IFERROR(F637/Z637*100000,"")</x:f>
        <x:v>19.570133355876322</x:v>
      </x:c>
      <x:c r="Y637" s="13" t="n">
        <x:f>LN(Z637)</x:f>
        <x:v>16.06294228449029</x:v>
      </x:c>
      <x:c r="Z637" s="6" t="str">
        <x:v>9463400</x:v>
      </x:c>
      <x:c r="AA637" s="6" t="str">
        <x:v>209.0</x:v>
      </x:c>
      <x:c r="AB637" s="9" t="str">
        <x:v>2024-06-30</x:v>
      </x:c>
      <x:c r="AC637" s="8" t="str">
        <x:v>93.83</x:v>
      </x:c>
      <x:c r="AD637" s="9" t="str">
        <x:v>2024 (Susenas)</x:v>
      </x:c>
      <x:c r="AE637" s="8" t="str">
        <x:v>8.06</x:v>
      </x:c>
      <x:c r="AF637" s="9" t="str">
        <x:v>Maret 2024 (Susenas)</x:v>
      </x:c>
      <x:c r="AG637" s="6" t="str">
        <x:v>24.038926247712435</x:v>
      </x:c>
      <x:c r="AH637" s="8" t="str">
        <x:v>88.0175513867742</x:v>
      </x:c>
      <x:c r="AI637" s="6" t="str">
        <x:v>436.6708927744497</x:v>
      </x:c>
      <x:c r="AJ637" s="6" t="str">
        <x:v>0.2990964976694563</x:v>
      </x:c>
      <x:c r="AK637" s="8" t="str">
        <x:v>0.5939394195044861</x:v>
      </x:c>
      <x:c r="AL637" s="6" t="str">
        <x:v>0.7376715107121458</x:v>
      </x:c>
      <x:c r="AM637" s="6" t="str">
        <x:v>2.16089532165928</x:v>
      </x:c>
      <x:c r="AN637" s="6" t="str">
        <x:v>1.1641687506253042</x:v>
      </x:c>
      <x:c r="AO637" s="6" t="str">
        <x:v>1.3338376766623412</x:v>
      </x:c>
      <x:c r="AP637" s="8" t="str">
        <x:v>0.5705554700183728</x:v>
      </x:c>
      <x:c r="AQ637" s="6" t="str">
        <x:v>0.5579124199631713</x:v>
      </x:c>
      <x:c r="AR637" s="6" t="str">
        <x:v>0.2472741611148346</x:v>
      </x:c>
      <x:c r="AS637" s="6" t="str">
        <x:v>0.4585806836987922</x:v>
      </x:c>
      <x:c r="AT637" s="6" t="str">
        <x:v>111.16421687835036</x:v>
      </x:c>
      <x:c r="AU637" s="8" t="str">
        <x:v>1.1300176254556178</x:v>
      </x:c>
      <x:c r="AV637" s="6" t="str">
        <x:v>0.7394434845578963</x:v>
      </x:c>
      <x:c r="AW637" s="6" t="str">
        <x:v>0.2897500984679682</x:v>
      </x:c>
      <x:c r="AX637" s="6" t="str">
        <x:v>0.7197370694938275</x:v>
      </x:c>
      <x:c r="AY637" s="6" t="str">
        <x:v>1</x:v>
      </x:c>
      <x:c r="AZ637" s="6" t="str">
        <x:v>0</x:v>
      </x:c>
      <x:c r="BA637" s="9" t="str">
        <x:v>grid_cells_within_BIG_polygon</x:v>
      </x:c>
      <x:c r="BB637" s="6" t="str">
        <x:v>10</x:v>
      </x:c>
      <x:c r="BC637" s="6" t="str">
        <x:v>28</x:v>
      </x:c>
      <x:c r="BD637" s="6" t="str">
        <x:v>28</x:v>
      </x:c>
      <x:c r="BE637" s="6" t="str">
        <x:v>18</x:v>
      </x:c>
      <x:c r="BF637" s="6" t="str">
        <x:v>3</x:v>
      </x:c>
      <x:c r="BG637" s="6" t="str">
        <x:v>6</x:v>
      </x:c>
      <x:c r="BH637" s="6" t="str">
        <x:v>0</x:v>
      </x:c>
      <x:c r="BI637" s="6" t="str">
        <x:v>0</x:v>
      </x:c>
      <x:c r="BJ637" s="6" t="str">
        <x:v>1</x:v>
      </x:c>
      <x:c r="BK637" s="6" t="str">
        <x:v>0</x:v>
      </x:c>
      <x:c r="BL637" s="6" t="str">
        <x:v>0</x:v>
      </x:c>
      <x:c r="BM637" s="6" t="str">
        <x:v>0</x:v>
      </x:c>
      <x:c r="BN637" s="6" t="str">
        <x:v>28</x:v>
      </x:c>
      <x:c r="BO637" s="6" t="str">
        <x:v>2.0</x:v>
      </x:c>
      <x:c r="BP637" s="6" t="str">
        <x:v>28</x:v>
      </x:c>
      <x:c r="BQ637" s="6" t="str">
        <x:v>0.0</x:v>
      </x:c>
      <x:c r="BR637" s="6" t="str">
        <x:v>28</x:v>
      </x:c>
      <x:c r="BS637" s="6" t="str">
        <x:v>197.0</x:v>
      </x:c>
      <x:c r="BT637" s="6" t="str">
        <x:v>28</x:v>
      </x:c>
      <x:c r="BU637" s="6" t="str">
        <x:v>25673.0</x:v>
      </x:c>
      <x:c r="BV637" s="6" t="str">
        <x:v>14</x:v>
      </x:c>
      <x:c r="BW637" s="9" t="str">
        <x:v>operational_snapshot_annual_totals_may_differ</x:v>
      </x:c>
      <x:c r="BX637" s="9" t="str">
        <x:v>official_live_dashboard_snapshot_subject_to_revision</x:v>
      </x:c>
      <x:c r="BY637" s="9" t="str">
        <x:v>https://tbdashboard.sitb.id/ss_data_tbc03so_2024_provinsi_bulanan_list.php</x:v>
      </x:c>
      <x:c r="BZ637" s="6" t="n">
        <x:v>46246.610671296294</x:v>
      </x:c>
    </x:row>
    <x:row r="638" ht="18" customHeight="1">
      <x:c r="A638" s="6" t="str">
        <x:v>73</x:v>
      </x:c>
      <x:c r="B638" s="6" t="str">
        <x:v>SULAWESI SELATAN</x:v>
      </x:c>
      <x:c r="C638" s="6" t="str">
        <x:v>2025</x:v>
      </x:c>
      <x:c r="D638" s="6" t="str">
        <x:v>1</x:v>
      </x:c>
      <x:c r="E638" s="6" t="str">
        <x:v>2025-01</x:v>
      </x:c>
      <x:c r="F638" s="6" t="str">
        <x:v>2140</x:v>
      </x:c>
      <x:c r="G638" s="6" t="str">
        <x:v>751</x:v>
      </x:c>
      <x:c r="H638" s="6" t="str">
        <x:v>1002</x:v>
      </x:c>
      <x:c r="I638" s="6" t="str">
        <x:v>207</x:v>
      </x:c>
      <x:c r="J638" s="6" t="str">
        <x:v>121</x:v>
      </x:c>
      <x:c r="K638" s="6" t="str">
        <x:v>3</x:v>
      </x:c>
      <x:c r="L638" s="6" t="str">
        <x:v>2</x:v>
      </x:c>
      <x:c r="M638" s="6" t="str">
        <x:v>54</x:v>
      </x:c>
      <x:c r="N638" s="6" t="str">
        <x:v>2140</x:v>
      </x:c>
      <x:c r="O638" s="6" t="str">
        <x:v>0</x:v>
      </x:c>
      <x:c r="P638" s="10" t="n">
        <x:f>F638-M638</x:f>
        <x:v>2086</x:v>
      </x:c>
      <x:c r="Q638" s="11" t="n">
        <x:f>IFERROR(M638/F638,"")</x:f>
        <x:v>0.025233644859813085</x:v>
      </x:c>
      <x:c r="R638" s="10" t="n">
        <x:f>G638+H638</x:f>
        <x:v>1753</x:v>
      </x:c>
      <x:c r="S638" s="11" t="n">
        <x:f>IFERROR(R638/F638,"")</x:f>
        <x:v>0.819158878504673</x:v>
      </x:c>
      <x:c r="T638" s="11" t="n">
        <x:f>IFERROR(R638/P638,"")</x:f>
        <x:v>0.8403643336529243</x:v>
      </x:c>
      <x:c r="U638" s="10" t="n">
        <x:f>I638+J638+K638</x:f>
        <x:v>331</x:v>
      </x:c>
      <x:c r="V638" s="11" t="n">
        <x:f>IFERROR(U638/P638,"")</x:f>
        <x:v>0.15867689357622244</x:v>
      </x:c>
      <x:c r="W638" s="9" t="str">
        <x:v>mature_le_5pct_pending</x:v>
      </x:c>
      <x:c r="X638" s="12" t="n">
        <x:f>IFERROR(F638/Z638*100000,"")</x:f>
        <x:v>22.37768087753971</x:v>
      </x:c>
      <x:c r="Y638" s="13" t="n">
        <x:f>LN(Z638)</x:f>
        <x:v>16.073422500246576</x:v>
      </x:c>
      <x:c r="Z638" s="6" t="str">
        <x:v>9563100</x:v>
      </x:c>
      <x:c r="AA638" s="6" t="str">
        <x:v>211.0</x:v>
      </x:c>
      <x:c r="AB638" s="9" t="str">
        <x:v>2025-06-30</x:v>
      </x:c>
      <x:c r="AC638" s="8" t="str">
        <x:v>94.19</x:v>
      </x:c>
      <x:c r="AD638" s="9" t="str">
        <x:v>2025 (Susenas)</x:v>
      </x:c>
      <x:c r="AE638" s="8" t="str">
        <x:v>7.6</x:v>
      </x:c>
      <x:c r="AF638" s="9" t="str">
        <x:v>Maret 2025 (Susenas)</x:v>
      </x:c>
      <x:c r="AG638" s="6" t="str">
        <x:v>23.73796830124931</x:v>
      </x:c>
      <x:c r="AH638" s="8" t="str">
        <x:v>88.6024384472565</x:v>
      </x:c>
      <x:c r="AI638" s="6" t="str">
        <x:v>336.3892209663557</x:v>
      </x:c>
      <x:c r="AJ638" s="6" t="str">
        <x:v>0.3604817930203374</x:v>
      </x:c>
      <x:c r="AK638" s="8" t="str">
        <x:v>0.7857130782993085</x:v>
      </x:c>
      <x:c r="AL638" s="6" t="str">
        <x:v>0.5939394195044861</x:v>
      </x:c>
      <x:c r="AM638" s="6" t="str">
        <x:v>0.7376715107121458</x:v>
      </x:c>
      <x:c r="AN638" s="6" t="str">
        <x:v>0.7057746695053138</x:v>
      </x:c>
      <x:c r="AO638" s="6" t="str">
        <x:v>0.8073460903203227</x:v>
      </x:c>
      <x:c r="AP638" s="8" t="str">
        <x:v>0.4926367359221905</x:v>
      </x:c>
      <x:c r="AQ638" s="6" t="str">
        <x:v>0.5705554700183728</x:v>
      </x:c>
      <x:c r="AR638" s="6" t="str">
        <x:v>0.5579124199631713</x:v>
      </x:c>
      <x:c r="AS638" s="6" t="str">
        <x:v>0.5403682086345775</x:v>
      </x:c>
      <x:c r="AT638" s="6" t="str">
        <x:v>1.8785366947523696</x:v>
      </x:c>
      <x:c r="AU638" s="8" t="str">
        <x:v>0.0174023637226684</x:v>
      </x:c>
      <x:c r="AV638" s="6" t="str">
        <x:v>1.1300176254556178</x:v>
      </x:c>
      <x:c r="AW638" s="6" t="str">
        <x:v>0.7394434845578963</x:v>
      </x:c>
      <x:c r="AX638" s="6" t="str">
        <x:v>0.6289544912453943</x:v>
      </x:c>
      <x:c r="AY638" s="6" t="str">
        <x:v>0</x:v>
      </x:c>
      <x:c r="AZ638" s="6" t="str">
        <x:v>0</x:v>
      </x:c>
      <x:c r="BA638" s="9" t="str">
        <x:v>grid_cells_within_BIG_polygon</x:v>
      </x:c>
      <x:c r="BB638" s="6" t="str">
        <x:v>10</x:v>
      </x:c>
      <x:c r="BC638" s="6" t="str">
        <x:v>14</x:v>
      </x:c>
      <x:c r="BD638" s="6" t="str">
        <x:v>14</x:v>
      </x:c>
      <x:c r="BE638" s="6" t="str">
        <x:v>9</x:v>
      </x:c>
      <x:c r="BF638" s="6" t="str">
        <x:v>3</x:v>
      </x:c>
      <x:c r="BG638" s="6" t="str">
        <x:v>1</x:v>
      </x:c>
      <x:c r="BH638" s="6" t="str">
        <x:v>0</x:v>
      </x:c>
      <x:c r="BI638" s="6" t="str">
        <x:v>0</x:v>
      </x:c>
      <x:c r="BJ638" s="6" t="str">
        <x:v>1</x:v>
      </x:c>
      <x:c r="BK638" s="6" t="str">
        <x:v>0</x:v>
      </x:c>
      <x:c r="BL638" s="6" t="str">
        <x:v>0</x:v>
      </x:c>
      <x:c r="BM638" s="6" t="str">
        <x:v>0</x:v>
      </x:c>
      <x:c r="BN638" s="6" t="str">
        <x:v>14</x:v>
      </x:c>
      <x:c r="BO638" s="6" t="str">
        <x:v>4.0</x:v>
      </x:c>
      <x:c r="BP638" s="6" t="str">
        <x:v>14</x:v>
      </x:c>
      <x:c r="BQ638" s="6" t="str">
        <x:v>6.0</x:v>
      </x:c>
      <x:c r="BR638" s="6" t="str">
        <x:v>14</x:v>
      </x:c>
      <x:c r="BS638" s="6" t="str">
        <x:v>33.0</x:v>
      </x:c>
      <x:c r="BT638" s="6" t="str">
        <x:v>14</x:v>
      </x:c>
      <x:c r="BU638" s="6" t="str">
        <x:v>1002.0</x:v>
      </x:c>
      <x:c r="BV638" s="6" t="str">
        <x:v>9</x:v>
      </x:c>
      <x:c r="BW638" s="9" t="str">
        <x:v>operational_snapshot_annual_totals_may_differ</x:v>
      </x:c>
      <x:c r="BX638" s="9" t="str">
        <x:v>official_live_dashboard_snapshot_subject_to_revision</x:v>
      </x:c>
      <x:c r="BY638" s="9" t="str">
        <x:v>https://tbdashboard.sitb.id/ss_data_tbc03so_2025_provinsi_bulanan_list.php</x:v>
      </x:c>
      <x:c r="BZ638" s="6" t="n">
        <x:v>46246.610671296294</x:v>
      </x:c>
    </x:row>
    <x:row r="639" ht="18" customHeight="1">
      <x:c r="A639" s="6" t="str">
        <x:v>73</x:v>
      </x:c>
      <x:c r="B639" s="6" t="str">
        <x:v>SULAWESI SELATAN</x:v>
      </x:c>
      <x:c r="C639" s="6" t="str">
        <x:v>2025</x:v>
      </x:c>
      <x:c r="D639" s="6" t="str">
        <x:v>2</x:v>
      </x:c>
      <x:c r="E639" s="6" t="str">
        <x:v>2025-02</x:v>
      </x:c>
      <x:c r="F639" s="6" t="str">
        <x:v>2420</x:v>
      </x:c>
      <x:c r="G639" s="6" t="str">
        <x:v>763</x:v>
      </x:c>
      <x:c r="H639" s="6" t="str">
        <x:v>1198</x:v>
      </x:c>
      <x:c r="I639" s="6" t="str">
        <x:v>252</x:v>
      </x:c>
      <x:c r="J639" s="6" t="str">
        <x:v>145</x:v>
      </x:c>
      <x:c r="K639" s="6" t="str">
        <x:v>4</x:v>
      </x:c>
      <x:c r="L639" s="6" t="str">
        <x:v>3</x:v>
      </x:c>
      <x:c r="M639" s="6" t="str">
        <x:v>55</x:v>
      </x:c>
      <x:c r="N639" s="6" t="str">
        <x:v>2420</x:v>
      </x:c>
      <x:c r="O639" s="6" t="str">
        <x:v>0</x:v>
      </x:c>
      <x:c r="P639" s="10" t="n">
        <x:f>F639-M639</x:f>
        <x:v>2365</x:v>
      </x:c>
      <x:c r="Q639" s="11" t="n">
        <x:f>IFERROR(M639/F639,"")</x:f>
        <x:v>0.022727272727272728</x:v>
      </x:c>
      <x:c r="R639" s="10" t="n">
        <x:f>G639+H639</x:f>
        <x:v>1961</x:v>
      </x:c>
      <x:c r="S639" s="11" t="n">
        <x:f>IFERROR(R639/F639,"")</x:f>
        <x:v>0.8103305785123966</x:v>
      </x:c>
      <x:c r="T639" s="11" t="n">
        <x:f>IFERROR(R639/P639,"")</x:f>
        <x:v>0.8291754756871036</x:v>
      </x:c>
      <x:c r="U639" s="10" t="n">
        <x:f>I639+J639+K639</x:f>
        <x:v>401</x:v>
      </x:c>
      <x:c r="V639" s="11" t="n">
        <x:f>IFERROR(U639/P639,"")</x:f>
        <x:v>0.16955602536997885</x:v>
      </x:c>
      <x:c r="W639" s="9" t="str">
        <x:v>mature_le_5pct_pending</x:v>
      </x:c>
      <x:c r="X639" s="12" t="n">
        <x:f>IFERROR(F639/Z639*100000,"")</x:f>
        <x:v>25.305601740021544</x:v>
      </x:c>
      <x:c r="Y639" s="13" t="n">
        <x:f>LN(Z639)</x:f>
        <x:v>16.073422500246576</x:v>
      </x:c>
      <x:c r="Z639" s="6" t="str">
        <x:v>9563100</x:v>
      </x:c>
      <x:c r="AA639" s="6" t="str">
        <x:v>211.0</x:v>
      </x:c>
      <x:c r="AB639" s="9" t="str">
        <x:v>2025-06-30</x:v>
      </x:c>
      <x:c r="AC639" s="8" t="str">
        <x:v>94.19</x:v>
      </x:c>
      <x:c r="AD639" s="9" t="str">
        <x:v>2025 (Susenas)</x:v>
      </x:c>
      <x:c r="AE639" s="8" t="str">
        <x:v>7.6</x:v>
      </x:c>
      <x:c r="AF639" s="9" t="str">
        <x:v>Maret 2025 (Susenas)</x:v>
      </x:c>
      <x:c r="AG639" s="6" t="str">
        <x:v>23.676823170816373</x:v>
      </x:c>
      <x:c r="AH639" s="8" t="str">
        <x:v>86.27745928158787</x:v>
      </x:c>
      <x:c r="AI639" s="6" t="str">
        <x:v>246.260290989827</x:v>
      </x:c>
      <x:c r="AJ639" s="6" t="str">
        <x:v>0.2334339362701385</x:v>
      </x:c>
      <x:c r="AK639" s="8" t="str">
        <x:v>0.5499482371248728</x:v>
      </x:c>
      <x:c r="AL639" s="6" t="str">
        <x:v>0.7857130782993085</x:v>
      </x:c>
      <x:c r="AM639" s="6" t="str">
        <x:v>0.5939394195044861</x:v>
      </x:c>
      <x:c r="AN639" s="6" t="str">
        <x:v>0.6432002449762227</x:v>
      </x:c>
      <x:c r="AO639" s="6" t="str">
        <x:v>-1.3794963513928735</x:v>
      </x:c>
      <x:c r="AP639" s="8" t="str">
        <x:v>-1.136801593044367</x:v>
      </x:c>
      <x:c r="AQ639" s="6" t="str">
        <x:v>0.4926367359221905</x:v>
      </x:c>
      <x:c r="AR639" s="6" t="str">
        <x:v>0.5705554700183728</x:v>
      </x:c>
      <x:c r="AS639" s="6" t="str">
        <x:v>-0.0245364623679353</x:v>
      </x:c>
      <x:c r="AT639" s="6" t="str">
        <x:v>-36.55893877927832</x:v>
      </x:c>
      <x:c r="AU639" s="8" t="str">
        <x:v>-0.3653192700736141</x:v>
      </x:c>
      <x:c r="AV639" s="6" t="str">
        <x:v>0.0174023637226684</x:v>
      </x:c>
      <x:c r="AW639" s="6" t="str">
        <x:v>1.1300176254556178</x:v>
      </x:c>
      <x:c r="AX639" s="6" t="str">
        <x:v>0.2607002397015575</x:v>
      </x:c>
      <x:c r="AY639" s="6" t="str">
        <x:v>0</x:v>
      </x:c>
      <x:c r="AZ639" s="6" t="str">
        <x:v>0</x:v>
      </x:c>
      <x:c r="BA639" s="9" t="str">
        <x:v>grid_cells_within_BIG_polygon</x:v>
      </x:c>
      <x:c r="BB639" s="6" t="str">
        <x:v>10</x:v>
      </x:c>
      <x:c r="BC639" s="6" t="str">
        <x:v>35</x:v>
      </x:c>
      <x:c r="BD639" s="6" t="str">
        <x:v>35</x:v>
      </x:c>
      <x:c r="BE639" s="6" t="str">
        <x:v>9</x:v>
      </x:c>
      <x:c r="BF639" s="6" t="str">
        <x:v>1</x:v>
      </x:c>
      <x:c r="BG639" s="6" t="str">
        <x:v>24</x:v>
      </x:c>
      <x:c r="BH639" s="6" t="str">
        <x:v>0</x:v>
      </x:c>
      <x:c r="BI639" s="6" t="str">
        <x:v>0</x:v>
      </x:c>
      <x:c r="BJ639" s="6" t="str">
        <x:v>1</x:v>
      </x:c>
      <x:c r="BK639" s="6" t="str">
        <x:v>0</x:v>
      </x:c>
      <x:c r="BL639" s="6" t="str">
        <x:v>0</x:v>
      </x:c>
      <x:c r="BM639" s="6" t="str">
        <x:v>0</x:v>
      </x:c>
      <x:c r="BN639" s="6" t="str">
        <x:v>35</x:v>
      </x:c>
      <x:c r="BO639" s="6" t="str">
        <x:v>2.0</x:v>
      </x:c>
      <x:c r="BP639" s="6" t="str">
        <x:v>35</x:v>
      </x:c>
      <x:c r="BQ639" s="6" t="str">
        <x:v>0.0</x:v>
      </x:c>
      <x:c r="BR639" s="6" t="str">
        <x:v>35</x:v>
      </x:c>
      <x:c r="BS639" s="6" t="str">
        <x:v>422.0</x:v>
      </x:c>
      <x:c r="BT639" s="6" t="str">
        <x:v>35</x:v>
      </x:c>
      <x:c r="BU639" s="6" t="str">
        <x:v>3391.0</x:v>
      </x:c>
      <x:c r="BV639" s="6" t="str">
        <x:v>9</x:v>
      </x:c>
      <x:c r="BW639" s="9" t="str">
        <x:v>operational_snapshot_annual_totals_may_differ</x:v>
      </x:c>
      <x:c r="BX639" s="9" t="str">
        <x:v>official_live_dashboard_snapshot_subject_to_revision</x:v>
      </x:c>
      <x:c r="BY639" s="9" t="str">
        <x:v>https://tbdashboard.sitb.id/ss_data_tbc03so_2025_provinsi_bulanan_list.php</x:v>
      </x:c>
      <x:c r="BZ639" s="6" t="n">
        <x:v>46246.610671296294</x:v>
      </x:c>
    </x:row>
    <x:row r="640" ht="18" customHeight="1">
      <x:c r="A640" s="6" t="str">
        <x:v>73</x:v>
      </x:c>
      <x:c r="B640" s="6" t="str">
        <x:v>SULAWESI SELATAN</x:v>
      </x:c>
      <x:c r="C640" s="6" t="str">
        <x:v>2025</x:v>
      </x:c>
      <x:c r="D640" s="6" t="str">
        <x:v>3</x:v>
      </x:c>
      <x:c r="E640" s="6" t="str">
        <x:v>2025-03</x:v>
      </x:c>
      <x:c r="F640" s="6" t="str">
        <x:v>2191</x:v>
      </x:c>
      <x:c r="G640" s="6" t="str">
        <x:v>705</x:v>
      </x:c>
      <x:c r="H640" s="6" t="str">
        <x:v>1116</x:v>
      </x:c>
      <x:c r="I640" s="6" t="str">
        <x:v>195</x:v>
      </x:c>
      <x:c r="J640" s="6" t="str">
        <x:v>111</x:v>
      </x:c>
      <x:c r="K640" s="6" t="str">
        <x:v>2</x:v>
      </x:c>
      <x:c r="L640" s="6" t="str">
        <x:v>1</x:v>
      </x:c>
      <x:c r="M640" s="6" t="str">
        <x:v>61</x:v>
      </x:c>
      <x:c r="N640" s="6" t="str">
        <x:v>2191</x:v>
      </x:c>
      <x:c r="O640" s="6" t="str">
        <x:v>0</x:v>
      </x:c>
      <x:c r="P640" s="10" t="n">
        <x:f>F640-M640</x:f>
        <x:v>2130</x:v>
      </x:c>
      <x:c r="Q640" s="11" t="n">
        <x:f>IFERROR(M640/F640,"")</x:f>
        <x:v>0.02784116841624829</x:v>
      </x:c>
      <x:c r="R640" s="10" t="n">
        <x:f>G640+H640</x:f>
        <x:v>1821</x:v>
      </x:c>
      <x:c r="S640" s="11" t="n">
        <x:f>IFERROR(R640/F640,"")</x:f>
        <x:v>0.8311273391145596</x:v>
      </x:c>
      <x:c r="T640" s="11" t="n">
        <x:f>IFERROR(R640/P640,"")</x:f>
        <x:v>0.8549295774647887</x:v>
      </x:c>
      <x:c r="U640" s="10" t="n">
        <x:f>I640+J640+K640</x:f>
        <x:v>308</x:v>
      </x:c>
      <x:c r="V640" s="11" t="n">
        <x:f>IFERROR(U640/P640,"")</x:f>
        <x:v>0.14460093896713616</x:v>
      </x:c>
      <x:c r="W640" s="9" t="str">
        <x:v>mature_le_5pct_pending</x:v>
      </x:c>
      <x:c r="X640" s="12" t="n">
        <x:f>IFERROR(F640/Z640*100000,"")</x:f>
        <x:v>22.91098074892033</x:v>
      </x:c>
      <x:c r="Y640" s="13" t="n">
        <x:f>LN(Z640)</x:f>
        <x:v>16.073422500246576</x:v>
      </x:c>
      <x:c r="Z640" s="6" t="str">
        <x:v>9563100</x:v>
      </x:c>
      <x:c r="AA640" s="6" t="str">
        <x:v>211.0</x:v>
      </x:c>
      <x:c r="AB640" s="9" t="str">
        <x:v>2025-06-30</x:v>
      </x:c>
      <x:c r="AC640" s="8" t="str">
        <x:v>94.19</x:v>
      </x:c>
      <x:c r="AD640" s="9" t="str">
        <x:v>2025 (Susenas)</x:v>
      </x:c>
      <x:c r="AE640" s="8" t="str">
        <x:v>7.6</x:v>
      </x:c>
      <x:c r="AF640" s="9" t="str">
        <x:v>Maret 2025 (Susenas)</x:v>
      </x:c>
      <x:c r="AG640" s="6" t="str">
        <x:v>24.077766457252064</x:v>
      </x:c>
      <x:c r="AH640" s="8" t="str">
        <x:v>86.80208923810865</x:v>
      </x:c>
      <x:c r="AI640" s="6" t="str">
        <x:v>237.50509709045403</x:v>
      </x:c>
      <x:c r="AJ640" s="6" t="str">
        <x:v>0.4618842662522517</x:v>
      </x:c>
      <x:c r="AK640" s="8" t="str">
        <x:v>1.1341530927920904</x:v>
      </x:c>
      <x:c r="AL640" s="6" t="str">
        <x:v>0.5499482371248728</x:v>
      </x:c>
      <x:c r="AM640" s="6" t="str">
        <x:v>0.7857130782993085</x:v>
      </x:c>
      <x:c r="AN640" s="6" t="str">
        <x:v>0.8232714694054243</x:v>
      </x:c>
      <x:c r="AO640" s="6" t="str">
        <x:v>-0.6468724687130276</x:v>
      </x:c>
      <x:c r="AP640" s="8" t="str">
        <x:v>-0.6169189901901005</x:v>
      </x:c>
      <x:c r="AQ640" s="6" t="str">
        <x:v>-1.136801593044367</x:v>
      </x:c>
      <x:c r="AR640" s="6" t="str">
        <x:v>0.4926367359221905</x:v>
      </x:c>
      <x:c r="AS640" s="6" t="str">
        <x:v>-0.4203612824374264</x:v>
      </x:c>
      <x:c r="AT640" s="6" t="str">
        <x:v>-52.92112521952399</x:v>
      </x:c>
      <x:c r="AU640" s="8" t="str">
        <x:v>-0.630579431676138</x:v>
      </x:c>
      <x:c r="AV640" s="6" t="str">
        <x:v>-0.3653192700736141</x:v>
      </x:c>
      <x:c r="AW640" s="6" t="str">
        <x:v>0.0174023637226684</x:v>
      </x:c>
      <x:c r="AX640" s="6" t="str">
        <x:v>-0.3261654460090277</x:v>
      </x:c>
      <x:c r="AY640" s="6" t="str">
        <x:v>0</x:v>
      </x:c>
      <x:c r="AZ640" s="6" t="str">
        <x:v>1</x:v>
      </x:c>
      <x:c r="BA640" s="9" t="str">
        <x:v>grid_cells_within_BIG_polygon</x:v>
      </x:c>
      <x:c r="BB640" s="6" t="str">
        <x:v>10</x:v>
      </x:c>
      <x:c r="BC640" s="6" t="str">
        <x:v>11</x:v>
      </x:c>
      <x:c r="BD640" s="6" t="str">
        <x:v>11</x:v>
      </x:c>
      <x:c r="BE640" s="6" t="str">
        <x:v>6</x:v>
      </x:c>
      <x:c r="BF640" s="6" t="str">
        <x:v>1</x:v>
      </x:c>
      <x:c r="BG640" s="6" t="str">
        <x:v>4</x:v>
      </x:c>
      <x:c r="BH640" s="6" t="str">
        <x:v>0</x:v>
      </x:c>
      <x:c r="BI640" s="6" t="str">
        <x:v>0</x:v>
      </x:c>
      <x:c r="BJ640" s="6" t="str">
        <x:v>0</x:v>
      </x:c>
      <x:c r="BK640" s="6" t="str">
        <x:v>0</x:v>
      </x:c>
      <x:c r="BL640" s="6" t="str">
        <x:v>0</x:v>
      </x:c>
      <x:c r="BM640" s="6" t="str">
        <x:v>0</x:v>
      </x:c>
      <x:c r="BN640" s="6" t="str">
        <x:v>11</x:v>
      </x:c>
      <x:c r="BO640" s="6" t="str">
        <x:v>0.0</x:v>
      </x:c>
      <x:c r="BP640" s="6" t="str">
        <x:v>11</x:v>
      </x:c>
      <x:c r="BQ640" s="6" t="str">
        <x:v>0.0</x:v>
      </x:c>
      <x:c r="BR640" s="6" t="str">
        <x:v>11</x:v>
      </x:c>
      <x:c r="BS640" s="6" t="str">
        <x:v>23.0</x:v>
      </x:c>
      <x:c r="BT640" s="6" t="str">
        <x:v>11</x:v>
      </x:c>
      <x:c r="BU640" s="6" t="str">
        <x:v>1314.0</x:v>
      </x:c>
      <x:c r="BV640" s="6" t="str">
        <x:v>5</x:v>
      </x:c>
      <x:c r="BW640" s="9" t="str">
        <x:v>operational_snapshot_annual_totals_may_differ</x:v>
      </x:c>
      <x:c r="BX640" s="9" t="str">
        <x:v>official_live_dashboard_snapshot_subject_to_revision</x:v>
      </x:c>
      <x:c r="BY640" s="9" t="str">
        <x:v>https://tbdashboard.sitb.id/ss_data_tbc03so_2025_provinsi_bulanan_list.php</x:v>
      </x:c>
      <x:c r="BZ640" s="6" t="n">
        <x:v>46246.610671296294</x:v>
      </x:c>
    </x:row>
    <x:row r="641" ht="18" customHeight="1">
      <x:c r="A641" s="6" t="str">
        <x:v>73</x:v>
      </x:c>
      <x:c r="B641" s="6" t="str">
        <x:v>SULAWESI SELATAN</x:v>
      </x:c>
      <x:c r="C641" s="6" t="str">
        <x:v>2025</x:v>
      </x:c>
      <x:c r="D641" s="6" t="str">
        <x:v>4</x:v>
      </x:c>
      <x:c r="E641" s="6" t="str">
        <x:v>2025-04</x:v>
      </x:c>
      <x:c r="F641" s="6" t="str">
        <x:v>2057</x:v>
      </x:c>
      <x:c r="G641" s="6" t="str">
        <x:v>614</x:v>
      </x:c>
      <x:c r="H641" s="6" t="str">
        <x:v>1012</x:v>
      </x:c>
      <x:c r="I641" s="6" t="str">
        <x:v>228</x:v>
      </x:c>
      <x:c r="J641" s="6" t="str">
        <x:v>136</x:v>
      </x:c>
      <x:c r="K641" s="6" t="str">
        <x:v>5</x:v>
      </x:c>
      <x:c r="L641" s="6" t="str">
        <x:v>1</x:v>
      </x:c>
      <x:c r="M641" s="6" t="str">
        <x:v>61</x:v>
      </x:c>
      <x:c r="N641" s="6" t="str">
        <x:v>2057</x:v>
      </x:c>
      <x:c r="O641" s="6" t="str">
        <x:v>0</x:v>
      </x:c>
      <x:c r="P641" s="10" t="n">
        <x:f>F641-M641</x:f>
        <x:v>1996</x:v>
      </x:c>
      <x:c r="Q641" s="11" t="n">
        <x:f>IFERROR(M641/F641,"")</x:f>
        <x:v>0.029654837141468156</x:v>
      </x:c>
      <x:c r="R641" s="10" t="n">
        <x:f>G641+H641</x:f>
        <x:v>1626</x:v>
      </x:c>
      <x:c r="S641" s="11" t="n">
        <x:f>IFERROR(R641/F641,"")</x:f>
        <x:v>0.7904715605250364</x:v>
      </x:c>
      <x:c r="T641" s="11" t="n">
        <x:f>IFERROR(R641/P641,"")</x:f>
        <x:v>0.814629258517034</x:v>
      </x:c>
      <x:c r="U641" s="10" t="n">
        <x:f>I641+J641+K641</x:f>
        <x:v>369</x:v>
      </x:c>
      <x:c r="V641" s="11" t="n">
        <x:f>IFERROR(U641/P641,"")</x:f>
        <x:v>0.1848697394789579</x:v>
      </x:c>
      <x:c r="W641" s="9" t="str">
        <x:v>mature_le_5pct_pending</x:v>
      </x:c>
      <x:c r="X641" s="12" t="n">
        <x:f>IFERROR(F641/Z641*100000,"")</x:f>
        <x:v>21.50976147901831</x:v>
      </x:c>
      <x:c r="Y641" s="13" t="n">
        <x:f>LN(Z641)</x:f>
        <x:v>16.073422500246576</x:v>
      </x:c>
      <x:c r="Z641" s="6" t="str">
        <x:v>9563100</x:v>
      </x:c>
      <x:c r="AA641" s="6" t="str">
        <x:v>211.0</x:v>
      </x:c>
      <x:c r="AB641" s="9" t="str">
        <x:v>2025-06-30</x:v>
      </x:c>
      <x:c r="AC641" s="8" t="str">
        <x:v>94.19</x:v>
      </x:c>
      <x:c r="AD641" s="9" t="str">
        <x:v>2025 (Susenas)</x:v>
      </x:c>
      <x:c r="AE641" s="8" t="str">
        <x:v>7.6</x:v>
      </x:c>
      <x:c r="AF641" s="9" t="str">
        <x:v>Maret 2025 (Susenas)</x:v>
      </x:c>
      <x:c r="AG641" s="6" t="str">
        <x:v>24.047572385487424</x:v>
      </x:c>
      <x:c r="AH641" s="8" t="str">
        <x:v>86.0812727541459</x:v>
      </x:c>
      <x:c r="AI641" s="6" t="str">
        <x:v>195.25357178040213</x:v>
      </x:c>
      <x:c r="AJ641" s="6" t="str">
        <x:v>0.328746475713455</x:v>
      </x:c>
      <x:c r="AK641" s="8" t="str">
        <x:v>0.9029249895713312</x:v>
      </x:c>
      <x:c r="AL641" s="6" t="str">
        <x:v>1.1341530927920904</x:v>
      </x:c>
      <x:c r="AM641" s="6" t="str">
        <x:v>0.5499482371248728</x:v>
      </x:c>
      <x:c r="AN641" s="6" t="str">
        <x:v>0.8623421064960984</x:v>
      </x:c>
      <x:c r="AO641" s="6" t="str">
        <x:v>-2.073071570357527</x:v>
      </x:c>
      <x:c r="AP641" s="8" t="str">
        <x:v>-1.9916597221782049</x:v>
      </x:c>
      <x:c r="AQ641" s="6" t="str">
        <x:v>-0.6169189901901005</x:v>
      </x:c>
      <x:c r="AR641" s="6" t="str">
        <x:v>-1.136801593044367</x:v>
      </x:c>
      <x:c r="AS641" s="6" t="str">
        <x:v>-1.248460101804225</x:v>
      </x:c>
      <x:c r="AT641" s="6" t="str">
        <x:v>-92.14754401364657</x:v>
      </x:c>
      <x:c r="AU641" s="8" t="str">
        <x:v>-1.10455881602728</x:v>
      </x:c>
      <x:c r="AV641" s="6" t="str">
        <x:v>-0.630579431676138</x:v>
      </x:c>
      <x:c r="AW641" s="6" t="str">
        <x:v>-0.3653192700736141</x:v>
      </x:c>
      <x:c r="AX641" s="6" t="str">
        <x:v>-0.7001525059256773</x:v>
      </x:c>
      <x:c r="AY641" s="6" t="str">
        <x:v>0</x:v>
      </x:c>
      <x:c r="AZ641" s="6" t="str">
        <x:v>0</x:v>
      </x:c>
      <x:c r="BA641" s="9" t="str">
        <x:v>grid_cells_within_BIG_polygon</x:v>
      </x:c>
      <x:c r="BB641" s="6" t="str">
        <x:v>10</x:v>
      </x:c>
      <x:c r="BC641" s="6" t="str">
        <x:v>11</x:v>
      </x:c>
      <x:c r="BD641" s="6" t="str">
        <x:v>11</x:v>
      </x:c>
      <x:c r="BE641" s="6" t="str">
        <x:v>8</x:v>
      </x:c>
      <x:c r="BF641" s="6" t="str">
        <x:v>1</x:v>
      </x:c>
      <x:c r="BG641" s="6" t="str">
        <x:v>2</x:v>
      </x:c>
      <x:c r="BH641" s="6" t="str">
        <x:v>0</x:v>
      </x:c>
      <x:c r="BI641" s="6" t="str">
        <x:v>0</x:v>
      </x:c>
      <x:c r="BJ641" s="6" t="str">
        <x:v>0</x:v>
      </x:c>
      <x:c r="BK641" s="6" t="str">
        <x:v>0</x:v>
      </x:c>
      <x:c r="BL641" s="6" t="str">
        <x:v>0</x:v>
      </x:c>
      <x:c r="BM641" s="6" t="str">
        <x:v>0</x:v>
      </x:c>
      <x:c r="BN641" s="6" t="str">
        <x:v>11</x:v>
      </x:c>
      <x:c r="BO641" s="6" t="str">
        <x:v>0.0</x:v>
      </x:c>
      <x:c r="BP641" s="6" t="str">
        <x:v>11</x:v>
      </x:c>
      <x:c r="BQ641" s="6" t="str">
        <x:v>0.0</x:v>
      </x:c>
      <x:c r="BR641" s="6" t="str">
        <x:v>11</x:v>
      </x:c>
      <x:c r="BS641" s="6" t="str">
        <x:v>24.0</x:v>
      </x:c>
      <x:c r="BT641" s="6" t="str">
        <x:v>11</x:v>
      </x:c>
      <x:c r="BU641" s="6" t="str">
        <x:v>1959.0</x:v>
      </x:c>
      <x:c r="BV641" s="6" t="str">
        <x:v>8</x:v>
      </x:c>
      <x:c r="BW641" s="9" t="str">
        <x:v>operational_snapshot_annual_totals_may_differ</x:v>
      </x:c>
      <x:c r="BX641" s="9" t="str">
        <x:v>official_live_dashboard_snapshot_subject_to_revision</x:v>
      </x:c>
      <x:c r="BY641" s="9" t="str">
        <x:v>https://tbdashboard.sitb.id/ss_data_tbc03so_2025_provinsi_bulanan_list.php</x:v>
      </x:c>
      <x:c r="BZ641" s="6" t="n">
        <x:v>46246.610671296294</x:v>
      </x:c>
    </x:row>
    <x:row r="642" ht="18" customHeight="1">
      <x:c r="A642" s="6" t="str">
        <x:v>73</x:v>
      </x:c>
      <x:c r="B642" s="6" t="str">
        <x:v>SULAWESI SELATAN</x:v>
      </x:c>
      <x:c r="C642" s="6" t="str">
        <x:v>2025</x:v>
      </x:c>
      <x:c r="D642" s="6" t="str">
        <x:v>5</x:v>
      </x:c>
      <x:c r="E642" s="6" t="str">
        <x:v>2025-05</x:v>
      </x:c>
      <x:c r="F642" s="6" t="str">
        <x:v>2025</x:v>
      </x:c>
      <x:c r="G642" s="6" t="str">
        <x:v>508</x:v>
      </x:c>
      <x:c r="H642" s="6" t="str">
        <x:v>1118</x:v>
      </x:c>
      <x:c r="I642" s="6" t="str">
        <x:v>199</x:v>
      </x:c>
      <x:c r="J642" s="6" t="str">
        <x:v>111</x:v>
      </x:c>
      <x:c r="K642" s="6" t="str">
        <x:v>5</x:v>
      </x:c>
      <x:c r="L642" s="6" t="str">
        <x:v>1</x:v>
      </x:c>
      <x:c r="M642" s="6" t="str">
        <x:v>83</x:v>
      </x:c>
      <x:c r="N642" s="6" t="str">
        <x:v>2025</x:v>
      </x:c>
      <x:c r="O642" s="6" t="str">
        <x:v>0</x:v>
      </x:c>
      <x:c r="P642" s="10" t="n">
        <x:f>F642-M642</x:f>
        <x:v>1942</x:v>
      </x:c>
      <x:c r="Q642" s="11" t="n">
        <x:f>IFERROR(M642/F642,"")</x:f>
        <x:v>0.04098765432098765</x:v>
      </x:c>
      <x:c r="R642" s="10" t="n">
        <x:f>G642+H642</x:f>
        <x:v>1626</x:v>
      </x:c>
      <x:c r="S642" s="11" t="n">
        <x:f>IFERROR(R642/F642,"")</x:f>
        <x:v>0.802962962962963</x:v>
      </x:c>
      <x:c r="T642" s="11" t="n">
        <x:f>IFERROR(R642/P642,"")</x:f>
        <x:v>0.8372811534500515</x:v>
      </x:c>
      <x:c r="U642" s="10" t="n">
        <x:f>I642+J642+K642</x:f>
        <x:v>315</x:v>
      </x:c>
      <x:c r="V642" s="11" t="n">
        <x:f>IFERROR(U642/P642,"")</x:f>
        <x:v>0.16220391349124613</x:v>
      </x:c>
      <x:c r="W642" s="9" t="str">
        <x:v>mature_le_5pct_pending</x:v>
      </x:c>
      <x:c r="X642" s="12" t="n">
        <x:f>IFERROR(F642/Z642*100000,"")</x:f>
        <x:v>21.175141951877528</x:v>
      </x:c>
      <x:c r="Y642" s="13" t="n">
        <x:f>LN(Z642)</x:f>
        <x:v>16.073422500246576</x:v>
      </x:c>
      <x:c r="Z642" s="6" t="str">
        <x:v>9563100</x:v>
      </x:c>
      <x:c r="AA642" s="6" t="str">
        <x:v>211.0</x:v>
      </x:c>
      <x:c r="AB642" s="9" t="str">
        <x:v>2025-06-30</x:v>
      </x:c>
      <x:c r="AC642" s="8" t="str">
        <x:v>94.19</x:v>
      </x:c>
      <x:c r="AD642" s="9" t="str">
        <x:v>2025 (Susenas)</x:v>
      </x:c>
      <x:c r="AE642" s="8" t="str">
        <x:v>7.6</x:v>
      </x:c>
      <x:c r="AF642" s="9" t="str">
        <x:v>Maret 2025 (Susenas)</x:v>
      </x:c>
      <x:c r="AG642" s="6" t="str">
        <x:v>24.200772667753355</x:v>
      </x:c>
      <x:c r="AH642" s="8" t="str">
        <x:v>87.36429525160995</x:v>
      </x:c>
      <x:c r="AI642" s="6" t="str">
        <x:v>193.19208474668943</x:v>
      </x:c>
      <x:c r="AJ642" s="6" t="str">
        <x:v>0.6213338537495154</x:v>
      </x:c>
      <x:c r="AK642" s="8" t="str">
        <x:v>1.560156789965247</x:v>
      </x:c>
      <x:c r="AL642" s="6" t="str">
        <x:v>0.9029249895713312</x:v>
      </x:c>
      <x:c r="AM642" s="6" t="str">
        <x:v>1.1341530927920904</x:v>
      </x:c>
      <x:c r="AN642" s="6" t="str">
        <x:v>1.1990782907762234</x:v>
      </x:c>
      <x:c r="AO642" s="6" t="str">
        <x:v>-1.0227214390559425</x:v>
      </x:c>
      <x:c r="AP642" s="8" t="str">
        <x:v>-1.1650638792842023</x:v>
      </x:c>
      <x:c r="AQ642" s="6" t="str">
        <x:v>-1.9916597221782049</x:v>
      </x:c>
      <x:c r="AR642" s="6" t="str">
        <x:v>-0.6169189901901005</x:v>
      </x:c>
      <x:c r="AS642" s="6" t="str">
        <x:v>-1.25788086388417</x:v>
      </x:c>
      <x:c r="AT642" s="6" t="str">
        <x:v>-47.53806864274921</x:v>
      </x:c>
      <x:c r="AU642" s="8" t="str">
        <x:v>-0.6577901290318415</x:v>
      </x:c>
      <x:c r="AV642" s="6" t="str">
        <x:v>-1.10455881602728</x:v>
      </x:c>
      <x:c r="AW642" s="6" t="str">
        <x:v>-0.630579431676138</x:v>
      </x:c>
      <x:c r="AX642" s="6" t="str">
        <x:v>-0.7976427922450865</x:v>
      </x:c>
      <x:c r="AY642" s="6" t="str">
        <x:v>0</x:v>
      </x:c>
      <x:c r="AZ642" s="6" t="str">
        <x:v>1</x:v>
      </x:c>
      <x:c r="BA642" s="9" t="str">
        <x:v>grid_cells_within_BIG_polygon</x:v>
      </x:c>
      <x:c r="BB642" s="6" t="str">
        <x:v>10</x:v>
      </x:c>
      <x:c r="BC642" s="6" t="str">
        <x:v>8</x:v>
      </x:c>
      <x:c r="BD642" s="6" t="str">
        <x:v>8</x:v>
      </x:c>
      <x:c r="BE642" s="6" t="str">
        <x:v>6</x:v>
      </x:c>
      <x:c r="BF642" s="6" t="str">
        <x:v>2</x:v>
      </x:c>
      <x:c r="BG642" s="6" t="str">
        <x:v>0</x:v>
      </x:c>
      <x:c r="BH642" s="6" t="str">
        <x:v>0</x:v>
      </x:c>
      <x:c r="BI642" s="6" t="str">
        <x:v>0</x:v>
      </x:c>
      <x:c r="BJ642" s="6" t="str">
        <x:v>0</x:v>
      </x:c>
      <x:c r="BK642" s="6" t="str">
        <x:v>0</x:v>
      </x:c>
      <x:c r="BL642" s="6" t="str">
        <x:v>0</x:v>
      </x:c>
      <x:c r="BM642" s="6" t="str">
        <x:v>0</x:v>
      </x:c>
      <x:c r="BN642" s="6" t="str">
        <x:v>8</x:v>
      </x:c>
      <x:c r="BO642" s="6" t="str">
        <x:v>0.0</x:v>
      </x:c>
      <x:c r="BP642" s="6" t="str">
        <x:v>8</x:v>
      </x:c>
      <x:c r="BQ642" s="6" t="str">
        <x:v>0.0</x:v>
      </x:c>
      <x:c r="BR642" s="6" t="str">
        <x:v>8</x:v>
      </x:c>
      <x:c r="BS642" s="6" t="str">
        <x:v>0.0</x:v>
      </x:c>
      <x:c r="BT642" s="6" t="str">
        <x:v>8</x:v>
      </x:c>
      <x:c r="BU642" s="6" t="str">
        <x:v>3154.0</x:v>
      </x:c>
      <x:c r="BV642" s="6" t="str">
        <x:v>6</x:v>
      </x:c>
      <x:c r="BW642" s="9" t="str">
        <x:v>operational_snapshot_annual_totals_may_differ</x:v>
      </x:c>
      <x:c r="BX642" s="9" t="str">
        <x:v>official_live_dashboard_snapshot_subject_to_revision</x:v>
      </x:c>
      <x:c r="BY642" s="9" t="str">
        <x:v>https://tbdashboard.sitb.id/ss_data_tbc03so_2025_provinsi_bulanan_list.php</x:v>
      </x:c>
      <x:c r="BZ642" s="6" t="n">
        <x:v>46246.610671296294</x:v>
      </x:c>
    </x:row>
    <x:row r="643" ht="18" customHeight="1">
      <x:c r="A643" s="6" t="str">
        <x:v>73</x:v>
      </x:c>
      <x:c r="B643" s="6" t="str">
        <x:v>SULAWESI SELATAN</x:v>
      </x:c>
      <x:c r="C643" s="6" t="str">
        <x:v>2025</x:v>
      </x:c>
      <x:c r="D643" s="6" t="str">
        <x:v>6</x:v>
      </x:c>
      <x:c r="E643" s="6" t="str">
        <x:v>2025-06</x:v>
      </x:c>
      <x:c r="F643" s="6" t="str">
        <x:v>1764</x:v>
      </x:c>
      <x:c r="G643" s="6" t="str">
        <x:v>419</x:v>
      </x:c>
      <x:c r="H643" s="6" t="str">
        <x:v>1020</x:v>
      </x:c>
      <x:c r="I643" s="6" t="str">
        <x:v>154</x:v>
      </x:c>
      <x:c r="J643" s="6" t="str">
        <x:v>108</x:v>
      </x:c>
      <x:c r="K643" s="6" t="str">
        <x:v>6</x:v>
      </x:c>
      <x:c r="L643" s="6" t="str">
        <x:v>0</x:v>
      </x:c>
      <x:c r="M643" s="6" t="str">
        <x:v>57</x:v>
      </x:c>
      <x:c r="N643" s="6" t="str">
        <x:v>1764</x:v>
      </x:c>
      <x:c r="O643" s="6" t="str">
        <x:v>0</x:v>
      </x:c>
      <x:c r="P643" s="10" t="n">
        <x:f>F643-M643</x:f>
        <x:v>1707</x:v>
      </x:c>
      <x:c r="Q643" s="11" t="n">
        <x:f>IFERROR(M643/F643,"")</x:f>
        <x:v>0.03231292517006803</x:v>
      </x:c>
      <x:c r="R643" s="10" t="n">
        <x:f>G643+H643</x:f>
        <x:v>1439</x:v>
      </x:c>
      <x:c r="S643" s="11" t="n">
        <x:f>IFERROR(R643/F643,"")</x:f>
        <x:v>0.8157596371882087</x:v>
      </x:c>
      <x:c r="T643" s="11" t="n">
        <x:f>IFERROR(R643/P643,"")</x:f>
        <x:v>0.8429994141769186</x:v>
      </x:c>
      <x:c r="U643" s="10" t="n">
        <x:f>I643+J643+K643</x:f>
        <x:v>268</x:v>
      </x:c>
      <x:c r="V643" s="11" t="n">
        <x:f>IFERROR(U643/P643,"")</x:f>
        <x:v>0.15700058582308143</x:v>
      </x:c>
      <x:c r="W643" s="9" t="str">
        <x:v>mature_le_5pct_pending</x:v>
      </x:c>
      <x:c r="X643" s="12" t="n">
        <x:f>IFERROR(F643/Z643*100000,"")</x:f>
        <x:v>18.445901433635537</x:v>
      </x:c>
      <x:c r="Y643" s="13" t="n">
        <x:f>LN(Z643)</x:f>
        <x:v>16.073422500246576</x:v>
      </x:c>
      <x:c r="Z643" s="6" t="str">
        <x:v>9563100</x:v>
      </x:c>
      <x:c r="AA643" s="6" t="str">
        <x:v>211.0</x:v>
      </x:c>
      <x:c r="AB643" s="9" t="str">
        <x:v>2025-06-30</x:v>
      </x:c>
      <x:c r="AC643" s="8" t="str">
        <x:v>94.19</x:v>
      </x:c>
      <x:c r="AD643" s="9" t="str">
        <x:v>2025 (Susenas)</x:v>
      </x:c>
      <x:c r="AE643" s="8" t="str">
        <x:v>7.6</x:v>
      </x:c>
      <x:c r="AF643" s="9" t="str">
        <x:v>Maret 2025 (Susenas)</x:v>
      </x:c>
      <x:c r="AG643" s="6" t="str">
        <x:v>23.23474202503348</x:v>
      </x:c>
      <x:c r="AH643" s="8" t="str">
        <x:v>88.17693847343233</x:v>
      </x:c>
      <x:c r="AI643" s="6" t="str">
        <x:v>153.48686956303553</x:v>
      </x:c>
      <x:c r="AJ643" s="6" t="str">
        <x:v>0.2631314286428683</x:v>
      </x:c>
      <x:c r="AK643" s="8" t="str">
        <x:v>0.8496718712706058</x:v>
      </x:c>
      <x:c r="AL643" s="6" t="str">
        <x:v>1.560156789965247</x:v>
      </x:c>
      <x:c r="AM643" s="6" t="str">
        <x:v>0.9029249895713312</x:v>
      </x:c>
      <x:c r="AN643" s="6" t="str">
        <x:v>1.1042512169357284</x:v>
      </x:c>
      <x:c r="AO643" s="6" t="str">
        <x:v>-0.4250219342950743</x:v>
      </x:c>
      <x:c r="AP643" s="8" t="str">
        <x:v>-0.3010518338258783</x:v>
      </x:c>
      <x:c r="AQ643" s="6" t="str">
        <x:v>-1.1650638792842023</x:v>
      </x:c>
      <x:c r="AR643" s="6" t="str">
        <x:v>-1.9916597221782049</x:v>
      </x:c>
      <x:c r="AS643" s="6" t="str">
        <x:v>-1.1525918117627627</x:v>
      </x:c>
      <x:c r="AT643" s="6" t="str">
        <x:v>-78.66905859816296</x:v>
      </x:c>
      <x:c r="AU643" s="8" t="str">
        <x:v>-1.1607958978432569</x:v>
      </x:c>
      <x:c r="AV643" s="6" t="str">
        <x:v>-0.6577901290318415</x:v>
      </x:c>
      <x:c r="AW643" s="6" t="str">
        <x:v>-1.10455881602728</x:v>
      </x:c>
      <x:c r="AX643" s="6" t="str">
        <x:v>-0.9743816143007926</x:v>
      </x:c>
      <x:c r="AY643" s="6" t="str">
        <x:v>0</x:v>
      </x:c>
      <x:c r="AZ643" s="6" t="str">
        <x:v>0</x:v>
      </x:c>
      <x:c r="BA643" s="9" t="str">
        <x:v>grid_cells_within_BIG_polygon</x:v>
      </x:c>
      <x:c r="BB643" s="6" t="str">
        <x:v>10</x:v>
      </x:c>
      <x:c r="BC643" s="6" t="str">
        <x:v>7</x:v>
      </x:c>
      <x:c r="BD643" s="6" t="str">
        <x:v>7</x:v>
      </x:c>
      <x:c r="BE643" s="6" t="str">
        <x:v>4</x:v>
      </x:c>
      <x:c r="BF643" s="6" t="str">
        <x:v>0</x:v>
      </x:c>
      <x:c r="BG643" s="6" t="str">
        <x:v>2</x:v>
      </x:c>
      <x:c r="BH643" s="6" t="str">
        <x:v>0</x:v>
      </x:c>
      <x:c r="BI643" s="6" t="str">
        <x:v>1</x:v>
      </x:c>
      <x:c r="BJ643" s="6" t="str">
        <x:v>0</x:v>
      </x:c>
      <x:c r="BK643" s="6" t="str">
        <x:v>0</x:v>
      </x:c>
      <x:c r="BL643" s="6" t="str">
        <x:v>0</x:v>
      </x:c>
      <x:c r="BM643" s="6" t="str">
        <x:v>0</x:v>
      </x:c>
      <x:c r="BN643" s="6" t="str">
        <x:v>7</x:v>
      </x:c>
      <x:c r="BO643" s="6" t="str">
        <x:v>0.0</x:v>
      </x:c>
      <x:c r="BP643" s="6" t="str">
        <x:v>1</x:v>
      </x:c>
      <x:c r="BQ643" s="6" t="str">
        <x:v>0.0</x:v>
      </x:c>
      <x:c r="BR643" s="6" t="str">
        <x:v>1</x:v>
      </x:c>
      <x:c r="BS643" s="6" t="str">
        <x:v>18.0</x:v>
      </x:c>
      <x:c r="BT643" s="6" t="str">
        <x:v>7</x:v>
      </x:c>
      <x:c r="BU643" s="6" t="str">
        <x:v>536.0</x:v>
      </x:c>
      <x:c r="BV643" s="6" t="str">
        <x:v>4</x:v>
      </x:c>
      <x:c r="BW643" s="9" t="str">
        <x:v>operational_snapshot_annual_totals_may_differ</x:v>
      </x:c>
      <x:c r="BX643" s="9" t="str">
        <x:v>official_live_dashboard_snapshot_subject_to_revision</x:v>
      </x:c>
      <x:c r="BY643" s="9" t="str">
        <x:v>https://tbdashboard.sitb.id/ss_data_tbc03so_2025_provinsi_bulanan_list.php</x:v>
      </x:c>
      <x:c r="BZ643" s="6" t="n">
        <x:v>46246.610671296294</x:v>
      </x:c>
    </x:row>
    <x:row r="644" ht="18" customHeight="1">
      <x:c r="A644" s="6" t="str">
        <x:v>73</x:v>
      </x:c>
      <x:c r="B644" s="6" t="str">
        <x:v>SULAWESI SELATAN</x:v>
      </x:c>
      <x:c r="C644" s="6" t="str">
        <x:v>2025</x:v>
      </x:c>
      <x:c r="D644" s="6" t="str">
        <x:v>7</x:v>
      </x:c>
      <x:c r="E644" s="6" t="str">
        <x:v>2025-07</x:v>
      </x:c>
      <x:c r="F644" s="6" t="str">
        <x:v>2206</x:v>
      </x:c>
      <x:c r="G644" s="6" t="str">
        <x:v>552</x:v>
      </x:c>
      <x:c r="H644" s="6" t="str">
        <x:v>1189</x:v>
      </x:c>
      <x:c r="I644" s="6" t="str">
        <x:v>226</x:v>
      </x:c>
      <x:c r="J644" s="6" t="str">
        <x:v>126</x:v>
      </x:c>
      <x:c r="K644" s="6" t="str">
        <x:v>5</x:v>
      </x:c>
      <x:c r="L644" s="6" t="str">
        <x:v>0</x:v>
      </x:c>
      <x:c r="M644" s="6" t="str">
        <x:v>108</x:v>
      </x:c>
      <x:c r="N644" s="6" t="str">
        <x:v>2206</x:v>
      </x:c>
      <x:c r="O644" s="6" t="str">
        <x:v>0</x:v>
      </x:c>
      <x:c r="P644" s="10" t="n">
        <x:f>F644-M644</x:f>
        <x:v>2098</x:v>
      </x:c>
      <x:c r="Q644" s="11" t="n">
        <x:f>IFERROR(M644/F644,"")</x:f>
        <x:v>0.04895738893925657</x:v>
      </x:c>
      <x:c r="R644" s="10" t="n">
        <x:f>G644+H644</x:f>
        <x:v>1741</x:v>
      </x:c>
      <x:c r="S644" s="11" t="n">
        <x:f>IFERROR(R644/F644,"")</x:f>
        <x:v>0.7892112420670897</x:v>
      </x:c>
      <x:c r="T644" s="11" t="n">
        <x:f>IFERROR(R644/P644,"")</x:f>
        <x:v>0.8298379408960915</x:v>
      </x:c>
      <x:c r="U644" s="10" t="n">
        <x:f>I644+J644+K644</x:f>
        <x:v>357</x:v>
      </x:c>
      <x:c r="V644" s="11" t="n">
        <x:f>IFERROR(U644/P644,"")</x:f>
        <x:v>0.1701620591039085</x:v>
      </x:c>
      <x:c r="W644" s="9" t="str">
        <x:v>mature_le_5pct_pending</x:v>
      </x:c>
      <x:c r="X644" s="12" t="n">
        <x:f>IFERROR(F644/Z644*100000,"")</x:f>
        <x:v>23.06783365226757</x:v>
      </x:c>
      <x:c r="Y644" s="13" t="n">
        <x:f>LN(Z644)</x:f>
        <x:v>16.073422500246576</x:v>
      </x:c>
      <x:c r="Z644" s="6" t="str">
        <x:v>9563100</x:v>
      </x:c>
      <x:c r="AA644" s="6" t="str">
        <x:v>211.0</x:v>
      </x:c>
      <x:c r="AB644" s="9" t="str">
        <x:v>2025-06-30</x:v>
      </x:c>
      <x:c r="AC644" s="8" t="str">
        <x:v>94.19</x:v>
      </x:c>
      <x:c r="AD644" s="9" t="str">
        <x:v>2025 (Susenas)</x:v>
      </x:c>
      <x:c r="AE644" s="8" t="str">
        <x:v>7.6</x:v>
      </x:c>
      <x:c r="AF644" s="9" t="str">
        <x:v>Maret 2025 (Susenas)</x:v>
      </x:c>
      <x:c r="AG644" s="6" t="str">
        <x:v>23.04897211124105</x:v>
      </x:c>
      <x:c r="AH644" s="8" t="str">
        <x:v>87.26847565476714</x:v>
      </x:c>
      <x:c r="AI644" s="6" t="str">
        <x:v>122.0172805492227</x:v>
      </x:c>
      <x:c r="AJ644" s="6" t="str">
        <x:v>0.492765472137588</x:v>
      </x:c>
      <x:c r="AK644" s="8" t="str">
        <x:v>1.5881047077718533</x:v>
      </x:c>
      <x:c r="AL644" s="6" t="str">
        <x:v>0.8496718712706058</x:v>
      </x:c>
      <x:c r="AM644" s="6" t="str">
        <x:v>1.560156789965247</x:v>
      </x:c>
      <x:c r="AN644" s="6" t="str">
        <x:v>1.3326444563359023</x:v>
      </x:c>
      <x:c r="AO644" s="6" t="str">
        <x:v>0.3174885839399479</x:v>
      </x:c>
      <x:c r="AP644" s="8" t="str">
        <x:v>0.187687522354249</x:v>
      </x:c>
      <x:c r="AQ644" s="6" t="str">
        <x:v>-0.3010518338258783</x:v>
      </x:c>
      <x:c r="AR644" s="6" t="str">
        <x:v>-1.1650638792842023</x:v>
      </x:c>
      <x:c r="AS644" s="6" t="str">
        <x:v>-0.4261427302519446</x:v>
      </x:c>
      <x:c r="AT644" s="6" t="str">
        <x:v>-32.00467658901047</x:v>
      </x:c>
      <x:c r="AU644" s="8" t="str">
        <x:v>-0.4237936672003289</x:v>
      </x:c>
      <x:c r="AV644" s="6" t="str">
        <x:v>-1.1607958978432569</x:v>
      </x:c>
      <x:c r="AW644" s="6" t="str">
        <x:v>-0.6577901290318415</x:v>
      </x:c>
      <x:c r="AX644" s="6" t="str">
        <x:v>-0.7474598980251423</x:v>
      </x:c>
      <x:c r="AY644" s="6" t="str">
        <x:v>0</x:v>
      </x:c>
      <x:c r="AZ644" s="6" t="str">
        <x:v>1</x:v>
      </x:c>
      <x:c r="BA644" s="9" t="str">
        <x:v>grid_cells_within_BIG_polygon</x:v>
      </x:c>
      <x:c r="BB644" s="6" t="str">
        <x:v>10</x:v>
      </x:c>
      <x:c r="BC644" s="6" t="str">
        <x:v>11</x:v>
      </x:c>
      <x:c r="BD644" s="6" t="str">
        <x:v>11</x:v>
      </x:c>
      <x:c r="BE644" s="6" t="str">
        <x:v>7</x:v>
      </x:c>
      <x:c r="BF644" s="6" t="str">
        <x:v>3</x:v>
      </x:c>
      <x:c r="BG644" s="6" t="str">
        <x:v>1</x:v>
      </x:c>
      <x:c r="BH644" s="6" t="str">
        <x:v>0</x:v>
      </x:c>
      <x:c r="BI644" s="6" t="str">
        <x:v>0</x:v>
      </x:c>
      <x:c r="BJ644" s="6" t="str">
        <x:v>0</x:v>
      </x:c>
      <x:c r="BK644" s="6" t="str">
        <x:v>0</x:v>
      </x:c>
      <x:c r="BL644" s="6" t="str">
        <x:v>0</x:v>
      </x:c>
      <x:c r="BM644" s="6" t="str">
        <x:v>0</x:v>
      </x:c>
      <x:c r="BN644" s="6" t="str">
        <x:v>11</x:v>
      </x:c>
      <x:c r="BO644" s="6" t="str"/>
      <x:c r="BP644" s="6" t="str">
        <x:v>0</x:v>
      </x:c>
      <x:c r="BQ644" s="6" t="str">
        <x:v>4.0</x:v>
      </x:c>
      <x:c r="BR644" s="6" t="str">
        <x:v>2</x:v>
      </x:c>
      <x:c r="BS644" s="6" t="str">
        <x:v>56.0</x:v>
      </x:c>
      <x:c r="BT644" s="6" t="str">
        <x:v>11</x:v>
      </x:c>
      <x:c r="BU644" s="6" t="str">
        <x:v>4105.0</x:v>
      </x:c>
      <x:c r="BV644" s="6" t="str">
        <x:v>6</x:v>
      </x:c>
      <x:c r="BW644" s="9" t="str">
        <x:v>operational_snapshot_annual_totals_may_differ</x:v>
      </x:c>
      <x:c r="BX644" s="9" t="str">
        <x:v>official_live_dashboard_snapshot_subject_to_revision</x:v>
      </x:c>
      <x:c r="BY644" s="9" t="str">
        <x:v>https://tbdashboard.sitb.id/ss_data_tbc03so_2025_provinsi_bulanan_list.php</x:v>
      </x:c>
      <x:c r="BZ644" s="6" t="n">
        <x:v>46246.610671296294</x:v>
      </x:c>
    </x:row>
    <x:row r="645" ht="18" customHeight="1">
      <x:c r="A645" s="6" t="str">
        <x:v>73</x:v>
      </x:c>
      <x:c r="B645" s="6" t="str">
        <x:v>SULAWESI SELATAN</x:v>
      </x:c>
      <x:c r="C645" s="6" t="str">
        <x:v>2025</x:v>
      </x:c>
      <x:c r="D645" s="6" t="str">
        <x:v>8</x:v>
      </x:c>
      <x:c r="E645" s="6" t="str">
        <x:v>2025-08</x:v>
      </x:c>
      <x:c r="F645" s="6" t="str">
        <x:v>2324</x:v>
      </x:c>
      <x:c r="G645" s="6" t="str">
        <x:v>595</x:v>
      </x:c>
      <x:c r="H645" s="6" t="str">
        <x:v>1188</x:v>
      </x:c>
      <x:c r="I645" s="6" t="str">
        <x:v>253</x:v>
      </x:c>
      <x:c r="J645" s="6" t="str">
        <x:v>137</x:v>
      </x:c>
      <x:c r="K645" s="6" t="str">
        <x:v>4</x:v>
      </x:c>
      <x:c r="L645" s="6" t="str">
        <x:v>1</x:v>
      </x:c>
      <x:c r="M645" s="6" t="str">
        <x:v>146</x:v>
      </x:c>
      <x:c r="N645" s="6" t="str">
        <x:v>2324</x:v>
      </x:c>
      <x:c r="O645" s="6" t="str">
        <x:v>0</x:v>
      </x:c>
      <x:c r="P645" s="10" t="n">
        <x:f>F645-M645</x:f>
        <x:v>2178</x:v>
      </x:c>
      <x:c r="Q645" s="11" t="n">
        <x:f>IFERROR(M645/F645,"")</x:f>
        <x:v>0.06282271944922548</x:v>
      </x:c>
      <x:c r="R645" s="10" t="n">
        <x:f>G645+H645</x:f>
        <x:v>1783</x:v>
      </x:c>
      <x:c r="S645" s="11" t="n">
        <x:f>IFERROR(R645/F645,"")</x:f>
        <x:v>0.7672117039586919</x:v>
      </x:c>
      <x:c r="T645" s="11" t="n">
        <x:f>IFERROR(R645/P645,"")</x:f>
        <x:v>0.8186409550045913</x:v>
      </x:c>
      <x:c r="U645" s="10" t="n">
        <x:f>I645+J645+K645</x:f>
        <x:v>394</x:v>
      </x:c>
      <x:c r="V645" s="11" t="n">
        <x:f>IFERROR(U645/P645,"")</x:f>
        <x:v>0.18089990817263543</x:v>
      </x:c>
      <x:c r="W645" s="9" t="str">
        <x:v>provisional_gt_5pct_pending</x:v>
      </x:c>
      <x:c r="X645" s="12" t="n">
        <x:f>IFERROR(F645/Z645*100000,"")</x:f>
        <x:v>24.301743158599198</x:v>
      </x:c>
      <x:c r="Y645" s="13" t="n">
        <x:f>LN(Z645)</x:f>
        <x:v>16.073422500246576</x:v>
      </x:c>
      <x:c r="Z645" s="6" t="str">
        <x:v>9563100</x:v>
      </x:c>
      <x:c r="AA645" s="6" t="str">
        <x:v>211.0</x:v>
      </x:c>
      <x:c r="AB645" s="9" t="str">
        <x:v>2025-06-30</x:v>
      </x:c>
      <x:c r="AC645" s="8" t="str">
        <x:v>94.19</x:v>
      </x:c>
      <x:c r="AD645" s="9" t="str">
        <x:v>2025 (Susenas)</x:v>
      </x:c>
      <x:c r="AE645" s="8" t="str">
        <x:v>7.6</x:v>
      </x:c>
      <x:c r="AF645" s="9" t="str">
        <x:v>Maret 2025 (Susenas)</x:v>
      </x:c>
      <x:c r="AG645" s="6" t="str">
        <x:v>23.15866673598781</x:v>
      </x:c>
      <x:c r="AH645" s="8" t="str">
        <x:v>84.83449984573637</x:v>
      </x:c>
      <x:c r="AI645" s="6" t="str">
        <x:v>102.16587199145457</x:v>
      </x:c>
      <x:c r="AJ645" s="6" t="str">
        <x:v>0.4258448691944707</x:v>
      </x:c>
      <x:c r="AK645" s="8" t="str">
        <x:v>1.2409182725905703</x:v>
      </x:c>
      <x:c r="AL645" s="6" t="str">
        <x:v>1.5881047077718533</x:v>
      </x:c>
      <x:c r="AM645" s="6" t="str">
        <x:v>0.8496718712706058</x:v>
      </x:c>
      <x:c r="AN645" s="6" t="str">
        <x:v>1.22623161721101</x:v>
      </x:c>
      <x:c r="AO645" s="6" t="str">
        <x:v>1.2029260717018957</x:v>
      </x:c>
      <x:c r="AP645" s="8" t="str">
        <x:v>0.5153459608076698</x:v>
      </x:c>
      <x:c r="AQ645" s="6" t="str">
        <x:v>0.187687522354249</x:v>
      </x:c>
      <x:c r="AR645" s="6" t="str">
        <x:v>-0.3010518338258783</x:v>
      </x:c>
      <x:c r="AS645" s="6" t="str">
        <x:v>0.1339938831120127</x:v>
      </x:c>
      <x:c r="AT645" s="6" t="str">
        <x:v>-5.493216214663676</x:v>
      </x:c>
      <x:c r="AU645" s="8" t="str">
        <x:v>-0.0671330095659812</x:v>
      </x:c>
      <x:c r="AV645" s="6" t="str">
        <x:v>-0.4237936672003289</x:v>
      </x:c>
      <x:c r="AW645" s="6" t="str">
        <x:v>-1.1607958978432569</x:v>
      </x:c>
      <x:c r="AX645" s="6" t="str">
        <x:v>-0.5505741915365222</x:v>
      </x:c>
      <x:c r="AY645" s="6" t="str">
        <x:v>0</x:v>
      </x:c>
      <x:c r="AZ645" s="6" t="str">
        <x:v>1</x:v>
      </x:c>
      <x:c r="BA645" s="9" t="str">
        <x:v>grid_cells_within_BIG_polygon</x:v>
      </x:c>
      <x:c r="BB645" s="6" t="str">
        <x:v>10</x:v>
      </x:c>
      <x:c r="BC645" s="6" t="str">
        <x:v>1</x:v>
      </x:c>
      <x:c r="BD645" s="6" t="str">
        <x:v>1</x:v>
      </x:c>
      <x:c r="BE645" s="6" t="str">
        <x:v>0</x:v>
      </x:c>
      <x:c r="BF645" s="6" t="str">
        <x:v>0</x:v>
      </x:c>
      <x:c r="BG645" s="6" t="str">
        <x:v>1</x:v>
      </x:c>
      <x:c r="BH645" s="6" t="str">
        <x:v>0</x:v>
      </x:c>
      <x:c r="BI645" s="6" t="str">
        <x:v>0</x:v>
      </x:c>
      <x:c r="BJ645" s="6" t="str">
        <x:v>0</x:v>
      </x:c>
      <x:c r="BK645" s="6" t="str">
        <x:v>0</x:v>
      </x:c>
      <x:c r="BL645" s="6" t="str">
        <x:v>0</x:v>
      </x:c>
      <x:c r="BM645" s="6" t="str">
        <x:v>0</x:v>
      </x:c>
      <x:c r="BN645" s="6" t="str">
        <x:v>1</x:v>
      </x:c>
      <x:c r="BO645" s="6" t="str"/>
      <x:c r="BP645" s="6" t="str">
        <x:v>0</x:v>
      </x:c>
      <x:c r="BQ645" s="6" t="str"/>
      <x:c r="BR645" s="6" t="str">
        <x:v>0</x:v>
      </x:c>
      <x:c r="BS645" s="6" t="str">
        <x:v>5.0</x:v>
      </x:c>
      <x:c r="BT645" s="6" t="str">
        <x:v>1</x:v>
      </x:c>
      <x:c r="BU645" s="6" t="str"/>
      <x:c r="BV645" s="6" t="str">
        <x:v>0</x:v>
      </x:c>
      <x:c r="BW645" s="9" t="str">
        <x:v>operational_snapshot_annual_totals_may_differ</x:v>
      </x:c>
      <x:c r="BX645" s="9" t="str">
        <x:v>official_live_dashboard_snapshot_subject_to_revision</x:v>
      </x:c>
      <x:c r="BY645" s="9" t="str">
        <x:v>https://tbdashboard.sitb.id/ss_data_tbc03so_2025_provinsi_bulanan_list.php</x:v>
      </x:c>
      <x:c r="BZ645" s="6" t="n">
        <x:v>46246.610671296294</x:v>
      </x:c>
    </x:row>
    <x:row r="646" ht="18" customHeight="1">
      <x:c r="A646" s="6" t="str">
        <x:v>73</x:v>
      </x:c>
      <x:c r="B646" s="6" t="str">
        <x:v>SULAWESI SELATAN</x:v>
      </x:c>
      <x:c r="C646" s="6" t="str">
        <x:v>2025</x:v>
      </x:c>
      <x:c r="D646" s="6" t="str">
        <x:v>9</x:v>
      </x:c>
      <x:c r="E646" s="6" t="str">
        <x:v>2025-09</x:v>
      </x:c>
      <x:c r="F646" s="6" t="str">
        <x:v>2431</x:v>
      </x:c>
      <x:c r="G646" s="6" t="str">
        <x:v>554</x:v>
      </x:c>
      <x:c r="H646" s="6" t="str">
        <x:v>1215</x:v>
      </x:c>
      <x:c r="I646" s="6" t="str">
        <x:v>243</x:v>
      </x:c>
      <x:c r="J646" s="6" t="str">
        <x:v>137</x:v>
      </x:c>
      <x:c r="K646" s="6" t="str">
        <x:v>4</x:v>
      </x:c>
      <x:c r="L646" s="6" t="str">
        <x:v>3</x:v>
      </x:c>
      <x:c r="M646" s="6" t="str">
        <x:v>275</x:v>
      </x:c>
      <x:c r="N646" s="6" t="str">
        <x:v>2431</x:v>
      </x:c>
      <x:c r="O646" s="6" t="str">
        <x:v>0</x:v>
      </x:c>
      <x:c r="P646" s="10" t="n">
        <x:f>F646-M646</x:f>
        <x:v>2156</x:v>
      </x:c>
      <x:c r="Q646" s="11" t="n">
        <x:f>IFERROR(M646/F646,"")</x:f>
        <x:v>0.11312217194570136</x:v>
      </x:c>
      <x:c r="R646" s="10" t="n">
        <x:f>G646+H646</x:f>
        <x:v>1769</x:v>
      </x:c>
      <x:c r="S646" s="11" t="n">
        <x:f>IFERROR(R646/F646,"")</x:f>
        <x:v>0.7276840806252571</x:v>
      </x:c>
      <x:c r="T646" s="11" t="n">
        <x:f>IFERROR(R646/P646,"")</x:f>
        <x:v>0.8205009276437848</x:v>
      </x:c>
      <x:c r="U646" s="10" t="n">
        <x:f>I646+J646+K646</x:f>
        <x:v>384</x:v>
      </x:c>
      <x:c r="V646" s="11" t="n">
        <x:f>IFERROR(U646/P646,"")</x:f>
        <x:v>0.17810760667903525</x:v>
      </x:c>
      <x:c r="W646" s="9" t="str">
        <x:v>provisional_gt_5pct_pending</x:v>
      </x:c>
      <x:c r="X646" s="12" t="n">
        <x:f>IFERROR(F646/Z646*100000,"")</x:f>
        <x:v>25.420627202476187</x:v>
      </x:c>
      <x:c r="Y646" s="13" t="n">
        <x:f>LN(Z646)</x:f>
        <x:v>16.073422500246576</x:v>
      </x:c>
      <x:c r="Z646" s="6" t="str">
        <x:v>9563100</x:v>
      </x:c>
      <x:c r="AA646" s="6" t="str">
        <x:v>211.0</x:v>
      </x:c>
      <x:c r="AB646" s="9" t="str">
        <x:v>2025-06-30</x:v>
      </x:c>
      <x:c r="AC646" s="8" t="str">
        <x:v>94.19</x:v>
      </x:c>
      <x:c r="AD646" s="9" t="str">
        <x:v>2025 (Susenas)</x:v>
      </x:c>
      <x:c r="AE646" s="8" t="str">
        <x:v>7.6</x:v>
      </x:c>
      <x:c r="AF646" s="9" t="str">
        <x:v>Maret 2025 (Susenas)</x:v>
      </x:c>
      <x:c r="AG646" s="6" t="str">
        <x:v>24.058338911288548</x:v>
      </x:c>
      <x:c r="AH646" s="8" t="str">
        <x:v>81.2466518968113</x:v>
      </x:c>
      <x:c r="AI646" s="6" t="str">
        <x:v>77.09177155133091</x:v>
      </x:c>
      <x:c r="AJ646" s="6" t="str">
        <x:v>0.6472132793348173</x:v>
      </x:c>
      <x:c r="AK646" s="8" t="str">
        <x:v>1.926146748891672</x:v>
      </x:c>
      <x:c r="AL646" s="6" t="str">
        <x:v>1.2409182725905703</x:v>
      </x:c>
      <x:c r="AM646" s="6" t="str">
        <x:v>1.5881047077718533</x:v>
      </x:c>
      <x:c r="AN646" s="6" t="str">
        <x:v>1.585056576418032</x:v>
      </x:c>
      <x:c r="AO646" s="6" t="str">
        <x:v>0.8089026012072367</x:v>
      </x:c>
      <x:c r="AP646" s="8" t="str">
        <x:v>0.269557586871794</x:v>
      </x:c>
      <x:c r="AQ646" s="6" t="str">
        <x:v>0.5153459608076698</x:v>
      </x:c>
      <x:c r="AR646" s="6" t="str">
        <x:v>0.187687522354249</x:v>
      </x:c>
      <x:c r="AS646" s="6" t="str">
        <x:v>0.3241970233445702</x:v>
      </x:c>
      <x:c r="AT646" s="6" t="str">
        <x:v>-26.17442000701168</x:v>
      </x:c>
      <x:c r="AU646" s="8" t="str">
        <x:v>-0.3725487787846019</x:v>
      </x:c>
      <x:c r="AV646" s="6" t="str">
        <x:v>-0.0671330095659812</x:v>
      </x:c>
      <x:c r="AW646" s="6" t="str">
        <x:v>-0.4237936672003289</x:v>
      </x:c>
      <x:c r="AX646" s="6" t="str">
        <x:v>-0.2878251518503039</x:v>
      </x:c>
      <x:c r="AY646" s="6" t="str">
        <x:v>0</x:v>
      </x:c>
      <x:c r="AZ646" s="6" t="str">
        <x:v>1</x:v>
      </x:c>
      <x:c r="BA646" s="9" t="str">
        <x:v>grid_cells_within_BIG_polygon</x:v>
      </x:c>
      <x:c r="BB646" s="6" t="str">
        <x:v>10</x:v>
      </x:c>
      <x:c r="BC646" s="6" t="str">
        <x:v>4</x:v>
      </x:c>
      <x:c r="BD646" s="6" t="str">
        <x:v>4</x:v>
      </x:c>
      <x:c r="BE646" s="6" t="str">
        <x:v>1</x:v>
      </x:c>
      <x:c r="BF646" s="6" t="str">
        <x:v>1</x:v>
      </x:c>
      <x:c r="BG646" s="6" t="str">
        <x:v>1</x:v>
      </x:c>
      <x:c r="BH646" s="6" t="str">
        <x:v>0</x:v>
      </x:c>
      <x:c r="BI646" s="6" t="str">
        <x:v>1</x:v>
      </x:c>
      <x:c r="BJ646" s="6" t="str">
        <x:v>0</x:v>
      </x:c>
      <x:c r="BK646" s="6" t="str">
        <x:v>0</x:v>
      </x:c>
      <x:c r="BL646" s="6" t="str">
        <x:v>0</x:v>
      </x:c>
      <x:c r="BM646" s="6" t="str">
        <x:v>0</x:v>
      </x:c>
      <x:c r="BN646" s="6" t="str">
        <x:v>4</x:v>
      </x:c>
      <x:c r="BO646" s="6" t="str"/>
      <x:c r="BP646" s="6" t="str">
        <x:v>0</x:v>
      </x:c>
      <x:c r="BQ646" s="6" t="str"/>
      <x:c r="BR646" s="6" t="str">
        <x:v>0</x:v>
      </x:c>
      <x:c r="BS646" s="6" t="str">
        <x:v>7.0</x:v>
      </x:c>
      <x:c r="BT646" s="6" t="str">
        <x:v>4</x:v>
      </x:c>
      <x:c r="BU646" s="6" t="str">
        <x:v>25.0</x:v>
      </x:c>
      <x:c r="BV646" s="6" t="str">
        <x:v>1</x:v>
      </x:c>
      <x:c r="BW646" s="9" t="str">
        <x:v>operational_snapshot_annual_totals_may_differ</x:v>
      </x:c>
      <x:c r="BX646" s="9" t="str">
        <x:v>official_live_dashboard_snapshot_subject_to_revision</x:v>
      </x:c>
      <x:c r="BY646" s="9" t="str">
        <x:v>https://tbdashboard.sitb.id/ss_data_tbc03so_2025_provinsi_bulanan_list.php</x:v>
      </x:c>
      <x:c r="BZ646" s="6" t="n">
        <x:v>46246.610671296294</x:v>
      </x:c>
    </x:row>
    <x:row r="647" ht="18" customHeight="1">
      <x:c r="A647" s="6" t="str">
        <x:v>73</x:v>
      </x:c>
      <x:c r="B647" s="6" t="str">
        <x:v>SULAWESI SELATAN</x:v>
      </x:c>
      <x:c r="C647" s="6" t="str">
        <x:v>2025</x:v>
      </x:c>
      <x:c r="D647" s="6" t="str">
        <x:v>10</x:v>
      </x:c>
      <x:c r="E647" s="6" t="str">
        <x:v>2025-10</x:v>
      </x:c>
      <x:c r="F647" s="6" t="str">
        <x:v>2695</x:v>
      </x:c>
      <x:c r="G647" s="6" t="str">
        <x:v>503</x:v>
      </x:c>
      <x:c r="H647" s="6" t="str">
        <x:v>1390</x:v>
      </x:c>
      <x:c r="I647" s="6" t="str">
        <x:v>291</x:v>
      </x:c>
      <x:c r="J647" s="6" t="str">
        <x:v>140</x:v>
      </x:c>
      <x:c r="K647" s="6" t="str">
        <x:v>3</x:v>
      </x:c>
      <x:c r="L647" s="6" t="str">
        <x:v>4</x:v>
      </x:c>
      <x:c r="M647" s="6" t="str">
        <x:v>364</x:v>
      </x:c>
      <x:c r="N647" s="6" t="str">
        <x:v>2695</x:v>
      </x:c>
      <x:c r="O647" s="6" t="str">
        <x:v>0</x:v>
      </x:c>
      <x:c r="P647" s="10" t="n">
        <x:f>F647-M647</x:f>
        <x:v>2331</x:v>
      </x:c>
      <x:c r="Q647" s="11" t="n">
        <x:f>IFERROR(M647/F647,"")</x:f>
        <x:v>0.13506493506493505</x:v>
      </x:c>
      <x:c r="R647" s="10" t="n">
        <x:f>G647+H647</x:f>
        <x:v>1893</x:v>
      </x:c>
      <x:c r="S647" s="11" t="n">
        <x:f>IFERROR(R647/F647,"")</x:f>
        <x:v>0.7024118738404452</x:v>
      </x:c>
      <x:c r="T647" s="11" t="n">
        <x:f>IFERROR(R647/P647,"")</x:f>
        <x:v>0.8120978120978121</x:v>
      </x:c>
      <x:c r="U647" s="10" t="n">
        <x:f>I647+J647+K647</x:f>
        <x:v>434</x:v>
      </x:c>
      <x:c r="V647" s="11" t="n">
        <x:f>IFERROR(U647/P647,"")</x:f>
        <x:v>0.18618618618618618</x:v>
      </x:c>
      <x:c r="W647" s="9" t="str">
        <x:v>provisional_gt_5pct_pending</x:v>
      </x:c>
      <x:c r="X647" s="12" t="n">
        <x:f>IFERROR(F647/Z647*100000,"")</x:f>
        <x:v>28.181238301387626</x:v>
      </x:c>
      <x:c r="Y647" s="13" t="n">
        <x:f>LN(Z647)</x:f>
        <x:v>16.073422500246576</x:v>
      </x:c>
      <x:c r="Z647" s="6" t="str">
        <x:v>9563100</x:v>
      </x:c>
      <x:c r="AA647" s="6" t="str">
        <x:v>211.0</x:v>
      </x:c>
      <x:c r="AB647" s="9" t="str">
        <x:v>2025-06-30</x:v>
      </x:c>
      <x:c r="AC647" s="8" t="str">
        <x:v>94.19</x:v>
      </x:c>
      <x:c r="AD647" s="9" t="str">
        <x:v>2025 (Susenas)</x:v>
      </x:c>
      <x:c r="AE647" s="8" t="str">
        <x:v>7.6</x:v>
      </x:c>
      <x:c r="AF647" s="9" t="str">
        <x:v>Maret 2025 (Susenas)</x:v>
      </x:c>
      <x:c r="AG647" s="6" t="str">
        <x:v>24.625162707710498</x:v>
      </x:c>
      <x:c r="AH647" s="8" t="str">
        <x:v>80.79546866879588</x:v>
      </x:c>
      <x:c r="AI647" s="6" t="str">
        <x:v>172.2264127193452</x:v>
      </x:c>
      <x:c r="AJ647" s="6" t="str">
        <x:v>0.4479688547792726</x:v>
      </x:c>
      <x:c r="AK647" s="8" t="str">
        <x:v>1.4073078519235545</x:v>
      </x:c>
      <x:c r="AL647" s="6" t="str">
        <x:v>1.926146748891672</x:v>
      </x:c>
      <x:c r="AM647" s="6" t="str">
        <x:v>1.2409182725905703</x:v>
      </x:c>
      <x:c r="AN647" s="6" t="str">
        <x:v>1.5247909578019323</x:v>
      </x:c>
      <x:c r="AO647" s="6" t="str">
        <x:v>1.4730833982098233</x:v>
      </x:c>
      <x:c r="AP647" s="8" t="str">
        <x:v>0.3164275680351368</x:v>
      </x:c>
      <x:c r="AQ647" s="6" t="str">
        <x:v>0.269557586871794</x:v>
      </x:c>
      <x:c r="AR647" s="6" t="str">
        <x:v>0.5153459608076698</x:v>
      </x:c>
      <x:c r="AS647" s="6" t="str">
        <x:v>0.3671103719048661</x:v>
      </x:c>
      <x:c r="AT647" s="6" t="str">
        <x:v>31.146943700639724</x:v>
      </x:c>
      <x:c r="AU647" s="8" t="str">
        <x:v>0.3248488497088637</x:v>
      </x:c>
      <x:c r="AV647" s="6" t="str">
        <x:v>-0.3725487787846019</x:v>
      </x:c>
      <x:c r="AW647" s="6" t="str">
        <x:v>-0.0671330095659812</x:v>
      </x:c>
      <x:c r="AX647" s="6" t="str">
        <x:v>-0.0382776462139063</x:v>
      </x:c>
      <x:c r="AY647" s="6" t="str">
        <x:v>0</x:v>
      </x:c>
      <x:c r="AZ647" s="6" t="str">
        <x:v>1</x:v>
      </x:c>
      <x:c r="BA647" s="9" t="str">
        <x:v>grid_cells_within_BIG_polygon</x:v>
      </x:c>
      <x:c r="BB647" s="6" t="str">
        <x:v>10</x:v>
      </x:c>
      <x:c r="BC647" s="6" t="str">
        <x:v>10</x:v>
      </x:c>
      <x:c r="BD647" s="6" t="str">
        <x:v>10</x:v>
      </x:c>
      <x:c r="BE647" s="6" t="str">
        <x:v>1</x:v>
      </x:c>
      <x:c r="BF647" s="6" t="str">
        <x:v>0</x:v>
      </x:c>
      <x:c r="BG647" s="6" t="str">
        <x:v>8</x:v>
      </x:c>
      <x:c r="BH647" s="6" t="str">
        <x:v>0</x:v>
      </x:c>
      <x:c r="BI647" s="6" t="str">
        <x:v>1</x:v>
      </x:c>
      <x:c r="BJ647" s="6" t="str">
        <x:v>0</x:v>
      </x:c>
      <x:c r="BK647" s="6" t="str">
        <x:v>0</x:v>
      </x:c>
      <x:c r="BL647" s="6" t="str">
        <x:v>0</x:v>
      </x:c>
      <x:c r="BM647" s="6" t="str">
        <x:v>0</x:v>
      </x:c>
      <x:c r="BN647" s="6" t="str">
        <x:v>10</x:v>
      </x:c>
      <x:c r="BO647" s="6" t="str"/>
      <x:c r="BP647" s="6" t="str">
        <x:v>0</x:v>
      </x:c>
      <x:c r="BQ647" s="6" t="str"/>
      <x:c r="BR647" s="6" t="str">
        <x:v>0</x:v>
      </x:c>
      <x:c r="BS647" s="6" t="str">
        <x:v>397.0</x:v>
      </x:c>
      <x:c r="BT647" s="6" t="str">
        <x:v>10</x:v>
      </x:c>
      <x:c r="BU647" s="6" t="str">
        <x:v>235.0</x:v>
      </x:c>
      <x:c r="BV647" s="6" t="str">
        <x:v>1</x:v>
      </x:c>
      <x:c r="BW647" s="9" t="str">
        <x:v>operational_snapshot_annual_totals_may_differ</x:v>
      </x:c>
      <x:c r="BX647" s="9" t="str">
        <x:v>official_live_dashboard_snapshot_subject_to_revision</x:v>
      </x:c>
      <x:c r="BY647" s="9" t="str">
        <x:v>https://tbdashboard.sitb.id/ss_data_tbc03so_2025_provinsi_bulanan_list.php</x:v>
      </x:c>
      <x:c r="BZ647" s="6" t="n">
        <x:v>46246.610671296294</x:v>
      </x:c>
    </x:row>
    <x:row r="648" ht="18" customHeight="1">
      <x:c r="A648" s="6" t="str">
        <x:v>73</x:v>
      </x:c>
      <x:c r="B648" s="6" t="str">
        <x:v>SULAWESI SELATAN</x:v>
      </x:c>
      <x:c r="C648" s="6" t="str">
        <x:v>2025</x:v>
      </x:c>
      <x:c r="D648" s="6" t="str">
        <x:v>11</x:v>
      </x:c>
      <x:c r="E648" s="6" t="str">
        <x:v>2025-11</x:v>
      </x:c>
      <x:c r="F648" s="6" t="str">
        <x:v>2431</x:v>
      </x:c>
      <x:c r="G648" s="6" t="str">
        <x:v>520</x:v>
      </x:c>
      <x:c r="H648" s="6" t="str">
        <x:v>1137</x:v>
      </x:c>
      <x:c r="I648" s="6" t="str">
        <x:v>245</x:v>
      </x:c>
      <x:c r="J648" s="6" t="str">
        <x:v>106</x:v>
      </x:c>
      <x:c r="K648" s="6" t="str">
        <x:v>7</x:v>
      </x:c>
      <x:c r="L648" s="6" t="str">
        <x:v>3</x:v>
      </x:c>
      <x:c r="M648" s="6" t="str">
        <x:v>413</x:v>
      </x:c>
      <x:c r="N648" s="6" t="str">
        <x:v>2431</x:v>
      </x:c>
      <x:c r="O648" s="6" t="str">
        <x:v>0</x:v>
      </x:c>
      <x:c r="P648" s="10" t="n">
        <x:f>F648-M648</x:f>
        <x:v>2018</x:v>
      </x:c>
      <x:c r="Q648" s="11" t="n">
        <x:f>IFERROR(M648/F648,"")</x:f>
        <x:v>0.16988893459481694</x:v>
      </x:c>
      <x:c r="R648" s="10" t="n">
        <x:f>G648+H648</x:f>
        <x:v>1657</x:v>
      </x:c>
      <x:c r="S648" s="11" t="n">
        <x:f>IFERROR(R648/F648,"")</x:f>
        <x:v>0.681612505141917</x:v>
      </x:c>
      <x:c r="T648" s="11" t="n">
        <x:f>IFERROR(R648/P648,"")</x:f>
        <x:v>0.8211100099108027</x:v>
      </x:c>
      <x:c r="U648" s="10" t="n">
        <x:f>I648+J648+K648</x:f>
        <x:v>358</x:v>
      </x:c>
      <x:c r="V648" s="11" t="n">
        <x:f>IFERROR(U648/P648,"")</x:f>
        <x:v>0.1774033696729435</x:v>
      </x:c>
      <x:c r="W648" s="9" t="str">
        <x:v>provisional_gt_5pct_pending</x:v>
      </x:c>
      <x:c r="X648" s="12" t="n">
        <x:f>IFERROR(F648/Z648*100000,"")</x:f>
        <x:v>25.420627202476187</x:v>
      </x:c>
      <x:c r="Y648" s="13" t="n">
        <x:f>LN(Z648)</x:f>
        <x:v>16.073422500246576</x:v>
      </x:c>
      <x:c r="Z648" s="6" t="str">
        <x:v>9563100</x:v>
      </x:c>
      <x:c r="AA648" s="6" t="str">
        <x:v>211.0</x:v>
      </x:c>
      <x:c r="AB648" s="9" t="str">
        <x:v>2025-06-30</x:v>
      </x:c>
      <x:c r="AC648" s="8" t="str">
        <x:v>94.19</x:v>
      </x:c>
      <x:c r="AD648" s="9" t="str">
        <x:v>2025 (Susenas)</x:v>
      </x:c>
      <x:c r="AE648" s="8" t="str">
        <x:v>7.6</x:v>
      </x:c>
      <x:c r="AF648" s="9" t="str">
        <x:v>Maret 2025 (Susenas)</x:v>
      </x:c>
      <x:c r="AG648" s="6" t="str">
        <x:v>24.247708165205093</x:v>
      </x:c>
      <x:c r="AH648" s="8" t="str">
        <x:v>85.52978659858117</x:v>
      </x:c>
      <x:c r="AI648" s="6" t="str">
        <x:v>217.0612535231301</x:v>
      </x:c>
      <x:c r="AJ648" s="6" t="str">
        <x:v>-0.1470971032251071</x:v>
      </x:c>
      <x:c r="AK648" s="8" t="str">
        <x:v>-0.2770063784639783</x:v>
      </x:c>
      <x:c r="AL648" s="6" t="str">
        <x:v>1.4073078519235545</x:v>
      </x:c>
      <x:c r="AM648" s="6" t="str">
        <x:v>1.926146748891672</x:v>
      </x:c>
      <x:c r="AN648" s="6" t="str">
        <x:v>1.018816074117083</x:v>
      </x:c>
      <x:c r="AO648" s="6" t="str">
        <x:v>3.528533706910622</x:v>
      </x:c>
      <x:c r="AP648" s="8" t="str">
        <x:v>0.8053913752238314</x:v>
      </x:c>
      <x:c r="AQ648" s="6" t="str">
        <x:v>0.3164275680351368</x:v>
      </x:c>
      <x:c r="AR648" s="6" t="str">
        <x:v>0.269557586871794</x:v>
      </x:c>
      <x:c r="AS648" s="6" t="str">
        <x:v>0.4637921767102533</x:v>
      </x:c>
      <x:c r="AT648" s="6" t="str">
        <x:v>20.94488814971055</x:v>
      </x:c>
      <x:c r="AU648" s="8" t="str">
        <x:v>0.2119957204439711</x:v>
      </x:c>
      <x:c r="AV648" s="6" t="str">
        <x:v>0.3248488497088637</x:v>
      </x:c>
      <x:c r="AW648" s="6" t="str">
        <x:v>-0.3725487787846019</x:v>
      </x:c>
      <x:c r="AX648" s="6" t="str">
        <x:v>0.0547652637894111</x:v>
      </x:c>
      <x:c r="AY648" s="6" t="str">
        <x:v>0</x:v>
      </x:c>
      <x:c r="AZ648" s="6" t="str">
        <x:v>0</x:v>
      </x:c>
      <x:c r="BA648" s="9" t="str">
        <x:v>grid_cells_within_BIG_polygon</x:v>
      </x:c>
      <x:c r="BB648" s="6" t="str">
        <x:v>10</x:v>
      </x:c>
      <x:c r="BC648" s="6" t="str">
        <x:v>11</x:v>
      </x:c>
      <x:c r="BD648" s="6" t="str">
        <x:v>11</x:v>
      </x:c>
      <x:c r="BE648" s="6" t="str">
        <x:v>2</x:v>
      </x:c>
      <x:c r="BF648" s="6" t="str">
        <x:v>0</x:v>
      </x:c>
      <x:c r="BG648" s="6" t="str">
        <x:v>9</x:v>
      </x:c>
      <x:c r="BH648" s="6" t="str">
        <x:v>0</x:v>
      </x:c>
      <x:c r="BI648" s="6" t="str">
        <x:v>0</x:v>
      </x:c>
      <x:c r="BJ648" s="6" t="str">
        <x:v>0</x:v>
      </x:c>
      <x:c r="BK648" s="6" t="str">
        <x:v>0</x:v>
      </x:c>
      <x:c r="BL648" s="6" t="str">
        <x:v>0</x:v>
      </x:c>
      <x:c r="BM648" s="6" t="str">
        <x:v>0</x:v>
      </x:c>
      <x:c r="BN648" s="6" t="str">
        <x:v>11</x:v>
      </x:c>
      <x:c r="BO648" s="6" t="str"/>
      <x:c r="BP648" s="6" t="str">
        <x:v>0</x:v>
      </x:c>
      <x:c r="BQ648" s="6" t="str"/>
      <x:c r="BR648" s="6" t="str">
        <x:v>0</x:v>
      </x:c>
      <x:c r="BS648" s="6" t="str">
        <x:v>145.0</x:v>
      </x:c>
      <x:c r="BT648" s="6" t="str">
        <x:v>11</x:v>
      </x:c>
      <x:c r="BU648" s="6" t="str">
        <x:v>489.0</x:v>
      </x:c>
      <x:c r="BV648" s="6" t="str">
        <x:v>2</x:v>
      </x:c>
      <x:c r="BW648" s="9" t="str">
        <x:v>operational_snapshot_annual_totals_may_differ</x:v>
      </x:c>
      <x:c r="BX648" s="9" t="str">
        <x:v>official_live_dashboard_snapshot_subject_to_revision</x:v>
      </x:c>
      <x:c r="BY648" s="9" t="str">
        <x:v>https://tbdashboard.sitb.id/ss_data_tbc03so_2025_provinsi_bulanan_list.php</x:v>
      </x:c>
      <x:c r="BZ648" s="6" t="n">
        <x:v>46246.610671296294</x:v>
      </x:c>
    </x:row>
    <x:row r="649" ht="18" customHeight="1">
      <x:c r="A649" s="6" t="str">
        <x:v>73</x:v>
      </x:c>
      <x:c r="B649" s="6" t="str">
        <x:v>SULAWESI SELATAN</x:v>
      </x:c>
      <x:c r="C649" s="6" t="str">
        <x:v>2025</x:v>
      </x:c>
      <x:c r="D649" s="6" t="str">
        <x:v>12</x:v>
      </x:c>
      <x:c r="E649" s="6" t="str">
        <x:v>2025-12</x:v>
      </x:c>
      <x:c r="F649" s="6" t="str">
        <x:v>2201</x:v>
      </x:c>
      <x:c r="G649" s="6" t="str">
        <x:v>456</x:v>
      </x:c>
      <x:c r="H649" s="6" t="str">
        <x:v>855</x:v>
      </x:c>
      <x:c r="I649" s="6" t="str">
        <x:v>195</x:v>
      </x:c>
      <x:c r="J649" s="6" t="str">
        <x:v>104</x:v>
      </x:c>
      <x:c r="K649" s="6" t="str">
        <x:v>3</x:v>
      </x:c>
      <x:c r="L649" s="6" t="str">
        <x:v>1</x:v>
      </x:c>
      <x:c r="M649" s="6" t="str">
        <x:v>587</x:v>
      </x:c>
      <x:c r="N649" s="6" t="str">
        <x:v>2201</x:v>
      </x:c>
      <x:c r="O649" s="6" t="str">
        <x:v>0</x:v>
      </x:c>
      <x:c r="P649" s="10" t="n">
        <x:f>F649-M649</x:f>
        <x:v>1614</x:v>
      </x:c>
      <x:c r="Q649" s="11" t="n">
        <x:f>IFERROR(M649/F649,"")</x:f>
        <x:v>0.2666969559291231</x:v>
      </x:c>
      <x:c r="R649" s="10" t="n">
        <x:f>G649+H649</x:f>
        <x:v>1311</x:v>
      </x:c>
      <x:c r="S649" s="11" t="n">
        <x:f>IFERROR(R649/F649,"")</x:f>
        <x:v>0.5956383462062699</x:v>
      </x:c>
      <x:c r="T649" s="11" t="n">
        <x:f>IFERROR(R649/P649,"")</x:f>
        <x:v>0.8122676579925651</x:v>
      </x:c>
      <x:c r="U649" s="10" t="n">
        <x:f>I649+J649+K649</x:f>
        <x:v>302</x:v>
      </x:c>
      <x:c r="V649" s="11" t="n">
        <x:f>IFERROR(U649/P649,"")</x:f>
        <x:v>0.18711276332094176</x:v>
      </x:c>
      <x:c r="W649" s="9" t="str">
        <x:v>provisional_gt_5pct_pending</x:v>
      </x:c>
      <x:c r="X649" s="12" t="n">
        <x:f>IFERROR(F649/Z649*100000,"")</x:f>
        <x:v>23.015549351151822</x:v>
      </x:c>
      <x:c r="Y649" s="13" t="n">
        <x:f>LN(Z649)</x:f>
        <x:v>16.073422500246576</x:v>
      </x:c>
      <x:c r="Z649" s="6" t="str">
        <x:v>9563100</x:v>
      </x:c>
      <x:c r="AA649" s="6" t="str">
        <x:v>211.0</x:v>
      </x:c>
      <x:c r="AB649" s="9" t="str">
        <x:v>2025-06-30</x:v>
      </x:c>
      <x:c r="AC649" s="8" t="str">
        <x:v>94.19</x:v>
      </x:c>
      <x:c r="AD649" s="9" t="str">
        <x:v>2025 (Susenas)</x:v>
      </x:c>
      <x:c r="AE649" s="8" t="str">
        <x:v>7.6</x:v>
      </x:c>
      <x:c r="AF649" s="9" t="str">
        <x:v>Maret 2025 (Susenas)</x:v>
      </x:c>
      <x:c r="AG649" s="6" t="str">
        <x:v>23.987933718872743</x:v>
      </x:c>
      <x:c r="AH649" s="8" t="str">
        <x:v>86.89996726421732</x:v>
      </x:c>
      <x:c r="AI649" s="6" t="str">
        <x:v>241.8874956075965</x:v>
      </x:c>
      <x:c r="AJ649" s="6" t="str">
        <x:v>0.2481039688297635</x:v>
      </x:c>
      <x:c r="AK649" s="8" t="str">
        <x:v>0.4926795478105563</x:v>
      </x:c>
      <x:c r="AL649" s="6" t="str">
        <x:v>-0.2770063784639783</x:v>
      </x:c>
      <x:c r="AM649" s="6" t="str">
        <x:v>1.4073078519235545</x:v>
      </x:c>
      <x:c r="AN649" s="6" t="str">
        <x:v>0.540993673756711</x:v>
      </x:c>
      <x:c r="AO649" s="6" t="str">
        <x:v>0.2162535541054637</x:v>
      </x:c>
      <x:c r="AP649" s="8" t="str">
        <x:v>0.0925034960134966</x:v>
      </x:c>
      <x:c r="AQ649" s="6" t="str">
        <x:v>0.8053913752238314</x:v>
      </x:c>
      <x:c r="AR649" s="6" t="str">
        <x:v>0.3164275680351368</x:v>
      </x:c>
      <x:c r="AS649" s="6" t="str">
        <x:v>0.4047741464241541</x:v>
      </x:c>
      <x:c r="AT649" s="6" t="str">
        <x:v>-83.61918028850286</x:v>
      </x:c>
      <x:c r="AU649" s="8" t="str">
        <x:v>-0.8500140621290312</x:v>
      </x:c>
      <x:c r="AV649" s="6" t="str">
        <x:v>0.2119957204439711</x:v>
      </x:c>
      <x:c r="AW649" s="6" t="str">
        <x:v>0.3248488497088637</x:v>
      </x:c>
      <x:c r="AX649" s="6" t="str">
        <x:v>-0.1043898306587319</x:v>
      </x:c>
      <x:c r="AY649" s="6" t="str">
        <x:v>0</x:v>
      </x:c>
      <x:c r="AZ649" s="6" t="str">
        <x:v>0</x:v>
      </x:c>
      <x:c r="BA649" s="9" t="str">
        <x:v>grid_cells_within_BIG_polygon</x:v>
      </x:c>
      <x:c r="BB649" s="6" t="str">
        <x:v>10</x:v>
      </x:c>
      <x:c r="BC649" s="6" t="str">
        <x:v>7</x:v>
      </x:c>
      <x:c r="BD649" s="6" t="str">
        <x:v>7</x:v>
      </x:c>
      <x:c r="BE649" s="6" t="str">
        <x:v>0</x:v>
      </x:c>
      <x:c r="BF649" s="6" t="str">
        <x:v>1</x:v>
      </x:c>
      <x:c r="BG649" s="6" t="str">
        <x:v>6</x:v>
      </x:c>
      <x:c r="BH649" s="6" t="str">
        <x:v>0</x:v>
      </x:c>
      <x:c r="BI649" s="6" t="str">
        <x:v>0</x:v>
      </x:c>
      <x:c r="BJ649" s="6" t="str">
        <x:v>0</x:v>
      </x:c>
      <x:c r="BK649" s="6" t="str">
        <x:v>0</x:v>
      </x:c>
      <x:c r="BL649" s="6" t="str">
        <x:v>0</x:v>
      </x:c>
      <x:c r="BM649" s="6" t="str">
        <x:v>0</x:v>
      </x:c>
      <x:c r="BN649" s="6" t="str">
        <x:v>7</x:v>
      </x:c>
      <x:c r="BO649" s="6" t="str"/>
      <x:c r="BP649" s="6" t="str">
        <x:v>0</x:v>
      </x:c>
      <x:c r="BQ649" s="6" t="str"/>
      <x:c r="BR649" s="6" t="str">
        <x:v>0</x:v>
      </x:c>
      <x:c r="BS649" s="6" t="str">
        <x:v>106.0</x:v>
      </x:c>
      <x:c r="BT649" s="6" t="str">
        <x:v>7</x:v>
      </x:c>
      <x:c r="BU649" s="6" t="str"/>
      <x:c r="BV649" s="6" t="str">
        <x:v>0</x:v>
      </x:c>
      <x:c r="BW649" s="9" t="str">
        <x:v>operational_snapshot_annual_totals_may_differ</x:v>
      </x:c>
      <x:c r="BX649" s="9" t="str">
        <x:v>official_live_dashboard_snapshot_subject_to_revision</x:v>
      </x:c>
      <x:c r="BY649" s="9" t="str">
        <x:v>https://tbdashboard.sitb.id/ss_data_tbc03so_2025_provinsi_bulanan_list.php</x:v>
      </x:c>
      <x:c r="BZ649" s="6" t="n">
        <x:v>46246.610671296294</x:v>
      </x:c>
    </x:row>
    <x:row r="650" ht="18" customHeight="1">
      <x:c r="A650" s="6" t="str">
        <x:v>74</x:v>
      </x:c>
      <x:c r="B650" s="6" t="str">
        <x:v>SULAWESI TENGGARA</x:v>
      </x:c>
      <x:c r="C650" s="6" t="str">
        <x:v>2024</x:v>
      </x:c>
      <x:c r="D650" s="6" t="str">
        <x:v>1</x:v>
      </x:c>
      <x:c r="E650" s="6" t="str">
        <x:v>2024-01</x:v>
      </x:c>
      <x:c r="F650" s="6" t="str">
        <x:v>603</x:v>
      </x:c>
      <x:c r="G650" s="6" t="str">
        <x:v>160</x:v>
      </x:c>
      <x:c r="H650" s="6" t="str">
        <x:v>348</x:v>
      </x:c>
      <x:c r="I650" s="6" t="str">
        <x:v>17</x:v>
      </x:c>
      <x:c r="J650" s="6" t="str">
        <x:v>31</x:v>
      </x:c>
      <x:c r="K650" s="6" t="str">
        <x:v>2</x:v>
      </x:c>
      <x:c r="L650" s="6" t="str">
        <x:v>15</x:v>
      </x:c>
      <x:c r="M650" s="6" t="str">
        <x:v>30</x:v>
      </x:c>
      <x:c r="N650" s="6" t="str">
        <x:v>603</x:v>
      </x:c>
      <x:c r="O650" s="6" t="str">
        <x:v>0</x:v>
      </x:c>
      <x:c r="P650" s="10" t="n">
        <x:f>F650-M650</x:f>
        <x:v>573</x:v>
      </x:c>
      <x:c r="Q650" s="11" t="n">
        <x:f>IFERROR(M650/F650,"")</x:f>
        <x:v>0.04975124378109453</x:v>
      </x:c>
      <x:c r="R650" s="10" t="n">
        <x:f>G650+H650</x:f>
        <x:v>508</x:v>
      </x:c>
      <x:c r="S650" s="11" t="n">
        <x:f>IFERROR(R650/F650,"")</x:f>
        <x:v>0.8424543946932007</x:v>
      </x:c>
      <x:c r="T650" s="11" t="n">
        <x:f>IFERROR(R650/P650,"")</x:f>
        <x:v>0.8865619546247818</x:v>
      </x:c>
      <x:c r="U650" s="10" t="n">
        <x:f>I650+J650+K650</x:f>
        <x:v>50</x:v>
      </x:c>
      <x:c r="V650" s="11" t="n">
        <x:f>IFERROR(U650/P650,"")</x:f>
        <x:v>0.08726003490401396</x:v>
      </x:c>
      <x:c r="W650" s="9" t="str">
        <x:v>mature_le_5pct_pending</x:v>
      </x:c>
      <x:c r="X650" s="12" t="n">
        <x:f>IFERROR(F650/Z650*100000,"")</x:f>
        <x:v>21.58891554187104</x:v>
      </x:c>
      <x:c r="Y650" s="13" t="n">
        <x:f>LN(Z650)</x:f>
        <x:v>14.842662648081575</x:v>
      </x:c>
      <x:c r="Z650" s="6" t="str">
        <x:v>2793100</x:v>
      </x:c>
      <x:c r="AA650" s="6" t="str">
        <x:v>77.0</x:v>
      </x:c>
      <x:c r="AB650" s="9" t="str">
        <x:v>2024-06-30</x:v>
      </x:c>
      <x:c r="AC650" s="8" t="str">
        <x:v>90.6</x:v>
      </x:c>
      <x:c r="AD650" s="9" t="str">
        <x:v>2024 (Susenas)</x:v>
      </x:c>
      <x:c r="AE650" s="8" t="str">
        <x:v>11.21</x:v>
      </x:c>
      <x:c r="AF650" s="9" t="str">
        <x:v>Maret 2024 (Susenas)</x:v>
      </x:c>
      <x:c r="AG650" s="6" t="str">
        <x:v>25.824815814402907</x:v>
      </x:c>
      <x:c r="AH650" s="8" t="str">
        <x:v>87.0119719350893</x:v>
      </x:c>
      <x:c r="AI650" s="6" t="str">
        <x:v>232.57466419503535</x:v>
      </x:c>
      <x:c r="AJ650" s="6" t="str">
        <x:v>0.8985348649949749</x:v>
      </x:c>
      <x:c r="AK650" s="8" t="str">
        <x:v>1.790085547109298</x:v>
      </x:c>
      <x:c r="AL650" s="6" t="str">
        <x:v>2.090022992022998</x:v>
      </x:c>
      <x:c r="AM650" s="6" t="str">
        <x:v>1.631312205270981</x:v>
      </x:c>
      <x:c r="AN650" s="6" t="str">
        <x:v>1.8371402481344252</x:v>
      </x:c>
      <x:c r="AO650" s="6" t="str">
        <x:v>-0.672521769255809</x:v>
      </x:c>
      <x:c r="AP650" s="8" t="str">
        <x:v>-0.263891680381341</x:v>
      </x:c>
      <x:c r="AQ650" s="6" t="str">
        <x:v>-0.7745869117846266</x:v>
      </x:c>
      <x:c r="AR650" s="6" t="str">
        <x:v>-0.556788540942482</x:v>
      </x:c>
      <x:c r="AS650" s="6" t="str">
        <x:v>-0.53175571103615</x:v>
      </x:c>
      <x:c r="AT650" s="6" t="str">
        <x:v>10.416812119362476</x:v>
      </x:c>
      <x:c r="AU650" s="8" t="str">
        <x:v>0.1095625917476905</x:v>
      </x:c>
      <x:c r="AV650" s="6" t="str">
        <x:v>-0.5353586788969765</x:v>
      </x:c>
      <x:c r="AW650" s="6" t="str">
        <x:v>-0.2574364868042839</x:v>
      </x:c>
      <x:c r="AX650" s="6" t="str">
        <x:v>-0.227744191317857</x:v>
      </x:c>
      <x:c r="AY650" s="6" t="str">
        <x:v>0</x:v>
      </x:c>
      <x:c r="AZ650" s="6" t="str">
        <x:v>1</x:v>
      </x:c>
      <x:c r="BA650" s="9" t="str">
        <x:v>grid_cells_within_BIG_polygon</x:v>
      </x:c>
      <x:c r="BB650" s="6" t="str">
        <x:v>7</x:v>
      </x:c>
      <x:c r="BC650" s="6" t="str">
        <x:v>3</x:v>
      </x:c>
      <x:c r="BD650" s="6" t="str">
        <x:v>3</x:v>
      </x:c>
      <x:c r="BE650" s="6" t="str">
        <x:v>2</x:v>
      </x:c>
      <x:c r="BF650" s="6" t="str">
        <x:v>0</x:v>
      </x:c>
      <x:c r="BG650" s="6" t="str">
        <x:v>1</x:v>
      </x:c>
      <x:c r="BH650" s="6" t="str">
        <x:v>0</x:v>
      </x:c>
      <x:c r="BI650" s="6" t="str">
        <x:v>0</x:v>
      </x:c>
      <x:c r="BJ650" s="6" t="str">
        <x:v>0</x:v>
      </x:c>
      <x:c r="BK650" s="6" t="str">
        <x:v>0</x:v>
      </x:c>
      <x:c r="BL650" s="6" t="str">
        <x:v>0</x:v>
      </x:c>
      <x:c r="BM650" s="6" t="str">
        <x:v>0</x:v>
      </x:c>
      <x:c r="BN650" s="6" t="str">
        <x:v>3</x:v>
      </x:c>
      <x:c r="BO650" s="6" t="str">
        <x:v>0.0</x:v>
      </x:c>
      <x:c r="BP650" s="6" t="str">
        <x:v>3</x:v>
      </x:c>
      <x:c r="BQ650" s="6" t="str">
        <x:v>0.0</x:v>
      </x:c>
      <x:c r="BR650" s="6" t="str">
        <x:v>3</x:v>
      </x:c>
      <x:c r="BS650" s="6" t="str">
        <x:v>69.0</x:v>
      </x:c>
      <x:c r="BT650" s="6" t="str">
        <x:v>3</x:v>
      </x:c>
      <x:c r="BU650" s="6" t="str">
        <x:v>1330.0</x:v>
      </x:c>
      <x:c r="BV650" s="6" t="str">
        <x:v>2</x:v>
      </x:c>
      <x:c r="BW650" s="9" t="str">
        <x:v>operational_snapshot_annual_totals_may_differ</x:v>
      </x:c>
      <x:c r="BX650" s="9" t="str">
        <x:v>official_live_dashboard_snapshot_subject_to_revision</x:v>
      </x:c>
      <x:c r="BY650" s="9" t="str">
        <x:v>https://tbdashboard.sitb.id/ss_data_tbc03so_2024_provinsi_bulanan_list.php</x:v>
      </x:c>
      <x:c r="BZ650" s="6" t="n">
        <x:v>46246.610671296294</x:v>
      </x:c>
    </x:row>
    <x:row r="651" ht="18" customHeight="1">
      <x:c r="A651" s="6" t="str">
        <x:v>74</x:v>
      </x:c>
      <x:c r="B651" s="6" t="str">
        <x:v>SULAWESI TENGGARA</x:v>
      </x:c>
      <x:c r="C651" s="6" t="str">
        <x:v>2024</x:v>
      </x:c>
      <x:c r="D651" s="6" t="str">
        <x:v>2</x:v>
      </x:c>
      <x:c r="E651" s="6" t="str">
        <x:v>2024-02</x:v>
      </x:c>
      <x:c r="F651" s="6" t="str">
        <x:v>437</x:v>
      </x:c>
      <x:c r="G651" s="6" t="str">
        <x:v>110</x:v>
      </x:c>
      <x:c r="H651" s="6" t="str">
        <x:v>251</x:v>
      </x:c>
      <x:c r="I651" s="6" t="str">
        <x:v>37</x:v>
      </x:c>
      <x:c r="J651" s="6" t="str">
        <x:v>20</x:v>
      </x:c>
      <x:c r="K651" s="6" t="str">
        <x:v>0</x:v>
      </x:c>
      <x:c r="L651" s="6" t="str">
        <x:v>2</x:v>
      </x:c>
      <x:c r="M651" s="6" t="str">
        <x:v>17</x:v>
      </x:c>
      <x:c r="N651" s="6" t="str">
        <x:v>437</x:v>
      </x:c>
      <x:c r="O651" s="6" t="str">
        <x:v>0</x:v>
      </x:c>
      <x:c r="P651" s="10" t="n">
        <x:f>F651-M651</x:f>
        <x:v>420</x:v>
      </x:c>
      <x:c r="Q651" s="11" t="n">
        <x:f>IFERROR(M651/F651,"")</x:f>
        <x:v>0.038901601830663615</x:v>
      </x:c>
      <x:c r="R651" s="10" t="n">
        <x:f>G651+H651</x:f>
        <x:v>361</x:v>
      </x:c>
      <x:c r="S651" s="11" t="n">
        <x:f>IFERROR(R651/F651,"")</x:f>
        <x:v>0.8260869565217391</x:v>
      </x:c>
      <x:c r="T651" s="11" t="n">
        <x:f>IFERROR(R651/P651,"")</x:f>
        <x:v>0.8595238095238096</x:v>
      </x:c>
      <x:c r="U651" s="10" t="n">
        <x:f>I651+J651+K651</x:f>
        <x:v>57</x:v>
      </x:c>
      <x:c r="V651" s="11" t="n">
        <x:f>IFERROR(U651/P651,"")</x:f>
        <x:v>0.1357142857142857</x:v>
      </x:c>
      <x:c r="W651" s="9" t="str">
        <x:v>mature_le_5pct_pending</x:v>
      </x:c>
      <x:c r="X651" s="12" t="n">
        <x:f>IFERROR(F651/Z651*100000,"")</x:f>
        <x:v>15.645698328022627</x:v>
      </x:c>
      <x:c r="Y651" s="13" t="n">
        <x:f>LN(Z651)</x:f>
        <x:v>14.842662648081575</x:v>
      </x:c>
      <x:c r="Z651" s="6" t="str">
        <x:v>2793100</x:v>
      </x:c>
      <x:c r="AA651" s="6" t="str">
        <x:v>77.0</x:v>
      </x:c>
      <x:c r="AB651" s="9" t="str">
        <x:v>2024-06-30</x:v>
      </x:c>
      <x:c r="AC651" s="8" t="str">
        <x:v>90.6</x:v>
      </x:c>
      <x:c r="AD651" s="9" t="str">
        <x:v>2024 (Susenas)</x:v>
      </x:c>
      <x:c r="AE651" s="8" t="str">
        <x:v>11.21</x:v>
      </x:c>
      <x:c r="AF651" s="9" t="str">
        <x:v>Maret 2024 (Susenas)</x:v>
      </x:c>
      <x:c r="AG651" s="6" t="str">
        <x:v>25.87052945025061</x:v>
      </x:c>
      <x:c r="AH651" s="8" t="str">
        <x:v>88.45083245566805</x:v>
      </x:c>
      <x:c r="AI651" s="6" t="str">
        <x:v>258.59445654906136</x:v>
      </x:c>
      <x:c r="AJ651" s="6" t="str">
        <x:v>1.0096969571973595</x:v>
      </x:c>
      <x:c r="AK651" s="8" t="str">
        <x:v>2.716208078102837</x:v>
      </x:c>
      <x:c r="AL651" s="6" t="str">
        <x:v>1.790085547109298</x:v>
      </x:c>
      <x:c r="AM651" s="6" t="str">
        <x:v>2.090022992022998</x:v>
      </x:c>
      <x:c r="AN651" s="6" t="str">
        <x:v>2.198772205745044</x:v>
      </x:c>
      <x:c r="AO651" s="6" t="str">
        <x:v>0.180504863213244</x:v>
      </x:c>
      <x:c r="AP651" s="8" t="str">
        <x:v>0.1222888041444785</x:v>
      </x:c>
      <x:c r="AQ651" s="6" t="str">
        <x:v>-0.263891680381341</x:v>
      </x:c>
      <x:c r="AR651" s="6" t="str">
        <x:v>-0.7745869117846266</x:v>
      </x:c>
      <x:c r="AS651" s="6" t="str">
        <x:v>-0.3053965960071632</x:v>
      </x:c>
      <x:c r="AT651" s="6" t="str">
        <x:v>43.892268663706005</x:v>
      </x:c>
      <x:c r="AU651" s="8" t="str">
        <x:v>0.5619493912009867</x:v>
      </x:c>
      <x:c r="AV651" s="6" t="str">
        <x:v>0.1095625917476905</x:v>
      </x:c>
      <x:c r="AW651" s="6" t="str">
        <x:v>-0.5353586788969765</x:v>
      </x:c>
      <x:c r="AX651" s="6" t="str">
        <x:v>0.0453844346838998</x:v>
      </x:c>
      <x:c r="AY651" s="6" t="str">
        <x:v>0</x:v>
      </x:c>
      <x:c r="AZ651" s="6" t="str">
        <x:v>1</x:v>
      </x:c>
      <x:c r="BA651" s="9" t="str">
        <x:v>grid_cells_within_BIG_polygon</x:v>
      </x:c>
      <x:c r="BB651" s="6" t="str">
        <x:v>7</x:v>
      </x:c>
      <x:c r="BC651" s="6" t="str">
        <x:v>3</x:v>
      </x:c>
      <x:c r="BD651" s="6" t="str">
        <x:v>3</x:v>
      </x:c>
      <x:c r="BE651" s="6" t="str">
        <x:v>2</x:v>
      </x:c>
      <x:c r="BF651" s="6" t="str">
        <x:v>0</x:v>
      </x:c>
      <x:c r="BG651" s="6" t="str">
        <x:v>1</x:v>
      </x:c>
      <x:c r="BH651" s="6" t="str">
        <x:v>0</x:v>
      </x:c>
      <x:c r="BI651" s="6" t="str">
        <x:v>0</x:v>
      </x:c>
      <x:c r="BJ651" s="6" t="str">
        <x:v>0</x:v>
      </x:c>
      <x:c r="BK651" s="6" t="str">
        <x:v>0</x:v>
      </x:c>
      <x:c r="BL651" s="6" t="str">
        <x:v>0</x:v>
      </x:c>
      <x:c r="BM651" s="6" t="str">
        <x:v>0</x:v>
      </x:c>
      <x:c r="BN651" s="6" t="str">
        <x:v>3</x:v>
      </x:c>
      <x:c r="BO651" s="6" t="str">
        <x:v>1.0</x:v>
      </x:c>
      <x:c r="BP651" s="6" t="str">
        <x:v>3</x:v>
      </x:c>
      <x:c r="BQ651" s="6" t="str">
        <x:v>0.0</x:v>
      </x:c>
      <x:c r="BR651" s="6" t="str">
        <x:v>3</x:v>
      </x:c>
      <x:c r="BS651" s="6" t="str">
        <x:v>0.0</x:v>
      </x:c>
      <x:c r="BT651" s="6" t="str">
        <x:v>3</x:v>
      </x:c>
      <x:c r="BU651" s="6" t="str">
        <x:v>61.0</x:v>
      </x:c>
      <x:c r="BV651" s="6" t="str">
        <x:v>2</x:v>
      </x:c>
      <x:c r="BW651" s="9" t="str">
        <x:v>operational_snapshot_annual_totals_may_differ</x:v>
      </x:c>
      <x:c r="BX651" s="9" t="str">
        <x:v>official_live_dashboard_snapshot_subject_to_revision</x:v>
      </x:c>
      <x:c r="BY651" s="9" t="str">
        <x:v>https://tbdashboard.sitb.id/ss_data_tbc03so_2024_provinsi_bulanan_list.php</x:v>
      </x:c>
      <x:c r="BZ651" s="6" t="n">
        <x:v>46246.610671296294</x:v>
      </x:c>
    </x:row>
    <x:row r="652" ht="18" customHeight="1">
      <x:c r="A652" s="6" t="str">
        <x:v>74</x:v>
      </x:c>
      <x:c r="B652" s="6" t="str">
        <x:v>SULAWESI TENGGARA</x:v>
      </x:c>
      <x:c r="C652" s="6" t="str">
        <x:v>2024</x:v>
      </x:c>
      <x:c r="D652" s="6" t="str">
        <x:v>3</x:v>
      </x:c>
      <x:c r="E652" s="6" t="str">
        <x:v>2024-03</x:v>
      </x:c>
      <x:c r="F652" s="6" t="str">
        <x:v>475</x:v>
      </x:c>
      <x:c r="G652" s="6" t="str">
        <x:v>118</x:v>
      </x:c>
      <x:c r="H652" s="6" t="str">
        <x:v>282</x:v>
      </x:c>
      <x:c r="I652" s="6" t="str">
        <x:v>27</x:v>
      </x:c>
      <x:c r="J652" s="6" t="str">
        <x:v>22</x:v>
      </x:c>
      <x:c r="K652" s="6" t="str">
        <x:v>1</x:v>
      </x:c>
      <x:c r="L652" s="6" t="str">
        <x:v>11</x:v>
      </x:c>
      <x:c r="M652" s="6" t="str">
        <x:v>14</x:v>
      </x:c>
      <x:c r="N652" s="6" t="str">
        <x:v>475</x:v>
      </x:c>
      <x:c r="O652" s="6" t="str">
        <x:v>0</x:v>
      </x:c>
      <x:c r="P652" s="10" t="n">
        <x:f>F652-M652</x:f>
        <x:v>461</x:v>
      </x:c>
      <x:c r="Q652" s="11" t="n">
        <x:f>IFERROR(M652/F652,"")</x:f>
        <x:v>0.029473684210526315</x:v>
      </x:c>
      <x:c r="R652" s="10" t="n">
        <x:f>G652+H652</x:f>
        <x:v>400</x:v>
      </x:c>
      <x:c r="S652" s="11" t="n">
        <x:f>IFERROR(R652/F652,"")</x:f>
        <x:v>0.8421052631578947</x:v>
      </x:c>
      <x:c r="T652" s="11" t="n">
        <x:f>IFERROR(R652/P652,"")</x:f>
        <x:v>0.8676789587852495</x:v>
      </x:c>
      <x:c r="U652" s="10" t="n">
        <x:f>I652+J652+K652</x:f>
        <x:v>50</x:v>
      </x:c>
      <x:c r="V652" s="11" t="n">
        <x:f>IFERROR(U652/P652,"")</x:f>
        <x:v>0.10845986984815618</x:v>
      </x:c>
      <x:c r="W652" s="9" t="str">
        <x:v>mature_le_5pct_pending</x:v>
      </x:c>
      <x:c r="X652" s="12" t="n">
        <x:f>IFERROR(F652/Z652*100000,"")</x:f>
        <x:v>17.006193834807203</x:v>
      </x:c>
      <x:c r="Y652" s="13" t="n">
        <x:f>LN(Z652)</x:f>
        <x:v>14.842662648081575</x:v>
      </x:c>
      <x:c r="Z652" s="6" t="str">
        <x:v>2793100</x:v>
      </x:c>
      <x:c r="AA652" s="6" t="str">
        <x:v>77.0</x:v>
      </x:c>
      <x:c r="AB652" s="9" t="str">
        <x:v>2024-06-30</x:v>
      </x:c>
      <x:c r="AC652" s="8" t="str">
        <x:v>90.6</x:v>
      </x:c>
      <x:c r="AD652" s="9" t="str">
        <x:v>2024 (Susenas)</x:v>
      </x:c>
      <x:c r="AE652" s="8" t="str">
        <x:v>11.21</x:v>
      </x:c>
      <x:c r="AF652" s="9" t="str">
        <x:v>Maret 2024 (Susenas)</x:v>
      </x:c>
      <x:c r="AG652" s="6" t="str">
        <x:v>25.75633958055317</x:v>
      </x:c>
      <x:c r="AH652" s="8" t="str">
        <x:v>89.57006826566302</x:v>
      </x:c>
      <x:c r="AI652" s="6" t="str">
        <x:v>311.54777843928844</x:v>
      </x:c>
      <x:c r="AJ652" s="6" t="str">
        <x:v>0.862431608108011</x:v>
      </x:c>
      <x:c r="AK652" s="8" t="str">
        <x:v>2.415899421411927</x:v>
      </x:c>
      <x:c r="AL652" s="6" t="str">
        <x:v>2.716208078102837</x:v>
      </x:c>
      <x:c r="AM652" s="6" t="str">
        <x:v>1.790085547109298</x:v>
      </x:c>
      <x:c r="AN652" s="6" t="str">
        <x:v>2.30739768220802</x:v>
      </x:c>
      <x:c r="AO652" s="6" t="str">
        <x:v>0.9293333199115636</x:v>
      </x:c>
      <x:c r="AP652" s="8" t="str">
        <x:v>0.8227780892726833</x:v>
      </x:c>
      <x:c r="AQ652" s="6" t="str">
        <x:v>0.1222888041444785</x:v>
      </x:c>
      <x:c r="AR652" s="6" t="str">
        <x:v>-0.263891680381341</x:v>
      </x:c>
      <x:c r="AS652" s="6" t="str">
        <x:v>0.2270584043452733</x:v>
      </x:c>
      <x:c r="AT652" s="6" t="str">
        <x:v>55.67340099837992</x:v>
      </x:c>
      <x:c r="AU652" s="8" t="str">
        <x:v>0.6968239775192742</x:v>
      </x:c>
      <x:c r="AV652" s="6" t="str">
        <x:v>0.5619493912009867</x:v>
      </x:c>
      <x:c r="AW652" s="6" t="str">
        <x:v>0.1095625917476905</x:v>
      </x:c>
      <x:c r="AX652" s="6" t="str">
        <x:v>0.45611198682265</x:v>
      </x:c>
      <x:c r="AY652" s="6" t="str">
        <x:v>0</x:v>
      </x:c>
      <x:c r="AZ652" s="6" t="str">
        <x:v>1</x:v>
      </x:c>
      <x:c r="BA652" s="9" t="str">
        <x:v>grid_cells_within_BIG_polygon</x:v>
      </x:c>
      <x:c r="BB652" s="6" t="str">
        <x:v>7</x:v>
      </x:c>
      <x:c r="BC652" s="6" t="str">
        <x:v>4</x:v>
      </x:c>
      <x:c r="BD652" s="6" t="str">
        <x:v>4</x:v>
      </x:c>
      <x:c r="BE652" s="6" t="str">
        <x:v>3</x:v>
      </x:c>
      <x:c r="BF652" s="6" t="str">
        <x:v>0</x:v>
      </x:c>
      <x:c r="BG652" s="6" t="str">
        <x:v>1</x:v>
      </x:c>
      <x:c r="BH652" s="6" t="str">
        <x:v>0</x:v>
      </x:c>
      <x:c r="BI652" s="6" t="str">
        <x:v>0</x:v>
      </x:c>
      <x:c r="BJ652" s="6" t="str">
        <x:v>0</x:v>
      </x:c>
      <x:c r="BK652" s="6" t="str">
        <x:v>0</x:v>
      </x:c>
      <x:c r="BL652" s="6" t="str">
        <x:v>0</x:v>
      </x:c>
      <x:c r="BM652" s="6" t="str">
        <x:v>0</x:v>
      </x:c>
      <x:c r="BN652" s="6" t="str">
        <x:v>4</x:v>
      </x:c>
      <x:c r="BO652" s="6" t="str">
        <x:v>1.0</x:v>
      </x:c>
      <x:c r="BP652" s="6" t="str">
        <x:v>4</x:v>
      </x:c>
      <x:c r="BQ652" s="6" t="str">
        <x:v>2.0</x:v>
      </x:c>
      <x:c r="BR652" s="6" t="str">
        <x:v>4</x:v>
      </x:c>
      <x:c r="BS652" s="6" t="str">
        <x:v>18.0</x:v>
      </x:c>
      <x:c r="BT652" s="6" t="str">
        <x:v>4</x:v>
      </x:c>
      <x:c r="BU652" s="6" t="str">
        <x:v>3528.0</x:v>
      </x:c>
      <x:c r="BV652" s="6" t="str">
        <x:v>3</x:v>
      </x:c>
      <x:c r="BW652" s="9" t="str">
        <x:v>operational_snapshot_annual_totals_may_differ</x:v>
      </x:c>
      <x:c r="BX652" s="9" t="str">
        <x:v>official_live_dashboard_snapshot_subject_to_revision</x:v>
      </x:c>
      <x:c r="BY652" s="9" t="str">
        <x:v>https://tbdashboard.sitb.id/ss_data_tbc03so_2024_provinsi_bulanan_list.php</x:v>
      </x:c>
      <x:c r="BZ652" s="6" t="n">
        <x:v>46246.610671296294</x:v>
      </x:c>
    </x:row>
    <x:row r="653" ht="18" customHeight="1">
      <x:c r="A653" s="6" t="str">
        <x:v>74</x:v>
      </x:c>
      <x:c r="B653" s="6" t="str">
        <x:v>SULAWESI TENGGARA</x:v>
      </x:c>
      <x:c r="C653" s="6" t="str">
        <x:v>2024</x:v>
      </x:c>
      <x:c r="D653" s="6" t="str">
        <x:v>4</x:v>
      </x:c>
      <x:c r="E653" s="6" t="str">
        <x:v>2024-04</x:v>
      </x:c>
      <x:c r="F653" s="6" t="str">
        <x:v>463</x:v>
      </x:c>
      <x:c r="G653" s="6" t="str">
        <x:v>132</x:v>
      </x:c>
      <x:c r="H653" s="6" t="str">
        <x:v>256</x:v>
      </x:c>
      <x:c r="I653" s="6" t="str">
        <x:v>26</x:v>
      </x:c>
      <x:c r="J653" s="6" t="str">
        <x:v>30</x:v>
      </x:c>
      <x:c r="K653" s="6" t="str">
        <x:v>0</x:v>
      </x:c>
      <x:c r="L653" s="6" t="str">
        <x:v>5</x:v>
      </x:c>
      <x:c r="M653" s="6" t="str">
        <x:v>14</x:v>
      </x:c>
      <x:c r="N653" s="6" t="str">
        <x:v>463</x:v>
      </x:c>
      <x:c r="O653" s="6" t="str">
        <x:v>0</x:v>
      </x:c>
      <x:c r="P653" s="10" t="n">
        <x:f>F653-M653</x:f>
        <x:v>449</x:v>
      </x:c>
      <x:c r="Q653" s="11" t="n">
        <x:f>IFERROR(M653/F653,"")</x:f>
        <x:v>0.03023758099352052</x:v>
      </x:c>
      <x:c r="R653" s="10" t="n">
        <x:f>G653+H653</x:f>
        <x:v>388</x:v>
      </x:c>
      <x:c r="S653" s="11" t="n">
        <x:f>IFERROR(R653/F653,"")</x:f>
        <x:v>0.838012958963283</x:v>
      </x:c>
      <x:c r="T653" s="11" t="n">
        <x:f>IFERROR(R653/P653,"")</x:f>
        <x:v>0.8641425389755011</x:v>
      </x:c>
      <x:c r="U653" s="10" t="n">
        <x:f>I653+J653+K653</x:f>
        <x:v>56</x:v>
      </x:c>
      <x:c r="V653" s="11" t="n">
        <x:f>IFERROR(U653/P653,"")</x:f>
        <x:v>0.12472160356347439</x:v>
      </x:c>
      <x:c r="W653" s="9" t="str">
        <x:v>mature_le_5pct_pending</x:v>
      </x:c>
      <x:c r="X653" s="12" t="n">
        <x:f>IFERROR(F653/Z653*100000,"")</x:f>
        <x:v>16.576563674769968</x:v>
      </x:c>
      <x:c r="Y653" s="13" t="n">
        <x:f>LN(Z653)</x:f>
        <x:v>14.842662648081575</x:v>
      </x:c>
      <x:c r="Z653" s="6" t="str">
        <x:v>2793100</x:v>
      </x:c>
      <x:c r="AA653" s="6" t="str">
        <x:v>77.0</x:v>
      </x:c>
      <x:c r="AB653" s="9" t="str">
        <x:v>2024-06-30</x:v>
      </x:c>
      <x:c r="AC653" s="8" t="str">
        <x:v>90.6</x:v>
      </x:c>
      <x:c r="AD653" s="9" t="str">
        <x:v>2024 (Susenas)</x:v>
      </x:c>
      <x:c r="AE653" s="8" t="str">
        <x:v>11.21</x:v>
      </x:c>
      <x:c r="AF653" s="9" t="str">
        <x:v>Maret 2024 (Susenas)</x:v>
      </x:c>
      <x:c r="AG653" s="6" t="str">
        <x:v>25.76632955268696</x:v>
      </x:c>
      <x:c r="AH653" s="8" t="str">
        <x:v>90.55169054061244</x:v>
      </x:c>
      <x:c r="AI653" s="6" t="str">
        <x:v>299.26123113341924</x:v>
      </x:c>
      <x:c r="AJ653" s="6" t="str">
        <x:v>0.8996035483902673</x:v>
      </x:c>
      <x:c r="AK653" s="8" t="str">
        <x:v>2.925460315457796</x:v>
      </x:c>
      <x:c r="AL653" s="6" t="str">
        <x:v>2.415899421411927</x:v>
      </x:c>
      <x:c r="AM653" s="6" t="str">
        <x:v>2.716208078102837</x:v>
      </x:c>
      <x:c r="AN653" s="6" t="str">
        <x:v>2.6858559383241865</x:v>
      </x:c>
      <x:c r="AO653" s="6" t="str">
        <x:v>0.9872659496296876</x:v>
      </x:c>
      <x:c r="AP653" s="8" t="str">
        <x:v>1.0967375854832548</x:v>
      </x:c>
      <x:c r="AQ653" s="6" t="str">
        <x:v>0.8227780892726833</x:v>
      </x:c>
      <x:c r="AR653" s="6" t="str">
        <x:v>0.1222888041444785</x:v>
      </x:c>
      <x:c r="AS653" s="6" t="str">
        <x:v>0.6806014929668054</x:v>
      </x:c>
      <x:c r="AT653" s="6" t="str">
        <x:v>37.1672104785423</x:v>
      </x:c>
      <x:c r="AU653" s="8" t="str">
        <x:v>0.5523934893621487</x:v>
      </x:c>
      <x:c r="AV653" s="6" t="str">
        <x:v>0.6968239775192742</x:v>
      </x:c>
      <x:c r="AW653" s="6" t="str">
        <x:v>0.5619493912009867</x:v>
      </x:c>
      <x:c r="AX653" s="6" t="str">
        <x:v>0.6037222860274695</x:v>
      </x:c>
      <x:c r="AY653" s="6" t="str">
        <x:v>0</x:v>
      </x:c>
      <x:c r="AZ653" s="6" t="str">
        <x:v>1</x:v>
      </x:c>
      <x:c r="BA653" s="9" t="str">
        <x:v>grid_cells_within_BIG_polygon</x:v>
      </x:c>
      <x:c r="BB653" s="6" t="str">
        <x:v>7</x:v>
      </x:c>
      <x:c r="BC653" s="6" t="str">
        <x:v>0</x:v>
      </x:c>
      <x:c r="BD653" s="6" t="str">
        <x:v>0</x:v>
      </x:c>
      <x:c r="BE653" s="6" t="str">
        <x:v>0</x:v>
      </x:c>
      <x:c r="BF653" s="6" t="str">
        <x:v>0</x:v>
      </x:c>
      <x:c r="BG653" s="6" t="str">
        <x:v>0</x:v>
      </x:c>
      <x:c r="BH653" s="6" t="str">
        <x:v>0</x:v>
      </x:c>
      <x:c r="BI653" s="6" t="str">
        <x:v>0</x:v>
      </x:c>
      <x:c r="BJ653" s="6" t="str">
        <x:v>0</x:v>
      </x:c>
      <x:c r="BK653" s="6" t="str">
        <x:v>0</x:v>
      </x:c>
      <x:c r="BL653" s="6" t="str">
        <x:v>0</x:v>
      </x:c>
      <x:c r="BM653" s="6" t="str">
        <x:v>0</x:v>
      </x:c>
      <x:c r="BN653" s="6" t="str">
        <x:v>0</x:v>
      </x:c>
      <x:c r="BO653" s="6" t="str"/>
      <x:c r="BP653" s="6" t="str">
        <x:v>0</x:v>
      </x:c>
      <x:c r="BQ653" s="6" t="str"/>
      <x:c r="BR653" s="6" t="str">
        <x:v>0</x:v>
      </x:c>
      <x:c r="BS653" s="6" t="str"/>
      <x:c r="BT653" s="6" t="str">
        <x:v>0</x:v>
      </x:c>
      <x:c r="BU653" s="6" t="str"/>
      <x:c r="BV653" s="6" t="str">
        <x:v>0</x:v>
      </x:c>
      <x:c r="BW653" s="9" t="str">
        <x:v>operational_snapshot_annual_totals_may_differ</x:v>
      </x:c>
      <x:c r="BX653" s="9" t="str">
        <x:v>official_live_dashboard_snapshot_subject_to_revision</x:v>
      </x:c>
      <x:c r="BY653" s="9" t="str">
        <x:v>https://tbdashboard.sitb.id/ss_data_tbc03so_2024_provinsi_bulanan_list.php</x:v>
      </x:c>
      <x:c r="BZ653" s="6" t="n">
        <x:v>46246.610671296294</x:v>
      </x:c>
    </x:row>
    <x:row r="654" ht="18" customHeight="1">
      <x:c r="A654" s="6" t="str">
        <x:v>74</x:v>
      </x:c>
      <x:c r="B654" s="6" t="str">
        <x:v>SULAWESI TENGGARA</x:v>
      </x:c>
      <x:c r="C654" s="6" t="str">
        <x:v>2024</x:v>
      </x:c>
      <x:c r="D654" s="6" t="str">
        <x:v>5</x:v>
      </x:c>
      <x:c r="E654" s="6" t="str">
        <x:v>2024-05</x:v>
      </x:c>
      <x:c r="F654" s="6" t="str">
        <x:v>539</x:v>
      </x:c>
      <x:c r="G654" s="6" t="str">
        <x:v>154</x:v>
      </x:c>
      <x:c r="H654" s="6" t="str">
        <x:v>305</x:v>
      </x:c>
      <x:c r="I654" s="6" t="str">
        <x:v>26</x:v>
      </x:c>
      <x:c r="J654" s="6" t="str">
        <x:v>26</x:v>
      </x:c>
      <x:c r="K654" s="6" t="str">
        <x:v>1</x:v>
      </x:c>
      <x:c r="L654" s="6" t="str">
        <x:v>3</x:v>
      </x:c>
      <x:c r="M654" s="6" t="str">
        <x:v>24</x:v>
      </x:c>
      <x:c r="N654" s="6" t="str">
        <x:v>539</x:v>
      </x:c>
      <x:c r="O654" s="6" t="str">
        <x:v>0</x:v>
      </x:c>
      <x:c r="P654" s="10" t="n">
        <x:f>F654-M654</x:f>
        <x:v>515</x:v>
      </x:c>
      <x:c r="Q654" s="11" t="n">
        <x:f>IFERROR(M654/F654,"")</x:f>
        <x:v>0.04452690166975881</x:v>
      </x:c>
      <x:c r="R654" s="10" t="n">
        <x:f>G654+H654</x:f>
        <x:v>459</x:v>
      </x:c>
      <x:c r="S654" s="11" t="n">
        <x:f>IFERROR(R654/F654,"")</x:f>
        <x:v>0.8515769944341373</x:v>
      </x:c>
      <x:c r="T654" s="11" t="n">
        <x:f>IFERROR(R654/P654,"")</x:f>
        <x:v>0.8912621359223301</x:v>
      </x:c>
      <x:c r="U654" s="10" t="n">
        <x:f>I654+J654+K654</x:f>
        <x:v>53</x:v>
      </x:c>
      <x:c r="V654" s="11" t="n">
        <x:f>IFERROR(U654/P654,"")</x:f>
        <x:v>0.1029126213592233</x:v>
      </x:c>
      <x:c r="W654" s="9" t="str">
        <x:v>mature_le_5pct_pending</x:v>
      </x:c>
      <x:c r="X654" s="12" t="n">
        <x:f>IFERROR(F654/Z654*100000,"")</x:f>
        <x:v>19.297554688339122</x:v>
      </x:c>
      <x:c r="Y654" s="13" t="n">
        <x:f>LN(Z654)</x:f>
        <x:v>14.842662648081575</x:v>
      </x:c>
      <x:c r="Z654" s="6" t="str">
        <x:v>2793100</x:v>
      </x:c>
      <x:c r="AA654" s="6" t="str">
        <x:v>77.0</x:v>
      </x:c>
      <x:c r="AB654" s="9" t="str">
        <x:v>2024-06-30</x:v>
      </x:c>
      <x:c r="AC654" s="8" t="str">
        <x:v>90.6</x:v>
      </x:c>
      <x:c r="AD654" s="9" t="str">
        <x:v>2024 (Susenas)</x:v>
      </x:c>
      <x:c r="AE654" s="8" t="str">
        <x:v>11.21</x:v>
      </x:c>
      <x:c r="AF654" s="9" t="str">
        <x:v>Maret 2024 (Susenas)</x:v>
      </x:c>
      <x:c r="AG654" s="6" t="str">
        <x:v>25.404902545064388</x:v>
      </x:c>
      <x:c r="AH654" s="8" t="str">
        <x:v>90.96145186559792</x:v>
      </x:c>
      <x:c r="AI654" s="6" t="str">
        <x:v>322.8575447299482</x:v>
      </x:c>
      <x:c r="AJ654" s="6" t="str">
        <x:v>0.7676957001693978</x:v>
      </x:c>
      <x:c r="AK654" s="8" t="str">
        <x:v>2.022709988113931</x:v>
      </x:c>
      <x:c r="AL654" s="6" t="str">
        <x:v>2.925460315457796</x:v>
      </x:c>
      <x:c r="AM654" s="6" t="str">
        <x:v>2.415899421411927</x:v>
      </x:c>
      <x:c r="AN654" s="6" t="str">
        <x:v>2.4546899083278846</x:v>
      </x:c>
      <x:c r="AO654" s="6" t="str">
        <x:v>1.3427172612599634</x:v>
      </x:c>
      <x:c r="AP654" s="8" t="str">
        <x:v>1.0078196385613751</x:v>
      </x:c>
      <x:c r="AQ654" s="6" t="str">
        <x:v>1.0967375854832548</x:v>
      </x:c>
      <x:c r="AR654" s="6" t="str">
        <x:v>0.8227780892726833</x:v>
      </x:c>
      <x:c r="AS654" s="6" t="str">
        <x:v>0.9757784377724376</x:v>
      </x:c>
      <x:c r="AT654" s="6" t="str">
        <x:v>62.40542593971247</x:v>
      </x:c>
      <x:c r="AU654" s="8" t="str">
        <x:v>0.7520306372375237</x:v>
      </x:c>
      <x:c r="AV654" s="6" t="str">
        <x:v>0.5523934893621487</x:v>
      </x:c>
      <x:c r="AW654" s="6" t="str">
        <x:v>0.6968239775192742</x:v>
      </x:c>
      <x:c r="AX654" s="6" t="str">
        <x:v>0.6670827013729818</x:v>
      </x:c>
      <x:c r="AY654" s="6" t="str">
        <x:v>0</x:v>
      </x:c>
      <x:c r="AZ654" s="6" t="str">
        <x:v>1</x:v>
      </x:c>
      <x:c r="BA654" s="9" t="str">
        <x:v>grid_cells_within_BIG_polygon</x:v>
      </x:c>
      <x:c r="BB654" s="6" t="str">
        <x:v>7</x:v>
      </x:c>
      <x:c r="BC654" s="6" t="str">
        <x:v>3</x:v>
      </x:c>
      <x:c r="BD654" s="6" t="str">
        <x:v>3</x:v>
      </x:c>
      <x:c r="BE654" s="6" t="str">
        <x:v>3</x:v>
      </x:c>
      <x:c r="BF654" s="6" t="str">
        <x:v>0</x:v>
      </x:c>
      <x:c r="BG654" s="6" t="str">
        <x:v>0</x:v>
      </x:c>
      <x:c r="BH654" s="6" t="str">
        <x:v>0</x:v>
      </x:c>
      <x:c r="BI654" s="6" t="str">
        <x:v>0</x:v>
      </x:c>
      <x:c r="BJ654" s="6" t="str">
        <x:v>0</x:v>
      </x:c>
      <x:c r="BK654" s="6" t="str">
        <x:v>0</x:v>
      </x:c>
      <x:c r="BL654" s="6" t="str">
        <x:v>0</x:v>
      </x:c>
      <x:c r="BM654" s="6" t="str">
        <x:v>0</x:v>
      </x:c>
      <x:c r="BN654" s="6" t="str">
        <x:v>3</x:v>
      </x:c>
      <x:c r="BO654" s="6" t="str">
        <x:v>0.0</x:v>
      </x:c>
      <x:c r="BP654" s="6" t="str">
        <x:v>3</x:v>
      </x:c>
      <x:c r="BQ654" s="6" t="str">
        <x:v>0.0</x:v>
      </x:c>
      <x:c r="BR654" s="6" t="str">
        <x:v>3</x:v>
      </x:c>
      <x:c r="BS654" s="6" t="str">
        <x:v>1.0</x:v>
      </x:c>
      <x:c r="BT654" s="6" t="str">
        <x:v>3</x:v>
      </x:c>
      <x:c r="BU654" s="6" t="str">
        <x:v>374.0</x:v>
      </x:c>
      <x:c r="BV654" s="6" t="str">
        <x:v>3</x:v>
      </x:c>
      <x:c r="BW654" s="9" t="str">
        <x:v>operational_snapshot_annual_totals_may_differ</x:v>
      </x:c>
      <x:c r="BX654" s="9" t="str">
        <x:v>official_live_dashboard_snapshot_subject_to_revision</x:v>
      </x:c>
      <x:c r="BY654" s="9" t="str">
        <x:v>https://tbdashboard.sitb.id/ss_data_tbc03so_2024_provinsi_bulanan_list.php</x:v>
      </x:c>
      <x:c r="BZ654" s="6" t="n">
        <x:v>46246.610671296294</x:v>
      </x:c>
    </x:row>
    <x:row r="655" ht="18" customHeight="1">
      <x:c r="A655" s="6" t="str">
        <x:v>74</x:v>
      </x:c>
      <x:c r="B655" s="6" t="str">
        <x:v>SULAWESI TENGGARA</x:v>
      </x:c>
      <x:c r="C655" s="6" t="str">
        <x:v>2024</x:v>
      </x:c>
      <x:c r="D655" s="6" t="str">
        <x:v>6</x:v>
      </x:c>
      <x:c r="E655" s="6" t="str">
        <x:v>2024-06</x:v>
      </x:c>
      <x:c r="F655" s="6" t="str">
        <x:v>499</x:v>
      </x:c>
      <x:c r="G655" s="6" t="str">
        <x:v>140</x:v>
      </x:c>
      <x:c r="H655" s="6" t="str">
        <x:v>275</x:v>
      </x:c>
      <x:c r="I655" s="6" t="str">
        <x:v>25</x:v>
      </x:c>
      <x:c r="J655" s="6" t="str">
        <x:v>32</x:v>
      </x:c>
      <x:c r="K655" s="6" t="str">
        <x:v>2</x:v>
      </x:c>
      <x:c r="L655" s="6" t="str">
        <x:v>3</x:v>
      </x:c>
      <x:c r="M655" s="6" t="str">
        <x:v>22</x:v>
      </x:c>
      <x:c r="N655" s="6" t="str">
        <x:v>499</x:v>
      </x:c>
      <x:c r="O655" s="6" t="str">
        <x:v>0</x:v>
      </x:c>
      <x:c r="P655" s="10" t="n">
        <x:f>F655-M655</x:f>
        <x:v>477</x:v>
      </x:c>
      <x:c r="Q655" s="11" t="n">
        <x:f>IFERROR(M655/F655,"")</x:f>
        <x:v>0.04408817635270541</x:v>
      </x:c>
      <x:c r="R655" s="10" t="n">
        <x:f>G655+H655</x:f>
        <x:v>415</x:v>
      </x:c>
      <x:c r="S655" s="11" t="n">
        <x:f>IFERROR(R655/F655,"")</x:f>
        <x:v>0.8316633266533067</x:v>
      </x:c>
      <x:c r="T655" s="11" t="n">
        <x:f>IFERROR(R655/P655,"")</x:f>
        <x:v>0.870020964360587</x:v>
      </x:c>
      <x:c r="U655" s="10" t="n">
        <x:f>I655+J655+K655</x:f>
        <x:v>59</x:v>
      </x:c>
      <x:c r="V655" s="11" t="n">
        <x:f>IFERROR(U655/P655,"")</x:f>
        <x:v>0.12368972746331237</x:v>
      </x:c>
      <x:c r="W655" s="9" t="str">
        <x:v>mature_le_5pct_pending</x:v>
      </x:c>
      <x:c r="X655" s="12" t="n">
        <x:f>IFERROR(F655/Z655*100000,"")</x:f>
        <x:v>17.865454154881675</x:v>
      </x:c>
      <x:c r="Y655" s="13" t="n">
        <x:f>LN(Z655)</x:f>
        <x:v>14.842662648081575</x:v>
      </x:c>
      <x:c r="Z655" s="6" t="str">
        <x:v>2793100</x:v>
      </x:c>
      <x:c r="AA655" s="6" t="str">
        <x:v>77.0</x:v>
      </x:c>
      <x:c r="AB655" s="9" t="str">
        <x:v>2024-06-30</x:v>
      </x:c>
      <x:c r="AC655" s="8" t="str">
        <x:v>90.6</x:v>
      </x:c>
      <x:c r="AD655" s="9" t="str">
        <x:v>2024 (Susenas)</x:v>
      </x:c>
      <x:c r="AE655" s="8" t="str">
        <x:v>11.21</x:v>
      </x:c>
      <x:c r="AF655" s="9" t="str">
        <x:v>Maret 2024 (Susenas)</x:v>
      </x:c>
      <x:c r="AG655" s="6" t="str">
        <x:v>24.604930550927968</x:v>
      </x:c>
      <x:c r="AH655" s="8" t="str">
        <x:v>90.01436518510164</x:v>
      </x:c>
      <x:c r="AI655" s="6" t="str">
        <x:v>198.6758147085083</x:v>
      </x:c>
      <x:c r="AJ655" s="6" t="str">
        <x:v>0.5909575443242154</x:v>
      </x:c>
      <x:c r="AK655" s="8" t="str">
        <x:v>1.9768270174620717</x:v>
      </x:c>
      <x:c r="AL655" s="6" t="str">
        <x:v>2.022709988113931</x:v>
      </x:c>
      <x:c r="AM655" s="6" t="str">
        <x:v>2.925460315457796</x:v>
      </x:c>
      <x:c r="AN655" s="6" t="str">
        <x:v>2.3083324403445995</x:v>
      </x:c>
      <x:c r="AO655" s="6" t="str">
        <x:v>0.4492442641460883</x:v>
      </x:c>
      <x:c r="AP655" s="8" t="str">
        <x:v>0.1967285614843026</x:v>
      </x:c>
      <x:c r="AQ655" s="6" t="str">
        <x:v>1.0078196385613751</x:v>
      </x:c>
      <x:c r="AR655" s="6" t="str">
        <x:v>1.0967375854832548</x:v>
      </x:c>
      <x:c r="AS655" s="6" t="str">
        <x:v>0.7670952618429774</x:v>
      </x:c>
      <x:c r="AT655" s="6" t="str">
        <x:v>-42.7766468681094</x:v>
      </x:c>
      <x:c r="AU655" s="8" t="str">
        <x:v>-0.4353709341810359</x:v>
      </x:c>
      <x:c r="AV655" s="6" t="str">
        <x:v>0.7520306372375237</x:v>
      </x:c>
      <x:c r="AW655" s="6" t="str">
        <x:v>0.5523934893621487</x:v>
      </x:c>
      <x:c r="AX655" s="6" t="str">
        <x:v>0.2896843974728784</x:v>
      </x:c>
      <x:c r="AY655" s="6" t="str">
        <x:v>0</x:v>
      </x:c>
      <x:c r="AZ655" s="6" t="str">
        <x:v>1</x:v>
      </x:c>
      <x:c r="BA655" s="9" t="str">
        <x:v>grid_cells_within_BIG_polygon</x:v>
      </x:c>
      <x:c r="BB655" s="6" t="str">
        <x:v>7</x:v>
      </x:c>
      <x:c r="BC655" s="6" t="str">
        <x:v>1</x:v>
      </x:c>
      <x:c r="BD655" s="6" t="str">
        <x:v>1</x:v>
      </x:c>
      <x:c r="BE655" s="6" t="str">
        <x:v>1</x:v>
      </x:c>
      <x:c r="BF655" s="6" t="str">
        <x:v>0</x:v>
      </x:c>
      <x:c r="BG655" s="6" t="str">
        <x:v>0</x:v>
      </x:c>
      <x:c r="BH655" s="6" t="str">
        <x:v>0</x:v>
      </x:c>
      <x:c r="BI655" s="6" t="str">
        <x:v>0</x:v>
      </x:c>
      <x:c r="BJ655" s="6" t="str">
        <x:v>0</x:v>
      </x:c>
      <x:c r="BK655" s="6" t="str">
        <x:v>0</x:v>
      </x:c>
      <x:c r="BL655" s="6" t="str">
        <x:v>0</x:v>
      </x:c>
      <x:c r="BM655" s="6" t="str">
        <x:v>0</x:v>
      </x:c>
      <x:c r="BN655" s="6" t="str">
        <x:v>1</x:v>
      </x:c>
      <x:c r="BO655" s="6" t="str">
        <x:v>0.0</x:v>
      </x:c>
      <x:c r="BP655" s="6" t="str">
        <x:v>1</x:v>
      </x:c>
      <x:c r="BQ655" s="6" t="str">
        <x:v>0.0</x:v>
      </x:c>
      <x:c r="BR655" s="6" t="str">
        <x:v>1</x:v>
      </x:c>
      <x:c r="BS655" s="6" t="str">
        <x:v>0.0</x:v>
      </x:c>
      <x:c r="BT655" s="6" t="str">
        <x:v>1</x:v>
      </x:c>
      <x:c r="BU655" s="6" t="str">
        <x:v>104.0</x:v>
      </x:c>
      <x:c r="BV655" s="6" t="str">
        <x:v>1</x:v>
      </x:c>
      <x:c r="BW655" s="9" t="str">
        <x:v>operational_snapshot_annual_totals_may_differ</x:v>
      </x:c>
      <x:c r="BX655" s="9" t="str">
        <x:v>official_live_dashboard_snapshot_subject_to_revision</x:v>
      </x:c>
      <x:c r="BY655" s="9" t="str">
        <x:v>https://tbdashboard.sitb.id/ss_data_tbc03so_2024_provinsi_bulanan_list.php</x:v>
      </x:c>
      <x:c r="BZ655" s="6" t="n">
        <x:v>46246.610671296294</x:v>
      </x:c>
    </x:row>
    <x:row r="656" ht="18" customHeight="1">
      <x:c r="A656" s="6" t="str">
        <x:v>74</x:v>
      </x:c>
      <x:c r="B656" s="6" t="str">
        <x:v>SULAWESI TENGGARA</x:v>
      </x:c>
      <x:c r="C656" s="6" t="str">
        <x:v>2024</x:v>
      </x:c>
      <x:c r="D656" s="6" t="str">
        <x:v>7</x:v>
      </x:c>
      <x:c r="E656" s="6" t="str">
        <x:v>2024-07</x:v>
      </x:c>
      <x:c r="F656" s="6" t="str">
        <x:v>580</x:v>
      </x:c>
      <x:c r="G656" s="6" t="str">
        <x:v>156</x:v>
      </x:c>
      <x:c r="H656" s="6" t="str">
        <x:v>324</x:v>
      </x:c>
      <x:c r="I656" s="6" t="str">
        <x:v>35</x:v>
      </x:c>
      <x:c r="J656" s="6" t="str">
        <x:v>27</x:v>
      </x:c>
      <x:c r="K656" s="6" t="str">
        <x:v>1</x:v>
      </x:c>
      <x:c r="L656" s="6" t="str">
        <x:v>6</x:v>
      </x:c>
      <x:c r="M656" s="6" t="str">
        <x:v>31</x:v>
      </x:c>
      <x:c r="N656" s="6" t="str">
        <x:v>580</x:v>
      </x:c>
      <x:c r="O656" s="6" t="str">
        <x:v>0</x:v>
      </x:c>
      <x:c r="P656" s="10" t="n">
        <x:f>F656-M656</x:f>
        <x:v>549</x:v>
      </x:c>
      <x:c r="Q656" s="11" t="n">
        <x:f>IFERROR(M656/F656,"")</x:f>
        <x:v>0.05344827586206897</x:v>
      </x:c>
      <x:c r="R656" s="10" t="n">
        <x:f>G656+H656</x:f>
        <x:v>480</x:v>
      </x:c>
      <x:c r="S656" s="11" t="n">
        <x:f>IFERROR(R656/F656,"")</x:f>
        <x:v>0.8275862068965517</x:v>
      </x:c>
      <x:c r="T656" s="11" t="n">
        <x:f>IFERROR(R656/P656,"")</x:f>
        <x:v>0.8743169398907104</x:v>
      </x:c>
      <x:c r="U656" s="10" t="n">
        <x:f>I656+J656+K656</x:f>
        <x:v>63</x:v>
      </x:c>
      <x:c r="V656" s="11" t="n">
        <x:f>IFERROR(U656/P656,"")</x:f>
        <x:v>0.11475409836065574</x:v>
      </x:c>
      <x:c r="W656" s="9" t="str">
        <x:v>provisional_gt_5pct_pending</x:v>
      </x:c>
      <x:c r="X656" s="12" t="n">
        <x:f>IFERROR(F656/Z656*100000,"")</x:f>
        <x:v>20.765457735133005</x:v>
      </x:c>
      <x:c r="Y656" s="13" t="n">
        <x:f>LN(Z656)</x:f>
        <x:v>14.842662648081575</x:v>
      </x:c>
      <x:c r="Z656" s="6" t="str">
        <x:v>2793100</x:v>
      </x:c>
      <x:c r="AA656" s="6" t="str">
        <x:v>77.0</x:v>
      </x:c>
      <x:c r="AB656" s="9" t="str">
        <x:v>2024-06-30</x:v>
      </x:c>
      <x:c r="AC656" s="8" t="str">
        <x:v>90.6</x:v>
      </x:c>
      <x:c r="AD656" s="9" t="str">
        <x:v>2024 (Susenas)</x:v>
      </x:c>
      <x:c r="AE656" s="8" t="str">
        <x:v>11.21</x:v>
      </x:c>
      <x:c r="AF656" s="9" t="str">
        <x:v>Maret 2024 (Susenas)</x:v>
      </x:c>
      <x:c r="AG656" s="6" t="str">
        <x:v>23.94784830805248</x:v>
      </x:c>
      <x:c r="AH656" s="8" t="str">
        <x:v>89.49764218275637</x:v>
      </x:c>
      <x:c r="AI656" s="6" t="str">
        <x:v>279.20129800220445</x:v>
      </x:c>
      <x:c r="AJ656" s="6" t="str">
        <x:v>0.3813452097419088</x:v>
      </x:c>
      <x:c r="AK656" s="8" t="str">
        <x:v>1.188926430669653</x:v>
      </x:c>
      <x:c r="AL656" s="6" t="str">
        <x:v>1.9768270174620717</x:v>
      </x:c>
      <x:c r="AM656" s="6" t="str">
        <x:v>2.022709988113931</x:v>
      </x:c>
      <x:c r="AN656" s="6" t="str">
        <x:v>1.7294878120818848</x:v>
      </x:c>
      <x:c r="AO656" s="6" t="str">
        <x:v>2.0348672654802584</x:v>
      </x:c>
      <x:c r="AP656" s="8" t="str">
        <x:v>0.7592135773052724</x:v>
      </x:c>
      <x:c r="AQ656" s="6" t="str">
        <x:v>0.1967285614843026</x:v>
      </x:c>
      <x:c r="AR656" s="6" t="str">
        <x:v>1.0078196385613751</x:v>
      </x:c>
      <x:c r="AS656" s="6" t="str">
        <x:v>0.6545872591169831</x:v>
      </x:c>
      <x:c r="AT656" s="6" t="str">
        <x:v>110.65324200867587</x:v>
      </x:c>
      <x:c r="AU656" s="8" t="str">
        <x:v>1.0924964821109109</x:v>
      </x:c>
      <x:c r="AV656" s="6" t="str">
        <x:v>-0.4353709341810359</x:v>
      </x:c>
      <x:c r="AW656" s="6" t="str">
        <x:v>0.7520306372375237</x:v>
      </x:c>
      <x:c r="AX656" s="6" t="str">
        <x:v>0.4697187283891324</x:v>
      </x:c>
      <x:c r="AY656" s="6" t="str">
        <x:v>1</x:v>
      </x:c>
      <x:c r="AZ656" s="6" t="str">
        <x:v>1</x:v>
      </x:c>
      <x:c r="BA656" s="9" t="str">
        <x:v>grid_cells_within_BIG_polygon</x:v>
      </x:c>
      <x:c r="BB656" s="6" t="str">
        <x:v>7</x:v>
      </x:c>
      <x:c r="BC656" s="6" t="str">
        <x:v>6</x:v>
      </x:c>
      <x:c r="BD656" s="6" t="str">
        <x:v>6</x:v>
      </x:c>
      <x:c r="BE656" s="6" t="str">
        <x:v>6</x:v>
      </x:c>
      <x:c r="BF656" s="6" t="str">
        <x:v>0</x:v>
      </x:c>
      <x:c r="BG656" s="6" t="str">
        <x:v>0</x:v>
      </x:c>
      <x:c r="BH656" s="6" t="str">
        <x:v>0</x:v>
      </x:c>
      <x:c r="BI656" s="6" t="str">
        <x:v>0</x:v>
      </x:c>
      <x:c r="BJ656" s="6" t="str">
        <x:v>0</x:v>
      </x:c>
      <x:c r="BK656" s="6" t="str">
        <x:v>0</x:v>
      </x:c>
      <x:c r="BL656" s="6" t="str">
        <x:v>0</x:v>
      </x:c>
      <x:c r="BM656" s="6" t="str">
        <x:v>0</x:v>
      </x:c>
      <x:c r="BN656" s="6" t="str">
        <x:v>6</x:v>
      </x:c>
      <x:c r="BO656" s="6" t="str">
        <x:v>0.0</x:v>
      </x:c>
      <x:c r="BP656" s="6" t="str">
        <x:v>6</x:v>
      </x:c>
      <x:c r="BQ656" s="6" t="str">
        <x:v>1.0</x:v>
      </x:c>
      <x:c r="BR656" s="6" t="str">
        <x:v>6</x:v>
      </x:c>
      <x:c r="BS656" s="6" t="str">
        <x:v>0.0</x:v>
      </x:c>
      <x:c r="BT656" s="6" t="str">
        <x:v>6</x:v>
      </x:c>
      <x:c r="BU656" s="6" t="str">
        <x:v>1820.0</x:v>
      </x:c>
      <x:c r="BV656" s="6" t="str">
        <x:v>3</x:v>
      </x:c>
      <x:c r="BW656" s="9" t="str">
        <x:v>operational_snapshot_annual_totals_may_differ</x:v>
      </x:c>
      <x:c r="BX656" s="9" t="str">
        <x:v>official_live_dashboard_snapshot_subject_to_revision</x:v>
      </x:c>
      <x:c r="BY656" s="9" t="str">
        <x:v>https://tbdashboard.sitb.id/ss_data_tbc03so_2024_provinsi_bulanan_list.php</x:v>
      </x:c>
      <x:c r="BZ656" s="6" t="n">
        <x:v>46246.610671296294</x:v>
      </x:c>
    </x:row>
    <x:row r="657" ht="18" customHeight="1">
      <x:c r="A657" s="6" t="str">
        <x:v>74</x:v>
      </x:c>
      <x:c r="B657" s="6" t="str">
        <x:v>SULAWESI TENGGARA</x:v>
      </x:c>
      <x:c r="C657" s="6" t="str">
        <x:v>2024</x:v>
      </x:c>
      <x:c r="D657" s="6" t="str">
        <x:v>8</x:v>
      </x:c>
      <x:c r="E657" s="6" t="str">
        <x:v>2024-08</x:v>
      </x:c>
      <x:c r="F657" s="6" t="str">
        <x:v>475</x:v>
      </x:c>
      <x:c r="G657" s="6" t="str">
        <x:v>135</x:v>
      </x:c>
      <x:c r="H657" s="6" t="str">
        <x:v>238</x:v>
      </x:c>
      <x:c r="I657" s="6" t="str">
        <x:v>27</x:v>
      </x:c>
      <x:c r="J657" s="6" t="str">
        <x:v>44</x:v>
      </x:c>
      <x:c r="K657" s="6" t="str">
        <x:v>0</x:v>
      </x:c>
      <x:c r="L657" s="6" t="str">
        <x:v>7</x:v>
      </x:c>
      <x:c r="M657" s="6" t="str">
        <x:v>24</x:v>
      </x:c>
      <x:c r="N657" s="6" t="str">
        <x:v>475</x:v>
      </x:c>
      <x:c r="O657" s="6" t="str">
        <x:v>0</x:v>
      </x:c>
      <x:c r="P657" s="10" t="n">
        <x:f>F657-M657</x:f>
        <x:v>451</x:v>
      </x:c>
      <x:c r="Q657" s="11" t="n">
        <x:f>IFERROR(M657/F657,"")</x:f>
        <x:v>0.05052631578947368</x:v>
      </x:c>
      <x:c r="R657" s="10" t="n">
        <x:f>G657+H657</x:f>
        <x:v>373</x:v>
      </x:c>
      <x:c r="S657" s="11" t="n">
        <x:f>IFERROR(R657/F657,"")</x:f>
        <x:v>0.7852631578947369</x:v>
      </x:c>
      <x:c r="T657" s="11" t="n">
        <x:f>IFERROR(R657/P657,"")</x:f>
        <x:v>0.8270509977827051</x:v>
      </x:c>
      <x:c r="U657" s="10" t="n">
        <x:f>I657+J657+K657</x:f>
        <x:v>71</x:v>
      </x:c>
      <x:c r="V657" s="11" t="n">
        <x:f>IFERROR(U657/P657,"")</x:f>
        <x:v>0.1574279379157428</x:v>
      </x:c>
      <x:c r="W657" s="9" t="str">
        <x:v>provisional_gt_5pct_pending</x:v>
      </x:c>
      <x:c r="X657" s="12" t="n">
        <x:f>IFERROR(F657/Z657*100000,"")</x:f>
        <x:v>17.006193834807203</x:v>
      </x:c>
      <x:c r="Y657" s="13" t="n">
        <x:f>LN(Z657)</x:f>
        <x:v>14.842662648081575</x:v>
      </x:c>
      <x:c r="Z657" s="6" t="str">
        <x:v>2793100</x:v>
      </x:c>
      <x:c r="AA657" s="6" t="str">
        <x:v>77.0</x:v>
      </x:c>
      <x:c r="AB657" s="9" t="str">
        <x:v>2024-06-30</x:v>
      </x:c>
      <x:c r="AC657" s="8" t="str">
        <x:v>90.6</x:v>
      </x:c>
      <x:c r="AD657" s="9" t="str">
        <x:v>2024 (Susenas)</x:v>
      </x:c>
      <x:c r="AE657" s="8" t="str">
        <x:v>11.21</x:v>
      </x:c>
      <x:c r="AF657" s="9" t="str">
        <x:v>Maret 2024 (Susenas)</x:v>
      </x:c>
      <x:c r="AG657" s="6" t="str">
        <x:v>24.17495627507248</x:v>
      </x:c>
      <x:c r="AH657" s="8" t="str">
        <x:v>86.24378853109367</x:v>
      </x:c>
      <x:c r="AI657" s="6" t="str">
        <x:v>87.36246568278027</x:v>
      </x:c>
      <x:c r="AJ657" s="6" t="str">
        <x:v>0.5134716799380179</x:v>
      </x:c>
      <x:c r="AK657" s="8" t="str">
        <x:v>1.2951694449653954</x:v>
      </x:c>
      <x:c r="AL657" s="6" t="str">
        <x:v>1.188926430669653</x:v>
      </x:c>
      <x:c r="AM657" s="6" t="str">
        <x:v>1.9768270174620717</x:v>
      </x:c>
      <x:c r="AN657" s="6" t="str">
        <x:v>1.4869742976990397</x:v>
      </x:c>
      <x:c r="AO657" s="6" t="str">
        <x:v>2.440267364310131</x:v>
      </x:c>
      <x:c r="AP657" s="8" t="str">
        <x:v>0.6191911687290761</x:v>
      </x:c>
      <x:c r="AQ657" s="6" t="str">
        <x:v>0.7592135773052724</x:v>
      </x:c>
      <x:c r="AR657" s="6" t="str">
        <x:v>0.1967285614843026</x:v>
      </x:c>
      <x:c r="AS657" s="6" t="str">
        <x:v>0.5250444358395502</x:v>
      </x:c>
      <x:c r="AT657" s="6" t="str">
        <x:v>-4.251946297789999</x:v>
      </x:c>
      <x:c r="AU657" s="8" t="str">
        <x:v>-0.0525429837531804</x:v>
      </x:c>
      <x:c r="AV657" s="6" t="str">
        <x:v>1.0924964821109109</x:v>
      </x:c>
      <x:c r="AW657" s="6" t="str">
        <x:v>-0.4353709341810359</x:v>
      </x:c>
      <x:c r="AX657" s="6" t="str">
        <x:v>0.201527521392231</x:v>
      </x:c>
      <x:c r="AY657" s="6" t="str">
        <x:v>0</x:v>
      </x:c>
      <x:c r="AZ657" s="6" t="str">
        <x:v>1</x:v>
      </x:c>
      <x:c r="BA657" s="9" t="str">
        <x:v>grid_cells_within_BIG_polygon</x:v>
      </x:c>
      <x:c r="BB657" s="6" t="str">
        <x:v>7</x:v>
      </x:c>
      <x:c r="BC657" s="6" t="str">
        <x:v>0</x:v>
      </x:c>
      <x:c r="BD657" s="6" t="str">
        <x:v>0</x:v>
      </x:c>
      <x:c r="BE657" s="6" t="str">
        <x:v>0</x:v>
      </x:c>
      <x:c r="BF657" s="6" t="str">
        <x:v>0</x:v>
      </x:c>
      <x:c r="BG657" s="6" t="str">
        <x:v>0</x:v>
      </x:c>
      <x:c r="BH657" s="6" t="str">
        <x:v>0</x:v>
      </x:c>
      <x:c r="BI657" s="6" t="str">
        <x:v>0</x:v>
      </x:c>
      <x:c r="BJ657" s="6" t="str">
        <x:v>0</x:v>
      </x:c>
      <x:c r="BK657" s="6" t="str">
        <x:v>0</x:v>
      </x:c>
      <x:c r="BL657" s="6" t="str">
        <x:v>0</x:v>
      </x:c>
      <x:c r="BM657" s="6" t="str">
        <x:v>0</x:v>
      </x:c>
      <x:c r="BN657" s="6" t="str">
        <x:v>0</x:v>
      </x:c>
      <x:c r="BO657" s="6" t="str"/>
      <x:c r="BP657" s="6" t="str">
        <x:v>0</x:v>
      </x:c>
      <x:c r="BQ657" s="6" t="str"/>
      <x:c r="BR657" s="6" t="str">
        <x:v>0</x:v>
      </x:c>
      <x:c r="BS657" s="6" t="str"/>
      <x:c r="BT657" s="6" t="str">
        <x:v>0</x:v>
      </x:c>
      <x:c r="BU657" s="6" t="str"/>
      <x:c r="BV657" s="6" t="str">
        <x:v>0</x:v>
      </x:c>
      <x:c r="BW657" s="9" t="str">
        <x:v>operational_snapshot_annual_totals_may_differ</x:v>
      </x:c>
      <x:c r="BX657" s="9" t="str">
        <x:v>official_live_dashboard_snapshot_subject_to_revision</x:v>
      </x:c>
      <x:c r="BY657" s="9" t="str">
        <x:v>https://tbdashboard.sitb.id/ss_data_tbc03so_2024_provinsi_bulanan_list.php</x:v>
      </x:c>
      <x:c r="BZ657" s="6" t="n">
        <x:v>46246.610671296294</x:v>
      </x:c>
    </x:row>
    <x:row r="658" ht="18" customHeight="1">
      <x:c r="A658" s="6" t="str">
        <x:v>74</x:v>
      </x:c>
      <x:c r="B658" s="6" t="str">
        <x:v>SULAWESI TENGGARA</x:v>
      </x:c>
      <x:c r="C658" s="6" t="str">
        <x:v>2024</x:v>
      </x:c>
      <x:c r="D658" s="6" t="str">
        <x:v>9</x:v>
      </x:c>
      <x:c r="E658" s="6" t="str">
        <x:v>2024-09</x:v>
      </x:c>
      <x:c r="F658" s="6" t="str">
        <x:v>482</x:v>
      </x:c>
      <x:c r="G658" s="6" t="str">
        <x:v>142</x:v>
      </x:c>
      <x:c r="H658" s="6" t="str">
        <x:v>249</x:v>
      </x:c>
      <x:c r="I658" s="6" t="str">
        <x:v>27</x:v>
      </x:c>
      <x:c r="J658" s="6" t="str">
        <x:v>29</x:v>
      </x:c>
      <x:c r="K658" s="6" t="str">
        <x:v>0</x:v>
      </x:c>
      <x:c r="L658" s="6" t="str">
        <x:v>5</x:v>
      </x:c>
      <x:c r="M658" s="6" t="str">
        <x:v>30</x:v>
      </x:c>
      <x:c r="N658" s="6" t="str">
        <x:v>482</x:v>
      </x:c>
      <x:c r="O658" s="6" t="str">
        <x:v>0</x:v>
      </x:c>
      <x:c r="P658" s="10" t="n">
        <x:f>F658-M658</x:f>
        <x:v>452</x:v>
      </x:c>
      <x:c r="Q658" s="11" t="n">
        <x:f>IFERROR(M658/F658,"")</x:f>
        <x:v>0.06224066390041494</x:v>
      </x:c>
      <x:c r="R658" s="10" t="n">
        <x:f>G658+H658</x:f>
        <x:v>391</x:v>
      </x:c>
      <x:c r="S658" s="11" t="n">
        <x:f>IFERROR(R658/F658,"")</x:f>
        <x:v>0.8112033195020747</x:v>
      </x:c>
      <x:c r="T658" s="11" t="n">
        <x:f>IFERROR(R658/P658,"")</x:f>
        <x:v>0.8650442477876106</x:v>
      </x:c>
      <x:c r="U658" s="10" t="n">
        <x:f>I658+J658+K658</x:f>
        <x:v>56</x:v>
      </x:c>
      <x:c r="V658" s="11" t="n">
        <x:f>IFERROR(U658/P658,"")</x:f>
        <x:v>0.12389380530973451</x:v>
      </x:c>
      <x:c r="W658" s="9" t="str">
        <x:v>provisional_gt_5pct_pending</x:v>
      </x:c>
      <x:c r="X658" s="12" t="n">
        <x:f>IFERROR(F658/Z658*100000,"")</x:f>
        <x:v>17.25681142816226</x:v>
      </x:c>
      <x:c r="Y658" s="13" t="n">
        <x:f>LN(Z658)</x:f>
        <x:v>14.842662648081575</x:v>
      </x:c>
      <x:c r="Z658" s="6" t="str">
        <x:v>2793100</x:v>
      </x:c>
      <x:c r="AA658" s="6" t="str">
        <x:v>77.0</x:v>
      </x:c>
      <x:c r="AB658" s="9" t="str">
        <x:v>2024-06-30</x:v>
      </x:c>
      <x:c r="AC658" s="8" t="str">
        <x:v>90.6</x:v>
      </x:c>
      <x:c r="AD658" s="9" t="str">
        <x:v>2024 (Susenas)</x:v>
      </x:c>
      <x:c r="AE658" s="8" t="str">
        <x:v>11.21</x:v>
      </x:c>
      <x:c r="AF658" s="9" t="str">
        <x:v>Maret 2024 (Susenas)</x:v>
      </x:c>
      <x:c r="AG658" s="6" t="str">
        <x:v>25.25187459768788</x:v>
      </x:c>
      <x:c r="AH658" s="8" t="str">
        <x:v>82.90447378532396</x:v>
      </x:c>
      <x:c r="AI658" s="6" t="str">
        <x:v>76.21052117353378</x:v>
      </x:c>
      <x:c r="AJ658" s="6" t="str">
        <x:v>0.718689813452059</x:v>
      </x:c>
      <x:c r="AK658" s="8" t="str">
        <x:v>1.4857723472987885</x:v>
      </x:c>
      <x:c r="AL658" s="6" t="str">
        <x:v>1.2951694449653954</x:v>
      </x:c>
      <x:c r="AM658" s="6" t="str">
        <x:v>1.188926430669653</x:v>
      </x:c>
      <x:c r="AN658" s="6" t="str">
        <x:v>1.323289407644612</x:v>
      </x:c>
      <x:c r="AO658" s="6" t="str">
        <x:v>2.842811042085941</x:v>
      </x:c>
      <x:c r="AP658" s="8" t="str">
        <x:v>0.574072046984643</x:v>
      </x:c>
      <x:c r="AQ658" s="6" t="str">
        <x:v>0.6191911687290761</x:v>
      </x:c>
      <x:c r="AR658" s="6" t="str">
        <x:v>0.7592135773052724</x:v>
      </x:c>
      <x:c r="AS658" s="6" t="str">
        <x:v>0.650825597672997</x:v>
      </x:c>
      <x:c r="AT658" s="6" t="str">
        <x:v>0.1518686016484309</x:v>
      </x:c>
      <x:c r="AU658" s="8" t="str">
        <x:v>0.0022798408109812</x:v>
      </x:c>
      <x:c r="AV658" s="6" t="str">
        <x:v>-0.0525429837531804</x:v>
      </x:c>
      <x:c r="AW658" s="6" t="str">
        <x:v>1.0924964821109109</x:v>
      </x:c>
      <x:c r="AX658" s="6" t="str">
        <x:v>0.3474111130562367</x:v>
      </x:c>
      <x:c r="AY658" s="6" t="str">
        <x:v>0</x:v>
      </x:c>
      <x:c r="AZ658" s="6" t="str">
        <x:v>1</x:v>
      </x:c>
      <x:c r="BA658" s="9" t="str">
        <x:v>grid_cells_within_BIG_polygon</x:v>
      </x:c>
      <x:c r="BB658" s="6" t="str">
        <x:v>7</x:v>
      </x:c>
      <x:c r="BC658" s="6" t="str">
        <x:v>0</x:v>
      </x:c>
      <x:c r="BD658" s="6" t="str">
        <x:v>0</x:v>
      </x:c>
      <x:c r="BE658" s="6" t="str">
        <x:v>0</x:v>
      </x:c>
      <x:c r="BF658" s="6" t="str">
        <x:v>0</x:v>
      </x:c>
      <x:c r="BG658" s="6" t="str">
        <x:v>0</x:v>
      </x:c>
      <x:c r="BH658" s="6" t="str">
        <x:v>0</x:v>
      </x:c>
      <x:c r="BI658" s="6" t="str">
        <x:v>0</x:v>
      </x:c>
      <x:c r="BJ658" s="6" t="str">
        <x:v>0</x:v>
      </x:c>
      <x:c r="BK658" s="6" t="str">
        <x:v>0</x:v>
      </x:c>
      <x:c r="BL658" s="6" t="str">
        <x:v>0</x:v>
      </x:c>
      <x:c r="BM658" s="6" t="str">
        <x:v>0</x:v>
      </x:c>
      <x:c r="BN658" s="6" t="str">
        <x:v>0</x:v>
      </x:c>
      <x:c r="BO658" s="6" t="str"/>
      <x:c r="BP658" s="6" t="str">
        <x:v>0</x:v>
      </x:c>
      <x:c r="BQ658" s="6" t="str"/>
      <x:c r="BR658" s="6" t="str">
        <x:v>0</x:v>
      </x:c>
      <x:c r="BS658" s="6" t="str"/>
      <x:c r="BT658" s="6" t="str">
        <x:v>0</x:v>
      </x:c>
      <x:c r="BU658" s="6" t="str"/>
      <x:c r="BV658" s="6" t="str">
        <x:v>0</x:v>
      </x:c>
      <x:c r="BW658" s="9" t="str">
        <x:v>operational_snapshot_annual_totals_may_differ</x:v>
      </x:c>
      <x:c r="BX658" s="9" t="str">
        <x:v>official_live_dashboard_snapshot_subject_to_revision</x:v>
      </x:c>
      <x:c r="BY658" s="9" t="str">
        <x:v>https://tbdashboard.sitb.id/ss_data_tbc03so_2024_provinsi_bulanan_list.php</x:v>
      </x:c>
      <x:c r="BZ658" s="6" t="n">
        <x:v>46246.610671296294</x:v>
      </x:c>
    </x:row>
    <x:row r="659" ht="18" customHeight="1">
      <x:c r="A659" s="6" t="str">
        <x:v>74</x:v>
      </x:c>
      <x:c r="B659" s="6" t="str">
        <x:v>SULAWESI TENGGARA</x:v>
      </x:c>
      <x:c r="C659" s="6" t="str">
        <x:v>2024</x:v>
      </x:c>
      <x:c r="D659" s="6" t="str">
        <x:v>10</x:v>
      </x:c>
      <x:c r="E659" s="6" t="str">
        <x:v>2024-10</x:v>
      </x:c>
      <x:c r="F659" s="6" t="str">
        <x:v>515</x:v>
      </x:c>
      <x:c r="G659" s="6" t="str">
        <x:v>167</x:v>
      </x:c>
      <x:c r="H659" s="6" t="str">
        <x:v>266</x:v>
      </x:c>
      <x:c r="I659" s="6" t="str">
        <x:v>17</x:v>
      </x:c>
      <x:c r="J659" s="6" t="str">
        <x:v>29</x:v>
      </x:c>
      <x:c r="K659" s="6" t="str">
        <x:v>0</x:v>
      </x:c>
      <x:c r="L659" s="6" t="str">
        <x:v>2</x:v>
      </x:c>
      <x:c r="M659" s="6" t="str">
        <x:v>34</x:v>
      </x:c>
      <x:c r="N659" s="6" t="str">
        <x:v>515</x:v>
      </x:c>
      <x:c r="O659" s="6" t="str">
        <x:v>0</x:v>
      </x:c>
      <x:c r="P659" s="10" t="n">
        <x:f>F659-M659</x:f>
        <x:v>481</x:v>
      </x:c>
      <x:c r="Q659" s="11" t="n">
        <x:f>IFERROR(M659/F659,"")</x:f>
        <x:v>0.06601941747572816</x:v>
      </x:c>
      <x:c r="R659" s="10" t="n">
        <x:f>G659+H659</x:f>
        <x:v>433</x:v>
      </x:c>
      <x:c r="S659" s="11" t="n">
        <x:f>IFERROR(R659/F659,"")</x:f>
        <x:v>0.8407766990291262</x:v>
      </x:c>
      <x:c r="T659" s="11" t="n">
        <x:f>IFERROR(R659/P659,"")</x:f>
        <x:v>0.9002079002079002</x:v>
      </x:c>
      <x:c r="U659" s="10" t="n">
        <x:f>I659+J659+K659</x:f>
        <x:v>46</x:v>
      </x:c>
      <x:c r="V659" s="11" t="n">
        <x:f>IFERROR(U659/P659,"")</x:f>
        <x:v>0.09563409563409564</x:v>
      </x:c>
      <x:c r="W659" s="9" t="str">
        <x:v>provisional_gt_5pct_pending</x:v>
      </x:c>
      <x:c r="X659" s="12" t="n">
        <x:f>IFERROR(F659/Z659*100000,"")</x:f>
        <x:v>18.43829436826465</x:v>
      </x:c>
      <x:c r="Y659" s="13" t="n">
        <x:f>LN(Z659)</x:f>
        <x:v>14.842662648081575</x:v>
      </x:c>
      <x:c r="Z659" s="6" t="str">
        <x:v>2793100</x:v>
      </x:c>
      <x:c r="AA659" s="6" t="str">
        <x:v>77.0</x:v>
      </x:c>
      <x:c r="AB659" s="9" t="str">
        <x:v>2024-06-30</x:v>
      </x:c>
      <x:c r="AC659" s="8" t="str">
        <x:v>90.6</x:v>
      </x:c>
      <x:c r="AD659" s="9" t="str">
        <x:v>2024 (Susenas)</x:v>
      </x:c>
      <x:c r="AE659" s="8" t="str">
        <x:v>11.21</x:v>
      </x:c>
      <x:c r="AF659" s="9" t="str">
        <x:v>Maret 2024 (Susenas)</x:v>
      </x:c>
      <x:c r="AG659" s="6" t="str">
        <x:v>26.071662604231573</x:v>
      </x:c>
      <x:c r="AH659" s="8" t="str">
        <x:v>81.9910982811003</x:v>
      </x:c>
      <x:c r="AI659" s="6" t="str">
        <x:v>126.50729609392906</x:v>
      </x:c>
      <x:c r="AJ659" s="6" t="str">
        <x:v>0.4518052334909477</x:v>
      </x:c>
      <x:c r="AK659" s="8" t="str">
        <x:v>0.8702363158727328</x:v>
      </x:c>
      <x:c r="AL659" s="6" t="str">
        <x:v>1.4857723472987885</x:v>
      </x:c>
      <x:c r="AM659" s="6" t="str">
        <x:v>1.2951694449653954</x:v>
      </x:c>
      <x:c r="AN659" s="6" t="str">
        <x:v>1.2170593693789715</x:v>
      </x:c>
      <x:c r="AO659" s="6" t="str">
        <x:v>4.120692536552625</x:v>
      </x:c>
      <x:c r="AP659" s="8" t="str">
        <x:v>0.5895197040798958</x:v>
      </x:c>
      <x:c r="AQ659" s="6" t="str">
        <x:v>0.574072046984643</x:v>
      </x:c>
      <x:c r="AR659" s="6" t="str">
        <x:v>0.6191911687290761</x:v>
      </x:c>
      <x:c r="AS659" s="6" t="str">
        <x:v>0.5942609732645381</x:v>
      </x:c>
      <x:c r="AT659" s="6" t="str">
        <x:v>24.19126213351632</x:v>
      </x:c>
      <x:c r="AU659" s="8" t="str">
        <x:v>0.3024991823001982</x:v>
      </x:c>
      <x:c r="AV659" s="6" t="str">
        <x:v>0.0022798408109812</x:v>
      </x:c>
      <x:c r="AW659" s="6" t="str">
        <x:v>-0.0525429837531804</x:v>
      </x:c>
      <x:c r="AX659" s="6" t="str">
        <x:v>0.0840786797859991</x:v>
      </x:c>
      <x:c r="AY659" s="6" t="str">
        <x:v>0</x:v>
      </x:c>
      <x:c r="AZ659" s="6" t="str">
        <x:v>0</x:v>
      </x:c>
      <x:c r="BA659" s="9" t="str">
        <x:v>grid_cells_within_BIG_polygon</x:v>
      </x:c>
      <x:c r="BB659" s="6" t="str">
        <x:v>7</x:v>
      </x:c>
      <x:c r="BC659" s="6" t="str">
        <x:v>0</x:v>
      </x:c>
      <x:c r="BD659" s="6" t="str">
        <x:v>0</x:v>
      </x:c>
      <x:c r="BE659" s="6" t="str">
        <x:v>0</x:v>
      </x:c>
      <x:c r="BF659" s="6" t="str">
        <x:v>0</x:v>
      </x:c>
      <x:c r="BG659" s="6" t="str">
        <x:v>0</x:v>
      </x:c>
      <x:c r="BH659" s="6" t="str">
        <x:v>0</x:v>
      </x:c>
      <x:c r="BI659" s="6" t="str">
        <x:v>0</x:v>
      </x:c>
      <x:c r="BJ659" s="6" t="str">
        <x:v>0</x:v>
      </x:c>
      <x:c r="BK659" s="6" t="str">
        <x:v>0</x:v>
      </x:c>
      <x:c r="BL659" s="6" t="str">
        <x:v>0</x:v>
      </x:c>
      <x:c r="BM659" s="6" t="str">
        <x:v>0</x:v>
      </x:c>
      <x:c r="BN659" s="6" t="str">
        <x:v>0</x:v>
      </x:c>
      <x:c r="BO659" s="6" t="str"/>
      <x:c r="BP659" s="6" t="str">
        <x:v>0</x:v>
      </x:c>
      <x:c r="BQ659" s="6" t="str"/>
      <x:c r="BR659" s="6" t="str">
        <x:v>0</x:v>
      </x:c>
      <x:c r="BS659" s="6" t="str"/>
      <x:c r="BT659" s="6" t="str">
        <x:v>0</x:v>
      </x:c>
      <x:c r="BU659" s="6" t="str"/>
      <x:c r="BV659" s="6" t="str">
        <x:v>0</x:v>
      </x:c>
      <x:c r="BW659" s="9" t="str">
        <x:v>operational_snapshot_annual_totals_may_differ</x:v>
      </x:c>
      <x:c r="BX659" s="9" t="str">
        <x:v>official_live_dashboard_snapshot_subject_to_revision</x:v>
      </x:c>
      <x:c r="BY659" s="9" t="str">
        <x:v>https://tbdashboard.sitb.id/ss_data_tbc03so_2024_provinsi_bulanan_list.php</x:v>
      </x:c>
      <x:c r="BZ659" s="6" t="n">
        <x:v>46246.610671296294</x:v>
      </x:c>
    </x:row>
    <x:row r="660" ht="18" customHeight="1">
      <x:c r="A660" s="6" t="str">
        <x:v>74</x:v>
      </x:c>
      <x:c r="B660" s="6" t="str">
        <x:v>SULAWESI TENGGARA</x:v>
      </x:c>
      <x:c r="C660" s="6" t="str">
        <x:v>2024</x:v>
      </x:c>
      <x:c r="D660" s="6" t="str">
        <x:v>11</x:v>
      </x:c>
      <x:c r="E660" s="6" t="str">
        <x:v>2024-11</x:v>
      </x:c>
      <x:c r="F660" s="6" t="str">
        <x:v>500</x:v>
      </x:c>
      <x:c r="G660" s="6" t="str">
        <x:v>125</x:v>
      </x:c>
      <x:c r="H660" s="6" t="str">
        <x:v>277</x:v>
      </x:c>
      <x:c r="I660" s="6" t="str">
        <x:v>25</x:v>
      </x:c>
      <x:c r="J660" s="6" t="str">
        <x:v>30</x:v>
      </x:c>
      <x:c r="K660" s="6" t="str">
        <x:v>1</x:v>
      </x:c>
      <x:c r="L660" s="6" t="str">
        <x:v>5</x:v>
      </x:c>
      <x:c r="M660" s="6" t="str">
        <x:v>37</x:v>
      </x:c>
      <x:c r="N660" s="6" t="str">
        <x:v>500</x:v>
      </x:c>
      <x:c r="O660" s="6" t="str">
        <x:v>0</x:v>
      </x:c>
      <x:c r="P660" s="10" t="n">
        <x:f>F660-M660</x:f>
        <x:v>463</x:v>
      </x:c>
      <x:c r="Q660" s="11" t="n">
        <x:f>IFERROR(M660/F660,"")</x:f>
        <x:v>0.074</x:v>
      </x:c>
      <x:c r="R660" s="10" t="n">
        <x:f>G660+H660</x:f>
        <x:v>402</x:v>
      </x:c>
      <x:c r="S660" s="11" t="n">
        <x:f>IFERROR(R660/F660,"")</x:f>
        <x:v>0.804</x:v>
      </x:c>
      <x:c r="T660" s="11" t="n">
        <x:f>IFERROR(R660/P660,"")</x:f>
        <x:v>0.8682505399568035</x:v>
      </x:c>
      <x:c r="U660" s="10" t="n">
        <x:f>I660+J660+K660</x:f>
        <x:v>56</x:v>
      </x:c>
      <x:c r="V660" s="11" t="n">
        <x:f>IFERROR(U660/P660,"")</x:f>
        <x:v>0.12095032397408208</x:v>
      </x:c>
      <x:c r="W660" s="9" t="str">
        <x:v>provisional_gt_5pct_pending</x:v>
      </x:c>
      <x:c r="X660" s="12" t="n">
        <x:f>IFERROR(F660/Z660*100000,"")</x:f>
        <x:v>17.90125666821811</x:v>
      </x:c>
      <x:c r="Y660" s="13" t="n">
        <x:f>LN(Z660)</x:f>
        <x:v>14.842662648081575</x:v>
      </x:c>
      <x:c r="Z660" s="6" t="str">
        <x:v>2793100</x:v>
      </x:c>
      <x:c r="AA660" s="6" t="str">
        <x:v>77.0</x:v>
      </x:c>
      <x:c r="AB660" s="9" t="str">
        <x:v>2024-06-30</x:v>
      </x:c>
      <x:c r="AC660" s="8" t="str">
        <x:v>90.6</x:v>
      </x:c>
      <x:c r="AD660" s="9" t="str">
        <x:v>2024 (Susenas)</x:v>
      </x:c>
      <x:c r="AE660" s="8" t="str">
        <x:v>11.21</x:v>
      </x:c>
      <x:c r="AF660" s="9" t="str">
        <x:v>Maret 2024 (Susenas)</x:v>
      </x:c>
      <x:c r="AG660" s="6" t="str">
        <x:v>25.850389716668445</x:v>
      </x:c>
      <x:c r="AH660" s="8" t="str">
        <x:v>86.37706815583394</x:v>
      </x:c>
      <x:c r="AI660" s="6" t="str">
        <x:v>278.2153752356358</x:v>
      </x:c>
      <x:c r="AJ660" s="6" t="str">
        <x:v>-0.1332326558350693</x:v>
      </x:c>
      <x:c r="AK660" s="8" t="str">
        <x:v>-0.1723974826006685</x:v>
      </x:c>
      <x:c r="AL660" s="6" t="str">
        <x:v>0.8702363158727328</x:v>
      </x:c>
      <x:c r="AM660" s="6" t="str">
        <x:v>1.4857723472987885</x:v>
      </x:c>
      <x:c r="AN660" s="6" t="str">
        <x:v>0.7278703935236172</x:v>
      </x:c>
      <x:c r="AO660" s="6" t="str">
        <x:v>5.788820953020078</x:v>
      </x:c>
      <x:c r="AP660" s="8" t="str">
        <x:v>0.862257032555872</x:v>
      </x:c>
      <x:c r="AQ660" s="6" t="str">
        <x:v>0.5895197040798958</x:v>
      </x:c>
      <x:c r="AR660" s="6" t="str">
        <x:v>0.574072046984643</x:v>
      </x:c>
      <x:c r="AS660" s="6" t="str">
        <x:v>0.6752829278734701</x:v>
      </x:c>
      <x:c r="AT660" s="6" t="str">
        <x:v>115.77181322647256</x:v>
      </x:c>
      <x:c r="AU660" s="8" t="str">
        <x:v>1.3645712669286814</x:v>
      </x:c>
      <x:c r="AV660" s="6" t="str">
        <x:v>0.3024991823001982</x:v>
      </x:c>
      <x:c r="AW660" s="6" t="str">
        <x:v>0.0022798408109812</x:v>
      </x:c>
      <x:c r="AX660" s="6" t="str">
        <x:v>0.5564500966799532</x:v>
      </x:c>
      <x:c r="AY660" s="6" t="str">
        <x:v>1</x:v>
      </x:c>
      <x:c r="AZ660" s="6" t="str">
        <x:v>0</x:v>
      </x:c>
      <x:c r="BA660" s="9" t="str">
        <x:v>grid_cells_within_BIG_polygon</x:v>
      </x:c>
      <x:c r="BB660" s="6" t="str">
        <x:v>7</x:v>
      </x:c>
      <x:c r="BC660" s="6" t="str">
        <x:v>0</x:v>
      </x:c>
      <x:c r="BD660" s="6" t="str">
        <x:v>0</x:v>
      </x:c>
      <x:c r="BE660" s="6" t="str">
        <x:v>0</x:v>
      </x:c>
      <x:c r="BF660" s="6" t="str">
        <x:v>0</x:v>
      </x:c>
      <x:c r="BG660" s="6" t="str">
        <x:v>0</x:v>
      </x:c>
      <x:c r="BH660" s="6" t="str">
        <x:v>0</x:v>
      </x:c>
      <x:c r="BI660" s="6" t="str">
        <x:v>0</x:v>
      </x:c>
      <x:c r="BJ660" s="6" t="str">
        <x:v>0</x:v>
      </x:c>
      <x:c r="BK660" s="6" t="str">
        <x:v>0</x:v>
      </x:c>
      <x:c r="BL660" s="6" t="str">
        <x:v>0</x:v>
      </x:c>
      <x:c r="BM660" s="6" t="str">
        <x:v>0</x:v>
      </x:c>
      <x:c r="BN660" s="6" t="str">
        <x:v>0</x:v>
      </x:c>
      <x:c r="BO660" s="6" t="str"/>
      <x:c r="BP660" s="6" t="str">
        <x:v>0</x:v>
      </x:c>
      <x:c r="BQ660" s="6" t="str"/>
      <x:c r="BR660" s="6" t="str">
        <x:v>0</x:v>
      </x:c>
      <x:c r="BS660" s="6" t="str"/>
      <x:c r="BT660" s="6" t="str">
        <x:v>0</x:v>
      </x:c>
      <x:c r="BU660" s="6" t="str"/>
      <x:c r="BV660" s="6" t="str">
        <x:v>0</x:v>
      </x:c>
      <x:c r="BW660" s="9" t="str">
        <x:v>operational_snapshot_annual_totals_may_differ</x:v>
      </x:c>
      <x:c r="BX660" s="9" t="str">
        <x:v>official_live_dashboard_snapshot_subject_to_revision</x:v>
      </x:c>
      <x:c r="BY660" s="9" t="str">
        <x:v>https://tbdashboard.sitb.id/ss_data_tbc03so_2024_provinsi_bulanan_list.php</x:v>
      </x:c>
      <x:c r="BZ660" s="6" t="n">
        <x:v>46246.610671296294</x:v>
      </x:c>
    </x:row>
    <x:row r="661" ht="18" customHeight="1">
      <x:c r="A661" s="6" t="str">
        <x:v>74</x:v>
      </x:c>
      <x:c r="B661" s="6" t="str">
        <x:v>SULAWESI TENGGARA</x:v>
      </x:c>
      <x:c r="C661" s="6" t="str">
        <x:v>2024</x:v>
      </x:c>
      <x:c r="D661" s="6" t="str">
        <x:v>12</x:v>
      </x:c>
      <x:c r="E661" s="6" t="str">
        <x:v>2024-12</x:v>
      </x:c>
      <x:c r="F661" s="6" t="str">
        <x:v>460</x:v>
      </x:c>
      <x:c r="G661" s="6" t="str">
        <x:v>144</x:v>
      </x:c>
      <x:c r="H661" s="6" t="str">
        <x:v>228</x:v>
      </x:c>
      <x:c r="I661" s="6" t="str">
        <x:v>27</x:v>
      </x:c>
      <x:c r="J661" s="6" t="str">
        <x:v>29</x:v>
      </x:c>
      <x:c r="K661" s="6" t="str">
        <x:v>1</x:v>
      </x:c>
      <x:c r="L661" s="6" t="str">
        <x:v>3</x:v>
      </x:c>
      <x:c r="M661" s="6" t="str">
        <x:v>28</x:v>
      </x:c>
      <x:c r="N661" s="6" t="str">
        <x:v>460</x:v>
      </x:c>
      <x:c r="O661" s="6" t="str">
        <x:v>0</x:v>
      </x:c>
      <x:c r="P661" s="10" t="n">
        <x:f>F661-M661</x:f>
        <x:v>432</x:v>
      </x:c>
      <x:c r="Q661" s="11" t="n">
        <x:f>IFERROR(M661/F661,"")</x:f>
        <x:v>0.06086956521739131</x:v>
      </x:c>
      <x:c r="R661" s="10" t="n">
        <x:f>G661+H661</x:f>
        <x:v>372</x:v>
      </x:c>
      <x:c r="S661" s="11" t="n">
        <x:f>IFERROR(R661/F661,"")</x:f>
        <x:v>0.808695652173913</x:v>
      </x:c>
      <x:c r="T661" s="11" t="n">
        <x:f>IFERROR(R661/P661,"")</x:f>
        <x:v>0.8611111111111112</x:v>
      </x:c>
      <x:c r="U661" s="10" t="n">
        <x:f>I661+J661+K661</x:f>
        <x:v>57</x:v>
      </x:c>
      <x:c r="V661" s="11" t="n">
        <x:f>IFERROR(U661/P661,"")</x:f>
        <x:v>0.13194444444444445</x:v>
      </x:c>
      <x:c r="W661" s="9" t="str">
        <x:v>provisional_gt_5pct_pending</x:v>
      </x:c>
      <x:c r="X661" s="12" t="n">
        <x:f>IFERROR(F661/Z661*100000,"")</x:f>
        <x:v>16.46915613476066</x:v>
      </x:c>
      <x:c r="Y661" s="13" t="n">
        <x:f>LN(Z661)</x:f>
        <x:v>14.842662648081575</x:v>
      </x:c>
      <x:c r="Z661" s="6" t="str">
        <x:v>2793100</x:v>
      </x:c>
      <x:c r="AA661" s="6" t="str">
        <x:v>77.0</x:v>
      </x:c>
      <x:c r="AB661" s="9" t="str">
        <x:v>2024-06-30</x:v>
      </x:c>
      <x:c r="AC661" s="8" t="str">
        <x:v>90.6</x:v>
      </x:c>
      <x:c r="AD661" s="9" t="str">
        <x:v>2024 (Susenas)</x:v>
      </x:c>
      <x:c r="AE661" s="8" t="str">
        <x:v>11.21</x:v>
      </x:c>
      <x:c r="AF661" s="9" t="str">
        <x:v>Maret 2024 (Susenas)</x:v>
      </x:c>
      <x:c r="AG661" s="6" t="str">
        <x:v>25.460621303506468</x:v>
      </x:c>
      <x:c r="AH661" s="8" t="str">
        <x:v>89.09431298663607</x:v>
      </x:c>
      <x:c r="AI661" s="6" t="str">
        <x:v>275.0977997395971</x:v>
      </x:c>
      <x:c r="AJ661" s="6" t="str">
        <x:v>0.2298720422486049</x:v>
      </x:c>
      <x:c r="AK661" s="8" t="str">
        <x:v>0.3876130242520987</x:v>
      </x:c>
      <x:c r="AL661" s="6" t="str">
        <x:v>-0.1723974826006685</x:v>
      </x:c>
      <x:c r="AM661" s="6" t="str">
        <x:v>0.8702363158727328</x:v>
      </x:c>
      <x:c r="AN661" s="6" t="str">
        <x:v>0.3618172858413873</x:v>
      </x:c>
      <x:c r="AO661" s="6" t="str">
        <x:v>2.362966438694912</x:v>
      </x:c>
      <x:c r="AP661" s="8" t="str">
        <x:v>0.7058941395182607</x:v>
      </x:c>
      <x:c r="AQ661" s="6" t="str">
        <x:v>0.862257032555872</x:v>
      </x:c>
      <x:c r="AR661" s="6" t="str">
        <x:v>0.5895197040798958</x:v>
      </x:c>
      <x:c r="AS661" s="6" t="str">
        <x:v>0.719223625384676</x:v>
      </x:c>
      <x:c r="AT661" s="6" t="str">
        <x:v>58.0241367650072</x:v>
      </x:c>
      <x:c r="AU661" s="8" t="str">
        <x:v>0.9712886697361136</x:v>
      </x:c>
      <x:c r="AV661" s="6" t="str">
        <x:v>1.3645712669286814</x:v>
      </x:c>
      <x:c r="AW661" s="6" t="str">
        <x:v>0.3024991823001982</x:v>
      </x:c>
      <x:c r="AX661" s="6" t="str">
        <x:v>0.8794530396549973</x:v>
      </x:c>
      <x:c r="AY661" s="6" t="str">
        <x:v>0</x:v>
      </x:c>
      <x:c r="AZ661" s="6" t="str">
        <x:v>0</x:v>
      </x:c>
      <x:c r="BA661" s="9" t="str">
        <x:v>grid_cells_within_BIG_polygon</x:v>
      </x:c>
      <x:c r="BB661" s="6" t="str">
        <x:v>7</x:v>
      </x:c>
      <x:c r="BC661" s="6" t="str">
        <x:v>0</x:v>
      </x:c>
      <x:c r="BD661" s="6" t="str">
        <x:v>0</x:v>
      </x:c>
      <x:c r="BE661" s="6" t="str">
        <x:v>0</x:v>
      </x:c>
      <x:c r="BF661" s="6" t="str">
        <x:v>0</x:v>
      </x:c>
      <x:c r="BG661" s="6" t="str">
        <x:v>0</x:v>
      </x:c>
      <x:c r="BH661" s="6" t="str">
        <x:v>0</x:v>
      </x:c>
      <x:c r="BI661" s="6" t="str">
        <x:v>0</x:v>
      </x:c>
      <x:c r="BJ661" s="6" t="str">
        <x:v>0</x:v>
      </x:c>
      <x:c r="BK661" s="6" t="str">
        <x:v>0</x:v>
      </x:c>
      <x:c r="BL661" s="6" t="str">
        <x:v>0</x:v>
      </x:c>
      <x:c r="BM661" s="6" t="str">
        <x:v>0</x:v>
      </x:c>
      <x:c r="BN661" s="6" t="str">
        <x:v>0</x:v>
      </x:c>
      <x:c r="BO661" s="6" t="str"/>
      <x:c r="BP661" s="6" t="str">
        <x:v>0</x:v>
      </x:c>
      <x:c r="BQ661" s="6" t="str"/>
      <x:c r="BR661" s="6" t="str">
        <x:v>0</x:v>
      </x:c>
      <x:c r="BS661" s="6" t="str"/>
      <x:c r="BT661" s="6" t="str">
        <x:v>0</x:v>
      </x:c>
      <x:c r="BU661" s="6" t="str"/>
      <x:c r="BV661" s="6" t="str">
        <x:v>0</x:v>
      </x:c>
      <x:c r="BW661" s="9" t="str">
        <x:v>operational_snapshot_annual_totals_may_differ</x:v>
      </x:c>
      <x:c r="BX661" s="9" t="str">
        <x:v>official_live_dashboard_snapshot_subject_to_revision</x:v>
      </x:c>
      <x:c r="BY661" s="9" t="str">
        <x:v>https://tbdashboard.sitb.id/ss_data_tbc03so_2024_provinsi_bulanan_list.php</x:v>
      </x:c>
      <x:c r="BZ661" s="6" t="n">
        <x:v>46246.610671296294</x:v>
      </x:c>
    </x:row>
    <x:row r="662" ht="18" customHeight="1">
      <x:c r="A662" s="6" t="str">
        <x:v>74</x:v>
      </x:c>
      <x:c r="B662" s="6" t="str">
        <x:v>SULAWESI TENGGARA</x:v>
      </x:c>
      <x:c r="C662" s="6" t="str">
        <x:v>2025</x:v>
      </x:c>
      <x:c r="D662" s="6" t="str">
        <x:v>1</x:v>
      </x:c>
      <x:c r="E662" s="6" t="str">
        <x:v>2025-01</x:v>
      </x:c>
      <x:c r="F662" s="6" t="str">
        <x:v>546</x:v>
      </x:c>
      <x:c r="G662" s="6" t="str">
        <x:v>152</x:v>
      </x:c>
      <x:c r="H662" s="6" t="str">
        <x:v>292</x:v>
      </x:c>
      <x:c r="I662" s="6" t="str">
        <x:v>31</x:v>
      </x:c>
      <x:c r="J662" s="6" t="str">
        <x:v>37</x:v>
      </x:c>
      <x:c r="K662" s="6" t="str">
        <x:v>0</x:v>
      </x:c>
      <x:c r="L662" s="6" t="str">
        <x:v>4</x:v>
      </x:c>
      <x:c r="M662" s="6" t="str">
        <x:v>30</x:v>
      </x:c>
      <x:c r="N662" s="6" t="str">
        <x:v>546</x:v>
      </x:c>
      <x:c r="O662" s="6" t="str">
        <x:v>0</x:v>
      </x:c>
      <x:c r="P662" s="10" t="n">
        <x:f>F662-M662</x:f>
        <x:v>516</x:v>
      </x:c>
      <x:c r="Q662" s="11" t="n">
        <x:f>IFERROR(M662/F662,"")</x:f>
        <x:v>0.054945054945054944</x:v>
      </x:c>
      <x:c r="R662" s="10" t="n">
        <x:f>G662+H662</x:f>
        <x:v>444</x:v>
      </x:c>
      <x:c r="S662" s="11" t="n">
        <x:f>IFERROR(R662/F662,"")</x:f>
        <x:v>0.8131868131868132</x:v>
      </x:c>
      <x:c r="T662" s="11" t="n">
        <x:f>IFERROR(R662/P662,"")</x:f>
        <x:v>0.8604651162790697</x:v>
      </x:c>
      <x:c r="U662" s="10" t="n">
        <x:f>I662+J662+K662</x:f>
        <x:v>68</x:v>
      </x:c>
      <x:c r="V662" s="11" t="n">
        <x:f>IFERROR(U662/P662,"")</x:f>
        <x:v>0.13178294573643412</x:v>
      </x:c>
      <x:c r="W662" s="9" t="str">
        <x:v>provisional_gt_5pct_pending</x:v>
      </x:c>
      <x:c r="X662" s="12" t="n">
        <x:f>IFERROR(F662/Z662*100000,"")</x:f>
        <x:v>19.247717418126697</x:v>
      </x:c>
      <x:c r="Y662" s="13" t="n">
        <x:f>LN(Z662)</x:f>
        <x:v>14.858151962693722</x:v>
      </x:c>
      <x:c r="Z662" s="6" t="str">
        <x:v>2836700</x:v>
      </x:c>
      <x:c r="AA662" s="6" t="str">
        <x:v>78.0</x:v>
      </x:c>
      <x:c r="AB662" s="9" t="str">
        <x:v>2025-06-30</x:v>
      </x:c>
      <x:c r="AC662" s="8" t="str">
        <x:v>91.96</x:v>
      </x:c>
      <x:c r="AD662" s="9" t="str">
        <x:v>2025 (Susenas)</x:v>
      </x:c>
      <x:c r="AE662" s="8" t="str">
        <x:v>10.54</x:v>
      </x:c>
      <x:c r="AF662" s="9" t="str">
        <x:v>Maret 2025 (Susenas)</x:v>
      </x:c>
      <x:c r="AG662" s="6" t="str">
        <x:v>25.143468013772157</x:v>
      </x:c>
      <x:c r="AH662" s="8" t="str">
        <x:v>89.61184316068214</x:v>
      </x:c>
      <x:c r="AI662" s="6" t="str">
        <x:v>238.08886561035985</x:v>
      </x:c>
      <x:c r="AJ662" s="6" t="str">
        <x:v>0.2171870643642215</x:v>
      </x:c>
      <x:c r="AK662" s="8" t="str">
        <x:v>0.4326859647673928</x:v>
      </x:c>
      <x:c r="AL662" s="6" t="str">
        <x:v>0.3876130242520987</x:v>
      </x:c>
      <x:c r="AM662" s="6" t="str">
        <x:v>-0.1723974826006685</x:v>
      </x:c>
      <x:c r="AN662" s="6" t="str">
        <x:v>0.215967168806274</x:v>
      </x:c>
      <x:c r="AO662" s="6" t="str">
        <x:v>1.9273494563370264</x:v>
      </x:c>
      <x:c r="AP662" s="8" t="str">
        <x:v>0.7562751273875566</x:v>
      </x:c>
      <x:c r="AQ662" s="6" t="str">
        <x:v>0.7058941395182607</x:v>
      </x:c>
      <x:c r="AR662" s="6" t="str">
        <x:v>0.862257032555872</x:v>
      </x:c>
      <x:c r="AS662" s="6" t="str">
        <x:v>0.7748087664872295</x:v>
      </x:c>
      <x:c r="AT662" s="6" t="str">
        <x:v>15.93101353468694</x:v>
      </x:c>
      <x:c r="AU662" s="8" t="str">
        <x:v>0.1675602009547102</x:v>
      </x:c>
      <x:c r="AV662" s="6" t="str">
        <x:v>0.9712886697361136</x:v>
      </x:c>
      <x:c r="AW662" s="6" t="str">
        <x:v>1.3645712669286814</x:v>
      </x:c>
      <x:c r="AX662" s="6" t="str">
        <x:v>0.8344733792065013</x:v>
      </x:c>
      <x:c r="AY662" s="6" t="str">
        <x:v>0</x:v>
      </x:c>
      <x:c r="AZ662" s="6" t="str">
        <x:v>0</x:v>
      </x:c>
      <x:c r="BA662" s="9" t="str">
        <x:v>grid_cells_within_BIG_polygon</x:v>
      </x:c>
      <x:c r="BB662" s="6" t="str">
        <x:v>7</x:v>
      </x:c>
      <x:c r="BC662" s="6" t="str">
        <x:v>1</x:v>
      </x:c>
      <x:c r="BD662" s="6" t="str">
        <x:v>0</x:v>
      </x:c>
      <x:c r="BE662" s="6" t="str">
        <x:v>0</x:v>
      </x:c>
      <x:c r="BF662" s="6" t="str">
        <x:v>0</x:v>
      </x:c>
      <x:c r="BG662" s="6" t="str">
        <x:v>0</x:v>
      </x:c>
      <x:c r="BH662" s="6" t="str">
        <x:v>0</x:v>
      </x:c>
      <x:c r="BI662" s="6" t="str">
        <x:v>0</x:v>
      </x:c>
      <x:c r="BJ662" s="6" t="str">
        <x:v>0</x:v>
      </x:c>
      <x:c r="BK662" s="6" t="str">
        <x:v>1</x:v>
      </x:c>
      <x:c r="BL662" s="6" t="str">
        <x:v>0</x:v>
      </x:c>
      <x:c r="BM662" s="6" t="str">
        <x:v>0</x:v>
      </x:c>
      <x:c r="BN662" s="6" t="str">
        <x:v>1</x:v>
      </x:c>
      <x:c r="BO662" s="6" t="str">
        <x:v>0.0</x:v>
      </x:c>
      <x:c r="BP662" s="6" t="str">
        <x:v>1</x:v>
      </x:c>
      <x:c r="BQ662" s="6" t="str">
        <x:v>0.0</x:v>
      </x:c>
      <x:c r="BR662" s="6" t="str">
        <x:v>1</x:v>
      </x:c>
      <x:c r="BS662" s="6" t="str">
        <x:v>161.0</x:v>
      </x:c>
      <x:c r="BT662" s="6" t="str">
        <x:v>1</x:v>
      </x:c>
      <x:c r="BU662" s="6" t="str"/>
      <x:c r="BV662" s="6" t="str">
        <x:v>0</x:v>
      </x:c>
      <x:c r="BW662" s="9" t="str">
        <x:v>operational_snapshot_annual_totals_may_differ</x:v>
      </x:c>
      <x:c r="BX662" s="9" t="str">
        <x:v>official_live_dashboard_snapshot_subject_to_revision</x:v>
      </x:c>
      <x:c r="BY662" s="9" t="str">
        <x:v>https://tbdashboard.sitb.id/ss_data_tbc03so_2025_provinsi_bulanan_list.php</x:v>
      </x:c>
      <x:c r="BZ662" s="6" t="n">
        <x:v>46246.610671296294</x:v>
      </x:c>
    </x:row>
    <x:row r="663" ht="18" customHeight="1">
      <x:c r="A663" s="6" t="str">
        <x:v>74</x:v>
      </x:c>
      <x:c r="B663" s="6" t="str">
        <x:v>SULAWESI TENGGARA</x:v>
      </x:c>
      <x:c r="C663" s="6" t="str">
        <x:v>2025</x:v>
      </x:c>
      <x:c r="D663" s="6" t="str">
        <x:v>2</x:v>
      </x:c>
      <x:c r="E663" s="6" t="str">
        <x:v>2025-02</x:v>
      </x:c>
      <x:c r="F663" s="6" t="str">
        <x:v>558</x:v>
      </x:c>
      <x:c r="G663" s="6" t="str">
        <x:v>151</x:v>
      </x:c>
      <x:c r="H663" s="6" t="str">
        <x:v>300</x:v>
      </x:c>
      <x:c r="I663" s="6" t="str">
        <x:v>37</x:v>
      </x:c>
      <x:c r="J663" s="6" t="str">
        <x:v>31</x:v>
      </x:c>
      <x:c r="K663" s="6" t="str">
        <x:v>0</x:v>
      </x:c>
      <x:c r="L663" s="6" t="str">
        <x:v>2</x:v>
      </x:c>
      <x:c r="M663" s="6" t="str">
        <x:v>37</x:v>
      </x:c>
      <x:c r="N663" s="6" t="str">
        <x:v>558</x:v>
      </x:c>
      <x:c r="O663" s="6" t="str">
        <x:v>0</x:v>
      </x:c>
      <x:c r="P663" s="10" t="n">
        <x:f>F663-M663</x:f>
        <x:v>521</x:v>
      </x:c>
      <x:c r="Q663" s="11" t="n">
        <x:f>IFERROR(M663/F663,"")</x:f>
        <x:v>0.06630824372759857</x:v>
      </x:c>
      <x:c r="R663" s="10" t="n">
        <x:f>G663+H663</x:f>
        <x:v>451</x:v>
      </x:c>
      <x:c r="S663" s="11" t="n">
        <x:f>IFERROR(R663/F663,"")</x:f>
        <x:v>0.8082437275985663</x:v>
      </x:c>
      <x:c r="T663" s="11" t="n">
        <x:f>IFERROR(R663/P663,"")</x:f>
        <x:v>0.8656429942418427</x:v>
      </x:c>
      <x:c r="U663" s="10" t="n">
        <x:f>I663+J663+K663</x:f>
        <x:v>68</x:v>
      </x:c>
      <x:c r="V663" s="11" t="n">
        <x:f>IFERROR(U663/P663,"")</x:f>
        <x:v>0.13051823416506717</x:v>
      </x:c>
      <x:c r="W663" s="9" t="str">
        <x:v>provisional_gt_5pct_pending</x:v>
      </x:c>
      <x:c r="X663" s="12" t="n">
        <x:f>IFERROR(F663/Z663*100000,"")</x:f>
        <x:v>19.67074417456904</x:v>
      </x:c>
      <x:c r="Y663" s="13" t="n">
        <x:f>LN(Z663)</x:f>
        <x:v>14.858151962693722</x:v>
      </x:c>
      <x:c r="Z663" s="6" t="str">
        <x:v>2836700</x:v>
      </x:c>
      <x:c r="AA663" s="6" t="str">
        <x:v>78.0</x:v>
      </x:c>
      <x:c r="AB663" s="9" t="str">
        <x:v>2025-06-30</x:v>
      </x:c>
      <x:c r="AC663" s="8" t="str">
        <x:v>91.96</x:v>
      </x:c>
      <x:c r="AD663" s="9" t="str">
        <x:v>2025 (Susenas)</x:v>
      </x:c>
      <x:c r="AE663" s="8" t="str">
        <x:v>10.54</x:v>
      </x:c>
      <x:c r="AF663" s="9" t="str">
        <x:v>Maret 2025 (Susenas)</x:v>
      </x:c>
      <x:c r="AG663" s="6" t="str">
        <x:v>24.99917637721112</x:v>
      </x:c>
      <x:c r="AH663" s="8" t="str">
        <x:v>87.50089817492646</x:v>
      </x:c>
      <x:c r="AI663" s="6" t="str">
        <x:v>155.16896135204826</x:v>
      </x:c>
      <x:c r="AJ663" s="6" t="str">
        <x:v>0.1383438841578659</x:v>
      </x:c>
      <x:c r="AK663" s="8" t="str">
        <x:v>0.3721619373289533</x:v>
      </x:c>
      <x:c r="AL663" s="6" t="str">
        <x:v>0.4326859647673928</x:v>
      </x:c>
      <x:c r="AM663" s="6" t="str">
        <x:v>0.3876130242520987</x:v>
      </x:c>
      <x:c r="AN663" s="6" t="str">
        <x:v>0.3974869754494813</x:v>
      </x:c>
      <x:c r="AO663" s="6" t="str">
        <x:v>-0.7694294175283432</x:v>
      </x:c>
      <x:c r="AP663" s="8" t="str">
        <x:v>-0.5212746164737128</x:v>
      </x:c>
      <x:c r="AQ663" s="6" t="str">
        <x:v>0.7562751273875566</x:v>
      </x:c>
      <x:c r="AR663" s="6" t="str">
        <x:v>0.7058941395182607</x:v>
      </x:c>
      <x:c r="AS663" s="6" t="str">
        <x:v>0.3136315501440346</x:v>
      </x:c>
      <x:c r="AT663" s="6" t="str">
        <x:v>-59.5332265333071</x:v>
      </x:c>
      <x:c r="AU663" s="8" t="str">
        <x:v>-0.7621993901237011</x:v>
      </x:c>
      <x:c r="AV663" s="6" t="str">
        <x:v>0.1675602009547102</x:v>
      </x:c>
      <x:c r="AW663" s="6" t="str">
        <x:v>0.9712886697361136</x:v>
      </x:c>
      <x:c r="AX663" s="6" t="str">
        <x:v>0.125549826855707</x:v>
      </x:c>
      <x:c r="AY663" s="6" t="str">
        <x:v>0</x:v>
      </x:c>
      <x:c r="AZ663" s="6" t="str">
        <x:v>0</x:v>
      </x:c>
      <x:c r="BA663" s="9" t="str">
        <x:v>grid_cells_within_BIG_polygon</x:v>
      </x:c>
      <x:c r="BB663" s="6" t="str">
        <x:v>7</x:v>
      </x:c>
      <x:c r="BC663" s="6" t="str">
        <x:v>0</x:v>
      </x:c>
      <x:c r="BD663" s="6" t="str">
        <x:v>0</x:v>
      </x:c>
      <x:c r="BE663" s="6" t="str">
        <x:v>0</x:v>
      </x:c>
      <x:c r="BF663" s="6" t="str">
        <x:v>0</x:v>
      </x:c>
      <x:c r="BG663" s="6" t="str">
        <x:v>0</x:v>
      </x:c>
      <x:c r="BH663" s="6" t="str">
        <x:v>0</x:v>
      </x:c>
      <x:c r="BI663" s="6" t="str">
        <x:v>0</x:v>
      </x:c>
      <x:c r="BJ663" s="6" t="str">
        <x:v>0</x:v>
      </x:c>
      <x:c r="BK663" s="6" t="str">
        <x:v>0</x:v>
      </x:c>
      <x:c r="BL663" s="6" t="str">
        <x:v>0</x:v>
      </x:c>
      <x:c r="BM663" s="6" t="str">
        <x:v>0</x:v>
      </x:c>
      <x:c r="BN663" s="6" t="str">
        <x:v>0</x:v>
      </x:c>
      <x:c r="BO663" s="6" t="str"/>
      <x:c r="BP663" s="6" t="str">
        <x:v>0</x:v>
      </x:c>
      <x:c r="BQ663" s="6" t="str"/>
      <x:c r="BR663" s="6" t="str">
        <x:v>0</x:v>
      </x:c>
      <x:c r="BS663" s="6" t="str"/>
      <x:c r="BT663" s="6" t="str">
        <x:v>0</x:v>
      </x:c>
      <x:c r="BU663" s="6" t="str"/>
      <x:c r="BV663" s="6" t="str">
        <x:v>0</x:v>
      </x:c>
      <x:c r="BW663" s="9" t="str">
        <x:v>operational_snapshot_annual_totals_may_differ</x:v>
      </x:c>
      <x:c r="BX663" s="9" t="str">
        <x:v>official_live_dashboard_snapshot_subject_to_revision</x:v>
      </x:c>
      <x:c r="BY663" s="9" t="str">
        <x:v>https://tbdashboard.sitb.id/ss_data_tbc03so_2025_provinsi_bulanan_list.php</x:v>
      </x:c>
      <x:c r="BZ663" s="6" t="n">
        <x:v>46246.610671296294</x:v>
      </x:c>
    </x:row>
    <x:row r="664" ht="18" customHeight="1">
      <x:c r="A664" s="6" t="str">
        <x:v>74</x:v>
      </x:c>
      <x:c r="B664" s="6" t="str">
        <x:v>SULAWESI TENGGARA</x:v>
      </x:c>
      <x:c r="C664" s="6" t="str">
        <x:v>2025</x:v>
      </x:c>
      <x:c r="D664" s="6" t="str">
        <x:v>3</x:v>
      </x:c>
      <x:c r="E664" s="6" t="str">
        <x:v>2025-03</x:v>
      </x:c>
      <x:c r="F664" s="6" t="str">
        <x:v>478</x:v>
      </x:c>
      <x:c r="G664" s="6" t="str">
        <x:v>159</x:v>
      </x:c>
      <x:c r="H664" s="6" t="str">
        <x:v>234</x:v>
      </x:c>
      <x:c r="I664" s="6" t="str">
        <x:v>33</x:v>
      </x:c>
      <x:c r="J664" s="6" t="str">
        <x:v>22</x:v>
      </x:c>
      <x:c r="K664" s="6" t="str">
        <x:v>0</x:v>
      </x:c>
      <x:c r="L664" s="6" t="str">
        <x:v>0</x:v>
      </x:c>
      <x:c r="M664" s="6" t="str">
        <x:v>30</x:v>
      </x:c>
      <x:c r="N664" s="6" t="str">
        <x:v>478</x:v>
      </x:c>
      <x:c r="O664" s="6" t="str">
        <x:v>0</x:v>
      </x:c>
      <x:c r="P664" s="10" t="n">
        <x:f>F664-M664</x:f>
        <x:v>448</x:v>
      </x:c>
      <x:c r="Q664" s="11" t="n">
        <x:f>IFERROR(M664/F664,"")</x:f>
        <x:v>0.06276150627615062</x:v>
      </x:c>
      <x:c r="R664" s="10" t="n">
        <x:f>G664+H664</x:f>
        <x:v>393</x:v>
      </x:c>
      <x:c r="S664" s="11" t="n">
        <x:f>IFERROR(R664/F664,"")</x:f>
        <x:v>0.8221757322175732</x:v>
      </x:c>
      <x:c r="T664" s="11" t="n">
        <x:f>IFERROR(R664/P664,"")</x:f>
        <x:v>0.8772321428571429</x:v>
      </x:c>
      <x:c r="U664" s="10" t="n">
        <x:f>I664+J664+K664</x:f>
        <x:v>55</x:v>
      </x:c>
      <x:c r="V664" s="11" t="n">
        <x:f>IFERROR(U664/P664,"")</x:f>
        <x:v>0.12276785714285714</x:v>
      </x:c>
      <x:c r="W664" s="9" t="str">
        <x:v>provisional_gt_5pct_pending</x:v>
      </x:c>
      <x:c r="X664" s="12" t="n">
        <x:f>IFERROR(F664/Z664*100000,"")</x:f>
        <x:v>16.85056579828674</x:v>
      </x:c>
      <x:c r="Y664" s="13" t="n">
        <x:f>LN(Z664)</x:f>
        <x:v>14.858151962693722</x:v>
      </x:c>
      <x:c r="Z664" s="6" t="str">
        <x:v>2836700</x:v>
      </x:c>
      <x:c r="AA664" s="6" t="str">
        <x:v>78.0</x:v>
      </x:c>
      <x:c r="AB664" s="9" t="str">
        <x:v>2025-06-30</x:v>
      </x:c>
      <x:c r="AC664" s="8" t="str">
        <x:v>91.96</x:v>
      </x:c>
      <x:c r="AD664" s="9" t="str">
        <x:v>2025 (Susenas)</x:v>
      </x:c>
      <x:c r="AE664" s="8" t="str">
        <x:v>10.54</x:v>
      </x:c>
      <x:c r="AF664" s="9" t="str">
        <x:v>Maret 2025 (Susenas)</x:v>
      </x:c>
      <x:c r="AG664" s="6" t="str">
        <x:v>25.32056998359551</x:v>
      </x:c>
      <x:c r="AH664" s="8" t="str">
        <x:v>88.36149438444424</x:v>
      </x:c>
      <x:c r="AI664" s="6" t="str">
        <x:v>204.66527940144255</x:v>
      </x:c>
      <x:c r="AJ664" s="6" t="str">
        <x:v>0.4266620111503485</x:v>
      </x:c>
      <x:c r="AK664" s="8" t="str">
        <x:v>1.195193330330122</x:v>
      </x:c>
      <x:c r="AL664" s="6" t="str">
        <x:v>0.3721619373289533</x:v>
      </x:c>
      <x:c r="AM664" s="6" t="str">
        <x:v>0.4326859647673928</x:v>
      </x:c>
      <x:c r="AN664" s="6" t="str">
        <x:v>0.6666804108088223</x:v>
      </x:c>
      <x:c r="AO664" s="6" t="str">
        <x:v>-0.2792405613072191</x:v>
      </x:c>
      <x:c r="AP664" s="8" t="str">
        <x:v>-0.2472234779031153</x:v>
      </x:c>
      <x:c r="AQ664" s="6" t="str">
        <x:v>-0.5212746164737128</x:v>
      </x:c>
      <x:c r="AR664" s="6" t="str">
        <x:v>0.7562751273875566</x:v>
      </x:c>
      <x:c r="AS664" s="6" t="str">
        <x:v>-0.0040743223297573</x:v>
      </x:c>
      <x:c r="AT664" s="6" t="str">
        <x:v>-51.20909803946594</x:v>
      </x:c>
      <x:c r="AU664" s="8" t="str">
        <x:v>-0.6409475034958527</x:v>
      </x:c>
      <x:c r="AV664" s="6" t="str">
        <x:v>-0.7621993901237011</x:v>
      </x:c>
      <x:c r="AW664" s="6" t="str">
        <x:v>0.1675602009547102</x:v>
      </x:c>
      <x:c r="AX664" s="6" t="str">
        <x:v>-0.4118622308882817</x:v>
      </x:c>
      <x:c r="AY664" s="6" t="str">
        <x:v>0</x:v>
      </x:c>
      <x:c r="AZ664" s="6" t="str">
        <x:v>1</x:v>
      </x:c>
      <x:c r="BA664" s="9" t="str">
        <x:v>grid_cells_within_BIG_polygon</x:v>
      </x:c>
      <x:c r="BB664" s="6" t="str">
        <x:v>7</x:v>
      </x:c>
      <x:c r="BC664" s="6" t="str">
        <x:v>2</x:v>
      </x:c>
      <x:c r="BD664" s="6" t="str">
        <x:v>2</x:v>
      </x:c>
      <x:c r="BE664" s="6" t="str">
        <x:v>2</x:v>
      </x:c>
      <x:c r="BF664" s="6" t="str">
        <x:v>0</x:v>
      </x:c>
      <x:c r="BG664" s="6" t="str">
        <x:v>0</x:v>
      </x:c>
      <x:c r="BH664" s="6" t="str">
        <x:v>0</x:v>
      </x:c>
      <x:c r="BI664" s="6" t="str">
        <x:v>0</x:v>
      </x:c>
      <x:c r="BJ664" s="6" t="str">
        <x:v>0</x:v>
      </x:c>
      <x:c r="BK664" s="6" t="str">
        <x:v>0</x:v>
      </x:c>
      <x:c r="BL664" s="6" t="str">
        <x:v>0</x:v>
      </x:c>
      <x:c r="BM664" s="6" t="str">
        <x:v>0</x:v>
      </x:c>
      <x:c r="BN664" s="6" t="str">
        <x:v>2</x:v>
      </x:c>
      <x:c r="BO664" s="6" t="str">
        <x:v>0.0</x:v>
      </x:c>
      <x:c r="BP664" s="6" t="str">
        <x:v>2</x:v>
      </x:c>
      <x:c r="BQ664" s="6" t="str">
        <x:v>0.0</x:v>
      </x:c>
      <x:c r="BR664" s="6" t="str">
        <x:v>2</x:v>
      </x:c>
      <x:c r="BS664" s="6" t="str">
        <x:v>0.0</x:v>
      </x:c>
      <x:c r="BT664" s="6" t="str">
        <x:v>2</x:v>
      </x:c>
      <x:c r="BU664" s="6" t="str">
        <x:v>131.0</x:v>
      </x:c>
      <x:c r="BV664" s="6" t="str">
        <x:v>2</x:v>
      </x:c>
      <x:c r="BW664" s="9" t="str">
        <x:v>operational_snapshot_annual_totals_may_differ</x:v>
      </x:c>
      <x:c r="BX664" s="9" t="str">
        <x:v>official_live_dashboard_snapshot_subject_to_revision</x:v>
      </x:c>
      <x:c r="BY664" s="9" t="str">
        <x:v>https://tbdashboard.sitb.id/ss_data_tbc03so_2025_provinsi_bulanan_list.php</x:v>
      </x:c>
      <x:c r="BZ664" s="6" t="n">
        <x:v>46246.610671296294</x:v>
      </x:c>
    </x:row>
    <x:row r="665" ht="18" customHeight="1">
      <x:c r="A665" s="6" t="str">
        <x:v>74</x:v>
      </x:c>
      <x:c r="B665" s="6" t="str">
        <x:v>SULAWESI TENGGARA</x:v>
      </x:c>
      <x:c r="C665" s="6" t="str">
        <x:v>2025</x:v>
      </x:c>
      <x:c r="D665" s="6" t="str">
        <x:v>4</x:v>
      </x:c>
      <x:c r="E665" s="6" t="str">
        <x:v>2025-04</x:v>
      </x:c>
      <x:c r="F665" s="6" t="str">
        <x:v>523</x:v>
      </x:c>
      <x:c r="G665" s="6" t="str">
        <x:v>180</x:v>
      </x:c>
      <x:c r="H665" s="6" t="str">
        <x:v>240</x:v>
      </x:c>
      <x:c r="I665" s="6" t="str">
        <x:v>28</x:v>
      </x:c>
      <x:c r="J665" s="6" t="str">
        <x:v>42</x:v>
      </x:c>
      <x:c r="K665" s="6" t="str">
        <x:v>0</x:v>
      </x:c>
      <x:c r="L665" s="6" t="str">
        <x:v>1</x:v>
      </x:c>
      <x:c r="M665" s="6" t="str">
        <x:v>32</x:v>
      </x:c>
      <x:c r="N665" s="6" t="str">
        <x:v>523</x:v>
      </x:c>
      <x:c r="O665" s="6" t="str">
        <x:v>0</x:v>
      </x:c>
      <x:c r="P665" s="10" t="n">
        <x:f>F665-M665</x:f>
        <x:v>491</x:v>
      </x:c>
      <x:c r="Q665" s="11" t="n">
        <x:f>IFERROR(M665/F665,"")</x:f>
        <x:v>0.06118546845124283</x:v>
      </x:c>
      <x:c r="R665" s="10" t="n">
        <x:f>G665+H665</x:f>
        <x:v>420</x:v>
      </x:c>
      <x:c r="S665" s="11" t="n">
        <x:f>IFERROR(R665/F665,"")</x:f>
        <x:v>0.8030592734225621</x:v>
      </x:c>
      <x:c r="T665" s="11" t="n">
        <x:f>IFERROR(R665/P665,"")</x:f>
        <x:v>0.8553971486761711</x:v>
      </x:c>
      <x:c r="U665" s="10" t="n">
        <x:f>I665+J665+K665</x:f>
        <x:v>70</x:v>
      </x:c>
      <x:c r="V665" s="11" t="n">
        <x:f>IFERROR(U665/P665,"")</x:f>
        <x:v>0.1425661914460285</x:v>
      </x:c>
      <x:c r="W665" s="9" t="str">
        <x:v>provisional_gt_5pct_pending</x:v>
      </x:c>
      <x:c r="X665" s="12" t="n">
        <x:f>IFERROR(F665/Z665*100000,"")</x:f>
        <x:v>18.436916134945534</x:v>
      </x:c>
      <x:c r="Y665" s="13" t="n">
        <x:f>LN(Z665)</x:f>
        <x:v>14.858151962693722</x:v>
      </x:c>
      <x:c r="Z665" s="6" t="str">
        <x:v>2836700</x:v>
      </x:c>
      <x:c r="AA665" s="6" t="str">
        <x:v>78.0</x:v>
      </x:c>
      <x:c r="AB665" s="9" t="str">
        <x:v>2025-06-30</x:v>
      </x:c>
      <x:c r="AC665" s="8" t="str">
        <x:v>91.96</x:v>
      </x:c>
      <x:c r="AD665" s="9" t="str">
        <x:v>2025 (Susenas)</x:v>
      </x:c>
      <x:c r="AE665" s="8" t="str">
        <x:v>10.54</x:v>
      </x:c>
      <x:c r="AF665" s="9" t="str">
        <x:v>Maret 2025 (Susenas)</x:v>
      </x:c>
      <x:c r="AG665" s="6" t="str">
        <x:v>25.100527871629392</x:v>
      </x:c>
      <x:c r="AH665" s="8" t="str">
        <x:v>88.30224962122689</x:v>
      </x:c>
      <x:c r="AI665" s="6" t="str">
        <x:v>175.18980940892865</x:v>
      </x:c>
      <x:c r="AJ665" s="6" t="str">
        <x:v>0.2338018673327013</x:v>
      </x:c>
      <x:c r="AK665" s="8" t="str">
        <x:v>0.7603105676779989</x:v>
      </x:c>
      <x:c r="AL665" s="6" t="str">
        <x:v>1.195193330330122</x:v>
      </x:c>
      <x:c r="AM665" s="6" t="str">
        <x:v>0.3721619373289533</x:v>
      </x:c>
      <x:c r="AN665" s="6" t="str">
        <x:v>0.7758886117790244</x:v>
      </x:c>
      <x:c r="AO665" s="6" t="str">
        <x:v>-1.262174969755847</x:v>
      </x:c>
      <x:c r="AP665" s="8" t="str">
        <x:v>-1.4021295166785137</x:v>
      </x:c>
      <x:c r="AQ665" s="6" t="str">
        <x:v>-0.2472234779031153</x:v>
      </x:c>
      <x:c r="AR665" s="6" t="str">
        <x:v>-0.5212746164737128</x:v>
      </x:c>
      <x:c r="AS665" s="6" t="str">
        <x:v>-0.7235425370184475</x:v>
      </x:c>
      <x:c r="AT665" s="6" t="str">
        <x:v>-86.90421124594829</x:v>
      </x:c>
      <x:c r="AU665" s="8" t="str">
        <x:v>-1.2916040744604578</x:v>
      </x:c>
      <x:c r="AV665" s="6" t="str">
        <x:v>-0.6409475034958527</x:v>
      </x:c>
      <x:c r="AW665" s="6" t="str">
        <x:v>-0.7621993901237011</x:v>
      </x:c>
      <x:c r="AX665" s="6" t="str">
        <x:v>-0.8982503226933377</x:v>
      </x:c>
      <x:c r="AY665" s="6" t="str">
        <x:v>0</x:v>
      </x:c>
      <x:c r="AZ665" s="6" t="str">
        <x:v>0</x:v>
      </x:c>
      <x:c r="BA665" s="9" t="str">
        <x:v>grid_cells_within_BIG_polygon</x:v>
      </x:c>
      <x:c r="BB665" s="6" t="str">
        <x:v>7</x:v>
      </x:c>
      <x:c r="BC665" s="6" t="str">
        <x:v>0</x:v>
      </x:c>
      <x:c r="BD665" s="6" t="str">
        <x:v>0</x:v>
      </x:c>
      <x:c r="BE665" s="6" t="str">
        <x:v>0</x:v>
      </x:c>
      <x:c r="BF665" s="6" t="str">
        <x:v>0</x:v>
      </x:c>
      <x:c r="BG665" s="6" t="str">
        <x:v>0</x:v>
      </x:c>
      <x:c r="BH665" s="6" t="str">
        <x:v>0</x:v>
      </x:c>
      <x:c r="BI665" s="6" t="str">
        <x:v>0</x:v>
      </x:c>
      <x:c r="BJ665" s="6" t="str">
        <x:v>0</x:v>
      </x:c>
      <x:c r="BK665" s="6" t="str">
        <x:v>0</x:v>
      </x:c>
      <x:c r="BL665" s="6" t="str">
        <x:v>0</x:v>
      </x:c>
      <x:c r="BM665" s="6" t="str">
        <x:v>0</x:v>
      </x:c>
      <x:c r="BN665" s="6" t="str">
        <x:v>0</x:v>
      </x:c>
      <x:c r="BO665" s="6" t="str"/>
      <x:c r="BP665" s="6" t="str">
        <x:v>0</x:v>
      </x:c>
      <x:c r="BQ665" s="6" t="str"/>
      <x:c r="BR665" s="6" t="str">
        <x:v>0</x:v>
      </x:c>
      <x:c r="BS665" s="6" t="str"/>
      <x:c r="BT665" s="6" t="str">
        <x:v>0</x:v>
      </x:c>
      <x:c r="BU665" s="6" t="str"/>
      <x:c r="BV665" s="6" t="str">
        <x:v>0</x:v>
      </x:c>
      <x:c r="BW665" s="9" t="str">
        <x:v>operational_snapshot_annual_totals_may_differ</x:v>
      </x:c>
      <x:c r="BX665" s="9" t="str">
        <x:v>official_live_dashboard_snapshot_subject_to_revision</x:v>
      </x:c>
      <x:c r="BY665" s="9" t="str">
        <x:v>https://tbdashboard.sitb.id/ss_data_tbc03so_2025_provinsi_bulanan_list.php</x:v>
      </x:c>
      <x:c r="BZ665" s="6" t="n">
        <x:v>46246.610671296294</x:v>
      </x:c>
    </x:row>
    <x:row r="666" ht="18" customHeight="1">
      <x:c r="A666" s="6" t="str">
        <x:v>74</x:v>
      </x:c>
      <x:c r="B666" s="6" t="str">
        <x:v>SULAWESI TENGGARA</x:v>
      </x:c>
      <x:c r="C666" s="6" t="str">
        <x:v>2025</x:v>
      </x:c>
      <x:c r="D666" s="6" t="str">
        <x:v>5</x:v>
      </x:c>
      <x:c r="E666" s="6" t="str">
        <x:v>2025-05</x:v>
      </x:c>
      <x:c r="F666" s="6" t="str">
        <x:v>580</x:v>
      </x:c>
      <x:c r="G666" s="6" t="str">
        <x:v>174</x:v>
      </x:c>
      <x:c r="H666" s="6" t="str">
        <x:v>280</x:v>
      </x:c>
      <x:c r="I666" s="6" t="str">
        <x:v>42</x:v>
      </x:c>
      <x:c r="J666" s="6" t="str">
        <x:v>35</x:v>
      </x:c>
      <x:c r="K666" s="6" t="str">
        <x:v>1</x:v>
      </x:c>
      <x:c r="L666" s="6" t="str">
        <x:v>0</x:v>
      </x:c>
      <x:c r="M666" s="6" t="str">
        <x:v>48</x:v>
      </x:c>
      <x:c r="N666" s="6" t="str">
        <x:v>580</x:v>
      </x:c>
      <x:c r="O666" s="6" t="str">
        <x:v>0</x:v>
      </x:c>
      <x:c r="P666" s="10" t="n">
        <x:f>F666-M666</x:f>
        <x:v>532</x:v>
      </x:c>
      <x:c r="Q666" s="11" t="n">
        <x:f>IFERROR(M666/F666,"")</x:f>
        <x:v>0.08275862068965517</x:v>
      </x:c>
      <x:c r="R666" s="10" t="n">
        <x:f>G666+H666</x:f>
        <x:v>454</x:v>
      </x:c>
      <x:c r="S666" s="11" t="n">
        <x:f>IFERROR(R666/F666,"")</x:f>
        <x:v>0.7827586206896552</x:v>
      </x:c>
      <x:c r="T666" s="11" t="n">
        <x:f>IFERROR(R666/P666,"")</x:f>
        <x:v>0.8533834586466166</x:v>
      </x:c>
      <x:c r="U666" s="10" t="n">
        <x:f>I666+J666+K666</x:f>
        <x:v>78</x:v>
      </x:c>
      <x:c r="V666" s="11" t="n">
        <x:f>IFERROR(U666/P666,"")</x:f>
        <x:v>0.14661654135338345</x:v>
      </x:c>
      <x:c r="W666" s="9" t="str">
        <x:v>provisional_gt_5pct_pending</x:v>
      </x:c>
      <x:c r="X666" s="12" t="n">
        <x:f>IFERROR(F666/Z666*100000,"")</x:f>
        <x:v>20.446293228046674</x:v>
      </x:c>
      <x:c r="Y666" s="13" t="n">
        <x:f>LN(Z666)</x:f>
        <x:v>14.858151962693722</x:v>
      </x:c>
      <x:c r="Z666" s="6" t="str">
        <x:v>2836700</x:v>
      </x:c>
      <x:c r="AA666" s="6" t="str">
        <x:v>78.0</x:v>
      </x:c>
      <x:c r="AB666" s="9" t="str">
        <x:v>2025-06-30</x:v>
      </x:c>
      <x:c r="AC666" s="8" t="str">
        <x:v>91.96</x:v>
      </x:c>
      <x:c r="AD666" s="9" t="str">
        <x:v>2025 (Susenas)</x:v>
      </x:c>
      <x:c r="AE666" s="8" t="str">
        <x:v>10.54</x:v>
      </x:c>
      <x:c r="AF666" s="9" t="str">
        <x:v>Maret 2025 (Susenas)</x:v>
      </x:c>
      <x:c r="AG666" s="6" t="str">
        <x:v>25.104951686980947</x:v>
      </x:c>
      <x:c r="AH666" s="8" t="str">
        <x:v>89.9511824540777</x:v>
      </x:c>
      <x:c r="AI666" s="6" t="str">
        <x:v>206.1299394842303</x:v>
      </x:c>
      <x:c r="AJ666" s="6" t="str">
        <x:v>0.4677448420859562</x:v>
      </x:c>
      <x:c r="AK666" s="8" t="str">
        <x:v>1.2324051883673053</x:v>
      </x:c>
      <x:c r="AL666" s="6" t="str">
        <x:v>0.7603105676779989</x:v>
      </x:c>
      <x:c r="AM666" s="6" t="str">
        <x:v>1.195193330330122</x:v>
      </x:c>
      <x:c r="AN666" s="6" t="str">
        <x:v>1.0626363621251418</x:v>
      </x:c>
      <x:c r="AO666" s="6" t="str">
        <x:v>0.3324478497397507</x:v>
      </x:c>
      <x:c r="AP666" s="8" t="str">
        <x:v>0.2495294291896002</x:v>
      </x:c>
      <x:c r="AQ666" s="6" t="str">
        <x:v>-1.4021295166785137</x:v>
      </x:c>
      <x:c r="AR666" s="6" t="str">
        <x:v>-0.2472234779031153</x:v>
      </x:c>
      <x:c r="AS666" s="6" t="str">
        <x:v>-0.4666078551306765</x:v>
      </x:c>
      <x:c r="AT666" s="6" t="str">
        <x:v>-54.32217930600541</x:v>
      </x:c>
      <x:c r="AU666" s="8" t="str">
        <x:v>-0.6546216535576858</x:v>
      </x:c>
      <x:c r="AV666" s="6" t="str">
        <x:v>-1.2916040744604578</x:v>
      </x:c>
      <x:c r="AW666" s="6" t="str">
        <x:v>-0.6409475034958527</x:v>
      </x:c>
      <x:c r="AX666" s="6" t="str">
        <x:v>-0.8623910771713326</x:v>
      </x:c>
      <x:c r="AY666" s="6" t="str">
        <x:v>0</x:v>
      </x:c>
      <x:c r="AZ666" s="6" t="str">
        <x:v>1</x:v>
      </x:c>
      <x:c r="BA666" s="9" t="str">
        <x:v>grid_cells_within_BIG_polygon</x:v>
      </x:c>
      <x:c r="BB666" s="6" t="str">
        <x:v>7</x:v>
      </x:c>
      <x:c r="BC666" s="6" t="str">
        <x:v>1</x:v>
      </x:c>
      <x:c r="BD666" s="6" t="str">
        <x:v>0</x:v>
      </x:c>
      <x:c r="BE666" s="6" t="str">
        <x:v>0</x:v>
      </x:c>
      <x:c r="BF666" s="6" t="str">
        <x:v>0</x:v>
      </x:c>
      <x:c r="BG666" s="6" t="str">
        <x:v>0</x:v>
      </x:c>
      <x:c r="BH666" s="6" t="str">
        <x:v>0</x:v>
      </x:c>
      <x:c r="BI666" s="6" t="str">
        <x:v>0</x:v>
      </x:c>
      <x:c r="BJ666" s="6" t="str">
        <x:v>0</x:v>
      </x:c>
      <x:c r="BK666" s="6" t="str">
        <x:v>1</x:v>
      </x:c>
      <x:c r="BL666" s="6" t="str">
        <x:v>0</x:v>
      </x:c>
      <x:c r="BM666" s="6" t="str">
        <x:v>0</x:v>
      </x:c>
      <x:c r="BN666" s="6" t="str">
        <x:v>1</x:v>
      </x:c>
      <x:c r="BO666" s="6" t="str">
        <x:v>0.0</x:v>
      </x:c>
      <x:c r="BP666" s="6" t="str">
        <x:v>1</x:v>
      </x:c>
      <x:c r="BQ666" s="6" t="str">
        <x:v>1.0</x:v>
      </x:c>
      <x:c r="BR666" s="6" t="str">
        <x:v>1</x:v>
      </x:c>
      <x:c r="BS666" s="6" t="str">
        <x:v>28.0</x:v>
      </x:c>
      <x:c r="BT666" s="6" t="str">
        <x:v>1</x:v>
      </x:c>
      <x:c r="BU666" s="6" t="str"/>
      <x:c r="BV666" s="6" t="str">
        <x:v>0</x:v>
      </x:c>
      <x:c r="BW666" s="9" t="str">
        <x:v>operational_snapshot_annual_totals_may_differ</x:v>
      </x:c>
      <x:c r="BX666" s="9" t="str">
        <x:v>official_live_dashboard_snapshot_subject_to_revision</x:v>
      </x:c>
      <x:c r="BY666" s="9" t="str">
        <x:v>https://tbdashboard.sitb.id/ss_data_tbc03so_2025_provinsi_bulanan_list.php</x:v>
      </x:c>
      <x:c r="BZ666" s="6" t="n">
        <x:v>46246.610671296294</x:v>
      </x:c>
    </x:row>
    <x:row r="667" ht="18" customHeight="1">
      <x:c r="A667" s="6" t="str">
        <x:v>74</x:v>
      </x:c>
      <x:c r="B667" s="6" t="str">
        <x:v>SULAWESI TENGGARA</x:v>
      </x:c>
      <x:c r="C667" s="6" t="str">
        <x:v>2025</x:v>
      </x:c>
      <x:c r="D667" s="6" t="str">
        <x:v>6</x:v>
      </x:c>
      <x:c r="E667" s="6" t="str">
        <x:v>2025-06</x:v>
      </x:c>
      <x:c r="F667" s="6" t="str">
        <x:v>458</x:v>
      </x:c>
      <x:c r="G667" s="6" t="str">
        <x:v>127</x:v>
      </x:c>
      <x:c r="H667" s="6" t="str">
        <x:v>213</x:v>
      </x:c>
      <x:c r="I667" s="6" t="str">
        <x:v>32</x:v>
      </x:c>
      <x:c r="J667" s="6" t="str">
        <x:v>33</x:v>
      </x:c>
      <x:c r="K667" s="6" t="str">
        <x:v>1</x:v>
      </x:c>
      <x:c r="L667" s="6" t="str">
        <x:v>0</x:v>
      </x:c>
      <x:c r="M667" s="6" t="str">
        <x:v>52</x:v>
      </x:c>
      <x:c r="N667" s="6" t="str">
        <x:v>458</x:v>
      </x:c>
      <x:c r="O667" s="6" t="str">
        <x:v>0</x:v>
      </x:c>
      <x:c r="P667" s="10" t="n">
        <x:f>F667-M667</x:f>
        <x:v>406</x:v>
      </x:c>
      <x:c r="Q667" s="11" t="n">
        <x:f>IFERROR(M667/F667,"")</x:f>
        <x:v>0.11353711790393013</x:v>
      </x:c>
      <x:c r="R667" s="10" t="n">
        <x:f>G667+H667</x:f>
        <x:v>340</x:v>
      </x:c>
      <x:c r="S667" s="11" t="n">
        <x:f>IFERROR(R667/F667,"")</x:f>
        <x:v>0.74235807860262</x:v>
      </x:c>
      <x:c r="T667" s="11" t="n">
        <x:f>IFERROR(R667/P667,"")</x:f>
        <x:v>0.8374384236453202</x:v>
      </x:c>
      <x:c r="U667" s="10" t="n">
        <x:f>I667+J667+K667</x:f>
        <x:v>66</x:v>
      </x:c>
      <x:c r="V667" s="11" t="n">
        <x:f>IFERROR(U667/P667,"")</x:f>
        <x:v>0.1625615763546798</x:v>
      </x:c>
      <x:c r="W667" s="9" t="str">
        <x:v>provisional_gt_5pct_pending</x:v>
      </x:c>
      <x:c r="X667" s="12" t="n">
        <x:f>IFERROR(F667/Z667*100000,"")</x:f>
        <x:v>16.145521204216166</x:v>
      </x:c>
      <x:c r="Y667" s="13" t="n">
        <x:f>LN(Z667)</x:f>
        <x:v>14.858151962693722</x:v>
      </x:c>
      <x:c r="Z667" s="6" t="str">
        <x:v>2836700</x:v>
      </x:c>
      <x:c r="AA667" s="6" t="str">
        <x:v>78.0</x:v>
      </x:c>
      <x:c r="AB667" s="9" t="str">
        <x:v>2025-06-30</x:v>
      </x:c>
      <x:c r="AC667" s="8" t="str">
        <x:v>91.96</x:v>
      </x:c>
      <x:c r="AD667" s="9" t="str">
        <x:v>2025 (Susenas)</x:v>
      </x:c>
      <x:c r="AE667" s="8" t="str">
        <x:v>10.54</x:v>
      </x:c>
      <x:c r="AF667" s="9" t="str">
        <x:v>Maret 2025 (Susenas)</x:v>
      </x:c>
      <x:c r="AG667" s="6" t="str">
        <x:v>24.15490957755078</x:v>
      </x:c>
      <x:c r="AH667" s="8" t="str">
        <x:v>91.1081872928684</x:v>
      </x:c>
      <x:c r="AI667" s="6" t="str">
        <x:v>289.4266215941108</x:v>
      </x:c>
      <x:c r="AJ667" s="6" t="str">
        <x:v>0.1409365709470265</x:v>
      </x:c>
      <x:c r="AK667" s="8" t="str">
        <x:v>0.4714504855253874</x:v>
      </x:c>
      <x:c r="AL667" s="6" t="str">
        <x:v>1.2324051883673053</x:v>
      </x:c>
      <x:c r="AM667" s="6" t="str">
        <x:v>0.7603105676779989</x:v>
      </x:c>
      <x:c r="AN667" s="6" t="str">
        <x:v>0.8213887471902303</x:v>
      </x:c>
      <x:c r="AO667" s="6" t="str">
        <x:v>1.5430663719128574</x:v>
      </x:c>
      <x:c r="AP667" s="8" t="str">
        <x:v>0.6757242147503592</x:v>
      </x:c>
      <x:c r="AQ667" s="6" t="str">
        <x:v>0.2495294291896002</x:v>
      </x:c>
      <x:c r="AR667" s="6" t="str">
        <x:v>-1.4021295166785137</x:v>
      </x:c>
      <x:c r="AS667" s="6" t="str">
        <x:v>-0.158958624246185</x:v>
      </x:c>
      <x:c r="AT667" s="6" t="str">
        <x:v>47.97416001749306</x:v>
      </x:c>
      <x:c r="AU667" s="8" t="str">
        <x:v>0.4882700349974763</x:v>
      </x:c>
      <x:c r="AV667" s="6" t="str">
        <x:v>-0.6546216535576858</x:v>
      </x:c>
      <x:c r="AW667" s="6" t="str">
        <x:v>-1.2916040744604578</x:v>
      </x:c>
      <x:c r="AX667" s="6" t="str">
        <x:v>-0.4859852310068895</x:v>
      </x:c>
      <x:c r="AY667" s="6" t="str">
        <x:v>0</x:v>
      </x:c>
      <x:c r="AZ667" s="6" t="str">
        <x:v>0</x:v>
      </x:c>
      <x:c r="BA667" s="9" t="str">
        <x:v>grid_cells_within_BIG_polygon</x:v>
      </x:c>
      <x:c r="BB667" s="6" t="str">
        <x:v>7</x:v>
      </x:c>
      <x:c r="BC667" s="6" t="str">
        <x:v>4</x:v>
      </x:c>
      <x:c r="BD667" s="6" t="str">
        <x:v>4</x:v>
      </x:c>
      <x:c r="BE667" s="6" t="str">
        <x:v>3</x:v>
      </x:c>
      <x:c r="BF667" s="6" t="str">
        <x:v>1</x:v>
      </x:c>
      <x:c r="BG667" s="6" t="str">
        <x:v>0</x:v>
      </x:c>
      <x:c r="BH667" s="6" t="str">
        <x:v>0</x:v>
      </x:c>
      <x:c r="BI667" s="6" t="str">
        <x:v>0</x:v>
      </x:c>
      <x:c r="BJ667" s="6" t="str">
        <x:v>0</x:v>
      </x:c>
      <x:c r="BK667" s="6" t="str">
        <x:v>0</x:v>
      </x:c>
      <x:c r="BL667" s="6" t="str">
        <x:v>0</x:v>
      </x:c>
      <x:c r="BM667" s="6" t="str">
        <x:v>0</x:v>
      </x:c>
      <x:c r="BN667" s="6" t="str">
        <x:v>4</x:v>
      </x:c>
      <x:c r="BO667" s="6" t="str"/>
      <x:c r="BP667" s="6" t="str">
        <x:v>0</x:v>
      </x:c>
      <x:c r="BQ667" s="6" t="str"/>
      <x:c r="BR667" s="6" t="str">
        <x:v>0</x:v>
      </x:c>
      <x:c r="BS667" s="6" t="str">
        <x:v>1.0</x:v>
      </x:c>
      <x:c r="BT667" s="6" t="str">
        <x:v>4</x:v>
      </x:c>
      <x:c r="BU667" s="6" t="str">
        <x:v>675.0</x:v>
      </x:c>
      <x:c r="BV667" s="6" t="str">
        <x:v>3</x:v>
      </x:c>
      <x:c r="BW667" s="9" t="str">
        <x:v>operational_snapshot_annual_totals_may_differ</x:v>
      </x:c>
      <x:c r="BX667" s="9" t="str">
        <x:v>official_live_dashboard_snapshot_subject_to_revision</x:v>
      </x:c>
      <x:c r="BY667" s="9" t="str">
        <x:v>https://tbdashboard.sitb.id/ss_data_tbc03so_2025_provinsi_bulanan_list.php</x:v>
      </x:c>
      <x:c r="BZ667" s="6" t="n">
        <x:v>46246.610671296294</x:v>
      </x:c>
    </x:row>
    <x:row r="668" ht="18" customHeight="1">
      <x:c r="A668" s="6" t="str">
        <x:v>74</x:v>
      </x:c>
      <x:c r="B668" s="6" t="str">
        <x:v>SULAWESI TENGGARA</x:v>
      </x:c>
      <x:c r="C668" s="6" t="str">
        <x:v>2025</x:v>
      </x:c>
      <x:c r="D668" s="6" t="str">
        <x:v>7</x:v>
      </x:c>
      <x:c r="E668" s="6" t="str">
        <x:v>2025-07</x:v>
      </x:c>
      <x:c r="F668" s="6" t="str">
        <x:v>609</x:v>
      </x:c>
      <x:c r="G668" s="6" t="str">
        <x:v>157</x:v>
      </x:c>
      <x:c r="H668" s="6" t="str">
        <x:v>290</x:v>
      </x:c>
      <x:c r="I668" s="6" t="str">
        <x:v>36</x:v>
      </x:c>
      <x:c r="J668" s="6" t="str">
        <x:v>40</x:v>
      </x:c>
      <x:c r="K668" s="6" t="str">
        <x:v>1</x:v>
      </x:c>
      <x:c r="L668" s="6" t="str">
        <x:v>0</x:v>
      </x:c>
      <x:c r="M668" s="6" t="str">
        <x:v>85</x:v>
      </x:c>
      <x:c r="N668" s="6" t="str">
        <x:v>609</x:v>
      </x:c>
      <x:c r="O668" s="6" t="str">
        <x:v>0</x:v>
      </x:c>
      <x:c r="P668" s="10" t="n">
        <x:f>F668-M668</x:f>
        <x:v>524</x:v>
      </x:c>
      <x:c r="Q668" s="11" t="n">
        <x:f>IFERROR(M668/F668,"")</x:f>
        <x:v>0.13957307060755336</x:v>
      </x:c>
      <x:c r="R668" s="10" t="n">
        <x:f>G668+H668</x:f>
        <x:v>447</x:v>
      </x:c>
      <x:c r="S668" s="11" t="n">
        <x:f>IFERROR(R668/F668,"")</x:f>
        <x:v>0.7339901477832512</x:v>
      </x:c>
      <x:c r="T668" s="11" t="n">
        <x:f>IFERROR(R668/P668,"")</x:f>
        <x:v>0.8530534351145038</x:v>
      </x:c>
      <x:c r="U668" s="10" t="n">
        <x:f>I668+J668+K668</x:f>
        <x:v>77</x:v>
      </x:c>
      <x:c r="V668" s="11" t="n">
        <x:f>IFERROR(U668/P668,"")</x:f>
        <x:v>0.14694656488549618</x:v>
      </x:c>
      <x:c r="W668" s="9" t="str">
        <x:v>provisional_gt_5pct_pending</x:v>
      </x:c>
      <x:c r="X668" s="12" t="n">
        <x:f>IFERROR(F668/Z668*100000,"")</x:f>
        <x:v>21.468607889449007</x:v>
      </x:c>
      <x:c r="Y668" s="13" t="n">
        <x:f>LN(Z668)</x:f>
        <x:v>14.858151962693722</x:v>
      </x:c>
      <x:c r="Z668" s="6" t="str">
        <x:v>2836700</x:v>
      </x:c>
      <x:c r="AA668" s="6" t="str">
        <x:v>78.0</x:v>
      </x:c>
      <x:c r="AB668" s="9" t="str">
        <x:v>2025-06-30</x:v>
      </x:c>
      <x:c r="AC668" s="8" t="str">
        <x:v>91.96</x:v>
      </x:c>
      <x:c r="AD668" s="9" t="str">
        <x:v>2025 (Susenas)</x:v>
      </x:c>
      <x:c r="AE668" s="8" t="str">
        <x:v>10.54</x:v>
      </x:c>
      <x:c r="AF668" s="9" t="str">
        <x:v>Maret 2025 (Susenas)</x:v>
      </x:c>
      <x:c r="AG668" s="6" t="str">
        <x:v>24.14645153628674</x:v>
      </x:c>
      <x:c r="AH668" s="8" t="str">
        <x:v>88.82264958779425</x:v>
      </x:c>
      <x:c r="AI668" s="6" t="str">
        <x:v>118.12466937081936</x:v>
      </x:c>
      <x:c r="AJ668" s="6" t="str">
        <x:v>0.5799484379761672</x:v>
      </x:c>
      <x:c r="AK668" s="8" t="str">
        <x:v>1.8081150850225804</x:v>
      </x:c>
      <x:c r="AL668" s="6" t="str">
        <x:v>0.4714504855253874</x:v>
      </x:c>
      <x:c r="AM668" s="6" t="str">
        <x:v>1.2324051883673053</x:v>
      </x:c>
      <x:c r="AN668" s="6" t="str">
        <x:v>1.170656919638424</x:v>
      </x:c>
      <x:c r="AO668" s="6" t="str">
        <x:v>1.3598746705181384</x:v>
      </x:c>
      <x:c r="AP668" s="8" t="str">
        <x:v>0.5073723140596271</x:v>
      </x:c>
      <x:c r="AQ668" s="6" t="str">
        <x:v>0.6757242147503592</x:v>
      </x:c>
      <x:c r="AR668" s="6" t="str">
        <x:v>0.2495294291896002</x:v>
      </x:c>
      <x:c r="AS668" s="6" t="str">
        <x:v>0.4775419859998619</x:v>
      </x:c>
      <x:c r="AT668" s="6" t="str">
        <x:v>-50.42338662270922</x:v>
      </x:c>
      <x:c r="AU668" s="8" t="str">
        <x:v>-0.4978378536537501</x:v>
      </x:c>
      <x:c r="AV668" s="6" t="str">
        <x:v>0.4882700349974763</x:v>
      </x:c>
      <x:c r="AW668" s="6" t="str">
        <x:v>-0.6546216535576858</x:v>
      </x:c>
      <x:c r="AX668" s="6" t="str">
        <x:v>-0.221396490737987</x:v>
      </x:c>
      <x:c r="AY668" s="6" t="str">
        <x:v>0</x:v>
      </x:c>
      <x:c r="AZ668" s="6" t="str">
        <x:v>1</x:v>
      </x:c>
      <x:c r="BA668" s="9" t="str">
        <x:v>grid_cells_within_BIG_polygon</x:v>
      </x:c>
      <x:c r="BB668" s="6" t="str">
        <x:v>7</x:v>
      </x:c>
      <x:c r="BC668" s="6" t="str">
        <x:v>5</x:v>
      </x:c>
      <x:c r="BD668" s="6" t="str">
        <x:v>5</x:v>
      </x:c>
      <x:c r="BE668" s="6" t="str">
        <x:v>4</x:v>
      </x:c>
      <x:c r="BF668" s="6" t="str">
        <x:v>0</x:v>
      </x:c>
      <x:c r="BG668" s="6" t="str">
        <x:v>1</x:v>
      </x:c>
      <x:c r="BH668" s="6" t="str">
        <x:v>0</x:v>
      </x:c>
      <x:c r="BI668" s="6" t="str">
        <x:v>0</x:v>
      </x:c>
      <x:c r="BJ668" s="6" t="str">
        <x:v>0</x:v>
      </x:c>
      <x:c r="BK668" s="6" t="str">
        <x:v>0</x:v>
      </x:c>
      <x:c r="BL668" s="6" t="str">
        <x:v>0</x:v>
      </x:c>
      <x:c r="BM668" s="6" t="str">
        <x:v>0</x:v>
      </x:c>
      <x:c r="BN668" s="6" t="str">
        <x:v>5</x:v>
      </x:c>
      <x:c r="BO668" s="6" t="str"/>
      <x:c r="BP668" s="6" t="str">
        <x:v>0</x:v>
      </x:c>
      <x:c r="BQ668" s="6" t="str"/>
      <x:c r="BR668" s="6" t="str">
        <x:v>0</x:v>
      </x:c>
      <x:c r="BS668" s="6" t="str">
        <x:v>115.0</x:v>
      </x:c>
      <x:c r="BT668" s="6" t="str">
        <x:v>5</x:v>
      </x:c>
      <x:c r="BU668" s="6" t="str">
        <x:v>620.0</x:v>
      </x:c>
      <x:c r="BV668" s="6" t="str">
        <x:v>1</x:v>
      </x:c>
      <x:c r="BW668" s="9" t="str">
        <x:v>operational_snapshot_annual_totals_may_differ</x:v>
      </x:c>
      <x:c r="BX668" s="9" t="str">
        <x:v>official_live_dashboard_snapshot_subject_to_revision</x:v>
      </x:c>
      <x:c r="BY668" s="9" t="str">
        <x:v>https://tbdashboard.sitb.id/ss_data_tbc03so_2025_provinsi_bulanan_list.php</x:v>
      </x:c>
      <x:c r="BZ668" s="6" t="n">
        <x:v>46246.610671296294</x:v>
      </x:c>
    </x:row>
    <x:row r="669" ht="18" customHeight="1">
      <x:c r="A669" s="6" t="str">
        <x:v>74</x:v>
      </x:c>
      <x:c r="B669" s="6" t="str">
        <x:v>SULAWESI TENGGARA</x:v>
      </x:c>
      <x:c r="C669" s="6" t="str">
        <x:v>2025</x:v>
      </x:c>
      <x:c r="D669" s="6" t="str">
        <x:v>8</x:v>
      </x:c>
      <x:c r="E669" s="6" t="str">
        <x:v>2025-08</x:v>
      </x:c>
      <x:c r="F669" s="6" t="str">
        <x:v>574</x:v>
      </x:c>
      <x:c r="G669" s="6" t="str">
        <x:v>172</x:v>
      </x:c>
      <x:c r="H669" s="6" t="str">
        <x:v>253</x:v>
      </x:c>
      <x:c r="I669" s="6" t="str">
        <x:v>30</x:v>
      </x:c>
      <x:c r="J669" s="6" t="str">
        <x:v>29</x:v>
      </x:c>
      <x:c r="K669" s="6" t="str">
        <x:v>1</x:v>
      </x:c>
      <x:c r="L669" s="6" t="str">
        <x:v>0</x:v>
      </x:c>
      <x:c r="M669" s="6" t="str">
        <x:v>89</x:v>
      </x:c>
      <x:c r="N669" s="6" t="str">
        <x:v>574</x:v>
      </x:c>
      <x:c r="O669" s="6" t="str">
        <x:v>0</x:v>
      </x:c>
      <x:c r="P669" s="10" t="n">
        <x:f>F669-M669</x:f>
        <x:v>485</x:v>
      </x:c>
      <x:c r="Q669" s="11" t="n">
        <x:f>IFERROR(M669/F669,"")</x:f>
        <x:v>0.15505226480836237</x:v>
      </x:c>
      <x:c r="R669" s="10" t="n">
        <x:f>G669+H669</x:f>
        <x:v>425</x:v>
      </x:c>
      <x:c r="S669" s="11" t="n">
        <x:f>IFERROR(R669/F669,"")</x:f>
        <x:v>0.740418118466899</x:v>
      </x:c>
      <x:c r="T669" s="11" t="n">
        <x:f>IFERROR(R669/P669,"")</x:f>
        <x:v>0.8762886597938144</x:v>
      </x:c>
      <x:c r="U669" s="10" t="n">
        <x:f>I669+J669+K669</x:f>
        <x:v>60</x:v>
      </x:c>
      <x:c r="V669" s="11" t="n">
        <x:f>IFERROR(U669/P669,"")</x:f>
        <x:v>0.12371134020618557</x:v>
      </x:c>
      <x:c r="W669" s="9" t="str">
        <x:v>provisional_gt_5pct_pending</x:v>
      </x:c>
      <x:c r="X669" s="12" t="n">
        <x:f>IFERROR(F669/Z669*100000,"")</x:f>
        <x:v>20.2347798498255</x:v>
      </x:c>
      <x:c r="Y669" s="13" t="n">
        <x:f>LN(Z669)</x:f>
        <x:v>14.858151962693722</x:v>
      </x:c>
      <x:c r="Z669" s="6" t="str">
        <x:v>2836700</x:v>
      </x:c>
      <x:c r="AA669" s="6" t="str">
        <x:v>78.0</x:v>
      </x:c>
      <x:c r="AB669" s="9" t="str">
        <x:v>2025-06-30</x:v>
      </x:c>
      <x:c r="AC669" s="8" t="str">
        <x:v>91.96</x:v>
      </x:c>
      <x:c r="AD669" s="9" t="str">
        <x:v>2025 (Susenas)</x:v>
      </x:c>
      <x:c r="AE669" s="8" t="str">
        <x:v>10.54</x:v>
      </x:c>
      <x:c r="AF669" s="9" t="str">
        <x:v>Maret 2025 (Susenas)</x:v>
      </x:c>
      <x:c r="AG669" s="6" t="str">
        <x:v>23.94214022858312</x:v>
      </x:c>
      <x:c r="AH669" s="8" t="str">
        <x:v>86.66180256427234</x:v>
      </x:c>
      <x:c r="AI669" s="6" t="str">
        <x:v>71.25041295736482</x:v>
      </x:c>
      <x:c r="AJ669" s="6" t="str">
        <x:v>0.2806556334486565</x:v>
      </x:c>
      <x:c r="AK669" s="8" t="str">
        <x:v>0.7079194728791786</x:v>
      </x:c>
      <x:c r="AL669" s="6" t="str">
        <x:v>1.8081150850225804</x:v>
      </x:c>
      <x:c r="AM669" s="6" t="str">
        <x:v>0.4714504855253874</x:v>
      </x:c>
      <x:c r="AN669" s="6" t="str">
        <x:v>0.9958283478090484</x:v>
      </x:c>
      <x:c r="AO669" s="6" t="str">
        <x:v>2.8582813974887955</x:v>
      </x:c>
      <x:c r="AP669" s="8" t="str">
        <x:v>0.7252576602678932</x:v>
      </x:c>
      <x:c r="AQ669" s="6" t="str">
        <x:v>0.5073723140596271</x:v>
      </x:c>
      <x:c r="AR669" s="6" t="str">
        <x:v>0.6757242147503592</x:v>
      </x:c>
      <x:c r="AS669" s="6" t="str">
        <x:v>0.6361180630259596</x:v>
      </x:c>
      <x:c r="AT669" s="6" t="str">
        <x:v>-20.36399902320545</x:v>
      </x:c>
      <x:c r="AU669" s="8" t="str">
        <x:v>-0.2516459980649813</x:v>
      </x:c>
      <x:c r="AV669" s="6" t="str">
        <x:v>-0.4978378536537501</x:v>
      </x:c>
      <x:c r="AW669" s="6" t="str">
        <x:v>0.4882700349974763</x:v>
      </x:c>
      <x:c r="AX669" s="6" t="str">
        <x:v>-0.0870712722404189</x:v>
      </x:c>
      <x:c r="AY669" s="6" t="str">
        <x:v>0</x:v>
      </x:c>
      <x:c r="AZ669" s="6" t="str">
        <x:v>0</x:v>
      </x:c>
      <x:c r="BA669" s="9" t="str">
        <x:v>grid_cells_within_BIG_polygon</x:v>
      </x:c>
      <x:c r="BB669" s="6" t="str">
        <x:v>7</x:v>
      </x:c>
      <x:c r="BC669" s="6" t="str">
        <x:v>0</x:v>
      </x:c>
      <x:c r="BD669" s="6" t="str">
        <x:v>0</x:v>
      </x:c>
      <x:c r="BE669" s="6" t="str">
        <x:v>0</x:v>
      </x:c>
      <x:c r="BF669" s="6" t="str">
        <x:v>0</x:v>
      </x:c>
      <x:c r="BG669" s="6" t="str">
        <x:v>0</x:v>
      </x:c>
      <x:c r="BH669" s="6" t="str">
        <x:v>0</x:v>
      </x:c>
      <x:c r="BI669" s="6" t="str">
        <x:v>0</x:v>
      </x:c>
      <x:c r="BJ669" s="6" t="str">
        <x:v>0</x:v>
      </x:c>
      <x:c r="BK669" s="6" t="str">
        <x:v>0</x:v>
      </x:c>
      <x:c r="BL669" s="6" t="str">
        <x:v>0</x:v>
      </x:c>
      <x:c r="BM669" s="6" t="str">
        <x:v>0</x:v>
      </x:c>
      <x:c r="BN669" s="6" t="str">
        <x:v>0</x:v>
      </x:c>
      <x:c r="BO669" s="6" t="str"/>
      <x:c r="BP669" s="6" t="str">
        <x:v>0</x:v>
      </x:c>
      <x:c r="BQ669" s="6" t="str"/>
      <x:c r="BR669" s="6" t="str">
        <x:v>0</x:v>
      </x:c>
      <x:c r="BS669" s="6" t="str"/>
      <x:c r="BT669" s="6" t="str">
        <x:v>0</x:v>
      </x:c>
      <x:c r="BU669" s="6" t="str"/>
      <x:c r="BV669" s="6" t="str">
        <x:v>0</x:v>
      </x:c>
      <x:c r="BW669" s="9" t="str">
        <x:v>operational_snapshot_annual_totals_may_differ</x:v>
      </x:c>
      <x:c r="BX669" s="9" t="str">
        <x:v>official_live_dashboard_snapshot_subject_to_revision</x:v>
      </x:c>
      <x:c r="BY669" s="9" t="str">
        <x:v>https://tbdashboard.sitb.id/ss_data_tbc03so_2025_provinsi_bulanan_list.php</x:v>
      </x:c>
      <x:c r="BZ669" s="6" t="n">
        <x:v>46246.610671296294</x:v>
      </x:c>
    </x:row>
    <x:row r="670" ht="18" customHeight="1">
      <x:c r="A670" s="6" t="str">
        <x:v>74</x:v>
      </x:c>
      <x:c r="B670" s="6" t="str">
        <x:v>SULAWESI TENGGARA</x:v>
      </x:c>
      <x:c r="C670" s="6" t="str">
        <x:v>2025</x:v>
      </x:c>
      <x:c r="D670" s="6" t="str">
        <x:v>9</x:v>
      </x:c>
      <x:c r="E670" s="6" t="str">
        <x:v>2025-09</x:v>
      </x:c>
      <x:c r="F670" s="6" t="str">
        <x:v>533</x:v>
      </x:c>
      <x:c r="G670" s="6" t="str">
        <x:v>121</x:v>
      </x:c>
      <x:c r="H670" s="6" t="str">
        <x:v>236</x:v>
      </x:c>
      <x:c r="I670" s="6" t="str">
        <x:v>36</x:v>
      </x:c>
      <x:c r="J670" s="6" t="str">
        <x:v>39</x:v>
      </x:c>
      <x:c r="K670" s="6" t="str">
        <x:v>0</x:v>
      </x:c>
      <x:c r="L670" s="6" t="str">
        <x:v>0</x:v>
      </x:c>
      <x:c r="M670" s="6" t="str">
        <x:v>101</x:v>
      </x:c>
      <x:c r="N670" s="6" t="str">
        <x:v>533</x:v>
      </x:c>
      <x:c r="O670" s="6" t="str">
        <x:v>0</x:v>
      </x:c>
      <x:c r="P670" s="10" t="n">
        <x:f>F670-M670</x:f>
        <x:v>432</x:v>
      </x:c>
      <x:c r="Q670" s="11" t="n">
        <x:f>IFERROR(M670/F670,"")</x:f>
        <x:v>0.1894934333958724</x:v>
      </x:c>
      <x:c r="R670" s="10" t="n">
        <x:f>G670+H670</x:f>
        <x:v>357</x:v>
      </x:c>
      <x:c r="S670" s="11" t="n">
        <x:f>IFERROR(R670/F670,"")</x:f>
        <x:v>0.6697936210131332</x:v>
      </x:c>
      <x:c r="T670" s="11" t="n">
        <x:f>IFERROR(R670/P670,"")</x:f>
        <x:v>0.8263888888888888</x:v>
      </x:c>
      <x:c r="U670" s="10" t="n">
        <x:f>I670+J670+K670</x:f>
        <x:v>75</x:v>
      </x:c>
      <x:c r="V670" s="11" t="n">
        <x:f>IFERROR(U670/P670,"")</x:f>
        <x:v>0.1736111111111111</x:v>
      </x:c>
      <x:c r="W670" s="9" t="str">
        <x:v>provisional_gt_5pct_pending</x:v>
      </x:c>
      <x:c r="X670" s="12" t="n">
        <x:f>IFERROR(F670/Z670*100000,"")</x:f>
        <x:v>18.789438431980823</x:v>
      </x:c>
      <x:c r="Y670" s="13" t="n">
        <x:f>LN(Z670)</x:f>
        <x:v>14.858151962693722</x:v>
      </x:c>
      <x:c r="Z670" s="6" t="str">
        <x:v>2836700</x:v>
      </x:c>
      <x:c r="AA670" s="6" t="str">
        <x:v>78.0</x:v>
      </x:c>
      <x:c r="AB670" s="9" t="str">
        <x:v>2025-06-30</x:v>
      </x:c>
      <x:c r="AC670" s="8" t="str">
        <x:v>91.96</x:v>
      </x:c>
      <x:c r="AD670" s="9" t="str">
        <x:v>2025 (Susenas)</x:v>
      </x:c>
      <x:c r="AE670" s="8" t="str">
        <x:v>10.54</x:v>
      </x:c>
      <x:c r="AF670" s="9" t="str">
        <x:v>Maret 2025 (Susenas)</x:v>
      </x:c>
      <x:c r="AG670" s="6" t="str">
        <x:v>25.0547331734668</x:v>
      </x:c>
      <x:c r="AH670" s="8" t="str">
        <x:v>81.80320046850984</x:v>
      </x:c>
      <x:c r="AI670" s="6" t="str">
        <x:v>41.88359276292537</x:v>
      </x:c>
      <x:c r="AJ670" s="6" t="str">
        <x:v>0.5215483892309827</x:v>
      </x:c>
      <x:c r="AK670" s="8" t="str">
        <x:v>1.0782150518810851</x:v>
      </x:c>
      <x:c r="AL670" s="6" t="str">
        <x:v>0.7079194728791786</x:v>
      </x:c>
      <x:c r="AM670" s="6" t="str">
        <x:v>1.8081150850225804</x:v>
      </x:c>
      <x:c r="AN670" s="6" t="str">
        <x:v>1.198083203260948</x:v>
      </x:c>
      <x:c r="AO670" s="6" t="str">
        <x:v>1.7415377252718258</x:v>
      </x:c>
      <x:c r="AP670" s="8" t="str">
        <x:v>0.351682933563599</x:v>
      </x:c>
      <x:c r="AQ670" s="6" t="str">
        <x:v>0.7252576602678932</x:v>
      </x:c>
      <x:c r="AR670" s="6" t="str">
        <x:v>0.5073723140596271</x:v>
      </x:c>
      <x:c r="AS670" s="6" t="str">
        <x:v>0.528104302630373</x:v>
      </x:c>
      <x:c r="AT670" s="6" t="str">
        <x:v>-34.17505980895998</x:v>
      </x:c>
      <x:c r="AU670" s="8" t="str">
        <x:v>-0.5130336042110899</x:v>
      </x:c>
      <x:c r="AV670" s="6" t="str">
        <x:v>-0.2516459980649813</x:v>
      </x:c>
      <x:c r="AW670" s="6" t="str">
        <x:v>-0.4978378536537501</x:v>
      </x:c>
      <x:c r="AX670" s="6" t="str">
        <x:v>-0.4208391519766076</x:v>
      </x:c>
      <x:c r="AY670" s="6" t="str">
        <x:v>0</x:v>
      </x:c>
      <x:c r="AZ670" s="6" t="str">
        <x:v>1</x:v>
      </x:c>
      <x:c r="BA670" s="9" t="str">
        <x:v>grid_cells_within_BIG_polygon</x:v>
      </x:c>
      <x:c r="BB670" s="6" t="str">
        <x:v>7</x:v>
      </x:c>
      <x:c r="BC670" s="6" t="str">
        <x:v>0</x:v>
      </x:c>
      <x:c r="BD670" s="6" t="str">
        <x:v>0</x:v>
      </x:c>
      <x:c r="BE670" s="6" t="str">
        <x:v>0</x:v>
      </x:c>
      <x:c r="BF670" s="6" t="str">
        <x:v>0</x:v>
      </x:c>
      <x:c r="BG670" s="6" t="str">
        <x:v>0</x:v>
      </x:c>
      <x:c r="BH670" s="6" t="str">
        <x:v>0</x:v>
      </x:c>
      <x:c r="BI670" s="6" t="str">
        <x:v>0</x:v>
      </x:c>
      <x:c r="BJ670" s="6" t="str">
        <x:v>0</x:v>
      </x:c>
      <x:c r="BK670" s="6" t="str">
        <x:v>0</x:v>
      </x:c>
      <x:c r="BL670" s="6" t="str">
        <x:v>0</x:v>
      </x:c>
      <x:c r="BM670" s="6" t="str">
        <x:v>0</x:v>
      </x:c>
      <x:c r="BN670" s="6" t="str">
        <x:v>0</x:v>
      </x:c>
      <x:c r="BO670" s="6" t="str"/>
      <x:c r="BP670" s="6" t="str">
        <x:v>0</x:v>
      </x:c>
      <x:c r="BQ670" s="6" t="str"/>
      <x:c r="BR670" s="6" t="str">
        <x:v>0</x:v>
      </x:c>
      <x:c r="BS670" s="6" t="str"/>
      <x:c r="BT670" s="6" t="str">
        <x:v>0</x:v>
      </x:c>
      <x:c r="BU670" s="6" t="str"/>
      <x:c r="BV670" s="6" t="str">
        <x:v>0</x:v>
      </x:c>
      <x:c r="BW670" s="9" t="str">
        <x:v>operational_snapshot_annual_totals_may_differ</x:v>
      </x:c>
      <x:c r="BX670" s="9" t="str">
        <x:v>official_live_dashboard_snapshot_subject_to_revision</x:v>
      </x:c>
      <x:c r="BY670" s="9" t="str">
        <x:v>https://tbdashboard.sitb.id/ss_data_tbc03so_2025_provinsi_bulanan_list.php</x:v>
      </x:c>
      <x:c r="BZ670" s="6" t="n">
        <x:v>46246.610671296294</x:v>
      </x:c>
    </x:row>
    <x:row r="671" ht="18" customHeight="1">
      <x:c r="A671" s="6" t="str">
        <x:v>74</x:v>
      </x:c>
      <x:c r="B671" s="6" t="str">
        <x:v>SULAWESI TENGGARA</x:v>
      </x:c>
      <x:c r="C671" s="6" t="str">
        <x:v>2025</x:v>
      </x:c>
      <x:c r="D671" s="6" t="str">
        <x:v>10</x:v>
      </x:c>
      <x:c r="E671" s="6" t="str">
        <x:v>2025-10</x:v>
      </x:c>
      <x:c r="F671" s="6" t="str">
        <x:v>601</x:v>
      </x:c>
      <x:c r="G671" s="6" t="str">
        <x:v>170</x:v>
      </x:c>
      <x:c r="H671" s="6" t="str">
        <x:v>224</x:v>
      </x:c>
      <x:c r="I671" s="6" t="str">
        <x:v>34</x:v>
      </x:c>
      <x:c r="J671" s="6" t="str">
        <x:v>35</x:v>
      </x:c>
      <x:c r="K671" s="6" t="str">
        <x:v>0</x:v>
      </x:c>
      <x:c r="L671" s="6" t="str">
        <x:v>1</x:v>
      </x:c>
      <x:c r="M671" s="6" t="str">
        <x:v>137</x:v>
      </x:c>
      <x:c r="N671" s="6" t="str">
        <x:v>601</x:v>
      </x:c>
      <x:c r="O671" s="6" t="str">
        <x:v>0</x:v>
      </x:c>
      <x:c r="P671" s="10" t="n">
        <x:f>F671-M671</x:f>
        <x:v>464</x:v>
      </x:c>
      <x:c r="Q671" s="11" t="n">
        <x:f>IFERROR(M671/F671,"")</x:f>
        <x:v>0.22795341098169716</x:v>
      </x:c>
      <x:c r="R671" s="10" t="n">
        <x:f>G671+H671</x:f>
        <x:v>394</x:v>
      </x:c>
      <x:c r="S671" s="11" t="n">
        <x:f>IFERROR(R671/F671,"")</x:f>
        <x:v>0.6555740432612313</x:v>
      </x:c>
      <x:c r="T671" s="11" t="n">
        <x:f>IFERROR(R671/P671,"")</x:f>
        <x:v>0.8491379310344828</x:v>
      </x:c>
      <x:c r="U671" s="10" t="n">
        <x:f>I671+J671+K671</x:f>
        <x:v>69</x:v>
      </x:c>
      <x:c r="V671" s="11" t="n">
        <x:f>IFERROR(U671/P671,"")</x:f>
        <x:v>0.14870689655172414</x:v>
      </x:c>
      <x:c r="W671" s="9" t="str">
        <x:v>provisional_gt_5pct_pending</x:v>
      </x:c>
      <x:c r="X671" s="12" t="n">
        <x:f>IFERROR(F671/Z671*100000,"")</x:f>
        <x:v>21.186590051820776</x:v>
      </x:c>
      <x:c r="Y671" s="13" t="n">
        <x:f>LN(Z671)</x:f>
        <x:v>14.858151962693722</x:v>
      </x:c>
      <x:c r="Z671" s="6" t="str">
        <x:v>2836700</x:v>
      </x:c>
      <x:c r="AA671" s="6" t="str">
        <x:v>78.0</x:v>
      </x:c>
      <x:c r="AB671" s="9" t="str">
        <x:v>2025-06-30</x:v>
      </x:c>
      <x:c r="AC671" s="8" t="str">
        <x:v>91.96</x:v>
      </x:c>
      <x:c r="AD671" s="9" t="str">
        <x:v>2025 (Susenas)</x:v>
      </x:c>
      <x:c r="AE671" s="8" t="str">
        <x:v>10.54</x:v>
      </x:c>
      <x:c r="AF671" s="9" t="str">
        <x:v>Maret 2025 (Susenas)</x:v>
      </x:c>
      <x:c r="AG671" s="6" t="str">
        <x:v>25.86305974320979</x:v>
      </x:c>
      <x:c r="AH671" s="8" t="str">
        <x:v>81.76020780725561</x:v>
      </x:c>
      <x:c r="AI671" s="6" t="str">
        <x:v>114.37452802915652</x:v>
      </x:c>
      <x:c r="AJ671" s="6" t="str">
        <x:v>0.2432023724691632</x:v>
      </x:c>
      <x:c r="AK671" s="8" t="str">
        <x:v>0.4684397632886498</x:v>
      </x:c>
      <x:c r="AL671" s="6" t="str">
        <x:v>1.0782150518810851</x:v>
      </x:c>
      <x:c r="AM671" s="6" t="str">
        <x:v>0.7079194728791786</x:v>
      </x:c>
      <x:c r="AN671" s="6" t="str">
        <x:v>0.7515247626829709</x:v>
      </x:c>
      <x:c r="AO671" s="6" t="str">
        <x:v>3.889802062707929</x:v>
      </x:c>
      <x:c r="AP671" s="8" t="str">
        <x:v>0.5564877603936373</x:v>
      </x:c>
      <x:c r="AQ671" s="6" t="str">
        <x:v>0.351682933563599</x:v>
      </x:c>
      <x:c r="AR671" s="6" t="str">
        <x:v>0.7252576602678932</x:v>
      </x:c>
      <x:c r="AS671" s="6" t="str">
        <x:v>0.5444761180750429</x:v>
      </x:c>
      <x:c r="AT671" s="6" t="str">
        <x:v>12.058494068743784</x:v>
      </x:c>
      <x:c r="AU671" s="8" t="str">
        <x:v>0.1507852122569917</x:v>
      </x:c>
      <x:c r="AV671" s="6" t="str">
        <x:v>-0.5130336042110899</x:v>
      </x:c>
      <x:c r="AW671" s="6" t="str">
        <x:v>-0.2516459980649813</x:v>
      </x:c>
      <x:c r="AX671" s="6" t="str">
        <x:v>-0.2046314633396937</x:v>
      </x:c>
      <x:c r="AY671" s="6" t="str">
        <x:v>0</x:v>
      </x:c>
      <x:c r="AZ671" s="6" t="str">
        <x:v>0</x:v>
      </x:c>
      <x:c r="BA671" s="9" t="str">
        <x:v>grid_cells_within_BIG_polygon</x:v>
      </x:c>
      <x:c r="BB671" s="6" t="str">
        <x:v>7</x:v>
      </x:c>
      <x:c r="BC671" s="6" t="str">
        <x:v>2</x:v>
      </x:c>
      <x:c r="BD671" s="6" t="str">
        <x:v>1</x:v>
      </x:c>
      <x:c r="BE671" s="6" t="str">
        <x:v>1</x:v>
      </x:c>
      <x:c r="BF671" s="6" t="str">
        <x:v>0</x:v>
      </x:c>
      <x:c r="BG671" s="6" t="str">
        <x:v>0</x:v>
      </x:c>
      <x:c r="BH671" s="6" t="str">
        <x:v>0</x:v>
      </x:c>
      <x:c r="BI671" s="6" t="str">
        <x:v>0</x:v>
      </x:c>
      <x:c r="BJ671" s="6" t="str">
        <x:v>0</x:v>
      </x:c>
      <x:c r="BK671" s="6" t="str">
        <x:v>1</x:v>
      </x:c>
      <x:c r="BL671" s="6" t="str">
        <x:v>0</x:v>
      </x:c>
      <x:c r="BM671" s="6" t="str">
        <x:v>0</x:v>
      </x:c>
      <x:c r="BN671" s="6" t="str">
        <x:v>2</x:v>
      </x:c>
      <x:c r="BO671" s="6" t="str"/>
      <x:c r="BP671" s="6" t="str">
        <x:v>0</x:v>
      </x:c>
      <x:c r="BQ671" s="6" t="str"/>
      <x:c r="BR671" s="6" t="str">
        <x:v>0</x:v>
      </x:c>
      <x:c r="BS671" s="6" t="str">
        <x:v>7.0</x:v>
      </x:c>
      <x:c r="BT671" s="6" t="str">
        <x:v>2</x:v>
      </x:c>
      <x:c r="BU671" s="6" t="str">
        <x:v>20.0</x:v>
      </x:c>
      <x:c r="BV671" s="6" t="str">
        <x:v>1</x:v>
      </x:c>
      <x:c r="BW671" s="9" t="str">
        <x:v>operational_snapshot_annual_totals_may_differ</x:v>
      </x:c>
      <x:c r="BX671" s="9" t="str">
        <x:v>official_live_dashboard_snapshot_subject_to_revision</x:v>
      </x:c>
      <x:c r="BY671" s="9" t="str">
        <x:v>https://tbdashboard.sitb.id/ss_data_tbc03so_2025_provinsi_bulanan_list.php</x:v>
      </x:c>
      <x:c r="BZ671" s="6" t="n">
        <x:v>46246.610671296294</x:v>
      </x:c>
    </x:row>
    <x:row r="672" ht="18" customHeight="1">
      <x:c r="A672" s="6" t="str">
        <x:v>74</x:v>
      </x:c>
      <x:c r="B672" s="6" t="str">
        <x:v>SULAWESI TENGGARA</x:v>
      </x:c>
      <x:c r="C672" s="6" t="str">
        <x:v>2025</x:v>
      </x:c>
      <x:c r="D672" s="6" t="str">
        <x:v>11</x:v>
      </x:c>
      <x:c r="E672" s="6" t="str">
        <x:v>2025-11</x:v>
      </x:c>
      <x:c r="F672" s="6" t="str">
        <x:v>592</x:v>
      </x:c>
      <x:c r="G672" s="6" t="str">
        <x:v>150</x:v>
      </x:c>
      <x:c r="H672" s="6" t="str">
        <x:v>218</x:v>
      </x:c>
      <x:c r="I672" s="6" t="str">
        <x:v>41</x:v>
      </x:c>
      <x:c r="J672" s="6" t="str">
        <x:v>28</x:v>
      </x:c>
      <x:c r="K672" s="6" t="str">
        <x:v>1</x:v>
      </x:c>
      <x:c r="L672" s="6" t="str">
        <x:v>1</x:v>
      </x:c>
      <x:c r="M672" s="6" t="str">
        <x:v>153</x:v>
      </x:c>
      <x:c r="N672" s="6" t="str">
        <x:v>592</x:v>
      </x:c>
      <x:c r="O672" s="6" t="str">
        <x:v>0</x:v>
      </x:c>
      <x:c r="P672" s="10" t="n">
        <x:f>F672-M672</x:f>
        <x:v>439</x:v>
      </x:c>
      <x:c r="Q672" s="11" t="n">
        <x:f>IFERROR(M672/F672,"")</x:f>
        <x:v>0.25844594594594594</x:v>
      </x:c>
      <x:c r="R672" s="10" t="n">
        <x:f>G672+H672</x:f>
        <x:v>368</x:v>
      </x:c>
      <x:c r="S672" s="11" t="n">
        <x:f>IFERROR(R672/F672,"")</x:f>
        <x:v>0.6216216216216216</x:v>
      </x:c>
      <x:c r="T672" s="11" t="n">
        <x:f>IFERROR(R672/P672,"")</x:f>
        <x:v>0.8382687927107062</x:v>
      </x:c>
      <x:c r="U672" s="10" t="n">
        <x:f>I672+J672+K672</x:f>
        <x:v>70</x:v>
      </x:c>
      <x:c r="V672" s="11" t="n">
        <x:f>IFERROR(U672/P672,"")</x:f>
        <x:v>0.15945330296127563</x:v>
      </x:c>
      <x:c r="W672" s="9" t="str">
        <x:v>provisional_gt_5pct_pending</x:v>
      </x:c>
      <x:c r="X672" s="12" t="n">
        <x:f>IFERROR(F672/Z672*100000,"")</x:f>
        <x:v>20.869319984489017</x:v>
      </x:c>
      <x:c r="Y672" s="13" t="n">
        <x:f>LN(Z672)</x:f>
        <x:v>14.858151962693722</x:v>
      </x:c>
      <x:c r="Z672" s="6" t="str">
        <x:v>2836700</x:v>
      </x:c>
      <x:c r="AA672" s="6" t="str">
        <x:v>78.0</x:v>
      </x:c>
      <x:c r="AB672" s="9" t="str">
        <x:v>2025-06-30</x:v>
      </x:c>
      <x:c r="AC672" s="8" t="str">
        <x:v>91.96</x:v>
      </x:c>
      <x:c r="AD672" s="9" t="str">
        <x:v>2025 (Susenas)</x:v>
      </x:c>
      <x:c r="AE672" s="8" t="str">
        <x:v>10.54</x:v>
      </x:c>
      <x:c r="AF672" s="9" t="str">
        <x:v>Maret 2025 (Susenas)</x:v>
      </x:c>
      <x:c r="AG672" s="6" t="str">
        <x:v>25.72892941778261</x:v>
      </x:c>
      <x:c r="AH672" s="8" t="str">
        <x:v>85.29890378750416</x:v>
      </x:c>
      <x:c r="AI672" s="6" t="str">
        <x:v>150.70003801448956</x:v>
      </x:c>
      <x:c r="AJ672" s="6" t="str">
        <x:v>-0.2546929547209053</x:v>
      </x:c>
      <x:c r="AK672" s="8" t="str">
        <x:v>-0.3295620278287104</x:v>
      </x:c>
      <x:c r="AL672" s="6" t="str">
        <x:v>0.4684397632886498</x:v>
      </x:c>
      <x:c r="AM672" s="6" t="str">
        <x:v>1.0782150518810851</x:v>
      </x:c>
      <x:c r="AN672" s="6" t="str">
        <x:v>0.4056975957803412</x:v>
      </x:c>
      <x:c r="AO672" s="6" t="str">
        <x:v>4.710656584690298</x:v>
      </x:c>
      <x:c r="AP672" s="8" t="str">
        <x:v>0.7016621866644124</x:v>
      </x:c>
      <x:c r="AQ672" s="6" t="str">
        <x:v>0.5564877603936373</x:v>
      </x:c>
      <x:c r="AR672" s="6" t="str">
        <x:v>0.351682933563599</x:v>
      </x:c>
      <x:c r="AS672" s="6" t="str">
        <x:v>0.536610960207216</x:v>
      </x:c>
      <x:c r="AT672" s="6" t="str">
        <x:v>-11.743523994673694</x:v>
      </x:c>
      <x:c r="AU672" s="8" t="str">
        <x:v>-0.1384177630894614</x:v>
      </x:c>
      <x:c r="AV672" s="6" t="str">
        <x:v>0.1507852122569917</x:v>
      </x:c>
      <x:c r="AW672" s="6" t="str">
        <x:v>-0.5130336042110899</x:v>
      </x:c>
      <x:c r="AX672" s="6" t="str">
        <x:v>-0.1668887183478537</x:v>
      </x:c>
      <x:c r="AY672" s="6" t="str">
        <x:v>0</x:v>
      </x:c>
      <x:c r="AZ672" s="6" t="str">
        <x:v>0</x:v>
      </x:c>
      <x:c r="BA672" s="9" t="str">
        <x:v>grid_cells_within_BIG_polygon</x:v>
      </x:c>
      <x:c r="BB672" s="6" t="str">
        <x:v>7</x:v>
      </x:c>
      <x:c r="BC672" s="6" t="str">
        <x:v>1</x:v>
      </x:c>
      <x:c r="BD672" s="6" t="str">
        <x:v>1</x:v>
      </x:c>
      <x:c r="BE672" s="6" t="str">
        <x:v>1</x:v>
      </x:c>
      <x:c r="BF672" s="6" t="str">
        <x:v>0</x:v>
      </x:c>
      <x:c r="BG672" s="6" t="str">
        <x:v>0</x:v>
      </x:c>
      <x:c r="BH672" s="6" t="str">
        <x:v>0</x:v>
      </x:c>
      <x:c r="BI672" s="6" t="str">
        <x:v>0</x:v>
      </x:c>
      <x:c r="BJ672" s="6" t="str">
        <x:v>0</x:v>
      </x:c>
      <x:c r="BK672" s="6" t="str">
        <x:v>0</x:v>
      </x:c>
      <x:c r="BL672" s="6" t="str">
        <x:v>0</x:v>
      </x:c>
      <x:c r="BM672" s="6" t="str">
        <x:v>0</x:v>
      </x:c>
      <x:c r="BN672" s="6" t="str">
        <x:v>1</x:v>
      </x:c>
      <x:c r="BO672" s="6" t="str"/>
      <x:c r="BP672" s="6" t="str">
        <x:v>0</x:v>
      </x:c>
      <x:c r="BQ672" s="6" t="str"/>
      <x:c r="BR672" s="6" t="str">
        <x:v>0</x:v>
      </x:c>
      <x:c r="BS672" s="6" t="str">
        <x:v>0.0</x:v>
      </x:c>
      <x:c r="BT672" s="6" t="str">
        <x:v>1</x:v>
      </x:c>
      <x:c r="BU672" s="6" t="str">
        <x:v>20.0</x:v>
      </x:c>
      <x:c r="BV672" s="6" t="str">
        <x:v>1</x:v>
      </x:c>
      <x:c r="BW672" s="9" t="str">
        <x:v>operational_snapshot_annual_totals_may_differ</x:v>
      </x:c>
      <x:c r="BX672" s="9" t="str">
        <x:v>official_live_dashboard_snapshot_subject_to_revision</x:v>
      </x:c>
      <x:c r="BY672" s="9" t="str">
        <x:v>https://tbdashboard.sitb.id/ss_data_tbc03so_2025_provinsi_bulanan_list.php</x:v>
      </x:c>
      <x:c r="BZ672" s="6" t="n">
        <x:v>46246.610671296294</x:v>
      </x:c>
    </x:row>
    <x:row r="673" ht="18" customHeight="1">
      <x:c r="A673" s="6" t="str">
        <x:v>74</x:v>
      </x:c>
      <x:c r="B673" s="6" t="str">
        <x:v>SULAWESI TENGGARA</x:v>
      </x:c>
      <x:c r="C673" s="6" t="str">
        <x:v>2025</x:v>
      </x:c>
      <x:c r="D673" s="6" t="str">
        <x:v>12</x:v>
      </x:c>
      <x:c r="E673" s="6" t="str">
        <x:v>2025-12</x:v>
      </x:c>
      <x:c r="F673" s="6" t="str">
        <x:v>552</x:v>
      </x:c>
      <x:c r="G673" s="6" t="str">
        <x:v>118</x:v>
      </x:c>
      <x:c r="H673" s="6" t="str">
        <x:v>201</x:v>
      </x:c>
      <x:c r="I673" s="6" t="str">
        <x:v>28</x:v>
      </x:c>
      <x:c r="J673" s="6" t="str">
        <x:v>20</x:v>
      </x:c>
      <x:c r="K673" s="6" t="str">
        <x:v>0</x:v>
      </x:c>
      <x:c r="L673" s="6" t="str">
        <x:v>2</x:v>
      </x:c>
      <x:c r="M673" s="6" t="str">
        <x:v>183</x:v>
      </x:c>
      <x:c r="N673" s="6" t="str">
        <x:v>552</x:v>
      </x:c>
      <x:c r="O673" s="6" t="str">
        <x:v>0</x:v>
      </x:c>
      <x:c r="P673" s="10" t="n">
        <x:f>F673-M673</x:f>
        <x:v>369</x:v>
      </x:c>
      <x:c r="Q673" s="11" t="n">
        <x:f>IFERROR(M673/F673,"")</x:f>
        <x:v>0.33152173913043476</x:v>
      </x:c>
      <x:c r="R673" s="10" t="n">
        <x:f>G673+H673</x:f>
        <x:v>319</x:v>
      </x:c>
      <x:c r="S673" s="11" t="n">
        <x:f>IFERROR(R673/F673,"")</x:f>
        <x:v>0.5778985507246377</x:v>
      </x:c>
      <x:c r="T673" s="11" t="n">
        <x:f>IFERROR(R673/P673,"")</x:f>
        <x:v>0.8644986449864499</x:v>
      </x:c>
      <x:c r="U673" s="10" t="n">
        <x:f>I673+J673+K673</x:f>
        <x:v>48</x:v>
      </x:c>
      <x:c r="V673" s="11" t="n">
        <x:f>IFERROR(U673/P673,"")</x:f>
        <x:v>0.13008130081300814</x:v>
      </x:c>
      <x:c r="W673" s="9" t="str">
        <x:v>provisional_gt_5pct_pending</x:v>
      </x:c>
      <x:c r="X673" s="12" t="n">
        <x:f>IFERROR(F673/Z673*100000,"")</x:f>
        <x:v>19.459230796347867</x:v>
      </x:c>
      <x:c r="Y673" s="13" t="n">
        <x:f>LN(Z673)</x:f>
        <x:v>14.858151962693722</x:v>
      </x:c>
      <x:c r="Z673" s="6" t="str">
        <x:v>2836700</x:v>
      </x:c>
      <x:c r="AA673" s="6" t="str">
        <x:v>78.0</x:v>
      </x:c>
      <x:c r="AB673" s="9" t="str">
        <x:v>2025-06-30</x:v>
      </x:c>
      <x:c r="AC673" s="8" t="str">
        <x:v>91.96</x:v>
      </x:c>
      <x:c r="AD673" s="9" t="str">
        <x:v>2025 (Susenas)</x:v>
      </x:c>
      <x:c r="AE673" s="8" t="str">
        <x:v>10.54</x:v>
      </x:c>
      <x:c r="AF673" s="9" t="str">
        <x:v>Maret 2025 (Susenas)</x:v>
      </x:c>
      <x:c r="AG673" s="6" t="str">
        <x:v>25.15631326769377</x:v>
      </x:c>
      <x:c r="AH673" s="8" t="str">
        <x:v>88.68035151111889</x:v>
      </x:c>
      <x:c r="AI673" s="6" t="str">
        <x:v>309.3583865977847</x:v>
      </x:c>
      <x:c r="AJ673" s="6" t="str">
        <x:v>-0.0744359935640908</x:v>
      </x:c>
      <x:c r="AK673" s="8" t="str">
        <x:v>-0.1255148746944327</x:v>
      </x:c>
      <x:c r="AL673" s="6" t="str">
        <x:v>-0.3295620278287104</x:v>
      </x:c>
      <x:c r="AM673" s="6" t="str">
        <x:v>0.4684397632886498</x:v>
      </x:c>
      <x:c r="AN673" s="6" t="str">
        <x:v>0.0044542869218352</x:v>
      </x:c>
      <x:c r="AO673" s="6" t="str">
        <x:v>1.949004963177728</x:v>
      </x:c>
      <x:c r="AP673" s="8" t="str">
        <x:v>0.582230521292983</x:v>
      </x:c>
      <x:c r="AQ673" s="6" t="str">
        <x:v>0.7016621866644124</x:v>
      </x:c>
      <x:c r="AR673" s="6" t="str">
        <x:v>0.5564877603936373</x:v>
      </x:c>
      <x:c r="AS673" s="6" t="str">
        <x:v>0.6134601561170107</x:v>
      </x:c>
      <x:c r="AT673" s="6" t="str">
        <x:v>92.2847236231948</x:v>
      </x:c>
      <x:c r="AU673" s="8" t="str">
        <x:v>1.544790003648866</x:v>
      </x:c>
      <x:c r="AV673" s="6" t="str">
        <x:v>-0.1384177630894614</x:v>
      </x:c>
      <x:c r="AW673" s="6" t="str">
        <x:v>0.1507852122569917</x:v>
      </x:c>
      <x:c r="AX673" s="6" t="str">
        <x:v>0.5190524842721316</x:v>
      </x:c>
      <x:c r="AY673" s="6" t="str">
        <x:v>1</x:v>
      </x:c>
      <x:c r="AZ673" s="6" t="str">
        <x:v>0</x:v>
      </x:c>
      <x:c r="BA673" s="9" t="str">
        <x:v>grid_cells_within_BIG_polygon</x:v>
      </x:c>
      <x:c r="BB673" s="6" t="str">
        <x:v>7</x:v>
      </x:c>
      <x:c r="BC673" s="6" t="str">
        <x:v>2</x:v>
      </x:c>
      <x:c r="BD673" s="6" t="str">
        <x:v>2</x:v>
      </x:c>
      <x:c r="BE673" s="6" t="str">
        <x:v>2</x:v>
      </x:c>
      <x:c r="BF673" s="6" t="str">
        <x:v>0</x:v>
      </x:c>
      <x:c r="BG673" s="6" t="str">
        <x:v>0</x:v>
      </x:c>
      <x:c r="BH673" s="6" t="str">
        <x:v>0</x:v>
      </x:c>
      <x:c r="BI673" s="6" t="str">
        <x:v>0</x:v>
      </x:c>
      <x:c r="BJ673" s="6" t="str">
        <x:v>0</x:v>
      </x:c>
      <x:c r="BK673" s="6" t="str">
        <x:v>0</x:v>
      </x:c>
      <x:c r="BL673" s="6" t="str">
        <x:v>0</x:v>
      </x:c>
      <x:c r="BM673" s="6" t="str">
        <x:v>0</x:v>
      </x:c>
      <x:c r="BN673" s="6" t="str">
        <x:v>2</x:v>
      </x:c>
      <x:c r="BO673" s="6" t="str"/>
      <x:c r="BP673" s="6" t="str">
        <x:v>0</x:v>
      </x:c>
      <x:c r="BQ673" s="6" t="str"/>
      <x:c r="BR673" s="6" t="str">
        <x:v>0</x:v>
      </x:c>
      <x:c r="BS673" s="6" t="str">
        <x:v>0.0</x:v>
      </x:c>
      <x:c r="BT673" s="6" t="str">
        <x:v>2</x:v>
      </x:c>
      <x:c r="BU673" s="6" t="str">
        <x:v>24.0</x:v>
      </x:c>
      <x:c r="BV673" s="6" t="str">
        <x:v>1</x:v>
      </x:c>
      <x:c r="BW673" s="9" t="str">
        <x:v>operational_snapshot_annual_totals_may_differ</x:v>
      </x:c>
      <x:c r="BX673" s="9" t="str">
        <x:v>official_live_dashboard_snapshot_subject_to_revision</x:v>
      </x:c>
      <x:c r="BY673" s="9" t="str">
        <x:v>https://tbdashboard.sitb.id/ss_data_tbc03so_2025_provinsi_bulanan_list.php</x:v>
      </x:c>
      <x:c r="BZ673" s="6" t="n">
        <x:v>46246.610671296294</x:v>
      </x:c>
    </x:row>
    <x:row r="674" ht="18" customHeight="1">
      <x:c r="A674" s="6" t="str">
        <x:v>75</x:v>
      </x:c>
      <x:c r="B674" s="6" t="str">
        <x:v>GORONTALO</x:v>
      </x:c>
      <x:c r="C674" s="6" t="str">
        <x:v>2024</x:v>
      </x:c>
      <x:c r="D674" s="6" t="str">
        <x:v>1</x:v>
      </x:c>
      <x:c r="E674" s="6" t="str">
        <x:v>2024-01</x:v>
      </x:c>
      <x:c r="F674" s="6" t="str">
        <x:v>437</x:v>
      </x:c>
      <x:c r="G674" s="6" t="str">
        <x:v>111</x:v>
      </x:c>
      <x:c r="H674" s="6" t="str">
        <x:v>272</x:v>
      </x:c>
      <x:c r="I674" s="6" t="str">
        <x:v>18</x:v>
      </x:c>
      <x:c r="J674" s="6" t="str">
        <x:v>22</x:v>
      </x:c>
      <x:c r="K674" s="6" t="str">
        <x:v>0</x:v>
      </x:c>
      <x:c r="L674" s="6" t="str">
        <x:v>0</x:v>
      </x:c>
      <x:c r="M674" s="6" t="str">
        <x:v>14</x:v>
      </x:c>
      <x:c r="N674" s="6" t="str">
        <x:v>437</x:v>
      </x:c>
      <x:c r="O674" s="6" t="str">
        <x:v>0</x:v>
      </x:c>
      <x:c r="P674" s="10" t="n">
        <x:f>F674-M674</x:f>
        <x:v>423</x:v>
      </x:c>
      <x:c r="Q674" s="11" t="n">
        <x:f>IFERROR(M674/F674,"")</x:f>
        <x:v>0.032036613272311214</x:v>
      </x:c>
      <x:c r="R674" s="10" t="n">
        <x:f>G674+H674</x:f>
        <x:v>383</x:v>
      </x:c>
      <x:c r="S674" s="11" t="n">
        <x:f>IFERROR(R674/F674,"")</x:f>
        <x:v>0.8764302059496567</x:v>
      </x:c>
      <x:c r="T674" s="11" t="n">
        <x:f>IFERROR(R674/P674,"")</x:f>
        <x:v>0.9054373522458629</x:v>
      </x:c>
      <x:c r="U674" s="10" t="n">
        <x:f>I674+J674+K674</x:f>
        <x:v>40</x:v>
      </x:c>
      <x:c r="V674" s="11" t="n">
        <x:f>IFERROR(U674/P674,"")</x:f>
        <x:v>0.09456264775413711</x:v>
      </x:c>
      <x:c r="W674" s="9" t="str">
        <x:v>mature_le_5pct_pending</x:v>
      </x:c>
      <x:c r="X674" s="12" t="n">
        <x:f>IFERROR(F674/Z674*100000,"")</x:f>
        <x:v>35.59211597980127</x:v>
      </x:c>
      <x:c r="Y674" s="13" t="n">
        <x:f>LN(Z674)</x:f>
        <x:v>14.020734507975533</x:v>
      </x:c>
      <x:c r="Z674" s="6" t="str">
        <x:v>1227800</x:v>
      </x:c>
      <x:c r="AA674" s="6" t="str">
        <x:v>102.0</x:v>
      </x:c>
      <x:c r="AB674" s="9" t="str">
        <x:v>2024-06-30</x:v>
      </x:c>
      <x:c r="AC674" s="8" t="str">
        <x:v>82.99</x:v>
      </x:c>
      <x:c r="AD674" s="9" t="str">
        <x:v>2024 (Susenas)</x:v>
      </x:c>
      <x:c r="AE674" s="8" t="str">
        <x:v>14.57</x:v>
      </x:c>
      <x:c r="AF674" s="9" t="str">
        <x:v>Maret 2024 (Susenas)</x:v>
      </x:c>
      <x:c r="AG674" s="6" t="str">
        <x:v>26.89333333333333</x:v>
      </x:c>
      <x:c r="AH674" s="8" t="str">
        <x:v>82.06666666666666</x:v>
      </x:c>
      <x:c r="AI674" s="6" t="str">
        <x:v>159.65</x:v>
      </x:c>
      <x:c r="AJ674" s="6" t="str">
        <x:v>0.7092222222222198</x:v>
      </x:c>
      <x:c r="AK674" s="8" t="str">
        <x:v>1.2025518859564184</x:v>
      </x:c>
      <x:c r="AL674" s="6" t="str">
        <x:v>1.713528074140808</x:v>
      </x:c>
      <x:c r="AM674" s="6" t="str">
        <x:v>2.1685345248536847</x:v>
      </x:c>
      <x:c r="AN674" s="6" t="str">
        <x:v>1.6948714949836372</x:v>
      </x:c>
      <x:c r="AO674" s="6" t="str">
        <x:v>-0.444777777777773</x:v>
      </x:c>
      <x:c r="AP674" s="8" t="str">
        <x:v>-0.1167569835582843</x:v>
      </x:c>
      <x:c r="AQ674" s="6" t="str">
        <x:v>-0.3838045863183607</x:v>
      </x:c>
      <x:c r="AR674" s="6" t="str">
        <x:v>-0.8280752649101869</x:v>
      </x:c>
      <x:c r="AS674" s="6" t="str">
        <x:v>-0.4428789449289443</x:v>
      </x:c>
      <x:c r="AT674" s="6" t="str">
        <x:v>-10.81211111111108</x:v>
      </x:c>
      <x:c r="AU674" s="8" t="str">
        <x:v>-0.1973490941805895</x:v>
      </x:c>
      <x:c r="AV674" s="6" t="str">
        <x:v>0.9752316456329496</x:v>
      </x:c>
      <x:c r="AW674" s="6" t="str">
        <x:v>1.1189621603493438</x:v>
      </x:c>
      <x:c r="AX674" s="6" t="str">
        <x:v>0.6322815706005677</x:v>
      </x:c>
      <x:c r="AY674" s="6" t="str">
        <x:v>0</x:v>
      </x:c>
      <x:c r="AZ674" s="6" t="str">
        <x:v>1</x:v>
      </x:c>
      <x:c r="BA674" s="9" t="str">
        <x:v>grid_cells_within_BIG_polygon</x:v>
      </x:c>
      <x:c r="BB674" s="6" t="str">
        <x:v>3</x:v>
      </x:c>
      <x:c r="BC674" s="6" t="str">
        <x:v>0</x:v>
      </x:c>
      <x:c r="BD674" s="6" t="str">
        <x:v>0</x:v>
      </x:c>
      <x:c r="BE674" s="6" t="str">
        <x:v>0</x:v>
      </x:c>
      <x:c r="BF674" s="6" t="str">
        <x:v>0</x:v>
      </x:c>
      <x:c r="BG674" s="6" t="str">
        <x:v>0</x:v>
      </x:c>
      <x:c r="BH674" s="6" t="str">
        <x:v>0</x:v>
      </x:c>
      <x:c r="BI674" s="6" t="str">
        <x:v>0</x:v>
      </x:c>
      <x:c r="BJ674" s="6" t="str">
        <x:v>0</x:v>
      </x:c>
      <x:c r="BK674" s="6" t="str">
        <x:v>0</x:v>
      </x:c>
      <x:c r="BL674" s="6" t="str">
        <x:v>0</x:v>
      </x:c>
      <x:c r="BM674" s="6" t="str">
        <x:v>0</x:v>
      </x:c>
      <x:c r="BN674" s="6" t="str">
        <x:v>0</x:v>
      </x:c>
      <x:c r="BO674" s="6" t="str"/>
      <x:c r="BP674" s="6" t="str">
        <x:v>0</x:v>
      </x:c>
      <x:c r="BQ674" s="6" t="str"/>
      <x:c r="BR674" s="6" t="str">
        <x:v>0</x:v>
      </x:c>
      <x:c r="BS674" s="6" t="str"/>
      <x:c r="BT674" s="6" t="str">
        <x:v>0</x:v>
      </x:c>
      <x:c r="BU674" s="6" t="str"/>
      <x:c r="BV674" s="6" t="str">
        <x:v>0</x:v>
      </x:c>
      <x:c r="BW674" s="9" t="str">
        <x:v>operational_snapshot_annual_totals_may_differ</x:v>
      </x:c>
      <x:c r="BX674" s="9" t="str">
        <x:v>official_live_dashboard_snapshot_subject_to_revision</x:v>
      </x:c>
      <x:c r="BY674" s="9" t="str">
        <x:v>https://tbdashboard.sitb.id/ss_data_tbc03so_2024_provinsi_bulanan_list.php</x:v>
      </x:c>
      <x:c r="BZ674" s="6" t="n">
        <x:v>46246.610671296294</x:v>
      </x:c>
    </x:row>
    <x:row r="675" ht="18" customHeight="1">
      <x:c r="A675" s="6" t="str">
        <x:v>75</x:v>
      </x:c>
      <x:c r="B675" s="6" t="str">
        <x:v>GORONTALO</x:v>
      </x:c>
      <x:c r="C675" s="6" t="str">
        <x:v>2024</x:v>
      </x:c>
      <x:c r="D675" s="6" t="str">
        <x:v>2</x:v>
      </x:c>
      <x:c r="E675" s="6" t="str">
        <x:v>2024-02</x:v>
      </x:c>
      <x:c r="F675" s="6" t="str">
        <x:v>330</x:v>
      </x:c>
      <x:c r="G675" s="6" t="str">
        <x:v>95</x:v>
      </x:c>
      <x:c r="H675" s="6" t="str">
        <x:v>194</x:v>
      </x:c>
      <x:c r="I675" s="6" t="str">
        <x:v>16</x:v>
      </x:c>
      <x:c r="J675" s="6" t="str">
        <x:v>17</x:v>
      </x:c>
      <x:c r="K675" s="6" t="str">
        <x:v>2</x:v>
      </x:c>
      <x:c r="L675" s="6" t="str">
        <x:v>0</x:v>
      </x:c>
      <x:c r="M675" s="6" t="str">
        <x:v>6</x:v>
      </x:c>
      <x:c r="N675" s="6" t="str">
        <x:v>330</x:v>
      </x:c>
      <x:c r="O675" s="6" t="str">
        <x:v>0</x:v>
      </x:c>
      <x:c r="P675" s="10" t="n">
        <x:f>F675-M675</x:f>
        <x:v>324</x:v>
      </x:c>
      <x:c r="Q675" s="11" t="n">
        <x:f>IFERROR(M675/F675,"")</x:f>
        <x:v>0.01818181818181818</x:v>
      </x:c>
      <x:c r="R675" s="10" t="n">
        <x:f>G675+H675</x:f>
        <x:v>289</x:v>
      </x:c>
      <x:c r="S675" s="11" t="n">
        <x:f>IFERROR(R675/F675,"")</x:f>
        <x:v>0.8757575757575757</x:v>
      </x:c>
      <x:c r="T675" s="11" t="n">
        <x:f>IFERROR(R675/P675,"")</x:f>
        <x:v>0.8919753086419753</x:v>
      </x:c>
      <x:c r="U675" s="10" t="n">
        <x:f>I675+J675+K675</x:f>
        <x:v>35</x:v>
      </x:c>
      <x:c r="V675" s="11" t="n">
        <x:f>IFERROR(U675/P675,"")</x:f>
        <x:v>0.10802469135802469</x:v>
      </x:c>
      <x:c r="W675" s="9" t="str">
        <x:v>mature_le_5pct_pending</x:v>
      </x:c>
      <x:c r="X675" s="12" t="n">
        <x:f>IFERROR(F675/Z675*100000,"")</x:f>
        <x:v>26.87734158657762</x:v>
      </x:c>
      <x:c r="Y675" s="13" t="n">
        <x:f>LN(Z675)</x:f>
        <x:v>14.020734507975533</x:v>
      </x:c>
      <x:c r="Z675" s="6" t="str">
        <x:v>1227800</x:v>
      </x:c>
      <x:c r="AA675" s="6" t="str">
        <x:v>102.0</x:v>
      </x:c>
      <x:c r="AB675" s="9" t="str">
        <x:v>2024-06-30</x:v>
      </x:c>
      <x:c r="AC675" s="8" t="str">
        <x:v>82.99</x:v>
      </x:c>
      <x:c r="AD675" s="9" t="str">
        <x:v>2024 (Susenas)</x:v>
      </x:c>
      <x:c r="AE675" s="8" t="str">
        <x:v>14.57</x:v>
      </x:c>
      <x:c r="AF675" s="9" t="str">
        <x:v>Maret 2024 (Susenas)</x:v>
      </x:c>
      <x:c r="AG675" s="6" t="str">
        <x:v>26.94333333333333</x:v>
      </x:c>
      <x:c r="AH675" s="8" t="str">
        <x:v>81.37999999999998</x:v>
      </x:c>
      <x:c r="AI675" s="6" t="str">
        <x:v>97.44</x:v>
      </x:c>
      <x:c r="AJ675" s="6" t="str">
        <x:v>0.7417777777777808</x:v>
      </x:c>
      <x:c r="AK675" s="8" t="str">
        <x:v>1.110404384416151</x:v>
      </x:c>
      <x:c r="AL675" s="6" t="str">
        <x:v>1.2025518859564184</x:v>
      </x:c>
      <x:c r="AM675" s="6" t="str">
        <x:v>1.713528074140808</x:v>
      </x:c>
      <x:c r="AN675" s="6" t="str">
        <x:v>1.342161448171126</x:v>
      </x:c>
      <x:c r="AO675" s="6" t="str">
        <x:v>-0.5128888888888952</x:v>
      </x:c>
      <x:c r="AP675" s="8" t="str">
        <x:v>-0.1119744671145239</x:v>
      </x:c>
      <x:c r="AQ675" s="6" t="str">
        <x:v>-0.1167569835582843</x:v>
      </x:c>
      <x:c r="AR675" s="6" t="str">
        <x:v>-0.3838045863183607</x:v>
      </x:c>
      <x:c r="AS675" s="6" t="str">
        <x:v>-0.2041786789970567</x:v>
      </x:c>
      <x:c r="AT675" s="6" t="str">
        <x:v>-38.99477777777778</x:v>
      </x:c>
      <x:c r="AU675" s="8" t="str">
        <x:v>-0.6076523079704622</x:v>
      </x:c>
      <x:c r="AV675" s="6" t="str">
        <x:v>-0.1973490941805895</x:v>
      </x:c>
      <x:c r="AW675" s="6" t="str">
        <x:v>0.9752316456329496</x:v>
      </x:c>
      <x:c r="AX675" s="6" t="str">
        <x:v>0.0567434144939656</x:v>
      </x:c>
      <x:c r="AY675" s="6" t="str">
        <x:v>0</x:v>
      </x:c>
      <x:c r="AZ675" s="6" t="str">
        <x:v>1</x:v>
      </x:c>
      <x:c r="BA675" s="9" t="str">
        <x:v>grid_cells_within_BIG_polygon</x:v>
      </x:c>
      <x:c r="BB675" s="6" t="str">
        <x:v>3</x:v>
      </x:c>
      <x:c r="BC675" s="6" t="str">
        <x:v>5</x:v>
      </x:c>
      <x:c r="BD675" s="6" t="str">
        <x:v>5</x:v>
      </x:c>
      <x:c r="BE675" s="6" t="str">
        <x:v>4</x:v>
      </x:c>
      <x:c r="BF675" s="6" t="str">
        <x:v>0</x:v>
      </x:c>
      <x:c r="BG675" s="6" t="str">
        <x:v>0</x:v>
      </x:c>
      <x:c r="BH675" s="6" t="str">
        <x:v>1</x:v>
      </x:c>
      <x:c r="BI675" s="6" t="str">
        <x:v>0</x:v>
      </x:c>
      <x:c r="BJ675" s="6" t="str">
        <x:v>0</x:v>
      </x:c>
      <x:c r="BK675" s="6" t="str">
        <x:v>0</x:v>
      </x:c>
      <x:c r="BL675" s="6" t="str">
        <x:v>0</x:v>
      </x:c>
      <x:c r="BM675" s="6" t="str">
        <x:v>0</x:v>
      </x:c>
      <x:c r="BN675" s="6" t="str">
        <x:v>5</x:v>
      </x:c>
      <x:c r="BO675" s="6" t="str">
        <x:v>0.0</x:v>
      </x:c>
      <x:c r="BP675" s="6" t="str">
        <x:v>5</x:v>
      </x:c>
      <x:c r="BQ675" s="6" t="str">
        <x:v>0.0</x:v>
      </x:c>
      <x:c r="BR675" s="6" t="str">
        <x:v>5</x:v>
      </x:c>
      <x:c r="BS675" s="6" t="str">
        <x:v>0.0</x:v>
      </x:c>
      <x:c r="BT675" s="6" t="str">
        <x:v>5</x:v>
      </x:c>
      <x:c r="BU675" s="6" t="str">
        <x:v>587.0</x:v>
      </x:c>
      <x:c r="BV675" s="6" t="str">
        <x:v>4</x:v>
      </x:c>
      <x:c r="BW675" s="9" t="str">
        <x:v>operational_snapshot_annual_totals_may_differ</x:v>
      </x:c>
      <x:c r="BX675" s="9" t="str">
        <x:v>official_live_dashboard_snapshot_subject_to_revision</x:v>
      </x:c>
      <x:c r="BY675" s="9" t="str">
        <x:v>https://tbdashboard.sitb.id/ss_data_tbc03so_2024_provinsi_bulanan_list.php</x:v>
      </x:c>
      <x:c r="BZ675" s="6" t="n">
        <x:v>46246.610671296294</x:v>
      </x:c>
    </x:row>
    <x:row r="676" ht="18" customHeight="1">
      <x:c r="A676" s="6" t="str">
        <x:v>75</x:v>
      </x:c>
      <x:c r="B676" s="6" t="str">
        <x:v>GORONTALO</x:v>
      </x:c>
      <x:c r="C676" s="6" t="str">
        <x:v>2024</x:v>
      </x:c>
      <x:c r="D676" s="6" t="str">
        <x:v>3</x:v>
      </x:c>
      <x:c r="E676" s="6" t="str">
        <x:v>2024-03</x:v>
      </x:c>
      <x:c r="F676" s="6" t="str">
        <x:v>346</x:v>
      </x:c>
      <x:c r="G676" s="6" t="str">
        <x:v>112</x:v>
      </x:c>
      <x:c r="H676" s="6" t="str">
        <x:v>199</x:v>
      </x:c>
      <x:c r="I676" s="6" t="str">
        <x:v>15</x:v>
      </x:c>
      <x:c r="J676" s="6" t="str">
        <x:v>10</x:v>
      </x:c>
      <x:c r="K676" s="6" t="str">
        <x:v>1</x:v>
      </x:c>
      <x:c r="L676" s="6" t="str">
        <x:v>1</x:v>
      </x:c>
      <x:c r="M676" s="6" t="str">
        <x:v>8</x:v>
      </x:c>
      <x:c r="N676" s="6" t="str">
        <x:v>346</x:v>
      </x:c>
      <x:c r="O676" s="6" t="str">
        <x:v>0</x:v>
      </x:c>
      <x:c r="P676" s="10" t="n">
        <x:f>F676-M676</x:f>
        <x:v>338</x:v>
      </x:c>
      <x:c r="Q676" s="11" t="n">
        <x:f>IFERROR(M676/F676,"")</x:f>
        <x:v>0.023121387283236993</x:v>
      </x:c>
      <x:c r="R676" s="10" t="n">
        <x:f>G676+H676</x:f>
        <x:v>311</x:v>
      </x:c>
      <x:c r="S676" s="11" t="n">
        <x:f>IFERROR(R676/F676,"")</x:f>
        <x:v>0.8988439306358381</x:v>
      </x:c>
      <x:c r="T676" s="11" t="n">
        <x:f>IFERROR(R676/P676,"")</x:f>
        <x:v>0.9201183431952663</x:v>
      </x:c>
      <x:c r="U676" s="10" t="n">
        <x:f>I676+J676+K676</x:f>
        <x:v>26</x:v>
      </x:c>
      <x:c r="V676" s="11" t="n">
        <x:f>IFERROR(U676/P676,"")</x:f>
        <x:v>0.07692307692307693</x:v>
      </x:c>
      <x:c r="W676" s="9" t="str">
        <x:v>mature_le_5pct_pending</x:v>
      </x:c>
      <x:c r="X676" s="12" t="n">
        <x:f>IFERROR(F676/Z676*100000,"")</x:f>
        <x:v>28.18048542107835</x:v>
      </x:c>
      <x:c r="Y676" s="13" t="n">
        <x:f>LN(Z676)</x:f>
        <x:v>14.020734507975533</x:v>
      </x:c>
      <x:c r="Z676" s="6" t="str">
        <x:v>1227800</x:v>
      </x:c>
      <x:c r="AA676" s="6" t="str">
        <x:v>102.0</x:v>
      </x:c>
      <x:c r="AB676" s="9" t="str">
        <x:v>2024-06-30</x:v>
      </x:c>
      <x:c r="AC676" s="8" t="str">
        <x:v>82.99</x:v>
      </x:c>
      <x:c r="AD676" s="9" t="str">
        <x:v>2024 (Susenas)</x:v>
      </x:c>
      <x:c r="AE676" s="8" t="str">
        <x:v>14.57</x:v>
      </x:c>
      <x:c r="AF676" s="9" t="str">
        <x:v>Maret 2024 (Susenas)</x:v>
      </x:c>
      <x:c r="AG676" s="6" t="str">
        <x:v>27.30333333333333</x:v>
      </x:c>
      <x:c r="AH676" s="8" t="str">
        <x:v>81.11666666666667</x:v>
      </x:c>
      <x:c r="AI676" s="6" t="str">
        <x:v>118.62666666666668</x:v>
      </x:c>
      <x:c r="AJ676" s="6" t="str">
        <x:v>0.7836666666666723</x:v>
      </x:c>
      <x:c r="AK676" s="8" t="str">
        <x:v>1.0664675295070989</x:v>
      </x:c>
      <x:c r="AL676" s="6" t="str">
        <x:v>1.110404384416151</x:v>
      </x:c>
      <x:c r="AM676" s="6" t="str">
        <x:v>1.2025518859564184</x:v>
      </x:c>
      <x:c r="AN676" s="6" t="str">
        <x:v>1.1264745999598895</x:v>
      </x:c>
      <x:c r="AO676" s="6" t="str">
        <x:v>0.3366666666666731</x:v>
      </x:c>
      <x:c r="AP676" s="8" t="str">
        <x:v>0.0663247877295434</x:v>
      </x:c>
      <x:c r="AQ676" s="6" t="str">
        <x:v>-0.1119744671145239</x:v>
      </x:c>
      <x:c r="AR676" s="6" t="str">
        <x:v>-0.1167569835582843</x:v>
      </x:c>
      <x:c r="AS676" s="6" t="str">
        <x:v>-0.054135554314422</x:v>
      </x:c>
      <x:c r="AT676" s="6" t="str">
        <x:v>-43.28977777777777</x:v>
      </x:c>
      <x:c r="AU676" s="8" t="str">
        <x:v>-0.6168687033488023</x:v>
      </x:c>
      <x:c r="AV676" s="6" t="str">
        <x:v>-0.6076523079704622</x:v>
      </x:c>
      <x:c r="AW676" s="6" t="str">
        <x:v>-0.1973490941805895</x:v>
      </x:c>
      <x:c r="AX676" s="6" t="str">
        <x:v>-0.4739567018332849</x:v>
      </x:c>
      <x:c r="AY676" s="6" t="str">
        <x:v>0</x:v>
      </x:c>
      <x:c r="AZ676" s="6" t="str">
        <x:v>1</x:v>
      </x:c>
      <x:c r="BA676" s="9" t="str">
        <x:v>grid_cells_within_BIG_polygon</x:v>
      </x:c>
      <x:c r="BB676" s="6" t="str">
        <x:v>3</x:v>
      </x:c>
      <x:c r="BC676" s="6" t="str">
        <x:v>2</x:v>
      </x:c>
      <x:c r="BD676" s="6" t="str">
        <x:v>2</x:v>
      </x:c>
      <x:c r="BE676" s="6" t="str">
        <x:v>2</x:v>
      </x:c>
      <x:c r="BF676" s="6" t="str">
        <x:v>0</x:v>
      </x:c>
      <x:c r="BG676" s="6" t="str">
        <x:v>0</x:v>
      </x:c>
      <x:c r="BH676" s="6" t="str">
        <x:v>0</x:v>
      </x:c>
      <x:c r="BI676" s="6" t="str">
        <x:v>0</x:v>
      </x:c>
      <x:c r="BJ676" s="6" t="str">
        <x:v>0</x:v>
      </x:c>
      <x:c r="BK676" s="6" t="str">
        <x:v>0</x:v>
      </x:c>
      <x:c r="BL676" s="6" t="str">
        <x:v>0</x:v>
      </x:c>
      <x:c r="BM676" s="6" t="str">
        <x:v>0</x:v>
      </x:c>
      <x:c r="BN676" s="6" t="str">
        <x:v>2</x:v>
      </x:c>
      <x:c r="BO676" s="6" t="str">
        <x:v>0.0</x:v>
      </x:c>
      <x:c r="BP676" s="6" t="str">
        <x:v>2</x:v>
      </x:c>
      <x:c r="BQ676" s="6" t="str">
        <x:v>0.0</x:v>
      </x:c>
      <x:c r="BR676" s="6" t="str">
        <x:v>2</x:v>
      </x:c>
      <x:c r="BS676" s="6" t="str">
        <x:v>0.0</x:v>
      </x:c>
      <x:c r="BT676" s="6" t="str">
        <x:v>2</x:v>
      </x:c>
      <x:c r="BU676" s="6" t="str">
        <x:v>2789.0</x:v>
      </x:c>
      <x:c r="BV676" s="6" t="str">
        <x:v>2</x:v>
      </x:c>
      <x:c r="BW676" s="9" t="str">
        <x:v>operational_snapshot_annual_totals_may_differ</x:v>
      </x:c>
      <x:c r="BX676" s="9" t="str">
        <x:v>official_live_dashboard_snapshot_subject_to_revision</x:v>
      </x:c>
      <x:c r="BY676" s="9" t="str">
        <x:v>https://tbdashboard.sitb.id/ss_data_tbc03so_2024_provinsi_bulanan_list.php</x:v>
      </x:c>
      <x:c r="BZ676" s="6" t="n">
        <x:v>46246.610671296294</x:v>
      </x:c>
    </x:row>
    <x:row r="677" ht="18" customHeight="1">
      <x:c r="A677" s="6" t="str">
        <x:v>75</x:v>
      </x:c>
      <x:c r="B677" s="6" t="str">
        <x:v>GORONTALO</x:v>
      </x:c>
      <x:c r="C677" s="6" t="str">
        <x:v>2024</x:v>
      </x:c>
      <x:c r="D677" s="6" t="str">
        <x:v>4</x:v>
      </x:c>
      <x:c r="E677" s="6" t="str">
        <x:v>2024-04</x:v>
      </x:c>
      <x:c r="F677" s="6" t="str">
        <x:v>311</x:v>
      </x:c>
      <x:c r="G677" s="6" t="str">
        <x:v>88</x:v>
      </x:c>
      <x:c r="H677" s="6" t="str">
        <x:v>195</x:v>
      </x:c>
      <x:c r="I677" s="6" t="str">
        <x:v>17</x:v>
      </x:c>
      <x:c r="J677" s="6" t="str">
        <x:v>11</x:v>
      </x:c>
      <x:c r="K677" s="6" t="str">
        <x:v>0</x:v>
      </x:c>
      <x:c r="L677" s="6" t="str">
        <x:v>0</x:v>
      </x:c>
      <x:c r="M677" s="6" t="str">
        <x:v>0</x:v>
      </x:c>
      <x:c r="N677" s="6" t="str">
        <x:v>311</x:v>
      </x:c>
      <x:c r="O677" s="6" t="str">
        <x:v>0</x:v>
      </x:c>
      <x:c r="P677" s="10" t="n">
        <x:f>F677-M677</x:f>
        <x:v>311</x:v>
      </x:c>
      <x:c r="Q677" s="11" t="n">
        <x:f>IFERROR(M677/F677,"")</x:f>
        <x:v>0</x:v>
      </x:c>
      <x:c r="R677" s="10" t="n">
        <x:f>G677+H677</x:f>
        <x:v>283</x:v>
      </x:c>
      <x:c r="S677" s="11" t="n">
        <x:f>IFERROR(R677/F677,"")</x:f>
        <x:v>0.909967845659164</x:v>
      </x:c>
      <x:c r="T677" s="11" t="n">
        <x:f>IFERROR(R677/P677,"")</x:f>
        <x:v>0.909967845659164</x:v>
      </x:c>
      <x:c r="U677" s="10" t="n">
        <x:f>I677+J677+K677</x:f>
        <x:v>28</x:v>
      </x:c>
      <x:c r="V677" s="11" t="n">
        <x:f>IFERROR(U677/P677,"")</x:f>
        <x:v>0.09003215434083602</x:v>
      </x:c>
      <x:c r="W677" s="9" t="str">
        <x:v>mature_le_5pct_pending</x:v>
      </x:c>
      <x:c r="X677" s="12" t="n">
        <x:f>IFERROR(F677/Z677*100000,"")</x:f>
        <x:v>25.329858283108</x:v>
      </x:c>
      <x:c r="Y677" s="13" t="n">
        <x:f>LN(Z677)</x:f>
        <x:v>14.020734507975533</x:v>
      </x:c>
      <x:c r="Z677" s="6" t="str">
        <x:v>1227800</x:v>
      </x:c>
      <x:c r="AA677" s="6" t="str">
        <x:v>102.0</x:v>
      </x:c>
      <x:c r="AB677" s="9" t="str">
        <x:v>2024-06-30</x:v>
      </x:c>
      <x:c r="AC677" s="8" t="str">
        <x:v>82.99</x:v>
      </x:c>
      <x:c r="AD677" s="9" t="str">
        <x:v>2024 (Susenas)</x:v>
      </x:c>
      <x:c r="AE677" s="8" t="str">
        <x:v>14.57</x:v>
      </x:c>
      <x:c r="AF677" s="9" t="str">
        <x:v>Maret 2024 (Susenas)</x:v>
      </x:c>
      <x:c r="AG677" s="6" t="str">
        <x:v>27.54</x:v>
      </x:c>
      <x:c r="AH677" s="8" t="str">
        <x:v>80.76666666666665</x:v>
      </x:c>
      <x:c r="AI677" s="6" t="str">
        <x:v>199.8</x:v>
      </x:c>
      <x:c r="AJ677" s="6" t="str">
        <x:v>0.7764444444444436</x:v>
      </x:c>
      <x:c r="AK677" s="8" t="str">
        <x:v>1.1574166726152348</x:v>
      </x:c>
      <x:c r="AL677" s="6" t="str">
        <x:v>1.0664675295070989</x:v>
      </x:c>
      <x:c r="AM677" s="6" t="str">
        <x:v>1.110404384416151</x:v>
      </x:c>
      <x:c r="AN677" s="6" t="str">
        <x:v>1.111429528846162</x:v>
      </x:c>
      <x:c r="AO677" s="6" t="str">
        <x:v>-0.7088888888888931</x:v>
      </x:c>
      <x:c r="AP677" s="8" t="str">
        <x:v>-0.1682224091623664</x:v>
      </x:c>
      <x:c r="AQ677" s="6" t="str">
        <x:v>0.0663247877295434</x:v>
      </x:c>
      <x:c r="AR677" s="6" t="str">
        <x:v>-0.1119744671145239</x:v>
      </x:c>
      <x:c r="AS677" s="6" t="str">
        <x:v>-0.0712906961824493</x:v>
      </x:c>
      <x:c r="AT677" s="6" t="str">
        <x:v>29.866666666666674</x:v>
      </x:c>
      <x:c r="AU677" s="8" t="str">
        <x:v>0.5833938590510644</x:v>
      </x:c>
      <x:c r="AV677" s="6" t="str">
        <x:v>-0.6168687033488023</x:v>
      </x:c>
      <x:c r="AW677" s="6" t="str">
        <x:v>-0.6076523079704622</x:v>
      </x:c>
      <x:c r="AX677" s="6" t="str">
        <x:v>-0.2137090507560669</x:v>
      </x:c>
      <x:c r="AY677" s="6" t="str">
        <x:v>0</x:v>
      </x:c>
      <x:c r="AZ677" s="6" t="str">
        <x:v>1</x:v>
      </x:c>
      <x:c r="BA677" s="9" t="str">
        <x:v>grid_cells_within_BIG_polygon</x:v>
      </x:c>
      <x:c r="BB677" s="6" t="str">
        <x:v>3</x:v>
      </x:c>
      <x:c r="BC677" s="6" t="str">
        <x:v>2</x:v>
      </x:c>
      <x:c r="BD677" s="6" t="str">
        <x:v>2</x:v>
      </x:c>
      <x:c r="BE677" s="6" t="str">
        <x:v>2</x:v>
      </x:c>
      <x:c r="BF677" s="6" t="str">
        <x:v>0</x:v>
      </x:c>
      <x:c r="BG677" s="6" t="str">
        <x:v>0</x:v>
      </x:c>
      <x:c r="BH677" s="6" t="str">
        <x:v>0</x:v>
      </x:c>
      <x:c r="BI677" s="6" t="str">
        <x:v>0</x:v>
      </x:c>
      <x:c r="BJ677" s="6" t="str">
        <x:v>0</x:v>
      </x:c>
      <x:c r="BK677" s="6" t="str">
        <x:v>0</x:v>
      </x:c>
      <x:c r="BL677" s="6" t="str">
        <x:v>0</x:v>
      </x:c>
      <x:c r="BM677" s="6" t="str">
        <x:v>0</x:v>
      </x:c>
      <x:c r="BN677" s="6" t="str">
        <x:v>2</x:v>
      </x:c>
      <x:c r="BO677" s="6" t="str">
        <x:v>0.0</x:v>
      </x:c>
      <x:c r="BP677" s="6" t="str">
        <x:v>2</x:v>
      </x:c>
      <x:c r="BQ677" s="6" t="str">
        <x:v>0.0</x:v>
      </x:c>
      <x:c r="BR677" s="6" t="str">
        <x:v>2</x:v>
      </x:c>
      <x:c r="BS677" s="6" t="str">
        <x:v>23.0</x:v>
      </x:c>
      <x:c r="BT677" s="6" t="str">
        <x:v>2</x:v>
      </x:c>
      <x:c r="BU677" s="6" t="str">
        <x:v>2538.0</x:v>
      </x:c>
      <x:c r="BV677" s="6" t="str">
        <x:v>2</x:v>
      </x:c>
      <x:c r="BW677" s="9" t="str">
        <x:v>operational_snapshot_annual_totals_may_differ</x:v>
      </x:c>
      <x:c r="BX677" s="9" t="str">
        <x:v>official_live_dashboard_snapshot_subject_to_revision</x:v>
      </x:c>
      <x:c r="BY677" s="9" t="str">
        <x:v>https://tbdashboard.sitb.id/ss_data_tbc03so_2024_provinsi_bulanan_list.php</x:v>
      </x:c>
      <x:c r="BZ677" s="6" t="n">
        <x:v>46246.610671296294</x:v>
      </x:c>
    </x:row>
    <x:row r="678" ht="18" customHeight="1">
      <x:c r="A678" s="6" t="str">
        <x:v>75</x:v>
      </x:c>
      <x:c r="B678" s="6" t="str">
        <x:v>GORONTALO</x:v>
      </x:c>
      <x:c r="C678" s="6" t="str">
        <x:v>2024</x:v>
      </x:c>
      <x:c r="D678" s="6" t="str">
        <x:v>5</x:v>
      </x:c>
      <x:c r="E678" s="6" t="str">
        <x:v>2024-05</x:v>
      </x:c>
      <x:c r="F678" s="6" t="str">
        <x:v>410</x:v>
      </x:c>
      <x:c r="G678" s="6" t="str">
        <x:v>133</x:v>
      </x:c>
      <x:c r="H678" s="6" t="str">
        <x:v>244</x:v>
      </x:c>
      <x:c r="I678" s="6" t="str">
        <x:v>17</x:v>
      </x:c>
      <x:c r="J678" s="6" t="str">
        <x:v>13</x:v>
      </x:c>
      <x:c r="K678" s="6" t="str">
        <x:v>1</x:v>
      </x:c>
      <x:c r="L678" s="6" t="str">
        <x:v>0</x:v>
      </x:c>
      <x:c r="M678" s="6" t="str">
        <x:v>2</x:v>
      </x:c>
      <x:c r="N678" s="6" t="str">
        <x:v>410</x:v>
      </x:c>
      <x:c r="O678" s="6" t="str">
        <x:v>0</x:v>
      </x:c>
      <x:c r="P678" s="10" t="n">
        <x:f>F678-M678</x:f>
        <x:v>408</x:v>
      </x:c>
      <x:c r="Q678" s="11" t="n">
        <x:f>IFERROR(M678/F678,"")</x:f>
        <x:v>0.004878048780487805</x:v>
      </x:c>
      <x:c r="R678" s="10" t="n">
        <x:f>G678+H678</x:f>
        <x:v>377</x:v>
      </x:c>
      <x:c r="S678" s="11" t="n">
        <x:f>IFERROR(R678/F678,"")</x:f>
        <x:v>0.9195121951219513</x:v>
      </x:c>
      <x:c r="T678" s="11" t="n">
        <x:f>IFERROR(R678/P678,"")</x:f>
        <x:v>0.9240196078431373</x:v>
      </x:c>
      <x:c r="U678" s="10" t="n">
        <x:f>I678+J678+K678</x:f>
        <x:v>31</x:v>
      </x:c>
      <x:c r="V678" s="11" t="n">
        <x:f>IFERROR(U678/P678,"")</x:f>
        <x:v>0.07598039215686274</x:v>
      </x:c>
      <x:c r="W678" s="9" t="str">
        <x:v>mature_le_5pct_pending</x:v>
      </x:c>
      <x:c r="X678" s="12" t="n">
        <x:f>IFERROR(F678/Z678*100000,"")</x:f>
        <x:v>33.39306075908128</x:v>
      </x:c>
      <x:c r="Y678" s="13" t="n">
        <x:f>LN(Z678)</x:f>
        <x:v>14.020734507975533</x:v>
      </x:c>
      <x:c r="Z678" s="6" t="str">
        <x:v>1227800</x:v>
      </x:c>
      <x:c r="AA678" s="6" t="str">
        <x:v>102.0</x:v>
      </x:c>
      <x:c r="AB678" s="9" t="str">
        <x:v>2024-06-30</x:v>
      </x:c>
      <x:c r="AC678" s="8" t="str">
        <x:v>82.99</x:v>
      </x:c>
      <x:c r="AD678" s="9" t="str">
        <x:v>2024 (Susenas)</x:v>
      </x:c>
      <x:c r="AE678" s="8" t="str">
        <x:v>14.57</x:v>
      </x:c>
      <x:c r="AF678" s="9" t="str">
        <x:v>Maret 2024 (Susenas)</x:v>
      </x:c>
      <x:c r="AG678" s="6" t="str">
        <x:v>27.596666666666664</x:v>
      </x:c>
      <x:c r="AH678" s="8" t="str">
        <x:v>84.23</x:v>
      </x:c>
      <x:c r="AI678" s="6" t="str">
        <x:v>240.56</x:v>
      </x:c>
      <x:c r="AJ678" s="6" t="str">
        <x:v>0.9642222222222224</x:v>
      </x:c>
      <x:c r="AK678" s="8" t="str">
        <x:v>1.893033058347013</x:v>
      </x:c>
      <x:c r="AL678" s="6" t="str">
        <x:v>1.1574166726152348</x:v>
      </x:c>
      <x:c r="AM678" s="6" t="str">
        <x:v>1.0664675295070989</x:v>
      </x:c>
      <x:c r="AN678" s="6" t="str">
        <x:v>1.372305753489783</x:v>
      </x:c>
      <x:c r="AO678" s="6" t="str">
        <x:v>0.0975555555555587</x:v>
      </x:c>
      <x:c r="AP678" s="8" t="str">
        <x:v>0.0482978774541464</x:v>
      </x:c>
      <x:c r="AQ678" s="6" t="str">
        <x:v>-0.1682224091623664</x:v>
      </x:c>
      <x:c r="AR678" s="6" t="str">
        <x:v>0.0663247877295434</x:v>
      </x:c>
      <x:c r="AS678" s="6" t="str">
        <x:v>-0.0178665813262259</x:v>
      </x:c>
      <x:c r="AT678" s="6" t="str">
        <x:v>63.78766666666667</x:v>
      </x:c>
      <x:c r="AU678" s="8" t="str">
        <x:v>1.6448598250467532</x:v>
      </x:c>
      <x:c r="AV678" s="6" t="str">
        <x:v>0.5833938590510644</x:v>
      </x:c>
      <x:c r="AW678" s="6" t="str">
        <x:v>-0.6168687033488023</x:v>
      </x:c>
      <x:c r="AX678" s="6" t="str">
        <x:v>0.5371283269163382</x:v>
      </x:c>
      <x:c r="AY678" s="6" t="str">
        <x:v>1</x:v>
      </x:c>
      <x:c r="AZ678" s="6" t="str">
        <x:v>1</x:v>
      </x:c>
      <x:c r="BA678" s="9" t="str">
        <x:v>grid_cells_within_BIG_polygon</x:v>
      </x:c>
      <x:c r="BB678" s="6" t="str">
        <x:v>3</x:v>
      </x:c>
      <x:c r="BC678" s="6" t="str">
        <x:v>2</x:v>
      </x:c>
      <x:c r="BD678" s="6" t="str">
        <x:v>2</x:v>
      </x:c>
      <x:c r="BE678" s="6" t="str">
        <x:v>2</x:v>
      </x:c>
      <x:c r="BF678" s="6" t="str">
        <x:v>0</x:v>
      </x:c>
      <x:c r="BG678" s="6" t="str">
        <x:v>0</x:v>
      </x:c>
      <x:c r="BH678" s="6" t="str">
        <x:v>0</x:v>
      </x:c>
      <x:c r="BI678" s="6" t="str">
        <x:v>0</x:v>
      </x:c>
      <x:c r="BJ678" s="6" t="str">
        <x:v>0</x:v>
      </x:c>
      <x:c r="BK678" s="6" t="str">
        <x:v>0</x:v>
      </x:c>
      <x:c r="BL678" s="6" t="str">
        <x:v>0</x:v>
      </x:c>
      <x:c r="BM678" s="6" t="str">
        <x:v>0</x:v>
      </x:c>
      <x:c r="BN678" s="6" t="str">
        <x:v>2</x:v>
      </x:c>
      <x:c r="BO678" s="6" t="str">
        <x:v>0.0</x:v>
      </x:c>
      <x:c r="BP678" s="6" t="str">
        <x:v>2</x:v>
      </x:c>
      <x:c r="BQ678" s="6" t="str">
        <x:v>0.0</x:v>
      </x:c>
      <x:c r="BR678" s="6" t="str">
        <x:v>2</x:v>
      </x:c>
      <x:c r="BS678" s="6" t="str">
        <x:v>0.0</x:v>
      </x:c>
      <x:c r="BT678" s="6" t="str">
        <x:v>2</x:v>
      </x:c>
      <x:c r="BU678" s="6" t="str">
        <x:v>418.0</x:v>
      </x:c>
      <x:c r="BV678" s="6" t="str">
        <x:v>2</x:v>
      </x:c>
      <x:c r="BW678" s="9" t="str">
        <x:v>operational_snapshot_annual_totals_may_differ</x:v>
      </x:c>
      <x:c r="BX678" s="9" t="str">
        <x:v>official_live_dashboard_snapshot_subject_to_revision</x:v>
      </x:c>
      <x:c r="BY678" s="9" t="str">
        <x:v>https://tbdashboard.sitb.id/ss_data_tbc03so_2024_provinsi_bulanan_list.php</x:v>
      </x:c>
      <x:c r="BZ678" s="6" t="n">
        <x:v>46246.610671296294</x:v>
      </x:c>
    </x:row>
    <x:row r="679" ht="18" customHeight="1">
      <x:c r="A679" s="6" t="str">
        <x:v>75</x:v>
      </x:c>
      <x:c r="B679" s="6" t="str">
        <x:v>GORONTALO</x:v>
      </x:c>
      <x:c r="C679" s="6" t="str">
        <x:v>2024</x:v>
      </x:c>
      <x:c r="D679" s="6" t="str">
        <x:v>6</x:v>
      </x:c>
      <x:c r="E679" s="6" t="str">
        <x:v>2024-06</x:v>
      </x:c>
      <x:c r="F679" s="6" t="str">
        <x:v>354</x:v>
      </x:c>
      <x:c r="G679" s="6" t="str">
        <x:v>97</x:v>
      </x:c>
      <x:c r="H679" s="6" t="str">
        <x:v>226</x:v>
      </x:c>
      <x:c r="I679" s="6" t="str">
        <x:v>13</x:v>
      </x:c>
      <x:c r="J679" s="6" t="str">
        <x:v>15</x:v>
      </x:c>
      <x:c r="K679" s="6" t="str">
        <x:v>0</x:v>
      </x:c>
      <x:c r="L679" s="6" t="str">
        <x:v>0</x:v>
      </x:c>
      <x:c r="M679" s="6" t="str">
        <x:v>3</x:v>
      </x:c>
      <x:c r="N679" s="6" t="str">
        <x:v>354</x:v>
      </x:c>
      <x:c r="O679" s="6" t="str">
        <x:v>0</x:v>
      </x:c>
      <x:c r="P679" s="10" t="n">
        <x:f>F679-M679</x:f>
        <x:v>351</x:v>
      </x:c>
      <x:c r="Q679" s="11" t="n">
        <x:f>IFERROR(M679/F679,"")</x:f>
        <x:v>0.00847457627118644</x:v>
      </x:c>
      <x:c r="R679" s="10" t="n">
        <x:f>G679+H679</x:f>
        <x:v>323</x:v>
      </x:c>
      <x:c r="S679" s="11" t="n">
        <x:f>IFERROR(R679/F679,"")</x:f>
        <x:v>0.9124293785310734</x:v>
      </x:c>
      <x:c r="T679" s="11" t="n">
        <x:f>IFERROR(R679/P679,"")</x:f>
        <x:v>0.9202279202279202</x:v>
      </x:c>
      <x:c r="U679" s="10" t="n">
        <x:f>I679+J679+K679</x:f>
        <x:v>28</x:v>
      </x:c>
      <x:c r="V679" s="11" t="n">
        <x:f>IFERROR(U679/P679,"")</x:f>
        <x:v>0.07977207977207977</x:v>
      </x:c>
      <x:c r="W679" s="9" t="str">
        <x:v>mature_le_5pct_pending</x:v>
      </x:c>
      <x:c r="X679" s="12" t="n">
        <x:f>IFERROR(F679/Z679*100000,"")</x:f>
        <x:v>28.83205733832872</x:v>
      </x:c>
      <x:c r="Y679" s="13" t="n">
        <x:f>LN(Z679)</x:f>
        <x:v>14.020734507975533</x:v>
      </x:c>
      <x:c r="Z679" s="6" t="str">
        <x:v>1227800</x:v>
      </x:c>
      <x:c r="AA679" s="6" t="str">
        <x:v>102.0</x:v>
      </x:c>
      <x:c r="AB679" s="9" t="str">
        <x:v>2024-06-30</x:v>
      </x:c>
      <x:c r="AC679" s="8" t="str">
        <x:v>82.99</x:v>
      </x:c>
      <x:c r="AD679" s="9" t="str">
        <x:v>2024 (Susenas)</x:v>
      </x:c>
      <x:c r="AE679" s="8" t="str">
        <x:v>14.57</x:v>
      </x:c>
      <x:c r="AF679" s="9" t="str">
        <x:v>Maret 2024 (Susenas)</x:v>
      </x:c>
      <x:c r="AG679" s="6" t="str">
        <x:v>26.486666666666665</x:v>
      </x:c>
      <x:c r="AH679" s="8" t="str">
        <x:v>86.61</x:v>
      </x:c>
      <x:c r="AI679" s="6" t="str">
        <x:v>328.30000000000007</x:v>
      </x:c>
      <x:c r="AJ679" s="6" t="str">
        <x:v>0.4515555555555544</x:v>
      </x:c>
      <x:c r="AK679" s="8" t="str">
        <x:v>1.2794932826810987</x:v>
      </x:c>
      <x:c r="AL679" s="6" t="str">
        <x:v>1.893033058347013</x:v>
      </x:c>
      <x:c r="AM679" s="6" t="str">
        <x:v>1.1574166726152348</x:v>
      </x:c>
      <x:c r="AN679" s="6" t="str">
        <x:v>1.443314337881116</x:v>
      </x:c>
      <x:c r="AO679" s="6" t="str">
        <x:v>1.2975555555555474</x:v>
      </x:c>
      <x:c r="AP679" s="8" t="str">
        <x:v>0.6501885525672215</x:v>
      </x:c>
      <x:c r="AQ679" s="6" t="str">
        <x:v>0.0482978774541464</x:v>
      </x:c>
      <x:c r="AR679" s="6" t="str">
        <x:v>-0.1682224091623664</x:v>
      </x:c>
      <x:c r="AS679" s="6" t="str">
        <x:v>0.1767546736196668</x:v>
      </x:c>
      <x:c r="AT679" s="6" t="str">
        <x:v>141.1200000000001</x:v>
      </x:c>
      <x:c r="AU679" s="8" t="str">
        <x:v>2.0420874326527896</x:v>
      </x:c>
      <x:c r="AV679" s="6" t="str">
        <x:v>1.6448598250467532</x:v>
      </x:c>
      <x:c r="AW679" s="6" t="str">
        <x:v>0.5833938590510644</x:v>
      </x:c>
      <x:c r="AX679" s="6" t="str">
        <x:v>1.4234470389168683</x:v>
      </x:c>
      <x:c r="AY679" s="6" t="str">
        <x:v>1</x:v>
      </x:c>
      <x:c r="AZ679" s="6" t="str">
        <x:v>1</x:v>
      </x:c>
      <x:c r="BA679" s="9" t="str">
        <x:v>grid_cells_within_BIG_polygon</x:v>
      </x:c>
      <x:c r="BB679" s="6" t="str">
        <x:v>3</x:v>
      </x:c>
      <x:c r="BC679" s="6" t="str">
        <x:v>11</x:v>
      </x:c>
      <x:c r="BD679" s="6" t="str">
        <x:v>11</x:v>
      </x:c>
      <x:c r="BE679" s="6" t="str">
        <x:v>10</x:v>
      </x:c>
      <x:c r="BF679" s="6" t="str">
        <x:v>1</x:v>
      </x:c>
      <x:c r="BG679" s="6" t="str">
        <x:v>0</x:v>
      </x:c>
      <x:c r="BH679" s="6" t="str">
        <x:v>0</x:v>
      </x:c>
      <x:c r="BI679" s="6" t="str">
        <x:v>0</x:v>
      </x:c>
      <x:c r="BJ679" s="6" t="str">
        <x:v>0</x:v>
      </x:c>
      <x:c r="BK679" s="6" t="str">
        <x:v>0</x:v>
      </x:c>
      <x:c r="BL679" s="6" t="str">
        <x:v>0</x:v>
      </x:c>
      <x:c r="BM679" s="6" t="str">
        <x:v>0</x:v>
      </x:c>
      <x:c r="BN679" s="6" t="str">
        <x:v>11</x:v>
      </x:c>
      <x:c r="BO679" s="6" t="str">
        <x:v>1.0</x:v>
      </x:c>
      <x:c r="BP679" s="6" t="str">
        <x:v>11</x:v>
      </x:c>
      <x:c r="BQ679" s="6" t="str">
        <x:v>0.0</x:v>
      </x:c>
      <x:c r="BR679" s="6" t="str">
        <x:v>11</x:v>
      </x:c>
      <x:c r="BS679" s="6" t="str">
        <x:v>4.0</x:v>
      </x:c>
      <x:c r="BT679" s="6" t="str">
        <x:v>11</x:v>
      </x:c>
      <x:c r="BU679" s="6" t="str">
        <x:v>5681.0</x:v>
      </x:c>
      <x:c r="BV679" s="6" t="str">
        <x:v>10</x:v>
      </x:c>
      <x:c r="BW679" s="9" t="str">
        <x:v>operational_snapshot_annual_totals_may_differ</x:v>
      </x:c>
      <x:c r="BX679" s="9" t="str">
        <x:v>official_live_dashboard_snapshot_subject_to_revision</x:v>
      </x:c>
      <x:c r="BY679" s="9" t="str">
        <x:v>https://tbdashboard.sitb.id/ss_data_tbc03so_2024_provinsi_bulanan_list.php</x:v>
      </x:c>
      <x:c r="BZ679" s="6" t="n">
        <x:v>46246.610671296294</x:v>
      </x:c>
    </x:row>
    <x:row r="680" ht="18" customHeight="1">
      <x:c r="A680" s="6" t="str">
        <x:v>75</x:v>
      </x:c>
      <x:c r="B680" s="6" t="str">
        <x:v>GORONTALO</x:v>
      </x:c>
      <x:c r="C680" s="6" t="str">
        <x:v>2024</x:v>
      </x:c>
      <x:c r="D680" s="6" t="str">
        <x:v>7</x:v>
      </x:c>
      <x:c r="E680" s="6" t="str">
        <x:v>2024-07</x:v>
      </x:c>
      <x:c r="F680" s="6" t="str">
        <x:v>386</x:v>
      </x:c>
      <x:c r="G680" s="6" t="str">
        <x:v>119</x:v>
      </x:c>
      <x:c r="H680" s="6" t="str">
        <x:v>226</x:v>
      </x:c>
      <x:c r="I680" s="6" t="str">
        <x:v>15</x:v>
      </x:c>
      <x:c r="J680" s="6" t="str">
        <x:v>18</x:v>
      </x:c>
      <x:c r="K680" s="6" t="str">
        <x:v>0</x:v>
      </x:c>
      <x:c r="L680" s="6" t="str">
        <x:v>0</x:v>
      </x:c>
      <x:c r="M680" s="6" t="str">
        <x:v>8</x:v>
      </x:c>
      <x:c r="N680" s="6" t="str">
        <x:v>386</x:v>
      </x:c>
      <x:c r="O680" s="6" t="str">
        <x:v>0</x:v>
      </x:c>
      <x:c r="P680" s="10" t="n">
        <x:f>F680-M680</x:f>
        <x:v>378</x:v>
      </x:c>
      <x:c r="Q680" s="11" t="n">
        <x:f>IFERROR(M680/F680,"")</x:f>
        <x:v>0.02072538860103627</x:v>
      </x:c>
      <x:c r="R680" s="10" t="n">
        <x:f>G680+H680</x:f>
        <x:v>345</x:v>
      </x:c>
      <x:c r="S680" s="11" t="n">
        <x:f>IFERROR(R680/F680,"")</x:f>
        <x:v>0.8937823834196891</x:v>
      </x:c>
      <x:c r="T680" s="11" t="n">
        <x:f>IFERROR(R680/P680,"")</x:f>
        <x:v>0.9126984126984127</x:v>
      </x:c>
      <x:c r="U680" s="10" t="n">
        <x:f>I680+J680+K680</x:f>
        <x:v>33</x:v>
      </x:c>
      <x:c r="V680" s="11" t="n">
        <x:f>IFERROR(U680/P680,"")</x:f>
        <x:v>0.0873015873015873</x:v>
      </x:c>
      <x:c r="W680" s="9" t="str">
        <x:v>mature_le_5pct_pending</x:v>
      </x:c>
      <x:c r="X680" s="12" t="n">
        <x:f>IFERROR(F680/Z680*100000,"")</x:f>
        <x:v>31.43834500733018</x:v>
      </x:c>
      <x:c r="Y680" s="13" t="n">
        <x:f>LN(Z680)</x:f>
        <x:v>14.020734507975533</x:v>
      </x:c>
      <x:c r="Z680" s="6" t="str">
        <x:v>1227800</x:v>
      </x:c>
      <x:c r="AA680" s="6" t="str">
        <x:v>102.0</x:v>
      </x:c>
      <x:c r="AB680" s="9" t="str">
        <x:v>2024-06-30</x:v>
      </x:c>
      <x:c r="AC680" s="8" t="str">
        <x:v>82.99</x:v>
      </x:c>
      <x:c r="AD680" s="9" t="str">
        <x:v>2024 (Susenas)</x:v>
      </x:c>
      <x:c r="AE680" s="8" t="str">
        <x:v>14.57</x:v>
      </x:c>
      <x:c r="AF680" s="9" t="str">
        <x:v>Maret 2024 (Susenas)</x:v>
      </x:c>
      <x:c r="AG680" s="6" t="str">
        <x:v>25.96</x:v>
      </x:c>
      <x:c r="AH680" s="8" t="str">
        <x:v>86.61666666666665</x:v>
      </x:c>
      <x:c r="AI680" s="6" t="str">
        <x:v>322.91666666666663</x:v>
      </x:c>
      <x:c r="AJ680" s="6" t="str">
        <x:v>0.3584444444444443</x:v>
      </x:c>
      <x:c r="AK680" s="8" t="str">
        <x:v>1.0711575559242956</x:v>
      </x:c>
      <x:c r="AL680" s="6" t="str">
        <x:v>1.2794932826810987</x:v>
      </x:c>
      <x:c r="AM680" s="6" t="str">
        <x:v>1.893033058347013</x:v>
      </x:c>
      <x:c r="AN680" s="6" t="str">
        <x:v>1.414561298984136</x:v>
      </x:c>
      <x:c r="AO680" s="6" t="str">
        <x:v>1.6586666666666474</x:v>
      </x:c>
      <x:c r="AP680" s="8" t="str">
        <x:v>0.8865667148923654</x:v>
      </x:c>
      <x:c r="AQ680" s="6" t="str">
        <x:v>0.6501885525672215</x:v>
      </x:c>
      <x:c r="AR680" s="6" t="str">
        <x:v>0.0482978774541464</x:v>
      </x:c>
      <x:c r="AS680" s="6" t="str">
        <x:v>0.5283510483045774</x:v>
      </x:c>
      <x:c r="AT680" s="6" t="str">
        <x:v>176.25566666666663</x:v>
      </x:c>
      <x:c r="AU680" s="8" t="str">
        <x:v>2.624722628032331</x:v>
      </x:c>
      <x:c r="AV680" s="6" t="str">
        <x:v>2.0420874326527896</x:v>
      </x:c>
      <x:c r="AW680" s="6" t="str">
        <x:v>1.6448598250467532</x:v>
      </x:c>
      <x:c r="AX680" s="6" t="str">
        <x:v>2.103889961910624</x:v>
      </x:c>
      <x:c r="AY680" s="6" t="str">
        <x:v>1</x:v>
      </x:c>
      <x:c r="AZ680" s="6" t="str">
        <x:v>1</x:v>
      </x:c>
      <x:c r="BA680" s="9" t="str">
        <x:v>grid_cells_within_BIG_polygon</x:v>
      </x:c>
      <x:c r="BB680" s="6" t="str">
        <x:v>3</x:v>
      </x:c>
      <x:c r="BC680" s="6" t="str">
        <x:v>7</x:v>
      </x:c>
      <x:c r="BD680" s="6" t="str">
        <x:v>7</x:v>
      </x:c>
      <x:c r="BE680" s="6" t="str">
        <x:v>6</x:v>
      </x:c>
      <x:c r="BF680" s="6" t="str">
        <x:v>1</x:v>
      </x:c>
      <x:c r="BG680" s="6" t="str">
        <x:v>0</x:v>
      </x:c>
      <x:c r="BH680" s="6" t="str">
        <x:v>0</x:v>
      </x:c>
      <x:c r="BI680" s="6" t="str">
        <x:v>0</x:v>
      </x:c>
      <x:c r="BJ680" s="6" t="str">
        <x:v>0</x:v>
      </x:c>
      <x:c r="BK680" s="6" t="str">
        <x:v>0</x:v>
      </x:c>
      <x:c r="BL680" s="6" t="str">
        <x:v>0</x:v>
      </x:c>
      <x:c r="BM680" s="6" t="str">
        <x:v>0</x:v>
      </x:c>
      <x:c r="BN680" s="6" t="str">
        <x:v>7</x:v>
      </x:c>
      <x:c r="BO680" s="6" t="str">
        <x:v>28.0</x:v>
      </x:c>
      <x:c r="BP680" s="6" t="str">
        <x:v>7</x:v>
      </x:c>
      <x:c r="BQ680" s="6" t="str">
        <x:v>235.0</x:v>
      </x:c>
      <x:c r="BR680" s="6" t="str">
        <x:v>7</x:v>
      </x:c>
      <x:c r="BS680" s="6" t="str">
        <x:v>40.0</x:v>
      </x:c>
      <x:c r="BT680" s="6" t="str">
        <x:v>7</x:v>
      </x:c>
      <x:c r="BU680" s="6" t="str">
        <x:v>14282.0</x:v>
      </x:c>
      <x:c r="BV680" s="6" t="str">
        <x:v>5</x:v>
      </x:c>
      <x:c r="BW680" s="9" t="str">
        <x:v>operational_snapshot_annual_totals_may_differ</x:v>
      </x:c>
      <x:c r="BX680" s="9" t="str">
        <x:v>official_live_dashboard_snapshot_subject_to_revision</x:v>
      </x:c>
      <x:c r="BY680" s="9" t="str">
        <x:v>https://tbdashboard.sitb.id/ss_data_tbc03so_2024_provinsi_bulanan_list.php</x:v>
      </x:c>
      <x:c r="BZ680" s="6" t="n">
        <x:v>46246.610671296294</x:v>
      </x:c>
    </x:row>
    <x:row r="681" ht="18" customHeight="1">
      <x:c r="A681" s="6" t="str">
        <x:v>75</x:v>
      </x:c>
      <x:c r="B681" s="6" t="str">
        <x:v>GORONTALO</x:v>
      </x:c>
      <x:c r="C681" s="6" t="str">
        <x:v>2024</x:v>
      </x:c>
      <x:c r="D681" s="6" t="str">
        <x:v>8</x:v>
      </x:c>
      <x:c r="E681" s="6" t="str">
        <x:v>2024-08</x:v>
      </x:c>
      <x:c r="F681" s="6" t="str">
        <x:v>368</x:v>
      </x:c>
      <x:c r="G681" s="6" t="str">
        <x:v>128</x:v>
      </x:c>
      <x:c r="H681" s="6" t="str">
        <x:v>204</x:v>
      </x:c>
      <x:c r="I681" s="6" t="str">
        <x:v>15</x:v>
      </x:c>
      <x:c r="J681" s="6" t="str">
        <x:v>13</x:v>
      </x:c>
      <x:c r="K681" s="6" t="str">
        <x:v>1</x:v>
      </x:c>
      <x:c r="L681" s="6" t="str">
        <x:v>0</x:v>
      </x:c>
      <x:c r="M681" s="6" t="str">
        <x:v>7</x:v>
      </x:c>
      <x:c r="N681" s="6" t="str">
        <x:v>368</x:v>
      </x:c>
      <x:c r="O681" s="6" t="str">
        <x:v>0</x:v>
      </x:c>
      <x:c r="P681" s="10" t="n">
        <x:f>F681-M681</x:f>
        <x:v>361</x:v>
      </x:c>
      <x:c r="Q681" s="11" t="n">
        <x:f>IFERROR(M681/F681,"")</x:f>
        <x:v>0.019021739130434784</x:v>
      </x:c>
      <x:c r="R681" s="10" t="n">
        <x:f>G681+H681</x:f>
        <x:v>332</x:v>
      </x:c>
      <x:c r="S681" s="11" t="n">
        <x:f>IFERROR(R681/F681,"")</x:f>
        <x:v>0.9021739130434783</x:v>
      </x:c>
      <x:c r="T681" s="11" t="n">
        <x:f>IFERROR(R681/P681,"")</x:f>
        <x:v>0.9196675900277008</x:v>
      </x:c>
      <x:c r="U681" s="10" t="n">
        <x:f>I681+J681+K681</x:f>
        <x:v>29</x:v>
      </x:c>
      <x:c r="V681" s="11" t="n">
        <x:f>IFERROR(U681/P681,"")</x:f>
        <x:v>0.08033240997229917</x:v>
      </x:c>
      <x:c r="W681" s="9" t="str">
        <x:v>mature_le_5pct_pending</x:v>
      </x:c>
      <x:c r="X681" s="12" t="n">
        <x:f>IFERROR(F681/Z681*100000,"")</x:f>
        <x:v>29.972308193516863</x:v>
      </x:c>
      <x:c r="Y681" s="13" t="n">
        <x:f>LN(Z681)</x:f>
        <x:v>14.020734507975533</x:v>
      </x:c>
      <x:c r="Z681" s="6" t="str">
        <x:v>1227800</x:v>
      </x:c>
      <x:c r="AA681" s="6" t="str">
        <x:v>102.0</x:v>
      </x:c>
      <x:c r="AB681" s="9" t="str">
        <x:v>2024-06-30</x:v>
      </x:c>
      <x:c r="AC681" s="8" t="str">
        <x:v>82.99</x:v>
      </x:c>
      <x:c r="AD681" s="9" t="str">
        <x:v>2024 (Susenas)</x:v>
      </x:c>
      <x:c r="AE681" s="8" t="str">
        <x:v>14.57</x:v>
      </x:c>
      <x:c r="AF681" s="9" t="str">
        <x:v>Maret 2024 (Susenas)</x:v>
      </x:c>
      <x:c r="AG681" s="6" t="str">
        <x:v>26.14</x:v>
      </x:c>
      <x:c r="AH681" s="8" t="str">
        <x:v>85.79333333333332</x:v>
      </x:c>
      <x:c r="AI681" s="6" t="str">
        <x:v>143.52999999999997</x:v>
      </x:c>
      <x:c r="AJ681" s="6" t="str">
        <x:v>0.4282222222222209</x:v>
      </x:c>
      <x:c r="AK681" s="8" t="str">
        <x:v>1.2067621140877345</x:v>
      </x:c>
      <x:c r="AL681" s="6" t="str">
        <x:v>1.0711575559242956</x:v>
      </x:c>
      <x:c r="AM681" s="6" t="str">
        <x:v>1.2794932826810987</x:v>
      </x:c>
      <x:c r="AN681" s="6" t="str">
        <x:v>1.1858043175643769</x:v>
      </x:c>
      <x:c r="AO681" s="6" t="str">
        <x:v>3.223444444444425</x:v>
      </x:c>
      <x:c r="AP681" s="8" t="str">
        <x:v>0.88895384302919</x:v>
      </x:c>
      <x:c r="AQ681" s="6" t="str">
        <x:v>0.8865667148923654</x:v>
      </x:c>
      <x:c r="AR681" s="6" t="str">
        <x:v>0.6501885525672215</x:v>
      </x:c>
      <x:c r="AS681" s="6" t="str">
        <x:v>0.8085697034962586</x:v>
      </x:c>
      <x:c r="AT681" s="6" t="str">
        <x:v>53.970999999999975</x:v>
      </x:c>
      <x:c r="AU681" s="8" t="str">
        <x:v>0.9324212488692712</x:v>
      </x:c>
      <x:c r="AV681" s="6" t="str">
        <x:v>2.624722628032331</x:v>
      </x:c>
      <x:c r="AW681" s="6" t="str">
        <x:v>2.0420874326527896</x:v>
      </x:c>
      <x:c r="AX681" s="6" t="str">
        <x:v>1.8664104365181304</x:v>
      </x:c>
      <x:c r="AY681" s="6" t="str">
        <x:v>0</x:v>
      </x:c>
      <x:c r="AZ681" s="6" t="str">
        <x:v>1</x:v>
      </x:c>
      <x:c r="BA681" s="9" t="str">
        <x:v>grid_cells_within_BIG_polygon</x:v>
      </x:c>
      <x:c r="BB681" s="6" t="str">
        <x:v>3</x:v>
      </x:c>
      <x:c r="BC681" s="6" t="str">
        <x:v>3</x:v>
      </x:c>
      <x:c r="BD681" s="6" t="str">
        <x:v>3</x:v>
      </x:c>
      <x:c r="BE681" s="6" t="str">
        <x:v>3</x:v>
      </x:c>
      <x:c r="BF681" s="6" t="str">
        <x:v>0</x:v>
      </x:c>
      <x:c r="BG681" s="6" t="str">
        <x:v>0</x:v>
      </x:c>
      <x:c r="BH681" s="6" t="str">
        <x:v>0</x:v>
      </x:c>
      <x:c r="BI681" s="6" t="str">
        <x:v>0</x:v>
      </x:c>
      <x:c r="BJ681" s="6" t="str">
        <x:v>0</x:v>
      </x:c>
      <x:c r="BK681" s="6" t="str">
        <x:v>0</x:v>
      </x:c>
      <x:c r="BL681" s="6" t="str">
        <x:v>0</x:v>
      </x:c>
      <x:c r="BM681" s="6" t="str">
        <x:v>0</x:v>
      </x:c>
      <x:c r="BN681" s="6" t="str">
        <x:v>3</x:v>
      </x:c>
      <x:c r="BO681" s="6" t="str">
        <x:v>0.0</x:v>
      </x:c>
      <x:c r="BP681" s="6" t="str">
        <x:v>3</x:v>
      </x:c>
      <x:c r="BQ681" s="6" t="str">
        <x:v>0.0</x:v>
      </x:c>
      <x:c r="BR681" s="6" t="str">
        <x:v>3</x:v>
      </x:c>
      <x:c r="BS681" s="6" t="str">
        <x:v>14.0</x:v>
      </x:c>
      <x:c r="BT681" s="6" t="str">
        <x:v>3</x:v>
      </x:c>
      <x:c r="BU681" s="6" t="str">
        <x:v>510.0</x:v>
      </x:c>
      <x:c r="BV681" s="6" t="str">
        <x:v>3</x:v>
      </x:c>
      <x:c r="BW681" s="9" t="str">
        <x:v>operational_snapshot_annual_totals_may_differ</x:v>
      </x:c>
      <x:c r="BX681" s="9" t="str">
        <x:v>official_live_dashboard_snapshot_subject_to_revision</x:v>
      </x:c>
      <x:c r="BY681" s="9" t="str">
        <x:v>https://tbdashboard.sitb.id/ss_data_tbc03so_2024_provinsi_bulanan_list.php</x:v>
      </x:c>
      <x:c r="BZ681" s="6" t="n">
        <x:v>46246.610671296294</x:v>
      </x:c>
    </x:row>
    <x:row r="682" ht="18" customHeight="1">
      <x:c r="A682" s="6" t="str">
        <x:v>75</x:v>
      </x:c>
      <x:c r="B682" s="6" t="str">
        <x:v>GORONTALO</x:v>
      </x:c>
      <x:c r="C682" s="6" t="str">
        <x:v>2024</x:v>
      </x:c>
      <x:c r="D682" s="6" t="str">
        <x:v>9</x:v>
      </x:c>
      <x:c r="E682" s="6" t="str">
        <x:v>2024-09</x:v>
      </x:c>
      <x:c r="F682" s="6" t="str">
        <x:v>340</x:v>
      </x:c>
      <x:c r="G682" s="6" t="str">
        <x:v>111</x:v>
      </x:c>
      <x:c r="H682" s="6" t="str">
        <x:v>180</x:v>
      </x:c>
      <x:c r="I682" s="6" t="str">
        <x:v>18</x:v>
      </x:c>
      <x:c r="J682" s="6" t="str">
        <x:v>19</x:v>
      </x:c>
      <x:c r="K682" s="6" t="str">
        <x:v>0</x:v>
      </x:c>
      <x:c r="L682" s="6" t="str">
        <x:v>0</x:v>
      </x:c>
      <x:c r="M682" s="6" t="str">
        <x:v>12</x:v>
      </x:c>
      <x:c r="N682" s="6" t="str">
        <x:v>340</x:v>
      </x:c>
      <x:c r="O682" s="6" t="str">
        <x:v>0</x:v>
      </x:c>
      <x:c r="P682" s="10" t="n">
        <x:f>F682-M682</x:f>
        <x:v>328</x:v>
      </x:c>
      <x:c r="Q682" s="11" t="n">
        <x:f>IFERROR(M682/F682,"")</x:f>
        <x:v>0.03529411764705882</x:v>
      </x:c>
      <x:c r="R682" s="10" t="n">
        <x:f>G682+H682</x:f>
        <x:v>291</x:v>
      </x:c>
      <x:c r="S682" s="11" t="n">
        <x:f>IFERROR(R682/F682,"")</x:f>
        <x:v>0.8558823529411764</x:v>
      </x:c>
      <x:c r="T682" s="11" t="n">
        <x:f>IFERROR(R682/P682,"")</x:f>
        <x:v>0.8871951219512195</x:v>
      </x:c>
      <x:c r="U682" s="10" t="n">
        <x:f>I682+J682+K682</x:f>
        <x:v>37</x:v>
      </x:c>
      <x:c r="V682" s="11" t="n">
        <x:f>IFERROR(U682/P682,"")</x:f>
        <x:v>0.11280487804878049</x:v>
      </x:c>
      <x:c r="W682" s="9" t="str">
        <x:v>mature_le_5pct_pending</x:v>
      </x:c>
      <x:c r="X682" s="12" t="n">
        <x:f>IFERROR(F682/Z682*100000,"")</x:f>
        <x:v>27.691806483140578</x:v>
      </x:c>
      <x:c r="Y682" s="13" t="n">
        <x:f>LN(Z682)</x:f>
        <x:v>14.020734507975533</x:v>
      </x:c>
      <x:c r="Z682" s="6" t="str">
        <x:v>1227800</x:v>
      </x:c>
      <x:c r="AA682" s="6" t="str">
        <x:v>102.0</x:v>
      </x:c>
      <x:c r="AB682" s="9" t="str">
        <x:v>2024-06-30</x:v>
      </x:c>
      <x:c r="AC682" s="8" t="str">
        <x:v>82.99</x:v>
      </x:c>
      <x:c r="AD682" s="9" t="str">
        <x:v>2024 (Susenas)</x:v>
      </x:c>
      <x:c r="AE682" s="8" t="str">
        <x:v>14.57</x:v>
      </x:c>
      <x:c r="AF682" s="9" t="str">
        <x:v>Maret 2024 (Susenas)</x:v>
      </x:c>
      <x:c r="AG682" s="6" t="str">
        <x:v>26.92</x:v>
      </x:c>
      <x:c r="AH682" s="8" t="str">
        <x:v>81.97666666666666</x:v>
      </x:c>
      <x:c r="AI682" s="6" t="str">
        <x:v>74.0</x:v>
      </x:c>
      <x:c r="AJ682" s="6" t="str">
        <x:v>0.6871111111111077</x:v>
      </x:c>
      <x:c r="AK682" s="8" t="str">
        <x:v>1.61188718394101</x:v>
      </x:c>
      <x:c r="AL682" s="6" t="str">
        <x:v>1.2067621140877345</x:v>
      </x:c>
      <x:c r="AM682" s="6" t="str">
        <x:v>1.0711575559242956</x:v>
      </x:c>
      <x:c r="AN682" s="6" t="str">
        <x:v>1.296602284651014</x:v>
      </x:c>
      <x:c r="AO682" s="6" t="str">
        <x:v>2.3902222222222207</x:v>
      </x:c>
      <x:c r="AP682" s="8" t="str">
        <x:v>0.4774233206339912</x:v>
      </x:c>
      <x:c r="AQ682" s="6" t="str">
        <x:v>0.88895384302919</x:v>
      </x:c>
      <x:c r="AR682" s="6" t="str">
        <x:v>0.8865667148923654</x:v>
      </x:c>
      <x:c r="AS682" s="6" t="str">
        <x:v>0.7509812928518486</x:v>
      </x:c>
      <x:c r="AT682" s="6" t="str">
        <x:v>-5.469999999999999</x:v>
      </x:c>
      <x:c r="AU682" s="8" t="str">
        <x:v>-0.0976543374888461</x:v>
      </x:c>
      <x:c r="AV682" s="6" t="str">
        <x:v>0.9324212488692712</x:v>
      </x:c>
      <x:c r="AW682" s="6" t="str">
        <x:v>2.624722628032331</x:v>
      </x:c>
      <x:c r="AX682" s="6" t="str">
        <x:v>1.1531631798042516</x:v>
      </x:c>
      <x:c r="AY682" s="6" t="str">
        <x:v>0</x:v>
      </x:c>
      <x:c r="AZ682" s="6" t="str">
        <x:v>1</x:v>
      </x:c>
      <x:c r="BA682" s="9" t="str">
        <x:v>grid_cells_within_BIG_polygon</x:v>
      </x:c>
      <x:c r="BB682" s="6" t="str">
        <x:v>3</x:v>
      </x:c>
      <x:c r="BC682" s="6" t="str">
        <x:v>0</x:v>
      </x:c>
      <x:c r="BD682" s="6" t="str">
        <x:v>0</x:v>
      </x:c>
      <x:c r="BE682" s="6" t="str">
        <x:v>0</x:v>
      </x:c>
      <x:c r="BF682" s="6" t="str">
        <x:v>0</x:v>
      </x:c>
      <x:c r="BG682" s="6" t="str">
        <x:v>0</x:v>
      </x:c>
      <x:c r="BH682" s="6" t="str">
        <x:v>0</x:v>
      </x:c>
      <x:c r="BI682" s="6" t="str">
        <x:v>0</x:v>
      </x:c>
      <x:c r="BJ682" s="6" t="str">
        <x:v>0</x:v>
      </x:c>
      <x:c r="BK682" s="6" t="str">
        <x:v>0</x:v>
      </x:c>
      <x:c r="BL682" s="6" t="str">
        <x:v>0</x:v>
      </x:c>
      <x:c r="BM682" s="6" t="str">
        <x:v>0</x:v>
      </x:c>
      <x:c r="BN682" s="6" t="str">
        <x:v>0</x:v>
      </x:c>
      <x:c r="BO682" s="6" t="str"/>
      <x:c r="BP682" s="6" t="str">
        <x:v>0</x:v>
      </x:c>
      <x:c r="BQ682" s="6" t="str"/>
      <x:c r="BR682" s="6" t="str">
        <x:v>0</x:v>
      </x:c>
      <x:c r="BS682" s="6" t="str"/>
      <x:c r="BT682" s="6" t="str">
        <x:v>0</x:v>
      </x:c>
      <x:c r="BU682" s="6" t="str"/>
      <x:c r="BV682" s="6" t="str">
        <x:v>0</x:v>
      </x:c>
      <x:c r="BW682" s="9" t="str">
        <x:v>operational_snapshot_annual_totals_may_differ</x:v>
      </x:c>
      <x:c r="BX682" s="9" t="str">
        <x:v>official_live_dashboard_snapshot_subject_to_revision</x:v>
      </x:c>
      <x:c r="BY682" s="9" t="str">
        <x:v>https://tbdashboard.sitb.id/ss_data_tbc03so_2024_provinsi_bulanan_list.php</x:v>
      </x:c>
      <x:c r="BZ682" s="6" t="n">
        <x:v>46246.610671296294</x:v>
      </x:c>
    </x:row>
    <x:row r="683" ht="18" customHeight="1">
      <x:c r="A683" s="6" t="str">
        <x:v>75</x:v>
      </x:c>
      <x:c r="B683" s="6" t="str">
        <x:v>GORONTALO</x:v>
      </x:c>
      <x:c r="C683" s="6" t="str">
        <x:v>2024</x:v>
      </x:c>
      <x:c r="D683" s="6" t="str">
        <x:v>10</x:v>
      </x:c>
      <x:c r="E683" s="6" t="str">
        <x:v>2024-10</x:v>
      </x:c>
      <x:c r="F683" s="6" t="str">
        <x:v>412</x:v>
      </x:c>
      <x:c r="G683" s="6" t="str">
        <x:v>117</x:v>
      </x:c>
      <x:c r="H683" s="6" t="str">
        <x:v>229</x:v>
      </x:c>
      <x:c r="I683" s="6" t="str">
        <x:v>25</x:v>
      </x:c>
      <x:c r="J683" s="6" t="str">
        <x:v>25</x:v>
      </x:c>
      <x:c r="K683" s="6" t="str">
        <x:v>1</x:v>
      </x:c>
      <x:c r="L683" s="6" t="str">
        <x:v>1</x:v>
      </x:c>
      <x:c r="M683" s="6" t="str">
        <x:v>14</x:v>
      </x:c>
      <x:c r="N683" s="6" t="str">
        <x:v>412</x:v>
      </x:c>
      <x:c r="O683" s="6" t="str">
        <x:v>0</x:v>
      </x:c>
      <x:c r="P683" s="10" t="n">
        <x:f>F683-M683</x:f>
        <x:v>398</x:v>
      </x:c>
      <x:c r="Q683" s="11" t="n">
        <x:f>IFERROR(M683/F683,"")</x:f>
        <x:v>0.03398058252427184</x:v>
      </x:c>
      <x:c r="R683" s="10" t="n">
        <x:f>G683+H683</x:f>
        <x:v>346</x:v>
      </x:c>
      <x:c r="S683" s="11" t="n">
        <x:f>IFERROR(R683/F683,"")</x:f>
        <x:v>0.8398058252427184</x:v>
      </x:c>
      <x:c r="T683" s="11" t="n">
        <x:f>IFERROR(R683/P683,"")</x:f>
        <x:v>0.8693467336683417</x:v>
      </x:c>
      <x:c r="U683" s="10" t="n">
        <x:f>I683+J683+K683</x:f>
        <x:v>51</x:v>
      </x:c>
      <x:c r="V683" s="11" t="n">
        <x:f>IFERROR(U683/P683,"")</x:f>
        <x:v>0.12814070351758794</x:v>
      </x:c>
      <x:c r="W683" s="9" t="str">
        <x:v>mature_le_5pct_pending</x:v>
      </x:c>
      <x:c r="X683" s="12" t="n">
        <x:f>IFERROR(F683/Z683*100000,"")</x:f>
        <x:v>33.555953738393875</x:v>
      </x:c>
      <x:c r="Y683" s="13" t="n">
        <x:f>LN(Z683)</x:f>
        <x:v>14.020734507975533</x:v>
      </x:c>
      <x:c r="Z683" s="6" t="str">
        <x:v>1227800</x:v>
      </x:c>
      <x:c r="AA683" s="6" t="str">
        <x:v>102.0</x:v>
      </x:c>
      <x:c r="AB683" s="9" t="str">
        <x:v>2024-06-30</x:v>
      </x:c>
      <x:c r="AC683" s="8" t="str">
        <x:v>82.99</x:v>
      </x:c>
      <x:c r="AD683" s="9" t="str">
        <x:v>2024 (Susenas)</x:v>
      </x:c>
      <x:c r="AE683" s="8" t="str">
        <x:v>14.57</x:v>
      </x:c>
      <x:c r="AF683" s="9" t="str">
        <x:v>Maret 2024 (Susenas)</x:v>
      </x:c>
      <x:c r="AG683" s="6" t="str">
        <x:v>27.23</x:v>
      </x:c>
      <x:c r="AH683" s="8" t="str">
        <x:v>81.91</x:v>
      </x:c>
      <x:c r="AI683" s="6" t="str">
        <x:v>118.42</x:v>
      </x:c>
      <x:c r="AJ683" s="6" t="str">
        <x:v>0.3873333333333342</x:v>
      </x:c>
      <x:c r="AK683" s="8" t="str">
        <x:v>0.7101907406857545</x:v>
      </x:c>
      <x:c r="AL683" s="6" t="str">
        <x:v>1.61188718394101</x:v>
      </x:c>
      <x:c r="AM683" s="6" t="str">
        <x:v>1.2067621140877345</x:v>
      </x:c>
      <x:c r="AN683" s="6" t="str">
        <x:v>1.1762800129048334</x:v>
      </x:c>
      <x:c r="AO683" s="6" t="str">
        <x:v>3.690999999999988</x:v>
      </x:c>
      <x:c r="AP683" s="8" t="str">
        <x:v>0.6409920763251087</x:v>
      </x:c>
      <x:c r="AQ683" s="6" t="str">
        <x:v>0.4774233206339912</x:v>
      </x:c>
      <x:c r="AR683" s="6" t="str">
        <x:v>0.88895384302919</x:v>
      </x:c>
      <x:c r="AS683" s="6" t="str">
        <x:v>0.6691230799960962</x:v>
      </x:c>
      <x:c r="AT683" s="6" t="str">
        <x:v>-6.368777777777765</x:v>
      </x:c>
      <x:c r="AU683" s="8" t="str">
        <x:v>-0.0881222197378717</x:v>
      </x:c>
      <x:c r="AV683" s="6" t="str">
        <x:v>-0.0976543374888461</x:v>
      </x:c>
      <x:c r="AW683" s="6" t="str">
        <x:v>0.9324212488692712</x:v>
      </x:c>
      <x:c r="AX683" s="6" t="str">
        <x:v>0.2488815638808508</x:v>
      </x:c>
      <x:c r="AY683" s="6" t="str">
        <x:v>0</x:v>
      </x:c>
      <x:c r="AZ683" s="6" t="str">
        <x:v>0</x:v>
      </x:c>
      <x:c r="BA683" s="9" t="str">
        <x:v>grid_cells_within_BIG_polygon</x:v>
      </x:c>
      <x:c r="BB683" s="6" t="str">
        <x:v>3</x:v>
      </x:c>
      <x:c r="BC683" s="6" t="str">
        <x:v>1</x:v>
      </x:c>
      <x:c r="BD683" s="6" t="str">
        <x:v>1</x:v>
      </x:c>
      <x:c r="BE683" s="6" t="str">
        <x:v>1</x:v>
      </x:c>
      <x:c r="BF683" s="6" t="str">
        <x:v>0</x:v>
      </x:c>
      <x:c r="BG683" s="6" t="str">
        <x:v>0</x:v>
      </x:c>
      <x:c r="BH683" s="6" t="str">
        <x:v>0</x:v>
      </x:c>
      <x:c r="BI683" s="6" t="str">
        <x:v>0</x:v>
      </x:c>
      <x:c r="BJ683" s="6" t="str">
        <x:v>0</x:v>
      </x:c>
      <x:c r="BK683" s="6" t="str">
        <x:v>0</x:v>
      </x:c>
      <x:c r="BL683" s="6" t="str">
        <x:v>0</x:v>
      </x:c>
      <x:c r="BM683" s="6" t="str">
        <x:v>0</x:v>
      </x:c>
      <x:c r="BN683" s="6" t="str">
        <x:v>1</x:v>
      </x:c>
      <x:c r="BO683" s="6" t="str">
        <x:v>0.0</x:v>
      </x:c>
      <x:c r="BP683" s="6" t="str">
        <x:v>1</x:v>
      </x:c>
      <x:c r="BQ683" s="6" t="str">
        <x:v>0.0</x:v>
      </x:c>
      <x:c r="BR683" s="6" t="str">
        <x:v>1</x:v>
      </x:c>
      <x:c r="BS683" s="6" t="str">
        <x:v>35.0</x:v>
      </x:c>
      <x:c r="BT683" s="6" t="str">
        <x:v>1</x:v>
      </x:c>
      <x:c r="BU683" s="6" t="str">
        <x:v>176.0</x:v>
      </x:c>
      <x:c r="BV683" s="6" t="str">
        <x:v>1</x:v>
      </x:c>
      <x:c r="BW683" s="9" t="str">
        <x:v>operational_snapshot_annual_totals_may_differ</x:v>
      </x:c>
      <x:c r="BX683" s="9" t="str">
        <x:v>official_live_dashboard_snapshot_subject_to_revision</x:v>
      </x:c>
      <x:c r="BY683" s="9" t="str">
        <x:v>https://tbdashboard.sitb.id/ss_data_tbc03so_2024_provinsi_bulanan_list.php</x:v>
      </x:c>
      <x:c r="BZ683" s="6" t="n">
        <x:v>46246.610671296294</x:v>
      </x:c>
    </x:row>
    <x:row r="684" ht="18" customHeight="1">
      <x:c r="A684" s="6" t="str">
        <x:v>75</x:v>
      </x:c>
      <x:c r="B684" s="6" t="str">
        <x:v>GORONTALO</x:v>
      </x:c>
      <x:c r="C684" s="6" t="str">
        <x:v>2024</x:v>
      </x:c>
      <x:c r="D684" s="6" t="str">
        <x:v>11</x:v>
      </x:c>
      <x:c r="E684" s="6" t="str">
        <x:v>2024-11</x:v>
      </x:c>
      <x:c r="F684" s="6" t="str">
        <x:v>352</x:v>
      </x:c>
      <x:c r="G684" s="6" t="str">
        <x:v>104</x:v>
      </x:c>
      <x:c r="H684" s="6" t="str">
        <x:v>208</x:v>
      </x:c>
      <x:c r="I684" s="6" t="str">
        <x:v>21</x:v>
      </x:c>
      <x:c r="J684" s="6" t="str">
        <x:v>16</x:v>
      </x:c>
      <x:c r="K684" s="6" t="str">
        <x:v>1</x:v>
      </x:c>
      <x:c r="L684" s="6" t="str">
        <x:v>0</x:v>
      </x:c>
      <x:c r="M684" s="6" t="str">
        <x:v>2</x:v>
      </x:c>
      <x:c r="N684" s="6" t="str">
        <x:v>352</x:v>
      </x:c>
      <x:c r="O684" s="6" t="str">
        <x:v>0</x:v>
      </x:c>
      <x:c r="P684" s="10" t="n">
        <x:f>F684-M684</x:f>
        <x:v>350</x:v>
      </x:c>
      <x:c r="Q684" s="11" t="n">
        <x:f>IFERROR(M684/F684,"")</x:f>
        <x:v>0.005681818181818182</x:v>
      </x:c>
      <x:c r="R684" s="10" t="n">
        <x:f>G684+H684</x:f>
        <x:v>312</x:v>
      </x:c>
      <x:c r="S684" s="11" t="n">
        <x:f>IFERROR(R684/F684,"")</x:f>
        <x:v>0.8863636363636364</x:v>
      </x:c>
      <x:c r="T684" s="11" t="n">
        <x:f>IFERROR(R684/P684,"")</x:f>
        <x:v>0.8914285714285715</x:v>
      </x:c>
      <x:c r="U684" s="10" t="n">
        <x:f>I684+J684+K684</x:f>
        <x:v>38</x:v>
      </x:c>
      <x:c r="V684" s="11" t="n">
        <x:f>IFERROR(U684/P684,"")</x:f>
        <x:v>0.10857142857142857</x:v>
      </x:c>
      <x:c r="W684" s="9" t="str">
        <x:v>mature_le_5pct_pending</x:v>
      </x:c>
      <x:c r="X684" s="12" t="n">
        <x:f>IFERROR(F684/Z684*100000,"")</x:f>
        <x:v>28.669164359016126</x:v>
      </x:c>
      <x:c r="Y684" s="13" t="n">
        <x:f>LN(Z684)</x:f>
        <x:v>14.020734507975533</x:v>
      </x:c>
      <x:c r="Z684" s="6" t="str">
        <x:v>1227800</x:v>
      </x:c>
      <x:c r="AA684" s="6" t="str">
        <x:v>102.0</x:v>
      </x:c>
      <x:c r="AB684" s="9" t="str">
        <x:v>2024-06-30</x:v>
      </x:c>
      <x:c r="AC684" s="8" t="str">
        <x:v>82.99</x:v>
      </x:c>
      <x:c r="AD684" s="9" t="str">
        <x:v>2024 (Susenas)</x:v>
      </x:c>
      <x:c r="AE684" s="8" t="str">
        <x:v>14.57</x:v>
      </x:c>
      <x:c r="AF684" s="9" t="str">
        <x:v>Maret 2024 (Susenas)</x:v>
      </x:c>
      <x:c r="AG684" s="6" t="str">
        <x:v>27.37333333333333</x:v>
      </x:c>
      <x:c r="AH684" s="8" t="str">
        <x:v>81.22333333333333</x:v>
      </x:c>
      <x:c r="AI684" s="6" t="str">
        <x:v>142.79999999999998</x:v>
      </x:c>
      <x:c r="AJ684" s="6" t="str">
        <x:v>0.5256666666666661</x:v>
      </x:c>
      <x:c r="AK684" s="8" t="str">
        <x:v>0.9402746620000704</x:v>
      </x:c>
      <x:c r="AL684" s="6" t="str">
        <x:v>0.7101907406857545</x:v>
      </x:c>
      <x:c r="AM684" s="6" t="str">
        <x:v>1.61188718394101</x:v>
      </x:c>
      <x:c r="AN684" s="6" t="str">
        <x:v>1.0874508622089454</x:v>
      </x:c>
      <x:c r="AO684" s="6" t="str">
        <x:v>0.9129999999999968</x:v>
      </x:c>
      <x:c r="AP684" s="8" t="str">
        <x:v>0.2170221175570754</x:v>
      </x:c>
      <x:c r="AQ684" s="6" t="str">
        <x:v>0.6409920763251087</x:v>
      </x:c>
      <x:c r="AR684" s="6" t="str">
        <x:v>0.4774233206339912</x:v>
      </x:c>
      <x:c r="AS684" s="6" t="str">
        <x:v>0.4451458381720581</x:v>
      </x:c>
      <x:c r="AT684" s="6" t="str">
        <x:v>-15.31000000000003</x:v>
      </x:c>
      <x:c r="AU684" s="8" t="str">
        <x:v>-0.2860462627308148</x:v>
      </x:c>
      <x:c r="AV684" s="6" t="str">
        <x:v>-0.0881222197378717</x:v>
      </x:c>
      <x:c r="AW684" s="6" t="str">
        <x:v>-0.0976543374888461</x:v>
      </x:c>
      <x:c r="AX684" s="6" t="str">
        <x:v>-0.1572742733191778</x:v>
      </x:c>
      <x:c r="AY684" s="6" t="str">
        <x:v>0</x:v>
      </x:c>
      <x:c r="AZ684" s="6" t="str">
        <x:v>0</x:v>
      </x:c>
      <x:c r="BA684" s="9" t="str">
        <x:v>grid_cells_within_BIG_polygon</x:v>
      </x:c>
      <x:c r="BB684" s="6" t="str">
        <x:v>3</x:v>
      </x:c>
      <x:c r="BC684" s="6" t="str">
        <x:v>2</x:v>
      </x:c>
      <x:c r="BD684" s="6" t="str">
        <x:v>2</x:v>
      </x:c>
      <x:c r="BE684" s="6" t="str">
        <x:v>1</x:v>
      </x:c>
      <x:c r="BF684" s="6" t="str">
        <x:v>0</x:v>
      </x:c>
      <x:c r="BG684" s="6" t="str">
        <x:v>1</x:v>
      </x:c>
      <x:c r="BH684" s="6" t="str">
        <x:v>0</x:v>
      </x:c>
      <x:c r="BI684" s="6" t="str">
        <x:v>0</x:v>
      </x:c>
      <x:c r="BJ684" s="6" t="str">
        <x:v>0</x:v>
      </x:c>
      <x:c r="BK684" s="6" t="str">
        <x:v>0</x:v>
      </x:c>
      <x:c r="BL684" s="6" t="str">
        <x:v>0</x:v>
      </x:c>
      <x:c r="BM684" s="6" t="str">
        <x:v>0</x:v>
      </x:c>
      <x:c r="BN684" s="6" t="str">
        <x:v>2</x:v>
      </x:c>
      <x:c r="BO684" s="6" t="str">
        <x:v>0.0</x:v>
      </x:c>
      <x:c r="BP684" s="6" t="str">
        <x:v>2</x:v>
      </x:c>
      <x:c r="BQ684" s="6" t="str">
        <x:v>0.0</x:v>
      </x:c>
      <x:c r="BR684" s="6" t="str">
        <x:v>2</x:v>
      </x:c>
      <x:c r="BS684" s="6" t="str">
        <x:v>10.0</x:v>
      </x:c>
      <x:c r="BT684" s="6" t="str">
        <x:v>2</x:v>
      </x:c>
      <x:c r="BU684" s="6" t="str">
        <x:v>24.0</x:v>
      </x:c>
      <x:c r="BV684" s="6" t="str">
        <x:v>1</x:v>
      </x:c>
      <x:c r="BW684" s="9" t="str">
        <x:v>operational_snapshot_annual_totals_may_differ</x:v>
      </x:c>
      <x:c r="BX684" s="9" t="str">
        <x:v>official_live_dashboard_snapshot_subject_to_revision</x:v>
      </x:c>
      <x:c r="BY684" s="9" t="str">
        <x:v>https://tbdashboard.sitb.id/ss_data_tbc03so_2024_provinsi_bulanan_list.php</x:v>
      </x:c>
      <x:c r="BZ684" s="6" t="n">
        <x:v>46246.610671296294</x:v>
      </x:c>
    </x:row>
    <x:row r="685" ht="18" customHeight="1">
      <x:c r="A685" s="6" t="str">
        <x:v>75</x:v>
      </x:c>
      <x:c r="B685" s="6" t="str">
        <x:v>GORONTALO</x:v>
      </x:c>
      <x:c r="C685" s="6" t="str">
        <x:v>2024</x:v>
      </x:c>
      <x:c r="D685" s="6" t="str">
        <x:v>12</x:v>
      </x:c>
      <x:c r="E685" s="6" t="str">
        <x:v>2024-12</x:v>
      </x:c>
      <x:c r="F685" s="6" t="str">
        <x:v>411</x:v>
      </x:c>
      <x:c r="G685" s="6" t="str">
        <x:v>117</x:v>
      </x:c>
      <x:c r="H685" s="6" t="str">
        <x:v>237</x:v>
      </x:c>
      <x:c r="I685" s="6" t="str">
        <x:v>24</x:v>
      </x:c>
      <x:c r="J685" s="6" t="str">
        <x:v>23</x:v>
      </x:c>
      <x:c r="K685" s="6" t="str">
        <x:v>0</x:v>
      </x:c>
      <x:c r="L685" s="6" t="str">
        <x:v>2</x:v>
      </x:c>
      <x:c r="M685" s="6" t="str">
        <x:v>8</x:v>
      </x:c>
      <x:c r="N685" s="6" t="str">
        <x:v>411</x:v>
      </x:c>
      <x:c r="O685" s="6" t="str">
        <x:v>0</x:v>
      </x:c>
      <x:c r="P685" s="10" t="n">
        <x:f>F685-M685</x:f>
        <x:v>403</x:v>
      </x:c>
      <x:c r="Q685" s="11" t="n">
        <x:f>IFERROR(M685/F685,"")</x:f>
        <x:v>0.019464720194647202</x:v>
      </x:c>
      <x:c r="R685" s="10" t="n">
        <x:f>G685+H685</x:f>
        <x:v>354</x:v>
      </x:c>
      <x:c r="S685" s="11" t="n">
        <x:f>IFERROR(R685/F685,"")</x:f>
        <x:v>0.8613138686131386</x:v>
      </x:c>
      <x:c r="T685" s="11" t="n">
        <x:f>IFERROR(R685/P685,"")</x:f>
        <x:v>0.8784119106699751</x:v>
      </x:c>
      <x:c r="U685" s="10" t="n">
        <x:f>I685+J685+K685</x:f>
        <x:v>47</x:v>
      </x:c>
      <x:c r="V685" s="11" t="n">
        <x:f>IFERROR(U685/P685,"")</x:f>
        <x:v>0.11662531017369727</x:v>
      </x:c>
      <x:c r="W685" s="9" t="str">
        <x:v>mature_le_5pct_pending</x:v>
      </x:c>
      <x:c r="X685" s="12" t="n">
        <x:f>IFERROR(F685/Z685*100000,"")</x:f>
        <x:v>33.47450724873758</x:v>
      </x:c>
      <x:c r="Y685" s="13" t="n">
        <x:f>LN(Z685)</x:f>
        <x:v>14.020734507975533</x:v>
      </x:c>
      <x:c r="Z685" s="6" t="str">
        <x:v>1227800</x:v>
      </x:c>
      <x:c r="AA685" s="6" t="str">
        <x:v>102.0</x:v>
      </x:c>
      <x:c r="AB685" s="9" t="str">
        <x:v>2024-06-30</x:v>
      </x:c>
      <x:c r="AC685" s="8" t="str">
        <x:v>82.99</x:v>
      </x:c>
      <x:c r="AD685" s="9" t="str">
        <x:v>2024 (Susenas)</x:v>
      </x:c>
      <x:c r="AE685" s="8" t="str">
        <x:v>14.57</x:v>
      </x:c>
      <x:c r="AF685" s="9" t="str">
        <x:v>Maret 2024 (Susenas)</x:v>
      </x:c>
      <x:c r="AG685" s="6" t="str">
        <x:v>27.07333333333333</x:v>
      </x:c>
      <x:c r="AH685" s="8" t="str">
        <x:v>82.91666666666666</x:v>
      </x:c>
      <x:c r="AI685" s="6" t="str">
        <x:v>196.7466666666666</x:v>
      </x:c>
      <x:c r="AJ685" s="6" t="str">
        <x:v>0.5778888888888858</x:v>
      </x:c>
      <x:c r="AK685" s="8" t="str">
        <x:v>1.0195697876222758</x:v>
      </x:c>
      <x:c r="AL685" s="6" t="str">
        <x:v>0.9402746620000704</x:v>
      </x:c>
      <x:c r="AM685" s="6" t="str">
        <x:v>0.7101907406857545</x:v>
      </x:c>
      <x:c r="AN685" s="6" t="str">
        <x:v>0.8900117301027007</x:v>
      </x:c>
      <x:c r="AO685" s="6" t="str">
        <x:v>0.6286666666666605</x:v>
      </x:c>
      <x:c r="AP685" s="8" t="str">
        <x:v>0.1928224426735269</x:v>
      </x:c>
      <x:c r="AQ685" s="6" t="str">
        <x:v>0.2170221175570754</x:v>
      </x:c>
      <x:c r="AR685" s="6" t="str">
        <x:v>0.6409920763251087</x:v>
      </x:c>
      <x:c r="AS685" s="6" t="str">
        <x:v>0.3502788788519033</x:v>
      </x:c>
      <x:c r="AT685" s="6" t="str">
        <x:v>25.05833333333328</x:v>
      </x:c>
      <x:c r="AU685" s="8" t="str">
        <x:v>0.4257311864374253</x:v>
      </x:c>
      <x:c r="AV685" s="6" t="str">
        <x:v>-0.2860462627308148</x:v>
      </x:c>
      <x:c r="AW685" s="6" t="str">
        <x:v>-0.0881222197378717</x:v>
      </x:c>
      <x:c r="AX685" s="6" t="str">
        <x:v>0.0171875679895793</x:v>
      </x:c>
      <x:c r="AY685" s="6" t="str">
        <x:v>0</x:v>
      </x:c>
      <x:c r="AZ685" s="6" t="str">
        <x:v>1</x:v>
      </x:c>
      <x:c r="BA685" s="9" t="str">
        <x:v>grid_cells_within_BIG_polygon</x:v>
      </x:c>
      <x:c r="BB685" s="6" t="str">
        <x:v>3</x:v>
      </x:c>
      <x:c r="BC685" s="6" t="str">
        <x:v>1</x:v>
      </x:c>
      <x:c r="BD685" s="6" t="str">
        <x:v>1</x:v>
      </x:c>
      <x:c r="BE685" s="6" t="str">
        <x:v>1</x:v>
      </x:c>
      <x:c r="BF685" s="6" t="str">
        <x:v>0</x:v>
      </x:c>
      <x:c r="BG685" s="6" t="str">
        <x:v>0</x:v>
      </x:c>
      <x:c r="BH685" s="6" t="str">
        <x:v>0</x:v>
      </x:c>
      <x:c r="BI685" s="6" t="str">
        <x:v>0</x:v>
      </x:c>
      <x:c r="BJ685" s="6" t="str">
        <x:v>0</x:v>
      </x:c>
      <x:c r="BK685" s="6" t="str">
        <x:v>0</x:v>
      </x:c>
      <x:c r="BL685" s="6" t="str">
        <x:v>0</x:v>
      </x:c>
      <x:c r="BM685" s="6" t="str">
        <x:v>0</x:v>
      </x:c>
      <x:c r="BN685" s="6" t="str">
        <x:v>1</x:v>
      </x:c>
      <x:c r="BO685" s="6" t="str">
        <x:v>0.0</x:v>
      </x:c>
      <x:c r="BP685" s="6" t="str">
        <x:v>1</x:v>
      </x:c>
      <x:c r="BQ685" s="6" t="str">
        <x:v>0.0</x:v>
      </x:c>
      <x:c r="BR685" s="6" t="str">
        <x:v>1</x:v>
      </x:c>
      <x:c r="BS685" s="6" t="str">
        <x:v>0.0</x:v>
      </x:c>
      <x:c r="BT685" s="6" t="str">
        <x:v>1</x:v>
      </x:c>
      <x:c r="BU685" s="6" t="str">
        <x:v>1431.0</x:v>
      </x:c>
      <x:c r="BV685" s="6" t="str">
        <x:v>1</x:v>
      </x:c>
      <x:c r="BW685" s="9" t="str">
        <x:v>operational_snapshot_annual_totals_may_differ</x:v>
      </x:c>
      <x:c r="BX685" s="9" t="str">
        <x:v>official_live_dashboard_snapshot_subject_to_revision</x:v>
      </x:c>
      <x:c r="BY685" s="9" t="str">
        <x:v>https://tbdashboard.sitb.id/ss_data_tbc03so_2024_provinsi_bulanan_list.php</x:v>
      </x:c>
      <x:c r="BZ685" s="6" t="n">
        <x:v>46246.610671296294</x:v>
      </x:c>
    </x:row>
    <x:row r="686" ht="18" customHeight="1">
      <x:c r="A686" s="6" t="str">
        <x:v>75</x:v>
      </x:c>
      <x:c r="B686" s="6" t="str">
        <x:v>GORONTALO</x:v>
      </x:c>
      <x:c r="C686" s="6" t="str">
        <x:v>2025</x:v>
      </x:c>
      <x:c r="D686" s="6" t="str">
        <x:v>1</x:v>
      </x:c>
      <x:c r="E686" s="6" t="str">
        <x:v>2025-01</x:v>
      </x:c>
      <x:c r="F686" s="6" t="str">
        <x:v>396</x:v>
      </x:c>
      <x:c r="G686" s="6" t="str">
        <x:v>138</x:v>
      </x:c>
      <x:c r="H686" s="6" t="str">
        <x:v>204</x:v>
      </x:c>
      <x:c r="I686" s="6" t="str">
        <x:v>21</x:v>
      </x:c>
      <x:c r="J686" s="6" t="str">
        <x:v>17</x:v>
      </x:c>
      <x:c r="K686" s="6" t="str">
        <x:v>0</x:v>
      </x:c>
      <x:c r="L686" s="6" t="str">
        <x:v>0</x:v>
      </x:c>
      <x:c r="M686" s="6" t="str">
        <x:v>16</x:v>
      </x:c>
      <x:c r="N686" s="6" t="str">
        <x:v>396</x:v>
      </x:c>
      <x:c r="O686" s="6" t="str">
        <x:v>0</x:v>
      </x:c>
      <x:c r="P686" s="10" t="n">
        <x:f>F686-M686</x:f>
        <x:v>380</x:v>
      </x:c>
      <x:c r="Q686" s="11" t="n">
        <x:f>IFERROR(M686/F686,"")</x:f>
        <x:v>0.04040404040404041</x:v>
      </x:c>
      <x:c r="R686" s="10" t="n">
        <x:f>G686+H686</x:f>
        <x:v>342</x:v>
      </x:c>
      <x:c r="S686" s="11" t="n">
        <x:f>IFERROR(R686/F686,"")</x:f>
        <x:v>0.8636363636363636</x:v>
      </x:c>
      <x:c r="T686" s="11" t="n">
        <x:f>IFERROR(R686/P686,"")</x:f>
        <x:v>0.9</x:v>
      </x:c>
      <x:c r="U686" s="10" t="n">
        <x:f>I686+J686+K686</x:f>
        <x:v>38</x:v>
      </x:c>
      <x:c r="V686" s="11" t="n">
        <x:f>IFERROR(U686/P686,"")</x:f>
        <x:v>0.1</x:v>
      </x:c>
      <x:c r="W686" s="9" t="str">
        <x:v>mature_le_5pct_pending</x:v>
      </x:c>
      <x:c r="X686" s="12" t="n">
        <x:f>IFERROR(F686/Z686*100000,"")</x:f>
        <x:v>31.878924488810174</x:v>
      </x:c>
      <x:c r="Y686" s="13" t="n">
        <x:f>LN(Z686)</x:f>
        <x:v>14.03239455910734</x:v>
      </x:c>
      <x:c r="Z686" s="6" t="str">
        <x:v>1242200</x:v>
      </x:c>
      <x:c r="AA686" s="6" t="str">
        <x:v>103.0</x:v>
      </x:c>
      <x:c r="AB686" s="9" t="str">
        <x:v>2025-06-30</x:v>
      </x:c>
      <x:c r="AC686" s="8" t="str">
        <x:v>84.7</x:v>
      </x:c>
      <x:c r="AD686" s="9" t="str">
        <x:v>2025 (Susenas)</x:v>
      </x:c>
      <x:c r="AE686" s="8" t="str">
        <x:v>13.24</x:v>
      </x:c>
      <x:c r="AF686" s="9" t="str">
        <x:v>Maret 2025 (Susenas)</x:v>
      </x:c>
      <x:c r="AG686" s="6" t="str">
        <x:v>26.36666666666667</x:v>
      </x:c>
      <x:c r="AH686" s="8" t="str">
        <x:v>84.73333333333333</x:v>
      </x:c>
      <x:c r="AI686" s="6" t="str">
        <x:v>295.3266666666667</x:v>
      </x:c>
      <x:c r="AJ686" s="6" t="str">
        <x:v>0.1825555555555595</x:v>
      </x:c>
      <x:c r="AK686" s="8" t="str">
        <x:v>0.309539832152036</x:v>
      </x:c>
      <x:c r="AL686" s="6" t="str">
        <x:v>1.0195697876222758</x:v>
      </x:c>
      <x:c r="AM686" s="6" t="str">
        <x:v>0.9402746620000704</x:v>
      </x:c>
      <x:c r="AN686" s="6" t="str">
        <x:v>0.7564614272581279</x:v>
      </x:c>
      <x:c r="AO686" s="6" t="str">
        <x:v>2.2218888888888984</x:v>
      </x:c>
      <x:c r="AP686" s="8" t="str">
        <x:v>0.5832599051249181</x:v>
      </x:c>
      <x:c r="AQ686" s="6" t="str">
        <x:v>0.1928224426735269</x:v>
      </x:c>
      <x:c r="AR686" s="6" t="str">
        <x:v>0.2170221175570754</x:v>
      </x:c>
      <x:c r="AS686" s="6" t="str">
        <x:v>0.3310348217851731</x:v>
      </x:c>
      <x:c r="AT686" s="6" t="str">
        <x:v>124.86455555555564</x:v>
      </x:c>
      <x:c r="AU686" s="8" t="str">
        <x:v>2.279102266053066</x:v>
      </x:c>
      <x:c r="AV686" s="6" t="str">
        <x:v>0.4257311864374253</x:v>
      </x:c>
      <x:c r="AW686" s="6" t="str">
        <x:v>-0.2860462627308148</x:v>
      </x:c>
      <x:c r="AX686" s="6" t="str">
        <x:v>0.8062623965865585</x:v>
      </x:c>
      <x:c r="AY686" s="6" t="str">
        <x:v>1</x:v>
      </x:c>
      <x:c r="AZ686" s="6" t="str">
        <x:v>0</x:v>
      </x:c>
      <x:c r="BA686" s="9" t="str">
        <x:v>grid_cells_within_BIG_polygon</x:v>
      </x:c>
      <x:c r="BB686" s="6" t="str">
        <x:v>3</x:v>
      </x:c>
      <x:c r="BC686" s="6" t="str">
        <x:v>13</x:v>
      </x:c>
      <x:c r="BD686" s="6" t="str">
        <x:v>13</x:v>
      </x:c>
      <x:c r="BE686" s="6" t="str">
        <x:v>13</x:v>
      </x:c>
      <x:c r="BF686" s="6" t="str">
        <x:v>0</x:v>
      </x:c>
      <x:c r="BG686" s="6" t="str">
        <x:v>0</x:v>
      </x:c>
      <x:c r="BH686" s="6" t="str">
        <x:v>0</x:v>
      </x:c>
      <x:c r="BI686" s="6" t="str">
        <x:v>0</x:v>
      </x:c>
      <x:c r="BJ686" s="6" t="str">
        <x:v>0</x:v>
      </x:c>
      <x:c r="BK686" s="6" t="str">
        <x:v>0</x:v>
      </x:c>
      <x:c r="BL686" s="6" t="str">
        <x:v>0</x:v>
      </x:c>
      <x:c r="BM686" s="6" t="str">
        <x:v>0</x:v>
      </x:c>
      <x:c r="BN686" s="6" t="str">
        <x:v>13</x:v>
      </x:c>
      <x:c r="BO686" s="6" t="str">
        <x:v>0.0</x:v>
      </x:c>
      <x:c r="BP686" s="6" t="str">
        <x:v>13</x:v>
      </x:c>
      <x:c r="BQ686" s="6" t="str">
        <x:v>0.0</x:v>
      </x:c>
      <x:c r="BR686" s="6" t="str">
        <x:v>13</x:v>
      </x:c>
      <x:c r="BS686" s="6" t="str">
        <x:v>2.0</x:v>
      </x:c>
      <x:c r="BT686" s="6" t="str">
        <x:v>13</x:v>
      </x:c>
      <x:c r="BU686" s="6" t="str">
        <x:v>3397.0</x:v>
      </x:c>
      <x:c r="BV686" s="6" t="str">
        <x:v>13</x:v>
      </x:c>
      <x:c r="BW686" s="9" t="str">
        <x:v>operational_snapshot_annual_totals_may_differ</x:v>
      </x:c>
      <x:c r="BX686" s="9" t="str">
        <x:v>official_live_dashboard_snapshot_subject_to_revision</x:v>
      </x:c>
      <x:c r="BY686" s="9" t="str">
        <x:v>https://tbdashboard.sitb.id/ss_data_tbc03so_2025_provinsi_bulanan_list.php</x:v>
      </x:c>
      <x:c r="BZ686" s="6" t="n">
        <x:v>46246.610671296294</x:v>
      </x:c>
    </x:row>
    <x:row r="687" ht="18" customHeight="1">
      <x:c r="A687" s="6" t="str">
        <x:v>75</x:v>
      </x:c>
      <x:c r="B687" s="6" t="str">
        <x:v>GORONTALO</x:v>
      </x:c>
      <x:c r="C687" s="6" t="str">
        <x:v>2025</x:v>
      </x:c>
      <x:c r="D687" s="6" t="str">
        <x:v>2</x:v>
      </x:c>
      <x:c r="E687" s="6" t="str">
        <x:v>2025-02</x:v>
      </x:c>
      <x:c r="F687" s="6" t="str">
        <x:v>419</x:v>
      </x:c>
      <x:c r="G687" s="6" t="str">
        <x:v>141</x:v>
      </x:c>
      <x:c r="H687" s="6" t="str">
        <x:v>210</x:v>
      </x:c>
      <x:c r="I687" s="6" t="str">
        <x:v>32</x:v>
      </x:c>
      <x:c r="J687" s="6" t="str">
        <x:v>23</x:v>
      </x:c>
      <x:c r="K687" s="6" t="str">
        <x:v>0</x:v>
      </x:c>
      <x:c r="L687" s="6" t="str">
        <x:v>0</x:v>
      </x:c>
      <x:c r="M687" s="6" t="str">
        <x:v>13</x:v>
      </x:c>
      <x:c r="N687" s="6" t="str">
        <x:v>419</x:v>
      </x:c>
      <x:c r="O687" s="6" t="str">
        <x:v>0</x:v>
      </x:c>
      <x:c r="P687" s="10" t="n">
        <x:f>F687-M687</x:f>
        <x:v>406</x:v>
      </x:c>
      <x:c r="Q687" s="11" t="n">
        <x:f>IFERROR(M687/F687,"")</x:f>
        <x:v>0.031026252983293555</x:v>
      </x:c>
      <x:c r="R687" s="10" t="n">
        <x:f>G687+H687</x:f>
        <x:v>351</x:v>
      </x:c>
      <x:c r="S687" s="11" t="n">
        <x:f>IFERROR(R687/F687,"")</x:f>
        <x:v>0.837708830548926</x:v>
      </x:c>
      <x:c r="T687" s="11" t="n">
        <x:f>IFERROR(R687/P687,"")</x:f>
        <x:v>0.8645320197044335</x:v>
      </x:c>
      <x:c r="U687" s="10" t="n">
        <x:f>I687+J687+K687</x:f>
        <x:v>55</x:v>
      </x:c>
      <x:c r="V687" s="11" t="n">
        <x:f>IFERROR(U687/P687,"")</x:f>
        <x:v>0.1354679802955665</x:v>
      </x:c>
      <x:c r="W687" s="9" t="str">
        <x:v>mature_le_5pct_pending</x:v>
      </x:c>
      <x:c r="X687" s="12" t="n">
        <x:f>IFERROR(F687/Z687*100000,"")</x:f>
        <x:v>33.73047818386733</x:v>
      </x:c>
      <x:c r="Y687" s="13" t="n">
        <x:f>LN(Z687)</x:f>
        <x:v>14.03239455910734</x:v>
      </x:c>
      <x:c r="Z687" s="6" t="str">
        <x:v>1242200</x:v>
      </x:c>
      <x:c r="AA687" s="6" t="str">
        <x:v>103.0</x:v>
      </x:c>
      <x:c r="AB687" s="9" t="str">
        <x:v>2025-06-30</x:v>
      </x:c>
      <x:c r="AC687" s="8" t="str">
        <x:v>84.7</x:v>
      </x:c>
      <x:c r="AD687" s="9" t="str">
        <x:v>2025 (Susenas)</x:v>
      </x:c>
      <x:c r="AE687" s="8" t="str">
        <x:v>13.24</x:v>
      </x:c>
      <x:c r="AF687" s="9" t="str">
        <x:v>Maret 2025 (Susenas)</x:v>
      </x:c>
      <x:c r="AG687" s="6" t="str">
        <x:v>26.179999999999996</x:v>
      </x:c>
      <x:c r="AH687" s="8" t="str">
        <x:v>83.96000000000001</x:v>
      </x:c>
      <x:c r="AI687" s="6" t="str">
        <x:v>234.64</x:v>
      </x:c>
      <x:c r="AJ687" s="6" t="str">
        <x:v>-0.0215555555555617</x:v>
      </x:c>
      <x:c r="AK687" s="8" t="str">
        <x:v>-0.0322675929563802</x:v>
      </x:c>
      <x:c r="AL687" s="6" t="str">
        <x:v>0.309539832152036</x:v>
      </x:c>
      <x:c r="AM687" s="6" t="str">
        <x:v>1.0195697876222758</x:v>
      </x:c>
      <x:c r="AN687" s="6" t="str">
        <x:v>0.4322806756059776</x:v>
      </x:c>
      <x:c r="AO687" s="6" t="str">
        <x:v>2.0671111111111315</x:v>
      </x:c>
      <x:c r="AP687" s="8" t="str">
        <x:v>0.4512939744797658</x:v>
      </x:c>
      <x:c r="AQ687" s="6" t="str">
        <x:v>0.5832599051249181</x:v>
      </x:c>
      <x:c r="AR687" s="6" t="str">
        <x:v>0.1928224426735269</x:v>
      </x:c>
      <x:c r="AS687" s="6" t="str">
        <x:v>0.4091254407594033</x:v>
      </x:c>
      <x:c r="AT687" s="6" t="str">
        <x:v>98.2052222222222</x:v>
      </x:c>
      <x:c r="AU687" s="8" t="str">
        <x:v>1.5303236314913078</x:v>
      </x:c>
      <x:c r="AV687" s="6" t="str">
        <x:v>2.279102266053066</x:v>
      </x:c>
      <x:c r="AW687" s="6" t="str">
        <x:v>0.4257311864374253</x:v>
      </x:c>
      <x:c r="AX687" s="6" t="str">
        <x:v>1.411719027993933</x:v>
      </x:c>
      <x:c r="AY687" s="6" t="str">
        <x:v>1</x:v>
      </x:c>
      <x:c r="AZ687" s="6" t="str">
        <x:v>0</x:v>
      </x:c>
      <x:c r="BA687" s="9" t="str">
        <x:v>grid_cells_within_BIG_polygon</x:v>
      </x:c>
      <x:c r="BB687" s="6" t="str">
        <x:v>3</x:v>
      </x:c>
      <x:c r="BC687" s="6" t="str">
        <x:v>2</x:v>
      </x:c>
      <x:c r="BD687" s="6" t="str">
        <x:v>2</x:v>
      </x:c>
      <x:c r="BE687" s="6" t="str">
        <x:v>2</x:v>
      </x:c>
      <x:c r="BF687" s="6" t="str">
        <x:v>0</x:v>
      </x:c>
      <x:c r="BG687" s="6" t="str">
        <x:v>0</x:v>
      </x:c>
      <x:c r="BH687" s="6" t="str">
        <x:v>0</x:v>
      </x:c>
      <x:c r="BI687" s="6" t="str">
        <x:v>0</x:v>
      </x:c>
      <x:c r="BJ687" s="6" t="str">
        <x:v>0</x:v>
      </x:c>
      <x:c r="BK687" s="6" t="str">
        <x:v>0</x:v>
      </x:c>
      <x:c r="BL687" s="6" t="str">
        <x:v>0</x:v>
      </x:c>
      <x:c r="BM687" s="6" t="str">
        <x:v>0</x:v>
      </x:c>
      <x:c r="BN687" s="6" t="str">
        <x:v>2</x:v>
      </x:c>
      <x:c r="BO687" s="6" t="str">
        <x:v>0.0</x:v>
      </x:c>
      <x:c r="BP687" s="6" t="str">
        <x:v>2</x:v>
      </x:c>
      <x:c r="BQ687" s="6" t="str">
        <x:v>0.0</x:v>
      </x:c>
      <x:c r="BR687" s="6" t="str">
        <x:v>2</x:v>
      </x:c>
      <x:c r="BS687" s="6" t="str">
        <x:v>0.0</x:v>
      </x:c>
      <x:c r="BT687" s="6" t="str">
        <x:v>2</x:v>
      </x:c>
      <x:c r="BU687" s="6" t="str">
        <x:v>121.0</x:v>
      </x:c>
      <x:c r="BV687" s="6" t="str">
        <x:v>2</x:v>
      </x:c>
      <x:c r="BW687" s="9" t="str">
        <x:v>operational_snapshot_annual_totals_may_differ</x:v>
      </x:c>
      <x:c r="BX687" s="9" t="str">
        <x:v>official_live_dashboard_snapshot_subject_to_revision</x:v>
      </x:c>
      <x:c r="BY687" s="9" t="str">
        <x:v>https://tbdashboard.sitb.id/ss_data_tbc03so_2025_provinsi_bulanan_list.php</x:v>
      </x:c>
      <x:c r="BZ687" s="6" t="n">
        <x:v>46246.610671296294</x:v>
      </x:c>
    </x:row>
    <x:row r="688" ht="18" customHeight="1">
      <x:c r="A688" s="6" t="str">
        <x:v>75</x:v>
      </x:c>
      <x:c r="B688" s="6" t="str">
        <x:v>GORONTALO</x:v>
      </x:c>
      <x:c r="C688" s="6" t="str">
        <x:v>2025</x:v>
      </x:c>
      <x:c r="D688" s="6" t="str">
        <x:v>3</x:v>
      </x:c>
      <x:c r="E688" s="6" t="str">
        <x:v>2025-03</x:v>
      </x:c>
      <x:c r="F688" s="6" t="str">
        <x:v>382</x:v>
      </x:c>
      <x:c r="G688" s="6" t="str">
        <x:v>108</x:v>
      </x:c>
      <x:c r="H688" s="6" t="str">
        <x:v>225</x:v>
      </x:c>
      <x:c r="I688" s="6" t="str">
        <x:v>18</x:v>
      </x:c>
      <x:c r="J688" s="6" t="str">
        <x:v>15</x:v>
      </x:c>
      <x:c r="K688" s="6" t="str">
        <x:v>0</x:v>
      </x:c>
      <x:c r="L688" s="6" t="str">
        <x:v>0</x:v>
      </x:c>
      <x:c r="M688" s="6" t="str">
        <x:v>16</x:v>
      </x:c>
      <x:c r="N688" s="6" t="str">
        <x:v>382</x:v>
      </x:c>
      <x:c r="O688" s="6" t="str">
        <x:v>0</x:v>
      </x:c>
      <x:c r="P688" s="10" t="n">
        <x:f>F688-M688</x:f>
        <x:v>366</x:v>
      </x:c>
      <x:c r="Q688" s="11" t="n">
        <x:f>IFERROR(M688/F688,"")</x:f>
        <x:v>0.041884816753926704</x:v>
      </x:c>
      <x:c r="R688" s="10" t="n">
        <x:f>G688+H688</x:f>
        <x:v>333</x:v>
      </x:c>
      <x:c r="S688" s="11" t="n">
        <x:f>IFERROR(R688/F688,"")</x:f>
        <x:v>0.8717277486910995</x:v>
      </x:c>
      <x:c r="T688" s="11" t="n">
        <x:f>IFERROR(R688/P688,"")</x:f>
        <x:v>0.9098360655737705</x:v>
      </x:c>
      <x:c r="U688" s="10" t="n">
        <x:f>I688+J688+K688</x:f>
        <x:v>33</x:v>
      </x:c>
      <x:c r="V688" s="11" t="n">
        <x:f>IFERROR(U688/P688,"")</x:f>
        <x:v>0.09016393442622951</x:v>
      </x:c>
      <x:c r="W688" s="9" t="str">
        <x:v>mature_le_5pct_pending</x:v>
      </x:c>
      <x:c r="X688" s="12" t="n">
        <x:f>IFERROR(F688/Z688*100000,"")</x:f>
        <x:v>30.75189180486234</x:v>
      </x:c>
      <x:c r="Y688" s="13" t="n">
        <x:f>LN(Z688)</x:f>
        <x:v>14.03239455910734</x:v>
      </x:c>
      <x:c r="Z688" s="6" t="str">
        <x:v>1242200</x:v>
      </x:c>
      <x:c r="AA688" s="6" t="str">
        <x:v>103.0</x:v>
      </x:c>
      <x:c r="AB688" s="9" t="str">
        <x:v>2025-06-30</x:v>
      </x:c>
      <x:c r="AC688" s="8" t="str">
        <x:v>84.7</x:v>
      </x:c>
      <x:c r="AD688" s="9" t="str">
        <x:v>2025 (Susenas)</x:v>
      </x:c>
      <x:c r="AE688" s="8" t="str">
        <x:v>13.24</x:v>
      </x:c>
      <x:c r="AF688" s="9" t="str">
        <x:v>Maret 2025 (Susenas)</x:v>
      </x:c>
      <x:c r="AG688" s="6" t="str">
        <x:v>26.55</x:v>
      </x:c>
      <x:c r="AH688" s="8" t="str">
        <x:v>84.00666666666666</x:v>
      </x:c>
      <x:c r="AI688" s="6" t="str">
        <x:v>310.62</x:v>
      </x:c>
      <x:c r="AJ688" s="6" t="str">
        <x:v>0.0303333333333384</x:v>
      </x:c>
      <x:c r="AK688" s="8" t="str">
        <x:v>0.0412796874458365</x:v>
      </x:c>
      <x:c r="AL688" s="6" t="str">
        <x:v>-0.0322675929563802</x:v>
      </x:c>
      <x:c r="AM688" s="6" t="str">
        <x:v>0.309539832152036</x:v>
      </x:c>
      <x:c r="AN688" s="6" t="str">
        <x:v>0.1061839755471645</x:v>
      </x:c>
      <x:c r="AO688" s="6" t="str">
        <x:v>3.2266666666666595</x:v>
      </x:c>
      <x:c r="AP688" s="8" t="str">
        <x:v>0.6356672724969964</x:v>
      </x:c>
      <x:c r="AQ688" s="6" t="str">
        <x:v>0.4512939744797658</x:v>
      </x:c>
      <x:c r="AR688" s="6" t="str">
        <x:v>0.5832599051249181</x:v>
      </x:c>
      <x:c r="AS688" s="6" t="str">
        <x:v>0.556740384033893</x:v>
      </x:c>
      <x:c r="AT688" s="6" t="str">
        <x:v>148.70355555555557</x:v>
      </x:c>
      <x:c r="AU688" s="8" t="str">
        <x:v>2.118989151891669</x:v>
      </x:c>
      <x:c r="AV688" s="6" t="str">
        <x:v>1.5303236314913078</x:v>
      </x:c>
      <x:c r="AW688" s="6" t="str">
        <x:v>2.279102266053066</x:v>
      </x:c>
      <x:c r="AX688" s="6" t="str">
        <x:v>1.976138349812014</x:v>
      </x:c>
      <x:c r="AY688" s="6" t="str">
        <x:v>1</x:v>
      </x:c>
      <x:c r="AZ688" s="6" t="str">
        <x:v>0</x:v>
      </x:c>
      <x:c r="BA688" s="9" t="str">
        <x:v>grid_cells_within_BIG_polygon</x:v>
      </x:c>
      <x:c r="BB688" s="6" t="str">
        <x:v>3</x:v>
      </x:c>
      <x:c r="BC688" s="6" t="str">
        <x:v>7</x:v>
      </x:c>
      <x:c r="BD688" s="6" t="str">
        <x:v>7</x:v>
      </x:c>
      <x:c r="BE688" s="6" t="str">
        <x:v>7</x:v>
      </x:c>
      <x:c r="BF688" s="6" t="str">
        <x:v>0</x:v>
      </x:c>
      <x:c r="BG688" s="6" t="str">
        <x:v>0</x:v>
      </x:c>
      <x:c r="BH688" s="6" t="str">
        <x:v>0</x:v>
      </x:c>
      <x:c r="BI688" s="6" t="str">
        <x:v>0</x:v>
      </x:c>
      <x:c r="BJ688" s="6" t="str">
        <x:v>0</x:v>
      </x:c>
      <x:c r="BK688" s="6" t="str">
        <x:v>0</x:v>
      </x:c>
      <x:c r="BL688" s="6" t="str">
        <x:v>0</x:v>
      </x:c>
      <x:c r="BM688" s="6" t="str">
        <x:v>0</x:v>
      </x:c>
      <x:c r="BN688" s="6" t="str">
        <x:v>7</x:v>
      </x:c>
      <x:c r="BO688" s="6" t="str">
        <x:v>0.0</x:v>
      </x:c>
      <x:c r="BP688" s="6" t="str">
        <x:v>7</x:v>
      </x:c>
      <x:c r="BQ688" s="6" t="str">
        <x:v>0.0</x:v>
      </x:c>
      <x:c r="BR688" s="6" t="str">
        <x:v>7</x:v>
      </x:c>
      <x:c r="BS688" s="6" t="str">
        <x:v>13.0</x:v>
      </x:c>
      <x:c r="BT688" s="6" t="str">
        <x:v>7</x:v>
      </x:c>
      <x:c r="BU688" s="6" t="str">
        <x:v>1452.0</x:v>
      </x:c>
      <x:c r="BV688" s="6" t="str">
        <x:v>7</x:v>
      </x:c>
      <x:c r="BW688" s="9" t="str">
        <x:v>operational_snapshot_annual_totals_may_differ</x:v>
      </x:c>
      <x:c r="BX688" s="9" t="str">
        <x:v>official_live_dashboard_snapshot_subject_to_revision</x:v>
      </x:c>
      <x:c r="BY688" s="9" t="str">
        <x:v>https://tbdashboard.sitb.id/ss_data_tbc03so_2025_provinsi_bulanan_list.php</x:v>
      </x:c>
      <x:c r="BZ688" s="6" t="n">
        <x:v>46246.610671296294</x:v>
      </x:c>
    </x:row>
    <x:row r="689" ht="18" customHeight="1">
      <x:c r="A689" s="6" t="str">
        <x:v>75</x:v>
      </x:c>
      <x:c r="B689" s="6" t="str">
        <x:v>GORONTALO</x:v>
      </x:c>
      <x:c r="C689" s="6" t="str">
        <x:v>2025</x:v>
      </x:c>
      <x:c r="D689" s="6" t="str">
        <x:v>4</x:v>
      </x:c>
      <x:c r="E689" s="6" t="str">
        <x:v>2025-04</x:v>
      </x:c>
      <x:c r="F689" s="6" t="str">
        <x:v>362</x:v>
      </x:c>
      <x:c r="G689" s="6" t="str">
        <x:v>109</x:v>
      </x:c>
      <x:c r="H689" s="6" t="str">
        <x:v>197</x:v>
      </x:c>
      <x:c r="I689" s="6" t="str">
        <x:v>19</x:v>
      </x:c>
      <x:c r="J689" s="6" t="str">
        <x:v>22</x:v>
      </x:c>
      <x:c r="K689" s="6" t="str">
        <x:v>0</x:v>
      </x:c>
      <x:c r="L689" s="6" t="str">
        <x:v>0</x:v>
      </x:c>
      <x:c r="M689" s="6" t="str">
        <x:v>15</x:v>
      </x:c>
      <x:c r="N689" s="6" t="str">
        <x:v>362</x:v>
      </x:c>
      <x:c r="O689" s="6" t="str">
        <x:v>0</x:v>
      </x:c>
      <x:c r="P689" s="10" t="n">
        <x:f>F689-M689</x:f>
        <x:v>347</x:v>
      </x:c>
      <x:c r="Q689" s="11" t="n">
        <x:f>IFERROR(M689/F689,"")</x:f>
        <x:v>0.04143646408839779</x:v>
      </x:c>
      <x:c r="R689" s="10" t="n">
        <x:f>G689+H689</x:f>
        <x:v>306</x:v>
      </x:c>
      <x:c r="S689" s="11" t="n">
        <x:f>IFERROR(R689/F689,"")</x:f>
        <x:v>0.8453038674033149</x:v>
      </x:c>
      <x:c r="T689" s="11" t="n">
        <x:f>IFERROR(R689/P689,"")</x:f>
        <x:v>0.8818443804034583</x:v>
      </x:c>
      <x:c r="U689" s="10" t="n">
        <x:f>I689+J689+K689</x:f>
        <x:v>41</x:v>
      </x:c>
      <x:c r="V689" s="11" t="n">
        <x:f>IFERROR(U689/P689,"")</x:f>
        <x:v>0.11815561959654179</x:v>
      </x:c>
      <x:c r="W689" s="9" t="str">
        <x:v>mature_le_5pct_pending</x:v>
      </x:c>
      <x:c r="X689" s="12" t="n">
        <x:f>IFERROR(F689/Z689*100000,"")</x:f>
        <x:v>29.14184511350829</x:v>
      </x:c>
      <x:c r="Y689" s="13" t="n">
        <x:f>LN(Z689)</x:f>
        <x:v>14.03239455910734</x:v>
      </x:c>
      <x:c r="Z689" s="6" t="str">
        <x:v>1242200</x:v>
      </x:c>
      <x:c r="AA689" s="6" t="str">
        <x:v>103.0</x:v>
      </x:c>
      <x:c r="AB689" s="9" t="str">
        <x:v>2025-06-30</x:v>
      </x:c>
      <x:c r="AC689" s="8" t="str">
        <x:v>84.7</x:v>
      </x:c>
      <x:c r="AD689" s="9" t="str">
        <x:v>2025 (Susenas)</x:v>
      </x:c>
      <x:c r="AE689" s="8" t="str">
        <x:v>13.24</x:v>
      </x:c>
      <x:c r="AF689" s="9" t="str">
        <x:v>Maret 2025 (Susenas)</x:v>
      </x:c>
      <x:c r="AG689" s="6" t="str">
        <x:v>26.68</x:v>
      </x:c>
      <x:c r="AH689" s="8" t="str">
        <x:v>82.34333333333332</x:v>
      </x:c>
      <x:c r="AI689" s="6" t="str">
        <x:v>280.29999999999995</x:v>
      </x:c>
      <x:c r="AJ689" s="6" t="str">
        <x:v>-0.0835555555555593</x:v>
      </x:c>
      <x:c r="AK689" s="8" t="str">
        <x:v>-0.1245531393541353</x:v>
      </x:c>
      <x:c r="AL689" s="6" t="str">
        <x:v>0.0412796874458365</x:v>
      </x:c>
      <x:c r="AM689" s="6" t="str">
        <x:v>-0.0322675929563802</x:v>
      </x:c>
      <x:c r="AN689" s="6" t="str">
        <x:v>-0.0385136816215592</x:v>
      </x:c>
      <x:c r="AO689" s="6" t="str">
        <x:v>0.8677777777777749</x:v>
      </x:c>
      <x:c r="AP689" s="8" t="str">
        <x:v>0.2059274319056535</x:v>
      </x:c>
      <x:c r="AQ689" s="6" t="str">
        <x:v>0.6356672724969964</x:v>
      </x:c>
      <x:c r="AR689" s="6" t="str">
        <x:v>0.4512939744797658</x:v>
      </x:c>
      <x:c r="AS689" s="6" t="str">
        <x:v>0.4309628929608049</x:v>
      </x:c>
      <x:c r="AT689" s="6" t="str">
        <x:v>110.36666666666662</x:v>
      </x:c>
      <x:c r="AU689" s="8" t="str">
        <x:v>2.1558226197746357</x:v>
      </x:c>
      <x:c r="AV689" s="6" t="str">
        <x:v>2.118989151891669</x:v>
      </x:c>
      <x:c r="AW689" s="6" t="str">
        <x:v>1.5303236314913078</x:v>
      </x:c>
      <x:c r="AX689" s="6" t="str">
        <x:v>1.9350451343858708</x:v>
      </x:c>
      <x:c r="AY689" s="6" t="str">
        <x:v>1</x:v>
      </x:c>
      <x:c r="AZ689" s="6" t="str">
        <x:v>0</x:v>
      </x:c>
      <x:c r="BA689" s="9" t="str">
        <x:v>grid_cells_within_BIG_polygon</x:v>
      </x:c>
      <x:c r="BB689" s="6" t="str">
        <x:v>3</x:v>
      </x:c>
      <x:c r="BC689" s="6" t="str">
        <x:v>3</x:v>
      </x:c>
      <x:c r="BD689" s="6" t="str">
        <x:v>3</x:v>
      </x:c>
      <x:c r="BE689" s="6" t="str">
        <x:v>3</x:v>
      </x:c>
      <x:c r="BF689" s="6" t="str">
        <x:v>0</x:v>
      </x:c>
      <x:c r="BG689" s="6" t="str">
        <x:v>0</x:v>
      </x:c>
      <x:c r="BH689" s="6" t="str">
        <x:v>0</x:v>
      </x:c>
      <x:c r="BI689" s="6" t="str">
        <x:v>0</x:v>
      </x:c>
      <x:c r="BJ689" s="6" t="str">
        <x:v>0</x:v>
      </x:c>
      <x:c r="BK689" s="6" t="str">
        <x:v>0</x:v>
      </x:c>
      <x:c r="BL689" s="6" t="str">
        <x:v>0</x:v>
      </x:c>
      <x:c r="BM689" s="6" t="str">
        <x:v>0</x:v>
      </x:c>
      <x:c r="BN689" s="6" t="str">
        <x:v>3</x:v>
      </x:c>
      <x:c r="BO689" s="6" t="str">
        <x:v>0.0</x:v>
      </x:c>
      <x:c r="BP689" s="6" t="str">
        <x:v>3</x:v>
      </x:c>
      <x:c r="BQ689" s="6" t="str">
        <x:v>0.0</x:v>
      </x:c>
      <x:c r="BR689" s="6" t="str">
        <x:v>3</x:v>
      </x:c>
      <x:c r="BS689" s="6" t="str">
        <x:v>1.0</x:v>
      </x:c>
      <x:c r="BT689" s="6" t="str">
        <x:v>3</x:v>
      </x:c>
      <x:c r="BU689" s="6" t="str">
        <x:v>670.0</x:v>
      </x:c>
      <x:c r="BV689" s="6" t="str">
        <x:v>3</x:v>
      </x:c>
      <x:c r="BW689" s="9" t="str">
        <x:v>operational_snapshot_annual_totals_may_differ</x:v>
      </x:c>
      <x:c r="BX689" s="9" t="str">
        <x:v>official_live_dashboard_snapshot_subject_to_revision</x:v>
      </x:c>
      <x:c r="BY689" s="9" t="str">
        <x:v>https://tbdashboard.sitb.id/ss_data_tbc03so_2025_provinsi_bulanan_list.php</x:v>
      </x:c>
      <x:c r="BZ689" s="6" t="n">
        <x:v>46246.610671296294</x:v>
      </x:c>
    </x:row>
    <x:row r="690" ht="18" customHeight="1">
      <x:c r="A690" s="6" t="str">
        <x:v>75</x:v>
      </x:c>
      <x:c r="B690" s="6" t="str">
        <x:v>GORONTALO</x:v>
      </x:c>
      <x:c r="C690" s="6" t="str">
        <x:v>2025</x:v>
      </x:c>
      <x:c r="D690" s="6" t="str">
        <x:v>5</x:v>
      </x:c>
      <x:c r="E690" s="6" t="str">
        <x:v>2025-05</x:v>
      </x:c>
      <x:c r="F690" s="6" t="str">
        <x:v>359</x:v>
      </x:c>
      <x:c r="G690" s="6" t="str">
        <x:v>89</x:v>
      </x:c>
      <x:c r="H690" s="6" t="str">
        <x:v>212</x:v>
      </x:c>
      <x:c r="I690" s="6" t="str">
        <x:v>22</x:v>
      </x:c>
      <x:c r="J690" s="6" t="str">
        <x:v>21</x:v>
      </x:c>
      <x:c r="K690" s="6" t="str">
        <x:v>0</x:v>
      </x:c>
      <x:c r="L690" s="6" t="str">
        <x:v>0</x:v>
      </x:c>
      <x:c r="M690" s="6" t="str">
        <x:v>15</x:v>
      </x:c>
      <x:c r="N690" s="6" t="str">
        <x:v>359</x:v>
      </x:c>
      <x:c r="O690" s="6" t="str">
        <x:v>0</x:v>
      </x:c>
      <x:c r="P690" s="10" t="n">
        <x:f>F690-M690</x:f>
        <x:v>344</x:v>
      </x:c>
      <x:c r="Q690" s="11" t="n">
        <x:f>IFERROR(M690/F690,"")</x:f>
        <x:v>0.04178272980501393</x:v>
      </x:c>
      <x:c r="R690" s="10" t="n">
        <x:f>G690+H690</x:f>
        <x:v>301</x:v>
      </x:c>
      <x:c r="S690" s="11" t="n">
        <x:f>IFERROR(R690/F690,"")</x:f>
        <x:v>0.8384401114206128</x:v>
      </x:c>
      <x:c r="T690" s="11" t="n">
        <x:f>IFERROR(R690/P690,"")</x:f>
        <x:v>0.875</x:v>
      </x:c>
      <x:c r="U690" s="10" t="n">
        <x:f>I690+J690+K690</x:f>
        <x:v>43</x:v>
      </x:c>
      <x:c r="V690" s="11" t="n">
        <x:f>IFERROR(U690/P690,"")</x:f>
        <x:v>0.125</x:v>
      </x:c>
      <x:c r="W690" s="9" t="str">
        <x:v>mature_le_5pct_pending</x:v>
      </x:c>
      <x:c r="X690" s="12" t="n">
        <x:f>IFERROR(F690/Z690*100000,"")</x:f>
        <x:v>28.900338109805183</x:v>
      </x:c>
      <x:c r="Y690" s="13" t="n">
        <x:f>LN(Z690)</x:f>
        <x:v>14.03239455910734</x:v>
      </x:c>
      <x:c r="Z690" s="6" t="str">
        <x:v>1242200</x:v>
      </x:c>
      <x:c r="AA690" s="6" t="str">
        <x:v>103.0</x:v>
      </x:c>
      <x:c r="AB690" s="9" t="str">
        <x:v>2025-06-30</x:v>
      </x:c>
      <x:c r="AC690" s="8" t="str">
        <x:v>84.7</x:v>
      </x:c>
      <x:c r="AD690" s="9" t="str">
        <x:v>2025 (Susenas)</x:v>
      </x:c>
      <x:c r="AE690" s="8" t="str">
        <x:v>13.24</x:v>
      </x:c>
      <x:c r="AF690" s="9" t="str">
        <x:v>Maret 2025 (Susenas)</x:v>
      </x:c>
      <x:c r="AG690" s="6" t="str">
        <x:v>26.99333333333333</x:v>
      </x:c>
      <x:c r="AH690" s="8" t="str">
        <x:v>83.7</x:v>
      </x:c>
      <x:c r="AI690" s="6" t="str">
        <x:v>202.84333333333333</x:v>
      </x:c>
      <x:c r="AJ690" s="6" t="str">
        <x:v>0.360888888888887</x:v>
      </x:c>
      <x:c r="AK690" s="8" t="str">
        <x:v>0.7085240116975186</x:v>
      </x:c>
      <x:c r="AL690" s="6" t="str">
        <x:v>-0.1245531393541353</x:v>
      </x:c>
      <x:c r="AM690" s="6" t="str">
        <x:v>0.0412796874458365</x:v>
      </x:c>
      <x:c r="AN690" s="6" t="str">
        <x:v>0.2084168532630737</x:v>
      </x:c>
      <x:c r="AO690" s="6" t="str">
        <x:v>-0.4324444444444424</x:v>
      </x:c>
      <x:c r="AP690" s="8" t="str">
        <x:v>-0.2140949191930875</x:v>
      </x:c>
      <x:c r="AQ690" s="6" t="str">
        <x:v>0.2059274319056535</x:v>
      </x:c>
      <x:c r="AR690" s="6" t="str">
        <x:v>0.6356672724969964</x:v>
      </x:c>
      <x:c r="AS690" s="6" t="str">
        <x:v>0.2091665950698537</x:v>
      </x:c>
      <x:c r="AT690" s="6" t="str">
        <x:v>26.071</x:v>
      </x:c>
      <x:c r="AU690" s="8" t="str">
        <x:v>0.672279497585122</x:v>
      </x:c>
      <x:c r="AV690" s="6" t="str">
        <x:v>2.1558226197746357</x:v>
      </x:c>
      <x:c r="AW690" s="6" t="str">
        <x:v>2.118989151891669</x:v>
      </x:c>
      <x:c r="AX690" s="6" t="str">
        <x:v>1.6490304230838084</x:v>
      </x:c>
      <x:c r="AY690" s="6" t="str">
        <x:v>0</x:v>
      </x:c>
      <x:c r="AZ690" s="6" t="str">
        <x:v>0</x:v>
      </x:c>
      <x:c r="BA690" s="9" t="str">
        <x:v>grid_cells_within_BIG_polygon</x:v>
      </x:c>
      <x:c r="BB690" s="6" t="str">
        <x:v>3</x:v>
      </x:c>
      <x:c r="BC690" s="6" t="str">
        <x:v>2</x:v>
      </x:c>
      <x:c r="BD690" s="6" t="str">
        <x:v>2</x:v>
      </x:c>
      <x:c r="BE690" s="6" t="str">
        <x:v>1</x:v>
      </x:c>
      <x:c r="BF690" s="6" t="str">
        <x:v>0</x:v>
      </x:c>
      <x:c r="BG690" s="6" t="str">
        <x:v>1</x:v>
      </x:c>
      <x:c r="BH690" s="6" t="str">
        <x:v>0</x:v>
      </x:c>
      <x:c r="BI690" s="6" t="str">
        <x:v>0</x:v>
      </x:c>
      <x:c r="BJ690" s="6" t="str">
        <x:v>0</x:v>
      </x:c>
      <x:c r="BK690" s="6" t="str">
        <x:v>0</x:v>
      </x:c>
      <x:c r="BL690" s="6" t="str">
        <x:v>0</x:v>
      </x:c>
      <x:c r="BM690" s="6" t="str">
        <x:v>0</x:v>
      </x:c>
      <x:c r="BN690" s="6" t="str">
        <x:v>2</x:v>
      </x:c>
      <x:c r="BO690" s="6" t="str">
        <x:v>0.0</x:v>
      </x:c>
      <x:c r="BP690" s="6" t="str">
        <x:v>2</x:v>
      </x:c>
      <x:c r="BQ690" s="6" t="str">
        <x:v>0.0</x:v>
      </x:c>
      <x:c r="BR690" s="6" t="str">
        <x:v>2</x:v>
      </x:c>
      <x:c r="BS690" s="6" t="str">
        <x:v>77.0</x:v>
      </x:c>
      <x:c r="BT690" s="6" t="str">
        <x:v>2</x:v>
      </x:c>
      <x:c r="BU690" s="6" t="str">
        <x:v>15.0</x:v>
      </x:c>
      <x:c r="BV690" s="6" t="str">
        <x:v>1</x:v>
      </x:c>
      <x:c r="BW690" s="9" t="str">
        <x:v>operational_snapshot_annual_totals_may_differ</x:v>
      </x:c>
      <x:c r="BX690" s="9" t="str">
        <x:v>official_live_dashboard_snapshot_subject_to_revision</x:v>
      </x:c>
      <x:c r="BY690" s="9" t="str">
        <x:v>https://tbdashboard.sitb.id/ss_data_tbc03so_2025_provinsi_bulanan_list.php</x:v>
      </x:c>
      <x:c r="BZ690" s="6" t="n">
        <x:v>46246.610671296294</x:v>
      </x:c>
    </x:row>
    <x:row r="691" ht="18" customHeight="1">
      <x:c r="A691" s="6" t="str">
        <x:v>75</x:v>
      </x:c>
      <x:c r="B691" s="6" t="str">
        <x:v>GORONTALO</x:v>
      </x:c>
      <x:c r="C691" s="6" t="str">
        <x:v>2025</x:v>
      </x:c>
      <x:c r="D691" s="6" t="str">
        <x:v>6</x:v>
      </x:c>
      <x:c r="E691" s="6" t="str">
        <x:v>2025-06</x:v>
      </x:c>
      <x:c r="F691" s="6" t="str">
        <x:v>297</x:v>
      </x:c>
      <x:c r="G691" s="6" t="str">
        <x:v>74</x:v>
      </x:c>
      <x:c r="H691" s="6" t="str">
        <x:v>167</x:v>
      </x:c>
      <x:c r="I691" s="6" t="str">
        <x:v>10</x:v>
      </x:c>
      <x:c r="J691" s="6" t="str">
        <x:v>23</x:v>
      </x:c>
      <x:c r="K691" s="6" t="str">
        <x:v>0</x:v>
      </x:c>
      <x:c r="L691" s="6" t="str">
        <x:v>0</x:v>
      </x:c>
      <x:c r="M691" s="6" t="str">
        <x:v>23</x:v>
      </x:c>
      <x:c r="N691" s="6" t="str">
        <x:v>297</x:v>
      </x:c>
      <x:c r="O691" s="6" t="str">
        <x:v>0</x:v>
      </x:c>
      <x:c r="P691" s="10" t="n">
        <x:f>F691-M691</x:f>
        <x:v>274</x:v>
      </x:c>
      <x:c r="Q691" s="11" t="n">
        <x:f>IFERROR(M691/F691,"")</x:f>
        <x:v>0.07744107744107744</x:v>
      </x:c>
      <x:c r="R691" s="10" t="n">
        <x:f>G691+H691</x:f>
        <x:v>241</x:v>
      </x:c>
      <x:c r="S691" s="11" t="n">
        <x:f>IFERROR(R691/F691,"")</x:f>
        <x:v>0.8114478114478114</x:v>
      </x:c>
      <x:c r="T691" s="11" t="n">
        <x:f>IFERROR(R691/P691,"")</x:f>
        <x:v>0.8795620437956204</x:v>
      </x:c>
      <x:c r="U691" s="10" t="n">
        <x:f>I691+J691+K691</x:f>
        <x:v>33</x:v>
      </x:c>
      <x:c r="V691" s="11" t="n">
        <x:f>IFERROR(U691/P691,"")</x:f>
        <x:v>0.12043795620437957</x:v>
      </x:c>
      <x:c r="W691" s="9" t="str">
        <x:v>provisional_gt_5pct_pending</x:v>
      </x:c>
      <x:c r="X691" s="12" t="n">
        <x:f>IFERROR(F691/Z691*100000,"")</x:f>
        <x:v>23.90919336660763</x:v>
      </x:c>
      <x:c r="Y691" s="13" t="n">
        <x:f>LN(Z691)</x:f>
        <x:v>14.03239455910734</x:v>
      </x:c>
      <x:c r="Z691" s="6" t="str">
        <x:v>1242200</x:v>
      </x:c>
      <x:c r="AA691" s="6" t="str">
        <x:v>103.0</x:v>
      </x:c>
      <x:c r="AB691" s="9" t="str">
        <x:v>2025-06-30</x:v>
      </x:c>
      <x:c r="AC691" s="8" t="str">
        <x:v>84.7</x:v>
      </x:c>
      <x:c r="AD691" s="9" t="str">
        <x:v>2025 (Susenas)</x:v>
      </x:c>
      <x:c r="AE691" s="8" t="str">
        <x:v>13.24</x:v>
      </x:c>
      <x:c r="AF691" s="9" t="str">
        <x:v>Maret 2025 (Susenas)</x:v>
      </x:c>
      <x:c r="AG691" s="6" t="str">
        <x:v>26.196666666666665</x:v>
      </x:c>
      <x:c r="AH691" s="8" t="str">
        <x:v>84.72666666666666</x:v>
      </x:c>
      <x:c r="AI691" s="6" t="str">
        <x:v>218.6</x:v>
      </x:c>
      <x:c r="AJ691" s="6" t="str">
        <x:v>0.1615555555555552</x:v>
      </x:c>
      <x:c r="AK691" s="8" t="str">
        <x:v>0.4577714648174996</x:v>
      </x:c>
      <x:c r="AL691" s="6" t="str">
        <x:v>0.7085240116975186</x:v>
      </x:c>
      <x:c r="AM691" s="6" t="str">
        <x:v>-0.1245531393541353</x:v>
      </x:c>
      <x:c r="AN691" s="6" t="str">
        <x:v>0.3472474457202947</x:v>
      </x:c>
      <x:c r="AO691" s="6" t="str">
        <x:v>-0.5857777777777926</x:v>
      </x:c>
      <x:c r="AP691" s="8" t="str">
        <x:v>-0.2935257791689074</x:v>
      </x:c>
      <x:c r="AQ691" s="6" t="str">
        <x:v>-0.2140949191930875</x:v>
      </x:c>
      <x:c r="AR691" s="6" t="str">
        <x:v>0.2059274319056535</x:v>
      </x:c>
      <x:c r="AS691" s="6" t="str">
        <x:v>-0.1005644221521141</x:v>
      </x:c>
      <x:c r="AT691" s="6" t="str">
        <x:v>31.419999999999987</x:v>
      </x:c>
      <x:c r="AU691" s="8" t="str">
        <x:v>0.4546654417088334</x:v>
      </x:c>
      <x:c r="AV691" s="6" t="str">
        <x:v>0.672279497585122</x:v>
      </x:c>
      <x:c r="AW691" s="6" t="str">
        <x:v>2.1558226197746357</x:v>
      </x:c>
      <x:c r="AX691" s="6" t="str">
        <x:v>1.0942558530228634</x:v>
      </x:c>
      <x:c r="AY691" s="6" t="str">
        <x:v>0</x:v>
      </x:c>
      <x:c r="AZ691" s="6" t="str">
        <x:v>0</x:v>
      </x:c>
      <x:c r="BA691" s="9" t="str">
        <x:v>grid_cells_within_BIG_polygon</x:v>
      </x:c>
      <x:c r="BB691" s="6" t="str">
        <x:v>3</x:v>
      </x:c>
      <x:c r="BC691" s="6" t="str">
        <x:v>5</x:v>
      </x:c>
      <x:c r="BD691" s="6" t="str">
        <x:v>5</x:v>
      </x:c>
      <x:c r="BE691" s="6" t="str">
        <x:v>5</x:v>
      </x:c>
      <x:c r="BF691" s="6" t="str">
        <x:v>0</x:v>
      </x:c>
      <x:c r="BG691" s="6" t="str">
        <x:v>0</x:v>
      </x:c>
      <x:c r="BH691" s="6" t="str">
        <x:v>0</x:v>
      </x:c>
      <x:c r="BI691" s="6" t="str">
        <x:v>0</x:v>
      </x:c>
      <x:c r="BJ691" s="6" t="str">
        <x:v>0</x:v>
      </x:c>
      <x:c r="BK691" s="6" t="str">
        <x:v>0</x:v>
      </x:c>
      <x:c r="BL691" s="6" t="str">
        <x:v>0</x:v>
      </x:c>
      <x:c r="BM691" s="6" t="str">
        <x:v>0</x:v>
      </x:c>
      <x:c r="BN691" s="6" t="str">
        <x:v>5</x:v>
      </x:c>
      <x:c r="BO691" s="6" t="str">
        <x:v>2.0</x:v>
      </x:c>
      <x:c r="BP691" s="6" t="str">
        <x:v>2</x:v>
      </x:c>
      <x:c r="BQ691" s="6" t="str">
        <x:v>0.0</x:v>
      </x:c>
      <x:c r="BR691" s="6" t="str">
        <x:v>1</x:v>
      </x:c>
      <x:c r="BS691" s="6" t="str">
        <x:v>34.0</x:v>
      </x:c>
      <x:c r="BT691" s="6" t="str">
        <x:v>5</x:v>
      </x:c>
      <x:c r="BU691" s="6" t="str">
        <x:v>2944.0</x:v>
      </x:c>
      <x:c r="BV691" s="6" t="str">
        <x:v>5</x:v>
      </x:c>
      <x:c r="BW691" s="9" t="str">
        <x:v>operational_snapshot_annual_totals_may_differ</x:v>
      </x:c>
      <x:c r="BX691" s="9" t="str">
        <x:v>official_live_dashboard_snapshot_subject_to_revision</x:v>
      </x:c>
      <x:c r="BY691" s="9" t="str">
        <x:v>https://tbdashboard.sitb.id/ss_data_tbc03so_2025_provinsi_bulanan_list.php</x:v>
      </x:c>
      <x:c r="BZ691" s="6" t="n">
        <x:v>46246.610671296294</x:v>
      </x:c>
    </x:row>
    <x:row r="692" ht="18" customHeight="1">
      <x:c r="A692" s="6" t="str">
        <x:v>75</x:v>
      </x:c>
      <x:c r="B692" s="6" t="str">
        <x:v>GORONTALO</x:v>
      </x:c>
      <x:c r="C692" s="6" t="str">
        <x:v>2025</x:v>
      </x:c>
      <x:c r="D692" s="6" t="str">
        <x:v>7</x:v>
      </x:c>
      <x:c r="E692" s="6" t="str">
        <x:v>2025-07</x:v>
      </x:c>
      <x:c r="F692" s="6" t="str">
        <x:v>435</x:v>
      </x:c>
      <x:c r="G692" s="6" t="str">
        <x:v>134</x:v>
      </x:c>
      <x:c r="H692" s="6" t="str">
        <x:v>232</x:v>
      </x:c>
      <x:c r="I692" s="6" t="str">
        <x:v>24</x:v>
      </x:c>
      <x:c r="J692" s="6" t="str">
        <x:v>24</x:v>
      </x:c>
      <x:c r="K692" s="6" t="str">
        <x:v>2</x:v>
      </x:c>
      <x:c r="L692" s="6" t="str">
        <x:v>0</x:v>
      </x:c>
      <x:c r="M692" s="6" t="str">
        <x:v>19</x:v>
      </x:c>
      <x:c r="N692" s="6" t="str">
        <x:v>435</x:v>
      </x:c>
      <x:c r="O692" s="6" t="str">
        <x:v>0</x:v>
      </x:c>
      <x:c r="P692" s="10" t="n">
        <x:f>F692-M692</x:f>
        <x:v>416</x:v>
      </x:c>
      <x:c r="Q692" s="11" t="n">
        <x:f>IFERROR(M692/F692,"")</x:f>
        <x:v>0.04367816091954023</x:v>
      </x:c>
      <x:c r="R692" s="10" t="n">
        <x:f>G692+H692</x:f>
        <x:v>366</x:v>
      </x:c>
      <x:c r="S692" s="11" t="n">
        <x:f>IFERROR(R692/F692,"")</x:f>
        <x:v>0.8413793103448276</x:v>
      </x:c>
      <x:c r="T692" s="11" t="n">
        <x:f>IFERROR(R692/P692,"")</x:f>
        <x:v>0.8798076923076923</x:v>
      </x:c>
      <x:c r="U692" s="10" t="n">
        <x:f>I692+J692+K692</x:f>
        <x:v>50</x:v>
      </x:c>
      <x:c r="V692" s="11" t="n">
        <x:f>IFERROR(U692/P692,"")</x:f>
        <x:v>0.1201923076923077</x:v>
      </x:c>
      <x:c r="W692" s="9" t="str">
        <x:v>mature_le_5pct_pending</x:v>
      </x:c>
      <x:c r="X692" s="12" t="n">
        <x:f>IFERROR(F692/Z692*100000,"")</x:f>
        <x:v>35.018515536950574</x:v>
      </x:c>
      <x:c r="Y692" s="13" t="n">
        <x:f>LN(Z692)</x:f>
        <x:v>14.03239455910734</x:v>
      </x:c>
      <x:c r="Z692" s="6" t="str">
        <x:v>1242200</x:v>
      </x:c>
      <x:c r="AA692" s="6" t="str">
        <x:v>103.0</x:v>
      </x:c>
      <x:c r="AB692" s="9" t="str">
        <x:v>2025-06-30</x:v>
      </x:c>
      <x:c r="AC692" s="8" t="str">
        <x:v>84.7</x:v>
      </x:c>
      <x:c r="AD692" s="9" t="str">
        <x:v>2025 (Susenas)</x:v>
      </x:c>
      <x:c r="AE692" s="8" t="str">
        <x:v>13.24</x:v>
      </x:c>
      <x:c r="AF692" s="9" t="str">
        <x:v>Maret 2025 (Susenas)</x:v>
      </x:c>
      <x:c r="AG692" s="6" t="str">
        <x:v>26.016666666666666</x:v>
      </x:c>
      <x:c r="AH692" s="8" t="str">
        <x:v>85.71333333333332</x:v>
      </x:c>
      <x:c r="AI692" s="6" t="str">
        <x:v>157.17</x:v>
      </x:c>
      <x:c r="AJ692" s="6" t="str">
        <x:v>0.4151111111111127</x:v>
      </x:c>
      <x:c r="AK692" s="8" t="str">
        <x:v>1.24049740512498</x:v>
      </x:c>
      <x:c r="AL692" s="6" t="str">
        <x:v>0.4577714648174996</x:v>
      </x:c>
      <x:c r="AM692" s="6" t="str">
        <x:v>0.7085240116975186</x:v>
      </x:c>
      <x:c r="AN692" s="6" t="str">
        <x:v>0.8022642938799999</x:v>
      </x:c>
      <x:c r="AO692" s="6" t="str">
        <x:v>0.7553333333333256</x:v>
      </x:c>
      <x:c r="AP692" s="8" t="str">
        <x:v>0.403729938895921</x:v>
      </x:c>
      <x:c r="AQ692" s="6" t="str">
        <x:v>-0.2935257791689074</x:v>
      </x:c>
      <x:c r="AR692" s="6" t="str">
        <x:v>-0.2140949191930875</x:v>
      </x:c>
      <x:c r="AS692" s="6" t="str">
        <x:v>-0.0346302531553583</x:v>
      </x:c>
      <x:c r="AT692" s="6" t="str">
        <x:v>10.508999999999986</x:v>
      </x:c>
      <x:c r="AU692" s="8" t="str">
        <x:v>0.1564954512932448</x:v>
      </x:c>
      <x:c r="AV692" s="6" t="str">
        <x:v>0.4546654417088334</x:v>
      </x:c>
      <x:c r="AW692" s="6" t="str">
        <x:v>0.672279497585122</x:v>
      </x:c>
      <x:c r="AX692" s="6" t="str">
        <x:v>0.4278134635290666</x:v>
      </x:c>
      <x:c r="AY692" s="6" t="str">
        <x:v>0</x:v>
      </x:c>
      <x:c r="AZ692" s="6" t="str">
        <x:v>1</x:v>
      </x:c>
      <x:c r="BA692" s="9" t="str">
        <x:v>grid_cells_within_BIG_polygon</x:v>
      </x:c>
      <x:c r="BB692" s="6" t="str">
        <x:v>3</x:v>
      </x:c>
      <x:c r="BC692" s="6" t="str">
        <x:v>4</x:v>
      </x:c>
      <x:c r="BD692" s="6" t="str">
        <x:v>2</x:v>
      </x:c>
      <x:c r="BE692" s="6" t="str">
        <x:v>2</x:v>
      </x:c>
      <x:c r="BF692" s="6" t="str">
        <x:v>0</x:v>
      </x:c>
      <x:c r="BG692" s="6" t="str">
        <x:v>0</x:v>
      </x:c>
      <x:c r="BH692" s="6" t="str">
        <x:v>0</x:v>
      </x:c>
      <x:c r="BI692" s="6" t="str">
        <x:v>0</x:v>
      </x:c>
      <x:c r="BJ692" s="6" t="str">
        <x:v>0</x:v>
      </x:c>
      <x:c r="BK692" s="6" t="str">
        <x:v>0</x:v>
      </x:c>
      <x:c r="BL692" s="6" t="str">
        <x:v>0</x:v>
      </x:c>
      <x:c r="BM692" s="6" t="str">
        <x:v>2</x:v>
      </x:c>
      <x:c r="BN692" s="6" t="str">
        <x:v>4</x:v>
      </x:c>
      <x:c r="BO692" s="6" t="str"/>
      <x:c r="BP692" s="6" t="str">
        <x:v>0</x:v>
      </x:c>
      <x:c r="BQ692" s="6" t="str"/>
      <x:c r="BR692" s="6" t="str">
        <x:v>0</x:v>
      </x:c>
      <x:c r="BS692" s="6" t="str">
        <x:v>0.0</x:v>
      </x:c>
      <x:c r="BT692" s="6" t="str">
        <x:v>4</x:v>
      </x:c>
      <x:c r="BU692" s="6" t="str">
        <x:v>84.0</x:v>
      </x:c>
      <x:c r="BV692" s="6" t="str">
        <x:v>2</x:v>
      </x:c>
      <x:c r="BW692" s="9" t="str">
        <x:v>operational_snapshot_annual_totals_may_differ</x:v>
      </x:c>
      <x:c r="BX692" s="9" t="str">
        <x:v>official_live_dashboard_snapshot_subject_to_revision</x:v>
      </x:c>
      <x:c r="BY692" s="9" t="str">
        <x:v>https://tbdashboard.sitb.id/ss_data_tbc03so_2025_provinsi_bulanan_list.php</x:v>
      </x:c>
      <x:c r="BZ692" s="6" t="n">
        <x:v>46246.610671296294</x:v>
      </x:c>
    </x:row>
    <x:row r="693" ht="18" customHeight="1">
      <x:c r="A693" s="6" t="str">
        <x:v>75</x:v>
      </x:c>
      <x:c r="B693" s="6" t="str">
        <x:v>GORONTALO</x:v>
      </x:c>
      <x:c r="C693" s="6" t="str">
        <x:v>2025</x:v>
      </x:c>
      <x:c r="D693" s="6" t="str">
        <x:v>8</x:v>
      </x:c>
      <x:c r="E693" s="6" t="str">
        <x:v>2025-08</x:v>
      </x:c>
      <x:c r="F693" s="6" t="str">
        <x:v>389</x:v>
      </x:c>
      <x:c r="G693" s="6" t="str">
        <x:v>110</x:v>
      </x:c>
      <x:c r="H693" s="6" t="str">
        <x:v>200</x:v>
      </x:c>
      <x:c r="I693" s="6" t="str">
        <x:v>24</x:v>
      </x:c>
      <x:c r="J693" s="6" t="str">
        <x:v>16</x:v>
      </x:c>
      <x:c r="K693" s="6" t="str">
        <x:v>0</x:v>
      </x:c>
      <x:c r="L693" s="6" t="str">
        <x:v>0</x:v>
      </x:c>
      <x:c r="M693" s="6" t="str">
        <x:v>39</x:v>
      </x:c>
      <x:c r="N693" s="6" t="str">
        <x:v>389</x:v>
      </x:c>
      <x:c r="O693" s="6" t="str">
        <x:v>0</x:v>
      </x:c>
      <x:c r="P693" s="10" t="n">
        <x:f>F693-M693</x:f>
        <x:v>350</x:v>
      </x:c>
      <x:c r="Q693" s="11" t="n">
        <x:f>IFERROR(M693/F693,"")</x:f>
        <x:v>0.10025706940874037</x:v>
      </x:c>
      <x:c r="R693" s="10" t="n">
        <x:f>G693+H693</x:f>
        <x:v>310</x:v>
      </x:c>
      <x:c r="S693" s="11" t="n">
        <x:f>IFERROR(R693/F693,"")</x:f>
        <x:v>0.7969151670951157</x:v>
      </x:c>
      <x:c r="T693" s="11" t="n">
        <x:f>IFERROR(R693/P693,"")</x:f>
        <x:v>0.8857142857142857</x:v>
      </x:c>
      <x:c r="U693" s="10" t="n">
        <x:f>I693+J693+K693</x:f>
        <x:v>40</x:v>
      </x:c>
      <x:c r="V693" s="11" t="n">
        <x:f>IFERROR(U693/P693,"")</x:f>
        <x:v>0.11428571428571428</x:v>
      </x:c>
      <x:c r="W693" s="9" t="str">
        <x:v>provisional_gt_5pct_pending</x:v>
      </x:c>
      <x:c r="X693" s="12" t="n">
        <x:f>IFERROR(F693/Z693*100000,"")</x:f>
        <x:v>31.315408146836262</x:v>
      </x:c>
      <x:c r="Y693" s="13" t="n">
        <x:f>LN(Z693)</x:f>
        <x:v>14.03239455910734</x:v>
      </x:c>
      <x:c r="Z693" s="6" t="str">
        <x:v>1242200</x:v>
      </x:c>
      <x:c r="AA693" s="6" t="str">
        <x:v>103.0</x:v>
      </x:c>
      <x:c r="AB693" s="9" t="str">
        <x:v>2025-06-30</x:v>
      </x:c>
      <x:c r="AC693" s="8" t="str">
        <x:v>84.7</x:v>
      </x:c>
      <x:c r="AD693" s="9" t="str">
        <x:v>2025 (Susenas)</x:v>
      </x:c>
      <x:c r="AE693" s="8" t="str">
        <x:v>13.24</x:v>
      </x:c>
      <x:c r="AF693" s="9" t="str">
        <x:v>Maret 2025 (Susenas)</x:v>
      </x:c>
      <x:c r="AG693" s="6" t="str">
        <x:v>25.613333333333333</x:v>
      </x:c>
      <x:c r="AH693" s="8" t="str">
        <x:v>85.72333333333331</x:v>
      </x:c>
      <x:c r="AI693" s="6" t="str">
        <x:v>204.3933333333333</x:v>
      </x:c>
      <x:c r="AJ693" s="6" t="str">
        <x:v>-0.0984444444444427</x:v>
      </x:c>
      <x:c r="AK693" s="8" t="str">
        <x:v>-0.2774237760980067</x:v>
      </x:c>
      <x:c r="AL693" s="6" t="str">
        <x:v>1.24049740512498</x:v>
      </x:c>
      <x:c r="AM693" s="6" t="str">
        <x:v>0.4577714648174996</x:v>
      </x:c>
      <x:c r="AN693" s="6" t="str">
        <x:v>0.4736150312814913</x:v>
      </x:c>
      <x:c r="AO693" s="6" t="str">
        <x:v>3.1534444444444176</x:v>
      </x:c>
      <x:c r="AP693" s="8" t="str">
        <x:v>0.8696494095002371</x:v>
      </x:c>
      <x:c r="AQ693" s="6" t="str">
        <x:v>0.403729938895921</x:v>
      </x:c>
      <x:c r="AR693" s="6" t="str">
        <x:v>-0.2935257791689074</x:v>
      </x:c>
      <x:c r="AS693" s="6" t="str">
        <x:v>0.3266178564090832</x:v>
      </x:c>
      <x:c r="AT693" s="6" t="str">
        <x:v>114.83433333333332</x:v>
      </x:c>
      <x:c r="AU693" s="8" t="str">
        <x:v>1.9839167793766448</x:v>
      </x:c>
      <x:c r="AV693" s="6" t="str">
        <x:v>0.1564954512932448</x:v>
      </x:c>
      <x:c r="AW693" s="6" t="str">
        <x:v>0.4546654417088334</x:v>
      </x:c>
      <x:c r="AX693" s="6" t="str">
        <x:v>0.8650258907929075</x:v>
      </x:c>
      <x:c r="AY693" s="6" t="str">
        <x:v>1</x:v>
      </x:c>
      <x:c r="AZ693" s="6" t="str">
        <x:v>0</x:v>
      </x:c>
      <x:c r="BA693" s="9" t="str">
        <x:v>grid_cells_within_BIG_polygon</x:v>
      </x:c>
      <x:c r="BB693" s="6" t="str">
        <x:v>3</x:v>
      </x:c>
      <x:c r="BC693" s="6" t="str">
        <x:v>1</x:v>
      </x:c>
      <x:c r="BD693" s="6" t="str">
        <x:v>1</x:v>
      </x:c>
      <x:c r="BE693" s="6" t="str">
        <x:v>0</x:v>
      </x:c>
      <x:c r="BF693" s="6" t="str">
        <x:v>0</x:v>
      </x:c>
      <x:c r="BG693" s="6" t="str">
        <x:v>1</x:v>
      </x:c>
      <x:c r="BH693" s="6" t="str">
        <x:v>0</x:v>
      </x:c>
      <x:c r="BI693" s="6" t="str">
        <x:v>0</x:v>
      </x:c>
      <x:c r="BJ693" s="6" t="str">
        <x:v>0</x:v>
      </x:c>
      <x:c r="BK693" s="6" t="str">
        <x:v>0</x:v>
      </x:c>
      <x:c r="BL693" s="6" t="str">
        <x:v>0</x:v>
      </x:c>
      <x:c r="BM693" s="6" t="str">
        <x:v>0</x:v>
      </x:c>
      <x:c r="BN693" s="6" t="str">
        <x:v>1</x:v>
      </x:c>
      <x:c r="BO693" s="6" t="str"/>
      <x:c r="BP693" s="6" t="str">
        <x:v>0</x:v>
      </x:c>
      <x:c r="BQ693" s="6" t="str">
        <x:v>1.0</x:v>
      </x:c>
      <x:c r="BR693" s="6" t="str">
        <x:v>1</x:v>
      </x:c>
      <x:c r="BS693" s="6" t="str">
        <x:v>7.0</x:v>
      </x:c>
      <x:c r="BT693" s="6" t="str">
        <x:v>1</x:v>
      </x:c>
      <x:c r="BU693" s="6" t="str"/>
      <x:c r="BV693" s="6" t="str">
        <x:v>0</x:v>
      </x:c>
      <x:c r="BW693" s="9" t="str">
        <x:v>operational_snapshot_annual_totals_may_differ</x:v>
      </x:c>
      <x:c r="BX693" s="9" t="str">
        <x:v>official_live_dashboard_snapshot_subject_to_revision</x:v>
      </x:c>
      <x:c r="BY693" s="9" t="str">
        <x:v>https://tbdashboard.sitb.id/ss_data_tbc03so_2025_provinsi_bulanan_list.php</x:v>
      </x:c>
      <x:c r="BZ693" s="6" t="n">
        <x:v>46246.610671296294</x:v>
      </x:c>
    </x:row>
    <x:row r="694" ht="18" customHeight="1">
      <x:c r="A694" s="6" t="str">
        <x:v>75</x:v>
      </x:c>
      <x:c r="B694" s="6" t="str">
        <x:v>GORONTALO</x:v>
      </x:c>
      <x:c r="C694" s="6" t="str">
        <x:v>2025</x:v>
      </x:c>
      <x:c r="D694" s="6" t="str">
        <x:v>9</x:v>
      </x:c>
      <x:c r="E694" s="6" t="str">
        <x:v>2025-09</x:v>
      </x:c>
      <x:c r="F694" s="6" t="str">
        <x:v>451</x:v>
      </x:c>
      <x:c r="G694" s="6" t="str">
        <x:v>112</x:v>
      </x:c>
      <x:c r="H694" s="6" t="str">
        <x:v>223</x:v>
      </x:c>
      <x:c r="I694" s="6" t="str">
        <x:v>37</x:v>
      </x:c>
      <x:c r="J694" s="6" t="str">
        <x:v>16</x:v>
      </x:c>
      <x:c r="K694" s="6" t="str">
        <x:v>0</x:v>
      </x:c>
      <x:c r="L694" s="6" t="str">
        <x:v>0</x:v>
      </x:c>
      <x:c r="M694" s="6" t="str">
        <x:v>63</x:v>
      </x:c>
      <x:c r="N694" s="6" t="str">
        <x:v>451</x:v>
      </x:c>
      <x:c r="O694" s="6" t="str">
        <x:v>0</x:v>
      </x:c>
      <x:c r="P694" s="10" t="n">
        <x:f>F694-M694</x:f>
        <x:v>388</x:v>
      </x:c>
      <x:c r="Q694" s="11" t="n">
        <x:f>IFERROR(M694/F694,"")</x:f>
        <x:v>0.13968957871396895</x:v>
      </x:c>
      <x:c r="R694" s="10" t="n">
        <x:f>G694+H694</x:f>
        <x:v>335</x:v>
      </x:c>
      <x:c r="S694" s="11" t="n">
        <x:f>IFERROR(R694/F694,"")</x:f>
        <x:v>0.7427937915742794</x:v>
      </x:c>
      <x:c r="T694" s="11" t="n">
        <x:f>IFERROR(R694/P694,"")</x:f>
        <x:v>0.8634020618556701</x:v>
      </x:c>
      <x:c r="U694" s="10" t="n">
        <x:f>I694+J694+K694</x:f>
        <x:v>53</x:v>
      </x:c>
      <x:c r="V694" s="11" t="n">
        <x:f>IFERROR(U694/P694,"")</x:f>
        <x:v>0.13659793814432988</x:v>
      </x:c>
      <x:c r="W694" s="9" t="str">
        <x:v>provisional_gt_5pct_pending</x:v>
      </x:c>
      <x:c r="X694" s="12" t="n">
        <x:f>IFERROR(F694/Z694*100000,"")</x:f>
        <x:v>36.306552890033814</x:v>
      </x:c>
      <x:c r="Y694" s="13" t="n">
        <x:f>LN(Z694)</x:f>
        <x:v>14.03239455910734</x:v>
      </x:c>
      <x:c r="Z694" s="6" t="str">
        <x:v>1242200</x:v>
      </x:c>
      <x:c r="AA694" s="6" t="str">
        <x:v>103.0</x:v>
      </x:c>
      <x:c r="AB694" s="9" t="str">
        <x:v>2025-06-30</x:v>
      </x:c>
      <x:c r="AC694" s="8" t="str">
        <x:v>84.7</x:v>
      </x:c>
      <x:c r="AD694" s="9" t="str">
        <x:v>2025 (Susenas)</x:v>
      </x:c>
      <x:c r="AE694" s="8" t="str">
        <x:v>13.24</x:v>
      </x:c>
      <x:c r="AF694" s="9" t="str">
        <x:v>Maret 2025 (Susenas)</x:v>
      </x:c>
      <x:c r="AG694" s="6" t="str">
        <x:v>26.21333333333333</x:v>
      </x:c>
      <x:c r="AH694" s="8" t="str">
        <x:v>84.78</x:v>
      </x:c>
      <x:c r="AI694" s="6" t="str">
        <x:v>141.39999999999998</x:v>
      </x:c>
      <x:c r="AJ694" s="6" t="str">
        <x:v>-0.0195555555555557</x:v>
      </x:c>
      <x:c r="AK694" s="8" t="str">
        <x:v>-0.0458751850539492</x:v>
      </x:c>
      <x:c r="AL694" s="6" t="str">
        <x:v>-0.2774237760980067</x:v>
      </x:c>
      <x:c r="AM694" s="6" t="str">
        <x:v>1.24049740512498</x:v>
      </x:c>
      <x:c r="AN694" s="6" t="str">
        <x:v>0.305732814657675</x:v>
      </x:c>
      <x:c r="AO694" s="6" t="str">
        <x:v>5.193555555555562</x:v>
      </x:c>
      <x:c r="AP694" s="8" t="str">
        <x:v>1.037361512322149</x:v>
      </x:c>
      <x:c r="AQ694" s="6" t="str">
        <x:v>0.8696494095002371</x:v>
      </x:c>
      <x:c r="AR694" s="6" t="str">
        <x:v>0.403729938895921</x:v>
      </x:c>
      <x:c r="AS694" s="6" t="str">
        <x:v>0.7702469535727685</x:v>
      </x:c>
      <x:c r="AT694" s="6" t="str">
        <x:v>61.92999999999998</x:v>
      </x:c>
      <x:c r="AU694" s="8" t="str">
        <x:v>1.1056184864139378</x:v>
      </x:c>
      <x:c r="AV694" s="6" t="str">
        <x:v>1.9839167793766448</x:v>
      </x:c>
      <x:c r="AW694" s="6" t="str">
        <x:v>0.1564954512932448</x:v>
      </x:c>
      <x:c r="AX694" s="6" t="str">
        <x:v>1.0820102390279425</x:v>
      </x:c>
      <x:c r="AY694" s="6" t="str">
        <x:v>1</x:v>
      </x:c>
      <x:c r="AZ694" s="6" t="str">
        <x:v>0</x:v>
      </x:c>
      <x:c r="BA694" s="9" t="str">
        <x:v>grid_cells_within_BIG_polygon</x:v>
      </x:c>
      <x:c r="BB694" s="6" t="str">
        <x:v>3</x:v>
      </x:c>
      <x:c r="BC694" s="6" t="str">
        <x:v>1</x:v>
      </x:c>
      <x:c r="BD694" s="6" t="str">
        <x:v>1</x:v>
      </x:c>
      <x:c r="BE694" s="6" t="str">
        <x:v>1</x:v>
      </x:c>
      <x:c r="BF694" s="6" t="str">
        <x:v>0</x:v>
      </x:c>
      <x:c r="BG694" s="6" t="str">
        <x:v>0</x:v>
      </x:c>
      <x:c r="BH694" s="6" t="str">
        <x:v>0</x:v>
      </x:c>
      <x:c r="BI694" s="6" t="str">
        <x:v>0</x:v>
      </x:c>
      <x:c r="BJ694" s="6" t="str">
        <x:v>0</x:v>
      </x:c>
      <x:c r="BK694" s="6" t="str">
        <x:v>0</x:v>
      </x:c>
      <x:c r="BL694" s="6" t="str">
        <x:v>0</x:v>
      </x:c>
      <x:c r="BM694" s="6" t="str">
        <x:v>0</x:v>
      </x:c>
      <x:c r="BN694" s="6" t="str">
        <x:v>1</x:v>
      </x:c>
      <x:c r="BO694" s="6" t="str"/>
      <x:c r="BP694" s="6" t="str">
        <x:v>0</x:v>
      </x:c>
      <x:c r="BQ694" s="6" t="str"/>
      <x:c r="BR694" s="6" t="str">
        <x:v>0</x:v>
      </x:c>
      <x:c r="BS694" s="6" t="str">
        <x:v>0.0</x:v>
      </x:c>
      <x:c r="BT694" s="6" t="str">
        <x:v>1</x:v>
      </x:c>
      <x:c r="BU694" s="6" t="str">
        <x:v>115.0</x:v>
      </x:c>
      <x:c r="BV694" s="6" t="str">
        <x:v>1</x:v>
      </x:c>
      <x:c r="BW694" s="9" t="str">
        <x:v>operational_snapshot_annual_totals_may_differ</x:v>
      </x:c>
      <x:c r="BX694" s="9" t="str">
        <x:v>official_live_dashboard_snapshot_subject_to_revision</x:v>
      </x:c>
      <x:c r="BY694" s="9" t="str">
        <x:v>https://tbdashboard.sitb.id/ss_data_tbc03so_2025_provinsi_bulanan_list.php</x:v>
      </x:c>
      <x:c r="BZ694" s="6" t="n">
        <x:v>46246.610671296294</x:v>
      </x:c>
    </x:row>
    <x:row r="695" ht="18" customHeight="1">
      <x:c r="A695" s="6" t="str">
        <x:v>75</x:v>
      </x:c>
      <x:c r="B695" s="6" t="str">
        <x:v>GORONTALO</x:v>
      </x:c>
      <x:c r="C695" s="6" t="str">
        <x:v>2025</x:v>
      </x:c>
      <x:c r="D695" s="6" t="str">
        <x:v>10</x:v>
      </x:c>
      <x:c r="E695" s="6" t="str">
        <x:v>2025-10</x:v>
      </x:c>
      <x:c r="F695" s="6" t="str">
        <x:v>453</x:v>
      </x:c>
      <x:c r="G695" s="6" t="str">
        <x:v>121</x:v>
      </x:c>
      <x:c r="H695" s="6" t="str">
        <x:v>202</x:v>
      </x:c>
      <x:c r="I695" s="6" t="str">
        <x:v>28</x:v>
      </x:c>
      <x:c r="J695" s="6" t="str">
        <x:v>19</x:v>
      </x:c>
      <x:c r="K695" s="6" t="str">
        <x:v>0</x:v>
      </x:c>
      <x:c r="L695" s="6" t="str">
        <x:v>0</x:v>
      </x:c>
      <x:c r="M695" s="6" t="str">
        <x:v>83</x:v>
      </x:c>
      <x:c r="N695" s="6" t="str">
        <x:v>453</x:v>
      </x:c>
      <x:c r="O695" s="6" t="str">
        <x:v>0</x:v>
      </x:c>
      <x:c r="P695" s="10" t="n">
        <x:f>F695-M695</x:f>
        <x:v>370</x:v>
      </x:c>
      <x:c r="Q695" s="11" t="n">
        <x:f>IFERROR(M695/F695,"")</x:f>
        <x:v>0.18322295805739514</x:v>
      </x:c>
      <x:c r="R695" s="10" t="n">
        <x:f>G695+H695</x:f>
        <x:v>323</x:v>
      </x:c>
      <x:c r="S695" s="11" t="n">
        <x:f>IFERROR(R695/F695,"")</x:f>
        <x:v>0.7130242825607064</x:v>
      </x:c>
      <x:c r="T695" s="11" t="n">
        <x:f>IFERROR(R695/P695,"")</x:f>
        <x:v>0.8729729729729729</x:v>
      </x:c>
      <x:c r="U695" s="10" t="n">
        <x:f>I695+J695+K695</x:f>
        <x:v>47</x:v>
      </x:c>
      <x:c r="V695" s="11" t="n">
        <x:f>IFERROR(U695/P695,"")</x:f>
        <x:v>0.12702702702702703</x:v>
      </x:c>
      <x:c r="W695" s="9" t="str">
        <x:v>provisional_gt_5pct_pending</x:v>
      </x:c>
      <x:c r="X695" s="12" t="n">
        <x:f>IFERROR(F695/Z695*100000,"")</x:f>
        <x:v>36.467557559169215</x:v>
      </x:c>
      <x:c r="Y695" s="13" t="n">
        <x:f>LN(Z695)</x:f>
        <x:v>14.03239455910734</x:v>
      </x:c>
      <x:c r="Z695" s="6" t="str">
        <x:v>1242200</x:v>
      </x:c>
      <x:c r="AA695" s="6" t="str">
        <x:v>103.0</x:v>
      </x:c>
      <x:c r="AB695" s="9" t="str">
        <x:v>2025-06-30</x:v>
      </x:c>
      <x:c r="AC695" s="8" t="str">
        <x:v>84.7</x:v>
      </x:c>
      <x:c r="AD695" s="9" t="str">
        <x:v>2025 (Susenas)</x:v>
      </x:c>
      <x:c r="AE695" s="8" t="str">
        <x:v>13.24</x:v>
      </x:c>
      <x:c r="AF695" s="9" t="str">
        <x:v>Maret 2025 (Susenas)</x:v>
      </x:c>
      <x:c r="AG695" s="6" t="str">
        <x:v>26.703333333333333</x:v>
      </x:c>
      <x:c r="AH695" s="8" t="str">
        <x:v>81.82666666666667</x:v>
      </x:c>
      <x:c r="AI695" s="6" t="str">
        <x:v>197.88333333333333</x:v>
      </x:c>
      <x:c r="AJ695" s="6" t="str">
        <x:v>-0.1393333333333331</x:v>
      </x:c>
      <x:c r="AK695" s="8" t="str">
        <x:v>-0.2554730891623444</x:v>
      </x:c>
      <x:c r="AL695" s="6" t="str">
        <x:v>-0.0458751850539492</x:v>
      </x:c>
      <x:c r="AM695" s="6" t="str">
        <x:v>-0.2774237760980067</x:v>
      </x:c>
      <x:c r="AN695" s="6" t="str">
        <x:v>-0.1929240167714331</x:v>
      </x:c>
      <x:c r="AO695" s="6" t="str">
        <x:v>3.60766666666666</x:v>
      </x:c>
      <x:c r="AP695" s="8" t="str">
        <x:v>0.6265201157831356</x:v>
      </x:c>
      <x:c r="AQ695" s="6" t="str">
        <x:v>1.037361512322149</x:v>
      </x:c>
      <x:c r="AR695" s="6" t="str">
        <x:v>0.8696494095002371</x:v>
      </x:c>
      <x:c r="AS695" s="6" t="str">
        <x:v>0.8445103458685067</x:v>
      </x:c>
      <x:c r="AT695" s="6" t="str">
        <x:v>73.09455555555556</x:v>
      </x:c>
      <x:c r="AU695" s="8" t="str">
        <x:v>1.011380002735197</x:v>
      </x:c>
      <x:c r="AV695" s="6" t="str">
        <x:v>1.1056184864139378</x:v>
      </x:c>
      <x:c r="AW695" s="6" t="str">
        <x:v>1.9839167793766448</x:v>
      </x:c>
      <x:c r="AX695" s="6" t="str">
        <x:v>1.3669717561752597</x:v>
      </x:c>
      <x:c r="AY695" s="6" t="str">
        <x:v>1</x:v>
      </x:c>
      <x:c r="AZ695" s="6" t="str">
        <x:v>0</x:v>
      </x:c>
      <x:c r="BA695" s="9" t="str">
        <x:v>grid_cells_within_BIG_polygon</x:v>
      </x:c>
      <x:c r="BB695" s="6" t="str">
        <x:v>3</x:v>
      </x:c>
      <x:c r="BC695" s="6" t="str">
        <x:v>0</x:v>
      </x:c>
      <x:c r="BD695" s="6" t="str">
        <x:v>0</x:v>
      </x:c>
      <x:c r="BE695" s="6" t="str">
        <x:v>0</x:v>
      </x:c>
      <x:c r="BF695" s="6" t="str">
        <x:v>0</x:v>
      </x:c>
      <x:c r="BG695" s="6" t="str">
        <x:v>0</x:v>
      </x:c>
      <x:c r="BH695" s="6" t="str">
        <x:v>0</x:v>
      </x:c>
      <x:c r="BI695" s="6" t="str">
        <x:v>0</x:v>
      </x:c>
      <x:c r="BJ695" s="6" t="str">
        <x:v>0</x:v>
      </x:c>
      <x:c r="BK695" s="6" t="str">
        <x:v>0</x:v>
      </x:c>
      <x:c r="BL695" s="6" t="str">
        <x:v>0</x:v>
      </x:c>
      <x:c r="BM695" s="6" t="str">
        <x:v>0</x:v>
      </x:c>
      <x:c r="BN695" s="6" t="str">
        <x:v>0</x:v>
      </x:c>
      <x:c r="BO695" s="6" t="str"/>
      <x:c r="BP695" s="6" t="str">
        <x:v>0</x:v>
      </x:c>
      <x:c r="BQ695" s="6" t="str"/>
      <x:c r="BR695" s="6" t="str">
        <x:v>0</x:v>
      </x:c>
      <x:c r="BS695" s="6" t="str"/>
      <x:c r="BT695" s="6" t="str">
        <x:v>0</x:v>
      </x:c>
      <x:c r="BU695" s="6" t="str"/>
      <x:c r="BV695" s="6" t="str">
        <x:v>0</x:v>
      </x:c>
      <x:c r="BW695" s="9" t="str">
        <x:v>operational_snapshot_annual_totals_may_differ</x:v>
      </x:c>
      <x:c r="BX695" s="9" t="str">
        <x:v>official_live_dashboard_snapshot_subject_to_revision</x:v>
      </x:c>
      <x:c r="BY695" s="9" t="str">
        <x:v>https://tbdashboard.sitb.id/ss_data_tbc03so_2025_provinsi_bulanan_list.php</x:v>
      </x:c>
      <x:c r="BZ695" s="6" t="n">
        <x:v>46246.610671296294</x:v>
      </x:c>
    </x:row>
    <x:row r="696" ht="18" customHeight="1">
      <x:c r="A696" s="6" t="str">
        <x:v>75</x:v>
      </x:c>
      <x:c r="B696" s="6" t="str">
        <x:v>GORONTALO</x:v>
      </x:c>
      <x:c r="C696" s="6" t="str">
        <x:v>2025</x:v>
      </x:c>
      <x:c r="D696" s="6" t="str">
        <x:v>11</x:v>
      </x:c>
      <x:c r="E696" s="6" t="str">
        <x:v>2025-11</x:v>
      </x:c>
      <x:c r="F696" s="6" t="str">
        <x:v>379</x:v>
      </x:c>
      <x:c r="G696" s="6" t="str">
        <x:v>83</x:v>
      </x:c>
      <x:c r="H696" s="6" t="str">
        <x:v>182</x:v>
      </x:c>
      <x:c r="I696" s="6" t="str">
        <x:v>25</x:v>
      </x:c>
      <x:c r="J696" s="6" t="str">
        <x:v>17</x:v>
      </x:c>
      <x:c r="K696" s="6" t="str">
        <x:v>0</x:v>
      </x:c>
      <x:c r="L696" s="6" t="str">
        <x:v>0</x:v>
      </x:c>
      <x:c r="M696" s="6" t="str">
        <x:v>72</x:v>
      </x:c>
      <x:c r="N696" s="6" t="str">
        <x:v>379</x:v>
      </x:c>
      <x:c r="O696" s="6" t="str">
        <x:v>0</x:v>
      </x:c>
      <x:c r="P696" s="10" t="n">
        <x:f>F696-M696</x:f>
        <x:v>307</x:v>
      </x:c>
      <x:c r="Q696" s="11" t="n">
        <x:f>IFERROR(M696/F696,"")</x:f>
        <x:v>0.18997361477572558</x:v>
      </x:c>
      <x:c r="R696" s="10" t="n">
        <x:f>G696+H696</x:f>
        <x:v>265</x:v>
      </x:c>
      <x:c r="S696" s="11" t="n">
        <x:f>IFERROR(R696/F696,"")</x:f>
        <x:v>0.6992084432717678</x:v>
      </x:c>
      <x:c r="T696" s="11" t="n">
        <x:f>IFERROR(R696/P696,"")</x:f>
        <x:v>0.8631921824104235</x:v>
      </x:c>
      <x:c r="U696" s="10" t="n">
        <x:f>I696+J696+K696</x:f>
        <x:v>42</x:v>
      </x:c>
      <x:c r="V696" s="11" t="n">
        <x:f>IFERROR(U696/P696,"")</x:f>
        <x:v>0.13680781758957655</x:v>
      </x:c>
      <x:c r="W696" s="9" t="str">
        <x:v>provisional_gt_5pct_pending</x:v>
      </x:c>
      <x:c r="X696" s="12" t="n">
        <x:f>IFERROR(F696/Z696*100000,"")</x:f>
        <x:v>30.510384801159237</x:v>
      </x:c>
      <x:c r="Y696" s="13" t="n">
        <x:f>LN(Z696)</x:f>
        <x:v>14.03239455910734</x:v>
      </x:c>
      <x:c r="Z696" s="6" t="str">
        <x:v>1242200</x:v>
      </x:c>
      <x:c r="AA696" s="6" t="str">
        <x:v>103.0</x:v>
      </x:c>
      <x:c r="AB696" s="9" t="str">
        <x:v>2025-06-30</x:v>
      </x:c>
      <x:c r="AC696" s="8" t="str">
        <x:v>84.7</x:v>
      </x:c>
      <x:c r="AD696" s="9" t="str">
        <x:v>2025 (Susenas)</x:v>
      </x:c>
      <x:c r="AE696" s="8" t="str">
        <x:v>13.24</x:v>
      </x:c>
      <x:c r="AF696" s="9" t="str">
        <x:v>Maret 2025 (Susenas)</x:v>
      </x:c>
      <x:c r="AG696" s="6" t="str">
        <x:v>26.87333333333333</x:v>
      </x:c>
      <x:c r="AH696" s="8" t="str">
        <x:v>82.94666666666667</x:v>
      </x:c>
      <x:c r="AI696" s="6" t="str">
        <x:v>204.7</x:v>
      </x:c>
      <x:c r="AJ696" s="6" t="str">
        <x:v>0.0256666666666696</x:v>
      </x:c>
      <x:c r="AK696" s="8" t="str">
        <x:v>0.045910684194048</x:v>
      </x:c>
      <x:c r="AL696" s="6" t="str">
        <x:v>-0.2554730891623444</x:v>
      </x:c>
      <x:c r="AM696" s="6" t="str">
        <x:v>-0.0458751850539492</x:v>
      </x:c>
      <x:c r="AN696" s="6" t="str">
        <x:v>-0.0851458633407481</x:v>
      </x:c>
      <x:c r="AO696" s="6" t="str">
        <x:v>2.63633333333334</x:v>
      </x:c>
      <x:c r="AP696" s="8" t="str">
        <x:v>0.6266622591306755</x:v>
      </x:c>
      <x:c r="AQ696" s="6" t="str">
        <x:v>0.6265201157831356</x:v>
      </x:c>
      <x:c r="AR696" s="6" t="str">
        <x:v>1.037361512322149</x:v>
      </x:c>
      <x:c r="AS696" s="6" t="str">
        <x:v>0.763514629078653</x:v>
      </x:c>
      <x:c r="AT696" s="6" t="str">
        <x:v>46.58999999999995</x:v>
      </x:c>
      <x:c r="AU696" s="8" t="str">
        <x:v>0.8704699791396878</x:v>
      </x:c>
      <x:c r="AV696" s="6" t="str">
        <x:v>1.011380002735197</x:v>
      </x:c>
      <x:c r="AW696" s="6" t="str">
        <x:v>1.1056184864139378</x:v>
      </x:c>
      <x:c r="AX696" s="6" t="str">
        <x:v>0.9958228227629408</x:v>
      </x:c>
      <x:c r="AY696" s="6" t="str">
        <x:v>0</x:v>
      </x:c>
      <x:c r="AZ696" s="6" t="str">
        <x:v>0</x:v>
      </x:c>
      <x:c r="BA696" s="9" t="str">
        <x:v>grid_cells_within_BIG_polygon</x:v>
      </x:c>
      <x:c r="BB696" s="6" t="str">
        <x:v>3</x:v>
      </x:c>
      <x:c r="BC696" s="6" t="str">
        <x:v>0</x:v>
      </x:c>
      <x:c r="BD696" s="6" t="str">
        <x:v>0</x:v>
      </x:c>
      <x:c r="BE696" s="6" t="str">
        <x:v>0</x:v>
      </x:c>
      <x:c r="BF696" s="6" t="str">
        <x:v>0</x:v>
      </x:c>
      <x:c r="BG696" s="6" t="str">
        <x:v>0</x:v>
      </x:c>
      <x:c r="BH696" s="6" t="str">
        <x:v>0</x:v>
      </x:c>
      <x:c r="BI696" s="6" t="str">
        <x:v>0</x:v>
      </x:c>
      <x:c r="BJ696" s="6" t="str">
        <x:v>0</x:v>
      </x:c>
      <x:c r="BK696" s="6" t="str">
        <x:v>0</x:v>
      </x:c>
      <x:c r="BL696" s="6" t="str">
        <x:v>0</x:v>
      </x:c>
      <x:c r="BM696" s="6" t="str">
        <x:v>0</x:v>
      </x:c>
      <x:c r="BN696" s="6" t="str">
        <x:v>0</x:v>
      </x:c>
      <x:c r="BO696" s="6" t="str"/>
      <x:c r="BP696" s="6" t="str">
        <x:v>0</x:v>
      </x:c>
      <x:c r="BQ696" s="6" t="str"/>
      <x:c r="BR696" s="6" t="str">
        <x:v>0</x:v>
      </x:c>
      <x:c r="BS696" s="6" t="str"/>
      <x:c r="BT696" s="6" t="str">
        <x:v>0</x:v>
      </x:c>
      <x:c r="BU696" s="6" t="str"/>
      <x:c r="BV696" s="6" t="str">
        <x:v>0</x:v>
      </x:c>
      <x:c r="BW696" s="9" t="str">
        <x:v>operational_snapshot_annual_totals_may_differ</x:v>
      </x:c>
      <x:c r="BX696" s="9" t="str">
        <x:v>official_live_dashboard_snapshot_subject_to_revision</x:v>
      </x:c>
      <x:c r="BY696" s="9" t="str">
        <x:v>https://tbdashboard.sitb.id/ss_data_tbc03so_2025_provinsi_bulanan_list.php</x:v>
      </x:c>
      <x:c r="BZ696" s="6" t="n">
        <x:v>46246.610671296294</x:v>
      </x:c>
    </x:row>
    <x:row r="697" ht="18" customHeight="1">
      <x:c r="A697" s="6" t="str">
        <x:v>75</x:v>
      </x:c>
      <x:c r="B697" s="6" t="str">
        <x:v>GORONTALO</x:v>
      </x:c>
      <x:c r="C697" s="6" t="str">
        <x:v>2025</x:v>
      </x:c>
      <x:c r="D697" s="6" t="str">
        <x:v>12</x:v>
      </x:c>
      <x:c r="E697" s="6" t="str">
        <x:v>2025-12</x:v>
      </x:c>
      <x:c r="F697" s="6" t="str">
        <x:v>374</x:v>
      </x:c>
      <x:c r="G697" s="6" t="str">
        <x:v>79</x:v>
      </x:c>
      <x:c r="H697" s="6" t="str">
        <x:v>161</x:v>
      </x:c>
      <x:c r="I697" s="6" t="str">
        <x:v>27</x:v>
      </x:c>
      <x:c r="J697" s="6" t="str">
        <x:v>11</x:v>
      </x:c>
      <x:c r="K697" s="6" t="str">
        <x:v>0</x:v>
      </x:c>
      <x:c r="L697" s="6" t="str">
        <x:v>0</x:v>
      </x:c>
      <x:c r="M697" s="6" t="str">
        <x:v>96</x:v>
      </x:c>
      <x:c r="N697" s="6" t="str">
        <x:v>374</x:v>
      </x:c>
      <x:c r="O697" s="6" t="str">
        <x:v>0</x:v>
      </x:c>
      <x:c r="P697" s="10" t="n">
        <x:f>F697-M697</x:f>
        <x:v>278</x:v>
      </x:c>
      <x:c r="Q697" s="11" t="n">
        <x:f>IFERROR(M697/F697,"")</x:f>
        <x:v>0.25668449197860965</x:v>
      </x:c>
      <x:c r="R697" s="10" t="n">
        <x:f>G697+H697</x:f>
        <x:v>240</x:v>
      </x:c>
      <x:c r="S697" s="11" t="n">
        <x:f>IFERROR(R697/F697,"")</x:f>
        <x:v>0.6417112299465241</x:v>
      </x:c>
      <x:c r="T697" s="11" t="n">
        <x:f>IFERROR(R697/P697,"")</x:f>
        <x:v>0.8633093525179856</x:v>
      </x:c>
      <x:c r="U697" s="10" t="n">
        <x:f>I697+J697+K697</x:f>
        <x:v>38</x:v>
      </x:c>
      <x:c r="V697" s="11" t="n">
        <x:f>IFERROR(U697/P697,"")</x:f>
        <x:v>0.1366906474820144</x:v>
      </x:c>
      <x:c r="W697" s="9" t="str">
        <x:v>provisional_gt_5pct_pending</x:v>
      </x:c>
      <x:c r="X697" s="12" t="n">
        <x:f>IFERROR(F697/Z697*100000,"")</x:f>
        <x:v>30.10787312832072</x:v>
      </x:c>
      <x:c r="Y697" s="13" t="n">
        <x:f>LN(Z697)</x:f>
        <x:v>14.03239455910734</x:v>
      </x:c>
      <x:c r="Z697" s="6" t="str">
        <x:v>1242200</x:v>
      </x:c>
      <x:c r="AA697" s="6" t="str">
        <x:v>103.0</x:v>
      </x:c>
      <x:c r="AB697" s="9" t="str">
        <x:v>2025-06-30</x:v>
      </x:c>
      <x:c r="AC697" s="8" t="str">
        <x:v>84.7</x:v>
      </x:c>
      <x:c r="AD697" s="9" t="str">
        <x:v>2025 (Susenas)</x:v>
      </x:c>
      <x:c r="AE697" s="8" t="str">
        <x:v>13.24</x:v>
      </x:c>
      <x:c r="AF697" s="9" t="str">
        <x:v>Maret 2025 (Susenas)</x:v>
      </x:c>
      <x:c r="AG697" s="6" t="str">
        <x:v>26.42</x:v>
      </x:c>
      <x:c r="AH697" s="8" t="str">
        <x:v>84.52999999999999</x:v>
      </x:c>
      <x:c r="AI697" s="6" t="str">
        <x:v>206.66666666666663</x:v>
      </x:c>
      <x:c r="AJ697" s="6" t="str">
        <x:v>-0.0754444444444466</x:v>
      </x:c>
      <x:c r="AK697" s="8" t="str">
        <x:v>-0.1331066882898575</x:v>
      </x:c>
      <x:c r="AL697" s="6" t="str">
        <x:v>0.045910684194048</x:v>
      </x:c>
      <x:c r="AM697" s="6" t="str">
        <x:v>-0.2554730891623444</x:v>
      </x:c>
      <x:c r="AN697" s="6" t="str">
        <x:v>-0.1142230310860509</x:v>
      </x:c>
      <x:c r="AO697" s="6" t="str">
        <x:v>2.2419999999999902</x:v>
      </x:c>
      <x:c r="AP697" s="8" t="str">
        <x:v>0.687658403723303</x:v>
      </x:c>
      <x:c r="AQ697" s="6" t="str">
        <x:v>0.6266622591306755</x:v>
      </x:c>
      <x:c r="AR697" s="6" t="str">
        <x:v>0.6265201157831356</x:v>
      </x:c>
      <x:c r="AS697" s="6" t="str">
        <x:v>0.646946926212371</x:v>
      </x:c>
      <x:c r="AT697" s="6" t="str">
        <x:v>34.978333333333325</x:v>
      </x:c>
      <x:c r="AU697" s="8" t="str">
        <x:v>0.5942680684910051</x:v>
      </x:c>
      <x:c r="AV697" s="6" t="str">
        <x:v>0.8704699791396878</x:v>
      </x:c>
      <x:c r="AW697" s="6" t="str">
        <x:v>1.011380002735197</x:v>
      </x:c>
      <x:c r="AX697" s="6" t="str">
        <x:v>0.8253726834552965</x:v>
      </x:c>
      <x:c r="AY697" s="6" t="str">
        <x:v>0</x:v>
      </x:c>
      <x:c r="AZ697" s="6" t="str">
        <x:v>0</x:v>
      </x:c>
      <x:c r="BA697" s="9" t="str">
        <x:v>grid_cells_within_BIG_polygon</x:v>
      </x:c>
      <x:c r="BB697" s="6" t="str">
        <x:v>3</x:v>
      </x:c>
      <x:c r="BC697" s="6" t="str">
        <x:v>2</x:v>
      </x:c>
      <x:c r="BD697" s="6" t="str">
        <x:v>2</x:v>
      </x:c>
      <x:c r="BE697" s="6" t="str">
        <x:v>2</x:v>
      </x:c>
      <x:c r="BF697" s="6" t="str">
        <x:v>0</x:v>
      </x:c>
      <x:c r="BG697" s="6" t="str">
        <x:v>0</x:v>
      </x:c>
      <x:c r="BH697" s="6" t="str">
        <x:v>0</x:v>
      </x:c>
      <x:c r="BI697" s="6" t="str">
        <x:v>0</x:v>
      </x:c>
      <x:c r="BJ697" s="6" t="str">
        <x:v>0</x:v>
      </x:c>
      <x:c r="BK697" s="6" t="str">
        <x:v>0</x:v>
      </x:c>
      <x:c r="BL697" s="6" t="str">
        <x:v>0</x:v>
      </x:c>
      <x:c r="BM697" s="6" t="str">
        <x:v>0</x:v>
      </x:c>
      <x:c r="BN697" s="6" t="str">
        <x:v>2</x:v>
      </x:c>
      <x:c r="BO697" s="6" t="str"/>
      <x:c r="BP697" s="6" t="str">
        <x:v>0</x:v>
      </x:c>
      <x:c r="BQ697" s="6" t="str"/>
      <x:c r="BR697" s="6" t="str">
        <x:v>0</x:v>
      </x:c>
      <x:c r="BS697" s="6" t="str">
        <x:v>0.0</x:v>
      </x:c>
      <x:c r="BT697" s="6" t="str">
        <x:v>2</x:v>
      </x:c>
      <x:c r="BU697" s="6" t="str">
        <x:v>110.0</x:v>
      </x:c>
      <x:c r="BV697" s="6" t="str">
        <x:v>2</x:v>
      </x:c>
      <x:c r="BW697" s="9" t="str">
        <x:v>operational_snapshot_annual_totals_may_differ</x:v>
      </x:c>
      <x:c r="BX697" s="9" t="str">
        <x:v>official_live_dashboard_snapshot_subject_to_revision</x:v>
      </x:c>
      <x:c r="BY697" s="9" t="str">
        <x:v>https://tbdashboard.sitb.id/ss_data_tbc03so_2025_provinsi_bulanan_list.php</x:v>
      </x:c>
      <x:c r="BZ697" s="6" t="n">
        <x:v>46246.610671296294</x:v>
      </x:c>
    </x:row>
    <x:row r="698" ht="18" customHeight="1">
      <x:c r="A698" s="6" t="str">
        <x:v>76</x:v>
      </x:c>
      <x:c r="B698" s="6" t="str">
        <x:v>SULAWESI BARAT</x:v>
      </x:c>
      <x:c r="C698" s="6" t="str">
        <x:v>2024</x:v>
      </x:c>
      <x:c r="D698" s="6" t="str">
        <x:v>1</x:v>
      </x:c>
      <x:c r="E698" s="6" t="str">
        <x:v>2024-01</x:v>
      </x:c>
      <x:c r="F698" s="6" t="str">
        <x:v>329</x:v>
      </x:c>
      <x:c r="G698" s="6" t="str">
        <x:v>112</x:v>
      </x:c>
      <x:c r="H698" s="6" t="str">
        <x:v>180</x:v>
      </x:c>
      <x:c r="I698" s="6" t="str">
        <x:v>19</x:v>
      </x:c>
      <x:c r="J698" s="6" t="str">
        <x:v>18</x:v>
      </x:c>
      <x:c r="K698" s="6" t="str">
        <x:v>0</x:v>
      </x:c>
      <x:c r="L698" s="6" t="str">
        <x:v>0</x:v>
      </x:c>
      <x:c r="M698" s="6" t="str">
        <x:v>0</x:v>
      </x:c>
      <x:c r="N698" s="6" t="str">
        <x:v>329</x:v>
      </x:c>
      <x:c r="O698" s="6" t="str">
        <x:v>0</x:v>
      </x:c>
      <x:c r="P698" s="10" t="n">
        <x:f>F698-M698</x:f>
        <x:v>329</x:v>
      </x:c>
      <x:c r="Q698" s="11" t="n">
        <x:f>IFERROR(M698/F698,"")</x:f>
        <x:v>0</x:v>
      </x:c>
      <x:c r="R698" s="10" t="n">
        <x:f>G698+H698</x:f>
        <x:v>292</x:v>
      </x:c>
      <x:c r="S698" s="11" t="n">
        <x:f>IFERROR(R698/F698,"")</x:f>
        <x:v>0.8875379939209727</x:v>
      </x:c>
      <x:c r="T698" s="11" t="n">
        <x:f>IFERROR(R698/P698,"")</x:f>
        <x:v>0.8875379939209727</x:v>
      </x:c>
      <x:c r="U698" s="10" t="n">
        <x:f>I698+J698+K698</x:f>
        <x:v>37</x:v>
      </x:c>
      <x:c r="V698" s="11" t="n">
        <x:f>IFERROR(U698/P698,"")</x:f>
        <x:v>0.11246200607902736</x:v>
      </x:c>
      <x:c r="W698" s="9" t="str">
        <x:v>mature_le_5pct_pending</x:v>
      </x:c>
      <x:c r="X698" s="12" t="n">
        <x:f>IFERROR(F698/Z698*100000,"")</x:f>
        <x:v>21.886641830761043</x:v>
      </x:c>
      <x:c r="Y698" s="13" t="n">
        <x:f>LN(Z698)</x:f>
        <x:v>14.223106727081392</x:v>
      </x:c>
      <x:c r="Z698" s="6" t="str">
        <x:v>1503200</x:v>
      </x:c>
      <x:c r="AA698" s="6" t="str">
        <x:v>91.0</x:v>
      </x:c>
      <x:c r="AB698" s="9" t="str">
        <x:v>2024-06-30</x:v>
      </x:c>
      <x:c r="AC698" s="8" t="str">
        <x:v>82.5</x:v>
      </x:c>
      <x:c r="AD698" s="9" t="str">
        <x:v>2024 (Susenas)</x:v>
      </x:c>
      <x:c r="AE698" s="8" t="str">
        <x:v>11.21</x:v>
      </x:c>
      <x:c r="AF698" s="9" t="str">
        <x:v>Maret 2024 (Susenas)</x:v>
      </x:c>
      <x:c r="AG698" s="6" t="str">
        <x:v>23.805796428795848</x:v>
      </x:c>
      <x:c r="AH698" s="8" t="str">
        <x:v>86.24177599161102</x:v>
      </x:c>
      <x:c r="AI698" s="6" t="str">
        <x:v>235.27413868694012</x:v>
      </x:c>
      <x:c r="AJ698" s="6" t="str">
        <x:v>0.9686176049936996</x:v>
      </x:c>
      <x:c r="AK698" s="8" t="str">
        <x:v>2.246866072087012</x:v>
      </x:c>
      <x:c r="AL698" s="6" t="str">
        <x:v>3.221492330819568</x:v>
      </x:c>
      <x:c r="AM698" s="6" t="str">
        <x:v>3.157210470405541</x:v>
      </x:c>
      <x:c r="AN698" s="6" t="str">
        <x:v>2.8751896244373736</x:v>
      </x:c>
      <x:c r="AO698" s="6" t="str">
        <x:v>-1.5331811723273034</x:v>
      </x:c>
      <x:c r="AP698" s="8" t="str">
        <x:v>-0.8828415402774881</x:v>
      </x:c>
      <x:c r="AQ698" s="6" t="str">
        <x:v>-1.1883696963883017</x:v>
      </x:c>
      <x:c r="AR698" s="6" t="str">
        <x:v>-1.3137055271122953</x:v>
      </x:c>
      <x:c r="AS698" s="6" t="str">
        <x:v>-1.1283055879260289</x:v>
      </x:c>
      <x:c r="AT698" s="6" t="str">
        <x:v>0.2054889899079626</x:v>
      </x:c>
      <x:c r="AU698" s="8" t="str">
        <x:v>0.0019280740220329</x:v>
      </x:c>
      <x:c r="AV698" s="6" t="str">
        <x:v>-0.6789004950001755</x:v>
      </x:c>
      <x:c r="AW698" s="6" t="str">
        <x:v>-0.5441686732065788</x:v>
      </x:c>
      <x:c r="AX698" s="6" t="str">
        <x:v>-0.4070470313949073</x:v>
      </x:c>
      <x:c r="AY698" s="6" t="str">
        <x:v>0</x:v>
      </x:c>
      <x:c r="AZ698" s="6" t="str">
        <x:v>1</x:v>
      </x:c>
      <x:c r="BA698" s="9" t="str">
        <x:v>grid_cells_within_BIG_polygon</x:v>
      </x:c>
      <x:c r="BB698" s="6" t="str">
        <x:v>4</x:v>
      </x:c>
      <x:c r="BC698" s="6" t="str">
        <x:v>1</x:v>
      </x:c>
      <x:c r="BD698" s="6" t="str">
        <x:v>1</x:v>
      </x:c>
      <x:c r="BE698" s="6" t="str">
        <x:v>1</x:v>
      </x:c>
      <x:c r="BF698" s="6" t="str">
        <x:v>0</x:v>
      </x:c>
      <x:c r="BG698" s="6" t="str">
        <x:v>0</x:v>
      </x:c>
      <x:c r="BH698" s="6" t="str">
        <x:v>0</x:v>
      </x:c>
      <x:c r="BI698" s="6" t="str">
        <x:v>0</x:v>
      </x:c>
      <x:c r="BJ698" s="6" t="str">
        <x:v>0</x:v>
      </x:c>
      <x:c r="BK698" s="6" t="str">
        <x:v>0</x:v>
      </x:c>
      <x:c r="BL698" s="6" t="str">
        <x:v>0</x:v>
      </x:c>
      <x:c r="BM698" s="6" t="str">
        <x:v>0</x:v>
      </x:c>
      <x:c r="BN698" s="6" t="str">
        <x:v>1</x:v>
      </x:c>
      <x:c r="BO698" s="6" t="str">
        <x:v>0.0</x:v>
      </x:c>
      <x:c r="BP698" s="6" t="str">
        <x:v>1</x:v>
      </x:c>
      <x:c r="BQ698" s="6" t="str">
        <x:v>0.0</x:v>
      </x:c>
      <x:c r="BR698" s="6" t="str">
        <x:v>1</x:v>
      </x:c>
      <x:c r="BS698" s="6" t="str">
        <x:v>0.0</x:v>
      </x:c>
      <x:c r="BT698" s="6" t="str">
        <x:v>1</x:v>
      </x:c>
      <x:c r="BU698" s="6" t="str">
        <x:v>559.0</x:v>
      </x:c>
      <x:c r="BV698" s="6" t="str">
        <x:v>1</x:v>
      </x:c>
      <x:c r="BW698" s="9" t="str">
        <x:v>operational_snapshot_annual_totals_may_differ</x:v>
      </x:c>
      <x:c r="BX698" s="9" t="str">
        <x:v>official_live_dashboard_snapshot_subject_to_revision</x:v>
      </x:c>
      <x:c r="BY698" s="9" t="str">
        <x:v>https://tbdashboard.sitb.id/ss_data_tbc03so_2024_provinsi_bulanan_list.php</x:v>
      </x:c>
      <x:c r="BZ698" s="6" t="n">
        <x:v>46246.610671296294</x:v>
      </x:c>
    </x:row>
    <x:row r="699" ht="18" customHeight="1">
      <x:c r="A699" s="6" t="str">
        <x:v>76</x:v>
      </x:c>
      <x:c r="B699" s="6" t="str">
        <x:v>SULAWESI BARAT</x:v>
      </x:c>
      <x:c r="C699" s="6" t="str">
        <x:v>2024</x:v>
      </x:c>
      <x:c r="D699" s="6" t="str">
        <x:v>2</x:v>
      </x:c>
      <x:c r="E699" s="6" t="str">
        <x:v>2024-02</x:v>
      </x:c>
      <x:c r="F699" s="6" t="str">
        <x:v>318</x:v>
      </x:c>
      <x:c r="G699" s="6" t="str">
        <x:v>104</x:v>
      </x:c>
      <x:c r="H699" s="6" t="str">
        <x:v>167</x:v>
      </x:c>
      <x:c r="I699" s="6" t="str">
        <x:v>27</x:v>
      </x:c>
      <x:c r="J699" s="6" t="str">
        <x:v>20</x:v>
      </x:c>
      <x:c r="K699" s="6" t="str">
        <x:v>0</x:v>
      </x:c>
      <x:c r="L699" s="6" t="str">
        <x:v>0</x:v>
      </x:c>
      <x:c r="M699" s="6" t="str">
        <x:v>0</x:v>
      </x:c>
      <x:c r="N699" s="6" t="str">
        <x:v>318</x:v>
      </x:c>
      <x:c r="O699" s="6" t="str">
        <x:v>0</x:v>
      </x:c>
      <x:c r="P699" s="10" t="n">
        <x:f>F699-M699</x:f>
        <x:v>318</x:v>
      </x:c>
      <x:c r="Q699" s="11" t="n">
        <x:f>IFERROR(M699/F699,"")</x:f>
        <x:v>0</x:v>
      </x:c>
      <x:c r="R699" s="10" t="n">
        <x:f>G699+H699</x:f>
        <x:v>271</x:v>
      </x:c>
      <x:c r="S699" s="11" t="n">
        <x:f>IFERROR(R699/F699,"")</x:f>
        <x:v>0.8522012578616353</x:v>
      </x:c>
      <x:c r="T699" s="11" t="n">
        <x:f>IFERROR(R699/P699,"")</x:f>
        <x:v>0.8522012578616353</x:v>
      </x:c>
      <x:c r="U699" s="10" t="n">
        <x:f>I699+J699+K699</x:f>
        <x:v>47</x:v>
      </x:c>
      <x:c r="V699" s="11" t="n">
        <x:f>IFERROR(U699/P699,"")</x:f>
        <x:v>0.14779874213836477</x:v>
      </x:c>
      <x:c r="W699" s="9" t="str">
        <x:v>mature_le_5pct_pending</x:v>
      </x:c>
      <x:c r="X699" s="12" t="n">
        <x:f>IFERROR(F699/Z699*100000,"")</x:f>
        <x:v>21.154869611495474</x:v>
      </x:c>
      <x:c r="Y699" s="13" t="n">
        <x:f>LN(Z699)</x:f>
        <x:v>14.223106727081392</x:v>
      </x:c>
      <x:c r="Z699" s="6" t="str">
        <x:v>1503200</x:v>
      </x:c>
      <x:c r="AA699" s="6" t="str">
        <x:v>91.0</x:v>
      </x:c>
      <x:c r="AB699" s="9" t="str">
        <x:v>2024-06-30</x:v>
      </x:c>
      <x:c r="AC699" s="8" t="str">
        <x:v>82.5</x:v>
      </x:c>
      <x:c r="AD699" s="9" t="str">
        <x:v>2024 (Susenas)</x:v>
      </x:c>
      <x:c r="AE699" s="8" t="str">
        <x:v>11.21</x:v>
      </x:c>
      <x:c r="AF699" s="9" t="str">
        <x:v>Maret 2024 (Susenas)</x:v>
      </x:c>
      <x:c r="AG699" s="6" t="str">
        <x:v>24.140767284032457</x:v>
      </x:c>
      <x:c r="AH699" s="8" t="str">
        <x:v>86.5942167019906</x:v>
      </x:c>
      <x:c r="AI699" s="6" t="str">
        <x:v>223.7893156182245</x:v>
      </x:c>
      <x:c r="AJ699" s="6" t="str">
        <x:v>1.2250948763018492</x:v>
      </x:c>
      <x:c r="AK699" s="8" t="str">
        <x:v>2.825879114666884</x:v>
      </x:c>
      <x:c r="AL699" s="6" t="str">
        <x:v>2.246866072087012</x:v>
      </x:c>
      <x:c r="AM699" s="6" t="str">
        <x:v>3.221492330819568</x:v>
      </x:c>
      <x:c r="AN699" s="6" t="str">
        <x:v>2.764745839191155</x:v>
      </x:c>
      <x:c r="AO699" s="6" t="str">
        <x:v>-0.6851281251247912</x:v>
      </x:c>
      <x:c r="AP699" s="8" t="str">
        <x:v>-0.4262653792163968</x:v>
      </x:c>
      <x:c r="AQ699" s="6" t="str">
        <x:v>-0.8828415402774881</x:v>
      </x:c>
      <x:c r="AR699" s="6" t="str">
        <x:v>-1.1883696963883017</x:v>
      </x:c>
      <x:c r="AS699" s="6" t="str">
        <x:v>-0.8324922052940629</x:v>
      </x:c>
      <x:c r="AT699" s="6" t="str">
        <x:v>49.69905064714641</x:v>
      </x:c>
      <x:c r="AU699" s="8" t="str">
        <x:v>0.6697168064371356</x:v>
      </x:c>
      <x:c r="AV699" s="6" t="str">
        <x:v>0.0019280740220329</x:v>
      </x:c>
      <x:c r="AW699" s="6" t="str">
        <x:v>-0.6789004950001755</x:v>
      </x:c>
      <x:c r="AX699" s="6" t="str">
        <x:v>-0.0024185381803358</x:v>
      </x:c>
      <x:c r="AY699" s="6" t="str">
        <x:v>0</x:v>
      </x:c>
      <x:c r="AZ699" s="6" t="str">
        <x:v>1</x:v>
      </x:c>
      <x:c r="BA699" s="9" t="str">
        <x:v>grid_cells_within_BIG_polygon</x:v>
      </x:c>
      <x:c r="BB699" s="6" t="str">
        <x:v>4</x:v>
      </x:c>
      <x:c r="BC699" s="6" t="str">
        <x:v>0</x:v>
      </x:c>
      <x:c r="BD699" s="6" t="str">
        <x:v>0</x:v>
      </x:c>
      <x:c r="BE699" s="6" t="str">
        <x:v>0</x:v>
      </x:c>
      <x:c r="BF699" s="6" t="str">
        <x:v>0</x:v>
      </x:c>
      <x:c r="BG699" s="6" t="str">
        <x:v>0</x:v>
      </x:c>
      <x:c r="BH699" s="6" t="str">
        <x:v>0</x:v>
      </x:c>
      <x:c r="BI699" s="6" t="str">
        <x:v>0</x:v>
      </x:c>
      <x:c r="BJ699" s="6" t="str">
        <x:v>0</x:v>
      </x:c>
      <x:c r="BK699" s="6" t="str">
        <x:v>0</x:v>
      </x:c>
      <x:c r="BL699" s="6" t="str">
        <x:v>0</x:v>
      </x:c>
      <x:c r="BM699" s="6" t="str">
        <x:v>0</x:v>
      </x:c>
      <x:c r="BN699" s="6" t="str">
        <x:v>0</x:v>
      </x:c>
      <x:c r="BO699" s="6" t="str"/>
      <x:c r="BP699" s="6" t="str">
        <x:v>0</x:v>
      </x:c>
      <x:c r="BQ699" s="6" t="str"/>
      <x:c r="BR699" s="6" t="str">
        <x:v>0</x:v>
      </x:c>
      <x:c r="BS699" s="6" t="str"/>
      <x:c r="BT699" s="6" t="str">
        <x:v>0</x:v>
      </x:c>
      <x:c r="BU699" s="6" t="str"/>
      <x:c r="BV699" s="6" t="str">
        <x:v>0</x:v>
      </x:c>
      <x:c r="BW699" s="9" t="str">
        <x:v>operational_snapshot_annual_totals_may_differ</x:v>
      </x:c>
      <x:c r="BX699" s="9" t="str">
        <x:v>official_live_dashboard_snapshot_subject_to_revision</x:v>
      </x:c>
      <x:c r="BY699" s="9" t="str">
        <x:v>https://tbdashboard.sitb.id/ss_data_tbc03so_2024_provinsi_bulanan_list.php</x:v>
      </x:c>
      <x:c r="BZ699" s="6" t="n">
        <x:v>46246.610671296294</x:v>
      </x:c>
    </x:row>
    <x:row r="700" ht="18" customHeight="1">
      <x:c r="A700" s="6" t="str">
        <x:v>76</x:v>
      </x:c>
      <x:c r="B700" s="6" t="str">
        <x:v>SULAWESI BARAT</x:v>
      </x:c>
      <x:c r="C700" s="6" t="str">
        <x:v>2024</x:v>
      </x:c>
      <x:c r="D700" s="6" t="str">
        <x:v>3</x:v>
      </x:c>
      <x:c r="E700" s="6" t="str">
        <x:v>2024-03</x:v>
      </x:c>
      <x:c r="F700" s="6" t="str">
        <x:v>308</x:v>
      </x:c>
      <x:c r="G700" s="6" t="str">
        <x:v>97</x:v>
      </x:c>
      <x:c r="H700" s="6" t="str">
        <x:v>169</x:v>
      </x:c>
      <x:c r="I700" s="6" t="str">
        <x:v>27</x:v>
      </x:c>
      <x:c r="J700" s="6" t="str">
        <x:v>14</x:v>
      </x:c>
      <x:c r="K700" s="6" t="str">
        <x:v>0</x:v>
      </x:c>
      <x:c r="L700" s="6" t="str">
        <x:v>0</x:v>
      </x:c>
      <x:c r="M700" s="6" t="str">
        <x:v>1</x:v>
      </x:c>
      <x:c r="N700" s="6" t="str">
        <x:v>308</x:v>
      </x:c>
      <x:c r="O700" s="6" t="str">
        <x:v>0</x:v>
      </x:c>
      <x:c r="P700" s="10" t="n">
        <x:f>F700-M700</x:f>
        <x:v>307</x:v>
      </x:c>
      <x:c r="Q700" s="11" t="n">
        <x:f>IFERROR(M700/F700,"")</x:f>
        <x:v>0.003246753246753247</x:v>
      </x:c>
      <x:c r="R700" s="10" t="n">
        <x:f>G700+H700</x:f>
        <x:v>266</x:v>
      </x:c>
      <x:c r="S700" s="11" t="n">
        <x:f>IFERROR(R700/F700,"")</x:f>
        <x:v>0.8636363636363636</x:v>
      </x:c>
      <x:c r="T700" s="11" t="n">
        <x:f>IFERROR(R700/P700,"")</x:f>
        <x:v>0.8664495114006515</x:v>
      </x:c>
      <x:c r="U700" s="10" t="n">
        <x:f>I700+J700+K700</x:f>
        <x:v>41</x:v>
      </x:c>
      <x:c r="V700" s="11" t="n">
        <x:f>IFERROR(U700/P700,"")</x:f>
        <x:v>0.13355048859934854</x:v>
      </x:c>
      <x:c r="W700" s="9" t="str">
        <x:v>mature_le_5pct_pending</x:v>
      </x:c>
      <x:c r="X700" s="12" t="n">
        <x:f>IFERROR(F700/Z700*100000,"")</x:f>
        <x:v>20.48962213943587</x:v>
      </x:c>
      <x:c r="Y700" s="13" t="n">
        <x:f>LN(Z700)</x:f>
        <x:v>14.223106727081392</x:v>
      </x:c>
      <x:c r="Z700" s="6" t="str">
        <x:v>1503200</x:v>
      </x:c>
      <x:c r="AA700" s="6" t="str">
        <x:v>91.0</x:v>
      </x:c>
      <x:c r="AB700" s="9" t="str">
        <x:v>2024-06-30</x:v>
      </x:c>
      <x:c r="AC700" s="8" t="str">
        <x:v>82.5</x:v>
      </x:c>
      <x:c r="AD700" s="9" t="str">
        <x:v>2024 (Susenas)</x:v>
      </x:c>
      <x:c r="AE700" s="8" t="str">
        <x:v>11.21</x:v>
      </x:c>
      <x:c r="AF700" s="9" t="str">
        <x:v>Maret 2024 (Susenas)</x:v>
      </x:c>
      <x:c r="AG700" s="6" t="str">
        <x:v>24.06573880612502</x:v>
      </x:c>
      <x:c r="AH700" s="8" t="str">
        <x:v>87.74445215004569</x:v>
      </x:c>
      <x:c r="AI700" s="6" t="str">
        <x:v>217.9247709220412</x:v>
      </x:c>
      <x:c r="AJ700" s="6" t="str">
        <x:v>0.9584892030512648</x:v>
      </x:c>
      <x:c r="AK700" s="8" t="str">
        <x:v>2.3549095695479294</x:v>
      </x:c>
      <x:c r="AL700" s="6" t="str">
        <x:v>2.825879114666884</x:v>
      </x:c>
      <x:c r="AM700" s="6" t="str">
        <x:v>2.246866072087012</x:v>
      </x:c>
      <x:c r="AN700" s="6" t="str">
        <x:v>2.475884918767275</x:v>
      </x:c>
      <x:c r="AO700" s="6" t="str">
        <x:v>0.5319975813545028</x:v>
      </x:c>
      <x:c r="AP700" s="8" t="str">
        <x:v>0.352597572301282</x:v>
      </x:c>
      <x:c r="AQ700" s="6" t="str">
        <x:v>-0.4262653792163968</x:v>
      </x:c>
      <x:c r="AR700" s="6" t="str">
        <x:v>-0.8828415402774881</x:v>
      </x:c>
      <x:c r="AS700" s="6" t="str">
        <x:v>-0.3188364490642015</x:v>
      </x:c>
      <x:c r="AT700" s="6" t="str">
        <x:v>8.850192501149564</x:v>
      </x:c>
      <x:c r="AU700" s="8" t="str">
        <x:v>0.1085733087810193</x:v>
      </x:c>
      <x:c r="AV700" s="6" t="str">
        <x:v>0.6697168064371356</x:v>
      </x:c>
      <x:c r="AW700" s="6" t="str">
        <x:v>0.0019280740220329</x:v>
      </x:c>
      <x:c r="AX700" s="6" t="str">
        <x:v>0.2600727297467291</x:v>
      </x:c>
      <x:c r="AY700" s="6" t="str">
        <x:v>0</x:v>
      </x:c>
      <x:c r="AZ700" s="6" t="str">
        <x:v>1</x:v>
      </x:c>
      <x:c r="BA700" s="9" t="str">
        <x:v>grid_cells_within_BIG_polygon</x:v>
      </x:c>
      <x:c r="BB700" s="6" t="str">
        <x:v>4</x:v>
      </x:c>
      <x:c r="BC700" s="6" t="str">
        <x:v>3</x:v>
      </x:c>
      <x:c r="BD700" s="6" t="str">
        <x:v>3</x:v>
      </x:c>
      <x:c r="BE700" s="6" t="str">
        <x:v>3</x:v>
      </x:c>
      <x:c r="BF700" s="6" t="str">
        <x:v>0</x:v>
      </x:c>
      <x:c r="BG700" s="6" t="str">
        <x:v>0</x:v>
      </x:c>
      <x:c r="BH700" s="6" t="str">
        <x:v>0</x:v>
      </x:c>
      <x:c r="BI700" s="6" t="str">
        <x:v>0</x:v>
      </x:c>
      <x:c r="BJ700" s="6" t="str">
        <x:v>0</x:v>
      </x:c>
      <x:c r="BK700" s="6" t="str">
        <x:v>0</x:v>
      </x:c>
      <x:c r="BL700" s="6" t="str">
        <x:v>0</x:v>
      </x:c>
      <x:c r="BM700" s="6" t="str">
        <x:v>0</x:v>
      </x:c>
      <x:c r="BN700" s="6" t="str">
        <x:v>3</x:v>
      </x:c>
      <x:c r="BO700" s="6" t="str">
        <x:v>0.0</x:v>
      </x:c>
      <x:c r="BP700" s="6" t="str">
        <x:v>3</x:v>
      </x:c>
      <x:c r="BQ700" s="6" t="str">
        <x:v>0.0</x:v>
      </x:c>
      <x:c r="BR700" s="6" t="str">
        <x:v>3</x:v>
      </x:c>
      <x:c r="BS700" s="6" t="str">
        <x:v>0.0</x:v>
      </x:c>
      <x:c r="BT700" s="6" t="str">
        <x:v>3</x:v>
      </x:c>
      <x:c r="BU700" s="6" t="str">
        <x:v>188.0</x:v>
      </x:c>
      <x:c r="BV700" s="6" t="str">
        <x:v>3</x:v>
      </x:c>
      <x:c r="BW700" s="9" t="str">
        <x:v>operational_snapshot_annual_totals_may_differ</x:v>
      </x:c>
      <x:c r="BX700" s="9" t="str">
        <x:v>official_live_dashboard_snapshot_subject_to_revision</x:v>
      </x:c>
      <x:c r="BY700" s="9" t="str">
        <x:v>https://tbdashboard.sitb.id/ss_data_tbc03so_2024_provinsi_bulanan_list.php</x:v>
      </x:c>
      <x:c r="BZ700" s="6" t="n">
        <x:v>46246.610671296294</x:v>
      </x:c>
    </x:row>
    <x:row r="701" ht="18" customHeight="1">
      <x:c r="A701" s="6" t="str">
        <x:v>76</x:v>
      </x:c>
      <x:c r="B701" s="6" t="str">
        <x:v>SULAWESI BARAT</x:v>
      </x:c>
      <x:c r="C701" s="6" t="str">
        <x:v>2024</x:v>
      </x:c>
      <x:c r="D701" s="6" t="str">
        <x:v>4</x:v>
      </x:c>
      <x:c r="E701" s="6" t="str">
        <x:v>2024-04</x:v>
      </x:c>
      <x:c r="F701" s="6" t="str">
        <x:v>289</x:v>
      </x:c>
      <x:c r="G701" s="6" t="str">
        <x:v>105</x:v>
      </x:c>
      <x:c r="H701" s="6" t="str">
        <x:v>157</x:v>
      </x:c>
      <x:c r="I701" s="6" t="str">
        <x:v>12</x:v>
      </x:c>
      <x:c r="J701" s="6" t="str">
        <x:v>14</x:v>
      </x:c>
      <x:c r="K701" s="6" t="str">
        <x:v>1</x:v>
      </x:c>
      <x:c r="L701" s="6" t="str">
        <x:v>0</x:v>
      </x:c>
      <x:c r="M701" s="6" t="str">
        <x:v>0</x:v>
      </x:c>
      <x:c r="N701" s="6" t="str">
        <x:v>289</x:v>
      </x:c>
      <x:c r="O701" s="6" t="str">
        <x:v>0</x:v>
      </x:c>
      <x:c r="P701" s="10" t="n">
        <x:f>F701-M701</x:f>
        <x:v>289</x:v>
      </x:c>
      <x:c r="Q701" s="11" t="n">
        <x:f>IFERROR(M701/F701,"")</x:f>
        <x:v>0</x:v>
      </x:c>
      <x:c r="R701" s="10" t="n">
        <x:f>G701+H701</x:f>
        <x:v>262</x:v>
      </x:c>
      <x:c r="S701" s="11" t="n">
        <x:f>IFERROR(R701/F701,"")</x:f>
        <x:v>0.9065743944636678</x:v>
      </x:c>
      <x:c r="T701" s="11" t="n">
        <x:f>IFERROR(R701/P701,"")</x:f>
        <x:v>0.9065743944636678</x:v>
      </x:c>
      <x:c r="U701" s="10" t="n">
        <x:f>I701+J701+K701</x:f>
        <x:v>27</x:v>
      </x:c>
      <x:c r="V701" s="11" t="n">
        <x:f>IFERROR(U701/P701,"")</x:f>
        <x:v>0.09342560553633218</x:v>
      </x:c>
      <x:c r="W701" s="9" t="str">
        <x:v>mature_le_5pct_pending</x:v>
      </x:c>
      <x:c r="X701" s="12" t="n">
        <x:f>IFERROR(F701/Z701*100000,"")</x:f>
        <x:v>19.225651942522617</x:v>
      </x:c>
      <x:c r="Y701" s="13" t="n">
        <x:f>LN(Z701)</x:f>
        <x:v>14.223106727081392</x:v>
      </x:c>
      <x:c r="Z701" s="6" t="str">
        <x:v>1503200</x:v>
      </x:c>
      <x:c r="AA701" s="6" t="str">
        <x:v>91.0</x:v>
      </x:c>
      <x:c r="AB701" s="9" t="str">
        <x:v>2024-06-30</x:v>
      </x:c>
      <x:c r="AC701" s="8" t="str">
        <x:v>82.5</x:v>
      </x:c>
      <x:c r="AD701" s="9" t="str">
        <x:v>2024 (Susenas)</x:v>
      </x:c>
      <x:c r="AE701" s="8" t="str">
        <x:v>11.21</x:v>
      </x:c>
      <x:c r="AF701" s="9" t="str">
        <x:v>Maret 2024 (Susenas)</x:v>
      </x:c>
      <x:c r="AG701" s="6" t="str">
        <x:v>24.44821523451748</x:v>
      </x:c>
      <x:c r="AH701" s="8" t="str">
        <x:v>87.33891240284161</x:v>
      </x:c>
      <x:c r="AI701" s="6" t="str">
        <x:v>194.6935650828276</x:v>
      </x:c>
      <x:c r="AJ701" s="6" t="str">
        <x:v>1.1092285860375917</x:v>
      </x:c>
      <x:c r="AK701" s="8" t="str">
        <x:v>3.600338903848123</x:v>
      </x:c>
      <x:c r="AL701" s="6" t="str">
        <x:v>2.3549095695479294</x:v>
      </x:c>
      <x:c r="AM701" s="6" t="str">
        <x:v>2.825879114666884</x:v>
      </x:c>
      <x:c r="AN701" s="6" t="str">
        <x:v>2.927042529354312</x:v>
      </x:c>
      <x:c r="AO701" s="6" t="str">
        <x:v>-0.9779765261215516</x:v>
      </x:c>
      <x:c r="AP701" s="8" t="str">
        <x:v>-0.6260325816110744</x:v>
      </x:c>
      <x:c r="AQ701" s="6" t="str">
        <x:v>0.352597572301282</x:v>
      </x:c>
      <x:c r="AR701" s="6" t="str">
        <x:v>-0.4262653792163968</x:v>
      </x:c>
      <x:c r="AS701" s="6" t="str">
        <x:v>-0.2332334628420636</x:v>
      </x:c>
      <x:c r="AT701" s="6" t="str">
        <x:v>-24.315272668559714</x:v>
      </x:c>
      <x:c r="AU701" s="8" t="str">
        <x:v>-0.3058943184596187</x:v>
      </x:c>
      <x:c r="AV701" s="6" t="str">
        <x:v>0.1085733087810193</x:v>
      </x:c>
      <x:c r="AW701" s="6" t="str">
        <x:v>0.6697168064371356</x:v>
      </x:c>
      <x:c r="AX701" s="6" t="str">
        <x:v>0.1574652655861786</x:v>
      </x:c>
      <x:c r="AY701" s="6" t="str">
        <x:v>0</x:v>
      </x:c>
      <x:c r="AZ701" s="6" t="str">
        <x:v>1</x:v>
      </x:c>
      <x:c r="BA701" s="9" t="str">
        <x:v>grid_cells_within_BIG_polygon</x:v>
      </x:c>
      <x:c r="BB701" s="6" t="str">
        <x:v>4</x:v>
      </x:c>
      <x:c r="BC701" s="6" t="str">
        <x:v>1</x:v>
      </x:c>
      <x:c r="BD701" s="6" t="str">
        <x:v>1</x:v>
      </x:c>
      <x:c r="BE701" s="6" t="str">
        <x:v>0</x:v>
      </x:c>
      <x:c r="BF701" s="6" t="str">
        <x:v>0</x:v>
      </x:c>
      <x:c r="BG701" s="6" t="str">
        <x:v>1</x:v>
      </x:c>
      <x:c r="BH701" s="6" t="str">
        <x:v>0</x:v>
      </x:c>
      <x:c r="BI701" s="6" t="str">
        <x:v>0</x:v>
      </x:c>
      <x:c r="BJ701" s="6" t="str">
        <x:v>0</x:v>
      </x:c>
      <x:c r="BK701" s="6" t="str">
        <x:v>0</x:v>
      </x:c>
      <x:c r="BL701" s="6" t="str">
        <x:v>0</x:v>
      </x:c>
      <x:c r="BM701" s="6" t="str">
        <x:v>0</x:v>
      </x:c>
      <x:c r="BN701" s="6" t="str">
        <x:v>1</x:v>
      </x:c>
      <x:c r="BO701" s="6" t="str">
        <x:v>1.0</x:v>
      </x:c>
      <x:c r="BP701" s="6" t="str">
        <x:v>1</x:v>
      </x:c>
      <x:c r="BQ701" s="6" t="str">
        <x:v>2.0</x:v>
      </x:c>
      <x:c r="BR701" s="6" t="str">
        <x:v>1</x:v>
      </x:c>
      <x:c r="BS701" s="6" t="str">
        <x:v>1.0</x:v>
      </x:c>
      <x:c r="BT701" s="6" t="str">
        <x:v>1</x:v>
      </x:c>
      <x:c r="BU701" s="6" t="str"/>
      <x:c r="BV701" s="6" t="str">
        <x:v>0</x:v>
      </x:c>
      <x:c r="BW701" s="9" t="str">
        <x:v>operational_snapshot_annual_totals_may_differ</x:v>
      </x:c>
      <x:c r="BX701" s="9" t="str">
        <x:v>official_live_dashboard_snapshot_subject_to_revision</x:v>
      </x:c>
      <x:c r="BY701" s="9" t="str">
        <x:v>https://tbdashboard.sitb.id/ss_data_tbc03so_2024_provinsi_bulanan_list.php</x:v>
      </x:c>
      <x:c r="BZ701" s="6" t="n">
        <x:v>46246.610671296294</x:v>
      </x:c>
    </x:row>
    <x:row r="702" ht="18" customHeight="1">
      <x:c r="A702" s="6" t="str">
        <x:v>76</x:v>
      </x:c>
      <x:c r="B702" s="6" t="str">
        <x:v>SULAWESI BARAT</x:v>
      </x:c>
      <x:c r="C702" s="6" t="str">
        <x:v>2024</x:v>
      </x:c>
      <x:c r="D702" s="6" t="str">
        <x:v>5</x:v>
      </x:c>
      <x:c r="E702" s="6" t="str">
        <x:v>2024-05</x:v>
      </x:c>
      <x:c r="F702" s="6" t="str">
        <x:v>340</x:v>
      </x:c>
      <x:c r="G702" s="6" t="str">
        <x:v>131</x:v>
      </x:c>
      <x:c r="H702" s="6" t="str">
        <x:v>163</x:v>
      </x:c>
      <x:c r="I702" s="6" t="str">
        <x:v>22</x:v>
      </x:c>
      <x:c r="J702" s="6" t="str">
        <x:v>23</x:v>
      </x:c>
      <x:c r="K702" s="6" t="str">
        <x:v>1</x:v>
      </x:c>
      <x:c r="L702" s="6" t="str">
        <x:v>0</x:v>
      </x:c>
      <x:c r="M702" s="6" t="str">
        <x:v>0</x:v>
      </x:c>
      <x:c r="N702" s="6" t="str">
        <x:v>340</x:v>
      </x:c>
      <x:c r="O702" s="6" t="str">
        <x:v>0</x:v>
      </x:c>
      <x:c r="P702" s="10" t="n">
        <x:f>F702-M702</x:f>
        <x:v>340</x:v>
      </x:c>
      <x:c r="Q702" s="11" t="n">
        <x:f>IFERROR(M702/F702,"")</x:f>
        <x:v>0</x:v>
      </x:c>
      <x:c r="R702" s="10" t="n">
        <x:f>G702+H702</x:f>
        <x:v>294</x:v>
      </x:c>
      <x:c r="S702" s="11" t="n">
        <x:f>IFERROR(R702/F702,"")</x:f>
        <x:v>0.8647058823529412</x:v>
      </x:c>
      <x:c r="T702" s="11" t="n">
        <x:f>IFERROR(R702/P702,"")</x:f>
        <x:v>0.8647058823529412</x:v>
      </x:c>
      <x:c r="U702" s="10" t="n">
        <x:f>I702+J702+K702</x:f>
        <x:v>46</x:v>
      </x:c>
      <x:c r="V702" s="11" t="n">
        <x:f>IFERROR(U702/P702,"")</x:f>
        <x:v>0.13529411764705881</x:v>
      </x:c>
      <x:c r="W702" s="9" t="str">
        <x:v>mature_le_5pct_pending</x:v>
      </x:c>
      <x:c r="X702" s="12" t="n">
        <x:f>IFERROR(F702/Z702*100000,"")</x:f>
        <x:v>22.618414050026608</x:v>
      </x:c>
      <x:c r="Y702" s="13" t="n">
        <x:f>LN(Z702)</x:f>
        <x:v>14.223106727081392</x:v>
      </x:c>
      <x:c r="Z702" s="6" t="str">
        <x:v>1503200</x:v>
      </x:c>
      <x:c r="AA702" s="6" t="str">
        <x:v>91.0</x:v>
      </x:c>
      <x:c r="AB702" s="9" t="str">
        <x:v>2024-06-30</x:v>
      </x:c>
      <x:c r="AC702" s="8" t="str">
        <x:v>82.5</x:v>
      </x:c>
      <x:c r="AD702" s="9" t="str">
        <x:v>2024 (Susenas)</x:v>
      </x:c>
      <x:c r="AE702" s="8" t="str">
        <x:v>11.21</x:v>
      </x:c>
      <x:c r="AF702" s="9" t="str">
        <x:v>Maret 2024 (Susenas)</x:v>
      </x:c>
      <x:c r="AG702" s="6" t="str">
        <x:v>24.560714327351207</x:v>
      </x:c>
      <x:c r="AH702" s="8" t="str">
        <x:v>90.17949682148443</x:v>
      </x:c>
      <x:c r="AI702" s="6" t="str">
        <x:v>385.7172765661879</x:v>
      </x:c>
      <x:c r="AJ702" s="6" t="str">
        <x:v>1.018824780229508</x:v>
      </x:c>
      <x:c r="AK702" s="8" t="str">
        <x:v>3.2289525504636183</x:v>
      </x:c>
      <x:c r="AL702" s="6" t="str">
        <x:v>3.600338903848123</x:v>
      </x:c>
      <x:c r="AM702" s="6" t="str">
        <x:v>2.3549095695479294</x:v>
      </x:c>
      <x:c r="AN702" s="6" t="str">
        <x:v>3.061400341286557</x:v>
      </x:c>
      <x:c r="AO702" s="6" t="str">
        <x:v>1.0247253440795845</x:v>
      </x:c>
      <x:c r="AP702" s="8" t="str">
        <x:v>0.6866790496160248</x:v>
      </x:c>
      <x:c r="AQ702" s="6" t="str">
        <x:v>-0.6260325816110744</x:v>
      </x:c>
      <x:c r="AR702" s="6" t="str">
        <x:v>0.352597572301282</x:v>
      </x:c>
      <x:c r="AS702" s="6" t="str">
        <x:v>0.1377480134354102</x:v>
      </x:c>
      <x:c r="AT702" s="6" t="str">
        <x:v>175.0339216440197</x:v>
      </x:c>
      <x:c r="AU702" s="8" t="str">
        <x:v>2.3600052757886725</x:v>
      </x:c>
      <x:c r="AV702" s="6" t="str">
        <x:v>-0.3058943184596187</x:v>
      </x:c>
      <x:c r="AW702" s="6" t="str">
        <x:v>0.1085733087810193</x:v>
      </x:c>
      <x:c r="AX702" s="6" t="str">
        <x:v>0.7208947553700242</x:v>
      </x:c>
      <x:c r="AY702" s="6" t="str">
        <x:v>1</x:v>
      </x:c>
      <x:c r="AZ702" s="6" t="str">
        <x:v>1</x:v>
      </x:c>
      <x:c r="BA702" s="9" t="str">
        <x:v>grid_cells_within_BIG_polygon</x:v>
      </x:c>
      <x:c r="BB702" s="6" t="str">
        <x:v>4</x:v>
      </x:c>
      <x:c r="BC702" s="6" t="str">
        <x:v>2</x:v>
      </x:c>
      <x:c r="BD702" s="6" t="str">
        <x:v>2</x:v>
      </x:c>
      <x:c r="BE702" s="6" t="str">
        <x:v>1</x:v>
      </x:c>
      <x:c r="BF702" s="6" t="str">
        <x:v>1</x:v>
      </x:c>
      <x:c r="BG702" s="6" t="str">
        <x:v>0</x:v>
      </x:c>
      <x:c r="BH702" s="6" t="str">
        <x:v>0</x:v>
      </x:c>
      <x:c r="BI702" s="6" t="str">
        <x:v>0</x:v>
      </x:c>
      <x:c r="BJ702" s="6" t="str">
        <x:v>0</x:v>
      </x:c>
      <x:c r="BK702" s="6" t="str">
        <x:v>0</x:v>
      </x:c>
      <x:c r="BL702" s="6" t="str">
        <x:v>0</x:v>
      </x:c>
      <x:c r="BM702" s="6" t="str">
        <x:v>0</x:v>
      </x:c>
      <x:c r="BN702" s="6" t="str">
        <x:v>2</x:v>
      </x:c>
      <x:c r="BO702" s="6" t="str">
        <x:v>0.0</x:v>
      </x:c>
      <x:c r="BP702" s="6" t="str">
        <x:v>2</x:v>
      </x:c>
      <x:c r="BQ702" s="6" t="str">
        <x:v>1.0</x:v>
      </x:c>
      <x:c r="BR702" s="6" t="str">
        <x:v>2</x:v>
      </x:c>
      <x:c r="BS702" s="6" t="str">
        <x:v>243.0</x:v>
      </x:c>
      <x:c r="BT702" s="6" t="str">
        <x:v>2</x:v>
      </x:c>
      <x:c r="BU702" s="6" t="str">
        <x:v>272.0</x:v>
      </x:c>
      <x:c r="BV702" s="6" t="str">
        <x:v>1</x:v>
      </x:c>
      <x:c r="BW702" s="9" t="str">
        <x:v>operational_snapshot_annual_totals_may_differ</x:v>
      </x:c>
      <x:c r="BX702" s="9" t="str">
        <x:v>official_live_dashboard_snapshot_subject_to_revision</x:v>
      </x:c>
      <x:c r="BY702" s="9" t="str">
        <x:v>https://tbdashboard.sitb.id/ss_data_tbc03so_2024_provinsi_bulanan_list.php</x:v>
      </x:c>
      <x:c r="BZ702" s="6" t="n">
        <x:v>46246.610671296294</x:v>
      </x:c>
    </x:row>
    <x:row r="703" ht="18" customHeight="1">
      <x:c r="A703" s="6" t="str">
        <x:v>76</x:v>
      </x:c>
      <x:c r="B703" s="6" t="str">
        <x:v>SULAWESI BARAT</x:v>
      </x:c>
      <x:c r="C703" s="6" t="str">
        <x:v>2024</x:v>
      </x:c>
      <x:c r="D703" s="6" t="str">
        <x:v>6</x:v>
      </x:c>
      <x:c r="E703" s="6" t="str">
        <x:v>2024-06</x:v>
      </x:c>
      <x:c r="F703" s="6" t="str">
        <x:v>307</x:v>
      </x:c>
      <x:c r="G703" s="6" t="str">
        <x:v>98</x:v>
      </x:c>
      <x:c r="H703" s="6" t="str">
        <x:v>173</x:v>
      </x:c>
      <x:c r="I703" s="6" t="str">
        <x:v>19</x:v>
      </x:c>
      <x:c r="J703" s="6" t="str">
        <x:v>16</x:v>
      </x:c>
      <x:c r="K703" s="6" t="str">
        <x:v>1</x:v>
      </x:c>
      <x:c r="L703" s="6" t="str">
        <x:v>0</x:v>
      </x:c>
      <x:c r="M703" s="6" t="str">
        <x:v>0</x:v>
      </x:c>
      <x:c r="N703" s="6" t="str">
        <x:v>307</x:v>
      </x:c>
      <x:c r="O703" s="6" t="str">
        <x:v>0</x:v>
      </x:c>
      <x:c r="P703" s="10" t="n">
        <x:f>F703-M703</x:f>
        <x:v>307</x:v>
      </x:c>
      <x:c r="Q703" s="11" t="n">
        <x:f>IFERROR(M703/F703,"")</x:f>
        <x:v>0</x:v>
      </x:c>
      <x:c r="R703" s="10" t="n">
        <x:f>G703+H703</x:f>
        <x:v>271</x:v>
      </x:c>
      <x:c r="S703" s="11" t="n">
        <x:f>IFERROR(R703/F703,"")</x:f>
        <x:v>0.8827361563517915</x:v>
      </x:c>
      <x:c r="T703" s="11" t="n">
        <x:f>IFERROR(R703/P703,"")</x:f>
        <x:v>0.8827361563517915</x:v>
      </x:c>
      <x:c r="U703" s="10" t="n">
        <x:f>I703+J703+K703</x:f>
        <x:v>36</x:v>
      </x:c>
      <x:c r="V703" s="11" t="n">
        <x:f>IFERROR(U703/P703,"")</x:f>
        <x:v>0.11726384364820847</x:v>
      </x:c>
      <x:c r="W703" s="9" t="str">
        <x:v>mature_le_5pct_pending</x:v>
      </x:c>
      <x:c r="X703" s="12" t="n">
        <x:f>IFERROR(F703/Z703*100000,"")</x:f>
        <x:v>20.42309739222991</x:v>
      </x:c>
      <x:c r="Y703" s="13" t="n">
        <x:f>LN(Z703)</x:f>
        <x:v>14.223106727081392</x:v>
      </x:c>
      <x:c r="Z703" s="6" t="str">
        <x:v>1503200</x:v>
      </x:c>
      <x:c r="AA703" s="6" t="str">
        <x:v>91.0</x:v>
      </x:c>
      <x:c r="AB703" s="9" t="str">
        <x:v>2024-06-30</x:v>
      </x:c>
      <x:c r="AC703" s="8" t="str">
        <x:v>82.5</x:v>
      </x:c>
      <x:c r="AD703" s="9" t="str">
        <x:v>2024 (Susenas)</x:v>
      </x:c>
      <x:c r="AE703" s="8" t="str">
        <x:v>11.21</x:v>
      </x:c>
      <x:c r="AF703" s="9" t="str">
        <x:v>Maret 2024 (Susenas)</x:v>
      </x:c>
      <x:c r="AG703" s="6" t="str">
        <x:v>23.74321847037505</x:v>
      </x:c>
      <x:c r="AH703" s="8" t="str">
        <x:v>90.23440291225826</x:v>
      </x:c>
      <x:c r="AI703" s="6" t="str">
        <x:v>297.0888962054466</x:v>
      </x:c>
      <x:c r="AJ703" s="6" t="str">
        <x:v>0.6037272797624276</x:v>
      </x:c>
      <x:c r="AK703" s="8" t="str">
        <x:v>2.6522569737995427</x:v>
      </x:c>
      <x:c r="AL703" s="6" t="str">
        <x:v>3.2289525504636183</x:v>
      </x:c>
      <x:c r="AM703" s="6" t="str">
        <x:v>3.600338903848123</x:v>
      </x:c>
      <x:c r="AN703" s="6" t="str">
        <x:v>3.1605161427037616</x:v>
      </x:c>
      <x:c r="AO703" s="6" t="str">
        <x:v>0.7403377611644402</x:v>
      </x:c>
      <x:c r="AP703" s="8" t="str">
        <x:v>0.5007884371016137</x:v>
      </x:c>
      <x:c r="AQ703" s="6" t="str">
        <x:v>0.6866790496160248</x:v>
      </x:c>
      <x:c r="AR703" s="6" t="str">
        <x:v>-0.6260325816110744</x:v>
      </x:c>
      <x:c r="AS703" s="6" t="str">
        <x:v>0.1871449683688541</x:v>
      </x:c>
      <x:c r="AT703" s="6" t="str">
        <x:v>75.49358462811185</x:v>
      </x:c>
      <x:c r="AU703" s="8" t="str">
        <x:v>0.6899749320453039</x:v>
      </x:c>
      <x:c r="AV703" s="6" t="str">
        <x:v>2.3600052757886725</x:v>
      </x:c>
      <x:c r="AW703" s="6" t="str">
        <x:v>-0.3058943184596187</x:v>
      </x:c>
      <x:c r="AX703" s="6" t="str">
        <x:v>0.9146952964581192</x:v>
      </x:c>
      <x:c r="AY703" s="6" t="str">
        <x:v>0</x:v>
      </x:c>
      <x:c r="AZ703" s="6" t="str">
        <x:v>1</x:v>
      </x:c>
      <x:c r="BA703" s="9" t="str">
        <x:v>grid_cells_within_BIG_polygon</x:v>
      </x:c>
      <x:c r="BB703" s="6" t="str">
        <x:v>4</x:v>
      </x:c>
      <x:c r="BC703" s="6" t="str">
        <x:v>1</x:v>
      </x:c>
      <x:c r="BD703" s="6" t="str">
        <x:v>1</x:v>
      </x:c>
      <x:c r="BE703" s="6" t="str">
        <x:v>0</x:v>
      </x:c>
      <x:c r="BF703" s="6" t="str">
        <x:v>1</x:v>
      </x:c>
      <x:c r="BG703" s="6" t="str">
        <x:v>0</x:v>
      </x:c>
      <x:c r="BH703" s="6" t="str">
        <x:v>0</x:v>
      </x:c>
      <x:c r="BI703" s="6" t="str">
        <x:v>0</x:v>
      </x:c>
      <x:c r="BJ703" s="6" t="str">
        <x:v>0</x:v>
      </x:c>
      <x:c r="BK703" s="6" t="str">
        <x:v>0</x:v>
      </x:c>
      <x:c r="BL703" s="6" t="str">
        <x:v>0</x:v>
      </x:c>
      <x:c r="BM703" s="6" t="str">
        <x:v>0</x:v>
      </x:c>
      <x:c r="BN703" s="6" t="str">
        <x:v>1</x:v>
      </x:c>
      <x:c r="BO703" s="6" t="str">
        <x:v>0.0</x:v>
      </x:c>
      <x:c r="BP703" s="6" t="str">
        <x:v>1</x:v>
      </x:c>
      <x:c r="BQ703" s="6" t="str">
        <x:v>0.0</x:v>
      </x:c>
      <x:c r="BR703" s="6" t="str">
        <x:v>1</x:v>
      </x:c>
      <x:c r="BS703" s="6" t="str">
        <x:v>0.0</x:v>
      </x:c>
      <x:c r="BT703" s="6" t="str">
        <x:v>1</x:v>
      </x:c>
      <x:c r="BU703" s="6" t="str"/>
      <x:c r="BV703" s="6" t="str">
        <x:v>0</x:v>
      </x:c>
      <x:c r="BW703" s="9" t="str">
        <x:v>operational_snapshot_annual_totals_may_differ</x:v>
      </x:c>
      <x:c r="BX703" s="9" t="str">
        <x:v>official_live_dashboard_snapshot_subject_to_revision</x:v>
      </x:c>
      <x:c r="BY703" s="9" t="str">
        <x:v>https://tbdashboard.sitb.id/ss_data_tbc03so_2024_provinsi_bulanan_list.php</x:v>
      </x:c>
      <x:c r="BZ703" s="6" t="n">
        <x:v>46246.610671296294</x:v>
      </x:c>
    </x:row>
    <x:row r="704" ht="18" customHeight="1">
      <x:c r="A704" s="6" t="str">
        <x:v>76</x:v>
      </x:c>
      <x:c r="B704" s="6" t="str">
        <x:v>SULAWESI BARAT</x:v>
      </x:c>
      <x:c r="C704" s="6" t="str">
        <x:v>2024</x:v>
      </x:c>
      <x:c r="D704" s="6" t="str">
        <x:v>7</x:v>
      </x:c>
      <x:c r="E704" s="6" t="str">
        <x:v>2024-07</x:v>
      </x:c>
      <x:c r="F704" s="6" t="str">
        <x:v>396</x:v>
      </x:c>
      <x:c r="G704" s="6" t="str">
        <x:v>113</x:v>
      </x:c>
      <x:c r="H704" s="6" t="str">
        <x:v>235</x:v>
      </x:c>
      <x:c r="I704" s="6" t="str">
        <x:v>23</x:v>
      </x:c>
      <x:c r="J704" s="6" t="str">
        <x:v>24</x:v>
      </x:c>
      <x:c r="K704" s="6" t="str">
        <x:v>1</x:v>
      </x:c>
      <x:c r="L704" s="6" t="str">
        <x:v>0</x:v>
      </x:c>
      <x:c r="M704" s="6" t="str">
        <x:v>0</x:v>
      </x:c>
      <x:c r="N704" s="6" t="str">
        <x:v>396</x:v>
      </x:c>
      <x:c r="O704" s="6" t="str">
        <x:v>0</x:v>
      </x:c>
      <x:c r="P704" s="10" t="n">
        <x:f>F704-M704</x:f>
        <x:v>396</x:v>
      </x:c>
      <x:c r="Q704" s="11" t="n">
        <x:f>IFERROR(M704/F704,"")</x:f>
        <x:v>0</x:v>
      </x:c>
      <x:c r="R704" s="10" t="n">
        <x:f>G704+H704</x:f>
        <x:v>348</x:v>
      </x:c>
      <x:c r="S704" s="11" t="n">
        <x:f>IFERROR(R704/F704,"")</x:f>
        <x:v>0.8787878787878788</x:v>
      </x:c>
      <x:c r="T704" s="11" t="n">
        <x:f>IFERROR(R704/P704,"")</x:f>
        <x:v>0.8787878787878788</x:v>
      </x:c>
      <x:c r="U704" s="10" t="n">
        <x:f>I704+J704+K704</x:f>
        <x:v>48</x:v>
      </x:c>
      <x:c r="V704" s="11" t="n">
        <x:f>IFERROR(U704/P704,"")</x:f>
        <x:v>0.12121212121212122</x:v>
      </x:c>
      <x:c r="W704" s="9" t="str">
        <x:v>mature_le_5pct_pending</x:v>
      </x:c>
      <x:c r="X704" s="12" t="n">
        <x:f>IFERROR(F704/Z704*100000,"")</x:f>
        <x:v>26.343799893560405</x:v>
      </x:c>
      <x:c r="Y704" s="13" t="n">
        <x:f>LN(Z704)</x:f>
        <x:v>14.223106727081392</x:v>
      </x:c>
      <x:c r="Z704" s="6" t="str">
        <x:v>1503200</x:v>
      </x:c>
      <x:c r="AA704" s="6" t="str">
        <x:v>91.0</x:v>
      </x:c>
      <x:c r="AB704" s="9" t="str">
        <x:v>2024-06-30</x:v>
      </x:c>
      <x:c r="AC704" s="8" t="str">
        <x:v>82.5</x:v>
      </x:c>
      <x:c r="AD704" s="9" t="str">
        <x:v>2024 (Susenas)</x:v>
      </x:c>
      <x:c r="AE704" s="8" t="str">
        <x:v>11.21</x:v>
      </x:c>
      <x:c r="AF704" s="9" t="str">
        <x:v>Maret 2024 (Susenas)</x:v>
      </x:c>
      <x:c r="AG704" s="6" t="str">
        <x:v>23.62324685266761</x:v>
      </x:c>
      <x:c r="AH704" s="8" t="str">
        <x:v>88.92675085516494</x:v>
      </x:c>
      <x:c r="AI704" s="6" t="str">
        <x:v>301.0852333814051</x:v>
      </x:c>
      <x:c r="AJ704" s="6" t="str">
        <x:v>0.707652786769156</x:v>
      </x:c>
      <x:c r="AK704" s="8" t="str">
        <x:v>2.5878126167777777</x:v>
      </x:c>
      <x:c r="AL704" s="6" t="str">
        <x:v>2.6522569737995427</x:v>
      </x:c>
      <x:c r="AM704" s="6" t="str">
        <x:v>3.2289525504636183</x:v>
      </x:c>
      <x:c r="AN704" s="6" t="str">
        <x:v>2.82300738034698</x:v>
      </x:c>
      <x:c r="AO704" s="6" t="str">
        <x:v>0.6857368491843374</x:v>
      </x:c>
      <x:c r="AP704" s="8" t="str">
        <x:v>0.3948313385729746</x:v>
      </x:c>
      <x:c r="AQ704" s="6" t="str">
        <x:v>0.5007884371016137</x:v>
      </x:c>
      <x:c r="AR704" s="6" t="str">
        <x:v>0.6866790496160248</x:v>
      </x:c>
      <x:c r="AS704" s="6" t="str">
        <x:v>0.527432941763537</x:v>
      </x:c>
      <x:c r="AT704" s="6" t="str">
        <x:v>154.07741591717868</x:v>
      </x:c>
      <x:c r="AU704" s="8" t="str">
        <x:v>2.018361940233874</x:v>
      </x:c>
      <x:c r="AV704" s="6" t="str">
        <x:v>0.6899749320453039</x:v>
      </x:c>
      <x:c r="AW704" s="6" t="str">
        <x:v>2.3600052757886725</x:v>
      </x:c>
      <x:c r="AX704" s="6" t="str">
        <x:v>1.6894473826892833</x:v>
      </x:c>
      <x:c r="AY704" s="6" t="str">
        <x:v>1</x:v>
      </x:c>
      <x:c r="AZ704" s="6" t="str">
        <x:v>1</x:v>
      </x:c>
      <x:c r="BA704" s="9" t="str">
        <x:v>grid_cells_within_BIG_polygon</x:v>
      </x:c>
      <x:c r="BB704" s="6" t="str">
        <x:v>4</x:v>
      </x:c>
      <x:c r="BC704" s="6" t="str">
        <x:v>1</x:v>
      </x:c>
      <x:c r="BD704" s="6" t="str">
        <x:v>1</x:v>
      </x:c>
      <x:c r="BE704" s="6" t="str">
        <x:v>1</x:v>
      </x:c>
      <x:c r="BF704" s="6" t="str">
        <x:v>0</x:v>
      </x:c>
      <x:c r="BG704" s="6" t="str">
        <x:v>0</x:v>
      </x:c>
      <x:c r="BH704" s="6" t="str">
        <x:v>0</x:v>
      </x:c>
      <x:c r="BI704" s="6" t="str">
        <x:v>0</x:v>
      </x:c>
      <x:c r="BJ704" s="6" t="str">
        <x:v>0</x:v>
      </x:c>
      <x:c r="BK704" s="6" t="str">
        <x:v>0</x:v>
      </x:c>
      <x:c r="BL704" s="6" t="str">
        <x:v>0</x:v>
      </x:c>
      <x:c r="BM704" s="6" t="str">
        <x:v>0</x:v>
      </x:c>
      <x:c r="BN704" s="6" t="str">
        <x:v>1</x:v>
      </x:c>
      <x:c r="BO704" s="6" t="str">
        <x:v>0.0</x:v>
      </x:c>
      <x:c r="BP704" s="6" t="str">
        <x:v>1</x:v>
      </x:c>
      <x:c r="BQ704" s="6" t="str">
        <x:v>0.0</x:v>
      </x:c>
      <x:c r="BR704" s="6" t="str">
        <x:v>1</x:v>
      </x:c>
      <x:c r="BS704" s="6" t="str">
        <x:v>0.0</x:v>
      </x:c>
      <x:c r="BT704" s="6" t="str">
        <x:v>1</x:v>
      </x:c>
      <x:c r="BU704" s="6" t="str"/>
      <x:c r="BV704" s="6" t="str">
        <x:v>0</x:v>
      </x:c>
      <x:c r="BW704" s="9" t="str">
        <x:v>operational_snapshot_annual_totals_may_differ</x:v>
      </x:c>
      <x:c r="BX704" s="9" t="str">
        <x:v>official_live_dashboard_snapshot_subject_to_revision</x:v>
      </x:c>
      <x:c r="BY704" s="9" t="str">
        <x:v>https://tbdashboard.sitb.id/ss_data_tbc03so_2024_provinsi_bulanan_list.php</x:v>
      </x:c>
      <x:c r="BZ704" s="6" t="n">
        <x:v>46246.610671296294</x:v>
      </x:c>
    </x:row>
    <x:row r="705" ht="18" customHeight="1">
      <x:c r="A705" s="6" t="str">
        <x:v>76</x:v>
      </x:c>
      <x:c r="B705" s="6" t="str">
        <x:v>SULAWESI BARAT</x:v>
      </x:c>
      <x:c r="C705" s="6" t="str">
        <x:v>2024</x:v>
      </x:c>
      <x:c r="D705" s="6" t="str">
        <x:v>8</x:v>
      </x:c>
      <x:c r="E705" s="6" t="str">
        <x:v>2024-08</x:v>
      </x:c>
      <x:c r="F705" s="6" t="str">
        <x:v>323</x:v>
      </x:c>
      <x:c r="G705" s="6" t="str">
        <x:v>99</x:v>
      </x:c>
      <x:c r="H705" s="6" t="str">
        <x:v>175</x:v>
      </x:c>
      <x:c r="I705" s="6" t="str">
        <x:v>21</x:v>
      </x:c>
      <x:c r="J705" s="6" t="str">
        <x:v>27</x:v>
      </x:c>
      <x:c r="K705" s="6" t="str">
        <x:v>0</x:v>
      </x:c>
      <x:c r="L705" s="6" t="str">
        <x:v>0</x:v>
      </x:c>
      <x:c r="M705" s="6" t="str">
        <x:v>1</x:v>
      </x:c>
      <x:c r="N705" s="6" t="str">
        <x:v>323</x:v>
      </x:c>
      <x:c r="O705" s="6" t="str">
        <x:v>0</x:v>
      </x:c>
      <x:c r="P705" s="10" t="n">
        <x:f>F705-M705</x:f>
        <x:v>322</x:v>
      </x:c>
      <x:c r="Q705" s="11" t="n">
        <x:f>IFERROR(M705/F705,"")</x:f>
        <x:v>0.0030959752321981426</x:v>
      </x:c>
      <x:c r="R705" s="10" t="n">
        <x:f>G705+H705</x:f>
        <x:v>274</x:v>
      </x:c>
      <x:c r="S705" s="11" t="n">
        <x:f>IFERROR(R705/F705,"")</x:f>
        <x:v>0.848297213622291</x:v>
      </x:c>
      <x:c r="T705" s="11" t="n">
        <x:f>IFERROR(R705/P705,"")</x:f>
        <x:v>0.8509316770186336</x:v>
      </x:c>
      <x:c r="U705" s="10" t="n">
        <x:f>I705+J705+K705</x:f>
        <x:v>48</x:v>
      </x:c>
      <x:c r="V705" s="11" t="n">
        <x:f>IFERROR(U705/P705,"")</x:f>
        <x:v>0.14906832298136646</x:v>
      </x:c>
      <x:c r="W705" s="9" t="str">
        <x:v>mature_le_5pct_pending</x:v>
      </x:c>
      <x:c r="X705" s="12" t="n">
        <x:f>IFERROR(F705/Z705*100000,"")</x:f>
        <x:v>21.48749334752528</x:v>
      </x:c>
      <x:c r="Y705" s="13" t="n">
        <x:f>LN(Z705)</x:f>
        <x:v>14.223106727081392</x:v>
      </x:c>
      <x:c r="Z705" s="6" t="str">
        <x:v>1503200</x:v>
      </x:c>
      <x:c r="AA705" s="6" t="str">
        <x:v>91.0</x:v>
      </x:c>
      <x:c r="AB705" s="9" t="str">
        <x:v>2024-06-30</x:v>
      </x:c>
      <x:c r="AC705" s="8" t="str">
        <x:v>82.5</x:v>
      </x:c>
      <x:c r="AD705" s="9" t="str">
        <x:v>2024 (Susenas)</x:v>
      </x:c>
      <x:c r="AE705" s="8" t="str">
        <x:v>11.21</x:v>
      </x:c>
      <x:c r="AF705" s="9" t="str">
        <x:v>Maret 2024 (Susenas)</x:v>
      </x:c>
      <x:c r="AG705" s="6" t="str">
        <x:v>23.718256186093992</x:v>
      </x:c>
      <x:c r="AH705" s="8" t="str">
        <x:v>88.59219792212147</x:v>
      </x:c>
      <x:c r="AI705" s="6" t="str">
        <x:v>165.4716573455073</x:v>
      </x:c>
      <x:c r="AJ705" s="6" t="str">
        <x:v>0.6348106845624599</x:v>
      </x:c>
      <x:c r="AK705" s="8" t="str">
        <x:v>2.1354092785546626</x:v>
      </x:c>
      <x:c r="AL705" s="6" t="str">
        <x:v>2.5878126167777777</x:v>
      </x:c>
      <x:c r="AM705" s="6" t="str">
        <x:v>2.6522569737995427</x:v>
      </x:c>
      <x:c r="AN705" s="6" t="str">
        <x:v>2.458492956377328</x:v>
      </x:c>
      <x:c r="AO705" s="6" t="str">
        <x:v>2.595472718884693</x:v>
      </x:c>
      <x:c r="AP705" s="8" t="str">
        <x:v>1.0066703127354613</x:v>
      </x:c>
      <x:c r="AQ705" s="6" t="str">
        <x:v>0.3948313385729746</x:v>
      </x:c>
      <x:c r="AR705" s="6" t="str">
        <x:v>0.5007884371016137</x:v>
      </x:c>
      <x:c r="AS705" s="6" t="str">
        <x:v>0.6340966961366826</x:v>
      </x:c>
      <x:c r="AT705" s="6" t="str">
        <x:v>61.23038359664953</x:v>
      </x:c>
      <x:c r="AU705" s="8" t="str">
        <x:v>0.7566635232562403</x:v>
      </x:c>
      <x:c r="AV705" s="6" t="str">
        <x:v>2.018361940233874</x:v>
      </x:c>
      <x:c r="AW705" s="6" t="str">
        <x:v>0.6899749320453039</x:v>
      </x:c>
      <x:c r="AX705" s="6" t="str">
        <x:v>1.1550001318451393</x:v>
      </x:c>
      <x:c r="AY705" s="6" t="str">
        <x:v>0</x:v>
      </x:c>
      <x:c r="AZ705" s="6" t="str">
        <x:v>1</x:v>
      </x:c>
      <x:c r="BA705" s="9" t="str">
        <x:v>grid_cells_within_BIG_polygon</x:v>
      </x:c>
      <x:c r="BB705" s="6" t="str">
        <x:v>4</x:v>
      </x:c>
      <x:c r="BC705" s="6" t="str">
        <x:v>2</x:v>
      </x:c>
      <x:c r="BD705" s="6" t="str">
        <x:v>2</x:v>
      </x:c>
      <x:c r="BE705" s="6" t="str">
        <x:v>2</x:v>
      </x:c>
      <x:c r="BF705" s="6" t="str">
        <x:v>0</x:v>
      </x:c>
      <x:c r="BG705" s="6" t="str">
        <x:v>0</x:v>
      </x:c>
      <x:c r="BH705" s="6" t="str">
        <x:v>0</x:v>
      </x:c>
      <x:c r="BI705" s="6" t="str">
        <x:v>0</x:v>
      </x:c>
      <x:c r="BJ705" s="6" t="str">
        <x:v>0</x:v>
      </x:c>
      <x:c r="BK705" s="6" t="str">
        <x:v>0</x:v>
      </x:c>
      <x:c r="BL705" s="6" t="str">
        <x:v>0</x:v>
      </x:c>
      <x:c r="BM705" s="6" t="str">
        <x:v>0</x:v>
      </x:c>
      <x:c r="BN705" s="6" t="str">
        <x:v>2</x:v>
      </x:c>
      <x:c r="BO705" s="6" t="str">
        <x:v>0.0</x:v>
      </x:c>
      <x:c r="BP705" s="6" t="str">
        <x:v>2</x:v>
      </x:c>
      <x:c r="BQ705" s="6" t="str">
        <x:v>0.0</x:v>
      </x:c>
      <x:c r="BR705" s="6" t="str">
        <x:v>2</x:v>
      </x:c>
      <x:c r="BS705" s="6" t="str">
        <x:v>1.0</x:v>
      </x:c>
      <x:c r="BT705" s="6" t="str">
        <x:v>2</x:v>
      </x:c>
      <x:c r="BU705" s="6" t="str">
        <x:v>744.0</x:v>
      </x:c>
      <x:c r="BV705" s="6" t="str">
        <x:v>2</x:v>
      </x:c>
      <x:c r="BW705" s="9" t="str">
        <x:v>operational_snapshot_annual_totals_may_differ</x:v>
      </x:c>
      <x:c r="BX705" s="9" t="str">
        <x:v>official_live_dashboard_snapshot_subject_to_revision</x:v>
      </x:c>
      <x:c r="BY705" s="9" t="str">
        <x:v>https://tbdashboard.sitb.id/ss_data_tbc03so_2024_provinsi_bulanan_list.php</x:v>
      </x:c>
      <x:c r="BZ705" s="6" t="n">
        <x:v>46246.610671296294</x:v>
      </x:c>
    </x:row>
    <x:row r="706" ht="18" customHeight="1">
      <x:c r="A706" s="6" t="str">
        <x:v>76</x:v>
      </x:c>
      <x:c r="B706" s="6" t="str">
        <x:v>SULAWESI BARAT</x:v>
      </x:c>
      <x:c r="C706" s="6" t="str">
        <x:v>2024</x:v>
      </x:c>
      <x:c r="D706" s="6" t="str">
        <x:v>9</x:v>
      </x:c>
      <x:c r="E706" s="6" t="str">
        <x:v>2024-09</x:v>
      </x:c>
      <x:c r="F706" s="6" t="str">
        <x:v>284</x:v>
      </x:c>
      <x:c r="G706" s="6" t="str">
        <x:v>86</x:v>
      </x:c>
      <x:c r="H706" s="6" t="str">
        <x:v>163</x:v>
      </x:c>
      <x:c r="I706" s="6" t="str">
        <x:v>19</x:v>
      </x:c>
      <x:c r="J706" s="6" t="str">
        <x:v>15</x:v>
      </x:c>
      <x:c r="K706" s="6" t="str">
        <x:v>1</x:v>
      </x:c>
      <x:c r="L706" s="6" t="str">
        <x:v>0</x:v>
      </x:c>
      <x:c r="M706" s="6" t="str">
        <x:v>0</x:v>
      </x:c>
      <x:c r="N706" s="6" t="str">
        <x:v>284</x:v>
      </x:c>
      <x:c r="O706" s="6" t="str">
        <x:v>0</x:v>
      </x:c>
      <x:c r="P706" s="10" t="n">
        <x:f>F706-M706</x:f>
        <x:v>284</x:v>
      </x:c>
      <x:c r="Q706" s="11" t="n">
        <x:f>IFERROR(M706/F706,"")</x:f>
        <x:v>0</x:v>
      </x:c>
      <x:c r="R706" s="10" t="n">
        <x:f>G706+H706</x:f>
        <x:v>249</x:v>
      </x:c>
      <x:c r="S706" s="11" t="n">
        <x:f>IFERROR(R706/F706,"")</x:f>
        <x:v>0.8767605633802817</x:v>
      </x:c>
      <x:c r="T706" s="11" t="n">
        <x:f>IFERROR(R706/P706,"")</x:f>
        <x:v>0.8767605633802817</x:v>
      </x:c>
      <x:c r="U706" s="10" t="n">
        <x:f>I706+J706+K706</x:f>
        <x:v>35</x:v>
      </x:c>
      <x:c r="V706" s="11" t="n">
        <x:f>IFERROR(U706/P706,"")</x:f>
        <x:v>0.12323943661971831</x:v>
      </x:c>
      <x:c r="W706" s="9" t="str">
        <x:v>mature_le_5pct_pending</x:v>
      </x:c>
      <x:c r="X706" s="12" t="n">
        <x:f>IFERROR(F706/Z706*100000,"")</x:f>
        <x:v>18.893028206492815</x:v>
      </x:c>
      <x:c r="Y706" s="13" t="n">
        <x:f>LN(Z706)</x:f>
        <x:v>14.223106727081392</x:v>
      </x:c>
      <x:c r="Z706" s="6" t="str">
        <x:v>1503200</x:v>
      </x:c>
      <x:c r="AA706" s="6" t="str">
        <x:v>91.0</x:v>
      </x:c>
      <x:c r="AB706" s="9" t="str">
        <x:v>2024-06-30</x:v>
      </x:c>
      <x:c r="AC706" s="8" t="str">
        <x:v>82.5</x:v>
      </x:c>
      <x:c r="AD706" s="9" t="str">
        <x:v>2024 (Susenas)</x:v>
      </x:c>
      <x:c r="AE706" s="8" t="str">
        <x:v>11.21</x:v>
      </x:c>
      <x:c r="AF706" s="9" t="str">
        <x:v>Maret 2024 (Susenas)</x:v>
      </x:c>
      <x:c r="AG706" s="6" t="str">
        <x:v>24.04076966344736</x:v>
      </x:c>
      <x:c r="AH706" s="8" t="str">
        <x:v>85.75216364313053</x:v>
      </x:c>
      <x:c r="AI706" s="6" t="str">
        <x:v>102.37054647534976</x:v>
      </x:c>
      <x:c r="AJ706" s="6" t="str">
        <x:v>0.7532541672398665</x:v>
      </x:c>
      <x:c r="AK706" s="8" t="str">
        <x:v>2.504906010136892</x:v>
      </x:c>
      <x:c r="AL706" s="6" t="str">
        <x:v>2.1354092785546626</x:v>
      </x:c>
      <x:c r="AM706" s="6" t="str">
        <x:v>2.5878126167777777</x:v>
      </x:c>
      <x:c r="AN706" s="6" t="str">
        <x:v>2.409375968489778</x:v>
      </x:c>
      <x:c r="AO706" s="6" t="str">
        <x:v>0.7010963928016878</x:v>
      </x:c>
      <x:c r="AP706" s="8" t="str">
        <x:v>0.2281737664883607</x:v>
      </x:c>
      <x:c r="AQ706" s="6" t="str">
        <x:v>1.0066703127354613</x:v>
      </x:c>
      <x:c r="AR706" s="6" t="str">
        <x:v>0.3948313385729746</x:v>
      </x:c>
      <x:c r="AS706" s="6" t="str">
        <x:v>0.5432251392655982</x:v>
      </x:c>
      <x:c r="AT706" s="6" t="str">
        <x:v>-8.331591990271093</x:v>
      </x:c>
      <x:c r="AU706" s="8" t="str">
        <x:v>-0.1113247012208892</x:v>
      </x:c>
      <x:c r="AV706" s="6" t="str">
        <x:v>0.7566635232562403</x:v>
      </x:c>
      <x:c r="AW706" s="6" t="str">
        <x:v>2.018361940233874</x:v>
      </x:c>
      <x:c r="AX706" s="6" t="str">
        <x:v>0.8879002540897415</x:v>
      </x:c>
      <x:c r="AY706" s="6" t="str">
        <x:v>0</x:v>
      </x:c>
      <x:c r="AZ706" s="6" t="str">
        <x:v>1</x:v>
      </x:c>
      <x:c r="BA706" s="9" t="str">
        <x:v>grid_cells_within_BIG_polygon</x:v>
      </x:c>
      <x:c r="BB706" s="6" t="str">
        <x:v>4</x:v>
      </x:c>
      <x:c r="BC706" s="6" t="str">
        <x:v>0</x:v>
      </x:c>
      <x:c r="BD706" s="6" t="str">
        <x:v>0</x:v>
      </x:c>
      <x:c r="BE706" s="6" t="str">
        <x:v>0</x:v>
      </x:c>
      <x:c r="BF706" s="6" t="str">
        <x:v>0</x:v>
      </x:c>
      <x:c r="BG706" s="6" t="str">
        <x:v>0</x:v>
      </x:c>
      <x:c r="BH706" s="6" t="str">
        <x:v>0</x:v>
      </x:c>
      <x:c r="BI706" s="6" t="str">
        <x:v>0</x:v>
      </x:c>
      <x:c r="BJ706" s="6" t="str">
        <x:v>0</x:v>
      </x:c>
      <x:c r="BK706" s="6" t="str">
        <x:v>0</x:v>
      </x:c>
      <x:c r="BL706" s="6" t="str">
        <x:v>0</x:v>
      </x:c>
      <x:c r="BM706" s="6" t="str">
        <x:v>0</x:v>
      </x:c>
      <x:c r="BN706" s="6" t="str">
        <x:v>0</x:v>
      </x:c>
      <x:c r="BO706" s="6" t="str"/>
      <x:c r="BP706" s="6" t="str">
        <x:v>0</x:v>
      </x:c>
      <x:c r="BQ706" s="6" t="str"/>
      <x:c r="BR706" s="6" t="str">
        <x:v>0</x:v>
      </x:c>
      <x:c r="BS706" s="6" t="str"/>
      <x:c r="BT706" s="6" t="str">
        <x:v>0</x:v>
      </x:c>
      <x:c r="BU706" s="6" t="str"/>
      <x:c r="BV706" s="6" t="str">
        <x:v>0</x:v>
      </x:c>
      <x:c r="BW706" s="9" t="str">
        <x:v>operational_snapshot_annual_totals_may_differ</x:v>
      </x:c>
      <x:c r="BX706" s="9" t="str">
        <x:v>official_live_dashboard_snapshot_subject_to_revision</x:v>
      </x:c>
      <x:c r="BY706" s="9" t="str">
        <x:v>https://tbdashboard.sitb.id/ss_data_tbc03so_2024_provinsi_bulanan_list.php</x:v>
      </x:c>
      <x:c r="BZ706" s="6" t="n">
        <x:v>46246.610671296294</x:v>
      </x:c>
    </x:row>
    <x:row r="707" ht="18" customHeight="1">
      <x:c r="A707" s="6" t="str">
        <x:v>76</x:v>
      </x:c>
      <x:c r="B707" s="6" t="str">
        <x:v>SULAWESI BARAT</x:v>
      </x:c>
      <x:c r="C707" s="6" t="str">
        <x:v>2024</x:v>
      </x:c>
      <x:c r="D707" s="6" t="str">
        <x:v>10</x:v>
      </x:c>
      <x:c r="E707" s="6" t="str">
        <x:v>2024-10</x:v>
      </x:c>
      <x:c r="F707" s="6" t="str">
        <x:v>326</x:v>
      </x:c>
      <x:c r="G707" s="6" t="str">
        <x:v>111</x:v>
      </x:c>
      <x:c r="H707" s="6" t="str">
        <x:v>178</x:v>
      </x:c>
      <x:c r="I707" s="6" t="str">
        <x:v>18</x:v>
      </x:c>
      <x:c r="J707" s="6" t="str">
        <x:v>18</x:v>
      </x:c>
      <x:c r="K707" s="6" t="str">
        <x:v>0</x:v>
      </x:c>
      <x:c r="L707" s="6" t="str">
        <x:v>1</x:v>
      </x:c>
      <x:c r="M707" s="6" t="str">
        <x:v>0</x:v>
      </x:c>
      <x:c r="N707" s="6" t="str">
        <x:v>326</x:v>
      </x:c>
      <x:c r="O707" s="6" t="str">
        <x:v>0</x:v>
      </x:c>
      <x:c r="P707" s="10" t="n">
        <x:f>F707-M707</x:f>
        <x:v>326</x:v>
      </x:c>
      <x:c r="Q707" s="11" t="n">
        <x:f>IFERROR(M707/F707,"")</x:f>
        <x:v>0</x:v>
      </x:c>
      <x:c r="R707" s="10" t="n">
        <x:f>G707+H707</x:f>
        <x:v>289</x:v>
      </x:c>
      <x:c r="S707" s="11" t="n">
        <x:f>IFERROR(R707/F707,"")</x:f>
        <x:v>0.8865030674846626</x:v>
      </x:c>
      <x:c r="T707" s="11" t="n">
        <x:f>IFERROR(R707/P707,"")</x:f>
        <x:v>0.8865030674846626</x:v>
      </x:c>
      <x:c r="U707" s="10" t="n">
        <x:f>I707+J707+K707</x:f>
        <x:v>36</x:v>
      </x:c>
      <x:c r="V707" s="11" t="n">
        <x:f>IFERROR(U707/P707,"")</x:f>
        <x:v>0.11042944785276074</x:v>
      </x:c>
      <x:c r="W707" s="9" t="str">
        <x:v>mature_le_5pct_pending</x:v>
      </x:c>
      <x:c r="X707" s="12" t="n">
        <x:f>IFERROR(F707/Z707*100000,"")</x:f>
        <x:v>21.68706758914316</x:v>
      </x:c>
      <x:c r="Y707" s="13" t="n">
        <x:f>LN(Z707)</x:f>
        <x:v>14.223106727081392</x:v>
      </x:c>
      <x:c r="Z707" s="6" t="str">
        <x:v>1503200</x:v>
      </x:c>
      <x:c r="AA707" s="6" t="str">
        <x:v>91.0</x:v>
      </x:c>
      <x:c r="AB707" s="9" t="str">
        <x:v>2024-06-30</x:v>
      </x:c>
      <x:c r="AC707" s="8" t="str">
        <x:v>82.5</x:v>
      </x:c>
      <x:c r="AD707" s="9" t="str">
        <x:v>2024 (Susenas)</x:v>
      </x:c>
      <x:c r="AE707" s="8" t="str">
        <x:v>11.21</x:v>
      </x:c>
      <x:c r="AF707" s="9" t="str">
        <x:v>Maret 2024 (Susenas)</x:v>
      </x:c>
      <x:c r="AG707" s="6" t="str">
        <x:v>23.940731756466004</x:v>
      </x:c>
      <x:c r="AH707" s="8" t="str">
        <x:v>86.89217373854896</x:v>
      </x:c>
      <x:c r="AI707" s="6" t="str">
        <x:v>181.73036492387456</x:v>
      </x:c>
      <x:c r="AJ707" s="6" t="str">
        <x:v>0.3900054633745178</x:v>
      </x:c>
      <x:c r="AK707" s="8" t="str">
        <x:v>1.200210806459233</x:v>
      </x:c>
      <x:c r="AL707" s="6" t="str">
        <x:v>2.504906010136892</x:v>
      </x:c>
      <x:c r="AM707" s="6" t="str">
        <x:v>2.1354092785546626</x:v>
      </x:c>
      <x:c r="AN707" s="6" t="str">
        <x:v>1.946842031716929</x:v>
      </x:c>
      <x:c r="AO707" s="6" t="str">
        <x:v>1.5227680126050842</x:v>
      </x:c>
      <x:c r="AP707" s="8" t="str">
        <x:v>0.4225130959607643</x:v>
      </x:c>
      <x:c r="AQ707" s="6" t="str">
        <x:v>0.2281737664883607</x:v>
      </x:c>
      <x:c r="AR707" s="6" t="str">
        <x:v>1.0066703127354613</x:v>
      </x:c>
      <x:c r="AS707" s="6" t="str">
        <x:v>0.5524523917281948</x:v>
      </x:c>
      <x:c r="AT707" s="6" t="str">
        <x:v>24.302660301206004</x:v>
      </x:c>
      <x:c r="AU707" s="8" t="str">
        <x:v>0.2408970794859771</x:v>
      </x:c>
      <x:c r="AV707" s="6" t="str">
        <x:v>-0.1113247012208892</x:v>
      </x:c>
      <x:c r="AW707" s="6" t="str">
        <x:v>0.7566635232562403</x:v>
      </x:c>
      <x:c r="AX707" s="6" t="str">
        <x:v>0.2954119671737759</x:v>
      </x:c>
      <x:c r="AY707" s="6" t="str">
        <x:v>0</x:v>
      </x:c>
      <x:c r="AZ707" s="6" t="str">
        <x:v>1</x:v>
      </x:c>
      <x:c r="BA707" s="9" t="str">
        <x:v>grid_cells_within_BIG_polygon</x:v>
      </x:c>
      <x:c r="BB707" s="6" t="str">
        <x:v>4</x:v>
      </x:c>
      <x:c r="BC707" s="6" t="str">
        <x:v>3</x:v>
      </x:c>
      <x:c r="BD707" s="6" t="str">
        <x:v>3</x:v>
      </x:c>
      <x:c r="BE707" s="6" t="str">
        <x:v>2</x:v>
      </x:c>
      <x:c r="BF707" s="6" t="str">
        <x:v>0</x:v>
      </x:c>
      <x:c r="BG707" s="6" t="str">
        <x:v>1</x:v>
      </x:c>
      <x:c r="BH707" s="6" t="str">
        <x:v>0</x:v>
      </x:c>
      <x:c r="BI707" s="6" t="str">
        <x:v>0</x:v>
      </x:c>
      <x:c r="BJ707" s="6" t="str">
        <x:v>0</x:v>
      </x:c>
      <x:c r="BK707" s="6" t="str">
        <x:v>0</x:v>
      </x:c>
      <x:c r="BL707" s="6" t="str">
        <x:v>0</x:v>
      </x:c>
      <x:c r="BM707" s="6" t="str">
        <x:v>0</x:v>
      </x:c>
      <x:c r="BN707" s="6" t="str">
        <x:v>3</x:v>
      </x:c>
      <x:c r="BO707" s="6" t="str">
        <x:v>0.0</x:v>
      </x:c>
      <x:c r="BP707" s="6" t="str">
        <x:v>3</x:v>
      </x:c>
      <x:c r="BQ707" s="6" t="str">
        <x:v>0.0</x:v>
      </x:c>
      <x:c r="BR707" s="6" t="str">
        <x:v>3</x:v>
      </x:c>
      <x:c r="BS707" s="6" t="str">
        <x:v>33.0</x:v>
      </x:c>
      <x:c r="BT707" s="6" t="str">
        <x:v>3</x:v>
      </x:c>
      <x:c r="BU707" s="6" t="str">
        <x:v>347.0</x:v>
      </x:c>
      <x:c r="BV707" s="6" t="str">
        <x:v>2</x:v>
      </x:c>
      <x:c r="BW707" s="9" t="str">
        <x:v>operational_snapshot_annual_totals_may_differ</x:v>
      </x:c>
      <x:c r="BX707" s="9" t="str">
        <x:v>official_live_dashboard_snapshot_subject_to_revision</x:v>
      </x:c>
      <x:c r="BY707" s="9" t="str">
        <x:v>https://tbdashboard.sitb.id/ss_data_tbc03so_2024_provinsi_bulanan_list.php</x:v>
      </x:c>
      <x:c r="BZ707" s="6" t="n">
        <x:v>46246.610671296294</x:v>
      </x:c>
    </x:row>
    <x:row r="708" ht="18" customHeight="1">
      <x:c r="A708" s="6" t="str">
        <x:v>76</x:v>
      </x:c>
      <x:c r="B708" s="6" t="str">
        <x:v>SULAWESI BARAT</x:v>
      </x:c>
      <x:c r="C708" s="6" t="str">
        <x:v>2024</x:v>
      </x:c>
      <x:c r="D708" s="6" t="str">
        <x:v>11</x:v>
      </x:c>
      <x:c r="E708" s="6" t="str">
        <x:v>2024-11</x:v>
      </x:c>
      <x:c r="F708" s="6" t="str">
        <x:v>319</x:v>
      </x:c>
      <x:c r="G708" s="6" t="str">
        <x:v>104</x:v>
      </x:c>
      <x:c r="H708" s="6" t="str">
        <x:v>170</x:v>
      </x:c>
      <x:c r="I708" s="6" t="str">
        <x:v>15</x:v>
      </x:c>
      <x:c r="J708" s="6" t="str">
        <x:v>28</x:v>
      </x:c>
      <x:c r="K708" s="6" t="str">
        <x:v>1</x:v>
      </x:c>
      <x:c r="L708" s="6" t="str">
        <x:v>0</x:v>
      </x:c>
      <x:c r="M708" s="6" t="str">
        <x:v>1</x:v>
      </x:c>
      <x:c r="N708" s="6" t="str">
        <x:v>319</x:v>
      </x:c>
      <x:c r="O708" s="6" t="str">
        <x:v>0</x:v>
      </x:c>
      <x:c r="P708" s="10" t="n">
        <x:f>F708-M708</x:f>
        <x:v>318</x:v>
      </x:c>
      <x:c r="Q708" s="11" t="n">
        <x:f>IFERROR(M708/F708,"")</x:f>
        <x:v>0.003134796238244514</x:v>
      </x:c>
      <x:c r="R708" s="10" t="n">
        <x:f>G708+H708</x:f>
        <x:v>274</x:v>
      </x:c>
      <x:c r="S708" s="11" t="n">
        <x:f>IFERROR(R708/F708,"")</x:f>
        <x:v>0.8589341692789969</x:v>
      </x:c>
      <x:c r="T708" s="11" t="n">
        <x:f>IFERROR(R708/P708,"")</x:f>
        <x:v>0.8616352201257862</x:v>
      </x:c>
      <x:c r="U708" s="10" t="n">
        <x:f>I708+J708+K708</x:f>
        <x:v>44</x:v>
      </x:c>
      <x:c r="V708" s="11" t="n">
        <x:f>IFERROR(U708/P708,"")</x:f>
        <x:v>0.13836477987421383</x:v>
      </x:c>
      <x:c r="W708" s="9" t="str">
        <x:v>mature_le_5pct_pending</x:v>
      </x:c>
      <x:c r="X708" s="12" t="n">
        <x:f>IFERROR(F708/Z708*100000,"")</x:f>
        <x:v>21.22139435870144</x:v>
      </x:c>
      <x:c r="Y708" s="13" t="n">
        <x:f>LN(Z708)</x:f>
        <x:v>14.223106727081392</x:v>
      </x:c>
      <x:c r="Z708" s="6" t="str">
        <x:v>1503200</x:v>
      </x:c>
      <x:c r="AA708" s="6" t="str">
        <x:v>91.0</x:v>
      </x:c>
      <x:c r="AB708" s="9" t="str">
        <x:v>2024-06-30</x:v>
      </x:c>
      <x:c r="AC708" s="8" t="str">
        <x:v>82.5</x:v>
      </x:c>
      <x:c r="AD708" s="9" t="str">
        <x:v>2024 (Susenas)</x:v>
      </x:c>
      <x:c r="AE708" s="8" t="str">
        <x:v>11.21</x:v>
      </x:c>
      <x:c r="AF708" s="9" t="str">
        <x:v>Maret 2024 (Susenas)</x:v>
      </x:c>
      <x:c r="AG708" s="6" t="str">
        <x:v>24.135694897831748</x:v>
      </x:c>
      <x:c r="AH708" s="8" t="str">
        <x:v>88.31197468204364</x:v>
      </x:c>
      <x:c r="AI708" s="6" t="str">
        <x:v>197.08877359475653</x:v>
      </x:c>
      <x:c r="AJ708" s="6" t="str">
        <x:v>0.693503041125016</x:v>
      </x:c>
      <x:c r="AK708" s="8" t="str">
        <x:v>2.149712968982409</x:v>
      </x:c>
      <x:c r="AL708" s="6" t="str">
        <x:v>1.200210806459233</x:v>
      </x:c>
      <x:c r="AM708" s="6" t="str">
        <x:v>2.504906010136892</x:v>
      </x:c>
      <x:c r="AN708" s="6" t="str">
        <x:v>1.951609928526178</x:v>
      </x:c>
      <x:c r="AO708" s="6" t="str">
        <x:v>1.086832624846707</x:v>
      </x:c>
      <x:c r="AP708" s="8" t="str">
        <x:v>0.629400196037942</x:v>
      </x:c>
      <x:c r="AQ708" s="6" t="str">
        <x:v>0.4225130959607643</x:v>
      </x:c>
      <x:c r="AR708" s="6" t="str">
        <x:v>0.2281737664883607</x:v>
      </x:c>
      <x:c r="AS708" s="6" t="str">
        <x:v>0.426695686162355</x:v>
      </x:c>
      <x:c r="AT708" s="6" t="str">
        <x:v>25.47492508327346</x:v>
      </x:c>
      <x:c r="AU708" s="8" t="str">
        <x:v>0.3955434819696289</x:v>
      </x:c>
      <x:c r="AV708" s="6" t="str">
        <x:v>0.2408970794859771</x:v>
      </x:c>
      <x:c r="AW708" s="6" t="str">
        <x:v>-0.1113247012208892</x:v>
      </x:c>
      <x:c r="AX708" s="6" t="str">
        <x:v>0.1750386200782387</x:v>
      </x:c>
      <x:c r="AY708" s="6" t="str">
        <x:v>0</x:v>
      </x:c>
      <x:c r="AZ708" s="6" t="str">
        <x:v>1</x:v>
      </x:c>
      <x:c r="BA708" s="9" t="str">
        <x:v>grid_cells_within_BIG_polygon</x:v>
      </x:c>
      <x:c r="BB708" s="6" t="str">
        <x:v>4</x:v>
      </x:c>
      <x:c r="BC708" s="6" t="str">
        <x:v>3</x:v>
      </x:c>
      <x:c r="BD708" s="6" t="str">
        <x:v>3</x:v>
      </x:c>
      <x:c r="BE708" s="6" t="str">
        <x:v>3</x:v>
      </x:c>
      <x:c r="BF708" s="6" t="str">
        <x:v>0</x:v>
      </x:c>
      <x:c r="BG708" s="6" t="str">
        <x:v>0</x:v>
      </x:c>
      <x:c r="BH708" s="6" t="str">
        <x:v>0</x:v>
      </x:c>
      <x:c r="BI708" s="6" t="str">
        <x:v>0</x:v>
      </x:c>
      <x:c r="BJ708" s="6" t="str">
        <x:v>0</x:v>
      </x:c>
      <x:c r="BK708" s="6" t="str">
        <x:v>0</x:v>
      </x:c>
      <x:c r="BL708" s="6" t="str">
        <x:v>0</x:v>
      </x:c>
      <x:c r="BM708" s="6" t="str">
        <x:v>0</x:v>
      </x:c>
      <x:c r="BN708" s="6" t="str">
        <x:v>3</x:v>
      </x:c>
      <x:c r="BO708" s="6" t="str">
        <x:v>0.0</x:v>
      </x:c>
      <x:c r="BP708" s="6" t="str">
        <x:v>3</x:v>
      </x:c>
      <x:c r="BQ708" s="6" t="str">
        <x:v>0.0</x:v>
      </x:c>
      <x:c r="BR708" s="6" t="str">
        <x:v>3</x:v>
      </x:c>
      <x:c r="BS708" s="6" t="str">
        <x:v>0.0</x:v>
      </x:c>
      <x:c r="BT708" s="6" t="str">
        <x:v>3</x:v>
      </x:c>
      <x:c r="BU708" s="6" t="str">
        <x:v>151.0</x:v>
      </x:c>
      <x:c r="BV708" s="6" t="str">
        <x:v>2</x:v>
      </x:c>
      <x:c r="BW708" s="9" t="str">
        <x:v>operational_snapshot_annual_totals_may_differ</x:v>
      </x:c>
      <x:c r="BX708" s="9" t="str">
        <x:v>official_live_dashboard_snapshot_subject_to_revision</x:v>
      </x:c>
      <x:c r="BY708" s="9" t="str">
        <x:v>https://tbdashboard.sitb.id/ss_data_tbc03so_2024_provinsi_bulanan_list.php</x:v>
      </x:c>
      <x:c r="BZ708" s="6" t="n">
        <x:v>46246.610671296294</x:v>
      </x:c>
    </x:row>
    <x:row r="709" ht="18" customHeight="1">
      <x:c r="A709" s="6" t="str">
        <x:v>76</x:v>
      </x:c>
      <x:c r="B709" s="6" t="str">
        <x:v>SULAWESI BARAT</x:v>
      </x:c>
      <x:c r="C709" s="6" t="str">
        <x:v>2024</x:v>
      </x:c>
      <x:c r="D709" s="6" t="str">
        <x:v>12</x:v>
      </x:c>
      <x:c r="E709" s="6" t="str">
        <x:v>2024-12</x:v>
      </x:c>
      <x:c r="F709" s="6" t="str">
        <x:v>298</x:v>
      </x:c>
      <x:c r="G709" s="6" t="str">
        <x:v>95</x:v>
      </x:c>
      <x:c r="H709" s="6" t="str">
        <x:v>173</x:v>
      </x:c>
      <x:c r="I709" s="6" t="str">
        <x:v>14</x:v>
      </x:c>
      <x:c r="J709" s="6" t="str">
        <x:v>14</x:v>
      </x:c>
      <x:c r="K709" s="6" t="str">
        <x:v>1</x:v>
      </x:c>
      <x:c r="L709" s="6" t="str">
        <x:v>0</x:v>
      </x:c>
      <x:c r="M709" s="6" t="str">
        <x:v>1</x:v>
      </x:c>
      <x:c r="N709" s="6" t="str">
        <x:v>298</x:v>
      </x:c>
      <x:c r="O709" s="6" t="str">
        <x:v>0</x:v>
      </x:c>
      <x:c r="P709" s="10" t="n">
        <x:f>F709-M709</x:f>
        <x:v>297</x:v>
      </x:c>
      <x:c r="Q709" s="11" t="n">
        <x:f>IFERROR(M709/F709,"")</x:f>
        <x:v>0.003355704697986577</x:v>
      </x:c>
      <x:c r="R709" s="10" t="n">
        <x:f>G709+H709</x:f>
        <x:v>268</x:v>
      </x:c>
      <x:c r="S709" s="11" t="n">
        <x:f>IFERROR(R709/F709,"")</x:f>
        <x:v>0.8993288590604027</x:v>
      </x:c>
      <x:c r="T709" s="11" t="n">
        <x:f>IFERROR(R709/P709,"")</x:f>
        <x:v>0.9023569023569024</x:v>
      </x:c>
      <x:c r="U709" s="10" t="n">
        <x:f>I709+J709+K709</x:f>
        <x:v>29</x:v>
      </x:c>
      <x:c r="V709" s="11" t="n">
        <x:f>IFERROR(U709/P709,"")</x:f>
        <x:v>0.09764309764309764</x:v>
      </x:c>
      <x:c r="W709" s="9" t="str">
        <x:v>mature_le_5pct_pending</x:v>
      </x:c>
      <x:c r="X709" s="12" t="n">
        <x:f>IFERROR(F709/Z709*100000,"")</x:f>
        <x:v>19.824374667376265</x:v>
      </x:c>
      <x:c r="Y709" s="13" t="n">
        <x:f>LN(Z709)</x:f>
        <x:v>14.223106727081392</x:v>
      </x:c>
      <x:c r="Z709" s="6" t="str">
        <x:v>1503200</x:v>
      </x:c>
      <x:c r="AA709" s="6" t="str">
        <x:v>91.0</x:v>
      </x:c>
      <x:c r="AB709" s="9" t="str">
        <x:v>2024-06-30</x:v>
      </x:c>
      <x:c r="AC709" s="8" t="str">
        <x:v>82.5</x:v>
      </x:c>
      <x:c r="AD709" s="9" t="str">
        <x:v>2024 (Susenas)</x:v>
      </x:c>
      <x:c r="AE709" s="8" t="str">
        <x:v>11.21</x:v>
      </x:c>
      <x:c r="AF709" s="9" t="str">
        <x:v>Maret 2024 (Susenas)</x:v>
      </x:c>
      <x:c r="AG709" s="6" t="str">
        <x:v>23.51080452261272</x:v>
      </x:c>
      <x:c r="AH709" s="8" t="str">
        <x:v>86.96157189710243</x:v>
      </x:c>
      <x:c r="AI709" s="6" t="str">
        <x:v>356.46822134646465</x:v>
      </x:c>
      <x:c r="AJ709" s="6" t="str">
        <x:v>0.4088136968640903</x:v>
      </x:c>
      <x:c r="AK709" s="8" t="str">
        <x:v>1.0567901984347703</x:v>
      </x:c>
      <x:c r="AL709" s="6" t="str">
        <x:v>2.149712968982409</x:v>
      </x:c>
      <x:c r="AM709" s="6" t="str">
        <x:v>1.200210806459233</x:v>
      </x:c>
      <x:c r="AN709" s="6" t="str">
        <x:v>1.4689046579588043</x:v>
      </x:c>
      <x:c r="AO709" s="6" t="str">
        <x:v>-0.4928146637203952</x:v>
      </x:c>
      <x:c r="AP709" s="8" t="str">
        <x:v>-0.3169892425337073</x:v>
      </x:c>
      <x:c r="AQ709" s="6" t="str">
        <x:v>0.629400196037942</x:v>
      </x:c>
      <x:c r="AR709" s="6" t="str">
        <x:v>0.4225130959607643</x:v>
      </x:c>
      <x:c r="AS709" s="6" t="str">
        <x:v>0.244974683154999</x:v>
      </x:c>
      <x:c r="AT709" s="6" t="str">
        <x:v>113.95104020298234</x:v>
      </x:c>
      <x:c r="AU709" s="8" t="str">
        <x:v>1.2841520826718935</x:v>
      </x:c>
      <x:c r="AV709" s="6" t="str">
        <x:v>0.3955434819696289</x:v>
      </x:c>
      <x:c r="AW709" s="6" t="str">
        <x:v>0.2408970794859771</x:v>
      </x:c>
      <x:c r="AX709" s="6" t="str">
        <x:v>0.6401975480424997</x:v>
      </x:c>
      <x:c r="AY709" s="6" t="str">
        <x:v>1</x:v>
      </x:c>
      <x:c r="AZ709" s="6" t="str">
        <x:v>1</x:v>
      </x:c>
      <x:c r="BA709" s="9" t="str">
        <x:v>grid_cells_within_BIG_polygon</x:v>
      </x:c>
      <x:c r="BB709" s="6" t="str">
        <x:v>4</x:v>
      </x:c>
      <x:c r="BC709" s="6" t="str">
        <x:v>5</x:v>
      </x:c>
      <x:c r="BD709" s="6" t="str">
        <x:v>5</x:v>
      </x:c>
      <x:c r="BE709" s="6" t="str">
        <x:v>2</x:v>
      </x:c>
      <x:c r="BF709" s="6" t="str">
        <x:v>1</x:v>
      </x:c>
      <x:c r="BG709" s="6" t="str">
        <x:v>2</x:v>
      </x:c>
      <x:c r="BH709" s="6" t="str">
        <x:v>0</x:v>
      </x:c>
      <x:c r="BI709" s="6" t="str">
        <x:v>0</x:v>
      </x:c>
      <x:c r="BJ709" s="6" t="str">
        <x:v>0</x:v>
      </x:c>
      <x:c r="BK709" s="6" t="str">
        <x:v>0</x:v>
      </x:c>
      <x:c r="BL709" s="6" t="str">
        <x:v>0</x:v>
      </x:c>
      <x:c r="BM709" s="6" t="str">
        <x:v>0</x:v>
      </x:c>
      <x:c r="BN709" s="6" t="str">
        <x:v>5</x:v>
      </x:c>
      <x:c r="BO709" s="6" t="str">
        <x:v>0.0</x:v>
      </x:c>
      <x:c r="BP709" s="6" t="str">
        <x:v>5</x:v>
      </x:c>
      <x:c r="BQ709" s="6" t="str">
        <x:v>0.0</x:v>
      </x:c>
      <x:c r="BR709" s="6" t="str">
        <x:v>5</x:v>
      </x:c>
      <x:c r="BS709" s="6" t="str">
        <x:v>47.0</x:v>
      </x:c>
      <x:c r="BT709" s="6" t="str">
        <x:v>5</x:v>
      </x:c>
      <x:c r="BU709" s="6" t="str">
        <x:v>488.0</x:v>
      </x:c>
      <x:c r="BV709" s="6" t="str">
        <x:v>1</x:v>
      </x:c>
      <x:c r="BW709" s="9" t="str">
        <x:v>operational_snapshot_annual_totals_may_differ</x:v>
      </x:c>
      <x:c r="BX709" s="9" t="str">
        <x:v>official_live_dashboard_snapshot_subject_to_revision</x:v>
      </x:c>
      <x:c r="BY709" s="9" t="str">
        <x:v>https://tbdashboard.sitb.id/ss_data_tbc03so_2024_provinsi_bulanan_list.php</x:v>
      </x:c>
      <x:c r="BZ709" s="6" t="n">
        <x:v>46246.610671296294</x:v>
      </x:c>
    </x:row>
    <x:row r="710" ht="18" customHeight="1">
      <x:c r="A710" s="6" t="str">
        <x:v>76</x:v>
      </x:c>
      <x:c r="B710" s="6" t="str">
        <x:v>SULAWESI BARAT</x:v>
      </x:c>
      <x:c r="C710" s="6" t="str">
        <x:v>2025</x:v>
      </x:c>
      <x:c r="D710" s="6" t="str">
        <x:v>1</x:v>
      </x:c>
      <x:c r="E710" s="6" t="str">
        <x:v>2025-01</x:v>
      </x:c>
      <x:c r="F710" s="6" t="str">
        <x:v>343</x:v>
      </x:c>
      <x:c r="G710" s="6" t="str">
        <x:v>108</x:v>
      </x:c>
      <x:c r="H710" s="6" t="str">
        <x:v>195</x:v>
      </x:c>
      <x:c r="I710" s="6" t="str">
        <x:v>17</x:v>
      </x:c>
      <x:c r="J710" s="6" t="str">
        <x:v>18</x:v>
      </x:c>
      <x:c r="K710" s="6" t="str">
        <x:v>0</x:v>
      </x:c>
      <x:c r="L710" s="6" t="str">
        <x:v>0</x:v>
      </x:c>
      <x:c r="M710" s="6" t="str">
        <x:v>5</x:v>
      </x:c>
      <x:c r="N710" s="6" t="str">
        <x:v>343</x:v>
      </x:c>
      <x:c r="O710" s="6" t="str">
        <x:v>0</x:v>
      </x:c>
      <x:c r="P710" s="10" t="n">
        <x:f>F710-M710</x:f>
        <x:v>338</x:v>
      </x:c>
      <x:c r="Q710" s="11" t="n">
        <x:f>IFERROR(M710/F710,"")</x:f>
        <x:v>0.014577259475218658</x:v>
      </x:c>
      <x:c r="R710" s="10" t="n">
        <x:f>G710+H710</x:f>
        <x:v>303</x:v>
      </x:c>
      <x:c r="S710" s="11" t="n">
        <x:f>IFERROR(R710/F710,"")</x:f>
        <x:v>0.8833819241982507</x:v>
      </x:c>
      <x:c r="T710" s="11" t="n">
        <x:f>IFERROR(R710/P710,"")</x:f>
        <x:v>0.8964497041420119</x:v>
      </x:c>
      <x:c r="U710" s="10" t="n">
        <x:f>I710+J710+K710</x:f>
        <x:v>35</x:v>
      </x:c>
      <x:c r="V710" s="11" t="n">
        <x:f>IFERROR(U710/P710,"")</x:f>
        <x:v>0.10355029585798817</x:v>
      </x:c>
      <x:c r="W710" s="9" t="str">
        <x:v>mature_le_5pct_pending</x:v>
      </x:c>
      <x:c r="X710" s="12" t="n">
        <x:f>IFERROR(F710/Z710*100000,"")</x:f>
        <x:v>22.487379531895364</x:v>
      </x:c>
      <x:c r="Y710" s="13" t="n">
        <x:f>LN(Z710)</x:f>
        <x:v>14.237701669988024</x:v>
      </x:c>
      <x:c r="Z710" s="6" t="str">
        <x:v>1525300</x:v>
      </x:c>
      <x:c r="AA710" s="6" t="str">
        <x:v>92.0</x:v>
      </x:c>
      <x:c r="AB710" s="9" t="str">
        <x:v>2025-06-30</x:v>
      </x:c>
      <x:c r="AC710" s="8" t="str">
        <x:v>85.98</x:v>
      </x:c>
      <x:c r="AD710" s="9" t="str">
        <x:v>2025 (Susenas)</x:v>
      </x:c>
      <x:c r="AE710" s="8" t="str">
        <x:v>10.41</x:v>
      </x:c>
      <x:c r="AF710" s="9" t="str">
        <x:v>Maret 2025 (Susenas)</x:v>
      </x:c>
      <x:c r="AG710" s="6" t="str">
        <x:v>23.215748424785648</x:v>
      </x:c>
      <x:c r="AH710" s="8" t="str">
        <x:v>87.95918375863761</x:v>
      </x:c>
      <x:c r="AI710" s="6" t="str">
        <x:v>211.95483074744163</x:v>
      </x:c>
      <x:c r="AJ710" s="6" t="str">
        <x:v>0.3785696009835</x:v>
      </x:c>
      <x:c r="AK710" s="8" t="str">
        <x:v>0.8781537605636196</x:v>
      </x:c>
      <x:c r="AL710" s="6" t="str">
        <x:v>1.0567901984347703</x:v>
      </x:c>
      <x:c r="AM710" s="6" t="str">
        <x:v>2.149712968982409</x:v>
      </x:c>
      <x:c r="AN710" s="6" t="str">
        <x:v>1.3615523093269333</x:v>
      </x:c>
      <x:c r="AO710" s="6" t="str">
        <x:v>0.1842265946992825</x:v>
      </x:c>
      <x:c r="AP710" s="8" t="str">
        <x:v>0.1060819774987884</x:v>
      </x:c>
      <x:c r="AQ710" s="6" t="str">
        <x:v>-0.3169892425337073</x:v>
      </x:c>
      <x:c r="AR710" s="6" t="str">
        <x:v>0.629400196037942</x:v>
      </x:c>
      <x:c r="AS710" s="6" t="str">
        <x:v>0.1394976436676737</x:v>
      </x:c>
      <x:c r="AT710" s="6" t="str">
        <x:v>-23.113818949590552</x:v>
      </x:c>
      <x:c r="AU710" s="8" t="str">
        <x:v>-0.2168736820723966</x:v>
      </x:c>
      <x:c r="AV710" s="6" t="str">
        <x:v>1.2841520826718935</x:v>
      </x:c>
      <x:c r="AW710" s="6" t="str">
        <x:v>0.3955434819696289</x:v>
      </x:c>
      <x:c r="AX710" s="6" t="str">
        <x:v>0.4876072941897085</x:v>
      </x:c>
      <x:c r="AY710" s="6" t="str">
        <x:v>0</x:v>
      </x:c>
      <x:c r="AZ710" s="6" t="str">
        <x:v>0</x:v>
      </x:c>
      <x:c r="BA710" s="9" t="str">
        <x:v>grid_cells_within_BIG_polygon</x:v>
      </x:c>
      <x:c r="BB710" s="6" t="str">
        <x:v>4</x:v>
      </x:c>
      <x:c r="BC710" s="6" t="str">
        <x:v>4</x:v>
      </x:c>
      <x:c r="BD710" s="6" t="str">
        <x:v>4</x:v>
      </x:c>
      <x:c r="BE710" s="6" t="str">
        <x:v>3</x:v>
      </x:c>
      <x:c r="BF710" s="6" t="str">
        <x:v>1</x:v>
      </x:c>
      <x:c r="BG710" s="6" t="str">
        <x:v>0</x:v>
      </x:c>
      <x:c r="BH710" s="6" t="str">
        <x:v>0</x:v>
      </x:c>
      <x:c r="BI710" s="6" t="str">
        <x:v>0</x:v>
      </x:c>
      <x:c r="BJ710" s="6" t="str">
        <x:v>0</x:v>
      </x:c>
      <x:c r="BK710" s="6" t="str">
        <x:v>0</x:v>
      </x:c>
      <x:c r="BL710" s="6" t="str">
        <x:v>0</x:v>
      </x:c>
      <x:c r="BM710" s="6" t="str">
        <x:v>0</x:v>
      </x:c>
      <x:c r="BN710" s="6" t="str">
        <x:v>4</x:v>
      </x:c>
      <x:c r="BO710" s="6" t="str">
        <x:v>4.0</x:v>
      </x:c>
      <x:c r="BP710" s="6" t="str">
        <x:v>4</x:v>
      </x:c>
      <x:c r="BQ710" s="6" t="str">
        <x:v>9.0</x:v>
      </x:c>
      <x:c r="BR710" s="6" t="str">
        <x:v>4</x:v>
      </x:c>
      <x:c r="BS710" s="6" t="str">
        <x:v>12.0</x:v>
      </x:c>
      <x:c r="BT710" s="6" t="str">
        <x:v>4</x:v>
      </x:c>
      <x:c r="BU710" s="6" t="str">
        <x:v>1489.0</x:v>
      </x:c>
      <x:c r="BV710" s="6" t="str">
        <x:v>3</x:v>
      </x:c>
      <x:c r="BW710" s="9" t="str">
        <x:v>operational_snapshot_annual_totals_may_differ</x:v>
      </x:c>
      <x:c r="BX710" s="9" t="str">
        <x:v>official_live_dashboard_snapshot_subject_to_revision</x:v>
      </x:c>
      <x:c r="BY710" s="9" t="str">
        <x:v>https://tbdashboard.sitb.id/ss_data_tbc03so_2025_provinsi_bulanan_list.php</x:v>
      </x:c>
      <x:c r="BZ710" s="6" t="n">
        <x:v>46246.610671296294</x:v>
      </x:c>
    </x:row>
    <x:row r="711" ht="18" customHeight="1">
      <x:c r="A711" s="6" t="str">
        <x:v>76</x:v>
      </x:c>
      <x:c r="B711" s="6" t="str">
        <x:v>SULAWESI BARAT</x:v>
      </x:c>
      <x:c r="C711" s="6" t="str">
        <x:v>2025</x:v>
      </x:c>
      <x:c r="D711" s="6" t="str">
        <x:v>2</x:v>
      </x:c>
      <x:c r="E711" s="6" t="str">
        <x:v>2025-02</x:v>
      </x:c>
      <x:c r="F711" s="6" t="str">
        <x:v>323</x:v>
      </x:c>
      <x:c r="G711" s="6" t="str">
        <x:v>105</x:v>
      </x:c>
      <x:c r="H711" s="6" t="str">
        <x:v>175</x:v>
      </x:c>
      <x:c r="I711" s="6" t="str">
        <x:v>17</x:v>
      </x:c>
      <x:c r="J711" s="6" t="str">
        <x:v>21</x:v>
      </x:c>
      <x:c r="K711" s="6" t="str">
        <x:v>0</x:v>
      </x:c>
      <x:c r="L711" s="6" t="str">
        <x:v>0</x:v>
      </x:c>
      <x:c r="M711" s="6" t="str">
        <x:v>5</x:v>
      </x:c>
      <x:c r="N711" s="6" t="str">
        <x:v>323</x:v>
      </x:c>
      <x:c r="O711" s="6" t="str">
        <x:v>0</x:v>
      </x:c>
      <x:c r="P711" s="10" t="n">
        <x:f>F711-M711</x:f>
        <x:v>318</x:v>
      </x:c>
      <x:c r="Q711" s="11" t="n">
        <x:f>IFERROR(M711/F711,"")</x:f>
        <x:v>0.015479876160990712</x:v>
      </x:c>
      <x:c r="R711" s="10" t="n">
        <x:f>G711+H711</x:f>
        <x:v>280</x:v>
      </x:c>
      <x:c r="S711" s="11" t="n">
        <x:f>IFERROR(R711/F711,"")</x:f>
        <x:v>0.8668730650154799</x:v>
      </x:c>
      <x:c r="T711" s="11" t="n">
        <x:f>IFERROR(R711/P711,"")</x:f>
        <x:v>0.8805031446540881</x:v>
      </x:c>
      <x:c r="U711" s="10" t="n">
        <x:f>I711+J711+K711</x:f>
        <x:v>38</x:v>
      </x:c>
      <x:c r="V711" s="11" t="n">
        <x:f>IFERROR(U711/P711,"")</x:f>
        <x:v>0.11949685534591195</x:v>
      </x:c>
      <x:c r="W711" s="9" t="str">
        <x:v>mature_le_5pct_pending</x:v>
      </x:c>
      <x:c r="X711" s="12" t="n">
        <x:f>IFERROR(F711/Z711*100000,"")</x:f>
        <x:v>21.176162066478724</x:v>
      </x:c>
      <x:c r="Y711" s="13" t="n">
        <x:f>LN(Z711)</x:f>
        <x:v>14.237701669988024</x:v>
      </x:c>
      <x:c r="Z711" s="6" t="str">
        <x:v>1525300</x:v>
      </x:c>
      <x:c r="AA711" s="6" t="str">
        <x:v>92.0</x:v>
      </x:c>
      <x:c r="AB711" s="9" t="str">
        <x:v>2025-06-30</x:v>
      </x:c>
      <x:c r="AC711" s="8" t="str">
        <x:v>85.98</x:v>
      </x:c>
      <x:c r="AD711" s="9" t="str">
        <x:v>2025 (Susenas)</x:v>
      </x:c>
      <x:c r="AE711" s="8" t="str">
        <x:v>10.41</x:v>
      </x:c>
      <x:c r="AF711" s="9" t="str">
        <x:v>Maret 2025 (Susenas)</x:v>
      </x:c>
      <x:c r="AG711" s="6" t="str">
        <x:v>23.10331990388537</x:v>
      </x:c>
      <x:c r="AH711" s="8" t="str">
        <x:v>85.39918271656899</x:v>
      </x:c>
      <x:c r="AI711" s="6" t="str">
        <x:v>209.4248949234745</x:v>
      </x:c>
      <x:c r="AJ711" s="6" t="str">
        <x:v>0.1876474961547636</x:v>
      </x:c>
      <x:c r="AK711" s="8" t="str">
        <x:v>0.4328392441767332</x:v>
      </x:c>
      <x:c r="AL711" s="6" t="str">
        <x:v>0.8781537605636196</x:v>
      </x:c>
      <x:c r="AM711" s="6" t="str">
        <x:v>1.0567901984347703</x:v>
      </x:c>
      <x:c r="AN711" s="6" t="str">
        <x:v>0.7892610677250413</x:v>
      </x:c>
      <x:c r="AO711" s="6" t="str">
        <x:v>-1.880162110546408</x:v>
      </x:c>
      <x:c r="AP711" s="8" t="str">
        <x:v>-1.1697783022619128</x:v>
      </x:c>
      <x:c r="AQ711" s="6" t="str">
        <x:v>0.1060819774987884</x:v>
      </x:c>
      <x:c r="AR711" s="6" t="str">
        <x:v>-0.3169892425337073</x:v>
      </x:c>
      <x:c r="AS711" s="6" t="str">
        <x:v>-0.4602285224322778</x:v>
      </x:c>
      <x:c r="AT711" s="6" t="str">
        <x:v>35.33462995239648</x:v>
      </x:c>
      <x:c r="AU711" s="8" t="str">
        <x:v>0.4761498503536439</x:v>
      </x:c>
      <x:c r="AV711" s="6" t="str">
        <x:v>-0.2168736820723966</x:v>
      </x:c>
      <x:c r="AW711" s="6" t="str">
        <x:v>1.2841520826718935</x:v>
      </x:c>
      <x:c r="AX711" s="6" t="str">
        <x:v>0.5144760836510468</x:v>
      </x:c>
      <x:c r="AY711" s="6" t="str">
        <x:v>0</x:v>
      </x:c>
      <x:c r="AZ711" s="6" t="str">
        <x:v>0</x:v>
      </x:c>
      <x:c r="BA711" s="9" t="str">
        <x:v>grid_cells_within_BIG_polygon</x:v>
      </x:c>
      <x:c r="BB711" s="6" t="str">
        <x:v>4</x:v>
      </x:c>
      <x:c r="BC711" s="6" t="str">
        <x:v>2</x:v>
      </x:c>
      <x:c r="BD711" s="6" t="str">
        <x:v>2</x:v>
      </x:c>
      <x:c r="BE711" s="6" t="str">
        <x:v>0</x:v>
      </x:c>
      <x:c r="BF711" s="6" t="str">
        <x:v>0</x:v>
      </x:c>
      <x:c r="BG711" s="6" t="str">
        <x:v>2</x:v>
      </x:c>
      <x:c r="BH711" s="6" t="str">
        <x:v>0</x:v>
      </x:c>
      <x:c r="BI711" s="6" t="str">
        <x:v>0</x:v>
      </x:c>
      <x:c r="BJ711" s="6" t="str">
        <x:v>0</x:v>
      </x:c>
      <x:c r="BK711" s="6" t="str">
        <x:v>0</x:v>
      </x:c>
      <x:c r="BL711" s="6" t="str">
        <x:v>0</x:v>
      </x:c>
      <x:c r="BM711" s="6" t="str">
        <x:v>0</x:v>
      </x:c>
      <x:c r="BN711" s="6" t="str">
        <x:v>2</x:v>
      </x:c>
      <x:c r="BO711" s="6" t="str">
        <x:v>0.0</x:v>
      </x:c>
      <x:c r="BP711" s="6" t="str">
        <x:v>2</x:v>
      </x:c>
      <x:c r="BQ711" s="6" t="str">
        <x:v>0.0</x:v>
      </x:c>
      <x:c r="BR711" s="6" t="str">
        <x:v>2</x:v>
      </x:c>
      <x:c r="BS711" s="6" t="str">
        <x:v>9.0</x:v>
      </x:c>
      <x:c r="BT711" s="6" t="str">
        <x:v>2</x:v>
      </x:c>
      <x:c r="BU711" s="6" t="str"/>
      <x:c r="BV711" s="6" t="str">
        <x:v>0</x:v>
      </x:c>
      <x:c r="BW711" s="9" t="str">
        <x:v>operational_snapshot_annual_totals_may_differ</x:v>
      </x:c>
      <x:c r="BX711" s="9" t="str">
        <x:v>official_live_dashboard_snapshot_subject_to_revision</x:v>
      </x:c>
      <x:c r="BY711" s="9" t="str">
        <x:v>https://tbdashboard.sitb.id/ss_data_tbc03so_2025_provinsi_bulanan_list.php</x:v>
      </x:c>
      <x:c r="BZ711" s="6" t="n">
        <x:v>46246.610671296294</x:v>
      </x:c>
    </x:row>
    <x:row r="712" ht="18" customHeight="1">
      <x:c r="A712" s="6" t="str">
        <x:v>76</x:v>
      </x:c>
      <x:c r="B712" s="6" t="str">
        <x:v>SULAWESI BARAT</x:v>
      </x:c>
      <x:c r="C712" s="6" t="str">
        <x:v>2025</x:v>
      </x:c>
      <x:c r="D712" s="6" t="str">
        <x:v>3</x:v>
      </x:c>
      <x:c r="E712" s="6" t="str">
        <x:v>2025-03</x:v>
      </x:c>
      <x:c r="F712" s="6" t="str">
        <x:v>305</x:v>
      </x:c>
      <x:c r="G712" s="6" t="str">
        <x:v>103</x:v>
      </x:c>
      <x:c r="H712" s="6" t="str">
        <x:v>150</x:v>
      </x:c>
      <x:c r="I712" s="6" t="str">
        <x:v>20</x:v>
      </x:c>
      <x:c r="J712" s="6" t="str">
        <x:v>23</x:v>
      </x:c>
      <x:c r="K712" s="6" t="str">
        <x:v>0</x:v>
      </x:c>
      <x:c r="L712" s="6" t="str">
        <x:v>0</x:v>
      </x:c>
      <x:c r="M712" s="6" t="str">
        <x:v>9</x:v>
      </x:c>
      <x:c r="N712" s="6" t="str">
        <x:v>305</x:v>
      </x:c>
      <x:c r="O712" s="6" t="str">
        <x:v>0</x:v>
      </x:c>
      <x:c r="P712" s="10" t="n">
        <x:f>F712-M712</x:f>
        <x:v>296</x:v>
      </x:c>
      <x:c r="Q712" s="11" t="n">
        <x:f>IFERROR(M712/F712,"")</x:f>
        <x:v>0.029508196721311476</x:v>
      </x:c>
      <x:c r="R712" s="10" t="n">
        <x:f>G712+H712</x:f>
        <x:v>253</x:v>
      </x:c>
      <x:c r="S712" s="11" t="n">
        <x:f>IFERROR(R712/F712,"")</x:f>
        <x:v>0.8295081967213115</x:v>
      </x:c>
      <x:c r="T712" s="11" t="n">
        <x:f>IFERROR(R712/P712,"")</x:f>
        <x:v>0.8547297297297297</x:v>
      </x:c>
      <x:c r="U712" s="10" t="n">
        <x:f>I712+J712+K712</x:f>
        <x:v>43</x:v>
      </x:c>
      <x:c r="V712" s="11" t="n">
        <x:f>IFERROR(U712/P712,"")</x:f>
        <x:v>0.14527027027027026</x:v>
      </x:c>
      <x:c r="W712" s="9" t="str">
        <x:v>mature_le_5pct_pending</x:v>
      </x:c>
      <x:c r="X712" s="12" t="n">
        <x:f>IFERROR(F712/Z712*100000,"")</x:f>
        <x:v>19.99606634760375</x:v>
      </x:c>
      <x:c r="Y712" s="13" t="n">
        <x:f>LN(Z712)</x:f>
        <x:v>14.237701669988024</x:v>
      </x:c>
      <x:c r="Z712" s="6" t="str">
        <x:v>1525300</x:v>
      </x:c>
      <x:c r="AA712" s="6" t="str">
        <x:v>92.0</x:v>
      </x:c>
      <x:c r="AB712" s="9" t="str">
        <x:v>2025-06-30</x:v>
      </x:c>
      <x:c r="AC712" s="8" t="str">
        <x:v>85.98</x:v>
      </x:c>
      <x:c r="AD712" s="9" t="str">
        <x:v>2025 (Susenas)</x:v>
      </x:c>
      <x:c r="AE712" s="8" t="str">
        <x:v>10.41</x:v>
      </x:c>
      <x:c r="AF712" s="9" t="str">
        <x:v>Maret 2025 (Susenas)</x:v>
      </x:c>
      <x:c r="AG712" s="6" t="str">
        <x:v>23.47326018874222</x:v>
      </x:c>
      <x:c r="AH712" s="8" t="str">
        <x:v>86.15909403451927</x:v>
      </x:c>
      <x:c r="AI712" s="6" t="str">
        <x:v>181.73132467676257</x:v>
      </x:c>
      <x:c r="AJ712" s="6" t="str">
        <x:v>0.3660105856684659</x:v>
      </x:c>
      <x:c r="AK712" s="8" t="str">
        <x:v>0.8992504328715039</x:v>
      </x:c>
      <x:c r="AL712" s="6" t="str">
        <x:v>0.4328392441767332</x:v>
      </x:c>
      <x:c r="AM712" s="6" t="str">
        <x:v>0.8781537605636196</x:v>
      </x:c>
      <x:c r="AN712" s="6" t="str">
        <x:v>0.7367478125372858</x:v>
      </x:c>
      <x:c r="AO712" s="6" t="str">
        <x:v>-1.0533605341719152</x:v>
      </x:c>
      <x:c r="AP712" s="8" t="str">
        <x:v>-0.698146721196283</x:v>
      </x:c>
      <x:c r="AQ712" s="6" t="str">
        <x:v>-1.1697783022619128</x:v>
      </x:c>
      <x:c r="AR712" s="6" t="str">
        <x:v>0.1060819774987884</x:v>
      </x:c>
      <x:c r="AS712" s="6" t="str">
        <x:v>-0.587281015319803</x:v>
      </x:c>
      <x:c r="AT712" s="6" t="str">
        <x:v>-27.343253744129044</x:v>
      </x:c>
      <x:c r="AU712" s="8" t="str">
        <x:v>-0.335444402079782</x:v>
      </x:c>
      <x:c r="AV712" s="6" t="str">
        <x:v>0.4761498503536439</x:v>
      </x:c>
      <x:c r="AW712" s="6" t="str">
        <x:v>-0.2168736820723966</x:v>
      </x:c>
      <x:c r="AX712" s="6" t="str">
        <x:v>-0.0253894112661784</x:v>
      </x:c>
      <x:c r="AY712" s="6" t="str">
        <x:v>0</x:v>
      </x:c>
      <x:c r="AZ712" s="6" t="str">
        <x:v>0</x:v>
      </x:c>
      <x:c r="BA712" s="9" t="str">
        <x:v>grid_cells_within_BIG_polygon</x:v>
      </x:c>
      <x:c r="BB712" s="6" t="str">
        <x:v>4</x:v>
      </x:c>
      <x:c r="BC712" s="6" t="str">
        <x:v>2</x:v>
      </x:c>
      <x:c r="BD712" s="6" t="str">
        <x:v>2</x:v>
      </x:c>
      <x:c r="BE712" s="6" t="str">
        <x:v>1</x:v>
      </x:c>
      <x:c r="BF712" s="6" t="str">
        <x:v>0</x:v>
      </x:c>
      <x:c r="BG712" s="6" t="str">
        <x:v>1</x:v>
      </x:c>
      <x:c r="BH712" s="6" t="str">
        <x:v>0</x:v>
      </x:c>
      <x:c r="BI712" s="6" t="str">
        <x:v>0</x:v>
      </x:c>
      <x:c r="BJ712" s="6" t="str">
        <x:v>0</x:v>
      </x:c>
      <x:c r="BK712" s="6" t="str">
        <x:v>0</x:v>
      </x:c>
      <x:c r="BL712" s="6" t="str">
        <x:v>0</x:v>
      </x:c>
      <x:c r="BM712" s="6" t="str">
        <x:v>0</x:v>
      </x:c>
      <x:c r="BN712" s="6" t="str">
        <x:v>2</x:v>
      </x:c>
      <x:c r="BO712" s="6" t="str">
        <x:v>1.0</x:v>
      </x:c>
      <x:c r="BP712" s="6" t="str">
        <x:v>2</x:v>
      </x:c>
      <x:c r="BQ712" s="6" t="str">
        <x:v>0.0</x:v>
      </x:c>
      <x:c r="BR712" s="6" t="str">
        <x:v>2</x:v>
      </x:c>
      <x:c r="BS712" s="6" t="str">
        <x:v>2.0</x:v>
      </x:c>
      <x:c r="BT712" s="6" t="str">
        <x:v>2</x:v>
      </x:c>
      <x:c r="BU712" s="6" t="str">
        <x:v>100.0</x:v>
      </x:c>
      <x:c r="BV712" s="6" t="str">
        <x:v>1</x:v>
      </x:c>
      <x:c r="BW712" s="9" t="str">
        <x:v>operational_snapshot_annual_totals_may_differ</x:v>
      </x:c>
      <x:c r="BX712" s="9" t="str">
        <x:v>official_live_dashboard_snapshot_subject_to_revision</x:v>
      </x:c>
      <x:c r="BY712" s="9" t="str">
        <x:v>https://tbdashboard.sitb.id/ss_data_tbc03so_2025_provinsi_bulanan_list.php</x:v>
      </x:c>
      <x:c r="BZ712" s="6" t="n">
        <x:v>46246.610671296294</x:v>
      </x:c>
    </x:row>
    <x:row r="713" ht="18" customHeight="1">
      <x:c r="A713" s="6" t="str">
        <x:v>76</x:v>
      </x:c>
      <x:c r="B713" s="6" t="str">
        <x:v>SULAWESI BARAT</x:v>
      </x:c>
      <x:c r="C713" s="6" t="str">
        <x:v>2025</x:v>
      </x:c>
      <x:c r="D713" s="6" t="str">
        <x:v>4</x:v>
      </x:c>
      <x:c r="E713" s="6" t="str">
        <x:v>2025-04</x:v>
      </x:c>
      <x:c r="F713" s="6" t="str">
        <x:v>376</x:v>
      </x:c>
      <x:c r="G713" s="6" t="str">
        <x:v>133</x:v>
      </x:c>
      <x:c r="H713" s="6" t="str">
        <x:v>195</x:v>
      </x:c>
      <x:c r="I713" s="6" t="str">
        <x:v>14</x:v>
      </x:c>
      <x:c r="J713" s="6" t="str">
        <x:v>27</x:v>
      </x:c>
      <x:c r="K713" s="6" t="str">
        <x:v>0</x:v>
      </x:c>
      <x:c r="L713" s="6" t="str">
        <x:v>0</x:v>
      </x:c>
      <x:c r="M713" s="6" t="str">
        <x:v>7</x:v>
      </x:c>
      <x:c r="N713" s="6" t="str">
        <x:v>376</x:v>
      </x:c>
      <x:c r="O713" s="6" t="str">
        <x:v>0</x:v>
      </x:c>
      <x:c r="P713" s="10" t="n">
        <x:f>F713-M713</x:f>
        <x:v>369</x:v>
      </x:c>
      <x:c r="Q713" s="11" t="n">
        <x:f>IFERROR(M713/F713,"")</x:f>
        <x:v>0.018617021276595744</x:v>
      </x:c>
      <x:c r="R713" s="10" t="n">
        <x:f>G713+H713</x:f>
        <x:v>328</x:v>
      </x:c>
      <x:c r="S713" s="11" t="n">
        <x:f>IFERROR(R713/F713,"")</x:f>
        <x:v>0.8723404255319149</x:v>
      </x:c>
      <x:c r="T713" s="11" t="n">
        <x:f>IFERROR(R713/P713,"")</x:f>
        <x:v>0.8888888888888888</x:v>
      </x:c>
      <x:c r="U713" s="10" t="n">
        <x:f>I713+J713+K713</x:f>
        <x:v>41</x:v>
      </x:c>
      <x:c r="V713" s="11" t="n">
        <x:f>IFERROR(U713/P713,"")</x:f>
        <x:v>0.1111111111111111</x:v>
      </x:c>
      <x:c r="W713" s="9" t="str">
        <x:v>mature_le_5pct_pending</x:v>
      </x:c>
      <x:c r="X713" s="12" t="n">
        <x:f>IFERROR(F713/Z713*100000,"")</x:f>
        <x:v>24.65088834983282</x:v>
      </x:c>
      <x:c r="Y713" s="13" t="n">
        <x:f>LN(Z713)</x:f>
        <x:v>14.237701669988024</x:v>
      </x:c>
      <x:c r="Z713" s="6" t="str">
        <x:v>1525300</x:v>
      </x:c>
      <x:c r="AA713" s="6" t="str">
        <x:v>92.0</x:v>
      </x:c>
      <x:c r="AB713" s="9" t="str">
        <x:v>2025-06-30</x:v>
      </x:c>
      <x:c r="AC713" s="8" t="str">
        <x:v>85.98</x:v>
      </x:c>
      <x:c r="AD713" s="9" t="str">
        <x:v>2025 (Susenas)</x:v>
      </x:c>
      <x:c r="AE713" s="8" t="str">
        <x:v>10.41</x:v>
      </x:c>
      <x:c r="AF713" s="9" t="str">
        <x:v>Maret 2025 (Susenas)</x:v>
      </x:c>
      <x:c r="AG713" s="6" t="str">
        <x:v>23.40077366438725</x:v>
      </x:c>
      <x:c r="AH713" s="8" t="str">
        <x:v>85.89902146334539</x:v>
      </x:c>
      <x:c r="AI713" s="6" t="str">
        <x:v>109.50367735090173</x:v>
      </x:c>
      <x:c r="AJ713" s="6" t="str">
        <x:v>0.0617870159073596</x:v>
      </x:c>
      <x:c r="AK713" s="8" t="str">
        <x:v>0.2005485613372129</x:v>
      </x:c>
      <x:c r="AL713" s="6" t="str">
        <x:v>0.8992504328715039</x:v>
      </x:c>
      <x:c r="AM713" s="6" t="str">
        <x:v>0.4328392441767332</x:v>
      </x:c>
      <x:c r="AN713" s="6" t="str">
        <x:v>0.5108794127951503</x:v>
      </x:c>
      <x:c r="AO713" s="6" t="str">
        <x:v>-2.4178674656177748</x:v>
      </x:c>
      <x:c r="AP713" s="8" t="str">
        <x:v>-1.5477506576737503</x:v>
      </x:c>
      <x:c r="AQ713" s="6" t="str">
        <x:v>-0.698146721196283</x:v>
      </x:c>
      <x:c r="AR713" s="6" t="str">
        <x:v>-1.1697783022619128</x:v>
      </x:c>
      <x:c r="AS713" s="6" t="str">
        <x:v>-1.138558560377316</x:v>
      </x:c>
      <x:c r="AT713" s="6" t="str">
        <x:v>-109.50516040048558</x:v>
      </x:c>
      <x:c r="AU713" s="8" t="str">
        <x:v>-1.3776117942461024</x:v>
      </x:c>
      <x:c r="AV713" s="6" t="str">
        <x:v>-0.335444402079782</x:v>
      </x:c>
      <x:c r="AW713" s="6" t="str">
        <x:v>0.4761498503536439</x:v>
      </x:c>
      <x:c r="AX713" s="6" t="str">
        <x:v>-0.4123021153240803</x:v>
      </x:c>
      <x:c r="AY713" s="6" t="str">
        <x:v>0</x:v>
      </x:c>
      <x:c r="AZ713" s="6" t="str">
        <x:v>0</x:v>
      </x:c>
      <x:c r="BA713" s="9" t="str">
        <x:v>grid_cells_within_BIG_polygon</x:v>
      </x:c>
      <x:c r="BB713" s="6" t="str">
        <x:v>4</x:v>
      </x:c>
      <x:c r="BC713" s="6" t="str">
        <x:v>0</x:v>
      </x:c>
      <x:c r="BD713" s="6" t="str">
        <x:v>0</x:v>
      </x:c>
      <x:c r="BE713" s="6" t="str">
        <x:v>0</x:v>
      </x:c>
      <x:c r="BF713" s="6" t="str">
        <x:v>0</x:v>
      </x:c>
      <x:c r="BG713" s="6" t="str">
        <x:v>0</x:v>
      </x:c>
      <x:c r="BH713" s="6" t="str">
        <x:v>0</x:v>
      </x:c>
      <x:c r="BI713" s="6" t="str">
        <x:v>0</x:v>
      </x:c>
      <x:c r="BJ713" s="6" t="str">
        <x:v>0</x:v>
      </x:c>
      <x:c r="BK713" s="6" t="str">
        <x:v>0</x:v>
      </x:c>
      <x:c r="BL713" s="6" t="str">
        <x:v>0</x:v>
      </x:c>
      <x:c r="BM713" s="6" t="str">
        <x:v>0</x:v>
      </x:c>
      <x:c r="BN713" s="6" t="str">
        <x:v>0</x:v>
      </x:c>
      <x:c r="BO713" s="6" t="str"/>
      <x:c r="BP713" s="6" t="str">
        <x:v>0</x:v>
      </x:c>
      <x:c r="BQ713" s="6" t="str"/>
      <x:c r="BR713" s="6" t="str">
        <x:v>0</x:v>
      </x:c>
      <x:c r="BS713" s="6" t="str"/>
      <x:c r="BT713" s="6" t="str">
        <x:v>0</x:v>
      </x:c>
      <x:c r="BU713" s="6" t="str"/>
      <x:c r="BV713" s="6" t="str">
        <x:v>0</x:v>
      </x:c>
      <x:c r="BW713" s="9" t="str">
        <x:v>operational_snapshot_annual_totals_may_differ</x:v>
      </x:c>
      <x:c r="BX713" s="9" t="str">
        <x:v>official_live_dashboard_snapshot_subject_to_revision</x:v>
      </x:c>
      <x:c r="BY713" s="9" t="str">
        <x:v>https://tbdashboard.sitb.id/ss_data_tbc03so_2025_provinsi_bulanan_list.php</x:v>
      </x:c>
      <x:c r="BZ713" s="6" t="n">
        <x:v>46246.610671296294</x:v>
      </x:c>
    </x:row>
    <x:row r="714" ht="18" customHeight="1">
      <x:c r="A714" s="6" t="str">
        <x:v>76</x:v>
      </x:c>
      <x:c r="B714" s="6" t="str">
        <x:v>SULAWESI BARAT</x:v>
      </x:c>
      <x:c r="C714" s="6" t="str">
        <x:v>2025</x:v>
      </x:c>
      <x:c r="D714" s="6" t="str">
        <x:v>5</x:v>
      </x:c>
      <x:c r="E714" s="6" t="str">
        <x:v>2025-05</x:v>
      </x:c>
      <x:c r="F714" s="6" t="str">
        <x:v>365</x:v>
      </x:c>
      <x:c r="G714" s="6" t="str">
        <x:v>126</x:v>
      </x:c>
      <x:c r="H714" s="6" t="str">
        <x:v>176</x:v>
      </x:c>
      <x:c r="I714" s="6" t="str">
        <x:v>16</x:v>
      </x:c>
      <x:c r="J714" s="6" t="str">
        <x:v>28</x:v>
      </x:c>
      <x:c r="K714" s="6" t="str">
        <x:v>0</x:v>
      </x:c>
      <x:c r="L714" s="6" t="str">
        <x:v>0</x:v>
      </x:c>
      <x:c r="M714" s="6" t="str">
        <x:v>19</x:v>
      </x:c>
      <x:c r="N714" s="6" t="str">
        <x:v>365</x:v>
      </x:c>
      <x:c r="O714" s="6" t="str">
        <x:v>0</x:v>
      </x:c>
      <x:c r="P714" s="10" t="n">
        <x:f>F714-M714</x:f>
        <x:v>346</x:v>
      </x:c>
      <x:c r="Q714" s="11" t="n">
        <x:f>IFERROR(M714/F714,"")</x:f>
        <x:v>0.052054794520547946</x:v>
      </x:c>
      <x:c r="R714" s="10" t="n">
        <x:f>G714+H714</x:f>
        <x:v>302</x:v>
      </x:c>
      <x:c r="S714" s="11" t="n">
        <x:f>IFERROR(R714/F714,"")</x:f>
        <x:v>0.8273972602739726</x:v>
      </x:c>
      <x:c r="T714" s="11" t="n">
        <x:f>IFERROR(R714/P714,"")</x:f>
        <x:v>0.8728323699421965</x:v>
      </x:c>
      <x:c r="U714" s="10" t="n">
        <x:f>I714+J714+K714</x:f>
        <x:v>44</x:v>
      </x:c>
      <x:c r="V714" s="11" t="n">
        <x:f>IFERROR(U714/P714,"")</x:f>
        <x:v>0.12716763005780346</x:v>
      </x:c>
      <x:c r="W714" s="9" t="str">
        <x:v>provisional_gt_5pct_pending</x:v>
      </x:c>
      <x:c r="X714" s="12" t="n">
        <x:f>IFERROR(F714/Z714*100000,"")</x:f>
        <x:v>23.92971874385367</x:v>
      </x:c>
      <x:c r="Y714" s="13" t="n">
        <x:f>LN(Z714)</x:f>
        <x:v>14.237701669988024</x:v>
      </x:c>
      <x:c r="Z714" s="6" t="str">
        <x:v>1525300</x:v>
      </x:c>
      <x:c r="AA714" s="6" t="str">
        <x:v>92.0</x:v>
      </x:c>
      <x:c r="AB714" s="9" t="str">
        <x:v>2025-06-30</x:v>
      </x:c>
      <x:c r="AC714" s="8" t="str">
        <x:v>85.98</x:v>
      </x:c>
      <x:c r="AD714" s="9" t="str">
        <x:v>2025 (Susenas)</x:v>
      </x:c>
      <x:c r="AE714" s="8" t="str">
        <x:v>10.41</x:v>
      </x:c>
      <x:c r="AF714" s="9" t="str">
        <x:v>Maret 2025 (Susenas)</x:v>
      </x:c>
      <x:c r="AG714" s="6" t="str">
        <x:v>24.018237614692907</x:v>
      </x:c>
      <x:c r="AH714" s="8" t="str">
        <x:v>87.55656369745329</x:v>
      </x:c>
      <x:c r="AI714" s="6" t="str">
        <x:v>191.9660338069466</x:v>
      </x:c>
      <x:c r="AJ714" s="6" t="str">
        <x:v>0.4763480675712088</x:v>
      </x:c>
      <x:c r="AK714" s="8" t="str">
        <x:v>1.5096858042125612</x:v>
      </x:c>
      <x:c r="AL714" s="6" t="str">
        <x:v>0.2005485613372129</x:v>
      </x:c>
      <x:c r="AM714" s="6" t="str">
        <x:v>0.8992504328715039</x:v>
      </x:c>
      <x:c r="AN714" s="6" t="str">
        <x:v>0.8698282661404262</x:v>
      </x:c>
      <x:c r="AO714" s="6" t="str">
        <x:v>-1.598207779951565</x:v>
      </x:c>
      <x:c r="AP714" s="8" t="str">
        <x:v>-1.0709755601993236</x:v>
      </x:c>
      <x:c r="AQ714" s="6" t="str">
        <x:v>-1.5477506576737503</x:v>
      </x:c>
      <x:c r="AR714" s="6" t="str">
        <x:v>-0.698146721196283</x:v>
      </x:c>
      <x:c r="AS714" s="6" t="str">
        <x:v>-1.1056243130231198</x:v>
      </x:c>
      <x:c r="AT714" s="6" t="str">
        <x:v>-18.71732111522158</x:v>
      </x:c>
      <x:c r="AU714" s="8" t="str">
        <x:v>-0.2523680905144302</x:v>
      </x:c>
      <x:c r="AV714" s="6" t="str">
        <x:v>-1.3776117942461024</x:v>
      </x:c>
      <x:c r="AW714" s="6" t="str">
        <x:v>-0.335444402079782</x:v>
      </x:c>
      <x:c r="AX714" s="6" t="str">
        <x:v>-0.6551414289467717</x:v>
      </x:c>
      <x:c r="AY714" s="6" t="str">
        <x:v>0</x:v>
      </x:c>
      <x:c r="AZ714" s="6" t="str">
        <x:v>1</x:v>
      </x:c>
      <x:c r="BA714" s="9" t="str">
        <x:v>grid_cells_within_BIG_polygon</x:v>
      </x:c>
      <x:c r="BB714" s="6" t="str">
        <x:v>4</x:v>
      </x:c>
      <x:c r="BC714" s="6" t="str">
        <x:v>2</x:v>
      </x:c>
      <x:c r="BD714" s="6" t="str">
        <x:v>2</x:v>
      </x:c>
      <x:c r="BE714" s="6" t="str">
        <x:v>1</x:v>
      </x:c>
      <x:c r="BF714" s="6" t="str">
        <x:v>1</x:v>
      </x:c>
      <x:c r="BG714" s="6" t="str">
        <x:v>0</x:v>
      </x:c>
      <x:c r="BH714" s="6" t="str">
        <x:v>0</x:v>
      </x:c>
      <x:c r="BI714" s="6" t="str">
        <x:v>0</x:v>
      </x:c>
      <x:c r="BJ714" s="6" t="str">
        <x:v>0</x:v>
      </x:c>
      <x:c r="BK714" s="6" t="str">
        <x:v>0</x:v>
      </x:c>
      <x:c r="BL714" s="6" t="str">
        <x:v>0</x:v>
      </x:c>
      <x:c r="BM714" s="6" t="str">
        <x:v>0</x:v>
      </x:c>
      <x:c r="BN714" s="6" t="str">
        <x:v>2</x:v>
      </x:c>
      <x:c r="BO714" s="6" t="str">
        <x:v>0.0</x:v>
      </x:c>
      <x:c r="BP714" s="6" t="str">
        <x:v>2</x:v>
      </x:c>
      <x:c r="BQ714" s="6" t="str">
        <x:v>0.0</x:v>
      </x:c>
      <x:c r="BR714" s="6" t="str">
        <x:v>2</x:v>
      </x:c>
      <x:c r="BS714" s="6" t="str">
        <x:v>13.0</x:v>
      </x:c>
      <x:c r="BT714" s="6" t="str">
        <x:v>2</x:v>
      </x:c>
      <x:c r="BU714" s="6" t="str"/>
      <x:c r="BV714" s="6" t="str">
        <x:v>0</x:v>
      </x:c>
      <x:c r="BW714" s="9" t="str">
        <x:v>operational_snapshot_annual_totals_may_differ</x:v>
      </x:c>
      <x:c r="BX714" s="9" t="str">
        <x:v>official_live_dashboard_snapshot_subject_to_revision</x:v>
      </x:c>
      <x:c r="BY714" s="9" t="str">
        <x:v>https://tbdashboard.sitb.id/ss_data_tbc03so_2025_provinsi_bulanan_list.php</x:v>
      </x:c>
      <x:c r="BZ714" s="6" t="n">
        <x:v>46246.610671296294</x:v>
      </x:c>
    </x:row>
    <x:row r="715" ht="18" customHeight="1">
      <x:c r="A715" s="6" t="str">
        <x:v>76</x:v>
      </x:c>
      <x:c r="B715" s="6" t="str">
        <x:v>SULAWESI BARAT</x:v>
      </x:c>
      <x:c r="C715" s="6" t="str">
        <x:v>2025</x:v>
      </x:c>
      <x:c r="D715" s="6" t="str">
        <x:v>6</x:v>
      </x:c>
      <x:c r="E715" s="6" t="str">
        <x:v>2025-06</x:v>
      </x:c>
      <x:c r="F715" s="6" t="str">
        <x:v>343</x:v>
      </x:c>
      <x:c r="G715" s="6" t="str">
        <x:v>114</x:v>
      </x:c>
      <x:c r="H715" s="6" t="str">
        <x:v>179</x:v>
      </x:c>
      <x:c r="I715" s="6" t="str">
        <x:v>14</x:v>
      </x:c>
      <x:c r="J715" s="6" t="str">
        <x:v>24</x:v>
      </x:c>
      <x:c r="K715" s="6" t="str">
        <x:v>0</x:v>
      </x:c>
      <x:c r="L715" s="6" t="str">
        <x:v>0</x:v>
      </x:c>
      <x:c r="M715" s="6" t="str">
        <x:v>12</x:v>
      </x:c>
      <x:c r="N715" s="6" t="str">
        <x:v>343</x:v>
      </x:c>
      <x:c r="O715" s="6" t="str">
        <x:v>0</x:v>
      </x:c>
      <x:c r="P715" s="10" t="n">
        <x:f>F715-M715</x:f>
        <x:v>331</x:v>
      </x:c>
      <x:c r="Q715" s="11" t="n">
        <x:f>IFERROR(M715/F715,"")</x:f>
        <x:v>0.03498542274052478</x:v>
      </x:c>
      <x:c r="R715" s="10" t="n">
        <x:f>G715+H715</x:f>
        <x:v>293</x:v>
      </x:c>
      <x:c r="S715" s="11" t="n">
        <x:f>IFERROR(R715/F715,"")</x:f>
        <x:v>0.8542274052478134</x:v>
      </x:c>
      <x:c r="T715" s="11" t="n">
        <x:f>IFERROR(R715/P715,"")</x:f>
        <x:v>0.8851963746223565</x:v>
      </x:c>
      <x:c r="U715" s="10" t="n">
        <x:f>I715+J715+K715</x:f>
        <x:v>38</x:v>
      </x:c>
      <x:c r="V715" s="11" t="n">
        <x:f>IFERROR(U715/P715,"")</x:f>
        <x:v>0.1148036253776435</x:v>
      </x:c>
      <x:c r="W715" s="9" t="str">
        <x:v>mature_le_5pct_pending</x:v>
      </x:c>
      <x:c r="X715" s="12" t="n">
        <x:f>IFERROR(F715/Z715*100000,"")</x:f>
        <x:v>22.487379531895364</x:v>
      </x:c>
      <x:c r="Y715" s="13" t="n">
        <x:f>LN(Z715)</x:f>
        <x:v>14.237701669988024</x:v>
      </x:c>
      <x:c r="Z715" s="6" t="str">
        <x:v>1525300</x:v>
      </x:c>
      <x:c r="AA715" s="6" t="str">
        <x:v>92.0</x:v>
      </x:c>
      <x:c r="AB715" s="9" t="str">
        <x:v>2025-06-30</x:v>
      </x:c>
      <x:c r="AC715" s="8" t="str">
        <x:v>85.98</x:v>
      </x:c>
      <x:c r="AD715" s="9" t="str">
        <x:v>2025 (Susenas)</x:v>
      </x:c>
      <x:c r="AE715" s="8" t="str">
        <x:v>10.41</x:v>
      </x:c>
      <x:c r="AF715" s="9" t="str">
        <x:v>Maret 2025 (Susenas)</x:v>
      </x:c>
      <x:c r="AG715" s="6" t="str">
        <x:v>23.29578547381184</x:v>
      </x:c>
      <x:c r="AH715" s="8" t="str">
        <x:v>87.95162427661239</x:v>
      </x:c>
      <x:c r="AI715" s="6" t="str">
        <x:v>99.23154754640262</x:v>
      </x:c>
      <x:c r="AJ715" s="6" t="str">
        <x:v>0.1562942831992124</x:v>
      </x:c>
      <x:c r="AK715" s="8" t="str">
        <x:v>0.68662228207285</x:v>
      </x:c>
      <x:c r="AL715" s="6" t="str">
        <x:v>1.5096858042125612</x:v>
      </x:c>
      <x:c r="AM715" s="6" t="str">
        <x:v>0.2005485613372129</x:v>
      </x:c>
      <x:c r="AN715" s="6" t="str">
        <x:v>0.7989522158742083</x:v>
      </x:c>
      <x:c r="AO715" s="6" t="str">
        <x:v>-1.5424408744814286</x:v>
      </x:c>
      <x:c r="AP715" s="8" t="str">
        <x:v>-1.043356958637736</x:v>
      </x:c>
      <x:c r="AQ715" s="6" t="str">
        <x:v>-1.0709755601993236</x:v>
      </x:c>
      <x:c r="AR715" s="6" t="str">
        <x:v>-1.5477506576737503</x:v>
      </x:c>
      <x:c r="AS715" s="6" t="str">
        <x:v>-1.2206943921702706</x:v>
      </x:c>
      <x:c r="AT715" s="6" t="str">
        <x:v>-122.36376403093212</x:v>
      </x:c>
      <x:c r="AU715" s="8" t="str">
        <x:v>-1.1183457533239352</x:v>
      </x:c>
      <x:c r="AV715" s="6" t="str">
        <x:v>-0.2523680905144302</x:v>
      </x:c>
      <x:c r="AW715" s="6" t="str">
        <x:v>-1.3776117942461024</x:v>
      </x:c>
      <x:c r="AX715" s="6" t="str">
        <x:v>-0.916108546028156</x:v>
      </x:c>
      <x:c r="AY715" s="6" t="str">
        <x:v>0</x:v>
      </x:c>
      <x:c r="AZ715" s="6" t="str">
        <x:v>0</x:v>
      </x:c>
      <x:c r="BA715" s="9" t="str">
        <x:v>grid_cells_within_BIG_polygon</x:v>
      </x:c>
      <x:c r="BB715" s="6" t="str">
        <x:v>4</x:v>
      </x:c>
      <x:c r="BC715" s="6" t="str">
        <x:v>0</x:v>
      </x:c>
      <x:c r="BD715" s="6" t="str">
        <x:v>0</x:v>
      </x:c>
      <x:c r="BE715" s="6" t="str">
        <x:v>0</x:v>
      </x:c>
      <x:c r="BF715" s="6" t="str">
        <x:v>0</x:v>
      </x:c>
      <x:c r="BG715" s="6" t="str">
        <x:v>0</x:v>
      </x:c>
      <x:c r="BH715" s="6" t="str">
        <x:v>0</x:v>
      </x:c>
      <x:c r="BI715" s="6" t="str">
        <x:v>0</x:v>
      </x:c>
      <x:c r="BJ715" s="6" t="str">
        <x:v>0</x:v>
      </x:c>
      <x:c r="BK715" s="6" t="str">
        <x:v>0</x:v>
      </x:c>
      <x:c r="BL715" s="6" t="str">
        <x:v>0</x:v>
      </x:c>
      <x:c r="BM715" s="6" t="str">
        <x:v>0</x:v>
      </x:c>
      <x:c r="BN715" s="6" t="str">
        <x:v>0</x:v>
      </x:c>
      <x:c r="BO715" s="6" t="str"/>
      <x:c r="BP715" s="6" t="str">
        <x:v>0</x:v>
      </x:c>
      <x:c r="BQ715" s="6" t="str"/>
      <x:c r="BR715" s="6" t="str">
        <x:v>0</x:v>
      </x:c>
      <x:c r="BS715" s="6" t="str"/>
      <x:c r="BT715" s="6" t="str">
        <x:v>0</x:v>
      </x:c>
      <x:c r="BU715" s="6" t="str"/>
      <x:c r="BV715" s="6" t="str">
        <x:v>0</x:v>
      </x:c>
      <x:c r="BW715" s="9" t="str">
        <x:v>operational_snapshot_annual_totals_may_differ</x:v>
      </x:c>
      <x:c r="BX715" s="9" t="str">
        <x:v>official_live_dashboard_snapshot_subject_to_revision</x:v>
      </x:c>
      <x:c r="BY715" s="9" t="str">
        <x:v>https://tbdashboard.sitb.id/ss_data_tbc03so_2025_provinsi_bulanan_list.php</x:v>
      </x:c>
      <x:c r="BZ715" s="6" t="n">
        <x:v>46246.610671296294</x:v>
      </x:c>
    </x:row>
    <x:row r="716" ht="18" customHeight="1">
      <x:c r="A716" s="6" t="str">
        <x:v>76</x:v>
      </x:c>
      <x:c r="B716" s="6" t="str">
        <x:v>SULAWESI BARAT</x:v>
      </x:c>
      <x:c r="C716" s="6" t="str">
        <x:v>2025</x:v>
      </x:c>
      <x:c r="D716" s="6" t="str">
        <x:v>7</x:v>
      </x:c>
      <x:c r="E716" s="6" t="str">
        <x:v>2025-07</x:v>
      </x:c>
      <x:c r="F716" s="6" t="str">
        <x:v>344</x:v>
      </x:c>
      <x:c r="G716" s="6" t="str">
        <x:v>116</x:v>
      </x:c>
      <x:c r="H716" s="6" t="str">
        <x:v>174</x:v>
      </x:c>
      <x:c r="I716" s="6" t="str">
        <x:v>10</x:v>
      </x:c>
      <x:c r="J716" s="6" t="str">
        <x:v>30</x:v>
      </x:c>
      <x:c r="K716" s="6" t="str">
        <x:v>0</x:v>
      </x:c>
      <x:c r="L716" s="6" t="str">
        <x:v>0</x:v>
      </x:c>
      <x:c r="M716" s="6" t="str">
        <x:v>14</x:v>
      </x:c>
      <x:c r="N716" s="6" t="str">
        <x:v>344</x:v>
      </x:c>
      <x:c r="O716" s="6" t="str">
        <x:v>0</x:v>
      </x:c>
      <x:c r="P716" s="10" t="n">
        <x:f>F716-M716</x:f>
        <x:v>330</x:v>
      </x:c>
      <x:c r="Q716" s="11" t="n">
        <x:f>IFERROR(M716/F716,"")</x:f>
        <x:v>0.040697674418604654</x:v>
      </x:c>
      <x:c r="R716" s="10" t="n">
        <x:f>G716+H716</x:f>
        <x:v>290</x:v>
      </x:c>
      <x:c r="S716" s="11" t="n">
        <x:f>IFERROR(R716/F716,"")</x:f>
        <x:v>0.8430232558139535</x:v>
      </x:c>
      <x:c r="T716" s="11" t="n">
        <x:f>IFERROR(R716/P716,"")</x:f>
        <x:v>0.8787878787878788</x:v>
      </x:c>
      <x:c r="U716" s="10" t="n">
        <x:f>I716+J716+K716</x:f>
        <x:v>40</x:v>
      </x:c>
      <x:c r="V716" s="11" t="n">
        <x:f>IFERROR(U716/P716,"")</x:f>
        <x:v>0.12121212121212122</x:v>
      </x:c>
      <x:c r="W716" s="9" t="str">
        <x:v>mature_le_5pct_pending</x:v>
      </x:c>
      <x:c r="X716" s="12" t="n">
        <x:f>IFERROR(F716/Z716*100000,"")</x:f>
        <x:v>22.552940405166197</x:v>
      </x:c>
      <x:c r="Y716" s="13" t="n">
        <x:f>LN(Z716)</x:f>
        <x:v>14.237701669988024</x:v>
      </x:c>
      <x:c r="Z716" s="6" t="str">
        <x:v>1525300</x:v>
      </x:c>
      <x:c r="AA716" s="6" t="str">
        <x:v>92.0</x:v>
      </x:c>
      <x:c r="AB716" s="9" t="str">
        <x:v>2025-06-30</x:v>
      </x:c>
      <x:c r="AC716" s="8" t="str">
        <x:v>85.98</x:v>
      </x:c>
      <x:c r="AD716" s="9" t="str">
        <x:v>2025 (Susenas)</x:v>
      </x:c>
      <x:c r="AE716" s="8" t="str">
        <x:v>10.41</x:v>
      </x:c>
      <x:c r="AF716" s="9" t="str">
        <x:v>Maret 2025 (Susenas)</x:v>
      </x:c>
      <x:c r="AG716" s="6" t="str">
        <x:v>23.44828971154744</x:v>
      </x:c>
      <x:c r="AH716" s="8" t="str">
        <x:v>86.6518496263546</x:v>
      </x:c>
      <x:c r="AI716" s="6" t="str">
        <x:v>105.40058161457164</x:v>
      </x:c>
      <x:c r="AJ716" s="6" t="str">
        <x:v>0.5326956456489924</x:v>
      </x:c>
      <x:c r="AK716" s="8" t="str">
        <x:v>1.948012554301908</x:v>
      </x:c>
      <x:c r="AL716" s="6" t="str">
        <x:v>0.68662228207285</x:v>
      </x:c>
      <x:c r="AM716" s="6" t="str">
        <x:v>1.5096858042125612</x:v>
      </x:c>
      <x:c r="AN716" s="6" t="str">
        <x:v>1.3814402135291066</x:v>
      </x:c>
      <x:c r="AO716" s="6" t="str">
        <x:v>-1.5891643796259984</x:v>
      </x:c>
      <x:c r="AP716" s="8" t="str">
        <x:v>-0.9150039114371034</x:v>
      </x:c>
      <x:c r="AQ716" s="6" t="str">
        <x:v>-1.043356958637736</x:v>
      </x:c>
      <x:c r="AR716" s="6" t="str">
        <x:v>-1.0709755601993236</x:v>
      </x:c>
      <x:c r="AS716" s="6" t="str">
        <x:v>-1.0097788100913885</x:v>
      </x:c>
      <x:c r="AT716" s="6" t="str">
        <x:v>-41.60723584965476</x:v>
      </x:c>
      <x:c r="AU716" s="8" t="str">
        <x:v>-0.5450406912484731</x:v>
      </x:c>
      <x:c r="AV716" s="6" t="str">
        <x:v>-1.1183457533239352</x:v>
      </x:c>
      <x:c r="AW716" s="6" t="str">
        <x:v>-0.2523680905144302</x:v>
      </x:c>
      <x:c r="AX716" s="6" t="str">
        <x:v>-0.6385848450289463</x:v>
      </x:c>
      <x:c r="AY716" s="6" t="str">
        <x:v>0</x:v>
      </x:c>
      <x:c r="AZ716" s="6" t="str">
        <x:v>1</x:v>
      </x:c>
      <x:c r="BA716" s="9" t="str">
        <x:v>grid_cells_within_BIG_polygon</x:v>
      </x:c>
      <x:c r="BB716" s="6" t="str">
        <x:v>4</x:v>
      </x:c>
      <x:c r="BC716" s="6" t="str">
        <x:v>3</x:v>
      </x:c>
      <x:c r="BD716" s="6" t="str">
        <x:v>3</x:v>
      </x:c>
      <x:c r="BE716" s="6" t="str">
        <x:v>1</x:v>
      </x:c>
      <x:c r="BF716" s="6" t="str">
        <x:v>0</x:v>
      </x:c>
      <x:c r="BG716" s="6" t="str">
        <x:v>2</x:v>
      </x:c>
      <x:c r="BH716" s="6" t="str">
        <x:v>0</x:v>
      </x:c>
      <x:c r="BI716" s="6" t="str">
        <x:v>0</x:v>
      </x:c>
      <x:c r="BJ716" s="6" t="str">
        <x:v>0</x:v>
      </x:c>
      <x:c r="BK716" s="6" t="str">
        <x:v>0</x:v>
      </x:c>
      <x:c r="BL716" s="6" t="str">
        <x:v>0</x:v>
      </x:c>
      <x:c r="BM716" s="6" t="str">
        <x:v>0</x:v>
      </x:c>
      <x:c r="BN716" s="6" t="str">
        <x:v>3</x:v>
      </x:c>
      <x:c r="BO716" s="6" t="str"/>
      <x:c r="BP716" s="6" t="str">
        <x:v>0</x:v>
      </x:c>
      <x:c r="BQ716" s="6" t="str"/>
      <x:c r="BR716" s="6" t="str">
        <x:v>0</x:v>
      </x:c>
      <x:c r="BS716" s="6" t="str">
        <x:v>48.0</x:v>
      </x:c>
      <x:c r="BT716" s="6" t="str">
        <x:v>3</x:v>
      </x:c>
      <x:c r="BU716" s="6" t="str">
        <x:v>366.0</x:v>
      </x:c>
      <x:c r="BV716" s="6" t="str">
        <x:v>1</x:v>
      </x:c>
      <x:c r="BW716" s="9" t="str">
        <x:v>operational_snapshot_annual_totals_may_differ</x:v>
      </x:c>
      <x:c r="BX716" s="9" t="str">
        <x:v>official_live_dashboard_snapshot_subject_to_revision</x:v>
      </x:c>
      <x:c r="BY716" s="9" t="str">
        <x:v>https://tbdashboard.sitb.id/ss_data_tbc03so_2025_provinsi_bulanan_list.php</x:v>
      </x:c>
      <x:c r="BZ716" s="6" t="n">
        <x:v>46246.610671296294</x:v>
      </x:c>
    </x:row>
    <x:row r="717" ht="18" customHeight="1">
      <x:c r="A717" s="6" t="str">
        <x:v>76</x:v>
      </x:c>
      <x:c r="B717" s="6" t="str">
        <x:v>SULAWESI BARAT</x:v>
      </x:c>
      <x:c r="C717" s="6" t="str">
        <x:v>2025</x:v>
      </x:c>
      <x:c r="D717" s="6" t="str">
        <x:v>8</x:v>
      </x:c>
      <x:c r="E717" s="6" t="str">
        <x:v>2025-08</x:v>
      </x:c>
      <x:c r="F717" s="6" t="str">
        <x:v>308</x:v>
      </x:c>
      <x:c r="G717" s="6" t="str">
        <x:v>81</x:v>
      </x:c>
      <x:c r="H717" s="6" t="str">
        <x:v>166</x:v>
      </x:c>
      <x:c r="I717" s="6" t="str">
        <x:v>15</x:v>
      </x:c>
      <x:c r="J717" s="6" t="str">
        <x:v>14</x:v>
      </x:c>
      <x:c r="K717" s="6" t="str">
        <x:v>0</x:v>
      </x:c>
      <x:c r="L717" s="6" t="str">
        <x:v>0</x:v>
      </x:c>
      <x:c r="M717" s="6" t="str">
        <x:v>32</x:v>
      </x:c>
      <x:c r="N717" s="6" t="str">
        <x:v>308</x:v>
      </x:c>
      <x:c r="O717" s="6" t="str">
        <x:v>0</x:v>
      </x:c>
      <x:c r="P717" s="10" t="n">
        <x:f>F717-M717</x:f>
        <x:v>276</x:v>
      </x:c>
      <x:c r="Q717" s="11" t="n">
        <x:f>IFERROR(M717/F717,"")</x:f>
        <x:v>0.1038961038961039</x:v>
      </x:c>
      <x:c r="R717" s="10" t="n">
        <x:f>G717+H717</x:f>
        <x:v>247</x:v>
      </x:c>
      <x:c r="S717" s="11" t="n">
        <x:f>IFERROR(R717/F717,"")</x:f>
        <x:v>0.801948051948052</x:v>
      </x:c>
      <x:c r="T717" s="11" t="n">
        <x:f>IFERROR(R717/P717,"")</x:f>
        <x:v>0.894927536231884</x:v>
      </x:c>
      <x:c r="U717" s="10" t="n">
        <x:f>I717+J717+K717</x:f>
        <x:v>29</x:v>
      </x:c>
      <x:c r="V717" s="11" t="n">
        <x:f>IFERROR(U717/P717,"")</x:f>
        <x:v>0.10507246376811594</x:v>
      </x:c>
      <x:c r="W717" s="9" t="str">
        <x:v>provisional_gt_5pct_pending</x:v>
      </x:c>
      <x:c r="X717" s="12" t="n">
        <x:f>IFERROR(F717/Z717*100000,"")</x:f>
        <x:v>20.192748967416247</x:v>
      </x:c>
      <x:c r="Y717" s="13" t="n">
        <x:f>LN(Z717)</x:f>
        <x:v>14.237701669988024</x:v>
      </x:c>
      <x:c r="Z717" s="6" t="str">
        <x:v>1525300</x:v>
      </x:c>
      <x:c r="AA717" s="6" t="str">
        <x:v>92.0</x:v>
      </x:c>
      <x:c r="AB717" s="9" t="str">
        <x:v>2025-06-30</x:v>
      </x:c>
      <x:c r="AC717" s="8" t="str">
        <x:v>85.98</x:v>
      </x:c>
      <x:c r="AD717" s="9" t="str">
        <x:v>2025 (Susenas)</x:v>
      </x:c>
      <x:c r="AE717" s="8" t="str">
        <x:v>10.41</x:v>
      </x:c>
      <x:c r="AF717" s="9" t="str">
        <x:v>Maret 2025 (Susenas)</x:v>
      </x:c>
      <x:c r="AG717" s="6" t="str">
        <x:v>23.10076471064575</x:v>
      </x:c>
      <x:c r="AH717" s="8" t="str">
        <x:v>88.17450110398079</x:v>
      </x:c>
      <x:c r="AI717" s="6" t="str">
        <x:v>122.00458166399314</x:v>
      </x:c>
      <x:c r="AJ717" s="6" t="str">
        <x:v>0.0173192091142162</x:v>
      </x:c>
      <x:c r="AK717" s="8" t="str">
        <x:v>0.0582592586090711</x:v>
      </x:c>
      <x:c r="AL717" s="6" t="str">
        <x:v>1.948012554301908</x:v>
      </x:c>
      <x:c r="AM717" s="6" t="str">
        <x:v>0.68662228207285</x:v>
      </x:c>
      <x:c r="AN717" s="6" t="str">
        <x:v>0.89763136499461</x:v>
      </x:c>
      <x:c r="AO717" s="6" t="str">
        <x:v>2.1777759007440096</x:v>
      </x:c>
      <x:c r="AP717" s="8" t="str">
        <x:v>0.844663991695425</x:v>
      </x:c>
      <x:c r="AQ717" s="6" t="str">
        <x:v>-0.9150039114371034</x:v>
      </x:c>
      <x:c r="AR717" s="6" t="str">
        <x:v>-1.043356958637736</x:v>
      </x:c>
      <x:c r="AS717" s="6" t="str">
        <x:v>-0.3712322927931388</x:v>
      </x:c>
      <x:c r="AT717" s="6" t="str">
        <x:v>17.763307915135357</x:v>
      </x:c>
      <x:c r="AU717" s="8" t="str">
        <x:v>0.2195127053309405</x:v>
      </x:c>
      <x:c r="AV717" s="6" t="str">
        <x:v>-0.5450406912484731</x:v>
      </x:c>
      <x:c r="AW717" s="6" t="str">
        <x:v>-1.1183457533239352</x:v>
      </x:c>
      <x:c r="AX717" s="6" t="str">
        <x:v>-0.4812912464138227</x:v>
      </x:c>
      <x:c r="AY717" s="6" t="str">
        <x:v>0</x:v>
      </x:c>
      <x:c r="AZ717" s="6" t="str">
        <x:v>0</x:v>
      </x:c>
      <x:c r="BA717" s="9" t="str">
        <x:v>grid_cells_within_BIG_polygon</x:v>
      </x:c>
      <x:c r="BB717" s="6" t="str">
        <x:v>4</x:v>
      </x:c>
      <x:c r="BC717" s="6" t="str">
        <x:v>0</x:v>
      </x:c>
      <x:c r="BD717" s="6" t="str">
        <x:v>0</x:v>
      </x:c>
      <x:c r="BE717" s="6" t="str">
        <x:v>0</x:v>
      </x:c>
      <x:c r="BF717" s="6" t="str">
        <x:v>0</x:v>
      </x:c>
      <x:c r="BG717" s="6" t="str">
        <x:v>0</x:v>
      </x:c>
      <x:c r="BH717" s="6" t="str">
        <x:v>0</x:v>
      </x:c>
      <x:c r="BI717" s="6" t="str">
        <x:v>0</x:v>
      </x:c>
      <x:c r="BJ717" s="6" t="str">
        <x:v>0</x:v>
      </x:c>
      <x:c r="BK717" s="6" t="str">
        <x:v>0</x:v>
      </x:c>
      <x:c r="BL717" s="6" t="str">
        <x:v>0</x:v>
      </x:c>
      <x:c r="BM717" s="6" t="str">
        <x:v>0</x:v>
      </x:c>
      <x:c r="BN717" s="6" t="str">
        <x:v>0</x:v>
      </x:c>
      <x:c r="BO717" s="6" t="str"/>
      <x:c r="BP717" s="6" t="str">
        <x:v>0</x:v>
      </x:c>
      <x:c r="BQ717" s="6" t="str"/>
      <x:c r="BR717" s="6" t="str">
        <x:v>0</x:v>
      </x:c>
      <x:c r="BS717" s="6" t="str"/>
      <x:c r="BT717" s="6" t="str">
        <x:v>0</x:v>
      </x:c>
      <x:c r="BU717" s="6" t="str"/>
      <x:c r="BV717" s="6" t="str">
        <x:v>0</x:v>
      </x:c>
      <x:c r="BW717" s="9" t="str">
        <x:v>operational_snapshot_annual_totals_may_differ</x:v>
      </x:c>
      <x:c r="BX717" s="9" t="str">
        <x:v>official_live_dashboard_snapshot_subject_to_revision</x:v>
      </x:c>
      <x:c r="BY717" s="9" t="str">
        <x:v>https://tbdashboard.sitb.id/ss_data_tbc03so_2025_provinsi_bulanan_list.php</x:v>
      </x:c>
      <x:c r="BZ717" s="6" t="n">
        <x:v>46246.610671296294</x:v>
      </x:c>
    </x:row>
    <x:row r="718" ht="18" customHeight="1">
      <x:c r="A718" s="6" t="str">
        <x:v>76</x:v>
      </x:c>
      <x:c r="B718" s="6" t="str">
        <x:v>SULAWESI BARAT</x:v>
      </x:c>
      <x:c r="C718" s="6" t="str">
        <x:v>2025</x:v>
      </x:c>
      <x:c r="D718" s="6" t="str">
        <x:v>9</x:v>
      </x:c>
      <x:c r="E718" s="6" t="str">
        <x:v>2025-09</x:v>
      </x:c>
      <x:c r="F718" s="6" t="str">
        <x:v>324</x:v>
      </x:c>
      <x:c r="G718" s="6" t="str">
        <x:v>93</x:v>
      </x:c>
      <x:c r="H718" s="6" t="str">
        <x:v>149</x:v>
      </x:c>
      <x:c r="I718" s="6" t="str">
        <x:v>12</x:v>
      </x:c>
      <x:c r="J718" s="6" t="str">
        <x:v>23</x:v>
      </x:c>
      <x:c r="K718" s="6" t="str">
        <x:v>0</x:v>
      </x:c>
      <x:c r="L718" s="6" t="str">
        <x:v>0</x:v>
      </x:c>
      <x:c r="M718" s="6" t="str">
        <x:v>47</x:v>
      </x:c>
      <x:c r="N718" s="6" t="str">
        <x:v>324</x:v>
      </x:c>
      <x:c r="O718" s="6" t="str">
        <x:v>0</x:v>
      </x:c>
      <x:c r="P718" s="10" t="n">
        <x:f>F718-M718</x:f>
        <x:v>277</x:v>
      </x:c>
      <x:c r="Q718" s="11" t="n">
        <x:f>IFERROR(M718/F718,"")</x:f>
        <x:v>0.14506172839506173</x:v>
      </x:c>
      <x:c r="R718" s="10" t="n">
        <x:f>G718+H718</x:f>
        <x:v>242</x:v>
      </x:c>
      <x:c r="S718" s="11" t="n">
        <x:f>IFERROR(R718/F718,"")</x:f>
        <x:v>0.7469135802469136</x:v>
      </x:c>
      <x:c r="T718" s="11" t="n">
        <x:f>IFERROR(R718/P718,"")</x:f>
        <x:v>0.8736462093862816</x:v>
      </x:c>
      <x:c r="U718" s="10" t="n">
        <x:f>I718+J718+K718</x:f>
        <x:v>35</x:v>
      </x:c>
      <x:c r="V718" s="11" t="n">
        <x:f>IFERROR(U718/P718,"")</x:f>
        <x:v>0.1263537906137184</x:v>
      </x:c>
      <x:c r="W718" s="9" t="str">
        <x:v>provisional_gt_5pct_pending</x:v>
      </x:c>
      <x:c r="X718" s="12" t="n">
        <x:f>IFERROR(F718/Z718*100000,"")</x:f>
        <x:v>21.241722939749557</x:v>
      </x:c>
      <x:c r="Y718" s="13" t="n">
        <x:f>LN(Z718)</x:f>
        <x:v>14.237701669988024</x:v>
      </x:c>
      <x:c r="Z718" s="6" t="str">
        <x:v>1525300</x:v>
      </x:c>
      <x:c r="AA718" s="6" t="str">
        <x:v>92.0</x:v>
      </x:c>
      <x:c r="AB718" s="9" t="str">
        <x:v>2025-06-30</x:v>
      </x:c>
      <x:c r="AC718" s="8" t="str">
        <x:v>85.98</x:v>
      </x:c>
      <x:c r="AD718" s="9" t="str">
        <x:v>2025 (Susenas)</x:v>
      </x:c>
      <x:c r="AE718" s="8" t="str">
        <x:v>10.41</x:v>
      </x:c>
      <x:c r="AF718" s="9" t="str">
        <x:v>Maret 2025 (Susenas)</x:v>
      </x:c>
      <x:c r="AG718" s="6" t="str">
        <x:v>23.580728518900088</x:v>
      </x:c>
      <x:c r="AH718" s="8" t="str">
        <x:v>87.44471445464642</x:v>
      </x:c>
      <x:c r="AI718" s="6" t="str">
        <x:v>164.6211039643827</x:v>
      </x:c>
      <x:c r="AJ718" s="6" t="str">
        <x:v>0.2932130226925942</x:v>
      </x:c>
      <x:c r="AK718" s="8" t="str">
        <x:v>0.9750640550511536</x:v>
      </x:c>
      <x:c r="AL718" s="6" t="str">
        <x:v>0.0582592586090711</x:v>
      </x:c>
      <x:c r="AM718" s="6" t="str">
        <x:v>1.948012554301908</x:v>
      </x:c>
      <x:c r="AN718" s="6" t="str">
        <x:v>0.9937786226540444</x:v>
      </x:c>
      <x:c r="AO718" s="6" t="str">
        <x:v>2.393647204317574</x:v>
      </x:c>
      <x:c r="AP718" s="8" t="str">
        <x:v>0.7790191247039615</x:v>
      </x:c>
      <x:c r="AQ718" s="6" t="str">
        <x:v>0.844663991695425</x:v>
      </x:c>
      <x:c r="AR718" s="6" t="str">
        <x:v>-0.9150039114371034</x:v>
      </x:c>
      <x:c r="AS718" s="6" t="str">
        <x:v>0.2362264016540937</x:v>
      </x:c>
      <x:c r="AT718" s="6" t="str">
        <x:v>53.91896549876185</x:v>
      </x:c>
      <x:c r="AU718" s="8" t="str">
        <x:v>0.7204520734210595</x:v>
      </x:c>
      <x:c r="AV718" s="6" t="str">
        <x:v>0.2195127053309405</x:v>
      </x:c>
      <x:c r="AW718" s="6" t="str">
        <x:v>-0.5450406912484731</x:v>
      </x:c>
      <x:c r="AX718" s="6" t="str">
        <x:v>0.1316413625011755</x:v>
      </x:c>
      <x:c r="AY718" s="6" t="str">
        <x:v>0</x:v>
      </x:c>
      <x:c r="AZ718" s="6" t="str">
        <x:v>0</x:v>
      </x:c>
      <x:c r="BA718" s="9" t="str">
        <x:v>grid_cells_within_BIG_polygon</x:v>
      </x:c>
      <x:c r="BB718" s="6" t="str">
        <x:v>4</x:v>
      </x:c>
      <x:c r="BC718" s="6" t="str">
        <x:v>1</x:v>
      </x:c>
      <x:c r="BD718" s="6" t="str">
        <x:v>1</x:v>
      </x:c>
      <x:c r="BE718" s="6" t="str">
        <x:v>1</x:v>
      </x:c>
      <x:c r="BF718" s="6" t="str">
        <x:v>0</x:v>
      </x:c>
      <x:c r="BG718" s="6" t="str">
        <x:v>0</x:v>
      </x:c>
      <x:c r="BH718" s="6" t="str">
        <x:v>0</x:v>
      </x:c>
      <x:c r="BI718" s="6" t="str">
        <x:v>0</x:v>
      </x:c>
      <x:c r="BJ718" s="6" t="str">
        <x:v>0</x:v>
      </x:c>
      <x:c r="BK718" s="6" t="str">
        <x:v>0</x:v>
      </x:c>
      <x:c r="BL718" s="6" t="str">
        <x:v>0</x:v>
      </x:c>
      <x:c r="BM718" s="6" t="str">
        <x:v>0</x:v>
      </x:c>
      <x:c r="BN718" s="6" t="str">
        <x:v>1</x:v>
      </x:c>
      <x:c r="BO718" s="6" t="str"/>
      <x:c r="BP718" s="6" t="str">
        <x:v>0</x:v>
      </x:c>
      <x:c r="BQ718" s="6" t="str"/>
      <x:c r="BR718" s="6" t="str">
        <x:v>0</x:v>
      </x:c>
      <x:c r="BS718" s="6" t="str">
        <x:v>0.0</x:v>
      </x:c>
      <x:c r="BT718" s="6" t="str">
        <x:v>1</x:v>
      </x:c>
      <x:c r="BU718" s="6" t="str">
        <x:v>51.0</x:v>
      </x:c>
      <x:c r="BV718" s="6" t="str">
        <x:v>1</x:v>
      </x:c>
      <x:c r="BW718" s="9" t="str">
        <x:v>operational_snapshot_annual_totals_may_differ</x:v>
      </x:c>
      <x:c r="BX718" s="9" t="str">
        <x:v>official_live_dashboard_snapshot_subject_to_revision</x:v>
      </x:c>
      <x:c r="BY718" s="9" t="str">
        <x:v>https://tbdashboard.sitb.id/ss_data_tbc03so_2025_provinsi_bulanan_list.php</x:v>
      </x:c>
      <x:c r="BZ718" s="6" t="n">
        <x:v>46246.610671296294</x:v>
      </x:c>
    </x:row>
    <x:row r="719" ht="18" customHeight="1">
      <x:c r="A719" s="6" t="str">
        <x:v>76</x:v>
      </x:c>
      <x:c r="B719" s="6" t="str">
        <x:v>SULAWESI BARAT</x:v>
      </x:c>
      <x:c r="C719" s="6" t="str">
        <x:v>2025</x:v>
      </x:c>
      <x:c r="D719" s="6" t="str">
        <x:v>10</x:v>
      </x:c>
      <x:c r="E719" s="6" t="str">
        <x:v>2025-10</x:v>
      </x:c>
      <x:c r="F719" s="6" t="str">
        <x:v>341</x:v>
      </x:c>
      <x:c r="G719" s="6" t="str">
        <x:v>89</x:v>
      </x:c>
      <x:c r="H719" s="6" t="str">
        <x:v>157</x:v>
      </x:c>
      <x:c r="I719" s="6" t="str">
        <x:v>9</x:v>
      </x:c>
      <x:c r="J719" s="6" t="str">
        <x:v>21</x:v>
      </x:c>
      <x:c r="K719" s="6" t="str">
        <x:v>0</x:v>
      </x:c>
      <x:c r="L719" s="6" t="str">
        <x:v>0</x:v>
      </x:c>
      <x:c r="M719" s="6" t="str">
        <x:v>65</x:v>
      </x:c>
      <x:c r="N719" s="6" t="str">
        <x:v>341</x:v>
      </x:c>
      <x:c r="O719" s="6" t="str">
        <x:v>0</x:v>
      </x:c>
      <x:c r="P719" s="10" t="n">
        <x:f>F719-M719</x:f>
        <x:v>276</x:v>
      </x:c>
      <x:c r="Q719" s="11" t="n">
        <x:f>IFERROR(M719/F719,"")</x:f>
        <x:v>0.1906158357771261</x:v>
      </x:c>
      <x:c r="R719" s="10" t="n">
        <x:f>G719+H719</x:f>
        <x:v>246</x:v>
      </x:c>
      <x:c r="S719" s="11" t="n">
        <x:f>IFERROR(R719/F719,"")</x:f>
        <x:v>0.7214076246334311</x:v>
      </x:c>
      <x:c r="T719" s="11" t="n">
        <x:f>IFERROR(R719/P719,"")</x:f>
        <x:v>0.8913043478260869</x:v>
      </x:c>
      <x:c r="U719" s="10" t="n">
        <x:f>I719+J719+K719</x:f>
        <x:v>30</x:v>
      </x:c>
      <x:c r="V719" s="11" t="n">
        <x:f>IFERROR(U719/P719,"")</x:f>
        <x:v>0.10869565217391304</x:v>
      </x:c>
      <x:c r="W719" s="9" t="str">
        <x:v>provisional_gt_5pct_pending</x:v>
      </x:c>
      <x:c r="X719" s="12" t="n">
        <x:f>IFERROR(F719/Z719*100000,"")</x:f>
        <x:v>22.3562577853537</x:v>
      </x:c>
      <x:c r="Y719" s="13" t="n">
        <x:f>LN(Z719)</x:f>
        <x:v>14.237701669988024</x:v>
      </x:c>
      <x:c r="Z719" s="6" t="str">
        <x:v>1525300</x:v>
      </x:c>
      <x:c r="AA719" s="6" t="str">
        <x:v>92.0</x:v>
      </x:c>
      <x:c r="AB719" s="9" t="str">
        <x:v>2025-06-30</x:v>
      </x:c>
      <x:c r="AC719" s="8" t="str">
        <x:v>85.98</x:v>
      </x:c>
      <x:c r="AD719" s="9" t="str">
        <x:v>2025 (Susenas)</x:v>
      </x:c>
      <x:c r="AE719" s="8" t="str">
        <x:v>10.41</x:v>
      </x:c>
      <x:c r="AF719" s="9" t="str">
        <x:v>Maret 2025 (Susenas)</x:v>
      </x:c>
      <x:c r="AG719" s="6" t="str">
        <x:v>23.810711851483568</x:v>
      </x:c>
      <x:c r="AH719" s="8" t="str">
        <x:v>86.08450149340425</x:v>
      </x:c>
      <x:c r="AI719" s="6" t="str">
        <x:v>140.35487536091617</x:v>
      </x:c>
      <x:c r="AJ719" s="6" t="str">
        <x:v>0.2599855583920814</x:v>
      </x:c>
      <x:c r="AK719" s="8" t="str">
        <x:v>0.8000848860054762</x:v>
      </x:c>
      <x:c r="AL719" s="6" t="str">
        <x:v>0.9750640550511536</x:v>
      </x:c>
      <x:c r="AM719" s="6" t="str">
        <x:v>0.0582592586090711</x:v>
      </x:c>
      <x:c r="AN719" s="6" t="str">
        <x:v>0.611136066555234</x:v>
      </x:c>
      <x:c r="AO719" s="6" t="str">
        <x:v>0.7150957674603688</x:v>
      </x:c>
      <x:c r="AP719" s="8" t="str">
        <x:v>0.19841323439756</x:v>
      </x:c>
      <x:c r="AQ719" s="6" t="str">
        <x:v>0.7790191247039615</x:v>
      </x:c>
      <x:c r="AR719" s="6" t="str">
        <x:v>0.844663991695425</x:v>
      </x:c>
      <x:c r="AS719" s="6" t="str">
        <x:v>0.6073654502656481</x:v>
      </x:c>
      <x:c r="AT719" s="6" t="str">
        <x:v>-17.07282926175239</x:v>
      </x:c>
      <x:c r="AU719" s="8" t="str">
        <x:v>-0.1692322839041118</x:v>
      </x:c>
      <x:c r="AV719" s="6" t="str">
        <x:v>0.7204520734210595</x:v>
      </x:c>
      <x:c r="AW719" s="6" t="str">
        <x:v>0.2195127053309405</x:v>
      </x:c>
      <x:c r="AX719" s="6" t="str">
        <x:v>0.2569108316159627</x:v>
      </x:c>
      <x:c r="AY719" s="6" t="str">
        <x:v>0</x:v>
      </x:c>
      <x:c r="AZ719" s="6" t="str">
        <x:v>0</x:v>
      </x:c>
      <x:c r="BA719" s="9" t="str">
        <x:v>grid_cells_within_BIG_polygon</x:v>
      </x:c>
      <x:c r="BB719" s="6" t="str">
        <x:v>4</x:v>
      </x:c>
      <x:c r="BC719" s="6" t="str">
        <x:v>2</x:v>
      </x:c>
      <x:c r="BD719" s="6" t="str">
        <x:v>2</x:v>
      </x:c>
      <x:c r="BE719" s="6" t="str">
        <x:v>2</x:v>
      </x:c>
      <x:c r="BF719" s="6" t="str">
        <x:v>0</x:v>
      </x:c>
      <x:c r="BG719" s="6" t="str">
        <x:v>0</x:v>
      </x:c>
      <x:c r="BH719" s="6" t="str">
        <x:v>0</x:v>
      </x:c>
      <x:c r="BI719" s="6" t="str">
        <x:v>0</x:v>
      </x:c>
      <x:c r="BJ719" s="6" t="str">
        <x:v>0</x:v>
      </x:c>
      <x:c r="BK719" s="6" t="str">
        <x:v>0</x:v>
      </x:c>
      <x:c r="BL719" s="6" t="str">
        <x:v>0</x:v>
      </x:c>
      <x:c r="BM719" s="6" t="str">
        <x:v>0</x:v>
      </x:c>
      <x:c r="BN719" s="6" t="str">
        <x:v>2</x:v>
      </x:c>
      <x:c r="BO719" s="6" t="str"/>
      <x:c r="BP719" s="6" t="str">
        <x:v>0</x:v>
      </x:c>
      <x:c r="BQ719" s="6" t="str"/>
      <x:c r="BR719" s="6" t="str">
        <x:v>0</x:v>
      </x:c>
      <x:c r="BS719" s="6" t="str">
        <x:v>0.0</x:v>
      </x:c>
      <x:c r="BT719" s="6" t="str">
        <x:v>2</x:v>
      </x:c>
      <x:c r="BU719" s="6" t="str">
        <x:v>500.0</x:v>
      </x:c>
      <x:c r="BV719" s="6" t="str">
        <x:v>1</x:v>
      </x:c>
      <x:c r="BW719" s="9" t="str">
        <x:v>operational_snapshot_annual_totals_may_differ</x:v>
      </x:c>
      <x:c r="BX719" s="9" t="str">
        <x:v>official_live_dashboard_snapshot_subject_to_revision</x:v>
      </x:c>
      <x:c r="BY719" s="9" t="str">
        <x:v>https://tbdashboard.sitb.id/ss_data_tbc03so_2025_provinsi_bulanan_list.php</x:v>
      </x:c>
      <x:c r="BZ719" s="6" t="n">
        <x:v>46246.610671296294</x:v>
      </x:c>
    </x:row>
    <x:row r="720" ht="18" customHeight="1">
      <x:c r="A720" s="6" t="str">
        <x:v>76</x:v>
      </x:c>
      <x:c r="B720" s="6" t="str">
        <x:v>SULAWESI BARAT</x:v>
      </x:c>
      <x:c r="C720" s="6" t="str">
        <x:v>2025</x:v>
      </x:c>
      <x:c r="D720" s="6" t="str">
        <x:v>11</x:v>
      </x:c>
      <x:c r="E720" s="6" t="str">
        <x:v>2025-11</x:v>
      </x:c>
      <x:c r="F720" s="6" t="str">
        <x:v>300</x:v>
      </x:c>
      <x:c r="G720" s="6" t="str">
        <x:v>74</x:v>
      </x:c>
      <x:c r="H720" s="6" t="str">
        <x:v>145</x:v>
      </x:c>
      <x:c r="I720" s="6" t="str">
        <x:v>7</x:v>
      </x:c>
      <x:c r="J720" s="6" t="str">
        <x:v>18</x:v>
      </x:c>
      <x:c r="K720" s="6" t="str">
        <x:v>0</x:v>
      </x:c>
      <x:c r="L720" s="6" t="str">
        <x:v>0</x:v>
      </x:c>
      <x:c r="M720" s="6" t="str">
        <x:v>56</x:v>
      </x:c>
      <x:c r="N720" s="6" t="str">
        <x:v>300</x:v>
      </x:c>
      <x:c r="O720" s="6" t="str">
        <x:v>0</x:v>
      </x:c>
      <x:c r="P720" s="10" t="n">
        <x:f>F720-M720</x:f>
        <x:v>244</x:v>
      </x:c>
      <x:c r="Q720" s="11" t="n">
        <x:f>IFERROR(M720/F720,"")</x:f>
        <x:v>0.18666666666666668</x:v>
      </x:c>
      <x:c r="R720" s="10" t="n">
        <x:f>G720+H720</x:f>
        <x:v>219</x:v>
      </x:c>
      <x:c r="S720" s="11" t="n">
        <x:f>IFERROR(R720/F720,"")</x:f>
        <x:v>0.73</x:v>
      </x:c>
      <x:c r="T720" s="11" t="n">
        <x:f>IFERROR(R720/P720,"")</x:f>
        <x:v>0.8975409836065574</x:v>
      </x:c>
      <x:c r="U720" s="10" t="n">
        <x:f>I720+J720+K720</x:f>
        <x:v>25</x:v>
      </x:c>
      <x:c r="V720" s="11" t="n">
        <x:f>IFERROR(U720/P720,"")</x:f>
        <x:v>0.10245901639344263</x:v>
      </x:c>
      <x:c r="W720" s="9" t="str">
        <x:v>provisional_gt_5pct_pending</x:v>
      </x:c>
      <x:c r="X720" s="12" t="n">
        <x:f>IFERROR(F720/Z720*100000,"")</x:f>
        <x:v>19.66826198124959</x:v>
      </x:c>
      <x:c r="Y720" s="13" t="n">
        <x:f>LN(Z720)</x:f>
        <x:v>14.237701669988024</x:v>
      </x:c>
      <x:c r="Z720" s="6" t="str">
        <x:v>1525300</x:v>
      </x:c>
      <x:c r="AA720" s="6" t="str">
        <x:v>92.0</x:v>
      </x:c>
      <x:c r="AB720" s="9" t="str">
        <x:v>2025-06-30</x:v>
      </x:c>
      <x:c r="AC720" s="8" t="str">
        <x:v>85.98</x:v>
      </x:c>
      <x:c r="AD720" s="9" t="str">
        <x:v>2025 (Susenas)</x:v>
      </x:c>
      <x:c r="AE720" s="8" t="str">
        <x:v>10.41</x:v>
      </x:c>
      <x:c r="AF720" s="9" t="str">
        <x:v>Maret 2025 (Susenas)</x:v>
      </x:c>
      <x:c r="AG720" s="6" t="str">
        <x:v>23.673265520586707</x:v>
      </x:c>
      <x:c r="AH720" s="8" t="str">
        <x:v>85.51178600330762</x:v>
      </x:c>
      <x:c r="AI720" s="6" t="str">
        <x:v>133.19345109249434</x:v>
      </x:c>
      <x:c r="AJ720" s="6" t="str">
        <x:v>0.2310736638799753</x:v>
      </x:c>
      <x:c r="AK720" s="8" t="str">
        <x:v>0.7162795583812278</x:v>
      </x:c>
      <x:c r="AL720" s="6" t="str">
        <x:v>0.8000848860054762</x:v>
      </x:c>
      <x:c r="AM720" s="6" t="str">
        <x:v>0.9750640550511536</x:v>
      </x:c>
      <x:c r="AN720" s="6" t="str">
        <x:v>0.8304761664792862</x:v>
      </x:c>
      <x:c r="AO720" s="6" t="str">
        <x:v>-1.7133560538893136</x:v>
      </x:c>
      <x:c r="AP720" s="8" t="str">
        <x:v>-0.9922288046449012</x:v>
      </x:c>
      <x:c r="AQ720" s="6" t="str">
        <x:v>0.19841323439756</x:v>
      </x:c>
      <x:c r="AR720" s="6" t="str">
        <x:v>0.7790191247039615</x:v>
      </x:c>
      <x:c r="AS720" s="6" t="str">
        <x:v>-0.0049321485144605</x:v>
      </x:c>
      <x:c r="AT720" s="6" t="str">
        <x:v>-38.42039741898873</x:v>
      </x:c>
      <x:c r="AU720" s="8" t="str">
        <x:v>-0.5965449446499796</x:v>
      </x:c>
      <x:c r="AV720" s="6" t="str">
        <x:v>-0.1692322839041118</x:v>
      </x:c>
      <x:c r="AW720" s="6" t="str">
        <x:v>0.7204520734210595</x:v>
      </x:c>
      <x:c r="AX720" s="6" t="str">
        <x:v>-0.015108385044344</x:v>
      </x:c>
      <x:c r="AY720" s="6" t="str">
        <x:v>0</x:v>
      </x:c>
      <x:c r="AZ720" s="6" t="str">
        <x:v>0</x:v>
      </x:c>
      <x:c r="BA720" s="9" t="str">
        <x:v>grid_cells_within_BIG_polygon</x:v>
      </x:c>
      <x:c r="BB720" s="6" t="str">
        <x:v>4</x:v>
      </x:c>
      <x:c r="BC720" s="6" t="str">
        <x:v>2</x:v>
      </x:c>
      <x:c r="BD720" s="6" t="str">
        <x:v>2</x:v>
      </x:c>
      <x:c r="BE720" s="6" t="str">
        <x:v>2</x:v>
      </x:c>
      <x:c r="BF720" s="6" t="str">
        <x:v>0</x:v>
      </x:c>
      <x:c r="BG720" s="6" t="str">
        <x:v>0</x:v>
      </x:c>
      <x:c r="BH720" s="6" t="str">
        <x:v>0</x:v>
      </x:c>
      <x:c r="BI720" s="6" t="str">
        <x:v>0</x:v>
      </x:c>
      <x:c r="BJ720" s="6" t="str">
        <x:v>0</x:v>
      </x:c>
      <x:c r="BK720" s="6" t="str">
        <x:v>0</x:v>
      </x:c>
      <x:c r="BL720" s="6" t="str">
        <x:v>0</x:v>
      </x:c>
      <x:c r="BM720" s="6" t="str">
        <x:v>0</x:v>
      </x:c>
      <x:c r="BN720" s="6" t="str">
        <x:v>2</x:v>
      </x:c>
      <x:c r="BO720" s="6" t="str"/>
      <x:c r="BP720" s="6" t="str">
        <x:v>0</x:v>
      </x:c>
      <x:c r="BQ720" s="6" t="str"/>
      <x:c r="BR720" s="6" t="str">
        <x:v>0</x:v>
      </x:c>
      <x:c r="BS720" s="6" t="str">
        <x:v>0.0</x:v>
      </x:c>
      <x:c r="BT720" s="6" t="str">
        <x:v>2</x:v>
      </x:c>
      <x:c r="BU720" s="6" t="str">
        <x:v>980.0</x:v>
      </x:c>
      <x:c r="BV720" s="6" t="str">
        <x:v>1</x:v>
      </x:c>
      <x:c r="BW720" s="9" t="str">
        <x:v>operational_snapshot_annual_totals_may_differ</x:v>
      </x:c>
      <x:c r="BX720" s="9" t="str">
        <x:v>official_live_dashboard_snapshot_subject_to_revision</x:v>
      </x:c>
      <x:c r="BY720" s="9" t="str">
        <x:v>https://tbdashboard.sitb.id/ss_data_tbc03so_2025_provinsi_bulanan_list.php</x:v>
      </x:c>
      <x:c r="BZ720" s="6" t="n">
        <x:v>46246.610671296294</x:v>
      </x:c>
    </x:row>
    <x:row r="721" ht="18" customHeight="1">
      <x:c r="A721" s="6" t="str">
        <x:v>76</x:v>
      </x:c>
      <x:c r="B721" s="6" t="str">
        <x:v>SULAWESI BARAT</x:v>
      </x:c>
      <x:c r="C721" s="6" t="str">
        <x:v>2025</x:v>
      </x:c>
      <x:c r="D721" s="6" t="str">
        <x:v>12</x:v>
      </x:c>
      <x:c r="E721" s="6" t="str">
        <x:v>2025-12</x:v>
      </x:c>
      <x:c r="F721" s="6" t="str">
        <x:v>320</x:v>
      </x:c>
      <x:c r="G721" s="6" t="str">
        <x:v>53</x:v>
      </x:c>
      <x:c r="H721" s="6" t="str">
        <x:v>137</x:v>
      </x:c>
      <x:c r="I721" s="6" t="str">
        <x:v>12</x:v>
      </x:c>
      <x:c r="J721" s="6" t="str">
        <x:v>20</x:v>
      </x:c>
      <x:c r="K721" s="6" t="str">
        <x:v>0</x:v>
      </x:c>
      <x:c r="L721" s="6" t="str">
        <x:v>1</x:v>
      </x:c>
      <x:c r="M721" s="6" t="str">
        <x:v>97</x:v>
      </x:c>
      <x:c r="N721" s="6" t="str">
        <x:v>320</x:v>
      </x:c>
      <x:c r="O721" s="6" t="str">
        <x:v>0</x:v>
      </x:c>
      <x:c r="P721" s="10" t="n">
        <x:f>F721-M721</x:f>
        <x:v>223</x:v>
      </x:c>
      <x:c r="Q721" s="11" t="n">
        <x:f>IFERROR(M721/F721,"")</x:f>
        <x:v>0.303125</x:v>
      </x:c>
      <x:c r="R721" s="10" t="n">
        <x:f>G721+H721</x:f>
        <x:v>190</x:v>
      </x:c>
      <x:c r="S721" s="11" t="n">
        <x:f>IFERROR(R721/F721,"")</x:f>
        <x:v>0.59375</x:v>
      </x:c>
      <x:c r="T721" s="11" t="n">
        <x:f>IFERROR(R721/P721,"")</x:f>
        <x:v>0.852017937219731</x:v>
      </x:c>
      <x:c r="U721" s="10" t="n">
        <x:f>I721+J721+K721</x:f>
        <x:v>32</x:v>
      </x:c>
      <x:c r="V721" s="11" t="n">
        <x:f>IFERROR(U721/P721,"")</x:f>
        <x:v>0.14349775784753363</x:v>
      </x:c>
      <x:c r="W721" s="9" t="str">
        <x:v>provisional_gt_5pct_pending</x:v>
      </x:c>
      <x:c r="X721" s="12" t="n">
        <x:f>IFERROR(F721/Z721*100000,"")</x:f>
        <x:v>20.97947944666623</x:v>
      </x:c>
      <x:c r="Y721" s="13" t="n">
        <x:f>LN(Z721)</x:f>
        <x:v>14.237701669988024</x:v>
      </x:c>
      <x:c r="Z721" s="6" t="str">
        <x:v>1525300</x:v>
      </x:c>
      <x:c r="AA721" s="6" t="str">
        <x:v>92.0</x:v>
      </x:c>
      <x:c r="AB721" s="9" t="str">
        <x:v>2025-06-30</x:v>
      </x:c>
      <x:c r="AC721" s="8" t="str">
        <x:v>85.98</x:v>
      </x:c>
      <x:c r="AD721" s="9" t="str">
        <x:v>2025 (Susenas)</x:v>
      </x:c>
      <x:c r="AE721" s="8" t="str">
        <x:v>10.41</x:v>
      </x:c>
      <x:c r="AF721" s="9" t="str">
        <x:v>Maret 2025 (Susenas)</x:v>
      </x:c>
      <x:c r="AG721" s="6" t="str">
        <x:v>23.53077290194905</x:v>
      </x:c>
      <x:c r="AH721" s="8" t="str">
        <x:v>86.03443081912047</x:v>
      </x:c>
      <x:c r="AI721" s="6" t="str">
        <x:v>140.4288810789756</x:v>
      </x:c>
      <x:c r="AJ721" s="6" t="str">
        <x:v>0.4287820762004202</x:v>
      </x:c>
      <x:c r="AK721" s="8" t="str">
        <x:v>1.1084087907743423</x:v>
      </x:c>
      <x:c r="AL721" s="6" t="str">
        <x:v>0.7162795583812278</x:v>
      </x:c>
      <x:c r="AM721" s="6" t="str">
        <x:v>0.8000848860054762</x:v>
      </x:c>
      <x:c r="AN721" s="6" t="str">
        <x:v>0.8749244117203491</x:v>
      </x:c>
      <x:c r="AO721" s="6" t="str">
        <x:v>-1.4199557417023527</x:v>
      </x:c>
      <x:c r="AP721" s="8" t="str">
        <x:v>-0.913346797750713</x:v>
      </x:c>
      <x:c r="AQ721" s="6" t="str">
        <x:v>-0.9922288046449012</x:v>
      </x:c>
      <x:c r="AR721" s="6" t="str">
        <x:v>0.19841323439756</x:v>
      </x:c>
      <x:c r="AS721" s="6" t="str">
        <x:v>-0.5690541226660187</x:v>
      </x:c>
      <x:c r="AT721" s="6" t="str">
        <x:v>-102.08830006450673</x:v>
      </x:c>
      <x:c r="AU721" s="8" t="str">
        <x:v>-1.1504669278204485</x:v>
      </x:c>
      <x:c r="AV721" s="6" t="str">
        <x:v>-0.5965449446499796</x:v>
      </x:c>
      <x:c r="AW721" s="6" t="str">
        <x:v>-0.1692322839041118</x:v>
      </x:c>
      <x:c r="AX721" s="6" t="str">
        <x:v>-0.6387480521248468</x:v>
      </x:c>
      <x:c r="AY721" s="6" t="str">
        <x:v>0</x:v>
      </x:c>
      <x:c r="AZ721" s="6" t="str">
        <x:v>1</x:v>
      </x:c>
      <x:c r="BA721" s="9" t="str">
        <x:v>grid_cells_within_BIG_polygon</x:v>
      </x:c>
      <x:c r="BB721" s="6" t="str">
        <x:v>4</x:v>
      </x:c>
      <x:c r="BC721" s="6" t="str">
        <x:v>0</x:v>
      </x:c>
      <x:c r="BD721" s="6" t="str">
        <x:v>0</x:v>
      </x:c>
      <x:c r="BE721" s="6" t="str">
        <x:v>0</x:v>
      </x:c>
      <x:c r="BF721" s="6" t="str">
        <x:v>0</x:v>
      </x:c>
      <x:c r="BG721" s="6" t="str">
        <x:v>0</x:v>
      </x:c>
      <x:c r="BH721" s="6" t="str">
        <x:v>0</x:v>
      </x:c>
      <x:c r="BI721" s="6" t="str">
        <x:v>0</x:v>
      </x:c>
      <x:c r="BJ721" s="6" t="str">
        <x:v>0</x:v>
      </x:c>
      <x:c r="BK721" s="6" t="str">
        <x:v>0</x:v>
      </x:c>
      <x:c r="BL721" s="6" t="str">
        <x:v>0</x:v>
      </x:c>
      <x:c r="BM721" s="6" t="str">
        <x:v>0</x:v>
      </x:c>
      <x:c r="BN721" s="6" t="str">
        <x:v>0</x:v>
      </x:c>
      <x:c r="BO721" s="6" t="str"/>
      <x:c r="BP721" s="6" t="str">
        <x:v>0</x:v>
      </x:c>
      <x:c r="BQ721" s="6" t="str"/>
      <x:c r="BR721" s="6" t="str">
        <x:v>0</x:v>
      </x:c>
      <x:c r="BS721" s="6" t="str"/>
      <x:c r="BT721" s="6" t="str">
        <x:v>0</x:v>
      </x:c>
      <x:c r="BU721" s="6" t="str"/>
      <x:c r="BV721" s="6" t="str">
        <x:v>0</x:v>
      </x:c>
      <x:c r="BW721" s="9" t="str">
        <x:v>operational_snapshot_annual_totals_may_differ</x:v>
      </x:c>
      <x:c r="BX721" s="9" t="str">
        <x:v>official_live_dashboard_snapshot_subject_to_revision</x:v>
      </x:c>
      <x:c r="BY721" s="9" t="str">
        <x:v>https://tbdashboard.sitb.id/ss_data_tbc03so_2025_provinsi_bulanan_list.php</x:v>
      </x:c>
      <x:c r="BZ721" s="6" t="n">
        <x:v>46246.610671296294</x:v>
      </x:c>
    </x:row>
    <x:row r="722" ht="18" customHeight="1">
      <x:c r="A722" s="6" t="str">
        <x:v>81</x:v>
      </x:c>
      <x:c r="B722" s="6" t="str">
        <x:v>MALUKU</x:v>
      </x:c>
      <x:c r="C722" s="6" t="str">
        <x:v>2024</x:v>
      </x:c>
      <x:c r="D722" s="6" t="str">
        <x:v>1</x:v>
      </x:c>
      <x:c r="E722" s="6" t="str">
        <x:v>2024-01</x:v>
      </x:c>
      <x:c r="F722" s="6" t="str">
        <x:v>394</x:v>
      </x:c>
      <x:c r="G722" s="6" t="str">
        <x:v>87</x:v>
      </x:c>
      <x:c r="H722" s="6" t="str">
        <x:v>267</x:v>
      </x:c>
      <x:c r="I722" s="6" t="str">
        <x:v>18</x:v>
      </x:c>
      <x:c r="J722" s="6" t="str">
        <x:v>18</x:v>
      </x:c>
      <x:c r="K722" s="6" t="str">
        <x:v>0</x:v>
      </x:c>
      <x:c r="L722" s="6" t="str">
        <x:v>2</x:v>
      </x:c>
      <x:c r="M722" s="6" t="str">
        <x:v>2</x:v>
      </x:c>
      <x:c r="N722" s="6" t="str">
        <x:v>394</x:v>
      </x:c>
      <x:c r="O722" s="6" t="str">
        <x:v>0</x:v>
      </x:c>
      <x:c r="P722" s="10" t="n">
        <x:f>F722-M722</x:f>
        <x:v>392</x:v>
      </x:c>
      <x:c r="Q722" s="11" t="n">
        <x:f>IFERROR(M722/F722,"")</x:f>
        <x:v>0.005076142131979695</x:v>
      </x:c>
      <x:c r="R722" s="10" t="n">
        <x:f>G722+H722</x:f>
        <x:v>354</x:v>
      </x:c>
      <x:c r="S722" s="11" t="n">
        <x:f>IFERROR(R722/F722,"")</x:f>
        <x:v>0.8984771573604061</x:v>
      </x:c>
      <x:c r="T722" s="11" t="n">
        <x:f>IFERROR(R722/P722,"")</x:f>
        <x:v>0.9030612244897959</x:v>
      </x:c>
      <x:c r="U722" s="10" t="n">
        <x:f>I722+J722+K722</x:f>
        <x:v>36</x:v>
      </x:c>
      <x:c r="V722" s="11" t="n">
        <x:f>IFERROR(U722/P722,"")</x:f>
        <x:v>0.09183673469387756</x:v>
      </x:c>
      <x:c r="W722" s="9" t="str">
        <x:v>mature_le_5pct_pending</x:v>
      </x:c>
      <x:c r="X722" s="12" t="n">
        <x:f>IFERROR(F722/Z722*100000,"")</x:f>
        <x:v>20.250822368421055</x:v>
      </x:c>
      <x:c r="Y722" s="13" t="n">
        <x:f>LN(Z722)</x:f>
        <x:v>14.481080970753984</x:v>
      </x:c>
      <x:c r="Z722" s="6" t="str">
        <x:v>1945600</x:v>
      </x:c>
      <x:c r="AA722" s="6" t="str">
        <x:v>42.0</x:v>
      </x:c>
      <x:c r="AB722" s="9" t="str">
        <x:v>2024-06-30</x:v>
      </x:c>
      <x:c r="AC722" s="8" t="str">
        <x:v>80.5</x:v>
      </x:c>
      <x:c r="AD722" s="9" t="str">
        <x:v>2024 (Susenas)</x:v>
      </x:c>
      <x:c r="AE722" s="8" t="str">
        <x:v>16.05</x:v>
      </x:c>
      <x:c r="AF722" s="9" t="str">
        <x:v>Maret 2024 (Susenas)</x:v>
      </x:c>
      <x:c r="AG722" s="6" t="str">
        <x:v>27.431093552763784</x:v>
      </x:c>
      <x:c r="AH722" s="8" t="str">
        <x:v>82.9256554267107</x:v>
      </x:c>
      <x:c r="AI722" s="6" t="str">
        <x:v>183.7091944034894</x:v>
      </x:c>
      <x:c r="AJ722" s="6" t="str">
        <x:v>1.0057374997580872</x:v>
      </x:c>
      <x:c r="AK722" s="8" t="str">
        <x:v>2.05231626108935</x:v>
      </x:c>
      <x:c r="AL722" s="6" t="str">
        <x:v>1.6653024877247868</x:v>
      </x:c>
      <x:c r="AM722" s="6" t="str">
        <x:v>2.108613277335319</x:v>
      </x:c>
      <x:c r="AN722" s="6" t="str">
        <x:v>1.9420773420498183</x:v>
      </x:c>
      <x:c r="AO722" s="6" t="str">
        <x:v>-1.311132267784373</x:v>
      </x:c>
      <x:c r="AP722" s="8" t="str">
        <x:v>-0.5025833722149772</x:v>
      </x:c>
      <x:c r="AQ722" s="6" t="str">
        <x:v>-0.5145474069493676</x:v>
      </x:c>
      <x:c r="AR722" s="6" t="str">
        <x:v>-0.6940591447053942</x:v>
      </x:c>
      <x:c r="AS722" s="6" t="str">
        <x:v>-0.570396641289913</x:v>
      </x:c>
      <x:c r="AT722" s="6" t="str">
        <x:v>-29.58176129960665</x:v>
      </x:c>
      <x:c r="AU722" s="8" t="str">
        <x:v>-0.5089757784649752</x:v>
      </x:c>
      <x:c r="AV722" s="6" t="str">
        <x:v>-0.9898946167266586</x:v>
      </x:c>
      <x:c r="AW722" s="6" t="str">
        <x:v>-0.9669456177469272</x:v>
      </x:c>
      <x:c r="AX722" s="6" t="str">
        <x:v>-0.8219386709795206</x:v>
      </x:c>
      <x:c r="AY722" s="6" t="str">
        <x:v>0</x:v>
      </x:c>
      <x:c r="AZ722" s="6" t="str">
        <x:v>1</x:v>
      </x:c>
      <x:c r="BA722" s="9" t="str">
        <x:v>grid_cells_within_BIG_polygon</x:v>
      </x:c>
      <x:c r="BB722" s="6" t="str">
        <x:v>11</x:v>
      </x:c>
      <x:c r="BC722" s="6" t="str">
        <x:v>1</x:v>
      </x:c>
      <x:c r="BD722" s="6" t="str">
        <x:v>1</x:v>
      </x:c>
      <x:c r="BE722" s="6" t="str">
        <x:v>0</x:v>
      </x:c>
      <x:c r="BF722" s="6" t="str">
        <x:v>0</x:v>
      </x:c>
      <x:c r="BG722" s="6" t="str">
        <x:v>1</x:v>
      </x:c>
      <x:c r="BH722" s="6" t="str">
        <x:v>0</x:v>
      </x:c>
      <x:c r="BI722" s="6" t="str">
        <x:v>0</x:v>
      </x:c>
      <x:c r="BJ722" s="6" t="str">
        <x:v>0</x:v>
      </x:c>
      <x:c r="BK722" s="6" t="str">
        <x:v>0</x:v>
      </x:c>
      <x:c r="BL722" s="6" t="str">
        <x:v>0</x:v>
      </x:c>
      <x:c r="BM722" s="6" t="str">
        <x:v>0</x:v>
      </x:c>
      <x:c r="BN722" s="6" t="str">
        <x:v>1</x:v>
      </x:c>
      <x:c r="BO722" s="6" t="str">
        <x:v>0.0</x:v>
      </x:c>
      <x:c r="BP722" s="6" t="str">
        <x:v>1</x:v>
      </x:c>
      <x:c r="BQ722" s="6" t="str">
        <x:v>0.0</x:v>
      </x:c>
      <x:c r="BR722" s="6" t="str">
        <x:v>1</x:v>
      </x:c>
      <x:c r="BS722" s="6" t="str">
        <x:v>9.0</x:v>
      </x:c>
      <x:c r="BT722" s="6" t="str">
        <x:v>1</x:v>
      </x:c>
      <x:c r="BU722" s="6" t="str"/>
      <x:c r="BV722" s="6" t="str">
        <x:v>0</x:v>
      </x:c>
      <x:c r="BW722" s="9" t="str">
        <x:v>operational_snapshot_annual_totals_may_differ</x:v>
      </x:c>
      <x:c r="BX722" s="9" t="str">
        <x:v>official_live_dashboard_snapshot_subject_to_revision</x:v>
      </x:c>
      <x:c r="BY722" s="9" t="str">
        <x:v>https://tbdashboard.sitb.id/ss_data_tbc03so_2024_provinsi_bulanan_list.php</x:v>
      </x:c>
      <x:c r="BZ722" s="6" t="n">
        <x:v>46246.610671296294</x:v>
      </x:c>
    </x:row>
    <x:row r="723" ht="18" customHeight="1">
      <x:c r="A723" s="6" t="str">
        <x:v>81</x:v>
      </x:c>
      <x:c r="B723" s="6" t="str">
        <x:v>MALUKU</x:v>
      </x:c>
      <x:c r="C723" s="6" t="str">
        <x:v>2024</x:v>
      </x:c>
      <x:c r="D723" s="6" t="str">
        <x:v>2</x:v>
      </x:c>
      <x:c r="E723" s="6" t="str">
        <x:v>2024-02</x:v>
      </x:c>
      <x:c r="F723" s="6" t="str">
        <x:v>354</x:v>
      </x:c>
      <x:c r="G723" s="6" t="str">
        <x:v>53</x:v>
      </x:c>
      <x:c r="H723" s="6" t="str">
        <x:v>265</x:v>
      </x:c>
      <x:c r="I723" s="6" t="str">
        <x:v>22</x:v>
      </x:c>
      <x:c r="J723" s="6" t="str">
        <x:v>12</x:v>
      </x:c>
      <x:c r="K723" s="6" t="str">
        <x:v>0</x:v>
      </x:c>
      <x:c r="L723" s="6" t="str">
        <x:v>0</x:v>
      </x:c>
      <x:c r="M723" s="6" t="str">
        <x:v>2</x:v>
      </x:c>
      <x:c r="N723" s="6" t="str">
        <x:v>354</x:v>
      </x:c>
      <x:c r="O723" s="6" t="str">
        <x:v>0</x:v>
      </x:c>
      <x:c r="P723" s="10" t="n">
        <x:f>F723-M723</x:f>
        <x:v>352</x:v>
      </x:c>
      <x:c r="Q723" s="11" t="n">
        <x:f>IFERROR(M723/F723,"")</x:f>
        <x:v>0.005649717514124294</x:v>
      </x:c>
      <x:c r="R723" s="10" t="n">
        <x:f>G723+H723</x:f>
        <x:v>318</x:v>
      </x:c>
      <x:c r="S723" s="11" t="n">
        <x:f>IFERROR(R723/F723,"")</x:f>
        <x:v>0.8983050847457628</x:v>
      </x:c>
      <x:c r="T723" s="11" t="n">
        <x:f>IFERROR(R723/P723,"")</x:f>
        <x:v>0.9034090909090909</x:v>
      </x:c>
      <x:c r="U723" s="10" t="n">
        <x:f>I723+J723+K723</x:f>
        <x:v>34</x:v>
      </x:c>
      <x:c r="V723" s="11" t="n">
        <x:f>IFERROR(U723/P723,"")</x:f>
        <x:v>0.09659090909090909</x:v>
      </x:c>
      <x:c r="W723" s="9" t="str">
        <x:v>mature_le_5pct_pending</x:v>
      </x:c>
      <x:c r="X723" s="12" t="n">
        <x:f>IFERROR(F723/Z723*100000,"")</x:f>
        <x:v>18.194901315789473</x:v>
      </x:c>
      <x:c r="Y723" s="13" t="n">
        <x:f>LN(Z723)</x:f>
        <x:v>14.481080970753984</x:v>
      </x:c>
      <x:c r="Z723" s="6" t="str">
        <x:v>1945600</x:v>
      </x:c>
      <x:c r="AA723" s="6" t="str">
        <x:v>42.0</x:v>
      </x:c>
      <x:c r="AB723" s="9" t="str">
        <x:v>2024-06-30</x:v>
      </x:c>
      <x:c r="AC723" s="8" t="str">
        <x:v>80.5</x:v>
      </x:c>
      <x:c r="AD723" s="9" t="str">
        <x:v>2024 (Susenas)</x:v>
      </x:c>
      <x:c r="AE723" s="8" t="str">
        <x:v>16.05</x:v>
      </x:c>
      <x:c r="AF723" s="9" t="str">
        <x:v>Maret 2024 (Susenas)</x:v>
      </x:c>
      <x:c r="AG723" s="6" t="str">
        <x:v>27.3305869161762</x:v>
      </x:c>
      <x:c r="AH723" s="8" t="str">
        <x:v>84.1597456750204</x:v>
      </x:c>
      <x:c r="AI723" s="6" t="str">
        <x:v>118.09674550617297</x:v>
      </x:c>
      <x:c r="AJ723" s="6" t="str">
        <x:v>1.075124401314138</x:v>
      </x:c>
      <x:c r="AK723" s="8" t="str">
        <x:v>2.8914696621006217</x:v>
      </x:c>
      <x:c r="AL723" s="6" t="str">
        <x:v>2.05231626108935</x:v>
      </x:c>
      <x:c r="AM723" s="6" t="str">
        <x:v>1.6653024877247868</x:v>
      </x:c>
      <x:c r="AN723" s="6" t="str">
        <x:v>2.20302947030492</x:v>
      </x:c>
      <x:c r="AO723" s="6" t="str">
        <x:v>-1.0022291550963305</x:v>
      </x:c>
      <x:c r="AP723" s="8" t="str">
        <x:v>-0.6348088748554377</x:v>
      </x:c>
      <x:c r="AQ723" s="6" t="str">
        <x:v>-0.5025833722149772</x:v>
      </x:c>
      <x:c r="AR723" s="6" t="str">
        <x:v>-0.5145474069493676</x:v>
      </x:c>
      <x:c r="AS723" s="6" t="str">
        <x:v>-0.5506465513399276</x:v>
      </x:c>
      <x:c r="AT723" s="6" t="str">
        <x:v>-74.18044845887196</x:v>
      </x:c>
      <x:c r="AU723" s="8" t="str">
        <x:v>-1.8267202486778784</x:v>
      </x:c>
      <x:c r="AV723" s="6" t="str">
        <x:v>-0.5089757784649752</x:v>
      </x:c>
      <x:c r="AW723" s="6" t="str">
        <x:v>-0.9898946167266586</x:v>
      </x:c>
      <x:c r="AX723" s="6" t="str">
        <x:v>-1.1085302146231708</x:v>
      </x:c>
      <x:c r="AY723" s="6" t="str">
        <x:v>0</x:v>
      </x:c>
      <x:c r="AZ723" s="6" t="str">
        <x:v>1</x:v>
      </x:c>
      <x:c r="BA723" s="9" t="str">
        <x:v>grid_cells_within_BIG_polygon</x:v>
      </x:c>
      <x:c r="BB723" s="6" t="str">
        <x:v>11</x:v>
      </x:c>
      <x:c r="BC723" s="6" t="str">
        <x:v>1</x:v>
      </x:c>
      <x:c r="BD723" s="6" t="str">
        <x:v>1</x:v>
      </x:c>
      <x:c r="BE723" s="6" t="str">
        <x:v>0</x:v>
      </x:c>
      <x:c r="BF723" s="6" t="str">
        <x:v>0</x:v>
      </x:c>
      <x:c r="BG723" s="6" t="str">
        <x:v>0</x:v>
      </x:c>
      <x:c r="BH723" s="6" t="str">
        <x:v>0</x:v>
      </x:c>
      <x:c r="BI723" s="6" t="str">
        <x:v>1</x:v>
      </x:c>
      <x:c r="BJ723" s="6" t="str">
        <x:v>0</x:v>
      </x:c>
      <x:c r="BK723" s="6" t="str">
        <x:v>0</x:v>
      </x:c>
      <x:c r="BL723" s="6" t="str">
        <x:v>0</x:v>
      </x:c>
      <x:c r="BM723" s="6" t="str">
        <x:v>0</x:v>
      </x:c>
      <x:c r="BN723" s="6" t="str">
        <x:v>1</x:v>
      </x:c>
      <x:c r="BO723" s="6" t="str">
        <x:v>0.0</x:v>
      </x:c>
      <x:c r="BP723" s="6" t="str">
        <x:v>1</x:v>
      </x:c>
      <x:c r="BQ723" s="6" t="str">
        <x:v>0.0</x:v>
      </x:c>
      <x:c r="BR723" s="6" t="str">
        <x:v>1</x:v>
      </x:c>
      <x:c r="BS723" s="6" t="str">
        <x:v>0.0</x:v>
      </x:c>
      <x:c r="BT723" s="6" t="str">
        <x:v>1</x:v>
      </x:c>
      <x:c r="BU723" s="6" t="str"/>
      <x:c r="BV723" s="6" t="str">
        <x:v>0</x:v>
      </x:c>
      <x:c r="BW723" s="9" t="str">
        <x:v>operational_snapshot_annual_totals_may_differ</x:v>
      </x:c>
      <x:c r="BX723" s="9" t="str">
        <x:v>official_live_dashboard_snapshot_subject_to_revision</x:v>
      </x:c>
      <x:c r="BY723" s="9" t="str">
        <x:v>https://tbdashboard.sitb.id/ss_data_tbc03so_2024_provinsi_bulanan_list.php</x:v>
      </x:c>
      <x:c r="BZ723" s="6" t="n">
        <x:v>46246.610671296294</x:v>
      </x:c>
    </x:row>
    <x:row r="724" ht="18" customHeight="1">
      <x:c r="A724" s="6" t="str">
        <x:v>81</x:v>
      </x:c>
      <x:c r="B724" s="6" t="str">
        <x:v>MALUKU</x:v>
      </x:c>
      <x:c r="C724" s="6" t="str">
        <x:v>2024</x:v>
      </x:c>
      <x:c r="D724" s="6" t="str">
        <x:v>3</x:v>
      </x:c>
      <x:c r="E724" s="6" t="str">
        <x:v>2024-03</x:v>
      </x:c>
      <x:c r="F724" s="6" t="str">
        <x:v>363</x:v>
      </x:c>
      <x:c r="G724" s="6" t="str">
        <x:v>64</x:v>
      </x:c>
      <x:c r="H724" s="6" t="str">
        <x:v>257</x:v>
      </x:c>
      <x:c r="I724" s="6" t="str">
        <x:v>19</x:v>
      </x:c>
      <x:c r="J724" s="6" t="str">
        <x:v>17</x:v>
      </x:c>
      <x:c r="K724" s="6" t="str">
        <x:v>2</x:v>
      </x:c>
      <x:c r="L724" s="6" t="str">
        <x:v>1</x:v>
      </x:c>
      <x:c r="M724" s="6" t="str">
        <x:v>3</x:v>
      </x:c>
      <x:c r="N724" s="6" t="str">
        <x:v>363</x:v>
      </x:c>
      <x:c r="O724" s="6" t="str">
        <x:v>0</x:v>
      </x:c>
      <x:c r="P724" s="10" t="n">
        <x:f>F724-M724</x:f>
        <x:v>360</x:v>
      </x:c>
      <x:c r="Q724" s="11" t="n">
        <x:f>IFERROR(M724/F724,"")</x:f>
        <x:v>0.008264462809917356</x:v>
      </x:c>
      <x:c r="R724" s="10" t="n">
        <x:f>G724+H724</x:f>
        <x:v>321</x:v>
      </x:c>
      <x:c r="S724" s="11" t="n">
        <x:f>IFERROR(R724/F724,"")</x:f>
        <x:v>0.8842975206611571</x:v>
      </x:c>
      <x:c r="T724" s="11" t="n">
        <x:f>IFERROR(R724/P724,"")</x:f>
        <x:v>0.8916666666666667</x:v>
      </x:c>
      <x:c r="U724" s="10" t="n">
        <x:f>I724+J724+K724</x:f>
        <x:v>38</x:v>
      </x:c>
      <x:c r="V724" s="11" t="n">
        <x:f>IFERROR(U724/P724,"")</x:f>
        <x:v>0.10555555555555556</x:v>
      </x:c>
      <x:c r="W724" s="9" t="str">
        <x:v>mature_le_5pct_pending</x:v>
      </x:c>
      <x:c r="X724" s="12" t="n">
        <x:f>IFERROR(F724/Z724*100000,"")</x:f>
        <x:v>18.65748355263158</x:v>
      </x:c>
      <x:c r="Y724" s="13" t="n">
        <x:f>LN(Z724)</x:f>
        <x:v>14.481080970753984</x:v>
      </x:c>
      <x:c r="Z724" s="6" t="str">
        <x:v>1945600</x:v>
      </x:c>
      <x:c r="AA724" s="6" t="str">
        <x:v>42.0</x:v>
      </x:c>
      <x:c r="AB724" s="9" t="str">
        <x:v>2024-06-30</x:v>
      </x:c>
      <x:c r="AC724" s="8" t="str">
        <x:v>80.5</x:v>
      </x:c>
      <x:c r="AD724" s="9" t="str">
        <x:v>2024 (Susenas)</x:v>
      </x:c>
      <x:c r="AE724" s="8" t="str">
        <x:v>16.05</x:v>
      </x:c>
      <x:c r="AF724" s="9" t="str">
        <x:v>Maret 2024 (Susenas)</x:v>
      </x:c>
      <x:c r="AG724" s="6" t="str">
        <x:v>27.31048174414211</x:v>
      </x:c>
      <x:c r="AH724" s="8" t="str">
        <x:v>84.69268480236407</x:v>
      </x:c>
      <x:c r="AI724" s="6" t="str">
        <x:v>239.62704650672583</x:v>
      </x:c>
      <x:c r="AJ724" s="6" t="str">
        <x:v>0.9960027533117248</x:v>
      </x:c>
      <x:c r="AK724" s="8" t="str">
        <x:v>2.888934063603824</x:v>
      </x:c>
      <x:c r="AL724" s="6" t="str">
        <x:v>2.8914696621006217</x:v>
      </x:c>
      <x:c r="AM724" s="6" t="str">
        <x:v>2.05231626108935</x:v>
      </x:c>
      <x:c r="AN724" s="6" t="str">
        <x:v>2.610906662264598</x:v>
      </x:c>
      <x:c r="AO724" s="6" t="str">
        <x:v>0.0342860930005315</x:v>
      </x:c>
      <x:c r="AP724" s="8" t="str">
        <x:v>0.0283585667343118</x:v>
      </x:c>
      <x:c r="AQ724" s="6" t="str">
        <x:v>-0.6348088748554377</x:v>
      </x:c>
      <x:c r="AR724" s="6" t="str">
        <x:v>-0.5025833722149772</x:v>
      </x:c>
      <x:c r="AS724" s="6" t="str">
        <x:v>-0.3696778934453677</x:v>
      </x:c>
      <x:c r="AT724" s="6" t="str">
        <x:v>32.02651915225695</x:v>
      </x:c>
      <x:c r="AU724" s="8" t="str">
        <x:v>0.6687880566918821</x:v>
      </x:c>
      <x:c r="AV724" s="6" t="str">
        <x:v>-1.8267202486778784</x:v>
      </x:c>
      <x:c r="AW724" s="6" t="str">
        <x:v>-0.5089757784649752</x:v>
      </x:c>
      <x:c r="AX724" s="6" t="str">
        <x:v>-0.5556359901503239</x:v>
      </x:c>
      <x:c r="AY724" s="6" t="str">
        <x:v>0</x:v>
      </x:c>
      <x:c r="AZ724" s="6" t="str">
        <x:v>1</x:v>
      </x:c>
      <x:c r="BA724" s="9" t="str">
        <x:v>grid_cells_within_BIG_polygon</x:v>
      </x:c>
      <x:c r="BB724" s="6" t="str">
        <x:v>11</x:v>
      </x:c>
      <x:c r="BC724" s="6" t="str">
        <x:v>11</x:v>
      </x:c>
      <x:c r="BD724" s="6" t="str">
        <x:v>11</x:v>
      </x:c>
      <x:c r="BE724" s="6" t="str">
        <x:v>6</x:v>
      </x:c>
      <x:c r="BF724" s="6" t="str">
        <x:v>0</x:v>
      </x:c>
      <x:c r="BG724" s="6" t="str">
        <x:v>3</x:v>
      </x:c>
      <x:c r="BH724" s="6" t="str">
        <x:v>0</x:v>
      </x:c>
      <x:c r="BI724" s="6" t="str">
        <x:v>0</x:v>
      </x:c>
      <x:c r="BJ724" s="6" t="str">
        <x:v>2</x:v>
      </x:c>
      <x:c r="BK724" s="6" t="str">
        <x:v>0</x:v>
      </x:c>
      <x:c r="BL724" s="6" t="str">
        <x:v>0</x:v>
      </x:c>
      <x:c r="BM724" s="6" t="str">
        <x:v>0</x:v>
      </x:c>
      <x:c r="BN724" s="6" t="str">
        <x:v>11</x:v>
      </x:c>
      <x:c r="BO724" s="6" t="str">
        <x:v>0.0</x:v>
      </x:c>
      <x:c r="BP724" s="6" t="str">
        <x:v>11</x:v>
      </x:c>
      <x:c r="BQ724" s="6" t="str">
        <x:v>0.0</x:v>
      </x:c>
      <x:c r="BR724" s="6" t="str">
        <x:v>11</x:v>
      </x:c>
      <x:c r="BS724" s="6" t="str">
        <x:v>60.0</x:v>
      </x:c>
      <x:c r="BT724" s="6" t="str">
        <x:v>11</x:v>
      </x:c>
      <x:c r="BU724" s="6" t="str">
        <x:v>633.0</x:v>
      </x:c>
      <x:c r="BV724" s="6" t="str">
        <x:v>7</x:v>
      </x:c>
      <x:c r="BW724" s="9" t="str">
        <x:v>operational_snapshot_annual_totals_may_differ</x:v>
      </x:c>
      <x:c r="BX724" s="9" t="str">
        <x:v>official_live_dashboard_snapshot_subject_to_revision</x:v>
      </x:c>
      <x:c r="BY724" s="9" t="str">
        <x:v>https://tbdashboard.sitb.id/ss_data_tbc03so_2024_provinsi_bulanan_list.php</x:v>
      </x:c>
      <x:c r="BZ724" s="6" t="n">
        <x:v>46246.610671296294</x:v>
      </x:c>
    </x:row>
    <x:row r="725" ht="18" customHeight="1">
      <x:c r="A725" s="6" t="str">
        <x:v>81</x:v>
      </x:c>
      <x:c r="B725" s="6" t="str">
        <x:v>MALUKU</x:v>
      </x:c>
      <x:c r="C725" s="6" t="str">
        <x:v>2024</x:v>
      </x:c>
      <x:c r="D725" s="6" t="str">
        <x:v>4</x:v>
      </x:c>
      <x:c r="E725" s="6" t="str">
        <x:v>2024-04</x:v>
      </x:c>
      <x:c r="F725" s="6" t="str">
        <x:v>313</x:v>
      </x:c>
      <x:c r="G725" s="6" t="str">
        <x:v>60</x:v>
      </x:c>
      <x:c r="H725" s="6" t="str">
        <x:v>216</x:v>
      </x:c>
      <x:c r="I725" s="6" t="str">
        <x:v>18</x:v>
      </x:c>
      <x:c r="J725" s="6" t="str">
        <x:v>15</x:v>
      </x:c>
      <x:c r="K725" s="6" t="str">
        <x:v>0</x:v>
      </x:c>
      <x:c r="L725" s="6" t="str">
        <x:v>1</x:v>
      </x:c>
      <x:c r="M725" s="6" t="str">
        <x:v>3</x:v>
      </x:c>
      <x:c r="N725" s="6" t="str">
        <x:v>313</x:v>
      </x:c>
      <x:c r="O725" s="6" t="str">
        <x:v>0</x:v>
      </x:c>
      <x:c r="P725" s="10" t="n">
        <x:f>F725-M725</x:f>
        <x:v>310</x:v>
      </x:c>
      <x:c r="Q725" s="11" t="n">
        <x:f>IFERROR(M725/F725,"")</x:f>
        <x:v>0.009584664536741214</x:v>
      </x:c>
      <x:c r="R725" s="10" t="n">
        <x:f>G725+H725</x:f>
        <x:v>276</x:v>
      </x:c>
      <x:c r="S725" s="11" t="n">
        <x:f>IFERROR(R725/F725,"")</x:f>
        <x:v>0.8817891373801917</x:v>
      </x:c>
      <x:c r="T725" s="11" t="n">
        <x:f>IFERROR(R725/P725,"")</x:f>
        <x:v>0.8903225806451613</x:v>
      </x:c>
      <x:c r="U725" s="10" t="n">
        <x:f>I725+J725+K725</x:f>
        <x:v>33</x:v>
      </x:c>
      <x:c r="V725" s="11" t="n">
        <x:f>IFERROR(U725/P725,"")</x:f>
        <x:v>0.1064516129032258</x:v>
      </x:c>
      <x:c r="W725" s="9" t="str">
        <x:v>mature_le_5pct_pending</x:v>
      </x:c>
      <x:c r="X725" s="12" t="n">
        <x:f>IFERROR(F725/Z725*100000,"")</x:f>
        <x:v>16.087582236842106</x:v>
      </x:c>
      <x:c r="Y725" s="13" t="n">
        <x:f>LN(Z725)</x:f>
        <x:v>14.481080970753984</x:v>
      </x:c>
      <x:c r="Z725" s="6" t="str">
        <x:v>1945600</x:v>
      </x:c>
      <x:c r="AA725" s="6" t="str">
        <x:v>42.0</x:v>
      </x:c>
      <x:c r="AB725" s="9" t="str">
        <x:v>2024-06-30</x:v>
      </x:c>
      <x:c r="AC725" s="8" t="str">
        <x:v>80.5</x:v>
      </x:c>
      <x:c r="AD725" s="9" t="str">
        <x:v>2024 (Susenas)</x:v>
      </x:c>
      <x:c r="AE725" s="8" t="str">
        <x:v>16.05</x:v>
      </x:c>
      <x:c r="AF725" s="9" t="str">
        <x:v>Maret 2024 (Susenas)</x:v>
      </x:c>
      <x:c r="AG725" s="6" t="str">
        <x:v>27.2342131695244</x:v>
      </x:c>
      <x:c r="AH725" s="8" t="str">
        <x:v>85.05943517671389</x:v>
      </x:c>
      <x:c r="AI725" s="6" t="str">
        <x:v>292.6517440379921</x:v>
      </x:c>
      <x:c r="AJ725" s="6" t="str">
        <x:v>0.8231102365181542</x:v>
      </x:c>
      <x:c r="AK725" s="8" t="str">
        <x:v>2.4463927988860634</x:v>
      </x:c>
      <x:c r="AL725" s="6" t="str">
        <x:v>2.888934063603824</x:v>
      </x:c>
      <x:c r="AM725" s="6" t="str">
        <x:v>2.8914696621006217</x:v>
      </x:c>
      <x:c r="AN725" s="6" t="str">
        <x:v>2.742265508196836</x:v>
      </x:c>
      <x:c r="AO725" s="6" t="str">
        <x:v>0.4380779307463598</x:v>
      </x:c>
      <x:c r="AP725" s="8" t="str">
        <x:v>0.3347916373122098</x:v>
      </x:c>
      <x:c r="AQ725" s="6" t="str">
        <x:v>0.0283585667343118</x:v>
      </x:c>
      <x:c r="AR725" s="6" t="str">
        <x:v>-0.6348088748554377</x:v>
      </x:c>
      <x:c r="AS725" s="6" t="str">
        <x:v>-0.0905528902696387</x:v>
      </x:c>
      <x:c r="AT725" s="6" t="str">
        <x:v>72.16813592028944</x:v>
      </x:c>
      <x:c r="AU725" s="8" t="str">
        <x:v>1.7800047837328103</x:v>
      </x:c>
      <x:c r="AV725" s="6" t="str">
        <x:v>0.6687880566918821</x:v>
      </x:c>
      <x:c r="AW725" s="6" t="str">
        <x:v>-1.8267202486778784</x:v>
      </x:c>
      <x:c r="AX725" s="6" t="str">
        <x:v>0.2073575305822713</x:v>
      </x:c>
      <x:c r="AY725" s="6" t="str">
        <x:v>1</x:v>
      </x:c>
      <x:c r="AZ725" s="6" t="str">
        <x:v>1</x:v>
      </x:c>
      <x:c r="BA725" s="9" t="str">
        <x:v>grid_cells_within_BIG_polygon</x:v>
      </x:c>
      <x:c r="BB725" s="6" t="str">
        <x:v>11</x:v>
      </x:c>
      <x:c r="BC725" s="6" t="str">
        <x:v>2</x:v>
      </x:c>
      <x:c r="BD725" s="6" t="str">
        <x:v>2</x:v>
      </x:c>
      <x:c r="BE725" s="6" t="str">
        <x:v>1</x:v>
      </x:c>
      <x:c r="BF725" s="6" t="str">
        <x:v>0</x:v>
      </x:c>
      <x:c r="BG725" s="6" t="str">
        <x:v>1</x:v>
      </x:c>
      <x:c r="BH725" s="6" t="str">
        <x:v>0</x:v>
      </x:c>
      <x:c r="BI725" s="6" t="str">
        <x:v>0</x:v>
      </x:c>
      <x:c r="BJ725" s="6" t="str">
        <x:v>0</x:v>
      </x:c>
      <x:c r="BK725" s="6" t="str">
        <x:v>0</x:v>
      </x:c>
      <x:c r="BL725" s="6" t="str">
        <x:v>0</x:v>
      </x:c>
      <x:c r="BM725" s="6" t="str">
        <x:v>0</x:v>
      </x:c>
      <x:c r="BN725" s="6" t="str">
        <x:v>2</x:v>
      </x:c>
      <x:c r="BO725" s="6" t="str">
        <x:v>0.0</x:v>
      </x:c>
      <x:c r="BP725" s="6" t="str">
        <x:v>2</x:v>
      </x:c>
      <x:c r="BQ725" s="6" t="str">
        <x:v>0.0</x:v>
      </x:c>
      <x:c r="BR725" s="6" t="str">
        <x:v>2</x:v>
      </x:c>
      <x:c r="BS725" s="6" t="str">
        <x:v>42.0</x:v>
      </x:c>
      <x:c r="BT725" s="6" t="str">
        <x:v>2</x:v>
      </x:c>
      <x:c r="BU725" s="6" t="str">
        <x:v>606.0</x:v>
      </x:c>
      <x:c r="BV725" s="6" t="str">
        <x:v>1</x:v>
      </x:c>
      <x:c r="BW725" s="9" t="str">
        <x:v>operational_snapshot_annual_totals_may_differ</x:v>
      </x:c>
      <x:c r="BX725" s="9" t="str">
        <x:v>official_live_dashboard_snapshot_subject_to_revision</x:v>
      </x:c>
      <x:c r="BY725" s="9" t="str">
        <x:v>https://tbdashboard.sitb.id/ss_data_tbc03so_2024_provinsi_bulanan_list.php</x:v>
      </x:c>
      <x:c r="BZ725" s="6" t="n">
        <x:v>46246.610671296294</x:v>
      </x:c>
    </x:row>
    <x:row r="726" ht="18" customHeight="1">
      <x:c r="A726" s="6" t="str">
        <x:v>81</x:v>
      </x:c>
      <x:c r="B726" s="6" t="str">
        <x:v>MALUKU</x:v>
      </x:c>
      <x:c r="C726" s="6" t="str">
        <x:v>2024</x:v>
      </x:c>
      <x:c r="D726" s="6" t="str">
        <x:v>5</x:v>
      </x:c>
      <x:c r="E726" s="6" t="str">
        <x:v>2024-05</x:v>
      </x:c>
      <x:c r="F726" s="6" t="str">
        <x:v>421</x:v>
      </x:c>
      <x:c r="G726" s="6" t="str">
        <x:v>71</x:v>
      </x:c>
      <x:c r="H726" s="6" t="str">
        <x:v>297</x:v>
      </x:c>
      <x:c r="I726" s="6" t="str">
        <x:v>24</x:v>
      </x:c>
      <x:c r="J726" s="6" t="str">
        <x:v>26</x:v>
      </x:c>
      <x:c r="K726" s="6" t="str">
        <x:v>0</x:v>
      </x:c>
      <x:c r="L726" s="6" t="str">
        <x:v>1</x:v>
      </x:c>
      <x:c r="M726" s="6" t="str">
        <x:v>2</x:v>
      </x:c>
      <x:c r="N726" s="6" t="str">
        <x:v>421</x:v>
      </x:c>
      <x:c r="O726" s="6" t="str">
        <x:v>0</x:v>
      </x:c>
      <x:c r="P726" s="10" t="n">
        <x:f>F726-M726</x:f>
        <x:v>419</x:v>
      </x:c>
      <x:c r="Q726" s="11" t="n">
        <x:f>IFERROR(M726/F726,"")</x:f>
        <x:v>0.004750593824228029</x:v>
      </x:c>
      <x:c r="R726" s="10" t="n">
        <x:f>G726+H726</x:f>
        <x:v>368</x:v>
      </x:c>
      <x:c r="S726" s="11" t="n">
        <x:f>IFERROR(R726/F726,"")</x:f>
        <x:v>0.8741092636579573</x:v>
      </x:c>
      <x:c r="T726" s="11" t="n">
        <x:f>IFERROR(R726/P726,"")</x:f>
        <x:v>0.8782816229116945</x:v>
      </x:c>
      <x:c r="U726" s="10" t="n">
        <x:f>I726+J726+K726</x:f>
        <x:v>50</x:v>
      </x:c>
      <x:c r="V726" s="11" t="n">
        <x:f>IFERROR(U726/P726,"")</x:f>
        <x:v>0.11933174224343675</x:v>
      </x:c>
      <x:c r="W726" s="9" t="str">
        <x:v>mature_le_5pct_pending</x:v>
      </x:c>
      <x:c r="X726" s="12" t="n">
        <x:f>IFERROR(F726/Z726*100000,"")</x:f>
        <x:v>21.638569078947366</x:v>
      </x:c>
      <x:c r="Y726" s="13" t="n">
        <x:f>LN(Z726)</x:f>
        <x:v>14.481080970753984</x:v>
      </x:c>
      <x:c r="Z726" s="6" t="str">
        <x:v>1945600</x:v>
      </x:c>
      <x:c r="AA726" s="6" t="str">
        <x:v>42.0</x:v>
      </x:c>
      <x:c r="AB726" s="9" t="str">
        <x:v>2024-06-30</x:v>
      </x:c>
      <x:c r="AC726" s="8" t="str">
        <x:v>80.5</x:v>
      </x:c>
      <x:c r="AD726" s="9" t="str">
        <x:v>2024 (Susenas)</x:v>
      </x:c>
      <x:c r="AE726" s="8" t="str">
        <x:v>16.05</x:v>
      </x:c>
      <x:c r="AF726" s="9" t="str">
        <x:v>Maret 2024 (Susenas)</x:v>
      </x:c>
      <x:c r="AG726" s="6" t="str">
        <x:v>26.994703588500247</x:v>
      </x:c>
      <x:c r="AH726" s="8" t="str">
        <x:v>87.29223806894515</x:v>
      </x:c>
      <x:c r="AI726" s="6" t="str">
        <x:v>325.09732590559</x:v>
      </x:c>
      <x:c r="AJ726" s="6" t="str">
        <x:v>0.7884153290225733</x:v>
      </x:c>
      <x:c r="AK726" s="8" t="str">
        <x:v>1.9528665824601117</x:v>
      </x:c>
      <x:c r="AL726" s="6" t="str">
        <x:v>2.4463927988860634</x:v>
      </x:c>
      <x:c r="AM726" s="6" t="str">
        <x:v>2.888934063603824</x:v>
      </x:c>
      <x:c r="AN726" s="6" t="str">
        <x:v>2.4293978149833326</x:v>
      </x:c>
      <x:c r="AO726" s="6" t="str">
        <x:v>2.045341484732731</x:v>
      </x:c>
      <x:c r="AP726" s="8" t="str">
        <x:v>1.197494057183535</x:v>
      </x:c>
      <x:c r="AQ726" s="6" t="str">
        <x:v>0.3347916373122098</x:v>
      </x:c>
      <x:c r="AR726" s="6" t="str">
        <x:v>0.0283585667343118</x:v>
      </x:c>
      <x:c r="AS726" s="6" t="str">
        <x:v>0.5202147537433522</x:v>
      </x:c>
      <x:c r="AT726" s="6" t="str">
        <x:v>96.76467964527696</x:v>
      </x:c>
      <x:c r="AU726" s="8" t="str">
        <x:v>0.9196029617243195</x:v>
      </x:c>
      <x:c r="AV726" s="6" t="str">
        <x:v>1.7800047837328103</x:v>
      </x:c>
      <x:c r="AW726" s="6" t="str">
        <x:v>0.6687880566918821</x:v>
      </x:c>
      <x:c r="AX726" s="6" t="str">
        <x:v>1.1227986007163373</x:v>
      </x:c>
      <x:c r="AY726" s="6" t="str">
        <x:v>0</x:v>
      </x:c>
      <x:c r="AZ726" s="6" t="str">
        <x:v>1</x:v>
      </x:c>
      <x:c r="BA726" s="9" t="str">
        <x:v>grid_cells_within_BIG_polygon</x:v>
      </x:c>
      <x:c r="BB726" s="6" t="str">
        <x:v>11</x:v>
      </x:c>
      <x:c r="BC726" s="6" t="str">
        <x:v>4</x:v>
      </x:c>
      <x:c r="BD726" s="6" t="str">
        <x:v>4</x:v>
      </x:c>
      <x:c r="BE726" s="6" t="str">
        <x:v>3</x:v>
      </x:c>
      <x:c r="BF726" s="6" t="str">
        <x:v>1</x:v>
      </x:c>
      <x:c r="BG726" s="6" t="str">
        <x:v>0</x:v>
      </x:c>
      <x:c r="BH726" s="6" t="str">
        <x:v>0</x:v>
      </x:c>
      <x:c r="BI726" s="6" t="str">
        <x:v>0</x:v>
      </x:c>
      <x:c r="BJ726" s="6" t="str">
        <x:v>0</x:v>
      </x:c>
      <x:c r="BK726" s="6" t="str">
        <x:v>0</x:v>
      </x:c>
      <x:c r="BL726" s="6" t="str">
        <x:v>0</x:v>
      </x:c>
      <x:c r="BM726" s="6" t="str">
        <x:v>0</x:v>
      </x:c>
      <x:c r="BN726" s="6" t="str">
        <x:v>4</x:v>
      </x:c>
      <x:c r="BO726" s="6" t="str">
        <x:v>0.0</x:v>
      </x:c>
      <x:c r="BP726" s="6" t="str">
        <x:v>4</x:v>
      </x:c>
      <x:c r="BQ726" s="6" t="str">
        <x:v>0.0</x:v>
      </x:c>
      <x:c r="BR726" s="6" t="str">
        <x:v>4</x:v>
      </x:c>
      <x:c r="BS726" s="6" t="str">
        <x:v>17.0</x:v>
      </x:c>
      <x:c r="BT726" s="6" t="str">
        <x:v>4</x:v>
      </x:c>
      <x:c r="BU726" s="6" t="str">
        <x:v>267.0</x:v>
      </x:c>
      <x:c r="BV726" s="6" t="str">
        <x:v>3</x:v>
      </x:c>
      <x:c r="BW726" s="9" t="str">
        <x:v>operational_snapshot_annual_totals_may_differ</x:v>
      </x:c>
      <x:c r="BX726" s="9" t="str">
        <x:v>official_live_dashboard_snapshot_subject_to_revision</x:v>
      </x:c>
      <x:c r="BY726" s="9" t="str">
        <x:v>https://tbdashboard.sitb.id/ss_data_tbc03so_2024_provinsi_bulanan_list.php</x:v>
      </x:c>
      <x:c r="BZ726" s="6" t="n">
        <x:v>46246.610671296294</x:v>
      </x:c>
    </x:row>
    <x:row r="727" ht="18" customHeight="1">
      <x:c r="A727" s="6" t="str">
        <x:v>81</x:v>
      </x:c>
      <x:c r="B727" s="6" t="str">
        <x:v>MALUKU</x:v>
      </x:c>
      <x:c r="C727" s="6" t="str">
        <x:v>2024</x:v>
      </x:c>
      <x:c r="D727" s="6" t="str">
        <x:v>6</x:v>
      </x:c>
      <x:c r="E727" s="6" t="str">
        <x:v>2024-06</x:v>
      </x:c>
      <x:c r="F727" s="6" t="str">
        <x:v>380</x:v>
      </x:c>
      <x:c r="G727" s="6" t="str">
        <x:v>75</x:v>
      </x:c>
      <x:c r="H727" s="6" t="str">
        <x:v>262</x:v>
      </x:c>
      <x:c r="I727" s="6" t="str">
        <x:v>26</x:v>
      </x:c>
      <x:c r="J727" s="6" t="str">
        <x:v>13</x:v>
      </x:c>
      <x:c r="K727" s="6" t="str">
        <x:v>0</x:v>
      </x:c>
      <x:c r="L727" s="6" t="str">
        <x:v>0</x:v>
      </x:c>
      <x:c r="M727" s="6" t="str">
        <x:v>4</x:v>
      </x:c>
      <x:c r="N727" s="6" t="str">
        <x:v>380</x:v>
      </x:c>
      <x:c r="O727" s="6" t="str">
        <x:v>0</x:v>
      </x:c>
      <x:c r="P727" s="10" t="n">
        <x:f>F727-M727</x:f>
        <x:v>376</x:v>
      </x:c>
      <x:c r="Q727" s="11" t="n">
        <x:f>IFERROR(M727/F727,"")</x:f>
        <x:v>0.010526315789473684</x:v>
      </x:c>
      <x:c r="R727" s="10" t="n">
        <x:f>G727+H727</x:f>
        <x:v>337</x:v>
      </x:c>
      <x:c r="S727" s="11" t="n">
        <x:f>IFERROR(R727/F727,"")</x:f>
        <x:v>0.8868421052631579</x:v>
      </x:c>
      <x:c r="T727" s="11" t="n">
        <x:f>IFERROR(R727/P727,"")</x:f>
        <x:v>0.8962765957446809</x:v>
      </x:c>
      <x:c r="U727" s="10" t="n">
        <x:f>I727+J727+K727</x:f>
        <x:v>39</x:v>
      </x:c>
      <x:c r="V727" s="11" t="n">
        <x:f>IFERROR(U727/P727,"")</x:f>
        <x:v>0.10372340425531915</x:v>
      </x:c>
      <x:c r="W727" s="9" t="str">
        <x:v>mature_le_5pct_pending</x:v>
      </x:c>
      <x:c r="X727" s="12" t="n">
        <x:f>IFERROR(F727/Z727*100000,"")</x:f>
        <x:v>19.53125</x:v>
      </x:c>
      <x:c r="Y727" s="13" t="n">
        <x:f>LN(Z727)</x:f>
        <x:v>14.481080970753984</x:v>
      </x:c>
      <x:c r="Z727" s="6" t="str">
        <x:v>1945600</x:v>
      </x:c>
      <x:c r="AA727" s="6" t="str">
        <x:v>42.0</x:v>
      </x:c>
      <x:c r="AB727" s="9" t="str">
        <x:v>2024-06-30</x:v>
      </x:c>
      <x:c r="AC727" s="8" t="str">
        <x:v>80.5</x:v>
      </x:c>
      <x:c r="AD727" s="9" t="str">
        <x:v>2024 (Susenas)</x:v>
      </x:c>
      <x:c r="AE727" s="8" t="str">
        <x:v>16.05</x:v>
      </x:c>
      <x:c r="AF727" s="9" t="str">
        <x:v>Maret 2024 (Susenas)</x:v>
      </x:c>
      <x:c r="AG727" s="6" t="str">
        <x:v>25.85951139627751</x:v>
      </x:c>
      <x:c r="AH727" s="8" t="str">
        <x:v>86.99374369820504</x:v>
      </x:c>
      <x:c r="AI727" s="6" t="str">
        <x:v>275.41456464809767</x:v>
      </x:c>
      <x:c r="AJ727" s="6" t="str">
        <x:v>0.4178136690277192</x:v>
      </x:c>
      <x:c r="AK727" s="8" t="str">
        <x:v>1.1417608924961955</x:v>
      </x:c>
      <x:c r="AL727" s="6" t="str">
        <x:v>1.9528665824601117</x:v>
      </x:c>
      <x:c r="AM727" s="6" t="str">
        <x:v>2.4463927988860634</x:v>
      </x:c>
      <x:c r="AN727" s="6" t="str">
        <x:v>1.8470067579474565</x:v>
      </x:c>
      <x:c r="AO727" s="6" t="str">
        <x:v>1.138474711280665</x:v>
      </x:c>
      <x:c r="AP727" s="8" t="str">
        <x:v>0.4182915435654426</x:v>
      </x:c>
      <x:c r="AQ727" s="6" t="str">
        <x:v>1.197494057183535</x:v>
      </x:c>
      <x:c r="AR727" s="6" t="str">
        <x:v>0.3347916373122098</x:v>
      </x:c>
      <x:c r="AS727" s="6" t="str">
        <x:v>0.6501924126870625</x:v>
      </x:c>
      <x:c r="AT727" s="6" t="str">
        <x:v>38.36676289196993</x:v>
      </x:c>
      <x:c r="AU727" s="8" t="str">
        <x:v>0.2927962256777864</x:v>
      </x:c>
      <x:c r="AV727" s="6" t="str">
        <x:v>0.9196029617243195</x:v>
      </x:c>
      <x:c r="AW727" s="6" t="str">
        <x:v>1.7800047837328103</x:v>
      </x:c>
      <x:c r="AX727" s="6" t="str">
        <x:v>0.9974679903783054</x:v>
      </x:c>
      <x:c r="AY727" s="6" t="str">
        <x:v>0</x:v>
      </x:c>
      <x:c r="AZ727" s="6" t="str">
        <x:v>1</x:v>
      </x:c>
      <x:c r="BA727" s="9" t="str">
        <x:v>grid_cells_within_BIG_polygon</x:v>
      </x:c>
      <x:c r="BB727" s="6" t="str">
        <x:v>11</x:v>
      </x:c>
      <x:c r="BC727" s="6" t="str">
        <x:v>2</x:v>
      </x:c>
      <x:c r="BD727" s="6" t="str">
        <x:v>2</x:v>
      </x:c>
      <x:c r="BE727" s="6" t="str">
        <x:v>0</x:v>
      </x:c>
      <x:c r="BF727" s="6" t="str">
        <x:v>1</x:v>
      </x:c>
      <x:c r="BG727" s="6" t="str">
        <x:v>1</x:v>
      </x:c>
      <x:c r="BH727" s="6" t="str">
        <x:v>0</x:v>
      </x:c>
      <x:c r="BI727" s="6" t="str">
        <x:v>0</x:v>
      </x:c>
      <x:c r="BJ727" s="6" t="str">
        <x:v>0</x:v>
      </x:c>
      <x:c r="BK727" s="6" t="str">
        <x:v>0</x:v>
      </x:c>
      <x:c r="BL727" s="6" t="str">
        <x:v>0</x:v>
      </x:c>
      <x:c r="BM727" s="6" t="str">
        <x:v>0</x:v>
      </x:c>
      <x:c r="BN727" s="6" t="str">
        <x:v>2</x:v>
      </x:c>
      <x:c r="BO727" s="6" t="str">
        <x:v>0.0</x:v>
      </x:c>
      <x:c r="BP727" s="6" t="str">
        <x:v>2</x:v>
      </x:c>
      <x:c r="BQ727" s="6" t="str">
        <x:v>0.0</x:v>
      </x:c>
      <x:c r="BR727" s="6" t="str">
        <x:v>2</x:v>
      </x:c>
      <x:c r="BS727" s="6" t="str">
        <x:v>8.0</x:v>
      </x:c>
      <x:c r="BT727" s="6" t="str">
        <x:v>2</x:v>
      </x:c>
      <x:c r="BU727" s="6" t="str"/>
      <x:c r="BV727" s="6" t="str">
        <x:v>0</x:v>
      </x:c>
      <x:c r="BW727" s="9" t="str">
        <x:v>operational_snapshot_annual_totals_may_differ</x:v>
      </x:c>
      <x:c r="BX727" s="9" t="str">
        <x:v>official_live_dashboard_snapshot_subject_to_revision</x:v>
      </x:c>
      <x:c r="BY727" s="9" t="str">
        <x:v>https://tbdashboard.sitb.id/ss_data_tbc03so_2024_provinsi_bulanan_list.php</x:v>
      </x:c>
      <x:c r="BZ727" s="6" t="n">
        <x:v>46246.610671296294</x:v>
      </x:c>
    </x:row>
    <x:row r="728" ht="18" customHeight="1">
      <x:c r="A728" s="6" t="str">
        <x:v>81</x:v>
      </x:c>
      <x:c r="B728" s="6" t="str">
        <x:v>MALUKU</x:v>
      </x:c>
      <x:c r="C728" s="6" t="str">
        <x:v>2024</x:v>
      </x:c>
      <x:c r="D728" s="6" t="str">
        <x:v>7</x:v>
      </x:c>
      <x:c r="E728" s="6" t="str">
        <x:v>2024-07</x:v>
      </x:c>
      <x:c r="F728" s="6" t="str">
        <x:v>448</x:v>
      </x:c>
      <x:c r="G728" s="6" t="str">
        <x:v>98</x:v>
      </x:c>
      <x:c r="H728" s="6" t="str">
        <x:v>291</x:v>
      </x:c>
      <x:c r="I728" s="6" t="str">
        <x:v>36</x:v>
      </x:c>
      <x:c r="J728" s="6" t="str">
        <x:v>14</x:v>
      </x:c>
      <x:c r="K728" s="6" t="str">
        <x:v>0</x:v>
      </x:c>
      <x:c r="L728" s="6" t="str">
        <x:v>3</x:v>
      </x:c>
      <x:c r="M728" s="6" t="str">
        <x:v>6</x:v>
      </x:c>
      <x:c r="N728" s="6" t="str">
        <x:v>448</x:v>
      </x:c>
      <x:c r="O728" s="6" t="str">
        <x:v>0</x:v>
      </x:c>
      <x:c r="P728" s="10" t="n">
        <x:f>F728-M728</x:f>
        <x:v>442</x:v>
      </x:c>
      <x:c r="Q728" s="11" t="n">
        <x:f>IFERROR(M728/F728,"")</x:f>
        <x:v>0.013392857142857142</x:v>
      </x:c>
      <x:c r="R728" s="10" t="n">
        <x:f>G728+H728</x:f>
        <x:v>389</x:v>
      </x:c>
      <x:c r="S728" s="11" t="n">
        <x:f>IFERROR(R728/F728,"")</x:f>
        <x:v>0.8683035714285714</x:v>
      </x:c>
      <x:c r="T728" s="11" t="n">
        <x:f>IFERROR(R728/P728,"")</x:f>
        <x:v>0.8800904977375565</x:v>
      </x:c>
      <x:c r="U728" s="10" t="n">
        <x:f>I728+J728+K728</x:f>
        <x:v>50</x:v>
      </x:c>
      <x:c r="V728" s="11" t="n">
        <x:f>IFERROR(U728/P728,"")</x:f>
        <x:v>0.11312217194570136</x:v>
      </x:c>
      <x:c r="W728" s="9" t="str">
        <x:v>mature_le_5pct_pending</x:v>
      </x:c>
      <x:c r="X728" s="12" t="n">
        <x:f>IFERROR(F728/Z728*100000,"")</x:f>
        <x:v>23.026315789473685</x:v>
      </x:c>
      <x:c r="Y728" s="13" t="n">
        <x:f>LN(Z728)</x:f>
        <x:v>14.481080970753984</x:v>
      </x:c>
      <x:c r="Z728" s="6" t="str">
        <x:v>1945600</x:v>
      </x:c>
      <x:c r="AA728" s="6" t="str">
        <x:v>42.0</x:v>
      </x:c>
      <x:c r="AB728" s="9" t="str">
        <x:v>2024-06-30</x:v>
      </x:c>
      <x:c r="AC728" s="8" t="str">
        <x:v>80.5</x:v>
      </x:c>
      <x:c r="AD728" s="9" t="str">
        <x:v>2024 (Susenas)</x:v>
      </x:c>
      <x:c r="AE728" s="8" t="str">
        <x:v>16.05</x:v>
      </x:c>
      <x:c r="AF728" s="9" t="str">
        <x:v>Maret 2024 (Susenas)</x:v>
      </x:c>
      <x:c r="AG728" s="6" t="str">
        <x:v>25.20334235558161</x:v>
      </x:c>
      <x:c r="AH728" s="8" t="str">
        <x:v>86.04561507637797</x:v>
      </x:c>
      <x:c r="AI728" s="6" t="str">
        <x:v>242.5433807963566</x:v>
      </x:c>
      <x:c r="AJ728" s="6" t="str">
        <x:v>0.4935992444793662</x:v>
      </x:c>
      <x:c r="AK728" s="8" t="str">
        <x:v>1.2434999714605224</x:v>
      </x:c>
      <x:c r="AL728" s="6" t="str">
        <x:v>1.1417608924961955</x:v>
      </x:c>
      <x:c r="AM728" s="6" t="str">
        <x:v>1.9528665824601117</x:v>
      </x:c>
      <x:c r="AN728" s="6" t="str">
        <x:v>1.446042482138943</x:v>
      </x:c>
      <x:c r="AO728" s="6" t="str">
        <x:v>0.6822667208899702</x:v>
      </x:c>
      <x:c r="AP728" s="8" t="str">
        <x:v>0.3353488585792541</x:v>
      </x:c>
      <x:c r="AQ728" s="6" t="str">
        <x:v>0.4182915435654426</x:v>
      </x:c>
      <x:c r="AR728" s="6" t="str">
        <x:v>1.197494057183535</x:v>
      </x:c>
      <x:c r="AS728" s="6" t="str">
        <x:v>0.6503781531094105</x:v>
      </x:c>
      <x:c r="AT728" s="6" t="str">
        <x:v>47.37065832869993</x:v>
      </x:c>
      <x:c r="AU728" s="8" t="str">
        <x:v>0.3997222919029514</x:v>
      </x:c>
      <x:c r="AV728" s="6" t="str">
        <x:v>0.2927962256777864</x:v>
      </x:c>
      <x:c r="AW728" s="6" t="str">
        <x:v>0.9196029617243195</x:v>
      </x:c>
      <x:c r="AX728" s="6" t="str">
        <x:v>0.537373826435019</x:v>
      </x:c>
      <x:c r="AY728" s="6" t="str">
        <x:v>0</x:v>
      </x:c>
      <x:c r="AZ728" s="6" t="str">
        <x:v>1</x:v>
      </x:c>
      <x:c r="BA728" s="9" t="str">
        <x:v>grid_cells_within_BIG_polygon</x:v>
      </x:c>
      <x:c r="BB728" s="6" t="str">
        <x:v>11</x:v>
      </x:c>
      <x:c r="BC728" s="6" t="str">
        <x:v>8</x:v>
      </x:c>
      <x:c r="BD728" s="6" t="str">
        <x:v>8</x:v>
      </x:c>
      <x:c r="BE728" s="6" t="str">
        <x:v>5</x:v>
      </x:c>
      <x:c r="BF728" s="6" t="str">
        <x:v>1</x:v>
      </x:c>
      <x:c r="BG728" s="6" t="str">
        <x:v>1</x:v>
      </x:c>
      <x:c r="BH728" s="6" t="str">
        <x:v>0</x:v>
      </x:c>
      <x:c r="BI728" s="6" t="str">
        <x:v>0</x:v>
      </x:c>
      <x:c r="BJ728" s="6" t="str">
        <x:v>1</x:v>
      </x:c>
      <x:c r="BK728" s="6" t="str">
        <x:v>0</x:v>
      </x:c>
      <x:c r="BL728" s="6" t="str">
        <x:v>0</x:v>
      </x:c>
      <x:c r="BM728" s="6" t="str">
        <x:v>0</x:v>
      </x:c>
      <x:c r="BN728" s="6" t="str">
        <x:v>8</x:v>
      </x:c>
      <x:c r="BO728" s="6" t="str">
        <x:v>4.0</x:v>
      </x:c>
      <x:c r="BP728" s="6" t="str">
        <x:v>8</x:v>
      </x:c>
      <x:c r="BQ728" s="6" t="str">
        <x:v>3.0</x:v>
      </x:c>
      <x:c r="BR728" s="6" t="str">
        <x:v>8</x:v>
      </x:c>
      <x:c r="BS728" s="6" t="str">
        <x:v>16.0</x:v>
      </x:c>
      <x:c r="BT728" s="6" t="str">
        <x:v>8</x:v>
      </x:c>
      <x:c r="BU728" s="6" t="str">
        <x:v>2283.0</x:v>
      </x:c>
      <x:c r="BV728" s="6" t="str">
        <x:v>5</x:v>
      </x:c>
      <x:c r="BW728" s="9" t="str">
        <x:v>operational_snapshot_annual_totals_may_differ</x:v>
      </x:c>
      <x:c r="BX728" s="9" t="str">
        <x:v>official_live_dashboard_snapshot_subject_to_revision</x:v>
      </x:c>
      <x:c r="BY728" s="9" t="str">
        <x:v>https://tbdashboard.sitb.id/ss_data_tbc03so_2024_provinsi_bulanan_list.php</x:v>
      </x:c>
      <x:c r="BZ728" s="6" t="n">
        <x:v>46246.610671296294</x:v>
      </x:c>
    </x:row>
    <x:row r="729" ht="18" customHeight="1">
      <x:c r="A729" s="6" t="str">
        <x:v>81</x:v>
      </x:c>
      <x:c r="B729" s="6" t="str">
        <x:v>MALUKU</x:v>
      </x:c>
      <x:c r="C729" s="6" t="str">
        <x:v>2024</x:v>
      </x:c>
      <x:c r="D729" s="6" t="str">
        <x:v>8</x:v>
      </x:c>
      <x:c r="E729" s="6" t="str">
        <x:v>2024-08</x:v>
      </x:c>
      <x:c r="F729" s="6" t="str">
        <x:v>455</x:v>
      </x:c>
      <x:c r="G729" s="6" t="str">
        <x:v>86</x:v>
      </x:c>
      <x:c r="H729" s="6" t="str">
        <x:v>298</x:v>
      </x:c>
      <x:c r="I729" s="6" t="str">
        <x:v>43</x:v>
      </x:c>
      <x:c r="J729" s="6" t="str">
        <x:v>23</x:v>
      </x:c>
      <x:c r="K729" s="6" t="str">
        <x:v>0</x:v>
      </x:c>
      <x:c r="L729" s="6" t="str">
        <x:v>3</x:v>
      </x:c>
      <x:c r="M729" s="6" t="str">
        <x:v>2</x:v>
      </x:c>
      <x:c r="N729" s="6" t="str">
        <x:v>455</x:v>
      </x:c>
      <x:c r="O729" s="6" t="str">
        <x:v>0</x:v>
      </x:c>
      <x:c r="P729" s="10" t="n">
        <x:f>F729-M729</x:f>
        <x:v>453</x:v>
      </x:c>
      <x:c r="Q729" s="11" t="n">
        <x:f>IFERROR(M729/F729,"")</x:f>
        <x:v>0.004395604395604396</x:v>
      </x:c>
      <x:c r="R729" s="10" t="n">
        <x:f>G729+H729</x:f>
        <x:v>384</x:v>
      </x:c>
      <x:c r="S729" s="11" t="n">
        <x:f>IFERROR(R729/F729,"")</x:f>
        <x:v>0.843956043956044</x:v>
      </x:c>
      <x:c r="T729" s="11" t="n">
        <x:f>IFERROR(R729/P729,"")</x:f>
        <x:v>0.847682119205298</x:v>
      </x:c>
      <x:c r="U729" s="10" t="n">
        <x:f>I729+J729+K729</x:f>
        <x:v>66</x:v>
      </x:c>
      <x:c r="V729" s="11" t="n">
        <x:f>IFERROR(U729/P729,"")</x:f>
        <x:v>0.1456953642384106</x:v>
      </x:c>
      <x:c r="W729" s="9" t="str">
        <x:v>mature_le_5pct_pending</x:v>
      </x:c>
      <x:c r="X729" s="12" t="n">
        <x:f>IFERROR(F729/Z729*100000,"")</x:f>
        <x:v>23.38610197368421</x:v>
      </x:c>
      <x:c r="Y729" s="13" t="n">
        <x:f>LN(Z729)</x:f>
        <x:v>14.481080970753984</x:v>
      </x:c>
      <x:c r="Z729" s="6" t="str">
        <x:v>1945600</x:v>
      </x:c>
      <x:c r="AA729" s="6" t="str">
        <x:v>42.0</x:v>
      </x:c>
      <x:c r="AB729" s="9" t="str">
        <x:v>2024-06-30</x:v>
      </x:c>
      <x:c r="AC729" s="8" t="str">
        <x:v>80.5</x:v>
      </x:c>
      <x:c r="AD729" s="9" t="str">
        <x:v>2024 (Susenas)</x:v>
      </x:c>
      <x:c r="AE729" s="8" t="str">
        <x:v>16.05</x:v>
      </x:c>
      <x:c r="AF729" s="9" t="str">
        <x:v>Maret 2024 (Susenas)</x:v>
      </x:c>
      <x:c r="AG729" s="6" t="str">
        <x:v>25.42564188774769</x:v>
      </x:c>
      <x:c r="AH729" s="8" t="str">
        <x:v>85.74297485062176</x:v>
      </x:c>
      <x:c r="AI729" s="6" t="str">
        <x:v>262.8857034000498</x:v>
      </x:c>
      <x:c r="AJ729" s="6" t="str">
        <x:v>0.7685700312775907</x:v>
      </x:c>
      <x:c r="AK729" s="8" t="str">
        <x:v>1.784129962000066</x:v>
      </x:c>
      <x:c r="AL729" s="6" t="str">
        <x:v>1.2434999714605224</x:v>
      </x:c>
      <x:c r="AM729" s="6" t="str">
        <x:v>1.1417608924961955</x:v>
      </x:c>
      <x:c r="AN729" s="6" t="str">
        <x:v>1.389796941985595</x:v>
      </x:c>
      <x:c r="AO729" s="6" t="str">
        <x:v>2.662991336192647</x:v>
      </x:c>
      <x:c r="AP729" s="8" t="str">
        <x:v>0.8658581592913469</x:v>
      </x:c>
      <x:c r="AQ729" s="6" t="str">
        <x:v>0.3353488585792541</x:v>
      </x:c>
      <x:c r="AR729" s="6" t="str">
        <x:v>0.4182915435654426</x:v>
      </x:c>
      <x:c r="AS729" s="6" t="str">
        <x:v>0.5398328538120145</x:v>
      </x:c>
      <x:c r="AT729" s="6" t="str">
        <x:v>131.25493088365468</x:v>
      </x:c>
      <x:c r="AU729" s="8" t="str">
        <x:v>1.1862018193225503</x:v>
      </x:c>
      <x:c r="AV729" s="6" t="str">
        <x:v>0.3997222919029514</x:v>
      </x:c>
      <x:c r="AW729" s="6" t="str">
        <x:v>0.2927962256777864</x:v>
      </x:c>
      <x:c r="AX729" s="6" t="str">
        <x:v>0.6262401123010959</x:v>
      </x:c>
      <x:c r="AY729" s="6" t="str">
        <x:v>1</x:v>
      </x:c>
      <x:c r="AZ729" s="6" t="str">
        <x:v>1</x:v>
      </x:c>
      <x:c r="BA729" s="9" t="str">
        <x:v>grid_cells_within_BIG_polygon</x:v>
      </x:c>
      <x:c r="BB729" s="6" t="str">
        <x:v>11</x:v>
      </x:c>
      <x:c r="BC729" s="6" t="str">
        <x:v>1</x:v>
      </x:c>
      <x:c r="BD729" s="6" t="str">
        <x:v>1</x:v>
      </x:c>
      <x:c r="BE729" s="6" t="str">
        <x:v>1</x:v>
      </x:c>
      <x:c r="BF729" s="6" t="str">
        <x:v>0</x:v>
      </x:c>
      <x:c r="BG729" s="6" t="str">
        <x:v>0</x:v>
      </x:c>
      <x:c r="BH729" s="6" t="str">
        <x:v>0</x:v>
      </x:c>
      <x:c r="BI729" s="6" t="str">
        <x:v>0</x:v>
      </x:c>
      <x:c r="BJ729" s="6" t="str">
        <x:v>0</x:v>
      </x:c>
      <x:c r="BK729" s="6" t="str">
        <x:v>0</x:v>
      </x:c>
      <x:c r="BL729" s="6" t="str">
        <x:v>0</x:v>
      </x:c>
      <x:c r="BM729" s="6" t="str">
        <x:v>0</x:v>
      </x:c>
      <x:c r="BN729" s="6" t="str">
        <x:v>1</x:v>
      </x:c>
      <x:c r="BO729" s="6" t="str">
        <x:v>0.0</x:v>
      </x:c>
      <x:c r="BP729" s="6" t="str">
        <x:v>1</x:v>
      </x:c>
      <x:c r="BQ729" s="6" t="str">
        <x:v>0.0</x:v>
      </x:c>
      <x:c r="BR729" s="6" t="str">
        <x:v>1</x:v>
      </x:c>
      <x:c r="BS729" s="6" t="str">
        <x:v>0.0</x:v>
      </x:c>
      <x:c r="BT729" s="6" t="str">
        <x:v>1</x:v>
      </x:c>
      <x:c r="BU729" s="6" t="str"/>
      <x:c r="BV729" s="6" t="str">
        <x:v>0</x:v>
      </x:c>
      <x:c r="BW729" s="9" t="str">
        <x:v>operational_snapshot_annual_totals_may_differ</x:v>
      </x:c>
      <x:c r="BX729" s="9" t="str">
        <x:v>official_live_dashboard_snapshot_subject_to_revision</x:v>
      </x:c>
      <x:c r="BY729" s="9" t="str">
        <x:v>https://tbdashboard.sitb.id/ss_data_tbc03so_2024_provinsi_bulanan_list.php</x:v>
      </x:c>
      <x:c r="BZ729" s="6" t="n">
        <x:v>46246.610671296294</x:v>
      </x:c>
    </x:row>
    <x:row r="730" ht="18" customHeight="1">
      <x:c r="A730" s="6" t="str">
        <x:v>81</x:v>
      </x:c>
      <x:c r="B730" s="6" t="str">
        <x:v>MALUKU</x:v>
      </x:c>
      <x:c r="C730" s="6" t="str">
        <x:v>2024</x:v>
      </x:c>
      <x:c r="D730" s="6" t="str">
        <x:v>9</x:v>
      </x:c>
      <x:c r="E730" s="6" t="str">
        <x:v>2024-09</x:v>
      </x:c>
      <x:c r="F730" s="6" t="str">
        <x:v>454</x:v>
      </x:c>
      <x:c r="G730" s="6" t="str">
        <x:v>89</x:v>
      </x:c>
      <x:c r="H730" s="6" t="str">
        <x:v>294</x:v>
      </x:c>
      <x:c r="I730" s="6" t="str">
        <x:v>37</x:v>
      </x:c>
      <x:c r="J730" s="6" t="str">
        <x:v>19</x:v>
      </x:c>
      <x:c r="K730" s="6" t="str">
        <x:v>1</x:v>
      </x:c>
      <x:c r="L730" s="6" t="str">
        <x:v>4</x:v>
      </x:c>
      <x:c r="M730" s="6" t="str">
        <x:v>10</x:v>
      </x:c>
      <x:c r="N730" s="6" t="str">
        <x:v>454</x:v>
      </x:c>
      <x:c r="O730" s="6" t="str">
        <x:v>0</x:v>
      </x:c>
      <x:c r="P730" s="10" t="n">
        <x:f>F730-M730</x:f>
        <x:v>444</x:v>
      </x:c>
      <x:c r="Q730" s="11" t="n">
        <x:f>IFERROR(M730/F730,"")</x:f>
        <x:v>0.022026431718061675</x:v>
      </x:c>
      <x:c r="R730" s="10" t="n">
        <x:f>G730+H730</x:f>
        <x:v>383</x:v>
      </x:c>
      <x:c r="S730" s="11" t="n">
        <x:f>IFERROR(R730/F730,"")</x:f>
        <x:v>0.8436123348017621</x:v>
      </x:c>
      <x:c r="T730" s="11" t="n">
        <x:f>IFERROR(R730/P730,"")</x:f>
        <x:v>0.8626126126126126</x:v>
      </x:c>
      <x:c r="U730" s="10" t="n">
        <x:f>I730+J730+K730</x:f>
        <x:v>57</x:v>
      </x:c>
      <x:c r="V730" s="11" t="n">
        <x:f>IFERROR(U730/P730,"")</x:f>
        <x:v>0.12837837837837837</x:v>
      </x:c>
      <x:c r="W730" s="9" t="str">
        <x:v>mature_le_5pct_pending</x:v>
      </x:c>
      <x:c r="X730" s="12" t="n">
        <x:f>IFERROR(F730/Z730*100000,"")</x:f>
        <x:v>23.33470394736842</x:v>
      </x:c>
      <x:c r="Y730" s="13" t="n">
        <x:f>LN(Z730)</x:f>
        <x:v>14.481080970753984</x:v>
      </x:c>
      <x:c r="Z730" s="6" t="str">
        <x:v>1945600</x:v>
      </x:c>
      <x:c r="AA730" s="6" t="str">
        <x:v>42.0</x:v>
      </x:c>
      <x:c r="AB730" s="9" t="str">
        <x:v>2024-06-30</x:v>
      </x:c>
      <x:c r="AC730" s="8" t="str">
        <x:v>80.5</x:v>
      </x:c>
      <x:c r="AD730" s="9" t="str">
        <x:v>2024 (Susenas)</x:v>
      </x:c>
      <x:c r="AE730" s="8" t="str">
        <x:v>16.05</x:v>
      </x:c>
      <x:c r="AF730" s="9" t="str">
        <x:v>Maret 2024 (Susenas)</x:v>
      </x:c>
      <x:c r="AG730" s="6" t="str">
        <x:v>26.274010877842887</x:v>
      </x:c>
      <x:c r="AH730" s="8" t="str">
        <x:v>83.37184820893042</x:v>
      </x:c>
      <x:c r="AI730" s="6" t="str">
        <x:v>102.78265367323203</x:v>
      </x:c>
      <x:c r="AJ730" s="6" t="str">
        <x:v>0.8431063701250174</x:v>
      </x:c>
      <x:c r="AK730" s="8" t="str">
        <x:v>2.2223311493271343</x:v>
      </x:c>
      <x:c r="AL730" s="6" t="str">
        <x:v>1.784129962000066</x:v>
      </x:c>
      <x:c r="AM730" s="6" t="str">
        <x:v>1.2434999714605224</x:v>
      </x:c>
      <x:c r="AN730" s="6" t="str">
        <x:v>1.7499870275959075</x:v>
      </x:c>
      <x:c r="AO730" s="6" t="str">
        <x:v>2.51506656430918</x:v>
      </x:c>
      <x:c r="AP730" s="8" t="str">
        <x:v>0.6998613906644074</x:v>
      </x:c>
      <x:c r="AQ730" s="6" t="str">
        <x:v>0.8658581592913469</x:v>
      </x:c>
      <x:c r="AR730" s="6" t="str">
        <x:v>0.3353488585792541</x:v>
      </x:c>
      <x:c r="AS730" s="6" t="str">
        <x:v>0.6336894695116694</x:v>
      </x:c>
      <x:c r="AT730" s="6" t="str">
        <x:v>-5.388710424419116</x:v>
      </x:c>
      <x:c r="AU730" s="8" t="str">
        <x:v>-0.0879728558763271</x:v>
      </x:c>
      <x:c r="AV730" s="6" t="str">
        <x:v>1.1862018193225503</x:v>
      </x:c>
      <x:c r="AW730" s="6" t="str">
        <x:v>0.3997222919029514</x:v>
      </x:c>
      <x:c r="AX730" s="6" t="str">
        <x:v>0.4993170851163913</x:v>
      </x:c>
      <x:c r="AY730" s="6" t="str">
        <x:v>0</x:v>
      </x:c>
      <x:c r="AZ730" s="6" t="str">
        <x:v>1</x:v>
      </x:c>
      <x:c r="BA730" s="9" t="str">
        <x:v>grid_cells_within_BIG_polygon</x:v>
      </x:c>
      <x:c r="BB730" s="6" t="str">
        <x:v>11</x:v>
      </x:c>
      <x:c r="BC730" s="6" t="str">
        <x:v>1</x:v>
      </x:c>
      <x:c r="BD730" s="6" t="str">
        <x:v>1</x:v>
      </x:c>
      <x:c r="BE730" s="6" t="str">
        <x:v>1</x:v>
      </x:c>
      <x:c r="BF730" s="6" t="str">
        <x:v>0</x:v>
      </x:c>
      <x:c r="BG730" s="6" t="str">
        <x:v>0</x:v>
      </x:c>
      <x:c r="BH730" s="6" t="str">
        <x:v>0</x:v>
      </x:c>
      <x:c r="BI730" s="6" t="str">
        <x:v>0</x:v>
      </x:c>
      <x:c r="BJ730" s="6" t="str">
        <x:v>0</x:v>
      </x:c>
      <x:c r="BK730" s="6" t="str">
        <x:v>0</x:v>
      </x:c>
      <x:c r="BL730" s="6" t="str">
        <x:v>0</x:v>
      </x:c>
      <x:c r="BM730" s="6" t="str">
        <x:v>0</x:v>
      </x:c>
      <x:c r="BN730" s="6" t="str">
        <x:v>1</x:v>
      </x:c>
      <x:c r="BO730" s="6" t="str">
        <x:v>0.0</x:v>
      </x:c>
      <x:c r="BP730" s="6" t="str">
        <x:v>1</x:v>
      </x:c>
      <x:c r="BQ730" s="6" t="str">
        <x:v>0.0</x:v>
      </x:c>
      <x:c r="BR730" s="6" t="str">
        <x:v>1</x:v>
      </x:c>
      <x:c r="BS730" s="6" t="str">
        <x:v>22.0</x:v>
      </x:c>
      <x:c r="BT730" s="6" t="str">
        <x:v>1</x:v>
      </x:c>
      <x:c r="BU730" s="6" t="str">
        <x:v>46.0</x:v>
      </x:c>
      <x:c r="BV730" s="6" t="str">
        <x:v>1</x:v>
      </x:c>
      <x:c r="BW730" s="9" t="str">
        <x:v>operational_snapshot_annual_totals_may_differ</x:v>
      </x:c>
      <x:c r="BX730" s="9" t="str">
        <x:v>official_live_dashboard_snapshot_subject_to_revision</x:v>
      </x:c>
      <x:c r="BY730" s="9" t="str">
        <x:v>https://tbdashboard.sitb.id/ss_data_tbc03so_2024_provinsi_bulanan_list.php</x:v>
      </x:c>
      <x:c r="BZ730" s="6" t="n">
        <x:v>46246.610671296294</x:v>
      </x:c>
    </x:row>
    <x:row r="731" ht="18" customHeight="1">
      <x:c r="A731" s="6" t="str">
        <x:v>81</x:v>
      </x:c>
      <x:c r="B731" s="6" t="str">
        <x:v>MALUKU</x:v>
      </x:c>
      <x:c r="C731" s="6" t="str">
        <x:v>2024</x:v>
      </x:c>
      <x:c r="D731" s="6" t="str">
        <x:v>10</x:v>
      </x:c>
      <x:c r="E731" s="6" t="str">
        <x:v>2024-10</x:v>
      </x:c>
      <x:c r="F731" s="6" t="str">
        <x:v>574</x:v>
      </x:c>
      <x:c r="G731" s="6" t="str">
        <x:v>114</x:v>
      </x:c>
      <x:c r="H731" s="6" t="str">
        <x:v>384</x:v>
      </x:c>
      <x:c r="I731" s="6" t="str">
        <x:v>49</x:v>
      </x:c>
      <x:c r="J731" s="6" t="str">
        <x:v>14</x:v>
      </x:c>
      <x:c r="K731" s="6" t="str">
        <x:v>1</x:v>
      </x:c>
      <x:c r="L731" s="6" t="str">
        <x:v>1</x:v>
      </x:c>
      <x:c r="M731" s="6" t="str">
        <x:v>11</x:v>
      </x:c>
      <x:c r="N731" s="6" t="str">
        <x:v>574</x:v>
      </x:c>
      <x:c r="O731" s="6" t="str">
        <x:v>0</x:v>
      </x:c>
      <x:c r="P731" s="10" t="n">
        <x:f>F731-M731</x:f>
        <x:v>563</x:v>
      </x:c>
      <x:c r="Q731" s="11" t="n">
        <x:f>IFERROR(M731/F731,"")</x:f>
        <x:v>0.01916376306620209</x:v>
      </x:c>
      <x:c r="R731" s="10" t="n">
        <x:f>G731+H731</x:f>
        <x:v>498</x:v>
      </x:c>
      <x:c r="S731" s="11" t="n">
        <x:f>IFERROR(R731/F731,"")</x:f>
        <x:v>0.867595818815331</x:v>
      </x:c>
      <x:c r="T731" s="11" t="n">
        <x:f>IFERROR(R731/P731,"")</x:f>
        <x:v>0.8845470692717584</x:v>
      </x:c>
      <x:c r="U731" s="10" t="n">
        <x:f>I731+J731+K731</x:f>
        <x:v>64</x:v>
      </x:c>
      <x:c r="V731" s="11" t="n">
        <x:f>IFERROR(U731/P731,"")</x:f>
        <x:v>0.11367673179396093</x:v>
      </x:c>
      <x:c r="W731" s="9" t="str">
        <x:v>mature_le_5pct_pending</x:v>
      </x:c>
      <x:c r="X731" s="12" t="n">
        <x:f>IFERROR(F731/Z731*100000,"")</x:f>
        <x:v>29.502467105263154</x:v>
      </x:c>
      <x:c r="Y731" s="13" t="n">
        <x:f>LN(Z731)</x:f>
        <x:v>14.481080970753984</x:v>
      </x:c>
      <x:c r="Z731" s="6" t="str">
        <x:v>1945600</x:v>
      </x:c>
      <x:c r="AA731" s="6" t="str">
        <x:v>42.0</x:v>
      </x:c>
      <x:c r="AB731" s="9" t="str">
        <x:v>2024-06-30</x:v>
      </x:c>
      <x:c r="AC731" s="8" t="str">
        <x:v>80.5</x:v>
      </x:c>
      <x:c r="AD731" s="9" t="str">
        <x:v>2024 (Susenas)</x:v>
      </x:c>
      <x:c r="AE731" s="8" t="str">
        <x:v>16.05</x:v>
      </x:c>
      <x:c r="AF731" s="9" t="str">
        <x:v>Maret 2024 (Susenas)</x:v>
      </x:c>
      <x:c r="AG731" s="6" t="str">
        <x:v>27.0426984207678</x:v>
      </x:c>
      <x:c r="AH731" s="8" t="str">
        <x:v>81.57991810667016</x:v>
      </x:c>
      <x:c r="AI731" s="6" t="str">
        <x:v>137.3666448111891</x:v>
      </x:c>
      <x:c r="AJ731" s="6" t="str">
        <x:v>0.5860753493946405</x:v>
      </x:c>
      <x:c r="AK731" s="8" t="str">
        <x:v>1.8978117700841737</x:v>
      </x:c>
      <x:c r="AL731" s="6" t="str">
        <x:v>2.2223311493271343</x:v>
      </x:c>
      <x:c r="AM731" s="6" t="str">
        <x:v>1.784129962000066</x:v>
      </x:c>
      <x:c r="AN731" s="6" t="str">
        <x:v>1.9680909604704575</x:v>
      </x:c>
      <x:c r="AO731" s="6" t="str">
        <x:v>2.835924496408168</x:v>
      </x:c>
      <x:c r="AP731" s="8" t="str">
        <x:v>0.7117146457139472</x:v>
      </x:c>
      <x:c r="AQ731" s="6" t="str">
        <x:v>0.6998613906644074</x:v>
      </x:c>
      <x:c r="AR731" s="6" t="str">
        <x:v>0.8658581592913469</x:v>
      </x:c>
      <x:c r="AS731" s="6" t="str">
        <x:v>0.7591447318899004</x:v>
      </x:c>
      <x:c r="AT731" s="6" t="str">
        <x:v>45.38213818141645</x:v>
      </x:c>
      <x:c r="AU731" s="8" t="str">
        <x:v>0.8605822293044458</x:v>
      </x:c>
      <x:c r="AV731" s="6" t="str">
        <x:v>-0.0879728558763271</x:v>
      </x:c>
      <x:c r="AW731" s="6" t="str">
        <x:v>1.1862018193225503</x:v>
      </x:c>
      <x:c r="AX731" s="6" t="str">
        <x:v>0.6529370642502229</x:v>
      </x:c>
      <x:c r="AY731" s="6" t="str">
        <x:v>0</x:v>
      </x:c>
      <x:c r="AZ731" s="6" t="str">
        <x:v>1</x:v>
      </x:c>
      <x:c r="BA731" s="9" t="str">
        <x:v>grid_cells_within_BIG_polygon</x:v>
      </x:c>
      <x:c r="BB731" s="6" t="str">
        <x:v>11</x:v>
      </x:c>
      <x:c r="BC731" s="6" t="str">
        <x:v>1</x:v>
      </x:c>
      <x:c r="BD731" s="6" t="str">
        <x:v>1</x:v>
      </x:c>
      <x:c r="BE731" s="6" t="str">
        <x:v>0</x:v>
      </x:c>
      <x:c r="BF731" s="6" t="str">
        <x:v>0</x:v>
      </x:c>
      <x:c r="BG731" s="6" t="str">
        <x:v>1</x:v>
      </x:c>
      <x:c r="BH731" s="6" t="str">
        <x:v>0</x:v>
      </x:c>
      <x:c r="BI731" s="6" t="str">
        <x:v>0</x:v>
      </x:c>
      <x:c r="BJ731" s="6" t="str">
        <x:v>0</x:v>
      </x:c>
      <x:c r="BK731" s="6" t="str">
        <x:v>0</x:v>
      </x:c>
      <x:c r="BL731" s="6" t="str">
        <x:v>0</x:v>
      </x:c>
      <x:c r="BM731" s="6" t="str">
        <x:v>0</x:v>
      </x:c>
      <x:c r="BN731" s="6" t="str">
        <x:v>1</x:v>
      </x:c>
      <x:c r="BO731" s="6" t="str">
        <x:v>0.0</x:v>
      </x:c>
      <x:c r="BP731" s="6" t="str">
        <x:v>1</x:v>
      </x:c>
      <x:c r="BQ731" s="6" t="str">
        <x:v>0.0</x:v>
      </x:c>
      <x:c r="BR731" s="6" t="str">
        <x:v>1</x:v>
      </x:c>
      <x:c r="BS731" s="6" t="str">
        <x:v>22.0</x:v>
      </x:c>
      <x:c r="BT731" s="6" t="str">
        <x:v>1</x:v>
      </x:c>
      <x:c r="BU731" s="6" t="str"/>
      <x:c r="BV731" s="6" t="str">
        <x:v>0</x:v>
      </x:c>
      <x:c r="BW731" s="9" t="str">
        <x:v>operational_snapshot_annual_totals_may_differ</x:v>
      </x:c>
      <x:c r="BX731" s="9" t="str">
        <x:v>official_live_dashboard_snapshot_subject_to_revision</x:v>
      </x:c>
      <x:c r="BY731" s="9" t="str">
        <x:v>https://tbdashboard.sitb.id/ss_data_tbc03so_2024_provinsi_bulanan_list.php</x:v>
      </x:c>
      <x:c r="BZ731" s="6" t="n">
        <x:v>46246.610671296294</x:v>
      </x:c>
    </x:row>
    <x:row r="732" ht="18" customHeight="1">
      <x:c r="A732" s="6" t="str">
        <x:v>81</x:v>
      </x:c>
      <x:c r="B732" s="6" t="str">
        <x:v>MALUKU</x:v>
      </x:c>
      <x:c r="C732" s="6" t="str">
        <x:v>2024</x:v>
      </x:c>
      <x:c r="D732" s="6" t="str">
        <x:v>11</x:v>
      </x:c>
      <x:c r="E732" s="6" t="str">
        <x:v>2024-11</x:v>
      </x:c>
      <x:c r="F732" s="6" t="str">
        <x:v>468</x:v>
      </x:c>
      <x:c r="G732" s="6" t="str">
        <x:v>86</x:v>
      </x:c>
      <x:c r="H732" s="6" t="str">
        <x:v>310</x:v>
      </x:c>
      <x:c r="I732" s="6" t="str">
        <x:v>37</x:v>
      </x:c>
      <x:c r="J732" s="6" t="str">
        <x:v>20</x:v>
      </x:c>
      <x:c r="K732" s="6" t="str">
        <x:v>0</x:v>
      </x:c>
      <x:c r="L732" s="6" t="str">
        <x:v>1</x:v>
      </x:c>
      <x:c r="M732" s="6" t="str">
        <x:v>14</x:v>
      </x:c>
      <x:c r="N732" s="6" t="str">
        <x:v>468</x:v>
      </x:c>
      <x:c r="O732" s="6" t="str">
        <x:v>0</x:v>
      </x:c>
      <x:c r="P732" s="10" t="n">
        <x:f>F732-M732</x:f>
        <x:v>454</x:v>
      </x:c>
      <x:c r="Q732" s="11" t="n">
        <x:f>IFERROR(M732/F732,"")</x:f>
        <x:v>0.029914529914529916</x:v>
      </x:c>
      <x:c r="R732" s="10" t="n">
        <x:f>G732+H732</x:f>
        <x:v>396</x:v>
      </x:c>
      <x:c r="S732" s="11" t="n">
        <x:f>IFERROR(R732/F732,"")</x:f>
        <x:v>0.8461538461538461</x:v>
      </x:c>
      <x:c r="T732" s="11" t="n">
        <x:f>IFERROR(R732/P732,"")</x:f>
        <x:v>0.8722466960352423</x:v>
      </x:c>
      <x:c r="U732" s="10" t="n">
        <x:f>I732+J732+K732</x:f>
        <x:v>57</x:v>
      </x:c>
      <x:c r="V732" s="11" t="n">
        <x:f>IFERROR(U732/P732,"")</x:f>
        <x:v>0.12555066079295155</x:v>
      </x:c>
      <x:c r="W732" s="9" t="str">
        <x:v>mature_le_5pct_pending</x:v>
      </x:c>
      <x:c r="X732" s="12" t="n">
        <x:f>IFERROR(F732/Z732*100000,"")</x:f>
        <x:v>24.054276315789473</x:v>
      </x:c>
      <x:c r="Y732" s="13" t="n">
        <x:f>LN(Z732)</x:f>
        <x:v>14.481080970753984</x:v>
      </x:c>
      <x:c r="Z732" s="6" t="str">
        <x:v>1945600</x:v>
      </x:c>
      <x:c r="AA732" s="6" t="str">
        <x:v>42.0</x:v>
      </x:c>
      <x:c r="AB732" s="9" t="str">
        <x:v>2024-06-30</x:v>
      </x:c>
      <x:c r="AC732" s="8" t="str">
        <x:v>80.5</x:v>
      </x:c>
      <x:c r="AD732" s="9" t="str">
        <x:v>2024 (Susenas)</x:v>
      </x:c>
      <x:c r="AE732" s="8" t="str">
        <x:v>16.05</x:v>
      </x:c>
      <x:c r="AF732" s="9" t="str">
        <x:v>Maret 2024 (Susenas)</x:v>
      </x:c>
      <x:c r="AG732" s="6" t="str">
        <x:v>27.67875368697718</x:v>
      </x:c>
      <x:c r="AH732" s="8" t="str">
        <x:v>80.32879646297336</x:v>
      </x:c>
      <x:c r="AI732" s="6" t="str">
        <x:v>94.9012527433501</x:v>
      </x:c>
      <x:c r="AJ732" s="6" t="str">
        <x:v>0.4502226672151579</x:v>
      </x:c>
      <x:c r="AK732" s="8" t="str">
        <x:v>0.9267502163164392</x:v>
      </x:c>
      <x:c r="AL732" s="6" t="str">
        <x:v>1.8978117700841737</x:v>
      </x:c>
      <x:c r="AM732" s="6" t="str">
        <x:v>2.2223311493271343</x:v>
      </x:c>
      <x:c r="AN732" s="6" t="str">
        <x:v>1.682297711909249</x:v>
      </x:c>
      <x:c r="AO732" s="6" t="str">
        <x:v>2.7962770465262423</x:v>
      </x:c>
      <x:c r="AP732" s="8" t="str">
        <x:v>0.6204272721662561</x:v>
      </x:c>
      <x:c r="AQ732" s="6" t="str">
        <x:v>0.7117146457139472</x:v>
      </x:c>
      <x:c r="AR732" s="6" t="str">
        <x:v>0.6998613906644074</x:v>
      </x:c>
      <x:c r="AS732" s="6" t="str">
        <x:v>0.6773344361815368</x:v>
      </x:c>
      <x:c r="AT732" s="6" t="str">
        <x:v>-14.24277200079959</x:v>
      </x:c>
      <x:c r="AU732" s="8" t="str">
        <x:v>-0.2691274650838615</x:v>
      </x:c>
      <x:c r="AV732" s="6" t="str">
        <x:v>0.8605822293044458</x:v>
      </x:c>
      <x:c r="AW732" s="6" t="str">
        <x:v>-0.0879728558763271</x:v>
      </x:c>
      <x:c r="AX732" s="6" t="str">
        <x:v>0.1678273027814189</x:v>
      </x:c>
      <x:c r="AY732" s="6" t="str">
        <x:v>0</x:v>
      </x:c>
      <x:c r="AZ732" s="6" t="str">
        <x:v>0</x:v>
      </x:c>
      <x:c r="BA732" s="9" t="str">
        <x:v>grid_cells_within_BIG_polygon</x:v>
      </x:c>
      <x:c r="BB732" s="6" t="str">
        <x:v>11</x:v>
      </x:c>
      <x:c r="BC732" s="6" t="str">
        <x:v>0</x:v>
      </x:c>
      <x:c r="BD732" s="6" t="str">
        <x:v>0</x:v>
      </x:c>
      <x:c r="BE732" s="6" t="str">
        <x:v>0</x:v>
      </x:c>
      <x:c r="BF732" s="6" t="str">
        <x:v>0</x:v>
      </x:c>
      <x:c r="BG732" s="6" t="str">
        <x:v>0</x:v>
      </x:c>
      <x:c r="BH732" s="6" t="str">
        <x:v>0</x:v>
      </x:c>
      <x:c r="BI732" s="6" t="str">
        <x:v>0</x:v>
      </x:c>
      <x:c r="BJ732" s="6" t="str">
        <x:v>0</x:v>
      </x:c>
      <x:c r="BK732" s="6" t="str">
        <x:v>0</x:v>
      </x:c>
      <x:c r="BL732" s="6" t="str">
        <x:v>0</x:v>
      </x:c>
      <x:c r="BM732" s="6" t="str">
        <x:v>0</x:v>
      </x:c>
      <x:c r="BN732" s="6" t="str">
        <x:v>0</x:v>
      </x:c>
      <x:c r="BO732" s="6" t="str"/>
      <x:c r="BP732" s="6" t="str">
        <x:v>0</x:v>
      </x:c>
      <x:c r="BQ732" s="6" t="str"/>
      <x:c r="BR732" s="6" t="str">
        <x:v>0</x:v>
      </x:c>
      <x:c r="BS732" s="6" t="str"/>
      <x:c r="BT732" s="6" t="str">
        <x:v>0</x:v>
      </x:c>
      <x:c r="BU732" s="6" t="str"/>
      <x:c r="BV732" s="6" t="str">
        <x:v>0</x:v>
      </x:c>
      <x:c r="BW732" s="9" t="str">
        <x:v>operational_snapshot_annual_totals_may_differ</x:v>
      </x:c>
      <x:c r="BX732" s="9" t="str">
        <x:v>official_live_dashboard_snapshot_subject_to_revision</x:v>
      </x:c>
      <x:c r="BY732" s="9" t="str">
        <x:v>https://tbdashboard.sitb.id/ss_data_tbc03so_2024_provinsi_bulanan_list.php</x:v>
      </x:c>
      <x:c r="BZ732" s="6" t="n">
        <x:v>46246.610671296294</x:v>
      </x:c>
    </x:row>
    <x:row r="733" ht="18" customHeight="1">
      <x:c r="A733" s="6" t="str">
        <x:v>81</x:v>
      </x:c>
      <x:c r="B733" s="6" t="str">
        <x:v>MALUKU</x:v>
      </x:c>
      <x:c r="C733" s="6" t="str">
        <x:v>2024</x:v>
      </x:c>
      <x:c r="D733" s="6" t="str">
        <x:v>12</x:v>
      </x:c>
      <x:c r="E733" s="6" t="str">
        <x:v>2024-12</x:v>
      </x:c>
      <x:c r="F733" s="6" t="str">
        <x:v>361</x:v>
      </x:c>
      <x:c r="G733" s="6" t="str">
        <x:v>70</x:v>
      </x:c>
      <x:c r="H733" s="6" t="str">
        <x:v>236</x:v>
      </x:c>
      <x:c r="I733" s="6" t="str">
        <x:v>18</x:v>
      </x:c>
      <x:c r="J733" s="6" t="str">
        <x:v>18</x:v>
      </x:c>
      <x:c r="K733" s="6" t="str">
        <x:v>0</x:v>
      </x:c>
      <x:c r="L733" s="6" t="str">
        <x:v>2</x:v>
      </x:c>
      <x:c r="M733" s="6" t="str">
        <x:v>17</x:v>
      </x:c>
      <x:c r="N733" s="6" t="str">
        <x:v>361</x:v>
      </x:c>
      <x:c r="O733" s="6" t="str">
        <x:v>0</x:v>
      </x:c>
      <x:c r="P733" s="10" t="n">
        <x:f>F733-M733</x:f>
        <x:v>344</x:v>
      </x:c>
      <x:c r="Q733" s="11" t="n">
        <x:f>IFERROR(M733/F733,"")</x:f>
        <x:v>0.04709141274238227</x:v>
      </x:c>
      <x:c r="R733" s="10" t="n">
        <x:f>G733+H733</x:f>
        <x:v>306</x:v>
      </x:c>
      <x:c r="S733" s="11" t="n">
        <x:f>IFERROR(R733/F733,"")</x:f>
        <x:v>0.8476454293628809</x:v>
      </x:c>
      <x:c r="T733" s="11" t="n">
        <x:f>IFERROR(R733/P733,"")</x:f>
        <x:v>0.8895348837209303</x:v>
      </x:c>
      <x:c r="U733" s="10" t="n">
        <x:f>I733+J733+K733</x:f>
        <x:v>36</x:v>
      </x:c>
      <x:c r="V733" s="11" t="n">
        <x:f>IFERROR(U733/P733,"")</x:f>
        <x:v>0.10465116279069768</x:v>
      </x:c>
      <x:c r="W733" s="9" t="str">
        <x:v>mature_le_5pct_pending</x:v>
      </x:c>
      <x:c r="X733" s="12" t="n">
        <x:f>IFERROR(F733/Z733*100000,"")</x:f>
        <x:v>18.5546875</x:v>
      </x:c>
      <x:c r="Y733" s="13" t="n">
        <x:f>LN(Z733)</x:f>
        <x:v>14.481080970753984</x:v>
      </x:c>
      <x:c r="Z733" s="6" t="str">
        <x:v>1945600</x:v>
      </x:c>
      <x:c r="AA733" s="6" t="str">
        <x:v>42.0</x:v>
      </x:c>
      <x:c r="AB733" s="9" t="str">
        <x:v>2024-06-30</x:v>
      </x:c>
      <x:c r="AC733" s="8" t="str">
        <x:v>80.5</x:v>
      </x:c>
      <x:c r="AD733" s="9" t="str">
        <x:v>2024 (Susenas)</x:v>
      </x:c>
      <x:c r="AE733" s="8" t="str">
        <x:v>16.05</x:v>
      </x:c>
      <x:c r="AF733" s="9" t="str">
        <x:v>Maret 2024 (Susenas)</x:v>
      </x:c>
      <x:c r="AG733" s="6" t="str">
        <x:v>27.199515786451183</x:v>
      </x:c>
      <x:c r="AH733" s="8" t="str">
        <x:v>84.70975556537681</x:v>
      </x:c>
      <x:c r="AI733" s="6" t="str">
        <x:v>234.46852246237427</x:v>
      </x:c>
      <x:c r="AJ733" s="6" t="str">
        <x:v>0.3347674567983283</x:v>
      </x:c>
      <x:c r="AK733" s="8" t="str">
        <x:v>0.549078388872515</x:v>
      </x:c>
      <x:c r="AL733" s="6" t="str">
        <x:v>0.9267502163164392</x:v>
      </x:c>
      <x:c r="AM733" s="6" t="str">
        <x:v>1.8978117700841737</x:v>
      </x:c>
      <x:c r="AN733" s="6" t="str">
        <x:v>1.1245467917577092</x:v>
      </x:c>
      <x:c r="AO733" s="6" t="str">
        <x:v>2.859698216772742</x:v>
      </x:c>
      <x:c r="AP733" s="8" t="str">
        <x:v>0.7768955900187781</x:v>
      </x:c>
      <x:c r="AQ733" s="6" t="str">
        <x:v>0.6204272721662561</x:v>
      </x:c>
      <x:c r="AR733" s="6" t="str">
        <x:v>0.7117146457139472</x:v>
      </x:c>
      <x:c r="AS733" s="6" t="str">
        <x:v>0.7030125026329938</x:v>
      </x:c>
      <x:c r="AT733" s="6" t="str">
        <x:v>33.06420383585399</x:v>
      </x:c>
      <x:c r="AU733" s="8" t="str">
        <x:v>0.5158281340215513</x:v>
      </x:c>
      <x:c r="AV733" s="6" t="str">
        <x:v>-0.2691274650838615</x:v>
      </x:c>
      <x:c r="AW733" s="6" t="str">
        <x:v>0.8605822293044458</x:v>
      </x:c>
      <x:c r="AX733" s="6" t="str">
        <x:v>0.3690942994140451</x:v>
      </x:c>
      <x:c r="AY733" s="6" t="str">
        <x:v>0</x:v>
      </x:c>
      <x:c r="AZ733" s="6" t="str">
        <x:v>0</x:v>
      </x:c>
      <x:c r="BA733" s="9" t="str">
        <x:v>grid_cells_within_BIG_polygon</x:v>
      </x:c>
      <x:c r="BB733" s="6" t="str">
        <x:v>11</x:v>
      </x:c>
      <x:c r="BC733" s="6" t="str">
        <x:v>4</x:v>
      </x:c>
      <x:c r="BD733" s="6" t="str">
        <x:v>4</x:v>
      </x:c>
      <x:c r="BE733" s="6" t="str">
        <x:v>1</x:v>
      </x:c>
      <x:c r="BF733" s="6" t="str">
        <x:v>0</x:v>
      </x:c>
      <x:c r="BG733" s="6" t="str">
        <x:v>3</x:v>
      </x:c>
      <x:c r="BH733" s="6" t="str">
        <x:v>0</x:v>
      </x:c>
      <x:c r="BI733" s="6" t="str">
        <x:v>0</x:v>
      </x:c>
      <x:c r="BJ733" s="6" t="str">
        <x:v>0</x:v>
      </x:c>
      <x:c r="BK733" s="6" t="str">
        <x:v>0</x:v>
      </x:c>
      <x:c r="BL733" s="6" t="str">
        <x:v>0</x:v>
      </x:c>
      <x:c r="BM733" s="6" t="str">
        <x:v>0</x:v>
      </x:c>
      <x:c r="BN733" s="6" t="str">
        <x:v>4</x:v>
      </x:c>
      <x:c r="BO733" s="6" t="str">
        <x:v>0.0</x:v>
      </x:c>
      <x:c r="BP733" s="6" t="str">
        <x:v>4</x:v>
      </x:c>
      <x:c r="BQ733" s="6" t="str">
        <x:v>0.0</x:v>
      </x:c>
      <x:c r="BR733" s="6" t="str">
        <x:v>4</x:v>
      </x:c>
      <x:c r="BS733" s="6" t="str">
        <x:v>160.0</x:v>
      </x:c>
      <x:c r="BT733" s="6" t="str">
        <x:v>4</x:v>
      </x:c>
      <x:c r="BU733" s="6" t="str">
        <x:v>50.0</x:v>
      </x:c>
      <x:c r="BV733" s="6" t="str">
        <x:v>1</x:v>
      </x:c>
      <x:c r="BW733" s="9" t="str">
        <x:v>operational_snapshot_annual_totals_may_differ</x:v>
      </x:c>
      <x:c r="BX733" s="9" t="str">
        <x:v>official_live_dashboard_snapshot_subject_to_revision</x:v>
      </x:c>
      <x:c r="BY733" s="9" t="str">
        <x:v>https://tbdashboard.sitb.id/ss_data_tbc03so_2024_provinsi_bulanan_list.php</x:v>
      </x:c>
      <x:c r="BZ733" s="6" t="n">
        <x:v>46246.610671296294</x:v>
      </x:c>
    </x:row>
    <x:row r="734" ht="18" customHeight="1">
      <x:c r="A734" s="6" t="str">
        <x:v>81</x:v>
      </x:c>
      <x:c r="B734" s="6" t="str">
        <x:v>MALUKU</x:v>
      </x:c>
      <x:c r="C734" s="6" t="str">
        <x:v>2025</x:v>
      </x:c>
      <x:c r="D734" s="6" t="str">
        <x:v>1</x:v>
      </x:c>
      <x:c r="E734" s="6" t="str">
        <x:v>2025-01</x:v>
      </x:c>
      <x:c r="F734" s="6" t="str">
        <x:v>480</x:v>
      </x:c>
      <x:c r="G734" s="6" t="str">
        <x:v>82</x:v>
      </x:c>
      <x:c r="H734" s="6" t="str">
        <x:v>290</x:v>
      </x:c>
      <x:c r="I734" s="6" t="str">
        <x:v>46</x:v>
      </x:c>
      <x:c r="J734" s="6" t="str">
        <x:v>25</x:v>
      </x:c>
      <x:c r="K734" s="6" t="str">
        <x:v>1</x:v>
      </x:c>
      <x:c r="L734" s="6" t="str">
        <x:v>2</x:v>
      </x:c>
      <x:c r="M734" s="6" t="str">
        <x:v>34</x:v>
      </x:c>
      <x:c r="N734" s="6" t="str">
        <x:v>480</x:v>
      </x:c>
      <x:c r="O734" s="6" t="str">
        <x:v>0</x:v>
      </x:c>
      <x:c r="P734" s="10" t="n">
        <x:f>F734-M734</x:f>
        <x:v>446</x:v>
      </x:c>
      <x:c r="Q734" s="11" t="n">
        <x:f>IFERROR(M734/F734,"")</x:f>
        <x:v>0.07083333333333333</x:v>
      </x:c>
      <x:c r="R734" s="10" t="n">
        <x:f>G734+H734</x:f>
        <x:v>372</x:v>
      </x:c>
      <x:c r="S734" s="11" t="n">
        <x:f>IFERROR(R734/F734,"")</x:f>
        <x:v>0.775</x:v>
      </x:c>
      <x:c r="T734" s="11" t="n">
        <x:f>IFERROR(R734/P734,"")</x:f>
        <x:v>0.8340807174887892</x:v>
      </x:c>
      <x:c r="U734" s="10" t="n">
        <x:f>I734+J734+K734</x:f>
        <x:v>72</x:v>
      </x:c>
      <x:c r="V734" s="11" t="n">
        <x:f>IFERROR(U734/P734,"")</x:f>
        <x:v>0.16143497757847533</x:v>
      </x:c>
      <x:c r="W734" s="9" t="str">
        <x:v>provisional_gt_5pct_pending</x:v>
      </x:c>
      <x:c r="X734" s="12" t="n">
        <x:f>IFERROR(F734/Z734*100000,"")</x:f>
        <x:v>24.35806353394905</x:v>
      </x:c>
      <x:c r="Y734" s="13" t="n">
        <x:f>LN(Z734)</x:f>
        <x:v>14.49384862287051</x:v>
      </x:c>
      <x:c r="Z734" s="6" t="str">
        <x:v>1970600</x:v>
      </x:c>
      <x:c r="AA734" s="6" t="str">
        <x:v>43.0</x:v>
      </x:c>
      <x:c r="AB734" s="9" t="str">
        <x:v>2025-06-30</x:v>
      </x:c>
      <x:c r="AC734" s="8" t="str">
        <x:v>83.09</x:v>
      </x:c>
      <x:c r="AD734" s="9" t="str">
        <x:v>2025 (Susenas)</x:v>
      </x:c>
      <x:c r="AE734" s="8" t="str">
        <x:v>15.38</x:v>
      </x:c>
      <x:c r="AF734" s="9" t="str">
        <x:v>Maret 2025 (Susenas)</x:v>
      </x:c>
      <x:c r="AG734" s="6" t="str">
        <x:v>26.81604057979079</x:v>
      </x:c>
      <x:c r="AH734" s="8" t="str">
        <x:v>84.6043779367785</x:v>
      </x:c>
      <x:c r="AI734" s="6" t="str">
        <x:v>231.15907369300447</x:v>
      </x:c>
      <x:c r="AJ734" s="6" t="str">
        <x:v>0.390684526785094</x:v>
      </x:c>
      <x:c r="AK734" s="8" t="str">
        <x:v>0.7972340769533871</x:v>
      </x:c>
      <x:c r="AL734" s="6" t="str">
        <x:v>0.549078388872515</x:v>
      </x:c>
      <x:c r="AM734" s="6" t="str">
        <x:v>0.9267502163164392</x:v>
      </x:c>
      <x:c r="AN734" s="6" t="str">
        <x:v>0.7576875607141137</x:v>
      </x:c>
      <x:c r="AO734" s="6" t="str">
        <x:v>0.3675902422834269</x:v>
      </x:c>
      <x:c r="AP734" s="8" t="str">
        <x:v>0.1409047340985036</x:v>
      </x:c>
      <x:c r="AQ734" s="6" t="str">
        <x:v>0.7768955900187781</x:v>
      </x:c>
      <x:c r="AR734" s="6" t="str">
        <x:v>0.6204272721662561</x:v>
      </x:c>
      <x:c r="AS734" s="6" t="str">
        <x:v>0.5127425320945126</x:v>
      </x:c>
      <x:c r="AT734" s="6" t="str">
        <x:v>17.868117989908427</x:v>
      </x:c>
      <x:c r="AU734" s="8" t="str">
        <x:v>0.3074340020362005</x:v>
      </x:c>
      <x:c r="AV734" s="6" t="str">
        <x:v>0.5158281340215513</x:v>
      </x:c>
      <x:c r="AW734" s="6" t="str">
        <x:v>-0.2691274650838615</x:v>
      </x:c>
      <x:c r="AX734" s="6" t="str">
        <x:v>0.1847115569912966</x:v>
      </x:c>
      <x:c r="AY734" s="6" t="str">
        <x:v>0</x:v>
      </x:c>
      <x:c r="AZ734" s="6" t="str">
        <x:v>0</x:v>
      </x:c>
      <x:c r="BA734" s="9" t="str">
        <x:v>grid_cells_within_BIG_polygon</x:v>
      </x:c>
      <x:c r="BB734" s="6" t="str">
        <x:v>11</x:v>
      </x:c>
      <x:c r="BC734" s="6" t="str">
        <x:v>0</x:v>
      </x:c>
      <x:c r="BD734" s="6" t="str">
        <x:v>0</x:v>
      </x:c>
      <x:c r="BE734" s="6" t="str">
        <x:v>0</x:v>
      </x:c>
      <x:c r="BF734" s="6" t="str">
        <x:v>0</x:v>
      </x:c>
      <x:c r="BG734" s="6" t="str">
        <x:v>0</x:v>
      </x:c>
      <x:c r="BH734" s="6" t="str">
        <x:v>0</x:v>
      </x:c>
      <x:c r="BI734" s="6" t="str">
        <x:v>0</x:v>
      </x:c>
      <x:c r="BJ734" s="6" t="str">
        <x:v>0</x:v>
      </x:c>
      <x:c r="BK734" s="6" t="str">
        <x:v>0</x:v>
      </x:c>
      <x:c r="BL734" s="6" t="str">
        <x:v>0</x:v>
      </x:c>
      <x:c r="BM734" s="6" t="str">
        <x:v>0</x:v>
      </x:c>
      <x:c r="BN734" s="6" t="str">
        <x:v>0</x:v>
      </x:c>
      <x:c r="BO734" s="6" t="str"/>
      <x:c r="BP734" s="6" t="str">
        <x:v>0</x:v>
      </x:c>
      <x:c r="BQ734" s="6" t="str"/>
      <x:c r="BR734" s="6" t="str">
        <x:v>0</x:v>
      </x:c>
      <x:c r="BS734" s="6" t="str"/>
      <x:c r="BT734" s="6" t="str">
        <x:v>0</x:v>
      </x:c>
      <x:c r="BU734" s="6" t="str"/>
      <x:c r="BV734" s="6" t="str">
        <x:v>0</x:v>
      </x:c>
      <x:c r="BW734" s="9" t="str">
        <x:v>operational_snapshot_annual_totals_may_differ</x:v>
      </x:c>
      <x:c r="BX734" s="9" t="str">
        <x:v>official_live_dashboard_snapshot_subject_to_revision</x:v>
      </x:c>
      <x:c r="BY734" s="9" t="str">
        <x:v>https://tbdashboard.sitb.id/ss_data_tbc03so_2025_provinsi_bulanan_list.php</x:v>
      </x:c>
      <x:c r="BZ734" s="6" t="n">
        <x:v>46246.610671296294</x:v>
      </x:c>
    </x:row>
    <x:row r="735" ht="18" customHeight="1">
      <x:c r="A735" s="6" t="str">
        <x:v>81</x:v>
      </x:c>
      <x:c r="B735" s="6" t="str">
        <x:v>MALUKU</x:v>
      </x:c>
      <x:c r="C735" s="6" t="str">
        <x:v>2025</x:v>
      </x:c>
      <x:c r="D735" s="6" t="str">
        <x:v>2</x:v>
      </x:c>
      <x:c r="E735" s="6" t="str">
        <x:v>2025-02</x:v>
      </x:c>
      <x:c r="F735" s="6" t="str">
        <x:v>490</x:v>
      </x:c>
      <x:c r="G735" s="6" t="str">
        <x:v>106</x:v>
      </x:c>
      <x:c r="H735" s="6" t="str">
        <x:v>300</x:v>
      </x:c>
      <x:c r="I735" s="6" t="str">
        <x:v>32</x:v>
      </x:c>
      <x:c r="J735" s="6" t="str">
        <x:v>27</x:v>
      </x:c>
      <x:c r="K735" s="6" t="str">
        <x:v>0</x:v>
      </x:c>
      <x:c r="L735" s="6" t="str">
        <x:v>2</x:v>
      </x:c>
      <x:c r="M735" s="6" t="str">
        <x:v>23</x:v>
      </x:c>
      <x:c r="N735" s="6" t="str">
        <x:v>490</x:v>
      </x:c>
      <x:c r="O735" s="6" t="str">
        <x:v>0</x:v>
      </x:c>
      <x:c r="P735" s="10" t="n">
        <x:f>F735-M735</x:f>
        <x:v>467</x:v>
      </x:c>
      <x:c r="Q735" s="11" t="n">
        <x:f>IFERROR(M735/F735,"")</x:f>
        <x:v>0.04693877551020408</x:v>
      </x:c>
      <x:c r="R735" s="10" t="n">
        <x:f>G735+H735</x:f>
        <x:v>406</x:v>
      </x:c>
      <x:c r="S735" s="11" t="n">
        <x:f>IFERROR(R735/F735,"")</x:f>
        <x:v>0.8285714285714286</x:v>
      </x:c>
      <x:c r="T735" s="11" t="n">
        <x:f>IFERROR(R735/P735,"")</x:f>
        <x:v>0.8693790149892934</x:v>
      </x:c>
      <x:c r="U735" s="10" t="n">
        <x:f>I735+J735+K735</x:f>
        <x:v>59</x:v>
      </x:c>
      <x:c r="V735" s="11" t="n">
        <x:f>IFERROR(U735/P735,"")</x:f>
        <x:v>0.12633832976445397</x:v>
      </x:c>
      <x:c r="W735" s="9" t="str">
        <x:v>mature_le_5pct_pending</x:v>
      </x:c>
      <x:c r="X735" s="12" t="n">
        <x:f>IFERROR(F735/Z735*100000,"")</x:f>
        <x:v>24.86552319090632</x:v>
      </x:c>
      <x:c r="Y735" s="13" t="n">
        <x:f>LN(Z735)</x:f>
        <x:v>14.49384862287051</x:v>
      </x:c>
      <x:c r="Z735" s="6" t="str">
        <x:v>1970600</x:v>
      </x:c>
      <x:c r="AA735" s="6" t="str">
        <x:v>43.0</x:v>
      </x:c>
      <x:c r="AB735" s="9" t="str">
        <x:v>2025-06-30</x:v>
      </x:c>
      <x:c r="AC735" s="8" t="str">
        <x:v>83.09</x:v>
      </x:c>
      <x:c r="AD735" s="9" t="str">
        <x:v>2025 (Susenas)</x:v>
      </x:c>
      <x:c r="AE735" s="8" t="str">
        <x:v>15.38</x:v>
      </x:c>
      <x:c r="AF735" s="9" t="str">
        <x:v>Maret 2025 (Susenas)</x:v>
      </x:c>
      <x:c r="AG735" s="6" t="str">
        <x:v>26.440688973634774</x:v>
      </x:c>
      <x:c r="AH735" s="8" t="str">
        <x:v>85.61562553974376</x:v>
      </x:c>
      <x:c r="AI735" s="6" t="str">
        <x:v>237.73073907108625</x:v>
      </x:c>
      <x:c r="AJ735" s="6" t="str">
        <x:v>0.1852264587727141</x:v>
      </x:c>
      <x:c r="AK735" s="8" t="str">
        <x:v>0.4981532234827824</x:v>
      </x:c>
      <x:c r="AL735" s="6" t="str">
        <x:v>0.7972340769533871</x:v>
      </x:c>
      <x:c r="AM735" s="6" t="str">
        <x:v>0.549078388872515</x:v>
      </x:c>
      <x:c r="AN735" s="6" t="str">
        <x:v>0.6148218964362281</x:v>
      </x:c>
      <x:c r="AO735" s="6" t="str">
        <x:v>0.453650709627027</x:v>
      </x:c>
      <x:c r="AP735" s="8" t="str">
        <x:v>0.2873409689703392</x:v>
      </x:c>
      <x:c r="AQ735" s="6" t="str">
        <x:v>0.1409047340985036</x:v>
      </x:c>
      <x:c r="AR735" s="6" t="str">
        <x:v>0.7768955900187781</x:v>
      </x:c>
      <x:c r="AS735" s="6" t="str">
        <x:v>0.4017137643625402</x:v>
      </x:c>
      <x:c r="AT735" s="6" t="str">
        <x:v>45.4535451060413</x:v>
      </x:c>
      <x:c r="AU735" s="8" t="str">
        <x:v>1.119309911767842</x:v>
      </x:c>
      <x:c r="AV735" s="6" t="str">
        <x:v>0.3074340020362005</x:v>
      </x:c>
      <x:c r="AW735" s="6" t="str">
        <x:v>0.5158281340215513</x:v>
      </x:c>
      <x:c r="AX735" s="6" t="str">
        <x:v>0.6475240159418645</x:v>
      </x:c>
      <x:c r="AY735" s="6" t="str">
        <x:v>1</x:v>
      </x:c>
      <x:c r="AZ735" s="6" t="str">
        <x:v>0</x:v>
      </x:c>
      <x:c r="BA735" s="9" t="str">
        <x:v>grid_cells_within_BIG_polygon</x:v>
      </x:c>
      <x:c r="BB735" s="6" t="str">
        <x:v>11</x:v>
      </x:c>
      <x:c r="BC735" s="6" t="str">
        <x:v>4</x:v>
      </x:c>
      <x:c r="BD735" s="6" t="str">
        <x:v>4</x:v>
      </x:c>
      <x:c r="BE735" s="6" t="str">
        <x:v>1</x:v>
      </x:c>
      <x:c r="BF735" s="6" t="str">
        <x:v>0</x:v>
      </x:c>
      <x:c r="BG735" s="6" t="str">
        <x:v>3</x:v>
      </x:c>
      <x:c r="BH735" s="6" t="str">
        <x:v>0</x:v>
      </x:c>
      <x:c r="BI735" s="6" t="str">
        <x:v>0</x:v>
      </x:c>
      <x:c r="BJ735" s="6" t="str">
        <x:v>0</x:v>
      </x:c>
      <x:c r="BK735" s="6" t="str">
        <x:v>0</x:v>
      </x:c>
      <x:c r="BL735" s="6" t="str">
        <x:v>0</x:v>
      </x:c>
      <x:c r="BM735" s="6" t="str">
        <x:v>0</x:v>
      </x:c>
      <x:c r="BN735" s="6" t="str">
        <x:v>4</x:v>
      </x:c>
      <x:c r="BO735" s="6" t="str">
        <x:v>0.0</x:v>
      </x:c>
      <x:c r="BP735" s="6" t="str">
        <x:v>4</x:v>
      </x:c>
      <x:c r="BQ735" s="6" t="str">
        <x:v>2.0</x:v>
      </x:c>
      <x:c r="BR735" s="6" t="str">
        <x:v>4</x:v>
      </x:c>
      <x:c r="BS735" s="6" t="str">
        <x:v>48.0</x:v>
      </x:c>
      <x:c r="BT735" s="6" t="str">
        <x:v>4</x:v>
      </x:c>
      <x:c r="BU735" s="6" t="str">
        <x:v>78.0</x:v>
      </x:c>
      <x:c r="BV735" s="6" t="str">
        <x:v>1</x:v>
      </x:c>
      <x:c r="BW735" s="9" t="str">
        <x:v>operational_snapshot_annual_totals_may_differ</x:v>
      </x:c>
      <x:c r="BX735" s="9" t="str">
        <x:v>official_live_dashboard_snapshot_subject_to_revision</x:v>
      </x:c>
      <x:c r="BY735" s="9" t="str">
        <x:v>https://tbdashboard.sitb.id/ss_data_tbc03so_2025_provinsi_bulanan_list.php</x:v>
      </x:c>
      <x:c r="BZ735" s="6" t="n">
        <x:v>46246.610671296294</x:v>
      </x:c>
    </x:row>
    <x:row r="736" ht="18" customHeight="1">
      <x:c r="A736" s="6" t="str">
        <x:v>81</x:v>
      </x:c>
      <x:c r="B736" s="6" t="str">
        <x:v>MALUKU</x:v>
      </x:c>
      <x:c r="C736" s="6" t="str">
        <x:v>2025</x:v>
      </x:c>
      <x:c r="D736" s="6" t="str">
        <x:v>3</x:v>
      </x:c>
      <x:c r="E736" s="6" t="str">
        <x:v>2025-03</x:v>
      </x:c>
      <x:c r="F736" s="6" t="str">
        <x:v>446</x:v>
      </x:c>
      <x:c r="G736" s="6" t="str">
        <x:v>76</x:v>
      </x:c>
      <x:c r="H736" s="6" t="str">
        <x:v>268</x:v>
      </x:c>
      <x:c r="I736" s="6" t="str">
        <x:v>32</x:v>
      </x:c>
      <x:c r="J736" s="6" t="str">
        <x:v>18</x:v>
      </x:c>
      <x:c r="K736" s="6" t="str">
        <x:v>1</x:v>
      </x:c>
      <x:c r="L736" s="6" t="str">
        <x:v>1</x:v>
      </x:c>
      <x:c r="M736" s="6" t="str">
        <x:v>50</x:v>
      </x:c>
      <x:c r="N736" s="6" t="str">
        <x:v>446</x:v>
      </x:c>
      <x:c r="O736" s="6" t="str">
        <x:v>0</x:v>
      </x:c>
      <x:c r="P736" s="10" t="n">
        <x:f>F736-M736</x:f>
        <x:v>396</x:v>
      </x:c>
      <x:c r="Q736" s="11" t="n">
        <x:f>IFERROR(M736/F736,"")</x:f>
        <x:v>0.11210762331838565</x:v>
      </x:c>
      <x:c r="R736" s="10" t="n">
        <x:f>G736+H736</x:f>
        <x:v>344</x:v>
      </x:c>
      <x:c r="S736" s="11" t="n">
        <x:f>IFERROR(R736/F736,"")</x:f>
        <x:v>0.7713004484304933</x:v>
      </x:c>
      <x:c r="T736" s="11" t="n">
        <x:f>IFERROR(R736/P736,"")</x:f>
        <x:v>0.8686868686868687</x:v>
      </x:c>
      <x:c r="U736" s="10" t="n">
        <x:f>I736+J736+K736</x:f>
        <x:v>51</x:v>
      </x:c>
      <x:c r="V736" s="11" t="n">
        <x:f>IFERROR(U736/P736,"")</x:f>
        <x:v>0.12878787878787878</x:v>
      </x:c>
      <x:c r="W736" s="9" t="str">
        <x:v>provisional_gt_5pct_pending</x:v>
      </x:c>
      <x:c r="X736" s="12" t="n">
        <x:f>IFERROR(F736/Z736*100000,"")</x:f>
        <x:v>22.63270070029433</x:v>
      </x:c>
      <x:c r="Y736" s="13" t="n">
        <x:f>LN(Z736)</x:f>
        <x:v>14.49384862287051</x:v>
      </x:c>
      <x:c r="Z736" s="6" t="str">
        <x:v>1970600</x:v>
      </x:c>
      <x:c r="AA736" s="6" t="str">
        <x:v>43.0</x:v>
      </x:c>
      <x:c r="AB736" s="9" t="str">
        <x:v>2025-06-30</x:v>
      </x:c>
      <x:c r="AC736" s="8" t="str">
        <x:v>83.09</x:v>
      </x:c>
      <x:c r="AD736" s="9" t="str">
        <x:v>2025 (Susenas)</x:v>
      </x:c>
      <x:c r="AE736" s="8" t="str">
        <x:v>15.38</x:v>
      </x:c>
      <x:c r="AF736" s="9" t="str">
        <x:v>Maret 2025 (Susenas)</x:v>
      </x:c>
      <x:c r="AG736" s="6" t="str">
        <x:v>26.858909035602828</x:v>
      </x:c>
      <x:c r="AH736" s="8" t="str">
        <x:v>84.2790698394286</x:v>
      </x:c>
      <x:c r="AI736" s="6" t="str">
        <x:v>217.6849134478728</x:v>
      </x:c>
      <x:c r="AJ736" s="6" t="str">
        <x:v>0.5444300447724437</x:v>
      </x:c>
      <x:c r="AK736" s="8" t="str">
        <x:v>1.5791346925124534</x:v>
      </x:c>
      <x:c r="AL736" s="6" t="str">
        <x:v>0.4981532234827824</x:v>
      </x:c>
      <x:c r="AM736" s="6" t="str">
        <x:v>0.7972340769533871</x:v>
      </x:c>
      <x:c r="AN736" s="6" t="str">
        <x:v>0.958173997649541</x:v>
      </x:c>
      <x:c r="AO736" s="6" t="str">
        <x:v>-0.3793288699349375</x:v>
      </x:c>
      <x:c r="AP736" s="8" t="str">
        <x:v>-0.3137488739861456</x:v>
      </x:c>
      <x:c r="AQ736" s="6" t="str">
        <x:v>0.2873409689703392</x:v>
      </x:c>
      <x:c r="AR736" s="6" t="str">
        <x:v>0.1409047340985036</x:v>
      </x:c>
      <x:c r="AS736" s="6" t="str">
        <x:v>0.0381656096942323</x:v>
      </x:c>
      <x:c r="AT736" s="6" t="str">
        <x:v>10.084386093403907</x:v>
      </x:c>
      <x:c r="AU736" s="8" t="str">
        <x:v>0.2105853885111632</x:v>
      </x:c>
      <x:c r="AV736" s="6" t="str">
        <x:v>1.119309911767842</x:v>
      </x:c>
      <x:c r="AW736" s="6" t="str">
        <x:v>0.3074340020362005</x:v>
      </x:c>
      <x:c r="AX736" s="6" t="str">
        <x:v>0.5457764341050685</x:v>
      </x:c>
      <x:c r="AY736" s="6" t="str">
        <x:v>0</x:v>
      </x:c>
      <x:c r="AZ736" s="6" t="str">
        <x:v>1</x:v>
      </x:c>
      <x:c r="BA736" s="9" t="str">
        <x:v>grid_cells_within_BIG_polygon</x:v>
      </x:c>
      <x:c r="BB736" s="6" t="str">
        <x:v>11</x:v>
      </x:c>
      <x:c r="BC736" s="6" t="str">
        <x:v>3</x:v>
      </x:c>
      <x:c r="BD736" s="6" t="str">
        <x:v>3</x:v>
      </x:c>
      <x:c r="BE736" s="6" t="str">
        <x:v>2</x:v>
      </x:c>
      <x:c r="BF736" s="6" t="str">
        <x:v>1</x:v>
      </x:c>
      <x:c r="BG736" s="6" t="str">
        <x:v>0</x:v>
      </x:c>
      <x:c r="BH736" s="6" t="str">
        <x:v>0</x:v>
      </x:c>
      <x:c r="BI736" s="6" t="str">
        <x:v>0</x:v>
      </x:c>
      <x:c r="BJ736" s="6" t="str">
        <x:v>0</x:v>
      </x:c>
      <x:c r="BK736" s="6" t="str">
        <x:v>0</x:v>
      </x:c>
      <x:c r="BL736" s="6" t="str">
        <x:v>0</x:v>
      </x:c>
      <x:c r="BM736" s="6" t="str">
        <x:v>0</x:v>
      </x:c>
      <x:c r="BN736" s="6" t="str">
        <x:v>3</x:v>
      </x:c>
      <x:c r="BO736" s="6" t="str">
        <x:v>7.0</x:v>
      </x:c>
      <x:c r="BP736" s="6" t="str">
        <x:v>3</x:v>
      </x:c>
      <x:c r="BQ736" s="6" t="str">
        <x:v>6.0</x:v>
      </x:c>
      <x:c r="BR736" s="6" t="str">
        <x:v>3</x:v>
      </x:c>
      <x:c r="BS736" s="6" t="str">
        <x:v>0.0</x:v>
      </x:c>
      <x:c r="BT736" s="6" t="str">
        <x:v>3</x:v>
      </x:c>
      <x:c r="BU736" s="6" t="str">
        <x:v>298.0</x:v>
      </x:c>
      <x:c r="BV736" s="6" t="str">
        <x:v>2</x:v>
      </x:c>
      <x:c r="BW736" s="9" t="str">
        <x:v>operational_snapshot_annual_totals_may_differ</x:v>
      </x:c>
      <x:c r="BX736" s="9" t="str">
        <x:v>official_live_dashboard_snapshot_subject_to_revision</x:v>
      </x:c>
      <x:c r="BY736" s="9" t="str">
        <x:v>https://tbdashboard.sitb.id/ss_data_tbc03so_2025_provinsi_bulanan_list.php</x:v>
      </x:c>
      <x:c r="BZ736" s="6" t="n">
        <x:v>46246.610671296294</x:v>
      </x:c>
    </x:row>
    <x:row r="737" ht="18" customHeight="1">
      <x:c r="A737" s="6" t="str">
        <x:v>81</x:v>
      </x:c>
      <x:c r="B737" s="6" t="str">
        <x:v>MALUKU</x:v>
      </x:c>
      <x:c r="C737" s="6" t="str">
        <x:v>2025</x:v>
      </x:c>
      <x:c r="D737" s="6" t="str">
        <x:v>4</x:v>
      </x:c>
      <x:c r="E737" s="6" t="str">
        <x:v>2025-04</x:v>
      </x:c>
      <x:c r="F737" s="6" t="str">
        <x:v>428</x:v>
      </x:c>
      <x:c r="G737" s="6" t="str">
        <x:v>73</x:v>
      </x:c>
      <x:c r="H737" s="6" t="str">
        <x:v>267</x:v>
      </x:c>
      <x:c r="I737" s="6" t="str">
        <x:v>32</x:v>
      </x:c>
      <x:c r="J737" s="6" t="str">
        <x:v>23</x:v>
      </x:c>
      <x:c r="K737" s="6" t="str">
        <x:v>0</x:v>
      </x:c>
      <x:c r="L737" s="6" t="str">
        <x:v>0</x:v>
      </x:c>
      <x:c r="M737" s="6" t="str">
        <x:v>33</x:v>
      </x:c>
      <x:c r="N737" s="6" t="str">
        <x:v>428</x:v>
      </x:c>
      <x:c r="O737" s="6" t="str">
        <x:v>0</x:v>
      </x:c>
      <x:c r="P737" s="10" t="n">
        <x:f>F737-M737</x:f>
        <x:v>395</x:v>
      </x:c>
      <x:c r="Q737" s="11" t="n">
        <x:f>IFERROR(M737/F737,"")</x:f>
        <x:v>0.07710280373831775</x:v>
      </x:c>
      <x:c r="R737" s="10" t="n">
        <x:f>G737+H737</x:f>
        <x:v>340</x:v>
      </x:c>
      <x:c r="S737" s="11" t="n">
        <x:f>IFERROR(R737/F737,"")</x:f>
        <x:v>0.794392523364486</x:v>
      </x:c>
      <x:c r="T737" s="11" t="n">
        <x:f>IFERROR(R737/P737,"")</x:f>
        <x:v>0.8607594936708861</x:v>
      </x:c>
      <x:c r="U737" s="10" t="n">
        <x:f>I737+J737+K737</x:f>
        <x:v>55</x:v>
      </x:c>
      <x:c r="V737" s="11" t="n">
        <x:f>IFERROR(U737/P737,"")</x:f>
        <x:v>0.13924050632911392</x:v>
      </x:c>
      <x:c r="W737" s="9" t="str">
        <x:v>provisional_gt_5pct_pending</x:v>
      </x:c>
      <x:c r="X737" s="12" t="n">
        <x:f>IFERROR(F737/Z737*100000,"")</x:f>
        <x:v>21.719273317771236</x:v>
      </x:c>
      <x:c r="Y737" s="13" t="n">
        <x:f>LN(Z737)</x:f>
        <x:v>14.49384862287051</x:v>
      </x:c>
      <x:c r="Z737" s="6" t="str">
        <x:v>1970600</x:v>
      </x:c>
      <x:c r="AA737" s="6" t="str">
        <x:v>43.0</x:v>
      </x:c>
      <x:c r="AB737" s="9" t="str">
        <x:v>2025-06-30</x:v>
      </x:c>
      <x:c r="AC737" s="8" t="str">
        <x:v>83.09</x:v>
      </x:c>
      <x:c r="AD737" s="9" t="str">
        <x:v>2025 (Susenas)</x:v>
      </x:c>
      <x:c r="AE737" s="8" t="str">
        <x:v>15.38</x:v>
      </x:c>
      <x:c r="AF737" s="9" t="str">
        <x:v>Maret 2025 (Susenas)</x:v>
      </x:c>
      <x:c r="AG737" s="6" t="str">
        <x:v>26.576145737353617</x:v>
      </x:c>
      <x:c r="AH737" s="8" t="str">
        <x:v>84.46010747524295</x:v>
      </x:c>
      <x:c r="AI737" s="6" t="str">
        <x:v>301.4683123820061</x:v>
      </x:c>
      <x:c r="AJ737" s="6" t="str">
        <x:v>0.1650428043473724</x:v>
      </x:c>
      <x:c r="AK737" s="8" t="str">
        <x:v>0.4905291055197175</x:v>
      </x:c>
      <x:c r="AL737" s="6" t="str">
        <x:v>1.5791346925124534</x:v>
      </x:c>
      <x:c r="AM737" s="6" t="str">
        <x:v>0.4981532234827824</x:v>
      </x:c>
      <x:c r="AN737" s="6" t="str">
        <x:v>0.8559390071716511</x:v>
      </x:c>
      <x:c r="AO737" s="6" t="str">
        <x:v>-0.1612497707245808</x:v>
      </x:c>
      <x:c r="AP737" s="8" t="str">
        <x:v>-0.1232316694546234</x:v>
      </x:c>
      <x:c r="AQ737" s="6" t="str">
        <x:v>-0.3137488739861456</x:v>
      </x:c>
      <x:c r="AR737" s="6" t="str">
        <x:v>0.2873409689703392</x:v>
      </x:c>
      <x:c r="AS737" s="6" t="str">
        <x:v>-0.04987985815681</x:v>
      </x:c>
      <x:c r="AT737" s="6" t="str">
        <x:v>80.98470426430345</x:v>
      </x:c>
      <x:c r="AU737" s="8" t="str">
        <x:v>1.9974627189881409</x:v>
      </x:c>
      <x:c r="AV737" s="6" t="str">
        <x:v>0.2105853885111632</x:v>
      </x:c>
      <x:c r="AW737" s="6" t="str">
        <x:v>1.119309911767842</x:v>
      </x:c>
      <x:c r="AX737" s="6" t="str">
        <x:v>1.109119339755715</x:v>
      </x:c>
      <x:c r="AY737" s="6" t="str">
        <x:v>1</x:v>
      </x:c>
      <x:c r="AZ737" s="6" t="str">
        <x:v>0</x:v>
      </x:c>
      <x:c r="BA737" s="9" t="str">
        <x:v>grid_cells_within_BIG_polygon</x:v>
      </x:c>
      <x:c r="BB737" s="6" t="str">
        <x:v>11</x:v>
      </x:c>
      <x:c r="BC737" s="6" t="str">
        <x:v>2</x:v>
      </x:c>
      <x:c r="BD737" s="6" t="str">
        <x:v>2</x:v>
      </x:c>
      <x:c r="BE737" s="6" t="str">
        <x:v>1</x:v>
      </x:c>
      <x:c r="BF737" s="6" t="str">
        <x:v>0</x:v>
      </x:c>
      <x:c r="BG737" s="6" t="str">
        <x:v>0</x:v>
      </x:c>
      <x:c r="BH737" s="6" t="str">
        <x:v>0</x:v>
      </x:c>
      <x:c r="BI737" s="6" t="str">
        <x:v>0</x:v>
      </x:c>
      <x:c r="BJ737" s="6" t="str">
        <x:v>1</x:v>
      </x:c>
      <x:c r="BK737" s="6" t="str">
        <x:v>0</x:v>
      </x:c>
      <x:c r="BL737" s="6" t="str">
        <x:v>0</x:v>
      </x:c>
      <x:c r="BM737" s="6" t="str">
        <x:v>0</x:v>
      </x:c>
      <x:c r="BN737" s="6" t="str">
        <x:v>2</x:v>
      </x:c>
      <x:c r="BO737" s="6" t="str">
        <x:v>0.0</x:v>
      </x:c>
      <x:c r="BP737" s="6" t="str">
        <x:v>2</x:v>
      </x:c>
      <x:c r="BQ737" s="6" t="str">
        <x:v>0.0</x:v>
      </x:c>
      <x:c r="BR737" s="6" t="str">
        <x:v>2</x:v>
      </x:c>
      <x:c r="BS737" s="6" t="str">
        <x:v>237.0</x:v>
      </x:c>
      <x:c r="BT737" s="6" t="str">
        <x:v>2</x:v>
      </x:c>
      <x:c r="BU737" s="6" t="str"/>
      <x:c r="BV737" s="6" t="str">
        <x:v>0</x:v>
      </x:c>
      <x:c r="BW737" s="9" t="str">
        <x:v>operational_snapshot_annual_totals_may_differ</x:v>
      </x:c>
      <x:c r="BX737" s="9" t="str">
        <x:v>official_live_dashboard_snapshot_subject_to_revision</x:v>
      </x:c>
      <x:c r="BY737" s="9" t="str">
        <x:v>https://tbdashboard.sitb.id/ss_data_tbc03so_2025_provinsi_bulanan_list.php</x:v>
      </x:c>
      <x:c r="BZ737" s="6" t="n">
        <x:v>46246.610671296294</x:v>
      </x:c>
    </x:row>
    <x:row r="738" ht="18" customHeight="1">
      <x:c r="A738" s="6" t="str">
        <x:v>81</x:v>
      </x:c>
      <x:c r="B738" s="6" t="str">
        <x:v>MALUKU</x:v>
      </x:c>
      <x:c r="C738" s="6" t="str">
        <x:v>2025</x:v>
      </x:c>
      <x:c r="D738" s="6" t="str">
        <x:v>5</x:v>
      </x:c>
      <x:c r="E738" s="6" t="str">
        <x:v>2025-05</x:v>
      </x:c>
      <x:c r="F738" s="6" t="str">
        <x:v>443</x:v>
      </x:c>
      <x:c r="G738" s="6" t="str">
        <x:v>63</x:v>
      </x:c>
      <x:c r="H738" s="6" t="str">
        <x:v>267</x:v>
      </x:c>
      <x:c r="I738" s="6" t="str">
        <x:v>31</x:v>
      </x:c>
      <x:c r="J738" s="6" t="str">
        <x:v>20</x:v>
      </x:c>
      <x:c r="K738" s="6" t="str">
        <x:v>0</x:v>
      </x:c>
      <x:c r="L738" s="6" t="str">
        <x:v>0</x:v>
      </x:c>
      <x:c r="M738" s="6" t="str">
        <x:v>62</x:v>
      </x:c>
      <x:c r="N738" s="6" t="str">
        <x:v>443</x:v>
      </x:c>
      <x:c r="O738" s="6" t="str">
        <x:v>0</x:v>
      </x:c>
      <x:c r="P738" s="10" t="n">
        <x:f>F738-M738</x:f>
        <x:v>381</x:v>
      </x:c>
      <x:c r="Q738" s="11" t="n">
        <x:f>IFERROR(M738/F738,"")</x:f>
        <x:v>0.1399548532731377</x:v>
      </x:c>
      <x:c r="R738" s="10" t="n">
        <x:f>G738+H738</x:f>
        <x:v>330</x:v>
      </x:c>
      <x:c r="S738" s="11" t="n">
        <x:f>IFERROR(R738/F738,"")</x:f>
        <x:v>0.744920993227991</x:v>
      </x:c>
      <x:c r="T738" s="11" t="n">
        <x:f>IFERROR(R738/P738,"")</x:f>
        <x:v>0.8661417322834646</x:v>
      </x:c>
      <x:c r="U738" s="10" t="n">
        <x:f>I738+J738+K738</x:f>
        <x:v>51</x:v>
      </x:c>
      <x:c r="V738" s="11" t="n">
        <x:f>IFERROR(U738/P738,"")</x:f>
        <x:v>0.13385826771653545</x:v>
      </x:c>
      <x:c r="W738" s="9" t="str">
        <x:v>provisional_gt_5pct_pending</x:v>
      </x:c>
      <x:c r="X738" s="12" t="n">
        <x:f>IFERROR(F738/Z738*100000,"")</x:f>
        <x:v>22.480462803207143</x:v>
      </x:c>
      <x:c r="Y738" s="13" t="n">
        <x:f>LN(Z738)</x:f>
        <x:v>14.49384862287051</x:v>
      </x:c>
      <x:c r="Z738" s="6" t="str">
        <x:v>1970600</x:v>
      </x:c>
      <x:c r="AA738" s="6" t="str">
        <x:v>43.0</x:v>
      </x:c>
      <x:c r="AB738" s="9" t="str">
        <x:v>2025-06-30</x:v>
      </x:c>
      <x:c r="AC738" s="8" t="str">
        <x:v>83.09</x:v>
      </x:c>
      <x:c r="AD738" s="9" t="str">
        <x:v>2025 (Susenas)</x:v>
      </x:c>
      <x:c r="AE738" s="8" t="str">
        <x:v>15.38</x:v>
      </x:c>
      <x:c r="AF738" s="9" t="str">
        <x:v>Maret 2025 (Susenas)</x:v>
      </x:c>
      <x:c r="AG738" s="6" t="str">
        <x:v>26.662972740578684</x:v>
      </x:c>
      <x:c r="AH738" s="8" t="str">
        <x:v>86.44197674478336</x:v>
      </x:c>
      <x:c r="AI738" s="6" t="str">
        <x:v>390.8633314732919</x:v>
      </x:c>
      <x:c r="AJ738" s="6" t="str">
        <x:v>0.4566844811010107</x:v>
      </x:c>
      <x:c r="AK738" s="8" t="str">
        <x:v>1.1311853398080816</x:v>
      </x:c>
      <x:c r="AL738" s="6" t="str">
        <x:v>0.4905291055197175</x:v>
      </x:c>
      <x:c r="AM738" s="6" t="str">
        <x:v>1.5791346925124534</x:v>
      </x:c>
      <x:c r="AN738" s="6" t="str">
        <x:v>1.0669497126134175</x:v>
      </x:c>
      <x:c r="AO738" s="6" t="str">
        <x:v>1.195080160570939</x:v>
      </x:c>
      <x:c r="AP738" s="8" t="str">
        <x:v>0.6996882431730704</x:v>
      </x:c>
      <x:c r="AQ738" s="6" t="str">
        <x:v>-0.1232316694546234</x:v>
      </x:c>
      <x:c r="AR738" s="6" t="str">
        <x:v>-0.3137488739861456</x:v>
      </x:c>
      <x:c r="AS738" s="6" t="str">
        <x:v>0.0875692332441003</x:v>
      </x:c>
      <x:c r="AT738" s="6" t="str">
        <x:v>162.5306852129789</x:v>
      </x:c>
      <x:c r="AU738" s="8" t="str">
        <x:v>1.5446100792236097</x:v>
      </x:c>
      <x:c r="AV738" s="6" t="str">
        <x:v>1.9974627189881409</x:v>
      </x:c>
      <x:c r="AW738" s="6" t="str">
        <x:v>0.2105853885111632</x:v>
      </x:c>
      <x:c r="AX738" s="6" t="str">
        <x:v>1.250886062240971</x:v>
      </x:c>
      <x:c r="AY738" s="6" t="str">
        <x:v>1</x:v>
      </x:c>
      <x:c r="AZ738" s="6" t="str">
        <x:v>1</x:v>
      </x:c>
      <x:c r="BA738" s="9" t="str">
        <x:v>grid_cells_within_BIG_polygon</x:v>
      </x:c>
      <x:c r="BB738" s="6" t="str">
        <x:v>11</x:v>
      </x:c>
      <x:c r="BC738" s="6" t="str">
        <x:v>1</x:v>
      </x:c>
      <x:c r="BD738" s="6" t="str">
        <x:v>1</x:v>
      </x:c>
      <x:c r="BE738" s="6" t="str">
        <x:v>1</x:v>
      </x:c>
      <x:c r="BF738" s="6" t="str">
        <x:v>0</x:v>
      </x:c>
      <x:c r="BG738" s="6" t="str">
        <x:v>0</x:v>
      </x:c>
      <x:c r="BH738" s="6" t="str">
        <x:v>0</x:v>
      </x:c>
      <x:c r="BI738" s="6" t="str">
        <x:v>0</x:v>
      </x:c>
      <x:c r="BJ738" s="6" t="str">
        <x:v>0</x:v>
      </x:c>
      <x:c r="BK738" s="6" t="str">
        <x:v>0</x:v>
      </x:c>
      <x:c r="BL738" s="6" t="str">
        <x:v>0</x:v>
      </x:c>
      <x:c r="BM738" s="6" t="str">
        <x:v>0</x:v>
      </x:c>
      <x:c r="BN738" s="6" t="str">
        <x:v>1</x:v>
      </x:c>
      <x:c r="BO738" s="6" t="str">
        <x:v>0.0</x:v>
      </x:c>
      <x:c r="BP738" s="6" t="str">
        <x:v>1</x:v>
      </x:c>
      <x:c r="BQ738" s="6" t="str">
        <x:v>0.0</x:v>
      </x:c>
      <x:c r="BR738" s="6" t="str">
        <x:v>1</x:v>
      </x:c>
      <x:c r="BS738" s="6" t="str">
        <x:v>0.0</x:v>
      </x:c>
      <x:c r="BT738" s="6" t="str">
        <x:v>1</x:v>
      </x:c>
      <x:c r="BU738" s="6" t="str">
        <x:v>112.0</x:v>
      </x:c>
      <x:c r="BV738" s="6" t="str">
        <x:v>1</x:v>
      </x:c>
      <x:c r="BW738" s="9" t="str">
        <x:v>operational_snapshot_annual_totals_may_differ</x:v>
      </x:c>
      <x:c r="BX738" s="9" t="str">
        <x:v>official_live_dashboard_snapshot_subject_to_revision</x:v>
      </x:c>
      <x:c r="BY738" s="9" t="str">
        <x:v>https://tbdashboard.sitb.id/ss_data_tbc03so_2025_provinsi_bulanan_list.php</x:v>
      </x:c>
      <x:c r="BZ738" s="6" t="n">
        <x:v>46246.610671296294</x:v>
      </x:c>
    </x:row>
    <x:row r="739" ht="18" customHeight="1">
      <x:c r="A739" s="6" t="str">
        <x:v>81</x:v>
      </x:c>
      <x:c r="B739" s="6" t="str">
        <x:v>MALUKU</x:v>
      </x:c>
      <x:c r="C739" s="6" t="str">
        <x:v>2025</x:v>
      </x:c>
      <x:c r="D739" s="6" t="str">
        <x:v>6</x:v>
      </x:c>
      <x:c r="E739" s="6" t="str">
        <x:v>2025-06</x:v>
      </x:c>
      <x:c r="F739" s="6" t="str">
        <x:v>427</x:v>
      </x:c>
      <x:c r="G739" s="6" t="str">
        <x:v>87</x:v>
      </x:c>
      <x:c r="H739" s="6" t="str">
        <x:v>234</x:v>
      </x:c>
      <x:c r="I739" s="6" t="str">
        <x:v>29</x:v>
      </x:c>
      <x:c r="J739" s="6" t="str">
        <x:v>20</x:v>
      </x:c>
      <x:c r="K739" s="6" t="str">
        <x:v>0</x:v>
      </x:c>
      <x:c r="L739" s="6" t="str">
        <x:v>0</x:v>
      </x:c>
      <x:c r="M739" s="6" t="str">
        <x:v>57</x:v>
      </x:c>
      <x:c r="N739" s="6" t="str">
        <x:v>427</x:v>
      </x:c>
      <x:c r="O739" s="6" t="str">
        <x:v>0</x:v>
      </x:c>
      <x:c r="P739" s="10" t="n">
        <x:f>F739-M739</x:f>
        <x:v>370</x:v>
      </x:c>
      <x:c r="Q739" s="11" t="n">
        <x:f>IFERROR(M739/F739,"")</x:f>
        <x:v>0.13348946135831383</x:v>
      </x:c>
      <x:c r="R739" s="10" t="n">
        <x:f>G739+H739</x:f>
        <x:v>321</x:v>
      </x:c>
      <x:c r="S739" s="11" t="n">
        <x:f>IFERROR(R739/F739,"")</x:f>
        <x:v>0.7517564402810304</x:v>
      </x:c>
      <x:c r="T739" s="11" t="n">
        <x:f>IFERROR(R739/P739,"")</x:f>
        <x:v>0.8675675675675676</x:v>
      </x:c>
      <x:c r="U739" s="10" t="n">
        <x:f>I739+J739+K739</x:f>
        <x:v>49</x:v>
      </x:c>
      <x:c r="V739" s="11" t="n">
        <x:f>IFERROR(U739/P739,"")</x:f>
        <x:v>0.13243243243243244</x:v>
      </x:c>
      <x:c r="W739" s="9" t="str">
        <x:v>provisional_gt_5pct_pending</x:v>
      </x:c>
      <x:c r="X739" s="12" t="n">
        <x:f>IFERROR(F739/Z739*100000,"")</x:f>
        <x:v>21.66852735207551</x:v>
      </x:c>
      <x:c r="Y739" s="13" t="n">
        <x:f>LN(Z739)</x:f>
        <x:v>14.49384862287051</x:v>
      </x:c>
      <x:c r="Z739" s="6" t="str">
        <x:v>1970600</x:v>
      </x:c>
      <x:c r="AA739" s="6" t="str">
        <x:v>43.0</x:v>
      </x:c>
      <x:c r="AB739" s="9" t="str">
        <x:v>2025-06-30</x:v>
      </x:c>
      <x:c r="AC739" s="8" t="str">
        <x:v>83.09</x:v>
      </x:c>
      <x:c r="AD739" s="9" t="str">
        <x:v>2025 (Susenas)</x:v>
      </x:c>
      <x:c r="AE739" s="8" t="str">
        <x:v>15.38</x:v>
      </x:c>
      <x:c r="AF739" s="9" t="str">
        <x:v>Maret 2025 (Susenas)</x:v>
      </x:c>
      <x:c r="AG739" s="6" t="str">
        <x:v>25.88677039146128</x:v>
      </x:c>
      <x:c r="AH739" s="8" t="str">
        <x:v>88.90506430807069</x:v>
      </x:c>
      <x:c r="AI739" s="6" t="str">
        <x:v>532.6256179714281</x:v>
      </x:c>
      <x:c r="AJ739" s="6" t="str">
        <x:v>0.4450726642114873</x:v>
      </x:c>
      <x:c r="AK739" s="8" t="str">
        <x:v>1.216251645137186</x:v>
      </x:c>
      <x:c r="AL739" s="6" t="str">
        <x:v>1.1311853398080816</x:v>
      </x:c>
      <x:c r="AM739" s="6" t="str">
        <x:v>0.4905291055197175</x:v>
      </x:c>
      <x:c r="AN739" s="6" t="str">
        <x:v>0.945988696821662</x:v>
      </x:c>
      <x:c r="AO739" s="6" t="str">
        <x:v>3.04979532114632</x:v>
      </x:c>
      <x:c r="AP739" s="8" t="str">
        <x:v>1.120537487394802</x:v>
      </x:c>
      <x:c r="AQ739" s="6" t="str">
        <x:v>0.6996882431730704</x:v>
      </x:c>
      <x:c r="AR739" s="6" t="str">
        <x:v>-0.1232316694546234</x:v>
      </x:c>
      <x:c r="AS739" s="6" t="str">
        <x:v>0.5656646870377496</x:v>
      </x:c>
      <x:c r="AT739" s="6" t="str">
        <x:v>295.5778162153004</x:v>
      </x:c>
      <x:c r="AU739" s="8" t="str">
        <x:v>2.255704220489132</x:v>
      </x:c>
      <x:c r="AV739" s="6" t="str">
        <x:v>1.5446100792236097</x:v>
      </x:c>
      <x:c r="AW739" s="6" t="str">
        <x:v>1.9974627189881409</x:v>
      </x:c>
      <x:c r="AX739" s="6" t="str">
        <x:v>1.9325923395669609</x:v>
      </x:c>
      <x:c r="AY739" s="6" t="str">
        <x:v>1</x:v>
      </x:c>
      <x:c r="AZ739" s="6" t="str">
        <x:v>1</x:v>
      </x:c>
      <x:c r="BA739" s="9" t="str">
        <x:v>grid_cells_within_BIG_polygon</x:v>
      </x:c>
      <x:c r="BB739" s="6" t="str">
        <x:v>11</x:v>
      </x:c>
      <x:c r="BC739" s="6" t="str">
        <x:v>6</x:v>
      </x:c>
      <x:c r="BD739" s="6" t="str">
        <x:v>5</x:v>
      </x:c>
      <x:c r="BE739" s="6" t="str">
        <x:v>3</x:v>
      </x:c>
      <x:c r="BF739" s="6" t="str">
        <x:v>2</x:v>
      </x:c>
      <x:c r="BG739" s="6" t="str">
        <x:v>0</x:v>
      </x:c>
      <x:c r="BH739" s="6" t="str">
        <x:v>0</x:v>
      </x:c>
      <x:c r="BI739" s="6" t="str">
        <x:v>0</x:v>
      </x:c>
      <x:c r="BJ739" s="6" t="str">
        <x:v>0</x:v>
      </x:c>
      <x:c r="BK739" s="6" t="str">
        <x:v>1</x:v>
      </x:c>
      <x:c r="BL739" s="6" t="str">
        <x:v>0</x:v>
      </x:c>
      <x:c r="BM739" s="6" t="str">
        <x:v>0</x:v>
      </x:c>
      <x:c r="BN739" s="6" t="str">
        <x:v>6</x:v>
      </x:c>
      <x:c r="BO739" s="6" t="str">
        <x:v>2.0</x:v>
      </x:c>
      <x:c r="BP739" s="6" t="str">
        <x:v>1</x:v>
      </x:c>
      <x:c r="BQ739" s="6" t="str">
        <x:v>3.0</x:v>
      </x:c>
      <x:c r="BR739" s="6" t="str">
        <x:v>2</x:v>
      </x:c>
      <x:c r="BS739" s="6" t="str">
        <x:v>677.0</x:v>
      </x:c>
      <x:c r="BT739" s="6" t="str">
        <x:v>6</x:v>
      </x:c>
      <x:c r="BU739" s="6" t="str">
        <x:v>357.0</x:v>
      </x:c>
      <x:c r="BV739" s="6" t="str">
        <x:v>3</x:v>
      </x:c>
      <x:c r="BW739" s="9" t="str">
        <x:v>operational_snapshot_annual_totals_may_differ</x:v>
      </x:c>
      <x:c r="BX739" s="9" t="str">
        <x:v>official_live_dashboard_snapshot_subject_to_revision</x:v>
      </x:c>
      <x:c r="BY739" s="9" t="str">
        <x:v>https://tbdashboard.sitb.id/ss_data_tbc03so_2025_provinsi_bulanan_list.php</x:v>
      </x:c>
      <x:c r="BZ739" s="6" t="n">
        <x:v>46246.610671296294</x:v>
      </x:c>
    </x:row>
    <x:row r="740" ht="18" customHeight="1">
      <x:c r="A740" s="6" t="str">
        <x:v>81</x:v>
      </x:c>
      <x:c r="B740" s="6" t="str">
        <x:v>MALUKU</x:v>
      </x:c>
      <x:c r="C740" s="6" t="str">
        <x:v>2025</x:v>
      </x:c>
      <x:c r="D740" s="6" t="str">
        <x:v>7</x:v>
      </x:c>
      <x:c r="E740" s="6" t="str">
        <x:v>2025-07</x:v>
      </x:c>
      <x:c r="F740" s="6" t="str">
        <x:v>557</x:v>
      </x:c>
      <x:c r="G740" s="6" t="str">
        <x:v>105</x:v>
      </x:c>
      <x:c r="H740" s="6" t="str">
        <x:v>316</x:v>
      </x:c>
      <x:c r="I740" s="6" t="str">
        <x:v>52</x:v>
      </x:c>
      <x:c r="J740" s="6" t="str">
        <x:v>17</x:v>
      </x:c>
      <x:c r="K740" s="6" t="str">
        <x:v>0</x:v>
      </x:c>
      <x:c r="L740" s="6" t="str">
        <x:v>1</x:v>
      </x:c>
      <x:c r="M740" s="6" t="str">
        <x:v>66</x:v>
      </x:c>
      <x:c r="N740" s="6" t="str">
        <x:v>557</x:v>
      </x:c>
      <x:c r="O740" s="6" t="str">
        <x:v>0</x:v>
      </x:c>
      <x:c r="P740" s="10" t="n">
        <x:f>F740-M740</x:f>
        <x:v>491</x:v>
      </x:c>
      <x:c r="Q740" s="11" t="n">
        <x:f>IFERROR(M740/F740,"")</x:f>
        <x:v>0.118491921005386</x:v>
      </x:c>
      <x:c r="R740" s="10" t="n">
        <x:f>G740+H740</x:f>
        <x:v>421</x:v>
      </x:c>
      <x:c r="S740" s="11" t="n">
        <x:f>IFERROR(R740/F740,"")</x:f>
        <x:v>0.755834829443447</x:v>
      </x:c>
      <x:c r="T740" s="11" t="n">
        <x:f>IFERROR(R740/P740,"")</x:f>
        <x:v>0.8574338085539714</x:v>
      </x:c>
      <x:c r="U740" s="10" t="n">
        <x:f>I740+J740+K740</x:f>
        <x:v>69</x:v>
      </x:c>
      <x:c r="V740" s="11" t="n">
        <x:f>IFERROR(U740/P740,"")</x:f>
        <x:v>0.14052953156822812</x:v>
      </x:c>
      <x:c r="W740" s="9" t="str">
        <x:v>provisional_gt_5pct_pending</x:v>
      </x:c>
      <x:c r="X740" s="12" t="n">
        <x:f>IFERROR(F740/Z740*100000,"")</x:f>
        <x:v>28.265502892520043</x:v>
      </x:c>
      <x:c r="Y740" s="13" t="n">
        <x:f>LN(Z740)</x:f>
        <x:v>14.49384862287051</x:v>
      </x:c>
      <x:c r="Z740" s="6" t="str">
        <x:v>1970600</x:v>
      </x:c>
      <x:c r="AA740" s="6" t="str">
        <x:v>43.0</x:v>
      </x:c>
      <x:c r="AB740" s="9" t="str">
        <x:v>2025-06-30</x:v>
      </x:c>
      <x:c r="AC740" s="8" t="str">
        <x:v>83.09</x:v>
      </x:c>
      <x:c r="AD740" s="9" t="str">
        <x:v>2025 (Susenas)</x:v>
      </x:c>
      <x:c r="AE740" s="8" t="str">
        <x:v>15.38</x:v>
      </x:c>
      <x:c r="AF740" s="9" t="str">
        <x:v>Maret 2025 (Susenas)</x:v>
      </x:c>
      <x:c r="AG740" s="6" t="str">
        <x:v>25.42783719297841</x:v>
      </x:c>
      <x:c r="AH740" s="8" t="str">
        <x:v>88.24922875711685</x:v>
      </x:c>
      <x:c r="AI740" s="6" t="str">
        <x:v>343.1807782853488</x:v>
      </x:c>
      <x:c r="AJ740" s="6" t="str">
        <x:v>0.7180940818761634</x:v>
      </x:c>
      <x:c r="AK740" s="8" t="str">
        <x:v>1.809058624595012</x:v>
      </x:c>
      <x:c r="AL740" s="6" t="str">
        <x:v>1.216251645137186</x:v>
      </x:c>
      <x:c r="AM740" s="6" t="str">
        <x:v>1.1311853398080816</x:v>
      </x:c>
      <x:c r="AN740" s="6" t="str">
        <x:v>1.3854985365134265</x:v>
      </x:c>
      <x:c r="AO740" s="6" t="str">
        <x:v>2.885880401628853</x:v>
      </x:c>
      <x:c r="AP740" s="8" t="str">
        <x:v>1.4184726721245862</x:v>
      </x:c>
      <x:c r="AQ740" s="6" t="str">
        <x:v>1.120537487394802</x:v>
      </x:c>
      <x:c r="AR740" s="6" t="str">
        <x:v>0.6996882431730704</x:v>
      </x:c>
      <x:c r="AS740" s="6" t="str">
        <x:v>1.0795661342308194</x:v>
      </x:c>
      <x:c r="AT740" s="6" t="str">
        <x:v>148.00805581769217</x:v>
      </x:c>
      <x:c r="AU740" s="8" t="str">
        <x:v>1.2489190857561714</x:v>
      </x:c>
      <x:c r="AV740" s="6" t="str">
        <x:v>2.255704220489132</x:v>
      </x:c>
      <x:c r="AW740" s="6" t="str">
        <x:v>1.5446100792236097</x:v>
      </x:c>
      <x:c r="AX740" s="6" t="str">
        <x:v>1.6830777951563043</x:v>
      </x:c>
      <x:c r="AY740" s="6" t="str">
        <x:v>1</x:v>
      </x:c>
      <x:c r="AZ740" s="6" t="str">
        <x:v>1</x:v>
      </x:c>
      <x:c r="BA740" s="9" t="str">
        <x:v>grid_cells_within_BIG_polygon</x:v>
      </x:c>
      <x:c r="BB740" s="6" t="str">
        <x:v>11</x:v>
      </x:c>
      <x:c r="BC740" s="6" t="str">
        <x:v>3</x:v>
      </x:c>
      <x:c r="BD740" s="6" t="str">
        <x:v>3</x:v>
      </x:c>
      <x:c r="BE740" s="6" t="str">
        <x:v>2</x:v>
      </x:c>
      <x:c r="BF740" s="6" t="str">
        <x:v>1</x:v>
      </x:c>
      <x:c r="BG740" s="6" t="str">
        <x:v>0</x:v>
      </x:c>
      <x:c r="BH740" s="6" t="str">
        <x:v>0</x:v>
      </x:c>
      <x:c r="BI740" s="6" t="str">
        <x:v>0</x:v>
      </x:c>
      <x:c r="BJ740" s="6" t="str">
        <x:v>0</x:v>
      </x:c>
      <x:c r="BK740" s="6" t="str">
        <x:v>0</x:v>
      </x:c>
      <x:c r="BL740" s="6" t="str">
        <x:v>0</x:v>
      </x:c>
      <x:c r="BM740" s="6" t="str">
        <x:v>0</x:v>
      </x:c>
      <x:c r="BN740" s="6" t="str">
        <x:v>3</x:v>
      </x:c>
      <x:c r="BO740" s="6" t="str">
        <x:v>1.0</x:v>
      </x:c>
      <x:c r="BP740" s="6" t="str">
        <x:v>1</x:v>
      </x:c>
      <x:c r="BQ740" s="6" t="str">
        <x:v>1.0</x:v>
      </x:c>
      <x:c r="BR740" s="6" t="str">
        <x:v>1</x:v>
      </x:c>
      <x:c r="BS740" s="6" t="str">
        <x:v>0.0</x:v>
      </x:c>
      <x:c r="BT740" s="6" t="str">
        <x:v>3</x:v>
      </x:c>
      <x:c r="BU740" s="6" t="str">
        <x:v>64.0</x:v>
      </x:c>
      <x:c r="BV740" s="6" t="str">
        <x:v>2</x:v>
      </x:c>
      <x:c r="BW740" s="9" t="str">
        <x:v>operational_snapshot_annual_totals_may_differ</x:v>
      </x:c>
      <x:c r="BX740" s="9" t="str">
        <x:v>official_live_dashboard_snapshot_subject_to_revision</x:v>
      </x:c>
      <x:c r="BY740" s="9" t="str">
        <x:v>https://tbdashboard.sitb.id/ss_data_tbc03so_2025_provinsi_bulanan_list.php</x:v>
      </x:c>
      <x:c r="BZ740" s="6" t="n">
        <x:v>46246.610671296294</x:v>
      </x:c>
    </x:row>
    <x:row r="741" ht="18" customHeight="1">
      <x:c r="A741" s="6" t="str">
        <x:v>81</x:v>
      </x:c>
      <x:c r="B741" s="6" t="str">
        <x:v>MALUKU</x:v>
      </x:c>
      <x:c r="C741" s="6" t="str">
        <x:v>2025</x:v>
      </x:c>
      <x:c r="D741" s="6" t="str">
        <x:v>8</x:v>
      </x:c>
      <x:c r="E741" s="6" t="str">
        <x:v>2025-08</x:v>
      </x:c>
      <x:c r="F741" s="6" t="str">
        <x:v>453</x:v>
      </x:c>
      <x:c r="G741" s="6" t="str">
        <x:v>77</x:v>
      </x:c>
      <x:c r="H741" s="6" t="str">
        <x:v>261</x:v>
      </x:c>
      <x:c r="I741" s="6" t="str">
        <x:v>25</x:v>
      </x:c>
      <x:c r="J741" s="6" t="str">
        <x:v>17</x:v>
      </x:c>
      <x:c r="K741" s="6" t="str">
        <x:v>0</x:v>
      </x:c>
      <x:c r="L741" s="6" t="str">
        <x:v>0</x:v>
      </x:c>
      <x:c r="M741" s="6" t="str">
        <x:v>73</x:v>
      </x:c>
      <x:c r="N741" s="6" t="str">
        <x:v>453</x:v>
      </x:c>
      <x:c r="O741" s="6" t="str">
        <x:v>0</x:v>
      </x:c>
      <x:c r="P741" s="10" t="n">
        <x:f>F741-M741</x:f>
        <x:v>380</x:v>
      </x:c>
      <x:c r="Q741" s="11" t="n">
        <x:f>IFERROR(M741/F741,"")</x:f>
        <x:v>0.16114790286975716</x:v>
      </x:c>
      <x:c r="R741" s="10" t="n">
        <x:f>G741+H741</x:f>
        <x:v>338</x:v>
      </x:c>
      <x:c r="S741" s="11" t="n">
        <x:f>IFERROR(R741/F741,"")</x:f>
        <x:v>0.7461368653421634</x:v>
      </x:c>
      <x:c r="T741" s="11" t="n">
        <x:f>IFERROR(R741/P741,"")</x:f>
        <x:v>0.8894736842105263</x:v>
      </x:c>
      <x:c r="U741" s="10" t="n">
        <x:f>I741+J741+K741</x:f>
        <x:v>42</x:v>
      </x:c>
      <x:c r="V741" s="11" t="n">
        <x:f>IFERROR(U741/P741,"")</x:f>
        <x:v>0.11052631578947368</x:v>
      </x:c>
      <x:c r="W741" s="9" t="str">
        <x:v>provisional_gt_5pct_pending</x:v>
      </x:c>
      <x:c r="X741" s="12" t="n">
        <x:f>IFERROR(F741/Z741*100000,"")</x:f>
        <x:v>22.987922460164416</x:v>
      </x:c>
      <x:c r="Y741" s="13" t="n">
        <x:f>LN(Z741)</x:f>
        <x:v>14.49384862287051</x:v>
      </x:c>
      <x:c r="Z741" s="6" t="str">
        <x:v>1970600</x:v>
      </x:c>
      <x:c r="AA741" s="6" t="str">
        <x:v>43.0</x:v>
      </x:c>
      <x:c r="AB741" s="9" t="str">
        <x:v>2025-06-30</x:v>
      </x:c>
      <x:c r="AC741" s="8" t="str">
        <x:v>83.09</x:v>
      </x:c>
      <x:c r="AD741" s="9" t="str">
        <x:v>2025 (Susenas)</x:v>
      </x:c>
      <x:c r="AE741" s="8" t="str">
        <x:v>15.38</x:v>
      </x:c>
      <x:c r="AF741" s="9" t="str">
        <x:v>Maret 2025 (Susenas)</x:v>
      </x:c>
      <x:c r="AG741" s="6" t="str">
        <x:v>25.108638600830734</x:v>
      </x:c>
      <x:c r="AH741" s="8" t="str">
        <x:v>87.32371358983048</x:v>
      </x:c>
      <x:c r="AI741" s="6" t="str">
        <x:v>457.3474773687924</x:v>
      </x:c>
      <x:c r="AJ741" s="6" t="str">
        <x:v>0.4515667443606332</x:v>
      </x:c>
      <x:c r="AK741" s="8" t="str">
        <x:v>1.0482502903702808</x:v>
      </x:c>
      <x:c r="AL741" s="6" t="str">
        <x:v>1.809058624595012</x:v>
      </x:c>
      <x:c r="AM741" s="6" t="str">
        <x:v>1.216251645137186</x:v>
      </x:c>
      <x:c r="AN741" s="6" t="str">
        <x:v>1.3578535200341595</x:v>
      </x:c>
      <x:c r="AO741" s="6" t="str">
        <x:v>4.243730075401359</x:v>
      </x:c>
      <x:c r="AP741" s="8" t="str">
        <x:v>1.379827362438903</x:v>
      </x:c>
      <x:c r="AQ741" s="6" t="str">
        <x:v>1.4184726721245862</x:v>
      </x:c>
      <x:c r="AR741" s="6" t="str">
        <x:v>1.120537487394802</x:v>
      </x:c>
      <x:c r="AS741" s="6" t="str">
        <x:v>1.306279173986097</x:v>
      </x:c>
      <x:c r="AT741" s="6" t="str">
        <x:v>325.71670485239724</x:v>
      </x:c>
      <x:c r="AU741" s="8" t="str">
        <x:v>2.943628443354537</x:v>
      </x:c>
      <x:c r="AV741" s="6" t="str">
        <x:v>1.2489190857561714</x:v>
      </x:c>
      <x:c r="AW741" s="6" t="str">
        <x:v>2.255704220489132</x:v>
      </x:c>
      <x:c r="AX741" s="6" t="str">
        <x:v>2.1494172498666133</x:v>
      </x:c>
      <x:c r="AY741" s="6" t="str">
        <x:v>1</x:v>
      </x:c>
      <x:c r="AZ741" s="6" t="str">
        <x:v>1</x:v>
      </x:c>
      <x:c r="BA741" s="9" t="str">
        <x:v>grid_cells_within_BIG_polygon</x:v>
      </x:c>
      <x:c r="BB741" s="6" t="str">
        <x:v>11</x:v>
      </x:c>
      <x:c r="BC741" s="6" t="str">
        <x:v>5</x:v>
      </x:c>
      <x:c r="BD741" s="6" t="str">
        <x:v>5</x:v>
      </x:c>
      <x:c r="BE741" s="6" t="str">
        <x:v>3</x:v>
      </x:c>
      <x:c r="BF741" s="6" t="str">
        <x:v>1</x:v>
      </x:c>
      <x:c r="BG741" s="6" t="str">
        <x:v>0</x:v>
      </x:c>
      <x:c r="BH741" s="6" t="str">
        <x:v>0</x:v>
      </x:c>
      <x:c r="BI741" s="6" t="str">
        <x:v>0</x:v>
      </x:c>
      <x:c r="BJ741" s="6" t="str">
        <x:v>1</x:v>
      </x:c>
      <x:c r="BK741" s="6" t="str">
        <x:v>0</x:v>
      </x:c>
      <x:c r="BL741" s="6" t="str">
        <x:v>0</x:v>
      </x:c>
      <x:c r="BM741" s="6" t="str">
        <x:v>0</x:v>
      </x:c>
      <x:c r="BN741" s="6" t="str">
        <x:v>5</x:v>
      </x:c>
      <x:c r="BO741" s="6" t="str"/>
      <x:c r="BP741" s="6" t="str">
        <x:v>0</x:v>
      </x:c>
      <x:c r="BQ741" s="6" t="str"/>
      <x:c r="BR741" s="6" t="str">
        <x:v>0</x:v>
      </x:c>
      <x:c r="BS741" s="6" t="str">
        <x:v>78.0</x:v>
      </x:c>
      <x:c r="BT741" s="6" t="str">
        <x:v>5</x:v>
      </x:c>
      <x:c r="BU741" s="6" t="str">
        <x:v>296.0</x:v>
      </x:c>
      <x:c r="BV741" s="6" t="str">
        <x:v>3</x:v>
      </x:c>
      <x:c r="BW741" s="9" t="str">
        <x:v>operational_snapshot_annual_totals_may_differ</x:v>
      </x:c>
      <x:c r="BX741" s="9" t="str">
        <x:v>official_live_dashboard_snapshot_subject_to_revision</x:v>
      </x:c>
      <x:c r="BY741" s="9" t="str">
        <x:v>https://tbdashboard.sitb.id/ss_data_tbc03so_2025_provinsi_bulanan_list.php</x:v>
      </x:c>
      <x:c r="BZ741" s="6" t="n">
        <x:v>46246.610671296294</x:v>
      </x:c>
    </x:row>
    <x:row r="742" ht="18" customHeight="1">
      <x:c r="A742" s="6" t="str">
        <x:v>81</x:v>
      </x:c>
      <x:c r="B742" s="6" t="str">
        <x:v>MALUKU</x:v>
      </x:c>
      <x:c r="C742" s="6" t="str">
        <x:v>2025</x:v>
      </x:c>
      <x:c r="D742" s="6" t="str">
        <x:v>9</x:v>
      </x:c>
      <x:c r="E742" s="6" t="str">
        <x:v>2025-09</x:v>
      </x:c>
      <x:c r="F742" s="6" t="str">
        <x:v>443</x:v>
      </x:c>
      <x:c r="G742" s="6" t="str">
        <x:v>59</x:v>
      </x:c>
      <x:c r="H742" s="6" t="str">
        <x:v>264</x:v>
      </x:c>
      <x:c r="I742" s="6" t="str">
        <x:v>31</x:v>
      </x:c>
      <x:c r="J742" s="6" t="str">
        <x:v>29</x:v>
      </x:c>
      <x:c r="K742" s="6" t="str">
        <x:v>0</x:v>
      </x:c>
      <x:c r="L742" s="6" t="str">
        <x:v>0</x:v>
      </x:c>
      <x:c r="M742" s="6" t="str">
        <x:v>60</x:v>
      </x:c>
      <x:c r="N742" s="6" t="str">
        <x:v>443</x:v>
      </x:c>
      <x:c r="O742" s="6" t="str">
        <x:v>0</x:v>
      </x:c>
      <x:c r="P742" s="10" t="n">
        <x:f>F742-M742</x:f>
        <x:v>383</x:v>
      </x:c>
      <x:c r="Q742" s="11" t="n">
        <x:f>IFERROR(M742/F742,"")</x:f>
        <x:v>0.13544018058690746</x:v>
      </x:c>
      <x:c r="R742" s="10" t="n">
        <x:f>G742+H742</x:f>
        <x:v>323</x:v>
      </x:c>
      <x:c r="S742" s="11" t="n">
        <x:f>IFERROR(R742/F742,"")</x:f>
        <x:v>0.7291196388261851</x:v>
      </x:c>
      <x:c r="T742" s="11" t="n">
        <x:f>IFERROR(R742/P742,"")</x:f>
        <x:v>0.8433420365535248</x:v>
      </x:c>
      <x:c r="U742" s="10" t="n">
        <x:f>I742+J742+K742</x:f>
        <x:v>60</x:v>
      </x:c>
      <x:c r="V742" s="11" t="n">
        <x:f>IFERROR(U742/P742,"")</x:f>
        <x:v>0.1566579634464752</x:v>
      </x:c>
      <x:c r="W742" s="9" t="str">
        <x:v>provisional_gt_5pct_pending</x:v>
      </x:c>
      <x:c r="X742" s="12" t="n">
        <x:f>IFERROR(F742/Z742*100000,"")</x:f>
        <x:v>22.480462803207143</x:v>
      </x:c>
      <x:c r="Y742" s="13" t="n">
        <x:f>LN(Z742)</x:f>
        <x:v>14.49384862287051</x:v>
      </x:c>
      <x:c r="Z742" s="6" t="str">
        <x:v>1970600</x:v>
      </x:c>
      <x:c r="AA742" s="6" t="str">
        <x:v>43.0</x:v>
      </x:c>
      <x:c r="AB742" s="9" t="str">
        <x:v>2025-06-30</x:v>
      </x:c>
      <x:c r="AC742" s="8" t="str">
        <x:v>83.09</x:v>
      </x:c>
      <x:c r="AD742" s="9" t="str">
        <x:v>2025 (Susenas)</x:v>
      </x:c>
      <x:c r="AE742" s="8" t="str">
        <x:v>15.38</x:v>
      </x:c>
      <x:c r="AF742" s="9" t="str">
        <x:v>Maret 2025 (Susenas)</x:v>
      </x:c>
      <x:c r="AG742" s="6" t="str">
        <x:v>25.759017803967023</x:v>
      </x:c>
      <x:c r="AH742" s="8" t="str">
        <x:v>84.99072738598124</x:v>
      </x:c>
      <x:c r="AI742" s="6" t="str">
        <x:v>287.16230668607176</x:v>
      </x:c>
      <x:c r="AJ742" s="6" t="str">
        <x:v>0.3281132962491568</x:v>
      </x:c>
      <x:c r="AK742" s="8" t="str">
        <x:v>0.8648688049347552</x:v>
      </x:c>
      <x:c r="AL742" s="6" t="str">
        <x:v>1.0482502903702808</x:v>
      </x:c>
      <x:c r="AM742" s="6" t="str">
        <x:v>1.809058624595012</x:v>
      </x:c>
      <x:c r="AN742" s="6" t="str">
        <x:v>1.2407259066333494</x:v>
      </x:c>
      <x:c r="AO742" s="6" t="str">
        <x:v>4.133945741360009</x:v>
      </x:c>
      <x:c r="AP742" s="8" t="str">
        <x:v>1.1503429199592976</x:v>
      </x:c>
      <x:c r="AQ742" s="6" t="str">
        <x:v>1.379827362438903</x:v>
      </x:c>
      <x:c r="AR742" s="6" t="str">
        <x:v>1.4184726721245862</x:v>
      </x:c>
      <x:c r="AS742" s="6" t="str">
        <x:v>1.3162143181742625</x:v>
      </x:c>
      <x:c r="AT742" s="6" t="str">
        <x:v>178.9909425884206</x:v>
      </x:c>
      <x:c r="AU742" s="8" t="str">
        <x:v>2.922098824264891</x:v>
      </x:c>
      <x:c r="AV742" s="6" t="str">
        <x:v>2.943628443354537</x:v>
      </x:c>
      <x:c r="AW742" s="6" t="str">
        <x:v>1.2489190857561714</x:v>
      </x:c>
      <x:c r="AX742" s="6" t="str">
        <x:v>2.371548784458533</x:v>
      </x:c>
      <x:c r="AY742" s="6" t="str">
        <x:v>1</x:v>
      </x:c>
      <x:c r="AZ742" s="6" t="str">
        <x:v>0</x:v>
      </x:c>
      <x:c r="BA742" s="9" t="str">
        <x:v>grid_cells_within_BIG_polygon</x:v>
      </x:c>
      <x:c r="BB742" s="6" t="str">
        <x:v>11</x:v>
      </x:c>
      <x:c r="BC742" s="6" t="str">
        <x:v>1</x:v>
      </x:c>
      <x:c r="BD742" s="6" t="str">
        <x:v>1</x:v>
      </x:c>
      <x:c r="BE742" s="6" t="str">
        <x:v>0</x:v>
      </x:c>
      <x:c r="BF742" s="6" t="str">
        <x:v>0</x:v>
      </x:c>
      <x:c r="BG742" s="6" t="str">
        <x:v>0</x:v>
      </x:c>
      <x:c r="BH742" s="6" t="str">
        <x:v>0</x:v>
      </x:c>
      <x:c r="BI742" s="6" t="str">
        <x:v>0</x:v>
      </x:c>
      <x:c r="BJ742" s="6" t="str">
        <x:v>1</x:v>
      </x:c>
      <x:c r="BK742" s="6" t="str">
        <x:v>0</x:v>
      </x:c>
      <x:c r="BL742" s="6" t="str">
        <x:v>0</x:v>
      </x:c>
      <x:c r="BM742" s="6" t="str">
        <x:v>0</x:v>
      </x:c>
      <x:c r="BN742" s="6" t="str">
        <x:v>1</x:v>
      </x:c>
      <x:c r="BO742" s="6" t="str"/>
      <x:c r="BP742" s="6" t="str">
        <x:v>0</x:v>
      </x:c>
      <x:c r="BQ742" s="6" t="str"/>
      <x:c r="BR742" s="6" t="str">
        <x:v>0</x:v>
      </x:c>
      <x:c r="BS742" s="6" t="str">
        <x:v>0.0</x:v>
      </x:c>
      <x:c r="BT742" s="6" t="str">
        <x:v>1</x:v>
      </x:c>
      <x:c r="BU742" s="6" t="str"/>
      <x:c r="BV742" s="6" t="str">
        <x:v>0</x:v>
      </x:c>
      <x:c r="BW742" s="9" t="str">
        <x:v>operational_snapshot_annual_totals_may_differ</x:v>
      </x:c>
      <x:c r="BX742" s="9" t="str">
        <x:v>official_live_dashboard_snapshot_subject_to_revision</x:v>
      </x:c>
      <x:c r="BY742" s="9" t="str">
        <x:v>https://tbdashboard.sitb.id/ss_data_tbc03so_2025_provinsi_bulanan_list.php</x:v>
      </x:c>
      <x:c r="BZ742" s="6" t="n">
        <x:v>46246.610671296294</x:v>
      </x:c>
    </x:row>
    <x:row r="743" ht="18" customHeight="1">
      <x:c r="A743" s="6" t="str">
        <x:v>81</x:v>
      </x:c>
      <x:c r="B743" s="6" t="str">
        <x:v>MALUKU</x:v>
      </x:c>
      <x:c r="C743" s="6" t="str">
        <x:v>2025</x:v>
      </x:c>
      <x:c r="D743" s="6" t="str">
        <x:v>10</x:v>
      </x:c>
      <x:c r="E743" s="6" t="str">
        <x:v>2025-10</x:v>
      </x:c>
      <x:c r="F743" s="6" t="str">
        <x:v>512</x:v>
      </x:c>
      <x:c r="G743" s="6" t="str">
        <x:v>99</x:v>
      </x:c>
      <x:c r="H743" s="6" t="str">
        <x:v>262</x:v>
      </x:c>
      <x:c r="I743" s="6" t="str">
        <x:v>37</x:v>
      </x:c>
      <x:c r="J743" s="6" t="str">
        <x:v>28</x:v>
      </x:c>
      <x:c r="K743" s="6" t="str">
        <x:v>0</x:v>
      </x:c>
      <x:c r="L743" s="6" t="str">
        <x:v>0</x:v>
      </x:c>
      <x:c r="M743" s="6" t="str">
        <x:v>86</x:v>
      </x:c>
      <x:c r="N743" s="6" t="str">
        <x:v>512</x:v>
      </x:c>
      <x:c r="O743" s="6" t="str">
        <x:v>0</x:v>
      </x:c>
      <x:c r="P743" s="10" t="n">
        <x:f>F743-M743</x:f>
        <x:v>426</x:v>
      </x:c>
      <x:c r="Q743" s="11" t="n">
        <x:f>IFERROR(M743/F743,"")</x:f>
        <x:v>0.16796875</x:v>
      </x:c>
      <x:c r="R743" s="10" t="n">
        <x:f>G743+H743</x:f>
        <x:v>361</x:v>
      </x:c>
      <x:c r="S743" s="11" t="n">
        <x:f>IFERROR(R743/F743,"")</x:f>
        <x:v>0.705078125</x:v>
      </x:c>
      <x:c r="T743" s="11" t="n">
        <x:f>IFERROR(R743/P743,"")</x:f>
        <x:v>0.8474178403755869</x:v>
      </x:c>
      <x:c r="U743" s="10" t="n">
        <x:f>I743+J743+K743</x:f>
        <x:v>65</x:v>
      </x:c>
      <x:c r="V743" s="11" t="n">
        <x:f>IFERROR(U743/P743,"")</x:f>
        <x:v>0.15258215962441316</x:v>
      </x:c>
      <x:c r="W743" s="9" t="str">
        <x:v>provisional_gt_5pct_pending</x:v>
      </x:c>
      <x:c r="X743" s="12" t="n">
        <x:f>IFERROR(F743/Z743*100000,"")</x:f>
        <x:v>25.981934436212324</x:v>
      </x:c>
      <x:c r="Y743" s="13" t="n">
        <x:f>LN(Z743)</x:f>
        <x:v>14.49384862287051</x:v>
      </x:c>
      <x:c r="Z743" s="6" t="str">
        <x:v>1970600</x:v>
      </x:c>
      <x:c r="AA743" s="6" t="str">
        <x:v>43.0</x:v>
      </x:c>
      <x:c r="AB743" s="9" t="str">
        <x:v>2025-06-30</x:v>
      </x:c>
      <x:c r="AC743" s="8" t="str">
        <x:v>83.09</x:v>
      </x:c>
      <x:c r="AD743" s="9" t="str">
        <x:v>2025 (Susenas)</x:v>
      </x:c>
      <x:c r="AE743" s="8" t="str">
        <x:v>15.38</x:v>
      </x:c>
      <x:c r="AF743" s="9" t="str">
        <x:v>Maret 2025 (Susenas)</x:v>
      </x:c>
      <x:c r="AG743" s="6" t="str">
        <x:v>26.62556367830078</x:v>
      </x:c>
      <x:c r="AH743" s="8" t="str">
        <x:v>83.3765255064854</x:v>
      </x:c>
      <x:c r="AI743" s="6" t="str">
        <x:v>152.35217241737018</x:v>
      </x:c>
      <x:c r="AJ743" s="6" t="str">
        <x:v>0.1689406069276202</x:v>
      </x:c>
      <x:c r="AK743" s="8" t="str">
        <x:v>0.5470584500842233</x:v>
      </x:c>
      <x:c r="AL743" s="6" t="str">
        <x:v>0.8648688049347552</x:v>
      </x:c>
      <x:c r="AM743" s="6" t="str">
        <x:v>1.0482502903702808</x:v>
      </x:c>
      <x:c r="AN743" s="6" t="str">
        <x:v>0.8200591817964198</x:v>
      </x:c>
      <x:c r="AO743" s="6" t="str">
        <x:v>4.632531896223398</x:v>
      </x:c>
      <x:c r="AP743" s="8" t="str">
        <x:v>1.162598229062534</x:v>
      </x:c>
      <x:c r="AQ743" s="6" t="str">
        <x:v>1.1503429199592976</x:v>
      </x:c>
      <x:c r="AR743" s="6" t="str">
        <x:v>1.379827362438903</x:v>
      </x:c>
      <x:c r="AS743" s="6" t="str">
        <x:v>1.2309228371535783</x:v>
      </x:c>
      <x:c r="AT743" s="6" t="str">
        <x:v>60.36766578759753</x:v>
      </x:c>
      <x:c r="AU743" s="8" t="str">
        <x:v>1.1447530346348904</x:v>
      </x:c>
      <x:c r="AV743" s="6" t="str">
        <x:v>2.922098824264891</x:v>
      </x:c>
      <x:c r="AW743" s="6" t="str">
        <x:v>2.943628443354537</x:v>
      </x:c>
      <x:c r="AX743" s="6" t="str">
        <x:v>2.336826767418106</x:v>
      </x:c>
      <x:c r="AY743" s="6" t="str">
        <x:v>1</x:v>
      </x:c>
      <x:c r="AZ743" s="6" t="str">
        <x:v>0</x:v>
      </x:c>
      <x:c r="BA743" s="9" t="str">
        <x:v>grid_cells_within_BIG_polygon</x:v>
      </x:c>
      <x:c r="BB743" s="6" t="str">
        <x:v>11</x:v>
      </x:c>
      <x:c r="BC743" s="6" t="str">
        <x:v>1</x:v>
      </x:c>
      <x:c r="BD743" s="6" t="str">
        <x:v>1</x:v>
      </x:c>
      <x:c r="BE743" s="6" t="str">
        <x:v>0</x:v>
      </x:c>
      <x:c r="BF743" s="6" t="str">
        <x:v>1</x:v>
      </x:c>
      <x:c r="BG743" s="6" t="str">
        <x:v>0</x:v>
      </x:c>
      <x:c r="BH743" s="6" t="str">
        <x:v>0</x:v>
      </x:c>
      <x:c r="BI743" s="6" t="str">
        <x:v>0</x:v>
      </x:c>
      <x:c r="BJ743" s="6" t="str">
        <x:v>0</x:v>
      </x:c>
      <x:c r="BK743" s="6" t="str">
        <x:v>0</x:v>
      </x:c>
      <x:c r="BL743" s="6" t="str">
        <x:v>0</x:v>
      </x:c>
      <x:c r="BM743" s="6" t="str">
        <x:v>0</x:v>
      </x:c>
      <x:c r="BN743" s="6" t="str">
        <x:v>1</x:v>
      </x:c>
      <x:c r="BO743" s="6" t="str"/>
      <x:c r="BP743" s="6" t="str">
        <x:v>0</x:v>
      </x:c>
      <x:c r="BQ743" s="6" t="str"/>
      <x:c r="BR743" s="6" t="str">
        <x:v>0</x:v>
      </x:c>
      <x:c r="BS743" s="6" t="str">
        <x:v>0.0</x:v>
      </x:c>
      <x:c r="BT743" s="6" t="str">
        <x:v>1</x:v>
      </x:c>
      <x:c r="BU743" s="6" t="str"/>
      <x:c r="BV743" s="6" t="str">
        <x:v>0</x:v>
      </x:c>
      <x:c r="BW743" s="9" t="str">
        <x:v>operational_snapshot_annual_totals_may_differ</x:v>
      </x:c>
      <x:c r="BX743" s="9" t="str">
        <x:v>official_live_dashboard_snapshot_subject_to_revision</x:v>
      </x:c>
      <x:c r="BY743" s="9" t="str">
        <x:v>https://tbdashboard.sitb.id/ss_data_tbc03so_2025_provinsi_bulanan_list.php</x:v>
      </x:c>
      <x:c r="BZ743" s="6" t="n">
        <x:v>46246.610671296294</x:v>
      </x:c>
    </x:row>
    <x:row r="744" ht="18" customHeight="1">
      <x:c r="A744" s="6" t="str">
        <x:v>81</x:v>
      </x:c>
      <x:c r="B744" s="6" t="str">
        <x:v>MALUKU</x:v>
      </x:c>
      <x:c r="C744" s="6" t="str">
        <x:v>2025</x:v>
      </x:c>
      <x:c r="D744" s="6" t="str">
        <x:v>11</x:v>
      </x:c>
      <x:c r="E744" s="6" t="str">
        <x:v>2025-11</x:v>
      </x:c>
      <x:c r="F744" s="6" t="str">
        <x:v>475</x:v>
      </x:c>
      <x:c r="G744" s="6" t="str">
        <x:v>84</x:v>
      </x:c>
      <x:c r="H744" s="6" t="str">
        <x:v>237</x:v>
      </x:c>
      <x:c r="I744" s="6" t="str">
        <x:v>39</x:v>
      </x:c>
      <x:c r="J744" s="6" t="str">
        <x:v>14</x:v>
      </x:c>
      <x:c r="K744" s="6" t="str">
        <x:v>0</x:v>
      </x:c>
      <x:c r="L744" s="6" t="str">
        <x:v>1</x:v>
      </x:c>
      <x:c r="M744" s="6" t="str">
        <x:v>100</x:v>
      </x:c>
      <x:c r="N744" s="6" t="str">
        <x:v>475</x:v>
      </x:c>
      <x:c r="O744" s="6" t="str">
        <x:v>0</x:v>
      </x:c>
      <x:c r="P744" s="10" t="n">
        <x:f>F744-M744</x:f>
        <x:v>375</x:v>
      </x:c>
      <x:c r="Q744" s="11" t="n">
        <x:f>IFERROR(M744/F744,"")</x:f>
        <x:v>0.21052631578947367</x:v>
      </x:c>
      <x:c r="R744" s="10" t="n">
        <x:f>G744+H744</x:f>
        <x:v>321</x:v>
      </x:c>
      <x:c r="S744" s="11" t="n">
        <x:f>IFERROR(R744/F744,"")</x:f>
        <x:v>0.6757894736842105</x:v>
      </x:c>
      <x:c r="T744" s="11" t="n">
        <x:f>IFERROR(R744/P744,"")</x:f>
        <x:v>0.856</x:v>
      </x:c>
      <x:c r="U744" s="10" t="n">
        <x:f>I744+J744+K744</x:f>
        <x:v>53</x:v>
      </x:c>
      <x:c r="V744" s="11" t="n">
        <x:f>IFERROR(U744/P744,"")</x:f>
        <x:v>0.14133333333333334</x:v>
      </x:c>
      <x:c r="W744" s="9" t="str">
        <x:v>provisional_gt_5pct_pending</x:v>
      </x:c>
      <x:c r="X744" s="12" t="n">
        <x:f>IFERROR(F744/Z744*100000,"")</x:f>
        <x:v>24.104333705470417</x:v>
      </x:c>
      <x:c r="Y744" s="13" t="n">
        <x:f>LN(Z744)</x:f>
        <x:v>14.49384862287051</x:v>
      </x:c>
      <x:c r="Z744" s="6" t="str">
        <x:v>1970600</x:v>
      </x:c>
      <x:c r="AA744" s="6" t="str">
        <x:v>43.0</x:v>
      </x:c>
      <x:c r="AB744" s="9" t="str">
        <x:v>2025-06-30</x:v>
      </x:c>
      <x:c r="AC744" s="8" t="str">
        <x:v>83.09</x:v>
      </x:c>
      <x:c r="AD744" s="9" t="str">
        <x:v>2025 (Susenas)</x:v>
      </x:c>
      <x:c r="AE744" s="8" t="str">
        <x:v>15.38</x:v>
      </x:c>
      <x:c r="AF744" s="9" t="str">
        <x:v>Maret 2025 (Susenas)</x:v>
      </x:c>
      <x:c r="AG744" s="6" t="str">
        <x:v>27.057998755823935</x:v>
      </x:c>
      <x:c r="AH744" s="8" t="str">
        <x:v>83.10918902527709</x:v>
      </x:c>
      <x:c r="AI744" s="6" t="str">
        <x:v>187.4983052700099</x:v>
      </x:c>
      <x:c r="AJ744" s="6" t="str">
        <x:v>-0.1705322639380853</x:v>
      </x:c>
      <x:c r="AK744" s="8" t="str">
        <x:v>-0.3510281112035306</x:v>
      </x:c>
      <x:c r="AL744" s="6" t="str">
        <x:v>0.5470584500842233</x:v>
      </x:c>
      <x:c r="AM744" s="6" t="str">
        <x:v>0.8648688049347552</x:v>
      </x:c>
      <x:c r="AN744" s="6" t="str">
        <x:v>0.3536330479384826</x:v>
      </x:c>
      <x:c r="AO744" s="6" t="str">
        <x:v>5.576669608829974</x:v>
      </x:c>
      <x:c r="AP744" s="8" t="str">
        <x:v>1.2373301556356973</x:v>
      </x:c>
      <x:c r="AQ744" s="6" t="str">
        <x:v>1.162598229062534</x:v>
      </x:c>
      <x:c r="AR744" s="6" t="str">
        <x:v>1.1503429199592976</x:v>
      </x:c>
      <x:c r="AS744" s="6" t="str">
        <x:v>1.1834237682191764</x:v>
      </x:c>
      <x:c r="AT744" s="6" t="str">
        <x:v>78.3542805258602</x:v>
      </x:c>
      <x:c r="AU744" s="8" t="str">
        <x:v>1.4805607289936742</x:v>
      </x:c>
      <x:c r="AV744" s="6" t="str">
        <x:v>1.1447530346348904</x:v>
      </x:c>
      <x:c r="AW744" s="6" t="str">
        <x:v>2.922098824264891</x:v>
      </x:c>
      <x:c r="AX744" s="6" t="str">
        <x:v>1.8491375292978187</x:v>
      </x:c>
      <x:c r="AY744" s="6" t="str">
        <x:v>1</x:v>
      </x:c>
      <x:c r="AZ744" s="6" t="str">
        <x:v>0</x:v>
      </x:c>
      <x:c r="BA744" s="9" t="str">
        <x:v>grid_cells_within_BIG_polygon</x:v>
      </x:c>
      <x:c r="BB744" s="6" t="str">
        <x:v>11</x:v>
      </x:c>
      <x:c r="BC744" s="6" t="str">
        <x:v>1</x:v>
      </x:c>
      <x:c r="BD744" s="6" t="str">
        <x:v>1</x:v>
      </x:c>
      <x:c r="BE744" s="6" t="str">
        <x:v>1</x:v>
      </x:c>
      <x:c r="BF744" s="6" t="str">
        <x:v>0</x:v>
      </x:c>
      <x:c r="BG744" s="6" t="str">
        <x:v>0</x:v>
      </x:c>
      <x:c r="BH744" s="6" t="str">
        <x:v>0</x:v>
      </x:c>
      <x:c r="BI744" s="6" t="str">
        <x:v>0</x:v>
      </x:c>
      <x:c r="BJ744" s="6" t="str">
        <x:v>0</x:v>
      </x:c>
      <x:c r="BK744" s="6" t="str">
        <x:v>0</x:v>
      </x:c>
      <x:c r="BL744" s="6" t="str">
        <x:v>0</x:v>
      </x:c>
      <x:c r="BM744" s="6" t="str">
        <x:v>0</x:v>
      </x:c>
      <x:c r="BN744" s="6" t="str">
        <x:v>1</x:v>
      </x:c>
      <x:c r="BO744" s="6" t="str"/>
      <x:c r="BP744" s="6" t="str">
        <x:v>0</x:v>
      </x:c>
      <x:c r="BQ744" s="6" t="str"/>
      <x:c r="BR744" s="6" t="str">
        <x:v>0</x:v>
      </x:c>
      <x:c r="BS744" s="6" t="str">
        <x:v>0.0</x:v>
      </x:c>
      <x:c r="BT744" s="6" t="str">
        <x:v>1</x:v>
      </x:c>
      <x:c r="BU744" s="6" t="str">
        <x:v>144.0</x:v>
      </x:c>
      <x:c r="BV744" s="6" t="str">
        <x:v>1</x:v>
      </x:c>
      <x:c r="BW744" s="9" t="str">
        <x:v>operational_snapshot_annual_totals_may_differ</x:v>
      </x:c>
      <x:c r="BX744" s="9" t="str">
        <x:v>official_live_dashboard_snapshot_subject_to_revision</x:v>
      </x:c>
      <x:c r="BY744" s="9" t="str">
        <x:v>https://tbdashboard.sitb.id/ss_data_tbc03so_2025_provinsi_bulanan_list.php</x:v>
      </x:c>
      <x:c r="BZ744" s="6" t="n">
        <x:v>46246.610671296294</x:v>
      </x:c>
    </x:row>
    <x:row r="745" ht="18" customHeight="1">
      <x:c r="A745" s="6" t="str">
        <x:v>81</x:v>
      </x:c>
      <x:c r="B745" s="6" t="str">
        <x:v>MALUKU</x:v>
      </x:c>
      <x:c r="C745" s="6" t="str">
        <x:v>2025</x:v>
      </x:c>
      <x:c r="D745" s="6" t="str">
        <x:v>12</x:v>
      </x:c>
      <x:c r="E745" s="6" t="str">
        <x:v>2025-12</x:v>
      </x:c>
      <x:c r="F745" s="6" t="str">
        <x:v>370</x:v>
      </x:c>
      <x:c r="G745" s="6" t="str">
        <x:v>60</x:v>
      </x:c>
      <x:c r="H745" s="6" t="str">
        <x:v>184</x:v>
      </x:c>
      <x:c r="I745" s="6" t="str">
        <x:v>20</x:v>
      </x:c>
      <x:c r="J745" s="6" t="str">
        <x:v>22</x:v>
      </x:c>
      <x:c r="K745" s="6" t="str">
        <x:v>0</x:v>
      </x:c>
      <x:c r="L745" s="6" t="str">
        <x:v>0</x:v>
      </x:c>
      <x:c r="M745" s="6" t="str">
        <x:v>84</x:v>
      </x:c>
      <x:c r="N745" s="6" t="str">
        <x:v>370</x:v>
      </x:c>
      <x:c r="O745" s="6" t="str">
        <x:v>0</x:v>
      </x:c>
      <x:c r="P745" s="10" t="n">
        <x:f>F745-M745</x:f>
        <x:v>286</x:v>
      </x:c>
      <x:c r="Q745" s="11" t="n">
        <x:f>IFERROR(M745/F745,"")</x:f>
        <x:v>0.22702702702702704</x:v>
      </x:c>
      <x:c r="R745" s="10" t="n">
        <x:f>G745+H745</x:f>
        <x:v>244</x:v>
      </x:c>
      <x:c r="S745" s="11" t="n">
        <x:f>IFERROR(R745/F745,"")</x:f>
        <x:v>0.6594594594594595</x:v>
      </x:c>
      <x:c r="T745" s="11" t="n">
        <x:f>IFERROR(R745/P745,"")</x:f>
        <x:v>0.8531468531468531</x:v>
      </x:c>
      <x:c r="U745" s="10" t="n">
        <x:f>I745+J745+K745</x:f>
        <x:v>42</x:v>
      </x:c>
      <x:c r="V745" s="11" t="n">
        <x:f>IFERROR(U745/P745,"")</x:f>
        <x:v>0.14685314685314685</x:v>
      </x:c>
      <x:c r="W745" s="9" t="str">
        <x:v>provisional_gt_5pct_pending</x:v>
      </x:c>
      <x:c r="X745" s="12" t="n">
        <x:f>IFERROR(F745/Z745*100000,"")</x:f>
        <x:v>18.77600730741906</x:v>
      </x:c>
      <x:c r="Y745" s="13" t="n">
        <x:f>LN(Z745)</x:f>
        <x:v>14.49384862287051</x:v>
      </x:c>
      <x:c r="Z745" s="6" t="str">
        <x:v>1970600</x:v>
      </x:c>
      <x:c r="AA745" s="6" t="str">
        <x:v>43.0</x:v>
      </x:c>
      <x:c r="AB745" s="9" t="str">
        <x:v>2025-06-30</x:v>
      </x:c>
      <x:c r="AC745" s="8" t="str">
        <x:v>83.09</x:v>
      </x:c>
      <x:c r="AD745" s="9" t="str">
        <x:v>2025 (Susenas)</x:v>
      </x:c>
      <x:c r="AE745" s="8" t="str">
        <x:v>15.38</x:v>
      </x:c>
      <x:c r="AF745" s="9" t="str">
        <x:v>Maret 2025 (Susenas)</x:v>
      </x:c>
      <x:c r="AG745" s="6" t="str">
        <x:v>26.72043111020622</x:v>
      </x:c>
      <x:c r="AH745" s="8" t="str">
        <x:v>84.91651778002134</x:v>
      </x:c>
      <x:c r="AI745" s="6" t="str">
        <x:v>220.9327280630651</x:v>
      </x:c>
      <x:c r="AJ745" s="6" t="str">
        <x:v>-0.1443172194466342</x:v>
      </x:c>
      <x:c r="AK745" s="8" t="str">
        <x:v>-0.236706002125099</x:v>
      </x:c>
      <x:c r="AL745" s="6" t="str">
        <x:v>-0.3510281112035306</x:v>
      </x:c>
      <x:c r="AM745" s="6" t="str">
        <x:v>0.5470584500842233</x:v>
      </x:c>
      <x:c r="AN745" s="6" t="str">
        <x:v>-0.0135585544148021</x:v>
      </x:c>
      <x:c r="AO745" s="6" t="str">
        <x:v>3.066460431417269</x:v>
      </x:c>
      <x:c r="AP745" s="8" t="str">
        <x:v>0.8330667803205045</x:v>
      </x:c>
      <x:c r="AQ745" s="6" t="str">
        <x:v>1.2373301556356973</x:v>
      </x:c>
      <x:c r="AR745" s="6" t="str">
        <x:v>1.162598229062534</x:v>
      </x:c>
      <x:c r="AS745" s="6" t="str">
        <x:v>1.0776650550062454</x:v>
      </x:c>
      <x:c r="AT745" s="6" t="str">
        <x:v>19.52840943654482</x:v>
      </x:c>
      <x:c r="AU745" s="8" t="str">
        <x:v>0.3046588706647922</x:v>
      </x:c>
      <x:c r="AV745" s="6" t="str">
        <x:v>1.4805607289936742</x:v>
      </x:c>
      <x:c r="AW745" s="6" t="str">
        <x:v>1.1447530346348904</x:v>
      </x:c>
      <x:c r="AX745" s="6" t="str">
        <x:v>0.976657544764452</x:v>
      </x:c>
      <x:c r="AY745" s="6" t="str">
        <x:v>0</x:v>
      </x:c>
      <x:c r="AZ745" s="6" t="str">
        <x:v>0</x:v>
      </x:c>
      <x:c r="BA745" s="9" t="str">
        <x:v>grid_cells_within_BIG_polygon</x:v>
      </x:c>
      <x:c r="BB745" s="6" t="str">
        <x:v>11</x:v>
      </x:c>
      <x:c r="BC745" s="6" t="str">
        <x:v>2</x:v>
      </x:c>
      <x:c r="BD745" s="6" t="str">
        <x:v>2</x:v>
      </x:c>
      <x:c r="BE745" s="6" t="str">
        <x:v>2</x:v>
      </x:c>
      <x:c r="BF745" s="6" t="str">
        <x:v>0</x:v>
      </x:c>
      <x:c r="BG745" s="6" t="str">
        <x:v>0</x:v>
      </x:c>
      <x:c r="BH745" s="6" t="str">
        <x:v>0</x:v>
      </x:c>
      <x:c r="BI745" s="6" t="str">
        <x:v>0</x:v>
      </x:c>
      <x:c r="BJ745" s="6" t="str">
        <x:v>0</x:v>
      </x:c>
      <x:c r="BK745" s="6" t="str">
        <x:v>0</x:v>
      </x:c>
      <x:c r="BL745" s="6" t="str">
        <x:v>0</x:v>
      </x:c>
      <x:c r="BM745" s="6" t="str">
        <x:v>0</x:v>
      </x:c>
      <x:c r="BN745" s="6" t="str">
        <x:v>2</x:v>
      </x:c>
      <x:c r="BO745" s="6" t="str"/>
      <x:c r="BP745" s="6" t="str">
        <x:v>0</x:v>
      </x:c>
      <x:c r="BQ745" s="6" t="str"/>
      <x:c r="BR745" s="6" t="str">
        <x:v>0</x:v>
      </x:c>
      <x:c r="BS745" s="6" t="str">
        <x:v>0.0</x:v>
      </x:c>
      <x:c r="BT745" s="6" t="str">
        <x:v>2</x:v>
      </x:c>
      <x:c r="BU745" s="6" t="str">
        <x:v>24.0</x:v>
      </x:c>
      <x:c r="BV745" s="6" t="str">
        <x:v>1</x:v>
      </x:c>
      <x:c r="BW745" s="9" t="str">
        <x:v>operational_snapshot_annual_totals_may_differ</x:v>
      </x:c>
      <x:c r="BX745" s="9" t="str">
        <x:v>official_live_dashboard_snapshot_subject_to_revision</x:v>
      </x:c>
      <x:c r="BY745" s="9" t="str">
        <x:v>https://tbdashboard.sitb.id/ss_data_tbc03so_2025_provinsi_bulanan_list.php</x:v>
      </x:c>
      <x:c r="BZ745" s="6" t="n">
        <x:v>46246.610671296294</x:v>
      </x:c>
    </x:row>
    <x:row r="746" ht="18" customHeight="1">
      <x:c r="A746" s="6" t="str">
        <x:v>82</x:v>
      </x:c>
      <x:c r="B746" s="6" t="str">
        <x:v>MALUKU UTARA</x:v>
      </x:c>
      <x:c r="C746" s="6" t="str">
        <x:v>2024</x:v>
      </x:c>
      <x:c r="D746" s="6" t="str">
        <x:v>1</x:v>
      </x:c>
      <x:c r="E746" s="6" t="str">
        <x:v>2024-01</x:v>
      </x:c>
      <x:c r="F746" s="6" t="str">
        <x:v>280</x:v>
      </x:c>
      <x:c r="G746" s="6" t="str">
        <x:v>58</x:v>
      </x:c>
      <x:c r="H746" s="6" t="str">
        <x:v>154</x:v>
      </x:c>
      <x:c r="I746" s="6" t="str">
        <x:v>25</x:v>
      </x:c>
      <x:c r="J746" s="6" t="str">
        <x:v>23</x:v>
      </x:c>
      <x:c r="K746" s="6" t="str">
        <x:v>2</x:v>
      </x:c>
      <x:c r="L746" s="6" t="str">
        <x:v>3</x:v>
      </x:c>
      <x:c r="M746" s="6" t="str">
        <x:v>15</x:v>
      </x:c>
      <x:c r="N746" s="6" t="str">
        <x:v>280</x:v>
      </x:c>
      <x:c r="O746" s="6" t="str">
        <x:v>0</x:v>
      </x:c>
      <x:c r="P746" s="10" t="n">
        <x:f>F746-M746</x:f>
        <x:v>265</x:v>
      </x:c>
      <x:c r="Q746" s="11" t="n">
        <x:f>IFERROR(M746/F746,"")</x:f>
        <x:v>0.05357142857142857</x:v>
      </x:c>
      <x:c r="R746" s="10" t="n">
        <x:f>G746+H746</x:f>
        <x:v>212</x:v>
      </x:c>
      <x:c r="S746" s="11" t="n">
        <x:f>IFERROR(R746/F746,"")</x:f>
        <x:v>0.7571428571428571</x:v>
      </x:c>
      <x:c r="T746" s="11" t="n">
        <x:f>IFERROR(R746/P746,"")</x:f>
        <x:v>0.8</x:v>
      </x:c>
      <x:c r="U746" s="10" t="n">
        <x:f>I746+J746+K746</x:f>
        <x:v>50</x:v>
      </x:c>
      <x:c r="V746" s="11" t="n">
        <x:f>IFERROR(U746/P746,"")</x:f>
        <x:v>0.18867924528301888</x:v>
      </x:c>
      <x:c r="W746" s="9" t="str">
        <x:v>provisional_gt_5pct_pending</x:v>
      </x:c>
      <x:c r="X746" s="12" t="n">
        <x:f>IFERROR(F746/Z746*100000,"")</x:f>
        <x:v>20.655060489820006</x:v>
      </x:c>
      <x:c r="Y746" s="13" t="n">
        <x:f>LN(Z746)</x:f>
        <x:v>14.119754718715033</x:v>
      </x:c>
      <x:c r="Z746" s="6" t="str">
        <x:v>1355600</x:v>
      </x:c>
      <x:c r="AA746" s="6" t="str">
        <x:v>41.0</x:v>
      </x:c>
      <x:c r="AB746" s="9" t="str">
        <x:v>2024-06-30</x:v>
      </x:c>
      <x:c r="AC746" s="8" t="str">
        <x:v>82.3</x:v>
      </x:c>
      <x:c r="AD746" s="9" t="str">
        <x:v>2024 (Susenas)</x:v>
      </x:c>
      <x:c r="AE746" s="8" t="str">
        <x:v>6.32</x:v>
      </x:c>
      <x:c r="AF746" s="9" t="str">
        <x:v>Maret 2024 (Susenas)</x:v>
      </x:c>
      <x:c r="AG746" s="6" t="str">
        <x:v>27.737999558490717</x:v>
      </x:c>
      <x:c r="AH746" s="8" t="str">
        <x:v>80.09395929984136</x:v>
      </x:c>
      <x:c r="AI746" s="6" t="str">
        <x:v>216.63137895752257</x:v>
      </x:c>
      <x:c r="AJ746" s="6" t="str">
        <x:v>0.9899361770385652</x:v>
      </x:c>
      <x:c r="AK746" s="8" t="str">
        <x:v>1.6914307073521977</x:v>
      </x:c>
      <x:c r="AL746" s="6" t="str">
        <x:v>2.2833245397263298</x:v>
      </x:c>
      <x:c r="AM746" s="6" t="str">
        <x:v>1.6547411435941737</x:v>
      </x:c>
      <x:c r="AN746" s="6" t="str">
        <x:v>1.8764987968909008</x:v>
      </x:c>
      <x:c r="AO746" s="6" t="str">
        <x:v>-1.2622073853437</x:v>
      </x:c>
      <x:c r="AP746" s="8" t="str">
        <x:v>-0.3113885417274374</x:v>
      </x:c>
      <x:c r="AQ746" s="6" t="str">
        <x:v>-1.0022955888338976</x:v>
      </x:c>
      <x:c r="AR746" s="6" t="str">
        <x:v>-0.4767859460053456</x:v>
      </x:c>
      <x:c r="AS746" s="6" t="str">
        <x:v>-0.5968233588555603</x:v>
      </x:c>
      <x:c r="AT746" s="6" t="str">
        <x:v>34.7735594869078</x:v>
      </x:c>
      <x:c r="AU746" s="8" t="str">
        <x:v>0.435089082707437</x:v>
      </x:c>
      <x:c r="AV746" s="6" t="str">
        <x:v>-1.3231436986943927</x:v>
      </x:c>
      <x:c r="AW746" s="6" t="str">
        <x:v>-0.9774629087887496</x:v>
      </x:c>
      <x:c r="AX746" s="6" t="str">
        <x:v>-0.6218391749252355</x:v>
      </x:c>
      <x:c r="AY746" s="6" t="str">
        <x:v>0</x:v>
      </x:c>
      <x:c r="AZ746" s="6" t="str">
        <x:v>1</x:v>
      </x:c>
      <x:c r="BA746" s="9" t="str">
        <x:v>grid_cells_within_BIG_polygon</x:v>
      </x:c>
      <x:c r="BB746" s="6" t="str">
        <x:v>5</x:v>
      </x:c>
      <x:c r="BC746" s="6" t="str">
        <x:v>4</x:v>
      </x:c>
      <x:c r="BD746" s="6" t="str">
        <x:v>4</x:v>
      </x:c>
      <x:c r="BE746" s="6" t="str">
        <x:v>3</x:v>
      </x:c>
      <x:c r="BF746" s="6" t="str">
        <x:v>0</x:v>
      </x:c>
      <x:c r="BG746" s="6" t="str">
        <x:v>1</x:v>
      </x:c>
      <x:c r="BH746" s="6" t="str">
        <x:v>0</x:v>
      </x:c>
      <x:c r="BI746" s="6" t="str">
        <x:v>0</x:v>
      </x:c>
      <x:c r="BJ746" s="6" t="str">
        <x:v>0</x:v>
      </x:c>
      <x:c r="BK746" s="6" t="str">
        <x:v>0</x:v>
      </x:c>
      <x:c r="BL746" s="6" t="str">
        <x:v>0</x:v>
      </x:c>
      <x:c r="BM746" s="6" t="str">
        <x:v>0</x:v>
      </x:c>
      <x:c r="BN746" s="6" t="str">
        <x:v>4</x:v>
      </x:c>
      <x:c r="BO746" s="6" t="str">
        <x:v>1.0</x:v>
      </x:c>
      <x:c r="BP746" s="6" t="str">
        <x:v>4</x:v>
      </x:c>
      <x:c r="BQ746" s="6" t="str">
        <x:v>2.0</x:v>
      </x:c>
      <x:c r="BR746" s="6" t="str">
        <x:v>4</x:v>
      </x:c>
      <x:c r="BS746" s="6" t="str">
        <x:v>14.0</x:v>
      </x:c>
      <x:c r="BT746" s="6" t="str">
        <x:v>4</x:v>
      </x:c>
      <x:c r="BU746" s="6" t="str">
        <x:v>153.0</x:v>
      </x:c>
      <x:c r="BV746" s="6" t="str">
        <x:v>3</x:v>
      </x:c>
      <x:c r="BW746" s="9" t="str">
        <x:v>operational_snapshot_annual_totals_may_differ</x:v>
      </x:c>
      <x:c r="BX746" s="9" t="str">
        <x:v>official_live_dashboard_snapshot_subject_to_revision</x:v>
      </x:c>
      <x:c r="BY746" s="9" t="str">
        <x:v>https://tbdashboard.sitb.id/ss_data_tbc03so_2024_provinsi_bulanan_list.php</x:v>
      </x:c>
      <x:c r="BZ746" s="6" t="n">
        <x:v>46246.610671296294</x:v>
      </x:c>
    </x:row>
    <x:row r="747" ht="18" customHeight="1">
      <x:c r="A747" s="6" t="str">
        <x:v>82</x:v>
      </x:c>
      <x:c r="B747" s="6" t="str">
        <x:v>MALUKU UTARA</x:v>
      </x:c>
      <x:c r="C747" s="6" t="str">
        <x:v>2024</x:v>
      </x:c>
      <x:c r="D747" s="6" t="str">
        <x:v>2</x:v>
      </x:c>
      <x:c r="E747" s="6" t="str">
        <x:v>2024-02</x:v>
      </x:c>
      <x:c r="F747" s="6" t="str">
        <x:v>223</x:v>
      </x:c>
      <x:c r="G747" s="6" t="str">
        <x:v>38</x:v>
      </x:c>
      <x:c r="H747" s="6" t="str">
        <x:v>131</x:v>
      </x:c>
      <x:c r="I747" s="6" t="str">
        <x:v>19</x:v>
      </x:c>
      <x:c r="J747" s="6" t="str">
        <x:v>17</x:v>
      </x:c>
      <x:c r="K747" s="6" t="str">
        <x:v>0</x:v>
      </x:c>
      <x:c r="L747" s="6" t="str">
        <x:v>7</x:v>
      </x:c>
      <x:c r="M747" s="6" t="str">
        <x:v>11</x:v>
      </x:c>
      <x:c r="N747" s="6" t="str">
        <x:v>223</x:v>
      </x:c>
      <x:c r="O747" s="6" t="str">
        <x:v>0</x:v>
      </x:c>
      <x:c r="P747" s="10" t="n">
        <x:f>F747-M747</x:f>
        <x:v>212</x:v>
      </x:c>
      <x:c r="Q747" s="11" t="n">
        <x:f>IFERROR(M747/F747,"")</x:f>
        <x:v>0.04932735426008968</x:v>
      </x:c>
      <x:c r="R747" s="10" t="n">
        <x:f>G747+H747</x:f>
        <x:v>169</x:v>
      </x:c>
      <x:c r="S747" s="11" t="n">
        <x:f>IFERROR(R747/F747,"")</x:f>
        <x:v>0.757847533632287</x:v>
      </x:c>
      <x:c r="T747" s="11" t="n">
        <x:f>IFERROR(R747/P747,"")</x:f>
        <x:v>0.7971698113207547</x:v>
      </x:c>
      <x:c r="U747" s="10" t="n">
        <x:f>I747+J747+K747</x:f>
        <x:v>36</x:v>
      </x:c>
      <x:c r="V747" s="11" t="n">
        <x:f>IFERROR(U747/P747,"")</x:f>
        <x:v>0.16981132075471697</x:v>
      </x:c>
      <x:c r="W747" s="9" t="str">
        <x:v>mature_le_5pct_pending</x:v>
      </x:c>
      <x:c r="X747" s="12" t="n">
        <x:f>IFERROR(F747/Z747*100000,"")</x:f>
        <x:v>16.45028031867808</x:v>
      </x:c>
      <x:c r="Y747" s="13" t="n">
        <x:f>LN(Z747)</x:f>
        <x:v>14.119754718715033</x:v>
      </x:c>
      <x:c r="Z747" s="6" t="str">
        <x:v>1355600</x:v>
      </x:c>
      <x:c r="AA747" s="6" t="str">
        <x:v>41.0</x:v>
      </x:c>
      <x:c r="AB747" s="9" t="str">
        <x:v>2024-06-30</x:v>
      </x:c>
      <x:c r="AC747" s="8" t="str">
        <x:v>82.3</x:v>
      </x:c>
      <x:c r="AD747" s="9" t="str">
        <x:v>2024 (Susenas)</x:v>
      </x:c>
      <x:c r="AE747" s="8" t="str">
        <x:v>6.32</x:v>
      </x:c>
      <x:c r="AF747" s="9" t="str">
        <x:v>Maret 2024 (Susenas)</x:v>
      </x:c>
      <x:c r="AG747" s="6" t="str">
        <x:v>27.729995507100806</x:v>
      </x:c>
      <x:c r="AH747" s="8" t="str">
        <x:v>79.27996983883048</x:v>
      </x:c>
      <x:c r="AI747" s="6" t="str">
        <x:v>74.23970183379224</x:v>
      </x:c>
      <x:c r="AJ747" s="6" t="str">
        <x:v>0.9697304541768972</x:v>
      </x:c>
      <x:c r="AK747" s="8" t="str">
        <x:v>1.681871249033273</x:v>
      </x:c>
      <x:c r="AL747" s="6" t="str">
        <x:v>1.6914307073521977</x:v>
      </x:c>
      <x:c r="AM747" s="6" t="str">
        <x:v>2.2833245397263298</x:v>
      </x:c>
      <x:c r="AN747" s="6" t="str">
        <x:v>1.8855421653706008</x:v>
      </x:c>
      <x:c r="AO747" s="6" t="str">
        <x:v>-1.5543757054359588</x:v>
      </x:c>
      <x:c r="AP747" s="8" t="str">
        <x:v>-0.3783986335652664</x:v>
      </x:c>
      <x:c r="AQ747" s="6" t="str">
        <x:v>-0.3113885417274374</x:v>
      </x:c>
      <x:c r="AR747" s="6" t="str">
        <x:v>-1.0022955888338976</x:v>
      </x:c>
      <x:c r="AS747" s="6" t="str">
        <x:v>-0.5640275880422005</x:v>
      </x:c>
      <x:c r="AT747" s="6" t="str">
        <x:v>-81.65500407967066</x:v>
      </x:c>
      <x:c r="AU747" s="8" t="str">
        <x:v>-1.0547362586103834</x:v>
      </x:c>
      <x:c r="AV747" s="6" t="str">
        <x:v>0.435089082707437</x:v>
      </x:c>
      <x:c r="AW747" s="6" t="str">
        <x:v>-1.3231436986943927</x:v>
      </x:c>
      <x:c r="AX747" s="6" t="str">
        <x:v>-0.6475969581991134</x:v>
      </x:c>
      <x:c r="AY747" s="6" t="str">
        <x:v>0</x:v>
      </x:c>
      <x:c r="AZ747" s="6" t="str">
        <x:v>1</x:v>
      </x:c>
      <x:c r="BA747" s="9" t="str">
        <x:v>grid_cells_within_BIG_polygon</x:v>
      </x:c>
      <x:c r="BB747" s="6" t="str">
        <x:v>5</x:v>
      </x:c>
      <x:c r="BC747" s="6" t="str">
        <x:v>1</x:v>
      </x:c>
      <x:c r="BD747" s="6" t="str">
        <x:v>1</x:v>
      </x:c>
      <x:c r="BE747" s="6" t="str">
        <x:v>1</x:v>
      </x:c>
      <x:c r="BF747" s="6" t="str">
        <x:v>0</x:v>
      </x:c>
      <x:c r="BG747" s="6" t="str">
        <x:v>0</x:v>
      </x:c>
      <x:c r="BH747" s="6" t="str">
        <x:v>0</x:v>
      </x:c>
      <x:c r="BI747" s="6" t="str">
        <x:v>0</x:v>
      </x:c>
      <x:c r="BJ747" s="6" t="str">
        <x:v>0</x:v>
      </x:c>
      <x:c r="BK747" s="6" t="str">
        <x:v>0</x:v>
      </x:c>
      <x:c r="BL747" s="6" t="str">
        <x:v>0</x:v>
      </x:c>
      <x:c r="BM747" s="6" t="str">
        <x:v>0</x:v>
      </x:c>
      <x:c r="BN747" s="6" t="str">
        <x:v>1</x:v>
      </x:c>
      <x:c r="BO747" s="6" t="str">
        <x:v>0.0</x:v>
      </x:c>
      <x:c r="BP747" s="6" t="str">
        <x:v>1</x:v>
      </x:c>
      <x:c r="BQ747" s="6" t="str">
        <x:v>0.0</x:v>
      </x:c>
      <x:c r="BR747" s="6" t="str">
        <x:v>1</x:v>
      </x:c>
      <x:c r="BS747" s="6" t="str">
        <x:v>0.0</x:v>
      </x:c>
      <x:c r="BT747" s="6" t="str">
        <x:v>1</x:v>
      </x:c>
      <x:c r="BU747" s="6" t="str">
        <x:v>50.0</x:v>
      </x:c>
      <x:c r="BV747" s="6" t="str">
        <x:v>1</x:v>
      </x:c>
      <x:c r="BW747" s="9" t="str">
        <x:v>operational_snapshot_annual_totals_may_differ</x:v>
      </x:c>
      <x:c r="BX747" s="9" t="str">
        <x:v>official_live_dashboard_snapshot_subject_to_revision</x:v>
      </x:c>
      <x:c r="BY747" s="9" t="str">
        <x:v>https://tbdashboard.sitb.id/ss_data_tbc03so_2024_provinsi_bulanan_list.php</x:v>
      </x:c>
      <x:c r="BZ747" s="6" t="n">
        <x:v>46246.610671296294</x:v>
      </x:c>
    </x:row>
    <x:row r="748" ht="18" customHeight="1">
      <x:c r="A748" s="6" t="str">
        <x:v>82</x:v>
      </x:c>
      <x:c r="B748" s="6" t="str">
        <x:v>MALUKU UTARA</x:v>
      </x:c>
      <x:c r="C748" s="6" t="str">
        <x:v>2024</x:v>
      </x:c>
      <x:c r="D748" s="6" t="str">
        <x:v>3</x:v>
      </x:c>
      <x:c r="E748" s="6" t="str">
        <x:v>2024-03</x:v>
      </x:c>
      <x:c r="F748" s="6" t="str">
        <x:v>246</x:v>
      </x:c>
      <x:c r="G748" s="6" t="str">
        <x:v>62</x:v>
      </x:c>
      <x:c r="H748" s="6" t="str">
        <x:v>130</x:v>
      </x:c>
      <x:c r="I748" s="6" t="str">
        <x:v>19</x:v>
      </x:c>
      <x:c r="J748" s="6" t="str">
        <x:v>19</x:v>
      </x:c>
      <x:c r="K748" s="6" t="str">
        <x:v>0</x:v>
      </x:c>
      <x:c r="L748" s="6" t="str">
        <x:v>0</x:v>
      </x:c>
      <x:c r="M748" s="6" t="str">
        <x:v>16</x:v>
      </x:c>
      <x:c r="N748" s="6" t="str">
        <x:v>246</x:v>
      </x:c>
      <x:c r="O748" s="6" t="str">
        <x:v>0</x:v>
      </x:c>
      <x:c r="P748" s="10" t="n">
        <x:f>F748-M748</x:f>
        <x:v>230</x:v>
      </x:c>
      <x:c r="Q748" s="11" t="n">
        <x:f>IFERROR(M748/F748,"")</x:f>
        <x:v>0.06504065040650407</x:v>
      </x:c>
      <x:c r="R748" s="10" t="n">
        <x:f>G748+H748</x:f>
        <x:v>192</x:v>
      </x:c>
      <x:c r="S748" s="11" t="n">
        <x:f>IFERROR(R748/F748,"")</x:f>
        <x:v>0.7804878048780488</x:v>
      </x:c>
      <x:c r="T748" s="11" t="n">
        <x:f>IFERROR(R748/P748,"")</x:f>
        <x:v>0.8347826086956521</x:v>
      </x:c>
      <x:c r="U748" s="10" t="n">
        <x:f>I748+J748+K748</x:f>
        <x:v>38</x:v>
      </x:c>
      <x:c r="V748" s="11" t="n">
        <x:f>IFERROR(U748/P748,"")</x:f>
        <x:v>0.16521739130434782</x:v>
      </x:c>
      <x:c r="W748" s="9" t="str">
        <x:v>provisional_gt_5pct_pending</x:v>
      </x:c>
      <x:c r="X748" s="12" t="n">
        <x:f>IFERROR(F748/Z748*100000,"")</x:f>
        <x:v>18.146946001770434</x:v>
      </x:c>
      <x:c r="Y748" s="13" t="n">
        <x:f>LN(Z748)</x:f>
        <x:v>14.119754718715033</x:v>
      </x:c>
      <x:c r="Z748" s="6" t="str">
        <x:v>1355600</x:v>
      </x:c>
      <x:c r="AA748" s="6" t="str">
        <x:v>41.0</x:v>
      </x:c>
      <x:c r="AB748" s="9" t="str">
        <x:v>2024-06-30</x:v>
      </x:c>
      <x:c r="AC748" s="8" t="str">
        <x:v>82.3</x:v>
      </x:c>
      <x:c r="AD748" s="9" t="str">
        <x:v>2024 (Susenas)</x:v>
      </x:c>
      <x:c r="AE748" s="8" t="str">
        <x:v>6.32</x:v>
      </x:c>
      <x:c r="AF748" s="9" t="str">
        <x:v>Maret 2024 (Susenas)</x:v>
      </x:c>
      <x:c r="AG748" s="6" t="str">
        <x:v>28.084001873910378</x:v>
      </x:c>
      <x:c r="AH748" s="8" t="str">
        <x:v>77.75193631423173</x:v>
      </x:c>
      <x:c r="AI748" s="6" t="str">
        <x:v>118.48131015031638</x:v>
      </x:c>
      <x:c r="AJ748" s="6" t="str">
        <x:v>1.1043983976833118</x:v>
      </x:c>
      <x:c r="AK748" s="8" t="str">
        <x:v>1.9300731355148728</x:v>
      </x:c>
      <x:c r="AL748" s="6" t="str">
        <x:v>1.681871249033273</x:v>
      </x:c>
      <x:c r="AM748" s="6" t="str">
        <x:v>1.6914307073521977</x:v>
      </x:c>
      <x:c r="AN748" s="6" t="str">
        <x:v>1.7677916973001149</x:v>
      </x:c>
      <x:c r="AO748" s="6" t="str">
        <x:v>-2.166720908826747</x:v>
      </x:c>
      <x:c r="AP748" s="8" t="str">
        <x:v>-0.5826816176444095</x:v>
      </x:c>
      <x:c r="AQ748" s="6" t="str">
        <x:v>-0.3783986335652664</x:v>
      </x:c>
      <x:c r="AR748" s="6" t="str">
        <x:v>-0.3113885417274374</x:v>
      </x:c>
      <x:c r="AS748" s="6" t="str">
        <x:v>-0.4241562643123712</x:v>
      </x:c>
      <x:c r="AT748" s="6" t="str">
        <x:v>-50.31195742794023</x:v>
      </x:c>
      <x:c r="AU748" s="8" t="str">
        <x:v>-0.6362017720417518</x:v>
      </x:c>
      <x:c r="AV748" s="6" t="str">
        <x:v>-1.0547362586103834</x:v>
      </x:c>
      <x:c r="AW748" s="6" t="str">
        <x:v>0.435089082707437</x:v>
      </x:c>
      <x:c r="AX748" s="6" t="str">
        <x:v>-0.4186163159815665</x:v>
      </x:c>
      <x:c r="AY748" s="6" t="str">
        <x:v>0</x:v>
      </x:c>
      <x:c r="AZ748" s="6" t="str">
        <x:v>1</x:v>
      </x:c>
      <x:c r="BA748" s="9" t="str">
        <x:v>grid_cells_within_BIG_polygon</x:v>
      </x:c>
      <x:c r="BB748" s="6" t="str">
        <x:v>5</x:v>
      </x:c>
      <x:c r="BC748" s="6" t="str">
        <x:v>7</x:v>
      </x:c>
      <x:c r="BD748" s="6" t="str">
        <x:v>7</x:v>
      </x:c>
      <x:c r="BE748" s="6" t="str">
        <x:v>6</x:v>
      </x:c>
      <x:c r="BF748" s="6" t="str">
        <x:v>0</x:v>
      </x:c>
      <x:c r="BG748" s="6" t="str">
        <x:v>1</x:v>
      </x:c>
      <x:c r="BH748" s="6" t="str">
        <x:v>0</x:v>
      </x:c>
      <x:c r="BI748" s="6" t="str">
        <x:v>0</x:v>
      </x:c>
      <x:c r="BJ748" s="6" t="str">
        <x:v>0</x:v>
      </x:c>
      <x:c r="BK748" s="6" t="str">
        <x:v>0</x:v>
      </x:c>
      <x:c r="BL748" s="6" t="str">
        <x:v>0</x:v>
      </x:c>
      <x:c r="BM748" s="6" t="str">
        <x:v>0</x:v>
      </x:c>
      <x:c r="BN748" s="6" t="str">
        <x:v>7</x:v>
      </x:c>
      <x:c r="BO748" s="6" t="str">
        <x:v>0.0</x:v>
      </x:c>
      <x:c r="BP748" s="6" t="str">
        <x:v>7</x:v>
      </x:c>
      <x:c r="BQ748" s="6" t="str">
        <x:v>0.0</x:v>
      </x:c>
      <x:c r="BR748" s="6" t="str">
        <x:v>7</x:v>
      </x:c>
      <x:c r="BS748" s="6" t="str">
        <x:v>10.0</x:v>
      </x:c>
      <x:c r="BT748" s="6" t="str">
        <x:v>7</x:v>
      </x:c>
      <x:c r="BU748" s="6" t="str">
        <x:v>209.0</x:v>
      </x:c>
      <x:c r="BV748" s="6" t="str">
        <x:v>4</x:v>
      </x:c>
      <x:c r="BW748" s="9" t="str">
        <x:v>operational_snapshot_annual_totals_may_differ</x:v>
      </x:c>
      <x:c r="BX748" s="9" t="str">
        <x:v>official_live_dashboard_snapshot_subject_to_revision</x:v>
      </x:c>
      <x:c r="BY748" s="9" t="str">
        <x:v>https://tbdashboard.sitb.id/ss_data_tbc03so_2024_provinsi_bulanan_list.php</x:v>
      </x:c>
      <x:c r="BZ748" s="6" t="n">
        <x:v>46246.610671296294</x:v>
      </x:c>
    </x:row>
    <x:row r="749" ht="18" customHeight="1">
      <x:c r="A749" s="6" t="str">
        <x:v>82</x:v>
      </x:c>
      <x:c r="B749" s="6" t="str">
        <x:v>MALUKU UTARA</x:v>
      </x:c>
      <x:c r="C749" s="6" t="str">
        <x:v>2024</x:v>
      </x:c>
      <x:c r="D749" s="6" t="str">
        <x:v>4</x:v>
      </x:c>
      <x:c r="E749" s="6" t="str">
        <x:v>2024-04</x:v>
      </x:c>
      <x:c r="F749" s="6" t="str">
        <x:v>241</x:v>
      </x:c>
      <x:c r="G749" s="6" t="str">
        <x:v>59</x:v>
      </x:c>
      <x:c r="H749" s="6" t="str">
        <x:v>127</x:v>
      </x:c>
      <x:c r="I749" s="6" t="str">
        <x:v>24</x:v>
      </x:c>
      <x:c r="J749" s="6" t="str">
        <x:v>18</x:v>
      </x:c>
      <x:c r="K749" s="6" t="str">
        <x:v>0</x:v>
      </x:c>
      <x:c r="L749" s="6" t="str">
        <x:v>1</x:v>
      </x:c>
      <x:c r="M749" s="6" t="str">
        <x:v>12</x:v>
      </x:c>
      <x:c r="N749" s="6" t="str">
        <x:v>241</x:v>
      </x:c>
      <x:c r="O749" s="6" t="str">
        <x:v>0</x:v>
      </x:c>
      <x:c r="P749" s="10" t="n">
        <x:f>F749-M749</x:f>
        <x:v>229</x:v>
      </x:c>
      <x:c r="Q749" s="11" t="n">
        <x:f>IFERROR(M749/F749,"")</x:f>
        <x:v>0.04979253112033195</x:v>
      </x:c>
      <x:c r="R749" s="10" t="n">
        <x:f>G749+H749</x:f>
        <x:v>186</x:v>
      </x:c>
      <x:c r="S749" s="11" t="n">
        <x:f>IFERROR(R749/F749,"")</x:f>
        <x:v>0.7717842323651453</x:v>
      </x:c>
      <x:c r="T749" s="11" t="n">
        <x:f>IFERROR(R749/P749,"")</x:f>
        <x:v>0.8122270742358079</x:v>
      </x:c>
      <x:c r="U749" s="10" t="n">
        <x:f>I749+J749+K749</x:f>
        <x:v>42</x:v>
      </x:c>
      <x:c r="V749" s="11" t="n">
        <x:f>IFERROR(U749/P749,"")</x:f>
        <x:v>0.18340611353711792</x:v>
      </x:c>
      <x:c r="W749" s="9" t="str">
        <x:v>mature_le_5pct_pending</x:v>
      </x:c>
      <x:c r="X749" s="12" t="n">
        <x:f>IFERROR(F749/Z749*100000,"")</x:f>
        <x:v>17.77810563588079</x:v>
      </x:c>
      <x:c r="Y749" s="13" t="n">
        <x:f>LN(Z749)</x:f>
        <x:v>14.119754718715033</x:v>
      </x:c>
      <x:c r="Z749" s="6" t="str">
        <x:v>1355600</x:v>
      </x:c>
      <x:c r="AA749" s="6" t="str">
        <x:v>41.0</x:v>
      </x:c>
      <x:c r="AB749" s="9" t="str">
        <x:v>2024-06-30</x:v>
      </x:c>
      <x:c r="AC749" s="8" t="str">
        <x:v>82.3</x:v>
      </x:c>
      <x:c r="AD749" s="9" t="str">
        <x:v>2024 (Susenas)</x:v>
      </x:c>
      <x:c r="AE749" s="8" t="str">
        <x:v>6.32</x:v>
      </x:c>
      <x:c r="AF749" s="9" t="str">
        <x:v>Maret 2024 (Susenas)</x:v>
      </x:c>
      <x:c r="AG749" s="6" t="str">
        <x:v>28.128001995396044</x:v>
      </x:c>
      <x:c r="AH749" s="8" t="str">
        <x:v>78.87998004754763</x:v>
      </x:c>
      <x:c r="AI749" s="6" t="str">
        <x:v>217.25987612411296</x:v>
      </x:c>
      <x:c r="AJ749" s="6" t="str">
        <x:v>0.9360664273808011</x:v>
      </x:c>
      <x:c r="AK749" s="8" t="str">
        <x:v>1.8221983752054052</x:v>
      </x:c>
      <x:c r="AL749" s="6" t="str">
        <x:v>1.9300731355148728</x:v>
      </x:c>
      <x:c r="AM749" s="6" t="str">
        <x:v>1.681871249033273</x:v>
      </x:c>
      <x:c r="AN749" s="6" t="str">
        <x:v>1.8113809199178508</x:v>
      </x:c>
      <x:c r="AO749" s="6" t="str">
        <x:v>-1.2061865193852412</x:v>
      </x:c>
      <x:c r="AP749" s="8" t="str">
        <x:v>-0.4018630276987071</x:v>
      </x:c>
      <x:c r="AQ749" s="6" t="str">
        <x:v>-0.5826816176444095</x:v>
      </x:c>
      <x:c r="AR749" s="6" t="str">
        <x:v>-0.3783986335652664</x:v>
      </x:c>
      <x:c r="AS749" s="6" t="str">
        <x:v>-0.4543144263027944</x:v>
      </x:c>
      <x:c r="AT749" s="6" t="str">
        <x:v>34.66494837387117</x:v>
      </x:c>
      <x:c r="AU749" s="8" t="str">
        <x:v>0.5065830618202373</x:v>
      </x:c>
      <x:c r="AV749" s="6" t="str">
        <x:v>-0.6362017720417518</x:v>
      </x:c>
      <x:c r="AW749" s="6" t="str">
        <x:v>-1.0547362586103834</x:v>
      </x:c>
      <x:c r="AX749" s="6" t="str">
        <x:v>-0.394784989610633</x:v>
      </x:c>
      <x:c r="AY749" s="6" t="str">
        <x:v>0</x:v>
      </x:c>
      <x:c r="AZ749" s="6" t="str">
        <x:v>1</x:v>
      </x:c>
      <x:c r="BA749" s="9" t="str">
        <x:v>grid_cells_within_BIG_polygon</x:v>
      </x:c>
      <x:c r="BB749" s="6" t="str">
        <x:v>5</x:v>
      </x:c>
      <x:c r="BC749" s="6" t="str">
        <x:v>2</x:v>
      </x:c>
      <x:c r="BD749" s="6" t="str">
        <x:v>2</x:v>
      </x:c>
      <x:c r="BE749" s="6" t="str">
        <x:v>2</x:v>
      </x:c>
      <x:c r="BF749" s="6" t="str">
        <x:v>0</x:v>
      </x:c>
      <x:c r="BG749" s="6" t="str">
        <x:v>0</x:v>
      </x:c>
      <x:c r="BH749" s="6" t="str">
        <x:v>0</x:v>
      </x:c>
      <x:c r="BI749" s="6" t="str">
        <x:v>0</x:v>
      </x:c>
      <x:c r="BJ749" s="6" t="str">
        <x:v>0</x:v>
      </x:c>
      <x:c r="BK749" s="6" t="str">
        <x:v>0</x:v>
      </x:c>
      <x:c r="BL749" s="6" t="str">
        <x:v>0</x:v>
      </x:c>
      <x:c r="BM749" s="6" t="str">
        <x:v>0</x:v>
      </x:c>
      <x:c r="BN749" s="6" t="str">
        <x:v>2</x:v>
      </x:c>
      <x:c r="BO749" s="6" t="str">
        <x:v>0.0</x:v>
      </x:c>
      <x:c r="BP749" s="6" t="str">
        <x:v>2</x:v>
      </x:c>
      <x:c r="BQ749" s="6" t="str">
        <x:v>0.0</x:v>
      </x:c>
      <x:c r="BR749" s="6" t="str">
        <x:v>2</x:v>
      </x:c>
      <x:c r="BS749" s="6" t="str">
        <x:v>0.0</x:v>
      </x:c>
      <x:c r="BT749" s="6" t="str">
        <x:v>2</x:v>
      </x:c>
      <x:c r="BU749" s="6" t="str">
        <x:v>216.0</x:v>
      </x:c>
      <x:c r="BV749" s="6" t="str">
        <x:v>2</x:v>
      </x:c>
      <x:c r="BW749" s="9" t="str">
        <x:v>operational_snapshot_annual_totals_may_differ</x:v>
      </x:c>
      <x:c r="BX749" s="9" t="str">
        <x:v>official_live_dashboard_snapshot_subject_to_revision</x:v>
      </x:c>
      <x:c r="BY749" s="9" t="str">
        <x:v>https://tbdashboard.sitb.id/ss_data_tbc03so_2024_provinsi_bulanan_list.php</x:v>
      </x:c>
      <x:c r="BZ749" s="6" t="n">
        <x:v>46246.610671296294</x:v>
      </x:c>
    </x:row>
    <x:row r="750" ht="18" customHeight="1">
      <x:c r="A750" s="6" t="str">
        <x:v>82</x:v>
      </x:c>
      <x:c r="B750" s="6" t="str">
        <x:v>MALUKU UTARA</x:v>
      </x:c>
      <x:c r="C750" s="6" t="str">
        <x:v>2024</x:v>
      </x:c>
      <x:c r="D750" s="6" t="str">
        <x:v>5</x:v>
      </x:c>
      <x:c r="E750" s="6" t="str">
        <x:v>2024-05</x:v>
      </x:c>
      <x:c r="F750" s="6" t="str">
        <x:v>287</x:v>
      </x:c>
      <x:c r="G750" s="6" t="str">
        <x:v>66</x:v>
      </x:c>
      <x:c r="H750" s="6" t="str">
        <x:v>159</x:v>
      </x:c>
      <x:c r="I750" s="6" t="str">
        <x:v>21</x:v>
      </x:c>
      <x:c r="J750" s="6" t="str">
        <x:v>25</x:v>
      </x:c>
      <x:c r="K750" s="6" t="str">
        <x:v>1</x:v>
      </x:c>
      <x:c r="L750" s="6" t="str">
        <x:v>3</x:v>
      </x:c>
      <x:c r="M750" s="6" t="str">
        <x:v>12</x:v>
      </x:c>
      <x:c r="N750" s="6" t="str">
        <x:v>287</x:v>
      </x:c>
      <x:c r="O750" s="6" t="str">
        <x:v>0</x:v>
      </x:c>
      <x:c r="P750" s="10" t="n">
        <x:f>F750-M750</x:f>
        <x:v>275</x:v>
      </x:c>
      <x:c r="Q750" s="11" t="n">
        <x:f>IFERROR(M750/F750,"")</x:f>
        <x:v>0.041811846689895474</x:v>
      </x:c>
      <x:c r="R750" s="10" t="n">
        <x:f>G750+H750</x:f>
        <x:v>225</x:v>
      </x:c>
      <x:c r="S750" s="11" t="n">
        <x:f>IFERROR(R750/F750,"")</x:f>
        <x:v>0.7839721254355401</x:v>
      </x:c>
      <x:c r="T750" s="11" t="n">
        <x:f>IFERROR(R750/P750,"")</x:f>
        <x:v>0.8181818181818182</x:v>
      </x:c>
      <x:c r="U750" s="10" t="n">
        <x:f>I750+J750+K750</x:f>
        <x:v>47</x:v>
      </x:c>
      <x:c r="V750" s="11" t="n">
        <x:f>IFERROR(U750/P750,"")</x:f>
        <x:v>0.1709090909090909</x:v>
      </x:c>
      <x:c r="W750" s="9" t="str">
        <x:v>mature_le_5pct_pending</x:v>
      </x:c>
      <x:c r="X750" s="12" t="n">
        <x:f>IFERROR(F750/Z750*100000,"")</x:f>
        <x:v>21.171437002065506</x:v>
      </x:c>
      <x:c r="Y750" s="13" t="n">
        <x:f>LN(Z750)</x:f>
        <x:v>14.119754718715033</x:v>
      </x:c>
      <x:c r="Z750" s="6" t="str">
        <x:v>1355600</x:v>
      </x:c>
      <x:c r="AA750" s="6" t="str">
        <x:v>41.0</x:v>
      </x:c>
      <x:c r="AB750" s="9" t="str">
        <x:v>2024-06-30</x:v>
      </x:c>
      <x:c r="AC750" s="8" t="str">
        <x:v>82.3</x:v>
      </x:c>
      <x:c r="AD750" s="9" t="str">
        <x:v>2024 (Susenas)</x:v>
      </x:c>
      <x:c r="AE750" s="8" t="str">
        <x:v>6.32</x:v>
      </x:c>
      <x:c r="AF750" s="9" t="str">
        <x:v>Maret 2024 (Susenas)</x:v>
      </x:c>
      <x:c r="AG750" s="6" t="str">
        <x:v>28.026001782201625</x:v>
      </x:c>
      <x:c r="AH750" s="8" t="str">
        <x:v>81.4099673281209</x:v>
      </x:c>
      <x:c r="AI750" s="6" t="str">
        <x:v>254.63621126789263</x:v>
      </x:c>
      <x:c r="AJ750" s="6" t="str">
        <x:v>0.8630731245475829</x:v>
      </x:c>
      <x:c r="AK750" s="8" t="str">
        <x:v>1.828339079958042</x:v>
      </x:c>
      <x:c r="AL750" s="6" t="str">
        <x:v>1.8221983752054052</x:v>
      </x:c>
      <x:c r="AM750" s="6" t="str">
        <x:v>1.9300731355148728</x:v>
      </x:c>
      <x:c r="AN750" s="6" t="str">
        <x:v>1.8602035302261068</x:v>
      </x:c>
      <x:c r="AO750" s="6" t="str">
        <x:v>0.2418014850312317</x:v>
      </x:c>
      <x:c r="AP750" s="8" t="str">
        <x:v>0.1044507843839712</x:v>
      </x:c>
      <x:c r="AQ750" s="6" t="str">
        <x:v>-0.4018630276987071</x:v>
      </x:c>
      <x:c r="AR750" s="6" t="str">
        <x:v>-0.5826816176444095</x:v>
      </x:c>
      <x:c r="AS750" s="6" t="str">
        <x:v>-0.2933646203197152</x:v>
      </x:c>
      <x:c r="AT750" s="6" t="str">
        <x:v>49.47836862733823</x:v>
      </x:c>
      <x:c r="AU750" s="8" t="str">
        <x:v>0.6846680550725149</x:v>
      </x:c>
      <x:c r="AV750" s="6" t="str">
        <x:v>0.5065830618202373</x:v>
      </x:c>
      <x:c r="AW750" s="6" t="str">
        <x:v>-0.6362017720417518</x:v>
      </x:c>
      <x:c r="AX750" s="6" t="str">
        <x:v>0.1850164482836664</x:v>
      </x:c>
      <x:c r="AY750" s="6" t="str">
        <x:v>0</x:v>
      </x:c>
      <x:c r="AZ750" s="6" t="str">
        <x:v>1</x:v>
      </x:c>
      <x:c r="BA750" s="9" t="str">
        <x:v>grid_cells_within_BIG_polygon</x:v>
      </x:c>
      <x:c r="BB750" s="6" t="str">
        <x:v>5</x:v>
      </x:c>
      <x:c r="BC750" s="6" t="str">
        <x:v>9</x:v>
      </x:c>
      <x:c r="BD750" s="6" t="str">
        <x:v>7</x:v>
      </x:c>
      <x:c r="BE750" s="6" t="str">
        <x:v>4</x:v>
      </x:c>
      <x:c r="BF750" s="6" t="str">
        <x:v>1</x:v>
      </x:c>
      <x:c r="BG750" s="6" t="str">
        <x:v>1</x:v>
      </x:c>
      <x:c r="BH750" s="6" t="str">
        <x:v>0</x:v>
      </x:c>
      <x:c r="BI750" s="6" t="str">
        <x:v>0</x:v>
      </x:c>
      <x:c r="BJ750" s="6" t="str">
        <x:v>1</x:v>
      </x:c>
      <x:c r="BK750" s="6" t="str">
        <x:v>0</x:v>
      </x:c>
      <x:c r="BL750" s="6" t="str">
        <x:v>2</x:v>
      </x:c>
      <x:c r="BM750" s="6" t="str">
        <x:v>0</x:v>
      </x:c>
      <x:c r="BN750" s="6" t="str">
        <x:v>9</x:v>
      </x:c>
      <x:c r="BO750" s="6" t="str">
        <x:v>1.0</x:v>
      </x:c>
      <x:c r="BP750" s="6" t="str">
        <x:v>9</x:v>
      </x:c>
      <x:c r="BQ750" s="6" t="str">
        <x:v>0.0</x:v>
      </x:c>
      <x:c r="BR750" s="6" t="str">
        <x:v>9</x:v>
      </x:c>
      <x:c r="BS750" s="6" t="str">
        <x:v>31.0</x:v>
      </x:c>
      <x:c r="BT750" s="6" t="str">
        <x:v>9</x:v>
      </x:c>
      <x:c r="BU750" s="6" t="str">
        <x:v>310.0</x:v>
      </x:c>
      <x:c r="BV750" s="6" t="str">
        <x:v>3</x:v>
      </x:c>
      <x:c r="BW750" s="9" t="str">
        <x:v>operational_snapshot_annual_totals_may_differ</x:v>
      </x:c>
      <x:c r="BX750" s="9" t="str">
        <x:v>official_live_dashboard_snapshot_subject_to_revision</x:v>
      </x:c>
      <x:c r="BY750" s="9" t="str">
        <x:v>https://tbdashboard.sitb.id/ss_data_tbc03so_2024_provinsi_bulanan_list.php</x:v>
      </x:c>
      <x:c r="BZ750" s="6" t="n">
        <x:v>46246.610671296294</x:v>
      </x:c>
    </x:row>
    <x:row r="751" ht="18" customHeight="1">
      <x:c r="A751" s="6" t="str">
        <x:v>82</x:v>
      </x:c>
      <x:c r="B751" s="6" t="str">
        <x:v>MALUKU UTARA</x:v>
      </x:c>
      <x:c r="C751" s="6" t="str">
        <x:v>2024</x:v>
      </x:c>
      <x:c r="D751" s="6" t="str">
        <x:v>6</x:v>
      </x:c>
      <x:c r="E751" s="6" t="str">
        <x:v>2024-06</x:v>
      </x:c>
      <x:c r="F751" s="6" t="str">
        <x:v>282</x:v>
      </x:c>
      <x:c r="G751" s="6" t="str">
        <x:v>63</x:v>
      </x:c>
      <x:c r="H751" s="6" t="str">
        <x:v>144</x:v>
      </x:c>
      <x:c r="I751" s="6" t="str">
        <x:v>21</x:v>
      </x:c>
      <x:c r="J751" s="6" t="str">
        <x:v>21</x:v>
      </x:c>
      <x:c r="K751" s="6" t="str">
        <x:v>0</x:v>
      </x:c>
      <x:c r="L751" s="6" t="str">
        <x:v>4</x:v>
      </x:c>
      <x:c r="M751" s="6" t="str">
        <x:v>29</x:v>
      </x:c>
      <x:c r="N751" s="6" t="str">
        <x:v>282</x:v>
      </x:c>
      <x:c r="O751" s="6" t="str">
        <x:v>0</x:v>
      </x:c>
      <x:c r="P751" s="10" t="n">
        <x:f>F751-M751</x:f>
        <x:v>253</x:v>
      </x:c>
      <x:c r="Q751" s="11" t="n">
        <x:f>IFERROR(M751/F751,"")</x:f>
        <x:v>0.10283687943262411</x:v>
      </x:c>
      <x:c r="R751" s="10" t="n">
        <x:f>G751+H751</x:f>
        <x:v>207</x:v>
      </x:c>
      <x:c r="S751" s="11" t="n">
        <x:f>IFERROR(R751/F751,"")</x:f>
        <x:v>0.7340425531914894</x:v>
      </x:c>
      <x:c r="T751" s="11" t="n">
        <x:f>IFERROR(R751/P751,"")</x:f>
        <x:v>0.8181818181818182</x:v>
      </x:c>
      <x:c r="U751" s="10" t="n">
        <x:f>I751+J751+K751</x:f>
        <x:v>42</x:v>
      </x:c>
      <x:c r="V751" s="11" t="n">
        <x:f>IFERROR(U751/P751,"")</x:f>
        <x:v>0.16600790513833993</x:v>
      </x:c>
      <x:c r="W751" s="9" t="str">
        <x:v>provisional_gt_5pct_pending</x:v>
      </x:c>
      <x:c r="X751" s="12" t="n">
        <x:f>IFERROR(F751/Z751*100000,"")</x:f>
        <x:v>20.802596636175863</x:v>
      </x:c>
      <x:c r="Y751" s="13" t="n">
        <x:f>LN(Z751)</x:f>
        <x:v>14.119754718715033</x:v>
      </x:c>
      <x:c r="Z751" s="6" t="str">
        <x:v>1355600</x:v>
      </x:c>
      <x:c r="AA751" s="6" t="str">
        <x:v>41.0</x:v>
      </x:c>
      <x:c r="AB751" s="9" t="str">
        <x:v>2024-06-30</x:v>
      </x:c>
      <x:c r="AC751" s="8" t="str">
        <x:v>82.3</x:v>
      </x:c>
      <x:c r="AD751" s="9" t="str">
        <x:v>2024 (Susenas)</x:v>
      </x:c>
      <x:c r="AE751" s="8" t="str">
        <x:v>6.32</x:v>
      </x:c>
      <x:c r="AF751" s="9" t="str">
        <x:v>Maret 2024 (Susenas)</x:v>
      </x:c>
      <x:c r="AG751" s="6" t="str">
        <x:v>26.91399638994537</x:v>
      </x:c>
      <x:c r="AH751" s="8" t="str">
        <x:v>83.9860213564106</x:v>
      </x:c>
      <x:c r="AI751" s="6" t="str">
        <x:v>317.7619438799912</x:v>
      </x:c>
      <x:c r="AJ751" s="6" t="str">
        <x:v>0.3799367254447325</x:v>
      </x:c>
      <x:c r="AK751" s="8" t="str">
        <x:v>1.0798400831823909</x:v>
      </x:c>
      <x:c r="AL751" s="6" t="str">
        <x:v>1.828339079958042</x:v>
      </x:c>
      <x:c r="AM751" s="6" t="str">
        <x:v>1.8221983752054052</x:v>
      </x:c>
      <x:c r="AN751" s="6" t="str">
        <x:v>1.5767925127819469</x:v>
      </x:c>
      <x:c r="AO751" s="6" t="str">
        <x:v>1.513047953963934</x:v>
      </x:c>
      <x:c r="AP751" s="8" t="str">
        <x:v>0.7307282434893095</x:v>
      </x:c>
      <x:c r="AQ751" s="6" t="str">
        <x:v>0.1044507843839712</x:v>
      </x:c>
      <x:c r="AR751" s="6" t="str">
        <x:v>-0.4018630276987071</x:v>
      </x:c>
      <x:c r="AS751" s="6" t="str">
        <x:v>0.1444386667248578</x:v>
      </x:c>
      <x:c r="AT751" s="6" t="str">
        <x:v>120.7915590571958</x:v>
      </x:c>
      <x:c r="AU751" s="8" t="str">
        <x:v>1.4161195043036108</x:v>
      </x:c>
      <x:c r="AV751" s="6" t="str">
        <x:v>0.6846680550725149</x:v>
      </x:c>
      <x:c r="AW751" s="6" t="str">
        <x:v>0.5065830618202373</x:v>
      </x:c>
      <x:c r="AX751" s="6" t="str">
        <x:v>0.8691235403987873</x:v>
      </x:c>
      <x:c r="AY751" s="6" t="str">
        <x:v>1</x:v>
      </x:c>
      <x:c r="AZ751" s="6" t="str">
        <x:v>1</x:v>
      </x:c>
      <x:c r="BA751" s="9" t="str">
        <x:v>grid_cells_within_BIG_polygon</x:v>
      </x:c>
      <x:c r="BB751" s="6" t="str">
        <x:v>5</x:v>
      </x:c>
      <x:c r="BC751" s="6" t="str">
        <x:v>10</x:v>
      </x:c>
      <x:c r="BD751" s="6" t="str">
        <x:v>10</x:v>
      </x:c>
      <x:c r="BE751" s="6" t="str">
        <x:v>9</x:v>
      </x:c>
      <x:c r="BF751" s="6" t="str">
        <x:v>0</x:v>
      </x:c>
      <x:c r="BG751" s="6" t="str">
        <x:v>0</x:v>
      </x:c>
      <x:c r="BH751" s="6" t="str">
        <x:v>0</x:v>
      </x:c>
      <x:c r="BI751" s="6" t="str">
        <x:v>0</x:v>
      </x:c>
      <x:c r="BJ751" s="6" t="str">
        <x:v>1</x:v>
      </x:c>
      <x:c r="BK751" s="6" t="str">
        <x:v>0</x:v>
      </x:c>
      <x:c r="BL751" s="6" t="str">
        <x:v>0</x:v>
      </x:c>
      <x:c r="BM751" s="6" t="str">
        <x:v>0</x:v>
      </x:c>
      <x:c r="BN751" s="6" t="str">
        <x:v>10</x:v>
      </x:c>
      <x:c r="BO751" s="6" t="str">
        <x:v>0.0</x:v>
      </x:c>
      <x:c r="BP751" s="6" t="str">
        <x:v>10</x:v>
      </x:c>
      <x:c r="BQ751" s="6" t="str">
        <x:v>0.0</x:v>
      </x:c>
      <x:c r="BR751" s="6" t="str">
        <x:v>10</x:v>
      </x:c>
      <x:c r="BS751" s="6" t="str">
        <x:v>107.0</x:v>
      </x:c>
      <x:c r="BT751" s="6" t="str">
        <x:v>10</x:v>
      </x:c>
      <x:c r="BU751" s="6" t="str">
        <x:v>1586.0</x:v>
      </x:c>
      <x:c r="BV751" s="6" t="str">
        <x:v>9</x:v>
      </x:c>
      <x:c r="BW751" s="9" t="str">
        <x:v>operational_snapshot_annual_totals_may_differ</x:v>
      </x:c>
      <x:c r="BX751" s="9" t="str">
        <x:v>official_live_dashboard_snapshot_subject_to_revision</x:v>
      </x:c>
      <x:c r="BY751" s="9" t="str">
        <x:v>https://tbdashboard.sitb.id/ss_data_tbc03so_2024_provinsi_bulanan_list.php</x:v>
      </x:c>
      <x:c r="BZ751" s="6" t="n">
        <x:v>46246.610671296294</x:v>
      </x:c>
    </x:row>
    <x:row r="752" ht="18" customHeight="1">
      <x:c r="A752" s="6" t="str">
        <x:v>82</x:v>
      </x:c>
      <x:c r="B752" s="6" t="str">
        <x:v>MALUKU UTARA</x:v>
      </x:c>
      <x:c r="C752" s="6" t="str">
        <x:v>2024</x:v>
      </x:c>
      <x:c r="D752" s="6" t="str">
        <x:v>7</x:v>
      </x:c>
      <x:c r="E752" s="6" t="str">
        <x:v>2024-07</x:v>
      </x:c>
      <x:c r="F752" s="6" t="str">
        <x:v>335</x:v>
      </x:c>
      <x:c r="G752" s="6" t="str">
        <x:v>72</x:v>
      </x:c>
      <x:c r="H752" s="6" t="str">
        <x:v>189</x:v>
      </x:c>
      <x:c r="I752" s="6" t="str">
        <x:v>28</x:v>
      </x:c>
      <x:c r="J752" s="6" t="str">
        <x:v>15</x:v>
      </x:c>
      <x:c r="K752" s="6" t="str">
        <x:v>1</x:v>
      </x:c>
      <x:c r="L752" s="6" t="str">
        <x:v>4</x:v>
      </x:c>
      <x:c r="M752" s="6" t="str">
        <x:v>26</x:v>
      </x:c>
      <x:c r="N752" s="6" t="str">
        <x:v>335</x:v>
      </x:c>
      <x:c r="O752" s="6" t="str">
        <x:v>0</x:v>
      </x:c>
      <x:c r="P752" s="10" t="n">
        <x:f>F752-M752</x:f>
        <x:v>309</x:v>
      </x:c>
      <x:c r="Q752" s="11" t="n">
        <x:f>IFERROR(M752/F752,"")</x:f>
        <x:v>0.07761194029850746</x:v>
      </x:c>
      <x:c r="R752" s="10" t="n">
        <x:f>G752+H752</x:f>
        <x:v>261</x:v>
      </x:c>
      <x:c r="S752" s="11" t="n">
        <x:f>IFERROR(R752/F752,"")</x:f>
        <x:v>0.7791044776119403</x:v>
      </x:c>
      <x:c r="T752" s="11" t="n">
        <x:f>IFERROR(R752/P752,"")</x:f>
        <x:v>0.8446601941747572</x:v>
      </x:c>
      <x:c r="U752" s="10" t="n">
        <x:f>I752+J752+K752</x:f>
        <x:v>44</x:v>
      </x:c>
      <x:c r="V752" s="11" t="n">
        <x:f>IFERROR(U752/P752,"")</x:f>
        <x:v>0.1423948220064725</x:v>
      </x:c>
      <x:c r="W752" s="9" t="str">
        <x:v>provisional_gt_5pct_pending</x:v>
      </x:c>
      <x:c r="X752" s="12" t="n">
        <x:f>IFERROR(F752/Z752*100000,"")</x:f>
        <x:v>24.71230451460608</x:v>
      </x:c>
      <x:c r="Y752" s="13" t="n">
        <x:f>LN(Z752)</x:f>
        <x:v>14.119754718715033</x:v>
      </x:c>
      <x:c r="Z752" s="6" t="str">
        <x:v>1355600</x:v>
      </x:c>
      <x:c r="AA752" s="6" t="str">
        <x:v>41.0</x:v>
      </x:c>
      <x:c r="AB752" s="9" t="str">
        <x:v>2024-06-30</x:v>
      </x:c>
      <x:c r="AC752" s="8" t="str">
        <x:v>82.3</x:v>
      </x:c>
      <x:c r="AD752" s="9" t="str">
        <x:v>2024 (Susenas)</x:v>
      </x:c>
      <x:c r="AE752" s="8" t="str">
        <x:v>6.32</x:v>
      </x:c>
      <x:c r="AF752" s="9" t="str">
        <x:v>Maret 2024 (Susenas)</x:v>
      </x:c>
      <x:c r="AG752" s="6" t="str">
        <x:v>26.517992399153297</x:v>
      </x:c>
      <x:c r="AH752" s="8" t="str">
        <x:v>83.59806490491697</x:v>
      </x:c>
      <x:c r="AI752" s="6" t="str">
        <x:v>163.55689810954792</x:v>
      </x:c>
      <x:c r="AJ752" s="6" t="str">
        <x:v>0.4992635141131423</x:v>
      </x:c>
      <x:c r="AK752" s="8" t="str">
        <x:v>1.652741740178711</x:v>
      </x:c>
      <x:c r="AL752" s="6" t="str">
        <x:v>1.0798400831823909</x:v>
      </x:c>
      <x:c r="AM752" s="6" t="str">
        <x:v>1.828339079958042</x:v>
      </x:c>
      <x:c r="AN752" s="6" t="str">
        <x:v>1.5203069677730483</x:v>
      </x:c>
      <x:c r="AO752" s="6" t="str">
        <x:v>0.5630200585653569</x:v>
      </x:c>
      <x:c r="AP752" s="8" t="str">
        <x:v>0.3271481134668719</x:v>
      </x:c>
      <x:c r="AQ752" s="6" t="str">
        <x:v>0.7307282434893095</x:v>
      </x:c>
      <x:c r="AR752" s="6" t="str">
        <x:v>0.1044507843839712</x:v>
      </x:c>
      <x:c r="AS752" s="6" t="str">
        <x:v>0.3874423804467174</x:v>
      </x:c>
      <x:c r="AT752" s="6" t="str">
        <x:v>13.289334114348492</x:v>
      </x:c>
      <x:c r="AU752" s="8" t="str">
        <x:v>0.1447606124316716</x:v>
      </x:c>
      <x:c r="AV752" s="6" t="str">
        <x:v>1.4161195043036108</x:v>
      </x:c>
      <x:c r="AW752" s="6" t="str">
        <x:v>0.6846680550725149</x:v>
      </x:c>
      <x:c r="AX752" s="6" t="str">
        <x:v>0.7485160572692654</x:v>
      </x:c>
      <x:c r="AY752" s="6" t="str">
        <x:v>0</x:v>
      </x:c>
      <x:c r="AZ752" s="6" t="str">
        <x:v>1</x:v>
      </x:c>
      <x:c r="BA752" s="9" t="str">
        <x:v>grid_cells_within_BIG_polygon</x:v>
      </x:c>
      <x:c r="BB752" s="6" t="str">
        <x:v>5</x:v>
      </x:c>
      <x:c r="BC752" s="6" t="str">
        <x:v>4</x:v>
      </x:c>
      <x:c r="BD752" s="6" t="str">
        <x:v>4</x:v>
      </x:c>
      <x:c r="BE752" s="6" t="str">
        <x:v>4</x:v>
      </x:c>
      <x:c r="BF752" s="6" t="str">
        <x:v>0</x:v>
      </x:c>
      <x:c r="BG752" s="6" t="str">
        <x:v>0</x:v>
      </x:c>
      <x:c r="BH752" s="6" t="str">
        <x:v>0</x:v>
      </x:c>
      <x:c r="BI752" s="6" t="str">
        <x:v>0</x:v>
      </x:c>
      <x:c r="BJ752" s="6" t="str">
        <x:v>0</x:v>
      </x:c>
      <x:c r="BK752" s="6" t="str">
        <x:v>0</x:v>
      </x:c>
      <x:c r="BL752" s="6" t="str">
        <x:v>0</x:v>
      </x:c>
      <x:c r="BM752" s="6" t="str">
        <x:v>0</x:v>
      </x:c>
      <x:c r="BN752" s="6" t="str">
        <x:v>4</x:v>
      </x:c>
      <x:c r="BO752" s="6" t="str">
        <x:v>0.0</x:v>
      </x:c>
      <x:c r="BP752" s="6" t="str">
        <x:v>4</x:v>
      </x:c>
      <x:c r="BQ752" s="6" t="str">
        <x:v>0.0</x:v>
      </x:c>
      <x:c r="BR752" s="6" t="str">
        <x:v>4</x:v>
      </x:c>
      <x:c r="BS752" s="6" t="str">
        <x:v>12.0</x:v>
      </x:c>
      <x:c r="BT752" s="6" t="str">
        <x:v>4</x:v>
      </x:c>
      <x:c r="BU752" s="6" t="str">
        <x:v>1235.0</x:v>
      </x:c>
      <x:c r="BV752" s="6" t="str">
        <x:v>3</x:v>
      </x:c>
      <x:c r="BW752" s="9" t="str">
        <x:v>operational_snapshot_annual_totals_may_differ</x:v>
      </x:c>
      <x:c r="BX752" s="9" t="str">
        <x:v>official_live_dashboard_snapshot_subject_to_revision</x:v>
      </x:c>
      <x:c r="BY752" s="9" t="str">
        <x:v>https://tbdashboard.sitb.id/ss_data_tbc03so_2024_provinsi_bulanan_list.php</x:v>
      </x:c>
      <x:c r="BZ752" s="6" t="n">
        <x:v>46246.610671296294</x:v>
      </x:c>
    </x:row>
    <x:row r="753" ht="18" customHeight="1">
      <x:c r="A753" s="6" t="str">
        <x:v>82</x:v>
      </x:c>
      <x:c r="B753" s="6" t="str">
        <x:v>MALUKU UTARA</x:v>
      </x:c>
      <x:c r="C753" s="6" t="str">
        <x:v>2024</x:v>
      </x:c>
      <x:c r="D753" s="6" t="str">
        <x:v>8</x:v>
      </x:c>
      <x:c r="E753" s="6" t="str">
        <x:v>2024-08</x:v>
      </x:c>
      <x:c r="F753" s="6" t="str">
        <x:v>286</x:v>
      </x:c>
      <x:c r="G753" s="6" t="str">
        <x:v>62</x:v>
      </x:c>
      <x:c r="H753" s="6" t="str">
        <x:v>160</x:v>
      </x:c>
      <x:c r="I753" s="6" t="str">
        <x:v>21</x:v>
      </x:c>
      <x:c r="J753" s="6" t="str">
        <x:v>12</x:v>
      </x:c>
      <x:c r="K753" s="6" t="str">
        <x:v>1</x:v>
      </x:c>
      <x:c r="L753" s="6" t="str">
        <x:v>3</x:v>
      </x:c>
      <x:c r="M753" s="6" t="str">
        <x:v>27</x:v>
      </x:c>
      <x:c r="N753" s="6" t="str">
        <x:v>286</x:v>
      </x:c>
      <x:c r="O753" s="6" t="str">
        <x:v>0</x:v>
      </x:c>
      <x:c r="P753" s="10" t="n">
        <x:f>F753-M753</x:f>
        <x:v>259</x:v>
      </x:c>
      <x:c r="Q753" s="11" t="n">
        <x:f>IFERROR(M753/F753,"")</x:f>
        <x:v>0.0944055944055944</x:v>
      </x:c>
      <x:c r="R753" s="10" t="n">
        <x:f>G753+H753</x:f>
        <x:v>222</x:v>
      </x:c>
      <x:c r="S753" s="11" t="n">
        <x:f>IFERROR(R753/F753,"")</x:f>
        <x:v>0.7762237762237763</x:v>
      </x:c>
      <x:c r="T753" s="11" t="n">
        <x:f>IFERROR(R753/P753,"")</x:f>
        <x:v>0.8571428571428571</x:v>
      </x:c>
      <x:c r="U753" s="10" t="n">
        <x:f>I753+J753+K753</x:f>
        <x:v>34</x:v>
      </x:c>
      <x:c r="V753" s="11" t="n">
        <x:f>IFERROR(U753/P753,"")</x:f>
        <x:v>0.13127413127413126</x:v>
      </x:c>
      <x:c r="W753" s="9" t="str">
        <x:v>provisional_gt_5pct_pending</x:v>
      </x:c>
      <x:c r="X753" s="12" t="n">
        <x:f>IFERROR(F753/Z753*100000,"")</x:f>
        <x:v>21.097668928887575</x:v>
      </x:c>
      <x:c r="Y753" s="13" t="n">
        <x:f>LN(Z753)</x:f>
        <x:v>14.119754718715033</x:v>
      </x:c>
      <x:c r="Z753" s="6" t="str">
        <x:v>1355600</x:v>
      </x:c>
      <x:c r="AA753" s="6" t="str">
        <x:v>41.0</x:v>
      </x:c>
      <x:c r="AB753" s="9" t="str">
        <x:v>2024-06-30</x:v>
      </x:c>
      <x:c r="AC753" s="8" t="str">
        <x:v>82.3</x:v>
      </x:c>
      <x:c r="AD753" s="9" t="str">
        <x:v>2024 (Susenas)</x:v>
      </x:c>
      <x:c r="AE753" s="8" t="str">
        <x:v>6.32</x:v>
      </x:c>
      <x:c r="AF753" s="9" t="str">
        <x:v>Maret 2024 (Susenas)</x:v>
      </x:c>
      <x:c r="AG753" s="6" t="str">
        <x:v>26.531996481306127</x:v>
      </x:c>
      <x:c r="AH753" s="8" t="str">
        <x:v>84.76003686260118</x:v>
      </x:c>
      <x:c r="AI753" s="6" t="str">
        <x:v>253.27196194766464</x:v>
      </x:c>
      <x:c r="AJ753" s="6" t="str">
        <x:v>0.4388621183284762</x:v>
      </x:c>
      <x:c r="AK753" s="8" t="str">
        <x:v>1.3981126268736237</x:v>
      </x:c>
      <x:c r="AL753" s="6" t="str">
        <x:v>1.652741740178711</x:v>
      </x:c>
      <x:c r="AM753" s="6" t="str">
        <x:v>1.0798400831823909</x:v>
      </x:c>
      <x:c r="AN753" s="6" t="str">
        <x:v>1.376898150078242</x:v>
      </x:c>
      <x:c r="AO753" s="6" t="str">
        <x:v>3.6488750053697743</x:v>
      </x:c>
      <x:c r="AP753" s="8" t="str">
        <x:v>1.034647820197639</x:v>
      </x:c>
      <x:c r="AQ753" s="6" t="str">
        <x:v>0.3271481134668719</x:v>
      </x:c>
      <x:c r="AR753" s="6" t="str">
        <x:v>0.7307282434893095</x:v>
      </x:c>
      <x:c r="AS753" s="6" t="str">
        <x:v>0.6975080590512733</x:v>
      </x:c>
      <x:c r="AT753" s="6" t="str">
        <x:v>150.3203551165323</x:v>
      </x:c>
      <x:c r="AU753" s="8" t="str">
        <x:v>1.9688996812287805</x:v>
      </x:c>
      <x:c r="AV753" s="6" t="str">
        <x:v>0.1447606124316716</x:v>
      </x:c>
      <x:c r="AW753" s="6" t="str">
        <x:v>1.4161195043036108</x:v>
      </x:c>
      <x:c r="AX753" s="6" t="str">
        <x:v>1.1765932659880205</x:v>
      </x:c>
      <x:c r="AY753" s="6" t="str">
        <x:v>1</x:v>
      </x:c>
      <x:c r="AZ753" s="6" t="str">
        <x:v>1</x:v>
      </x:c>
      <x:c r="BA753" s="9" t="str">
        <x:v>grid_cells_within_BIG_polygon</x:v>
      </x:c>
      <x:c r="BB753" s="6" t="str">
        <x:v>5</x:v>
      </x:c>
      <x:c r="BC753" s="6" t="str">
        <x:v>6</x:v>
      </x:c>
      <x:c r="BD753" s="6" t="str">
        <x:v>6</x:v>
      </x:c>
      <x:c r="BE753" s="6" t="str">
        <x:v>6</x:v>
      </x:c>
      <x:c r="BF753" s="6" t="str">
        <x:v>0</x:v>
      </x:c>
      <x:c r="BG753" s="6" t="str">
        <x:v>0</x:v>
      </x:c>
      <x:c r="BH753" s="6" t="str">
        <x:v>0</x:v>
      </x:c>
      <x:c r="BI753" s="6" t="str">
        <x:v>0</x:v>
      </x:c>
      <x:c r="BJ753" s="6" t="str">
        <x:v>0</x:v>
      </x:c>
      <x:c r="BK753" s="6" t="str">
        <x:v>0</x:v>
      </x:c>
      <x:c r="BL753" s="6" t="str">
        <x:v>0</x:v>
      </x:c>
      <x:c r="BM753" s="6" t="str">
        <x:v>0</x:v>
      </x:c>
      <x:c r="BN753" s="6" t="str">
        <x:v>6</x:v>
      </x:c>
      <x:c r="BO753" s="6" t="str">
        <x:v>19.0</x:v>
      </x:c>
      <x:c r="BP753" s="6" t="str">
        <x:v>6</x:v>
      </x:c>
      <x:c r="BQ753" s="6" t="str">
        <x:v>15.0</x:v>
      </x:c>
      <x:c r="BR753" s="6" t="str">
        <x:v>6</x:v>
      </x:c>
      <x:c r="BS753" s="6" t="str">
        <x:v>40.0</x:v>
      </x:c>
      <x:c r="BT753" s="6" t="str">
        <x:v>6</x:v>
      </x:c>
      <x:c r="BU753" s="6" t="str">
        <x:v>274.0</x:v>
      </x:c>
      <x:c r="BV753" s="6" t="str">
        <x:v>3</x:v>
      </x:c>
      <x:c r="BW753" s="9" t="str">
        <x:v>operational_snapshot_annual_totals_may_differ</x:v>
      </x:c>
      <x:c r="BX753" s="9" t="str">
        <x:v>official_live_dashboard_snapshot_subject_to_revision</x:v>
      </x:c>
      <x:c r="BY753" s="9" t="str">
        <x:v>https://tbdashboard.sitb.id/ss_data_tbc03so_2024_provinsi_bulanan_list.php</x:v>
      </x:c>
      <x:c r="BZ753" s="6" t="n">
        <x:v>46246.610671296294</x:v>
      </x:c>
    </x:row>
    <x:row r="754" ht="18" customHeight="1">
      <x:c r="A754" s="6" t="str">
        <x:v>82</x:v>
      </x:c>
      <x:c r="B754" s="6" t="str">
        <x:v>MALUKU UTARA</x:v>
      </x:c>
      <x:c r="C754" s="6" t="str">
        <x:v>2024</x:v>
      </x:c>
      <x:c r="D754" s="6" t="str">
        <x:v>9</x:v>
      </x:c>
      <x:c r="E754" s="6" t="str">
        <x:v>2024-09</x:v>
      </x:c>
      <x:c r="F754" s="6" t="str">
        <x:v>269</x:v>
      </x:c>
      <x:c r="G754" s="6" t="str">
        <x:v>52</x:v>
      </x:c>
      <x:c r="H754" s="6" t="str">
        <x:v>145</x:v>
      </x:c>
      <x:c r="I754" s="6" t="str">
        <x:v>17</x:v>
      </x:c>
      <x:c r="J754" s="6" t="str">
        <x:v>17</x:v>
      </x:c>
      <x:c r="K754" s="6" t="str">
        <x:v>1</x:v>
      </x:c>
      <x:c r="L754" s="6" t="str">
        <x:v>6</x:v>
      </x:c>
      <x:c r="M754" s="6" t="str">
        <x:v>31</x:v>
      </x:c>
      <x:c r="N754" s="6" t="str">
        <x:v>269</x:v>
      </x:c>
      <x:c r="O754" s="6" t="str">
        <x:v>0</x:v>
      </x:c>
      <x:c r="P754" s="10" t="n">
        <x:f>F754-M754</x:f>
        <x:v>238</x:v>
      </x:c>
      <x:c r="Q754" s="11" t="n">
        <x:f>IFERROR(M754/F754,"")</x:f>
        <x:v>0.11524163568773234</x:v>
      </x:c>
      <x:c r="R754" s="10" t="n">
        <x:f>G754+H754</x:f>
        <x:v>197</x:v>
      </x:c>
      <x:c r="S754" s="11" t="n">
        <x:f>IFERROR(R754/F754,"")</x:f>
        <x:v>0.7323420074349443</x:v>
      </x:c>
      <x:c r="T754" s="11" t="n">
        <x:f>IFERROR(R754/P754,"")</x:f>
        <x:v>0.8277310924369747</x:v>
      </x:c>
      <x:c r="U754" s="10" t="n">
        <x:f>I754+J754+K754</x:f>
        <x:v>35</x:v>
      </x:c>
      <x:c r="V754" s="11" t="n">
        <x:f>IFERROR(U754/P754,"")</x:f>
        <x:v>0.14705882352941177</x:v>
      </x:c>
      <x:c r="W754" s="9" t="str">
        <x:v>provisional_gt_5pct_pending</x:v>
      </x:c>
      <x:c r="X754" s="12" t="n">
        <x:f>IFERROR(F754/Z754*100000,"")</x:f>
        <x:v>19.84361168486279</x:v>
      </x:c>
      <x:c r="Y754" s="13" t="n">
        <x:f>LN(Z754)</x:f>
        <x:v>14.119754718715033</x:v>
      </x:c>
      <x:c r="Z754" s="6" t="str">
        <x:v>1355600</x:v>
      </x:c>
      <x:c r="AA754" s="6" t="str">
        <x:v>41.0</x:v>
      </x:c>
      <x:c r="AB754" s="9" t="str">
        <x:v>2024-06-30</x:v>
      </x:c>
      <x:c r="AC754" s="8" t="str">
        <x:v>82.3</x:v>
      </x:c>
      <x:c r="AD754" s="9" t="str">
        <x:v>2024 (Susenas)</x:v>
      </x:c>
      <x:c r="AE754" s="8" t="str">
        <x:v>6.32</x:v>
      </x:c>
      <x:c r="AF754" s="9" t="str">
        <x:v>Maret 2024 (Susenas)</x:v>
      </x:c>
      <x:c r="AG754" s="6" t="str">
        <x:v>27.12799674038392</x:v>
      </x:c>
      <x:c r="AH754" s="8" t="str">
        <x:v>81.10805218514224</x:v>
      </x:c>
      <x:c r="AI754" s="6" t="str">
        <x:v>75.8404619634406</x:v>
      </x:c>
      <x:c r="AJ754" s="6" t="str">
        <x:v>0.6059942753227467</x:v>
      </x:c>
      <x:c r="AK754" s="8" t="str">
        <x:v>1.293675138661921</x:v>
      </x:c>
      <x:c r="AL754" s="6" t="str">
        <x:v>1.3981126268736237</x:v>
      </x:c>
      <x:c r="AM754" s="6" t="str">
        <x:v>1.652741740178711</x:v>
      </x:c>
      <x:c r="AN754" s="6" t="str">
        <x:v>1.4481765019047523</x:v>
      </x:c>
      <x:c r="AO754" s="6" t="str">
        <x:v>1.9952426836607489</x:v>
      </x:c>
      <x:c r="AP754" s="8" t="str">
        <x:v>0.4145683668609033</x:v>
      </x:c>
      <x:c r="AQ754" s="6" t="str">
        <x:v>1.034647820197639</x:v>
      </x:c>
      <x:c r="AR754" s="6" t="str">
        <x:v>0.3271481134668719</x:v>
      </x:c>
      <x:c r="AS754" s="6" t="str">
        <x:v>0.5921214335084714</x:v>
      </x:c>
      <x:c r="AT754" s="6" t="str">
        <x:v>-20.60427377201768</x:v>
      </x:c>
      <x:c r="AU754" s="8" t="str">
        <x:v>-0.2773075166366197</x:v>
      </x:c>
      <x:c r="AV754" s="6" t="str">
        <x:v>1.9688996812287805</x:v>
      </x:c>
      <x:c r="AW754" s="6" t="str">
        <x:v>0.1447606124316716</x:v>
      </x:c>
      <x:c r="AX754" s="6" t="str">
        <x:v>0.6121175923412772</x:v>
      </x:c>
      <x:c r="AY754" s="6" t="str">
        <x:v>0</x:v>
      </x:c>
      <x:c r="AZ754" s="6" t="str">
        <x:v>1</x:v>
      </x:c>
      <x:c r="BA754" s="9" t="str">
        <x:v>grid_cells_within_BIG_polygon</x:v>
      </x:c>
      <x:c r="BB754" s="6" t="str">
        <x:v>5</x:v>
      </x:c>
      <x:c r="BC754" s="6" t="str">
        <x:v>2</x:v>
      </x:c>
      <x:c r="BD754" s="6" t="str">
        <x:v>1</x:v>
      </x:c>
      <x:c r="BE754" s="6" t="str">
        <x:v>0</x:v>
      </x:c>
      <x:c r="BF754" s="6" t="str">
        <x:v>0</x:v>
      </x:c>
      <x:c r="BG754" s="6" t="str">
        <x:v>1</x:v>
      </x:c>
      <x:c r="BH754" s="6" t="str">
        <x:v>0</x:v>
      </x:c>
      <x:c r="BI754" s="6" t="str">
        <x:v>0</x:v>
      </x:c>
      <x:c r="BJ754" s="6" t="str">
        <x:v>0</x:v>
      </x:c>
      <x:c r="BK754" s="6" t="str">
        <x:v>1</x:v>
      </x:c>
      <x:c r="BL754" s="6" t="str">
        <x:v>0</x:v>
      </x:c>
      <x:c r="BM754" s="6" t="str">
        <x:v>0</x:v>
      </x:c>
      <x:c r="BN754" s="6" t="str">
        <x:v>2</x:v>
      </x:c>
      <x:c r="BO754" s="6" t="str">
        <x:v>0.0</x:v>
      </x:c>
      <x:c r="BP754" s="6" t="str">
        <x:v>2</x:v>
      </x:c>
      <x:c r="BQ754" s="6" t="str">
        <x:v>0.0</x:v>
      </x:c>
      <x:c r="BR754" s="6" t="str">
        <x:v>2</x:v>
      </x:c>
      <x:c r="BS754" s="6" t="str">
        <x:v>68.0</x:v>
      </x:c>
      <x:c r="BT754" s="6" t="str">
        <x:v>2</x:v>
      </x:c>
      <x:c r="BU754" s="6" t="str"/>
      <x:c r="BV754" s="6" t="str">
        <x:v>0</x:v>
      </x:c>
      <x:c r="BW754" s="9" t="str">
        <x:v>operational_snapshot_annual_totals_may_differ</x:v>
      </x:c>
      <x:c r="BX754" s="9" t="str">
        <x:v>official_live_dashboard_snapshot_subject_to_revision</x:v>
      </x:c>
      <x:c r="BY754" s="9" t="str">
        <x:v>https://tbdashboard.sitb.id/ss_data_tbc03so_2024_provinsi_bulanan_list.php</x:v>
      </x:c>
      <x:c r="BZ754" s="6" t="n">
        <x:v>46246.610671296294</x:v>
      </x:c>
    </x:row>
    <x:row r="755" ht="18" customHeight="1">
      <x:c r="A755" s="6" t="str">
        <x:v>82</x:v>
      </x:c>
      <x:c r="B755" s="6" t="str">
        <x:v>MALUKU UTARA</x:v>
      </x:c>
      <x:c r="C755" s="6" t="str">
        <x:v>2024</x:v>
      </x:c>
      <x:c r="D755" s="6" t="str">
        <x:v>10</x:v>
      </x:c>
      <x:c r="E755" s="6" t="str">
        <x:v>2024-10</x:v>
      </x:c>
      <x:c r="F755" s="6" t="str">
        <x:v>291</x:v>
      </x:c>
      <x:c r="G755" s="6" t="str">
        <x:v>44</x:v>
      </x:c>
      <x:c r="H755" s="6" t="str">
        <x:v>167</x:v>
      </x:c>
      <x:c r="I755" s="6" t="str">
        <x:v>25</x:v>
      </x:c>
      <x:c r="J755" s="6" t="str">
        <x:v>18</x:v>
      </x:c>
      <x:c r="K755" s="6" t="str">
        <x:v>0</x:v>
      </x:c>
      <x:c r="L755" s="6" t="str">
        <x:v>6</x:v>
      </x:c>
      <x:c r="M755" s="6" t="str">
        <x:v>31</x:v>
      </x:c>
      <x:c r="N755" s="6" t="str">
        <x:v>291</x:v>
      </x:c>
      <x:c r="O755" s="6" t="str">
        <x:v>0</x:v>
      </x:c>
      <x:c r="P755" s="10" t="n">
        <x:f>F755-M755</x:f>
        <x:v>260</x:v>
      </x:c>
      <x:c r="Q755" s="11" t="n">
        <x:f>IFERROR(M755/F755,"")</x:f>
        <x:v>0.10652920962199312</x:v>
      </x:c>
      <x:c r="R755" s="10" t="n">
        <x:f>G755+H755</x:f>
        <x:v>211</x:v>
      </x:c>
      <x:c r="S755" s="11" t="n">
        <x:f>IFERROR(R755/F755,"")</x:f>
        <x:v>0.7250859106529209</x:v>
      </x:c>
      <x:c r="T755" s="11" t="n">
        <x:f>IFERROR(R755/P755,"")</x:f>
        <x:v>0.8115384615384615</x:v>
      </x:c>
      <x:c r="U755" s="10" t="n">
        <x:f>I755+J755+K755</x:f>
        <x:v>43</x:v>
      </x:c>
      <x:c r="V755" s="11" t="n">
        <x:f>IFERROR(U755/P755,"")</x:f>
        <x:v>0.16538461538461538</x:v>
      </x:c>
      <x:c r="W755" s="9" t="str">
        <x:v>provisional_gt_5pct_pending</x:v>
      </x:c>
      <x:c r="X755" s="12" t="n">
        <x:f>IFERROR(F755/Z755*100000,"")</x:f>
        <x:v>21.46650929477722</x:v>
      </x:c>
      <x:c r="Y755" s="13" t="n">
        <x:f>LN(Z755)</x:f>
        <x:v>14.119754718715033</x:v>
      </x:c>
      <x:c r="Z755" s="6" t="str">
        <x:v>1355600</x:v>
      </x:c>
      <x:c r="AA755" s="6" t="str">
        <x:v>41.0</x:v>
      </x:c>
      <x:c r="AB755" s="9" t="str">
        <x:v>2024-06-30</x:v>
      </x:c>
      <x:c r="AC755" s="8" t="str">
        <x:v>82.3</x:v>
      </x:c>
      <x:c r="AD755" s="9" t="str">
        <x:v>2024 (Susenas)</x:v>
      </x:c>
      <x:c r="AE755" s="8" t="str">
        <x:v>6.32</x:v>
      </x:c>
      <x:c r="AF755" s="9" t="str">
        <x:v>Maret 2024 (Susenas)</x:v>
      </x:c>
      <x:c r="AG755" s="6" t="str">
        <x:v>27.625992033710297</x:v>
      </x:c>
      <x:c r="AH755" s="8" t="str">
        <x:v>80.36406554397821</x:v>
      </x:c>
      <x:c r="AI755" s="6" t="str">
        <x:v>157.1721909487034</x:v>
      </x:c>
      <x:c r="AJ755" s="6" t="str">
        <x:v>0.4168582772842306</x:v>
      </x:c>
      <x:c r="AK755" s="8" t="str">
        <x:v>0.7548335614207066</x:v>
      </x:c>
      <x:c r="AL755" s="6" t="str">
        <x:v>1.293675138661921</x:v>
      </x:c>
      <x:c r="AM755" s="6" t="str">
        <x:v>1.3981126268736237</x:v>
      </x:c>
      <x:c r="AN755" s="6" t="str">
        <x:v>1.1488737756520842</x:v>
      </x:c>
      <x:c r="AO755" s="6" t="str">
        <x:v>3.5047172277911898</x:v>
      </x:c>
      <x:c r="AP755" s="8" t="str">
        <x:v>0.6651578091429263</x:v>
      </x:c>
      <x:c r="AQ755" s="6" t="str">
        <x:v>0.4145683668609033</x:v>
      </x:c>
      <x:c r="AR755" s="6" t="str">
        <x:v>1.034647820197639</x:v>
      </x:c>
      <x:c r="AS755" s="6" t="str">
        <x:v>0.7047913320671562</x:v>
      </x:c>
      <x:c r="AT755" s="6" t="str">
        <x:v>34.649919597796256</x:v>
      </x:c>
      <x:c r="AU755" s="8" t="str">
        <x:v>0.4307923603509151</x:v>
      </x:c>
      <x:c r="AV755" s="6" t="str">
        <x:v>-0.2773075166366197</x:v>
      </x:c>
      <x:c r="AW755" s="6" t="str">
        <x:v>1.9688996812287805</x:v>
      </x:c>
      <x:c r="AX755" s="6" t="str">
        <x:v>0.7074615083143582</x:v>
      </x:c>
      <x:c r="AY755" s="6" t="str">
        <x:v>0</x:v>
      </x:c>
      <x:c r="AZ755" s="6" t="str">
        <x:v>0</x:v>
      </x:c>
      <x:c r="BA755" s="9" t="str">
        <x:v>grid_cells_within_BIG_polygon</x:v>
      </x:c>
      <x:c r="BB755" s="6" t="str">
        <x:v>5</x:v>
      </x:c>
      <x:c r="BC755" s="6" t="str">
        <x:v>2</x:v>
      </x:c>
      <x:c r="BD755" s="6" t="str">
        <x:v>2</x:v>
      </x:c>
      <x:c r="BE755" s="6" t="str">
        <x:v>1</x:v>
      </x:c>
      <x:c r="BF755" s="6" t="str">
        <x:v>0</x:v>
      </x:c>
      <x:c r="BG755" s="6" t="str">
        <x:v>0</x:v>
      </x:c>
      <x:c r="BH755" s="6" t="str">
        <x:v>0</x:v>
      </x:c>
      <x:c r="BI755" s="6" t="str">
        <x:v>0</x:v>
      </x:c>
      <x:c r="BJ755" s="6" t="str">
        <x:v>1</x:v>
      </x:c>
      <x:c r="BK755" s="6" t="str">
        <x:v>0</x:v>
      </x:c>
      <x:c r="BL755" s="6" t="str">
        <x:v>0</x:v>
      </x:c>
      <x:c r="BM755" s="6" t="str">
        <x:v>0</x:v>
      </x:c>
      <x:c r="BN755" s="6" t="str">
        <x:v>2</x:v>
      </x:c>
      <x:c r="BO755" s="6" t="str">
        <x:v>0.0</x:v>
      </x:c>
      <x:c r="BP755" s="6" t="str">
        <x:v>2</x:v>
      </x:c>
      <x:c r="BQ755" s="6" t="str">
        <x:v>0.0</x:v>
      </x:c>
      <x:c r="BR755" s="6" t="str">
        <x:v>2</x:v>
      </x:c>
      <x:c r="BS755" s="6" t="str">
        <x:v>0.0</x:v>
      </x:c>
      <x:c r="BT755" s="6" t="str">
        <x:v>2</x:v>
      </x:c>
      <x:c r="BU755" s="6" t="str">
        <x:v>758.0</x:v>
      </x:c>
      <x:c r="BV755" s="6" t="str">
        <x:v>2</x:v>
      </x:c>
      <x:c r="BW755" s="9" t="str">
        <x:v>operational_snapshot_annual_totals_may_differ</x:v>
      </x:c>
      <x:c r="BX755" s="9" t="str">
        <x:v>official_live_dashboard_snapshot_subject_to_revision</x:v>
      </x:c>
      <x:c r="BY755" s="9" t="str">
        <x:v>https://tbdashboard.sitb.id/ss_data_tbc03so_2024_provinsi_bulanan_list.php</x:v>
      </x:c>
      <x:c r="BZ755" s="6" t="n">
        <x:v>46246.610671296294</x:v>
      </x:c>
    </x:row>
    <x:row r="756" ht="18" customHeight="1">
      <x:c r="A756" s="6" t="str">
        <x:v>82</x:v>
      </x:c>
      <x:c r="B756" s="6" t="str">
        <x:v>MALUKU UTARA</x:v>
      </x:c>
      <x:c r="C756" s="6" t="str">
        <x:v>2024</x:v>
      </x:c>
      <x:c r="D756" s="6" t="str">
        <x:v>11</x:v>
      </x:c>
      <x:c r="E756" s="6" t="str">
        <x:v>2024-11</x:v>
      </x:c>
      <x:c r="F756" s="6" t="str">
        <x:v>283</x:v>
      </x:c>
      <x:c r="G756" s="6" t="str">
        <x:v>41</x:v>
      </x:c>
      <x:c r="H756" s="6" t="str">
        <x:v>152</x:v>
      </x:c>
      <x:c r="I756" s="6" t="str">
        <x:v>34</x:v>
      </x:c>
      <x:c r="J756" s="6" t="str">
        <x:v>26</x:v>
      </x:c>
      <x:c r="K756" s="6" t="str">
        <x:v>0</x:v>
      </x:c>
      <x:c r="L756" s="6" t="str">
        <x:v>4</x:v>
      </x:c>
      <x:c r="M756" s="6" t="str">
        <x:v>26</x:v>
      </x:c>
      <x:c r="N756" s="6" t="str">
        <x:v>283</x:v>
      </x:c>
      <x:c r="O756" s="6" t="str">
        <x:v>0</x:v>
      </x:c>
      <x:c r="P756" s="10" t="n">
        <x:f>F756-M756</x:f>
        <x:v>257</x:v>
      </x:c>
      <x:c r="Q756" s="11" t="n">
        <x:f>IFERROR(M756/F756,"")</x:f>
        <x:v>0.09187279151943463</x:v>
      </x:c>
      <x:c r="R756" s="10" t="n">
        <x:f>G756+H756</x:f>
        <x:v>193</x:v>
      </x:c>
      <x:c r="S756" s="11" t="n">
        <x:f>IFERROR(R756/F756,"")</x:f>
        <x:v>0.6819787985865724</x:v>
      </x:c>
      <x:c r="T756" s="11" t="n">
        <x:f>IFERROR(R756/P756,"")</x:f>
        <x:v>0.7509727626459144</x:v>
      </x:c>
      <x:c r="U756" s="10" t="n">
        <x:f>I756+J756+K756</x:f>
        <x:v>60</x:v>
      </x:c>
      <x:c r="V756" s="11" t="n">
        <x:f>IFERROR(U756/P756,"")</x:f>
        <x:v>0.23346303501945526</x:v>
      </x:c>
      <x:c r="W756" s="9" t="str">
        <x:v>provisional_gt_5pct_pending</x:v>
      </x:c>
      <x:c r="X756" s="12" t="n">
        <x:f>IFERROR(F756/Z756*100000,"")</x:f>
        <x:v>20.876364709353794</x:v>
      </x:c>
      <x:c r="Y756" s="13" t="n">
        <x:f>LN(Z756)</x:f>
        <x:v>14.119754718715033</x:v>
      </x:c>
      <x:c r="Z756" s="6" t="str">
        <x:v>1355600</x:v>
      </x:c>
      <x:c r="AA756" s="6" t="str">
        <x:v>41.0</x:v>
      </x:c>
      <x:c r="AB756" s="9" t="str">
        <x:v>2024-06-30</x:v>
      </x:c>
      <x:c r="AC756" s="8" t="str">
        <x:v>82.3</x:v>
      </x:c>
      <x:c r="AD756" s="9" t="str">
        <x:v>2024 (Susenas)</x:v>
      </x:c>
      <x:c r="AE756" s="8" t="str">
        <x:v>6.32</x:v>
      </x:c>
      <x:c r="AF756" s="9" t="str">
        <x:v>Maret 2024 (Susenas)</x:v>
      </x:c>
      <x:c r="AG756" s="6" t="str">
        <x:v>27.931988332410928</x:v>
      </x:c>
      <x:c r="AH756" s="8" t="str">
        <x:v>79.59409212370997</x:v>
      </x:c>
      <x:c r="AI756" s="6" t="str">
        <x:v>208.08571750051817</x:v>
      </x:c>
      <x:c r="AJ756" s="6" t="str">
        <x:v>0.503129681514455</x:v>
      </x:c>
      <x:c r="AK756" s="8" t="str">
        <x:v>0.8233766724878165</x:v>
      </x:c>
      <x:c r="AL756" s="6" t="str">
        <x:v>0.7548335614207066</x:v>
      </x:c>
      <x:c r="AM756" s="6" t="str">
        <x:v>1.293675138661921</x:v>
      </x:c>
      <x:c r="AN756" s="6" t="str">
        <x:v>0.9572951241901484</x:v>
      </x:c>
      <x:c r="AO756" s="6" t="str">
        <x:v>1.9182378517991907</x:v>
      </x:c>
      <x:c r="AP756" s="8" t="str">
        <x:v>0.3646926276399527</x:v>
      </x:c>
      <x:c r="AQ756" s="6" t="str">
        <x:v>0.6651578091429263</x:v>
      </x:c>
      <x:c r="AR756" s="6" t="str">
        <x:v>0.4145683668609033</x:v>
      </x:c>
      <x:c r="AS756" s="6" t="str">
        <x:v>0.4814729345479274</x:v>
      </x:c>
      <x:c r="AT756" s="6" t="str">
        <x:v>44.22901479005998</x:v>
      </x:c>
      <x:c r="AU756" s="8" t="str">
        <x:v>0.5024967244713491</x:v>
      </x:c>
      <x:c r="AV756" s="6" t="str">
        <x:v>0.4307923603509151</x:v>
      </x:c>
      <x:c r="AW756" s="6" t="str">
        <x:v>-0.2773075166366197</x:v>
      </x:c>
      <x:c r="AX756" s="6" t="str">
        <x:v>0.2186605227285477</x:v>
      </x:c>
      <x:c r="AY756" s="6" t="str">
        <x:v>0</x:v>
      </x:c>
      <x:c r="AZ756" s="6" t="str">
        <x:v>0</x:v>
      </x:c>
      <x:c r="BA756" s="9" t="str">
        <x:v>grid_cells_within_BIG_polygon</x:v>
      </x:c>
      <x:c r="BB756" s="6" t="str">
        <x:v>5</x:v>
      </x:c>
      <x:c r="BC756" s="6" t="str">
        <x:v>0</x:v>
      </x:c>
      <x:c r="BD756" s="6" t="str">
        <x:v>0</x:v>
      </x:c>
      <x:c r="BE756" s="6" t="str">
        <x:v>0</x:v>
      </x:c>
      <x:c r="BF756" s="6" t="str">
        <x:v>0</x:v>
      </x:c>
      <x:c r="BG756" s="6" t="str">
        <x:v>0</x:v>
      </x:c>
      <x:c r="BH756" s="6" t="str">
        <x:v>0</x:v>
      </x:c>
      <x:c r="BI756" s="6" t="str">
        <x:v>0</x:v>
      </x:c>
      <x:c r="BJ756" s="6" t="str">
        <x:v>0</x:v>
      </x:c>
      <x:c r="BK756" s="6" t="str">
        <x:v>0</x:v>
      </x:c>
      <x:c r="BL756" s="6" t="str">
        <x:v>0</x:v>
      </x:c>
      <x:c r="BM756" s="6" t="str">
        <x:v>0</x:v>
      </x:c>
      <x:c r="BN756" s="6" t="str">
        <x:v>0</x:v>
      </x:c>
      <x:c r="BO756" s="6" t="str"/>
      <x:c r="BP756" s="6" t="str">
        <x:v>0</x:v>
      </x:c>
      <x:c r="BQ756" s="6" t="str"/>
      <x:c r="BR756" s="6" t="str">
        <x:v>0</x:v>
      </x:c>
      <x:c r="BS756" s="6" t="str"/>
      <x:c r="BT756" s="6" t="str">
        <x:v>0</x:v>
      </x:c>
      <x:c r="BU756" s="6" t="str"/>
      <x:c r="BV756" s="6" t="str">
        <x:v>0</x:v>
      </x:c>
      <x:c r="BW756" s="9" t="str">
        <x:v>operational_snapshot_annual_totals_may_differ</x:v>
      </x:c>
      <x:c r="BX756" s="9" t="str">
        <x:v>official_live_dashboard_snapshot_subject_to_revision</x:v>
      </x:c>
      <x:c r="BY756" s="9" t="str">
        <x:v>https://tbdashboard.sitb.id/ss_data_tbc03so_2024_provinsi_bulanan_list.php</x:v>
      </x:c>
      <x:c r="BZ756" s="6" t="n">
        <x:v>46246.610671296294</x:v>
      </x:c>
    </x:row>
    <x:row r="757" ht="18" customHeight="1">
      <x:c r="A757" s="6" t="str">
        <x:v>82</x:v>
      </x:c>
      <x:c r="B757" s="6" t="str">
        <x:v>MALUKU UTARA</x:v>
      </x:c>
      <x:c r="C757" s="6" t="str">
        <x:v>2024</x:v>
      </x:c>
      <x:c r="D757" s="6" t="str">
        <x:v>12</x:v>
      </x:c>
      <x:c r="E757" s="6" t="str">
        <x:v>2024-12</x:v>
      </x:c>
      <x:c r="F757" s="6" t="str">
        <x:v>282</x:v>
      </x:c>
      <x:c r="G757" s="6" t="str">
        <x:v>55</x:v>
      </x:c>
      <x:c r="H757" s="6" t="str">
        <x:v>159</x:v>
      </x:c>
      <x:c r="I757" s="6" t="str">
        <x:v>23</x:v>
      </x:c>
      <x:c r="J757" s="6" t="str">
        <x:v>14</x:v>
      </x:c>
      <x:c r="K757" s="6" t="str">
        <x:v>1</x:v>
      </x:c>
      <x:c r="L757" s="6" t="str">
        <x:v>6</x:v>
      </x:c>
      <x:c r="M757" s="6" t="str">
        <x:v>24</x:v>
      </x:c>
      <x:c r="N757" s="6" t="str">
        <x:v>282</x:v>
      </x:c>
      <x:c r="O757" s="6" t="str">
        <x:v>0</x:v>
      </x:c>
      <x:c r="P757" s="10" t="n">
        <x:f>F757-M757</x:f>
        <x:v>258</x:v>
      </x:c>
      <x:c r="Q757" s="11" t="n">
        <x:f>IFERROR(M757/F757,"")</x:f>
        <x:v>0.0851063829787234</x:v>
      </x:c>
      <x:c r="R757" s="10" t="n">
        <x:f>G757+H757</x:f>
        <x:v>214</x:v>
      </x:c>
      <x:c r="S757" s="11" t="n">
        <x:f>IFERROR(R757/F757,"")</x:f>
        <x:v>0.7588652482269503</x:v>
      </x:c>
      <x:c r="T757" s="11" t="n">
        <x:f>IFERROR(R757/P757,"")</x:f>
        <x:v>0.8294573643410853</x:v>
      </x:c>
      <x:c r="U757" s="10" t="n">
        <x:f>I757+J757+K757</x:f>
        <x:v>38</x:v>
      </x:c>
      <x:c r="V757" s="11" t="n">
        <x:f>IFERROR(U757/P757,"")</x:f>
        <x:v>0.14728682170542637</x:v>
      </x:c>
      <x:c r="W757" s="9" t="str">
        <x:v>provisional_gt_5pct_pending</x:v>
      </x:c>
      <x:c r="X757" s="12" t="n">
        <x:f>IFERROR(F757/Z757*100000,"")</x:f>
        <x:v>20.802596636175863</x:v>
      </x:c>
      <x:c r="Y757" s="13" t="n">
        <x:f>LN(Z757)</x:f>
        <x:v>14.119754718715033</x:v>
      </x:c>
      <x:c r="Z757" s="6" t="str">
        <x:v>1355600</x:v>
      </x:c>
      <x:c r="AA757" s="6" t="str">
        <x:v>41.0</x:v>
      </x:c>
      <x:c r="AB757" s="9" t="str">
        <x:v>2024-06-30</x:v>
      </x:c>
      <x:c r="AC757" s="8" t="str">
        <x:v>82.3</x:v>
      </x:c>
      <x:c r="AD757" s="9" t="str">
        <x:v>2024 (Susenas)</x:v>
      </x:c>
      <x:c r="AE757" s="8" t="str">
        <x:v>6.32</x:v>
      </x:c>
      <x:c r="AF757" s="9" t="str">
        <x:v>Maret 2024 (Susenas)</x:v>
      </x:c>
      <x:c r="AG757" s="6" t="str">
        <x:v>27.29999124193647</x:v>
      </x:c>
      <x:c r="AH757" s="8" t="str">
        <x:v>83.56203715006386</x:v>
      </x:c>
      <x:c r="AI757" s="6" t="str">
        <x:v>339.3334002589595</x:v>
      </x:c>
      <x:c r="AJ757" s="6" t="str">
        <x:v>0.2391275594069952</x:v>
      </x:c>
      <x:c r="AK757" s="8" t="str">
        <x:v>0.4035087648276411</x:v>
      </x:c>
      <x:c r="AL757" s="6" t="str">
        <x:v>0.8233766724878165</x:v>
      </x:c>
      <x:c r="AM757" s="6" t="str">
        <x:v>0.7548335614207066</x:v>
      </x:c>
      <x:c r="AN757" s="6" t="str">
        <x:v>0.6605729995787217</x:v>
      </x:c>
      <x:c r="AO757" s="6" t="str">
        <x:v>2.914525484378018</x:v>
      </x:c>
      <x:c r="AP757" s="8" t="str">
        <x:v>0.7608139078247792</x:v>
      </x:c>
      <x:c r="AQ757" s="6" t="str">
        <x:v>0.3646926276399527</x:v>
      </x:c>
      <x:c r="AR757" s="6" t="str">
        <x:v>0.6651578091429263</x:v>
      </x:c>
      <x:c r="AS757" s="6" t="str">
        <x:v>0.5968881148692194</x:v>
      </x:c>
      <x:c r="AT757" s="6" t="str">
        <x:v>132.60444000974132</x:v>
      </x:c>
      <x:c r="AU757" s="8" t="str">
        <x:v>1.3910684186340263</x:v>
      </x:c>
      <x:c r="AV757" s="6" t="str">
        <x:v>0.5024967244713491</x:v>
      </x:c>
      <x:c r="AW757" s="6" t="str">
        <x:v>0.4307923603509151</x:v>
      </x:c>
      <x:c r="AX757" s="6" t="str">
        <x:v>0.7747858344854298</x:v>
      </x:c>
      <x:c r="AY757" s="6" t="str">
        <x:v>1</x:v>
      </x:c>
      <x:c r="AZ757" s="6" t="str">
        <x:v>0</x:v>
      </x:c>
      <x:c r="BA757" s="9" t="str">
        <x:v>grid_cells_within_BIG_polygon</x:v>
      </x:c>
      <x:c r="BB757" s="6" t="str">
        <x:v>5</x:v>
      </x:c>
      <x:c r="BC757" s="6" t="str">
        <x:v>9</x:v>
      </x:c>
      <x:c r="BD757" s="6" t="str">
        <x:v>9</x:v>
      </x:c>
      <x:c r="BE757" s="6" t="str">
        <x:v>4</x:v>
      </x:c>
      <x:c r="BF757" s="6" t="str">
        <x:v>3</x:v>
      </x:c>
      <x:c r="BG757" s="6" t="str">
        <x:v>2</x:v>
      </x:c>
      <x:c r="BH757" s="6" t="str">
        <x:v>0</x:v>
      </x:c>
      <x:c r="BI757" s="6" t="str">
        <x:v>0</x:v>
      </x:c>
      <x:c r="BJ757" s="6" t="str">
        <x:v>0</x:v>
      </x:c>
      <x:c r="BK757" s="6" t="str">
        <x:v>0</x:v>
      </x:c>
      <x:c r="BL757" s="6" t="str">
        <x:v>0</x:v>
      </x:c>
      <x:c r="BM757" s="6" t="str">
        <x:v>0</x:v>
      </x:c>
      <x:c r="BN757" s="6" t="str">
        <x:v>9</x:v>
      </x:c>
      <x:c r="BO757" s="6" t="str">
        <x:v>1.0</x:v>
      </x:c>
      <x:c r="BP757" s="6" t="str">
        <x:v>9</x:v>
      </x:c>
      <x:c r="BQ757" s="6" t="str">
        <x:v>8.0</x:v>
      </x:c>
      <x:c r="BR757" s="6" t="str">
        <x:v>9</x:v>
      </x:c>
      <x:c r="BS757" s="6" t="str">
        <x:v>34.0</x:v>
      </x:c>
      <x:c r="BT757" s="6" t="str">
        <x:v>9</x:v>
      </x:c>
      <x:c r="BU757" s="6" t="str">
        <x:v>225.0</x:v>
      </x:c>
      <x:c r="BV757" s="6" t="str">
        <x:v>3</x:v>
      </x:c>
      <x:c r="BW757" s="9" t="str">
        <x:v>operational_snapshot_annual_totals_may_differ</x:v>
      </x:c>
      <x:c r="BX757" s="9" t="str">
        <x:v>official_live_dashboard_snapshot_subject_to_revision</x:v>
      </x:c>
      <x:c r="BY757" s="9" t="str">
        <x:v>https://tbdashboard.sitb.id/ss_data_tbc03so_2024_provinsi_bulanan_list.php</x:v>
      </x:c>
      <x:c r="BZ757" s="6" t="n">
        <x:v>46246.610671296294</x:v>
      </x:c>
    </x:row>
    <x:row r="758" ht="18" customHeight="1">
      <x:c r="A758" s="6" t="str">
        <x:v>82</x:v>
      </x:c>
      <x:c r="B758" s="6" t="str">
        <x:v>MALUKU UTARA</x:v>
      </x:c>
      <x:c r="C758" s="6" t="str">
        <x:v>2025</x:v>
      </x:c>
      <x:c r="D758" s="6" t="str">
        <x:v>1</x:v>
      </x:c>
      <x:c r="E758" s="6" t="str">
        <x:v>2025-01</x:v>
      </x:c>
      <x:c r="F758" s="6" t="str">
        <x:v>285</x:v>
      </x:c>
      <x:c r="G758" s="6" t="str">
        <x:v>56</x:v>
      </x:c>
      <x:c r="H758" s="6" t="str">
        <x:v>174</x:v>
      </x:c>
      <x:c r="I758" s="6" t="str">
        <x:v>24</x:v>
      </x:c>
      <x:c r="J758" s="6" t="str">
        <x:v>19</x:v>
      </x:c>
      <x:c r="K758" s="6" t="str">
        <x:v>0</x:v>
      </x:c>
      <x:c r="L758" s="6" t="str">
        <x:v>1</x:v>
      </x:c>
      <x:c r="M758" s="6" t="str">
        <x:v>11</x:v>
      </x:c>
      <x:c r="N758" s="6" t="str">
        <x:v>285</x:v>
      </x:c>
      <x:c r="O758" s="6" t="str">
        <x:v>0</x:v>
      </x:c>
      <x:c r="P758" s="10" t="n">
        <x:f>F758-M758</x:f>
        <x:v>274</x:v>
      </x:c>
      <x:c r="Q758" s="11" t="n">
        <x:f>IFERROR(M758/F758,"")</x:f>
        <x:v>0.03859649122807018</x:v>
      </x:c>
      <x:c r="R758" s="10" t="n">
        <x:f>G758+H758</x:f>
        <x:v>230</x:v>
      </x:c>
      <x:c r="S758" s="11" t="n">
        <x:f>IFERROR(R758/F758,"")</x:f>
        <x:v>0.8070175438596491</x:v>
      </x:c>
      <x:c r="T758" s="11" t="n">
        <x:f>IFERROR(R758/P758,"")</x:f>
        <x:v>0.8394160583941606</x:v>
      </x:c>
      <x:c r="U758" s="10" t="n">
        <x:f>I758+J758+K758</x:f>
        <x:v>43</x:v>
      </x:c>
      <x:c r="V758" s="11" t="n">
        <x:f>IFERROR(U758/P758,"")</x:f>
        <x:v>0.15693430656934307</x:v>
      </x:c>
      <x:c r="W758" s="9" t="str">
        <x:v>mature_le_5pct_pending</x:v>
      </x:c>
      <x:c r="X758" s="12" t="n">
        <x:f>IFERROR(F758/Z758*100000,"")</x:f>
        <x:v>20.74537778424807</x:v>
      </x:c>
      <x:c r="Y758" s="13" t="n">
        <x:f>LN(Z758)</x:f>
        <x:v>14.133091180761918</x:v>
      </x:c>
      <x:c r="Z758" s="6" t="str">
        <x:v>1373800</x:v>
      </x:c>
      <x:c r="AA758" s="6" t="str">
        <x:v>42.0</x:v>
      </x:c>
      <x:c r="AB758" s="9" t="str">
        <x:v>2025-06-30</x:v>
      </x:c>
      <x:c r="AC758" s="8" t="str">
        <x:v>84.1</x:v>
      </x:c>
      <x:c r="AD758" s="9" t="str">
        <x:v>2025 (Susenas)</x:v>
      </x:c>
      <x:c r="AE758" s="8" t="str">
        <x:v>5.81</x:v>
      </x:c>
      <x:c r="AF758" s="9" t="str">
        <x:v>Maret 2025 (Susenas)</x:v>
      </x:c>
      <x:c r="AG758" s="6" t="str">
        <x:v>27.10199434918797</x:v>
      </x:c>
      <x:c r="AH758" s="8" t="str">
        <x:v>82.00199830869512</x:v>
      </x:c>
      <x:c r="AI758" s="6" t="str">
        <x:v>215.9473183773515</x:v>
      </x:c>
      <x:c r="AJ758" s="6" t="str">
        <x:v>0.3539309677358204</x:v>
      </x:c>
      <x:c r="AK758" s="8" t="str">
        <x:v>0.6047356597292279</x:v>
      </x:c>
      <x:c r="AL758" s="6" t="str">
        <x:v>0.4035087648276411</x:v>
      </x:c>
      <x:c r="AM758" s="6" t="str">
        <x:v>0.8233766724878165</x:v>
      </x:c>
      <x:c r="AN758" s="6" t="str">
        <x:v>0.6105403656815622</x:v>
      </x:c>
      <x:c r="AO758" s="6" t="str">
        <x:v>0.6458316235100625</x:v>
      </x:c>
      <x:c r="AP758" s="8" t="str">
        <x:v>0.1593276745021586</x:v>
      </x:c>
      <x:c r="AQ758" s="6" t="str">
        <x:v>0.7608139078247792</x:v>
      </x:c>
      <x:c r="AR758" s="6" t="str">
        <x:v>0.3646926276399527</x:v>
      </x:c>
      <x:c r="AS758" s="6" t="str">
        <x:v>0.4282780699889634</x:v>
      </x:c>
      <x:c r="AT758" s="6" t="str">
        <x:v>34.089498906736736</x:v>
      </x:c>
      <x:c r="AU758" s="8" t="str">
        <x:v>0.4265300713570171</x:v>
      </x:c>
      <x:c r="AV758" s="6" t="str">
        <x:v>1.3910684186340263</x:v>
      </x:c>
      <x:c r="AW758" s="6" t="str">
        <x:v>0.5024967244713491</x:v>
      </x:c>
      <x:c r="AX758" s="6" t="str">
        <x:v>0.7733650714874639</x:v>
      </x:c>
      <x:c r="AY758" s="6" t="str">
        <x:v>0</x:v>
      </x:c>
      <x:c r="AZ758" s="6" t="str">
        <x:v>0</x:v>
      </x:c>
      <x:c r="BA758" s="9" t="str">
        <x:v>grid_cells_within_BIG_polygon</x:v>
      </x:c>
      <x:c r="BB758" s="6" t="str">
        <x:v>5</x:v>
      </x:c>
      <x:c r="BC758" s="6" t="str">
        <x:v>4</x:v>
      </x:c>
      <x:c r="BD758" s="6" t="str">
        <x:v>3</x:v>
      </x:c>
      <x:c r="BE758" s="6" t="str">
        <x:v>2</x:v>
      </x:c>
      <x:c r="BF758" s="6" t="str">
        <x:v>0</x:v>
      </x:c>
      <x:c r="BG758" s="6" t="str">
        <x:v>1</x:v>
      </x:c>
      <x:c r="BH758" s="6" t="str">
        <x:v>0</x:v>
      </x:c>
      <x:c r="BI758" s="6" t="str">
        <x:v>0</x:v>
      </x:c>
      <x:c r="BJ758" s="6" t="str">
        <x:v>0</x:v>
      </x:c>
      <x:c r="BK758" s="6" t="str">
        <x:v>0</x:v>
      </x:c>
      <x:c r="BL758" s="6" t="str">
        <x:v>1</x:v>
      </x:c>
      <x:c r="BM758" s="6" t="str">
        <x:v>0</x:v>
      </x:c>
      <x:c r="BN758" s="6" t="str">
        <x:v>4</x:v>
      </x:c>
      <x:c r="BO758" s="6" t="str">
        <x:v>0.0</x:v>
      </x:c>
      <x:c r="BP758" s="6" t="str">
        <x:v>4</x:v>
      </x:c>
      <x:c r="BQ758" s="6" t="str">
        <x:v>0.0</x:v>
      </x:c>
      <x:c r="BR758" s="6" t="str">
        <x:v>4</x:v>
      </x:c>
      <x:c r="BS758" s="6" t="str">
        <x:v>13.0</x:v>
      </x:c>
      <x:c r="BT758" s="6" t="str">
        <x:v>4</x:v>
      </x:c>
      <x:c r="BU758" s="6" t="str">
        <x:v>73.0</x:v>
      </x:c>
      <x:c r="BV758" s="6" t="str">
        <x:v>2</x:v>
      </x:c>
      <x:c r="BW758" s="9" t="str">
        <x:v>operational_snapshot_annual_totals_may_differ</x:v>
      </x:c>
      <x:c r="BX758" s="9" t="str">
        <x:v>official_live_dashboard_snapshot_subject_to_revision</x:v>
      </x:c>
      <x:c r="BY758" s="9" t="str">
        <x:v>https://tbdashboard.sitb.id/ss_data_tbc03so_2025_provinsi_bulanan_list.php</x:v>
      </x:c>
      <x:c r="BZ758" s="6" t="n">
        <x:v>46246.610671296294</x:v>
      </x:c>
    </x:row>
    <x:row r="759" ht="18" customHeight="1">
      <x:c r="A759" s="6" t="str">
        <x:v>82</x:v>
      </x:c>
      <x:c r="B759" s="6" t="str">
        <x:v>MALUKU UTARA</x:v>
      </x:c>
      <x:c r="C759" s="6" t="str">
        <x:v>2025</x:v>
      </x:c>
      <x:c r="D759" s="6" t="str">
        <x:v>2</x:v>
      </x:c>
      <x:c r="E759" s="6" t="str">
        <x:v>2025-02</x:v>
      </x:c>
      <x:c r="F759" s="6" t="str">
        <x:v>275</x:v>
      </x:c>
      <x:c r="G759" s="6" t="str">
        <x:v>58</x:v>
      </x:c>
      <x:c r="H759" s="6" t="str">
        <x:v>162</x:v>
      </x:c>
      <x:c r="I759" s="6" t="str">
        <x:v>25</x:v>
      </x:c>
      <x:c r="J759" s="6" t="str">
        <x:v>18</x:v>
      </x:c>
      <x:c r="K759" s="6" t="str">
        <x:v>0</x:v>
      </x:c>
      <x:c r="L759" s="6" t="str">
        <x:v>0</x:v>
      </x:c>
      <x:c r="M759" s="6" t="str">
        <x:v>12</x:v>
      </x:c>
      <x:c r="N759" s="6" t="str">
        <x:v>275</x:v>
      </x:c>
      <x:c r="O759" s="6" t="str">
        <x:v>0</x:v>
      </x:c>
      <x:c r="P759" s="10" t="n">
        <x:f>F759-M759</x:f>
        <x:v>263</x:v>
      </x:c>
      <x:c r="Q759" s="11" t="n">
        <x:f>IFERROR(M759/F759,"")</x:f>
        <x:v>0.04363636363636364</x:v>
      </x:c>
      <x:c r="R759" s="10" t="n">
        <x:f>G759+H759</x:f>
        <x:v>220</x:v>
      </x:c>
      <x:c r="S759" s="11" t="n">
        <x:f>IFERROR(R759/F759,"")</x:f>
        <x:v>0.8</x:v>
      </x:c>
      <x:c r="T759" s="11" t="n">
        <x:f>IFERROR(R759/P759,"")</x:f>
        <x:v>0.8365019011406845</x:v>
      </x:c>
      <x:c r="U759" s="10" t="n">
        <x:f>I759+J759+K759</x:f>
        <x:v>43</x:v>
      </x:c>
      <x:c r="V759" s="11" t="n">
        <x:f>IFERROR(U759/P759,"")</x:f>
        <x:v>0.1634980988593156</x:v>
      </x:c>
      <x:c r="W759" s="9" t="str">
        <x:v>mature_le_5pct_pending</x:v>
      </x:c>
      <x:c r="X759" s="12" t="n">
        <x:f>IFERROR(F759/Z759*100000,"")</x:f>
        <x:v>20.017469791818314</x:v>
      </x:c>
      <x:c r="Y759" s="13" t="n">
        <x:f>LN(Z759)</x:f>
        <x:v>14.133091180761918</x:v>
      </x:c>
      <x:c r="Z759" s="6" t="str">
        <x:v>1373800</x:v>
      </x:c>
      <x:c r="AA759" s="6" t="str">
        <x:v>42.0</x:v>
      </x:c>
      <x:c r="AB759" s="9" t="str">
        <x:v>2025-06-30</x:v>
      </x:c>
      <x:c r="AC759" s="8" t="str">
        <x:v>84.1</x:v>
      </x:c>
      <x:c r="AD759" s="9" t="str">
        <x:v>2025 (Susenas)</x:v>
      </x:c>
      <x:c r="AE759" s="8" t="str">
        <x:v>5.81</x:v>
      </x:c>
      <x:c r="AF759" s="9" t="str">
        <x:v>Maret 2025 (Susenas)</x:v>
      </x:c>
      <x:c r="AG759" s="6" t="str">
        <x:v>26.725988149747437</x:v>
      </x:c>
      <x:c r="AH759" s="8" t="str">
        <x:v>82.78400118786375</x:v>
      </x:c>
      <x:c r="AI759" s="6" t="str">
        <x:v>213.30523300030072</x:v>
      </x:c>
      <x:c r="AJ759" s="6" t="str">
        <x:v>-0.034276903176476</x:v>
      </x:c>
      <x:c r="AK759" s="8" t="str">
        <x:v>-0.059448826949902</x:v>
      </x:c>
      <x:c r="AL759" s="6" t="str">
        <x:v>0.6047356597292279</x:v>
      </x:c>
      <x:c r="AM759" s="6" t="str">
        <x:v>0.4035087648276411</x:v>
      </x:c>
      <x:c r="AN759" s="6" t="str">
        <x:v>0.3162651992023226</x:v>
      </x:c>
      <x:c r="AO759" s="6" t="str">
        <x:v>1.9496556435973105</x:v>
      </x:c>
      <x:c r="AP759" s="8" t="str">
        <x:v>0.4746259407426308</x:v>
      </x:c>
      <x:c r="AQ759" s="6" t="str">
        <x:v>0.1593276745021586</x:v>
      </x:c>
      <x:c r="AR759" s="6" t="str">
        <x:v>0.7608139078247792</x:v>
      </x:c>
      <x:c r="AS759" s="6" t="str">
        <x:v>0.4649225076898561</x:v>
      </x:c>
      <x:c r="AT759" s="6" t="str">
        <x:v>57.41052708683782</x:v>
      </x:c>
      <x:c r="AU759" s="8" t="str">
        <x:v>0.7415707736091711</x:v>
      </x:c>
      <x:c r="AV759" s="6" t="str">
        <x:v>0.4265300713570171</x:v>
      </x:c>
      <x:c r="AW759" s="6" t="str">
        <x:v>1.3910684186340263</x:v>
      </x:c>
      <x:c r="AX759" s="6" t="str">
        <x:v>0.8530564212000712</x:v>
      </x:c>
      <x:c r="AY759" s="6" t="str">
        <x:v>0</x:v>
      </x:c>
      <x:c r="AZ759" s="6" t="str">
        <x:v>0</x:v>
      </x:c>
      <x:c r="BA759" s="9" t="str">
        <x:v>grid_cells_within_BIG_polygon</x:v>
      </x:c>
      <x:c r="BB759" s="6" t="str">
        <x:v>5</x:v>
      </x:c>
      <x:c r="BC759" s="6" t="str">
        <x:v>5</x:v>
      </x:c>
      <x:c r="BD759" s="6" t="str">
        <x:v>5</x:v>
      </x:c>
      <x:c r="BE759" s="6" t="str">
        <x:v>3</x:v>
      </x:c>
      <x:c r="BF759" s="6" t="str">
        <x:v>0</x:v>
      </x:c>
      <x:c r="BG759" s="6" t="str">
        <x:v>0</x:v>
      </x:c>
      <x:c r="BH759" s="6" t="str">
        <x:v>0</x:v>
      </x:c>
      <x:c r="BI759" s="6" t="str">
        <x:v>0</x:v>
      </x:c>
      <x:c r="BJ759" s="6" t="str">
        <x:v>2</x:v>
      </x:c>
      <x:c r="BK759" s="6" t="str">
        <x:v>0</x:v>
      </x:c>
      <x:c r="BL759" s="6" t="str">
        <x:v>0</x:v>
      </x:c>
      <x:c r="BM759" s="6" t="str">
        <x:v>0</x:v>
      </x:c>
      <x:c r="BN759" s="6" t="str">
        <x:v>5</x:v>
      </x:c>
      <x:c r="BO759" s="6" t="str">
        <x:v>0.0</x:v>
      </x:c>
      <x:c r="BP759" s="6" t="str">
        <x:v>5</x:v>
      </x:c>
      <x:c r="BQ759" s="6" t="str">
        <x:v>0.0</x:v>
      </x:c>
      <x:c r="BR759" s="6" t="str">
        <x:v>5</x:v>
      </x:c>
      <x:c r="BS759" s="6" t="str">
        <x:v>0.0</x:v>
      </x:c>
      <x:c r="BT759" s="6" t="str">
        <x:v>5</x:v>
      </x:c>
      <x:c r="BU759" s="6" t="str">
        <x:v>373.0</x:v>
      </x:c>
      <x:c r="BV759" s="6" t="str">
        <x:v>2</x:v>
      </x:c>
      <x:c r="BW759" s="9" t="str">
        <x:v>operational_snapshot_annual_totals_may_differ</x:v>
      </x:c>
      <x:c r="BX759" s="9" t="str">
        <x:v>official_live_dashboard_snapshot_subject_to_revision</x:v>
      </x:c>
      <x:c r="BY759" s="9" t="str">
        <x:v>https://tbdashboard.sitb.id/ss_data_tbc03so_2025_provinsi_bulanan_list.php</x:v>
      </x:c>
      <x:c r="BZ759" s="6" t="n">
        <x:v>46246.610671296294</x:v>
      </x:c>
    </x:row>
    <x:row r="760" ht="18" customHeight="1">
      <x:c r="A760" s="6" t="str">
        <x:v>82</x:v>
      </x:c>
      <x:c r="B760" s="6" t="str">
        <x:v>MALUKU UTARA</x:v>
      </x:c>
      <x:c r="C760" s="6" t="str">
        <x:v>2025</x:v>
      </x:c>
      <x:c r="D760" s="6" t="str">
        <x:v>3</x:v>
      </x:c>
      <x:c r="E760" s="6" t="str">
        <x:v>2025-03</x:v>
      </x:c>
      <x:c r="F760" s="6" t="str">
        <x:v>249</x:v>
      </x:c>
      <x:c r="G760" s="6" t="str">
        <x:v>51</x:v>
      </x:c>
      <x:c r="H760" s="6" t="str">
        <x:v>150</x:v>
      </x:c>
      <x:c r="I760" s="6" t="str">
        <x:v>18</x:v>
      </x:c>
      <x:c r="J760" s="6" t="str">
        <x:v>14</x:v>
      </x:c>
      <x:c r="K760" s="6" t="str">
        <x:v>0</x:v>
      </x:c>
      <x:c r="L760" s="6" t="str">
        <x:v>1</x:v>
      </x:c>
      <x:c r="M760" s="6" t="str">
        <x:v>15</x:v>
      </x:c>
      <x:c r="N760" s="6" t="str">
        <x:v>249</x:v>
      </x:c>
      <x:c r="O760" s="6" t="str">
        <x:v>0</x:v>
      </x:c>
      <x:c r="P760" s="10" t="n">
        <x:f>F760-M760</x:f>
        <x:v>234</x:v>
      </x:c>
      <x:c r="Q760" s="11" t="n">
        <x:f>IFERROR(M760/F760,"")</x:f>
        <x:v>0.060240963855421686</x:v>
      </x:c>
      <x:c r="R760" s="10" t="n">
        <x:f>G760+H760</x:f>
        <x:v>201</x:v>
      </x:c>
      <x:c r="S760" s="11" t="n">
        <x:f>IFERROR(R760/F760,"")</x:f>
        <x:v>0.8072289156626506</x:v>
      </x:c>
      <x:c r="T760" s="11" t="n">
        <x:f>IFERROR(R760/P760,"")</x:f>
        <x:v>0.8589743589743589</x:v>
      </x:c>
      <x:c r="U760" s="10" t="n">
        <x:f>I760+J760+K760</x:f>
        <x:v>32</x:v>
      </x:c>
      <x:c r="V760" s="11" t="n">
        <x:f>IFERROR(U760/P760,"")</x:f>
        <x:v>0.13675213675213677</x:v>
      </x:c>
      <x:c r="W760" s="9" t="str">
        <x:v>provisional_gt_5pct_pending</x:v>
      </x:c>
      <x:c r="X760" s="12" t="n">
        <x:f>IFERROR(F760/Z760*100000,"")</x:f>
        <x:v>18.124909011500947</x:v>
      </x:c>
      <x:c r="Y760" s="13" t="n">
        <x:f>LN(Z760)</x:f>
        <x:v>14.133091180761918</x:v>
      </x:c>
      <x:c r="Z760" s="6" t="str">
        <x:v>1373800</x:v>
      </x:c>
      <x:c r="AA760" s="6" t="str">
        <x:v>42.0</x:v>
      </x:c>
      <x:c r="AB760" s="9" t="str">
        <x:v>2025-06-30</x:v>
      </x:c>
      <x:c r="AC760" s="8" t="str">
        <x:v>84.1</x:v>
      </x:c>
      <x:c r="AD760" s="9" t="str">
        <x:v>2025 (Susenas)</x:v>
      </x:c>
      <x:c r="AE760" s="8" t="str">
        <x:v>5.81</x:v>
      </x:c>
      <x:c r="AF760" s="9" t="str">
        <x:v>Maret 2025 (Susenas)</x:v>
      </x:c>
      <x:c r="AG760" s="6" t="str">
        <x:v>27.355988911164346</x:v>
      </x:c>
      <x:c r="AH760" s="8" t="str">
        <x:v>81.05804784454963</x:v>
      </x:c>
      <x:c r="AI760" s="6" t="str">
        <x:v>352.04072997420565</x:v>
      </x:c>
      <x:c r="AJ760" s="6" t="str">
        <x:v>0.3763854349372764</x:v>
      </x:c>
      <x:c r="AK760" s="8" t="str">
        <x:v>0.6577802159939653</x:v>
      </x:c>
      <x:c r="AL760" s="6" t="str">
        <x:v>-0.059448826949902</x:v>
      </x:c>
      <x:c r="AM760" s="6" t="str">
        <x:v>0.6047356597292279</x:v>
      </x:c>
      <x:c r="AN760" s="6" t="str">
        <x:v>0.4010223495910973</x:v>
      </x:c>
      <x:c r="AO760" s="6" t="str">
        <x:v>1.1393906214911595</x:v>
      </x:c>
      <x:c r="AP760" s="8" t="str">
        <x:v>0.3064086231663462</x:v>
      </x:c>
      <x:c r="AQ760" s="6" t="str">
        <x:v>0.4746259407426308</x:v>
      </x:c>
      <x:c r="AR760" s="6" t="str">
        <x:v>0.1593276745021586</x:v>
      </x:c>
      <x:c r="AS760" s="6" t="str">
        <x:v>0.3134540794703784</x:v>
      </x:c>
      <x:c r="AT760" s="6" t="str">
        <x:v>183.24746239594904</x:v>
      </x:c>
      <x:c r="AU760" s="8" t="str">
        <x:v>2.31718991385762</x:v>
      </x:c>
      <x:c r="AV760" s="6" t="str">
        <x:v>0.7415707736091711</x:v>
      </x:c>
      <x:c r="AW760" s="6" t="str">
        <x:v>0.4265300713570171</x:v>
      </x:c>
      <x:c r="AX760" s="6" t="str">
        <x:v>1.161763586274602</x:v>
      </x:c>
      <x:c r="AY760" s="6" t="str">
        <x:v>1</x:v>
      </x:c>
      <x:c r="AZ760" s="6" t="str">
        <x:v>0</x:v>
      </x:c>
      <x:c r="BA760" s="9" t="str">
        <x:v>grid_cells_within_BIG_polygon</x:v>
      </x:c>
      <x:c r="BB760" s="6" t="str">
        <x:v>5</x:v>
      </x:c>
      <x:c r="BC760" s="6" t="str">
        <x:v>10</x:v>
      </x:c>
      <x:c r="BD760" s="6" t="str">
        <x:v>10</x:v>
      </x:c>
      <x:c r="BE760" s="6" t="str">
        <x:v>10</x:v>
      </x:c>
      <x:c r="BF760" s="6" t="str">
        <x:v>0</x:v>
      </x:c>
      <x:c r="BG760" s="6" t="str">
        <x:v>0</x:v>
      </x:c>
      <x:c r="BH760" s="6" t="str">
        <x:v>0</x:v>
      </x:c>
      <x:c r="BI760" s="6" t="str">
        <x:v>0</x:v>
      </x:c>
      <x:c r="BJ760" s="6" t="str">
        <x:v>0</x:v>
      </x:c>
      <x:c r="BK760" s="6" t="str">
        <x:v>0</x:v>
      </x:c>
      <x:c r="BL760" s="6" t="str">
        <x:v>0</x:v>
      </x:c>
      <x:c r="BM760" s="6" t="str">
        <x:v>0</x:v>
      </x:c>
      <x:c r="BN760" s="6" t="str">
        <x:v>10</x:v>
      </x:c>
      <x:c r="BO760" s="6" t="str">
        <x:v>0.0</x:v>
      </x:c>
      <x:c r="BP760" s="6" t="str">
        <x:v>10</x:v>
      </x:c>
      <x:c r="BQ760" s="6" t="str">
        <x:v>1.0</x:v>
      </x:c>
      <x:c r="BR760" s="6" t="str">
        <x:v>10</x:v>
      </x:c>
      <x:c r="BS760" s="6" t="str">
        <x:v>54.0</x:v>
      </x:c>
      <x:c r="BT760" s="6" t="str">
        <x:v>10</x:v>
      </x:c>
      <x:c r="BU760" s="6" t="str">
        <x:v>828.0</x:v>
      </x:c>
      <x:c r="BV760" s="6" t="str">
        <x:v>7</x:v>
      </x:c>
      <x:c r="BW760" s="9" t="str">
        <x:v>operational_snapshot_annual_totals_may_differ</x:v>
      </x:c>
      <x:c r="BX760" s="9" t="str">
        <x:v>official_live_dashboard_snapshot_subject_to_revision</x:v>
      </x:c>
      <x:c r="BY760" s="9" t="str">
        <x:v>https://tbdashboard.sitb.id/ss_data_tbc03so_2025_provinsi_bulanan_list.php</x:v>
      </x:c>
      <x:c r="BZ760" s="6" t="n">
        <x:v>46246.610671296294</x:v>
      </x:c>
    </x:row>
    <x:row r="761" ht="18" customHeight="1">
      <x:c r="A761" s="6" t="str">
        <x:v>82</x:v>
      </x:c>
      <x:c r="B761" s="6" t="str">
        <x:v>MALUKU UTARA</x:v>
      </x:c>
      <x:c r="C761" s="6" t="str">
        <x:v>2025</x:v>
      </x:c>
      <x:c r="D761" s="6" t="str">
        <x:v>4</x:v>
      </x:c>
      <x:c r="E761" s="6" t="str">
        <x:v>2025-04</x:v>
      </x:c>
      <x:c r="F761" s="6" t="str">
        <x:v>233</x:v>
      </x:c>
      <x:c r="G761" s="6" t="str">
        <x:v>59</x:v>
      </x:c>
      <x:c r="H761" s="6" t="str">
        <x:v>128</x:v>
      </x:c>
      <x:c r="I761" s="6" t="str">
        <x:v>17</x:v>
      </x:c>
      <x:c r="J761" s="6" t="str">
        <x:v>19</x:v>
      </x:c>
      <x:c r="K761" s="6" t="str">
        <x:v>0</x:v>
      </x:c>
      <x:c r="L761" s="6" t="str">
        <x:v>0</x:v>
      </x:c>
      <x:c r="M761" s="6" t="str">
        <x:v>10</x:v>
      </x:c>
      <x:c r="N761" s="6" t="str">
        <x:v>233</x:v>
      </x:c>
      <x:c r="O761" s="6" t="str">
        <x:v>0</x:v>
      </x:c>
      <x:c r="P761" s="10" t="n">
        <x:f>F761-M761</x:f>
        <x:v>223</x:v>
      </x:c>
      <x:c r="Q761" s="11" t="n">
        <x:f>IFERROR(M761/F761,"")</x:f>
        <x:v>0.04291845493562232</x:v>
      </x:c>
      <x:c r="R761" s="10" t="n">
        <x:f>G761+H761</x:f>
        <x:v>187</x:v>
      </x:c>
      <x:c r="S761" s="11" t="n">
        <x:f>IFERROR(R761/F761,"")</x:f>
        <x:v>0.8025751072961373</x:v>
      </x:c>
      <x:c r="T761" s="11" t="n">
        <x:f>IFERROR(R761/P761,"")</x:f>
        <x:v>0.8385650224215246</x:v>
      </x:c>
      <x:c r="U761" s="10" t="n">
        <x:f>I761+J761+K761</x:f>
        <x:v>36</x:v>
      </x:c>
      <x:c r="V761" s="11" t="n">
        <x:f>IFERROR(U761/P761,"")</x:f>
        <x:v>0.16143497757847533</x:v>
      </x:c>
      <x:c r="W761" s="9" t="str">
        <x:v>mature_le_5pct_pending</x:v>
      </x:c>
      <x:c r="X761" s="12" t="n">
        <x:f>IFERROR(F761/Z761*100000,"")</x:f>
        <x:v>16.960256223613335</x:v>
      </x:c>
      <x:c r="Y761" s="13" t="n">
        <x:f>LN(Z761)</x:f>
        <x:v>14.133091180761918</x:v>
      </x:c>
      <x:c r="Z761" s="6" t="str">
        <x:v>1373800</x:v>
      </x:c>
      <x:c r="AA761" s="6" t="str">
        <x:v>42.0</x:v>
      </x:c>
      <x:c r="AB761" s="9" t="str">
        <x:v>2025-06-30</x:v>
      </x:c>
      <x:c r="AC761" s="8" t="str">
        <x:v>84.1</x:v>
      </x:c>
      <x:c r="AD761" s="9" t="str">
        <x:v>2025 (Susenas)</x:v>
      </x:c>
      <x:c r="AE761" s="8" t="str">
        <x:v>5.81</x:v>
      </x:c>
      <x:c r="AF761" s="9" t="str">
        <x:v>Maret 2025 (Susenas)</x:v>
      </x:c>
      <x:c r="AG761" s="6" t="str">
        <x:v>27.1139980657238</x:v>
      </x:c>
      <x:c r="AH761" s="8" t="str">
        <x:v>81.15598974864757</x:v>
      </x:c>
      <x:c r="AI761" s="6" t="str">
        <x:v>193.7995795955501</x:v>
      </x:c>
      <x:c r="AJ761" s="6" t="str">
        <x:v>-0.0779375022914443</x:v>
      </x:c>
      <x:c r="AK761" s="8" t="str">
        <x:v>-0.1517174271920162</x:v>
      </x:c>
      <x:c r="AL761" s="6" t="str">
        <x:v>0.6577802159939653</x:v>
      </x:c>
      <x:c r="AM761" s="6" t="str">
        <x:v>-0.059448826949902</x:v>
      </x:c>
      <x:c r="AN761" s="6" t="str">
        <x:v>0.1488713206173492</x:v>
      </x:c>
      <x:c r="AO761" s="6" t="str">
        <x:v>1.069823181714696</x:v>
      </x:c>
      <x:c r="AP761" s="8" t="str">
        <x:v>0.356431095851785</x:v>
      </x:c>
      <x:c r="AQ761" s="6" t="str">
        <x:v>0.3064086231663462</x:v>
      </x:c>
      <x:c r="AR761" s="6" t="str">
        <x:v>0.4746259407426308</x:v>
      </x:c>
      <x:c r="AS761" s="6" t="str">
        <x:v>0.3791552199202539</x:v>
      </x:c>
      <x:c r="AT761" s="6" t="str">
        <x:v>11.204651845308348</x:v>
      </x:c>
      <x:c r="AU761" s="8" t="str">
        <x:v>0.1637413902137655</x:v>
      </x:c>
      <x:c r="AV761" s="6" t="str">
        <x:v>2.31718991385762</x:v>
      </x:c>
      <x:c r="AW761" s="6" t="str">
        <x:v>0.7415707736091711</x:v>
      </x:c>
      <x:c r="AX761" s="6" t="str">
        <x:v>1.0741673592268517</x:v>
      </x:c>
      <x:c r="AY761" s="6" t="str">
        <x:v>0</x:v>
      </x:c>
      <x:c r="AZ761" s="6" t="str">
        <x:v>0</x:v>
      </x:c>
      <x:c r="BA761" s="9" t="str">
        <x:v>grid_cells_within_BIG_polygon</x:v>
      </x:c>
      <x:c r="BB761" s="6" t="str">
        <x:v>5</x:v>
      </x:c>
      <x:c r="BC761" s="6" t="str">
        <x:v>7</x:v>
      </x:c>
      <x:c r="BD761" s="6" t="str">
        <x:v>7</x:v>
      </x:c>
      <x:c r="BE761" s="6" t="str">
        <x:v>7</x:v>
      </x:c>
      <x:c r="BF761" s="6" t="str">
        <x:v>0</x:v>
      </x:c>
      <x:c r="BG761" s="6" t="str">
        <x:v>0</x:v>
      </x:c>
      <x:c r="BH761" s="6" t="str">
        <x:v>0</x:v>
      </x:c>
      <x:c r="BI761" s="6" t="str">
        <x:v>0</x:v>
      </x:c>
      <x:c r="BJ761" s="6" t="str">
        <x:v>0</x:v>
      </x:c>
      <x:c r="BK761" s="6" t="str">
        <x:v>0</x:v>
      </x:c>
      <x:c r="BL761" s="6" t="str">
        <x:v>0</x:v>
      </x:c>
      <x:c r="BM761" s="6" t="str">
        <x:v>0</x:v>
      </x:c>
      <x:c r="BN761" s="6" t="str">
        <x:v>7</x:v>
      </x:c>
      <x:c r="BO761" s="6" t="str">
        <x:v>2.0</x:v>
      </x:c>
      <x:c r="BP761" s="6" t="str">
        <x:v>7</x:v>
      </x:c>
      <x:c r="BQ761" s="6" t="str">
        <x:v>0.0</x:v>
      </x:c>
      <x:c r="BR761" s="6" t="str">
        <x:v>7</x:v>
      </x:c>
      <x:c r="BS761" s="6" t="str">
        <x:v>0.0</x:v>
      </x:c>
      <x:c r="BT761" s="6" t="str">
        <x:v>7</x:v>
      </x:c>
      <x:c r="BU761" s="6" t="str">
        <x:v>701.0</x:v>
      </x:c>
      <x:c r="BV761" s="6" t="str">
        <x:v>6</x:v>
      </x:c>
      <x:c r="BW761" s="9" t="str">
        <x:v>operational_snapshot_annual_totals_may_differ</x:v>
      </x:c>
      <x:c r="BX761" s="9" t="str">
        <x:v>official_live_dashboard_snapshot_subject_to_revision</x:v>
      </x:c>
      <x:c r="BY761" s="9" t="str">
        <x:v>https://tbdashboard.sitb.id/ss_data_tbc03so_2025_provinsi_bulanan_list.php</x:v>
      </x:c>
      <x:c r="BZ761" s="6" t="n">
        <x:v>46246.610671296294</x:v>
      </x:c>
    </x:row>
    <x:row r="762" ht="18" customHeight="1">
      <x:c r="A762" s="6" t="str">
        <x:v>82</x:v>
      </x:c>
      <x:c r="B762" s="6" t="str">
        <x:v>MALUKU UTARA</x:v>
      </x:c>
      <x:c r="C762" s="6" t="str">
        <x:v>2025</x:v>
      </x:c>
      <x:c r="D762" s="6" t="str">
        <x:v>5</x:v>
      </x:c>
      <x:c r="E762" s="6" t="str">
        <x:v>2025-05</x:v>
      </x:c>
      <x:c r="F762" s="6" t="str">
        <x:v>280</x:v>
      </x:c>
      <x:c r="G762" s="6" t="str">
        <x:v>62</x:v>
      </x:c>
      <x:c r="H762" s="6" t="str">
        <x:v>161</x:v>
      </x:c>
      <x:c r="I762" s="6" t="str">
        <x:v>26</x:v>
      </x:c>
      <x:c r="J762" s="6" t="str">
        <x:v>17</x:v>
      </x:c>
      <x:c r="K762" s="6" t="str">
        <x:v>0</x:v>
      </x:c>
      <x:c r="L762" s="6" t="str">
        <x:v>1</x:v>
      </x:c>
      <x:c r="M762" s="6" t="str">
        <x:v>13</x:v>
      </x:c>
      <x:c r="N762" s="6" t="str">
        <x:v>280</x:v>
      </x:c>
      <x:c r="O762" s="6" t="str">
        <x:v>0</x:v>
      </x:c>
      <x:c r="P762" s="10" t="n">
        <x:f>F762-M762</x:f>
        <x:v>267</x:v>
      </x:c>
      <x:c r="Q762" s="11" t="n">
        <x:f>IFERROR(M762/F762,"")</x:f>
        <x:v>0.04642857142857143</x:v>
      </x:c>
      <x:c r="R762" s="10" t="n">
        <x:f>G762+H762</x:f>
        <x:v>223</x:v>
      </x:c>
      <x:c r="S762" s="11" t="n">
        <x:f>IFERROR(R762/F762,"")</x:f>
        <x:v>0.7964285714285714</x:v>
      </x:c>
      <x:c r="T762" s="11" t="n">
        <x:f>IFERROR(R762/P762,"")</x:f>
        <x:v>0.8352059925093633</x:v>
      </x:c>
      <x:c r="U762" s="10" t="n">
        <x:f>I762+J762+K762</x:f>
        <x:v>43</x:v>
      </x:c>
      <x:c r="V762" s="11" t="n">
        <x:f>IFERROR(U762/P762,"")</x:f>
        <x:v>0.16104868913857678</x:v>
      </x:c>
      <x:c r="W762" s="9" t="str">
        <x:v>mature_le_5pct_pending</x:v>
      </x:c>
      <x:c r="X762" s="12" t="n">
        <x:f>IFERROR(F762/Z762*100000,"")</x:f>
        <x:v>20.381423788033192</x:v>
      </x:c>
      <x:c r="Y762" s="13" t="n">
        <x:f>LN(Z762)</x:f>
        <x:v>14.133091180761918</x:v>
      </x:c>
      <x:c r="Z762" s="6" t="str">
        <x:v>1373800</x:v>
      </x:c>
      <x:c r="AA762" s="6" t="str">
        <x:v>42.0</x:v>
      </x:c>
      <x:c r="AB762" s="9" t="str">
        <x:v>2025-06-30</x:v>
      </x:c>
      <x:c r="AC762" s="8" t="str">
        <x:v>84.1</x:v>
      </x:c>
      <x:c r="AD762" s="9" t="str">
        <x:v>2025 (Susenas)</x:v>
      </x:c>
      <x:c r="AE762" s="8" t="str">
        <x:v>5.81</x:v>
      </x:c>
      <x:c r="AF762" s="9" t="str">
        <x:v>Maret 2025 (Susenas)</x:v>
      </x:c>
      <x:c r="AG762" s="6" t="str">
        <x:v>27.62399242980021</x:v>
      </x:c>
      <x:c r="AH762" s="8" t="str">
        <x:v>80.49205086032438</x:v>
      </x:c>
      <x:c r="AI762" s="6" t="str">
        <x:v>254.6327241341655</x:v>
      </x:c>
      <x:c r="AJ762" s="6" t="str">
        <x:v>0.4610637721461685</x:v>
      </x:c>
      <x:c r="AK762" s="8" t="str">
        <x:v>0.976720151504654</x:v>
      </x:c>
      <x:c r="AL762" s="6" t="str">
        <x:v>-0.1517174271920162</x:v>
      </x:c>
      <x:c r="AM762" s="6" t="str">
        <x:v>0.6577802159939653</x:v>
      </x:c>
      <x:c r="AN762" s="6" t="str">
        <x:v>0.4942609801022013</x:v>
      </x:c>
      <x:c r="AO762" s="6" t="str">
        <x:v>-0.6761149827652844</x:v>
      </x:c>
      <x:c r="AP762" s="8" t="str">
        <x:v>-0.2920608211916795</x:v>
      </x:c>
      <x:c r="AQ762" s="6" t="str">
        <x:v>0.356431095851785</x:v>
      </x:c>
      <x:c r="AR762" s="6" t="str">
        <x:v>0.3064086231663462</x:v>
      </x:c>
      <x:c r="AS762" s="6" t="str">
        <x:v>0.1235929659421505</x:v>
      </x:c>
      <x:c r="AT762" s="6" t="str">
        <x:v>49.47488149361109</x:v>
      </x:c>
      <x:c r="AU762" s="8" t="str">
        <x:v>0.6846198010752031</x:v>
      </x:c>
      <x:c r="AV762" s="6" t="str">
        <x:v>0.1637413902137655</x:v>
      </x:c>
      <x:c r="AW762" s="6" t="str">
        <x:v>2.31718991385762</x:v>
      </x:c>
      <x:c r="AX762" s="6" t="str">
        <x:v>1.055183701715529</x:v>
      </x:c>
      <x:c r="AY762" s="6" t="str">
        <x:v>0</x:v>
      </x:c>
      <x:c r="AZ762" s="6" t="str">
        <x:v>0</x:v>
      </x:c>
      <x:c r="BA762" s="9" t="str">
        <x:v>grid_cells_within_BIG_polygon</x:v>
      </x:c>
      <x:c r="BB762" s="6" t="str">
        <x:v>5</x:v>
      </x:c>
      <x:c r="BC762" s="6" t="str">
        <x:v>3</x:v>
      </x:c>
      <x:c r="BD762" s="6" t="str">
        <x:v>3</x:v>
      </x:c>
      <x:c r="BE762" s="6" t="str">
        <x:v>2</x:v>
      </x:c>
      <x:c r="BF762" s="6" t="str">
        <x:v>0</x:v>
      </x:c>
      <x:c r="BG762" s="6" t="str">
        <x:v>1</x:v>
      </x:c>
      <x:c r="BH762" s="6" t="str">
        <x:v>0</x:v>
      </x:c>
      <x:c r="BI762" s="6" t="str">
        <x:v>0</x:v>
      </x:c>
      <x:c r="BJ762" s="6" t="str">
        <x:v>0</x:v>
      </x:c>
      <x:c r="BK762" s="6" t="str">
        <x:v>0</x:v>
      </x:c>
      <x:c r="BL762" s="6" t="str">
        <x:v>0</x:v>
      </x:c>
      <x:c r="BM762" s="6" t="str">
        <x:v>0</x:v>
      </x:c>
      <x:c r="BN762" s="6" t="str">
        <x:v>3</x:v>
      </x:c>
      <x:c r="BO762" s="6" t="str">
        <x:v>0.0</x:v>
      </x:c>
      <x:c r="BP762" s="6" t="str">
        <x:v>3</x:v>
      </x:c>
      <x:c r="BQ762" s="6" t="str">
        <x:v>0.0</x:v>
      </x:c>
      <x:c r="BR762" s="6" t="str">
        <x:v>3</x:v>
      </x:c>
      <x:c r="BS762" s="6" t="str">
        <x:v>16.0</x:v>
      </x:c>
      <x:c r="BT762" s="6" t="str">
        <x:v>3</x:v>
      </x:c>
      <x:c r="BU762" s="6" t="str">
        <x:v>119.0</x:v>
      </x:c>
      <x:c r="BV762" s="6" t="str">
        <x:v>2</x:v>
      </x:c>
      <x:c r="BW762" s="9" t="str">
        <x:v>operational_snapshot_annual_totals_may_differ</x:v>
      </x:c>
      <x:c r="BX762" s="9" t="str">
        <x:v>official_live_dashboard_snapshot_subject_to_revision</x:v>
      </x:c>
      <x:c r="BY762" s="9" t="str">
        <x:v>https://tbdashboard.sitb.id/ss_data_tbc03so_2025_provinsi_bulanan_list.php</x:v>
      </x:c>
      <x:c r="BZ762" s="6" t="n">
        <x:v>46246.610671296294</x:v>
      </x:c>
    </x:row>
    <x:row r="763" ht="18" customHeight="1">
      <x:c r="A763" s="6" t="str">
        <x:v>82</x:v>
      </x:c>
      <x:c r="B763" s="6" t="str">
        <x:v>MALUKU UTARA</x:v>
      </x:c>
      <x:c r="C763" s="6" t="str">
        <x:v>2025</x:v>
      </x:c>
      <x:c r="D763" s="6" t="str">
        <x:v>6</x:v>
      </x:c>
      <x:c r="E763" s="6" t="str">
        <x:v>2025-06</x:v>
      </x:c>
      <x:c r="F763" s="6" t="str">
        <x:v>252</x:v>
      </x:c>
      <x:c r="G763" s="6" t="str">
        <x:v>62</x:v>
      </x:c>
      <x:c r="H763" s="6" t="str">
        <x:v>125</x:v>
      </x:c>
      <x:c r="I763" s="6" t="str">
        <x:v>27</x:v>
      </x:c>
      <x:c r="J763" s="6" t="str">
        <x:v>27</x:v>
      </x:c>
      <x:c r="K763" s="6" t="str">
        <x:v>0</x:v>
      </x:c>
      <x:c r="L763" s="6" t="str">
        <x:v>0</x:v>
      </x:c>
      <x:c r="M763" s="6" t="str">
        <x:v>11</x:v>
      </x:c>
      <x:c r="N763" s="6" t="str">
        <x:v>252</x:v>
      </x:c>
      <x:c r="O763" s="6" t="str">
        <x:v>0</x:v>
      </x:c>
      <x:c r="P763" s="10" t="n">
        <x:f>F763-M763</x:f>
        <x:v>241</x:v>
      </x:c>
      <x:c r="Q763" s="11" t="n">
        <x:f>IFERROR(M763/F763,"")</x:f>
        <x:v>0.04365079365079365</x:v>
      </x:c>
      <x:c r="R763" s="10" t="n">
        <x:f>G763+H763</x:f>
        <x:v>187</x:v>
      </x:c>
      <x:c r="S763" s="11" t="n">
        <x:f>IFERROR(R763/F763,"")</x:f>
        <x:v>0.7420634920634921</x:v>
      </x:c>
      <x:c r="T763" s="11" t="n">
        <x:f>IFERROR(R763/P763,"")</x:f>
        <x:v>0.7759336099585062</x:v>
      </x:c>
      <x:c r="U763" s="10" t="n">
        <x:f>I763+J763+K763</x:f>
        <x:v>54</x:v>
      </x:c>
      <x:c r="V763" s="11" t="n">
        <x:f>IFERROR(U763/P763,"")</x:f>
        <x:v>0.22406639004149378</x:v>
      </x:c>
      <x:c r="W763" s="9" t="str">
        <x:v>mature_le_5pct_pending</x:v>
      </x:c>
      <x:c r="X763" s="12" t="n">
        <x:f>IFERROR(F763/Z763*100000,"")</x:f>
        <x:v>18.343281409229874</x:v>
      </x:c>
      <x:c r="Y763" s="13" t="n">
        <x:f>LN(Z763)</x:f>
        <x:v>14.133091180761918</x:v>
      </x:c>
      <x:c r="Z763" s="6" t="str">
        <x:v>1373800</x:v>
      </x:c>
      <x:c r="AA763" s="6" t="str">
        <x:v>42.0</x:v>
      </x:c>
      <x:c r="AB763" s="9" t="str">
        <x:v>2025-06-30</x:v>
      </x:c>
      <x:c r="AC763" s="8" t="str">
        <x:v>84.1</x:v>
      </x:c>
      <x:c r="AD763" s="9" t="str">
        <x:v>2025 (Susenas)</x:v>
      </x:c>
      <x:c r="AE763" s="8" t="str">
        <x:v>5.81</x:v>
      </x:c>
      <x:c r="AF763" s="9" t="str">
        <x:v>Maret 2025 (Susenas)</x:v>
      </x:c>
      <x:c r="AG763" s="6" t="str">
        <x:v>26.819994668921588</x:v>
      </x:c>
      <x:c r="AH763" s="8" t="str">
        <x:v>83.05402068507841</x:v>
      </x:c>
      <x:c r="AI763" s="6" t="str">
        <x:v>306.7177691190733</x:v>
      </x:c>
      <x:c r="AJ763" s="6" t="str">
        <x:v>0.2859350044209456</x:v>
      </x:c>
      <x:c r="AK763" s="8" t="str">
        <x:v>0.812672369582723</x:v>
      </x:c>
      <x:c r="AL763" s="6" t="str">
        <x:v>0.976720151504654</x:v>
      </x:c>
      <x:c r="AM763" s="6" t="str">
        <x:v>-0.1517174271920162</x:v>
      </x:c>
      <x:c r="AN763" s="6" t="str">
        <x:v>0.5458916979651205</x:v>
      </x:c>
      <x:c r="AO763" s="6" t="str">
        <x:v>0.5810472826317437</x:v>
      </x:c>
      <x:c r="AP763" s="8" t="str">
        <x:v>0.280617451092268</x:v>
      </x:c>
      <x:c r="AQ763" s="6" t="str">
        <x:v>-0.2920608211916795</x:v>
      </x:c>
      <x:c r="AR763" s="6" t="str">
        <x:v>0.356431095851785</x:v>
      </x:c>
      <x:c r="AS763" s="6" t="str">
        <x:v>0.1149959085841244</x:v>
      </x:c>
      <x:c r="AT763" s="6" t="str">
        <x:v>109.74738429627796</x:v>
      </x:c>
      <x:c r="AU763" s="8" t="str">
        <x:v>1.2866413237921084</x:v>
      </x:c>
      <x:c r="AV763" s="6" t="str">
        <x:v>0.6846198010752031</x:v>
      </x:c>
      <x:c r="AW763" s="6" t="str">
        <x:v>0.1637413902137655</x:v>
      </x:c>
      <x:c r="AX763" s="6" t="str">
        <x:v>0.7116675050270252</x:v>
      </x:c>
      <x:c r="AY763" s="6" t="str">
        <x:v>1</x:v>
      </x:c>
      <x:c r="AZ763" s="6" t="str">
        <x:v>0</x:v>
      </x:c>
      <x:c r="BA763" s="9" t="str">
        <x:v>grid_cells_within_BIG_polygon</x:v>
      </x:c>
      <x:c r="BB763" s="6" t="str">
        <x:v>5</x:v>
      </x:c>
      <x:c r="BC763" s="6" t="str">
        <x:v>7</x:v>
      </x:c>
      <x:c r="BD763" s="6" t="str">
        <x:v>7</x:v>
      </x:c>
      <x:c r="BE763" s="6" t="str">
        <x:v>4</x:v>
      </x:c>
      <x:c r="BF763" s="6" t="str">
        <x:v>1</x:v>
      </x:c>
      <x:c r="BG763" s="6" t="str">
        <x:v>2</x:v>
      </x:c>
      <x:c r="BH763" s="6" t="str">
        <x:v>0</x:v>
      </x:c>
      <x:c r="BI763" s="6" t="str">
        <x:v>0</x:v>
      </x:c>
      <x:c r="BJ763" s="6" t="str">
        <x:v>0</x:v>
      </x:c>
      <x:c r="BK763" s="6" t="str">
        <x:v>0</x:v>
      </x:c>
      <x:c r="BL763" s="6" t="str">
        <x:v>0</x:v>
      </x:c>
      <x:c r="BM763" s="6" t="str">
        <x:v>0</x:v>
      </x:c>
      <x:c r="BN763" s="6" t="str">
        <x:v>7</x:v>
      </x:c>
      <x:c r="BO763" s="6" t="str">
        <x:v>2.0</x:v>
      </x:c>
      <x:c r="BP763" s="6" t="str">
        <x:v>2</x:v>
      </x:c>
      <x:c r="BQ763" s="6" t="str">
        <x:v>1.0</x:v>
      </x:c>
      <x:c r="BR763" s="6" t="str">
        <x:v>1</x:v>
      </x:c>
      <x:c r="BS763" s="6" t="str">
        <x:v>45.0</x:v>
      </x:c>
      <x:c r="BT763" s="6" t="str">
        <x:v>7</x:v>
      </x:c>
      <x:c r="BU763" s="6" t="str">
        <x:v>2266.0</x:v>
      </x:c>
      <x:c r="BV763" s="6" t="str">
        <x:v>3</x:v>
      </x:c>
      <x:c r="BW763" s="9" t="str">
        <x:v>operational_snapshot_annual_totals_may_differ</x:v>
      </x:c>
      <x:c r="BX763" s="9" t="str">
        <x:v>official_live_dashboard_snapshot_subject_to_revision</x:v>
      </x:c>
      <x:c r="BY763" s="9" t="str">
        <x:v>https://tbdashboard.sitb.id/ss_data_tbc03so_2025_provinsi_bulanan_list.php</x:v>
      </x:c>
      <x:c r="BZ763" s="6" t="n">
        <x:v>46246.610671296294</x:v>
      </x:c>
    </x:row>
    <x:row r="764" ht="18" customHeight="1">
      <x:c r="A764" s="6" t="str">
        <x:v>82</x:v>
      </x:c>
      <x:c r="B764" s="6" t="str">
        <x:v>MALUKU UTARA</x:v>
      </x:c>
      <x:c r="C764" s="6" t="str">
        <x:v>2025</x:v>
      </x:c>
      <x:c r="D764" s="6" t="str">
        <x:v>7</x:v>
      </x:c>
      <x:c r="E764" s="6" t="str">
        <x:v>2025-07</x:v>
      </x:c>
      <x:c r="F764" s="6" t="str">
        <x:v>336</x:v>
      </x:c>
      <x:c r="G764" s="6" t="str">
        <x:v>80</x:v>
      </x:c>
      <x:c r="H764" s="6" t="str">
        <x:v>180</x:v>
      </x:c>
      <x:c r="I764" s="6" t="str">
        <x:v>29</x:v>
      </x:c>
      <x:c r="J764" s="6" t="str">
        <x:v>28</x:v>
      </x:c>
      <x:c r="K764" s="6" t="str">
        <x:v>0</x:v>
      </x:c>
      <x:c r="L764" s="6" t="str">
        <x:v>0</x:v>
      </x:c>
      <x:c r="M764" s="6" t="str">
        <x:v>19</x:v>
      </x:c>
      <x:c r="N764" s="6" t="str">
        <x:v>336</x:v>
      </x:c>
      <x:c r="O764" s="6" t="str">
        <x:v>0</x:v>
      </x:c>
      <x:c r="P764" s="10" t="n">
        <x:f>F764-M764</x:f>
        <x:v>317</x:v>
      </x:c>
      <x:c r="Q764" s="11" t="n">
        <x:f>IFERROR(M764/F764,"")</x:f>
        <x:v>0.05654761904761905</x:v>
      </x:c>
      <x:c r="R764" s="10" t="n">
        <x:f>G764+H764</x:f>
        <x:v>260</x:v>
      </x:c>
      <x:c r="S764" s="11" t="n">
        <x:f>IFERROR(R764/F764,"")</x:f>
        <x:v>0.7738095238095238</x:v>
      </x:c>
      <x:c r="T764" s="11" t="n">
        <x:f>IFERROR(R764/P764,"")</x:f>
        <x:v>0.8201892744479495</x:v>
      </x:c>
      <x:c r="U764" s="10" t="n">
        <x:f>I764+J764+K764</x:f>
        <x:v>57</x:v>
      </x:c>
      <x:c r="V764" s="11" t="n">
        <x:f>IFERROR(U764/P764,"")</x:f>
        <x:v>0.17981072555205047</x:v>
      </x:c>
      <x:c r="W764" s="9" t="str">
        <x:v>provisional_gt_5pct_pending</x:v>
      </x:c>
      <x:c r="X764" s="12" t="n">
        <x:f>IFERROR(F764/Z764*100000,"")</x:f>
        <x:v>24.457708545639832</x:v>
      </x:c>
      <x:c r="Y764" s="13" t="n">
        <x:f>LN(Z764)</x:f>
        <x:v>14.133091180761918</x:v>
      </x:c>
      <x:c r="Z764" s="6" t="str">
        <x:v>1373800</x:v>
      </x:c>
      <x:c r="AA764" s="6" t="str">
        <x:v>42.0</x:v>
      </x:c>
      <x:c r="AB764" s="9" t="str">
        <x:v>2025-06-30</x:v>
      </x:c>
      <x:c r="AC764" s="8" t="str">
        <x:v>84.1</x:v>
      </x:c>
      <x:c r="AD764" s="9" t="str">
        <x:v>2025 (Susenas)</x:v>
      </x:c>
      <x:c r="AE764" s="8" t="str">
        <x:v>5.81</x:v>
      </x:c>
      <x:c r="AF764" s="9" t="str">
        <x:v>Maret 2025 (Susenas)</x:v>
      </x:c>
      <x:c r="AG764" s="6" t="str">
        <x:v>26.46799567412184</x:v>
      </x:c>
      <x:c r="AH764" s="8" t="str">
        <x:v>84.19201445615099</x:v>
      </x:c>
      <x:c r="AI764" s="6" t="str">
        <x:v>155.1826247887545</x:v>
      </x:c>
      <x:c r="AJ764" s="6" t="str">
        <x:v>0.4492667890816868</x:v>
      </x:c>
      <x:c r="AK764" s="8" t="str">
        <x:v>1.4872346041755815</x:v>
      </x:c>
      <x:c r="AL764" s="6" t="str">
        <x:v>0.812672369582723</x:v>
      </x:c>
      <x:c r="AM764" s="6" t="str">
        <x:v>0.976720151504654</x:v>
      </x:c>
      <x:c r="AN764" s="6" t="str">
        <x:v>1.0922090417543198</x:v>
      </x:c>
      <x:c r="AO764" s="6" t="str">
        <x:v>1.1569696097993756</x:v>
      </x:c>
      <x:c r="AP764" s="8" t="str">
        <x:v>0.672268100267748</x:v>
      </x:c>
      <x:c r="AQ764" s="6" t="str">
        <x:v>0.280617451092268</x:v>
      </x:c>
      <x:c r="AR764" s="6" t="str">
        <x:v>-0.2920608211916795</x:v>
      </x:c>
      <x:c r="AS764" s="6" t="str">
        <x:v>0.2202749100561121</x:v>
      </x:c>
      <x:c r="AT764" s="6" t="str">
        <x:v>4.915060793555085</x:v>
      </x:c>
      <x:c r="AU764" s="8" t="str">
        <x:v>0.0535397187317096</x:v>
      </x:c>
      <x:c r="AV764" s="6" t="str">
        <x:v>1.2866413237921084</x:v>
      </x:c>
      <x:c r="AW764" s="6" t="str">
        <x:v>0.6846198010752031</x:v>
      </x:c>
      <x:c r="AX764" s="6" t="str">
        <x:v>0.6749336145330066</x:v>
      </x:c>
      <x:c r="AY764" s="6" t="str">
        <x:v>0</x:v>
      </x:c>
      <x:c r="AZ764" s="6" t="str">
        <x:v>1</x:v>
      </x:c>
      <x:c r="BA764" s="9" t="str">
        <x:v>grid_cells_within_BIG_polygon</x:v>
      </x:c>
      <x:c r="BB764" s="6" t="str">
        <x:v>5</x:v>
      </x:c>
      <x:c r="BC764" s="6" t="str">
        <x:v>1</x:v>
      </x:c>
      <x:c r="BD764" s="6" t="str">
        <x:v>1</x:v>
      </x:c>
      <x:c r="BE764" s="6" t="str">
        <x:v>1</x:v>
      </x:c>
      <x:c r="BF764" s="6" t="str">
        <x:v>0</x:v>
      </x:c>
      <x:c r="BG764" s="6" t="str">
        <x:v>0</x:v>
      </x:c>
      <x:c r="BH764" s="6" t="str">
        <x:v>0</x:v>
      </x:c>
      <x:c r="BI764" s="6" t="str">
        <x:v>0</x:v>
      </x:c>
      <x:c r="BJ764" s="6" t="str">
        <x:v>0</x:v>
      </x:c>
      <x:c r="BK764" s="6" t="str">
        <x:v>0</x:v>
      </x:c>
      <x:c r="BL764" s="6" t="str">
        <x:v>0</x:v>
      </x:c>
      <x:c r="BM764" s="6" t="str">
        <x:v>0</x:v>
      </x:c>
      <x:c r="BN764" s="6" t="str">
        <x:v>1</x:v>
      </x:c>
      <x:c r="BO764" s="6" t="str">
        <x:v>2.0</x:v>
      </x:c>
      <x:c r="BP764" s="6" t="str">
        <x:v>1</x:v>
      </x:c>
      <x:c r="BQ764" s="6" t="str"/>
      <x:c r="BR764" s="6" t="str">
        <x:v>0</x:v>
      </x:c>
      <x:c r="BS764" s="6" t="str">
        <x:v>1.0</x:v>
      </x:c>
      <x:c r="BT764" s="6" t="str">
        <x:v>1</x:v>
      </x:c>
      <x:c r="BU764" s="6" t="str">
        <x:v>136.0</x:v>
      </x:c>
      <x:c r="BV764" s="6" t="str">
        <x:v>1</x:v>
      </x:c>
      <x:c r="BW764" s="9" t="str">
        <x:v>operational_snapshot_annual_totals_may_differ</x:v>
      </x:c>
      <x:c r="BX764" s="9" t="str">
        <x:v>official_live_dashboard_snapshot_subject_to_revision</x:v>
      </x:c>
      <x:c r="BY764" s="9" t="str">
        <x:v>https://tbdashboard.sitb.id/ss_data_tbc03so_2025_provinsi_bulanan_list.php</x:v>
      </x:c>
      <x:c r="BZ764" s="6" t="n">
        <x:v>46246.610671296294</x:v>
      </x:c>
    </x:row>
    <x:row r="765" ht="18" customHeight="1">
      <x:c r="A765" s="6" t="str">
        <x:v>82</x:v>
      </x:c>
      <x:c r="B765" s="6" t="str">
        <x:v>MALUKU UTARA</x:v>
      </x:c>
      <x:c r="C765" s="6" t="str">
        <x:v>2025</x:v>
      </x:c>
      <x:c r="D765" s="6" t="str">
        <x:v>8</x:v>
      </x:c>
      <x:c r="E765" s="6" t="str">
        <x:v>2025-08</x:v>
      </x:c>
      <x:c r="F765" s="6" t="str">
        <x:v>276</x:v>
      </x:c>
      <x:c r="G765" s="6" t="str">
        <x:v>50</x:v>
      </x:c>
      <x:c r="H765" s="6" t="str">
        <x:v>141</x:v>
      </x:c>
      <x:c r="I765" s="6" t="str">
        <x:v>24</x:v>
      </x:c>
      <x:c r="J765" s="6" t="str">
        <x:v>20</x:v>
      </x:c>
      <x:c r="K765" s="6" t="str">
        <x:v>2</x:v>
      </x:c>
      <x:c r="L765" s="6" t="str">
        <x:v>0</x:v>
      </x:c>
      <x:c r="M765" s="6" t="str">
        <x:v>39</x:v>
      </x:c>
      <x:c r="N765" s="6" t="str">
        <x:v>276</x:v>
      </x:c>
      <x:c r="O765" s="6" t="str">
        <x:v>0</x:v>
      </x:c>
      <x:c r="P765" s="10" t="n">
        <x:f>F765-M765</x:f>
        <x:v>237</x:v>
      </x:c>
      <x:c r="Q765" s="11" t="n">
        <x:f>IFERROR(M765/F765,"")</x:f>
        <x:v>0.14130434782608695</x:v>
      </x:c>
      <x:c r="R765" s="10" t="n">
        <x:f>G765+H765</x:f>
        <x:v>191</x:v>
      </x:c>
      <x:c r="S765" s="11" t="n">
        <x:f>IFERROR(R765/F765,"")</x:f>
        <x:v>0.6920289855072463</x:v>
      </x:c>
      <x:c r="T765" s="11" t="n">
        <x:f>IFERROR(R765/P765,"")</x:f>
        <x:v>0.8059071729957806</x:v>
      </x:c>
      <x:c r="U765" s="10" t="n">
        <x:f>I765+J765+K765</x:f>
        <x:v>46</x:v>
      </x:c>
      <x:c r="V765" s="11" t="n">
        <x:f>IFERROR(U765/P765,"")</x:f>
        <x:v>0.1940928270042194</x:v>
      </x:c>
      <x:c r="W765" s="9" t="str">
        <x:v>provisional_gt_5pct_pending</x:v>
      </x:c>
      <x:c r="X765" s="12" t="n">
        <x:f>IFERROR(F765/Z765*100000,"")</x:f>
        <x:v>20.09026059106129</x:v>
      </x:c>
      <x:c r="Y765" s="13" t="n">
        <x:f>LN(Z765)</x:f>
        <x:v>14.133091180761918</x:v>
      </x:c>
      <x:c r="Z765" s="6" t="str">
        <x:v>1373800</x:v>
      </x:c>
      <x:c r="AA765" s="6" t="str">
        <x:v>42.0</x:v>
      </x:c>
      <x:c r="AB765" s="9" t="str">
        <x:v>2025-06-30</x:v>
      </x:c>
      <x:c r="AC765" s="8" t="str">
        <x:v>84.1</x:v>
      </x:c>
      <x:c r="AD765" s="9" t="str">
        <x:v>2025 (Susenas)</x:v>
      </x:c>
      <x:c r="AE765" s="8" t="str">
        <x:v>5.81</x:v>
      </x:c>
      <x:c r="AF765" s="9" t="str">
        <x:v>Maret 2025 (Susenas)</x:v>
      </x:c>
      <x:c r="AG765" s="6" t="str">
        <x:v>26.05999169856621</x:v>
      </x:c>
      <x:c r="AH765" s="8" t="str">
        <x:v>85.18400880522294</x:v>
      </x:c>
      <x:c r="AI765" s="6" t="str">
        <x:v>314.70748535982364</x:v>
      </x:c>
      <x:c r="AJ765" s="6" t="str">
        <x:v>-0.0331426644114394</x:v>
      </x:c>
      <x:c r="AK765" s="8" t="str">
        <x:v>-0.1055848196202399</x:v>
      </x:c>
      <x:c r="AL765" s="6" t="str">
        <x:v>1.4872346041755815</x:v>
      </x:c>
      <x:c r="AM765" s="6" t="str">
        <x:v>0.812672369582723</x:v>
      </x:c>
      <x:c r="AN765" s="6" t="str">
        <x:v>0.7314407180460218</x:v>
      </x:c>
      <x:c r="AO765" s="6" t="str">
        <x:v>4.072846947991536</x:v>
      </x:c>
      <x:c r="AP765" s="8" t="str">
        <x:v>1.1548661465620718</x:v>
      </x:c>
      <x:c r="AQ765" s="6" t="str">
        <x:v>0.672268100267748</x:v>
      </x:c>
      <x:c r="AR765" s="6" t="str">
        <x:v>0.280617451092268</x:v>
      </x:c>
      <x:c r="AS765" s="6" t="str">
        <x:v>0.7025838993073625</x:v>
      </x:c>
      <x:c r="AT765" s="6" t="str">
        <x:v>211.75587852869128</x:v>
      </x:c>
      <x:c r="AU765" s="8" t="str">
        <x:v>2.773583666764548</x:v>
      </x:c>
      <x:c r="AV765" s="6" t="str">
        <x:v>0.0535397187317096</x:v>
      </x:c>
      <x:c r="AW765" s="6" t="str">
        <x:v>1.2866413237921084</x:v>
      </x:c>
      <x:c r="AX765" s="6" t="str">
        <x:v>1.3712549030961216</x:v>
      </x:c>
      <x:c r="AY765" s="6" t="str">
        <x:v>1</x:v>
      </x:c>
      <x:c r="AZ765" s="6" t="str">
        <x:v>0</x:v>
      </x:c>
      <x:c r="BA765" s="9" t="str">
        <x:v>grid_cells_within_BIG_polygon</x:v>
      </x:c>
      <x:c r="BB765" s="6" t="str">
        <x:v>5</x:v>
      </x:c>
      <x:c r="BC765" s="6" t="str">
        <x:v>5</x:v>
      </x:c>
      <x:c r="BD765" s="6" t="str">
        <x:v>5</x:v>
      </x:c>
      <x:c r="BE765" s="6" t="str">
        <x:v>5</x:v>
      </x:c>
      <x:c r="BF765" s="6" t="str">
        <x:v>0</x:v>
      </x:c>
      <x:c r="BG765" s="6" t="str">
        <x:v>0</x:v>
      </x:c>
      <x:c r="BH765" s="6" t="str">
        <x:v>0</x:v>
      </x:c>
      <x:c r="BI765" s="6" t="str">
        <x:v>0</x:v>
      </x:c>
      <x:c r="BJ765" s="6" t="str">
        <x:v>0</x:v>
      </x:c>
      <x:c r="BK765" s="6" t="str">
        <x:v>0</x:v>
      </x:c>
      <x:c r="BL765" s="6" t="str">
        <x:v>0</x:v>
      </x:c>
      <x:c r="BM765" s="6" t="str">
        <x:v>0</x:v>
      </x:c>
      <x:c r="BN765" s="6" t="str">
        <x:v>5</x:v>
      </x:c>
      <x:c r="BO765" s="6" t="str">
        <x:v>1.0</x:v>
      </x:c>
      <x:c r="BP765" s="6" t="str">
        <x:v>1</x:v>
      </x:c>
      <x:c r="BQ765" s="6" t="str"/>
      <x:c r="BR765" s="6" t="str">
        <x:v>0</x:v>
      </x:c>
      <x:c r="BS765" s="6" t="str">
        <x:v>0.0</x:v>
      </x:c>
      <x:c r="BT765" s="6" t="str">
        <x:v>5</x:v>
      </x:c>
      <x:c r="BU765" s="6" t="str">
        <x:v>291.0</x:v>
      </x:c>
      <x:c r="BV765" s="6" t="str">
        <x:v>5</x:v>
      </x:c>
      <x:c r="BW765" s="9" t="str">
        <x:v>operational_snapshot_annual_totals_may_differ</x:v>
      </x:c>
      <x:c r="BX765" s="9" t="str">
        <x:v>official_live_dashboard_snapshot_subject_to_revision</x:v>
      </x:c>
      <x:c r="BY765" s="9" t="str">
        <x:v>https://tbdashboard.sitb.id/ss_data_tbc03so_2025_provinsi_bulanan_list.php</x:v>
      </x:c>
      <x:c r="BZ765" s="6" t="n">
        <x:v>46246.610671296294</x:v>
      </x:c>
    </x:row>
    <x:row r="766" ht="18" customHeight="1">
      <x:c r="A766" s="6" t="str">
        <x:v>82</x:v>
      </x:c>
      <x:c r="B766" s="6" t="str">
        <x:v>MALUKU UTARA</x:v>
      </x:c>
      <x:c r="C766" s="6" t="str">
        <x:v>2025</x:v>
      </x:c>
      <x:c r="D766" s="6" t="str">
        <x:v>9</x:v>
      </x:c>
      <x:c r="E766" s="6" t="str">
        <x:v>2025-09</x:v>
      </x:c>
      <x:c r="F766" s="6" t="str">
        <x:v>333</x:v>
      </x:c>
      <x:c r="G766" s="6" t="str">
        <x:v>66</x:v>
      </x:c>
      <x:c r="H766" s="6" t="str">
        <x:v>181</x:v>
      </x:c>
      <x:c r="I766" s="6" t="str">
        <x:v>29</x:v>
      </x:c>
      <x:c r="J766" s="6" t="str">
        <x:v>20</x:v>
      </x:c>
      <x:c r="K766" s="6" t="str">
        <x:v>0</x:v>
      </x:c>
      <x:c r="L766" s="6" t="str">
        <x:v>0</x:v>
      </x:c>
      <x:c r="M766" s="6" t="str">
        <x:v>37</x:v>
      </x:c>
      <x:c r="N766" s="6" t="str">
        <x:v>333</x:v>
      </x:c>
      <x:c r="O766" s="6" t="str">
        <x:v>0</x:v>
      </x:c>
      <x:c r="P766" s="10" t="n">
        <x:f>F766-M766</x:f>
        <x:v>296</x:v>
      </x:c>
      <x:c r="Q766" s="11" t="n">
        <x:f>IFERROR(M766/F766,"")</x:f>
        <x:v>0.1111111111111111</x:v>
      </x:c>
      <x:c r="R766" s="10" t="n">
        <x:f>G766+H766</x:f>
        <x:v>247</x:v>
      </x:c>
      <x:c r="S766" s="11" t="n">
        <x:f>IFERROR(R766/F766,"")</x:f>
        <x:v>0.7417417417417418</x:v>
      </x:c>
      <x:c r="T766" s="11" t="n">
        <x:f>IFERROR(R766/P766,"")</x:f>
        <x:v>0.8344594594594594</x:v>
      </x:c>
      <x:c r="U766" s="10" t="n">
        <x:f>I766+J766+K766</x:f>
        <x:v>49</x:v>
      </x:c>
      <x:c r="V766" s="11" t="n">
        <x:f>IFERROR(U766/P766,"")</x:f>
        <x:v>0.16554054054054054</x:v>
      </x:c>
      <x:c r="W766" s="9" t="str">
        <x:v>provisional_gt_5pct_pending</x:v>
      </x:c>
      <x:c r="X766" s="12" t="n">
        <x:f>IFERROR(F766/Z766*100000,"")</x:f>
        <x:v>24.239336147910905</x:v>
      </x:c>
      <x:c r="Y766" s="13" t="n">
        <x:f>LN(Z766)</x:f>
        <x:v>14.133091180761918</x:v>
      </x:c>
      <x:c r="Z766" s="6" t="str">
        <x:v>1373800</x:v>
      </x:c>
      <x:c r="AA766" s="6" t="str">
        <x:v>42.0</x:v>
      </x:c>
      <x:c r="AB766" s="9" t="str">
        <x:v>2025-06-30</x:v>
      </x:c>
      <x:c r="AC766" s="8" t="str">
        <x:v>84.1</x:v>
      </x:c>
      <x:c r="AD766" s="9" t="str">
        <x:v>2025 (Susenas)</x:v>
      </x:c>
      <x:c r="AE766" s="8" t="str">
        <x:v>5.81</x:v>
      </x:c>
      <x:c r="AF766" s="9" t="str">
        <x:v>Maret 2025 (Susenas)</x:v>
      </x:c>
      <x:c r="AG766" s="6" t="str">
        <x:v>26.637990266629128</x:v>
      </x:c>
      <x:c r="AH766" s="8" t="str">
        <x:v>82.9520500237112</x:v>
      </x:c>
      <x:c r="AI766" s="6" t="str">
        <x:v>158.09684469333752</x:v>
      </x:c>
      <x:c r="AJ766" s="6" t="str">
        <x:v>0.1159878015679538</x:v>
      </x:c>
      <x:c r="AK766" s="8" t="str">
        <x:v>0.2476104831132251</x:v>
      </x:c>
      <x:c r="AL766" s="6" t="str">
        <x:v>-0.1055848196202399</x:v>
      </x:c>
      <x:c r="AM766" s="6" t="str">
        <x:v>1.4872346041755815</x:v>
      </x:c>
      <x:c r="AN766" s="6" t="str">
        <x:v>0.5430867558895225</x:v>
      </x:c>
      <x:c r="AO766" s="6" t="str">
        <x:v>3.8392405222297015</x:v>
      </x:c>
      <x:c r="AP766" s="8" t="str">
        <x:v>0.7977113191898784</x:v>
      </x:c>
      <x:c r="AQ766" s="6" t="str">
        <x:v>1.1548661465620718</x:v>
      </x:c>
      <x:c r="AR766" s="6" t="str">
        <x:v>0.672268100267748</x:v>
      </x:c>
      <x:c r="AS766" s="6" t="str">
        <x:v>0.8749485220065659</x:v>
      </x:c>
      <x:c r="AT766" s="6" t="str">
        <x:v>61.65210895787924</x:v>
      </x:c>
      <x:c r="AU766" s="8" t="str">
        <x:v>0.8297595644326172</x:v>
      </x:c>
      <x:c r="AV766" s="6" t="str">
        <x:v>2.773583666764548</x:v>
      </x:c>
      <x:c r="AW766" s="6" t="str">
        <x:v>0.0535397187317096</x:v>
      </x:c>
      <x:c r="AX766" s="6" t="str">
        <x:v>1.2189609833096249</x:v>
      </x:c>
      <x:c r="AY766" s="6" t="str">
        <x:v>0</x:v>
      </x:c>
      <x:c r="AZ766" s="6" t="str">
        <x:v>0</x:v>
      </x:c>
      <x:c r="BA766" s="9" t="str">
        <x:v>grid_cells_within_BIG_polygon</x:v>
      </x:c>
      <x:c r="BB766" s="6" t="str">
        <x:v>5</x:v>
      </x:c>
      <x:c r="BC766" s="6" t="str">
        <x:v>4</x:v>
      </x:c>
      <x:c r="BD766" s="6" t="str">
        <x:v>4</x:v>
      </x:c>
      <x:c r="BE766" s="6" t="str">
        <x:v>4</x:v>
      </x:c>
      <x:c r="BF766" s="6" t="str">
        <x:v>0</x:v>
      </x:c>
      <x:c r="BG766" s="6" t="str">
        <x:v>0</x:v>
      </x:c>
      <x:c r="BH766" s="6" t="str">
        <x:v>0</x:v>
      </x:c>
      <x:c r="BI766" s="6" t="str">
        <x:v>0</x:v>
      </x:c>
      <x:c r="BJ766" s="6" t="str">
        <x:v>0</x:v>
      </x:c>
      <x:c r="BK766" s="6" t="str">
        <x:v>0</x:v>
      </x:c>
      <x:c r="BL766" s="6" t="str">
        <x:v>0</x:v>
      </x:c>
      <x:c r="BM766" s="6" t="str">
        <x:v>0</x:v>
      </x:c>
      <x:c r="BN766" s="6" t="str">
        <x:v>4</x:v>
      </x:c>
      <x:c r="BO766" s="6" t="str"/>
      <x:c r="BP766" s="6" t="str">
        <x:v>0</x:v>
      </x:c>
      <x:c r="BQ766" s="6" t="str"/>
      <x:c r="BR766" s="6" t="str">
        <x:v>0</x:v>
      </x:c>
      <x:c r="BS766" s="6" t="str">
        <x:v>0.0</x:v>
      </x:c>
      <x:c r="BT766" s="6" t="str">
        <x:v>4</x:v>
      </x:c>
      <x:c r="BU766" s="6" t="str">
        <x:v>459.0</x:v>
      </x:c>
      <x:c r="BV766" s="6" t="str">
        <x:v>4</x:v>
      </x:c>
      <x:c r="BW766" s="9" t="str">
        <x:v>operational_snapshot_annual_totals_may_differ</x:v>
      </x:c>
      <x:c r="BX766" s="9" t="str">
        <x:v>official_live_dashboard_snapshot_subject_to_revision</x:v>
      </x:c>
      <x:c r="BY766" s="9" t="str">
        <x:v>https://tbdashboard.sitb.id/ss_data_tbc03so_2025_provinsi_bulanan_list.php</x:v>
      </x:c>
      <x:c r="BZ766" s="6" t="n">
        <x:v>46246.610671296294</x:v>
      </x:c>
    </x:row>
    <x:row r="767" ht="18" customHeight="1">
      <x:c r="A767" s="6" t="str">
        <x:v>82</x:v>
      </x:c>
      <x:c r="B767" s="6" t="str">
        <x:v>MALUKU UTARA</x:v>
      </x:c>
      <x:c r="C767" s="6" t="str">
        <x:v>2025</x:v>
      </x:c>
      <x:c r="D767" s="6" t="str">
        <x:v>10</x:v>
      </x:c>
      <x:c r="E767" s="6" t="str">
        <x:v>2025-10</x:v>
      </x:c>
      <x:c r="F767" s="6" t="str">
        <x:v>332</x:v>
      </x:c>
      <x:c r="G767" s="6" t="str">
        <x:v>62</x:v>
      </x:c>
      <x:c r="H767" s="6" t="str">
        <x:v>170</x:v>
      </x:c>
      <x:c r="I767" s="6" t="str">
        <x:v>28</x:v>
      </x:c>
      <x:c r="J767" s="6" t="str">
        <x:v>26</x:v>
      </x:c>
      <x:c r="K767" s="6" t="str">
        <x:v>0</x:v>
      </x:c>
      <x:c r="L767" s="6" t="str">
        <x:v>0</x:v>
      </x:c>
      <x:c r="M767" s="6" t="str">
        <x:v>46</x:v>
      </x:c>
      <x:c r="N767" s="6" t="str">
        <x:v>332</x:v>
      </x:c>
      <x:c r="O767" s="6" t="str">
        <x:v>0</x:v>
      </x:c>
      <x:c r="P767" s="10" t="n">
        <x:f>F767-M767</x:f>
        <x:v>286</x:v>
      </x:c>
      <x:c r="Q767" s="11" t="n">
        <x:f>IFERROR(M767/F767,"")</x:f>
        <x:v>0.13855421686746988</x:v>
      </x:c>
      <x:c r="R767" s="10" t="n">
        <x:f>G767+H767</x:f>
        <x:v>232</x:v>
      </x:c>
      <x:c r="S767" s="11" t="n">
        <x:f>IFERROR(R767/F767,"")</x:f>
        <x:v>0.6987951807228916</x:v>
      </x:c>
      <x:c r="T767" s="11" t="n">
        <x:f>IFERROR(R767/P767,"")</x:f>
        <x:v>0.8111888111888111</x:v>
      </x:c>
      <x:c r="U767" s="10" t="n">
        <x:f>I767+J767+K767</x:f>
        <x:v>54</x:v>
      </x:c>
      <x:c r="V767" s="11" t="n">
        <x:f>IFERROR(U767/P767,"")</x:f>
        <x:v>0.1888111888111888</x:v>
      </x:c>
      <x:c r="W767" s="9" t="str">
        <x:v>provisional_gt_5pct_pending</x:v>
      </x:c>
      <x:c r="X767" s="12" t="n">
        <x:f>IFERROR(F767/Z767*100000,"")</x:f>
        <x:v>24.166545348667928</x:v>
      </x:c>
      <x:c r="Y767" s="13" t="n">
        <x:f>LN(Z767)</x:f>
        <x:v>14.133091180761918</x:v>
      </x:c>
      <x:c r="Z767" s="6" t="str">
        <x:v>1373800</x:v>
      </x:c>
      <x:c r="AA767" s="6" t="str">
        <x:v>42.0</x:v>
      </x:c>
      <x:c r="AB767" s="9" t="str">
        <x:v>2025-06-30</x:v>
      </x:c>
      <x:c r="AC767" s="8" t="str">
        <x:v>84.1</x:v>
      </x:c>
      <x:c r="AD767" s="9" t="str">
        <x:v>2025 (Susenas)</x:v>
      </x:c>
      <x:c r="AE767" s="8" t="str">
        <x:v>5.81</x:v>
      </x:c>
      <x:c r="AF767" s="9" t="str">
        <x:v>Maret 2025 (Susenas)</x:v>
      </x:c>
      <x:c r="AG767" s="6" t="str">
        <x:v>27.07999444037471</x:v>
      </x:c>
      <x:c r="AH767" s="8" t="str">
        <x:v>81.34802781411693</x:v>
      </x:c>
      <x:c r="AI767" s="6" t="str">
        <x:v>237.46123002283343</x:v>
      </x:c>
      <x:c r="AJ767" s="6" t="str">
        <x:v>-0.1291393160513578</x:v>
      </x:c>
      <x:c r="AK767" s="8" t="str">
        <x:v>-0.2338413200993387</x:v>
      </x:c>
      <x:c r="AL767" s="6" t="str">
        <x:v>0.2476104831132251</x:v>
      </x:c>
      <x:c r="AM767" s="6" t="str">
        <x:v>-0.1055848196202399</x:v>
      </x:c>
      <x:c r="AN767" s="6" t="str">
        <x:v>-0.0306052188687842</x:v>
      </x:c>
      <x:c r="AO767" s="6" t="str">
        <x:v>4.488679497929908</x:v>
      </x:c>
      <x:c r="AP767" s="8" t="str">
        <x:v>0.8519033139428259</x:v>
      </x:c>
      <x:c r="AQ767" s="6" t="str">
        <x:v>0.7977113191898784</x:v>
      </x:c>
      <x:c r="AR767" s="6" t="str">
        <x:v>1.1548661465620718</x:v>
      </x:c>
      <x:c r="AS767" s="6" t="str">
        <x:v>0.9348269265649252</x:v>
      </x:c>
      <x:c r="AT767" s="6" t="str">
        <x:v>114.93895867192631</x:v>
      </x:c>
      <x:c r="AU767" s="8" t="str">
        <x:v>1.4290026031028535</x:v>
      </x:c>
      <x:c r="AV767" s="6" t="str">
        <x:v>0.8297595644326172</x:v>
      </x:c>
      <x:c r="AW767" s="6" t="str">
        <x:v>2.773583666764548</x:v>
      </x:c>
      <x:c r="AX767" s="6" t="str">
        <x:v>1.677448611433339</x:v>
      </x:c>
      <x:c r="AY767" s="6" t="str">
        <x:v>1</x:v>
      </x:c>
      <x:c r="AZ767" s="6" t="str">
        <x:v>0</x:v>
      </x:c>
      <x:c r="BA767" s="9" t="str">
        <x:v>grid_cells_within_BIG_polygon</x:v>
      </x:c>
      <x:c r="BB767" s="6" t="str">
        <x:v>5</x:v>
      </x:c>
      <x:c r="BC767" s="6" t="str">
        <x:v>5</x:v>
      </x:c>
      <x:c r="BD767" s="6" t="str">
        <x:v>5</x:v>
      </x:c>
      <x:c r="BE767" s="6" t="str">
        <x:v>4</x:v>
      </x:c>
      <x:c r="BF767" s="6" t="str">
        <x:v>0</x:v>
      </x:c>
      <x:c r="BG767" s="6" t="str">
        <x:v>1</x:v>
      </x:c>
      <x:c r="BH767" s="6" t="str">
        <x:v>0</x:v>
      </x:c>
      <x:c r="BI767" s="6" t="str">
        <x:v>0</x:v>
      </x:c>
      <x:c r="BJ767" s="6" t="str">
        <x:v>0</x:v>
      </x:c>
      <x:c r="BK767" s="6" t="str">
        <x:v>0</x:v>
      </x:c>
      <x:c r="BL767" s="6" t="str">
        <x:v>0</x:v>
      </x:c>
      <x:c r="BM767" s="6" t="str">
        <x:v>0</x:v>
      </x:c>
      <x:c r="BN767" s="6" t="str">
        <x:v>5</x:v>
      </x:c>
      <x:c r="BO767" s="6" t="str"/>
      <x:c r="BP767" s="6" t="str">
        <x:v>0</x:v>
      </x:c>
      <x:c r="BQ767" s="6" t="str"/>
      <x:c r="BR767" s="6" t="str">
        <x:v>0</x:v>
      </x:c>
      <x:c r="BS767" s="6" t="str">
        <x:v>17.0</x:v>
      </x:c>
      <x:c r="BT767" s="6" t="str">
        <x:v>5</x:v>
      </x:c>
      <x:c r="BU767" s="6" t="str">
        <x:v>159.0</x:v>
      </x:c>
      <x:c r="BV767" s="6" t="str">
        <x:v>4</x:v>
      </x:c>
      <x:c r="BW767" s="9" t="str">
        <x:v>operational_snapshot_annual_totals_may_differ</x:v>
      </x:c>
      <x:c r="BX767" s="9" t="str">
        <x:v>official_live_dashboard_snapshot_subject_to_revision</x:v>
      </x:c>
      <x:c r="BY767" s="9" t="str">
        <x:v>https://tbdashboard.sitb.id/ss_data_tbc03so_2025_provinsi_bulanan_list.php</x:v>
      </x:c>
      <x:c r="BZ767" s="6" t="n">
        <x:v>46246.610671296294</x:v>
      </x:c>
    </x:row>
    <x:row r="768" ht="18" customHeight="1">
      <x:c r="A768" s="6" t="str">
        <x:v>82</x:v>
      </x:c>
      <x:c r="B768" s="6" t="str">
        <x:v>MALUKU UTARA</x:v>
      </x:c>
      <x:c r="C768" s="6" t="str">
        <x:v>2025</x:v>
      </x:c>
      <x:c r="D768" s="6" t="str">
        <x:v>11</x:v>
      </x:c>
      <x:c r="E768" s="6" t="str">
        <x:v>2025-11</x:v>
      </x:c>
      <x:c r="F768" s="6" t="str">
        <x:v>361</x:v>
      </x:c>
      <x:c r="G768" s="6" t="str">
        <x:v>74</x:v>
      </x:c>
      <x:c r="H768" s="6" t="str">
        <x:v>174</x:v>
      </x:c>
      <x:c r="I768" s="6" t="str">
        <x:v>28</x:v>
      </x:c>
      <x:c r="J768" s="6" t="str">
        <x:v>18</x:v>
      </x:c>
      <x:c r="K768" s="6" t="str">
        <x:v>0</x:v>
      </x:c>
      <x:c r="L768" s="6" t="str">
        <x:v>0</x:v>
      </x:c>
      <x:c r="M768" s="6" t="str">
        <x:v>67</x:v>
      </x:c>
      <x:c r="N768" s="6" t="str">
        <x:v>361</x:v>
      </x:c>
      <x:c r="O768" s="6" t="str">
        <x:v>0</x:v>
      </x:c>
      <x:c r="P768" s="10" t="n">
        <x:f>F768-M768</x:f>
        <x:v>294</x:v>
      </x:c>
      <x:c r="Q768" s="11" t="n">
        <x:f>IFERROR(M768/F768,"")</x:f>
        <x:v>0.18559556786703602</x:v>
      </x:c>
      <x:c r="R768" s="10" t="n">
        <x:f>G768+H768</x:f>
        <x:v>248</x:v>
      </x:c>
      <x:c r="S768" s="11" t="n">
        <x:f>IFERROR(R768/F768,"")</x:f>
        <x:v>0.6869806094182825</x:v>
      </x:c>
      <x:c r="T768" s="11" t="n">
        <x:f>IFERROR(R768/P768,"")</x:f>
        <x:v>0.8435374149659864</x:v>
      </x:c>
      <x:c r="U768" s="10" t="n">
        <x:f>I768+J768+K768</x:f>
        <x:v>46</x:v>
      </x:c>
      <x:c r="V768" s="11" t="n">
        <x:f>IFERROR(U768/P768,"")</x:f>
        <x:v>0.1564625850340136</x:v>
      </x:c>
      <x:c r="W768" s="9" t="str">
        <x:v>provisional_gt_5pct_pending</x:v>
      </x:c>
      <x:c r="X768" s="12" t="n">
        <x:f>IFERROR(F768/Z768*100000,"")</x:f>
        <x:v>26.277478526714223</x:v>
      </x:c>
      <x:c r="Y768" s="13" t="n">
        <x:f>LN(Z768)</x:f>
        <x:v>14.133091180761918</x:v>
      </x:c>
      <x:c r="Z768" s="6" t="str">
        <x:v>1373800</x:v>
      </x:c>
      <x:c r="AA768" s="6" t="str">
        <x:v>42.0</x:v>
      </x:c>
      <x:c r="AB768" s="9" t="str">
        <x:v>2025-06-30</x:v>
      </x:c>
      <x:c r="AC768" s="8" t="str">
        <x:v>84.1</x:v>
      </x:c>
      <x:c r="AD768" s="9" t="str">
        <x:v>2025 (Susenas)</x:v>
      </x:c>
      <x:c r="AE768" s="8" t="str">
        <x:v>5.81</x:v>
      </x:c>
      <x:c r="AF768" s="9" t="str">
        <x:v>Maret 2025 (Susenas)</x:v>
      </x:c>
      <x:c r="AG768" s="6" t="str">
        <x:v>27.221995263085464</x:v>
      </x:c>
      <x:c r="AH768" s="8" t="str">
        <x:v>82.88597466855579</x:v>
      </x:c>
      <x:c r="AI768" s="6" t="str">
        <x:v>252.182237735593</x:v>
      </x:c>
      <x:c r="AJ768" s="6" t="str">
        <x:v>-0.2068633878110084</x:v>
      </x:c>
      <x:c r="AK768" s="8" t="str">
        <x:v>-0.3385339688222932</x:v>
      </x:c>
      <x:c r="AL768" s="6" t="str">
        <x:v>-0.2338413200993387</x:v>
      </x:c>
      <x:c r="AM768" s="6" t="str">
        <x:v>0.2476104831132251</x:v>
      </x:c>
      <x:c r="AN768" s="6" t="str">
        <x:v>-0.1082549352694687</x:v>
      </x:c>
      <x:c r="AO768" s="6" t="str">
        <x:v>5.21012039664501</x:v>
      </x:c>
      <x:c r="AP768" s="8" t="str">
        <x:v>0.9905406130896698</x:v>
      </x:c>
      <x:c r="AQ768" s="6" t="str">
        <x:v>0.8519033139428259</x:v>
      </x:c>
      <x:c r="AR768" s="6" t="str">
        <x:v>0.7977113191898784</x:v>
      </x:c>
      <x:c r="AS768" s="6" t="str">
        <x:v>0.8800517487407914</x:v>
      </x:c>
      <x:c r="AT768" s="6" t="str">
        <x:v>88.3255350251348</x:v>
      </x:c>
      <x:c r="AU768" s="8" t="str">
        <x:v>1.0034881456885707</x:v>
      </x:c>
      <x:c r="AV768" s="6" t="str">
        <x:v>1.4290026031028535</x:v>
      </x:c>
      <x:c r="AW768" s="6" t="str">
        <x:v>0.8297595644326172</x:v>
      </x:c>
      <x:c r="AX768" s="6" t="str">
        <x:v>1.08741677107468</x:v>
      </x:c>
      <x:c r="AY768" s="6" t="str">
        <x:v>1</x:v>
      </x:c>
      <x:c r="AZ768" s="6" t="str">
        <x:v>0</x:v>
      </x:c>
      <x:c r="BA768" s="9" t="str">
        <x:v>grid_cells_within_BIG_polygon</x:v>
      </x:c>
      <x:c r="BB768" s="6" t="str">
        <x:v>5</x:v>
      </x:c>
      <x:c r="BC768" s="6" t="str">
        <x:v>3</x:v>
      </x:c>
      <x:c r="BD768" s="6" t="str">
        <x:v>3</x:v>
      </x:c>
      <x:c r="BE768" s="6" t="str">
        <x:v>1</x:v>
      </x:c>
      <x:c r="BF768" s="6" t="str">
        <x:v>0</x:v>
      </x:c>
      <x:c r="BG768" s="6" t="str">
        <x:v>2</x:v>
      </x:c>
      <x:c r="BH768" s="6" t="str">
        <x:v>0</x:v>
      </x:c>
      <x:c r="BI768" s="6" t="str">
        <x:v>0</x:v>
      </x:c>
      <x:c r="BJ768" s="6" t="str">
        <x:v>0</x:v>
      </x:c>
      <x:c r="BK768" s="6" t="str">
        <x:v>0</x:v>
      </x:c>
      <x:c r="BL768" s="6" t="str">
        <x:v>0</x:v>
      </x:c>
      <x:c r="BM768" s="6" t="str">
        <x:v>0</x:v>
      </x:c>
      <x:c r="BN768" s="6" t="str">
        <x:v>3</x:v>
      </x:c>
      <x:c r="BO768" s="6" t="str"/>
      <x:c r="BP768" s="6" t="str">
        <x:v>0</x:v>
      </x:c>
      <x:c r="BQ768" s="6" t="str"/>
      <x:c r="BR768" s="6" t="str">
        <x:v>0</x:v>
      </x:c>
      <x:c r="BS768" s="6" t="str">
        <x:v>95.0</x:v>
      </x:c>
      <x:c r="BT768" s="6" t="str">
        <x:v>3</x:v>
      </x:c>
      <x:c r="BU768" s="6" t="str">
        <x:v>12.0</x:v>
      </x:c>
      <x:c r="BV768" s="6" t="str">
        <x:v>1</x:v>
      </x:c>
      <x:c r="BW768" s="9" t="str">
        <x:v>operational_snapshot_annual_totals_may_differ</x:v>
      </x:c>
      <x:c r="BX768" s="9" t="str">
        <x:v>official_live_dashboard_snapshot_subject_to_revision</x:v>
      </x:c>
      <x:c r="BY768" s="9" t="str">
        <x:v>https://tbdashboard.sitb.id/ss_data_tbc03so_2025_provinsi_bulanan_list.php</x:v>
      </x:c>
      <x:c r="BZ768" s="6" t="n">
        <x:v>46246.610671296294</x:v>
      </x:c>
    </x:row>
    <x:row r="769" ht="18" customHeight="1">
      <x:c r="A769" s="6" t="str">
        <x:v>82</x:v>
      </x:c>
      <x:c r="B769" s="6" t="str">
        <x:v>MALUKU UTARA</x:v>
      </x:c>
      <x:c r="C769" s="6" t="str">
        <x:v>2025</x:v>
      </x:c>
      <x:c r="D769" s="6" t="str">
        <x:v>12</x:v>
      </x:c>
      <x:c r="E769" s="6" t="str">
        <x:v>2025-12</x:v>
      </x:c>
      <x:c r="F769" s="6" t="str">
        <x:v>311</x:v>
      </x:c>
      <x:c r="G769" s="6" t="str">
        <x:v>63</x:v>
      </x:c>
      <x:c r="H769" s="6" t="str">
        <x:v>125</x:v>
      </x:c>
      <x:c r="I769" s="6" t="str">
        <x:v>25</x:v>
      </x:c>
      <x:c r="J769" s="6" t="str">
        <x:v>14</x:v>
      </x:c>
      <x:c r="K769" s="6" t="str">
        <x:v>1</x:v>
      </x:c>
      <x:c r="L769" s="6" t="str">
        <x:v>0</x:v>
      </x:c>
      <x:c r="M769" s="6" t="str">
        <x:v>83</x:v>
      </x:c>
      <x:c r="N769" s="6" t="str">
        <x:v>311</x:v>
      </x:c>
      <x:c r="O769" s="6" t="str">
        <x:v>0</x:v>
      </x:c>
      <x:c r="P769" s="10" t="n">
        <x:f>F769-M769</x:f>
        <x:v>228</x:v>
      </x:c>
      <x:c r="Q769" s="11" t="n">
        <x:f>IFERROR(M769/F769,"")</x:f>
        <x:v>0.26688102893890675</x:v>
      </x:c>
      <x:c r="R769" s="10" t="n">
        <x:f>G769+H769</x:f>
        <x:v>188</x:v>
      </x:c>
      <x:c r="S769" s="11" t="n">
        <x:f>IFERROR(R769/F769,"")</x:f>
        <x:v>0.6045016077170418</x:v>
      </x:c>
      <x:c r="T769" s="11" t="n">
        <x:f>IFERROR(R769/P769,"")</x:f>
        <x:v>0.8245614035087719</x:v>
      </x:c>
      <x:c r="U769" s="10" t="n">
        <x:f>I769+J769+K769</x:f>
        <x:v>40</x:v>
      </x:c>
      <x:c r="V769" s="11" t="n">
        <x:f>IFERROR(U769/P769,"")</x:f>
        <x:v>0.17543859649122806</x:v>
      </x:c>
      <x:c r="W769" s="9" t="str">
        <x:v>provisional_gt_5pct_pending</x:v>
      </x:c>
      <x:c r="X769" s="12" t="n">
        <x:f>IFERROR(F769/Z769*100000,"")</x:f>
        <x:v>22.637938564565438</x:v>
      </x:c>
      <x:c r="Y769" s="13" t="n">
        <x:f>LN(Z769)</x:f>
        <x:v>14.133091180761918</x:v>
      </x:c>
      <x:c r="Z769" s="6" t="str">
        <x:v>1373800</x:v>
      </x:c>
      <x:c r="AA769" s="6" t="str">
        <x:v>42.0</x:v>
      </x:c>
      <x:c r="AB769" s="9" t="str">
        <x:v>2025-06-30</x:v>
      </x:c>
      <x:c r="AC769" s="8" t="str">
        <x:v>84.1</x:v>
      </x:c>
      <x:c r="AD769" s="9" t="str">
        <x:v>2025 (Susenas)</x:v>
      </x:c>
      <x:c r="AE769" s="8" t="str">
        <x:v>5.81</x:v>
      </x:c>
      <x:c r="AF769" s="9" t="str">
        <x:v>Maret 2025 (Susenas)</x:v>
      </x:c>
      <x:c r="AG769" s="6" t="str">
        <x:v>27.11399608556421</x:v>
      </x:c>
      <x:c r="AH769" s="8" t="str">
        <x:v>83.3679860013488</x:v>
      </x:c>
      <x:c r="AI769" s="6" t="str">
        <x:v>322.3425453506303</x:v>
      </x:c>
      <x:c r="AJ769" s="6" t="str">
        <x:v>0.0531324030347342</x:v>
      </x:c>
      <x:c r="AK769" s="8" t="str">
        <x:v>0.0896567103099151</x:v>
      </x:c>
      <x:c r="AL769" s="6" t="str">
        <x:v>-0.3385339688222932</x:v>
      </x:c>
      <x:c r="AM769" s="6" t="str">
        <x:v>-0.2338413200993387</x:v>
      </x:c>
      <x:c r="AN769" s="6" t="str">
        <x:v>-0.160906192870572</x:v>
      </x:c>
      <x:c r="AO769" s="6" t="str">
        <x:v>2.7204743356629564</x:v>
      </x:c>
      <x:c r="AP769" s="8" t="str">
        <x:v>0.7101583848028901</x:v>
      </x:c>
      <x:c r="AQ769" s="6" t="str">
        <x:v>0.9905406130896698</x:v>
      </x:c>
      <x:c r="AR769" s="6" t="str">
        <x:v>0.8519033139428259</x:v>
      </x:c>
      <x:c r="AS769" s="6" t="str">
        <x:v>0.8508674372784618</x:v>
      </x:c>
      <x:c r="AT769" s="6" t="str">
        <x:v>115.61358510141211</x:v>
      </x:c>
      <x:c r="AU769" s="8" t="str">
        <x:v>1.212828220441316</x:v>
      </x:c>
      <x:c r="AV769" s="6" t="str">
        <x:v>1.0034881456885707</x:v>
      </x:c>
      <x:c r="AW769" s="6" t="str">
        <x:v>1.4290026031028535</x:v>
      </x:c>
      <x:c r="AX769" s="6" t="str">
        <x:v>1.2151063230775796</x:v>
      </x:c>
      <x:c r="AY769" s="6" t="str">
        <x:v>1</x:v>
      </x:c>
      <x:c r="AZ769" s="6" t="str">
        <x:v>0</x:v>
      </x:c>
      <x:c r="BA769" s="9" t="str">
        <x:v>grid_cells_within_BIG_polygon</x:v>
      </x:c>
      <x:c r="BB769" s="6" t="str">
        <x:v>5</x:v>
      </x:c>
      <x:c r="BC769" s="6" t="str">
        <x:v>2</x:v>
      </x:c>
      <x:c r="BD769" s="6" t="str">
        <x:v>2</x:v>
      </x:c>
      <x:c r="BE769" s="6" t="str">
        <x:v>2</x:v>
      </x:c>
      <x:c r="BF769" s="6" t="str">
        <x:v>0</x:v>
      </x:c>
      <x:c r="BG769" s="6" t="str">
        <x:v>0</x:v>
      </x:c>
      <x:c r="BH769" s="6" t="str">
        <x:v>0</x:v>
      </x:c>
      <x:c r="BI769" s="6" t="str">
        <x:v>0</x:v>
      </x:c>
      <x:c r="BJ769" s="6" t="str">
        <x:v>0</x:v>
      </x:c>
      <x:c r="BK769" s="6" t="str">
        <x:v>0</x:v>
      </x:c>
      <x:c r="BL769" s="6" t="str">
        <x:v>0</x:v>
      </x:c>
      <x:c r="BM769" s="6" t="str">
        <x:v>0</x:v>
      </x:c>
      <x:c r="BN769" s="6" t="str">
        <x:v>2</x:v>
      </x:c>
      <x:c r="BO769" s="6" t="str"/>
      <x:c r="BP769" s="6" t="str">
        <x:v>0</x:v>
      </x:c>
      <x:c r="BQ769" s="6" t="str"/>
      <x:c r="BR769" s="6" t="str">
        <x:v>0</x:v>
      </x:c>
      <x:c r="BS769" s="6" t="str">
        <x:v>0.0</x:v>
      </x:c>
      <x:c r="BT769" s="6" t="str">
        <x:v>2</x:v>
      </x:c>
      <x:c r="BU769" s="6" t="str">
        <x:v>201.0</x:v>
      </x:c>
      <x:c r="BV769" s="6" t="str">
        <x:v>1</x:v>
      </x:c>
      <x:c r="BW769" s="9" t="str">
        <x:v>operational_snapshot_annual_totals_may_differ</x:v>
      </x:c>
      <x:c r="BX769" s="9" t="str">
        <x:v>official_live_dashboard_snapshot_subject_to_revision</x:v>
      </x:c>
      <x:c r="BY769" s="9" t="str">
        <x:v>https://tbdashboard.sitb.id/ss_data_tbc03so_2025_provinsi_bulanan_list.php</x:v>
      </x:c>
      <x:c r="BZ769" s="6" t="n">
        <x:v>46246.610671296294</x:v>
      </x:c>
    </x:row>
    <x:row r="770" ht="18" customHeight="1">
      <x:c r="A770" s="6" t="str">
        <x:v>91</x:v>
      </x:c>
      <x:c r="B770" s="6" t="str">
        <x:v>PAPUA BARAT</x:v>
      </x:c>
      <x:c r="C770" s="6" t="str">
        <x:v>2024</x:v>
      </x:c>
      <x:c r="D770" s="6" t="str">
        <x:v>1</x:v>
      </x:c>
      <x:c r="E770" s="6" t="str">
        <x:v>2024-01</x:v>
      </x:c>
      <x:c r="F770" s="6" t="str">
        <x:v>197</x:v>
      </x:c>
      <x:c r="G770" s="6" t="str">
        <x:v>38</x:v>
      </x:c>
      <x:c r="H770" s="6" t="str">
        <x:v>102</x:v>
      </x:c>
      <x:c r="I770" s="6" t="str">
        <x:v>38</x:v>
      </x:c>
      <x:c r="J770" s="6" t="str">
        <x:v>13</x:v>
      </x:c>
      <x:c r="K770" s="6" t="str">
        <x:v>0</x:v>
      </x:c>
      <x:c r="L770" s="6" t="str">
        <x:v>5</x:v>
      </x:c>
      <x:c r="M770" s="6" t="str">
        <x:v>1</x:v>
      </x:c>
      <x:c r="N770" s="6" t="str">
        <x:v>197</x:v>
      </x:c>
      <x:c r="O770" s="6" t="str">
        <x:v>0</x:v>
      </x:c>
      <x:c r="P770" s="10" t="n">
        <x:f>F770-M770</x:f>
        <x:v>196</x:v>
      </x:c>
      <x:c r="Q770" s="11" t="n">
        <x:f>IFERROR(M770/F770,"")</x:f>
        <x:v>0.005076142131979695</x:v>
      </x:c>
      <x:c r="R770" s="10" t="n">
        <x:f>G770+H770</x:f>
        <x:v>140</x:v>
      </x:c>
      <x:c r="S770" s="11" t="n">
        <x:f>IFERROR(R770/F770,"")</x:f>
        <x:v>0.7106598984771574</x:v>
      </x:c>
      <x:c r="T770" s="11" t="n">
        <x:f>IFERROR(R770/P770,"")</x:f>
        <x:v>0.7142857142857143</x:v>
      </x:c>
      <x:c r="U770" s="10" t="n">
        <x:f>I770+J770+K770</x:f>
        <x:v>51</x:v>
      </x:c>
      <x:c r="V770" s="11" t="n">
        <x:f>IFERROR(U770/P770,"")</x:f>
        <x:v>0.2602040816326531</x:v>
      </x:c>
      <x:c r="W770" s="9" t="str">
        <x:v>mature_le_5pct_pending</x:v>
      </x:c>
      <x:c r="X770" s="12" t="n">
        <x:f>IFERROR(F770/Z770*100000,"")</x:f>
        <x:v>34.04181786763435</x:v>
      </x:c>
      <x:c r="Y770" s="13" t="n">
        <x:f>LN(Z770)</x:f>
        <x:v>13.268539487561931</x:v>
      </x:c>
      <x:c r="Z770" s="6" t="str">
        <x:v>578700</x:v>
      </x:c>
      <x:c r="AA770" s="6" t="str">
        <x:v>10.0</x:v>
      </x:c>
      <x:c r="AB770" s="9" t="str">
        <x:v>2024-06-30</x:v>
      </x:c>
      <x:c r="AC770" s="8" t="str">
        <x:v>79.0</x:v>
      </x:c>
      <x:c r="AD770" s="9" t="str">
        <x:v>2024 (Susenas)</x:v>
      </x:c>
      <x:c r="AE770" s="8" t="str">
        <x:v>21.66</x:v>
      </x:c>
      <x:c r="AF770" s="9" t="str">
        <x:v>Maret 2024 (Susenas)</x:v>
      </x:c>
      <x:c r="AG770" s="6" t="str">
        <x:v>25.555022495456612</x:v>
      </x:c>
      <x:c r="AH770" s="8" t="str">
        <x:v>90.4178630417189</x:v>
      </x:c>
      <x:c r="AI770" s="6" t="str">
        <x:v>174.40575873891473</x:v>
      </x:c>
      <x:c r="AJ770" s="6" t="str">
        <x:v>0.7706376549125729</x:v>
      </x:c>
      <x:c r="AK770" s="8" t="str">
        <x:v>2.489917433957771</x:v>
      </x:c>
      <x:c r="AL770" s="6" t="str">
        <x:v>2.574495397964345</x:v>
      </x:c>
      <x:c r="AM770" s="6" t="str">
        <x:v>2.5298523783727824</x:v>
      </x:c>
      <x:c r="AN770" s="6" t="str">
        <x:v>2.531421736764966</x:v>
      </x:c>
      <x:c r="AO770" s="6" t="str">
        <x:v>0.298720806169328</x:v>
      </x:c>
      <x:c r="AP770" s="8" t="str">
        <x:v>0.2272013001848351</x:v>
      </x:c>
      <x:c r="AQ770" s="6" t="str">
        <x:v>-0.0098626833487125</x:v>
      </x:c>
      <x:c r="AR770" s="6" t="str">
        <x:v>-0.235750672807961</x:v>
      </x:c>
      <x:c r="AS770" s="6" t="str">
        <x:v>-0.0061373519906124</x:v>
      </x:c>
      <x:c r="AT770" s="6" t="str">
        <x:v>-59.79451326222946</x:v>
      </x:c>
      <x:c r="AU770" s="8" t="str">
        <x:v>-1.032332238119586</x:v>
      </x:c>
      <x:c r="AV770" s="6" t="str">
        <x:v>0.8743795323008914</x:v>
      </x:c>
      <x:c r="AW770" s="6" t="str">
        <x:v>-0.6237661342682396</x:v>
      </x:c>
      <x:c r="AX770" s="6" t="str">
        <x:v>-0.2605729466956439</x:v>
      </x:c>
      <x:c r="AY770" s="6" t="str">
        <x:v>0</x:v>
      </x:c>
      <x:c r="AZ770" s="6" t="str">
        <x:v>1</x:v>
      </x:c>
      <x:c r="BA770" s="9" t="str">
        <x:v>grid_cells_within_BIG_polygon</x:v>
      </x:c>
      <x:c r="BB770" s="6" t="str">
        <x:v>16</x:v>
      </x:c>
      <x:c r="BC770" s="6" t="str">
        <x:v>4</x:v>
      </x:c>
      <x:c r="BD770" s="6" t="str">
        <x:v>4</x:v>
      </x:c>
      <x:c r="BE770" s="6" t="str">
        <x:v>3</x:v>
      </x:c>
      <x:c r="BF770" s="6" t="str">
        <x:v>0</x:v>
      </x:c>
      <x:c r="BG770" s="6" t="str">
        <x:v>0</x:v>
      </x:c>
      <x:c r="BH770" s="6" t="str">
        <x:v>0</x:v>
      </x:c>
      <x:c r="BI770" s="6" t="str">
        <x:v>0</x:v>
      </x:c>
      <x:c r="BJ770" s="6" t="str">
        <x:v>1</x:v>
      </x:c>
      <x:c r="BK770" s="6" t="str">
        <x:v>0</x:v>
      </x:c>
      <x:c r="BL770" s="6" t="str">
        <x:v>0</x:v>
      </x:c>
      <x:c r="BM770" s="6" t="str">
        <x:v>0</x:v>
      </x:c>
      <x:c r="BN770" s="6" t="str">
        <x:v>4</x:v>
      </x:c>
      <x:c r="BO770" s="6" t="str">
        <x:v>0.0</x:v>
      </x:c>
      <x:c r="BP770" s="6" t="str">
        <x:v>3</x:v>
      </x:c>
      <x:c r="BQ770" s="6" t="str">
        <x:v>0.0</x:v>
      </x:c>
      <x:c r="BR770" s="6" t="str">
        <x:v>3</x:v>
      </x:c>
      <x:c r="BS770" s="6" t="str">
        <x:v>0.0</x:v>
      </x:c>
      <x:c r="BT770" s="6" t="str">
        <x:v>4</x:v>
      </x:c>
      <x:c r="BU770" s="6" t="str">
        <x:v>989.0</x:v>
      </x:c>
      <x:c r="BV770" s="6" t="str">
        <x:v>3</x:v>
      </x:c>
      <x:c r="BW770" s="9" t="str">
        <x:v>operational_snapshot_annual_totals_may_differ</x:v>
      </x:c>
      <x:c r="BX770" s="9" t="str">
        <x:v>official_live_dashboard_snapshot_subject_to_revision</x:v>
      </x:c>
      <x:c r="BY770" s="9" t="str">
        <x:v>https://tbdashboard.sitb.id/ss_data_tbc03so_2024_provinsi_bulanan_list.php</x:v>
      </x:c>
      <x:c r="BZ770" s="6" t="n">
        <x:v>46246.610671296294</x:v>
      </x:c>
    </x:row>
    <x:row r="771" ht="18" customHeight="1">
      <x:c r="A771" s="6" t="str">
        <x:v>91</x:v>
      </x:c>
      <x:c r="B771" s="6" t="str">
        <x:v>PAPUA BARAT</x:v>
      </x:c>
      <x:c r="C771" s="6" t="str">
        <x:v>2024</x:v>
      </x:c>
      <x:c r="D771" s="6" t="str">
        <x:v>2</x:v>
      </x:c>
      <x:c r="E771" s="6" t="str">
        <x:v>2024-02</x:v>
      </x:c>
      <x:c r="F771" s="6" t="str">
        <x:v>190</x:v>
      </x:c>
      <x:c r="G771" s="6" t="str">
        <x:v>32</x:v>
      </x:c>
      <x:c r="H771" s="6" t="str">
        <x:v>115</x:v>
      </x:c>
      <x:c r="I771" s="6" t="str">
        <x:v>27</x:v>
      </x:c>
      <x:c r="J771" s="6" t="str">
        <x:v>13</x:v>
      </x:c>
      <x:c r="K771" s="6" t="str">
        <x:v>0</x:v>
      </x:c>
      <x:c r="L771" s="6" t="str">
        <x:v>2</x:v>
      </x:c>
      <x:c r="M771" s="6" t="str">
        <x:v>1</x:v>
      </x:c>
      <x:c r="N771" s="6" t="str">
        <x:v>190</x:v>
      </x:c>
      <x:c r="O771" s="6" t="str">
        <x:v>0</x:v>
      </x:c>
      <x:c r="P771" s="10" t="n">
        <x:f>F771-M771</x:f>
        <x:v>189</x:v>
      </x:c>
      <x:c r="Q771" s="11" t="n">
        <x:f>IFERROR(M771/F771,"")</x:f>
        <x:v>0.005263157894736842</x:v>
      </x:c>
      <x:c r="R771" s="10" t="n">
        <x:f>G771+H771</x:f>
        <x:v>147</x:v>
      </x:c>
      <x:c r="S771" s="11" t="n">
        <x:f>IFERROR(R771/F771,"")</x:f>
        <x:v>0.7736842105263158</x:v>
      </x:c>
      <x:c r="T771" s="11" t="n">
        <x:f>IFERROR(R771/P771,"")</x:f>
        <x:v>0.7777777777777778</x:v>
      </x:c>
      <x:c r="U771" s="10" t="n">
        <x:f>I771+J771+K771</x:f>
        <x:v>40</x:v>
      </x:c>
      <x:c r="V771" s="11" t="n">
        <x:f>IFERROR(U771/P771,"")</x:f>
        <x:v>0.21164021164021163</x:v>
      </x:c>
      <x:c r="W771" s="9" t="str">
        <x:v>mature_le_5pct_pending</x:v>
      </x:c>
      <x:c r="X771" s="12" t="n">
        <x:f>IFERROR(F771/Z771*100000,"")</x:f>
        <x:v>32.83221012614481</x:v>
      </x:c>
      <x:c r="Y771" s="13" t="n">
        <x:f>LN(Z771)</x:f>
        <x:v>13.268539487561931</x:v>
      </x:c>
      <x:c r="Z771" s="6" t="str">
        <x:v>578700</x:v>
      </x:c>
      <x:c r="AA771" s="6" t="str">
        <x:v>10.0</x:v>
      </x:c>
      <x:c r="AB771" s="9" t="str">
        <x:v>2024-06-30</x:v>
      </x:c>
      <x:c r="AC771" s="8" t="str">
        <x:v>79.0</x:v>
      </x:c>
      <x:c r="AD771" s="9" t="str">
        <x:v>2024 (Susenas)</x:v>
      </x:c>
      <x:c r="AE771" s="8" t="str">
        <x:v>21.66</x:v>
      </x:c>
      <x:c r="AF771" s="9" t="str">
        <x:v>Maret 2024 (Susenas)</x:v>
      </x:c>
      <x:c r="AG771" s="6" t="str">
        <x:v>25.79192775405182</x:v>
      </x:c>
      <x:c r="AH771" s="8" t="str">
        <x:v>89.64003185477478</x:v>
      </x:c>
      <x:c r="AI771" s="6" t="str">
        <x:v>158.61081141856152</x:v>
      </x:c>
      <x:c r="AJ771" s="6" t="str">
        <x:v>1.0530795784534526</x:v>
      </x:c>
      <x:c r="AK771" s="8" t="str">
        <x:v>3.498822339135939</x:v>
      </x:c>
      <x:c r="AL771" s="6" t="str">
        <x:v>2.489917433957771</x:v>
      </x:c>
      <x:c r="AM771" s="6" t="str">
        <x:v>2.574495397964345</x:v>
      </x:c>
      <x:c r="AN771" s="6" t="str">
        <x:v>2.854411723686018</x:v>
      </x:c>
      <x:c r="AO771" s="6" t="str">
        <x:v>-0.4774437359234724</x:v>
      </x:c>
      <x:c r="AP771" s="8" t="str">
        <x:v>-0.4010773958745682</x:v>
      </x:c>
      <x:c r="AQ771" s="6" t="str">
        <x:v>0.2272013001848351</x:v>
      </x:c>
      <x:c r="AR771" s="6" t="str">
        <x:v>-0.0098626833487125</x:v>
      </x:c>
      <x:c r="AS771" s="6" t="str">
        <x:v>-0.0612462596794814</x:v>
      </x:c>
      <x:c r="AT771" s="6" t="str">
        <x:v>-60.082124453711145</x:v>
      </x:c>
      <x:c r="AU771" s="8" t="str">
        <x:v>-1.040327351000466</x:v>
      </x:c>
      <x:c r="AV771" s="6" t="str">
        <x:v>-1.032332238119586</x:v>
      </x:c>
      <x:c r="AW771" s="6" t="str">
        <x:v>0.8743795323008914</x:v>
      </x:c>
      <x:c r="AX771" s="6" t="str">
        <x:v>-0.3994266856063861</x:v>
      </x:c>
      <x:c r="AY771" s="6" t="str">
        <x:v>0</x:v>
      </x:c>
      <x:c r="AZ771" s="6" t="str">
        <x:v>1</x:v>
      </x:c>
      <x:c r="BA771" s="9" t="str">
        <x:v>grid_cells_within_BIG_polygon</x:v>
      </x:c>
      <x:c r="BB771" s="6" t="str">
        <x:v>16</x:v>
      </x:c>
      <x:c r="BC771" s="6" t="str">
        <x:v>1</x:v>
      </x:c>
      <x:c r="BD771" s="6" t="str">
        <x:v>1</x:v>
      </x:c>
      <x:c r="BE771" s="6" t="str">
        <x:v>0</x:v>
      </x:c>
      <x:c r="BF771" s="6" t="str">
        <x:v>0</x:v>
      </x:c>
      <x:c r="BG771" s="6" t="str">
        <x:v>0</x:v>
      </x:c>
      <x:c r="BH771" s="6" t="str">
        <x:v>0</x:v>
      </x:c>
      <x:c r="BI771" s="6" t="str">
        <x:v>0</x:v>
      </x:c>
      <x:c r="BJ771" s="6" t="str">
        <x:v>1</x:v>
      </x:c>
      <x:c r="BK771" s="6" t="str">
        <x:v>0</x:v>
      </x:c>
      <x:c r="BL771" s="6" t="str">
        <x:v>0</x:v>
      </x:c>
      <x:c r="BM771" s="6" t="str">
        <x:v>0</x:v>
      </x:c>
      <x:c r="BN771" s="6" t="str">
        <x:v>1</x:v>
      </x:c>
      <x:c r="BO771" s="6" t="str"/>
      <x:c r="BP771" s="6" t="str">
        <x:v>0</x:v>
      </x:c>
      <x:c r="BQ771" s="6" t="str"/>
      <x:c r="BR771" s="6" t="str">
        <x:v>0</x:v>
      </x:c>
      <x:c r="BS771" s="6" t="str">
        <x:v>0.0</x:v>
      </x:c>
      <x:c r="BT771" s="6" t="str">
        <x:v>1</x:v>
      </x:c>
      <x:c r="BU771" s="6" t="str"/>
      <x:c r="BV771" s="6" t="str">
        <x:v>0</x:v>
      </x:c>
      <x:c r="BW771" s="9" t="str">
        <x:v>operational_snapshot_annual_totals_may_differ</x:v>
      </x:c>
      <x:c r="BX771" s="9" t="str">
        <x:v>official_live_dashboard_snapshot_subject_to_revision</x:v>
      </x:c>
      <x:c r="BY771" s="9" t="str">
        <x:v>https://tbdashboard.sitb.id/ss_data_tbc03so_2024_provinsi_bulanan_list.php</x:v>
      </x:c>
      <x:c r="BZ771" s="6" t="n">
        <x:v>46246.610671296294</x:v>
      </x:c>
    </x:row>
    <x:row r="772" ht="18" customHeight="1">
      <x:c r="A772" s="6" t="str">
        <x:v>91</x:v>
      </x:c>
      <x:c r="B772" s="6" t="str">
        <x:v>PAPUA BARAT</x:v>
      </x:c>
      <x:c r="C772" s="6" t="str">
        <x:v>2024</x:v>
      </x:c>
      <x:c r="D772" s="6" t="str">
        <x:v>3</x:v>
      </x:c>
      <x:c r="E772" s="6" t="str">
        <x:v>2024-03</x:v>
      </x:c>
      <x:c r="F772" s="6" t="str">
        <x:v>212</x:v>
      </x:c>
      <x:c r="G772" s="6" t="str">
        <x:v>32</x:v>
      </x:c>
      <x:c r="H772" s="6" t="str">
        <x:v>129</x:v>
      </x:c>
      <x:c r="I772" s="6" t="str">
        <x:v>40</x:v>
      </x:c>
      <x:c r="J772" s="6" t="str">
        <x:v>9</x:v>
      </x:c>
      <x:c r="K772" s="6" t="str">
        <x:v>0</x:v>
      </x:c>
      <x:c r="L772" s="6" t="str">
        <x:v>2</x:v>
      </x:c>
      <x:c r="M772" s="6" t="str">
        <x:v>0</x:v>
      </x:c>
      <x:c r="N772" s="6" t="str">
        <x:v>212</x:v>
      </x:c>
      <x:c r="O772" s="6" t="str">
        <x:v>0</x:v>
      </x:c>
      <x:c r="P772" s="10" t="n">
        <x:f>F772-M772</x:f>
        <x:v>212</x:v>
      </x:c>
      <x:c r="Q772" s="11" t="n">
        <x:f>IFERROR(M772/F772,"")</x:f>
        <x:v>0</x:v>
      </x:c>
      <x:c r="R772" s="10" t="n">
        <x:f>G772+H772</x:f>
        <x:v>161</x:v>
      </x:c>
      <x:c r="S772" s="11" t="n">
        <x:f>IFERROR(R772/F772,"")</x:f>
        <x:v>0.7594339622641509</x:v>
      </x:c>
      <x:c r="T772" s="11" t="n">
        <x:f>IFERROR(R772/P772,"")</x:f>
        <x:v>0.7594339622641509</x:v>
      </x:c>
      <x:c r="U772" s="10" t="n">
        <x:f>I772+J772+K772</x:f>
        <x:v>49</x:v>
      </x:c>
      <x:c r="V772" s="11" t="n">
        <x:f>IFERROR(U772/P772,"")</x:f>
        <x:v>0.23113207547169812</x:v>
      </x:c>
      <x:c r="W772" s="9" t="str">
        <x:v>mature_le_5pct_pending</x:v>
      </x:c>
      <x:c r="X772" s="12" t="n">
        <x:f>IFERROR(F772/Z772*100000,"")</x:f>
        <x:v>36.63383445654052</x:v>
      </x:c>
      <x:c r="Y772" s="13" t="n">
        <x:f>LN(Z772)</x:f>
        <x:v>13.268539487561931</x:v>
      </x:c>
      <x:c r="Z772" s="6" t="str">
        <x:v>578700</x:v>
      </x:c>
      <x:c r="AA772" s="6" t="str">
        <x:v>10.0</x:v>
      </x:c>
      <x:c r="AB772" s="9" t="str">
        <x:v>2024-06-30</x:v>
      </x:c>
      <x:c r="AC772" s="8" t="str">
        <x:v>79.0</x:v>
      </x:c>
      <x:c r="AD772" s="9" t="str">
        <x:v>2024 (Susenas)</x:v>
      </x:c>
      <x:c r="AE772" s="8" t="str">
        <x:v>21.66</x:v>
      </x:c>
      <x:c r="AF772" s="9" t="str">
        <x:v>Maret 2024 (Susenas)</x:v>
      </x:c>
      <x:c r="AG772" s="6" t="str">
        <x:v>25.76571931135932</x:v>
      </x:c>
      <x:c r="AH772" s="8" t="str">
        <x:v>90.5770977932192</x:v>
      </x:c>
      <x:c r="AI772" s="6" t="str">
        <x:v>368.00891674912657</x:v>
      </x:c>
      <x:c r="AJ772" s="6" t="str">
        <x:v>1.013597012063812</x:v>
      </x:c>
      <x:c r="AK772" s="8" t="str">
        <x:v>3.5734332431415026</x:v>
      </x:c>
      <x:c r="AL772" s="6" t="str">
        <x:v>3.498822339135939</x:v>
      </x:c>
      <x:c r="AM772" s="6" t="str">
        <x:v>2.489917433957771</x:v>
      </x:c>
      <x:c r="AN772" s="6" t="str">
        <x:v>3.187391005411737</x:v>
      </x:c>
      <x:c r="AO772" s="6" t="str">
        <x:v>0.2823414470579308</x:v>
      </x:c>
      <x:c r="AP772" s="8" t="str">
        <x:v>0.3880090946016042</x:v>
      </x:c>
      <x:c r="AQ772" s="6" t="str">
        <x:v>-0.4010773958745682</x:v>
      </x:c>
      <x:c r="AR772" s="6" t="str">
        <x:v>0.2272013001848351</x:v>
      </x:c>
      <x:c r="AS772" s="6" t="str">
        <x:v>0.0713776663039574</x:v>
      </x:c>
      <x:c r="AT772" s="6" t="str">
        <x:v>100.63894543617624</x:v>
      </x:c>
      <x:c r="AU772" s="8" t="str">
        <x:v>1.1850538404653563</x:v>
      </x:c>
      <x:c r="AV772" s="6" t="str">
        <x:v>-1.040327351000466</x:v>
      </x:c>
      <x:c r="AW772" s="6" t="str">
        <x:v>-1.032332238119586</x:v>
      </x:c>
      <x:c r="AX772" s="6" t="str">
        <x:v>-0.2958685828848977</x:v>
      </x:c>
      <x:c r="AY772" s="6" t="str">
        <x:v>1</x:v>
      </x:c>
      <x:c r="AZ772" s="6" t="str">
        <x:v>1</x:v>
      </x:c>
      <x:c r="BA772" s="9" t="str">
        <x:v>grid_cells_within_BIG_polygon</x:v>
      </x:c>
      <x:c r="BB772" s="6" t="str">
        <x:v>16</x:v>
      </x:c>
      <x:c r="BC772" s="6" t="str">
        <x:v>2</x:v>
      </x:c>
      <x:c r="BD772" s="6" t="str">
        <x:v>2</x:v>
      </x:c>
      <x:c r="BE772" s="6" t="str">
        <x:v>2</x:v>
      </x:c>
      <x:c r="BF772" s="6" t="str">
        <x:v>0</x:v>
      </x:c>
      <x:c r="BG772" s="6" t="str">
        <x:v>0</x:v>
      </x:c>
      <x:c r="BH772" s="6" t="str">
        <x:v>0</x:v>
      </x:c>
      <x:c r="BI772" s="6" t="str">
        <x:v>0</x:v>
      </x:c>
      <x:c r="BJ772" s="6" t="str">
        <x:v>0</x:v>
      </x:c>
      <x:c r="BK772" s="6" t="str">
        <x:v>0</x:v>
      </x:c>
      <x:c r="BL772" s="6" t="str">
        <x:v>0</x:v>
      </x:c>
      <x:c r="BM772" s="6" t="str">
        <x:v>0</x:v>
      </x:c>
      <x:c r="BN772" s="6" t="str">
        <x:v>2</x:v>
      </x:c>
      <x:c r="BO772" s="6" t="str">
        <x:v>0.0</x:v>
      </x:c>
      <x:c r="BP772" s="6" t="str">
        <x:v>1</x:v>
      </x:c>
      <x:c r="BQ772" s="6" t="str">
        <x:v>0.0</x:v>
      </x:c>
      <x:c r="BR772" s="6" t="str">
        <x:v>1</x:v>
      </x:c>
      <x:c r="BS772" s="6" t="str">
        <x:v>0.0</x:v>
      </x:c>
      <x:c r="BT772" s="6" t="str">
        <x:v>2</x:v>
      </x:c>
      <x:c r="BU772" s="6" t="str">
        <x:v>76.0</x:v>
      </x:c>
      <x:c r="BV772" s="6" t="str">
        <x:v>1</x:v>
      </x:c>
      <x:c r="BW772" s="9" t="str">
        <x:v>operational_snapshot_annual_totals_may_differ</x:v>
      </x:c>
      <x:c r="BX772" s="9" t="str">
        <x:v>official_live_dashboard_snapshot_subject_to_revision</x:v>
      </x:c>
      <x:c r="BY772" s="9" t="str">
        <x:v>https://tbdashboard.sitb.id/ss_data_tbc03so_2024_provinsi_bulanan_list.php</x:v>
      </x:c>
      <x:c r="BZ772" s="6" t="n">
        <x:v>46246.610671296294</x:v>
      </x:c>
    </x:row>
    <x:row r="773" ht="18" customHeight="1">
      <x:c r="A773" s="6" t="str">
        <x:v>91</x:v>
      </x:c>
      <x:c r="B773" s="6" t="str">
        <x:v>PAPUA BARAT</x:v>
      </x:c>
      <x:c r="C773" s="6" t="str">
        <x:v>2024</x:v>
      </x:c>
      <x:c r="D773" s="6" t="str">
        <x:v>4</x:v>
      </x:c>
      <x:c r="E773" s="6" t="str">
        <x:v>2024-04</x:v>
      </x:c>
      <x:c r="F773" s="6" t="str">
        <x:v>190</x:v>
      </x:c>
      <x:c r="G773" s="6" t="str">
        <x:v>32</x:v>
      </x:c>
      <x:c r="H773" s="6" t="str">
        <x:v>119</x:v>
      </x:c>
      <x:c r="I773" s="6" t="str">
        <x:v>26</x:v>
      </x:c>
      <x:c r="J773" s="6" t="str">
        <x:v>10</x:v>
      </x:c>
      <x:c r="K773" s="6" t="str">
        <x:v>2</x:v>
      </x:c>
      <x:c r="L773" s="6" t="str">
        <x:v>1</x:v>
      </x:c>
      <x:c r="M773" s="6" t="str">
        <x:v>0</x:v>
      </x:c>
      <x:c r="N773" s="6" t="str">
        <x:v>190</x:v>
      </x:c>
      <x:c r="O773" s="6" t="str">
        <x:v>0</x:v>
      </x:c>
      <x:c r="P773" s="10" t="n">
        <x:f>F773-M773</x:f>
        <x:v>190</x:v>
      </x:c>
      <x:c r="Q773" s="11" t="n">
        <x:f>IFERROR(M773/F773,"")</x:f>
        <x:v>0</x:v>
      </x:c>
      <x:c r="R773" s="10" t="n">
        <x:f>G773+H773</x:f>
        <x:v>151</x:v>
      </x:c>
      <x:c r="S773" s="11" t="n">
        <x:f>IFERROR(R773/F773,"")</x:f>
        <x:v>0.7947368421052632</x:v>
      </x:c>
      <x:c r="T773" s="11" t="n">
        <x:f>IFERROR(R773/P773,"")</x:f>
        <x:v>0.7947368421052632</x:v>
      </x:c>
      <x:c r="U773" s="10" t="n">
        <x:f>I773+J773+K773</x:f>
        <x:v>38</x:v>
      </x:c>
      <x:c r="V773" s="11" t="n">
        <x:f>IFERROR(U773/P773,"")</x:f>
        <x:v>0.2</x:v>
      </x:c>
      <x:c r="W773" s="9" t="str">
        <x:v>mature_le_5pct_pending</x:v>
      </x:c>
      <x:c r="X773" s="12" t="n">
        <x:f>IFERROR(F773/Z773*100000,"")</x:f>
        <x:v>32.83221012614481</x:v>
      </x:c>
      <x:c r="Y773" s="13" t="n">
        <x:f>LN(Z773)</x:f>
        <x:v>13.268539487561931</x:v>
      </x:c>
      <x:c r="Z773" s="6" t="str">
        <x:v>578700</x:v>
      </x:c>
      <x:c r="AA773" s="6" t="str">
        <x:v>10.0</x:v>
      </x:c>
      <x:c r="AB773" s="9" t="str">
        <x:v>2024-06-30</x:v>
      </x:c>
      <x:c r="AC773" s="8" t="str">
        <x:v>79.0</x:v>
      </x:c>
      <x:c r="AD773" s="9" t="str">
        <x:v>2024 (Susenas)</x:v>
      </x:c>
      <x:c r="AE773" s="8" t="str">
        <x:v>21.66</x:v>
      </x:c>
      <x:c r="AF773" s="9" t="str">
        <x:v>Maret 2024 (Susenas)</x:v>
      </x:c>
      <x:c r="AG773" s="6" t="str">
        <x:v>25.682022385215703</x:v>
      </x:c>
      <x:c r="AH773" s="8" t="str">
        <x:v>91.1156737506504</x:v>
      </x:c>
      <x:c r="AI773" s="6" t="str">
        <x:v>320.50154345815787</x:v>
      </x:c>
      <x:c r="AJ773" s="6" t="str">
        <x:v>0.8445668965798241</x:v>
      </x:c>
      <x:c r="AK773" s="8" t="str">
        <x:v>3.154858836918081</x:v>
      </x:c>
      <x:c r="AL773" s="6" t="str">
        <x:v>3.5734332431415026</x:v>
      </x:c>
      <x:c r="AM773" s="6" t="str">
        <x:v>3.498822339135939</x:v>
      </x:c>
      <x:c r="AN773" s="6" t="str">
        <x:v>3.409038139731841</x:v>
      </x:c>
      <x:c r="AO773" s="6" t="str">
        <x:v>0.155235627184993</x:v>
      </x:c>
      <x:c r="AP773" s="8" t="str">
        <x:v>0.2113495246921965</x:v>
      </x:c>
      <x:c r="AQ773" s="6" t="str">
        <x:v>0.3880090946016042</x:v>
      </x:c>
      <x:c r="AR773" s="6" t="str">
        <x:v>-0.4010773958745682</x:v>
      </x:c>
      <x:c r="AS773" s="6" t="str">
        <x:v>0.0660937411397445</x:v>
      </x:c>
      <x:c r="AT773" s="6" t="str">
        <x:v>52.87931859169879</x:v>
      </x:c>
      <x:c r="AU773" s="8" t="str">
        <x:v>0.6514718420030404</x:v>
      </x:c>
      <x:c r="AV773" s="6" t="str">
        <x:v>1.1850538404653563</x:v>
      </x:c>
      <x:c r="AW773" s="6" t="str">
        <x:v>-1.040327351000466</x:v>
      </x:c>
      <x:c r="AX773" s="6" t="str">
        <x:v>0.2653994438226443</x:v>
      </x:c>
      <x:c r="AY773" s="6" t="str">
        <x:v>0</x:v>
      </x:c>
      <x:c r="AZ773" s="6" t="str">
        <x:v>1</x:v>
      </x:c>
      <x:c r="BA773" s="9" t="str">
        <x:v>grid_cells_within_BIG_polygon</x:v>
      </x:c>
      <x:c r="BB773" s="6" t="str">
        <x:v>16</x:v>
      </x:c>
      <x:c r="BC773" s="6" t="str">
        <x:v>4</x:v>
      </x:c>
      <x:c r="BD773" s="6" t="str">
        <x:v>4</x:v>
      </x:c>
      <x:c r="BE773" s="6" t="str">
        <x:v>4</x:v>
      </x:c>
      <x:c r="BF773" s="6" t="str">
        <x:v>0</x:v>
      </x:c>
      <x:c r="BG773" s="6" t="str">
        <x:v>0</x:v>
      </x:c>
      <x:c r="BH773" s="6" t="str">
        <x:v>0</x:v>
      </x:c>
      <x:c r="BI773" s="6" t="str">
        <x:v>0</x:v>
      </x:c>
      <x:c r="BJ773" s="6" t="str">
        <x:v>0</x:v>
      </x:c>
      <x:c r="BK773" s="6" t="str">
        <x:v>0</x:v>
      </x:c>
      <x:c r="BL773" s="6" t="str">
        <x:v>0</x:v>
      </x:c>
      <x:c r="BM773" s="6" t="str">
        <x:v>0</x:v>
      </x:c>
      <x:c r="BN773" s="6" t="str">
        <x:v>4</x:v>
      </x:c>
      <x:c r="BO773" s="6" t="str">
        <x:v>0.0</x:v>
      </x:c>
      <x:c r="BP773" s="6" t="str">
        <x:v>3</x:v>
      </x:c>
      <x:c r="BQ773" s="6" t="str">
        <x:v>0.0</x:v>
      </x:c>
      <x:c r="BR773" s="6" t="str">
        <x:v>3</x:v>
      </x:c>
      <x:c r="BS773" s="6" t="str">
        <x:v>0.0</x:v>
      </x:c>
      <x:c r="BT773" s="6" t="str">
        <x:v>4</x:v>
      </x:c>
      <x:c r="BU773" s="6" t="str">
        <x:v>383.0</x:v>
      </x:c>
      <x:c r="BV773" s="6" t="str">
        <x:v>3</x:v>
      </x:c>
      <x:c r="BW773" s="9" t="str">
        <x:v>operational_snapshot_annual_totals_may_differ</x:v>
      </x:c>
      <x:c r="BX773" s="9" t="str">
        <x:v>official_live_dashboard_snapshot_subject_to_revision</x:v>
      </x:c>
      <x:c r="BY773" s="9" t="str">
        <x:v>https://tbdashboard.sitb.id/ss_data_tbc03so_2024_provinsi_bulanan_list.php</x:v>
      </x:c>
      <x:c r="BZ773" s="6" t="n">
        <x:v>46246.610671296294</x:v>
      </x:c>
    </x:row>
    <x:row r="774" ht="18" customHeight="1">
      <x:c r="A774" s="6" t="str">
        <x:v>91</x:v>
      </x:c>
      <x:c r="B774" s="6" t="str">
        <x:v>PAPUA BARAT</x:v>
      </x:c>
      <x:c r="C774" s="6" t="str">
        <x:v>2024</x:v>
      </x:c>
      <x:c r="D774" s="6" t="str">
        <x:v>5</x:v>
      </x:c>
      <x:c r="E774" s="6" t="str">
        <x:v>2024-05</x:v>
      </x:c>
      <x:c r="F774" s="6" t="str">
        <x:v>219</x:v>
      </x:c>
      <x:c r="G774" s="6" t="str">
        <x:v>32</x:v>
      </x:c>
      <x:c r="H774" s="6" t="str">
        <x:v>133</x:v>
      </x:c>
      <x:c r="I774" s="6" t="str">
        <x:v>34</x:v>
      </x:c>
      <x:c r="J774" s="6" t="str">
        <x:v>17</x:v>
      </x:c>
      <x:c r="K774" s="6" t="str">
        <x:v>0</x:v>
      </x:c>
      <x:c r="L774" s="6" t="str">
        <x:v>3</x:v>
      </x:c>
      <x:c r="M774" s="6" t="str">
        <x:v>0</x:v>
      </x:c>
      <x:c r="N774" s="6" t="str">
        <x:v>219</x:v>
      </x:c>
      <x:c r="O774" s="6" t="str">
        <x:v>0</x:v>
      </x:c>
      <x:c r="P774" s="10" t="n">
        <x:f>F774-M774</x:f>
        <x:v>219</x:v>
      </x:c>
      <x:c r="Q774" s="11" t="n">
        <x:f>IFERROR(M774/F774,"")</x:f>
        <x:v>0</x:v>
      </x:c>
      <x:c r="R774" s="10" t="n">
        <x:f>G774+H774</x:f>
        <x:v>165</x:v>
      </x:c>
      <x:c r="S774" s="11" t="n">
        <x:f>IFERROR(R774/F774,"")</x:f>
        <x:v>0.7534246575342466</x:v>
      </x:c>
      <x:c r="T774" s="11" t="n">
        <x:f>IFERROR(R774/P774,"")</x:f>
        <x:v>0.7534246575342466</x:v>
      </x:c>
      <x:c r="U774" s="10" t="n">
        <x:f>I774+J774+K774</x:f>
        <x:v>51</x:v>
      </x:c>
      <x:c r="V774" s="11" t="n">
        <x:f>IFERROR(U774/P774,"")</x:f>
        <x:v>0.2328767123287671</x:v>
      </x:c>
      <x:c r="W774" s="9" t="str">
        <x:v>mature_le_5pct_pending</x:v>
      </x:c>
      <x:c r="X774" s="12" t="n">
        <x:f>IFERROR(F774/Z774*100000,"")</x:f>
        <x:v>37.84344219803007</x:v>
      </x:c>
      <x:c r="Y774" s="13" t="n">
        <x:f>LN(Z774)</x:f>
        <x:v>13.268539487561931</x:v>
      </x:c>
      <x:c r="Z774" s="6" t="str">
        <x:v>578700</x:v>
      </x:c>
      <x:c r="AA774" s="6" t="str">
        <x:v>10.0</x:v>
      </x:c>
      <x:c r="AB774" s="9" t="str">
        <x:v>2024-06-30</x:v>
      </x:c>
      <x:c r="AC774" s="8" t="str">
        <x:v>79.0</x:v>
      </x:c>
      <x:c r="AD774" s="9" t="str">
        <x:v>2024 (Susenas)</x:v>
      </x:c>
      <x:c r="AE774" s="8" t="str">
        <x:v>21.66</x:v>
      </x:c>
      <x:c r="AF774" s="9" t="str">
        <x:v>Maret 2024 (Susenas)</x:v>
      </x:c>
      <x:c r="AG774" s="6" t="str">
        <x:v>25.64457060890688</x:v>
      </x:c>
      <x:c r="AH774" s="8" t="str">
        <x:v>92.39337055976942</x:v>
      </x:c>
      <x:c r="AI774" s="6" t="str">
        <x:v>374.3898487465924</x:v>
      </x:c>
      <x:c r="AJ774" s="6" t="str">
        <x:v>0.8093350574743887</x:v>
      </x:c>
      <x:c r="AK774" s="8" t="str">
        <x:v>2.120473238690216</x:v>
      </x:c>
      <x:c r="AL774" s="6" t="str">
        <x:v>3.154858836918081</x:v>
      </x:c>
      <x:c r="AM774" s="6" t="str">
        <x:v>3.5734332431415026</x:v>
      </x:c>
      <x:c r="AN774" s="6" t="str">
        <x:v>2.949588439583266</x:v>
      </x:c>
      <x:c r="AO774" s="6" t="str">
        <x:v>1.4600034686562964</x:v>
      </x:c>
      <x:c r="AP774" s="8" t="str">
        <x:v>1.42234452341648</x:v>
      </x:c>
      <x:c r="AQ774" s="6" t="str">
        <x:v>0.2113495246921965</x:v>
      </x:c>
      <x:c r="AR774" s="6" t="str">
        <x:v>0.3880090946016042</x:v>
      </x:c>
      <x:c r="AS774" s="6" t="str">
        <x:v>0.673901047570094</x:v>
      </x:c>
      <x:c r="AT774" s="6" t="str">
        <x:v>124.43756665443664</x:v>
      </x:c>
      <x:c r="AU774" s="8" t="str">
        <x:v>1.2337943813263024</x:v>
      </x:c>
      <x:c r="AV774" s="6" t="str">
        <x:v>0.6514718420030404</x:v>
      </x:c>
      <x:c r="AW774" s="6" t="str">
        <x:v>1.1850538404653563</x:v>
      </x:c>
      <x:c r="AX774" s="6" t="str">
        <x:v>1.0234400212649006</x:v>
      </x:c>
      <x:c r="AY774" s="6" t="str">
        <x:v>1</x:v>
      </x:c>
      <x:c r="AZ774" s="6" t="str">
        <x:v>1</x:v>
      </x:c>
      <x:c r="BA774" s="9" t="str">
        <x:v>grid_cells_within_BIG_polygon</x:v>
      </x:c>
      <x:c r="BB774" s="6" t="str">
        <x:v>16</x:v>
      </x:c>
      <x:c r="BC774" s="6" t="str">
        <x:v>6</x:v>
      </x:c>
      <x:c r="BD774" s="6" t="str">
        <x:v>6</x:v>
      </x:c>
      <x:c r="BE774" s="6" t="str">
        <x:v>5</x:v>
      </x:c>
      <x:c r="BF774" s="6" t="str">
        <x:v>1</x:v>
      </x:c>
      <x:c r="BG774" s="6" t="str">
        <x:v>0</x:v>
      </x:c>
      <x:c r="BH774" s="6" t="str">
        <x:v>0</x:v>
      </x:c>
      <x:c r="BI774" s="6" t="str">
        <x:v>0</x:v>
      </x:c>
      <x:c r="BJ774" s="6" t="str">
        <x:v>0</x:v>
      </x:c>
      <x:c r="BK774" s="6" t="str">
        <x:v>0</x:v>
      </x:c>
      <x:c r="BL774" s="6" t="str">
        <x:v>0</x:v>
      </x:c>
      <x:c r="BM774" s="6" t="str">
        <x:v>0</x:v>
      </x:c>
      <x:c r="BN774" s="6" t="str">
        <x:v>6</x:v>
      </x:c>
      <x:c r="BO774" s="6" t="str">
        <x:v>4.0</x:v>
      </x:c>
      <x:c r="BP774" s="6" t="str">
        <x:v>5</x:v>
      </x:c>
      <x:c r="BQ774" s="6" t="str">
        <x:v>1.0</x:v>
      </x:c>
      <x:c r="BR774" s="6" t="str">
        <x:v>5</x:v>
      </x:c>
      <x:c r="BS774" s="6" t="str">
        <x:v>67.0</x:v>
      </x:c>
      <x:c r="BT774" s="6" t="str">
        <x:v>6</x:v>
      </x:c>
      <x:c r="BU774" s="6" t="str">
        <x:v>292.0</x:v>
      </x:c>
      <x:c r="BV774" s="6" t="str">
        <x:v>5</x:v>
      </x:c>
      <x:c r="BW774" s="9" t="str">
        <x:v>operational_snapshot_annual_totals_may_differ</x:v>
      </x:c>
      <x:c r="BX774" s="9" t="str">
        <x:v>official_live_dashboard_snapshot_subject_to_revision</x:v>
      </x:c>
      <x:c r="BY774" s="9" t="str">
        <x:v>https://tbdashboard.sitb.id/ss_data_tbc03so_2024_provinsi_bulanan_list.php</x:v>
      </x:c>
      <x:c r="BZ774" s="6" t="n">
        <x:v>46246.610671296294</x:v>
      </x:c>
    </x:row>
    <x:row r="775" ht="18" customHeight="1">
      <x:c r="A775" s="6" t="str">
        <x:v>91</x:v>
      </x:c>
      <x:c r="B775" s="6" t="str">
        <x:v>PAPUA BARAT</x:v>
      </x:c>
      <x:c r="C775" s="6" t="str">
        <x:v>2024</x:v>
      </x:c>
      <x:c r="D775" s="6" t="str">
        <x:v>6</x:v>
      </x:c>
      <x:c r="E775" s="6" t="str">
        <x:v>2024-06</x:v>
      </x:c>
      <x:c r="F775" s="6" t="str">
        <x:v>216</x:v>
      </x:c>
      <x:c r="G775" s="6" t="str">
        <x:v>41</x:v>
      </x:c>
      <x:c r="H775" s="6" t="str">
        <x:v>130</x:v>
      </x:c>
      <x:c r="I775" s="6" t="str">
        <x:v>35</x:v>
      </x:c>
      <x:c r="J775" s="6" t="str">
        <x:v>9</x:v>
      </x:c>
      <x:c r="K775" s="6" t="str">
        <x:v>0</x:v>
      </x:c>
      <x:c r="L775" s="6" t="str">
        <x:v>0</x:v>
      </x:c>
      <x:c r="M775" s="6" t="str">
        <x:v>1</x:v>
      </x:c>
      <x:c r="N775" s="6" t="str">
        <x:v>216</x:v>
      </x:c>
      <x:c r="O775" s="6" t="str">
        <x:v>0</x:v>
      </x:c>
      <x:c r="P775" s="10" t="n">
        <x:f>F775-M775</x:f>
        <x:v>215</x:v>
      </x:c>
      <x:c r="Q775" s="11" t="n">
        <x:f>IFERROR(M775/F775,"")</x:f>
        <x:v>0.004629629629629629</x:v>
      </x:c>
      <x:c r="R775" s="10" t="n">
        <x:f>G775+H775</x:f>
        <x:v>171</x:v>
      </x:c>
      <x:c r="S775" s="11" t="n">
        <x:f>IFERROR(R775/F775,"")</x:f>
        <x:v>0.7916666666666666</x:v>
      </x:c>
      <x:c r="T775" s="11" t="n">
        <x:f>IFERROR(R775/P775,"")</x:f>
        <x:v>0.7953488372093023</x:v>
      </x:c>
      <x:c r="U775" s="10" t="n">
        <x:f>I775+J775+K775</x:f>
        <x:v>44</x:v>
      </x:c>
      <x:c r="V775" s="11" t="n">
        <x:f>IFERROR(U775/P775,"")</x:f>
        <x:v>0.20465116279069767</x:v>
      </x:c>
      <x:c r="W775" s="9" t="str">
        <x:v>mature_le_5pct_pending</x:v>
      </x:c>
      <x:c r="X775" s="12" t="n">
        <x:f>IFERROR(F775/Z775*100000,"")</x:f>
        <x:v>37.32503888024883</x:v>
      </x:c>
      <x:c r="Y775" s="13" t="n">
        <x:f>LN(Z775)</x:f>
        <x:v>13.268539487561931</x:v>
      </x:c>
      <x:c r="Z775" s="6" t="str">
        <x:v>578700</x:v>
      </x:c>
      <x:c r="AA775" s="6" t="str">
        <x:v>10.0</x:v>
      </x:c>
      <x:c r="AB775" s="9" t="str">
        <x:v>2024-06-30</x:v>
      </x:c>
      <x:c r="AC775" s="8" t="str">
        <x:v>79.0</x:v>
      </x:c>
      <x:c r="AD775" s="9" t="str">
        <x:v>2024 (Susenas)</x:v>
      </x:c>
      <x:c r="AE775" s="8" t="str">
        <x:v>21.66</x:v>
      </x:c>
      <x:c r="AF775" s="9" t="str">
        <x:v>Maret 2024 (Susenas)</x:v>
      </x:c>
      <x:c r="AG775" s="6" t="str">
        <x:v>24.884103019961223</x:v>
      </x:c>
      <x:c r="AH775" s="8" t="str">
        <x:v>92.46483614783436</x:v>
      </x:c>
      <x:c r="AI775" s="6" t="str">
        <x:v>264.0843679828754</x:v>
      </x:c>
      <x:c r="AJ775" s="6" t="str">
        <x:v>0.7130932689540863</x:v>
      </x:c>
      <x:c r="AK775" s="8" t="str">
        <x:v>2.009234643268232</x:v>
      </x:c>
      <x:c r="AL775" s="6" t="str">
        <x:v>2.120473238690216</x:v>
      </x:c>
      <x:c r="AM775" s="6" t="str">
        <x:v>3.154858836918081</x:v>
      </x:c>
      <x:c r="AN775" s="6" t="str">
        <x:v>2.428188906292176</x:v>
      </x:c>
      <x:c r="AO775" s="6" t="str">
        <x:v>0.7727785440445558</x:v>
      </x:c>
      <x:c r="AP775" s="8" t="str">
        <x:v>0.6086867244736993</x:v>
      </x:c>
      <x:c r="AQ775" s="6" t="str">
        <x:v>1.42234452341648</x:v>
      </x:c>
      <x:c r="AR775" s="6" t="str">
        <x:v>0.2113495246921965</x:v>
      </x:c>
      <x:c r="AS775" s="6" t="str">
        <x:v>0.747460257527459</x:v>
      </x:c>
      <x:c r="AT775" s="6" t="str">
        <x:v>14.451132609220965</x:v>
      </x:c>
      <x:c r="AU775" s="8" t="str">
        <x:v>0.1402666255795273</x:v>
      </x:c>
      <x:c r="AV775" s="6" t="str">
        <x:v>1.2337943813263024</x:v>
      </x:c>
      <x:c r="AW775" s="6" t="str">
        <x:v>0.6514718420030404</x:v>
      </x:c>
      <x:c r="AX775" s="6" t="str">
        <x:v>0.6751776163029576</x:v>
      </x:c>
      <x:c r="AY775" s="6" t="str">
        <x:v>0</x:v>
      </x:c>
      <x:c r="AZ775" s="6" t="str">
        <x:v>1</x:v>
      </x:c>
      <x:c r="BA775" s="9" t="str">
        <x:v>grid_cells_within_BIG_polygon</x:v>
      </x:c>
      <x:c r="BB775" s="6" t="str">
        <x:v>16</x:v>
      </x:c>
      <x:c r="BC775" s="6" t="str">
        <x:v>0</x:v>
      </x:c>
      <x:c r="BD775" s="6" t="str">
        <x:v>0</x:v>
      </x:c>
      <x:c r="BE775" s="6" t="str">
        <x:v>0</x:v>
      </x:c>
      <x:c r="BF775" s="6" t="str">
        <x:v>0</x:v>
      </x:c>
      <x:c r="BG775" s="6" t="str">
        <x:v>0</x:v>
      </x:c>
      <x:c r="BH775" s="6" t="str">
        <x:v>0</x:v>
      </x:c>
      <x:c r="BI775" s="6" t="str">
        <x:v>0</x:v>
      </x:c>
      <x:c r="BJ775" s="6" t="str">
        <x:v>0</x:v>
      </x:c>
      <x:c r="BK775" s="6" t="str">
        <x:v>0</x:v>
      </x:c>
      <x:c r="BL775" s="6" t="str">
        <x:v>0</x:v>
      </x:c>
      <x:c r="BM775" s="6" t="str">
        <x:v>0</x:v>
      </x:c>
      <x:c r="BN775" s="6" t="str">
        <x:v>0</x:v>
      </x:c>
      <x:c r="BO775" s="6" t="str"/>
      <x:c r="BP775" s="6" t="str">
        <x:v>0</x:v>
      </x:c>
      <x:c r="BQ775" s="6" t="str"/>
      <x:c r="BR775" s="6" t="str">
        <x:v>0</x:v>
      </x:c>
      <x:c r="BS775" s="6" t="str"/>
      <x:c r="BT775" s="6" t="str">
        <x:v>0</x:v>
      </x:c>
      <x:c r="BU775" s="6" t="str"/>
      <x:c r="BV775" s="6" t="str">
        <x:v>0</x:v>
      </x:c>
      <x:c r="BW775" s="9" t="str">
        <x:v>operational_snapshot_annual_totals_may_differ</x:v>
      </x:c>
      <x:c r="BX775" s="9" t="str">
        <x:v>official_live_dashboard_snapshot_subject_to_revision</x:v>
      </x:c>
      <x:c r="BY775" s="9" t="str">
        <x:v>https://tbdashboard.sitb.id/ss_data_tbc03so_2024_provinsi_bulanan_list.php</x:v>
      </x:c>
      <x:c r="BZ775" s="6" t="n">
        <x:v>46246.610671296294</x:v>
      </x:c>
    </x:row>
    <x:row r="776" ht="18" customHeight="1">
      <x:c r="A776" s="6" t="str">
        <x:v>91</x:v>
      </x:c>
      <x:c r="B776" s="6" t="str">
        <x:v>PAPUA BARAT</x:v>
      </x:c>
      <x:c r="C776" s="6" t="str">
        <x:v>2024</x:v>
      </x:c>
      <x:c r="D776" s="6" t="str">
        <x:v>7</x:v>
      </x:c>
      <x:c r="E776" s="6" t="str">
        <x:v>2024-07</x:v>
      </x:c>
      <x:c r="F776" s="6" t="str">
        <x:v>265</x:v>
      </x:c>
      <x:c r="G776" s="6" t="str">
        <x:v>50</x:v>
      </x:c>
      <x:c r="H776" s="6" t="str">
        <x:v>127</x:v>
      </x:c>
      <x:c r="I776" s="6" t="str">
        <x:v>69</x:v>
      </x:c>
      <x:c r="J776" s="6" t="str">
        <x:v>13</x:v>
      </x:c>
      <x:c r="K776" s="6" t="str">
        <x:v>0</x:v>
      </x:c>
      <x:c r="L776" s="6" t="str">
        <x:v>3</x:v>
      </x:c>
      <x:c r="M776" s="6" t="str">
        <x:v>3</x:v>
      </x:c>
      <x:c r="N776" s="6" t="str">
        <x:v>265</x:v>
      </x:c>
      <x:c r="O776" s="6" t="str">
        <x:v>0</x:v>
      </x:c>
      <x:c r="P776" s="10" t="n">
        <x:f>F776-M776</x:f>
        <x:v>262</x:v>
      </x:c>
      <x:c r="Q776" s="11" t="n">
        <x:f>IFERROR(M776/F776,"")</x:f>
        <x:v>0.011320754716981131</x:v>
      </x:c>
      <x:c r="R776" s="10" t="n">
        <x:f>G776+H776</x:f>
        <x:v>177</x:v>
      </x:c>
      <x:c r="S776" s="11" t="n">
        <x:f>IFERROR(R776/F776,"")</x:f>
        <x:v>0.6679245283018868</x:v>
      </x:c>
      <x:c r="T776" s="11" t="n">
        <x:f>IFERROR(R776/P776,"")</x:f>
        <x:v>0.6755725190839694</x:v>
      </x:c>
      <x:c r="U776" s="10" t="n">
        <x:f>I776+J776+K776</x:f>
        <x:v>82</x:v>
      </x:c>
      <x:c r="V776" s="11" t="n">
        <x:f>IFERROR(U776/P776,"")</x:f>
        <x:v>0.31297709923664124</x:v>
      </x:c>
      <x:c r="W776" s="9" t="str">
        <x:v>mature_le_5pct_pending</x:v>
      </x:c>
      <x:c r="X776" s="12" t="n">
        <x:f>IFERROR(F776/Z776*100000,"")</x:f>
        <x:v>45.792293070675655</x:v>
      </x:c>
      <x:c r="Y776" s="13" t="n">
        <x:f>LN(Z776)</x:f>
        <x:v>13.268539487561931</x:v>
      </x:c>
      <x:c r="Z776" s="6" t="str">
        <x:v>578700</x:v>
      </x:c>
      <x:c r="AA776" s="6" t="str">
        <x:v>10.0</x:v>
      </x:c>
      <x:c r="AB776" s="9" t="str">
        <x:v>2024-06-30</x:v>
      </x:c>
      <x:c r="AC776" s="8" t="str">
        <x:v>79.0</x:v>
      </x:c>
      <x:c r="AD776" s="9" t="str">
        <x:v>2024 (Susenas)</x:v>
      </x:c>
      <x:c r="AE776" s="8" t="str">
        <x:v>21.66</x:v>
      </x:c>
      <x:c r="AF776" s="9" t="str">
        <x:v>Maret 2024 (Susenas)</x:v>
      </x:c>
      <x:c r="AG776" s="6" t="str">
        <x:v>24.135428799887208</x:v>
      </x:c>
      <x:c r="AH776" s="8" t="str">
        <x:v>91.76881386149144</x:v>
      </x:c>
      <x:c r="AI776" s="6" t="str">
        <x:v>209.08798079417133</x:v>
      </x:c>
      <x:c r="AJ776" s="6" t="str">
        <x:v>0.5486033284205369</x:v>
      </x:c>
      <x:c r="AK776" s="8" t="str">
        <x:v>1.449064887492573</x:v>
      </x:c>
      <x:c r="AL776" s="6" t="str">
        <x:v>2.009234643268232</x:v>
      </x:c>
      <x:c r="AM776" s="6" t="str">
        <x:v>2.120473238690216</x:v>
      </x:c>
      <x:c r="AN776" s="6" t="str">
        <x:v>1.85959092315034</x:v>
      </x:c>
      <x:c r="AO776" s="6" t="str">
        <x:v>0.5381136307332639</x:v>
      </x:c>
      <x:c r="AP776" s="8" t="str">
        <x:v>0.5169613332583824</x:v>
      </x:c>
      <x:c r="AQ776" s="6" t="str">
        <x:v>0.6086867244736993</x:v>
      </x:c>
      <x:c r="AR776" s="6" t="str">
        <x:v>1.42234452341648</x:v>
      </x:c>
      <x:c r="AS776" s="6" t="str">
        <x:v>0.8493308603828543</x:v>
      </x:c>
      <x:c r="AT776" s="6" t="str">
        <x:v>2.4924474340056406</x:v>
      </x:c>
      <x:c r="AU776" s="8" t="str">
        <x:v>0.0255177203305366</x:v>
      </x:c>
      <x:c r="AV776" s="6" t="str">
        <x:v>0.1402666255795273</x:v>
      </x:c>
      <x:c r="AW776" s="6" t="str">
        <x:v>1.2337943813263024</x:v>
      </x:c>
      <x:c r="AX776" s="6" t="str">
        <x:v>0.4665262424121228</x:v>
      </x:c>
      <x:c r="AY776" s="6" t="str">
        <x:v>0</x:v>
      </x:c>
      <x:c r="AZ776" s="6" t="str">
        <x:v>1</x:v>
      </x:c>
      <x:c r="BA776" s="9" t="str">
        <x:v>grid_cells_within_BIG_polygon</x:v>
      </x:c>
      <x:c r="BB776" s="6" t="str">
        <x:v>16</x:v>
      </x:c>
      <x:c r="BC776" s="6" t="str">
        <x:v>0</x:v>
      </x:c>
      <x:c r="BD776" s="6" t="str">
        <x:v>0</x:v>
      </x:c>
      <x:c r="BE776" s="6" t="str">
        <x:v>0</x:v>
      </x:c>
      <x:c r="BF776" s="6" t="str">
        <x:v>0</x:v>
      </x:c>
      <x:c r="BG776" s="6" t="str">
        <x:v>0</x:v>
      </x:c>
      <x:c r="BH776" s="6" t="str">
        <x:v>0</x:v>
      </x:c>
      <x:c r="BI776" s="6" t="str">
        <x:v>0</x:v>
      </x:c>
      <x:c r="BJ776" s="6" t="str">
        <x:v>0</x:v>
      </x:c>
      <x:c r="BK776" s="6" t="str">
        <x:v>0</x:v>
      </x:c>
      <x:c r="BL776" s="6" t="str">
        <x:v>0</x:v>
      </x:c>
      <x:c r="BM776" s="6" t="str">
        <x:v>0</x:v>
      </x:c>
      <x:c r="BN776" s="6" t="str">
        <x:v>0</x:v>
      </x:c>
      <x:c r="BO776" s="6" t="str"/>
      <x:c r="BP776" s="6" t="str">
        <x:v>0</x:v>
      </x:c>
      <x:c r="BQ776" s="6" t="str"/>
      <x:c r="BR776" s="6" t="str">
        <x:v>0</x:v>
      </x:c>
      <x:c r="BS776" s="6" t="str"/>
      <x:c r="BT776" s="6" t="str">
        <x:v>0</x:v>
      </x:c>
      <x:c r="BU776" s="6" t="str"/>
      <x:c r="BV776" s="6" t="str">
        <x:v>0</x:v>
      </x:c>
      <x:c r="BW776" s="9" t="str">
        <x:v>operational_snapshot_annual_totals_may_differ</x:v>
      </x:c>
      <x:c r="BX776" s="9" t="str">
        <x:v>official_live_dashboard_snapshot_subject_to_revision</x:v>
      </x:c>
      <x:c r="BY776" s="9" t="str">
        <x:v>https://tbdashboard.sitb.id/ss_data_tbc03so_2024_provinsi_bulanan_list.php</x:v>
      </x:c>
      <x:c r="BZ776" s="6" t="n">
        <x:v>46246.610671296294</x:v>
      </x:c>
    </x:row>
    <x:row r="777" ht="18" customHeight="1">
      <x:c r="A777" s="6" t="str">
        <x:v>91</x:v>
      </x:c>
      <x:c r="B777" s="6" t="str">
        <x:v>PAPUA BARAT</x:v>
      </x:c>
      <x:c r="C777" s="6" t="str">
        <x:v>2024</x:v>
      </x:c>
      <x:c r="D777" s="6" t="str">
        <x:v>8</x:v>
      </x:c>
      <x:c r="E777" s="6" t="str">
        <x:v>2024-08</x:v>
      </x:c>
      <x:c r="F777" s="6" t="str">
        <x:v>257</x:v>
      </x:c>
      <x:c r="G777" s="6" t="str">
        <x:v>46</x:v>
      </x:c>
      <x:c r="H777" s="6" t="str">
        <x:v>153</x:v>
      </x:c>
      <x:c r="I777" s="6" t="str">
        <x:v>46</x:v>
      </x:c>
      <x:c r="J777" s="6" t="str">
        <x:v>10</x:v>
      </x:c>
      <x:c r="K777" s="6" t="str">
        <x:v>0</x:v>
      </x:c>
      <x:c r="L777" s="6" t="str">
        <x:v>0</x:v>
      </x:c>
      <x:c r="M777" s="6" t="str">
        <x:v>2</x:v>
      </x:c>
      <x:c r="N777" s="6" t="str">
        <x:v>257</x:v>
      </x:c>
      <x:c r="O777" s="6" t="str">
        <x:v>0</x:v>
      </x:c>
      <x:c r="P777" s="10" t="n">
        <x:f>F777-M777</x:f>
        <x:v>255</x:v>
      </x:c>
      <x:c r="Q777" s="11" t="n">
        <x:f>IFERROR(M777/F777,"")</x:f>
        <x:v>0.007782101167315175</x:v>
      </x:c>
      <x:c r="R777" s="10" t="n">
        <x:f>G777+H777</x:f>
        <x:v>199</x:v>
      </x:c>
      <x:c r="S777" s="11" t="n">
        <x:f>IFERROR(R777/F777,"")</x:f>
        <x:v>0.77431906614786</x:v>
      </x:c>
      <x:c r="T777" s="11" t="n">
        <x:f>IFERROR(R777/P777,"")</x:f>
        <x:v>0.7803921568627451</x:v>
      </x:c>
      <x:c r="U777" s="10" t="n">
        <x:f>I777+J777+K777</x:f>
        <x:v>56</x:v>
      </x:c>
      <x:c r="V777" s="11" t="n">
        <x:f>IFERROR(U777/P777,"")</x:f>
        <x:v>0.2196078431372549</x:v>
      </x:c>
      <x:c r="W777" s="9" t="str">
        <x:v>mature_le_5pct_pending</x:v>
      </x:c>
      <x:c r="X777" s="12" t="n">
        <x:f>IFERROR(F777/Z777*100000,"")</x:f>
        <x:v>44.40988422325903</x:v>
      </x:c>
      <x:c r="Y777" s="13" t="n">
        <x:f>LN(Z777)</x:f>
        <x:v>13.268539487561931</x:v>
      </x:c>
      <x:c r="Z777" s="6" t="str">
        <x:v>578700</x:v>
      </x:c>
      <x:c r="AA777" s="6" t="str">
        <x:v>10.0</x:v>
      </x:c>
      <x:c r="AB777" s="9" t="str">
        <x:v>2024-06-30</x:v>
      </x:c>
      <x:c r="AC777" s="8" t="str">
        <x:v>79.0</x:v>
      </x:c>
      <x:c r="AD777" s="9" t="str">
        <x:v>2024 (Susenas)</x:v>
      </x:c>
      <x:c r="AE777" s="8" t="str">
        <x:v>21.66</x:v>
      </x:c>
      <x:c r="AF777" s="9" t="str">
        <x:v>Maret 2024 (Susenas)</x:v>
      </x:c>
      <x:c r="AG777" s="6" t="str">
        <x:v>24.54608621292287</x:v>
      </x:c>
      <x:c r="AH777" s="8" t="str">
        <x:v>91.58199047396845</x:v>
      </x:c>
      <x:c r="AI777" s="6" t="str">
        <x:v>271.46171615246806</x:v>
      </x:c>
      <x:c r="AJ777" s="6" t="str">
        <x:v>1.07516052952559</x:v>
      </x:c>
      <x:c r="AK777" s="8" t="str">
        <x:v>2.60515341241201</x:v>
      </x:c>
      <x:c r="AL777" s="6" t="str">
        <x:v>1.449064887492573</x:v>
      </x:c>
      <x:c r="AM777" s="6" t="str">
        <x:v>2.009234643268232</x:v>
      </x:c>
      <x:c r="AN777" s="6" t="str">
        <x:v>2.021150981057605</x:v>
      </x:c>
      <x:c r="AO777" s="6" t="str">
        <x:v>1.3990565626785385</x:v>
      </x:c>
      <x:c r="AP777" s="8" t="str">
        <x:v>0.81881091772123</x:v>
      </x:c>
      <x:c r="AQ777" s="6" t="str">
        <x:v>0.5169613332583824</x:v>
      </x:c>
      <x:c r="AR777" s="6" t="str">
        <x:v>0.6086867244736993</x:v>
      </x:c>
      <x:c r="AS777" s="6" t="str">
        <x:v>0.648152991817771</x:v>
      </x:c>
      <x:c r="AT777" s="6" t="str">
        <x:v>85.74570676434237</x:v>
      </x:c>
      <x:c r="AU777" s="8" t="str">
        <x:v>0.98894574475123</x:v>
      </x:c>
      <x:c r="AV777" s="6" t="str">
        <x:v>0.0255177203305366</x:v>
      </x:c>
      <x:c r="AW777" s="6" t="str">
        <x:v>0.1402666255795273</x:v>
      </x:c>
      <x:c r="AX777" s="6" t="str">
        <x:v>0.3849100302204322</x:v>
      </x:c>
      <x:c r="AY777" s="6" t="str">
        <x:v>0</x:v>
      </x:c>
      <x:c r="AZ777" s="6" t="str">
        <x:v>1</x:v>
      </x:c>
      <x:c r="BA777" s="9" t="str">
        <x:v>grid_cells_within_BIG_polygon</x:v>
      </x:c>
      <x:c r="BB777" s="6" t="str">
        <x:v>16</x:v>
      </x:c>
      <x:c r="BC777" s="6" t="str">
        <x:v>0</x:v>
      </x:c>
      <x:c r="BD777" s="6" t="str">
        <x:v>0</x:v>
      </x:c>
      <x:c r="BE777" s="6" t="str">
        <x:v>0</x:v>
      </x:c>
      <x:c r="BF777" s="6" t="str">
        <x:v>0</x:v>
      </x:c>
      <x:c r="BG777" s="6" t="str">
        <x:v>0</x:v>
      </x:c>
      <x:c r="BH777" s="6" t="str">
        <x:v>0</x:v>
      </x:c>
      <x:c r="BI777" s="6" t="str">
        <x:v>0</x:v>
      </x:c>
      <x:c r="BJ777" s="6" t="str">
        <x:v>0</x:v>
      </x:c>
      <x:c r="BK777" s="6" t="str">
        <x:v>0</x:v>
      </x:c>
      <x:c r="BL777" s="6" t="str">
        <x:v>0</x:v>
      </x:c>
      <x:c r="BM777" s="6" t="str">
        <x:v>0</x:v>
      </x:c>
      <x:c r="BN777" s="6" t="str">
        <x:v>0</x:v>
      </x:c>
      <x:c r="BO777" s="6" t="str"/>
      <x:c r="BP777" s="6" t="str">
        <x:v>0</x:v>
      </x:c>
      <x:c r="BQ777" s="6" t="str"/>
      <x:c r="BR777" s="6" t="str">
        <x:v>0</x:v>
      </x:c>
      <x:c r="BS777" s="6" t="str"/>
      <x:c r="BT777" s="6" t="str">
        <x:v>0</x:v>
      </x:c>
      <x:c r="BU777" s="6" t="str"/>
      <x:c r="BV777" s="6" t="str">
        <x:v>0</x:v>
      </x:c>
      <x:c r="BW777" s="9" t="str">
        <x:v>operational_snapshot_annual_totals_may_differ</x:v>
      </x:c>
      <x:c r="BX777" s="9" t="str">
        <x:v>official_live_dashboard_snapshot_subject_to_revision</x:v>
      </x:c>
      <x:c r="BY777" s="9" t="str">
        <x:v>https://tbdashboard.sitb.id/ss_data_tbc03so_2024_provinsi_bulanan_list.php</x:v>
      </x:c>
      <x:c r="BZ777" s="6" t="n">
        <x:v>46246.610671296294</x:v>
      </x:c>
    </x:row>
    <x:row r="778" ht="18" customHeight="1">
      <x:c r="A778" s="6" t="str">
        <x:v>91</x:v>
      </x:c>
      <x:c r="B778" s="6" t="str">
        <x:v>PAPUA BARAT</x:v>
      </x:c>
      <x:c r="C778" s="6" t="str">
        <x:v>2024</x:v>
      </x:c>
      <x:c r="D778" s="6" t="str">
        <x:v>9</x:v>
      </x:c>
      <x:c r="E778" s="6" t="str">
        <x:v>2024-09</x:v>
      </x:c>
      <x:c r="F778" s="6" t="str">
        <x:v>244</x:v>
      </x:c>
      <x:c r="G778" s="6" t="str">
        <x:v>48</x:v>
      </x:c>
      <x:c r="H778" s="6" t="str">
        <x:v>136</x:v>
      </x:c>
      <x:c r="I778" s="6" t="str">
        <x:v>49</x:v>
      </x:c>
      <x:c r="J778" s="6" t="str">
        <x:v>6</x:v>
      </x:c>
      <x:c r="K778" s="6" t="str">
        <x:v>0</x:v>
      </x:c>
      <x:c r="L778" s="6" t="str">
        <x:v>3</x:v>
      </x:c>
      <x:c r="M778" s="6" t="str">
        <x:v>2</x:v>
      </x:c>
      <x:c r="N778" s="6" t="str">
        <x:v>244</x:v>
      </x:c>
      <x:c r="O778" s="6" t="str">
        <x:v>0</x:v>
      </x:c>
      <x:c r="P778" s="10" t="n">
        <x:f>F778-M778</x:f>
        <x:v>242</x:v>
      </x:c>
      <x:c r="Q778" s="11" t="n">
        <x:f>IFERROR(M778/F778,"")</x:f>
        <x:v>0.00819672131147541</x:v>
      </x:c>
      <x:c r="R778" s="10" t="n">
        <x:f>G778+H778</x:f>
        <x:v>184</x:v>
      </x:c>
      <x:c r="S778" s="11" t="n">
        <x:f>IFERROR(R778/F778,"")</x:f>
        <x:v>0.7540983606557377</x:v>
      </x:c>
      <x:c r="T778" s="11" t="n">
        <x:f>IFERROR(R778/P778,"")</x:f>
        <x:v>0.7603305785123967</x:v>
      </x:c>
      <x:c r="U778" s="10" t="n">
        <x:f>I778+J778+K778</x:f>
        <x:v>55</x:v>
      </x:c>
      <x:c r="V778" s="11" t="n">
        <x:f>IFERROR(U778/P778,"")</x:f>
        <x:v>0.22727272727272727</x:v>
      </x:c>
      <x:c r="W778" s="9" t="str">
        <x:v>mature_le_5pct_pending</x:v>
      </x:c>
      <x:c r="X778" s="12" t="n">
        <x:f>IFERROR(F778/Z778*100000,"")</x:f>
        <x:v>42.163469846207015</x:v>
      </x:c>
      <x:c r="Y778" s="13" t="n">
        <x:f>LN(Z778)</x:f>
        <x:v>13.268539487561931</x:v>
      </x:c>
      <x:c r="Z778" s="6" t="str">
        <x:v>578700</x:v>
      </x:c>
      <x:c r="AA778" s="6" t="str">
        <x:v>10.0</x:v>
      </x:c>
      <x:c r="AB778" s="9" t="str">
        <x:v>2024-06-30</x:v>
      </x:c>
      <x:c r="AC778" s="8" t="str">
        <x:v>79.0</x:v>
      </x:c>
      <x:c r="AD778" s="9" t="str">
        <x:v>2024 (Susenas)</x:v>
      </x:c>
      <x:c r="AE778" s="8" t="str">
        <x:v>21.66</x:v>
      </x:c>
      <x:c r="AF778" s="9" t="str">
        <x:v>Maret 2024 (Susenas)</x:v>
      </x:c>
      <x:c r="AG778" s="6" t="str">
        <x:v>25.119723877937357</x:v>
      </x:c>
      <x:c r="AH778" s="8" t="str">
        <x:v>90.00178605390477</x:v>
      </x:c>
      <x:c r="AI778" s="6" t="str">
        <x:v>160.48309480076364</x:v>
      </x:c>
      <x:c r="AJ778" s="6" t="str">
        <x:v>1.1456151840239706</x:v>
      </x:c>
      <x:c r="AK778" s="8" t="str">
        <x:v>3.3123543909451807</x:v>
      </x:c>
      <x:c r="AL778" s="6" t="str">
        <x:v>2.60515341241201</x:v>
      </x:c>
      <x:c r="AM778" s="6" t="str">
        <x:v>1.449064887492573</x:v>
      </x:c>
      <x:c r="AN778" s="6" t="str">
        <x:v>2.455524230283254</x:v>
      </x:c>
      <x:c r="AO778" s="6" t="str">
        <x:v>0.4528164767717442</x:v>
      </x:c>
      <x:c r="AP778" s="8" t="str">
        <x:v>0.2162091368518146</x:v>
      </x:c>
      <x:c r="AQ778" s="6" t="str">
        <x:v>0.81881091772123</x:v>
      </x:c>
      <x:c r="AR778" s="6" t="str">
        <x:v>0.5169613332583824</x:v>
      </x:c>
      <x:c r="AS778" s="6" t="str">
        <x:v>0.5173271292771427</x:v>
      </x:c>
      <x:c r="AT778" s="6" t="str">
        <x:v>-22.53092832518192</x:v>
      </x:c>
      <x:c r="AU778" s="8" t="str">
        <x:v>-0.2779953302372954</x:v>
      </x:c>
      <x:c r="AV778" s="6" t="str">
        <x:v>0.98894574475123</x:v>
      </x:c>
      <x:c r="AW778" s="6" t="str">
        <x:v>0.0255177203305366</x:v>
      </x:c>
      <x:c r="AX778" s="6" t="str">
        <x:v>0.2454893782814912</x:v>
      </x:c>
      <x:c r="AY778" s="6" t="str">
        <x:v>0</x:v>
      </x:c>
      <x:c r="AZ778" s="6" t="str">
        <x:v>1</x:v>
      </x:c>
      <x:c r="BA778" s="9" t="str">
        <x:v>grid_cells_within_BIG_polygon</x:v>
      </x:c>
      <x:c r="BB778" s="6" t="str">
        <x:v>16</x:v>
      </x:c>
      <x:c r="BC778" s="6" t="str">
        <x:v>0</x:v>
      </x:c>
      <x:c r="BD778" s="6" t="str">
        <x:v>0</x:v>
      </x:c>
      <x:c r="BE778" s="6" t="str">
        <x:v>0</x:v>
      </x:c>
      <x:c r="BF778" s="6" t="str">
        <x:v>0</x:v>
      </x:c>
      <x:c r="BG778" s="6" t="str">
        <x:v>0</x:v>
      </x:c>
      <x:c r="BH778" s="6" t="str">
        <x:v>0</x:v>
      </x:c>
      <x:c r="BI778" s="6" t="str">
        <x:v>0</x:v>
      </x:c>
      <x:c r="BJ778" s="6" t="str">
        <x:v>0</x:v>
      </x:c>
      <x:c r="BK778" s="6" t="str">
        <x:v>0</x:v>
      </x:c>
      <x:c r="BL778" s="6" t="str">
        <x:v>0</x:v>
      </x:c>
      <x:c r="BM778" s="6" t="str">
        <x:v>0</x:v>
      </x:c>
      <x:c r="BN778" s="6" t="str">
        <x:v>0</x:v>
      </x:c>
      <x:c r="BO778" s="6" t="str"/>
      <x:c r="BP778" s="6" t="str">
        <x:v>0</x:v>
      </x:c>
      <x:c r="BQ778" s="6" t="str"/>
      <x:c r="BR778" s="6" t="str">
        <x:v>0</x:v>
      </x:c>
      <x:c r="BS778" s="6" t="str"/>
      <x:c r="BT778" s="6" t="str">
        <x:v>0</x:v>
      </x:c>
      <x:c r="BU778" s="6" t="str"/>
      <x:c r="BV778" s="6" t="str">
        <x:v>0</x:v>
      </x:c>
      <x:c r="BW778" s="9" t="str">
        <x:v>operational_snapshot_annual_totals_may_differ</x:v>
      </x:c>
      <x:c r="BX778" s="9" t="str">
        <x:v>official_live_dashboard_snapshot_subject_to_revision</x:v>
      </x:c>
      <x:c r="BY778" s="9" t="str">
        <x:v>https://tbdashboard.sitb.id/ss_data_tbc03so_2024_provinsi_bulanan_list.php</x:v>
      </x:c>
      <x:c r="BZ778" s="6" t="n">
        <x:v>46246.610671296294</x:v>
      </x:c>
    </x:row>
    <x:row r="779" ht="18" customHeight="1">
      <x:c r="A779" s="6" t="str">
        <x:v>91</x:v>
      </x:c>
      <x:c r="B779" s="6" t="str">
        <x:v>PAPUA BARAT</x:v>
      </x:c>
      <x:c r="C779" s="6" t="str">
        <x:v>2024</x:v>
      </x:c>
      <x:c r="D779" s="6" t="str">
        <x:v>10</x:v>
      </x:c>
      <x:c r="E779" s="6" t="str">
        <x:v>2024-10</x:v>
      </x:c>
      <x:c r="F779" s="6" t="str">
        <x:v>233</x:v>
      </x:c>
      <x:c r="G779" s="6" t="str">
        <x:v>37</x:v>
      </x:c>
      <x:c r="H779" s="6" t="str">
        <x:v>137</x:v>
      </x:c>
      <x:c r="I779" s="6" t="str">
        <x:v>45</x:v>
      </x:c>
      <x:c r="J779" s="6" t="str">
        <x:v>9</x:v>
      </x:c>
      <x:c r="K779" s="6" t="str">
        <x:v>0</x:v>
      </x:c>
      <x:c r="L779" s="6" t="str">
        <x:v>2</x:v>
      </x:c>
      <x:c r="M779" s="6" t="str">
        <x:v>3</x:v>
      </x:c>
      <x:c r="N779" s="6" t="str">
        <x:v>233</x:v>
      </x:c>
      <x:c r="O779" s="6" t="str">
        <x:v>0</x:v>
      </x:c>
      <x:c r="P779" s="10" t="n">
        <x:f>F779-M779</x:f>
        <x:v>230</x:v>
      </x:c>
      <x:c r="Q779" s="11" t="n">
        <x:f>IFERROR(M779/F779,"")</x:f>
        <x:v>0.012875536480686695</x:v>
      </x:c>
      <x:c r="R779" s="10" t="n">
        <x:f>G779+H779</x:f>
        <x:v>174</x:v>
      </x:c>
      <x:c r="S779" s="11" t="n">
        <x:f>IFERROR(R779/F779,"")</x:f>
        <x:v>0.7467811158798283</x:v>
      </x:c>
      <x:c r="T779" s="11" t="n">
        <x:f>IFERROR(R779/P779,"")</x:f>
        <x:v>0.7565217391304347</x:v>
      </x:c>
      <x:c r="U779" s="10" t="n">
        <x:f>I779+J779+K779</x:f>
        <x:v>54</x:v>
      </x:c>
      <x:c r="V779" s="11" t="n">
        <x:f>IFERROR(U779/P779,"")</x:f>
        <x:v>0.23478260869565218</x:v>
      </x:c>
      <x:c r="W779" s="9" t="str">
        <x:v>mature_le_5pct_pending</x:v>
      </x:c>
      <x:c r="X779" s="12" t="n">
        <x:f>IFERROR(F779/Z779*100000,"")</x:f>
        <x:v>40.26265768100916</x:v>
      </x:c>
      <x:c r="Y779" s="13" t="n">
        <x:f>LN(Z779)</x:f>
        <x:v>13.268539487561931</x:v>
      </x:c>
      <x:c r="Z779" s="6" t="str">
        <x:v>578700</x:v>
      </x:c>
      <x:c r="AA779" s="6" t="str">
        <x:v>10.0</x:v>
      </x:c>
      <x:c r="AB779" s="9" t="str">
        <x:v>2024-06-30</x:v>
      </x:c>
      <x:c r="AC779" s="8" t="str">
        <x:v>79.0</x:v>
      </x:c>
      <x:c r="AD779" s="9" t="str">
        <x:v>2024 (Susenas)</x:v>
      </x:c>
      <x:c r="AE779" s="8" t="str">
        <x:v>21.66</x:v>
      </x:c>
      <x:c r="AF779" s="9" t="str">
        <x:v>Maret 2024 (Susenas)</x:v>
      </x:c>
      <x:c r="AG779" s="6" t="str">
        <x:v>25.292098390454843</x:v>
      </x:c>
      <x:c r="AH779" s="8" t="str">
        <x:v>89.92654566299925</x:v>
      </x:c>
      <x:c r="AI779" s="6" t="str">
        <x:v>265.3626200962038</x:v>
      </x:c>
      <x:c r="AJ779" s="6" t="str">
        <x:v>0.7234756756807776</x:v>
      </x:c>
      <x:c r="AK779" s="8" t="str">
        <x:v>2.337613821592873</x:v>
      </x:c>
      <x:c r="AL779" s="6" t="str">
        <x:v>3.3123543909451807</x:v>
      </x:c>
      <x:c r="AM779" s="6" t="str">
        <x:v>2.60515341241201</x:v>
      </x:c>
      <x:c r="AN779" s="6" t="str">
        <x:v>2.751707208316688</x:v>
      </x:c>
      <x:c r="AO779" s="6" t="str">
        <x:v>1.0043821970397602</x:v>
      </x:c>
      <x:c r="AP779" s="8" t="str">
        <x:v>0.3859610513481863</x:v>
      </x:c>
      <x:c r="AQ779" s="6" t="str">
        <x:v>0.2162091368518146</x:v>
      </x:c>
      <x:c r="AR779" s="6" t="str">
        <x:v>0.81881091772123</x:v>
      </x:c>
      <x:c r="AS779" s="6" t="str">
        <x:v>0.4736603686404106</x:v>
      </x:c>
      <x:c r="AT779" s="6" t="str">
        <x:v>86.51559254830138</x:v>
      </x:c>
      <x:c r="AU779" s="8" t="str">
        <x:v>1.2345317782714866</x:v>
      </x:c>
      <x:c r="AV779" s="6" t="str">
        <x:v>-0.2779953302372954</x:v>
      </x:c>
      <x:c r="AW779" s="6" t="str">
        <x:v>0.98894574475123</x:v>
      </x:c>
      <x:c r="AX779" s="6" t="str">
        <x:v>0.6484940642618079</x:v>
      </x:c>
      <x:c r="AY779" s="6" t="str">
        <x:v>1</x:v>
      </x:c>
      <x:c r="AZ779" s="6" t="str">
        <x:v>1</x:v>
      </x:c>
      <x:c r="BA779" s="9" t="str">
        <x:v>grid_cells_within_BIG_polygon</x:v>
      </x:c>
      <x:c r="BB779" s="6" t="str">
        <x:v>16</x:v>
      </x:c>
      <x:c r="BC779" s="6" t="str">
        <x:v>0</x:v>
      </x:c>
      <x:c r="BD779" s="6" t="str">
        <x:v>0</x:v>
      </x:c>
      <x:c r="BE779" s="6" t="str">
        <x:v>0</x:v>
      </x:c>
      <x:c r="BF779" s="6" t="str">
        <x:v>0</x:v>
      </x:c>
      <x:c r="BG779" s="6" t="str">
        <x:v>0</x:v>
      </x:c>
      <x:c r="BH779" s="6" t="str">
        <x:v>0</x:v>
      </x:c>
      <x:c r="BI779" s="6" t="str">
        <x:v>0</x:v>
      </x:c>
      <x:c r="BJ779" s="6" t="str">
        <x:v>0</x:v>
      </x:c>
      <x:c r="BK779" s="6" t="str">
        <x:v>0</x:v>
      </x:c>
      <x:c r="BL779" s="6" t="str">
        <x:v>0</x:v>
      </x:c>
      <x:c r="BM779" s="6" t="str">
        <x:v>0</x:v>
      </x:c>
      <x:c r="BN779" s="6" t="str">
        <x:v>0</x:v>
      </x:c>
      <x:c r="BO779" s="6" t="str"/>
      <x:c r="BP779" s="6" t="str">
        <x:v>0</x:v>
      </x:c>
      <x:c r="BQ779" s="6" t="str"/>
      <x:c r="BR779" s="6" t="str">
        <x:v>0</x:v>
      </x:c>
      <x:c r="BS779" s="6" t="str"/>
      <x:c r="BT779" s="6" t="str">
        <x:v>0</x:v>
      </x:c>
      <x:c r="BU779" s="6" t="str"/>
      <x:c r="BV779" s="6" t="str">
        <x:v>0</x:v>
      </x:c>
      <x:c r="BW779" s="9" t="str">
        <x:v>operational_snapshot_annual_totals_may_differ</x:v>
      </x:c>
      <x:c r="BX779" s="9" t="str">
        <x:v>official_live_dashboard_snapshot_subject_to_revision</x:v>
      </x:c>
      <x:c r="BY779" s="9" t="str">
        <x:v>https://tbdashboard.sitb.id/ss_data_tbc03so_2024_provinsi_bulanan_list.php</x:v>
      </x:c>
      <x:c r="BZ779" s="6" t="n">
        <x:v>46246.610671296294</x:v>
      </x:c>
    </x:row>
    <x:row r="780" ht="18" customHeight="1">
      <x:c r="A780" s="6" t="str">
        <x:v>91</x:v>
      </x:c>
      <x:c r="B780" s="6" t="str">
        <x:v>PAPUA BARAT</x:v>
      </x:c>
      <x:c r="C780" s="6" t="str">
        <x:v>2024</x:v>
      </x:c>
      <x:c r="D780" s="6" t="str">
        <x:v>11</x:v>
      </x:c>
      <x:c r="E780" s="6" t="str">
        <x:v>2024-11</x:v>
      </x:c>
      <x:c r="F780" s="6" t="str">
        <x:v>176</x:v>
      </x:c>
      <x:c r="G780" s="6" t="str">
        <x:v>32</x:v>
      </x:c>
      <x:c r="H780" s="6" t="str">
        <x:v>95</x:v>
      </x:c>
      <x:c r="I780" s="6" t="str">
        <x:v>34</x:v>
      </x:c>
      <x:c r="J780" s="6" t="str">
        <x:v>15</x:v>
      </x:c>
      <x:c r="K780" s="6" t="str">
        <x:v>0</x:v>
      </x:c>
      <x:c r="L780" s="6" t="str">
        <x:v>0</x:v>
      </x:c>
      <x:c r="M780" s="6" t="str">
        <x:v>0</x:v>
      </x:c>
      <x:c r="N780" s="6" t="str">
        <x:v>176</x:v>
      </x:c>
      <x:c r="O780" s="6" t="str">
        <x:v>0</x:v>
      </x:c>
      <x:c r="P780" s="10" t="n">
        <x:f>F780-M780</x:f>
        <x:v>176</x:v>
      </x:c>
      <x:c r="Q780" s="11" t="n">
        <x:f>IFERROR(M780/F780,"")</x:f>
        <x:v>0</x:v>
      </x:c>
      <x:c r="R780" s="10" t="n">
        <x:f>G780+H780</x:f>
        <x:v>127</x:v>
      </x:c>
      <x:c r="S780" s="11" t="n">
        <x:f>IFERROR(R780/F780,"")</x:f>
        <x:v>0.7215909090909091</x:v>
      </x:c>
      <x:c r="T780" s="11" t="n">
        <x:f>IFERROR(R780/P780,"")</x:f>
        <x:v>0.7215909090909091</x:v>
      </x:c>
      <x:c r="U780" s="10" t="n">
        <x:f>I780+J780+K780</x:f>
        <x:v>49</x:v>
      </x:c>
      <x:c r="V780" s="11" t="n">
        <x:f>IFERROR(U780/P780,"")</x:f>
        <x:v>0.2784090909090909</x:v>
      </x:c>
      <x:c r="W780" s="9" t="str">
        <x:v>mature_le_5pct_pending</x:v>
      </x:c>
      <x:c r="X780" s="12" t="n">
        <x:f>IFERROR(F780/Z780*100000,"")</x:f>
        <x:v>30.412994643165714</x:v>
      </x:c>
      <x:c r="Y780" s="13" t="n">
        <x:f>LN(Z780)</x:f>
        <x:v>13.268539487561931</x:v>
      </x:c>
      <x:c r="Z780" s="6" t="str">
        <x:v>578700</x:v>
      </x:c>
      <x:c r="AA780" s="6" t="str">
        <x:v>10.0</x:v>
      </x:c>
      <x:c r="AB780" s="9" t="str">
        <x:v>2024-06-30</x:v>
      </x:c>
      <x:c r="AC780" s="8" t="str">
        <x:v>79.0</x:v>
      </x:c>
      <x:c r="AD780" s="9" t="str">
        <x:v>2024 (Susenas)</x:v>
      </x:c>
      <x:c r="AE780" s="8" t="str">
        <x:v>21.66</x:v>
      </x:c>
      <x:c r="AF780" s="9" t="str">
        <x:v>Maret 2024 (Susenas)</x:v>
      </x:c>
      <x:c r="AG780" s="6" t="str">
        <x:v>25.72447142146993</x:v>
      </x:c>
      <x:c r="AH780" s="8" t="str">
        <x:v>89.25380475461519</x:v>
      </x:c>
      <x:c r="AI780" s="6" t="str">
        <x:v>192.0512168531828</x:v>
      </x:c>
      <x:c r="AJ780" s="6" t="str">
        <x:v>0.7900732229470968</x:v>
      </x:c>
      <x:c r="AK780" s="8" t="str">
        <x:v>2.944305617088539</x:v>
      </x:c>
      <x:c r="AL780" s="6" t="str">
        <x:v>2.337613821592873</x:v>
      </x:c>
      <x:c r="AM780" s="6" t="str">
        <x:v>3.3123543909451807</x:v>
      </x:c>
      <x:c r="AN780" s="6" t="str">
        <x:v>2.8647579432088635</x:v>
      </x:c>
      <x:c r="AO780" s="6" t="str">
        <x:v>0.1303352663028221</x:v>
      </x:c>
      <x:c r="AP780" s="8" t="str">
        <x:v>0.0658604333157099</x:v>
      </x:c>
      <x:c r="AQ780" s="6" t="str">
        <x:v>0.3859610513481863</x:v>
      </x:c>
      <x:c r="AR780" s="6" t="str">
        <x:v>0.2162091368518146</x:v>
      </x:c>
      <x:c r="AS780" s="6" t="str">
        <x:v>0.2226768738385707</x:v>
      </x:c>
      <x:c r="AT780" s="6" t="str">
        <x:v>6.176862408894522</x:v>
      </x:c>
      <x:c r="AU780" s="8" t="str">
        <x:v>0.1072713119125496</x:v>
      </x:c>
      <x:c r="AV780" s="6" t="str">
        <x:v>1.2345317782714866</x:v>
      </x:c>
      <x:c r="AW780" s="6" t="str">
        <x:v>-0.2779953302372954</x:v>
      </x:c>
      <x:c r="AX780" s="6" t="str">
        <x:v>0.3546025866489143</x:v>
      </x:c>
      <x:c r="AY780" s="6" t="str">
        <x:v>0</x:v>
      </x:c>
      <x:c r="AZ780" s="6" t="str">
        <x:v>1</x:v>
      </x:c>
      <x:c r="BA780" s="9" t="str">
        <x:v>grid_cells_within_BIG_polygon</x:v>
      </x:c>
      <x:c r="BB780" s="6" t="str">
        <x:v>16</x:v>
      </x:c>
      <x:c r="BC780" s="6" t="str">
        <x:v>0</x:v>
      </x:c>
      <x:c r="BD780" s="6" t="str">
        <x:v>0</x:v>
      </x:c>
      <x:c r="BE780" s="6" t="str">
        <x:v>0</x:v>
      </x:c>
      <x:c r="BF780" s="6" t="str">
        <x:v>0</x:v>
      </x:c>
      <x:c r="BG780" s="6" t="str">
        <x:v>0</x:v>
      </x:c>
      <x:c r="BH780" s="6" t="str">
        <x:v>0</x:v>
      </x:c>
      <x:c r="BI780" s="6" t="str">
        <x:v>0</x:v>
      </x:c>
      <x:c r="BJ780" s="6" t="str">
        <x:v>0</x:v>
      </x:c>
      <x:c r="BK780" s="6" t="str">
        <x:v>0</x:v>
      </x:c>
      <x:c r="BL780" s="6" t="str">
        <x:v>0</x:v>
      </x:c>
      <x:c r="BM780" s="6" t="str">
        <x:v>0</x:v>
      </x:c>
      <x:c r="BN780" s="6" t="str">
        <x:v>0</x:v>
      </x:c>
      <x:c r="BO780" s="6" t="str"/>
      <x:c r="BP780" s="6" t="str">
        <x:v>0</x:v>
      </x:c>
      <x:c r="BQ780" s="6" t="str"/>
      <x:c r="BR780" s="6" t="str">
        <x:v>0</x:v>
      </x:c>
      <x:c r="BS780" s="6" t="str"/>
      <x:c r="BT780" s="6" t="str">
        <x:v>0</x:v>
      </x:c>
      <x:c r="BU780" s="6" t="str"/>
      <x:c r="BV780" s="6" t="str">
        <x:v>0</x:v>
      </x:c>
      <x:c r="BW780" s="9" t="str">
        <x:v>operational_snapshot_annual_totals_may_differ</x:v>
      </x:c>
      <x:c r="BX780" s="9" t="str">
        <x:v>official_live_dashboard_snapshot_subject_to_revision</x:v>
      </x:c>
      <x:c r="BY780" s="9" t="str">
        <x:v>https://tbdashboard.sitb.id/ss_data_tbc03so_2024_provinsi_bulanan_list.php</x:v>
      </x:c>
      <x:c r="BZ780" s="6" t="n">
        <x:v>46246.610671296294</x:v>
      </x:c>
    </x:row>
    <x:row r="781" ht="18" customHeight="1">
      <x:c r="A781" s="6" t="str">
        <x:v>91</x:v>
      </x:c>
      <x:c r="B781" s="6" t="str">
        <x:v>PAPUA BARAT</x:v>
      </x:c>
      <x:c r="C781" s="6" t="str">
        <x:v>2024</x:v>
      </x:c>
      <x:c r="D781" s="6" t="str">
        <x:v>12</x:v>
      </x:c>
      <x:c r="E781" s="6" t="str">
        <x:v>2024-12</x:v>
      </x:c>
      <x:c r="F781" s="6" t="str">
        <x:v>178</x:v>
      </x:c>
      <x:c r="G781" s="6" t="str">
        <x:v>37</x:v>
      </x:c>
      <x:c r="H781" s="6" t="str">
        <x:v>102</x:v>
      </x:c>
      <x:c r="I781" s="6" t="str">
        <x:v>23</x:v>
      </x:c>
      <x:c r="J781" s="6" t="str">
        <x:v>10</x:v>
      </x:c>
      <x:c r="K781" s="6" t="str">
        <x:v>0</x:v>
      </x:c>
      <x:c r="L781" s="6" t="str">
        <x:v>0</x:v>
      </x:c>
      <x:c r="M781" s="6" t="str">
        <x:v>6</x:v>
      </x:c>
      <x:c r="N781" s="6" t="str">
        <x:v>178</x:v>
      </x:c>
      <x:c r="O781" s="6" t="str">
        <x:v>0</x:v>
      </x:c>
      <x:c r="P781" s="10" t="n">
        <x:f>F781-M781</x:f>
        <x:v>172</x:v>
      </x:c>
      <x:c r="Q781" s="11" t="n">
        <x:f>IFERROR(M781/F781,"")</x:f>
        <x:v>0.033707865168539325</x:v>
      </x:c>
      <x:c r="R781" s="10" t="n">
        <x:f>G781+H781</x:f>
        <x:v>139</x:v>
      </x:c>
      <x:c r="S781" s="11" t="n">
        <x:f>IFERROR(R781/F781,"")</x:f>
        <x:v>0.7808988764044944</x:v>
      </x:c>
      <x:c r="T781" s="11" t="n">
        <x:f>IFERROR(R781/P781,"")</x:f>
        <x:v>0.8081395348837209</x:v>
      </x:c>
      <x:c r="U781" s="10" t="n">
        <x:f>I781+J781+K781</x:f>
        <x:v>33</x:v>
      </x:c>
      <x:c r="V781" s="11" t="n">
        <x:f>IFERROR(U781/P781,"")</x:f>
        <x:v>0.19186046511627908</x:v>
      </x:c>
      <x:c r="W781" s="9" t="str">
        <x:v>mature_le_5pct_pending</x:v>
      </x:c>
      <x:c r="X781" s="12" t="n">
        <x:f>IFERROR(F781/Z781*100000,"")</x:f>
        <x:v>30.758596855019874</x:v>
      </x:c>
      <x:c r="Y781" s="13" t="n">
        <x:f>LN(Z781)</x:f>
        <x:v>13.268539487561931</x:v>
      </x:c>
      <x:c r="Z781" s="6" t="str">
        <x:v>578700</x:v>
      </x:c>
      <x:c r="AA781" s="6" t="str">
        <x:v>10.0</x:v>
      </x:c>
      <x:c r="AB781" s="9" t="str">
        <x:v>2024-06-30</x:v>
      </x:c>
      <x:c r="AC781" s="8" t="str">
        <x:v>79.0</x:v>
      </x:c>
      <x:c r="AD781" s="9" t="str">
        <x:v>2024 (Susenas)</x:v>
      </x:c>
      <x:c r="AE781" s="8" t="str">
        <x:v>21.66</x:v>
      </x:c>
      <x:c r="AF781" s="9" t="str">
        <x:v>Maret 2024 (Susenas)</x:v>
      </x:c>
      <x:c r="AG781" s="6" t="str">
        <x:v>25.45010279174524</x:v>
      </x:c>
      <x:c r="AH781" s="8" t="str">
        <x:v>90.98809751401365</x:v>
      </x:c>
      <x:c r="AI781" s="6" t="str">
        <x:v>339.1814162504665</x:v>
      </x:c>
      <x:c r="AJ781" s="6" t="str">
        <x:v>0.5276996079876497</x:v>
      </x:c>
      <x:c r="AK781" s="8" t="str">
        <x:v>1.7442089725978671</x:v>
      </x:c>
      <x:c r="AL781" s="6" t="str">
        <x:v>2.944305617088539</x:v>
      </x:c>
      <x:c r="AM781" s="6" t="str">
        <x:v>2.337613821592873</x:v>
      </x:c>
      <x:c r="AN781" s="6" t="str">
        <x:v>2.342042803759759</x:v>
      </x:c>
      <x:c r="AO781" s="6" t="str">
        <x:v>0.8949667056973425</x:v>
      </x:c>
      <x:c r="AP781" s="8" t="str">
        <x:v>0.6905897163200182</x:v>
      </x:c>
      <x:c r="AQ781" s="6" t="str">
        <x:v>0.0658604333157099</x:v>
      </x:c>
      <x:c r="AR781" s="6" t="str">
        <x:v>0.3859610513481863</x:v>
      </x:c>
      <x:c r="AS781" s="6" t="str">
        <x:v>0.3808037336613052</x:v>
      </x:c>
      <x:c r="AT781" s="6" t="str">
        <x:v>116.97897030469753</x:v>
      </x:c>
      <x:c r="AU781" s="8" t="str">
        <x:v>1.999589734719475</x:v>
      </x:c>
      <x:c r="AV781" s="6" t="str">
        <x:v>0.1072713119125496</x:v>
      </x:c>
      <x:c r="AW781" s="6" t="str">
        <x:v>1.2345317782714866</x:v>
      </x:c>
      <x:c r="AX781" s="6" t="str">
        <x:v>1.1137976083011714</x:v>
      </x:c>
      <x:c r="AY781" s="6" t="str">
        <x:v>1</x:v>
      </x:c>
      <x:c r="AZ781" s="6" t="str">
        <x:v>1</x:v>
      </x:c>
      <x:c r="BA781" s="9" t="str">
        <x:v>grid_cells_within_BIG_polygon</x:v>
      </x:c>
      <x:c r="BB781" s="6" t="str">
        <x:v>16</x:v>
      </x:c>
      <x:c r="BC781" s="6" t="str">
        <x:v>1</x:v>
      </x:c>
      <x:c r="BD781" s="6" t="str">
        <x:v>1</x:v>
      </x:c>
      <x:c r="BE781" s="6" t="str">
        <x:v>1</x:v>
      </x:c>
      <x:c r="BF781" s="6" t="str">
        <x:v>0</x:v>
      </x:c>
      <x:c r="BG781" s="6" t="str">
        <x:v>0</x:v>
      </x:c>
      <x:c r="BH781" s="6" t="str">
        <x:v>0</x:v>
      </x:c>
      <x:c r="BI781" s="6" t="str">
        <x:v>0</x:v>
      </x:c>
      <x:c r="BJ781" s="6" t="str">
        <x:v>0</x:v>
      </x:c>
      <x:c r="BK781" s="6" t="str">
        <x:v>0</x:v>
      </x:c>
      <x:c r="BL781" s="6" t="str">
        <x:v>0</x:v>
      </x:c>
      <x:c r="BM781" s="6" t="str">
        <x:v>0</x:v>
      </x:c>
      <x:c r="BN781" s="6" t="str">
        <x:v>1</x:v>
      </x:c>
      <x:c r="BO781" s="6" t="str"/>
      <x:c r="BP781" s="6" t="str">
        <x:v>0</x:v>
      </x:c>
      <x:c r="BQ781" s="6" t="str"/>
      <x:c r="BR781" s="6" t="str">
        <x:v>0</x:v>
      </x:c>
      <x:c r="BS781" s="6" t="str">
        <x:v>0.0</x:v>
      </x:c>
      <x:c r="BT781" s="6" t="str">
        <x:v>1</x:v>
      </x:c>
      <x:c r="BU781" s="6" t="str"/>
      <x:c r="BV781" s="6" t="str">
        <x:v>0</x:v>
      </x:c>
      <x:c r="BW781" s="9" t="str">
        <x:v>operational_snapshot_annual_totals_may_differ</x:v>
      </x:c>
      <x:c r="BX781" s="9" t="str">
        <x:v>official_live_dashboard_snapshot_subject_to_revision</x:v>
      </x:c>
      <x:c r="BY781" s="9" t="str">
        <x:v>https://tbdashboard.sitb.id/ss_data_tbc03so_2024_provinsi_bulanan_list.php</x:v>
      </x:c>
      <x:c r="BZ781" s="6" t="n">
        <x:v>46246.610671296294</x:v>
      </x:c>
    </x:row>
    <x:row r="782" ht="18" customHeight="1">
      <x:c r="A782" s="6" t="str">
        <x:v>91</x:v>
      </x:c>
      <x:c r="B782" s="6" t="str">
        <x:v>PAPUA BARAT</x:v>
      </x:c>
      <x:c r="C782" s="6" t="str">
        <x:v>2025</x:v>
      </x:c>
      <x:c r="D782" s="6" t="str">
        <x:v>1</x:v>
      </x:c>
      <x:c r="E782" s="6" t="str">
        <x:v>2025-01</x:v>
      </x:c>
      <x:c r="F782" s="6" t="str">
        <x:v>189</x:v>
      </x:c>
      <x:c r="G782" s="6" t="str">
        <x:v>46</x:v>
      </x:c>
      <x:c r="H782" s="6" t="str">
        <x:v>97</x:v>
      </x:c>
      <x:c r="I782" s="6" t="str">
        <x:v>28</x:v>
      </x:c>
      <x:c r="J782" s="6" t="str">
        <x:v>7</x:v>
      </x:c>
      <x:c r="K782" s="6" t="str">
        <x:v>0</x:v>
      </x:c>
      <x:c r="L782" s="6" t="str">
        <x:v>4</x:v>
      </x:c>
      <x:c r="M782" s="6" t="str">
        <x:v>7</x:v>
      </x:c>
      <x:c r="N782" s="6" t="str">
        <x:v>189</x:v>
      </x:c>
      <x:c r="O782" s="6" t="str">
        <x:v>0</x:v>
      </x:c>
      <x:c r="P782" s="10" t="n">
        <x:f>F782-M782</x:f>
        <x:v>182</x:v>
      </x:c>
      <x:c r="Q782" s="11" t="n">
        <x:f>IFERROR(M782/F782,"")</x:f>
        <x:v>0.037037037037037035</x:v>
      </x:c>
      <x:c r="R782" s="10" t="n">
        <x:f>G782+H782</x:f>
        <x:v>143</x:v>
      </x:c>
      <x:c r="S782" s="11" t="n">
        <x:f>IFERROR(R782/F782,"")</x:f>
        <x:v>0.7566137566137566</x:v>
      </x:c>
      <x:c r="T782" s="11" t="n">
        <x:f>IFERROR(R782/P782,"")</x:f>
        <x:v>0.7857142857142857</x:v>
      </x:c>
      <x:c r="U782" s="10" t="n">
        <x:f>I782+J782+K782</x:f>
        <x:v>35</x:v>
      </x:c>
      <x:c r="V782" s="11" t="n">
        <x:f>IFERROR(U782/P782,"")</x:f>
        <x:v>0.19230769230769232</x:v>
      </x:c>
      <x:c r="W782" s="9" t="str">
        <x:v>mature_le_5pct_pending</x:v>
      </x:c>
      <x:c r="X782" s="12" t="n">
        <x:f>IFERROR(F782/Z782*100000,"")</x:f>
        <x:v>32.16473791695031</x:v>
      </x:c>
      <x:c r="Y782" s="13" t="n">
        <x:f>LN(Z782)</x:f>
        <x:v>13.28380172328186</x:v>
      </x:c>
      <x:c r="Z782" s="6" t="str">
        <x:v>587600</x:v>
      </x:c>
      <x:c r="AA782" s="6" t="str">
        <x:v>10.0</x:v>
      </x:c>
      <x:c r="AB782" s="9" t="str">
        <x:v>2025-06-30</x:v>
      </x:c>
      <x:c r="AC782" s="8" t="str">
        <x:v>78.55</x:v>
      </x:c>
      <x:c r="AD782" s="9" t="str">
        <x:v>2025 (Susenas)</x:v>
      </x:c>
      <x:c r="AE782" s="8" t="str">
        <x:v>20.66</x:v>
      </x:c>
      <x:c r="AF782" s="9" t="str">
        <x:v>Maret 2025 (Susenas)</x:v>
      </x:c>
      <x:c r="AG782" s="6" t="str">
        <x:v>25.35888093577654</x:v>
      </x:c>
      <x:c r="AH782" s="8" t="str">
        <x:v>89.71486421943143</x:v>
      </x:c>
      <x:c r="AI782" s="6" t="str">
        <x:v>234.71740002619487</x:v>
      </x:c>
      <x:c r="AJ782" s="6" t="str">
        <x:v>0.5744960952324973</x:v>
      </x:c>
      <x:c r="AK782" s="8" t="str">
        <x:v>1.856187319866092</x:v>
      </x:c>
      <x:c r="AL782" s="6" t="str">
        <x:v>1.7442089725978671</x:v>
      </x:c>
      <x:c r="AM782" s="6" t="str">
        <x:v>2.944305617088539</x:v>
      </x:c>
      <x:c r="AN782" s="6" t="str">
        <x:v>2.1815673031841656</x:v>
      </x:c>
      <x:c r="AO782" s="6" t="str">
        <x:v>-0.4042780161181412</x:v>
      </x:c>
      <x:c r="AP782" s="8" t="str">
        <x:v>-0.3074860839995236</x:v>
      </x:c>
      <x:c r="AQ782" s="6" t="str">
        <x:v>0.6905897163200182</x:v>
      </x:c>
      <x:c r="AR782" s="6" t="str">
        <x:v>0.0658604333157099</x:v>
      </x:c>
      <x:c r="AS782" s="6" t="str">
        <x:v>0.1496546885454019</x:v>
      </x:c>
      <x:c r="AT782" s="6" t="str">
        <x:v>0.517128025050738</x:v>
      </x:c>
      <x:c r="AU782" s="8" t="str">
        <x:v>0.008928042095665</x:v>
      </x:c>
      <x:c r="AV782" s="6" t="str">
        <x:v>1.999589734719475</x:v>
      </x:c>
      <x:c r="AW782" s="6" t="str">
        <x:v>0.1072713119125496</x:v>
      </x:c>
      <x:c r="AX782" s="6" t="str">
        <x:v>0.7052630295758976</x:v>
      </x:c>
      <x:c r="AY782" s="6" t="str">
        <x:v>0</x:v>
      </x:c>
      <x:c r="AZ782" s="6" t="str">
        <x:v>1</x:v>
      </x:c>
      <x:c r="BA782" s="9" t="str">
        <x:v>grid_cells_within_BIG_polygon</x:v>
      </x:c>
      <x:c r="BB782" s="6" t="str">
        <x:v>16</x:v>
      </x:c>
      <x:c r="BC782" s="6" t="str">
        <x:v>1</x:v>
      </x:c>
      <x:c r="BD782" s="6" t="str">
        <x:v>1</x:v>
      </x:c>
      <x:c r="BE782" s="6" t="str">
        <x:v>1</x:v>
      </x:c>
      <x:c r="BF782" s="6" t="str">
        <x:v>0</x:v>
      </x:c>
      <x:c r="BG782" s="6" t="str">
        <x:v>0</x:v>
      </x:c>
      <x:c r="BH782" s="6" t="str">
        <x:v>0</x:v>
      </x:c>
      <x:c r="BI782" s="6" t="str">
        <x:v>0</x:v>
      </x:c>
      <x:c r="BJ782" s="6" t="str">
        <x:v>0</x:v>
      </x:c>
      <x:c r="BK782" s="6" t="str">
        <x:v>0</x:v>
      </x:c>
      <x:c r="BL782" s="6" t="str">
        <x:v>0</x:v>
      </x:c>
      <x:c r="BM782" s="6" t="str">
        <x:v>0</x:v>
      </x:c>
      <x:c r="BN782" s="6" t="str">
        <x:v>1</x:v>
      </x:c>
      <x:c r="BO782" s="6" t="str">
        <x:v>0.0</x:v>
      </x:c>
      <x:c r="BP782" s="6" t="str">
        <x:v>1</x:v>
      </x:c>
      <x:c r="BQ782" s="6" t="str">
        <x:v>0.0</x:v>
      </x:c>
      <x:c r="BR782" s="6" t="str">
        <x:v>1</x:v>
      </x:c>
      <x:c r="BS782" s="6" t="str">
        <x:v>0.0</x:v>
      </x:c>
      <x:c r="BT782" s="6" t="str">
        <x:v>1</x:v>
      </x:c>
      <x:c r="BU782" s="6" t="str"/>
      <x:c r="BV782" s="6" t="str">
        <x:v>0</x:v>
      </x:c>
      <x:c r="BW782" s="9" t="str">
        <x:v>operational_snapshot_annual_totals_may_differ</x:v>
      </x:c>
      <x:c r="BX782" s="9" t="str">
        <x:v>official_live_dashboard_snapshot_subject_to_revision</x:v>
      </x:c>
      <x:c r="BY782" s="9" t="str">
        <x:v>https://tbdashboard.sitb.id/ss_data_tbc03so_2025_provinsi_bulanan_list.php</x:v>
      </x:c>
      <x:c r="BZ782" s="6" t="n">
        <x:v>46246.610671296294</x:v>
      </x:c>
    </x:row>
    <x:row r="783" ht="18" customHeight="1">
      <x:c r="A783" s="6" t="str">
        <x:v>91</x:v>
      </x:c>
      <x:c r="B783" s="6" t="str">
        <x:v>PAPUA BARAT</x:v>
      </x:c>
      <x:c r="C783" s="6" t="str">
        <x:v>2025</x:v>
      </x:c>
      <x:c r="D783" s="6" t="str">
        <x:v>2</x:v>
      </x:c>
      <x:c r="E783" s="6" t="str">
        <x:v>2025-02</x:v>
      </x:c>
      <x:c r="F783" s="6" t="str">
        <x:v>235</x:v>
      </x:c>
      <x:c r="G783" s="6" t="str">
        <x:v>34</x:v>
      </x:c>
      <x:c r="H783" s="6" t="str">
        <x:v>133</x:v>
      </x:c>
      <x:c r="I783" s="6" t="str">
        <x:v>35</x:v>
      </x:c>
      <x:c r="J783" s="6" t="str">
        <x:v>18</x:v>
      </x:c>
      <x:c r="K783" s="6" t="str">
        <x:v>0</x:v>
      </x:c>
      <x:c r="L783" s="6" t="str">
        <x:v>2</x:v>
      </x:c>
      <x:c r="M783" s="6" t="str">
        <x:v>13</x:v>
      </x:c>
      <x:c r="N783" s="6" t="str">
        <x:v>235</x:v>
      </x:c>
      <x:c r="O783" s="6" t="str">
        <x:v>0</x:v>
      </x:c>
      <x:c r="P783" s="10" t="n">
        <x:f>F783-M783</x:f>
        <x:v>222</x:v>
      </x:c>
      <x:c r="Q783" s="11" t="n">
        <x:f>IFERROR(M783/F783,"")</x:f>
        <x:v>0.05531914893617021</x:v>
      </x:c>
      <x:c r="R783" s="10" t="n">
        <x:f>G783+H783</x:f>
        <x:v>167</x:v>
      </x:c>
      <x:c r="S783" s="11" t="n">
        <x:f>IFERROR(R783/F783,"")</x:f>
        <x:v>0.7106382978723405</x:v>
      </x:c>
      <x:c r="T783" s="11" t="n">
        <x:f>IFERROR(R783/P783,"")</x:f>
        <x:v>0.7522522522522522</x:v>
      </x:c>
      <x:c r="U783" s="10" t="n">
        <x:f>I783+J783+K783</x:f>
        <x:v>53</x:v>
      </x:c>
      <x:c r="V783" s="11" t="n">
        <x:f>IFERROR(U783/P783,"")</x:f>
        <x:v>0.23873873873873874</x:v>
      </x:c>
      <x:c r="W783" s="9" t="str">
        <x:v>provisional_gt_5pct_pending</x:v>
      </x:c>
      <x:c r="X783" s="12" t="n">
        <x:f>IFERROR(F783/Z783*100000,"")</x:f>
        <x:v>39.99319264805991</x:v>
      </x:c>
      <x:c r="Y783" s="13" t="n">
        <x:f>LN(Z783)</x:f>
        <x:v>13.28380172328186</x:v>
      </x:c>
      <x:c r="Z783" s="6" t="str">
        <x:v>587600</x:v>
      </x:c>
      <x:c r="AA783" s="6" t="str">
        <x:v>10.0</x:v>
      </x:c>
      <x:c r="AB783" s="9" t="str">
        <x:v>2025-06-30</x:v>
      </x:c>
      <x:c r="AC783" s="8" t="str">
        <x:v>78.55</x:v>
      </x:c>
      <x:c r="AD783" s="9" t="str">
        <x:v>2025 (Susenas)</x:v>
      </x:c>
      <x:c r="AE783" s="8" t="str">
        <x:v>20.66</x:v>
      </x:c>
      <x:c r="AF783" s="9" t="str">
        <x:v>Maret 2025 (Susenas)</x:v>
      </x:c>
      <x:c r="AG783" s="6" t="str">
        <x:v>25.06944951449575</x:v>
      </x:c>
      <x:c r="AH783" s="8" t="str">
        <x:v>89.96381843950056</x:v>
      </x:c>
      <x:c r="AI783" s="6" t="str">
        <x:v>193.9094040665148</x:v>
      </x:c>
      <x:c r="AJ783" s="6" t="str">
        <x:v>0.3306013388973845</x:v>
      </x:c>
      <x:c r="AK783" s="8" t="str">
        <x:v>1.0984120987144834</x:v>
      </x:c>
      <x:c r="AL783" s="6" t="str">
        <x:v>1.856187319866092</x:v>
      </x:c>
      <x:c r="AM783" s="6" t="str">
        <x:v>1.7442089725978671</x:v>
      </x:c>
      <x:c r="AN783" s="6" t="str">
        <x:v>1.5662694637261472</x:v>
      </x:c>
      <x:c r="AO783" s="6" t="str">
        <x:v>-0.1536571511976916</x:v>
      </x:c>
      <x:c r="AP783" s="8" t="str">
        <x:v>-0.1290799426673242</x:v>
      </x:c>
      <x:c r="AQ783" s="6" t="str">
        <x:v>-0.3074860839995236</x:v>
      </x:c>
      <x:c r="AR783" s="6" t="str">
        <x:v>0.6905897163200182</x:v>
      </x:c>
      <x:c r="AS783" s="6" t="str">
        <x:v>0.0846745632177238</x:v>
      </x:c>
      <x:c r="AT783" s="6" t="str">
        <x:v>-24.78353180575789</x:v>
      </x:c>
      <x:c r="AU783" s="8" t="str">
        <x:v>-0.4291290666957655</x:v>
      </x:c>
      <x:c r="AV783" s="6" t="str">
        <x:v>0.008928042095665</x:v>
      </x:c>
      <x:c r="AW783" s="6" t="str">
        <x:v>1.999589734719475</x:v>
      </x:c>
      <x:c r="AX783" s="6" t="str">
        <x:v>0.5264629033731257</x:v>
      </x:c>
      <x:c r="AY783" s="6" t="str">
        <x:v>0</x:v>
      </x:c>
      <x:c r="AZ783" s="6" t="str">
        <x:v>1</x:v>
      </x:c>
      <x:c r="BA783" s="9" t="str">
        <x:v>grid_cells_within_BIG_polygon</x:v>
      </x:c>
      <x:c r="BB783" s="6" t="str">
        <x:v>16</x:v>
      </x:c>
      <x:c r="BC783" s="6" t="str">
        <x:v>1</x:v>
      </x:c>
      <x:c r="BD783" s="6" t="str">
        <x:v>1</x:v>
      </x:c>
      <x:c r="BE783" s="6" t="str">
        <x:v>0</x:v>
      </x:c>
      <x:c r="BF783" s="6" t="str">
        <x:v>0</x:v>
      </x:c>
      <x:c r="BG783" s="6" t="str">
        <x:v>1</x:v>
      </x:c>
      <x:c r="BH783" s="6" t="str">
        <x:v>0</x:v>
      </x:c>
      <x:c r="BI783" s="6" t="str">
        <x:v>0</x:v>
      </x:c>
      <x:c r="BJ783" s="6" t="str">
        <x:v>0</x:v>
      </x:c>
      <x:c r="BK783" s="6" t="str">
        <x:v>0</x:v>
      </x:c>
      <x:c r="BL783" s="6" t="str">
        <x:v>0</x:v>
      </x:c>
      <x:c r="BM783" s="6" t="str">
        <x:v>0</x:v>
      </x:c>
      <x:c r="BN783" s="6" t="str">
        <x:v>1</x:v>
      </x:c>
      <x:c r="BO783" s="6" t="str">
        <x:v>0.0</x:v>
      </x:c>
      <x:c r="BP783" s="6" t="str">
        <x:v>1</x:v>
      </x:c>
      <x:c r="BQ783" s="6" t="str">
        <x:v>0.0</x:v>
      </x:c>
      <x:c r="BR783" s="6" t="str">
        <x:v>1</x:v>
      </x:c>
      <x:c r="BS783" s="6" t="str">
        <x:v>8.0</x:v>
      </x:c>
      <x:c r="BT783" s="6" t="str">
        <x:v>1</x:v>
      </x:c>
      <x:c r="BU783" s="6" t="str"/>
      <x:c r="BV783" s="6" t="str">
        <x:v>0</x:v>
      </x:c>
      <x:c r="BW783" s="9" t="str">
        <x:v>operational_snapshot_annual_totals_may_differ</x:v>
      </x:c>
      <x:c r="BX783" s="9" t="str">
        <x:v>official_live_dashboard_snapshot_subject_to_revision</x:v>
      </x:c>
      <x:c r="BY783" s="9" t="str">
        <x:v>https://tbdashboard.sitb.id/ss_data_tbc03so_2025_provinsi_bulanan_list.php</x:v>
      </x:c>
      <x:c r="BZ783" s="6" t="n">
        <x:v>46246.610671296294</x:v>
      </x:c>
    </x:row>
    <x:row r="784" ht="18" customHeight="1">
      <x:c r="A784" s="6" t="str">
        <x:v>91</x:v>
      </x:c>
      <x:c r="B784" s="6" t="str">
        <x:v>PAPUA BARAT</x:v>
      </x:c>
      <x:c r="C784" s="6" t="str">
        <x:v>2025</x:v>
      </x:c>
      <x:c r="D784" s="6" t="str">
        <x:v>3</x:v>
      </x:c>
      <x:c r="E784" s="6" t="str">
        <x:v>2025-03</x:v>
      </x:c>
      <x:c r="F784" s="6" t="str">
        <x:v>224</x:v>
      </x:c>
      <x:c r="G784" s="6" t="str">
        <x:v>32</x:v>
      </x:c>
      <x:c r="H784" s="6" t="str">
        <x:v>126</x:v>
      </x:c>
      <x:c r="I784" s="6" t="str">
        <x:v>42</x:v>
      </x:c>
      <x:c r="J784" s="6" t="str">
        <x:v>16</x:v>
      </x:c>
      <x:c r="K784" s="6" t="str">
        <x:v>0</x:v>
      </x:c>
      <x:c r="L784" s="6" t="str">
        <x:v>0</x:v>
      </x:c>
      <x:c r="M784" s="6" t="str">
        <x:v>8</x:v>
      </x:c>
      <x:c r="N784" s="6" t="str">
        <x:v>224</x:v>
      </x:c>
      <x:c r="O784" s="6" t="str">
        <x:v>0</x:v>
      </x:c>
      <x:c r="P784" s="10" t="n">
        <x:f>F784-M784</x:f>
        <x:v>216</x:v>
      </x:c>
      <x:c r="Q784" s="11" t="n">
        <x:f>IFERROR(M784/F784,"")</x:f>
        <x:v>0.03571428571428571</x:v>
      </x:c>
      <x:c r="R784" s="10" t="n">
        <x:f>G784+H784</x:f>
        <x:v>158</x:v>
      </x:c>
      <x:c r="S784" s="11" t="n">
        <x:f>IFERROR(R784/F784,"")</x:f>
        <x:v>0.7053571428571429</x:v>
      </x:c>
      <x:c r="T784" s="11" t="n">
        <x:f>IFERROR(R784/P784,"")</x:f>
        <x:v>0.7314814814814815</x:v>
      </x:c>
      <x:c r="U784" s="10" t="n">
        <x:f>I784+J784+K784</x:f>
        <x:v>58</x:v>
      </x:c>
      <x:c r="V784" s="11" t="n">
        <x:f>IFERROR(U784/P784,"")</x:f>
        <x:v>0.26851851851851855</x:v>
      </x:c>
      <x:c r="W784" s="9" t="str">
        <x:v>mature_le_5pct_pending</x:v>
      </x:c>
      <x:c r="X784" s="12" t="n">
        <x:f>IFERROR(F784/Z784*100000,"")</x:f>
        <x:v>38.121170864533696</x:v>
      </x:c>
      <x:c r="Y784" s="13" t="n">
        <x:f>LN(Z784)</x:f>
        <x:v>13.28380172328186</x:v>
      </x:c>
      <x:c r="Z784" s="6" t="str">
        <x:v>587600</x:v>
      </x:c>
      <x:c r="AA784" s="6" t="str">
        <x:v>10.0</x:v>
      </x:c>
      <x:c r="AB784" s="9" t="str">
        <x:v>2025-06-30</x:v>
      </x:c>
      <x:c r="AC784" s="8" t="str">
        <x:v>78.55</x:v>
      </x:c>
      <x:c r="AD784" s="9" t="str">
        <x:v>2025 (Susenas)</x:v>
      </x:c>
      <x:c r="AE784" s="8" t="str">
        <x:v>20.66</x:v>
      </x:c>
      <x:c r="AF784" s="9" t="str">
        <x:v>Maret 2025 (Susenas)</x:v>
      </x:c>
      <x:c r="AG784" s="6" t="str">
        <x:v>25.348811625061355</x:v>
      </x:c>
      <x:c r="AH784" s="8" t="str">
        <x:v>89.40226365042805</x:v>
      </x:c>
      <x:c r="AI784" s="6" t="str">
        <x:v>299.7910185543837</x:v>
      </x:c>
      <x:c r="AJ784" s="6" t="str">
        <x:v>0.5966893257658512</x:v>
      </x:c>
      <x:c r="AK784" s="8" t="str">
        <x:v>2.103626438457916</x:v>
      </x:c>
      <x:c r="AL784" s="6" t="str">
        <x:v>1.0984120987144834</x:v>
      </x:c>
      <x:c r="AM784" s="6" t="str">
        <x:v>1.856187319866092</x:v>
      </x:c>
      <x:c r="AN784" s="6" t="str">
        <x:v>1.6860752856794967</x:v>
      </x:c>
      <x:c r="AO784" s="6" t="str">
        <x:v>-0.8924926957332104</x:v>
      </x:c>
      <x:c r="AP784" s="8" t="str">
        <x:v>-1.226512389231097</x:v>
      </x:c>
      <x:c r="AQ784" s="6" t="str">
        <x:v>-0.1290799426673242</x:v>
      </x:c>
      <x:c r="AR784" s="6" t="str">
        <x:v>-0.3074860839995236</x:v>
      </x:c>
      <x:c r="AS784" s="6" t="str">
        <x:v>-0.5543594719659812</x:v>
      </x:c>
      <x:c r="AT784" s="6" t="str">
        <x:v>32.42104724143337</x:v>
      </x:c>
      <x:c r="AU784" s="8" t="str">
        <x:v>0.3817675789313115</x:v>
      </x:c>
      <x:c r="AV784" s="6" t="str">
        <x:v>-0.4291290666957655</x:v>
      </x:c>
      <x:c r="AW784" s="6" t="str">
        <x:v>0.008928042095665</x:v>
      </x:c>
      <x:c r="AX784" s="6" t="str">
        <x:v>-0.0128111485562621</x:v>
      </x:c>
      <x:c r="AY784" s="6" t="str">
        <x:v>0</x:v>
      </x:c>
      <x:c r="AZ784" s="6" t="str">
        <x:v>1</x:v>
      </x:c>
      <x:c r="BA784" s="9" t="str">
        <x:v>grid_cells_within_BIG_polygon</x:v>
      </x:c>
      <x:c r="BB784" s="6" t="str">
        <x:v>16</x:v>
      </x:c>
      <x:c r="BC784" s="6" t="str">
        <x:v>0</x:v>
      </x:c>
      <x:c r="BD784" s="6" t="str">
        <x:v>0</x:v>
      </x:c>
      <x:c r="BE784" s="6" t="str">
        <x:v>0</x:v>
      </x:c>
      <x:c r="BF784" s="6" t="str">
        <x:v>0</x:v>
      </x:c>
      <x:c r="BG784" s="6" t="str">
        <x:v>0</x:v>
      </x:c>
      <x:c r="BH784" s="6" t="str">
        <x:v>0</x:v>
      </x:c>
      <x:c r="BI784" s="6" t="str">
        <x:v>0</x:v>
      </x:c>
      <x:c r="BJ784" s="6" t="str">
        <x:v>0</x:v>
      </x:c>
      <x:c r="BK784" s="6" t="str">
        <x:v>0</x:v>
      </x:c>
      <x:c r="BL784" s="6" t="str">
        <x:v>0</x:v>
      </x:c>
      <x:c r="BM784" s="6" t="str">
        <x:v>0</x:v>
      </x:c>
      <x:c r="BN784" s="6" t="str">
        <x:v>0</x:v>
      </x:c>
      <x:c r="BO784" s="6" t="str"/>
      <x:c r="BP784" s="6" t="str">
        <x:v>0</x:v>
      </x:c>
      <x:c r="BQ784" s="6" t="str"/>
      <x:c r="BR784" s="6" t="str">
        <x:v>0</x:v>
      </x:c>
      <x:c r="BS784" s="6" t="str"/>
      <x:c r="BT784" s="6" t="str">
        <x:v>0</x:v>
      </x:c>
      <x:c r="BU784" s="6" t="str"/>
      <x:c r="BV784" s="6" t="str">
        <x:v>0</x:v>
      </x:c>
      <x:c r="BW784" s="9" t="str">
        <x:v>operational_snapshot_annual_totals_may_differ</x:v>
      </x:c>
      <x:c r="BX784" s="9" t="str">
        <x:v>official_live_dashboard_snapshot_subject_to_revision</x:v>
      </x:c>
      <x:c r="BY784" s="9" t="str">
        <x:v>https://tbdashboard.sitb.id/ss_data_tbc03so_2025_provinsi_bulanan_list.php</x:v>
      </x:c>
      <x:c r="BZ784" s="6" t="n">
        <x:v>46246.610671296294</x:v>
      </x:c>
    </x:row>
    <x:row r="785" ht="18" customHeight="1">
      <x:c r="A785" s="6" t="str">
        <x:v>91</x:v>
      </x:c>
      <x:c r="B785" s="6" t="str">
        <x:v>PAPUA BARAT</x:v>
      </x:c>
      <x:c r="C785" s="6" t="str">
        <x:v>2025</x:v>
      </x:c>
      <x:c r="D785" s="6" t="str">
        <x:v>4</x:v>
      </x:c>
      <x:c r="E785" s="6" t="str">
        <x:v>2025-04</x:v>
      </x:c>
      <x:c r="F785" s="6" t="str">
        <x:v>194</x:v>
      </x:c>
      <x:c r="G785" s="6" t="str">
        <x:v>31</x:v>
      </x:c>
      <x:c r="H785" s="6" t="str">
        <x:v>97</x:v>
      </x:c>
      <x:c r="I785" s="6" t="str">
        <x:v>40</x:v>
      </x:c>
      <x:c r="J785" s="6" t="str">
        <x:v>11</x:v>
      </x:c>
      <x:c r="K785" s="6" t="str">
        <x:v>2</x:v>
      </x:c>
      <x:c r="L785" s="6" t="str">
        <x:v>0</x:v>
      </x:c>
      <x:c r="M785" s="6" t="str">
        <x:v>13</x:v>
      </x:c>
      <x:c r="N785" s="6" t="str">
        <x:v>194</x:v>
      </x:c>
      <x:c r="O785" s="6" t="str">
        <x:v>0</x:v>
      </x:c>
      <x:c r="P785" s="10" t="n">
        <x:f>F785-M785</x:f>
        <x:v>181</x:v>
      </x:c>
      <x:c r="Q785" s="11" t="n">
        <x:f>IFERROR(M785/F785,"")</x:f>
        <x:v>0.06701030927835051</x:v>
      </x:c>
      <x:c r="R785" s="10" t="n">
        <x:f>G785+H785</x:f>
        <x:v>128</x:v>
      </x:c>
      <x:c r="S785" s="11" t="n">
        <x:f>IFERROR(R785/F785,"")</x:f>
        <x:v>0.6597938144329897</x:v>
      </x:c>
      <x:c r="T785" s="11" t="n">
        <x:f>IFERROR(R785/P785,"")</x:f>
        <x:v>0.7071823204419889</x:v>
      </x:c>
      <x:c r="U785" s="10" t="n">
        <x:f>I785+J785+K785</x:f>
        <x:v>53</x:v>
      </x:c>
      <x:c r="V785" s="11" t="n">
        <x:f>IFERROR(U785/P785,"")</x:f>
        <x:v>0.292817679558011</x:v>
      </x:c>
      <x:c r="W785" s="9" t="str">
        <x:v>provisional_gt_5pct_pending</x:v>
      </x:c>
      <x:c r="X785" s="12" t="n">
        <x:f>IFERROR(F785/Z785*100000,"")</x:f>
        <x:v>33.015656909462216</x:v>
      </x:c>
      <x:c r="Y785" s="13" t="n">
        <x:f>LN(Z785)</x:f>
        <x:v>13.28380172328186</x:v>
      </x:c>
      <x:c r="Z785" s="6" t="str">
        <x:v>587600</x:v>
      </x:c>
      <x:c r="AA785" s="6" t="str">
        <x:v>10.0</x:v>
      </x:c>
      <x:c r="AB785" s="9" t="str">
        <x:v>2025-06-30</x:v>
      </x:c>
      <x:c r="AC785" s="8" t="str">
        <x:v>78.55</x:v>
      </x:c>
      <x:c r="AD785" s="9" t="str">
        <x:v>2025 (Susenas)</x:v>
      </x:c>
      <x:c r="AE785" s="8" t="str">
        <x:v>20.66</x:v>
      </x:c>
      <x:c r="AF785" s="9" t="str">
        <x:v>Maret 2025 (Susenas)</x:v>
      </x:c>
      <x:c r="AG785" s="6" t="str">
        <x:v>25.003234474547675</x:v>
      </x:c>
      <x:c r="AH785" s="8" t="str">
        <x:v>90.05021449838414</x:v>
      </x:c>
      <x:c r="AI785" s="6" t="str">
        <x:v>246.34027095903144</x:v>
      </x:c>
      <x:c r="AJ785" s="6" t="str">
        <x:v>0.1657789859117961</x:v>
      </x:c>
      <x:c r="AK785" s="8" t="str">
        <x:v>0.6192633180357148</x:v>
      </x:c>
      <x:c r="AL785" s="6" t="str">
        <x:v>2.103626438457916</x:v>
      </x:c>
      <x:c r="AM785" s="6" t="str">
        <x:v>1.0984120987144834</x:v>
      </x:c>
      <x:c r="AN785" s="6" t="str">
        <x:v>1.2737672850693709</x:v>
      </x:c>
      <x:c r="AO785" s="6" t="str">
        <x:v>-0.9102236250812724</x:v>
      </x:c>
      <x:c r="AP785" s="8" t="str">
        <x:v>-1.2392472914434962</x:v>
      </x:c>
      <x:c r="AQ785" s="6" t="str">
        <x:v>-1.226512389231097</x:v>
      </x:c>
      <x:c r="AR785" s="6" t="str">
        <x:v>-0.1290799426673242</x:v>
      </x:c>
      <x:c r="AS785" s="6" t="str">
        <x:v>-0.8649465411139721</x:v>
      </x:c>
      <x:c r="AT785" s="6" t="str">
        <x:v>-21.281953907427635</x:v>
      </x:c>
      <x:c r="AU785" s="8" t="str">
        <x:v>-0.2621931235640431</x:v>
      </x:c>
      <x:c r="AV785" s="6" t="str">
        <x:v>0.3817675789313115</x:v>
      </x:c>
      <x:c r="AW785" s="6" t="str">
        <x:v>-0.4291290666957655</x:v>
      </x:c>
      <x:c r="AX785" s="6" t="str">
        <x:v>-0.1031848704428315</x:v>
      </x:c>
      <x:c r="AY785" s="6" t="str">
        <x:v>0</x:v>
      </x:c>
      <x:c r="AZ785" s="6" t="str">
        <x:v>0</x:v>
      </x:c>
      <x:c r="BA785" s="9" t="str">
        <x:v>grid_cells_within_BIG_polygon</x:v>
      </x:c>
      <x:c r="BB785" s="6" t="str">
        <x:v>16</x:v>
      </x:c>
      <x:c r="BC785" s="6" t="str">
        <x:v>1</x:v>
      </x:c>
      <x:c r="BD785" s="6" t="str">
        <x:v>1</x:v>
      </x:c>
      <x:c r="BE785" s="6" t="str">
        <x:v>1</x:v>
      </x:c>
      <x:c r="BF785" s="6" t="str">
        <x:v>0</x:v>
      </x:c>
      <x:c r="BG785" s="6" t="str">
        <x:v>0</x:v>
      </x:c>
      <x:c r="BH785" s="6" t="str">
        <x:v>0</x:v>
      </x:c>
      <x:c r="BI785" s="6" t="str">
        <x:v>0</x:v>
      </x:c>
      <x:c r="BJ785" s="6" t="str">
        <x:v>0</x:v>
      </x:c>
      <x:c r="BK785" s="6" t="str">
        <x:v>0</x:v>
      </x:c>
      <x:c r="BL785" s="6" t="str">
        <x:v>0</x:v>
      </x:c>
      <x:c r="BM785" s="6" t="str">
        <x:v>0</x:v>
      </x:c>
      <x:c r="BN785" s="6" t="str">
        <x:v>1</x:v>
      </x:c>
      <x:c r="BO785" s="6" t="str">
        <x:v>0.0</x:v>
      </x:c>
      <x:c r="BP785" s="6" t="str">
        <x:v>1</x:v>
      </x:c>
      <x:c r="BQ785" s="6" t="str">
        <x:v>0.0</x:v>
      </x:c>
      <x:c r="BR785" s="6" t="str">
        <x:v>1</x:v>
      </x:c>
      <x:c r="BS785" s="6" t="str">
        <x:v>0.0</x:v>
      </x:c>
      <x:c r="BT785" s="6" t="str">
        <x:v>1</x:v>
      </x:c>
      <x:c r="BU785" s="6" t="str">
        <x:v>20.0</x:v>
      </x:c>
      <x:c r="BV785" s="6" t="str">
        <x:v>1</x:v>
      </x:c>
      <x:c r="BW785" s="9" t="str">
        <x:v>operational_snapshot_annual_totals_may_differ</x:v>
      </x:c>
      <x:c r="BX785" s="9" t="str">
        <x:v>official_live_dashboard_snapshot_subject_to_revision</x:v>
      </x:c>
      <x:c r="BY785" s="9" t="str">
        <x:v>https://tbdashboard.sitb.id/ss_data_tbc03so_2025_provinsi_bulanan_list.php</x:v>
      </x:c>
      <x:c r="BZ785" s="6" t="n">
        <x:v>46246.610671296294</x:v>
      </x:c>
    </x:row>
    <x:row r="786" ht="18" customHeight="1">
      <x:c r="A786" s="6" t="str">
        <x:v>91</x:v>
      </x:c>
      <x:c r="B786" s="6" t="str">
        <x:v>PAPUA BARAT</x:v>
      </x:c>
      <x:c r="C786" s="6" t="str">
        <x:v>2025</x:v>
      </x:c>
      <x:c r="D786" s="6" t="str">
        <x:v>5</x:v>
      </x:c>
      <x:c r="E786" s="6" t="str">
        <x:v>2025-05</x:v>
      </x:c>
      <x:c r="F786" s="6" t="str">
        <x:v>193</x:v>
      </x:c>
      <x:c r="G786" s="6" t="str">
        <x:v>41</x:v>
      </x:c>
      <x:c r="H786" s="6" t="str">
        <x:v>100</x:v>
      </x:c>
      <x:c r="I786" s="6" t="str">
        <x:v>36</x:v>
      </x:c>
      <x:c r="J786" s="6" t="str">
        <x:v>8</x:v>
      </x:c>
      <x:c r="K786" s="6" t="str">
        <x:v>1</x:v>
      </x:c>
      <x:c r="L786" s="6" t="str">
        <x:v>0</x:v>
      </x:c>
      <x:c r="M786" s="6" t="str">
        <x:v>7</x:v>
      </x:c>
      <x:c r="N786" s="6" t="str">
        <x:v>193</x:v>
      </x:c>
      <x:c r="O786" s="6" t="str">
        <x:v>0</x:v>
      </x:c>
      <x:c r="P786" s="10" t="n">
        <x:f>F786-M786</x:f>
        <x:v>186</x:v>
      </x:c>
      <x:c r="Q786" s="11" t="n">
        <x:f>IFERROR(M786/F786,"")</x:f>
        <x:v>0.03626943005181347</x:v>
      </x:c>
      <x:c r="R786" s="10" t="n">
        <x:f>G786+H786</x:f>
        <x:v>141</x:v>
      </x:c>
      <x:c r="S786" s="11" t="n">
        <x:f>IFERROR(R786/F786,"")</x:f>
        <x:v>0.7305699481865285</x:v>
      </x:c>
      <x:c r="T786" s="11" t="n">
        <x:f>IFERROR(R786/P786,"")</x:f>
        <x:v>0.7580645161290323</x:v>
      </x:c>
      <x:c r="U786" s="10" t="n">
        <x:f>I786+J786+K786</x:f>
        <x:v>45</x:v>
      </x:c>
      <x:c r="V786" s="11" t="n">
        <x:f>IFERROR(U786/P786,"")</x:f>
        <x:v>0.24193548387096775</x:v>
      </x:c>
      <x:c r="W786" s="9" t="str">
        <x:v>mature_le_5pct_pending</x:v>
      </x:c>
      <x:c r="X786" s="12" t="n">
        <x:f>IFERROR(F786/Z786*100000,"")</x:f>
        <x:v>32.84547311095984</x:v>
      </x:c>
      <x:c r="Y786" s="13" t="n">
        <x:f>LN(Z786)</x:f>
        <x:v>13.28380172328186</x:v>
      </x:c>
      <x:c r="Z786" s="6" t="str">
        <x:v>587600</x:v>
      </x:c>
      <x:c r="AA786" s="6" t="str">
        <x:v>10.0</x:v>
      </x:c>
      <x:c r="AB786" s="9" t="str">
        <x:v>2025-06-30</x:v>
      </x:c>
      <x:c r="AC786" s="8" t="str">
        <x:v>78.55</x:v>
      </x:c>
      <x:c r="AD786" s="9" t="str">
        <x:v>2025 (Susenas)</x:v>
      </x:c>
      <x:c r="AE786" s="8" t="str">
        <x:v>20.66</x:v>
      </x:c>
      <x:c r="AF786" s="9" t="str">
        <x:v>Maret 2025 (Susenas)</x:v>
      </x:c>
      <x:c r="AG786" s="6" t="str">
        <x:v>25.286371682109376</x:v>
      </x:c>
      <x:c r="AH786" s="8" t="str">
        <x:v>91.10757478205056</x:v>
      </x:c>
      <x:c r="AI786" s="6" t="str">
        <x:v>290.397247411172</x:v>
      </x:c>
      <x:c r="AJ786" s="6" t="str">
        <x:v>0.4511361306768826</x:v>
      </x:c>
      <x:c r="AK786" s="8" t="str">
        <x:v>1.181985239947244</x:v>
      </x:c>
      <x:c r="AL786" s="6" t="str">
        <x:v>0.6192633180357148</x:v>
      </x:c>
      <x:c r="AM786" s="6" t="str">
        <x:v>2.103626438457916</x:v>
      </x:c>
      <x:c r="AN786" s="6" t="str">
        <x:v>1.3016249988136246</x:v>
      </x:c>
      <x:c r="AO786" s="6" t="str">
        <x:v>0.1742076909374219</x:v>
      </x:c>
      <x:c r="AP786" s="8" t="str">
        <x:v>0.1697142236038099</x:v>
      </x:c>
      <x:c r="AQ786" s="6" t="str">
        <x:v>-1.2392472914434962</x:v>
      </x:c>
      <x:c r="AR786" s="6" t="str">
        <x:v>-1.226512389231097</x:v>
      </x:c>
      <x:c r="AS786" s="6" t="str">
        <x:v>-0.7653484856902607</x:v>
      </x:c>
      <x:c r="AT786" s="6" t="str">
        <x:v>40.444965319016205</x:v>
      </x:c>
      <x:c r="AU786" s="8" t="str">
        <x:v>0.4010105011303692</x:v>
      </x:c>
      <x:c r="AV786" s="6" t="str">
        <x:v>-0.2621931235640431</x:v>
      </x:c>
      <x:c r="AW786" s="6" t="str">
        <x:v>0.3817675789313115</x:v>
      </x:c>
      <x:c r="AX786" s="6" t="str">
        <x:v>0.1735283188325466</x:v>
      </x:c>
      <x:c r="AY786" s="6" t="str">
        <x:v>0</x:v>
      </x:c>
      <x:c r="AZ786" s="6" t="str">
        <x:v>1</x:v>
      </x:c>
      <x:c r="BA786" s="9" t="str">
        <x:v>grid_cells_within_BIG_polygon</x:v>
      </x:c>
      <x:c r="BB786" s="6" t="str">
        <x:v>16</x:v>
      </x:c>
      <x:c r="BC786" s="6" t="str">
        <x:v>2</x:v>
      </x:c>
      <x:c r="BD786" s="6" t="str">
        <x:v>2</x:v>
      </x:c>
      <x:c r="BE786" s="6" t="str">
        <x:v>2</x:v>
      </x:c>
      <x:c r="BF786" s="6" t="str">
        <x:v>0</x:v>
      </x:c>
      <x:c r="BG786" s="6" t="str">
        <x:v>0</x:v>
      </x:c>
      <x:c r="BH786" s="6" t="str">
        <x:v>0</x:v>
      </x:c>
      <x:c r="BI786" s="6" t="str">
        <x:v>0</x:v>
      </x:c>
      <x:c r="BJ786" s="6" t="str">
        <x:v>0</x:v>
      </x:c>
      <x:c r="BK786" s="6" t="str">
        <x:v>0</x:v>
      </x:c>
      <x:c r="BL786" s="6" t="str">
        <x:v>0</x:v>
      </x:c>
      <x:c r="BM786" s="6" t="str">
        <x:v>0</x:v>
      </x:c>
      <x:c r="BN786" s="6" t="str">
        <x:v>2</x:v>
      </x:c>
      <x:c r="BO786" s="6" t="str">
        <x:v>16.0</x:v>
      </x:c>
      <x:c r="BP786" s="6" t="str">
        <x:v>1</x:v>
      </x:c>
      <x:c r="BQ786" s="6" t="str">
        <x:v>4.0</x:v>
      </x:c>
      <x:c r="BR786" s="6" t="str">
        <x:v>1</x:v>
      </x:c>
      <x:c r="BS786" s="6" t="str">
        <x:v>0.0</x:v>
      </x:c>
      <x:c r="BT786" s="6" t="str">
        <x:v>2</x:v>
      </x:c>
      <x:c r="BU786" s="6" t="str">
        <x:v>57.0</x:v>
      </x:c>
      <x:c r="BV786" s="6" t="str">
        <x:v>1</x:v>
      </x:c>
      <x:c r="BW786" s="9" t="str">
        <x:v>operational_snapshot_annual_totals_may_differ</x:v>
      </x:c>
      <x:c r="BX786" s="9" t="str">
        <x:v>official_live_dashboard_snapshot_subject_to_revision</x:v>
      </x:c>
      <x:c r="BY786" s="9" t="str">
        <x:v>https://tbdashboard.sitb.id/ss_data_tbc03so_2025_provinsi_bulanan_list.php</x:v>
      </x:c>
      <x:c r="BZ786" s="6" t="n">
        <x:v>46246.610671296294</x:v>
      </x:c>
    </x:row>
    <x:row r="787" ht="18" customHeight="1">
      <x:c r="A787" s="6" t="str">
        <x:v>91</x:v>
      </x:c>
      <x:c r="B787" s="6" t="str">
        <x:v>PAPUA BARAT</x:v>
      </x:c>
      <x:c r="C787" s="6" t="str">
        <x:v>2025</x:v>
      </x:c>
      <x:c r="D787" s="6" t="str">
        <x:v>6</x:v>
      </x:c>
      <x:c r="E787" s="6" t="str">
        <x:v>2025-06</x:v>
      </x:c>
      <x:c r="F787" s="6" t="str">
        <x:v>204</x:v>
      </x:c>
      <x:c r="G787" s="6" t="str">
        <x:v>33</x:v>
      </x:c>
      <x:c r="H787" s="6" t="str">
        <x:v>108</x:v>
      </x:c>
      <x:c r="I787" s="6" t="str">
        <x:v>29</x:v>
      </x:c>
      <x:c r="J787" s="6" t="str">
        <x:v>10</x:v>
      </x:c>
      <x:c r="K787" s="6" t="str">
        <x:v>2</x:v>
      </x:c>
      <x:c r="L787" s="6" t="str">
        <x:v>0</x:v>
      </x:c>
      <x:c r="M787" s="6" t="str">
        <x:v>22</x:v>
      </x:c>
      <x:c r="N787" s="6" t="str">
        <x:v>204</x:v>
      </x:c>
      <x:c r="O787" s="6" t="str">
        <x:v>0</x:v>
      </x:c>
      <x:c r="P787" s="10" t="n">
        <x:f>F787-M787</x:f>
        <x:v>182</x:v>
      </x:c>
      <x:c r="Q787" s="11" t="n">
        <x:f>IFERROR(M787/F787,"")</x:f>
        <x:v>0.10784313725490197</x:v>
      </x:c>
      <x:c r="R787" s="10" t="n">
        <x:f>G787+H787</x:f>
        <x:v>141</x:v>
      </x:c>
      <x:c r="S787" s="11" t="n">
        <x:f>IFERROR(R787/F787,"")</x:f>
        <x:v>0.6911764705882353</x:v>
      </x:c>
      <x:c r="T787" s="11" t="n">
        <x:f>IFERROR(R787/P787,"")</x:f>
        <x:v>0.7747252747252747</x:v>
      </x:c>
      <x:c r="U787" s="10" t="n">
        <x:f>I787+J787+K787</x:f>
        <x:v>41</x:v>
      </x:c>
      <x:c r="V787" s="11" t="n">
        <x:f>IFERROR(U787/P787,"")</x:f>
        <x:v>0.22527472527472528</x:v>
      </x:c>
      <x:c r="W787" s="9" t="str">
        <x:v>provisional_gt_5pct_pending</x:v>
      </x:c>
      <x:c r="X787" s="12" t="n">
        <x:f>IFERROR(F787/Z787*100000,"")</x:f>
        <x:v>34.717494894486045</x:v>
      </x:c>
      <x:c r="Y787" s="13" t="n">
        <x:f>LN(Z787)</x:f>
        <x:v>13.28380172328186</x:v>
      </x:c>
      <x:c r="Z787" s="6" t="str">
        <x:v>587600</x:v>
      </x:c>
      <x:c r="AA787" s="6" t="str">
        <x:v>10.0</x:v>
      </x:c>
      <x:c r="AB787" s="9" t="str">
        <x:v>2025-06-30</x:v>
      </x:c>
      <x:c r="AC787" s="8" t="str">
        <x:v>78.55</x:v>
      </x:c>
      <x:c r="AD787" s="9" t="str">
        <x:v>2025 (Susenas)</x:v>
      </x:c>
      <x:c r="AE787" s="8" t="str">
        <x:v>20.66</x:v>
      </x:c>
      <x:c r="AF787" s="9" t="str">
        <x:v>Maret 2025 (Susenas)</x:v>
      </x:c>
      <x:c r="AG787" s="6" t="str">
        <x:v>24.79649389645637</x:v>
      </x:c>
      <x:c r="AH787" s="8" t="str">
        <x:v>91.90223084515752</x:v>
      </x:c>
      <x:c r="AI787" s="6" t="str">
        <x:v>310.8452076998323</x:v>
      </x:c>
      <x:c r="AJ787" s="6" t="str">
        <x:v>0.6254841454492315</x:v>
      </x:c>
      <x:c r="AK787" s="8" t="str">
        <x:v>1.7623843451711776</x:v>
      </x:c>
      <x:c r="AL787" s="6" t="str">
        <x:v>1.181985239947244</x:v>
      </x:c>
      <x:c r="AM787" s="6" t="str">
        <x:v>0.6192633180357148</x:v>
      </x:c>
      <x:c r="AN787" s="6" t="str">
        <x:v>1.1878776343847115</x:v>
      </x:c>
      <x:c r="AO787" s="6" t="str">
        <x:v>0.2101732413677126</x:v>
      </x:c>
      <x:c r="AP787" s="8" t="str">
        <x:v>0.1655450488966438</x:v>
      </x:c>
      <x:c r="AQ787" s="6" t="str">
        <x:v>0.1697142236038099</x:v>
      </x:c>
      <x:c r="AR787" s="6" t="str">
        <x:v>-1.2392472914434962</x:v>
      </x:c>
      <x:c r="AS787" s="6" t="str">
        <x:v>-0.3013293396476804</x:v>
      </x:c>
      <x:c r="AT787" s="6" t="str">
        <x:v>61.211972326177886</x:v>
      </x:c>
      <x:c r="AU787" s="8" t="str">
        <x:v>0.594140060536282</x:v>
      </x:c>
      <x:c r="AV787" s="6" t="str">
        <x:v>0.4010105011303692</x:v>
      </x:c>
      <x:c r="AW787" s="6" t="str">
        <x:v>-0.2621931235640431</x:v>
      </x:c>
      <x:c r="AX787" s="6" t="str">
        <x:v>0.2443191460342035</x:v>
      </x:c>
      <x:c r="AY787" s="6" t="str">
        <x:v>0</x:v>
      </x:c>
      <x:c r="AZ787" s="6" t="str">
        <x:v>1</x:v>
      </x:c>
      <x:c r="BA787" s="9" t="str">
        <x:v>grid_cells_within_BIG_polygon</x:v>
      </x:c>
      <x:c r="BB787" s="6" t="str">
        <x:v>16</x:v>
      </x:c>
      <x:c r="BC787" s="6" t="str">
        <x:v>1</x:v>
      </x:c>
      <x:c r="BD787" s="6" t="str">
        <x:v>1</x:v>
      </x:c>
      <x:c r="BE787" s="6" t="str">
        <x:v>1</x:v>
      </x:c>
      <x:c r="BF787" s="6" t="str">
        <x:v>0</x:v>
      </x:c>
      <x:c r="BG787" s="6" t="str">
        <x:v>0</x:v>
      </x:c>
      <x:c r="BH787" s="6" t="str">
        <x:v>0</x:v>
      </x:c>
      <x:c r="BI787" s="6" t="str">
        <x:v>0</x:v>
      </x:c>
      <x:c r="BJ787" s="6" t="str">
        <x:v>0</x:v>
      </x:c>
      <x:c r="BK787" s="6" t="str">
        <x:v>0</x:v>
      </x:c>
      <x:c r="BL787" s="6" t="str">
        <x:v>0</x:v>
      </x:c>
      <x:c r="BM787" s="6" t="str">
        <x:v>0</x:v>
      </x:c>
      <x:c r="BN787" s="6" t="str">
        <x:v>1</x:v>
      </x:c>
      <x:c r="BO787" s="6" t="str"/>
      <x:c r="BP787" s="6" t="str">
        <x:v>0</x:v>
      </x:c>
      <x:c r="BQ787" s="6" t="str"/>
      <x:c r="BR787" s="6" t="str">
        <x:v>0</x:v>
      </x:c>
      <x:c r="BS787" s="6" t="str">
        <x:v>0.0</x:v>
      </x:c>
      <x:c r="BT787" s="6" t="str">
        <x:v>1</x:v>
      </x:c>
      <x:c r="BU787" s="6" t="str">
        <x:v>35.0</x:v>
      </x:c>
      <x:c r="BV787" s="6" t="str">
        <x:v>1</x:v>
      </x:c>
      <x:c r="BW787" s="9" t="str">
        <x:v>operational_snapshot_annual_totals_may_differ</x:v>
      </x:c>
      <x:c r="BX787" s="9" t="str">
        <x:v>official_live_dashboard_snapshot_subject_to_revision</x:v>
      </x:c>
      <x:c r="BY787" s="9" t="str">
        <x:v>https://tbdashboard.sitb.id/ss_data_tbc03so_2025_provinsi_bulanan_list.php</x:v>
      </x:c>
      <x:c r="BZ787" s="6" t="n">
        <x:v>46246.610671296294</x:v>
      </x:c>
    </x:row>
    <x:row r="788" ht="18" customHeight="1">
      <x:c r="A788" s="6" t="str">
        <x:v>91</x:v>
      </x:c>
      <x:c r="B788" s="6" t="str">
        <x:v>PAPUA BARAT</x:v>
      </x:c>
      <x:c r="C788" s="6" t="str">
        <x:v>2025</x:v>
      </x:c>
      <x:c r="D788" s="6" t="str">
        <x:v>7</x:v>
      </x:c>
      <x:c r="E788" s="6" t="str">
        <x:v>2025-07</x:v>
      </x:c>
      <x:c r="F788" s="6" t="str">
        <x:v>257</x:v>
      </x:c>
      <x:c r="G788" s="6" t="str">
        <x:v>45</x:v>
      </x:c>
      <x:c r="H788" s="6" t="str">
        <x:v>121</x:v>
      </x:c>
      <x:c r="I788" s="6" t="str">
        <x:v>49</x:v>
      </x:c>
      <x:c r="J788" s="6" t="str">
        <x:v>11</x:v>
      </x:c>
      <x:c r="K788" s="6" t="str">
        <x:v>0</x:v>
      </x:c>
      <x:c r="L788" s="6" t="str">
        <x:v>0</x:v>
      </x:c>
      <x:c r="M788" s="6" t="str">
        <x:v>31</x:v>
      </x:c>
      <x:c r="N788" s="6" t="str">
        <x:v>257</x:v>
      </x:c>
      <x:c r="O788" s="6" t="str">
        <x:v>0</x:v>
      </x:c>
      <x:c r="P788" s="10" t="n">
        <x:f>F788-M788</x:f>
        <x:v>226</x:v>
      </x:c>
      <x:c r="Q788" s="11" t="n">
        <x:f>IFERROR(M788/F788,"")</x:f>
        <x:v>0.12062256809338522</x:v>
      </x:c>
      <x:c r="R788" s="10" t="n">
        <x:f>G788+H788</x:f>
        <x:v>166</x:v>
      </x:c>
      <x:c r="S788" s="11" t="n">
        <x:f>IFERROR(R788/F788,"")</x:f>
        <x:v>0.6459143968871596</x:v>
      </x:c>
      <x:c r="T788" s="11" t="n">
        <x:f>IFERROR(R788/P788,"")</x:f>
        <x:v>0.7345132743362832</x:v>
      </x:c>
      <x:c r="U788" s="10" t="n">
        <x:f>I788+J788+K788</x:f>
        <x:v>60</x:v>
      </x:c>
      <x:c r="V788" s="11" t="n">
        <x:f>IFERROR(U788/P788,"")</x:f>
        <x:v>0.26548672566371684</x:v>
      </x:c>
      <x:c r="W788" s="9" t="str">
        <x:v>provisional_gt_5pct_pending</x:v>
      </x:c>
      <x:c r="X788" s="12" t="n">
        <x:f>IFERROR(F788/Z788*100000,"")</x:f>
        <x:v>43.73723621511232</x:v>
      </x:c>
      <x:c r="Y788" s="13" t="n">
        <x:f>LN(Z788)</x:f>
        <x:v>13.28380172328186</x:v>
      </x:c>
      <x:c r="Z788" s="6" t="str">
        <x:v>587600</x:v>
      </x:c>
      <x:c r="AA788" s="6" t="str">
        <x:v>10.0</x:v>
      </x:c>
      <x:c r="AB788" s="9" t="str">
        <x:v>2025-06-30</x:v>
      </x:c>
      <x:c r="AC788" s="8" t="str">
        <x:v>78.55</x:v>
      </x:c>
      <x:c r="AD788" s="9" t="str">
        <x:v>2025 (Susenas)</x:v>
      </x:c>
      <x:c r="AE788" s="8" t="str">
        <x:v>20.66</x:v>
      </x:c>
      <x:c r="AF788" s="9" t="str">
        <x:v>Maret 2025 (Susenas)</x:v>
      </x:c>
      <x:c r="AG788" s="6" t="str">
        <x:v>24.43650630387364</x:v>
      </x:c>
      <x:c r="AH788" s="8" t="str">
        <x:v>91.45609281260822</x:v>
      </x:c>
      <x:c r="AI788" s="6" t="str">
        <x:v>315.9069378955285</x:v>
      </x:c>
      <x:c r="AJ788" s="6" t="str">
        <x:v>0.8496808324069676</x:v>
      </x:c>
      <x:c r="AK788" s="8" t="str">
        <x:v>2.2443222562306038</x:v>
      </x:c>
      <x:c r="AL788" s="6" t="str">
        <x:v>1.7623843451711776</x:v>
      </x:c>
      <x:c r="AM788" s="6" t="str">
        <x:v>1.181985239947244</x:v>
      </x:c>
      <x:c r="AN788" s="6" t="str">
        <x:v>1.7295639471163409</x:v>
      </x:c>
      <x:c r="AO788" s="6" t="str">
        <x:v>0.2253925818500448</x:v>
      </x:c>
      <x:c r="AP788" s="8" t="str">
        <x:v>0.2165327970989558</x:v>
      </x:c>
      <x:c r="AQ788" s="6" t="str">
        <x:v>0.1655450488966438</x:v>
      </x:c>
      <x:c r="AR788" s="6" t="str">
        <x:v>0.1697142236038099</x:v>
      </x:c>
      <x:c r="AS788" s="6" t="str">
        <x:v>0.1839306898664702</x:v>
      </x:c>
      <x:c r="AT788" s="6" t="str">
        <x:v>109.31140453536278</x:v>
      </x:c>
      <x:c r="AU788" s="8" t="str">
        <x:v>1.1191320674669962</x:v>
      </x:c>
      <x:c r="AV788" s="6" t="str">
        <x:v>0.594140060536282</x:v>
      </x:c>
      <x:c r="AW788" s="6" t="str">
        <x:v>0.4010105011303692</x:v>
      </x:c>
      <x:c r="AX788" s="6" t="str">
        <x:v>0.7047608763778833</x:v>
      </x:c>
      <x:c r="AY788" s="6" t="str">
        <x:v>1</x:v>
      </x:c>
      <x:c r="AZ788" s="6" t="str">
        <x:v>1</x:v>
      </x:c>
      <x:c r="BA788" s="9" t="str">
        <x:v>grid_cells_within_BIG_polygon</x:v>
      </x:c>
      <x:c r="BB788" s="6" t="str">
        <x:v>16</x:v>
      </x:c>
      <x:c r="BC788" s="6" t="str">
        <x:v>0</x:v>
      </x:c>
      <x:c r="BD788" s="6" t="str">
        <x:v>0</x:v>
      </x:c>
      <x:c r="BE788" s="6" t="str">
        <x:v>0</x:v>
      </x:c>
      <x:c r="BF788" s="6" t="str">
        <x:v>0</x:v>
      </x:c>
      <x:c r="BG788" s="6" t="str">
        <x:v>0</x:v>
      </x:c>
      <x:c r="BH788" s="6" t="str">
        <x:v>0</x:v>
      </x:c>
      <x:c r="BI788" s="6" t="str">
        <x:v>0</x:v>
      </x:c>
      <x:c r="BJ788" s="6" t="str">
        <x:v>0</x:v>
      </x:c>
      <x:c r="BK788" s="6" t="str">
        <x:v>0</x:v>
      </x:c>
      <x:c r="BL788" s="6" t="str">
        <x:v>0</x:v>
      </x:c>
      <x:c r="BM788" s="6" t="str">
        <x:v>0</x:v>
      </x:c>
      <x:c r="BN788" s="6" t="str">
        <x:v>0</x:v>
      </x:c>
      <x:c r="BO788" s="6" t="str"/>
      <x:c r="BP788" s="6" t="str">
        <x:v>0</x:v>
      </x:c>
      <x:c r="BQ788" s="6" t="str"/>
      <x:c r="BR788" s="6" t="str">
        <x:v>0</x:v>
      </x:c>
      <x:c r="BS788" s="6" t="str"/>
      <x:c r="BT788" s="6" t="str">
        <x:v>0</x:v>
      </x:c>
      <x:c r="BU788" s="6" t="str"/>
      <x:c r="BV788" s="6" t="str">
        <x:v>0</x:v>
      </x:c>
      <x:c r="BW788" s="9" t="str">
        <x:v>operational_snapshot_annual_totals_may_differ</x:v>
      </x:c>
      <x:c r="BX788" s="9" t="str">
        <x:v>official_live_dashboard_snapshot_subject_to_revision</x:v>
      </x:c>
      <x:c r="BY788" s="9" t="str">
        <x:v>https://tbdashboard.sitb.id/ss_data_tbc03so_2025_provinsi_bulanan_list.php</x:v>
      </x:c>
      <x:c r="BZ788" s="6" t="n">
        <x:v>46246.610671296294</x:v>
      </x:c>
    </x:row>
    <x:row r="789" ht="18" customHeight="1">
      <x:c r="A789" s="6" t="str">
        <x:v>91</x:v>
      </x:c>
      <x:c r="B789" s="6" t="str">
        <x:v>PAPUA BARAT</x:v>
      </x:c>
      <x:c r="C789" s="6" t="str">
        <x:v>2025</x:v>
      </x:c>
      <x:c r="D789" s="6" t="str">
        <x:v>8</x:v>
      </x:c>
      <x:c r="E789" s="6" t="str">
        <x:v>2025-08</x:v>
      </x:c>
      <x:c r="F789" s="6" t="str">
        <x:v>231</x:v>
      </x:c>
      <x:c r="G789" s="6" t="str">
        <x:v>45</x:v>
      </x:c>
      <x:c r="H789" s="6" t="str">
        <x:v>99</x:v>
      </x:c>
      <x:c r="I789" s="6" t="str">
        <x:v>38</x:v>
      </x:c>
      <x:c r="J789" s="6" t="str">
        <x:v>11</x:v>
      </x:c>
      <x:c r="K789" s="6" t="str">
        <x:v>1</x:v>
      </x:c>
      <x:c r="L789" s="6" t="str">
        <x:v>1</x:v>
      </x:c>
      <x:c r="M789" s="6" t="str">
        <x:v>36</x:v>
      </x:c>
      <x:c r="N789" s="6" t="str">
        <x:v>231</x:v>
      </x:c>
      <x:c r="O789" s="6" t="str">
        <x:v>0</x:v>
      </x:c>
      <x:c r="P789" s="10" t="n">
        <x:f>F789-M789</x:f>
        <x:v>195</x:v>
      </x:c>
      <x:c r="Q789" s="11" t="n">
        <x:f>IFERROR(M789/F789,"")</x:f>
        <x:v>0.15584415584415584</x:v>
      </x:c>
      <x:c r="R789" s="10" t="n">
        <x:f>G789+H789</x:f>
        <x:v>144</x:v>
      </x:c>
      <x:c r="S789" s="11" t="n">
        <x:f>IFERROR(R789/F789,"")</x:f>
        <x:v>0.6233766233766234</x:v>
      </x:c>
      <x:c r="T789" s="11" t="n">
        <x:f>IFERROR(R789/P789,"")</x:f>
        <x:v>0.7384615384615385</x:v>
      </x:c>
      <x:c r="U789" s="10" t="n">
        <x:f>I789+J789+K789</x:f>
        <x:v>50</x:v>
      </x:c>
      <x:c r="V789" s="11" t="n">
        <x:f>IFERROR(U789/P789,"")</x:f>
        <x:v>0.2564102564102564</x:v>
      </x:c>
      <x:c r="W789" s="9" t="str">
        <x:v>provisional_gt_5pct_pending</x:v>
      </x:c>
      <x:c r="X789" s="12" t="n">
        <x:f>IFERROR(F789/Z789*100000,"")</x:f>
        <x:v>39.312457454050374</x:v>
      </x:c>
      <x:c r="Y789" s="13" t="n">
        <x:f>LN(Z789)</x:f>
        <x:v>13.28380172328186</x:v>
      </x:c>
      <x:c r="Z789" s="6" t="str">
        <x:v>587600</x:v>
      </x:c>
      <x:c r="AA789" s="6" t="str">
        <x:v>10.0</x:v>
      </x:c>
      <x:c r="AB789" s="9" t="str">
        <x:v>2025-06-30</x:v>
      </x:c>
      <x:c r="AC789" s="8" t="str">
        <x:v>78.55</x:v>
      </x:c>
      <x:c r="AD789" s="9" t="str">
        <x:v>2025 (Susenas)</x:v>
      </x:c>
      <x:c r="AE789" s="8" t="str">
        <x:v>20.66</x:v>
      </x:c>
      <x:c r="AF789" s="9" t="str">
        <x:v>Maret 2025 (Susenas)</x:v>
      </x:c>
      <x:c r="AG789" s="6" t="str">
        <x:v>24.15911140399015</x:v>
      </x:c>
      <x:c r="AH789" s="8" t="str">
        <x:v>91.97465193797612</x:v>
      </x:c>
      <x:c r="AI789" s="6" t="str">
        <x:v>281.56751467428626</x:v>
      </x:c>
      <x:c r="AJ789" s="6" t="str">
        <x:v>0.6881857205928696</x:v>
      </x:c>
      <x:c r="AK789" s="8" t="str">
        <x:v>1.6674992516390188</x:v>
      </x:c>
      <x:c r="AL789" s="6" t="str">
        <x:v>2.2443222562306038</x:v>
      </x:c>
      <x:c r="AM789" s="6" t="str">
        <x:v>1.7623843451711776</x:v>
      </x:c>
      <x:c r="AN789" s="6" t="str">
        <x:v>1.8914019510135995</x:v>
      </x:c>
      <x:c r="AO789" s="6" t="str">
        <x:v>1.791718026686226</x:v>
      </x:c>
      <x:c r="AP789" s="8" t="str">
        <x:v>1.048619706211057</x:v>
      </x:c>
      <x:c r="AQ789" s="6" t="str">
        <x:v>0.2165327970989558</x:v>
      </x:c>
      <x:c r="AR789" s="6" t="str">
        <x:v>0.1655450488966438</x:v>
      </x:c>
      <x:c r="AS789" s="6" t="str">
        <x:v>0.4768991840688859</x:v>
      </x:c>
      <x:c r="AT789" s="6" t="str">
        <x:v>95.85150528616056</x:v>
      </x:c>
      <x:c r="AU789" s="8" t="str">
        <x:v>1.1055006933614555</x:v>
      </x:c>
      <x:c r="AV789" s="6" t="str">
        <x:v>1.1191320674669962</x:v>
      </x:c>
      <x:c r="AW789" s="6" t="str">
        <x:v>0.594140060536282</x:v>
      </x:c>
      <x:c r="AX789" s="6" t="str">
        <x:v>0.939590940454912</x:v>
      </x:c>
      <x:c r="AY789" s="6" t="str">
        <x:v>1</x:v>
      </x:c>
      <x:c r="AZ789" s="6" t="str">
        <x:v>1</x:v>
      </x:c>
      <x:c r="BA789" s="9" t="str">
        <x:v>grid_cells_within_BIG_polygon</x:v>
      </x:c>
      <x:c r="BB789" s="6" t="str">
        <x:v>16</x:v>
      </x:c>
      <x:c r="BC789" s="6" t="str">
        <x:v>0</x:v>
      </x:c>
      <x:c r="BD789" s="6" t="str">
        <x:v>0</x:v>
      </x:c>
      <x:c r="BE789" s="6" t="str">
        <x:v>0</x:v>
      </x:c>
      <x:c r="BF789" s="6" t="str">
        <x:v>0</x:v>
      </x:c>
      <x:c r="BG789" s="6" t="str">
        <x:v>0</x:v>
      </x:c>
      <x:c r="BH789" s="6" t="str">
        <x:v>0</x:v>
      </x:c>
      <x:c r="BI789" s="6" t="str">
        <x:v>0</x:v>
      </x:c>
      <x:c r="BJ789" s="6" t="str">
        <x:v>0</x:v>
      </x:c>
      <x:c r="BK789" s="6" t="str">
        <x:v>0</x:v>
      </x:c>
      <x:c r="BL789" s="6" t="str">
        <x:v>0</x:v>
      </x:c>
      <x:c r="BM789" s="6" t="str">
        <x:v>0</x:v>
      </x:c>
      <x:c r="BN789" s="6" t="str">
        <x:v>0</x:v>
      </x:c>
      <x:c r="BO789" s="6" t="str"/>
      <x:c r="BP789" s="6" t="str">
        <x:v>0</x:v>
      </x:c>
      <x:c r="BQ789" s="6" t="str"/>
      <x:c r="BR789" s="6" t="str">
        <x:v>0</x:v>
      </x:c>
      <x:c r="BS789" s="6" t="str"/>
      <x:c r="BT789" s="6" t="str">
        <x:v>0</x:v>
      </x:c>
      <x:c r="BU789" s="6" t="str"/>
      <x:c r="BV789" s="6" t="str">
        <x:v>0</x:v>
      </x:c>
      <x:c r="BW789" s="9" t="str">
        <x:v>operational_snapshot_annual_totals_may_differ</x:v>
      </x:c>
      <x:c r="BX789" s="9" t="str">
        <x:v>official_live_dashboard_snapshot_subject_to_revision</x:v>
      </x:c>
      <x:c r="BY789" s="9" t="str">
        <x:v>https://tbdashboard.sitb.id/ss_data_tbc03so_2025_provinsi_bulanan_list.php</x:v>
      </x:c>
      <x:c r="BZ789" s="6" t="n">
        <x:v>46246.610671296294</x:v>
      </x:c>
    </x:row>
    <x:row r="790" ht="18" customHeight="1">
      <x:c r="A790" s="6" t="str">
        <x:v>91</x:v>
      </x:c>
      <x:c r="B790" s="6" t="str">
        <x:v>PAPUA BARAT</x:v>
      </x:c>
      <x:c r="C790" s="6" t="str">
        <x:v>2025</x:v>
      </x:c>
      <x:c r="D790" s="6" t="str">
        <x:v>9</x:v>
      </x:c>
      <x:c r="E790" s="6" t="str">
        <x:v>2025-09</x:v>
      </x:c>
      <x:c r="F790" s="6" t="str">
        <x:v>233</x:v>
      </x:c>
      <x:c r="G790" s="6" t="str">
        <x:v>31</x:v>
      </x:c>
      <x:c r="H790" s="6" t="str">
        <x:v>97</x:v>
      </x:c>
      <x:c r="I790" s="6" t="str">
        <x:v>31</x:v>
      </x:c>
      <x:c r="J790" s="6" t="str">
        <x:v>19</x:v>
      </x:c>
      <x:c r="K790" s="6" t="str">
        <x:v>0</x:v>
      </x:c>
      <x:c r="L790" s="6" t="str">
        <x:v>0</x:v>
      </x:c>
      <x:c r="M790" s="6" t="str">
        <x:v>55</x:v>
      </x:c>
      <x:c r="N790" s="6" t="str">
        <x:v>233</x:v>
      </x:c>
      <x:c r="O790" s="6" t="str">
        <x:v>0</x:v>
      </x:c>
      <x:c r="P790" s="10" t="n">
        <x:f>F790-M790</x:f>
        <x:v>178</x:v>
      </x:c>
      <x:c r="Q790" s="11" t="n">
        <x:f>IFERROR(M790/F790,"")</x:f>
        <x:v>0.23605150214592274</x:v>
      </x:c>
      <x:c r="R790" s="10" t="n">
        <x:f>G790+H790</x:f>
        <x:v>128</x:v>
      </x:c>
      <x:c r="S790" s="11" t="n">
        <x:f>IFERROR(R790/F790,"")</x:f>
        <x:v>0.5493562231759657</x:v>
      </x:c>
      <x:c r="T790" s="11" t="n">
        <x:f>IFERROR(R790/P790,"")</x:f>
        <x:v>0.7191011235955056</x:v>
      </x:c>
      <x:c r="U790" s="10" t="n">
        <x:f>I790+J790+K790</x:f>
        <x:v>50</x:v>
      </x:c>
      <x:c r="V790" s="11" t="n">
        <x:f>IFERROR(U790/P790,"")</x:f>
        <x:v>0.2808988764044944</x:v>
      </x:c>
      <x:c r="W790" s="9" t="str">
        <x:v>provisional_gt_5pct_pending</x:v>
      </x:c>
      <x:c r="X790" s="12" t="n">
        <x:f>IFERROR(F790/Z790*100000,"")</x:f>
        <x:v>39.65282505105514</x:v>
      </x:c>
      <x:c r="Y790" s="13" t="n">
        <x:f>LN(Z790)</x:f>
        <x:v>13.28380172328186</x:v>
      </x:c>
      <x:c r="Z790" s="6" t="str">
        <x:v>587600</x:v>
      </x:c>
      <x:c r="AA790" s="6" t="str">
        <x:v>10.0</x:v>
      </x:c>
      <x:c r="AB790" s="9" t="str">
        <x:v>2025-06-30</x:v>
      </x:c>
      <x:c r="AC790" s="8" t="str">
        <x:v>78.55</x:v>
      </x:c>
      <x:c r="AD790" s="9" t="str">
        <x:v>2025 (Susenas)</x:v>
      </x:c>
      <x:c r="AE790" s="8" t="str">
        <x:v>20.66</x:v>
      </x:c>
      <x:c r="AF790" s="9" t="str">
        <x:v>Maret 2025 (Susenas)</x:v>
      </x:c>
      <x:c r="AG790" s="6" t="str">
        <x:v>24.63029238045126</x:v>
      </x:c>
      <x:c r="AH790" s="8" t="str">
        <x:v>90.03457380963229</x:v>
      </x:c>
      <x:c r="AI790" s="6" t="str">
        <x:v>221.3799850695172</x:v>
      </x:c>
      <x:c r="AJ790" s="6" t="str">
        <x:v>0.6561836865378758</x:v>
      </x:c>
      <x:c r="AK790" s="8" t="str">
        <x:v>1.8972452056159643</x:v>
      </x:c>
      <x:c r="AL790" s="6" t="str">
        <x:v>1.6674992516390188</x:v>
      </x:c>
      <x:c r="AM790" s="6" t="str">
        <x:v>2.2443222562306038</x:v>
      </x:c>
      <x:c r="AN790" s="6" t="str">
        <x:v>1.9363555711618616</x:v>
      </x:c>
      <x:c r="AO790" s="6" t="str">
        <x:v>0.48560423249927</x:v>
      </x:c>
      <x:c r="AP790" s="8" t="str">
        <x:v>0.231864513210237</x:v>
      </x:c>
      <x:c r="AQ790" s="6" t="str">
        <x:v>1.048619706211057</x:v>
      </x:c>
      <x:c r="AR790" s="6" t="str">
        <x:v>0.2165327970989558</x:v>
      </x:c>
      <x:c r="AS790" s="6" t="str">
        <x:v>0.499005672173417</x:v>
      </x:c>
      <x:c r="AT790" s="6" t="str">
        <x:v>38.36596194357162</x:v>
      </x:c>
      <x:c r="AU790" s="8" t="str">
        <x:v>0.4733741151914381</x:v>
      </x:c>
      <x:c r="AV790" s="6" t="str">
        <x:v>1.1055006933614555</x:v>
      </x:c>
      <x:c r="AW790" s="6" t="str">
        <x:v>1.1191320674669962</x:v>
      </x:c>
      <x:c r="AX790" s="6" t="str">
        <x:v>0.8993356253399641</x:v>
      </x:c>
      <x:c r="AY790" s="6" t="str">
        <x:v>0</x:v>
      </x:c>
      <x:c r="AZ790" s="6" t="str">
        <x:v>1</x:v>
      </x:c>
      <x:c r="BA790" s="9" t="str">
        <x:v>grid_cells_within_BIG_polygon</x:v>
      </x:c>
      <x:c r="BB790" s="6" t="str">
        <x:v>16</x:v>
      </x:c>
      <x:c r="BC790" s="6" t="str">
        <x:v>0</x:v>
      </x:c>
      <x:c r="BD790" s="6" t="str">
        <x:v>0</x:v>
      </x:c>
      <x:c r="BE790" s="6" t="str">
        <x:v>0</x:v>
      </x:c>
      <x:c r="BF790" s="6" t="str">
        <x:v>0</x:v>
      </x:c>
      <x:c r="BG790" s="6" t="str">
        <x:v>0</x:v>
      </x:c>
      <x:c r="BH790" s="6" t="str">
        <x:v>0</x:v>
      </x:c>
      <x:c r="BI790" s="6" t="str">
        <x:v>0</x:v>
      </x:c>
      <x:c r="BJ790" s="6" t="str">
        <x:v>0</x:v>
      </x:c>
      <x:c r="BK790" s="6" t="str">
        <x:v>0</x:v>
      </x:c>
      <x:c r="BL790" s="6" t="str">
        <x:v>0</x:v>
      </x:c>
      <x:c r="BM790" s="6" t="str">
        <x:v>0</x:v>
      </x:c>
      <x:c r="BN790" s="6" t="str">
        <x:v>0</x:v>
      </x:c>
      <x:c r="BO790" s="6" t="str"/>
      <x:c r="BP790" s="6" t="str">
        <x:v>0</x:v>
      </x:c>
      <x:c r="BQ790" s="6" t="str"/>
      <x:c r="BR790" s="6" t="str">
        <x:v>0</x:v>
      </x:c>
      <x:c r="BS790" s="6" t="str"/>
      <x:c r="BT790" s="6" t="str">
        <x:v>0</x:v>
      </x:c>
      <x:c r="BU790" s="6" t="str"/>
      <x:c r="BV790" s="6" t="str">
        <x:v>0</x:v>
      </x:c>
      <x:c r="BW790" s="9" t="str">
        <x:v>operational_snapshot_annual_totals_may_differ</x:v>
      </x:c>
      <x:c r="BX790" s="9" t="str">
        <x:v>official_live_dashboard_snapshot_subject_to_revision</x:v>
      </x:c>
      <x:c r="BY790" s="9" t="str">
        <x:v>https://tbdashboard.sitb.id/ss_data_tbc03so_2025_provinsi_bulanan_list.php</x:v>
      </x:c>
      <x:c r="BZ790" s="6" t="n">
        <x:v>46246.610671296294</x:v>
      </x:c>
    </x:row>
    <x:row r="791" ht="18" customHeight="1">
      <x:c r="A791" s="6" t="str">
        <x:v>91</x:v>
      </x:c>
      <x:c r="B791" s="6" t="str">
        <x:v>PAPUA BARAT</x:v>
      </x:c>
      <x:c r="C791" s="6" t="str">
        <x:v>2025</x:v>
      </x:c>
      <x:c r="D791" s="6" t="str">
        <x:v>10</x:v>
      </x:c>
      <x:c r="E791" s="6" t="str">
        <x:v>2025-10</x:v>
      </x:c>
      <x:c r="F791" s="6" t="str">
        <x:v>249</x:v>
      </x:c>
      <x:c r="G791" s="6" t="str">
        <x:v>29</x:v>
      </x:c>
      <x:c r="H791" s="6" t="str">
        <x:v>103</x:v>
      </x:c>
      <x:c r="I791" s="6" t="str">
        <x:v>47</x:v>
      </x:c>
      <x:c r="J791" s="6" t="str">
        <x:v>15</x:v>
      </x:c>
      <x:c r="K791" s="6" t="str">
        <x:v>0</x:v>
      </x:c>
      <x:c r="L791" s="6" t="str">
        <x:v>1</x:v>
      </x:c>
      <x:c r="M791" s="6" t="str">
        <x:v>54</x:v>
      </x:c>
      <x:c r="N791" s="6" t="str">
        <x:v>249</x:v>
      </x:c>
      <x:c r="O791" s="6" t="str">
        <x:v>0</x:v>
      </x:c>
      <x:c r="P791" s="10" t="n">
        <x:f>F791-M791</x:f>
        <x:v>195</x:v>
      </x:c>
      <x:c r="Q791" s="11" t="n">
        <x:f>IFERROR(M791/F791,"")</x:f>
        <x:v>0.21686746987951808</x:v>
      </x:c>
      <x:c r="R791" s="10" t="n">
        <x:f>G791+H791</x:f>
        <x:v>132</x:v>
      </x:c>
      <x:c r="S791" s="11" t="n">
        <x:f>IFERROR(R791/F791,"")</x:f>
        <x:v>0.5301204819277109</x:v>
      </x:c>
      <x:c r="T791" s="11" t="n">
        <x:f>IFERROR(R791/P791,"")</x:f>
        <x:v>0.676923076923077</x:v>
      </x:c>
      <x:c r="U791" s="10" t="n">
        <x:f>I791+J791+K791</x:f>
        <x:v>62</x:v>
      </x:c>
      <x:c r="V791" s="11" t="n">
        <x:f>IFERROR(U791/P791,"")</x:f>
        <x:v>0.31794871794871793</x:v>
      </x:c>
      <x:c r="W791" s="9" t="str">
        <x:v>provisional_gt_5pct_pending</x:v>
      </x:c>
      <x:c r="X791" s="12" t="n">
        <x:f>IFERROR(F791/Z791*100000,"")</x:f>
        <x:v>42.37576582709326</x:v>
      </x:c>
      <x:c r="Y791" s="13" t="n">
        <x:f>LN(Z791)</x:f>
        <x:v>13.28380172328186</x:v>
      </x:c>
      <x:c r="Z791" s="6" t="str">
        <x:v>587600</x:v>
      </x:c>
      <x:c r="AA791" s="6" t="str">
        <x:v>10.0</x:v>
      </x:c>
      <x:c r="AB791" s="9" t="str">
        <x:v>2025-06-30</x:v>
      </x:c>
      <x:c r="AC791" s="8" t="str">
        <x:v>78.55</x:v>
      </x:c>
      <x:c r="AD791" s="9" t="str">
        <x:v>2025 (Susenas)</x:v>
      </x:c>
      <x:c r="AE791" s="8" t="str">
        <x:v>20.66</x:v>
      </x:c>
      <x:c r="AF791" s="9" t="str">
        <x:v>Maret 2025 (Susenas)</x:v>
      </x:c>
      <x:c r="AG791" s="6" t="str">
        <x:v>25.1020103082681</x:v>
      </x:c>
      <x:c r="AH791" s="8" t="str">
        <x:v>89.5756142324499</x:v>
      </x:c>
      <x:c r="AI791" s="6" t="str">
        <x:v>221.160371435722</x:v>
      </x:c>
      <x:c r="AJ791" s="6" t="str">
        <x:v>0.5333875934940338</x:v>
      </x:c>
      <x:c r="AK791" s="8" t="str">
        <x:v>1.723422435238816</x:v>
      </x:c>
      <x:c r="AL791" s="6" t="str">
        <x:v>1.8972452056159643</x:v>
      </x:c>
      <x:c r="AM791" s="6" t="str">
        <x:v>1.6674992516390188</x:v>
      </x:c>
      <x:c r="AN791" s="6" t="str">
        <x:v>1.7627222974979329</x:v>
      </x:c>
      <x:c r="AO791" s="6" t="str">
        <x:v>0.6534507664904083</x:v>
      </x:c>
      <x:c r="AP791" s="8" t="str">
        <x:v>0.251106148219523</x:v>
      </x:c>
      <x:c r="AQ791" s="6" t="str">
        <x:v>0.231864513210237</x:v>
      </x:c>
      <x:c r="AR791" s="6" t="str">
        <x:v>1.048619706211057</x:v>
      </x:c>
      <x:c r="AS791" s="6" t="str">
        <x:v>0.5105301225469394</x:v>
      </x:c>
      <x:c r="AT791" s="6" t="str">
        <x:v>42.31334388781957</x:v>
      </x:c>
      <x:c r="AU791" s="8" t="str">
        <x:v>0.6037890527684819</x:v>
      </x:c>
      <x:c r="AV791" s="6" t="str">
        <x:v>0.4733741151914381</x:v>
      </x:c>
      <x:c r="AW791" s="6" t="str">
        <x:v>1.1055006933614555</x:v>
      </x:c>
      <x:c r="AX791" s="6" t="str">
        <x:v>0.7275546204404594</x:v>
      </x:c>
      <x:c r="AY791" s="6" t="str">
        <x:v>0</x:v>
      </x:c>
      <x:c r="AZ791" s="6" t="str">
        <x:v>1</x:v>
      </x:c>
      <x:c r="BA791" s="9" t="str">
        <x:v>grid_cells_within_BIG_polygon</x:v>
      </x:c>
      <x:c r="BB791" s="6" t="str">
        <x:v>16</x:v>
      </x:c>
      <x:c r="BC791" s="6" t="str">
        <x:v>0</x:v>
      </x:c>
      <x:c r="BD791" s="6" t="str">
        <x:v>0</x:v>
      </x:c>
      <x:c r="BE791" s="6" t="str">
        <x:v>0</x:v>
      </x:c>
      <x:c r="BF791" s="6" t="str">
        <x:v>0</x:v>
      </x:c>
      <x:c r="BG791" s="6" t="str">
        <x:v>0</x:v>
      </x:c>
      <x:c r="BH791" s="6" t="str">
        <x:v>0</x:v>
      </x:c>
      <x:c r="BI791" s="6" t="str">
        <x:v>0</x:v>
      </x:c>
      <x:c r="BJ791" s="6" t="str">
        <x:v>0</x:v>
      </x:c>
      <x:c r="BK791" s="6" t="str">
        <x:v>0</x:v>
      </x:c>
      <x:c r="BL791" s="6" t="str">
        <x:v>0</x:v>
      </x:c>
      <x:c r="BM791" s="6" t="str">
        <x:v>0</x:v>
      </x:c>
      <x:c r="BN791" s="6" t="str">
        <x:v>0</x:v>
      </x:c>
      <x:c r="BO791" s="6" t="str"/>
      <x:c r="BP791" s="6" t="str">
        <x:v>0</x:v>
      </x:c>
      <x:c r="BQ791" s="6" t="str"/>
      <x:c r="BR791" s="6" t="str">
        <x:v>0</x:v>
      </x:c>
      <x:c r="BS791" s="6" t="str"/>
      <x:c r="BT791" s="6" t="str">
        <x:v>0</x:v>
      </x:c>
      <x:c r="BU791" s="6" t="str"/>
      <x:c r="BV791" s="6" t="str">
        <x:v>0</x:v>
      </x:c>
      <x:c r="BW791" s="9" t="str">
        <x:v>operational_snapshot_annual_totals_may_differ</x:v>
      </x:c>
      <x:c r="BX791" s="9" t="str">
        <x:v>official_live_dashboard_snapshot_subject_to_revision</x:v>
      </x:c>
      <x:c r="BY791" s="9" t="str">
        <x:v>https://tbdashboard.sitb.id/ss_data_tbc03so_2025_provinsi_bulanan_list.php</x:v>
      </x:c>
      <x:c r="BZ791" s="6" t="n">
        <x:v>46246.610671296294</x:v>
      </x:c>
    </x:row>
    <x:row r="792" ht="18" customHeight="1">
      <x:c r="A792" s="6" t="str">
        <x:v>91</x:v>
      </x:c>
      <x:c r="B792" s="6" t="str">
        <x:v>PAPUA BARAT</x:v>
      </x:c>
      <x:c r="C792" s="6" t="str">
        <x:v>2025</x:v>
      </x:c>
      <x:c r="D792" s="6" t="str">
        <x:v>11</x:v>
      </x:c>
      <x:c r="E792" s="6" t="str">
        <x:v>2025-11</x:v>
      </x:c>
      <x:c r="F792" s="6" t="str">
        <x:v>226</x:v>
      </x:c>
      <x:c r="G792" s="6" t="str">
        <x:v>27</x:v>
      </x:c>
      <x:c r="H792" s="6" t="str">
        <x:v>70</x:v>
      </x:c>
      <x:c r="I792" s="6" t="str">
        <x:v>41</x:v>
      </x:c>
      <x:c r="J792" s="6" t="str">
        <x:v>15</x:v>
      </x:c>
      <x:c r="K792" s="6" t="str">
        <x:v>0</x:v>
      </x:c>
      <x:c r="L792" s="6" t="str">
        <x:v>1</x:v>
      </x:c>
      <x:c r="M792" s="6" t="str">
        <x:v>72</x:v>
      </x:c>
      <x:c r="N792" s="6" t="str">
        <x:v>226</x:v>
      </x:c>
      <x:c r="O792" s="6" t="str">
        <x:v>0</x:v>
      </x:c>
      <x:c r="P792" s="10" t="n">
        <x:f>F792-M792</x:f>
        <x:v>154</x:v>
      </x:c>
      <x:c r="Q792" s="11" t="n">
        <x:f>IFERROR(M792/F792,"")</x:f>
        <x:v>0.3185840707964602</x:v>
      </x:c>
      <x:c r="R792" s="10" t="n">
        <x:f>G792+H792</x:f>
        <x:v>97</x:v>
      </x:c>
      <x:c r="S792" s="11" t="n">
        <x:f>IFERROR(R792/F792,"")</x:f>
        <x:v>0.42920353982300885</x:v>
      </x:c>
      <x:c r="T792" s="11" t="n">
        <x:f>IFERROR(R792/P792,"")</x:f>
        <x:v>0.6298701298701299</x:v>
      </x:c>
      <x:c r="U792" s="10" t="n">
        <x:f>I792+J792+K792</x:f>
        <x:v>56</x:v>
      </x:c>
      <x:c r="V792" s="11" t="n">
        <x:f>IFERROR(U792/P792,"")</x:f>
        <x:v>0.36363636363636365</x:v>
      </x:c>
      <x:c r="W792" s="9" t="str">
        <x:v>provisional_gt_5pct_pending</x:v>
      </x:c>
      <x:c r="X792" s="12" t="n">
        <x:f>IFERROR(F792/Z792*100000,"")</x:f>
        <x:v>38.46153846153846</x:v>
      </x:c>
      <x:c r="Y792" s="13" t="n">
        <x:f>LN(Z792)</x:f>
        <x:v>13.28380172328186</x:v>
      </x:c>
      <x:c r="Z792" s="6" t="str">
        <x:v>587600</x:v>
      </x:c>
      <x:c r="AA792" s="6" t="str">
        <x:v>10.0</x:v>
      </x:c>
      <x:c r="AB792" s="9" t="str">
        <x:v>2025-06-30</x:v>
      </x:c>
      <x:c r="AC792" s="8" t="str">
        <x:v>78.55</x:v>
      </x:c>
      <x:c r="AD792" s="9" t="str">
        <x:v>2025 (Susenas)</x:v>
      </x:c>
      <x:c r="AE792" s="8" t="str">
        <x:v>20.66</x:v>
      </x:c>
      <x:c r="AF792" s="9" t="str">
        <x:v>Maret 2025 (Susenas)</x:v>
      </x:c>
      <x:c r="AG792" s="6" t="str">
        <x:v>25.16383813740925</x:v>
      </x:c>
      <x:c r="AH792" s="8" t="str">
        <x:v>90.25827454583606</x:v>
      </x:c>
      <x:c r="AI792" s="6" t="str">
        <x:v>226.46030508420927</x:v>
      </x:c>
      <x:c r="AJ792" s="6" t="str">
        <x:v>0.2294399388864221</x:v>
      </x:c>
      <x:c r="AK792" s="8" t="str">
        <x:v>0.8550363197070127</x:v>
      </x:c>
      <x:c r="AL792" s="6" t="str">
        <x:v>1.723422435238816</x:v>
      </x:c>
      <x:c r="AM792" s="6" t="str">
        <x:v>1.8972452056159643</x:v>
      </x:c>
      <x:c r="AN792" s="6" t="str">
        <x:v>1.491901320187264</x:v>
      </x:c>
      <x:c r="AO792" s="6" t="str">
        <x:v>1.1348050575236923</x:v>
      </x:c>
      <x:c r="AP792" s="8" t="str">
        <x:v>0.5734346116554587</x:v>
      </x:c>
      <x:c r="AQ792" s="6" t="str">
        <x:v>0.251106148219523</x:v>
      </x:c>
      <x:c r="AR792" s="6" t="str">
        <x:v>0.231864513210237</x:v>
      </x:c>
      <x:c r="AS792" s="6" t="str">
        <x:v>0.3521350910284067</x:v>
      </x:c>
      <x:c r="AT792" s="6" t="str">
        <x:v>40.58595063992098</x:v>
      </x:c>
      <x:c r="AU792" s="8" t="str">
        <x:v>0.7048413712588258</x:v>
      </x:c>
      <x:c r="AV792" s="6" t="str">
        <x:v>0.6037890527684819</x:v>
      </x:c>
      <x:c r="AW792" s="6" t="str">
        <x:v>0.4733741151914381</x:v>
      </x:c>
      <x:c r="AX792" s="6" t="str">
        <x:v>0.5940015130729162</x:v>
      </x:c>
      <x:c r="AY792" s="6" t="str">
        <x:v>0</x:v>
      </x:c>
      <x:c r="AZ792" s="6" t="str">
        <x:v>0</x:v>
      </x:c>
      <x:c r="BA792" s="9" t="str">
        <x:v>grid_cells_within_BIG_polygon</x:v>
      </x:c>
      <x:c r="BB792" s="6" t="str">
        <x:v>16</x:v>
      </x:c>
      <x:c r="BC792" s="6" t="str">
        <x:v>0</x:v>
      </x:c>
      <x:c r="BD792" s="6" t="str">
        <x:v>0</x:v>
      </x:c>
      <x:c r="BE792" s="6" t="str">
        <x:v>0</x:v>
      </x:c>
      <x:c r="BF792" s="6" t="str">
        <x:v>0</x:v>
      </x:c>
      <x:c r="BG792" s="6" t="str">
        <x:v>0</x:v>
      </x:c>
      <x:c r="BH792" s="6" t="str">
        <x:v>0</x:v>
      </x:c>
      <x:c r="BI792" s="6" t="str">
        <x:v>0</x:v>
      </x:c>
      <x:c r="BJ792" s="6" t="str">
        <x:v>0</x:v>
      </x:c>
      <x:c r="BK792" s="6" t="str">
        <x:v>0</x:v>
      </x:c>
      <x:c r="BL792" s="6" t="str">
        <x:v>0</x:v>
      </x:c>
      <x:c r="BM792" s="6" t="str">
        <x:v>0</x:v>
      </x:c>
      <x:c r="BN792" s="6" t="str">
        <x:v>0</x:v>
      </x:c>
      <x:c r="BO792" s="6" t="str"/>
      <x:c r="BP792" s="6" t="str">
        <x:v>0</x:v>
      </x:c>
      <x:c r="BQ792" s="6" t="str"/>
      <x:c r="BR792" s="6" t="str">
        <x:v>0</x:v>
      </x:c>
      <x:c r="BS792" s="6" t="str"/>
      <x:c r="BT792" s="6" t="str">
        <x:v>0</x:v>
      </x:c>
      <x:c r="BU792" s="6" t="str"/>
      <x:c r="BV792" s="6" t="str">
        <x:v>0</x:v>
      </x:c>
      <x:c r="BW792" s="9" t="str">
        <x:v>operational_snapshot_annual_totals_may_differ</x:v>
      </x:c>
      <x:c r="BX792" s="9" t="str">
        <x:v>official_live_dashboard_snapshot_subject_to_revision</x:v>
      </x:c>
      <x:c r="BY792" s="9" t="str">
        <x:v>https://tbdashboard.sitb.id/ss_data_tbc03so_2025_provinsi_bulanan_list.php</x:v>
      </x:c>
      <x:c r="BZ792" s="6" t="n">
        <x:v>46246.610671296294</x:v>
      </x:c>
    </x:row>
    <x:row r="793" ht="18" customHeight="1">
      <x:c r="A793" s="6" t="str">
        <x:v>91</x:v>
      </x:c>
      <x:c r="B793" s="6" t="str">
        <x:v>PAPUA BARAT</x:v>
      </x:c>
      <x:c r="C793" s="6" t="str">
        <x:v>2025</x:v>
      </x:c>
      <x:c r="D793" s="6" t="str">
        <x:v>12</x:v>
      </x:c>
      <x:c r="E793" s="6" t="str">
        <x:v>2025-12</x:v>
      </x:c>
      <x:c r="F793" s="6" t="str">
        <x:v>211</x:v>
      </x:c>
      <x:c r="G793" s="6" t="str">
        <x:v>20</x:v>
      </x:c>
      <x:c r="H793" s="6" t="str">
        <x:v>66</x:v>
      </x:c>
      <x:c r="I793" s="6" t="str">
        <x:v>25</x:v>
      </x:c>
      <x:c r="J793" s="6" t="str">
        <x:v>13</x:v>
      </x:c>
      <x:c r="K793" s="6" t="str">
        <x:v>0</x:v>
      </x:c>
      <x:c r="L793" s="6" t="str">
        <x:v>1</x:v>
      </x:c>
      <x:c r="M793" s="6" t="str">
        <x:v>86</x:v>
      </x:c>
      <x:c r="N793" s="6" t="str">
        <x:v>211</x:v>
      </x:c>
      <x:c r="O793" s="6" t="str">
        <x:v>0</x:v>
      </x:c>
      <x:c r="P793" s="10" t="n">
        <x:f>F793-M793</x:f>
        <x:v>125</x:v>
      </x:c>
      <x:c r="Q793" s="11" t="n">
        <x:f>IFERROR(M793/F793,"")</x:f>
        <x:v>0.4075829383886256</x:v>
      </x:c>
      <x:c r="R793" s="10" t="n">
        <x:f>G793+H793</x:f>
        <x:v>86</x:v>
      </x:c>
      <x:c r="S793" s="11" t="n">
        <x:f>IFERROR(R793/F793,"")</x:f>
        <x:v>0.4075829383886256</x:v>
      </x:c>
      <x:c r="T793" s="11" t="n">
        <x:f>IFERROR(R793/P793,"")</x:f>
        <x:v>0.688</x:v>
      </x:c>
      <x:c r="U793" s="10" t="n">
        <x:f>I793+J793+K793</x:f>
        <x:v>38</x:v>
      </x:c>
      <x:c r="V793" s="11" t="n">
        <x:f>IFERROR(U793/P793,"")</x:f>
        <x:v>0.304</x:v>
      </x:c>
      <x:c r="W793" s="9" t="str">
        <x:v>provisional_gt_5pct_pending</x:v>
      </x:c>
      <x:c r="X793" s="12" t="n">
        <x:f>IFERROR(F793/Z793*100000,"")</x:f>
        <x:v>35.90878148400272</x:v>
      </x:c>
      <x:c r="Y793" s="13" t="n">
        <x:f>LN(Z793)</x:f>
        <x:v>13.28380172328186</x:v>
      </x:c>
      <x:c r="Z793" s="6" t="str">
        <x:v>587600</x:v>
      </x:c>
      <x:c r="AA793" s="6" t="str">
        <x:v>10.0</x:v>
      </x:c>
      <x:c r="AB793" s="9" t="str">
        <x:v>2025-06-30</x:v>
      </x:c>
      <x:c r="AC793" s="8" t="str">
        <x:v>78.55</x:v>
      </x:c>
      <x:c r="AD793" s="9" t="str">
        <x:v>2025 (Susenas)</x:v>
      </x:c>
      <x:c r="AE793" s="8" t="str">
        <x:v>20.66</x:v>
      </x:c>
      <x:c r="AF793" s="9" t="str">
        <x:v>Maret 2025 (Susenas)</x:v>
      </x:c>
      <x:c r="AG793" s="6" t="str">
        <x:v>25.15823025889792</x:v>
      </x:c>
      <x:c r="AH793" s="8" t="str">
        <x:v>90.48065302370053</x:v>
      </x:c>
      <x:c r="AI793" s="6" t="str">
        <x:v>259.71201639737234</x:v>
      </x:c>
      <x:c r="AJ793" s="6" t="str">
        <x:v>0.2358270751403246</x:v>
      </x:c>
      <x:c r="AK793" s="8" t="str">
        <x:v>0.779480776970546</x:v>
      </x:c>
      <x:c r="AL793" s="6" t="str">
        <x:v>0.8550363197070127</x:v>
      </x:c>
      <x:c r="AM793" s="6" t="str">
        <x:v>1.723422435238816</x:v>
      </x:c>
      <x:c r="AN793" s="6" t="str">
        <x:v>1.1193131773054577</x:v>
      </x:c>
      <x:c r="AO793" s="6" t="str">
        <x:v>0.3875222153842088</x:v>
      </x:c>
      <x:c r="AP793" s="8" t="str">
        <x:v>0.2990266063376757</x:v>
      </x:c>
      <x:c r="AQ793" s="6" t="str">
        <x:v>0.5734346116554587</x:v>
      </x:c>
      <x:c r="AR793" s="6" t="str">
        <x:v>0.251106148219523</x:v>
      </x:c>
      <x:c r="AS793" s="6" t="str">
        <x:v>0.3745224554042196</x:v>
      </x:c>
      <x:c r="AT793" s="6" t="str">
        <x:v>37.50957045160331</x:v>
      </x:c>
      <x:c r="AU793" s="8" t="str">
        <x:v>0.6411729547062957</x:v>
      </x:c>
      <x:c r="AV793" s="6" t="str">
        <x:v>0.7048413712588258</x:v>
      </x:c>
      <x:c r="AW793" s="6" t="str">
        <x:v>0.6037890527684819</x:v>
      </x:c>
      <x:c r="AX793" s="6" t="str">
        <x:v>0.6499344595778687</x:v>
      </x:c>
      <x:c r="AY793" s="6" t="str">
        <x:v>0</x:v>
      </x:c>
      <x:c r="AZ793" s="6" t="str">
        <x:v>0</x:v>
      </x:c>
      <x:c r="BA793" s="9" t="str">
        <x:v>grid_cells_within_BIG_polygon</x:v>
      </x:c>
      <x:c r="BB793" s="6" t="str">
        <x:v>16</x:v>
      </x:c>
      <x:c r="BC793" s="6" t="str">
        <x:v>1</x:v>
      </x:c>
      <x:c r="BD793" s="6" t="str">
        <x:v>1</x:v>
      </x:c>
      <x:c r="BE793" s="6" t="str">
        <x:v>1</x:v>
      </x:c>
      <x:c r="BF793" s="6" t="str">
        <x:v>0</x:v>
      </x:c>
      <x:c r="BG793" s="6" t="str">
        <x:v>0</x:v>
      </x:c>
      <x:c r="BH793" s="6" t="str">
        <x:v>0</x:v>
      </x:c>
      <x:c r="BI793" s="6" t="str">
        <x:v>0</x:v>
      </x:c>
      <x:c r="BJ793" s="6" t="str">
        <x:v>0</x:v>
      </x:c>
      <x:c r="BK793" s="6" t="str">
        <x:v>0</x:v>
      </x:c>
      <x:c r="BL793" s="6" t="str">
        <x:v>0</x:v>
      </x:c>
      <x:c r="BM793" s="6" t="str">
        <x:v>0</x:v>
      </x:c>
      <x:c r="BN793" s="6" t="str">
        <x:v>1</x:v>
      </x:c>
      <x:c r="BO793" s="6" t="str"/>
      <x:c r="BP793" s="6" t="str">
        <x:v>0</x:v>
      </x:c>
      <x:c r="BQ793" s="6" t="str"/>
      <x:c r="BR793" s="6" t="str">
        <x:v>0</x:v>
      </x:c>
      <x:c r="BS793" s="6" t="str">
        <x:v>4.0</x:v>
      </x:c>
      <x:c r="BT793" s="6" t="str">
        <x:v>1</x:v>
      </x:c>
      <x:c r="BU793" s="6" t="str">
        <x:v>100.0</x:v>
      </x:c>
      <x:c r="BV793" s="6" t="str">
        <x:v>1</x:v>
      </x:c>
      <x:c r="BW793" s="9" t="str">
        <x:v>operational_snapshot_annual_totals_may_differ</x:v>
      </x:c>
      <x:c r="BX793" s="9" t="str">
        <x:v>official_live_dashboard_snapshot_subject_to_revision</x:v>
      </x:c>
      <x:c r="BY793" s="9" t="str">
        <x:v>https://tbdashboard.sitb.id/ss_data_tbc03so_2025_provinsi_bulanan_list.php</x:v>
      </x:c>
      <x:c r="BZ793" s="6" t="n">
        <x:v>46246.610671296294</x:v>
      </x:c>
    </x:row>
    <x:row r="794" ht="18" customHeight="1">
      <x:c r="A794" s="6" t="str">
        <x:v>92</x:v>
      </x:c>
      <x:c r="B794" s="6" t="str">
        <x:v>PAPUA BARAT DAYA</x:v>
      </x:c>
      <x:c r="C794" s="6" t="str">
        <x:v>2024</x:v>
      </x:c>
      <x:c r="D794" s="6" t="str">
        <x:v>1</x:v>
      </x:c>
      <x:c r="E794" s="6" t="str">
        <x:v>2024-01</x:v>
      </x:c>
      <x:c r="F794" s="6" t="str">
        <x:v>133</x:v>
      </x:c>
      <x:c r="G794" s="6" t="str">
        <x:v>22</x:v>
      </x:c>
      <x:c r="H794" s="6" t="str">
        <x:v>66</x:v>
      </x:c>
      <x:c r="I794" s="6" t="str">
        <x:v>23</x:v>
      </x:c>
      <x:c r="J794" s="6" t="str">
        <x:v>17</x:v>
      </x:c>
      <x:c r="K794" s="6" t="str">
        <x:v>1</x:v>
      </x:c>
      <x:c r="L794" s="6" t="str">
        <x:v>2</x:v>
      </x:c>
      <x:c r="M794" s="6" t="str">
        <x:v>2</x:v>
      </x:c>
      <x:c r="N794" s="6" t="str">
        <x:v>133</x:v>
      </x:c>
      <x:c r="O794" s="6" t="str">
        <x:v>0</x:v>
      </x:c>
      <x:c r="P794" s="10" t="n">
        <x:f>F794-M794</x:f>
        <x:v>131</x:v>
      </x:c>
      <x:c r="Q794" s="11" t="n">
        <x:f>IFERROR(M794/F794,"")</x:f>
        <x:v>0.015037593984962405</x:v>
      </x:c>
      <x:c r="R794" s="10" t="n">
        <x:f>G794+H794</x:f>
        <x:v>88</x:v>
      </x:c>
      <x:c r="S794" s="11" t="n">
        <x:f>IFERROR(R794/F794,"")</x:f>
        <x:v>0.6616541353383458</x:v>
      </x:c>
      <x:c r="T794" s="11" t="n">
        <x:f>IFERROR(R794/P794,"")</x:f>
        <x:v>0.6717557251908397</x:v>
      </x:c>
      <x:c r="U794" s="10" t="n">
        <x:f>I794+J794+K794</x:f>
        <x:v>41</x:v>
      </x:c>
      <x:c r="V794" s="11" t="n">
        <x:f>IFERROR(U794/P794,"")</x:f>
        <x:v>0.31297709923664124</x:v>
      </x:c>
      <x:c r="W794" s="9" t="str">
        <x:v>mature_le_5pct_pending</x:v>
      </x:c>
      <x:c r="X794" s="12" t="n">
        <x:f>IFERROR(F794/Z794*100000,"")</x:f>
        <x:v>21.20873863817573</x:v>
      </x:c>
      <x:c r="Y794" s="13" t="n">
        <x:f>LN(Z794)</x:f>
        <x:v>13.348861296531112</x:v>
      </x:c>
      <x:c r="Z794" s="6" t="str">
        <x:v>627100</x:v>
      </x:c>
      <x:c r="AA794" s="6" t="str">
        <x:v>16.0</x:v>
      </x:c>
      <x:c r="AB794" s="9" t="str">
        <x:v>2024-06-30</x:v>
      </x:c>
      <x:c r="AC794" s="8" t="str">
        <x:v>79.56</x:v>
      </x:c>
      <x:c r="AD794" s="9" t="str">
        <x:v>2024 (Susenas)</x:v>
      </x:c>
      <x:c r="AE794" s="8" t="str">
        <x:v>915.153</x:v>
      </x:c>
      <x:c r="AF794" s="9" t="str">
        <x:v>Maret 2024 (Susenas)</x:v>
      </x:c>
      <x:c r="AG794" s="6" t="str">
        <x:v>27.313772257370506</x:v>
      </x:c>
      <x:c r="AH794" s="8" t="str">
        <x:v>85.66597018871752</x:v>
      </x:c>
      <x:c r="AI794" s="6" t="str">
        <x:v>210.37918620978567</x:v>
      </x:c>
      <x:c r="AJ794" s="6" t="str">
        <x:v>0.6411708815693729</x:v>
      </x:c>
      <x:c r="AK794" s="8" t="str">
        <x:v>1.709132942325084</x:v>
      </x:c>
      <x:c r="AL794" s="6" t="str">
        <x:v>2.597914461302827</x:v>
      </x:c>
      <x:c r="AM794" s="6" t="str">
        <x:v>2.7095186885137097</x:v>
      </x:c>
      <x:c r="AN794" s="6" t="str">
        <x:v>2.338855364047207</x:v>
      </x:c>
      <x:c r="AO794" s="6" t="str">
        <x:v>0.3905339409965052</x:v>
      </x:c>
      <x:c r="AP794" s="8" t="str">
        <x:v>0.1809666546029775</x:v>
      </x:c>
      <x:c r="AQ794" s="6" t="str">
        <x:v>-0.7165090749908635</x:v>
      </x:c>
      <x:c r="AR794" s="6" t="str">
        <x:v>-0.8469054445869104</x:v>
      </x:c>
      <x:c r="AS794" s="6" t="str">
        <x:v>-0.4608159549915991</x:v>
      </x:c>
      <x:c r="AT794" s="6" t="str">
        <x:v>39.722109619854166</x:v>
      </x:c>
      <x:c r="AU794" s="8" t="str">
        <x:v>0.7483624938824196</x:v>
      </x:c>
      <x:c r="AV794" s="6" t="str">
        <x:v>-0.2474521892975075</x:v>
      </x:c>
      <x:c r="AW794" s="6" t="str">
        <x:v>-0.5205546703597886</x:v>
      </x:c>
      <x:c r="AX794" s="6" t="str">
        <x:v>-0.006548121924959</x:v>
      </x:c>
      <x:c r="AY794" s="6" t="str">
        <x:v>0</x:v>
      </x:c>
      <x:c r="AZ794" s="6" t="str">
        <x:v>1</x:v>
      </x:c>
      <x:c r="BA794" s="9" t="str">
        <x:v>grid_cells_within_BIG_polygon</x:v>
      </x:c>
      <x:c r="BB794" s="6" t="str">
        <x:v>8</x:v>
      </x:c>
      <x:c r="BC794" s="6" t="str">
        <x:v>0</x:v>
      </x:c>
      <x:c r="BD794" s="6" t="str">
        <x:v>0</x:v>
      </x:c>
      <x:c r="BE794" s="6" t="str">
        <x:v>0</x:v>
      </x:c>
      <x:c r="BF794" s="6" t="str">
        <x:v>0</x:v>
      </x:c>
      <x:c r="BG794" s="6" t="str">
        <x:v>0</x:v>
      </x:c>
      <x:c r="BH794" s="6" t="str">
        <x:v>0</x:v>
      </x:c>
      <x:c r="BI794" s="6" t="str">
        <x:v>0</x:v>
      </x:c>
      <x:c r="BJ794" s="6" t="str">
        <x:v>0</x:v>
      </x:c>
      <x:c r="BK794" s="6" t="str">
        <x:v>0</x:v>
      </x:c>
      <x:c r="BL794" s="6" t="str">
        <x:v>0</x:v>
      </x:c>
      <x:c r="BM794" s="6" t="str">
        <x:v>0</x:v>
      </x:c>
      <x:c r="BN794" s="6" t="str">
        <x:v>0</x:v>
      </x:c>
      <x:c r="BO794" s="6" t="str"/>
      <x:c r="BP794" s="6" t="str">
        <x:v>0</x:v>
      </x:c>
      <x:c r="BQ794" s="6" t="str"/>
      <x:c r="BR794" s="6" t="str">
        <x:v>0</x:v>
      </x:c>
      <x:c r="BS794" s="6" t="str"/>
      <x:c r="BT794" s="6" t="str">
        <x:v>0</x:v>
      </x:c>
      <x:c r="BU794" s="6" t="str"/>
      <x:c r="BV794" s="6" t="str">
        <x:v>0</x:v>
      </x:c>
      <x:c r="BW794" s="9" t="str">
        <x:v>operational_snapshot_annual_totals_may_differ</x:v>
      </x:c>
      <x:c r="BX794" s="9" t="str">
        <x:v>official_live_dashboard_snapshot_subject_to_revision</x:v>
      </x:c>
      <x:c r="BY794" s="9" t="str">
        <x:v>https://tbdashboard.sitb.id/ss_data_tbc03so_2024_provinsi_bulanan_list.php</x:v>
      </x:c>
      <x:c r="BZ794" s="6" t="n">
        <x:v>46246.610671296294</x:v>
      </x:c>
    </x:row>
    <x:row r="795" ht="18" customHeight="1">
      <x:c r="A795" s="6" t="str">
        <x:v>92</x:v>
      </x:c>
      <x:c r="B795" s="6" t="str">
        <x:v>PAPUA BARAT DAYA</x:v>
      </x:c>
      <x:c r="C795" s="6" t="str">
        <x:v>2024</x:v>
      </x:c>
      <x:c r="D795" s="6" t="str">
        <x:v>2</x:v>
      </x:c>
      <x:c r="E795" s="6" t="str">
        <x:v>2024-02</x:v>
      </x:c>
      <x:c r="F795" s="6" t="str">
        <x:v>134</x:v>
      </x:c>
      <x:c r="G795" s="6" t="str">
        <x:v>27</x:v>
      </x:c>
      <x:c r="H795" s="6" t="str">
        <x:v>71</x:v>
      </x:c>
      <x:c r="I795" s="6" t="str">
        <x:v>23</x:v>
      </x:c>
      <x:c r="J795" s="6" t="str">
        <x:v>8</x:v>
      </x:c>
      <x:c r="K795" s="6" t="str">
        <x:v>1</x:v>
      </x:c>
      <x:c r="L795" s="6" t="str">
        <x:v>1</x:v>
      </x:c>
      <x:c r="M795" s="6" t="str">
        <x:v>3</x:v>
      </x:c>
      <x:c r="N795" s="6" t="str">
        <x:v>134</x:v>
      </x:c>
      <x:c r="O795" s="6" t="str">
        <x:v>0</x:v>
      </x:c>
      <x:c r="P795" s="10" t="n">
        <x:f>F795-M795</x:f>
        <x:v>131</x:v>
      </x:c>
      <x:c r="Q795" s="11" t="n">
        <x:f>IFERROR(M795/F795,"")</x:f>
        <x:v>0.022388059701492536</x:v>
      </x:c>
      <x:c r="R795" s="10" t="n">
        <x:f>G795+H795</x:f>
        <x:v>98</x:v>
      </x:c>
      <x:c r="S795" s="11" t="n">
        <x:f>IFERROR(R795/F795,"")</x:f>
        <x:v>0.7313432835820896</x:v>
      </x:c>
      <x:c r="T795" s="11" t="n">
        <x:f>IFERROR(R795/P795,"")</x:f>
        <x:v>0.7480916030534351</x:v>
      </x:c>
      <x:c r="U795" s="10" t="n">
        <x:f>I795+J795+K795</x:f>
        <x:v>32</x:v>
      </x:c>
      <x:c r="V795" s="11" t="n">
        <x:f>IFERROR(U795/P795,"")</x:f>
        <x:v>0.24427480916030533</x:v>
      </x:c>
      <x:c r="W795" s="9" t="str">
        <x:v>mature_le_5pct_pending</x:v>
      </x:c>
      <x:c r="X795" s="12" t="n">
        <x:f>IFERROR(F795/Z795*100000,"")</x:f>
        <x:v>21.368202838462768</x:v>
      </x:c>
      <x:c r="Y795" s="13" t="n">
        <x:f>LN(Z795)</x:f>
        <x:v>13.348861296531112</x:v>
      </x:c>
      <x:c r="Z795" s="6" t="str">
        <x:v>627100</x:v>
      </x:c>
      <x:c r="AA795" s="6" t="str">
        <x:v>16.0</x:v>
      </x:c>
      <x:c r="AB795" s="9" t="str">
        <x:v>2024-06-30</x:v>
      </x:c>
      <x:c r="AC795" s="8" t="str">
        <x:v>79.56</x:v>
      </x:c>
      <x:c r="AD795" s="9" t="str">
        <x:v>2024 (Susenas)</x:v>
      </x:c>
      <x:c r="AE795" s="8" t="str">
        <x:v>915.153</x:v>
      </x:c>
      <x:c r="AF795" s="9" t="str">
        <x:v>Maret 2024 (Susenas)</x:v>
      </x:c>
      <x:c r="AG795" s="6" t="str">
        <x:v>27.48499481185348</x:v>
      </x:c>
      <x:c r="AH795" s="8" t="str">
        <x:v>85.08982090090139</x:v>
      </x:c>
      <x:c r="AI795" s="6" t="str">
        <x:v>83.59044978770012</x:v>
      </x:c>
      <x:c r="AJ795" s="6" t="str">
        <x:v>0.8637296178907228</x:v>
      </x:c>
      <x:c r="AK795" s="8" t="str">
        <x:v>2.071654646953997</x:v>
      </x:c>
      <x:c r="AL795" s="6" t="str">
        <x:v>1.709132942325084</x:v>
      </x:c>
      <x:c r="AM795" s="6" t="str">
        <x:v>2.597914461302827</x:v>
      </x:c>
      <x:c r="AN795" s="6" t="str">
        <x:v>2.126234016860636</x:v>
      </x:c>
      <x:c r="AO795" s="6" t="str">
        <x:v>0.0136816632475387</x:v>
      </x:c>
      <x:c r="AP795" s="8" t="str">
        <x:v>0.0052382311343995</x:v>
      </x:c>
      <x:c r="AQ795" s="6" t="str">
        <x:v>0.1809666546029775</x:v>
      </x:c>
      <x:c r="AR795" s="6" t="str">
        <x:v>-0.7165090749908635</x:v>
      </x:c>
      <x:c r="AS795" s="6" t="str">
        <x:v>-0.1767680630844958</x:v>
      </x:c>
      <x:c r="AT795" s="6" t="str">
        <x:v>-92.1988128550194</x:v>
      </x:c>
      <x:c r="AU795" s="8" t="str">
        <x:v>-1.409813735588471</x:v>
      </x:c>
      <x:c r="AV795" s="6" t="str">
        <x:v>0.7483624938824196</x:v>
      </x:c>
      <x:c r="AW795" s="6" t="str">
        <x:v>-0.2474521892975075</x:v>
      </x:c>
      <x:c r="AX795" s="6" t="str">
        <x:v>-0.3029678103345198</x:v>
      </x:c>
      <x:c r="AY795" s="6" t="str">
        <x:v>0</x:v>
      </x:c>
      <x:c r="AZ795" s="6" t="str">
        <x:v>1</x:v>
      </x:c>
      <x:c r="BA795" s="9" t="str">
        <x:v>grid_cells_within_BIG_polygon</x:v>
      </x:c>
      <x:c r="BB795" s="6" t="str">
        <x:v>8</x:v>
      </x:c>
      <x:c r="BC795" s="6" t="str">
        <x:v>0</x:v>
      </x:c>
      <x:c r="BD795" s="6" t="str">
        <x:v>0</x:v>
      </x:c>
      <x:c r="BE795" s="6" t="str">
        <x:v>0</x:v>
      </x:c>
      <x:c r="BF795" s="6" t="str">
        <x:v>0</x:v>
      </x:c>
      <x:c r="BG795" s="6" t="str">
        <x:v>0</x:v>
      </x:c>
      <x:c r="BH795" s="6" t="str">
        <x:v>0</x:v>
      </x:c>
      <x:c r="BI795" s="6" t="str">
        <x:v>0</x:v>
      </x:c>
      <x:c r="BJ795" s="6" t="str">
        <x:v>0</x:v>
      </x:c>
      <x:c r="BK795" s="6" t="str">
        <x:v>0</x:v>
      </x:c>
      <x:c r="BL795" s="6" t="str">
        <x:v>0</x:v>
      </x:c>
      <x:c r="BM795" s="6" t="str">
        <x:v>0</x:v>
      </x:c>
      <x:c r="BN795" s="6" t="str">
        <x:v>0</x:v>
      </x:c>
      <x:c r="BO795" s="6" t="str"/>
      <x:c r="BP795" s="6" t="str">
        <x:v>0</x:v>
      </x:c>
      <x:c r="BQ795" s="6" t="str"/>
      <x:c r="BR795" s="6" t="str">
        <x:v>0</x:v>
      </x:c>
      <x:c r="BS795" s="6" t="str"/>
      <x:c r="BT795" s="6" t="str">
        <x:v>0</x:v>
      </x:c>
      <x:c r="BU795" s="6" t="str"/>
      <x:c r="BV795" s="6" t="str">
        <x:v>0</x:v>
      </x:c>
      <x:c r="BW795" s="9" t="str">
        <x:v>operational_snapshot_annual_totals_may_differ</x:v>
      </x:c>
      <x:c r="BX795" s="9" t="str">
        <x:v>official_live_dashboard_snapshot_subject_to_revision</x:v>
      </x:c>
      <x:c r="BY795" s="9" t="str">
        <x:v>https://tbdashboard.sitb.id/ss_data_tbc03so_2024_provinsi_bulanan_list.php</x:v>
      </x:c>
      <x:c r="BZ795" s="6" t="n">
        <x:v>46246.610671296294</x:v>
      </x:c>
    </x:row>
    <x:row r="796" ht="18" customHeight="1">
      <x:c r="A796" s="6" t="str">
        <x:v>92</x:v>
      </x:c>
      <x:c r="B796" s="6" t="str">
        <x:v>PAPUA BARAT DAYA</x:v>
      </x:c>
      <x:c r="C796" s="6" t="str">
        <x:v>2024</x:v>
      </x:c>
      <x:c r="D796" s="6" t="str">
        <x:v>3</x:v>
      </x:c>
      <x:c r="E796" s="6" t="str">
        <x:v>2024-03</x:v>
      </x:c>
      <x:c r="F796" s="6" t="str">
        <x:v>115</x:v>
      </x:c>
      <x:c r="G796" s="6" t="str">
        <x:v>21</x:v>
      </x:c>
      <x:c r="H796" s="6" t="str">
        <x:v>63</x:v>
      </x:c>
      <x:c r="I796" s="6" t="str">
        <x:v>22</x:v>
      </x:c>
      <x:c r="J796" s="6" t="str">
        <x:v>6</x:v>
      </x:c>
      <x:c r="K796" s="6" t="str">
        <x:v>0</x:v>
      </x:c>
      <x:c r="L796" s="6" t="str">
        <x:v>2</x:v>
      </x:c>
      <x:c r="M796" s="6" t="str">
        <x:v>1</x:v>
      </x:c>
      <x:c r="N796" s="6" t="str">
        <x:v>115</x:v>
      </x:c>
      <x:c r="O796" s="6" t="str">
        <x:v>0</x:v>
      </x:c>
      <x:c r="P796" s="10" t="n">
        <x:f>F796-M796</x:f>
        <x:v>114</x:v>
      </x:c>
      <x:c r="Q796" s="11" t="n">
        <x:f>IFERROR(M796/F796,"")</x:f>
        <x:v>0.008695652173913044</x:v>
      </x:c>
      <x:c r="R796" s="10" t="n">
        <x:f>G796+H796</x:f>
        <x:v>84</x:v>
      </x:c>
      <x:c r="S796" s="11" t="n">
        <x:f>IFERROR(R796/F796,"")</x:f>
        <x:v>0.7304347826086957</x:v>
      </x:c>
      <x:c r="T796" s="11" t="n">
        <x:f>IFERROR(R796/P796,"")</x:f>
        <x:v>0.7368421052631579</x:v>
      </x:c>
      <x:c r="U796" s="10" t="n">
        <x:f>I796+J796+K796</x:f>
        <x:v>28</x:v>
      </x:c>
      <x:c r="V796" s="11" t="n">
        <x:f>IFERROR(U796/P796,"")</x:f>
        <x:v>0.24561403508771928</x:v>
      </x:c>
      <x:c r="W796" s="9" t="str">
        <x:v>mature_le_5pct_pending</x:v>
      </x:c>
      <x:c r="X796" s="12" t="n">
        <x:f>IFERROR(F796/Z796*100000,"")</x:f>
        <x:v>18.338383033009087</x:v>
      </x:c>
      <x:c r="Y796" s="13" t="n">
        <x:f>LN(Z796)</x:f>
        <x:v>13.348861296531112</x:v>
      </x:c>
      <x:c r="Z796" s="6" t="str">
        <x:v>627100</x:v>
      </x:c>
      <x:c r="AA796" s="6" t="str">
        <x:v>16.0</x:v>
      </x:c>
      <x:c r="AB796" s="9" t="str">
        <x:v>2024-06-30</x:v>
      </x:c>
      <x:c r="AC796" s="8" t="str">
        <x:v>79.56</x:v>
      </x:c>
      <x:c r="AD796" s="9" t="str">
        <x:v>2024 (Susenas)</x:v>
      </x:c>
      <x:c r="AE796" s="8" t="str">
        <x:v>915.153</x:v>
      </x:c>
      <x:c r="AF796" s="9" t="str">
        <x:v>Maret 2024 (Susenas)</x:v>
      </x:c>
      <x:c r="AG796" s="6" t="str">
        <x:v>27.732515854071863</x:v>
      </x:c>
      <x:c r="AH796" s="8" t="str">
        <x:v>84.76595914391541</x:v>
      </x:c>
      <x:c r="AI796" s="6" t="str">
        <x:v>220.13546552523127</x:v>
      </x:c>
      <x:c r="AJ796" s="6" t="str">
        <x:v>1.0317021753018203</x:v>
      </x:c>
      <x:c r="AK796" s="8" t="str">
        <x:v>2.5243000626346466</x:v>
      </x:c>
      <x:c r="AL796" s="6" t="str">
        <x:v>2.071654646953997</x:v>
      </x:c>
      <x:c r="AM796" s="6" t="str">
        <x:v>1.709132942325084</x:v>
      </x:c>
      <x:c r="AN796" s="6" t="str">
        <x:v>2.1016958839712427</x:v>
      </x:c>
      <x:c r="AO796" s="6" t="str">
        <x:v>-0.2744090143272757</x:v>
      </x:c>
      <x:c r="AP796" s="8" t="str">
        <x:v>-0.1327254556100646</x:v>
      </x:c>
      <x:c r="AQ796" s="6" t="str">
        <x:v>0.0052382311343995</x:v>
      </x:c>
      <x:c r="AR796" s="6" t="str">
        <x:v>0.1809666546029775</x:v>
      </x:c>
      <x:c r="AS796" s="6" t="str">
        <x:v>0.0178264767091037</x:v>
      </x:c>
      <x:c r="AT796" s="6" t="str">
        <x:v>-3.46940086498671</x:v>
      </x:c>
      <x:c r="AU796" s="8" t="str">
        <x:v>-0.0393419834729463</x:v>
      </x:c>
      <x:c r="AV796" s="6" t="str">
        <x:v>-1.409813735588471</x:v>
      </x:c>
      <x:c r="AW796" s="6" t="str">
        <x:v>0.7483624938824196</x:v>
      </x:c>
      <x:c r="AX796" s="6" t="str">
        <x:v>-0.2335977417263327</x:v>
      </x:c>
      <x:c r="AY796" s="6" t="str">
        <x:v>0</x:v>
      </x:c>
      <x:c r="AZ796" s="6" t="str">
        <x:v>1</x:v>
      </x:c>
      <x:c r="BA796" s="9" t="str">
        <x:v>grid_cells_within_BIG_polygon</x:v>
      </x:c>
      <x:c r="BB796" s="6" t="str">
        <x:v>8</x:v>
      </x:c>
      <x:c r="BC796" s="6" t="str">
        <x:v>1</x:v>
      </x:c>
      <x:c r="BD796" s="6" t="str">
        <x:v>1</x:v>
      </x:c>
      <x:c r="BE796" s="6" t="str">
        <x:v>1</x:v>
      </x:c>
      <x:c r="BF796" s="6" t="str">
        <x:v>0</x:v>
      </x:c>
      <x:c r="BG796" s="6" t="str">
        <x:v>0</x:v>
      </x:c>
      <x:c r="BH796" s="6" t="str">
        <x:v>0</x:v>
      </x:c>
      <x:c r="BI796" s="6" t="str">
        <x:v>0</x:v>
      </x:c>
      <x:c r="BJ796" s="6" t="str">
        <x:v>0</x:v>
      </x:c>
      <x:c r="BK796" s="6" t="str">
        <x:v>0</x:v>
      </x:c>
      <x:c r="BL796" s="6" t="str">
        <x:v>0</x:v>
      </x:c>
      <x:c r="BM796" s="6" t="str">
        <x:v>0</x:v>
      </x:c>
      <x:c r="BN796" s="6" t="str">
        <x:v>1</x:v>
      </x:c>
      <x:c r="BO796" s="6" t="str">
        <x:v>0.0</x:v>
      </x:c>
      <x:c r="BP796" s="6" t="str">
        <x:v>1</x:v>
      </x:c>
      <x:c r="BQ796" s="6" t="str">
        <x:v>0.0</x:v>
      </x:c>
      <x:c r="BR796" s="6" t="str">
        <x:v>1</x:v>
      </x:c>
      <x:c r="BS796" s="6" t="str">
        <x:v>0.0</x:v>
      </x:c>
      <x:c r="BT796" s="6" t="str">
        <x:v>1</x:v>
      </x:c>
      <x:c r="BU796" s="6" t="str">
        <x:v>3324.0</x:v>
      </x:c>
      <x:c r="BV796" s="6" t="str">
        <x:v>1</x:v>
      </x:c>
      <x:c r="BW796" s="9" t="str">
        <x:v>operational_snapshot_annual_totals_may_differ</x:v>
      </x:c>
      <x:c r="BX796" s="9" t="str">
        <x:v>official_live_dashboard_snapshot_subject_to_revision</x:v>
      </x:c>
      <x:c r="BY796" s="9" t="str">
        <x:v>https://tbdashboard.sitb.id/ss_data_tbc03so_2024_provinsi_bulanan_list.php</x:v>
      </x:c>
      <x:c r="BZ796" s="6" t="n">
        <x:v>46246.610671296294</x:v>
      </x:c>
    </x:row>
    <x:row r="797" ht="18" customHeight="1">
      <x:c r="A797" s="6" t="str">
        <x:v>92</x:v>
      </x:c>
      <x:c r="B797" s="6" t="str">
        <x:v>PAPUA BARAT DAYA</x:v>
      </x:c>
      <x:c r="C797" s="6" t="str">
        <x:v>2024</x:v>
      </x:c>
      <x:c r="D797" s="6" t="str">
        <x:v>4</x:v>
      </x:c>
      <x:c r="E797" s="6" t="str">
        <x:v>2024-04</x:v>
      </x:c>
      <x:c r="F797" s="6" t="str">
        <x:v>135</x:v>
      </x:c>
      <x:c r="G797" s="6" t="str">
        <x:v>27</x:v>
      </x:c>
      <x:c r="H797" s="6" t="str">
        <x:v>66</x:v>
      </x:c>
      <x:c r="I797" s="6" t="str">
        <x:v>33</x:v>
      </x:c>
      <x:c r="J797" s="6" t="str">
        <x:v>7</x:v>
      </x:c>
      <x:c r="K797" s="6" t="str">
        <x:v>0</x:v>
      </x:c>
      <x:c r="L797" s="6" t="str">
        <x:v>1</x:v>
      </x:c>
      <x:c r="M797" s="6" t="str">
        <x:v>1</x:v>
      </x:c>
      <x:c r="N797" s="6" t="str">
        <x:v>135</x:v>
      </x:c>
      <x:c r="O797" s="6" t="str">
        <x:v>0</x:v>
      </x:c>
      <x:c r="P797" s="10" t="n">
        <x:f>F797-M797</x:f>
        <x:v>134</x:v>
      </x:c>
      <x:c r="Q797" s="11" t="n">
        <x:f>IFERROR(M797/F797,"")</x:f>
        <x:v>0.007407407407407408</x:v>
      </x:c>
      <x:c r="R797" s="10" t="n">
        <x:f>G797+H797</x:f>
        <x:v>93</x:v>
      </x:c>
      <x:c r="S797" s="11" t="n">
        <x:f>IFERROR(R797/F797,"")</x:f>
        <x:v>0.6888888888888889</x:v>
      </x:c>
      <x:c r="T797" s="11" t="n">
        <x:f>IFERROR(R797/P797,"")</x:f>
        <x:v>0.6940298507462687</x:v>
      </x:c>
      <x:c r="U797" s="10" t="n">
        <x:f>I797+J797+K797</x:f>
        <x:v>40</x:v>
      </x:c>
      <x:c r="V797" s="11" t="n">
        <x:f>IFERROR(U797/P797,"")</x:f>
        <x:v>0.29850746268656714</x:v>
      </x:c>
      <x:c r="W797" s="9" t="str">
        <x:v>mature_le_5pct_pending</x:v>
      </x:c>
      <x:c r="X797" s="12" t="n">
        <x:f>IFERROR(F797/Z797*100000,"")</x:f>
        <x:v>21.5276670387498</x:v>
      </x:c>
      <x:c r="Y797" s="13" t="n">
        <x:f>LN(Z797)</x:f>
        <x:v>13.348861296531112</x:v>
      </x:c>
      <x:c r="Z797" s="6" t="str">
        <x:v>627100</x:v>
      </x:c>
      <x:c r="AA797" s="6" t="str">
        <x:v>16.0</x:v>
      </x:c>
      <x:c r="AB797" s="9" t="str">
        <x:v>2024-06-30</x:v>
      </x:c>
      <x:c r="AC797" s="8" t="str">
        <x:v>79.56</x:v>
      </x:c>
      <x:c r="AD797" s="9" t="str">
        <x:v>2024 (Susenas)</x:v>
      </x:c>
      <x:c r="AE797" s="8" t="str">
        <x:v>915.153</x:v>
      </x:c>
      <x:c r="AF797" s="9" t="str">
        <x:v>Maret 2024 (Susenas)</x:v>
      </x:c>
      <x:c r="AG797" s="6" t="str">
        <x:v>27.605017996955446</x:v>
      </x:c>
      <x:c r="AH797" s="8" t="str">
        <x:v>85.71597789614088</x:v>
      </x:c>
      <x:c r="AI797" s="6" t="str">
        <x:v>319.76861034939014</x:v>
      </x:c>
      <x:c r="AJ797" s="6" t="str">
        <x:v>0.79532658925406</x:v>
      </x:c>
      <x:c r="AK797" s="8" t="str">
        <x:v>2.283315807726754</x:v>
      </x:c>
      <x:c r="AL797" s="6" t="str">
        <x:v>2.5243000626346466</x:v>
      </x:c>
      <x:c r="AM797" s="6" t="str">
        <x:v>2.071654646953997</x:v>
      </x:c>
      <x:c r="AN797" s="6" t="str">
        <x:v>2.293090172438466</x:v>
      </x:c>
      <x:c r="AO797" s="6" t="str">
        <x:v>0.0170976497443433</x:v>
      </x:c>
      <x:c r="AP797" s="8" t="str">
        <x:v>0.0114247451593607</x:v>
      </x:c>
      <x:c r="AQ797" s="6" t="str">
        <x:v>-0.1327254556100646</x:v>
      </x:c>
      <x:c r="AR797" s="6" t="str">
        <x:v>0.0052382311343995</x:v>
      </x:c>
      <x:c r="AS797" s="6" t="str">
        <x:v>-0.0386874931054351</x:v>
      </x:c>
      <x:c r="AT797" s="6" t="str">
        <x:v>76.15144586877932</x:v>
      </x:c>
      <x:c r="AU797" s="8" t="str">
        <x:v>1.0569640522544737</x:v>
      </x:c>
      <x:c r="AV797" s="6" t="str">
        <x:v>-0.0393419834729463</x:v>
      </x:c>
      <x:c r="AW797" s="6" t="str">
        <x:v>-1.409813735588471</x:v>
      </x:c>
      <x:c r="AX797" s="6" t="str">
        <x:v>-0.1307305556023147</x:v>
      </x:c>
      <x:c r="AY797" s="6" t="str">
        <x:v>1</x:v>
      </x:c>
      <x:c r="AZ797" s="6" t="str">
        <x:v>1</x:v>
      </x:c>
      <x:c r="BA797" s="9" t="str">
        <x:v>grid_cells_within_BIG_polygon</x:v>
      </x:c>
      <x:c r="BB797" s="6" t="str">
        <x:v>8</x:v>
      </x:c>
      <x:c r="BC797" s="6" t="str">
        <x:v>0</x:v>
      </x:c>
      <x:c r="BD797" s="6" t="str">
        <x:v>0</x:v>
      </x:c>
      <x:c r="BE797" s="6" t="str">
        <x:v>0</x:v>
      </x:c>
      <x:c r="BF797" s="6" t="str">
        <x:v>0</x:v>
      </x:c>
      <x:c r="BG797" s="6" t="str">
        <x:v>0</x:v>
      </x:c>
      <x:c r="BH797" s="6" t="str">
        <x:v>0</x:v>
      </x:c>
      <x:c r="BI797" s="6" t="str">
        <x:v>0</x:v>
      </x:c>
      <x:c r="BJ797" s="6" t="str">
        <x:v>0</x:v>
      </x:c>
      <x:c r="BK797" s="6" t="str">
        <x:v>0</x:v>
      </x:c>
      <x:c r="BL797" s="6" t="str">
        <x:v>0</x:v>
      </x:c>
      <x:c r="BM797" s="6" t="str">
        <x:v>0</x:v>
      </x:c>
      <x:c r="BN797" s="6" t="str">
        <x:v>0</x:v>
      </x:c>
      <x:c r="BO797" s="6" t="str"/>
      <x:c r="BP797" s="6" t="str">
        <x:v>0</x:v>
      </x:c>
      <x:c r="BQ797" s="6" t="str"/>
      <x:c r="BR797" s="6" t="str">
        <x:v>0</x:v>
      </x:c>
      <x:c r="BS797" s="6" t="str"/>
      <x:c r="BT797" s="6" t="str">
        <x:v>0</x:v>
      </x:c>
      <x:c r="BU797" s="6" t="str"/>
      <x:c r="BV797" s="6" t="str">
        <x:v>0</x:v>
      </x:c>
      <x:c r="BW797" s="9" t="str">
        <x:v>operational_snapshot_annual_totals_may_differ</x:v>
      </x:c>
      <x:c r="BX797" s="9" t="str">
        <x:v>official_live_dashboard_snapshot_subject_to_revision</x:v>
      </x:c>
      <x:c r="BY797" s="9" t="str">
        <x:v>https://tbdashboard.sitb.id/ss_data_tbc03so_2024_provinsi_bulanan_list.php</x:v>
      </x:c>
      <x:c r="BZ797" s="6" t="n">
        <x:v>46246.610671296294</x:v>
      </x:c>
    </x:row>
    <x:row r="798" ht="18" customHeight="1">
      <x:c r="A798" s="6" t="str">
        <x:v>92</x:v>
      </x:c>
      <x:c r="B798" s="6" t="str">
        <x:v>PAPUA BARAT DAYA</x:v>
      </x:c>
      <x:c r="C798" s="6" t="str">
        <x:v>2024</x:v>
      </x:c>
      <x:c r="D798" s="6" t="str">
        <x:v>5</x:v>
      </x:c>
      <x:c r="E798" s="6" t="str">
        <x:v>2024-05</x:v>
      </x:c>
      <x:c r="F798" s="6" t="str">
        <x:v>134</x:v>
      </x:c>
      <x:c r="G798" s="6" t="str">
        <x:v>28</x:v>
      </x:c>
      <x:c r="H798" s="6" t="str">
        <x:v>65</x:v>
      </x:c>
      <x:c r="I798" s="6" t="str">
        <x:v>23</x:v>
      </x:c>
      <x:c r="J798" s="6" t="str">
        <x:v>10</x:v>
      </x:c>
      <x:c r="K798" s="6" t="str">
        <x:v>0</x:v>
      </x:c>
      <x:c r="L798" s="6" t="str">
        <x:v>1</x:v>
      </x:c>
      <x:c r="M798" s="6" t="str">
        <x:v>7</x:v>
      </x:c>
      <x:c r="N798" s="6" t="str">
        <x:v>134</x:v>
      </x:c>
      <x:c r="O798" s="6" t="str">
        <x:v>0</x:v>
      </x:c>
      <x:c r="P798" s="10" t="n">
        <x:f>F798-M798</x:f>
        <x:v>127</x:v>
      </x:c>
      <x:c r="Q798" s="11" t="n">
        <x:f>IFERROR(M798/F798,"")</x:f>
        <x:v>0.05223880597014925</x:v>
      </x:c>
      <x:c r="R798" s="10" t="n">
        <x:f>G798+H798</x:f>
        <x:v>93</x:v>
      </x:c>
      <x:c r="S798" s="11" t="n">
        <x:f>IFERROR(R798/F798,"")</x:f>
        <x:v>0.6940298507462687</x:v>
      </x:c>
      <x:c r="T798" s="11" t="n">
        <x:f>IFERROR(R798/P798,"")</x:f>
        <x:v>0.7322834645669292</x:v>
      </x:c>
      <x:c r="U798" s="10" t="n">
        <x:f>I798+J798+K798</x:f>
        <x:v>33</x:v>
      </x:c>
      <x:c r="V798" s="11" t="n">
        <x:f>IFERROR(U798/P798,"")</x:f>
        <x:v>0.25984251968503935</x:v>
      </x:c>
      <x:c r="W798" s="9" t="str">
        <x:v>provisional_gt_5pct_pending</x:v>
      </x:c>
      <x:c r="X798" s="12" t="n">
        <x:f>IFERROR(F798/Z798*100000,"")</x:f>
        <x:v>21.368202838462768</x:v>
      </x:c>
      <x:c r="Y798" s="13" t="n">
        <x:f>LN(Z798)</x:f>
        <x:v>13.348861296531112</x:v>
      </x:c>
      <x:c r="Z798" s="6" t="str">
        <x:v>627100</x:v>
      </x:c>
      <x:c r="AA798" s="6" t="str">
        <x:v>16.0</x:v>
      </x:c>
      <x:c r="AB798" s="9" t="str">
        <x:v>2024-06-30</x:v>
      </x:c>
      <x:c r="AC798" s="8" t="str">
        <x:v>79.56</x:v>
      </x:c>
      <x:c r="AD798" s="9" t="str">
        <x:v>2024 (Susenas)</x:v>
      </x:c>
      <x:c r="AE798" s="8" t="str">
        <x:v>915.153</x:v>
      </x:c>
      <x:c r="AF798" s="9" t="str">
        <x:v>Maret 2024 (Susenas)</x:v>
      </x:c>
      <x:c r="AG798" s="6" t="str">
        <x:v>27.610017520712763</x:v>
      </x:c>
      <x:c r="AH798" s="8" t="str">
        <x:v>87.32972996862405</x:v>
      </x:c>
      <x:c r="AI798" s="6" t="str">
        <x:v>295.7425502669685</x:v>
      </x:c>
      <x:c r="AJ798" s="6" t="str">
        <x:v>0.7832885125237787</x:v>
      </x:c>
      <x:c r="AK798" s="8" t="str">
        <x:v>2.0369575987329283</x:v>
      </x:c>
      <x:c r="AL798" s="6" t="str">
        <x:v>2.283315807726754</x:v>
      </x:c>
      <x:c r="AM798" s="6" t="str">
        <x:v>2.5243000626346466</x:v>
      </x:c>
      <x:c r="AN798" s="6" t="str">
        <x:v>2.2815244896981097</x:v>
      </x:c>
      <x:c r="AO798" s="6" t="str">
        <x:v>0.9895429356161144</x:v>
      </x:c>
      <x:c r="AP798" s="8" t="str">
        <x:v>0.710451854278644</x:v>
      </x:c>
      <x:c r="AQ798" s="6" t="str">
        <x:v>0.0114247451593607</x:v>
      </x:c>
      <x:c r="AR798" s="6" t="str">
        <x:v>-0.1327254556100646</x:v>
      </x:c>
      <x:c r="AS798" s="6" t="str">
        <x:v>0.196383714609313</x:v>
      </x:c>
      <x:c r="AT798" s="6" t="str">
        <x:v>32.599952041144604</x:v>
      </x:c>
      <x:c r="AU798" s="8" t="str">
        <x:v>0.2795933302338377</x:v>
      </x:c>
      <x:c r="AV798" s="6" t="str">
        <x:v>1.0569640522544737</x:v>
      </x:c>
      <x:c r="AW798" s="6" t="str">
        <x:v>-0.0393419834729463</x:v>
      </x:c>
      <x:c r="AX798" s="6" t="str">
        <x:v>0.4324051330051215</x:v>
      </x:c>
      <x:c r="AY798" s="6" t="str">
        <x:v>0</x:v>
      </x:c>
      <x:c r="AZ798" s="6" t="str">
        <x:v>1</x:v>
      </x:c>
      <x:c r="BA798" s="9" t="str">
        <x:v>grid_cells_within_BIG_polygon</x:v>
      </x:c>
      <x:c r="BB798" s="6" t="str">
        <x:v>8</x:v>
      </x:c>
      <x:c r="BC798" s="6" t="str">
        <x:v>0</x:v>
      </x:c>
      <x:c r="BD798" s="6" t="str">
        <x:v>0</x:v>
      </x:c>
      <x:c r="BE798" s="6" t="str">
        <x:v>0</x:v>
      </x:c>
      <x:c r="BF798" s="6" t="str">
        <x:v>0</x:v>
      </x:c>
      <x:c r="BG798" s="6" t="str">
        <x:v>0</x:v>
      </x:c>
      <x:c r="BH798" s="6" t="str">
        <x:v>0</x:v>
      </x:c>
      <x:c r="BI798" s="6" t="str">
        <x:v>0</x:v>
      </x:c>
      <x:c r="BJ798" s="6" t="str">
        <x:v>0</x:v>
      </x:c>
      <x:c r="BK798" s="6" t="str">
        <x:v>0</x:v>
      </x:c>
      <x:c r="BL798" s="6" t="str">
        <x:v>0</x:v>
      </x:c>
      <x:c r="BM798" s="6" t="str">
        <x:v>0</x:v>
      </x:c>
      <x:c r="BN798" s="6" t="str">
        <x:v>0</x:v>
      </x:c>
      <x:c r="BO798" s="6" t="str"/>
      <x:c r="BP798" s="6" t="str">
        <x:v>0</x:v>
      </x:c>
      <x:c r="BQ798" s="6" t="str"/>
      <x:c r="BR798" s="6" t="str">
        <x:v>0</x:v>
      </x:c>
      <x:c r="BS798" s="6" t="str"/>
      <x:c r="BT798" s="6" t="str">
        <x:v>0</x:v>
      </x:c>
      <x:c r="BU798" s="6" t="str"/>
      <x:c r="BV798" s="6" t="str">
        <x:v>0</x:v>
      </x:c>
      <x:c r="BW798" s="9" t="str">
        <x:v>operational_snapshot_annual_totals_may_differ</x:v>
      </x:c>
      <x:c r="BX798" s="9" t="str">
        <x:v>official_live_dashboard_snapshot_subject_to_revision</x:v>
      </x:c>
      <x:c r="BY798" s="9" t="str">
        <x:v>https://tbdashboard.sitb.id/ss_data_tbc03so_2024_provinsi_bulanan_list.php</x:v>
      </x:c>
      <x:c r="BZ798" s="6" t="n">
        <x:v>46246.610671296294</x:v>
      </x:c>
    </x:row>
    <x:row r="799" ht="18" customHeight="1">
      <x:c r="A799" s="6" t="str">
        <x:v>92</x:v>
      </x:c>
      <x:c r="B799" s="6" t="str">
        <x:v>PAPUA BARAT DAYA</x:v>
      </x:c>
      <x:c r="C799" s="6" t="str">
        <x:v>2024</x:v>
      </x:c>
      <x:c r="D799" s="6" t="str">
        <x:v>6</x:v>
      </x:c>
      <x:c r="E799" s="6" t="str">
        <x:v>2024-06</x:v>
      </x:c>
      <x:c r="F799" s="6" t="str">
        <x:v>139</x:v>
      </x:c>
      <x:c r="G799" s="6" t="str">
        <x:v>28</x:v>
      </x:c>
      <x:c r="H799" s="6" t="str">
        <x:v>65</x:v>
      </x:c>
      <x:c r="I799" s="6" t="str">
        <x:v>26</x:v>
      </x:c>
      <x:c r="J799" s="6" t="str">
        <x:v>9</x:v>
      </x:c>
      <x:c r="K799" s="6" t="str">
        <x:v>1</x:v>
      </x:c>
      <x:c r="L799" s="6" t="str">
        <x:v>1</x:v>
      </x:c>
      <x:c r="M799" s="6" t="str">
        <x:v>9</x:v>
      </x:c>
      <x:c r="N799" s="6" t="str">
        <x:v>139</x:v>
      </x:c>
      <x:c r="O799" s="6" t="str">
        <x:v>0</x:v>
      </x:c>
      <x:c r="P799" s="10" t="n">
        <x:f>F799-M799</x:f>
        <x:v>130</x:v>
      </x:c>
      <x:c r="Q799" s="11" t="n">
        <x:f>IFERROR(M799/F799,"")</x:f>
        <x:v>0.06474820143884892</x:v>
      </x:c>
      <x:c r="R799" s="10" t="n">
        <x:f>G799+H799</x:f>
        <x:v>93</x:v>
      </x:c>
      <x:c r="S799" s="11" t="n">
        <x:f>IFERROR(R799/F799,"")</x:f>
        <x:v>0.6690647482014388</x:v>
      </x:c>
      <x:c r="T799" s="11" t="n">
        <x:f>IFERROR(R799/P799,"")</x:f>
        <x:v>0.7153846153846154</x:v>
      </x:c>
      <x:c r="U799" s="10" t="n">
        <x:f>I799+J799+K799</x:f>
        <x:v>36</x:v>
      </x:c>
      <x:c r="V799" s="11" t="n">
        <x:f>IFERROR(U799/P799,"")</x:f>
        <x:v>0.27692307692307694</x:v>
      </x:c>
      <x:c r="W799" s="9" t="str">
        <x:v>provisional_gt_5pct_pending</x:v>
      </x:c>
      <x:c r="X799" s="12" t="n">
        <x:f>IFERROR(F799/Z799*100000,"")</x:f>
        <x:v>22.165523839897944</x:v>
      </x:c>
      <x:c r="Y799" s="13" t="n">
        <x:f>LN(Z799)</x:f>
        <x:v>13.348861296531112</x:v>
      </x:c>
      <x:c r="Z799" s="6" t="str">
        <x:v>627100</x:v>
      </x:c>
      <x:c r="AA799" s="6" t="str">
        <x:v>16.0</x:v>
      </x:c>
      <x:c r="AB799" s="9" t="str">
        <x:v>2024-06-30</x:v>
      </x:c>
      <x:c r="AC799" s="8" t="str">
        <x:v>79.56</x:v>
      </x:c>
      <x:c r="AD799" s="9" t="str">
        <x:v>2024 (Susenas)</x:v>
      </x:c>
      <x:c r="AE799" s="8" t="str">
        <x:v>915.153</x:v>
      </x:c>
      <x:c r="AF799" s="9" t="str">
        <x:v>Maret 2024 (Susenas)</x:v>
      </x:c>
      <x:c r="AG799" s="6" t="str">
        <x:v>26.72501652107628</x:v>
      </x:c>
      <x:c r="AH799" s="8" t="str">
        <x:v>89.33854178422956</x:v>
      </x:c>
      <x:c r="AI799" s="6" t="str">
        <x:v>550.5685725346656</x:v>
      </x:c>
      <x:c r="AJ799" s="6" t="str">
        <x:v>0.5483286645894125</x:v>
      </x:c>
      <x:c r="AK799" s="8" t="str">
        <x:v>1.7490798195357988</x:v>
      </x:c>
      <x:c r="AL799" s="6" t="str">
        <x:v>2.0369575987329283</x:v>
      </x:c>
      <x:c r="AM799" s="6" t="str">
        <x:v>2.283315807726754</x:v>
      </x:c>
      <x:c r="AN799" s="6" t="str">
        <x:v>2.023117741998494</x:v>
      </x:c>
      <x:c r="AO799" s="6" t="str">
        <x:v>1.458041715967454</x:v>
      </x:c>
      <x:c r="AP799" s="8" t="str">
        <x:v>0.931438006126136</x:v>
      </x:c>
      <x:c r="AQ799" s="6" t="str">
        <x:v>0.710451854278644</x:v>
      </x:c>
      <x:c r="AR799" s="6" t="str">
        <x:v>0.0114247451593607</x:v>
      </x:c>
      <x:c r="AS799" s="6" t="str">
        <x:v>0.5511048685213799</x:v>
      </x:c>
      <x:c r="AT799" s="6" t="str">
        <x:v>242.86753422508585</x:v>
      </x:c>
      <x:c r="AU799" s="8" t="str">
        <x:v>2.0065659341194046</x:v>
      </x:c>
      <x:c r="AV799" s="6" t="str">
        <x:v>0.2795933302338377</x:v>
      </x:c>
      <x:c r="AW799" s="6" t="str">
        <x:v>1.0569640522544737</x:v>
      </x:c>
      <x:c r="AX799" s="6" t="str">
        <x:v>1.1143744388692385</x:v>
      </x:c>
      <x:c r="AY799" s="6" t="str">
        <x:v>1</x:v>
      </x:c>
      <x:c r="AZ799" s="6" t="str">
        <x:v>1</x:v>
      </x:c>
      <x:c r="BA799" s="9" t="str">
        <x:v>grid_cells_within_BIG_polygon</x:v>
      </x:c>
      <x:c r="BB799" s="6" t="str">
        <x:v>8</x:v>
      </x:c>
      <x:c r="BC799" s="6" t="str">
        <x:v>0</x:v>
      </x:c>
      <x:c r="BD799" s="6" t="str">
        <x:v>0</x:v>
      </x:c>
      <x:c r="BE799" s="6" t="str">
        <x:v>0</x:v>
      </x:c>
      <x:c r="BF799" s="6" t="str">
        <x:v>0</x:v>
      </x:c>
      <x:c r="BG799" s="6" t="str">
        <x:v>0</x:v>
      </x:c>
      <x:c r="BH799" s="6" t="str">
        <x:v>0</x:v>
      </x:c>
      <x:c r="BI799" s="6" t="str">
        <x:v>0</x:v>
      </x:c>
      <x:c r="BJ799" s="6" t="str">
        <x:v>0</x:v>
      </x:c>
      <x:c r="BK799" s="6" t="str">
        <x:v>0</x:v>
      </x:c>
      <x:c r="BL799" s="6" t="str">
        <x:v>0</x:v>
      </x:c>
      <x:c r="BM799" s="6" t="str">
        <x:v>0</x:v>
      </x:c>
      <x:c r="BN799" s="6" t="str">
        <x:v>0</x:v>
      </x:c>
      <x:c r="BO799" s="6" t="str"/>
      <x:c r="BP799" s="6" t="str">
        <x:v>0</x:v>
      </x:c>
      <x:c r="BQ799" s="6" t="str"/>
      <x:c r="BR799" s="6" t="str">
        <x:v>0</x:v>
      </x:c>
      <x:c r="BS799" s="6" t="str"/>
      <x:c r="BT799" s="6" t="str">
        <x:v>0</x:v>
      </x:c>
      <x:c r="BU799" s="6" t="str"/>
      <x:c r="BV799" s="6" t="str">
        <x:v>0</x:v>
      </x:c>
      <x:c r="BW799" s="9" t="str">
        <x:v>operational_snapshot_annual_totals_may_differ</x:v>
      </x:c>
      <x:c r="BX799" s="9" t="str">
        <x:v>official_live_dashboard_snapshot_subject_to_revision</x:v>
      </x:c>
      <x:c r="BY799" s="9" t="str">
        <x:v>https://tbdashboard.sitb.id/ss_data_tbc03so_2024_provinsi_bulanan_list.php</x:v>
      </x:c>
      <x:c r="BZ799" s="6" t="n">
        <x:v>46246.610671296294</x:v>
      </x:c>
    </x:row>
    <x:row r="800" ht="18" customHeight="1">
      <x:c r="A800" s="6" t="str">
        <x:v>92</x:v>
      </x:c>
      <x:c r="B800" s="6" t="str">
        <x:v>PAPUA BARAT DAYA</x:v>
      </x:c>
      <x:c r="C800" s="6" t="str">
        <x:v>2024</x:v>
      </x:c>
      <x:c r="D800" s="6" t="str">
        <x:v>7</x:v>
      </x:c>
      <x:c r="E800" s="6" t="str">
        <x:v>2024-07</x:v>
      </x:c>
      <x:c r="F800" s="6" t="str">
        <x:v>187</x:v>
      </x:c>
      <x:c r="G800" s="6" t="str">
        <x:v>27</x:v>
      </x:c>
      <x:c r="H800" s="6" t="str">
        <x:v>86</x:v>
      </x:c>
      <x:c r="I800" s="6" t="str">
        <x:v>43</x:v>
      </x:c>
      <x:c r="J800" s="6" t="str">
        <x:v>9</x:v>
      </x:c>
      <x:c r="K800" s="6" t="str">
        <x:v>1</x:v>
      </x:c>
      <x:c r="L800" s="6" t="str">
        <x:v>5</x:v>
      </x:c>
      <x:c r="M800" s="6" t="str">
        <x:v>16</x:v>
      </x:c>
      <x:c r="N800" s="6" t="str">
        <x:v>187</x:v>
      </x:c>
      <x:c r="O800" s="6" t="str">
        <x:v>0</x:v>
      </x:c>
      <x:c r="P800" s="10" t="n">
        <x:f>F800-M800</x:f>
        <x:v>171</x:v>
      </x:c>
      <x:c r="Q800" s="11" t="n">
        <x:f>IFERROR(M800/F800,"")</x:f>
        <x:v>0.0855614973262032</x:v>
      </x:c>
      <x:c r="R800" s="10" t="n">
        <x:f>G800+H800</x:f>
        <x:v>113</x:v>
      </x:c>
      <x:c r="S800" s="11" t="n">
        <x:f>IFERROR(R800/F800,"")</x:f>
        <x:v>0.6042780748663101</x:v>
      </x:c>
      <x:c r="T800" s="11" t="n">
        <x:f>IFERROR(R800/P800,"")</x:f>
        <x:v>0.6608187134502924</x:v>
      </x:c>
      <x:c r="U800" s="10" t="n">
        <x:f>I800+J800+K800</x:f>
        <x:v>53</x:v>
      </x:c>
      <x:c r="V800" s="11" t="n">
        <x:f>IFERROR(U800/P800,"")</x:f>
        <x:v>0.30994152046783624</x:v>
      </x:c>
      <x:c r="W800" s="9" t="str">
        <x:v>provisional_gt_5pct_pending</x:v>
      </x:c>
      <x:c r="X800" s="12" t="n">
        <x:f>IFERROR(F800/Z800*100000,"")</x:f>
        <x:v>29.819805453675652</x:v>
      </x:c>
      <x:c r="Y800" s="13" t="n">
        <x:f>LN(Z800)</x:f>
        <x:v>13.348861296531112</x:v>
      </x:c>
      <x:c r="Z800" s="6" t="str">
        <x:v>627100</x:v>
      </x:c>
      <x:c r="AA800" s="6" t="str">
        <x:v>16.0</x:v>
      </x:c>
      <x:c r="AB800" s="9" t="str">
        <x:v>2024-06-30</x:v>
      </x:c>
      <x:c r="AC800" s="8" t="str">
        <x:v>79.56</x:v>
      </x:c>
      <x:c r="AD800" s="9" t="str">
        <x:v>2024 (Susenas)</x:v>
      </x:c>
      <x:c r="AE800" s="8" t="str">
        <x:v>915.153</x:v>
      </x:c>
      <x:c r="AF800" s="9" t="str">
        <x:v>Maret 2024 (Susenas)</x:v>
      </x:c>
      <x:c r="AG800" s="6" t="str">
        <x:v>26.258772543540307</x:v>
      </x:c>
      <x:c r="AH800" s="8" t="str">
        <x:v>88.09857796563915</x:v>
      </x:c>
      <x:c r="AI800" s="6" t="str">
        <x:v>227.1932238334684</x:v>
      </x:c>
      <x:c r="AJ800" s="6" t="str">
        <x:v>0.6132885762947247</x:v>
      </x:c>
      <x:c r="AK800" s="8" t="str">
        <x:v>1.688773964941661</x:v>
      </x:c>
      <x:c r="AL800" s="6" t="str">
        <x:v>1.7490798195357988</x:v>
      </x:c>
      <x:c r="AM800" s="6" t="str">
        <x:v>2.0369575987329283</x:v>
      </x:c>
      <x:c r="AN800" s="6" t="str">
        <x:v>1.8249371277367965</x:v>
      </x:c>
      <x:c r="AO800" s="6" t="str">
        <x:v>-0.0160543408223503</x:v>
      </x:c>
      <x:c r="AP800" s="8" t="str">
        <x:v>-0.0139115160021294</x:v>
      </x:c>
      <x:c r="AQ800" s="6" t="str">
        <x:v>0.931438006126136</x:v>
      </x:c>
      <x:c r="AR800" s="6" t="str">
        <x:v>0.710451854278644</x:v>
      </x:c>
      <x:c r="AS800" s="6" t="str">
        <x:v>0.5426594481342165</x:v>
      </x:c>
      <x:c r="AT800" s="6" t="str">
        <x:v>-57.792790814313776</x:v>
      </x:c>
      <x:c r="AU800" s="8" t="str">
        <x:v>-0.3661216509011032</x:v>
      </x:c>
      <x:c r="AV800" s="6" t="str">
        <x:v>2.0065659341194046</x:v>
      </x:c>
      <x:c r="AW800" s="6" t="str">
        <x:v>0.2795933302338377</x:v>
      </x:c>
      <x:c r="AX800" s="6" t="str">
        <x:v>0.6400125378173797</x:v>
      </x:c>
      <x:c r="AY800" s="6" t="str">
        <x:v>0</x:v>
      </x:c>
      <x:c r="AZ800" s="6" t="str">
        <x:v>1</x:v>
      </x:c>
      <x:c r="BA800" s="9" t="str">
        <x:v>grid_cells_within_BIG_polygon</x:v>
      </x:c>
      <x:c r="BB800" s="6" t="str">
        <x:v>8</x:v>
      </x:c>
      <x:c r="BC800" s="6" t="str">
        <x:v>0</x:v>
      </x:c>
      <x:c r="BD800" s="6" t="str">
        <x:v>0</x:v>
      </x:c>
      <x:c r="BE800" s="6" t="str">
        <x:v>0</x:v>
      </x:c>
      <x:c r="BF800" s="6" t="str">
        <x:v>0</x:v>
      </x:c>
      <x:c r="BG800" s="6" t="str">
        <x:v>0</x:v>
      </x:c>
      <x:c r="BH800" s="6" t="str">
        <x:v>0</x:v>
      </x:c>
      <x:c r="BI800" s="6" t="str">
        <x:v>0</x:v>
      </x:c>
      <x:c r="BJ800" s="6" t="str">
        <x:v>0</x:v>
      </x:c>
      <x:c r="BK800" s="6" t="str">
        <x:v>0</x:v>
      </x:c>
      <x:c r="BL800" s="6" t="str">
        <x:v>0</x:v>
      </x:c>
      <x:c r="BM800" s="6" t="str">
        <x:v>0</x:v>
      </x:c>
      <x:c r="BN800" s="6" t="str">
        <x:v>0</x:v>
      </x:c>
      <x:c r="BO800" s="6" t="str"/>
      <x:c r="BP800" s="6" t="str">
        <x:v>0</x:v>
      </x:c>
      <x:c r="BQ800" s="6" t="str"/>
      <x:c r="BR800" s="6" t="str">
        <x:v>0</x:v>
      </x:c>
      <x:c r="BS800" s="6" t="str"/>
      <x:c r="BT800" s="6" t="str">
        <x:v>0</x:v>
      </x:c>
      <x:c r="BU800" s="6" t="str"/>
      <x:c r="BV800" s="6" t="str">
        <x:v>0</x:v>
      </x:c>
      <x:c r="BW800" s="9" t="str">
        <x:v>operational_snapshot_annual_totals_may_differ</x:v>
      </x:c>
      <x:c r="BX800" s="9" t="str">
        <x:v>official_live_dashboard_snapshot_subject_to_revision</x:v>
      </x:c>
      <x:c r="BY800" s="9" t="str">
        <x:v>https://tbdashboard.sitb.id/ss_data_tbc03so_2024_provinsi_bulanan_list.php</x:v>
      </x:c>
      <x:c r="BZ800" s="6" t="n">
        <x:v>46246.610671296294</x:v>
      </x:c>
    </x:row>
    <x:row r="801" ht="18" customHeight="1">
      <x:c r="A801" s="6" t="str">
        <x:v>92</x:v>
      </x:c>
      <x:c r="B801" s="6" t="str">
        <x:v>PAPUA BARAT DAYA</x:v>
      </x:c>
      <x:c r="C801" s="6" t="str">
        <x:v>2024</x:v>
      </x:c>
      <x:c r="D801" s="6" t="str">
        <x:v>8</x:v>
      </x:c>
      <x:c r="E801" s="6" t="str">
        <x:v>2024-08</x:v>
      </x:c>
      <x:c r="F801" s="6" t="str">
        <x:v>186</x:v>
      </x:c>
      <x:c r="G801" s="6" t="str">
        <x:v>24</x:v>
      </x:c>
      <x:c r="H801" s="6" t="str">
        <x:v>86</x:v>
      </x:c>
      <x:c r="I801" s="6" t="str">
        <x:v>42</x:v>
      </x:c>
      <x:c r="J801" s="6" t="str">
        <x:v>11</x:v>
      </x:c>
      <x:c r="K801" s="6" t="str">
        <x:v>1</x:v>
      </x:c>
      <x:c r="L801" s="6" t="str">
        <x:v>3</x:v>
      </x:c>
      <x:c r="M801" s="6" t="str">
        <x:v>19</x:v>
      </x:c>
      <x:c r="N801" s="6" t="str">
        <x:v>186</x:v>
      </x:c>
      <x:c r="O801" s="6" t="str">
        <x:v>0</x:v>
      </x:c>
      <x:c r="P801" s="10" t="n">
        <x:f>F801-M801</x:f>
        <x:v>167</x:v>
      </x:c>
      <x:c r="Q801" s="11" t="n">
        <x:f>IFERROR(M801/F801,"")</x:f>
        <x:v>0.10215053763440861</x:v>
      </x:c>
      <x:c r="R801" s="10" t="n">
        <x:f>G801+H801</x:f>
        <x:v>110</x:v>
      </x:c>
      <x:c r="S801" s="11" t="n">
        <x:f>IFERROR(R801/F801,"")</x:f>
        <x:v>0.5913978494623656</x:v>
      </x:c>
      <x:c r="T801" s="11" t="n">
        <x:f>IFERROR(R801/P801,"")</x:f>
        <x:v>0.6586826347305389</x:v>
      </x:c>
      <x:c r="U801" s="10" t="n">
        <x:f>I801+J801+K801</x:f>
        <x:v>54</x:v>
      </x:c>
      <x:c r="V801" s="11" t="n">
        <x:f>IFERROR(U801/P801,"")</x:f>
        <x:v>0.32335329341317365</x:v>
      </x:c>
      <x:c r="W801" s="9" t="str">
        <x:v>provisional_gt_5pct_pending</x:v>
      </x:c>
      <x:c r="X801" s="12" t="n">
        <x:f>IFERROR(F801/Z801*100000,"")</x:f>
        <x:v>29.660341253388616</x:v>
      </x:c>
      <x:c r="Y801" s="13" t="n">
        <x:f>LN(Z801)</x:f>
        <x:v>13.348861296531112</x:v>
      </x:c>
      <x:c r="Z801" s="6" t="str">
        <x:v>627100</x:v>
      </x:c>
      <x:c r="AA801" s="6" t="str">
        <x:v>16.0</x:v>
      </x:c>
      <x:c r="AB801" s="9" t="str">
        <x:v>2024-06-30</x:v>
      </x:c>
      <x:c r="AC801" s="8" t="str">
        <x:v>79.56</x:v>
      </x:c>
      <x:c r="AD801" s="9" t="str">
        <x:v>2024 (Susenas)</x:v>
      </x:c>
      <x:c r="AE801" s="8" t="str">
        <x:v>915.153</x:v>
      </x:c>
      <x:c r="AF801" s="9" t="str">
        <x:v>Maret 2024 (Susenas)</x:v>
      </x:c>
      <x:c r="AG801" s="6" t="str">
        <x:v>26.403766449515707</x:v>
      </x:c>
      <x:c r="AH801" s="8" t="str">
        <x:v>89.32238116594914</x:v>
      </x:c>
      <x:c r="AI801" s="6" t="str">
        <x:v>569.7356052316176</x:v>
      </x:c>
      <x:c r="AJ801" s="6" t="str">
        <x:v>0.8650304683345666</x:v>
      </x:c>
      <x:c r="AK801" s="8" t="str">
        <x:v>2.233599054865176</x:v>
      </x:c>
      <x:c r="AL801" s="6" t="str">
        <x:v>1.688773964941661</x:v>
      </x:c>
      <x:c r="AM801" s="6" t="str">
        <x:v>1.7490798195357988</x:v>
      </x:c>
      <x:c r="AN801" s="6" t="str">
        <x:v>1.890484279780879</x:v>
      </x:c>
      <x:c r="AO801" s="6" t="str">
        <x:v>2.278436945954681</x:v>
      </x:c>
      <x:c r="AP801" s="8" t="str">
        <x:v>1.14238276676616</x:v>
      </x:c>
      <x:c r="AQ801" s="6" t="str">
        <x:v>-0.0139115160021294</x:v>
      </x:c>
      <x:c r="AR801" s="6" t="str">
        <x:v>0.931438006126136</x:v>
      </x:c>
      <x:c r="AS801" s="6" t="str">
        <x:v>0.6866364189633885</x:v>
      </x:c>
      <x:c r="AT801" s="6" t="str">
        <x:v>334.8723500833815</x:v>
      </x:c>
      <x:c r="AU801" s="8" t="str">
        <x:v>2.154102824258312</x:v>
      </x:c>
      <x:c r="AV801" s="6" t="str">
        <x:v>-0.3661216509011032</x:v>
      </x:c>
      <x:c r="AW801" s="6" t="str">
        <x:v>2.0065659341194046</x:v>
      </x:c>
      <x:c r="AX801" s="6" t="str">
        <x:v>1.2648490358255378</x:v>
      </x:c>
      <x:c r="AY801" s="6" t="str">
        <x:v>1</x:v>
      </x:c>
      <x:c r="AZ801" s="6" t="str">
        <x:v>1</x:v>
      </x:c>
      <x:c r="BA801" s="9" t="str">
        <x:v>grid_cells_within_BIG_polygon</x:v>
      </x:c>
      <x:c r="BB801" s="6" t="str">
        <x:v>8</x:v>
      </x:c>
      <x:c r="BC801" s="6" t="str">
        <x:v>3</x:v>
      </x:c>
      <x:c r="BD801" s="6" t="str">
        <x:v>3</x:v>
      </x:c>
      <x:c r="BE801" s="6" t="str">
        <x:v>3</x:v>
      </x:c>
      <x:c r="BF801" s="6" t="str">
        <x:v>0</x:v>
      </x:c>
      <x:c r="BG801" s="6" t="str">
        <x:v>0</x:v>
      </x:c>
      <x:c r="BH801" s="6" t="str">
        <x:v>0</x:v>
      </x:c>
      <x:c r="BI801" s="6" t="str">
        <x:v>0</x:v>
      </x:c>
      <x:c r="BJ801" s="6" t="str">
        <x:v>0</x:v>
      </x:c>
      <x:c r="BK801" s="6" t="str">
        <x:v>0</x:v>
      </x:c>
      <x:c r="BL801" s="6" t="str">
        <x:v>0</x:v>
      </x:c>
      <x:c r="BM801" s="6" t="str">
        <x:v>0</x:v>
      </x:c>
      <x:c r="BN801" s="6" t="str">
        <x:v>3</x:v>
      </x:c>
      <x:c r="BO801" s="6" t="str">
        <x:v>0.0</x:v>
      </x:c>
      <x:c r="BP801" s="6" t="str">
        <x:v>3</x:v>
      </x:c>
      <x:c r="BQ801" s="6" t="str">
        <x:v>0.0</x:v>
      </x:c>
      <x:c r="BR801" s="6" t="str">
        <x:v>3</x:v>
      </x:c>
      <x:c r="BS801" s="6" t="str">
        <x:v>40.0</x:v>
      </x:c>
      <x:c r="BT801" s="6" t="str">
        <x:v>3</x:v>
      </x:c>
      <x:c r="BU801" s="6" t="str">
        <x:v>3117.0</x:v>
      </x:c>
      <x:c r="BV801" s="6" t="str">
        <x:v>2</x:v>
      </x:c>
      <x:c r="BW801" s="9" t="str">
        <x:v>operational_snapshot_annual_totals_may_differ</x:v>
      </x:c>
      <x:c r="BX801" s="9" t="str">
        <x:v>official_live_dashboard_snapshot_subject_to_revision</x:v>
      </x:c>
      <x:c r="BY801" s="9" t="str">
        <x:v>https://tbdashboard.sitb.id/ss_data_tbc03so_2024_provinsi_bulanan_list.php</x:v>
      </x:c>
      <x:c r="BZ801" s="6" t="n">
        <x:v>46246.610671296294</x:v>
      </x:c>
    </x:row>
    <x:row r="802" ht="18" customHeight="1">
      <x:c r="A802" s="6" t="str">
        <x:v>92</x:v>
      </x:c>
      <x:c r="B802" s="6" t="str">
        <x:v>PAPUA BARAT DAYA</x:v>
      </x:c>
      <x:c r="C802" s="6" t="str">
        <x:v>2024</x:v>
      </x:c>
      <x:c r="D802" s="6" t="str">
        <x:v>9</x:v>
      </x:c>
      <x:c r="E802" s="6" t="str">
        <x:v>2024-09</x:v>
      </x:c>
      <x:c r="F802" s="6" t="str">
        <x:v>142</x:v>
      </x:c>
      <x:c r="G802" s="6" t="str">
        <x:v>20</x:v>
      </x:c>
      <x:c r="H802" s="6" t="str">
        <x:v>77</x:v>
      </x:c>
      <x:c r="I802" s="6" t="str">
        <x:v>20</x:v>
      </x:c>
      <x:c r="J802" s="6" t="str">
        <x:v>5</x:v>
      </x:c>
      <x:c r="K802" s="6" t="str">
        <x:v>1</x:v>
      </x:c>
      <x:c r="L802" s="6" t="str">
        <x:v>0</x:v>
      </x:c>
      <x:c r="M802" s="6" t="str">
        <x:v>19</x:v>
      </x:c>
      <x:c r="N802" s="6" t="str">
        <x:v>142</x:v>
      </x:c>
      <x:c r="O802" s="6" t="str">
        <x:v>0</x:v>
      </x:c>
      <x:c r="P802" s="10" t="n">
        <x:f>F802-M802</x:f>
        <x:v>123</x:v>
      </x:c>
      <x:c r="Q802" s="11" t="n">
        <x:f>IFERROR(M802/F802,"")</x:f>
        <x:v>0.13380281690140844</x:v>
      </x:c>
      <x:c r="R802" s="10" t="n">
        <x:f>G802+H802</x:f>
        <x:v>97</x:v>
      </x:c>
      <x:c r="S802" s="11" t="n">
        <x:f>IFERROR(R802/F802,"")</x:f>
        <x:v>0.6830985915492958</x:v>
      </x:c>
      <x:c r="T802" s="11" t="n">
        <x:f>IFERROR(R802/P802,"")</x:f>
        <x:v>0.7886178861788617</x:v>
      </x:c>
      <x:c r="U802" s="10" t="n">
        <x:f>I802+J802+K802</x:f>
        <x:v>26</x:v>
      </x:c>
      <x:c r="V802" s="11" t="n">
        <x:f>IFERROR(U802/P802,"")</x:f>
        <x:v>0.21138211382113822</x:v>
      </x:c>
      <x:c r="W802" s="9" t="str">
        <x:v>provisional_gt_5pct_pending</x:v>
      </x:c>
      <x:c r="X802" s="12" t="n">
        <x:f>IFERROR(F802/Z802*100000,"")</x:f>
        <x:v>22.64391644075905</x:v>
      </x:c>
      <x:c r="Y802" s="13" t="n">
        <x:f>LN(Z802)</x:f>
        <x:v>13.348861296531112</x:v>
      </x:c>
      <x:c r="Z802" s="6" t="str">
        <x:v>627100</x:v>
      </x:c>
      <x:c r="AA802" s="6" t="str">
        <x:v>16.0</x:v>
      </x:c>
      <x:c r="AB802" s="9" t="str">
        <x:v>2024-06-30</x:v>
      </x:c>
      <x:c r="AC802" s="8" t="str">
        <x:v>79.56</x:v>
      </x:c>
      <x:c r="AD802" s="9" t="str">
        <x:v>2024 (Susenas)</x:v>
      </x:c>
      <x:c r="AE802" s="8" t="str">
        <x:v>915.153</x:v>
      </x:c>
      <x:c r="AF802" s="9" t="str">
        <x:v>Maret 2024 (Susenas)</x:v>
      </x:c>
      <x:c r="AG802" s="6" t="str">
        <x:v>27.0287667353592</x:v>
      </x:c>
      <x:c r="AH802" s="8" t="str">
        <x:v>85.7360505442959</x:v>
      </x:c>
      <x:c r="AI802" s="6" t="str">
        <x:v>187.9155241760932</x:v>
      </x:c>
      <x:c r="AJ802" s="6" t="str">
        <x:v>1.1088717774659251</x:v>
      </x:c>
      <x:c r="AK802" s="8" t="str">
        <x:v>3.253144971638618</x:v>
      </x:c>
      <x:c r="AL802" s="6" t="str">
        <x:v>2.233599054865176</x:v>
      </x:c>
      <x:c r="AM802" s="6" t="str">
        <x:v>1.688773964941661</x:v>
      </x:c>
      <x:c r="AN802" s="6" t="str">
        <x:v>2.3918393304818184</x:v>
      </x:c>
      <x:c r="AO802" s="6" t="str">
        <x:v>-0.4652045010014518</x:v>
      </x:c>
      <x:c r="AP802" s="8" t="str">
        <x:v>-0.1843998203032466</x:v>
      </x:c>
      <x:c r="AQ802" s="6" t="str">
        <x:v>1.14238276676616</x:v>
      </x:c>
      <x:c r="AR802" s="6" t="str">
        <x:v>-0.0139115160021294</x:v>
      </x:c>
      <x:c r="AS802" s="6" t="str">
        <x:v>0.3146904768202609</x:v>
      </x:c>
      <x:c r="AT802" s="6" t="str">
        <x:v>-30.952582841613776</x:v>
      </x:c>
      <x:c r="AU802" s="8" t="str">
        <x:v>-0.2488608549948898</x:v>
      </x:c>
      <x:c r="AV802" s="6" t="str">
        <x:v>2.154102824258312</x:v>
      </x:c>
      <x:c r="AW802" s="6" t="str">
        <x:v>-0.3661216509011032</x:v>
      </x:c>
      <x:c r="AX802" s="6" t="str">
        <x:v>0.5130401061207729</x:v>
      </x:c>
      <x:c r="AY802" s="6" t="str">
        <x:v>0</x:v>
      </x:c>
      <x:c r="AZ802" s="6" t="str">
        <x:v>1</x:v>
      </x:c>
      <x:c r="BA802" s="9" t="str">
        <x:v>grid_cells_within_BIG_polygon</x:v>
      </x:c>
      <x:c r="BB802" s="6" t="str">
        <x:v>8</x:v>
      </x:c>
      <x:c r="BC802" s="6" t="str">
        <x:v>0</x:v>
      </x:c>
      <x:c r="BD802" s="6" t="str">
        <x:v>0</x:v>
      </x:c>
      <x:c r="BE802" s="6" t="str">
        <x:v>0</x:v>
      </x:c>
      <x:c r="BF802" s="6" t="str">
        <x:v>0</x:v>
      </x:c>
      <x:c r="BG802" s="6" t="str">
        <x:v>0</x:v>
      </x:c>
      <x:c r="BH802" s="6" t="str">
        <x:v>0</x:v>
      </x:c>
      <x:c r="BI802" s="6" t="str">
        <x:v>0</x:v>
      </x:c>
      <x:c r="BJ802" s="6" t="str">
        <x:v>0</x:v>
      </x:c>
      <x:c r="BK802" s="6" t="str">
        <x:v>0</x:v>
      </x:c>
      <x:c r="BL802" s="6" t="str">
        <x:v>0</x:v>
      </x:c>
      <x:c r="BM802" s="6" t="str">
        <x:v>0</x:v>
      </x:c>
      <x:c r="BN802" s="6" t="str">
        <x:v>0</x:v>
      </x:c>
      <x:c r="BO802" s="6" t="str"/>
      <x:c r="BP802" s="6" t="str">
        <x:v>0</x:v>
      </x:c>
      <x:c r="BQ802" s="6" t="str"/>
      <x:c r="BR802" s="6" t="str">
        <x:v>0</x:v>
      </x:c>
      <x:c r="BS802" s="6" t="str"/>
      <x:c r="BT802" s="6" t="str">
        <x:v>0</x:v>
      </x:c>
      <x:c r="BU802" s="6" t="str"/>
      <x:c r="BV802" s="6" t="str">
        <x:v>0</x:v>
      </x:c>
      <x:c r="BW802" s="9" t="str">
        <x:v>operational_snapshot_annual_totals_may_differ</x:v>
      </x:c>
      <x:c r="BX802" s="9" t="str">
        <x:v>official_live_dashboard_snapshot_subject_to_revision</x:v>
      </x:c>
      <x:c r="BY802" s="9" t="str">
        <x:v>https://tbdashboard.sitb.id/ss_data_tbc03so_2024_provinsi_bulanan_list.php</x:v>
      </x:c>
      <x:c r="BZ802" s="6" t="n">
        <x:v>46246.610671296294</x:v>
      </x:c>
    </x:row>
    <x:row r="803" ht="18" customHeight="1">
      <x:c r="A803" s="6" t="str">
        <x:v>92</x:v>
      </x:c>
      <x:c r="B803" s="6" t="str">
        <x:v>PAPUA BARAT DAYA</x:v>
      </x:c>
      <x:c r="C803" s="6" t="str">
        <x:v>2024</x:v>
      </x:c>
      <x:c r="D803" s="6" t="str">
        <x:v>10</x:v>
      </x:c>
      <x:c r="E803" s="6" t="str">
        <x:v>2024-10</x:v>
      </x:c>
      <x:c r="F803" s="6" t="str">
        <x:v>166</x:v>
      </x:c>
      <x:c r="G803" s="6" t="str">
        <x:v>22</x:v>
      </x:c>
      <x:c r="H803" s="6" t="str">
        <x:v>87</x:v>
      </x:c>
      <x:c r="I803" s="6" t="str">
        <x:v>29</x:v>
      </x:c>
      <x:c r="J803" s="6" t="str">
        <x:v>3</x:v>
      </x:c>
      <x:c r="K803" s="6" t="str">
        <x:v>1</x:v>
      </x:c>
      <x:c r="L803" s="6" t="str">
        <x:v>3</x:v>
      </x:c>
      <x:c r="M803" s="6" t="str">
        <x:v>21</x:v>
      </x:c>
      <x:c r="N803" s="6" t="str">
        <x:v>166</x:v>
      </x:c>
      <x:c r="O803" s="6" t="str">
        <x:v>0</x:v>
      </x:c>
      <x:c r="P803" s="10" t="n">
        <x:f>F803-M803</x:f>
        <x:v>145</x:v>
      </x:c>
      <x:c r="Q803" s="11" t="n">
        <x:f>IFERROR(M803/F803,"")</x:f>
        <x:v>0.12650602409638553</x:v>
      </x:c>
      <x:c r="R803" s="10" t="n">
        <x:f>G803+H803</x:f>
        <x:v>109</x:v>
      </x:c>
      <x:c r="S803" s="11" t="n">
        <x:f>IFERROR(R803/F803,"")</x:f>
        <x:v>0.6566265060240963</x:v>
      </x:c>
      <x:c r="T803" s="11" t="n">
        <x:f>IFERROR(R803/P803,"")</x:f>
        <x:v>0.7517241379310344</x:v>
      </x:c>
      <x:c r="U803" s="10" t="n">
        <x:f>I803+J803+K803</x:f>
        <x:v>33</x:v>
      </x:c>
      <x:c r="V803" s="11" t="n">
        <x:f>IFERROR(U803/P803,"")</x:f>
        <x:v>0.22758620689655173</x:v>
      </x:c>
      <x:c r="W803" s="9" t="str">
        <x:v>provisional_gt_5pct_pending</x:v>
      </x:c>
      <x:c r="X803" s="12" t="n">
        <x:f>IFERROR(F803/Z803*100000,"")</x:f>
        <x:v>26.471057247647902</x:v>
      </x:c>
      <x:c r="Y803" s="13" t="n">
        <x:f>LN(Z803)</x:f>
        <x:v>13.348861296531112</x:v>
      </x:c>
      <x:c r="Z803" s="6" t="str">
        <x:v>627100</x:v>
      </x:c>
      <x:c r="AA803" s="6" t="str">
        <x:v>16.0</x:v>
      </x:c>
      <x:c r="AB803" s="9" t="str">
        <x:v>2024-06-30</x:v>
      </x:c>
      <x:c r="AC803" s="8" t="str">
        <x:v>79.56</x:v>
      </x:c>
      <x:c r="AD803" s="9" t="str">
        <x:v>2024 (Susenas)</x:v>
      </x:c>
      <x:c r="AE803" s="8" t="str">
        <x:v>915.153</x:v>
      </x:c>
      <x:c r="AF803" s="9" t="str">
        <x:v>Maret 2024 (Susenas)</x:v>
      </x:c>
      <x:c r="AG803" s="6" t="str">
        <x:v>27.400019568152032</x:v>
      </x:c>
      <x:c r="AH803" s="8" t="str">
        <x:v>84.92602754859607</x:v>
      </x:c>
      <x:c r="AI803" s="6" t="str">
        <x:v>318.91867045523696</x:v>
      </x:c>
      <x:c r="AJ803" s="6" t="str">
        <x:v>0.8829143844005394</x:v>
      </x:c>
      <x:c r="AK803" s="8" t="str">
        <x:v>2.568074223546086</x:v>
      </x:c>
      <x:c r="AL803" s="6" t="str">
        <x:v>3.253144971638618</x:v>
      </x:c>
      <x:c r="AM803" s="6" t="str">
        <x:v>2.233599054865176</x:v>
      </x:c>
      <x:c r="AN803" s="6" t="str">
        <x:v>2.6849394166832936</x:v>
      </x:c>
      <x:c r="AO803" s="6" t="str">
        <x:v>0.3199096631292804</x:v>
      </x:c>
      <x:c r="AP803" s="8" t="str">
        <x:v>0.1162289202677053</x:v>
      </x:c>
      <x:c r="AQ803" s="6" t="str">
        <x:v>-0.1843998203032466</x:v>
      </x:c>
      <x:c r="AR803" s="6" t="str">
        <x:v>1.14238276676616</x:v>
      </x:c>
      <x:c r="AS803" s="6" t="str">
        <x:v>0.3580706222435392</x:v>
      </x:c>
      <x:c r="AT803" s="6" t="str">
        <x:v>142.023356119086</x:v>
      </x:c>
      <x:c r="AU803" s="8" t="str">
        <x:v>1.6445232709016973</x:v>
      </x:c>
      <x:c r="AV803" s="6" t="str">
        <x:v>-0.2488608549948898</x:v>
      </x:c>
      <x:c r="AW803" s="6" t="str">
        <x:v>2.154102824258312</x:v>
      </x:c>
      <x:c r="AX803" s="6" t="str">
        <x:v>1.1832550800550397</x:v>
      </x:c>
      <x:c r="AY803" s="6" t="str">
        <x:v>1</x:v>
      </x:c>
      <x:c r="AZ803" s="6" t="str">
        <x:v>1</x:v>
      </x:c>
      <x:c r="BA803" s="9" t="str">
        <x:v>grid_cells_within_BIG_polygon</x:v>
      </x:c>
      <x:c r="BB803" s="6" t="str">
        <x:v>8</x:v>
      </x:c>
      <x:c r="BC803" s="6" t="str">
        <x:v>0</x:v>
      </x:c>
      <x:c r="BD803" s="6" t="str">
        <x:v>0</x:v>
      </x:c>
      <x:c r="BE803" s="6" t="str">
        <x:v>0</x:v>
      </x:c>
      <x:c r="BF803" s="6" t="str">
        <x:v>0</x:v>
      </x:c>
      <x:c r="BG803" s="6" t="str">
        <x:v>0</x:v>
      </x:c>
      <x:c r="BH803" s="6" t="str">
        <x:v>0</x:v>
      </x:c>
      <x:c r="BI803" s="6" t="str">
        <x:v>0</x:v>
      </x:c>
      <x:c r="BJ803" s="6" t="str">
        <x:v>0</x:v>
      </x:c>
      <x:c r="BK803" s="6" t="str">
        <x:v>0</x:v>
      </x:c>
      <x:c r="BL803" s="6" t="str">
        <x:v>0</x:v>
      </x:c>
      <x:c r="BM803" s="6" t="str">
        <x:v>0</x:v>
      </x:c>
      <x:c r="BN803" s="6" t="str">
        <x:v>0</x:v>
      </x:c>
      <x:c r="BO803" s="6" t="str"/>
      <x:c r="BP803" s="6" t="str">
        <x:v>0</x:v>
      </x:c>
      <x:c r="BQ803" s="6" t="str"/>
      <x:c r="BR803" s="6" t="str">
        <x:v>0</x:v>
      </x:c>
      <x:c r="BS803" s="6" t="str"/>
      <x:c r="BT803" s="6" t="str">
        <x:v>0</x:v>
      </x:c>
      <x:c r="BU803" s="6" t="str"/>
      <x:c r="BV803" s="6" t="str">
        <x:v>0</x:v>
      </x:c>
      <x:c r="BW803" s="9" t="str">
        <x:v>operational_snapshot_annual_totals_may_differ</x:v>
      </x:c>
      <x:c r="BX803" s="9" t="str">
        <x:v>official_live_dashboard_snapshot_subject_to_revision</x:v>
      </x:c>
      <x:c r="BY803" s="9" t="str">
        <x:v>https://tbdashboard.sitb.id/ss_data_tbc03so_2024_provinsi_bulanan_list.php</x:v>
      </x:c>
      <x:c r="BZ803" s="6" t="n">
        <x:v>46246.610671296294</x:v>
      </x:c>
    </x:row>
    <x:row r="804" ht="18" customHeight="1">
      <x:c r="A804" s="6" t="str">
        <x:v>92</x:v>
      </x:c>
      <x:c r="B804" s="6" t="str">
        <x:v>PAPUA BARAT DAYA</x:v>
      </x:c>
      <x:c r="C804" s="6" t="str">
        <x:v>2024</x:v>
      </x:c>
      <x:c r="D804" s="6" t="str">
        <x:v>11</x:v>
      </x:c>
      <x:c r="E804" s="6" t="str">
        <x:v>2024-11</x:v>
      </x:c>
      <x:c r="F804" s="6" t="str">
        <x:v>145</x:v>
      </x:c>
      <x:c r="G804" s="6" t="str">
        <x:v>22</x:v>
      </x:c>
      <x:c r="H804" s="6" t="str">
        <x:v>71</x:v>
      </x:c>
      <x:c r="I804" s="6" t="str">
        <x:v>24</x:v>
      </x:c>
      <x:c r="J804" s="6" t="str">
        <x:v>7</x:v>
      </x:c>
      <x:c r="K804" s="6" t="str">
        <x:v>0</x:v>
      </x:c>
      <x:c r="L804" s="6" t="str">
        <x:v>4</x:v>
      </x:c>
      <x:c r="M804" s="6" t="str">
        <x:v>17</x:v>
      </x:c>
      <x:c r="N804" s="6" t="str">
        <x:v>145</x:v>
      </x:c>
      <x:c r="O804" s="6" t="str">
        <x:v>0</x:v>
      </x:c>
      <x:c r="P804" s="10" t="n">
        <x:f>F804-M804</x:f>
        <x:v>128</x:v>
      </x:c>
      <x:c r="Q804" s="11" t="n">
        <x:f>IFERROR(M804/F804,"")</x:f>
        <x:v>0.11724137931034483</x:v>
      </x:c>
      <x:c r="R804" s="10" t="n">
        <x:f>G804+H804</x:f>
        <x:v>93</x:v>
      </x:c>
      <x:c r="S804" s="11" t="n">
        <x:f>IFERROR(R804/F804,"")</x:f>
        <x:v>0.6413793103448275</x:v>
      </x:c>
      <x:c r="T804" s="11" t="n">
        <x:f>IFERROR(R804/P804,"")</x:f>
        <x:v>0.7265625</x:v>
      </x:c>
      <x:c r="U804" s="10" t="n">
        <x:f>I804+J804+K804</x:f>
        <x:v>31</x:v>
      </x:c>
      <x:c r="V804" s="11" t="n">
        <x:f>IFERROR(U804/P804,"")</x:f>
        <x:v>0.2421875</x:v>
      </x:c>
      <x:c r="W804" s="9" t="str">
        <x:v>provisional_gt_5pct_pending</x:v>
      </x:c>
      <x:c r="X804" s="12" t="n">
        <x:f>IFERROR(F804/Z804*100000,"")</x:f>
        <x:v>23.122309041620156</x:v>
      </x:c>
      <x:c r="Y804" s="13" t="n">
        <x:f>LN(Z804)</x:f>
        <x:v>13.348861296531112</x:v>
      </x:c>
      <x:c r="Z804" s="6" t="str">
        <x:v>627100</x:v>
      </x:c>
      <x:c r="AA804" s="6" t="str">
        <x:v>16.0</x:v>
      </x:c>
      <x:c r="AB804" s="9" t="str">
        <x:v>2024-06-30</x:v>
      </x:c>
      <x:c r="AC804" s="8" t="str">
        <x:v>79.56</x:v>
      </x:c>
      <x:c r="AD804" s="9" t="str">
        <x:v>2024 (Susenas)</x:v>
      </x:c>
      <x:c r="AE804" s="8" t="str">
        <x:v>915.153</x:v>
      </x:c>
      <x:c r="AF804" s="9" t="str">
        <x:v>Maret 2024 (Susenas)</x:v>
      </x:c>
      <x:c r="AG804" s="6" t="str">
        <x:v>27.7337699726166</x:v>
      </x:c>
      <x:c r="AH804" s="8" t="str">
        <x:v>84.34855792398177</x:v>
      </x:c>
      <x:c r="AI804" s="6" t="str">
        <x:v>181.28051566629276</x:v>
      </x:c>
      <x:c r="AJ804" s="6" t="str">
        <x:v>0.8042937587792522</x:v>
      </x:c>
      <x:c r="AK804" s="8" t="str">
        <x:v>2.3835493438309734</x:v>
      </x:c>
      <x:c r="AL804" s="6" t="str">
        <x:v>2.568074223546086</x:v>
      </x:c>
      <x:c r="AM804" s="6" t="str">
        <x:v>3.253144971638618</x:v>
      </x:c>
      <x:c r="AN804" s="6" t="str">
        <x:v>2.7349228463385598</x:v>
      </x:c>
      <x:c r="AO804" s="6" t="str">
        <x:v>0.2706870054008732</x:v>
      </x:c>
      <x:c r="AP804" s="8" t="str">
        <x:v>0.1098561406999036</x:v>
      </x:c>
      <x:c r="AQ804" s="6" t="str">
        <x:v>0.1162289202677053</x:v>
      </x:c>
      <x:c r="AR804" s="6" t="str">
        <x:v>-0.1843998203032466</x:v>
      </x:c>
      <x:c r="AS804" s="6" t="str">
        <x:v>0.0138950802214537</x:v>
      </x:c>
      <x:c r="AT804" s="6" t="str">
        <x:v>14.563837765331924</x:v>
      </x:c>
      <x:c r="AU804" s="8" t="str">
        <x:v>0.2300646177194599</x:v>
      </x:c>
      <x:c r="AV804" s="6" t="str">
        <x:v>1.6445232709016973</x:v>
      </x:c>
      <x:c r="AW804" s="6" t="str">
        <x:v>-0.2488608549948898</x:v>
      </x:c>
      <x:c r="AX804" s="6" t="str">
        <x:v>0.5419090112087556</x:v>
      </x:c>
      <x:c r="AY804" s="6" t="str">
        <x:v>0</x:v>
      </x:c>
      <x:c r="AZ804" s="6" t="str">
        <x:v>1</x:v>
      </x:c>
      <x:c r="BA804" s="9" t="str">
        <x:v>grid_cells_within_BIG_polygon</x:v>
      </x:c>
      <x:c r="BB804" s="6" t="str">
        <x:v>8</x:v>
      </x:c>
      <x:c r="BC804" s="6" t="str">
        <x:v>0</x:v>
      </x:c>
      <x:c r="BD804" s="6" t="str">
        <x:v>0</x:v>
      </x:c>
      <x:c r="BE804" s="6" t="str">
        <x:v>0</x:v>
      </x:c>
      <x:c r="BF804" s="6" t="str">
        <x:v>0</x:v>
      </x:c>
      <x:c r="BG804" s="6" t="str">
        <x:v>0</x:v>
      </x:c>
      <x:c r="BH804" s="6" t="str">
        <x:v>0</x:v>
      </x:c>
      <x:c r="BI804" s="6" t="str">
        <x:v>0</x:v>
      </x:c>
      <x:c r="BJ804" s="6" t="str">
        <x:v>0</x:v>
      </x:c>
      <x:c r="BK804" s="6" t="str">
        <x:v>0</x:v>
      </x:c>
      <x:c r="BL804" s="6" t="str">
        <x:v>0</x:v>
      </x:c>
      <x:c r="BM804" s="6" t="str">
        <x:v>0</x:v>
      </x:c>
      <x:c r="BN804" s="6" t="str">
        <x:v>0</x:v>
      </x:c>
      <x:c r="BO804" s="6" t="str"/>
      <x:c r="BP804" s="6" t="str">
        <x:v>0</x:v>
      </x:c>
      <x:c r="BQ804" s="6" t="str"/>
      <x:c r="BR804" s="6" t="str">
        <x:v>0</x:v>
      </x:c>
      <x:c r="BS804" s="6" t="str"/>
      <x:c r="BT804" s="6" t="str">
        <x:v>0</x:v>
      </x:c>
      <x:c r="BU804" s="6" t="str"/>
      <x:c r="BV804" s="6" t="str">
        <x:v>0</x:v>
      </x:c>
      <x:c r="BW804" s="9" t="str">
        <x:v>operational_snapshot_annual_totals_may_differ</x:v>
      </x:c>
      <x:c r="BX804" s="9" t="str">
        <x:v>official_live_dashboard_snapshot_subject_to_revision</x:v>
      </x:c>
      <x:c r="BY804" s="9" t="str">
        <x:v>https://tbdashboard.sitb.id/ss_data_tbc03so_2024_provinsi_bulanan_list.php</x:v>
      </x:c>
      <x:c r="BZ804" s="6" t="n">
        <x:v>46246.610671296294</x:v>
      </x:c>
    </x:row>
    <x:row r="805" ht="18" customHeight="1">
      <x:c r="A805" s="6" t="str">
        <x:v>92</x:v>
      </x:c>
      <x:c r="B805" s="6" t="str">
        <x:v>PAPUA BARAT DAYA</x:v>
      </x:c>
      <x:c r="C805" s="6" t="str">
        <x:v>2024</x:v>
      </x:c>
      <x:c r="D805" s="6" t="str">
        <x:v>12</x:v>
      </x:c>
      <x:c r="E805" s="6" t="str">
        <x:v>2024-12</x:v>
      </x:c>
      <x:c r="F805" s="6" t="str">
        <x:v>94</x:v>
      </x:c>
      <x:c r="G805" s="6" t="str">
        <x:v>17</x:v>
      </x:c>
      <x:c r="H805" s="6" t="str">
        <x:v>56</x:v>
      </x:c>
      <x:c r="I805" s="6" t="str">
        <x:v>11</x:v>
      </x:c>
      <x:c r="J805" s="6" t="str">
        <x:v>5</x:v>
      </x:c>
      <x:c r="K805" s="6" t="str">
        <x:v>1</x:v>
      </x:c>
      <x:c r="L805" s="6" t="str">
        <x:v>0</x:v>
      </x:c>
      <x:c r="M805" s="6" t="str">
        <x:v>4</x:v>
      </x:c>
      <x:c r="N805" s="6" t="str">
        <x:v>94</x:v>
      </x:c>
      <x:c r="O805" s="6" t="str">
        <x:v>0</x:v>
      </x:c>
      <x:c r="P805" s="10" t="n">
        <x:f>F805-M805</x:f>
        <x:v>90</x:v>
      </x:c>
      <x:c r="Q805" s="11" t="n">
        <x:f>IFERROR(M805/F805,"")</x:f>
        <x:v>0.0425531914893617</x:v>
      </x:c>
      <x:c r="R805" s="10" t="n">
        <x:f>G805+H805</x:f>
        <x:v>73</x:v>
      </x:c>
      <x:c r="S805" s="11" t="n">
        <x:f>IFERROR(R805/F805,"")</x:f>
        <x:v>0.776595744680851</x:v>
      </x:c>
      <x:c r="T805" s="11" t="n">
        <x:f>IFERROR(R805/P805,"")</x:f>
        <x:v>0.8111111111111111</x:v>
      </x:c>
      <x:c r="U805" s="10" t="n">
        <x:f>I805+J805+K805</x:f>
        <x:v>17</x:v>
      </x:c>
      <x:c r="V805" s="11" t="n">
        <x:f>IFERROR(U805/P805,"")</x:f>
        <x:v>0.18888888888888888</x:v>
      </x:c>
      <x:c r="W805" s="9" t="str">
        <x:v>mature_le_5pct_pending</x:v>
      </x:c>
      <x:c r="X805" s="12" t="n">
        <x:f>IFERROR(F805/Z805*100000,"")</x:f>
        <x:v>14.989634826981344</x:v>
      </x:c>
      <x:c r="Y805" s="13" t="n">
        <x:f>LN(Z805)</x:f>
        <x:v>13.348861296531112</x:v>
      </x:c>
      <x:c r="Z805" s="6" t="str">
        <x:v>627100</x:v>
      </x:c>
      <x:c r="AA805" s="6" t="str">
        <x:v>16.0</x:v>
      </x:c>
      <x:c r="AB805" s="9" t="str">
        <x:v>2024-06-30</x:v>
      </x:c>
      <x:c r="AC805" s="8" t="str">
        <x:v>79.56</x:v>
      </x:c>
      <x:c r="AD805" s="9" t="str">
        <x:v>2024 (Susenas)</x:v>
      </x:c>
      <x:c r="AE805" s="8" t="str">
        <x:v>915.153</x:v>
      </x:c>
      <x:c r="AF805" s="9" t="str">
        <x:v>Maret 2024 (Susenas)</x:v>
      </x:c>
      <x:c r="AG805" s="6" t="str">
        <x:v>27.29001699697452</x:v>
      </x:c>
      <x:c r="AH805" s="8" t="str">
        <x:v>86.37096328558249</x:v>
      </x:c>
      <x:c r="AI805" s="6" t="str">
        <x:v>338.79480873428264</x:v>
      </x:c>
      <x:c r="AJ805" s="6" t="str">
        <x:v>0.4688274460322361</x:v>
      </x:c>
      <x:c r="AK805" s="8" t="str">
        <x:v>1.2013457589680938</x:v>
      </x:c>
      <x:c r="AL805" s="6" t="str">
        <x:v>2.3835493438309734</x:v>
      </x:c>
      <x:c r="AM805" s="6" t="str">
        <x:v>2.568074223546086</x:v>
      </x:c>
      <x:c r="AN805" s="6" t="str">
        <x:v>2.050989775448385</x:v>
      </x:c>
      <x:c r="AO805" s="6" t="str">
        <x:v>1.0153638969254786</x:v>
      </x:c>
      <x:c r="AP805" s="8" t="str">
        <x:v>0.4954456611917293</x:v>
      </x:c>
      <x:c r="AQ805" s="6" t="str">
        <x:v>0.1098561406999036</x:v>
      </x:c>
      <x:c r="AR805" s="6" t="str">
        <x:v>0.1162289202677053</x:v>
      </x:c>
      <x:c r="AS805" s="6" t="str">
        <x:v>0.240510240719779</x:v>
      </x:c>
      <x:c r="AT805" s="6" t="str">
        <x:v>146.1661099341035</x:v>
      </x:c>
      <x:c r="AU805" s="8" t="str">
        <x:v>2.2113129921963925</x:v>
      </x:c>
      <x:c r="AV805" s="6" t="str">
        <x:v>0.2300646177194599</x:v>
      </x:c>
      <x:c r="AW805" s="6" t="str">
        <x:v>1.6445232709016973</x:v>
      </x:c>
      <x:c r="AX805" s="6" t="str">
        <x:v>1.3619669602725164</x:v>
      </x:c>
      <x:c r="AY805" s="6" t="str">
        <x:v>1</x:v>
      </x:c>
      <x:c r="AZ805" s="6" t="str">
        <x:v>1</x:v>
      </x:c>
      <x:c r="BA805" s="9" t="str">
        <x:v>grid_cells_within_BIG_polygon</x:v>
      </x:c>
      <x:c r="BB805" s="6" t="str">
        <x:v>8</x:v>
      </x:c>
      <x:c r="BC805" s="6" t="str">
        <x:v>0</x:v>
      </x:c>
      <x:c r="BD805" s="6" t="str">
        <x:v>0</x:v>
      </x:c>
      <x:c r="BE805" s="6" t="str">
        <x:v>0</x:v>
      </x:c>
      <x:c r="BF805" s="6" t="str">
        <x:v>0</x:v>
      </x:c>
      <x:c r="BG805" s="6" t="str">
        <x:v>0</x:v>
      </x:c>
      <x:c r="BH805" s="6" t="str">
        <x:v>0</x:v>
      </x:c>
      <x:c r="BI805" s="6" t="str">
        <x:v>0</x:v>
      </x:c>
      <x:c r="BJ805" s="6" t="str">
        <x:v>0</x:v>
      </x:c>
      <x:c r="BK805" s="6" t="str">
        <x:v>0</x:v>
      </x:c>
      <x:c r="BL805" s="6" t="str">
        <x:v>0</x:v>
      </x:c>
      <x:c r="BM805" s="6" t="str">
        <x:v>0</x:v>
      </x:c>
      <x:c r="BN805" s="6" t="str">
        <x:v>0</x:v>
      </x:c>
      <x:c r="BO805" s="6" t="str"/>
      <x:c r="BP805" s="6" t="str">
        <x:v>0</x:v>
      </x:c>
      <x:c r="BQ805" s="6" t="str"/>
      <x:c r="BR805" s="6" t="str">
        <x:v>0</x:v>
      </x:c>
      <x:c r="BS805" s="6" t="str"/>
      <x:c r="BT805" s="6" t="str">
        <x:v>0</x:v>
      </x:c>
      <x:c r="BU805" s="6" t="str"/>
      <x:c r="BV805" s="6" t="str">
        <x:v>0</x:v>
      </x:c>
      <x:c r="BW805" s="9" t="str">
        <x:v>operational_snapshot_annual_totals_may_differ</x:v>
      </x:c>
      <x:c r="BX805" s="9" t="str">
        <x:v>official_live_dashboard_snapshot_subject_to_revision</x:v>
      </x:c>
      <x:c r="BY805" s="9" t="str">
        <x:v>https://tbdashboard.sitb.id/ss_data_tbc03so_2024_provinsi_bulanan_list.php</x:v>
      </x:c>
      <x:c r="BZ805" s="6" t="n">
        <x:v>46246.610671296294</x:v>
      </x:c>
    </x:row>
    <x:row r="806" ht="18" customHeight="1">
      <x:c r="A806" s="6" t="str">
        <x:v>92</x:v>
      </x:c>
      <x:c r="B806" s="6" t="str">
        <x:v>PAPUA BARAT DAYA</x:v>
      </x:c>
      <x:c r="C806" s="6" t="str">
        <x:v>2025</x:v>
      </x:c>
      <x:c r="D806" s="6" t="str">
        <x:v>1</x:v>
      </x:c>
      <x:c r="E806" s="6" t="str">
        <x:v>2025-01</x:v>
      </x:c>
      <x:c r="F806" s="6" t="str">
        <x:v>146</x:v>
      </x:c>
      <x:c r="G806" s="6" t="str">
        <x:v>22</x:v>
      </x:c>
      <x:c r="H806" s="6" t="str">
        <x:v>96</x:v>
      </x:c>
      <x:c r="I806" s="6" t="str">
        <x:v>25</x:v>
      </x:c>
      <x:c r="J806" s="6" t="str">
        <x:v>1</x:v>
      </x:c>
      <x:c r="K806" s="6" t="str">
        <x:v>0</x:v>
      </x:c>
      <x:c r="L806" s="6" t="str">
        <x:v>0</x:v>
      </x:c>
      <x:c r="M806" s="6" t="str">
        <x:v>2</x:v>
      </x:c>
      <x:c r="N806" s="6" t="str">
        <x:v>146</x:v>
      </x:c>
      <x:c r="O806" s="6" t="str">
        <x:v>0</x:v>
      </x:c>
      <x:c r="P806" s="10" t="n">
        <x:f>F806-M806</x:f>
        <x:v>144</x:v>
      </x:c>
      <x:c r="Q806" s="11" t="n">
        <x:f>IFERROR(M806/F806,"")</x:f>
        <x:v>0.0136986301369863</x:v>
      </x:c>
      <x:c r="R806" s="10" t="n">
        <x:f>G806+H806</x:f>
        <x:v>118</x:v>
      </x:c>
      <x:c r="S806" s="11" t="n">
        <x:f>IFERROR(R806/F806,"")</x:f>
        <x:v>0.8082191780821918</x:v>
      </x:c>
      <x:c r="T806" s="11" t="n">
        <x:f>IFERROR(R806/P806,"")</x:f>
        <x:v>0.8194444444444444</x:v>
      </x:c>
      <x:c r="U806" s="10" t="n">
        <x:f>I806+J806+K806</x:f>
        <x:v>26</x:v>
      </x:c>
      <x:c r="V806" s="11" t="n">
        <x:f>IFERROR(U806/P806,"")</x:f>
        <x:v>0.18055555555555555</x:v>
      </x:c>
      <x:c r="W806" s="9" t="str">
        <x:v>mature_le_5pct_pending</x:v>
      </x:c>
      <x:c r="X806" s="12" t="n">
        <x:f>IFERROR(F806/Z806*100000,"")</x:f>
        <x:v>22.94154619736015</x:v>
      </x:c>
      <x:c r="Y806" s="13" t="n">
        <x:f>LN(Z806)</x:f>
        <x:v>13.363582575445768</x:v>
      </x:c>
      <x:c r="Z806" s="6" t="str">
        <x:v>636400</x:v>
      </x:c>
      <x:c r="AA806" s="6" t="str">
        <x:v>16.0</x:v>
      </x:c>
      <x:c r="AB806" s="9" t="str">
        <x:v>2025-06-30</x:v>
      </x:c>
      <x:c r="AC806" s="8" t="str">
        <x:v>43.0</x:v>
      </x:c>
      <x:c r="AD806" s="9" t="str">
        <x:v>2025 (Susenas)</x:v>
      </x:c>
      <x:c r="AE806" s="8" t="str">
        <x:v>17.95</x:v>
      </x:c>
      <x:c r="AF806" s="9" t="str">
        <x:v>Maret 2025 (Susenas)</x:v>
      </x:c>
      <x:c r="AG806" s="6" t="str">
        <x:v>27.173770305538707</x:v>
      </x:c>
      <x:c r="AH806" s="8" t="str">
        <x:v>85.53726543689325</x:v>
      </x:c>
      <x:c r="AI806" s="6" t="str">
        <x:v>287.84503686912944</x:v>
      </x:c>
      <x:c r="AJ806" s="6" t="str">
        <x:v>0.5011689297375774</x:v>
      </x:c>
      <x:c r="AK806" s="8" t="str">
        <x:v>1.3359376604684772</x:v>
      </x:c>
      <x:c r="AL806" s="6" t="str">
        <x:v>1.2013457589680938</x:v>
      </x:c>
      <x:c r="AM806" s="6" t="str">
        <x:v>2.3835493438309734</x:v>
      </x:c>
      <x:c r="AN806" s="6" t="str">
        <x:v>1.6402775877558484</x:v>
      </x:c>
      <x:c r="AO806" s="6" t="str">
        <x:v>0.2618291891722322</x:v>
      </x:c>
      <x:c r="AP806" s="8" t="str">
        <x:v>0.1213271049399852</x:v>
      </x:c>
      <x:c r="AQ806" s="6" t="str">
        <x:v>0.4954456611917293</x:v>
      </x:c>
      <x:c r="AR806" s="6" t="str">
        <x:v>0.1098561406999036</x:v>
      </x:c>
      <x:c r="AS806" s="6" t="str">
        <x:v>0.242209635610539</x:v>
      </x:c>
      <x:c r="AT806" s="6" t="str">
        <x:v>117.18796027919794</x:v>
      </x:c>
      <x:c r="AU806" s="8" t="str">
        <x:v>2.2078151197614178</x:v>
      </x:c>
      <x:c r="AV806" s="6" t="str">
        <x:v>2.2113129921963925</x:v>
      </x:c>
      <x:c r="AW806" s="6" t="str">
        <x:v>0.2300646177194599</x:v>
      </x:c>
      <x:c r="AX806" s="6" t="str">
        <x:v>1.549730909892423</x:v>
      </x:c>
      <x:c r="AY806" s="6" t="str">
        <x:v>1</x:v>
      </x:c>
      <x:c r="AZ806" s="6" t="str">
        <x:v>1</x:v>
      </x:c>
      <x:c r="BA806" s="9" t="str">
        <x:v>grid_cells_within_BIG_polygon</x:v>
      </x:c>
      <x:c r="BB806" s="6" t="str">
        <x:v>8</x:v>
      </x:c>
      <x:c r="BC806" s="6" t="str">
        <x:v>0</x:v>
      </x:c>
      <x:c r="BD806" s="6" t="str">
        <x:v>0</x:v>
      </x:c>
      <x:c r="BE806" s="6" t="str">
        <x:v>0</x:v>
      </x:c>
      <x:c r="BF806" s="6" t="str">
        <x:v>0</x:v>
      </x:c>
      <x:c r="BG806" s="6" t="str">
        <x:v>0</x:v>
      </x:c>
      <x:c r="BH806" s="6" t="str">
        <x:v>0</x:v>
      </x:c>
      <x:c r="BI806" s="6" t="str">
        <x:v>0</x:v>
      </x:c>
      <x:c r="BJ806" s="6" t="str">
        <x:v>0</x:v>
      </x:c>
      <x:c r="BK806" s="6" t="str">
        <x:v>0</x:v>
      </x:c>
      <x:c r="BL806" s="6" t="str">
        <x:v>0</x:v>
      </x:c>
      <x:c r="BM806" s="6" t="str">
        <x:v>0</x:v>
      </x:c>
      <x:c r="BN806" s="6" t="str">
        <x:v>0</x:v>
      </x:c>
      <x:c r="BO806" s="6" t="str"/>
      <x:c r="BP806" s="6" t="str">
        <x:v>0</x:v>
      </x:c>
      <x:c r="BQ806" s="6" t="str"/>
      <x:c r="BR806" s="6" t="str">
        <x:v>0</x:v>
      </x:c>
      <x:c r="BS806" s="6" t="str"/>
      <x:c r="BT806" s="6" t="str">
        <x:v>0</x:v>
      </x:c>
      <x:c r="BU806" s="6" t="str"/>
      <x:c r="BV806" s="6" t="str">
        <x:v>0</x:v>
      </x:c>
      <x:c r="BW806" s="9" t="str">
        <x:v>operational_snapshot_annual_totals_may_differ</x:v>
      </x:c>
      <x:c r="BX806" s="9" t="str">
        <x:v>official_live_dashboard_snapshot_subject_to_revision</x:v>
      </x:c>
      <x:c r="BY806" s="9" t="str">
        <x:v>https://tbdashboard.sitb.id/ss_data_tbc03so_2025_provinsi_bulanan_list.php</x:v>
      </x:c>
      <x:c r="BZ806" s="6" t="n">
        <x:v>46246.610671296294</x:v>
      </x:c>
    </x:row>
    <x:row r="807" ht="18" customHeight="1">
      <x:c r="A807" s="6" t="str">
        <x:v>92</x:v>
      </x:c>
      <x:c r="B807" s="6" t="str">
        <x:v>PAPUA BARAT DAYA</x:v>
      </x:c>
      <x:c r="C807" s="6" t="str">
        <x:v>2025</x:v>
      </x:c>
      <x:c r="D807" s="6" t="str">
        <x:v>2</x:v>
      </x:c>
      <x:c r="E807" s="6" t="str">
        <x:v>2025-02</x:v>
      </x:c>
      <x:c r="F807" s="6" t="str">
        <x:v>184</x:v>
      </x:c>
      <x:c r="G807" s="6" t="str">
        <x:v>21</x:v>
      </x:c>
      <x:c r="H807" s="6" t="str">
        <x:v>119</x:v>
      </x:c>
      <x:c r="I807" s="6" t="str">
        <x:v>30</x:v>
      </x:c>
      <x:c r="J807" s="6" t="str">
        <x:v>13</x:v>
      </x:c>
      <x:c r="K807" s="6" t="str">
        <x:v>0</x:v>
      </x:c>
      <x:c r="L807" s="6" t="str">
        <x:v>0</x:v>
      </x:c>
      <x:c r="M807" s="6" t="str">
        <x:v>1</x:v>
      </x:c>
      <x:c r="N807" s="6" t="str">
        <x:v>184</x:v>
      </x:c>
      <x:c r="O807" s="6" t="str">
        <x:v>0</x:v>
      </x:c>
      <x:c r="P807" s="10" t="n">
        <x:f>F807-M807</x:f>
        <x:v>183</x:v>
      </x:c>
      <x:c r="Q807" s="11" t="n">
        <x:f>IFERROR(M807/F807,"")</x:f>
        <x:v>0.005434782608695652</x:v>
      </x:c>
      <x:c r="R807" s="10" t="n">
        <x:f>G807+H807</x:f>
        <x:v>140</x:v>
      </x:c>
      <x:c r="S807" s="11" t="n">
        <x:f>IFERROR(R807/F807,"")</x:f>
        <x:v>0.7608695652173914</x:v>
      </x:c>
      <x:c r="T807" s="11" t="n">
        <x:f>IFERROR(R807/P807,"")</x:f>
        <x:v>0.7650273224043715</x:v>
      </x:c>
      <x:c r="U807" s="10" t="n">
        <x:f>I807+J807+K807</x:f>
        <x:v>43</x:v>
      </x:c>
      <x:c r="V807" s="11" t="n">
        <x:f>IFERROR(U807/P807,"")</x:f>
        <x:v>0.23497267759562843</x:v>
      </x:c>
      <x:c r="W807" s="9" t="str">
        <x:v>mature_le_5pct_pending</x:v>
      </x:c>
      <x:c r="X807" s="12" t="n">
        <x:f>IFERROR(F807/Z807*100000,"")</x:f>
        <x:v>28.912633563796355</x:v>
      </x:c>
      <x:c r="Y807" s="13" t="n">
        <x:f>LN(Z807)</x:f>
        <x:v>13.363582575445768</x:v>
      </x:c>
      <x:c r="Z807" s="6" t="str">
        <x:v>636400</x:v>
      </x:c>
      <x:c r="AA807" s="6" t="str">
        <x:v>16.0</x:v>
      </x:c>
      <x:c r="AB807" s="9" t="str">
        <x:v>2025-06-30</x:v>
      </x:c>
      <x:c r="AC807" s="8" t="str">
        <x:v>43.0</x:v>
      </x:c>
      <x:c r="AD807" s="9" t="str">
        <x:v>2025 (Susenas)</x:v>
      </x:c>
      <x:c r="AE807" s="8" t="str">
        <x:v>17.95</x:v>
      </x:c>
      <x:c r="AF807" s="9" t="str">
        <x:v>Maret 2025 (Susenas)</x:v>
      </x:c>
      <x:c r="AG807" s="6" t="str">
        <x:v>26.926268639133465</x:v>
      </x:c>
      <x:c r="AH807" s="8" t="str">
        <x:v>85.14721245311408</x:v>
      </x:c>
      <x:c r="AI807" s="6" t="str">
        <x:v>156.1665063192333</x:v>
      </x:c>
      <x:c r="AJ807" s="6" t="str">
        <x:v>0.3050034451707084</x:v>
      </x:c>
      <x:c r="AK807" s="8" t="str">
        <x:v>0.7315504660682118</x:v>
      </x:c>
      <x:c r="AL807" s="6" t="str">
        <x:v>1.3359376604684772</x:v>
      </x:c>
      <x:c r="AM807" s="6" t="str">
        <x:v>1.2013457589680938</x:v>
      </x:c>
      <x:c r="AN807" s="6" t="str">
        <x:v>1.089611295168261</x:v>
      </x:c>
      <x:c r="AO807" s="6" t="str">
        <x:v>0.0710732154602311</x:v>
      </x:c>
      <x:c r="AP807" s="8" t="str">
        <x:v>0.0272114525339341</x:v>
      </x:c>
      <x:c r="AQ807" s="6" t="str">
        <x:v>0.1213271049399852</x:v>
      </x:c>
      <x:c r="AR807" s="6" t="str">
        <x:v>0.4954456611917293</x:v>
      </x:c>
      <x:c r="AS807" s="6" t="str">
        <x:v>0.2146614062218825</x:v>
      </x:c>
      <x:c r="AT807" s="6" t="str">
        <x:v>-19.622756323486243</x:v>
      </x:c>
      <x:c r="AU807" s="8" t="str">
        <x:v>-0.3000519262483144</x:v>
      </x:c>
      <x:c r="AV807" s="6" t="str">
        <x:v>2.2078151197614178</x:v>
      </x:c>
      <x:c r="AW807" s="6" t="str">
        <x:v>2.2113129921963925</x:v>
      </x:c>
      <x:c r="AX807" s="6" t="str">
        <x:v>1.373025395236498</x:v>
      </x:c>
      <x:c r="AY807" s="6" t="str">
        <x:v>0</x:v>
      </x:c>
      <x:c r="AZ807" s="6" t="str">
        <x:v>0</x:v>
      </x:c>
      <x:c r="BA807" s="9" t="str">
        <x:v>grid_cells_within_BIG_polygon</x:v>
      </x:c>
      <x:c r="BB807" s="6" t="str">
        <x:v>8</x:v>
      </x:c>
      <x:c r="BC807" s="6" t="str">
        <x:v>0</x:v>
      </x:c>
      <x:c r="BD807" s="6" t="str">
        <x:v>0</x:v>
      </x:c>
      <x:c r="BE807" s="6" t="str">
        <x:v>0</x:v>
      </x:c>
      <x:c r="BF807" s="6" t="str">
        <x:v>0</x:v>
      </x:c>
      <x:c r="BG807" s="6" t="str">
        <x:v>0</x:v>
      </x:c>
      <x:c r="BH807" s="6" t="str">
        <x:v>0</x:v>
      </x:c>
      <x:c r="BI807" s="6" t="str">
        <x:v>0</x:v>
      </x:c>
      <x:c r="BJ807" s="6" t="str">
        <x:v>0</x:v>
      </x:c>
      <x:c r="BK807" s="6" t="str">
        <x:v>0</x:v>
      </x:c>
      <x:c r="BL807" s="6" t="str">
        <x:v>0</x:v>
      </x:c>
      <x:c r="BM807" s="6" t="str">
        <x:v>0</x:v>
      </x:c>
      <x:c r="BN807" s="6" t="str">
        <x:v>0</x:v>
      </x:c>
      <x:c r="BO807" s="6" t="str"/>
      <x:c r="BP807" s="6" t="str">
        <x:v>0</x:v>
      </x:c>
      <x:c r="BQ807" s="6" t="str"/>
      <x:c r="BR807" s="6" t="str">
        <x:v>0</x:v>
      </x:c>
      <x:c r="BS807" s="6" t="str"/>
      <x:c r="BT807" s="6" t="str">
        <x:v>0</x:v>
      </x:c>
      <x:c r="BU807" s="6" t="str"/>
      <x:c r="BV807" s="6" t="str">
        <x:v>0</x:v>
      </x:c>
      <x:c r="BW807" s="9" t="str">
        <x:v>operational_snapshot_annual_totals_may_differ</x:v>
      </x:c>
      <x:c r="BX807" s="9" t="str">
        <x:v>official_live_dashboard_snapshot_subject_to_revision</x:v>
      </x:c>
      <x:c r="BY807" s="9" t="str">
        <x:v>https://tbdashboard.sitb.id/ss_data_tbc03so_2025_provinsi_bulanan_list.php</x:v>
      </x:c>
      <x:c r="BZ807" s="6" t="n">
        <x:v>46246.610671296294</x:v>
      </x:c>
    </x:row>
    <x:row r="808" ht="18" customHeight="1">
      <x:c r="A808" s="6" t="str">
        <x:v>92</x:v>
      </x:c>
      <x:c r="B808" s="6" t="str">
        <x:v>PAPUA BARAT DAYA</x:v>
      </x:c>
      <x:c r="C808" s="6" t="str">
        <x:v>2025</x:v>
      </x:c>
      <x:c r="D808" s="6" t="str">
        <x:v>3</x:v>
      </x:c>
      <x:c r="E808" s="6" t="str">
        <x:v>2025-03</x:v>
      </x:c>
      <x:c r="F808" s="6" t="str">
        <x:v>177</x:v>
      </x:c>
      <x:c r="G808" s="6" t="str">
        <x:v>25</x:v>
      </x:c>
      <x:c r="H808" s="6" t="str">
        <x:v>118</x:v>
      </x:c>
      <x:c r="I808" s="6" t="str">
        <x:v>20</x:v>
      </x:c>
      <x:c r="J808" s="6" t="str">
        <x:v>10</x:v>
      </x:c>
      <x:c r="K808" s="6" t="str">
        <x:v>1</x:v>
      </x:c>
      <x:c r="L808" s="6" t="str">
        <x:v>0</x:v>
      </x:c>
      <x:c r="M808" s="6" t="str">
        <x:v>3</x:v>
      </x:c>
      <x:c r="N808" s="6" t="str">
        <x:v>177</x:v>
      </x:c>
      <x:c r="O808" s="6" t="str">
        <x:v>0</x:v>
      </x:c>
      <x:c r="P808" s="10" t="n">
        <x:f>F808-M808</x:f>
        <x:v>174</x:v>
      </x:c>
      <x:c r="Q808" s="11" t="n">
        <x:f>IFERROR(M808/F808,"")</x:f>
        <x:v>0.01694915254237288</x:v>
      </x:c>
      <x:c r="R808" s="10" t="n">
        <x:f>G808+H808</x:f>
        <x:v>143</x:v>
      </x:c>
      <x:c r="S808" s="11" t="n">
        <x:f>IFERROR(R808/F808,"")</x:f>
        <x:v>0.807909604519774</x:v>
      </x:c>
      <x:c r="T808" s="11" t="n">
        <x:f>IFERROR(R808/P808,"")</x:f>
        <x:v>0.8218390804597702</x:v>
      </x:c>
      <x:c r="U808" s="10" t="n">
        <x:f>I808+J808+K808</x:f>
        <x:v>31</x:v>
      </x:c>
      <x:c r="V808" s="11" t="n">
        <x:f>IFERROR(U808/P808,"")</x:f>
        <x:v>0.1781609195402299</x:v>
      </x:c>
      <x:c r="W808" s="9" t="str">
        <x:v>mature_le_5pct_pending</x:v>
      </x:c>
      <x:c r="X808" s="12" t="n">
        <x:f>IFERROR(F808/Z808*100000,"")</x:f>
        <x:v>27.81269641734758</x:v>
      </x:c>
      <x:c r="Y808" s="13" t="n">
        <x:f>LN(Z808)</x:f>
        <x:v>13.363582575445768</x:v>
      </x:c>
      <x:c r="Z808" s="6" t="str">
        <x:v>636400</x:v>
      </x:c>
      <x:c r="AA808" s="6" t="str">
        <x:v>16.0</x:v>
      </x:c>
      <x:c r="AB808" s="9" t="str">
        <x:v>2025-06-30</x:v>
      </x:c>
      <x:c r="AC808" s="8" t="str">
        <x:v>43.0</x:v>
      </x:c>
      <x:c r="AD808" s="9" t="str">
        <x:v>2025 (Susenas)</x:v>
      </x:c>
      <x:c r="AE808" s="8" t="str">
        <x:v>17.95</x:v>
      </x:c>
      <x:c r="AF808" s="9" t="str">
        <x:v>Maret 2025 (Susenas)</x:v>
      </x:c>
      <x:c r="AG808" s="6" t="str">
        <x:v>27.33002313820464</x:v>
      </x:c>
      <x:c r="AH808" s="8" t="str">
        <x:v>84.36725153532394</x:v>
      </x:c>
      <x:c r="AI808" s="6" t="str">
        <x:v>325.3926689530326</x:v>
      </x:c>
      <x:c r="AJ808" s="6" t="str">
        <x:v>0.6292094594345947</x:v>
      </x:c>
      <x:c r="AK808" s="8" t="str">
        <x:v>1.539507733805451</x:v>
      </x:c>
      <x:c r="AL808" s="6" t="str">
        <x:v>0.7315504660682118</x:v>
      </x:c>
      <x:c r="AM808" s="6" t="str">
        <x:v>1.3359376604684772</x:v>
      </x:c>
      <x:c r="AN808" s="6" t="str">
        <x:v>1.2023319534473802</x:v>
      </x:c>
      <x:c r="AO808" s="6" t="str">
        <x:v>-0.6731166229187409</x:v>
      </x:c>
      <x:c r="AP808" s="8" t="str">
        <x:v>-0.3255713398286776</x:v>
      </x:c>
      <x:c r="AQ808" s="6" t="str">
        <x:v>0.0272114525339341</x:v>
      </x:c>
      <x:c r="AR808" s="6" t="str">
        <x:v>0.1213271049399852</x:v>
      </x:c>
      <x:c r="AS808" s="6" t="str">
        <x:v>-0.0590109274515864</x:v>
      </x:c>
      <x:c r="AT808" s="6" t="str">
        <x:v>101.78780256281463</x:v>
      </x:c>
      <x:c r="AU808" s="8" t="str">
        <x:v>1.154243687026093</x:v>
      </x:c>
      <x:c r="AV808" s="6" t="str">
        <x:v>-0.3000519262483144</x:v>
      </x:c>
      <x:c r="AW808" s="6" t="str">
        <x:v>2.2078151197614178</x:v>
      </x:c>
      <x:c r="AX808" s="6" t="str">
        <x:v>1.020668960179732</x:v>
      </x:c>
      <x:c r="AY808" s="6" t="str">
        <x:v>1</x:v>
      </x:c>
      <x:c r="AZ808" s="6" t="str">
        <x:v>1</x:v>
      </x:c>
      <x:c r="BA808" s="9" t="str">
        <x:v>grid_cells_within_BIG_polygon</x:v>
      </x:c>
      <x:c r="BB808" s="6" t="str">
        <x:v>8</x:v>
      </x:c>
      <x:c r="BC808" s="6" t="str">
        <x:v>0</x:v>
      </x:c>
      <x:c r="BD808" s="6" t="str">
        <x:v>0</x:v>
      </x:c>
      <x:c r="BE808" s="6" t="str">
        <x:v>0</x:v>
      </x:c>
      <x:c r="BF808" s="6" t="str">
        <x:v>0</x:v>
      </x:c>
      <x:c r="BG808" s="6" t="str">
        <x:v>0</x:v>
      </x:c>
      <x:c r="BH808" s="6" t="str">
        <x:v>0</x:v>
      </x:c>
      <x:c r="BI808" s="6" t="str">
        <x:v>0</x:v>
      </x:c>
      <x:c r="BJ808" s="6" t="str">
        <x:v>0</x:v>
      </x:c>
      <x:c r="BK808" s="6" t="str">
        <x:v>0</x:v>
      </x:c>
      <x:c r="BL808" s="6" t="str">
        <x:v>0</x:v>
      </x:c>
      <x:c r="BM808" s="6" t="str">
        <x:v>0</x:v>
      </x:c>
      <x:c r="BN808" s="6" t="str">
        <x:v>0</x:v>
      </x:c>
      <x:c r="BO808" s="6" t="str"/>
      <x:c r="BP808" s="6" t="str">
        <x:v>0</x:v>
      </x:c>
      <x:c r="BQ808" s="6" t="str"/>
      <x:c r="BR808" s="6" t="str">
        <x:v>0</x:v>
      </x:c>
      <x:c r="BS808" s="6" t="str"/>
      <x:c r="BT808" s="6" t="str">
        <x:v>0</x:v>
      </x:c>
      <x:c r="BU808" s="6" t="str"/>
      <x:c r="BV808" s="6" t="str">
        <x:v>0</x:v>
      </x:c>
      <x:c r="BW808" s="9" t="str">
        <x:v>operational_snapshot_annual_totals_may_differ</x:v>
      </x:c>
      <x:c r="BX808" s="9" t="str">
        <x:v>official_live_dashboard_snapshot_subject_to_revision</x:v>
      </x:c>
      <x:c r="BY808" s="9" t="str">
        <x:v>https://tbdashboard.sitb.id/ss_data_tbc03so_2025_provinsi_bulanan_list.php</x:v>
      </x:c>
      <x:c r="BZ808" s="6" t="n">
        <x:v>46246.610671296294</x:v>
      </x:c>
    </x:row>
    <x:row r="809" ht="18" customHeight="1">
      <x:c r="A809" s="6" t="str">
        <x:v>92</x:v>
      </x:c>
      <x:c r="B809" s="6" t="str">
        <x:v>PAPUA BARAT DAYA</x:v>
      </x:c>
      <x:c r="C809" s="6" t="str">
        <x:v>2025</x:v>
      </x:c>
      <x:c r="D809" s="6" t="str">
        <x:v>4</x:v>
      </x:c>
      <x:c r="E809" s="6" t="str">
        <x:v>2025-04</x:v>
      </x:c>
      <x:c r="F809" s="6" t="str">
        <x:v>121</x:v>
      </x:c>
      <x:c r="G809" s="6" t="str">
        <x:v>26</x:v>
      </x:c>
      <x:c r="H809" s="6" t="str">
        <x:v>66</x:v>
      </x:c>
      <x:c r="I809" s="6" t="str">
        <x:v>14</x:v>
      </x:c>
      <x:c r="J809" s="6" t="str">
        <x:v>9</x:v>
      </x:c>
      <x:c r="K809" s="6" t="str">
        <x:v>1</x:v>
      </x:c>
      <x:c r="L809" s="6" t="str">
        <x:v>0</x:v>
      </x:c>
      <x:c r="M809" s="6" t="str">
        <x:v>5</x:v>
      </x:c>
      <x:c r="N809" s="6" t="str">
        <x:v>121</x:v>
      </x:c>
      <x:c r="O809" s="6" t="str">
        <x:v>0</x:v>
      </x:c>
      <x:c r="P809" s="10" t="n">
        <x:f>F809-M809</x:f>
        <x:v>116</x:v>
      </x:c>
      <x:c r="Q809" s="11" t="n">
        <x:f>IFERROR(M809/F809,"")</x:f>
        <x:v>0.04132231404958678</x:v>
      </x:c>
      <x:c r="R809" s="10" t="n">
        <x:f>G809+H809</x:f>
        <x:v>92</x:v>
      </x:c>
      <x:c r="S809" s="11" t="n">
        <x:f>IFERROR(R809/F809,"")</x:f>
        <x:v>0.7603305785123967</x:v>
      </x:c>
      <x:c r="T809" s="11" t="n">
        <x:f>IFERROR(R809/P809,"")</x:f>
        <x:v>0.7931034482758621</x:v>
      </x:c>
      <x:c r="U809" s="10" t="n">
        <x:f>I809+J809+K809</x:f>
        <x:v>24</x:v>
      </x:c>
      <x:c r="V809" s="11" t="n">
        <x:f>IFERROR(U809/P809,"")</x:f>
        <x:v>0.20689655172413793</x:v>
      </x:c>
      <x:c r="W809" s="9" t="str">
        <x:v>mature_le_5pct_pending</x:v>
      </x:c>
      <x:c r="X809" s="12" t="n">
        <x:f>IFERROR(F809/Z809*100000,"")</x:f>
        <x:v>19.013199245757384</x:v>
      </x:c>
      <x:c r="Y809" s="13" t="n">
        <x:f>LN(Z809)</x:f>
        <x:v>13.363582575445768</x:v>
      </x:c>
      <x:c r="Z809" s="6" t="str">
        <x:v>636400</x:v>
      </x:c>
      <x:c r="AA809" s="6" t="str">
        <x:v>16.0</x:v>
      </x:c>
      <x:c r="AB809" s="9" t="str">
        <x:v>2025-06-30</x:v>
      </x:c>
      <x:c r="AC809" s="8" t="str">
        <x:v>43.0</x:v>
      </x:c>
      <x:c r="AD809" s="9" t="str">
        <x:v>2025 (Susenas)</x:v>
      </x:c>
      <x:c r="AE809" s="8" t="str">
        <x:v>17.95</x:v>
      </x:c>
      <x:c r="AF809" s="9" t="str">
        <x:v>Maret 2025 (Susenas)</x:v>
      </x:c>
      <x:c r="AG809" s="6" t="str">
        <x:v>26.95127630388333</x:v>
      </x:c>
      <x:c r="AH809" s="8" t="str">
        <x:v>85.39344619327244</x:v>
      </x:c>
      <x:c r="AI809" s="6" t="str">
        <x:v>285.3799001537645</x:v>
      </x:c>
      <x:c r="AJ809" s="6" t="str">
        <x:v>0.1415848961819428</x:v>
      </x:c>
      <x:c r="AK809" s="8" t="str">
        <x:v>0.4064783397859109</x:v>
      </x:c>
      <x:c r="AL809" s="6" t="str">
        <x:v>1.539507733805451</x:v>
      </x:c>
      <x:c r="AM809" s="6" t="str">
        <x:v>0.7315504660682118</x:v>
      </x:c>
      <x:c r="AN809" s="6" t="str">
        <x:v>0.8925121798865248</x:v>
      </x:c>
      <x:c r="AO809" s="6" t="str">
        <x:v>-0.3054340531241024</x:v>
      </x:c>
      <x:c r="AP809" s="8" t="str">
        <x:v>-0.204092742108488</x:v>
      </x:c>
      <x:c r="AQ809" s="6" t="str">
        <x:v>-0.3255713398286776</x:v>
      </x:c>
      <x:c r="AR809" s="6" t="str">
        <x:v>0.0272114525339341</x:v>
      </x:c>
      <x:c r="AS809" s="6" t="str">
        <x:v>-0.1674842098010775</x:v>
      </x:c>
      <x:c r="AT809" s="6" t="str">
        <x:v>41.76273567315366</x:v>
      </x:c>
      <x:c r="AU809" s="8" t="str">
        <x:v>0.5796568906438353</x:v>
      </x:c>
      <x:c r="AV809" s="6" t="str">
        <x:v>1.154243687026093</x:v>
      </x:c>
      <x:c r="AW809" s="6" t="str">
        <x:v>-0.3000519262483144</x:v>
      </x:c>
      <x:c r="AX809" s="6" t="str">
        <x:v>0.477949550473871</x:v>
      </x:c>
      <x:c r="AY809" s="6" t="str">
        <x:v>0</x:v>
      </x:c>
      <x:c r="AZ809" s="6" t="str">
        <x:v>0</x:v>
      </x:c>
      <x:c r="BA809" s="9" t="str">
        <x:v>grid_cells_within_BIG_polygon</x:v>
      </x:c>
      <x:c r="BB809" s="6" t="str">
        <x:v>8</x:v>
      </x:c>
      <x:c r="BC809" s="6" t="str">
        <x:v>0</x:v>
      </x:c>
      <x:c r="BD809" s="6" t="str">
        <x:v>0</x:v>
      </x:c>
      <x:c r="BE809" s="6" t="str">
        <x:v>0</x:v>
      </x:c>
      <x:c r="BF809" s="6" t="str">
        <x:v>0</x:v>
      </x:c>
      <x:c r="BG809" s="6" t="str">
        <x:v>0</x:v>
      </x:c>
      <x:c r="BH809" s="6" t="str">
        <x:v>0</x:v>
      </x:c>
      <x:c r="BI809" s="6" t="str">
        <x:v>0</x:v>
      </x:c>
      <x:c r="BJ809" s="6" t="str">
        <x:v>0</x:v>
      </x:c>
      <x:c r="BK809" s="6" t="str">
        <x:v>0</x:v>
      </x:c>
      <x:c r="BL809" s="6" t="str">
        <x:v>0</x:v>
      </x:c>
      <x:c r="BM809" s="6" t="str">
        <x:v>0</x:v>
      </x:c>
      <x:c r="BN809" s="6" t="str">
        <x:v>0</x:v>
      </x:c>
      <x:c r="BO809" s="6" t="str"/>
      <x:c r="BP809" s="6" t="str">
        <x:v>0</x:v>
      </x:c>
      <x:c r="BQ809" s="6" t="str"/>
      <x:c r="BR809" s="6" t="str">
        <x:v>0</x:v>
      </x:c>
      <x:c r="BS809" s="6" t="str"/>
      <x:c r="BT809" s="6" t="str">
        <x:v>0</x:v>
      </x:c>
      <x:c r="BU809" s="6" t="str"/>
      <x:c r="BV809" s="6" t="str">
        <x:v>0</x:v>
      </x:c>
      <x:c r="BW809" s="9" t="str">
        <x:v>operational_snapshot_annual_totals_may_differ</x:v>
      </x:c>
      <x:c r="BX809" s="9" t="str">
        <x:v>official_live_dashboard_snapshot_subject_to_revision</x:v>
      </x:c>
      <x:c r="BY809" s="9" t="str">
        <x:v>https://tbdashboard.sitb.id/ss_data_tbc03so_2025_provinsi_bulanan_list.php</x:v>
      </x:c>
      <x:c r="BZ809" s="6" t="n">
        <x:v>46246.610671296294</x:v>
      </x:c>
    </x:row>
    <x:row r="810" ht="18" customHeight="1">
      <x:c r="A810" s="6" t="str">
        <x:v>92</x:v>
      </x:c>
      <x:c r="B810" s="6" t="str">
        <x:v>PAPUA BARAT DAYA</x:v>
      </x:c>
      <x:c r="C810" s="6" t="str">
        <x:v>2025</x:v>
      </x:c>
      <x:c r="D810" s="6" t="str">
        <x:v>5</x:v>
      </x:c>
      <x:c r="E810" s="6" t="str">
        <x:v>2025-05</x:v>
      </x:c>
      <x:c r="F810" s="6" t="str">
        <x:v>162</x:v>
      </x:c>
      <x:c r="G810" s="6" t="str">
        <x:v>24</x:v>
      </x:c>
      <x:c r="H810" s="6" t="str">
        <x:v>92</x:v>
      </x:c>
      <x:c r="I810" s="6" t="str">
        <x:v>36</x:v>
      </x:c>
      <x:c r="J810" s="6" t="str">
        <x:v>8</x:v>
      </x:c>
      <x:c r="K810" s="6" t="str">
        <x:v>0</x:v>
      </x:c>
      <x:c r="L810" s="6" t="str">
        <x:v>0</x:v>
      </x:c>
      <x:c r="M810" s="6" t="str">
        <x:v>2</x:v>
      </x:c>
      <x:c r="N810" s="6" t="str">
        <x:v>162</x:v>
      </x:c>
      <x:c r="O810" s="6" t="str">
        <x:v>0</x:v>
      </x:c>
      <x:c r="P810" s="10" t="n">
        <x:f>F810-M810</x:f>
        <x:v>160</x:v>
      </x:c>
      <x:c r="Q810" s="11" t="n">
        <x:f>IFERROR(M810/F810,"")</x:f>
        <x:v>0.012345679012345678</x:v>
      </x:c>
      <x:c r="R810" s="10" t="n">
        <x:f>G810+H810</x:f>
        <x:v>116</x:v>
      </x:c>
      <x:c r="S810" s="11" t="n">
        <x:f>IFERROR(R810/F810,"")</x:f>
        <x:v>0.7160493827160493</x:v>
      </x:c>
      <x:c r="T810" s="11" t="n">
        <x:f>IFERROR(R810/P810,"")</x:f>
        <x:v>0.725</x:v>
      </x:c>
      <x:c r="U810" s="10" t="n">
        <x:f>I810+J810+K810</x:f>
        <x:v>44</x:v>
      </x:c>
      <x:c r="V810" s="11" t="n">
        <x:f>IFERROR(U810/P810,"")</x:f>
        <x:v>0.275</x:v>
      </x:c>
      <x:c r="W810" s="9" t="str">
        <x:v>mature_le_5pct_pending</x:v>
      </x:c>
      <x:c r="X810" s="12" t="n">
        <x:f>IFERROR(F810/Z810*100000,"")</x:f>
        <x:v>25.45568824638592</x:v>
      </x:c>
      <x:c r="Y810" s="13" t="n">
        <x:f>LN(Z810)</x:f>
        <x:v>13.363582575445768</x:v>
      </x:c>
      <x:c r="Z810" s="6" t="str">
        <x:v>636400</x:v>
      </x:c>
      <x:c r="AA810" s="6" t="str">
        <x:v>16.0</x:v>
      </x:c>
      <x:c r="AB810" s="9" t="str">
        <x:v>2025-06-30</x:v>
      </x:c>
      <x:c r="AC810" s="8" t="str">
        <x:v>43.0</x:v>
      </x:c>
      <x:c r="AD810" s="9" t="str">
        <x:v>2025 (Susenas)</x:v>
      </x:c>
      <x:c r="AE810" s="8" t="str">
        <x:v>17.95</x:v>
      </x:c>
      <x:c r="AF810" s="9" t="str">
        <x:v>Maret 2025 (Susenas)</x:v>
      </x:c>
      <x:c r="AG810" s="6" t="str">
        <x:v>27.26253470685376</x:v>
      </x:c>
      <x:c r="AH810" s="8" t="str">
        <x:v>85.43842548207272</x:v>
      </x:c>
      <x:c r="AI810" s="6" t="str">
        <x:v>260.0138488333666</x:v>
      </x:c>
      <x:c r="AJ810" s="6" t="str">
        <x:v>0.4358056986647725</x:v>
      </x:c>
      <x:c r="AK810" s="8" t="str">
        <x:v>1.1333215223673692</x:v>
      </x:c>
      <x:c r="AL810" s="6" t="str">
        <x:v>0.4064783397859109</x:v>
      </x:c>
      <x:c r="AM810" s="6" t="str">
        <x:v>1.539507733805451</x:v>
      </x:c>
      <x:c r="AN810" s="6" t="str">
        <x:v>1.026435865319577</x:v>
      </x:c>
      <x:c r="AO810" s="6" t="str">
        <x:v>-0.9017615509352196</x:v>
      </x:c>
      <x:c r="AP810" s="8" t="str">
        <x:v>-0.6474283660872407</x:v>
      </x:c>
      <x:c r="AQ810" s="6" t="str">
        <x:v>-0.204092742108488</x:v>
      </x:c>
      <x:c r="AR810" s="6" t="str">
        <x:v>-0.3255713398286776</x:v>
      </x:c>
      <x:c r="AS810" s="6" t="str">
        <x:v>-0.3923641493414691</x:v>
      </x:c>
      <x:c r="AT810" s="6" t="str">
        <x:v>-3.128749392457337</x:v>
      </x:c>
      <x:c r="AU810" s="8" t="str">
        <x:v>-0.0268337039576064</x:v>
      </x:c>
      <x:c r="AV810" s="6" t="str">
        <x:v>0.5796568906438353</x:v>
      </x:c>
      <x:c r="AW810" s="6" t="str">
        <x:v>1.154243687026093</x:v>
      </x:c>
      <x:c r="AX810" s="6" t="str">
        <x:v>0.5690222912374404</x:v>
      </x:c>
      <x:c r="AY810" s="6" t="str">
        <x:v>0</x:v>
      </x:c>
      <x:c r="AZ810" s="6" t="str">
        <x:v>1</x:v>
      </x:c>
      <x:c r="BA810" s="9" t="str">
        <x:v>grid_cells_within_BIG_polygon</x:v>
      </x:c>
      <x:c r="BB810" s="6" t="str">
        <x:v>8</x:v>
      </x:c>
      <x:c r="BC810" s="6" t="str">
        <x:v>0</x:v>
      </x:c>
      <x:c r="BD810" s="6" t="str">
        <x:v>0</x:v>
      </x:c>
      <x:c r="BE810" s="6" t="str">
        <x:v>0</x:v>
      </x:c>
      <x:c r="BF810" s="6" t="str">
        <x:v>0</x:v>
      </x:c>
      <x:c r="BG810" s="6" t="str">
        <x:v>0</x:v>
      </x:c>
      <x:c r="BH810" s="6" t="str">
        <x:v>0</x:v>
      </x:c>
      <x:c r="BI810" s="6" t="str">
        <x:v>0</x:v>
      </x:c>
      <x:c r="BJ810" s="6" t="str">
        <x:v>0</x:v>
      </x:c>
      <x:c r="BK810" s="6" t="str">
        <x:v>0</x:v>
      </x:c>
      <x:c r="BL810" s="6" t="str">
        <x:v>0</x:v>
      </x:c>
      <x:c r="BM810" s="6" t="str">
        <x:v>0</x:v>
      </x:c>
      <x:c r="BN810" s="6" t="str">
        <x:v>0</x:v>
      </x:c>
      <x:c r="BO810" s="6" t="str"/>
      <x:c r="BP810" s="6" t="str">
        <x:v>0</x:v>
      </x:c>
      <x:c r="BQ810" s="6" t="str"/>
      <x:c r="BR810" s="6" t="str">
        <x:v>0</x:v>
      </x:c>
      <x:c r="BS810" s="6" t="str"/>
      <x:c r="BT810" s="6" t="str">
        <x:v>0</x:v>
      </x:c>
      <x:c r="BU810" s="6" t="str"/>
      <x:c r="BV810" s="6" t="str">
        <x:v>0</x:v>
      </x:c>
      <x:c r="BW810" s="9" t="str">
        <x:v>operational_snapshot_annual_totals_may_differ</x:v>
      </x:c>
      <x:c r="BX810" s="9" t="str">
        <x:v>official_live_dashboard_snapshot_subject_to_revision</x:v>
      </x:c>
      <x:c r="BY810" s="9" t="str">
        <x:v>https://tbdashboard.sitb.id/ss_data_tbc03so_2025_provinsi_bulanan_list.php</x:v>
      </x:c>
      <x:c r="BZ810" s="6" t="n">
        <x:v>46246.610671296294</x:v>
      </x:c>
    </x:row>
    <x:row r="811" ht="18" customHeight="1">
      <x:c r="A811" s="6" t="str">
        <x:v>92</x:v>
      </x:c>
      <x:c r="B811" s="6" t="str">
        <x:v>PAPUA BARAT DAYA</x:v>
      </x:c>
      <x:c r="C811" s="6" t="str">
        <x:v>2025</x:v>
      </x:c>
      <x:c r="D811" s="6" t="str">
        <x:v>6</x:v>
      </x:c>
      <x:c r="E811" s="6" t="str">
        <x:v>2025-06</x:v>
      </x:c>
      <x:c r="F811" s="6" t="str">
        <x:v>156</x:v>
      </x:c>
      <x:c r="G811" s="6" t="str">
        <x:v>28</x:v>
      </x:c>
      <x:c r="H811" s="6" t="str">
        <x:v>91</x:v>
      </x:c>
      <x:c r="I811" s="6" t="str">
        <x:v>23</x:v>
      </x:c>
      <x:c r="J811" s="6" t="str">
        <x:v>9</x:v>
      </x:c>
      <x:c r="K811" s="6" t="str">
        <x:v>1</x:v>
      </x:c>
      <x:c r="L811" s="6" t="str">
        <x:v>0</x:v>
      </x:c>
      <x:c r="M811" s="6" t="str">
        <x:v>4</x:v>
      </x:c>
      <x:c r="N811" s="6" t="str">
        <x:v>156</x:v>
      </x:c>
      <x:c r="O811" s="6" t="str">
        <x:v>0</x:v>
      </x:c>
      <x:c r="P811" s="10" t="n">
        <x:f>F811-M811</x:f>
        <x:v>152</x:v>
      </x:c>
      <x:c r="Q811" s="11" t="n">
        <x:f>IFERROR(M811/F811,"")</x:f>
        <x:v>0.02564102564102564</x:v>
      </x:c>
      <x:c r="R811" s="10" t="n">
        <x:f>G811+H811</x:f>
        <x:v>119</x:v>
      </x:c>
      <x:c r="S811" s="11" t="n">
        <x:f>IFERROR(R811/F811,"")</x:f>
        <x:v>0.7628205128205128</x:v>
      </x:c>
      <x:c r="T811" s="11" t="n">
        <x:f>IFERROR(R811/P811,"")</x:f>
        <x:v>0.7828947368421053</x:v>
      </x:c>
      <x:c r="U811" s="10" t="n">
        <x:f>I811+J811+K811</x:f>
        <x:v>33</x:v>
      </x:c>
      <x:c r="V811" s="11" t="n">
        <x:f>IFERROR(U811/P811,"")</x:f>
        <x:v>0.21710526315789475</x:v>
      </x:c>
      <x:c r="W811" s="9" t="str">
        <x:v>mature_le_5pct_pending</x:v>
      </x:c>
      <x:c r="X811" s="12" t="n">
        <x:f>IFERROR(F811/Z811*100000,"")</x:f>
        <x:v>24.512884978001257</x:v>
      </x:c>
      <x:c r="Y811" s="13" t="n">
        <x:f>LN(Z811)</x:f>
        <x:v>13.363582575445768</x:v>
      </x:c>
      <x:c r="Z811" s="6" t="str">
        <x:v>636400</x:v>
      </x:c>
      <x:c r="AA811" s="6" t="str">
        <x:v>16.0</x:v>
      </x:c>
      <x:c r="AB811" s="9" t="str">
        <x:v>2025-06-30</x:v>
      </x:c>
      <x:c r="AC811" s="8" t="str">
        <x:v>43.0</x:v>
      </x:c>
      <x:c r="AD811" s="9" t="str">
        <x:v>2025 (Susenas)</x:v>
      </x:c>
      <x:c r="AE811" s="8" t="str">
        <x:v>17.95</x:v>
      </x:c>
      <x:c r="AF811" s="9" t="str">
        <x:v>Maret 2025 (Susenas)</x:v>
      </x:c>
      <x:c r="AG811" s="6" t="str">
        <x:v>26.652528232538383</x:v>
      </x:c>
      <x:c r="AH811" s="8" t="str">
        <x:v>86.82589577717201</x:v>
      </x:c>
      <x:c r="AI811" s="6" t="str">
        <x:v>386.2148000571749</x:v>
      </x:c>
      <x:c r="AJ811" s="6" t="str">
        <x:v>0.4758403760515151</x:v>
      </x:c>
      <x:c r="AK811" s="8" t="str">
        <x:v>1.517853894607612</x:v>
      </x:c>
      <x:c r="AL811" s="6" t="str">
        <x:v>1.1333215223673692</x:v>
      </x:c>
      <x:c r="AM811" s="6" t="str">
        <x:v>0.4064783397859109</x:v>
      </x:c>
      <x:c r="AN811" s="6" t="str">
        <x:v>1.0192179189202974</x:v>
      </x:c>
      <x:c r="AO811" s="6" t="str">
        <x:v>-1.0546042910901008</x:v>
      </x:c>
      <x:c r="AP811" s="8" t="str">
        <x:v>-0.6737108461216053</x:v>
      </x:c>
      <x:c r="AQ811" s="6" t="str">
        <x:v>-0.6474283660872407</x:v>
      </x:c>
      <x:c r="AR811" s="6" t="str">
        <x:v>-0.204092742108488</x:v>
      </x:c>
      <x:c r="AS811" s="6" t="str">
        <x:v>-0.5084106514391117</x:v>
      </x:c>
      <x:c r="AT811" s="6" t="str">
        <x:v>78.51376174759508</x:v>
      </x:c>
      <x:c r="AU811" s="8" t="str">
        <x:v>0.6486788783233707</x:v>
      </x:c>
      <x:c r="AV811" s="6" t="str">
        <x:v>-0.0268337039576064</x:v>
      </x:c>
      <x:c r="AW811" s="6" t="str">
        <x:v>0.5796568906438353</x:v>
      </x:c>
      <x:c r="AX811" s="6" t="str">
        <x:v>0.4005006883365329</x:v>
      </x:c>
      <x:c r="AY811" s="6" t="str">
        <x:v>0</x:v>
      </x:c>
      <x:c r="AZ811" s="6" t="str">
        <x:v>1</x:v>
      </x:c>
      <x:c r="BA811" s="9" t="str">
        <x:v>grid_cells_within_BIG_polygon</x:v>
      </x:c>
      <x:c r="BB811" s="6" t="str">
        <x:v>8</x:v>
      </x:c>
      <x:c r="BC811" s="6" t="str">
        <x:v>2</x:v>
      </x:c>
      <x:c r="BD811" s="6" t="str">
        <x:v>2</x:v>
      </x:c>
      <x:c r="BE811" s="6" t="str">
        <x:v>1</x:v>
      </x:c>
      <x:c r="BF811" s="6" t="str">
        <x:v>1</x:v>
      </x:c>
      <x:c r="BG811" s="6" t="str">
        <x:v>0</x:v>
      </x:c>
      <x:c r="BH811" s="6" t="str">
        <x:v>0</x:v>
      </x:c>
      <x:c r="BI811" s="6" t="str">
        <x:v>0</x:v>
      </x:c>
      <x:c r="BJ811" s="6" t="str">
        <x:v>0</x:v>
      </x:c>
      <x:c r="BK811" s="6" t="str">
        <x:v>0</x:v>
      </x:c>
      <x:c r="BL811" s="6" t="str">
        <x:v>0</x:v>
      </x:c>
      <x:c r="BM811" s="6" t="str">
        <x:v>0</x:v>
      </x:c>
      <x:c r="BN811" s="6" t="str">
        <x:v>2</x:v>
      </x:c>
      <x:c r="BO811" s="6" t="str"/>
      <x:c r="BP811" s="6" t="str">
        <x:v>0</x:v>
      </x:c>
      <x:c r="BQ811" s="6" t="str"/>
      <x:c r="BR811" s="6" t="str">
        <x:v>0</x:v>
      </x:c>
      <x:c r="BS811" s="6" t="str">
        <x:v>0.0</x:v>
      </x:c>
      <x:c r="BT811" s="6" t="str">
        <x:v>2</x:v>
      </x:c>
      <x:c r="BU811" s="6" t="str">
        <x:v>215.0</x:v>
      </x:c>
      <x:c r="BV811" s="6" t="str">
        <x:v>1</x:v>
      </x:c>
      <x:c r="BW811" s="9" t="str">
        <x:v>operational_snapshot_annual_totals_may_differ</x:v>
      </x:c>
      <x:c r="BX811" s="9" t="str">
        <x:v>official_live_dashboard_snapshot_subject_to_revision</x:v>
      </x:c>
      <x:c r="BY811" s="9" t="str">
        <x:v>https://tbdashboard.sitb.id/ss_data_tbc03so_2025_provinsi_bulanan_list.php</x:v>
      </x:c>
      <x:c r="BZ811" s="6" t="n">
        <x:v>46246.610671296294</x:v>
      </x:c>
    </x:row>
    <x:row r="812" ht="18" customHeight="1">
      <x:c r="A812" s="6" t="str">
        <x:v>92</x:v>
      </x:c>
      <x:c r="B812" s="6" t="str">
        <x:v>PAPUA BARAT DAYA</x:v>
      </x:c>
      <x:c r="C812" s="6" t="str">
        <x:v>2025</x:v>
      </x:c>
      <x:c r="D812" s="6" t="str">
        <x:v>7</x:v>
      </x:c>
      <x:c r="E812" s="6" t="str">
        <x:v>2025-07</x:v>
      </x:c>
      <x:c r="F812" s="6" t="str">
        <x:v>172</x:v>
      </x:c>
      <x:c r="G812" s="6" t="str">
        <x:v>24</x:v>
      </x:c>
      <x:c r="H812" s="6" t="str">
        <x:v>109</x:v>
      </x:c>
      <x:c r="I812" s="6" t="str">
        <x:v>33</x:v>
      </x:c>
      <x:c r="J812" s="6" t="str">
        <x:v>5</x:v>
      </x:c>
      <x:c r="K812" s="6" t="str">
        <x:v>0</x:v>
      </x:c>
      <x:c r="L812" s="6" t="str">
        <x:v>0</x:v>
      </x:c>
      <x:c r="M812" s="6" t="str">
        <x:v>1</x:v>
      </x:c>
      <x:c r="N812" s="6" t="str">
        <x:v>172</x:v>
      </x:c>
      <x:c r="O812" s="6" t="str">
        <x:v>0</x:v>
      </x:c>
      <x:c r="P812" s="10" t="n">
        <x:f>F812-M812</x:f>
        <x:v>171</x:v>
      </x:c>
      <x:c r="Q812" s="11" t="n">
        <x:f>IFERROR(M812/F812,"")</x:f>
        <x:v>0.005813953488372093</x:v>
      </x:c>
      <x:c r="R812" s="10" t="n">
        <x:f>G812+H812</x:f>
        <x:v>133</x:v>
      </x:c>
      <x:c r="S812" s="11" t="n">
        <x:f>IFERROR(R812/F812,"")</x:f>
        <x:v>0.7732558139534884</x:v>
      </x:c>
      <x:c r="T812" s="11" t="n">
        <x:f>IFERROR(R812/P812,"")</x:f>
        <x:v>0.7777777777777778</x:v>
      </x:c>
      <x:c r="U812" s="10" t="n">
        <x:f>I812+J812+K812</x:f>
        <x:v>38</x:v>
      </x:c>
      <x:c r="V812" s="11" t="n">
        <x:f>IFERROR(U812/P812,"")</x:f>
        <x:v>0.2222222222222222</x:v>
      </x:c>
      <x:c r="W812" s="9" t="str">
        <x:v>mature_le_5pct_pending</x:v>
      </x:c>
      <x:c r="X812" s="12" t="n">
        <x:f>IFERROR(F812/Z812*100000,"")</x:f>
        <x:v>27.027027027027028</x:v>
      </x:c>
      <x:c r="Y812" s="13" t="n">
        <x:f>LN(Z812)</x:f>
        <x:v>13.363582575445768</x:v>
      </x:c>
      <x:c r="Z812" s="6" t="str">
        <x:v>636400</x:v>
      </x:c>
      <x:c r="AA812" s="6" t="str">
        <x:v>16.0</x:v>
      </x:c>
      <x:c r="AB812" s="9" t="str">
        <x:v>2025-06-30</x:v>
      </x:c>
      <x:c r="AC812" s="8" t="str">
        <x:v>43.0</x:v>
      </x:c>
      <x:c r="AD812" s="9" t="str">
        <x:v>2025 (Susenas)</x:v>
      </x:c>
      <x:c r="AE812" s="8" t="str">
        <x:v>17.95</x:v>
      </x:c>
      <x:c r="AF812" s="9" t="str">
        <x:v>Maret 2025 (Susenas)</x:v>
      </x:c>
      <x:c r="AG812" s="6" t="str">
        <x:v>26.416286111226725</x:v>
      </x:c>
      <x:c r="AH812" s="8" t="str">
        <x:v>87.30216308206097</x:v>
      </x:c>
      <x:c r="AI812" s="6" t="str">
        <x:v>318.6413879342169</x:v>
      </x:c>
      <x:c r="AJ812" s="6" t="str">
        <x:v>0.7708021439811432</x:v>
      </x:c>
      <x:c r="AK812" s="8" t="str">
        <x:v>2.1225091142917565</x:v>
      </x:c>
      <x:c r="AL812" s="6" t="str">
        <x:v>1.517853894607612</x:v>
      </x:c>
      <x:c r="AM812" s="6" t="str">
        <x:v>1.1333215223673692</x:v>
      </x:c>
      <x:c r="AN812" s="6" t="str">
        <x:v>1.5912281770889127</x:v>
      </x:c>
      <x:c r="AO812" s="6" t="str">
        <x:v>-0.8124692244005303</x:v>
      </x:c>
      <x:c r="AP812" s="8" t="str">
        <x:v>-0.704026327929354</x:v>
      </x:c>
      <x:c r="AQ812" s="6" t="str">
        <x:v>-0.6737108461216053</x:v>
      </x:c>
      <x:c r="AR812" s="6" t="str">
        <x:v>-0.6474283660872407</x:v>
      </x:c>
      <x:c r="AS812" s="6" t="str">
        <x:v>-0.675055180046067</x:v>
      </x:c>
      <x:c r="AT812" s="6" t="str">
        <x:v>33.655373286434724</x:v>
      </x:c>
      <x:c r="AU812" s="8" t="str">
        <x:v>0.2132093061384144</x:v>
      </x:c>
      <x:c r="AV812" s="6" t="str">
        <x:v>0.6486788783233707</x:v>
      </x:c>
      <x:c r="AW812" s="6" t="str">
        <x:v>-0.0268337039576064</x:v>
      </x:c>
      <x:c r="AX812" s="6" t="str">
        <x:v>0.2783514935013926</x:v>
      </x:c>
      <x:c r="AY812" s="6" t="str">
        <x:v>0</x:v>
      </x:c>
      <x:c r="AZ812" s="6" t="str">
        <x:v>1</x:v>
      </x:c>
      <x:c r="BA812" s="9" t="str">
        <x:v>grid_cells_within_BIG_polygon</x:v>
      </x:c>
      <x:c r="BB812" s="6" t="str">
        <x:v>8</x:v>
      </x:c>
      <x:c r="BC812" s="6" t="str">
        <x:v>0</x:v>
      </x:c>
      <x:c r="BD812" s="6" t="str">
        <x:v>0</x:v>
      </x:c>
      <x:c r="BE812" s="6" t="str">
        <x:v>0</x:v>
      </x:c>
      <x:c r="BF812" s="6" t="str">
        <x:v>0</x:v>
      </x:c>
      <x:c r="BG812" s="6" t="str">
        <x:v>0</x:v>
      </x:c>
      <x:c r="BH812" s="6" t="str">
        <x:v>0</x:v>
      </x:c>
      <x:c r="BI812" s="6" t="str">
        <x:v>0</x:v>
      </x:c>
      <x:c r="BJ812" s="6" t="str">
        <x:v>0</x:v>
      </x:c>
      <x:c r="BK812" s="6" t="str">
        <x:v>0</x:v>
      </x:c>
      <x:c r="BL812" s="6" t="str">
        <x:v>0</x:v>
      </x:c>
      <x:c r="BM812" s="6" t="str">
        <x:v>0</x:v>
      </x:c>
      <x:c r="BN812" s="6" t="str">
        <x:v>0</x:v>
      </x:c>
      <x:c r="BO812" s="6" t="str"/>
      <x:c r="BP812" s="6" t="str">
        <x:v>0</x:v>
      </x:c>
      <x:c r="BQ812" s="6" t="str"/>
      <x:c r="BR812" s="6" t="str">
        <x:v>0</x:v>
      </x:c>
      <x:c r="BS812" s="6" t="str"/>
      <x:c r="BT812" s="6" t="str">
        <x:v>0</x:v>
      </x:c>
      <x:c r="BU812" s="6" t="str"/>
      <x:c r="BV812" s="6" t="str">
        <x:v>0</x:v>
      </x:c>
      <x:c r="BW812" s="9" t="str">
        <x:v>operational_snapshot_annual_totals_may_differ</x:v>
      </x:c>
      <x:c r="BX812" s="9" t="str">
        <x:v>official_live_dashboard_snapshot_subject_to_revision</x:v>
      </x:c>
      <x:c r="BY812" s="9" t="str">
        <x:v>https://tbdashboard.sitb.id/ss_data_tbc03so_2025_provinsi_bulanan_list.php</x:v>
      </x:c>
      <x:c r="BZ812" s="6" t="n">
        <x:v>46246.610671296294</x:v>
      </x:c>
    </x:row>
    <x:row r="813" ht="18" customHeight="1">
      <x:c r="A813" s="6" t="str">
        <x:v>92</x:v>
      </x:c>
      <x:c r="B813" s="6" t="str">
        <x:v>PAPUA BARAT DAYA</x:v>
      </x:c>
      <x:c r="C813" s="6" t="str">
        <x:v>2025</x:v>
      </x:c>
      <x:c r="D813" s="6" t="str">
        <x:v>8</x:v>
      </x:c>
      <x:c r="E813" s="6" t="str">
        <x:v>2025-08</x:v>
      </x:c>
      <x:c r="F813" s="6" t="str">
        <x:v>146</x:v>
      </x:c>
      <x:c r="G813" s="6" t="str">
        <x:v>26</x:v>
      </x:c>
      <x:c r="H813" s="6" t="str">
        <x:v>76</x:v>
      </x:c>
      <x:c r="I813" s="6" t="str">
        <x:v>33</x:v>
      </x:c>
      <x:c r="J813" s="6" t="str">
        <x:v>6</x:v>
      </x:c>
      <x:c r="K813" s="6" t="str">
        <x:v>1</x:v>
      </x:c>
      <x:c r="L813" s="6" t="str">
        <x:v>0</x:v>
      </x:c>
      <x:c r="M813" s="6" t="str">
        <x:v>4</x:v>
      </x:c>
      <x:c r="N813" s="6" t="str">
        <x:v>146</x:v>
      </x:c>
      <x:c r="O813" s="6" t="str">
        <x:v>0</x:v>
      </x:c>
      <x:c r="P813" s="10" t="n">
        <x:f>F813-M813</x:f>
        <x:v>142</x:v>
      </x:c>
      <x:c r="Q813" s="11" t="n">
        <x:f>IFERROR(M813/F813,"")</x:f>
        <x:v>0.0273972602739726</x:v>
      </x:c>
      <x:c r="R813" s="10" t="n">
        <x:f>G813+H813</x:f>
        <x:v>102</x:v>
      </x:c>
      <x:c r="S813" s="11" t="n">
        <x:f>IFERROR(R813/F813,"")</x:f>
        <x:v>0.6986301369863014</x:v>
      </x:c>
      <x:c r="T813" s="11" t="n">
        <x:f>IFERROR(R813/P813,"")</x:f>
        <x:v>0.7183098591549296</x:v>
      </x:c>
      <x:c r="U813" s="10" t="n">
        <x:f>I813+J813+K813</x:f>
        <x:v>40</x:v>
      </x:c>
      <x:c r="V813" s="11" t="n">
        <x:f>IFERROR(U813/P813,"")</x:f>
        <x:v>0.28169014084507044</x:v>
      </x:c>
      <x:c r="W813" s="9" t="str">
        <x:v>mature_le_5pct_pending</x:v>
      </x:c>
      <x:c r="X813" s="12" t="n">
        <x:f>IFERROR(F813/Z813*100000,"")</x:f>
        <x:v>22.94154619736015</x:v>
      </x:c>
      <x:c r="Y813" s="13" t="n">
        <x:f>LN(Z813)</x:f>
        <x:v>13.363582575445768</x:v>
      </x:c>
      <x:c r="Z813" s="6" t="str">
        <x:v>636400</x:v>
      </x:c>
      <x:c r="AA813" s="6" t="str">
        <x:v>16.0</x:v>
      </x:c>
      <x:c r="AB813" s="9" t="str">
        <x:v>2025-06-30</x:v>
      </x:c>
      <x:c r="AC813" s="8" t="str">
        <x:v>43.0</x:v>
      </x:c>
      <x:c r="AD813" s="9" t="str">
        <x:v>2025 (Susenas)</x:v>
      </x:c>
      <x:c r="AE813" s="8" t="str">
        <x:v>17.95</x:v>
      </x:c>
      <x:c r="AF813" s="9" t="str">
        <x:v>Maret 2025 (Susenas)</x:v>
      </x:c>
      <x:c r="AG813" s="6" t="str">
        <x:v>26.112519282272277</x:v>
      </x:c>
      <x:c r="AH813" s="8" t="str">
        <x:v>88.5647151156752</x:v>
      </x:c>
      <x:c r="AI813" s="6" t="str">
        <x:v>433.9388665670949</x:v>
      </x:c>
      <x:c r="AJ813" s="6" t="str">
        <x:v>0.5737833010911331</x:v>
      </x:c>
      <x:c r="AK813" s="8" t="str">
        <x:v>1.4815684371002895</x:v>
      </x:c>
      <x:c r="AL813" s="6" t="str">
        <x:v>2.1225091142917565</x:v>
      </x:c>
      <x:c r="AM813" s="6" t="str">
        <x:v>1.517853894607612</x:v>
      </x:c>
      <x:c r="AN813" s="6" t="str">
        <x:v>1.707310481999886</x:v>
      </x:c>
      <x:c r="AO813" s="6" t="str">
        <x:v>1.5207708956807409</x:v>
      </x:c>
      <x:c r="AP813" s="8" t="str">
        <x:v>0.7624974948329212</x:v>
      </x:c>
      <x:c r="AQ813" s="6" t="str">
        <x:v>-0.704026327929354</x:v>
      </x:c>
      <x:c r="AR813" s="6" t="str">
        <x:v>-0.6737108461216053</x:v>
      </x:c>
      <x:c r="AS813" s="6" t="str">
        <x:v>-0.2050798930726798</x:v>
      </x:c>
      <x:c r="AT813" s="6" t="str">
        <x:v>199.07561141885884</x:v>
      </x:c>
      <x:c r="AU813" s="8" t="str">
        <x:v>1.2805755288292324</x:v>
      </x:c>
      <x:c r="AV813" s="6" t="str">
        <x:v>0.2132093061384144</x:v>
      </x:c>
      <x:c r="AW813" s="6" t="str">
        <x:v>0.6486788783233707</x:v>
      </x:c>
      <x:c r="AX813" s="6" t="str">
        <x:v>0.7141545710970055</x:v>
      </x:c>
      <x:c r="AY813" s="6" t="str">
        <x:v>1</x:v>
      </x:c>
      <x:c r="AZ813" s="6" t="str">
        <x:v>1</x:v>
      </x:c>
      <x:c r="BA813" s="9" t="str">
        <x:v>grid_cells_within_BIG_polygon</x:v>
      </x:c>
      <x:c r="BB813" s="6" t="str">
        <x:v>8</x:v>
      </x:c>
      <x:c r="BC813" s="6" t="str">
        <x:v>0</x:v>
      </x:c>
      <x:c r="BD813" s="6" t="str">
        <x:v>0</x:v>
      </x:c>
      <x:c r="BE813" s="6" t="str">
        <x:v>0</x:v>
      </x:c>
      <x:c r="BF813" s="6" t="str">
        <x:v>0</x:v>
      </x:c>
      <x:c r="BG813" s="6" t="str">
        <x:v>0</x:v>
      </x:c>
      <x:c r="BH813" s="6" t="str">
        <x:v>0</x:v>
      </x:c>
      <x:c r="BI813" s="6" t="str">
        <x:v>0</x:v>
      </x:c>
      <x:c r="BJ813" s="6" t="str">
        <x:v>0</x:v>
      </x:c>
      <x:c r="BK813" s="6" t="str">
        <x:v>0</x:v>
      </x:c>
      <x:c r="BL813" s="6" t="str">
        <x:v>0</x:v>
      </x:c>
      <x:c r="BM813" s="6" t="str">
        <x:v>0</x:v>
      </x:c>
      <x:c r="BN813" s="6" t="str">
        <x:v>0</x:v>
      </x:c>
      <x:c r="BO813" s="6" t="str"/>
      <x:c r="BP813" s="6" t="str">
        <x:v>0</x:v>
      </x:c>
      <x:c r="BQ813" s="6" t="str"/>
      <x:c r="BR813" s="6" t="str">
        <x:v>0</x:v>
      </x:c>
      <x:c r="BS813" s="6" t="str"/>
      <x:c r="BT813" s="6" t="str">
        <x:v>0</x:v>
      </x:c>
      <x:c r="BU813" s="6" t="str"/>
      <x:c r="BV813" s="6" t="str">
        <x:v>0</x:v>
      </x:c>
      <x:c r="BW813" s="9" t="str">
        <x:v>operational_snapshot_annual_totals_may_differ</x:v>
      </x:c>
      <x:c r="BX813" s="9" t="str">
        <x:v>official_live_dashboard_snapshot_subject_to_revision</x:v>
      </x:c>
      <x:c r="BY813" s="9" t="str">
        <x:v>https://tbdashboard.sitb.id/ss_data_tbc03so_2025_provinsi_bulanan_list.php</x:v>
      </x:c>
      <x:c r="BZ813" s="6" t="n">
        <x:v>46246.610671296294</x:v>
      </x:c>
    </x:row>
    <x:row r="814" ht="18" customHeight="1">
      <x:c r="A814" s="6" t="str">
        <x:v>92</x:v>
      </x:c>
      <x:c r="B814" s="6" t="str">
        <x:v>PAPUA BARAT DAYA</x:v>
      </x:c>
      <x:c r="C814" s="6" t="str">
        <x:v>2025</x:v>
      </x:c>
      <x:c r="D814" s="6" t="str">
        <x:v>9</x:v>
      </x:c>
      <x:c r="E814" s="6" t="str">
        <x:v>2025-09</x:v>
      </x:c>
      <x:c r="F814" s="6" t="str">
        <x:v>225</x:v>
      </x:c>
      <x:c r="G814" s="6" t="str">
        <x:v>29</x:v>
      </x:c>
      <x:c r="H814" s="6" t="str">
        <x:v>131</x:v>
      </x:c>
      <x:c r="I814" s="6" t="str">
        <x:v>40</x:v>
      </x:c>
      <x:c r="J814" s="6" t="str">
        <x:v>12</x:v>
      </x:c>
      <x:c r="K814" s="6" t="str">
        <x:v>0</x:v>
      </x:c>
      <x:c r="L814" s="6" t="str">
        <x:v>0</x:v>
      </x:c>
      <x:c r="M814" s="6" t="str">
        <x:v>13</x:v>
      </x:c>
      <x:c r="N814" s="6" t="str">
        <x:v>225</x:v>
      </x:c>
      <x:c r="O814" s="6" t="str">
        <x:v>0</x:v>
      </x:c>
      <x:c r="P814" s="10" t="n">
        <x:f>F814-M814</x:f>
        <x:v>212</x:v>
      </x:c>
      <x:c r="Q814" s="11" t="n">
        <x:f>IFERROR(M814/F814,"")</x:f>
        <x:v>0.057777777777777775</x:v>
      </x:c>
      <x:c r="R814" s="10" t="n">
        <x:f>G814+H814</x:f>
        <x:v>160</x:v>
      </x:c>
      <x:c r="S814" s="11" t="n">
        <x:f>IFERROR(R814/F814,"")</x:f>
        <x:v>0.7111111111111111</x:v>
      </x:c>
      <x:c r="T814" s="11" t="n">
        <x:f>IFERROR(R814/P814,"")</x:f>
        <x:v>0.7547169811320755</x:v>
      </x:c>
      <x:c r="U814" s="10" t="n">
        <x:f>I814+J814+K814</x:f>
        <x:v>52</x:v>
      </x:c>
      <x:c r="V814" s="11" t="n">
        <x:f>IFERROR(U814/P814,"")</x:f>
        <x:v>0.24528301886792453</x:v>
      </x:c>
      <x:c r="W814" s="9" t="str">
        <x:v>provisional_gt_5pct_pending</x:v>
      </x:c>
      <x:c r="X814" s="12" t="n">
        <x:f>IFERROR(F814/Z814*100000,"")</x:f>
        <x:v>35.35512256442489</x:v>
      </x:c>
      <x:c r="Y814" s="13" t="n">
        <x:f>LN(Z814)</x:f>
        <x:v>13.363582575445768</x:v>
      </x:c>
      <x:c r="Z814" s="6" t="str">
        <x:v>636400</x:v>
      </x:c>
      <x:c r="AA814" s="6" t="str">
        <x:v>16.0</x:v>
      </x:c>
      <x:c r="AB814" s="9" t="str">
        <x:v>2025-06-30</x:v>
      </x:c>
      <x:c r="AC814" s="8" t="str">
        <x:v>43.0</x:v>
      </x:c>
      <x:c r="AD814" s="9" t="str">
        <x:v>2025 (Susenas)</x:v>
      </x:c>
      <x:c r="AE814" s="8" t="str">
        <x:v>17.95</x:v>
      </x:c>
      <x:c r="AF814" s="9" t="str">
        <x:v>Maret 2025 (Susenas)</x:v>
      </x:c>
      <x:c r="AG814" s="6" t="str">
        <x:v>26.64627582798509</x:v>
      </x:c>
      <x:c r="AH814" s="8" t="str">
        <x:v>86.66596471030424</x:v>
      </x:c>
      <x:c r="AI814" s="6" t="str">
        <x:v>367.7047732629829</x:v>
      </x:c>
      <x:c r="AJ814" s="6" t="str">
        <x:v>0.7263808700918126</x:v>
      </x:c>
      <x:c r="AK814" s="8" t="str">
        <x:v>2.131014895548893</x:v>
      </x:c>
      <x:c r="AL814" s="6" t="str">
        <x:v>1.4815684371002895</x:v>
      </x:c>
      <x:c r="AM814" s="6" t="str">
        <x:v>2.1225091142917565</x:v>
      </x:c>
      <x:c r="AN814" s="6" t="str">
        <x:v>1.9116974823136468</x:v>
      </x:c>
      <x:c r="AO814" s="6" t="str">
        <x:v>0.4647096650068789</x:v>
      </x:c>
      <x:c r="AP814" s="8" t="str">
        <x:v>0.184203675020296</x:v>
      </x:c>
      <x:c r="AQ814" s="6" t="str">
        <x:v>0.7624974948329212</x:v>
      </x:c>
      <x:c r="AR814" s="6" t="str">
        <x:v>-0.704026327929354</x:v>
      </x:c>
      <x:c r="AS814" s="6" t="str">
        <x:v>0.0808916139746206</x:v>
      </x:c>
      <x:c r="AT814" s="6" t="str">
        <x:v>148.836666245276</x:v>
      </x:c>
      <x:c r="AU814" s="8" t="str">
        <x:v>1.1966568413990657</x:v>
      </x:c>
      <x:c r="AV814" s="6" t="str">
        <x:v>1.2805755288292324</x:v>
      </x:c>
      <x:c r="AW814" s="6" t="str">
        <x:v>0.2132093061384144</x:v>
      </x:c>
      <x:c r="AX814" s="6" t="str">
        <x:v>0.8968138921222373</x:v>
      </x:c>
      <x:c r="AY814" s="6" t="str">
        <x:v>1</x:v>
      </x:c>
      <x:c r="AZ814" s="6" t="str">
        <x:v>1</x:v>
      </x:c>
      <x:c r="BA814" s="9" t="str">
        <x:v>grid_cells_within_BIG_polygon</x:v>
      </x:c>
      <x:c r="BB814" s="6" t="str">
        <x:v>8</x:v>
      </x:c>
      <x:c r="BC814" s="6" t="str">
        <x:v>3</x:v>
      </x:c>
      <x:c r="BD814" s="6" t="str">
        <x:v>3</x:v>
      </x:c>
      <x:c r="BE814" s="6" t="str">
        <x:v>2</x:v>
      </x:c>
      <x:c r="BF814" s="6" t="str">
        <x:v>1</x:v>
      </x:c>
      <x:c r="BG814" s="6" t="str">
        <x:v>0</x:v>
      </x:c>
      <x:c r="BH814" s="6" t="str">
        <x:v>0</x:v>
      </x:c>
      <x:c r="BI814" s="6" t="str">
        <x:v>0</x:v>
      </x:c>
      <x:c r="BJ814" s="6" t="str">
        <x:v>0</x:v>
      </x:c>
      <x:c r="BK814" s="6" t="str">
        <x:v>0</x:v>
      </x:c>
      <x:c r="BL814" s="6" t="str">
        <x:v>0</x:v>
      </x:c>
      <x:c r="BM814" s="6" t="str">
        <x:v>0</x:v>
      </x:c>
      <x:c r="BN814" s="6" t="str">
        <x:v>3</x:v>
      </x:c>
      <x:c r="BO814" s="6" t="str"/>
      <x:c r="BP814" s="6" t="str">
        <x:v>0</x:v>
      </x:c>
      <x:c r="BQ814" s="6" t="str"/>
      <x:c r="BR814" s="6" t="str">
        <x:v>0</x:v>
      </x:c>
      <x:c r="BS814" s="6" t="str">
        <x:v>0.0</x:v>
      </x:c>
      <x:c r="BT814" s="6" t="str">
        <x:v>3</x:v>
      </x:c>
      <x:c r="BU814" s="6" t="str">
        <x:v>1818.0</x:v>
      </x:c>
      <x:c r="BV814" s="6" t="str">
        <x:v>2</x:v>
      </x:c>
      <x:c r="BW814" s="9" t="str">
        <x:v>operational_snapshot_annual_totals_may_differ</x:v>
      </x:c>
      <x:c r="BX814" s="9" t="str">
        <x:v>official_live_dashboard_snapshot_subject_to_revision</x:v>
      </x:c>
      <x:c r="BY814" s="9" t="str">
        <x:v>https://tbdashboard.sitb.id/ss_data_tbc03so_2025_provinsi_bulanan_list.php</x:v>
      </x:c>
      <x:c r="BZ814" s="6" t="n">
        <x:v>46246.610671296294</x:v>
      </x:c>
    </x:row>
    <x:row r="815" ht="18" customHeight="1">
      <x:c r="A815" s="6" t="str">
        <x:v>92</x:v>
      </x:c>
      <x:c r="B815" s="6" t="str">
        <x:v>PAPUA BARAT DAYA</x:v>
      </x:c>
      <x:c r="C815" s="6" t="str">
        <x:v>2025</x:v>
      </x:c>
      <x:c r="D815" s="6" t="str">
        <x:v>10</x:v>
      </x:c>
      <x:c r="E815" s="6" t="str">
        <x:v>2025-10</x:v>
      </x:c>
      <x:c r="F815" s="6" t="str">
        <x:v>183</x:v>
      </x:c>
      <x:c r="G815" s="6" t="str">
        <x:v>22</x:v>
      </x:c>
      <x:c r="H815" s="6" t="str">
        <x:v>101</x:v>
      </x:c>
      <x:c r="I815" s="6" t="str">
        <x:v>29</x:v>
      </x:c>
      <x:c r="J815" s="6" t="str">
        <x:v>8</x:v>
      </x:c>
      <x:c r="K815" s="6" t="str">
        <x:v>0</x:v>
      </x:c>
      <x:c r="L815" s="6" t="str">
        <x:v>0</x:v>
      </x:c>
      <x:c r="M815" s="6" t="str">
        <x:v>23</x:v>
      </x:c>
      <x:c r="N815" s="6" t="str">
        <x:v>183</x:v>
      </x:c>
      <x:c r="O815" s="6" t="str">
        <x:v>0</x:v>
      </x:c>
      <x:c r="P815" s="10" t="n">
        <x:f>F815-M815</x:f>
        <x:v>160</x:v>
      </x:c>
      <x:c r="Q815" s="11" t="n">
        <x:f>IFERROR(M815/F815,"")</x:f>
        <x:v>0.12568306010928962</x:v>
      </x:c>
      <x:c r="R815" s="10" t="n">
        <x:f>G815+H815</x:f>
        <x:v>123</x:v>
      </x:c>
      <x:c r="S815" s="11" t="n">
        <x:f>IFERROR(R815/F815,"")</x:f>
        <x:v>0.6721311475409836</x:v>
      </x:c>
      <x:c r="T815" s="11" t="n">
        <x:f>IFERROR(R815/P815,"")</x:f>
        <x:v>0.76875</x:v>
      </x:c>
      <x:c r="U815" s="10" t="n">
        <x:f>I815+J815+K815</x:f>
        <x:v>37</x:v>
      </x:c>
      <x:c r="V815" s="11" t="n">
        <x:f>IFERROR(U815/P815,"")</x:f>
        <x:v>0.23125</x:v>
      </x:c>
      <x:c r="W815" s="9" t="str">
        <x:v>provisional_gt_5pct_pending</x:v>
      </x:c>
      <x:c r="X815" s="12" t="n">
        <x:f>IFERROR(F815/Z815*100000,"")</x:f>
        <x:v>28.755499685732243</x:v>
      </x:c>
      <x:c r="Y815" s="13" t="n">
        <x:f>LN(Z815)</x:f>
        <x:v>13.363582575445768</x:v>
      </x:c>
      <x:c r="Z815" s="6" t="str">
        <x:v>636400</x:v>
      </x:c>
      <x:c r="AA815" s="6" t="str">
        <x:v>16.0</x:v>
      </x:c>
      <x:c r="AB815" s="9" t="str">
        <x:v>2025-06-30</x:v>
      </x:c>
      <x:c r="AC815" s="8" t="str">
        <x:v>43.0</x:v>
      </x:c>
      <x:c r="AD815" s="9" t="str">
        <x:v>2025 (Susenas)</x:v>
      </x:c>
      <x:c r="AE815" s="8" t="str">
        <x:v>17.95</x:v>
      </x:c>
      <x:c r="AF815" s="9" t="str">
        <x:v>Maret 2025 (Susenas)</x:v>
      </x:c>
      <x:c r="AG815" s="6" t="str">
        <x:v>27.047524328584743</x:v>
      </x:c>
      <x:c r="AH815" s="8" t="str">
        <x:v>84.83847056630721</x:v>
      </x:c>
      <x:c r="AI815" s="6" t="str">
        <x:v>215.6855564567037</x:v>
      </x:c>
      <x:c r="AJ815" s="6" t="str">
        <x:v>0.5304191448332531</x:v>
      </x:c>
      <x:c r="AK815" s="8" t="str">
        <x:v>1.5427948140707666</x:v>
      </x:c>
      <x:c r="AL815" s="6" t="str">
        <x:v>2.131014895548893</x:v>
      </x:c>
      <x:c r="AM815" s="6" t="str">
        <x:v>1.4815684371002895</x:v>
      </x:c>
      <x:c r="AN815" s="6" t="str">
        <x:v>1.7184593822399836</x:v>
      </x:c>
      <x:c r="AO815" s="6" t="str">
        <x:v>0.232352680840421</x:v>
      </x:c>
      <x:c r="AP815" s="8" t="str">
        <x:v>0.084417897700312</x:v>
      </x:c>
      <x:c r="AQ815" s="6" t="str">
        <x:v>0.184203675020296</x:v>
      </x:c>
      <x:c r="AR815" s="6" t="str">
        <x:v>0.7624974948329212</x:v>
      </x:c>
      <x:c r="AS815" s="6" t="str">
        <x:v>0.3437063558511761</x:v>
      </x:c>
      <x:c r="AT815" s="6" t="str">
        <x:v>38.79024212055273</x:v>
      </x:c>
      <x:c r="AU815" s="8" t="str">
        <x:v>0.4491617265942603</x:v>
      </x:c>
      <x:c r="AV815" s="6" t="str">
        <x:v>1.1966568413990657</x:v>
      </x:c>
      <x:c r="AW815" s="6" t="str">
        <x:v>1.2805755288292324</x:v>
      </x:c>
      <x:c r="AX815" s="6" t="str">
        <x:v>0.9754646989408524</x:v>
      </x:c>
      <x:c r="AY815" s="6" t="str">
        <x:v>0</x:v>
      </x:c>
      <x:c r="AZ815" s="6" t="str">
        <x:v>1</x:v>
      </x:c>
      <x:c r="BA815" s="9" t="str">
        <x:v>grid_cells_within_BIG_polygon</x:v>
      </x:c>
      <x:c r="BB815" s="6" t="str">
        <x:v>8</x:v>
      </x:c>
      <x:c r="BC815" s="6" t="str">
        <x:v>0</x:v>
      </x:c>
      <x:c r="BD815" s="6" t="str">
        <x:v>0</x:v>
      </x:c>
      <x:c r="BE815" s="6" t="str">
        <x:v>0</x:v>
      </x:c>
      <x:c r="BF815" s="6" t="str">
        <x:v>0</x:v>
      </x:c>
      <x:c r="BG815" s="6" t="str">
        <x:v>0</x:v>
      </x:c>
      <x:c r="BH815" s="6" t="str">
        <x:v>0</x:v>
      </x:c>
      <x:c r="BI815" s="6" t="str">
        <x:v>0</x:v>
      </x:c>
      <x:c r="BJ815" s="6" t="str">
        <x:v>0</x:v>
      </x:c>
      <x:c r="BK815" s="6" t="str">
        <x:v>0</x:v>
      </x:c>
      <x:c r="BL815" s="6" t="str">
        <x:v>0</x:v>
      </x:c>
      <x:c r="BM815" s="6" t="str">
        <x:v>0</x:v>
      </x:c>
      <x:c r="BN815" s="6" t="str">
        <x:v>0</x:v>
      </x:c>
      <x:c r="BO815" s="6" t="str"/>
      <x:c r="BP815" s="6" t="str">
        <x:v>0</x:v>
      </x:c>
      <x:c r="BQ815" s="6" t="str"/>
      <x:c r="BR815" s="6" t="str">
        <x:v>0</x:v>
      </x:c>
      <x:c r="BS815" s="6" t="str"/>
      <x:c r="BT815" s="6" t="str">
        <x:v>0</x:v>
      </x:c>
      <x:c r="BU815" s="6" t="str"/>
      <x:c r="BV815" s="6" t="str">
        <x:v>0</x:v>
      </x:c>
      <x:c r="BW815" s="9" t="str">
        <x:v>operational_snapshot_annual_totals_may_differ</x:v>
      </x:c>
      <x:c r="BX815" s="9" t="str">
        <x:v>official_live_dashboard_snapshot_subject_to_revision</x:v>
      </x:c>
      <x:c r="BY815" s="9" t="str">
        <x:v>https://tbdashboard.sitb.id/ss_data_tbc03so_2025_provinsi_bulanan_list.php</x:v>
      </x:c>
      <x:c r="BZ815" s="6" t="n">
        <x:v>46246.610671296294</x:v>
      </x:c>
    </x:row>
    <x:row r="816" ht="18" customHeight="1">
      <x:c r="A816" s="6" t="str">
        <x:v>92</x:v>
      </x:c>
      <x:c r="B816" s="6" t="str">
        <x:v>PAPUA BARAT DAYA</x:v>
      </x:c>
      <x:c r="C816" s="6" t="str">
        <x:v>2025</x:v>
      </x:c>
      <x:c r="D816" s="6" t="str">
        <x:v>11</x:v>
      </x:c>
      <x:c r="E816" s="6" t="str">
        <x:v>2025-11</x:v>
      </x:c>
      <x:c r="F816" s="6" t="str">
        <x:v>179</x:v>
      </x:c>
      <x:c r="G816" s="6" t="str">
        <x:v>27</x:v>
      </x:c>
      <x:c r="H816" s="6" t="str">
        <x:v>92</x:v>
      </x:c>
      <x:c r="I816" s="6" t="str">
        <x:v>31</x:v>
      </x:c>
      <x:c r="J816" s="6" t="str">
        <x:v>8</x:v>
      </x:c>
      <x:c r="K816" s="6" t="str">
        <x:v>0</x:v>
      </x:c>
      <x:c r="L816" s="6" t="str">
        <x:v>0</x:v>
      </x:c>
      <x:c r="M816" s="6" t="str">
        <x:v>21</x:v>
      </x:c>
      <x:c r="N816" s="6" t="str">
        <x:v>179</x:v>
      </x:c>
      <x:c r="O816" s="6" t="str">
        <x:v>0</x:v>
      </x:c>
      <x:c r="P816" s="10" t="n">
        <x:f>F816-M816</x:f>
        <x:v>158</x:v>
      </x:c>
      <x:c r="Q816" s="11" t="n">
        <x:f>IFERROR(M816/F816,"")</x:f>
        <x:v>0.11731843575418995</x:v>
      </x:c>
      <x:c r="R816" s="10" t="n">
        <x:f>G816+H816</x:f>
        <x:v>119</x:v>
      </x:c>
      <x:c r="S816" s="11" t="n">
        <x:f>IFERROR(R816/F816,"")</x:f>
        <x:v>0.664804469273743</x:v>
      </x:c>
      <x:c r="T816" s="11" t="n">
        <x:f>IFERROR(R816/P816,"")</x:f>
        <x:v>0.7531645569620253</x:v>
      </x:c>
      <x:c r="U816" s="10" t="n">
        <x:f>I816+J816+K816</x:f>
        <x:v>39</x:v>
      </x:c>
      <x:c r="V816" s="11" t="n">
        <x:f>IFERROR(U816/P816,"")</x:f>
        <x:v>0.2468354430379747</x:v>
      </x:c>
      <x:c r="W816" s="9" t="str">
        <x:v>provisional_gt_5pct_pending</x:v>
      </x:c>
      <x:c r="X816" s="12" t="n">
        <x:f>IFERROR(F816/Z816*100000,"")</x:f>
        <x:v>28.126964173475802</x:v>
      </x:c>
      <x:c r="Y816" s="13" t="n">
        <x:f>LN(Z816)</x:f>
        <x:v>13.363582575445768</x:v>
      </x:c>
      <x:c r="Z816" s="6" t="str">
        <x:v>636400</x:v>
      </x:c>
      <x:c r="AA816" s="6" t="str">
        <x:v>16.0</x:v>
      </x:c>
      <x:c r="AB816" s="9" t="str">
        <x:v>2025-06-30</x:v>
      </x:c>
      <x:c r="AC816" s="8" t="str">
        <x:v>43.0</x:v>
      </x:c>
      <x:c r="AD816" s="9" t="str">
        <x:v>2025 (Susenas)</x:v>
      </x:c>
      <x:c r="AE816" s="8" t="str">
        <x:v>17.95</x:v>
      </x:c>
      <x:c r="AF816" s="9" t="str">
        <x:v>Maret 2025 (Susenas)</x:v>
      </x:c>
      <x:c r="AG816" s="6" t="str">
        <x:v>27.10877435223281</x:v>
      </x:c>
      <x:c r="AH816" s="8" t="str">
        <x:v>86.1797253066812</x:v>
      </x:c>
      <x:c r="AI816" s="6" t="str">
        <x:v>199.5024078894056</x:v>
      </x:c>
      <x:c r="AJ816" s="6" t="str">
        <x:v>0.1792981383954703</x:v>
      </x:c>
      <x:c r="AK816" s="8" t="str">
        <x:v>0.5313555594056698</x:v>
      </x:c>
      <x:c r="AL816" s="6" t="str">
        <x:v>1.5427948140707666</x:v>
      </x:c>
      <x:c r="AM816" s="6" t="str">
        <x:v>2.131014895548893</x:v>
      </x:c>
      <x:c r="AN816" s="6" t="str">
        <x:v>1.401721756341777</x:v>
      </x:c>
      <x:c r="AO816" s="6" t="str">
        <x:v>2.101854388100307</x:v>
      </x:c>
      <x:c r="AP816" s="8" t="str">
        <x:v>0.8530206725214016</x:v>
      </x:c>
      <x:c r="AQ816" s="6" t="str">
        <x:v>0.084417897700312</x:v>
      </x:c>
      <x:c r="AR816" s="6" t="str">
        <x:v>0.184203675020296</x:v>
      </x:c>
      <x:c r="AS816" s="6" t="str">
        <x:v>0.3738807484140028</x:v>
      </x:c>
      <x:c r="AT816" s="6" t="str">
        <x:v>32.785729988444814</x:v>
      </x:c>
      <x:c r="AU816" s="8" t="str">
        <x:v>0.517915439459242</x:v>
      </x:c>
      <x:c r="AV816" s="6" t="str">
        <x:v>0.4491617265942603</x:v>
      </x:c>
      <x:c r="AW816" s="6" t="str">
        <x:v>1.1966568413990657</x:v>
      </x:c>
      <x:c r="AX816" s="6" t="str">
        <x:v>0.7212446691508557</x:v>
      </x:c>
      <x:c r="AY816" s="6" t="str">
        <x:v>0</x:v>
      </x:c>
      <x:c r="AZ816" s="6" t="str">
        <x:v>0</x:v>
      </x:c>
      <x:c r="BA816" s="9" t="str">
        <x:v>grid_cells_within_BIG_polygon</x:v>
      </x:c>
      <x:c r="BB816" s="6" t="str">
        <x:v>8</x:v>
      </x:c>
      <x:c r="BC816" s="6" t="str">
        <x:v>0</x:v>
      </x:c>
      <x:c r="BD816" s="6" t="str">
        <x:v>0</x:v>
      </x:c>
      <x:c r="BE816" s="6" t="str">
        <x:v>0</x:v>
      </x:c>
      <x:c r="BF816" s="6" t="str">
        <x:v>0</x:v>
      </x:c>
      <x:c r="BG816" s="6" t="str">
        <x:v>0</x:v>
      </x:c>
      <x:c r="BH816" s="6" t="str">
        <x:v>0</x:v>
      </x:c>
      <x:c r="BI816" s="6" t="str">
        <x:v>0</x:v>
      </x:c>
      <x:c r="BJ816" s="6" t="str">
        <x:v>0</x:v>
      </x:c>
      <x:c r="BK816" s="6" t="str">
        <x:v>0</x:v>
      </x:c>
      <x:c r="BL816" s="6" t="str">
        <x:v>0</x:v>
      </x:c>
      <x:c r="BM816" s="6" t="str">
        <x:v>0</x:v>
      </x:c>
      <x:c r="BN816" s="6" t="str">
        <x:v>0</x:v>
      </x:c>
      <x:c r="BO816" s="6" t="str"/>
      <x:c r="BP816" s="6" t="str">
        <x:v>0</x:v>
      </x:c>
      <x:c r="BQ816" s="6" t="str"/>
      <x:c r="BR816" s="6" t="str">
        <x:v>0</x:v>
      </x:c>
      <x:c r="BS816" s="6" t="str"/>
      <x:c r="BT816" s="6" t="str">
        <x:v>0</x:v>
      </x:c>
      <x:c r="BU816" s="6" t="str"/>
      <x:c r="BV816" s="6" t="str">
        <x:v>0</x:v>
      </x:c>
      <x:c r="BW816" s="9" t="str">
        <x:v>operational_snapshot_annual_totals_may_differ</x:v>
      </x:c>
      <x:c r="BX816" s="9" t="str">
        <x:v>official_live_dashboard_snapshot_subject_to_revision</x:v>
      </x:c>
      <x:c r="BY816" s="9" t="str">
        <x:v>https://tbdashboard.sitb.id/ss_data_tbc03so_2025_provinsi_bulanan_list.php</x:v>
      </x:c>
      <x:c r="BZ816" s="6" t="n">
        <x:v>46246.610671296294</x:v>
      </x:c>
    </x:row>
    <x:row r="817" ht="18" customHeight="1">
      <x:c r="A817" s="6" t="str">
        <x:v>92</x:v>
      </x:c>
      <x:c r="B817" s="6" t="str">
        <x:v>PAPUA BARAT DAYA</x:v>
      </x:c>
      <x:c r="C817" s="6" t="str">
        <x:v>2025</x:v>
      </x:c>
      <x:c r="D817" s="6" t="str">
        <x:v>12</x:v>
      </x:c>
      <x:c r="E817" s="6" t="str">
        <x:v>2025-12</x:v>
      </x:c>
      <x:c r="F817" s="6" t="str">
        <x:v>138</x:v>
      </x:c>
      <x:c r="G817" s="6" t="str">
        <x:v>20</x:v>
      </x:c>
      <x:c r="H817" s="6" t="str">
        <x:v>47</x:v>
      </x:c>
      <x:c r="I817" s="6" t="str">
        <x:v>26</x:v>
      </x:c>
      <x:c r="J817" s="6" t="str">
        <x:v>8</x:v>
      </x:c>
      <x:c r="K817" s="6" t="str">
        <x:v>0</x:v>
      </x:c>
      <x:c r="L817" s="6" t="str">
        <x:v>0</x:v>
      </x:c>
      <x:c r="M817" s="6" t="str">
        <x:v>37</x:v>
      </x:c>
      <x:c r="N817" s="6" t="str">
        <x:v>138</x:v>
      </x:c>
      <x:c r="O817" s="6" t="str">
        <x:v>0</x:v>
      </x:c>
      <x:c r="P817" s="10" t="n">
        <x:f>F817-M817</x:f>
        <x:v>101</x:v>
      </x:c>
      <x:c r="Q817" s="11" t="n">
        <x:f>IFERROR(M817/F817,"")</x:f>
        <x:v>0.26811594202898553</x:v>
      </x:c>
      <x:c r="R817" s="10" t="n">
        <x:f>G817+H817</x:f>
        <x:v>67</x:v>
      </x:c>
      <x:c r="S817" s="11" t="n">
        <x:f>IFERROR(R817/F817,"")</x:f>
        <x:v>0.4855072463768116</x:v>
      </x:c>
      <x:c r="T817" s="11" t="n">
        <x:f>IFERROR(R817/P817,"")</x:f>
        <x:v>0.6633663366336634</x:v>
      </x:c>
      <x:c r="U817" s="10" t="n">
        <x:f>I817+J817+K817</x:f>
        <x:v>34</x:v>
      </x:c>
      <x:c r="V817" s="11" t="n">
        <x:f>IFERROR(U817/P817,"")</x:f>
        <x:v>0.33663366336633666</x:v>
      </x:c>
      <x:c r="W817" s="9" t="str">
        <x:v>provisional_gt_5pct_pending</x:v>
      </x:c>
      <x:c r="X817" s="12" t="n">
        <x:f>IFERROR(F817/Z817*100000,"")</x:f>
        <x:v>21.684475172847264</x:v>
      </x:c>
      <x:c r="Y817" s="13" t="n">
        <x:f>LN(Z817)</x:f>
        <x:v>13.363582575445768</x:v>
      </x:c>
      <x:c r="Z817" s="6" t="str">
        <x:v>636400</x:v>
      </x:c>
      <x:c r="AA817" s="6" t="str">
        <x:v>16.0</x:v>
      </x:c>
      <x:c r="AB817" s="9" t="str">
        <x:v>2025-06-30</x:v>
      </x:c>
      <x:c r="AC817" s="8" t="str">
        <x:v>43.0</x:v>
      </x:c>
      <x:c r="AD817" s="9" t="str">
        <x:v>2025 (Susenas)</x:v>
      </x:c>
      <x:c r="AE817" s="8" t="str">
        <x:v>17.95</x:v>
      </x:c>
      <x:c r="AF817" s="9" t="str">
        <x:v>Maret 2025 (Susenas)</x:v>
      </x:c>
      <x:c r="AG817" s="6" t="str">
        <x:v>27.02377478039984</x:v>
      </x:c>
      <x:c r="AH817" s="8" t="str">
        <x:v>86.62971216705304</x:v>
      </x:c>
      <x:c r="AI817" s="6" t="str">
        <x:v>237.88351007112908</x:v>
      </x:c>
      <x:c r="AJ817" s="6" t="str">
        <x:v>0.2025852294575507</x:v>
      </x:c>
      <x:c r="AK817" s="8" t="str">
        <x:v>0.5191140328880671</x:v>
      </x:c>
      <x:c r="AL817" s="6" t="str">
        <x:v>0.5313555594056698</x:v>
      </x:c>
      <x:c r="AM817" s="6" t="str">
        <x:v>1.5427948140707666</x:v>
      </x:c>
      <x:c r="AN817" s="6" t="str">
        <x:v>0.8644214687881681</x:v>
      </x:c>
      <x:c r="AO817" s="6" t="str">
        <x:v>1.2741127783960309</x:v>
      </x:c>
      <x:c r="AP817" s="8" t="str">
        <x:v>0.6217018842571501</x:v>
      </x:c>
      <x:c r="AQ817" s="6" t="str">
        <x:v>0.8530206725214016</x:v>
      </x:c>
      <x:c r="AR817" s="6" t="str">
        <x:v>0.084417897700312</x:v>
      </x:c>
      <x:c r="AS817" s="6" t="str">
        <x:v>0.5197134848262875</x:v>
      </x:c>
      <x:c r="AT817" s="6" t="str">
        <x:v>45.25481127094994</x:v>
      </x:c>
      <x:c r="AU817" s="8" t="str">
        <x:v>0.6846494865873036</x:v>
      </x:c>
      <x:c r="AV817" s="6" t="str">
        <x:v>0.517915439459242</x:v>
      </x:c>
      <x:c r="AW817" s="6" t="str">
        <x:v>0.4491617265942603</x:v>
      </x:c>
      <x:c r="AX817" s="6" t="str">
        <x:v>0.5505755508802684</x:v>
      </x:c>
      <x:c r="AY817" s="6" t="str">
        <x:v>0</x:v>
      </x:c>
      <x:c r="AZ817" s="6" t="str">
        <x:v>0</x:v>
      </x:c>
      <x:c r="BA817" s="9" t="str">
        <x:v>grid_cells_within_BIG_polygon</x:v>
      </x:c>
      <x:c r="BB817" s="6" t="str">
        <x:v>8</x:v>
      </x:c>
      <x:c r="BC817" s="6" t="str">
        <x:v>0</x:v>
      </x:c>
      <x:c r="BD817" s="6" t="str">
        <x:v>0</x:v>
      </x:c>
      <x:c r="BE817" s="6" t="str">
        <x:v>0</x:v>
      </x:c>
      <x:c r="BF817" s="6" t="str">
        <x:v>0</x:v>
      </x:c>
      <x:c r="BG817" s="6" t="str">
        <x:v>0</x:v>
      </x:c>
      <x:c r="BH817" s="6" t="str">
        <x:v>0</x:v>
      </x:c>
      <x:c r="BI817" s="6" t="str">
        <x:v>0</x:v>
      </x:c>
      <x:c r="BJ817" s="6" t="str">
        <x:v>0</x:v>
      </x:c>
      <x:c r="BK817" s="6" t="str">
        <x:v>0</x:v>
      </x:c>
      <x:c r="BL817" s="6" t="str">
        <x:v>0</x:v>
      </x:c>
      <x:c r="BM817" s="6" t="str">
        <x:v>0</x:v>
      </x:c>
      <x:c r="BN817" s="6" t="str">
        <x:v>0</x:v>
      </x:c>
      <x:c r="BO817" s="6" t="str"/>
      <x:c r="BP817" s="6" t="str">
        <x:v>0</x:v>
      </x:c>
      <x:c r="BQ817" s="6" t="str"/>
      <x:c r="BR817" s="6" t="str">
        <x:v>0</x:v>
      </x:c>
      <x:c r="BS817" s="6" t="str"/>
      <x:c r="BT817" s="6" t="str">
        <x:v>0</x:v>
      </x:c>
      <x:c r="BU817" s="6" t="str"/>
      <x:c r="BV817" s="6" t="str">
        <x:v>0</x:v>
      </x:c>
      <x:c r="BW817" s="9" t="str">
        <x:v>operational_snapshot_annual_totals_may_differ</x:v>
      </x:c>
      <x:c r="BX817" s="9" t="str">
        <x:v>official_live_dashboard_snapshot_subject_to_revision</x:v>
      </x:c>
      <x:c r="BY817" s="9" t="str">
        <x:v>https://tbdashboard.sitb.id/ss_data_tbc03so_2025_provinsi_bulanan_list.php</x:v>
      </x:c>
      <x:c r="BZ817" s="6" t="n">
        <x:v>46246.610671296294</x:v>
      </x:c>
    </x:row>
    <x:row r="818" ht="18" customHeight="1">
      <x:c r="A818" s="6" t="str">
        <x:v>94</x:v>
      </x:c>
      <x:c r="B818" s="6" t="str">
        <x:v>PAPUA</x:v>
      </x:c>
      <x:c r="C818" s="6" t="str">
        <x:v>2024</x:v>
      </x:c>
      <x:c r="D818" s="6" t="str">
        <x:v>1</x:v>
      </x:c>
      <x:c r="E818" s="6" t="str">
        <x:v>2024-01</x:v>
      </x:c>
      <x:c r="F818" s="6" t="str">
        <x:v>441</x:v>
      </x:c>
      <x:c r="G818" s="6" t="str">
        <x:v>91</x:v>
      </x:c>
      <x:c r="H818" s="6" t="str">
        <x:v>249</x:v>
      </x:c>
      <x:c r="I818" s="6" t="str">
        <x:v>68</x:v>
      </x:c>
      <x:c r="J818" s="6" t="str">
        <x:v>25</x:v>
      </x:c>
      <x:c r="K818" s="6" t="str">
        <x:v>1</x:v>
      </x:c>
      <x:c r="L818" s="6" t="str">
        <x:v>6</x:v>
      </x:c>
      <x:c r="M818" s="6" t="str">
        <x:v>1</x:v>
      </x:c>
      <x:c r="N818" s="6" t="str">
        <x:v>441</x:v>
      </x:c>
      <x:c r="O818" s="6" t="str">
        <x:v>0</x:v>
      </x:c>
      <x:c r="P818" s="10" t="n">
        <x:f>F818-M818</x:f>
        <x:v>440</x:v>
      </x:c>
      <x:c r="Q818" s="11" t="n">
        <x:f>IFERROR(M818/F818,"")</x:f>
        <x:v>0.0022675736961451248</x:v>
      </x:c>
      <x:c r="R818" s="10" t="n">
        <x:f>G818+H818</x:f>
        <x:v>340</x:v>
      </x:c>
      <x:c r="S818" s="11" t="n">
        <x:f>IFERROR(R818/F818,"")</x:f>
        <x:v>0.7709750566893424</x:v>
      </x:c>
      <x:c r="T818" s="11" t="n">
        <x:f>IFERROR(R818/P818,"")</x:f>
        <x:v>0.7727272727272727</x:v>
      </x:c>
      <x:c r="U818" s="10" t="n">
        <x:f>I818+J818+K818</x:f>
        <x:v>94</x:v>
      </x:c>
      <x:c r="V818" s="11" t="n">
        <x:f>IFERROR(U818/P818,"")</x:f>
        <x:v>0.21363636363636362</x:v>
      </x:c>
      <x:c r="W818" s="9" t="str">
        <x:v>mature_le_5pct_pending</x:v>
      </x:c>
      <x:c r="X818" s="12" t="n">
        <x:f>IFERROR(F818/Z818*100000,"")</x:f>
        <x:v>41.58023760135772</x:v>
      </x:c>
      <x:c r="Y818" s="13" t="n">
        <x:f>LN(Z818)</x:f>
        <x:v>13.874345343685167</x:v>
      </x:c>
      <x:c r="Z818" s="6" t="str">
        <x:v>1060600</x:v>
      </x:c>
      <x:c r="AA818" s="6" t="str">
        <x:v>13.0</x:v>
      </x:c>
      <x:c r="AB818" s="9" t="str">
        <x:v>2024-06-30</x:v>
      </x:c>
      <x:c r="AC818" s="8" t="str">
        <x:v>80.57</x:v>
      </x:c>
      <x:c r="AD818" s="9" t="str">
        <x:v>2024 (Susenas)</x:v>
      </x:c>
      <x:c r="AE818" s="8" t="str">
        <x:v>17.26</x:v>
      </x:c>
      <x:c r="AF818" s="9" t="str">
        <x:v>Maret 2024 (Susenas)</x:v>
      </x:c>
      <x:c r="AG818" s="6" t="str">
        <x:v>26.177406506010865</x:v>
      </x:c>
      <x:c r="AH818" s="8" t="str">
        <x:v>87.12805489579702</x:v>
      </x:c>
      <x:c r="AI818" s="6" t="str">
        <x:v>138.88256215241725</x:v>
      </x:c>
      <x:c r="AJ818" s="6" t="str">
        <x:v>1.0317548801292418</x:v>
      </x:c>
      <x:c r="AK818" s="8" t="str">
        <x:v>3.7321874759216462</x:v>
      </x:c>
      <x:c r="AL818" s="6" t="str">
        <x:v>2.95213587860036</x:v>
      </x:c>
      <x:c r="AM818" s="6" t="str">
        <x:v>2.6054650319331243</x:v>
      </x:c>
      <x:c r="AN818" s="6" t="str">
        <x:v>3.0965961288183776</x:v>
      </x:c>
      <x:c r="AO818" s="6" t="str">
        <x:v>-2.1007028379814727</x:v>
      </x:c>
      <x:c r="AP818" s="8" t="str">
        <x:v>-1.0439257607579364</x:v>
      </x:c>
      <x:c r="AQ818" s="6" t="str">
        <x:v>-1.0876165333876904</x:v>
      </x:c>
      <x:c r="AR818" s="6" t="str">
        <x:v>-0.5014849708615553</x:v>
      </x:c>
      <x:c r="AS818" s="6" t="str">
        <x:v>-0.8776757550023939</x:v>
      </x:c>
      <x:c r="AT818" s="6" t="str">
        <x:v>-80.2768389560008</x:v>
      </x:c>
      <x:c r="AU818" s="8" t="str">
        <x:v>-1.1944708723657336</x:v>
      </x:c>
      <x:c r="AV818" s="6" t="str">
        <x:v>-0.9654335140632228</x:v>
      </x:c>
      <x:c r="AW818" s="6" t="str">
        <x:v>-1.5000723205327002</x:v>
      </x:c>
      <x:c r="AX818" s="6" t="str">
        <x:v>-1.219992235653885</x:v>
      </x:c>
      <x:c r="AY818" s="6" t="str">
        <x:v>0</x:v>
      </x:c>
      <x:c r="AZ818" s="6" t="str">
        <x:v>1</x:v>
      </x:c>
      <x:c r="BA818" s="9" t="str">
        <x:v>grid_cells_within_BIG_polygon</x:v>
      </x:c>
      <x:c r="BB818" s="6" t="str">
        <x:v>19</x:v>
      </x:c>
      <x:c r="BC818" s="6" t="str">
        <x:v>1</x:v>
      </x:c>
      <x:c r="BD818" s="6" t="str">
        <x:v>1</x:v>
      </x:c>
      <x:c r="BE818" s="6" t="str">
        <x:v>1</x:v>
      </x:c>
      <x:c r="BF818" s="6" t="str">
        <x:v>0</x:v>
      </x:c>
      <x:c r="BG818" s="6" t="str">
        <x:v>0</x:v>
      </x:c>
      <x:c r="BH818" s="6" t="str">
        <x:v>0</x:v>
      </x:c>
      <x:c r="BI818" s="6" t="str">
        <x:v>0</x:v>
      </x:c>
      <x:c r="BJ818" s="6" t="str">
        <x:v>0</x:v>
      </x:c>
      <x:c r="BK818" s="6" t="str">
        <x:v>0</x:v>
      </x:c>
      <x:c r="BL818" s="6" t="str">
        <x:v>0</x:v>
      </x:c>
      <x:c r="BM818" s="6" t="str">
        <x:v>0</x:v>
      </x:c>
      <x:c r="BN818" s="6" t="str">
        <x:v>1</x:v>
      </x:c>
      <x:c r="BO818" s="6" t="str">
        <x:v>0.0</x:v>
      </x:c>
      <x:c r="BP818" s="6" t="str">
        <x:v>1</x:v>
      </x:c>
      <x:c r="BQ818" s="6" t="str">
        <x:v>0.0</x:v>
      </x:c>
      <x:c r="BR818" s="6" t="str">
        <x:v>1</x:v>
      </x:c>
      <x:c r="BS818" s="6" t="str">
        <x:v>0.0</x:v>
      </x:c>
      <x:c r="BT818" s="6" t="str">
        <x:v>1</x:v>
      </x:c>
      <x:c r="BU818" s="6" t="str">
        <x:v>39.0</x:v>
      </x:c>
      <x:c r="BV818" s="6" t="str">
        <x:v>1</x:v>
      </x:c>
      <x:c r="BW818" s="9" t="str">
        <x:v>operational_snapshot_annual_totals_may_differ</x:v>
      </x:c>
      <x:c r="BX818" s="9" t="str">
        <x:v>official_live_dashboard_snapshot_subject_to_revision</x:v>
      </x:c>
      <x:c r="BY818" s="9" t="str">
        <x:v>https://tbdashboard.sitb.id/ss_data_tbc03so_2024_provinsi_bulanan_list.php</x:v>
      </x:c>
      <x:c r="BZ818" s="6" t="n">
        <x:v>46246.610671296294</x:v>
      </x:c>
    </x:row>
    <x:row r="819" ht="18" customHeight="1">
      <x:c r="A819" s="6" t="str">
        <x:v>94</x:v>
      </x:c>
      <x:c r="B819" s="6" t="str">
        <x:v>PAPUA</x:v>
      </x:c>
      <x:c r="C819" s="6" t="str">
        <x:v>2024</x:v>
      </x:c>
      <x:c r="D819" s="6" t="str">
        <x:v>2</x:v>
      </x:c>
      <x:c r="E819" s="6" t="str">
        <x:v>2024-02</x:v>
      </x:c>
      <x:c r="F819" s="6" t="str">
        <x:v>437</x:v>
      </x:c>
      <x:c r="G819" s="6" t="str">
        <x:v>105</x:v>
      </x:c>
      <x:c r="H819" s="6" t="str">
        <x:v>250</x:v>
      </x:c>
      <x:c r="I819" s="6" t="str">
        <x:v>55</x:v>
      </x:c>
      <x:c r="J819" s="6" t="str">
        <x:v>23</x:v>
      </x:c>
      <x:c r="K819" s="6" t="str">
        <x:v>1</x:v>
      </x:c>
      <x:c r="L819" s="6" t="str">
        <x:v>2</x:v>
      </x:c>
      <x:c r="M819" s="6" t="str">
        <x:v>1</x:v>
      </x:c>
      <x:c r="N819" s="6" t="str">
        <x:v>437</x:v>
      </x:c>
      <x:c r="O819" s="6" t="str">
        <x:v>0</x:v>
      </x:c>
      <x:c r="P819" s="10" t="n">
        <x:f>F819-M819</x:f>
        <x:v>436</x:v>
      </x:c>
      <x:c r="Q819" s="11" t="n">
        <x:f>IFERROR(M819/F819,"")</x:f>
        <x:v>0.002288329519450801</x:v>
      </x:c>
      <x:c r="R819" s="10" t="n">
        <x:f>G819+H819</x:f>
        <x:v>355</x:v>
      </x:c>
      <x:c r="S819" s="11" t="n">
        <x:f>IFERROR(R819/F819,"")</x:f>
        <x:v>0.8123569794050344</x:v>
      </x:c>
      <x:c r="T819" s="11" t="n">
        <x:f>IFERROR(R819/P819,"")</x:f>
        <x:v>0.8142201834862385</x:v>
      </x:c>
      <x:c r="U819" s="10" t="n">
        <x:f>I819+J819+K819</x:f>
        <x:v>79</x:v>
      </x:c>
      <x:c r="V819" s="11" t="n">
        <x:f>IFERROR(U819/P819,"")</x:f>
        <x:v>0.1811926605504587</x:v>
      </x:c>
      <x:c r="W819" s="9" t="str">
        <x:v>mature_le_5pct_pending</x:v>
      </x:c>
      <x:c r="X819" s="12" t="n">
        <x:f>IFERROR(F819/Z819*100000,"")</x:f>
        <x:v>41.203092589100514</x:v>
      </x:c>
      <x:c r="Y819" s="13" t="n">
        <x:f>LN(Z819)</x:f>
        <x:v>13.874345343685167</x:v>
      </x:c>
      <x:c r="Z819" s="6" t="str">
        <x:v>1060600</x:v>
      </x:c>
      <x:c r="AA819" s="6" t="str">
        <x:v>13.0</x:v>
      </x:c>
      <x:c r="AB819" s="9" t="str">
        <x:v>2024-06-30</x:v>
      </x:c>
      <x:c r="AC819" s="8" t="str">
        <x:v>80.57</x:v>
      </x:c>
      <x:c r="AD819" s="9" t="str">
        <x:v>2024 (Susenas)</x:v>
      </x:c>
      <x:c r="AE819" s="8" t="str">
        <x:v>17.26</x:v>
      </x:c>
      <x:c r="AF819" s="9" t="str">
        <x:v>Maret 2024 (Susenas)</x:v>
      </x:c>
      <x:c r="AG819" s="6" t="str">
        <x:v>26.123175201845665</x:v>
      </x:c>
      <x:c r="AH819" s="8" t="str">
        <x:v>86.85087245495858</x:v>
      </x:c>
      <x:c r="AI819" s="6" t="str">
        <x:v>131.3568151924747</x:v>
      </x:c>
      <x:c r="AJ819" s="6" t="str">
        <x:v>1.1148706274783071</x:v>
      </x:c>
      <x:c r="AK819" s="8" t="str">
        <x:v>3.7021728523779136</x:v>
      </x:c>
      <x:c r="AL819" s="6" t="str">
        <x:v>3.7321874759216462</x:v>
      </x:c>
      <x:c r="AM819" s="6" t="str">
        <x:v>2.95213587860036</x:v>
      </x:c>
      <x:c r="AN819" s="6" t="str">
        <x:v>3.462165402299973</x:v>
      </x:c>
      <x:c r="AO819" s="6" t="str">
        <x:v>-2.672366887431224</x:v>
      </x:c>
      <x:c r="AP819" s="8" t="str">
        <x:v>-1.2211482268221865</x:v>
      </x:c>
      <x:c r="AQ819" s="6" t="str">
        <x:v>-1.0439257607579364</x:v>
      </x:c>
      <x:c r="AR819" s="6" t="str">
        <x:v>-1.0876165333876904</x:v>
      </x:c>
      <x:c r="AS819" s="6" t="str">
        <x:v>-1.117563506989271</x:v>
      </x:c>
      <x:c r="AT819" s="6" t="str">
        <x:v>-71.62471771714127</x:v>
      </x:c>
      <x:c r="AU819" s="8" t="str">
        <x:v>-1.2691851632443418</x:v>
      </x:c>
      <x:c r="AV819" s="6" t="str">
        <x:v>-1.1944708723657336</x:v>
      </x:c>
      <x:c r="AW819" s="6" t="str">
        <x:v>-0.9654335140632228</x:v>
      </x:c>
      <x:c r="AX819" s="6" t="str">
        <x:v>-1.1430298498910991</x:v>
      </x:c>
      <x:c r="AY819" s="6" t="str">
        <x:v>0</x:v>
      </x:c>
      <x:c r="AZ819" s="6" t="str">
        <x:v>1</x:v>
      </x:c>
      <x:c r="BA819" s="9" t="str">
        <x:v>grid_cells_within_BIG_polygon</x:v>
      </x:c>
      <x:c r="BB819" s="6" t="str">
        <x:v>19</x:v>
      </x:c>
      <x:c r="BC819" s="6" t="str">
        <x:v>1</x:v>
      </x:c>
      <x:c r="BD819" s="6" t="str">
        <x:v>1</x:v>
      </x:c>
      <x:c r="BE819" s="6" t="str">
        <x:v>0</x:v>
      </x:c>
      <x:c r="BF819" s="6" t="str">
        <x:v>0</x:v>
      </x:c>
      <x:c r="BG819" s="6" t="str">
        <x:v>0</x:v>
      </x:c>
      <x:c r="BH819" s="6" t="str">
        <x:v>0</x:v>
      </x:c>
      <x:c r="BI819" s="6" t="str">
        <x:v>0</x:v>
      </x:c>
      <x:c r="BJ819" s="6" t="str">
        <x:v>1</x:v>
      </x:c>
      <x:c r="BK819" s="6" t="str">
        <x:v>0</x:v>
      </x:c>
      <x:c r="BL819" s="6" t="str">
        <x:v>0</x:v>
      </x:c>
      <x:c r="BM819" s="6" t="str">
        <x:v>0</x:v>
      </x:c>
      <x:c r="BN819" s="6" t="str">
        <x:v>1</x:v>
      </x:c>
      <x:c r="BO819" s="6" t="str">
        <x:v>0.0</x:v>
      </x:c>
      <x:c r="BP819" s="6" t="str">
        <x:v>1</x:v>
      </x:c>
      <x:c r="BQ819" s="6" t="str">
        <x:v>0.0</x:v>
      </x:c>
      <x:c r="BR819" s="6" t="str">
        <x:v>1</x:v>
      </x:c>
      <x:c r="BS819" s="6" t="str">
        <x:v>23.0</x:v>
      </x:c>
      <x:c r="BT819" s="6" t="str">
        <x:v>1</x:v>
      </x:c>
      <x:c r="BU819" s="6" t="str">
        <x:v>16.0</x:v>
      </x:c>
      <x:c r="BV819" s="6" t="str">
        <x:v>1</x:v>
      </x:c>
      <x:c r="BW819" s="9" t="str">
        <x:v>operational_snapshot_annual_totals_may_differ</x:v>
      </x:c>
      <x:c r="BX819" s="9" t="str">
        <x:v>official_live_dashboard_snapshot_subject_to_revision</x:v>
      </x:c>
      <x:c r="BY819" s="9" t="str">
        <x:v>https://tbdashboard.sitb.id/ss_data_tbc03so_2024_provinsi_bulanan_list.php</x:v>
      </x:c>
      <x:c r="BZ819" s="6" t="n">
        <x:v>46246.610671296294</x:v>
      </x:c>
    </x:row>
    <x:row r="820" ht="18" customHeight="1">
      <x:c r="A820" s="6" t="str">
        <x:v>94</x:v>
      </x:c>
      <x:c r="B820" s="6" t="str">
        <x:v>PAPUA</x:v>
      </x:c>
      <x:c r="C820" s="6" t="str">
        <x:v>2024</x:v>
      </x:c>
      <x:c r="D820" s="6" t="str">
        <x:v>3</x:v>
      </x:c>
      <x:c r="E820" s="6" t="str">
        <x:v>2024-03</x:v>
      </x:c>
      <x:c r="F820" s="6" t="str">
        <x:v>448</x:v>
      </x:c>
      <x:c r="G820" s="6" t="str">
        <x:v>105</x:v>
      </x:c>
      <x:c r="H820" s="6" t="str">
        <x:v>251</x:v>
      </x:c>
      <x:c r="I820" s="6" t="str">
        <x:v>65</x:v>
      </x:c>
      <x:c r="J820" s="6" t="str">
        <x:v>19</x:v>
      </x:c>
      <x:c r="K820" s="6" t="str">
        <x:v>6</x:v>
      </x:c>
      <x:c r="L820" s="6" t="str">
        <x:v>1</x:v>
      </x:c>
      <x:c r="M820" s="6" t="str">
        <x:v>1</x:v>
      </x:c>
      <x:c r="N820" s="6" t="str">
        <x:v>448</x:v>
      </x:c>
      <x:c r="O820" s="6" t="str">
        <x:v>0</x:v>
      </x:c>
      <x:c r="P820" s="10" t="n">
        <x:f>F820-M820</x:f>
        <x:v>447</x:v>
      </x:c>
      <x:c r="Q820" s="11" t="n">
        <x:f>IFERROR(M820/F820,"")</x:f>
        <x:v>0.002232142857142857</x:v>
      </x:c>
      <x:c r="R820" s="10" t="n">
        <x:f>G820+H820</x:f>
        <x:v>356</x:v>
      </x:c>
      <x:c r="S820" s="11" t="n">
        <x:f>IFERROR(R820/F820,"")</x:f>
        <x:v>0.7946428571428571</x:v>
      </x:c>
      <x:c r="T820" s="11" t="n">
        <x:f>IFERROR(R820/P820,"")</x:f>
        <x:v>0.796420581655481</x:v>
      </x:c>
      <x:c r="U820" s="10" t="n">
        <x:f>I820+J820+K820</x:f>
        <x:v>90</x:v>
      </x:c>
      <x:c r="V820" s="11" t="n">
        <x:f>IFERROR(U820/P820,"")</x:f>
        <x:v>0.20134228187919462</x:v>
      </x:c>
      <x:c r="W820" s="9" t="str">
        <x:v>mature_le_5pct_pending</x:v>
      </x:c>
      <x:c r="X820" s="12" t="n">
        <x:f>IFERROR(F820/Z820*100000,"")</x:f>
        <x:v>42.240241372807844</x:v>
      </x:c>
      <x:c r="Y820" s="13" t="n">
        <x:f>LN(Z820)</x:f>
        <x:v>13.874345343685167</x:v>
      </x:c>
      <x:c r="Z820" s="6" t="str">
        <x:v>1060600</x:v>
      </x:c>
      <x:c r="AA820" s="6" t="str">
        <x:v>13.0</x:v>
      </x:c>
      <x:c r="AB820" s="9" t="str">
        <x:v>2024-06-30</x:v>
      </x:c>
      <x:c r="AC820" s="8" t="str">
        <x:v>80.57</x:v>
      </x:c>
      <x:c r="AD820" s="9" t="str">
        <x:v>2024 (Susenas)</x:v>
      </x:c>
      <x:c r="AE820" s="8" t="str">
        <x:v>17.26</x:v>
      </x:c>
      <x:c r="AF820" s="9" t="str">
        <x:v>Maret 2024 (Susenas)</x:v>
      </x:c>
      <x:c r="AG820" s="6" t="str">
        <x:v>26.02591656815309</x:v>
      </x:c>
      <x:c r="AH820" s="8" t="str">
        <x:v>89.50787308373194</x:v>
      </x:c>
      <x:c r="AI820" s="6" t="str">
        <x:v>265.416617178564</x:v>
      </x:c>
      <x:c r="AJ820" s="6" t="str">
        <x:v>0.974077992946274</x:v>
      </x:c>
      <x:c r="AK820" s="8" t="str">
        <x:v>4.130861263779294</x:v>
      </x:c>
      <x:c r="AL820" s="6" t="str">
        <x:v>3.7021728523779136</x:v>
      </x:c>
      <x:c r="AM820" s="6" t="str">
        <x:v>3.7321874759216462</x:v>
      </x:c>
      <x:c r="AN820" s="6" t="str">
        <x:v>3.8550738640262856</x:v>
      </x:c>
      <x:c r="AO820" s="6" t="str">
        <x:v>-0.2498630393995853</x:v>
      </x:c>
      <x:c r="AP820" s="8" t="str">
        <x:v>-0.1516415650064057</x:v>
      </x:c>
      <x:c r="AQ820" s="6" t="str">
        <x:v>-1.2211482268221865</x:v>
      </x:c>
      <x:c r="AR820" s="6" t="str">
        <x:v>-1.0439257607579364</x:v>
      </x:c>
      <x:c r="AS820" s="6" t="str">
        <x:v>-0.8055718508621762</x:v>
      </x:c>
      <x:c r="AT820" s="6" t="str">
        <x:v>34.20504472982665</x:v>
      </x:c>
      <x:c r="AU820" s="8" t="str">
        <x:v>0.4764510837487223</x:v>
      </x:c>
      <x:c r="AV820" s="6" t="str">
        <x:v>-1.2691851632443418</x:v>
      </x:c>
      <x:c r="AW820" s="6" t="str">
        <x:v>-1.1944708723657336</x:v>
      </x:c>
      <x:c r="AX820" s="6" t="str">
        <x:v>-0.6624016506204506</x:v>
      </x:c>
      <x:c r="AY820" s="6" t="str">
        <x:v>0</x:v>
      </x:c>
      <x:c r="AZ820" s="6" t="str">
        <x:v>1</x:v>
      </x:c>
      <x:c r="BA820" s="9" t="str">
        <x:v>grid_cells_within_BIG_polygon</x:v>
      </x:c>
      <x:c r="BB820" s="6" t="str">
        <x:v>19</x:v>
      </x:c>
      <x:c r="BC820" s="6" t="str">
        <x:v>2</x:v>
      </x:c>
      <x:c r="BD820" s="6" t="str">
        <x:v>2</x:v>
      </x:c>
      <x:c r="BE820" s="6" t="str">
        <x:v>2</x:v>
      </x:c>
      <x:c r="BF820" s="6" t="str">
        <x:v>0</x:v>
      </x:c>
      <x:c r="BG820" s="6" t="str">
        <x:v>0</x:v>
      </x:c>
      <x:c r="BH820" s="6" t="str">
        <x:v>0</x:v>
      </x:c>
      <x:c r="BI820" s="6" t="str">
        <x:v>0</x:v>
      </x:c>
      <x:c r="BJ820" s="6" t="str">
        <x:v>0</x:v>
      </x:c>
      <x:c r="BK820" s="6" t="str">
        <x:v>0</x:v>
      </x:c>
      <x:c r="BL820" s="6" t="str">
        <x:v>0</x:v>
      </x:c>
      <x:c r="BM820" s="6" t="str">
        <x:v>0</x:v>
      </x:c>
      <x:c r="BN820" s="6" t="str">
        <x:v>2</x:v>
      </x:c>
      <x:c r="BO820" s="6" t="str">
        <x:v>0.0</x:v>
      </x:c>
      <x:c r="BP820" s="6" t="str">
        <x:v>2</x:v>
      </x:c>
      <x:c r="BQ820" s="6" t="str">
        <x:v>0.0</x:v>
      </x:c>
      <x:c r="BR820" s="6" t="str">
        <x:v>2</x:v>
      </x:c>
      <x:c r="BS820" s="6" t="str">
        <x:v>0.0</x:v>
      </x:c>
      <x:c r="BT820" s="6" t="str">
        <x:v>2</x:v>
      </x:c>
      <x:c r="BU820" s="6" t="str">
        <x:v>268.0</x:v>
      </x:c>
      <x:c r="BV820" s="6" t="str">
        <x:v>2</x:v>
      </x:c>
      <x:c r="BW820" s="9" t="str">
        <x:v>operational_snapshot_annual_totals_may_differ</x:v>
      </x:c>
      <x:c r="BX820" s="9" t="str">
        <x:v>official_live_dashboard_snapshot_subject_to_revision</x:v>
      </x:c>
      <x:c r="BY820" s="9" t="str">
        <x:v>https://tbdashboard.sitb.id/ss_data_tbc03so_2024_provinsi_bulanan_list.php</x:v>
      </x:c>
      <x:c r="BZ820" s="6" t="n">
        <x:v>46246.610671296294</x:v>
      </x:c>
    </x:row>
    <x:row r="821" ht="18" customHeight="1">
      <x:c r="A821" s="6" t="str">
        <x:v>94</x:v>
      </x:c>
      <x:c r="B821" s="6" t="str">
        <x:v>PAPUA</x:v>
      </x:c>
      <x:c r="C821" s="6" t="str">
        <x:v>2024</x:v>
      </x:c>
      <x:c r="D821" s="6" t="str">
        <x:v>4</x:v>
      </x:c>
      <x:c r="E821" s="6" t="str">
        <x:v>2024-04</x:v>
      </x:c>
      <x:c r="F821" s="6" t="str">
        <x:v>430</x:v>
      </x:c>
      <x:c r="G821" s="6" t="str">
        <x:v>102</x:v>
      </x:c>
      <x:c r="H821" s="6" t="str">
        <x:v>246</x:v>
      </x:c>
      <x:c r="I821" s="6" t="str">
        <x:v>61</x:v>
      </x:c>
      <x:c r="J821" s="6" t="str">
        <x:v>16</x:v>
      </x:c>
      <x:c r="K821" s="6" t="str">
        <x:v>0</x:v>
      </x:c>
      <x:c r="L821" s="6" t="str">
        <x:v>4</x:v>
      </x:c>
      <x:c r="M821" s="6" t="str">
        <x:v>1</x:v>
      </x:c>
      <x:c r="N821" s="6" t="str">
        <x:v>430</x:v>
      </x:c>
      <x:c r="O821" s="6" t="str">
        <x:v>0</x:v>
      </x:c>
      <x:c r="P821" s="10" t="n">
        <x:f>F821-M821</x:f>
        <x:v>429</x:v>
      </x:c>
      <x:c r="Q821" s="11" t="n">
        <x:f>IFERROR(M821/F821,"")</x:f>
        <x:v>0.002325581395348837</x:v>
      </x:c>
      <x:c r="R821" s="10" t="n">
        <x:f>G821+H821</x:f>
        <x:v>348</x:v>
      </x:c>
      <x:c r="S821" s="11" t="n">
        <x:f>IFERROR(R821/F821,"")</x:f>
        <x:v>0.8093023255813954</x:v>
      </x:c>
      <x:c r="T821" s="11" t="n">
        <x:f>IFERROR(R821/P821,"")</x:f>
        <x:v>0.8111888111888111</x:v>
      </x:c>
      <x:c r="U821" s="10" t="n">
        <x:f>I821+J821+K821</x:f>
        <x:v>77</x:v>
      </x:c>
      <x:c r="V821" s="11" t="n">
        <x:f>IFERROR(U821/P821,"")</x:f>
        <x:v>0.1794871794871795</x:v>
      </x:c>
      <x:c r="W821" s="9" t="str">
        <x:v>mature_le_5pct_pending</x:v>
      </x:c>
      <x:c r="X821" s="12" t="n">
        <x:f>IFERROR(F821/Z821*100000,"")</x:f>
        <x:v>40.543088817650386</x:v>
      </x:c>
      <x:c r="Y821" s="13" t="n">
        <x:f>LN(Z821)</x:f>
        <x:v>13.874345343685167</x:v>
      </x:c>
      <x:c r="Z821" s="6" t="str">
        <x:v>1060600</x:v>
      </x:c>
      <x:c r="AA821" s="6" t="str">
        <x:v>13.0</x:v>
      </x:c>
      <x:c r="AB821" s="9" t="str">
        <x:v>2024-06-30</x:v>
      </x:c>
      <x:c r="AC821" s="8" t="str">
        <x:v>80.57</x:v>
      </x:c>
      <x:c r="AD821" s="9" t="str">
        <x:v>2024 (Susenas)</x:v>
      </x:c>
      <x:c r="AE821" s="8" t="str">
        <x:v>17.26</x:v>
      </x:c>
      <x:c r="AF821" s="9" t="str">
        <x:v>Maret 2024 (Susenas)</x:v>
      </x:c>
      <x:c r="AG821" s="6" t="str">
        <x:v>26.030175750968123</x:v>
      </x:c>
      <x:c r="AH821" s="8" t="str">
        <x:v>90.30345823124162</x:v>
      </x:c>
      <x:c r="AI821" s="6" t="str">
        <x:v>218.1339432247928</x:v>
      </x:c>
      <x:c r="AJ821" s="6" t="str">
        <x:v>0.8549477803444923</x:v>
      </x:c>
      <x:c r="AK821" s="8" t="str">
        <x:v>3.968952086944088</x:v>
      </x:c>
      <x:c r="AL821" s="6" t="str">
        <x:v>4.130861263779294</x:v>
      </x:c>
      <x:c r="AM821" s="6" t="str">
        <x:v>3.7021728523779136</x:v>
      </x:c>
      <x:c r="AN821" s="6" t="str">
        <x:v>3.9339954010337657</x:v>
      </x:c>
      <x:c r="AO821" s="6" t="str">
        <x:v>-0.2530664642207085</x:v>
      </x:c>
      <x:c r="AP821" s="8" t="str">
        <x:v>-0.2425058699422862</x:v>
      </x:c>
      <x:c r="AQ821" s="6" t="str">
        <x:v>-0.1516415650064057</x:v>
      </x:c>
      <x:c r="AR821" s="6" t="str">
        <x:v>-1.2211482268221865</x:v>
      </x:c>
      <x:c r="AS821" s="6" t="str">
        <x:v>-0.5384318872569595</x:v>
      </x:c>
      <x:c r="AT821" s="6" t="str">
        <x:v>-3.3464190217238468</x:v>
      </x:c>
      <x:c r="AU821" s="8" t="str">
        <x:v>-0.0478154321290583</x:v>
      </x:c>
      <x:c r="AV821" s="6" t="str">
        <x:v>0.4764510837487223</x:v>
      </x:c>
      <x:c r="AW821" s="6" t="str">
        <x:v>-1.2691851632443418</x:v>
      </x:c>
      <x:c r="AX821" s="6" t="str">
        <x:v>-0.280183170541559</x:v>
      </x:c>
      <x:c r="AY821" s="6" t="str">
        <x:v>0</x:v>
      </x:c>
      <x:c r="AZ821" s="6" t="str">
        <x:v>1</x:v>
      </x:c>
      <x:c r="BA821" s="9" t="str">
        <x:v>grid_cells_within_BIG_polygon</x:v>
      </x:c>
      <x:c r="BB821" s="6" t="str">
        <x:v>19</x:v>
      </x:c>
      <x:c r="BC821" s="6" t="str">
        <x:v>2</x:v>
      </x:c>
      <x:c r="BD821" s="6" t="str">
        <x:v>2</x:v>
      </x:c>
      <x:c r="BE821" s="6" t="str">
        <x:v>2</x:v>
      </x:c>
      <x:c r="BF821" s="6" t="str">
        <x:v>0</x:v>
      </x:c>
      <x:c r="BG821" s="6" t="str">
        <x:v>0</x:v>
      </x:c>
      <x:c r="BH821" s="6" t="str">
        <x:v>0</x:v>
      </x:c>
      <x:c r="BI821" s="6" t="str">
        <x:v>0</x:v>
      </x:c>
      <x:c r="BJ821" s="6" t="str">
        <x:v>0</x:v>
      </x:c>
      <x:c r="BK821" s="6" t="str">
        <x:v>0</x:v>
      </x:c>
      <x:c r="BL821" s="6" t="str">
        <x:v>0</x:v>
      </x:c>
      <x:c r="BM821" s="6" t="str">
        <x:v>0</x:v>
      </x:c>
      <x:c r="BN821" s="6" t="str">
        <x:v>2</x:v>
      </x:c>
      <x:c r="BO821" s="6" t="str">
        <x:v>0.0</x:v>
      </x:c>
      <x:c r="BP821" s="6" t="str">
        <x:v>2</x:v>
      </x:c>
      <x:c r="BQ821" s="6" t="str">
        <x:v>0.0</x:v>
      </x:c>
      <x:c r="BR821" s="6" t="str">
        <x:v>2</x:v>
      </x:c>
      <x:c r="BS821" s="6" t="str">
        <x:v>0.0</x:v>
      </x:c>
      <x:c r="BT821" s="6" t="str">
        <x:v>2</x:v>
      </x:c>
      <x:c r="BU821" s="6" t="str">
        <x:v>464.0</x:v>
      </x:c>
      <x:c r="BV821" s="6" t="str">
        <x:v>2</x:v>
      </x:c>
      <x:c r="BW821" s="9" t="str">
        <x:v>operational_snapshot_annual_totals_may_differ</x:v>
      </x:c>
      <x:c r="BX821" s="9" t="str">
        <x:v>official_live_dashboard_snapshot_subject_to_revision</x:v>
      </x:c>
      <x:c r="BY821" s="9" t="str">
        <x:v>https://tbdashboard.sitb.id/ss_data_tbc03so_2024_provinsi_bulanan_list.php</x:v>
      </x:c>
      <x:c r="BZ821" s="6" t="n">
        <x:v>46246.610671296294</x:v>
      </x:c>
    </x:row>
    <x:row r="822" ht="18" customHeight="1">
      <x:c r="A822" s="6" t="str">
        <x:v>94</x:v>
      </x:c>
      <x:c r="B822" s="6" t="str">
        <x:v>PAPUA</x:v>
      </x:c>
      <x:c r="C822" s="6" t="str">
        <x:v>2024</x:v>
      </x:c>
      <x:c r="D822" s="6" t="str">
        <x:v>5</x:v>
      </x:c>
      <x:c r="E822" s="6" t="str">
        <x:v>2024-05</x:v>
      </x:c>
      <x:c r="F822" s="6" t="str">
        <x:v>492</x:v>
      </x:c>
      <x:c r="G822" s="6" t="str">
        <x:v>105</x:v>
      </x:c>
      <x:c r="H822" s="6" t="str">
        <x:v>273</x:v>
      </x:c>
      <x:c r="I822" s="6" t="str">
        <x:v>82</x:v>
      </x:c>
      <x:c r="J822" s="6" t="str">
        <x:v>26</x:v>
      </x:c>
      <x:c r="K822" s="6" t="str">
        <x:v>1</x:v>
      </x:c>
      <x:c r="L822" s="6" t="str">
        <x:v>3</x:v>
      </x:c>
      <x:c r="M822" s="6" t="str">
        <x:v>2</x:v>
      </x:c>
      <x:c r="N822" s="6" t="str">
        <x:v>492</x:v>
      </x:c>
      <x:c r="O822" s="6" t="str">
        <x:v>0</x:v>
      </x:c>
      <x:c r="P822" s="10" t="n">
        <x:f>F822-M822</x:f>
        <x:v>490</x:v>
      </x:c>
      <x:c r="Q822" s="11" t="n">
        <x:f>IFERROR(M822/F822,"")</x:f>
        <x:v>0.0040650406504065045</x:v>
      </x:c>
      <x:c r="R822" s="10" t="n">
        <x:f>G822+H822</x:f>
        <x:v>378</x:v>
      </x:c>
      <x:c r="S822" s="11" t="n">
        <x:f>IFERROR(R822/F822,"")</x:f>
        <x:v>0.7682926829268293</x:v>
      </x:c>
      <x:c r="T822" s="11" t="n">
        <x:f>IFERROR(R822/P822,"")</x:f>
        <x:v>0.7714285714285715</x:v>
      </x:c>
      <x:c r="U822" s="10" t="n">
        <x:f>I822+J822+K822</x:f>
        <x:v>109</x:v>
      </x:c>
      <x:c r="V822" s="11" t="n">
        <x:f>IFERROR(U822/P822,"")</x:f>
        <x:v>0.22244897959183674</x:v>
      </x:c>
      <x:c r="W822" s="9" t="str">
        <x:v>mature_le_5pct_pending</x:v>
      </x:c>
      <x:c r="X822" s="12" t="n">
        <x:f>IFERROR(F822/Z822*100000,"")</x:f>
        <x:v>46.38883650763719</x:v>
      </x:c>
      <x:c r="Y822" s="13" t="n">
        <x:f>LN(Z822)</x:f>
        <x:v>13.874345343685167</x:v>
      </x:c>
      <x:c r="Z822" s="6" t="str">
        <x:v>1060600</x:v>
      </x:c>
      <x:c r="AA822" s="6" t="str">
        <x:v>13.0</x:v>
      </x:c>
      <x:c r="AB822" s="9" t="str">
        <x:v>2024-06-30</x:v>
      </x:c>
      <x:c r="AC822" s="8" t="str">
        <x:v>80.57</x:v>
      </x:c>
      <x:c r="AD822" s="9" t="str">
        <x:v>2024 (Susenas)</x:v>
      </x:c>
      <x:c r="AE822" s="8" t="str">
        <x:v>17.26</x:v>
      </x:c>
      <x:c r="AF822" s="9" t="str">
        <x:v>Maret 2024 (Susenas)</x:v>
      </x:c>
      <x:c r="AG822" s="6" t="str">
        <x:v>25.907579307612124</x:v>
      </x:c>
      <x:c r="AH822" s="8" t="str">
        <x:v>91.42135176409931</x:v>
      </x:c>
      <x:c r="AI822" s="6" t="str">
        <x:v>257.4269697604574</x:v>
      </x:c>
      <x:c r="AJ822" s="6" t="str">
        <x:v>0.5856762567964324</x:v>
      </x:c>
      <x:c r="AK822" s="8" t="str">
        <x:v>1.7925772853755886</x:v>
      </x:c>
      <x:c r="AL822" s="6" t="str">
        <x:v>3.968952086944088</x:v>
      </x:c>
      <x:c r="AM822" s="6" t="str">
        <x:v>4.130861263779294</x:v>
      </x:c>
      <x:c r="AN822" s="6" t="str">
        <x:v>3.297463545366325</x:v>
      </x:c>
      <x:c r="AO822" s="6" t="str">
        <x:v>1.6420442996610092</x:v>
      </x:c>
      <x:c r="AP822" s="8" t="str">
        <x:v>0.928779259887562</x:v>
      </x:c>
      <x:c r="AQ822" s="6" t="str">
        <x:v>-0.2425058699422862</x:v>
      </x:c>
      <x:c r="AR822" s="6" t="str">
        <x:v>-0.1516415650064057</x:v>
      </x:c>
      <x:c r="AS822" s="6" t="str">
        <x:v>0.1782106083129567</x:v>
      </x:c>
      <x:c r="AT822" s="6" t="str">
        <x:v>92.39284663364452</x:v>
      </x:c>
      <x:c r="AU822" s="8" t="str">
        <x:v>1.6670192272875854</x:v>
      </x:c>
      <x:c r="AV822" s="6" t="str">
        <x:v>-0.0478154321290583</x:v>
      </x:c>
      <x:c r="AW822" s="6" t="str">
        <x:v>0.4764510837487223</x:v>
      </x:c>
      <x:c r="AX822" s="6" t="str">
        <x:v>0.6985516263024167</x:v>
      </x:c>
      <x:c r="AY822" s="6" t="str">
        <x:v>1</x:v>
      </x:c>
      <x:c r="AZ822" s="6" t="str">
        <x:v>1</x:v>
      </x:c>
      <x:c r="BA822" s="9" t="str">
        <x:v>grid_cells_within_BIG_polygon</x:v>
      </x:c>
      <x:c r="BB822" s="6" t="str">
        <x:v>19</x:v>
      </x:c>
      <x:c r="BC822" s="6" t="str">
        <x:v>4</x:v>
      </x:c>
      <x:c r="BD822" s="6" t="str">
        <x:v>4</x:v>
      </x:c>
      <x:c r="BE822" s="6" t="str">
        <x:v>3</x:v>
      </x:c>
      <x:c r="BF822" s="6" t="str">
        <x:v>0</x:v>
      </x:c>
      <x:c r="BG822" s="6" t="str">
        <x:v>0</x:v>
      </x:c>
      <x:c r="BH822" s="6" t="str">
        <x:v>0</x:v>
      </x:c>
      <x:c r="BI822" s="6" t="str">
        <x:v>0</x:v>
      </x:c>
      <x:c r="BJ822" s="6" t="str">
        <x:v>1</x:v>
      </x:c>
      <x:c r="BK822" s="6" t="str">
        <x:v>0</x:v>
      </x:c>
      <x:c r="BL822" s="6" t="str">
        <x:v>0</x:v>
      </x:c>
      <x:c r="BM822" s="6" t="str">
        <x:v>0</x:v>
      </x:c>
      <x:c r="BN822" s="6" t="str">
        <x:v>4</x:v>
      </x:c>
      <x:c r="BO822" s="6" t="str">
        <x:v>0.0</x:v>
      </x:c>
      <x:c r="BP822" s="6" t="str">
        <x:v>4</x:v>
      </x:c>
      <x:c r="BQ822" s="6" t="str">
        <x:v>0.0</x:v>
      </x:c>
      <x:c r="BR822" s="6" t="str">
        <x:v>4</x:v>
      </x:c>
      <x:c r="BS822" s="6" t="str">
        <x:v>287.0</x:v>
      </x:c>
      <x:c r="BT822" s="6" t="str">
        <x:v>4</x:v>
      </x:c>
      <x:c r="BU822" s="6" t="str">
        <x:v>93.0</x:v>
      </x:c>
      <x:c r="BV822" s="6" t="str">
        <x:v>4</x:v>
      </x:c>
      <x:c r="BW822" s="9" t="str">
        <x:v>operational_snapshot_annual_totals_may_differ</x:v>
      </x:c>
      <x:c r="BX822" s="9" t="str">
        <x:v>official_live_dashboard_snapshot_subject_to_revision</x:v>
      </x:c>
      <x:c r="BY822" s="9" t="str">
        <x:v>https://tbdashboard.sitb.id/ss_data_tbc03so_2024_provinsi_bulanan_list.php</x:v>
      </x:c>
      <x:c r="BZ822" s="6" t="n">
        <x:v>46246.610671296294</x:v>
      </x:c>
    </x:row>
    <x:row r="823" ht="18" customHeight="1">
      <x:c r="A823" s="6" t="str">
        <x:v>94</x:v>
      </x:c>
      <x:c r="B823" s="6" t="str">
        <x:v>PAPUA</x:v>
      </x:c>
      <x:c r="C823" s="6" t="str">
        <x:v>2024</x:v>
      </x:c>
      <x:c r="D823" s="6" t="str">
        <x:v>6</x:v>
      </x:c>
      <x:c r="E823" s="6" t="str">
        <x:v>2024-06</x:v>
      </x:c>
      <x:c r="F823" s="6" t="str">
        <x:v>481</x:v>
      </x:c>
      <x:c r="G823" s="6" t="str">
        <x:v>94</x:v>
      </x:c>
      <x:c r="H823" s="6" t="str">
        <x:v>272</x:v>
      </x:c>
      <x:c r="I823" s="6" t="str">
        <x:v>90</x:v>
      </x:c>
      <x:c r="J823" s="6" t="str">
        <x:v>15</x:v>
      </x:c>
      <x:c r="K823" s="6" t="str">
        <x:v>5</x:v>
      </x:c>
      <x:c r="L823" s="6" t="str">
        <x:v>5</x:v>
      </x:c>
      <x:c r="M823" s="6" t="str">
        <x:v>0</x:v>
      </x:c>
      <x:c r="N823" s="6" t="str">
        <x:v>481</x:v>
      </x:c>
      <x:c r="O823" s="6" t="str">
        <x:v>0</x:v>
      </x:c>
      <x:c r="P823" s="10" t="n">
        <x:f>F823-M823</x:f>
        <x:v>481</x:v>
      </x:c>
      <x:c r="Q823" s="11" t="n">
        <x:f>IFERROR(M823/F823,"")</x:f>
        <x:v>0</x:v>
      </x:c>
      <x:c r="R823" s="10" t="n">
        <x:f>G823+H823</x:f>
        <x:v>366</x:v>
      </x:c>
      <x:c r="S823" s="11" t="n">
        <x:f>IFERROR(R823/F823,"")</x:f>
        <x:v>0.760914760914761</x:v>
      </x:c>
      <x:c r="T823" s="11" t="n">
        <x:f>IFERROR(R823/P823,"")</x:f>
        <x:v>0.760914760914761</x:v>
      </x:c>
      <x:c r="U823" s="10" t="n">
        <x:f>I823+J823+K823</x:f>
        <x:v>110</x:v>
      </x:c>
      <x:c r="V823" s="11" t="n">
        <x:f>IFERROR(U823/P823,"")</x:f>
        <x:v>0.2286902286902287</x:v>
      </x:c>
      <x:c r="W823" s="9" t="str">
        <x:v>mature_le_5pct_pending</x:v>
      </x:c>
      <x:c r="X823" s="12" t="n">
        <x:f>IFERROR(F823/Z823*100000,"")</x:f>
        <x:v>45.35168772392985</x:v>
      </x:c>
      <x:c r="Y823" s="13" t="n">
        <x:f>LN(Z823)</x:f>
        <x:v>13.874345343685167</x:v>
      </x:c>
      <x:c r="Z823" s="6" t="str">
        <x:v>1060600</x:v>
      </x:c>
      <x:c r="AA823" s="6" t="str">
        <x:v>13.0</x:v>
      </x:c>
      <x:c r="AB823" s="9" t="str">
        <x:v>2024-06-30</x:v>
      </x:c>
      <x:c r="AC823" s="8" t="str">
        <x:v>80.57</x:v>
      </x:c>
      <x:c r="AD823" s="9" t="str">
        <x:v>2024 (Susenas)</x:v>
      </x:c>
      <x:c r="AE823" s="8" t="str">
        <x:v>17.26</x:v>
      </x:c>
      <x:c r="AF823" s="9" t="str">
        <x:v>Maret 2024 (Susenas)</x:v>
      </x:c>
      <x:c r="AG823" s="6" t="str">
        <x:v>25.574939963854035</x:v>
      </x:c>
      <x:c r="AH823" s="8" t="str">
        <x:v>90.704573206788</x:v>
      </x:c>
      <x:c r="AI823" s="6" t="str">
        <x:v>241.45563348354872</x:v>
      </x:c>
      <x:c r="AJ823" s="6" t="str">
        <x:v>0.5703795396857565</x:v>
      </x:c>
      <x:c r="AK823" s="8" t="str">
        <x:v>1.7369444727266865</x:v>
      </x:c>
      <x:c r="AL823" s="6" t="str">
        <x:v>1.7925772853755886</x:v>
      </x:c>
      <x:c r="AM823" s="6" t="str">
        <x:v>3.968952086944088</x:v>
      </x:c>
      <x:c r="AN823" s="6" t="str">
        <x:v>2.499491281682121</x:v>
      </x:c>
      <x:c r="AO823" s="6" t="str">
        <x:v>0.984965054549562</x:v>
      </x:c>
      <x:c r="AP823" s="8" t="str">
        <x:v>0.4874404056742348</x:v>
      </x:c>
      <x:c r="AQ823" s="6" t="str">
        <x:v>0.928779259887562</x:v>
      </x:c>
      <x:c r="AR823" s="6" t="str">
        <x:v>-0.2425058699422862</x:v>
      </x:c>
      <x:c r="AS823" s="6" t="str">
        <x:v>0.3912379318731702</x:v>
      </x:c>
      <x:c r="AT823" s="6" t="str">
        <x:v>58.44632305493551</x:v>
      </x:c>
      <x:c r="AU823" s="8" t="str">
        <x:v>0.8634681706941363</x:v>
      </x:c>
      <x:c r="AV823" s="6" t="str">
        <x:v>1.6670192272875854</x:v>
      </x:c>
      <x:c r="AW823" s="6" t="str">
        <x:v>-0.0478154321290583</x:v>
      </x:c>
      <x:c r="AX823" s="6" t="str">
        <x:v>0.8275573219508882</x:v>
      </x:c>
      <x:c r="AY823" s="6" t="str">
        <x:v>0</x:v>
      </x:c>
      <x:c r="AZ823" s="6" t="str">
        <x:v>1</x:v>
      </x:c>
      <x:c r="BA823" s="9" t="str">
        <x:v>grid_cells_within_BIG_polygon</x:v>
      </x:c>
      <x:c r="BB823" s="6" t="str">
        <x:v>19</x:v>
      </x:c>
      <x:c r="BC823" s="6" t="str">
        <x:v>1</x:v>
      </x:c>
      <x:c r="BD823" s="6" t="str">
        <x:v>1</x:v>
      </x:c>
      <x:c r="BE823" s="6" t="str">
        <x:v>1</x:v>
      </x:c>
      <x:c r="BF823" s="6" t="str">
        <x:v>0</x:v>
      </x:c>
      <x:c r="BG823" s="6" t="str">
        <x:v>0</x:v>
      </x:c>
      <x:c r="BH823" s="6" t="str">
        <x:v>0</x:v>
      </x:c>
      <x:c r="BI823" s="6" t="str">
        <x:v>0</x:v>
      </x:c>
      <x:c r="BJ823" s="6" t="str">
        <x:v>0</x:v>
      </x:c>
      <x:c r="BK823" s="6" t="str">
        <x:v>0</x:v>
      </x:c>
      <x:c r="BL823" s="6" t="str">
        <x:v>0</x:v>
      </x:c>
      <x:c r="BM823" s="6" t="str">
        <x:v>0</x:v>
      </x:c>
      <x:c r="BN823" s="6" t="str">
        <x:v>1</x:v>
      </x:c>
      <x:c r="BO823" s="6" t="str">
        <x:v>0.0</x:v>
      </x:c>
      <x:c r="BP823" s="6" t="str">
        <x:v>1</x:v>
      </x:c>
      <x:c r="BQ823" s="6" t="str">
        <x:v>0.0</x:v>
      </x:c>
      <x:c r="BR823" s="6" t="str">
        <x:v>1</x:v>
      </x:c>
      <x:c r="BS823" s="6" t="str">
        <x:v>0.0</x:v>
      </x:c>
      <x:c r="BT823" s="6" t="str">
        <x:v>1</x:v>
      </x:c>
      <x:c r="BU823" s="6" t="str">
        <x:v>71.0</x:v>
      </x:c>
      <x:c r="BV823" s="6" t="str">
        <x:v>1</x:v>
      </x:c>
      <x:c r="BW823" s="9" t="str">
        <x:v>operational_snapshot_annual_totals_may_differ</x:v>
      </x:c>
      <x:c r="BX823" s="9" t="str">
        <x:v>official_live_dashboard_snapshot_subject_to_revision</x:v>
      </x:c>
      <x:c r="BY823" s="9" t="str">
        <x:v>https://tbdashboard.sitb.id/ss_data_tbc03so_2024_provinsi_bulanan_list.php</x:v>
      </x:c>
      <x:c r="BZ823" s="6" t="n">
        <x:v>46246.610671296294</x:v>
      </x:c>
    </x:row>
    <x:row r="824" ht="18" customHeight="1">
      <x:c r="A824" s="6" t="str">
        <x:v>94</x:v>
      </x:c>
      <x:c r="B824" s="6" t="str">
        <x:v>PAPUA</x:v>
      </x:c>
      <x:c r="C824" s="6" t="str">
        <x:v>2024</x:v>
      </x:c>
      <x:c r="D824" s="6" t="str">
        <x:v>7</x:v>
      </x:c>
      <x:c r="E824" s="6" t="str">
        <x:v>2024-07</x:v>
      </x:c>
      <x:c r="F824" s="6" t="str">
        <x:v>614</x:v>
      </x:c>
      <x:c r="G824" s="6" t="str">
        <x:v>156</x:v>
      </x:c>
      <x:c r="H824" s="6" t="str">
        <x:v>346</x:v>
      </x:c>
      <x:c r="I824" s="6" t="str">
        <x:v>78</x:v>
      </x:c>
      <x:c r="J824" s="6" t="str">
        <x:v>27</x:v>
      </x:c>
      <x:c r="K824" s="6" t="str">
        <x:v>3</x:v>
      </x:c>
      <x:c r="L824" s="6" t="str">
        <x:v>3</x:v>
      </x:c>
      <x:c r="M824" s="6" t="str">
        <x:v>1</x:v>
      </x:c>
      <x:c r="N824" s="6" t="str">
        <x:v>614</x:v>
      </x:c>
      <x:c r="O824" s="6" t="str">
        <x:v>0</x:v>
      </x:c>
      <x:c r="P824" s="10" t="n">
        <x:f>F824-M824</x:f>
        <x:v>613</x:v>
      </x:c>
      <x:c r="Q824" s="11" t="n">
        <x:f>IFERROR(M824/F824,"")</x:f>
        <x:v>0.0016286644951140066</x:v>
      </x:c>
      <x:c r="R824" s="10" t="n">
        <x:f>G824+H824</x:f>
        <x:v>502</x:v>
      </x:c>
      <x:c r="S824" s="11" t="n">
        <x:f>IFERROR(R824/F824,"")</x:f>
        <x:v>0.8175895765472313</x:v>
      </x:c>
      <x:c r="T824" s="11" t="n">
        <x:f>IFERROR(R824/P824,"")</x:f>
        <x:v>0.8189233278955954</x:v>
      </x:c>
      <x:c r="U824" s="10" t="n">
        <x:f>I824+J824+K824</x:f>
        <x:v>108</x:v>
      </x:c>
      <x:c r="V824" s="11" t="n">
        <x:f>IFERROR(U824/P824,"")</x:f>
        <x:v>0.1761827079934747</x:v>
      </x:c>
      <x:c r="W824" s="9" t="str">
        <x:v>mature_le_5pct_pending</x:v>
      </x:c>
      <x:c r="X824" s="12" t="n">
        <x:f>IFERROR(F824/Z824*100000,"")</x:f>
        <x:v>57.89175938148218</x:v>
      </x:c>
      <x:c r="Y824" s="13" t="n">
        <x:f>LN(Z824)</x:f>
        <x:v>13.874345343685167</x:v>
      </x:c>
      <x:c r="Z824" s="6" t="str">
        <x:v>1060600</x:v>
      </x:c>
      <x:c r="AA824" s="6" t="str">
        <x:v>13.0</x:v>
      </x:c>
      <x:c r="AB824" s="9" t="str">
        <x:v>2024-06-30</x:v>
      </x:c>
      <x:c r="AC824" s="8" t="str">
        <x:v>80.57</x:v>
      </x:c>
      <x:c r="AD824" s="9" t="str">
        <x:v>2024 (Susenas)</x:v>
      </x:c>
      <x:c r="AE824" s="8" t="str">
        <x:v>17.26</x:v>
      </x:c>
      <x:c r="AF824" s="9" t="str">
        <x:v>Maret 2024 (Susenas)</x:v>
      </x:c>
      <x:c r="AG824" s="6" t="str">
        <x:v>25.1686222775996</x:v>
      </x:c>
      <x:c r="AH824" s="8" t="str">
        <x:v>90.19617942701598</x:v>
      </x:c>
      <x:c r="AI824" s="6" t="str">
        <x:v>115.28149490994537</x:v>
      </x:c>
      <x:c r="AJ824" s="6" t="str">
        <x:v>0.48721679627997</x:v>
      </x:c>
      <x:c r="AK824" s="8" t="str">
        <x:v>1.4289796255263802</x:v>
      </x:c>
      <x:c r="AL824" s="6" t="str">
        <x:v>1.7369444727266865</x:v>
      </x:c>
      <x:c r="AM824" s="6" t="str">
        <x:v>1.7925772853755886</x:v>
      </x:c>
      <x:c r="AN824" s="6" t="str">
        <x:v>1.6528337945428857</x:v>
      </x:c>
      <x:c r="AO824" s="6" t="str">
        <x:v>0.8245610591424679</x:v>
      </x:c>
      <x:c r="AP824" s="8" t="str">
        <x:v>0.3956210319211881</x:v>
      </x:c>
      <x:c r="AQ824" s="6" t="str">
        <x:v>0.4874404056742348</x:v>
      </x:c>
      <x:c r="AR824" s="6" t="str">
        <x:v>0.928779259887562</x:v>
      </x:c>
      <x:c r="AS824" s="6" t="str">
        <x:v>0.6039468991609951</x:v>
      </x:c>
      <x:c r="AT824" s="6" t="str">
        <x:v>-56.77982166932878</x:v>
      </x:c>
      <x:c r="AU824" s="8" t="str">
        <x:v>-1.073158777898825</x:v>
      </x:c>
      <x:c r="AV824" s="6" t="str">
        <x:v>0.8634681706941363</x:v>
      </x:c>
      <x:c r="AW824" s="6" t="str">
        <x:v>1.6670192272875854</x:v>
      </x:c>
      <x:c r="AX824" s="6" t="str">
        <x:v>0.4857762066942991</x:v>
      </x:c>
      <x:c r="AY824" s="6" t="str">
        <x:v>0</x:v>
      </x:c>
      <x:c r="AZ824" s="6" t="str">
        <x:v>1</x:v>
      </x:c>
      <x:c r="BA824" s="9" t="str">
        <x:v>grid_cells_within_BIG_polygon</x:v>
      </x:c>
      <x:c r="BB824" s="6" t="str">
        <x:v>19</x:v>
      </x:c>
      <x:c r="BC824" s="6" t="str">
        <x:v>0</x:v>
      </x:c>
      <x:c r="BD824" s="6" t="str">
        <x:v>0</x:v>
      </x:c>
      <x:c r="BE824" s="6" t="str">
        <x:v>0</x:v>
      </x:c>
      <x:c r="BF824" s="6" t="str">
        <x:v>0</x:v>
      </x:c>
      <x:c r="BG824" s="6" t="str">
        <x:v>0</x:v>
      </x:c>
      <x:c r="BH824" s="6" t="str">
        <x:v>0</x:v>
      </x:c>
      <x:c r="BI824" s="6" t="str">
        <x:v>0</x:v>
      </x:c>
      <x:c r="BJ824" s="6" t="str">
        <x:v>0</x:v>
      </x:c>
      <x:c r="BK824" s="6" t="str">
        <x:v>0</x:v>
      </x:c>
      <x:c r="BL824" s="6" t="str">
        <x:v>0</x:v>
      </x:c>
      <x:c r="BM824" s="6" t="str">
        <x:v>0</x:v>
      </x:c>
      <x:c r="BN824" s="6" t="str">
        <x:v>0</x:v>
      </x:c>
      <x:c r="BO824" s="6" t="str"/>
      <x:c r="BP824" s="6" t="str">
        <x:v>0</x:v>
      </x:c>
      <x:c r="BQ824" s="6" t="str"/>
      <x:c r="BR824" s="6" t="str">
        <x:v>0</x:v>
      </x:c>
      <x:c r="BS824" s="6" t="str"/>
      <x:c r="BT824" s="6" t="str">
        <x:v>0</x:v>
      </x:c>
      <x:c r="BU824" s="6" t="str"/>
      <x:c r="BV824" s="6" t="str">
        <x:v>0</x:v>
      </x:c>
      <x:c r="BW824" s="9" t="str">
        <x:v>operational_snapshot_annual_totals_may_differ</x:v>
      </x:c>
      <x:c r="BX824" s="9" t="str">
        <x:v>official_live_dashboard_snapshot_subject_to_revision</x:v>
      </x:c>
      <x:c r="BY824" s="9" t="str">
        <x:v>https://tbdashboard.sitb.id/ss_data_tbc03so_2024_provinsi_bulanan_list.php</x:v>
      </x:c>
      <x:c r="BZ824" s="6" t="n">
        <x:v>46246.610671296294</x:v>
      </x:c>
    </x:row>
    <x:row r="825" ht="18" customHeight="1">
      <x:c r="A825" s="6" t="str">
        <x:v>94</x:v>
      </x:c>
      <x:c r="B825" s="6" t="str">
        <x:v>PAPUA</x:v>
      </x:c>
      <x:c r="C825" s="6" t="str">
        <x:v>2024</x:v>
      </x:c>
      <x:c r="D825" s="6" t="str">
        <x:v>8</x:v>
      </x:c>
      <x:c r="E825" s="6" t="str">
        <x:v>2024-08</x:v>
      </x:c>
      <x:c r="F825" s="6" t="str">
        <x:v>528</x:v>
      </x:c>
      <x:c r="G825" s="6" t="str">
        <x:v>137</x:v>
      </x:c>
      <x:c r="H825" s="6" t="str">
        <x:v>266</x:v>
      </x:c>
      <x:c r="I825" s="6" t="str">
        <x:v>84</x:v>
      </x:c>
      <x:c r="J825" s="6" t="str">
        <x:v>36</x:v>
      </x:c>
      <x:c r="K825" s="6" t="str">
        <x:v>2</x:v>
      </x:c>
      <x:c r="L825" s="6" t="str">
        <x:v>2</x:v>
      </x:c>
      <x:c r="M825" s="6" t="str">
        <x:v>1</x:v>
      </x:c>
      <x:c r="N825" s="6" t="str">
        <x:v>528</x:v>
      </x:c>
      <x:c r="O825" s="6" t="str">
        <x:v>0</x:v>
      </x:c>
      <x:c r="P825" s="10" t="n">
        <x:f>F825-M825</x:f>
        <x:v>527</x:v>
      </x:c>
      <x:c r="Q825" s="11" t="n">
        <x:f>IFERROR(M825/F825,"")</x:f>
        <x:v>0.001893939393939394</x:v>
      </x:c>
      <x:c r="R825" s="10" t="n">
        <x:f>G825+H825</x:f>
        <x:v>403</x:v>
      </x:c>
      <x:c r="S825" s="11" t="n">
        <x:f>IFERROR(R825/F825,"")</x:f>
        <x:v>0.7632575757575758</x:v>
      </x:c>
      <x:c r="T825" s="11" t="n">
        <x:f>IFERROR(R825/P825,"")</x:f>
        <x:v>0.7647058823529411</x:v>
      </x:c>
      <x:c r="U825" s="10" t="n">
        <x:f>I825+J825+K825</x:f>
        <x:v>122</x:v>
      </x:c>
      <x:c r="V825" s="11" t="n">
        <x:f>IFERROR(U825/P825,"")</x:f>
        <x:v>0.2314990512333966</x:v>
      </x:c>
      <x:c r="W825" s="9" t="str">
        <x:v>mature_le_5pct_pending</x:v>
      </x:c>
      <x:c r="X825" s="12" t="n">
        <x:f>IFERROR(F825/Z825*100000,"")</x:f>
        <x:v>49.7831416179521</x:v>
      </x:c>
      <x:c r="Y825" s="13" t="n">
        <x:f>LN(Z825)</x:f>
        <x:v>13.874345343685167</x:v>
      </x:c>
      <x:c r="Z825" s="6" t="str">
        <x:v>1060600</x:v>
      </x:c>
      <x:c r="AA825" s="6" t="str">
        <x:v>13.0</x:v>
      </x:c>
      <x:c r="AB825" s="9" t="str">
        <x:v>2024-06-30</x:v>
      </x:c>
      <x:c r="AC825" s="8" t="str">
        <x:v>80.57</x:v>
      </x:c>
      <x:c r="AD825" s="9" t="str">
        <x:v>2024 (Susenas)</x:v>
      </x:c>
      <x:c r="AE825" s="8" t="str">
        <x:v>17.26</x:v>
      </x:c>
      <x:c r="AF825" s="9" t="str">
        <x:v>Maret 2024 (Susenas)</x:v>
      </x:c>
      <x:c r="AG825" s="6" t="str">
        <x:v>25.6475395148085</x:v>
      </x:c>
      <x:c r="AH825" s="8" t="str">
        <x:v>88.42567576136679</x:v>
      </x:c>
      <x:c r="AI825" s="6" t="str">
        <x:v>135.7884602088516</x:v>
      </x:c>
      <x:c r="AJ825" s="6" t="str">
        <x:v>0.833127817364506</x:v>
      </x:c>
      <x:c r="AK825" s="8" t="str">
        <x:v>1.881287442869886</x:v>
      </x:c>
      <x:c r="AL825" s="6" t="str">
        <x:v>1.4289796255263802</x:v>
      </x:c>
      <x:c r="AM825" s="6" t="str">
        <x:v>1.7369444727266865</x:v>
      </x:c>
      <x:c r="AN825" s="6" t="str">
        <x:v>1.6824038470409848</x:v>
      </x:c>
      <x:c r="AO825" s="6" t="str">
        <x:v>0.1500168635382124</x:v>
      </x:c>
      <x:c r="AP825" s="8" t="str">
        <x:v>0.0503868609153196</x:v>
      </x:c>
      <x:c r="AQ825" s="6" t="str">
        <x:v>0.3956210319211881</x:v>
      </x:c>
      <x:c r="AR825" s="6" t="str">
        <x:v>0.4874404056742348</x:v>
      </x:c>
      <x:c r="AS825" s="6" t="str">
        <x:v>0.3111494328369142</x:v>
      </x:c>
      <x:c r="AT825" s="6" t="str">
        <x:v>-30.80985543836215</x:v>
      </x:c>
      <x:c r="AU825" s="8" t="str">
        <x:v>-0.5628174287967963</x:v>
      </x:c>
      <x:c r="AV825" s="6" t="str">
        <x:v>-1.073158777898825</x:v>
      </x:c>
      <x:c r="AW825" s="6" t="str">
        <x:v>0.8634681706941363</x:v>
      </x:c>
      <x:c r="AX825" s="6" t="str">
        <x:v>-0.2575026786671613</x:v>
      </x:c>
      <x:c r="AY825" s="6" t="str">
        <x:v>0</x:v>
      </x:c>
      <x:c r="AZ825" s="6" t="str">
        <x:v>1</x:v>
      </x:c>
      <x:c r="BA825" s="9" t="str">
        <x:v>grid_cells_within_BIG_polygon</x:v>
      </x:c>
      <x:c r="BB825" s="6" t="str">
        <x:v>19</x:v>
      </x:c>
      <x:c r="BC825" s="6" t="str">
        <x:v>1</x:v>
      </x:c>
      <x:c r="BD825" s="6" t="str">
        <x:v>1</x:v>
      </x:c>
      <x:c r="BE825" s="6" t="str">
        <x:v>1</x:v>
      </x:c>
      <x:c r="BF825" s="6" t="str">
        <x:v>0</x:v>
      </x:c>
      <x:c r="BG825" s="6" t="str">
        <x:v>0</x:v>
      </x:c>
      <x:c r="BH825" s="6" t="str">
        <x:v>0</x:v>
      </x:c>
      <x:c r="BI825" s="6" t="str">
        <x:v>0</x:v>
      </x:c>
      <x:c r="BJ825" s="6" t="str">
        <x:v>0</x:v>
      </x:c>
      <x:c r="BK825" s="6" t="str">
        <x:v>0</x:v>
      </x:c>
      <x:c r="BL825" s="6" t="str">
        <x:v>0</x:v>
      </x:c>
      <x:c r="BM825" s="6" t="str">
        <x:v>0</x:v>
      </x:c>
      <x:c r="BN825" s="6" t="str">
        <x:v>1</x:v>
      </x:c>
      <x:c r="BO825" s="6" t="str">
        <x:v>0.0</x:v>
      </x:c>
      <x:c r="BP825" s="6" t="str">
        <x:v>1</x:v>
      </x:c>
      <x:c r="BQ825" s="6" t="str">
        <x:v>0.0</x:v>
      </x:c>
      <x:c r="BR825" s="6" t="str">
        <x:v>1</x:v>
      </x:c>
      <x:c r="BS825" s="6" t="str">
        <x:v>0.0</x:v>
      </x:c>
      <x:c r="BT825" s="6" t="str">
        <x:v>1</x:v>
      </x:c>
      <x:c r="BU825" s="6" t="str">
        <x:v>14.0</x:v>
      </x:c>
      <x:c r="BV825" s="6" t="str">
        <x:v>1</x:v>
      </x:c>
      <x:c r="BW825" s="9" t="str">
        <x:v>operational_snapshot_annual_totals_may_differ</x:v>
      </x:c>
      <x:c r="BX825" s="9" t="str">
        <x:v>official_live_dashboard_snapshot_subject_to_revision</x:v>
      </x:c>
      <x:c r="BY825" s="9" t="str">
        <x:v>https://tbdashboard.sitb.id/ss_data_tbc03so_2024_provinsi_bulanan_list.php</x:v>
      </x:c>
      <x:c r="BZ825" s="6" t="n">
        <x:v>46246.610671296294</x:v>
      </x:c>
    </x:row>
    <x:row r="826" ht="18" customHeight="1">
      <x:c r="A826" s="6" t="str">
        <x:v>94</x:v>
      </x:c>
      <x:c r="B826" s="6" t="str">
        <x:v>PAPUA</x:v>
      </x:c>
      <x:c r="C826" s="6" t="str">
        <x:v>2024</x:v>
      </x:c>
      <x:c r="D826" s="6" t="str">
        <x:v>9</x:v>
      </x:c>
      <x:c r="E826" s="6" t="str">
        <x:v>2024-09</x:v>
      </x:c>
      <x:c r="F826" s="6" t="str">
        <x:v>496</x:v>
      </x:c>
      <x:c r="G826" s="6" t="str">
        <x:v>128</x:v>
      </x:c>
      <x:c r="H826" s="6" t="str">
        <x:v>259</x:v>
      </x:c>
      <x:c r="I826" s="6" t="str">
        <x:v>73</x:v>
      </x:c>
      <x:c r="J826" s="6" t="str">
        <x:v>31</x:v>
      </x:c>
      <x:c r="K826" s="6" t="str">
        <x:v>2</x:v>
      </x:c>
      <x:c r="L826" s="6" t="str">
        <x:v>2</x:v>
      </x:c>
      <x:c r="M826" s="6" t="str">
        <x:v>1</x:v>
      </x:c>
      <x:c r="N826" s="6" t="str">
        <x:v>496</x:v>
      </x:c>
      <x:c r="O826" s="6" t="str">
        <x:v>0</x:v>
      </x:c>
      <x:c r="P826" s="10" t="n">
        <x:f>F826-M826</x:f>
        <x:v>495</x:v>
      </x:c>
      <x:c r="Q826" s="11" t="n">
        <x:f>IFERROR(M826/F826,"")</x:f>
        <x:v>0.0020161290322580645</x:v>
      </x:c>
      <x:c r="R826" s="10" t="n">
        <x:f>G826+H826</x:f>
        <x:v>387</x:v>
      </x:c>
      <x:c r="S826" s="11" t="n">
        <x:f>IFERROR(R826/F826,"")</x:f>
        <x:v>0.780241935483871</x:v>
      </x:c>
      <x:c r="T826" s="11" t="n">
        <x:f>IFERROR(R826/P826,"")</x:f>
        <x:v>0.7818181818181819</x:v>
      </x:c>
      <x:c r="U826" s="10" t="n">
        <x:f>I826+J826+K826</x:f>
        <x:v>106</x:v>
      </x:c>
      <x:c r="V826" s="11" t="n">
        <x:f>IFERROR(U826/P826,"")</x:f>
        <x:v>0.21414141414141413</x:v>
      </x:c>
      <x:c r="W826" s="9" t="str">
        <x:v>mature_le_5pct_pending</x:v>
      </x:c>
      <x:c r="X826" s="12" t="n">
        <x:f>IFERROR(F826/Z826*100000,"")</x:f>
        <x:v>46.765981519894396</x:v>
      </x:c>
      <x:c r="Y826" s="13" t="n">
        <x:f>LN(Z826)</x:f>
        <x:v>13.874345343685167</x:v>
      </x:c>
      <x:c r="Z826" s="6" t="str">
        <x:v>1060600</x:v>
      </x:c>
      <x:c r="AA826" s="6" t="str">
        <x:v>13.0</x:v>
      </x:c>
      <x:c r="AB826" s="9" t="str">
        <x:v>2024-06-30</x:v>
      </x:c>
      <x:c r="AC826" s="8" t="str">
        <x:v>80.57</x:v>
      </x:c>
      <x:c r="AD826" s="9" t="str">
        <x:v>2024 (Susenas)</x:v>
      </x:c>
      <x:c r="AE826" s="8" t="str">
        <x:v>17.26</x:v>
      </x:c>
      <x:c r="AF826" s="9" t="str">
        <x:v>Maret 2024 (Susenas)</x:v>
      </x:c>
      <x:c r="AG826" s="6" t="str">
        <x:v>26.06007233886197</x:v>
      </x:c>
      <x:c r="AH826" s="8" t="str">
        <x:v>84.99674902631949</x:v>
      </x:c>
      <x:c r="AI826" s="6" t="str">
        <x:v>130.8863142967539</x:v>
      </x:c>
      <x:c r="AJ826" s="6" t="str">
        <x:v>0.9435319518303728</x:v>
      </x:c>
      <x:c r="AK826" s="8" t="str">
        <x:v>1.9468828132563896</x:v>
      </x:c>
      <x:c r="AL826" s="6" t="str">
        <x:v>1.881287442869886</x:v>
      </x:c>
      <x:c r="AM826" s="6" t="str">
        <x:v>1.4289796255263802</x:v>
      </x:c>
      <x:c r="AN826" s="6" t="str">
        <x:v>1.7523832938842192</x:v>
      </x:c>
      <x:c r="AO826" s="6" t="str">
        <x:v>-2.1155591046318136</x:v>
      </x:c>
      <x:c r="AP826" s="8" t="str">
        <x:v>-0.6061668700841607</x:v>
      </x:c>
      <x:c r="AQ826" s="6" t="str">
        <x:v>0.0503868609153196</x:v>
      </x:c>
      <x:c r="AR826" s="6" t="str">
        <x:v>0.3956210319211881</x:v>
      </x:c>
      <x:c r="AS826" s="6" t="str">
        <x:v>-0.0533863257492175</x:v>
      </x:c>
      <x:c r="AT826" s="6" t="str">
        <x:v>-31.148160540639992</x:v>
      </x:c>
      <x:c r="AU826" s="8" t="str">
        <x:v>-0.5023573248659788</x:v>
      </x:c>
      <x:c r="AV826" s="6" t="str">
        <x:v>-0.5628174287967963</x:v>
      </x:c>
      <x:c r="AW826" s="6" t="str">
        <x:v>-1.073158777898825</x:v>
      </x:c>
      <x:c r="AX826" s="6" t="str">
        <x:v>-0.7127778438538664</x:v>
      </x:c>
      <x:c r="AY826" s="6" t="str">
        <x:v>0</x:v>
      </x:c>
      <x:c r="AZ826" s="6" t="str">
        <x:v>1</x:v>
      </x:c>
      <x:c r="BA826" s="9" t="str">
        <x:v>grid_cells_within_BIG_polygon</x:v>
      </x:c>
      <x:c r="BB826" s="6" t="str">
        <x:v>19</x:v>
      </x:c>
      <x:c r="BC826" s="6" t="str">
        <x:v>3</x:v>
      </x:c>
      <x:c r="BD826" s="6" t="str">
        <x:v>3</x:v>
      </x:c>
      <x:c r="BE826" s="6" t="str">
        <x:v>2</x:v>
      </x:c>
      <x:c r="BF826" s="6" t="str">
        <x:v>0</x:v>
      </x:c>
      <x:c r="BG826" s="6" t="str">
        <x:v>1</x:v>
      </x:c>
      <x:c r="BH826" s="6" t="str">
        <x:v>0</x:v>
      </x:c>
      <x:c r="BI826" s="6" t="str">
        <x:v>0</x:v>
      </x:c>
      <x:c r="BJ826" s="6" t="str">
        <x:v>0</x:v>
      </x:c>
      <x:c r="BK826" s="6" t="str">
        <x:v>0</x:v>
      </x:c>
      <x:c r="BL826" s="6" t="str">
        <x:v>0</x:v>
      </x:c>
      <x:c r="BM826" s="6" t="str">
        <x:v>0</x:v>
      </x:c>
      <x:c r="BN826" s="6" t="str">
        <x:v>3</x:v>
      </x:c>
      <x:c r="BO826" s="6" t="str">
        <x:v>0.0</x:v>
      </x:c>
      <x:c r="BP826" s="6" t="str">
        <x:v>3</x:v>
      </x:c>
      <x:c r="BQ826" s="6" t="str">
        <x:v>0.0</x:v>
      </x:c>
      <x:c r="BR826" s="6" t="str">
        <x:v>3</x:v>
      </x:c>
      <x:c r="BS826" s="6" t="str">
        <x:v>6.0</x:v>
      </x:c>
      <x:c r="BT826" s="6" t="str">
        <x:v>3</x:v>
      </x:c>
      <x:c r="BU826" s="6" t="str">
        <x:v>47.0</x:v>
      </x:c>
      <x:c r="BV826" s="6" t="str">
        <x:v>2</x:v>
      </x:c>
      <x:c r="BW826" s="9" t="str">
        <x:v>operational_snapshot_annual_totals_may_differ</x:v>
      </x:c>
      <x:c r="BX826" s="9" t="str">
        <x:v>official_live_dashboard_snapshot_subject_to_revision</x:v>
      </x:c>
      <x:c r="BY826" s="9" t="str">
        <x:v>https://tbdashboard.sitb.id/ss_data_tbc03so_2024_provinsi_bulanan_list.php</x:v>
      </x:c>
      <x:c r="BZ826" s="6" t="n">
        <x:v>46246.610671296294</x:v>
      </x:c>
    </x:row>
    <x:row r="827" ht="18" customHeight="1">
      <x:c r="A827" s="6" t="str">
        <x:v>94</x:v>
      </x:c>
      <x:c r="B827" s="6" t="str">
        <x:v>PAPUA</x:v>
      </x:c>
      <x:c r="C827" s="6" t="str">
        <x:v>2024</x:v>
      </x:c>
      <x:c r="D827" s="6" t="str">
        <x:v>10</x:v>
      </x:c>
      <x:c r="E827" s="6" t="str">
        <x:v>2024-10</x:v>
      </x:c>
      <x:c r="F827" s="6" t="str">
        <x:v>486</x:v>
      </x:c>
      <x:c r="G827" s="6" t="str">
        <x:v>106</x:v>
      </x:c>
      <x:c r="H827" s="6" t="str">
        <x:v>267</x:v>
      </x:c>
      <x:c r="I827" s="6" t="str">
        <x:v>77</x:v>
      </x:c>
      <x:c r="J827" s="6" t="str">
        <x:v>28</x:v>
      </x:c>
      <x:c r="K827" s="6" t="str">
        <x:v>3</x:v>
      </x:c>
      <x:c r="L827" s="6" t="str">
        <x:v>5</x:v>
      </x:c>
      <x:c r="M827" s="6" t="str">
        <x:v>0</x:v>
      </x:c>
      <x:c r="N827" s="6" t="str">
        <x:v>486</x:v>
      </x:c>
      <x:c r="O827" s="6" t="str">
        <x:v>0</x:v>
      </x:c>
      <x:c r="P827" s="10" t="n">
        <x:f>F827-M827</x:f>
        <x:v>486</x:v>
      </x:c>
      <x:c r="Q827" s="11" t="n">
        <x:f>IFERROR(M827/F827,"")</x:f>
        <x:v>0</x:v>
      </x:c>
      <x:c r="R827" s="10" t="n">
        <x:f>G827+H827</x:f>
        <x:v>373</x:v>
      </x:c>
      <x:c r="S827" s="11" t="n">
        <x:f>IFERROR(R827/F827,"")</x:f>
        <x:v>0.7674897119341564</x:v>
      </x:c>
      <x:c r="T827" s="11" t="n">
        <x:f>IFERROR(R827/P827,"")</x:f>
        <x:v>0.7674897119341564</x:v>
      </x:c>
      <x:c r="U827" s="10" t="n">
        <x:f>I827+J827+K827</x:f>
        <x:v>108</x:v>
      </x:c>
      <x:c r="V827" s="11" t="n">
        <x:f>IFERROR(U827/P827,"")</x:f>
        <x:v>0.2222222222222222</x:v>
      </x:c>
      <x:c r="W827" s="9" t="str">
        <x:v>mature_le_5pct_pending</x:v>
      </x:c>
      <x:c r="X827" s="12" t="n">
        <x:f>IFERROR(F827/Z827*100000,"")</x:f>
        <x:v>45.82311898925137</x:v>
      </x:c>
      <x:c r="Y827" s="13" t="n">
        <x:f>LN(Z827)</x:f>
        <x:v>13.874345343685167</x:v>
      </x:c>
      <x:c r="Z827" s="6" t="str">
        <x:v>1060600</x:v>
      </x:c>
      <x:c r="AA827" s="6" t="str">
        <x:v>13.0</x:v>
      </x:c>
      <x:c r="AB827" s="9" t="str">
        <x:v>2024-06-30</x:v>
      </x:c>
      <x:c r="AC827" s="8" t="str">
        <x:v>80.57</x:v>
      </x:c>
      <x:c r="AD827" s="9" t="str">
        <x:v>2024 (Susenas)</x:v>
      </x:c>
      <x:c r="AE827" s="8" t="str">
        <x:v>17.26</x:v>
      </x:c>
      <x:c r="AF827" s="9" t="str">
        <x:v>Maret 2024 (Susenas)</x:v>
      </x:c>
      <x:c r="AG827" s="6" t="str">
        <x:v>25.91008782637677</x:v>
      </x:c>
      <x:c r="AH827" s="8" t="str">
        <x:v>86.63431080064345</x:v>
      </x:c>
      <x:c r="AI827" s="6" t="str">
        <x:v>270.10320014332603</x:v>
      </x:c>
      <x:c r="AJ827" s="6" t="str">
        <x:v>0.5059672475627508</x:v>
      </x:c>
      <x:c r="AK827" s="8" t="str">
        <x:v>1.1451846604913574</x:v>
      </x:c>
      <x:c r="AL827" s="6" t="str">
        <x:v>1.9468828132563896</x:v>
      </x:c>
      <x:c r="AM827" s="6" t="str">
        <x:v>1.881287442869886</x:v>
      </x:c>
      <x:c r="AN827" s="6" t="str">
        <x:v>1.6577849722058782</x:v>
      </x:c>
      <x:c r="AO827" s="6" t="str">
        <x:v>-0.0541629999536752</x:v>
      </x:c>
      <x:c r="AP827" s="8" t="str">
        <x:v>-0.0149186826713698</x:v>
      </x:c>
      <x:c r="AQ827" s="6" t="str">
        <x:v>-0.6061668700841607</x:v>
      </x:c>
      <x:c r="AR827" s="6" t="str">
        <x:v>0.0503868609153196</x:v>
      </x:c>
      <x:c r="AS827" s="6" t="str">
        <x:v>-0.1902328972800702</x:v>
      </x:c>
      <x:c r="AT827" s="6" t="str">
        <x:v>107.44414661490468</x:v>
      </x:c>
      <x:c r="AU827" s="8" t="str">
        <x:v>1.7607065413604812</x:v>
      </x:c>
      <x:c r="AV827" s="6" t="str">
        <x:v>-0.5023573248659788</x:v>
      </x:c>
      <x:c r="AW827" s="6" t="str">
        <x:v>-0.5628174287967963</x:v>
      </x:c>
      <x:c r="AX827" s="6" t="str">
        <x:v>0.231843929232569</x:v>
      </x:c>
      <x:c r="AY827" s="6" t="str">
        <x:v>1</x:v>
      </x:c>
      <x:c r="AZ827" s="6" t="str">
        <x:v>1</x:v>
      </x:c>
      <x:c r="BA827" s="9" t="str">
        <x:v>grid_cells_within_BIG_polygon</x:v>
      </x:c>
      <x:c r="BB827" s="6" t="str">
        <x:v>19</x:v>
      </x:c>
      <x:c r="BC827" s="6" t="str">
        <x:v>1</x:v>
      </x:c>
      <x:c r="BD827" s="6" t="str">
        <x:v>1</x:v>
      </x:c>
      <x:c r="BE827" s="6" t="str">
        <x:v>1</x:v>
      </x:c>
      <x:c r="BF827" s="6" t="str">
        <x:v>0</x:v>
      </x:c>
      <x:c r="BG827" s="6" t="str">
        <x:v>0</x:v>
      </x:c>
      <x:c r="BH827" s="6" t="str">
        <x:v>0</x:v>
      </x:c>
      <x:c r="BI827" s="6" t="str">
        <x:v>0</x:v>
      </x:c>
      <x:c r="BJ827" s="6" t="str">
        <x:v>0</x:v>
      </x:c>
      <x:c r="BK827" s="6" t="str">
        <x:v>0</x:v>
      </x:c>
      <x:c r="BL827" s="6" t="str">
        <x:v>0</x:v>
      </x:c>
      <x:c r="BM827" s="6" t="str">
        <x:v>0</x:v>
      </x:c>
      <x:c r="BN827" s="6" t="str">
        <x:v>1</x:v>
      </x:c>
      <x:c r="BO827" s="6" t="str">
        <x:v>0.0</x:v>
      </x:c>
      <x:c r="BP827" s="6" t="str">
        <x:v>1</x:v>
      </x:c>
      <x:c r="BQ827" s="6" t="str">
        <x:v>0.0</x:v>
      </x:c>
      <x:c r="BR827" s="6" t="str">
        <x:v>1</x:v>
      </x:c>
      <x:c r="BS827" s="6" t="str">
        <x:v>0.0</x:v>
      </x:c>
      <x:c r="BT827" s="6" t="str">
        <x:v>1</x:v>
      </x:c>
      <x:c r="BU827" s="6" t="str">
        <x:v>260.0</x:v>
      </x:c>
      <x:c r="BV827" s="6" t="str">
        <x:v>1</x:v>
      </x:c>
      <x:c r="BW827" s="9" t="str">
        <x:v>operational_snapshot_annual_totals_may_differ</x:v>
      </x:c>
      <x:c r="BX827" s="9" t="str">
        <x:v>official_live_dashboard_snapshot_subject_to_revision</x:v>
      </x:c>
      <x:c r="BY827" s="9" t="str">
        <x:v>https://tbdashboard.sitb.id/ss_data_tbc03so_2024_provinsi_bulanan_list.php</x:v>
      </x:c>
      <x:c r="BZ827" s="6" t="n">
        <x:v>46246.610671296294</x:v>
      </x:c>
    </x:row>
    <x:row r="828" ht="18" customHeight="1">
      <x:c r="A828" s="6" t="str">
        <x:v>94</x:v>
      </x:c>
      <x:c r="B828" s="6" t="str">
        <x:v>PAPUA</x:v>
      </x:c>
      <x:c r="C828" s="6" t="str">
        <x:v>2024</x:v>
      </x:c>
      <x:c r="D828" s="6" t="str">
        <x:v>11</x:v>
      </x:c>
      <x:c r="E828" s="6" t="str">
        <x:v>2024-11</x:v>
      </x:c>
      <x:c r="F828" s="6" t="str">
        <x:v>453</x:v>
      </x:c>
      <x:c r="G828" s="6" t="str">
        <x:v>103</x:v>
      </x:c>
      <x:c r="H828" s="6" t="str">
        <x:v>252</x:v>
      </x:c>
      <x:c r="I828" s="6" t="str">
        <x:v>67</x:v>
      </x:c>
      <x:c r="J828" s="6" t="str">
        <x:v>25</x:v>
      </x:c>
      <x:c r="K828" s="6" t="str">
        <x:v>1</x:v>
      </x:c>
      <x:c r="L828" s="6" t="str">
        <x:v>4</x:v>
      </x:c>
      <x:c r="M828" s="6" t="str">
        <x:v>1</x:v>
      </x:c>
      <x:c r="N828" s="6" t="str">
        <x:v>453</x:v>
      </x:c>
      <x:c r="O828" s="6" t="str">
        <x:v>0</x:v>
      </x:c>
      <x:c r="P828" s="10" t="n">
        <x:f>F828-M828</x:f>
        <x:v>452</x:v>
      </x:c>
      <x:c r="Q828" s="11" t="n">
        <x:f>IFERROR(M828/F828,"")</x:f>
        <x:v>0.002207505518763797</x:v>
      </x:c>
      <x:c r="R828" s="10" t="n">
        <x:f>G828+H828</x:f>
        <x:v>355</x:v>
      </x:c>
      <x:c r="S828" s="11" t="n">
        <x:f>IFERROR(R828/F828,"")</x:f>
        <x:v>0.7836644591611479</x:v>
      </x:c>
      <x:c r="T828" s="11" t="n">
        <x:f>IFERROR(R828/P828,"")</x:f>
        <x:v>0.7853982300884956</x:v>
      </x:c>
      <x:c r="U828" s="10" t="n">
        <x:f>I828+J828+K828</x:f>
        <x:v>93</x:v>
      </x:c>
      <x:c r="V828" s="11" t="n">
        <x:f>IFERROR(U828/P828,"")</x:f>
        <x:v>0.20575221238938052</x:v>
      </x:c>
      <x:c r="W828" s="9" t="str">
        <x:v>mature_le_5pct_pending</x:v>
      </x:c>
      <x:c r="X828" s="12" t="n">
        <x:f>IFERROR(F828/Z828*100000,"")</x:f>
        <x:v>42.71167263812936</x:v>
      </x:c>
      <x:c r="Y828" s="13" t="n">
        <x:f>LN(Z828)</x:f>
        <x:v>13.874345343685167</x:v>
      </x:c>
      <x:c r="Z828" s="6" t="str">
        <x:v>1060600</x:v>
      </x:c>
      <x:c r="AA828" s="6" t="str">
        <x:v>13.0</x:v>
      </x:c>
      <x:c r="AB828" s="9" t="str">
        <x:v>2024-06-30</x:v>
      </x:c>
      <x:c r="AC828" s="8" t="str">
        <x:v>80.57</x:v>
      </x:c>
      <x:c r="AD828" s="9" t="str">
        <x:v>2024 (Susenas)</x:v>
      </x:c>
      <x:c r="AE828" s="8" t="str">
        <x:v>17.26</x:v>
      </x:c>
      <x:c r="AF828" s="9" t="str">
        <x:v>Maret 2024 (Susenas)</x:v>
      </x:c>
      <x:c r="AG828" s="6" t="str">
        <x:v>26.08067480448401</x:v>
      </x:c>
      <x:c r="AH828" s="8" t="str">
        <x:v>87.72189249820168</x:v>
      </x:c>
      <x:c r="AI828" s="6" t="str">
        <x:v>139.6375161693796</x:v>
      </x:c>
      <x:c r="AJ828" s="6" t="str">
        <x:v>0.685848514303693</x:v>
      </x:c>
      <x:c r="AK828" s="8" t="str">
        <x:v>1.8343164814970927</x:v>
      </x:c>
      <x:c r="AL828" s="6" t="str">
        <x:v>1.1451846604913574</x:v>
      </x:c>
      <x:c r="AM828" s="6" t="str">
        <x:v>1.9468828132563896</x:v>
      </x:c>
      <x:c r="AN828" s="6" t="str">
        <x:v>1.642127985081614</x:v>
      </x:c>
      <x:c r="AO828" s="6" t="str">
        <x:v>-0.4963906825253446</x:v>
      </x:c>
      <x:c r="AP828" s="8" t="str">
        <x:v>-0.1759503802203716</x:v>
      </x:c>
      <x:c r="AQ828" s="6" t="str">
        <x:v>-0.0149186826713698</x:v>
      </x:c>
      <x:c r="AR828" s="6" t="str">
        <x:v>-0.6061668700841607</x:v>
      </x:c>
      <x:c r="AS828" s="6" t="str">
        <x:v>-0.2656786443253007</x:v>
      </x:c>
      <x:c r="AT828" s="6" t="str">
        <x:v>-38.71641440839784</x:v>
      </x:c>
      <x:c r="AU828" s="8" t="str">
        <x:v>-0.6209685216675042</x:v>
      </x:c>
      <x:c r="AV828" s="6" t="str">
        <x:v>1.7607065413604812</x:v>
      </x:c>
      <x:c r="AW828" s="6" t="str">
        <x:v>-0.5023573248659788</x:v>
      </x:c>
      <x:c r="AX828" s="6" t="str">
        <x:v>0.2124602316089996</x:v>
      </x:c>
      <x:c r="AY828" s="6" t="str">
        <x:v>0</x:v>
      </x:c>
      <x:c r="AZ828" s="6" t="str">
        <x:v>1</x:v>
      </x:c>
      <x:c r="BA828" s="9" t="str">
        <x:v>grid_cells_within_BIG_polygon</x:v>
      </x:c>
      <x:c r="BB828" s="6" t="str">
        <x:v>19</x:v>
      </x:c>
      <x:c r="BC828" s="6" t="str">
        <x:v>0</x:v>
      </x:c>
      <x:c r="BD828" s="6" t="str">
        <x:v>0</x:v>
      </x:c>
      <x:c r="BE828" s="6" t="str">
        <x:v>0</x:v>
      </x:c>
      <x:c r="BF828" s="6" t="str">
        <x:v>0</x:v>
      </x:c>
      <x:c r="BG828" s="6" t="str">
        <x:v>0</x:v>
      </x:c>
      <x:c r="BH828" s="6" t="str">
        <x:v>0</x:v>
      </x:c>
      <x:c r="BI828" s="6" t="str">
        <x:v>0</x:v>
      </x:c>
      <x:c r="BJ828" s="6" t="str">
        <x:v>0</x:v>
      </x:c>
      <x:c r="BK828" s="6" t="str">
        <x:v>0</x:v>
      </x:c>
      <x:c r="BL828" s="6" t="str">
        <x:v>0</x:v>
      </x:c>
      <x:c r="BM828" s="6" t="str">
        <x:v>0</x:v>
      </x:c>
      <x:c r="BN828" s="6" t="str">
        <x:v>0</x:v>
      </x:c>
      <x:c r="BO828" s="6" t="str"/>
      <x:c r="BP828" s="6" t="str">
        <x:v>0</x:v>
      </x:c>
      <x:c r="BQ828" s="6" t="str"/>
      <x:c r="BR828" s="6" t="str">
        <x:v>0</x:v>
      </x:c>
      <x:c r="BS828" s="6" t="str"/>
      <x:c r="BT828" s="6" t="str">
        <x:v>0</x:v>
      </x:c>
      <x:c r="BU828" s="6" t="str"/>
      <x:c r="BV828" s="6" t="str">
        <x:v>0</x:v>
      </x:c>
      <x:c r="BW828" s="9" t="str">
        <x:v>operational_snapshot_annual_totals_may_differ</x:v>
      </x:c>
      <x:c r="BX828" s="9" t="str">
        <x:v>official_live_dashboard_snapshot_subject_to_revision</x:v>
      </x:c>
      <x:c r="BY828" s="9" t="str">
        <x:v>https://tbdashboard.sitb.id/ss_data_tbc03so_2024_provinsi_bulanan_list.php</x:v>
      </x:c>
      <x:c r="BZ828" s="6" t="n">
        <x:v>46246.610671296294</x:v>
      </x:c>
    </x:row>
    <x:row r="829" ht="18" customHeight="1">
      <x:c r="A829" s="6" t="str">
        <x:v>94</x:v>
      </x:c>
      <x:c r="B829" s="6" t="str">
        <x:v>PAPUA</x:v>
      </x:c>
      <x:c r="C829" s="6" t="str">
        <x:v>2024</x:v>
      </x:c>
      <x:c r="D829" s="6" t="str">
        <x:v>12</x:v>
      </x:c>
      <x:c r="E829" s="6" t="str">
        <x:v>2024-12</x:v>
      </x:c>
      <x:c r="F829" s="6" t="str">
        <x:v>450</x:v>
      </x:c>
      <x:c r="G829" s="6" t="str">
        <x:v>82</x:v>
      </x:c>
      <x:c r="H829" s="6" t="str">
        <x:v>254</x:v>
      </x:c>
      <x:c r="I829" s="6" t="str">
        <x:v>82</x:v>
      </x:c>
      <x:c r="J829" s="6" t="str">
        <x:v>28</x:v>
      </x:c>
      <x:c r="K829" s="6" t="str">
        <x:v>3</x:v>
      </x:c>
      <x:c r="L829" s="6" t="str">
        <x:v>0</x:v>
      </x:c>
      <x:c r="M829" s="6" t="str">
        <x:v>1</x:v>
      </x:c>
      <x:c r="N829" s="6" t="str">
        <x:v>450</x:v>
      </x:c>
      <x:c r="O829" s="6" t="str">
        <x:v>0</x:v>
      </x:c>
      <x:c r="P829" s="10" t="n">
        <x:f>F829-M829</x:f>
        <x:v>449</x:v>
      </x:c>
      <x:c r="Q829" s="11" t="n">
        <x:f>IFERROR(M829/F829,"")</x:f>
        <x:v>0.0022222222222222222</x:v>
      </x:c>
      <x:c r="R829" s="10" t="n">
        <x:f>G829+H829</x:f>
        <x:v>336</x:v>
      </x:c>
      <x:c r="S829" s="11" t="n">
        <x:f>IFERROR(R829/F829,"")</x:f>
        <x:v>0.7466666666666667</x:v>
      </x:c>
      <x:c r="T829" s="11" t="n">
        <x:f>IFERROR(R829/P829,"")</x:f>
        <x:v>0.7483296213808464</x:v>
      </x:c>
      <x:c r="U829" s="10" t="n">
        <x:f>I829+J829+K829</x:f>
        <x:v>113</x:v>
      </x:c>
      <x:c r="V829" s="11" t="n">
        <x:f>IFERROR(U829/P829,"")</x:f>
        <x:v>0.2516703786191537</x:v>
      </x:c>
      <x:c r="W829" s="9" t="str">
        <x:v>mature_le_5pct_pending</x:v>
      </x:c>
      <x:c r="X829" s="12" t="n">
        <x:f>IFERROR(F829/Z829*100000,"")</x:f>
        <x:v>42.42881387893645</x:v>
      </x:c>
      <x:c r="Y829" s="13" t="n">
        <x:f>LN(Z829)</x:f>
        <x:v>13.874345343685167</x:v>
      </x:c>
      <x:c r="Z829" s="6" t="str">
        <x:v>1060600</x:v>
      </x:c>
      <x:c r="AA829" s="6" t="str">
        <x:v>13.0</x:v>
      </x:c>
      <x:c r="AB829" s="9" t="str">
        <x:v>2024-06-30</x:v>
      </x:c>
      <x:c r="AC829" s="8" t="str">
        <x:v>80.57</x:v>
      </x:c>
      <x:c r="AD829" s="9" t="str">
        <x:v>2024 (Susenas)</x:v>
      </x:c>
      <x:c r="AE829" s="8" t="str">
        <x:v>17.26</x:v>
      </x:c>
      <x:c r="AF829" s="9" t="str">
        <x:v>Maret 2024 (Susenas)</x:v>
      </x:c>
      <x:c r="AG829" s="6" t="str">
        <x:v>25.78274921353766</x:v>
      </x:c>
      <x:c r="AH829" s="8" t="str">
        <x:v>90.0584721157934</x:v>
      </x:c>
      <x:c r="AI829" s="6" t="str">
        <x:v>298.46890057807093</x:v>
      </x:c>
      <x:c r="AJ829" s="6" t="str">
        <x:v>0.4594485655501401</x:v>
      </x:c>
      <x:c r="AK829" s="8" t="str">
        <x:v>1.6458314155202565</x:v>
      </x:c>
      <x:c r="AL829" s="6" t="str">
        <x:v>1.8343164814970927</x:v>
      </x:c>
      <x:c r="AM829" s="6" t="str">
        <x:v>1.1451846604913574</x:v>
      </x:c>
      <x:c r="AN829" s="6" t="str">
        <x:v>1.5417775191695695</x:v>
      </x:c>
      <x:c r="AO829" s="6" t="str">
        <x:v>0.6724891615123596</x:v>
      </x:c>
      <x:c r="AP829" s="8" t="str">
        <x:v>0.3308158566440313</x:v>
      </x:c>
      <x:c r="AQ829" s="6" t="str">
        <x:v>-0.1759503802203716</x:v>
      </x:c>
      <x:c r="AR829" s="6" t="str">
        <x:v>-0.0149186826713698</x:v>
      </x:c>
      <x:c r="AS829" s="6" t="str">
        <x:v>0.0466489312507633</x:v>
      </x:c>
      <x:c r="AT829" s="6" t="str">
        <x:v>102.5652803690503</x:v>
      </x:c>
      <x:c r="AU829" s="8" t="str">
        <x:v>1.8180583103984207</x:v>
      </x:c>
      <x:c r="AV829" s="6" t="str">
        <x:v>-0.6209685216675042</x:v>
      </x:c>
      <x:c r="AW829" s="6" t="str">
        <x:v>1.7607065413604812</x:v>
      </x:c>
      <x:c r="AX829" s="6" t="str">
        <x:v>0.9859321100304662</x:v>
      </x:c>
      <x:c r="AY829" s="6" t="str">
        <x:v>1</x:v>
      </x:c>
      <x:c r="AZ829" s="6" t="str">
        <x:v>1</x:v>
      </x:c>
      <x:c r="BA829" s="9" t="str">
        <x:v>grid_cells_within_BIG_polygon</x:v>
      </x:c>
      <x:c r="BB829" s="6" t="str">
        <x:v>19</x:v>
      </x:c>
      <x:c r="BC829" s="6" t="str">
        <x:v>3</x:v>
      </x:c>
      <x:c r="BD829" s="6" t="str">
        <x:v>3</x:v>
      </x:c>
      <x:c r="BE829" s="6" t="str">
        <x:v>2</x:v>
      </x:c>
      <x:c r="BF829" s="6" t="str">
        <x:v>0</x:v>
      </x:c>
      <x:c r="BG829" s="6" t="str">
        <x:v>1</x:v>
      </x:c>
      <x:c r="BH829" s="6" t="str">
        <x:v>0</x:v>
      </x:c>
      <x:c r="BI829" s="6" t="str">
        <x:v>0</x:v>
      </x:c>
      <x:c r="BJ829" s="6" t="str">
        <x:v>0</x:v>
      </x:c>
      <x:c r="BK829" s="6" t="str">
        <x:v>0</x:v>
      </x:c>
      <x:c r="BL829" s="6" t="str">
        <x:v>0</x:v>
      </x:c>
      <x:c r="BM829" s="6" t="str">
        <x:v>0</x:v>
      </x:c>
      <x:c r="BN829" s="6" t="str">
        <x:v>3</x:v>
      </x:c>
      <x:c r="BO829" s="6" t="str">
        <x:v>2.0</x:v>
      </x:c>
      <x:c r="BP829" s="6" t="str">
        <x:v>3</x:v>
      </x:c>
      <x:c r="BQ829" s="6" t="str">
        <x:v>0.0</x:v>
      </x:c>
      <x:c r="BR829" s="6" t="str">
        <x:v>3</x:v>
      </x:c>
      <x:c r="BS829" s="6" t="str">
        <x:v>1.0</x:v>
      </x:c>
      <x:c r="BT829" s="6" t="str">
        <x:v>3</x:v>
      </x:c>
      <x:c r="BU829" s="6" t="str">
        <x:v>317.0</x:v>
      </x:c>
      <x:c r="BV829" s="6" t="str">
        <x:v>1</x:v>
      </x:c>
      <x:c r="BW829" s="9" t="str">
        <x:v>operational_snapshot_annual_totals_may_differ</x:v>
      </x:c>
      <x:c r="BX829" s="9" t="str">
        <x:v>official_live_dashboard_snapshot_subject_to_revision</x:v>
      </x:c>
      <x:c r="BY829" s="9" t="str">
        <x:v>https://tbdashboard.sitb.id/ss_data_tbc03so_2024_provinsi_bulanan_list.php</x:v>
      </x:c>
      <x:c r="BZ829" s="6" t="n">
        <x:v>46246.610671296294</x:v>
      </x:c>
    </x:row>
    <x:row r="830" ht="18" customHeight="1">
      <x:c r="A830" s="6" t="str">
        <x:v>94</x:v>
      </x:c>
      <x:c r="B830" s="6" t="str">
        <x:v>PAPUA</x:v>
      </x:c>
      <x:c r="C830" s="6" t="str">
        <x:v>2025</x:v>
      </x:c>
      <x:c r="D830" s="6" t="str">
        <x:v>1</x:v>
      </x:c>
      <x:c r="E830" s="6" t="str">
        <x:v>2025-01</x:v>
      </x:c>
      <x:c r="F830" s="6" t="str">
        <x:v>468</x:v>
      </x:c>
      <x:c r="G830" s="6" t="str">
        <x:v>103</x:v>
      </x:c>
      <x:c r="H830" s="6" t="str">
        <x:v>233</x:v>
      </x:c>
      <x:c r="I830" s="6" t="str">
        <x:v>59</x:v>
      </x:c>
      <x:c r="J830" s="6" t="str">
        <x:v>36</x:v>
      </x:c>
      <x:c r="K830" s="6" t="str">
        <x:v>0</x:v>
      </x:c>
      <x:c r="L830" s="6" t="str">
        <x:v>4</x:v>
      </x:c>
      <x:c r="M830" s="6" t="str">
        <x:v>33</x:v>
      </x:c>
      <x:c r="N830" s="6" t="str">
        <x:v>468</x:v>
      </x:c>
      <x:c r="O830" s="6" t="str">
        <x:v>0</x:v>
      </x:c>
      <x:c r="P830" s="10" t="n">
        <x:f>F830-M830</x:f>
        <x:v>435</x:v>
      </x:c>
      <x:c r="Q830" s="11" t="n">
        <x:f>IFERROR(M830/F830,"")</x:f>
        <x:v>0.07051282051282051</x:v>
      </x:c>
      <x:c r="R830" s="10" t="n">
        <x:f>G830+H830</x:f>
        <x:v>336</x:v>
      </x:c>
      <x:c r="S830" s="11" t="n">
        <x:f>IFERROR(R830/F830,"")</x:f>
        <x:v>0.717948717948718</x:v>
      </x:c>
      <x:c r="T830" s="11" t="n">
        <x:f>IFERROR(R830/P830,"")</x:f>
        <x:v>0.7724137931034483</x:v>
      </x:c>
      <x:c r="U830" s="10" t="n">
        <x:f>I830+J830+K830</x:f>
        <x:v>95</x:v>
      </x:c>
      <x:c r="V830" s="11" t="n">
        <x:f>IFERROR(U830/P830,"")</x:f>
        <x:v>0.21839080459770116</x:v>
      </x:c>
      <x:c r="W830" s="9" t="str">
        <x:v>provisional_gt_5pct_pending</x:v>
      </x:c>
      <x:c r="X830" s="12" t="n">
        <x:f>IFERROR(F830/Z830*100000,"")</x:f>
        <x:v>43.59165424739195</x:v>
      </x:c>
      <x:c r="Y830" s="13" t="n">
        <x:f>LN(Z830)</x:f>
        <x:v>13.886528045199555</x:v>
      </x:c>
      <x:c r="Z830" s="6" t="str">
        <x:v>1073600</x:v>
      </x:c>
      <x:c r="AA830" s="6" t="str">
        <x:v>13.0</x:v>
      </x:c>
      <x:c r="AB830" s="9" t="str">
        <x:v>2025-06-30</x:v>
      </x:c>
      <x:c r="AC830" s="8" t="str">
        <x:v>76.7</x:v>
      </x:c>
      <x:c r="AD830" s="9" t="str">
        <x:v>2025 (Susenas)</x:v>
      </x:c>
      <x:c r="AE830" s="8" t="str">
        <x:v>19.16</x:v>
      </x:c>
      <x:c r="AF830" s="9" t="str">
        <x:v>Maret 2025 (Susenas)</x:v>
      </x:c>
      <x:c r="AG830" s="6" t="str">
        <x:v>25.94273696148657</x:v>
      </x:c>
      <x:c r="AH830" s="8" t="str">
        <x:v>87.69023324862442</x:v>
      </x:c>
      <x:c r="AI830" s="6" t="str">
        <x:v>127.64960430663837</x:v>
      </x:c>
      <x:c r="AJ830" s="6" t="str">
        <x:v>0.797085335604951</x:v>
      </x:c>
      <x:c r="AK830" s="8" t="str">
        <x:v>2.883312658926271</x:v>
      </x:c>
      <x:c r="AL830" s="6" t="str">
        <x:v>1.6458314155202565</x:v>
      </x:c>
      <x:c r="AM830" s="6" t="str">
        <x:v>1.8343164814970927</x:v>
      </x:c>
      <x:c r="AN830" s="6" t="str">
        <x:v>2.121153518647874</x:v>
      </x:c>
      <x:c r="AO830" s="6" t="str">
        <x:v>-1.5385244851540705</x:v>
      </x:c>
      <x:c r="AP830" s="8" t="str">
        <x:v>-0.7645561830879674</x:v>
      </x:c>
      <x:c r="AQ830" s="6" t="str">
        <x:v>0.3308158566440313</x:v>
      </x:c>
      <x:c r="AR830" s="6" t="str">
        <x:v>-0.1759503802203716</x:v>
      </x:c>
      <x:c r="AS830" s="6" t="str">
        <x:v>-0.2032302355547691</x:v>
      </x:c>
      <x:c r="AT830" s="6" t="str">
        <x:v>-91.50979680177969</x:v>
      </x:c>
      <x:c r="AU830" s="8" t="str">
        <x:v>-1.3616104998322438</x:v>
      </x:c>
      <x:c r="AV830" s="6" t="str">
        <x:v>1.8180583103984207</x:v>
      </x:c>
      <x:c r="AW830" s="6" t="str">
        <x:v>-0.6209685216675042</x:v>
      </x:c>
      <x:c r="AX830" s="6" t="str">
        <x:v>-0.0548402370337753</x:v>
      </x:c>
      <x:c r="AY830" s="6" t="str">
        <x:v>0</x:v>
      </x:c>
      <x:c r="AZ830" s="6" t="str">
        <x:v>1</x:v>
      </x:c>
      <x:c r="BA830" s="9" t="str">
        <x:v>grid_cells_within_BIG_polygon</x:v>
      </x:c>
      <x:c r="BB830" s="6" t="str">
        <x:v>19</x:v>
      </x:c>
      <x:c r="BC830" s="6" t="str">
        <x:v>0</x:v>
      </x:c>
      <x:c r="BD830" s="6" t="str">
        <x:v>0</x:v>
      </x:c>
      <x:c r="BE830" s="6" t="str">
        <x:v>0</x:v>
      </x:c>
      <x:c r="BF830" s="6" t="str">
        <x:v>0</x:v>
      </x:c>
      <x:c r="BG830" s="6" t="str">
        <x:v>0</x:v>
      </x:c>
      <x:c r="BH830" s="6" t="str">
        <x:v>0</x:v>
      </x:c>
      <x:c r="BI830" s="6" t="str">
        <x:v>0</x:v>
      </x:c>
      <x:c r="BJ830" s="6" t="str">
        <x:v>0</x:v>
      </x:c>
      <x:c r="BK830" s="6" t="str">
        <x:v>0</x:v>
      </x:c>
      <x:c r="BL830" s="6" t="str">
        <x:v>0</x:v>
      </x:c>
      <x:c r="BM830" s="6" t="str">
        <x:v>0</x:v>
      </x:c>
      <x:c r="BN830" s="6" t="str">
        <x:v>0</x:v>
      </x:c>
      <x:c r="BO830" s="6" t="str"/>
      <x:c r="BP830" s="6" t="str">
        <x:v>0</x:v>
      </x:c>
      <x:c r="BQ830" s="6" t="str"/>
      <x:c r="BR830" s="6" t="str">
        <x:v>0</x:v>
      </x:c>
      <x:c r="BS830" s="6" t="str"/>
      <x:c r="BT830" s="6" t="str">
        <x:v>0</x:v>
      </x:c>
      <x:c r="BU830" s="6" t="str"/>
      <x:c r="BV830" s="6" t="str">
        <x:v>0</x:v>
      </x:c>
      <x:c r="BW830" s="9" t="str">
        <x:v>operational_snapshot_annual_totals_may_differ</x:v>
      </x:c>
      <x:c r="BX830" s="9" t="str">
        <x:v>official_live_dashboard_snapshot_subject_to_revision</x:v>
      </x:c>
      <x:c r="BY830" s="9" t="str">
        <x:v>https://tbdashboard.sitb.id/ss_data_tbc03so_2025_provinsi_bulanan_list.php</x:v>
      </x:c>
      <x:c r="BZ830" s="6" t="n">
        <x:v>46246.610671296294</x:v>
      </x:c>
    </x:row>
    <x:row r="831" ht="18" customHeight="1">
      <x:c r="A831" s="6" t="str">
        <x:v>94</x:v>
      </x:c>
      <x:c r="B831" s="6" t="str">
        <x:v>PAPUA</x:v>
      </x:c>
      <x:c r="C831" s="6" t="str">
        <x:v>2025</x:v>
      </x:c>
      <x:c r="D831" s="6" t="str">
        <x:v>2</x:v>
      </x:c>
      <x:c r="E831" s="6" t="str">
        <x:v>2025-02</x:v>
      </x:c>
      <x:c r="F831" s="6" t="str">
        <x:v>458</x:v>
      </x:c>
      <x:c r="G831" s="6" t="str">
        <x:v>117</x:v>
      </x:c>
      <x:c r="H831" s="6" t="str">
        <x:v>210</x:v>
      </x:c>
      <x:c r="I831" s="6" t="str">
        <x:v>63</x:v>
      </x:c>
      <x:c r="J831" s="6" t="str">
        <x:v>31</x:v>
      </x:c>
      <x:c r="K831" s="6" t="str">
        <x:v>0</x:v>
      </x:c>
      <x:c r="L831" s="6" t="str">
        <x:v>2</x:v>
      </x:c>
      <x:c r="M831" s="6" t="str">
        <x:v>35</x:v>
      </x:c>
      <x:c r="N831" s="6" t="str">
        <x:v>458</x:v>
      </x:c>
      <x:c r="O831" s="6" t="str">
        <x:v>0</x:v>
      </x:c>
      <x:c r="P831" s="10" t="n">
        <x:f>F831-M831</x:f>
        <x:v>423</x:v>
      </x:c>
      <x:c r="Q831" s="11" t="n">
        <x:f>IFERROR(M831/F831,"")</x:f>
        <x:v>0.07641921397379912</x:v>
      </x:c>
      <x:c r="R831" s="10" t="n">
        <x:f>G831+H831</x:f>
        <x:v>327</x:v>
      </x:c>
      <x:c r="S831" s="11" t="n">
        <x:f>IFERROR(R831/F831,"")</x:f>
        <x:v>0.7139737991266376</x:v>
      </x:c>
      <x:c r="T831" s="11" t="n">
        <x:f>IFERROR(R831/P831,"")</x:f>
        <x:v>0.7730496453900709</x:v>
      </x:c>
      <x:c r="U831" s="10" t="n">
        <x:f>I831+J831+K831</x:f>
        <x:v>94</x:v>
      </x:c>
      <x:c r="V831" s="11" t="n">
        <x:f>IFERROR(U831/P831,"")</x:f>
        <x:v>0.2222222222222222</x:v>
      </x:c>
      <x:c r="W831" s="9" t="str">
        <x:v>provisional_gt_5pct_pending</x:v>
      </x:c>
      <x:c r="X831" s="12" t="n">
        <x:f>IFERROR(F831/Z831*100000,"")</x:f>
        <x:v>42.6602086438152</x:v>
      </x:c>
      <x:c r="Y831" s="13" t="n">
        <x:f>LN(Z831)</x:f>
        <x:v>13.886528045199555</x:v>
      </x:c>
      <x:c r="Z831" s="6" t="str">
        <x:v>1073600</x:v>
      </x:c>
      <x:c r="AA831" s="6" t="str">
        <x:v>13.0</x:v>
      </x:c>
      <x:c r="AB831" s="9" t="str">
        <x:v>2025-06-30</x:v>
      </x:c>
      <x:c r="AC831" s="8" t="str">
        <x:v>76.7</x:v>
      </x:c>
      <x:c r="AD831" s="9" t="str">
        <x:v>2025 (Susenas)</x:v>
      </x:c>
      <x:c r="AE831" s="8" t="str">
        <x:v>19.16</x:v>
      </x:c>
      <x:c r="AF831" s="9" t="str">
        <x:v>Maret 2025 (Susenas)</x:v>
      </x:c>
      <x:c r="AG831" s="6" t="str">
        <x:v>25.49698150344632</x:v>
      </x:c>
      <x:c r="AH831" s="8" t="str">
        <x:v>89.21661496270569</x:v>
      </x:c>
      <x:c r="AI831" s="6" t="str">
        <x:v>187.2308261266814</x:v>
      </x:c>
      <x:c r="AJ831" s="6" t="str">
        <x:v>0.488676929078963</x:v>
      </x:c>
      <x:c r="AK831" s="8" t="str">
        <x:v>1.622759103907548</x:v>
      </x:c>
      <x:c r="AL831" s="6" t="str">
        <x:v>2.883312658926271</x:v>
      </x:c>
      <x:c r="AM831" s="6" t="str">
        <x:v>1.6458314155202565</x:v>
      </x:c>
      <x:c r="AN831" s="6" t="str">
        <x:v>2.0506343927846924</x:v>
      </x:c>
      <x:c r="AO831" s="6" t="str">
        <x:v>-0.3066243796841092</x:v>
      </x:c>
      <x:c r="AP831" s="8" t="str">
        <x:v>-0.1401131780642673</x:v>
      </x:c>
      <x:c r="AQ831" s="6" t="str">
        <x:v>-0.7645561830879674</x:v>
      </x:c>
      <x:c r="AR831" s="6" t="str">
        <x:v>0.3308158566440313</x:v>
      </x:c>
      <x:c r="AS831" s="6" t="str">
        <x:v>-0.1912845015027343</x:v>
      </x:c>
      <x:c r="AT831" s="6" t="str">
        <x:v>-15.750706782934571</x:v>
      </x:c>
      <x:c r="AU831" s="8" t="str">
        <x:v>-0.2791014610132058</x:v>
      </x:c>
      <x:c r="AV831" s="6" t="str">
        <x:v>-1.3616104998322438</x:v>
      </x:c>
      <x:c r="AW831" s="6" t="str">
        <x:v>1.8180583103984207</x:v>
      </x:c>
      <x:c r="AX831" s="6" t="str">
        <x:v>0.0591154498509907</x:v>
      </x:c>
      <x:c r="AY831" s="6" t="str">
        <x:v>0</x:v>
      </x:c>
      <x:c r="AZ831" s="6" t="str">
        <x:v>1</x:v>
      </x:c>
      <x:c r="BA831" s="9" t="str">
        <x:v>grid_cells_within_BIG_polygon</x:v>
      </x:c>
      <x:c r="BB831" s="6" t="str">
        <x:v>19</x:v>
      </x:c>
      <x:c r="BC831" s="6" t="str">
        <x:v>2</x:v>
      </x:c>
      <x:c r="BD831" s="6" t="str">
        <x:v>2</x:v>
      </x:c>
      <x:c r="BE831" s="6" t="str">
        <x:v>2</x:v>
      </x:c>
      <x:c r="BF831" s="6" t="str">
        <x:v>0</x:v>
      </x:c>
      <x:c r="BG831" s="6" t="str">
        <x:v>0</x:v>
      </x:c>
      <x:c r="BH831" s="6" t="str">
        <x:v>0</x:v>
      </x:c>
      <x:c r="BI831" s="6" t="str">
        <x:v>0</x:v>
      </x:c>
      <x:c r="BJ831" s="6" t="str">
        <x:v>0</x:v>
      </x:c>
      <x:c r="BK831" s="6" t="str">
        <x:v>0</x:v>
      </x:c>
      <x:c r="BL831" s="6" t="str">
        <x:v>0</x:v>
      </x:c>
      <x:c r="BM831" s="6" t="str">
        <x:v>0</x:v>
      </x:c>
      <x:c r="BN831" s="6" t="str">
        <x:v>2</x:v>
      </x:c>
      <x:c r="BO831" s="6" t="str">
        <x:v>1.0</x:v>
      </x:c>
      <x:c r="BP831" s="6" t="str">
        <x:v>2</x:v>
      </x:c>
      <x:c r="BQ831" s="6" t="str">
        <x:v>0.0</x:v>
      </x:c>
      <x:c r="BR831" s="6" t="str">
        <x:v>2</x:v>
      </x:c>
      <x:c r="BS831" s="6" t="str">
        <x:v>0.0</x:v>
      </x:c>
      <x:c r="BT831" s="6" t="str">
        <x:v>2</x:v>
      </x:c>
      <x:c r="BU831" s="6" t="str">
        <x:v>29.0</x:v>
      </x:c>
      <x:c r="BV831" s="6" t="str">
        <x:v>1</x:v>
      </x:c>
      <x:c r="BW831" s="9" t="str">
        <x:v>operational_snapshot_annual_totals_may_differ</x:v>
      </x:c>
      <x:c r="BX831" s="9" t="str">
        <x:v>official_live_dashboard_snapshot_subject_to_revision</x:v>
      </x:c>
      <x:c r="BY831" s="9" t="str">
        <x:v>https://tbdashboard.sitb.id/ss_data_tbc03so_2025_provinsi_bulanan_list.php</x:v>
      </x:c>
      <x:c r="BZ831" s="6" t="n">
        <x:v>46246.610671296294</x:v>
      </x:c>
    </x:row>
    <x:row r="832" ht="18" customHeight="1">
      <x:c r="A832" s="6" t="str">
        <x:v>94</x:v>
      </x:c>
      <x:c r="B832" s="6" t="str">
        <x:v>PAPUA</x:v>
      </x:c>
      <x:c r="C832" s="6" t="str">
        <x:v>2025</x:v>
      </x:c>
      <x:c r="D832" s="6" t="str">
        <x:v>3</x:v>
      </x:c>
      <x:c r="E832" s="6" t="str">
        <x:v>2025-03</x:v>
      </x:c>
      <x:c r="F832" s="6" t="str">
        <x:v>487</x:v>
      </x:c>
      <x:c r="G832" s="6" t="str">
        <x:v>100</x:v>
      </x:c>
      <x:c r="H832" s="6" t="str">
        <x:v>226</x:v>
      </x:c>
      <x:c r="I832" s="6" t="str">
        <x:v>73</x:v>
      </x:c>
      <x:c r="J832" s="6" t="str">
        <x:v>39</x:v>
      </x:c>
      <x:c r="K832" s="6" t="str">
        <x:v>4</x:v>
      </x:c>
      <x:c r="L832" s="6" t="str">
        <x:v>1</x:v>
      </x:c>
      <x:c r="M832" s="6" t="str">
        <x:v>44</x:v>
      </x:c>
      <x:c r="N832" s="6" t="str">
        <x:v>487</x:v>
      </x:c>
      <x:c r="O832" s="6" t="str">
        <x:v>0</x:v>
      </x:c>
      <x:c r="P832" s="10" t="n">
        <x:f>F832-M832</x:f>
        <x:v>443</x:v>
      </x:c>
      <x:c r="Q832" s="11" t="n">
        <x:f>IFERROR(M832/F832,"")</x:f>
        <x:v>0.09034907597535935</x:v>
      </x:c>
      <x:c r="R832" s="10" t="n">
        <x:f>G832+H832</x:f>
        <x:v>326</x:v>
      </x:c>
      <x:c r="S832" s="11" t="n">
        <x:f>IFERROR(R832/F832,"")</x:f>
        <x:v>0.6694045174537988</x:v>
      </x:c>
      <x:c r="T832" s="11" t="n">
        <x:f>IFERROR(R832/P832,"")</x:f>
        <x:v>0.7358916478555305</x:v>
      </x:c>
      <x:c r="U832" s="10" t="n">
        <x:f>I832+J832+K832</x:f>
        <x:v>116</x:v>
      </x:c>
      <x:c r="V832" s="11" t="n">
        <x:f>IFERROR(U832/P832,"")</x:f>
        <x:v>0.2618510158013544</x:v>
      </x:c>
      <x:c r="W832" s="9" t="str">
        <x:v>provisional_gt_5pct_pending</x:v>
      </x:c>
      <x:c r="X832" s="12" t="n">
        <x:f>IFERROR(F832/Z832*100000,"")</x:f>
        <x:v>45.36140089418778</x:v>
      </x:c>
      <x:c r="Y832" s="13" t="n">
        <x:f>LN(Z832)</x:f>
        <x:v>13.886528045199555</x:v>
      </x:c>
      <x:c r="Z832" s="6" t="str">
        <x:v>1073600</x:v>
      </x:c>
      <x:c r="AA832" s="6" t="str">
        <x:v>13.0</x:v>
      </x:c>
      <x:c r="AB832" s="9" t="str">
        <x:v>2025-06-30</x:v>
      </x:c>
      <x:c r="AC832" s="8" t="str">
        <x:v>76.7</x:v>
      </x:c>
      <x:c r="AD832" s="9" t="str">
        <x:v>2025 (Susenas)</x:v>
      </x:c>
      <x:c r="AE832" s="8" t="str">
        <x:v>19.16</x:v>
      </x:c>
      <x:c r="AF832" s="9" t="str">
        <x:v>Maret 2025 (Susenas)</x:v>
      </x:c>
      <x:c r="AG832" s="6" t="str">
        <x:v>25.748584290785757</x:v>
      </x:c>
      <x:c r="AH832" s="8" t="str">
        <x:v>87.5300419299215</x:v>
      </x:c>
      <x:c r="AI832" s="6" t="str">
        <x:v>232.2931562987319</x:v>
      </x:c>
      <x:c r="AJ832" s="6" t="str">
        <x:v>0.6967457155789418</x:v>
      </x:c>
      <x:c r="AK832" s="8" t="str">
        <x:v>2.9547530157043425</x:v>
      </x:c>
      <x:c r="AL832" s="6" t="str">
        <x:v>1.622759103907548</x:v>
      </x:c>
      <x:c r="AM832" s="6" t="str">
        <x:v>2.883312658926271</x:v>
      </x:c>
      <x:c r="AN832" s="6" t="str">
        <x:v>2.4869415928460543</x:v>
      </x:c>
      <x:c r="AO832" s="6" t="str">
        <x:v>-2.227694193210027</x:v>
      </x:c>
      <x:c r="AP832" s="8" t="str">
        <x:v>-1.351984809861444</x:v>
      </x:c>
      <x:c r="AQ832" s="6" t="str">
        <x:v>-0.1401131780642673</x:v>
      </x:c>
      <x:c r="AR832" s="6" t="str">
        <x:v>-0.7645561830879674</x:v>
      </x:c>
      <x:c r="AS832" s="6" t="str">
        <x:v>-0.7522180570045595</x:v>
      </x:c>
      <x:c r="AT832" s="6" t="str">
        <x:v>1.081583849994587</x:v>
      </x:c>
      <x:c r="AU832" s="8" t="str">
        <x:v>0.0150656665285889</x:v>
      </x:c>
      <x:c r="AV832" s="6" t="str">
        <x:v>-0.2791014610132058</x:v>
      </x:c>
      <x:c r="AW832" s="6" t="str">
        <x:v>-1.3616104998322438</x:v>
      </x:c>
      <x:c r="AX832" s="6" t="str">
        <x:v>-0.5418820981056199</x:v>
      </x:c>
      <x:c r="AY832" s="6" t="str">
        <x:v>0</x:v>
      </x:c>
      <x:c r="AZ832" s="6" t="str">
        <x:v>1</x:v>
      </x:c>
      <x:c r="BA832" s="9" t="str">
        <x:v>grid_cells_within_BIG_polygon</x:v>
      </x:c>
      <x:c r="BB832" s="6" t="str">
        <x:v>19</x:v>
      </x:c>
      <x:c r="BC832" s="6" t="str">
        <x:v>5</x:v>
      </x:c>
      <x:c r="BD832" s="6" t="str">
        <x:v>5</x:v>
      </x:c>
      <x:c r="BE832" s="6" t="str">
        <x:v>5</x:v>
      </x:c>
      <x:c r="BF832" s="6" t="str">
        <x:v>0</x:v>
      </x:c>
      <x:c r="BG832" s="6" t="str">
        <x:v>0</x:v>
      </x:c>
      <x:c r="BH832" s="6" t="str">
        <x:v>0</x:v>
      </x:c>
      <x:c r="BI832" s="6" t="str">
        <x:v>0</x:v>
      </x:c>
      <x:c r="BJ832" s="6" t="str">
        <x:v>0</x:v>
      </x:c>
      <x:c r="BK832" s="6" t="str">
        <x:v>0</x:v>
      </x:c>
      <x:c r="BL832" s="6" t="str">
        <x:v>0</x:v>
      </x:c>
      <x:c r="BM832" s="6" t="str">
        <x:v>0</x:v>
      </x:c>
      <x:c r="BN832" s="6" t="str">
        <x:v>5</x:v>
      </x:c>
      <x:c r="BO832" s="6" t="str">
        <x:v>0.0</x:v>
      </x:c>
      <x:c r="BP832" s="6" t="str">
        <x:v>5</x:v>
      </x:c>
      <x:c r="BQ832" s="6" t="str">
        <x:v>0.0</x:v>
      </x:c>
      <x:c r="BR832" s="6" t="str">
        <x:v>5</x:v>
      </x:c>
      <x:c r="BS832" s="6" t="str">
        <x:v>9.0</x:v>
      </x:c>
      <x:c r="BT832" s="6" t="str">
        <x:v>5</x:v>
      </x:c>
      <x:c r="BU832" s="6" t="str">
        <x:v>434.0</x:v>
      </x:c>
      <x:c r="BV832" s="6" t="str">
        <x:v>4</x:v>
      </x:c>
      <x:c r="BW832" s="9" t="str">
        <x:v>operational_snapshot_annual_totals_may_differ</x:v>
      </x:c>
      <x:c r="BX832" s="9" t="str">
        <x:v>official_live_dashboard_snapshot_subject_to_revision</x:v>
      </x:c>
      <x:c r="BY832" s="9" t="str">
        <x:v>https://tbdashboard.sitb.id/ss_data_tbc03so_2025_provinsi_bulanan_list.php</x:v>
      </x:c>
      <x:c r="BZ832" s="6" t="n">
        <x:v>46246.610671296294</x:v>
      </x:c>
    </x:row>
    <x:row r="833" ht="18" customHeight="1">
      <x:c r="A833" s="6" t="str">
        <x:v>94</x:v>
      </x:c>
      <x:c r="B833" s="6" t="str">
        <x:v>PAPUA</x:v>
      </x:c>
      <x:c r="C833" s="6" t="str">
        <x:v>2025</x:v>
      </x:c>
      <x:c r="D833" s="6" t="str">
        <x:v>4</x:v>
      </x:c>
      <x:c r="E833" s="6" t="str">
        <x:v>2025-04</x:v>
      </x:c>
      <x:c r="F833" s="6" t="str">
        <x:v>382</x:v>
      </x:c>
      <x:c r="G833" s="6" t="str">
        <x:v>91</x:v>
      </x:c>
      <x:c r="H833" s="6" t="str">
        <x:v>162</x:v>
      </x:c>
      <x:c r="I833" s="6" t="str">
        <x:v>46</x:v>
      </x:c>
      <x:c r="J833" s="6" t="str">
        <x:v>24</x:v>
      </x:c>
      <x:c r="K833" s="6" t="str">
        <x:v>1</x:v>
      </x:c>
      <x:c r="L833" s="6" t="str">
        <x:v>1</x:v>
      </x:c>
      <x:c r="M833" s="6" t="str">
        <x:v>57</x:v>
      </x:c>
      <x:c r="N833" s="6" t="str">
        <x:v>382</x:v>
      </x:c>
      <x:c r="O833" s="6" t="str">
        <x:v>0</x:v>
      </x:c>
      <x:c r="P833" s="10" t="n">
        <x:f>F833-M833</x:f>
        <x:v>325</x:v>
      </x:c>
      <x:c r="Q833" s="11" t="n">
        <x:f>IFERROR(M833/F833,"")</x:f>
        <x:v>0.14921465968586387</x:v>
      </x:c>
      <x:c r="R833" s="10" t="n">
        <x:f>G833+H833</x:f>
        <x:v>253</x:v>
      </x:c>
      <x:c r="S833" s="11" t="n">
        <x:f>IFERROR(R833/F833,"")</x:f>
        <x:v>0.662303664921466</x:v>
      </x:c>
      <x:c r="T833" s="11" t="n">
        <x:f>IFERROR(R833/P833,"")</x:f>
        <x:v>0.7784615384615384</x:v>
      </x:c>
      <x:c r="U833" s="10" t="n">
        <x:f>I833+J833+K833</x:f>
        <x:v>71</x:v>
      </x:c>
      <x:c r="V833" s="11" t="n">
        <x:f>IFERROR(U833/P833,"")</x:f>
        <x:v>0.21846153846153846</x:v>
      </x:c>
      <x:c r="W833" s="9" t="str">
        <x:v>provisional_gt_5pct_pending</x:v>
      </x:c>
      <x:c r="X833" s="12" t="n">
        <x:f>IFERROR(F833/Z833*100000,"")</x:f>
        <x:v>35.581222056631894</x:v>
      </x:c>
      <x:c r="Y833" s="13" t="n">
        <x:f>LN(Z833)</x:f>
        <x:v>13.886528045199555</x:v>
      </x:c>
      <x:c r="Z833" s="6" t="str">
        <x:v>1073600</x:v>
      </x:c>
      <x:c r="AA833" s="6" t="str">
        <x:v>13.0</x:v>
      </x:c>
      <x:c r="AB833" s="9" t="str">
        <x:v>2025-06-30</x:v>
      </x:c>
      <x:c r="AC833" s="8" t="str">
        <x:v>76.7</x:v>
      </x:c>
      <x:c r="AD833" s="9" t="str">
        <x:v>2025 (Susenas)</x:v>
      </x:c>
      <x:c r="AE833" s="8" t="str">
        <x:v>19.16</x:v>
      </x:c>
      <x:c r="AF833" s="9" t="str">
        <x:v>Maret 2025 (Susenas)</x:v>
      </x:c>
      <x:c r="AG833" s="6" t="str">
        <x:v>25.305983657302427</x:v>
      </x:c>
      <x:c r="AH833" s="8" t="str">
        <x:v>90.05641824005812</x:v>
      </x:c>
      <x:c r="AI833" s="6" t="str">
        <x:v>375.4880605045592</x:v>
      </x:c>
      <x:c r="AJ833" s="6" t="str">
        <x:v>0.1307556866787962</x:v>
      </x:c>
      <x:c r="AK833" s="8" t="str">
        <x:v>0.6070114075441015</x:v>
      </x:c>
      <x:c r="AL833" s="6" t="str">
        <x:v>2.9547530157043425</x:v>
      </x:c>
      <x:c r="AM833" s="6" t="str">
        <x:v>1.622759103907548</x:v>
      </x:c>
      <x:c r="AN833" s="6" t="str">
        <x:v>1.728174509051998</x:v>
      </x:c>
      <x:c r="AO833" s="6" t="str">
        <x:v>-0.5001064554042074</x:v>
      </x:c>
      <x:c r="AP833" s="8" t="str">
        <x:v>-0.4792367546802995</x:v>
      </x:c>
      <x:c r="AQ833" s="6" t="str">
        <x:v>-1.351984809861444</x:v>
      </x:c>
      <x:c r="AR833" s="6" t="str">
        <x:v>-0.1401131780642673</x:v>
      </x:c>
      <x:c r="AS833" s="6" t="str">
        <x:v>-0.6571115808686703</x:v>
      </x:c>
      <x:c r="AT833" s="6" t="str">
        <x:v>154.00769825804255</x:v>
      </x:c>
      <x:c r="AU833" s="8" t="str">
        <x:v>2.200544700351523</x:v>
      </x:c>
      <x:c r="AV833" s="6" t="str">
        <x:v>0.0150656665285889</x:v>
      </x:c>
      <x:c r="AW833" s="6" t="str">
        <x:v>-0.2791014610132058</x:v>
      </x:c>
      <x:c r="AX833" s="6" t="str">
        <x:v>0.6455029686223023</x:v>
      </x:c>
      <x:c r="AY833" s="6" t="str">
        <x:v>1</x:v>
      </x:c>
      <x:c r="AZ833" s="6" t="str">
        <x:v>0</x:v>
      </x:c>
      <x:c r="BA833" s="9" t="str">
        <x:v>grid_cells_within_BIG_polygon</x:v>
      </x:c>
      <x:c r="BB833" s="6" t="str">
        <x:v>19</x:v>
      </x:c>
      <x:c r="BC833" s="6" t="str">
        <x:v>1</x:v>
      </x:c>
      <x:c r="BD833" s="6" t="str">
        <x:v>1</x:v>
      </x:c>
      <x:c r="BE833" s="6" t="str">
        <x:v>1</x:v>
      </x:c>
      <x:c r="BF833" s="6" t="str">
        <x:v>0</x:v>
      </x:c>
      <x:c r="BG833" s="6" t="str">
        <x:v>0</x:v>
      </x:c>
      <x:c r="BH833" s="6" t="str">
        <x:v>0</x:v>
      </x:c>
      <x:c r="BI833" s="6" t="str">
        <x:v>0</x:v>
      </x:c>
      <x:c r="BJ833" s="6" t="str">
        <x:v>0</x:v>
      </x:c>
      <x:c r="BK833" s="6" t="str">
        <x:v>0</x:v>
      </x:c>
      <x:c r="BL833" s="6" t="str">
        <x:v>0</x:v>
      </x:c>
      <x:c r="BM833" s="6" t="str">
        <x:v>0</x:v>
      </x:c>
      <x:c r="BN833" s="6" t="str">
        <x:v>1</x:v>
      </x:c>
      <x:c r="BO833" s="6" t="str">
        <x:v>1.0</x:v>
      </x:c>
      <x:c r="BP833" s="6" t="str">
        <x:v>1</x:v>
      </x:c>
      <x:c r="BQ833" s="6" t="str">
        <x:v>0.0</x:v>
      </x:c>
      <x:c r="BR833" s="6" t="str">
        <x:v>1</x:v>
      </x:c>
      <x:c r="BS833" s="6" t="str">
        <x:v>0.0</x:v>
      </x:c>
      <x:c r="BT833" s="6" t="str">
        <x:v>1</x:v>
      </x:c>
      <x:c r="BU833" s="6" t="str"/>
      <x:c r="BV833" s="6" t="str">
        <x:v>0</x:v>
      </x:c>
      <x:c r="BW833" s="9" t="str">
        <x:v>operational_snapshot_annual_totals_may_differ</x:v>
      </x:c>
      <x:c r="BX833" s="9" t="str">
        <x:v>official_live_dashboard_snapshot_subject_to_revision</x:v>
      </x:c>
      <x:c r="BY833" s="9" t="str">
        <x:v>https://tbdashboard.sitb.id/ss_data_tbc03so_2025_provinsi_bulanan_list.php</x:v>
      </x:c>
      <x:c r="BZ833" s="6" t="n">
        <x:v>46246.610671296294</x:v>
      </x:c>
    </x:row>
    <x:row r="834" ht="18" customHeight="1">
      <x:c r="A834" s="6" t="str">
        <x:v>94</x:v>
      </x:c>
      <x:c r="B834" s="6" t="str">
        <x:v>PAPUA</x:v>
      </x:c>
      <x:c r="C834" s="6" t="str">
        <x:v>2025</x:v>
      </x:c>
      <x:c r="D834" s="6" t="str">
        <x:v>5</x:v>
      </x:c>
      <x:c r="E834" s="6" t="str">
        <x:v>2025-05</x:v>
      </x:c>
      <x:c r="F834" s="6" t="str">
        <x:v>494</x:v>
      </x:c>
      <x:c r="G834" s="6" t="str">
        <x:v>106</x:v>
      </x:c>
      <x:c r="H834" s="6" t="str">
        <x:v>205</x:v>
      </x:c>
      <x:c r="I834" s="6" t="str">
        <x:v>57</x:v>
      </x:c>
      <x:c r="J834" s="6" t="str">
        <x:v>36</x:v>
      </x:c>
      <x:c r="K834" s="6" t="str">
        <x:v>3</x:v>
      </x:c>
      <x:c r="L834" s="6" t="str">
        <x:v>0</x:v>
      </x:c>
      <x:c r="M834" s="6" t="str">
        <x:v>87</x:v>
      </x:c>
      <x:c r="N834" s="6" t="str">
        <x:v>494</x:v>
      </x:c>
      <x:c r="O834" s="6" t="str">
        <x:v>0</x:v>
      </x:c>
      <x:c r="P834" s="10" t="n">
        <x:f>F834-M834</x:f>
        <x:v>407</x:v>
      </x:c>
      <x:c r="Q834" s="11" t="n">
        <x:f>IFERROR(M834/F834,"")</x:f>
        <x:v>0.17611336032388664</x:v>
      </x:c>
      <x:c r="R834" s="10" t="n">
        <x:f>G834+H834</x:f>
        <x:v>311</x:v>
      </x:c>
      <x:c r="S834" s="11" t="n">
        <x:f>IFERROR(R834/F834,"")</x:f>
        <x:v>0.6295546558704453</x:v>
      </x:c>
      <x:c r="T834" s="11" t="n">
        <x:f>IFERROR(R834/P834,"")</x:f>
        <x:v>0.7641277641277642</x:v>
      </x:c>
      <x:c r="U834" s="10" t="n">
        <x:f>I834+J834+K834</x:f>
        <x:v>96</x:v>
      </x:c>
      <x:c r="V834" s="11" t="n">
        <x:f>IFERROR(U834/P834,"")</x:f>
        <x:v>0.23587223587223588</x:v>
      </x:c>
      <x:c r="W834" s="9" t="str">
        <x:v>provisional_gt_5pct_pending</x:v>
      </x:c>
      <x:c r="X834" s="12" t="n">
        <x:f>IFERROR(F834/Z834*100000,"")</x:f>
        <x:v>46.013412816691506</x:v>
      </x:c>
      <x:c r="Y834" s="13" t="n">
        <x:f>LN(Z834)</x:f>
        <x:v>13.886528045199555</x:v>
      </x:c>
      <x:c r="Z834" s="6" t="str">
        <x:v>1073600</x:v>
      </x:c>
      <x:c r="AA834" s="6" t="str">
        <x:v>13.0</x:v>
      </x:c>
      <x:c r="AB834" s="9" t="str">
        <x:v>2025-06-30</x:v>
      </x:c>
      <x:c r="AC834" s="8" t="str">
        <x:v>76.7</x:v>
      </x:c>
      <x:c r="AD834" s="9" t="str">
        <x:v>2025 (Susenas)</x:v>
      </x:c>
      <x:c r="AE834" s="8" t="str">
        <x:v>19.16</x:v>
      </x:c>
      <x:c r="AF834" s="9" t="str">
        <x:v>Maret 2025 (Susenas)</x:v>
      </x:c>
      <x:c r="AG834" s="6" t="str">
        <x:v>25.497033123110747</x:v>
      </x:c>
      <x:c r="AH834" s="8" t="str">
        <x:v>90.67666492748798</x:v>
      </x:c>
      <x:c r="AI834" s="6" t="str">
        <x:v>206.48167183483437</x:v>
      </x:c>
      <x:c r="AJ834" s="6" t="str">
        <x:v>0.1751300722950546</x:v>
      </x:c>
      <x:c r="AK834" s="8" t="str">
        <x:v>0.5360200041222021</x:v>
      </x:c>
      <x:c r="AL834" s="6" t="str">
        <x:v>0.6070114075441015</x:v>
      </x:c>
      <x:c r="AM834" s="6" t="str">
        <x:v>2.9547530157043425</x:v>
      </x:c>
      <x:c r="AN834" s="6" t="str">
        <x:v>1.3659281424568828</x:v>
      </x:c>
      <x:c r="AO834" s="6" t="str">
        <x:v>0.8973574630496586</x:v>
      </x:c>
      <x:c r="AP834" s="8" t="str">
        <x:v>0.5075666963174518</x:v>
      </x:c>
      <x:c r="AQ834" s="6" t="str">
        <x:v>-0.4792367546802995</x:v>
      </x:c>
      <x:c r="AR834" s="6" t="str">
        <x:v>-1.351984809861444</x:v>
      </x:c>
      <x:c r="AS834" s="6" t="str">
        <x:v>-0.4412182894080971</x:v>
      </x:c>
      <x:c r="AT834" s="6" t="str">
        <x:v>41.447548708021486</x:v>
      </x:c>
      <x:c r="AU834" s="8" t="str">
        <x:v>0.7478269491379678</x:v>
      </x:c>
      <x:c r="AV834" s="6" t="str">
        <x:v>2.200544700351523</x:v>
      </x:c>
      <x:c r="AW834" s="6" t="str">
        <x:v>0.0150656665285889</x:v>
      </x:c>
      <x:c r="AX834" s="6" t="str">
        <x:v>0.9878124386726932</x:v>
      </x:c>
      <x:c r="AY834" s="6" t="str">
        <x:v>0</x:v>
      </x:c>
      <x:c r="AZ834" s="6" t="str">
        <x:v>0</x:v>
      </x:c>
      <x:c r="BA834" s="9" t="str">
        <x:v>grid_cells_within_BIG_polygon</x:v>
      </x:c>
      <x:c r="BB834" s="6" t="str">
        <x:v>19</x:v>
      </x:c>
      <x:c r="BC834" s="6" t="str">
        <x:v>0</x:v>
      </x:c>
      <x:c r="BD834" s="6" t="str">
        <x:v>0</x:v>
      </x:c>
      <x:c r="BE834" s="6" t="str">
        <x:v>0</x:v>
      </x:c>
      <x:c r="BF834" s="6" t="str">
        <x:v>0</x:v>
      </x:c>
      <x:c r="BG834" s="6" t="str">
        <x:v>0</x:v>
      </x:c>
      <x:c r="BH834" s="6" t="str">
        <x:v>0</x:v>
      </x:c>
      <x:c r="BI834" s="6" t="str">
        <x:v>0</x:v>
      </x:c>
      <x:c r="BJ834" s="6" t="str">
        <x:v>0</x:v>
      </x:c>
      <x:c r="BK834" s="6" t="str">
        <x:v>0</x:v>
      </x:c>
      <x:c r="BL834" s="6" t="str">
        <x:v>0</x:v>
      </x:c>
      <x:c r="BM834" s="6" t="str">
        <x:v>0</x:v>
      </x:c>
      <x:c r="BN834" s="6" t="str">
        <x:v>0</x:v>
      </x:c>
      <x:c r="BO834" s="6" t="str"/>
      <x:c r="BP834" s="6" t="str">
        <x:v>0</x:v>
      </x:c>
      <x:c r="BQ834" s="6" t="str"/>
      <x:c r="BR834" s="6" t="str">
        <x:v>0</x:v>
      </x:c>
      <x:c r="BS834" s="6" t="str"/>
      <x:c r="BT834" s="6" t="str">
        <x:v>0</x:v>
      </x:c>
      <x:c r="BU834" s="6" t="str"/>
      <x:c r="BV834" s="6" t="str">
        <x:v>0</x:v>
      </x:c>
      <x:c r="BW834" s="9" t="str">
        <x:v>operational_snapshot_annual_totals_may_differ</x:v>
      </x:c>
      <x:c r="BX834" s="9" t="str">
        <x:v>official_live_dashboard_snapshot_subject_to_revision</x:v>
      </x:c>
      <x:c r="BY834" s="9" t="str">
        <x:v>https://tbdashboard.sitb.id/ss_data_tbc03so_2025_provinsi_bulanan_list.php</x:v>
      </x:c>
      <x:c r="BZ834" s="6" t="n">
        <x:v>46246.610671296294</x:v>
      </x:c>
    </x:row>
    <x:row r="835" ht="18" customHeight="1">
      <x:c r="A835" s="6" t="str">
        <x:v>94</x:v>
      </x:c>
      <x:c r="B835" s="6" t="str">
        <x:v>PAPUA</x:v>
      </x:c>
      <x:c r="C835" s="6" t="str">
        <x:v>2025</x:v>
      </x:c>
      <x:c r="D835" s="6" t="str">
        <x:v>6</x:v>
      </x:c>
      <x:c r="E835" s="6" t="str">
        <x:v>2025-06</x:v>
      </x:c>
      <x:c r="F835" s="6" t="str">
        <x:v>456</x:v>
      </x:c>
      <x:c r="G835" s="6" t="str">
        <x:v>94</x:v>
      </x:c>
      <x:c r="H835" s="6" t="str">
        <x:v>191</x:v>
      </x:c>
      <x:c r="I835" s="6" t="str">
        <x:v>65</x:v>
      </x:c>
      <x:c r="J835" s="6" t="str">
        <x:v>25</x:v>
      </x:c>
      <x:c r="K835" s="6" t="str">
        <x:v>0</x:v>
      </x:c>
      <x:c r="L835" s="6" t="str">
        <x:v>2</x:v>
      </x:c>
      <x:c r="M835" s="6" t="str">
        <x:v>79</x:v>
      </x:c>
      <x:c r="N835" s="6" t="str">
        <x:v>456</x:v>
      </x:c>
      <x:c r="O835" s="6" t="str">
        <x:v>0</x:v>
      </x:c>
      <x:c r="P835" s="10" t="n">
        <x:f>F835-M835</x:f>
        <x:v>377</x:v>
      </x:c>
      <x:c r="Q835" s="11" t="n">
        <x:f>IFERROR(M835/F835,"")</x:f>
        <x:v>0.17324561403508773</x:v>
      </x:c>
      <x:c r="R835" s="10" t="n">
        <x:f>G835+H835</x:f>
        <x:v>285</x:v>
      </x:c>
      <x:c r="S835" s="11" t="n">
        <x:f>IFERROR(R835/F835,"")</x:f>
        <x:v>0.625</x:v>
      </x:c>
      <x:c r="T835" s="11" t="n">
        <x:f>IFERROR(R835/P835,"")</x:f>
        <x:v>0.7559681697612732</x:v>
      </x:c>
      <x:c r="U835" s="10" t="n">
        <x:f>I835+J835+K835</x:f>
        <x:v>90</x:v>
      </x:c>
      <x:c r="V835" s="11" t="n">
        <x:f>IFERROR(U835/P835,"")</x:f>
        <x:v>0.23872679045092837</x:v>
      </x:c>
      <x:c r="W835" s="9" t="str">
        <x:v>provisional_gt_5pct_pending</x:v>
      </x:c>
      <x:c r="X835" s="12" t="n">
        <x:f>IFERROR(F835/Z835*100000,"")</x:f>
        <x:v>42.47391952309985</x:v>
      </x:c>
      <x:c r="Y835" s="13" t="n">
        <x:f>LN(Z835)</x:f>
        <x:v>13.886528045199555</x:v>
      </x:c>
      <x:c r="Z835" s="6" t="str">
        <x:v>1073600</x:v>
      </x:c>
      <x:c r="AA835" s="6" t="str">
        <x:v>13.0</x:v>
      </x:c>
      <x:c r="AB835" s="9" t="str">
        <x:v>2025-06-30</x:v>
      </x:c>
      <x:c r="AC835" s="8" t="str">
        <x:v>76.7</x:v>
      </x:c>
      <x:c r="AD835" s="9" t="str">
        <x:v>2025 (Susenas)</x:v>
      </x:c>
      <x:c r="AE835" s="8" t="str">
        <x:v>19.16</x:v>
      </x:c>
      <x:c r="AF835" s="9" t="str">
        <x:v>Maret 2025 (Susenas)</x:v>
      </x:c>
      <x:c r="AG835" s="6" t="str">
        <x:v>25.188137644519628</x:v>
      </x:c>
      <x:c r="AH835" s="8" t="str">
        <x:v>90.66180005212767</x:v>
      </x:c>
      <x:c r="AI835" s="6" t="str">
        <x:v>272.45919545607194</x:v>
      </x:c>
      <x:c r="AJ835" s="6" t="str">
        <x:v>0.1835772203513492</x:v>
      </x:c>
      <x:c r="AK835" s="8" t="str">
        <x:v>0.5590373006427946</x:v>
      </x:c>
      <x:c r="AL835" s="6" t="str">
        <x:v>0.5360200041222021</x:v>
      </x:c>
      <x:c r="AM835" s="6" t="str">
        <x:v>0.6070114075441015</x:v>
      </x:c>
      <x:c r="AN835" s="6" t="str">
        <x:v>0.5673562374363667</x:v>
      </x:c>
      <x:c r="AO835" s="6" t="str">
        <x:v>0.9421918998892238</x:v>
      </x:c>
      <x:c r="AP835" s="8" t="str">
        <x:v>0.4662727878351057</x:v>
      </x:c>
      <x:c r="AQ835" s="6" t="str">
        <x:v>0.5075666963174518</x:v>
      </x:c>
      <x:c r="AR835" s="6" t="str">
        <x:v>-0.4792367546802995</x:v>
      </x:c>
      <x:c r="AS835" s="6" t="str">
        <x:v>0.1648675764907527</x:v>
      </x:c>
      <x:c r="AT835" s="6" t="str">
        <x:v>89.44988502745872</x:v>
      </x:c>
      <x:c r="AU835" s="8" t="str">
        <x:v>1.3215053498038367</x:v>
      </x:c>
      <x:c r="AV835" s="6" t="str">
        <x:v>0.7478269491379678</x:v>
      </x:c>
      <x:c r="AW835" s="6" t="str">
        <x:v>2.200544700351523</x:v>
      </x:c>
      <x:c r="AX835" s="6" t="str">
        <x:v>1.423292333097776</x:v>
      </x:c>
      <x:c r="AY835" s="6" t="str">
        <x:v>1</x:v>
      </x:c>
      <x:c r="AZ835" s="6" t="str">
        <x:v>0</x:v>
      </x:c>
      <x:c r="BA835" s="9" t="str">
        <x:v>grid_cells_within_BIG_polygon</x:v>
      </x:c>
      <x:c r="BB835" s="6" t="str">
        <x:v>19</x:v>
      </x:c>
      <x:c r="BC835" s="6" t="str">
        <x:v>1</x:v>
      </x:c>
      <x:c r="BD835" s="6" t="str">
        <x:v>1</x:v>
      </x:c>
      <x:c r="BE835" s="6" t="str">
        <x:v>1</x:v>
      </x:c>
      <x:c r="BF835" s="6" t="str">
        <x:v>0</x:v>
      </x:c>
      <x:c r="BG835" s="6" t="str">
        <x:v>0</x:v>
      </x:c>
      <x:c r="BH835" s="6" t="str">
        <x:v>0</x:v>
      </x:c>
      <x:c r="BI835" s="6" t="str">
        <x:v>0</x:v>
      </x:c>
      <x:c r="BJ835" s="6" t="str">
        <x:v>0</x:v>
      </x:c>
      <x:c r="BK835" s="6" t="str">
        <x:v>0</x:v>
      </x:c>
      <x:c r="BL835" s="6" t="str">
        <x:v>0</x:v>
      </x:c>
      <x:c r="BM835" s="6" t="str">
        <x:v>0</x:v>
      </x:c>
      <x:c r="BN835" s="6" t="str">
        <x:v>1</x:v>
      </x:c>
      <x:c r="BO835" s="6" t="str"/>
      <x:c r="BP835" s="6" t="str">
        <x:v>0</x:v>
      </x:c>
      <x:c r="BQ835" s="6" t="str"/>
      <x:c r="BR835" s="6" t="str">
        <x:v>0</x:v>
      </x:c>
      <x:c r="BS835" s="6" t="str">
        <x:v>328.0</x:v>
      </x:c>
      <x:c r="BT835" s="6" t="str">
        <x:v>1</x:v>
      </x:c>
      <x:c r="BU835" s="6" t="str"/>
      <x:c r="BV835" s="6" t="str">
        <x:v>0</x:v>
      </x:c>
      <x:c r="BW835" s="9" t="str">
        <x:v>operational_snapshot_annual_totals_may_differ</x:v>
      </x:c>
      <x:c r="BX835" s="9" t="str">
        <x:v>official_live_dashboard_snapshot_subject_to_revision</x:v>
      </x:c>
      <x:c r="BY835" s="9" t="str">
        <x:v>https://tbdashboard.sitb.id/ss_data_tbc03so_2025_provinsi_bulanan_list.php</x:v>
      </x:c>
      <x:c r="BZ835" s="6" t="n">
        <x:v>46246.610671296294</x:v>
      </x:c>
    </x:row>
    <x:row r="836" ht="18" customHeight="1">
      <x:c r="A836" s="6" t="str">
        <x:v>94</x:v>
      </x:c>
      <x:c r="B836" s="6" t="str">
        <x:v>PAPUA</x:v>
      </x:c>
      <x:c r="C836" s="6" t="str">
        <x:v>2025</x:v>
      </x:c>
      <x:c r="D836" s="6" t="str">
        <x:v>7</x:v>
      </x:c>
      <x:c r="E836" s="6" t="str">
        <x:v>2025-07</x:v>
      </x:c>
      <x:c r="F836" s="6" t="str">
        <x:v>506</x:v>
      </x:c>
      <x:c r="G836" s="6" t="str">
        <x:v>72</x:v>
      </x:c>
      <x:c r="H836" s="6" t="str">
        <x:v>210</x:v>
      </x:c>
      <x:c r="I836" s="6" t="str">
        <x:v>80</x:v>
      </x:c>
      <x:c r="J836" s="6" t="str">
        <x:v>33</x:v>
      </x:c>
      <x:c r="K836" s="6" t="str">
        <x:v>1</x:v>
      </x:c>
      <x:c r="L836" s="6" t="str">
        <x:v>0</x:v>
      </x:c>
      <x:c r="M836" s="6" t="str">
        <x:v>110</x:v>
      </x:c>
      <x:c r="N836" s="6" t="str">
        <x:v>506</x:v>
      </x:c>
      <x:c r="O836" s="6" t="str">
        <x:v>0</x:v>
      </x:c>
      <x:c r="P836" s="10" t="n">
        <x:f>F836-M836</x:f>
        <x:v>396</x:v>
      </x:c>
      <x:c r="Q836" s="11" t="n">
        <x:f>IFERROR(M836/F836,"")</x:f>
        <x:v>0.21739130434782608</x:v>
      </x:c>
      <x:c r="R836" s="10" t="n">
        <x:f>G836+H836</x:f>
        <x:v>282</x:v>
      </x:c>
      <x:c r="S836" s="11" t="n">
        <x:f>IFERROR(R836/F836,"")</x:f>
        <x:v>0.5573122529644269</x:v>
      </x:c>
      <x:c r="T836" s="11" t="n">
        <x:f>IFERROR(R836/P836,"")</x:f>
        <x:v>0.7121212121212122</x:v>
      </x:c>
      <x:c r="U836" s="10" t="n">
        <x:f>I836+J836+K836</x:f>
        <x:v>114</x:v>
      </x:c>
      <x:c r="V836" s="11" t="n">
        <x:f>IFERROR(U836/P836,"")</x:f>
        <x:v>0.2878787878787879</x:v>
      </x:c>
      <x:c r="W836" s="9" t="str">
        <x:v>provisional_gt_5pct_pending</x:v>
      </x:c>
      <x:c r="X836" s="12" t="n">
        <x:f>IFERROR(F836/Z836*100000,"")</x:f>
        <x:v>47.13114754098361</x:v>
      </x:c>
      <x:c r="Y836" s="13" t="n">
        <x:f>LN(Z836)</x:f>
        <x:v>13.886528045199555</x:v>
      </x:c>
      <x:c r="Z836" s="6" t="str">
        <x:v>1073600</x:v>
      </x:c>
      <x:c r="AA836" s="6" t="str">
        <x:v>13.0</x:v>
      </x:c>
      <x:c r="AB836" s="9" t="str">
        <x:v>2025-06-30</x:v>
      </x:c>
      <x:c r="AC836" s="8" t="str">
        <x:v>76.7</x:v>
      </x:c>
      <x:c r="AD836" s="9" t="str">
        <x:v>2025 (Susenas)</x:v>
      </x:c>
      <x:c r="AE836" s="8" t="str">
        <x:v>19.16</x:v>
      </x:c>
      <x:c r="AF836" s="9" t="str">
        <x:v>Maret 2025 (Susenas)</x:v>
      </x:c>
      <x:c r="AG836" s="6" t="str">
        <x:v>24.80862121516438</x:v>
      </x:c>
      <x:c r="AH836" s="8" t="str">
        <x:v>91.01759492185016</x:v>
      </x:c>
      <x:c r="AI836" s="6" t="str">
        <x:v>306.7631335299937</x:v>
      </x:c>
      <x:c r="AJ836" s="6" t="str">
        <x:v>0.1272157338447535</x:v>
      </x:c>
      <x:c r="AK836" s="8" t="str">
        <x:v>0.3731166353429204</x:v>
      </x:c>
      <x:c r="AL836" s="6" t="str">
        <x:v>0.5590373006427946</x:v>
      </x:c>
      <x:c r="AM836" s="6" t="str">
        <x:v>0.5360200041222021</x:v>
      </x:c>
      <x:c r="AN836" s="6" t="str">
        <x:v>0.4893913133693062</x:v>
      </x:c>
      <x:c r="AO836" s="6" t="str">
        <x:v>1.645976553976638</x:v>
      </x:c>
      <x:c r="AP836" s="8" t="str">
        <x:v>0.7897328349213338</x:v>
      </x:c>
      <x:c r="AQ836" s="6" t="str">
        <x:v>0.4662727878351057</x:v>
      </x:c>
      <x:c r="AR836" s="6" t="str">
        <x:v>0.5075666963174518</x:v>
      </x:c>
      <x:c r="AS836" s="6" t="str">
        <x:v>0.5878574396912972</x:v>
      </x:c>
      <x:c r="AT836" s="6" t="str">
        <x:v>134.7018169507196</x:v>
      </x:c>
      <x:c r="AU836" s="8" t="str">
        <x:v>2.5459121393766493</x:v>
      </x:c>
      <x:c r="AV836" s="6" t="str">
        <x:v>1.3215053498038367</x:v>
      </x:c>
      <x:c r="AW836" s="6" t="str">
        <x:v>0.7478269491379678</x:v>
      </x:c>
      <x:c r="AX836" s="6" t="str">
        <x:v>1.538414812772818</x:v>
      </x:c>
      <x:c r="AY836" s="6" t="str">
        <x:v>1</x:v>
      </x:c>
      <x:c r="AZ836" s="6" t="str">
        <x:v>0</x:v>
      </x:c>
      <x:c r="BA836" s="9" t="str">
        <x:v>grid_cells_within_BIG_polygon</x:v>
      </x:c>
      <x:c r="BB836" s="6" t="str">
        <x:v>19</x:v>
      </x:c>
      <x:c r="BC836" s="6" t="str">
        <x:v>0</x:v>
      </x:c>
      <x:c r="BD836" s="6" t="str">
        <x:v>0</x:v>
      </x:c>
      <x:c r="BE836" s="6" t="str">
        <x:v>0</x:v>
      </x:c>
      <x:c r="BF836" s="6" t="str">
        <x:v>0</x:v>
      </x:c>
      <x:c r="BG836" s="6" t="str">
        <x:v>0</x:v>
      </x:c>
      <x:c r="BH836" s="6" t="str">
        <x:v>0</x:v>
      </x:c>
      <x:c r="BI836" s="6" t="str">
        <x:v>0</x:v>
      </x:c>
      <x:c r="BJ836" s="6" t="str">
        <x:v>0</x:v>
      </x:c>
      <x:c r="BK836" s="6" t="str">
        <x:v>0</x:v>
      </x:c>
      <x:c r="BL836" s="6" t="str">
        <x:v>0</x:v>
      </x:c>
      <x:c r="BM836" s="6" t="str">
        <x:v>0</x:v>
      </x:c>
      <x:c r="BN836" s="6" t="str">
        <x:v>0</x:v>
      </x:c>
      <x:c r="BO836" s="6" t="str"/>
      <x:c r="BP836" s="6" t="str">
        <x:v>0</x:v>
      </x:c>
      <x:c r="BQ836" s="6" t="str"/>
      <x:c r="BR836" s="6" t="str">
        <x:v>0</x:v>
      </x:c>
      <x:c r="BS836" s="6" t="str"/>
      <x:c r="BT836" s="6" t="str">
        <x:v>0</x:v>
      </x:c>
      <x:c r="BU836" s="6" t="str"/>
      <x:c r="BV836" s="6" t="str">
        <x:v>0</x:v>
      </x:c>
      <x:c r="BW836" s="9" t="str">
        <x:v>operational_snapshot_annual_totals_may_differ</x:v>
      </x:c>
      <x:c r="BX836" s="9" t="str">
        <x:v>official_live_dashboard_snapshot_subject_to_revision</x:v>
      </x:c>
      <x:c r="BY836" s="9" t="str">
        <x:v>https://tbdashboard.sitb.id/ss_data_tbc03so_2025_provinsi_bulanan_list.php</x:v>
      </x:c>
      <x:c r="BZ836" s="6" t="n">
        <x:v>46246.610671296294</x:v>
      </x:c>
    </x:row>
    <x:row r="837" ht="18" customHeight="1">
      <x:c r="A837" s="6" t="str">
        <x:v>94</x:v>
      </x:c>
      <x:c r="B837" s="6" t="str">
        <x:v>PAPUA</x:v>
      </x:c>
      <x:c r="C837" s="6" t="str">
        <x:v>2025</x:v>
      </x:c>
      <x:c r="D837" s="6" t="str">
        <x:v>8</x:v>
      </x:c>
      <x:c r="E837" s="6" t="str">
        <x:v>2025-08</x:v>
      </x:c>
      <x:c r="F837" s="6" t="str">
        <x:v>539</x:v>
      </x:c>
      <x:c r="G837" s="6" t="str">
        <x:v>108</x:v>
      </x:c>
      <x:c r="H837" s="6" t="str">
        <x:v>204</x:v>
      </x:c>
      <x:c r="I837" s="6" t="str">
        <x:v>56</x:v>
      </x:c>
      <x:c r="J837" s="6" t="str">
        <x:v>38</x:v>
      </x:c>
      <x:c r="K837" s="6" t="str">
        <x:v>2</x:v>
      </x:c>
      <x:c r="L837" s="6" t="str">
        <x:v>2</x:v>
      </x:c>
      <x:c r="M837" s="6" t="str">
        <x:v>129</x:v>
      </x:c>
      <x:c r="N837" s="6" t="str">
        <x:v>539</x:v>
      </x:c>
      <x:c r="O837" s="6" t="str">
        <x:v>0</x:v>
      </x:c>
      <x:c r="P837" s="10" t="n">
        <x:f>F837-M837</x:f>
        <x:v>410</x:v>
      </x:c>
      <x:c r="Q837" s="11" t="n">
        <x:f>IFERROR(M837/F837,"")</x:f>
        <x:v>0.23933209647495363</x:v>
      </x:c>
      <x:c r="R837" s="10" t="n">
        <x:f>G837+H837</x:f>
        <x:v>312</x:v>
      </x:c>
      <x:c r="S837" s="11" t="n">
        <x:f>IFERROR(R837/F837,"")</x:f>
        <x:v>0.5788497217068646</x:v>
      </x:c>
      <x:c r="T837" s="11" t="n">
        <x:f>IFERROR(R837/P837,"")</x:f>
        <x:v>0.7609756097560976</x:v>
      </x:c>
      <x:c r="U837" s="10" t="n">
        <x:f>I837+J837+K837</x:f>
        <x:v>96</x:v>
      </x:c>
      <x:c r="V837" s="11" t="n">
        <x:f>IFERROR(U837/P837,"")</x:f>
        <x:v>0.23414634146341465</x:v>
      </x:c>
      <x:c r="W837" s="9" t="str">
        <x:v>provisional_gt_5pct_pending</x:v>
      </x:c>
      <x:c r="X837" s="12" t="n">
        <x:f>IFERROR(F837/Z837*100000,"")</x:f>
        <x:v>50.20491803278688</x:v>
      </x:c>
      <x:c r="Y837" s="13" t="n">
        <x:f>LN(Z837)</x:f>
        <x:v>13.886528045199555</x:v>
      </x:c>
      <x:c r="Z837" s="6" t="str">
        <x:v>1073600</x:v>
      </x:c>
      <x:c r="AA837" s="6" t="str">
        <x:v>13.0</x:v>
      </x:c>
      <x:c r="AB837" s="9" t="str">
        <x:v>2025-06-30</x:v>
      </x:c>
      <x:c r="AC837" s="8" t="str">
        <x:v>76.7</x:v>
      </x:c>
      <x:c r="AD837" s="9" t="str">
        <x:v>2025 (Susenas)</x:v>
      </x:c>
      <x:c r="AE837" s="8" t="str">
        <x:v>19.16</x:v>
      </x:c>
      <x:c r="AF837" s="9" t="str">
        <x:v>Maret 2025 (Susenas)</x:v>
      </x:c>
      <x:c r="AG837" s="6" t="str">
        <x:v>24.9907222763578</x:v>
      </x:c>
      <x:c r="AH837" s="8" t="str">
        <x:v>90.31416955278172</x:v>
      </x:c>
      <x:c r="AI837" s="6" t="str">
        <x:v>243.68825436976377</x:v>
      </x:c>
      <x:c r="AJ837" s="6" t="str">
        <x:v>0.176310578913803</x:v>
      </x:c>
      <x:c r="AK837" s="8" t="str">
        <x:v>0.3981272395932232</x:v>
      </x:c>
      <x:c r="AL837" s="6" t="str">
        <x:v>0.3731166353429204</x:v>
      </x:c>
      <x:c r="AM837" s="6" t="str">
        <x:v>0.5590373006427946</x:v>
      </x:c>
      <x:c r="AN837" s="6" t="str">
        <x:v>0.4434270585263133</x:v>
      </x:c>
      <x:c r="AO837" s="6" t="str">
        <x:v>2.038510654953157</x:v>
      </x:c>
      <x:c r="AP837" s="8" t="str">
        <x:v>0.6846840443331784</x:v>
      </x:c>
      <x:c r="AQ837" s="6" t="str">
        <x:v>0.7897328349213338</x:v>
      </x:c>
      <x:c r="AR837" s="6" t="str">
        <x:v>0.4662727878351057</x:v>
      </x:c>
      <x:c r="AS837" s="6" t="str">
        <x:v>0.6468965556965395</x:v>
      </x:c>
      <x:c r="AT837" s="6" t="str">
        <x:v>77.08993872255002</x:v>
      </x:c>
      <x:c r="AU837" s="8" t="str">
        <x:v>1.408236438652848</x:v>
      </x:c>
      <x:c r="AV837" s="6" t="str">
        <x:v>2.5459121393766493</x:v>
      </x:c>
      <x:c r="AW837" s="6" t="str">
        <x:v>1.3215053498038367</x:v>
      </x:c>
      <x:c r="AX837" s="6" t="str">
        <x:v>1.7585513092777785</x:v>
      </x:c>
      <x:c r="AY837" s="6" t="str">
        <x:v>1</x:v>
      </x:c>
      <x:c r="AZ837" s="6" t="str">
        <x:v>0</x:v>
      </x:c>
      <x:c r="BA837" s="9" t="str">
        <x:v>grid_cells_within_BIG_polygon</x:v>
      </x:c>
      <x:c r="BB837" s="6" t="str">
        <x:v>19</x:v>
      </x:c>
      <x:c r="BC837" s="6" t="str">
        <x:v>2</x:v>
      </x:c>
      <x:c r="BD837" s="6" t="str">
        <x:v>1</x:v>
      </x:c>
      <x:c r="BE837" s="6" t="str">
        <x:v>1</x:v>
      </x:c>
      <x:c r="BF837" s="6" t="str">
        <x:v>0</x:v>
      </x:c>
      <x:c r="BG837" s="6" t="str">
        <x:v>0</x:v>
      </x:c>
      <x:c r="BH837" s="6" t="str">
        <x:v>0</x:v>
      </x:c>
      <x:c r="BI837" s="6" t="str">
        <x:v>0</x:v>
      </x:c>
      <x:c r="BJ837" s="6" t="str">
        <x:v>0</x:v>
      </x:c>
      <x:c r="BK837" s="6" t="str">
        <x:v>1</x:v>
      </x:c>
      <x:c r="BL837" s="6" t="str">
        <x:v>0</x:v>
      </x:c>
      <x:c r="BM837" s="6" t="str">
        <x:v>0</x:v>
      </x:c>
      <x:c r="BN837" s="6" t="str">
        <x:v>2</x:v>
      </x:c>
      <x:c r="BO837" s="6" t="str"/>
      <x:c r="BP837" s="6" t="str">
        <x:v>0</x:v>
      </x:c>
      <x:c r="BQ837" s="6" t="str"/>
      <x:c r="BR837" s="6" t="str">
        <x:v>0</x:v>
      </x:c>
      <x:c r="BS837" s="6" t="str">
        <x:v>106.0</x:v>
      </x:c>
      <x:c r="BT837" s="6" t="str">
        <x:v>2</x:v>
      </x:c>
      <x:c r="BU837" s="6" t="str">
        <x:v>1.0</x:v>
      </x:c>
      <x:c r="BV837" s="6" t="str">
        <x:v>1</x:v>
      </x:c>
      <x:c r="BW837" s="9" t="str">
        <x:v>operational_snapshot_annual_totals_may_differ</x:v>
      </x:c>
      <x:c r="BX837" s="9" t="str">
        <x:v>official_live_dashboard_snapshot_subject_to_revision</x:v>
      </x:c>
      <x:c r="BY837" s="9" t="str">
        <x:v>https://tbdashboard.sitb.id/ss_data_tbc03so_2025_provinsi_bulanan_list.php</x:v>
      </x:c>
      <x:c r="BZ837" s="6" t="n">
        <x:v>46246.610671296294</x:v>
      </x:c>
    </x:row>
    <x:row r="838" ht="18" customHeight="1">
      <x:c r="A838" s="6" t="str">
        <x:v>94</x:v>
      </x:c>
      <x:c r="B838" s="6" t="str">
        <x:v>PAPUA</x:v>
      </x:c>
      <x:c r="C838" s="6" t="str">
        <x:v>2025</x:v>
      </x:c>
      <x:c r="D838" s="6" t="str">
        <x:v>9</x:v>
      </x:c>
      <x:c r="E838" s="6" t="str">
        <x:v>2025-09</x:v>
      </x:c>
      <x:c r="F838" s="6" t="str">
        <x:v>507</x:v>
      </x:c>
      <x:c r="G838" s="6" t="str">
        <x:v>85</x:v>
      </x:c>
      <x:c r="H838" s="6" t="str">
        <x:v>178</x:v>
      </x:c>
      <x:c r="I838" s="6" t="str">
        <x:v>66</x:v>
      </x:c>
      <x:c r="J838" s="6" t="str">
        <x:v>32</x:v>
      </x:c>
      <x:c r="K838" s="6" t="str">
        <x:v>1</x:v>
      </x:c>
      <x:c r="L838" s="6" t="str">
        <x:v>1</x:v>
      </x:c>
      <x:c r="M838" s="6" t="str">
        <x:v>144</x:v>
      </x:c>
      <x:c r="N838" s="6" t="str">
        <x:v>507</x:v>
      </x:c>
      <x:c r="O838" s="6" t="str">
        <x:v>0</x:v>
      </x:c>
      <x:c r="P838" s="10" t="n">
        <x:f>F838-M838</x:f>
        <x:v>363</x:v>
      </x:c>
      <x:c r="Q838" s="11" t="n">
        <x:f>IFERROR(M838/F838,"")</x:f>
        <x:v>0.28402366863905326</x:v>
      </x:c>
      <x:c r="R838" s="10" t="n">
        <x:f>G838+H838</x:f>
        <x:v>263</x:v>
      </x:c>
      <x:c r="S838" s="11" t="n">
        <x:f>IFERROR(R838/F838,"")</x:f>
        <x:v>0.5187376725838264</x:v>
      </x:c>
      <x:c r="T838" s="11" t="n">
        <x:f>IFERROR(R838/P838,"")</x:f>
        <x:v>0.7245179063360881</x:v>
      </x:c>
      <x:c r="U838" s="10" t="n">
        <x:f>I838+J838+K838</x:f>
        <x:v>99</x:v>
      </x:c>
      <x:c r="V838" s="11" t="n">
        <x:f>IFERROR(U838/P838,"")</x:f>
        <x:v>0.2727272727272727</x:v>
      </x:c>
      <x:c r="W838" s="9" t="str">
        <x:v>provisional_gt_5pct_pending</x:v>
      </x:c>
      <x:c r="X838" s="12" t="n">
        <x:f>IFERROR(F838/Z838*100000,"")</x:f>
        <x:v>47.224292101341284</x:v>
      </x:c>
      <x:c r="Y838" s="13" t="n">
        <x:f>LN(Z838)</x:f>
        <x:v>13.886528045199555</x:v>
      </x:c>
      <x:c r="Z838" s="6" t="str">
        <x:v>1073600</x:v>
      </x:c>
      <x:c r="AA838" s="6" t="str">
        <x:v>13.0</x:v>
      </x:c>
      <x:c r="AB838" s="9" t="str">
        <x:v>2025-06-30</x:v>
      </x:c>
      <x:c r="AC838" s="8" t="str">
        <x:v>76.7</x:v>
      </x:c>
      <x:c r="AD838" s="9" t="str">
        <x:v>2025 (Susenas)</x:v>
      </x:c>
      <x:c r="AE838" s="8" t="str">
        <x:v>19.16</x:v>
      </x:c>
      <x:c r="AF838" s="9" t="str">
        <x:v>Maret 2025 (Susenas)</x:v>
      </x:c>
      <x:c r="AG838" s="6" t="str">
        <x:v>25.233351691893677</x:v>
      </x:c>
      <x:c r="AH838" s="8" t="str">
        <x:v>89.51937487034105</x:v>
      </x:c>
      <x:c r="AI838" s="6" t="str">
        <x:v>213.6571267598219</x:v>
      </x:c>
      <x:c r="AJ838" s="6" t="str">
        <x:v>0.1168113048620718</x:v>
      </x:c>
      <x:c r="AK838" s="8" t="str">
        <x:v>0.2410283206507723</x:v>
      </x:c>
      <x:c r="AL838" s="6" t="str">
        <x:v>0.3981272395932232</x:v>
      </x:c>
      <x:c r="AM838" s="6" t="str">
        <x:v>0.3731166353429204</x:v>
      </x:c>
      <x:c r="AN838" s="6" t="str">
        <x:v>0.3374240651956393</x:v>
      </x:c>
      <x:c r="AO838" s="6" t="str">
        <x:v>2.407066739389748</x:v>
      </x:c>
      <x:c r="AP838" s="8" t="str">
        <x:v>0.689691962897678</x:v>
      </x:c>
      <x:c r="AQ838" s="6" t="str">
        <x:v>0.6846840443331784</x:v>
      </x:c>
      <x:c r="AR838" s="6" t="str">
        <x:v>0.7897328349213338</x:v>
      </x:c>
      <x:c r="AS838" s="6" t="str">
        <x:v>0.7213696140507301</x:v>
      </x:c>
      <x:c r="AT838" s="6" t="str">
        <x:v>51.62265192242799</x:v>
      </x:c>
      <x:c r="AU838" s="8" t="str">
        <x:v>0.8325697849284832</x:v>
      </x:c>
      <x:c r="AV838" s="6" t="str">
        <x:v>1.408236438652848</x:v>
      </x:c>
      <x:c r="AW838" s="6" t="str">
        <x:v>2.5459121393766493</x:v>
      </x:c>
      <x:c r="AX838" s="6" t="str">
        <x:v>1.5955727876526604</x:v>
      </x:c>
      <x:c r="AY838" s="6" t="str">
        <x:v>0</x:v>
      </x:c>
      <x:c r="AZ838" s="6" t="str">
        <x:v>0</x:v>
      </x:c>
      <x:c r="BA838" s="9" t="str">
        <x:v>grid_cells_within_BIG_polygon</x:v>
      </x:c>
      <x:c r="BB838" s="6" t="str">
        <x:v>19</x:v>
      </x:c>
      <x:c r="BC838" s="6" t="str">
        <x:v>1</x:v>
      </x:c>
      <x:c r="BD838" s="6" t="str">
        <x:v>1</x:v>
      </x:c>
      <x:c r="BE838" s="6" t="str">
        <x:v>0</x:v>
      </x:c>
      <x:c r="BF838" s="6" t="str">
        <x:v>1</x:v>
      </x:c>
      <x:c r="BG838" s="6" t="str">
        <x:v>0</x:v>
      </x:c>
      <x:c r="BH838" s="6" t="str">
        <x:v>0</x:v>
      </x:c>
      <x:c r="BI838" s="6" t="str">
        <x:v>0</x:v>
      </x:c>
      <x:c r="BJ838" s="6" t="str">
        <x:v>0</x:v>
      </x:c>
      <x:c r="BK838" s="6" t="str">
        <x:v>0</x:v>
      </x:c>
      <x:c r="BL838" s="6" t="str">
        <x:v>0</x:v>
      </x:c>
      <x:c r="BM838" s="6" t="str">
        <x:v>0</x:v>
      </x:c>
      <x:c r="BN838" s="6" t="str">
        <x:v>1</x:v>
      </x:c>
      <x:c r="BO838" s="6" t="str"/>
      <x:c r="BP838" s="6" t="str">
        <x:v>0</x:v>
      </x:c>
      <x:c r="BQ838" s="6" t="str"/>
      <x:c r="BR838" s="6" t="str">
        <x:v>0</x:v>
      </x:c>
      <x:c r="BS838" s="6" t="str">
        <x:v>0.0</x:v>
      </x:c>
      <x:c r="BT838" s="6" t="str">
        <x:v>1</x:v>
      </x:c>
      <x:c r="BU838" s="6" t="str"/>
      <x:c r="BV838" s="6" t="str">
        <x:v>0</x:v>
      </x:c>
      <x:c r="BW838" s="9" t="str">
        <x:v>operational_snapshot_annual_totals_may_differ</x:v>
      </x:c>
      <x:c r="BX838" s="9" t="str">
        <x:v>official_live_dashboard_snapshot_subject_to_revision</x:v>
      </x:c>
      <x:c r="BY838" s="9" t="str">
        <x:v>https://tbdashboard.sitb.id/ss_data_tbc03so_2025_provinsi_bulanan_list.php</x:v>
      </x:c>
      <x:c r="BZ838" s="6" t="n">
        <x:v>46246.610671296294</x:v>
      </x:c>
    </x:row>
    <x:row r="839" ht="18" customHeight="1">
      <x:c r="A839" s="6" t="str">
        <x:v>94</x:v>
      </x:c>
      <x:c r="B839" s="6" t="str">
        <x:v>PAPUA</x:v>
      </x:c>
      <x:c r="C839" s="6" t="str">
        <x:v>2025</x:v>
      </x:c>
      <x:c r="D839" s="6" t="str">
        <x:v>10</x:v>
      </x:c>
      <x:c r="E839" s="6" t="str">
        <x:v>2025-10</x:v>
      </x:c>
      <x:c r="F839" s="6" t="str">
        <x:v>540</x:v>
      </x:c>
      <x:c r="G839" s="6" t="str">
        <x:v>105</x:v>
      </x:c>
      <x:c r="H839" s="6" t="str">
        <x:v>189</x:v>
      </x:c>
      <x:c r="I839" s="6" t="str">
        <x:v>55</x:v>
      </x:c>
      <x:c r="J839" s="6" t="str">
        <x:v>35</x:v>
      </x:c>
      <x:c r="K839" s="6" t="str">
        <x:v>0</x:v>
      </x:c>
      <x:c r="L839" s="6" t="str">
        <x:v>2</x:v>
      </x:c>
      <x:c r="M839" s="6" t="str">
        <x:v>154</x:v>
      </x:c>
      <x:c r="N839" s="6" t="str">
        <x:v>540</x:v>
      </x:c>
      <x:c r="O839" s="6" t="str">
        <x:v>0</x:v>
      </x:c>
      <x:c r="P839" s="10" t="n">
        <x:f>F839-M839</x:f>
        <x:v>386</x:v>
      </x:c>
      <x:c r="Q839" s="11" t="n">
        <x:f>IFERROR(M839/F839,"")</x:f>
        <x:v>0.2851851851851852</x:v>
      </x:c>
      <x:c r="R839" s="10" t="n">
        <x:f>G839+H839</x:f>
        <x:v>294</x:v>
      </x:c>
      <x:c r="S839" s="11" t="n">
        <x:f>IFERROR(R839/F839,"")</x:f>
        <x:v>0.5444444444444444</x:v>
      </x:c>
      <x:c r="T839" s="11" t="n">
        <x:f>IFERROR(R839/P839,"")</x:f>
        <x:v>0.7616580310880829</x:v>
      </x:c>
      <x:c r="U839" s="10" t="n">
        <x:f>I839+J839+K839</x:f>
        <x:v>90</x:v>
      </x:c>
      <x:c r="V839" s="11" t="n">
        <x:f>IFERROR(U839/P839,"")</x:f>
        <x:v>0.23316062176165803</x:v>
      </x:c>
      <x:c r="W839" s="9" t="str">
        <x:v>provisional_gt_5pct_pending</x:v>
      </x:c>
      <x:c r="X839" s="12" t="n">
        <x:f>IFERROR(F839/Z839*100000,"")</x:f>
        <x:v>50.298062593144564</x:v>
      </x:c>
      <x:c r="Y839" s="13" t="n">
        <x:f>LN(Z839)</x:f>
        <x:v>13.886528045199555</x:v>
      </x:c>
      <x:c r="Z839" s="6" t="str">
        <x:v>1073600</x:v>
      </x:c>
      <x:c r="AA839" s="6" t="str">
        <x:v>13.0</x:v>
      </x:c>
      <x:c r="AB839" s="9" t="str">
        <x:v>2025-06-30</x:v>
      </x:c>
      <x:c r="AC839" s="8" t="str">
        <x:v>76.7</x:v>
      </x:c>
      <x:c r="AD839" s="9" t="str">
        <x:v>2025 (Susenas)</x:v>
      </x:c>
      <x:c r="AE839" s="8" t="str">
        <x:v>19.16</x:v>
      </x:c>
      <x:c r="AF839" s="9" t="str">
        <x:v>Maret 2025 (Susenas)</x:v>
      </x:c>
      <x:c r="AG839" s="6" t="str">
        <x:v>25.34546103807154</x:v>
      </x:c>
      <x:c r="AH839" s="8" t="str">
        <x:v>89.59308982405179</x:v>
      </x:c>
      <x:c r="AI839" s="6" t="str">
        <x:v>326.373280979636</x:v>
      </x:c>
      <x:c r="AJ839" s="6" t="str">
        <x:v>-0.0586595407424788</x:v>
      </x:c>
      <x:c r="AK839" s="8" t="str">
        <x:v>-0.1327674994247988</x:v>
      </x:c>
      <x:c r="AL839" s="6" t="str">
        <x:v>0.2410283206507723</x:v>
      </x:c>
      <x:c r="AM839" s="6" t="str">
        <x:v>0.3981272395932232</x:v>
      </x:c>
      <x:c r="AN839" s="6" t="str">
        <x:v>0.1687960202730662</x:v>
      </x:c>
      <x:c r="AO839" s="6" t="str">
        <x:v>2.9046160234546647</x:v>
      </x:c>
      <x:c r="AP839" s="8" t="str">
        <x:v>0.8000488298867953</x:v>
      </x:c>
      <x:c r="AQ839" s="6" t="str">
        <x:v>0.689691962897678</x:v>
      </x:c>
      <x:c r="AR839" s="6" t="str">
        <x:v>0.6846840443331784</x:v>
      </x:c>
      <x:c r="AS839" s="6" t="str">
        <x:v>0.7248082790392173</x:v>
      </x:c>
      <x:c r="AT839" s="6" t="str">
        <x:v>163.7142274512146</x:v>
      </x:c>
      <x:c r="AU839" s="8" t="str">
        <x:v>2.6828144693658422</x:v>
      </x:c>
      <x:c r="AV839" s="6" t="str">
        <x:v>0.8325697849284832</x:v>
      </x:c>
      <x:c r="AW839" s="6" t="str">
        <x:v>1.408236438652848</x:v>
      </x:c>
      <x:c r="AX839" s="6" t="str">
        <x:v>1.641206897649058</x:v>
      </x:c>
      <x:c r="AY839" s="6" t="str">
        <x:v>1</x:v>
      </x:c>
      <x:c r="AZ839" s="6" t="str">
        <x:v>0</x:v>
      </x:c>
      <x:c r="BA839" s="9" t="str">
        <x:v>grid_cells_within_BIG_polygon</x:v>
      </x:c>
      <x:c r="BB839" s="6" t="str">
        <x:v>19</x:v>
      </x:c>
      <x:c r="BC839" s="6" t="str">
        <x:v>2</x:v>
      </x:c>
      <x:c r="BD839" s="6" t="str">
        <x:v>0</x:v>
      </x:c>
      <x:c r="BE839" s="6" t="str">
        <x:v>0</x:v>
      </x:c>
      <x:c r="BF839" s="6" t="str">
        <x:v>0</x:v>
      </x:c>
      <x:c r="BG839" s="6" t="str">
        <x:v>0</x:v>
      </x:c>
      <x:c r="BH839" s="6" t="str">
        <x:v>0</x:v>
      </x:c>
      <x:c r="BI839" s="6" t="str">
        <x:v>0</x:v>
      </x:c>
      <x:c r="BJ839" s="6" t="str">
        <x:v>0</x:v>
      </x:c>
      <x:c r="BK839" s="6" t="str">
        <x:v>2</x:v>
      </x:c>
      <x:c r="BL839" s="6" t="str">
        <x:v>0</x:v>
      </x:c>
      <x:c r="BM839" s="6" t="str">
        <x:v>0</x:v>
      </x:c>
      <x:c r="BN839" s="6" t="str">
        <x:v>2</x:v>
      </x:c>
      <x:c r="BO839" s="6" t="str"/>
      <x:c r="BP839" s="6" t="str">
        <x:v>0</x:v>
      </x:c>
      <x:c r="BQ839" s="6" t="str">
        <x:v>3.0</x:v>
      </x:c>
      <x:c r="BR839" s="6" t="str">
        <x:v>1</x:v>
      </x:c>
      <x:c r="BS839" s="6" t="str">
        <x:v>145.0</x:v>
      </x:c>
      <x:c r="BT839" s="6" t="str">
        <x:v>2</x:v>
      </x:c>
      <x:c r="BU839" s="6" t="str"/>
      <x:c r="BV839" s="6" t="str">
        <x:v>0</x:v>
      </x:c>
      <x:c r="BW839" s="9" t="str">
        <x:v>operational_snapshot_annual_totals_may_differ</x:v>
      </x:c>
      <x:c r="BX839" s="9" t="str">
        <x:v>official_live_dashboard_snapshot_subject_to_revision</x:v>
      </x:c>
      <x:c r="BY839" s="9" t="str">
        <x:v>https://tbdashboard.sitb.id/ss_data_tbc03so_2025_provinsi_bulanan_list.php</x:v>
      </x:c>
      <x:c r="BZ839" s="6" t="n">
        <x:v>46246.610671296294</x:v>
      </x:c>
    </x:row>
    <x:row r="840" ht="18" customHeight="1">
      <x:c r="A840" s="6" t="str">
        <x:v>94</x:v>
      </x:c>
      <x:c r="B840" s="6" t="str">
        <x:v>PAPUA</x:v>
      </x:c>
      <x:c r="C840" s="6" t="str">
        <x:v>2025</x:v>
      </x:c>
      <x:c r="D840" s="6" t="str">
        <x:v>11</x:v>
      </x:c>
      <x:c r="E840" s="6" t="str">
        <x:v>2025-11</x:v>
      </x:c>
      <x:c r="F840" s="6" t="str">
        <x:v>535</x:v>
      </x:c>
      <x:c r="G840" s="6" t="str">
        <x:v>79</x:v>
      </x:c>
      <x:c r="H840" s="6" t="str">
        <x:v>155</x:v>
      </x:c>
      <x:c r="I840" s="6" t="str">
        <x:v>55</x:v>
      </x:c>
      <x:c r="J840" s="6" t="str">
        <x:v>34</x:v>
      </x:c>
      <x:c r="K840" s="6" t="str">
        <x:v>2</x:v>
      </x:c>
      <x:c r="L840" s="6" t="str">
        <x:v>5</x:v>
      </x:c>
      <x:c r="M840" s="6" t="str">
        <x:v>205</x:v>
      </x:c>
      <x:c r="N840" s="6" t="str">
        <x:v>535</x:v>
      </x:c>
      <x:c r="O840" s="6" t="str">
        <x:v>0</x:v>
      </x:c>
      <x:c r="P840" s="10" t="n">
        <x:f>F840-M840</x:f>
        <x:v>330</x:v>
      </x:c>
      <x:c r="Q840" s="11" t="n">
        <x:f>IFERROR(M840/F840,"")</x:f>
        <x:v>0.38317757009345793</x:v>
      </x:c>
      <x:c r="R840" s="10" t="n">
        <x:f>G840+H840</x:f>
        <x:v>234</x:v>
      </x:c>
      <x:c r="S840" s="11" t="n">
        <x:f>IFERROR(R840/F840,"")</x:f>
        <x:v>0.4373831775700935</x:v>
      </x:c>
      <x:c r="T840" s="11" t="n">
        <x:f>IFERROR(R840/P840,"")</x:f>
        <x:v>0.7090909090909091</x:v>
      </x:c>
      <x:c r="U840" s="10" t="n">
        <x:f>I840+J840+K840</x:f>
        <x:v>91</x:v>
      </x:c>
      <x:c r="V840" s="11" t="n">
        <x:f>IFERROR(U840/P840,"")</x:f>
        <x:v>0.27575757575757576</x:v>
      </x:c>
      <x:c r="W840" s="9" t="str">
        <x:v>provisional_gt_5pct_pending</x:v>
      </x:c>
      <x:c r="X840" s="12" t="n">
        <x:f>IFERROR(F840/Z840*100000,"")</x:f>
        <x:v>49.83233979135618</x:v>
      </x:c>
      <x:c r="Y840" s="13" t="n">
        <x:f>LN(Z840)</x:f>
        <x:v>13.886528045199555</x:v>
      </x:c>
      <x:c r="Z840" s="6" t="str">
        <x:v>1073600</x:v>
      </x:c>
      <x:c r="AA840" s="6" t="str">
        <x:v>13.0</x:v>
      </x:c>
      <x:c r="AB840" s="9" t="str">
        <x:v>2025-06-30</x:v>
      </x:c>
      <x:c r="AC840" s="8" t="str">
        <x:v>76.7</x:v>
      </x:c>
      <x:c r="AD840" s="9" t="str">
        <x:v>2025 (Susenas)</x:v>
      </x:c>
      <x:c r="AE840" s="8" t="str">
        <x:v>19.16</x:v>
      </x:c>
      <x:c r="AF840" s="9" t="str">
        <x:v>Maret 2025 (Susenas)</x:v>
      </x:c>
      <x:c r="AG840" s="6" t="str">
        <x:v>25.371216518547207</x:v>
      </x:c>
      <x:c r="AH840" s="8" t="str">
        <x:v>90.88989004021194</x:v>
      </x:c>
      <x:c r="AI840" s="6" t="str">
        <x:v>287.239529504087</x:v>
      </x:c>
      <x:c r="AJ840" s="6" t="str">
        <x:v>-0.023609771633108</x:v>
      </x:c>
      <x:c r="AK840" s="8" t="str">
        <x:v>-0.0631448378581979</x:v>
      </x:c>
      <x:c r="AL840" s="6" t="str">
        <x:v>-0.1327674994247988</x:v>
      </x:c>
      <x:c r="AM840" s="6" t="str">
        <x:v>0.2410283206507723</x:v>
      </x:c>
      <x:c r="AN840" s="6" t="str">
        <x:v>0.0150386611225924</x:v>
      </x:c>
      <x:c r="AO840" s="6" t="str">
        <x:v>2.6716068594849105</x:v>
      </x:c>
      <x:c r="AP840" s="8" t="str">
        <x:v>0.946976362115182</x:v>
      </x:c>
      <x:c r="AQ840" s="6" t="str">
        <x:v>0.8000488298867953</x:v>
      </x:c>
      <x:c r="AR840" s="6" t="str">
        <x:v>0.689691962897678</x:v>
      </x:c>
      <x:c r="AS840" s="6" t="str">
        <x:v>0.8122390516332185</x:v>
      </x:c>
      <x:c r="AT840" s="6" t="str">
        <x:v>108.88559892630954</x:v>
      </x:c>
      <x:c r="AU840" s="8" t="str">
        <x:v>1.7464047337370474</x:v>
      </x:c>
      <x:c r="AV840" s="6" t="str">
        <x:v>2.6828144693658422</x:v>
      </x:c>
      <x:c r="AW840" s="6" t="str">
        <x:v>0.8325697849284832</x:v>
      </x:c>
      <x:c r="AX840" s="6" t="str">
        <x:v>1.7539296626771244</x:v>
      </x:c>
      <x:c r="AY840" s="6" t="str">
        <x:v>1</x:v>
      </x:c>
      <x:c r="AZ840" s="6" t="str">
        <x:v>0</x:v>
      </x:c>
      <x:c r="BA840" s="9" t="str">
        <x:v>grid_cells_within_BIG_polygon</x:v>
      </x:c>
      <x:c r="BB840" s="6" t="str">
        <x:v>19</x:v>
      </x:c>
      <x:c r="BC840" s="6" t="str">
        <x:v>0</x:v>
      </x:c>
      <x:c r="BD840" s="6" t="str">
        <x:v>0</x:v>
      </x:c>
      <x:c r="BE840" s="6" t="str">
        <x:v>0</x:v>
      </x:c>
      <x:c r="BF840" s="6" t="str">
        <x:v>0</x:v>
      </x:c>
      <x:c r="BG840" s="6" t="str">
        <x:v>0</x:v>
      </x:c>
      <x:c r="BH840" s="6" t="str">
        <x:v>0</x:v>
      </x:c>
      <x:c r="BI840" s="6" t="str">
        <x:v>0</x:v>
      </x:c>
      <x:c r="BJ840" s="6" t="str">
        <x:v>0</x:v>
      </x:c>
      <x:c r="BK840" s="6" t="str">
        <x:v>0</x:v>
      </x:c>
      <x:c r="BL840" s="6" t="str">
        <x:v>0</x:v>
      </x:c>
      <x:c r="BM840" s="6" t="str">
        <x:v>0</x:v>
      </x:c>
      <x:c r="BN840" s="6" t="str">
        <x:v>0</x:v>
      </x:c>
      <x:c r="BO840" s="6" t="str"/>
      <x:c r="BP840" s="6" t="str">
        <x:v>0</x:v>
      </x:c>
      <x:c r="BQ840" s="6" t="str"/>
      <x:c r="BR840" s="6" t="str">
        <x:v>0</x:v>
      </x:c>
      <x:c r="BS840" s="6" t="str"/>
      <x:c r="BT840" s="6" t="str">
        <x:v>0</x:v>
      </x:c>
      <x:c r="BU840" s="6" t="str"/>
      <x:c r="BV840" s="6" t="str">
        <x:v>0</x:v>
      </x:c>
      <x:c r="BW840" s="9" t="str">
        <x:v>operational_snapshot_annual_totals_may_differ</x:v>
      </x:c>
      <x:c r="BX840" s="9" t="str">
        <x:v>official_live_dashboard_snapshot_subject_to_revision</x:v>
      </x:c>
      <x:c r="BY840" s="9" t="str">
        <x:v>https://tbdashboard.sitb.id/ss_data_tbc03so_2025_provinsi_bulanan_list.php</x:v>
      </x:c>
      <x:c r="BZ840" s="6" t="n">
        <x:v>46246.610671296294</x:v>
      </x:c>
    </x:row>
    <x:row r="841" ht="18" customHeight="1">
      <x:c r="A841" s="6" t="str">
        <x:v>94</x:v>
      </x:c>
      <x:c r="B841" s="6" t="str">
        <x:v>PAPUA</x:v>
      </x:c>
      <x:c r="C841" s="6" t="str">
        <x:v>2025</x:v>
      </x:c>
      <x:c r="D841" s="6" t="str">
        <x:v>12</x:v>
      </x:c>
      <x:c r="E841" s="6" t="str">
        <x:v>2025-12</x:v>
      </x:c>
      <x:c r="F841" s="6" t="str">
        <x:v>455</x:v>
      </x:c>
      <x:c r="G841" s="6" t="str">
        <x:v>72</x:v>
      </x:c>
      <x:c r="H841" s="6" t="str">
        <x:v>122</x:v>
      </x:c>
      <x:c r="I841" s="6" t="str">
        <x:v>40</x:v>
      </x:c>
      <x:c r="J841" s="6" t="str">
        <x:v>18</x:v>
      </x:c>
      <x:c r="K841" s="6" t="str">
        <x:v>2</x:v>
      </x:c>
      <x:c r="L841" s="6" t="str">
        <x:v>1</x:v>
      </x:c>
      <x:c r="M841" s="6" t="str">
        <x:v>200</x:v>
      </x:c>
      <x:c r="N841" s="6" t="str">
        <x:v>455</x:v>
      </x:c>
      <x:c r="O841" s="6" t="str">
        <x:v>0</x:v>
      </x:c>
      <x:c r="P841" s="10" t="n">
        <x:f>F841-M841</x:f>
        <x:v>255</x:v>
      </x:c>
      <x:c r="Q841" s="11" t="n">
        <x:f>IFERROR(M841/F841,"")</x:f>
        <x:v>0.43956043956043955</x:v>
      </x:c>
      <x:c r="R841" s="10" t="n">
        <x:f>G841+H841</x:f>
        <x:v>194</x:v>
      </x:c>
      <x:c r="S841" s="11" t="n">
        <x:f>IFERROR(R841/F841,"")</x:f>
        <x:v>0.42637362637362636</x:v>
      </x:c>
      <x:c r="T841" s="11" t="n">
        <x:f>IFERROR(R841/P841,"")</x:f>
        <x:v>0.7607843137254902</x:v>
      </x:c>
      <x:c r="U841" s="10" t="n">
        <x:f>I841+J841+K841</x:f>
        <x:v>60</x:v>
      </x:c>
      <x:c r="V841" s="11" t="n">
        <x:f>IFERROR(U841/P841,"")</x:f>
        <x:v>0.23529411764705882</x:v>
      </x:c>
      <x:c r="W841" s="9" t="str">
        <x:v>provisional_gt_5pct_pending</x:v>
      </x:c>
      <x:c r="X841" s="12" t="n">
        <x:f>IFERROR(F841/Z841*100000,"")</x:f>
        <x:v>42.38077496274218</x:v>
      </x:c>
      <x:c r="Y841" s="13" t="n">
        <x:f>LN(Z841)</x:f>
        <x:v>13.886528045199555</x:v>
      </x:c>
      <x:c r="Z841" s="6" t="str">
        <x:v>1073600</x:v>
      </x:c>
      <x:c r="AA841" s="6" t="str">
        <x:v>13.0</x:v>
      </x:c>
      <x:c r="AB841" s="9" t="str">
        <x:v>2025-06-30</x:v>
      </x:c>
      <x:c r="AC841" s="8" t="str">
        <x:v>76.7</x:v>
      </x:c>
      <x:c r="AD841" s="9" t="str">
        <x:v>2025 (Susenas)</x:v>
      </x:c>
      <x:c r="AE841" s="8" t="str">
        <x:v>19.16</x:v>
      </x:c>
      <x:c r="AF841" s="9" t="str">
        <x:v>Maret 2025 (Susenas)</x:v>
      </x:c>
      <x:c r="AG841" s="6" t="str">
        <x:v>25.46172190626987</x:v>
      </x:c>
      <x:c r="AH841" s="8" t="str">
        <x:v>90.05573607711206</x:v>
      </x:c>
      <x:c r="AI841" s="6" t="str">
        <x:v>161.44628357922397</x:v>
      </x:c>
      <x:c r="AJ841" s="6" t="str">
        <x:v>0.1384212582823494</x:v>
      </x:c>
      <x:c r="AK841" s="8" t="str">
        <x:v>0.4958510539349418</x:v>
      </x:c>
      <x:c r="AL841" s="6" t="str">
        <x:v>-0.0631448378581979</x:v>
      </x:c>
      <x:c r="AM841" s="6" t="str">
        <x:v>-0.1327674994247988</x:v>
      </x:c>
      <x:c r="AN841" s="6" t="str">
        <x:v>0.0999795722173155</x:v>
      </x:c>
      <x:c r="AO841" s="6" t="str">
        <x:v>0.6697531228310112</x:v>
      </x:c>
      <x:c r="AP841" s="8" t="str">
        <x:v>0.3294699242008289</x:v>
      </x:c>
      <x:c r="AQ841" s="6" t="str">
        <x:v>0.946976362115182</x:v>
      </x:c>
      <x:c r="AR841" s="6" t="str">
        <x:v>0.8000488298867953</x:v>
      </x:c>
      <x:c r="AS841" s="6" t="str">
        <x:v>0.6921650387342688</x:v>
      </x:c>
      <x:c r="AT841" s="6" t="str">
        <x:v>-34.45733662979666</x:v>
      </x:c>
      <x:c r="AU841" s="8" t="str">
        <x:v>-0.610786096314337</x:v>
      </x:c>
      <x:c r="AV841" s="6" t="str">
        <x:v>1.7464047337370474</x:v>
      </x:c>
      <x:c r="AW841" s="6" t="str">
        <x:v>2.6828144693658422</x:v>
      </x:c>
      <x:c r="AX841" s="6" t="str">
        <x:v>1.2728110355961844</x:v>
      </x:c>
      <x:c r="AY841" s="6" t="str">
        <x:v>0</x:v>
      </x:c>
      <x:c r="AZ841" s="6" t="str">
        <x:v>0</x:v>
      </x:c>
      <x:c r="BA841" s="9" t="str">
        <x:v>grid_cells_within_BIG_polygon</x:v>
      </x:c>
      <x:c r="BB841" s="6" t="str">
        <x:v>19</x:v>
      </x:c>
      <x:c r="BC841" s="6" t="str">
        <x:v>1</x:v>
      </x:c>
      <x:c r="BD841" s="6" t="str">
        <x:v>1</x:v>
      </x:c>
      <x:c r="BE841" s="6" t="str">
        <x:v>1</x:v>
      </x:c>
      <x:c r="BF841" s="6" t="str">
        <x:v>0</x:v>
      </x:c>
      <x:c r="BG841" s="6" t="str">
        <x:v>0</x:v>
      </x:c>
      <x:c r="BH841" s="6" t="str">
        <x:v>0</x:v>
      </x:c>
      <x:c r="BI841" s="6" t="str">
        <x:v>0</x:v>
      </x:c>
      <x:c r="BJ841" s="6" t="str">
        <x:v>0</x:v>
      </x:c>
      <x:c r="BK841" s="6" t="str">
        <x:v>0</x:v>
      </x:c>
      <x:c r="BL841" s="6" t="str">
        <x:v>0</x:v>
      </x:c>
      <x:c r="BM841" s="6" t="str">
        <x:v>0</x:v>
      </x:c>
      <x:c r="BN841" s="6" t="str">
        <x:v>1</x:v>
      </x:c>
      <x:c r="BO841" s="6" t="str"/>
      <x:c r="BP841" s="6" t="str">
        <x:v>0</x:v>
      </x:c>
      <x:c r="BQ841" s="6" t="str"/>
      <x:c r="BR841" s="6" t="str">
        <x:v>0</x:v>
      </x:c>
      <x:c r="BS841" s="6" t="str">
        <x:v>0.0</x:v>
      </x:c>
      <x:c r="BT841" s="6" t="str">
        <x:v>1</x:v>
      </x:c>
      <x:c r="BU841" s="6" t="str">
        <x:v>720.0</x:v>
      </x:c>
      <x:c r="BV841" s="6" t="str">
        <x:v>1</x:v>
      </x:c>
      <x:c r="BW841" s="9" t="str">
        <x:v>operational_snapshot_annual_totals_may_differ</x:v>
      </x:c>
      <x:c r="BX841" s="9" t="str">
        <x:v>official_live_dashboard_snapshot_subject_to_revision</x:v>
      </x:c>
      <x:c r="BY841" s="9" t="str">
        <x:v>https://tbdashboard.sitb.id/ss_data_tbc03so_2025_provinsi_bulanan_list.php</x:v>
      </x:c>
      <x:c r="BZ841" s="6" t="n">
        <x:v>46246.610671296294</x:v>
      </x:c>
    </x:row>
    <x:row r="842" ht="18" customHeight="1">
      <x:c r="A842" s="6" t="str">
        <x:v>95</x:v>
      </x:c>
      <x:c r="B842" s="6" t="str">
        <x:v>PAPUA SELATAN</x:v>
      </x:c>
      <x:c r="C842" s="6" t="str">
        <x:v>2024</x:v>
      </x:c>
      <x:c r="D842" s="6" t="str">
        <x:v>1</x:v>
      </x:c>
      <x:c r="E842" s="6" t="str">
        <x:v>2024-01</x:v>
      </x:c>
      <x:c r="F842" s="6" t="str">
        <x:v>353</x:v>
      </x:c>
      <x:c r="G842" s="6" t="str">
        <x:v>74</x:v>
      </x:c>
      <x:c r="H842" s="6" t="str">
        <x:v>211</x:v>
      </x:c>
      <x:c r="I842" s="6" t="str">
        <x:v>39</x:v>
      </x:c>
      <x:c r="J842" s="6" t="str">
        <x:v>13</x:v>
      </x:c>
      <x:c r="K842" s="6" t="str">
        <x:v>0</x:v>
      </x:c>
      <x:c r="L842" s="6" t="str">
        <x:v>2</x:v>
      </x:c>
      <x:c r="M842" s="6" t="str">
        <x:v>14</x:v>
      </x:c>
      <x:c r="N842" s="6" t="str">
        <x:v>353</x:v>
      </x:c>
      <x:c r="O842" s="6" t="str">
        <x:v>0</x:v>
      </x:c>
      <x:c r="P842" s="10" t="n">
        <x:f>F842-M842</x:f>
        <x:v>339</x:v>
      </x:c>
      <x:c r="Q842" s="11" t="n">
        <x:f>IFERROR(M842/F842,"")</x:f>
        <x:v>0.039660056657223795</x:v>
      </x:c>
      <x:c r="R842" s="10" t="n">
        <x:f>G842+H842</x:f>
        <x:v>285</x:v>
      </x:c>
      <x:c r="S842" s="11" t="n">
        <x:f>IFERROR(R842/F842,"")</x:f>
        <x:v>0.8073654390934845</x:v>
      </x:c>
      <x:c r="T842" s="11" t="n">
        <x:f>IFERROR(R842/P842,"")</x:f>
        <x:v>0.8407079646017699</x:v>
      </x:c>
      <x:c r="U842" s="10" t="n">
        <x:f>I842+J842+K842</x:f>
        <x:v>52</x:v>
      </x:c>
      <x:c r="V842" s="11" t="n">
        <x:f>IFERROR(U842/P842,"")</x:f>
        <x:v>0.15339233038348082</x:v>
      </x:c>
      <x:c r="W842" s="9" t="str">
        <x:v>mature_le_5pct_pending</x:v>
      </x:c>
      <x:c r="X842" s="12" t="n">
        <x:f>IFERROR(F842/Z842*100000,"")</x:f>
        <x:v>65.1171370595831</x:v>
      </x:c>
      <x:c r="Y842" s="13" t="n">
        <x:f>LN(Z842)</x:f>
        <x:v>13.203205765248429</x:v>
      </x:c>
      <x:c r="Z842" s="6" t="str">
        <x:v>542100</x:v>
      </x:c>
      <x:c r="AA842" s="6" t="str">
        <x:v>5.0</x:v>
      </x:c>
      <x:c r="AB842" s="9" t="str">
        <x:v>2024-06-30</x:v>
      </x:c>
      <x:c r="AC842" s="8" t="str">
        <x:v>65.06</x:v>
      </x:c>
      <x:c r="AD842" s="9" t="str">
        <x:v>2024 (Susenas)</x:v>
      </x:c>
      <x:c r="AE842" s="8" t="str">
        <x:v>308.48</x:v>
      </x:c>
      <x:c r="AF842" s="9" t="str">
        <x:v>Maret 2024 (Susenas)</x:v>
      </x:c>
      <x:c r="AG842" s="6" t="str">
        <x:v>27.197702537415637</x:v>
      </x:c>
      <x:c r="AH842" s="8" t="str">
        <x:v>89.62725448063769</x:v>
      </x:c>
      <x:c r="AI842" s="6" t="str">
        <x:v>258.6193188510012</x:v>
      </x:c>
      <x:c r="AJ842" s="6" t="str">
        <x:v>0.7003923419032354</x:v>
      </x:c>
      <x:c r="AK842" s="8" t="str">
        <x:v>1.5617420412720318</x:v>
      </x:c>
      <x:c r="AL842" s="6" t="str">
        <x:v>1.168292620836285</x:v>
      </x:c>
      <x:c r="AM842" s="6" t="str">
        <x:v>0.1987531700613815</x:v>
      </x:c>
      <x:c r="AN842" s="6" t="str">
        <x:v>0.9762626107232332</x:v>
      </x:c>
      <x:c r="AO842" s="6" t="str">
        <x:v>0.4351218990946961</x:v>
      </x:c>
      <x:c r="AP842" s="8" t="str">
        <x:v>0.1394881700544686</x:v>
      </x:c>
      <x:c r="AQ842" s="6" t="str">
        <x:v>0.4093023206814857</x:v>
      </x:c>
      <x:c r="AR842" s="6" t="str">
        <x:v>0.3649230004058856</x:v>
      </x:c>
      <x:c r="AS842" s="6" t="str">
        <x:v>0.3045711637139464</x:v>
      </x:c>
      <x:c r="AT842" s="6" t="str">
        <x:v>-37.38258408342927</x:v>
      </x:c>
      <x:c r="AU842" s="8" t="str">
        <x:v>-0.4298149244384146</x:v>
      </x:c>
      <x:c r="AV842" s="6" t="str">
        <x:v>-0.3172493924114086</x:v>
      </x:c>
      <x:c r="AW842" s="6" t="str">
        <x:v>-1.0657974609127934</x:v>
      </x:c>
      <x:c r="AX842" s="6" t="str">
        <x:v>-0.6042872592542058</x:v>
      </x:c>
      <x:c r="AY842" s="6" t="str">
        <x:v>0</x:v>
      </x:c>
      <x:c r="AZ842" s="6" t="str">
        <x:v>1</x:v>
      </x:c>
      <x:c r="BA842" s="9" t="str">
        <x:v>grid_cells_within_BIG_polygon</x:v>
      </x:c>
      <x:c r="BB842" s="6" t="str">
        <x:v>29</x:v>
      </x:c>
      <x:c r="BC842" s="6" t="str">
        <x:v>0</x:v>
      </x:c>
      <x:c r="BD842" s="6" t="str">
        <x:v>0</x:v>
      </x:c>
      <x:c r="BE842" s="6" t="str">
        <x:v>0</x:v>
      </x:c>
      <x:c r="BF842" s="6" t="str">
        <x:v>0</x:v>
      </x:c>
      <x:c r="BG842" s="6" t="str">
        <x:v>0</x:v>
      </x:c>
      <x:c r="BH842" s="6" t="str">
        <x:v>0</x:v>
      </x:c>
      <x:c r="BI842" s="6" t="str">
        <x:v>0</x:v>
      </x:c>
      <x:c r="BJ842" s="6" t="str">
        <x:v>0</x:v>
      </x:c>
      <x:c r="BK842" s="6" t="str">
        <x:v>0</x:v>
      </x:c>
      <x:c r="BL842" s="6" t="str">
        <x:v>0</x:v>
      </x:c>
      <x:c r="BM842" s="6" t="str">
        <x:v>0</x:v>
      </x:c>
      <x:c r="BN842" s="6" t="str">
        <x:v>0</x:v>
      </x:c>
      <x:c r="BO842" s="6" t="str"/>
      <x:c r="BP842" s="6" t="str">
        <x:v>0</x:v>
      </x:c>
      <x:c r="BQ842" s="6" t="str"/>
      <x:c r="BR842" s="6" t="str">
        <x:v>0</x:v>
      </x:c>
      <x:c r="BS842" s="6" t="str"/>
      <x:c r="BT842" s="6" t="str">
        <x:v>0</x:v>
      </x:c>
      <x:c r="BU842" s="6" t="str"/>
      <x:c r="BV842" s="6" t="str">
        <x:v>0</x:v>
      </x:c>
      <x:c r="BW842" s="9" t="str">
        <x:v>operational_snapshot_annual_totals_may_differ</x:v>
      </x:c>
      <x:c r="BX842" s="9" t="str">
        <x:v>official_live_dashboard_snapshot_subject_to_revision</x:v>
      </x:c>
      <x:c r="BY842" s="9" t="str">
        <x:v>https://tbdashboard.sitb.id/ss_data_tbc03so_2024_provinsi_bulanan_list.php</x:v>
      </x:c>
      <x:c r="BZ842" s="6" t="n">
        <x:v>46246.610671296294</x:v>
      </x:c>
    </x:row>
    <x:row r="843" ht="18" customHeight="1">
      <x:c r="A843" s="6" t="str">
        <x:v>95</x:v>
      </x:c>
      <x:c r="B843" s="6" t="str">
        <x:v>PAPUA SELATAN</x:v>
      </x:c>
      <x:c r="C843" s="6" t="str">
        <x:v>2024</x:v>
      </x:c>
      <x:c r="D843" s="6" t="str">
        <x:v>2</x:v>
      </x:c>
      <x:c r="E843" s="6" t="str">
        <x:v>2024-02</x:v>
      </x:c>
      <x:c r="F843" s="6" t="str">
        <x:v>304</x:v>
      </x:c>
      <x:c r="G843" s="6" t="str">
        <x:v>64</x:v>
      </x:c>
      <x:c r="H843" s="6" t="str">
        <x:v>181</x:v>
      </x:c>
      <x:c r="I843" s="6" t="str">
        <x:v>32</x:v>
      </x:c>
      <x:c r="J843" s="6" t="str">
        <x:v>6</x:v>
      </x:c>
      <x:c r="K843" s="6" t="str">
        <x:v>0</x:v>
      </x:c>
      <x:c r="L843" s="6" t="str">
        <x:v>4</x:v>
      </x:c>
      <x:c r="M843" s="6" t="str">
        <x:v>17</x:v>
      </x:c>
      <x:c r="N843" s="6" t="str">
        <x:v>304</x:v>
      </x:c>
      <x:c r="O843" s="6" t="str">
        <x:v>0</x:v>
      </x:c>
      <x:c r="P843" s="10" t="n">
        <x:f>F843-M843</x:f>
        <x:v>287</x:v>
      </x:c>
      <x:c r="Q843" s="11" t="n">
        <x:f>IFERROR(M843/F843,"")</x:f>
        <x:v>0.05592105263157895</x:v>
      </x:c>
      <x:c r="R843" s="10" t="n">
        <x:f>G843+H843</x:f>
        <x:v>245</x:v>
      </x:c>
      <x:c r="S843" s="11" t="n">
        <x:f>IFERROR(R843/F843,"")</x:f>
        <x:v>0.805921052631579</x:v>
      </x:c>
      <x:c r="T843" s="11" t="n">
        <x:f>IFERROR(R843/P843,"")</x:f>
        <x:v>0.8536585365853658</x:v>
      </x:c>
      <x:c r="U843" s="10" t="n">
        <x:f>I843+J843+K843</x:f>
        <x:v>38</x:v>
      </x:c>
      <x:c r="V843" s="11" t="n">
        <x:f>IFERROR(U843/P843,"")</x:f>
        <x:v>0.13240418118466898</x:v>
      </x:c>
      <x:c r="W843" s="9" t="str">
        <x:v>provisional_gt_5pct_pending</x:v>
      </x:c>
      <x:c r="X843" s="12" t="n">
        <x:f>IFERROR(F843/Z843*100000,"")</x:f>
        <x:v>56.07821435159565</x:v>
      </x:c>
      <x:c r="Y843" s="13" t="n">
        <x:f>LN(Z843)</x:f>
        <x:v>13.203205765248429</x:v>
      </x:c>
      <x:c r="Z843" s="6" t="str">
        <x:v>542100</x:v>
      </x:c>
      <x:c r="AA843" s="6" t="str">
        <x:v>5.0</x:v>
      </x:c>
      <x:c r="AB843" s="9" t="str">
        <x:v>2024-06-30</x:v>
      </x:c>
      <x:c r="AC843" s="8" t="str">
        <x:v>65.06</x:v>
      </x:c>
      <x:c r="AD843" s="9" t="str">
        <x:v>2024 (Susenas)</x:v>
      </x:c>
      <x:c r="AE843" s="8" t="str">
        <x:v>308.48</x:v>
      </x:c>
      <x:c r="AF843" s="9" t="str">
        <x:v>Maret 2024 (Susenas)</x:v>
      </x:c>
      <x:c r="AG843" s="6" t="str">
        <x:v>27.35585417541577</x:v>
      </x:c>
      <x:c r="AH843" s="8" t="str">
        <x:v>89.4894007337968</x:v>
      </x:c>
      <x:c r="AI843" s="6" t="str">
        <x:v>272.90519648851694</x:v>
      </x:c>
      <x:c r="AJ843" s="6" t="str">
        <x:v>1.0767184586813912</x:v>
      </x:c>
      <x:c r="AK843" s="8" t="str">
        <x:v>3.549973520652987</x:v>
      </x:c>
      <x:c r="AL843" s="6" t="str">
        <x:v>1.5617420412720318</x:v>
      </x:c>
      <x:c r="AM843" s="6" t="str">
        <x:v>1.168292620836285</x:v>
      </x:c>
      <x:c r="AN843" s="6" t="str">
        <x:v>2.0933360609204352</x:v>
      </x:c>
      <x:c r="AO843" s="6" t="str">
        <x:v>-0.9032809554525728</x:v>
      </x:c>
      <x:c r="AP843" s="8" t="str">
        <x:v>-0.7578129260772885</x:v>
      </x:c>
      <x:c r="AQ843" s="6" t="str">
        <x:v>0.1394881700544686</x:v>
      </x:c>
      <x:c r="AR843" s="6" t="str">
        <x:v>0.4093023206814857</x:v>
      </x:c>
      <x:c r="AS843" s="6" t="str">
        <x:v>-0.0696741451137783</x:v>
      </x:c>
      <x:c r="AT843" s="6" t="str">
        <x:v>-12.213103375166613</x:v>
      </x:c>
      <x:c r="AU843" s="8" t="str">
        <x:v>-0.137926777741475</x:v>
      </x:c>
      <x:c r="AV843" s="6" t="str">
        <x:v>-0.4298149244384146</x:v>
      </x:c>
      <x:c r="AW843" s="6" t="str">
        <x:v>-0.3172493924114086</x:v>
      </x:c>
      <x:c r="AX843" s="6" t="str">
        <x:v>-0.294997031530433</x:v>
      </x:c>
      <x:c r="AY843" s="6" t="str">
        <x:v>0</x:v>
      </x:c>
      <x:c r="AZ843" s="6" t="str">
        <x:v>1</x:v>
      </x:c>
      <x:c r="BA843" s="9" t="str">
        <x:v>grid_cells_within_BIG_polygon</x:v>
      </x:c>
      <x:c r="BB843" s="6" t="str">
        <x:v>29</x:v>
      </x:c>
      <x:c r="BC843" s="6" t="str">
        <x:v>0</x:v>
      </x:c>
      <x:c r="BD843" s="6" t="str">
        <x:v>0</x:v>
      </x:c>
      <x:c r="BE843" s="6" t="str">
        <x:v>0</x:v>
      </x:c>
      <x:c r="BF843" s="6" t="str">
        <x:v>0</x:v>
      </x:c>
      <x:c r="BG843" s="6" t="str">
        <x:v>0</x:v>
      </x:c>
      <x:c r="BH843" s="6" t="str">
        <x:v>0</x:v>
      </x:c>
      <x:c r="BI843" s="6" t="str">
        <x:v>0</x:v>
      </x:c>
      <x:c r="BJ843" s="6" t="str">
        <x:v>0</x:v>
      </x:c>
      <x:c r="BK843" s="6" t="str">
        <x:v>0</x:v>
      </x:c>
      <x:c r="BL843" s="6" t="str">
        <x:v>0</x:v>
      </x:c>
      <x:c r="BM843" s="6" t="str">
        <x:v>0</x:v>
      </x:c>
      <x:c r="BN843" s="6" t="str">
        <x:v>0</x:v>
      </x:c>
      <x:c r="BO843" s="6" t="str"/>
      <x:c r="BP843" s="6" t="str">
        <x:v>0</x:v>
      </x:c>
      <x:c r="BQ843" s="6" t="str"/>
      <x:c r="BR843" s="6" t="str">
        <x:v>0</x:v>
      </x:c>
      <x:c r="BS843" s="6" t="str"/>
      <x:c r="BT843" s="6" t="str">
        <x:v>0</x:v>
      </x:c>
      <x:c r="BU843" s="6" t="str"/>
      <x:c r="BV843" s="6" t="str">
        <x:v>0</x:v>
      </x:c>
      <x:c r="BW843" s="9" t="str">
        <x:v>operational_snapshot_annual_totals_may_differ</x:v>
      </x:c>
      <x:c r="BX843" s="9" t="str">
        <x:v>official_live_dashboard_snapshot_subject_to_revision</x:v>
      </x:c>
      <x:c r="BY843" s="9" t="str">
        <x:v>https://tbdashboard.sitb.id/ss_data_tbc03so_2024_provinsi_bulanan_list.php</x:v>
      </x:c>
      <x:c r="BZ843" s="6" t="n">
        <x:v>46246.610671296294</x:v>
      </x:c>
    </x:row>
    <x:row r="844" ht="18" customHeight="1">
      <x:c r="A844" s="6" t="str">
        <x:v>95</x:v>
      </x:c>
      <x:c r="B844" s="6" t="str">
        <x:v>PAPUA SELATAN</x:v>
      </x:c>
      <x:c r="C844" s="6" t="str">
        <x:v>2024</x:v>
      </x:c>
      <x:c r="D844" s="6" t="str">
        <x:v>3</x:v>
      </x:c>
      <x:c r="E844" s="6" t="str">
        <x:v>2024-03</x:v>
      </x:c>
      <x:c r="F844" s="6" t="str">
        <x:v>370</x:v>
      </x:c>
      <x:c r="G844" s="6" t="str">
        <x:v>64</x:v>
      </x:c>
      <x:c r="H844" s="6" t="str">
        <x:v>247</x:v>
      </x:c>
      <x:c r="I844" s="6" t="str">
        <x:v>31</x:v>
      </x:c>
      <x:c r="J844" s="6" t="str">
        <x:v>14</x:v>
      </x:c>
      <x:c r="K844" s="6" t="str">
        <x:v>1</x:v>
      </x:c>
      <x:c r="L844" s="6" t="str">
        <x:v>6</x:v>
      </x:c>
      <x:c r="M844" s="6" t="str">
        <x:v>7</x:v>
      </x:c>
      <x:c r="N844" s="6" t="str">
        <x:v>370</x:v>
      </x:c>
      <x:c r="O844" s="6" t="str">
        <x:v>0</x:v>
      </x:c>
      <x:c r="P844" s="10" t="n">
        <x:f>F844-M844</x:f>
        <x:v>363</x:v>
      </x:c>
      <x:c r="Q844" s="11" t="n">
        <x:f>IFERROR(M844/F844,"")</x:f>
        <x:v>0.01891891891891892</x:v>
      </x:c>
      <x:c r="R844" s="10" t="n">
        <x:f>G844+H844</x:f>
        <x:v>311</x:v>
      </x:c>
      <x:c r="S844" s="11" t="n">
        <x:f>IFERROR(R844/F844,"")</x:f>
        <x:v>0.8405405405405405</x:v>
      </x:c>
      <x:c r="T844" s="11" t="n">
        <x:f>IFERROR(R844/P844,"")</x:f>
        <x:v>0.8567493112947658</x:v>
      </x:c>
      <x:c r="U844" s="10" t="n">
        <x:f>I844+J844+K844</x:f>
        <x:v>46</x:v>
      </x:c>
      <x:c r="V844" s="11" t="n">
        <x:f>IFERROR(U844/P844,"")</x:f>
        <x:v>0.12672176308539945</x:v>
      </x:c>
      <x:c r="W844" s="9" t="str">
        <x:v>mature_le_5pct_pending</x:v>
      </x:c>
      <x:c r="X844" s="12" t="n">
        <x:f>IFERROR(F844/Z844*100000,"")</x:f>
        <x:v>68.25308983582366</x:v>
      </x:c>
      <x:c r="Y844" s="13" t="n">
        <x:f>LN(Z844)</x:f>
        <x:v>13.203205765248429</x:v>
      </x:c>
      <x:c r="Z844" s="6" t="str">
        <x:v>542100</x:v>
      </x:c>
      <x:c r="AA844" s="6" t="str">
        <x:v>5.0</x:v>
      </x:c>
      <x:c r="AB844" s="9" t="str">
        <x:v>2024-06-30</x:v>
      </x:c>
      <x:c r="AC844" s="8" t="str">
        <x:v>65.06</x:v>
      </x:c>
      <x:c r="AD844" s="9" t="str">
        <x:v>2024 (Susenas)</x:v>
      </x:c>
      <x:c r="AE844" s="8" t="str">
        <x:v>308.48</x:v>
      </x:c>
      <x:c r="AF844" s="9" t="str">
        <x:v>Maret 2024 (Susenas)</x:v>
      </x:c>
      <x:c r="AG844" s="6" t="str">
        <x:v>27.0619117077727</x:v>
      </x:c>
      <x:c r="AH844" s="8" t="str">
        <x:v>91.90004233414216</x:v>
      </x:c>
      <x:c r="AI844" s="6" t="str">
        <x:v>493.7447147482175</x:v>
      </x:c>
      <x:c r="AJ844" s="6" t="str">
        <x:v>0.8029694340330522</x:v>
      </x:c>
      <x:c r="AK844" s="8" t="str">
        <x:v>3.143270680306556</x:v>
      </x:c>
      <x:c r="AL844" s="6" t="str">
        <x:v>3.549973520652987</x:v>
      </x:c>
      <x:c r="AM844" s="6" t="str">
        <x:v>1.5617420412720318</x:v>
      </x:c>
      <x:c r="AN844" s="6" t="str">
        <x:v>2.7516620807438588</x:v>
      </x:c>
      <x:c r="AO844" s="6" t="str">
        <x:v>1.5407081517383858</x:v>
      </x:c>
      <x:c r="AP844" s="8" t="str">
        <x:v>1.024230786911406</x:v>
      </x:c>
      <x:c r="AQ844" s="6" t="str">
        <x:v>-0.7578129260772885</x:v>
      </x:c>
      <x:c r="AR844" s="6" t="str">
        <x:v>0.1394881700544686</x:v>
      </x:c>
      <x:c r="AS844" s="6" t="str">
        <x:v>0.1353020102961951</x:v>
      </x:c>
      <x:c r="AT844" s="6" t="str">
        <x:v>152.33424841582217</x:v>
      </x:c>
      <x:c r="AU844" s="8" t="str">
        <x:v>1.1086245284269596</x:v>
      </x:c>
      <x:c r="AV844" s="6" t="str">
        <x:v>-0.137926777741475</x:v>
      </x:c>
      <x:c r="AW844" s="6" t="str">
        <x:v>-0.4298149244384146</x:v>
      </x:c>
      <x:c r="AX844" s="6" t="str">
        <x:v>0.1802942754156896</x:v>
      </x:c>
      <x:c r="AY844" s="6" t="str">
        <x:v>1</x:v>
      </x:c>
      <x:c r="AZ844" s="6" t="str">
        <x:v>1</x:v>
      </x:c>
      <x:c r="BA844" s="9" t="str">
        <x:v>grid_cells_within_BIG_polygon</x:v>
      </x:c>
      <x:c r="BB844" s="6" t="str">
        <x:v>29</x:v>
      </x:c>
      <x:c r="BC844" s="6" t="str">
        <x:v>1</x:v>
      </x:c>
      <x:c r="BD844" s="6" t="str">
        <x:v>1</x:v>
      </x:c>
      <x:c r="BE844" s="6" t="str">
        <x:v>0</x:v>
      </x:c>
      <x:c r="BF844" s="6" t="str">
        <x:v>0</x:v>
      </x:c>
      <x:c r="BG844" s="6" t="str">
        <x:v>0</x:v>
      </x:c>
      <x:c r="BH844" s="6" t="str">
        <x:v>0</x:v>
      </x:c>
      <x:c r="BI844" s="6" t="str">
        <x:v>0</x:v>
      </x:c>
      <x:c r="BJ844" s="6" t="str">
        <x:v>1</x:v>
      </x:c>
      <x:c r="BK844" s="6" t="str">
        <x:v>0</x:v>
      </x:c>
      <x:c r="BL844" s="6" t="str">
        <x:v>0</x:v>
      </x:c>
      <x:c r="BM844" s="6" t="str">
        <x:v>0</x:v>
      </x:c>
      <x:c r="BN844" s="6" t="str">
        <x:v>1</x:v>
      </x:c>
      <x:c r="BO844" s="6" t="str">
        <x:v>0.0</x:v>
      </x:c>
      <x:c r="BP844" s="6" t="str">
        <x:v>1</x:v>
      </x:c>
      <x:c r="BQ844" s="6" t="str">
        <x:v>0.0</x:v>
      </x:c>
      <x:c r="BR844" s="6" t="str">
        <x:v>1</x:v>
      </x:c>
      <x:c r="BS844" s="6" t="str">
        <x:v>7.0</x:v>
      </x:c>
      <x:c r="BT844" s="6" t="str">
        <x:v>1</x:v>
      </x:c>
      <x:c r="BU844" s="6" t="str">
        <x:v>204.0</x:v>
      </x:c>
      <x:c r="BV844" s="6" t="str">
        <x:v>1</x:v>
      </x:c>
      <x:c r="BW844" s="9" t="str">
        <x:v>operational_snapshot_annual_totals_may_differ</x:v>
      </x:c>
      <x:c r="BX844" s="9" t="str">
        <x:v>official_live_dashboard_snapshot_subject_to_revision</x:v>
      </x:c>
      <x:c r="BY844" s="9" t="str">
        <x:v>https://tbdashboard.sitb.id/ss_data_tbc03so_2024_provinsi_bulanan_list.php</x:v>
      </x:c>
      <x:c r="BZ844" s="6" t="n">
        <x:v>46246.610671296294</x:v>
      </x:c>
    </x:row>
    <x:row r="845" ht="18" customHeight="1">
      <x:c r="A845" s="6" t="str">
        <x:v>95</x:v>
      </x:c>
      <x:c r="B845" s="6" t="str">
        <x:v>PAPUA SELATAN</x:v>
      </x:c>
      <x:c r="C845" s="6" t="str">
        <x:v>2024</x:v>
      </x:c>
      <x:c r="D845" s="6" t="str">
        <x:v>4</x:v>
      </x:c>
      <x:c r="E845" s="6" t="str">
        <x:v>2024-04</x:v>
      </x:c>
      <x:c r="F845" s="6" t="str">
        <x:v>334</x:v>
      </x:c>
      <x:c r="G845" s="6" t="str">
        <x:v>63</x:v>
      </x:c>
      <x:c r="H845" s="6" t="str">
        <x:v>213</x:v>
      </x:c>
      <x:c r="I845" s="6" t="str">
        <x:v>40</x:v>
      </x:c>
      <x:c r="J845" s="6" t="str">
        <x:v>2</x:v>
      </x:c>
      <x:c r="K845" s="6" t="str">
        <x:v>0</x:v>
      </x:c>
      <x:c r="L845" s="6" t="str">
        <x:v>4</x:v>
      </x:c>
      <x:c r="M845" s="6" t="str">
        <x:v>12</x:v>
      </x:c>
      <x:c r="N845" s="6" t="str">
        <x:v>334</x:v>
      </x:c>
      <x:c r="O845" s="6" t="str">
        <x:v>0</x:v>
      </x:c>
      <x:c r="P845" s="10" t="n">
        <x:f>F845-M845</x:f>
        <x:v>322</x:v>
      </x:c>
      <x:c r="Q845" s="11" t="n">
        <x:f>IFERROR(M845/F845,"")</x:f>
        <x:v>0.03592814371257485</x:v>
      </x:c>
      <x:c r="R845" s="10" t="n">
        <x:f>G845+H845</x:f>
        <x:v>276</x:v>
      </x:c>
      <x:c r="S845" s="11" t="n">
        <x:f>IFERROR(R845/F845,"")</x:f>
        <x:v>0.8263473053892215</x:v>
      </x:c>
      <x:c r="T845" s="11" t="n">
        <x:f>IFERROR(R845/P845,"")</x:f>
        <x:v>0.8571428571428571</x:v>
      </x:c>
      <x:c r="U845" s="10" t="n">
        <x:f>I845+J845+K845</x:f>
        <x:v>42</x:v>
      </x:c>
      <x:c r="V845" s="11" t="n">
        <x:f>IFERROR(U845/P845,"")</x:f>
        <x:v>0.13043478260869565</x:v>
      </x:c>
      <x:c r="W845" s="9" t="str">
        <x:v>mature_le_5pct_pending</x:v>
      </x:c>
      <x:c r="X845" s="12" t="n">
        <x:f>IFERROR(F845/Z845*100000,"")</x:f>
        <x:v>61.61224866260837</x:v>
      </x:c>
      <x:c r="Y845" s="13" t="n">
        <x:f>LN(Z845)</x:f>
        <x:v>13.203205765248429</x:v>
      </x:c>
      <x:c r="Z845" s="6" t="str">
        <x:v>542100</x:v>
      </x:c>
      <x:c r="AA845" s="6" t="str">
        <x:v>5.0</x:v>
      </x:c>
      <x:c r="AB845" s="9" t="str">
        <x:v>2024-06-30</x:v>
      </x:c>
      <x:c r="AC845" s="8" t="str">
        <x:v>65.06</x:v>
      </x:c>
      <x:c r="AD845" s="9" t="str">
        <x:v>2024 (Susenas)</x:v>
      </x:c>
      <x:c r="AE845" s="8" t="str">
        <x:v>308.48</x:v>
      </x:c>
      <x:c r="AF845" s="9" t="str">
        <x:v>Maret 2024 (Susenas)</x:v>
      </x:c>
      <x:c r="AG845" s="6" t="str">
        <x:v>27.12577724893466</x:v>
      </x:c>
      <x:c r="AH845" s="8" t="str">
        <x:v>92.5407744328122</x:v>
      </x:c>
      <x:c r="AI845" s="6" t="str">
        <x:v>421.7903579542885</x:v>
      </x:c>
      <x:c r="AJ845" s="6" t="str">
        <x:v>0.933624367228699</x:v>
      </x:c>
      <x:c r="AK845" s="8" t="str">
        <x:v>2.924181402519335</x:v>
      </x:c>
      <x:c r="AL845" s="6" t="str">
        <x:v>3.143270680306556</x:v>
      </x:c>
      <x:c r="AM845" s="6" t="str">
        <x:v>3.549973520652987</x:v>
      </x:c>
      <x:c r="AN845" s="6" t="str">
        <x:v>3.20580853449296</x:v>
      </x:c>
      <x:c r="AO845" s="6" t="str">
        <x:v>1.8491735111534664</x:v>
      </x:c>
      <x:c r="AP845" s="8" t="str">
        <x:v>1.2636662953633957</x:v>
      </x:c>
      <x:c r="AQ845" s="6" t="str">
        <x:v>1.024230786911406</x:v>
      </x:c>
      <x:c r="AR845" s="6" t="str">
        <x:v>-0.7578129260772885</x:v>
      </x:c>
      <x:c r="AS845" s="6" t="str">
        <x:v>0.5100280520658375</x:v>
      </x:c>
      <x:c r="AT845" s="6" t="str">
        <x:v>107.61596410777196</x:v>
      </x:c>
      <x:c r="AU845" s="8" t="str">
        <x:v>1.0868854619146393</x:v>
      </x:c>
      <x:c r="AV845" s="6" t="str">
        <x:v>1.1086245284269596</x:v>
      </x:c>
      <x:c r="AW845" s="6" t="str">
        <x:v>-0.137926777741475</x:v>
      </x:c>
      <x:c r="AX845" s="6" t="str">
        <x:v>0.6858610708667077</x:v>
      </x:c>
      <x:c r="AY845" s="6" t="str">
        <x:v>1</x:v>
      </x:c>
      <x:c r="AZ845" s="6" t="str">
        <x:v>1</x:v>
      </x:c>
      <x:c r="BA845" s="9" t="str">
        <x:v>grid_cells_within_BIG_polygon</x:v>
      </x:c>
      <x:c r="BB845" s="6" t="str">
        <x:v>29</x:v>
      </x:c>
      <x:c r="BC845" s="6" t="str">
        <x:v>1</x:v>
      </x:c>
      <x:c r="BD845" s="6" t="str">
        <x:v>1</x:v>
      </x:c>
      <x:c r="BE845" s="6" t="str">
        <x:v>1</x:v>
      </x:c>
      <x:c r="BF845" s="6" t="str">
        <x:v>0</x:v>
      </x:c>
      <x:c r="BG845" s="6" t="str">
        <x:v>0</x:v>
      </x:c>
      <x:c r="BH845" s="6" t="str">
        <x:v>0</x:v>
      </x:c>
      <x:c r="BI845" s="6" t="str">
        <x:v>0</x:v>
      </x:c>
      <x:c r="BJ845" s="6" t="str">
        <x:v>0</x:v>
      </x:c>
      <x:c r="BK845" s="6" t="str">
        <x:v>0</x:v>
      </x:c>
      <x:c r="BL845" s="6" t="str">
        <x:v>0</x:v>
      </x:c>
      <x:c r="BM845" s="6" t="str">
        <x:v>0</x:v>
      </x:c>
      <x:c r="BN845" s="6" t="str">
        <x:v>1</x:v>
      </x:c>
      <x:c r="BO845" s="6" t="str">
        <x:v>0.0</x:v>
      </x:c>
      <x:c r="BP845" s="6" t="str">
        <x:v>1</x:v>
      </x:c>
      <x:c r="BQ845" s="6" t="str">
        <x:v>0.0</x:v>
      </x:c>
      <x:c r="BR845" s="6" t="str">
        <x:v>1</x:v>
      </x:c>
      <x:c r="BS845" s="6" t="str">
        <x:v>0.0</x:v>
      </x:c>
      <x:c r="BT845" s="6" t="str">
        <x:v>1</x:v>
      </x:c>
      <x:c r="BU845" s="6" t="str">
        <x:v>54.0</x:v>
      </x:c>
      <x:c r="BV845" s="6" t="str">
        <x:v>1</x:v>
      </x:c>
      <x:c r="BW845" s="9" t="str">
        <x:v>operational_snapshot_annual_totals_may_differ</x:v>
      </x:c>
      <x:c r="BX845" s="9" t="str">
        <x:v>official_live_dashboard_snapshot_subject_to_revision</x:v>
      </x:c>
      <x:c r="BY845" s="9" t="str">
        <x:v>https://tbdashboard.sitb.id/ss_data_tbc03so_2024_provinsi_bulanan_list.php</x:v>
      </x:c>
      <x:c r="BZ845" s="6" t="n">
        <x:v>46246.610671296294</x:v>
      </x:c>
    </x:row>
    <x:row r="846" ht="18" customHeight="1">
      <x:c r="A846" s="6" t="str">
        <x:v>95</x:v>
      </x:c>
      <x:c r="B846" s="6" t="str">
        <x:v>PAPUA SELATAN</x:v>
      </x:c>
      <x:c r="C846" s="6" t="str">
        <x:v>2024</x:v>
      </x:c>
      <x:c r="D846" s="6" t="str">
        <x:v>5</x:v>
      </x:c>
      <x:c r="E846" s="6" t="str">
        <x:v>2024-05</x:v>
      </x:c>
      <x:c r="F846" s="6" t="str">
        <x:v>396</x:v>
      </x:c>
      <x:c r="G846" s="6" t="str">
        <x:v>91</x:v>
      </x:c>
      <x:c r="H846" s="6" t="str">
        <x:v>223</x:v>
      </x:c>
      <x:c r="I846" s="6" t="str">
        <x:v>35</x:v>
      </x:c>
      <x:c r="J846" s="6" t="str">
        <x:v>14</x:v>
      </x:c>
      <x:c r="K846" s="6" t="str">
        <x:v>0</x:v>
      </x:c>
      <x:c r="L846" s="6" t="str">
        <x:v>5</x:v>
      </x:c>
      <x:c r="M846" s="6" t="str">
        <x:v>28</x:v>
      </x:c>
      <x:c r="N846" s="6" t="str">
        <x:v>396</x:v>
      </x:c>
      <x:c r="O846" s="6" t="str">
        <x:v>0</x:v>
      </x:c>
      <x:c r="P846" s="10" t="n">
        <x:f>F846-M846</x:f>
        <x:v>368</x:v>
      </x:c>
      <x:c r="Q846" s="11" t="n">
        <x:f>IFERROR(M846/F846,"")</x:f>
        <x:v>0.0707070707070707</x:v>
      </x:c>
      <x:c r="R846" s="10" t="n">
        <x:f>G846+H846</x:f>
        <x:v>314</x:v>
      </x:c>
      <x:c r="S846" s="11" t="n">
        <x:f>IFERROR(R846/F846,"")</x:f>
        <x:v>0.7929292929292929</x:v>
      </x:c>
      <x:c r="T846" s="11" t="n">
        <x:f>IFERROR(R846/P846,"")</x:f>
        <x:v>0.8532608695652174</x:v>
      </x:c>
      <x:c r="U846" s="10" t="n">
        <x:f>I846+J846+K846</x:f>
        <x:v>49</x:v>
      </x:c>
      <x:c r="V846" s="11" t="n">
        <x:f>IFERROR(U846/P846,"")</x:f>
        <x:v>0.1331521739130435</x:v>
      </x:c>
      <x:c r="W846" s="9" t="str">
        <x:v>provisional_gt_5pct_pending</x:v>
      </x:c>
      <x:c r="X846" s="12" t="n">
        <x:f>IFERROR(F846/Z846*100000,"")</x:f>
        <x:v>73.04925290536801</x:v>
      </x:c>
      <x:c r="Y846" s="13" t="n">
        <x:f>LN(Z846)</x:f>
        <x:v>13.203205765248429</x:v>
      </x:c>
      <x:c r="Z846" s="6" t="str">
        <x:v>542100</x:v>
      </x:c>
      <x:c r="AA846" s="6" t="str">
        <x:v>5.0</x:v>
      </x:c>
      <x:c r="AB846" s="9" t="str">
        <x:v>2024-06-30</x:v>
      </x:c>
      <x:c r="AC846" s="8" t="str">
        <x:v>65.06</x:v>
      </x:c>
      <x:c r="AD846" s="9" t="str">
        <x:v>2024 (Susenas)</x:v>
      </x:c>
      <x:c r="AE846" s="8" t="str">
        <x:v>308.48</x:v>
      </x:c>
      <x:c r="AF846" s="9" t="str">
        <x:v>Maret 2024 (Susenas)</x:v>
      </x:c>
      <x:c r="AG846" s="6" t="str">
        <x:v>26.744709376273068</x:v>
      </x:c>
      <x:c r="AH846" s="8" t="str">
        <x:v>92.66684280400446</x:v>
      </x:c>
      <x:c r="AI846" s="6" t="str">
        <x:v>288.4955895421677</x:v>
      </x:c>
      <x:c r="AJ846" s="6" t="str">
        <x:v>0.8118040187948665</x:v>
      </x:c>
      <x:c r="AK846" s="8" t="str">
        <x:v>1.60808500150985</x:v>
      </x:c>
      <x:c r="AL846" s="6" t="str">
        <x:v>2.924181402519335</x:v>
      </x:c>
      <x:c r="AM846" s="6" t="str">
        <x:v>3.143270680306556</x:v>
      </x:c>
      <x:c r="AN846" s="6" t="str">
        <x:v>2.5585123614452474</x:v>
      </x:c>
      <x:c r="AO846" s="6" t="str">
        <x:v>2.629641831096464</x:v>
      </x:c>
      <x:c r="AP846" s="8" t="str">
        <x:v>0.7671400268449521</x:v>
      </x:c>
      <x:c r="AQ846" s="6" t="str">
        <x:v>1.2636662953633957</x:v>
      </x:c>
      <x:c r="AR846" s="6" t="str">
        <x:v>1.024230786911406</x:v>
      </x:c>
      <x:c r="AS846" s="6" t="str">
        <x:v>1.0183457030399177</x:v>
      </x:c>
      <x:c r="AT846" s="6" t="str">
        <x:v>44.69105615720676</x:v>
      </x:c>
      <x:c r="AU846" s="8" t="str">
        <x:v>0.4112950874075482</x:v>
      </x:c>
      <x:c r="AV846" s="6" t="str">
        <x:v>1.0868854619146393</x:v>
      </x:c>
      <x:c r="AW846" s="6" t="str">
        <x:v>1.1086245284269596</x:v>
      </x:c>
      <x:c r="AX846" s="6" t="str">
        <x:v>0.868935025916382</x:v>
      </x:c>
      <x:c r="AY846" s="6" t="str">
        <x:v>0</x:v>
      </x:c>
      <x:c r="AZ846" s="6" t="str">
        <x:v>1</x:v>
      </x:c>
      <x:c r="BA846" s="9" t="str">
        <x:v>grid_cells_within_BIG_polygon</x:v>
      </x:c>
      <x:c r="BB846" s="6" t="str">
        <x:v>29</x:v>
      </x:c>
      <x:c r="BC846" s="6" t="str">
        <x:v>1</x:v>
      </x:c>
      <x:c r="BD846" s="6" t="str">
        <x:v>1</x:v>
      </x:c>
      <x:c r="BE846" s="6" t="str">
        <x:v>1</x:v>
      </x:c>
      <x:c r="BF846" s="6" t="str">
        <x:v>0</x:v>
      </x:c>
      <x:c r="BG846" s="6" t="str">
        <x:v>0</x:v>
      </x:c>
      <x:c r="BH846" s="6" t="str">
        <x:v>0</x:v>
      </x:c>
      <x:c r="BI846" s="6" t="str">
        <x:v>0</x:v>
      </x:c>
      <x:c r="BJ846" s="6" t="str">
        <x:v>0</x:v>
      </x:c>
      <x:c r="BK846" s="6" t="str">
        <x:v>0</x:v>
      </x:c>
      <x:c r="BL846" s="6" t="str">
        <x:v>0</x:v>
      </x:c>
      <x:c r="BM846" s="6" t="str">
        <x:v>0</x:v>
      </x:c>
      <x:c r="BN846" s="6" t="str">
        <x:v>1</x:v>
      </x:c>
      <x:c r="BO846" s="6" t="str">
        <x:v>0.0</x:v>
      </x:c>
      <x:c r="BP846" s="6" t="str">
        <x:v>1</x:v>
      </x:c>
      <x:c r="BQ846" s="6" t="str">
        <x:v>0.0</x:v>
      </x:c>
      <x:c r="BR846" s="6" t="str">
        <x:v>1</x:v>
      </x:c>
      <x:c r="BS846" s="6" t="str">
        <x:v>842.0</x:v>
      </x:c>
      <x:c r="BT846" s="6" t="str">
        <x:v>1</x:v>
      </x:c>
      <x:c r="BU846" s="6" t="str"/>
      <x:c r="BV846" s="6" t="str">
        <x:v>0</x:v>
      </x:c>
      <x:c r="BW846" s="9" t="str">
        <x:v>operational_snapshot_annual_totals_may_differ</x:v>
      </x:c>
      <x:c r="BX846" s="9" t="str">
        <x:v>official_live_dashboard_snapshot_subject_to_revision</x:v>
      </x:c>
      <x:c r="BY846" s="9" t="str">
        <x:v>https://tbdashboard.sitb.id/ss_data_tbc03so_2024_provinsi_bulanan_list.php</x:v>
      </x:c>
      <x:c r="BZ846" s="6" t="n">
        <x:v>46246.610671296294</x:v>
      </x:c>
    </x:row>
    <x:row r="847" ht="18" customHeight="1">
      <x:c r="A847" s="6" t="str">
        <x:v>95</x:v>
      </x:c>
      <x:c r="B847" s="6" t="str">
        <x:v>PAPUA SELATAN</x:v>
      </x:c>
      <x:c r="C847" s="6" t="str">
        <x:v>2024</x:v>
      </x:c>
      <x:c r="D847" s="6" t="str">
        <x:v>6</x:v>
      </x:c>
      <x:c r="E847" s="6" t="str">
        <x:v>2024-06</x:v>
      </x:c>
      <x:c r="F847" s="6" t="str">
        <x:v>361</x:v>
      </x:c>
      <x:c r="G847" s="6" t="str">
        <x:v>63</x:v>
      </x:c>
      <x:c r="H847" s="6" t="str">
        <x:v>229</x:v>
      </x:c>
      <x:c r="I847" s="6" t="str">
        <x:v>35</x:v>
      </x:c>
      <x:c r="J847" s="6" t="str">
        <x:v>9</x:v>
      </x:c>
      <x:c r="K847" s="6" t="str">
        <x:v>0</x:v>
      </x:c>
      <x:c r="L847" s="6" t="str">
        <x:v>5</x:v>
      </x:c>
      <x:c r="M847" s="6" t="str">
        <x:v>20</x:v>
      </x:c>
      <x:c r="N847" s="6" t="str">
        <x:v>361</x:v>
      </x:c>
      <x:c r="O847" s="6" t="str">
        <x:v>0</x:v>
      </x:c>
      <x:c r="P847" s="10" t="n">
        <x:f>F847-M847</x:f>
        <x:v>341</x:v>
      </x:c>
      <x:c r="Q847" s="11" t="n">
        <x:f>IFERROR(M847/F847,"")</x:f>
        <x:v>0.055401662049861494</x:v>
      </x:c>
      <x:c r="R847" s="10" t="n">
        <x:f>G847+H847</x:f>
        <x:v>292</x:v>
      </x:c>
      <x:c r="S847" s="11" t="n">
        <x:f>IFERROR(R847/F847,"")</x:f>
        <x:v>0.8088642659279779</x:v>
      </x:c>
      <x:c r="T847" s="11" t="n">
        <x:f>IFERROR(R847/P847,"")</x:f>
        <x:v>0.8563049853372434</x:v>
      </x:c>
      <x:c r="U847" s="10" t="n">
        <x:f>I847+J847+K847</x:f>
        <x:v>44</x:v>
      </x:c>
      <x:c r="V847" s="11" t="n">
        <x:f>IFERROR(U847/P847,"")</x:f>
        <x:v>0.12903225806451613</x:v>
      </x:c>
      <x:c r="W847" s="9" t="str">
        <x:v>provisional_gt_5pct_pending</x:v>
      </x:c>
      <x:c r="X847" s="12" t="n">
        <x:f>IFERROR(F847/Z847*100000,"")</x:f>
        <x:v>66.59287954251984</x:v>
      </x:c>
      <x:c r="Y847" s="13" t="n">
        <x:f>LN(Z847)</x:f>
        <x:v>13.203205765248429</x:v>
      </x:c>
      <x:c r="Z847" s="6" t="str">
        <x:v>542100</x:v>
      </x:c>
      <x:c r="AA847" s="6" t="str">
        <x:v>5.0</x:v>
      </x:c>
      <x:c r="AB847" s="9" t="str">
        <x:v>2024-06-30</x:v>
      </x:c>
      <x:c r="AC847" s="8" t="str">
        <x:v>65.06</x:v>
      </x:c>
      <x:c r="AD847" s="9" t="str">
        <x:v>2024 (Susenas)</x:v>
      </x:c>
      <x:c r="AE847" s="8" t="str">
        <x:v>308.48</x:v>
      </x:c>
      <x:c r="AF847" s="9" t="str">
        <x:v>Maret 2024 (Susenas)</x:v>
      </x:c>
      <x:c r="AG847" s="6" t="str">
        <x:v>25.499748517501573</x:v>
      </x:c>
      <x:c r="AH847" s="8" t="str">
        <x:v>92.0856656242085</x:v>
      </x:c>
      <x:c r="AI847" s="6" t="str">
        <x:v>393.4608745775816</x:v>
      </x:c>
      <x:c r="AJ847" s="6" t="str">
        <x:v>0.2193880329353952</x:v>
      </x:c>
      <x:c r="AK847" s="8" t="str">
        <x:v>0.4115905545852434</x:v>
      </x:c>
      <x:c r="AL847" s="6" t="str">
        <x:v>1.60808500150985</x:v>
      </x:c>
      <x:c r="AM847" s="6" t="str">
        <x:v>2.924181402519335</x:v>
      </x:c>
      <x:c r="AN847" s="6" t="str">
        <x:v>1.647952319538143</x:v>
      </x:c>
      <x:c r="AO847" s="6" t="str">
        <x:v>2.70214977128083</x:v>
      </x:c>
      <x:c r="AP847" s="8" t="str">
        <x:v>0.6268484721636138</x:v>
      </x:c>
      <x:c r="AQ847" s="6" t="str">
        <x:v>0.7671400268449521</x:v>
      </x:c>
      <x:c r="AR847" s="6" t="str">
        <x:v>1.2636662953633957</x:v>
      </x:c>
      <x:c r="AS847" s="6" t="str">
        <x:v>0.8858849314573202</x:v>
      </x:c>
      <x:c r="AT847" s="6" t="str">
        <x:v>193.84208365454376</x:v>
      </x:c>
      <x:c r="AU847" s="8" t="str">
        <x:v>1.7816127809018802</x:v>
      </x:c>
      <x:c r="AV847" s="6" t="str">
        <x:v>0.4112950874075482</x:v>
      </x:c>
      <x:c r="AW847" s="6" t="str">
        <x:v>1.0868854619146393</x:v>
      </x:c>
      <x:c r="AX847" s="6" t="str">
        <x:v>1.0932644434080223</x:v>
      </x:c>
      <x:c r="AY847" s="6" t="str">
        <x:v>1</x:v>
      </x:c>
      <x:c r="AZ847" s="6" t="str">
        <x:v>0</x:v>
      </x:c>
      <x:c r="BA847" s="9" t="str">
        <x:v>grid_cells_within_BIG_polygon</x:v>
      </x:c>
      <x:c r="BB847" s="6" t="str">
        <x:v>29</x:v>
      </x:c>
      <x:c r="BC847" s="6" t="str">
        <x:v>0</x:v>
      </x:c>
      <x:c r="BD847" s="6" t="str">
        <x:v>0</x:v>
      </x:c>
      <x:c r="BE847" s="6" t="str">
        <x:v>0</x:v>
      </x:c>
      <x:c r="BF847" s="6" t="str">
        <x:v>0</x:v>
      </x:c>
      <x:c r="BG847" s="6" t="str">
        <x:v>0</x:v>
      </x:c>
      <x:c r="BH847" s="6" t="str">
        <x:v>0</x:v>
      </x:c>
      <x:c r="BI847" s="6" t="str">
        <x:v>0</x:v>
      </x:c>
      <x:c r="BJ847" s="6" t="str">
        <x:v>0</x:v>
      </x:c>
      <x:c r="BK847" s="6" t="str">
        <x:v>0</x:v>
      </x:c>
      <x:c r="BL847" s="6" t="str">
        <x:v>0</x:v>
      </x:c>
      <x:c r="BM847" s="6" t="str">
        <x:v>0</x:v>
      </x:c>
      <x:c r="BN847" s="6" t="str">
        <x:v>0</x:v>
      </x:c>
      <x:c r="BO847" s="6" t="str"/>
      <x:c r="BP847" s="6" t="str">
        <x:v>0</x:v>
      </x:c>
      <x:c r="BQ847" s="6" t="str"/>
      <x:c r="BR847" s="6" t="str">
        <x:v>0</x:v>
      </x:c>
      <x:c r="BS847" s="6" t="str"/>
      <x:c r="BT847" s="6" t="str">
        <x:v>0</x:v>
      </x:c>
      <x:c r="BU847" s="6" t="str"/>
      <x:c r="BV847" s="6" t="str">
        <x:v>0</x:v>
      </x:c>
      <x:c r="BW847" s="9" t="str">
        <x:v>operational_snapshot_annual_totals_may_differ</x:v>
      </x:c>
      <x:c r="BX847" s="9" t="str">
        <x:v>official_live_dashboard_snapshot_subject_to_revision</x:v>
      </x:c>
      <x:c r="BY847" s="9" t="str">
        <x:v>https://tbdashboard.sitb.id/ss_data_tbc03so_2024_provinsi_bulanan_list.php</x:v>
      </x:c>
      <x:c r="BZ847" s="6" t="n">
        <x:v>46246.610671296294</x:v>
      </x:c>
    </x:row>
    <x:row r="848" ht="18" customHeight="1">
      <x:c r="A848" s="6" t="str">
        <x:v>95</x:v>
      </x:c>
      <x:c r="B848" s="6" t="str">
        <x:v>PAPUA SELATAN</x:v>
      </x:c>
      <x:c r="C848" s="6" t="str">
        <x:v>2024</x:v>
      </x:c>
      <x:c r="D848" s="6" t="str">
        <x:v>7</x:v>
      </x:c>
      <x:c r="E848" s="6" t="str">
        <x:v>2024-07</x:v>
      </x:c>
      <x:c r="F848" s="6" t="str">
        <x:v>434</x:v>
      </x:c>
      <x:c r="G848" s="6" t="str">
        <x:v>65</x:v>
      </x:c>
      <x:c r="H848" s="6" t="str">
        <x:v>290</x:v>
      </x:c>
      <x:c r="I848" s="6" t="str">
        <x:v>46</x:v>
      </x:c>
      <x:c r="J848" s="6" t="str">
        <x:v>13</x:v>
      </x:c>
      <x:c r="K848" s="6" t="str">
        <x:v>0</x:v>
      </x:c>
      <x:c r="L848" s="6" t="str">
        <x:v>1</x:v>
      </x:c>
      <x:c r="M848" s="6" t="str">
        <x:v>19</x:v>
      </x:c>
      <x:c r="N848" s="6" t="str">
        <x:v>434</x:v>
      </x:c>
      <x:c r="O848" s="6" t="str">
        <x:v>0</x:v>
      </x:c>
      <x:c r="P848" s="10" t="n">
        <x:f>F848-M848</x:f>
        <x:v>415</x:v>
      </x:c>
      <x:c r="Q848" s="11" t="n">
        <x:f>IFERROR(M848/F848,"")</x:f>
        <x:v>0.04377880184331797</x:v>
      </x:c>
      <x:c r="R848" s="10" t="n">
        <x:f>G848+H848</x:f>
        <x:v>355</x:v>
      </x:c>
      <x:c r="S848" s="11" t="n">
        <x:f>IFERROR(R848/F848,"")</x:f>
        <x:v>0.8179723502304147</x:v>
      </x:c>
      <x:c r="T848" s="11" t="n">
        <x:f>IFERROR(R848/P848,"")</x:f>
        <x:v>0.8554216867469879</x:v>
      </x:c>
      <x:c r="U848" s="10" t="n">
        <x:f>I848+J848+K848</x:f>
        <x:v>59</x:v>
      </x:c>
      <x:c r="V848" s="11" t="n">
        <x:f>IFERROR(U848/P848,"")</x:f>
        <x:v>0.14216867469879518</x:v>
      </x:c>
      <x:c r="W848" s="9" t="str">
        <x:v>mature_le_5pct_pending</x:v>
      </x:c>
      <x:c r="X848" s="12" t="n">
        <x:f>IFERROR(F848/Z848*100000,"")</x:f>
        <x:v>80.05902969931748</x:v>
      </x:c>
      <x:c r="Y848" s="13" t="n">
        <x:f>LN(Z848)</x:f>
        <x:v>13.203205765248429</x:v>
      </x:c>
      <x:c r="Z848" s="6" t="str">
        <x:v>542100</x:v>
      </x:c>
      <x:c r="AA848" s="6" t="str">
        <x:v>5.0</x:v>
      </x:c>
      <x:c r="AB848" s="9" t="str">
        <x:v>2024-06-30</x:v>
      </x:c>
      <x:c r="AC848" s="8" t="str">
        <x:v>65.06</x:v>
      </x:c>
      <x:c r="AD848" s="9" t="str">
        <x:v>2024 (Susenas)</x:v>
      </x:c>
      <x:c r="AE848" s="8" t="str">
        <x:v>308.48</x:v>
      </x:c>
      <x:c r="AF848" s="9" t="str">
        <x:v>Maret 2024 (Susenas)</x:v>
      </x:c>
      <x:c r="AG848" s="6" t="str">
        <x:v>24.93187786974107</x:v>
      </x:c>
      <x:c r="AH848" s="8" t="str">
        <x:v>90.702629088935</x:v>
      </x:c>
      <x:c r="AI848" s="6" t="str">
        <x:v>232.7534641138339</x:v>
      </x:c>
      <x:c r="AJ848" s="6" t="str">
        <x:v>0.2256406686691576</x:v>
      </x:c>
      <x:c r="AK848" s="8" t="str">
        <x:v>0.3726524306773933</x:v>
      </x:c>
      <x:c r="AL848" s="6" t="str">
        <x:v>0.4115905545852434</x:v>
      </x:c>
      <x:c r="AM848" s="6" t="str">
        <x:v>1.60808500150985</x:v>
      </x:c>
      <x:c r="AN848" s="6" t="str">
        <x:v>0.7974426622574958</x:v>
      </x:c>
      <x:c r="AO848" s="6" t="str">
        <x:v>2.7369586437950204</x:v>
      </x:c>
      <x:c r="AP848" s="8" t="str">
        <x:v>0.6709381551085161</x:v>
      </x:c>
      <x:c r="AQ848" s="6" t="str">
        <x:v>0.6268484721636138</x:v>
      </x:c>
      <x:c r="AR848" s="6" t="str">
        <x:v>0.7671400268449521</x:v>
      </x:c>
      <x:c r="AS848" s="6" t="str">
        <x:v>0.6883088847056937</x:v>
      </x:c>
      <x:c r="AT848" s="6" t="str">
        <x:v>87.87253010822144</x:v>
      </x:c>
      <x:c r="AU848" s="8" t="str">
        <x:v>1.3496598808421032</x:v>
      </x:c>
      <x:c r="AV848" s="6" t="str">
        <x:v>1.7816127809018802</x:v>
      </x:c>
      <x:c r="AW848" s="6" t="str">
        <x:v>0.4112950874075482</x:v>
      </x:c>
      <x:c r="AX848" s="6" t="str">
        <x:v>1.1808559163838437</x:v>
      </x:c>
      <x:c r="AY848" s="6" t="str">
        <x:v>1</x:v>
      </x:c>
      <x:c r="AZ848" s="6" t="str">
        <x:v>0</x:v>
      </x:c>
      <x:c r="BA848" s="9" t="str">
        <x:v>grid_cells_within_BIG_polygon</x:v>
      </x:c>
      <x:c r="BB848" s="6" t="str">
        <x:v>29</x:v>
      </x:c>
      <x:c r="BC848" s="6" t="str">
        <x:v>0</x:v>
      </x:c>
      <x:c r="BD848" s="6" t="str">
        <x:v>0</x:v>
      </x:c>
      <x:c r="BE848" s="6" t="str">
        <x:v>0</x:v>
      </x:c>
      <x:c r="BF848" s="6" t="str">
        <x:v>0</x:v>
      </x:c>
      <x:c r="BG848" s="6" t="str">
        <x:v>0</x:v>
      </x:c>
      <x:c r="BH848" s="6" t="str">
        <x:v>0</x:v>
      </x:c>
      <x:c r="BI848" s="6" t="str">
        <x:v>0</x:v>
      </x:c>
      <x:c r="BJ848" s="6" t="str">
        <x:v>0</x:v>
      </x:c>
      <x:c r="BK848" s="6" t="str">
        <x:v>0</x:v>
      </x:c>
      <x:c r="BL848" s="6" t="str">
        <x:v>0</x:v>
      </x:c>
      <x:c r="BM848" s="6" t="str">
        <x:v>0</x:v>
      </x:c>
      <x:c r="BN848" s="6" t="str">
        <x:v>0</x:v>
      </x:c>
      <x:c r="BO848" s="6" t="str"/>
      <x:c r="BP848" s="6" t="str">
        <x:v>0</x:v>
      </x:c>
      <x:c r="BQ848" s="6" t="str"/>
      <x:c r="BR848" s="6" t="str">
        <x:v>0</x:v>
      </x:c>
      <x:c r="BS848" s="6" t="str"/>
      <x:c r="BT848" s="6" t="str">
        <x:v>0</x:v>
      </x:c>
      <x:c r="BU848" s="6" t="str"/>
      <x:c r="BV848" s="6" t="str">
        <x:v>0</x:v>
      </x:c>
      <x:c r="BW848" s="9" t="str">
        <x:v>operational_snapshot_annual_totals_may_differ</x:v>
      </x:c>
      <x:c r="BX848" s="9" t="str">
        <x:v>official_live_dashboard_snapshot_subject_to_revision</x:v>
      </x:c>
      <x:c r="BY848" s="9" t="str">
        <x:v>https://tbdashboard.sitb.id/ss_data_tbc03so_2024_provinsi_bulanan_list.php</x:v>
      </x:c>
      <x:c r="BZ848" s="6" t="n">
        <x:v>46246.610671296294</x:v>
      </x:c>
    </x:row>
    <x:row r="849" ht="18" customHeight="1">
      <x:c r="A849" s="6" t="str">
        <x:v>95</x:v>
      </x:c>
      <x:c r="B849" s="6" t="str">
        <x:v>PAPUA SELATAN</x:v>
      </x:c>
      <x:c r="C849" s="6" t="str">
        <x:v>2024</x:v>
      </x:c>
      <x:c r="D849" s="6" t="str">
        <x:v>8</x:v>
      </x:c>
      <x:c r="E849" s="6" t="str">
        <x:v>2024-08</x:v>
      </x:c>
      <x:c r="F849" s="6" t="str">
        <x:v>387</x:v>
      </x:c>
      <x:c r="G849" s="6" t="str">
        <x:v>57</x:v>
      </x:c>
      <x:c r="H849" s="6" t="str">
        <x:v>246</x:v>
      </x:c>
      <x:c r="I849" s="6" t="str">
        <x:v>48</x:v>
      </x:c>
      <x:c r="J849" s="6" t="str">
        <x:v>17</x:v>
      </x:c>
      <x:c r="K849" s="6" t="str">
        <x:v>1</x:v>
      </x:c>
      <x:c r="L849" s="6" t="str">
        <x:v>1</x:v>
      </x:c>
      <x:c r="M849" s="6" t="str">
        <x:v>17</x:v>
      </x:c>
      <x:c r="N849" s="6" t="str">
        <x:v>387</x:v>
      </x:c>
      <x:c r="O849" s="6" t="str">
        <x:v>0</x:v>
      </x:c>
      <x:c r="P849" s="10" t="n">
        <x:f>F849-M849</x:f>
        <x:v>370</x:v>
      </x:c>
      <x:c r="Q849" s="11" t="n">
        <x:f>IFERROR(M849/F849,"")</x:f>
        <x:v>0.04392764857881137</x:v>
      </x:c>
      <x:c r="R849" s="10" t="n">
        <x:f>G849+H849</x:f>
        <x:v>303</x:v>
      </x:c>
      <x:c r="S849" s="11" t="n">
        <x:f>IFERROR(R849/F849,"")</x:f>
        <x:v>0.7829457364341085</x:v>
      </x:c>
      <x:c r="T849" s="11" t="n">
        <x:f>IFERROR(R849/P849,"")</x:f>
        <x:v>0.8189189189189189</x:v>
      </x:c>
      <x:c r="U849" s="10" t="n">
        <x:f>I849+J849+K849</x:f>
        <x:v>66</x:v>
      </x:c>
      <x:c r="V849" s="11" t="n">
        <x:f>IFERROR(U849/P849,"")</x:f>
        <x:v>0.1783783783783784</x:v>
      </x:c>
      <x:c r="W849" s="9" t="str">
        <x:v>mature_le_5pct_pending</x:v>
      </x:c>
      <x:c r="X849" s="12" t="n">
        <x:f>IFERROR(F849/Z849*100000,"")</x:f>
        <x:v>71.38904261206419</x:v>
      </x:c>
      <x:c r="Y849" s="13" t="n">
        <x:f>LN(Z849)</x:f>
        <x:v>13.203205765248429</x:v>
      </x:c>
      <x:c r="Z849" s="6" t="str">
        <x:v>542100</x:v>
      </x:c>
      <x:c r="AA849" s="6" t="str">
        <x:v>5.0</x:v>
      </x:c>
      <x:c r="AB849" s="9" t="str">
        <x:v>2024-06-30</x:v>
      </x:c>
      <x:c r="AC849" s="8" t="str">
        <x:v>65.06</x:v>
      </x:c>
      <x:c r="AD849" s="9" t="str">
        <x:v>2024 (Susenas)</x:v>
      </x:c>
      <x:c r="AE849" s="8" t="str">
        <x:v>308.48</x:v>
      </x:c>
      <x:c r="AF849" s="9" t="str">
        <x:v>Maret 2024 (Susenas)</x:v>
      </x:c>
      <x:c r="AG849" s="6" t="str">
        <x:v>25.721175334891637</x:v>
      </x:c>
      <x:c r="AH849" s="8" t="str">
        <x:v>89.61008272380377</x:v>
      </x:c>
      <x:c r="AI849" s="6" t="str">
        <x:v>135.4554789395885</x:v>
      </x:c>
      <x:c r="AJ849" s="6" t="str">
        <x:v>0.9436375764401888</x:v>
      </x:c>
      <x:c r="AK849" s="8" t="str">
        <x:v>1.5138994478177898</x:v>
      </x:c>
      <x:c r="AL849" s="6" t="str">
        <x:v>0.3726524306773933</x:v>
      </x:c>
      <x:c r="AM849" s="6" t="str">
        <x:v>0.4115905545852434</x:v>
      </x:c>
      <x:c r="AN849" s="6" t="str">
        <x:v>0.7660474776934758</x:v>
      </x:c>
      <x:c r="AO849" s="6" t="str">
        <x:v>3.7284679536279697</x:v>
      </x:c>
      <x:c r="AP849" s="8" t="str">
        <x:v>0.6854494838935589</x:v>
      </x:c>
      <x:c r="AQ849" s="6" t="str">
        <x:v>0.6709381551085161</x:v>
      </x:c>
      <x:c r="AR849" s="6" t="str">
        <x:v>0.6268484721636138</x:v>
      </x:c>
      <x:c r="AS849" s="6" t="str">
        <x:v>0.661078703721896</x:v>
      </x:c>
      <x:c r="AT849" s="6" t="str">
        <x:v>-17.845105585275263</x:v>
      </x:c>
      <x:c r="AU849" s="8" t="str">
        <x:v>-0.1817522164891358</x:v>
      </x:c>
      <x:c r="AV849" s="6" t="str">
        <x:v>1.3496598808421032</x:v>
      </x:c>
      <x:c r="AW849" s="6" t="str">
        <x:v>1.7816127809018802</x:v>
      </x:c>
      <x:c r="AX849" s="6" t="str">
        <x:v>0.9831734817516156</x:v>
      </x:c>
      <x:c r="AY849" s="6" t="str">
        <x:v>0</x:v>
      </x:c>
      <x:c r="AZ849" s="6" t="str">
        <x:v>1</x:v>
      </x:c>
      <x:c r="BA849" s="9" t="str">
        <x:v>grid_cells_within_BIG_polygon</x:v>
      </x:c>
      <x:c r="BB849" s="6" t="str">
        <x:v>29</x:v>
      </x:c>
      <x:c r="BC849" s="6" t="str">
        <x:v>0</x:v>
      </x:c>
      <x:c r="BD849" s="6" t="str">
        <x:v>0</x:v>
      </x:c>
      <x:c r="BE849" s="6" t="str">
        <x:v>0</x:v>
      </x:c>
      <x:c r="BF849" s="6" t="str">
        <x:v>0</x:v>
      </x:c>
      <x:c r="BG849" s="6" t="str">
        <x:v>0</x:v>
      </x:c>
      <x:c r="BH849" s="6" t="str">
        <x:v>0</x:v>
      </x:c>
      <x:c r="BI849" s="6" t="str">
        <x:v>0</x:v>
      </x:c>
      <x:c r="BJ849" s="6" t="str">
        <x:v>0</x:v>
      </x:c>
      <x:c r="BK849" s="6" t="str">
        <x:v>0</x:v>
      </x:c>
      <x:c r="BL849" s="6" t="str">
        <x:v>0</x:v>
      </x:c>
      <x:c r="BM849" s="6" t="str">
        <x:v>0</x:v>
      </x:c>
      <x:c r="BN849" s="6" t="str">
        <x:v>0</x:v>
      </x:c>
      <x:c r="BO849" s="6" t="str"/>
      <x:c r="BP849" s="6" t="str">
        <x:v>0</x:v>
      </x:c>
      <x:c r="BQ849" s="6" t="str"/>
      <x:c r="BR849" s="6" t="str">
        <x:v>0</x:v>
      </x:c>
      <x:c r="BS849" s="6" t="str"/>
      <x:c r="BT849" s="6" t="str">
        <x:v>0</x:v>
      </x:c>
      <x:c r="BU849" s="6" t="str"/>
      <x:c r="BV849" s="6" t="str">
        <x:v>0</x:v>
      </x:c>
      <x:c r="BW849" s="9" t="str">
        <x:v>operational_snapshot_annual_totals_may_differ</x:v>
      </x:c>
      <x:c r="BX849" s="9" t="str">
        <x:v>official_live_dashboard_snapshot_subject_to_revision</x:v>
      </x:c>
      <x:c r="BY849" s="9" t="str">
        <x:v>https://tbdashboard.sitb.id/ss_data_tbc03so_2024_provinsi_bulanan_list.php</x:v>
      </x:c>
      <x:c r="BZ849" s="6" t="n">
        <x:v>46246.610671296294</x:v>
      </x:c>
    </x:row>
    <x:row r="850" ht="18" customHeight="1">
      <x:c r="A850" s="6" t="str">
        <x:v>95</x:v>
      </x:c>
      <x:c r="B850" s="6" t="str">
        <x:v>PAPUA SELATAN</x:v>
      </x:c>
      <x:c r="C850" s="6" t="str">
        <x:v>2024</x:v>
      </x:c>
      <x:c r="D850" s="6" t="str">
        <x:v>9</x:v>
      </x:c>
      <x:c r="E850" s="6" t="str">
        <x:v>2024-09</x:v>
      </x:c>
      <x:c r="F850" s="6" t="str">
        <x:v>369</x:v>
      </x:c>
      <x:c r="G850" s="6" t="str">
        <x:v>60</x:v>
      </x:c>
      <x:c r="H850" s="6" t="str">
        <x:v>227</x:v>
      </x:c>
      <x:c r="I850" s="6" t="str">
        <x:v>47</x:v>
      </x:c>
      <x:c r="J850" s="6" t="str">
        <x:v>9</x:v>
      </x:c>
      <x:c r="K850" s="6" t="str">
        <x:v>1</x:v>
      </x:c>
      <x:c r="L850" s="6" t="str">
        <x:v>3</x:v>
      </x:c>
      <x:c r="M850" s="6" t="str">
        <x:v>22</x:v>
      </x:c>
      <x:c r="N850" s="6" t="str">
        <x:v>369</x:v>
      </x:c>
      <x:c r="O850" s="6" t="str">
        <x:v>0</x:v>
      </x:c>
      <x:c r="P850" s="10" t="n">
        <x:f>F850-M850</x:f>
        <x:v>347</x:v>
      </x:c>
      <x:c r="Q850" s="11" t="n">
        <x:f>IFERROR(M850/F850,"")</x:f>
        <x:v>0.05962059620596206</x:v>
      </x:c>
      <x:c r="R850" s="10" t="n">
        <x:f>G850+H850</x:f>
        <x:v>287</x:v>
      </x:c>
      <x:c r="S850" s="11" t="n">
        <x:f>IFERROR(R850/F850,"")</x:f>
        <x:v>0.7777777777777778</x:v>
      </x:c>
      <x:c r="T850" s="11" t="n">
        <x:f>IFERROR(R850/P850,"")</x:f>
        <x:v>0.8270893371757925</x:v>
      </x:c>
      <x:c r="U850" s="10" t="n">
        <x:f>I850+J850+K850</x:f>
        <x:v>57</x:v>
      </x:c>
      <x:c r="V850" s="11" t="n">
        <x:f>IFERROR(U850/P850,"")</x:f>
        <x:v>0.1642651296829971</x:v>
      </x:c>
      <x:c r="W850" s="9" t="str">
        <x:v>provisional_gt_5pct_pending</x:v>
      </x:c>
      <x:c r="X850" s="12" t="n">
        <x:f>IFERROR(F850/Z850*100000,"")</x:f>
        <x:v>68.06862202545656</x:v>
      </x:c>
      <x:c r="Y850" s="13" t="n">
        <x:f>LN(Z850)</x:f>
        <x:v>13.203205765248429</x:v>
      </x:c>
      <x:c r="Z850" s="6" t="str">
        <x:v>542100</x:v>
      </x:c>
      <x:c r="AA850" s="6" t="str">
        <x:v>5.0</x:v>
      </x:c>
      <x:c r="AB850" s="9" t="str">
        <x:v>2024-06-30</x:v>
      </x:c>
      <x:c r="AC850" s="8" t="str">
        <x:v>65.06</x:v>
      </x:c>
      <x:c r="AD850" s="9" t="str">
        <x:v>2024 (Susenas)</x:v>
      </x:c>
      <x:c r="AE850" s="8" t="str">
        <x:v>308.48</x:v>
      </x:c>
      <x:c r="AF850" s="9" t="str">
        <x:v>Maret 2024 (Susenas)</x:v>
      </x:c>
      <x:c r="AG850" s="6" t="str">
        <x:v>26.152480536199636</x:v>
      </x:c>
      <x:c r="AH850" s="8" t="str">
        <x:v>89.75404375929719</x:v>
      </x:c>
      <x:c r="AI850" s="6" t="str">
        <x:v>237.4383578848141</x:v>
      </x:c>
      <x:c r="AJ850" s="6" t="str">
        <x:v>0.5379108380006592</x:v>
      </x:c>
      <x:c r="AK850" s="8" t="str">
        <x:v>0.7331365656282915</x:v>
      </x:c>
      <x:c r="AL850" s="6" t="str">
        <x:v>1.5138994478177898</x:v>
      </x:c>
      <x:c r="AM850" s="6" t="str">
        <x:v>0.3726524306773933</x:v>
      </x:c>
      <x:c r="AN850" s="6" t="str">
        <x:v>0.873229481374492</x:v>
      </x:c>
      <x:c r="AO850" s="6" t="str">
        <x:v>5.65692719060894</x:v>
      </x:c>
      <x:c r="AP850" s="8" t="str">
        <x:v>0.8013243987186522</x:v>
      </x:c>
      <x:c r="AQ850" s="6" t="str">
        <x:v>0.6854494838935589</x:v>
      </x:c>
      <x:c r="AR850" s="6" t="str">
        <x:v>0.6709381551085161</x:v>
      </x:c>
      <x:c r="AS850" s="6" t="str">
        <x:v>0.7192373459069087</x:v>
      </x:c>
      <x:c r="AT850" s="6" t="str">
        <x:v>61.72356887293682</x:v>
      </x:c>
      <x:c r="AU850" s="8" t="str">
        <x:v>0.6140482253387382</x:v>
      </x:c>
      <x:c r="AV850" s="6" t="str">
        <x:v>-0.1817522164891358</x:v>
      </x:c>
      <x:c r="AW850" s="6" t="str">
        <x:v>1.3496598808421032</x:v>
      </x:c>
      <x:c r="AX850" s="6" t="str">
        <x:v>0.5939852965639015</x:v>
      </x:c>
      <x:c r="AY850" s="6" t="str">
        <x:v>0</x:v>
      </x:c>
      <x:c r="AZ850" s="6" t="str">
        <x:v>0</x:v>
      </x:c>
      <x:c r="BA850" s="9" t="str">
        <x:v>grid_cells_within_BIG_polygon</x:v>
      </x:c>
      <x:c r="BB850" s="6" t="str">
        <x:v>29</x:v>
      </x:c>
      <x:c r="BC850" s="6" t="str">
        <x:v>0</x:v>
      </x:c>
      <x:c r="BD850" s="6" t="str">
        <x:v>0</x:v>
      </x:c>
      <x:c r="BE850" s="6" t="str">
        <x:v>0</x:v>
      </x:c>
      <x:c r="BF850" s="6" t="str">
        <x:v>0</x:v>
      </x:c>
      <x:c r="BG850" s="6" t="str">
        <x:v>0</x:v>
      </x:c>
      <x:c r="BH850" s="6" t="str">
        <x:v>0</x:v>
      </x:c>
      <x:c r="BI850" s="6" t="str">
        <x:v>0</x:v>
      </x:c>
      <x:c r="BJ850" s="6" t="str">
        <x:v>0</x:v>
      </x:c>
      <x:c r="BK850" s="6" t="str">
        <x:v>0</x:v>
      </x:c>
      <x:c r="BL850" s="6" t="str">
        <x:v>0</x:v>
      </x:c>
      <x:c r="BM850" s="6" t="str">
        <x:v>0</x:v>
      </x:c>
      <x:c r="BN850" s="6" t="str">
        <x:v>0</x:v>
      </x:c>
      <x:c r="BO850" s="6" t="str"/>
      <x:c r="BP850" s="6" t="str">
        <x:v>0</x:v>
      </x:c>
      <x:c r="BQ850" s="6" t="str"/>
      <x:c r="BR850" s="6" t="str">
        <x:v>0</x:v>
      </x:c>
      <x:c r="BS850" s="6" t="str"/>
      <x:c r="BT850" s="6" t="str">
        <x:v>0</x:v>
      </x:c>
      <x:c r="BU850" s="6" t="str"/>
      <x:c r="BV850" s="6" t="str">
        <x:v>0</x:v>
      </x:c>
      <x:c r="BW850" s="9" t="str">
        <x:v>operational_snapshot_annual_totals_may_differ</x:v>
      </x:c>
      <x:c r="BX850" s="9" t="str">
        <x:v>official_live_dashboard_snapshot_subject_to_revision</x:v>
      </x:c>
      <x:c r="BY850" s="9" t="str">
        <x:v>https://tbdashboard.sitb.id/ss_data_tbc03so_2024_provinsi_bulanan_list.php</x:v>
      </x:c>
      <x:c r="BZ850" s="6" t="n">
        <x:v>46246.610671296294</x:v>
      </x:c>
    </x:row>
    <x:row r="851" ht="18" customHeight="1">
      <x:c r="A851" s="6" t="str">
        <x:v>95</x:v>
      </x:c>
      <x:c r="B851" s="6" t="str">
        <x:v>PAPUA SELATAN</x:v>
      </x:c>
      <x:c r="C851" s="6" t="str">
        <x:v>2024</x:v>
      </x:c>
      <x:c r="D851" s="6" t="str">
        <x:v>10</x:v>
      </x:c>
      <x:c r="E851" s="6" t="str">
        <x:v>2024-10</x:v>
      </x:c>
      <x:c r="F851" s="6" t="str">
        <x:v>401</x:v>
      </x:c>
      <x:c r="G851" s="6" t="str">
        <x:v>70</x:v>
      </x:c>
      <x:c r="H851" s="6" t="str">
        <x:v>247</x:v>
      </x:c>
      <x:c r="I851" s="6" t="str">
        <x:v>42</x:v>
      </x:c>
      <x:c r="J851" s="6" t="str">
        <x:v>12</x:v>
      </x:c>
      <x:c r="K851" s="6" t="str">
        <x:v>1</x:v>
      </x:c>
      <x:c r="L851" s="6" t="str">
        <x:v>3</x:v>
      </x:c>
      <x:c r="M851" s="6" t="str">
        <x:v>26</x:v>
      </x:c>
      <x:c r="N851" s="6" t="str">
        <x:v>401</x:v>
      </x:c>
      <x:c r="O851" s="6" t="str">
        <x:v>0</x:v>
      </x:c>
      <x:c r="P851" s="10" t="n">
        <x:f>F851-M851</x:f>
        <x:v>375</x:v>
      </x:c>
      <x:c r="Q851" s="11" t="n">
        <x:f>IFERROR(M851/F851,"")</x:f>
        <x:v>0.06483790523690773</x:v>
      </x:c>
      <x:c r="R851" s="10" t="n">
        <x:f>G851+H851</x:f>
        <x:v>317</x:v>
      </x:c>
      <x:c r="S851" s="11" t="n">
        <x:f>IFERROR(R851/F851,"")</x:f>
        <x:v>0.7905236907730673</x:v>
      </x:c>
      <x:c r="T851" s="11" t="n">
        <x:f>IFERROR(R851/P851,"")</x:f>
        <x:v>0.8453333333333334</x:v>
      </x:c>
      <x:c r="U851" s="10" t="n">
        <x:f>I851+J851+K851</x:f>
        <x:v>55</x:v>
      </x:c>
      <x:c r="V851" s="11" t="n">
        <x:f>IFERROR(U851/P851,"")</x:f>
        <x:v>0.14666666666666667</x:v>
      </x:c>
      <x:c r="W851" s="9" t="str">
        <x:v>provisional_gt_5pct_pending</x:v>
      </x:c>
      <x:c r="X851" s="12" t="n">
        <x:f>IFERROR(F851/Z851*100000,"")</x:f>
        <x:v>73.97159195720347</x:v>
      </x:c>
      <x:c r="Y851" s="13" t="n">
        <x:f>LN(Z851)</x:f>
        <x:v>13.203205765248429</x:v>
      </x:c>
      <x:c r="Z851" s="6" t="str">
        <x:v>542100</x:v>
      </x:c>
      <x:c r="AA851" s="6" t="str">
        <x:v>5.0</x:v>
      </x:c>
      <x:c r="AB851" s="9" t="str">
        <x:v>2024-06-30</x:v>
      </x:c>
      <x:c r="AC851" s="8" t="str">
        <x:v>65.06</x:v>
      </x:c>
      <x:c r="AD851" s="9" t="str">
        <x:v>2024 (Susenas)</x:v>
      </x:c>
      <x:c r="AE851" s="8" t="str">
        <x:v>308.48</x:v>
      </x:c>
      <x:c r="AF851" s="9" t="str">
        <x:v>Maret 2024 (Susenas)</x:v>
      </x:c>
      <x:c r="AG851" s="6" t="str">
        <x:v>26.68213395265244</x:v>
      </x:c>
      <x:c r="AH851" s="8" t="str">
        <x:v>88.89222458405689</x:v>
      </x:c>
      <x:c r="AI851" s="6" t="str">
        <x:v>264.3308074672505</x:v>
      </x:c>
      <x:c r="AJ851" s="6" t="str">
        <x:v>0.1607828134229549</x:v>
      </x:c>
      <x:c r="AK851" s="8" t="str">
        <x:v>0.236111967300632</x:v>
      </x:c>
      <x:c r="AL851" s="6" t="str">
        <x:v>0.7331365656282915</x:v>
      </x:c>
      <x:c r="AM851" s="6" t="str">
        <x:v>1.5138994478177898</x:v>
      </x:c>
      <x:c r="AN851" s="6" t="str">
        <x:v>0.8277159935822381</x:v>
      </x:c>
      <x:c r="AO851" s="6" t="str">
        <x:v>5.908827592477223</x:v>
      </x:c>
      <x:c r="AP851" s="8" t="str">
        <x:v>0.742293482264868</x:v>
      </x:c>
      <x:c r="AQ851" s="6" t="str">
        <x:v>0.8013243987186522</x:v>
      </x:c>
      <x:c r="AR851" s="6" t="str">
        <x:v>0.6854494838935589</x:v>
      </x:c>
      <x:c r="AS851" s="6" t="str">
        <x:v>0.743022454959026</x:v>
      </x:c>
      <x:c r="AT851" s="6" t="str">
        <x:v>72.7239349752245</x:v>
      </x:c>
      <x:c r="AU851" s="8" t="str">
        <x:v>0.5880760085114826</x:v>
      </x:c>
      <x:c r="AV851" s="6" t="str">
        <x:v>0.6140482253387382</x:v>
      </x:c>
      <x:c r="AW851" s="6" t="str">
        <x:v>-0.1817522164891358</x:v>
      </x:c>
      <x:c r="AX851" s="6" t="str">
        <x:v>0.340124005787028</x:v>
      </x:c>
      <x:c r="AY851" s="6" t="str">
        <x:v>0</x:v>
      </x:c>
      <x:c r="AZ851" s="6" t="str">
        <x:v>0</x:v>
      </x:c>
      <x:c r="BA851" s="9" t="str">
        <x:v>grid_cells_within_BIG_polygon</x:v>
      </x:c>
      <x:c r="BB851" s="6" t="str">
        <x:v>29</x:v>
      </x:c>
      <x:c r="BC851" s="6" t="str">
        <x:v>0</x:v>
      </x:c>
      <x:c r="BD851" s="6" t="str">
        <x:v>0</x:v>
      </x:c>
      <x:c r="BE851" s="6" t="str">
        <x:v>0</x:v>
      </x:c>
      <x:c r="BF851" s="6" t="str">
        <x:v>0</x:v>
      </x:c>
      <x:c r="BG851" s="6" t="str">
        <x:v>0</x:v>
      </x:c>
      <x:c r="BH851" s="6" t="str">
        <x:v>0</x:v>
      </x:c>
      <x:c r="BI851" s="6" t="str">
        <x:v>0</x:v>
      </x:c>
      <x:c r="BJ851" s="6" t="str">
        <x:v>0</x:v>
      </x:c>
      <x:c r="BK851" s="6" t="str">
        <x:v>0</x:v>
      </x:c>
      <x:c r="BL851" s="6" t="str">
        <x:v>0</x:v>
      </x:c>
      <x:c r="BM851" s="6" t="str">
        <x:v>0</x:v>
      </x:c>
      <x:c r="BN851" s="6" t="str">
        <x:v>0</x:v>
      </x:c>
      <x:c r="BO851" s="6" t="str"/>
      <x:c r="BP851" s="6" t="str">
        <x:v>0</x:v>
      </x:c>
      <x:c r="BQ851" s="6" t="str"/>
      <x:c r="BR851" s="6" t="str">
        <x:v>0</x:v>
      </x:c>
      <x:c r="BS851" s="6" t="str"/>
      <x:c r="BT851" s="6" t="str">
        <x:v>0</x:v>
      </x:c>
      <x:c r="BU851" s="6" t="str"/>
      <x:c r="BV851" s="6" t="str">
        <x:v>0</x:v>
      </x:c>
      <x:c r="BW851" s="9" t="str">
        <x:v>operational_snapshot_annual_totals_may_differ</x:v>
      </x:c>
      <x:c r="BX851" s="9" t="str">
        <x:v>official_live_dashboard_snapshot_subject_to_revision</x:v>
      </x:c>
      <x:c r="BY851" s="9" t="str">
        <x:v>https://tbdashboard.sitb.id/ss_data_tbc03so_2024_provinsi_bulanan_list.php</x:v>
      </x:c>
      <x:c r="BZ851" s="6" t="n">
        <x:v>46246.610671296294</x:v>
      </x:c>
    </x:row>
    <x:row r="852" ht="18" customHeight="1">
      <x:c r="A852" s="6" t="str">
        <x:v>95</x:v>
      </x:c>
      <x:c r="B852" s="6" t="str">
        <x:v>PAPUA SELATAN</x:v>
      </x:c>
      <x:c r="C852" s="6" t="str">
        <x:v>2024</x:v>
      </x:c>
      <x:c r="D852" s="6" t="str">
        <x:v>11</x:v>
      </x:c>
      <x:c r="E852" s="6" t="str">
        <x:v>2024-11</x:v>
      </x:c>
      <x:c r="F852" s="6" t="str">
        <x:v>378</x:v>
      </x:c>
      <x:c r="G852" s="6" t="str">
        <x:v>55</x:v>
      </x:c>
      <x:c r="H852" s="6" t="str">
        <x:v>241</x:v>
      </x:c>
      <x:c r="I852" s="6" t="str">
        <x:v>41</x:v>
      </x:c>
      <x:c r="J852" s="6" t="str">
        <x:v>11</x:v>
      </x:c>
      <x:c r="K852" s="6" t="str">
        <x:v>0</x:v>
      </x:c>
      <x:c r="L852" s="6" t="str">
        <x:v>3</x:v>
      </x:c>
      <x:c r="M852" s="6" t="str">
        <x:v>27</x:v>
      </x:c>
      <x:c r="N852" s="6" t="str">
        <x:v>378</x:v>
      </x:c>
      <x:c r="O852" s="6" t="str">
        <x:v>0</x:v>
      </x:c>
      <x:c r="P852" s="10" t="n">
        <x:f>F852-M852</x:f>
        <x:v>351</x:v>
      </x:c>
      <x:c r="Q852" s="11" t="n">
        <x:f>IFERROR(M852/F852,"")</x:f>
        <x:v>0.07142857142857142</x:v>
      </x:c>
      <x:c r="R852" s="10" t="n">
        <x:f>G852+H852</x:f>
        <x:v>296</x:v>
      </x:c>
      <x:c r="S852" s="11" t="n">
        <x:f>IFERROR(R852/F852,"")</x:f>
        <x:v>0.783068783068783</x:v>
      </x:c>
      <x:c r="T852" s="11" t="n">
        <x:f>IFERROR(R852/P852,"")</x:f>
        <x:v>0.8433048433048433</x:v>
      </x:c>
      <x:c r="U852" s="10" t="n">
        <x:f>I852+J852+K852</x:f>
        <x:v>52</x:v>
      </x:c>
      <x:c r="V852" s="11" t="n">
        <x:f>IFERROR(U852/P852,"")</x:f>
        <x:v>0.14814814814814814</x:v>
      </x:c>
      <x:c r="W852" s="9" t="str">
        <x:v>provisional_gt_5pct_pending</x:v>
      </x:c>
      <x:c r="X852" s="12" t="n">
        <x:f>IFERROR(F852/Z852*100000,"")</x:f>
        <x:v>69.72883231876037</x:v>
      </x:c>
      <x:c r="Y852" s="13" t="n">
        <x:f>LN(Z852)</x:f>
        <x:v>13.203205765248429</x:v>
      </x:c>
      <x:c r="Z852" s="6" t="str">
        <x:v>542100</x:v>
      </x:c>
      <x:c r="AA852" s="6" t="str">
        <x:v>5.0</x:v>
      </x:c>
      <x:c r="AB852" s="9" t="str">
        <x:v>2024-06-30</x:v>
      </x:c>
      <x:c r="AC852" s="8" t="str">
        <x:v>65.06</x:v>
      </x:c>
      <x:c r="AD852" s="9" t="str">
        <x:v>2024 (Susenas)</x:v>
      </x:c>
      <x:c r="AE852" s="8" t="str">
        <x:v>308.48</x:v>
      </x:c>
      <x:c r="AF852" s="9" t="str">
        <x:v>Maret 2024 (Susenas)</x:v>
      </x:c>
      <x:c r="AG852" s="6" t="str">
        <x:v>27.181467007805388</x:v>
      </x:c>
      <x:c r="AH852" s="8" t="str">
        <x:v>89.83480838727212</x:v>
      </x:c>
      <x:c r="AI852" s="6" t="str">
        <x:v>260.1544219667696</x:v>
      </x:c>
      <x:c r="AJ852" s="6" t="str">
        <x:v>0.1521450527953938</x:v>
      </x:c>
      <x:c r="AK852" s="8" t="str">
        <x:v>0.1953806767259792</x:v>
      </x:c>
      <x:c r="AL852" s="6" t="str">
        <x:v>0.236111967300632</x:v>
      </x:c>
      <x:c r="AM852" s="6" t="str">
        <x:v>0.7331365656282915</x:v>
      </x:c>
      <x:c r="AN852" s="6" t="str">
        <x:v>0.3882097365516346</x:v>
      </x:c>
      <x:c r="AO852" s="6" t="str">
        <x:v>5.710438791114228</x:v>
      </x:c>
      <x:c r="AP852" s="8" t="str">
        <x:v>0.806180798318853</x:v>
      </x:c>
      <x:c r="AQ852" s="6" t="str">
        <x:v>0.742293482264868</x:v>
      </x:c>
      <x:c r="AR852" s="6" t="str">
        <x:v>0.8013243987186522</x:v>
      </x:c>
      <x:c r="AS852" s="6" t="str">
        <x:v>0.7832662264341241</x:v>
      </x:c>
      <x:c r="AT852" s="6" t="str">
        <x:v>34.354684100815234</x:v>
      </x:c>
      <x:c r="AU852" s="8" t="str">
        <x:v>0.3510923443827387</x:v>
      </x:c>
      <x:c r="AV852" s="6" t="str">
        <x:v>0.5880760085114826</x:v>
      </x:c>
      <x:c r="AW852" s="6" t="str">
        <x:v>0.6140482253387382</x:v>
      </x:c>
      <x:c r="AX852" s="6" t="str">
        <x:v>0.5177388594109862</x:v>
      </x:c>
      <x:c r="AY852" s="6" t="str">
        <x:v>0</x:v>
      </x:c>
      <x:c r="AZ852" s="6" t="str">
        <x:v>0</x:v>
      </x:c>
      <x:c r="BA852" s="9" t="str">
        <x:v>grid_cells_within_BIG_polygon</x:v>
      </x:c>
      <x:c r="BB852" s="6" t="str">
        <x:v>29</x:v>
      </x:c>
      <x:c r="BC852" s="6" t="str">
        <x:v>0</x:v>
      </x:c>
      <x:c r="BD852" s="6" t="str">
        <x:v>0</x:v>
      </x:c>
      <x:c r="BE852" s="6" t="str">
        <x:v>0</x:v>
      </x:c>
      <x:c r="BF852" s="6" t="str">
        <x:v>0</x:v>
      </x:c>
      <x:c r="BG852" s="6" t="str">
        <x:v>0</x:v>
      </x:c>
      <x:c r="BH852" s="6" t="str">
        <x:v>0</x:v>
      </x:c>
      <x:c r="BI852" s="6" t="str">
        <x:v>0</x:v>
      </x:c>
      <x:c r="BJ852" s="6" t="str">
        <x:v>0</x:v>
      </x:c>
      <x:c r="BK852" s="6" t="str">
        <x:v>0</x:v>
      </x:c>
      <x:c r="BL852" s="6" t="str">
        <x:v>0</x:v>
      </x:c>
      <x:c r="BM852" s="6" t="str">
        <x:v>0</x:v>
      </x:c>
      <x:c r="BN852" s="6" t="str">
        <x:v>0</x:v>
      </x:c>
      <x:c r="BO852" s="6" t="str"/>
      <x:c r="BP852" s="6" t="str">
        <x:v>0</x:v>
      </x:c>
      <x:c r="BQ852" s="6" t="str"/>
      <x:c r="BR852" s="6" t="str">
        <x:v>0</x:v>
      </x:c>
      <x:c r="BS852" s="6" t="str"/>
      <x:c r="BT852" s="6" t="str">
        <x:v>0</x:v>
      </x:c>
      <x:c r="BU852" s="6" t="str"/>
      <x:c r="BV852" s="6" t="str">
        <x:v>0</x:v>
      </x:c>
      <x:c r="BW852" s="9" t="str">
        <x:v>operational_snapshot_annual_totals_may_differ</x:v>
      </x:c>
      <x:c r="BX852" s="9" t="str">
        <x:v>official_live_dashboard_snapshot_subject_to_revision</x:v>
      </x:c>
      <x:c r="BY852" s="9" t="str">
        <x:v>https://tbdashboard.sitb.id/ss_data_tbc03so_2024_provinsi_bulanan_list.php</x:v>
      </x:c>
      <x:c r="BZ852" s="6" t="n">
        <x:v>46246.610671296294</x:v>
      </x:c>
    </x:row>
    <x:row r="853" ht="18" customHeight="1">
      <x:c r="A853" s="6" t="str">
        <x:v>95</x:v>
      </x:c>
      <x:c r="B853" s="6" t="str">
        <x:v>PAPUA SELATAN</x:v>
      </x:c>
      <x:c r="C853" s="6" t="str">
        <x:v>2024</x:v>
      </x:c>
      <x:c r="D853" s="6" t="str">
        <x:v>12</x:v>
      </x:c>
      <x:c r="E853" s="6" t="str">
        <x:v>2024-12</x:v>
      </x:c>
      <x:c r="F853" s="6" t="str">
        <x:v>265</x:v>
      </x:c>
      <x:c r="G853" s="6" t="str">
        <x:v>35</x:v>
      </x:c>
      <x:c r="H853" s="6" t="str">
        <x:v>175</x:v>
      </x:c>
      <x:c r="I853" s="6" t="str">
        <x:v>28</x:v>
      </x:c>
      <x:c r="J853" s="6" t="str">
        <x:v>13</x:v>
      </x:c>
      <x:c r="K853" s="6" t="str">
        <x:v>0</x:v>
      </x:c>
      <x:c r="L853" s="6" t="str">
        <x:v>3</x:v>
      </x:c>
      <x:c r="M853" s="6" t="str">
        <x:v>11</x:v>
      </x:c>
      <x:c r="N853" s="6" t="str">
        <x:v>265</x:v>
      </x:c>
      <x:c r="O853" s="6" t="str">
        <x:v>0</x:v>
      </x:c>
      <x:c r="P853" s="10" t="n">
        <x:f>F853-M853</x:f>
        <x:v>254</x:v>
      </x:c>
      <x:c r="Q853" s="11" t="n">
        <x:f>IFERROR(M853/F853,"")</x:f>
        <x:v>0.04150943396226415</x:v>
      </x:c>
      <x:c r="R853" s="10" t="n">
        <x:f>G853+H853</x:f>
        <x:v>210</x:v>
      </x:c>
      <x:c r="S853" s="11" t="n">
        <x:f>IFERROR(R853/F853,"")</x:f>
        <x:v>0.7924528301886793</x:v>
      </x:c>
      <x:c r="T853" s="11" t="n">
        <x:f>IFERROR(R853/P853,"")</x:f>
        <x:v>0.8267716535433071</x:v>
      </x:c>
      <x:c r="U853" s="10" t="n">
        <x:f>I853+J853+K853</x:f>
        <x:v>41</x:v>
      </x:c>
      <x:c r="V853" s="11" t="n">
        <x:f>IFERROR(U853/P853,"")</x:f>
        <x:v>0.16141732283464566</x:v>
      </x:c>
      <x:c r="W853" s="9" t="str">
        <x:v>mature_le_5pct_pending</x:v>
      </x:c>
      <x:c r="X853" s="12" t="n">
        <x:f>IFERROR(F853/Z853*100000,"")</x:f>
        <x:v>48.8839697472791</x:v>
      </x:c>
      <x:c r="Y853" s="13" t="n">
        <x:f>LN(Z853)</x:f>
        <x:v>13.203205765248429</x:v>
      </x:c>
      <x:c r="Z853" s="6" t="str">
        <x:v>542100</x:v>
      </x:c>
      <x:c r="AA853" s="6" t="str">
        <x:v>5.0</x:v>
      </x:c>
      <x:c r="AB853" s="9" t="str">
        <x:v>2024-06-30</x:v>
      </x:c>
      <x:c r="AC853" s="8" t="str">
        <x:v>65.06</x:v>
      </x:c>
      <x:c r="AD853" s="9" t="str">
        <x:v>2024 (Susenas)</x:v>
      </x:c>
      <x:c r="AE853" s="8" t="str">
        <x:v>308.48</x:v>
      </x:c>
      <x:c r="AF853" s="9" t="str">
        <x:v>Maret 2024 (Susenas)</x:v>
      </x:c>
      <x:c r="AG853" s="6" t="str">
        <x:v>27.07474249165914</x:v>
      </x:c>
      <x:c r="AH853" s="8" t="str">
        <x:v>91.37571183504888</x:v>
      </x:c>
      <x:c r="AI853" s="6" t="str">
        <x:v>428.3599497920609</x:v>
      </x:c>
      <x:c r="AJ853" s="6" t="str">
        <x:v>0.2260097910139009</x:v>
      </x:c>
      <x:c r="AK853" s="8" t="str">
        <x:v>0.459164617878929</x:v>
      </x:c>
      <x:c r="AL853" s="6" t="str">
        <x:v>0.1953806767259792</x:v>
      </x:c>
      <x:c r="AM853" s="6" t="str">
        <x:v>0.236111967300632</x:v>
      </x:c>
      <x:c r="AN853" s="6" t="str">
        <x:v>0.2968857539685137</x:v>
      </x:c>
      <x:c r="AO853" s="6" t="str">
        <x:v>3.954483559146468</x:v>
      </x:c>
      <x:c r="AP853" s="8" t="str">
        <x:v>1.0094467455895697</x:v>
      </x:c>
      <x:c r="AQ853" s="6" t="str">
        <x:v>0.806180798318853</x:v>
      </x:c>
      <x:c r="AR853" s="6" t="str">
        <x:v>0.742293482264868</x:v>
      </x:c>
      <x:c r="AS853" s="6" t="str">
        <x:v>0.8526403420577632</x:v>
      </x:c>
      <x:c r="AT853" s="6" t="str">
        <x:v>132.26720687418378</x:v>
      </x:c>
      <x:c r="AU853" s="8" t="str">
        <x:v>1.1587680794098978</x:v>
      </x:c>
      <x:c r="AV853" s="6" t="str">
        <x:v>0.3510923443827387</x:v>
      </x:c>
      <x:c r="AW853" s="6" t="str">
        <x:v>0.5880760085114826</x:v>
      </x:c>
      <x:c r="AX853" s="6" t="str">
        <x:v>0.6993121441013727</x:v>
      </x:c>
      <x:c r="AY853" s="6" t="str">
        <x:v>1</x:v>
      </x:c>
      <x:c r="AZ853" s="6" t="str">
        <x:v>0</x:v>
      </x:c>
      <x:c r="BA853" s="9" t="str">
        <x:v>grid_cells_within_BIG_polygon</x:v>
      </x:c>
      <x:c r="BB853" s="6" t="str">
        <x:v>29</x:v>
      </x:c>
      <x:c r="BC853" s="6" t="str">
        <x:v>0</x:v>
      </x:c>
      <x:c r="BD853" s="6" t="str">
        <x:v>0</x:v>
      </x:c>
      <x:c r="BE853" s="6" t="str">
        <x:v>0</x:v>
      </x:c>
      <x:c r="BF853" s="6" t="str">
        <x:v>0</x:v>
      </x:c>
      <x:c r="BG853" s="6" t="str">
        <x:v>0</x:v>
      </x:c>
      <x:c r="BH853" s="6" t="str">
        <x:v>0</x:v>
      </x:c>
      <x:c r="BI853" s="6" t="str">
        <x:v>0</x:v>
      </x:c>
      <x:c r="BJ853" s="6" t="str">
        <x:v>0</x:v>
      </x:c>
      <x:c r="BK853" s="6" t="str">
        <x:v>0</x:v>
      </x:c>
      <x:c r="BL853" s="6" t="str">
        <x:v>0</x:v>
      </x:c>
      <x:c r="BM853" s="6" t="str">
        <x:v>0</x:v>
      </x:c>
      <x:c r="BN853" s="6" t="str">
        <x:v>0</x:v>
      </x:c>
      <x:c r="BO853" s="6" t="str"/>
      <x:c r="BP853" s="6" t="str">
        <x:v>0</x:v>
      </x:c>
      <x:c r="BQ853" s="6" t="str"/>
      <x:c r="BR853" s="6" t="str">
        <x:v>0</x:v>
      </x:c>
      <x:c r="BS853" s="6" t="str"/>
      <x:c r="BT853" s="6" t="str">
        <x:v>0</x:v>
      </x:c>
      <x:c r="BU853" s="6" t="str"/>
      <x:c r="BV853" s="6" t="str">
        <x:v>0</x:v>
      </x:c>
      <x:c r="BW853" s="9" t="str">
        <x:v>operational_snapshot_annual_totals_may_differ</x:v>
      </x:c>
      <x:c r="BX853" s="9" t="str">
        <x:v>official_live_dashboard_snapshot_subject_to_revision</x:v>
      </x:c>
      <x:c r="BY853" s="9" t="str">
        <x:v>https://tbdashboard.sitb.id/ss_data_tbc03so_2024_provinsi_bulanan_list.php</x:v>
      </x:c>
      <x:c r="BZ853" s="6" t="n">
        <x:v>46246.610671296294</x:v>
      </x:c>
    </x:row>
    <x:row r="854" ht="18" customHeight="1">
      <x:c r="A854" s="6" t="str">
        <x:v>95</x:v>
      </x:c>
      <x:c r="B854" s="6" t="str">
        <x:v>PAPUA SELATAN</x:v>
      </x:c>
      <x:c r="C854" s="6" t="str">
        <x:v>2025</x:v>
      </x:c>
      <x:c r="D854" s="6" t="str">
        <x:v>1</x:v>
      </x:c>
      <x:c r="E854" s="6" t="str">
        <x:v>2025-01</x:v>
      </x:c>
      <x:c r="F854" s="6" t="str">
        <x:v>331</x:v>
      </x:c>
      <x:c r="G854" s="6" t="str">
        <x:v>56</x:v>
      </x:c>
      <x:c r="H854" s="6" t="str">
        <x:v>191</x:v>
      </x:c>
      <x:c r="I854" s="6" t="str">
        <x:v>33</x:v>
      </x:c>
      <x:c r="J854" s="6" t="str">
        <x:v>5</x:v>
      </x:c>
      <x:c r="K854" s="6" t="str">
        <x:v>0</x:v>
      </x:c>
      <x:c r="L854" s="6" t="str">
        <x:v>2</x:v>
      </x:c>
      <x:c r="M854" s="6" t="str">
        <x:v>44</x:v>
      </x:c>
      <x:c r="N854" s="6" t="str">
        <x:v>331</x:v>
      </x:c>
      <x:c r="O854" s="6" t="str">
        <x:v>0</x:v>
      </x:c>
      <x:c r="P854" s="10" t="n">
        <x:f>F854-M854</x:f>
        <x:v>287</x:v>
      </x:c>
      <x:c r="Q854" s="11" t="n">
        <x:f>IFERROR(M854/F854,"")</x:f>
        <x:v>0.13293051359516617</x:v>
      </x:c>
      <x:c r="R854" s="10" t="n">
        <x:f>G854+H854</x:f>
        <x:v>247</x:v>
      </x:c>
      <x:c r="S854" s="11" t="n">
        <x:f>IFERROR(R854/F854,"")</x:f>
        <x:v>0.7462235649546828</x:v>
      </x:c>
      <x:c r="T854" s="11" t="n">
        <x:f>IFERROR(R854/P854,"")</x:f>
        <x:v>0.8606271777003485</x:v>
      </x:c>
      <x:c r="U854" s="10" t="n">
        <x:f>I854+J854+K854</x:f>
        <x:v>38</x:v>
      </x:c>
      <x:c r="V854" s="11" t="n">
        <x:f>IFERROR(U854/P854,"")</x:f>
        <x:v>0.13240418118466898</x:v>
      </x:c>
      <x:c r="W854" s="9" t="str">
        <x:v>provisional_gt_5pct_pending</x:v>
      </x:c>
      <x:c r="X854" s="12" t="n">
        <x:f>IFERROR(F854/Z854*100000,"")</x:f>
        <x:v>60.214662543205385</x:v>
      </x:c>
      <x:c r="Y854" s="13" t="n">
        <x:f>LN(Z854)</x:f>
        <x:v>13.217127953848752</x:v>
      </x:c>
      <x:c r="Z854" s="6" t="str">
        <x:v>549700</x:v>
      </x:c>
      <x:c r="AA854" s="6" t="str">
        <x:v>5.0</x:v>
      </x:c>
      <x:c r="AB854" s="9" t="str">
        <x:v>2025-06-30</x:v>
      </x:c>
      <x:c r="AC854" s="8" t="str">
        <x:v>41.44</x:v>
      </x:c>
      <x:c r="AD854" s="9" t="str">
        <x:v>2025 (Susenas)</x:v>
      </x:c>
      <x:c r="AE854" s="8" t="str">
        <x:v>19.71</x:v>
      </x:c>
      <x:c r="AF854" s="9" t="str">
        <x:v>Maret 2025 (Susenas)</x:v>
      </x:c>
      <x:c r="AG854" s="6" t="str">
        <x:v>26.83363531594672</x:v>
      </x:c>
      <x:c r="AH854" s="8" t="str">
        <x:v>90.89183199969234</x:v>
      </x:c>
      <x:c r="AI854" s="6" t="str">
        <x:v>387.1857390720844</x:v>
      </x:c>
      <x:c r="AJ854" s="6" t="str">
        <x:v>0.3363251204343207</x:v>
      </x:c>
      <x:c r="AK854" s="8" t="str">
        <x:v>0.7499412096523548</x:v>
      </x:c>
      <x:c r="AL854" s="6" t="str">
        <x:v>0.459164617878929</x:v>
      </x:c>
      <x:c r="AM854" s="6" t="str">
        <x:v>0.1953806767259792</x:v>
      </x:c>
      <x:c r="AN854" s="6" t="str">
        <x:v>0.4681621680857546</x:v>
      </x:c>
      <x:c r="AO854" s="6" t="str">
        <x:v>1.6996994181493503</x:v>
      </x:c>
      <x:c r="AP854" s="8" t="str">
        <x:v>0.544877106791401</x:v>
      </x:c>
      <x:c r="AQ854" s="6" t="str">
        <x:v>1.0094467455895697</x:v>
      </x:c>
      <x:c r="AR854" s="6" t="str">
        <x:v>0.806180798318853</x:v>
      </x:c>
      <x:c r="AS854" s="6" t="str">
        <x:v>0.7868348835666076</x:v>
      </x:c>
      <x:c r="AT854" s="6" t="str">
        <x:v>91.18383613765394</x:v>
      </x:c>
      <x:c r="AU854" s="8" t="str">
        <x:v>1.0484072891280778</x:v>
      </x:c>
      <x:c r="AV854" s="6" t="str">
        <x:v>1.1587680794098978</x:v>
      </x:c>
      <x:c r="AW854" s="6" t="str">
        <x:v>0.3510923443827387</x:v>
      </x:c>
      <x:c r="AX854" s="6" t="str">
        <x:v>0.8527559043069045</x:v>
      </x:c>
      <x:c r="AY854" s="6" t="str">
        <x:v>1</x:v>
      </x:c>
      <x:c r="AZ854" s="6" t="str">
        <x:v>0</x:v>
      </x:c>
      <x:c r="BA854" s="9" t="str">
        <x:v>grid_cells_within_BIG_polygon</x:v>
      </x:c>
      <x:c r="BB854" s="6" t="str">
        <x:v>29</x:v>
      </x:c>
      <x:c r="BC854" s="6" t="str">
        <x:v>0</x:v>
      </x:c>
      <x:c r="BD854" s="6" t="str">
        <x:v>0</x:v>
      </x:c>
      <x:c r="BE854" s="6" t="str">
        <x:v>0</x:v>
      </x:c>
      <x:c r="BF854" s="6" t="str">
        <x:v>0</x:v>
      </x:c>
      <x:c r="BG854" s="6" t="str">
        <x:v>0</x:v>
      </x:c>
      <x:c r="BH854" s="6" t="str">
        <x:v>0</x:v>
      </x:c>
      <x:c r="BI854" s="6" t="str">
        <x:v>0</x:v>
      </x:c>
      <x:c r="BJ854" s="6" t="str">
        <x:v>0</x:v>
      </x:c>
      <x:c r="BK854" s="6" t="str">
        <x:v>0</x:v>
      </x:c>
      <x:c r="BL854" s="6" t="str">
        <x:v>0</x:v>
      </x:c>
      <x:c r="BM854" s="6" t="str">
        <x:v>0</x:v>
      </x:c>
      <x:c r="BN854" s="6" t="str">
        <x:v>0</x:v>
      </x:c>
      <x:c r="BO854" s="6" t="str"/>
      <x:c r="BP854" s="6" t="str">
        <x:v>0</x:v>
      </x:c>
      <x:c r="BQ854" s="6" t="str"/>
      <x:c r="BR854" s="6" t="str">
        <x:v>0</x:v>
      </x:c>
      <x:c r="BS854" s="6" t="str"/>
      <x:c r="BT854" s="6" t="str">
        <x:v>0</x:v>
      </x:c>
      <x:c r="BU854" s="6" t="str"/>
      <x:c r="BV854" s="6" t="str">
        <x:v>0</x:v>
      </x:c>
      <x:c r="BW854" s="9" t="str">
        <x:v>operational_snapshot_annual_totals_may_differ</x:v>
      </x:c>
      <x:c r="BX854" s="9" t="str">
        <x:v>official_live_dashboard_snapshot_subject_to_revision</x:v>
      </x:c>
      <x:c r="BY854" s="9" t="str">
        <x:v>https://tbdashboard.sitb.id/ss_data_tbc03so_2025_provinsi_bulanan_list.php</x:v>
      </x:c>
      <x:c r="BZ854" s="6" t="n">
        <x:v>46246.610671296294</x:v>
      </x:c>
    </x:row>
    <x:row r="855" ht="18" customHeight="1">
      <x:c r="A855" s="6" t="str">
        <x:v>95</x:v>
      </x:c>
      <x:c r="B855" s="6" t="str">
        <x:v>PAPUA SELATAN</x:v>
      </x:c>
      <x:c r="C855" s="6" t="str">
        <x:v>2025</x:v>
      </x:c>
      <x:c r="D855" s="6" t="str">
        <x:v>2</x:v>
      </x:c>
      <x:c r="E855" s="6" t="str">
        <x:v>2025-02</x:v>
      </x:c>
      <x:c r="F855" s="6" t="str">
        <x:v>356</x:v>
      </x:c>
      <x:c r="G855" s="6" t="str">
        <x:v>42</x:v>
      </x:c>
      <x:c r="H855" s="6" t="str">
        <x:v>196</x:v>
      </x:c>
      <x:c r="I855" s="6" t="str">
        <x:v>37</x:v>
      </x:c>
      <x:c r="J855" s="6" t="str">
        <x:v>10</x:v>
      </x:c>
      <x:c r="K855" s="6" t="str">
        <x:v>1</x:v>
      </x:c>
      <x:c r="L855" s="6" t="str">
        <x:v>5</x:v>
      </x:c>
      <x:c r="M855" s="6" t="str">
        <x:v>65</x:v>
      </x:c>
      <x:c r="N855" s="6" t="str">
        <x:v>356</x:v>
      </x:c>
      <x:c r="O855" s="6" t="str">
        <x:v>0</x:v>
      </x:c>
      <x:c r="P855" s="10" t="n">
        <x:f>F855-M855</x:f>
        <x:v>291</x:v>
      </x:c>
      <x:c r="Q855" s="11" t="n">
        <x:f>IFERROR(M855/F855,"")</x:f>
        <x:v>0.18258426966292135</x:v>
      </x:c>
      <x:c r="R855" s="10" t="n">
        <x:f>G855+H855</x:f>
        <x:v>238</x:v>
      </x:c>
      <x:c r="S855" s="11" t="n">
        <x:f>IFERROR(R855/F855,"")</x:f>
        <x:v>0.6685393258426966</x:v>
      </x:c>
      <x:c r="T855" s="11" t="n">
        <x:f>IFERROR(R855/P855,"")</x:f>
        <x:v>0.8178694158075601</x:v>
      </x:c>
      <x:c r="U855" s="10" t="n">
        <x:f>I855+J855+K855</x:f>
        <x:v>48</x:v>
      </x:c>
      <x:c r="V855" s="11" t="n">
        <x:f>IFERROR(U855/P855,"")</x:f>
        <x:v>0.16494845360824742</x:v>
      </x:c>
      <x:c r="W855" s="9" t="str">
        <x:v>provisional_gt_5pct_pending</x:v>
      </x:c>
      <x:c r="X855" s="12" t="n">
        <x:f>IFERROR(F855/Z855*100000,"")</x:f>
        <x:v>64.7625977806076</x:v>
      </x:c>
      <x:c r="Y855" s="13" t="n">
        <x:f>LN(Z855)</x:f>
        <x:v>13.217127953848752</x:v>
      </x:c>
      <x:c r="Z855" s="6" t="str">
        <x:v>549700</x:v>
      </x:c>
      <x:c r="AA855" s="6" t="str">
        <x:v>5.0</x:v>
      </x:c>
      <x:c r="AB855" s="9" t="str">
        <x:v>2025-06-30</x:v>
      </x:c>
      <x:c r="AC855" s="8" t="str">
        <x:v>41.44</x:v>
      </x:c>
      <x:c r="AD855" s="9" t="str">
        <x:v>2025 (Susenas)</x:v>
      </x:c>
      <x:c r="AE855" s="8" t="str">
        <x:v>19.71</x:v>
      </x:c>
      <x:c r="AF855" s="9" t="str">
        <x:v>Maret 2025 (Susenas)</x:v>
      </x:c>
      <x:c r="AG855" s="6" t="str">
        <x:v>26.604782208645616</x:v>
      </x:c>
      <x:c r="AH855" s="8" t="str">
        <x:v>90.49666640376311</x:v>
      </x:c>
      <x:c r="AI855" s="6" t="str">
        <x:v>184.49074927057336</x:v>
      </x:c>
      <x:c r="AJ855" s="6" t="str">
        <x:v>0.325646491911236</x:v>
      </x:c>
      <x:c r="AK855" s="8" t="str">
        <x:v>1.0736663926001335</x:v>
      </x:c>
      <x:c r="AL855" s="6" t="str">
        <x:v>0.7499412096523548</x:v>
      </x:c>
      <x:c r="AM855" s="6" t="str">
        <x:v>0.459164617878929</x:v>
      </x:c>
      <x:c r="AN855" s="6" t="str">
        <x:v>0.7609240733771393</x:v>
      </x:c>
      <x:c r="AO855" s="6" t="str">
        <x:v>0.1039847145137429</x:v>
      </x:c>
      <x:c r="AP855" s="8" t="str">
        <x:v>0.0872385942571867</x:v>
      </x:c>
      <x:c r="AQ855" s="6" t="str">
        <x:v>0.544877106791401</x:v>
      </x:c>
      <x:c r="AR855" s="6" t="str">
        <x:v>1.0094467455895697</x:v>
      </x:c>
      <x:c r="AS855" s="6" t="str">
        <x:v>0.5471874822127188</x:v>
      </x:c>
      <x:c r="AT855" s="6" t="str">
        <x:v>-100.6275505931102</x:v>
      </x:c>
      <x:c r="AU855" s="8" t="str">
        <x:v>-1.1364215448750026</x:v>
      </x:c>
      <x:c r="AV855" s="6" t="str">
        <x:v>1.0484072891280778</x:v>
      </x:c>
      <x:c r="AW855" s="6" t="str">
        <x:v>1.1587680794098978</x:v>
      </x:c>
      <x:c r="AX855" s="6" t="str">
        <x:v>0.3569179412209907</x:v>
      </x:c>
      <x:c r="AY855" s="6" t="str">
        <x:v>0</x:v>
      </x:c>
      <x:c r="AZ855" s="6" t="str">
        <x:v>1</x:v>
      </x:c>
      <x:c r="BA855" s="9" t="str">
        <x:v>grid_cells_within_BIG_polygon</x:v>
      </x:c>
      <x:c r="BB855" s="6" t="str">
        <x:v>29</x:v>
      </x:c>
      <x:c r="BC855" s="6" t="str">
        <x:v>0</x:v>
      </x:c>
      <x:c r="BD855" s="6" t="str">
        <x:v>0</x:v>
      </x:c>
      <x:c r="BE855" s="6" t="str">
        <x:v>0</x:v>
      </x:c>
      <x:c r="BF855" s="6" t="str">
        <x:v>0</x:v>
      </x:c>
      <x:c r="BG855" s="6" t="str">
        <x:v>0</x:v>
      </x:c>
      <x:c r="BH855" s="6" t="str">
        <x:v>0</x:v>
      </x:c>
      <x:c r="BI855" s="6" t="str">
        <x:v>0</x:v>
      </x:c>
      <x:c r="BJ855" s="6" t="str">
        <x:v>0</x:v>
      </x:c>
      <x:c r="BK855" s="6" t="str">
        <x:v>0</x:v>
      </x:c>
      <x:c r="BL855" s="6" t="str">
        <x:v>0</x:v>
      </x:c>
      <x:c r="BM855" s="6" t="str">
        <x:v>0</x:v>
      </x:c>
      <x:c r="BN855" s="6" t="str">
        <x:v>0</x:v>
      </x:c>
      <x:c r="BO855" s="6" t="str"/>
      <x:c r="BP855" s="6" t="str">
        <x:v>0</x:v>
      </x:c>
      <x:c r="BQ855" s="6" t="str"/>
      <x:c r="BR855" s="6" t="str">
        <x:v>0</x:v>
      </x:c>
      <x:c r="BS855" s="6" t="str"/>
      <x:c r="BT855" s="6" t="str">
        <x:v>0</x:v>
      </x:c>
      <x:c r="BU855" s="6" t="str"/>
      <x:c r="BV855" s="6" t="str">
        <x:v>0</x:v>
      </x:c>
      <x:c r="BW855" s="9" t="str">
        <x:v>operational_snapshot_annual_totals_may_differ</x:v>
      </x:c>
      <x:c r="BX855" s="9" t="str">
        <x:v>official_live_dashboard_snapshot_subject_to_revision</x:v>
      </x:c>
      <x:c r="BY855" s="9" t="str">
        <x:v>https://tbdashboard.sitb.id/ss_data_tbc03so_2025_provinsi_bulanan_list.php</x:v>
      </x:c>
      <x:c r="BZ855" s="6" t="n">
        <x:v>46246.610671296294</x:v>
      </x:c>
    </x:row>
    <x:row r="856" ht="18" customHeight="1">
      <x:c r="A856" s="6" t="str">
        <x:v>95</x:v>
      </x:c>
      <x:c r="B856" s="6" t="str">
        <x:v>PAPUA SELATAN</x:v>
      </x:c>
      <x:c r="C856" s="6" t="str">
        <x:v>2025</x:v>
      </x:c>
      <x:c r="D856" s="6" t="str">
        <x:v>3</x:v>
      </x:c>
      <x:c r="E856" s="6" t="str">
        <x:v>2025-03</x:v>
      </x:c>
      <x:c r="F856" s="6" t="str">
        <x:v>399</x:v>
      </x:c>
      <x:c r="G856" s="6" t="str">
        <x:v>40</x:v>
      </x:c>
      <x:c r="H856" s="6" t="str">
        <x:v>228</x:v>
      </x:c>
      <x:c r="I856" s="6" t="str">
        <x:v>39</x:v>
      </x:c>
      <x:c r="J856" s="6" t="str">
        <x:v>15</x:v>
      </x:c>
      <x:c r="K856" s="6" t="str">
        <x:v>0</x:v>
      </x:c>
      <x:c r="L856" s="6" t="str">
        <x:v>1</x:v>
      </x:c>
      <x:c r="M856" s="6" t="str">
        <x:v>76</x:v>
      </x:c>
      <x:c r="N856" s="6" t="str">
        <x:v>399</x:v>
      </x:c>
      <x:c r="O856" s="6" t="str">
        <x:v>0</x:v>
      </x:c>
      <x:c r="P856" s="10" t="n">
        <x:f>F856-M856</x:f>
        <x:v>323</x:v>
      </x:c>
      <x:c r="Q856" s="11" t="n">
        <x:f>IFERROR(M856/F856,"")</x:f>
        <x:v>0.19047619047619047</x:v>
      </x:c>
      <x:c r="R856" s="10" t="n">
        <x:f>G856+H856</x:f>
        <x:v>268</x:v>
      </x:c>
      <x:c r="S856" s="11" t="n">
        <x:f>IFERROR(R856/F856,"")</x:f>
        <x:v>0.6716791979949874</x:v>
      </x:c>
      <x:c r="T856" s="11" t="n">
        <x:f>IFERROR(R856/P856,"")</x:f>
        <x:v>0.8297213622291022</x:v>
      </x:c>
      <x:c r="U856" s="10" t="n">
        <x:f>I856+J856+K856</x:f>
        <x:v>54</x:v>
      </x:c>
      <x:c r="V856" s="11" t="n">
        <x:f>IFERROR(U856/P856,"")</x:f>
        <x:v>0.16718266253869968</x:v>
      </x:c>
      <x:c r="W856" s="9" t="str">
        <x:v>provisional_gt_5pct_pending</x:v>
      </x:c>
      <x:c r="X856" s="12" t="n">
        <x:f>IFERROR(F856/Z856*100000,"")</x:f>
        <x:v>72.58504638893942</x:v>
      </x:c>
      <x:c r="Y856" s="13" t="n">
        <x:f>LN(Z856)</x:f>
        <x:v>13.217127953848752</x:v>
      </x:c>
      <x:c r="Z856" s="6" t="str">
        <x:v>549700</x:v>
      </x:c>
      <x:c r="AA856" s="6" t="str">
        <x:v>5.0</x:v>
      </x:c>
      <x:c r="AB856" s="9" t="str">
        <x:v>2025-06-30</x:v>
      </x:c>
      <x:c r="AC856" s="8" t="str">
        <x:v>41.44</x:v>
      </x:c>
      <x:c r="AD856" s="9" t="str">
        <x:v>2025 (Susenas)</x:v>
      </x:c>
      <x:c r="AE856" s="8" t="str">
        <x:v>19.71</x:v>
      </x:c>
      <x:c r="AF856" s="9" t="str">
        <x:v>Maret 2025 (Susenas)</x:v>
      </x:c>
      <x:c r="AG856" s="6" t="str">
        <x:v>26.67226656697872</x:v>
      </x:c>
      <x:c r="AH856" s="8" t="str">
        <x:v>91.354377687392</x:v>
      </x:c>
      <x:c r="AI856" s="6" t="str">
        <x:v>441.0541599837153</x:v>
      </x:c>
      <x:c r="AJ856" s="6" t="str">
        <x:v>0.4133242932390679</x:v>
      </x:c>
      <x:c r="AK856" s="8" t="str">
        <x:v>1.617982051784195</x:v>
      </x:c>
      <x:c r="AL856" s="6" t="str">
        <x:v>1.0736663926001335</x:v>
      </x:c>
      <x:c r="AM856" s="6" t="str">
        <x:v>0.7499412096523548</x:v>
      </x:c>
      <x:c r="AN856" s="6" t="str">
        <x:v>1.1471965513455613</x:v>
      </x:c>
      <x:c r="AO856" s="6" t="str">
        <x:v>0.9950435049882174</x:v>
      </x:c>
      <x:c r="AP856" s="8" t="str">
        <x:v>0.6614842603222749</x:v>
      </x:c>
      <x:c r="AQ856" s="6" t="str">
        <x:v>0.0872385942571867</x:v>
      </x:c>
      <x:c r="AR856" s="6" t="str">
        <x:v>0.544877106791401</x:v>
      </x:c>
      <x:c r="AS856" s="6" t="str">
        <x:v>0.4311999871236207</x:v>
      </x:c>
      <x:c r="AT856" s="6" t="str">
        <x:v>99.64369365132</x:v>
      </x:c>
      <x:c r="AU856" s="8" t="str">
        <x:v>0.7251648531679853</x:v>
      </x:c>
      <x:c r="AV856" s="6" t="str">
        <x:v>-1.1364215448750026</x:v>
      </x:c>
      <x:c r="AW856" s="6" t="str">
        <x:v>1.0484072891280778</x:v>
      </x:c>
      <x:c r="AX856" s="6" t="str">
        <x:v>0.2123835324736866</x:v>
      </x:c>
      <x:c r="AY856" s="6" t="str">
        <x:v>0</x:v>
      </x:c>
      <x:c r="AZ856" s="6" t="str">
        <x:v>1</x:v>
      </x:c>
      <x:c r="BA856" s="9" t="str">
        <x:v>grid_cells_within_BIG_polygon</x:v>
      </x:c>
      <x:c r="BB856" s="6" t="str">
        <x:v>29</x:v>
      </x:c>
      <x:c r="BC856" s="6" t="str">
        <x:v>0</x:v>
      </x:c>
      <x:c r="BD856" s="6" t="str">
        <x:v>0</x:v>
      </x:c>
      <x:c r="BE856" s="6" t="str">
        <x:v>0</x:v>
      </x:c>
      <x:c r="BF856" s="6" t="str">
        <x:v>0</x:v>
      </x:c>
      <x:c r="BG856" s="6" t="str">
        <x:v>0</x:v>
      </x:c>
      <x:c r="BH856" s="6" t="str">
        <x:v>0</x:v>
      </x:c>
      <x:c r="BI856" s="6" t="str">
        <x:v>0</x:v>
      </x:c>
      <x:c r="BJ856" s="6" t="str">
        <x:v>0</x:v>
      </x:c>
      <x:c r="BK856" s="6" t="str">
        <x:v>0</x:v>
      </x:c>
      <x:c r="BL856" s="6" t="str">
        <x:v>0</x:v>
      </x:c>
      <x:c r="BM856" s="6" t="str">
        <x:v>0</x:v>
      </x:c>
      <x:c r="BN856" s="6" t="str">
        <x:v>0</x:v>
      </x:c>
      <x:c r="BO856" s="6" t="str"/>
      <x:c r="BP856" s="6" t="str">
        <x:v>0</x:v>
      </x:c>
      <x:c r="BQ856" s="6" t="str"/>
      <x:c r="BR856" s="6" t="str">
        <x:v>0</x:v>
      </x:c>
      <x:c r="BS856" s="6" t="str"/>
      <x:c r="BT856" s="6" t="str">
        <x:v>0</x:v>
      </x:c>
      <x:c r="BU856" s="6" t="str"/>
      <x:c r="BV856" s="6" t="str">
        <x:v>0</x:v>
      </x:c>
      <x:c r="BW856" s="9" t="str">
        <x:v>operational_snapshot_annual_totals_may_differ</x:v>
      </x:c>
      <x:c r="BX856" s="9" t="str">
        <x:v>official_live_dashboard_snapshot_subject_to_revision</x:v>
      </x:c>
      <x:c r="BY856" s="9" t="str">
        <x:v>https://tbdashboard.sitb.id/ss_data_tbc03so_2025_provinsi_bulanan_list.php</x:v>
      </x:c>
      <x:c r="BZ856" s="6" t="n">
        <x:v>46246.610671296294</x:v>
      </x:c>
    </x:row>
    <x:row r="857" ht="18" customHeight="1">
      <x:c r="A857" s="6" t="str">
        <x:v>95</x:v>
      </x:c>
      <x:c r="B857" s="6" t="str">
        <x:v>PAPUA SELATAN</x:v>
      </x:c>
      <x:c r="C857" s="6" t="str">
        <x:v>2025</x:v>
      </x:c>
      <x:c r="D857" s="6" t="str">
        <x:v>4</x:v>
      </x:c>
      <x:c r="E857" s="6" t="str">
        <x:v>2025-04</x:v>
      </x:c>
      <x:c r="F857" s="6" t="str">
        <x:v>354</x:v>
      </x:c>
      <x:c r="G857" s="6" t="str">
        <x:v>40</x:v>
      </x:c>
      <x:c r="H857" s="6" t="str">
        <x:v>194</x:v>
      </x:c>
      <x:c r="I857" s="6" t="str">
        <x:v>29</x:v>
      </x:c>
      <x:c r="J857" s="6" t="str">
        <x:v>13</x:v>
      </x:c>
      <x:c r="K857" s="6" t="str">
        <x:v>0</x:v>
      </x:c>
      <x:c r="L857" s="6" t="str">
        <x:v>0</x:v>
      </x:c>
      <x:c r="M857" s="6" t="str">
        <x:v>78</x:v>
      </x:c>
      <x:c r="N857" s="6" t="str">
        <x:v>354</x:v>
      </x:c>
      <x:c r="O857" s="6" t="str">
        <x:v>0</x:v>
      </x:c>
      <x:c r="P857" s="10" t="n">
        <x:f>F857-M857</x:f>
        <x:v>276</x:v>
      </x:c>
      <x:c r="Q857" s="11" t="n">
        <x:f>IFERROR(M857/F857,"")</x:f>
        <x:v>0.22033898305084745</x:v>
      </x:c>
      <x:c r="R857" s="10" t="n">
        <x:f>G857+H857</x:f>
        <x:v>234</x:v>
      </x:c>
      <x:c r="S857" s="11" t="n">
        <x:f>IFERROR(R857/F857,"")</x:f>
        <x:v>0.6610169491525424</x:v>
      </x:c>
      <x:c r="T857" s="11" t="n">
        <x:f>IFERROR(R857/P857,"")</x:f>
        <x:v>0.8478260869565217</x:v>
      </x:c>
      <x:c r="U857" s="10" t="n">
        <x:f>I857+J857+K857</x:f>
        <x:v>42</x:v>
      </x:c>
      <x:c r="V857" s="11" t="n">
        <x:f>IFERROR(U857/P857,"")</x:f>
        <x:v>0.15217391304347827</x:v>
      </x:c>
      <x:c r="W857" s="9" t="str">
        <x:v>provisional_gt_5pct_pending</x:v>
      </x:c>
      <x:c r="X857" s="12" t="n">
        <x:f>IFERROR(F857/Z857*100000,"")</x:f>
        <x:v>64.39876296161543</x:v>
      </x:c>
      <x:c r="Y857" s="13" t="n">
        <x:f>LN(Z857)</x:f>
        <x:v>13.217127953848752</x:v>
      </x:c>
      <x:c r="Z857" s="6" t="str">
        <x:v>549700</x:v>
      </x:c>
      <x:c r="AA857" s="6" t="str">
        <x:v>5.0</x:v>
      </x:c>
      <x:c r="AB857" s="9" t="str">
        <x:v>2025-06-30</x:v>
      </x:c>
      <x:c r="AC857" s="8" t="str">
        <x:v>41.44</x:v>
      </x:c>
      <x:c r="AD857" s="9" t="str">
        <x:v>2025 (Susenas)</x:v>
      </x:c>
      <x:c r="AE857" s="8" t="str">
        <x:v>19.71</x:v>
      </x:c>
      <x:c r="AF857" s="9" t="str">
        <x:v>Maret 2025 (Susenas)</x:v>
      </x:c>
      <x:c r="AG857" s="6" t="str">
        <x:v>26.370955933500674</x:v>
      </x:c>
      <x:c r="AH857" s="8" t="str">
        <x:v>91.69256126191551</x:v>
      </x:c>
      <x:c r="AI857" s="6" t="str">
        <x:v>396.9031779396981</x:v>
      </x:c>
      <x:c r="AJ857" s="6" t="str">
        <x:v>0.1788030517947128</x:v>
      </x:c>
      <x:c r="AK857" s="8" t="str">
        <x:v>0.5600245421226495</x:v>
      </x:c>
      <x:c r="AL857" s="6" t="str">
        <x:v>1.617982051784195</x:v>
      </x:c>
      <x:c r="AM857" s="6" t="str">
        <x:v>1.0736663926001335</x:v>
      </x:c>
      <x:c r="AN857" s="6" t="str">
        <x:v>1.0838909955023264</x:v>
      </x:c>
      <x:c r="AO857" s="6" t="str">
        <x:v>1.000960340256796</x:v>
      </x:c>
      <x:c r="AP857" s="8" t="str">
        <x:v>0.684024423532322</x:v>
      </x:c>
      <x:c r="AQ857" s="6" t="str">
        <x:v>0.6614842603222749</x:v>
      </x:c>
      <x:c r="AR857" s="6" t="str">
        <x:v>0.0872385942571867</x:v>
      </x:c>
      <x:c r="AS857" s="6" t="str">
        <x:v>0.477582426037261</x:v>
      </x:c>
      <x:c r="AT857" s="6" t="str">
        <x:v>82.7287840931815</x:v>
      </x:c>
      <x:c r="AU857" s="8" t="str">
        <x:v>0.8355332171972829</x:v>
      </x:c>
      <x:c r="AV857" s="6" t="str">
        <x:v>0.7251648531679853</x:v>
      </x:c>
      <x:c r="AW857" s="6" t="str">
        <x:v>-1.1364215448750026</x:v>
      </x:c>
      <x:c r="AX857" s="6" t="str">
        <x:v>0.1414255084967549</x:v>
      </x:c>
      <x:c r="AY857" s="6" t="str">
        <x:v>0</x:v>
      </x:c>
      <x:c r="AZ857" s="6" t="str">
        <x:v>0</x:v>
      </x:c>
      <x:c r="BA857" s="9" t="str">
        <x:v>grid_cells_within_BIG_polygon</x:v>
      </x:c>
      <x:c r="BB857" s="6" t="str">
        <x:v>29</x:v>
      </x:c>
      <x:c r="BC857" s="6" t="str">
        <x:v>0</x:v>
      </x:c>
      <x:c r="BD857" s="6" t="str">
        <x:v>0</x:v>
      </x:c>
      <x:c r="BE857" s="6" t="str">
        <x:v>0</x:v>
      </x:c>
      <x:c r="BF857" s="6" t="str">
        <x:v>0</x:v>
      </x:c>
      <x:c r="BG857" s="6" t="str">
        <x:v>0</x:v>
      </x:c>
      <x:c r="BH857" s="6" t="str">
        <x:v>0</x:v>
      </x:c>
      <x:c r="BI857" s="6" t="str">
        <x:v>0</x:v>
      </x:c>
      <x:c r="BJ857" s="6" t="str">
        <x:v>0</x:v>
      </x:c>
      <x:c r="BK857" s="6" t="str">
        <x:v>0</x:v>
      </x:c>
      <x:c r="BL857" s="6" t="str">
        <x:v>0</x:v>
      </x:c>
      <x:c r="BM857" s="6" t="str">
        <x:v>0</x:v>
      </x:c>
      <x:c r="BN857" s="6" t="str">
        <x:v>0</x:v>
      </x:c>
      <x:c r="BO857" s="6" t="str"/>
      <x:c r="BP857" s="6" t="str">
        <x:v>0</x:v>
      </x:c>
      <x:c r="BQ857" s="6" t="str"/>
      <x:c r="BR857" s="6" t="str">
        <x:v>0</x:v>
      </x:c>
      <x:c r="BS857" s="6" t="str"/>
      <x:c r="BT857" s="6" t="str">
        <x:v>0</x:v>
      </x:c>
      <x:c r="BU857" s="6" t="str"/>
      <x:c r="BV857" s="6" t="str">
        <x:v>0</x:v>
      </x:c>
      <x:c r="BW857" s="9" t="str">
        <x:v>operational_snapshot_annual_totals_may_differ</x:v>
      </x:c>
      <x:c r="BX857" s="9" t="str">
        <x:v>official_live_dashboard_snapshot_subject_to_revision</x:v>
      </x:c>
      <x:c r="BY857" s="9" t="str">
        <x:v>https://tbdashboard.sitb.id/ss_data_tbc03so_2025_provinsi_bulanan_list.php</x:v>
      </x:c>
      <x:c r="BZ857" s="6" t="n">
        <x:v>46246.610671296294</x:v>
      </x:c>
    </x:row>
    <x:row r="858" ht="18" customHeight="1">
      <x:c r="A858" s="6" t="str">
        <x:v>95</x:v>
      </x:c>
      <x:c r="B858" s="6" t="str">
        <x:v>PAPUA SELATAN</x:v>
      </x:c>
      <x:c r="C858" s="6" t="str">
        <x:v>2025</x:v>
      </x:c>
      <x:c r="D858" s="6" t="str">
        <x:v>5</x:v>
      </x:c>
      <x:c r="E858" s="6" t="str">
        <x:v>2025-05</x:v>
      </x:c>
      <x:c r="F858" s="6" t="str">
        <x:v>463</x:v>
      </x:c>
      <x:c r="G858" s="6" t="str">
        <x:v>38</x:v>
      </x:c>
      <x:c r="H858" s="6" t="str">
        <x:v>255</x:v>
      </x:c>
      <x:c r="I858" s="6" t="str">
        <x:v>35</x:v>
      </x:c>
      <x:c r="J858" s="6" t="str">
        <x:v>18</x:v>
      </x:c>
      <x:c r="K858" s="6" t="str">
        <x:v>0</x:v>
      </x:c>
      <x:c r="L858" s="6" t="str">
        <x:v>0</x:v>
      </x:c>
      <x:c r="M858" s="6" t="str">
        <x:v>117</x:v>
      </x:c>
      <x:c r="N858" s="6" t="str">
        <x:v>463</x:v>
      </x:c>
      <x:c r="O858" s="6" t="str">
        <x:v>0</x:v>
      </x:c>
      <x:c r="P858" s="10" t="n">
        <x:f>F858-M858</x:f>
        <x:v>346</x:v>
      </x:c>
      <x:c r="Q858" s="11" t="n">
        <x:f>IFERROR(M858/F858,"")</x:f>
        <x:v>0.2526997840172786</x:v>
      </x:c>
      <x:c r="R858" s="10" t="n">
        <x:f>G858+H858</x:f>
        <x:v>293</x:v>
      </x:c>
      <x:c r="S858" s="11" t="n">
        <x:f>IFERROR(R858/F858,"")</x:f>
        <x:v>0.6328293736501079</x:v>
      </x:c>
      <x:c r="T858" s="11" t="n">
        <x:f>IFERROR(R858/P858,"")</x:f>
        <x:v>0.846820809248555</x:v>
      </x:c>
      <x:c r="U858" s="10" t="n">
        <x:f>I858+J858+K858</x:f>
        <x:v>53</x:v>
      </x:c>
      <x:c r="V858" s="11" t="n">
        <x:f>IFERROR(U858/P858,"")</x:f>
        <x:v>0.1531791907514451</x:v>
      </x:c>
      <x:c r="W858" s="9" t="str">
        <x:v>provisional_gt_5pct_pending</x:v>
      </x:c>
      <x:c r="X858" s="12" t="n">
        <x:f>IFERROR(F858/Z858*100000,"")</x:f>
        <x:v>84.22776059668911</x:v>
      </x:c>
      <x:c r="Y858" s="13" t="n">
        <x:f>LN(Z858)</x:f>
        <x:v>13.217127953848752</x:v>
      </x:c>
      <x:c r="Z858" s="6" t="str">
        <x:v>549700</x:v>
      </x:c>
      <x:c r="AA858" s="6" t="str">
        <x:v>5.0</x:v>
      </x:c>
      <x:c r="AB858" s="9" t="str">
        <x:v>2025-06-30</x:v>
      </x:c>
      <x:c r="AC858" s="8" t="str">
        <x:v>41.44</x:v>
      </x:c>
      <x:c r="AD858" s="9" t="str">
        <x:v>2025 (Susenas)</x:v>
      </x:c>
      <x:c r="AE858" s="8" t="str">
        <x:v>19.71</x:v>
      </x:c>
      <x:c r="AF858" s="9" t="str">
        <x:v>Maret 2025 (Susenas)</x:v>
      </x:c>
      <x:c r="AG858" s="6" t="str">
        <x:v>26.47624486528225</x:v>
      </x:c>
      <x:c r="AH858" s="8" t="str">
        <x:v>93.0185050975956</x:v>
      </x:c>
      <x:c r="AI858" s="6" t="str">
        <x:v>375.8004302561084</x:v>
      </x:c>
      <x:c r="AJ858" s="6" t="str">
        <x:v>0.5433395078040526</x:v>
      </x:c>
      <x:c r="AK858" s="8" t="str">
        <x:v>1.0762894651895336</x:v>
      </x:c>
      <x:c r="AL858" s="6" t="str">
        <x:v>0.5600245421226495</x:v>
      </x:c>
      <x:c r="AM858" s="6" t="str">
        <x:v>1.617982051784195</x:v>
      </x:c>
      <x:c r="AN858" s="6" t="str">
        <x:v>1.0847653530321264</x:v>
      </x:c>
      <x:c r="AO858" s="6" t="str">
        <x:v>2.981304124687611</x:v>
      </x:c>
      <x:c r="AP858" s="8" t="str">
        <x:v>0.8697297476790566</x:v>
      </x:c>
      <x:c r="AQ858" s="6" t="str">
        <x:v>0.684024423532322</x:v>
      </x:c>
      <x:c r="AR858" s="6" t="str">
        <x:v>0.6614842603222749</x:v>
      </x:c>
      <x:c r="AS858" s="6" t="str">
        <x:v>0.7384128105112175</x:v>
      </x:c>
      <x:c r="AT858" s="6" t="str">
        <x:v>131.99589687114738</x:v>
      </x:c>
      <x:c r="AU858" s="8" t="str">
        <x:v>1.21476797840907</x:v>
      </x:c>
      <x:c r="AV858" s="6" t="str">
        <x:v>0.8355332171972829</x:v>
      </x:c>
      <x:c r="AW858" s="6" t="str">
        <x:v>0.7251648531679853</x:v>
      </x:c>
      <x:c r="AX858" s="6" t="str">
        <x:v>0.925155349591446</x:v>
      </x:c>
      <x:c r="AY858" s="6" t="str">
        <x:v>1</x:v>
      </x:c>
      <x:c r="AZ858" s="6" t="str">
        <x:v>1</x:v>
      </x:c>
      <x:c r="BA858" s="9" t="str">
        <x:v>grid_cells_within_BIG_polygon</x:v>
      </x:c>
      <x:c r="BB858" s="6" t="str">
        <x:v>29</x:v>
      </x:c>
      <x:c r="BC858" s="6" t="str">
        <x:v>0</x:v>
      </x:c>
      <x:c r="BD858" s="6" t="str">
        <x:v>0</x:v>
      </x:c>
      <x:c r="BE858" s="6" t="str">
        <x:v>0</x:v>
      </x:c>
      <x:c r="BF858" s="6" t="str">
        <x:v>0</x:v>
      </x:c>
      <x:c r="BG858" s="6" t="str">
        <x:v>0</x:v>
      </x:c>
      <x:c r="BH858" s="6" t="str">
        <x:v>0</x:v>
      </x:c>
      <x:c r="BI858" s="6" t="str">
        <x:v>0</x:v>
      </x:c>
      <x:c r="BJ858" s="6" t="str">
        <x:v>0</x:v>
      </x:c>
      <x:c r="BK858" s="6" t="str">
        <x:v>0</x:v>
      </x:c>
      <x:c r="BL858" s="6" t="str">
        <x:v>0</x:v>
      </x:c>
      <x:c r="BM858" s="6" t="str">
        <x:v>0</x:v>
      </x:c>
      <x:c r="BN858" s="6" t="str">
        <x:v>0</x:v>
      </x:c>
      <x:c r="BO858" s="6" t="str"/>
      <x:c r="BP858" s="6" t="str">
        <x:v>0</x:v>
      </x:c>
      <x:c r="BQ858" s="6" t="str"/>
      <x:c r="BR858" s="6" t="str">
        <x:v>0</x:v>
      </x:c>
      <x:c r="BS858" s="6" t="str"/>
      <x:c r="BT858" s="6" t="str">
        <x:v>0</x:v>
      </x:c>
      <x:c r="BU858" s="6" t="str"/>
      <x:c r="BV858" s="6" t="str">
        <x:v>0</x:v>
      </x:c>
      <x:c r="BW858" s="9" t="str">
        <x:v>operational_snapshot_annual_totals_may_differ</x:v>
      </x:c>
      <x:c r="BX858" s="9" t="str">
        <x:v>official_live_dashboard_snapshot_subject_to_revision</x:v>
      </x:c>
      <x:c r="BY858" s="9" t="str">
        <x:v>https://tbdashboard.sitb.id/ss_data_tbc03so_2025_provinsi_bulanan_list.php</x:v>
      </x:c>
      <x:c r="BZ858" s="6" t="n">
        <x:v>46246.610671296294</x:v>
      </x:c>
    </x:row>
    <x:row r="859" ht="18" customHeight="1">
      <x:c r="A859" s="6" t="str">
        <x:v>95</x:v>
      </x:c>
      <x:c r="B859" s="6" t="str">
        <x:v>PAPUA SELATAN</x:v>
      </x:c>
      <x:c r="C859" s="6" t="str">
        <x:v>2025</x:v>
      </x:c>
      <x:c r="D859" s="6" t="str">
        <x:v>6</x:v>
      </x:c>
      <x:c r="E859" s="6" t="str">
        <x:v>2025-06</x:v>
      </x:c>
      <x:c r="F859" s="6" t="str">
        <x:v>366</x:v>
      </x:c>
      <x:c r="G859" s="6" t="str">
        <x:v>39</x:v>
      </x:c>
      <x:c r="H859" s="6" t="str">
        <x:v>167</x:v>
      </x:c>
      <x:c r="I859" s="6" t="str">
        <x:v>32</x:v>
      </x:c>
      <x:c r="J859" s="6" t="str">
        <x:v>19</x:v>
      </x:c>
      <x:c r="K859" s="6" t="str">
        <x:v>0</x:v>
      </x:c>
      <x:c r="L859" s="6" t="str">
        <x:v>1</x:v>
      </x:c>
      <x:c r="M859" s="6" t="str">
        <x:v>108</x:v>
      </x:c>
      <x:c r="N859" s="6" t="str">
        <x:v>366</x:v>
      </x:c>
      <x:c r="O859" s="6" t="str">
        <x:v>0</x:v>
      </x:c>
      <x:c r="P859" s="10" t="n">
        <x:f>F859-M859</x:f>
        <x:v>258</x:v>
      </x:c>
      <x:c r="Q859" s="11" t="n">
        <x:f>IFERROR(M859/F859,"")</x:f>
        <x:v>0.29508196721311475</x:v>
      </x:c>
      <x:c r="R859" s="10" t="n">
        <x:f>G859+H859</x:f>
        <x:v>206</x:v>
      </x:c>
      <x:c r="S859" s="11" t="n">
        <x:f>IFERROR(R859/F859,"")</x:f>
        <x:v>0.5628415300546448</x:v>
      </x:c>
      <x:c r="T859" s="11" t="n">
        <x:f>IFERROR(R859/P859,"")</x:f>
        <x:v>0.7984496124031008</x:v>
      </x:c>
      <x:c r="U859" s="10" t="n">
        <x:f>I859+J859+K859</x:f>
        <x:v>51</x:v>
      </x:c>
      <x:c r="V859" s="11" t="n">
        <x:f>IFERROR(U859/P859,"")</x:f>
        <x:v>0.19767441860465115</x:v>
      </x:c>
      <x:c r="W859" s="9" t="str">
        <x:v>provisional_gt_5pct_pending</x:v>
      </x:c>
      <x:c r="X859" s="12" t="n">
        <x:f>IFERROR(F859/Z859*100000,"")</x:f>
        <x:v>66.58177187556849</x:v>
      </x:c>
      <x:c r="Y859" s="13" t="n">
        <x:f>LN(Z859)</x:f>
        <x:v>13.217127953848752</x:v>
      </x:c>
      <x:c r="Z859" s="6" t="str">
        <x:v>549700</x:v>
      </x:c>
      <x:c r="AA859" s="6" t="str">
        <x:v>5.0</x:v>
      </x:c>
      <x:c r="AB859" s="9" t="str">
        <x:v>2025-06-30</x:v>
      </x:c>
      <x:c r="AC859" s="8" t="str">
        <x:v>41.44</x:v>
      </x:c>
      <x:c r="AD859" s="9" t="str">
        <x:v>2025 (Susenas)</x:v>
      </x:c>
      <x:c r="AE859" s="8" t="str">
        <x:v>19.71</x:v>
      </x:c>
      <x:c r="AF859" s="9" t="str">
        <x:v>Maret 2025 (Susenas)</x:v>
      </x:c>
      <x:c r="AG859" s="6" t="str">
        <x:v>25.954300557282032</x:v>
      </x:c>
      <x:c r="AH859" s="8" t="str">
        <x:v>93.38523609415728</x:v>
      </x:c>
      <x:c r="AI859" s="6" t="str">
        <x:v>536.2063721547986</x:v>
      </x:c>
      <x:c r="AJ859" s="6" t="str">
        <x:v>0.6739400727158547</x:v>
      </x:c>
      <x:c r="AK859" s="8" t="str">
        <x:v>1.264368728662708</x:v>
      </x:c>
      <x:c r="AL859" s="6" t="str">
        <x:v>1.0762894651895336</x:v>
      </x:c>
      <x:c r="AM859" s="6" t="str">
        <x:v>0.5600245421226495</x:v>
      </x:c>
      <x:c r="AN859" s="6" t="str">
        <x:v>0.966894245324964</x:v>
      </x:c>
      <x:c r="AO859" s="6" t="str">
        <x:v>4.001720241229606</x:v>
      </x:c>
      <x:c r="AP859" s="8" t="str">
        <x:v>0.9283246420689556</x:v>
      </x:c>
      <x:c r="AQ859" s="6" t="str">
        <x:v>0.8697297476790566</x:v>
      </x:c>
      <x:c r="AR859" s="6" t="str">
        <x:v>0.684024423532322</x:v>
      </x:c>
      <x:c r="AS859" s="6" t="str">
        <x:v>0.8273596044267778</x:v>
      </x:c>
      <x:c r="AT859" s="6" t="str">
        <x:v>336.5875812317608</x:v>
      </x:c>
      <x:c r="AU859" s="8" t="str">
        <x:v>3.093594153084199</x:v>
      </x:c>
      <x:c r="AV859" s="6" t="str">
        <x:v>1.21476797840907</x:v>
      </x:c>
      <x:c r="AW859" s="6" t="str">
        <x:v>0.8355332171972829</x:v>
      </x:c>
      <x:c r="AX859" s="6" t="str">
        <x:v>1.7146317828968505</x:v>
      </x:c>
      <x:c r="AY859" s="6" t="str">
        <x:v>1</x:v>
      </x:c>
      <x:c r="AZ859" s="6" t="str">
        <x:v>1</x:v>
      </x:c>
      <x:c r="BA859" s="9" t="str">
        <x:v>grid_cells_within_BIG_polygon</x:v>
      </x:c>
      <x:c r="BB859" s="6" t="str">
        <x:v>29</x:v>
      </x:c>
      <x:c r="BC859" s="6" t="str">
        <x:v>0</x:v>
      </x:c>
      <x:c r="BD859" s="6" t="str">
        <x:v>0</x:v>
      </x:c>
      <x:c r="BE859" s="6" t="str">
        <x:v>0</x:v>
      </x:c>
      <x:c r="BF859" s="6" t="str">
        <x:v>0</x:v>
      </x:c>
      <x:c r="BG859" s="6" t="str">
        <x:v>0</x:v>
      </x:c>
      <x:c r="BH859" s="6" t="str">
        <x:v>0</x:v>
      </x:c>
      <x:c r="BI859" s="6" t="str">
        <x:v>0</x:v>
      </x:c>
      <x:c r="BJ859" s="6" t="str">
        <x:v>0</x:v>
      </x:c>
      <x:c r="BK859" s="6" t="str">
        <x:v>0</x:v>
      </x:c>
      <x:c r="BL859" s="6" t="str">
        <x:v>0</x:v>
      </x:c>
      <x:c r="BM859" s="6" t="str">
        <x:v>0</x:v>
      </x:c>
      <x:c r="BN859" s="6" t="str">
        <x:v>0</x:v>
      </x:c>
      <x:c r="BO859" s="6" t="str"/>
      <x:c r="BP859" s="6" t="str">
        <x:v>0</x:v>
      </x:c>
      <x:c r="BQ859" s="6" t="str"/>
      <x:c r="BR859" s="6" t="str">
        <x:v>0</x:v>
      </x:c>
      <x:c r="BS859" s="6" t="str"/>
      <x:c r="BT859" s="6" t="str">
        <x:v>0</x:v>
      </x:c>
      <x:c r="BU859" s="6" t="str"/>
      <x:c r="BV859" s="6" t="str">
        <x:v>0</x:v>
      </x:c>
      <x:c r="BW859" s="9" t="str">
        <x:v>operational_snapshot_annual_totals_may_differ</x:v>
      </x:c>
      <x:c r="BX859" s="9" t="str">
        <x:v>official_live_dashboard_snapshot_subject_to_revision</x:v>
      </x:c>
      <x:c r="BY859" s="9" t="str">
        <x:v>https://tbdashboard.sitb.id/ss_data_tbc03so_2025_provinsi_bulanan_list.php</x:v>
      </x:c>
      <x:c r="BZ859" s="6" t="n">
        <x:v>46246.610671296294</x:v>
      </x:c>
    </x:row>
    <x:row r="860" ht="18" customHeight="1">
      <x:c r="A860" s="6" t="str">
        <x:v>95</x:v>
      </x:c>
      <x:c r="B860" s="6" t="str">
        <x:v>PAPUA SELATAN</x:v>
      </x:c>
      <x:c r="C860" s="6" t="str">
        <x:v>2025</x:v>
      </x:c>
      <x:c r="D860" s="6" t="str">
        <x:v>7</x:v>
      </x:c>
      <x:c r="E860" s="6" t="str">
        <x:v>2025-07</x:v>
      </x:c>
      <x:c r="F860" s="6" t="str">
        <x:v>476</x:v>
      </x:c>
      <x:c r="G860" s="6" t="str">
        <x:v>42</x:v>
      </x:c>
      <x:c r="H860" s="6" t="str">
        <x:v>236</x:v>
      </x:c>
      <x:c r="I860" s="6" t="str">
        <x:v>24</x:v>
      </x:c>
      <x:c r="J860" s="6" t="str">
        <x:v>17</x:v>
      </x:c>
      <x:c r="K860" s="6" t="str">
        <x:v>0</x:v>
      </x:c>
      <x:c r="L860" s="6" t="str">
        <x:v>0</x:v>
      </x:c>
      <x:c r="M860" s="6" t="str">
        <x:v>157</x:v>
      </x:c>
      <x:c r="N860" s="6" t="str">
        <x:v>476</x:v>
      </x:c>
      <x:c r="O860" s="6" t="str">
        <x:v>0</x:v>
      </x:c>
      <x:c r="P860" s="10" t="n">
        <x:f>F860-M860</x:f>
        <x:v>319</x:v>
      </x:c>
      <x:c r="Q860" s="11" t="n">
        <x:f>IFERROR(M860/F860,"")</x:f>
        <x:v>0.32983193277310924</x:v>
      </x:c>
      <x:c r="R860" s="10" t="n">
        <x:f>G860+H860</x:f>
        <x:v>278</x:v>
      </x:c>
      <x:c r="S860" s="11" t="n">
        <x:f>IFERROR(R860/F860,"")</x:f>
        <x:v>0.5840336134453782</x:v>
      </x:c>
      <x:c r="T860" s="11" t="n">
        <x:f>IFERROR(R860/P860,"")</x:f>
        <x:v>0.8714733542319749</x:v>
      </x:c>
      <x:c r="U860" s="10" t="n">
        <x:f>I860+J860+K860</x:f>
        <x:v>41</x:v>
      </x:c>
      <x:c r="V860" s="11" t="n">
        <x:f>IFERROR(U860/P860,"")</x:f>
        <x:v>0.12852664576802508</x:v>
      </x:c>
      <x:c r="W860" s="9" t="str">
        <x:v>provisional_gt_5pct_pending</x:v>
      </x:c>
      <x:c r="X860" s="12" t="n">
        <x:f>IFERROR(F860/Z860*100000,"")</x:f>
        <x:v>86.59268692013826</x:v>
      </x:c>
      <x:c r="Y860" s="13" t="n">
        <x:f>LN(Z860)</x:f>
        <x:v>13.217127953848752</x:v>
      </x:c>
      <x:c r="Z860" s="6" t="str">
        <x:v>549700</x:v>
      </x:c>
      <x:c r="AA860" s="6" t="str">
        <x:v>5.0</x:v>
      </x:c>
      <x:c r="AB860" s="9" t="str">
        <x:v>2025-06-30</x:v>
      </x:c>
      <x:c r="AC860" s="8" t="str">
        <x:v>41.44</x:v>
      </x:c>
      <x:c r="AD860" s="9" t="str">
        <x:v>2025 (Susenas)</x:v>
      </x:c>
      <x:c r="AE860" s="8" t="str">
        <x:v>19.71</x:v>
      </x:c>
      <x:c r="AF860" s="9" t="str">
        <x:v>Maret 2025 (Susenas)</x:v>
      </x:c>
      <x:c r="AG860" s="6" t="str">
        <x:v>25.82422701670213</x:v>
      </x:c>
      <x:c r="AH860" s="8" t="str">
        <x:v>92.57832036896136</x:v>
      </x:c>
      <x:c r="AI860" s="6" t="str">
        <x:v>420.1463852963662</x:v>
      </x:c>
      <x:c r="AJ860" s="6" t="str">
        <x:v>1.1179898156302208</x:v>
      </x:c>
      <x:c r="AK860" s="8" t="str">
        <x:v>1.8463942015614123</x:v>
      </x:c>
      <x:c r="AL860" s="6" t="str">
        <x:v>1.264368728662708</x:v>
      </x:c>
      <x:c r="AM860" s="6" t="str">
        <x:v>1.0762894651895336</x:v>
      </x:c>
      <x:c r="AN860" s="6" t="str">
        <x:v>1.3956841318045516</x:v>
      </x:c>
      <x:c r="AO860" s="6" t="str">
        <x:v>4.612649923821365</x:v>
      </x:c>
      <x:c r="AP860" s="8" t="str">
        <x:v>1.130745193050832</x:v>
      </x:c>
      <x:c r="AQ860" s="6" t="str">
        <x:v>0.9283246420689556</x:v>
      </x:c>
      <x:c r="AR860" s="6" t="str">
        <x:v>0.8697297476790566</x:v>
      </x:c>
      <x:c r="AS860" s="6" t="str">
        <x:v>0.9762665275996144</x:v>
      </x:c>
      <x:c r="AT860" s="6" t="str">
        <x:v>275.26545129075373</x:v>
      </x:c>
      <x:c r="AU860" s="8" t="str">
        <x:v>4.227882544538992</x:v>
      </x:c>
      <x:c r="AV860" s="6" t="str">
        <x:v>3.093594153084199</x:v>
      </x:c>
      <x:c r="AW860" s="6" t="str">
        <x:v>1.21476797840907</x:v>
      </x:c>
      <x:c r="AX860" s="6" t="str">
        <x:v>2.8454148920107536</x:v>
      </x:c>
      <x:c r="AY860" s="6" t="str">
        <x:v>1</x:v>
      </x:c>
      <x:c r="AZ860" s="6" t="str">
        <x:v>1</x:v>
      </x:c>
      <x:c r="BA860" s="9" t="str">
        <x:v>grid_cells_within_BIG_polygon</x:v>
      </x:c>
      <x:c r="BB860" s="6" t="str">
        <x:v>29</x:v>
      </x:c>
      <x:c r="BC860" s="6" t="str">
        <x:v>1</x:v>
      </x:c>
      <x:c r="BD860" s="6" t="str">
        <x:v>1</x:v>
      </x:c>
      <x:c r="BE860" s="6" t="str">
        <x:v>1</x:v>
      </x:c>
      <x:c r="BF860" s="6" t="str">
        <x:v>0</x:v>
      </x:c>
      <x:c r="BG860" s="6" t="str">
        <x:v>0</x:v>
      </x:c>
      <x:c r="BH860" s="6" t="str">
        <x:v>0</x:v>
      </x:c>
      <x:c r="BI860" s="6" t="str">
        <x:v>0</x:v>
      </x:c>
      <x:c r="BJ860" s="6" t="str">
        <x:v>0</x:v>
      </x:c>
      <x:c r="BK860" s="6" t="str">
        <x:v>0</x:v>
      </x:c>
      <x:c r="BL860" s="6" t="str">
        <x:v>0</x:v>
      </x:c>
      <x:c r="BM860" s="6" t="str">
        <x:v>0</x:v>
      </x:c>
      <x:c r="BN860" s="6" t="str">
        <x:v>1</x:v>
      </x:c>
      <x:c r="BO860" s="6" t="str"/>
      <x:c r="BP860" s="6" t="str">
        <x:v>0</x:v>
      </x:c>
      <x:c r="BQ860" s="6" t="str"/>
      <x:c r="BR860" s="6" t="str">
        <x:v>0</x:v>
      </x:c>
      <x:c r="BS860" s="6" t="str">
        <x:v>0.0</x:v>
      </x:c>
      <x:c r="BT860" s="6" t="str">
        <x:v>1</x:v>
      </x:c>
      <x:c r="BU860" s="6" t="str">
        <x:v>348.0</x:v>
      </x:c>
      <x:c r="BV860" s="6" t="str">
        <x:v>1</x:v>
      </x:c>
      <x:c r="BW860" s="9" t="str">
        <x:v>operational_snapshot_annual_totals_may_differ</x:v>
      </x:c>
      <x:c r="BX860" s="9" t="str">
        <x:v>official_live_dashboard_snapshot_subject_to_revision</x:v>
      </x:c>
      <x:c r="BY860" s="9" t="str">
        <x:v>https://tbdashboard.sitb.id/ss_data_tbc03so_2025_provinsi_bulanan_list.php</x:v>
      </x:c>
      <x:c r="BZ860" s="6" t="n">
        <x:v>46246.610671296294</x:v>
      </x:c>
    </x:row>
    <x:row r="861" ht="18" customHeight="1">
      <x:c r="A861" s="6" t="str">
        <x:v>95</x:v>
      </x:c>
      <x:c r="B861" s="6" t="str">
        <x:v>PAPUA SELATAN</x:v>
      </x:c>
      <x:c r="C861" s="6" t="str">
        <x:v>2025</x:v>
      </x:c>
      <x:c r="D861" s="6" t="str">
        <x:v>8</x:v>
      </x:c>
      <x:c r="E861" s="6" t="str">
        <x:v>2025-08</x:v>
      </x:c>
      <x:c r="F861" s="6" t="str">
        <x:v>456</x:v>
      </x:c>
      <x:c r="G861" s="6" t="str">
        <x:v>43</x:v>
      </x:c>
      <x:c r="H861" s="6" t="str">
        <x:v>203</x:v>
      </x:c>
      <x:c r="I861" s="6" t="str">
        <x:v>28</x:v>
      </x:c>
      <x:c r="J861" s="6" t="str">
        <x:v>10</x:v>
      </x:c>
      <x:c r="K861" s="6" t="str">
        <x:v>0</x:v>
      </x:c>
      <x:c r="L861" s="6" t="str">
        <x:v>1</x:v>
      </x:c>
      <x:c r="M861" s="6" t="str">
        <x:v>171</x:v>
      </x:c>
      <x:c r="N861" s="6" t="str">
        <x:v>456</x:v>
      </x:c>
      <x:c r="O861" s="6" t="str">
        <x:v>0</x:v>
      </x:c>
      <x:c r="P861" s="10" t="n">
        <x:f>F861-M861</x:f>
        <x:v>285</x:v>
      </x:c>
      <x:c r="Q861" s="11" t="n">
        <x:f>IFERROR(M861/F861,"")</x:f>
        <x:v>0.375</x:v>
      </x:c>
      <x:c r="R861" s="10" t="n">
        <x:f>G861+H861</x:f>
        <x:v>246</x:v>
      </x:c>
      <x:c r="S861" s="11" t="n">
        <x:f>IFERROR(R861/F861,"")</x:f>
        <x:v>0.5394736842105263</x:v>
      </x:c>
      <x:c r="T861" s="11" t="n">
        <x:f>IFERROR(R861/P861,"")</x:f>
        <x:v>0.8631578947368421</x:v>
      </x:c>
      <x:c r="U861" s="10" t="n">
        <x:f>I861+J861+K861</x:f>
        <x:v>38</x:v>
      </x:c>
      <x:c r="V861" s="11" t="n">
        <x:f>IFERROR(U861/P861,"")</x:f>
        <x:v>0.13333333333333333</x:v>
      </x:c>
      <x:c r="W861" s="9" t="str">
        <x:v>provisional_gt_5pct_pending</x:v>
      </x:c>
      <x:c r="X861" s="12" t="n">
        <x:f>IFERROR(F861/Z861*100000,"")</x:f>
        <x:v>82.95433873021648</x:v>
      </x:c>
      <x:c r="Y861" s="13" t="n">
        <x:f>LN(Z861)</x:f>
        <x:v>13.217127953848752</x:v>
      </x:c>
      <x:c r="Z861" s="6" t="str">
        <x:v>549700</x:v>
      </x:c>
      <x:c r="AA861" s="6" t="str">
        <x:v>5.0</x:v>
      </x:c>
      <x:c r="AB861" s="9" t="str">
        <x:v>2025-06-30</x:v>
      </x:c>
      <x:c r="AC861" s="8" t="str">
        <x:v>41.44</x:v>
      </x:c>
      <x:c r="AD861" s="9" t="str">
        <x:v>2025 (Susenas)</x:v>
      </x:c>
      <x:c r="AE861" s="8" t="str">
        <x:v>19.71</x:v>
      </x:c>
      <x:c r="AF861" s="9" t="str">
        <x:v>Maret 2025 (Susenas)</x:v>
      </x:c>
      <x:c r="AG861" s="6" t="str">
        <x:v>25.399807610356703</x:v>
      </x:c>
      <x:c r="AH861" s="8" t="str">
        <x:v>89.97165296521915</x:v>
      </x:c>
      <x:c r="AI861" s="6" t="str">
        <x:v>217.78727720903757</x:v>
      </x:c>
      <x:c r="AJ861" s="6" t="str">
        <x:v>0.6222698519052585</x:v>
      </x:c>
      <x:c r="AK861" s="8" t="str">
        <x:v>0.9983218226078554</x:v>
      </x:c>
      <x:c r="AL861" s="6" t="str">
        <x:v>1.8463942015614123</x:v>
      </x:c>
      <x:c r="AM861" s="6" t="str">
        <x:v>1.264368728662708</x:v>
      </x:c>
      <x:c r="AN861" s="6" t="str">
        <x:v>1.3696949176106592</x:v>
      </x:c>
      <x:c r="AO861" s="6" t="str">
        <x:v>4.090038195043348</x:v>
      </x:c>
      <x:c r="AP861" s="8" t="str">
        <x:v>0.751921326605331</x:v>
      </x:c>
      <x:c r="AQ861" s="6" t="str">
        <x:v>1.130745193050832</x:v>
      </x:c>
      <x:c r="AR861" s="6" t="str">
        <x:v>0.9283246420689556</x:v>
      </x:c>
      <x:c r="AS861" s="6" t="str">
        <x:v>0.9369970539083728</x:v>
      </x:c>
      <x:c r="AT861" s="6" t="str">
        <x:v>64.48669268417379</x:v>
      </x:c>
      <x:c r="AU861" s="8" t="str">
        <x:v>0.6567963004418131</x:v>
      </x:c>
      <x:c r="AV861" s="6" t="str">
        <x:v>4.227882544538992</x:v>
      </x:c>
      <x:c r="AW861" s="6" t="str">
        <x:v>3.093594153084199</x:v>
      </x:c>
      <x:c r="AX861" s="6" t="str">
        <x:v>2.6594243326883347</x:v>
      </x:c>
      <x:c r="AY861" s="6" t="str">
        <x:v>0</x:v>
      </x:c>
      <x:c r="AZ861" s="6" t="str">
        <x:v>0</x:v>
      </x:c>
      <x:c r="BA861" s="9" t="str">
        <x:v>grid_cells_within_BIG_polygon</x:v>
      </x:c>
      <x:c r="BB861" s="6" t="str">
        <x:v>29</x:v>
      </x:c>
      <x:c r="BC861" s="6" t="str">
        <x:v>0</x:v>
      </x:c>
      <x:c r="BD861" s="6" t="str">
        <x:v>0</x:v>
      </x:c>
      <x:c r="BE861" s="6" t="str">
        <x:v>0</x:v>
      </x:c>
      <x:c r="BF861" s="6" t="str">
        <x:v>0</x:v>
      </x:c>
      <x:c r="BG861" s="6" t="str">
        <x:v>0</x:v>
      </x:c>
      <x:c r="BH861" s="6" t="str">
        <x:v>0</x:v>
      </x:c>
      <x:c r="BI861" s="6" t="str">
        <x:v>0</x:v>
      </x:c>
      <x:c r="BJ861" s="6" t="str">
        <x:v>0</x:v>
      </x:c>
      <x:c r="BK861" s="6" t="str">
        <x:v>0</x:v>
      </x:c>
      <x:c r="BL861" s="6" t="str">
        <x:v>0</x:v>
      </x:c>
      <x:c r="BM861" s="6" t="str">
        <x:v>0</x:v>
      </x:c>
      <x:c r="BN861" s="6" t="str">
        <x:v>0</x:v>
      </x:c>
      <x:c r="BO861" s="6" t="str"/>
      <x:c r="BP861" s="6" t="str">
        <x:v>0</x:v>
      </x:c>
      <x:c r="BQ861" s="6" t="str"/>
      <x:c r="BR861" s="6" t="str">
        <x:v>0</x:v>
      </x:c>
      <x:c r="BS861" s="6" t="str"/>
      <x:c r="BT861" s="6" t="str">
        <x:v>0</x:v>
      </x:c>
      <x:c r="BU861" s="6" t="str"/>
      <x:c r="BV861" s="6" t="str">
        <x:v>0</x:v>
      </x:c>
      <x:c r="BW861" s="9" t="str">
        <x:v>operational_snapshot_annual_totals_may_differ</x:v>
      </x:c>
      <x:c r="BX861" s="9" t="str">
        <x:v>official_live_dashboard_snapshot_subject_to_revision</x:v>
      </x:c>
      <x:c r="BY861" s="9" t="str">
        <x:v>https://tbdashboard.sitb.id/ss_data_tbc03so_2025_provinsi_bulanan_list.php</x:v>
      </x:c>
      <x:c r="BZ861" s="6" t="n">
        <x:v>46246.610671296294</x:v>
      </x:c>
    </x:row>
    <x:row r="862" ht="18" customHeight="1">
      <x:c r="A862" s="6" t="str">
        <x:v>95</x:v>
      </x:c>
      <x:c r="B862" s="6" t="str">
        <x:v>PAPUA SELATAN</x:v>
      </x:c>
      <x:c r="C862" s="6" t="str">
        <x:v>2025</x:v>
      </x:c>
      <x:c r="D862" s="6" t="str">
        <x:v>9</x:v>
      </x:c>
      <x:c r="E862" s="6" t="str">
        <x:v>2025-09</x:v>
      </x:c>
      <x:c r="F862" s="6" t="str">
        <x:v>469</x:v>
      </x:c>
      <x:c r="G862" s="6" t="str">
        <x:v>57</x:v>
      </x:c>
      <x:c r="H862" s="6" t="str">
        <x:v>179</x:v>
      </x:c>
      <x:c r="I862" s="6" t="str">
        <x:v>33</x:v>
      </x:c>
      <x:c r="J862" s="6" t="str">
        <x:v>15</x:v>
      </x:c>
      <x:c r="K862" s="6" t="str">
        <x:v>1</x:v>
      </x:c>
      <x:c r="L862" s="6" t="str">
        <x:v>1</x:v>
      </x:c>
      <x:c r="M862" s="6" t="str">
        <x:v>183</x:v>
      </x:c>
      <x:c r="N862" s="6" t="str">
        <x:v>469</x:v>
      </x:c>
      <x:c r="O862" s="6" t="str">
        <x:v>0</x:v>
      </x:c>
      <x:c r="P862" s="10" t="n">
        <x:f>F862-M862</x:f>
        <x:v>286</x:v>
      </x:c>
      <x:c r="Q862" s="11" t="n">
        <x:f>IFERROR(M862/F862,"")</x:f>
        <x:v>0.39019189765458423</x:v>
      </x:c>
      <x:c r="R862" s="10" t="n">
        <x:f>G862+H862</x:f>
        <x:v>236</x:v>
      </x:c>
      <x:c r="S862" s="11" t="n">
        <x:f>IFERROR(R862/F862,"")</x:f>
        <x:v>0.5031982942430704</x:v>
      </x:c>
      <x:c r="T862" s="11" t="n">
        <x:f>IFERROR(R862/P862,"")</x:f>
        <x:v>0.8251748251748252</x:v>
      </x:c>
      <x:c r="U862" s="10" t="n">
        <x:f>I862+J862+K862</x:f>
        <x:v>49</x:v>
      </x:c>
      <x:c r="V862" s="11" t="n">
        <x:f>IFERROR(U862/P862,"")</x:f>
        <x:v>0.17132867132867133</x:v>
      </x:c>
      <x:c r="W862" s="9" t="str">
        <x:v>provisional_gt_5pct_pending</x:v>
      </x:c>
      <x:c r="X862" s="12" t="n">
        <x:f>IFERROR(F862/Z862*100000,"")</x:f>
        <x:v>85.31926505366563</x:v>
      </x:c>
      <x:c r="Y862" s="13" t="n">
        <x:f>LN(Z862)</x:f>
        <x:v>13.217127953848752</x:v>
      </x:c>
      <x:c r="Z862" s="6" t="str">
        <x:v>549700</x:v>
      </x:c>
      <x:c r="AA862" s="6" t="str">
        <x:v>5.0</x:v>
      </x:c>
      <x:c r="AB862" s="9" t="str">
        <x:v>2025-06-30</x:v>
      </x:c>
      <x:c r="AC862" s="8" t="str">
        <x:v>41.44</x:v>
      </x:c>
      <x:c r="AD862" s="9" t="str">
        <x:v>2025 (Susenas)</x:v>
      </x:c>
      <x:c r="AE862" s="8" t="str">
        <x:v>19.71</x:v>
      </x:c>
      <x:c r="AF862" s="9" t="str">
        <x:v>Maret 2025 (Susenas)</x:v>
      </x:c>
      <x:c r="AG862" s="6" t="str">
        <x:v>25.902797574549947</x:v>
      </x:c>
      <x:c r="AH862" s="8" t="str">
        <x:v>89.99671324801643</x:v>
      </x:c>
      <x:c r="AI862" s="6" t="str">
        <x:v>202.97233707885923</x:v>
      </x:c>
      <x:c r="AJ862" s="6" t="str">
        <x:v>0.2882278763509731</x:v>
      </x:c>
      <x:c r="AK862" s="8" t="str">
        <x:v>0.3928353557100654</x:v>
      </x:c>
      <x:c r="AL862" s="6" t="str">
        <x:v>0.9983218226078554</x:v>
      </x:c>
      <x:c r="AM862" s="6" t="str">
        <x:v>1.8463942015614123</x:v>
      </x:c>
      <x:c r="AN862" s="6" t="str">
        <x:v>1.0791837932931114</x:v>
      </x:c>
      <x:c r="AO862" s="6" t="str">
        <x:v>5.899596679328184</x:v>
      </x:c>
      <x:c r="AP862" s="8" t="str">
        <x:v>0.8356994181564362</x:v>
      </x:c>
      <x:c r="AQ862" s="6" t="str">
        <x:v>0.751921326605331</x:v>
      </x:c>
      <x:c r="AR862" s="6" t="str">
        <x:v>1.130745193050832</x:v>
      </x:c>
      <x:c r="AS862" s="6" t="str">
        <x:v>0.9061219792708662</x:v>
      </x:c>
      <x:c r="AT862" s="6" t="str">
        <x:v>27.25754806698197</x:v>
      </x:c>
      <x:c r="AU862" s="8" t="str">
        <x:v>0.2711678751445996</x:v>
      </x:c>
      <x:c r="AV862" s="6" t="str">
        <x:v>0.6567963004418131</x:v>
      </x:c>
      <x:c r="AW862" s="6" t="str">
        <x:v>4.227882544538992</x:v>
      </x:c>
      <x:c r="AX862" s="6" t="str">
        <x:v>1.7186155733751347</x:v>
      </x:c>
      <x:c r="AY862" s="6" t="str">
        <x:v>0</x:v>
      </x:c>
      <x:c r="AZ862" s="6" t="str">
        <x:v>0</x:v>
      </x:c>
      <x:c r="BA862" s="9" t="str">
        <x:v>grid_cells_within_BIG_polygon</x:v>
      </x:c>
      <x:c r="BB862" s="6" t="str">
        <x:v>29</x:v>
      </x:c>
      <x:c r="BC862" s="6" t="str">
        <x:v>0</x:v>
      </x:c>
      <x:c r="BD862" s="6" t="str">
        <x:v>0</x:v>
      </x:c>
      <x:c r="BE862" s="6" t="str">
        <x:v>0</x:v>
      </x:c>
      <x:c r="BF862" s="6" t="str">
        <x:v>0</x:v>
      </x:c>
      <x:c r="BG862" s="6" t="str">
        <x:v>0</x:v>
      </x:c>
      <x:c r="BH862" s="6" t="str">
        <x:v>0</x:v>
      </x:c>
      <x:c r="BI862" s="6" t="str">
        <x:v>0</x:v>
      </x:c>
      <x:c r="BJ862" s="6" t="str">
        <x:v>0</x:v>
      </x:c>
      <x:c r="BK862" s="6" t="str">
        <x:v>0</x:v>
      </x:c>
      <x:c r="BL862" s="6" t="str">
        <x:v>0</x:v>
      </x:c>
      <x:c r="BM862" s="6" t="str">
        <x:v>0</x:v>
      </x:c>
      <x:c r="BN862" s="6" t="str">
        <x:v>0</x:v>
      </x:c>
      <x:c r="BO862" s="6" t="str"/>
      <x:c r="BP862" s="6" t="str">
        <x:v>0</x:v>
      </x:c>
      <x:c r="BQ862" s="6" t="str"/>
      <x:c r="BR862" s="6" t="str">
        <x:v>0</x:v>
      </x:c>
      <x:c r="BS862" s="6" t="str"/>
      <x:c r="BT862" s="6" t="str">
        <x:v>0</x:v>
      </x:c>
      <x:c r="BU862" s="6" t="str"/>
      <x:c r="BV862" s="6" t="str">
        <x:v>0</x:v>
      </x:c>
      <x:c r="BW862" s="9" t="str">
        <x:v>operational_snapshot_annual_totals_may_differ</x:v>
      </x:c>
      <x:c r="BX862" s="9" t="str">
        <x:v>official_live_dashboard_snapshot_subject_to_revision</x:v>
      </x:c>
      <x:c r="BY862" s="9" t="str">
        <x:v>https://tbdashboard.sitb.id/ss_data_tbc03so_2025_provinsi_bulanan_list.php</x:v>
      </x:c>
      <x:c r="BZ862" s="6" t="n">
        <x:v>46246.610671296294</x:v>
      </x:c>
    </x:row>
    <x:row r="863" ht="18" customHeight="1">
      <x:c r="A863" s="6" t="str">
        <x:v>95</x:v>
      </x:c>
      <x:c r="B863" s="6" t="str">
        <x:v>PAPUA SELATAN</x:v>
      </x:c>
      <x:c r="C863" s="6" t="str">
        <x:v>2025</x:v>
      </x:c>
      <x:c r="D863" s="6" t="str">
        <x:v>10</x:v>
      </x:c>
      <x:c r="E863" s="6" t="str">
        <x:v>2025-10</x:v>
      </x:c>
      <x:c r="F863" s="6" t="str">
        <x:v>404</x:v>
      </x:c>
      <x:c r="G863" s="6" t="str">
        <x:v>39</x:v>
      </x:c>
      <x:c r="H863" s="6" t="str">
        <x:v>159</x:v>
      </x:c>
      <x:c r="I863" s="6" t="str">
        <x:v>29</x:v>
      </x:c>
      <x:c r="J863" s="6" t="str">
        <x:v>10</x:v>
      </x:c>
      <x:c r="K863" s="6" t="str">
        <x:v>1</x:v>
      </x:c>
      <x:c r="L863" s="6" t="str">
        <x:v>2</x:v>
      </x:c>
      <x:c r="M863" s="6" t="str">
        <x:v>164</x:v>
      </x:c>
      <x:c r="N863" s="6" t="str">
        <x:v>404</x:v>
      </x:c>
      <x:c r="O863" s="6" t="str">
        <x:v>0</x:v>
      </x:c>
      <x:c r="P863" s="10" t="n">
        <x:f>F863-M863</x:f>
        <x:v>240</x:v>
      </x:c>
      <x:c r="Q863" s="11" t="n">
        <x:f>IFERROR(M863/F863,"")</x:f>
        <x:v>0.40594059405940597</x:v>
      </x:c>
      <x:c r="R863" s="10" t="n">
        <x:f>G863+H863</x:f>
        <x:v>198</x:v>
      </x:c>
      <x:c r="S863" s="11" t="n">
        <x:f>IFERROR(R863/F863,"")</x:f>
        <x:v>0.4900990099009901</x:v>
      </x:c>
      <x:c r="T863" s="11" t="n">
        <x:f>IFERROR(R863/P863,"")</x:f>
        <x:v>0.825</x:v>
      </x:c>
      <x:c r="U863" s="10" t="n">
        <x:f>I863+J863+K863</x:f>
        <x:v>40</x:v>
      </x:c>
      <x:c r="V863" s="11" t="n">
        <x:f>IFERROR(U863/P863,"")</x:f>
        <x:v>0.16666666666666666</x:v>
      </x:c>
      <x:c r="W863" s="9" t="str">
        <x:v>provisional_gt_5pct_pending</x:v>
      </x:c>
      <x:c r="X863" s="12" t="n">
        <x:f>IFERROR(F863/Z863*100000,"")</x:f>
        <x:v>73.49463343641986</x:v>
      </x:c>
      <x:c r="Y863" s="13" t="n">
        <x:f>LN(Z863)</x:f>
        <x:v>13.217127953848752</x:v>
      </x:c>
      <x:c r="Z863" s="6" t="str">
        <x:v>549700</x:v>
      </x:c>
      <x:c r="AA863" s="6" t="str">
        <x:v>5.0</x:v>
      </x:c>
      <x:c r="AB863" s="9" t="str">
        <x:v>2025-06-30</x:v>
      </x:c>
      <x:c r="AC863" s="8" t="str">
        <x:v>41.44</x:v>
      </x:c>
      <x:c r="AD863" s="9" t="str">
        <x:v>2025 (Susenas)</x:v>
      </x:c>
      <x:c r="AE863" s="8" t="str">
        <x:v>19.71</x:v>
      </x:c>
      <x:c r="AF863" s="9" t="str">
        <x:v>Maret 2025 (Susenas)</x:v>
      </x:c>
      <x:c r="AG863" s="6" t="str">
        <x:v>26.612300049933843</x:v>
      </x:c>
      <x:c r="AH863" s="8" t="str">
        <x:v>90.62194549923852</x:v>
      </x:c>
      <x:c r="AI863" s="6" t="str">
        <x:v>303.409598558492</x:v>
      </x:c>
      <x:c r="AJ863" s="6" t="str">
        <x:v>0.090948910704359</x:v>
      </x:c>
      <x:c r="AK863" s="8" t="str">
        <x:v>0.1335598362355181</x:v>
      </x:c>
      <x:c r="AL863" s="6" t="str">
        <x:v>0.3928353557100654</x:v>
      </x:c>
      <x:c r="AM863" s="6" t="str">
        <x:v>0.9983218226078554</x:v>
      </x:c>
      <x:c r="AN863" s="6" t="str">
        <x:v>0.5082390048511466</x:v>
      </x:c>
      <x:c r="AO863" s="6" t="str">
        <x:v>7.638548507658854</x:v>
      </x:c>
      <x:c r="AP863" s="8" t="str">
        <x:v>0.9595887987014504</x:v>
      </x:c>
      <x:c r="AQ863" s="6" t="str">
        <x:v>0.8356994181564362</x:v>
      </x:c>
      <x:c r="AR863" s="6" t="str">
        <x:v>0.751921326605331</x:v>
      </x:c>
      <x:c r="AS863" s="6" t="str">
        <x:v>0.8490698478210722</x:v>
      </x:c>
      <x:c r="AT863" s="6" t="str">
        <x:v>111.802726066466</x:v>
      </x:c>
      <x:c r="AU863" s="8" t="str">
        <x:v>0.9040833792652876</x:v>
      </x:c>
      <x:c r="AV863" s="6" t="str">
        <x:v>0.2711678751445996</x:v>
      </x:c>
      <x:c r="AW863" s="6" t="str">
        <x:v>0.6567963004418131</x:v>
      </x:c>
      <x:c r="AX863" s="6" t="str">
        <x:v>0.6106825182838999</x:v>
      </x:c>
      <x:c r="AY863" s="6" t="str">
        <x:v>0</x:v>
      </x:c>
      <x:c r="AZ863" s="6" t="str">
        <x:v>0</x:v>
      </x:c>
      <x:c r="BA863" s="9" t="str">
        <x:v>grid_cells_within_BIG_polygon</x:v>
      </x:c>
      <x:c r="BB863" s="6" t="str">
        <x:v>29</x:v>
      </x:c>
      <x:c r="BC863" s="6" t="str">
        <x:v>0</x:v>
      </x:c>
      <x:c r="BD863" s="6" t="str">
        <x:v>0</x:v>
      </x:c>
      <x:c r="BE863" s="6" t="str">
        <x:v>0</x:v>
      </x:c>
      <x:c r="BF863" s="6" t="str">
        <x:v>0</x:v>
      </x:c>
      <x:c r="BG863" s="6" t="str">
        <x:v>0</x:v>
      </x:c>
      <x:c r="BH863" s="6" t="str">
        <x:v>0</x:v>
      </x:c>
      <x:c r="BI863" s="6" t="str">
        <x:v>0</x:v>
      </x:c>
      <x:c r="BJ863" s="6" t="str">
        <x:v>0</x:v>
      </x:c>
      <x:c r="BK863" s="6" t="str">
        <x:v>0</x:v>
      </x:c>
      <x:c r="BL863" s="6" t="str">
        <x:v>0</x:v>
      </x:c>
      <x:c r="BM863" s="6" t="str">
        <x:v>0</x:v>
      </x:c>
      <x:c r="BN863" s="6" t="str">
        <x:v>0</x:v>
      </x:c>
      <x:c r="BO863" s="6" t="str"/>
      <x:c r="BP863" s="6" t="str">
        <x:v>0</x:v>
      </x:c>
      <x:c r="BQ863" s="6" t="str"/>
      <x:c r="BR863" s="6" t="str">
        <x:v>0</x:v>
      </x:c>
      <x:c r="BS863" s="6" t="str"/>
      <x:c r="BT863" s="6" t="str">
        <x:v>0</x:v>
      </x:c>
      <x:c r="BU863" s="6" t="str"/>
      <x:c r="BV863" s="6" t="str">
        <x:v>0</x:v>
      </x:c>
      <x:c r="BW863" s="9" t="str">
        <x:v>operational_snapshot_annual_totals_may_differ</x:v>
      </x:c>
      <x:c r="BX863" s="9" t="str">
        <x:v>official_live_dashboard_snapshot_subject_to_revision</x:v>
      </x:c>
      <x:c r="BY863" s="9" t="str">
        <x:v>https://tbdashboard.sitb.id/ss_data_tbc03so_2025_provinsi_bulanan_list.php</x:v>
      </x:c>
      <x:c r="BZ863" s="6" t="n">
        <x:v>46246.610671296294</x:v>
      </x:c>
    </x:row>
    <x:row r="864" ht="18" customHeight="1">
      <x:c r="A864" s="6" t="str">
        <x:v>95</x:v>
      </x:c>
      <x:c r="B864" s="6" t="str">
        <x:v>PAPUA SELATAN</x:v>
      </x:c>
      <x:c r="C864" s="6" t="str">
        <x:v>2025</x:v>
      </x:c>
      <x:c r="D864" s="6" t="str">
        <x:v>11</x:v>
      </x:c>
      <x:c r="E864" s="6" t="str">
        <x:v>2025-11</x:v>
      </x:c>
      <x:c r="F864" s="6" t="str">
        <x:v>367</x:v>
      </x:c>
      <x:c r="G864" s="6" t="str">
        <x:v>49</x:v>
      </x:c>
      <x:c r="H864" s="6" t="str">
        <x:v>150</x:v>
      </x:c>
      <x:c r="I864" s="6" t="str">
        <x:v>24</x:v>
      </x:c>
      <x:c r="J864" s="6" t="str">
        <x:v>9</x:v>
      </x:c>
      <x:c r="K864" s="6" t="str">
        <x:v>0</x:v>
      </x:c>
      <x:c r="L864" s="6" t="str">
        <x:v>0</x:v>
      </x:c>
      <x:c r="M864" s="6" t="str">
        <x:v>135</x:v>
      </x:c>
      <x:c r="N864" s="6" t="str">
        <x:v>367</x:v>
      </x:c>
      <x:c r="O864" s="6" t="str">
        <x:v>0</x:v>
      </x:c>
      <x:c r="P864" s="10" t="n">
        <x:f>F864-M864</x:f>
        <x:v>232</x:v>
      </x:c>
      <x:c r="Q864" s="11" t="n">
        <x:f>IFERROR(M864/F864,"")</x:f>
        <x:v>0.3678474114441417</x:v>
      </x:c>
      <x:c r="R864" s="10" t="n">
        <x:f>G864+H864</x:f>
        <x:v>199</x:v>
      </x:c>
      <x:c r="S864" s="11" t="n">
        <x:f>IFERROR(R864/F864,"")</x:f>
        <x:v>0.5422343324250681</x:v>
      </x:c>
      <x:c r="T864" s="11" t="n">
        <x:f>IFERROR(R864/P864,"")</x:f>
        <x:v>0.8577586206896551</x:v>
      </x:c>
      <x:c r="U864" s="10" t="n">
        <x:f>I864+J864+K864</x:f>
        <x:v>33</x:v>
      </x:c>
      <x:c r="V864" s="11" t="n">
        <x:f>IFERROR(U864/P864,"")</x:f>
        <x:v>0.14224137931034483</x:v>
      </x:c>
      <x:c r="W864" s="9" t="str">
        <x:v>provisional_gt_5pct_pending</x:v>
      </x:c>
      <x:c r="X864" s="12" t="n">
        <x:f>IFERROR(F864/Z864*100000,"")</x:f>
        <x:v>66.76368928506459</x:v>
      </x:c>
      <x:c r="Y864" s="13" t="n">
        <x:f>LN(Z864)</x:f>
        <x:v>13.217127953848752</x:v>
      </x:c>
      <x:c r="Z864" s="6" t="str">
        <x:v>549700</x:v>
      </x:c>
      <x:c r="AA864" s="6" t="str">
        <x:v>5.0</x:v>
      </x:c>
      <x:c r="AB864" s="9" t="str">
        <x:v>2025-06-30</x:v>
      </x:c>
      <x:c r="AC864" s="8" t="str">
        <x:v>41.44</x:v>
      </x:c>
      <x:c r="AD864" s="9" t="str">
        <x:v>2025 (Susenas)</x:v>
      </x:c>
      <x:c r="AE864" s="8" t="str">
        <x:v>19.71</x:v>
      </x:c>
      <x:c r="AF864" s="9" t="str">
        <x:v>Maret 2025 (Susenas)</x:v>
      </x:c>
      <x:c r="AG864" s="6" t="str">
        <x:v>26.829334624464508</x:v>
      </x:c>
      <x:c r="AH864" s="8" t="str">
        <x:v>89.39477563007748</x:v>
      </x:c>
      <x:c r="AI864" s="6" t="str">
        <x:v>325.59887704247774</x:v>
      </x:c>
      <x:c r="AJ864" s="6" t="str">
        <x:v>-0.1999873305454862</x:v>
      </x:c>
      <x:c r="AK864" s="8" t="str">
        <x:v>-0.2568184719824302</x:v>
      </x:c>
      <x:c r="AL864" s="6" t="str">
        <x:v>0.1335598362355181</x:v>
      </x:c>
      <x:c r="AM864" s="6" t="str">
        <x:v>0.3928353557100654</x:v>
      </x:c>
      <x:c r="AN864" s="6" t="str">
        <x:v>0.0898589066543847</x:v>
      </x:c>
      <x:c r="AO864" s="6" t="str">
        <x:v>5.270406033919585</x:v>
      </x:c>
      <x:c r="AP864" s="8" t="str">
        <x:v>0.7440584339160283</x:v>
      </x:c>
      <x:c r="AQ864" s="6" t="str">
        <x:v>0.9595887987014504</x:v>
      </x:c>
      <x:c r="AR864" s="6" t="str">
        <x:v>0.8356994181564362</x:v>
      </x:c>
      <x:c r="AS864" s="6" t="str">
        <x:v>0.8464488835913047</x:v>
      </x:c>
      <x:c r="AT864" s="6" t="str">
        <x:v>99.7991391765234</x:v>
      </x:c>
      <x:c r="AU864" s="8" t="str">
        <x:v>1.019910811522594</x:v>
      </x:c>
      <x:c r="AV864" s="6" t="str">
        <x:v>0.9040833792652876</x:v>
      </x:c>
      <x:c r="AW864" s="6" t="str">
        <x:v>0.2711678751445996</x:v>
      </x:c>
      <x:c r="AX864" s="6" t="str">
        <x:v>0.7317206886441602</x:v>
      </x:c>
      <x:c r="AY864" s="6" t="str">
        <x:v>1</x:v>
      </x:c>
      <x:c r="AZ864" s="6" t="str">
        <x:v>0</x:v>
      </x:c>
      <x:c r="BA864" s="9" t="str">
        <x:v>grid_cells_within_BIG_polygon</x:v>
      </x:c>
      <x:c r="BB864" s="6" t="str">
        <x:v>29</x:v>
      </x:c>
      <x:c r="BC864" s="6" t="str">
        <x:v>0</x:v>
      </x:c>
      <x:c r="BD864" s="6" t="str">
        <x:v>0</x:v>
      </x:c>
      <x:c r="BE864" s="6" t="str">
        <x:v>0</x:v>
      </x:c>
      <x:c r="BF864" s="6" t="str">
        <x:v>0</x:v>
      </x:c>
      <x:c r="BG864" s="6" t="str">
        <x:v>0</x:v>
      </x:c>
      <x:c r="BH864" s="6" t="str">
        <x:v>0</x:v>
      </x:c>
      <x:c r="BI864" s="6" t="str">
        <x:v>0</x:v>
      </x:c>
      <x:c r="BJ864" s="6" t="str">
        <x:v>0</x:v>
      </x:c>
      <x:c r="BK864" s="6" t="str">
        <x:v>0</x:v>
      </x:c>
      <x:c r="BL864" s="6" t="str">
        <x:v>0</x:v>
      </x:c>
      <x:c r="BM864" s="6" t="str">
        <x:v>0</x:v>
      </x:c>
      <x:c r="BN864" s="6" t="str">
        <x:v>0</x:v>
      </x:c>
      <x:c r="BO864" s="6" t="str"/>
      <x:c r="BP864" s="6" t="str">
        <x:v>0</x:v>
      </x:c>
      <x:c r="BQ864" s="6" t="str"/>
      <x:c r="BR864" s="6" t="str">
        <x:v>0</x:v>
      </x:c>
      <x:c r="BS864" s="6" t="str"/>
      <x:c r="BT864" s="6" t="str">
        <x:v>0</x:v>
      </x:c>
      <x:c r="BU864" s="6" t="str"/>
      <x:c r="BV864" s="6" t="str">
        <x:v>0</x:v>
      </x:c>
      <x:c r="BW864" s="9" t="str">
        <x:v>operational_snapshot_annual_totals_may_differ</x:v>
      </x:c>
      <x:c r="BX864" s="9" t="str">
        <x:v>official_live_dashboard_snapshot_subject_to_revision</x:v>
      </x:c>
      <x:c r="BY864" s="9" t="str">
        <x:v>https://tbdashboard.sitb.id/ss_data_tbc03so_2025_provinsi_bulanan_list.php</x:v>
      </x:c>
      <x:c r="BZ864" s="6" t="n">
        <x:v>46246.610671296294</x:v>
      </x:c>
    </x:row>
    <x:row r="865" ht="18" customHeight="1">
      <x:c r="A865" s="6" t="str">
        <x:v>95</x:v>
      </x:c>
      <x:c r="B865" s="6" t="str">
        <x:v>PAPUA SELATAN</x:v>
      </x:c>
      <x:c r="C865" s="6" t="str">
        <x:v>2025</x:v>
      </x:c>
      <x:c r="D865" s="6" t="str">
        <x:v>12</x:v>
      </x:c>
      <x:c r="E865" s="6" t="str">
        <x:v>2025-12</x:v>
      </x:c>
      <x:c r="F865" s="6" t="str">
        <x:v>288</x:v>
      </x:c>
      <x:c r="G865" s="6" t="str">
        <x:v>15</x:v>
      </x:c>
      <x:c r="H865" s="6" t="str">
        <x:v>103</x:v>
      </x:c>
      <x:c r="I865" s="6" t="str">
        <x:v>24</x:v>
      </x:c>
      <x:c r="J865" s="6" t="str">
        <x:v>14</x:v>
      </x:c>
      <x:c r="K865" s="6" t="str">
        <x:v>1</x:v>
      </x:c>
      <x:c r="L865" s="6" t="str">
        <x:v>0</x:v>
      </x:c>
      <x:c r="M865" s="6" t="str">
        <x:v>131</x:v>
      </x:c>
      <x:c r="N865" s="6" t="str">
        <x:v>288</x:v>
      </x:c>
      <x:c r="O865" s="6" t="str">
        <x:v>0</x:v>
      </x:c>
      <x:c r="P865" s="10" t="n">
        <x:f>F865-M865</x:f>
        <x:v>157</x:v>
      </x:c>
      <x:c r="Q865" s="11" t="n">
        <x:f>IFERROR(M865/F865,"")</x:f>
        <x:v>0.4548611111111111</x:v>
      </x:c>
      <x:c r="R865" s="10" t="n">
        <x:f>G865+H865</x:f>
        <x:v>118</x:v>
      </x:c>
      <x:c r="S865" s="11" t="n">
        <x:f>IFERROR(R865/F865,"")</x:f>
        <x:v>0.4097222222222222</x:v>
      </x:c>
      <x:c r="T865" s="11" t="n">
        <x:f>IFERROR(R865/P865,"")</x:f>
        <x:v>0.7515923566878981</x:v>
      </x:c>
      <x:c r="U865" s="10" t="n">
        <x:f>I865+J865+K865</x:f>
        <x:v>39</x:v>
      </x:c>
      <x:c r="V865" s="11" t="n">
        <x:f>IFERROR(U865/P865,"")</x:f>
        <x:v>0.2484076433121019</x:v>
      </x:c>
      <x:c r="W865" s="9" t="str">
        <x:v>provisional_gt_5pct_pending</x:v>
      </x:c>
      <x:c r="X865" s="12" t="n">
        <x:f>IFERROR(F865/Z865*100000,"")</x:f>
        <x:v>52.39221393487357</x:v>
      </x:c>
      <x:c r="Y865" s="13" t="n">
        <x:f>LN(Z865)</x:f>
        <x:v>13.217127953848752</x:v>
      </x:c>
      <x:c r="Z865" s="6" t="str">
        <x:v>549700</x:v>
      </x:c>
      <x:c r="AA865" s="6" t="str">
        <x:v>5.0</x:v>
      </x:c>
      <x:c r="AB865" s="9" t="str">
        <x:v>2025-06-30</x:v>
      </x:c>
      <x:c r="AC865" s="8" t="str">
        <x:v>41.44</x:v>
      </x:c>
      <x:c r="AD865" s="9" t="str">
        <x:v>2025 (Susenas)</x:v>
      </x:c>
      <x:c r="AE865" s="8" t="str">
        <x:v>19.71</x:v>
      </x:c>
      <x:c r="AF865" s="9" t="str">
        <x:v>Maret 2025 (Susenas)</x:v>
      </x:c>
      <x:c r="AG865" s="6" t="str">
        <x:v>26.783115004134476</x:v>
      </x:c>
      <x:c r="AH865" s="8" t="str">
        <x:v>89.77210555154785</x:v>
      </x:c>
      <x:c r="AI865" s="6" t="str">
        <x:v>421.7961421000523</x:v>
      </x:c>
      <x:c r="AJ865" s="6" t="str">
        <x:v>-0.0656176965107668</x:v>
      </x:c>
      <x:c r="AK865" s="8" t="str">
        <x:v>-0.1333098199387684</x:v>
      </x:c>
      <x:c r="AL865" s="6" t="str">
        <x:v>-0.2568184719824302</x:v>
      </x:c>
      <x:c r="AM865" s="6" t="str">
        <x:v>0.1335598362355181</x:v>
      </x:c>
      <x:c r="AN865" s="6" t="str">
        <x:v>-0.0855228185618932</x:v>
      </x:c>
      <x:c r="AO865" s="6" t="str">
        <x:v>2.350877275645445</x:v>
      </x:c>
      <x:c r="AP865" s="8" t="str">
        <x:v>0.6000999573489119</x:v>
      </x:c>
      <x:c r="AQ865" s="6" t="str">
        <x:v>0.7440584339160283</x:v>
      </x:c>
      <x:c r="AR865" s="6" t="str">
        <x:v>0.9595887987014504</x:v>
      </x:c>
      <x:c r="AS865" s="6" t="str">
        <x:v>0.7679157299887965</x:v>
      </x:c>
      <x:c r="AT865" s="6" t="str">
        <x:v>125.7033991821752</x:v>
      </x:c>
      <x:c r="AU865" s="8" t="str">
        <x:v>1.101263796884905</x:v>
      </x:c>
      <x:c r="AV865" s="6" t="str">
        <x:v>1.019910811522594</x:v>
      </x:c>
      <x:c r="AW865" s="6" t="str">
        <x:v>0.9040833792652876</x:v>
      </x:c>
      <x:c r="AX865" s="6" t="str">
        <x:v>1.008419329224262</x:v>
      </x:c>
      <x:c r="AY865" s="6" t="str">
        <x:v>1</x:v>
      </x:c>
      <x:c r="AZ865" s="6" t="str">
        <x:v>0</x:v>
      </x:c>
      <x:c r="BA865" s="9" t="str">
        <x:v>grid_cells_within_BIG_polygon</x:v>
      </x:c>
      <x:c r="BB865" s="6" t="str">
        <x:v>29</x:v>
      </x:c>
      <x:c r="BC865" s="6" t="str">
        <x:v>0</x:v>
      </x:c>
      <x:c r="BD865" s="6" t="str">
        <x:v>0</x:v>
      </x:c>
      <x:c r="BE865" s="6" t="str">
        <x:v>0</x:v>
      </x:c>
      <x:c r="BF865" s="6" t="str">
        <x:v>0</x:v>
      </x:c>
      <x:c r="BG865" s="6" t="str">
        <x:v>0</x:v>
      </x:c>
      <x:c r="BH865" s="6" t="str">
        <x:v>0</x:v>
      </x:c>
      <x:c r="BI865" s="6" t="str">
        <x:v>0</x:v>
      </x:c>
      <x:c r="BJ865" s="6" t="str">
        <x:v>0</x:v>
      </x:c>
      <x:c r="BK865" s="6" t="str">
        <x:v>0</x:v>
      </x:c>
      <x:c r="BL865" s="6" t="str">
        <x:v>0</x:v>
      </x:c>
      <x:c r="BM865" s="6" t="str">
        <x:v>0</x:v>
      </x:c>
      <x:c r="BN865" s="6" t="str">
        <x:v>0</x:v>
      </x:c>
      <x:c r="BO865" s="6" t="str"/>
      <x:c r="BP865" s="6" t="str">
        <x:v>0</x:v>
      </x:c>
      <x:c r="BQ865" s="6" t="str"/>
      <x:c r="BR865" s="6" t="str">
        <x:v>0</x:v>
      </x:c>
      <x:c r="BS865" s="6" t="str"/>
      <x:c r="BT865" s="6" t="str">
        <x:v>0</x:v>
      </x:c>
      <x:c r="BU865" s="6" t="str"/>
      <x:c r="BV865" s="6" t="str">
        <x:v>0</x:v>
      </x:c>
      <x:c r="BW865" s="9" t="str">
        <x:v>operational_snapshot_annual_totals_may_differ</x:v>
      </x:c>
      <x:c r="BX865" s="9" t="str">
        <x:v>official_live_dashboard_snapshot_subject_to_revision</x:v>
      </x:c>
      <x:c r="BY865" s="9" t="str">
        <x:v>https://tbdashboard.sitb.id/ss_data_tbc03so_2025_provinsi_bulanan_list.php</x:v>
      </x:c>
      <x:c r="BZ865" s="6" t="n">
        <x:v>46246.610671296294</x:v>
      </x:c>
    </x:row>
    <x:row r="866" ht="18" customHeight="1">
      <x:c r="A866" s="6" t="str">
        <x:v>96</x:v>
      </x:c>
      <x:c r="B866" s="6" t="str">
        <x:v>PAPUA TENGAH</x:v>
      </x:c>
      <x:c r="C866" s="6" t="str">
        <x:v>2024</x:v>
      </x:c>
      <x:c r="D866" s="6" t="str">
        <x:v>1</x:v>
      </x:c>
      <x:c r="E866" s="6" t="str">
        <x:v>2024-01</x:v>
      </x:c>
      <x:c r="F866" s="6" t="str">
        <x:v>478</x:v>
      </x:c>
      <x:c r="G866" s="6" t="str">
        <x:v>111</x:v>
      </x:c>
      <x:c r="H866" s="6" t="str">
        <x:v>260</x:v>
      </x:c>
      <x:c r="I866" s="6" t="str">
        <x:v>70</x:v>
      </x:c>
      <x:c r="J866" s="6" t="str">
        <x:v>16</x:v>
      </x:c>
      <x:c r="K866" s="6" t="str">
        <x:v>0</x:v>
      </x:c>
      <x:c r="L866" s="6" t="str">
        <x:v>6</x:v>
      </x:c>
      <x:c r="M866" s="6" t="str">
        <x:v>15</x:v>
      </x:c>
      <x:c r="N866" s="6" t="str">
        <x:v>478</x:v>
      </x:c>
      <x:c r="O866" s="6" t="str">
        <x:v>0</x:v>
      </x:c>
      <x:c r="P866" s="10" t="n">
        <x:f>F866-M866</x:f>
        <x:v>463</x:v>
      </x:c>
      <x:c r="Q866" s="11" t="n">
        <x:f>IFERROR(M866/F866,"")</x:f>
        <x:v>0.03138075313807531</x:v>
      </x:c>
      <x:c r="R866" s="10" t="n">
        <x:f>G866+H866</x:f>
        <x:v>371</x:v>
      </x:c>
      <x:c r="S866" s="11" t="n">
        <x:f>IFERROR(R866/F866,"")</x:f>
        <x:v>0.7761506276150628</x:v>
      </x:c>
      <x:c r="T866" s="11" t="n">
        <x:f>IFERROR(R866/P866,"")</x:f>
        <x:v>0.8012958963282938</x:v>
      </x:c>
      <x:c r="U866" s="10" t="n">
        <x:f>I866+J866+K866</x:f>
        <x:v>86</x:v>
      </x:c>
      <x:c r="V866" s="11" t="n">
        <x:f>IFERROR(U866/P866,"")</x:f>
        <x:v>0.1857451403887689</x:v>
      </x:c>
      <x:c r="W866" s="9" t="str">
        <x:v>mature_le_5pct_pending</x:v>
      </x:c>
      <x:c r="X866" s="12" t="n">
        <x:f>IFERROR(F866/Z866*100000,"")</x:f>
        <x:v>32.45298390929459</x:v>
      </x:c>
      <x:c r="Y866" s="13" t="n">
        <x:f>LN(Z866)</x:f>
        <x:v>14.202743804477635</x:v>
      </x:c>
      <x:c r="Z866" s="6" t="str">
        <x:v>1472900</x:v>
      </x:c>
      <x:c r="AA866" s="6" t="str">
        <x:v>24.0</x:v>
      </x:c>
      <x:c r="AB866" s="9" t="str">
        <x:v>2024-06-30</x:v>
      </x:c>
      <x:c r="AC866" s="8" t="str">
        <x:v>39.73</x:v>
      </x:c>
      <x:c r="AD866" s="9" t="str">
        <x:v>2024 (Susenas)</x:v>
      </x:c>
      <x:c r="AE866" s="8" t="str">
        <x:v>365.43</x:v>
      </x:c>
      <x:c r="AF866" s="9" t="str">
        <x:v>Maret 2024 (Susenas)</x:v>
      </x:c>
      <x:c r="AG866" s="6" t="str">
        <x:v>22.440365667292568</x:v>
      </x:c>
      <x:c r="AH866" s="8" t="str">
        <x:v>90.03889168347236</x:v>
      </x:c>
      <x:c r="AI866" s="6" t="str">
        <x:v>236.0714029304693</x:v>
      </x:c>
      <x:c r="AJ866" s="6" t="str">
        <x:v>0.8732485574955078</x:v>
      </x:c>
      <x:c r="AK866" s="8" t="str">
        <x:v>3.228854543562864</x:v>
      </x:c>
      <x:c r="AL866" s="6" t="str">
        <x:v>3.5018252689137275</x:v>
      </x:c>
      <x:c r="AM866" s="6" t="str">
        <x:v>4.013398925397185</x:v>
      </x:c>
      <x:c r="AN866" s="6" t="str">
        <x:v>3.58135957929126</x:v>
      </x:c>
      <x:c r="AO866" s="6" t="str">
        <x:v>-0.4721297179375199</x:v>
      </x:c>
      <x:c r="AP866" s="8" t="str">
        <x:v>-0.5536705830779971</x:v>
      </x:c>
      <x:c r="AQ866" s="6" t="str">
        <x:v>-1.0252894943614954</x:v>
      </x:c>
      <x:c r="AR866" s="6" t="str">
        <x:v>-0.5894581082554798</x:v>
      </x:c>
      <x:c r="AS866" s="6" t="str">
        <x:v>-0.722806061898325</x:v>
      </x:c>
      <x:c r="AT866" s="6" t="str">
        <x:v>-46.8808593826644</x:v>
      </x:c>
      <x:c r="AU866" s="8" t="str">
        <x:v>-0.5692983341591198</x:v>
      </x:c>
      <x:c r="AV866" s="6" t="str">
        <x:v>0.0545240448526342</x:v>
      </x:c>
      <x:c r="AW866" s="6" t="str">
        <x:v>-1.3881316091067892</x:v>
      </x:c>
      <x:c r="AX866" s="6" t="str">
        <x:v>-0.634301966137758</x:v>
      </x:c>
      <x:c r="AY866" s="6" t="str">
        <x:v>0</x:v>
      </x:c>
      <x:c r="AZ866" s="6" t="str">
        <x:v>1</x:v>
      </x:c>
      <x:c r="BA866" s="9" t="str">
        <x:v>grid_cells_within_BIG_polygon</x:v>
      </x:c>
      <x:c r="BB866" s="6" t="str">
        <x:v>15</x:v>
      </x:c>
      <x:c r="BC866" s="6" t="str">
        <x:v>1</x:v>
      </x:c>
      <x:c r="BD866" s="6" t="str">
        <x:v>1</x:v>
      </x:c>
      <x:c r="BE866" s="6" t="str">
        <x:v>1</x:v>
      </x:c>
      <x:c r="BF866" s="6" t="str">
        <x:v>0</x:v>
      </x:c>
      <x:c r="BG866" s="6" t="str">
        <x:v>0</x:v>
      </x:c>
      <x:c r="BH866" s="6" t="str">
        <x:v>0</x:v>
      </x:c>
      <x:c r="BI866" s="6" t="str">
        <x:v>0</x:v>
      </x:c>
      <x:c r="BJ866" s="6" t="str">
        <x:v>0</x:v>
      </x:c>
      <x:c r="BK866" s="6" t="str">
        <x:v>0</x:v>
      </x:c>
      <x:c r="BL866" s="6" t="str">
        <x:v>0</x:v>
      </x:c>
      <x:c r="BM866" s="6" t="str">
        <x:v>0</x:v>
      </x:c>
      <x:c r="BN866" s="6" t="str">
        <x:v>1</x:v>
      </x:c>
      <x:c r="BO866" s="6" t="str">
        <x:v>2.0</x:v>
      </x:c>
      <x:c r="BP866" s="6" t="str">
        <x:v>1</x:v>
      </x:c>
      <x:c r="BQ866" s="6" t="str">
        <x:v>2.0</x:v>
      </x:c>
      <x:c r="BR866" s="6" t="str">
        <x:v>1</x:v>
      </x:c>
      <x:c r="BS866" s="6" t="str">
        <x:v>0.0</x:v>
      </x:c>
      <x:c r="BT866" s="6" t="str">
        <x:v>1</x:v>
      </x:c>
      <x:c r="BU866" s="6" t="str"/>
      <x:c r="BV866" s="6" t="str">
        <x:v>0</x:v>
      </x:c>
      <x:c r="BW866" s="9" t="str">
        <x:v>operational_snapshot_annual_totals_may_differ</x:v>
      </x:c>
      <x:c r="BX866" s="9" t="str">
        <x:v>official_live_dashboard_snapshot_subject_to_revision</x:v>
      </x:c>
      <x:c r="BY866" s="9" t="str">
        <x:v>https://tbdashboard.sitb.id/ss_data_tbc03so_2024_provinsi_bulanan_list.php</x:v>
      </x:c>
      <x:c r="BZ866" s="6" t="n">
        <x:v>46246.610671296294</x:v>
      </x:c>
    </x:row>
    <x:row r="867" ht="18" customHeight="1">
      <x:c r="A867" s="6" t="str">
        <x:v>96</x:v>
      </x:c>
      <x:c r="B867" s="6" t="str">
        <x:v>PAPUA TENGAH</x:v>
      </x:c>
      <x:c r="C867" s="6" t="str">
        <x:v>2024</x:v>
      </x:c>
      <x:c r="D867" s="6" t="str">
        <x:v>2</x:v>
      </x:c>
      <x:c r="E867" s="6" t="str">
        <x:v>2024-02</x:v>
      </x:c>
      <x:c r="F867" s="6" t="str">
        <x:v>356</x:v>
      </x:c>
      <x:c r="G867" s="6" t="str">
        <x:v>60</x:v>
      </x:c>
      <x:c r="H867" s="6" t="str">
        <x:v>204</x:v>
      </x:c>
      <x:c r="I867" s="6" t="str">
        <x:v>46</x:v>
      </x:c>
      <x:c r="J867" s="6" t="str">
        <x:v>13</x:v>
      </x:c>
      <x:c r="K867" s="6" t="str">
        <x:v>4</x:v>
      </x:c>
      <x:c r="L867" s="6" t="str">
        <x:v>10</x:v>
      </x:c>
      <x:c r="M867" s="6" t="str">
        <x:v>19</x:v>
      </x:c>
      <x:c r="N867" s="6" t="str">
        <x:v>356</x:v>
      </x:c>
      <x:c r="O867" s="6" t="str">
        <x:v>0</x:v>
      </x:c>
      <x:c r="P867" s="10" t="n">
        <x:f>F867-M867</x:f>
        <x:v>337</x:v>
      </x:c>
      <x:c r="Q867" s="11" t="n">
        <x:f>IFERROR(M867/F867,"")</x:f>
        <x:v>0.05337078651685393</x:v>
      </x:c>
      <x:c r="R867" s="10" t="n">
        <x:f>G867+H867</x:f>
        <x:v>264</x:v>
      </x:c>
      <x:c r="S867" s="11" t="n">
        <x:f>IFERROR(R867/F867,"")</x:f>
        <x:v>0.7415730337078652</x:v>
      </x:c>
      <x:c r="T867" s="11" t="n">
        <x:f>IFERROR(R867/P867,"")</x:f>
        <x:v>0.7833827893175074</x:v>
      </x:c>
      <x:c r="U867" s="10" t="n">
        <x:f>I867+J867+K867</x:f>
        <x:v>63</x:v>
      </x:c>
      <x:c r="V867" s="11" t="n">
        <x:f>IFERROR(U867/P867,"")</x:f>
        <x:v>0.18694362017804153</x:v>
      </x:c>
      <x:c r="W867" s="9" t="str">
        <x:v>provisional_gt_5pct_pending</x:v>
      </x:c>
      <x:c r="X867" s="12" t="n">
        <x:f>IFERROR(F867/Z867*100000,"")</x:f>
        <x:v>24.170004752529024</x:v>
      </x:c>
      <x:c r="Y867" s="13" t="n">
        <x:f>LN(Z867)</x:f>
        <x:v>14.202743804477635</x:v>
      </x:c>
      <x:c r="Z867" s="6" t="str">
        <x:v>1472900</x:v>
      </x:c>
      <x:c r="AA867" s="6" t="str">
        <x:v>24.0</x:v>
      </x:c>
      <x:c r="AB867" s="9" t="str">
        <x:v>2024-06-30</x:v>
      </x:c>
      <x:c r="AC867" s="8" t="str">
        <x:v>39.73</x:v>
      </x:c>
      <x:c r="AD867" s="9" t="str">
        <x:v>2024 (Susenas)</x:v>
      </x:c>
      <x:c r="AE867" s="8" t="str">
        <x:v>365.43</x:v>
      </x:c>
      <x:c r="AF867" s="9" t="str">
        <x:v>Maret 2024 (Susenas)</x:v>
      </x:c>
      <x:c r="AG867" s="6" t="str">
        <x:v>22.62689331897829</x:v>
      </x:c>
      <x:c r="AH867" s="8" t="str">
        <x:v>89.11559905231894</x:v>
      </x:c>
      <x:c r="AI867" s="6" t="str">
        <x:v>234.21222374020408</x:v>
      </x:c>
      <x:c r="AJ867" s="6" t="str">
        <x:v>1.1244041031783034</x:v>
      </x:c>
      <x:c r="AK867" s="8" t="str">
        <x:v>4.123517718860708</x:v>
      </x:c>
      <x:c r="AL867" s="6" t="str">
        <x:v>3.228854543562864</x:v>
      </x:c>
      <x:c r="AM867" s="6" t="str">
        <x:v>3.5018252689137275</x:v>
      </x:c>
      <x:c r="AN867" s="6" t="str">
        <x:v>3.6180658437791</x:v>
      </x:c>
      <x:c r="AO867" s="6" t="str">
        <x:v>-1.4497012297841394</x:v>
      </x:c>
      <x:c r="AP867" s="8" t="str">
        <x:v>-1.4851454164768934</x:v>
      </x:c>
      <x:c r="AQ867" s="6" t="str">
        <x:v>-0.5536705830779971</x:v>
      </x:c>
      <x:c r="AR867" s="6" t="str">
        <x:v>-1.0252894943614954</x:v>
      </x:c>
      <x:c r="AS867" s="6" t="str">
        <x:v>-1.0213684979721294</x:v>
      </x:c>
      <x:c r="AT867" s="6" t="str">
        <x:v>-24.225056143814754</x:v>
      </x:c>
      <x:c r="AU867" s="8" t="str">
        <x:v>-0.3254799726042442</x:v>
      </x:c>
      <x:c r="AV867" s="6" t="str">
        <x:v>-0.5692983341591198</x:v>
      </x:c>
      <x:c r="AW867" s="6" t="str">
        <x:v>0.0545240448526342</x:v>
      </x:c>
      <x:c r="AX867" s="6" t="str">
        <x:v>-0.2800847539702429</x:v>
      </x:c>
      <x:c r="AY867" s="6" t="str">
        <x:v>0</x:v>
      </x:c>
      <x:c r="AZ867" s="6" t="str">
        <x:v>1</x:v>
      </x:c>
      <x:c r="BA867" s="9" t="str">
        <x:v>grid_cells_within_BIG_polygon</x:v>
      </x:c>
      <x:c r="BB867" s="6" t="str">
        <x:v>15</x:v>
      </x:c>
      <x:c r="BC867" s="6" t="str">
        <x:v>1</x:v>
      </x:c>
      <x:c r="BD867" s="6" t="str">
        <x:v>1</x:v>
      </x:c>
      <x:c r="BE867" s="6" t="str">
        <x:v>1</x:v>
      </x:c>
      <x:c r="BF867" s="6" t="str">
        <x:v>0</x:v>
      </x:c>
      <x:c r="BG867" s="6" t="str">
        <x:v>0</x:v>
      </x:c>
      <x:c r="BH867" s="6" t="str">
        <x:v>0</x:v>
      </x:c>
      <x:c r="BI867" s="6" t="str">
        <x:v>0</x:v>
      </x:c>
      <x:c r="BJ867" s="6" t="str">
        <x:v>0</x:v>
      </x:c>
      <x:c r="BK867" s="6" t="str">
        <x:v>0</x:v>
      </x:c>
      <x:c r="BL867" s="6" t="str">
        <x:v>0</x:v>
      </x:c>
      <x:c r="BM867" s="6" t="str">
        <x:v>0</x:v>
      </x:c>
      <x:c r="BN867" s="6" t="str">
        <x:v>1</x:v>
      </x:c>
      <x:c r="BO867" s="6" t="str">
        <x:v>5.0</x:v>
      </x:c>
      <x:c r="BP867" s="6" t="str">
        <x:v>1</x:v>
      </x:c>
      <x:c r="BQ867" s="6" t="str">
        <x:v>1.0</x:v>
      </x:c>
      <x:c r="BR867" s="6" t="str">
        <x:v>1</x:v>
      </x:c>
      <x:c r="BS867" s="6" t="str">
        <x:v>0.0</x:v>
      </x:c>
      <x:c r="BT867" s="6" t="str">
        <x:v>1</x:v>
      </x:c>
      <x:c r="BU867" s="6" t="str"/>
      <x:c r="BV867" s="6" t="str">
        <x:v>0</x:v>
      </x:c>
      <x:c r="BW867" s="9" t="str">
        <x:v>operational_snapshot_annual_totals_may_differ</x:v>
      </x:c>
      <x:c r="BX867" s="9" t="str">
        <x:v>official_live_dashboard_snapshot_subject_to_revision</x:v>
      </x:c>
      <x:c r="BY867" s="9" t="str">
        <x:v>https://tbdashboard.sitb.id/ss_data_tbc03so_2024_provinsi_bulanan_list.php</x:v>
      </x:c>
      <x:c r="BZ867" s="6" t="n">
        <x:v>46246.610671296294</x:v>
      </x:c>
    </x:row>
    <x:row r="868" ht="18" customHeight="1">
      <x:c r="A868" s="6" t="str">
        <x:v>96</x:v>
      </x:c>
      <x:c r="B868" s="6" t="str">
        <x:v>PAPUA TENGAH</x:v>
      </x:c>
      <x:c r="C868" s="6" t="str">
        <x:v>2024</x:v>
      </x:c>
      <x:c r="D868" s="6" t="str">
        <x:v>3</x:v>
      </x:c>
      <x:c r="E868" s="6" t="str">
        <x:v>2024-03</x:v>
      </x:c>
      <x:c r="F868" s="6" t="str">
        <x:v>421</x:v>
      </x:c>
      <x:c r="G868" s="6" t="str">
        <x:v>62</x:v>
      </x:c>
      <x:c r="H868" s="6" t="str">
        <x:v>263</x:v>
      </x:c>
      <x:c r="I868" s="6" t="str">
        <x:v>69</x:v>
      </x:c>
      <x:c r="J868" s="6" t="str">
        <x:v>15</x:v>
      </x:c>
      <x:c r="K868" s="6" t="str">
        <x:v>2</x:v>
      </x:c>
      <x:c r="L868" s="6" t="str">
        <x:v>5</x:v>
      </x:c>
      <x:c r="M868" s="6" t="str">
        <x:v>5</x:v>
      </x:c>
      <x:c r="N868" s="6" t="str">
        <x:v>421</x:v>
      </x:c>
      <x:c r="O868" s="6" t="str">
        <x:v>0</x:v>
      </x:c>
      <x:c r="P868" s="10" t="n">
        <x:f>F868-M868</x:f>
        <x:v>416</x:v>
      </x:c>
      <x:c r="Q868" s="11" t="n">
        <x:f>IFERROR(M868/F868,"")</x:f>
        <x:v>0.011876484560570071</x:v>
      </x:c>
      <x:c r="R868" s="10" t="n">
        <x:f>G868+H868</x:f>
        <x:v>325</x:v>
      </x:c>
      <x:c r="S868" s="11" t="n">
        <x:f>IFERROR(R868/F868,"")</x:f>
        <x:v>0.7719714964370546</x:v>
      </x:c>
      <x:c r="T868" s="11" t="n">
        <x:f>IFERROR(R868/P868,"")</x:f>
        <x:v>0.78125</x:v>
      </x:c>
      <x:c r="U868" s="10" t="n">
        <x:f>I868+J868+K868</x:f>
        <x:v>86</x:v>
      </x:c>
      <x:c r="V868" s="11" t="n">
        <x:f>IFERROR(U868/P868,"")</x:f>
        <x:v>0.20673076923076922</x:v>
      </x:c>
      <x:c r="W868" s="9" t="str">
        <x:v>mature_le_5pct_pending</x:v>
      </x:c>
      <x:c r="X868" s="12" t="n">
        <x:f>IFERROR(F868/Z868*100000,"")</x:f>
        <x:v>28.58306741801887</x:v>
      </x:c>
      <x:c r="Y868" s="13" t="n">
        <x:f>LN(Z868)</x:f>
        <x:v>14.202743804477635</x:v>
      </x:c>
      <x:c r="Z868" s="6" t="str">
        <x:v>1472900</x:v>
      </x:c>
      <x:c r="AA868" s="6" t="str">
        <x:v>24.0</x:v>
      </x:c>
      <x:c r="AB868" s="9" t="str">
        <x:v>2024-06-30</x:v>
      </x:c>
      <x:c r="AC868" s="8" t="str">
        <x:v>39.73</x:v>
      </x:c>
      <x:c r="AD868" s="9" t="str">
        <x:v>2024 (Susenas)</x:v>
      </x:c>
      <x:c r="AE868" s="8" t="str">
        <x:v>365.43</x:v>
      </x:c>
      <x:c r="AF868" s="9" t="str">
        <x:v>Maret 2024 (Susenas)</x:v>
      </x:c>
      <x:c r="AG868" s="6" t="str">
        <x:v>22.474312236882923</x:v>
      </x:c>
      <x:c r="AH868" s="8" t="str">
        <x:v>90.87236371475302</x:v>
      </x:c>
      <x:c r="AI868" s="6" t="str">
        <x:v>363.4247767149916</x:v>
      </x:c>
      <x:c r="AJ868" s="6" t="str">
        <x:v>0.9462725516622328</x:v>
      </x:c>
      <x:c r="AK868" s="8" t="str">
        <x:v>3.9471011082453593</x:v>
      </x:c>
      <x:c r="AL868" s="6" t="str">
        <x:v>4.123517718860708</x:v>
      </x:c>
      <x:c r="AM868" s="6" t="str">
        <x:v>3.228854543562864</x:v>
      </x:c>
      <x:c r="AN868" s="6" t="str">
        <x:v>3.766491123556311</x:v>
      </x:c>
      <x:c r="AO868" s="6" t="str">
        <x:v>0.0537948180693632</x:v>
      </x:c>
      <x:c r="AP868" s="8" t="str">
        <x:v>0.0519695236297687</x:v>
      </x:c>
      <x:c r="AQ868" s="6" t="str">
        <x:v>-1.4851454164768934</x:v>
      </x:c>
      <x:c r="AR868" s="6" t="str">
        <x:v>-0.5536705830779971</x:v>
      </x:c>
      <x:c r="AS868" s="6" t="str">
        <x:v>-0.662282158641708</x:v>
      </x:c>
      <x:c r="AT868" s="6" t="str">
        <x:v>55.4090228750926</x:v>
      </x:c>
      <x:c r="AU868" s="8" t="str">
        <x:v>0.5921808722189622</x:v>
      </x:c>
      <x:c r="AV868" s="6" t="str">
        <x:v>-0.3254799726042442</x:v>
      </x:c>
      <x:c r="AW868" s="6" t="str">
        <x:v>-0.5692983341591198</x:v>
      </x:c>
      <x:c r="AX868" s="6" t="str">
        <x:v>-0.1008658115148003</x:v>
      </x:c>
      <x:c r="AY868" s="6" t="str">
        <x:v>0</x:v>
      </x:c>
      <x:c r="AZ868" s="6" t="str">
        <x:v>1</x:v>
      </x:c>
      <x:c r="BA868" s="9" t="str">
        <x:v>grid_cells_within_BIG_polygon</x:v>
      </x:c>
      <x:c r="BB868" s="6" t="str">
        <x:v>15</x:v>
      </x:c>
      <x:c r="BC868" s="6" t="str">
        <x:v>0</x:v>
      </x:c>
      <x:c r="BD868" s="6" t="str">
        <x:v>0</x:v>
      </x:c>
      <x:c r="BE868" s="6" t="str">
        <x:v>0</x:v>
      </x:c>
      <x:c r="BF868" s="6" t="str">
        <x:v>0</x:v>
      </x:c>
      <x:c r="BG868" s="6" t="str">
        <x:v>0</x:v>
      </x:c>
      <x:c r="BH868" s="6" t="str">
        <x:v>0</x:v>
      </x:c>
      <x:c r="BI868" s="6" t="str">
        <x:v>0</x:v>
      </x:c>
      <x:c r="BJ868" s="6" t="str">
        <x:v>0</x:v>
      </x:c>
      <x:c r="BK868" s="6" t="str">
        <x:v>0</x:v>
      </x:c>
      <x:c r="BL868" s="6" t="str">
        <x:v>0</x:v>
      </x:c>
      <x:c r="BM868" s="6" t="str">
        <x:v>0</x:v>
      </x:c>
      <x:c r="BN868" s="6" t="str">
        <x:v>0</x:v>
      </x:c>
      <x:c r="BO868" s="6" t="str"/>
      <x:c r="BP868" s="6" t="str">
        <x:v>0</x:v>
      </x:c>
      <x:c r="BQ868" s="6" t="str"/>
      <x:c r="BR868" s="6" t="str">
        <x:v>0</x:v>
      </x:c>
      <x:c r="BS868" s="6" t="str"/>
      <x:c r="BT868" s="6" t="str">
        <x:v>0</x:v>
      </x:c>
      <x:c r="BU868" s="6" t="str"/>
      <x:c r="BV868" s="6" t="str">
        <x:v>0</x:v>
      </x:c>
      <x:c r="BW868" s="9" t="str">
        <x:v>operational_snapshot_annual_totals_may_differ</x:v>
      </x:c>
      <x:c r="BX868" s="9" t="str">
        <x:v>official_live_dashboard_snapshot_subject_to_revision</x:v>
      </x:c>
      <x:c r="BY868" s="9" t="str">
        <x:v>https://tbdashboard.sitb.id/ss_data_tbc03so_2024_provinsi_bulanan_list.php</x:v>
      </x:c>
      <x:c r="BZ868" s="6" t="n">
        <x:v>46246.610671296294</x:v>
      </x:c>
    </x:row>
    <x:row r="869" ht="18" customHeight="1">
      <x:c r="A869" s="6" t="str">
        <x:v>96</x:v>
      </x:c>
      <x:c r="B869" s="6" t="str">
        <x:v>PAPUA TENGAH</x:v>
      </x:c>
      <x:c r="C869" s="6" t="str">
        <x:v>2024</x:v>
      </x:c>
      <x:c r="D869" s="6" t="str">
        <x:v>4</x:v>
      </x:c>
      <x:c r="E869" s="6" t="str">
        <x:v>2024-04</x:v>
      </x:c>
      <x:c r="F869" s="6" t="str">
        <x:v>394</x:v>
      </x:c>
      <x:c r="G869" s="6" t="str">
        <x:v>75</x:v>
      </x:c>
      <x:c r="H869" s="6" t="str">
        <x:v>234</x:v>
      </x:c>
      <x:c r="I869" s="6" t="str">
        <x:v>55</x:v>
      </x:c>
      <x:c r="J869" s="6" t="str">
        <x:v>10</x:v>
      </x:c>
      <x:c r="K869" s="6" t="str">
        <x:v>4</x:v>
      </x:c>
      <x:c r="L869" s="6" t="str">
        <x:v>13</x:v>
      </x:c>
      <x:c r="M869" s="6" t="str">
        <x:v>3</x:v>
      </x:c>
      <x:c r="N869" s="6" t="str">
        <x:v>394</x:v>
      </x:c>
      <x:c r="O869" s="6" t="str">
        <x:v>0</x:v>
      </x:c>
      <x:c r="P869" s="10" t="n">
        <x:f>F869-M869</x:f>
        <x:v>391</x:v>
      </x:c>
      <x:c r="Q869" s="11" t="n">
        <x:f>IFERROR(M869/F869,"")</x:f>
        <x:v>0.007614213197969543</x:v>
      </x:c>
      <x:c r="R869" s="10" t="n">
        <x:f>G869+H869</x:f>
        <x:v>309</x:v>
      </x:c>
      <x:c r="S869" s="11" t="n">
        <x:f>IFERROR(R869/F869,"")</x:f>
        <x:v>0.7842639593908629</x:v>
      </x:c>
      <x:c r="T869" s="11" t="n">
        <x:f>IFERROR(R869/P869,"")</x:f>
        <x:v>0.7902813299232737</x:v>
      </x:c>
      <x:c r="U869" s="10" t="n">
        <x:f>I869+J869+K869</x:f>
        <x:v>69</x:v>
      </x:c>
      <x:c r="V869" s="11" t="n">
        <x:f>IFERROR(U869/P869,"")</x:f>
        <x:v>0.17647058823529413</x:v>
      </x:c>
      <x:c r="W869" s="9" t="str">
        <x:v>mature_le_5pct_pending</x:v>
      </x:c>
      <x:c r="X869" s="12" t="n">
        <x:f>IFERROR(F869/Z869*100000,"")</x:f>
        <x:v>26.749949080046168</x:v>
      </x:c>
      <x:c r="Y869" s="13" t="n">
        <x:f>LN(Z869)</x:f>
        <x:v>14.202743804477635</x:v>
      </x:c>
      <x:c r="Z869" s="6" t="str">
        <x:v>1472900</x:v>
      </x:c>
      <x:c r="AA869" s="6" t="str">
        <x:v>24.0</x:v>
      </x:c>
      <x:c r="AB869" s="9" t="str">
        <x:v>2024-06-30</x:v>
      </x:c>
      <x:c r="AC869" s="8" t="str">
        <x:v>39.73</x:v>
      </x:c>
      <x:c r="AD869" s="9" t="str">
        <x:v>2024 (Susenas)</x:v>
      </x:c>
      <x:c r="AE869" s="8" t="str">
        <x:v>365.43</x:v>
      </x:c>
      <x:c r="AF869" s="9" t="str">
        <x:v>Maret 2024 (Susenas)</x:v>
      </x:c>
      <x:c r="AG869" s="6" t="str">
        <x:v>22.52701521092065</x:v>
      </x:c>
      <x:c r="AH869" s="8" t="str">
        <x:v>92.1029067439675</x:v>
      </x:c>
      <x:c r="AI869" s="6" t="str">
        <x:v>343.42659945546654</x:v>
      </x:c>
      <x:c r="AJ869" s="6" t="str">
        <x:v>0.9405685502876224</x:v>
      </x:c>
      <x:c r="AK869" s="8" t="str">
        <x:v>3.4774980968480844</x:v>
      </x:c>
      <x:c r="AL869" s="6" t="str">
        <x:v>3.9471011082453593</x:v>
      </x:c>
      <x:c r="AM869" s="6" t="str">
        <x:v>4.123517718860708</x:v>
      </x:c>
      <x:c r="AN869" s="6" t="str">
        <x:v>3.8493723079847175</x:v>
      </x:c>
      <x:c r="AO869" s="6" t="str">
        <x:v>0.2569838583945198</x:v>
      </x:c>
      <x:c r="AP869" s="8" t="str">
        <x:v>0.3244143224066378</x:v>
      </x:c>
      <x:c r="AQ869" s="6" t="str">
        <x:v>0.0519695236297687</x:v>
      </x:c>
      <x:c r="AR869" s="6" t="str">
        <x:v>-1.4851454164768934</x:v>
      </x:c>
      <x:c r="AS869" s="6" t="str">
        <x:v>-0.3695871901468298</x:v>
      </x:c>
      <x:c r="AT869" s="6" t="str">
        <x:v>26.7013564759248</x:v>
      </x:c>
      <x:c r="AU869" s="8" t="str">
        <x:v>0.3285997716671927</x:v>
      </x:c>
      <x:c r="AV869" s="6" t="str">
        <x:v>0.5921808722189622</x:v>
      </x:c>
      <x:c r="AW869" s="6" t="str">
        <x:v>-0.3254799726042442</x:v>
      </x:c>
      <x:c r="AX869" s="6" t="str">
        <x:v>0.1984335570939705</x:v>
      </x:c>
      <x:c r="AY869" s="6" t="str">
        <x:v>0</x:v>
      </x:c>
      <x:c r="AZ869" s="6" t="str">
        <x:v>1</x:v>
      </x:c>
      <x:c r="BA869" s="9" t="str">
        <x:v>grid_cells_within_BIG_polygon</x:v>
      </x:c>
      <x:c r="BB869" s="6" t="str">
        <x:v>15</x:v>
      </x:c>
      <x:c r="BC869" s="6" t="str">
        <x:v>0</x:v>
      </x:c>
      <x:c r="BD869" s="6" t="str">
        <x:v>0</x:v>
      </x:c>
      <x:c r="BE869" s="6" t="str">
        <x:v>0</x:v>
      </x:c>
      <x:c r="BF869" s="6" t="str">
        <x:v>0</x:v>
      </x:c>
      <x:c r="BG869" s="6" t="str">
        <x:v>0</x:v>
      </x:c>
      <x:c r="BH869" s="6" t="str">
        <x:v>0</x:v>
      </x:c>
      <x:c r="BI869" s="6" t="str">
        <x:v>0</x:v>
      </x:c>
      <x:c r="BJ869" s="6" t="str">
        <x:v>0</x:v>
      </x:c>
      <x:c r="BK869" s="6" t="str">
        <x:v>0</x:v>
      </x:c>
      <x:c r="BL869" s="6" t="str">
        <x:v>0</x:v>
      </x:c>
      <x:c r="BM869" s="6" t="str">
        <x:v>0</x:v>
      </x:c>
      <x:c r="BN869" s="6" t="str">
        <x:v>0</x:v>
      </x:c>
      <x:c r="BO869" s="6" t="str"/>
      <x:c r="BP869" s="6" t="str">
        <x:v>0</x:v>
      </x:c>
      <x:c r="BQ869" s="6" t="str"/>
      <x:c r="BR869" s="6" t="str">
        <x:v>0</x:v>
      </x:c>
      <x:c r="BS869" s="6" t="str"/>
      <x:c r="BT869" s="6" t="str">
        <x:v>0</x:v>
      </x:c>
      <x:c r="BU869" s="6" t="str"/>
      <x:c r="BV869" s="6" t="str">
        <x:v>0</x:v>
      </x:c>
      <x:c r="BW869" s="9" t="str">
        <x:v>operational_snapshot_annual_totals_may_differ</x:v>
      </x:c>
      <x:c r="BX869" s="9" t="str">
        <x:v>official_live_dashboard_snapshot_subject_to_revision</x:v>
      </x:c>
      <x:c r="BY869" s="9" t="str">
        <x:v>https://tbdashboard.sitb.id/ss_data_tbc03so_2024_provinsi_bulanan_list.php</x:v>
      </x:c>
      <x:c r="BZ869" s="6" t="n">
        <x:v>46246.610671296294</x:v>
      </x:c>
    </x:row>
    <x:row r="870" ht="18" customHeight="1">
      <x:c r="A870" s="6" t="str">
        <x:v>96</x:v>
      </x:c>
      <x:c r="B870" s="6" t="str">
        <x:v>PAPUA TENGAH</x:v>
      </x:c>
      <x:c r="C870" s="6" t="str">
        <x:v>2024</x:v>
      </x:c>
      <x:c r="D870" s="6" t="str">
        <x:v>5</x:v>
      </x:c>
      <x:c r="E870" s="6" t="str">
        <x:v>2024-05</x:v>
      </x:c>
      <x:c r="F870" s="6" t="str">
        <x:v>444</x:v>
      </x:c>
      <x:c r="G870" s="6" t="str">
        <x:v>86</x:v>
      </x:c>
      <x:c r="H870" s="6" t="str">
        <x:v>261</x:v>
      </x:c>
      <x:c r="I870" s="6" t="str">
        <x:v>65</x:v>
      </x:c>
      <x:c r="J870" s="6" t="str">
        <x:v>10</x:v>
      </x:c>
      <x:c r="K870" s="6" t="str">
        <x:v>4</x:v>
      </x:c>
      <x:c r="L870" s="6" t="str">
        <x:v>10</x:v>
      </x:c>
      <x:c r="M870" s="6" t="str">
        <x:v>8</x:v>
      </x:c>
      <x:c r="N870" s="6" t="str">
        <x:v>444</x:v>
      </x:c>
      <x:c r="O870" s="6" t="str">
        <x:v>0</x:v>
      </x:c>
      <x:c r="P870" s="10" t="n">
        <x:f>F870-M870</x:f>
        <x:v>436</x:v>
      </x:c>
      <x:c r="Q870" s="11" t="n">
        <x:f>IFERROR(M870/F870,"")</x:f>
        <x:v>0.018018018018018018</x:v>
      </x:c>
      <x:c r="R870" s="10" t="n">
        <x:f>G870+H870</x:f>
        <x:v>347</x:v>
      </x:c>
      <x:c r="S870" s="11" t="n">
        <x:f>IFERROR(R870/F870,"")</x:f>
        <x:v>0.7815315315315315</x:v>
      </x:c>
      <x:c r="T870" s="11" t="n">
        <x:f>IFERROR(R870/P870,"")</x:f>
        <x:v>0.7958715596330275</x:v>
      </x:c>
      <x:c r="U870" s="10" t="n">
        <x:f>I870+J870+K870</x:f>
        <x:v>79</x:v>
      </x:c>
      <x:c r="V870" s="11" t="n">
        <x:f>IFERROR(U870/P870,"")</x:f>
        <x:v>0.1811926605504587</x:v>
      </x:c>
      <x:c r="W870" s="9" t="str">
        <x:v>mature_le_5pct_pending</x:v>
      </x:c>
      <x:c r="X870" s="12" t="n">
        <x:f>IFERROR(F870/Z870*100000,"")</x:f>
        <x:v>30.144612668884516</x:v>
      </x:c>
      <x:c r="Y870" s="13" t="n">
        <x:f>LN(Z870)</x:f>
        <x:v>14.202743804477635</x:v>
      </x:c>
      <x:c r="Z870" s="6" t="str">
        <x:v>1472900</x:v>
      </x:c>
      <x:c r="AA870" s="6" t="str">
        <x:v>24.0</x:v>
      </x:c>
      <x:c r="AB870" s="9" t="str">
        <x:v>2024-06-30</x:v>
      </x:c>
      <x:c r="AC870" s="8" t="str">
        <x:v>39.73</x:v>
      </x:c>
      <x:c r="AD870" s="9" t="str">
        <x:v>2024 (Susenas)</x:v>
      </x:c>
      <x:c r="AE870" s="8" t="str">
        <x:v>365.43</x:v>
      </x:c>
      <x:c r="AF870" s="9" t="str">
        <x:v>Maret 2024 (Susenas)</x:v>
      </x:c>
      <x:c r="AG870" s="6" t="str">
        <x:v>22.421726731582694</x:v>
      </x:c>
      <x:c r="AH870" s="8" t="str">
        <x:v>92.45314108540217</x:v>
      </x:c>
      <x:c r="AI870" s="6" t="str">
        <x:v>256.5459734272384</x:v>
      </x:c>
      <x:c r="AJ870" s="6" t="str">
        <x:v>0.8715549857710201</x:v>
      </x:c>
      <x:c r="AK870" s="8" t="str">
        <x:v>2.729976491378613</x:v>
      </x:c>
      <x:c r="AL870" s="6" t="str">
        <x:v>3.4774980968480844</x:v>
      </x:c>
      <x:c r="AM870" s="6" t="str">
        <x:v>3.9471011082453593</x:v>
      </x:c>
      <x:c r="AN870" s="6" t="str">
        <x:v>3.384858565490686</x:v>
      </x:c>
      <x:c r="AO870" s="6" t="str">
        <x:v>0.2046267784462827</x:v>
      </x:c>
      <x:c r="AP870" s="8" t="str">
        <x:v>0.2541943236551867</x:v>
      </x:c>
      <x:c r="AQ870" s="6" t="str">
        <x:v>0.3244143224066378</x:v>
      </x:c>
      <x:c r="AR870" s="6" t="str">
        <x:v>0.0519695236297687</x:v>
      </x:c>
      <x:c r="AS870" s="6" t="str">
        <x:v>0.2101927232305302</x:v>
      </x:c>
      <x:c r="AT870" s="6" t="str">
        <x:v>-12.38289462268392</x:v>
      </x:c>
      <x:c r="AU870" s="8" t="str">
        <x:v>-0.1527511455891077</x:v>
      </x:c>
      <x:c r="AV870" s="6" t="str">
        <x:v>0.3285997716671927</x:v>
      </x:c>
      <x:c r="AW870" s="6" t="str">
        <x:v>0.5921808722189622</x:v>
      </x:c>
      <x:c r="AX870" s="6" t="str">
        <x:v>0.2560098327656827</x:v>
      </x:c>
      <x:c r="AY870" s="6" t="str">
        <x:v>0</x:v>
      </x:c>
      <x:c r="AZ870" s="6" t="str">
        <x:v>1</x:v>
      </x:c>
      <x:c r="BA870" s="9" t="str">
        <x:v>grid_cells_within_BIG_polygon</x:v>
      </x:c>
      <x:c r="BB870" s="6" t="str">
        <x:v>15</x:v>
      </x:c>
      <x:c r="BC870" s="6" t="str">
        <x:v>0</x:v>
      </x:c>
      <x:c r="BD870" s="6" t="str">
        <x:v>0</x:v>
      </x:c>
      <x:c r="BE870" s="6" t="str">
        <x:v>0</x:v>
      </x:c>
      <x:c r="BF870" s="6" t="str">
        <x:v>0</x:v>
      </x:c>
      <x:c r="BG870" s="6" t="str">
        <x:v>0</x:v>
      </x:c>
      <x:c r="BH870" s="6" t="str">
        <x:v>0</x:v>
      </x:c>
      <x:c r="BI870" s="6" t="str">
        <x:v>0</x:v>
      </x:c>
      <x:c r="BJ870" s="6" t="str">
        <x:v>0</x:v>
      </x:c>
      <x:c r="BK870" s="6" t="str">
        <x:v>0</x:v>
      </x:c>
      <x:c r="BL870" s="6" t="str">
        <x:v>0</x:v>
      </x:c>
      <x:c r="BM870" s="6" t="str">
        <x:v>0</x:v>
      </x:c>
      <x:c r="BN870" s="6" t="str">
        <x:v>0</x:v>
      </x:c>
      <x:c r="BO870" s="6" t="str"/>
      <x:c r="BP870" s="6" t="str">
        <x:v>0</x:v>
      </x:c>
      <x:c r="BQ870" s="6" t="str"/>
      <x:c r="BR870" s="6" t="str">
        <x:v>0</x:v>
      </x:c>
      <x:c r="BS870" s="6" t="str"/>
      <x:c r="BT870" s="6" t="str">
        <x:v>0</x:v>
      </x:c>
      <x:c r="BU870" s="6" t="str"/>
      <x:c r="BV870" s="6" t="str">
        <x:v>0</x:v>
      </x:c>
      <x:c r="BW870" s="9" t="str">
        <x:v>operational_snapshot_annual_totals_may_differ</x:v>
      </x:c>
      <x:c r="BX870" s="9" t="str">
        <x:v>official_live_dashboard_snapshot_subject_to_revision</x:v>
      </x:c>
      <x:c r="BY870" s="9" t="str">
        <x:v>https://tbdashboard.sitb.id/ss_data_tbc03so_2024_provinsi_bulanan_list.php</x:v>
      </x:c>
      <x:c r="BZ870" s="6" t="n">
        <x:v>46246.610671296294</x:v>
      </x:c>
    </x:row>
    <x:row r="871" ht="18" customHeight="1">
      <x:c r="A871" s="6" t="str">
        <x:v>96</x:v>
      </x:c>
      <x:c r="B871" s="6" t="str">
        <x:v>PAPUA TENGAH</x:v>
      </x:c>
      <x:c r="C871" s="6" t="str">
        <x:v>2024</x:v>
      </x:c>
      <x:c r="D871" s="6" t="str">
        <x:v>6</x:v>
      </x:c>
      <x:c r="E871" s="6" t="str">
        <x:v>2024-06</x:v>
      </x:c>
      <x:c r="F871" s="6" t="str">
        <x:v>425</x:v>
      </x:c>
      <x:c r="G871" s="6" t="str">
        <x:v>59</x:v>
      </x:c>
      <x:c r="H871" s="6" t="str">
        <x:v>280</x:v>
      </x:c>
      <x:c r="I871" s="6" t="str">
        <x:v>59</x:v>
      </x:c>
      <x:c r="J871" s="6" t="str">
        <x:v>10</x:v>
      </x:c>
      <x:c r="K871" s="6" t="str">
        <x:v>2</x:v>
      </x:c>
      <x:c r="L871" s="6" t="str">
        <x:v>12</x:v>
      </x:c>
      <x:c r="M871" s="6" t="str">
        <x:v>3</x:v>
      </x:c>
      <x:c r="N871" s="6" t="str">
        <x:v>425</x:v>
      </x:c>
      <x:c r="O871" s="6" t="str">
        <x:v>0</x:v>
      </x:c>
      <x:c r="P871" s="10" t="n">
        <x:f>F871-M871</x:f>
        <x:v>422</x:v>
      </x:c>
      <x:c r="Q871" s="11" t="n">
        <x:f>IFERROR(M871/F871,"")</x:f>
        <x:v>0.007058823529411765</x:v>
      </x:c>
      <x:c r="R871" s="10" t="n">
        <x:f>G871+H871</x:f>
        <x:v>339</x:v>
      </x:c>
      <x:c r="S871" s="11" t="n">
        <x:f>IFERROR(R871/F871,"")</x:f>
        <x:v>0.7976470588235294</x:v>
      </x:c>
      <x:c r="T871" s="11" t="n">
        <x:f>IFERROR(R871/P871,"")</x:f>
        <x:v>0.8033175355450237</x:v>
      </x:c>
      <x:c r="U871" s="10" t="n">
        <x:f>I871+J871+K871</x:f>
        <x:v>71</x:v>
      </x:c>
      <x:c r="V871" s="11" t="n">
        <x:f>IFERROR(U871/P871,"")</x:f>
        <x:v>0.16824644549763032</x:v>
      </x:c>
      <x:c r="W871" s="9" t="str">
        <x:v>mature_le_5pct_pending</x:v>
      </x:c>
      <x:c r="X871" s="12" t="n">
        <x:f>IFERROR(F871/Z871*100000,"")</x:f>
        <x:v>28.854640505125946</x:v>
      </x:c>
      <x:c r="Y871" s="13" t="n">
        <x:f>LN(Z871)</x:f>
        <x:v>14.202743804477635</x:v>
      </x:c>
      <x:c r="Z871" s="6" t="str">
        <x:v>1472900</x:v>
      </x:c>
      <x:c r="AA871" s="6" t="str">
        <x:v>24.0</x:v>
      </x:c>
      <x:c r="AB871" s="9" t="str">
        <x:v>2024-06-30</x:v>
      </x:c>
      <x:c r="AC871" s="8" t="str">
        <x:v>39.73</x:v>
      </x:c>
      <x:c r="AD871" s="9" t="str">
        <x:v>2024 (Susenas)</x:v>
      </x:c>
      <x:c r="AE871" s="8" t="str">
        <x:v>365.43</x:v>
      </x:c>
      <x:c r="AF871" s="9" t="str">
        <x:v>Maret 2024 (Susenas)</x:v>
      </x:c>
      <x:c r="AG871" s="6" t="str">
        <x:v>21.77055827836742</x:v>
      </x:c>
      <x:c r="AH871" s="8" t="str">
        <x:v>93.25625456995311</x:v>
      </x:c>
      <x:c r="AI871" s="6" t="str">
        <x:v>336.9381009323234</x:v>
      </x:c>
      <x:c r="AJ871" s="6" t="str">
        <x:v>0.712525353510479</x:v>
      </x:c>
      <x:c r="AK871" s="8" t="str">
        <x:v>2.4013754273393846</x:v>
      </x:c>
      <x:c r="AL871" s="6" t="str">
        <x:v>2.729976491378613</x:v>
      </x:c>
      <x:c r="AM871" s="6" t="str">
        <x:v>3.4774980968480844</x:v>
      </x:c>
      <x:c r="AN871" s="6" t="str">
        <x:v>2.869616671855361</x:v>
      </x:c>
      <x:c r="AO871" s="6" t="str">
        <x:v>0.3658160170593163</x:v>
      </x:c>
      <x:c r="AP871" s="8" t="str">
        <x:v>0.3843232822022048</x:v>
      </x:c>
      <x:c r="AQ871" s="6" t="str">
        <x:v>0.2541943236551867</x:v>
      </x:c>
      <x:c r="AR871" s="6" t="str">
        <x:v>0.3244143224066378</x:v>
      </x:c>
      <x:c r="AS871" s="6" t="str">
        <x:v>0.3209773094213422</x:v>
      </x:c>
      <x:c r="AT871" s="6" t="str">
        <x:v>35.11142803288908</x:v>
      </x:c>
      <x:c r="AU871" s="8" t="str">
        <x:v>0.3544704930930906</x:v>
      </x:c>
      <x:c r="AV871" s="6" t="str">
        <x:v>-0.1527511455891077</x:v>
      </x:c>
      <x:c r="AW871" s="6" t="str">
        <x:v>0.3285997716671927</x:v>
      </x:c>
      <x:c r="AX871" s="6" t="str">
        <x:v>0.1767730397237255</x:v>
      </x:c>
      <x:c r="AY871" s="6" t="str">
        <x:v>0</x:v>
      </x:c>
      <x:c r="AZ871" s="6" t="str">
        <x:v>1</x:v>
      </x:c>
      <x:c r="BA871" s="9" t="str">
        <x:v>grid_cells_within_BIG_polygon</x:v>
      </x:c>
      <x:c r="BB871" s="6" t="str">
        <x:v>15</x:v>
      </x:c>
      <x:c r="BC871" s="6" t="str">
        <x:v>1</x:v>
      </x:c>
      <x:c r="BD871" s="6" t="str">
        <x:v>1</x:v>
      </x:c>
      <x:c r="BE871" s="6" t="str">
        <x:v>1</x:v>
      </x:c>
      <x:c r="BF871" s="6" t="str">
        <x:v>0</x:v>
      </x:c>
      <x:c r="BG871" s="6" t="str">
        <x:v>0</x:v>
      </x:c>
      <x:c r="BH871" s="6" t="str">
        <x:v>0</x:v>
      </x:c>
      <x:c r="BI871" s="6" t="str">
        <x:v>0</x:v>
      </x:c>
      <x:c r="BJ871" s="6" t="str">
        <x:v>0</x:v>
      </x:c>
      <x:c r="BK871" s="6" t="str">
        <x:v>0</x:v>
      </x:c>
      <x:c r="BL871" s="6" t="str">
        <x:v>0</x:v>
      </x:c>
      <x:c r="BM871" s="6" t="str">
        <x:v>0</x:v>
      </x:c>
      <x:c r="BN871" s="6" t="str">
        <x:v>1</x:v>
      </x:c>
      <x:c r="BO871" s="6" t="str">
        <x:v>0.0</x:v>
      </x:c>
      <x:c r="BP871" s="6" t="str">
        <x:v>1</x:v>
      </x:c>
      <x:c r="BQ871" s="6" t="str">
        <x:v>0.0</x:v>
      </x:c>
      <x:c r="BR871" s="6" t="str">
        <x:v>1</x:v>
      </x:c>
      <x:c r="BS871" s="6" t="str">
        <x:v>0.0</x:v>
      </x:c>
      <x:c r="BT871" s="6" t="str">
        <x:v>1</x:v>
      </x:c>
      <x:c r="BU871" s="6" t="str">
        <x:v>495.0</x:v>
      </x:c>
      <x:c r="BV871" s="6" t="str">
        <x:v>1</x:v>
      </x:c>
      <x:c r="BW871" s="9" t="str">
        <x:v>operational_snapshot_annual_totals_may_differ</x:v>
      </x:c>
      <x:c r="BX871" s="9" t="str">
        <x:v>official_live_dashboard_snapshot_subject_to_revision</x:v>
      </x:c>
      <x:c r="BY871" s="9" t="str">
        <x:v>https://tbdashboard.sitb.id/ss_data_tbc03so_2024_provinsi_bulanan_list.php</x:v>
      </x:c>
      <x:c r="BZ871" s="6" t="n">
        <x:v>46246.610671296294</x:v>
      </x:c>
    </x:row>
    <x:row r="872" ht="18" customHeight="1">
      <x:c r="A872" s="6" t="str">
        <x:v>96</x:v>
      </x:c>
      <x:c r="B872" s="6" t="str">
        <x:v>PAPUA TENGAH</x:v>
      </x:c>
      <x:c r="C872" s="6" t="str">
        <x:v>2024</x:v>
      </x:c>
      <x:c r="D872" s="6" t="str">
        <x:v>7</x:v>
      </x:c>
      <x:c r="E872" s="6" t="str">
        <x:v>2024-07</x:v>
      </x:c>
      <x:c r="F872" s="6" t="str">
        <x:v>486</x:v>
      </x:c>
      <x:c r="G872" s="6" t="str">
        <x:v>69</x:v>
      </x:c>
      <x:c r="H872" s="6" t="str">
        <x:v>317</x:v>
      </x:c>
      <x:c r="I872" s="6" t="str">
        <x:v>63</x:v>
      </x:c>
      <x:c r="J872" s="6" t="str">
        <x:v>17</x:v>
      </x:c>
      <x:c r="K872" s="6" t="str">
        <x:v>3</x:v>
      </x:c>
      <x:c r="L872" s="6" t="str">
        <x:v>13</x:v>
      </x:c>
      <x:c r="M872" s="6" t="str">
        <x:v>4</x:v>
      </x:c>
      <x:c r="N872" s="6" t="str">
        <x:v>486</x:v>
      </x:c>
      <x:c r="O872" s="6" t="str">
        <x:v>0</x:v>
      </x:c>
      <x:c r="P872" s="10" t="n">
        <x:f>F872-M872</x:f>
        <x:v>482</x:v>
      </x:c>
      <x:c r="Q872" s="11" t="n">
        <x:f>IFERROR(M872/F872,"")</x:f>
        <x:v>0.00823045267489712</x:v>
      </x:c>
      <x:c r="R872" s="10" t="n">
        <x:f>G872+H872</x:f>
        <x:v>386</x:v>
      </x:c>
      <x:c r="S872" s="11" t="n">
        <x:f>IFERROR(R872/F872,"")</x:f>
        <x:v>0.7942386831275721</x:v>
      </x:c>
      <x:c r="T872" s="11" t="n">
        <x:f>IFERROR(R872/P872,"")</x:f>
        <x:v>0.8008298755186722</x:v>
      </x:c>
      <x:c r="U872" s="10" t="n">
        <x:f>I872+J872+K872</x:f>
        <x:v>83</x:v>
      </x:c>
      <x:c r="V872" s="11" t="n">
        <x:f>IFERROR(U872/P872,"")</x:f>
        <x:v>0.17219917012448133</x:v>
      </x:c>
      <x:c r="W872" s="9" t="str">
        <x:v>mature_le_5pct_pending</x:v>
      </x:c>
      <x:c r="X872" s="12" t="n">
        <x:f>IFERROR(F872/Z872*100000,"")</x:f>
        <x:v>32.996130083508724</x:v>
      </x:c>
      <x:c r="Y872" s="13" t="n">
        <x:f>LN(Z872)</x:f>
        <x:v>14.202743804477635</x:v>
      </x:c>
      <x:c r="Z872" s="6" t="str">
        <x:v>1472900</x:v>
      </x:c>
      <x:c r="AA872" s="6" t="str">
        <x:v>24.0</x:v>
      </x:c>
      <x:c r="AB872" s="9" t="str">
        <x:v>2024-06-30</x:v>
      </x:c>
      <x:c r="AC872" s="8" t="str">
        <x:v>39.73</x:v>
      </x:c>
      <x:c r="AD872" s="9" t="str">
        <x:v>2024 (Susenas)</x:v>
      </x:c>
      <x:c r="AE872" s="8" t="str">
        <x:v>365.43</x:v>
      </x:c>
      <x:c r="AF872" s="9" t="str">
        <x:v>Maret 2024 (Susenas)</x:v>
      </x:c>
      <x:c r="AG872" s="6" t="str">
        <x:v>21.21336497663755</x:v>
      </x:c>
      <x:c r="AH872" s="8" t="str">
        <x:v>93.16690058995594</x:v>
      </x:c>
      <x:c r="AI872" s="6" t="str">
        <x:v>315.82289987297554</x:v>
      </x:c>
      <x:c r="AJ872" s="6" t="str">
        <x:v>0.5702148101455613</x:v>
      </x:c>
      <x:c r="AK872" s="8" t="str">
        <x:v>1.927652506725304</x:v>
      </x:c>
      <x:c r="AL872" s="6" t="str">
        <x:v>2.4013754273393846</x:v>
      </x:c>
      <x:c r="AM872" s="6" t="str">
        <x:v>2.729976491378613</x:v>
      </x:c>
      <x:c r="AN872" s="6" t="str">
        <x:v>2.353001475147768</x:v>
      </x:c>
      <x:c r="AO872" s="6" t="str">
        <x:v>0.6687979072916193</x:v>
      </x:c>
      <x:c r="AP872" s="8" t="str">
        <x:v>0.6759472683398985</x:v>
      </x:c>
      <x:c r="AQ872" s="6" t="str">
        <x:v>0.3843232822022048</x:v>
      </x:c>
      <x:c r="AR872" s="6" t="str">
        <x:v>0.2541943236551867</x:v>
      </x:c>
      <x:c r="AS872" s="6" t="str">
        <x:v>0.4381549580657624</x:v>
      </x:c>
      <x:c r="AT872" s="6" t="str">
        <x:v>-9.27379642243244</x:v>
      </x:c>
      <x:c r="AU872" s="8" t="str">
        <x:v>-0.0656987615853528</x:v>
      </x:c>
      <x:c r="AV872" s="6" t="str">
        <x:v>0.3544704930930906</x:v>
      </x:c>
      <x:c r="AW872" s="6" t="str">
        <x:v>-0.1527511455891077</x:v>
      </x:c>
      <x:c r="AX872" s="6" t="str">
        <x:v>0.0453401953062103</x:v>
      </x:c>
      <x:c r="AY872" s="6" t="str">
        <x:v>0</x:v>
      </x:c>
      <x:c r="AZ872" s="6" t="str">
        <x:v>1</x:v>
      </x:c>
      <x:c r="BA872" s="9" t="str">
        <x:v>grid_cells_within_BIG_polygon</x:v>
      </x:c>
      <x:c r="BB872" s="6" t="str">
        <x:v>15</x:v>
      </x:c>
      <x:c r="BC872" s="6" t="str">
        <x:v>1</x:v>
      </x:c>
      <x:c r="BD872" s="6" t="str">
        <x:v>1</x:v>
      </x:c>
      <x:c r="BE872" s="6" t="str">
        <x:v>1</x:v>
      </x:c>
      <x:c r="BF872" s="6" t="str">
        <x:v>0</x:v>
      </x:c>
      <x:c r="BG872" s="6" t="str">
        <x:v>0</x:v>
      </x:c>
      <x:c r="BH872" s="6" t="str">
        <x:v>0</x:v>
      </x:c>
      <x:c r="BI872" s="6" t="str">
        <x:v>0</x:v>
      </x:c>
      <x:c r="BJ872" s="6" t="str">
        <x:v>0</x:v>
      </x:c>
      <x:c r="BK872" s="6" t="str">
        <x:v>0</x:v>
      </x:c>
      <x:c r="BL872" s="6" t="str">
        <x:v>0</x:v>
      </x:c>
      <x:c r="BM872" s="6" t="str">
        <x:v>0</x:v>
      </x:c>
      <x:c r="BN872" s="6" t="str">
        <x:v>1</x:v>
      </x:c>
      <x:c r="BO872" s="6" t="str">
        <x:v>7.0</x:v>
      </x:c>
      <x:c r="BP872" s="6" t="str">
        <x:v>1</x:v>
      </x:c>
      <x:c r="BQ872" s="6" t="str">
        <x:v>0.0</x:v>
      </x:c>
      <x:c r="BR872" s="6" t="str">
        <x:v>1</x:v>
      </x:c>
      <x:c r="BS872" s="6" t="str">
        <x:v>0.0</x:v>
      </x:c>
      <x:c r="BT872" s="6" t="str">
        <x:v>1</x:v>
      </x:c>
      <x:c r="BU872" s="6" t="str"/>
      <x:c r="BV872" s="6" t="str">
        <x:v>0</x:v>
      </x:c>
      <x:c r="BW872" s="9" t="str">
        <x:v>operational_snapshot_annual_totals_may_differ</x:v>
      </x:c>
      <x:c r="BX872" s="9" t="str">
        <x:v>official_live_dashboard_snapshot_subject_to_revision</x:v>
      </x:c>
      <x:c r="BY872" s="9" t="str">
        <x:v>https://tbdashboard.sitb.id/ss_data_tbc03so_2024_provinsi_bulanan_list.php</x:v>
      </x:c>
      <x:c r="BZ872" s="6" t="n">
        <x:v>46246.610671296294</x:v>
      </x:c>
    </x:row>
    <x:row r="873" ht="18" customHeight="1">
      <x:c r="A873" s="6" t="str">
        <x:v>96</x:v>
      </x:c>
      <x:c r="B873" s="6" t="str">
        <x:v>PAPUA TENGAH</x:v>
      </x:c>
      <x:c r="C873" s="6" t="str">
        <x:v>2024</x:v>
      </x:c>
      <x:c r="D873" s="6" t="str">
        <x:v>8</x:v>
      </x:c>
      <x:c r="E873" s="6" t="str">
        <x:v>2024-08</x:v>
      </x:c>
      <x:c r="F873" s="6" t="str">
        <x:v>571</x:v>
      </x:c>
      <x:c r="G873" s="6" t="str">
        <x:v>96</x:v>
      </x:c>
      <x:c r="H873" s="6" t="str">
        <x:v>338</x:v>
      </x:c>
      <x:c r="I873" s="6" t="str">
        <x:v>103</x:v>
      </x:c>
      <x:c r="J873" s="6" t="str">
        <x:v>17</x:v>
      </x:c>
      <x:c r="K873" s="6" t="str">
        <x:v>1</x:v>
      </x:c>
      <x:c r="L873" s="6" t="str">
        <x:v>5</x:v>
      </x:c>
      <x:c r="M873" s="6" t="str">
        <x:v>11</x:v>
      </x:c>
      <x:c r="N873" s="6" t="str">
        <x:v>571</x:v>
      </x:c>
      <x:c r="O873" s="6" t="str">
        <x:v>0</x:v>
      </x:c>
      <x:c r="P873" s="10" t="n">
        <x:f>F873-M873</x:f>
        <x:v>560</x:v>
      </x:c>
      <x:c r="Q873" s="11" t="n">
        <x:f>IFERROR(M873/F873,"")</x:f>
        <x:v>0.01926444833625219</x:v>
      </x:c>
      <x:c r="R873" s="10" t="n">
        <x:f>G873+H873</x:f>
        <x:v>434</x:v>
      </x:c>
      <x:c r="S873" s="11" t="n">
        <x:f>IFERROR(R873/F873,"")</x:f>
        <x:v>0.7600700525394045</x:v>
      </x:c>
      <x:c r="T873" s="11" t="n">
        <x:f>IFERROR(R873/P873,"")</x:f>
        <x:v>0.775</x:v>
      </x:c>
      <x:c r="U873" s="10" t="n">
        <x:f>I873+J873+K873</x:f>
        <x:v>121</x:v>
      </x:c>
      <x:c r="V873" s="11" t="n">
        <x:f>IFERROR(U873/P873,"")</x:f>
        <x:v>0.21607142857142858</x:v>
      </x:c>
      <x:c r="W873" s="9" t="str">
        <x:v>mature_le_5pct_pending</x:v>
      </x:c>
      <x:c r="X873" s="12" t="n">
        <x:f>IFERROR(F873/Z873*100000,"")</x:f>
        <x:v>38.76705818453391</x:v>
      </x:c>
      <x:c r="Y873" s="13" t="n">
        <x:f>LN(Z873)</x:f>
        <x:v>14.202743804477635</x:v>
      </x:c>
      <x:c r="Z873" s="6" t="str">
        <x:v>1472900</x:v>
      </x:c>
      <x:c r="AA873" s="6" t="str">
        <x:v>24.0</x:v>
      </x:c>
      <x:c r="AB873" s="9" t="str">
        <x:v>2024-06-30</x:v>
      </x:c>
      <x:c r="AC873" s="8" t="str">
        <x:v>39.73</x:v>
      </x:c>
      <x:c r="AD873" s="9" t="str">
        <x:v>2024 (Susenas)</x:v>
      </x:c>
      <x:c r="AE873" s="8" t="str">
        <x:v>365.43</x:v>
      </x:c>
      <x:c r="AF873" s="9" t="str">
        <x:v>Maret 2024 (Susenas)</x:v>
      </x:c>
      <x:c r="AG873" s="6" t="str">
        <x:v>21.59932488330433</x:v>
      </x:c>
      <x:c r="AH873" s="8" t="str">
        <x:v>92.76645423276618</x:v>
      </x:c>
      <x:c r="AI873" s="6" t="str">
        <x:v>440.0655619467432</x:v>
      </x:c>
      <x:c r="AJ873" s="6" t="str">
        <x:v>0.9737361596804632</x:v>
      </x:c>
      <x:c r="AK873" s="8" t="str">
        <x:v>3.1998273230183614</x:v>
      </x:c>
      <x:c r="AL873" s="6" t="str">
        <x:v>1.927652506725304</x:v>
      </x:c>
      <x:c r="AM873" s="6" t="str">
        <x:v>2.4013754273393846</x:v>
      </x:c>
      <x:c r="AN873" s="6" t="str">
        <x:v>2.509618419027684</x:v>
      </x:c>
      <x:c r="AO873" s="6" t="str">
        <x:v>1.213804029973545</x:v>
      </x:c>
      <x:c r="AP873" s="8" t="str">
        <x:v>0.7657361996479963</x:v>
      </x:c>
      <x:c r="AQ873" s="6" t="str">
        <x:v>0.6759472683398985</x:v>
      </x:c>
      <x:c r="AR873" s="6" t="str">
        <x:v>0.3843232822022048</x:v>
      </x:c>
      <x:c r="AS873" s="6" t="str">
        <x:v>0.6086689167300323</x:v>
      </x:c>
      <x:c r="AT873" s="6" t="str">
        <x:v>144.9348553361142</x:v>
      </x:c>
      <x:c r="AU873" s="8" t="str">
        <x:v>1.1614199681388222</x:v>
      </x:c>
      <x:c r="AV873" s="6" t="str">
        <x:v>-0.0656987615853528</x:v>
      </x:c>
      <x:c r="AW873" s="6" t="str">
        <x:v>0.3544704930930906</x:v>
      </x:c>
      <x:c r="AX873" s="6" t="str">
        <x:v>0.4833972332155203</x:v>
      </x:c>
      <x:c r="AY873" s="6" t="str">
        <x:v>1</x:v>
      </x:c>
      <x:c r="AZ873" s="6" t="str">
        <x:v>1</x:v>
      </x:c>
      <x:c r="BA873" s="9" t="str">
        <x:v>grid_cells_within_BIG_polygon</x:v>
      </x:c>
      <x:c r="BB873" s="6" t="str">
        <x:v>15</x:v>
      </x:c>
      <x:c r="BC873" s="6" t="str">
        <x:v>1</x:v>
      </x:c>
      <x:c r="BD873" s="6" t="str">
        <x:v>1</x:v>
      </x:c>
      <x:c r="BE873" s="6" t="str">
        <x:v>1</x:v>
      </x:c>
      <x:c r="BF873" s="6" t="str">
        <x:v>0</x:v>
      </x:c>
      <x:c r="BG873" s="6" t="str">
        <x:v>0</x:v>
      </x:c>
      <x:c r="BH873" s="6" t="str">
        <x:v>0</x:v>
      </x:c>
      <x:c r="BI873" s="6" t="str">
        <x:v>0</x:v>
      </x:c>
      <x:c r="BJ873" s="6" t="str">
        <x:v>0</x:v>
      </x:c>
      <x:c r="BK873" s="6" t="str">
        <x:v>0</x:v>
      </x:c>
      <x:c r="BL873" s="6" t="str">
        <x:v>0</x:v>
      </x:c>
      <x:c r="BM873" s="6" t="str">
        <x:v>0</x:v>
      </x:c>
      <x:c r="BN873" s="6" t="str">
        <x:v>1</x:v>
      </x:c>
      <x:c r="BO873" s="6" t="str">
        <x:v>4.0</x:v>
      </x:c>
      <x:c r="BP873" s="6" t="str">
        <x:v>1</x:v>
      </x:c>
      <x:c r="BQ873" s="6" t="str">
        <x:v>1.0</x:v>
      </x:c>
      <x:c r="BR873" s="6" t="str">
        <x:v>1</x:v>
      </x:c>
      <x:c r="BS873" s="6" t="str">
        <x:v>0.0</x:v>
      </x:c>
      <x:c r="BT873" s="6" t="str">
        <x:v>1</x:v>
      </x:c>
      <x:c r="BU873" s="6" t="str"/>
      <x:c r="BV873" s="6" t="str">
        <x:v>0</x:v>
      </x:c>
      <x:c r="BW873" s="9" t="str">
        <x:v>operational_snapshot_annual_totals_may_differ</x:v>
      </x:c>
      <x:c r="BX873" s="9" t="str">
        <x:v>official_live_dashboard_snapshot_subject_to_revision</x:v>
      </x:c>
      <x:c r="BY873" s="9" t="str">
        <x:v>https://tbdashboard.sitb.id/ss_data_tbc03so_2024_provinsi_bulanan_list.php</x:v>
      </x:c>
      <x:c r="BZ873" s="6" t="n">
        <x:v>46246.610671296294</x:v>
      </x:c>
    </x:row>
    <x:row r="874" ht="18" customHeight="1">
      <x:c r="A874" s="6" t="str">
        <x:v>96</x:v>
      </x:c>
      <x:c r="B874" s="6" t="str">
        <x:v>PAPUA TENGAH</x:v>
      </x:c>
      <x:c r="C874" s="6" t="str">
        <x:v>2024</x:v>
      </x:c>
      <x:c r="D874" s="6" t="str">
        <x:v>9</x:v>
      </x:c>
      <x:c r="E874" s="6" t="str">
        <x:v>2024-09</x:v>
      </x:c>
      <x:c r="F874" s="6" t="str">
        <x:v>424</x:v>
      </x:c>
      <x:c r="G874" s="6" t="str">
        <x:v>90</x:v>
      </x:c>
      <x:c r="H874" s="6" t="str">
        <x:v>236</x:v>
      </x:c>
      <x:c r="I874" s="6" t="str">
        <x:v>53</x:v>
      </x:c>
      <x:c r="J874" s="6" t="str">
        <x:v>11</x:v>
      </x:c>
      <x:c r="K874" s="6" t="str">
        <x:v>3</x:v>
      </x:c>
      <x:c r="L874" s="6" t="str">
        <x:v>6</x:v>
      </x:c>
      <x:c r="M874" s="6" t="str">
        <x:v>25</x:v>
      </x:c>
      <x:c r="N874" s="6" t="str">
        <x:v>424</x:v>
      </x:c>
      <x:c r="O874" s="6" t="str">
        <x:v>0</x:v>
      </x:c>
      <x:c r="P874" s="10" t="n">
        <x:f>F874-M874</x:f>
        <x:v>399</x:v>
      </x:c>
      <x:c r="Q874" s="11" t="n">
        <x:f>IFERROR(M874/F874,"")</x:f>
        <x:v>0.0589622641509434</x:v>
      </x:c>
      <x:c r="R874" s="10" t="n">
        <x:f>G874+H874</x:f>
        <x:v>326</x:v>
      </x:c>
      <x:c r="S874" s="11" t="n">
        <x:f>IFERROR(R874/F874,"")</x:f>
        <x:v>0.7688679245283019</x:v>
      </x:c>
      <x:c r="T874" s="11" t="n">
        <x:f>IFERROR(R874/P874,"")</x:f>
        <x:v>0.8170426065162907</x:v>
      </x:c>
      <x:c r="U874" s="10" t="n">
        <x:f>I874+J874+K874</x:f>
        <x:v>67</x:v>
      </x:c>
      <x:c r="V874" s="11" t="n">
        <x:f>IFERROR(U874/P874,"")</x:f>
        <x:v>0.16791979949874686</x:v>
      </x:c>
      <x:c r="W874" s="9" t="str">
        <x:v>provisional_gt_5pct_pending</x:v>
      </x:c>
      <x:c r="X874" s="12" t="n">
        <x:f>IFERROR(F874/Z874*100000,"")</x:f>
        <x:v>28.786747233349175</x:v>
      </x:c>
      <x:c r="Y874" s="13" t="n">
        <x:f>LN(Z874)</x:f>
        <x:v>14.202743804477635</x:v>
      </x:c>
      <x:c r="Z874" s="6" t="str">
        <x:v>1472900</x:v>
      </x:c>
      <x:c r="AA874" s="6" t="str">
        <x:v>24.0</x:v>
      </x:c>
      <x:c r="AB874" s="9" t="str">
        <x:v>2024-06-30</x:v>
      </x:c>
      <x:c r="AC874" s="8" t="str">
        <x:v>39.73</x:v>
      </x:c>
      <x:c r="AD874" s="9" t="str">
        <x:v>2024 (Susenas)</x:v>
      </x:c>
      <x:c r="AE874" s="8" t="str">
        <x:v>365.43</x:v>
      </x:c>
      <x:c r="AF874" s="9" t="str">
        <x:v>Maret 2024 (Susenas)</x:v>
      </x:c>
      <x:c r="AG874" s="6" t="str">
        <x:v>21.981910435366704</x:v>
      </x:c>
      <x:c r="AH874" s="8" t="str">
        <x:v>90.89196611300648</x:v>
      </x:c>
      <x:c r="AI874" s="6" t="str">
        <x:v>303.25459236151755</x:v>
      </x:c>
      <x:c r="AJ874" s="6" t="str">
        <x:v>1.0332781570205931</x:v>
      </x:c>
      <x:c r="AK874" s="8" t="str">
        <x:v>4.175282033186848</x:v>
      </x:c>
      <x:c r="AL874" s="6" t="str">
        <x:v>3.1998273230183614</x:v>
      </x:c>
      <x:c r="AM874" s="6" t="str">
        <x:v>1.927652506725304</x:v>
      </x:c>
      <x:c r="AN874" s="6" t="str">
        <x:v>3.100920620976838</x:v>
      </x:c>
      <x:c r="AO874" s="6" t="str">
        <x:v>-0.3119580114886844</x:v>
      </x:c>
      <x:c r="AP874" s="8" t="str">
        <x:v>-0.1806678507771653</x:v>
      </x:c>
      <x:c r="AQ874" s="6" t="str">
        <x:v>0.7657361996479963</x:v>
      </x:c>
      <x:c r="AR874" s="6" t="str">
        <x:v>0.6759472683398985</x:v>
      </x:c>
      <x:c r="AS874" s="6" t="str">
        <x:v>0.4203385390702422</x:v>
      </x:c>
      <x:c r="AT874" s="6" t="str">
        <x:v>43.71005529129269</x:v>
      </x:c>
      <x:c r="AU874" s="8" t="str">
        <x:v>0.424898304073495</x:v>
      </x:c>
      <x:c r="AV874" s="6" t="str">
        <x:v>1.1614199681388222</x:v>
      </x:c>
      <x:c r="AW874" s="6" t="str">
        <x:v>-0.0656987615853528</x:v>
      </x:c>
      <x:c r="AX874" s="6" t="str">
        <x:v>0.5068731702089885</x:v>
      </x:c>
      <x:c r="AY874" s="6" t="str">
        <x:v>0</x:v>
      </x:c>
      <x:c r="AZ874" s="6" t="str">
        <x:v>1</x:v>
      </x:c>
      <x:c r="BA874" s="9" t="str">
        <x:v>grid_cells_within_BIG_polygon</x:v>
      </x:c>
      <x:c r="BB874" s="6" t="str">
        <x:v>15</x:v>
      </x:c>
      <x:c r="BC874" s="6" t="str">
        <x:v>0</x:v>
      </x:c>
      <x:c r="BD874" s="6" t="str">
        <x:v>0</x:v>
      </x:c>
      <x:c r="BE874" s="6" t="str">
        <x:v>0</x:v>
      </x:c>
      <x:c r="BF874" s="6" t="str">
        <x:v>0</x:v>
      </x:c>
      <x:c r="BG874" s="6" t="str">
        <x:v>0</x:v>
      </x:c>
      <x:c r="BH874" s="6" t="str">
        <x:v>0</x:v>
      </x:c>
      <x:c r="BI874" s="6" t="str">
        <x:v>0</x:v>
      </x:c>
      <x:c r="BJ874" s="6" t="str">
        <x:v>0</x:v>
      </x:c>
      <x:c r="BK874" s="6" t="str">
        <x:v>0</x:v>
      </x:c>
      <x:c r="BL874" s="6" t="str">
        <x:v>0</x:v>
      </x:c>
      <x:c r="BM874" s="6" t="str">
        <x:v>0</x:v>
      </x:c>
      <x:c r="BN874" s="6" t="str">
        <x:v>0</x:v>
      </x:c>
      <x:c r="BO874" s="6" t="str"/>
      <x:c r="BP874" s="6" t="str">
        <x:v>0</x:v>
      </x:c>
      <x:c r="BQ874" s="6" t="str"/>
      <x:c r="BR874" s="6" t="str">
        <x:v>0</x:v>
      </x:c>
      <x:c r="BS874" s="6" t="str"/>
      <x:c r="BT874" s="6" t="str">
        <x:v>0</x:v>
      </x:c>
      <x:c r="BU874" s="6" t="str"/>
      <x:c r="BV874" s="6" t="str">
        <x:v>0</x:v>
      </x:c>
      <x:c r="BW874" s="9" t="str">
        <x:v>operational_snapshot_annual_totals_may_differ</x:v>
      </x:c>
      <x:c r="BX874" s="9" t="str">
        <x:v>official_live_dashboard_snapshot_subject_to_revision</x:v>
      </x:c>
      <x:c r="BY874" s="9" t="str">
        <x:v>https://tbdashboard.sitb.id/ss_data_tbc03so_2024_provinsi_bulanan_list.php</x:v>
      </x:c>
      <x:c r="BZ874" s="6" t="n">
        <x:v>46246.610671296294</x:v>
      </x:c>
    </x:row>
    <x:row r="875" ht="18" customHeight="1">
      <x:c r="A875" s="6" t="str">
        <x:v>96</x:v>
      </x:c>
      <x:c r="B875" s="6" t="str">
        <x:v>PAPUA TENGAH</x:v>
      </x:c>
      <x:c r="C875" s="6" t="str">
        <x:v>2024</x:v>
      </x:c>
      <x:c r="D875" s="6" t="str">
        <x:v>10</x:v>
      </x:c>
      <x:c r="E875" s="6" t="str">
        <x:v>2024-10</x:v>
      </x:c>
      <x:c r="F875" s="6" t="str">
        <x:v>489</x:v>
      </x:c>
      <x:c r="G875" s="6" t="str">
        <x:v>89</x:v>
      </x:c>
      <x:c r="H875" s="6" t="str">
        <x:v>268</x:v>
      </x:c>
      <x:c r="I875" s="6" t="str">
        <x:v>70</x:v>
      </x:c>
      <x:c r="J875" s="6" t="str">
        <x:v>11</x:v>
      </x:c>
      <x:c r="K875" s="6" t="str">
        <x:v>5</x:v>
      </x:c>
      <x:c r="L875" s="6" t="str">
        <x:v>5</x:v>
      </x:c>
      <x:c r="M875" s="6" t="str">
        <x:v>41</x:v>
      </x:c>
      <x:c r="N875" s="6" t="str">
        <x:v>489</x:v>
      </x:c>
      <x:c r="O875" s="6" t="str">
        <x:v>0</x:v>
      </x:c>
      <x:c r="P875" s="10" t="n">
        <x:f>F875-M875</x:f>
        <x:v>448</x:v>
      </x:c>
      <x:c r="Q875" s="11" t="n">
        <x:f>IFERROR(M875/F875,"")</x:f>
        <x:v>0.08384458077709611</x:v>
      </x:c>
      <x:c r="R875" s="10" t="n">
        <x:f>G875+H875</x:f>
        <x:v>357</x:v>
      </x:c>
      <x:c r="S875" s="11" t="n">
        <x:f>IFERROR(R875/F875,"")</x:f>
        <x:v>0.7300613496932515</x:v>
      </x:c>
      <x:c r="T875" s="11" t="n">
        <x:f>IFERROR(R875/P875,"")</x:f>
        <x:v>0.796875</x:v>
      </x:c>
      <x:c r="U875" s="10" t="n">
        <x:f>I875+J875+K875</x:f>
        <x:v>86</x:v>
      </x:c>
      <x:c r="V875" s="11" t="n">
        <x:f>IFERROR(U875/P875,"")</x:f>
        <x:v>0.19196428571428573</x:v>
      </x:c>
      <x:c r="W875" s="9" t="str">
        <x:v>provisional_gt_5pct_pending</x:v>
      </x:c>
      <x:c r="X875" s="12" t="n">
        <x:f>IFERROR(F875/Z875*100000,"")</x:f>
        <x:v>33.19980989883903</x:v>
      </x:c>
      <x:c r="Y875" s="13" t="n">
        <x:f>LN(Z875)</x:f>
        <x:v>14.202743804477635</x:v>
      </x:c>
      <x:c r="Z875" s="6" t="str">
        <x:v>1472900</x:v>
      </x:c>
      <x:c r="AA875" s="6" t="str">
        <x:v>24.0</x:v>
      </x:c>
      <x:c r="AB875" s="9" t="str">
        <x:v>2024-06-30</x:v>
      </x:c>
      <x:c r="AC875" s="8" t="str">
        <x:v>39.73</x:v>
      </x:c>
      <x:c r="AD875" s="9" t="str">
        <x:v>2024 (Susenas)</x:v>
      </x:c>
      <x:c r="AE875" s="8" t="str">
        <x:v>365.43</x:v>
      </x:c>
      <x:c r="AF875" s="9" t="str">
        <x:v>Maret 2024 (Susenas)</x:v>
      </x:c>
      <x:c r="AG875" s="6" t="str">
        <x:v>22.0444085876494</x:v>
      </x:c>
      <x:c r="AH875" s="8" t="str">
        <x:v>90.32441711869924</x:v>
      </x:c>
      <x:c r="AI875" s="6" t="str">
        <x:v>236.2292455717837</x:v>
      </x:c>
      <x:c r="AJ875" s="6" t="str">
        <x:v>0.660019976301573</x:v>
      </x:c>
      <x:c r="AK875" s="8" t="str">
        <x:v>2.99562190122197</x:v>
      </x:c>
      <x:c r="AL875" s="6" t="str">
        <x:v>4.175282033186848</x:v>
      </x:c>
      <x:c r="AM875" s="6" t="str">
        <x:v>3.1998273230183614</x:v>
      </x:c>
      <x:c r="AN875" s="6" t="str">
        <x:v>3.456910419142393</x:v>
      </x:c>
      <x:c r="AO875" s="6" t="str">
        <x:v>-0.088200128535135</x:v>
      </x:c>
      <x:c r="AP875" s="8" t="str">
        <x:v>-0.0485981732278263</x:v>
      </x:c>
      <x:c r="AQ875" s="6" t="str">
        <x:v>-0.1806678507771653</x:v>
      </x:c>
      <x:c r="AR875" s="6" t="str">
        <x:v>0.7657361996479963</x:v>
      </x:c>
      <x:c r="AS875" s="6" t="str">
        <x:v>0.1788233918810006</x:v>
      </x:c>
      <x:c r="AT875" s="6" t="str">
        <x:v>-2.257914800903848</x:v>
      </x:c>
      <x:c r="AU875" s="8" t="str">
        <x:v>-0.0226365804774482</x:v>
      </x:c>
      <x:c r="AV875" s="6" t="str">
        <x:v>0.424898304073495</x:v>
      </x:c>
      <x:c r="AW875" s="6" t="str">
        <x:v>1.1614199681388222</x:v>
      </x:c>
      <x:c r="AX875" s="6" t="str">
        <x:v>0.5212272305782899</x:v>
      </x:c>
      <x:c r="AY875" s="6" t="str">
        <x:v>0</x:v>
      </x:c>
      <x:c r="AZ875" s="6" t="str">
        <x:v>1</x:v>
      </x:c>
      <x:c r="BA875" s="9" t="str">
        <x:v>grid_cells_within_BIG_polygon</x:v>
      </x:c>
      <x:c r="BB875" s="6" t="str">
        <x:v>15</x:v>
      </x:c>
      <x:c r="BC875" s="6" t="str">
        <x:v>0</x:v>
      </x:c>
      <x:c r="BD875" s="6" t="str">
        <x:v>0</x:v>
      </x:c>
      <x:c r="BE875" s="6" t="str">
        <x:v>0</x:v>
      </x:c>
      <x:c r="BF875" s="6" t="str">
        <x:v>0</x:v>
      </x:c>
      <x:c r="BG875" s="6" t="str">
        <x:v>0</x:v>
      </x:c>
      <x:c r="BH875" s="6" t="str">
        <x:v>0</x:v>
      </x:c>
      <x:c r="BI875" s="6" t="str">
        <x:v>0</x:v>
      </x:c>
      <x:c r="BJ875" s="6" t="str">
        <x:v>0</x:v>
      </x:c>
      <x:c r="BK875" s="6" t="str">
        <x:v>0</x:v>
      </x:c>
      <x:c r="BL875" s="6" t="str">
        <x:v>0</x:v>
      </x:c>
      <x:c r="BM875" s="6" t="str">
        <x:v>0</x:v>
      </x:c>
      <x:c r="BN875" s="6" t="str">
        <x:v>0</x:v>
      </x:c>
      <x:c r="BO875" s="6" t="str"/>
      <x:c r="BP875" s="6" t="str">
        <x:v>0</x:v>
      </x:c>
      <x:c r="BQ875" s="6" t="str"/>
      <x:c r="BR875" s="6" t="str">
        <x:v>0</x:v>
      </x:c>
      <x:c r="BS875" s="6" t="str"/>
      <x:c r="BT875" s="6" t="str">
        <x:v>0</x:v>
      </x:c>
      <x:c r="BU875" s="6" t="str"/>
      <x:c r="BV875" s="6" t="str">
        <x:v>0</x:v>
      </x:c>
      <x:c r="BW875" s="9" t="str">
        <x:v>operational_snapshot_annual_totals_may_differ</x:v>
      </x:c>
      <x:c r="BX875" s="9" t="str">
        <x:v>official_live_dashboard_snapshot_subject_to_revision</x:v>
      </x:c>
      <x:c r="BY875" s="9" t="str">
        <x:v>https://tbdashboard.sitb.id/ss_data_tbc03so_2024_provinsi_bulanan_list.php</x:v>
      </x:c>
      <x:c r="BZ875" s="6" t="n">
        <x:v>46246.610671296294</x:v>
      </x:c>
    </x:row>
    <x:row r="876" ht="18" customHeight="1">
      <x:c r="A876" s="6" t="str">
        <x:v>96</x:v>
      </x:c>
      <x:c r="B876" s="6" t="str">
        <x:v>PAPUA TENGAH</x:v>
      </x:c>
      <x:c r="C876" s="6" t="str">
        <x:v>2024</x:v>
      </x:c>
      <x:c r="D876" s="6" t="str">
        <x:v>11</x:v>
      </x:c>
      <x:c r="E876" s="6" t="str">
        <x:v>2024-11</x:v>
      </x:c>
      <x:c r="F876" s="6" t="str">
        <x:v>464</x:v>
      </x:c>
      <x:c r="G876" s="6" t="str">
        <x:v>81</x:v>
      </x:c>
      <x:c r="H876" s="6" t="str">
        <x:v>269</x:v>
      </x:c>
      <x:c r="I876" s="6" t="str">
        <x:v>72</x:v>
      </x:c>
      <x:c r="J876" s="6" t="str">
        <x:v>11</x:v>
      </x:c>
      <x:c r="K876" s="6" t="str">
        <x:v>3</x:v>
      </x:c>
      <x:c r="L876" s="6" t="str">
        <x:v>6</x:v>
      </x:c>
      <x:c r="M876" s="6" t="str">
        <x:v>22</x:v>
      </x:c>
      <x:c r="N876" s="6" t="str">
        <x:v>464</x:v>
      </x:c>
      <x:c r="O876" s="6" t="str">
        <x:v>0</x:v>
      </x:c>
      <x:c r="P876" s="10" t="n">
        <x:f>F876-M876</x:f>
        <x:v>442</x:v>
      </x:c>
      <x:c r="Q876" s="11" t="n">
        <x:f>IFERROR(M876/F876,"")</x:f>
        <x:v>0.04741379310344827</x:v>
      </x:c>
      <x:c r="R876" s="10" t="n">
        <x:f>G876+H876</x:f>
        <x:v>350</x:v>
      </x:c>
      <x:c r="S876" s="11" t="n">
        <x:f>IFERROR(R876/F876,"")</x:f>
        <x:v>0.7543103448275862</x:v>
      </x:c>
      <x:c r="T876" s="11" t="n">
        <x:f>IFERROR(R876/P876,"")</x:f>
        <x:v>0.7918552036199095</x:v>
      </x:c>
      <x:c r="U876" s="10" t="n">
        <x:f>I876+J876+K876</x:f>
        <x:v>86</x:v>
      </x:c>
      <x:c r="V876" s="11" t="n">
        <x:f>IFERROR(U876/P876,"")</x:f>
        <x:v>0.19457013574660634</x:v>
      </x:c>
      <x:c r="W876" s="9" t="str">
        <x:v>mature_le_5pct_pending</x:v>
      </x:c>
      <x:c r="X876" s="12" t="n">
        <x:f>IFERROR(F876/Z876*100000,"")</x:f>
        <x:v>31.50247810441985</x:v>
      </x:c>
      <x:c r="Y876" s="13" t="n">
        <x:f>LN(Z876)</x:f>
        <x:v>14.202743804477635</x:v>
      </x:c>
      <x:c r="Z876" s="6" t="str">
        <x:v>1472900</x:v>
      </x:c>
      <x:c r="AA876" s="6" t="str">
        <x:v>24.0</x:v>
      </x:c>
      <x:c r="AB876" s="9" t="str">
        <x:v>2024-06-30</x:v>
      </x:c>
      <x:c r="AC876" s="8" t="str">
        <x:v>39.73</x:v>
      </x:c>
      <x:c r="AD876" s="9" t="str">
        <x:v>2024 (Susenas)</x:v>
      </x:c>
      <x:c r="AE876" s="8" t="str">
        <x:v>365.43</x:v>
      </x:c>
      <x:c r="AF876" s="9" t="str">
        <x:v>Maret 2024 (Susenas)</x:v>
      </x:c>
      <x:c r="AG876" s="6" t="str">
        <x:v>22.43036449958529</x:v>
      </x:c>
      <x:c r="AH876" s="8" t="str">
        <x:v>90.06990555128942</x:v>
      </x:c>
      <x:c r="AI876" s="6" t="str">
        <x:v>244.0645088569436</x:v>
      </x:c>
      <x:c r="AJ876" s="6" t="str">
        <x:v>0.7624744266531813</x:v>
      </x:c>
      <x:c r="AK876" s="8" t="str">
        <x:v>3.784688796990936</x:v>
      </x:c>
      <x:c r="AL876" s="6" t="str">
        <x:v>2.99562190122197</x:v>
      </x:c>
      <x:c r="AM876" s="6" t="str">
        <x:v>4.175282033186848</x:v>
      </x:c>
      <x:c r="AN876" s="6" t="str">
        <x:v>3.6518642437999183</x:v>
      </x:c>
      <x:c r="AO876" s="6" t="str">
        <x:v>-0.3564716113285016</x:v>
      </x:c>
      <x:c r="AP876" s="8" t="str">
        <x:v>-0.2509153478911274</x:v>
      </x:c>
      <x:c r="AQ876" s="6" t="str">
        <x:v>-0.0485981732278263</x:v>
      </x:c>
      <x:c r="AR876" s="6" t="str">
        <x:v>-0.1806678507771653</x:v>
      </x:c>
      <x:c r="AS876" s="6" t="str">
        <x:v>-0.1600604572987072</x:v>
      </x:c>
      <x:c r="AT876" s="6" t="str">
        <x:v>15.605348644252471</x:v>
      </x:c>
      <x:c r="AU876" s="8" t="str">
        <x:v>0.2014028643476761</x:v>
      </x:c>
      <x:c r="AV876" s="6" t="str">
        <x:v>-0.0226365804774482</x:v>
      </x:c>
      <x:c r="AW876" s="6" t="str">
        <x:v>0.424898304073495</x:v>
      </x:c>
      <x:c r="AX876" s="6" t="str">
        <x:v>0.2012215293145745</x:v>
      </x:c>
      <x:c r="AY876" s="6" t="str">
        <x:v>0</x:v>
      </x:c>
      <x:c r="AZ876" s="6" t="str">
        <x:v>1</x:v>
      </x:c>
      <x:c r="BA876" s="9" t="str">
        <x:v>grid_cells_within_BIG_polygon</x:v>
      </x:c>
      <x:c r="BB876" s="6" t="str">
        <x:v>15</x:v>
      </x:c>
      <x:c r="BC876" s="6" t="str">
        <x:v>0</x:v>
      </x:c>
      <x:c r="BD876" s="6" t="str">
        <x:v>0</x:v>
      </x:c>
      <x:c r="BE876" s="6" t="str">
        <x:v>0</x:v>
      </x:c>
      <x:c r="BF876" s="6" t="str">
        <x:v>0</x:v>
      </x:c>
      <x:c r="BG876" s="6" t="str">
        <x:v>0</x:v>
      </x:c>
      <x:c r="BH876" s="6" t="str">
        <x:v>0</x:v>
      </x:c>
      <x:c r="BI876" s="6" t="str">
        <x:v>0</x:v>
      </x:c>
      <x:c r="BJ876" s="6" t="str">
        <x:v>0</x:v>
      </x:c>
      <x:c r="BK876" s="6" t="str">
        <x:v>0</x:v>
      </x:c>
      <x:c r="BL876" s="6" t="str">
        <x:v>0</x:v>
      </x:c>
      <x:c r="BM876" s="6" t="str">
        <x:v>0</x:v>
      </x:c>
      <x:c r="BN876" s="6" t="str">
        <x:v>0</x:v>
      </x:c>
      <x:c r="BO876" s="6" t="str"/>
      <x:c r="BP876" s="6" t="str">
        <x:v>0</x:v>
      </x:c>
      <x:c r="BQ876" s="6" t="str"/>
      <x:c r="BR876" s="6" t="str">
        <x:v>0</x:v>
      </x:c>
      <x:c r="BS876" s="6" t="str"/>
      <x:c r="BT876" s="6" t="str">
        <x:v>0</x:v>
      </x:c>
      <x:c r="BU876" s="6" t="str"/>
      <x:c r="BV876" s="6" t="str">
        <x:v>0</x:v>
      </x:c>
      <x:c r="BW876" s="9" t="str">
        <x:v>operational_snapshot_annual_totals_may_differ</x:v>
      </x:c>
      <x:c r="BX876" s="9" t="str">
        <x:v>official_live_dashboard_snapshot_subject_to_revision</x:v>
      </x:c>
      <x:c r="BY876" s="9" t="str">
        <x:v>https://tbdashboard.sitb.id/ss_data_tbc03so_2024_provinsi_bulanan_list.php</x:v>
      </x:c>
      <x:c r="BZ876" s="6" t="n">
        <x:v>46246.610671296294</x:v>
      </x:c>
    </x:row>
    <x:row r="877" ht="18" customHeight="1">
      <x:c r="A877" s="6" t="str">
        <x:v>96</x:v>
      </x:c>
      <x:c r="B877" s="6" t="str">
        <x:v>PAPUA TENGAH</x:v>
      </x:c>
      <x:c r="C877" s="6" t="str">
        <x:v>2024</x:v>
      </x:c>
      <x:c r="D877" s="6" t="str">
        <x:v>12</x:v>
      </x:c>
      <x:c r="E877" s="6" t="str">
        <x:v>2024-12</x:v>
      </x:c>
      <x:c r="F877" s="6" t="str">
        <x:v>367</x:v>
      </x:c>
      <x:c r="G877" s="6" t="str">
        <x:v>70</x:v>
      </x:c>
      <x:c r="H877" s="6" t="str">
        <x:v>207</x:v>
      </x:c>
      <x:c r="I877" s="6" t="str">
        <x:v>48</x:v>
      </x:c>
      <x:c r="J877" s="6" t="str">
        <x:v>13</x:v>
      </x:c>
      <x:c r="K877" s="6" t="str">
        <x:v>5</x:v>
      </x:c>
      <x:c r="L877" s="6" t="str">
        <x:v>4</x:v>
      </x:c>
      <x:c r="M877" s="6" t="str">
        <x:v>20</x:v>
      </x:c>
      <x:c r="N877" s="6" t="str">
        <x:v>367</x:v>
      </x:c>
      <x:c r="O877" s="6" t="str">
        <x:v>0</x:v>
      </x:c>
      <x:c r="P877" s="10" t="n">
        <x:f>F877-M877</x:f>
        <x:v>347</x:v>
      </x:c>
      <x:c r="Q877" s="11" t="n">
        <x:f>IFERROR(M877/F877,"")</x:f>
        <x:v>0.05449591280653951</x:v>
      </x:c>
      <x:c r="R877" s="10" t="n">
        <x:f>G877+H877</x:f>
        <x:v>277</x:v>
      </x:c>
      <x:c r="S877" s="11" t="n">
        <x:f>IFERROR(R877/F877,"")</x:f>
        <x:v>0.7547683923705722</x:v>
      </x:c>
      <x:c r="T877" s="11" t="n">
        <x:f>IFERROR(R877/P877,"")</x:f>
        <x:v>0.7982708933717579</x:v>
      </x:c>
      <x:c r="U877" s="10" t="n">
        <x:f>I877+J877+K877</x:f>
        <x:v>66</x:v>
      </x:c>
      <x:c r="V877" s="11" t="n">
        <x:f>IFERROR(U877/P877,"")</x:f>
        <x:v>0.19020172910662825</x:v>
      </x:c>
      <x:c r="W877" s="9" t="str">
        <x:v>provisional_gt_5pct_pending</x:v>
      </x:c>
      <x:c r="X877" s="12" t="n">
        <x:f>IFERROR(F877/Z877*100000,"")</x:f>
        <x:v>24.91683074207346</x:v>
      </x:c>
      <x:c r="Y877" s="13" t="n">
        <x:f>LN(Z877)</x:f>
        <x:v>14.202743804477635</x:v>
      </x:c>
      <x:c r="Z877" s="6" t="str">
        <x:v>1472900</x:v>
      </x:c>
      <x:c r="AA877" s="6" t="str">
        <x:v>24.0</x:v>
      </x:c>
      <x:c r="AB877" s="9" t="str">
        <x:v>2024-06-30</x:v>
      </x:c>
      <x:c r="AC877" s="8" t="str">
        <x:v>39.73</x:v>
      </x:c>
      <x:c r="AD877" s="9" t="str">
        <x:v>2024 (Susenas)</x:v>
      </x:c>
      <x:c r="AE877" s="8" t="str">
        <x:v>365.43</x:v>
      </x:c>
      <x:c r="AF877" s="9" t="str">
        <x:v>Maret 2024 (Susenas)</x:v>
      </x:c>
      <x:c r="AG877" s="6" t="str">
        <x:v>22.343626728682057</x:v>
      </x:c>
      <x:c r="AH877" s="8" t="str">
        <x:v>91.50208101716512</x:v>
      </x:c>
      <x:c r="AI877" s="6" t="str">
        <x:v>392.997250909984</x:v>
      </x:c>
      <x:c r="AJ877" s="6" t="str">
        <x:v>0.6205280619262439</x:v>
      </x:c>
      <x:c r="AK877" s="8" t="str">
        <x:v>2.529183975024115</x:v>
      </x:c>
      <x:c r="AL877" s="6" t="str">
        <x:v>3.784688796990936</x:v>
      </x:c>
      <x:c r="AM877" s="6" t="str">
        <x:v>2.99562190122197</x:v>
      </x:c>
      <x:c r="AN877" s="6" t="str">
        <x:v>3.103164891079007</x:v>
      </x:c>
      <x:c r="AO877" s="6" t="str">
        <x:v>0.8244316707061472</x:v>
      </x:c>
      <x:c r="AP877" s="8" t="str">
        <x:v>0.8642400643666277</x:v>
      </x:c>
      <x:c r="AQ877" s="6" t="str">
        <x:v>-0.2509153478911274</x:v>
      </x:c>
      <x:c r="AR877" s="6" t="str">
        <x:v>-0.0485981732278263</x:v>
      </x:c>
      <x:c r="AS877" s="6" t="str">
        <x:v>0.188242181082557</x:v>
      </x:c>
      <x:c r="AT877" s="6" t="str">
        <x:v>108.99084344219943</x:v>
      </x:c>
      <x:c r="AU877" s="8" t="str">
        <x:v>1.4788113067162807</x:v>
      </x:c>
      <x:c r="AV877" s="6" t="str">
        <x:v>0.2014028643476761</x:v>
      </x:c>
      <x:c r="AW877" s="6" t="str">
        <x:v>-0.0226365804774482</x:v>
      </x:c>
      <x:c r="AX877" s="6" t="str">
        <x:v>0.5525258635288365</x:v>
      </x:c>
      <x:c r="AY877" s="6" t="str">
        <x:v>1</x:v>
      </x:c>
      <x:c r="AZ877" s="6" t="str">
        <x:v>1</x:v>
      </x:c>
      <x:c r="BA877" s="9" t="str">
        <x:v>grid_cells_within_BIG_polygon</x:v>
      </x:c>
      <x:c r="BB877" s="6" t="str">
        <x:v>15</x:v>
      </x:c>
      <x:c r="BC877" s="6" t="str">
        <x:v>0</x:v>
      </x:c>
      <x:c r="BD877" s="6" t="str">
        <x:v>0</x:v>
      </x:c>
      <x:c r="BE877" s="6" t="str">
        <x:v>0</x:v>
      </x:c>
      <x:c r="BF877" s="6" t="str">
        <x:v>0</x:v>
      </x:c>
      <x:c r="BG877" s="6" t="str">
        <x:v>0</x:v>
      </x:c>
      <x:c r="BH877" s="6" t="str">
        <x:v>0</x:v>
      </x:c>
      <x:c r="BI877" s="6" t="str">
        <x:v>0</x:v>
      </x:c>
      <x:c r="BJ877" s="6" t="str">
        <x:v>0</x:v>
      </x:c>
      <x:c r="BK877" s="6" t="str">
        <x:v>0</x:v>
      </x:c>
      <x:c r="BL877" s="6" t="str">
        <x:v>0</x:v>
      </x:c>
      <x:c r="BM877" s="6" t="str">
        <x:v>0</x:v>
      </x:c>
      <x:c r="BN877" s="6" t="str">
        <x:v>0</x:v>
      </x:c>
      <x:c r="BO877" s="6" t="str"/>
      <x:c r="BP877" s="6" t="str">
        <x:v>0</x:v>
      </x:c>
      <x:c r="BQ877" s="6" t="str"/>
      <x:c r="BR877" s="6" t="str">
        <x:v>0</x:v>
      </x:c>
      <x:c r="BS877" s="6" t="str"/>
      <x:c r="BT877" s="6" t="str">
        <x:v>0</x:v>
      </x:c>
      <x:c r="BU877" s="6" t="str"/>
      <x:c r="BV877" s="6" t="str">
        <x:v>0</x:v>
      </x:c>
      <x:c r="BW877" s="9" t="str">
        <x:v>operational_snapshot_annual_totals_may_differ</x:v>
      </x:c>
      <x:c r="BX877" s="9" t="str">
        <x:v>official_live_dashboard_snapshot_subject_to_revision</x:v>
      </x:c>
      <x:c r="BY877" s="9" t="str">
        <x:v>https://tbdashboard.sitb.id/ss_data_tbc03so_2024_provinsi_bulanan_list.php</x:v>
      </x:c>
      <x:c r="BZ877" s="6" t="n">
        <x:v>46246.610671296294</x:v>
      </x:c>
    </x:row>
    <x:row r="878" ht="18" customHeight="1">
      <x:c r="A878" s="6" t="str">
        <x:v>96</x:v>
      </x:c>
      <x:c r="B878" s="6" t="str">
        <x:v>PAPUA TENGAH</x:v>
      </x:c>
      <x:c r="C878" s="6" t="str">
        <x:v>2025</x:v>
      </x:c>
      <x:c r="D878" s="6" t="str">
        <x:v>1</x:v>
      </x:c>
      <x:c r="E878" s="6" t="str">
        <x:v>2025-01</x:v>
      </x:c>
      <x:c r="F878" s="6" t="str">
        <x:v>463</x:v>
      </x:c>
      <x:c r="G878" s="6" t="str">
        <x:v>89</x:v>
      </x:c>
      <x:c r="H878" s="6" t="str">
        <x:v>257</x:v>
      </x:c>
      <x:c r="I878" s="6" t="str">
        <x:v>62</x:v>
      </x:c>
      <x:c r="J878" s="6" t="str">
        <x:v>13</x:v>
      </x:c>
      <x:c r="K878" s="6" t="str">
        <x:v>7</x:v>
      </x:c>
      <x:c r="L878" s="6" t="str">
        <x:v>2</x:v>
      </x:c>
      <x:c r="M878" s="6" t="str">
        <x:v>33</x:v>
      </x:c>
      <x:c r="N878" s="6" t="str">
        <x:v>463</x:v>
      </x:c>
      <x:c r="O878" s="6" t="str">
        <x:v>0</x:v>
      </x:c>
      <x:c r="P878" s="10" t="n">
        <x:f>F878-M878</x:f>
        <x:v>430</x:v>
      </x:c>
      <x:c r="Q878" s="11" t="n">
        <x:f>IFERROR(M878/F878,"")</x:f>
        <x:v>0.07127429805615551</x:v>
      </x:c>
      <x:c r="R878" s="10" t="n">
        <x:f>G878+H878</x:f>
        <x:v>346</x:v>
      </x:c>
      <x:c r="S878" s="11" t="n">
        <x:f>IFERROR(R878/F878,"")</x:f>
        <x:v>0.7473002159827213</x:v>
      </x:c>
      <x:c r="T878" s="11" t="n">
        <x:f>IFERROR(R878/P878,"")</x:f>
        <x:v>0.8046511627906977</x:v>
      </x:c>
      <x:c r="U878" s="10" t="n">
        <x:f>I878+J878+K878</x:f>
        <x:v>82</x:v>
      </x:c>
      <x:c r="V878" s="11" t="n">
        <x:f>IFERROR(U878/P878,"")</x:f>
        <x:v>0.19069767441860466</x:v>
      </x:c>
      <x:c r="W878" s="9" t="str">
        <x:v>provisional_gt_5pct_pending</x:v>
      </x:c>
      <x:c r="X878" s="12" t="n">
        <x:f>IFERROR(F878/Z878*100000,"")</x:f>
        <x:v>31.025933123366617</x:v>
      </x:c>
      <x:c r="Y878" s="13" t="n">
        <x:f>LN(Z878)</x:f>
        <x:v>14.21582911191956</x:v>
      </x:c>
      <x:c r="Z878" s="6" t="str">
        <x:v>1492300</x:v>
      </x:c>
      <x:c r="AA878" s="6" t="str">
        <x:v>24.0</x:v>
      </x:c>
      <x:c r="AB878" s="9" t="str">
        <x:v>2025-06-30</x:v>
      </x:c>
      <x:c r="AC878" s="8" t="str">
        <x:v>12.6</x:v>
      </x:c>
      <x:c r="AD878" s="9" t="str">
        <x:v>2025 (Susenas)</x:v>
      </x:c>
      <x:c r="AE878" s="8" t="str">
        <x:v>28.9</x:v>
      </x:c>
      <x:c r="AF878" s="9" t="str">
        <x:v>Maret 2025 (Susenas)</x:v>
      </x:c>
      <x:c r="AG878" s="6" t="str">
        <x:v>22.143072424913488</x:v>
      </x:c>
      <x:c r="AH878" s="8" t="str">
        <x:v>91.09407437398993</x:v>
      </x:c>
      <x:c r="AI878" s="6" t="str">
        <x:v>402.4030996718276</x:v>
      </x:c>
      <x:c r="AJ878" s="6" t="str">
        <x:v>0.5759553151164276</x:v>
      </x:c>
      <x:c r="AK878" s="8" t="str">
        <x:v>2.129606651096501</x:v>
      </x:c>
      <x:c r="AL878" s="6" t="str">
        <x:v>2.529183975024115</x:v>
      </x:c>
      <x:c r="AM878" s="6" t="str">
        <x:v>3.784688796990936</x:v>
      </x:c>
      <x:c r="AN878" s="6" t="str">
        <x:v>2.814493141037184</x:v>
      </x:c>
      <x:c r="AO878" s="6" t="str">
        <x:v>0.5830529725800346</x:v>
      </x:c>
      <x:c r="AP878" s="8" t="str">
        <x:v>0.6837512383333346</x:v>
      </x:c>
      <x:c r="AQ878" s="6" t="str">
        <x:v>0.8642400643666277</x:v>
      </x:c>
      <x:c r="AR878" s="6" t="str">
        <x:v>-0.2509153478911274</x:v>
      </x:c>
      <x:c r="AS878" s="6" t="str">
        <x:v>0.432358651602944</x:v>
      </x:c>
      <x:c r="AT878" s="6" t="str">
        <x:v>119.45083735869387</x:v>
      </x:c>
      <x:c r="AU878" s="8" t="str">
        <x:v>1.450552818734432</x:v>
      </x:c>
      <x:c r="AV878" s="6" t="str">
        <x:v>1.4788113067162807</x:v>
      </x:c>
      <x:c r="AW878" s="6" t="str">
        <x:v>0.2014028643476761</x:v>
      </x:c>
      <x:c r="AX878" s="6" t="str">
        <x:v>1.0435889965994631</x:v>
      </x:c>
      <x:c r="AY878" s="6" t="str">
        <x:v>1</x:v>
      </x:c>
      <x:c r="AZ878" s="6" t="str">
        <x:v>1</x:v>
      </x:c>
      <x:c r="BA878" s="9" t="str">
        <x:v>grid_cells_within_BIG_polygon</x:v>
      </x:c>
      <x:c r="BB878" s="6" t="str">
        <x:v>15</x:v>
      </x:c>
      <x:c r="BC878" s="6" t="str">
        <x:v>0</x:v>
      </x:c>
      <x:c r="BD878" s="6" t="str">
        <x:v>0</x:v>
      </x:c>
      <x:c r="BE878" s="6" t="str">
        <x:v>0</x:v>
      </x:c>
      <x:c r="BF878" s="6" t="str">
        <x:v>0</x:v>
      </x:c>
      <x:c r="BG878" s="6" t="str">
        <x:v>0</x:v>
      </x:c>
      <x:c r="BH878" s="6" t="str">
        <x:v>0</x:v>
      </x:c>
      <x:c r="BI878" s="6" t="str">
        <x:v>0</x:v>
      </x:c>
      <x:c r="BJ878" s="6" t="str">
        <x:v>0</x:v>
      </x:c>
      <x:c r="BK878" s="6" t="str">
        <x:v>0</x:v>
      </x:c>
      <x:c r="BL878" s="6" t="str">
        <x:v>0</x:v>
      </x:c>
      <x:c r="BM878" s="6" t="str">
        <x:v>0</x:v>
      </x:c>
      <x:c r="BN878" s="6" t="str">
        <x:v>0</x:v>
      </x:c>
      <x:c r="BO878" s="6" t="str"/>
      <x:c r="BP878" s="6" t="str">
        <x:v>0</x:v>
      </x:c>
      <x:c r="BQ878" s="6" t="str"/>
      <x:c r="BR878" s="6" t="str">
        <x:v>0</x:v>
      </x:c>
      <x:c r="BS878" s="6" t="str"/>
      <x:c r="BT878" s="6" t="str">
        <x:v>0</x:v>
      </x:c>
      <x:c r="BU878" s="6" t="str"/>
      <x:c r="BV878" s="6" t="str">
        <x:v>0</x:v>
      </x:c>
      <x:c r="BW878" s="9" t="str">
        <x:v>operational_snapshot_annual_totals_may_differ</x:v>
      </x:c>
      <x:c r="BX878" s="9" t="str">
        <x:v>official_live_dashboard_snapshot_subject_to_revision</x:v>
      </x:c>
      <x:c r="BY878" s="9" t="str">
        <x:v>https://tbdashboard.sitb.id/ss_data_tbc03so_2025_provinsi_bulanan_list.php</x:v>
      </x:c>
      <x:c r="BZ878" s="6" t="n">
        <x:v>46246.610671296294</x:v>
      </x:c>
    </x:row>
    <x:row r="879" ht="18" customHeight="1">
      <x:c r="A879" s="6" t="str">
        <x:v>96</x:v>
      </x:c>
      <x:c r="B879" s="6" t="str">
        <x:v>PAPUA TENGAH</x:v>
      </x:c>
      <x:c r="C879" s="6" t="str">
        <x:v>2025</x:v>
      </x:c>
      <x:c r="D879" s="6" t="str">
        <x:v>2</x:v>
      </x:c>
      <x:c r="E879" s="6" t="str">
        <x:v>2025-02</x:v>
      </x:c>
      <x:c r="F879" s="6" t="str">
        <x:v>539</x:v>
      </x:c>
      <x:c r="G879" s="6" t="str">
        <x:v>95</x:v>
      </x:c>
      <x:c r="H879" s="6" t="str">
        <x:v>324</x:v>
      </x:c>
      <x:c r="I879" s="6" t="str">
        <x:v>53</x:v>
      </x:c>
      <x:c r="J879" s="6" t="str">
        <x:v>10</x:v>
      </x:c>
      <x:c r="K879" s="6" t="str">
        <x:v>0</x:v>
      </x:c>
      <x:c r="L879" s="6" t="str">
        <x:v>2</x:v>
      </x:c>
      <x:c r="M879" s="6" t="str">
        <x:v>55</x:v>
      </x:c>
      <x:c r="N879" s="6" t="str">
        <x:v>539</x:v>
      </x:c>
      <x:c r="O879" s="6" t="str">
        <x:v>0</x:v>
      </x:c>
      <x:c r="P879" s="10" t="n">
        <x:f>F879-M879</x:f>
        <x:v>484</x:v>
      </x:c>
      <x:c r="Q879" s="11" t="n">
        <x:f>IFERROR(M879/F879,"")</x:f>
        <x:v>0.10204081632653061</x:v>
      </x:c>
      <x:c r="R879" s="10" t="n">
        <x:f>G879+H879</x:f>
        <x:v>419</x:v>
      </x:c>
      <x:c r="S879" s="11" t="n">
        <x:f>IFERROR(R879/F879,"")</x:f>
        <x:v>0.7773654916512059</x:v>
      </x:c>
      <x:c r="T879" s="11" t="n">
        <x:f>IFERROR(R879/P879,"")</x:f>
        <x:v>0.8657024793388429</x:v>
      </x:c>
      <x:c r="U879" s="10" t="n">
        <x:f>I879+J879+K879</x:f>
        <x:v>63</x:v>
      </x:c>
      <x:c r="V879" s="11" t="n">
        <x:f>IFERROR(U879/P879,"")</x:f>
        <x:v>0.13016528925619836</x:v>
      </x:c>
      <x:c r="W879" s="9" t="str">
        <x:v>provisional_gt_5pct_pending</x:v>
      </x:c>
      <x:c r="X879" s="12" t="n">
        <x:f>IFERROR(F879/Z879*100000,"")</x:f>
        <x:v>36.118742880117935</x:v>
      </x:c>
      <x:c r="Y879" s="13" t="n">
        <x:f>LN(Z879)</x:f>
        <x:v>14.21582911191956</x:v>
      </x:c>
      <x:c r="Z879" s="6" t="str">
        <x:v>1492300</x:v>
      </x:c>
      <x:c r="AA879" s="6" t="str">
        <x:v>24.0</x:v>
      </x:c>
      <x:c r="AB879" s="9" t="str">
        <x:v>2025-06-30</x:v>
      </x:c>
      <x:c r="AC879" s="8" t="str">
        <x:v>12.6</x:v>
      </x:c>
      <x:c r="AD879" s="9" t="str">
        <x:v>2025 (Susenas)</x:v>
      </x:c>
      <x:c r="AE879" s="8" t="str">
        <x:v>28.9</x:v>
      </x:c>
      <x:c r="AF879" s="9" t="str">
        <x:v>Maret 2025 (Susenas)</x:v>
      </x:c>
      <x:c r="AG879" s="6" t="str">
        <x:v>21.85226386115157</x:v>
      </x:c>
      <x:c r="AH879" s="8" t="str">
        <x:v>89.59483707572986</x:v>
      </x:c>
      <x:c r="AI879" s="6" t="str">
        <x:v>313.2676551149135</x:v>
      </x:c>
      <x:c r="AJ879" s="6" t="str">
        <x:v>0.3497746453515873</x:v>
      </x:c>
      <x:c r="AK879" s="8" t="str">
        <x:v>1.2827256176303514</x:v>
      </x:c>
      <x:c r="AL879" s="6" t="str">
        <x:v>2.129606651096501</x:v>
      </x:c>
      <x:c r="AM879" s="6" t="str">
        <x:v>2.529183975024115</x:v>
      </x:c>
      <x:c r="AN879" s="6" t="str">
        <x:v>1.980505414583656</x:v>
      </x:c>
      <x:c r="AO879" s="6" t="str">
        <x:v>-0.9704632063732248</x:v>
      </x:c>
      <x:c r="AP879" s="8" t="str">
        <x:v>-0.9941903567394164</x:v>
      </x:c>
      <x:c r="AQ879" s="6" t="str">
        <x:v>0.6837512383333346</x:v>
      </x:c>
      <x:c r="AR879" s="6" t="str">
        <x:v>0.8642400643666277</x:v>
      </x:c>
      <x:c r="AS879" s="6" t="str">
        <x:v>0.1846003153201811</x:v>
      </x:c>
      <x:c r="AT879" s="6" t="str">
        <x:v>54.830375230894674</x:v>
      </x:c>
      <x:c r="AU879" s="8" t="str">
        <x:v>0.7366830822635098</x:v>
      </x:c>
      <x:c r="AV879" s="6" t="str">
        <x:v>1.450552818734432</x:v>
      </x:c>
      <x:c r="AW879" s="6" t="str">
        <x:v>1.4788113067162807</x:v>
      </x:c>
      <x:c r="AX879" s="6" t="str">
        <x:v>1.2220157359047412</x:v>
      </x:c>
      <x:c r="AY879" s="6" t="str">
        <x:v>0</x:v>
      </x:c>
      <x:c r="AZ879" s="6" t="str">
        <x:v>1</x:v>
      </x:c>
      <x:c r="BA879" s="9" t="str">
        <x:v>grid_cells_within_BIG_polygon</x:v>
      </x:c>
      <x:c r="BB879" s="6" t="str">
        <x:v>15</x:v>
      </x:c>
      <x:c r="BC879" s="6" t="str">
        <x:v>0</x:v>
      </x:c>
      <x:c r="BD879" s="6" t="str">
        <x:v>0</x:v>
      </x:c>
      <x:c r="BE879" s="6" t="str">
        <x:v>0</x:v>
      </x:c>
      <x:c r="BF879" s="6" t="str">
        <x:v>0</x:v>
      </x:c>
      <x:c r="BG879" s="6" t="str">
        <x:v>0</x:v>
      </x:c>
      <x:c r="BH879" s="6" t="str">
        <x:v>0</x:v>
      </x:c>
      <x:c r="BI879" s="6" t="str">
        <x:v>0</x:v>
      </x:c>
      <x:c r="BJ879" s="6" t="str">
        <x:v>0</x:v>
      </x:c>
      <x:c r="BK879" s="6" t="str">
        <x:v>0</x:v>
      </x:c>
      <x:c r="BL879" s="6" t="str">
        <x:v>0</x:v>
      </x:c>
      <x:c r="BM879" s="6" t="str">
        <x:v>0</x:v>
      </x:c>
      <x:c r="BN879" s="6" t="str">
        <x:v>0</x:v>
      </x:c>
      <x:c r="BO879" s="6" t="str"/>
      <x:c r="BP879" s="6" t="str">
        <x:v>0</x:v>
      </x:c>
      <x:c r="BQ879" s="6" t="str"/>
      <x:c r="BR879" s="6" t="str">
        <x:v>0</x:v>
      </x:c>
      <x:c r="BS879" s="6" t="str"/>
      <x:c r="BT879" s="6" t="str">
        <x:v>0</x:v>
      </x:c>
      <x:c r="BU879" s="6" t="str"/>
      <x:c r="BV879" s="6" t="str">
        <x:v>0</x:v>
      </x:c>
      <x:c r="BW879" s="9" t="str">
        <x:v>operational_snapshot_annual_totals_may_differ</x:v>
      </x:c>
      <x:c r="BX879" s="9" t="str">
        <x:v>official_live_dashboard_snapshot_subject_to_revision</x:v>
      </x:c>
      <x:c r="BY879" s="9" t="str">
        <x:v>https://tbdashboard.sitb.id/ss_data_tbc03so_2025_provinsi_bulanan_list.php</x:v>
      </x:c>
      <x:c r="BZ879" s="6" t="n">
        <x:v>46246.610671296294</x:v>
      </x:c>
    </x:row>
    <x:row r="880" ht="18" customHeight="1">
      <x:c r="A880" s="6" t="str">
        <x:v>96</x:v>
      </x:c>
      <x:c r="B880" s="6" t="str">
        <x:v>PAPUA TENGAH</x:v>
      </x:c>
      <x:c r="C880" s="6" t="str">
        <x:v>2025</x:v>
      </x:c>
      <x:c r="D880" s="6" t="str">
        <x:v>3</x:v>
      </x:c>
      <x:c r="E880" s="6" t="str">
        <x:v>2025-03</x:v>
      </x:c>
      <x:c r="F880" s="6" t="str">
        <x:v>480</x:v>
      </x:c>
      <x:c r="G880" s="6" t="str">
        <x:v>73</x:v>
      </x:c>
      <x:c r="H880" s="6" t="str">
        <x:v>304</x:v>
      </x:c>
      <x:c r="I880" s="6" t="str">
        <x:v>54</x:v>
      </x:c>
      <x:c r="J880" s="6" t="str">
        <x:v>10</x:v>
      </x:c>
      <x:c r="K880" s="6" t="str">
        <x:v>2</x:v>
      </x:c>
      <x:c r="L880" s="6" t="str">
        <x:v>0</x:v>
      </x:c>
      <x:c r="M880" s="6" t="str">
        <x:v>37</x:v>
      </x:c>
      <x:c r="N880" s="6" t="str">
        <x:v>480</x:v>
      </x:c>
      <x:c r="O880" s="6" t="str">
        <x:v>0</x:v>
      </x:c>
      <x:c r="P880" s="10" t="n">
        <x:f>F880-M880</x:f>
        <x:v>443</x:v>
      </x:c>
      <x:c r="Q880" s="11" t="n">
        <x:f>IFERROR(M880/F880,"")</x:f>
        <x:v>0.07708333333333334</x:v>
      </x:c>
      <x:c r="R880" s="10" t="n">
        <x:f>G880+H880</x:f>
        <x:v>377</x:v>
      </x:c>
      <x:c r="S880" s="11" t="n">
        <x:f>IFERROR(R880/F880,"")</x:f>
        <x:v>0.7854166666666667</x:v>
      </x:c>
      <x:c r="T880" s="11" t="n">
        <x:f>IFERROR(R880/P880,"")</x:f>
        <x:v>0.8510158013544018</x:v>
      </x:c>
      <x:c r="U880" s="10" t="n">
        <x:f>I880+J880+K880</x:f>
        <x:v>66</x:v>
      </x:c>
      <x:c r="V880" s="11" t="n">
        <x:f>IFERROR(U880/P880,"")</x:f>
        <x:v>0.1489841986455982</x:v>
      </x:c>
      <x:c r="W880" s="9" t="str">
        <x:v>provisional_gt_5pct_pending</x:v>
      </x:c>
      <x:c r="X880" s="12" t="n">
        <x:f>IFERROR(F880/Z880*100000,"")</x:f>
        <x:v>32.16511425316625</x:v>
      </x:c>
      <x:c r="Y880" s="13" t="n">
        <x:f>LN(Z880)</x:f>
        <x:v>14.21582911191956</x:v>
      </x:c>
      <x:c r="Z880" s="6" t="str">
        <x:v>1492300</x:v>
      </x:c>
      <x:c r="AA880" s="6" t="str">
        <x:v>24.0</x:v>
      </x:c>
      <x:c r="AB880" s="9" t="str">
        <x:v>2025-06-30</x:v>
      </x:c>
      <x:c r="AC880" s="8" t="str">
        <x:v>12.6</x:v>
      </x:c>
      <x:c r="AD880" s="9" t="str">
        <x:v>2025 (Susenas)</x:v>
      </x:c>
      <x:c r="AE880" s="8" t="str">
        <x:v>28.9</x:v>
      </x:c>
      <x:c r="AF880" s="9" t="str">
        <x:v>Maret 2025 (Susenas)</x:v>
      </x:c>
      <x:c r="AG880" s="6" t="str">
        <x:v>22.01100764559521</x:v>
      </x:c>
      <x:c r="AH880" s="8" t="str">
        <x:v>91.04034925971165</x:v>
      </x:c>
      <x:c r="AI880" s="6" t="str">
        <x:v>373.42214191638686</x:v>
      </x:c>
      <x:c r="AJ880" s="6" t="str">
        <x:v>0.4829679603745198</x:v>
      </x:c>
      <x:c r="AK880" s="8" t="str">
        <x:v>2.014560570622702</x:v>
      </x:c>
      <x:c r="AL880" s="6" t="str">
        <x:v>1.2827256176303514</x:v>
      </x:c>
      <x:c r="AM880" s="6" t="str">
        <x:v>2.129606651096501</x:v>
      </x:c>
      <x:c r="AN880" s="6" t="str">
        <x:v>1.8089642797831849</x:v>
      </x:c>
      <x:c r="AO880" s="6" t="str">
        <x:v>0.2217803630279746</x:v>
      </x:c>
      <x:c r="AP880" s="8" t="str">
        <x:v>0.2142552058107082</x:v>
      </x:c>
      <x:c r="AQ880" s="6" t="str">
        <x:v>-0.9941903567394164</x:v>
      </x:c>
      <x:c r="AR880" s="6" t="str">
        <x:v>0.6837512383333346</x:v>
      </x:c>
      <x:c r="AS880" s="6" t="str">
        <x:v>-0.0320613041984587</x:v>
      </x:c>
      <x:c r="AT880" s="6" t="str">
        <x:v>65.40638807648787</x:v>
      </x:c>
      <x:c r="AU880" s="8" t="str">
        <x:v>0.6990271607413142</x:v>
      </x:c>
      <x:c r="AV880" s="6" t="str">
        <x:v>0.7366830822635098</x:v>
      </x:c>
      <x:c r="AW880" s="6" t="str">
        <x:v>1.450552818734432</x:v>
      </x:c>
      <x:c r="AX880" s="6" t="str">
        <x:v>0.9620876872464188</x:v>
      </x:c>
      <x:c r="AY880" s="6" t="str">
        <x:v>0</x:v>
      </x:c>
      <x:c r="AZ880" s="6" t="str">
        <x:v>1</x:v>
      </x:c>
      <x:c r="BA880" s="9" t="str">
        <x:v>grid_cells_within_BIG_polygon</x:v>
      </x:c>
      <x:c r="BB880" s="6" t="str">
        <x:v>15</x:v>
      </x:c>
      <x:c r="BC880" s="6" t="str">
        <x:v>0</x:v>
      </x:c>
      <x:c r="BD880" s="6" t="str">
        <x:v>0</x:v>
      </x:c>
      <x:c r="BE880" s="6" t="str">
        <x:v>0</x:v>
      </x:c>
      <x:c r="BF880" s="6" t="str">
        <x:v>0</x:v>
      </x:c>
      <x:c r="BG880" s="6" t="str">
        <x:v>0</x:v>
      </x:c>
      <x:c r="BH880" s="6" t="str">
        <x:v>0</x:v>
      </x:c>
      <x:c r="BI880" s="6" t="str">
        <x:v>0</x:v>
      </x:c>
      <x:c r="BJ880" s="6" t="str">
        <x:v>0</x:v>
      </x:c>
      <x:c r="BK880" s="6" t="str">
        <x:v>0</x:v>
      </x:c>
      <x:c r="BL880" s="6" t="str">
        <x:v>0</x:v>
      </x:c>
      <x:c r="BM880" s="6" t="str">
        <x:v>0</x:v>
      </x:c>
      <x:c r="BN880" s="6" t="str">
        <x:v>0</x:v>
      </x:c>
      <x:c r="BO880" s="6" t="str"/>
      <x:c r="BP880" s="6" t="str">
        <x:v>0</x:v>
      </x:c>
      <x:c r="BQ880" s="6" t="str"/>
      <x:c r="BR880" s="6" t="str">
        <x:v>0</x:v>
      </x:c>
      <x:c r="BS880" s="6" t="str"/>
      <x:c r="BT880" s="6" t="str">
        <x:v>0</x:v>
      </x:c>
      <x:c r="BU880" s="6" t="str"/>
      <x:c r="BV880" s="6" t="str">
        <x:v>0</x:v>
      </x:c>
      <x:c r="BW880" s="9" t="str">
        <x:v>operational_snapshot_annual_totals_may_differ</x:v>
      </x:c>
      <x:c r="BX880" s="9" t="str">
        <x:v>official_live_dashboard_snapshot_subject_to_revision</x:v>
      </x:c>
      <x:c r="BY880" s="9" t="str">
        <x:v>https://tbdashboard.sitb.id/ss_data_tbc03so_2025_provinsi_bulanan_list.php</x:v>
      </x:c>
      <x:c r="BZ880" s="6" t="n">
        <x:v>46246.610671296294</x:v>
      </x:c>
    </x:row>
    <x:row r="881" ht="18" customHeight="1">
      <x:c r="A881" s="6" t="str">
        <x:v>96</x:v>
      </x:c>
      <x:c r="B881" s="6" t="str">
        <x:v>PAPUA TENGAH</x:v>
      </x:c>
      <x:c r="C881" s="6" t="str">
        <x:v>2025</x:v>
      </x:c>
      <x:c r="D881" s="6" t="str">
        <x:v>4</x:v>
      </x:c>
      <x:c r="E881" s="6" t="str">
        <x:v>2025-04</x:v>
      </x:c>
      <x:c r="F881" s="6" t="str">
        <x:v>437</x:v>
      </x:c>
      <x:c r="G881" s="6" t="str">
        <x:v>71</x:v>
      </x:c>
      <x:c r="H881" s="6" t="str">
        <x:v>251</x:v>
      </x:c>
      <x:c r="I881" s="6" t="str">
        <x:v>60</x:v>
      </x:c>
      <x:c r="J881" s="6" t="str">
        <x:v>20</x:v>
      </x:c>
      <x:c r="K881" s="6" t="str">
        <x:v>3</x:v>
      </x:c>
      <x:c r="L881" s="6" t="str">
        <x:v>1</x:v>
      </x:c>
      <x:c r="M881" s="6" t="str">
        <x:v>31</x:v>
      </x:c>
      <x:c r="N881" s="6" t="str">
        <x:v>437</x:v>
      </x:c>
      <x:c r="O881" s="6" t="str">
        <x:v>0</x:v>
      </x:c>
      <x:c r="P881" s="10" t="n">
        <x:f>F881-M881</x:f>
        <x:v>406</x:v>
      </x:c>
      <x:c r="Q881" s="11" t="n">
        <x:f>IFERROR(M881/F881,"")</x:f>
        <x:v>0.07093821510297482</x:v>
      </x:c>
      <x:c r="R881" s="10" t="n">
        <x:f>G881+H881</x:f>
        <x:v>322</x:v>
      </x:c>
      <x:c r="S881" s="11" t="n">
        <x:f>IFERROR(R881/F881,"")</x:f>
        <x:v>0.7368421052631579</x:v>
      </x:c>
      <x:c r="T881" s="11" t="n">
        <x:f>IFERROR(R881/P881,"")</x:f>
        <x:v>0.7931034482758621</x:v>
      </x:c>
      <x:c r="U881" s="10" t="n">
        <x:f>I881+J881+K881</x:f>
        <x:v>83</x:v>
      </x:c>
      <x:c r="V881" s="11" t="n">
        <x:f>IFERROR(U881/P881,"")</x:f>
        <x:v>0.2044334975369458</x:v>
      </x:c>
      <x:c r="W881" s="9" t="str">
        <x:v>provisional_gt_5pct_pending</x:v>
      </x:c>
      <x:c r="X881" s="12" t="n">
        <x:f>IFERROR(F881/Z881*100000,"")</x:f>
        <x:v>29.283656101320112</x:v>
      </x:c>
      <x:c r="Y881" s="13" t="n">
        <x:f>LN(Z881)</x:f>
        <x:v>14.21582911191956</x:v>
      </x:c>
      <x:c r="Z881" s="6" t="str">
        <x:v>1492300</x:v>
      </x:c>
      <x:c r="AA881" s="6" t="str">
        <x:v>24.0</x:v>
      </x:c>
      <x:c r="AB881" s="9" t="str">
        <x:v>2025-06-30</x:v>
      </x:c>
      <x:c r="AC881" s="8" t="str">
        <x:v>12.6</x:v>
      </x:c>
      <x:c r="AD881" s="9" t="str">
        <x:v>2025 (Susenas)</x:v>
      </x:c>
      <x:c r="AE881" s="8" t="str">
        <x:v>28.9</x:v>
      </x:c>
      <x:c r="AF881" s="9" t="str">
        <x:v>Maret 2025 (Susenas)</x:v>
      </x:c>
      <x:c r="AG881" s="6" t="str">
        <x:v>21.687649772937863</x:v>
      </x:c>
      <x:c r="AH881" s="8" t="str">
        <x:v>90.83418220782404</x:v>
      </x:c>
      <x:c r="AI881" s="6" t="str">
        <x:v>542.9335151068036</x:v>
      </x:c>
      <x:c r="AJ881" s="6" t="str">
        <x:v>0.1012031123048338</x:v>
      </x:c>
      <x:c r="AK881" s="8" t="str">
        <x:v>0.3741711652250573</x:v>
      </x:c>
      <x:c r="AL881" s="6" t="str">
        <x:v>2.014560570622702</x:v>
      </x:c>
      <x:c r="AM881" s="6" t="str">
        <x:v>1.2827256176303514</x:v>
      </x:c>
      <x:c r="AN881" s="6" t="str">
        <x:v>1.223819117826037</x:v>
      </x:c>
      <x:c r="AO881" s="6" t="str">
        <x:v>-1.0117406777489322</x:v>
      </x:c>
      <x:c r="AP881" s="8" t="str">
        <x:v>-1.2772131622339735</x:v>
      </x:c>
      <x:c r="AQ881" s="6" t="str">
        <x:v>0.2142552058107082</x:v>
      </x:c>
      <x:c r="AR881" s="6" t="str">
        <x:v>-0.9941903567394164</x:v>
      </x:c>
      <x:c r="AS881" s="6" t="str">
        <x:v>-0.6857161043875615</x:v>
      </x:c>
      <x:c r="AT881" s="6" t="str">
        <x:v>226.20827212726184</x:v>
      </x:c>
      <x:c r="AU881" s="8" t="str">
        <x:v>2.783828103911861</x:v>
      </x:c>
      <x:c r="AV881" s="6" t="str">
        <x:v>0.6990271607413142</x:v>
      </x:c>
      <x:c r="AW881" s="6" t="str">
        <x:v>0.7366830822635098</x:v>
      </x:c>
      <x:c r="AX881" s="6" t="str">
        <x:v>1.406512782305562</x:v>
      </x:c>
      <x:c r="AY881" s="6" t="str">
        <x:v>1</x:v>
      </x:c>
      <x:c r="AZ881" s="6" t="str">
        <x:v>0</x:v>
      </x:c>
      <x:c r="BA881" s="9" t="str">
        <x:v>grid_cells_within_BIG_polygon</x:v>
      </x:c>
      <x:c r="BB881" s="6" t="str">
        <x:v>15</x:v>
      </x:c>
      <x:c r="BC881" s="6" t="str">
        <x:v>0</x:v>
      </x:c>
      <x:c r="BD881" s="6" t="str">
        <x:v>0</x:v>
      </x:c>
      <x:c r="BE881" s="6" t="str">
        <x:v>0</x:v>
      </x:c>
      <x:c r="BF881" s="6" t="str">
        <x:v>0</x:v>
      </x:c>
      <x:c r="BG881" s="6" t="str">
        <x:v>0</x:v>
      </x:c>
      <x:c r="BH881" s="6" t="str">
        <x:v>0</x:v>
      </x:c>
      <x:c r="BI881" s="6" t="str">
        <x:v>0</x:v>
      </x:c>
      <x:c r="BJ881" s="6" t="str">
        <x:v>0</x:v>
      </x:c>
      <x:c r="BK881" s="6" t="str">
        <x:v>0</x:v>
      </x:c>
      <x:c r="BL881" s="6" t="str">
        <x:v>0</x:v>
      </x:c>
      <x:c r="BM881" s="6" t="str">
        <x:v>0</x:v>
      </x:c>
      <x:c r="BN881" s="6" t="str">
        <x:v>0</x:v>
      </x:c>
      <x:c r="BO881" s="6" t="str"/>
      <x:c r="BP881" s="6" t="str">
        <x:v>0</x:v>
      </x:c>
      <x:c r="BQ881" s="6" t="str"/>
      <x:c r="BR881" s="6" t="str">
        <x:v>0</x:v>
      </x:c>
      <x:c r="BS881" s="6" t="str"/>
      <x:c r="BT881" s="6" t="str">
        <x:v>0</x:v>
      </x:c>
      <x:c r="BU881" s="6" t="str"/>
      <x:c r="BV881" s="6" t="str">
        <x:v>0</x:v>
      </x:c>
      <x:c r="BW881" s="9" t="str">
        <x:v>operational_snapshot_annual_totals_may_differ</x:v>
      </x:c>
      <x:c r="BX881" s="9" t="str">
        <x:v>official_live_dashboard_snapshot_subject_to_revision</x:v>
      </x:c>
      <x:c r="BY881" s="9" t="str">
        <x:v>https://tbdashboard.sitb.id/ss_data_tbc03so_2025_provinsi_bulanan_list.php</x:v>
      </x:c>
      <x:c r="BZ881" s="6" t="n">
        <x:v>46246.610671296294</x:v>
      </x:c>
    </x:row>
    <x:row r="882" ht="18" customHeight="1">
      <x:c r="A882" s="6" t="str">
        <x:v>96</x:v>
      </x:c>
      <x:c r="B882" s="6" t="str">
        <x:v>PAPUA TENGAH</x:v>
      </x:c>
      <x:c r="C882" s="6" t="str">
        <x:v>2025</x:v>
      </x:c>
      <x:c r="D882" s="6" t="str">
        <x:v>5</x:v>
      </x:c>
      <x:c r="E882" s="6" t="str">
        <x:v>2025-05</x:v>
      </x:c>
      <x:c r="F882" s="6" t="str">
        <x:v>457</x:v>
      </x:c>
      <x:c r="G882" s="6" t="str">
        <x:v>74</x:v>
      </x:c>
      <x:c r="H882" s="6" t="str">
        <x:v>276</x:v>
      </x:c>
      <x:c r="I882" s="6" t="str">
        <x:v>64</x:v>
      </x:c>
      <x:c r="J882" s="6" t="str">
        <x:v>20</x:v>
      </x:c>
      <x:c r="K882" s="6" t="str">
        <x:v>0</x:v>
      </x:c>
      <x:c r="L882" s="6" t="str">
        <x:v>0</x:v>
      </x:c>
      <x:c r="M882" s="6" t="str">
        <x:v>23</x:v>
      </x:c>
      <x:c r="N882" s="6" t="str">
        <x:v>457</x:v>
      </x:c>
      <x:c r="O882" s="6" t="str">
        <x:v>0</x:v>
      </x:c>
      <x:c r="P882" s="10" t="n">
        <x:f>F882-M882</x:f>
        <x:v>434</x:v>
      </x:c>
      <x:c r="Q882" s="11" t="n">
        <x:f>IFERROR(M882/F882,"")</x:f>
        <x:v>0.05032822757111598</x:v>
      </x:c>
      <x:c r="R882" s="10" t="n">
        <x:f>G882+H882</x:f>
        <x:v>350</x:v>
      </x:c>
      <x:c r="S882" s="11" t="n">
        <x:f>IFERROR(R882/F882,"")</x:f>
        <x:v>0.7658643326039387</x:v>
      </x:c>
      <x:c r="T882" s="11" t="n">
        <x:f>IFERROR(R882/P882,"")</x:f>
        <x:v>0.8064516129032258</x:v>
      </x:c>
      <x:c r="U882" s="10" t="n">
        <x:f>I882+J882+K882</x:f>
        <x:v>84</x:v>
      </x:c>
      <x:c r="V882" s="11" t="n">
        <x:f>IFERROR(U882/P882,"")</x:f>
        <x:v>0.1935483870967742</x:v>
      </x:c>
      <x:c r="W882" s="9" t="str">
        <x:v>provisional_gt_5pct_pending</x:v>
      </x:c>
      <x:c r="X882" s="12" t="n">
        <x:f>IFERROR(F882/Z882*100000,"")</x:f>
        <x:v>30.623869195202037</x:v>
      </x:c>
      <x:c r="Y882" s="13" t="n">
        <x:f>LN(Z882)</x:f>
        <x:v>14.21582911191956</x:v>
      </x:c>
      <x:c r="Z882" s="6" t="str">
        <x:v>1492300</x:v>
      </x:c>
      <x:c r="AA882" s="6" t="str">
        <x:v>24.0</x:v>
      </x:c>
      <x:c r="AB882" s="9" t="str">
        <x:v>2025-06-30</x:v>
      </x:c>
      <x:c r="AC882" s="8" t="str">
        <x:v>12.6</x:v>
      </x:c>
      <x:c r="AD882" s="9" t="str">
        <x:v>2025 (Susenas)</x:v>
      </x:c>
      <x:c r="AE882" s="8" t="str">
        <x:v>28.9</x:v>
      </x:c>
      <x:c r="AF882" s="9" t="str">
        <x:v>Maret 2025 (Susenas)</x:v>
      </x:c>
      <x:c r="AG882" s="6" t="str">
        <x:v>21.994974987483378</x:v>
      </x:c>
      <x:c r="AH882" s="8" t="str">
        <x:v>91.97683302607824</x:v>
      </x:c>
      <x:c r="AI882" s="6" t="str">
        <x:v>298.839862654261</x:v>
      </x:c>
      <x:c r="AJ882" s="6" t="str">
        <x:v>0.4448032416716998</x:v>
      </x:c>
      <x:c r="AK882" s="8" t="str">
        <x:v>1.3932596484185211</x:v>
      </x:c>
      <x:c r="AL882" s="6" t="str">
        <x:v>0.3741711652250573</x:v>
      </x:c>
      <x:c r="AM882" s="6" t="str">
        <x:v>2.014560570622702</x:v>
      </x:c>
      <x:c r="AN882" s="6" t="str">
        <x:v>1.260663794755427</x:v>
      </x:c>
      <x:c r="AO882" s="6" t="str">
        <x:v>-0.2716812808776296</x:v>
      </x:c>
      <x:c r="AP882" s="8" t="str">
        <x:v>-0.3374917005820575</x:v>
      </x:c>
      <x:c r="AQ882" s="6" t="str">
        <x:v>-1.2772131622339735</x:v>
      </x:c>
      <x:c r="AR882" s="6" t="str">
        <x:v>0.2142552058107082</x:v>
      </x:c>
      <x:c r="AS882" s="6" t="str">
        <x:v>-0.4668165523351085</x:v>
      </x:c>
      <x:c r="AT882" s="6" t="str">
        <x:v>29.910994604338725</x:v>
      </x:c>
      <x:c r="AU882" s="8" t="str">
        <x:v>0.3689717816989763</x:v>
      </x:c>
      <x:c r="AV882" s="6" t="str">
        <x:v>2.783828103911861</x:v>
      </x:c>
      <x:c r="AW882" s="6" t="str">
        <x:v>0.6990271607413142</x:v>
      </x:c>
      <x:c r="AX882" s="6" t="str">
        <x:v>1.283942348784051</x:v>
      </x:c>
      <x:c r="AY882" s="6" t="str">
        <x:v>0</x:v>
      </x:c>
      <x:c r="AZ882" s="6" t="str">
        <x:v>1</x:v>
      </x:c>
      <x:c r="BA882" s="9" t="str">
        <x:v>grid_cells_within_BIG_polygon</x:v>
      </x:c>
      <x:c r="BB882" s="6" t="str">
        <x:v>15</x:v>
      </x:c>
      <x:c r="BC882" s="6" t="str">
        <x:v>0</x:v>
      </x:c>
      <x:c r="BD882" s="6" t="str">
        <x:v>0</x:v>
      </x:c>
      <x:c r="BE882" s="6" t="str">
        <x:v>0</x:v>
      </x:c>
      <x:c r="BF882" s="6" t="str">
        <x:v>0</x:v>
      </x:c>
      <x:c r="BG882" s="6" t="str">
        <x:v>0</x:v>
      </x:c>
      <x:c r="BH882" s="6" t="str">
        <x:v>0</x:v>
      </x:c>
      <x:c r="BI882" s="6" t="str">
        <x:v>0</x:v>
      </x:c>
      <x:c r="BJ882" s="6" t="str">
        <x:v>0</x:v>
      </x:c>
      <x:c r="BK882" s="6" t="str">
        <x:v>0</x:v>
      </x:c>
      <x:c r="BL882" s="6" t="str">
        <x:v>0</x:v>
      </x:c>
      <x:c r="BM882" s="6" t="str">
        <x:v>0</x:v>
      </x:c>
      <x:c r="BN882" s="6" t="str">
        <x:v>0</x:v>
      </x:c>
      <x:c r="BO882" s="6" t="str"/>
      <x:c r="BP882" s="6" t="str">
        <x:v>0</x:v>
      </x:c>
      <x:c r="BQ882" s="6" t="str"/>
      <x:c r="BR882" s="6" t="str">
        <x:v>0</x:v>
      </x:c>
      <x:c r="BS882" s="6" t="str"/>
      <x:c r="BT882" s="6" t="str">
        <x:v>0</x:v>
      </x:c>
      <x:c r="BU882" s="6" t="str"/>
      <x:c r="BV882" s="6" t="str">
        <x:v>0</x:v>
      </x:c>
      <x:c r="BW882" s="9" t="str">
        <x:v>operational_snapshot_annual_totals_may_differ</x:v>
      </x:c>
      <x:c r="BX882" s="9" t="str">
        <x:v>official_live_dashboard_snapshot_subject_to_revision</x:v>
      </x:c>
      <x:c r="BY882" s="9" t="str">
        <x:v>https://tbdashboard.sitb.id/ss_data_tbc03so_2025_provinsi_bulanan_list.php</x:v>
      </x:c>
      <x:c r="BZ882" s="6" t="n">
        <x:v>46246.610671296294</x:v>
      </x:c>
    </x:row>
    <x:row r="883" ht="18" customHeight="1">
      <x:c r="A883" s="6" t="str">
        <x:v>96</x:v>
      </x:c>
      <x:c r="B883" s="6" t="str">
        <x:v>PAPUA TENGAH</x:v>
      </x:c>
      <x:c r="C883" s="6" t="str">
        <x:v>2025</x:v>
      </x:c>
      <x:c r="D883" s="6" t="str">
        <x:v>6</x:v>
      </x:c>
      <x:c r="E883" s="6" t="str">
        <x:v>2025-06</x:v>
      </x:c>
      <x:c r="F883" s="6" t="str">
        <x:v>422</x:v>
      </x:c>
      <x:c r="G883" s="6" t="str">
        <x:v>64</x:v>
      </x:c>
      <x:c r="H883" s="6" t="str">
        <x:v>239</x:v>
      </x:c>
      <x:c r="I883" s="6" t="str">
        <x:v>54</x:v>
      </x:c>
      <x:c r="J883" s="6" t="str">
        <x:v>15</x:v>
      </x:c>
      <x:c r="K883" s="6" t="str">
        <x:v>3</x:v>
      </x:c>
      <x:c r="L883" s="6" t="str">
        <x:v>1</x:v>
      </x:c>
      <x:c r="M883" s="6" t="str">
        <x:v>46</x:v>
      </x:c>
      <x:c r="N883" s="6" t="str">
        <x:v>422</x:v>
      </x:c>
      <x:c r="O883" s="6" t="str">
        <x:v>0</x:v>
      </x:c>
      <x:c r="P883" s="10" t="n">
        <x:f>F883-M883</x:f>
        <x:v>376</x:v>
      </x:c>
      <x:c r="Q883" s="11" t="n">
        <x:f>IFERROR(M883/F883,"")</x:f>
        <x:v>0.10900473933649289</x:v>
      </x:c>
      <x:c r="R883" s="10" t="n">
        <x:f>G883+H883</x:f>
        <x:v>303</x:v>
      </x:c>
      <x:c r="S883" s="11" t="n">
        <x:f>IFERROR(R883/F883,"")</x:f>
        <x:v>0.7180094786729858</x:v>
      </x:c>
      <x:c r="T883" s="11" t="n">
        <x:f>IFERROR(R883/P883,"")</x:f>
        <x:v>0.8058510638297872</x:v>
      </x:c>
      <x:c r="U883" s="10" t="n">
        <x:f>I883+J883+K883</x:f>
        <x:v>72</x:v>
      </x:c>
      <x:c r="V883" s="11" t="n">
        <x:f>IFERROR(U883/P883,"")</x:f>
        <x:v>0.19148936170212766</x:v>
      </x:c>
      <x:c r="W883" s="9" t="str">
        <x:v>provisional_gt_5pct_pending</x:v>
      </x:c>
      <x:c r="X883" s="12" t="n">
        <x:f>IFERROR(F883/Z883*100000,"")</x:f>
        <x:v>28.278496280908666</x:v>
      </x:c>
      <x:c r="Y883" s="13" t="n">
        <x:f>LN(Z883)</x:f>
        <x:v>14.21582911191956</x:v>
      </x:c>
      <x:c r="Z883" s="6" t="str">
        <x:v>1492300</x:v>
      </x:c>
      <x:c r="AA883" s="6" t="str">
        <x:v>24.0</x:v>
      </x:c>
      <x:c r="AB883" s="9" t="str">
        <x:v>2025-06-30</x:v>
      </x:c>
      <x:c r="AC883" s="8" t="str">
        <x:v>12.6</x:v>
      </x:c>
      <x:c r="AD883" s="9" t="str">
        <x:v>2025 (Susenas)</x:v>
      </x:c>
      <x:c r="AE883" s="8" t="str">
        <x:v>28.9</x:v>
      </x:c>
      <x:c r="AF883" s="9" t="str">
        <x:v>Maret 2025 (Susenas)</x:v>
      </x:c>
      <x:c r="AG883" s="6" t="str">
        <x:v>21.498992337684943</x:v>
      </x:c>
      <x:c r="AH883" s="8" t="str">
        <x:v>93.10233430510274</x:v>
      </x:c>
      <x:c r="AI883" s="6" t="str">
        <x:v>655.3553429811102</x:v>
      </x:c>
      <x:c r="AJ883" s="6" t="str">
        <x:v>0.4409594128280005</x:v>
      </x:c>
      <x:c r="AK883" s="8" t="str">
        <x:v>1.4861353258548866</x:v>
      </x:c>
      <x:c r="AL883" s="6" t="str">
        <x:v>1.3932596484185211</x:v>
      </x:c>
      <x:c r="AM883" s="6" t="str">
        <x:v>0.3741711652250573</x:v>
      </x:c>
      <x:c r="AN883" s="6" t="str">
        <x:v>1.0845220464994882</x:v>
      </x:c>
      <x:c r="AO883" s="6" t="str">
        <x:v>0.2118957522089317</x:v>
      </x:c>
      <x:c r="AP883" s="8" t="str">
        <x:v>0.2226159248801754</x:v>
      </x:c>
      <x:c r="AQ883" s="6" t="str">
        <x:v>-0.3374917005820575</x:v>
      </x:c>
      <x:c r="AR883" s="6" t="str">
        <x:v>-1.2772131622339735</x:v>
      </x:c>
      <x:c r="AS883" s="6" t="str">
        <x:v>-0.4640296459786194</x:v>
      </x:c>
      <x:c r="AT883" s="6" t="str">
        <x:v>353.5286700816759</x:v>
      </x:c>
      <x:c r="AU883" s="8" t="str">
        <x:v>3.569079613879916</x:v>
      </x:c>
      <x:c r="AV883" s="6" t="str">
        <x:v>0.3689717816989763</x:v>
      </x:c>
      <x:c r="AW883" s="6" t="str">
        <x:v>2.783828103911861</x:v>
      </x:c>
      <x:c r="AX883" s="6" t="str">
        <x:v>2.240626499830251</x:v>
      </x:c>
      <x:c r="AY883" s="6" t="str">
        <x:v>1</x:v>
      </x:c>
      <x:c r="AZ883" s="6" t="str">
        <x:v>1</x:v>
      </x:c>
      <x:c r="BA883" s="9" t="str">
        <x:v>grid_cells_within_BIG_polygon</x:v>
      </x:c>
      <x:c r="BB883" s="6" t="str">
        <x:v>15</x:v>
      </x:c>
      <x:c r="BC883" s="6" t="str">
        <x:v>0</x:v>
      </x:c>
      <x:c r="BD883" s="6" t="str">
        <x:v>0</x:v>
      </x:c>
      <x:c r="BE883" s="6" t="str">
        <x:v>0</x:v>
      </x:c>
      <x:c r="BF883" s="6" t="str">
        <x:v>0</x:v>
      </x:c>
      <x:c r="BG883" s="6" t="str">
        <x:v>0</x:v>
      </x:c>
      <x:c r="BH883" s="6" t="str">
        <x:v>0</x:v>
      </x:c>
      <x:c r="BI883" s="6" t="str">
        <x:v>0</x:v>
      </x:c>
      <x:c r="BJ883" s="6" t="str">
        <x:v>0</x:v>
      </x:c>
      <x:c r="BK883" s="6" t="str">
        <x:v>0</x:v>
      </x:c>
      <x:c r="BL883" s="6" t="str">
        <x:v>0</x:v>
      </x:c>
      <x:c r="BM883" s="6" t="str">
        <x:v>0</x:v>
      </x:c>
      <x:c r="BN883" s="6" t="str">
        <x:v>0</x:v>
      </x:c>
      <x:c r="BO883" s="6" t="str"/>
      <x:c r="BP883" s="6" t="str">
        <x:v>0</x:v>
      </x:c>
      <x:c r="BQ883" s="6" t="str"/>
      <x:c r="BR883" s="6" t="str">
        <x:v>0</x:v>
      </x:c>
      <x:c r="BS883" s="6" t="str"/>
      <x:c r="BT883" s="6" t="str">
        <x:v>0</x:v>
      </x:c>
      <x:c r="BU883" s="6" t="str"/>
      <x:c r="BV883" s="6" t="str">
        <x:v>0</x:v>
      </x:c>
      <x:c r="BW883" s="9" t="str">
        <x:v>operational_snapshot_annual_totals_may_differ</x:v>
      </x:c>
      <x:c r="BX883" s="9" t="str">
        <x:v>official_live_dashboard_snapshot_subject_to_revision</x:v>
      </x:c>
      <x:c r="BY883" s="9" t="str">
        <x:v>https://tbdashboard.sitb.id/ss_data_tbc03so_2025_provinsi_bulanan_list.php</x:v>
      </x:c>
      <x:c r="BZ883" s="6" t="n">
        <x:v>46246.610671296294</x:v>
      </x:c>
    </x:row>
    <x:row r="884" ht="18" customHeight="1">
      <x:c r="A884" s="6" t="str">
        <x:v>96</x:v>
      </x:c>
      <x:c r="B884" s="6" t="str">
        <x:v>PAPUA TENGAH</x:v>
      </x:c>
      <x:c r="C884" s="6" t="str">
        <x:v>2025</x:v>
      </x:c>
      <x:c r="D884" s="6" t="str">
        <x:v>7</x:v>
      </x:c>
      <x:c r="E884" s="6" t="str">
        <x:v>2025-07</x:v>
      </x:c>
      <x:c r="F884" s="6" t="str">
        <x:v>552</x:v>
      </x:c>
      <x:c r="G884" s="6" t="str">
        <x:v>63</x:v>
      </x:c>
      <x:c r="H884" s="6" t="str">
        <x:v>334</x:v>
      </x:c>
      <x:c r="I884" s="6" t="str">
        <x:v>80</x:v>
      </x:c>
      <x:c r="J884" s="6" t="str">
        <x:v>13</x:v>
      </x:c>
      <x:c r="K884" s="6" t="str">
        <x:v>3</x:v>
      </x:c>
      <x:c r="L884" s="6" t="str">
        <x:v>0</x:v>
      </x:c>
      <x:c r="M884" s="6" t="str">
        <x:v>59</x:v>
      </x:c>
      <x:c r="N884" s="6" t="str">
        <x:v>552</x:v>
      </x:c>
      <x:c r="O884" s="6" t="str">
        <x:v>0</x:v>
      </x:c>
      <x:c r="P884" s="10" t="n">
        <x:f>F884-M884</x:f>
        <x:v>493</x:v>
      </x:c>
      <x:c r="Q884" s="11" t="n">
        <x:f>IFERROR(M884/F884,"")</x:f>
        <x:v>0.1068840579710145</x:v>
      </x:c>
      <x:c r="R884" s="10" t="n">
        <x:f>G884+H884</x:f>
        <x:v>397</x:v>
      </x:c>
      <x:c r="S884" s="11" t="n">
        <x:f>IFERROR(R884/F884,"")</x:f>
        <x:v>0.7192028985507246</x:v>
      </x:c>
      <x:c r="T884" s="11" t="n">
        <x:f>IFERROR(R884/P884,"")</x:f>
        <x:v>0.8052738336713996</x:v>
      </x:c>
      <x:c r="U884" s="10" t="n">
        <x:f>I884+J884+K884</x:f>
        <x:v>96</x:v>
      </x:c>
      <x:c r="V884" s="11" t="n">
        <x:f>IFERROR(U884/P884,"")</x:f>
        <x:v>0.1947261663286004</x:v>
      </x:c>
      <x:c r="W884" s="9" t="str">
        <x:v>provisional_gt_5pct_pending</x:v>
      </x:c>
      <x:c r="X884" s="12" t="n">
        <x:f>IFERROR(F884/Z884*100000,"")</x:f>
        <x:v>36.98988139114119</x:v>
      </x:c>
      <x:c r="Y884" s="13" t="n">
        <x:f>LN(Z884)</x:f>
        <x:v>14.21582911191956</x:v>
      </x:c>
      <x:c r="Z884" s="6" t="str">
        <x:v>1492300</x:v>
      </x:c>
      <x:c r="AA884" s="6" t="str">
        <x:v>24.0</x:v>
      </x:c>
      <x:c r="AB884" s="9" t="str">
        <x:v>2025-06-30</x:v>
      </x:c>
      <x:c r="AC884" s="8" t="str">
        <x:v>12.6</x:v>
      </x:c>
      <x:c r="AD884" s="9" t="str">
        <x:v>2025 (Susenas)</x:v>
      </x:c>
      <x:c r="AE884" s="8" t="str">
        <x:v>28.9</x:v>
      </x:c>
      <x:c r="AF884" s="9" t="str">
        <x:v>Maret 2025 (Susenas)</x:v>
      </x:c>
      <x:c r="AG884" s="6" t="str">
        <x:v>21.317690291939957</x:v>
      </x:c>
      <x:c r="AH884" s="8" t="str">
        <x:v>92.04621325505562</x:v>
      </x:c>
      <x:c r="AI884" s="6" t="str">
        <x:v>463.75697781896577</x:v>
      </x:c>
      <x:c r="AJ884" s="6" t="str">
        <x:v>0.6745401254479653</x:v>
      </x:c>
      <x:c r="AK884" s="8" t="str">
        <x:v>2.2803317987735943</x:v>
      </x:c>
      <x:c r="AL884" s="6" t="str">
        <x:v>1.4861353258548866</x:v>
      </x:c>
      <x:c r="AM884" s="6" t="str">
        <x:v>1.3932596484185211</x:v>
      </x:c>
      <x:c r="AN884" s="6" t="str">
        <x:v>1.7199089243490004</x:v>
      </x:c>
      <x:c r="AO884" s="6" t="str">
        <x:v>-0.4518894276087053</x:v>
      </x:c>
      <x:c r="AP884" s="8" t="str">
        <x:v>-0.4567200657381787</x:v>
      </x:c>
      <x:c r="AQ884" s="6" t="str">
        <x:v>0.2226159248801754</x:v>
      </x:c>
      <x:c r="AR884" s="6" t="str">
        <x:v>-0.3374917005820575</x:v>
      </x:c>
      <x:c r="AS884" s="6" t="str">
        <x:v>-0.1905319471466878</x:v>
      </x:c>
      <x:c r="AT884" s="6" t="str">
        <x:v>138.6602815235578</x:v>
      </x:c>
      <x:c r="AU884" s="8" t="str">
        <x:v>0.9823170967111544</x:v>
      </x:c>
      <x:c r="AV884" s="6" t="str">
        <x:v>3.569079613879916</x:v>
      </x:c>
      <x:c r="AW884" s="6" t="str">
        <x:v>0.3689717816989763</x:v>
      </x:c>
      <x:c r="AX884" s="6" t="str">
        <x:v>1.6401228307633489</x:v>
      </x:c>
      <x:c r="AY884" s="6" t="str">
        <x:v>0</x:v>
      </x:c>
      <x:c r="AZ884" s="6" t="str">
        <x:v>1</x:v>
      </x:c>
      <x:c r="BA884" s="9" t="str">
        <x:v>grid_cells_within_BIG_polygon</x:v>
      </x:c>
      <x:c r="BB884" s="6" t="str">
        <x:v>15</x:v>
      </x:c>
      <x:c r="BC884" s="6" t="str">
        <x:v>0</x:v>
      </x:c>
      <x:c r="BD884" s="6" t="str">
        <x:v>0</x:v>
      </x:c>
      <x:c r="BE884" s="6" t="str">
        <x:v>0</x:v>
      </x:c>
      <x:c r="BF884" s="6" t="str">
        <x:v>0</x:v>
      </x:c>
      <x:c r="BG884" s="6" t="str">
        <x:v>0</x:v>
      </x:c>
      <x:c r="BH884" s="6" t="str">
        <x:v>0</x:v>
      </x:c>
      <x:c r="BI884" s="6" t="str">
        <x:v>0</x:v>
      </x:c>
      <x:c r="BJ884" s="6" t="str">
        <x:v>0</x:v>
      </x:c>
      <x:c r="BK884" s="6" t="str">
        <x:v>0</x:v>
      </x:c>
      <x:c r="BL884" s="6" t="str">
        <x:v>0</x:v>
      </x:c>
      <x:c r="BM884" s="6" t="str">
        <x:v>0</x:v>
      </x:c>
      <x:c r="BN884" s="6" t="str">
        <x:v>0</x:v>
      </x:c>
      <x:c r="BO884" s="6" t="str"/>
      <x:c r="BP884" s="6" t="str">
        <x:v>0</x:v>
      </x:c>
      <x:c r="BQ884" s="6" t="str"/>
      <x:c r="BR884" s="6" t="str">
        <x:v>0</x:v>
      </x:c>
      <x:c r="BS884" s="6" t="str"/>
      <x:c r="BT884" s="6" t="str">
        <x:v>0</x:v>
      </x:c>
      <x:c r="BU884" s="6" t="str"/>
      <x:c r="BV884" s="6" t="str">
        <x:v>0</x:v>
      </x:c>
      <x:c r="BW884" s="9" t="str">
        <x:v>operational_snapshot_annual_totals_may_differ</x:v>
      </x:c>
      <x:c r="BX884" s="9" t="str">
        <x:v>official_live_dashboard_snapshot_subject_to_revision</x:v>
      </x:c>
      <x:c r="BY884" s="9" t="str">
        <x:v>https://tbdashboard.sitb.id/ss_data_tbc03so_2025_provinsi_bulanan_list.php</x:v>
      </x:c>
      <x:c r="BZ884" s="6" t="n">
        <x:v>46246.610671296294</x:v>
      </x:c>
    </x:row>
    <x:row r="885" ht="18" customHeight="1">
      <x:c r="A885" s="6" t="str">
        <x:v>96</x:v>
      </x:c>
      <x:c r="B885" s="6" t="str">
        <x:v>PAPUA TENGAH</x:v>
      </x:c>
      <x:c r="C885" s="6" t="str">
        <x:v>2025</x:v>
      </x:c>
      <x:c r="D885" s="6" t="str">
        <x:v>8</x:v>
      </x:c>
      <x:c r="E885" s="6" t="str">
        <x:v>2025-08</x:v>
      </x:c>
      <x:c r="F885" s="6" t="str">
        <x:v>531</x:v>
      </x:c>
      <x:c r="G885" s="6" t="str">
        <x:v>86</x:v>
      </x:c>
      <x:c r="H885" s="6" t="str">
        <x:v>293</x:v>
      </x:c>
      <x:c r="I885" s="6" t="str">
        <x:v>70</x:v>
      </x:c>
      <x:c r="J885" s="6" t="str">
        <x:v>11</x:v>
      </x:c>
      <x:c r="K885" s="6" t="str">
        <x:v>3</x:v>
      </x:c>
      <x:c r="L885" s="6" t="str">
        <x:v>1</x:v>
      </x:c>
      <x:c r="M885" s="6" t="str">
        <x:v>67</x:v>
      </x:c>
      <x:c r="N885" s="6" t="str">
        <x:v>531</x:v>
      </x:c>
      <x:c r="O885" s="6" t="str">
        <x:v>0</x:v>
      </x:c>
      <x:c r="P885" s="10" t="n">
        <x:f>F885-M885</x:f>
        <x:v>464</x:v>
      </x:c>
      <x:c r="Q885" s="11" t="n">
        <x:f>IFERROR(M885/F885,"")</x:f>
        <x:v>0.12617702448210924</x:v>
      </x:c>
      <x:c r="R885" s="10" t="n">
        <x:f>G885+H885</x:f>
        <x:v>379</x:v>
      </x:c>
      <x:c r="S885" s="11" t="n">
        <x:f>IFERROR(R885/F885,"")</x:f>
        <x:v>0.7137476459510358</x:v>
      </x:c>
      <x:c r="T885" s="11" t="n">
        <x:f>IFERROR(R885/P885,"")</x:f>
        <x:v>0.8168103448275862</x:v>
      </x:c>
      <x:c r="U885" s="10" t="n">
        <x:f>I885+J885+K885</x:f>
        <x:v>84</x:v>
      </x:c>
      <x:c r="V885" s="11" t="n">
        <x:f>IFERROR(U885/P885,"")</x:f>
        <x:v>0.1810344827586207</x:v>
      </x:c>
      <x:c r="W885" s="9" t="str">
        <x:v>provisional_gt_5pct_pending</x:v>
      </x:c>
      <x:c r="X885" s="12" t="n">
        <x:f>IFERROR(F885/Z885*100000,"")</x:f>
        <x:v>35.58265764256517</x:v>
      </x:c>
      <x:c r="Y885" s="13" t="n">
        <x:f>LN(Z885)</x:f>
        <x:v>14.21582911191956</x:v>
      </x:c>
      <x:c r="Z885" s="6" t="str">
        <x:v>1492300</x:v>
      </x:c>
      <x:c r="AA885" s="6" t="str">
        <x:v>24.0</x:v>
      </x:c>
      <x:c r="AB885" s="9" t="str">
        <x:v>2025-06-30</x:v>
      </x:c>
      <x:c r="AC885" s="8" t="str">
        <x:v>12.6</x:v>
      </x:c>
      <x:c r="AD885" s="9" t="str">
        <x:v>2025 (Susenas)</x:v>
      </x:c>
      <x:c r="AE885" s="8" t="str">
        <x:v>28.9</x:v>
      </x:c>
      <x:c r="AF885" s="9" t="str">
        <x:v>Maret 2025 (Susenas)</x:v>
      </x:c>
      <x:c r="AG885" s="6" t="str">
        <x:v>21.155159423151023</x:v>
      </x:c>
      <x:c r="AH885" s="8" t="str">
        <x:v>93.22570067762535</x:v>
      </x:c>
      <x:c r="AI885" s="6" t="str">
        <x:v>794.9682335097096</x:v>
      </x:c>
      <x:c r="AJ885" s="6" t="str">
        <x:v>0.5295706995271559</x:v>
      </x:c>
      <x:c r="AK885" s="8" t="str">
        <x:v>1.740240184130587</x:v>
      </x:c>
      <x:c r="AL885" s="6" t="str">
        <x:v>2.2803317987735943</x:v>
      </x:c>
      <x:c r="AM885" s="6" t="str">
        <x:v>1.4861353258548866</x:v>
      </x:c>
      <x:c r="AN885" s="6" t="str">
        <x:v>1.8355691029196888</x:v>
      </x:c>
      <x:c r="AO885" s="6" t="str">
        <x:v>1.6730504748327348</x:v>
      </x:c>
      <x:c r="AP885" s="8" t="str">
        <x:v>1.055454818720297</x:v>
      </x:c>
      <x:c r="AQ885" s="6" t="str">
        <x:v>-0.4567200657381787</x:v>
      </x:c>
      <x:c r="AR885" s="6" t="str">
        <x:v>0.2226159248801754</x:v>
      </x:c>
      <x:c r="AS885" s="6" t="str">
        <x:v>0.2737835592874303</x:v>
      </x:c>
      <x:c r="AT885" s="6" t="str">
        <x:v>499.8375268990807</x:v>
      </x:c>
      <x:c r="AU885" s="8" t="str">
        <x:v>4.005394583790407</x:v>
      </x:c>
      <x:c r="AV885" s="6" t="str">
        <x:v>0.9823170967111544</x:v>
      </x:c>
      <x:c r="AW885" s="6" t="str">
        <x:v>3.569079613879916</x:v>
      </x:c>
      <x:c r="AX885" s="6" t="str">
        <x:v>2.852263764793826</x:v>
      </x:c>
      <x:c r="AY885" s="6" t="str">
        <x:v>1</x:v>
      </x:c>
      <x:c r="AZ885" s="6" t="str">
        <x:v>1</x:v>
      </x:c>
      <x:c r="BA885" s="9" t="str">
        <x:v>grid_cells_within_BIG_polygon</x:v>
      </x:c>
      <x:c r="BB885" s="6" t="str">
        <x:v>15</x:v>
      </x:c>
      <x:c r="BC885" s="6" t="str">
        <x:v>0</x:v>
      </x:c>
      <x:c r="BD885" s="6" t="str">
        <x:v>0</x:v>
      </x:c>
      <x:c r="BE885" s="6" t="str">
        <x:v>0</x:v>
      </x:c>
      <x:c r="BF885" s="6" t="str">
        <x:v>0</x:v>
      </x:c>
      <x:c r="BG885" s="6" t="str">
        <x:v>0</x:v>
      </x:c>
      <x:c r="BH885" s="6" t="str">
        <x:v>0</x:v>
      </x:c>
      <x:c r="BI885" s="6" t="str">
        <x:v>0</x:v>
      </x:c>
      <x:c r="BJ885" s="6" t="str">
        <x:v>0</x:v>
      </x:c>
      <x:c r="BK885" s="6" t="str">
        <x:v>0</x:v>
      </x:c>
      <x:c r="BL885" s="6" t="str">
        <x:v>0</x:v>
      </x:c>
      <x:c r="BM885" s="6" t="str">
        <x:v>0</x:v>
      </x:c>
      <x:c r="BN885" s="6" t="str">
        <x:v>0</x:v>
      </x:c>
      <x:c r="BO885" s="6" t="str"/>
      <x:c r="BP885" s="6" t="str">
        <x:v>0</x:v>
      </x:c>
      <x:c r="BQ885" s="6" t="str"/>
      <x:c r="BR885" s="6" t="str">
        <x:v>0</x:v>
      </x:c>
      <x:c r="BS885" s="6" t="str"/>
      <x:c r="BT885" s="6" t="str">
        <x:v>0</x:v>
      </x:c>
      <x:c r="BU885" s="6" t="str"/>
      <x:c r="BV885" s="6" t="str">
        <x:v>0</x:v>
      </x:c>
      <x:c r="BW885" s="9" t="str">
        <x:v>operational_snapshot_annual_totals_may_differ</x:v>
      </x:c>
      <x:c r="BX885" s="9" t="str">
        <x:v>official_live_dashboard_snapshot_subject_to_revision</x:v>
      </x:c>
      <x:c r="BY885" s="9" t="str">
        <x:v>https://tbdashboard.sitb.id/ss_data_tbc03so_2025_provinsi_bulanan_list.php</x:v>
      </x:c>
      <x:c r="BZ885" s="6" t="n">
        <x:v>46246.610671296294</x:v>
      </x:c>
    </x:row>
    <x:row r="886" ht="18" customHeight="1">
      <x:c r="A886" s="6" t="str">
        <x:v>96</x:v>
      </x:c>
      <x:c r="B886" s="6" t="str">
        <x:v>PAPUA TENGAH</x:v>
      </x:c>
      <x:c r="C886" s="6" t="str">
        <x:v>2025</x:v>
      </x:c>
      <x:c r="D886" s="6" t="str">
        <x:v>9</x:v>
      </x:c>
      <x:c r="E886" s="6" t="str">
        <x:v>2025-09</x:v>
      </x:c>
      <x:c r="F886" s="6" t="str">
        <x:v>535</x:v>
      </x:c>
      <x:c r="G886" s="6" t="str">
        <x:v>84</x:v>
      </x:c>
      <x:c r="H886" s="6" t="str">
        <x:v>239</x:v>
      </x:c>
      <x:c r="I886" s="6" t="str">
        <x:v>80</x:v>
      </x:c>
      <x:c r="J886" s="6" t="str">
        <x:v>11</x:v>
      </x:c>
      <x:c r="K886" s="6" t="str">
        <x:v>4</x:v>
      </x:c>
      <x:c r="L886" s="6" t="str">
        <x:v>0</x:v>
      </x:c>
      <x:c r="M886" s="6" t="str">
        <x:v>117</x:v>
      </x:c>
      <x:c r="N886" s="6" t="str">
        <x:v>535</x:v>
      </x:c>
      <x:c r="O886" s="6" t="str">
        <x:v>0</x:v>
      </x:c>
      <x:c r="P886" s="10" t="n">
        <x:f>F886-M886</x:f>
        <x:v>418</x:v>
      </x:c>
      <x:c r="Q886" s="11" t="n">
        <x:f>IFERROR(M886/F886,"")</x:f>
        <x:v>0.21869158878504674</x:v>
      </x:c>
      <x:c r="R886" s="10" t="n">
        <x:f>G886+H886</x:f>
        <x:v>323</x:v>
      </x:c>
      <x:c r="S886" s="11" t="n">
        <x:f>IFERROR(R886/F886,"")</x:f>
        <x:v>0.6037383177570094</x:v>
      </x:c>
      <x:c r="T886" s="11" t="n">
        <x:f>IFERROR(R886/P886,"")</x:f>
        <x:v>0.7727272727272727</x:v>
      </x:c>
      <x:c r="U886" s="10" t="n">
        <x:f>I886+J886+K886</x:f>
        <x:v>95</x:v>
      </x:c>
      <x:c r="V886" s="11" t="n">
        <x:f>IFERROR(U886/P886,"")</x:f>
        <x:v>0.22727272727272727</x:v>
      </x:c>
      <x:c r="W886" s="9" t="str">
        <x:v>provisional_gt_5pct_pending</x:v>
      </x:c>
      <x:c r="X886" s="12" t="n">
        <x:f>IFERROR(F886/Z886*100000,"")</x:f>
        <x:v>35.85070026134156</x:v>
      </x:c>
      <x:c r="Y886" s="13" t="n">
        <x:f>LN(Z886)</x:f>
        <x:v>14.21582911191956</x:v>
      </x:c>
      <x:c r="Z886" s="6" t="str">
        <x:v>1492300</x:v>
      </x:c>
      <x:c r="AA886" s="6" t="str">
        <x:v>24.0</x:v>
      </x:c>
      <x:c r="AB886" s="9" t="str">
        <x:v>2025-06-30</x:v>
      </x:c>
      <x:c r="AC886" s="8" t="str">
        <x:v>12.6</x:v>
      </x:c>
      <x:c r="AD886" s="9" t="str">
        <x:v>2025 (Susenas)</x:v>
      </x:c>
      <x:c r="AE886" s="8" t="str">
        <x:v>28.9</x:v>
      </x:c>
      <x:c r="AF886" s="9" t="str">
        <x:v>Maret 2025 (Susenas)</x:v>
      </x:c>
      <x:c r="AG886" s="6" t="str">
        <x:v>21.44119035287888</x:v>
      </x:c>
      <x:c r="AH886" s="8" t="str">
        <x:v>91.58960502940428</x:v>
      </x:c>
      <x:c r="AI886" s="6" t="str">
        <x:v>453.4305601646155</x:v>
      </x:c>
      <x:c r="AJ886" s="6" t="str">
        <x:v>0.49255807453277</x:v>
      </x:c>
      <x:c r="AK886" s="8" t="str">
        <x:v>1.9903342240658588</x:v>
      </x:c>
      <x:c r="AL886" s="6" t="str">
        <x:v>1.740240184130587</x:v>
      </x:c>
      <x:c r="AM886" s="6" t="str">
        <x:v>2.2803317987735943</x:v>
      </x:c>
      <x:c r="AN886" s="6" t="str">
        <x:v>2.0036354023233467</x:v>
      </x:c>
      <x:c r="AO886" s="6" t="str">
        <x:v>0.3856809049090941</x:v>
      </x:c>
      <x:c r="AP886" s="8" t="str">
        <x:v>0.2233638425992012</x:v>
      </x:c>
      <x:c r="AQ886" s="6" t="str">
        <x:v>1.055454818720297</x:v>
      </x:c>
      <x:c r="AR886" s="6" t="str">
        <x:v>-0.4567200657381787</x:v>
      </x:c>
      <x:c r="AS886" s="6" t="str">
        <x:v>0.2740328651937723</x:v>
      </x:c>
      <x:c r="AT886" s="6" t="str">
        <x:v>193.88602309439065</x:v>
      </x:c>
      <x:c r="AU886" s="8" t="str">
        <x:v>1.8847343442453168</x:v>
      </x:c>
      <x:c r="AV886" s="6" t="str">
        <x:v>4.005394583790407</x:v>
      </x:c>
      <x:c r="AW886" s="6" t="str">
        <x:v>0.9823170967111544</x:v>
      </x:c>
      <x:c r="AX886" s="6" t="str">
        <x:v>2.290815341582293</x:v>
      </x:c>
      <x:c r="AY886" s="6" t="str">
        <x:v>1</x:v>
      </x:c>
      <x:c r="AZ886" s="6" t="str">
        <x:v>1</x:v>
      </x:c>
      <x:c r="BA886" s="9" t="str">
        <x:v>grid_cells_within_BIG_polygon</x:v>
      </x:c>
      <x:c r="BB886" s="6" t="str">
        <x:v>15</x:v>
      </x:c>
      <x:c r="BC886" s="6" t="str">
        <x:v>3</x:v>
      </x:c>
      <x:c r="BD886" s="6" t="str">
        <x:v>2</x:v>
      </x:c>
      <x:c r="BE886" s="6" t="str">
        <x:v>0</x:v>
      </x:c>
      <x:c r="BF886" s="6" t="str">
        <x:v>2</x:v>
      </x:c>
      <x:c r="BG886" s="6" t="str">
        <x:v>0</x:v>
      </x:c>
      <x:c r="BH886" s="6" t="str">
        <x:v>0</x:v>
      </x:c>
      <x:c r="BI886" s="6" t="str">
        <x:v>0</x:v>
      </x:c>
      <x:c r="BJ886" s="6" t="str">
        <x:v>0</x:v>
      </x:c>
      <x:c r="BK886" s="6" t="str">
        <x:v>1</x:v>
      </x:c>
      <x:c r="BL886" s="6" t="str">
        <x:v>0</x:v>
      </x:c>
      <x:c r="BM886" s="6" t="str">
        <x:v>0</x:v>
      </x:c>
      <x:c r="BN886" s="6" t="str">
        <x:v>3</x:v>
      </x:c>
      <x:c r="BO886" s="6" t="str">
        <x:v>6.0</x:v>
      </x:c>
      <x:c r="BP886" s="6" t="str">
        <x:v>2</x:v>
      </x:c>
      <x:c r="BQ886" s="6" t="str">
        <x:v>11.0</x:v>
      </x:c>
      <x:c r="BR886" s="6" t="str">
        <x:v>2</x:v>
      </x:c>
      <x:c r="BS886" s="6" t="str">
        <x:v>29.0</x:v>
      </x:c>
      <x:c r="BT886" s="6" t="str">
        <x:v>3</x:v>
      </x:c>
      <x:c r="BU886" s="6" t="str"/>
      <x:c r="BV886" s="6" t="str">
        <x:v>0</x:v>
      </x:c>
      <x:c r="BW886" s="9" t="str">
        <x:v>operational_snapshot_annual_totals_may_differ</x:v>
      </x:c>
      <x:c r="BX886" s="9" t="str">
        <x:v>official_live_dashboard_snapshot_subject_to_revision</x:v>
      </x:c>
      <x:c r="BY886" s="9" t="str">
        <x:v>https://tbdashboard.sitb.id/ss_data_tbc03so_2025_provinsi_bulanan_list.php</x:v>
      </x:c>
      <x:c r="BZ886" s="6" t="n">
        <x:v>46246.610671296294</x:v>
      </x:c>
    </x:row>
    <x:row r="887" ht="18" customHeight="1">
      <x:c r="A887" s="6" t="str">
        <x:v>96</x:v>
      </x:c>
      <x:c r="B887" s="6" t="str">
        <x:v>PAPUA TENGAH</x:v>
      </x:c>
      <x:c r="C887" s="6" t="str">
        <x:v>2025</x:v>
      </x:c>
      <x:c r="D887" s="6" t="str">
        <x:v>10</x:v>
      </x:c>
      <x:c r="E887" s="6" t="str">
        <x:v>2025-10</x:v>
      </x:c>
      <x:c r="F887" s="6" t="str">
        <x:v>586</x:v>
      </x:c>
      <x:c r="G887" s="6" t="str">
        <x:v>77</x:v>
      </x:c>
      <x:c r="H887" s="6" t="str">
        <x:v>245</x:v>
      </x:c>
      <x:c r="I887" s="6" t="str">
        <x:v>71</x:v>
      </x:c>
      <x:c r="J887" s="6" t="str">
        <x:v>17</x:v>
      </x:c>
      <x:c r="K887" s="6" t="str">
        <x:v>1</x:v>
      </x:c>
      <x:c r="L887" s="6" t="str">
        <x:v>1</x:v>
      </x:c>
      <x:c r="M887" s="6" t="str">
        <x:v>174</x:v>
      </x:c>
      <x:c r="N887" s="6" t="str">
        <x:v>586</x:v>
      </x:c>
      <x:c r="O887" s="6" t="str">
        <x:v>0</x:v>
      </x:c>
      <x:c r="P887" s="10" t="n">
        <x:f>F887-M887</x:f>
        <x:v>412</x:v>
      </x:c>
      <x:c r="Q887" s="11" t="n">
        <x:f>IFERROR(M887/F887,"")</x:f>
        <x:v>0.29692832764505117</x:v>
      </x:c>
      <x:c r="R887" s="10" t="n">
        <x:f>G887+H887</x:f>
        <x:v>322</x:v>
      </x:c>
      <x:c r="S887" s="11" t="n">
        <x:f>IFERROR(R887/F887,"")</x:f>
        <x:v>0.5494880546075085</x:v>
      </x:c>
      <x:c r="T887" s="11" t="n">
        <x:f>IFERROR(R887/P887,"")</x:f>
        <x:v>0.7815533980582524</x:v>
      </x:c>
      <x:c r="U887" s="10" t="n">
        <x:f>I887+J887+K887</x:f>
        <x:v>89</x:v>
      </x:c>
      <x:c r="V887" s="11" t="n">
        <x:f>IFERROR(U887/P887,"")</x:f>
        <x:v>0.21601941747572814</x:v>
      </x:c>
      <x:c r="W887" s="9" t="str">
        <x:v>provisional_gt_5pct_pending</x:v>
      </x:c>
      <x:c r="X887" s="12" t="n">
        <x:f>IFERROR(F887/Z887*100000,"")</x:f>
        <x:v>39.26824365074047</x:v>
      </x:c>
      <x:c r="Y887" s="13" t="n">
        <x:f>LN(Z887)</x:f>
        <x:v>14.21582911191956</x:v>
      </x:c>
      <x:c r="Z887" s="6" t="str">
        <x:v>1492300</x:v>
      </x:c>
      <x:c r="AA887" s="6" t="str">
        <x:v>24.0</x:v>
      </x:c>
      <x:c r="AB887" s="9" t="str">
        <x:v>2025-06-30</x:v>
      </x:c>
      <x:c r="AC887" s="8" t="str">
        <x:v>12.6</x:v>
      </x:c>
      <x:c r="AD887" s="9" t="str">
        <x:v>2025 (Susenas)</x:v>
      </x:c>
      <x:c r="AE887" s="8" t="str">
        <x:v>28.9</x:v>
      </x:c>
      <x:c r="AF887" s="9" t="str">
        <x:v>Maret 2025 (Susenas)</x:v>
      </x:c>
      <x:c r="AG887" s="6" t="str">
        <x:v>21.789650008278247</x:v>
      </x:c>
      <x:c r="AH887" s="8" t="str">
        <x:v>90.96002265463086</x:v>
      </x:c>
      <x:c r="AI887" s="6" t="str">
        <x:v>410.8569811756704</x:v>
      </x:c>
      <x:c r="AJ887" s="6" t="str">
        <x:v>0.4052613969304239</x:v>
      </x:c>
      <x:c r="AK887" s="8" t="str">
        <x:v>1.839353292255337</x:v>
      </x:c>
      <x:c r="AL887" s="6" t="str">
        <x:v>1.9903342240658588</x:v>
      </x:c>
      <x:c r="AM887" s="6" t="str">
        <x:v>1.740240184130587</x:v>
      </x:c>
      <x:c r="AN887" s="6" t="str">
        <x:v>1.8566425668172608</x:v>
      </x:c>
      <x:c r="AO887" s="6" t="str">
        <x:v>0.5474054073964965</x:v>
      </x:c>
      <x:c r="AP887" s="8" t="str">
        <x:v>0.3016197737615129</x:v>
      </x:c>
      <x:c r="AQ887" s="6" t="str">
        <x:v>0.2233638425992012</x:v>
      </x:c>
      <x:c r="AR887" s="6" t="str">
        <x:v>1.055454818720297</x:v>
      </x:c>
      <x:c r="AS887" s="6" t="str">
        <x:v>0.5268128116936694</x:v>
      </x:c>
      <x:c r="AT887" s="6" t="str">
        <x:v>172.36982080298276</x:v>
      </x:c>
      <x:c r="AU887" s="8" t="str">
        <x:v>1.7280826180545594</x:v>
      </x:c>
      <x:c r="AV887" s="6" t="str">
        <x:v>1.8847343442453168</x:v>
      </x:c>
      <x:c r="AW887" s="6" t="str">
        <x:v>4.005394583790407</x:v>
      </x:c>
      <x:c r="AX887" s="6" t="str">
        <x:v>2.539403848696761</x:v>
      </x:c>
      <x:c r="AY887" s="6" t="str">
        <x:v>1</x:v>
      </x:c>
      <x:c r="AZ887" s="6" t="str">
        <x:v>1</x:v>
      </x:c>
      <x:c r="BA887" s="9" t="str">
        <x:v>grid_cells_within_BIG_polygon</x:v>
      </x:c>
      <x:c r="BB887" s="6" t="str">
        <x:v>15</x:v>
      </x:c>
      <x:c r="BC887" s="6" t="str">
        <x:v>1</x:v>
      </x:c>
      <x:c r="BD887" s="6" t="str">
        <x:v>1</x:v>
      </x:c>
      <x:c r="BE887" s="6" t="str">
        <x:v>1</x:v>
      </x:c>
      <x:c r="BF887" s="6" t="str">
        <x:v>0</x:v>
      </x:c>
      <x:c r="BG887" s="6" t="str">
        <x:v>0</x:v>
      </x:c>
      <x:c r="BH887" s="6" t="str">
        <x:v>0</x:v>
      </x:c>
      <x:c r="BI887" s="6" t="str">
        <x:v>0</x:v>
      </x:c>
      <x:c r="BJ887" s="6" t="str">
        <x:v>0</x:v>
      </x:c>
      <x:c r="BK887" s="6" t="str">
        <x:v>0</x:v>
      </x:c>
      <x:c r="BL887" s="6" t="str">
        <x:v>0</x:v>
      </x:c>
      <x:c r="BM887" s="6" t="str">
        <x:v>0</x:v>
      </x:c>
      <x:c r="BN887" s="6" t="str">
        <x:v>1</x:v>
      </x:c>
      <x:c r="BO887" s="6" t="str"/>
      <x:c r="BP887" s="6" t="str">
        <x:v>0</x:v>
      </x:c>
      <x:c r="BQ887" s="6" t="str"/>
      <x:c r="BR887" s="6" t="str">
        <x:v>0</x:v>
      </x:c>
      <x:c r="BS887" s="6" t="str">
        <x:v>5.0</x:v>
      </x:c>
      <x:c r="BT887" s="6" t="str">
        <x:v>1</x:v>
      </x:c>
      <x:c r="BU887" s="6" t="str">
        <x:v>380.0</x:v>
      </x:c>
      <x:c r="BV887" s="6" t="str">
        <x:v>1</x:v>
      </x:c>
      <x:c r="BW887" s="9" t="str">
        <x:v>operational_snapshot_annual_totals_may_differ</x:v>
      </x:c>
      <x:c r="BX887" s="9" t="str">
        <x:v>official_live_dashboard_snapshot_subject_to_revision</x:v>
      </x:c>
      <x:c r="BY887" s="9" t="str">
        <x:v>https://tbdashboard.sitb.id/ss_data_tbc03so_2025_provinsi_bulanan_list.php</x:v>
      </x:c>
      <x:c r="BZ887" s="6" t="n">
        <x:v>46246.610671296294</x:v>
      </x:c>
    </x:row>
    <x:row r="888" ht="18" customHeight="1">
      <x:c r="A888" s="6" t="str">
        <x:v>96</x:v>
      </x:c>
      <x:c r="B888" s="6" t="str">
        <x:v>PAPUA TENGAH</x:v>
      </x:c>
      <x:c r="C888" s="6" t="str">
        <x:v>2025</x:v>
      </x:c>
      <x:c r="D888" s="6" t="str">
        <x:v>11</x:v>
      </x:c>
      <x:c r="E888" s="6" t="str">
        <x:v>2025-11</x:v>
      </x:c>
      <x:c r="F888" s="6" t="str">
        <x:v>535</x:v>
      </x:c>
      <x:c r="G888" s="6" t="str">
        <x:v>79</x:v>
      </x:c>
      <x:c r="H888" s="6" t="str">
        <x:v>199</x:v>
      </x:c>
      <x:c r="I888" s="6" t="str">
        <x:v>70</x:v>
      </x:c>
      <x:c r="J888" s="6" t="str">
        <x:v>13</x:v>
      </x:c>
      <x:c r="K888" s="6" t="str">
        <x:v>3</x:v>
      </x:c>
      <x:c r="L888" s="6" t="str">
        <x:v>1</x:v>
      </x:c>
      <x:c r="M888" s="6" t="str">
        <x:v>170</x:v>
      </x:c>
      <x:c r="N888" s="6" t="str">
        <x:v>535</x:v>
      </x:c>
      <x:c r="O888" s="6" t="str">
        <x:v>0</x:v>
      </x:c>
      <x:c r="P888" s="10" t="n">
        <x:f>F888-M888</x:f>
        <x:v>365</x:v>
      </x:c>
      <x:c r="Q888" s="11" t="n">
        <x:f>IFERROR(M888/F888,"")</x:f>
        <x:v>0.3177570093457944</x:v>
      </x:c>
      <x:c r="R888" s="10" t="n">
        <x:f>G888+H888</x:f>
        <x:v>278</x:v>
      </x:c>
      <x:c r="S888" s="11" t="n">
        <x:f>IFERROR(R888/F888,"")</x:f>
        <x:v>0.5196261682242991</x:v>
      </x:c>
      <x:c r="T888" s="11" t="n">
        <x:f>IFERROR(R888/P888,"")</x:f>
        <x:v>0.7616438356164383</x:v>
      </x:c>
      <x:c r="U888" s="10" t="n">
        <x:f>I888+J888+K888</x:f>
        <x:v>86</x:v>
      </x:c>
      <x:c r="V888" s="11" t="n">
        <x:f>IFERROR(U888/P888,"")</x:f>
        <x:v>0.2356164383561644</x:v>
      </x:c>
      <x:c r="W888" s="9" t="str">
        <x:v>provisional_gt_5pct_pending</x:v>
      </x:c>
      <x:c r="X888" s="12" t="n">
        <x:f>IFERROR(F888/Z888*100000,"")</x:f>
        <x:v>35.85070026134156</x:v>
      </x:c>
      <x:c r="Y888" s="13" t="n">
        <x:f>LN(Z888)</x:f>
        <x:v>14.21582911191956</x:v>
      </x:c>
      <x:c r="Z888" s="6" t="str">
        <x:v>1492300</x:v>
      </x:c>
      <x:c r="AA888" s="6" t="str">
        <x:v>24.0</x:v>
      </x:c>
      <x:c r="AB888" s="9" t="str">
        <x:v>2025-06-30</x:v>
      </x:c>
      <x:c r="AC888" s="8" t="str">
        <x:v>12.6</x:v>
      </x:c>
      <x:c r="AD888" s="9" t="str">
        <x:v>2025 (Susenas)</x:v>
      </x:c>
      <x:c r="AE888" s="8" t="str">
        <x:v>28.9</x:v>
      </x:c>
      <x:c r="AF888" s="9" t="str">
        <x:v>Maret 2025 (Susenas)</x:v>
      </x:c>
      <x:c r="AG888" s="6" t="str">
        <x:v>21.984263910238983</x:v>
      </x:c>
      <x:c r="AH888" s="8" t="str">
        <x:v>89.51508934776176</x:v>
      </x:c>
      <x:c r="AI888" s="6" t="str">
        <x:v>434.976192260626</x:v>
      </x:c>
      <x:c r="AJ888" s="6" t="str">
        <x:v>0.3163738373068732</x:v>
      </x:c>
      <x:c r="AK888" s="8" t="str">
        <x:v>1.570382528070012</x:v>
      </x:c>
      <x:c r="AL888" s="6" t="str">
        <x:v>1.839353292255337</x:v>
      </x:c>
      <x:c r="AM888" s="6" t="str">
        <x:v>1.9903342240658588</x:v>
      </x:c>
      <x:c r="AN888" s="6" t="str">
        <x:v>1.8000233481304024</x:v>
      </x:c>
      <x:c r="AO888" s="6" t="str">
        <x:v>-0.9112878148561664</x:v>
      </x:c>
      <x:c r="AP888" s="8" t="str">
        <x:v>-0.6414426614265936</x:v>
      </x:c>
      <x:c r="AQ888" s="6" t="str">
        <x:v>0.3016197737615129</x:v>
      </x:c>
      <x:c r="AR888" s="6" t="str">
        <x:v>0.2233638425992012</x:v>
      </x:c>
      <x:c r="AS888" s="6" t="str">
        <x:v>-0.0388196816886274</x:v>
      </x:c>
      <x:c r="AT888" s="6" t="str">
        <x:v>206.51703204793483</x:v>
      </x:c>
      <x:c r="AU888" s="8" t="str">
        <x:v>2.665311922162909</x:v>
      </x:c>
      <x:c r="AV888" s="6" t="str">
        <x:v>1.7280826180545594</x:v>
      </x:c>
      <x:c r="AW888" s="6" t="str">
        <x:v>1.8847343442453168</x:v>
      </x:c>
      <x:c r="AX888" s="6" t="str">
        <x:v>2.0927096281542616</x:v>
      </x:c>
      <x:c r="AY888" s="6" t="str">
        <x:v>1</x:v>
      </x:c>
      <x:c r="AZ888" s="6" t="str">
        <x:v>1</x:v>
      </x:c>
      <x:c r="BA888" s="9" t="str">
        <x:v>grid_cells_within_BIG_polygon</x:v>
      </x:c>
      <x:c r="BB888" s="6" t="str">
        <x:v>15</x:v>
      </x:c>
      <x:c r="BC888" s="6" t="str">
        <x:v>0</x:v>
      </x:c>
      <x:c r="BD888" s="6" t="str">
        <x:v>0</x:v>
      </x:c>
      <x:c r="BE888" s="6" t="str">
        <x:v>0</x:v>
      </x:c>
      <x:c r="BF888" s="6" t="str">
        <x:v>0</x:v>
      </x:c>
      <x:c r="BG888" s="6" t="str">
        <x:v>0</x:v>
      </x:c>
      <x:c r="BH888" s="6" t="str">
        <x:v>0</x:v>
      </x:c>
      <x:c r="BI888" s="6" t="str">
        <x:v>0</x:v>
      </x:c>
      <x:c r="BJ888" s="6" t="str">
        <x:v>0</x:v>
      </x:c>
      <x:c r="BK888" s="6" t="str">
        <x:v>0</x:v>
      </x:c>
      <x:c r="BL888" s="6" t="str">
        <x:v>0</x:v>
      </x:c>
      <x:c r="BM888" s="6" t="str">
        <x:v>0</x:v>
      </x:c>
      <x:c r="BN888" s="6" t="str">
        <x:v>0</x:v>
      </x:c>
      <x:c r="BO888" s="6" t="str"/>
      <x:c r="BP888" s="6" t="str">
        <x:v>0</x:v>
      </x:c>
      <x:c r="BQ888" s="6" t="str"/>
      <x:c r="BR888" s="6" t="str">
        <x:v>0</x:v>
      </x:c>
      <x:c r="BS888" s="6" t="str"/>
      <x:c r="BT888" s="6" t="str">
        <x:v>0</x:v>
      </x:c>
      <x:c r="BU888" s="6" t="str"/>
      <x:c r="BV888" s="6" t="str">
        <x:v>0</x:v>
      </x:c>
      <x:c r="BW888" s="9" t="str">
        <x:v>operational_snapshot_annual_totals_may_differ</x:v>
      </x:c>
      <x:c r="BX888" s="9" t="str">
        <x:v>official_live_dashboard_snapshot_subject_to_revision</x:v>
      </x:c>
      <x:c r="BY888" s="9" t="str">
        <x:v>https://tbdashboard.sitb.id/ss_data_tbc03so_2025_provinsi_bulanan_list.php</x:v>
      </x:c>
      <x:c r="BZ888" s="6" t="n">
        <x:v>46246.610671296294</x:v>
      </x:c>
    </x:row>
    <x:row r="889" ht="18" customHeight="1">
      <x:c r="A889" s="6" t="str">
        <x:v>96</x:v>
      </x:c>
      <x:c r="B889" s="6" t="str">
        <x:v>PAPUA TENGAH</x:v>
      </x:c>
      <x:c r="C889" s="6" t="str">
        <x:v>2025</x:v>
      </x:c>
      <x:c r="D889" s="6" t="str">
        <x:v>12</x:v>
      </x:c>
      <x:c r="E889" s="6" t="str">
        <x:v>2025-12</x:v>
      </x:c>
      <x:c r="F889" s="6" t="str">
        <x:v>348</x:v>
      </x:c>
      <x:c r="G889" s="6" t="str">
        <x:v>41</x:v>
      </x:c>
      <x:c r="H889" s="6" t="str">
        <x:v>126</x:v>
      </x:c>
      <x:c r="I889" s="6" t="str">
        <x:v>49</x:v>
      </x:c>
      <x:c r="J889" s="6" t="str">
        <x:v>11</x:v>
      </x:c>
      <x:c r="K889" s="6" t="str">
        <x:v>0</x:v>
      </x:c>
      <x:c r="L889" s="6" t="str">
        <x:v>0</x:v>
      </x:c>
      <x:c r="M889" s="6" t="str">
        <x:v>121</x:v>
      </x:c>
      <x:c r="N889" s="6" t="str">
        <x:v>348</x:v>
      </x:c>
      <x:c r="O889" s="6" t="str">
        <x:v>0</x:v>
      </x:c>
      <x:c r="P889" s="10" t="n">
        <x:f>F889-M889</x:f>
        <x:v>227</x:v>
      </x:c>
      <x:c r="Q889" s="11" t="n">
        <x:f>IFERROR(M889/F889,"")</x:f>
        <x:v>0.34770114942528735</x:v>
      </x:c>
      <x:c r="R889" s="10" t="n">
        <x:f>G889+H889</x:f>
        <x:v>167</x:v>
      </x:c>
      <x:c r="S889" s="11" t="n">
        <x:f>IFERROR(R889/F889,"")</x:f>
        <x:v>0.47988505747126436</x:v>
      </x:c>
      <x:c r="T889" s="11" t="n">
        <x:f>IFERROR(R889/P889,"")</x:f>
        <x:v>0.73568281938326</x:v>
      </x:c>
      <x:c r="U889" s="10" t="n">
        <x:f>I889+J889+K889</x:f>
        <x:v>60</x:v>
      </x:c>
      <x:c r="V889" s="11" t="n">
        <x:f>IFERROR(U889/P889,"")</x:f>
        <x:v>0.2643171806167401</x:v>
      </x:c>
      <x:c r="W889" s="9" t="str">
        <x:v>provisional_gt_5pct_pending</x:v>
      </x:c>
      <x:c r="X889" s="12" t="n">
        <x:f>IFERROR(F889/Z889*100000,"")</x:f>
        <x:v>23.319707833545536</x:v>
      </x:c>
      <x:c r="Y889" s="13" t="n">
        <x:f>LN(Z889)</x:f>
        <x:v>14.21582911191956</x:v>
      </x:c>
      <x:c r="Z889" s="6" t="str">
        <x:v>1492300</x:v>
      </x:c>
      <x:c r="AA889" s="6" t="str">
        <x:v>24.0</x:v>
      </x:c>
      <x:c r="AB889" s="9" t="str">
        <x:v>2025-06-30</x:v>
      </x:c>
      <x:c r="AC889" s="8" t="str">
        <x:v>12.6</x:v>
      </x:c>
      <x:c r="AD889" s="9" t="str">
        <x:v>2025 (Susenas)</x:v>
      </x:c>
      <x:c r="AE889" s="8" t="str">
        <x:v>28.9</x:v>
      </x:c>
      <x:c r="AF889" s="9" t="str">
        <x:v>Maret 2025 (Susenas)</x:v>
      </x:c>
      <x:c r="AG889" s="6" t="str">
        <x:v>21.982961767293457</x:v>
      </x:c>
      <x:c r="AH889" s="8" t="str">
        <x:v>90.07688247553668</x:v>
      </x:c>
      <x:c r="AI889" s="6" t="str">
        <x:v>324.65431527021013</x:v>
      </x:c>
      <x:c r="AJ889" s="6" t="str">
        <x:v>0.2598631005376433</x:v>
      </x:c>
      <x:c r="AK889" s="8" t="str">
        <x:v>1.0591649756171828</x:v>
      </x:c>
      <x:c r="AL889" s="6" t="str">
        <x:v>1.570382528070012</x:v>
      </x:c>
      <x:c r="AM889" s="6" t="str">
        <x:v>1.839353292255337</x:v>
      </x:c>
      <x:c r="AN889" s="6" t="str">
        <x:v>1.4896335986475109</x:v>
      </x:c>
      <x:c r="AO889" s="6" t="str">
        <x:v>-0.6007668709222855</x:v>
      </x:c>
      <x:c r="AP889" s="8" t="str">
        <x:v>-0.6297754169857392</x:v>
      </x:c>
      <x:c r="AQ889" s="6" t="str">
        <x:v>-0.6414426614265936</x:v>
      </x:c>
      <x:c r="AR889" s="6" t="str">
        <x:v>0.3016197737615129</x:v>
      </x:c>
      <x:c r="AS889" s="6" t="str">
        <x:v>-0.3231994348836076</x:v>
      </x:c>
      <x:c r="AT889" s="6" t="str">
        <x:v>40.64790780242555</x:v>
      </x:c>
      <x:c r="AU889" s="8" t="str">
        <x:v>0.5515195933359849</x:v>
      </x:c>
      <x:c r="AV889" s="6" t="str">
        <x:v>2.665311922162909</x:v>
      </x:c>
      <x:c r="AW889" s="6" t="str">
        <x:v>1.7280826180545594</x:v>
      </x:c>
      <x:c r="AX889" s="6" t="str">
        <x:v>1.6483047111844844</x:v>
      </x:c>
      <x:c r="AY889" s="6" t="str">
        <x:v>0</x:v>
      </x:c>
      <x:c r="AZ889" s="6" t="str">
        <x:v>1</x:v>
      </x:c>
      <x:c r="BA889" s="9" t="str">
        <x:v>grid_cells_within_BIG_polygon</x:v>
      </x:c>
      <x:c r="BB889" s="6" t="str">
        <x:v>15</x:v>
      </x:c>
      <x:c r="BC889" s="6" t="str">
        <x:v>0</x:v>
      </x:c>
      <x:c r="BD889" s="6" t="str">
        <x:v>0</x:v>
      </x:c>
      <x:c r="BE889" s="6" t="str">
        <x:v>0</x:v>
      </x:c>
      <x:c r="BF889" s="6" t="str">
        <x:v>0</x:v>
      </x:c>
      <x:c r="BG889" s="6" t="str">
        <x:v>0</x:v>
      </x:c>
      <x:c r="BH889" s="6" t="str">
        <x:v>0</x:v>
      </x:c>
      <x:c r="BI889" s="6" t="str">
        <x:v>0</x:v>
      </x:c>
      <x:c r="BJ889" s="6" t="str">
        <x:v>0</x:v>
      </x:c>
      <x:c r="BK889" s="6" t="str">
        <x:v>0</x:v>
      </x:c>
      <x:c r="BL889" s="6" t="str">
        <x:v>0</x:v>
      </x:c>
      <x:c r="BM889" s="6" t="str">
        <x:v>0</x:v>
      </x:c>
      <x:c r="BN889" s="6" t="str">
        <x:v>0</x:v>
      </x:c>
      <x:c r="BO889" s="6" t="str"/>
      <x:c r="BP889" s="6" t="str">
        <x:v>0</x:v>
      </x:c>
      <x:c r="BQ889" s="6" t="str"/>
      <x:c r="BR889" s="6" t="str">
        <x:v>0</x:v>
      </x:c>
      <x:c r="BS889" s="6" t="str"/>
      <x:c r="BT889" s="6" t="str">
        <x:v>0</x:v>
      </x:c>
      <x:c r="BU889" s="6" t="str"/>
      <x:c r="BV889" s="6" t="str">
        <x:v>0</x:v>
      </x:c>
      <x:c r="BW889" s="9" t="str">
        <x:v>operational_snapshot_annual_totals_may_differ</x:v>
      </x:c>
      <x:c r="BX889" s="9" t="str">
        <x:v>official_live_dashboard_snapshot_subject_to_revision</x:v>
      </x:c>
      <x:c r="BY889" s="9" t="str">
        <x:v>https://tbdashboard.sitb.id/ss_data_tbc03so_2025_provinsi_bulanan_list.php</x:v>
      </x:c>
      <x:c r="BZ889" s="6" t="n">
        <x:v>46246.610671296294</x:v>
      </x:c>
    </x:row>
    <x:row r="890" ht="18" customHeight="1">
      <x:c r="A890" s="6" t="str">
        <x:v>97</x:v>
      </x:c>
      <x:c r="B890" s="6" t="str">
        <x:v>PAPUA PEGUNUNGAN</x:v>
      </x:c>
      <x:c r="C890" s="6" t="str">
        <x:v>2024</x:v>
      </x:c>
      <x:c r="D890" s="6" t="str">
        <x:v>1</x:v>
      </x:c>
      <x:c r="E890" s="6" t="str">
        <x:v>2024-01</x:v>
      </x:c>
      <x:c r="F890" s="6" t="str">
        <x:v>145</x:v>
      </x:c>
      <x:c r="G890" s="6" t="str">
        <x:v>7</x:v>
      </x:c>
      <x:c r="H890" s="6" t="str">
        <x:v>79</x:v>
      </x:c>
      <x:c r="I890" s="6" t="str">
        <x:v>18</x:v>
      </x:c>
      <x:c r="J890" s="6" t="str">
        <x:v>3</x:v>
      </x:c>
      <x:c r="K890" s="6" t="str">
        <x:v>0</x:v>
      </x:c>
      <x:c r="L890" s="6" t="str">
        <x:v>2</x:v>
      </x:c>
      <x:c r="M890" s="6" t="str">
        <x:v>36</x:v>
      </x:c>
      <x:c r="N890" s="6" t="str">
        <x:v>145</x:v>
      </x:c>
      <x:c r="O890" s="6" t="str">
        <x:v>0</x:v>
      </x:c>
      <x:c r="P890" s="10" t="n">
        <x:f>F890-M890</x:f>
        <x:v>109</x:v>
      </x:c>
      <x:c r="Q890" s="11" t="n">
        <x:f>IFERROR(M890/F890,"")</x:f>
        <x:v>0.2482758620689655</x:v>
      </x:c>
      <x:c r="R890" s="10" t="n">
        <x:f>G890+H890</x:f>
        <x:v>86</x:v>
      </x:c>
      <x:c r="S890" s="11" t="n">
        <x:f>IFERROR(R890/F890,"")</x:f>
        <x:v>0.593103448275862</x:v>
      </x:c>
      <x:c r="T890" s="11" t="n">
        <x:f>IFERROR(R890/P890,"")</x:f>
        <x:v>0.7889908256880734</x:v>
      </x:c>
      <x:c r="U890" s="10" t="n">
        <x:f>I890+J890+K890</x:f>
        <x:v>21</x:v>
      </x:c>
      <x:c r="V890" s="11" t="n">
        <x:f>IFERROR(U890/P890,"")</x:f>
        <x:v>0.1926605504587156</x:v>
      </x:c>
      <x:c r="W890" s="9" t="str">
        <x:v>provisional_gt_5pct_pending</x:v>
      </x:c>
      <x:c r="X890" s="12" t="n">
        <x:f>IFERROR(F890/Z890*100000,"")</x:f>
        <x:v>9.884117246080436</x:v>
      </x:c>
      <x:c r="Y890" s="13" t="n">
        <x:f>LN(Z890)</x:f>
        <x:v>14.198730057125118</x:v>
      </x:c>
      <x:c r="Z890" s="6" t="str">
        <x:v>1467000</x:v>
      </x:c>
      <x:c r="AA890" s="6" t="str">
        <x:v>29.0</x:v>
      </x:c>
      <x:c r="AB890" s="9" t="str">
        <x:v>2024-06-30</x:v>
      </x:c>
      <x:c r="AC890" s="8" t="str">
        <x:v>16.34</x:v>
      </x:c>
      <x:c r="AD890" s="9" t="str">
        <x:v>2024 (Susenas)</x:v>
      </x:c>
      <x:c r="AE890" s="8" t="str">
        <x:v>25898.55</x:v>
      </x:c>
      <x:c r="AF890" s="9" t="str">
        <x:v>Maret 2024 (Susenas)</x:v>
      </x:c>
      <x:c r="AG890" s="6" t="str">
        <x:v>20.517057542094246</x:v>
      </x:c>
      <x:c r="AH890" s="8" t="str">
        <x:v>88.9806892350753</x:v>
      </x:c>
      <x:c r="AI890" s="6" t="str">
        <x:v>130.9150758490698</x:v>
      </x:c>
      <x:c r="AJ890" s="6" t="str">
        <x:v>0.7800243800047788</x:v>
      </x:c>
      <x:c r="AK890" s="8" t="str">
        <x:v>3.2385097624319394</x:v>
      </x:c>
      <x:c r="AL890" s="6" t="str">
        <x:v>3.299713390160666</x:v>
      </x:c>
      <x:c r="AM890" s="6" t="str">
        <x:v>2.577374379300057</x:v>
      </x:c>
      <x:c r="AN890" s="6" t="str">
        <x:v>3.038532510630888</x:v>
      </x:c>
      <x:c r="AO890" s="6" t="str">
        <x:v>-1.2246879670516648</x:v>
      </x:c>
      <x:c r="AP890" s="8" t="str">
        <x:v>-1.0708684740994263</x:v>
      </x:c>
      <x:c r="AQ890" s="6" t="str">
        <x:v>-1.014150163108757</x:v>
      </x:c>
      <x:c r="AR890" s="6" t="str">
        <x:v>-0.1209889761494621</x:v>
      </x:c>
      <x:c r="AS890" s="6" t="str">
        <x:v>-0.7353358711192151</x:v>
      </x:c>
      <x:c r="AT890" s="6" t="str">
        <x:v>-104.61428590529668</x:v>
      </x:c>
      <x:c r="AU890" s="8" t="str">
        <x:v>-1.6067592614212356</x:v>
      </x:c>
      <x:c r="AV890" s="6" t="str">
        <x:v>-0.9438288419411888</x:v>
      </x:c>
      <x:c r="AW890" s="6" t="str">
        <x:v>-1.7832571162126745</x:v>
      </x:c>
      <x:c r="AX890" s="6" t="str">
        <x:v>-1.4446150731916998</x:v>
      </x:c>
      <x:c r="AY890" s="6" t="str">
        <x:v>0</x:v>
      </x:c>
      <x:c r="AZ890" s="6" t="str">
        <x:v>1</x:v>
      </x:c>
      <x:c r="BA890" s="9" t="str">
        <x:v>grid_cells_within_BIG_polygon</x:v>
      </x:c>
      <x:c r="BB890" s="6" t="str">
        <x:v>13</x:v>
      </x:c>
      <x:c r="BC890" s="6" t="str">
        <x:v>0</x:v>
      </x:c>
      <x:c r="BD890" s="6" t="str">
        <x:v>0</x:v>
      </x:c>
      <x:c r="BE890" s="6" t="str">
        <x:v>0</x:v>
      </x:c>
      <x:c r="BF890" s="6" t="str">
        <x:v>0</x:v>
      </x:c>
      <x:c r="BG890" s="6" t="str">
        <x:v>0</x:v>
      </x:c>
      <x:c r="BH890" s="6" t="str">
        <x:v>0</x:v>
      </x:c>
      <x:c r="BI890" s="6" t="str">
        <x:v>0</x:v>
      </x:c>
      <x:c r="BJ890" s="6" t="str">
        <x:v>0</x:v>
      </x:c>
      <x:c r="BK890" s="6" t="str">
        <x:v>0</x:v>
      </x:c>
      <x:c r="BL890" s="6" t="str">
        <x:v>0</x:v>
      </x:c>
      <x:c r="BM890" s="6" t="str">
        <x:v>0</x:v>
      </x:c>
      <x:c r="BN890" s="6" t="str">
        <x:v>0</x:v>
      </x:c>
      <x:c r="BO890" s="6" t="str"/>
      <x:c r="BP890" s="6" t="str">
        <x:v>0</x:v>
      </x:c>
      <x:c r="BQ890" s="6" t="str"/>
      <x:c r="BR890" s="6" t="str">
        <x:v>0</x:v>
      </x:c>
      <x:c r="BS890" s="6" t="str"/>
      <x:c r="BT890" s="6" t="str">
        <x:v>0</x:v>
      </x:c>
      <x:c r="BU890" s="6" t="str"/>
      <x:c r="BV890" s="6" t="str">
        <x:v>0</x:v>
      </x:c>
      <x:c r="BW890" s="9" t="str">
        <x:v>operational_snapshot_annual_totals_may_differ</x:v>
      </x:c>
      <x:c r="BX890" s="9" t="str">
        <x:v>official_live_dashboard_snapshot_subject_to_revision</x:v>
      </x:c>
      <x:c r="BY890" s="9" t="str">
        <x:v>https://tbdashboard.sitb.id/ss_data_tbc03so_2024_provinsi_bulanan_list.php</x:v>
      </x:c>
      <x:c r="BZ890" s="6" t="n">
        <x:v>46246.610671296294</x:v>
      </x:c>
    </x:row>
    <x:row r="891" ht="18" customHeight="1">
      <x:c r="A891" s="6" t="str">
        <x:v>97</x:v>
      </x:c>
      <x:c r="B891" s="6" t="str">
        <x:v>PAPUA PEGUNUNGAN</x:v>
      </x:c>
      <x:c r="C891" s="6" t="str">
        <x:v>2024</x:v>
      </x:c>
      <x:c r="D891" s="6" t="str">
        <x:v>2</x:v>
      </x:c>
      <x:c r="E891" s="6" t="str">
        <x:v>2024-02</x:v>
      </x:c>
      <x:c r="F891" s="6" t="str">
        <x:v>88</x:v>
      </x:c>
      <x:c r="G891" s="6" t="str">
        <x:v>3</x:v>
      </x:c>
      <x:c r="H891" s="6" t="str">
        <x:v>42</x:v>
      </x:c>
      <x:c r="I891" s="6" t="str">
        <x:v>19</x:v>
      </x:c>
      <x:c r="J891" s="6" t="str">
        <x:v>2</x:v>
      </x:c>
      <x:c r="K891" s="6" t="str">
        <x:v>0</x:v>
      </x:c>
      <x:c r="L891" s="6" t="str">
        <x:v>2</x:v>
      </x:c>
      <x:c r="M891" s="6" t="str">
        <x:v>20</x:v>
      </x:c>
      <x:c r="N891" s="6" t="str">
        <x:v>88</x:v>
      </x:c>
      <x:c r="O891" s="6" t="str">
        <x:v>0</x:v>
      </x:c>
      <x:c r="P891" s="10" t="n">
        <x:f>F891-M891</x:f>
        <x:v>68</x:v>
      </x:c>
      <x:c r="Q891" s="11" t="n">
        <x:f>IFERROR(M891/F891,"")</x:f>
        <x:v>0.22727272727272727</x:v>
      </x:c>
      <x:c r="R891" s="10" t="n">
        <x:f>G891+H891</x:f>
        <x:v>45</x:v>
      </x:c>
      <x:c r="S891" s="11" t="n">
        <x:f>IFERROR(R891/F891,"")</x:f>
        <x:v>0.5113636363636364</x:v>
      </x:c>
      <x:c r="T891" s="11" t="n">
        <x:f>IFERROR(R891/P891,"")</x:f>
        <x:v>0.6617647058823529</x:v>
      </x:c>
      <x:c r="U891" s="10" t="n">
        <x:f>I891+J891+K891</x:f>
        <x:v>21</x:v>
      </x:c>
      <x:c r="V891" s="11" t="n">
        <x:f>IFERROR(U891/P891,"")</x:f>
        <x:v>0.3088235294117647</x:v>
      </x:c>
      <x:c r="W891" s="9" t="str">
        <x:v>provisional_gt_5pct_pending</x:v>
      </x:c>
      <x:c r="X891" s="12" t="n">
        <x:f>IFERROR(F891/Z891*100000,"")</x:f>
        <x:v>5.998636673483299</x:v>
      </x:c>
      <x:c r="Y891" s="13" t="n">
        <x:f>LN(Z891)</x:f>
        <x:v>14.198730057125118</x:v>
      </x:c>
      <x:c r="Z891" s="6" t="str">
        <x:v>1467000</x:v>
      </x:c>
      <x:c r="AA891" s="6" t="str">
        <x:v>29.0</x:v>
      </x:c>
      <x:c r="AB891" s="9" t="str">
        <x:v>2024-06-30</x:v>
      </x:c>
      <x:c r="AC891" s="8" t="str">
        <x:v>16.34</x:v>
      </x:c>
      <x:c r="AD891" s="9" t="str">
        <x:v>2024 (Susenas)</x:v>
      </x:c>
      <x:c r="AE891" s="8" t="str">
        <x:v>25898.55</x:v>
      </x:c>
      <x:c r="AF891" s="9" t="str">
        <x:v>Maret 2024 (Susenas)</x:v>
      </x:c>
      <x:c r="AG891" s="6" t="str">
        <x:v>20.69624171567178</x:v>
      </x:c>
      <x:c r="AH891" s="8" t="str">
        <x:v>88.31679058479614</x:v>
      </x:c>
      <x:c r="AI891" s="6" t="str">
        <x:v>179.50725761905667</x:v>
      </x:c>
      <x:c r="AJ891" s="6" t="str">
        <x:v>1.0360679444809795</x:v>
      </x:c>
      <x:c r="AK891" s="8" t="str">
        <x:v>3.629906858295562</x:v>
      </x:c>
      <x:c r="AL891" s="6" t="str">
        <x:v>3.2385097624319394</x:v>
      </x:c>
      <x:c r="AM891" s="6" t="str">
        <x:v>3.299713390160666</x:v>
      </x:c>
      <x:c r="AN891" s="6" t="str">
        <x:v>3.3893766702960555</x:v>
      </x:c>
      <x:c r="AO891" s="6" t="str">
        <x:v>-2.2349548913613546</x:v>
      </x:c>
      <x:c r="AP891" s="8" t="str">
        <x:v>-2.0726599145243387</x:v>
      </x:c>
      <x:c r="AQ891" s="6" t="str">
        <x:v>-1.0708684740994263</x:v>
      </x:c>
      <x:c r="AR891" s="6" t="str">
        <x:v>-1.014150163108757</x:v>
      </x:c>
      <x:c r="AS891" s="6" t="str">
        <x:v>-1.3858928505775072</x:v>
      </x:c>
      <x:c r="AT891" s="6" t="str">
        <x:v>-47.220054509424784</x:v>
      </x:c>
      <x:c r="AU891" s="8" t="str">
        <x:v>-0.7342728469353554</x:v>
      </x:c>
      <x:c r="AV891" s="6" t="str">
        <x:v>-1.6067592614212356</x:v>
      </x:c>
      <x:c r="AW891" s="6" t="str">
        <x:v>-0.9438288419411888</x:v>
      </x:c>
      <x:c r="AX891" s="6" t="str">
        <x:v>-1.0949536500992605</x:v>
      </x:c>
      <x:c r="AY891" s="6" t="str">
        <x:v>0</x:v>
      </x:c>
      <x:c r="AZ891" s="6" t="str">
        <x:v>1</x:v>
      </x:c>
      <x:c r="BA891" s="9" t="str">
        <x:v>grid_cells_within_BIG_polygon</x:v>
      </x:c>
      <x:c r="BB891" s="6" t="str">
        <x:v>13</x:v>
      </x:c>
      <x:c r="BC891" s="6" t="str">
        <x:v>0</x:v>
      </x:c>
      <x:c r="BD891" s="6" t="str">
        <x:v>0</x:v>
      </x:c>
      <x:c r="BE891" s="6" t="str">
        <x:v>0</x:v>
      </x:c>
      <x:c r="BF891" s="6" t="str">
        <x:v>0</x:v>
      </x:c>
      <x:c r="BG891" s="6" t="str">
        <x:v>0</x:v>
      </x:c>
      <x:c r="BH891" s="6" t="str">
        <x:v>0</x:v>
      </x:c>
      <x:c r="BI891" s="6" t="str">
        <x:v>0</x:v>
      </x:c>
      <x:c r="BJ891" s="6" t="str">
        <x:v>0</x:v>
      </x:c>
      <x:c r="BK891" s="6" t="str">
        <x:v>0</x:v>
      </x:c>
      <x:c r="BL891" s="6" t="str">
        <x:v>0</x:v>
      </x:c>
      <x:c r="BM891" s="6" t="str">
        <x:v>0</x:v>
      </x:c>
      <x:c r="BN891" s="6" t="str">
        <x:v>0</x:v>
      </x:c>
      <x:c r="BO891" s="6" t="str"/>
      <x:c r="BP891" s="6" t="str">
        <x:v>0</x:v>
      </x:c>
      <x:c r="BQ891" s="6" t="str"/>
      <x:c r="BR891" s="6" t="str">
        <x:v>0</x:v>
      </x:c>
      <x:c r="BS891" s="6" t="str"/>
      <x:c r="BT891" s="6" t="str">
        <x:v>0</x:v>
      </x:c>
      <x:c r="BU891" s="6" t="str"/>
      <x:c r="BV891" s="6" t="str">
        <x:v>0</x:v>
      </x:c>
      <x:c r="BW891" s="9" t="str">
        <x:v>operational_snapshot_annual_totals_may_differ</x:v>
      </x:c>
      <x:c r="BX891" s="9" t="str">
        <x:v>official_live_dashboard_snapshot_subject_to_revision</x:v>
      </x:c>
      <x:c r="BY891" s="9" t="str">
        <x:v>https://tbdashboard.sitb.id/ss_data_tbc03so_2024_provinsi_bulanan_list.php</x:v>
      </x:c>
      <x:c r="BZ891" s="6" t="n">
        <x:v>46246.610671296294</x:v>
      </x:c>
    </x:row>
    <x:row r="892" ht="18" customHeight="1">
      <x:c r="A892" s="6" t="str">
        <x:v>97</x:v>
      </x:c>
      <x:c r="B892" s="6" t="str">
        <x:v>PAPUA PEGUNUNGAN</x:v>
      </x:c>
      <x:c r="C892" s="6" t="str">
        <x:v>2024</x:v>
      </x:c>
      <x:c r="D892" s="6" t="str">
        <x:v>3</x:v>
      </x:c>
      <x:c r="E892" s="6" t="str">
        <x:v>2024-03</x:v>
      </x:c>
      <x:c r="F892" s="6" t="str">
        <x:v>96</x:v>
      </x:c>
      <x:c r="G892" s="6" t="str">
        <x:v>9</x:v>
      </x:c>
      <x:c r="H892" s="6" t="str">
        <x:v>42</x:v>
      </x:c>
      <x:c r="I892" s="6" t="str">
        <x:v>17</x:v>
      </x:c>
      <x:c r="J892" s="6" t="str">
        <x:v>4</x:v>
      </x:c>
      <x:c r="K892" s="6" t="str">
        <x:v>0</x:v>
      </x:c>
      <x:c r="L892" s="6" t="str">
        <x:v>0</x:v>
      </x:c>
      <x:c r="M892" s="6" t="str">
        <x:v>24</x:v>
      </x:c>
      <x:c r="N892" s="6" t="str">
        <x:v>96</x:v>
      </x:c>
      <x:c r="O892" s="6" t="str">
        <x:v>0</x:v>
      </x:c>
      <x:c r="P892" s="10" t="n">
        <x:f>F892-M892</x:f>
        <x:v>72</x:v>
      </x:c>
      <x:c r="Q892" s="11" t="n">
        <x:f>IFERROR(M892/F892,"")</x:f>
        <x:v>0.25</x:v>
      </x:c>
      <x:c r="R892" s="10" t="n">
        <x:f>G892+H892</x:f>
        <x:v>51</x:v>
      </x:c>
      <x:c r="S892" s="11" t="n">
        <x:f>IFERROR(R892/F892,"")</x:f>
        <x:v>0.53125</x:v>
      </x:c>
      <x:c r="T892" s="11" t="n">
        <x:f>IFERROR(R892/P892,"")</x:f>
        <x:v>0.7083333333333334</x:v>
      </x:c>
      <x:c r="U892" s="10" t="n">
        <x:f>I892+J892+K892</x:f>
        <x:v>21</x:v>
      </x:c>
      <x:c r="V892" s="11" t="n">
        <x:f>IFERROR(U892/P892,"")</x:f>
        <x:v>0.2916666666666667</x:v>
      </x:c>
      <x:c r="W892" s="9" t="str">
        <x:v>provisional_gt_5pct_pending</x:v>
      </x:c>
      <x:c r="X892" s="12" t="n">
        <x:f>IFERROR(F892/Z892*100000,"")</x:f>
        <x:v>6.543967280163598</x:v>
      </x:c>
      <x:c r="Y892" s="13" t="n">
        <x:f>LN(Z892)</x:f>
        <x:v>14.198730057125118</x:v>
      </x:c>
      <x:c r="Z892" s="6" t="str">
        <x:v>1467000</x:v>
      </x:c>
      <x:c r="AA892" s="6" t="str">
        <x:v>29.0</x:v>
      </x:c>
      <x:c r="AB892" s="9" t="str">
        <x:v>2024-06-30</x:v>
      </x:c>
      <x:c r="AC892" s="8" t="str">
        <x:v>16.34</x:v>
      </x:c>
      <x:c r="AD892" s="9" t="str">
        <x:v>2024 (Susenas)</x:v>
      </x:c>
      <x:c r="AE892" s="8" t="str">
        <x:v>25898.55</x:v>
      </x:c>
      <x:c r="AF892" s="9" t="str">
        <x:v>Maret 2024 (Susenas)</x:v>
      </x:c>
      <x:c r="AG892" s="6" t="str">
        <x:v>20.678563743369207</x:v>
      </x:c>
      <x:c r="AH892" s="8" t="str">
        <x:v>91.348243900472</x:v>
      </x:c>
      <x:c r="AI892" s="6" t="str">
        <x:v>315.4032723201518</x:v>
      </x:c>
      <x:c r="AJ892" s="6" t="str">
        <x:v>1.023717014183383</x:v>
      </x:c>
      <x:c r="AK892" s="8" t="str">
        <x:v>4.155282173357547</x:v>
      </x:c>
      <x:c r="AL892" s="6" t="str">
        <x:v>3.629906858295562</x:v>
      </x:c>
      <x:c r="AM892" s="6" t="str">
        <x:v>3.2385097624319394</x:v>
      </x:c>
      <x:c r="AN892" s="6" t="str">
        <x:v>3.6745662646950152</x:v>
      </x:c>
      <x:c r="AO892" s="6" t="str">
        <x:v>0.4688760592357539</x:v>
      </x:c>
      <x:c r="AP892" s="8" t="str">
        <x:v>0.4403484607853434</x:v>
      </x:c>
      <x:c r="AQ892" s="6" t="str">
        <x:v>-2.0726599145243387</x:v>
      </x:c>
      <x:c r="AR892" s="6" t="str">
        <x:v>-1.0708684740994263</x:v>
      </x:c>
      <x:c r="AS892" s="6" t="str">
        <x:v>-0.9010599759461404</x:v>
      </x:c>
      <x:c r="AT892" s="6" t="str">
        <x:v>53.919708270809394</x:v>
      </x:c>
      <x:c r="AU892" s="8" t="str">
        <x:v>0.6565104505708672</x:v>
      </x:c>
      <x:c r="AV892" s="6" t="str">
        <x:v>-0.7342728469353554</x:v>
      </x:c>
      <x:c r="AW892" s="6" t="str">
        <x:v>-1.6067592614212356</x:v>
      </x:c>
      <x:c r="AX892" s="6" t="str">
        <x:v>-0.561507219261908</x:v>
      </x:c>
      <x:c r="AY892" s="6" t="str">
        <x:v>0</x:v>
      </x:c>
      <x:c r="AZ892" s="6" t="str">
        <x:v>1</x:v>
      </x:c>
      <x:c r="BA892" s="9" t="str">
        <x:v>grid_cells_within_BIG_polygon</x:v>
      </x:c>
      <x:c r="BB892" s="6" t="str">
        <x:v>13</x:v>
      </x:c>
      <x:c r="BC892" s="6" t="str">
        <x:v>1</x:v>
      </x:c>
      <x:c r="BD892" s="6" t="str">
        <x:v>1</x:v>
      </x:c>
      <x:c r="BE892" s="6" t="str">
        <x:v>0</x:v>
      </x:c>
      <x:c r="BF892" s="6" t="str">
        <x:v>1</x:v>
      </x:c>
      <x:c r="BG892" s="6" t="str">
        <x:v>0</x:v>
      </x:c>
      <x:c r="BH892" s="6" t="str">
        <x:v>0</x:v>
      </x:c>
      <x:c r="BI892" s="6" t="str">
        <x:v>0</x:v>
      </x:c>
      <x:c r="BJ892" s="6" t="str">
        <x:v>0</x:v>
      </x:c>
      <x:c r="BK892" s="6" t="str">
        <x:v>0</x:v>
      </x:c>
      <x:c r="BL892" s="6" t="str">
        <x:v>0</x:v>
      </x:c>
      <x:c r="BM892" s="6" t="str">
        <x:v>0</x:v>
      </x:c>
      <x:c r="BN892" s="6" t="str">
        <x:v>1</x:v>
      </x:c>
      <x:c r="BO892" s="6" t="str">
        <x:v>0.0</x:v>
      </x:c>
      <x:c r="BP892" s="6" t="str">
        <x:v>1</x:v>
      </x:c>
      <x:c r="BQ892" s="6" t="str">
        <x:v>0.0</x:v>
      </x:c>
      <x:c r="BR892" s="6" t="str">
        <x:v>1</x:v>
      </x:c>
      <x:c r="BS892" s="6" t="str">
        <x:v>0.0</x:v>
      </x:c>
      <x:c r="BT892" s="6" t="str">
        <x:v>1</x:v>
      </x:c>
      <x:c r="BU892" s="6" t="str"/>
      <x:c r="BV892" s="6" t="str">
        <x:v>0</x:v>
      </x:c>
      <x:c r="BW892" s="9" t="str">
        <x:v>operational_snapshot_annual_totals_may_differ</x:v>
      </x:c>
      <x:c r="BX892" s="9" t="str">
        <x:v>official_live_dashboard_snapshot_subject_to_revision</x:v>
      </x:c>
      <x:c r="BY892" s="9" t="str">
        <x:v>https://tbdashboard.sitb.id/ss_data_tbc03so_2024_provinsi_bulanan_list.php</x:v>
      </x:c>
      <x:c r="BZ892" s="6" t="n">
        <x:v>46246.610671296294</x:v>
      </x:c>
    </x:row>
    <x:row r="893" ht="18" customHeight="1">
      <x:c r="A893" s="6" t="str">
        <x:v>97</x:v>
      </x:c>
      <x:c r="B893" s="6" t="str">
        <x:v>PAPUA PEGUNUNGAN</x:v>
      </x:c>
      <x:c r="C893" s="6" t="str">
        <x:v>2024</x:v>
      </x:c>
      <x:c r="D893" s="6" t="str">
        <x:v>4</x:v>
      </x:c>
      <x:c r="E893" s="6" t="str">
        <x:v>2024-04</x:v>
      </x:c>
      <x:c r="F893" s="6" t="str">
        <x:v>104</x:v>
      </x:c>
      <x:c r="G893" s="6" t="str">
        <x:v>4</x:v>
      </x:c>
      <x:c r="H893" s="6" t="str">
        <x:v>55</x:v>
      </x:c>
      <x:c r="I893" s="6" t="str">
        <x:v>25</x:v>
      </x:c>
      <x:c r="J893" s="6" t="str">
        <x:v>0</x:v>
      </x:c>
      <x:c r="K893" s="6" t="str">
        <x:v>0</x:v>
      </x:c>
      <x:c r="L893" s="6" t="str">
        <x:v>1</x:v>
      </x:c>
      <x:c r="M893" s="6" t="str">
        <x:v>19</x:v>
      </x:c>
      <x:c r="N893" s="6" t="str">
        <x:v>104</x:v>
      </x:c>
      <x:c r="O893" s="6" t="str">
        <x:v>0</x:v>
      </x:c>
      <x:c r="P893" s="10" t="n">
        <x:f>F893-M893</x:f>
        <x:v>85</x:v>
      </x:c>
      <x:c r="Q893" s="11" t="n">
        <x:f>IFERROR(M893/F893,"")</x:f>
        <x:v>0.18269230769230768</x:v>
      </x:c>
      <x:c r="R893" s="10" t="n">
        <x:f>G893+H893</x:f>
        <x:v>59</x:v>
      </x:c>
      <x:c r="S893" s="11" t="n">
        <x:f>IFERROR(R893/F893,"")</x:f>
        <x:v>0.5673076923076923</x:v>
      </x:c>
      <x:c r="T893" s="11" t="n">
        <x:f>IFERROR(R893/P893,"")</x:f>
        <x:v>0.6941176470588235</x:v>
      </x:c>
      <x:c r="U893" s="10" t="n">
        <x:f>I893+J893+K893</x:f>
        <x:v>25</x:v>
      </x:c>
      <x:c r="V893" s="11" t="n">
        <x:f>IFERROR(U893/P893,"")</x:f>
        <x:v>0.29411764705882354</x:v>
      </x:c>
      <x:c r="W893" s="9" t="str">
        <x:v>provisional_gt_5pct_pending</x:v>
      </x:c>
      <x:c r="X893" s="12" t="n">
        <x:f>IFERROR(F893/Z893*100000,"")</x:f>
        <x:v>7.0892978868439</x:v>
      </x:c>
      <x:c r="Y893" s="13" t="n">
        <x:f>LN(Z893)</x:f>
        <x:v>14.198730057125118</x:v>
      </x:c>
      <x:c r="Z893" s="6" t="str">
        <x:v>1467000</x:v>
      </x:c>
      <x:c r="AA893" s="6" t="str">
        <x:v>29.0</x:v>
      </x:c>
      <x:c r="AB893" s="9" t="str">
        <x:v>2024-06-30</x:v>
      </x:c>
      <x:c r="AC893" s="8" t="str">
        <x:v>16.34</x:v>
      </x:c>
      <x:c r="AD893" s="9" t="str">
        <x:v>2024 (Susenas)</x:v>
      </x:c>
      <x:c r="AE893" s="8" t="str">
        <x:v>25898.55</x:v>
      </x:c>
      <x:c r="AF893" s="9" t="str">
        <x:v>Maret 2024 (Susenas)</x:v>
      </x:c>
      <x:c r="AG893" s="6" t="str">
        <x:v>20.640050265492235</x:v>
      </x:c>
      <x:c r="AH893" s="8" t="str">
        <x:v>91.6686127600545</x:v>
      </x:c>
      <x:c r="AI893" s="6" t="str">
        <x:v>247.25952896387787</x:v>
      </x:c>
      <x:c r="AJ893" s="6" t="str">
        <x:v>0.9098111790849366</x:v>
      </x:c>
      <x:c r="AK893" s="8" t="str">
        <x:v>3.8127019104094377</x:v>
      </x:c>
      <x:c r="AL893" s="6" t="str">
        <x:v>4.155282173357547</x:v>
      </x:c>
      <x:c r="AM893" s="6" t="str">
        <x:v>3.629906858295562</x:v>
      </x:c>
      <x:c r="AN893" s="6" t="str">
        <x:v>3.8659636473541816</x:v>
      </x:c>
      <x:c r="AO893" s="6" t="str">
        <x:v>-0.1032376094223508</x:v>
      </x:c>
      <x:c r="AP893" s="8" t="str">
        <x:v>-0.1375779004098184</x:v>
      </x:c>
      <x:c r="AQ893" s="6" t="str">
        <x:v>0.4403484607853434</x:v>
      </x:c>
      <x:c r="AR893" s="6" t="str">
        <x:v>-2.0726599145243387</x:v>
      </x:c>
      <x:c r="AS893" s="6" t="str">
        <x:v>-0.5899631180496044</x:v>
      </x:c>
      <x:c r="AT893" s="6" t="str">
        <x:v>-14.265768779192058</x:v>
      </x:c>
      <x:c r="AU893" s="8" t="str">
        <x:v>-0.1995753414670577</x:v>
      </x:c>
      <x:c r="AV893" s="6" t="str">
        <x:v>0.6565104505708672</x:v>
      </x:c>
      <x:c r="AW893" s="6" t="str">
        <x:v>-0.7342728469353554</x:v>
      </x:c>
      <x:c r="AX893" s="6" t="str">
        <x:v>-0.0924459126105155</x:v>
      </x:c>
      <x:c r="AY893" s="6" t="str">
        <x:v>0</x:v>
      </x:c>
      <x:c r="AZ893" s="6" t="str">
        <x:v>1</x:v>
      </x:c>
      <x:c r="BA893" s="9" t="str">
        <x:v>grid_cells_within_BIG_polygon</x:v>
      </x:c>
      <x:c r="BB893" s="6" t="str">
        <x:v>13</x:v>
      </x:c>
      <x:c r="BC893" s="6" t="str">
        <x:v>1</x:v>
      </x:c>
      <x:c r="BD893" s="6" t="str">
        <x:v>1</x:v>
      </x:c>
      <x:c r="BE893" s="6" t="str">
        <x:v>0</x:v>
      </x:c>
      <x:c r="BF893" s="6" t="str">
        <x:v>1</x:v>
      </x:c>
      <x:c r="BG893" s="6" t="str">
        <x:v>0</x:v>
      </x:c>
      <x:c r="BH893" s="6" t="str">
        <x:v>0</x:v>
      </x:c>
      <x:c r="BI893" s="6" t="str">
        <x:v>0</x:v>
      </x:c>
      <x:c r="BJ893" s="6" t="str">
        <x:v>0</x:v>
      </x:c>
      <x:c r="BK893" s="6" t="str">
        <x:v>0</x:v>
      </x:c>
      <x:c r="BL893" s="6" t="str">
        <x:v>0</x:v>
      </x:c>
      <x:c r="BM893" s="6" t="str">
        <x:v>0</x:v>
      </x:c>
      <x:c r="BN893" s="6" t="str">
        <x:v>1</x:v>
      </x:c>
      <x:c r="BO893" s="6" t="str">
        <x:v>0.0</x:v>
      </x:c>
      <x:c r="BP893" s="6" t="str">
        <x:v>1</x:v>
      </x:c>
      <x:c r="BQ893" s="6" t="str">
        <x:v>0.0</x:v>
      </x:c>
      <x:c r="BR893" s="6" t="str">
        <x:v>1</x:v>
      </x:c>
      <x:c r="BS893" s="6" t="str">
        <x:v>1133.0</x:v>
      </x:c>
      <x:c r="BT893" s="6" t="str">
        <x:v>1</x:v>
      </x:c>
      <x:c r="BU893" s="6" t="str"/>
      <x:c r="BV893" s="6" t="str">
        <x:v>0</x:v>
      </x:c>
      <x:c r="BW893" s="9" t="str">
        <x:v>operational_snapshot_annual_totals_may_differ</x:v>
      </x:c>
      <x:c r="BX893" s="9" t="str">
        <x:v>official_live_dashboard_snapshot_subject_to_revision</x:v>
      </x:c>
      <x:c r="BY893" s="9" t="str">
        <x:v>https://tbdashboard.sitb.id/ss_data_tbc03so_2024_provinsi_bulanan_list.php</x:v>
      </x:c>
      <x:c r="BZ893" s="6" t="n">
        <x:v>46246.610671296294</x:v>
      </x:c>
    </x:row>
    <x:row r="894" ht="18" customHeight="1">
      <x:c r="A894" s="6" t="str">
        <x:v>97</x:v>
      </x:c>
      <x:c r="B894" s="6" t="str">
        <x:v>PAPUA PEGUNUNGAN</x:v>
      </x:c>
      <x:c r="C894" s="6" t="str">
        <x:v>2024</x:v>
      </x:c>
      <x:c r="D894" s="6" t="str">
        <x:v>5</x:v>
      </x:c>
      <x:c r="E894" s="6" t="str">
        <x:v>2024-05</x:v>
      </x:c>
      <x:c r="F894" s="6" t="str">
        <x:v>95</x:v>
      </x:c>
      <x:c r="G894" s="6" t="str">
        <x:v>14</x:v>
      </x:c>
      <x:c r="H894" s="6" t="str">
        <x:v>47</x:v>
      </x:c>
      <x:c r="I894" s="6" t="str">
        <x:v>11</x:v>
      </x:c>
      <x:c r="J894" s="6" t="str">
        <x:v>3</x:v>
      </x:c>
      <x:c r="K894" s="6" t="str">
        <x:v>1</x:v>
      </x:c>
      <x:c r="L894" s="6" t="str">
        <x:v>1</x:v>
      </x:c>
      <x:c r="M894" s="6" t="str">
        <x:v>18</x:v>
      </x:c>
      <x:c r="N894" s="6" t="str">
        <x:v>95</x:v>
      </x:c>
      <x:c r="O894" s="6" t="str">
        <x:v>0</x:v>
      </x:c>
      <x:c r="P894" s="10" t="n">
        <x:f>F894-M894</x:f>
        <x:v>77</x:v>
      </x:c>
      <x:c r="Q894" s="11" t="n">
        <x:f>IFERROR(M894/F894,"")</x:f>
        <x:v>0.18947368421052632</x:v>
      </x:c>
      <x:c r="R894" s="10" t="n">
        <x:f>G894+H894</x:f>
        <x:v>61</x:v>
      </x:c>
      <x:c r="S894" s="11" t="n">
        <x:f>IFERROR(R894/F894,"")</x:f>
        <x:v>0.6421052631578947</x:v>
      </x:c>
      <x:c r="T894" s="11" t="n">
        <x:f>IFERROR(R894/P894,"")</x:f>
        <x:v>0.7922077922077922</x:v>
      </x:c>
      <x:c r="U894" s="10" t="n">
        <x:f>I894+J894+K894</x:f>
        <x:v>15</x:v>
      </x:c>
      <x:c r="V894" s="11" t="n">
        <x:f>IFERROR(U894/P894,"")</x:f>
        <x:v>0.19480519480519481</x:v>
      </x:c>
      <x:c r="W894" s="9" t="str">
        <x:v>provisional_gt_5pct_pending</x:v>
      </x:c>
      <x:c r="X894" s="12" t="n">
        <x:f>IFERROR(F894/Z894*100000,"")</x:f>
        <x:v>6.4758009543285615</x:v>
      </x:c>
      <x:c r="Y894" s="13" t="n">
        <x:f>LN(Z894)</x:f>
        <x:v>14.198730057125118</x:v>
      </x:c>
      <x:c r="Z894" s="6" t="str">
        <x:v>1467000</x:v>
      </x:c>
      <x:c r="AA894" s="6" t="str">
        <x:v>29.0</x:v>
      </x:c>
      <x:c r="AB894" s="9" t="str">
        <x:v>2024-06-30</x:v>
      </x:c>
      <x:c r="AC894" s="8" t="str">
        <x:v>16.34</x:v>
      </x:c>
      <x:c r="AD894" s="9" t="str">
        <x:v>2024 (Susenas)</x:v>
      </x:c>
      <x:c r="AE894" s="8" t="str">
        <x:v>25898.55</x:v>
      </x:c>
      <x:c r="AF894" s="9" t="str">
        <x:v>Maret 2024 (Susenas)</x:v>
      </x:c>
      <x:c r="AG894" s="6" t="str">
        <x:v>20.54847655388504</x:v>
      </x:c>
      <x:c r="AH894" s="8" t="str">
        <x:v>91.73914884857828</x:v>
      </x:c>
      <x:c r="AI894" s="6" t="str">
        <x:v>211.94814639817065</x:v>
      </x:c>
      <x:c r="AJ894" s="6" t="str">
        <x:v>0.8308348470432243</x:v>
      </x:c>
      <x:c r="AK894" s="8" t="str">
        <x:v>2.6291276948043465</x:v>
      </x:c>
      <x:c r="AL894" s="6" t="str">
        <x:v>3.8127019104094377</x:v>
      </x:c>
      <x:c r="AM894" s="6" t="str">
        <x:v>4.155282173357547</x:v>
      </x:c>
      <x:c r="AN894" s="6" t="str">
        <x:v>3.5323705928571107</x:v>
      </x:c>
      <x:c r="AO894" s="6" t="str">
        <x:v>0.8793591933645359</x:v>
      </x:c>
      <x:c r="AP894" s="8" t="str">
        <x:v>0.9127457096201675</x:v>
      </x:c>
      <x:c r="AQ894" s="6" t="str">
        <x:v>-0.1375779004098184</x:v>
      </x:c>
      <x:c r="AR894" s="6" t="str">
        <x:v>0.4403484607853434</x:v>
      </x:c>
      <x:c r="AS894" s="6" t="str">
        <x:v>0.4051720899985643</x:v>
      </x:c>
      <x:c r="AT894" s="6" t="str">
        <x:v>19.007708520733477</x:v>
      </x:c>
      <x:c r="AU894" s="8" t="str">
        <x:v>0.2931971917382591</x:v>
      </x:c>
      <x:c r="AV894" s="6" t="str">
        <x:v>-0.1995753414670577</x:v>
      </x:c>
      <x:c r="AW894" s="6" t="str">
        <x:v>0.6565104505708672</x:v>
      </x:c>
      <x:c r="AX894" s="6" t="str">
        <x:v>0.2500441002806893</x:v>
      </x:c>
      <x:c r="AY894" s="6" t="str">
        <x:v>0</x:v>
      </x:c>
      <x:c r="AZ894" s="6" t="str">
        <x:v>1</x:v>
      </x:c>
      <x:c r="BA894" s="9" t="str">
        <x:v>grid_cells_within_BIG_polygon</x:v>
      </x:c>
      <x:c r="BB894" s="6" t="str">
        <x:v>13</x:v>
      </x:c>
      <x:c r="BC894" s="6" t="str">
        <x:v>1</x:v>
      </x:c>
      <x:c r="BD894" s="6" t="str">
        <x:v>1</x:v>
      </x:c>
      <x:c r="BE894" s="6" t="str">
        <x:v>0</x:v>
      </x:c>
      <x:c r="BF894" s="6" t="str">
        <x:v>1</x:v>
      </x:c>
      <x:c r="BG894" s="6" t="str">
        <x:v>0</x:v>
      </x:c>
      <x:c r="BH894" s="6" t="str">
        <x:v>0</x:v>
      </x:c>
      <x:c r="BI894" s="6" t="str">
        <x:v>0</x:v>
      </x:c>
      <x:c r="BJ894" s="6" t="str">
        <x:v>0</x:v>
      </x:c>
      <x:c r="BK894" s="6" t="str">
        <x:v>0</x:v>
      </x:c>
      <x:c r="BL894" s="6" t="str">
        <x:v>0</x:v>
      </x:c>
      <x:c r="BM894" s="6" t="str">
        <x:v>0</x:v>
      </x:c>
      <x:c r="BN894" s="6" t="str">
        <x:v>1</x:v>
      </x:c>
      <x:c r="BO894" s="6" t="str">
        <x:v>0.0</x:v>
      </x:c>
      <x:c r="BP894" s="6" t="str">
        <x:v>1</x:v>
      </x:c>
      <x:c r="BQ894" s="6" t="str">
        <x:v>0.0</x:v>
      </x:c>
      <x:c r="BR894" s="6" t="str">
        <x:v>1</x:v>
      </x:c>
      <x:c r="BS894" s="6" t="str">
        <x:v>57.0</x:v>
      </x:c>
      <x:c r="BT894" s="6" t="str">
        <x:v>1</x:v>
      </x:c>
      <x:c r="BU894" s="6" t="str"/>
      <x:c r="BV894" s="6" t="str">
        <x:v>0</x:v>
      </x:c>
      <x:c r="BW894" s="9" t="str">
        <x:v>operational_snapshot_annual_totals_may_differ</x:v>
      </x:c>
      <x:c r="BX894" s="9" t="str">
        <x:v>official_live_dashboard_snapshot_subject_to_revision</x:v>
      </x:c>
      <x:c r="BY894" s="9" t="str">
        <x:v>https://tbdashboard.sitb.id/ss_data_tbc03so_2024_provinsi_bulanan_list.php</x:v>
      </x:c>
      <x:c r="BZ894" s="6" t="n">
        <x:v>46246.610671296294</x:v>
      </x:c>
    </x:row>
    <x:row r="895" ht="18" customHeight="1">
      <x:c r="A895" s="6" t="str">
        <x:v>97</x:v>
      </x:c>
      <x:c r="B895" s="6" t="str">
        <x:v>PAPUA PEGUNUNGAN</x:v>
      </x:c>
      <x:c r="C895" s="6" t="str">
        <x:v>2024</x:v>
      </x:c>
      <x:c r="D895" s="6" t="str">
        <x:v>6</x:v>
      </x:c>
      <x:c r="E895" s="6" t="str">
        <x:v>2024-06</x:v>
      </x:c>
      <x:c r="F895" s="6" t="str">
        <x:v>110</x:v>
      </x:c>
      <x:c r="G895" s="6" t="str">
        <x:v>8</x:v>
      </x:c>
      <x:c r="H895" s="6" t="str">
        <x:v>58</x:v>
      </x:c>
      <x:c r="I895" s="6" t="str">
        <x:v>14</x:v>
      </x:c>
      <x:c r="J895" s="6" t="str">
        <x:v>3</x:v>
      </x:c>
      <x:c r="K895" s="6" t="str">
        <x:v>0</x:v>
      </x:c>
      <x:c r="L895" s="6" t="str">
        <x:v>0</x:v>
      </x:c>
      <x:c r="M895" s="6" t="str">
        <x:v>27</x:v>
      </x:c>
      <x:c r="N895" s="6" t="str">
        <x:v>110</x:v>
      </x:c>
      <x:c r="O895" s="6" t="str">
        <x:v>0</x:v>
      </x:c>
      <x:c r="P895" s="10" t="n">
        <x:f>F895-M895</x:f>
        <x:v>83</x:v>
      </x:c>
      <x:c r="Q895" s="11" t="n">
        <x:f>IFERROR(M895/F895,"")</x:f>
        <x:v>0.24545454545454545</x:v>
      </x:c>
      <x:c r="R895" s="10" t="n">
        <x:f>G895+H895</x:f>
        <x:v>66</x:v>
      </x:c>
      <x:c r="S895" s="11" t="n">
        <x:f>IFERROR(R895/F895,"")</x:f>
        <x:v>0.6</x:v>
      </x:c>
      <x:c r="T895" s="11" t="n">
        <x:f>IFERROR(R895/P895,"")</x:f>
        <x:v>0.7951807228915663</x:v>
      </x:c>
      <x:c r="U895" s="10" t="n">
        <x:f>I895+J895+K895</x:f>
        <x:v>17</x:v>
      </x:c>
      <x:c r="V895" s="11" t="n">
        <x:f>IFERROR(U895/P895,"")</x:f>
        <x:v>0.20481927710843373</x:v>
      </x:c>
      <x:c r="W895" s="9" t="str">
        <x:v>provisional_gt_5pct_pending</x:v>
      </x:c>
      <x:c r="X895" s="12" t="n">
        <x:f>IFERROR(F895/Z895*100000,"")</x:f>
        <x:v>7.498295841854123</x:v>
      </x:c>
      <x:c r="Y895" s="13" t="n">
        <x:f>LN(Z895)</x:f>
        <x:v>14.198730057125118</x:v>
      </x:c>
      <x:c r="Z895" s="6" t="str">
        <x:v>1467000</x:v>
      </x:c>
      <x:c r="AA895" s="6" t="str">
        <x:v>29.0</x:v>
      </x:c>
      <x:c r="AB895" s="9" t="str">
        <x:v>2024-06-30</x:v>
      </x:c>
      <x:c r="AC895" s="8" t="str">
        <x:v>16.34</x:v>
      </x:c>
      <x:c r="AD895" s="9" t="str">
        <x:v>2024 (Susenas)</x:v>
      </x:c>
      <x:c r="AE895" s="8" t="str">
        <x:v>25898.55</x:v>
      </x:c>
      <x:c r="AF895" s="9" t="str">
        <x:v>Maret 2024 (Susenas)</x:v>
      </x:c>
      <x:c r="AG895" s="6" t="str">
        <x:v>20.007796580685767</x:v>
      </x:c>
      <x:c r="AH895" s="8" t="str">
        <x:v>91.19494168196591</x:v>
      </x:c>
      <x:c r="AI895" s="6" t="str">
        <x:v>261.8762121219537</x:v>
      </x:c>
      <x:c r="AJ895" s="6" t="str">
        <x:v>0.7095809336480414</x:v>
      </x:c>
      <x:c r="AK895" s="8" t="str">
        <x:v>2.355985563891404</x:v>
      </x:c>
      <x:c r="AL895" s="6" t="str">
        <x:v>2.6291276948043465</x:v>
      </x:c>
      <x:c r="AM895" s="6" t="str">
        <x:v>3.8127019104094377</x:v>
      </x:c>
      <x:c r="AN895" s="6" t="str">
        <x:v>2.9326050563683963</x:v>
      </x:c>
      <x:c r="AO895" s="6" t="str">
        <x:v>0.7450469109788287</x:v>
      </x:c>
      <x:c r="AP895" s="8" t="str">
        <x:v>0.5305314755733709</x:v>
      </x:c>
      <x:c r="AQ895" s="6" t="str">
        <x:v>0.9127457096201675</x:v>
      </x:c>
      <x:c r="AR895" s="6" t="str">
        <x:v>-0.1375779004098184</x:v>
      </x:c>
      <x:c r="AS895" s="6" t="str">
        <x:v>0.4352330949279068</x:v>
      </x:c>
      <x:c r="AT895" s="6" t="str">
        <x:v>74.69610914667626</x:v>
      </x:c>
      <x:c r="AU895" s="8" t="str">
        <x:v>1.030298318425279</x:v>
      </x:c>
      <x:c r="AV895" s="6" t="str">
        <x:v>0.2931971917382591</x:v>
      </x:c>
      <x:c r="AW895" s="6" t="str">
        <x:v>-0.1995753414670577</x:v>
      </x:c>
      <x:c r="AX895" s="6" t="str">
        <x:v>0.3746400562321599</x:v>
      </x:c>
      <x:c r="AY895" s="6" t="str">
        <x:v>1</x:v>
      </x:c>
      <x:c r="AZ895" s="6" t="str">
        <x:v>1</x:v>
      </x:c>
      <x:c r="BA895" s="9" t="str">
        <x:v>grid_cells_within_BIG_polygon</x:v>
      </x:c>
      <x:c r="BB895" s="6" t="str">
        <x:v>13</x:v>
      </x:c>
      <x:c r="BC895" s="6" t="str">
        <x:v>0</x:v>
      </x:c>
      <x:c r="BD895" s="6" t="str">
        <x:v>0</x:v>
      </x:c>
      <x:c r="BE895" s="6" t="str">
        <x:v>0</x:v>
      </x:c>
      <x:c r="BF895" s="6" t="str">
        <x:v>0</x:v>
      </x:c>
      <x:c r="BG895" s="6" t="str">
        <x:v>0</x:v>
      </x:c>
      <x:c r="BH895" s="6" t="str">
        <x:v>0</x:v>
      </x:c>
      <x:c r="BI895" s="6" t="str">
        <x:v>0</x:v>
      </x:c>
      <x:c r="BJ895" s="6" t="str">
        <x:v>0</x:v>
      </x:c>
      <x:c r="BK895" s="6" t="str">
        <x:v>0</x:v>
      </x:c>
      <x:c r="BL895" s="6" t="str">
        <x:v>0</x:v>
      </x:c>
      <x:c r="BM895" s="6" t="str">
        <x:v>0</x:v>
      </x:c>
      <x:c r="BN895" s="6" t="str">
        <x:v>0</x:v>
      </x:c>
      <x:c r="BO895" s="6" t="str"/>
      <x:c r="BP895" s="6" t="str">
        <x:v>0</x:v>
      </x:c>
      <x:c r="BQ895" s="6" t="str"/>
      <x:c r="BR895" s="6" t="str">
        <x:v>0</x:v>
      </x:c>
      <x:c r="BS895" s="6" t="str"/>
      <x:c r="BT895" s="6" t="str">
        <x:v>0</x:v>
      </x:c>
      <x:c r="BU895" s="6" t="str"/>
      <x:c r="BV895" s="6" t="str">
        <x:v>0</x:v>
      </x:c>
      <x:c r="BW895" s="9" t="str">
        <x:v>operational_snapshot_annual_totals_may_differ</x:v>
      </x:c>
      <x:c r="BX895" s="9" t="str">
        <x:v>official_live_dashboard_snapshot_subject_to_revision</x:v>
      </x:c>
      <x:c r="BY895" s="9" t="str">
        <x:v>https://tbdashboard.sitb.id/ss_data_tbc03so_2024_provinsi_bulanan_list.php</x:v>
      </x:c>
      <x:c r="BZ895" s="6" t="n">
        <x:v>46246.610671296294</x:v>
      </x:c>
    </x:row>
    <x:row r="896" ht="18" customHeight="1">
      <x:c r="A896" s="6" t="str">
        <x:v>97</x:v>
      </x:c>
      <x:c r="B896" s="6" t="str">
        <x:v>PAPUA PEGUNUNGAN</x:v>
      </x:c>
      <x:c r="C896" s="6" t="str">
        <x:v>2024</x:v>
      </x:c>
      <x:c r="D896" s="6" t="str">
        <x:v>7</x:v>
      </x:c>
      <x:c r="E896" s="6" t="str">
        <x:v>2024-07</x:v>
      </x:c>
      <x:c r="F896" s="6" t="str">
        <x:v>109</x:v>
      </x:c>
      <x:c r="G896" s="6" t="str">
        <x:v>4</x:v>
      </x:c>
      <x:c r="H896" s="6" t="str">
        <x:v>64</x:v>
      </x:c>
      <x:c r="I896" s="6" t="str">
        <x:v>12</x:v>
      </x:c>
      <x:c r="J896" s="6" t="str">
        <x:v>4</x:v>
      </x:c>
      <x:c r="K896" s="6" t="str">
        <x:v>0</x:v>
      </x:c>
      <x:c r="L896" s="6" t="str">
        <x:v>2</x:v>
      </x:c>
      <x:c r="M896" s="6" t="str">
        <x:v>23</x:v>
      </x:c>
      <x:c r="N896" s="6" t="str">
        <x:v>109</x:v>
      </x:c>
      <x:c r="O896" s="6" t="str">
        <x:v>0</x:v>
      </x:c>
      <x:c r="P896" s="10" t="n">
        <x:f>F896-M896</x:f>
        <x:v>86</x:v>
      </x:c>
      <x:c r="Q896" s="11" t="n">
        <x:f>IFERROR(M896/F896,"")</x:f>
        <x:v>0.21100917431192662</x:v>
      </x:c>
      <x:c r="R896" s="10" t="n">
        <x:f>G896+H896</x:f>
        <x:v>68</x:v>
      </x:c>
      <x:c r="S896" s="11" t="n">
        <x:f>IFERROR(R896/F896,"")</x:f>
        <x:v>0.6238532110091743</x:v>
      </x:c>
      <x:c r="T896" s="11" t="n">
        <x:f>IFERROR(R896/P896,"")</x:f>
        <x:v>0.7906976744186046</x:v>
      </x:c>
      <x:c r="U896" s="10" t="n">
        <x:f>I896+J896+K896</x:f>
        <x:v>16</x:v>
      </x:c>
      <x:c r="V896" s="11" t="n">
        <x:f>IFERROR(U896/P896,"")</x:f>
        <x:v>0.18604651162790697</x:v>
      </x:c>
      <x:c r="W896" s="9" t="str">
        <x:v>provisional_gt_5pct_pending</x:v>
      </x:c>
      <x:c r="X896" s="12" t="n">
        <x:f>IFERROR(F896/Z896*100000,"")</x:f>
        <x:v>7.430129516019086</x:v>
      </x:c>
      <x:c r="Y896" s="13" t="n">
        <x:f>LN(Z896)</x:f>
        <x:v>14.198730057125118</x:v>
      </x:c>
      <x:c r="Z896" s="6" t="str">
        <x:v>1467000</x:v>
      </x:c>
      <x:c r="AA896" s="6" t="str">
        <x:v>29.0</x:v>
      </x:c>
      <x:c r="AB896" s="9" t="str">
        <x:v>2024-06-30</x:v>
      </x:c>
      <x:c r="AC896" s="8" t="str">
        <x:v>16.34</x:v>
      </x:c>
      <x:c r="AD896" s="9" t="str">
        <x:v>2024 (Susenas)</x:v>
      </x:c>
      <x:c r="AE896" s="8" t="str">
        <x:v>25898.55</x:v>
      </x:c>
      <x:c r="AF896" s="9" t="str">
        <x:v>Maret 2024 (Susenas)</x:v>
      </x:c>
      <x:c r="AG896" s="6" t="str">
        <x:v>19.528678963293817</x:v>
      </x:c>
      <x:c r="AH896" s="8" t="str">
        <x:v>91.57782790806226</x:v>
      </x:c>
      <x:c r="AI896" s="6" t="str">
        <x:v>238.88538345486927</x:v>
      </x:c>
      <x:c r="AJ896" s="6" t="str">
        <x:v>0.6274164267558611</x:v>
      </x:c>
      <x:c r="AK896" s="8" t="str">
        <x:v>2.2754579330228384</x:v>
      </x:c>
      <x:c r="AL896" s="6" t="str">
        <x:v>2.355985563891404</x:v>
      </x:c>
      <x:c r="AM896" s="6" t="str">
        <x:v>2.6291276948043465</x:v>
      </x:c>
      <x:c r="AN896" s="6" t="str">
        <x:v>2.4201903972395296</x:v>
      </x:c>
      <x:c r="AO896" s="6" t="str">
        <x:v>1.3900326041503774</x:v>
      </x:c>
      <x:c r="AP896" s="8" t="str">
        <x:v>0.9172592345525358</x:v>
      </x:c>
      <x:c r="AQ896" s="6" t="str">
        <x:v>0.5305314755733709</x:v>
      </x:c>
      <x:c r="AR896" s="6" t="str">
        <x:v>0.9127457096201675</x:v>
      </x:c>
      <x:c r="AS896" s="6" t="str">
        <x:v>0.7868454732486915</x:v>
      </x:c>
      <x:c r="AT896" s="6" t="str">
        <x:v>66.9120702210102</x:v>
      </x:c>
      <x:c r="AU896" s="8" t="str">
        <x:v>1.1592677540401872</x:v>
      </x:c>
      <x:c r="AV896" s="6" t="str">
        <x:v>1.030298318425279</x:v>
      </x:c>
      <x:c r="AW896" s="6" t="str">
        <x:v>0.2931971917382591</x:v>
      </x:c>
      <x:c r="AX896" s="6" t="str">
        <x:v>0.827587754734575</x:v>
      </x:c>
      <x:c r="AY896" s="6" t="str">
        <x:v>1</x:v>
      </x:c>
      <x:c r="AZ896" s="6" t="str">
        <x:v>1</x:v>
      </x:c>
      <x:c r="BA896" s="9" t="str">
        <x:v>grid_cells_within_BIG_polygon</x:v>
      </x:c>
      <x:c r="BB896" s="6" t="str">
        <x:v>13</x:v>
      </x:c>
      <x:c r="BC896" s="6" t="str">
        <x:v>0</x:v>
      </x:c>
      <x:c r="BD896" s="6" t="str">
        <x:v>0</x:v>
      </x:c>
      <x:c r="BE896" s="6" t="str">
        <x:v>0</x:v>
      </x:c>
      <x:c r="BF896" s="6" t="str">
        <x:v>0</x:v>
      </x:c>
      <x:c r="BG896" s="6" t="str">
        <x:v>0</x:v>
      </x:c>
      <x:c r="BH896" s="6" t="str">
        <x:v>0</x:v>
      </x:c>
      <x:c r="BI896" s="6" t="str">
        <x:v>0</x:v>
      </x:c>
      <x:c r="BJ896" s="6" t="str">
        <x:v>0</x:v>
      </x:c>
      <x:c r="BK896" s="6" t="str">
        <x:v>0</x:v>
      </x:c>
      <x:c r="BL896" s="6" t="str">
        <x:v>0</x:v>
      </x:c>
      <x:c r="BM896" s="6" t="str">
        <x:v>0</x:v>
      </x:c>
      <x:c r="BN896" s="6" t="str">
        <x:v>0</x:v>
      </x:c>
      <x:c r="BO896" s="6" t="str"/>
      <x:c r="BP896" s="6" t="str">
        <x:v>0</x:v>
      </x:c>
      <x:c r="BQ896" s="6" t="str"/>
      <x:c r="BR896" s="6" t="str">
        <x:v>0</x:v>
      </x:c>
      <x:c r="BS896" s="6" t="str"/>
      <x:c r="BT896" s="6" t="str">
        <x:v>0</x:v>
      </x:c>
      <x:c r="BU896" s="6" t="str"/>
      <x:c r="BV896" s="6" t="str">
        <x:v>0</x:v>
      </x:c>
      <x:c r="BW896" s="9" t="str">
        <x:v>operational_snapshot_annual_totals_may_differ</x:v>
      </x:c>
      <x:c r="BX896" s="9" t="str">
        <x:v>official_live_dashboard_snapshot_subject_to_revision</x:v>
      </x:c>
      <x:c r="BY896" s="9" t="str">
        <x:v>https://tbdashboard.sitb.id/ss_data_tbc03so_2024_provinsi_bulanan_list.php</x:v>
      </x:c>
      <x:c r="BZ896" s="6" t="n">
        <x:v>46246.610671296294</x:v>
      </x:c>
    </x:row>
    <x:row r="897" ht="18" customHeight="1">
      <x:c r="A897" s="6" t="str">
        <x:v>97</x:v>
      </x:c>
      <x:c r="B897" s="6" t="str">
        <x:v>PAPUA PEGUNUNGAN</x:v>
      </x:c>
      <x:c r="C897" s="6" t="str">
        <x:v>2024</x:v>
      </x:c>
      <x:c r="D897" s="6" t="str">
        <x:v>8</x:v>
      </x:c>
      <x:c r="E897" s="6" t="str">
        <x:v>2024-08</x:v>
      </x:c>
      <x:c r="F897" s="6" t="str">
        <x:v>129</x:v>
      </x:c>
      <x:c r="G897" s="6" t="str">
        <x:v>12</x:v>
      </x:c>
      <x:c r="H897" s="6" t="str">
        <x:v>50</x:v>
      </x:c>
      <x:c r="I897" s="6" t="str">
        <x:v>20</x:v>
      </x:c>
      <x:c r="J897" s="6" t="str">
        <x:v>3</x:v>
      </x:c>
      <x:c r="K897" s="6" t="str">
        <x:v>0</x:v>
      </x:c>
      <x:c r="L897" s="6" t="str">
        <x:v>2</x:v>
      </x:c>
      <x:c r="M897" s="6" t="str">
        <x:v>42</x:v>
      </x:c>
      <x:c r="N897" s="6" t="str">
        <x:v>129</x:v>
      </x:c>
      <x:c r="O897" s="6" t="str">
        <x:v>0</x:v>
      </x:c>
      <x:c r="P897" s="10" t="n">
        <x:f>F897-M897</x:f>
        <x:v>87</x:v>
      </x:c>
      <x:c r="Q897" s="11" t="n">
        <x:f>IFERROR(M897/F897,"")</x:f>
        <x:v>0.32558139534883723</x:v>
      </x:c>
      <x:c r="R897" s="10" t="n">
        <x:f>G897+H897</x:f>
        <x:v>62</x:v>
      </x:c>
      <x:c r="S897" s="11" t="n">
        <x:f>IFERROR(R897/F897,"")</x:f>
        <x:v>0.4806201550387597</x:v>
      </x:c>
      <x:c r="T897" s="11" t="n">
        <x:f>IFERROR(R897/P897,"")</x:f>
        <x:v>0.7126436781609196</x:v>
      </x:c>
      <x:c r="U897" s="10" t="n">
        <x:f>I897+J897+K897</x:f>
        <x:v>23</x:v>
      </x:c>
      <x:c r="V897" s="11" t="n">
        <x:f>IFERROR(U897/P897,"")</x:f>
        <x:v>0.26436781609195403</x:v>
      </x:c>
      <x:c r="W897" s="9" t="str">
        <x:v>provisional_gt_5pct_pending</x:v>
      </x:c>
      <x:c r="X897" s="12" t="n">
        <x:f>IFERROR(F897/Z897*100000,"")</x:f>
        <x:v>8.793456032719837</x:v>
      </x:c>
      <x:c r="Y897" s="13" t="n">
        <x:f>LN(Z897)</x:f>
        <x:v>14.198730057125118</x:v>
      </x:c>
      <x:c r="Z897" s="6" t="str">
        <x:v>1467000</x:v>
      </x:c>
      <x:c r="AA897" s="6" t="str">
        <x:v>29.0</x:v>
      </x:c>
      <x:c r="AB897" s="9" t="str">
        <x:v>2024-06-30</x:v>
      </x:c>
      <x:c r="AC897" s="8" t="str">
        <x:v>16.34</x:v>
      </x:c>
      <x:c r="AD897" s="9" t="str">
        <x:v>2024 (Susenas)</x:v>
      </x:c>
      <x:c r="AE897" s="8" t="str">
        <x:v>25898.55</x:v>
      </x:c>
      <x:c r="AF897" s="9" t="str">
        <x:v>Maret 2024 (Susenas)</x:v>
      </x:c>
      <x:c r="AG897" s="6" t="str">
        <x:v>20.09319038738264</x:v>
      </x:c>
      <x:c r="AH897" s="8" t="str">
        <x:v>88.80535287717392</x:v>
      </x:c>
      <x:c r="AI897" s="6" t="str">
        <x:v>149.40895231751188</x:v>
      </x:c>
      <x:c r="AJ897" s="6" t="str">
        <x:v>1.1473672752698505</x:v>
      </x:c>
      <x:c r="AK897" s="8" t="str">
        <x:v>3.492563031894188</x:v>
      </x:c>
      <x:c r="AL897" s="6" t="str">
        <x:v>2.2754579330228384</x:v>
      </x:c>
      <x:c r="AM897" s="6" t="str">
        <x:v>2.355985563891404</x:v>
      </x:c>
      <x:c r="AN897" s="6" t="str">
        <x:v>2.7080021762694764</x:v>
      </x:c>
      <x:c r="AO897" s="6" t="str">
        <x:v>-0.7226367631753874</x:v>
      </x:c>
      <x:c r="AP897" s="8" t="str">
        <x:v>-0.403285628410567</x:v>
      </x:c>
      <x:c r="AQ897" s="6" t="str">
        <x:v>0.9172592345525358</x:v>
      </x:c>
      <x:c r="AR897" s="6" t="str">
        <x:v>0.5305314755733709</x:v>
      </x:c>
      <x:c r="AS897" s="6" t="str">
        <x:v>0.34816836057178</x:v>
      </x:c>
      <x:c r="AT897" s="6" t="str">
        <x:v>-15.548442261764537</x:v>
      </x:c>
      <x:c r="AU897" s="8" t="str">
        <x:v>-0.2292249399768071</x:v>
      </x:c>
      <x:c r="AV897" s="6" t="str">
        <x:v>1.1592677540401872</x:v>
      </x:c>
      <x:c r="AW897" s="6" t="str">
        <x:v>1.030298318425279</x:v>
      </x:c>
      <x:c r="AX897" s="6" t="str">
        <x:v>0.6534470441628861</x:v>
      </x:c>
      <x:c r="AY897" s="6" t="str">
        <x:v>0</x:v>
      </x:c>
      <x:c r="AZ897" s="6" t="str">
        <x:v>1</x:v>
      </x:c>
      <x:c r="BA897" s="9" t="str">
        <x:v>grid_cells_within_BIG_polygon</x:v>
      </x:c>
      <x:c r="BB897" s="6" t="str">
        <x:v>13</x:v>
      </x:c>
      <x:c r="BC897" s="6" t="str">
        <x:v>0</x:v>
      </x:c>
      <x:c r="BD897" s="6" t="str">
        <x:v>0</x:v>
      </x:c>
      <x:c r="BE897" s="6" t="str">
        <x:v>0</x:v>
      </x:c>
      <x:c r="BF897" s="6" t="str">
        <x:v>0</x:v>
      </x:c>
      <x:c r="BG897" s="6" t="str">
        <x:v>0</x:v>
      </x:c>
      <x:c r="BH897" s="6" t="str">
        <x:v>0</x:v>
      </x:c>
      <x:c r="BI897" s="6" t="str">
        <x:v>0</x:v>
      </x:c>
      <x:c r="BJ897" s="6" t="str">
        <x:v>0</x:v>
      </x:c>
      <x:c r="BK897" s="6" t="str">
        <x:v>0</x:v>
      </x:c>
      <x:c r="BL897" s="6" t="str">
        <x:v>0</x:v>
      </x:c>
      <x:c r="BM897" s="6" t="str">
        <x:v>0</x:v>
      </x:c>
      <x:c r="BN897" s="6" t="str">
        <x:v>0</x:v>
      </x:c>
      <x:c r="BO897" s="6" t="str"/>
      <x:c r="BP897" s="6" t="str">
        <x:v>0</x:v>
      </x:c>
      <x:c r="BQ897" s="6" t="str"/>
      <x:c r="BR897" s="6" t="str">
        <x:v>0</x:v>
      </x:c>
      <x:c r="BS897" s="6" t="str"/>
      <x:c r="BT897" s="6" t="str">
        <x:v>0</x:v>
      </x:c>
      <x:c r="BU897" s="6" t="str"/>
      <x:c r="BV897" s="6" t="str">
        <x:v>0</x:v>
      </x:c>
      <x:c r="BW897" s="9" t="str">
        <x:v>operational_snapshot_annual_totals_may_differ</x:v>
      </x:c>
      <x:c r="BX897" s="9" t="str">
        <x:v>official_live_dashboard_snapshot_subject_to_revision</x:v>
      </x:c>
      <x:c r="BY897" s="9" t="str">
        <x:v>https://tbdashboard.sitb.id/ss_data_tbc03so_2024_provinsi_bulanan_list.php</x:v>
      </x:c>
      <x:c r="BZ897" s="6" t="n">
        <x:v>46246.610671296294</x:v>
      </x:c>
    </x:row>
    <x:row r="898" ht="18" customHeight="1">
      <x:c r="A898" s="6" t="str">
        <x:v>97</x:v>
      </x:c>
      <x:c r="B898" s="6" t="str">
        <x:v>PAPUA PEGUNUNGAN</x:v>
      </x:c>
      <x:c r="C898" s="6" t="str">
        <x:v>2024</x:v>
      </x:c>
      <x:c r="D898" s="6" t="str">
        <x:v>9</x:v>
      </x:c>
      <x:c r="E898" s="6" t="str">
        <x:v>2024-09</x:v>
      </x:c>
      <x:c r="F898" s="6" t="str">
        <x:v>112</x:v>
      </x:c>
      <x:c r="G898" s="6" t="str">
        <x:v>5</x:v>
      </x:c>
      <x:c r="H898" s="6" t="str">
        <x:v>50</x:v>
      </x:c>
      <x:c r="I898" s="6" t="str">
        <x:v>13</x:v>
      </x:c>
      <x:c r="J898" s="6" t="str">
        <x:v>5</x:v>
      </x:c>
      <x:c r="K898" s="6" t="str">
        <x:v>0</x:v>
      </x:c>
      <x:c r="L898" s="6" t="str">
        <x:v>2</x:v>
      </x:c>
      <x:c r="M898" s="6" t="str">
        <x:v>37</x:v>
      </x:c>
      <x:c r="N898" s="6" t="str">
        <x:v>112</x:v>
      </x:c>
      <x:c r="O898" s="6" t="str">
        <x:v>0</x:v>
      </x:c>
      <x:c r="P898" s="10" t="n">
        <x:f>F898-M898</x:f>
        <x:v>75</x:v>
      </x:c>
      <x:c r="Q898" s="11" t="n">
        <x:f>IFERROR(M898/F898,"")</x:f>
        <x:v>0.33035714285714285</x:v>
      </x:c>
      <x:c r="R898" s="10" t="n">
        <x:f>G898+H898</x:f>
        <x:v>55</x:v>
      </x:c>
      <x:c r="S898" s="11" t="n">
        <x:f>IFERROR(R898/F898,"")</x:f>
        <x:v>0.49107142857142855</x:v>
      </x:c>
      <x:c r="T898" s="11" t="n">
        <x:f>IFERROR(R898/P898,"")</x:f>
        <x:v>0.7333333333333333</x:v>
      </x:c>
      <x:c r="U898" s="10" t="n">
        <x:f>I898+J898+K898</x:f>
        <x:v>18</x:v>
      </x:c>
      <x:c r="V898" s="11" t="n">
        <x:f>IFERROR(U898/P898,"")</x:f>
        <x:v>0.24</x:v>
      </x:c>
      <x:c r="W898" s="9" t="str">
        <x:v>provisional_gt_5pct_pending</x:v>
      </x:c>
      <x:c r="X898" s="12" t="n">
        <x:f>IFERROR(F898/Z898*100000,"")</x:f>
        <x:v>7.634628493524199</x:v>
      </x:c>
      <x:c r="Y898" s="13" t="n">
        <x:f>LN(Z898)</x:f>
        <x:v>14.198730057125118</x:v>
      </x:c>
      <x:c r="Z898" s="6" t="str">
        <x:v>1467000</x:v>
      </x:c>
      <x:c r="AA898" s="6" t="str">
        <x:v>29.0</x:v>
      </x:c>
      <x:c r="AB898" s="9" t="str">
        <x:v>2024-06-30</x:v>
      </x:c>
      <x:c r="AC898" s="8" t="str">
        <x:v>16.34</x:v>
      </x:c>
      <x:c r="AD898" s="9" t="str">
        <x:v>2024 (Susenas)</x:v>
      </x:c>
      <x:c r="AE898" s="8" t="str">
        <x:v>25898.55</x:v>
      </x:c>
      <x:c r="AF898" s="9" t="str">
        <x:v>Maret 2024 (Susenas)</x:v>
      </x:c>
      <x:c r="AG898" s="6" t="str">
        <x:v>20.190159160815988</x:v>
      </x:c>
      <x:c r="AH898" s="8" t="str">
        <x:v>88.84044520147744</x:v>
      </x:c>
      <x:c r="AI898" s="6" t="str">
        <x:v>251.99996775152024</x:v>
      </x:c>
      <x:c r="AJ898" s="6" t="str">
        <x:v>0.8662455357095844</x:v>
      </x:c>
      <x:c r="AK898" s="8" t="str">
        <x:v>2.880535628931346</x:v>
      </x:c>
      <x:c r="AL898" s="6" t="str">
        <x:v>3.492563031894188</x:v>
      </x:c>
      <x:c r="AM898" s="6" t="str">
        <x:v>2.2754579330228384</x:v>
      </x:c>
      <x:c r="AN898" s="6" t="str">
        <x:v>2.882852197949457</x:v>
      </x:c>
      <x:c r="AO898" s="6" t="str">
        <x:v>0.2029130512635788</x:v>
      </x:c>
      <x:c r="AP898" s="8" t="str">
        <x:v>0.0744304803162637</x:v>
      </x:c>
      <x:c r="AQ898" s="6" t="str">
        <x:v>-0.403285628410567</x:v>
      </x:c>
      <x:c r="AR898" s="6" t="str">
        <x:v>0.9172592345525358</x:v>
      </x:c>
      <x:c r="AS898" s="6" t="str">
        <x:v>0.1961346954860776</x:v>
      </x:c>
      <x:c r="AT898" s="6" t="str">
        <x:v>72.53610255279634</x:v>
      </x:c>
      <x:c r="AU898" s="8" t="str">
        <x:v>1.0108500496487962</x:v>
      </x:c>
      <x:c r="AV898" s="6" t="str">
        <x:v>-0.2292249399768071</x:v>
      </x:c>
      <x:c r="AW898" s="6" t="str">
        <x:v>1.1592677540401872</x:v>
      </x:c>
      <x:c r="AX898" s="6" t="str">
        <x:v>0.6469642879040586</x:v>
      </x:c>
      <x:c r="AY898" s="6" t="str">
        <x:v>1</x:v>
      </x:c>
      <x:c r="AZ898" s="6" t="str">
        <x:v>1</x:v>
      </x:c>
      <x:c r="BA898" s="9" t="str">
        <x:v>grid_cells_within_BIG_polygon</x:v>
      </x:c>
      <x:c r="BB898" s="6" t="str">
        <x:v>13</x:v>
      </x:c>
      <x:c r="BC898" s="6" t="str">
        <x:v>0</x:v>
      </x:c>
      <x:c r="BD898" s="6" t="str">
        <x:v>0</x:v>
      </x:c>
      <x:c r="BE898" s="6" t="str">
        <x:v>0</x:v>
      </x:c>
      <x:c r="BF898" s="6" t="str">
        <x:v>0</x:v>
      </x:c>
      <x:c r="BG898" s="6" t="str">
        <x:v>0</x:v>
      </x:c>
      <x:c r="BH898" s="6" t="str">
        <x:v>0</x:v>
      </x:c>
      <x:c r="BI898" s="6" t="str">
        <x:v>0</x:v>
      </x:c>
      <x:c r="BJ898" s="6" t="str">
        <x:v>0</x:v>
      </x:c>
      <x:c r="BK898" s="6" t="str">
        <x:v>0</x:v>
      </x:c>
      <x:c r="BL898" s="6" t="str">
        <x:v>0</x:v>
      </x:c>
      <x:c r="BM898" s="6" t="str">
        <x:v>0</x:v>
      </x:c>
      <x:c r="BN898" s="6" t="str">
        <x:v>0</x:v>
      </x:c>
      <x:c r="BO898" s="6" t="str"/>
      <x:c r="BP898" s="6" t="str">
        <x:v>0</x:v>
      </x:c>
      <x:c r="BQ898" s="6" t="str"/>
      <x:c r="BR898" s="6" t="str">
        <x:v>0</x:v>
      </x:c>
      <x:c r="BS898" s="6" t="str"/>
      <x:c r="BT898" s="6" t="str">
        <x:v>0</x:v>
      </x:c>
      <x:c r="BU898" s="6" t="str"/>
      <x:c r="BV898" s="6" t="str">
        <x:v>0</x:v>
      </x:c>
      <x:c r="BW898" s="9" t="str">
        <x:v>operational_snapshot_annual_totals_may_differ</x:v>
      </x:c>
      <x:c r="BX898" s="9" t="str">
        <x:v>official_live_dashboard_snapshot_subject_to_revision</x:v>
      </x:c>
      <x:c r="BY898" s="9" t="str">
        <x:v>https://tbdashboard.sitb.id/ss_data_tbc03so_2024_provinsi_bulanan_list.php</x:v>
      </x:c>
      <x:c r="BZ898" s="6" t="n">
        <x:v>46246.610671296294</x:v>
      </x:c>
    </x:row>
    <x:row r="899" ht="18" customHeight="1">
      <x:c r="A899" s="6" t="str">
        <x:v>97</x:v>
      </x:c>
      <x:c r="B899" s="6" t="str">
        <x:v>PAPUA PEGUNUNGAN</x:v>
      </x:c>
      <x:c r="C899" s="6" t="str">
        <x:v>2024</x:v>
      </x:c>
      <x:c r="D899" s="6" t="str">
        <x:v>10</x:v>
      </x:c>
      <x:c r="E899" s="6" t="str">
        <x:v>2024-10</x:v>
      </x:c>
      <x:c r="F899" s="6" t="str">
        <x:v>104</x:v>
      </x:c>
      <x:c r="G899" s="6" t="str">
        <x:v>10</x:v>
      </x:c>
      <x:c r="H899" s="6" t="str">
        <x:v>40</x:v>
      </x:c>
      <x:c r="I899" s="6" t="str">
        <x:v>15</x:v>
      </x:c>
      <x:c r="J899" s="6" t="str">
        <x:v>6</x:v>
      </x:c>
      <x:c r="K899" s="6" t="str">
        <x:v>0</x:v>
      </x:c>
      <x:c r="L899" s="6" t="str">
        <x:v>1</x:v>
      </x:c>
      <x:c r="M899" s="6" t="str">
        <x:v>32</x:v>
      </x:c>
      <x:c r="N899" s="6" t="str">
        <x:v>104</x:v>
      </x:c>
      <x:c r="O899" s="6" t="str">
        <x:v>0</x:v>
      </x:c>
      <x:c r="P899" s="10" t="n">
        <x:f>F899-M899</x:f>
        <x:v>72</x:v>
      </x:c>
      <x:c r="Q899" s="11" t="n">
        <x:f>IFERROR(M899/F899,"")</x:f>
        <x:v>0.3076923076923077</x:v>
      </x:c>
      <x:c r="R899" s="10" t="n">
        <x:f>G899+H899</x:f>
        <x:v>50</x:v>
      </x:c>
      <x:c r="S899" s="11" t="n">
        <x:f>IFERROR(R899/F899,"")</x:f>
        <x:v>0.4807692307692308</x:v>
      </x:c>
      <x:c r="T899" s="11" t="n">
        <x:f>IFERROR(R899/P899,"")</x:f>
        <x:v>0.6944444444444444</x:v>
      </x:c>
      <x:c r="U899" s="10" t="n">
        <x:f>I899+J899+K899</x:f>
        <x:v>21</x:v>
      </x:c>
      <x:c r="V899" s="11" t="n">
        <x:f>IFERROR(U899/P899,"")</x:f>
        <x:v>0.2916666666666667</x:v>
      </x:c>
      <x:c r="W899" s="9" t="str">
        <x:v>provisional_gt_5pct_pending</x:v>
      </x:c>
      <x:c r="X899" s="12" t="n">
        <x:f>IFERROR(F899/Z899*100000,"")</x:f>
        <x:v>7.0892978868439</x:v>
      </x:c>
      <x:c r="Y899" s="13" t="n">
        <x:f>LN(Z899)</x:f>
        <x:v>14.198730057125118</x:v>
      </x:c>
      <x:c r="Z899" s="6" t="str">
        <x:v>1467000</x:v>
      </x:c>
      <x:c r="AA899" s="6" t="str">
        <x:v>29.0</x:v>
      </x:c>
      <x:c r="AB899" s="9" t="str">
        <x:v>2024-06-30</x:v>
      </x:c>
      <x:c r="AC899" s="8" t="str">
        <x:v>16.34</x:v>
      </x:c>
      <x:c r="AD899" s="9" t="str">
        <x:v>2024 (Susenas)</x:v>
      </x:c>
      <x:c r="AE899" s="8" t="str">
        <x:v>25898.55</x:v>
      </x:c>
      <x:c r="AF899" s="9" t="str">
        <x:v>Maret 2024 (Susenas)</x:v>
      </x:c>
      <x:c r="AG899" s="6" t="str">
        <x:v>20.27312955151364</x:v>
      </x:c>
      <x:c r="AH899" s="8" t="str">
        <x:v>89.0777697200011</x:v>
      </x:c>
      <x:c r="AI899" s="6" t="str">
        <x:v>251.8156076971475</x:v>
      </x:c>
      <x:c r="AJ899" s="6" t="str">
        <x:v>0.6192747535140555</x:v>
      </x:c>
      <x:c r="AK899" s="8" t="str">
        <x:v>2.1688954258184103</x:v>
      </x:c>
      <x:c r="AL899" s="6" t="str">
        <x:v>2.880535628931346</x:v>
      </x:c>
      <x:c r="AM899" s="6" t="str">
        <x:v>3.492563031894188</x:v>
      </x:c>
      <x:c r="AN899" s="6" t="str">
        <x:v>2.847331362214648</x:v>
      </x:c>
      <x:c r="AO899" s="6" t="str">
        <x:v>0.7310154014364656</x:v>
      </x:c>
      <x:c r="AP899" s="8" t="str">
        <x:v>0.2502158000458169</x:v>
      </x:c>
      <x:c r="AQ899" s="6" t="str">
        <x:v>0.0744304803162637</x:v>
      </x:c>
      <x:c r="AR899" s="6" t="str">
        <x:v>-0.403285628410567</x:v>
      </x:c>
      <x:c r="AS899" s="6" t="str">
        <x:v>-0.0262131160161619</x:v>
      </x:c>
      <x:c r="AT899" s="6" t="str">
        <x:v>60.77001033013124</x:v>
      </x:c>
      <x:c r="AU899" s="8" t="str">
        <x:v>0.6679059479587327</x:v>
      </x:c>
      <x:c r="AV899" s="6" t="str">
        <x:v>1.0108500496487962</x:v>
      </x:c>
      <x:c r="AW899" s="6" t="str">
        <x:v>-0.2292249399768071</x:v>
      </x:c>
      <x:c r="AX899" s="6" t="str">
        <x:v>0.4831770192102403</x:v>
      </x:c>
      <x:c r="AY899" s="6" t="str">
        <x:v>0</x:v>
      </x:c>
      <x:c r="AZ899" s="6" t="str">
        <x:v>1</x:v>
      </x:c>
      <x:c r="BA899" s="9" t="str">
        <x:v>grid_cells_within_BIG_polygon</x:v>
      </x:c>
      <x:c r="BB899" s="6" t="str">
        <x:v>13</x:v>
      </x:c>
      <x:c r="BC899" s="6" t="str">
        <x:v>0</x:v>
      </x:c>
      <x:c r="BD899" s="6" t="str">
        <x:v>0</x:v>
      </x:c>
      <x:c r="BE899" s="6" t="str">
        <x:v>0</x:v>
      </x:c>
      <x:c r="BF899" s="6" t="str">
        <x:v>0</x:v>
      </x:c>
      <x:c r="BG899" s="6" t="str">
        <x:v>0</x:v>
      </x:c>
      <x:c r="BH899" s="6" t="str">
        <x:v>0</x:v>
      </x:c>
      <x:c r="BI899" s="6" t="str">
        <x:v>0</x:v>
      </x:c>
      <x:c r="BJ899" s="6" t="str">
        <x:v>0</x:v>
      </x:c>
      <x:c r="BK899" s="6" t="str">
        <x:v>0</x:v>
      </x:c>
      <x:c r="BL899" s="6" t="str">
        <x:v>0</x:v>
      </x:c>
      <x:c r="BM899" s="6" t="str">
        <x:v>0</x:v>
      </x:c>
      <x:c r="BN899" s="6" t="str">
        <x:v>0</x:v>
      </x:c>
      <x:c r="BO899" s="6" t="str"/>
      <x:c r="BP899" s="6" t="str">
        <x:v>0</x:v>
      </x:c>
      <x:c r="BQ899" s="6" t="str"/>
      <x:c r="BR899" s="6" t="str">
        <x:v>0</x:v>
      </x:c>
      <x:c r="BS899" s="6" t="str"/>
      <x:c r="BT899" s="6" t="str">
        <x:v>0</x:v>
      </x:c>
      <x:c r="BU899" s="6" t="str"/>
      <x:c r="BV899" s="6" t="str">
        <x:v>0</x:v>
      </x:c>
      <x:c r="BW899" s="9" t="str">
        <x:v>operational_snapshot_annual_totals_may_differ</x:v>
      </x:c>
      <x:c r="BX899" s="9" t="str">
        <x:v>official_live_dashboard_snapshot_subject_to_revision</x:v>
      </x:c>
      <x:c r="BY899" s="9" t="str">
        <x:v>https://tbdashboard.sitb.id/ss_data_tbc03so_2024_provinsi_bulanan_list.php</x:v>
      </x:c>
      <x:c r="BZ899" s="6" t="n">
        <x:v>46246.610671296294</x:v>
      </x:c>
    </x:row>
    <x:row r="900" ht="18" customHeight="1">
      <x:c r="A900" s="6" t="str">
        <x:v>97</x:v>
      </x:c>
      <x:c r="B900" s="6" t="str">
        <x:v>PAPUA PEGUNUNGAN</x:v>
      </x:c>
      <x:c r="C900" s="6" t="str">
        <x:v>2024</x:v>
      </x:c>
      <x:c r="D900" s="6" t="str">
        <x:v>11</x:v>
      </x:c>
      <x:c r="E900" s="6" t="str">
        <x:v>2024-11</x:v>
      </x:c>
      <x:c r="F900" s="6" t="str">
        <x:v>104</x:v>
      </x:c>
      <x:c r="G900" s="6" t="str">
        <x:v>9</x:v>
      </x:c>
      <x:c r="H900" s="6" t="str">
        <x:v>56</x:v>
      </x:c>
      <x:c r="I900" s="6" t="str">
        <x:v>18</x:v>
      </x:c>
      <x:c r="J900" s="6" t="str">
        <x:v>2</x:v>
      </x:c>
      <x:c r="K900" s="6" t="str">
        <x:v>1</x:v>
      </x:c>
      <x:c r="L900" s="6" t="str">
        <x:v>0</x:v>
      </x:c>
      <x:c r="M900" s="6" t="str">
        <x:v>18</x:v>
      </x:c>
      <x:c r="N900" s="6" t="str">
        <x:v>104</x:v>
      </x:c>
      <x:c r="O900" s="6" t="str">
        <x:v>0</x:v>
      </x:c>
      <x:c r="P900" s="10" t="n">
        <x:f>F900-M900</x:f>
        <x:v>86</x:v>
      </x:c>
      <x:c r="Q900" s="11" t="n">
        <x:f>IFERROR(M900/F900,"")</x:f>
        <x:v>0.17307692307692307</x:v>
      </x:c>
      <x:c r="R900" s="10" t="n">
        <x:f>G900+H900</x:f>
        <x:v>65</x:v>
      </x:c>
      <x:c r="S900" s="11" t="n">
        <x:f>IFERROR(R900/F900,"")</x:f>
        <x:v>0.625</x:v>
      </x:c>
      <x:c r="T900" s="11" t="n">
        <x:f>IFERROR(R900/P900,"")</x:f>
        <x:v>0.7558139534883721</x:v>
      </x:c>
      <x:c r="U900" s="10" t="n">
        <x:f>I900+J900+K900</x:f>
        <x:v>21</x:v>
      </x:c>
      <x:c r="V900" s="11" t="n">
        <x:f>IFERROR(U900/P900,"")</x:f>
        <x:v>0.2441860465116279</x:v>
      </x:c>
      <x:c r="W900" s="9" t="str">
        <x:v>provisional_gt_5pct_pending</x:v>
      </x:c>
      <x:c r="X900" s="12" t="n">
        <x:f>IFERROR(F900/Z900*100000,"")</x:f>
        <x:v>7.0892978868439</x:v>
      </x:c>
      <x:c r="Y900" s="13" t="n">
        <x:f>LN(Z900)</x:f>
        <x:v>14.198730057125118</x:v>
      </x:c>
      <x:c r="Z900" s="6" t="str">
        <x:v>1467000</x:v>
      </x:c>
      <x:c r="AA900" s="6" t="str">
        <x:v>29.0</x:v>
      </x:c>
      <x:c r="AB900" s="9" t="str">
        <x:v>2024-06-30</x:v>
      </x:c>
      <x:c r="AC900" s="8" t="str">
        <x:v>16.34</x:v>
      </x:c>
      <x:c r="AD900" s="9" t="str">
        <x:v>2024 (Susenas)</x:v>
      </x:c>
      <x:c r="AE900" s="8" t="str">
        <x:v>25898.55</x:v>
      </x:c>
      <x:c r="AF900" s="9" t="str">
        <x:v>Maret 2024 (Susenas)</x:v>
      </x:c>
      <x:c r="AG900" s="6" t="str">
        <x:v>20.443853280056683</x:v>
      </x:c>
      <x:c r="AH900" s="8" t="str">
        <x:v>88.78913528714938</x:v>
      </x:c>
      <x:c r="AI900" s="6" t="str">
        <x:v>202.41340830113543</x:v>
      </x:c>
      <x:c r="AJ900" s="6" t="str">
        <x:v>0.5872050906723807</x:v>
      </x:c>
      <x:c r="AK900" s="8" t="str">
        <x:v>2.121080557628048</x:v>
      </x:c>
      <x:c r="AL900" s="6" t="str">
        <x:v>2.1688954258184103</x:v>
      </x:c>
      <x:c r="AM900" s="6" t="str">
        <x:v>2.880535628931346</x:v>
      </x:c>
      <x:c r="AN900" s="6" t="str">
        <x:v>2.390170537459268</x:v>
      </x:c>
      <x:c r="AO900" s="6" t="str">
        <x:v>-0.464905038404197</x:v>
      </x:c>
      <x:c r="AP900" s="8" t="str">
        <x:v>-0.1905752561175512</x:v>
      </x:c>
      <x:c r="AQ900" s="6" t="str">
        <x:v>0.2502158000458169</x:v>
      </x:c>
      <x:c r="AR900" s="6" t="str">
        <x:v>0.0744304803162637</x:v>
      </x:c>
      <x:c r="AS900" s="6" t="str">
        <x:v>0.0446903414148433</x:v>
      </x:c>
      <x:c r="AT900" s="6" t="str">
        <x:v>-2.4856457064809945</x:v>
      </x:c>
      <x:c r="AU900" s="8" t="str">
        <x:v>-0.0377670050090676</x:v>
      </x:c>
      <x:c r="AV900" s="6" t="str">
        <x:v>0.6679059479587327</x:v>
      </x:c>
      <x:c r="AW900" s="6" t="str">
        <x:v>1.0108500496487962</x:v>
      </x:c>
      <x:c r="AX900" s="6" t="str">
        <x:v>0.5469963308661535</x:v>
      </x:c>
      <x:c r="AY900" s="6" t="str">
        <x:v>0</x:v>
      </x:c>
      <x:c r="AZ900" s="6" t="str">
        <x:v>1</x:v>
      </x:c>
      <x:c r="BA900" s="9" t="str">
        <x:v>grid_cells_within_BIG_polygon</x:v>
      </x:c>
      <x:c r="BB900" s="6" t="str">
        <x:v>13</x:v>
      </x:c>
      <x:c r="BC900" s="6" t="str">
        <x:v>0</x:v>
      </x:c>
      <x:c r="BD900" s="6" t="str">
        <x:v>0</x:v>
      </x:c>
      <x:c r="BE900" s="6" t="str">
        <x:v>0</x:v>
      </x:c>
      <x:c r="BF900" s="6" t="str">
        <x:v>0</x:v>
      </x:c>
      <x:c r="BG900" s="6" t="str">
        <x:v>0</x:v>
      </x:c>
      <x:c r="BH900" s="6" t="str">
        <x:v>0</x:v>
      </x:c>
      <x:c r="BI900" s="6" t="str">
        <x:v>0</x:v>
      </x:c>
      <x:c r="BJ900" s="6" t="str">
        <x:v>0</x:v>
      </x:c>
      <x:c r="BK900" s="6" t="str">
        <x:v>0</x:v>
      </x:c>
      <x:c r="BL900" s="6" t="str">
        <x:v>0</x:v>
      </x:c>
      <x:c r="BM900" s="6" t="str">
        <x:v>0</x:v>
      </x:c>
      <x:c r="BN900" s="6" t="str">
        <x:v>0</x:v>
      </x:c>
      <x:c r="BO900" s="6" t="str"/>
      <x:c r="BP900" s="6" t="str">
        <x:v>0</x:v>
      </x:c>
      <x:c r="BQ900" s="6" t="str"/>
      <x:c r="BR900" s="6" t="str">
        <x:v>0</x:v>
      </x:c>
      <x:c r="BS900" s="6" t="str"/>
      <x:c r="BT900" s="6" t="str">
        <x:v>0</x:v>
      </x:c>
      <x:c r="BU900" s="6" t="str"/>
      <x:c r="BV900" s="6" t="str">
        <x:v>0</x:v>
      </x:c>
      <x:c r="BW900" s="9" t="str">
        <x:v>operational_snapshot_annual_totals_may_differ</x:v>
      </x:c>
      <x:c r="BX900" s="9" t="str">
        <x:v>official_live_dashboard_snapshot_subject_to_revision</x:v>
      </x:c>
      <x:c r="BY900" s="9" t="str">
        <x:v>https://tbdashboard.sitb.id/ss_data_tbc03so_2024_provinsi_bulanan_list.php</x:v>
      </x:c>
      <x:c r="BZ900" s="6" t="n">
        <x:v>46246.610671296294</x:v>
      </x:c>
    </x:row>
    <x:row r="901" ht="18" customHeight="1">
      <x:c r="A901" s="6" t="str">
        <x:v>97</x:v>
      </x:c>
      <x:c r="B901" s="6" t="str">
        <x:v>PAPUA PEGUNUNGAN</x:v>
      </x:c>
      <x:c r="C901" s="6" t="str">
        <x:v>2024</x:v>
      </x:c>
      <x:c r="D901" s="6" t="str">
        <x:v>12</x:v>
      </x:c>
      <x:c r="E901" s="6" t="str">
        <x:v>2024-12</x:v>
      </x:c>
      <x:c r="F901" s="6" t="str">
        <x:v>63</x:v>
      </x:c>
      <x:c r="G901" s="6" t="str">
        <x:v>7</x:v>
      </x:c>
      <x:c r="H901" s="6" t="str">
        <x:v>29</x:v>
      </x:c>
      <x:c r="I901" s="6" t="str">
        <x:v>12</x:v>
      </x:c>
      <x:c r="J901" s="6" t="str">
        <x:v>2</x:v>
      </x:c>
      <x:c r="K901" s="6" t="str">
        <x:v>0</x:v>
      </x:c>
      <x:c r="L901" s="6" t="str">
        <x:v>2</x:v>
      </x:c>
      <x:c r="M901" s="6" t="str">
        <x:v>11</x:v>
      </x:c>
      <x:c r="N901" s="6" t="str">
        <x:v>63</x:v>
      </x:c>
      <x:c r="O901" s="6" t="str">
        <x:v>0</x:v>
      </x:c>
      <x:c r="P901" s="10" t="n">
        <x:f>F901-M901</x:f>
        <x:v>52</x:v>
      </x:c>
      <x:c r="Q901" s="11" t="n">
        <x:f>IFERROR(M901/F901,"")</x:f>
        <x:v>0.1746031746031746</x:v>
      </x:c>
      <x:c r="R901" s="10" t="n">
        <x:f>G901+H901</x:f>
        <x:v>36</x:v>
      </x:c>
      <x:c r="S901" s="11" t="n">
        <x:f>IFERROR(R901/F901,"")</x:f>
        <x:v>0.5714285714285714</x:v>
      </x:c>
      <x:c r="T901" s="11" t="n">
        <x:f>IFERROR(R901/P901,"")</x:f>
        <x:v>0.6923076923076923</x:v>
      </x:c>
      <x:c r="U901" s="10" t="n">
        <x:f>I901+J901+K901</x:f>
        <x:v>14</x:v>
      </x:c>
      <x:c r="V901" s="11" t="n">
        <x:f>IFERROR(U901/P901,"")</x:f>
        <x:v>0.2692307692307692</x:v>
      </x:c>
      <x:c r="W901" s="9" t="str">
        <x:v>provisional_gt_5pct_pending</x:v>
      </x:c>
      <x:c r="X901" s="12" t="n">
        <x:f>IFERROR(F901/Z901*100000,"")</x:f>
        <x:v>4.294478527607362</x:v>
      </x:c>
      <x:c r="Y901" s="13" t="n">
        <x:f>LN(Z901)</x:f>
        <x:v>14.198730057125118</x:v>
      </x:c>
      <x:c r="Z901" s="6" t="str">
        <x:v>1467000</x:v>
      </x:c>
      <x:c r="AA901" s="6" t="str">
        <x:v>29.0</x:v>
      </x:c>
      <x:c r="AB901" s="9" t="str">
        <x:v>2024-06-30</x:v>
      </x:c>
      <x:c r="AC901" s="8" t="str">
        <x:v>16.34</x:v>
      </x:c>
      <x:c r="AD901" s="9" t="str">
        <x:v>2024 (Susenas)</x:v>
      </x:c>
      <x:c r="AE901" s="8" t="str">
        <x:v>25898.55</x:v>
      </x:c>
      <x:c r="AF901" s="9" t="str">
        <x:v>Maret 2024 (Susenas)</x:v>
      </x:c>
      <x:c r="AG901" s="6" t="str">
        <x:v>20.64389696607391</x:v>
      </x:c>
      <x:c r="AH901" s="8" t="str">
        <x:v>91.03691394472465</x:v>
      </x:c>
      <x:c r="AI901" s="6" t="str">
        <x:v>268.4054490391978</x:v>
      </x:c>
      <x:c r="AJ901" s="6" t="str">
        <x:v>0.7635752295680334</x:v>
      </x:c>
      <x:c r="AK901" s="8" t="str">
        <x:v>3.1841492637165683</x:v>
      </x:c>
      <x:c r="AL901" s="6" t="str">
        <x:v>2.121080557628048</x:v>
      </x:c>
      <x:c r="AM901" s="6" t="str">
        <x:v>2.1688954258184103</x:v>
      </x:c>
      <x:c r="AN901" s="6" t="str">
        <x:v>2.4913750823876755</x:v>
      </x:c>
      <x:c r="AO901" s="6" t="str">
        <x:v>0.796886477282456</x:v>
      </x:c>
      <x:c r="AP901" s="8" t="str">
        <x:v>0.6227490596584346</x:v>
      </x:c>
      <x:c r="AQ901" s="6" t="str">
        <x:v>-0.1905752561175512</x:v>
      </x:c>
      <x:c r="AR901" s="6" t="str">
        <x:v>0.2502158000458169</x:v>
      </x:c>
      <x:c r="AS901" s="6" t="str">
        <x:v>0.2274632011955669</x:v>
      </x:c>
      <x:c r="AT901" s="6" t="str">
        <x:v>30.215263969087346</x:v>
      </x:c>
      <x:c r="AU901" s="8" t="str">
        <x:v>0.4847572533103824</x:v>
      </x:c>
      <x:c r="AV901" s="6" t="str">
        <x:v>-0.0377670050090676</x:v>
      </x:c>
      <x:c r="AW901" s="6" t="str">
        <x:v>0.6679059479587327</x:v>
      </x:c>
      <x:c r="AX901" s="6" t="str">
        <x:v>0.3716320654200156</x:v>
      </x:c>
      <x:c r="AY901" s="6" t="str">
        <x:v>0</x:v>
      </x:c>
      <x:c r="AZ901" s="6" t="str">
        <x:v>1</x:v>
      </x:c>
      <x:c r="BA901" s="9" t="str">
        <x:v>grid_cells_within_BIG_polygon</x:v>
      </x:c>
      <x:c r="BB901" s="6" t="str">
        <x:v>13</x:v>
      </x:c>
      <x:c r="BC901" s="6" t="str">
        <x:v>0</x:v>
      </x:c>
      <x:c r="BD901" s="6" t="str">
        <x:v>0</x:v>
      </x:c>
      <x:c r="BE901" s="6" t="str">
        <x:v>0</x:v>
      </x:c>
      <x:c r="BF901" s="6" t="str">
        <x:v>0</x:v>
      </x:c>
      <x:c r="BG901" s="6" t="str">
        <x:v>0</x:v>
      </x:c>
      <x:c r="BH901" s="6" t="str">
        <x:v>0</x:v>
      </x:c>
      <x:c r="BI901" s="6" t="str">
        <x:v>0</x:v>
      </x:c>
      <x:c r="BJ901" s="6" t="str">
        <x:v>0</x:v>
      </x:c>
      <x:c r="BK901" s="6" t="str">
        <x:v>0</x:v>
      </x:c>
      <x:c r="BL901" s="6" t="str">
        <x:v>0</x:v>
      </x:c>
      <x:c r="BM901" s="6" t="str">
        <x:v>0</x:v>
      </x:c>
      <x:c r="BN901" s="6" t="str">
        <x:v>0</x:v>
      </x:c>
      <x:c r="BO901" s="6" t="str"/>
      <x:c r="BP901" s="6" t="str">
        <x:v>0</x:v>
      </x:c>
      <x:c r="BQ901" s="6" t="str"/>
      <x:c r="BR901" s="6" t="str">
        <x:v>0</x:v>
      </x:c>
      <x:c r="BS901" s="6" t="str"/>
      <x:c r="BT901" s="6" t="str">
        <x:v>0</x:v>
      </x:c>
      <x:c r="BU901" s="6" t="str"/>
      <x:c r="BV901" s="6" t="str">
        <x:v>0</x:v>
      </x:c>
      <x:c r="BW901" s="9" t="str">
        <x:v>operational_snapshot_annual_totals_may_differ</x:v>
      </x:c>
      <x:c r="BX901" s="9" t="str">
        <x:v>official_live_dashboard_snapshot_subject_to_revision</x:v>
      </x:c>
      <x:c r="BY901" s="9" t="str">
        <x:v>https://tbdashboard.sitb.id/ss_data_tbc03so_2024_provinsi_bulanan_list.php</x:v>
      </x:c>
      <x:c r="BZ901" s="6" t="n">
        <x:v>46246.610671296294</x:v>
      </x:c>
    </x:row>
    <x:row r="902" ht="18" customHeight="1">
      <x:c r="A902" s="6" t="str">
        <x:v>97</x:v>
      </x:c>
      <x:c r="B902" s="6" t="str">
        <x:v>PAPUA PEGUNUNGAN</x:v>
      </x:c>
      <x:c r="C902" s="6" t="str">
        <x:v>2025</x:v>
      </x:c>
      <x:c r="D902" s="6" t="str">
        <x:v>1</x:v>
      </x:c>
      <x:c r="E902" s="6" t="str">
        <x:v>2025-01</x:v>
      </x:c>
      <x:c r="F902" s="6" t="str">
        <x:v>119</x:v>
      </x:c>
      <x:c r="G902" s="6" t="str">
        <x:v>11</x:v>
      </x:c>
      <x:c r="H902" s="6" t="str">
        <x:v>51</x:v>
      </x:c>
      <x:c r="I902" s="6" t="str">
        <x:v>15</x:v>
      </x:c>
      <x:c r="J902" s="6" t="str">
        <x:v>5</x:v>
      </x:c>
      <x:c r="K902" s="6" t="str">
        <x:v>0</x:v>
      </x:c>
      <x:c r="L902" s="6" t="str">
        <x:v>0</x:v>
      </x:c>
      <x:c r="M902" s="6" t="str">
        <x:v>37</x:v>
      </x:c>
      <x:c r="N902" s="6" t="str">
        <x:v>119</x:v>
      </x:c>
      <x:c r="O902" s="6" t="str">
        <x:v>0</x:v>
      </x:c>
      <x:c r="P902" s="10" t="n">
        <x:f>F902-M902</x:f>
        <x:v>82</x:v>
      </x:c>
      <x:c r="Q902" s="11" t="n">
        <x:f>IFERROR(M902/F902,"")</x:f>
        <x:v>0.31092436974789917</x:v>
      </x:c>
      <x:c r="R902" s="10" t="n">
        <x:f>G902+H902</x:f>
        <x:v>62</x:v>
      </x:c>
      <x:c r="S902" s="11" t="n">
        <x:f>IFERROR(R902/F902,"")</x:f>
        <x:v>0.5210084033613446</x:v>
      </x:c>
      <x:c r="T902" s="11" t="n">
        <x:f>IFERROR(R902/P902,"")</x:f>
        <x:v>0.7560975609756098</x:v>
      </x:c>
      <x:c r="U902" s="10" t="n">
        <x:f>I902+J902+K902</x:f>
        <x:v>20</x:v>
      </x:c>
      <x:c r="V902" s="11" t="n">
        <x:f>IFERROR(U902/P902,"")</x:f>
        <x:v>0.24390243902439024</x:v>
      </x:c>
      <x:c r="W902" s="9" t="str">
        <x:v>provisional_gt_5pct_pending</x:v>
      </x:c>
      <x:c r="X902" s="12" t="n">
        <x:f>IFERROR(F902/Z902*100000,"")</x:f>
        <x:v>8.014007677284665</x:v>
      </x:c>
      <x:c r="Y902" s="13" t="n">
        <x:f>LN(Z902)</x:f>
        <x:v>14.210857987884152</x:v>
      </x:c>
      <x:c r="Z902" s="6" t="str">
        <x:v>1484900</x:v>
      </x:c>
      <x:c r="AA902" s="6" t="str">
        <x:v>29.0</x:v>
      </x:c>
      <x:c r="AB902" s="9" t="str">
        <x:v>2025-06-30</x:v>
      </x:c>
      <x:c r="AC902" s="8" t="str">
        <x:v>82.36</x:v>
      </x:c>
      <x:c r="AD902" s="9" t="str">
        <x:v>2025 (Susenas)</x:v>
      </x:c>
      <x:c r="AE902" s="8" t="str">
        <x:v>30.03</x:v>
      </x:c>
      <x:c r="AF902" s="9" t="str">
        <x:v>Maret 2025 (Susenas)</x:v>
      </x:c>
      <x:c r="AG902" s="6" t="str">
        <x:v>20.45393738042353</x:v>
      </x:c>
      <x:c r="AH902" s="8" t="str">
        <x:v>90.14184727551608</x:v>
      </x:c>
      <x:c r="AI902" s="6" t="str">
        <x:v>218.13934695642303</x:v>
      </x:c>
      <x:c r="AJ902" s="6" t="str">
        <x:v>0.716904218334065</x:v>
      </x:c>
      <x:c r="AK902" s="8" t="str">
        <x:v>2.976447107703588</x:v>
      </x:c>
      <x:c r="AL902" s="6" t="str">
        <x:v>3.1841492637165683</x:v>
      </x:c>
      <x:c r="AM902" s="6" t="str">
        <x:v>2.121080557628048</x:v>
      </x:c>
      <x:c r="AN902" s="6" t="str">
        <x:v>2.760558976349401</x:v>
      </x:c>
      <x:c r="AO902" s="6" t="str">
        <x:v>-0.063529926610883</x:v>
      </x:c>
      <x:c r="AP902" s="8" t="str">
        <x:v>-0.0555506360801656</x:v>
      </x:c>
      <x:c r="AQ902" s="6" t="str">
        <x:v>0.6227490596584346</x:v>
      </x:c>
      <x:c r="AR902" s="6" t="str">
        <x:v>-0.1905752561175512</x:v>
      </x:c>
      <x:c r="AS902" s="6" t="str">
        <x:v>0.1255410558202394</x:v>
      </x:c>
      <x:c r="AT902" s="6" t="str">
        <x:v>-17.390014797943422</x:v>
      </x:c>
      <x:c r="AU902" s="8" t="str">
        <x:v>-0.2670913163632581</x:v>
      </x:c>
      <x:c r="AV902" s="6" t="str">
        <x:v>0.4847572533103824</x:v>
      </x:c>
      <x:c r="AW902" s="6" t="str">
        <x:v>-0.0377670050090676</x:v>
      </x:c>
      <x:c r="AX902" s="6" t="str">
        <x:v>0.0599663106460186</x:v>
      </x:c>
      <x:c r="AY902" s="6" t="str">
        <x:v>0</x:v>
      </x:c>
      <x:c r="AZ902" s="6" t="str">
        <x:v>1</x:v>
      </x:c>
      <x:c r="BA902" s="9" t="str">
        <x:v>grid_cells_within_BIG_polygon</x:v>
      </x:c>
      <x:c r="BB902" s="6" t="str">
        <x:v>13</x:v>
      </x:c>
      <x:c r="BC902" s="6" t="str">
        <x:v>0</x:v>
      </x:c>
      <x:c r="BD902" s="6" t="str">
        <x:v>0</x:v>
      </x:c>
      <x:c r="BE902" s="6" t="str">
        <x:v>0</x:v>
      </x:c>
      <x:c r="BF902" s="6" t="str">
        <x:v>0</x:v>
      </x:c>
      <x:c r="BG902" s="6" t="str">
        <x:v>0</x:v>
      </x:c>
      <x:c r="BH902" s="6" t="str">
        <x:v>0</x:v>
      </x:c>
      <x:c r="BI902" s="6" t="str">
        <x:v>0</x:v>
      </x:c>
      <x:c r="BJ902" s="6" t="str">
        <x:v>0</x:v>
      </x:c>
      <x:c r="BK902" s="6" t="str">
        <x:v>0</x:v>
      </x:c>
      <x:c r="BL902" s="6" t="str">
        <x:v>0</x:v>
      </x:c>
      <x:c r="BM902" s="6" t="str">
        <x:v>0</x:v>
      </x:c>
      <x:c r="BN902" s="6" t="str">
        <x:v>0</x:v>
      </x:c>
      <x:c r="BO902" s="6" t="str"/>
      <x:c r="BP902" s="6" t="str">
        <x:v>0</x:v>
      </x:c>
      <x:c r="BQ902" s="6" t="str"/>
      <x:c r="BR902" s="6" t="str">
        <x:v>0</x:v>
      </x:c>
      <x:c r="BS902" s="6" t="str"/>
      <x:c r="BT902" s="6" t="str">
        <x:v>0</x:v>
      </x:c>
      <x:c r="BU902" s="6" t="str"/>
      <x:c r="BV902" s="6" t="str">
        <x:v>0</x:v>
      </x:c>
      <x:c r="BW902" s="9" t="str">
        <x:v>operational_snapshot_annual_totals_may_differ</x:v>
      </x:c>
      <x:c r="BX902" s="9" t="str">
        <x:v>official_live_dashboard_snapshot_subject_to_revision</x:v>
      </x:c>
      <x:c r="BY902" s="9" t="str">
        <x:v>https://tbdashboard.sitb.id/ss_data_tbc03so_2025_provinsi_bulanan_list.php</x:v>
      </x:c>
      <x:c r="BZ902" s="6" t="n">
        <x:v>46246.610671296294</x:v>
      </x:c>
    </x:row>
    <x:row r="903" ht="18" customHeight="1">
      <x:c r="A903" s="6" t="str">
        <x:v>97</x:v>
      </x:c>
      <x:c r="B903" s="6" t="str">
        <x:v>PAPUA PEGUNUNGAN</x:v>
      </x:c>
      <x:c r="C903" s="6" t="str">
        <x:v>2025</x:v>
      </x:c>
      <x:c r="D903" s="6" t="str">
        <x:v>2</x:v>
      </x:c>
      <x:c r="E903" s="6" t="str">
        <x:v>2025-02</x:v>
      </x:c>
      <x:c r="F903" s="6" t="str">
        <x:v>148</x:v>
      </x:c>
      <x:c r="G903" s="6" t="str">
        <x:v>7</x:v>
      </x:c>
      <x:c r="H903" s="6" t="str">
        <x:v>68</x:v>
      </x:c>
      <x:c r="I903" s="6" t="str">
        <x:v>10</x:v>
      </x:c>
      <x:c r="J903" s="6" t="str">
        <x:v>6</x:v>
      </x:c>
      <x:c r="K903" s="6" t="str">
        <x:v>0</x:v>
      </x:c>
      <x:c r="L903" s="6" t="str">
        <x:v>0</x:v>
      </x:c>
      <x:c r="M903" s="6" t="str">
        <x:v>57</x:v>
      </x:c>
      <x:c r="N903" s="6" t="str">
        <x:v>148</x:v>
      </x:c>
      <x:c r="O903" s="6" t="str">
        <x:v>0</x:v>
      </x:c>
      <x:c r="P903" s="10" t="n">
        <x:f>F903-M903</x:f>
        <x:v>91</x:v>
      </x:c>
      <x:c r="Q903" s="11" t="n">
        <x:f>IFERROR(M903/F903,"")</x:f>
        <x:v>0.38513513513513514</x:v>
      </x:c>
      <x:c r="R903" s="10" t="n">
        <x:f>G903+H903</x:f>
        <x:v>75</x:v>
      </x:c>
      <x:c r="S903" s="11" t="n">
        <x:f>IFERROR(R903/F903,"")</x:f>
        <x:v>0.5067567567567568</x:v>
      </x:c>
      <x:c r="T903" s="11" t="n">
        <x:f>IFERROR(R903/P903,"")</x:f>
        <x:v>0.8241758241758241</x:v>
      </x:c>
      <x:c r="U903" s="10" t="n">
        <x:f>I903+J903+K903</x:f>
        <x:v>16</x:v>
      </x:c>
      <x:c r="V903" s="11" t="n">
        <x:f>IFERROR(U903/P903,"")</x:f>
        <x:v>0.17582417582417584</x:v>
      </x:c>
      <x:c r="W903" s="9" t="str">
        <x:v>provisional_gt_5pct_pending</x:v>
      </x:c>
      <x:c r="X903" s="12" t="n">
        <x:f>IFERROR(F903/Z903*100000,"")</x:f>
        <x:v>9.967001144858239</x:v>
      </x:c>
      <x:c r="Y903" s="13" t="n">
        <x:f>LN(Z903)</x:f>
        <x:v>14.210857987884152</x:v>
      </x:c>
      <x:c r="Z903" s="6" t="str">
        <x:v>1484900</x:v>
      </x:c>
      <x:c r="AA903" s="6" t="str">
        <x:v>29.0</x:v>
      </x:c>
      <x:c r="AB903" s="9" t="str">
        <x:v>2025-06-30</x:v>
      </x:c>
      <x:c r="AC903" s="8" t="str">
        <x:v>82.36</x:v>
      </x:c>
      <x:c r="AD903" s="9" t="str">
        <x:v>2025 (Susenas)</x:v>
      </x:c>
      <x:c r="AE903" s="8" t="str">
        <x:v>30.03</x:v>
      </x:c>
      <x:c r="AF903" s="9" t="str">
        <x:v>Maret 2025 (Susenas)</x:v>
      </x:c>
      <x:c r="AG903" s="6" t="str">
        <x:v>20.110823909939285</x:v>
      </x:c>
      <x:c r="AH903" s="8" t="str">
        <x:v>90.70080032975623</x:v>
      </x:c>
      <x:c r="AI903" s="6" t="str">
        <x:v>246.88406230371723</x:v>
      </x:c>
      <x:c r="AJ903" s="6" t="str">
        <x:v>0.450650138748486</x:v>
      </x:c>
      <x:c r="AK903" s="8" t="str">
        <x:v>1.578871383917241</x:v>
      </x:c>
      <x:c r="AL903" s="6" t="str">
        <x:v>2.976447107703588</x:v>
      </x:c>
      <x:c r="AM903" s="6" t="str">
        <x:v>3.1841492637165683</x:v>
      </x:c>
      <x:c r="AN903" s="6" t="str">
        <x:v>2.5798225851124656</x:v>
      </x:c>
      <x:c r="AO903" s="6" t="str">
        <x:v>0.1490548535987557</x:v>
      </x:c>
      <x:c r="AP903" s="8" t="str">
        <x:v>0.1382309868147958</x:v>
      </x:c>
      <x:c r="AQ903" s="6" t="str">
        <x:v>-0.0555506360801656</x:v>
      </x:c>
      <x:c r="AR903" s="6" t="str">
        <x:v>0.6227490596584346</x:v>
      </x:c>
      <x:c r="AS903" s="6" t="str">
        <x:v>0.2351431367976884</x:v>
      </x:c>
      <x:c r="AT903" s="6" t="str">
        <x:v>20.15675017523577</x:v>
      </x:c>
      <x:c r="AU903" s="8" t="str">
        <x:v>0.3134378918004216</x:v>
      </x:c>
      <x:c r="AV903" s="6" t="str">
        <x:v>-0.2670913163632581</x:v>
      </x:c>
      <x:c r="AW903" s="6" t="str">
        <x:v>0.4847572533103824</x:v>
      </x:c>
      <x:c r="AX903" s="6" t="str">
        <x:v>0.177034609582515</x:v>
      </x:c>
      <x:c r="AY903" s="6" t="str">
        <x:v>0</x:v>
      </x:c>
      <x:c r="AZ903" s="6" t="str">
        <x:v>1</x:v>
      </x:c>
      <x:c r="BA903" s="9" t="str">
        <x:v>grid_cells_within_BIG_polygon</x:v>
      </x:c>
      <x:c r="BB903" s="6" t="str">
        <x:v>13</x:v>
      </x:c>
      <x:c r="BC903" s="6" t="str">
        <x:v>0</x:v>
      </x:c>
      <x:c r="BD903" s="6" t="str">
        <x:v>0</x:v>
      </x:c>
      <x:c r="BE903" s="6" t="str">
        <x:v>0</x:v>
      </x:c>
      <x:c r="BF903" s="6" t="str">
        <x:v>0</x:v>
      </x:c>
      <x:c r="BG903" s="6" t="str">
        <x:v>0</x:v>
      </x:c>
      <x:c r="BH903" s="6" t="str">
        <x:v>0</x:v>
      </x:c>
      <x:c r="BI903" s="6" t="str">
        <x:v>0</x:v>
      </x:c>
      <x:c r="BJ903" s="6" t="str">
        <x:v>0</x:v>
      </x:c>
      <x:c r="BK903" s="6" t="str">
        <x:v>0</x:v>
      </x:c>
      <x:c r="BL903" s="6" t="str">
        <x:v>0</x:v>
      </x:c>
      <x:c r="BM903" s="6" t="str">
        <x:v>0</x:v>
      </x:c>
      <x:c r="BN903" s="6" t="str">
        <x:v>0</x:v>
      </x:c>
      <x:c r="BO903" s="6" t="str"/>
      <x:c r="BP903" s="6" t="str">
        <x:v>0</x:v>
      </x:c>
      <x:c r="BQ903" s="6" t="str"/>
      <x:c r="BR903" s="6" t="str">
        <x:v>0</x:v>
      </x:c>
      <x:c r="BS903" s="6" t="str"/>
      <x:c r="BT903" s="6" t="str">
        <x:v>0</x:v>
      </x:c>
      <x:c r="BU903" s="6" t="str"/>
      <x:c r="BV903" s="6" t="str">
        <x:v>0</x:v>
      </x:c>
      <x:c r="BW903" s="9" t="str">
        <x:v>operational_snapshot_annual_totals_may_differ</x:v>
      </x:c>
      <x:c r="BX903" s="9" t="str">
        <x:v>official_live_dashboard_snapshot_subject_to_revision</x:v>
      </x:c>
      <x:c r="BY903" s="9" t="str">
        <x:v>https://tbdashboard.sitb.id/ss_data_tbc03so_2025_provinsi_bulanan_list.php</x:v>
      </x:c>
      <x:c r="BZ903" s="6" t="n">
        <x:v>46246.610671296294</x:v>
      </x:c>
    </x:row>
    <x:row r="904" ht="18" customHeight="1">
      <x:c r="A904" s="6" t="str">
        <x:v>97</x:v>
      </x:c>
      <x:c r="B904" s="6" t="str">
        <x:v>PAPUA PEGUNUNGAN</x:v>
      </x:c>
      <x:c r="C904" s="6" t="str">
        <x:v>2025</x:v>
      </x:c>
      <x:c r="D904" s="6" t="str">
        <x:v>3</x:v>
      </x:c>
      <x:c r="E904" s="6" t="str">
        <x:v>2025-03</x:v>
      </x:c>
      <x:c r="F904" s="6" t="str">
        <x:v>149</x:v>
      </x:c>
      <x:c r="G904" s="6" t="str">
        <x:v>10</x:v>
      </x:c>
      <x:c r="H904" s="6" t="str">
        <x:v>46</x:v>
      </x:c>
      <x:c r="I904" s="6" t="str">
        <x:v>12</x:v>
      </x:c>
      <x:c r="J904" s="6" t="str">
        <x:v>4</x:v>
      </x:c>
      <x:c r="K904" s="6" t="str">
        <x:v>0</x:v>
      </x:c>
      <x:c r="L904" s="6" t="str">
        <x:v>0</x:v>
      </x:c>
      <x:c r="M904" s="6" t="str">
        <x:v>77</x:v>
      </x:c>
      <x:c r="N904" s="6" t="str">
        <x:v>149</x:v>
      </x:c>
      <x:c r="O904" s="6" t="str">
        <x:v>0</x:v>
      </x:c>
      <x:c r="P904" s="10" t="n">
        <x:f>F904-M904</x:f>
        <x:v>72</x:v>
      </x:c>
      <x:c r="Q904" s="11" t="n">
        <x:f>IFERROR(M904/F904,"")</x:f>
        <x:v>0.5167785234899329</x:v>
      </x:c>
      <x:c r="R904" s="10" t="n">
        <x:f>G904+H904</x:f>
        <x:v>56</x:v>
      </x:c>
      <x:c r="S904" s="11" t="n">
        <x:f>IFERROR(R904/F904,"")</x:f>
        <x:v>0.37583892617449666</x:v>
      </x:c>
      <x:c r="T904" s="11" t="n">
        <x:f>IFERROR(R904/P904,"")</x:f>
        <x:v>0.7777777777777778</x:v>
      </x:c>
      <x:c r="U904" s="10" t="n">
        <x:f>I904+J904+K904</x:f>
        <x:v>16</x:v>
      </x:c>
      <x:c r="V904" s="11" t="n">
        <x:f>IFERROR(U904/P904,"")</x:f>
        <x:v>0.2222222222222222</x:v>
      </x:c>
      <x:c r="W904" s="9" t="str">
        <x:v>provisional_gt_5pct_pending</x:v>
      </x:c>
      <x:c r="X904" s="12" t="n">
        <x:f>IFERROR(F904/Z904*100000,"")</x:f>
        <x:v>10.034345747188363</x:v>
      </x:c>
      <x:c r="Y904" s="13" t="n">
        <x:f>LN(Z904)</x:f>
        <x:v>14.210857987884152</x:v>
      </x:c>
      <x:c r="Z904" s="6" t="str">
        <x:v>1484900</x:v>
      </x:c>
      <x:c r="AA904" s="6" t="str">
        <x:v>29.0</x:v>
      </x:c>
      <x:c r="AB904" s="9" t="str">
        <x:v>2025-06-30</x:v>
      </x:c>
      <x:c r="AC904" s="8" t="str">
        <x:v>82.36</x:v>
      </x:c>
      <x:c r="AD904" s="9" t="str">
        <x:v>2025 (Susenas)</x:v>
      </x:c>
      <x:c r="AE904" s="8" t="str">
        <x:v>30.03</x:v>
      </x:c>
      <x:c r="AF904" s="9" t="str">
        <x:v>Maret 2025 (Susenas)</x:v>
      </x:c>
      <x:c r="AG904" s="6" t="str">
        <x:v>20.247718638256156</x:v>
      </x:c>
      <x:c r="AH904" s="8" t="str">
        <x:v>90.90832506800912</x:v>
      </x:c>
      <x:c r="AI904" s="6" t="str">
        <x:v>450.008026038923</x:v>
      </x:c>
      <x:c r="AJ904" s="6" t="str">
        <x:v>0.5928719090703289</x:v>
      </x:c>
      <x:c r="AK904" s="8" t="str">
        <x:v>2.4064756575424933</x:v>
      </x:c>
      <x:c r="AL904" s="6" t="str">
        <x:v>1.578871383917241</x:v>
      </x:c>
      <x:c r="AM904" s="6" t="str">
        <x:v>2.976447107703588</x:v>
      </x:c>
      <x:c r="AN904" s="6" t="str">
        <x:v>2.320598049721107</x:v>
      </x:c>
      <x:c r="AO904" s="6" t="str">
        <x:v>0.0289572267729028</x:v>
      </x:c>
      <x:c r="AP904" s="8" t="str">
        <x:v>0.0271953962820022</x:v>
      </x:c>
      <x:c r="AQ904" s="6" t="str">
        <x:v>0.1382309868147958</x:v>
      </x:c>
      <x:c r="AR904" s="6" t="str">
        <x:v>-0.0555506360801656</x:v>
      </x:c>
      <x:c r="AS904" s="6" t="str">
        <x:v>0.0366252490055442</x:v>
      </x:c>
      <x:c r="AT904" s="6" t="str">
        <x:v>188.52446198958057</x:v>
      </x:c>
      <x:c r="AU904" s="8" t="str">
        <x:v>2.2954181959366147</x:v>
      </x:c>
      <x:c r="AV904" s="6" t="str">
        <x:v>0.3134378918004216</x:v>
      </x:c>
      <x:c r="AW904" s="6" t="str">
        <x:v>-0.2670913163632581</x:v>
      </x:c>
      <x:c r="AX904" s="6" t="str">
        <x:v>0.7805882571245925</x:v>
      </x:c>
      <x:c r="AY904" s="6" t="str">
        <x:v>1</x:v>
      </x:c>
      <x:c r="AZ904" s="6" t="str">
        <x:v>1</x:v>
      </x:c>
      <x:c r="BA904" s="9" t="str">
        <x:v>grid_cells_within_BIG_polygon</x:v>
      </x:c>
      <x:c r="BB904" s="6" t="str">
        <x:v>13</x:v>
      </x:c>
      <x:c r="BC904" s="6" t="str">
        <x:v>0</x:v>
      </x:c>
      <x:c r="BD904" s="6" t="str">
        <x:v>0</x:v>
      </x:c>
      <x:c r="BE904" s="6" t="str">
        <x:v>0</x:v>
      </x:c>
      <x:c r="BF904" s="6" t="str">
        <x:v>0</x:v>
      </x:c>
      <x:c r="BG904" s="6" t="str">
        <x:v>0</x:v>
      </x:c>
      <x:c r="BH904" s="6" t="str">
        <x:v>0</x:v>
      </x:c>
      <x:c r="BI904" s="6" t="str">
        <x:v>0</x:v>
      </x:c>
      <x:c r="BJ904" s="6" t="str">
        <x:v>0</x:v>
      </x:c>
      <x:c r="BK904" s="6" t="str">
        <x:v>0</x:v>
      </x:c>
      <x:c r="BL904" s="6" t="str">
        <x:v>0</x:v>
      </x:c>
      <x:c r="BM904" s="6" t="str">
        <x:v>0</x:v>
      </x:c>
      <x:c r="BN904" s="6" t="str">
        <x:v>0</x:v>
      </x:c>
      <x:c r="BO904" s="6" t="str"/>
      <x:c r="BP904" s="6" t="str">
        <x:v>0</x:v>
      </x:c>
      <x:c r="BQ904" s="6" t="str"/>
      <x:c r="BR904" s="6" t="str">
        <x:v>0</x:v>
      </x:c>
      <x:c r="BS904" s="6" t="str"/>
      <x:c r="BT904" s="6" t="str">
        <x:v>0</x:v>
      </x:c>
      <x:c r="BU904" s="6" t="str"/>
      <x:c r="BV904" s="6" t="str">
        <x:v>0</x:v>
      </x:c>
      <x:c r="BW904" s="9" t="str">
        <x:v>operational_snapshot_annual_totals_may_differ</x:v>
      </x:c>
      <x:c r="BX904" s="9" t="str">
        <x:v>official_live_dashboard_snapshot_subject_to_revision</x:v>
      </x:c>
      <x:c r="BY904" s="9" t="str">
        <x:v>https://tbdashboard.sitb.id/ss_data_tbc03so_2025_provinsi_bulanan_list.php</x:v>
      </x:c>
      <x:c r="BZ904" s="6" t="n">
        <x:v>46246.610671296294</x:v>
      </x:c>
    </x:row>
    <x:row r="905" ht="18" customHeight="1">
      <x:c r="A905" s="6" t="str">
        <x:v>97</x:v>
      </x:c>
      <x:c r="B905" s="6" t="str">
        <x:v>PAPUA PEGUNUNGAN</x:v>
      </x:c>
      <x:c r="C905" s="6" t="str">
        <x:v>2025</x:v>
      </x:c>
      <x:c r="D905" s="6" t="str">
        <x:v>4</x:v>
      </x:c>
      <x:c r="E905" s="6" t="str">
        <x:v>2025-04</x:v>
      </x:c>
      <x:c r="F905" s="6" t="str">
        <x:v>135</x:v>
      </x:c>
      <x:c r="G905" s="6" t="str">
        <x:v>9</x:v>
      </x:c>
      <x:c r="H905" s="6" t="str">
        <x:v>51</x:v>
      </x:c>
      <x:c r="I905" s="6" t="str">
        <x:v>7</x:v>
      </x:c>
      <x:c r="J905" s="6" t="str">
        <x:v>2</x:v>
      </x:c>
      <x:c r="K905" s="6" t="str">
        <x:v>0</x:v>
      </x:c>
      <x:c r="L905" s="6" t="str">
        <x:v>0</x:v>
      </x:c>
      <x:c r="M905" s="6" t="str">
        <x:v>66</x:v>
      </x:c>
      <x:c r="N905" s="6" t="str">
        <x:v>135</x:v>
      </x:c>
      <x:c r="O905" s="6" t="str">
        <x:v>0</x:v>
      </x:c>
      <x:c r="P905" s="10" t="n">
        <x:f>F905-M905</x:f>
        <x:v>69</x:v>
      </x:c>
      <x:c r="Q905" s="11" t="n">
        <x:f>IFERROR(M905/F905,"")</x:f>
        <x:v>0.4888888888888889</x:v>
      </x:c>
      <x:c r="R905" s="10" t="n">
        <x:f>G905+H905</x:f>
        <x:v>60</x:v>
      </x:c>
      <x:c r="S905" s="11" t="n">
        <x:f>IFERROR(R905/F905,"")</x:f>
        <x:v>0.4444444444444444</x:v>
      </x:c>
      <x:c r="T905" s="11" t="n">
        <x:f>IFERROR(R905/P905,"")</x:f>
        <x:v>0.8695652173913043</x:v>
      </x:c>
      <x:c r="U905" s="10" t="n">
        <x:f>I905+J905+K905</x:f>
        <x:v>9</x:v>
      </x:c>
      <x:c r="V905" s="11" t="n">
        <x:f>IFERROR(U905/P905,"")</x:f>
        <x:v>0.13043478260869565</x:v>
      </x:c>
      <x:c r="W905" s="9" t="str">
        <x:v>provisional_gt_5pct_pending</x:v>
      </x:c>
      <x:c r="X905" s="12" t="n">
        <x:f>IFERROR(F905/Z905*100000,"")</x:f>
        <x:v>9.091521314566638</x:v>
      </x:c>
      <x:c r="Y905" s="13" t="n">
        <x:f>LN(Z905)</x:f>
        <x:v>14.210857987884152</x:v>
      </x:c>
      <x:c r="Z905" s="6" t="str">
        <x:v>1484900</x:v>
      </x:c>
      <x:c r="AA905" s="6" t="str">
        <x:v>29.0</x:v>
      </x:c>
      <x:c r="AB905" s="9" t="str">
        <x:v>2025-06-30</x:v>
      </x:c>
      <x:c r="AC905" s="8" t="str">
        <x:v>82.36</x:v>
      </x:c>
      <x:c r="AD905" s="9" t="str">
        <x:v>2025 (Susenas)</x:v>
      </x:c>
      <x:c r="AE905" s="8" t="str">
        <x:v>30.03</x:v>
      </x:c>
      <x:c r="AF905" s="9" t="str">
        <x:v>Maret 2025 (Susenas)</x:v>
      </x:c>
      <x:c r="AG905" s="6" t="str">
        <x:v>19.89920920238802</x:v>
      </x:c>
      <x:c r="AH905" s="8" t="str">
        <x:v>91.58305481348502</x:v>
      </x:c>
      <x:c r="AI905" s="6" t="str">
        <x:v>447.46387512707264</x:v>
      </x:c>
      <x:c r="AJ905" s="6" t="str">
        <x:v>0.1689701159807199</x:v>
      </x:c>
      <x:c r="AK905" s="8" t="str">
        <x:v>0.708094930917146</x:v>
      </x:c>
      <x:c r="AL905" s="6" t="str">
        <x:v>2.4064756575424933</x:v>
      </x:c>
      <x:c r="AM905" s="6" t="str">
        <x:v>1.578871383917241</x:v>
      </x:c>
      <x:c r="AN905" s="6" t="str">
        <x:v>1.56448065745896</x:v>
      </x:c>
      <x:c r="AO905" s="6" t="str">
        <x:v>-0.188795555991831</x:v>
      </x:c>
      <x:c r="AP905" s="8" t="str">
        <x:v>-0.2515952892109208</x:v>
      </x:c>
      <x:c r="AQ905" s="6" t="str">
        <x:v>0.0271953962820022</x:v>
      </x:c>
      <x:c r="AR905" s="6" t="str">
        <x:v>0.1382309868147958</x:v>
      </x:c>
      <x:c r="AS905" s="6" t="str">
        <x:v>-0.0287229687047074</x:v>
      </x:c>
      <x:c r="AT905" s="6" t="str">
        <x:v>185.9385773840027</x:v>
      </x:c>
      <x:c r="AU905" s="8" t="str">
        <x:v>2.6012446751161304</x:v>
      </x:c>
      <x:c r="AV905" s="6" t="str">
        <x:v>2.2954181959366147</x:v>
      </x:c>
      <x:c r="AW905" s="6" t="str">
        <x:v>0.3134378918004216</x:v>
      </x:c>
      <x:c r="AX905" s="6" t="str">
        <x:v>1.7367002542843888</x:v>
      </x:c>
      <x:c r="AY905" s="6" t="str">
        <x:v>1</x:v>
      </x:c>
      <x:c r="AZ905" s="6" t="str">
        <x:v>0</x:v>
      </x:c>
      <x:c r="BA905" s="9" t="str">
        <x:v>grid_cells_within_BIG_polygon</x:v>
      </x:c>
      <x:c r="BB905" s="6" t="str">
        <x:v>13</x:v>
      </x:c>
      <x:c r="BC905" s="6" t="str">
        <x:v>7</x:v>
      </x:c>
      <x:c r="BD905" s="6" t="str">
        <x:v>7</x:v>
      </x:c>
      <x:c r="BE905" s="6" t="str">
        <x:v>4</x:v>
      </x:c>
      <x:c r="BF905" s="6" t="str">
        <x:v>3</x:v>
      </x:c>
      <x:c r="BG905" s="6" t="str">
        <x:v>0</x:v>
      </x:c>
      <x:c r="BH905" s="6" t="str">
        <x:v>0</x:v>
      </x:c>
      <x:c r="BI905" s="6" t="str">
        <x:v>0</x:v>
      </x:c>
      <x:c r="BJ905" s="6" t="str">
        <x:v>0</x:v>
      </x:c>
      <x:c r="BK905" s="6" t="str">
        <x:v>0</x:v>
      </x:c>
      <x:c r="BL905" s="6" t="str">
        <x:v>0</x:v>
      </x:c>
      <x:c r="BM905" s="6" t="str">
        <x:v>0</x:v>
      </x:c>
      <x:c r="BN905" s="6" t="str">
        <x:v>7</x:v>
      </x:c>
      <x:c r="BO905" s="6" t="str">
        <x:v>5.0</x:v>
      </x:c>
      <x:c r="BP905" s="6" t="str">
        <x:v>7</x:v>
      </x:c>
      <x:c r="BQ905" s="6" t="str">
        <x:v>222.0</x:v>
      </x:c>
      <x:c r="BR905" s="6" t="str">
        <x:v>7</x:v>
      </x:c>
      <x:c r="BS905" s="6" t="str">
        <x:v>2115.0</x:v>
      </x:c>
      <x:c r="BT905" s="6" t="str">
        <x:v>7</x:v>
      </x:c>
      <x:c r="BU905" s="6" t="str">
        <x:v>9622.0</x:v>
      </x:c>
      <x:c r="BV905" s="6" t="str">
        <x:v>4</x:v>
      </x:c>
      <x:c r="BW905" s="9" t="str">
        <x:v>operational_snapshot_annual_totals_may_differ</x:v>
      </x:c>
      <x:c r="BX905" s="9" t="str">
        <x:v>official_live_dashboard_snapshot_subject_to_revision</x:v>
      </x:c>
      <x:c r="BY905" s="9" t="str">
        <x:v>https://tbdashboard.sitb.id/ss_data_tbc03so_2025_provinsi_bulanan_list.php</x:v>
      </x:c>
      <x:c r="BZ905" s="6" t="n">
        <x:v>46246.610671296294</x:v>
      </x:c>
    </x:row>
    <x:row r="906" ht="18" customHeight="1">
      <x:c r="A906" s="6" t="str">
        <x:v>97</x:v>
      </x:c>
      <x:c r="B906" s="6" t="str">
        <x:v>PAPUA PEGUNUNGAN</x:v>
      </x:c>
      <x:c r="C906" s="6" t="str">
        <x:v>2025</x:v>
      </x:c>
      <x:c r="D906" s="6" t="str">
        <x:v>5</x:v>
      </x:c>
      <x:c r="E906" s="6" t="str">
        <x:v>2025-05</x:v>
      </x:c>
      <x:c r="F906" s="6" t="str">
        <x:v>153</x:v>
      </x:c>
      <x:c r="G906" s="6" t="str">
        <x:v>9</x:v>
      </x:c>
      <x:c r="H906" s="6" t="str">
        <x:v>50</x:v>
      </x:c>
      <x:c r="I906" s="6" t="str">
        <x:v>6</x:v>
      </x:c>
      <x:c r="J906" s="6" t="str">
        <x:v>8</x:v>
      </x:c>
      <x:c r="K906" s="6" t="str">
        <x:v>0</x:v>
      </x:c>
      <x:c r="L906" s="6" t="str">
        <x:v>2</x:v>
      </x:c>
      <x:c r="M906" s="6" t="str">
        <x:v>78</x:v>
      </x:c>
      <x:c r="N906" s="6" t="str">
        <x:v>153</x:v>
      </x:c>
      <x:c r="O906" s="6" t="str">
        <x:v>0</x:v>
      </x:c>
      <x:c r="P906" s="10" t="n">
        <x:f>F906-M906</x:f>
        <x:v>75</x:v>
      </x:c>
      <x:c r="Q906" s="11" t="n">
        <x:f>IFERROR(M906/F906,"")</x:f>
        <x:v>0.5098039215686274</x:v>
      </x:c>
      <x:c r="R906" s="10" t="n">
        <x:f>G906+H906</x:f>
        <x:v>59</x:v>
      </x:c>
      <x:c r="S906" s="11" t="n">
        <x:f>IFERROR(R906/F906,"")</x:f>
        <x:v>0.38562091503267976</x:v>
      </x:c>
      <x:c r="T906" s="11" t="n">
        <x:f>IFERROR(R906/P906,"")</x:f>
        <x:v>0.7866666666666666</x:v>
      </x:c>
      <x:c r="U906" s="10" t="n">
        <x:f>I906+J906+K906</x:f>
        <x:v>14</x:v>
      </x:c>
      <x:c r="V906" s="11" t="n">
        <x:f>IFERROR(U906/P906,"")</x:f>
        <x:v>0.18666666666666668</x:v>
      </x:c>
      <x:c r="W906" s="9" t="str">
        <x:v>provisional_gt_5pct_pending</x:v>
      </x:c>
      <x:c r="X906" s="12" t="n">
        <x:f>IFERROR(F906/Z906*100000,"")</x:f>
        <x:v>10.303724156508855</x:v>
      </x:c>
      <x:c r="Y906" s="13" t="n">
        <x:f>LN(Z906)</x:f>
        <x:v>14.210857987884152</x:v>
      </x:c>
      <x:c r="Z906" s="6" t="str">
        <x:v>1484900</x:v>
      </x:c>
      <x:c r="AA906" s="6" t="str">
        <x:v>29.0</x:v>
      </x:c>
      <x:c r="AB906" s="9" t="str">
        <x:v>2025-06-30</x:v>
      </x:c>
      <x:c r="AC906" s="8" t="str">
        <x:v>82.36</x:v>
      </x:c>
      <x:c r="AD906" s="9" t="str">
        <x:v>2025 (Susenas)</x:v>
      </x:c>
      <x:c r="AE906" s="8" t="str">
        <x:v>30.03</x:v>
      </x:c>
      <x:c r="AF906" s="9" t="str">
        <x:v>Maret 2025 (Susenas)</x:v>
      </x:c>
      <x:c r="AG906" s="6" t="str">
        <x:v>20.166071765174728</x:v>
      </x:c>
      <x:c r="AH906" s="8" t="str">
        <x:v>91.12852430232871</x:v>
      </x:c>
      <x:c r="AI906" s="6" t="str">
        <x:v>295.50678128327274</x:v>
      </x:c>
      <x:c r="AJ906" s="6" t="str">
        <x:v>0.4484300583329137</x:v>
      </x:c>
      <x:c r="AK906" s="8" t="str">
        <x:v>1.419030376183121</x:v>
      </x:c>
      <x:c r="AL906" s="6" t="str">
        <x:v>0.708094930917146</x:v>
      </x:c>
      <x:c r="AM906" s="6" t="str">
        <x:v>2.4064756575424933</x:v>
      </x:c>
      <x:c r="AN906" s="6" t="str">
        <x:v>1.5112003215475869</x:v>
      </x:c>
      <x:c r="AO906" s="6" t="str">
        <x:v>0.2687346471149965</x:v>
      </x:c>
      <x:c r="AP906" s="8" t="str">
        <x:v>0.2789376605503003</x:v>
      </x:c>
      <x:c r="AQ906" s="6" t="str">
        <x:v>-0.2515952892109208</x:v>
      </x:c>
      <x:c r="AR906" s="6" t="str">
        <x:v>0.0271953962820022</x:v>
      </x:c>
      <x:c r="AS906" s="6" t="str">
        <x:v>0.018179255873794</x:v>
      </x:c>
      <x:c r="AT906" s="6" t="str">
        <x:v>102.5663434058356</x:v>
      </x:c>
      <x:c r="AU906" s="8" t="str">
        <x:v>1.5821035881653174</x:v>
      </x:c>
      <x:c r="AV906" s="6" t="str">
        <x:v>2.6012446751161304</x:v>
      </x:c>
      <x:c r="AW906" s="6" t="str">
        <x:v>2.2954181959366147</x:v>
      </x:c>
      <x:c r="AX906" s="6" t="str">
        <x:v>2.1595888197393536</x:v>
      </x:c>
      <x:c r="AY906" s="6" t="str">
        <x:v>1</x:v>
      </x:c>
      <x:c r="AZ906" s="6" t="str">
        <x:v>1</x:v>
      </x:c>
      <x:c r="BA906" s="9" t="str">
        <x:v>grid_cells_within_BIG_polygon</x:v>
      </x:c>
      <x:c r="BB906" s="6" t="str">
        <x:v>13</x:v>
      </x:c>
      <x:c r="BC906" s="6" t="str">
        <x:v>0</x:v>
      </x:c>
      <x:c r="BD906" s="6" t="str">
        <x:v>0</x:v>
      </x:c>
      <x:c r="BE906" s="6" t="str">
        <x:v>0</x:v>
      </x:c>
      <x:c r="BF906" s="6" t="str">
        <x:v>0</x:v>
      </x:c>
      <x:c r="BG906" s="6" t="str">
        <x:v>0</x:v>
      </x:c>
      <x:c r="BH906" s="6" t="str">
        <x:v>0</x:v>
      </x:c>
      <x:c r="BI906" s="6" t="str">
        <x:v>0</x:v>
      </x:c>
      <x:c r="BJ906" s="6" t="str">
        <x:v>0</x:v>
      </x:c>
      <x:c r="BK906" s="6" t="str">
        <x:v>0</x:v>
      </x:c>
      <x:c r="BL906" s="6" t="str">
        <x:v>0</x:v>
      </x:c>
      <x:c r="BM906" s="6" t="str">
        <x:v>0</x:v>
      </x:c>
      <x:c r="BN906" s="6" t="str">
        <x:v>0</x:v>
      </x:c>
      <x:c r="BO906" s="6" t="str"/>
      <x:c r="BP906" s="6" t="str">
        <x:v>0</x:v>
      </x:c>
      <x:c r="BQ906" s="6" t="str"/>
      <x:c r="BR906" s="6" t="str">
        <x:v>0</x:v>
      </x:c>
      <x:c r="BS906" s="6" t="str"/>
      <x:c r="BT906" s="6" t="str">
        <x:v>0</x:v>
      </x:c>
      <x:c r="BU906" s="6" t="str"/>
      <x:c r="BV906" s="6" t="str">
        <x:v>0</x:v>
      </x:c>
      <x:c r="BW906" s="9" t="str">
        <x:v>operational_snapshot_annual_totals_may_differ</x:v>
      </x:c>
      <x:c r="BX906" s="9" t="str">
        <x:v>official_live_dashboard_snapshot_subject_to_revision</x:v>
      </x:c>
      <x:c r="BY906" s="9" t="str">
        <x:v>https://tbdashboard.sitb.id/ss_data_tbc03so_2025_provinsi_bulanan_list.php</x:v>
      </x:c>
      <x:c r="BZ906" s="6" t="n">
        <x:v>46246.610671296294</x:v>
      </x:c>
    </x:row>
    <x:row r="907" ht="18" customHeight="1">
      <x:c r="A907" s="6" t="str">
        <x:v>97</x:v>
      </x:c>
      <x:c r="B907" s="6" t="str">
        <x:v>PAPUA PEGUNUNGAN</x:v>
      </x:c>
      <x:c r="C907" s="6" t="str">
        <x:v>2025</x:v>
      </x:c>
      <x:c r="D907" s="6" t="str">
        <x:v>6</x:v>
      </x:c>
      <x:c r="E907" s="6" t="str">
        <x:v>2025-06</x:v>
      </x:c>
      <x:c r="F907" s="6" t="str">
        <x:v>139</x:v>
      </x:c>
      <x:c r="G907" s="6" t="str">
        <x:v>13</x:v>
      </x:c>
      <x:c r="H907" s="6" t="str">
        <x:v>44</x:v>
      </x:c>
      <x:c r="I907" s="6" t="str">
        <x:v>19</x:v>
      </x:c>
      <x:c r="J907" s="6" t="str">
        <x:v>0</x:v>
      </x:c>
      <x:c r="K907" s="6" t="str">
        <x:v>0</x:v>
      </x:c>
      <x:c r="L907" s="6" t="str">
        <x:v>0</x:v>
      </x:c>
      <x:c r="M907" s="6" t="str">
        <x:v>63</x:v>
      </x:c>
      <x:c r="N907" s="6" t="str">
        <x:v>139</x:v>
      </x:c>
      <x:c r="O907" s="6" t="str">
        <x:v>0</x:v>
      </x:c>
      <x:c r="P907" s="10" t="n">
        <x:f>F907-M907</x:f>
        <x:v>76</x:v>
      </x:c>
      <x:c r="Q907" s="11" t="n">
        <x:f>IFERROR(M907/F907,"")</x:f>
        <x:v>0.45323741007194246</x:v>
      </x:c>
      <x:c r="R907" s="10" t="n">
        <x:f>G907+H907</x:f>
        <x:v>57</x:v>
      </x:c>
      <x:c r="S907" s="11" t="n">
        <x:f>IFERROR(R907/F907,"")</x:f>
        <x:v>0.41007194244604317</x:v>
      </x:c>
      <x:c r="T907" s="11" t="n">
        <x:f>IFERROR(R907/P907,"")</x:f>
        <x:v>0.75</x:v>
      </x:c>
      <x:c r="U907" s="10" t="n">
        <x:f>I907+J907+K907</x:f>
        <x:v>19</x:v>
      </x:c>
      <x:c r="V907" s="11" t="n">
        <x:f>IFERROR(U907/P907,"")</x:f>
        <x:v>0.25</x:v>
      </x:c>
      <x:c r="W907" s="9" t="str">
        <x:v>provisional_gt_5pct_pending</x:v>
      </x:c>
      <x:c r="X907" s="12" t="n">
        <x:f>IFERROR(F907/Z907*100000,"")</x:f>
        <x:v>9.36089972388713</x:v>
      </x:c>
      <x:c r="Y907" s="13" t="n">
        <x:f>LN(Z907)</x:f>
        <x:v>14.210857987884152</x:v>
      </x:c>
      <x:c r="Z907" s="6" t="str">
        <x:v>1484900</x:v>
      </x:c>
      <x:c r="AA907" s="6" t="str">
        <x:v>29.0</x:v>
      </x:c>
      <x:c r="AB907" s="9" t="str">
        <x:v>2025-06-30</x:v>
      </x:c>
      <x:c r="AC907" s="8" t="str">
        <x:v>82.36</x:v>
      </x:c>
      <x:c r="AD907" s="9" t="str">
        <x:v>2025 (Susenas)</x:v>
      </x:c>
      <x:c r="AE907" s="8" t="str">
        <x:v>30.03</x:v>
      </x:c>
      <x:c r="AF907" s="9" t="str">
        <x:v>Maret 2025 (Susenas)</x:v>
      </x:c>
      <x:c r="AG907" s="6" t="str">
        <x:v>19.68299820847808</x:v>
      </x:c>
      <x:c r="AH907" s="8" t="str">
        <x:v>90.85764544315174</x:v>
      </x:c>
      <x:c r="AI907" s="6" t="str">
        <x:v>475.52022452445385</x:v>
      </x:c>
      <x:c r="AJ907" s="6" t="str">
        <x:v>0.3847825614403533</x:v>
      </x:c>
      <x:c r="AK907" s="8" t="str">
        <x:v>1.277574011649364</x:v>
      </x:c>
      <x:c r="AL907" s="6" t="str">
        <x:v>1.419030376183121</x:v>
      </x:c>
      <x:c r="AM907" s="6" t="str">
        <x:v>0.708094930917146</x:v>
      </x:c>
      <x:c r="AN907" s="6" t="str">
        <x:v>1.1348997729165435</x:v>
      </x:c>
      <x:c r="AO907" s="6" t="str">
        <x:v>0.4077506721646387</x:v>
      </x:c>
      <x:c r="AP907" s="8" t="str">
        <x:v>0.2903502619524137</x:v>
      </x:c>
      <x:c r="AQ907" s="6" t="str">
        <x:v>0.2789376605503003</x:v>
      </x:c>
      <x:c r="AR907" s="6" t="str">
        <x:v>-0.2515952892109208</x:v>
      </x:c>
      <x:c r="AS907" s="6" t="str">
        <x:v>0.1058975444305979</x:v>
      </x:c>
      <x:c r="AT907" s="6" t="str">
        <x:v>288.3401215491764</x:v>
      </x:c>
      <x:c r="AU907" s="8" t="str">
        <x:v>3.977132755111863</x:v>
      </x:c>
      <x:c r="AV907" s="6" t="str">
        <x:v>1.5821035881653174</x:v>
      </x:c>
      <x:c r="AW907" s="6" t="str">
        <x:v>2.6012446751161304</x:v>
      </x:c>
      <x:c r="AX907" s="6" t="str">
        <x:v>2.720160339464437</x:v>
      </x:c>
      <x:c r="AY907" s="6" t="str">
        <x:v>1</x:v>
      </x:c>
      <x:c r="AZ907" s="6" t="str">
        <x:v>1</x:v>
      </x:c>
      <x:c r="BA907" s="9" t="str">
        <x:v>grid_cells_within_BIG_polygon</x:v>
      </x:c>
      <x:c r="BB907" s="6" t="str">
        <x:v>13</x:v>
      </x:c>
      <x:c r="BC907" s="6" t="str">
        <x:v>0</x:v>
      </x:c>
      <x:c r="BD907" s="6" t="str">
        <x:v>0</x:v>
      </x:c>
      <x:c r="BE907" s="6" t="str">
        <x:v>0</x:v>
      </x:c>
      <x:c r="BF907" s="6" t="str">
        <x:v>0</x:v>
      </x:c>
      <x:c r="BG907" s="6" t="str">
        <x:v>0</x:v>
      </x:c>
      <x:c r="BH907" s="6" t="str">
        <x:v>0</x:v>
      </x:c>
      <x:c r="BI907" s="6" t="str">
        <x:v>0</x:v>
      </x:c>
      <x:c r="BJ907" s="6" t="str">
        <x:v>0</x:v>
      </x:c>
      <x:c r="BK907" s="6" t="str">
        <x:v>0</x:v>
      </x:c>
      <x:c r="BL907" s="6" t="str">
        <x:v>0</x:v>
      </x:c>
      <x:c r="BM907" s="6" t="str">
        <x:v>0</x:v>
      </x:c>
      <x:c r="BN907" s="6" t="str">
        <x:v>0</x:v>
      </x:c>
      <x:c r="BO907" s="6" t="str"/>
      <x:c r="BP907" s="6" t="str">
        <x:v>0</x:v>
      </x:c>
      <x:c r="BQ907" s="6" t="str"/>
      <x:c r="BR907" s="6" t="str">
        <x:v>0</x:v>
      </x:c>
      <x:c r="BS907" s="6" t="str"/>
      <x:c r="BT907" s="6" t="str">
        <x:v>0</x:v>
      </x:c>
      <x:c r="BU907" s="6" t="str"/>
      <x:c r="BV907" s="6" t="str">
        <x:v>0</x:v>
      </x:c>
      <x:c r="BW907" s="9" t="str">
        <x:v>operational_snapshot_annual_totals_may_differ</x:v>
      </x:c>
      <x:c r="BX907" s="9" t="str">
        <x:v>official_live_dashboard_snapshot_subject_to_revision</x:v>
      </x:c>
      <x:c r="BY907" s="9" t="str">
        <x:v>https://tbdashboard.sitb.id/ss_data_tbc03so_2025_provinsi_bulanan_list.php</x:v>
      </x:c>
      <x:c r="BZ907" s="6" t="n">
        <x:v>46246.610671296294</x:v>
      </x:c>
    </x:row>
    <x:row r="908" ht="18" customHeight="1">
      <x:c r="A908" s="6" t="str">
        <x:v>97</x:v>
      </x:c>
      <x:c r="B908" s="6" t="str">
        <x:v>PAPUA PEGUNUNGAN</x:v>
      </x:c>
      <x:c r="C908" s="6" t="str">
        <x:v>2025</x:v>
      </x:c>
      <x:c r="D908" s="6" t="str">
        <x:v>7</x:v>
      </x:c>
      <x:c r="E908" s="6" t="str">
        <x:v>2025-07</x:v>
      </x:c>
      <x:c r="F908" s="6" t="str">
        <x:v>192</x:v>
      </x:c>
      <x:c r="G908" s="6" t="str">
        <x:v>15</x:v>
      </x:c>
      <x:c r="H908" s="6" t="str">
        <x:v>64</x:v>
      </x:c>
      <x:c r="I908" s="6" t="str">
        <x:v>23</x:v>
      </x:c>
      <x:c r="J908" s="6" t="str">
        <x:v>2</x:v>
      </x:c>
      <x:c r="K908" s="6" t="str">
        <x:v>0</x:v>
      </x:c>
      <x:c r="L908" s="6" t="str">
        <x:v>1</x:v>
      </x:c>
      <x:c r="M908" s="6" t="str">
        <x:v>87</x:v>
      </x:c>
      <x:c r="N908" s="6" t="str">
        <x:v>192</x:v>
      </x:c>
      <x:c r="O908" s="6" t="str">
        <x:v>0</x:v>
      </x:c>
      <x:c r="P908" s="10" t="n">
        <x:f>F908-M908</x:f>
        <x:v>105</x:v>
      </x:c>
      <x:c r="Q908" s="11" t="n">
        <x:f>IFERROR(M908/F908,"")</x:f>
        <x:v>0.453125</x:v>
      </x:c>
      <x:c r="R908" s="10" t="n">
        <x:f>G908+H908</x:f>
        <x:v>79</x:v>
      </x:c>
      <x:c r="S908" s="11" t="n">
        <x:f>IFERROR(R908/F908,"")</x:f>
        <x:v>0.4114583333333333</x:v>
      </x:c>
      <x:c r="T908" s="11" t="n">
        <x:f>IFERROR(R908/P908,"")</x:f>
        <x:v>0.7523809523809524</x:v>
      </x:c>
      <x:c r="U908" s="10" t="n">
        <x:f>I908+J908+K908</x:f>
        <x:v>25</x:v>
      </x:c>
      <x:c r="V908" s="11" t="n">
        <x:f>IFERROR(U908/P908,"")</x:f>
        <x:v>0.23809523809523808</x:v>
      </x:c>
      <x:c r="W908" s="9" t="str">
        <x:v>provisional_gt_5pct_pending</x:v>
      </x:c>
      <x:c r="X908" s="12" t="n">
        <x:f>IFERROR(F908/Z908*100000,"")</x:f>
        <x:v>12.930163647383662</x:v>
      </x:c>
      <x:c r="Y908" s="13" t="n">
        <x:f>LN(Z908)</x:f>
        <x:v>14.210857987884152</x:v>
      </x:c>
      <x:c r="Z908" s="6" t="str">
        <x:v>1484900</x:v>
      </x:c>
      <x:c r="AA908" s="6" t="str">
        <x:v>29.0</x:v>
      </x:c>
      <x:c r="AB908" s="9" t="str">
        <x:v>2025-06-30</x:v>
      </x:c>
      <x:c r="AC908" s="8" t="str">
        <x:v>82.36</x:v>
      </x:c>
      <x:c r="AD908" s="9" t="str">
        <x:v>2025 (Susenas)</x:v>
      </x:c>
      <x:c r="AE908" s="8" t="str">
        <x:v>30.03</x:v>
      </x:c>
      <x:c r="AF908" s="9" t="str">
        <x:v>Maret 2025 (Susenas)</x:v>
      </x:c>
      <x:c r="AG908" s="6" t="str">
        <x:v>19.525251894843</x:v>
      </x:c>
      <x:c r="AH908" s="8" t="str">
        <x:v>90.65323402072808</x:v>
      </x:c>
      <x:c r="AI908" s="6" t="str">
        <x:v>386.4908331708995</x:v>
      </x:c>
      <x:c r="AJ908" s="6" t="str">
        <x:v>0.623989358305046</x:v>
      </x:c>
      <x:c r="AK908" s="8" t="str">
        <x:v>2.2630289468489493</x:v>
      </x:c>
      <x:c r="AL908" s="6" t="str">
        <x:v>1.277574011649364</x:v>
      </x:c>
      <x:c r="AM908" s="6" t="str">
        <x:v>1.419030376183121</x:v>
      </x:c>
      <x:c r="AN908" s="6" t="str">
        <x:v>1.653211111560478</x:v>
      </x:c>
      <x:c r="AO908" s="6" t="str">
        <x:v>0.4654387168162088</x:v>
      </x:c>
      <x:c r="AP908" s="8" t="str">
        <x:v>0.3071352138383107</x:v>
      </x:c>
      <x:c r="AQ908" s="6" t="str">
        <x:v>0.2903502619524137</x:v>
      </x:c>
      <x:c r="AR908" s="6" t="str">
        <x:v>0.2789376605503003</x:v>
      </x:c>
      <x:c r="AS908" s="6" t="str">
        <x:v>0.2921410454470084</x:v>
      </x:c>
      <x:c r="AT908" s="6" t="str">
        <x:v>214.51751993704045</x:v>
      </x:c>
      <x:c r="AU908" s="8" t="str">
        <x:v>3.716567768988235</x:v>
      </x:c>
      <x:c r="AV908" s="6" t="str">
        <x:v>3.977132755111863</x:v>
      </x:c>
      <x:c r="AW908" s="6" t="str">
        <x:v>1.5821035881653174</x:v>
      </x:c>
      <x:c r="AX908" s="6" t="str">
        <x:v>3.0919347040884717</x:v>
      </x:c>
      <x:c r="AY908" s="6" t="str">
        <x:v>1</x:v>
      </x:c>
      <x:c r="AZ908" s="6" t="str">
        <x:v>1</x:v>
      </x:c>
      <x:c r="BA908" s="9" t="str">
        <x:v>grid_cells_within_BIG_polygon</x:v>
      </x:c>
      <x:c r="BB908" s="6" t="str">
        <x:v>13</x:v>
      </x:c>
      <x:c r="BC908" s="6" t="str">
        <x:v>0</x:v>
      </x:c>
      <x:c r="BD908" s="6" t="str">
        <x:v>0</x:v>
      </x:c>
      <x:c r="BE908" s="6" t="str">
        <x:v>0</x:v>
      </x:c>
      <x:c r="BF908" s="6" t="str">
        <x:v>0</x:v>
      </x:c>
      <x:c r="BG908" s="6" t="str">
        <x:v>0</x:v>
      </x:c>
      <x:c r="BH908" s="6" t="str">
        <x:v>0</x:v>
      </x:c>
      <x:c r="BI908" s="6" t="str">
        <x:v>0</x:v>
      </x:c>
      <x:c r="BJ908" s="6" t="str">
        <x:v>0</x:v>
      </x:c>
      <x:c r="BK908" s="6" t="str">
        <x:v>0</x:v>
      </x:c>
      <x:c r="BL908" s="6" t="str">
        <x:v>0</x:v>
      </x:c>
      <x:c r="BM908" s="6" t="str">
        <x:v>0</x:v>
      </x:c>
      <x:c r="BN908" s="6" t="str">
        <x:v>0</x:v>
      </x:c>
      <x:c r="BO908" s="6" t="str"/>
      <x:c r="BP908" s="6" t="str">
        <x:v>0</x:v>
      </x:c>
      <x:c r="BQ908" s="6" t="str"/>
      <x:c r="BR908" s="6" t="str">
        <x:v>0</x:v>
      </x:c>
      <x:c r="BS908" s="6" t="str"/>
      <x:c r="BT908" s="6" t="str">
        <x:v>0</x:v>
      </x:c>
      <x:c r="BU908" s="6" t="str"/>
      <x:c r="BV908" s="6" t="str">
        <x:v>0</x:v>
      </x:c>
      <x:c r="BW908" s="9" t="str">
        <x:v>operational_snapshot_annual_totals_may_differ</x:v>
      </x:c>
      <x:c r="BX908" s="9" t="str">
        <x:v>official_live_dashboard_snapshot_subject_to_revision</x:v>
      </x:c>
      <x:c r="BY908" s="9" t="str">
        <x:v>https://tbdashboard.sitb.id/ss_data_tbc03so_2025_provinsi_bulanan_list.php</x:v>
      </x:c>
      <x:c r="BZ908" s="6" t="n">
        <x:v>46246.610671296294</x:v>
      </x:c>
    </x:row>
    <x:row r="909" ht="18" customHeight="1">
      <x:c r="A909" s="6" t="str">
        <x:v>97</x:v>
      </x:c>
      <x:c r="B909" s="6" t="str">
        <x:v>PAPUA PEGUNUNGAN</x:v>
      </x:c>
      <x:c r="C909" s="6" t="str">
        <x:v>2025</x:v>
      </x:c>
      <x:c r="D909" s="6" t="str">
        <x:v>8</x:v>
      </x:c>
      <x:c r="E909" s="6" t="str">
        <x:v>2025-08</x:v>
      </x:c>
      <x:c r="F909" s="6" t="str">
        <x:v>177</x:v>
      </x:c>
      <x:c r="G909" s="6" t="str">
        <x:v>12</x:v>
      </x:c>
      <x:c r="H909" s="6" t="str">
        <x:v>57</x:v>
      </x:c>
      <x:c r="I909" s="6" t="str">
        <x:v>16</x:v>
      </x:c>
      <x:c r="J909" s="6" t="str">
        <x:v>3</x:v>
      </x:c>
      <x:c r="K909" s="6" t="str">
        <x:v>0</x:v>
      </x:c>
      <x:c r="L909" s="6" t="str">
        <x:v>0</x:v>
      </x:c>
      <x:c r="M909" s="6" t="str">
        <x:v>89</x:v>
      </x:c>
      <x:c r="N909" s="6" t="str">
        <x:v>177</x:v>
      </x:c>
      <x:c r="O909" s="6" t="str">
        <x:v>0</x:v>
      </x:c>
      <x:c r="P909" s="10" t="n">
        <x:f>F909-M909</x:f>
        <x:v>88</x:v>
      </x:c>
      <x:c r="Q909" s="11" t="n">
        <x:f>IFERROR(M909/F909,"")</x:f>
        <x:v>0.5028248587570622</x:v>
      </x:c>
      <x:c r="R909" s="10" t="n">
        <x:f>G909+H909</x:f>
        <x:v>69</x:v>
      </x:c>
      <x:c r="S909" s="11" t="n">
        <x:f>IFERROR(R909/F909,"")</x:f>
        <x:v>0.3898305084745763</x:v>
      </x:c>
      <x:c r="T909" s="11" t="n">
        <x:f>IFERROR(R909/P909,"")</x:f>
        <x:v>0.7840909090909091</x:v>
      </x:c>
      <x:c r="U909" s="10" t="n">
        <x:f>I909+J909+K909</x:f>
        <x:v>19</x:v>
      </x:c>
      <x:c r="V909" s="11" t="n">
        <x:f>IFERROR(U909/P909,"")</x:f>
        <x:v>0.2159090909090909</x:v>
      </x:c>
      <x:c r="W909" s="9" t="str">
        <x:v>provisional_gt_5pct_pending</x:v>
      </x:c>
      <x:c r="X909" s="12" t="n">
        <x:f>IFERROR(F909/Z909*100000,"")</x:f>
        <x:v>11.919994612431815</x:v>
      </x:c>
      <x:c r="Y909" s="13" t="n">
        <x:f>LN(Z909)</x:f>
        <x:v>14.210857987884152</x:v>
      </x:c>
      <x:c r="Z909" s="6" t="str">
        <x:v>1484900</x:v>
      </x:c>
      <x:c r="AA909" s="6" t="str">
        <x:v>29.0</x:v>
      </x:c>
      <x:c r="AB909" s="9" t="str">
        <x:v>2025-06-30</x:v>
      </x:c>
      <x:c r="AC909" s="8" t="str">
        <x:v>82.36</x:v>
      </x:c>
      <x:c r="AD909" s="9" t="str">
        <x:v>2025 (Susenas)</x:v>
      </x:c>
      <x:c r="AE909" s="8" t="str">
        <x:v>30.03</x:v>
      </x:c>
      <x:c r="AF909" s="9" t="str">
        <x:v>Maret 2025 (Susenas)</x:v>
      </x:c>
      <x:c r="AG909" s="6" t="str">
        <x:v>19.48685592111776</x:v>
      </x:c>
      <x:c r="AH909" s="8" t="str">
        <x:v>89.99373811338758</x:v>
      </x:c>
      <x:c r="AI909" s="6" t="str">
        <x:v>361.83939500933496</x:v>
      </x:c>
      <x:c r="AJ909" s="6" t="str">
        <x:v>0.541032809004971</x:v>
      </x:c>
      <x:c r="AK909" s="8" t="str">
        <x:v>1.6468930468042289</x:v>
      </x:c>
      <x:c r="AL909" s="6" t="str">
        <x:v>2.2630289468489493</x:v>
      </x:c>
      <x:c r="AM909" s="6" t="str">
        <x:v>1.277574011649364</x:v>
      </x:c>
      <x:c r="AN909" s="6" t="str">
        <x:v>1.7291653351008474</x:v>
      </x:c>
      <x:c r="AO909" s="6" t="str">
        <x:v>0.4657484730382748</x:v>
      </x:c>
      <x:c r="AP909" s="8" t="str">
        <x:v>0.2599226543708454</x:v>
      </x:c>
      <x:c r="AQ909" s="6" t="str">
        <x:v>0.3071352138383107</x:v>
      </x:c>
      <x:c r="AR909" s="6" t="str">
        <x:v>0.2903502619524137</x:v>
      </x:c>
      <x:c r="AS909" s="6" t="str">
        <x:v>0.2858027100538567</x:v>
      </x:c>
      <x:c r="AT909" s="6" t="str">
        <x:v>196.88200043005853</x:v>
      </x:c>
      <x:c r="AU909" s="8" t="str">
        <x:v>2.902558595343957</x:v>
      </x:c>
      <x:c r="AV909" s="6" t="str">
        <x:v>3.716567768988235</x:v>
      </x:c>
      <x:c r="AW909" s="6" t="str">
        <x:v>3.977132755111863</x:v>
      </x:c>
      <x:c r="AX909" s="6" t="str">
        <x:v>3.532086373148017</x:v>
      </x:c>
      <x:c r="AY909" s="6" t="str">
        <x:v>1</x:v>
      </x:c>
      <x:c r="AZ909" s="6" t="str">
        <x:v>1</x:v>
      </x:c>
      <x:c r="BA909" s="9" t="str">
        <x:v>grid_cells_within_BIG_polygon</x:v>
      </x:c>
      <x:c r="BB909" s="6" t="str">
        <x:v>13</x:v>
      </x:c>
      <x:c r="BC909" s="6" t="str">
        <x:v>0</x:v>
      </x:c>
      <x:c r="BD909" s="6" t="str">
        <x:v>0</x:v>
      </x:c>
      <x:c r="BE909" s="6" t="str">
        <x:v>0</x:v>
      </x:c>
      <x:c r="BF909" s="6" t="str">
        <x:v>0</x:v>
      </x:c>
      <x:c r="BG909" s="6" t="str">
        <x:v>0</x:v>
      </x:c>
      <x:c r="BH909" s="6" t="str">
        <x:v>0</x:v>
      </x:c>
      <x:c r="BI909" s="6" t="str">
        <x:v>0</x:v>
      </x:c>
      <x:c r="BJ909" s="6" t="str">
        <x:v>0</x:v>
      </x:c>
      <x:c r="BK909" s="6" t="str">
        <x:v>0</x:v>
      </x:c>
      <x:c r="BL909" s="6" t="str">
        <x:v>0</x:v>
      </x:c>
      <x:c r="BM909" s="6" t="str">
        <x:v>0</x:v>
      </x:c>
      <x:c r="BN909" s="6" t="str">
        <x:v>0</x:v>
      </x:c>
      <x:c r="BO909" s="6" t="str"/>
      <x:c r="BP909" s="6" t="str">
        <x:v>0</x:v>
      </x:c>
      <x:c r="BQ909" s="6" t="str"/>
      <x:c r="BR909" s="6" t="str">
        <x:v>0</x:v>
      </x:c>
      <x:c r="BS909" s="6" t="str"/>
      <x:c r="BT909" s="6" t="str">
        <x:v>0</x:v>
      </x:c>
      <x:c r="BU909" s="6" t="str"/>
      <x:c r="BV909" s="6" t="str">
        <x:v>0</x:v>
      </x:c>
      <x:c r="BW909" s="9" t="str">
        <x:v>operational_snapshot_annual_totals_may_differ</x:v>
      </x:c>
      <x:c r="BX909" s="9" t="str">
        <x:v>official_live_dashboard_snapshot_subject_to_revision</x:v>
      </x:c>
      <x:c r="BY909" s="9" t="str">
        <x:v>https://tbdashboard.sitb.id/ss_data_tbc03so_2025_provinsi_bulanan_list.php</x:v>
      </x:c>
      <x:c r="BZ909" s="6" t="n">
        <x:v>46246.610671296294</x:v>
      </x:c>
    </x:row>
    <x:row r="910" ht="18" customHeight="1">
      <x:c r="A910" s="6" t="str">
        <x:v>97</x:v>
      </x:c>
      <x:c r="B910" s="6" t="str">
        <x:v>PAPUA PEGUNUNGAN</x:v>
      </x:c>
      <x:c r="C910" s="6" t="str">
        <x:v>2025</x:v>
      </x:c>
      <x:c r="D910" s="6" t="str">
        <x:v>9</x:v>
      </x:c>
      <x:c r="E910" s="6" t="str">
        <x:v>2025-09</x:v>
      </x:c>
      <x:c r="F910" s="6" t="str">
        <x:v>155</x:v>
      </x:c>
      <x:c r="G910" s="6" t="str">
        <x:v>12</x:v>
      </x:c>
      <x:c r="H910" s="6" t="str">
        <x:v>40</x:v>
      </x:c>
      <x:c r="I910" s="6" t="str">
        <x:v>12</x:v>
      </x:c>
      <x:c r="J910" s="6" t="str">
        <x:v>2</x:v>
      </x:c>
      <x:c r="K910" s="6" t="str">
        <x:v>0</x:v>
      </x:c>
      <x:c r="L910" s="6" t="str">
        <x:v>0</x:v>
      </x:c>
      <x:c r="M910" s="6" t="str">
        <x:v>89</x:v>
      </x:c>
      <x:c r="N910" s="6" t="str">
        <x:v>155</x:v>
      </x:c>
      <x:c r="O910" s="6" t="str">
        <x:v>0</x:v>
      </x:c>
      <x:c r="P910" s="10" t="n">
        <x:f>F910-M910</x:f>
        <x:v>66</x:v>
      </x:c>
      <x:c r="Q910" s="11" t="n">
        <x:f>IFERROR(M910/F910,"")</x:f>
        <x:v>0.5741935483870968</x:v>
      </x:c>
      <x:c r="R910" s="10" t="n">
        <x:f>G910+H910</x:f>
        <x:v>52</x:v>
      </x:c>
      <x:c r="S910" s="11" t="n">
        <x:f>IFERROR(R910/F910,"")</x:f>
        <x:v>0.33548387096774196</x:v>
      </x:c>
      <x:c r="T910" s="11" t="n">
        <x:f>IFERROR(R910/P910,"")</x:f>
        <x:v>0.7878787878787878</x:v>
      </x:c>
      <x:c r="U910" s="10" t="n">
        <x:f>I910+J910+K910</x:f>
        <x:v>14</x:v>
      </x:c>
      <x:c r="V910" s="11" t="n">
        <x:f>IFERROR(U910/P910,"")</x:f>
        <x:v>0.21212121212121213</x:v>
      </x:c>
      <x:c r="W910" s="9" t="str">
        <x:v>provisional_gt_5pct_pending</x:v>
      </x:c>
      <x:c r="X910" s="12" t="n">
        <x:f>IFERROR(F910/Z910*100000,"")</x:f>
        <x:v>10.438413361169102</x:v>
      </x:c>
      <x:c r="Y910" s="13" t="n">
        <x:f>LN(Z910)</x:f>
        <x:v>14.210857987884152</x:v>
      </x:c>
      <x:c r="Z910" s="6" t="str">
        <x:v>1484900</x:v>
      </x:c>
      <x:c r="AA910" s="6" t="str">
        <x:v>29.0</x:v>
      </x:c>
      <x:c r="AB910" s="9" t="str">
        <x:v>2025-06-30</x:v>
      </x:c>
      <x:c r="AC910" s="8" t="str">
        <x:v>82.36</x:v>
      </x:c>
      <x:c r="AD910" s="9" t="str">
        <x:v>2025 (Susenas)</x:v>
      </x:c>
      <x:c r="AE910" s="8" t="str">
        <x:v>30.03</x:v>
      </x:c>
      <x:c r="AF910" s="9" t="str">
        <x:v>Maret 2025 (Susenas)</x:v>
      </x:c>
      <x:c r="AG910" s="6" t="str">
        <x:v>19.745345222348924</x:v>
      </x:c>
      <x:c r="AH910" s="8" t="str">
        <x:v>89.91128960315926</x:v>
      </x:c>
      <x:c r="AI910" s="6" t="str">
        <x:v>267.60947830834084</x:v>
      </x:c>
      <x:c r="AJ910" s="6" t="str">
        <x:v>0.4214315972425204</x:v>
      </x:c>
      <x:c r="AK910" s="8" t="str">
        <x:v>1.4013910386506294</x:v>
      </x:c>
      <x:c r="AL910" s="6" t="str">
        <x:v>1.6468930468042289</x:v>
      </x:c>
      <x:c r="AM910" s="6" t="str">
        <x:v>2.2630289468489493</x:v>
      </x:c>
      <x:c r="AN910" s="6" t="str">
        <x:v>1.770437677434603</x:v>
      </x:c>
      <x:c r="AO910" s="6" t="str">
        <x:v>1.2737574529454037</x:v>
      </x:c>
      <x:c r="AP910" s="8" t="str">
        <x:v>0.4672266196716741</x:v>
      </x:c>
      <x:c r="AQ910" s="6" t="str">
        <x:v>0.2599226543708454</x:v>
      </x:c>
      <x:c r="AR910" s="6" t="str">
        <x:v>0.3071352138383107</x:v>
      </x:c>
      <x:c r="AS910" s="6" t="str">
        <x:v>0.3447614959602769</x:v>
      </x:c>
      <x:c r="AT910" s="6" t="str">
        <x:v>88.14561310961696</x:v>
      </x:c>
      <x:c r="AU910" s="8" t="str">
        <x:v>1.2283813749618795</x:v>
      </x:c>
      <x:c r="AV910" s="6" t="str">
        <x:v>2.902558595343957</x:v>
      </x:c>
      <x:c r="AW910" s="6" t="str">
        <x:v>3.716567768988235</x:v>
      </x:c>
      <x:c r="AX910" s="6" t="str">
        <x:v>2.615835913098024</x:v>
      </x:c>
      <x:c r="AY910" s="6" t="str">
        <x:v>1</x:v>
      </x:c>
      <x:c r="AZ910" s="6" t="str">
        <x:v>1</x:v>
      </x:c>
      <x:c r="BA910" s="9" t="str">
        <x:v>grid_cells_within_BIG_polygon</x:v>
      </x:c>
      <x:c r="BB910" s="6" t="str">
        <x:v>13</x:v>
      </x:c>
      <x:c r="BC910" s="6" t="str">
        <x:v>1</x:v>
      </x:c>
      <x:c r="BD910" s="6" t="str">
        <x:v>1</x:v>
      </x:c>
      <x:c r="BE910" s="6" t="str">
        <x:v>0</x:v>
      </x:c>
      <x:c r="BF910" s="6" t="str">
        <x:v>1</x:v>
      </x:c>
      <x:c r="BG910" s="6" t="str">
        <x:v>0</x:v>
      </x:c>
      <x:c r="BH910" s="6" t="str">
        <x:v>0</x:v>
      </x:c>
      <x:c r="BI910" s="6" t="str">
        <x:v>0</x:v>
      </x:c>
      <x:c r="BJ910" s="6" t="str">
        <x:v>0</x:v>
      </x:c>
      <x:c r="BK910" s="6" t="str">
        <x:v>0</x:v>
      </x:c>
      <x:c r="BL910" s="6" t="str">
        <x:v>0</x:v>
      </x:c>
      <x:c r="BM910" s="6" t="str">
        <x:v>0</x:v>
      </x:c>
      <x:c r="BN910" s="6" t="str">
        <x:v>1</x:v>
      </x:c>
      <x:c r="BO910" s="6" t="str"/>
      <x:c r="BP910" s="6" t="str">
        <x:v>0</x:v>
      </x:c>
      <x:c r="BQ910" s="6" t="str"/>
      <x:c r="BR910" s="6" t="str">
        <x:v>0</x:v>
      </x:c>
      <x:c r="BS910" s="6" t="str">
        <x:v>0.0</x:v>
      </x:c>
      <x:c r="BT910" s="6" t="str">
        <x:v>1</x:v>
      </x:c>
      <x:c r="BU910" s="6" t="str"/>
      <x:c r="BV910" s="6" t="str">
        <x:v>0</x:v>
      </x:c>
      <x:c r="BW910" s="9" t="str">
        <x:v>operational_snapshot_annual_totals_may_differ</x:v>
      </x:c>
      <x:c r="BX910" s="9" t="str">
        <x:v>official_live_dashboard_snapshot_subject_to_revision</x:v>
      </x:c>
      <x:c r="BY910" s="9" t="str">
        <x:v>https://tbdashboard.sitb.id/ss_data_tbc03so_2025_provinsi_bulanan_list.php</x:v>
      </x:c>
      <x:c r="BZ910" s="6" t="n">
        <x:v>46246.610671296294</x:v>
      </x:c>
    </x:row>
    <x:row r="911" ht="18" customHeight="1">
      <x:c r="A911" s="6" t="str">
        <x:v>97</x:v>
      </x:c>
      <x:c r="B911" s="6" t="str">
        <x:v>PAPUA PEGUNUNGAN</x:v>
      </x:c>
      <x:c r="C911" s="6" t="str">
        <x:v>2025</x:v>
      </x:c>
      <x:c r="D911" s="6" t="str">
        <x:v>10</x:v>
      </x:c>
      <x:c r="E911" s="6" t="str">
        <x:v>2025-10</x:v>
      </x:c>
      <x:c r="F911" s="6" t="str">
        <x:v>254</x:v>
      </x:c>
      <x:c r="G911" s="6" t="str">
        <x:v>15</x:v>
      </x:c>
      <x:c r="H911" s="6" t="str">
        <x:v>67</x:v>
      </x:c>
      <x:c r="I911" s="6" t="str">
        <x:v>16</x:v>
      </x:c>
      <x:c r="J911" s="6" t="str">
        <x:v>3</x:v>
      </x:c>
      <x:c r="K911" s="6" t="str">
        <x:v>0</x:v>
      </x:c>
      <x:c r="L911" s="6" t="str">
        <x:v>0</x:v>
      </x:c>
      <x:c r="M911" s="6" t="str">
        <x:v>153</x:v>
      </x:c>
      <x:c r="N911" s="6" t="str">
        <x:v>254</x:v>
      </x:c>
      <x:c r="O911" s="6" t="str">
        <x:v>0</x:v>
      </x:c>
      <x:c r="P911" s="10" t="n">
        <x:f>F911-M911</x:f>
        <x:v>101</x:v>
      </x:c>
      <x:c r="Q911" s="11" t="n">
        <x:f>IFERROR(M911/F911,"")</x:f>
        <x:v>0.6023622047244095</x:v>
      </x:c>
      <x:c r="R911" s="10" t="n">
        <x:f>G911+H911</x:f>
        <x:v>82</x:v>
      </x:c>
      <x:c r="S911" s="11" t="n">
        <x:f>IFERROR(R911/F911,"")</x:f>
        <x:v>0.3228346456692913</x:v>
      </x:c>
      <x:c r="T911" s="11" t="n">
        <x:f>IFERROR(R911/P911,"")</x:f>
        <x:v>0.8118811881188119</x:v>
      </x:c>
      <x:c r="U911" s="10" t="n">
        <x:f>I911+J911+K911</x:f>
        <x:v>19</x:v>
      </x:c>
      <x:c r="V911" s="11" t="n">
        <x:f>IFERROR(U911/P911,"")</x:f>
        <x:v>0.18811881188118812</x:v>
      </x:c>
      <x:c r="W911" s="9" t="str">
        <x:v>provisional_gt_5pct_pending</x:v>
      </x:c>
      <x:c r="X911" s="12" t="n">
        <x:f>IFERROR(F911/Z911*100000,"")</x:f>
        <x:v>17.105528991851305</x:v>
      </x:c>
      <x:c r="Y911" s="13" t="n">
        <x:f>LN(Z911)</x:f>
        <x:v>14.210857987884152</x:v>
      </x:c>
      <x:c r="Z911" s="6" t="str">
        <x:v>1484900</x:v>
      </x:c>
      <x:c r="AA911" s="6" t="str">
        <x:v>29.0</x:v>
      </x:c>
      <x:c r="AB911" s="9" t="str">
        <x:v>2025-06-30</x:v>
      </x:c>
      <x:c r="AC911" s="8" t="str">
        <x:v>82.36</x:v>
      </x:c>
      <x:c r="AD911" s="9" t="str">
        <x:v>2025 (Susenas)</x:v>
      </x:c>
      <x:c r="AE911" s="8" t="str">
        <x:v>30.03</x:v>
      </x:c>
      <x:c r="AF911" s="9" t="str">
        <x:v>Maret 2025 (Susenas)</x:v>
      </x:c>
      <x:c r="AG911" s="6" t="str">
        <x:v>19.952199386565766</x:v>
      </x:c>
      <x:c r="AH911" s="8" t="str">
        <x:v>89.47461494937374</x:v>
      </x:c>
      <x:c r="AI911" s="6" t="str">
        <x:v>326.23745199206155</x:v>
      </x:c>
      <x:c r="AJ911" s="6" t="str">
        <x:v>0.2983445885661844</x:v>
      </x:c>
      <x:c r="AK911" s="8" t="str">
        <x:v>1.044896808382786</x:v>
      </x:c>
      <x:c r="AL911" s="6" t="str">
        <x:v>1.4013910386506294</x:v>
      </x:c>
      <x:c r="AM911" s="6" t="str">
        <x:v>1.6468930468042289</x:v>
      </x:c>
      <x:c r="AN911" s="6" t="str">
        <x:v>1.3643936312792146</x:v>
      </x:c>
      <x:c r="AO911" s="6" t="str">
        <x:v>1.12786063080911</x:v>
      </x:c>
      <x:c r="AP911" s="8" t="str">
        <x:v>0.3860500743534726</x:v>
      </x:c>
      <x:c r="AQ911" s="6" t="str">
        <x:v>0.4672266196716741</x:v>
      </x:c>
      <x:c r="AR911" s="6" t="str">
        <x:v>0.2599226543708454</x:v>
      </x:c>
      <x:c r="AS911" s="6" t="str">
        <x:v>0.3710664494653308</x:v>
      </x:c>
      <x:c r="AT911" s="6" t="str">
        <x:v>135.1918546250453</x:v>
      </x:c>
      <x:c r="AU911" s="8" t="str">
        <x:v>1.485855331093623</x:v>
      </x:c>
      <x:c r="AV911" s="6" t="str">
        <x:v>1.2283813749618795</x:v>
      </x:c>
      <x:c r="AW911" s="6" t="str">
        <x:v>2.902558595343957</x:v>
      </x:c>
      <x:c r="AX911" s="6" t="str">
        <x:v>1.8722651004664863</x:v>
      </x:c>
      <x:c r="AY911" s="6" t="str">
        <x:v>1</x:v>
      </x:c>
      <x:c r="AZ911" s="6" t="str">
        <x:v>1</x:v>
      </x:c>
      <x:c r="BA911" s="9" t="str">
        <x:v>grid_cells_within_BIG_polygon</x:v>
      </x:c>
      <x:c r="BB911" s="6" t="str">
        <x:v>13</x:v>
      </x:c>
      <x:c r="BC911" s="6" t="str">
        <x:v>0</x:v>
      </x:c>
      <x:c r="BD911" s="6" t="str">
        <x:v>0</x:v>
      </x:c>
      <x:c r="BE911" s="6" t="str">
        <x:v>0</x:v>
      </x:c>
      <x:c r="BF911" s="6" t="str">
        <x:v>0</x:v>
      </x:c>
      <x:c r="BG911" s="6" t="str">
        <x:v>0</x:v>
      </x:c>
      <x:c r="BH911" s="6" t="str">
        <x:v>0</x:v>
      </x:c>
      <x:c r="BI911" s="6" t="str">
        <x:v>0</x:v>
      </x:c>
      <x:c r="BJ911" s="6" t="str">
        <x:v>0</x:v>
      </x:c>
      <x:c r="BK911" s="6" t="str">
        <x:v>0</x:v>
      </x:c>
      <x:c r="BL911" s="6" t="str">
        <x:v>0</x:v>
      </x:c>
      <x:c r="BM911" s="6" t="str">
        <x:v>0</x:v>
      </x:c>
      <x:c r="BN911" s="6" t="str">
        <x:v>0</x:v>
      </x:c>
      <x:c r="BO911" s="6" t="str"/>
      <x:c r="BP911" s="6" t="str">
        <x:v>0</x:v>
      </x:c>
      <x:c r="BQ911" s="6" t="str"/>
      <x:c r="BR911" s="6" t="str">
        <x:v>0</x:v>
      </x:c>
      <x:c r="BS911" s="6" t="str"/>
      <x:c r="BT911" s="6" t="str">
        <x:v>0</x:v>
      </x:c>
      <x:c r="BU911" s="6" t="str"/>
      <x:c r="BV911" s="6" t="str">
        <x:v>0</x:v>
      </x:c>
      <x:c r="BW911" s="9" t="str">
        <x:v>operational_snapshot_annual_totals_may_differ</x:v>
      </x:c>
      <x:c r="BX911" s="9" t="str">
        <x:v>official_live_dashboard_snapshot_subject_to_revision</x:v>
      </x:c>
      <x:c r="BY911" s="9" t="str">
        <x:v>https://tbdashboard.sitb.id/ss_data_tbc03so_2025_provinsi_bulanan_list.php</x:v>
      </x:c>
      <x:c r="BZ911" s="6" t="n">
        <x:v>46246.610671296294</x:v>
      </x:c>
    </x:row>
    <x:row r="912" ht="18" customHeight="1">
      <x:c r="A912" s="6" t="str">
        <x:v>97</x:v>
      </x:c>
      <x:c r="B912" s="6" t="str">
        <x:v>PAPUA PEGUNUNGAN</x:v>
      </x:c>
      <x:c r="C912" s="6" t="str">
        <x:v>2025</x:v>
      </x:c>
      <x:c r="D912" s="6" t="str">
        <x:v>11</x:v>
      </x:c>
      <x:c r="E912" s="6" t="str">
        <x:v>2025-11</x:v>
      </x:c>
      <x:c r="F912" s="6" t="str">
        <x:v>184</x:v>
      </x:c>
      <x:c r="G912" s="6" t="str">
        <x:v>3</x:v>
      </x:c>
      <x:c r="H912" s="6" t="str">
        <x:v>48</x:v>
      </x:c>
      <x:c r="I912" s="6" t="str">
        <x:v>19</x:v>
      </x:c>
      <x:c r="J912" s="6" t="str">
        <x:v>1</x:v>
      </x:c>
      <x:c r="K912" s="6" t="str">
        <x:v>0</x:v>
      </x:c>
      <x:c r="L912" s="6" t="str">
        <x:v>0</x:v>
      </x:c>
      <x:c r="M912" s="6" t="str">
        <x:v>113</x:v>
      </x:c>
      <x:c r="N912" s="6" t="str">
        <x:v>184</x:v>
      </x:c>
      <x:c r="O912" s="6" t="str">
        <x:v>0</x:v>
      </x:c>
      <x:c r="P912" s="10" t="n">
        <x:f>F912-M912</x:f>
        <x:v>71</x:v>
      </x:c>
      <x:c r="Q912" s="11" t="n">
        <x:f>IFERROR(M912/F912,"")</x:f>
        <x:v>0.6141304347826086</x:v>
      </x:c>
      <x:c r="R912" s="10" t="n">
        <x:f>G912+H912</x:f>
        <x:v>51</x:v>
      </x:c>
      <x:c r="S912" s="11" t="n">
        <x:f>IFERROR(R912/F912,"")</x:f>
        <x:v>0.27717391304347827</x:v>
      </x:c>
      <x:c r="T912" s="11" t="n">
        <x:f>IFERROR(R912/P912,"")</x:f>
        <x:v>0.7183098591549296</x:v>
      </x:c>
      <x:c r="U912" s="10" t="n">
        <x:f>I912+J912+K912</x:f>
        <x:v>20</x:v>
      </x:c>
      <x:c r="V912" s="11" t="n">
        <x:f>IFERROR(U912/P912,"")</x:f>
        <x:v>0.28169014084507044</x:v>
      </x:c>
      <x:c r="W912" s="9" t="str">
        <x:v>provisional_gt_5pct_pending</x:v>
      </x:c>
      <x:c r="X912" s="12" t="n">
        <x:f>IFERROR(F912/Z912*100000,"")</x:f>
        <x:v>12.391406828742678</x:v>
      </x:c>
      <x:c r="Y912" s="13" t="n">
        <x:f>LN(Z912)</x:f>
        <x:v>14.210857987884152</x:v>
      </x:c>
      <x:c r="Z912" s="6" t="str">
        <x:v>1484900</x:v>
      </x:c>
      <x:c r="AA912" s="6" t="str">
        <x:v>29.0</x:v>
      </x:c>
      <x:c r="AB912" s="9" t="str">
        <x:v>2025-06-30</x:v>
      </x:c>
      <x:c r="AC912" s="8" t="str">
        <x:v>82.36</x:v>
      </x:c>
      <x:c r="AD912" s="9" t="str">
        <x:v>2025 (Susenas)</x:v>
      </x:c>
      <x:c r="AE912" s="8" t="str">
        <x:v>30.03</x:v>
      </x:c>
      <x:c r="AF912" s="9" t="str">
        <x:v>Maret 2025 (Susenas)</x:v>
      </x:c>
      <x:c r="AG912" s="6" t="str">
        <x:v>19.92926356291724</x:v>
      </x:c>
      <x:c r="AH912" s="8" t="str">
        <x:v>89.82952067067474</x:v>
      </x:c>
      <x:c r="AI912" s="6" t="str">
        <x:v>353.323652188754</x:v>
      </x:c>
      <x:c r="AJ912" s="6" t="str">
        <x:v>0.0726153735329404</x:v>
      </x:c>
      <x:c r="AK912" s="8" t="str">
        <x:v>0.2622985723935972</x:v>
      </x:c>
      <x:c r="AL912" s="6" t="str">
        <x:v>1.044896808382786</x:v>
      </x:c>
      <x:c r="AM912" s="6" t="str">
        <x:v>1.4013910386506294</x:v>
      </x:c>
      <x:c r="AN912" s="6" t="str">
        <x:v>0.9028621398090042</x:v>
      </x:c>
      <x:c r="AO912" s="6" t="str">
        <x:v>0.5754803451211643</x:v>
      </x:c>
      <x:c r="AP912" s="8" t="str">
        <x:v>0.2359026147329715</x:v>
      </x:c>
      <x:c r="AQ912" s="6" t="str">
        <x:v>0.3860500743534726</x:v>
      </x:c>
      <x:c r="AR912" s="6" t="str">
        <x:v>0.4672266196716741</x:v>
      </x:c>
      <x:c r="AS912" s="6" t="str">
        <x:v>0.3630597695860396</x:v>
      </x:c>
      <x:c r="AT912" s="6" t="str">
        <x:v>148.42459818113755</x:v>
      </x:c>
      <x:c r="AU912" s="8" t="str">
        <x:v>2.255169563530365</x:v>
      </x:c>
      <x:c r="AV912" s="6" t="str">
        <x:v>1.485855331093623</x:v>
      </x:c>
      <x:c r="AW912" s="6" t="str">
        <x:v>1.2283813749618795</x:v>
      </x:c>
      <x:c r="AX912" s="6" t="str">
        <x:v>1.6564687565286222</x:v>
      </x:c>
      <x:c r="AY912" s="6" t="str">
        <x:v>1</x:v>
      </x:c>
      <x:c r="AZ912" s="6" t="str">
        <x:v>0</x:v>
      </x:c>
      <x:c r="BA912" s="9" t="str">
        <x:v>grid_cells_within_BIG_polygon</x:v>
      </x:c>
      <x:c r="BB912" s="6" t="str">
        <x:v>13</x:v>
      </x:c>
      <x:c r="BC912" s="6" t="str">
        <x:v>1</x:v>
      </x:c>
      <x:c r="BD912" s="6" t="str">
        <x:v>1</x:v>
      </x:c>
      <x:c r="BE912" s="6" t="str">
        <x:v>1</x:v>
      </x:c>
      <x:c r="BF912" s="6" t="str">
        <x:v>0</x:v>
      </x:c>
      <x:c r="BG912" s="6" t="str">
        <x:v>0</x:v>
      </x:c>
      <x:c r="BH912" s="6" t="str">
        <x:v>0</x:v>
      </x:c>
      <x:c r="BI912" s="6" t="str">
        <x:v>0</x:v>
      </x:c>
      <x:c r="BJ912" s="6" t="str">
        <x:v>0</x:v>
      </x:c>
      <x:c r="BK912" s="6" t="str">
        <x:v>0</x:v>
      </x:c>
      <x:c r="BL912" s="6" t="str">
        <x:v>0</x:v>
      </x:c>
      <x:c r="BM912" s="6" t="str">
        <x:v>0</x:v>
      </x:c>
      <x:c r="BN912" s="6" t="str">
        <x:v>1</x:v>
      </x:c>
      <x:c r="BO912" s="6" t="str">
        <x:v>8.0</x:v>
      </x:c>
      <x:c r="BP912" s="6" t="str">
        <x:v>1</x:v>
      </x:c>
      <x:c r="BQ912" s="6" t="str"/>
      <x:c r="BR912" s="6" t="str">
        <x:v>0</x:v>
      </x:c>
      <x:c r="BS912" s="6" t="str">
        <x:v>0.0</x:v>
      </x:c>
      <x:c r="BT912" s="6" t="str">
        <x:v>1</x:v>
      </x:c>
      <x:c r="BU912" s="6" t="str"/>
      <x:c r="BV912" s="6" t="str">
        <x:v>0</x:v>
      </x:c>
      <x:c r="BW912" s="9" t="str">
        <x:v>operational_snapshot_annual_totals_may_differ</x:v>
      </x:c>
      <x:c r="BX912" s="9" t="str">
        <x:v>official_live_dashboard_snapshot_subject_to_revision</x:v>
      </x:c>
      <x:c r="BY912" s="9" t="str">
        <x:v>https://tbdashboard.sitb.id/ss_data_tbc03so_2025_provinsi_bulanan_list.php</x:v>
      </x:c>
      <x:c r="BZ912" s="6" t="n">
        <x:v>46246.610671296294</x:v>
      </x:c>
    </x:row>
    <x:row r="913" ht="18" customHeight="1">
      <x:c r="A913" s="6" t="str">
        <x:v>97</x:v>
      </x:c>
      <x:c r="B913" s="6" t="str">
        <x:v>PAPUA PEGUNUNGAN</x:v>
      </x:c>
      <x:c r="C913" s="6" t="str">
        <x:v>2025</x:v>
      </x:c>
      <x:c r="D913" s="6" t="str">
        <x:v>12</x:v>
      </x:c>
      <x:c r="E913" s="6" t="str">
        <x:v>2025-12</x:v>
      </x:c>
      <x:c r="F913" s="6" t="str">
        <x:v>150</x:v>
      </x:c>
      <x:c r="G913" s="6" t="str">
        <x:v>2</x:v>
      </x:c>
      <x:c r="H913" s="6" t="str">
        <x:v>50</x:v>
      </x:c>
      <x:c r="I913" s="6" t="str">
        <x:v>7</x:v>
      </x:c>
      <x:c r="J913" s="6" t="str">
        <x:v>5</x:v>
      </x:c>
      <x:c r="K913" s="6" t="str">
        <x:v>0</x:v>
      </x:c>
      <x:c r="L913" s="6" t="str">
        <x:v>0</x:v>
      </x:c>
      <x:c r="M913" s="6" t="str">
        <x:v>86</x:v>
      </x:c>
      <x:c r="N913" s="6" t="str">
        <x:v>150</x:v>
      </x:c>
      <x:c r="O913" s="6" t="str">
        <x:v>0</x:v>
      </x:c>
      <x:c r="P913" s="10" t="n">
        <x:f>F913-M913</x:f>
        <x:v>64</x:v>
      </x:c>
      <x:c r="Q913" s="11" t="n">
        <x:f>IFERROR(M913/F913,"")</x:f>
        <x:v>0.5733333333333334</x:v>
      </x:c>
      <x:c r="R913" s="10" t="n">
        <x:f>G913+H913</x:f>
        <x:v>52</x:v>
      </x:c>
      <x:c r="S913" s="11" t="n">
        <x:f>IFERROR(R913/F913,"")</x:f>
        <x:v>0.3466666666666667</x:v>
      </x:c>
      <x:c r="T913" s="11" t="n">
        <x:f>IFERROR(R913/P913,"")</x:f>
        <x:v>0.8125</x:v>
      </x:c>
      <x:c r="U913" s="10" t="n">
        <x:f>I913+J913+K913</x:f>
        <x:v>12</x:v>
      </x:c>
      <x:c r="V913" s="11" t="n">
        <x:f>IFERROR(U913/P913,"")</x:f>
        <x:v>0.1875</x:v>
      </x:c>
      <x:c r="W913" s="9" t="str">
        <x:v>provisional_gt_5pct_pending</x:v>
      </x:c>
      <x:c r="X913" s="12" t="n">
        <x:f>IFERROR(F913/Z913*100000,"")</x:f>
        <x:v>10.101690349518487</x:v>
      </x:c>
      <x:c r="Y913" s="13" t="n">
        <x:f>LN(Z913)</x:f>
        <x:v>14.210857987884152</x:v>
      </x:c>
      <x:c r="Z913" s="6" t="str">
        <x:v>1484900</x:v>
      </x:c>
      <x:c r="AA913" s="6" t="str">
        <x:v>29.0</x:v>
      </x:c>
      <x:c r="AB913" s="9" t="str">
        <x:v>2025-06-30</x:v>
      </x:c>
      <x:c r="AC913" s="8" t="str">
        <x:v>82.36</x:v>
      </x:c>
      <x:c r="AD913" s="9" t="str">
        <x:v>2025 (Susenas)</x:v>
      </x:c>
      <x:c r="AE913" s="8" t="str">
        <x:v>30.03</x:v>
      </x:c>
      <x:c r="AF913" s="9" t="str">
        <x:v>Maret 2025 (Susenas)</x:v>
      </x:c>
      <x:c r="AG913" s="6" t="str">
        <x:v>20.11154444450225</x:v>
      </x:c>
      <x:c r="AH913" s="8" t="str">
        <x:v>89.94321711420218</x:v>
      </x:c>
      <x:c r="AI913" s="6" t="str">
        <x:v>301.1591968716788</x:v>
      </x:c>
      <x:c r="AJ913" s="6" t="str">
        <x:v>0.2312227079963769</x:v>
      </x:c>
      <x:c r="AK913" s="8" t="str">
        <x:v>0.9642109734724128</x:v>
      </x:c>
      <x:c r="AL913" s="6" t="str">
        <x:v>0.2622985723935972</x:v>
      </x:c>
      <x:c r="AM913" s="6" t="str">
        <x:v>1.044896808382786</x:v>
      </x:c>
      <x:c r="AN913" s="6" t="str">
        <x:v>0.7571354514162653</x:v>
      </x:c>
      <x:c r="AO913" s="6" t="str">
        <x:v>-0.296810353240005</x:v>
      </x:c>
      <x:c r="AP913" s="8" t="str">
        <x:v>-0.2319506901502924</x:v>
      </x:c>
      <x:c r="AQ913" s="6" t="str">
        <x:v>0.2359026147329715</x:v>
      </x:c>
      <x:c r="AR913" s="6" t="str">
        <x:v>0.3860500743534726</x:v>
      </x:c>
      <x:c r="AS913" s="6" t="str">
        <x:v>0.1300006663120507</x:v>
      </x:c>
      <x:c r="AT913" s="6" t="str">
        <x:v>62.96901180156834</x:v>
      </x:c>
      <x:c r="AU913" s="8" t="str">
        <x:v>1.0102405603944595</x:v>
      </x:c>
      <x:c r="AV913" s="6" t="str">
        <x:v>2.255169563530365</x:v>
      </x:c>
      <x:c r="AW913" s="6" t="str">
        <x:v>1.485855331093623</x:v>
      </x:c>
      <x:c r="AX913" s="6" t="str">
        <x:v>1.5837551516728154</x:v>
      </x:c>
      <x:c r="AY913" s="6" t="str">
        <x:v>1</x:v>
      </x:c>
      <x:c r="AZ913" s="6" t="str">
        <x:v>0</x:v>
      </x:c>
      <x:c r="BA913" s="9" t="str">
        <x:v>grid_cells_within_BIG_polygon</x:v>
      </x:c>
      <x:c r="BB913" s="6" t="str">
        <x:v>13</x:v>
      </x:c>
      <x:c r="BC913" s="6" t="str">
        <x:v>1</x:v>
      </x:c>
      <x:c r="BD913" s="6" t="str">
        <x:v>1</x:v>
      </x:c>
      <x:c r="BE913" s="6" t="str">
        <x:v>1</x:v>
      </x:c>
      <x:c r="BF913" s="6" t="str">
        <x:v>0</x:v>
      </x:c>
      <x:c r="BG913" s="6" t="str">
        <x:v>0</x:v>
      </x:c>
      <x:c r="BH913" s="6" t="str">
        <x:v>0</x:v>
      </x:c>
      <x:c r="BI913" s="6" t="str">
        <x:v>0</x:v>
      </x:c>
      <x:c r="BJ913" s="6" t="str">
        <x:v>0</x:v>
      </x:c>
      <x:c r="BK913" s="6" t="str">
        <x:v>0</x:v>
      </x:c>
      <x:c r="BL913" s="6" t="str">
        <x:v>0</x:v>
      </x:c>
      <x:c r="BM913" s="6" t="str">
        <x:v>0</x:v>
      </x:c>
      <x:c r="BN913" s="6" t="str">
        <x:v>1</x:v>
      </x:c>
      <x:c r="BO913" s="6" t="str"/>
      <x:c r="BP913" s="6" t="str">
        <x:v>0</x:v>
      </x:c>
      <x:c r="BQ913" s="6" t="str"/>
      <x:c r="BR913" s="6" t="str">
        <x:v>0</x:v>
      </x:c>
      <x:c r="BS913" s="6" t="str">
        <x:v>0.0</x:v>
      </x:c>
      <x:c r="BT913" s="6" t="str">
        <x:v>1</x:v>
      </x:c>
      <x:c r="BU913" s="6" t="str">
        <x:v>35.0</x:v>
      </x:c>
      <x:c r="BV913" s="6" t="str">
        <x:v>1</x:v>
      </x:c>
      <x:c r="BW913" s="9" t="str">
        <x:v>operational_snapshot_annual_totals_may_differ</x:v>
      </x:c>
      <x:c r="BX913" s="9" t="str">
        <x:v>official_live_dashboard_snapshot_subject_to_revision</x:v>
      </x:c>
      <x:c r="BY913" s="9" t="str">
        <x:v>https://tbdashboard.sitb.id/ss_data_tbc03so_2025_provinsi_bulanan_list.php</x:v>
      </x:c>
      <x:c r="BZ913" s="6" t="n">
        <x:v>46246.610671296294</x:v>
      </x:c>
    </x:row>
  </x:sheetData>
  <x:pageMargins left="0.7" right="0.7" top="0.75" bottom="0.75" header="0.3" footer="0.3"/>
  <x:tableParts count="1">
    <x:tablePart xmlns:r="http://schemas.openxmlformats.org/officeDocument/2006/relationships" r:id="R3aa49c3fbc304f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2" hidden="0" customWidth="1"/>
    <x:col min="3" max="3" width="24" hidden="0" customWidth="1"/>
    <x:col min="4" max="4" width="24" hidden="0" customWidth="1"/>
  </x:cols>
  <x:sheetData>
    <x:row r="1" ht="34" customHeight="1">
      <x:c r="A1" s="5" t="str">
        <x:v>variable</x:v>
      </x:c>
      <x:c r="B1" s="5" t="str">
        <x:v>definition</x:v>
      </x:c>
      <x:c r="C1" s="5" t="str">
        <x:v>unit_or_type</x:v>
      </x:c>
      <x:c r="D1" s="5" t="str">
        <x:v>source</x:v>
      </x:c>
    </x:row>
    <x:row r="2" ht="18" customHeight="1">
      <x:c r="A2" s="6" t="str">
        <x:v>province_code</x:v>
      </x:c>
      <x:c r="B2" s="9" t="str">
        <x:v>BPS/Kemendagri-style province code used in the project</x:v>
      </x:c>
      <x:c r="C2" s="6" t="str">
        <x:v>identifier</x:v>
      </x:c>
      <x:c r="D2" s="9" t="str">
        <x:v>SITB/BPS harmonisation</x:v>
      </x:c>
    </x:row>
    <x:row r="3" ht="18" customHeight="1">
      <x:c r="A3" s="6" t="str">
        <x:v>province</x:v>
      </x:c>
      <x:c r="B3" s="9" t="str">
        <x:v>Harmonised uppercase province name</x:v>
      </x:c>
      <x:c r="C3" s="6" t="str">
        <x:v>identifier</x:v>
      </x:c>
      <x:c r="D3" s="9" t="str">
        <x:v>SITB/BPS harmonisation</x:v>
      </x:c>
    </x:row>
    <x:row r="4" ht="18" customHeight="1">
      <x:c r="A4" s="6" t="str">
        <x:v>year</x:v>
      </x:c>
      <x:c r="B4" s="9" t="str">
        <x:v>Calendar year of TB treatment-start cohort month</x:v>
      </x:c>
      <x:c r="C4" s="6" t="str">
        <x:v>time</x:v>
      </x:c>
      <x:c r="D4" s="9" t="str">
        <x:v>SITB</x:v>
      </x:c>
    </x:row>
    <x:row r="5" ht="18" customHeight="1">
      <x:c r="A5" s="6" t="str">
        <x:v>month</x:v>
      </x:c>
      <x:c r="B5" s="9" t="str">
        <x:v>Calendar month 1-12</x:v>
      </x:c>
      <x:c r="C5" s="6" t="str">
        <x:v>time</x:v>
      </x:c>
      <x:c r="D5" s="9" t="str">
        <x:v>SITB</x:v>
      </x:c>
    </x:row>
    <x:row r="6" ht="18" customHeight="1">
      <x:c r="A6" s="6" t="str">
        <x:v>period</x:v>
      </x:c>
      <x:c r="B6" s="9" t="str">
        <x:v>Year-month key YYYY-MM</x:v>
      </x:c>
      <x:c r="C6" s="6" t="str">
        <x:v>time</x:v>
      </x:c>
      <x:c r="D6" s="9" t="str">
        <x:v>Derived</x:v>
      </x:c>
    </x:row>
    <x:row r="7" ht="18" customHeight="1">
      <x:c r="A7" s="6" t="str">
        <x:v>jumlah_pasien</x:v>
      </x:c>
      <x:c r="B7" s="9" t="str">
        <x:v>Patients starting drug-susceptible TB treatment in the month</x:v>
      </x:c>
      <x:c r="C7" s="6" t="str">
        <x:v>count</x:v>
      </x:c>
      <x:c r="D7" s="9" t="str">
        <x:v>SITB</x:v>
      </x:c>
    </x:row>
    <x:row r="8" ht="18" customHeight="1">
      <x:c r="A8" s="6" t="str">
        <x:v>sembuh</x:v>
      </x:c>
      <x:c r="B8" s="9" t="str">
        <x:v>Sembuh</x:v>
      </x:c>
      <x:c r="C8" s="6" t="str">
        <x:v>see source</x:v>
      </x:c>
      <x:c r="D8" s="9" t="str">
        <x:v>Source/derived</x:v>
      </x:c>
    </x:row>
    <x:row r="9" ht="18" customHeight="1">
      <x:c r="A9" s="6" t="str">
        <x:v>pengobatan_lengkap</x:v>
      </x:c>
      <x:c r="B9" s="9" t="str">
        <x:v>Pengobatan lengkap</x:v>
      </x:c>
      <x:c r="C9" s="6" t="str">
        <x:v>see source</x:v>
      </x:c>
      <x:c r="D9" s="9" t="str">
        <x:v>Source/derived</x:v>
      </x:c>
    </x:row>
    <x:row r="10" ht="18" customHeight="1">
      <x:c r="A10" s="6" t="str">
        <x:v>lost_to_follow_up</x:v>
      </x:c>
      <x:c r="B10" s="9" t="str">
        <x:v>Lost to follow up</x:v>
      </x:c>
      <x:c r="C10" s="6" t="str">
        <x:v>see source</x:v>
      </x:c>
      <x:c r="D10" s="9" t="str">
        <x:v>Source/derived</x:v>
      </x:c>
    </x:row>
    <x:row r="11" ht="18" customHeight="1">
      <x:c r="A11" s="6" t="str">
        <x:v>meninggal</x:v>
      </x:c>
      <x:c r="B11" s="9" t="str">
        <x:v>Meninggal</x:v>
      </x:c>
      <x:c r="C11" s="6" t="str">
        <x:v>see source</x:v>
      </x:c>
      <x:c r="D11" s="9" t="str">
        <x:v>Source/derived</x:v>
      </x:c>
    </x:row>
    <x:row r="12" ht="18" customHeight="1">
      <x:c r="A12" s="6" t="str">
        <x:v>gagal</x:v>
      </x:c>
      <x:c r="B12" s="9" t="str">
        <x:v>Gagal</x:v>
      </x:c>
      <x:c r="C12" s="6" t="str">
        <x:v>see source</x:v>
      </x:c>
      <x:c r="D12" s="9" t="str">
        <x:v>Source/derived</x:v>
      </x:c>
    </x:row>
    <x:row r="13" ht="18" customHeight="1">
      <x:c r="A13" s="6" t="str">
        <x:v>tidak_dievaluasi_pindah</x:v>
      </x:c>
      <x:c r="B13" s="9" t="str">
        <x:v>Tidak dievaluasi pindah</x:v>
      </x:c>
      <x:c r="C13" s="6" t="str">
        <x:v>see source</x:v>
      </x:c>
      <x:c r="D13" s="9" t="str">
        <x:v>Source/derived</x:v>
      </x:c>
    </x:row>
    <x:row r="14" ht="18" customHeight="1">
      <x:c r="A14" s="6" t="str">
        <x:v>belum_ada_hasil</x:v>
      </x:c>
      <x:c r="B14" s="9" t="str">
        <x:v>Belum ada hasil</x:v>
      </x:c>
      <x:c r="C14" s="6" t="str">
        <x:v>see source</x:v>
      </x:c>
      <x:c r="D14" s="9" t="str">
        <x:v>Source/derived</x:v>
      </x:c>
    </x:row>
    <x:row r="15" ht="18" customHeight="1">
      <x:c r="A15" s="6" t="str">
        <x:v>outcome_sum</x:v>
      </x:c>
      <x:c r="B15" s="9" t="str">
        <x:v>Outcome sum</x:v>
      </x:c>
      <x:c r="C15" s="6" t="str">
        <x:v>see source</x:v>
      </x:c>
      <x:c r="D15" s="9" t="str">
        <x:v>Source/derived</x:v>
      </x:c>
    </x:row>
    <x:row r="16" ht="18" customHeight="1">
      <x:c r="A16" s="6" t="str">
        <x:v>outcome_balance</x:v>
      </x:c>
      <x:c r="B16" s="9" t="str">
        <x:v>Outcome balance</x:v>
      </x:c>
      <x:c r="C16" s="6" t="str">
        <x:v>see source</x:v>
      </x:c>
      <x:c r="D16" s="9" t="str">
        <x:v>Source/derived</x:v>
      </x:c>
    </x:row>
    <x:row r="17" ht="18" customHeight="1">
      <x:c r="A17" s="6" t="str">
        <x:v>known_outcome_count</x:v>
      </x:c>
      <x:c r="B17" s="9" t="str">
        <x:v>Patients with a recorded outcome other than pending</x:v>
      </x:c>
      <x:c r="C17" s="6" t="str">
        <x:v>count</x:v>
      </x:c>
      <x:c r="D17" s="9" t="str">
        <x:v>Derived: jumlah_pasien - belum_ada_hasil</x:v>
      </x:c>
    </x:row>
    <x:row r="18" ht="18" customHeight="1">
      <x:c r="A18" s="6" t="str">
        <x:v>pending_share</x:v>
      </x:c>
      <x:c r="B18" s="9" t="str">
        <x:v>Share of cohort whose outcome is not yet available</x:v>
      </x:c>
      <x:c r="C18" s="6" t="str">
        <x:v>proportion</x:v>
      </x:c>
      <x:c r="D18" s="9" t="str">
        <x:v>Derived</x:v>
      </x:c>
    </x:row>
    <x:row r="19" ht="18" customHeight="1">
      <x:c r="A19" s="6" t="str">
        <x:v>treatment_success</x:v>
      </x:c>
      <x:c r="B19" s="9" t="str">
        <x:v>Cured plus treatment completed</x:v>
      </x:c>
      <x:c r="C19" s="6" t="str">
        <x:v>count</x:v>
      </x:c>
      <x:c r="D19" s="9" t="str">
        <x:v>Derived from SITB</x:v>
      </x:c>
    </x:row>
    <x:row r="20" ht="18" customHeight="1">
      <x:c r="A20" s="6" t="str">
        <x:v>treatment_success_all_share</x:v>
      </x:c>
      <x:c r="B20" s="9" t="str">
        <x:v>Treatment success divided by full cohort</x:v>
      </x:c>
      <x:c r="C20" s="6" t="str">
        <x:v>proportion</x:v>
      </x:c>
      <x:c r="D20" s="9" t="str">
        <x:v>Derived</x:v>
      </x:c>
    </x:row>
    <x:row r="21" ht="18" customHeight="1">
      <x:c r="A21" s="6" t="str">
        <x:v>treatment_success_known_share</x:v>
      </x:c>
      <x:c r="B21" s="9" t="str">
        <x:v>Treatment success divided by patients with known outcomes</x:v>
      </x:c>
      <x:c r="C21" s="6" t="str">
        <x:v>proportion</x:v>
      </x:c>
      <x:c r="D21" s="9" t="str">
        <x:v>Derived</x:v>
      </x:c>
    </x:row>
    <x:row r="22" ht="18" customHeight="1">
      <x:c r="A22" s="6" t="str">
        <x:v>adverse_known_count</x:v>
      </x:c>
      <x:c r="B22" s="9" t="str">
        <x:v>Lost to follow-up plus death plus failure</x:v>
      </x:c>
      <x:c r="C22" s="6" t="str">
        <x:v>count</x:v>
      </x:c>
      <x:c r="D22" s="9" t="str">
        <x:v>Derived</x:v>
      </x:c>
    </x:row>
    <x:row r="23" ht="18" customHeight="1">
      <x:c r="A23" s="6" t="str">
        <x:v>adverse_known_share</x:v>
      </x:c>
      <x:c r="B23" s="9" t="str">
        <x:v>Adverse known outcomes divided by known outcomes</x:v>
      </x:c>
      <x:c r="C23" s="6" t="str">
        <x:v>proportion</x:v>
      </x:c>
      <x:c r="D23" s="9" t="str">
        <x:v>Derived</x:v>
      </x:c>
    </x:row>
    <x:row r="24" ht="18" customHeight="1">
      <x:c r="A24" s="6" t="str">
        <x:v>cohort_maturity_flag</x:v>
      </x:c>
      <x:c r="B24" s="9" t="str">
        <x:v>Mature when pending outcome share is at most 5%</x:v>
      </x:c>
      <x:c r="C24" s="6" t="str">
        <x:v>quality flag</x:v>
      </x:c>
      <x:c r="D24" s="9" t="str">
        <x:v>Derived</x:v>
      </x:c>
    </x:row>
    <x:row r="25" ht="18" customHeight="1">
      <x:c r="A25" s="6" t="str">
        <x:v>treatment_started_per_100k</x:v>
      </x:c>
      <x:c r="B25" s="9" t="str">
        <x:v>Monthly treatment starts per 100,000 mid-year population</x:v>
      </x:c>
      <x:c r="C25" s="6" t="str">
        <x:v>rate</x:v>
      </x:c>
      <x:c r="D25" s="9" t="str">
        <x:v>Derived</x:v>
      </x:c>
    </x:row>
    <x:row r="26" ht="18" customHeight="1">
      <x:c r="A26" s="6" t="str">
        <x:v>log_population_offset</x:v>
      </x:c>
      <x:c r="B26" s="9" t="str">
        <x:v>Natural log of population for count models</x:v>
      </x:c>
      <x:c r="C26" s="6" t="str">
        <x:v>model offset</x:v>
      </x:c>
      <x:c r="D26" s="9" t="str">
        <x:v>Derived</x:v>
      </x:c>
    </x:row>
    <x:row r="27" ht="18" customHeight="1">
      <x:c r="A27" s="6" t="str">
        <x:v>population</x:v>
      </x:c>
      <x:c r="B27" s="9" t="str">
        <x:v>Official projected mid-year population</x:v>
      </x:c>
      <x:c r="C27" s="6" t="str">
        <x:v>persons</x:v>
      </x:c>
      <x:c r="D27" s="9" t="str">
        <x:v>BPS</x:v>
      </x:c>
    </x:row>
    <x:row r="28" ht="18" customHeight="1">
      <x:c r="A28" s="6" t="str">
        <x:v>population_density_per_km2</x:v>
      </x:c>
      <x:c r="B28" s="9" t="str">
        <x:v>Population density</x:v>
      </x:c>
      <x:c r="C28" s="6" t="str">
        <x:v>persons/km2</x:v>
      </x:c>
      <x:c r="D28" s="9" t="str">
        <x:v>BPS</x:v>
      </x:c>
    </x:row>
    <x:row r="29" ht="18" customHeight="1">
      <x:c r="A29" s="6" t="str">
        <x:v>population_reference_date</x:v>
      </x:c>
      <x:c r="B29" s="9" t="str">
        <x:v>Population reference date</x:v>
      </x:c>
      <x:c r="C29" s="6" t="str">
        <x:v>see source</x:v>
      </x:c>
      <x:c r="D29" s="9" t="str">
        <x:v>Source/derived</x:v>
      </x:c>
    </x:row>
    <x:row r="30" ht="18" customHeight="1">
      <x:c r="A30" s="6" t="str">
        <x:v>sanitation_access_pct</x:v>
      </x:c>
      <x:c r="B30" s="9" t="str">
        <x:v>Households/population with access to adequate sanitation as reported by BPS table</x:v>
      </x:c>
      <x:c r="C30" s="6" t="str">
        <x:v>percent</x:v>
      </x:c>
      <x:c r="D30" s="9" t="str">
        <x:v>BPS</x:v>
      </x:c>
    </x:row>
    <x:row r="31" ht="18" customHeight="1">
      <x:c r="A31" s="6" t="str">
        <x:v>sanitation_reference_period</x:v>
      </x:c>
      <x:c r="B31" s="9" t="str">
        <x:v>Sanitation reference period</x:v>
      </x:c>
      <x:c r="C31" s="6" t="str">
        <x:v>see source</x:v>
      </x:c>
      <x:c r="D31" s="9" t="str">
        <x:v>Source/derived</x:v>
      </x:c>
    </x:row>
    <x:row r="32" ht="18" customHeight="1">
      <x:c r="A32" s="6" t="str">
        <x:v>poverty_pct</x:v>
      </x:c>
      <x:c r="B32" s="9" t="str">
        <x:v>Percentage of poor population, March Susenas</x:v>
      </x:c>
      <x:c r="C32" s="6" t="str">
        <x:v>percent</x:v>
      </x:c>
      <x:c r="D32" s="9" t="str">
        <x:v>BPS</x:v>
      </x:c>
    </x:row>
    <x:row r="33" ht="18" customHeight="1">
      <x:c r="A33" s="6" t="str">
        <x:v>poverty_reference_period</x:v>
      </x:c>
      <x:c r="B33" s="9" t="str">
        <x:v>Poverty reference period</x:v>
      </x:c>
      <x:c r="C33" s="6" t="str">
        <x:v>see source</x:v>
      </x:c>
      <x:c r="D33" s="9" t="str">
        <x:v>Source/derived</x:v>
      </x:c>
    </x:row>
    <x:row r="34" ht="18" customHeight="1">
      <x:c r="A34" s="6" t="str">
        <x:v>temperature_c</x:v>
      </x:c>
      <x:c r="B34" s="9" t="str">
        <x:v>Monthly mean 2-metre air temperature</x:v>
      </x:c>
      <x:c r="C34" s="6" t="str">
        <x:v>degrees C</x:v>
      </x:c>
      <x:c r="D34" s="9" t="str">
        <x:v>NASA POWER/MERRA-2</x:v>
      </x:c>
    </x:row>
    <x:row r="35" ht="18" customHeight="1">
      <x:c r="A35" s="6" t="str">
        <x:v>relative_humidity_pct</x:v>
      </x:c>
      <x:c r="B35" s="9" t="str">
        <x:v>Monthly mean 2-metre relative humidity</x:v>
      </x:c>
      <x:c r="C35" s="6" t="str">
        <x:v>percent</x:v>
      </x:c>
      <x:c r="D35" s="9" t="str">
        <x:v>NASA POWER/MERRA-2</x:v>
      </x:c>
    </x:row>
    <x:row r="36" ht="18" customHeight="1">
      <x:c r="A36" s="6" t="str">
        <x:v>precipitation_mm</x:v>
      </x:c>
      <x:c r="B36" s="9" t="str">
        <x:v>Monthly precipitation total derived from monthly mean mm/day times calendar days</x:v>
      </x:c>
      <x:c r="C36" s="6" t="str">
        <x:v>mm/month</x:v>
      </x:c>
      <x:c r="D36" s="9" t="str">
        <x:v>NASA POWER/MERRA-2</x:v>
      </x:c>
    </x:row>
    <x:row r="37" ht="18" customHeight="1">
      <x:c r="A37" s="6" t="str">
        <x:v>temperature_c_anomaly</x:v>
      </x:c>
      <x:c r="B37" s="9" t="str">
        <x:v>Temperature c anomaly</x:v>
      </x:c>
      <x:c r="C37" s="6" t="str">
        <x:v>see source</x:v>
      </x:c>
      <x:c r="D37" s="9" t="str">
        <x:v>Source/derived</x:v>
      </x:c>
    </x:row>
    <x:row r="38" ht="18" customHeight="1">
      <x:c r="A38" s="6" t="str">
        <x:v>temperature_c_z</x:v>
      </x:c>
      <x:c r="B38" s="9" t="str">
        <x:v>Temperature anomaly z-score relative to province calendar-month 1991-2020 normal</x:v>
      </x:c>
      <x:c r="C38" s="6" t="str">
        <x:v>z-score</x:v>
      </x:c>
      <x:c r="D38" s="9" t="str">
        <x:v>Derived</x:v>
      </x:c>
    </x:row>
    <x:row r="39" ht="18" customHeight="1">
      <x:c r="A39" s="6" t="str">
        <x:v>temperature_c_z_lag1</x:v>
      </x:c>
      <x:c r="B39" s="9" t="str">
        <x:v>One-month lag of temperature_c_z</x:v>
      </x:c>
      <x:c r="C39" s="6" t="str">
        <x:v>same as base variable</x:v>
      </x:c>
      <x:c r="D39" s="9" t="str">
        <x:v>Derived</x:v>
      </x:c>
    </x:row>
    <x:row r="40" ht="18" customHeight="1">
      <x:c r="A40" s="6" t="str">
        <x:v>temperature_c_z_lag2</x:v>
      </x:c>
      <x:c r="B40" s="9" t="str">
        <x:v>Two-month lag of temperature_c_z</x:v>
      </x:c>
      <x:c r="C40" s="6" t="str">
        <x:v>same as base variable</x:v>
      </x:c>
      <x:c r="D40" s="9" t="str">
        <x:v>Derived</x:v>
      </x:c>
    </x:row>
    <x:row r="41" ht="18" customHeight="1">
      <x:c r="A41" s="6" t="str">
        <x:v>temperature_c_z_mean_lag0_2</x:v>
      </x:c>
      <x:c r="B41" s="9" t="str">
        <x:v>Mean of current and prior two months for temperature_c_z</x:v>
      </x:c>
      <x:c r="C41" s="6" t="str">
        <x:v>same as base variable</x:v>
      </x:c>
      <x:c r="D41" s="9" t="str">
        <x:v>Derived</x:v>
      </x:c>
    </x:row>
    <x:row r="42" ht="18" customHeight="1">
      <x:c r="A42" s="6" t="str">
        <x:v>relative_humidity_pct_anomaly</x:v>
      </x:c>
      <x:c r="B42" s="9" t="str">
        <x:v>Relative humidity pct anomaly</x:v>
      </x:c>
      <x:c r="C42" s="6" t="str">
        <x:v>see source</x:v>
      </x:c>
      <x:c r="D42" s="9" t="str">
        <x:v>Source/derived</x:v>
      </x:c>
    </x:row>
    <x:row r="43" ht="18" customHeight="1">
      <x:c r="A43" s="6" t="str">
        <x:v>relative_humidity_pct_z</x:v>
      </x:c>
      <x:c r="B43" s="9" t="str">
        <x:v>Humidity anomaly z-score relative to province calendar-month 1991-2020 normal</x:v>
      </x:c>
      <x:c r="C43" s="6" t="str">
        <x:v>z-score</x:v>
      </x:c>
      <x:c r="D43" s="9" t="str">
        <x:v>Derived</x:v>
      </x:c>
    </x:row>
    <x:row r="44" ht="18" customHeight="1">
      <x:c r="A44" s="6" t="str">
        <x:v>relative_humidity_pct_z_lag1</x:v>
      </x:c>
      <x:c r="B44" s="9" t="str">
        <x:v>One-month lag of relative_humidity_pct_z</x:v>
      </x:c>
      <x:c r="C44" s="6" t="str">
        <x:v>same as base variable</x:v>
      </x:c>
      <x:c r="D44" s="9" t="str">
        <x:v>Derived</x:v>
      </x:c>
    </x:row>
    <x:row r="45" ht="18" customHeight="1">
      <x:c r="A45" s="6" t="str">
        <x:v>relative_humidity_pct_z_lag2</x:v>
      </x:c>
      <x:c r="B45" s="9" t="str">
        <x:v>Two-month lag of relative_humidity_pct_z</x:v>
      </x:c>
      <x:c r="C45" s="6" t="str">
        <x:v>same as base variable</x:v>
      </x:c>
      <x:c r="D45" s="9" t="str">
        <x:v>Derived</x:v>
      </x:c>
    </x:row>
    <x:row r="46" ht="18" customHeight="1">
      <x:c r="A46" s="6" t="str">
        <x:v>relative_humidity_pct_z_mean_lag0_2</x:v>
      </x:c>
      <x:c r="B46" s="9" t="str">
        <x:v>Mean of current and prior two months for relative_humidity_pct_z</x:v>
      </x:c>
      <x:c r="C46" s="6" t="str">
        <x:v>same as base variable</x:v>
      </x:c>
      <x:c r="D46" s="9" t="str">
        <x:v>Derived</x:v>
      </x:c>
    </x:row>
    <x:row r="47" ht="18" customHeight="1">
      <x:c r="A47" s="6" t="str">
        <x:v>precipitation_mm_anomaly</x:v>
      </x:c>
      <x:c r="B47" s="9" t="str">
        <x:v>Precipitation mm anomaly</x:v>
      </x:c>
      <x:c r="C47" s="6" t="str">
        <x:v>see source</x:v>
      </x:c>
      <x:c r="D47" s="9" t="str">
        <x:v>Source/derived</x:v>
      </x:c>
    </x:row>
    <x:row r="48" ht="18" customHeight="1">
      <x:c r="A48" s="6" t="str">
        <x:v>precipitation_mm_z</x:v>
      </x:c>
      <x:c r="B48" s="9" t="str">
        <x:v>Precipitation anomaly z-score relative to province calendar-month 1991-2020 normal</x:v>
      </x:c>
      <x:c r="C48" s="6" t="str">
        <x:v>z-score</x:v>
      </x:c>
      <x:c r="D48" s="9" t="str">
        <x:v>Derived</x:v>
      </x:c>
    </x:row>
    <x:row r="49" ht="18" customHeight="1">
      <x:c r="A49" s="6" t="str">
        <x:v>precipitation_mm_z_lag1</x:v>
      </x:c>
      <x:c r="B49" s="9" t="str">
        <x:v>One-month lag of precipitation_mm_z</x:v>
      </x:c>
      <x:c r="C49" s="6" t="str">
        <x:v>same as base variable</x:v>
      </x:c>
      <x:c r="D49" s="9" t="str">
        <x:v>Derived</x:v>
      </x:c>
    </x:row>
    <x:row r="50" ht="18" customHeight="1">
      <x:c r="A50" s="6" t="str">
        <x:v>precipitation_mm_z_lag2</x:v>
      </x:c>
      <x:c r="B50" s="9" t="str">
        <x:v>Two-month lag of precipitation_mm_z</x:v>
      </x:c>
      <x:c r="C50" s="6" t="str">
        <x:v>same as base variable</x:v>
      </x:c>
      <x:c r="D50" s="9" t="str">
        <x:v>Derived</x:v>
      </x:c>
    </x:row>
    <x:row r="51" ht="18" customHeight="1">
      <x:c r="A51" s="6" t="str">
        <x:v>precipitation_mm_z_mean_lag0_2</x:v>
      </x:c>
      <x:c r="B51" s="9" t="str">
        <x:v>Mean of current and prior two months for precipitation_mm_z</x:v>
      </x:c>
      <x:c r="C51" s="6" t="str">
        <x:v>same as base variable</x:v>
      </x:c>
      <x:c r="D51" s="9" t="str">
        <x:v>Derived</x:v>
      </x:c>
    </x:row>
    <x:row r="52" ht="18" customHeight="1">
      <x:c r="A52" s="6" t="str">
        <x:v>heavy_rain_anomaly</x:v>
      </x:c>
      <x:c r="B52" s="9" t="str">
        <x:v>1 when precipitation anomaly is at least +1 SD</x:v>
      </x:c>
      <x:c r="C52" s="6" t="str">
        <x:v>binary</x:v>
      </x:c>
      <x:c r="D52" s="9" t="str">
        <x:v>Derived</x:v>
      </x:c>
    </x:row>
    <x:row r="53" ht="18" customHeight="1">
      <x:c r="A53" s="6" t="str">
        <x:v>hot_anomaly</x:v>
      </x:c>
      <x:c r="B53" s="9" t="str">
        <x:v>1 when temperature anomaly is at least +1 SD</x:v>
      </x:c>
      <x:c r="C53" s="6" t="str">
        <x:v>binary</x:v>
      </x:c>
      <x:c r="D53" s="9" t="str">
        <x:v>Derived</x:v>
      </x:c>
    </x:row>
    <x:row r="54" ht="18" customHeight="1">
      <x:c r="A54" s="6" t="str">
        <x:v>climate_spatial_method</x:v>
      </x:c>
      <x:c r="B54" s="9" t="str">
        <x:v>Climate spatial method</x:v>
      </x:c>
      <x:c r="C54" s="6" t="str">
        <x:v>see source</x:v>
      </x:c>
      <x:c r="D54" s="9" t="str">
        <x:v>Source/derived</x:v>
      </x:c>
    </x:row>
    <x:row r="55" ht="18" customHeight="1">
      <x:c r="A55" s="6" t="str">
        <x:v>climate_grid_cells</x:v>
      </x:c>
      <x:c r="B55" s="9" t="str">
        <x:v>Climate grid cells</x:v>
      </x:c>
      <x:c r="C55" s="6" t="str">
        <x:v>see source</x:v>
      </x:c>
      <x:c r="D55" s="9" t="str">
        <x:v>Source/derived</x:v>
      </x:c>
    </x:row>
    <x:row r="56" ht="18" customHeight="1">
      <x:c r="A56" s="6" t="str">
        <x:v>event_record_count</x:v>
      </x:c>
      <x:c r="B56" s="9" t="str">
        <x:v>Deduplicated BNPB operational disaster event records</x:v>
      </x:c>
      <x:c r="C56" s="6" t="str">
        <x:v>count</x:v>
      </x:c>
      <x:c r="D56" s="9" t="str">
        <x:v>BNPB operational table</x:v>
      </x:c>
    </x:row>
    <x:row r="57" ht="18" customHeight="1">
      <x:c r="A57" s="6" t="str">
        <x:v>hydrometeorological_events</x:v>
      </x:c>
      <x:c r="B57" s="9" t="str">
        <x:v>Flood, landslide, extreme weather, drought, wildfire, and coastal-wave events</x:v>
      </x:c>
      <x:c r="C57" s="6" t="str">
        <x:v>count</x:v>
      </x:c>
      <x:c r="D57" s="9" t="str">
        <x:v>Derived from BNPB</x:v>
      </x:c>
    </x:row>
    <x:row r="58" ht="18" customHeight="1">
      <x:c r="A58" s="6" t="str">
        <x:v>flood_events</x:v>
      </x:c>
      <x:c r="B58" s="9" t="str">
        <x:v>Flood events</x:v>
      </x:c>
      <x:c r="C58" s="6" t="str">
        <x:v>see source</x:v>
      </x:c>
      <x:c r="D58" s="9" t="str">
        <x:v>Source/derived</x:v>
      </x:c>
    </x:row>
    <x:row r="59" ht="18" customHeight="1">
      <x:c r="A59" s="6" t="str">
        <x:v>landslide_events</x:v>
      </x:c>
      <x:c r="B59" s="9" t="str">
        <x:v>Landslide events</x:v>
      </x:c>
      <x:c r="C59" s="6" t="str">
        <x:v>see source</x:v>
      </x:c>
      <x:c r="D59" s="9" t="str">
        <x:v>Source/derived</x:v>
      </x:c>
    </x:row>
    <x:row r="60" ht="18" customHeight="1">
      <x:c r="A60" s="6" t="str">
        <x:v>extreme_weather_events</x:v>
      </x:c>
      <x:c r="B60" s="9" t="str">
        <x:v>Extreme weather events</x:v>
      </x:c>
      <x:c r="C60" s="6" t="str">
        <x:v>see source</x:v>
      </x:c>
      <x:c r="D60" s="9" t="str">
        <x:v>Source/derived</x:v>
      </x:c>
    </x:row>
    <x:row r="61" ht="18" customHeight="1">
      <x:c r="A61" s="6" t="str">
        <x:v>drought_events</x:v>
      </x:c>
      <x:c r="B61" s="9" t="str">
        <x:v>Drought events</x:v>
      </x:c>
      <x:c r="C61" s="6" t="str">
        <x:v>see source</x:v>
      </x:c>
      <x:c r="D61" s="9" t="str">
        <x:v>Source/derived</x:v>
      </x:c>
    </x:row>
    <x:row r="62" ht="18" customHeight="1">
      <x:c r="A62" s="6" t="str">
        <x:v>wildfire_events</x:v>
      </x:c>
      <x:c r="B62" s="9" t="str">
        <x:v>Wildfire events</x:v>
      </x:c>
      <x:c r="C62" s="6" t="str">
        <x:v>see source</x:v>
      </x:c>
      <x:c r="D62" s="9" t="str">
        <x:v>Source/derived</x:v>
      </x:c>
    </x:row>
    <x:row r="63" ht="18" customHeight="1">
      <x:c r="A63" s="6" t="str">
        <x:v>coastal_wave_events</x:v>
      </x:c>
      <x:c r="B63" s="9" t="str">
        <x:v>Coastal wave events</x:v>
      </x:c>
      <x:c r="C63" s="6" t="str">
        <x:v>see source</x:v>
      </x:c>
      <x:c r="D63" s="9" t="str">
        <x:v>Source/derived</x:v>
      </x:c>
    </x:row>
    <x:row r="64" ht="18" customHeight="1">
      <x:c r="A64" s="6" t="str">
        <x:v>earthquake_events</x:v>
      </x:c>
      <x:c r="B64" s="9" t="str">
        <x:v>Earthquake events</x:v>
      </x:c>
      <x:c r="C64" s="6" t="str">
        <x:v>see source</x:v>
      </x:c>
      <x:c r="D64" s="9" t="str">
        <x:v>Source/derived</x:v>
      </x:c>
    </x:row>
    <x:row r="65" ht="18" customHeight="1">
      <x:c r="A65" s="6" t="str">
        <x:v>volcanic_eruption_events</x:v>
      </x:c>
      <x:c r="B65" s="9" t="str">
        <x:v>Volcanic eruption events</x:v>
      </x:c>
      <x:c r="C65" s="6" t="str">
        <x:v>see source</x:v>
      </x:c>
      <x:c r="D65" s="9" t="str">
        <x:v>Source/derived</x:v>
      </x:c>
    </x:row>
    <x:row r="66" ht="18" customHeight="1">
      <x:c r="A66" s="6" t="str">
        <x:v>tsunami_events</x:v>
      </x:c>
      <x:c r="B66" s="9" t="str">
        <x:v>Tsunami events</x:v>
      </x:c>
      <x:c r="C66" s="6" t="str">
        <x:v>see source</x:v>
      </x:c>
      <x:c r="D66" s="9" t="str">
        <x:v>Source/derived</x:v>
      </x:c>
    </x:row>
    <x:row r="67" ht="18" customHeight="1">
      <x:c r="A67" s="6" t="str">
        <x:v>has_any_impact_field</x:v>
      </x:c>
      <x:c r="B67" s="9" t="str">
        <x:v>Has any impact field</x:v>
      </x:c>
      <x:c r="C67" s="6" t="str">
        <x:v>see source</x:v>
      </x:c>
      <x:c r="D67" s="9" t="str">
        <x:v>Source/derived</x:v>
      </x:c>
    </x:row>
    <x:row r="68" ht="18" customHeight="1">
      <x:c r="A68" s="6" t="str">
        <x:v>deaths_reported_sum</x:v>
      </x:c>
      <x:c r="B68" s="9" t="str">
        <x:v>Deaths reported sum</x:v>
      </x:c>
      <x:c r="C68" s="6" t="str">
        <x:v>see source</x:v>
      </x:c>
      <x:c r="D68" s="9" t="str">
        <x:v>Source/derived</x:v>
      </x:c>
    </x:row>
    <x:row r="69" ht="18" customHeight="1">
      <x:c r="A69" s="6" t="str">
        <x:v>deaths_reported_records</x:v>
      </x:c>
      <x:c r="B69" s="9" t="str">
        <x:v>Deaths reported records</x:v>
      </x:c>
      <x:c r="C69" s="6" t="str">
        <x:v>see source</x:v>
      </x:c>
      <x:c r="D69" s="9" t="str">
        <x:v>Source/derived</x:v>
      </x:c>
    </x:row>
    <x:row r="70" ht="18" customHeight="1">
      <x:c r="A70" s="6" t="str">
        <x:v>injured_reported_sum</x:v>
      </x:c>
      <x:c r="B70" s="9" t="str">
        <x:v>Injured reported sum</x:v>
      </x:c>
      <x:c r="C70" s="6" t="str">
        <x:v>see source</x:v>
      </x:c>
      <x:c r="D70" s="9" t="str">
        <x:v>Source/derived</x:v>
      </x:c>
    </x:row>
    <x:row r="71" ht="18" customHeight="1">
      <x:c r="A71" s="6" t="str">
        <x:v>injured_reported_records</x:v>
      </x:c>
      <x:c r="B71" s="9" t="str">
        <x:v>Injured reported records</x:v>
      </x:c>
      <x:c r="C71" s="6" t="str">
        <x:v>see source</x:v>
      </x:c>
      <x:c r="D71" s="9" t="str">
        <x:v>Source/derived</x:v>
      </x:c>
    </x:row>
    <x:row r="72" ht="18" customHeight="1">
      <x:c r="A72" s="6" t="str">
        <x:v>houses_damaged_reported_sum</x:v>
      </x:c>
      <x:c r="B72" s="9" t="str">
        <x:v>Houses damaged reported sum</x:v>
      </x:c>
      <x:c r="C72" s="6" t="str">
        <x:v>see source</x:v>
      </x:c>
      <x:c r="D72" s="9" t="str">
        <x:v>Source/derived</x:v>
      </x:c>
    </x:row>
    <x:row r="73" ht="18" customHeight="1">
      <x:c r="A73" s="6" t="str">
        <x:v>houses_damaged_reported_records</x:v>
      </x:c>
      <x:c r="B73" s="9" t="str">
        <x:v>Houses damaged reported records</x:v>
      </x:c>
      <x:c r="C73" s="6" t="str">
        <x:v>see source</x:v>
      </x:c>
      <x:c r="D73" s="9" t="str">
        <x:v>Source/derived</x:v>
      </x:c>
    </x:row>
    <x:row r="74" ht="18" customHeight="1">
      <x:c r="A74" s="6" t="str">
        <x:v>houses_flooded_reported_sum</x:v>
      </x:c>
      <x:c r="B74" s="9" t="str">
        <x:v>Houses flooded reported sum</x:v>
      </x:c>
      <x:c r="C74" s="6" t="str">
        <x:v>see source</x:v>
      </x:c>
      <x:c r="D74" s="9" t="str">
        <x:v>Source/derived</x:v>
      </x:c>
    </x:row>
    <x:row r="75" ht="18" customHeight="1">
      <x:c r="A75" s="6" t="str">
        <x:v>houses_flooded_reported_records</x:v>
      </x:c>
      <x:c r="B75" s="9" t="str">
        <x:v>Houses flooded reported records</x:v>
      </x:c>
      <x:c r="C75" s="6" t="str">
        <x:v>see source</x:v>
      </x:c>
      <x:c r="D75" s="9" t="str">
        <x:v>Source/derived</x:v>
      </x:c>
    </x:row>
    <x:row r="76" ht="18" customHeight="1">
      <x:c r="A76" s="6" t="str">
        <x:v>disaster_quality_flag</x:v>
      </x:c>
      <x:c r="B76" s="9" t="str">
        <x:v>Warning on disagreement with formal annual BNPB compilation</x:v>
      </x:c>
      <x:c r="C76" s="6" t="str">
        <x:v>quality flag</x:v>
      </x:c>
      <x:c r="D76" s="9" t="str">
        <x:v>Derived QA</x:v>
      </x:c>
    </x:row>
    <x:row r="77" ht="18" customHeight="1">
      <x:c r="A77" s="6" t="str">
        <x:v>quality_flag</x:v>
      </x:c>
      <x:c r="B77" s="9" t="str">
        <x:v>Quality flag</x:v>
      </x:c>
      <x:c r="C77" s="6" t="str">
        <x:v>see source</x:v>
      </x:c>
      <x:c r="D77" s="9" t="str">
        <x:v>Source/derived</x:v>
      </x:c>
    </x:row>
    <x:row r="78" ht="18" customHeight="1">
      <x:c r="A78" s="6" t="str">
        <x:v>source_url</x:v>
      </x:c>
      <x:c r="B78" s="9" t="str">
        <x:v>Source url</x:v>
      </x:c>
      <x:c r="C78" s="6" t="str">
        <x:v>see source</x:v>
      </x:c>
      <x:c r="D78" s="9" t="str">
        <x:v>Source/derived</x:v>
      </x:c>
    </x:row>
    <x:row r="79" ht="18" customHeight="1">
      <x:c r="A79" s="6" t="str">
        <x:v>snapshot_retrieved_at</x:v>
      </x:c>
      <x:c r="B79" s="9" t="str">
        <x:v>Snapshot retrieved at</x:v>
      </x:c>
      <x:c r="C79" s="6" t="str">
        <x:v>see source</x:v>
      </x:c>
      <x:c r="D79" s="9" t="str">
        <x:v>Source/derived</x:v>
      </x:c>
    </x:row>
  </x:sheetData>
  <x:pageMargins left="0.7" right="0.7" top="0.75" bottom="0.75" header="0.3" footer="0.3"/>
  <x:tableParts count="1">
    <x:tablePart xmlns:r="http://schemas.openxmlformats.org/officeDocument/2006/relationships" r:id="R09323ea1a5cb4e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6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30" hidden="0" customWidth="1"/>
  </x:cols>
  <x:sheetData>
    <x:row r="1" ht="15" hidden="0" customHeight="1">
      <x:c r="A1" s="5" t="str">
        <x:v>dataset_id</x:v>
      </x:c>
      <x:c r="B1" s="5" t="str">
        <x:v>publisher</x:v>
      </x:c>
      <x:c r="C1" s="5" t="str">
        <x:v>source_url</x:v>
      </x:c>
      <x:c r="D1" s="5" t="str">
        <x:v>coverage</x:v>
      </x:c>
      <x:c r="E1" s="5" t="str">
        <x:v>role</x:v>
      </x:c>
      <x:c r="F1" s="5" t="str">
        <x:v>status</x:v>
      </x:c>
      <x:c r="G1" s="5" t="str">
        <x:v>local_files</x:v>
      </x:c>
      <x:c r="H1" s="5" t="str">
        <x:v>limitation</x:v>
      </x:c>
    </x:row>
    <x:row r="2" ht="52.79999923706055" hidden="0" customHeight="1">
      <x:c r="A2" s="6" t="str">
        <x:v>SITB_TREATMENT_OUTCOMES_PROVINCE_MONTH</x:v>
      </x:c>
      <x:c r="B2" s="6" t="str">
        <x:v>Kementerian Kesehatan RI - SITB</x:v>
      </x:c>
      <x:c r="C2" s="9" t="str">
        <x:v>https://tbdashboard.sitb.id/ss_data_tbc03so_2024_provinsi_bulanan_list.php ; https://tbdashboard.sitb.id/ss_data_tbc03so_2025_provinsi_bulanan_list.php</x:v>
      </x:c>
      <x:c r="D2" s="6" t="str">
        <x:v>38 provinces; monthly; 2024-2025</x:v>
      </x:c>
      <x:c r="E2" s="6" t="str">
        <x:v>Primary outcome</x:v>
      </x:c>
      <x:c r="F2" s="9" t="str">
        <x:v>Complete for public 2024-2025 endpoints</x:v>
      </x:c>
      <x:c r="G2" s="9" t="str">
        <x:v>data_sources/raw/sitb_dashboard/*.csv; data_sources/curated/tb_treatment_outcomes_province_month_official.csv</x:v>
      </x:c>
      <x:c r="H2" s="9" t="str">
        <x:v>Treatment-start cohorts, not TB incidence. 2025 outcomes are highly provisional due to pending outcomes.</x:v>
      </x:c>
    </x:row>
    <x:row r="3" ht="39.599998474121094" hidden="0" customHeight="1">
      <x:c r="A3" s="6" t="str">
        <x:v>BPS_PROVINCE_ANNUAL_COVARIATES</x:v>
      </x:c>
      <x:c r="B3" s="6" t="str">
        <x:v>Badan Pusat Statistik</x:v>
      </x:c>
      <x:c r="C3" s="9" t="str">
        <x:v>https://www.bps.go.id/</x:v>
      </x:c>
      <x:c r="D3" s="6" t="str">
        <x:v>38 provinces; annual; 2023-2026 depending on indicator</x:v>
      </x:c>
      <x:c r="E3" s="6" t="str">
        <x:v>Population offset and structural covariates</x:v>
      </x:c>
      <x:c r="F3" s="9" t="str">
        <x:v>Complete for population, density, sanitation, poverty in 2024-2025</x:v>
      </x:c>
      <x:c r="G3" s="9" t="str">
        <x:v>data_sources/raw/bps/*.pdf; data_sources/curated/bps_province_annual_official.csv</x:v>
      </x:c>
      <x:c r="H3" s="9" t="str">
        <x:v>Annual/survey-period measures repeated across months; not monthly observations.</x:v>
      </x:c>
    </x:row>
    <x:row r="4" ht="52.79999923706055" hidden="0" customHeight="1">
      <x:c r="A4" s="6" t="str">
        <x:v>NASA_POWER_MERRA2_MONTHLY</x:v>
      </x:c>
      <x:c r="B4" s="6" t="str">
        <x:v>NASA POWER</x:v>
      </x:c>
      <x:c r="C4" s="9" t="str">
        <x:v>https://power.larc.nasa.gov/docs/services/api/temporal/monthly/</x:v>
      </x:c>
      <x:c r="D4" s="6" t="str">
        <x:v>38 provinces; monthly 1981-2025; panel output 2024-2025</x:v>
      </x:c>
      <x:c r="E4" s="6" t="str">
        <x:v>Primary exposures: temperature, humidity, precipitation anomalies</x:v>
      </x:c>
      <x:c r="F4" s="9" t="str">
        <x:v>Complete, 912/912 panel rows</x:v>
      </x:c>
      <x:c r="G4" s="9" t="str">
        <x:v>data_sources/raw/nasa_power/*.nc; data_sources/curated/climate_province_month_official.csv</x:v>
      </x:c>
      <x:c r="H4" s="9" t="str">
        <x:v>Reanalysis grid, not station observations; small/island provinces may use nearest grid cell and are flagged.</x:v>
      </x:c>
    </x:row>
    <x:row r="5" ht="39.599998474121094" hidden="0" customHeight="1">
      <x:c r="A5" s="6" t="str">
        <x:v>BIG_PROVINCE_BOUNDARIES</x:v>
      </x:c>
      <x:c r="B5" s="6" t="str">
        <x:v>Badan Informasi Geospasial</x:v>
      </x:c>
      <x:c r="C5" s="9" t="str">
        <x:v>https://geoservices.big.go.id/rbi/rest/services/BATASWILAYAH/BATAS_WILAYAH/MapServer/12</x:v>
      </x:c>
      <x:c r="D5" s="6" t="str">
        <x:v>38 provinces; official polygon service snapshot</x:v>
      </x:c>
      <x:c r="E5" s="6" t="str">
        <x:v>Spatial aggregation support</x:v>
      </x:c>
      <x:c r="F5" s="9" t="str">
        <x:v>Complete; generalized export processed</x:v>
      </x:c>
      <x:c r="G5" s="9" t="str">
        <x:v>data_sources/raw/big/big_province_boundaries_generalized.geojson</x:v>
      </x:c>
      <x:c r="H5" s="9" t="str">
        <x:v>Generalized to 0.05 degrees and topology-repaired for grid aggregation; not suitable for legal boundary use.</x:v>
      </x:c>
    </x:row>
    <x:row r="6" ht="52.79999923706055" hidden="0" customHeight="1">
      <x:c r="A6" s="6" t="str">
        <x:v>BNPB_OPERATIONAL_EVENTS</x:v>
      </x:c>
      <x:c r="B6" s="6" t="str">
        <x:v>Badan Nasional Penanggulangan Bencana</x:v>
      </x:c>
      <x:c r="C6" s="9" t="str">
        <x:v>https://gis.bnpb.go.id/databencana/tabel/pencarian.php</x:v>
      </x:c>
      <x:c r="D6" s="6" t="str">
        <x:v>Dated event records; 2024-2025; 38 provinces after aggregation</x:v>
      </x:c>
      <x:c r="E6" s="6" t="str">
        <x:v>Secondary/sensitivity covariate</x:v>
      </x:c>
      <x:c r="F6" s="9" t="str">
        <x:v>Extracted; 7,143 deduplicated records and 912 panel rows</x:v>
      </x:c>
      <x:c r="G6" s="9" t="str">
        <x:v>data_sources/raw/bnpb/bnpb_event_search_2024_2025_raw.html; data_sources/curated/bnpb_disaster_province_month_official.csv</x:v>
      </x:c>
      <x:c r="H6" s="9" t="str">
        <x:v>Operational snapshot does not fully reconcile with formal annual BNPB workbooks; not a primary exposure.</x:v>
      </x:c>
    </x:row>
    <x:row r="7" ht="52.79999923706055" hidden="0" customHeight="1">
      <x:c r="A7" s="6" t="str">
        <x:v>BNPB_ANNUAL_BENCHMARKS</x:v>
      </x:c>
      <x:c r="B7" s="6" t="str">
        <x:v>Badan Nasional Penanggulangan Bencana</x:v>
      </x:c>
      <x:c r="C7" s="9" t="str">
        <x:v>https://data.bnpb.go.id/dataset/data-bencana-indonesia ; https://data.bnpb.go.id/dataset/kompilasi-data-kejadian-dan-dampak-bencana-2025</x:v>
      </x:c>
      <x:c r="D7" s="6" t="str">
        <x:v>38 provinces; annual 2024-2025</x:v>
      </x:c>
      <x:c r="E7" s="6" t="str">
        <x:v>Quality benchmark for operational event panel</x:v>
      </x:c>
      <x:c r="F7" s="9" t="str">
        <x:v>Complete and reconciled by province name</x:v>
      </x:c>
      <x:c r="G7" s="9" t="str">
        <x:v>data_sources/raw/bnpb/jumlah_kejadian_bencana_menurut_provinsi_*.xlsx; data_sources/curated/bnpb_disaster_annual_reconciliation.csv</x:v>
      </x:c>
      <x:c r="H7" s="9" t="str">
        <x:v>Annual only; formal threshold/compilation differs from operational event table.</x:v>
      </x:c>
    </x:row>
  </x:sheetData>
  <x:pageMargins left="0.7" right="0.7" top="0.75" bottom="0.75" header="0.3" footer="0.3"/>
  <x:tableParts count="1">
    <x:tablePart xmlns:r="http://schemas.openxmlformats.org/officeDocument/2006/relationships" r:id="Rf8cf698d0b7d4f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1" hidden="0" customWidth="1"/>
    <x:col min="4" max="4" width="11" hidden="0" customWidth="1"/>
    <x:col min="5" max="5" width="15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7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3" hidden="0" customWidth="1"/>
    <x:col min="35" max="35" width="11" hidden="0" customWidth="1"/>
    <x:col min="36" max="36" width="30" hidden="0" customWidth="1"/>
    <x:col min="37" max="37" width="30" hidden="0" customWidth="1"/>
    <x:col min="38" max="38" width="30" hidden="0" customWidth="1"/>
    <x:col min="39" max="39" width="30" hidden="0" customWidth="1"/>
  </x:cols>
  <x:sheetData>
    <x:row r="1" ht="34" customHeight="1">
      <x:c r="A1" s="5" t="str">
        <x:v>province_code</x:v>
      </x:c>
      <x:c r="B1" s="5" t="str">
        <x:v>province</x:v>
      </x:c>
      <x:c r="C1" s="5" t="str">
        <x:v>year</x:v>
      </x:c>
      <x:c r="D1" s="5" t="str">
        <x:v>month</x:v>
      </x:c>
      <x:c r="E1" s="5" t="str">
        <x:v>temperature_c</x:v>
      </x:c>
      <x:c r="F1" s="5" t="str">
        <x:v>climate_spatial_method</x:v>
      </x:c>
      <x:c r="G1" s="5" t="str">
        <x:v>climate_grid_cells</x:v>
      </x:c>
      <x:c r="H1" s="7" t="str">
        <x:v>relative_humidity_pct</x:v>
      </x:c>
      <x:c r="I1" s="5" t="str">
        <x:v>precipitation_mm_day</x:v>
      </x:c>
      <x:c r="J1" s="5" t="str">
        <x:v>days_in_month</x:v>
      </x:c>
      <x:c r="K1" s="5" t="str">
        <x:v>precipitation_mm</x:v>
      </x:c>
      <x:c r="L1" s="5" t="str">
        <x:v>temperature_c_mean_1991_2020</x:v>
      </x:c>
      <x:c r="M1" s="5" t="str">
        <x:v>temperature_c_std_1991_2020</x:v>
      </x:c>
      <x:c r="N1" s="5" t="str">
        <x:v>relative_humidity_pct_mean_1991_2020</x:v>
      </x:c>
      <x:c r="O1" s="5" t="str">
        <x:v>relative_humidity_pct_std_1991_2020</x:v>
      </x:c>
      <x:c r="P1" s="5" t="str">
        <x:v>precipitation_mm_mean_1991_2020</x:v>
      </x:c>
      <x:c r="Q1" s="5" t="str">
        <x:v>precipitation_mm_std_1991_2020</x:v>
      </x:c>
      <x:c r="R1" s="5" t="str">
        <x:v>temperature_c_anomaly</x:v>
      </x:c>
      <x:c r="S1" s="7" t="str">
        <x:v>temperature_c_z</x:v>
      </x:c>
      <x:c r="T1" s="5" t="str">
        <x:v>relative_humidity_pct_anomaly</x:v>
      </x:c>
      <x:c r="U1" s="7" t="str">
        <x:v>relative_humidity_pct_z</x:v>
      </x:c>
      <x:c r="V1" s="5" t="str">
        <x:v>precipitation_mm_anomaly</x:v>
      </x:c>
      <x:c r="W1" s="7" t="str">
        <x:v>precipitation_mm_z</x:v>
      </x:c>
      <x:c r="X1" s="5" t="str">
        <x:v>temperature_c_z_lag1</x:v>
      </x:c>
      <x:c r="Y1" s="5" t="str">
        <x:v>temperature_c_z_lag2</x:v>
      </x:c>
      <x:c r="Z1" s="5" t="str">
        <x:v>temperature_c_z_mean_lag0_2</x:v>
      </x:c>
      <x:c r="AA1" s="5" t="str">
        <x:v>relative_humidity_pct_z_lag1</x:v>
      </x:c>
      <x:c r="AB1" s="5" t="str">
        <x:v>relative_humidity_pct_z_lag2</x:v>
      </x:c>
      <x:c r="AC1" s="5" t="str">
        <x:v>relative_humidity_pct_z_mean_lag0_2</x:v>
      </x:c>
      <x:c r="AD1" s="5" t="str">
        <x:v>precipitation_mm_z_lag1</x:v>
      </x:c>
      <x:c r="AE1" s="5" t="str">
        <x:v>precipitation_mm_z_lag2</x:v>
      </x:c>
      <x:c r="AF1" s="5" t="str">
        <x:v>precipitation_mm_z_mean_lag0_2</x:v>
      </x:c>
      <x:c r="AG1" s="5" t="str">
        <x:v>heavy_rain_anomaly</x:v>
      </x:c>
      <x:c r="AH1" s="5" t="str">
        <x:v>hot_anomaly</x:v>
      </x:c>
      <x:c r="AI1" s="5" t="str">
        <x:v>period</x:v>
      </x:c>
      <x:c r="AJ1" s="5" t="str">
        <x:v>climate_source</x:v>
      </x:c>
      <x:c r="AK1" s="5" t="str">
        <x:v>boundary_source</x:v>
      </x:c>
      <x:c r="AL1" s="5" t="str">
        <x:v>source_url</x:v>
      </x:c>
      <x:c r="AM1" s="5" t="str">
        <x:v>boundary_source_url</x:v>
      </x:c>
    </x:row>
    <x:row r="2" ht="18" customHeight="1">
      <x:c r="A2" s="6" t="str">
        <x:v>11</x:v>
      </x:c>
      <x:c r="B2" s="6" t="str">
        <x:v>ACEH</x:v>
      </x:c>
      <x:c r="C2" s="6" t="str">
        <x:v>2024</x:v>
      </x:c>
      <x:c r="D2" s="6" t="str">
        <x:v>1</x:v>
      </x:c>
      <x:c r="E2" s="6" t="str">
        <x:v>24.322739960219867</x:v>
      </x:c>
      <x:c r="F2" s="9" t="str">
        <x:v>grid_cells_within_BIG_polygon</x:v>
      </x:c>
      <x:c r="G2" s="6" t="str">
        <x:v>14</x:v>
      </x:c>
      <x:c r="H2" s="8" t="str">
        <x:v>87.22432023953027</x:v>
      </x:c>
      <x:c r="I2" s="6" t="str">
        <x:v>6.446317531982108</x:v>
      </x:c>
      <x:c r="J2" s="6" t="str">
        <x:v>31</x:v>
      </x:c>
      <x:c r="K2" s="6" t="str">
        <x:v>199.83584349144533</x:v>
      </x:c>
      <x:c r="L2" s="6" t="str">
        <x:v>23.346635634710445</x:v>
      </x:c>
      <x:c r="M2" s="6" t="str">
        <x:v>0.35951365644207467</x:v>
      </x:c>
      <x:c r="N2" s="6" t="str">
        <x:v>86.7213369266646</x:v>
      </x:c>
      <x:c r="O2" s="6" t="str">
        <x:v>1.027065775094263</x:v>
      </x:c>
      <x:c r="P2" s="6" t="str">
        <x:v>173.75985234082475</x:v>
      </x:c>
      <x:c r="Q2" s="6" t="str">
        <x:v>66.85044697778999</x:v>
      </x:c>
      <x:c r="R2" s="6" t="str">
        <x:v>0.9761043255094215</x:v>
      </x:c>
      <x:c r="S2" s="8" t="str">
        <x:v>2.715068838189441</x:v>
      </x:c>
      <x:c r="T2" s="6" t="str">
        <x:v>0.5029833128656662</x:v>
      </x:c>
      <x:c r="U2" s="8" t="str">
        <x:v>0.4897284332344761</x:v>
      </x:c>
      <x:c r="V2" s="6" t="str">
        <x:v>26.07599115062058</x:v>
      </x:c>
      <x:c r="W2" s="8" t="str">
        <x:v>0.3900645744266141</x:v>
      </x:c>
      <x:c r="X2" s="6" t="str">
        <x:v>2.850296761368113</x:v>
      </x:c>
      <x:c r="Y2" s="6" t="str">
        <x:v>2.1614712374700775</x:v>
      </x:c>
      <x:c r="Z2" s="6" t="str">
        <x:v>2.57561227900921</x:v>
      </x:c>
      <x:c r="AA2" s="6" t="str">
        <x:v>1.5338545134907788</x:v>
      </x:c>
      <x:c r="AB2" s="6" t="str">
        <x:v>1.0381053616409894</x:v>
      </x:c>
      <x:c r="AC2" s="6" t="str">
        <x:v>1.0205627694554145</x:v>
      </x:c>
      <x:c r="AD2" s="6" t="str">
        <x:v>1.6248341245164195</x:v>
      </x:c>
      <x:c r="AE2" s="6" t="str">
        <x:v>0.06390384295988595</x:v>
      </x:c>
      <x:c r="AF2" s="6" t="str">
        <x:v>0.6929341806343069</x:v>
      </x:c>
      <x:c r="AG2" s="6" t="str">
        <x:v>0</x:v>
      </x:c>
      <x:c r="AH2" s="6" t="str">
        <x:v>1</x:v>
      </x:c>
      <x:c r="AI2" s="6" t="str">
        <x:v>2024-01</x:v>
      </x:c>
      <x:c r="AJ2" s="9" t="str">
        <x:v>NASA POWER (MERRA-2 meteorology)</x:v>
      </x:c>
      <x:c r="AK2" s="9" t="str">
        <x:v>Badan Informasi Geospasial (BIG)</x:v>
      </x:c>
      <x:c r="AL2" s="9" t="str">
        <x:v>https://power.larc.nasa.gov/docs/services/api/temporal/monthly/</x:v>
      </x:c>
      <x:c r="AM2" s="9" t="str">
        <x:v>https://geoservices.big.go.id/rbi/rest/services/BATASWILAYAH/BATAS_WILAYAH/MapServer/12</x:v>
      </x:c>
    </x:row>
    <x:row r="3" ht="18" customHeight="1">
      <x:c r="A3" s="6" t="str">
        <x:v>11</x:v>
      </x:c>
      <x:c r="B3" s="6" t="str">
        <x:v>ACEH</x:v>
      </x:c>
      <x:c r="C3" s="6" t="str">
        <x:v>2024</x:v>
      </x:c>
      <x:c r="D3" s="6" t="str">
        <x:v>2</x:v>
      </x:c>
      <x:c r="E3" s="6" t="str">
        <x:v>24.8777230854996</x:v>
      </x:c>
      <x:c r="F3" s="9" t="str">
        <x:v>grid_cells_within_BIG_polygon</x:v>
      </x:c>
      <x:c r="G3" s="6" t="str">
        <x:v>14</x:v>
      </x:c>
      <x:c r="H3" s="8" t="str">
        <x:v>85.79614804988248</x:v>
      </x:c>
      <x:c r="I3" s="6" t="str">
        <x:v>4.795257413727949</x:v>
      </x:c>
      <x:c r="J3" s="6" t="str">
        <x:v>29</x:v>
      </x:c>
      <x:c r="K3" s="6" t="str">
        <x:v>139.06246499811053</x:v>
      </x:c>
      <x:c r="L3" s="6" t="str">
        <x:v>23.683021264995073</x:v>
      </x:c>
      <x:c r="M3" s="6" t="str">
        <x:v>0.3697357015790557</x:v>
      </x:c>
      <x:c r="N3" s="6" t="str">
        <x:v>85.26300689034684</x:v>
      </x:c>
      <x:c r="O3" s="6" t="str">
        <x:v>1.4632102214271834</x:v>
      </x:c>
      <x:c r="P3" s="6" t="str">
        <x:v>136.3816149514554</x:v>
      </x:c>
      <x:c r="Q3" s="6" t="str">
        <x:v>62.167557772053804</x:v>
      </x:c>
      <x:c r="R3" s="6" t="str">
        <x:v>1.1947018205045268</x:v>
      </x:c>
      <x:c r="S3" s="8" t="str">
        <x:v>3.23123197300729</x:v>
      </x:c>
      <x:c r="T3" s="6" t="str">
        <x:v>0.5331411595356315</x:v>
      </x:c>
      <x:c r="U3" s="8" t="str">
        <x:v>0.364364020786854</x:v>
      </x:c>
      <x:c r="V3" s="6" t="str">
        <x:v>2.680850046655138</x:v>
      </x:c>
      <x:c r="W3" s="8" t="str">
        <x:v>0.043122975113239224</x:v>
      </x:c>
      <x:c r="X3" s="6" t="str">
        <x:v>2.715068838189441</x:v>
      </x:c>
      <x:c r="Y3" s="6" t="str">
        <x:v>2.850296761368113</x:v>
      </x:c>
      <x:c r="Z3" s="6" t="str">
        <x:v>2.932199190854947</x:v>
      </x:c>
      <x:c r="AA3" s="6" t="str">
        <x:v>0.4897284332344761</x:v>
      </x:c>
      <x:c r="AB3" s="6" t="str">
        <x:v>1.5338545134907788</x:v>
      </x:c>
      <x:c r="AC3" s="6" t="str">
        <x:v>0.7959823225040359</x:v>
      </x:c>
      <x:c r="AD3" s="6" t="str">
        <x:v>0.3900645744266141</x:v>
      </x:c>
      <x:c r="AE3" s="6" t="str">
        <x:v>1.6248341245164195</x:v>
      </x:c>
      <x:c r="AF3" s="6" t="str">
        <x:v>0.6860072246854245</x:v>
      </x:c>
      <x:c r="AG3" s="6" t="str">
        <x:v>0</x:v>
      </x:c>
      <x:c r="AH3" s="6" t="str">
        <x:v>1</x:v>
      </x:c>
      <x:c r="AI3" s="6" t="str">
        <x:v>2024-02</x:v>
      </x:c>
      <x:c r="AJ3" s="9" t="str">
        <x:v>NASA POWER (MERRA-2 meteorology)</x:v>
      </x:c>
      <x:c r="AK3" s="9" t="str">
        <x:v>Badan Informasi Geospasial (BIG)</x:v>
      </x:c>
      <x:c r="AL3" s="9" t="str">
        <x:v>https://power.larc.nasa.gov/docs/services/api/temporal/monthly/</x:v>
      </x:c>
      <x:c r="AM3" s="9" t="str">
        <x:v>https://geoservices.big.go.id/rbi/rest/services/BATASWILAYAH/BATAS_WILAYAH/MapServer/12</x:v>
      </x:c>
    </x:row>
    <x:row r="4" ht="18" customHeight="1">
      <x:c r="A4" s="6" t="str">
        <x:v>11</x:v>
      </x:c>
      <x:c r="B4" s="6" t="str">
        <x:v>ACEH</x:v>
      </x:c>
      <x:c r="C4" s="6" t="str">
        <x:v>2024</x:v>
      </x:c>
      <x:c r="D4" s="6" t="str">
        <x:v>3</x:v>
      </x:c>
      <x:c r="E4" s="6" t="str">
        <x:v>25.10402351437823</x:v>
      </x:c>
      <x:c r="F4" s="9" t="str">
        <x:v>grid_cells_within_BIG_polygon</x:v>
      </x:c>
      <x:c r="G4" s="6" t="str">
        <x:v>14</x:v>
      </x:c>
      <x:c r="H4" s="8" t="str">
        <x:v>84.56533484233103</x:v>
      </x:c>
      <x:c r="I4" s="6" t="str">
        <x:v>4.0460623300057135</x:v>
      </x:c>
      <x:c r="J4" s="6" t="str">
        <x:v>31</x:v>
      </x:c>
      <x:c r="K4" s="6" t="str">
        <x:v>125.42793223017712</x:v>
      </x:c>
      <x:c r="L4" s="6" t="str">
        <x:v>24.07666189109933</x:v>
      </x:c>
      <x:c r="M4" s="6" t="str">
        <x:v>0.4760364625660869</x:v>
      </x:c>
      <x:c r="N4" s="6" t="str">
        <x:v>85.14376500167239</x:v>
      </x:c>
      <x:c r="O4" s="6" t="str">
        <x:v>1.5346056406330089</x:v>
      </x:c>
      <x:c r="P4" s="6" t="str">
        <x:v>171.8366182714259</x:v>
      </x:c>
      <x:c r="Q4" s="6" t="str">
        <x:v>69.64062719147978</x:v>
      </x:c>
      <x:c r="R4" s="6" t="str">
        <x:v>1.0273616232788996</x:v>
      </x:c>
      <x:c r="S4" s="8" t="str">
        <x:v>2.1581574187424217</x:v>
      </x:c>
      <x:c r="T4" s="6" t="str">
        <x:v>-0.5784301593413659</x:v>
      </x:c>
      <x:c r="U4" s="8" t="str">
        <x:v>-0.3769243016093499</x:v>
      </x:c>
      <x:c r="V4" s="6" t="str">
        <x:v>-46.40868604124877</x:v>
      </x:c>
      <x:c r="W4" s="8" t="str">
        <x:v>-0.6664024709835851</x:v>
      </x:c>
      <x:c r="X4" s="6" t="str">
        <x:v>3.23123197300729</x:v>
      </x:c>
      <x:c r="Y4" s="6" t="str">
        <x:v>2.715068838189441</x:v>
      </x:c>
      <x:c r="Z4" s="6" t="str">
        <x:v>2.701486076646384</x:v>
      </x:c>
      <x:c r="AA4" s="6" t="str">
        <x:v>0.364364020786854</x:v>
      </x:c>
      <x:c r="AB4" s="6" t="str">
        <x:v>0.4897284332344761</x:v>
      </x:c>
      <x:c r="AC4" s="6" t="str">
        <x:v>0.15905605080399302</x:v>
      </x:c>
      <x:c r="AD4" s="6" t="str">
        <x:v>0.043122975113239224</x:v>
      </x:c>
      <x:c r="AE4" s="6" t="str">
        <x:v>0.3900645744266141</x:v>
      </x:c>
      <x:c r="AF4" s="6" t="str">
        <x:v>-0.0777383071479103</x:v>
      </x:c>
      <x:c r="AG4" s="6" t="str">
        <x:v>0</x:v>
      </x:c>
      <x:c r="AH4" s="6" t="str">
        <x:v>1</x:v>
      </x:c>
      <x:c r="AI4" s="6" t="str">
        <x:v>2024-03</x:v>
      </x:c>
      <x:c r="AJ4" s="9" t="str">
        <x:v>NASA POWER (MERRA-2 meteorology)</x:v>
      </x:c>
      <x:c r="AK4" s="9" t="str">
        <x:v>Badan Informasi Geospasial (BIG)</x:v>
      </x:c>
      <x:c r="AL4" s="9" t="str">
        <x:v>https://power.larc.nasa.gov/docs/services/api/temporal/monthly/</x:v>
      </x:c>
      <x:c r="AM4" s="9" t="str">
        <x:v>https://geoservices.big.go.id/rbi/rest/services/BATASWILAYAH/BATAS_WILAYAH/MapServer/12</x:v>
      </x:c>
    </x:row>
    <x:row r="5" ht="18" customHeight="1">
      <x:c r="A5" s="6" t="str">
        <x:v>11</x:v>
      </x:c>
      <x:c r="B5" s="6" t="str">
        <x:v>ACEH</x:v>
      </x:c>
      <x:c r="C5" s="6" t="str">
        <x:v>2024</x:v>
      </x:c>
      <x:c r="D5" s="6" t="str">
        <x:v>4</x:v>
      </x:c>
      <x:c r="E5" s="6" t="str">
        <x:v>25.760315865441708</x:v>
      </x:c>
      <x:c r="F5" s="9" t="str">
        <x:v>grid_cells_within_BIG_polygon</x:v>
      </x:c>
      <x:c r="G5" s="6" t="str">
        <x:v>14</x:v>
      </x:c>
      <x:c r="H5" s="8" t="str">
        <x:v>85.79355110728646</x:v>
      </x:c>
      <x:c r="I5" s="6" t="str">
        <x:v>6.333654766936825</x:v>
      </x:c>
      <x:c r="J5" s="6" t="str">
        <x:v>30</x:v>
      </x:c>
      <x:c r="K5" s="6" t="str">
        <x:v>190.00964300810475</x:v>
      </x:c>
      <x:c r="L5" s="6" t="str">
        <x:v>24.29626821949393</x:v>
      </x:c>
      <x:c r="M5" s="6" t="str">
        <x:v>0.4594332758638903</x:v>
      </x:c>
      <x:c r="N5" s="6" t="str">
        <x:v>86.37875087539716</x:v>
      </x:c>
      <x:c r="O5" s="6" t="str">
        <x:v>1.2426173686884523</x:v>
      </x:c>
      <x:c r="P5" s="6" t="str">
        <x:v>201.09450889644643</x:v>
      </x:c>
      <x:c r="Q5" s="6" t="str">
        <x:v>66.61521414192448</x:v>
      </x:c>
      <x:c r="R5" s="6" t="str">
        <x:v>1.4640476459477796</x:v>
      </x:c>
      <x:c r="S5" s="8" t="str">
        <x:v>3.186638240764937</x:v>
      </x:c>
      <x:c r="T5" s="6" t="str">
        <x:v>-0.585199768110698</x:v>
      </x:c>
      <x:c r="U5" s="8" t="str">
        <x:v>-0.470941242941389</x:v>
      </x:c>
      <x:c r="V5" s="6" t="str">
        <x:v>-11.084865888341682</x:v>
      </x:c>
      <x:c r="W5" s="8" t="str">
        <x:v>-0.16640141491889895</x:v>
      </x:c>
      <x:c r="X5" s="6" t="str">
        <x:v>2.1581574187424217</x:v>
      </x:c>
      <x:c r="Y5" s="6" t="str">
        <x:v>3.23123197300729</x:v>
      </x:c>
      <x:c r="Z5" s="6" t="str">
        <x:v>2.8586758775048824</x:v>
      </x:c>
      <x:c r="AA5" s="6" t="str">
        <x:v>-0.3769243016093499</x:v>
      </x:c>
      <x:c r="AB5" s="6" t="str">
        <x:v>0.364364020786854</x:v>
      </x:c>
      <x:c r="AC5" s="6" t="str">
        <x:v>-0.161167174587962</x:v>
      </x:c>
      <x:c r="AD5" s="6" t="str">
        <x:v>-0.6664024709835851</x:v>
      </x:c>
      <x:c r="AE5" s="6" t="str">
        <x:v>0.043122975113239224</x:v>
      </x:c>
      <x:c r="AF5" s="6" t="str">
        <x:v>-0.2632269702630813</x:v>
      </x:c>
      <x:c r="AG5" s="6" t="str">
        <x:v>0</x:v>
      </x:c>
      <x:c r="AH5" s="6" t="str">
        <x:v>1</x:v>
      </x:c>
      <x:c r="AI5" s="6" t="str">
        <x:v>2024-04</x:v>
      </x:c>
      <x:c r="AJ5" s="9" t="str">
        <x:v>NASA POWER (MERRA-2 meteorology)</x:v>
      </x:c>
      <x:c r="AK5" s="9" t="str">
        <x:v>Badan Informasi Geospasial (BIG)</x:v>
      </x:c>
      <x:c r="AL5" s="9" t="str">
        <x:v>https://power.larc.nasa.gov/docs/services/api/temporal/monthly/</x:v>
      </x:c>
      <x:c r="AM5" s="9" t="str">
        <x:v>https://geoservices.big.go.id/rbi/rest/services/BATASWILAYAH/BATAS_WILAYAH/MapServer/12</x:v>
      </x:c>
    </x:row>
    <x:row r="6" ht="18" customHeight="1">
      <x:c r="A6" s="6" t="str">
        <x:v>11</x:v>
      </x:c>
      <x:c r="B6" s="6" t="str">
        <x:v>ACEH</x:v>
      </x:c>
      <x:c r="C6" s="6" t="str">
        <x:v>2024</x:v>
      </x:c>
      <x:c r="D6" s="6" t="str">
        <x:v>5</x:v>
      </x:c>
      <x:c r="E6" s="6" t="str">
        <x:v>25.608906493068947</x:v>
      </x:c>
      <x:c r="F6" s="9" t="str">
        <x:v>grid_cells_within_BIG_polygon</x:v>
      </x:c>
      <x:c r="G6" s="6" t="str">
        <x:v>14</x:v>
      </x:c>
      <x:c r="H6" s="8" t="str">
        <x:v>86.95628706541424</x:v>
      </x:c>
      <x:c r="I6" s="6" t="str">
        <x:v>8.393537166320701</x:v>
      </x:c>
      <x:c r="J6" s="6" t="str">
        <x:v>31</x:v>
      </x:c>
      <x:c r="K6" s="6" t="str">
        <x:v>260.19965215594175</x:v>
      </x:c>
      <x:c r="L6" s="6" t="str">
        <x:v>24.315380308440414</x:v>
      </x:c>
      <x:c r="M6" s="6" t="str">
        <x:v>0.3226310854299701</x:v>
      </x:c>
      <x:c r="N6" s="6" t="str">
        <x:v>86.32532016988463</x:v>
      </x:c>
      <x:c r="O6" s="6" t="str">
        <x:v>0.744186761280428</x:v>
      </x:c>
      <x:c r="P6" s="6" t="str">
        <x:v>197.61070211489977</x:v>
      </x:c>
      <x:c r="Q6" s="6" t="str">
        <x:v>86.4029291494588</x:v>
      </x:c>
      <x:c r="R6" s="6" t="str">
        <x:v>1.2935261846285329</x:v>
      </x:c>
      <x:c r="S6" s="8" t="str">
        <x:v>4.009304258158051</x:v>
      </x:c>
      <x:c r="T6" s="6" t="str">
        <x:v>0.6309668955296104</x:v>
      </x:c>
      <x:c r="U6" s="8" t="str">
        <x:v>0.8478609515224181</x:v>
      </x:c>
      <x:c r="V6" s="6" t="str">
        <x:v>62.58895004104198</x:v>
      </x:c>
      <x:c r="W6" s="8" t="str">
        <x:v>0.7243845857676461</x:v>
      </x:c>
      <x:c r="X6" s="6" t="str">
        <x:v>3.186638240764937</x:v>
      </x:c>
      <x:c r="Y6" s="6" t="str">
        <x:v>2.1581574187424217</x:v>
      </x:c>
      <x:c r="Z6" s="6" t="str">
        <x:v>3.1180333058884693</x:v>
      </x:c>
      <x:c r="AA6" s="6" t="str">
        <x:v>-0.470941242941389</x:v>
      </x:c>
      <x:c r="AB6" s="6" t="str">
        <x:v>-0.3769243016093499</x:v>
      </x:c>
      <x:c r="AC6" s="6" t="str">
        <x:v>-1.531009440632521e-06</x:v>
      </x:c>
      <x:c r="AD6" s="6" t="str">
        <x:v>-0.16640141491889895</x:v>
      </x:c>
      <x:c r="AE6" s="6" t="str">
        <x:v>-0.6664024709835851</x:v>
      </x:c>
      <x:c r="AF6" s="6" t="str">
        <x:v>-0.03613976671161234</x:v>
      </x:c>
      <x:c r="AG6" s="6" t="str">
        <x:v>0</x:v>
      </x:c>
      <x:c r="AH6" s="6" t="str">
        <x:v>1</x:v>
      </x:c>
      <x:c r="AI6" s="6" t="str">
        <x:v>2024-05</x:v>
      </x:c>
      <x:c r="AJ6" s="9" t="str">
        <x:v>NASA POWER (MERRA-2 meteorology)</x:v>
      </x:c>
      <x:c r="AK6" s="9" t="str">
        <x:v>Badan Informasi Geospasial (BIG)</x:v>
      </x:c>
      <x:c r="AL6" s="9" t="str">
        <x:v>https://power.larc.nasa.gov/docs/services/api/temporal/monthly/</x:v>
      </x:c>
      <x:c r="AM6" s="9" t="str">
        <x:v>https://geoservices.big.go.id/rbi/rest/services/BATASWILAYAH/BATAS_WILAYAH/MapServer/12</x:v>
      </x:c>
    </x:row>
    <x:row r="7" ht="18" customHeight="1">
      <x:c r="A7" s="6" t="str">
        <x:v>11</x:v>
      </x:c>
      <x:c r="B7" s="6" t="str">
        <x:v>ACEH</x:v>
      </x:c>
      <x:c r="C7" s="6" t="str">
        <x:v>2024</x:v>
      </x:c>
      <x:c r="D7" s="6" t="str">
        <x:v>6</x:v>
      </x:c>
      <x:c r="E7" s="6" t="str">
        <x:v>24.746040867788924</x:v>
      </x:c>
      <x:c r="F7" s="9" t="str">
        <x:v>grid_cells_within_BIG_polygon</x:v>
      </x:c>
      <x:c r="G7" s="6" t="str">
        <x:v>14</x:v>
      </x:c>
      <x:c r="H7" s="8" t="str">
        <x:v>84.36717430599772</x:v>
      </x:c>
      <x:c r="I7" s="6" t="str">
        <x:v>6.727979483154037</x:v>
      </x:c>
      <x:c r="J7" s="6" t="str">
        <x:v>30</x:v>
      </x:c>
      <x:c r="K7" s="6" t="str">
        <x:v>201.83938449462113</x:v>
      </x:c>
      <x:c r="L7" s="6" t="str">
        <x:v>23.8852479738457</x:v>
      </x:c>
      <x:c r="M7" s="6" t="str">
        <x:v>0.24658445283197483</x:v>
      </x:c>
      <x:c r="N7" s="6" t="str">
        <x:v>85.58631066233858</x:v>
      </x:c>
      <x:c r="O7" s="6" t="str">
        <x:v>1.2456459660980175</x:v>
      </x:c>
      <x:c r="P7" s="6" t="str">
        <x:v>148.90698474236257</x:v>
      </x:c>
      <x:c r="Q7" s="6" t="str">
        <x:v>53.632056443820304</x:v>
      </x:c>
      <x:c r="R7" s="6" t="str">
        <x:v>0.8607928939432234</x:v>
      </x:c>
      <x:c r="S7" s="8" t="str">
        <x:v>3.490864424164554</x:v>
      </x:c>
      <x:c r="T7" s="6" t="str">
        <x:v>-1.2191363563408544</x:v>
      </x:c>
      <x:c r="U7" s="8" t="str">
        <x:v>-0.9787181827913718</x:v>
      </x:c>
      <x:c r="V7" s="6" t="str">
        <x:v>52.93239975225856</x:v>
      </x:c>
      <x:c r="W7" s="8" t="str">
        <x:v>0.9869545056081407</x:v>
      </x:c>
      <x:c r="X7" s="6" t="str">
        <x:v>4.009304258158051</x:v>
      </x:c>
      <x:c r="Y7" s="6" t="str">
        <x:v>3.186638240764937</x:v>
      </x:c>
      <x:c r="Z7" s="6" t="str">
        <x:v>3.5622689743625138</x:v>
      </x:c>
      <x:c r="AA7" s="6" t="str">
        <x:v>0.8478609515224181</x:v>
      </x:c>
      <x:c r="AB7" s="6" t="str">
        <x:v>-0.470941242941389</x:v>
      </x:c>
      <x:c r="AC7" s="6" t="str">
        <x:v>-0.2005994914034479</x:v>
      </x:c>
      <x:c r="AD7" s="6" t="str">
        <x:v>0.7243845857676461</x:v>
      </x:c>
      <x:c r="AE7" s="6" t="str">
        <x:v>-0.16640141491889895</x:v>
      </x:c>
      <x:c r="AF7" s="6" t="str">
        <x:v>0.5149792254856296</x:v>
      </x:c>
      <x:c r="AG7" s="6" t="str">
        <x:v>0</x:v>
      </x:c>
      <x:c r="AH7" s="6" t="str">
        <x:v>1</x:v>
      </x:c>
      <x:c r="AI7" s="6" t="str">
        <x:v>2024-06</x:v>
      </x:c>
      <x:c r="AJ7" s="9" t="str">
        <x:v>NASA POWER (MERRA-2 meteorology)</x:v>
      </x:c>
      <x:c r="AK7" s="9" t="str">
        <x:v>Badan Informasi Geospasial (BIG)</x:v>
      </x:c>
      <x:c r="AL7" s="9" t="str">
        <x:v>https://power.larc.nasa.gov/docs/services/api/temporal/monthly/</x:v>
      </x:c>
      <x:c r="AM7" s="9" t="str">
        <x:v>https://geoservices.big.go.id/rbi/rest/services/BATASWILAYAH/BATAS_WILAYAH/MapServer/12</x:v>
      </x:c>
    </x:row>
    <x:row r="8" ht="18" customHeight="1">
      <x:c r="A8" s="6" t="str">
        <x:v>11</x:v>
      </x:c>
      <x:c r="B8" s="6" t="str">
        <x:v>ACEH</x:v>
      </x:c>
      <x:c r="C8" s="6" t="str">
        <x:v>2024</x:v>
      </x:c>
      <x:c r="D8" s="6" t="str">
        <x:v>7</x:v>
      </x:c>
      <x:c r="E8" s="6" t="str">
        <x:v>24.5268984959976</x:v>
      </x:c>
      <x:c r="F8" s="9" t="str">
        <x:v>grid_cells_within_BIG_polygon</x:v>
      </x:c>
      <x:c r="G8" s="6" t="str">
        <x:v>14</x:v>
      </x:c>
      <x:c r="H8" s="8" t="str">
        <x:v>83.8520437214458</x:v>
      </x:c>
      <x:c r="I8" s="6" t="str">
        <x:v>2.795746533735942</x:v>
      </x:c>
      <x:c r="J8" s="6" t="str">
        <x:v>31</x:v>
      </x:c>
      <x:c r="K8" s="6" t="str">
        <x:v>86.6681425458142</x:v>
      </x:c>
      <x:c r="L8" s="6" t="str">
        <x:v>23.53132306876287</x:v>
      </x:c>
      <x:c r="M8" s="6" t="str">
        <x:v>0.241941876895492</x:v>
      </x:c>
      <x:c r="N8" s="6" t="str">
        <x:v>85.19191236950793</x:v>
      </x:c>
      <x:c r="O8" s="6" t="str">
        <x:v>1.3046673986184687</x:v>
      </x:c>
      <x:c r="P8" s="6" t="str">
        <x:v>171.57707250260594</x:v>
      </x:c>
      <x:c r="Q8" s="6" t="str">
        <x:v>54.8667016864937</x:v>
      </x:c>
      <x:c r="R8" s="6" t="str">
        <x:v>0.9955754272347299</x:v>
      </x:c>
      <x:c r="S8" s="8" t="str">
        <x:v>4.114936364095306</x:v>
      </x:c>
      <x:c r="T8" s="6" t="str">
        <x:v>-1.3398686480621365</x:v>
      </x:c>
      <x:c r="U8" s="8" t="str">
        <x:v>-1.0269810140737348</x:v>
      </x:c>
      <x:c r="V8" s="6" t="str">
        <x:v>-84.90892995679174</x:v>
      </x:c>
      <x:c r="W8" s="8" t="str">
        <x:v>-1.5475493759759467</x:v>
      </x:c>
      <x:c r="X8" s="6" t="str">
        <x:v>3.490864424164554</x:v>
      </x:c>
      <x:c r="Y8" s="6" t="str">
        <x:v>4.009304258158051</x:v>
      </x:c>
      <x:c r="Z8" s="6" t="str">
        <x:v>3.871701682139303</x:v>
      </x:c>
      <x:c r="AA8" s="6" t="str">
        <x:v>-0.9787181827913718</x:v>
      </x:c>
      <x:c r="AB8" s="6" t="str">
        <x:v>0.8478609515224181</x:v>
      </x:c>
      <x:c r="AC8" s="6" t="str">
        <x:v>-0.38594608178089646</x:v>
      </x:c>
      <x:c r="AD8" s="6" t="str">
        <x:v>0.9869545056081407</x:v>
      </x:c>
      <x:c r="AE8" s="6" t="str">
        <x:v>0.7243845857676461</x:v>
      </x:c>
      <x:c r="AF8" s="6" t="str">
        <x:v>0.054596571799947036</x:v>
      </x:c>
      <x:c r="AG8" s="6" t="str">
        <x:v>0</x:v>
      </x:c>
      <x:c r="AH8" s="6" t="str">
        <x:v>1</x:v>
      </x:c>
      <x:c r="AI8" s="6" t="str">
        <x:v>2024-07</x:v>
      </x:c>
      <x:c r="AJ8" s="9" t="str">
        <x:v>NASA POWER (MERRA-2 meteorology)</x:v>
      </x:c>
      <x:c r="AK8" s="9" t="str">
        <x:v>Badan Informasi Geospasial (BIG)</x:v>
      </x:c>
      <x:c r="AL8" s="9" t="str">
        <x:v>https://power.larc.nasa.gov/docs/services/api/temporal/monthly/</x:v>
      </x:c>
      <x:c r="AM8" s="9" t="str">
        <x:v>https://geoservices.big.go.id/rbi/rest/services/BATASWILAYAH/BATAS_WILAYAH/MapServer/12</x:v>
      </x:c>
    </x:row>
    <x:row r="9" ht="18" customHeight="1">
      <x:c r="A9" s="6" t="str">
        <x:v>11</x:v>
      </x:c>
      <x:c r="B9" s="6" t="str">
        <x:v>ACEH</x:v>
      </x:c>
      <x:c r="C9" s="6" t="str">
        <x:v>2024</x:v>
      </x:c>
      <x:c r="D9" s="6" t="str">
        <x:v>8</x:v>
      </x:c>
      <x:c r="E9" s="6" t="str">
        <x:v>24.268929228305417</x:v>
      </x:c>
      <x:c r="F9" s="9" t="str">
        <x:v>grid_cells_within_BIG_polygon</x:v>
      </x:c>
      <x:c r="G9" s="6" t="str">
        <x:v>14</x:v>
      </x:c>
      <x:c r="H9" s="8" t="str">
        <x:v>87.03074778215715</x:v>
      </x:c>
      <x:c r="I9" s="6" t="str">
        <x:v>8.793089033768174</x:v>
      </x:c>
      <x:c r="J9" s="6" t="str">
        <x:v>31</x:v>
      </x:c>
      <x:c r="K9" s="6" t="str">
        <x:v>272.5857600468134</x:v>
      </x:c>
      <x:c r="L9" s="6" t="str">
        <x:v>23.483929606922217</x:v>
      </x:c>
      <x:c r="M9" s="6" t="str">
        <x:v>0.20940935479765344</x:v>
      </x:c>
      <x:c r="N9" s="6" t="str">
        <x:v>85.5109628053032</x:v>
      </x:c>
      <x:c r="O9" s="6" t="str">
        <x:v>1.2980222190443864</x:v>
      </x:c>
      <x:c r="P9" s="6" t="str">
        <x:v>193.16581537175574</x:v>
      </x:c>
      <x:c r="Q9" s="6" t="str">
        <x:v>88.3635539407072</x:v>
      </x:c>
      <x:c r="R9" s="6" t="str">
        <x:v>0.7849996213832</x:v>
      </x:c>
      <x:c r="S9" s="8" t="str">
        <x:v>3.74863683688689</x:v>
      </x:c>
      <x:c r="T9" s="6" t="str">
        <x:v>1.5197849768539555</x:v>
      </x:c>
      <x:c r="U9" s="8" t="str">
        <x:v>1.1708466577504602</x:v>
      </x:c>
      <x:c r="V9" s="6" t="str">
        <x:v>79.41994467505765</x:v>
      </x:c>
      <x:c r="W9" s="8" t="str">
        <x:v>0.8987862204857582</x:v>
      </x:c>
      <x:c r="X9" s="6" t="str">
        <x:v>4.114936364095306</x:v>
      </x:c>
      <x:c r="Y9" s="6" t="str">
        <x:v>3.490864424164554</x:v>
      </x:c>
      <x:c r="Z9" s="6" t="str">
        <x:v>3.7848125417155827</x:v>
      </x:c>
      <x:c r="AA9" s="6" t="str">
        <x:v>-1.0269810140737348</x:v>
      </x:c>
      <x:c r="AB9" s="6" t="str">
        <x:v>-0.9787181827913718</x:v>
      </x:c>
      <x:c r="AC9" s="6" t="str">
        <x:v>-0.2782841797048825</x:v>
      </x:c>
      <x:c r="AD9" s="6" t="str">
        <x:v>-1.5475493759759467</x:v>
      </x:c>
      <x:c r="AE9" s="6" t="str">
        <x:v>0.9869545056081407</x:v>
      </x:c>
      <x:c r="AF9" s="6" t="str">
        <x:v>0.1127304500393177</x:v>
      </x:c>
      <x:c r="AG9" s="6" t="str">
        <x:v>0</x:v>
      </x:c>
      <x:c r="AH9" s="6" t="str">
        <x:v>1</x:v>
      </x:c>
      <x:c r="AI9" s="6" t="str">
        <x:v>2024-08</x:v>
      </x:c>
      <x:c r="AJ9" s="9" t="str">
        <x:v>NASA POWER (MERRA-2 meteorology)</x:v>
      </x:c>
      <x:c r="AK9" s="9" t="str">
        <x:v>Badan Informasi Geospasial (BIG)</x:v>
      </x:c>
      <x:c r="AL9" s="9" t="str">
        <x:v>https://power.larc.nasa.gov/docs/services/api/temporal/monthly/</x:v>
      </x:c>
      <x:c r="AM9" s="9" t="str">
        <x:v>https://geoservices.big.go.id/rbi/rest/services/BATASWILAYAH/BATAS_WILAYAH/MapServer/12</x:v>
      </x:c>
    </x:row>
    <x:row r="10" ht="18" customHeight="1">
      <x:c r="A10" s="6" t="str">
        <x:v>11</x:v>
      </x:c>
      <x:c r="B10" s="6" t="str">
        <x:v>ACEH</x:v>
      </x:c>
      <x:c r="C10" s="6" t="str">
        <x:v>2024</x:v>
      </x:c>
      <x:c r="D10" s="6" t="str">
        <x:v>9</x:v>
      </x:c>
      <x:c r="E10" s="6" t="str">
        <x:v>24.038281087689146</x:v>
      </x:c>
      <x:c r="F10" s="9" t="str">
        <x:v>grid_cells_within_BIG_polygon</x:v>
      </x:c>
      <x:c r="G10" s="6" t="str">
        <x:v>14</x:v>
      </x:c>
      <x:c r="H10" s="8" t="str">
        <x:v>86.19423821019035</x:v>
      </x:c>
      <x:c r="I10" s="6" t="str">
        <x:v>10.434767621565893</x:v>
      </x:c>
      <x:c r="J10" s="6" t="str">
        <x:v>30</x:v>
      </x:c>
      <x:c r="K10" s="6" t="str">
        <x:v>313.0430286469768</x:v>
      </x:c>
      <x:c r="L10" s="6" t="str">
        <x:v>23.432511313829725</x:v>
      </x:c>
      <x:c r="M10" s="6" t="str">
        <x:v>0.19457647150500135</x:v>
      </x:c>
      <x:c r="N10" s="6" t="str">
        <x:v>86.04113964470794</x:v>
      </x:c>
      <x:c r="O10" s="6" t="str">
        <x:v>1.4012978096743782</x:v>
      </x:c>
      <x:c r="P10" s="6" t="str">
        <x:v>214.96345745776853</x:v>
      </x:c>
      <x:c r="Q10" s="6" t="str">
        <x:v>50.78150745745534</x:v>
      </x:c>
      <x:c r="R10" s="6" t="str">
        <x:v>0.6057697738594214</x:v>
      </x:c>
      <x:c r="S10" s="8" t="str">
        <x:v>3.1132735071920083</x:v>
      </x:c>
      <x:c r="T10" s="6" t="str">
        <x:v>0.1530985654824093</x:v>
      </x:c>
      <x:c r="U10" s="8" t="str">
        <x:v>0.10925483821171822</x:v>
      </x:c>
      <x:c r="V10" s="6" t="str">
        <x:v>98.07957118920825</x:v>
      </x:c>
      <x:c r="W10" s="8" t="str">
        <x:v>1.9314033021051835</x:v>
      </x:c>
      <x:c r="X10" s="6" t="str">
        <x:v>3.74863683688689</x:v>
      </x:c>
      <x:c r="Y10" s="6" t="str">
        <x:v>4.114936364095306</x:v>
      </x:c>
      <x:c r="Z10" s="6" t="str">
        <x:v>3.658948902724734</x:v>
      </x:c>
      <x:c r="AA10" s="6" t="str">
        <x:v>1.1708466577504602</x:v>
      </x:c>
      <x:c r="AB10" s="6" t="str">
        <x:v>-1.0269810140737348</x:v>
      </x:c>
      <x:c r="AC10" s="6" t="str">
        <x:v>0.0843734939628142</x:v>
      </x:c>
      <x:c r="AD10" s="6" t="str">
        <x:v>0.8987862204857582</x:v>
      </x:c>
      <x:c r="AE10" s="6" t="str">
        <x:v>-1.5475493759759467</x:v>
      </x:c>
      <x:c r="AF10" s="6" t="str">
        <x:v>0.42754671553833196</x:v>
      </x:c>
      <x:c r="AG10" s="6" t="str">
        <x:v>1</x:v>
      </x:c>
      <x:c r="AH10" s="6" t="str">
        <x:v>1</x:v>
      </x:c>
      <x:c r="AI10" s="6" t="str">
        <x:v>2024-09</x:v>
      </x:c>
      <x:c r="AJ10" s="9" t="str">
        <x:v>NASA POWER (MERRA-2 meteorology)</x:v>
      </x:c>
      <x:c r="AK10" s="9" t="str">
        <x:v>Badan Informasi Geospasial (BIG)</x:v>
      </x:c>
      <x:c r="AL10" s="9" t="str">
        <x:v>https://power.larc.nasa.gov/docs/services/api/temporal/monthly/</x:v>
      </x:c>
      <x:c r="AM10" s="9" t="str">
        <x:v>https://geoservices.big.go.id/rbi/rest/services/BATASWILAYAH/BATAS_WILAYAH/MapServer/12</x:v>
      </x:c>
    </x:row>
    <x:row r="11" ht="18" customHeight="1">
      <x:c r="A11" s="6" t="str">
        <x:v>11</x:v>
      </x:c>
      <x:c r="B11" s="6" t="str">
        <x:v>ACEH</x:v>
      </x:c>
      <x:c r="C11" s="6" t="str">
        <x:v>2024</x:v>
      </x:c>
      <x:c r="D11" s="6" t="str">
        <x:v>10</x:v>
      </x:c>
      <x:c r="E11" s="6" t="str">
        <x:v>24.08759978555317</x:v>
      </x:c>
      <x:c r="F11" s="9" t="str">
        <x:v>grid_cells_within_BIG_polygon</x:v>
      </x:c>
      <x:c r="G11" s="6" t="str">
        <x:v>14</x:v>
      </x:c>
      <x:c r="H11" s="8" t="str">
        <x:v>86.17102577936939</x:v>
      </x:c>
      <x:c r="I11" s="6" t="str">
        <x:v>6.95615205148769</x:v>
      </x:c>
      <x:c r="J11" s="6" t="str">
        <x:v>31</x:v>
      </x:c>
      <x:c r="K11" s="6" t="str">
        <x:v>215.6407135961184</x:v>
      </x:c>
      <x:c r="L11" s="6" t="str">
        <x:v>23.37342326669284</x:v>
      </x:c>
      <x:c r="M11" s="6" t="str">
        <x:v>0.22108188853168612</x:v>
      </x:c>
      <x:c r="N11" s="6" t="str">
        <x:v>87.31760806036148</x:v>
      </x:c>
      <x:c r="O11" s="6" t="str">
        <x:v>1.508187234659793</x:v>
      </x:c>
      <x:c r="P11" s="6" t="str">
        <x:v>276.9836664253541</x:v>
      </x:c>
      <x:c r="Q11" s="6" t="str">
        <x:v>78.64730289055296</x:v>
      </x:c>
      <x:c r="R11" s="6" t="str">
        <x:v>0.7141765188603308</x:v>
      </x:c>
      <x:c r="S11" s="8" t="str">
        <x:v>3.2303709887930188</x:v>
      </x:c>
      <x:c r="T11" s="6" t="str">
        <x:v>-1.1465822809920923</x:v>
      </x:c>
      <x:c r="U11" s="8" t="str">
        <x:v>-0.7602386856501478</x:v>
      </x:c>
      <x:c r="V11" s="6" t="str">
        <x:v>-61.34295282923571</x:v>
      </x:c>
      <x:c r="W11" s="8" t="str">
        <x:v>-0.7799752893573693</x:v>
      </x:c>
      <x:c r="X11" s="6" t="str">
        <x:v>3.1132735071920083</x:v>
      </x:c>
      <x:c r="Y11" s="6" t="str">
        <x:v>3.74863683688689</x:v>
      </x:c>
      <x:c r="Z11" s="6" t="str">
        <x:v>3.3640937776239714</x:v>
      </x:c>
      <x:c r="AA11" s="6" t="str">
        <x:v>0.10925483821171822</x:v>
      </x:c>
      <x:c r="AB11" s="6" t="str">
        <x:v>1.1708466577504602</x:v>
      </x:c>
      <x:c r="AC11" s="6" t="str">
        <x:v>0.17328760343734315</x:v>
      </x:c>
      <x:c r="AD11" s="6" t="str">
        <x:v>1.9314033021051835</x:v>
      </x:c>
      <x:c r="AE11" s="6" t="str">
        <x:v>0.8987862204857582</x:v>
      </x:c>
      <x:c r="AF11" s="6" t="str">
        <x:v>0.6834047444111911</x:v>
      </x:c>
      <x:c r="AG11" s="6" t="str">
        <x:v>0</x:v>
      </x:c>
      <x:c r="AH11" s="6" t="str">
        <x:v>1</x:v>
      </x:c>
      <x:c r="AI11" s="6" t="str">
        <x:v>2024-10</x:v>
      </x:c>
      <x:c r="AJ11" s="9" t="str">
        <x:v>NASA POWER (MERRA-2 meteorology)</x:v>
      </x:c>
      <x:c r="AK11" s="9" t="str">
        <x:v>Badan Informasi Geospasial (BIG)</x:v>
      </x:c>
      <x:c r="AL11" s="9" t="str">
        <x:v>https://power.larc.nasa.gov/docs/services/api/temporal/monthly/</x:v>
      </x:c>
      <x:c r="AM11" s="9" t="str">
        <x:v>https://geoservices.big.go.id/rbi/rest/services/BATASWILAYAH/BATAS_WILAYAH/MapServer/12</x:v>
      </x:c>
    </x:row>
    <x:row r="12" ht="18" customHeight="1">
      <x:c r="A12" s="6" t="str">
        <x:v>11</x:v>
      </x:c>
      <x:c r="B12" s="6" t="str">
        <x:v>ACEH</x:v>
      </x:c>
      <x:c r="C12" s="6" t="str">
        <x:v>2024</x:v>
      </x:c>
      <x:c r="D12" s="6" t="str">
        <x:v>11</x:v>
      </x:c>
      <x:c r="E12" s="6" t="str">
        <x:v>23.90543796011326</x:v>
      </x:c>
      <x:c r="F12" s="9" t="str">
        <x:v>grid_cells_within_BIG_polygon</x:v>
      </x:c>
      <x:c r="G12" s="6" t="str">
        <x:v>14</x:v>
      </x:c>
      <x:c r="H12" s="8" t="str">
        <x:v>87.76597631754721</x:v>
      </x:c>
      <x:c r="I12" s="6" t="str">
        <x:v>7.7415628818688145</x:v>
      </x:c>
      <x:c r="J12" s="6" t="str">
        <x:v>30</x:v>
      </x:c>
      <x:c r="K12" s="6" t="str">
        <x:v>232.24688645606443</x:v>
      </x:c>
      <x:c r="L12" s="6" t="str">
        <x:v>23.324302970923444</x:v>
      </x:c>
      <x:c r="M12" s="6" t="str">
        <x:v>0.26292267713974826</x:v>
      </x:c>
      <x:c r="N12" s="6" t="str">
        <x:v>88.73579896195102</x:v>
      </x:c>
      <x:c r="O12" s="6" t="str">
        <x:v>0.8282365316682362</x:v>
      </x:c>
      <x:c r="P12" s="6" t="str">
        <x:v>314.2490905002244</x:v>
      </x:c>
      <x:c r="Q12" s="6" t="str">
        <x:v>67.706289717191</x:v>
      </x:c>
      <x:c r="R12" s="6" t="str">
        <x:v>0.5811349891898168</x:v>
      </x:c>
      <x:c r="S12" s="8" t="str">
        <x:v>2.210288574237105</x:v>
      </x:c>
      <x:c r="T12" s="6" t="str">
        <x:v>-0.9698226444038056</x:v>
      </x:c>
      <x:c r="U12" s="8" t="str">
        <x:v>-1.1709488863650899</x:v>
      </x:c>
      <x:c r="V12" s="6" t="str">
        <x:v>-82.00220404415995</x:v>
      </x:c>
      <x:c r="W12" s="8" t="str">
        <x:v>-1.211146030696453</x:v>
      </x:c>
      <x:c r="X12" s="6" t="str">
        <x:v>3.2303709887930188</x:v>
      </x:c>
      <x:c r="Y12" s="6" t="str">
        <x:v>3.1132735071920083</x:v>
      </x:c>
      <x:c r="Z12" s="6" t="str">
        <x:v>2.8513110234073764</x:v>
      </x:c>
      <x:c r="AA12" s="6" t="str">
        <x:v>-0.7602386856501478</x:v>
      </x:c>
      <x:c r="AB12" s="6" t="str">
        <x:v>0.10925483821171822</x:v>
      </x:c>
      <x:c r="AC12" s="6" t="str">
        <x:v>-0.6073109112678402</x:v>
      </x:c>
      <x:c r="AD12" s="6" t="str">
        <x:v>-0.7799752893573693</x:v>
      </x:c>
      <x:c r="AE12" s="6" t="str">
        <x:v>1.9314033021051835</x:v>
      </x:c>
      <x:c r="AF12" s="6" t="str">
        <x:v>-0.019906005982879282</x:v>
      </x:c>
      <x:c r="AG12" s="6" t="str">
        <x:v>0</x:v>
      </x:c>
      <x:c r="AH12" s="6" t="str">
        <x:v>1</x:v>
      </x:c>
      <x:c r="AI12" s="6" t="str">
        <x:v>2024-11</x:v>
      </x:c>
      <x:c r="AJ12" s="9" t="str">
        <x:v>NASA POWER (MERRA-2 meteorology)</x:v>
      </x:c>
      <x:c r="AK12" s="9" t="str">
        <x:v>Badan Informasi Geospasial (BIG)</x:v>
      </x:c>
      <x:c r="AL12" s="9" t="str">
        <x:v>https://power.larc.nasa.gov/docs/services/api/temporal/monthly/</x:v>
      </x:c>
      <x:c r="AM12" s="9" t="str">
        <x:v>https://geoservices.big.go.id/rbi/rest/services/BATASWILAYAH/BATAS_WILAYAH/MapServer/12</x:v>
      </x:c>
    </x:row>
    <x:row r="13" ht="18" customHeight="1">
      <x:c r="A13" s="6" t="str">
        <x:v>11</x:v>
      </x:c>
      <x:c r="B13" s="6" t="str">
        <x:v>ACEH</x:v>
      </x:c>
      <x:c r="C13" s="6" t="str">
        <x:v>2024</x:v>
      </x:c>
      <x:c r="D13" s="6" t="str">
        <x:v>12</x:v>
      </x:c>
      <x:c r="E13" s="6" t="str">
        <x:v>23.625513214115436</x:v>
      </x:c>
      <x:c r="F13" s="9" t="str">
        <x:v>grid_cells_within_BIG_polygon</x:v>
      </x:c>
      <x:c r="G13" s="6" t="str">
        <x:v>14</x:v>
      </x:c>
      <x:c r="H13" s="8" t="str">
        <x:v>88.72668285849802</x:v>
      </x:c>
      <x:c r="I13" s="6" t="str">
        <x:v>8.595968047428459</x:v>
      </x:c>
      <x:c r="J13" s="6" t="str">
        <x:v>31</x:v>
      </x:c>
      <x:c r="K13" s="6" t="str">
        <x:v>266.4750094702822</x:v>
      </x:c>
      <x:c r="L13" s="6" t="str">
        <x:v>23.23211132043248</x:v>
      </x:c>
      <x:c r="M13" s="6" t="str">
        <x:v>0.2951527825685718</x:v>
      </x:c>
      <x:c r="N13" s="6" t="str">
        <x:v>88.45794937368983</x:v>
      </x:c>
      <x:c r="O13" s="6" t="str">
        <x:v>0.9779145250792339</x:v>
      </x:c>
      <x:c r="P13" s="6" t="str">
        <x:v>266.3223741573298</x:v>
      </x:c>
      <x:c r="Q13" s="6" t="str">
        <x:v>86.55902084048182</x:v>
      </x:c>
      <x:c r="R13" s="6" t="str">
        <x:v>0.39340189368295597</x:v>
      </x:c>
      <x:c r="S13" s="8" t="str">
        <x:v>1.3328754357637076</x:v>
      </x:c>
      <x:c r="T13" s="6" t="str">
        <x:v>0.2687334848081946</x:v>
      </x:c>
      <x:c r="U13" s="8" t="str">
        <x:v>0.27480263143286565</x:v>
      </x:c>
      <x:c r="V13" s="6" t="str">
        <x:v>0.15263531295238408</x:v>
      </x:c>
      <x:c r="W13" s="8" t="str">
        <x:v>0.0017633669081547625</x:v>
      </x:c>
      <x:c r="X13" s="6" t="str">
        <x:v>2.210288574237105</x:v>
      </x:c>
      <x:c r="Y13" s="6" t="str">
        <x:v>3.2303709887930188</x:v>
      </x:c>
      <x:c r="Z13" s="6" t="str">
        <x:v>2.257844999597943</x:v>
      </x:c>
      <x:c r="AA13" s="6" t="str">
        <x:v>-1.1709488863650899</x:v>
      </x:c>
      <x:c r="AB13" s="6" t="str">
        <x:v>-0.7602386856501478</x:v>
      </x:c>
      <x:c r="AC13" s="6" t="str">
        <x:v>-0.5521283135274576</x:v>
      </x:c>
      <x:c r="AD13" s="6" t="str">
        <x:v>-1.211146030696453</x:v>
      </x:c>
      <x:c r="AE13" s="6" t="str">
        <x:v>-0.7799752893573693</x:v>
      </x:c>
      <x:c r="AF13" s="6" t="str">
        <x:v>-0.6631193177152223</x:v>
      </x:c>
      <x:c r="AG13" s="6" t="str">
        <x:v>0</x:v>
      </x:c>
      <x:c r="AH13" s="6" t="str">
        <x:v>1</x:v>
      </x:c>
      <x:c r="AI13" s="6" t="str">
        <x:v>2024-12</x:v>
      </x:c>
      <x:c r="AJ13" s="9" t="str">
        <x:v>NASA POWER (MERRA-2 meteorology)</x:v>
      </x:c>
      <x:c r="AK13" s="9" t="str">
        <x:v>Badan Informasi Geospasial (BIG)</x:v>
      </x:c>
      <x:c r="AL13" s="9" t="str">
        <x:v>https://power.larc.nasa.gov/docs/services/api/temporal/monthly/</x:v>
      </x:c>
      <x:c r="AM13" s="9" t="str">
        <x:v>https://geoservices.big.go.id/rbi/rest/services/BATASWILAYAH/BATAS_WILAYAH/MapServer/12</x:v>
      </x:c>
    </x:row>
    <x:row r="14" ht="18" customHeight="1">
      <x:c r="A14" s="6" t="str">
        <x:v>11</x:v>
      </x:c>
      <x:c r="B14" s="6" t="str">
        <x:v>ACEH</x:v>
      </x:c>
      <x:c r="C14" s="6" t="str">
        <x:v>2025</x:v>
      </x:c>
      <x:c r="D14" s="6" t="str">
        <x:v>1</x:v>
      </x:c>
      <x:c r="E14" s="6" t="str">
        <x:v>23.721252669324716</x:v>
      </x:c>
      <x:c r="F14" s="9" t="str">
        <x:v>grid_cells_within_BIG_polygon</x:v>
      </x:c>
      <x:c r="G14" s="6" t="str">
        <x:v>14</x:v>
      </x:c>
      <x:c r="H14" s="8" t="str">
        <x:v>88.48324568956099</x:v>
      </x:c>
      <x:c r="I14" s="6" t="str">
        <x:v>8.7247110361618</x:v>
      </x:c>
      <x:c r="J14" s="6" t="str">
        <x:v>31</x:v>
      </x:c>
      <x:c r="K14" s="6" t="str">
        <x:v>270.4660421210158</x:v>
      </x:c>
      <x:c r="L14" s="6" t="str">
        <x:v>23.346635634710445</x:v>
      </x:c>
      <x:c r="M14" s="6" t="str">
        <x:v>0.35951365644207467</x:v>
      </x:c>
      <x:c r="N14" s="6" t="str">
        <x:v>86.7213369266646</x:v>
      </x:c>
      <x:c r="O14" s="6" t="str">
        <x:v>1.027065775094263</x:v>
      </x:c>
      <x:c r="P14" s="6" t="str">
        <x:v>173.75985234082475</x:v>
      </x:c>
      <x:c r="Q14" s="6" t="str">
        <x:v>66.85044697778999</x:v>
      </x:c>
      <x:c r="R14" s="6" t="str">
        <x:v>0.3746170346142712</x:v>
      </x:c>
      <x:c r="S14" s="8" t="str">
        <x:v>1.0420105826345154</x:v>
      </x:c>
      <x:c r="T14" s="6" t="str">
        <x:v>1.7619087628963825</x:v>
      </x:c>
      <x:c r="U14" s="8" t="str">
        <x:v>1.715478020611364</x:v>
      </x:c>
      <x:c r="V14" s="6" t="str">
        <x:v>96.70618978019104</x:v>
      </x:c>
      <x:c r="W14" s="8" t="str">
        <x:v>1.4466049839924056</x:v>
      </x:c>
      <x:c r="X14" s="6" t="str">
        <x:v>1.3328754357637076</x:v>
      </x:c>
      <x:c r="Y14" s="6" t="str">
        <x:v>2.210288574237105</x:v>
      </x:c>
      <x:c r="Z14" s="6" t="str">
        <x:v>1.528391530878442</x:v>
      </x:c>
      <x:c r="AA14" s="6" t="str">
        <x:v>0.27480263143286565</x:v>
      </x:c>
      <x:c r="AB14" s="6" t="str">
        <x:v>-1.1709488863650899</x:v>
      </x:c>
      <x:c r="AC14" s="6" t="str">
        <x:v>0.2731105885597129</x:v>
      </x:c>
      <x:c r="AD14" s="6" t="str">
        <x:v>0.0017633669081547625</x:v>
      </x:c>
      <x:c r="AE14" s="6" t="str">
        <x:v>-1.211146030696453</x:v>
      </x:c>
      <x:c r="AF14" s="6" t="str">
        <x:v>0.07907410673470272</x:v>
      </x:c>
      <x:c r="AG14" s="6" t="str">
        <x:v>1</x:v>
      </x:c>
      <x:c r="AH14" s="6" t="str">
        <x:v>1</x:v>
      </x:c>
      <x:c r="AI14" s="6" t="str">
        <x:v>2025-01</x:v>
      </x:c>
      <x:c r="AJ14" s="9" t="str">
        <x:v>NASA POWER (MERRA-2 meteorology)</x:v>
      </x:c>
      <x:c r="AK14" s="9" t="str">
        <x:v>Badan Informasi Geospasial (BIG)</x:v>
      </x:c>
      <x:c r="AL14" s="9" t="str">
        <x:v>https://power.larc.nasa.gov/docs/services/api/temporal/monthly/</x:v>
      </x:c>
      <x:c r="AM14" s="9" t="str">
        <x:v>https://geoservices.big.go.id/rbi/rest/services/BATASWILAYAH/BATAS_WILAYAH/MapServer/12</x:v>
      </x:c>
    </x:row>
    <x:row r="15" ht="18" customHeight="1">
      <x:c r="A15" s="6" t="str">
        <x:v>11</x:v>
      </x:c>
      <x:c r="B15" s="6" t="str">
        <x:v>ACEH</x:v>
      </x:c>
      <x:c r="C15" s="6" t="str">
        <x:v>2025</x:v>
      </x:c>
      <x:c r="D15" s="6" t="str">
        <x:v>2</x:v>
      </x:c>
      <x:c r="E15" s="6" t="str">
        <x:v>24.23773245336957</x:v>
      </x:c>
      <x:c r="F15" s="9" t="str">
        <x:v>grid_cells_within_BIG_polygon</x:v>
      </x:c>
      <x:c r="G15" s="6" t="str">
        <x:v>14</x:v>
      </x:c>
      <x:c r="H15" s="8" t="str">
        <x:v>85.49525575342646</x:v>
      </x:c>
      <x:c r="I15" s="6" t="str">
        <x:v>4.240997329220941</x:v>
      </x:c>
      <x:c r="J15" s="6" t="str">
        <x:v>28</x:v>
      </x:c>
      <x:c r="K15" s="6" t="str">
        <x:v>118.74792521818635</x:v>
      </x:c>
      <x:c r="L15" s="6" t="str">
        <x:v>23.683021264995073</x:v>
      </x:c>
      <x:c r="M15" s="6" t="str">
        <x:v>0.3697357015790557</x:v>
      </x:c>
      <x:c r="N15" s="6" t="str">
        <x:v>85.26300689034684</x:v>
      </x:c>
      <x:c r="O15" s="6" t="str">
        <x:v>1.4632102214271834</x:v>
      </x:c>
      <x:c r="P15" s="6" t="str">
        <x:v>136.3816149514554</x:v>
      </x:c>
      <x:c r="Q15" s="6" t="str">
        <x:v>62.167557772053804</x:v>
      </x:c>
      <x:c r="R15" s="6" t="str">
        <x:v>0.5547111883744975</x:v>
      </x:c>
      <x:c r="S15" s="8" t="str">
        <x:v>1.5002911160741423</x:v>
      </x:c>
      <x:c r="T15" s="6" t="str">
        <x:v>0.23224886307961867</x:v>
      </x:c>
      <x:c r="U15" s="8" t="str">
        <x:v>0.15872556087879716</x:v>
      </x:c>
      <x:c r="V15" s="6" t="str">
        <x:v>-17.633689733269037</x:v>
      </x:c>
      <x:c r="W15" s="8" t="str">
        <x:v>-0.28364777972983063</x:v>
      </x:c>
      <x:c r="X15" s="6" t="str">
        <x:v>1.0420105826345154</x:v>
      </x:c>
      <x:c r="Y15" s="6" t="str">
        <x:v>1.3328754357637076</x:v>
      </x:c>
      <x:c r="Z15" s="6" t="str">
        <x:v>1.2917257114907879</x:v>
      </x:c>
      <x:c r="AA15" s="6" t="str">
        <x:v>1.715478020611364</x:v>
      </x:c>
      <x:c r="AB15" s="6" t="str">
        <x:v>0.27480263143286565</x:v>
      </x:c>
      <x:c r="AC15" s="6" t="str">
        <x:v>0.7163354043076753</x:v>
      </x:c>
      <x:c r="AD15" s="6" t="str">
        <x:v>1.4466049839924056</x:v>
      </x:c>
      <x:c r="AE15" s="6" t="str">
        <x:v>0.0017633669081547625</x:v>
      </x:c>
      <x:c r="AF15" s="6" t="str">
        <x:v>0.3882401903902435</x:v>
      </x:c>
      <x:c r="AG15" s="6" t="str">
        <x:v>0</x:v>
      </x:c>
      <x:c r="AH15" s="6" t="str">
        <x:v>1</x:v>
      </x:c>
      <x:c r="AI15" s="6" t="str">
        <x:v>2025-02</x:v>
      </x:c>
      <x:c r="AJ15" s="9" t="str">
        <x:v>NASA POWER (MERRA-2 meteorology)</x:v>
      </x:c>
      <x:c r="AK15" s="9" t="str">
        <x:v>Badan Informasi Geospasial (BIG)</x:v>
      </x:c>
      <x:c r="AL15" s="9" t="str">
        <x:v>https://power.larc.nasa.gov/docs/services/api/temporal/monthly/</x:v>
      </x:c>
      <x:c r="AM15" s="9" t="str">
        <x:v>https://geoservices.big.go.id/rbi/rest/services/BATASWILAYAH/BATAS_WILAYAH/MapServer/12</x:v>
      </x:c>
    </x:row>
    <x:row r="16" ht="18" customHeight="1">
      <x:c r="A16" s="6" t="str">
        <x:v>11</x:v>
      </x:c>
      <x:c r="B16" s="6" t="str">
        <x:v>ACEH</x:v>
      </x:c>
      <x:c r="C16" s="6" t="str">
        <x:v>2025</x:v>
      </x:c>
      <x:c r="D16" s="6" t="str">
        <x:v>3</x:v>
      </x:c>
      <x:c r="E16" s="6" t="str">
        <x:v>24.574023094596804</x:v>
      </x:c>
      <x:c r="F16" s="9" t="str">
        <x:v>grid_cells_within_BIG_polygon</x:v>
      </x:c>
      <x:c r="G16" s="6" t="str">
        <x:v>14</x:v>
      </x:c>
      <x:c r="H16" s="8" t="str">
        <x:v>86.64923786339692</x:v>
      </x:c>
      <x:c r="I16" s="6" t="str">
        <x:v>13.381312031618096</x:v>
      </x:c>
      <x:c r="J16" s="6" t="str">
        <x:v>31</x:v>
      </x:c>
      <x:c r="K16" s="6" t="str">
        <x:v>414.82067298016096</x:v>
      </x:c>
      <x:c r="L16" s="6" t="str">
        <x:v>24.07666189109933</x:v>
      </x:c>
      <x:c r="M16" s="6" t="str">
        <x:v>0.4760364625660869</x:v>
      </x:c>
      <x:c r="N16" s="6" t="str">
        <x:v>85.14376500167239</x:v>
      </x:c>
      <x:c r="O16" s="6" t="str">
        <x:v>1.5346056406330089</x:v>
      </x:c>
      <x:c r="P16" s="6" t="str">
        <x:v>171.8366182714259</x:v>
      </x:c>
      <x:c r="Q16" s="6" t="str">
        <x:v>69.64062719147978</x:v>
      </x:c>
      <x:c r="R16" s="6" t="str">
        <x:v>0.4973612034974728</x:v>
      </x:c>
      <x:c r="S16" s="8" t="str">
        <x:v>1.0447964444077127</x:v>
      </x:c>
      <x:c r="T16" s="6" t="str">
        <x:v>1.5054728617245274</x:v>
      </x:c>
      <x:c r="U16" s="8" t="str">
        <x:v>0.981016113757757</x:v>
      </x:c>
      <x:c r="V16" s="6" t="str">
        <x:v>242.98405470873507</x:v>
      </x:c>
      <x:c r="W16" s="8" t="str">
        <x:v>3.489113531970934</x:v>
      </x:c>
      <x:c r="X16" s="6" t="str">
        <x:v>1.5002911160741423</x:v>
      </x:c>
      <x:c r="Y16" s="6" t="str">
        <x:v>1.0420105826345154</x:v>
      </x:c>
      <x:c r="Z16" s="6" t="str">
        <x:v>1.1956993810387895</x:v>
      </x:c>
      <x:c r="AA16" s="6" t="str">
        <x:v>0.15872556087879716</x:v>
      </x:c>
      <x:c r="AB16" s="6" t="str">
        <x:v>1.715478020611364</x:v>
      </x:c>
      <x:c r="AC16" s="6" t="str">
        <x:v>0.9517398984159723</x:v>
      </x:c>
      <x:c r="AD16" s="6" t="str">
        <x:v>-0.28364777972983063</x:v>
      </x:c>
      <x:c r="AE16" s="6" t="str">
        <x:v>1.4466049839924056</x:v>
      </x:c>
      <x:c r="AF16" s="6" t="str">
        <x:v>1.55069024541117</x:v>
      </x:c>
      <x:c r="AG16" s="6" t="str">
        <x:v>1</x:v>
      </x:c>
      <x:c r="AH16" s="6" t="str">
        <x:v>1</x:v>
      </x:c>
      <x:c r="AI16" s="6" t="str">
        <x:v>2025-03</x:v>
      </x:c>
      <x:c r="AJ16" s="9" t="str">
        <x:v>NASA POWER (MERRA-2 meteorology)</x:v>
      </x:c>
      <x:c r="AK16" s="9" t="str">
        <x:v>Badan Informasi Geospasial (BIG)</x:v>
      </x:c>
      <x:c r="AL16" s="9" t="str">
        <x:v>https://power.larc.nasa.gov/docs/services/api/temporal/monthly/</x:v>
      </x:c>
      <x:c r="AM16" s="9" t="str">
        <x:v>https://geoservices.big.go.id/rbi/rest/services/BATASWILAYAH/BATAS_WILAYAH/MapServer/12</x:v>
      </x:c>
    </x:row>
    <x:row r="17" ht="18" customHeight="1">
      <x:c r="A17" s="6" t="str">
        <x:v>11</x:v>
      </x:c>
      <x:c r="B17" s="6" t="str">
        <x:v>ACEH</x:v>
      </x:c>
      <x:c r="C17" s="6" t="str">
        <x:v>2025</x:v>
      </x:c>
      <x:c r="D17" s="6" t="str">
        <x:v>4</x:v>
      </x:c>
      <x:c r="E17" s="6" t="str">
        <x:v>24.367598568591696</x:v>
      </x:c>
      <x:c r="F17" s="9" t="str">
        <x:v>grid_cells_within_BIG_polygon</x:v>
      </x:c>
      <x:c r="G17" s="6" t="str">
        <x:v>14</x:v>
      </x:c>
      <x:c r="H17" s="8" t="str">
        <x:v>87.17091019933287</x:v>
      </x:c>
      <x:c r="I17" s="6" t="str">
        <x:v>7.6810024905108465</x:v>
      </x:c>
      <x:c r="J17" s="6" t="str">
        <x:v>30</x:v>
      </x:c>
      <x:c r="K17" s="6" t="str">
        <x:v>230.4300747153254</x:v>
      </x:c>
      <x:c r="L17" s="6" t="str">
        <x:v>24.29626821949393</x:v>
      </x:c>
      <x:c r="M17" s="6" t="str">
        <x:v>0.4594332758638903</x:v>
      </x:c>
      <x:c r="N17" s="6" t="str">
        <x:v>86.37875087539716</x:v>
      </x:c>
      <x:c r="O17" s="6" t="str">
        <x:v>1.2426173686884523</x:v>
      </x:c>
      <x:c r="P17" s="6" t="str">
        <x:v>201.09450889644643</x:v>
      </x:c>
      <x:c r="Q17" s="6" t="str">
        <x:v>66.61521414192448</x:v>
      </x:c>
      <x:c r="R17" s="6" t="str">
        <x:v>0.07133034909776725</x:v>
      </x:c>
      <x:c r="S17" s="8" t="str">
        <x:v>0.1552572546332044</x:v>
      </x:c>
      <x:c r="T17" s="6" t="str">
        <x:v>0.7921593239357065</x:v>
      </x:c>
      <x:c r="U17" s="8" t="str">
        <x:v>0.6374925571592552</x:v>
      </x:c>
      <x:c r="V17" s="6" t="str">
        <x:v>29.335565818878962</x:v>
      </x:c>
      <x:c r="W17" s="8" t="str">
        <x:v>0.44037336210282535</x:v>
      </x:c>
      <x:c r="X17" s="6" t="str">
        <x:v>1.0447964444077127</x:v>
      </x:c>
      <x:c r="Y17" s="6" t="str">
        <x:v>1.5002911160741423</x:v>
      </x:c>
      <x:c r="Z17" s="6" t="str">
        <x:v>0.9001149383716859</x:v>
      </x:c>
      <x:c r="AA17" s="6" t="str">
        <x:v>0.981016113757757</x:v>
      </x:c>
      <x:c r="AB17" s="6" t="str">
        <x:v>0.15872556087879716</x:v>
      </x:c>
      <x:c r="AC17" s="6" t="str">
        <x:v>0.5924114105986028</x:v>
      </x:c>
      <x:c r="AD17" s="6" t="str">
        <x:v>3.489113531970934</x:v>
      </x:c>
      <x:c r="AE17" s="6" t="str">
        <x:v>-0.28364777972983063</x:v>
      </x:c>
      <x:c r="AF17" s="6" t="str">
        <x:v>1.2152797047813098</x:v>
      </x:c>
      <x:c r="AG17" s="6" t="str">
        <x:v>0</x:v>
      </x:c>
      <x:c r="AH17" s="6" t="str">
        <x:v>0</x:v>
      </x:c>
      <x:c r="AI17" s="6" t="str">
        <x:v>2025-04</x:v>
      </x:c>
      <x:c r="AJ17" s="9" t="str">
        <x:v>NASA POWER (MERRA-2 meteorology)</x:v>
      </x:c>
      <x:c r="AK17" s="9" t="str">
        <x:v>Badan Informasi Geospasial (BIG)</x:v>
      </x:c>
      <x:c r="AL17" s="9" t="str">
        <x:v>https://power.larc.nasa.gov/docs/services/api/temporal/monthly/</x:v>
      </x:c>
      <x:c r="AM17" s="9" t="str">
        <x:v>https://geoservices.big.go.id/rbi/rest/services/BATASWILAYAH/BATAS_WILAYAH/MapServer/12</x:v>
      </x:c>
    </x:row>
    <x:row r="18" ht="18" customHeight="1">
      <x:c r="A18" s="6" t="str">
        <x:v>11</x:v>
      </x:c>
      <x:c r="B18" s="6" t="str">
        <x:v>ACEH</x:v>
      </x:c>
      <x:c r="C18" s="6" t="str">
        <x:v>2025</x:v>
      </x:c>
      <x:c r="D18" s="6" t="str">
        <x:v>5</x:v>
      </x:c>
      <x:c r="E18" s="6" t="str">
        <x:v>24.61615651790209</x:v>
      </x:c>
      <x:c r="F18" s="9" t="str">
        <x:v>grid_cells_within_BIG_polygon</x:v>
      </x:c>
      <x:c r="G18" s="6" t="str">
        <x:v>14</x:v>
      </x:c>
      <x:c r="H18" s="8" t="str">
        <x:v>85.68356244844814</x:v>
      </x:c>
      <x:c r="I18" s="6" t="str">
        <x:v>4.3678412142150105</x:v>
      </x:c>
      <x:c r="J18" s="6" t="str">
        <x:v>31</x:v>
      </x:c>
      <x:c r="K18" s="6" t="str">
        <x:v>135.40307764066532</x:v>
      </x:c>
      <x:c r="L18" s="6" t="str">
        <x:v>24.315380308440414</x:v>
      </x:c>
      <x:c r="M18" s="6" t="str">
        <x:v>0.3226310854299701</x:v>
      </x:c>
      <x:c r="N18" s="6" t="str">
        <x:v>86.32532016988463</x:v>
      </x:c>
      <x:c r="O18" s="6" t="str">
        <x:v>0.744186761280428</x:v>
      </x:c>
      <x:c r="P18" s="6" t="str">
        <x:v>197.61070211489977</x:v>
      </x:c>
      <x:c r="Q18" s="6" t="str">
        <x:v>86.4029291494588</x:v>
      </x:c>
      <x:c r="R18" s="6" t="str">
        <x:v>0.30077620946167727</x:v>
      </x:c>
      <x:c r="S18" s="8" t="str">
        <x:v>0.9322604765775534</x:v>
      </x:c>
      <x:c r="T18" s="6" t="str">
        <x:v>-0.6417577214364911</x:v>
      </x:c>
      <x:c r="U18" s="8" t="str">
        <x:v>-0.8623611099078137</x:v>
      </x:c>
      <x:c r="V18" s="6" t="str">
        <x:v>-62.20762447423445</x:v>
      </x:c>
      <x:c r="W18" s="8" t="str">
        <x:v>-0.7199712450330059</x:v>
      </x:c>
      <x:c r="X18" s="6" t="str">
        <x:v>0.1552572546332044</x:v>
      </x:c>
      <x:c r="Y18" s="6" t="str">
        <x:v>1.0447964444077127</x:v>
      </x:c>
      <x:c r="Z18" s="6" t="str">
        <x:v>0.7107713918728229</x:v>
      </x:c>
      <x:c r="AA18" s="6" t="str">
        <x:v>0.6374925571592552</x:v>
      </x:c>
      <x:c r="AB18" s="6" t="str">
        <x:v>0.981016113757757</x:v>
      </x:c>
      <x:c r="AC18" s="6" t="str">
        <x:v>0.2520491870030659</x:v>
      </x:c>
      <x:c r="AD18" s="6" t="str">
        <x:v>0.44037336210282535</x:v>
      </x:c>
      <x:c r="AE18" s="6" t="str">
        <x:v>3.489113531970934</x:v>
      </x:c>
      <x:c r="AF18" s="6" t="str">
        <x:v>1.0698385496802514</x:v>
      </x:c>
      <x:c r="AG18" s="6" t="str">
        <x:v>0</x:v>
      </x:c>
      <x:c r="AH18" s="6" t="str">
        <x:v>0</x:v>
      </x:c>
      <x:c r="AI18" s="6" t="str">
        <x:v>2025-05</x:v>
      </x:c>
      <x:c r="AJ18" s="9" t="str">
        <x:v>NASA POWER (MERRA-2 meteorology)</x:v>
      </x:c>
      <x:c r="AK18" s="9" t="str">
        <x:v>Badan Informasi Geospasial (BIG)</x:v>
      </x:c>
      <x:c r="AL18" s="9" t="str">
        <x:v>https://power.larc.nasa.gov/docs/services/api/temporal/monthly/</x:v>
      </x:c>
      <x:c r="AM18" s="9" t="str">
        <x:v>https://geoservices.big.go.id/rbi/rest/services/BATASWILAYAH/BATAS_WILAYAH/MapServer/12</x:v>
      </x:c>
    </x:row>
    <x:row r="19" ht="18" customHeight="1">
      <x:c r="A19" s="6" t="str">
        <x:v>11</x:v>
      </x:c>
      <x:c r="B19" s="6" t="str">
        <x:v>ACEH</x:v>
      </x:c>
      <x:c r="C19" s="6" t="str">
        <x:v>2025</x:v>
      </x:c>
      <x:c r="D19" s="6" t="str">
        <x:v>6</x:v>
      </x:c>
      <x:c r="E19" s="6" t="str">
        <x:v>24.06332870243422</x:v>
      </x:c>
      <x:c r="F19" s="9" t="str">
        <x:v>grid_cells_within_BIG_polygon</x:v>
      </x:c>
      <x:c r="G19" s="6" t="str">
        <x:v>14</x:v>
      </x:c>
      <x:c r="H19" s="8" t="str">
        <x:v>83.7348008012885</x:v>
      </x:c>
      <x:c r="I19" s="6" t="str">
        <x:v>4.2837176988431285</x:v>
      </x:c>
      <x:c r="J19" s="6" t="str">
        <x:v>30</x:v>
      </x:c>
      <x:c r="K19" s="6" t="str">
        <x:v>128.51153096529384</x:v>
      </x:c>
      <x:c r="L19" s="6" t="str">
        <x:v>23.8852479738457</x:v>
      </x:c>
      <x:c r="M19" s="6" t="str">
        <x:v>0.24658445283197483</x:v>
      </x:c>
      <x:c r="N19" s="6" t="str">
        <x:v>85.58631066233858</x:v>
      </x:c>
      <x:c r="O19" s="6" t="str">
        <x:v>1.2456459660980175</x:v>
      </x:c>
      <x:c r="P19" s="6" t="str">
        <x:v>148.90698474236257</x:v>
      </x:c>
      <x:c r="Q19" s="6" t="str">
        <x:v>53.632056443820304</x:v>
      </x:c>
      <x:c r="R19" s="6" t="str">
        <x:v>0.17808072858851887</x:v>
      </x:c>
      <x:c r="S19" s="8" t="str">
        <x:v>0.7221896049945408</x:v>
      </x:c>
      <x:c r="T19" s="6" t="str">
        <x:v>-1.8515098610500758</x:v>
      </x:c>
      <x:c r="U19" s="8" t="str">
        <x:v>-1.4863853064526233</x:v>
      </x:c>
      <x:c r="V19" s="6" t="str">
        <x:v>-20.395453777068724</x:v>
      </x:c>
      <x:c r="W19" s="8" t="str">
        <x:v>-0.3802847611937649</x:v>
      </x:c>
      <x:c r="X19" s="6" t="str">
        <x:v>0.9322604765775534</x:v>
      </x:c>
      <x:c r="Y19" s="6" t="str">
        <x:v>0.1552572546332044</x:v>
      </x:c>
      <x:c r="Z19" s="6" t="str">
        <x:v>0.6032357787350989</x:v>
      </x:c>
      <x:c r="AA19" s="6" t="str">
        <x:v>-0.8623611099078137</x:v>
      </x:c>
      <x:c r="AB19" s="6" t="str">
        <x:v>0.6374925571592552</x:v>
      </x:c>
      <x:c r="AC19" s="6" t="str">
        <x:v>-0.5704179530670609</x:v>
      </x:c>
      <x:c r="AD19" s="6" t="str">
        <x:v>-0.7199712450330059</x:v>
      </x:c>
      <x:c r="AE19" s="6" t="str">
        <x:v>0.44037336210282535</x:v>
      </x:c>
      <x:c r="AF19" s="6" t="str">
        <x:v>-0.21996088137464823</x:v>
      </x:c>
      <x:c r="AG19" s="6" t="str">
        <x:v>0</x:v>
      </x:c>
      <x:c r="AH19" s="6" t="str">
        <x:v>0</x:v>
      </x:c>
      <x:c r="AI19" s="6" t="str">
        <x:v>2025-06</x:v>
      </x:c>
      <x:c r="AJ19" s="9" t="str">
        <x:v>NASA POWER (MERRA-2 meteorology)</x:v>
      </x:c>
      <x:c r="AK19" s="9" t="str">
        <x:v>Badan Informasi Geospasial (BIG)</x:v>
      </x:c>
      <x:c r="AL19" s="9" t="str">
        <x:v>https://power.larc.nasa.gov/docs/services/api/temporal/monthly/</x:v>
      </x:c>
      <x:c r="AM19" s="9" t="str">
        <x:v>https://geoservices.big.go.id/rbi/rest/services/BATASWILAYAH/BATAS_WILAYAH/MapServer/12</x:v>
      </x:c>
    </x:row>
    <x:row r="20" ht="18" customHeight="1">
      <x:c r="A20" s="6" t="str">
        <x:v>11</x:v>
      </x:c>
      <x:c r="B20" s="6" t="str">
        <x:v>ACEH</x:v>
      </x:c>
      <x:c r="C20" s="6" t="str">
        <x:v>2025</x:v>
      </x:c>
      <x:c r="D20" s="6" t="str">
        <x:v>7</x:v>
      </x:c>
      <x:c r="E20" s="6" t="str">
        <x:v>24.216792787388176</x:v>
      </x:c>
      <x:c r="F20" s="9" t="str">
        <x:v>grid_cells_within_BIG_polygon</x:v>
      </x:c>
      <x:c r="G20" s="6" t="str">
        <x:v>14</x:v>
      </x:c>
      <x:c r="H20" s="8" t="str">
        <x:v>84.00921473398333</x:v>
      </x:c>
      <x:c r="I20" s="6" t="str">
        <x:v>3.0315922995490268</x:v>
      </x:c>
      <x:c r="J20" s="6" t="str">
        <x:v>31</x:v>
      </x:c>
      <x:c r="K20" s="6" t="str">
        <x:v>93.97936128601982</x:v>
      </x:c>
      <x:c r="L20" s="6" t="str">
        <x:v>23.53132306876287</x:v>
      </x:c>
      <x:c r="M20" s="6" t="str">
        <x:v>0.241941876895492</x:v>
      </x:c>
      <x:c r="N20" s="6" t="str">
        <x:v>85.19191236950793</x:v>
      </x:c>
      <x:c r="O20" s="6" t="str">
        <x:v>1.3046673986184687</x:v>
      </x:c>
      <x:c r="P20" s="6" t="str">
        <x:v>171.57707250260594</x:v>
      </x:c>
      <x:c r="Q20" s="6" t="str">
        <x:v>54.8667016864937</x:v>
      </x:c>
      <x:c r="R20" s="6" t="str">
        <x:v>0.6854697186253063</x:v>
      </x:c>
      <x:c r="S20" s="8" t="str">
        <x:v>2.8331999710880904</x:v>
      </x:c>
      <x:c r="T20" s="6" t="str">
        <x:v>-1.1826976355246046</x:v>
      </x:c>
      <x:c r="U20" s="8" t="str">
        <x:v>-0.9065127531944006</x:v>
      </x:c>
      <x:c r="V20" s="6" t="str">
        <x:v>-77.59771121658612</x:v>
      </x:c>
      <x:c r="W20" s="8" t="str">
        <x:v>-1.4142951705020754</x:v>
      </x:c>
      <x:c r="X20" s="6" t="str">
        <x:v>0.7221896049945408</x:v>
      </x:c>
      <x:c r="Y20" s="6" t="str">
        <x:v>0.9322604765775534</x:v>
      </x:c>
      <x:c r="Z20" s="6" t="str">
        <x:v>1.4958833508867275</x:v>
      </x:c>
      <x:c r="AA20" s="6" t="str">
        <x:v>-1.4863853064526233</x:v>
      </x:c>
      <x:c r="AB20" s="6" t="str">
        <x:v>-0.8623611099078137</x:v>
      </x:c>
      <x:c r="AC20" s="6" t="str">
        <x:v>-1.0850863898516128</x:v>
      </x:c>
      <x:c r="AD20" s="6" t="str">
        <x:v>-0.3802847611937649</x:v>
      </x:c>
      <x:c r="AE20" s="6" t="str">
        <x:v>-0.7199712450330059</x:v>
      </x:c>
      <x:c r="AF20" s="6" t="str">
        <x:v>-0.838183725576282</x:v>
      </x:c>
      <x:c r="AG20" s="6" t="str">
        <x:v>0</x:v>
      </x:c>
      <x:c r="AH20" s="6" t="str">
        <x:v>1</x:v>
      </x:c>
      <x:c r="AI20" s="6" t="str">
        <x:v>2025-07</x:v>
      </x:c>
      <x:c r="AJ20" s="9" t="str">
        <x:v>NASA POWER (MERRA-2 meteorology)</x:v>
      </x:c>
      <x:c r="AK20" s="9" t="str">
        <x:v>Badan Informasi Geospasial (BIG)</x:v>
      </x:c>
      <x:c r="AL20" s="9" t="str">
        <x:v>https://power.larc.nasa.gov/docs/services/api/temporal/monthly/</x:v>
      </x:c>
      <x:c r="AM20" s="9" t="str">
        <x:v>https://geoservices.big.go.id/rbi/rest/services/BATASWILAYAH/BATAS_WILAYAH/MapServer/12</x:v>
      </x:c>
    </x:row>
    <x:row r="21" ht="18" customHeight="1">
      <x:c r="A21" s="6" t="str">
        <x:v>11</x:v>
      </x:c>
      <x:c r="B21" s="6" t="str">
        <x:v>ACEH</x:v>
      </x:c>
      <x:c r="C21" s="6" t="str">
        <x:v>2025</x:v>
      </x:c>
      <x:c r="D21" s="6" t="str">
        <x:v>8</x:v>
      </x:c>
      <x:c r="E21" s="6" t="str">
        <x:v>23.82677785807623</x:v>
      </x:c>
      <x:c r="F21" s="9" t="str">
        <x:v>grid_cells_within_BIG_polygon</x:v>
      </x:c>
      <x:c r="G21" s="6" t="str">
        <x:v>14</x:v>
      </x:c>
      <x:c r="H21" s="8" t="str">
        <x:v>83.40378694908502</x:v>
      </x:c>
      <x:c r="I21" s="6" t="str">
        <x:v>4.450480046278824</x:v>
      </x:c>
      <x:c r="J21" s="6" t="str">
        <x:v>31</x:v>
      </x:c>
      <x:c r="K21" s="6" t="str">
        <x:v>137.96488143464356</x:v>
      </x:c>
      <x:c r="L21" s="6" t="str">
        <x:v>23.483929606922217</x:v>
      </x:c>
      <x:c r="M21" s="6" t="str">
        <x:v>0.20940935479765344</x:v>
      </x:c>
      <x:c r="N21" s="6" t="str">
        <x:v>85.5109628053032</x:v>
      </x:c>
      <x:c r="O21" s="6" t="str">
        <x:v>1.2980222190443864</x:v>
      </x:c>
      <x:c r="P21" s="6" t="str">
        <x:v>193.16581537175574</x:v>
      </x:c>
      <x:c r="Q21" s="6" t="str">
        <x:v>88.3635539407072</x:v>
      </x:c>
      <x:c r="R21" s="6" t="str">
        <x:v>0.3428482511540132</x:v>
      </x:c>
      <x:c r="S21" s="8" t="str">
        <x:v>1.6372155460069973</x:v>
      </x:c>
      <x:c r="T21" s="6" t="str">
        <x:v>-2.107175856218177</x:v>
      </x:c>
      <x:c r="U21" s="8" t="str">
        <x:v>-1.6233742576221042</x:v>
      </x:c>
      <x:c r="V21" s="6" t="str">
        <x:v>-55.20093393711218</x:v>
      </x:c>
      <x:c r="W21" s="8" t="str">
        <x:v>-0.624702509975465</x:v>
      </x:c>
      <x:c r="X21" s="6" t="str">
        <x:v>2.8331999710880904</x:v>
      </x:c>
      <x:c r="Y21" s="6" t="str">
        <x:v>0.7221896049945408</x:v>
      </x:c>
      <x:c r="Z21" s="6" t="str">
        <x:v>1.7308683740298756</x:v>
      </x:c>
      <x:c r="AA21" s="6" t="str">
        <x:v>-0.9065127531944006</x:v>
      </x:c>
      <x:c r="AB21" s="6" t="str">
        <x:v>-1.4863853064526233</x:v>
      </x:c>
      <x:c r="AC21" s="6" t="str">
        <x:v>-1.3387574390897097</x:v>
      </x:c>
      <x:c r="AD21" s="6" t="str">
        <x:v>-1.4142951705020754</x:v>
      </x:c>
      <x:c r="AE21" s="6" t="str">
        <x:v>-0.3802847611937649</x:v>
      </x:c>
      <x:c r="AF21" s="6" t="str">
        <x:v>-0.8064274805571015</x:v>
      </x:c>
      <x:c r="AG21" s="6" t="str">
        <x:v>0</x:v>
      </x:c>
      <x:c r="AH21" s="6" t="str">
        <x:v>1</x:v>
      </x:c>
      <x:c r="AI21" s="6" t="str">
        <x:v>2025-08</x:v>
      </x:c>
      <x:c r="AJ21" s="9" t="str">
        <x:v>NASA POWER (MERRA-2 meteorology)</x:v>
      </x:c>
      <x:c r="AK21" s="9" t="str">
        <x:v>Badan Informasi Geospasial (BIG)</x:v>
      </x:c>
      <x:c r="AL21" s="9" t="str">
        <x:v>https://power.larc.nasa.gov/docs/services/api/temporal/monthly/</x:v>
      </x:c>
      <x:c r="AM21" s="9" t="str">
        <x:v>https://geoservices.big.go.id/rbi/rest/services/BATASWILAYAH/BATAS_WILAYAH/MapServer/12</x:v>
      </x:c>
    </x:row>
    <x:row r="22" ht="18" customHeight="1">
      <x:c r="A22" s="6" t="str">
        <x:v>11</x:v>
      </x:c>
      <x:c r="B22" s="6" t="str">
        <x:v>ACEH</x:v>
      </x:c>
      <x:c r="C22" s="6" t="str">
        <x:v>2025</x:v>
      </x:c>
      <x:c r="D22" s="6" t="str">
        <x:v>9</x:v>
      </x:c>
      <x:c r="E22" s="6" t="str">
        <x:v>23.748186732796857</x:v>
      </x:c>
      <x:c r="F22" s="9" t="str">
        <x:v>grid_cells_within_BIG_polygon</x:v>
      </x:c>
      <x:c r="G22" s="6" t="str">
        <x:v>14</x:v>
      </x:c>
      <x:c r="H22" s="8" t="str">
        <x:v>83.6124072495411</x:v>
      </x:c>
      <x:c r="I22" s="6" t="str">
        <x:v>3.5284917267019744</x:v>
      </x:c>
      <x:c r="J22" s="6" t="str">
        <x:v>30</x:v>
      </x:c>
      <x:c r="K22" s="6" t="str">
        <x:v>105.85475180105924</x:v>
      </x:c>
      <x:c r="L22" s="6" t="str">
        <x:v>23.432511313829725</x:v>
      </x:c>
      <x:c r="M22" s="6" t="str">
        <x:v>0.19457647150500135</x:v>
      </x:c>
      <x:c r="N22" s="6" t="str">
        <x:v>86.04113964470794</x:v>
      </x:c>
      <x:c r="O22" s="6" t="str">
        <x:v>1.4012978096743782</x:v>
      </x:c>
      <x:c r="P22" s="6" t="str">
        <x:v>214.96345745776853</x:v>
      </x:c>
      <x:c r="Q22" s="6" t="str">
        <x:v>50.78150745745534</x:v>
      </x:c>
      <x:c r="R22" s="6" t="str">
        <x:v>0.3156754189671318</x:v>
      </x:c>
      <x:c r="S22" s="8" t="str">
        <x:v>1.622371998656671</x:v>
      </x:c>
      <x:c r="T22" s="6" t="str">
        <x:v>-2.4287323951668327</x:v>
      </x:c>
      <x:c r="U22" s="8" t="str">
        <x:v>-1.7332021633083128</x:v>
      </x:c>
      <x:c r="V22" s="6" t="str">
        <x:v>-109.10870565670929</x:v>
      </x:c>
      <x:c r="W22" s="8" t="str">
        <x:v>-2.148591310490741</x:v>
      </x:c>
      <x:c r="X22" s="6" t="str">
        <x:v>1.6372155460069973</x:v>
      </x:c>
      <x:c r="Y22" s="6" t="str">
        <x:v>2.8331999710880904</x:v>
      </x:c>
      <x:c r="Z22" s="6" t="str">
        <x:v>2.0309291719172524</x:v>
      </x:c>
      <x:c r="AA22" s="6" t="str">
        <x:v>-1.6233742576221042</x:v>
      </x:c>
      <x:c r="AB22" s="6" t="str">
        <x:v>-0.9065127531944006</x:v>
      </x:c>
      <x:c r="AC22" s="6" t="str">
        <x:v>-1.4210297247082728</x:v>
      </x:c>
      <x:c r="AD22" s="6" t="str">
        <x:v>-0.624702509975465</x:v>
      </x:c>
      <x:c r="AE22" s="6" t="str">
        <x:v>-1.4142951705020754</x:v>
      </x:c>
      <x:c r="AF22" s="6" t="str">
        <x:v>-1.3958629969894265</x:v>
      </x:c>
      <x:c r="AG22" s="6" t="str">
        <x:v>0</x:v>
      </x:c>
      <x:c r="AH22" s="6" t="str">
        <x:v>1</x:v>
      </x:c>
      <x:c r="AI22" s="6" t="str">
        <x:v>2025-09</x:v>
      </x:c>
      <x:c r="AJ22" s="9" t="str">
        <x:v>NASA POWER (MERRA-2 meteorology)</x:v>
      </x:c>
      <x:c r="AK22" s="9" t="str">
        <x:v>Badan Informasi Geospasial (BIG)</x:v>
      </x:c>
      <x:c r="AL22" s="9" t="str">
        <x:v>https://power.larc.nasa.gov/docs/services/api/temporal/monthly/</x:v>
      </x:c>
      <x:c r="AM22" s="9" t="str">
        <x:v>https://geoservices.big.go.id/rbi/rest/services/BATASWILAYAH/BATAS_WILAYAH/MapServer/12</x:v>
      </x:c>
    </x:row>
    <x:row r="23" ht="18" customHeight="1">
      <x:c r="A23" s="6" t="str">
        <x:v>11</x:v>
      </x:c>
      <x:c r="B23" s="6" t="str">
        <x:v>ACEH</x:v>
      </x:c>
      <x:c r="C23" s="6" t="str">
        <x:v>2025</x:v>
      </x:c>
      <x:c r="D23" s="6" t="str">
        <x:v>10</x:v>
      </x:c>
      <x:c r="E23" s="6" t="str">
        <x:v>23.86114562112386</x:v>
      </x:c>
      <x:c r="F23" s="9" t="str">
        <x:v>grid_cells_within_BIG_polygon</x:v>
      </x:c>
      <x:c r="G23" s="6" t="str">
        <x:v>14</x:v>
      </x:c>
      <x:c r="H23" s="8" t="str">
        <x:v>84.99950075085405</x:v>
      </x:c>
      <x:c r="I23" s="6" t="str">
        <x:v>11.890914138954525</x:v>
      </x:c>
      <x:c r="J23" s="6" t="str">
        <x:v>31</x:v>
      </x:c>
      <x:c r="K23" s="6" t="str">
        <x:v>368.61833830759025</x:v>
      </x:c>
      <x:c r="L23" s="6" t="str">
        <x:v>23.37342326669284</x:v>
      </x:c>
      <x:c r="M23" s="6" t="str">
        <x:v>0.22108188853168612</x:v>
      </x:c>
      <x:c r="N23" s="6" t="str">
        <x:v>87.31760806036148</x:v>
      </x:c>
      <x:c r="O23" s="6" t="str">
        <x:v>1.508187234659793</x:v>
      </x:c>
      <x:c r="P23" s="6" t="str">
        <x:v>276.9836664253541</x:v>
      </x:c>
      <x:c r="Q23" s="6" t="str">
        <x:v>78.64730289055296</x:v>
      </x:c>
      <x:c r="R23" s="6" t="str">
        <x:v>0.4877223544310212</x:v>
      </x:c>
      <x:c r="S23" s="8" t="str">
        <x:v>2.2060710520894586</x:v>
      </x:c>
      <x:c r="T23" s="6" t="str">
        <x:v>-2.3181073095074254</x:v>
      </x:c>
      <x:c r="U23" s="8" t="str">
        <x:v>-1.5370156014019896</x:v>
      </x:c>
      <x:c r="V23" s="6" t="str">
        <x:v>91.63467188223615</x:v>
      </x:c>
      <x:c r="W23" s="8" t="str">
        <x:v>1.1651343213861591</x:v>
      </x:c>
      <x:c r="X23" s="6" t="str">
        <x:v>1.622371998656671</x:v>
      </x:c>
      <x:c r="Y23" s="6" t="str">
        <x:v>1.6372155460069973</x:v>
      </x:c>
      <x:c r="Z23" s="6" t="str">
        <x:v>1.8218861989177082</x:v>
      </x:c>
      <x:c r="AA23" s="6" t="str">
        <x:v>-1.7332021633083128</x:v>
      </x:c>
      <x:c r="AB23" s="6" t="str">
        <x:v>-1.6233742576221042</x:v>
      </x:c>
      <x:c r="AC23" s="6" t="str">
        <x:v>-1.6311973407774694</x:v>
      </x:c>
      <x:c r="AD23" s="6" t="str">
        <x:v>-2.148591310490741</x:v>
      </x:c>
      <x:c r="AE23" s="6" t="str">
        <x:v>-0.624702509975465</x:v>
      </x:c>
      <x:c r="AF23" s="6" t="str">
        <x:v>-0.5360531663600151</x:v>
      </x:c>
      <x:c r="AG23" s="6" t="str">
        <x:v>1</x:v>
      </x:c>
      <x:c r="AH23" s="6" t="str">
        <x:v>1</x:v>
      </x:c>
      <x:c r="AI23" s="6" t="str">
        <x:v>2025-10</x:v>
      </x:c>
      <x:c r="AJ23" s="9" t="str">
        <x:v>NASA POWER (MERRA-2 meteorology)</x:v>
      </x:c>
      <x:c r="AK23" s="9" t="str">
        <x:v>Badan Informasi Geospasial (BIG)</x:v>
      </x:c>
      <x:c r="AL23" s="9" t="str">
        <x:v>https://power.larc.nasa.gov/docs/services/api/temporal/monthly/</x:v>
      </x:c>
      <x:c r="AM23" s="9" t="str">
        <x:v>https://geoservices.big.go.id/rbi/rest/services/BATASWILAYAH/BATAS_WILAYAH/MapServer/12</x:v>
      </x:c>
    </x:row>
    <x:row r="24" ht="18" customHeight="1">
      <x:c r="A24" s="6" t="str">
        <x:v>11</x:v>
      </x:c>
      <x:c r="B24" s="6" t="str">
        <x:v>ACEH</x:v>
      </x:c>
      <x:c r="C24" s="6" t="str">
        <x:v>2025</x:v>
      </x:c>
      <x:c r="D24" s="6" t="str">
        <x:v>11</x:v>
      </x:c>
      <x:c r="E24" s="6" t="str">
        <x:v>23.452631158757946</x:v>
      </x:c>
      <x:c r="F24" s="9" t="str">
        <x:v>grid_cells_within_BIG_polygon</x:v>
      </x:c>
      <x:c r="G24" s="6" t="str">
        <x:v>14</x:v>
      </x:c>
      <x:c r="H24" s="8" t="str">
        <x:v>87.58238429507297</x:v>
      </x:c>
      <x:c r="I24" s="6" t="str">
        <x:v>22.41395887012265</x:v>
      </x:c>
      <x:c r="J24" s="6" t="str">
        <x:v>30</x:v>
      </x:c>
      <x:c r="K24" s="6" t="str">
        <x:v>672.4187661036794</x:v>
      </x:c>
      <x:c r="L24" s="6" t="str">
        <x:v>23.324302970923444</x:v>
      </x:c>
      <x:c r="M24" s="6" t="str">
        <x:v>0.26292267713974826</x:v>
      </x:c>
      <x:c r="N24" s="6" t="str">
        <x:v>88.73579896195102</x:v>
      </x:c>
      <x:c r="O24" s="6" t="str">
        <x:v>0.8282365316682362</x:v>
      </x:c>
      <x:c r="P24" s="6" t="str">
        <x:v>314.2490905002244</x:v>
      </x:c>
      <x:c r="Q24" s="6" t="str">
        <x:v>67.706289717191</x:v>
      </x:c>
      <x:c r="R24" s="6" t="str">
        <x:v>0.1283281878345015</x:v>
      </x:c>
      <x:c r="S24" s="8" t="str">
        <x:v>0.4880833758066928</x:v>
      </x:c>
      <x:c r="T24" s="6" t="str">
        <x:v>-1.1534146668780494</x:v>
      </x:c>
      <x:c r="U24" s="8" t="str">
        <x:v>-1.3926150595589386</x:v>
      </x:c>
      <x:c r="V24" s="6" t="str">
        <x:v>358.16967560345506</x:v>
      </x:c>
      <x:c r="W24" s="8" t="str">
        <x:v>5.290050261202156</x:v>
      </x:c>
      <x:c r="X24" s="6" t="str">
        <x:v>2.2060710520894586</x:v>
      </x:c>
      <x:c r="Y24" s="6" t="str">
        <x:v>1.622371998656671</x:v>
      </x:c>
      <x:c r="Z24" s="6" t="str">
        <x:v>1.4388421421842734</x:v>
      </x:c>
      <x:c r="AA24" s="6" t="str">
        <x:v>-1.5370156014019896</x:v>
      </x:c>
      <x:c r="AB24" s="6" t="str">
        <x:v>-1.7332021633083128</x:v>
      </x:c>
      <x:c r="AC24" s="6" t="str">
        <x:v>-1.5542776080897474</x:v>
      </x:c>
      <x:c r="AD24" s="6" t="str">
        <x:v>1.1651343213861591</x:v>
      </x:c>
      <x:c r="AE24" s="6" t="str">
        <x:v>-2.148591310490741</x:v>
      </x:c>
      <x:c r="AF24" s="6" t="str">
        <x:v>1.4355310906991916</x:v>
      </x:c>
      <x:c r="AG24" s="6" t="str">
        <x:v>1</x:v>
      </x:c>
      <x:c r="AH24" s="6" t="str">
        <x:v>0</x:v>
      </x:c>
      <x:c r="AI24" s="6" t="str">
        <x:v>2025-11</x:v>
      </x:c>
      <x:c r="AJ24" s="9" t="str">
        <x:v>NASA POWER (MERRA-2 meteorology)</x:v>
      </x:c>
      <x:c r="AK24" s="9" t="str">
        <x:v>Badan Informasi Geospasial (BIG)</x:v>
      </x:c>
      <x:c r="AL24" s="9" t="str">
        <x:v>https://power.larc.nasa.gov/docs/services/api/temporal/monthly/</x:v>
      </x:c>
      <x:c r="AM24" s="9" t="str">
        <x:v>https://geoservices.big.go.id/rbi/rest/services/BATASWILAYAH/BATAS_WILAYAH/MapServer/12</x:v>
      </x:c>
    </x:row>
    <x:row r="25" ht="18" customHeight="1">
      <x:c r="A25" s="6" t="str">
        <x:v>11</x:v>
      </x:c>
      <x:c r="B25" s="6" t="str">
        <x:v>ACEH</x:v>
      </x:c>
      <x:c r="C25" s="6" t="str">
        <x:v>2025</x:v>
      </x:c>
      <x:c r="D25" s="6" t="str">
        <x:v>12</x:v>
      </x:c>
      <x:c r="E25" s="6" t="str">
        <x:v>23.87483703325863</x:v>
      </x:c>
      <x:c r="F25" s="9" t="str">
        <x:v>grid_cells_within_BIG_polygon</x:v>
      </x:c>
      <x:c r="G25" s="6" t="str">
        <x:v>14</x:v>
      </x:c>
      <x:c r="H25" s="8" t="str">
        <x:v>87.9405971347615</x:v>
      </x:c>
      <x:c r="I25" s="6" t="str">
        <x:v>7.0228809670353805</x:v>
      </x:c>
      <x:c r="J25" s="6" t="str">
        <x:v>31</x:v>
      </x:c>
      <x:c r="K25" s="6" t="str">
        <x:v>217.7093099780968</x:v>
      </x:c>
      <x:c r="L25" s="6" t="str">
        <x:v>23.23211132043248</x:v>
      </x:c>
      <x:c r="M25" s="6" t="str">
        <x:v>0.2951527825685718</x:v>
      </x:c>
      <x:c r="N25" s="6" t="str">
        <x:v>88.45794937368983</x:v>
      </x:c>
      <x:c r="O25" s="6" t="str">
        <x:v>0.9779145250792339</x:v>
      </x:c>
      <x:c r="P25" s="6" t="str">
        <x:v>266.3223741573298</x:v>
      </x:c>
      <x:c r="Q25" s="6" t="str">
        <x:v>86.55902084048182</x:v>
      </x:c>
      <x:c r="R25" s="6" t="str">
        <x:v>0.6427257128261488</x:v>
      </x:c>
      <x:c r="S25" s="8" t="str">
        <x:v>2.177603433831177</x:v>
      </x:c>
      <x:c r="T25" s="6" t="str">
        <x:v>-0.5173522389283249</x:v>
      </x:c>
      <x:c r="U25" s="8" t="str">
        <x:v>-0.5290362558899586</x:v>
      </x:c>
      <x:c r="V25" s="6" t="str">
        <x:v>-48.61306417923302</x:v>
      </x:c>
      <x:c r="W25" s="8" t="str">
        <x:v>-0.56161753803594</x:v>
      </x:c>
      <x:c r="X25" s="6" t="str">
        <x:v>0.4880833758066928</x:v>
      </x:c>
      <x:c r="Y25" s="6" t="str">
        <x:v>2.2060710520894586</x:v>
      </x:c>
      <x:c r="Z25" s="6" t="str">
        <x:v>1.6239192872424422</x:v>
      </x:c>
      <x:c r="AA25" s="6" t="str">
        <x:v>-1.3926150595589386</x:v>
      </x:c>
      <x:c r="AB25" s="6" t="str">
        <x:v>-1.5370156014019896</x:v>
      </x:c>
      <x:c r="AC25" s="6" t="str">
        <x:v>-1.1528889722836293</x:v>
      </x:c>
      <x:c r="AD25" s="6" t="str">
        <x:v>5.290050261202156</x:v>
      </x:c>
      <x:c r="AE25" s="6" t="str">
        <x:v>1.1651343213861591</x:v>
      </x:c>
      <x:c r="AF25" s="6" t="str">
        <x:v>1.9645223481841254</x:v>
      </x:c>
      <x:c r="AG25" s="6" t="str">
        <x:v>0</x:v>
      </x:c>
      <x:c r="AH25" s="6" t="str">
        <x:v>1</x:v>
      </x:c>
      <x:c r="AI25" s="6" t="str">
        <x:v>2025-12</x:v>
      </x:c>
      <x:c r="AJ25" s="9" t="str">
        <x:v>NASA POWER (MERRA-2 meteorology)</x:v>
      </x:c>
      <x:c r="AK25" s="9" t="str">
        <x:v>Badan Informasi Geospasial (BIG)</x:v>
      </x:c>
      <x:c r="AL25" s="9" t="str">
        <x:v>https://power.larc.nasa.gov/docs/services/api/temporal/monthly/</x:v>
      </x:c>
      <x:c r="AM25" s="9" t="str">
        <x:v>https://geoservices.big.go.id/rbi/rest/services/BATASWILAYAH/BATAS_WILAYAH/MapServer/12</x:v>
      </x:c>
    </x:row>
    <x:row r="26" ht="18" customHeight="1">
      <x:c r="A26" s="6" t="str">
        <x:v>12</x:v>
      </x:c>
      <x:c r="B26" s="6" t="str">
        <x:v>SUMATERA UTARA</x:v>
      </x:c>
      <x:c r="C26" s="6" t="str">
        <x:v>2024</x:v>
      </x:c>
      <x:c r="D26" s="6" t="str">
        <x:v>1</x:v>
      </x:c>
      <x:c r="E26" s="6" t="str">
        <x:v>24.580245696784647</x:v>
      </x:c>
      <x:c r="F26" s="9" t="str">
        <x:v>grid_cells_within_BIG_polygon</x:v>
      </x:c>
      <x:c r="G26" s="6" t="str">
        <x:v>20</x:v>
      </x:c>
      <x:c r="H26" s="8" t="str">
        <x:v>89.77942028217288</x:v>
      </x:c>
      <x:c r="I26" s="6" t="str">
        <x:v>7.667309239579417</x:v>
      </x:c>
      <x:c r="J26" s="6" t="str">
        <x:v>31</x:v>
      </x:c>
      <x:c r="K26" s="6" t="str">
        <x:v>237.68658642696192</x:v>
      </x:c>
      <x:c r="L26" s="6" t="str">
        <x:v>23.757489054362228</x:v>
      </x:c>
      <x:c r="M26" s="6" t="str">
        <x:v>0.35919487901137986</x:v>
      </x:c>
      <x:c r="N26" s="6" t="str">
        <x:v>88.48649867600535</x:v>
      </x:c>
      <x:c r="O26" s="6" t="str">
        <x:v>1.0148456372841208</x:v>
      </x:c>
      <x:c r="P26" s="6" t="str">
        <x:v>225.9331804110488</x:v>
      </x:c>
      <x:c r="Q26" s="6" t="str">
        <x:v>76.64201205693438</x:v>
      </x:c>
      <x:c r="R26" s="6" t="str">
        <x:v>0.8227566424224193</x:v>
      </x:c>
      <x:c r="S26" s="8" t="str">
        <x:v>2.2905578294626885</x:v>
      </x:c>
      <x:c r="T26" s="6" t="str">
        <x:v>1.2929216061675248</x:v>
      </x:c>
      <x:c r="U26" s="8" t="str">
        <x:v>1.2740081433739785</x:v>
      </x:c>
      <x:c r="V26" s="6" t="str">
        <x:v>11.753406015913129</x:v>
      </x:c>
      <x:c r="W26" s="8" t="str">
        <x:v>0.1533546119220093</x:v>
      </x:c>
      <x:c r="X26" s="6" t="str">
        <x:v>3.197484179317298</x:v>
      </x:c>
      <x:c r="Y26" s="6" t="str">
        <x:v>2.762134362628866</x:v>
      </x:c>
      <x:c r="Z26" s="6" t="str">
        <x:v>2.7500587904696174</x:v>
      </x:c>
      <x:c r="AA26" s="6" t="str">
        <x:v>1.2762043411794688</x:v>
      </x:c>
      <x:c r="AB26" s="6" t="str">
        <x:v>0.39558562332429836</x:v>
      </x:c>
      <x:c r="AC26" s="6" t="str">
        <x:v>0.9819327026259154</x:v>
      </x:c>
      <x:c r="AD26" s="6" t="str">
        <x:v>0.5572363661627762</x:v>
      </x:c>
      <x:c r="AE26" s="6" t="str">
        <x:v>0.29888206607052065</x:v>
      </x:c>
      <x:c r="AF26" s="6" t="str">
        <x:v>0.3364910147184353</x:v>
      </x:c>
      <x:c r="AG26" s="6" t="str">
        <x:v>0</x:v>
      </x:c>
      <x:c r="AH26" s="6" t="str">
        <x:v>1</x:v>
      </x:c>
      <x:c r="AI26" s="6" t="str">
        <x:v>2024-01</x:v>
      </x:c>
      <x:c r="AJ26" s="9" t="str">
        <x:v>NASA POWER (MERRA-2 meteorology)</x:v>
      </x:c>
      <x:c r="AK26" s="9" t="str">
        <x:v>Badan Informasi Geospasial (BIG)</x:v>
      </x:c>
      <x:c r="AL26" s="9" t="str">
        <x:v>https://power.larc.nasa.gov/docs/services/api/temporal/monthly/</x:v>
      </x:c>
      <x:c r="AM26" s="9" t="str">
        <x:v>https://geoservices.big.go.id/rbi/rest/services/BATASWILAYAH/BATAS_WILAYAH/MapServer/12</x:v>
      </x:c>
    </x:row>
    <x:row r="27" ht="18" customHeight="1">
      <x:c r="A27" s="6" t="str">
        <x:v>12</x:v>
      </x:c>
      <x:c r="B27" s="6" t="str">
        <x:v>SUMATERA UTARA</x:v>
      </x:c>
      <x:c r="C27" s="6" t="str">
        <x:v>2024</x:v>
      </x:c>
      <x:c r="D27" s="6" t="str">
        <x:v>2</x:v>
      </x:c>
      <x:c r="E27" s="6" t="str">
        <x:v>25.26219461941835</x:v>
      </x:c>
      <x:c r="F27" s="9" t="str">
        <x:v>grid_cells_within_BIG_polygon</x:v>
      </x:c>
      <x:c r="G27" s="6" t="str">
        <x:v>20</x:v>
      </x:c>
      <x:c r="H27" s="8" t="str">
        <x:v>87.9571461079924</x:v>
      </x:c>
      <x:c r="I27" s="6" t="str">
        <x:v>6.766861964001812</x:v>
      </x:c>
      <x:c r="J27" s="6" t="str">
        <x:v>29</x:v>
      </x:c>
      <x:c r="K27" s="6" t="str">
        <x:v>196.23899695605255</x:v>
      </x:c>
      <x:c r="L27" s="6" t="str">
        <x:v>24.084874394159904</x:v>
      </x:c>
      <x:c r="M27" s="6" t="str">
        <x:v>0.3734961499317396</x:v>
      </x:c>
      <x:c r="N27" s="6" t="str">
        <x:v>87.31666083038341</x:v>
      </x:c>
      <x:c r="O27" s="6" t="str">
        <x:v>1.121243550338431</x:v>
      </x:c>
      <x:c r="P27" s="6" t="str">
        <x:v>196.38049079293373</x:v>
      </x:c>
      <x:c r="Q27" s="6" t="str">
        <x:v>66.14567070670856</x:v>
      </x:c>
      <x:c r="R27" s="6" t="str">
        <x:v>1.1773202252584447</x:v>
      </x:c>
      <x:c r="S27" s="8" t="str">
        <x:v>3.1521616098950753</x:v>
      </x:c>
      <x:c r="T27" s="6" t="str">
        <x:v>0.6404852776089882</x:v>
      </x:c>
      <x:c r="U27" s="8" t="str">
        <x:v>0.5712276136756078</x:v>
      </x:c>
      <x:c r="V27" s="6" t="str">
        <x:v>-0.14149383688118178</x:v>
      </x:c>
      <x:c r="W27" s="8" t="str">
        <x:v>-0.0021391246829829385</x:v>
      </x:c>
      <x:c r="X27" s="6" t="str">
        <x:v>2.2905578294626885</x:v>
      </x:c>
      <x:c r="Y27" s="6" t="str">
        <x:v>3.197484179317298</x:v>
      </x:c>
      <x:c r="Z27" s="6" t="str">
        <x:v>2.8800678728916878</x:v>
      </x:c>
      <x:c r="AA27" s="6" t="str">
        <x:v>1.2740081433739785</x:v>
      </x:c>
      <x:c r="AB27" s="6" t="str">
        <x:v>1.2762043411794688</x:v>
      </x:c>
      <x:c r="AC27" s="6" t="str">
        <x:v>1.0404800327430186</x:v>
      </x:c>
      <x:c r="AD27" s="6" t="str">
        <x:v>0.1533546119220093</x:v>
      </x:c>
      <x:c r="AE27" s="6" t="str">
        <x:v>0.5572363661627762</x:v>
      </x:c>
      <x:c r="AF27" s="6" t="str">
        <x:v>0.23615061780060076</x:v>
      </x:c>
      <x:c r="AG27" s="6" t="str">
        <x:v>0</x:v>
      </x:c>
      <x:c r="AH27" s="6" t="str">
        <x:v>1</x:v>
      </x:c>
      <x:c r="AI27" s="6" t="str">
        <x:v>2024-02</x:v>
      </x:c>
      <x:c r="AJ27" s="9" t="str">
        <x:v>NASA POWER (MERRA-2 meteorology)</x:v>
      </x:c>
      <x:c r="AK27" s="9" t="str">
        <x:v>Badan Informasi Geospasial (BIG)</x:v>
      </x:c>
      <x:c r="AL27" s="9" t="str">
        <x:v>https://power.larc.nasa.gov/docs/services/api/temporal/monthly/</x:v>
      </x:c>
      <x:c r="AM27" s="9" t="str">
        <x:v>https://geoservices.big.go.id/rbi/rest/services/BATASWILAYAH/BATAS_WILAYAH/MapServer/12</x:v>
      </x:c>
    </x:row>
    <x:row r="28" ht="18" customHeight="1">
      <x:c r="A28" s="6" t="str">
        <x:v>12</x:v>
      </x:c>
      <x:c r="B28" s="6" t="str">
        <x:v>SUMATERA UTARA</x:v>
      </x:c>
      <x:c r="C28" s="6" t="str">
        <x:v>2024</x:v>
      </x:c>
      <x:c r="D28" s="6" t="str">
        <x:v>3</x:v>
      </x:c>
      <x:c r="E28" s="6" t="str">
        <x:v>25.423628498066492</x:v>
      </x:c>
      <x:c r="F28" s="9" t="str">
        <x:v>grid_cells_within_BIG_polygon</x:v>
      </x:c>
      <x:c r="G28" s="6" t="str">
        <x:v>20</x:v>
      </x:c>
      <x:c r="H28" s="8" t="str">
        <x:v>87.42602027543938</x:v>
      </x:c>
      <x:c r="I28" s="6" t="str">
        <x:v>7.7508067764547315</x:v>
      </x:c>
      <x:c r="J28" s="6" t="str">
        <x:v>31</x:v>
      </x:c>
      <x:c r="K28" s="6" t="str">
        <x:v>240.27501007009667</x:v>
      </x:c>
      <x:c r="L28" s="6" t="str">
        <x:v>24.3842281394486</x:v>
      </x:c>
      <x:c r="M28" s="6" t="str">
        <x:v>0.4270296835710363</x:v>
      </x:c>
      <x:c r="N28" s="6" t="str">
        <x:v>87.54982387645053</x:v>
      </x:c>
      <x:c r="O28" s="6" t="str">
        <x:v>1.0534999392263233</x:v>
      </x:c>
      <x:c r="P28" s="6" t="str">
        <x:v>267.1054956471804</x:v>
      </x:c>
      <x:c r="Q28" s="6" t="str">
        <x:v>84.7716474919006</x:v>
      </x:c>
      <x:c r="R28" s="6" t="str">
        <x:v>1.0394003586178933</x:v>
      </x:c>
      <x:c r="S28" s="8" t="str">
        <x:v>2.434023672373092</x:v>
      </x:c>
      <x:c r="T28" s="6" t="str">
        <x:v>-0.12380360101114718</x:v>
      </x:c>
      <x:c r="U28" s="8" t="str">
        <x:v>-0.11751647665216472</x:v>
      </x:c>
      <x:c r="V28" s="6" t="str">
        <x:v>-26.83048557708375</x:v>
      </x:c>
      <x:c r="W28" s="8" t="str">
        <x:v>-0.31650305698785947</x:v>
      </x:c>
      <x:c r="X28" s="6" t="str">
        <x:v>3.1521616098950753</x:v>
      </x:c>
      <x:c r="Y28" s="6" t="str">
        <x:v>2.2905578294626885</x:v>
      </x:c>
      <x:c r="Z28" s="6" t="str">
        <x:v>2.625581037243619</x:v>
      </x:c>
      <x:c r="AA28" s="6" t="str">
        <x:v>0.5712276136756078</x:v>
      </x:c>
      <x:c r="AB28" s="6" t="str">
        <x:v>1.2740081433739785</x:v>
      </x:c>
      <x:c r="AC28" s="6" t="str">
        <x:v>0.5759064267991406</x:v>
      </x:c>
      <x:c r="AD28" s="6" t="str">
        <x:v>-0.0021391246829829385</x:v>
      </x:c>
      <x:c r="AE28" s="6" t="str">
        <x:v>0.1533546119220093</x:v>
      </x:c>
      <x:c r="AF28" s="6" t="str">
        <x:v>-0.055095856582944434</x:v>
      </x:c>
      <x:c r="AG28" s="6" t="str">
        <x:v>0</x:v>
      </x:c>
      <x:c r="AH28" s="6" t="str">
        <x:v>1</x:v>
      </x:c>
      <x:c r="AI28" s="6" t="str">
        <x:v>2024-03</x:v>
      </x:c>
      <x:c r="AJ28" s="9" t="str">
        <x:v>NASA POWER (MERRA-2 meteorology)</x:v>
      </x:c>
      <x:c r="AK28" s="9" t="str">
        <x:v>Badan Informasi Geospasial (BIG)</x:v>
      </x:c>
      <x:c r="AL28" s="9" t="str">
        <x:v>https://power.larc.nasa.gov/docs/services/api/temporal/monthly/</x:v>
      </x:c>
      <x:c r="AM28" s="9" t="str">
        <x:v>https://geoservices.big.go.id/rbi/rest/services/BATASWILAYAH/BATAS_WILAYAH/MapServer/12</x:v>
      </x:c>
    </x:row>
    <x:row r="29" ht="18" customHeight="1">
      <x:c r="A29" s="6" t="str">
        <x:v>12</x:v>
      </x:c>
      <x:c r="B29" s="6" t="str">
        <x:v>SUMATERA UTARA</x:v>
      </x:c>
      <x:c r="C29" s="6" t="str">
        <x:v>2024</x:v>
      </x:c>
      <x:c r="D29" s="6" t="str">
        <x:v>4</x:v>
      </x:c>
      <x:c r="E29" s="6" t="str">
        <x:v>25.839514587981892</x:v>
      </x:c>
      <x:c r="F29" s="9" t="str">
        <x:v>grid_cells_within_BIG_polygon</x:v>
      </x:c>
      <x:c r="G29" s="6" t="str">
        <x:v>20</x:v>
      </x:c>
      <x:c r="H29" s="8" t="str">
        <x:v>88.79728716354116</x:v>
      </x:c>
      <x:c r="I29" s="6" t="str">
        <x:v>10.376378443030942</x:v>
      </x:c>
      <x:c r="J29" s="6" t="str">
        <x:v>30</x:v>
      </x:c>
      <x:c r="K29" s="6" t="str">
        <x:v>311.29135329092827</x:v>
      </x:c>
      <x:c r="L29" s="6" t="str">
        <x:v>24.615719415499136</x:v>
      </x:c>
      <x:c r="M29" s="6" t="str">
        <x:v>0.4124546131764676</x:v>
      </x:c>
      <x:c r="N29" s="6" t="str">
        <x:v>88.54047441863864</x:v>
      </x:c>
      <x:c r="O29" s="6" t="str">
        <x:v>0.8158226637306462</x:v>
      </x:c>
      <x:c r="P29" s="6" t="str">
        <x:v>260.9988802662158</x:v>
      </x:c>
      <x:c r="Q29" s="6" t="str">
        <x:v>65.77134979171312</x:v>
      </x:c>
      <x:c r="R29" s="6" t="str">
        <x:v>1.223795172482756</x:v>
      </x:c>
      <x:c r="S29" s="8" t="str">
        <x:v>2.967102642052784</x:v>
      </x:c>
      <x:c r="T29" s="6" t="str">
        <x:v>0.2568127449025184</x:v>
      </x:c>
      <x:c r="U29" s="8" t="str">
        <x:v>0.31478991246473664</x:v>
      </x:c>
      <x:c r="V29" s="6" t="str">
        <x:v>50.29247302471248</x:v>
      </x:c>
      <x:c r="W29" s="8" t="str">
        <x:v>0.7646562398974681</x:v>
      </x:c>
      <x:c r="X29" s="6" t="str">
        <x:v>2.434023672373092</x:v>
      </x:c>
      <x:c r="Y29" s="6" t="str">
        <x:v>3.1521616098950753</x:v>
      </x:c>
      <x:c r="Z29" s="6" t="str">
        <x:v>2.8510959747736506</x:v>
      </x:c>
      <x:c r="AA29" s="6" t="str">
        <x:v>-0.11751647665216472</x:v>
      </x:c>
      <x:c r="AB29" s="6" t="str">
        <x:v>0.5712276136756078</x:v>
      </x:c>
      <x:c r="AC29" s="6" t="str">
        <x:v>0.25616701649606005</x:v>
      </x:c>
      <x:c r="AD29" s="6" t="str">
        <x:v>-0.31650305698785947</x:v>
      </x:c>
      <x:c r="AE29" s="6" t="str">
        <x:v>-0.0021391246829829385</x:v>
      </x:c>
      <x:c r="AF29" s="6" t="str">
        <x:v>0.14867135274220852</x:v>
      </x:c>
      <x:c r="AG29" s="6" t="str">
        <x:v>0</x:v>
      </x:c>
      <x:c r="AH29" s="6" t="str">
        <x:v>1</x:v>
      </x:c>
      <x:c r="AI29" s="6" t="str">
        <x:v>2024-04</x:v>
      </x:c>
      <x:c r="AJ29" s="9" t="str">
        <x:v>NASA POWER (MERRA-2 meteorology)</x:v>
      </x:c>
      <x:c r="AK29" s="9" t="str">
        <x:v>Badan Informasi Geospasial (BIG)</x:v>
      </x:c>
      <x:c r="AL29" s="9" t="str">
        <x:v>https://power.larc.nasa.gov/docs/services/api/temporal/monthly/</x:v>
      </x:c>
      <x:c r="AM29" s="9" t="str">
        <x:v>https://geoservices.big.go.id/rbi/rest/services/BATASWILAYAH/BATAS_WILAYAH/MapServer/12</x:v>
      </x:c>
    </x:row>
    <x:row r="30" ht="18" customHeight="1">
      <x:c r="A30" s="6" t="str">
        <x:v>12</x:v>
      </x:c>
      <x:c r="B30" s="6" t="str">
        <x:v>SUMATERA UTARA</x:v>
      </x:c>
      <x:c r="C30" s="6" t="str">
        <x:v>2024</x:v>
      </x:c>
      <x:c r="D30" s="6" t="str">
        <x:v>5</x:v>
      </x:c>
      <x:c r="E30" s="6" t="str">
        <x:v>25.790502639639115</x:v>
      </x:c>
      <x:c r="F30" s="9" t="str">
        <x:v>grid_cells_within_BIG_polygon</x:v>
      </x:c>
      <x:c r="G30" s="6" t="str">
        <x:v>20</x:v>
      </x:c>
      <x:c r="H30" s="8" t="str">
        <x:v>89.36506548951076</x:v>
      </x:c>
      <x:c r="I30" s="6" t="str">
        <x:v>9.625985538403773</x:v>
      </x:c>
      <x:c r="J30" s="6" t="str">
        <x:v>31</x:v>
      </x:c>
      <x:c r="K30" s="6" t="str">
        <x:v>298.405551690517</x:v>
      </x:c>
      <x:c r="L30" s="6" t="str">
        <x:v>24.721800469167025</x:v>
      </x:c>
      <x:c r="M30" s="6" t="str">
        <x:v>0.30949044502070366</x:v>
      </x:c>
      <x:c r="N30" s="6" t="str">
        <x:v>88.52233263424748</x:v>
      </x:c>
      <x:c r="O30" s="6" t="str">
        <x:v>0.7563331627807002</x:v>
      </x:c>
      <x:c r="P30" s="6" t="str">
        <x:v>245.03911439791543</x:v>
      </x:c>
      <x:c r="Q30" s="6" t="str">
        <x:v>84.3334543136075</x:v>
      </x:c>
      <x:c r="R30" s="6" t="str">
        <x:v>1.0687021704720898</x:v>
      </x:c>
      <x:c r="S30" s="8" t="str">
        <x:v>3.4531023095094193</x:v>
      </x:c>
      <x:c r="T30" s="6" t="str">
        <x:v>0.8427328552632787</x:v>
      </x:c>
      <x:c r="U30" s="8" t="str">
        <x:v>1.114234965137487</x:v>
      </x:c>
      <x:c r="V30" s="6" t="str">
        <x:v>53.366437292601546</x:v>
      </x:c>
      <x:c r="W30" s="8" t="str">
        <x:v>0.6328026964738083</x:v>
      </x:c>
      <x:c r="X30" s="6" t="str">
        <x:v>2.967102642052784</x:v>
      </x:c>
      <x:c r="Y30" s="6" t="str">
        <x:v>2.434023672373092</x:v>
      </x:c>
      <x:c r="Z30" s="6" t="str">
        <x:v>2.951409541311765</x:v>
      </x:c>
      <x:c r="AA30" s="6" t="str">
        <x:v>0.31478991246473664</x:v>
      </x:c>
      <x:c r="AB30" s="6" t="str">
        <x:v>-0.11751647665216472</x:v>
      </x:c>
      <x:c r="AC30" s="6" t="str">
        <x:v>0.43716946698335307</x:v>
      </x:c>
      <x:c r="AD30" s="6" t="str">
        <x:v>0.7646562398974681</x:v>
      </x:c>
      <x:c r="AE30" s="6" t="str">
        <x:v>-0.31650305698785947</x:v>
      </x:c>
      <x:c r="AF30" s="6" t="str">
        <x:v>0.3603186264611389</x:v>
      </x:c>
      <x:c r="AG30" s="6" t="str">
        <x:v>0</x:v>
      </x:c>
      <x:c r="AH30" s="6" t="str">
        <x:v>1</x:v>
      </x:c>
      <x:c r="AI30" s="6" t="str">
        <x:v>2024-05</x:v>
      </x:c>
      <x:c r="AJ30" s="9" t="str">
        <x:v>NASA POWER (MERRA-2 meteorology)</x:v>
      </x:c>
      <x:c r="AK30" s="9" t="str">
        <x:v>Badan Informasi Geospasial (BIG)</x:v>
      </x:c>
      <x:c r="AL30" s="9" t="str">
        <x:v>https://power.larc.nasa.gov/docs/services/api/temporal/monthly/</x:v>
      </x:c>
      <x:c r="AM30" s="9" t="str">
        <x:v>https://geoservices.big.go.id/rbi/rest/services/BATASWILAYAH/BATAS_WILAYAH/MapServer/12</x:v>
      </x:c>
    </x:row>
    <x:row r="31" ht="18" customHeight="1">
      <x:c r="A31" s="6" t="str">
        <x:v>12</x:v>
      </x:c>
      <x:c r="B31" s="6" t="str">
        <x:v>SUMATERA UTARA</x:v>
      </x:c>
      <x:c r="C31" s="6" t="str">
        <x:v>2024</x:v>
      </x:c>
      <x:c r="D31" s="6" t="str">
        <x:v>6</x:v>
      </x:c>
      <x:c r="E31" s="6" t="str">
        <x:v>24.967607231677377</x:v>
      </x:c>
      <x:c r="F31" s="9" t="str">
        <x:v>grid_cells_within_BIG_polygon</x:v>
      </x:c>
      <x:c r="G31" s="6" t="str">
        <x:v>20</x:v>
      </x:c>
      <x:c r="H31" s="8" t="str">
        <x:v>88.21634060251446</x:v>
      </x:c>
      <x:c r="I31" s="6" t="str">
        <x:v>13.447155295792927</x:v>
      </x:c>
      <x:c r="J31" s="6" t="str">
        <x:v>30</x:v>
      </x:c>
      <x:c r="K31" s="6" t="str">
        <x:v>403.4146588737878</x:v>
      </x:c>
      <x:c r="L31" s="6" t="str">
        <x:v>24.263945650796636</x:v>
      </x:c>
      <x:c r="M31" s="6" t="str">
        <x:v>0.251104392975668</x:v>
      </x:c>
      <x:c r="N31" s="6" t="str">
        <x:v>88.00161025476203</x:v>
      </x:c>
      <x:c r="O31" s="6" t="str">
        <x:v>0.8395460235346192</x:v>
      </x:c>
      <x:c r="P31" s="6" t="str">
        <x:v>185.80554032848795</x:v>
      </x:c>
      <x:c r="Q31" s="6" t="str">
        <x:v>53.83984967413286</x:v>
      </x:c>
      <x:c r="R31" s="6" t="str">
        <x:v>0.7036615808807412</x:v>
      </x:c>
      <x:c r="S31" s="8" t="str">
        <x:v>2.8022671070869154</x:v>
      </x:c>
      <x:c r="T31" s="6" t="str">
        <x:v>0.21473034775243605</x:v>
      </x:c>
      <x:c r="U31" s="8" t="str">
        <x:v>0.2557695965831485</x:v>
      </x:c>
      <x:c r="V31" s="6" t="str">
        <x:v>217.60911854529985</x:v>
      </x:c>
      <x:c r="W31" s="8" t="str">
        <x:v>4.041785403606899</x:v>
      </x:c>
      <x:c r="X31" s="6" t="str">
        <x:v>3.4531023095094193</x:v>
      </x:c>
      <x:c r="Y31" s="6" t="str">
        <x:v>2.967102642052784</x:v>
      </x:c>
      <x:c r="Z31" s="6" t="str">
        <x:v>3.0741573528830397</x:v>
      </x:c>
      <x:c r="AA31" s="6" t="str">
        <x:v>1.114234965137487</x:v>
      </x:c>
      <x:c r="AB31" s="6" t="str">
        <x:v>0.31478991246473664</x:v>
      </x:c>
      <x:c r="AC31" s="6" t="str">
        <x:v>0.5615981580617909</x:v>
      </x:c>
      <x:c r="AD31" s="6" t="str">
        <x:v>0.6328026964738083</x:v>
      </x:c>
      <x:c r="AE31" s="6" t="str">
        <x:v>0.7646562398974681</x:v>
      </x:c>
      <x:c r="AF31" s="6" t="str">
        <x:v>1.8130814466593916</x:v>
      </x:c>
      <x:c r="AG31" s="6" t="str">
        <x:v>1</x:v>
      </x:c>
      <x:c r="AH31" s="6" t="str">
        <x:v>1</x:v>
      </x:c>
      <x:c r="AI31" s="6" t="str">
        <x:v>2024-06</x:v>
      </x:c>
      <x:c r="AJ31" s="9" t="str">
        <x:v>NASA POWER (MERRA-2 meteorology)</x:v>
      </x:c>
      <x:c r="AK31" s="9" t="str">
        <x:v>Badan Informasi Geospasial (BIG)</x:v>
      </x:c>
      <x:c r="AL31" s="9" t="str">
        <x:v>https://power.larc.nasa.gov/docs/services/api/temporal/monthly/</x:v>
      </x:c>
      <x:c r="AM31" s="9" t="str">
        <x:v>https://geoservices.big.go.id/rbi/rest/services/BATASWILAYAH/BATAS_WILAYAH/MapServer/12</x:v>
      </x:c>
    </x:row>
    <x:row r="32" ht="18" customHeight="1">
      <x:c r="A32" s="6" t="str">
        <x:v>12</x:v>
      </x:c>
      <x:c r="B32" s="6" t="str">
        <x:v>SUMATERA UTARA</x:v>
      </x:c>
      <x:c r="C32" s="6" t="str">
        <x:v>2024</x:v>
      </x:c>
      <x:c r="D32" s="6" t="str">
        <x:v>7</x:v>
      </x:c>
      <x:c r="E32" s="6" t="str">
        <x:v>24.920093927946102</x:v>
      </x:c>
      <x:c r="F32" s="9" t="str">
        <x:v>grid_cells_within_BIG_polygon</x:v>
      </x:c>
      <x:c r="G32" s="6" t="str">
        <x:v>20</x:v>
      </x:c>
      <x:c r="H32" s="8" t="str">
        <x:v>87.12928615721474</x:v>
      </x:c>
      <x:c r="I32" s="6" t="str">
        <x:v>3.85916330939016</x:v>
      </x:c>
      <x:c r="J32" s="6" t="str">
        <x:v>31</x:v>
      </x:c>
      <x:c r="K32" s="6" t="str">
        <x:v>119.63406259109496</x:v>
      </x:c>
      <x:c r="L32" s="6" t="str">
        <x:v>23.940101543165877</x:v>
      </x:c>
      <x:c r="M32" s="6" t="str">
        <x:v>0.24125971276247773</x:v>
      </x:c>
      <x:c r="N32" s="6" t="str">
        <x:v>87.82481011728284</x:v>
      </x:c>
      <x:c r="O32" s="6" t="str">
        <x:v>1.0269830366464376</x:v>
      </x:c>
      <x:c r="P32" s="6" t="str">
        <x:v>238.89601847736682</x:v>
      </x:c>
      <x:c r="Q32" s="6" t="str">
        <x:v>90.86975411293433</x:v>
      </x:c>
      <x:c r="R32" s="6" t="str">
        <x:v>0.9799923847802248</x:v>
      </x:c>
      <x:c r="S32" s="8" t="str">
        <x:v>4.061981064136621</x:v>
      </x:c>
      <x:c r="T32" s="6" t="str">
        <x:v>-0.6955239600681011</x:v>
      </x:c>
      <x:c r="U32" s="8" t="str">
        <x:v>-0.6772497064209554</x:v>
      </x:c>
      <x:c r="V32" s="6" t="str">
        <x:v>-119.26195588627186</x:v>
      </x:c>
      <x:c r="W32" s="8" t="str">
        <x:v>-1.3124494178563668</x:v>
      </x:c>
      <x:c r="X32" s="6" t="str">
        <x:v>2.8022671070869154</x:v>
      </x:c>
      <x:c r="Y32" s="6" t="str">
        <x:v>3.4531023095094193</x:v>
      </x:c>
      <x:c r="Z32" s="6" t="str">
        <x:v>3.439116826910985</x:v>
      </x:c>
      <x:c r="AA32" s="6" t="str">
        <x:v>0.2557695965831485</x:v>
      </x:c>
      <x:c r="AB32" s="6" t="str">
        <x:v>1.114234965137487</x:v>
      </x:c>
      <x:c r="AC32" s="6" t="str">
        <x:v>0.2309182850998935</x:v>
      </x:c>
      <x:c r="AD32" s="6" t="str">
        <x:v>4.041785403606899</x:v>
      </x:c>
      <x:c r="AE32" s="6" t="str">
        <x:v>0.6328026964738083</x:v>
      </x:c>
      <x:c r="AF32" s="6" t="str">
        <x:v>1.12071289407478</x:v>
      </x:c>
      <x:c r="AG32" s="6" t="str">
        <x:v>0</x:v>
      </x:c>
      <x:c r="AH32" s="6" t="str">
        <x:v>1</x:v>
      </x:c>
      <x:c r="AI32" s="6" t="str">
        <x:v>2024-07</x:v>
      </x:c>
      <x:c r="AJ32" s="9" t="str">
        <x:v>NASA POWER (MERRA-2 meteorology)</x:v>
      </x:c>
      <x:c r="AK32" s="9" t="str">
        <x:v>Badan Informasi Geospasial (BIG)</x:v>
      </x:c>
      <x:c r="AL32" s="9" t="str">
        <x:v>https://power.larc.nasa.gov/docs/services/api/temporal/monthly/</x:v>
      </x:c>
      <x:c r="AM32" s="9" t="str">
        <x:v>https://geoservices.big.go.id/rbi/rest/services/BATASWILAYAH/BATAS_WILAYAH/MapServer/12</x:v>
      </x:c>
    </x:row>
    <x:row r="33" ht="18" customHeight="1">
      <x:c r="A33" s="6" t="str">
        <x:v>12</x:v>
      </x:c>
      <x:c r="B33" s="6" t="str">
        <x:v>SUMATERA UTARA</x:v>
      </x:c>
      <x:c r="C33" s="6" t="str">
        <x:v>2024</x:v>
      </x:c>
      <x:c r="D33" s="6" t="str">
        <x:v>8</x:v>
      </x:c>
      <x:c r="E33" s="6" t="str">
        <x:v>24.657127441681638</x:v>
      </x:c>
      <x:c r="F33" s="9" t="str">
        <x:v>grid_cells_within_BIG_polygon</x:v>
      </x:c>
      <x:c r="G33" s="6" t="str">
        <x:v>20</x:v>
      </x:c>
      <x:c r="H33" s="8" t="str">
        <x:v>89.46229476798192</x:v>
      </x:c>
      <x:c r="I33" s="6" t="str">
        <x:v>14.042274780743941</x:v>
      </x:c>
      <x:c r="J33" s="6" t="str">
        <x:v>31</x:v>
      </x:c>
      <x:c r="K33" s="6" t="str">
        <x:v>435.3105182030622</x:v>
      </x:c>
      <x:c r="L33" s="6" t="str">
        <x:v>23.912456567373223</x:v>
      </x:c>
      <x:c r="M33" s="6" t="str">
        <x:v>0.2339354463508184</x:v>
      </x:c>
      <x:c r="N33" s="6" t="str">
        <x:v>88.07952935720972</x:v>
      </x:c>
      <x:c r="O33" s="6" t="str">
        <x:v>1.0402535660861476</x:v>
      </x:c>
      <x:c r="P33" s="6" t="str">
        <x:v>291.18176279834387</x:v>
      </x:c>
      <x:c r="Q33" s="6" t="str">
        <x:v>104.48671484882198</x:v>
      </x:c>
      <x:c r="R33" s="6" t="str">
        <x:v>0.7446708743084152</x:v>
      </x:c>
      <x:c r="S33" s="8" t="str">
        <x:v>3.183232322953225</x:v>
      </x:c>
      <x:c r="T33" s="6" t="str">
        <x:v>1.382765410772194</x:v>
      </x:c>
      <x:c r="U33" s="8" t="str">
        <x:v>1.3292580346296854</x:v>
      </x:c>
      <x:c r="V33" s="6" t="str">
        <x:v>144.12875540471833</x:v>
      </x:c>
      <x:c r="W33" s="8" t="str">
        <x:v>1.3793979034870891</x:v>
      </x:c>
      <x:c r="X33" s="6" t="str">
        <x:v>4.061981064136621</x:v>
      </x:c>
      <x:c r="Y33" s="6" t="str">
        <x:v>2.8022671070869154</x:v>
      </x:c>
      <x:c r="Z33" s="6" t="str">
        <x:v>3.3491601647255873</x:v>
      </x:c>
      <x:c r="AA33" s="6" t="str">
        <x:v>-0.6772497064209554</x:v>
      </x:c>
      <x:c r="AB33" s="6" t="str">
        <x:v>0.2557695965831485</x:v>
      </x:c>
      <x:c r="AC33" s="6" t="str">
        <x:v>0.302592641597293</x:v>
      </x:c>
      <x:c r="AD33" s="6" t="str">
        <x:v>-1.3124494178563668</x:v>
      </x:c>
      <x:c r="AE33" s="6" t="str">
        <x:v>4.041785403606899</x:v>
      </x:c>
      <x:c r="AF33" s="6" t="str">
        <x:v>1.369577963079207</x:v>
      </x:c>
      <x:c r="AG33" s="6" t="str">
        <x:v>1</x:v>
      </x:c>
      <x:c r="AH33" s="6" t="str">
        <x:v>1</x:v>
      </x:c>
      <x:c r="AI33" s="6" t="str">
        <x:v>2024-08</x:v>
      </x:c>
      <x:c r="AJ33" s="9" t="str">
        <x:v>NASA POWER (MERRA-2 meteorology)</x:v>
      </x:c>
      <x:c r="AK33" s="9" t="str">
        <x:v>Badan Informasi Geospasial (BIG)</x:v>
      </x:c>
      <x:c r="AL33" s="9" t="str">
        <x:v>https://power.larc.nasa.gov/docs/services/api/temporal/monthly/</x:v>
      </x:c>
      <x:c r="AM33" s="9" t="str">
        <x:v>https://geoservices.big.go.id/rbi/rest/services/BATASWILAYAH/BATAS_WILAYAH/MapServer/12</x:v>
      </x:c>
    </x:row>
    <x:row r="34" ht="18" customHeight="1">
      <x:c r="A34" s="6" t="str">
        <x:v>12</x:v>
      </x:c>
      <x:c r="B34" s="6" t="str">
        <x:v>SUMATERA UTARA</x:v>
      </x:c>
      <x:c r="C34" s="6" t="str">
        <x:v>2024</x:v>
      </x:c>
      <x:c r="D34" s="6" t="str">
        <x:v>9</x:v>
      </x:c>
      <x:c r="E34" s="6" t="str">
        <x:v>24.507121421827623</x:v>
      </x:c>
      <x:c r="F34" s="9" t="str">
        <x:v>grid_cells_within_BIG_polygon</x:v>
      </x:c>
      <x:c r="G34" s="6" t="str">
        <x:v>20</x:v>
      </x:c>
      <x:c r="H34" s="8" t="str">
        <x:v>88.90086295320944</x:v>
      </x:c>
      <x:c r="I34" s="6" t="str">
        <x:v>11.322722240063994</x:v>
      </x:c>
      <x:c r="J34" s="6" t="str">
        <x:v>30</x:v>
      </x:c>
      <x:c r="K34" s="6" t="str">
        <x:v>339.6816672019198</x:v>
      </x:c>
      <x:c r="L34" s="6" t="str">
        <x:v>23.921897114608864</x:v>
      </x:c>
      <x:c r="M34" s="6" t="str">
        <x:v>0.2189161762617032</x:v>
      </x:c>
      <x:c r="N34" s="6" t="str">
        <x:v>88.48912634346404</x:v>
      </x:c>
      <x:c r="O34" s="6" t="str">
        <x:v>0.9936386712088328</x:v>
      </x:c>
      <x:c r="P34" s="6" t="str">
        <x:v>315.0806719948465</x:v>
      </x:c>
      <x:c r="Q34" s="6" t="str">
        <x:v>77.67333998866617</x:v>
      </x:c>
      <x:c r="R34" s="6" t="str">
        <x:v>0.5852243072187591</x:v>
      </x:c>
      <x:c r="S34" s="8" t="str">
        <x:v>2.6732803268003047</x:v>
      </x:c>
      <x:c r="T34" s="6" t="str">
        <x:v>0.4117366097454038</x:v>
      </x:c>
      <x:c r="U34" s="8" t="str">
        <x:v>0.41437256990460797</x:v>
      </x:c>
      <x:c r="V34" s="6" t="str">
        <x:v>24.60099520707331</x:v>
      </x:c>
      <x:c r="W34" s="8" t="str">
        <x:v>0.3167237975174365</x:v>
      </x:c>
      <x:c r="X34" s="6" t="str">
        <x:v>3.183232322953225</x:v>
      </x:c>
      <x:c r="Y34" s="6" t="str">
        <x:v>4.061981064136621</x:v>
      </x:c>
      <x:c r="Z34" s="6" t="str">
        <x:v>3.306164571296717</x:v>
      </x:c>
      <x:c r="AA34" s="6" t="str">
        <x:v>1.3292580346296854</x:v>
      </x:c>
      <x:c r="AB34" s="6" t="str">
        <x:v>-0.6772497064209554</x:v>
      </x:c>
      <x:c r="AC34" s="6" t="str">
        <x:v>0.35546029937111273</x:v>
      </x:c>
      <x:c r="AD34" s="6" t="str">
        <x:v>1.3793979034870891</x:v>
      </x:c>
      <x:c r="AE34" s="6" t="str">
        <x:v>-1.3124494178563668</x:v>
      </x:c>
      <x:c r="AF34" s="6" t="str">
        <x:v>0.12789076104938613</x:v>
      </x:c>
      <x:c r="AG34" s="6" t="str">
        <x:v>0</x:v>
      </x:c>
      <x:c r="AH34" s="6" t="str">
        <x:v>1</x:v>
      </x:c>
      <x:c r="AI34" s="6" t="str">
        <x:v>2024-09</x:v>
      </x:c>
      <x:c r="AJ34" s="9" t="str">
        <x:v>NASA POWER (MERRA-2 meteorology)</x:v>
      </x:c>
      <x:c r="AK34" s="9" t="str">
        <x:v>Badan Informasi Geospasial (BIG)</x:v>
      </x:c>
      <x:c r="AL34" s="9" t="str">
        <x:v>https://power.larc.nasa.gov/docs/services/api/temporal/monthly/</x:v>
      </x:c>
      <x:c r="AM34" s="9" t="str">
        <x:v>https://geoservices.big.go.id/rbi/rest/services/BATASWILAYAH/BATAS_WILAYAH/MapServer/12</x:v>
      </x:c>
    </x:row>
    <x:row r="35" ht="18" customHeight="1">
      <x:c r="A35" s="6" t="str">
        <x:v>12</x:v>
      </x:c>
      <x:c r="B35" s="6" t="str">
        <x:v>SUMATERA UTARA</x:v>
      </x:c>
      <x:c r="C35" s="6" t="str">
        <x:v>2024</x:v>
      </x:c>
      <x:c r="D35" s="6" t="str">
        <x:v>10</x:v>
      </x:c>
      <x:c r="E35" s="6" t="str">
        <x:v>24.581122796483374</x:v>
      </x:c>
      <x:c r="F35" s="9" t="str">
        <x:v>grid_cells_within_BIG_polygon</x:v>
      </x:c>
      <x:c r="G35" s="6" t="str">
        <x:v>20</x:v>
      </x:c>
      <x:c r="H35" s="8" t="str">
        <x:v>87.59065658868818</x:v>
      </x:c>
      <x:c r="I35" s="6" t="str">
        <x:v>9.866941094920787</x:v>
      </x:c>
      <x:c r="J35" s="6" t="str">
        <x:v>31</x:v>
      </x:c>
      <x:c r="K35" s="6" t="str">
        <x:v>305.8751739425444</x:v>
      </x:c>
      <x:c r="L35" s="6" t="str">
        <x:v>23.864382840751595</x:v>
      </x:c>
      <x:c r="M35" s="6" t="str">
        <x:v>0.21163461075649945</x:v>
      </x:c>
      <x:c r="N35" s="6" t="str">
        <x:v>89.24147477071978</x:v>
      </x:c>
      <x:c r="O35" s="6" t="str">
        <x:v>0.9913166365832303</x:v>
      </x:c>
      <x:c r="P35" s="6" t="str">
        <x:v>381.14394917883897</x:v>
      </x:c>
      <x:c r="Q35" s="6" t="str">
        <x:v>116.41202373701333</x:v>
      </x:c>
      <x:c r="R35" s="6" t="str">
        <x:v>0.7167399557317786</x:v>
      </x:c>
      <x:c r="S35" s="8" t="str">
        <x:v>3.3866859166832524</x:v>
      </x:c>
      <x:c r="T35" s="6" t="str">
        <x:v>-1.6508181820315997</x:v>
      </x:c>
      <x:c r="U35" s="8" t="str">
        <x:v>-1.6652783995651201</x:v>
      </x:c>
      <x:c r="V35" s="6" t="str">
        <x:v>-75.26877523629457</x:v>
      </x:c>
      <x:c r="W35" s="8" t="str">
        <x:v>-0.6465721737329679</x:v>
      </x:c>
      <x:c r="X35" s="6" t="str">
        <x:v>2.6732803268003047</x:v>
      </x:c>
      <x:c r="Y35" s="6" t="str">
        <x:v>3.183232322953225</x:v>
      </x:c>
      <x:c r="Z35" s="6" t="str">
        <x:v>3.0810661888122604</x:v>
      </x:c>
      <x:c r="AA35" s="6" t="str">
        <x:v>0.41437256990460797</x:v>
      </x:c>
      <x:c r="AB35" s="6" t="str">
        <x:v>1.3292580346296854</x:v>
      </x:c>
      <x:c r="AC35" s="6" t="str">
        <x:v>0.026117401656391204</x:v>
      </x:c>
      <x:c r="AD35" s="6" t="str">
        <x:v>0.3167237975174365</x:v>
      </x:c>
      <x:c r="AE35" s="6" t="str">
        <x:v>1.3793979034870891</x:v>
      </x:c>
      <x:c r="AF35" s="6" t="str">
        <x:v>0.3498498424238525</x:v>
      </x:c>
      <x:c r="AG35" s="6" t="str">
        <x:v>0</x:v>
      </x:c>
      <x:c r="AH35" s="6" t="str">
        <x:v>1</x:v>
      </x:c>
      <x:c r="AI35" s="6" t="str">
        <x:v>2024-10</x:v>
      </x:c>
      <x:c r="AJ35" s="9" t="str">
        <x:v>NASA POWER (MERRA-2 meteorology)</x:v>
      </x:c>
      <x:c r="AK35" s="9" t="str">
        <x:v>Badan Informasi Geospasial (BIG)</x:v>
      </x:c>
      <x:c r="AL35" s="9" t="str">
        <x:v>https://power.larc.nasa.gov/docs/services/api/temporal/monthly/</x:v>
      </x:c>
      <x:c r="AM35" s="9" t="str">
        <x:v>https://geoservices.big.go.id/rbi/rest/services/BATASWILAYAH/BATAS_WILAYAH/MapServer/12</x:v>
      </x:c>
    </x:row>
    <x:row r="36" ht="18" customHeight="1">
      <x:c r="A36" s="6" t="str">
        <x:v>12</x:v>
      </x:c>
      <x:c r="B36" s="6" t="str">
        <x:v>SUMATERA UTARA</x:v>
      </x:c>
      <x:c r="C36" s="6" t="str">
        <x:v>2024</x:v>
      </x:c>
      <x:c r="D36" s="6" t="str">
        <x:v>11</x:v>
      </x:c>
      <x:c r="E36" s="6" t="str">
        <x:v>24.31669993829607</x:v>
      </x:c>
      <x:c r="F36" s="9" t="str">
        <x:v>grid_cells_within_BIG_polygon</x:v>
      </x:c>
      <x:c r="G36" s="6" t="str">
        <x:v>20</x:v>
      </x:c>
      <x:c r="H36" s="8" t="str">
        <x:v>89.47488628673266</x:v>
      </x:c>
      <x:c r="I36" s="6" t="str">
        <x:v>11.82930923442443</x:v>
      </x:c>
      <x:c r="J36" s="6" t="str">
        <x:v>30</x:v>
      </x:c>
      <x:c r="K36" s="6" t="str">
        <x:v>354.8792770327329</x:v>
      </x:c>
      <x:c r="L36" s="6" t="str">
        <x:v>23.77197709381661</x:v>
      </x:c>
      <x:c r="M36" s="6" t="str">
        <x:v>0.24752852791408503</x:v>
      </x:c>
      <x:c r="N36" s="6" t="str">
        <x:v>90.30940101991614</x:v>
      </x:c>
      <x:c r="O36" s="6" t="str">
        <x:v>0.6988965771944263</x:v>
      </x:c>
      <x:c r="P36" s="6" t="str">
        <x:v>406.97518288274057</x:v>
      </x:c>
      <x:c r="Q36" s="6" t="str">
        <x:v>94.3160529518387</x:v>
      </x:c>
      <x:c r="R36" s="6" t="str">
        <x:v>0.544722844479459</x:v>
      </x:c>
      <x:c r="S36" s="8" t="str">
        <x:v>2.2006467257322657</x:v>
      </x:c>
      <x:c r="T36" s="6" t="str">
        <x:v>-0.8345147331834823</x:v>
      </x:c>
      <x:c r="U36" s="8" t="str">
        <x:v>-1.1940461012607426</x:v>
      </x:c>
      <x:c r="V36" s="6" t="str">
        <x:v>-52.09590585000768</x:v>
      </x:c>
      <x:c r="W36" s="8" t="str">
        <x:v>-0.5523546015714822</x:v>
      </x:c>
      <x:c r="X36" s="6" t="str">
        <x:v>3.3866859166832524</x:v>
      </x:c>
      <x:c r="Y36" s="6" t="str">
        <x:v>2.6732803268003047</x:v>
      </x:c>
      <x:c r="Z36" s="6" t="str">
        <x:v>2.7535376564052743</x:v>
      </x:c>
      <x:c r="AA36" s="6" t="str">
        <x:v>-1.6652783995651201</x:v>
      </x:c>
      <x:c r="AB36" s="6" t="str">
        <x:v>0.41437256990460797</x:v>
      </x:c>
      <x:c r="AC36" s="6" t="str">
        <x:v>-0.8149839769737515</x:v>
      </x:c>
      <x:c r="AD36" s="6" t="str">
        <x:v>-0.6465721737329679</x:v>
      </x:c>
      <x:c r="AE36" s="6" t="str">
        <x:v>0.3167237975174365</x:v>
      </x:c>
      <x:c r="AF36" s="6" t="str">
        <x:v>-0.29406765926233797</x:v>
      </x:c>
      <x:c r="AG36" s="6" t="str">
        <x:v>0</x:v>
      </x:c>
      <x:c r="AH36" s="6" t="str">
        <x:v>1</x:v>
      </x:c>
      <x:c r="AI36" s="6" t="str">
        <x:v>2024-11</x:v>
      </x:c>
      <x:c r="AJ36" s="9" t="str">
        <x:v>NASA POWER (MERRA-2 meteorology)</x:v>
      </x:c>
      <x:c r="AK36" s="9" t="str">
        <x:v>Badan Informasi Geospasial (BIG)</x:v>
      </x:c>
      <x:c r="AL36" s="9" t="str">
        <x:v>https://power.larc.nasa.gov/docs/services/api/temporal/monthly/</x:v>
      </x:c>
      <x:c r="AM36" s="9" t="str">
        <x:v>https://geoservices.big.go.id/rbi/rest/services/BATASWILAYAH/BATAS_WILAYAH/MapServer/12</x:v>
      </x:c>
    </x:row>
    <x:row r="37" ht="18" customHeight="1">
      <x:c r="A37" s="6" t="str">
        <x:v>12</x:v>
      </x:c>
      <x:c r="B37" s="6" t="str">
        <x:v>SUMATERA UTARA</x:v>
      </x:c>
      <x:c r="C37" s="6" t="str">
        <x:v>2024</x:v>
      </x:c>
      <x:c r="D37" s="6" t="str">
        <x:v>12</x:v>
      </x:c>
      <x:c r="E37" s="6" t="str">
        <x:v>24.05112976827176</x:v>
      </x:c>
      <x:c r="F37" s="9" t="str">
        <x:v>grid_cells_within_BIG_polygon</x:v>
      </x:c>
      <x:c r="G37" s="6" t="str">
        <x:v>20</x:v>
      </x:c>
      <x:c r="H37" s="8" t="str">
        <x:v>88.90623003648545</x:v>
      </x:c>
      <x:c r="I37" s="6" t="str">
        <x:v>7.2739519722588355</x:v>
      </x:c>
      <x:c r="J37" s="6" t="str">
        <x:v>31</x:v>
      </x:c>
      <x:c r="K37" s="6" t="str">
        <x:v>225.4925111400239</x:v>
      </x:c>
      <x:c r="L37" s="6" t="str">
        <x:v>23.642504712167497</x:v>
      </x:c>
      <x:c r="M37" s="6" t="str">
        <x:v>0.2829483869504935</x:v>
      </x:c>
      <x:c r="N37" s="6" t="str">
        <x:v>89.9766198763393</x:v>
      </x:c>
      <x:c r="O37" s="6" t="str">
        <x:v>0.8752795250442535</x:v>
      </x:c>
      <x:c r="P37" s="6" t="str">
        <x:v>340.4351278734999</x:v>
      </x:c>
      <x:c r="Q37" s="6" t="str">
        <x:v>94.08005923792724</x:v>
      </x:c>
      <x:c r="R37" s="6" t="str">
        <x:v>0.40862505610426325</x:v>
      </x:c>
      <x:c r="S37" s="8" t="str">
        <x:v>1.444168176776915</x:v>
      </x:c>
      <x:c r="T37" s="6" t="str">
        <x:v>-1.0703898398538456</x:v>
      </x:c>
      <x:c r="U37" s="8" t="str">
        <x:v>-1.222912006081403</x:v>
      </x:c>
      <x:c r="V37" s="6" t="str">
        <x:v>-114.94261673347597</x:v>
      </x:c>
      <x:c r="W37" s="8" t="str">
        <x:v>-1.2217532351121037</x:v>
      </x:c>
      <x:c r="X37" s="6" t="str">
        <x:v>2.2006467257322657</x:v>
      </x:c>
      <x:c r="Y37" s="6" t="str">
        <x:v>3.3866859166832524</x:v>
      </x:c>
      <x:c r="Z37" s="6" t="str">
        <x:v>2.3438336063974776</x:v>
      </x:c>
      <x:c r="AA37" s="6" t="str">
        <x:v>-1.1940461012607426</x:v>
      </x:c>
      <x:c r="AB37" s="6" t="str">
        <x:v>-1.6652783995651201</x:v>
      </x:c>
      <x:c r="AC37" s="6" t="str">
        <x:v>-1.3607455023024217</x:v>
      </x:c>
      <x:c r="AD37" s="6" t="str">
        <x:v>-0.5523546015714822</x:v>
      </x:c>
      <x:c r="AE37" s="6" t="str">
        <x:v>-0.6465721737329679</x:v>
      </x:c>
      <x:c r="AF37" s="6" t="str">
        <x:v>-0.8068933368055181</x:v>
      </x:c>
      <x:c r="AG37" s="6" t="str">
        <x:v>0</x:v>
      </x:c>
      <x:c r="AH37" s="6" t="str">
        <x:v>1</x:v>
      </x:c>
      <x:c r="AI37" s="6" t="str">
        <x:v>2024-12</x:v>
      </x:c>
      <x:c r="AJ37" s="9" t="str">
        <x:v>NASA POWER (MERRA-2 meteorology)</x:v>
      </x:c>
      <x:c r="AK37" s="9" t="str">
        <x:v>Badan Informasi Geospasial (BIG)</x:v>
      </x:c>
      <x:c r="AL37" s="9" t="str">
        <x:v>https://power.larc.nasa.gov/docs/services/api/temporal/monthly/</x:v>
      </x:c>
      <x:c r="AM37" s="9" t="str">
        <x:v>https://geoservices.big.go.id/rbi/rest/services/BATASWILAYAH/BATAS_WILAYAH/MapServer/12</x:v>
      </x:c>
    </x:row>
    <x:row r="38" ht="18" customHeight="1">
      <x:c r="A38" s="6" t="str">
        <x:v>12</x:v>
      </x:c>
      <x:c r="B38" s="6" t="str">
        <x:v>SUMATERA UTARA</x:v>
      </x:c>
      <x:c r="C38" s="6" t="str">
        <x:v>2025</x:v>
      </x:c>
      <x:c r="D38" s="6" t="str">
        <x:v>1</x:v>
      </x:c>
      <x:c r="E38" s="6" t="str">
        <x:v>24.030701730371998</x:v>
      </x:c>
      <x:c r="F38" s="9" t="str">
        <x:v>grid_cells_within_BIG_polygon</x:v>
      </x:c>
      <x:c r="G38" s="6" t="str">
        <x:v>20</x:v>
      </x:c>
      <x:c r="H38" s="8" t="str">
        <x:v>89.37663216892888</x:v>
      </x:c>
      <x:c r="I38" s="6" t="str">
        <x:v>10.78470700777659</x:v>
      </x:c>
      <x:c r="J38" s="6" t="str">
        <x:v>31</x:v>
      </x:c>
      <x:c r="K38" s="6" t="str">
        <x:v>334.32591724107425</x:v>
      </x:c>
      <x:c r="L38" s="6" t="str">
        <x:v>23.757489054362228</x:v>
      </x:c>
      <x:c r="M38" s="6" t="str">
        <x:v>0.35919487901137986</x:v>
      </x:c>
      <x:c r="N38" s="6" t="str">
        <x:v>88.48649867600535</x:v>
      </x:c>
      <x:c r="O38" s="6" t="str">
        <x:v>1.0148456372841208</x:v>
      </x:c>
      <x:c r="P38" s="6" t="str">
        <x:v>225.9331804110488</x:v>
      </x:c>
      <x:c r="Q38" s="6" t="str">
        <x:v>76.64201205693438</x:v>
      </x:c>
      <x:c r="R38" s="6" t="str">
        <x:v>0.27321267600976995</x:v>
      </x:c>
      <x:c r="S38" s="8" t="str">
        <x:v>0.7606251981145704</x:v>
      </x:c>
      <x:c r="T38" s="6" t="str">
        <x:v>0.8901334929235247</x:v>
      </x:c>
      <x:c r="U38" s="8" t="str">
        <x:v>0.8771122032959175</x:v>
      </x:c>
      <x:c r="V38" s="6" t="str">
        <x:v>108.39273683002546</x:v>
      </x:c>
      <x:c r="W38" s="8" t="str">
        <x:v>1.4142731110647864</x:v>
      </x:c>
      <x:c r="X38" s="6" t="str">
        <x:v>1.444168176776915</x:v>
      </x:c>
      <x:c r="Y38" s="6" t="str">
        <x:v>2.2006467257322657</x:v>
      </x:c>
      <x:c r="Z38" s="6" t="str">
        <x:v>1.4684800335412505</x:v>
      </x:c>
      <x:c r="AA38" s="6" t="str">
        <x:v>-1.222912006081403</x:v>
      </x:c>
      <x:c r="AB38" s="6" t="str">
        <x:v>-1.1940461012607426</x:v>
      </x:c>
      <x:c r="AC38" s="6" t="str">
        <x:v>-0.5132819680154092</x:v>
      </x:c>
      <x:c r="AD38" s="6" t="str">
        <x:v>-1.2217532351121037</x:v>
      </x:c>
      <x:c r="AE38" s="6" t="str">
        <x:v>-0.5523546015714822</x:v>
      </x:c>
      <x:c r="AF38" s="6" t="str">
        <x:v>-0.11994490853959998</x:v>
      </x:c>
      <x:c r="AG38" s="6" t="str">
        <x:v>1</x:v>
      </x:c>
      <x:c r="AH38" s="6" t="str">
        <x:v>0</x:v>
      </x:c>
      <x:c r="AI38" s="6" t="str">
        <x:v>2025-01</x:v>
      </x:c>
      <x:c r="AJ38" s="9" t="str">
        <x:v>NASA POWER (MERRA-2 meteorology)</x:v>
      </x:c>
      <x:c r="AK38" s="9" t="str">
        <x:v>Badan Informasi Geospasial (BIG)</x:v>
      </x:c>
      <x:c r="AL38" s="9" t="str">
        <x:v>https://power.larc.nasa.gov/docs/services/api/temporal/monthly/</x:v>
      </x:c>
      <x:c r="AM38" s="9" t="str">
        <x:v>https://geoservices.big.go.id/rbi/rest/services/BATASWILAYAH/BATAS_WILAYAH/MapServer/12</x:v>
      </x:c>
    </x:row>
    <x:row r="39" ht="18" customHeight="1">
      <x:c r="A39" s="6" t="str">
        <x:v>12</x:v>
      </x:c>
      <x:c r="B39" s="6" t="str">
        <x:v>SUMATERA UTARA</x:v>
      </x:c>
      <x:c r="C39" s="6" t="str">
        <x:v>2025</x:v>
      </x:c>
      <x:c r="D39" s="6" t="str">
        <x:v>2</x:v>
      </x:c>
      <x:c r="E39" s="6" t="str">
        <x:v>24.512177783491413</x:v>
      </x:c>
      <x:c r="F39" s="9" t="str">
        <x:v>grid_cells_within_BIG_polygon</x:v>
      </x:c>
      <x:c r="G39" s="6" t="str">
        <x:v>20</x:v>
      </x:c>
      <x:c r="H39" s="8" t="str">
        <x:v>87.30091520145375</x:v>
      </x:c>
      <x:c r="I39" s="6" t="str">
        <x:v>4.828929494491071</x:v>
      </x:c>
      <x:c r="J39" s="6" t="str">
        <x:v>28</x:v>
      </x:c>
      <x:c r="K39" s="6" t="str">
        <x:v>135.21002584574998</x:v>
      </x:c>
      <x:c r="L39" s="6" t="str">
        <x:v>24.084874394159904</x:v>
      </x:c>
      <x:c r="M39" s="6" t="str">
        <x:v>0.3734961499317396</x:v>
      </x:c>
      <x:c r="N39" s="6" t="str">
        <x:v>87.31666083038341</x:v>
      </x:c>
      <x:c r="O39" s="6" t="str">
        <x:v>1.121243550338431</x:v>
      </x:c>
      <x:c r="P39" s="6" t="str">
        <x:v>196.38049079293373</x:v>
      </x:c>
      <x:c r="Q39" s="6" t="str">
        <x:v>66.14567070670856</x:v>
      </x:c>
      <x:c r="R39" s="6" t="str">
        <x:v>0.42730338933150946</x:v>
      </x:c>
      <x:c r="S39" s="8" t="str">
        <x:v>1.14406370563553</x:v>
      </x:c>
      <x:c r="T39" s="6" t="str">
        <x:v>-0.01574562892966469</x:v>
      </x:c>
      <x:c r="U39" s="8" t="str">
        <x:v>-0.014043005130252122</x:v>
      </x:c>
      <x:c r="V39" s="6" t="str">
        <x:v>-61.170464947183746</x:v>
      </x:c>
      <x:c r="W39" s="8" t="str">
        <x:v>-0.9247841059532832</x:v>
      </x:c>
      <x:c r="X39" s="6" t="str">
        <x:v>0.7606251981145704</x:v>
      </x:c>
      <x:c r="Y39" s="6" t="str">
        <x:v>1.444168176776915</x:v>
      </x:c>
      <x:c r="Z39" s="6" t="str">
        <x:v>1.116285693509005</x:v>
      </x:c>
      <x:c r="AA39" s="6" t="str">
        <x:v>0.8771122032959175</x:v>
      </x:c>
      <x:c r="AB39" s="6" t="str">
        <x:v>-1.222912006081403</x:v>
      </x:c>
      <x:c r="AC39" s="6" t="str">
        <x:v>-0.11994760263857902</x:v>
      </x:c>
      <x:c r="AD39" s="6" t="str">
        <x:v>1.4142731110647864</x:v>
      </x:c>
      <x:c r="AE39" s="6" t="str">
        <x:v>-1.2217532351121037</x:v>
      </x:c>
      <x:c r="AF39" s="6" t="str">
        <x:v>-0.24408807666686694</x:v>
      </x:c>
      <x:c r="AG39" s="6" t="str">
        <x:v>0</x:v>
      </x:c>
      <x:c r="AH39" s="6" t="str">
        <x:v>1</x:v>
      </x:c>
      <x:c r="AI39" s="6" t="str">
        <x:v>2025-02</x:v>
      </x:c>
      <x:c r="AJ39" s="9" t="str">
        <x:v>NASA POWER (MERRA-2 meteorology)</x:v>
      </x:c>
      <x:c r="AK39" s="9" t="str">
        <x:v>Badan Informasi Geospasial (BIG)</x:v>
      </x:c>
      <x:c r="AL39" s="9" t="str">
        <x:v>https://power.larc.nasa.gov/docs/services/api/temporal/monthly/</x:v>
      </x:c>
      <x:c r="AM39" s="9" t="str">
        <x:v>https://geoservices.big.go.id/rbi/rest/services/BATASWILAYAH/BATAS_WILAYAH/MapServer/12</x:v>
      </x:c>
    </x:row>
    <x:row r="40" ht="18" customHeight="1">
      <x:c r="A40" s="6" t="str">
        <x:v>12</x:v>
      </x:c>
      <x:c r="B40" s="6" t="str">
        <x:v>SUMATERA UTARA</x:v>
      </x:c>
      <x:c r="C40" s="6" t="str">
        <x:v>2025</x:v>
      </x:c>
      <x:c r="D40" s="6" t="str">
        <x:v>3</x:v>
      </x:c>
      <x:c r="E40" s="6" t="str">
        <x:v>24.685058679726374</x:v>
      </x:c>
      <x:c r="F40" s="9" t="str">
        <x:v>grid_cells_within_BIG_polygon</x:v>
      </x:c>
      <x:c r="G40" s="6" t="str">
        <x:v>20</x:v>
      </x:c>
      <x:c r="H40" s="8" t="str">
        <x:v>88.49336321743941</x:v>
      </x:c>
      <x:c r="I40" s="6" t="str">
        <x:v>9.290872026934933</x:v>
      </x:c>
      <x:c r="J40" s="6" t="str">
        <x:v>31</x:v>
      </x:c>
      <x:c r="K40" s="6" t="str">
        <x:v>288.0170328349829</x:v>
      </x:c>
      <x:c r="L40" s="6" t="str">
        <x:v>24.3842281394486</x:v>
      </x:c>
      <x:c r="M40" s="6" t="str">
        <x:v>0.4270296835710363</x:v>
      </x:c>
      <x:c r="N40" s="6" t="str">
        <x:v>87.54982387645053</x:v>
      </x:c>
      <x:c r="O40" s="6" t="str">
        <x:v>1.0534999392263233</x:v>
      </x:c>
      <x:c r="P40" s="6" t="str">
        <x:v>267.1054956471804</x:v>
      </x:c>
      <x:c r="Q40" s="6" t="str">
        <x:v>84.7716474919006</x:v>
      </x:c>
      <x:c r="R40" s="6" t="str">
        <x:v>0.3008305402777758</x:v>
      </x:c>
      <x:c r="S40" s="8" t="str">
        <x:v>0.7044721991269552</x:v>
      </x:c>
      <x:c r="T40" s="6" t="str">
        <x:v>0.9435393409888775</x:v>
      </x:c>
      <x:c r="U40" s="8" t="str">
        <x:v>0.8956235362308615</x:v>
      </x:c>
      <x:c r="V40" s="6" t="str">
        <x:v>20.91153718780248</x:v>
      </x:c>
      <x:c r="W40" s="8" t="str">
        <x:v>0.246680792535033</x:v>
      </x:c>
      <x:c r="X40" s="6" t="str">
        <x:v>1.14406370563553</x:v>
      </x:c>
      <x:c r="Y40" s="6" t="str">
        <x:v>0.7606251981145704</x:v>
      </x:c>
      <x:c r="Z40" s="6" t="str">
        <x:v>0.8697203676256852</x:v>
      </x:c>
      <x:c r="AA40" s="6" t="str">
        <x:v>-0.014043005130252122</x:v>
      </x:c>
      <x:c r="AB40" s="6" t="str">
        <x:v>0.8771122032959175</x:v>
      </x:c>
      <x:c r="AC40" s="6" t="str">
        <x:v>0.5862309114655092</x:v>
      </x:c>
      <x:c r="AD40" s="6" t="str">
        <x:v>-0.9247841059532832</x:v>
      </x:c>
      <x:c r="AE40" s="6" t="str">
        <x:v>1.4142731110647864</x:v>
      </x:c>
      <x:c r="AF40" s="6" t="str">
        <x:v>0.24538993254884525</x:v>
      </x:c>
      <x:c r="AG40" s="6" t="str">
        <x:v>0</x:v>
      </x:c>
      <x:c r="AH40" s="6" t="str">
        <x:v>0</x:v>
      </x:c>
      <x:c r="AI40" s="6" t="str">
        <x:v>2025-03</x:v>
      </x:c>
      <x:c r="AJ40" s="9" t="str">
        <x:v>NASA POWER (MERRA-2 meteorology)</x:v>
      </x:c>
      <x:c r="AK40" s="9" t="str">
        <x:v>Badan Informasi Geospasial (BIG)</x:v>
      </x:c>
      <x:c r="AL40" s="9" t="str">
        <x:v>https://power.larc.nasa.gov/docs/services/api/temporal/monthly/</x:v>
      </x:c>
      <x:c r="AM40" s="9" t="str">
        <x:v>https://geoservices.big.go.id/rbi/rest/services/BATASWILAYAH/BATAS_WILAYAH/MapServer/12</x:v>
      </x:c>
    </x:row>
    <x:row r="41" ht="18" customHeight="1">
      <x:c r="A41" s="6" t="str">
        <x:v>12</x:v>
      </x:c>
      <x:c r="B41" s="6" t="str">
        <x:v>SUMATERA UTARA</x:v>
      </x:c>
      <x:c r="C41" s="6" t="str">
        <x:v>2025</x:v>
      </x:c>
      <x:c r="D41" s="6" t="str">
        <x:v>4</x:v>
      </x:c>
      <x:c r="E41" s="6" t="str">
        <x:v>24.52105180485991</x:v>
      </x:c>
      <x:c r="F41" s="9" t="str">
        <x:v>grid_cells_within_BIG_polygon</x:v>
      </x:c>
      <x:c r="G41" s="6" t="str">
        <x:v>20</x:v>
      </x:c>
      <x:c r="H41" s="8" t="str">
        <x:v>88.35946121462722</x:v>
      </x:c>
      <x:c r="I41" s="6" t="str">
        <x:v>8.649762834125626</x:v>
      </x:c>
      <x:c r="J41" s="6" t="str">
        <x:v>30</x:v>
      </x:c>
      <x:c r="K41" s="6" t="str">
        <x:v>259.4928850237688</x:v>
      </x:c>
      <x:c r="L41" s="6" t="str">
        <x:v>24.615719415499136</x:v>
      </x:c>
      <x:c r="M41" s="6" t="str">
        <x:v>0.4124546131764676</x:v>
      </x:c>
      <x:c r="N41" s="6" t="str">
        <x:v>88.54047441863864</x:v>
      </x:c>
      <x:c r="O41" s="6" t="str">
        <x:v>0.8158226637306462</x:v>
      </x:c>
      <x:c r="P41" s="6" t="str">
        <x:v>260.9988802662158</x:v>
      </x:c>
      <x:c r="Q41" s="6" t="str">
        <x:v>65.77134979171312</x:v>
      </x:c>
      <x:c r="R41" s="6" t="str">
        <x:v>-0.09466761063922746</x:v>
      </x:c>
      <x:c r="S41" s="8" t="str">
        <x:v>-0.22952249196622315</x:v>
      </x:c>
      <x:c r="T41" s="6" t="str">
        <x:v>-0.18101320401142118</x:v>
      </x:c>
      <x:c r="U41" s="8" t="str">
        <x:v>-0.22187812628748557</x:v>
      </x:c>
      <x:c r="V41" s="6" t="str">
        <x:v>-1.5059952424469998</x:v>
      </x:c>
      <x:c r="W41" s="8" t="str">
        <x:v>-0.022897435543230225</x:v>
      </x:c>
      <x:c r="X41" s="6" t="str">
        <x:v>0.7044721991269552</x:v>
      </x:c>
      <x:c r="Y41" s="6" t="str">
        <x:v>1.14406370563553</x:v>
      </x:c>
      <x:c r="Z41" s="6" t="str">
        <x:v>0.5396711375987541</x:v>
      </x:c>
      <x:c r="AA41" s="6" t="str">
        <x:v>0.8956235362308615</x:v>
      </x:c>
      <x:c r="AB41" s="6" t="str">
        <x:v>-0.014043005130252122</x:v>
      </x:c>
      <x:c r="AC41" s="6" t="str">
        <x:v>0.21990080160437475</x:v>
      </x:c>
      <x:c r="AD41" s="6" t="str">
        <x:v>0.246680792535033</x:v>
      </x:c>
      <x:c r="AE41" s="6" t="str">
        <x:v>-0.9247841059532832</x:v>
      </x:c>
      <x:c r="AF41" s="6" t="str">
        <x:v>-0.2336669163204936</x:v>
      </x:c>
      <x:c r="AG41" s="6" t="str">
        <x:v>0</x:v>
      </x:c>
      <x:c r="AH41" s="6" t="str">
        <x:v>0</x:v>
      </x:c>
      <x:c r="AI41" s="6" t="str">
        <x:v>2025-04</x:v>
      </x:c>
      <x:c r="AJ41" s="9" t="str">
        <x:v>NASA POWER (MERRA-2 meteorology)</x:v>
      </x:c>
      <x:c r="AK41" s="9" t="str">
        <x:v>Badan Informasi Geospasial (BIG)</x:v>
      </x:c>
      <x:c r="AL41" s="9" t="str">
        <x:v>https://power.larc.nasa.gov/docs/services/api/temporal/monthly/</x:v>
      </x:c>
      <x:c r="AM41" s="9" t="str">
        <x:v>https://geoservices.big.go.id/rbi/rest/services/BATASWILAYAH/BATAS_WILAYAH/MapServer/12</x:v>
      </x:c>
    </x:row>
    <x:row r="42" ht="18" customHeight="1">
      <x:c r="A42" s="6" t="str">
        <x:v>12</x:v>
      </x:c>
      <x:c r="B42" s="6" t="str">
        <x:v>SUMATERA UTARA</x:v>
      </x:c>
      <x:c r="C42" s="6" t="str">
        <x:v>2025</x:v>
      </x:c>
      <x:c r="D42" s="6" t="str">
        <x:v>5</x:v>
      </x:c>
      <x:c r="E42" s="6" t="str">
        <x:v>24.995057180133436</x:v>
      </x:c>
      <x:c r="F42" s="9" t="str">
        <x:v>grid_cells_within_BIG_polygon</x:v>
      </x:c>
      <x:c r="G42" s="6" t="str">
        <x:v>20</x:v>
      </x:c>
      <x:c r="H42" s="8" t="str">
        <x:v>88.16853023398573</x:v>
      </x:c>
      <x:c r="I42" s="6" t="str">
        <x:v>6.611430200799643</x:v>
      </x:c>
      <x:c r="J42" s="6" t="str">
        <x:v>31</x:v>
      </x:c>
      <x:c r="K42" s="6" t="str">
        <x:v>204.95433622478893</x:v>
      </x:c>
      <x:c r="L42" s="6" t="str">
        <x:v>24.721800469167025</x:v>
      </x:c>
      <x:c r="M42" s="6" t="str">
        <x:v>0.30949044502070366</x:v>
      </x:c>
      <x:c r="N42" s="6" t="str">
        <x:v>88.52233263424748</x:v>
      </x:c>
      <x:c r="O42" s="6" t="str">
        <x:v>0.7563331627807002</x:v>
      </x:c>
      <x:c r="P42" s="6" t="str">
        <x:v>245.03911439791543</x:v>
      </x:c>
      <x:c r="Q42" s="6" t="str">
        <x:v>84.3334543136075</x:v>
      </x:c>
      <x:c r="R42" s="6" t="str">
        <x:v>0.273256710966411</x:v>
      </x:c>
      <x:c r="S42" s="8" t="str">
        <x:v>0.8829245469860346</x:v>
      </x:c>
      <x:c r="T42" s="6" t="str">
        <x:v>-0.3538024002617419</x:v>
      </x:c>
      <x:c r="U42" s="8" t="str">
        <x:v>-0.4677864434252335</x:v>
      </x:c>
      <x:c r="V42" s="6" t="str">
        <x:v>-40.084778173126494</x:v>
      </x:c>
      <x:c r="W42" s="8" t="str">
        <x:v>-0.47531289331591714</x:v>
      </x:c>
      <x:c r="X42" s="6" t="str">
        <x:v>-0.22952249196622315</x:v>
      </x:c>
      <x:c r="Y42" s="6" t="str">
        <x:v>0.7044721991269552</x:v>
      </x:c>
      <x:c r="Z42" s="6" t="str">
        <x:v>0.4526247513822556</x:v>
      </x:c>
      <x:c r="AA42" s="6" t="str">
        <x:v>-0.22187812628748557</x:v>
      </x:c>
      <x:c r="AB42" s="6" t="str">
        <x:v>0.8956235362308615</x:v>
      </x:c>
      <x:c r="AC42" s="6" t="str">
        <x:v>0.06865298883938098</x:v>
      </x:c>
      <x:c r="AD42" s="6" t="str">
        <x:v>-0.022897435543230225</x:v>
      </x:c>
      <x:c r="AE42" s="6" t="str">
        <x:v>0.246680792535033</x:v>
      </x:c>
      <x:c r="AF42" s="6" t="str">
        <x:v>-0.08384317877470489</x:v>
      </x:c>
      <x:c r="AG42" s="6" t="str">
        <x:v>0</x:v>
      </x:c>
      <x:c r="AH42" s="6" t="str">
        <x:v>0</x:v>
      </x:c>
      <x:c r="AI42" s="6" t="str">
        <x:v>2025-05</x:v>
      </x:c>
      <x:c r="AJ42" s="9" t="str">
        <x:v>NASA POWER (MERRA-2 meteorology)</x:v>
      </x:c>
      <x:c r="AK42" s="9" t="str">
        <x:v>Badan Informasi Geospasial (BIG)</x:v>
      </x:c>
      <x:c r="AL42" s="9" t="str">
        <x:v>https://power.larc.nasa.gov/docs/services/api/temporal/monthly/</x:v>
      </x:c>
      <x:c r="AM42" s="9" t="str">
        <x:v>https://geoservices.big.go.id/rbi/rest/services/BATASWILAYAH/BATAS_WILAYAH/MapServer/12</x:v>
      </x:c>
    </x:row>
    <x:row r="43" ht="18" customHeight="1">
      <x:c r="A43" s="6" t="str">
        <x:v>12</x:v>
      </x:c>
      <x:c r="B43" s="6" t="str">
        <x:v>SUMATERA UTARA</x:v>
      </x:c>
      <x:c r="C43" s="6" t="str">
        <x:v>2025</x:v>
      </x:c>
      <x:c r="D43" s="6" t="str">
        <x:v>6</x:v>
      </x:c>
      <x:c r="E43" s="6" t="str">
        <x:v>24.459564958449672</x:v>
      </x:c>
      <x:c r="F43" s="9" t="str">
        <x:v>grid_cells_within_BIG_polygon</x:v>
      </x:c>
      <x:c r="G43" s="6" t="str">
        <x:v>20</x:v>
      </x:c>
      <x:c r="H43" s="8" t="str">
        <x:v>86.42212967093256</x:v>
      </x:c>
      <x:c r="I43" s="6" t="str">
        <x:v>4.215298124388685</x:v>
      </x:c>
      <x:c r="J43" s="6" t="str">
        <x:v>30</x:v>
      </x:c>
      <x:c r="K43" s="6" t="str">
        <x:v>126.45894373166055</x:v>
      </x:c>
      <x:c r="L43" s="6" t="str">
        <x:v>24.263945650796636</x:v>
      </x:c>
      <x:c r="M43" s="6" t="str">
        <x:v>0.251104392975668</x:v>
      </x:c>
      <x:c r="N43" s="6" t="str">
        <x:v>88.00161025476203</x:v>
      </x:c>
      <x:c r="O43" s="6" t="str">
        <x:v>0.8395460235346192</x:v>
      </x:c>
      <x:c r="P43" s="6" t="str">
        <x:v>185.80554032848795</x:v>
      </x:c>
      <x:c r="Q43" s="6" t="str">
        <x:v>53.83984967413286</x:v>
      </x:c>
      <x:c r="R43" s="6" t="str">
        <x:v>0.19561930765303615</x:v>
      </x:c>
      <x:c r="S43" s="8" t="str">
        <x:v>0.7790357840214752</x:v>
      </x:c>
      <x:c r="T43" s="6" t="str">
        <x:v>-1.579480583829465</x:v>
      </x:c>
      <x:c r="U43" s="8" t="str">
        <x:v>-1.8813508009717042</x:v>
      </x:c>
      <x:c r="V43" s="6" t="str">
        <x:v>-59.346596596827396</x:v>
      </x:c>
      <x:c r="W43" s="8" t="str">
        <x:v>-1.102280131835885</x:v>
      </x:c>
      <x:c r="X43" s="6" t="str">
        <x:v>0.8829245469860346</x:v>
      </x:c>
      <x:c r="Y43" s="6" t="str">
        <x:v>-0.22952249196622315</x:v>
      </x:c>
      <x:c r="Z43" s="6" t="str">
        <x:v>0.47747927968042897</x:v>
      </x:c>
      <x:c r="AA43" s="6" t="str">
        <x:v>-0.4677864434252335</x:v>
      </x:c>
      <x:c r="AB43" s="6" t="str">
        <x:v>-0.22187812628748557</x:v>
      </x:c>
      <x:c r="AC43" s="6" t="str">
        <x:v>-0.8570051235614743</x:v>
      </x:c>
      <x:c r="AD43" s="6" t="str">
        <x:v>-0.47531289331591714</x:v>
      </x:c>
      <x:c r="AE43" s="6" t="str">
        <x:v>-0.022897435543230225</x:v>
      </x:c>
      <x:c r="AF43" s="6" t="str">
        <x:v>-0.5334968202316775</x:v>
      </x:c>
      <x:c r="AG43" s="6" t="str">
        <x:v>0</x:v>
      </x:c>
      <x:c r="AH43" s="6" t="str">
        <x:v>0</x:v>
      </x:c>
      <x:c r="AI43" s="6" t="str">
        <x:v>2025-06</x:v>
      </x:c>
      <x:c r="AJ43" s="9" t="str">
        <x:v>NASA POWER (MERRA-2 meteorology)</x:v>
      </x:c>
      <x:c r="AK43" s="9" t="str">
        <x:v>Badan Informasi Geospasial (BIG)</x:v>
      </x:c>
      <x:c r="AL43" s="9" t="str">
        <x:v>https://power.larc.nasa.gov/docs/services/api/temporal/monthly/</x:v>
      </x:c>
      <x:c r="AM43" s="9" t="str">
        <x:v>https://geoservices.big.go.id/rbi/rest/services/BATASWILAYAH/BATAS_WILAYAH/MapServer/12</x:v>
      </x:c>
    </x:row>
    <x:row r="44" ht="18" customHeight="1">
      <x:c r="A44" s="6" t="str">
        <x:v>12</x:v>
      </x:c>
      <x:c r="B44" s="6" t="str">
        <x:v>SUMATERA UTARA</x:v>
      </x:c>
      <x:c r="C44" s="6" t="str">
        <x:v>2025</x:v>
      </x:c>
      <x:c r="D44" s="6" t="str">
        <x:v>7</x:v>
      </x:c>
      <x:c r="E44" s="6" t="str">
        <x:v>24.53251244821202</x:v>
      </x:c>
      <x:c r="F44" s="9" t="str">
        <x:v>grid_cells_within_BIG_polygon</x:v>
      </x:c>
      <x:c r="G44" s="6" t="str">
        <x:v>20</x:v>
      </x:c>
      <x:c r="H44" s="8" t="str">
        <x:v>86.71335846311396</x:v>
      </x:c>
      <x:c r="I44" s="6" t="str">
        <x:v>4.227998193670039</x:v>
      </x:c>
      <x:c r="J44" s="6" t="str">
        <x:v>31</x:v>
      </x:c>
      <x:c r="K44" s="6" t="str">
        <x:v>131.0679440037712</x:v>
      </x:c>
      <x:c r="L44" s="6" t="str">
        <x:v>23.940101543165877</x:v>
      </x:c>
      <x:c r="M44" s="6" t="str">
        <x:v>0.24125971276247773</x:v>
      </x:c>
      <x:c r="N44" s="6" t="str">
        <x:v>87.82481011728284</x:v>
      </x:c>
      <x:c r="O44" s="6" t="str">
        <x:v>1.0269830366464376</x:v>
      </x:c>
      <x:c r="P44" s="6" t="str">
        <x:v>238.89601847736682</x:v>
      </x:c>
      <x:c r="Q44" s="6" t="str">
        <x:v>90.86975411293433</x:v>
      </x:c>
      <x:c r="R44" s="6" t="str">
        <x:v>0.5924109050461439</x:v>
      </x:c>
      <x:c r="S44" s="8" t="str">
        <x:v>2.4554903852902186</x:v>
      </x:c>
      <x:c r="T44" s="6" t="str">
        <x:v>-1.1114516541688744</x:v>
      </x:c>
      <x:c r="U44" s="8" t="str">
        <x:v>-1.0822492821286172</x:v>
      </x:c>
      <x:c r="V44" s="6" t="str">
        <x:v>-107.82807447359562</x:v>
      </x:c>
      <x:c r="W44" s="8" t="str">
        <x:v>-1.1866222763141323</x:v>
      </x:c>
      <x:c r="X44" s="6" t="str">
        <x:v>0.7790357840214752</x:v>
      </x:c>
      <x:c r="Y44" s="6" t="str">
        <x:v>0.8829245469860346</x:v>
      </x:c>
      <x:c r="Z44" s="6" t="str">
        <x:v>1.3724835720992428</x:v>
      </x:c>
      <x:c r="AA44" s="6" t="str">
        <x:v>-1.8813508009717042</x:v>
      </x:c>
      <x:c r="AB44" s="6" t="str">
        <x:v>-0.4677864434252335</x:v>
      </x:c>
      <x:c r="AC44" s="6" t="str">
        <x:v>-1.1437955088418514</x:v>
      </x:c>
      <x:c r="AD44" s="6" t="str">
        <x:v>-1.102280131835885</x:v>
      </x:c>
      <x:c r="AE44" s="6" t="str">
        <x:v>-0.47531289331591714</x:v>
      </x:c>
      <x:c r="AF44" s="6" t="str">
        <x:v>-0.921405100488645</x:v>
      </x:c>
      <x:c r="AG44" s="6" t="str">
        <x:v>0</x:v>
      </x:c>
      <x:c r="AH44" s="6" t="str">
        <x:v>1</x:v>
      </x:c>
      <x:c r="AI44" s="6" t="str">
        <x:v>2025-07</x:v>
      </x:c>
      <x:c r="AJ44" s="9" t="str">
        <x:v>NASA POWER (MERRA-2 meteorology)</x:v>
      </x:c>
      <x:c r="AK44" s="9" t="str">
        <x:v>Badan Informasi Geospasial (BIG)</x:v>
      </x:c>
      <x:c r="AL44" s="9" t="str">
        <x:v>https://power.larc.nasa.gov/docs/services/api/temporal/monthly/</x:v>
      </x:c>
      <x:c r="AM44" s="9" t="str">
        <x:v>https://geoservices.big.go.id/rbi/rest/services/BATASWILAYAH/BATAS_WILAYAH/MapServer/12</x:v>
      </x:c>
    </x:row>
    <x:row r="45" ht="18" customHeight="1">
      <x:c r="A45" s="6" t="str">
        <x:v>12</x:v>
      </x:c>
      <x:c r="B45" s="6" t="str">
        <x:v>SUMATERA UTARA</x:v>
      </x:c>
      <x:c r="C45" s="6" t="str">
        <x:v>2025</x:v>
      </x:c>
      <x:c r="D45" s="6" t="str">
        <x:v>8</x:v>
      </x:c>
      <x:c r="E45" s="6" t="str">
        <x:v>24.191542148152855</x:v>
      </x:c>
      <x:c r="F45" s="9" t="str">
        <x:v>grid_cells_within_BIG_polygon</x:v>
      </x:c>
      <x:c r="G45" s="6" t="str">
        <x:v>20</x:v>
      </x:c>
      <x:c r="H45" s="8" t="str">
        <x:v>86.07649139895443</x:v>
      </x:c>
      <x:c r="I45" s="6" t="str">
        <x:v>8.42767081403703</x:v>
      </x:c>
      <x:c r="J45" s="6" t="str">
        <x:v>31</x:v>
      </x:c>
      <x:c r="K45" s="6" t="str">
        <x:v>261.25779523514797</x:v>
      </x:c>
      <x:c r="L45" s="6" t="str">
        <x:v>23.912456567373223</x:v>
      </x:c>
      <x:c r="M45" s="6" t="str">
        <x:v>0.2339354463508184</x:v>
      </x:c>
      <x:c r="N45" s="6" t="str">
        <x:v>88.07952935720972</x:v>
      </x:c>
      <x:c r="O45" s="6" t="str">
        <x:v>1.0402535660861476</x:v>
      </x:c>
      <x:c r="P45" s="6" t="str">
        <x:v>291.18176279834387</x:v>
      </x:c>
      <x:c r="Q45" s="6" t="str">
        <x:v>104.48671484882198</x:v>
      </x:c>
      <x:c r="R45" s="6" t="str">
        <x:v>0.27908558077963264</x:v>
      </x:c>
      <x:c r="S45" s="8" t="str">
        <x:v>1.193002536097524</x:v>
      </x:c>
      <x:c r="T45" s="6" t="str">
        <x:v>-2.003037958255291</x:v>
      </x:c>
      <x:c r="U45" s="8" t="str">
        <x:v>-1.9255285668392617</x:v>
      </x:c>
      <x:c r="V45" s="6" t="str">
        <x:v>-29.9239675631959</x:v>
      </x:c>
      <x:c r="W45" s="8" t="str">
        <x:v>-0.2863901655487188</x:v>
      </x:c>
      <x:c r="X45" s="6" t="str">
        <x:v>2.4554903852902186</x:v>
      </x:c>
      <x:c r="Y45" s="6" t="str">
        <x:v>0.7790357840214752</x:v>
      </x:c>
      <x:c r="Z45" s="6" t="str">
        <x:v>1.4758429018030725</x:v>
      </x:c>
      <x:c r="AA45" s="6" t="str">
        <x:v>-1.0822492821286172</x:v>
      </x:c>
      <x:c r="AB45" s="6" t="str">
        <x:v>-1.8813508009717042</x:v>
      </x:c>
      <x:c r="AC45" s="6" t="str">
        <x:v>-1.6297095499798608</x:v>
      </x:c>
      <x:c r="AD45" s="6" t="str">
        <x:v>-1.1866222763141323</x:v>
      </x:c>
      <x:c r="AE45" s="6" t="str">
        <x:v>-1.102280131835885</x:v>
      </x:c>
      <x:c r="AF45" s="6" t="str">
        <x:v>-0.8584308578995788</x:v>
      </x:c>
      <x:c r="AG45" s="6" t="str">
        <x:v>0</x:v>
      </x:c>
      <x:c r="AH45" s="6" t="str">
        <x:v>1</x:v>
      </x:c>
      <x:c r="AI45" s="6" t="str">
        <x:v>2025-08</x:v>
      </x:c>
      <x:c r="AJ45" s="9" t="str">
        <x:v>NASA POWER (MERRA-2 meteorology)</x:v>
      </x:c>
      <x:c r="AK45" s="9" t="str">
        <x:v>Badan Informasi Geospasial (BIG)</x:v>
      </x:c>
      <x:c r="AL45" s="9" t="str">
        <x:v>https://power.larc.nasa.gov/docs/services/api/temporal/monthly/</x:v>
      </x:c>
      <x:c r="AM45" s="9" t="str">
        <x:v>https://geoservices.big.go.id/rbi/rest/services/BATASWILAYAH/BATAS_WILAYAH/MapServer/12</x:v>
      </x:c>
    </x:row>
    <x:row r="46" ht="18" customHeight="1">
      <x:c r="A46" s="6" t="str">
        <x:v>12</x:v>
      </x:c>
      <x:c r="B46" s="6" t="str">
        <x:v>SUMATERA UTARA</x:v>
      </x:c>
      <x:c r="C46" s="6" t="str">
        <x:v>2025</x:v>
      </x:c>
      <x:c r="D46" s="6" t="str">
        <x:v>9</x:v>
      </x:c>
      <x:c r="E46" s="6" t="str">
        <x:v>24.072032848275253</x:v>
      </x:c>
      <x:c r="F46" s="9" t="str">
        <x:v>grid_cells_within_BIG_polygon</x:v>
      </x:c>
      <x:c r="G46" s="6" t="str">
        <x:v>20</x:v>
      </x:c>
      <x:c r="H46" s="8" t="str">
        <x:v>86.95710394760103</x:v>
      </x:c>
      <x:c r="I46" s="6" t="str">
        <x:v>9.35948166235117</x:v>
      </x:c>
      <x:c r="J46" s="6" t="str">
        <x:v>30</x:v>
      </x:c>
      <x:c r="K46" s="6" t="str">
        <x:v>280.7844498705351</x:v>
      </x:c>
      <x:c r="L46" s="6" t="str">
        <x:v>23.921897114608864</x:v>
      </x:c>
      <x:c r="M46" s="6" t="str">
        <x:v>0.2189161762617032</x:v>
      </x:c>
      <x:c r="N46" s="6" t="str">
        <x:v>88.48912634346404</x:v>
      </x:c>
      <x:c r="O46" s="6" t="str">
        <x:v>0.9936386712088328</x:v>
      </x:c>
      <x:c r="P46" s="6" t="str">
        <x:v>315.0806719948465</x:v>
      </x:c>
      <x:c r="Q46" s="6" t="str">
        <x:v>77.67333998866617</x:v>
      </x:c>
      <x:c r="R46" s="6" t="str">
        <x:v>0.15013573366638866</x:v>
      </x:c>
      <x:c r="S46" s="8" t="str">
        <x:v>0.6858137951711206</x:v>
      </x:c>
      <x:c r="T46" s="6" t="str">
        <x:v>-1.5320223958630095</x:v>
      </x:c>
      <x:c r="U46" s="8" t="str">
        <x:v>-1.5418304865280599</x:v>
      </x:c>
      <x:c r="V46" s="6" t="str">
        <x:v>-34.296222124311385</x:v>
      </x:c>
      <x:c r="W46" s="8" t="str">
        <x:v>-0.4415443204748988</x:v>
      </x:c>
      <x:c r="X46" s="6" t="str">
        <x:v>1.193002536097524</x:v>
      </x:c>
      <x:c r="Y46" s="6" t="str">
        <x:v>2.4554903852902186</x:v>
      </x:c>
      <x:c r="Z46" s="6" t="str">
        <x:v>1.4447689055196211</x:v>
      </x:c>
      <x:c r="AA46" s="6" t="str">
        <x:v>-1.9255285668392617</x:v>
      </x:c>
      <x:c r="AB46" s="6" t="str">
        <x:v>-1.0822492821286172</x:v>
      </x:c>
      <x:c r="AC46" s="6" t="str">
        <x:v>-1.5165361118319793</x:v>
      </x:c>
      <x:c r="AD46" s="6" t="str">
        <x:v>-0.2863901655487188</x:v>
      </x:c>
      <x:c r="AE46" s="6" t="str">
        <x:v>-1.1866222763141323</x:v>
      </x:c>
      <x:c r="AF46" s="6" t="str">
        <x:v>-0.6381855874459168</x:v>
      </x:c>
      <x:c r="AG46" s="6" t="str">
        <x:v>0</x:v>
      </x:c>
      <x:c r="AH46" s="6" t="str">
        <x:v>0</x:v>
      </x:c>
      <x:c r="AI46" s="6" t="str">
        <x:v>2025-09</x:v>
      </x:c>
      <x:c r="AJ46" s="9" t="str">
        <x:v>NASA POWER (MERRA-2 meteorology)</x:v>
      </x:c>
      <x:c r="AK46" s="9" t="str">
        <x:v>Badan Informasi Geospasial (BIG)</x:v>
      </x:c>
      <x:c r="AL46" s="9" t="str">
        <x:v>https://power.larc.nasa.gov/docs/services/api/temporal/monthly/</x:v>
      </x:c>
      <x:c r="AM46" s="9" t="str">
        <x:v>https://geoservices.big.go.id/rbi/rest/services/BATASWILAYAH/BATAS_WILAYAH/MapServer/12</x:v>
      </x:c>
    </x:row>
    <x:row r="47" ht="18" customHeight="1">
      <x:c r="A47" s="6" t="str">
        <x:v>12</x:v>
      </x:c>
      <x:c r="B47" s="6" t="str">
        <x:v>SUMATERA UTARA</x:v>
      </x:c>
      <x:c r="C47" s="6" t="str">
        <x:v>2025</x:v>
      </x:c>
      <x:c r="D47" s="6" t="str">
        <x:v>10</x:v>
      </x:c>
      <x:c r="E47" s="6" t="str">
        <x:v>24.206163393380027</x:v>
      </x:c>
      <x:c r="F47" s="9" t="str">
        <x:v>grid_cells_within_BIG_polygon</x:v>
      </x:c>
      <x:c r="G47" s="6" t="str">
        <x:v>20</x:v>
      </x:c>
      <x:c r="H47" s="8" t="str">
        <x:v>86.88138306108196</x:v>
      </x:c>
      <x:c r="I47" s="6" t="str">
        <x:v>10.832472257892801</x:v>
      </x:c>
      <x:c r="J47" s="6" t="str">
        <x:v>31</x:v>
      </x:c>
      <x:c r="K47" s="6" t="str">
        <x:v>335.80663999467686</x:v>
      </x:c>
      <x:c r="L47" s="6" t="str">
        <x:v>23.864382840751595</x:v>
      </x:c>
      <x:c r="M47" s="6" t="str">
        <x:v>0.21163461075649945</x:v>
      </x:c>
      <x:c r="N47" s="6" t="str">
        <x:v>89.24147477071978</x:v>
      </x:c>
      <x:c r="O47" s="6" t="str">
        <x:v>0.9913166365832303</x:v>
      </x:c>
      <x:c r="P47" s="6" t="str">
        <x:v>381.14394917883897</x:v>
      </x:c>
      <x:c r="Q47" s="6" t="str">
        <x:v>116.41202373701333</x:v>
      </x:c>
      <x:c r="R47" s="6" t="str">
        <x:v>0.3417805526284319</x:v>
      </x:c>
      <x:c r="S47" s="8" t="str">
        <x:v>1.6149558496444352</x:v>
      </x:c>
      <x:c r="T47" s="6" t="str">
        <x:v>-2.360091709637814</x:v>
      </x:c>
      <x:c r="U47" s="8" t="str">
        <x:v>-2.3807647552172018</x:v>
      </x:c>
      <x:c r="V47" s="6" t="str">
        <x:v>-45.33730918416211</x:v>
      </x:c>
      <x:c r="W47" s="8" t="str">
        <x:v>-0.38945555389178466</x:v>
      </x:c>
      <x:c r="X47" s="6" t="str">
        <x:v>0.6858137951711206</x:v>
      </x:c>
      <x:c r="Y47" s="6" t="str">
        <x:v>1.193002536097524</x:v>
      </x:c>
      <x:c r="Z47" s="6" t="str">
        <x:v>1.1645907269710267</x:v>
      </x:c>
      <x:c r="AA47" s="6" t="str">
        <x:v>-1.5418304865280599</x:v>
      </x:c>
      <x:c r="AB47" s="6" t="str">
        <x:v>-1.9255285668392617</x:v>
      </x:c>
      <x:c r="AC47" s="6" t="str">
        <x:v>-1.9493746028615078</x:v>
      </x:c>
      <x:c r="AD47" s="6" t="str">
        <x:v>-0.4415443204748988</x:v>
      </x:c>
      <x:c r="AE47" s="6" t="str">
        <x:v>-0.2863901655487188</x:v>
      </x:c>
      <x:c r="AF47" s="6" t="str">
        <x:v>-0.37246334663846753</x:v>
      </x:c>
      <x:c r="AG47" s="6" t="str">
        <x:v>0</x:v>
      </x:c>
      <x:c r="AH47" s="6" t="str">
        <x:v>1</x:v>
      </x:c>
      <x:c r="AI47" s="6" t="str">
        <x:v>2025-10</x:v>
      </x:c>
      <x:c r="AJ47" s="9" t="str">
        <x:v>NASA POWER (MERRA-2 meteorology)</x:v>
      </x:c>
      <x:c r="AK47" s="9" t="str">
        <x:v>Badan Informasi Geospasial (BIG)</x:v>
      </x:c>
      <x:c r="AL47" s="9" t="str">
        <x:v>https://power.larc.nasa.gov/docs/services/api/temporal/monthly/</x:v>
      </x:c>
      <x:c r="AM47" s="9" t="str">
        <x:v>https://geoservices.big.go.id/rbi/rest/services/BATASWILAYAH/BATAS_WILAYAH/MapServer/12</x:v>
      </x:c>
    </x:row>
    <x:row r="48" ht="18" customHeight="1">
      <x:c r="A48" s="6" t="str">
        <x:v>12</x:v>
      </x:c>
      <x:c r="B48" s="6" t="str">
        <x:v>SUMATERA UTARA</x:v>
      </x:c>
      <x:c r="C48" s="6" t="str">
        <x:v>2025</x:v>
      </x:c>
      <x:c r="D48" s="6" t="str">
        <x:v>11</x:v>
      </x:c>
      <x:c r="E48" s="6" t="str">
        <x:v>23.74914385405237</x:v>
      </x:c>
      <x:c r="F48" s="9" t="str">
        <x:v>grid_cells_within_BIG_polygon</x:v>
      </x:c>
      <x:c r="G48" s="6" t="str">
        <x:v>20</x:v>
      </x:c>
      <x:c r="H48" s="8" t="str">
        <x:v>89.42369555822005</x:v>
      </x:c>
      <x:c r="I48" s="6" t="str">
        <x:v>17.256841389839874</x:v>
      </x:c>
      <x:c r="J48" s="6" t="str">
        <x:v>30</x:v>
      </x:c>
      <x:c r="K48" s="6" t="str">
        <x:v>517.7052416951963</x:v>
      </x:c>
      <x:c r="L48" s="6" t="str">
        <x:v>23.77197709381661</x:v>
      </x:c>
      <x:c r="M48" s="6" t="str">
        <x:v>0.24752852791408503</x:v>
      </x:c>
      <x:c r="N48" s="6" t="str">
        <x:v>90.30940101991614</x:v>
      </x:c>
      <x:c r="O48" s="6" t="str">
        <x:v>0.6988965771944263</x:v>
      </x:c>
      <x:c r="P48" s="6" t="str">
        <x:v>406.97518288274057</x:v>
      </x:c>
      <x:c r="Q48" s="6" t="str">
        <x:v>94.3160529518387</x:v>
      </x:c>
      <x:c r="R48" s="6" t="str">
        <x:v>-0.02283323976423901</x:v>
      </x:c>
      <x:c r="S48" s="8" t="str">
        <x:v>-0.09224488165729418</x:v>
      </x:c>
      <x:c r="T48" s="6" t="str">
        <x:v>-0.8857054616960909</x:v>
      </x:c>
      <x:c r="U48" s="8" t="str">
        <x:v>-1.2672911709649082</x:v>
      </x:c>
      <x:c r="V48" s="6" t="str">
        <x:v>110.7300588124557</x:v>
      </x:c>
      <x:c r="W48" s="8" t="str">
        <x:v>1.1740319420385266</x:v>
      </x:c>
      <x:c r="X48" s="6" t="str">
        <x:v>1.6149558496444352</x:v>
      </x:c>
      <x:c r="Y48" s="6" t="str">
        <x:v>0.6858137951711206</x:v>
      </x:c>
      <x:c r="Z48" s="6" t="str">
        <x:v>0.7361749210527538</x:v>
      </x:c>
      <x:c r="AA48" s="6" t="str">
        <x:v>-2.3807647552172018</x:v>
      </x:c>
      <x:c r="AB48" s="6" t="str">
        <x:v>-1.5418304865280599</x:v>
      </x:c>
      <x:c r="AC48" s="6" t="str">
        <x:v>-1.7299621375700565</x:v>
      </x:c>
      <x:c r="AD48" s="6" t="str">
        <x:v>-0.38945555389178466</x:v>
      </x:c>
      <x:c r="AE48" s="6" t="str">
        <x:v>-0.4415443204748988</x:v>
      </x:c>
      <x:c r="AF48" s="6" t="str">
        <x:v>0.11434402255728093</x:v>
      </x:c>
      <x:c r="AG48" s="6" t="str">
        <x:v>1</x:v>
      </x:c>
      <x:c r="AH48" s="6" t="str">
        <x:v>0</x:v>
      </x:c>
      <x:c r="AI48" s="6" t="str">
        <x:v>2025-11</x:v>
      </x:c>
      <x:c r="AJ48" s="9" t="str">
        <x:v>NASA POWER (MERRA-2 meteorology)</x:v>
      </x:c>
      <x:c r="AK48" s="9" t="str">
        <x:v>Badan Informasi Geospasial (BIG)</x:v>
      </x:c>
      <x:c r="AL48" s="9" t="str">
        <x:v>https://power.larc.nasa.gov/docs/services/api/temporal/monthly/</x:v>
      </x:c>
      <x:c r="AM48" s="9" t="str">
        <x:v>https://geoservices.big.go.id/rbi/rest/services/BATASWILAYAH/BATAS_WILAYAH/MapServer/12</x:v>
      </x:c>
    </x:row>
    <x:row r="49" ht="18" customHeight="1">
      <x:c r="A49" s="6" t="str">
        <x:v>12</x:v>
      </x:c>
      <x:c r="B49" s="6" t="str">
        <x:v>SUMATERA UTARA</x:v>
      </x:c>
      <x:c r="C49" s="6" t="str">
        <x:v>2025</x:v>
      </x:c>
      <x:c r="D49" s="6" t="str">
        <x:v>12</x:v>
      </x:c>
      <x:c r="E49" s="6" t="str">
        <x:v>24.05918091321003</x:v>
      </x:c>
      <x:c r="F49" s="9" t="str">
        <x:v>grid_cells_within_BIG_polygon</x:v>
      </x:c>
      <x:c r="G49" s="6" t="str">
        <x:v>20</x:v>
      </x:c>
      <x:c r="H49" s="8" t="str">
        <x:v>89.9439485684094</x:v>
      </x:c>
      <x:c r="I49" s="6" t="str">
        <x:v>10.876256807719313</x:v>
      </x:c>
      <x:c r="J49" s="6" t="str">
        <x:v>31</x:v>
      </x:c>
      <x:c r="K49" s="6" t="str">
        <x:v>337.1639610392987</x:v>
      </x:c>
      <x:c r="L49" s="6" t="str">
        <x:v>23.642504712167497</x:v>
      </x:c>
      <x:c r="M49" s="6" t="str">
        <x:v>0.2829483869504935</x:v>
      </x:c>
      <x:c r="N49" s="6" t="str">
        <x:v>89.9766198763393</x:v>
      </x:c>
      <x:c r="O49" s="6" t="str">
        <x:v>0.8752795250442535</x:v>
      </x:c>
      <x:c r="P49" s="6" t="str">
        <x:v>340.4351278734999</x:v>
      </x:c>
      <x:c r="Q49" s="6" t="str">
        <x:v>94.08005923792724</x:v>
      </x:c>
      <x:c r="R49" s="6" t="str">
        <x:v>0.41667620104253444</x:v>
      </x:c>
      <x:c r="S49" s="8" t="str">
        <x:v>1.4726226416531536</x:v>
      </x:c>
      <x:c r="T49" s="6" t="str">
        <x:v>-0.03267130792990258</x:v>
      </x:c>
      <x:c r="U49" s="8" t="str">
        <x:v>-0.03732671334708845</x:v>
      </x:c>
      <x:c r="V49" s="6" t="str">
        <x:v>-3.2711668342011535</x:v>
      </x:c>
      <x:c r="W49" s="8" t="str">
        <x:v>-0.034770033742521515</x:v>
      </x:c>
      <x:c r="X49" s="6" t="str">
        <x:v>-0.09224488165729418</x:v>
      </x:c>
      <x:c r="Y49" s="6" t="str">
        <x:v>1.6149558496444352</x:v>
      </x:c>
      <x:c r="Z49" s="6" t="str">
        <x:v>0.9984445365467649</x:v>
      </x:c>
      <x:c r="AA49" s="6" t="str">
        <x:v>-1.2672911709649082</x:v>
      </x:c>
      <x:c r="AB49" s="6" t="str">
        <x:v>-2.3807647552172018</x:v>
      </x:c>
      <x:c r="AC49" s="6" t="str">
        <x:v>-1.2284608798430658</x:v>
      </x:c>
      <x:c r="AD49" s="6" t="str">
        <x:v>1.1740319420385266</x:v>
      </x:c>
      <x:c r="AE49" s="6" t="str">
        <x:v>-0.38945555389178466</x:v>
      </x:c>
      <x:c r="AF49" s="6" t="str">
        <x:v>0.24993545146807336</x:v>
      </x:c>
      <x:c r="AG49" s="6" t="str">
        <x:v>0</x:v>
      </x:c>
      <x:c r="AH49" s="6" t="str">
        <x:v>1</x:v>
      </x:c>
      <x:c r="AI49" s="6" t="str">
        <x:v>2025-12</x:v>
      </x:c>
      <x:c r="AJ49" s="9" t="str">
        <x:v>NASA POWER (MERRA-2 meteorology)</x:v>
      </x:c>
      <x:c r="AK49" s="9" t="str">
        <x:v>Badan Informasi Geospasial (BIG)</x:v>
      </x:c>
      <x:c r="AL49" s="9" t="str">
        <x:v>https://power.larc.nasa.gov/docs/services/api/temporal/monthly/</x:v>
      </x:c>
      <x:c r="AM49" s="9" t="str">
        <x:v>https://geoservices.big.go.id/rbi/rest/services/BATASWILAYAH/BATAS_WILAYAH/MapServer/12</x:v>
      </x:c>
    </x:row>
    <x:row r="50" ht="18" customHeight="1">
      <x:c r="A50" s="6" t="str">
        <x:v>13</x:v>
      </x:c>
      <x:c r="B50" s="6" t="str">
        <x:v>SUMATERA BARAT</x:v>
      </x:c>
      <x:c r="C50" s="6" t="str">
        <x:v>2024</x:v>
      </x:c>
      <x:c r="D50" s="6" t="str">
        <x:v>1</x:v>
      </x:c>
      <x:c r="E50" s="6" t="str">
        <x:v>24.718882305931164</x:v>
      </x:c>
      <x:c r="F50" s="9" t="str">
        <x:v>grid_cells_within_BIG_polygon</x:v>
      </x:c>
      <x:c r="G50" s="6" t="str">
        <x:v>9</x:v>
      </x:c>
      <x:c r="H50" s="8" t="str">
        <x:v>88.61341405150641</x:v>
      </x:c>
      <x:c r="I50" s="6" t="str">
        <x:v>14.060999560265827</x:v>
      </x:c>
      <x:c r="J50" s="6" t="str">
        <x:v>31</x:v>
      </x:c>
      <x:c r="K50" s="6" t="str">
        <x:v>435.89098636824065</x:v>
      </x:c>
      <x:c r="L50" s="6" t="str">
        <x:v>23.882027344440925</x:v>
      </x:c>
      <x:c r="M50" s="6" t="str">
        <x:v>0.3602821425328352</x:v>
      </x:c>
      <x:c r="N50" s="6" t="str">
        <x:v>87.33493717275032</x:v>
      </x:c>
      <x:c r="O50" s="6" t="str">
        <x:v>1.3141910517434454</x:v>
      </x:c>
      <x:c r="P50" s="6" t="str">
        <x:v>254.5018484593711</x:v>
      </x:c>
      <x:c r="Q50" s="6" t="str">
        <x:v>86.22235437772176</x:v>
      </x:c>
      <x:c r="R50" s="6" t="str">
        <x:v>0.8368549614902392</x:v>
      </x:c>
      <x:c r="S50" s="8" t="str">
        <x:v>2.3227766872013933</x:v>
      </x:c>
      <x:c r="T50" s="6" t="str">
        <x:v>1.278476878756095</x:v>
      </x:c>
      <x:c r="U50" s="8" t="str">
        <x:v>0.9728242153680997</x:v>
      </x:c>
      <x:c r="V50" s="6" t="str">
        <x:v>181.38913790886954</x:v>
      </x:c>
      <x:c r="W50" s="8" t="str">
        <x:v>2.10373677705717</x:v>
      </x:c>
      <x:c r="X50" s="6" t="str">
        <x:v>3.70342382593328</x:v>
      </x:c>
      <x:c r="Y50" s="6" t="str">
        <x:v>2.5612027438269234</x:v>
      </x:c>
      <x:c r="Z50" s="6" t="str">
        <x:v>2.862467752320532</x:v>
      </x:c>
      <x:c r="AA50" s="6" t="str">
        <x:v>0.5355041321985211</x:v>
      </x:c>
      <x:c r="AB50" s="6" t="str">
        <x:v>0.17403399324992483</x:v>
      </x:c>
      <x:c r="AC50" s="6" t="str">
        <x:v>0.560787446938848</x:v>
      </x:c>
      <x:c r="AD50" s="6" t="str">
        <x:v>0.20246365904657795</x:v>
      </x:c>
      <x:c r="AE50" s="6" t="str">
        <x:v>-0.9736596895987578</x:v>
      </x:c>
      <x:c r="AF50" s="6" t="str">
        <x:v>0.44418024883499757</x:v>
      </x:c>
      <x:c r="AG50" s="6" t="str">
        <x:v>1</x:v>
      </x:c>
      <x:c r="AH50" s="6" t="str">
        <x:v>1</x:v>
      </x:c>
      <x:c r="AI50" s="6" t="str">
        <x:v>2024-01</x:v>
      </x:c>
      <x:c r="AJ50" s="9" t="str">
        <x:v>NASA POWER (MERRA-2 meteorology)</x:v>
      </x:c>
      <x:c r="AK50" s="9" t="str">
        <x:v>Badan Informasi Geospasial (BIG)</x:v>
      </x:c>
      <x:c r="AL50" s="9" t="str">
        <x:v>https://power.larc.nasa.gov/docs/services/api/temporal/monthly/</x:v>
      </x:c>
      <x:c r="AM50" s="9" t="str">
        <x:v>https://geoservices.big.go.id/rbi/rest/services/BATASWILAYAH/BATAS_WILAYAH/MapServer/12</x:v>
      </x:c>
    </x:row>
    <x:row r="51" ht="18" customHeight="1">
      <x:c r="A51" s="6" t="str">
        <x:v>13</x:v>
      </x:c>
      <x:c r="B51" s="6" t="str">
        <x:v>SUMATERA BARAT</x:v>
      </x:c>
      <x:c r="C51" s="6" t="str">
        <x:v>2024</x:v>
      </x:c>
      <x:c r="D51" s="6" t="str">
        <x:v>2</x:v>
      </x:c>
      <x:c r="E51" s="6" t="str">
        <x:v>25.218874943673836</x:v>
      </x:c>
      <x:c r="F51" s="9" t="str">
        <x:v>grid_cells_within_BIG_polygon</x:v>
      </x:c>
      <x:c r="G51" s="6" t="str">
        <x:v>9</x:v>
      </x:c>
      <x:c r="H51" s="8" t="str">
        <x:v>87.73458624122249</x:v>
      </x:c>
      <x:c r="I51" s="6" t="str">
        <x:v>11.4654132119219</x:v>
      </x:c>
      <x:c r="J51" s="6" t="str">
        <x:v>29</x:v>
      </x:c>
      <x:c r="K51" s="6" t="str">
        <x:v>332.4969831457351</x:v>
      </x:c>
      <x:c r="L51" s="6" t="str">
        <x:v>24.125881829130414</x:v>
      </x:c>
      <x:c r="M51" s="6" t="str">
        <x:v>0.3872095264456438</x:v>
      </x:c>
      <x:c r="N51" s="6" t="str">
        <x:v>86.5581541801603</x:v>
      </x:c>
      <x:c r="O51" s="6" t="str">
        <x:v>1.345503353872931</x:v>
      </x:c>
      <x:c r="P51" s="6" t="str">
        <x:v>232.02601001196072</x:v>
      </x:c>
      <x:c r="Q51" s="6" t="str">
        <x:v>83.63274351195614</x:v>
      </x:c>
      <x:c r="R51" s="6" t="str">
        <x:v>1.0929931145434217</x:v>
      </x:c>
      <x:c r="S51" s="8" t="str">
        <x:v>2.822743346674492</x:v>
      </x:c>
      <x:c r="T51" s="6" t="str">
        <x:v>1.1764320610621866</x:v>
      </x:c>
      <x:c r="U51" s="8" t="str">
        <x:v>0.8743434623748165</x:v>
      </x:c>
      <x:c r="V51" s="6" t="str">
        <x:v>100.47097313377438</x:v>
      </x:c>
      <x:c r="W51" s="8" t="str">
        <x:v>1.2013353731413947</x:v>
      </x:c>
      <x:c r="X51" s="6" t="str">
        <x:v>2.3227766872013933</x:v>
      </x:c>
      <x:c r="Y51" s="6" t="str">
        <x:v>3.70342382593328</x:v>
      </x:c>
      <x:c r="Z51" s="6" t="str">
        <x:v>2.9496479532697215</x:v>
      </x:c>
      <x:c r="AA51" s="6" t="str">
        <x:v>0.9728242153680997</x:v>
      </x:c>
      <x:c r="AB51" s="6" t="str">
        <x:v>0.5355041321985211</x:v>
      </x:c>
      <x:c r="AC51" s="6" t="str">
        <x:v>0.7942239366471452</x:v>
      </x:c>
      <x:c r="AD51" s="6" t="str">
        <x:v>2.10373677705717</x:v>
      </x:c>
      <x:c r="AE51" s="6" t="str">
        <x:v>0.20246365904657795</x:v>
      </x:c>
      <x:c r="AF51" s="6" t="str">
        <x:v>1.169178603081715</x:v>
      </x:c>
      <x:c r="AG51" s="6" t="str">
        <x:v>1</x:v>
      </x:c>
      <x:c r="AH51" s="6" t="str">
        <x:v>1</x:v>
      </x:c>
      <x:c r="AI51" s="6" t="str">
        <x:v>2024-02</x:v>
      </x:c>
      <x:c r="AJ51" s="9" t="str">
        <x:v>NASA POWER (MERRA-2 meteorology)</x:v>
      </x:c>
      <x:c r="AK51" s="9" t="str">
        <x:v>Badan Informasi Geospasial (BIG)</x:v>
      </x:c>
      <x:c r="AL51" s="9" t="str">
        <x:v>https://power.larc.nasa.gov/docs/services/api/temporal/monthly/</x:v>
      </x:c>
      <x:c r="AM51" s="9" t="str">
        <x:v>https://geoservices.big.go.id/rbi/rest/services/BATASWILAYAH/BATAS_WILAYAH/MapServer/12</x:v>
      </x:c>
    </x:row>
    <x:row r="52" ht="18" customHeight="1">
      <x:c r="A52" s="6" t="str">
        <x:v>13</x:v>
      </x:c>
      <x:c r="B52" s="6" t="str">
        <x:v>SUMATERA BARAT</x:v>
      </x:c>
      <x:c r="C52" s="6" t="str">
        <x:v>2024</x:v>
      </x:c>
      <x:c r="D52" s="6" t="str">
        <x:v>3</x:v>
      </x:c>
      <x:c r="E52" s="6" t="str">
        <x:v>25.306665410162978</x:v>
      </x:c>
      <x:c r="F52" s="9" t="str">
        <x:v>grid_cells_within_BIG_polygon</x:v>
      </x:c>
      <x:c r="G52" s="6" t="str">
        <x:v>9</x:v>
      </x:c>
      <x:c r="H52" s="8" t="str">
        <x:v>86.89345792841488</x:v>
      </x:c>
      <x:c r="I52" s="6" t="str">
        <x:v>10.37784382114944</x:v>
      </x:c>
      <x:c r="J52" s="6" t="str">
        <x:v>31</x:v>
      </x:c>
      <x:c r="K52" s="6" t="str">
        <x:v>321.71315845563265</x:v>
      </x:c>
      <x:c r="L52" s="6" t="str">
        <x:v>24.30606689976713</x:v>
      </x:c>
      <x:c r="M52" s="6" t="str">
        <x:v>0.4053473875123999</x:v>
      </x:c>
      <x:c r="N52" s="6" t="str">
        <x:v>87.0539117709279</x:v>
      </x:c>
      <x:c r="O52" s="6" t="str">
        <x:v>1.0391352228517974</x:v>
      </x:c>
      <x:c r="P52" s="6" t="str">
        <x:v>288.7322885739542</x:v>
      </x:c>
      <x:c r="Q52" s="6" t="str">
        <x:v>91.56445195979411</x:v>
      </x:c>
      <x:c r="R52" s="6" t="str">
        <x:v>1.0005985103958466</x:v>
      </x:c>
      <x:c r="S52" s="8" t="str">
        <x:v>2.4684962607912144</x:v>
      </x:c>
      <x:c r="T52" s="6" t="str">
        <x:v>-0.16045384251302153</x:v>
      </x:c>
      <x:c r="U52" s="8" t="str">
        <x:v>-0.15441093611731574</x:v>
      </x:c>
      <x:c r="V52" s="6" t="str">
        <x:v>32.98086988167847</x:v>
      </x:c>
      <x:c r="W52" s="8" t="str">
        <x:v>0.36019294798117013</x:v>
      </x:c>
      <x:c r="X52" s="6" t="str">
        <x:v>2.822743346674492</x:v>
      </x:c>
      <x:c r="Y52" s="6" t="str">
        <x:v>2.3227766872013933</x:v>
      </x:c>
      <x:c r="Z52" s="6" t="str">
        <x:v>2.5380054315556997</x:v>
      </x:c>
      <x:c r="AA52" s="6" t="str">
        <x:v>0.8743434623748165</x:v>
      </x:c>
      <x:c r="AB52" s="6" t="str">
        <x:v>0.9728242153680997</x:v>
      </x:c>
      <x:c r="AC52" s="6" t="str">
        <x:v>0.564252247208533</x:v>
      </x:c>
      <x:c r="AD52" s="6" t="str">
        <x:v>1.2013353731413947</x:v>
      </x:c>
      <x:c r="AE52" s="6" t="str">
        <x:v>2.10373677705717</x:v>
      </x:c>
      <x:c r="AF52" s="6" t="str">
        <x:v>1.2217550327265791</x:v>
      </x:c>
      <x:c r="AG52" s="6" t="str">
        <x:v>0</x:v>
      </x:c>
      <x:c r="AH52" s="6" t="str">
        <x:v>1</x:v>
      </x:c>
      <x:c r="AI52" s="6" t="str">
        <x:v>2024-03</x:v>
      </x:c>
      <x:c r="AJ52" s="9" t="str">
        <x:v>NASA POWER (MERRA-2 meteorology)</x:v>
      </x:c>
      <x:c r="AK52" s="9" t="str">
        <x:v>Badan Informasi Geospasial (BIG)</x:v>
      </x:c>
      <x:c r="AL52" s="9" t="str">
        <x:v>https://power.larc.nasa.gov/docs/services/api/temporal/monthly/</x:v>
      </x:c>
      <x:c r="AM52" s="9" t="str">
        <x:v>https://geoservices.big.go.id/rbi/rest/services/BATASWILAYAH/BATAS_WILAYAH/MapServer/12</x:v>
      </x:c>
    </x:row>
    <x:row r="53" ht="18" customHeight="1">
      <x:c r="A53" s="6" t="str">
        <x:v>13</x:v>
      </x:c>
      <x:c r="B53" s="6" t="str">
        <x:v>SUMATERA BARAT</x:v>
      </x:c>
      <x:c r="C53" s="6" t="str">
        <x:v>2024</x:v>
      </x:c>
      <x:c r="D53" s="6" t="str">
        <x:v>4</x:v>
      </x:c>
      <x:c r="E53" s="6" t="str">
        <x:v>25.76332523648634</x:v>
      </x:c>
      <x:c r="F53" s="9" t="str">
        <x:v>grid_cells_within_BIG_polygon</x:v>
      </x:c>
      <x:c r="G53" s="6" t="str">
        <x:v>9</x:v>
      </x:c>
      <x:c r="H53" s="8" t="str">
        <x:v>88.64457837189673</x:v>
      </x:c>
      <x:c r="I53" s="6" t="str">
        <x:v>16.045336799752096</x:v>
      </x:c>
      <x:c r="J53" s="6" t="str">
        <x:v>30</x:v>
      </x:c>
      <x:c r="K53" s="6" t="str">
        <x:v>481.36010399256287</x:v>
      </x:c>
      <x:c r="L53" s="6" t="str">
        <x:v>24.499438777225482</x:v>
      </x:c>
      <x:c r="M53" s="6" t="str">
        <x:v>0.38286672090356744</x:v>
      </x:c>
      <x:c r="N53" s="6" t="str">
        <x:v>88.1694973879217</x:v>
      </x:c>
      <x:c r="O53" s="6" t="str">
        <x:v>0.8035042430254056</x:v>
      </x:c>
      <x:c r="P53" s="6" t="str">
        <x:v>287.24364266016283</x:v>
      </x:c>
      <x:c r="Q53" s="6" t="str">
        <x:v>71.34604084563288</x:v>
      </x:c>
      <x:c r="R53" s="6" t="str">
        <x:v>1.2638864592608599</x:v>
      </x:c>
      <x:c r="S53" s="8" t="str">
        <x:v>3.301113390785392</x:v>
      </x:c>
      <x:c r="T53" s="6" t="str">
        <x:v>0.4750809839750332</x:v>
      </x:c>
      <x:c r="U53" s="8" t="str">
        <x:v>0.5912613257476126</x:v>
      </x:c>
      <x:c r="V53" s="6" t="str">
        <x:v>194.11646133240004</x:v>
      </x:c>
      <x:c r="W53" s="8" t="str">
        <x:v>2.7207741176892783</x:v>
      </x:c>
      <x:c r="X53" s="6" t="str">
        <x:v>2.4684962607912144</x:v>
      </x:c>
      <x:c r="Y53" s="6" t="str">
        <x:v>2.822743346674492</x:v>
      </x:c>
      <x:c r="Z53" s="6" t="str">
        <x:v>2.864117666083699</x:v>
      </x:c>
      <x:c r="AA53" s="6" t="str">
        <x:v>-0.15441093611731574</x:v>
      </x:c>
      <x:c r="AB53" s="6" t="str">
        <x:v>0.8743434623748165</x:v>
      </x:c>
      <x:c r="AC53" s="6" t="str">
        <x:v>0.4370646173350372</x:v>
      </x:c>
      <x:c r="AD53" s="6" t="str">
        <x:v>0.36019294798117013</x:v>
      </x:c>
      <x:c r="AE53" s="6" t="str">
        <x:v>1.2013353731413947</x:v>
      </x:c>
      <x:c r="AF53" s="6" t="str">
        <x:v>1.427434146270615</x:v>
      </x:c>
      <x:c r="AG53" s="6" t="str">
        <x:v>1</x:v>
      </x:c>
      <x:c r="AH53" s="6" t="str">
        <x:v>1</x:v>
      </x:c>
      <x:c r="AI53" s="6" t="str">
        <x:v>2024-04</x:v>
      </x:c>
      <x:c r="AJ53" s="9" t="str">
        <x:v>NASA POWER (MERRA-2 meteorology)</x:v>
      </x:c>
      <x:c r="AK53" s="9" t="str">
        <x:v>Badan Informasi Geospasial (BIG)</x:v>
      </x:c>
      <x:c r="AL53" s="9" t="str">
        <x:v>https://power.larc.nasa.gov/docs/services/api/temporal/monthly/</x:v>
      </x:c>
      <x:c r="AM53" s="9" t="str">
        <x:v>https://geoservices.big.go.id/rbi/rest/services/BATASWILAYAH/BATAS_WILAYAH/MapServer/12</x:v>
      </x:c>
    </x:row>
    <x:row r="54" ht="18" customHeight="1">
      <x:c r="A54" s="6" t="str">
        <x:v>13</x:v>
      </x:c>
      <x:c r="B54" s="6" t="str">
        <x:v>SUMATERA BARAT</x:v>
      </x:c>
      <x:c r="C54" s="6" t="str">
        <x:v>2024</x:v>
      </x:c>
      <x:c r="D54" s="6" t="str">
        <x:v>5</x:v>
      </x:c>
      <x:c r="E54" s="6" t="str">
        <x:v>25.733322190012483</x:v>
      </x:c>
      <x:c r="F54" s="9" t="str">
        <x:v>grid_cells_within_BIG_polygon</x:v>
      </x:c>
      <x:c r="G54" s="6" t="str">
        <x:v>9</x:v>
      </x:c>
      <x:c r="H54" s="8" t="str">
        <x:v>88.94680664992734</x:v>
      </x:c>
      <x:c r="I54" s="6" t="str">
        <x:v>15.44325047580685</x:v>
      </x:c>
      <x:c r="J54" s="6" t="str">
        <x:v>31</x:v>
      </x:c>
      <x:c r="K54" s="6" t="str">
        <x:v>478.7407647500124</x:v>
      </x:c>
      <x:c r="L54" s="6" t="str">
        <x:v>24.725805549031644</x:v>
      </x:c>
      <x:c r="M54" s="6" t="str">
        <x:v>0.29843057856811733</x:v>
      </x:c>
      <x:c r="N54" s="6" t="str">
        <x:v>87.56831622854833</x:v>
      </x:c>
      <x:c r="O54" s="6" t="str">
        <x:v>1.1649794938724647</x:v>
      </x:c>
      <x:c r="P54" s="6" t="str">
        <x:v>226.51811717942746</x:v>
      </x:c>
      <x:c r="Q54" s="6" t="str">
        <x:v>92.90013806411949</x:v>
      </x:c>
      <x:c r="R54" s="6" t="str">
        <x:v>1.007516640980839</x:v>
      </x:c>
      <x:c r="S54" s="8" t="str">
        <x:v>3.3760502888643207</x:v>
      </x:c>
      <x:c r="T54" s="6" t="str">
        <x:v>1.3784904213790128</x:v>
      </x:c>
      <x:c r="U54" s="8" t="str">
        <x:v>1.1832744083733393</x:v>
      </x:c>
      <x:c r="V54" s="6" t="str">
        <x:v>252.2226475705849</x:v>
      </x:c>
      <x:c r="W54" s="8" t="str">
        <x:v>2.7149867893253434</x:v>
      </x:c>
      <x:c r="X54" s="6" t="str">
        <x:v>3.301113390785392</x:v>
      </x:c>
      <x:c r="Y54" s="6" t="str">
        <x:v>2.4684962607912144</x:v>
      </x:c>
      <x:c r="Z54" s="6" t="str">
        <x:v>3.048553313480309</x:v>
      </x:c>
      <x:c r="AA54" s="6" t="str">
        <x:v>0.5912613257476126</x:v>
      </x:c>
      <x:c r="AB54" s="6" t="str">
        <x:v>-0.15441093611731574</x:v>
      </x:c>
      <x:c r="AC54" s="6" t="str">
        <x:v>0.5400415993345448</x:v>
      </x:c>
      <x:c r="AD54" s="6" t="str">
        <x:v>2.7207741176892783</x:v>
      </x:c>
      <x:c r="AE54" s="6" t="str">
        <x:v>0.36019294798117013</x:v>
      </x:c>
      <x:c r="AF54" s="6" t="str">
        <x:v>1.9319846183319314</x:v>
      </x:c>
      <x:c r="AG54" s="6" t="str">
        <x:v>1</x:v>
      </x:c>
      <x:c r="AH54" s="6" t="str">
        <x:v>1</x:v>
      </x:c>
      <x:c r="AI54" s="6" t="str">
        <x:v>2024-05</x:v>
      </x:c>
      <x:c r="AJ54" s="9" t="str">
        <x:v>NASA POWER (MERRA-2 meteorology)</x:v>
      </x:c>
      <x:c r="AK54" s="9" t="str">
        <x:v>Badan Informasi Geospasial (BIG)</x:v>
      </x:c>
      <x:c r="AL54" s="9" t="str">
        <x:v>https://power.larc.nasa.gov/docs/services/api/temporal/monthly/</x:v>
      </x:c>
      <x:c r="AM54" s="9" t="str">
        <x:v>https://geoservices.big.go.id/rbi/rest/services/BATASWILAYAH/BATAS_WILAYAH/MapServer/12</x:v>
      </x:c>
    </x:row>
    <x:row r="55" ht="18" customHeight="1">
      <x:c r="A55" s="6" t="str">
        <x:v>13</x:v>
      </x:c>
      <x:c r="B55" s="6" t="str">
        <x:v>SUMATERA BARAT</x:v>
      </x:c>
      <x:c r="C55" s="6" t="str">
        <x:v>2024</x:v>
      </x:c>
      <x:c r="D55" s="6" t="str">
        <x:v>6</x:v>
      </x:c>
      <x:c r="E55" s="6" t="str">
        <x:v>25.02776359738712</x:v>
      </x:c>
      <x:c r="F55" s="9" t="str">
        <x:v>grid_cells_within_BIG_polygon</x:v>
      </x:c>
      <x:c r="G55" s="6" t="str">
        <x:v>9</x:v>
      </x:c>
      <x:c r="H55" s="8" t="str">
        <x:v>87.69127429032656</x:v>
      </x:c>
      <x:c r="I55" s="6" t="str">
        <x:v>11.676760486272812</x:v>
      </x:c>
      <x:c r="J55" s="6" t="str">
        <x:v>30</x:v>
      </x:c>
      <x:c r="K55" s="6" t="str">
        <x:v>350.30281458818433</x:v>
      </x:c>
      <x:c r="L55" s="6" t="str">
        <x:v>24.32228199714517</x:v>
      </x:c>
      <x:c r="M55" s="6" t="str">
        <x:v>0.25461524596765245</x:v>
      </x:c>
      <x:c r="N55" s="6" t="str">
        <x:v>86.91559311170107</x:v>
      </x:c>
      <x:c r="O55" s="6" t="str">
        <x:v>0.7878442778432629</x:v>
      </x:c>
      <x:c r="P55" s="6" t="str">
        <x:v>211.1643465051727</x:v>
      </x:c>
      <x:c r="Q55" s="6" t="str">
        <x:v>71.01116634852144</x:v>
      </x:c>
      <x:c r="R55" s="6" t="str">
        <x:v>0.7054816002419528</x:v>
      </x:c>
      <x:c r="S55" s="8" t="str">
        <x:v>2.7707751653315396</x:v>
      </x:c>
      <x:c r="T55" s="6" t="str">
        <x:v>0.77568117862549</x:v>
      </x:c>
      <x:c r="U55" s="8" t="str">
        <x:v>0.9845615440007134</x:v>
      </x:c>
      <x:c r="V55" s="6" t="str">
        <x:v>139.13846808301165</x:v>
      </x:c>
      <x:c r="W55" s="8" t="str">
        <x:v>1.9593885755956002</x:v>
      </x:c>
      <x:c r="X55" s="6" t="str">
        <x:v>3.3760502888643207</x:v>
      </x:c>
      <x:c r="Y55" s="6" t="str">
        <x:v>3.301113390785392</x:v>
      </x:c>
      <x:c r="Z55" s="6" t="str">
        <x:v>3.149312948327084</x:v>
      </x:c>
      <x:c r="AA55" s="6" t="str">
        <x:v>1.1832744083733393</x:v>
      </x:c>
      <x:c r="AB55" s="6" t="str">
        <x:v>0.5912613257476126</x:v>
      </x:c>
      <x:c r="AC55" s="6" t="str">
        <x:v>0.9196990927072212</x:v>
      </x:c>
      <x:c r="AD55" s="6" t="str">
        <x:v>2.7149867893253434</x:v>
      </x:c>
      <x:c r="AE55" s="6" t="str">
        <x:v>2.7207741176892783</x:v>
      </x:c>
      <x:c r="AF55" s="6" t="str">
        <x:v>2.4650498275367414</x:v>
      </x:c>
      <x:c r="AG55" s="6" t="str">
        <x:v>1</x:v>
      </x:c>
      <x:c r="AH55" s="6" t="str">
        <x:v>1</x:v>
      </x:c>
      <x:c r="AI55" s="6" t="str">
        <x:v>2024-06</x:v>
      </x:c>
      <x:c r="AJ55" s="9" t="str">
        <x:v>NASA POWER (MERRA-2 meteorology)</x:v>
      </x:c>
      <x:c r="AK55" s="9" t="str">
        <x:v>Badan Informasi Geospasial (BIG)</x:v>
      </x:c>
      <x:c r="AL55" s="9" t="str">
        <x:v>https://power.larc.nasa.gov/docs/services/api/temporal/monthly/</x:v>
      </x:c>
      <x:c r="AM55" s="9" t="str">
        <x:v>https://geoservices.big.go.id/rbi/rest/services/BATASWILAYAH/BATAS_WILAYAH/MapServer/12</x:v>
      </x:c>
    </x:row>
    <x:row r="56" ht="18" customHeight="1">
      <x:c r="A56" s="6" t="str">
        <x:v>13</x:v>
      </x:c>
      <x:c r="B56" s="6" t="str">
        <x:v>SUMATERA BARAT</x:v>
      </x:c>
      <x:c r="C56" s="6" t="str">
        <x:v>2024</x:v>
      </x:c>
      <x:c r="D56" s="6" t="str">
        <x:v>7</x:v>
      </x:c>
      <x:c r="E56" s="6" t="str">
        <x:v>24.996645862158417</x:v>
      </x:c>
      <x:c r="F56" s="9" t="str">
        <x:v>grid_cells_within_BIG_polygon</x:v>
      </x:c>
      <x:c r="G56" s="6" t="str">
        <x:v>9</x:v>
      </x:c>
      <x:c r="H56" s="8" t="str">
        <x:v>86.10238796313685</x:v>
      </x:c>
      <x:c r="I56" s="6" t="str">
        <x:v>3.6667159312634943</x:v>
      </x:c>
      <x:c r="J56" s="6" t="str">
        <x:v>31</x:v>
      </x:c>
      <x:c r="K56" s="6" t="str">
        <x:v>113.66819386916832</x:v>
      </x:c>
      <x:c r="L56" s="6" t="str">
        <x:v>23.986727642769136</x:v>
      </x:c>
      <x:c r="M56" s="6" t="str">
        <x:v>0.2538794931671106</x:v>
      </x:c>
      <x:c r="N56" s="6" t="str">
        <x:v>86.7939611570253</x:v>
      </x:c>
      <x:c r="O56" s="6" t="str">
        <x:v>0.9727838283666672</x:v>
      </x:c>
      <x:c r="P56" s="6" t="str">
        <x:v>208.10841706212912</x:v>
      </x:c>
      <x:c r="Q56" s="6" t="str">
        <x:v>74.08818214795043</x:v>
      </x:c>
      <x:c r="R56" s="6" t="str">
        <x:v>1.0099182193892808</x:v>
      </x:c>
      <x:c r="S56" s="8" t="str">
        <x:v>3.9779432627294726</x:v>
      </x:c>
      <x:c r="T56" s="6" t="str">
        <x:v>-0.6915731938884448</x:v>
      </x:c>
      <x:c r="U56" s="8" t="str">
        <x:v>-0.7109217625971607</x:v>
      </x:c>
      <x:c r="V56" s="6" t="str">
        <x:v>-94.4402231929608</x:v>
      </x:c>
      <x:c r="W56" s="8" t="str">
        <x:v>-1.27470023497632</x:v>
      </x:c>
      <x:c r="X56" s="6" t="str">
        <x:v>2.7707751653315396</x:v>
      </x:c>
      <x:c r="Y56" s="6" t="str">
        <x:v>3.3760502888643207</x:v>
      </x:c>
      <x:c r="Z56" s="6" t="str">
        <x:v>3.3749229056417778</x:v>
      </x:c>
      <x:c r="AA56" s="6" t="str">
        <x:v>0.9845615440007134</x:v>
      </x:c>
      <x:c r="AB56" s="6" t="str">
        <x:v>1.1832744083733393</x:v>
      </x:c>
      <x:c r="AC56" s="6" t="str">
        <x:v>0.4856380632589634</x:v>
      </x:c>
      <x:c r="AD56" s="6" t="str">
        <x:v>1.9593885755956002</x:v>
      </x:c>
      <x:c r="AE56" s="6" t="str">
        <x:v>2.7149867893253434</x:v>
      </x:c>
      <x:c r="AF56" s="6" t="str">
        <x:v>1.1332250433148754</x:v>
      </x:c>
      <x:c r="AG56" s="6" t="str">
        <x:v>0</x:v>
      </x:c>
      <x:c r="AH56" s="6" t="str">
        <x:v>1</x:v>
      </x:c>
      <x:c r="AI56" s="6" t="str">
        <x:v>2024-07</x:v>
      </x:c>
      <x:c r="AJ56" s="9" t="str">
        <x:v>NASA POWER (MERRA-2 meteorology)</x:v>
      </x:c>
      <x:c r="AK56" s="9" t="str">
        <x:v>Badan Informasi Geospasial (BIG)</x:v>
      </x:c>
      <x:c r="AL56" s="9" t="str">
        <x:v>https://power.larc.nasa.gov/docs/services/api/temporal/monthly/</x:v>
      </x:c>
      <x:c r="AM56" s="9" t="str">
        <x:v>https://geoservices.big.go.id/rbi/rest/services/BATASWILAYAH/BATAS_WILAYAH/MapServer/12</x:v>
      </x:c>
    </x:row>
    <x:row r="57" ht="18" customHeight="1">
      <x:c r="A57" s="6" t="str">
        <x:v>13</x:v>
      </x:c>
      <x:c r="B57" s="6" t="str">
        <x:v>SUMATERA BARAT</x:v>
      </x:c>
      <x:c r="C57" s="6" t="str">
        <x:v>2024</x:v>
      </x:c>
      <x:c r="D57" s="6" t="str">
        <x:v>8</x:v>
      </x:c>
      <x:c r="E57" s="6" t="str">
        <x:v>24.899987559205705</x:v>
      </x:c>
      <x:c r="F57" s="9" t="str">
        <x:v>grid_cells_within_BIG_polygon</x:v>
      </x:c>
      <x:c r="G57" s="6" t="str">
        <x:v>9</x:v>
      </x:c>
      <x:c r="H57" s="8" t="str">
        <x:v>87.64129451389283</x:v>
      </x:c>
      <x:c r="I57" s="6" t="str">
        <x:v>13.83127056370248</x:v>
      </x:c>
      <x:c r="J57" s="6" t="str">
        <x:v>31</x:v>
      </x:c>
      <x:c r="K57" s="6" t="str">
        <x:v>428.76938747477686</x:v>
      </x:c>
      <x:c r="L57" s="6" t="str">
        <x:v>23.989248120045723</x:v>
      </x:c>
      <x:c r="M57" s="6" t="str">
        <x:v>0.23656902243859965</x:v>
      </x:c>
      <x:c r="N57" s="6" t="str">
        <x:v>86.85677898444781</x:v>
      </x:c>
      <x:c r="O57" s="6" t="str">
        <x:v>0.9948875290909864</x:v>
      </x:c>
      <x:c r="P57" s="6" t="str">
        <x:v>232.19295217432585</x:v>
      </x:c>
      <x:c r="Q57" s="6" t="str">
        <x:v>122.37087647165603</x:v>
      </x:c>
      <x:c r="R57" s="6" t="str">
        <x:v>0.9107394391599826</x:v>
      </x:c>
      <x:c r="S57" s="8" t="str">
        <x:v>3.8497831616832277</x:v>
      </x:c>
      <x:c r="T57" s="6" t="str">
        <x:v>0.7845155294450166</x:v>
      </x:c>
      <x:c r="U57" s="8" t="str">
        <x:v>0.788546952801606</x:v>
      </x:c>
      <x:c r="V57" s="6" t="str">
        <x:v>196.576435300451</x:v>
      </x:c>
      <x:c r="W57" s="8" t="str">
        <x:v>1.6063988505139353</x:v>
      </x:c>
      <x:c r="X57" s="6" t="str">
        <x:v>3.9779432627294726</x:v>
      </x:c>
      <x:c r="Y57" s="6" t="str">
        <x:v>2.7707751653315396</x:v>
      </x:c>
      <x:c r="Z57" s="6" t="str">
        <x:v>3.53283386324808</x:v>
      </x:c>
      <x:c r="AA57" s="6" t="str">
        <x:v>-0.7109217625971607</x:v>
      </x:c>
      <x:c r="AB57" s="6" t="str">
        <x:v>0.9845615440007134</x:v>
      </x:c>
      <x:c r="AC57" s="6" t="str">
        <x:v>0.3540622447350523</x:v>
      </x:c>
      <x:c r="AD57" s="6" t="str">
        <x:v>-1.27470023497632</x:v>
      </x:c>
      <x:c r="AE57" s="6" t="str">
        <x:v>1.9593885755956002</x:v>
      </x:c>
      <x:c r="AF57" s="6" t="str">
        <x:v>0.7636957303777393</x:v>
      </x:c>
      <x:c r="AG57" s="6" t="str">
        <x:v>1</x:v>
      </x:c>
      <x:c r="AH57" s="6" t="str">
        <x:v>1</x:v>
      </x:c>
      <x:c r="AI57" s="6" t="str">
        <x:v>2024-08</x:v>
      </x:c>
      <x:c r="AJ57" s="9" t="str">
        <x:v>NASA POWER (MERRA-2 meteorology)</x:v>
      </x:c>
      <x:c r="AK57" s="9" t="str">
        <x:v>Badan Informasi Geospasial (BIG)</x:v>
      </x:c>
      <x:c r="AL57" s="9" t="str">
        <x:v>https://power.larc.nasa.gov/docs/services/api/temporal/monthly/</x:v>
      </x:c>
      <x:c r="AM57" s="9" t="str">
        <x:v>https://geoservices.big.go.id/rbi/rest/services/BATASWILAYAH/BATAS_WILAYAH/MapServer/12</x:v>
      </x:c>
    </x:row>
    <x:row r="58" ht="18" customHeight="1">
      <x:c r="A58" s="6" t="str">
        <x:v>13</x:v>
      </x:c>
      <x:c r="B58" s="6" t="str">
        <x:v>SUMATERA BARAT</x:v>
      </x:c>
      <x:c r="C58" s="6" t="str">
        <x:v>2024</x:v>
      </x:c>
      <x:c r="D58" s="6" t="str">
        <x:v>9</x:v>
      </x:c>
      <x:c r="E58" s="6" t="str">
        <x:v>24.811099920811856</x:v>
      </x:c>
      <x:c r="F58" s="9" t="str">
        <x:v>grid_cells_within_BIG_polygon</x:v>
      </x:c>
      <x:c r="G58" s="6" t="str">
        <x:v>9</x:v>
      </x:c>
      <x:c r="H58" s="8" t="str">
        <x:v>86.50797545414329</x:v>
      </x:c>
      <x:c r="I58" s="6" t="str">
        <x:v>9.463346858345433</x:v>
      </x:c>
      <x:c r="J58" s="6" t="str">
        <x:v>30</x:v>
      </x:c>
      <x:c r="K58" s="6" t="str">
        <x:v>283.900405750363</x:v>
      </x:c>
      <x:c r="L58" s="6" t="str">
        <x:v>23.97662331899722</x:v>
      </x:c>
      <x:c r="M58" s="6" t="str">
        <x:v>0.23680302013348445</x:v>
      </x:c>
      <x:c r="N58" s="6" t="str">
        <x:v>87.17876361244792</x:v>
      </x:c>
      <x:c r="O58" s="6" t="str">
        <x:v>0.8287558238387334</x:v>
      </x:c>
      <x:c r="P58" s="6" t="str">
        <x:v>264.7738165194277</x:v>
      </x:c>
      <x:c r="Q58" s="6" t="str">
        <x:v>92.52041517809997</x:v>
      </x:c>
      <x:c r="R58" s="6" t="str">
        <x:v>0.8344766018146359</x:v>
      </x:c>
      <x:c r="S58" s="8" t="str">
        <x:v>3.5239271920782365</x:v>
      </x:c>
      <x:c r="T58" s="6" t="str">
        <x:v>-0.6707881583046316</x:v>
      </x:c>
      <x:c r="U58" s="8" t="str">
        <x:v>-0.8093917882804036</x:v>
      </x:c>
      <x:c r="V58" s="6" t="str">
        <x:v>19.12658923093528</x:v>
      </x:c>
      <x:c r="W58" s="8" t="str">
        <x:v>0.2067283117365716</x:v>
      </x:c>
      <x:c r="X58" s="6" t="str">
        <x:v>3.8497831616832277</x:v>
      </x:c>
      <x:c r="Y58" s="6" t="str">
        <x:v>3.9779432627294726</x:v>
      </x:c>
      <x:c r="Z58" s="6" t="str">
        <x:v>3.7838845388303124</x:v>
      </x:c>
      <x:c r="AA58" s="6" t="str">
        <x:v>0.788546952801606</x:v>
      </x:c>
      <x:c r="AB58" s="6" t="str">
        <x:v>-0.7109217625971607</x:v>
      </x:c>
      <x:c r="AC58" s="6" t="str">
        <x:v>-0.24392219935865334</x:v>
      </x:c>
      <x:c r="AD58" s="6" t="str">
        <x:v>1.6063988505139353</x:v>
      </x:c>
      <x:c r="AE58" s="6" t="str">
        <x:v>-1.27470023497632</x:v>
      </x:c>
      <x:c r="AF58" s="6" t="str">
        <x:v>0.17947564242472971</x:v>
      </x:c>
      <x:c r="AG58" s="6" t="str">
        <x:v>0</x:v>
      </x:c>
      <x:c r="AH58" s="6" t="str">
        <x:v>1</x:v>
      </x:c>
      <x:c r="AI58" s="6" t="str">
        <x:v>2024-09</x:v>
      </x:c>
      <x:c r="AJ58" s="9" t="str">
        <x:v>NASA POWER (MERRA-2 meteorology)</x:v>
      </x:c>
      <x:c r="AK58" s="9" t="str">
        <x:v>Badan Informasi Geospasial (BIG)</x:v>
      </x:c>
      <x:c r="AL58" s="9" t="str">
        <x:v>https://power.larc.nasa.gov/docs/services/api/temporal/monthly/</x:v>
      </x:c>
      <x:c r="AM58" s="9" t="str">
        <x:v>https://geoservices.big.go.id/rbi/rest/services/BATASWILAYAH/BATAS_WILAYAH/MapServer/12</x:v>
      </x:c>
    </x:row>
    <x:row r="59" ht="18" customHeight="1">
      <x:c r="A59" s="6" t="str">
        <x:v>13</x:v>
      </x:c>
      <x:c r="B59" s="6" t="str">
        <x:v>SUMATERA BARAT</x:v>
      </x:c>
      <x:c r="C59" s="6" t="str">
        <x:v>2024</x:v>
      </x:c>
      <x:c r="D59" s="6" t="str">
        <x:v>10</x:v>
      </x:c>
      <x:c r="E59" s="6" t="str">
        <x:v>24.838873547404603</x:v>
      </x:c>
      <x:c r="F59" s="9" t="str">
        <x:v>grid_cells_within_BIG_polygon</x:v>
      </x:c>
      <x:c r="G59" s="6" t="str">
        <x:v>9</x:v>
      </x:c>
      <x:c r="H59" s="8" t="str">
        <x:v>86.17905671669273</x:v>
      </x:c>
      <x:c r="I59" s="6" t="str">
        <x:v>12.783265579982395</x:v>
      </x:c>
      <x:c r="J59" s="6" t="str">
        <x:v>31</x:v>
      </x:c>
      <x:c r="K59" s="6" t="str">
        <x:v>396.2812329794542</x:v>
      </x:c>
      <x:c r="L59" s="6" t="str">
        <x:v>23.958699274676764</x:v>
      </x:c>
      <x:c r="M59" s="6" t="str">
        <x:v>0.257429057874257</x:v>
      </x:c>
      <x:c r="N59" s="6" t="str">
        <x:v>87.89715972008703</x:v>
      </x:c>
      <x:c r="O59" s="6" t="str">
        <x:v>1.168939069819097</x:v>
      </x:c>
      <x:c r="P59" s="6" t="str">
        <x:v>329.5573282674638</x:v>
      </x:c>
      <x:c r="Q59" s="6" t="str">
        <x:v>131.5232439023685</x:v>
      </x:c>
      <x:c r="R59" s="6" t="str">
        <x:v>0.8801742727278388</x:v>
      </x:c>
      <x:c r="S59" s="8" t="str">
        <x:v>3.419094487607401</x:v>
      </x:c>
      <x:c r="T59" s="6" t="str">
        <x:v>-1.7181030033943046</x:v>
      </x:c>
      <x:c r="U59" s="8" t="str">
        <x:v>-1.4697968848454996</x:v>
      </x:c>
      <x:c r="V59" s="6" t="str">
        <x:v>66.72390471199043</x:v>
      </x:c>
      <x:c r="W59" s="8" t="str">
        <x:v>0.5073164463729354</x:v>
      </x:c>
      <x:c r="X59" s="6" t="str">
        <x:v>3.5239271920782365</x:v>
      </x:c>
      <x:c r="Y59" s="6" t="str">
        <x:v>3.8497831616832277</x:v>
      </x:c>
      <x:c r="Z59" s="6" t="str">
        <x:v>3.5976016137896214</x:v>
      </x:c>
      <x:c r="AA59" s="6" t="str">
        <x:v>-0.8093917882804036</x:v>
      </x:c>
      <x:c r="AB59" s="6" t="str">
        <x:v>0.788546952801606</x:v>
      </x:c>
      <x:c r="AC59" s="6" t="str">
        <x:v>-0.496880573441433</x:v>
      </x:c>
      <x:c r="AD59" s="6" t="str">
        <x:v>0.2067283117365716</x:v>
      </x:c>
      <x:c r="AE59" s="6" t="str">
        <x:v>1.6063988505139353</x:v>
      </x:c>
      <x:c r="AF59" s="6" t="str">
        <x:v>0.7734812028744815</x:v>
      </x:c>
      <x:c r="AG59" s="6" t="str">
        <x:v>0</x:v>
      </x:c>
      <x:c r="AH59" s="6" t="str">
        <x:v>1</x:v>
      </x:c>
      <x:c r="AI59" s="6" t="str">
        <x:v>2024-10</x:v>
      </x:c>
      <x:c r="AJ59" s="9" t="str">
        <x:v>NASA POWER (MERRA-2 meteorology)</x:v>
      </x:c>
      <x:c r="AK59" s="9" t="str">
        <x:v>Badan Informasi Geospasial (BIG)</x:v>
      </x:c>
      <x:c r="AL59" s="9" t="str">
        <x:v>https://power.larc.nasa.gov/docs/services/api/temporal/monthly/</x:v>
      </x:c>
      <x:c r="AM59" s="9" t="str">
        <x:v>https://geoservices.big.go.id/rbi/rest/services/BATASWILAYAH/BATAS_WILAYAH/MapServer/12</x:v>
      </x:c>
    </x:row>
    <x:row r="60" ht="18" customHeight="1">
      <x:c r="A60" s="6" t="str">
        <x:v>13</x:v>
      </x:c>
      <x:c r="B60" s="6" t="str">
        <x:v>SUMATERA BARAT</x:v>
      </x:c>
      <x:c r="C60" s="6" t="str">
        <x:v>2024</x:v>
      </x:c>
      <x:c r="D60" s="6" t="str">
        <x:v>11</x:v>
      </x:c>
      <x:c r="E60" s="6" t="str">
        <x:v>24.3888799787438</x:v>
      </x:c>
      <x:c r="F60" s="9" t="str">
        <x:v>grid_cells_within_BIG_polygon</x:v>
      </x:c>
      <x:c r="G60" s="6" t="str">
        <x:v>9</x:v>
      </x:c>
      <x:c r="H60" s="8" t="str">
        <x:v>87.64461200865429</x:v>
      </x:c>
      <x:c r="I60" s="6" t="str">
        <x:v>12.614499713406053</x:v>
      </x:c>
      <x:c r="J60" s="6" t="str">
        <x:v>30</x:v>
      </x:c>
      <x:c r="K60" s="6" t="str">
        <x:v>378.4349914021816</x:v>
      </x:c>
      <x:c r="L60" s="6" t="str">
        <x:v>23.887882005507386</x:v>
      </x:c>
      <x:c r="M60" s="6" t="str">
        <x:v>0.2533126172510415</x:v>
      </x:c>
      <x:c r="N60" s="6" t="str">
        <x:v>88.90849570196823</x:v>
      </x:c>
      <x:c r="O60" s="6" t="str">
        <x:v>0.7753551393515767</x:v>
      </x:c>
      <x:c r="P60" s="6" t="str">
        <x:v>411.06033642115966</x:v>
      </x:c>
      <x:c r="Q60" s="6" t="str">
        <x:v>137.3440686874584</x:v>
      </x:c>
      <x:c r="R60" s="6" t="str">
        <x:v>0.5009979732364158</x:v>
      </x:c>
      <x:c r="S60" s="8" t="str">
        <x:v>1.9777853099986318</x:v>
      </x:c>
      <x:c r="T60" s="6" t="str">
        <x:v>-1.263883693313943</x:v>
      </x:c>
      <x:c r="U60" s="8" t="str">
        <x:v>-1.6300706981460376</x:v>
      </x:c>
      <x:c r="V60" s="6" t="str">
        <x:v>-32.62534501897807</x:v>
      </x:c>
      <x:c r="W60" s="8" t="str">
        <x:v>-0.2375446230096812</x:v>
      </x:c>
      <x:c r="X60" s="6" t="str">
        <x:v>3.419094487607401</x:v>
      </x:c>
      <x:c r="Y60" s="6" t="str">
        <x:v>3.5239271920782365</x:v>
      </x:c>
      <x:c r="Z60" s="6" t="str">
        <x:v>2.9736023298947565</x:v>
      </x:c>
      <x:c r="AA60" s="6" t="str">
        <x:v>-1.4697968848454996</x:v>
      </x:c>
      <x:c r="AB60" s="6" t="str">
        <x:v>-0.8093917882804036</x:v>
      </x:c>
      <x:c r="AC60" s="6" t="str">
        <x:v>-1.3030864570906475</x:v>
      </x:c>
      <x:c r="AD60" s="6" t="str">
        <x:v>0.5073164463729354</x:v>
      </x:c>
      <x:c r="AE60" s="6" t="str">
        <x:v>0.2067283117365716</x:v>
      </x:c>
      <x:c r="AF60" s="6" t="str">
        <x:v>0.15883337836660935</x:v>
      </x:c>
      <x:c r="AG60" s="6" t="str">
        <x:v>0</x:v>
      </x:c>
      <x:c r="AH60" s="6" t="str">
        <x:v>1</x:v>
      </x:c>
      <x:c r="AI60" s="6" t="str">
        <x:v>2024-11</x:v>
      </x:c>
      <x:c r="AJ60" s="9" t="str">
        <x:v>NASA POWER (MERRA-2 meteorology)</x:v>
      </x:c>
      <x:c r="AK60" s="9" t="str">
        <x:v>Badan Informasi Geospasial (BIG)</x:v>
      </x:c>
      <x:c r="AL60" s="9" t="str">
        <x:v>https://power.larc.nasa.gov/docs/services/api/temporal/monthly/</x:v>
      </x:c>
      <x:c r="AM60" s="9" t="str">
        <x:v>https://geoservices.big.go.id/rbi/rest/services/BATASWILAYAH/BATAS_WILAYAH/MapServer/12</x:v>
      </x:c>
    </x:row>
    <x:row r="61" ht="18" customHeight="1">
      <x:c r="A61" s="6" t="str">
        <x:v>13</x:v>
      </x:c>
      <x:c r="B61" s="6" t="str">
        <x:v>SUMATERA BARAT</x:v>
      </x:c>
      <x:c r="C61" s="6" t="str">
        <x:v>2024</x:v>
      </x:c>
      <x:c r="D61" s="6" t="str">
        <x:v>12</x:v>
      </x:c>
      <x:c r="E61" s="6" t="str">
        <x:v>24.04887350497839</x:v>
      </x:c>
      <x:c r="F61" s="9" t="str">
        <x:v>grid_cells_within_BIG_polygon</x:v>
      </x:c>
      <x:c r="G61" s="6" t="str">
        <x:v>9</x:v>
      </x:c>
      <x:c r="H61" s="8" t="str">
        <x:v>87.23463849524691</x:v>
      </x:c>
      <x:c r="I61" s="6" t="str">
        <x:v>9.583450732395235</x:v>
      </x:c>
      <x:c r="J61" s="6" t="str">
        <x:v>31</x:v>
      </x:c>
      <x:c r="K61" s="6" t="str">
        <x:v>297.0869727042523</x:v>
      </x:c>
      <x:c r="L61" s="6" t="str">
        <x:v>23.719178547801068</x:v>
      </x:c>
      <x:c r="M61" s="6" t="str">
        <x:v>0.26544049209141807</x:v>
      </x:c>
      <x:c r="N61" s="6" t="str">
        <x:v>88.60435180709075</x:v>
      </x:c>
      <x:c r="O61" s="6" t="str">
        <x:v>1.2371148276320882</x:v>
      </x:c>
      <x:c r="P61" s="6" t="str">
        <x:v>338.7605881895386</x:v>
      </x:c>
      <x:c r="Q61" s="6" t="str">
        <x:v>73.17736779226844</x:v>
      </x:c>
      <x:c r="R61" s="6" t="str">
        <x:v>0.32969495717732045</x:v>
      </x:c>
      <x:c r="S61" s="8" t="str">
        <x:v>1.2420673069871082</x:v>
      </x:c>
      <x:c r="T61" s="6" t="str">
        <x:v>-1.3697133118438387</x:v>
      </x:c>
      <x:c r="U61" s="8" t="str">
        <x:v>-1.1071836512262583</x:v>
      </x:c>
      <x:c r="V61" s="6" t="str">
        <x:v>-41.67361548528635</x:v>
      </x:c>
      <x:c r="W61" s="8" t="str">
        <x:v>-0.5694877629868695</x:v>
      </x:c>
      <x:c r="X61" s="6" t="str">
        <x:v>1.9777853099986318</x:v>
      </x:c>
      <x:c r="Y61" s="6" t="str">
        <x:v>3.419094487607401</x:v>
      </x:c>
      <x:c r="Z61" s="6" t="str">
        <x:v>2.212982368197714</x:v>
      </x:c>
      <x:c r="AA61" s="6" t="str">
        <x:v>-1.6300706981460376</x:v>
      </x:c>
      <x:c r="AB61" s="6" t="str">
        <x:v>-1.4697968848454996</x:v>
      </x:c>
      <x:c r="AC61" s="6" t="str">
        <x:v>-1.4023504114059324</x:v>
      </x:c>
      <x:c r="AD61" s="6" t="str">
        <x:v>-0.2375446230096812</x:v>
      </x:c>
      <x:c r="AE61" s="6" t="str">
        <x:v>0.5073164463729354</x:v>
      </x:c>
      <x:c r="AF61" s="6" t="str">
        <x:v>-0.09990531320787104</x:v>
      </x:c>
      <x:c r="AG61" s="6" t="str">
        <x:v>0</x:v>
      </x:c>
      <x:c r="AH61" s="6" t="str">
        <x:v>1</x:v>
      </x:c>
      <x:c r="AI61" s="6" t="str">
        <x:v>2024-12</x:v>
      </x:c>
      <x:c r="AJ61" s="9" t="str">
        <x:v>NASA POWER (MERRA-2 meteorology)</x:v>
      </x:c>
      <x:c r="AK61" s="9" t="str">
        <x:v>Badan Informasi Geospasial (BIG)</x:v>
      </x:c>
      <x:c r="AL61" s="9" t="str">
        <x:v>https://power.larc.nasa.gov/docs/services/api/temporal/monthly/</x:v>
      </x:c>
      <x:c r="AM61" s="9" t="str">
        <x:v>https://geoservices.big.go.id/rbi/rest/services/BATASWILAYAH/BATAS_WILAYAH/MapServer/12</x:v>
      </x:c>
    </x:row>
    <x:row r="62" ht="18" customHeight="1">
      <x:c r="A62" s="6" t="str">
        <x:v>13</x:v>
      </x:c>
      <x:c r="B62" s="6" t="str">
        <x:v>SUMATERA BARAT</x:v>
      </x:c>
      <x:c r="C62" s="6" t="str">
        <x:v>2025</x:v>
      </x:c>
      <x:c r="D62" s="6" t="str">
        <x:v>1</x:v>
      </x:c>
      <x:c r="E62" s="6" t="str">
        <x:v>24.022212747923785</x:v>
      </x:c>
      <x:c r="F62" s="9" t="str">
        <x:v>grid_cells_within_BIG_polygon</x:v>
      </x:c>
      <x:c r="G62" s="6" t="str">
        <x:v>9</x:v>
      </x:c>
      <x:c r="H62" s="8" t="str">
        <x:v>87.97680072532145</x:v>
      </x:c>
      <x:c r="I62" s="6" t="str">
        <x:v>15.51574158901216</x:v>
      </x:c>
      <x:c r="J62" s="6" t="str">
        <x:v>31</x:v>
      </x:c>
      <x:c r="K62" s="6" t="str">
        <x:v>480.98798925937695</x:v>
      </x:c>
      <x:c r="L62" s="6" t="str">
        <x:v>23.882027344440925</x:v>
      </x:c>
      <x:c r="M62" s="6" t="str">
        <x:v>0.3602821425328352</x:v>
      </x:c>
      <x:c r="N62" s="6" t="str">
        <x:v>87.33493717275032</x:v>
      </x:c>
      <x:c r="O62" s="6" t="str">
        <x:v>1.3141910517434454</x:v>
      </x:c>
      <x:c r="P62" s="6" t="str">
        <x:v>254.5018484593711</x:v>
      </x:c>
      <x:c r="Q62" s="6" t="str">
        <x:v>86.22235437772176</x:v>
      </x:c>
      <x:c r="R62" s="6" t="str">
        <x:v>0.14018540348286024</x:v>
      </x:c>
      <x:c r="S62" s="8" t="str">
        <x:v>0.3890989503319169</x:v>
      </x:c>
      <x:c r="T62" s="6" t="str">
        <x:v>0.641863552571138</x:v>
      </x:c>
      <x:c r="U62" s="8" t="str">
        <x:v>0.4884096202904612</x:v>
      </x:c>
      <x:c r="V62" s="6" t="str">
        <x:v>226.48614080000584</x:v>
      </x:c>
      <x:c r="W62" s="8" t="str">
        <x:v>2.626768225416559</x:v>
      </x:c>
      <x:c r="X62" s="6" t="str">
        <x:v>1.2420673069871082</x:v>
      </x:c>
      <x:c r="Y62" s="6" t="str">
        <x:v>1.9777853099986318</x:v>
      </x:c>
      <x:c r="Z62" s="6" t="str">
        <x:v>1.2029838557725523</x:v>
      </x:c>
      <x:c r="AA62" s="6" t="str">
        <x:v>-1.1071836512262583</x:v>
      </x:c>
      <x:c r="AB62" s="6" t="str">
        <x:v>-1.6300706981460376</x:v>
      </x:c>
      <x:c r="AC62" s="6" t="str">
        <x:v>-0.7496149096939454</x:v>
      </x:c>
      <x:c r="AD62" s="6" t="str">
        <x:v>-0.5694877629868695</x:v>
      </x:c>
      <x:c r="AE62" s="6" t="str">
        <x:v>-0.2375446230096812</x:v>
      </x:c>
      <x:c r="AF62" s="6" t="str">
        <x:v>0.6065786131400035</x:v>
      </x:c>
      <x:c r="AG62" s="6" t="str">
        <x:v>1</x:v>
      </x:c>
      <x:c r="AH62" s="6" t="str">
        <x:v>0</x:v>
      </x:c>
      <x:c r="AI62" s="6" t="str">
        <x:v>2025-01</x:v>
      </x:c>
      <x:c r="AJ62" s="9" t="str">
        <x:v>NASA POWER (MERRA-2 meteorology)</x:v>
      </x:c>
      <x:c r="AK62" s="9" t="str">
        <x:v>Badan Informasi Geospasial (BIG)</x:v>
      </x:c>
      <x:c r="AL62" s="9" t="str">
        <x:v>https://power.larc.nasa.gov/docs/services/api/temporal/monthly/</x:v>
      </x:c>
      <x:c r="AM62" s="9" t="str">
        <x:v>https://geoservices.big.go.id/rbi/rest/services/BATASWILAYAH/BATAS_WILAYAH/MapServer/12</x:v>
      </x:c>
    </x:row>
    <x:row r="63" ht="18" customHeight="1">
      <x:c r="A63" s="6" t="str">
        <x:v>13</x:v>
      </x:c>
      <x:c r="B63" s="6" t="str">
        <x:v>SUMATERA BARAT</x:v>
      </x:c>
      <x:c r="C63" s="6" t="str">
        <x:v>2025</x:v>
      </x:c>
      <x:c r="D63" s="6" t="str">
        <x:v>2</x:v>
      </x:c>
      <x:c r="E63" s="6" t="str">
        <x:v>24.499988828521754</x:v>
      </x:c>
      <x:c r="F63" s="9" t="str">
        <x:v>grid_cells_within_BIG_polygon</x:v>
      </x:c>
      <x:c r="G63" s="6" t="str">
        <x:v>9</x:v>
      </x:c>
      <x:c r="H63" s="8" t="str">
        <x:v>85.9334865729379</x:v>
      </x:c>
      <x:c r="I63" s="6" t="str">
        <x:v>9.147829012043365</x:v>
      </x:c>
      <x:c r="J63" s="6" t="str">
        <x:v>28</x:v>
      </x:c>
      <x:c r="K63" s="6" t="str">
        <x:v>256.13921233721425</x:v>
      </x:c>
      <x:c r="L63" s="6" t="str">
        <x:v>24.125881829130414</x:v>
      </x:c>
      <x:c r="M63" s="6" t="str">
        <x:v>0.3872095264456438</x:v>
      </x:c>
      <x:c r="N63" s="6" t="str">
        <x:v>86.5581541801603</x:v>
      </x:c>
      <x:c r="O63" s="6" t="str">
        <x:v>1.345503353872931</x:v>
      </x:c>
      <x:c r="P63" s="6" t="str">
        <x:v>232.02601001196072</x:v>
      </x:c>
      <x:c r="Q63" s="6" t="str">
        <x:v>83.63274351195614</x:v>
      </x:c>
      <x:c r="R63" s="6" t="str">
        <x:v>0.3741069993913406</x:v>
      </x:c>
      <x:c r="S63" s="8" t="str">
        <x:v>0.9661616614276598</x:v>
      </x:c>
      <x:c r="T63" s="6" t="str">
        <x:v>-0.6246676072224062</x:v>
      </x:c>
      <x:c r="U63" s="8" t="str">
        <x:v>-0.4642631364866889</x:v>
      </x:c>
      <x:c r="V63" s="6" t="str">
        <x:v>24.113202325253525</x:v>
      </x:c>
      <x:c r="W63" s="8" t="str">
        <x:v>0.28832250758109235</x:v>
      </x:c>
      <x:c r="X63" s="6" t="str">
        <x:v>0.3890989503319169</x:v>
      </x:c>
      <x:c r="Y63" s="6" t="str">
        <x:v>1.2420673069871082</x:v>
      </x:c>
      <x:c r="Z63" s="6" t="str">
        <x:v>0.8657759729155616</x:v>
      </x:c>
      <x:c r="AA63" s="6" t="str">
        <x:v>0.4884096202904612</x:v>
      </x:c>
      <x:c r="AB63" s="6" t="str">
        <x:v>-1.1071836512262583</x:v>
      </x:c>
      <x:c r="AC63" s="6" t="str">
        <x:v>-0.3610123891408292</x:v>
      </x:c>
      <x:c r="AD63" s="6" t="str">
        <x:v>2.626768225416559</x:v>
      </x:c>
      <x:c r="AE63" s="6" t="str">
        <x:v>-0.5694877629868695</x:v>
      </x:c>
      <x:c r="AF63" s="6" t="str">
        <x:v>0.7818676566702614</x:v>
      </x:c>
      <x:c r="AG63" s="6" t="str">
        <x:v>0</x:v>
      </x:c>
      <x:c r="AH63" s="6" t="str">
        <x:v>0</x:v>
      </x:c>
      <x:c r="AI63" s="6" t="str">
        <x:v>2025-02</x:v>
      </x:c>
      <x:c r="AJ63" s="9" t="str">
        <x:v>NASA POWER (MERRA-2 meteorology)</x:v>
      </x:c>
      <x:c r="AK63" s="9" t="str">
        <x:v>Badan Informasi Geospasial (BIG)</x:v>
      </x:c>
      <x:c r="AL63" s="9" t="str">
        <x:v>https://power.larc.nasa.gov/docs/services/api/temporal/monthly/</x:v>
      </x:c>
      <x:c r="AM63" s="9" t="str">
        <x:v>https://geoservices.big.go.id/rbi/rest/services/BATASWILAYAH/BATAS_WILAYAH/MapServer/12</x:v>
      </x:c>
    </x:row>
    <x:row r="64" ht="18" customHeight="1">
      <x:c r="A64" s="6" t="str">
        <x:v>13</x:v>
      </x:c>
      <x:c r="B64" s="6" t="str">
        <x:v>SUMATERA BARAT</x:v>
      </x:c>
      <x:c r="C64" s="6" t="str">
        <x:v>2025</x:v>
      </x:c>
      <x:c r="D64" s="6" t="str">
        <x:v>3</x:v>
      </x:c>
      <x:c r="E64" s="6" t="str">
        <x:v>24.381098862995316</x:v>
      </x:c>
      <x:c r="F64" s="9" t="str">
        <x:v>grid_cells_within_BIG_polygon</x:v>
      </x:c>
      <x:c r="G64" s="6" t="str">
        <x:v>9</x:v>
      </x:c>
      <x:c r="H64" s="8" t="str">
        <x:v>88.07903175260397</x:v>
      </x:c>
      <x:c r="I64" s="6" t="str">
        <x:v>13.697715617786505</x:v>
      </x:c>
      <x:c r="J64" s="6" t="str">
        <x:v>31</x:v>
      </x:c>
      <x:c r="K64" s="6" t="str">
        <x:v>424.62918415138165</x:v>
      </x:c>
      <x:c r="L64" s="6" t="str">
        <x:v>24.30606689976713</x:v>
      </x:c>
      <x:c r="M64" s="6" t="str">
        <x:v>0.4053473875123999</x:v>
      </x:c>
      <x:c r="N64" s="6" t="str">
        <x:v>87.0539117709279</x:v>
      </x:c>
      <x:c r="O64" s="6" t="str">
        <x:v>1.0391352228517974</x:v>
      </x:c>
      <x:c r="P64" s="6" t="str">
        <x:v>288.7322885739542</x:v>
      </x:c>
      <x:c r="Q64" s="6" t="str">
        <x:v>91.56445195979411</x:v>
      </x:c>
      <x:c r="R64" s="6" t="str">
        <x:v>0.0750319632281844</x:v>
      </x:c>
      <x:c r="S64" s="8" t="str">
        <x:v>0.18510533320234884</x:v>
      </x:c>
      <x:c r="T64" s="6" t="str">
        <x:v>1.0251199816760703</x:v>
      </x:c>
      <x:c r="U64" s="8" t="str">
        <x:v>0.9865125915592933</x:v>
      </x:c>
      <x:c r="V64" s="6" t="str">
        <x:v>135.89689557742747</x:v>
      </x:c>
      <x:c r="W64" s="8" t="str">
        <x:v>1.4841665369995303</x:v>
      </x:c>
      <x:c r="X64" s="6" t="str">
        <x:v>0.9661616614276598</x:v>
      </x:c>
      <x:c r="Y64" s="6" t="str">
        <x:v>0.3890989503319169</x:v>
      </x:c>
      <x:c r="Z64" s="6" t="str">
        <x:v>0.5134553149873086</x:v>
      </x:c>
      <x:c r="AA64" s="6" t="str">
        <x:v>-0.4642631364866889</x:v>
      </x:c>
      <x:c r="AB64" s="6" t="str">
        <x:v>0.4884096202904612</x:v>
      </x:c>
      <x:c r="AC64" s="6" t="str">
        <x:v>0.3368863584543546</x:v>
      </x:c>
      <x:c r="AD64" s="6" t="str">
        <x:v>0.28832250758109235</x:v>
      </x:c>
      <x:c r="AE64" s="6" t="str">
        <x:v>2.626768225416559</x:v>
      </x:c>
      <x:c r="AF64" s="6" t="str">
        <x:v>1.4664190899990615</x:v>
      </x:c>
      <x:c r="AG64" s="6" t="str">
        <x:v>1</x:v>
      </x:c>
      <x:c r="AH64" s="6" t="str">
        <x:v>0</x:v>
      </x:c>
      <x:c r="AI64" s="6" t="str">
        <x:v>2025-03</x:v>
      </x:c>
      <x:c r="AJ64" s="9" t="str">
        <x:v>NASA POWER (MERRA-2 meteorology)</x:v>
      </x:c>
      <x:c r="AK64" s="9" t="str">
        <x:v>Badan Informasi Geospasial (BIG)</x:v>
      </x:c>
      <x:c r="AL64" s="9" t="str">
        <x:v>https://power.larc.nasa.gov/docs/services/api/temporal/monthly/</x:v>
      </x:c>
      <x:c r="AM64" s="9" t="str">
        <x:v>https://geoservices.big.go.id/rbi/rest/services/BATASWILAYAH/BATAS_WILAYAH/MapServer/12</x:v>
      </x:c>
    </x:row>
    <x:row r="65" ht="18" customHeight="1">
      <x:c r="A65" s="6" t="str">
        <x:v>13</x:v>
      </x:c>
      <x:c r="B65" s="6" t="str">
        <x:v>SUMATERA BARAT</x:v>
      </x:c>
      <x:c r="C65" s="6" t="str">
        <x:v>2025</x:v>
      </x:c>
      <x:c r="D65" s="6" t="str">
        <x:v>4</x:v>
      </x:c>
      <x:c r="E65" s="6" t="str">
        <x:v>24.484429135743863</x:v>
      </x:c>
      <x:c r="F65" s="9" t="str">
        <x:v>grid_cells_within_BIG_polygon</x:v>
      </x:c>
      <x:c r="G65" s="6" t="str">
        <x:v>9</x:v>
      </x:c>
      <x:c r="H65" s="8" t="str">
        <x:v>87.16350125549357</x:v>
      </x:c>
      <x:c r="I65" s="6" t="str">
        <x:v>10.263376688888439</x:v>
      </x:c>
      <x:c r="J65" s="6" t="str">
        <x:v>30</x:v>
      </x:c>
      <x:c r="K65" s="6" t="str">
        <x:v>307.9013006666532</x:v>
      </x:c>
      <x:c r="L65" s="6" t="str">
        <x:v>24.499438777225482</x:v>
      </x:c>
      <x:c r="M65" s="6" t="str">
        <x:v>0.38286672090356744</x:v>
      </x:c>
      <x:c r="N65" s="6" t="str">
        <x:v>88.1694973879217</x:v>
      </x:c>
      <x:c r="O65" s="6" t="str">
        <x:v>0.8035042430254056</x:v>
      </x:c>
      <x:c r="P65" s="6" t="str">
        <x:v>287.24364266016283</x:v>
      </x:c>
      <x:c r="Q65" s="6" t="str">
        <x:v>71.34604084563288</x:v>
      </x:c>
      <x:c r="R65" s="6" t="str">
        <x:v>-0.015009641481618985</x:v>
      </x:c>
      <x:c r="S65" s="8" t="str">
        <x:v>-0.03920330669167629</x:v>
      </x:c>
      <x:c r="T65" s="6" t="str">
        <x:v>-1.0059961324281232</x:v>
      </x:c>
      <x:c r="U65" s="8" t="str">
        <x:v>-1.252010977117286</x:v>
      </x:c>
      <x:c r="V65" s="6" t="str">
        <x:v>20.65765800649035</x:v>
      </x:c>
      <x:c r="W65" s="8" t="str">
        <x:v>0.2895417567904865</x:v>
      </x:c>
      <x:c r="X65" s="6" t="str">
        <x:v>0.18510533320234884</x:v>
      </x:c>
      <x:c r="Y65" s="6" t="str">
        <x:v>0.9661616614276598</x:v>
      </x:c>
      <x:c r="Z65" s="6" t="str">
        <x:v>0.3706878959794441</x:v>
      </x:c>
      <x:c r="AA65" s="6" t="str">
        <x:v>0.9865125915592933</x:v>
      </x:c>
      <x:c r="AB65" s="6" t="str">
        <x:v>-0.4642631364866889</x:v>
      </x:c>
      <x:c r="AC65" s="6" t="str">
        <x:v>-0.24325384068156117</x:v>
      </x:c>
      <x:c r="AD65" s="6" t="str">
        <x:v>1.4841665369995303</x:v>
      </x:c>
      <x:c r="AE65" s="6" t="str">
        <x:v>0.28832250758109235</x:v>
      </x:c>
      <x:c r="AF65" s="6" t="str">
        <x:v>0.6873436004570371</x:v>
      </x:c>
      <x:c r="AG65" s="6" t="str">
        <x:v>0</x:v>
      </x:c>
      <x:c r="AH65" s="6" t="str">
        <x:v>0</x:v>
      </x:c>
      <x:c r="AI65" s="6" t="str">
        <x:v>2025-04</x:v>
      </x:c>
      <x:c r="AJ65" s="9" t="str">
        <x:v>NASA POWER (MERRA-2 meteorology)</x:v>
      </x:c>
      <x:c r="AK65" s="9" t="str">
        <x:v>Badan Informasi Geospasial (BIG)</x:v>
      </x:c>
      <x:c r="AL65" s="9" t="str">
        <x:v>https://power.larc.nasa.gov/docs/services/api/temporal/monthly/</x:v>
      </x:c>
      <x:c r="AM65" s="9" t="str">
        <x:v>https://geoservices.big.go.id/rbi/rest/services/BATASWILAYAH/BATAS_WILAYAH/MapServer/12</x:v>
      </x:c>
    </x:row>
    <x:row r="66" ht="18" customHeight="1">
      <x:c r="A66" s="6" t="str">
        <x:v>13</x:v>
      </x:c>
      <x:c r="B66" s="6" t="str">
        <x:v>SUMATERA BARAT</x:v>
      </x:c>
      <x:c r="C66" s="6" t="str">
        <x:v>2025</x:v>
      </x:c>
      <x:c r="D66" s="6" t="str">
        <x:v>5</x:v>
      </x:c>
      <x:c r="E66" s="6" t="str">
        <x:v>24.86331702795388</x:v>
      </x:c>
      <x:c r="F66" s="9" t="str">
        <x:v>grid_cells_within_BIG_polygon</x:v>
      </x:c>
      <x:c r="G66" s="6" t="str">
        <x:v>9</x:v>
      </x:c>
      <x:c r="H66" s="8" t="str">
        <x:v>86.70024413855901</x:v>
      </x:c>
      <x:c r="I66" s="6" t="str">
        <x:v>6.468857851627193</x:v>
      </x:c>
      <x:c r="J66" s="6" t="str">
        <x:v>31</x:v>
      </x:c>
      <x:c r="K66" s="6" t="str">
        <x:v>200.53459340044296</x:v>
      </x:c>
      <x:c r="L66" s="6" t="str">
        <x:v>24.725805549031644</x:v>
      </x:c>
      <x:c r="M66" s="6" t="str">
        <x:v>0.29843057856811733</x:v>
      </x:c>
      <x:c r="N66" s="6" t="str">
        <x:v>87.56831622854833</x:v>
      </x:c>
      <x:c r="O66" s="6" t="str">
        <x:v>1.1649794938724647</x:v>
      </x:c>
      <x:c r="P66" s="6" t="str">
        <x:v>226.51811717942746</x:v>
      </x:c>
      <x:c r="Q66" s="6" t="str">
        <x:v>92.90013806411949</x:v>
      </x:c>
      <x:c r="R66" s="6" t="str">
        <x:v>0.13751147892223514</x:v>
      </x:c>
      <x:c r="S66" s="8" t="str">
        <x:v>0.4607821342639253</x:v>
      </x:c>
      <x:c r="T66" s="6" t="str">
        <x:v>-0.8680720899893117</x:v>
      </x:c>
      <x:c r="U66" s="8" t="str">
        <x:v>-0.7451393733153069</x:v>
      </x:c>
      <x:c r="V66" s="6" t="str">
        <x:v>-25.983523778984505</x:v>
      </x:c>
      <x:c r="W66" s="8" t="str">
        <x:v>-0.2796930588095653</x:v>
      </x:c>
      <x:c r="X66" s="6" t="str">
        <x:v>-0.03920330669167629</x:v>
      </x:c>
      <x:c r="Y66" s="6" t="str">
        <x:v>0.18510533320234884</x:v>
      </x:c>
      <x:c r="Z66" s="6" t="str">
        <x:v>0.20222805359153262</x:v>
      </x:c>
      <x:c r="AA66" s="6" t="str">
        <x:v>-1.252010977117286</x:v>
      </x:c>
      <x:c r="AB66" s="6" t="str">
        <x:v>0.9865125915592933</x:v>
      </x:c>
      <x:c r="AC66" s="6" t="str">
        <x:v>-0.33687925295776716</x:v>
      </x:c>
      <x:c r="AD66" s="6" t="str">
        <x:v>0.2895417567904865</x:v>
      </x:c>
      <x:c r="AE66" s="6" t="str">
        <x:v>1.4841665369995303</x:v>
      </x:c>
      <x:c r="AF66" s="6" t="str">
        <x:v>0.4980050783268179</x:v>
      </x:c>
      <x:c r="AG66" s="6" t="str">
        <x:v>0</x:v>
      </x:c>
      <x:c r="AH66" s="6" t="str">
        <x:v>0</x:v>
      </x:c>
      <x:c r="AI66" s="6" t="str">
        <x:v>2025-05</x:v>
      </x:c>
      <x:c r="AJ66" s="9" t="str">
        <x:v>NASA POWER (MERRA-2 meteorology)</x:v>
      </x:c>
      <x:c r="AK66" s="9" t="str">
        <x:v>Badan Informasi Geospasial (BIG)</x:v>
      </x:c>
      <x:c r="AL66" s="9" t="str">
        <x:v>https://power.larc.nasa.gov/docs/services/api/temporal/monthly/</x:v>
      </x:c>
      <x:c r="AM66" s="9" t="str">
        <x:v>https://geoservices.big.go.id/rbi/rest/services/BATASWILAYAH/BATAS_WILAYAH/MapServer/12</x:v>
      </x:c>
    </x:row>
    <x:row r="67" ht="18" customHeight="1">
      <x:c r="A67" s="6" t="str">
        <x:v>13</x:v>
      </x:c>
      <x:c r="B67" s="6" t="str">
        <x:v>SUMATERA BARAT</x:v>
      </x:c>
      <x:c r="C67" s="6" t="str">
        <x:v>2025</x:v>
      </x:c>
      <x:c r="D67" s="6" t="str">
        <x:v>6</x:v>
      </x:c>
      <x:c r="E67" s="6" t="str">
        <x:v>24.348865254090594</x:v>
      </x:c>
      <x:c r="F67" s="9" t="str">
        <x:v>grid_cells_within_BIG_polygon</x:v>
      </x:c>
      <x:c r="G67" s="6" t="str">
        <x:v>9</x:v>
      </x:c>
      <x:c r="H67" s="8" t="str">
        <x:v>86.05577501797259</x:v>
      </x:c>
      <x:c r="I67" s="6" t="str">
        <x:v>5.110017728771749</x:v>
      </x:c>
      <x:c r="J67" s="6" t="str">
        <x:v>30</x:v>
      </x:c>
      <x:c r="K67" s="6" t="str">
        <x:v>153.30053186315246</x:v>
      </x:c>
      <x:c r="L67" s="6" t="str">
        <x:v>24.32228199714517</x:v>
      </x:c>
      <x:c r="M67" s="6" t="str">
        <x:v>0.25461524596765245</x:v>
      </x:c>
      <x:c r="N67" s="6" t="str">
        <x:v>86.91559311170107</x:v>
      </x:c>
      <x:c r="O67" s="6" t="str">
        <x:v>0.7878442778432629</x:v>
      </x:c>
      <x:c r="P67" s="6" t="str">
        <x:v>211.1643465051727</x:v>
      </x:c>
      <x:c r="Q67" s="6" t="str">
        <x:v>71.01116634852144</x:v>
      </x:c>
      <x:c r="R67" s="6" t="str">
        <x:v>0.026583256945425404</x:v>
      </x:c>
      <x:c r="S67" s="8" t="str">
        <x:v>0.1044055977260791</x:v>
      </x:c>
      <x:c r="T67" s="6" t="str">
        <x:v>-0.8598180937284781</x:v>
      </x:c>
      <x:c r="U67" s="8" t="str">
        <x:v>-1.0913553831757776</x:v>
      </x:c>
      <x:c r="V67" s="6" t="str">
        <x:v>-57.86381464202023</x:v>
      </x:c>
      <x:c r="W67" s="8" t="str">
        <x:v>-0.8148551504988066</x:v>
      </x:c>
      <x:c r="X67" s="6" t="str">
        <x:v>0.4607821342639253</x:v>
      </x:c>
      <x:c r="Y67" s="6" t="str">
        <x:v>-0.03920330669167629</x:v>
      </x:c>
      <x:c r="Z67" s="6" t="str">
        <x:v>0.17532814176610936</x:v>
      </x:c>
      <x:c r="AA67" s="6" t="str">
        <x:v>-0.7451393733153069</x:v>
      </x:c>
      <x:c r="AB67" s="6" t="str">
        <x:v>-1.252010977117286</x:v>
      </x:c>
      <x:c r="AC67" s="6" t="str">
        <x:v>-1.029501911202791</x:v>
      </x:c>
      <x:c r="AD67" s="6" t="str">
        <x:v>-0.2796930588095653</x:v>
      </x:c>
      <x:c r="AE67" s="6" t="str">
        <x:v>0.2895417567904865</x:v>
      </x:c>
      <x:c r="AF67" s="6" t="str">
        <x:v>-0.26833548417262776</x:v>
      </x:c>
      <x:c r="AG67" s="6" t="str">
        <x:v>0</x:v>
      </x:c>
      <x:c r="AH67" s="6" t="str">
        <x:v>0</x:v>
      </x:c>
      <x:c r="AI67" s="6" t="str">
        <x:v>2025-06</x:v>
      </x:c>
      <x:c r="AJ67" s="9" t="str">
        <x:v>NASA POWER (MERRA-2 meteorology)</x:v>
      </x:c>
      <x:c r="AK67" s="9" t="str">
        <x:v>Badan Informasi Geospasial (BIG)</x:v>
      </x:c>
      <x:c r="AL67" s="9" t="str">
        <x:v>https://power.larc.nasa.gov/docs/services/api/temporal/monthly/</x:v>
      </x:c>
      <x:c r="AM67" s="9" t="str">
        <x:v>https://geoservices.big.go.id/rbi/rest/services/BATASWILAYAH/BATAS_WILAYAH/MapServer/12</x:v>
      </x:c>
    </x:row>
    <x:row r="68" ht="18" customHeight="1">
      <x:c r="A68" s="6" t="str">
        <x:v>13</x:v>
      </x:c>
      <x:c r="B68" s="6" t="str">
        <x:v>SUMATERA BARAT</x:v>
      </x:c>
      <x:c r="C68" s="6" t="str">
        <x:v>2025</x:v>
      </x:c>
      <x:c r="D68" s="6" t="str">
        <x:v>7</x:v>
      </x:c>
      <x:c r="E68" s="6" t="str">
        <x:v>24.34998087386667</x:v>
      </x:c>
      <x:c r="F68" s="9" t="str">
        <x:v>grid_cells_within_BIG_polygon</x:v>
      </x:c>
      <x:c r="G68" s="6" t="str">
        <x:v>9</x:v>
      </x:c>
      <x:c r="H68" s="8" t="str">
        <x:v>86.3113537504589</x:v>
      </x:c>
      <x:c r="I68" s="6" t="str">
        <x:v>6.287769141429876</x:v>
      </x:c>
      <x:c r="J68" s="6" t="str">
        <x:v>31</x:v>
      </x:c>
      <x:c r="K68" s="6" t="str">
        <x:v>194.92084338432616</x:v>
      </x:c>
      <x:c r="L68" s="6" t="str">
        <x:v>23.986727642769136</x:v>
      </x:c>
      <x:c r="M68" s="6" t="str">
        <x:v>0.2538794931671106</x:v>
      </x:c>
      <x:c r="N68" s="6" t="str">
        <x:v>86.7939611570253</x:v>
      </x:c>
      <x:c r="O68" s="6" t="str">
        <x:v>0.9727838283666672</x:v>
      </x:c>
      <x:c r="P68" s="6" t="str">
        <x:v>208.10841706212912</x:v>
      </x:c>
      <x:c r="Q68" s="6" t="str">
        <x:v>74.08818214795043</x:v>
      </x:c>
      <x:c r="R68" s="6" t="str">
        <x:v>0.36325323109753427</x:v>
      </x:c>
      <x:c r="S68" s="8" t="str">
        <x:v>1.4308096592048527</x:v>
      </x:c>
      <x:c r="T68" s="6" t="str">
        <x:v>-0.48260740656638745</x:v>
      </x:c>
      <x:c r="U68" s="8" t="str">
        <x:v>-0.49610961088518457</x:v>
      </x:c>
      <x:c r="V68" s="6" t="str">
        <x:v>-13.187573677802959</x:v>
      </x:c>
      <x:c r="W68" s="8" t="str">
        <x:v>-0.17799834326435526</x:v>
      </x:c>
      <x:c r="X68" s="6" t="str">
        <x:v>0.1044055977260791</x:v>
      </x:c>
      <x:c r="Y68" s="6" t="str">
        <x:v>0.4607821342639253</x:v>
      </x:c>
      <x:c r="Z68" s="6" t="str">
        <x:v>0.665332463731619</x:v>
      </x:c>
      <x:c r="AA68" s="6" t="str">
        <x:v>-1.0913553831757776</x:v>
      </x:c>
      <x:c r="AB68" s="6" t="str">
        <x:v>-0.7451393733153069</x:v>
      </x:c>
      <x:c r="AC68" s="6" t="str">
        <x:v>-0.7775347891254237</x:v>
      </x:c>
      <x:c r="AD68" s="6" t="str">
        <x:v>-0.8148551504988066</x:v>
      </x:c>
      <x:c r="AE68" s="6" t="str">
        <x:v>-0.2796930588095653</x:v>
      </x:c>
      <x:c r="AF68" s="6" t="str">
        <x:v>-0.42418218419090836</x:v>
      </x:c>
      <x:c r="AG68" s="6" t="str">
        <x:v>0</x:v>
      </x:c>
      <x:c r="AH68" s="6" t="str">
        <x:v>1</x:v>
      </x:c>
      <x:c r="AI68" s="6" t="str">
        <x:v>2025-07</x:v>
      </x:c>
      <x:c r="AJ68" s="9" t="str">
        <x:v>NASA POWER (MERRA-2 meteorology)</x:v>
      </x:c>
      <x:c r="AK68" s="9" t="str">
        <x:v>Badan Informasi Geospasial (BIG)</x:v>
      </x:c>
      <x:c r="AL68" s="9" t="str">
        <x:v>https://power.larc.nasa.gov/docs/services/api/temporal/monthly/</x:v>
      </x:c>
      <x:c r="AM68" s="9" t="str">
        <x:v>https://geoservices.big.go.id/rbi/rest/services/BATASWILAYAH/BATAS_WILAYAH/MapServer/12</x:v>
      </x:c>
    </x:row>
    <x:row r="69" ht="18" customHeight="1">
      <x:c r="A69" s="6" t="str">
        <x:v>13</x:v>
      </x:c>
      <x:c r="B69" s="6" t="str">
        <x:v>SUMATERA BARAT</x:v>
      </x:c>
      <x:c r="C69" s="6" t="str">
        <x:v>2025</x:v>
      </x:c>
      <x:c r="D69" s="6" t="str">
        <x:v>8</x:v>
      </x:c>
      <x:c r="E69" s="6" t="str">
        <x:v>24.02109573192358</x:v>
      </x:c>
      <x:c r="F69" s="9" t="str">
        <x:v>grid_cells_within_BIG_polygon</x:v>
      </x:c>
      <x:c r="G69" s="6" t="str">
        <x:v>9</x:v>
      </x:c>
      <x:c r="H69" s="8" t="str">
        <x:v>85.04575665400952</x:v>
      </x:c>
      <x:c r="I69" s="6" t="str">
        <x:v>9.040018194196975</x:v>
      </x:c>
      <x:c r="J69" s="6" t="str">
        <x:v>31</x:v>
      </x:c>
      <x:c r="K69" s="6" t="str">
        <x:v>280.2405640201062</x:v>
      </x:c>
      <x:c r="L69" s="6" t="str">
        <x:v>23.989248120045723</x:v>
      </x:c>
      <x:c r="M69" s="6" t="str">
        <x:v>0.23656902243859965</x:v>
      </x:c>
      <x:c r="N69" s="6" t="str">
        <x:v>86.85677898444781</x:v>
      </x:c>
      <x:c r="O69" s="6" t="str">
        <x:v>0.9948875290909864</x:v>
      </x:c>
      <x:c r="P69" s="6" t="str">
        <x:v>232.19295217432585</x:v>
      </x:c>
      <x:c r="Q69" s="6" t="str">
        <x:v>122.37087647165603</x:v>
      </x:c>
      <x:c r="R69" s="6" t="str">
        <x:v>0.03184761187785767</x:v>
      </x:c>
      <x:c r="S69" s="8" t="str">
        <x:v>0.13462291702255128</x:v>
      </x:c>
      <x:c r="T69" s="6" t="str">
        <x:v>-1.8110223304382913</x:v>
      </x:c>
      <x:c r="U69" s="8" t="str">
        <x:v>-1.820328708002798</x:v>
      </x:c>
      <x:c r="V69" s="6" t="str">
        <x:v>48.04761184578035</x:v>
      </x:c>
      <x:c r="W69" s="8" t="str">
        <x:v>0.3926392719505389</x:v>
      </x:c>
      <x:c r="X69" s="6" t="str">
        <x:v>1.4308096592048527</x:v>
      </x:c>
      <x:c r="Y69" s="6" t="str">
        <x:v>0.1044055977260791</x:v>
      </x:c>
      <x:c r="Z69" s="6" t="str">
        <x:v>0.5566127246511611</x:v>
      </x:c>
      <x:c r="AA69" s="6" t="str">
        <x:v>-0.49610961088518457</x:v>
      </x:c>
      <x:c r="AB69" s="6" t="str">
        <x:v>-1.0913553831757776</x:v>
      </x:c>
      <x:c r="AC69" s="6" t="str">
        <x:v>-1.135931234021254</x:v>
      </x:c>
      <x:c r="AD69" s="6" t="str">
        <x:v>-0.17799834326435526</x:v>
      </x:c>
      <x:c r="AE69" s="6" t="str">
        <x:v>-0.8148551504988066</x:v>
      </x:c>
      <x:c r="AF69" s="6" t="str">
        <x:v>-0.20007140727087358</x:v>
      </x:c>
      <x:c r="AG69" s="6" t="str">
        <x:v>0</x:v>
      </x:c>
      <x:c r="AH69" s="6" t="str">
        <x:v>0</x:v>
      </x:c>
      <x:c r="AI69" s="6" t="str">
        <x:v>2025-08</x:v>
      </x:c>
      <x:c r="AJ69" s="9" t="str">
        <x:v>NASA POWER (MERRA-2 meteorology)</x:v>
      </x:c>
      <x:c r="AK69" s="9" t="str">
        <x:v>Badan Informasi Geospasial (BIG)</x:v>
      </x:c>
      <x:c r="AL69" s="9" t="str">
        <x:v>https://power.larc.nasa.gov/docs/services/api/temporal/monthly/</x:v>
      </x:c>
      <x:c r="AM69" s="9" t="str">
        <x:v>https://geoservices.big.go.id/rbi/rest/services/BATASWILAYAH/BATAS_WILAYAH/MapServer/12</x:v>
      </x:c>
    </x:row>
    <x:row r="70" ht="18" customHeight="1">
      <x:c r="A70" s="6" t="str">
        <x:v>13</x:v>
      </x:c>
      <x:c r="B70" s="6" t="str">
        <x:v>SUMATERA BARAT</x:v>
      </x:c>
      <x:c r="C70" s="6" t="str">
        <x:v>2025</x:v>
      </x:c>
      <x:c r="D70" s="6" t="str">
        <x:v>9</x:v>
      </x:c>
      <x:c r="E70" s="6" t="str">
        <x:v>24.084427570295002</x:v>
      </x:c>
      <x:c r="F70" s="9" t="str">
        <x:v>grid_cells_within_BIG_polygon</x:v>
      </x:c>
      <x:c r="G70" s="6" t="str">
        <x:v>9</x:v>
      </x:c>
      <x:c r="H70" s="8" t="str">
        <x:v>86.62460121939864</x:v>
      </x:c>
      <x:c r="I70" s="6" t="str">
        <x:v>8.923372330617536</x:v>
      </x:c>
      <x:c r="J70" s="6" t="str">
        <x:v>30</x:v>
      </x:c>
      <x:c r="K70" s="6" t="str">
        <x:v>267.7011699185261</x:v>
      </x:c>
      <x:c r="L70" s="6" t="str">
        <x:v>23.97662331899722</x:v>
      </x:c>
      <x:c r="M70" s="6" t="str">
        <x:v>0.23680302013348445</x:v>
      </x:c>
      <x:c r="N70" s="6" t="str">
        <x:v>87.17876361244792</x:v>
      </x:c>
      <x:c r="O70" s="6" t="str">
        <x:v>0.8287558238387334</x:v>
      </x:c>
      <x:c r="P70" s="6" t="str">
        <x:v>264.7738165194277</x:v>
      </x:c>
      <x:c r="Q70" s="6" t="str">
        <x:v>92.52041517809997</x:v>
      </x:c>
      <x:c r="R70" s="6" t="str">
        <x:v>0.10780425129778237</x:v>
      </x:c>
      <x:c r="S70" s="8" t="str">
        <x:v>0.45524863338741944</x:v>
      </x:c>
      <x:c r="T70" s="6" t="str">
        <x:v>-0.5541623930492818</x:v>
      </x:c>
      <x:c r="U70" s="8" t="str">
        <x:v>-0.6686678718979544</x:v>
      </x:c>
      <x:c r="V70" s="6" t="str">
        <x:v>2.927353399098365</x:v>
      </x:c>
      <x:c r="W70" s="8" t="str">
        <x:v>0.031640080661800615</x:v>
      </x:c>
      <x:c r="X70" s="6" t="str">
        <x:v>0.13462291702255128</x:v>
      </x:c>
      <x:c r="Y70" s="6" t="str">
        <x:v>1.4308096592048527</x:v>
      </x:c>
      <x:c r="Z70" s="6" t="str">
        <x:v>0.6735604032049413</x:v>
      </x:c>
      <x:c r="AA70" s="6" t="str">
        <x:v>-1.820328708002798</x:v>
      </x:c>
      <x:c r="AB70" s="6" t="str">
        <x:v>-0.49610961088518457</x:v>
      </x:c>
      <x:c r="AC70" s="6" t="str">
        <x:v>-0.9950353969286462</x:v>
      </x:c>
      <x:c r="AD70" s="6" t="str">
        <x:v>0.3926392719505389</x:v>
      </x:c>
      <x:c r="AE70" s="6" t="str">
        <x:v>-0.17799834326435526</x:v>
      </x:c>
      <x:c r="AF70" s="6" t="str">
        <x:v>0.08209366978266215</x:v>
      </x:c>
      <x:c r="AG70" s="6" t="str">
        <x:v>0</x:v>
      </x:c>
      <x:c r="AH70" s="6" t="str">
        <x:v>0</x:v>
      </x:c>
      <x:c r="AI70" s="6" t="str">
        <x:v>2025-09</x:v>
      </x:c>
      <x:c r="AJ70" s="9" t="str">
        <x:v>NASA POWER (MERRA-2 meteorology)</x:v>
      </x:c>
      <x:c r="AK70" s="9" t="str">
        <x:v>Badan Informasi Geospasial (BIG)</x:v>
      </x:c>
      <x:c r="AL70" s="9" t="str">
        <x:v>https://power.larc.nasa.gov/docs/services/api/temporal/monthly/</x:v>
      </x:c>
      <x:c r="AM70" s="9" t="str">
        <x:v>https://geoservices.big.go.id/rbi/rest/services/BATASWILAYAH/BATAS_WILAYAH/MapServer/12</x:v>
      </x:c>
    </x:row>
    <x:row r="71" ht="18" customHeight="1">
      <x:c r="A71" s="6" t="str">
        <x:v>13</x:v>
      </x:c>
      <x:c r="B71" s="6" t="str">
        <x:v>SUMATERA BARAT</x:v>
      </x:c>
      <x:c r="C71" s="6" t="str">
        <x:v>2025</x:v>
      </x:c>
      <x:c r="D71" s="6" t="str">
        <x:v>10</x:v>
      </x:c>
      <x:c r="E71" s="6" t="str">
        <x:v>24.38998637436509</x:v>
      </x:c>
      <x:c r="F71" s="9" t="str">
        <x:v>grid_cells_within_BIG_polygon</x:v>
      </x:c>
      <x:c r="G71" s="6" t="str">
        <x:v>9</x:v>
      </x:c>
      <x:c r="H71" s="8" t="str">
        <x:v>85.06351284831135</x:v>
      </x:c>
      <x:c r="I71" s="6" t="str">
        <x:v>6.099973724652313</x:v>
      </x:c>
      <x:c r="J71" s="6" t="str">
        <x:v>31</x:v>
      </x:c>
      <x:c r="K71" s="6" t="str">
        <x:v>189.0991854642217</x:v>
      </x:c>
      <x:c r="L71" s="6" t="str">
        <x:v>23.958699274676764</x:v>
      </x:c>
      <x:c r="M71" s="6" t="str">
        <x:v>0.257429057874257</x:v>
      </x:c>
      <x:c r="N71" s="6" t="str">
        <x:v>87.89715972008703</x:v>
      </x:c>
      <x:c r="O71" s="6" t="str">
        <x:v>1.168939069819097</x:v>
      </x:c>
      <x:c r="P71" s="6" t="str">
        <x:v>329.5573282674638</x:v>
      </x:c>
      <x:c r="Q71" s="6" t="str">
        <x:v>131.5232439023685</x:v>
      </x:c>
      <x:c r="R71" s="6" t="str">
        <x:v>0.43128709968832624</x:v>
      </x:c>
      <x:c r="S71" s="8" t="str">
        <x:v>1.6753629261968996</x:v>
      </x:c>
      <x:c r="T71" s="6" t="str">
        <x:v>-2.8336468717756844</x:v>
      </x:c>
      <x:c r="U71" s="8" t="str">
        <x:v>-2.4241185404250496</x:v>
      </x:c>
      <x:c r="V71" s="6" t="str">
        <x:v>-140.45814280324208</x:v>
      </x:c>
      <x:c r="W71" s="8" t="str">
        <x:v>-1.0679339912533337</x:v>
      </x:c>
      <x:c r="X71" s="6" t="str">
        <x:v>0.45524863338741944</x:v>
      </x:c>
      <x:c r="Y71" s="6" t="str">
        <x:v>0.13462291702255128</x:v>
      </x:c>
      <x:c r="Z71" s="6" t="str">
        <x:v>0.7550781588689569</x:v>
      </x:c>
      <x:c r="AA71" s="6" t="str">
        <x:v>-0.6686678718979544</x:v>
      </x:c>
      <x:c r="AB71" s="6" t="str">
        <x:v>-1.820328708002798</x:v>
      </x:c>
      <x:c r="AC71" s="6" t="str">
        <x:v>-1.6377050401086013</x:v>
      </x:c>
      <x:c r="AD71" s="6" t="str">
        <x:v>0.031640080661800615</x:v>
      </x:c>
      <x:c r="AE71" s="6" t="str">
        <x:v>0.3926392719505389</x:v>
      </x:c>
      <x:c r="AF71" s="6" t="str">
        <x:v>-0.21455154621366399</x:v>
      </x:c>
      <x:c r="AG71" s="6" t="str">
        <x:v>0</x:v>
      </x:c>
      <x:c r="AH71" s="6" t="str">
        <x:v>1</x:v>
      </x:c>
      <x:c r="AI71" s="6" t="str">
        <x:v>2025-10</x:v>
      </x:c>
      <x:c r="AJ71" s="9" t="str">
        <x:v>NASA POWER (MERRA-2 meteorology)</x:v>
      </x:c>
      <x:c r="AK71" s="9" t="str">
        <x:v>Badan Informasi Geospasial (BIG)</x:v>
      </x:c>
      <x:c r="AL71" s="9" t="str">
        <x:v>https://power.larc.nasa.gov/docs/services/api/temporal/monthly/</x:v>
      </x:c>
      <x:c r="AM71" s="9" t="str">
        <x:v>https://geoservices.big.go.id/rbi/rest/services/BATASWILAYAH/BATAS_WILAYAH/MapServer/12</x:v>
      </x:c>
    </x:row>
    <x:row r="72" ht="18" customHeight="1">
      <x:c r="A72" s="6" t="str">
        <x:v>13</x:v>
      </x:c>
      <x:c r="B72" s="6" t="str">
        <x:v>SUMATERA BARAT</x:v>
      </x:c>
      <x:c r="C72" s="6" t="str">
        <x:v>2025</x:v>
      </x:c>
      <x:c r="D72" s="6" t="str">
        <x:v>11</x:v>
      </x:c>
      <x:c r="E72" s="6" t="str">
        <x:v>23.807763005040925</x:v>
      </x:c>
      <x:c r="F72" s="9" t="str">
        <x:v>grid_cells_within_BIG_polygon</x:v>
      </x:c>
      <x:c r="G72" s="6" t="str">
        <x:v>9</x:v>
      </x:c>
      <x:c r="H72" s="8" t="str">
        <x:v>88.26350235487595</x:v>
      </x:c>
      <x:c r="I72" s="6" t="str">
        <x:v>19.955542598652883</x:v>
      </x:c>
      <x:c r="J72" s="6" t="str">
        <x:v>30</x:v>
      </x:c>
      <x:c r="K72" s="6" t="str">
        <x:v>598.6662779595865</x:v>
      </x:c>
      <x:c r="L72" s="6" t="str">
        <x:v>23.887882005507386</x:v>
      </x:c>
      <x:c r="M72" s="6" t="str">
        <x:v>0.2533126172510415</x:v>
      </x:c>
      <x:c r="N72" s="6" t="str">
        <x:v>88.90849570196823</x:v>
      </x:c>
      <x:c r="O72" s="6" t="str">
        <x:v>0.7753551393515767</x:v>
      </x:c>
      <x:c r="P72" s="6" t="str">
        <x:v>411.06033642115966</x:v>
      </x:c>
      <x:c r="Q72" s="6" t="str">
        <x:v>137.3440686874584</x:v>
      </x:c>
      <x:c r="R72" s="6" t="str">
        <x:v>-0.08011900046646048</x:v>
      </x:c>
      <x:c r="S72" s="8" t="str">
        <x:v>-0.3162850762662951</x:v>
      </x:c>
      <x:c r="T72" s="6" t="str">
        <x:v>-0.6449933470922815</x:v>
      </x:c>
      <x:c r="U72" s="8" t="str">
        <x:v>-0.8318682812003855</x:v>
      </x:c>
      <x:c r="V72" s="6" t="str">
        <x:v>187.60594153842686</x:v>
      </x:c>
      <x:c r="W72" s="8" t="str">
        <x:v>1.3659559042578309</x:v>
      </x:c>
      <x:c r="X72" s="6" t="str">
        <x:v>1.6753629261968996</x:v>
      </x:c>
      <x:c r="Y72" s="6" t="str">
        <x:v>0.45524863338741944</x:v>
      </x:c>
      <x:c r="Z72" s="6" t="str">
        <x:v>0.6047754944393414</x:v>
      </x:c>
      <x:c r="AA72" s="6" t="str">
        <x:v>-2.4241185404250496</x:v>
      </x:c>
      <x:c r="AB72" s="6" t="str">
        <x:v>-0.6686678718979544</x:v>
      </x:c>
      <x:c r="AC72" s="6" t="str">
        <x:v>-1.308218231174464</x:v>
      </x:c>
      <x:c r="AD72" s="6" t="str">
        <x:v>-1.0679339912533337</x:v>
      </x:c>
      <x:c r="AE72" s="6" t="str">
        <x:v>0.031640080661800615</x:v>
      </x:c>
      <x:c r="AF72" s="6" t="str">
        <x:v>0.10988733122210004</x:v>
      </x:c>
      <x:c r="AG72" s="6" t="str">
        <x:v>1</x:v>
      </x:c>
      <x:c r="AH72" s="6" t="str">
        <x:v>0</x:v>
      </x:c>
      <x:c r="AI72" s="6" t="str">
        <x:v>2025-11</x:v>
      </x:c>
      <x:c r="AJ72" s="9" t="str">
        <x:v>NASA POWER (MERRA-2 meteorology)</x:v>
      </x:c>
      <x:c r="AK72" s="9" t="str">
        <x:v>Badan Informasi Geospasial (BIG)</x:v>
      </x:c>
      <x:c r="AL72" s="9" t="str">
        <x:v>https://power.larc.nasa.gov/docs/services/api/temporal/monthly/</x:v>
      </x:c>
      <x:c r="AM72" s="9" t="str">
        <x:v>https://geoservices.big.go.id/rbi/rest/services/BATASWILAYAH/BATAS_WILAYAH/MapServer/12</x:v>
      </x:c>
    </x:row>
    <x:row r="73" ht="18" customHeight="1">
      <x:c r="A73" s="6" t="str">
        <x:v>13</x:v>
      </x:c>
      <x:c r="B73" s="6" t="str">
        <x:v>SUMATERA BARAT</x:v>
      </x:c>
      <x:c r="C73" s="6" t="str">
        <x:v>2025</x:v>
      </x:c>
      <x:c r="D73" s="6" t="str">
        <x:v>12</x:v>
      </x:c>
      <x:c r="E73" s="6" t="str">
        <x:v>24.068875282145868</x:v>
      </x:c>
      <x:c r="F73" s="9" t="str">
        <x:v>grid_cells_within_BIG_polygon</x:v>
      </x:c>
      <x:c r="G73" s="6" t="str">
        <x:v>9</x:v>
      </x:c>
      <x:c r="H73" s="8" t="str">
        <x:v>88.21685111773198</x:v>
      </x:c>
      <x:c r="I73" s="6" t="str">
        <x:v>15.064546044084507</x:v>
      </x:c>
      <x:c r="J73" s="6" t="str">
        <x:v>31</x:v>
      </x:c>
      <x:c r="K73" s="6" t="str">
        <x:v>467.0009273666197</x:v>
      </x:c>
      <x:c r="L73" s="6" t="str">
        <x:v>23.719178547801068</x:v>
      </x:c>
      <x:c r="M73" s="6" t="str">
        <x:v>0.26544049209141807</x:v>
      </x:c>
      <x:c r="N73" s="6" t="str">
        <x:v>88.60435180709075</x:v>
      </x:c>
      <x:c r="O73" s="6" t="str">
        <x:v>1.2371148276320882</x:v>
      </x:c>
      <x:c r="P73" s="6" t="str">
        <x:v>338.7605881895386</x:v>
      </x:c>
      <x:c r="Q73" s="6" t="str">
        <x:v>73.17736779226844</x:v>
      </x:c>
      <x:c r="R73" s="6" t="str">
        <x:v>0.34969673434479986</x:v>
      </x:c>
      <x:c r="S73" s="8" t="str">
        <x:v>1.3174204568019103</x:v>
      </x:c>
      <x:c r="T73" s="6" t="str">
        <x:v>-0.3875006893587738</x:v>
      </x:c>
      <x:c r="U73" s="8" t="str">
        <x:v>-0.3132293629528904</x:v>
      </x:c>
      <x:c r="V73" s="6" t="str">
        <x:v>128.24033917708107</x:v>
      </x:c>
      <x:c r="W73" s="8" t="str">
        <x:v>1.7524590327042389</x:v>
      </x:c>
      <x:c r="X73" s="6" t="str">
        <x:v>-0.3162850762662951</x:v>
      </x:c>
      <x:c r="Y73" s="6" t="str">
        <x:v>1.6753629261968996</x:v>
      </x:c>
      <x:c r="Z73" s="6" t="str">
        <x:v>0.8921661022441718</x:v>
      </x:c>
      <x:c r="AA73" s="6" t="str">
        <x:v>-0.8318682812003855</x:v>
      </x:c>
      <x:c r="AB73" s="6" t="str">
        <x:v>-2.4241185404250496</x:v>
      </x:c>
      <x:c r="AC73" s="6" t="str">
        <x:v>-1.1897387281927758</x:v>
      </x:c>
      <x:c r="AD73" s="6" t="str">
        <x:v>1.3659559042578309</x:v>
      </x:c>
      <x:c r="AE73" s="6" t="str">
        <x:v>-1.0679339912533337</x:v>
      </x:c>
      <x:c r="AF73" s="6" t="str">
        <x:v>0.6834936485695794</x:v>
      </x:c>
      <x:c r="AG73" s="6" t="str">
        <x:v>1</x:v>
      </x:c>
      <x:c r="AH73" s="6" t="str">
        <x:v>1</x:v>
      </x:c>
      <x:c r="AI73" s="6" t="str">
        <x:v>2025-12</x:v>
      </x:c>
      <x:c r="AJ73" s="9" t="str">
        <x:v>NASA POWER (MERRA-2 meteorology)</x:v>
      </x:c>
      <x:c r="AK73" s="9" t="str">
        <x:v>Badan Informasi Geospasial (BIG)</x:v>
      </x:c>
      <x:c r="AL73" s="9" t="str">
        <x:v>https://power.larc.nasa.gov/docs/services/api/temporal/monthly/</x:v>
      </x:c>
      <x:c r="AM73" s="9" t="str">
        <x:v>https://geoservices.big.go.id/rbi/rest/services/BATASWILAYAH/BATAS_WILAYAH/MapServer/12</x:v>
      </x:c>
    </x:row>
    <x:row r="74" ht="18" customHeight="1">
      <x:c r="A74" s="6" t="str">
        <x:v>14</x:v>
      </x:c>
      <x:c r="B74" s="6" t="str">
        <x:v>RIAU</x:v>
      </x:c>
      <x:c r="C74" s="6" t="str">
        <x:v>2024</x:v>
      </x:c>
      <x:c r="D74" s="6" t="str">
        <x:v>1</x:v>
      </x:c>
      <x:c r="E74" s="6" t="str">
        <x:v>26.403591372206577</x:v>
      </x:c>
      <x:c r="F74" s="9" t="str">
        <x:v>grid_cells_within_BIG_polygon</x:v>
      </x:c>
      <x:c r="G74" s="6" t="str">
        <x:v>22</x:v>
      </x:c>
      <x:c r="H74" s="8" t="str">
        <x:v>91.31374065562622</x:v>
      </x:c>
      <x:c r="I74" s="6" t="str">
        <x:v>11.451595710794479</x:v>
      </x:c>
      <x:c r="J74" s="6" t="str">
        <x:v>31</x:v>
      </x:c>
      <x:c r="K74" s="6" t="str">
        <x:v>354.9994670346288</x:v>
      </x:c>
      <x:c r="L74" s="6" t="str">
        <x:v>25.58502930185122</x:v>
      </x:c>
      <x:c r="M74" s="6" t="str">
        <x:v>0.4214497845481705</x:v>
      </x:c>
      <x:c r="N74" s="6" t="str">
        <x:v>89.29336952208469</x:v>
      </x:c>
      <x:c r="O74" s="6" t="str">
        <x:v>1.0353265549696729</x:v>
      </x:c>
      <x:c r="P74" s="6" t="str">
        <x:v>197.16614186216478</x:v>
      </x:c>
      <x:c r="Q74" s="6" t="str">
        <x:v>71.56977391212044</x:v>
      </x:c>
      <x:c r="R74" s="6" t="str">
        <x:v>0.8185620703553589</x:v>
      </x:c>
      <x:c r="S74" s="8" t="str">
        <x:v>1.9422529097575076</x:v>
      </x:c>
      <x:c r="T74" s="6" t="str">
        <x:v>2.0203711335415306</x:v>
      </x:c>
      <x:c r="U74" s="8" t="str">
        <x:v>1.9514337035436244</x:v>
      </x:c>
      <x:c r="V74" s="6" t="str">
        <x:v>157.83332517246404</x:v>
      </x:c>
      <x:c r="W74" s="8" t="str">
        <x:v>2.205307024810019</x:v>
      </x:c>
      <x:c r="X74" s="6" t="str">
        <x:v>3.459843967101026</x:v>
      </x:c>
      <x:c r="Y74" s="6" t="str">
        <x:v>3.8346544508726077</x:v>
      </x:c>
      <x:c r="Z74" s="6" t="str">
        <x:v>3.0789171092437138</x:v>
      </x:c>
      <x:c r="AA74" s="6" t="str">
        <x:v>1.9673430835432368</x:v>
      </x:c>
      <x:c r="AB74" s="6" t="str">
        <x:v>0.4347542957542427</x:v>
      </x:c>
      <x:c r="AC74" s="6" t="str">
        <x:v>1.451177027613701</x:v>
      </x:c>
      <x:c r="AD74" s="6" t="str">
        <x:v>1.8958011700703965</x:v>
      </x:c>
      <x:c r="AE74" s="6" t="str">
        <x:v>0.48537584175037635</x:v>
      </x:c>
      <x:c r="AF74" s="6" t="str">
        <x:v>1.5288280122102635</x:v>
      </x:c>
      <x:c r="AG74" s="6" t="str">
        <x:v>1</x:v>
      </x:c>
      <x:c r="AH74" s="6" t="str">
        <x:v>1</x:v>
      </x:c>
      <x:c r="AI74" s="6" t="str">
        <x:v>2024-01</x:v>
      </x:c>
      <x:c r="AJ74" s="9" t="str">
        <x:v>NASA POWER (MERRA-2 meteorology)</x:v>
      </x:c>
      <x:c r="AK74" s="9" t="str">
        <x:v>Badan Informasi Geospasial (BIG)</x:v>
      </x:c>
      <x:c r="AL74" s="9" t="str">
        <x:v>https://power.larc.nasa.gov/docs/services/api/temporal/monthly/</x:v>
      </x:c>
      <x:c r="AM74" s="9" t="str">
        <x:v>https://geoservices.big.go.id/rbi/rest/services/BATASWILAYAH/BATAS_WILAYAH/MapServer/12</x:v>
      </x:c>
    </x:row>
    <x:row r="75" ht="18" customHeight="1">
      <x:c r="A75" s="6" t="str">
        <x:v>14</x:v>
      </x:c>
      <x:c r="B75" s="6" t="str">
        <x:v>RIAU</x:v>
      </x:c>
      <x:c r="C75" s="6" t="str">
        <x:v>2024</x:v>
      </x:c>
      <x:c r="D75" s="6" t="str">
        <x:v>2</x:v>
      </x:c>
      <x:c r="E75" s="6" t="str">
        <x:v>27.08313490633876</x:v>
      </x:c>
      <x:c r="F75" s="9" t="str">
        <x:v>grid_cells_within_BIG_polygon</x:v>
      </x:c>
      <x:c r="G75" s="6" t="str">
        <x:v>22</x:v>
      </x:c>
      <x:c r="H75" s="8" t="str">
        <x:v>89.56925679396984</x:v>
      </x:c>
      <x:c r="I75" s="6" t="str">
        <x:v>10.823618585154193</x:v>
      </x:c>
      <x:c r="J75" s="6" t="str">
        <x:v>29</x:v>
      </x:c>
      <x:c r="K75" s="6" t="str">
        <x:v>313.8849389694716</x:v>
      </x:c>
      <x:c r="L75" s="6" t="str">
        <x:v>25.919676964049096</x:v>
      </x:c>
      <x:c r="M75" s="6" t="str">
        <x:v>0.4085133570453305</x:v>
      </x:c>
      <x:c r="N75" s="6" t="str">
        <x:v>88.20398265787763</x:v>
      </x:c>
      <x:c r="O75" s="6" t="str">
        <x:v>1.0323141639776143</x:v>
      </x:c>
      <x:c r="P75" s="6" t="str">
        <x:v>154.3344937720363</x:v>
      </x:c>
      <x:c r="Q75" s="6" t="str">
        <x:v>66.0201765859423</x:v>
      </x:c>
      <x:c r="R75" s="6" t="str">
        <x:v>1.1634579422896643</x:v>
      </x:c>
      <x:c r="S75" s="8" t="str">
        <x:v>2.8480291335016537</x:v>
      </x:c>
      <x:c r="T75" s="6" t="str">
        <x:v>1.3652741360922107</x:v>
      </x:c>
      <x:c r="U75" s="8" t="str">
        <x:v>1.322537444252113</x:v>
      </x:c>
      <x:c r="V75" s="6" t="str">
        <x:v>159.5504451974353</x:v>
      </x:c>
      <x:c r="W75" s="8" t="str">
        <x:v>2.416692190905294</x:v>
      </x:c>
      <x:c r="X75" s="6" t="str">
        <x:v>1.9422529097575076</x:v>
      </x:c>
      <x:c r="Y75" s="6" t="str">
        <x:v>3.459843967101026</x:v>
      </x:c>
      <x:c r="Z75" s="6" t="str">
        <x:v>2.7500420034533963</x:v>
      </x:c>
      <x:c r="AA75" s="6" t="str">
        <x:v>1.9514337035436244</x:v>
      </x:c>
      <x:c r="AB75" s="6" t="str">
        <x:v>1.9673430835432368</x:v>
      </x:c>
      <x:c r="AC75" s="6" t="str">
        <x:v>1.7471047437796579</x:v>
      </x:c>
      <x:c r="AD75" s="6" t="str">
        <x:v>2.205307024810019</x:v>
      </x:c>
      <x:c r="AE75" s="6" t="str">
        <x:v>1.8958011700703965</x:v>
      </x:c>
      <x:c r="AF75" s="6" t="str">
        <x:v>2.1726001285952363</x:v>
      </x:c>
      <x:c r="AG75" s="6" t="str">
        <x:v>1</x:v>
      </x:c>
      <x:c r="AH75" s="6" t="str">
        <x:v>1</x:v>
      </x:c>
      <x:c r="AI75" s="6" t="str">
        <x:v>2024-02</x:v>
      </x:c>
      <x:c r="AJ75" s="9" t="str">
        <x:v>NASA POWER (MERRA-2 meteorology)</x:v>
      </x:c>
      <x:c r="AK75" s="9" t="str">
        <x:v>Badan Informasi Geospasial (BIG)</x:v>
      </x:c>
      <x:c r="AL75" s="9" t="str">
        <x:v>https://power.larc.nasa.gov/docs/services/api/temporal/monthly/</x:v>
      </x:c>
      <x:c r="AM75" s="9" t="str">
        <x:v>https://geoservices.big.go.id/rbi/rest/services/BATASWILAYAH/BATAS_WILAYAH/MapServer/12</x:v>
      </x:c>
    </x:row>
    <x:row r="76" ht="18" customHeight="1">
      <x:c r="A76" s="6" t="str">
        <x:v>14</x:v>
      </x:c>
      <x:c r="B76" s="6" t="str">
        <x:v>RIAU</x:v>
      </x:c>
      <x:c r="C76" s="6" t="str">
        <x:v>2024</x:v>
      </x:c>
      <x:c r="D76" s="6" t="str">
        <x:v>3</x:v>
      </x:c>
      <x:c r="E76" s="6" t="str">
        <x:v>27.304500288585647</x:v>
      </x:c>
      <x:c r="F76" s="9" t="str">
        <x:v>grid_cells_within_BIG_polygon</x:v>
      </x:c>
      <x:c r="G76" s="6" t="str">
        <x:v>22</x:v>
      </x:c>
      <x:c r="H76" s="8" t="str">
        <x:v>88.94826385985444</x:v>
      </x:c>
      <x:c r="I76" s="6" t="str">
        <x:v>7.885553942421949</x:v>
      </x:c>
      <x:c r="J76" s="6" t="str">
        <x:v>31</x:v>
      </x:c>
      <x:c r="K76" s="6" t="str">
        <x:v>244.45217221508042</x:v>
      </x:c>
      <x:c r="L76" s="6" t="str">
        <x:v>26.25222096206096</x:v>
      </x:c>
      <x:c r="M76" s="6" t="str">
        <x:v>0.42155649266614825</x:v>
      </x:c>
      <x:c r="N76" s="6" t="str">
        <x:v>88.5475977752874</x:v>
      </x:c>
      <x:c r="O76" s="6" t="str">
        <x:v>1.0291456264874983</x:v>
      </x:c>
      <x:c r="P76" s="6" t="str">
        <x:v>237.97748099584487</x:v>
      </x:c>
      <x:c r="Q76" s="6" t="str">
        <x:v>72.90914181023918</x:v>
      </x:c>
      <x:c r="R76" s="6" t="str">
        <x:v>1.0522793265246868</x:v>
      </x:c>
      <x:c r="S76" s="8" t="str">
        <x:v>2.496176300997076</x:v>
      </x:c>
      <x:c r="T76" s="6" t="str">
        <x:v>0.40066608456703534</x:v>
      </x:c>
      <x:c r="U76" s="8" t="str">
        <x:v>0.38931913448878896</x:v>
      </x:c>
      <x:c r="V76" s="6" t="str">
        <x:v>6.474691219235552</x:v>
      </x:c>
      <x:c r="W76" s="8" t="str">
        <x:v>0.08880492978627082</x:v>
      </x:c>
      <x:c r="X76" s="6" t="str">
        <x:v>2.8480291335016537</x:v>
      </x:c>
      <x:c r="Y76" s="6" t="str">
        <x:v>1.9422529097575076</x:v>
      </x:c>
      <x:c r="Z76" s="6" t="str">
        <x:v>2.428819448085413</x:v>
      </x:c>
      <x:c r="AA76" s="6" t="str">
        <x:v>1.322537444252113</x:v>
      </x:c>
      <x:c r="AB76" s="6" t="str">
        <x:v>1.9514337035436244</x:v>
      </x:c>
      <x:c r="AC76" s="6" t="str">
        <x:v>1.2210967607615084</x:v>
      </x:c>
      <x:c r="AD76" s="6" t="str">
        <x:v>2.416692190905294</x:v>
      </x:c>
      <x:c r="AE76" s="6" t="str">
        <x:v>2.205307024810019</x:v>
      </x:c>
      <x:c r="AF76" s="6" t="str">
        <x:v>1.5702680485005276</x:v>
      </x:c>
      <x:c r="AG76" s="6" t="str">
        <x:v>0</x:v>
      </x:c>
      <x:c r="AH76" s="6" t="str">
        <x:v>1</x:v>
      </x:c>
      <x:c r="AI76" s="6" t="str">
        <x:v>2024-03</x:v>
      </x:c>
      <x:c r="AJ76" s="9" t="str">
        <x:v>NASA POWER (MERRA-2 meteorology)</x:v>
      </x:c>
      <x:c r="AK76" s="9" t="str">
        <x:v>Badan Informasi Geospasial (BIG)</x:v>
      </x:c>
      <x:c r="AL76" s="9" t="str">
        <x:v>https://power.larc.nasa.gov/docs/services/api/temporal/monthly/</x:v>
      </x:c>
      <x:c r="AM76" s="9" t="str">
        <x:v>https://geoservices.big.go.id/rbi/rest/services/BATASWILAYAH/BATAS_WILAYAH/MapServer/12</x:v>
      </x:c>
    </x:row>
    <x:row r="77" ht="18" customHeight="1">
      <x:c r="A77" s="6" t="str">
        <x:v>14</x:v>
      </x:c>
      <x:c r="B77" s="6" t="str">
        <x:v>RIAU</x:v>
      </x:c>
      <x:c r="C77" s="6" t="str">
        <x:v>2024</x:v>
      </x:c>
      <x:c r="D77" s="6" t="str">
        <x:v>4</x:v>
      </x:c>
      <x:c r="E77" s="6" t="str">
        <x:v>27.66588119704594</x:v>
      </x:c>
      <x:c r="F77" s="9" t="str">
        <x:v>grid_cells_within_BIG_polygon</x:v>
      </x:c>
      <x:c r="G77" s="6" t="str">
        <x:v>22</x:v>
      </x:c>
      <x:c r="H77" s="8" t="str">
        <x:v>90.26319762709093</x:v>
      </x:c>
      <x:c r="I77" s="6" t="str">
        <x:v>10.286357758265877</x:v>
      </x:c>
      <x:c r="J77" s="6" t="str">
        <x:v>30</x:v>
      </x:c>
      <x:c r="K77" s="6" t="str">
        <x:v>308.59073274797635</x:v>
      </x:c>
      <x:c r="L77" s="6" t="str">
        <x:v>26.559829172001532</x:v>
      </x:c>
      <x:c r="M77" s="6" t="str">
        <x:v>0.3701447577011933</x:v>
      </x:c>
      <x:c r="N77" s="6" t="str">
        <x:v>89.31647921220825</x:v>
      </x:c>
      <x:c r="O77" s="6" t="str">
        <x:v>0.7724709141639042</x:v>
      </x:c>
      <x:c r="P77" s="6" t="str">
        <x:v>257.6733386014348</x:v>
      </x:c>
      <x:c r="Q77" s="6" t="str">
        <x:v>57.09069456802378</x:v>
      </x:c>
      <x:c r="R77" s="6" t="str">
        <x:v>1.1060520250444092</x:v>
      </x:c>
      <x:c r="S77" s="8" t="str">
        <x:v>2.9881607182919816</x:v>
      </x:c>
      <x:c r="T77" s="6" t="str">
        <x:v>0.9467184148826817</x:v>
      </x:c>
      <x:c r="U77" s="8" t="str">
        <x:v>1.2255716008509874</x:v>
      </x:c>
      <x:c r="V77" s="6" t="str">
        <x:v>50.91739414654154</x:v>
      </x:c>
      <x:c r="W77" s="8" t="str">
        <x:v>0.8918685353507702</x:v>
      </x:c>
      <x:c r="X77" s="6" t="str">
        <x:v>2.496176300997076</x:v>
      </x:c>
      <x:c r="Y77" s="6" t="str">
        <x:v>2.8480291335016537</x:v>
      </x:c>
      <x:c r="Z77" s="6" t="str">
        <x:v>2.7774553842635705</x:v>
      </x:c>
      <x:c r="AA77" s="6" t="str">
        <x:v>0.38931913448878896</x:v>
      </x:c>
      <x:c r="AB77" s="6" t="str">
        <x:v>1.322537444252113</x:v>
      </x:c>
      <x:c r="AC77" s="6" t="str">
        <x:v>0.9791427265306295</x:v>
      </x:c>
      <x:c r="AD77" s="6" t="str">
        <x:v>0.08880492978627082</x:v>
      </x:c>
      <x:c r="AE77" s="6" t="str">
        <x:v>2.416692190905294</x:v>
      </x:c>
      <x:c r="AF77" s="6" t="str">
        <x:v>1.132455218680778</x:v>
      </x:c>
      <x:c r="AG77" s="6" t="str">
        <x:v>0</x:v>
      </x:c>
      <x:c r="AH77" s="6" t="str">
        <x:v>1</x:v>
      </x:c>
      <x:c r="AI77" s="6" t="str">
        <x:v>2024-04</x:v>
      </x:c>
      <x:c r="AJ77" s="9" t="str">
        <x:v>NASA POWER (MERRA-2 meteorology)</x:v>
      </x:c>
      <x:c r="AK77" s="9" t="str">
        <x:v>Badan Informasi Geospasial (BIG)</x:v>
      </x:c>
      <x:c r="AL77" s="9" t="str">
        <x:v>https://power.larc.nasa.gov/docs/services/api/temporal/monthly/</x:v>
      </x:c>
      <x:c r="AM77" s="9" t="str">
        <x:v>https://geoservices.big.go.id/rbi/rest/services/BATASWILAYAH/BATAS_WILAYAH/MapServer/12</x:v>
      </x:c>
    </x:row>
    <x:row r="78" ht="18" customHeight="1">
      <x:c r="A78" s="6" t="str">
        <x:v>14</x:v>
      </x:c>
      <x:c r="B78" s="6" t="str">
        <x:v>RIAU</x:v>
      </x:c>
      <x:c r="C78" s="6" t="str">
        <x:v>2024</x:v>
      </x:c>
      <x:c r="D78" s="6" t="str">
        <x:v>5</x:v>
      </x:c>
      <x:c r="E78" s="6" t="str">
        <x:v>27.45406196250116</x:v>
      </x:c>
      <x:c r="F78" s="9" t="str">
        <x:v>grid_cells_within_BIG_polygon</x:v>
      </x:c>
      <x:c r="G78" s="6" t="str">
        <x:v>22</x:v>
      </x:c>
      <x:c r="H78" s="8" t="str">
        <x:v>91.86044347809734</x:v>
      </x:c>
      <x:c r="I78" s="6" t="str">
        <x:v>12.2851589902962</x:v>
      </x:c>
      <x:c r="J78" s="6" t="str">
        <x:v>31</x:v>
      </x:c>
      <x:c r="K78" s="6" t="str">
        <x:v>380.83992869918217</x:v>
      </x:c>
      <x:c r="L78" s="6" t="str">
        <x:v>26.670325549602016</x:v>
      </x:c>
      <x:c r="M78" s="6" t="str">
        <x:v>0.31464474222963906</x:v>
      </x:c>
      <x:c r="N78" s="6" t="str">
        <x:v>89.60434208923431</x:v>
      </x:c>
      <x:c r="O78" s="6" t="str">
        <x:v>0.7833508635496192</x:v>
      </x:c>
      <x:c r="P78" s="6" t="str">
        <x:v>205.45504231117692</x:v>
      </x:c>
      <x:c r="Q78" s="6" t="str">
        <x:v>58.084745524406024</x:v>
      </x:c>
      <x:c r="R78" s="6" t="str">
        <x:v>0.7837364128991453</x:v>
      </x:c>
      <x:c r="S78" s="8" t="str">
        <x:v>2.490861303911909</x:v>
      </x:c>
      <x:c r="T78" s="6" t="str">
        <x:v>2.25610138886303</x:v>
      </x:c>
      <x:c r="U78" s="8" t="str">
        <x:v>2.880064979618323</x:v>
      </x:c>
      <x:c r="V78" s="6" t="str">
        <x:v>175.38488638800524</x:v>
      </x:c>
      <x:c r="W78" s="8" t="str">
        <x:v>3.0194655206729295</x:v>
      </x:c>
      <x:c r="X78" s="6" t="str">
        <x:v>2.9881607182919816</x:v>
      </x:c>
      <x:c r="Y78" s="6" t="str">
        <x:v>2.496176300997076</x:v>
      </x:c>
      <x:c r="Z78" s="6" t="str">
        <x:v>2.658399441066989</x:v>
      </x:c>
      <x:c r="AA78" s="6" t="str">
        <x:v>1.2255716008509874</x:v>
      </x:c>
      <x:c r="AB78" s="6" t="str">
        <x:v>0.38931913448878896</x:v>
      </x:c>
      <x:c r="AC78" s="6" t="str">
        <x:v>1.4983185716526997</x:v>
      </x:c>
      <x:c r="AD78" s="6" t="str">
        <x:v>0.8918685353507702</x:v>
      </x:c>
      <x:c r="AE78" s="6" t="str">
        <x:v>0.08880492978627082</x:v>
      </x:c>
      <x:c r="AF78" s="6" t="str">
        <x:v>1.3333796619366567</x:v>
      </x:c>
      <x:c r="AG78" s="6" t="str">
        <x:v>1</x:v>
      </x:c>
      <x:c r="AH78" s="6" t="str">
        <x:v>1</x:v>
      </x:c>
      <x:c r="AI78" s="6" t="str">
        <x:v>2024-05</x:v>
      </x:c>
      <x:c r="AJ78" s="9" t="str">
        <x:v>NASA POWER (MERRA-2 meteorology)</x:v>
      </x:c>
      <x:c r="AK78" s="9" t="str">
        <x:v>Badan Informasi Geospasial (BIG)</x:v>
      </x:c>
      <x:c r="AL78" s="9" t="str">
        <x:v>https://power.larc.nasa.gov/docs/services/api/temporal/monthly/</x:v>
      </x:c>
      <x:c r="AM78" s="9" t="str">
        <x:v>https://geoservices.big.go.id/rbi/rest/services/BATASWILAYAH/BATAS_WILAYAH/MapServer/12</x:v>
      </x:c>
    </x:row>
    <x:row r="79" ht="18" customHeight="1">
      <x:c r="A79" s="6" t="str">
        <x:v>14</x:v>
      </x:c>
      <x:c r="B79" s="6" t="str">
        <x:v>RIAU</x:v>
      </x:c>
      <x:c r="C79" s="6" t="str">
        <x:v>2024</x:v>
      </x:c>
      <x:c r="D79" s="6" t="str">
        <x:v>6</x:v>
      </x:c>
      <x:c r="E79" s="6" t="str">
        <x:v>26.96178055007168</x:v>
      </x:c>
      <x:c r="F79" s="9" t="str">
        <x:v>grid_cells_within_BIG_polygon</x:v>
      </x:c>
      <x:c r="G79" s="6" t="str">
        <x:v>22</x:v>
      </x:c>
      <x:c r="H79" s="8" t="str">
        <x:v>90.3764110623179</x:v>
      </x:c>
      <x:c r="I79" s="6" t="str">
        <x:v>9.491799812833982</x:v>
      </x:c>
      <x:c r="J79" s="6" t="str">
        <x:v>30</x:v>
      </x:c>
      <x:c r="K79" s="6" t="str">
        <x:v>284.75399438501944</x:v>
      </x:c>
      <x:c r="L79" s="6" t="str">
        <x:v>26.225879962227324</x:v>
      </x:c>
      <x:c r="M79" s="6" t="str">
        <x:v>0.24754156164988905</x:v>
      </x:c>
      <x:c r="N79" s="6" t="str">
        <x:v>89.37685737527214</x:v>
      </x:c>
      <x:c r="O79" s="6" t="str">
        <x:v>0.7479918310123753</x:v>
      </x:c>
      <x:c r="P79" s="6" t="str">
        <x:v>153.79726606861126</x:v>
      </x:c>
      <x:c r="Q79" s="6" t="str">
        <x:v>50.81898198845343</x:v>
      </x:c>
      <x:c r="R79" s="6" t="str">
        <x:v>0.7359005878443554</x:v>
      </x:c>
      <x:c r="S79" s="8" t="str">
        <x:v>2.9728364923429624</x:v>
      </x:c>
      <x:c r="T79" s="6" t="str">
        <x:v>0.9995536870457613</x:v>
      </x:c>
      <x:c r="U79" s="8" t="str">
        <x:v>1.3363163147021373</x:v>
      </x:c>
      <x:c r="V79" s="6" t="str">
        <x:v>130.95672831640817</x:v>
      </x:c>
      <x:c r="W79" s="8" t="str">
        <x:v>2.576925455652827</x:v>
      </x:c>
      <x:c r="X79" s="6" t="str">
        <x:v>2.490861303911909</x:v>
      </x:c>
      <x:c r="Y79" s="6" t="str">
        <x:v>2.9881607182919816</x:v>
      </x:c>
      <x:c r="Z79" s="6" t="str">
        <x:v>2.8172861715156174</x:v>
      </x:c>
      <x:c r="AA79" s="6" t="str">
        <x:v>2.880064979618323</x:v>
      </x:c>
      <x:c r="AB79" s="6" t="str">
        <x:v>1.2255716008509874</x:v>
      </x:c>
      <x:c r="AC79" s="6" t="str">
        <x:v>1.8139842983904824</x:v>
      </x:c>
      <x:c r="AD79" s="6" t="str">
        <x:v>3.0194655206729295</x:v>
      </x:c>
      <x:c r="AE79" s="6" t="str">
        <x:v>0.8918685353507702</x:v>
      </x:c>
      <x:c r="AF79" s="6" t="str">
        <x:v>2.162753170558842</x:v>
      </x:c>
      <x:c r="AG79" s="6" t="str">
        <x:v>1</x:v>
      </x:c>
      <x:c r="AH79" s="6" t="str">
        <x:v>1</x:v>
      </x:c>
      <x:c r="AI79" s="6" t="str">
        <x:v>2024-06</x:v>
      </x:c>
      <x:c r="AJ79" s="9" t="str">
        <x:v>NASA POWER (MERRA-2 meteorology)</x:v>
      </x:c>
      <x:c r="AK79" s="9" t="str">
        <x:v>Badan Informasi Geospasial (BIG)</x:v>
      </x:c>
      <x:c r="AL79" s="9" t="str">
        <x:v>https://power.larc.nasa.gov/docs/services/api/temporal/monthly/</x:v>
      </x:c>
      <x:c r="AM79" s="9" t="str">
        <x:v>https://geoservices.big.go.id/rbi/rest/services/BATASWILAYAH/BATAS_WILAYAH/MapServer/12</x:v>
      </x:c>
    </x:row>
    <x:row r="80" ht="18" customHeight="1">
      <x:c r="A80" s="6" t="str">
        <x:v>14</x:v>
      </x:c>
      <x:c r="B80" s="6" t="str">
        <x:v>RIAU</x:v>
      </x:c>
      <x:c r="C80" s="6" t="str">
        <x:v>2024</x:v>
      </x:c>
      <x:c r="D80" s="6" t="str">
        <x:v>7</x:v>
      </x:c>
      <x:c r="E80" s="6" t="str">
        <x:v>26.891780671303128</x:v>
      </x:c>
      <x:c r="F80" s="9" t="str">
        <x:v>grid_cells_within_BIG_polygon</x:v>
      </x:c>
      <x:c r="G80" s="6" t="str">
        <x:v>22</x:v>
      </x:c>
      <x:c r="H80" s="8" t="str">
        <x:v>89.14903809550951</x:v>
      </x:c>
      <x:c r="I80" s="6" t="str">
        <x:v>3.4449158006287037</x:v>
      </x:c>
      <x:c r="J80" s="6" t="str">
        <x:v>31</x:v>
      </x:c>
      <x:c r="K80" s="6" t="str">
        <x:v>106.79238981948981</x:v>
      </x:c>
      <x:c r="L80" s="6" t="str">
        <x:v>25.921258921941405</x:v>
      </x:c>
      <x:c r="M80" s="6" t="str">
        <x:v>0.24256959719998142</x:v>
      </x:c>
      <x:c r="N80" s="6" t="str">
        <x:v>88.98091641386567</x:v>
      </x:c>
      <x:c r="O80" s="6" t="str">
        <x:v>0.7714760699307252</x:v>
      </x:c>
      <x:c r="P80" s="6" t="str">
        <x:v>158.34034847286327</x:v>
      </x:c>
      <x:c r="Q80" s="6" t="str">
        <x:v>57.92394040162406</x:v>
      </x:c>
      <x:c r="R80" s="6" t="str">
        <x:v>0.9705217493617226</x:v>
      </x:c>
      <x:c r="S80" s="8" t="str">
        <x:v>4.001003260773841</x:v>
      </x:c>
      <x:c r="T80" s="6" t="str">
        <x:v>0.16812168164383934</x:v>
      </x:c>
      <x:c r="U80" s="8" t="str">
        <x:v>0.21792209531390372</x:v>
      </x:c>
      <x:c r="V80" s="6" t="str">
        <x:v>-51.547958653373456</x:v>
      </x:c>
      <x:c r="W80" s="8" t="str">
        <x:v>-0.8899249307964582</x:v>
      </x:c>
      <x:c r="X80" s="6" t="str">
        <x:v>2.9728364923429624</x:v>
      </x:c>
      <x:c r="Y80" s="6" t="str">
        <x:v>2.490861303911909</x:v>
      </x:c>
      <x:c r="Z80" s="6" t="str">
        <x:v>3.1549003523429042</x:v>
      </x:c>
      <x:c r="AA80" s="6" t="str">
        <x:v>1.3363163147021373</x:v>
      </x:c>
      <x:c r="AB80" s="6" t="str">
        <x:v>2.880064979618323</x:v>
      </x:c>
      <x:c r="AC80" s="6" t="str">
        <x:v>1.478101129878121</x:v>
      </x:c>
      <x:c r="AD80" s="6" t="str">
        <x:v>2.576925455652827</x:v>
      </x:c>
      <x:c r="AE80" s="6" t="str">
        <x:v>3.0194655206729295</x:v>
      </x:c>
      <x:c r="AF80" s="6" t="str">
        <x:v>1.5688220151764325</x:v>
      </x:c>
      <x:c r="AG80" s="6" t="str">
        <x:v>0</x:v>
      </x:c>
      <x:c r="AH80" s="6" t="str">
        <x:v>1</x:v>
      </x:c>
      <x:c r="AI80" s="6" t="str">
        <x:v>2024-07</x:v>
      </x:c>
      <x:c r="AJ80" s="9" t="str">
        <x:v>NASA POWER (MERRA-2 meteorology)</x:v>
      </x:c>
      <x:c r="AK80" s="9" t="str">
        <x:v>Badan Informasi Geospasial (BIG)</x:v>
      </x:c>
      <x:c r="AL80" s="9" t="str">
        <x:v>https://power.larc.nasa.gov/docs/services/api/temporal/monthly/</x:v>
      </x:c>
      <x:c r="AM80" s="9" t="str">
        <x:v>https://geoservices.big.go.id/rbi/rest/services/BATASWILAYAH/BATAS_WILAYAH/MapServer/12</x:v>
      </x:c>
    </x:row>
    <x:row r="81" ht="18" customHeight="1">
      <x:c r="A81" s="6" t="str">
        <x:v>14</x:v>
      </x:c>
      <x:c r="B81" s="6" t="str">
        <x:v>RIAU</x:v>
      </x:c>
      <x:c r="C81" s="6" t="str">
        <x:v>2024</x:v>
      </x:c>
      <x:c r="D81" s="6" t="str">
        <x:v>8</x:v>
      </x:c>
      <x:c r="E81" s="6" t="str">
        <x:v>26.782685641088317</x:v>
      </x:c>
      <x:c r="F81" s="9" t="str">
        <x:v>grid_cells_within_BIG_polygon</x:v>
      </x:c>
      <x:c r="G81" s="6" t="str">
        <x:v>22</x:v>
      </x:c>
      <x:c r="H81" s="8" t="str">
        <x:v>89.16044140120754</x:v>
      </x:c>
      <x:c r="I81" s="6" t="str">
        <x:v>6.664023848436332</x:v>
      </x:c>
      <x:c r="J81" s="6" t="str">
        <x:v>31</x:v>
      </x:c>
      <x:c r="K81" s="6" t="str">
        <x:v>206.5847393015263</x:v>
      </x:c>
      <x:c r="L81" s="6" t="str">
        <x:v>25.97818659331058</x:v>
      </x:c>
      <x:c r="M81" s="6" t="str">
        <x:v>0.2277511929803703</x:v>
      </x:c>
      <x:c r="N81" s="6" t="str">
        <x:v>88.31739641224034</x:v>
      </x:c>
      <x:c r="O81" s="6" t="str">
        <x:v>0.8162711657564353</x:v>
      </x:c>
      <x:c r="P81" s="6" t="str">
        <x:v>175.8190042526679</x:v>
      </x:c>
      <x:c r="Q81" s="6" t="str">
        <x:v>71.36832449904655</x:v>
      </x:c>
      <x:c r="R81" s="6" t="str">
        <x:v>0.804499047777739</x:v>
      </x:c>
      <x:c r="S81" s="8" t="str">
        <x:v>3.5323593139074276</x:v>
      </x:c>
      <x:c r="T81" s="6" t="str">
        <x:v>0.8430449889671934</x:v>
      </x:c>
      <x:c r="U81" s="8" t="str">
        <x:v>1.032800158003801</x:v>
      </x:c>
      <x:c r="V81" s="6" t="str">
        <x:v>30.765735048858403</x:v>
      </x:c>
      <x:c r="W81" s="8" t="str">
        <x:v>0.4310838914155736</x:v>
      </x:c>
      <x:c r="X81" s="6" t="str">
        <x:v>4.001003260773841</x:v>
      </x:c>
      <x:c r="Y81" s="6" t="str">
        <x:v>2.9728364923429624</x:v>
      </x:c>
      <x:c r="Z81" s="6" t="str">
        <x:v>3.5020663556747436</x:v>
      </x:c>
      <x:c r="AA81" s="6" t="str">
        <x:v>0.21792209531390372</x:v>
      </x:c>
      <x:c r="AB81" s="6" t="str">
        <x:v>1.3363163147021373</x:v>
      </x:c>
      <x:c r="AC81" s="6" t="str">
        <x:v>0.8623461893399472</x:v>
      </x:c>
      <x:c r="AD81" s="6" t="str">
        <x:v>-0.8899249307964582</x:v>
      </x:c>
      <x:c r="AE81" s="6" t="str">
        <x:v>2.576925455652827</x:v>
      </x:c>
      <x:c r="AF81" s="6" t="str">
        <x:v>0.706028138757314</x:v>
      </x:c>
      <x:c r="AG81" s="6" t="str">
        <x:v>0</x:v>
      </x:c>
      <x:c r="AH81" s="6" t="str">
        <x:v>1</x:v>
      </x:c>
      <x:c r="AI81" s="6" t="str">
        <x:v>2024-08</x:v>
      </x:c>
      <x:c r="AJ81" s="9" t="str">
        <x:v>NASA POWER (MERRA-2 meteorology)</x:v>
      </x:c>
      <x:c r="AK81" s="9" t="str">
        <x:v>Badan Informasi Geospasial (BIG)</x:v>
      </x:c>
      <x:c r="AL81" s="9" t="str">
        <x:v>https://power.larc.nasa.gov/docs/services/api/temporal/monthly/</x:v>
      </x:c>
      <x:c r="AM81" s="9" t="str">
        <x:v>https://geoservices.big.go.id/rbi/rest/services/BATASWILAYAH/BATAS_WILAYAH/MapServer/12</x:v>
      </x:c>
    </x:row>
    <x:row r="82" ht="18" customHeight="1">
      <x:c r="A82" s="6" t="str">
        <x:v>14</x:v>
      </x:c>
      <x:c r="B82" s="6" t="str">
        <x:v>RIAU</x:v>
      </x:c>
      <x:c r="C82" s="6" t="str">
        <x:v>2024</x:v>
      </x:c>
      <x:c r="D82" s="6" t="str">
        <x:v>9</x:v>
      </x:c>
      <x:c r="E82" s="6" t="str">
        <x:v>26.985427673382826</x:v>
      </x:c>
      <x:c r="F82" s="9" t="str">
        <x:v>grid_cells_within_BIG_polygon</x:v>
      </x:c>
      <x:c r="G82" s="6" t="str">
        <x:v>22</x:v>
      </x:c>
      <x:c r="H82" s="8" t="str">
        <x:v>87.78497071633306</x:v>
      </x:c>
      <x:c r="I82" s="6" t="str">
        <x:v>6.640898600853333</x:v>
      </x:c>
      <x:c r="J82" s="6" t="str">
        <x:v>30</x:v>
      </x:c>
      <x:c r="K82" s="6" t="str">
        <x:v>199.2269580256</x:v>
      </x:c>
      <x:c r="L82" s="6" t="str">
        <x:v>26.036353882740958</x:v>
      </x:c>
      <x:c r="M82" s="6" t="str">
        <x:v>0.2530737517679277</x:v>
      </x:c>
      <x:c r="N82" s="6" t="str">
        <x:v>88.01566217868854</x:v>
      </x:c>
      <x:c r="O82" s="6" t="str">
        <x:v>0.7859915845846107</x:v>
      </x:c>
      <x:c r="P82" s="6" t="str">
        <x:v>196.95267078429745</x:v>
      </x:c>
      <x:c r="Q82" s="6" t="str">
        <x:v>73.64786408317043</x:v>
      </x:c>
      <x:c r="R82" s="6" t="str">
        <x:v>0.9490737906418687</x:v>
      </x:c>
      <x:c r="S82" s="8" t="str">
        <x:v>3.7501865918998316</x:v>
      </x:c>
      <x:c r="T82" s="6" t="str">
        <x:v>-0.23069146235548033</x:v>
      </x:c>
      <x:c r="U82" s="8" t="str">
        <x:v>-0.2935037306759444</x:v>
      </x:c>
      <x:c r="V82" s="6" t="str">
        <x:v>2.2742872413025452</x:v>
      </x:c>
      <x:c r="W82" s="8" t="str">
        <x:v>0.030880559397271804</x:v>
      </x:c>
      <x:c r="X82" s="6" t="str">
        <x:v>3.5323593139074276</x:v>
      </x:c>
      <x:c r="Y82" s="6" t="str">
        <x:v>4.001003260773841</x:v>
      </x:c>
      <x:c r="Z82" s="6" t="str">
        <x:v>3.761183055527033</x:v>
      </x:c>
      <x:c r="AA82" s="6" t="str">
        <x:v>1.032800158003801</x:v>
      </x:c>
      <x:c r="AB82" s="6" t="str">
        <x:v>0.21792209531390372</x:v>
      </x:c>
      <x:c r="AC82" s="6" t="str">
        <x:v>0.31907284088058663</x:v>
      </x:c>
      <x:c r="AD82" s="6" t="str">
        <x:v>0.4310838914155736</x:v>
      </x:c>
      <x:c r="AE82" s="6" t="str">
        <x:v>-0.8899249307964582</x:v>
      </x:c>
      <x:c r="AF82" s="6" t="str">
        <x:v>-0.14265349332787108</x:v>
      </x:c>
      <x:c r="AG82" s="6" t="str">
        <x:v>0</x:v>
      </x:c>
      <x:c r="AH82" s="6" t="str">
        <x:v>1</x:v>
      </x:c>
      <x:c r="AI82" s="6" t="str">
        <x:v>2024-09</x:v>
      </x:c>
      <x:c r="AJ82" s="9" t="str">
        <x:v>NASA POWER (MERRA-2 meteorology)</x:v>
      </x:c>
      <x:c r="AK82" s="9" t="str">
        <x:v>Badan Informasi Geospasial (BIG)</x:v>
      </x:c>
      <x:c r="AL82" s="9" t="str">
        <x:v>https://power.larc.nasa.gov/docs/services/api/temporal/monthly/</x:v>
      </x:c>
      <x:c r="AM82" s="9" t="str">
        <x:v>https://geoservices.big.go.id/rbi/rest/services/BATASWILAYAH/BATAS_WILAYAH/MapServer/12</x:v>
      </x:c>
    </x:row>
    <x:row r="83" ht="18" customHeight="1">
      <x:c r="A83" s="6" t="str">
        <x:v>14</x:v>
      </x:c>
      <x:c r="B83" s="6" t="str">
        <x:v>RIAU</x:v>
      </x:c>
      <x:c r="C83" s="6" t="str">
        <x:v>2024</x:v>
      </x:c>
      <x:c r="D83" s="6" t="str">
        <x:v>10</x:v>
      </x:c>
      <x:c r="E83" s="6" t="str">
        <x:v>27.01271193333038</x:v>
      </x:c>
      <x:c r="F83" s="9" t="str">
        <x:v>grid_cells_within_BIG_polygon</x:v>
      </x:c>
      <x:c r="G83" s="6" t="str">
        <x:v>22</x:v>
      </x:c>
      <x:c r="H83" s="8" t="str">
        <x:v>87.12586163064928</x:v>
      </x:c>
      <x:c r="I83" s="6" t="str">
        <x:v>9.257340117911516</x:v>
      </x:c>
      <x:c r="J83" s="6" t="str">
        <x:v>31</x:v>
      </x:c>
      <x:c r="K83" s="6" t="str">
        <x:v>286.977543655257</x:v>
      </x:c>
      <x:c r="L83" s="6" t="str">
        <x:v>26.136958340160735</x:v>
      </x:c>
      <x:c r="M83" s="6" t="str">
        <x:v>0.23067244423720518</x:v>
      </x:c>
      <x:c r="N83" s="6" t="str">
        <x:v>88.29485612383961</x:v>
      </x:c>
      <x:c r="O83" s="6" t="str">
        <x:v>1.0393688719566607</x:v>
      </x:c>
      <x:c r="P83" s="6" t="str">
        <x:v>256.42261609130134</x:v>
      </x:c>
      <x:c r="Q83" s="6" t="str">
        <x:v>85.84011193886815</x:v>
      </x:c>
      <x:c r="R83" s="6" t="str">
        <x:v>0.8757535931696445</x:v>
      </x:c>
      <x:c r="S83" s="8" t="str">
        <x:v>3.796524530988579</x:v>
      </x:c>
      <x:c r="T83" s="6" t="str">
        <x:v>-1.1689944931903256</x:v>
      </x:c>
      <x:c r="U83" s="8" t="str">
        <x:v>-1.1247157046272114</x:v>
      </x:c>
      <x:c r="V83" s="6" t="str">
        <x:v>30.554927563955687</x:v>
      </x:c>
      <x:c r="W83" s="8" t="str">
        <x:v>0.35595162766930766</x:v>
      </x:c>
      <x:c r="X83" s="6" t="str">
        <x:v>3.7501865918998316</x:v>
      </x:c>
      <x:c r="Y83" s="6" t="str">
        <x:v>3.5323593139074276</x:v>
      </x:c>
      <x:c r="Z83" s="6" t="str">
        <x:v>3.6930234789319463</x:v>
      </x:c>
      <x:c r="AA83" s="6" t="str">
        <x:v>-0.2935037306759444</x:v>
      </x:c>
      <x:c r="AB83" s="6" t="str">
        <x:v>1.032800158003801</x:v>
      </x:c>
      <x:c r="AC83" s="6" t="str">
        <x:v>-0.1284730924331184</x:v>
      </x:c>
      <x:c r="AD83" s="6" t="str">
        <x:v>0.030880559397271804</x:v>
      </x:c>
      <x:c r="AE83" s="6" t="str">
        <x:v>0.4310838914155736</x:v>
      </x:c>
      <x:c r="AF83" s="6" t="str">
        <x:v>0.27263869282738423</x:v>
      </x:c>
      <x:c r="AG83" s="6" t="str">
        <x:v>0</x:v>
      </x:c>
      <x:c r="AH83" s="6" t="str">
        <x:v>1</x:v>
      </x:c>
      <x:c r="AI83" s="6" t="str">
        <x:v>2024-10</x:v>
      </x:c>
      <x:c r="AJ83" s="9" t="str">
        <x:v>NASA POWER (MERRA-2 meteorology)</x:v>
      </x:c>
      <x:c r="AK83" s="9" t="str">
        <x:v>Badan Informasi Geospasial (BIG)</x:v>
      </x:c>
      <x:c r="AL83" s="9" t="str">
        <x:v>https://power.larc.nasa.gov/docs/services/api/temporal/monthly/</x:v>
      </x:c>
      <x:c r="AM83" s="9" t="str">
        <x:v>https://geoservices.big.go.id/rbi/rest/services/BATASWILAYAH/BATAS_WILAYAH/MapServer/12</x:v>
      </x:c>
    </x:row>
    <x:row r="84" ht="18" customHeight="1">
      <x:c r="A84" s="6" t="str">
        <x:v>14</x:v>
      </x:c>
      <x:c r="B84" s="6" t="str">
        <x:v>RIAU</x:v>
      </x:c>
      <x:c r="C84" s="6" t="str">
        <x:v>2024</x:v>
      </x:c>
      <x:c r="D84" s="6" t="str">
        <x:v>11</x:v>
      </x:c>
      <x:c r="E84" s="6" t="str">
        <x:v>26.48952326618847</x:v>
      </x:c>
      <x:c r="F84" s="9" t="str">
        <x:v>grid_cells_within_BIG_polygon</x:v>
      </x:c>
      <x:c r="G84" s="6" t="str">
        <x:v>22</x:v>
      </x:c>
      <x:c r="H84" s="8" t="str">
        <x:v>89.62228931628515</x:v>
      </x:c>
      <x:c r="I84" s="6" t="str">
        <x:v>10.899303753189471</x:v>
      </x:c>
      <x:c r="J84" s="6" t="str">
        <x:v>30</x:v>
      </x:c>
      <x:c r="K84" s="6" t="str">
        <x:v>326.9791125956841</x:v>
      </x:c>
      <x:c r="L84" s="6" t="str">
        <x:v>25.96047562609863</x:v>
      </x:c>
      <x:c r="M84" s="6" t="str">
        <x:v>0.23362666887991093</x:v>
      </x:c>
      <x:c r="N84" s="6" t="str">
        <x:v>89.82858039600076</x:v>
      </x:c>
      <x:c r="O84" s="6" t="str">
        <x:v>0.7402183574343347</x:v>
      </x:c>
      <x:c r="P84" s="6" t="str">
        <x:v>321.3877619139989</x:v>
      </x:c>
      <x:c r="Q84" s="6" t="str">
        <x:v>72.86026258710075</x:v>
      </x:c>
      <x:c r="R84" s="6" t="str">
        <x:v>0.5290476400898392</x:v>
      </x:c>
      <x:c r="S84" s="8" t="str">
        <x:v>2.2645002072164155</x:v>
      </x:c>
      <x:c r="T84" s="6" t="str">
        <x:v>-0.2062910797156121</x:v>
      </x:c>
      <x:c r="U84" s="8" t="str">
        <x:v>-0.27868949431440215</x:v>
      </x:c>
      <x:c r="V84" s="6" t="str">
        <x:v>5.591350681685242</x:v>
      </x:c>
      <x:c r="W84" s="8" t="str">
        <x:v>0.07674074293928142</x:v>
      </x:c>
      <x:c r="X84" s="6" t="str">
        <x:v>3.796524530988579</x:v>
      </x:c>
      <x:c r="Y84" s="6" t="str">
        <x:v>3.7501865918998316</x:v>
      </x:c>
      <x:c r="Z84" s="6" t="str">
        <x:v>3.270403776701609</x:v>
      </x:c>
      <x:c r="AA84" s="6" t="str">
        <x:v>-1.1247157046272114</x:v>
      </x:c>
      <x:c r="AB84" s="6" t="str">
        <x:v>-0.2935037306759444</x:v>
      </x:c>
      <x:c r="AC84" s="6" t="str">
        <x:v>-0.5656363098725196</x:v>
      </x:c>
      <x:c r="AD84" s="6" t="str">
        <x:v>0.35595162766930766</x:v>
      </x:c>
      <x:c r="AE84" s="6" t="str">
        <x:v>0.030880559397271804</x:v>
      </x:c>
      <x:c r="AF84" s="6" t="str">
        <x:v>0.15452431000195346</x:v>
      </x:c>
      <x:c r="AG84" s="6" t="str">
        <x:v>0</x:v>
      </x:c>
      <x:c r="AH84" s="6" t="str">
        <x:v>1</x:v>
      </x:c>
      <x:c r="AI84" s="6" t="str">
        <x:v>2024-11</x:v>
      </x:c>
      <x:c r="AJ84" s="9" t="str">
        <x:v>NASA POWER (MERRA-2 meteorology)</x:v>
      </x:c>
      <x:c r="AK84" s="9" t="str">
        <x:v>Badan Informasi Geospasial (BIG)</x:v>
      </x:c>
      <x:c r="AL84" s="9" t="str">
        <x:v>https://power.larc.nasa.gov/docs/services/api/temporal/monthly/</x:v>
      </x:c>
      <x:c r="AM84" s="9" t="str">
        <x:v>https://geoservices.big.go.id/rbi/rest/services/BATASWILAYAH/BATAS_WILAYAH/MapServer/12</x:v>
      </x:c>
    </x:row>
    <x:row r="85" ht="18" customHeight="1">
      <x:c r="A85" s="6" t="str">
        <x:v>14</x:v>
      </x:c>
      <x:c r="B85" s="6" t="str">
        <x:v>RIAU</x:v>
      </x:c>
      <x:c r="C85" s="6" t="str">
        <x:v>2024</x:v>
      </x:c>
      <x:c r="D85" s="6" t="str">
        <x:v>12</x:v>
      </x:c>
      <x:c r="E85" s="6" t="str">
        <x:v>26.170887073299145</x:v>
      </x:c>
      <x:c r="F85" s="9" t="str">
        <x:v>grid_cells_within_BIG_polygon</x:v>
      </x:c>
      <x:c r="G85" s="6" t="str">
        <x:v>22</x:v>
      </x:c>
      <x:c r="H85" s="8" t="str">
        <x:v>89.74503629921868</x:v>
      </x:c>
      <x:c r="I85" s="6" t="str">
        <x:v>6.412297111603586</x:v>
      </x:c>
      <x:c r="J85" s="6" t="str">
        <x:v>31</x:v>
      </x:c>
      <x:c r="K85" s="6" t="str">
        <x:v>198.78121045971116</x:v>
      </x:c>
      <x:c r="L85" s="6" t="str">
        <x:v>25.64007654031146</x:v>
      </x:c>
      <x:c r="M85" s="6" t="str">
        <x:v>0.2845319823814386</x:v>
      </x:c>
      <x:c r="N85" s="6" t="str">
        <x:v>90.47325020548554</x:v>
      </x:c>
      <x:c r="O85" s="6" t="str">
        <x:v>0.6346773077417226</x:v>
      </x:c>
      <x:c r="P85" s="6" t="str">
        <x:v>271.7756734396024</x:v>
      </x:c>
      <x:c r="Q85" s="6" t="str">
        <x:v>74.71865338853905</x:v>
      </x:c>
      <x:c r="R85" s="6" t="str">
        <x:v>0.5308105329876867</x:v>
      </x:c>
      <x:c r="S85" s="8" t="str">
        <x:v>1.8655566539303525</x:v>
      </x:c>
      <x:c r="T85" s="6" t="str">
        <x:v>-0.7282139062668591</x:v>
      </x:c>
      <x:c r="U85" s="8" t="str">
        <x:v>-1.1473766233394318</x:v>
      </x:c>
      <x:c r="V85" s="6" t="str">
        <x:v>-72.99446297989121</x:v>
      </x:c>
      <x:c r="W85" s="8" t="str">
        <x:v>-0.9769242306913375</x:v>
      </x:c>
      <x:c r="X85" s="6" t="str">
        <x:v>2.2645002072164155</x:v>
      </x:c>
      <x:c r="Y85" s="6" t="str">
        <x:v>3.796524530988579</x:v>
      </x:c>
      <x:c r="Z85" s="6" t="str">
        <x:v>2.6421937973784493</x:v>
      </x:c>
      <x:c r="AA85" s="6" t="str">
        <x:v>-0.27868949431440215</x:v>
      </x:c>
      <x:c r="AB85" s="6" t="str">
        <x:v>-1.1247157046272114</x:v>
      </x:c>
      <x:c r="AC85" s="6" t="str">
        <x:v>-0.8502606074270153</x:v>
      </x:c>
      <x:c r="AD85" s="6" t="str">
        <x:v>0.07674074293928142</x:v>
      </x:c>
      <x:c r="AE85" s="6" t="str">
        <x:v>0.35595162766930766</x:v>
      </x:c>
      <x:c r="AF85" s="6" t="str">
        <x:v>-0.18141062002758299</x:v>
      </x:c>
      <x:c r="AG85" s="6" t="str">
        <x:v>0</x:v>
      </x:c>
      <x:c r="AH85" s="6" t="str">
        <x:v>1</x:v>
      </x:c>
      <x:c r="AI85" s="6" t="str">
        <x:v>2024-12</x:v>
      </x:c>
      <x:c r="AJ85" s="9" t="str">
        <x:v>NASA POWER (MERRA-2 meteorology)</x:v>
      </x:c>
      <x:c r="AK85" s="9" t="str">
        <x:v>Badan Informasi Geospasial (BIG)</x:v>
      </x:c>
      <x:c r="AL85" s="9" t="str">
        <x:v>https://power.larc.nasa.gov/docs/services/api/temporal/monthly/</x:v>
      </x:c>
      <x:c r="AM85" s="9" t="str">
        <x:v>https://geoservices.big.go.id/rbi/rest/services/BATASWILAYAH/BATAS_WILAYAH/MapServer/12</x:v>
      </x:c>
    </x:row>
    <x:row r="86" ht="18" customHeight="1">
      <x:c r="A86" s="6" t="str">
        <x:v>14</x:v>
      </x:c>
      <x:c r="B86" s="6" t="str">
        <x:v>RIAU</x:v>
      </x:c>
      <x:c r="C86" s="6" t="str">
        <x:v>2025</x:v>
      </x:c>
      <x:c r="D86" s="6" t="str">
        <x:v>1</x:v>
      </x:c>
      <x:c r="E86" s="6" t="str">
        <x:v>25.659043035181348</x:v>
      </x:c>
      <x:c r="F86" s="9" t="str">
        <x:v>grid_cells_within_BIG_polygon</x:v>
      </x:c>
      <x:c r="G86" s="6" t="str">
        <x:v>22</x:v>
      </x:c>
      <x:c r="H86" s="8" t="str">
        <x:v>91.36110235456924</x:v>
      </x:c>
      <x:c r="I86" s="6" t="str">
        <x:v>13.232182357863174</x:v>
      </x:c>
      <x:c r="J86" s="6" t="str">
        <x:v>31</x:v>
      </x:c>
      <x:c r="K86" s="6" t="str">
        <x:v>410.1976530937584</x:v>
      </x:c>
      <x:c r="L86" s="6" t="str">
        <x:v>25.58502930185122</x:v>
      </x:c>
      <x:c r="M86" s="6" t="str">
        <x:v>0.4214497845481705</x:v>
      </x:c>
      <x:c r="N86" s="6" t="str">
        <x:v>89.29336952208469</x:v>
      </x:c>
      <x:c r="O86" s="6" t="str">
        <x:v>1.0353265549696729</x:v>
      </x:c>
      <x:c r="P86" s="6" t="str">
        <x:v>197.16614186216478</x:v>
      </x:c>
      <x:c r="Q86" s="6" t="str">
        <x:v>71.56977391212044</x:v>
      </x:c>
      <x:c r="R86" s="6" t="str">
        <x:v>0.07401373333012984</x:v>
      </x:c>
      <x:c r="S86" s="8" t="str">
        <x:v>0.17561696800836846</x:v>
      </x:c>
      <x:c r="T86" s="6" t="str">
        <x:v>2.067732832484552</x:v>
      </x:c>
      <x:c r="U86" s="8" t="str">
        <x:v>1.9971793658331507</x:v>
      </x:c>
      <x:c r="V86" s="6" t="str">
        <x:v>213.0315112315936</x:v>
      </x:c>
      <x:c r="W86" s="8" t="str">
        <x:v>2.9765569958789047</x:v>
      </x:c>
      <x:c r="X86" s="6" t="str">
        <x:v>1.8655566539303525</x:v>
      </x:c>
      <x:c r="Y86" s="6" t="str">
        <x:v>2.2645002072164155</x:v>
      </x:c>
      <x:c r="Z86" s="6" t="str">
        <x:v>1.435224609718379</x:v>
      </x:c>
      <x:c r="AA86" s="6" t="str">
        <x:v>-1.1473766233394318</x:v>
      </x:c>
      <x:c r="AB86" s="6" t="str">
        <x:v>-0.27868949431440215</x:v>
      </x:c>
      <x:c r="AC86" s="6" t="str">
        <x:v>0.1903710827264388</x:v>
      </x:c>
      <x:c r="AD86" s="6" t="str">
        <x:v>-0.9769242306913375</x:v>
      </x:c>
      <x:c r="AE86" s="6" t="str">
        <x:v>0.07674074293928142</x:v>
      </x:c>
      <x:c r="AF86" s="6" t="str">
        <x:v>0.6921245027089493</x:v>
      </x:c>
      <x:c r="AG86" s="6" t="str">
        <x:v>1</x:v>
      </x:c>
      <x:c r="AH86" s="6" t="str">
        <x:v>0</x:v>
      </x:c>
      <x:c r="AI86" s="6" t="str">
        <x:v>2025-01</x:v>
      </x:c>
      <x:c r="AJ86" s="9" t="str">
        <x:v>NASA POWER (MERRA-2 meteorology)</x:v>
      </x:c>
      <x:c r="AK86" s="9" t="str">
        <x:v>Badan Informasi Geospasial (BIG)</x:v>
      </x:c>
      <x:c r="AL86" s="9" t="str">
        <x:v>https://power.larc.nasa.gov/docs/services/api/temporal/monthly/</x:v>
      </x:c>
      <x:c r="AM86" s="9" t="str">
        <x:v>https://geoservices.big.go.id/rbi/rest/services/BATASWILAYAH/BATAS_WILAYAH/MapServer/12</x:v>
      </x:c>
    </x:row>
    <x:row r="87" ht="18" customHeight="1">
      <x:c r="A87" s="6" t="str">
        <x:v>14</x:v>
      </x:c>
      <x:c r="B87" s="6" t="str">
        <x:v>RIAU</x:v>
      </x:c>
      <x:c r="C87" s="6" t="str">
        <x:v>2025</x:v>
      </x:c>
      <x:c r="D87" s="6" t="str">
        <x:v>2</x:v>
      </x:c>
      <x:c r="E87" s="6" t="str">
        <x:v>26.164514931848306</x:v>
      </x:c>
      <x:c r="F87" s="9" t="str">
        <x:v>grid_cells_within_BIG_polygon</x:v>
      </x:c>
      <x:c r="G87" s="6" t="str">
        <x:v>22</x:v>
      </x:c>
      <x:c r="H87" s="8" t="str">
        <x:v>88.87786247073275</x:v>
      </x:c>
      <x:c r="I87" s="6" t="str">
        <x:v>8.744268991388157</x:v>
      </x:c>
      <x:c r="J87" s="6" t="str">
        <x:v>28</x:v>
      </x:c>
      <x:c r="K87" s="6" t="str">
        <x:v>244.83953175886842</x:v>
      </x:c>
      <x:c r="L87" s="6" t="str">
        <x:v>25.919676964049096</x:v>
      </x:c>
      <x:c r="M87" s="6" t="str">
        <x:v>0.4085133570453305</x:v>
      </x:c>
      <x:c r="N87" s="6" t="str">
        <x:v>88.20398265787763</x:v>
      </x:c>
      <x:c r="O87" s="6" t="str">
        <x:v>1.0323141639776143</x:v>
      </x:c>
      <x:c r="P87" s="6" t="str">
        <x:v>154.3344937720363</x:v>
      </x:c>
      <x:c r="Q87" s="6" t="str">
        <x:v>66.0201765859423</x:v>
      </x:c>
      <x:c r="R87" s="6" t="str">
        <x:v>0.24483796779921008</x:v>
      </x:c>
      <x:c r="S87" s="8" t="str">
        <x:v>0.5993389532475967</x:v>
      </x:c>
      <x:c r="T87" s="6" t="str">
        <x:v>0.6738798128551196</x:v>
      </x:c>
      <x:c r="U87" s="8" t="str">
        <x:v>0.6527855921869659</x:v>
      </x:c>
      <x:c r="V87" s="6" t="str">
        <x:v>90.50503798683212</x:v>
      </x:c>
      <x:c r="W87" s="8" t="str">
        <x:v>1.3708693715627442</x:v>
      </x:c>
      <x:c r="X87" s="6" t="str">
        <x:v>0.17561696800836846</x:v>
      </x:c>
      <x:c r="Y87" s="6" t="str">
        <x:v>1.8655566539303525</x:v>
      </x:c>
      <x:c r="Z87" s="6" t="str">
        <x:v>0.8801708583954394</x:v>
      </x:c>
      <x:c r="AA87" s="6" t="str">
        <x:v>1.9971793658331507</x:v>
      </x:c>
      <x:c r="AB87" s="6" t="str">
        <x:v>-1.1473766233394318</x:v>
      </x:c>
      <x:c r="AC87" s="6" t="str">
        <x:v>0.5008627782268947</x:v>
      </x:c>
      <x:c r="AD87" s="6" t="str">
        <x:v>2.9765569958789047</x:v>
      </x:c>
      <x:c r="AE87" s="6" t="str">
        <x:v>-0.9769242306913375</x:v>
      </x:c>
      <x:c r="AF87" s="6" t="str">
        <x:v>1.1235007122501035</x:v>
      </x:c>
      <x:c r="AG87" s="6" t="str">
        <x:v>1</x:v>
      </x:c>
      <x:c r="AH87" s="6" t="str">
        <x:v>0</x:v>
      </x:c>
      <x:c r="AI87" s="6" t="str">
        <x:v>2025-02</x:v>
      </x:c>
      <x:c r="AJ87" s="9" t="str">
        <x:v>NASA POWER (MERRA-2 meteorology)</x:v>
      </x:c>
      <x:c r="AK87" s="9" t="str">
        <x:v>Badan Informasi Geospasial (BIG)</x:v>
      </x:c>
      <x:c r="AL87" s="9" t="str">
        <x:v>https://power.larc.nasa.gov/docs/services/api/temporal/monthly/</x:v>
      </x:c>
      <x:c r="AM87" s="9" t="str">
        <x:v>https://geoservices.big.go.id/rbi/rest/services/BATASWILAYAH/BATAS_WILAYAH/MapServer/12</x:v>
      </x:c>
    </x:row>
    <x:row r="88" ht="18" customHeight="1">
      <x:c r="A88" s="6" t="str">
        <x:v>14</x:v>
      </x:c>
      <x:c r="B88" s="6" t="str">
        <x:v>RIAU</x:v>
      </x:c>
      <x:c r="C88" s="6" t="str">
        <x:v>2025</x:v>
      </x:c>
      <x:c r="D88" s="6" t="str">
        <x:v>3</x:v>
      </x:c>
      <x:c r="E88" s="6" t="str">
        <x:v>26.318137840265972</x:v>
      </x:c>
      <x:c r="F88" s="9" t="str">
        <x:v>grid_cells_within_BIG_polygon</x:v>
      </x:c>
      <x:c r="G88" s="6" t="str">
        <x:v>22</x:v>
      </x:c>
      <x:c r="H88" s="8" t="str">
        <x:v>90.77696272823638</x:v>
      </x:c>
      <x:c r="I88" s="6" t="str">
        <x:v>10.883031612130639</x:v>
      </x:c>
      <x:c r="J88" s="6" t="str">
        <x:v>31</x:v>
      </x:c>
      <x:c r="K88" s="6" t="str">
        <x:v>337.3739799760498</x:v>
      </x:c>
      <x:c r="L88" s="6" t="str">
        <x:v>26.25222096206096</x:v>
      </x:c>
      <x:c r="M88" s="6" t="str">
        <x:v>0.42155649266614825</x:v>
      </x:c>
      <x:c r="N88" s="6" t="str">
        <x:v>88.5475977752874</x:v>
      </x:c>
      <x:c r="O88" s="6" t="str">
        <x:v>1.0291456264874983</x:v>
      </x:c>
      <x:c r="P88" s="6" t="str">
        <x:v>237.97748099584487</x:v>
      </x:c>
      <x:c r="Q88" s="6" t="str">
        <x:v>72.90914181023918</x:v>
      </x:c>
      <x:c r="R88" s="6" t="str">
        <x:v>0.06591687820501235</x:v>
      </x:c>
      <x:c r="S88" s="8" t="str">
        <x:v>0.1563654678596428</x:v>
      </x:c>
      <x:c r="T88" s="6" t="str">
        <x:v>2.229364952948984</x:v>
      </x:c>
      <x:c r="U88" s="8" t="str">
        <x:v>2.166228855830507</x:v>
      </x:c>
      <x:c r="V88" s="6" t="str">
        <x:v>99.39649898020491</x:v>
      </x:c>
      <x:c r="W88" s="8" t="str">
        <x:v>1.3632926751339969</x:v>
      </x:c>
      <x:c r="X88" s="6" t="str">
        <x:v>0.5993389532475967</x:v>
      </x:c>
      <x:c r="Y88" s="6" t="str">
        <x:v>0.17561696800836846</x:v>
      </x:c>
      <x:c r="Z88" s="6" t="str">
        <x:v>0.3104404630385363</x:v>
      </x:c>
      <x:c r="AA88" s="6" t="str">
        <x:v>0.6527855921869659</x:v>
      </x:c>
      <x:c r="AB88" s="6" t="str">
        <x:v>1.9971793658331507</x:v>
      </x:c>
      <x:c r="AC88" s="6" t="str">
        <x:v>1.605397937950208</x:v>
      </x:c>
      <x:c r="AD88" s="6" t="str">
        <x:v>1.3708693715627442</x:v>
      </x:c>
      <x:c r="AE88" s="6" t="str">
        <x:v>2.9765569958789047</x:v>
      </x:c>
      <x:c r="AF88" s="6" t="str">
        <x:v>1.9035730141918819</x:v>
      </x:c>
      <x:c r="AG88" s="6" t="str">
        <x:v>1</x:v>
      </x:c>
      <x:c r="AH88" s="6" t="str">
        <x:v>0</x:v>
      </x:c>
      <x:c r="AI88" s="6" t="str">
        <x:v>2025-03</x:v>
      </x:c>
      <x:c r="AJ88" s="9" t="str">
        <x:v>NASA POWER (MERRA-2 meteorology)</x:v>
      </x:c>
      <x:c r="AK88" s="9" t="str">
        <x:v>Badan Informasi Geospasial (BIG)</x:v>
      </x:c>
      <x:c r="AL88" s="9" t="str">
        <x:v>https://power.larc.nasa.gov/docs/services/api/temporal/monthly/</x:v>
      </x:c>
      <x:c r="AM88" s="9" t="str">
        <x:v>https://geoservices.big.go.id/rbi/rest/services/BATASWILAYAH/BATAS_WILAYAH/MapServer/12</x:v>
      </x:c>
    </x:row>
    <x:row r="89" ht="18" customHeight="1">
      <x:c r="A89" s="6" t="str">
        <x:v>14</x:v>
      </x:c>
      <x:c r="B89" s="6" t="str">
        <x:v>RIAU</x:v>
      </x:c>
      <x:c r="C89" s="6" t="str">
        <x:v>2025</x:v>
      </x:c>
      <x:c r="D89" s="6" t="str">
        <x:v>4</x:v>
      </x:c>
      <x:c r="E89" s="6" t="str">
        <x:v>26.503156577163217</x:v>
      </x:c>
      <x:c r="F89" s="9" t="str">
        <x:v>grid_cells_within_BIG_polygon</x:v>
      </x:c>
      <x:c r="G89" s="6" t="str">
        <x:v>22</x:v>
      </x:c>
      <x:c r="H89" s="8" t="str">
        <x:v>89.70955754872965</x:v>
      </x:c>
      <x:c r="I89" s="6" t="str">
        <x:v>10.786748554316938</x:v>
      </x:c>
      <x:c r="J89" s="6" t="str">
        <x:v>30</x:v>
      </x:c>
      <x:c r="K89" s="6" t="str">
        <x:v>323.60245662950814</x:v>
      </x:c>
      <x:c r="L89" s="6" t="str">
        <x:v>26.559829172001532</x:v>
      </x:c>
      <x:c r="M89" s="6" t="str">
        <x:v>0.3701447577011933</x:v>
      </x:c>
      <x:c r="N89" s="6" t="str">
        <x:v>89.31647921220825</x:v>
      </x:c>
      <x:c r="O89" s="6" t="str">
        <x:v>0.7724709141639042</x:v>
      </x:c>
      <x:c r="P89" s="6" t="str">
        <x:v>257.6733386014348</x:v>
      </x:c>
      <x:c r="Q89" s="6" t="str">
        <x:v>57.09069456802378</x:v>
      </x:c>
      <x:c r="R89" s="6" t="str">
        <x:v>-0.05667259483831444</x:v>
      </x:c>
      <x:c r="S89" s="8" t="str">
        <x:v>-0.15310927322132847</x:v>
      </x:c>
      <x:c r="T89" s="6" t="str">
        <x:v>0.39307833652139834</x:v>
      </x:c>
      <x:c r="U89" s="8" t="str">
        <x:v>0.5088584298955161</x:v>
      </x:c>
      <x:c r="V89" s="6" t="str">
        <x:v>65.92911802807333</x:v>
      </x:c>
      <x:c r="W89" s="8" t="str">
        <x:v>1.1548137315008236</x:v>
      </x:c>
      <x:c r="X89" s="6" t="str">
        <x:v>0.1563654678596428</x:v>
      </x:c>
      <x:c r="Y89" s="6" t="str">
        <x:v>0.5993389532475967</x:v>
      </x:c>
      <x:c r="Z89" s="6" t="str">
        <x:v>0.200865049295304</x:v>
      </x:c>
      <x:c r="AA89" s="6" t="str">
        <x:v>2.166228855830507</x:v>
      </x:c>
      <x:c r="AB89" s="6" t="str">
        <x:v>0.6527855921869659</x:v>
      </x:c>
      <x:c r="AC89" s="6" t="str">
        <x:v>1.1092909593043296</x:v>
      </x:c>
      <x:c r="AD89" s="6" t="str">
        <x:v>1.3632926751339969</x:v>
      </x:c>
      <x:c r="AE89" s="6" t="str">
        <x:v>1.3708693715627442</x:v>
      </x:c>
      <x:c r="AF89" s="6" t="str">
        <x:v>1.296325259399188</x:v>
      </x:c>
      <x:c r="AG89" s="6" t="str">
        <x:v>1</x:v>
      </x:c>
      <x:c r="AH89" s="6" t="str">
        <x:v>0</x:v>
      </x:c>
      <x:c r="AI89" s="6" t="str">
        <x:v>2025-04</x:v>
      </x:c>
      <x:c r="AJ89" s="9" t="str">
        <x:v>NASA POWER (MERRA-2 meteorology)</x:v>
      </x:c>
      <x:c r="AK89" s="9" t="str">
        <x:v>Badan Informasi Geospasial (BIG)</x:v>
      </x:c>
      <x:c r="AL89" s="9" t="str">
        <x:v>https://power.larc.nasa.gov/docs/services/api/temporal/monthly/</x:v>
      </x:c>
      <x:c r="AM89" s="9" t="str">
        <x:v>https://geoservices.big.go.id/rbi/rest/services/BATASWILAYAH/BATAS_WILAYAH/MapServer/12</x:v>
      </x:c>
    </x:row>
    <x:row r="90" ht="18" customHeight="1">
      <x:c r="A90" s="6" t="str">
        <x:v>14</x:v>
      </x:c>
      <x:c r="B90" s="6" t="str">
        <x:v>RIAU</x:v>
      </x:c>
      <x:c r="C90" s="6" t="str">
        <x:v>2025</x:v>
      </x:c>
      <x:c r="D90" s="6" t="str">
        <x:v>5</x:v>
      </x:c>
      <x:c r="E90" s="6" t="str">
        <x:v>27.08451209360428</x:v>
      </x:c>
      <x:c r="F90" s="9" t="str">
        <x:v>grid_cells_within_BIG_polygon</x:v>
      </x:c>
      <x:c r="G90" s="6" t="str">
        <x:v>22</x:v>
      </x:c>
      <x:c r="H90" s="8" t="str">
        <x:v>89.23591968377124</x:v>
      </x:c>
      <x:c r="I90" s="6" t="str">
        <x:v>8.081136891862847</x:v>
      </x:c>
      <x:c r="J90" s="6" t="str">
        <x:v>31</x:v>
      </x:c>
      <x:c r="K90" s="6" t="str">
        <x:v>250.51524364774826</x:v>
      </x:c>
      <x:c r="L90" s="6" t="str">
        <x:v>26.670325549602016</x:v>
      </x:c>
      <x:c r="M90" s="6" t="str">
        <x:v>0.31464474222963906</x:v>
      </x:c>
      <x:c r="N90" s="6" t="str">
        <x:v>89.60434208923431</x:v>
      </x:c>
      <x:c r="O90" s="6" t="str">
        <x:v>0.7833508635496192</x:v>
      </x:c>
      <x:c r="P90" s="6" t="str">
        <x:v>205.45504231117692</x:v>
      </x:c>
      <x:c r="Q90" s="6" t="str">
        <x:v>58.084745524406024</x:v>
      </x:c>
      <x:c r="R90" s="6" t="str">
        <x:v>0.41418654400226274</x:v>
      </x:c>
      <x:c r="S90" s="8" t="str">
        <x:v>1.316362514330446</x:v>
      </x:c>
      <x:c r="T90" s="6" t="str">
        <x:v>-0.3684224054630647</x:v>
      </x:c>
      <x:c r="U90" s="8" t="str">
        <x:v>-0.47031594985881825</x:v>
      </x:c>
      <x:c r="V90" s="6" t="str">
        <x:v>45.06020133657134</x:v>
      </x:c>
      <x:c r="W90" s="8" t="str">
        <x:v>0.7757665275065716</x:v>
      </x:c>
      <x:c r="X90" s="6" t="str">
        <x:v>-0.15310927322132847</x:v>
      </x:c>
      <x:c r="Y90" s="6" t="str">
        <x:v>0.1563654678596428</x:v>
      </x:c>
      <x:c r="Z90" s="6" t="str">
        <x:v>0.4398729029895871</x:v>
      </x:c>
      <x:c r="AA90" s="6" t="str">
        <x:v>0.5088584298955161</x:v>
      </x:c>
      <x:c r="AB90" s="6" t="str">
        <x:v>2.166228855830507</x:v>
      </x:c>
      <x:c r="AC90" s="6" t="str">
        <x:v>0.7349237786224015</x:v>
      </x:c>
      <x:c r="AD90" s="6" t="str">
        <x:v>1.1548137315008236</x:v>
      </x:c>
      <x:c r="AE90" s="6" t="str">
        <x:v>1.3632926751339969</x:v>
      </x:c>
      <x:c r="AF90" s="6" t="str">
        <x:v>1.097957644713797</x:v>
      </x:c>
      <x:c r="AG90" s="6" t="str">
        <x:v>0</x:v>
      </x:c>
      <x:c r="AH90" s="6" t="str">
        <x:v>1</x:v>
      </x:c>
      <x:c r="AI90" s="6" t="str">
        <x:v>2025-05</x:v>
      </x:c>
      <x:c r="AJ90" s="9" t="str">
        <x:v>NASA POWER (MERRA-2 meteorology)</x:v>
      </x:c>
      <x:c r="AK90" s="9" t="str">
        <x:v>Badan Informasi Geospasial (BIG)</x:v>
      </x:c>
      <x:c r="AL90" s="9" t="str">
        <x:v>https://power.larc.nasa.gov/docs/services/api/temporal/monthly/</x:v>
      </x:c>
      <x:c r="AM90" s="9" t="str">
        <x:v>https://geoservices.big.go.id/rbi/rest/services/BATASWILAYAH/BATAS_WILAYAH/MapServer/12</x:v>
      </x:c>
    </x:row>
    <x:row r="91" ht="18" customHeight="1">
      <x:c r="A91" s="6" t="str">
        <x:v>14</x:v>
      </x:c>
      <x:c r="B91" s="6" t="str">
        <x:v>RIAU</x:v>
      </x:c>
      <x:c r="C91" s="6" t="str">
        <x:v>2025</x:v>
      </x:c>
      <x:c r="D91" s="6" t="str">
        <x:v>6</x:v>
      </x:c>
      <x:c r="E91" s="6" t="str">
        <x:v>26.504953414214572</x:v>
      </x:c>
      <x:c r="F91" s="9" t="str">
        <x:v>grid_cells_within_BIG_polygon</x:v>
      </x:c>
      <x:c r="G91" s="6" t="str">
        <x:v>22</x:v>
      </x:c>
      <x:c r="H91" s="8" t="str">
        <x:v>89.10235247575318</x:v>
      </x:c>
      <x:c r="I91" s="6" t="str">
        <x:v>5.788266079707277</x:v>
      </x:c>
      <x:c r="J91" s="6" t="str">
        <x:v>30</x:v>
      </x:c>
      <x:c r="K91" s="6" t="str">
        <x:v>173.6479823912183</x:v>
      </x:c>
      <x:c r="L91" s="6" t="str">
        <x:v>26.225879962227324</x:v>
      </x:c>
      <x:c r="M91" s="6" t="str">
        <x:v>0.24754156164988905</x:v>
      </x:c>
      <x:c r="N91" s="6" t="str">
        <x:v>89.37685737527214</x:v>
      </x:c>
      <x:c r="O91" s="6" t="str">
        <x:v>0.7479918310123753</x:v>
      </x:c>
      <x:c r="P91" s="6" t="str">
        <x:v>153.79726606861126</x:v>
      </x:c>
      <x:c r="Q91" s="6" t="str">
        <x:v>50.81898198845343</x:v>
      </x:c>
      <x:c r="R91" s="6" t="str">
        <x:v>0.279073451987248</x:v>
      </x:c>
      <x:c r="S91" s="8" t="str">
        <x:v>1.1273801866934818</x:v>
      </x:c>
      <x:c r="T91" s="6" t="str">
        <x:v>-0.2745048995189592</x:v>
      </x:c>
      <x:c r="U91" s="8" t="str">
        <x:v>-0.3669891677124714</x:v>
      </x:c>
      <x:c r="V91" s="6" t="str">
        <x:v>19.85071632260704</x:v>
      </x:c>
      <x:c r="W91" s="8" t="str">
        <x:v>0.39061617423027717</x:v>
      </x:c>
      <x:c r="X91" s="6" t="str">
        <x:v>1.316362514330446</x:v>
      </x:c>
      <x:c r="Y91" s="6" t="str">
        <x:v>-0.15310927322132847</x:v>
      </x:c>
      <x:c r="Z91" s="6" t="str">
        <x:v>0.7635444759342</x:v>
      </x:c>
      <x:c r="AA91" s="6" t="str">
        <x:v>-0.47031594985881825</x:v>
      </x:c>
      <x:c r="AB91" s="6" t="str">
        <x:v>0.5088584298955161</x:v>
      </x:c>
      <x:c r="AC91" s="6" t="str">
        <x:v>-0.10948222922525801</x:v>
      </x:c>
      <x:c r="AD91" s="6" t="str">
        <x:v>0.7757665275065716</x:v>
      </x:c>
      <x:c r="AE91" s="6" t="str">
        <x:v>1.1548137315008236</x:v>
      </x:c>
      <x:c r="AF91" s="6" t="str">
        <x:v>0.7737321444125572</x:v>
      </x:c>
      <x:c r="AG91" s="6" t="str">
        <x:v>0</x:v>
      </x:c>
      <x:c r="AH91" s="6" t="str">
        <x:v>1</x:v>
      </x:c>
      <x:c r="AI91" s="6" t="str">
        <x:v>2025-06</x:v>
      </x:c>
      <x:c r="AJ91" s="9" t="str">
        <x:v>NASA POWER (MERRA-2 meteorology)</x:v>
      </x:c>
      <x:c r="AK91" s="9" t="str">
        <x:v>Badan Informasi Geospasial (BIG)</x:v>
      </x:c>
      <x:c r="AL91" s="9" t="str">
        <x:v>https://power.larc.nasa.gov/docs/services/api/temporal/monthly/</x:v>
      </x:c>
      <x:c r="AM91" s="9" t="str">
        <x:v>https://geoservices.big.go.id/rbi/rest/services/BATASWILAYAH/BATAS_WILAYAH/MapServer/12</x:v>
      </x:c>
    </x:row>
    <x:row r="92" ht="18" customHeight="1">
      <x:c r="A92" s="6" t="str">
        <x:v>14</x:v>
      </x:c>
      <x:c r="B92" s="6" t="str">
        <x:v>RIAU</x:v>
      </x:c>
      <x:c r="C92" s="6" t="str">
        <x:v>2025</x:v>
      </x:c>
      <x:c r="D92" s="6" t="str">
        <x:v>7</x:v>
      </x:c>
      <x:c r="E92" s="6" t="str">
        <x:v>26.531320328072105</x:v>
      </x:c>
      <x:c r="F92" s="9" t="str">
        <x:v>grid_cells_within_BIG_polygon</x:v>
      </x:c>
      <x:c r="G92" s="6" t="str">
        <x:v>22</x:v>
      </x:c>
      <x:c r="H92" s="8" t="str">
        <x:v>88.5714234304889</x:v>
      </x:c>
      <x:c r="I92" s="6" t="str">
        <x:v>4.421507402224914</x:v>
      </x:c>
      <x:c r="J92" s="6" t="str">
        <x:v>31</x:v>
      </x:c>
      <x:c r="K92" s="6" t="str">
        <x:v>137.06672946897234</x:v>
      </x:c>
      <x:c r="L92" s="6" t="str">
        <x:v>25.921258921941405</x:v>
      </x:c>
      <x:c r="M92" s="6" t="str">
        <x:v>0.24256959719998142</x:v>
      </x:c>
      <x:c r="N92" s="6" t="str">
        <x:v>88.98091641386567</x:v>
      </x:c>
      <x:c r="O92" s="6" t="str">
        <x:v>0.7714760699307252</x:v>
      </x:c>
      <x:c r="P92" s="6" t="str">
        <x:v>158.34034847286327</x:v>
      </x:c>
      <x:c r="Q92" s="6" t="str">
        <x:v>57.92394040162406</x:v>
      </x:c>
      <x:c r="R92" s="6" t="str">
        <x:v>0.6100614061307006</x:v>
      </x:c>
      <x:c r="S92" s="8" t="str">
        <x:v>2.5149953381327843</x:v>
      </x:c>
      <x:c r="T92" s="6" t="str">
        <x:v>-0.4094929833767651</x:v>
      </x:c>
      <x:c r="U92" s="8" t="str">
        <x:v>-0.530791555742663</x:v>
      </x:c>
      <x:c r="V92" s="6" t="str">
        <x:v>-21.27361900389093</x:v>
      </x:c>
      <x:c r="W92" s="8" t="str">
        <x:v>-0.3672681598728816</x:v>
      </x:c>
      <x:c r="X92" s="6" t="str">
        <x:v>1.1273801866934818</x:v>
      </x:c>
      <x:c r="Y92" s="6" t="str">
        <x:v>1.316362514330446</x:v>
      </x:c>
      <x:c r="Z92" s="6" t="str">
        <x:v>1.6529126797189042</x:v>
      </x:c>
      <x:c r="AA92" s="6" t="str">
        <x:v>-0.3669891677124714</x:v>
      </x:c>
      <x:c r="AB92" s="6" t="str">
        <x:v>-0.47031594985881825</x:v>
      </x:c>
      <x:c r="AC92" s="6" t="str">
        <x:v>-0.45603222443798436</x:v>
      </x:c>
      <x:c r="AD92" s="6" t="str">
        <x:v>0.39061617423027717</x:v>
      </x:c>
      <x:c r="AE92" s="6" t="str">
        <x:v>0.7757665275065716</x:v>
      </x:c>
      <x:c r="AF92" s="6" t="str">
        <x:v>0.26637151395465547</x:v>
      </x:c>
      <x:c r="AG92" s="6" t="str">
        <x:v>0</x:v>
      </x:c>
      <x:c r="AH92" s="6" t="str">
        <x:v>1</x:v>
      </x:c>
      <x:c r="AI92" s="6" t="str">
        <x:v>2025-07</x:v>
      </x:c>
      <x:c r="AJ92" s="9" t="str">
        <x:v>NASA POWER (MERRA-2 meteorology)</x:v>
      </x:c>
      <x:c r="AK92" s="9" t="str">
        <x:v>Badan Informasi Geospasial (BIG)</x:v>
      </x:c>
      <x:c r="AL92" s="9" t="str">
        <x:v>https://power.larc.nasa.gov/docs/services/api/temporal/monthly/</x:v>
      </x:c>
      <x:c r="AM92" s="9" t="str">
        <x:v>https://geoservices.big.go.id/rbi/rest/services/BATASWILAYAH/BATAS_WILAYAH/MapServer/12</x:v>
      </x:c>
    </x:row>
    <x:row r="93" ht="18" customHeight="1">
      <x:c r="A93" s="6" t="str">
        <x:v>14</x:v>
      </x:c>
      <x:c r="B93" s="6" t="str">
        <x:v>RIAU</x:v>
      </x:c>
      <x:c r="C93" s="6" t="str">
        <x:v>2025</x:v>
      </x:c>
      <x:c r="D93" s="6" t="str">
        <x:v>8</x:v>
      </x:c>
      <x:c r="E93" s="6" t="str">
        <x:v>26.17041286574939</x:v>
      </x:c>
      <x:c r="F93" s="9" t="str">
        <x:v>grid_cells_within_BIG_polygon</x:v>
      </x:c>
      <x:c r="G93" s="6" t="str">
        <x:v>22</x:v>
      </x:c>
      <x:c r="H93" s="8" t="str">
        <x:v>87.86321661510819</x:v>
      </x:c>
      <x:c r="I93" s="6" t="str">
        <x:v>5.804966586209457</x:v>
      </x:c>
      <x:c r="J93" s="6" t="str">
        <x:v>31</x:v>
      </x:c>
      <x:c r="K93" s="6" t="str">
        <x:v>179.9539641724932</x:v>
      </x:c>
      <x:c r="L93" s="6" t="str">
        <x:v>25.97818659331058</x:v>
      </x:c>
      <x:c r="M93" s="6" t="str">
        <x:v>0.2277511929803703</x:v>
      </x:c>
      <x:c r="N93" s="6" t="str">
        <x:v>88.31739641224034</x:v>
      </x:c>
      <x:c r="O93" s="6" t="str">
        <x:v>0.8162711657564353</x:v>
      </x:c>
      <x:c r="P93" s="6" t="str">
        <x:v>175.8190042526679</x:v>
      </x:c>
      <x:c r="Q93" s="6" t="str">
        <x:v>71.36832449904655</x:v>
      </x:c>
      <x:c r="R93" s="6" t="str">
        <x:v>0.19222627243881263</x:v>
      </x:c>
      <x:c r="S93" s="8" t="str">
        <x:v>0.8440187290495574</x:v>
      </x:c>
      <x:c r="T93" s="6" t="str">
        <x:v>-0.4541797971321557</x:v>
      </x:c>
      <x:c r="U93" s="8" t="str">
        <x:v>-0.5564079881607347</x:v>
      </x:c>
      <x:c r="V93" s="6" t="str">
        <x:v>4.134959919825292</x:v>
      </x:c>
      <x:c r="W93" s="8" t="str">
        <x:v>0.05793830734922932</x:v>
      </x:c>
      <x:c r="X93" s="6" t="str">
        <x:v>2.5149953381327843</x:v>
      </x:c>
      <x:c r="Y93" s="6" t="str">
        <x:v>1.1273801866934818</x:v>
      </x:c>
      <x:c r="Z93" s="6" t="str">
        <x:v>1.4954647512919417</x:v>
      </x:c>
      <x:c r="AA93" s="6" t="str">
        <x:v>-0.530791555742663</x:v>
      </x:c>
      <x:c r="AB93" s="6" t="str">
        <x:v>-0.3669891677124714</x:v>
      </x:c>
      <x:c r="AC93" s="6" t="str">
        <x:v>-0.4847295705386232</x:v>
      </x:c>
      <x:c r="AD93" s="6" t="str">
        <x:v>-0.3672681598728816</x:v>
      </x:c>
      <x:c r="AE93" s="6" t="str">
        <x:v>0.39061617423027717</x:v>
      </x:c>
      <x:c r="AF93" s="6" t="str">
        <x:v>0.027095440568874748</x:v>
      </x:c>
      <x:c r="AG93" s="6" t="str">
        <x:v>0</x:v>
      </x:c>
      <x:c r="AH93" s="6" t="str">
        <x:v>0</x:v>
      </x:c>
      <x:c r="AI93" s="6" t="str">
        <x:v>2025-08</x:v>
      </x:c>
      <x:c r="AJ93" s="9" t="str">
        <x:v>NASA POWER (MERRA-2 meteorology)</x:v>
      </x:c>
      <x:c r="AK93" s="9" t="str">
        <x:v>Badan Informasi Geospasial (BIG)</x:v>
      </x:c>
      <x:c r="AL93" s="9" t="str">
        <x:v>https://power.larc.nasa.gov/docs/services/api/temporal/monthly/</x:v>
      </x:c>
      <x:c r="AM93" s="9" t="str">
        <x:v>https://geoservices.big.go.id/rbi/rest/services/BATASWILAYAH/BATAS_WILAYAH/MapServer/12</x:v>
      </x:c>
    </x:row>
    <x:row r="94" ht="18" customHeight="1">
      <x:c r="A94" s="6" t="str">
        <x:v>14</x:v>
      </x:c>
      <x:c r="B94" s="6" t="str">
        <x:v>RIAU</x:v>
      </x:c>
      <x:c r="C94" s="6" t="str">
        <x:v>2025</x:v>
      </x:c>
      <x:c r="D94" s="6" t="str">
        <x:v>9</x:v>
      </x:c>
      <x:c r="E94" s="6" t="str">
        <x:v>26.21905558406854</x:v>
      </x:c>
      <x:c r="F94" s="9" t="str">
        <x:v>grid_cells_within_BIG_polygon</x:v>
      </x:c>
      <x:c r="G94" s="6" t="str">
        <x:v>22</x:v>
      </x:c>
      <x:c r="H94" s="8" t="str">
        <x:v>88.46596534614913</x:v>
      </x:c>
      <x:c r="I94" s="6" t="str">
        <x:v>8.982304293622798</x:v>
      </x:c>
      <x:c r="J94" s="6" t="str">
        <x:v>30</x:v>
      </x:c>
      <x:c r="K94" s="6" t="str">
        <x:v>269.46912880868393</x:v>
      </x:c>
      <x:c r="L94" s="6" t="str">
        <x:v>26.036353882740958</x:v>
      </x:c>
      <x:c r="M94" s="6" t="str">
        <x:v>0.2530737517679277</x:v>
      </x:c>
      <x:c r="N94" s="6" t="str">
        <x:v>88.01566217868854</x:v>
      </x:c>
      <x:c r="O94" s="6" t="str">
        <x:v>0.7859915845846107</x:v>
      </x:c>
      <x:c r="P94" s="6" t="str">
        <x:v>196.95267078429745</x:v>
      </x:c>
      <x:c r="Q94" s="6" t="str">
        <x:v>73.64786408317043</x:v>
      </x:c>
      <x:c r="R94" s="6" t="str">
        <x:v>0.18270170132758068</x:v>
      </x:c>
      <x:c r="S94" s="8" t="str">
        <x:v>0.7219306627070546</x:v>
      </x:c>
      <x:c r="T94" s="6" t="str">
        <x:v>0.4503031674605893</x:v>
      </x:c>
      <x:c r="U94" s="8" t="str">
        <x:v>0.5729109271552447</x:v>
      </x:c>
      <x:c r="V94" s="6" t="str">
        <x:v>72.51645802438648</x:v>
      </x:c>
      <x:c r="W94" s="8" t="str">
        <x:v>0.9846376256410334</x:v>
      </x:c>
      <x:c r="X94" s="6" t="str">
        <x:v>0.8440187290495574</x:v>
      </x:c>
      <x:c r="Y94" s="6" t="str">
        <x:v>2.5149953381327843</x:v>
      </x:c>
      <x:c r="Z94" s="6" t="str">
        <x:v>1.3603149099631324</x:v>
      </x:c>
      <x:c r="AA94" s="6" t="str">
        <x:v>-0.5564079881607347</x:v>
      </x:c>
      <x:c r="AB94" s="6" t="str">
        <x:v>-0.530791555742663</x:v>
      </x:c>
      <x:c r="AC94" s="6" t="str">
        <x:v>-0.17142953891605117</x:v>
      </x:c>
      <x:c r="AD94" s="6" t="str">
        <x:v>0.05793830734922932</x:v>
      </x:c>
      <x:c r="AE94" s="6" t="str">
        <x:v>-0.3672681598728816</x:v>
      </x:c>
      <x:c r="AF94" s="6" t="str">
        <x:v>0.2251025910391268</x:v>
      </x:c>
      <x:c r="AG94" s="6" t="str">
        <x:v>0</x:v>
      </x:c>
      <x:c r="AH94" s="6" t="str">
        <x:v>0</x:v>
      </x:c>
      <x:c r="AI94" s="6" t="str">
        <x:v>2025-09</x:v>
      </x:c>
      <x:c r="AJ94" s="9" t="str">
        <x:v>NASA POWER (MERRA-2 meteorology)</x:v>
      </x:c>
      <x:c r="AK94" s="9" t="str">
        <x:v>Badan Informasi Geospasial (BIG)</x:v>
      </x:c>
      <x:c r="AL94" s="9" t="str">
        <x:v>https://power.larc.nasa.gov/docs/services/api/temporal/monthly/</x:v>
      </x:c>
      <x:c r="AM94" s="9" t="str">
        <x:v>https://geoservices.big.go.id/rbi/rest/services/BATASWILAYAH/BATAS_WILAYAH/MapServer/12</x:v>
      </x:c>
    </x:row>
    <x:row r="95" ht="18" customHeight="1">
      <x:c r="A95" s="6" t="str">
        <x:v>14</x:v>
      </x:c>
      <x:c r="B95" s="6" t="str">
        <x:v>RIAU</x:v>
      </x:c>
      <x:c r="C95" s="6" t="str">
        <x:v>2025</x:v>
      </x:c>
      <x:c r="D95" s="6" t="str">
        <x:v>10</x:v>
      </x:c>
      <x:c r="E95" s="6" t="str">
        <x:v>26.45133661585455</x:v>
      </x:c>
      <x:c r="F95" s="9" t="str">
        <x:v>grid_cells_within_BIG_polygon</x:v>
      </x:c>
      <x:c r="G95" s="6" t="str">
        <x:v>22</x:v>
      </x:c>
      <x:c r="H95" s="8" t="str">
        <x:v>87.52589375606586</x:v>
      </x:c>
      <x:c r="I95" s="6" t="str">
        <x:v>7.301471450861957</x:v>
      </x:c>
      <x:c r="J95" s="6" t="str">
        <x:v>31</x:v>
      </x:c>
      <x:c r="K95" s="6" t="str">
        <x:v>226.34561497672067</x:v>
      </x:c>
      <x:c r="L95" s="6" t="str">
        <x:v>26.136958340160735</x:v>
      </x:c>
      <x:c r="M95" s="6" t="str">
        <x:v>0.23067244423720518</x:v>
      </x:c>
      <x:c r="N95" s="6" t="str">
        <x:v>88.29485612383961</x:v>
      </x:c>
      <x:c r="O95" s="6" t="str">
        <x:v>1.0393688719566607</x:v>
      </x:c>
      <x:c r="P95" s="6" t="str">
        <x:v>256.42261609130134</x:v>
      </x:c>
      <x:c r="Q95" s="6" t="str">
        <x:v>85.84011193886815</x:v>
      </x:c>
      <x:c r="R95" s="6" t="str">
        <x:v>0.3143782756938158</x:v>
      </x:c>
      <x:c r="S95" s="8" t="str">
        <x:v>1.3628774634673495</x:v>
      </x:c>
      <x:c r="T95" s="6" t="str">
        <x:v>-0.7689623677737529</x:v>
      </x:c>
      <x:c r="U95" s="8" t="str">
        <x:v>-0.7398358643607876</x:v>
      </x:c>
      <x:c r="V95" s="6" t="str">
        <x:v>-30.077001114580668</x:v>
      </x:c>
      <x:c r="W95" s="8" t="str">
        <x:v>-0.35038399222965005</x:v>
      </x:c>
      <x:c r="X95" s="6" t="str">
        <x:v>0.7219306627070546</x:v>
      </x:c>
      <x:c r="Y95" s="6" t="str">
        <x:v>0.8440187290495574</x:v>
      </x:c>
      <x:c r="Z95" s="6" t="str">
        <x:v>0.9762756184079876</x:v>
      </x:c>
      <x:c r="AA95" s="6" t="str">
        <x:v>0.5729109271552447</x:v>
      </x:c>
      <x:c r="AB95" s="6" t="str">
        <x:v>-0.5564079881607347</x:v>
      </x:c>
      <x:c r="AC95" s="6" t="str">
        <x:v>-0.24111097512209267</x:v>
      </x:c>
      <x:c r="AD95" s="6" t="str">
        <x:v>0.9846376256410334</x:v>
      </x:c>
      <x:c r="AE95" s="6" t="str">
        <x:v>0.05793830734922932</x:v>
      </x:c>
      <x:c r="AF95" s="6" t="str">
        <x:v>0.23073064692020395</x:v>
      </x:c>
      <x:c r="AG95" s="6" t="str">
        <x:v>0</x:v>
      </x:c>
      <x:c r="AH95" s="6" t="str">
        <x:v>1</x:v>
      </x:c>
      <x:c r="AI95" s="6" t="str">
        <x:v>2025-10</x:v>
      </x:c>
      <x:c r="AJ95" s="9" t="str">
        <x:v>NASA POWER (MERRA-2 meteorology)</x:v>
      </x:c>
      <x:c r="AK95" s="9" t="str">
        <x:v>Badan Informasi Geospasial (BIG)</x:v>
      </x:c>
      <x:c r="AL95" s="9" t="str">
        <x:v>https://power.larc.nasa.gov/docs/services/api/temporal/monthly/</x:v>
      </x:c>
      <x:c r="AM95" s="9" t="str">
        <x:v>https://geoservices.big.go.id/rbi/rest/services/BATASWILAYAH/BATAS_WILAYAH/MapServer/12</x:v>
      </x:c>
    </x:row>
    <x:row r="96" ht="18" customHeight="1">
      <x:c r="A96" s="6" t="str">
        <x:v>14</x:v>
      </x:c>
      <x:c r="B96" s="6" t="str">
        <x:v>RIAU</x:v>
      </x:c>
      <x:c r="C96" s="6" t="str">
        <x:v>2025</x:v>
      </x:c>
      <x:c r="D96" s="6" t="str">
        <x:v>11</x:v>
      </x:c>
      <x:c r="E96" s="6" t="str">
        <x:v>26.102249824744888</x:v>
      </x:c>
      <x:c r="F96" s="9" t="str">
        <x:v>grid_cells_within_BIG_polygon</x:v>
      </x:c>
      <x:c r="G96" s="6" t="str">
        <x:v>22</x:v>
      </x:c>
      <x:c r="H96" s="8" t="str">
        <x:v>89.40226340443347</x:v>
      </x:c>
      <x:c r="I96" s="6" t="str">
        <x:v>7.581236053698514</x:v>
      </x:c>
      <x:c r="J96" s="6" t="str">
        <x:v>30</x:v>
      </x:c>
      <x:c r="K96" s="6" t="str">
        <x:v>227.4370816109554</x:v>
      </x:c>
      <x:c r="L96" s="6" t="str">
        <x:v>25.96047562609863</x:v>
      </x:c>
      <x:c r="M96" s="6" t="str">
        <x:v>0.23362666887991093</x:v>
      </x:c>
      <x:c r="N96" s="6" t="str">
        <x:v>89.82858039600076</x:v>
      </x:c>
      <x:c r="O96" s="6" t="str">
        <x:v>0.7402183574343347</x:v>
      </x:c>
      <x:c r="P96" s="6" t="str">
        <x:v>321.3877619139989</x:v>
      </x:c>
      <x:c r="Q96" s="6" t="str">
        <x:v>72.86026258710075</x:v>
      </x:c>
      <x:c r="R96" s="6" t="str">
        <x:v>0.14177419864625662</x:v>
      </x:c>
      <x:c r="S96" s="8" t="str">
        <x:v>0.6068408171291932</x:v>
      </x:c>
      <x:c r="T96" s="6" t="str">
        <x:v>-0.4263169915672904</x:v>
      </x:c>
      <x:c r="U96" s="8" t="str">
        <x:v>-0.5759340973992384</x:v>
      </x:c>
      <x:c r="V96" s="6" t="str">
        <x:v>-93.95068030304347</x:v>
      </x:c>
      <x:c r="W96" s="8" t="str">
        <x:v>-1.2894639267972743</x:v>
      </x:c>
      <x:c r="X96" s="6" t="str">
        <x:v>1.3628774634673495</x:v>
      </x:c>
      <x:c r="Y96" s="6" t="str">
        <x:v>0.7219306627070546</x:v>
      </x:c>
      <x:c r="Z96" s="6" t="str">
        <x:v>0.8972163144345329</x:v>
      </x:c>
      <x:c r="AA96" s="6" t="str">
        <x:v>-0.7398358643607876</x:v>
      </x:c>
      <x:c r="AB96" s="6" t="str">
        <x:v>0.5729109271552447</x:v>
      </x:c>
      <x:c r="AC96" s="6" t="str">
        <x:v>-0.24761967820159392</x:v>
      </x:c>
      <x:c r="AD96" s="6" t="str">
        <x:v>-0.35038399222965005</x:v>
      </x:c>
      <x:c r="AE96" s="6" t="str">
        <x:v>0.9846376256410334</x:v>
      </x:c>
      <x:c r="AF96" s="6" t="str">
        <x:v>-0.21840343112863056</x:v>
      </x:c>
      <x:c r="AG96" s="6" t="str">
        <x:v>0</x:v>
      </x:c>
      <x:c r="AH96" s="6" t="str">
        <x:v>0</x:v>
      </x:c>
      <x:c r="AI96" s="6" t="str">
        <x:v>2025-11</x:v>
      </x:c>
      <x:c r="AJ96" s="9" t="str">
        <x:v>NASA POWER (MERRA-2 meteorology)</x:v>
      </x:c>
      <x:c r="AK96" s="9" t="str">
        <x:v>Badan Informasi Geospasial (BIG)</x:v>
      </x:c>
      <x:c r="AL96" s="9" t="str">
        <x:v>https://power.larc.nasa.gov/docs/services/api/temporal/monthly/</x:v>
      </x:c>
      <x:c r="AM96" s="9" t="str">
        <x:v>https://geoservices.big.go.id/rbi/rest/services/BATASWILAYAH/BATAS_WILAYAH/MapServer/12</x:v>
      </x:c>
    </x:row>
    <x:row r="97" ht="18" customHeight="1">
      <x:c r="A97" s="6" t="str">
        <x:v>14</x:v>
      </x:c>
      <x:c r="B97" s="6" t="str">
        <x:v>RIAU</x:v>
      </x:c>
      <x:c r="C97" s="6" t="str">
        <x:v>2025</x:v>
      </x:c>
      <x:c r="D97" s="6" t="str">
        <x:v>12</x:v>
      </x:c>
      <x:c r="E97" s="6" t="str">
        <x:v>25.772697393788494</x:v>
      </x:c>
      <x:c r="F97" s="9" t="str">
        <x:v>grid_cells_within_BIG_polygon</x:v>
      </x:c>
      <x:c r="G97" s="6" t="str">
        <x:v>22</x:v>
      </x:c>
      <x:c r="H97" s="8" t="str">
        <x:v>91.49870104321361</x:v>
      </x:c>
      <x:c r="I97" s="6" t="str">
        <x:v>16.965033468734422</x:v>
      </x:c>
      <x:c r="J97" s="6" t="str">
        <x:v>31</x:v>
      </x:c>
      <x:c r="K97" s="6" t="str">
        <x:v>525.9160375307671</x:v>
      </x:c>
      <x:c r="L97" s="6" t="str">
        <x:v>25.64007654031146</x:v>
      </x:c>
      <x:c r="M97" s="6" t="str">
        <x:v>0.2845319823814386</x:v>
      </x:c>
      <x:c r="N97" s="6" t="str">
        <x:v>90.47325020548554</x:v>
      </x:c>
      <x:c r="O97" s="6" t="str">
        <x:v>0.6346773077417226</x:v>
      </x:c>
      <x:c r="P97" s="6" t="str">
        <x:v>271.7756734396024</x:v>
      </x:c>
      <x:c r="Q97" s="6" t="str">
        <x:v>74.71865338853905</x:v>
      </x:c>
      <x:c r="R97" s="6" t="str">
        <x:v>0.1326208534770359</x:v>
      </x:c>
      <x:c r="S97" s="8" t="str">
        <x:v>0.4661017449323032</x:v>
      </x:c>
      <x:c r="T97" s="6" t="str">
        <x:v>1.0254508377280729</x:v>
      </x:c>
      <x:c r="U97" s="8" t="str">
        <x:v>1.615704272422755</x:v>
      </x:c>
      <x:c r="V97" s="6" t="str">
        <x:v>254.1403640911647</x:v>
      </x:c>
      <x:c r="W97" s="8" t="str">
        <x:v>3.401297434653002</x:v>
      </x:c>
      <x:c r="X97" s="6" t="str">
        <x:v>0.6068408171291932</x:v>
      </x:c>
      <x:c r="Y97" s="6" t="str">
        <x:v>1.3628774634673495</x:v>
      </x:c>
      <x:c r="Z97" s="6" t="str">
        <x:v>0.8119400085096156</x:v>
      </x:c>
      <x:c r="AA97" s="6" t="str">
        <x:v>-0.5759340973992384</x:v>
      </x:c>
      <x:c r="AB97" s="6" t="str">
        <x:v>-0.7398358643607876</x:v>
      </x:c>
      <x:c r="AC97" s="6" t="str">
        <x:v>0.09997810355424286</x:v>
      </x:c>
      <x:c r="AD97" s="6" t="str">
        <x:v>-1.2894639267972743</x:v>
      </x:c>
      <x:c r="AE97" s="6" t="str">
        <x:v>-0.35038399222965005</x:v>
      </x:c>
      <x:c r="AF97" s="6" t="str">
        <x:v>0.5871498385420256</x:v>
      </x:c>
      <x:c r="AG97" s="6" t="str">
        <x:v>1</x:v>
      </x:c>
      <x:c r="AH97" s="6" t="str">
        <x:v>0</x:v>
      </x:c>
      <x:c r="AI97" s="6" t="str">
        <x:v>2025-12</x:v>
      </x:c>
      <x:c r="AJ97" s="9" t="str">
        <x:v>NASA POWER (MERRA-2 meteorology)</x:v>
      </x:c>
      <x:c r="AK97" s="9" t="str">
        <x:v>Badan Informasi Geospasial (BIG)</x:v>
      </x:c>
      <x:c r="AL97" s="9" t="str">
        <x:v>https://power.larc.nasa.gov/docs/services/api/temporal/monthly/</x:v>
      </x:c>
      <x:c r="AM97" s="9" t="str">
        <x:v>https://geoservices.big.go.id/rbi/rest/services/BATASWILAYAH/BATAS_WILAYAH/MapServer/12</x:v>
      </x:c>
    </x:row>
    <x:row r="98" ht="18" customHeight="1">
      <x:c r="A98" s="6" t="str">
        <x:v>15</x:v>
      </x:c>
      <x:c r="B98" s="6" t="str">
        <x:v>JAMBI</x:v>
      </x:c>
      <x:c r="C98" s="6" t="str">
        <x:v>2024</x:v>
      </x:c>
      <x:c r="D98" s="6" t="str">
        <x:v>1</x:v>
      </x:c>
      <x:c r="E98" s="6" t="str">
        <x:v>25.517889503635704</x:v>
      </x:c>
      <x:c r="F98" s="9" t="str">
        <x:v>grid_cells_within_BIG_polygon</x:v>
      </x:c>
      <x:c r="G98" s="6" t="str">
        <x:v>13</x:v>
      </x:c>
      <x:c r="H98" s="8" t="str">
        <x:v>90.22080725646724</x:v>
      </x:c>
      <x:c r="I98" s="6" t="str">
        <x:v>9.512982446310044</x:v>
      </x:c>
      <x:c r="J98" s="6" t="str">
        <x:v>31</x:v>
      </x:c>
      <x:c r="K98" s="6" t="str">
        <x:v>294.90245583561136</x:v>
      </x:c>
      <x:c r="L98" s="6" t="str">
        <x:v>24.69360109984671</x:v>
      </x:c>
      <x:c r="M98" s="6" t="str">
        <x:v>0.41493832146973303</x:v>
      </x:c>
      <x:c r="N98" s="6" t="str">
        <x:v>89.15417187165097</x:v>
      </x:c>
      <x:c r="O98" s="6" t="str">
        <x:v>1.1189668009590283</x:v>
      </x:c>
      <x:c r="P98" s="6" t="str">
        <x:v>173.19504730010556</x:v>
      </x:c>
      <x:c r="Q98" s="6" t="str">
        <x:v>51.10049792690695</x:v>
      </x:c>
      <x:c r="R98" s="6" t="str">
        <x:v>0.8242884037889944</x:v>
      </x:c>
      <x:c r="S98" s="8" t="str">
        <x:v>1.986532361892539</x:v>
      </x:c>
      <x:c r="T98" s="6" t="str">
        <x:v>1.0666353848162657</x:v>
      </x:c>
      <x:c r="U98" s="8" t="str">
        <x:v>0.9532323782100496</x:v>
      </x:c>
      <x:c r="V98" s="6" t="str">
        <x:v>121.7074085355058</x:v>
      </x:c>
      <x:c r="W98" s="8" t="str">
        <x:v>2.3817264698593243</x:v>
      </x:c>
      <x:c r="X98" s="6" t="str">
        <x:v>3.6395338309957936</x:v>
      </x:c>
      <x:c r="Y98" s="6" t="str">
        <x:v>3.982122501139334</x:v>
      </x:c>
      <x:c r="Z98" s="6" t="str">
        <x:v>3.2027295646758893</x:v>
      </x:c>
      <x:c r="AA98" s="6" t="str">
        <x:v>0.04760576651920423</x:v>
      </x:c>
      <x:c r="AB98" s="6" t="str">
        <x:v>-0.8860027349229188</x:v>
      </x:c>
      <x:c r="AC98" s="6" t="str">
        <x:v>0.038278469935444925</x:v>
      </x:c>
      <x:c r="AD98" s="6" t="str">
        <x:v>1.6468854900427579</x:v>
      </x:c>
      <x:c r="AE98" s="6" t="str">
        <x:v>0.24114805310189513</x:v>
      </x:c>
      <x:c r="AF98" s="6" t="str">
        <x:v>1.4232533376679923</x:v>
      </x:c>
      <x:c r="AG98" s="6" t="str">
        <x:v>1</x:v>
      </x:c>
      <x:c r="AH98" s="6" t="str">
        <x:v>1</x:v>
      </x:c>
      <x:c r="AI98" s="6" t="str">
        <x:v>2024-01</x:v>
      </x:c>
      <x:c r="AJ98" s="9" t="str">
        <x:v>NASA POWER (MERRA-2 meteorology)</x:v>
      </x:c>
      <x:c r="AK98" s="9" t="str">
        <x:v>Badan Informasi Geospasial (BIG)</x:v>
      </x:c>
      <x:c r="AL98" s="9" t="str">
        <x:v>https://power.larc.nasa.gov/docs/services/api/temporal/monthly/</x:v>
      </x:c>
      <x:c r="AM98" s="9" t="str">
        <x:v>https://geoservices.big.go.id/rbi/rest/services/BATASWILAYAH/BATAS_WILAYAH/MapServer/12</x:v>
      </x:c>
    </x:row>
    <x:row r="99" ht="18" customHeight="1">
      <x:c r="A99" s="6" t="str">
        <x:v>15</x:v>
      </x:c>
      <x:c r="B99" s="6" t="str">
        <x:v>JAMBI</x:v>
      </x:c>
      <x:c r="C99" s="6" t="str">
        <x:v>2024</x:v>
      </x:c>
      <x:c r="D99" s="6" t="str">
        <x:v>2</x:v>
      </x:c>
      <x:c r="E99" s="6" t="str">
        <x:v>26.021760392838413</x:v>
      </x:c>
      <x:c r="F99" s="9" t="str">
        <x:v>grid_cells_within_BIG_polygon</x:v>
      </x:c>
      <x:c r="G99" s="6" t="str">
        <x:v>13</x:v>
      </x:c>
      <x:c r="H99" s="8" t="str">
        <x:v>89.9354337193475</x:v>
      </x:c>
      <x:c r="I99" s="6" t="str">
        <x:v>11.227907759344959</x:v>
      </x:c>
      <x:c r="J99" s="6" t="str">
        <x:v>29</x:v>
      </x:c>
      <x:c r="K99" s="6" t="str">
        <x:v>325.60932502100377</x:v>
      </x:c>
      <x:c r="L99" s="6" t="str">
        <x:v>24.904812322058884</x:v>
      </x:c>
      <x:c r="M99" s="6" t="str">
        <x:v>0.4110740568571087</x:v>
      </x:c>
      <x:c r="N99" s="6" t="str">
        <x:v>88.50347131194333</x:v>
      </x:c>
      <x:c r="O99" s="6" t="str">
        <x:v>1.0184191794265016</x:v>
      </x:c>
      <x:c r="P99" s="6" t="str">
        <x:v>165.7233189106696</x:v>
      </x:c>
      <x:c r="Q99" s="6" t="str">
        <x:v>63.0265644242896</x:v>
      </x:c>
      <x:c r="R99" s="6" t="str">
        <x:v>1.1169480707795287</x:v>
      </x:c>
      <x:c r="S99" s="8" t="str">
        <x:v>2.717145614391777</x:v>
      </x:c>
      <x:c r="T99" s="6" t="str">
        <x:v>1.4319624074041712</x:v>
      </x:c>
      <x:c r="U99" s="8" t="str">
        <x:v>1.406063864793421</x:v>
      </x:c>
      <x:c r="V99" s="6" t="str">
        <x:v>159.88600611033416</x:v>
      </x:c>
      <x:c r="W99" s="8" t="str">
        <x:v>2.5368034505894186</x:v>
      </x:c>
      <x:c r="X99" s="6" t="str">
        <x:v>1.986532361892539</x:v>
      </x:c>
      <x:c r="Y99" s="6" t="str">
        <x:v>3.6395338309957936</x:v>
      </x:c>
      <x:c r="Z99" s="6" t="str">
        <x:v>2.7810706024267033</x:v>
      </x:c>
      <x:c r="AA99" s="6" t="str">
        <x:v>0.9532323782100496</x:v>
      </x:c>
      <x:c r="AB99" s="6" t="str">
        <x:v>0.04760576651920423</x:v>
      </x:c>
      <x:c r="AC99" s="6" t="str">
        <x:v>0.8023006698408915</x:v>
      </x:c>
      <x:c r="AD99" s="6" t="str">
        <x:v>2.3817264698593243</x:v>
      </x:c>
      <x:c r="AE99" s="6" t="str">
        <x:v>1.6468854900427579</x:v>
      </x:c>
      <x:c r="AF99" s="6" t="str">
        <x:v>2.188471803497167</x:v>
      </x:c>
      <x:c r="AG99" s="6" t="str">
        <x:v>1</x:v>
      </x:c>
      <x:c r="AH99" s="6" t="str">
        <x:v>1</x:v>
      </x:c>
      <x:c r="AI99" s="6" t="str">
        <x:v>2024-02</x:v>
      </x:c>
      <x:c r="AJ99" s="9" t="str">
        <x:v>NASA POWER (MERRA-2 meteorology)</x:v>
      </x:c>
      <x:c r="AK99" s="9" t="str">
        <x:v>Badan Informasi Geospasial (BIG)</x:v>
      </x:c>
      <x:c r="AL99" s="9" t="str">
        <x:v>https://power.larc.nasa.gov/docs/services/api/temporal/monthly/</x:v>
      </x:c>
      <x:c r="AM99" s="9" t="str">
        <x:v>https://geoservices.big.go.id/rbi/rest/services/BATASWILAYAH/BATAS_WILAYAH/MapServer/12</x:v>
      </x:c>
    </x:row>
    <x:row r="100" ht="18" customHeight="1">
      <x:c r="A100" s="6" t="str">
        <x:v>15</x:v>
      </x:c>
      <x:c r="B100" s="6" t="str">
        <x:v>JAMBI</x:v>
      </x:c>
      <x:c r="C100" s="6" t="str">
        <x:v>2024</x:v>
      </x:c>
      <x:c r="D100" s="6" t="str">
        <x:v>3</x:v>
      </x:c>
      <x:c r="E100" s="6" t="str">
        <x:v>26.17716393304091</x:v>
      </x:c>
      <x:c r="F100" s="9" t="str">
        <x:v>grid_cells_within_BIG_polygon</x:v>
      </x:c>
      <x:c r="G100" s="6" t="str">
        <x:v>13</x:v>
      </x:c>
      <x:c r="H100" s="8" t="str">
        <x:v>88.07388952307383</x:v>
      </x:c>
      <x:c r="I100" s="6" t="str">
        <x:v>7.225695550068516</x:v>
      </x:c>
      <x:c r="J100" s="6" t="str">
        <x:v>31</x:v>
      </x:c>
      <x:c r="K100" s="6" t="str">
        <x:v>223.996562052124</x:v>
      </x:c>
      <x:c r="L100" s="6" t="str">
        <x:v>25.24728111518267</x:v>
      </x:c>
      <x:c r="M100" s="6" t="str">
        <x:v>0.3649077202368296</x:v>
      </x:c>
      <x:c r="N100" s="6" t="str">
        <x:v>88.17046782745199</x:v>
      </x:c>
      <x:c r="O100" s="6" t="str">
        <x:v>1.0203976768048328</x:v>
      </x:c>
      <x:c r="P100" s="6" t="str">
        <x:v>215.74907189944236</x:v>
      </x:c>
      <x:c r="Q100" s="6" t="str">
        <x:v>88.89214939814723</x:v>
      </x:c>
      <x:c r="R100" s="6" t="str">
        <x:v>0.929882817858239</x:v>
      </x:c>
      <x:c r="S100" s="8" t="str">
        <x:v>2.5482684149700465</x:v>
      </x:c>
      <x:c r="T100" s="6" t="str">
        <x:v>-0.09657830437815562</x:v>
      </x:c>
      <x:c r="U100" s="8" t="str">
        <x:v>-0.09464771095968277</x:v>
      </x:c>
      <x:c r="V100" s="6" t="str">
        <x:v>8.24749015268165</x:v>
      </x:c>
      <x:c r="W100" s="8" t="str">
        <x:v>0.09278086094803724</x:v>
      </x:c>
      <x:c r="X100" s="6" t="str">
        <x:v>2.717145614391777</x:v>
      </x:c>
      <x:c r="Y100" s="6" t="str">
        <x:v>1.986532361892539</x:v>
      </x:c>
      <x:c r="Z100" s="6" t="str">
        <x:v>2.417315463751454</x:v>
      </x:c>
      <x:c r="AA100" s="6" t="str">
        <x:v>1.406063864793421</x:v>
      </x:c>
      <x:c r="AB100" s="6" t="str">
        <x:v>0.9532323782100496</x:v>
      </x:c>
      <x:c r="AC100" s="6" t="str">
        <x:v>0.7548828440145958</x:v>
      </x:c>
      <x:c r="AD100" s="6" t="str">
        <x:v>2.5368034505894186</x:v>
      </x:c>
      <x:c r="AE100" s="6" t="str">
        <x:v>2.3817264698593243</x:v>
      </x:c>
      <x:c r="AF100" s="6" t="str">
        <x:v>1.67043692713226</x:v>
      </x:c>
      <x:c r="AG100" s="6" t="str">
        <x:v>0</x:v>
      </x:c>
      <x:c r="AH100" s="6" t="str">
        <x:v>1</x:v>
      </x:c>
      <x:c r="AI100" s="6" t="str">
        <x:v>2024-03</x:v>
      </x:c>
      <x:c r="AJ100" s="9" t="str">
        <x:v>NASA POWER (MERRA-2 meteorology)</x:v>
      </x:c>
      <x:c r="AK100" s="9" t="str">
        <x:v>Badan Informasi Geospasial (BIG)</x:v>
      </x:c>
      <x:c r="AL100" s="9" t="str">
        <x:v>https://power.larc.nasa.gov/docs/services/api/temporal/monthly/</x:v>
      </x:c>
      <x:c r="AM100" s="9" t="str">
        <x:v>https://geoservices.big.go.id/rbi/rest/services/BATASWILAYAH/BATAS_WILAYAH/MapServer/12</x:v>
      </x:c>
    </x:row>
    <x:row r="101" ht="18" customHeight="1">
      <x:c r="A101" s="6" t="str">
        <x:v>15</x:v>
      </x:c>
      <x:c r="B101" s="6" t="str">
        <x:v>JAMBI</x:v>
      </x:c>
      <x:c r="C101" s="6" t="str">
        <x:v>2024</x:v>
      </x:c>
      <x:c r="D101" s="6" t="str">
        <x:v>4</x:v>
      </x:c>
      <x:c r="E101" s="6" t="str">
        <x:v>26.737162849255505</x:v>
      </x:c>
      <x:c r="F101" s="9" t="str">
        <x:v>grid_cells_within_BIG_polygon</x:v>
      </x:c>
      <x:c r="G101" s="6" t="str">
        <x:v>13</x:v>
      </x:c>
      <x:c r="H101" s="8" t="str">
        <x:v>89.18299328461705</x:v>
      </x:c>
      <x:c r="I101" s="6" t="str">
        <x:v>10.68219437826617</x:v>
      </x:c>
      <x:c r="J101" s="6" t="str">
        <x:v>30</x:v>
      </x:c>
      <x:c r="K101" s="6" t="str">
        <x:v>320.4658313479851</x:v>
      </x:c>
      <x:c r="L101" s="6" t="str">
        <x:v>25.550366619541542</x:v>
      </x:c>
      <x:c r="M101" s="6" t="str">
        <x:v>0.3427227841201291</x:v>
      </x:c>
      <x:c r="N101" s="6" t="str">
        <x:v>88.66206757401542</x:v>
      </x:c>
      <x:c r="O101" s="6" t="str">
        <x:v>0.7448066972419146</x:v>
      </x:c>
      <x:c r="P101" s="6" t="str">
        <x:v>221.15434917119495</x:v>
      </x:c>
      <x:c r="Q101" s="6" t="str">
        <x:v>53.00836915535091</x:v>
      </x:c>
      <x:c r="R101" s="6" t="str">
        <x:v>1.1867962297139627</x:v>
      </x:c>
      <x:c r="S101" s="8" t="str">
        <x:v>3.462846022218278</x:v>
      </x:c>
      <x:c r="T101" s="6" t="str">
        <x:v>0.520925710601631</x:v>
      </x:c>
      <x:c r="U101" s="8" t="str">
        <x:v>0.6994106155740344</x:v>
      </x:c>
      <x:c r="V101" s="6" t="str">
        <x:v>99.31148217679015</x:v>
      </x:c>
      <x:c r="W101" s="8" t="str">
        <x:v>1.8735057078579296</x:v>
      </x:c>
      <x:c r="X101" s="6" t="str">
        <x:v>2.5482684149700465</x:v>
      </x:c>
      <x:c r="Y101" s="6" t="str">
        <x:v>2.717145614391777</x:v>
      </x:c>
      <x:c r="Z101" s="6" t="str">
        <x:v>2.909420017193367</x:v>
      </x:c>
      <x:c r="AA101" s="6" t="str">
        <x:v>-0.09464771095968277</x:v>
      </x:c>
      <x:c r="AB101" s="6" t="str">
        <x:v>1.406063864793421</x:v>
      </x:c>
      <x:c r="AC101" s="6" t="str">
        <x:v>0.6702755898025908</x:v>
      </x:c>
      <x:c r="AD101" s="6" t="str">
        <x:v>0.09278086094803724</x:v>
      </x:c>
      <x:c r="AE101" s="6" t="str">
        <x:v>2.5368034505894186</x:v>
      </x:c>
      <x:c r="AF101" s="6" t="str">
        <x:v>1.5010300064651283</x:v>
      </x:c>
      <x:c r="AG101" s="6" t="str">
        <x:v>1</x:v>
      </x:c>
      <x:c r="AH101" s="6" t="str">
        <x:v>1</x:v>
      </x:c>
      <x:c r="AI101" s="6" t="str">
        <x:v>2024-04</x:v>
      </x:c>
      <x:c r="AJ101" s="9" t="str">
        <x:v>NASA POWER (MERRA-2 meteorology)</x:v>
      </x:c>
      <x:c r="AK101" s="9" t="str">
        <x:v>Badan Informasi Geospasial (BIG)</x:v>
      </x:c>
      <x:c r="AL101" s="9" t="str">
        <x:v>https://power.larc.nasa.gov/docs/services/api/temporal/monthly/</x:v>
      </x:c>
      <x:c r="AM101" s="9" t="str">
        <x:v>https://geoservices.big.go.id/rbi/rest/services/BATASWILAYAH/BATAS_WILAYAH/MapServer/12</x:v>
      </x:c>
    </x:row>
    <x:row r="102" ht="18" customHeight="1">
      <x:c r="A102" s="6" t="str">
        <x:v>15</x:v>
      </x:c>
      <x:c r="B102" s="6" t="str">
        <x:v>JAMBI</x:v>
      </x:c>
      <x:c r="C102" s="6" t="str">
        <x:v>2024</x:v>
      </x:c>
      <x:c r="D102" s="6" t="str">
        <x:v>5</x:v>
      </x:c>
      <x:c r="E102" s="6" t="str">
        <x:v>26.580224518628555</x:v>
      </x:c>
      <x:c r="F102" s="9" t="str">
        <x:v>grid_cells_within_BIG_polygon</x:v>
      </x:c>
      <x:c r="G102" s="6" t="str">
        <x:v>13</x:v>
      </x:c>
      <x:c r="H102" s="8" t="str">
        <x:v>90.29381202612956</x:v>
      </x:c>
      <x:c r="I102" s="6" t="str">
        <x:v>9.100783378388021</x:v>
      </x:c>
      <x:c r="J102" s="6" t="str">
        <x:v>31</x:v>
      </x:c>
      <x:c r="K102" s="6" t="str">
        <x:v>282.12428473002865</x:v>
      </x:c>
      <x:c r="L102" s="6" t="str">
        <x:v>25.63210942570329</x:v>
      </x:c>
      <x:c r="M102" s="6" t="str">
        <x:v>0.3385120449155338</x:v>
      </x:c>
      <x:c r="N102" s="6" t="str">
        <x:v>88.90324909056802</x:v>
      </x:c>
      <x:c r="O102" s="6" t="str">
        <x:v>0.9641357765383375</x:v>
      </x:c>
      <x:c r="P102" s="6" t="str">
        <x:v>162.57212640469808</x:v>
      </x:c>
      <x:c r="Q102" s="6" t="str">
        <x:v>55.29857729028777</x:v>
      </x:c>
      <x:c r="R102" s="6" t="str">
        <x:v>0.9481150929252635</x:v>
      </x:c>
      <x:c r="S102" s="8" t="str">
        <x:v>2.8008311880359797</x:v>
      </x:c>
      <x:c r="T102" s="6" t="str">
        <x:v>1.3905629355615332</x:v>
      </x:c>
      <x:c r="U102" s="8" t="str">
        <x:v>1.4422895295455718</x:v>
      </x:c>
      <x:c r="V102" s="6" t="str">
        <x:v>119.55215832533057</x:v>
      </x:c>
      <x:c r="W102" s="8" t="str">
        <x:v>2.161939134487061</x:v>
      </x:c>
      <x:c r="X102" s="6" t="str">
        <x:v>3.462846022218278</x:v>
      </x:c>
      <x:c r="Y102" s="6" t="str">
        <x:v>2.5482684149700465</x:v>
      </x:c>
      <x:c r="Z102" s="6" t="str">
        <x:v>2.9373152084081013</x:v>
      </x:c>
      <x:c r="AA102" s="6" t="str">
        <x:v>0.6994106155740344</x:v>
      </x:c>
      <x:c r="AB102" s="6" t="str">
        <x:v>-0.09464771095968277</x:v>
      </x:c>
      <x:c r="AC102" s="6" t="str">
        <x:v>0.682350811386641</x:v>
      </x:c>
      <x:c r="AD102" s="6" t="str">
        <x:v>1.8735057078579296</x:v>
      </x:c>
      <x:c r="AE102" s="6" t="str">
        <x:v>0.09278086094803724</x:v>
      </x:c>
      <x:c r="AF102" s="6" t="str">
        <x:v>1.3760752344310092</x:v>
      </x:c>
      <x:c r="AG102" s="6" t="str">
        <x:v>1</x:v>
      </x:c>
      <x:c r="AH102" s="6" t="str">
        <x:v>1</x:v>
      </x:c>
      <x:c r="AI102" s="6" t="str">
        <x:v>2024-05</x:v>
      </x:c>
      <x:c r="AJ102" s="9" t="str">
        <x:v>NASA POWER (MERRA-2 meteorology)</x:v>
      </x:c>
      <x:c r="AK102" s="9" t="str">
        <x:v>Badan Informasi Geospasial (BIG)</x:v>
      </x:c>
      <x:c r="AL102" s="9" t="str">
        <x:v>https://power.larc.nasa.gov/docs/services/api/temporal/monthly/</x:v>
      </x:c>
      <x:c r="AM102" s="9" t="str">
        <x:v>https://geoservices.big.go.id/rbi/rest/services/BATASWILAYAH/BATAS_WILAYAH/MapServer/12</x:v>
      </x:c>
    </x:row>
    <x:row r="103" ht="18" customHeight="1">
      <x:c r="A103" s="6" t="str">
        <x:v>15</x:v>
      </x:c>
      <x:c r="B103" s="6" t="str">
        <x:v>JAMBI</x:v>
      </x:c>
      <x:c r="C103" s="6" t="str">
        <x:v>2024</x:v>
      </x:c>
      <x:c r="D103" s="6" t="str">
        <x:v>6</x:v>
      </x:c>
      <x:c r="E103" s="6" t="str">
        <x:v>25.900242332651434</x:v>
      </x:c>
      <x:c r="F103" s="9" t="str">
        <x:v>grid_cells_within_BIG_polygon</x:v>
      </x:c>
      <x:c r="G103" s="6" t="str">
        <x:v>13</x:v>
      </x:c>
      <x:c r="H103" s="8" t="str">
        <x:v>89.26914598128532</x:v>
      </x:c>
      <x:c r="I103" s="6" t="str">
        <x:v>7.542300529883337</x:v>
      </x:c>
      <x:c r="J103" s="6" t="str">
        <x:v>30</x:v>
      </x:c>
      <x:c r="K103" s="6" t="str">
        <x:v>226.26901589650012</x:v>
      </x:c>
      <x:c r="L103" s="6" t="str">
        <x:v>25.143000724081514</x:v>
      </x:c>
      <x:c r="M103" s="6" t="str">
        <x:v>0.26567119462288996</x:v>
      </x:c>
      <x:c r="N103" s="6" t="str">
        <x:v>88.40417104314346</x:v>
      </x:c>
      <x:c r="O103" s="6" t="str">
        <x:v>1.2395628000946932</x:v>
      </x:c>
      <x:c r="P103" s="6" t="str">
        <x:v>114.83828730674401</x:v>
      </x:c>
      <x:c r="Q103" s="6" t="str">
        <x:v>44.45384939744618</x:v>
      </x:c>
      <x:c r="R103" s="6" t="str">
        <x:v>0.7572416085699203</x:v>
      </x:c>
      <x:c r="S103" s="8" t="str">
        <x:v>2.8502962454954726</x:v>
      </x:c>
      <x:c r="T103" s="6" t="str">
        <x:v>0.8649749381418559</x:v>
      </x:c>
      <x:c r="U103" s="8" t="str">
        <x:v>0.6978064669864071</x:v>
      </x:c>
      <x:c r="V103" s="6" t="str">
        <x:v>111.43072858975611</x:v>
      </x:c>
      <x:c r="W103" s="8" t="str">
        <x:v>2.5066609551288415</x:v>
      </x:c>
      <x:c r="X103" s="6" t="str">
        <x:v>2.8008311880359797</x:v>
      </x:c>
      <x:c r="Y103" s="6" t="str">
        <x:v>3.462846022218278</x:v>
      </x:c>
      <x:c r="Z103" s="6" t="str">
        <x:v>3.037991151916577</x:v>
      </x:c>
      <x:c r="AA103" s="6" t="str">
        <x:v>1.4422895295455718</x:v>
      </x:c>
      <x:c r="AB103" s="6" t="str">
        <x:v>0.6994106155740344</x:v>
      </x:c>
      <x:c r="AC103" s="6" t="str">
        <x:v>0.9465022040353377</x:v>
      </x:c>
      <x:c r="AD103" s="6" t="str">
        <x:v>2.161939134487061</x:v>
      </x:c>
      <x:c r="AE103" s="6" t="str">
        <x:v>1.8735057078579296</x:v>
      </x:c>
      <x:c r="AF103" s="6" t="str">
        <x:v>2.180701932491277</x:v>
      </x:c>
      <x:c r="AG103" s="6" t="str">
        <x:v>1</x:v>
      </x:c>
      <x:c r="AH103" s="6" t="str">
        <x:v>1</x:v>
      </x:c>
      <x:c r="AI103" s="6" t="str">
        <x:v>2024-06</x:v>
      </x:c>
      <x:c r="AJ103" s="9" t="str">
        <x:v>NASA POWER (MERRA-2 meteorology)</x:v>
      </x:c>
      <x:c r="AK103" s="9" t="str">
        <x:v>Badan Informasi Geospasial (BIG)</x:v>
      </x:c>
      <x:c r="AL103" s="9" t="str">
        <x:v>https://power.larc.nasa.gov/docs/services/api/temporal/monthly/</x:v>
      </x:c>
      <x:c r="AM103" s="9" t="str">
        <x:v>https://geoservices.big.go.id/rbi/rest/services/BATASWILAYAH/BATAS_WILAYAH/MapServer/12</x:v>
      </x:c>
    </x:row>
    <x:row r="104" ht="18" customHeight="1">
      <x:c r="A104" s="6" t="str">
        <x:v>15</x:v>
      </x:c>
      <x:c r="B104" s="6" t="str">
        <x:v>JAMBI</x:v>
      </x:c>
      <x:c r="C104" s="6" t="str">
        <x:v>2024</x:v>
      </x:c>
      <x:c r="D104" s="6" t="str">
        <x:v>7</x:v>
      </x:c>
      <x:c r="E104" s="6" t="str">
        <x:v>25.70638726543194</x:v>
      </x:c>
      <x:c r="F104" s="9" t="str">
        <x:v>grid_cells_within_BIG_polygon</x:v>
      </x:c>
      <x:c r="G104" s="6" t="str">
        <x:v>13</x:v>
      </x:c>
      <x:c r="H104" s="8" t="str">
        <x:v>88.45762083118903</x:v>
      </x:c>
      <x:c r="I104" s="6" t="str">
        <x:v>2.6329069133997822</x:v>
      </x:c>
      <x:c r="J104" s="6" t="str">
        <x:v>31</x:v>
      </x:c>
      <x:c r="K104" s="6" t="str">
        <x:v>81.62011431539325</x:v>
      </x:c>
      <x:c r="L104" s="6" t="str">
        <x:v>24.78789684023244</x:v>
      </x:c>
      <x:c r="M104" s="6" t="str">
        <x:v>0.2692430339211516</x:v>
      </x:c>
      <x:c r="N104" s="6" t="str">
        <x:v>88.06451388494564</x:v>
      </x:c>
      <x:c r="O104" s="6" t="str">
        <x:v>0.9517376012482985</x:v>
      </x:c>
      <x:c r="P104" s="6" t="str">
        <x:v>118.4421707197047</x:v>
      </x:c>
      <x:c r="Q104" s="6" t="str">
        <x:v>49.76664050366667</x:v>
      </x:c>
      <x:c r="R104" s="6" t="str">
        <x:v>0.9184904251994972</x:v>
      </x:c>
      <x:c r="S104" s="8" t="str">
        <x:v>3.411380461076215</x:v>
      </x:c>
      <x:c r="T104" s="6" t="str">
        <x:v>0.3931069462433925</x:v>
      </x:c>
      <x:c r="U104" s="8" t="str">
        <x:v>0.4130413106803741</x:v>
      </x:c>
      <x:c r="V104" s="6" t="str">
        <x:v>-36.82205640431145</x:v>
      </x:c>
      <x:c r="W104" s="8" t="str">
        <x:v>-0.7398943555693397</x:v>
      </x:c>
      <x:c r="X104" s="6" t="str">
        <x:v>2.8502962454954726</x:v>
      </x:c>
      <x:c r="Y104" s="6" t="str">
        <x:v>2.8008311880359797</x:v>
      </x:c>
      <x:c r="Z104" s="6" t="str">
        <x:v>3.0208359648692222</x:v>
      </x:c>
      <x:c r="AA104" s="6" t="str">
        <x:v>0.6978064669864071</x:v>
      </x:c>
      <x:c r="AB104" s="6" t="str">
        <x:v>1.4422895295455718</x:v>
      </x:c>
      <x:c r="AC104" s="6" t="str">
        <x:v>0.8510457690707841</x:v>
      </x:c>
      <x:c r="AD104" s="6" t="str">
        <x:v>2.5066609551288415</x:v>
      </x:c>
      <x:c r="AE104" s="6" t="str">
        <x:v>2.161939134487061</x:v>
      </x:c>
      <x:c r="AF104" s="6" t="str">
        <x:v>1.3095685780155206</x:v>
      </x:c>
      <x:c r="AG104" s="6" t="str">
        <x:v>0</x:v>
      </x:c>
      <x:c r="AH104" s="6" t="str">
        <x:v>1</x:v>
      </x:c>
      <x:c r="AI104" s="6" t="str">
        <x:v>2024-07</x:v>
      </x:c>
      <x:c r="AJ104" s="9" t="str">
        <x:v>NASA POWER (MERRA-2 meteorology)</x:v>
      </x:c>
      <x:c r="AK104" s="9" t="str">
        <x:v>Badan Informasi Geospasial (BIG)</x:v>
      </x:c>
      <x:c r="AL104" s="9" t="str">
        <x:v>https://power.larc.nasa.gov/docs/services/api/temporal/monthly/</x:v>
      </x:c>
      <x:c r="AM104" s="9" t="str">
        <x:v>https://geoservices.big.go.id/rbi/rest/services/BATASWILAYAH/BATAS_WILAYAH/MapServer/12</x:v>
      </x:c>
    </x:row>
    <x:row r="105" ht="18" customHeight="1">
      <x:c r="A105" s="6" t="str">
        <x:v>15</x:v>
      </x:c>
      <x:c r="B105" s="6" t="str">
        <x:v>JAMBI</x:v>
      </x:c>
      <x:c r="C105" s="6" t="str">
        <x:v>2024</x:v>
      </x:c>
      <x:c r="D105" s="6" t="str">
        <x:v>8</x:v>
      </x:c>
      <x:c r="E105" s="6" t="str">
        <x:v>25.614858715735302</x:v>
      </x:c>
      <x:c r="F105" s="9" t="str">
        <x:v>grid_cells_within_BIG_polygon</x:v>
      </x:c>
      <x:c r="G105" s="6" t="str">
        <x:v>13</x:v>
      </x:c>
      <x:c r="H105" s="8" t="str">
        <x:v>87.44913865697521</x:v>
      </x:c>
      <x:c r="I105" s="6" t="str">
        <x:v>3.4617194913919063</x:v>
      </x:c>
      <x:c r="J105" s="6" t="str">
        <x:v>31</x:v>
      </x:c>
      <x:c r="K105" s="6" t="str">
        <x:v>107.3133042331491</x:v>
      </x:c>
      <x:c r="L105" s="6" t="str">
        <x:v>24.868767267525577</x:v>
      </x:c>
      <x:c r="M105" s="6" t="str">
        <x:v>0.2484364700459454</x:v>
      </x:c>
      <x:c r="N105" s="6" t="str">
        <x:v>86.93906950331514</x:v>
      </x:c>
      <x:c r="O105" s="6" t="str">
        <x:v>1.2218713700563393</x:v>
      </x:c>
      <x:c r="P105" s="6" t="str">
        <x:v>118.41981982138223</x:v>
      </x:c>
      <x:c r="Q105" s="6" t="str">
        <x:v>72.34880233557001</x:v>
      </x:c>
      <x:c r="R105" s="6" t="str">
        <x:v>0.7460914482097252</x:v>
      </x:c>
      <x:c r="S105" s="8" t="str">
        <x:v>3.003147839251396</x:v>
      </x:c>
      <x:c r="T105" s="6" t="str">
        <x:v>0.5100691536600692</x:v>
      </x:c>
      <x:c r="U105" s="8" t="str">
        <x:v>0.4174491408506858</x:v>
      </x:c>
      <x:c r="V105" s="6" t="str">
        <x:v>-11.106515588233137</x:v>
      </x:c>
      <x:c r="W105" s="8" t="str">
        <x:v>-0.15351346849832592</x:v>
      </x:c>
      <x:c r="X105" s="6" t="str">
        <x:v>3.411380461076215</x:v>
      </x:c>
      <x:c r="Y105" s="6" t="str">
        <x:v>2.8502962454954726</x:v>
      </x:c>
      <x:c r="Z105" s="6" t="str">
        <x:v>3.0882748486076945</x:v>
      </x:c>
      <x:c r="AA105" s="6" t="str">
        <x:v>0.4130413106803741</x:v>
      </x:c>
      <x:c r="AB105" s="6" t="str">
        <x:v>0.6978064669864071</x:v>
      </x:c>
      <x:c r="AC105" s="6" t="str">
        <x:v>0.5094323061724889</x:v>
      </x:c>
      <x:c r="AD105" s="6" t="str">
        <x:v>-0.7398943555693397</x:v>
      </x:c>
      <x:c r="AE105" s="6" t="str">
        <x:v>2.5066609551288415</x:v>
      </x:c>
      <x:c r="AF105" s="6" t="str">
        <x:v>0.5377510436870585</x:v>
      </x:c>
      <x:c r="AG105" s="6" t="str">
        <x:v>0</x:v>
      </x:c>
      <x:c r="AH105" s="6" t="str">
        <x:v>1</x:v>
      </x:c>
      <x:c r="AI105" s="6" t="str">
        <x:v>2024-08</x:v>
      </x:c>
      <x:c r="AJ105" s="9" t="str">
        <x:v>NASA POWER (MERRA-2 meteorology)</x:v>
      </x:c>
      <x:c r="AK105" s="9" t="str">
        <x:v>Badan Informasi Geospasial (BIG)</x:v>
      </x:c>
      <x:c r="AL105" s="9" t="str">
        <x:v>https://power.larc.nasa.gov/docs/services/api/temporal/monthly/</x:v>
      </x:c>
      <x:c r="AM105" s="9" t="str">
        <x:v>https://geoservices.big.go.id/rbi/rest/services/BATASWILAYAH/BATAS_WILAYAH/MapServer/12</x:v>
      </x:c>
    </x:row>
    <x:row r="106" ht="18" customHeight="1">
      <x:c r="A106" s="6" t="str">
        <x:v>15</x:v>
      </x:c>
      <x:c r="B106" s="6" t="str">
        <x:v>JAMBI</x:v>
      </x:c>
      <x:c r="C106" s="6" t="str">
        <x:v>2024</x:v>
      </x:c>
      <x:c r="D106" s="6" t="str">
        <x:v>9</x:v>
      </x:c>
      <x:c r="E106" s="6" t="str">
        <x:v>25.941787172336248</x:v>
      </x:c>
      <x:c r="F106" s="9" t="str">
        <x:v>grid_cells_within_BIG_polygon</x:v>
      </x:c>
      <x:c r="G106" s="6" t="str">
        <x:v>13</x:v>
      </x:c>
      <x:c r="H106" s="8" t="str">
        <x:v>86.17378762094138</x:v>
      </x:c>
      <x:c r="I106" s="6" t="str">
        <x:v>6.6879278257520625</x:v>
      </x:c>
      <x:c r="J106" s="6" t="str">
        <x:v>30</x:v>
      </x:c>
      <x:c r="K106" s="6" t="str">
        <x:v>200.63783477256186</x:v>
      </x:c>
      <x:c r="L106" s="6" t="str">
        <x:v>25.009453788458647</x:v>
      </x:c>
      <x:c r="M106" s="6" t="str">
        <x:v>0.22270006707410542</x:v>
      </x:c>
      <x:c r="N106" s="6" t="str">
        <x:v>86.07427533167055</x:v>
      </x:c>
      <x:c r="O106" s="6" t="str">
        <x:v>1.4896137499531734</x:v>
      </x:c>
      <x:c r="P106" s="6" t="str">
        <x:v>134.69191799245903</x:v>
      </x:c>
      <x:c r="Q106" s="6" t="str">
        <x:v>63.829060820823614</x:v>
      </x:c>
      <x:c r="R106" s="6" t="str">
        <x:v>0.9323333838776016</x:v>
      </x:c>
      <x:c r="S106" s="8" t="str">
        <x:v>4.186497993138724</x:v>
      </x:c>
      <x:c r="T106" s="6" t="str">
        <x:v>0.09951228927083378</x:v>
      </x:c>
      <x:c r="U106" s="8" t="str">
        <x:v>0.06680408882769912</x:v>
      </x:c>
      <x:c r="V106" s="6" t="str">
        <x:v>65.94591678010283</x:v>
      </x:c>
      <x:c r="W106" s="8" t="str">
        <x:v>1.0331644541225744</x:v>
      </x:c>
      <x:c r="X106" s="6" t="str">
        <x:v>3.003147839251396</x:v>
      </x:c>
      <x:c r="Y106" s="6" t="str">
        <x:v>3.411380461076215</x:v>
      </x:c>
      <x:c r="Z106" s="6" t="str">
        <x:v>3.5336754311554457</x:v>
      </x:c>
      <x:c r="AA106" s="6" t="str">
        <x:v>0.4174491408506858</x:v>
      </x:c>
      <x:c r="AB106" s="6" t="str">
        <x:v>0.4130413106803741</x:v>
      </x:c>
      <x:c r="AC106" s="6" t="str">
        <x:v>0.2990981801195863</x:v>
      </x:c>
      <x:c r="AD106" s="6" t="str">
        <x:v>-0.15351346849832592</x:v>
      </x:c>
      <x:c r="AE106" s="6" t="str">
        <x:v>-0.7398943555693397</x:v>
      </x:c>
      <x:c r="AF106" s="6" t="str">
        <x:v>0.04658554335163615</x:v>
      </x:c>
      <x:c r="AG106" s="6" t="str">
        <x:v>1</x:v>
      </x:c>
      <x:c r="AH106" s="6" t="str">
        <x:v>1</x:v>
      </x:c>
      <x:c r="AI106" s="6" t="str">
        <x:v>2024-09</x:v>
      </x:c>
      <x:c r="AJ106" s="9" t="str">
        <x:v>NASA POWER (MERRA-2 meteorology)</x:v>
      </x:c>
      <x:c r="AK106" s="9" t="str">
        <x:v>Badan Informasi Geospasial (BIG)</x:v>
      </x:c>
      <x:c r="AL106" s="9" t="str">
        <x:v>https://power.larc.nasa.gov/docs/services/api/temporal/monthly/</x:v>
      </x:c>
      <x:c r="AM106" s="9" t="str">
        <x:v>https://geoservices.big.go.id/rbi/rest/services/BATASWILAYAH/BATAS_WILAYAH/MapServer/12</x:v>
      </x:c>
    </x:row>
    <x:row r="107" ht="18" customHeight="1">
      <x:c r="A107" s="6" t="str">
        <x:v>15</x:v>
      </x:c>
      <x:c r="B107" s="6" t="str">
        <x:v>JAMBI</x:v>
      </x:c>
      <x:c r="C107" s="6" t="str">
        <x:v>2024</x:v>
      </x:c>
      <x:c r="D107" s="6" t="str">
        <x:v>10</x:v>
      </x:c>
      <x:c r="E107" s="6" t="str">
        <x:v>26.246398047071782</x:v>
      </x:c>
      <x:c r="F107" s="9" t="str">
        <x:v>grid_cells_within_BIG_polygon</x:v>
      </x:c>
      <x:c r="G107" s="6" t="str">
        <x:v>13</x:v>
      </x:c>
      <x:c r="H107" s="8" t="str">
        <x:v>85.0730512387018</x:v>
      </x:c>
      <x:c r="I107" s="6" t="str">
        <x:v>7.624873306188976</x:v>
      </x:c>
      <x:c r="J107" s="6" t="str">
        <x:v>31</x:v>
      </x:c>
      <x:c r="K107" s="6" t="str">
        <x:v>236.37107249185826</x:v>
      </x:c>
      <x:c r="L107" s="6" t="str">
        <x:v>25.22194955458492</x:v>
      </x:c>
      <x:c r="M107" s="6" t="str">
        <x:v>0.2524045375030047</x:v>
      </x:c>
      <x:c r="N107" s="6" t="str">
        <x:v>86.38067256838107</x:v>
      </x:c>
      <x:c r="O107" s="6" t="str">
        <x:v>1.8665164492438346</x:v>
      </x:c>
      <x:c r="P107" s="6" t="str">
        <x:v>201.25464846954432</x:v>
      </x:c>
      <x:c r="Q107" s="6" t="str">
        <x:v>81.18322673215691</x:v>
      </x:c>
      <x:c r="R107" s="6" t="str">
        <x:v>1.0244484924868615</x:v>
      </x:c>
      <x:c r="S107" s="8" t="str">
        <x:v>4.05875624353491</x:v>
      </x:c>
      <x:c r="T107" s="6" t="str">
        <x:v>-1.3076213296792787</x:v>
      </x:c>
      <x:c r="U107" s="8" t="str">
        <x:v>-0.7005678038406915</x:v>
      </x:c>
      <x:c r="V107" s="6" t="str">
        <x:v>35.116424022313936</x:v>
      </x:c>
      <x:c r="W107" s="8" t="str">
        <x:v>0.432557628414691</x:v>
      </x:c>
      <x:c r="X107" s="6" t="str">
        <x:v>4.186497993138724</x:v>
      </x:c>
      <x:c r="Y107" s="6" t="str">
        <x:v>3.003147839251396</x:v>
      </x:c>
      <x:c r="Z107" s="6" t="str">
        <x:v>3.7494673586416774</x:v>
      </x:c>
      <x:c r="AA107" s="6" t="str">
        <x:v>0.06680408882769912</x:v>
      </x:c>
      <x:c r="AB107" s="6" t="str">
        <x:v>0.4174491408506858</x:v>
      </x:c>
      <x:c r="AC107" s="6" t="str">
        <x:v>-0.07210485805410227</x:v>
      </x:c>
      <x:c r="AD107" s="6" t="str">
        <x:v>1.0331644541225744</x:v>
      </x:c>
      <x:c r="AE107" s="6" t="str">
        <x:v>-0.15351346849832592</x:v>
      </x:c>
      <x:c r="AF107" s="6" t="str">
        <x:v>0.437402871346313</x:v>
      </x:c>
      <x:c r="AG107" s="6" t="str">
        <x:v>0</x:v>
      </x:c>
      <x:c r="AH107" s="6" t="str">
        <x:v>1</x:v>
      </x:c>
      <x:c r="AI107" s="6" t="str">
        <x:v>2024-10</x:v>
      </x:c>
      <x:c r="AJ107" s="9" t="str">
        <x:v>NASA POWER (MERRA-2 meteorology)</x:v>
      </x:c>
      <x:c r="AK107" s="9" t="str">
        <x:v>Badan Informasi Geospasial (BIG)</x:v>
      </x:c>
      <x:c r="AL107" s="9" t="str">
        <x:v>https://power.larc.nasa.gov/docs/services/api/temporal/monthly/</x:v>
      </x:c>
      <x:c r="AM107" s="9" t="str">
        <x:v>https://geoservices.big.go.id/rbi/rest/services/BATASWILAYAH/BATAS_WILAYAH/MapServer/12</x:v>
      </x:c>
    </x:row>
    <x:row r="108" ht="18" customHeight="1">
      <x:c r="A108" s="6" t="str">
        <x:v>15</x:v>
      </x:c>
      <x:c r="B108" s="6" t="str">
        <x:v>JAMBI</x:v>
      </x:c>
      <x:c r="C108" s="6" t="str">
        <x:v>2024</x:v>
      </x:c>
      <x:c r="D108" s="6" t="str">
        <x:v>11</x:v>
      </x:c>
      <x:c r="E108" s="6" t="str">
        <x:v>25.752556017406455</x:v>
      </x:c>
      <x:c r="F108" s="9" t="str">
        <x:v>grid_cells_within_BIG_polygon</x:v>
      </x:c>
      <x:c r="G108" s="6" t="str">
        <x:v>13</x:v>
      </x:c>
      <x:c r="H108" s="8" t="str">
        <x:v>87.41458535636617</x:v>
      </x:c>
      <x:c r="I108" s="6" t="str">
        <x:v>9.206064797402007</x:v>
      </x:c>
      <x:c r="J108" s="6" t="str">
        <x:v>30</x:v>
      </x:c>
      <x:c r="K108" s="6" t="str">
        <x:v>276.1819439220602</x:v>
      </x:c>
      <x:c r="L108" s="6" t="str">
        <x:v>25.13999704389743</x:v>
      </x:c>
      <x:c r="M108" s="6" t="str">
        <x:v>0.2703058585974732</x:v>
      </x:c>
      <x:c r="N108" s="6" t="str">
        <x:v>88.24599055008508</x:v>
      </x:c>
      <x:c r="O108" s="6" t="str">
        <x:v>1.1207147521627727</x:v>
      </x:c>
      <x:c r="P108" s="6" t="str">
        <x:v>254.63644979552808</x:v>
      </x:c>
      <x:c r="Q108" s="6" t="str">
        <x:v>74.9060139885792</x:v>
      </x:c>
      <x:c r="R108" s="6" t="str">
        <x:v>0.6125589735090244</x:v>
      </x:c>
      <x:c r="S108" s="8" t="str">
        <x:v>2.266169799971737</x:v>
      </x:c>
      <x:c r="T108" s="6" t="str">
        <x:v>-0.8314051937189078</x:v>
      </x:c>
      <x:c r="U108" s="8" t="str">
        <x:v>-0.7418526365557776</x:v>
      </x:c>
      <x:c r="V108" s="6" t="str">
        <x:v>21.545494126532134</x:v>
      </x:c>
      <x:c r="W108" s="8" t="str">
        <x:v>0.287633702279461</x:v>
      </x:c>
      <x:c r="X108" s="6" t="str">
        <x:v>4.05875624353491</x:v>
      </x:c>
      <x:c r="Y108" s="6" t="str">
        <x:v>4.186497993138724</x:v>
      </x:c>
      <x:c r="Z108" s="6" t="str">
        <x:v>3.5038080122151243</x:v>
      </x:c>
      <x:c r="AA108" s="6" t="str">
        <x:v>-0.7005678038406915</x:v>
      </x:c>
      <x:c r="AB108" s="6" t="str">
        <x:v>0.06680408882769912</x:v>
      </x:c>
      <x:c r="AC108" s="6" t="str">
        <x:v>-0.45853878385625674</x:v>
      </x:c>
      <x:c r="AD108" s="6" t="str">
        <x:v>0.432557628414691</x:v>
      </x:c>
      <x:c r="AE108" s="6" t="str">
        <x:v>1.0331644541225744</x:v>
      </x:c>
      <x:c r="AF108" s="6" t="str">
        <x:v>0.584451928272242</x:v>
      </x:c>
      <x:c r="AG108" s="6" t="str">
        <x:v>0</x:v>
      </x:c>
      <x:c r="AH108" s="6" t="str">
        <x:v>1</x:v>
      </x:c>
      <x:c r="AI108" s="6" t="str">
        <x:v>2024-11</x:v>
      </x:c>
      <x:c r="AJ108" s="9" t="str">
        <x:v>NASA POWER (MERRA-2 meteorology)</x:v>
      </x:c>
      <x:c r="AK108" s="9" t="str">
        <x:v>Badan Informasi Geospasial (BIG)</x:v>
      </x:c>
      <x:c r="AL108" s="9" t="str">
        <x:v>https://power.larc.nasa.gov/docs/services/api/temporal/monthly/</x:v>
      </x:c>
      <x:c r="AM108" s="9" t="str">
        <x:v>https://geoservices.big.go.id/rbi/rest/services/BATASWILAYAH/BATAS_WILAYAH/MapServer/12</x:v>
      </x:c>
    </x:row>
    <x:row r="109" ht="18" customHeight="1">
      <x:c r="A109" s="6" t="str">
        <x:v>15</x:v>
      </x:c>
      <x:c r="B109" s="6" t="str">
        <x:v>JAMBI</x:v>
      </x:c>
      <x:c r="C109" s="6" t="str">
        <x:v>2024</x:v>
      </x:c>
      <x:c r="D109" s="6" t="str">
        <x:v>12</x:v>
      </x:c>
      <x:c r="E109" s="6" t="str">
        <x:v>25.443327206609563</x:v>
      </x:c>
      <x:c r="F109" s="9" t="str">
        <x:v>grid_cells_within_BIG_polygon</x:v>
      </x:c>
      <x:c r="G109" s="6" t="str">
        <x:v>13</x:v>
      </x:c>
      <x:c r="H109" s="8" t="str">
        <x:v>87.35628720904758</x:v>
      </x:c>
      <x:c r="I109" s="6" t="str">
        <x:v>5.548450209033777</x:v>
      </x:c>
      <x:c r="J109" s="6" t="str">
        <x:v>31</x:v>
      </x:c>
      <x:c r="K109" s="6" t="str">
        <x:v>172.00195648004708</x:v>
      </x:c>
      <x:c r="L109" s="6" t="str">
        <x:v>24.79484023548332</x:v>
      </x:c>
      <x:c r="M109" s="6" t="str">
        <x:v>0.2861738427337746</x:v>
      </x:c>
      <x:c r="N109" s="6" t="str">
        <x:v>89.34887576608254</x:v>
      </x:c>
      <x:c r="O109" s="6" t="str">
        <x:v>1.0913573079887926</x:v>
      </x:c>
      <x:c r="P109" s="6" t="str">
        <x:v>227.59137471203556</x:v>
      </x:c>
      <x:c r="Q109" s="6" t="str">
        <x:v>53.164297189108645</x:v>
      </x:c>
      <x:c r="R109" s="6" t="str">
        <x:v>0.6484869711262427</x:v>
      </x:c>
      <x:c r="S109" s="8" t="str">
        <x:v>2.266059556426774</x:v>
      </x:c>
      <x:c r="T109" s="6" t="str">
        <x:v>-1.9925885570349635</x:v>
      </x:c>
      <x:c r="U109" s="8" t="str">
        <x:v>-1.8257893564730001</x:v>
      </x:c>
      <x:c r="V109" s="6" t="str">
        <x:v>-55.589418231988475</x:v>
      </x:c>
      <x:c r="W109" s="8" t="str">
        <x:v>-1.0456155948841668</x:v>
      </x:c>
      <x:c r="X109" s="6" t="str">
        <x:v>2.266169799971737</x:v>
      </x:c>
      <x:c r="Y109" s="6" t="str">
        <x:v>4.05875624353491</x:v>
      </x:c>
      <x:c r="Z109" s="6" t="str">
        <x:v>2.863661866644474</x:v>
      </x:c>
      <x:c r="AA109" s="6" t="str">
        <x:v>-0.7418526365557776</x:v>
      </x:c>
      <x:c r="AB109" s="6" t="str">
        <x:v>-0.7005678038406915</x:v>
      </x:c>
      <x:c r="AC109" s="6" t="str">
        <x:v>-1.0894032656231565</x:v>
      </x:c>
      <x:c r="AD109" s="6" t="str">
        <x:v>0.287633702279461</x:v>
      </x:c>
      <x:c r="AE109" s="6" t="str">
        <x:v>0.432557628414691</x:v>
      </x:c>
      <x:c r="AF109" s="6" t="str">
        <x:v>-0.10847475473000505</x:v>
      </x:c>
      <x:c r="AG109" s="6" t="str">
        <x:v>0</x:v>
      </x:c>
      <x:c r="AH109" s="6" t="str">
        <x:v>1</x:v>
      </x:c>
      <x:c r="AI109" s="6" t="str">
        <x:v>2024-12</x:v>
      </x:c>
      <x:c r="AJ109" s="9" t="str">
        <x:v>NASA POWER (MERRA-2 meteorology)</x:v>
      </x:c>
      <x:c r="AK109" s="9" t="str">
        <x:v>Badan Informasi Geospasial (BIG)</x:v>
      </x:c>
      <x:c r="AL109" s="9" t="str">
        <x:v>https://power.larc.nasa.gov/docs/services/api/temporal/monthly/</x:v>
      </x:c>
      <x:c r="AM109" s="9" t="str">
        <x:v>https://geoservices.big.go.id/rbi/rest/services/BATASWILAYAH/BATAS_WILAYAH/MapServer/12</x:v>
      </x:c>
    </x:row>
    <x:row r="110" ht="18" customHeight="1">
      <x:c r="A110" s="6" t="str">
        <x:v>15</x:v>
      </x:c>
      <x:c r="B110" s="6" t="str">
        <x:v>JAMBI</x:v>
      </x:c>
      <x:c r="C110" s="6" t="str">
        <x:v>2025</x:v>
      </x:c>
      <x:c r="D110" s="6" t="str">
        <x:v>1</x:v>
      </x:c>
      <x:c r="E110" s="6" t="str">
        <x:v>24.764806592430812</x:v>
      </x:c>
      <x:c r="F110" s="9" t="str">
        <x:v>grid_cells_within_BIG_polygon</x:v>
      </x:c>
      <x:c r="G110" s="6" t="str">
        <x:v>13</x:v>
      </x:c>
      <x:c r="H110" s="8" t="str">
        <x:v>90.81172731352444</x:v>
      </x:c>
      <x:c r="I110" s="6" t="str">
        <x:v>10.094950450961825</x:v>
      </x:c>
      <x:c r="J110" s="6" t="str">
        <x:v>31</x:v>
      </x:c>
      <x:c r="K110" s="6" t="str">
        <x:v>312.94346397981656</x:v>
      </x:c>
      <x:c r="L110" s="6" t="str">
        <x:v>24.69360109984671</x:v>
      </x:c>
      <x:c r="M110" s="6" t="str">
        <x:v>0.41493832146973303</x:v>
      </x:c>
      <x:c r="N110" s="6" t="str">
        <x:v>89.15417187165097</x:v>
      </x:c>
      <x:c r="O110" s="6" t="str">
        <x:v>1.1189668009590283</x:v>
      </x:c>
      <x:c r="P110" s="6" t="str">
        <x:v>173.19504730010556</x:v>
      </x:c>
      <x:c r="Q110" s="6" t="str">
        <x:v>51.10049792690695</x:v>
      </x:c>
      <x:c r="R110" s="6" t="str">
        <x:v>0.07120549258410236</x:v>
      </x:c>
      <x:c r="S110" s="8" t="str">
        <x:v>0.17160500464716977</x:v>
      </x:c>
      <x:c r="T110" s="6" t="str">
        <x:v>1.6575554418734697</x:v>
      </x:c>
      <x:c r="U110" s="8" t="str">
        <x:v>1.481326738606396</x:v>
      </x:c>
      <x:c r="V110" s="6" t="str">
        <x:v>139.748416679711</x:v>
      </x:c>
      <x:c r="W110" s="8" t="str">
        <x:v>2.7347760266368466</x:v>
      </x:c>
      <x:c r="X110" s="6" t="str">
        <x:v>2.266059556426774</x:v>
      </x:c>
      <x:c r="Y110" s="6" t="str">
        <x:v>2.266169799971737</x:v>
      </x:c>
      <x:c r="Z110" s="6" t="str">
        <x:v>1.567944787015227</x:v>
      </x:c>
      <x:c r="AA110" s="6" t="str">
        <x:v>-1.8257893564730001</x:v>
      </x:c>
      <x:c r="AB110" s="6" t="str">
        <x:v>-0.7418526365557776</x:v>
      </x:c>
      <x:c r="AC110" s="6" t="str">
        <x:v>-0.36210508480746073</x:v>
      </x:c>
      <x:c r="AD110" s="6" t="str">
        <x:v>-1.0456155948841668</x:v>
      </x:c>
      <x:c r="AE110" s="6" t="str">
        <x:v>0.287633702279461</x:v>
      </x:c>
      <x:c r="AF110" s="6" t="str">
        <x:v>0.6589313780107134</x:v>
      </x:c>
      <x:c r="AG110" s="6" t="str">
        <x:v>1</x:v>
      </x:c>
      <x:c r="AH110" s="6" t="str">
        <x:v>0</x:v>
      </x:c>
      <x:c r="AI110" s="6" t="str">
        <x:v>2025-01</x:v>
      </x:c>
      <x:c r="AJ110" s="9" t="str">
        <x:v>NASA POWER (MERRA-2 meteorology)</x:v>
      </x:c>
      <x:c r="AK110" s="9" t="str">
        <x:v>Badan Informasi Geospasial (BIG)</x:v>
      </x:c>
      <x:c r="AL110" s="9" t="str">
        <x:v>https://power.larc.nasa.gov/docs/services/api/temporal/monthly/</x:v>
      </x:c>
      <x:c r="AM110" s="9" t="str">
        <x:v>https://geoservices.big.go.id/rbi/rest/services/BATASWILAYAH/BATAS_WILAYAH/MapServer/12</x:v>
      </x:c>
    </x:row>
    <x:row r="111" ht="18" customHeight="1">
      <x:c r="A111" s="6" t="str">
        <x:v>15</x:v>
      </x:c>
      <x:c r="B111" s="6" t="str">
        <x:v>JAMBI</x:v>
      </x:c>
      <x:c r="C111" s="6" t="str">
        <x:v>2025</x:v>
      </x:c>
      <x:c r="D111" s="6" t="str">
        <x:v>2</x:v>
      </x:c>
      <x:c r="E111" s="6" t="str">
        <x:v>25.173291286371157</x:v>
      </x:c>
      <x:c r="F111" s="9" t="str">
        <x:v>grid_cells_within_BIG_polygon</x:v>
      </x:c>
      <x:c r="G111" s="6" t="str">
        <x:v>13</x:v>
      </x:c>
      <x:c r="H111" s="8" t="str">
        <x:v>88.77239141464742</x:v>
      </x:c>
      <x:c r="I111" s="6" t="str">
        <x:v>7.225481332557175</x:v>
      </x:c>
      <x:c r="J111" s="6" t="str">
        <x:v>28</x:v>
      </x:c>
      <x:c r="K111" s="6" t="str">
        <x:v>202.3134773116009</x:v>
      </x:c>
      <x:c r="L111" s="6" t="str">
        <x:v>24.904812322058884</x:v>
      </x:c>
      <x:c r="M111" s="6" t="str">
        <x:v>0.4110740568571087</x:v>
      </x:c>
      <x:c r="N111" s="6" t="str">
        <x:v>88.50347131194333</x:v>
      </x:c>
      <x:c r="O111" s="6" t="str">
        <x:v>1.0184191794265016</x:v>
      </x:c>
      <x:c r="P111" s="6" t="str">
        <x:v>165.7233189106696</x:v>
      </x:c>
      <x:c r="Q111" s="6" t="str">
        <x:v>63.0265644242896</x:v>
      </x:c>
      <x:c r="R111" s="6" t="str">
        <x:v>0.2684789643122727</x:v>
      </x:c>
      <x:c r="S111" s="8" t="str">
        <x:v>0.653115806832824</x:v>
      </x:c>
      <x:c r="T111" s="6" t="str">
        <x:v>0.2689201027040866</x:v>
      </x:c>
      <x:c r="U111" s="8" t="str">
        <x:v>0.2640564004848402</x:v>
      </x:c>
      <x:c r="V111" s="6" t="str">
        <x:v>36.5901584009313</x:v>
      </x:c>
      <x:c r="W111" s="8" t="str">
        <x:v>0.5805513712378385</x:v>
      </x:c>
      <x:c r="X111" s="6" t="str">
        <x:v>0.17160500464716977</x:v>
      </x:c>
      <x:c r="Y111" s="6" t="str">
        <x:v>2.266059556426774</x:v>
      </x:c>
      <x:c r="Z111" s="6" t="str">
        <x:v>1.0302601226355896</x:v>
      </x:c>
      <x:c r="AA111" s="6" t="str">
        <x:v>1.481326738606396</x:v>
      </x:c>
      <x:c r="AB111" s="6" t="str">
        <x:v>-1.8257893564730001</x:v>
      </x:c>
      <x:c r="AC111" s="6" t="str">
        <x:v>-0.02680207246058806</x:v>
      </x:c>
      <x:c r="AD111" s="6" t="str">
        <x:v>2.7347760266368466</x:v>
      </x:c>
      <x:c r="AE111" s="6" t="str">
        <x:v>-1.0456155948841668</x:v>
      </x:c>
      <x:c r="AF111" s="6" t="str">
        <x:v>0.7565706009968394</x:v>
      </x:c>
      <x:c r="AG111" s="6" t="str">
        <x:v>0</x:v>
      </x:c>
      <x:c r="AH111" s="6" t="str">
        <x:v>0</x:v>
      </x:c>
      <x:c r="AI111" s="6" t="str">
        <x:v>2025-02</x:v>
      </x:c>
      <x:c r="AJ111" s="9" t="str">
        <x:v>NASA POWER (MERRA-2 meteorology)</x:v>
      </x:c>
      <x:c r="AK111" s="9" t="str">
        <x:v>Badan Informasi Geospasial (BIG)</x:v>
      </x:c>
      <x:c r="AL111" s="9" t="str">
        <x:v>https://power.larc.nasa.gov/docs/services/api/temporal/monthly/</x:v>
      </x:c>
      <x:c r="AM111" s="9" t="str">
        <x:v>https://geoservices.big.go.id/rbi/rest/services/BATASWILAYAH/BATAS_WILAYAH/MapServer/12</x:v>
      </x:c>
    </x:row>
    <x:row r="112" ht="18" customHeight="1">
      <x:c r="A112" s="6" t="str">
        <x:v>15</x:v>
      </x:c>
      <x:c r="B112" s="6" t="str">
        <x:v>JAMBI</x:v>
      </x:c>
      <x:c r="C112" s="6" t="str">
        <x:v>2025</x:v>
      </x:c>
      <x:c r="D112" s="6" t="str">
        <x:v>3</x:v>
      </x:c>
      <x:c r="E112" s="6" t="str">
        <x:v>25.441766926633587</x:v>
      </x:c>
      <x:c r="F112" s="9" t="str">
        <x:v>grid_cells_within_BIG_polygon</x:v>
      </x:c>
      <x:c r="G112" s="6" t="str">
        <x:v>13</x:v>
      </x:c>
      <x:c r="H112" s="8" t="str">
        <x:v>89.39472607945271</x:v>
      </x:c>
      <x:c r="I112" s="6" t="str">
        <x:v>11.61089099123398</x:v>
      </x:c>
      <x:c r="J112" s="6" t="str">
        <x:v>31</x:v>
      </x:c>
      <x:c r="K112" s="6" t="str">
        <x:v>359.93762072825336</x:v>
      </x:c>
      <x:c r="L112" s="6" t="str">
        <x:v>25.24728111518267</x:v>
      </x:c>
      <x:c r="M112" s="6" t="str">
        <x:v>0.3649077202368296</x:v>
      </x:c>
      <x:c r="N112" s="6" t="str">
        <x:v>88.17046782745199</x:v>
      </x:c>
      <x:c r="O112" s="6" t="str">
        <x:v>1.0203976768048328</x:v>
      </x:c>
      <x:c r="P112" s="6" t="str">
        <x:v>215.74907189944236</x:v>
      </x:c>
      <x:c r="Q112" s="6" t="str">
        <x:v>88.89214939814723</x:v>
      </x:c>
      <x:c r="R112" s="6" t="str">
        <x:v>0.19448581145091737</x:v>
      </x:c>
      <x:c r="S112" s="8" t="str">
        <x:v>0.5329725863971683</x:v>
      </x:c>
      <x:c r="T112" s="6" t="str">
        <x:v>1.2242582520007232</x:v>
      </x:c>
      <x:c r="U112" s="8" t="str">
        <x:v>1.1997854168330118</x:v>
      </x:c>
      <x:c r="V112" s="6" t="str">
        <x:v>144.188548828811</x:v>
      </x:c>
      <x:c r="W112" s="8" t="str">
        <x:v>1.6220616759191147</x:v>
      </x:c>
      <x:c r="X112" s="6" t="str">
        <x:v>0.653115806832824</x:v>
      </x:c>
      <x:c r="Y112" s="6" t="str">
        <x:v>0.17160500464716977</x:v>
      </x:c>
      <x:c r="Z112" s="6" t="str">
        <x:v>0.45256446595905436</x:v>
      </x:c>
      <x:c r="AA112" s="6" t="str">
        <x:v>0.2640564004848402</x:v>
      </x:c>
      <x:c r="AB112" s="6" t="str">
        <x:v>1.481326738606396</x:v>
      </x:c>
      <x:c r="AC112" s="6" t="str">
        <x:v>0.9817228519747493</x:v>
      </x:c>
      <x:c r="AD112" s="6" t="str">
        <x:v>0.5805513712378385</x:v>
      </x:c>
      <x:c r="AE112" s="6" t="str">
        <x:v>2.7347760266368466</x:v>
      </x:c>
      <x:c r="AF112" s="6" t="str">
        <x:v>1.6457963579312664</x:v>
      </x:c>
      <x:c r="AG112" s="6" t="str">
        <x:v>1</x:v>
      </x:c>
      <x:c r="AH112" s="6" t="str">
        <x:v>0</x:v>
      </x:c>
      <x:c r="AI112" s="6" t="str">
        <x:v>2025-03</x:v>
      </x:c>
      <x:c r="AJ112" s="9" t="str">
        <x:v>NASA POWER (MERRA-2 meteorology)</x:v>
      </x:c>
      <x:c r="AK112" s="9" t="str">
        <x:v>Badan Informasi Geospasial (BIG)</x:v>
      </x:c>
      <x:c r="AL112" s="9" t="str">
        <x:v>https://power.larc.nasa.gov/docs/services/api/temporal/monthly/</x:v>
      </x:c>
      <x:c r="AM112" s="9" t="str">
        <x:v>https://geoservices.big.go.id/rbi/rest/services/BATASWILAYAH/BATAS_WILAYAH/MapServer/12</x:v>
      </x:c>
    </x:row>
    <x:row r="113" ht="18" customHeight="1">
      <x:c r="A113" s="6" t="str">
        <x:v>15</x:v>
      </x:c>
      <x:c r="B113" s="6" t="str">
        <x:v>JAMBI</x:v>
      </x:c>
      <x:c r="C113" s="6" t="str">
        <x:v>2025</x:v>
      </x:c>
      <x:c r="D113" s="6" t="str">
        <x:v>4</x:v>
      </x:c>
      <x:c r="E113" s="6" t="str">
        <x:v>25.751784593865047</x:v>
      </x:c>
      <x:c r="F113" s="9" t="str">
        <x:v>grid_cells_within_BIG_polygon</x:v>
      </x:c>
      <x:c r="G113" s="6" t="str">
        <x:v>13</x:v>
      </x:c>
      <x:c r="H113" s="8" t="str">
        <x:v>87.61227278390197</x:v>
      </x:c>
      <x:c r="I113" s="6" t="str">
        <x:v>7.9108651803439844</x:v>
      </x:c>
      <x:c r="J113" s="6" t="str">
        <x:v>30</x:v>
      </x:c>
      <x:c r="K113" s="6" t="str">
        <x:v>237.32595541031952</x:v>
      </x:c>
      <x:c r="L113" s="6" t="str">
        <x:v>25.550366619541542</x:v>
      </x:c>
      <x:c r="M113" s="6" t="str">
        <x:v>0.3427227841201291</x:v>
      </x:c>
      <x:c r="N113" s="6" t="str">
        <x:v>88.66206757401542</x:v>
      </x:c>
      <x:c r="O113" s="6" t="str">
        <x:v>0.7448066972419146</x:v>
      </x:c>
      <x:c r="P113" s="6" t="str">
        <x:v>221.15434917119495</x:v>
      </x:c>
      <x:c r="Q113" s="6" t="str">
        <x:v>53.00836915535091</x:v>
      </x:c>
      <x:c r="R113" s="6" t="str">
        <x:v>0.20141797432350472</x:v>
      </x:c>
      <x:c r="S113" s="8" t="str">
        <x:v>0.5876993992115358</x:v>
      </x:c>
      <x:c r="T113" s="6" t="str">
        <x:v>-1.0497947901134523</x:v>
      </x:c>
      <x:c r="U113" s="8" t="str">
        <x:v>-1.4094862385111946</x:v>
      </x:c>
      <x:c r="V113" s="6" t="str">
        <x:v>16.17160623912457</x:v>
      </x:c>
      <x:c r="W113" s="8" t="str">
        <x:v>0.3050764718252445</x:v>
      </x:c>
      <x:c r="X113" s="6" t="str">
        <x:v>0.5329725863971683</x:v>
      </x:c>
      <x:c r="Y113" s="6" t="str">
        <x:v>0.653115806832824</x:v>
      </x:c>
      <x:c r="Z113" s="6" t="str">
        <x:v>0.5912625974805096</x:v>
      </x:c>
      <x:c r="AA113" s="6" t="str">
        <x:v>1.1997854168330118</x:v>
      </x:c>
      <x:c r="AB113" s="6" t="str">
        <x:v>0.2640564004848402</x:v>
      </x:c>
      <x:c r="AC113" s="6" t="str">
        <x:v>0.018118526268885733</x:v>
      </x:c>
      <x:c r="AD113" s="6" t="str">
        <x:v>1.6220616759191147</x:v>
      </x:c>
      <x:c r="AE113" s="6" t="str">
        <x:v>0.5805513712378385</x:v>
      </x:c>
      <x:c r="AF113" s="6" t="str">
        <x:v>0.8358965063273991</x:v>
      </x:c>
      <x:c r="AG113" s="6" t="str">
        <x:v>0</x:v>
      </x:c>
      <x:c r="AH113" s="6" t="str">
        <x:v>0</x:v>
      </x:c>
      <x:c r="AI113" s="6" t="str">
        <x:v>2025-04</x:v>
      </x:c>
      <x:c r="AJ113" s="9" t="str">
        <x:v>NASA POWER (MERRA-2 meteorology)</x:v>
      </x:c>
      <x:c r="AK113" s="9" t="str">
        <x:v>Badan Informasi Geospasial (BIG)</x:v>
      </x:c>
      <x:c r="AL113" s="9" t="str">
        <x:v>https://power.larc.nasa.gov/docs/services/api/temporal/monthly/</x:v>
      </x:c>
      <x:c r="AM113" s="9" t="str">
        <x:v>https://geoservices.big.go.id/rbi/rest/services/BATASWILAYAH/BATAS_WILAYAH/MapServer/12</x:v>
      </x:c>
    </x:row>
    <x:row r="114" ht="18" customHeight="1">
      <x:c r="A114" s="6" t="str">
        <x:v>15</x:v>
      </x:c>
      <x:c r="B114" s="6" t="str">
        <x:v>JAMBI</x:v>
      </x:c>
      <x:c r="C114" s="6" t="str">
        <x:v>2025</x:v>
      </x:c>
      <x:c r="D114" s="6" t="str">
        <x:v>5</x:v>
      </x:c>
      <x:c r="E114" s="6" t="str">
        <x:v>26.164099158353277</x:v>
      </x:c>
      <x:c r="F114" s="9" t="str">
        <x:v>grid_cells_within_BIG_polygon</x:v>
      </x:c>
      <x:c r="G114" s="6" t="str">
        <x:v>13</x:v>
      </x:c>
      <x:c r="H114" s="8" t="str">
        <x:v>86.96233457438429</x:v>
      </x:c>
      <x:c r="I114" s="6" t="str">
        <x:v>7.711752599492415</x:v>
      </x:c>
      <x:c r="J114" s="6" t="str">
        <x:v>31</x:v>
      </x:c>
      <x:c r="K114" s="6" t="str">
        <x:v>239.06433058426487</x:v>
      </x:c>
      <x:c r="L114" s="6" t="str">
        <x:v>25.63210942570329</x:v>
      </x:c>
      <x:c r="M114" s="6" t="str">
        <x:v>0.3385120449155338</x:v>
      </x:c>
      <x:c r="N114" s="6" t="str">
        <x:v>88.90324909056802</x:v>
      </x:c>
      <x:c r="O114" s="6" t="str">
        <x:v>0.9641357765383375</x:v>
      </x:c>
      <x:c r="P114" s="6" t="str">
        <x:v>162.57212640469808</x:v>
      </x:c>
      <x:c r="Q114" s="6" t="str">
        <x:v>55.29857729028777</x:v>
      </x:c>
      <x:c r="R114" s="6" t="str">
        <x:v>0.5319897326499863</x:v>
      </x:c>
      <x:c r="S114" s="8" t="str">
        <x:v>1.571553333597714</x:v>
      </x:c>
      <x:c r="T114" s="6" t="str">
        <x:v>-1.9409145161837387</x:v>
      </x:c>
      <x:c r="U114" s="8" t="str">
        <x:v>-2.013113259993792</x:v>
      </x:c>
      <x:c r="V114" s="6" t="str">
        <x:v>76.49220417956678</x:v>
      </x:c>
      <x:c r="W114" s="8" t="str">
        <x:v>1.3832580859725176</x:v>
      </x:c>
      <x:c r="X114" s="6" t="str">
        <x:v>0.5876993992115358</x:v>
      </x:c>
      <x:c r="Y114" s="6" t="str">
        <x:v>0.5329725863971683</x:v>
      </x:c>
      <x:c r="Z114" s="6" t="str">
        <x:v>0.897408439735473</x:v>
      </x:c>
      <x:c r="AA114" s="6" t="str">
        <x:v>-1.4094862385111946</x:v>
      </x:c>
      <x:c r="AB114" s="6" t="str">
        <x:v>1.1997854168330118</x:v>
      </x:c>
      <x:c r="AC114" s="6" t="str">
        <x:v>-0.7409380272239917</x:v>
      </x:c>
      <x:c r="AD114" s="6" t="str">
        <x:v>0.3050764718252445</x:v>
      </x:c>
      <x:c r="AE114" s="6" t="str">
        <x:v>1.6220616759191147</x:v>
      </x:c>
      <x:c r="AF114" s="6" t="str">
        <x:v>1.1034654112389588</x:v>
      </x:c>
      <x:c r="AG114" s="6" t="str">
        <x:v>1</x:v>
      </x:c>
      <x:c r="AH114" s="6" t="str">
        <x:v>1</x:v>
      </x:c>
      <x:c r="AI114" s="6" t="str">
        <x:v>2025-05</x:v>
      </x:c>
      <x:c r="AJ114" s="9" t="str">
        <x:v>NASA POWER (MERRA-2 meteorology)</x:v>
      </x:c>
      <x:c r="AK114" s="9" t="str">
        <x:v>Badan Informasi Geospasial (BIG)</x:v>
      </x:c>
      <x:c r="AL114" s="9" t="str">
        <x:v>https://power.larc.nasa.gov/docs/services/api/temporal/monthly/</x:v>
      </x:c>
      <x:c r="AM114" s="9" t="str">
        <x:v>https://geoservices.big.go.id/rbi/rest/services/BATASWILAYAH/BATAS_WILAYAH/MapServer/12</x:v>
      </x:c>
    </x:row>
    <x:row r="115" ht="18" customHeight="1">
      <x:c r="A115" s="6" t="str">
        <x:v>15</x:v>
      </x:c>
      <x:c r="B115" s="6" t="str">
        <x:v>JAMBI</x:v>
      </x:c>
      <x:c r="C115" s="6" t="str">
        <x:v>2025</x:v>
      </x:c>
      <x:c r="D115" s="6" t="str">
        <x:v>6</x:v>
      </x:c>
      <x:c r="E115" s="6" t="str">
        <x:v>25.409477120379577</x:v>
      </x:c>
      <x:c r="F115" s="9" t="str">
        <x:v>grid_cells_within_BIG_polygon</x:v>
      </x:c>
      <x:c r="G115" s="6" t="str">
        <x:v>13</x:v>
      </x:c>
      <x:c r="H115" s="8" t="str">
        <x:v>87.6446445977574</x:v>
      </x:c>
      <x:c r="I115" s="6" t="str">
        <x:v>3.619134965916375</x:v>
      </x:c>
      <x:c r="J115" s="6" t="str">
        <x:v>30</x:v>
      </x:c>
      <x:c r="K115" s="6" t="str">
        <x:v>108.57404897749126</x:v>
      </x:c>
      <x:c r="L115" s="6" t="str">
        <x:v>25.143000724081514</x:v>
      </x:c>
      <x:c r="M115" s="6" t="str">
        <x:v>0.26567119462288996</x:v>
      </x:c>
      <x:c r="N115" s="6" t="str">
        <x:v>88.40417104314346</x:v>
      </x:c>
      <x:c r="O115" s="6" t="str">
        <x:v>1.2395628000946932</x:v>
      </x:c>
      <x:c r="P115" s="6" t="str">
        <x:v>114.83828730674401</x:v>
      </x:c>
      <x:c r="Q115" s="6" t="str">
        <x:v>44.45384939744618</x:v>
      </x:c>
      <x:c r="R115" s="6" t="str">
        <x:v>0.26647639629806363</x:v>
      </x:c>
      <x:c r="S115" s="8" t="str">
        <x:v>1.0030308203955518</x:v>
      </x:c>
      <x:c r="T115" s="6" t="str">
        <x:v>-0.759526445386058</x:v>
      </x:c>
      <x:c r="U115" s="8" t="str">
        <x:v>-0.6127373662133422</x:v>
      </x:c>
      <x:c r="V115" s="6" t="str">
        <x:v>-6.264238329252748</x:v>
      </x:c>
      <x:c r="W115" s="8" t="str">
        <x:v>-0.14091554306684229</x:v>
      </x:c>
      <x:c r="X115" s="6" t="str">
        <x:v>1.571553333597714</x:v>
      </x:c>
      <x:c r="Y115" s="6" t="str">
        <x:v>0.5876993992115358</x:v>
      </x:c>
      <x:c r="Z115" s="6" t="str">
        <x:v>1.0540945177349341</x:v>
      </x:c>
      <x:c r="AA115" s="6" t="str">
        <x:v>-2.013113259993792</x:v>
      </x:c>
      <x:c r="AB115" s="6" t="str">
        <x:v>-1.4094862385111946</x:v>
      </x:c>
      <x:c r="AC115" s="6" t="str">
        <x:v>-1.345112288239443</x:v>
      </x:c>
      <x:c r="AD115" s="6" t="str">
        <x:v>1.3832580859725176</x:v>
      </x:c>
      <x:c r="AE115" s="6" t="str">
        <x:v>0.3050764718252445</x:v>
      </x:c>
      <x:c r="AF115" s="6" t="str">
        <x:v>0.5158063382436399</x:v>
      </x:c>
      <x:c r="AG115" s="6" t="str">
        <x:v>0</x:v>
      </x:c>
      <x:c r="AH115" s="6" t="str">
        <x:v>1</x:v>
      </x:c>
      <x:c r="AI115" s="6" t="str">
        <x:v>2025-06</x:v>
      </x:c>
      <x:c r="AJ115" s="9" t="str">
        <x:v>NASA POWER (MERRA-2 meteorology)</x:v>
      </x:c>
      <x:c r="AK115" s="9" t="str">
        <x:v>Badan Informasi Geospasial (BIG)</x:v>
      </x:c>
      <x:c r="AL115" s="9" t="str">
        <x:v>https://power.larc.nasa.gov/docs/services/api/temporal/monthly/</x:v>
      </x:c>
      <x:c r="AM115" s="9" t="str">
        <x:v>https://geoservices.big.go.id/rbi/rest/services/BATASWILAYAH/BATAS_WILAYAH/MapServer/12</x:v>
      </x:c>
    </x:row>
    <x:row r="116" ht="18" customHeight="1">
      <x:c r="A116" s="6" t="str">
        <x:v>15</x:v>
      </x:c>
      <x:c r="B116" s="6" t="str">
        <x:v>JAMBI</x:v>
      </x:c>
      <x:c r="C116" s="6" t="str">
        <x:v>2025</x:v>
      </x:c>
      <x:c r="D116" s="6" t="str">
        <x:v>7</x:v>
      </x:c>
      <x:c r="E116" s="6" t="str">
        <x:v>25.4464102940485</x:v>
      </x:c>
      <x:c r="F116" s="9" t="str">
        <x:v>grid_cells_within_BIG_polygon</x:v>
      </x:c>
      <x:c r="G116" s="6" t="str">
        <x:v>13</x:v>
      </x:c>
      <x:c r="H116" s="8" t="str">
        <x:v>87.30072085485448</x:v>
      </x:c>
      <x:c r="I116" s="6" t="str">
        <x:v>3.86373523460572</x:v>
      </x:c>
      <x:c r="J116" s="6" t="str">
        <x:v>31</x:v>
      </x:c>
      <x:c r="K116" s="6" t="str">
        <x:v>119.77579227277732</x:v>
      </x:c>
      <x:c r="L116" s="6" t="str">
        <x:v>24.78789684023244</x:v>
      </x:c>
      <x:c r="M116" s="6" t="str">
        <x:v>0.2692430339211516</x:v>
      </x:c>
      <x:c r="N116" s="6" t="str">
        <x:v>88.06451388494564</x:v>
      </x:c>
      <x:c r="O116" s="6" t="str">
        <x:v>0.9517376012482985</x:v>
      </x:c>
      <x:c r="P116" s="6" t="str">
        <x:v>118.4421707197047</x:v>
      </x:c>
      <x:c r="Q116" s="6" t="str">
        <x:v>49.76664050366667</x:v>
      </x:c>
      <x:c r="R116" s="6" t="str">
        <x:v>0.6585134538160595</x:v>
      </x:c>
      <x:c r="S116" s="8" t="str">
        <x:v>2.445795697016646</x:v>
      </x:c>
      <x:c r="T116" s="6" t="str">
        <x:v>-0.7637930300911648</x:v>
      </x:c>
      <x:c r="U116" s="8" t="str">
        <x:v>-0.8025248020981564</x:v>
      </x:c>
      <x:c r="V116" s="6" t="str">
        <x:v>1.3336215530726179</x:v>
      </x:c>
      <x:c r="W116" s="8" t="str">
        <x:v>0.0267975000839038</x:v>
      </x:c>
      <x:c r="X116" s="6" t="str">
        <x:v>1.0030308203955518</x:v>
      </x:c>
      <x:c r="Y116" s="6" t="str">
        <x:v>1.571553333597714</x:v>
      </x:c>
      <x:c r="Z116" s="6" t="str">
        <x:v>1.6734599503366379</x:v>
      </x:c>
      <x:c r="AA116" s="6" t="str">
        <x:v>-0.6127373662133422</x:v>
      </x:c>
      <x:c r="AB116" s="6" t="str">
        <x:v>-2.013113259993792</x:v>
      </x:c>
      <x:c r="AC116" s="6" t="str">
        <x:v>-1.1427918094350968</x:v>
      </x:c>
      <x:c r="AD116" s="6" t="str">
        <x:v>-0.14091554306684229</x:v>
      </x:c>
      <x:c r="AE116" s="6" t="str">
        <x:v>1.3832580859725176</x:v>
      </x:c>
      <x:c r="AF116" s="6" t="str">
        <x:v>0.42304668099652626</x:v>
      </x:c>
      <x:c r="AG116" s="6" t="str">
        <x:v>0</x:v>
      </x:c>
      <x:c r="AH116" s="6" t="str">
        <x:v>1</x:v>
      </x:c>
      <x:c r="AI116" s="6" t="str">
        <x:v>2025-07</x:v>
      </x:c>
      <x:c r="AJ116" s="9" t="str">
        <x:v>NASA POWER (MERRA-2 meteorology)</x:v>
      </x:c>
      <x:c r="AK116" s="9" t="str">
        <x:v>Badan Informasi Geospasial (BIG)</x:v>
      </x:c>
      <x:c r="AL116" s="9" t="str">
        <x:v>https://power.larc.nasa.gov/docs/services/api/temporal/monthly/</x:v>
      </x:c>
      <x:c r="AM116" s="9" t="str">
        <x:v>https://geoservices.big.go.id/rbi/rest/services/BATASWILAYAH/BATAS_WILAYAH/MapServer/12</x:v>
      </x:c>
    </x:row>
    <x:row r="117" ht="18" customHeight="1">
      <x:c r="A117" s="6" t="str">
        <x:v>15</x:v>
      </x:c>
      <x:c r="B117" s="6" t="str">
        <x:v>JAMBI</x:v>
      </x:c>
      <x:c r="C117" s="6" t="str">
        <x:v>2025</x:v>
      </x:c>
      <x:c r="D117" s="6" t="str">
        <x:v>8</x:v>
      </x:c>
      <x:c r="E117" s="6" t="str">
        <x:v>25.145634973771582</x:v>
      </x:c>
      <x:c r="F117" s="9" t="str">
        <x:v>grid_cells_within_BIG_polygon</x:v>
      </x:c>
      <x:c r="G117" s="6" t="str">
        <x:v>13</x:v>
      </x:c>
      <x:c r="H117" s="8" t="str">
        <x:v>86.65916628659177</x:v>
      </x:c>
      <x:c r="I117" s="6" t="str">
        <x:v>7.3079569919991</x:v>
      </x:c>
      <x:c r="J117" s="6" t="str">
        <x:v>31</x:v>
      </x:c>
      <x:c r="K117" s="6" t="str">
        <x:v>226.54666675197208</x:v>
      </x:c>
      <x:c r="L117" s="6" t="str">
        <x:v>24.868767267525577</x:v>
      </x:c>
      <x:c r="M117" s="6" t="str">
        <x:v>0.2484364700459454</x:v>
      </x:c>
      <x:c r="N117" s="6" t="str">
        <x:v>86.93906950331514</x:v>
      </x:c>
      <x:c r="O117" s="6" t="str">
        <x:v>1.2218713700563393</x:v>
      </x:c>
      <x:c r="P117" s="6" t="str">
        <x:v>118.41981982138223</x:v>
      </x:c>
      <x:c r="Q117" s="6" t="str">
        <x:v>72.34880233557001</x:v>
      </x:c>
      <x:c r="R117" s="6" t="str">
        <x:v>0.276867706246005</x:v>
      </x:c>
      <x:c r="S117" s="8" t="str">
        <x:v>1.114440670465176</x:v>
      </x:c>
      <x:c r="T117" s="6" t="str">
        <x:v>-0.27990321672336904</x:v>
      </x:c>
      <x:c r="U117" s="8" t="str">
        <x:v>-0.22907748195332786</x:v>
      </x:c>
      <x:c r="V117" s="6" t="str">
        <x:v>108.12684693058985</x:v>
      </x:c>
      <x:c r="W117" s="8" t="str">
        <x:v>1.4945215876425046</x:v>
      </x:c>
      <x:c r="X117" s="6" t="str">
        <x:v>2.445795697016646</x:v>
      </x:c>
      <x:c r="Y117" s="6" t="str">
        <x:v>1.0030308203955518</x:v>
      </x:c>
      <x:c r="Z117" s="6" t="str">
        <x:v>1.5210890626257916</x:v>
      </x:c>
      <x:c r="AA117" s="6" t="str">
        <x:v>-0.8025248020981564</x:v>
      </x:c>
      <x:c r="AB117" s="6" t="str">
        <x:v>-0.6127373662133422</x:v>
      </x:c>
      <x:c r="AC117" s="6" t="str">
        <x:v>-0.5481132167549422</x:v>
      </x:c>
      <x:c r="AD117" s="6" t="str">
        <x:v>0.0267975000839038</x:v>
      </x:c>
      <x:c r="AE117" s="6" t="str">
        <x:v>-0.14091554306684229</x:v>
      </x:c>
      <x:c r="AF117" s="6" t="str">
        <x:v>0.4601345148865219</x:v>
      </x:c>
      <x:c r="AG117" s="6" t="str">
        <x:v>1</x:v>
      </x:c>
      <x:c r="AH117" s="6" t="str">
        <x:v>1</x:v>
      </x:c>
      <x:c r="AI117" s="6" t="str">
        <x:v>2025-08</x:v>
      </x:c>
      <x:c r="AJ117" s="9" t="str">
        <x:v>NASA POWER (MERRA-2 meteorology)</x:v>
      </x:c>
      <x:c r="AK117" s="9" t="str">
        <x:v>Badan Informasi Geospasial (BIG)</x:v>
      </x:c>
      <x:c r="AL117" s="9" t="str">
        <x:v>https://power.larc.nasa.gov/docs/services/api/temporal/monthly/</x:v>
      </x:c>
      <x:c r="AM117" s="9" t="str">
        <x:v>https://geoservices.big.go.id/rbi/rest/services/BATASWILAYAH/BATAS_WILAYAH/MapServer/12</x:v>
      </x:c>
    </x:row>
    <x:row r="118" ht="18" customHeight="1">
      <x:c r="A118" s="6" t="str">
        <x:v>15</x:v>
      </x:c>
      <x:c r="B118" s="6" t="str">
        <x:v>JAMBI</x:v>
      </x:c>
      <x:c r="C118" s="6" t="str">
        <x:v>2025</x:v>
      </x:c>
      <x:c r="D118" s="6" t="str">
        <x:v>9</x:v>
      </x:c>
      <x:c r="E118" s="6" t="str">
        <x:v>25.33407982046752</x:v>
      </x:c>
      <x:c r="F118" s="9" t="str">
        <x:v>grid_cells_within_BIG_polygon</x:v>
      </x:c>
      <x:c r="G118" s="6" t="str">
        <x:v>13</x:v>
      </x:c>
      <x:c r="H118" s="8" t="str">
        <x:v>87.29222555443059</x:v>
      </x:c>
      <x:c r="I118" s="6" t="str">
        <x:v>7.146624984797645</x:v>
      </x:c>
      <x:c r="J118" s="6" t="str">
        <x:v>30</x:v>
      </x:c>
      <x:c r="K118" s="6" t="str">
        <x:v>214.39874954392937</x:v>
      </x:c>
      <x:c r="L118" s="6" t="str">
        <x:v>25.009453788458647</x:v>
      </x:c>
      <x:c r="M118" s="6" t="str">
        <x:v>0.22270006707410542</x:v>
      </x:c>
      <x:c r="N118" s="6" t="str">
        <x:v>86.07427533167055</x:v>
      </x:c>
      <x:c r="O118" s="6" t="str">
        <x:v>1.4896137499531734</x:v>
      </x:c>
      <x:c r="P118" s="6" t="str">
        <x:v>134.69191799245903</x:v>
      </x:c>
      <x:c r="Q118" s="6" t="str">
        <x:v>63.829060820823614</x:v>
      </x:c>
      <x:c r="R118" s="6" t="str">
        <x:v>0.3246260320088723</x:v>
      </x:c>
      <x:c r="S118" s="8" t="str">
        <x:v>1.4576826862869785</x:v>
      </x:c>
      <x:c r="T118" s="6" t="str">
        <x:v>1.217950222760038</x:v>
      </x:c>
      <x:c r="U118" s="8" t="str">
        <x:v>0.8176282091906877</x:v>
      </x:c>
      <x:c r="V118" s="6" t="str">
        <x:v>79.70683155147034</x:v>
      </x:c>
      <x:c r="W118" s="8" t="str">
        <x:v>1.2487545723916833</x:v>
      </x:c>
      <x:c r="X118" s="6" t="str">
        <x:v>1.114440670465176</x:v>
      </x:c>
      <x:c r="Y118" s="6" t="str">
        <x:v>2.445795697016646</x:v>
      </x:c>
      <x:c r="Z118" s="6" t="str">
        <x:v>1.6726396845896006</x:v>
      </x:c>
      <x:c r="AA118" s="6" t="str">
        <x:v>-0.22907748195332786</x:v>
      </x:c>
      <x:c r="AB118" s="6" t="str">
        <x:v>-0.8025248020981564</x:v>
      </x:c>
      <x:c r="AC118" s="6" t="str">
        <x:v>-0.07132469162026552</x:v>
      </x:c>
      <x:c r="AD118" s="6" t="str">
        <x:v>1.4945215876425046</x:v>
      </x:c>
      <x:c r="AE118" s="6" t="str">
        <x:v>0.0267975000839038</x:v>
      </x:c>
      <x:c r="AF118" s="6" t="str">
        <x:v>0.9233578867060305</x:v>
      </x:c>
      <x:c r="AG118" s="6" t="str">
        <x:v>1</x:v>
      </x:c>
      <x:c r="AH118" s="6" t="str">
        <x:v>1</x:v>
      </x:c>
      <x:c r="AI118" s="6" t="str">
        <x:v>2025-09</x:v>
      </x:c>
      <x:c r="AJ118" s="9" t="str">
        <x:v>NASA POWER (MERRA-2 meteorology)</x:v>
      </x:c>
      <x:c r="AK118" s="9" t="str">
        <x:v>Badan Informasi Geospasial (BIG)</x:v>
      </x:c>
      <x:c r="AL118" s="9" t="str">
        <x:v>https://power.larc.nasa.gov/docs/services/api/temporal/monthly/</x:v>
      </x:c>
      <x:c r="AM118" s="9" t="str">
        <x:v>https://geoservices.big.go.id/rbi/rest/services/BATASWILAYAH/BATAS_WILAYAH/MapServer/12</x:v>
      </x:c>
    </x:row>
    <x:row r="119" ht="18" customHeight="1">
      <x:c r="A119" s="6" t="str">
        <x:v>15</x:v>
      </x:c>
      <x:c r="B119" s="6" t="str">
        <x:v>JAMBI</x:v>
      </x:c>
      <x:c r="C119" s="6" t="str">
        <x:v>2025</x:v>
      </x:c>
      <x:c r="D119" s="6" t="str">
        <x:v>10</x:v>
      </x:c>
      <x:c r="E119" s="6" t="str">
        <x:v>25.504872720319657</x:v>
      </x:c>
      <x:c r="F119" s="9" t="str">
        <x:v>grid_cells_within_BIG_polygon</x:v>
      </x:c>
      <x:c r="G119" s="6" t="str">
        <x:v>13</x:v>
      </x:c>
      <x:c r="H119" s="8" t="str">
        <x:v>85.96673824959693</x:v>
      </x:c>
      <x:c r="I119" s="6" t="str">
        <x:v>6.209706750926342</x:v>
      </x:c>
      <x:c r="J119" s="6" t="str">
        <x:v>31</x:v>
      </x:c>
      <x:c r="K119" s="6" t="str">
        <x:v>192.50090927871662</x:v>
      </x:c>
      <x:c r="L119" s="6" t="str">
        <x:v>25.22194955458492</x:v>
      </x:c>
      <x:c r="M119" s="6" t="str">
        <x:v>0.2524045375030047</x:v>
      </x:c>
      <x:c r="N119" s="6" t="str">
        <x:v>86.38067256838107</x:v>
      </x:c>
      <x:c r="O119" s="6" t="str">
        <x:v>1.8665164492438346</x:v>
      </x:c>
      <x:c r="P119" s="6" t="str">
        <x:v>201.25464846954432</x:v>
      </x:c>
      <x:c r="Q119" s="6" t="str">
        <x:v>81.18322673215691</x:v>
      </x:c>
      <x:c r="R119" s="6" t="str">
        <x:v>0.2829231657347364</x:v>
      </x:c>
      <x:c r="S119" s="8" t="str">
        <x:v>1.120911567334119</x:v>
      </x:c>
      <x:c r="T119" s="6" t="str">
        <x:v>-0.41393431878414333</x:v>
      </x:c>
      <x:c r="U119" s="8" t="str">
        <x:v>-0.22176837442382943</x:v>
      </x:c>
      <x:c r="V119" s="6" t="str">
        <x:v>-8.753739190827702</x:v>
      </x:c>
      <x:c r="W119" s="8" t="str">
        <x:v>-0.1078269433624313</x:v>
      </x:c>
      <x:c r="X119" s="6" t="str">
        <x:v>1.4576826862869785</x:v>
      </x:c>
      <x:c r="Y119" s="6" t="str">
        <x:v>1.114440670465176</x:v>
      </x:c>
      <x:c r="Z119" s="6" t="str">
        <x:v>1.2310116413620913</x:v>
      </x:c>
      <x:c r="AA119" s="6" t="str">
        <x:v>0.8176282091906877</x:v>
      </x:c>
      <x:c r="AB119" s="6" t="str">
        <x:v>-0.22907748195332786</x:v>
      </x:c>
      <x:c r="AC119" s="6" t="str">
        <x:v>0.12226078427117677</x:v>
      </x:c>
      <x:c r="AD119" s="6" t="str">
        <x:v>1.2487545723916833</x:v>
      </x:c>
      <x:c r="AE119" s="6" t="str">
        <x:v>1.4945215876425046</x:v>
      </x:c>
      <x:c r="AF119" s="6" t="str">
        <x:v>0.8784830722239186</x:v>
      </x:c>
      <x:c r="AG119" s="6" t="str">
        <x:v>0</x:v>
      </x:c>
      <x:c r="AH119" s="6" t="str">
        <x:v>1</x:v>
      </x:c>
      <x:c r="AI119" s="6" t="str">
        <x:v>2025-10</x:v>
      </x:c>
      <x:c r="AJ119" s="9" t="str">
        <x:v>NASA POWER (MERRA-2 meteorology)</x:v>
      </x:c>
      <x:c r="AK119" s="9" t="str">
        <x:v>Badan Informasi Geospasial (BIG)</x:v>
      </x:c>
      <x:c r="AL119" s="9" t="str">
        <x:v>https://power.larc.nasa.gov/docs/services/api/temporal/monthly/</x:v>
      </x:c>
      <x:c r="AM119" s="9" t="str">
        <x:v>https://geoservices.big.go.id/rbi/rest/services/BATASWILAYAH/BATAS_WILAYAH/MapServer/12</x:v>
      </x:c>
    </x:row>
    <x:row r="120" ht="18" customHeight="1">
      <x:c r="A120" s="6" t="str">
        <x:v>15</x:v>
      </x:c>
      <x:c r="B120" s="6" t="str">
        <x:v>JAMBI</x:v>
      </x:c>
      <x:c r="C120" s="6" t="str">
        <x:v>2025</x:v>
      </x:c>
      <x:c r="D120" s="6" t="str">
        <x:v>11</x:v>
      </x:c>
      <x:c r="E120" s="6" t="str">
        <x:v>25.42411998911291</x:v>
      </x:c>
      <x:c r="F120" s="9" t="str">
        <x:v>grid_cells_within_BIG_polygon</x:v>
      </x:c>
      <x:c r="G120" s="6" t="str">
        <x:v>13</x:v>
      </x:c>
      <x:c r="H120" s="8" t="str">
        <x:v>86.55217832558404</x:v>
      </x:c>
      <x:c r="I120" s="6" t="str">
        <x:v>9.682534458381616</x:v>
      </x:c>
      <x:c r="J120" s="6" t="str">
        <x:v>30</x:v>
      </x:c>
      <x:c r="K120" s="6" t="str">
        <x:v>290.4760337514485</x:v>
      </x:c>
      <x:c r="L120" s="6" t="str">
        <x:v>25.13999704389743</x:v>
      </x:c>
      <x:c r="M120" s="6" t="str">
        <x:v>0.2703058585974732</x:v>
      </x:c>
      <x:c r="N120" s="6" t="str">
        <x:v>88.24599055008508</x:v>
      </x:c>
      <x:c r="O120" s="6" t="str">
        <x:v>1.1207147521627727</x:v>
      </x:c>
      <x:c r="P120" s="6" t="str">
        <x:v>254.63644979552808</x:v>
      </x:c>
      <x:c r="Q120" s="6" t="str">
        <x:v>74.9060139885792</x:v>
      </x:c>
      <x:c r="R120" s="6" t="str">
        <x:v>0.2841229452154792</x:v>
      </x:c>
      <x:c r="S120" s="8" t="str">
        <x:v>1.051116489630296</x:v>
      </x:c>
      <x:c r="T120" s="6" t="str">
        <x:v>-1.6938122245010447</x:v>
      </x:c>
      <x:c r="U120" s="8" t="str">
        <x:v>-1.5113678313168446</x:v>
      </x:c>
      <x:c r="V120" s="6" t="str">
        <x:v>35.8395839559204</x:v>
      </x:c>
      <x:c r="W120" s="8" t="str">
        <x:v>0.47846070091761667</x:v>
      </x:c>
      <x:c r="X120" s="6" t="str">
        <x:v>1.120911567334119</x:v>
      </x:c>
      <x:c r="Y120" s="6" t="str">
        <x:v>1.4576826862869785</x:v>
      </x:c>
      <x:c r="Z120" s="6" t="str">
        <x:v>1.2099035810837981</x:v>
      </x:c>
      <x:c r="AA120" s="6" t="str">
        <x:v>-0.22176837442382943</x:v>
      </x:c>
      <x:c r="AB120" s="6" t="str">
        <x:v>0.8176282091906877</x:v>
      </x:c>
      <x:c r="AC120" s="6" t="str">
        <x:v>-0.3051693321833288</x:v>
      </x:c>
      <x:c r="AD120" s="6" t="str">
        <x:v>-0.1078269433624313</x:v>
      </x:c>
      <x:c r="AE120" s="6" t="str">
        <x:v>1.2487545723916833</x:v>
      </x:c>
      <x:c r="AF120" s="6" t="str">
        <x:v>0.5397961099822894</x:v>
      </x:c>
      <x:c r="AG120" s="6" t="str">
        <x:v>0</x:v>
      </x:c>
      <x:c r="AH120" s="6" t="str">
        <x:v>1</x:v>
      </x:c>
      <x:c r="AI120" s="6" t="str">
        <x:v>2025-11</x:v>
      </x:c>
      <x:c r="AJ120" s="9" t="str">
        <x:v>NASA POWER (MERRA-2 meteorology)</x:v>
      </x:c>
      <x:c r="AK120" s="9" t="str">
        <x:v>Badan Informasi Geospasial (BIG)</x:v>
      </x:c>
      <x:c r="AL120" s="9" t="str">
        <x:v>https://power.larc.nasa.gov/docs/services/api/temporal/monthly/</x:v>
      </x:c>
      <x:c r="AM120" s="9" t="str">
        <x:v>https://geoservices.big.go.id/rbi/rest/services/BATASWILAYAH/BATAS_WILAYAH/MapServer/12</x:v>
      </x:c>
    </x:row>
    <x:row r="121" ht="18" customHeight="1">
      <x:c r="A121" s="6" t="str">
        <x:v>15</x:v>
      </x:c>
      <x:c r="B121" s="6" t="str">
        <x:v>JAMBI</x:v>
      </x:c>
      <x:c r="C121" s="6" t="str">
        <x:v>2025</x:v>
      </x:c>
      <x:c r="D121" s="6" t="str">
        <x:v>12</x:v>
      </x:c>
      <x:c r="E121" s="6" t="str">
        <x:v>25.12328317032766</x:v>
      </x:c>
      <x:c r="F121" s="9" t="str">
        <x:v>grid_cells_within_BIG_polygon</x:v>
      </x:c>
      <x:c r="G121" s="6" t="str">
        <x:v>13</x:v>
      </x:c>
      <x:c r="H121" s="8" t="str">
        <x:v>89.4109104475619</x:v>
      </x:c>
      <x:c r="I121" s="6" t="str">
        <x:v>12.311556762230254</x:v>
      </x:c>
      <x:c r="J121" s="6" t="str">
        <x:v>31</x:v>
      </x:c>
      <x:c r="K121" s="6" t="str">
        <x:v>381.6582596291379</x:v>
      </x:c>
      <x:c r="L121" s="6" t="str">
        <x:v>24.79484023548332</x:v>
      </x:c>
      <x:c r="M121" s="6" t="str">
        <x:v>0.2861738427337746</x:v>
      </x:c>
      <x:c r="N121" s="6" t="str">
        <x:v>89.34887576608254</x:v>
      </x:c>
      <x:c r="O121" s="6" t="str">
        <x:v>1.0913573079887926</x:v>
      </x:c>
      <x:c r="P121" s="6" t="str">
        <x:v>227.59137471203556</x:v>
      </x:c>
      <x:c r="Q121" s="6" t="str">
        <x:v>53.164297189108645</x:v>
      </x:c>
      <x:c r="R121" s="6" t="str">
        <x:v>0.3284429348443396</x:v>
      </x:c>
      <x:c r="S121" s="8" t="str">
        <x:v>1.1477042475537766</x:v>
      </x:c>
      <x:c r="T121" s="6" t="str">
        <x:v>0.06203468147936064</x:v>
      </x:c>
      <x:c r="U121" s="8" t="str">
        <x:v>0.05684177035812518</x:v>
      </x:c>
      <x:c r="V121" s="6" t="str">
        <x:v>154.06688491710233</x:v>
      </x:c>
      <x:c r="W121" s="8" t="str">
        <x:v>2.8979389000305416</x:v>
      </x:c>
      <x:c r="X121" s="6" t="str">
        <x:v>1.051116489630296</x:v>
      </x:c>
      <x:c r="Y121" s="6" t="str">
        <x:v>1.120911567334119</x:v>
      </x:c>
      <x:c r="Z121" s="6" t="str">
        <x:v>1.1065774348393975</x:v>
      </x:c>
      <x:c r="AA121" s="6" t="str">
        <x:v>-1.5113678313168446</x:v>
      </x:c>
      <x:c r="AB121" s="6" t="str">
        <x:v>-0.22176837442382943</x:v>
      </x:c>
      <x:c r="AC121" s="6" t="str">
        <x:v>-0.5587648117941829</x:v>
      </x:c>
      <x:c r="AD121" s="6" t="str">
        <x:v>0.47846070091761667</x:v>
      </x:c>
      <x:c r="AE121" s="6" t="str">
        <x:v>-0.1078269433624313</x:v>
      </x:c>
      <x:c r="AF121" s="6" t="str">
        <x:v>1.0895242191952421</x:v>
      </x:c>
      <x:c r="AG121" s="6" t="str">
        <x:v>1</x:v>
      </x:c>
      <x:c r="AH121" s="6" t="str">
        <x:v>1</x:v>
      </x:c>
      <x:c r="AI121" s="6" t="str">
        <x:v>2025-12</x:v>
      </x:c>
      <x:c r="AJ121" s="9" t="str">
        <x:v>NASA POWER (MERRA-2 meteorology)</x:v>
      </x:c>
      <x:c r="AK121" s="9" t="str">
        <x:v>Badan Informasi Geospasial (BIG)</x:v>
      </x:c>
      <x:c r="AL121" s="9" t="str">
        <x:v>https://power.larc.nasa.gov/docs/services/api/temporal/monthly/</x:v>
      </x:c>
      <x:c r="AM121" s="9" t="str">
        <x:v>https://geoservices.big.go.id/rbi/rest/services/BATASWILAYAH/BATAS_WILAYAH/MapServer/12</x:v>
      </x:c>
    </x:row>
    <x:row r="122" ht="18" customHeight="1">
      <x:c r="A122" s="6" t="str">
        <x:v>16</x:v>
      </x:c>
      <x:c r="B122" s="6" t="str">
        <x:v>SUMATERA SELATAN</x:v>
      </x:c>
      <x:c r="C122" s="6" t="str">
        <x:v>2024</x:v>
      </x:c>
      <x:c r="D122" s="6" t="str">
        <x:v>1</x:v>
      </x:c>
      <x:c r="E122" s="6" t="str">
        <x:v>26.335505815485597</x:v>
      </x:c>
      <x:c r="F122" s="9" t="str">
        <x:v>grid_cells_within_BIG_polygon</x:v>
      </x:c>
      <x:c r="G122" s="6" t="str">
        <x:v>23</x:v>
      </x:c>
      <x:c r="H122" s="8" t="str">
        <x:v>88.32210261252904</x:v>
      </x:c>
      <x:c r="I122" s="6" t="str">
        <x:v>9.175405314978716</x:v>
      </x:c>
      <x:c r="J122" s="6" t="str">
        <x:v>31</x:v>
      </x:c>
      <x:c r="K122" s="6" t="str">
        <x:v>284.4375647643402</x:v>
      </x:c>
      <x:c r="L122" s="6" t="str">
        <x:v>25.287857439330782</x:v>
      </x:c>
      <x:c r="M122" s="6" t="str">
        <x:v>0.4456031455533918</x:v>
      </x:c>
      <x:c r="N122" s="6" t="str">
        <x:v>89.453564398162</x:v>
      </x:c>
      <x:c r="O122" s="6" t="str">
        <x:v>1.2219493854474544</x:v>
      </x:c>
      <x:c r="P122" s="6" t="str">
        <x:v>241.73522392585815</x:v>
      </x:c>
      <x:c r="Q122" s="6" t="str">
        <x:v>68.57886433468128</x:v>
      </x:c>
      <x:c r="R122" s="6" t="str">
        <x:v>1.0476483761548145</x:v>
      </x:c>
      <x:c r="S122" s="8" t="str">
        <x:v>2.3510794001549216</x:v>
      </x:c>
      <x:c r="T122" s="6" t="str">
        <x:v>-1.1314617856329647</x:v>
      </x:c>
      <x:c r="U122" s="8" t="str">
        <x:v>-0.9259481604621825</x:v>
      </x:c>
      <x:c r="V122" s="6" t="str">
        <x:v>42.70234083848206</x:v>
      </x:c>
      <x:c r="W122" s="8" t="str">
        <x:v>0.6226749488017825</x:v>
      </x:c>
      <x:c r="X122" s="6" t="str">
        <x:v>3.5881488307226457</x:v>
      </x:c>
      <x:c r="Y122" s="6" t="str">
        <x:v>2.554296147563501</x:v>
      </x:c>
      <x:c r="Z122" s="6" t="str">
        <x:v>2.8311747928136897</x:v>
      </x:c>
      <x:c r="AA122" s="6" t="str">
        <x:v>-1.8265609855933151</x:v>
      </x:c>
      <x:c r="AB122" s="6" t="str">
        <x:v>-0.8189181585845116</x:v>
      </x:c>
      <x:c r="AC122" s="6" t="str">
        <x:v>-1.1904757682133367</x:v>
      </x:c>
      <x:c r="AD122" s="6" t="str">
        <x:v>-1.126500298359252</x:v>
      </x:c>
      <x:c r="AE122" s="6" t="str">
        <x:v>-1.043386143723049</x:v>
      </x:c>
      <x:c r="AF122" s="6" t="str">
        <x:v>-0.5157371644268395</x:v>
      </x:c>
      <x:c r="AG122" s="6" t="str">
        <x:v>0</x:v>
      </x:c>
      <x:c r="AH122" s="6" t="str">
        <x:v>1</x:v>
      </x:c>
      <x:c r="AI122" s="6" t="str">
        <x:v>2024-01</x:v>
      </x:c>
      <x:c r="AJ122" s="9" t="str">
        <x:v>NASA POWER (MERRA-2 meteorology)</x:v>
      </x:c>
      <x:c r="AK122" s="9" t="str">
        <x:v>Badan Informasi Geospasial (BIG)</x:v>
      </x:c>
      <x:c r="AL122" s="9" t="str">
        <x:v>https://power.larc.nasa.gov/docs/services/api/temporal/monthly/</x:v>
      </x:c>
      <x:c r="AM122" s="9" t="str">
        <x:v>https://geoservices.big.go.id/rbi/rest/services/BATASWILAYAH/BATAS_WILAYAH/MapServer/12</x:v>
      </x:c>
    </x:row>
    <x:row r="123" ht="18" customHeight="1">
      <x:c r="A123" s="6" t="str">
        <x:v>16</x:v>
      </x:c>
      <x:c r="B123" s="6" t="str">
        <x:v>SUMATERA SELATAN</x:v>
      </x:c>
      <x:c r="C123" s="6" t="str">
        <x:v>2024</x:v>
      </x:c>
      <x:c r="D123" s="6" t="str">
        <x:v>2</x:v>
      </x:c>
      <x:c r="E123" s="6" t="str">
        <x:v>26.5720507148686</x:v>
      </x:c>
      <x:c r="F123" s="9" t="str">
        <x:v>grid_cells_within_BIG_polygon</x:v>
      </x:c>
      <x:c r="G123" s="6" t="str">
        <x:v>23</x:v>
      </x:c>
      <x:c r="H123" s="8" t="str">
        <x:v>89.28341742728803</x:v>
      </x:c>
      <x:c r="I123" s="6" t="str">
        <x:v>12.488646211607735</x:v>
      </x:c>
      <x:c r="J123" s="6" t="str">
        <x:v>29</x:v>
      </x:c>
      <x:c r="K123" s="6" t="str">
        <x:v>362.1707401366243</x:v>
      </x:c>
      <x:c r="L123" s="6" t="str">
        <x:v>25.41500426559015</x:v>
      </x:c>
      <x:c r="M123" s="6" t="str">
        <x:v>0.4379297329311289</x:v>
      </x:c>
      <x:c r="N123" s="6" t="str">
        <x:v>89.13294502634568</x:v>
      </x:c>
      <x:c r="O123" s="6" t="str">
        <x:v>0.7895535309043281</x:v>
      </x:c>
      <x:c r="P123" s="6" t="str">
        <x:v>221.33108864153556</x:v>
      </x:c>
      <x:c r="Q123" s="6" t="str">
        <x:v>57.17708871103288</x:v>
      </x:c>
      <x:c r="R123" s="6" t="str">
        <x:v>1.1570464492784502</x:v>
      </x:c>
      <x:c r="S123" s="8" t="str">
        <x:v>2.6420824216117187</x:v>
      </x:c>
      <x:c r="T123" s="6" t="str">
        <x:v>0.15047240094234837</x:v>
      </x:c>
      <x:c r="U123" s="8" t="str">
        <x:v>0.1905790995197024</x:v>
      </x:c>
      <x:c r="V123" s="6" t="str">
        <x:v>140.83965149508876</x:v>
      </x:c>
      <x:c r="W123" s="8" t="str">
        <x:v>2.4632183042210816</x:v>
      </x:c>
      <x:c r="X123" s="6" t="str">
        <x:v>2.3510794001549216</x:v>
      </x:c>
      <x:c r="Y123" s="6" t="str">
        <x:v>3.5881488307226457</x:v>
      </x:c>
      <x:c r="Z123" s="6" t="str">
        <x:v>2.860436884163096</x:v>
      </x:c>
      <x:c r="AA123" s="6" t="str">
        <x:v>-0.9259481604621825</x:v>
      </x:c>
      <x:c r="AB123" s="6" t="str">
        <x:v>-1.8265609855933151</x:v>
      </x:c>
      <x:c r="AC123" s="6" t="str">
        <x:v>-0.8539766821785987</x:v>
      </x:c>
      <x:c r="AD123" s="6" t="str">
        <x:v>0.6226749488017825</x:v>
      </x:c>
      <x:c r="AE123" s="6" t="str">
        <x:v>-1.126500298359252</x:v>
      </x:c>
      <x:c r="AF123" s="6" t="str">
        <x:v>0.6531309848878707</x:v>
      </x:c>
      <x:c r="AG123" s="6" t="str">
        <x:v>1</x:v>
      </x:c>
      <x:c r="AH123" s="6" t="str">
        <x:v>1</x:v>
      </x:c>
      <x:c r="AI123" s="6" t="str">
        <x:v>2024-02</x:v>
      </x:c>
      <x:c r="AJ123" s="9" t="str">
        <x:v>NASA POWER (MERRA-2 meteorology)</x:v>
      </x:c>
      <x:c r="AK123" s="9" t="str">
        <x:v>Badan Informasi Geospasial (BIG)</x:v>
      </x:c>
      <x:c r="AL123" s="9" t="str">
        <x:v>https://power.larc.nasa.gov/docs/services/api/temporal/monthly/</x:v>
      </x:c>
      <x:c r="AM123" s="9" t="str">
        <x:v>https://geoservices.big.go.id/rbi/rest/services/BATASWILAYAH/BATAS_WILAYAH/MapServer/12</x:v>
      </x:c>
    </x:row>
    <x:row r="124" ht="18" customHeight="1">
      <x:c r="A124" s="6" t="str">
        <x:v>16</x:v>
      </x:c>
      <x:c r="B124" s="6" t="str">
        <x:v>SUMATERA SELATAN</x:v>
      </x:c>
      <x:c r="C124" s="6" t="str">
        <x:v>2024</x:v>
      </x:c>
      <x:c r="D124" s="6" t="str">
        <x:v>3</x:v>
      </x:c>
      <x:c r="E124" s="6" t="str">
        <x:v>26.749907043485557</x:v>
      </x:c>
      <x:c r="F124" s="9" t="str">
        <x:v>grid_cells_within_BIG_polygon</x:v>
      </x:c>
      <x:c r="G124" s="6" t="str">
        <x:v>23</x:v>
      </x:c>
      <x:c r="H124" s="8" t="str">
        <x:v>88.4032187063604</x:v>
      </x:c>
      <x:c r="I124" s="6" t="str">
        <x:v>12.943260523890837</x:v>
      </x:c>
      <x:c r="J124" s="6" t="str">
        <x:v>31</x:v>
      </x:c>
      <x:c r="K124" s="6" t="str">
        <x:v>401.24107624061594</x:v>
      </x:c>
      <x:c r="L124" s="6" t="str">
        <x:v>25.811488305699545</x:v>
      </x:c>
      <x:c r="M124" s="6" t="str">
        <x:v>0.3607985196092</x:v>
      </x:c>
      <x:c r="N124" s="6" t="str">
        <x:v>88.21669115635176</x:v>
      </x:c>
      <x:c r="O124" s="6" t="str">
        <x:v>0.8969427771829557</x:v>
      </x:c>
      <x:c r="P124" s="6" t="str">
        <x:v>274.31873486588</x:v>
      </x:c>
      <x:c r="Q124" s="6" t="str">
        <x:v>80.30978714779837</x:v>
      </x:c>
      <x:c r="R124" s="6" t="str">
        <x:v>0.9384187377860123</x:v>
      </x:c>
      <x:c r="S124" s="8" t="str">
        <x:v>2.600949523857424</x:v>
      </x:c>
      <x:c r="T124" s="6" t="str">
        <x:v>0.1865275500086483</x:v>
      </x:c>
      <x:c r="U124" s="8" t="str">
        <x:v>0.20795925309134963</x:v>
      </x:c>
      <x:c r="V124" s="6" t="str">
        <x:v>126.92234137473594</x:v>
      </x:c>
      <x:c r="W124" s="8" t="str">
        <x:v>1.5804093857346926</x:v>
      </x:c>
      <x:c r="X124" s="6" t="str">
        <x:v>2.6420824216117187</x:v>
      </x:c>
      <x:c r="Y124" s="6" t="str">
        <x:v>2.3510794001549216</x:v>
      </x:c>
      <x:c r="Z124" s="6" t="str">
        <x:v>2.5313704485413555</x:v>
      </x:c>
      <x:c r="AA124" s="6" t="str">
        <x:v>0.1905790995197024</x:v>
      </x:c>
      <x:c r="AB124" s="6" t="str">
        <x:v>-0.9259481604621825</x:v>
      </x:c>
      <x:c r="AC124" s="6" t="str">
        <x:v>-0.17580326928371046</x:v>
      </x:c>
      <x:c r="AD124" s="6" t="str">
        <x:v>2.4632183042210816</x:v>
      </x:c>
      <x:c r="AE124" s="6" t="str">
        <x:v>0.6226749488017825</x:v>
      </x:c>
      <x:c r="AF124" s="6" t="str">
        <x:v>1.5554342129191856</x:v>
      </x:c>
      <x:c r="AG124" s="6" t="str">
        <x:v>1</x:v>
      </x:c>
      <x:c r="AH124" s="6" t="str">
        <x:v>1</x:v>
      </x:c>
      <x:c r="AI124" s="6" t="str">
        <x:v>2024-03</x:v>
      </x:c>
      <x:c r="AJ124" s="9" t="str">
        <x:v>NASA POWER (MERRA-2 meteorology)</x:v>
      </x:c>
      <x:c r="AK124" s="9" t="str">
        <x:v>Badan Informasi Geospasial (BIG)</x:v>
      </x:c>
      <x:c r="AL124" s="9" t="str">
        <x:v>https://power.larc.nasa.gov/docs/services/api/temporal/monthly/</x:v>
      </x:c>
      <x:c r="AM124" s="9" t="str">
        <x:v>https://geoservices.big.go.id/rbi/rest/services/BATASWILAYAH/BATAS_WILAYAH/MapServer/12</x:v>
      </x:c>
    </x:row>
    <x:row r="125" ht="18" customHeight="1">
      <x:c r="A125" s="6" t="str">
        <x:v>16</x:v>
      </x:c>
      <x:c r="B125" s="6" t="str">
        <x:v>SUMATERA SELATAN</x:v>
      </x:c>
      <x:c r="C125" s="6" t="str">
        <x:v>2024</x:v>
      </x:c>
      <x:c r="D125" s="6" t="str">
        <x:v>4</x:v>
      </x:c>
      <x:c r="E125" s="6" t="str">
        <x:v>27.35338226779757</x:v>
      </x:c>
      <x:c r="F125" s="9" t="str">
        <x:v>grid_cells_within_BIG_polygon</x:v>
      </x:c>
      <x:c r="G125" s="6" t="str">
        <x:v>23</x:v>
      </x:c>
      <x:c r="H125" s="8" t="str">
        <x:v>88.14610361760256</x:v>
      </x:c>
      <x:c r="I125" s="6" t="str">
        <x:v>10.173950444443244</x:v>
      </x:c>
      <x:c r="J125" s="6" t="str">
        <x:v>30</x:v>
      </x:c>
      <x:c r="K125" s="6" t="str">
        <x:v>305.2185133332973</x:v>
      </x:c>
      <x:c r="L125" s="6" t="str">
        <x:v>26.15458170541076</x:v>
      </x:c>
      <x:c r="M125" s="6" t="str">
        <x:v>0.34868197362045644</x:v>
      </x:c>
      <x:c r="N125" s="6" t="str">
        <x:v>88.12973512123038</x:v>
      </x:c>
      <x:c r="O125" s="6" t="str">
        <x:v>0.7664609647646273</x:v>
      </x:c>
      <x:c r="P125" s="6" t="str">
        <x:v>246.35035538891987</x:v>
      </x:c>
      <x:c r="Q125" s="6" t="str">
        <x:v>69.54924031433143</x:v>
      </x:c>
      <x:c r="R125" s="6" t="str">
        <x:v>1.1988005623868112</x:v>
      </x:c>
      <x:c r="S125" s="8" t="str">
        <x:v>3.4380915937217815</x:v>
      </x:c>
      <x:c r="T125" s="6" t="str">
        <x:v>0.01636849637218063</x:v>
      </x:c>
      <x:c r="U125" s="8" t="str">
        <x:v>0.02135594260460118</x:v>
      </x:c>
      <x:c r="V125" s="6" t="str">
        <x:v>58.86815794437746</x:v>
      </x:c>
      <x:c r="W125" s="8" t="str">
        <x:v>0.8464241690968836</x:v>
      </x:c>
      <x:c r="X125" s="6" t="str">
        <x:v>2.600949523857424</x:v>
      </x:c>
      <x:c r="Y125" s="6" t="str">
        <x:v>2.6420824216117187</x:v>
      </x:c>
      <x:c r="Z125" s="6" t="str">
        <x:v>2.893707846396975</x:v>
      </x:c>
      <x:c r="AA125" s="6" t="str">
        <x:v>0.20795925309134963</x:v>
      </x:c>
      <x:c r="AB125" s="6" t="str">
        <x:v>0.1905790995197024</x:v>
      </x:c>
      <x:c r="AC125" s="6" t="str">
        <x:v>0.1399647650718841</x:v>
      </x:c>
      <x:c r="AD125" s="6" t="str">
        <x:v>1.5804093857346926</x:v>
      </x:c>
      <x:c r="AE125" s="6" t="str">
        <x:v>2.4632183042210816</x:v>
      </x:c>
      <x:c r="AF125" s="6" t="str">
        <x:v>1.6300172863508857</x:v>
      </x:c>
      <x:c r="AG125" s="6" t="str">
        <x:v>0</x:v>
      </x:c>
      <x:c r="AH125" s="6" t="str">
        <x:v>1</x:v>
      </x:c>
      <x:c r="AI125" s="6" t="str">
        <x:v>2024-04</x:v>
      </x:c>
      <x:c r="AJ125" s="9" t="str">
        <x:v>NASA POWER (MERRA-2 meteorology)</x:v>
      </x:c>
      <x:c r="AK125" s="9" t="str">
        <x:v>Badan Informasi Geospasial (BIG)</x:v>
      </x:c>
      <x:c r="AL125" s="9" t="str">
        <x:v>https://power.larc.nasa.gov/docs/services/api/temporal/monthly/</x:v>
      </x:c>
      <x:c r="AM125" s="9" t="str">
        <x:v>https://geoservices.big.go.id/rbi/rest/services/BATASWILAYAH/BATAS_WILAYAH/MapServer/12</x:v>
      </x:c>
    </x:row>
    <x:row r="126" ht="18" customHeight="1">
      <x:c r="A126" s="6" t="str">
        <x:v>16</x:v>
      </x:c>
      <x:c r="B126" s="6" t="str">
        <x:v>SUMATERA SELATAN</x:v>
      </x:c>
      <x:c r="C126" s="6" t="str">
        <x:v>2024</x:v>
      </x:c>
      <x:c r="D126" s="6" t="str">
        <x:v>5</x:v>
      </x:c>
      <x:c r="E126" s="6" t="str">
        <x:v>27.25076622540649</x:v>
      </x:c>
      <x:c r="F126" s="9" t="str">
        <x:v>grid_cells_within_BIG_polygon</x:v>
      </x:c>
      <x:c r="G126" s="6" t="str">
        <x:v>23</x:v>
      </x:c>
      <x:c r="H126" s="8" t="str">
        <x:v>89.35281099008293</x:v>
      </x:c>
      <x:c r="I126" s="6" t="str">
        <x:v>10.07173339273659</x:v>
      </x:c>
      <x:c r="J126" s="6" t="str">
        <x:v>31</x:v>
      </x:c>
      <x:c r="K126" s="6" t="str">
        <x:v>312.2237351748343</x:v>
      </x:c>
      <x:c r="L126" s="6" t="str">
        <x:v>26.17949416099351</x:v>
      </x:c>
      <x:c r="M126" s="6" t="str">
        <x:v>0.3362891426692117</x:v>
      </x:c>
      <x:c r="N126" s="6" t="str">
        <x:v>88.53974109223296</x:v>
      </x:c>
      <x:c r="O126" s="6" t="str">
        <x:v>0.8137655536793618</x:v>
      </x:c>
      <x:c r="P126" s="6" t="str">
        <x:v>169.245756167642</x:v>
      </x:c>
      <x:c r="Q126" s="6" t="str">
        <x:v>56.61148672217603</x:v>
      </x:c>
      <x:c r="R126" s="6" t="str">
        <x:v>1.0712720644129803</x:v>
      </x:c>
      <x:c r="S126" s="8" t="str">
        <x:v>3.185568394834349</x:v>
      </x:c>
      <x:c r="T126" s="6" t="str">
        <x:v>0.8130698978499709</x:v>
      </x:c>
      <x:c r="U126" s="8" t="str">
        <x:v>0.9991451397441861</x:v>
      </x:c>
      <x:c r="V126" s="6" t="str">
        <x:v>142.9779790071923</x:v>
      </x:c>
      <x:c r="W126" s="8" t="str">
        <x:v>2.5256001438164755</x:v>
      </x:c>
      <x:c r="X126" s="6" t="str">
        <x:v>3.4380915937217815</x:v>
      </x:c>
      <x:c r="Y126" s="6" t="str">
        <x:v>2.600949523857424</x:v>
      </x:c>
      <x:c r="Z126" s="6" t="str">
        <x:v>3.0748698374711854</x:v>
      </x:c>
      <x:c r="AA126" s="6" t="str">
        <x:v>0.02135594260460118</x:v>
      </x:c>
      <x:c r="AB126" s="6" t="str">
        <x:v>0.20795925309134963</x:v>
      </x:c>
      <x:c r="AC126" s="6" t="str">
        <x:v>0.40948677848004533</x:v>
      </x:c>
      <x:c r="AD126" s="6" t="str">
        <x:v>0.8464241690968836</x:v>
      </x:c>
      <x:c r="AE126" s="6" t="str">
        <x:v>1.5804093857346926</x:v>
      </x:c>
      <x:c r="AF126" s="6" t="str">
        <x:v>1.6508112328826838</x:v>
      </x:c>
      <x:c r="AG126" s="6" t="str">
        <x:v>1</x:v>
      </x:c>
      <x:c r="AH126" s="6" t="str">
        <x:v>1</x:v>
      </x:c>
      <x:c r="AI126" s="6" t="str">
        <x:v>2024-05</x:v>
      </x:c>
      <x:c r="AJ126" s="9" t="str">
        <x:v>NASA POWER (MERRA-2 meteorology)</x:v>
      </x:c>
      <x:c r="AK126" s="9" t="str">
        <x:v>Badan Informasi Geospasial (BIG)</x:v>
      </x:c>
      <x:c r="AL126" s="9" t="str">
        <x:v>https://power.larc.nasa.gov/docs/services/api/temporal/monthly/</x:v>
      </x:c>
      <x:c r="AM126" s="9" t="str">
        <x:v>https://geoservices.big.go.id/rbi/rest/services/BATASWILAYAH/BATAS_WILAYAH/MapServer/12</x:v>
      </x:c>
    </x:row>
    <x:row r="127" ht="18" customHeight="1">
      <x:c r="A127" s="6" t="str">
        <x:v>16</x:v>
      </x:c>
      <x:c r="B127" s="6" t="str">
        <x:v>SUMATERA SELATAN</x:v>
      </x:c>
      <x:c r="C127" s="6" t="str">
        <x:v>2024</x:v>
      </x:c>
      <x:c r="D127" s="6" t="str">
        <x:v>6</x:v>
      </x:c>
      <x:c r="E127" s="6" t="str">
        <x:v>26.50249864354718</x:v>
      </x:c>
      <x:c r="F127" s="9" t="str">
        <x:v>grid_cells_within_BIG_polygon</x:v>
      </x:c>
      <x:c r="G127" s="6" t="str">
        <x:v>23</x:v>
      </x:c>
      <x:c r="H127" s="8" t="str">
        <x:v>88.77455299216973</x:v>
      </x:c>
      <x:c r="I127" s="6" t="str">
        <x:v>6.12351406915248</x:v>
      </x:c>
      <x:c r="J127" s="6" t="str">
        <x:v>30</x:v>
      </x:c>
      <x:c r="K127" s="6" t="str">
        <x:v>183.70542207457441</x:v>
      </x:c>
      <x:c r="L127" s="6" t="str">
        <x:v>25.63126987976641</x:v>
      </x:c>
      <x:c r="M127" s="6" t="str">
        <x:v>0.2966257501235447</x:v>
      </x:c>
      <x:c r="N127" s="6" t="str">
        <x:v>88.11552594442986</x:v>
      </x:c>
      <x:c r="O127" s="6" t="str">
        <x:v>1.1086276803371429</x:v>
      </x:c>
      <x:c r="P127" s="6" t="str">
        <x:v>123.88302043979023</x:v>
      </x:c>
      <x:c r="Q127" s="6" t="str">
        <x:v>57.11148505861809</x:v>
      </x:c>
      <x:c r="R127" s="6" t="str">
        <x:v>0.8712287637807705</x:v>
      </x:c>
      <x:c r="S127" s="8" t="str">
        <x:v>2.937131261928216</x:v>
      </x:c>
      <x:c r="T127" s="6" t="str">
        <x:v>0.659027047739869</x:v>
      </x:c>
      <x:c r="U127" s="8" t="str">
        <x:v>0.5944529975468891</x:v>
      </x:c>
      <x:c r="V127" s="6" t="str">
        <x:v>59.822401634784185</x:v>
      </x:c>
      <x:c r="W127" s="8" t="str">
        <x:v>1.0474671000654887</x:v>
      </x:c>
      <x:c r="X127" s="6" t="str">
        <x:v>3.185568394834349</x:v>
      </x:c>
      <x:c r="Y127" s="6" t="str">
        <x:v>3.4380915937217815</x:v>
      </x:c>
      <x:c r="Z127" s="6" t="str">
        <x:v>3.186930416828116</x:v>
      </x:c>
      <x:c r="AA127" s="6" t="str">
        <x:v>0.9991451397441861</x:v>
      </x:c>
      <x:c r="AB127" s="6" t="str">
        <x:v>0.02135594260460118</x:v>
      </x:c>
      <x:c r="AC127" s="6" t="str">
        <x:v>0.5383180266318918</x:v>
      </x:c>
      <x:c r="AD127" s="6" t="str">
        <x:v>2.5256001438164755</x:v>
      </x:c>
      <x:c r="AE127" s="6" t="str">
        <x:v>0.8464241690968836</x:v>
      </x:c>
      <x:c r="AF127" s="6" t="str">
        <x:v>1.4731638043262825</x:v>
      </x:c>
      <x:c r="AG127" s="6" t="str">
        <x:v>1</x:v>
      </x:c>
      <x:c r="AH127" s="6" t="str">
        <x:v>1</x:v>
      </x:c>
      <x:c r="AI127" s="6" t="str">
        <x:v>2024-06</x:v>
      </x:c>
      <x:c r="AJ127" s="9" t="str">
        <x:v>NASA POWER (MERRA-2 meteorology)</x:v>
      </x:c>
      <x:c r="AK127" s="9" t="str">
        <x:v>Badan Informasi Geospasial (BIG)</x:v>
      </x:c>
      <x:c r="AL127" s="9" t="str">
        <x:v>https://power.larc.nasa.gov/docs/services/api/temporal/monthly/</x:v>
      </x:c>
      <x:c r="AM127" s="9" t="str">
        <x:v>https://geoservices.big.go.id/rbi/rest/services/BATASWILAYAH/BATAS_WILAYAH/MapServer/12</x:v>
      </x:c>
    </x:row>
    <x:row r="128" ht="18" customHeight="1">
      <x:c r="A128" s="6" t="str">
        <x:v>16</x:v>
      </x:c>
      <x:c r="B128" s="6" t="str">
        <x:v>SUMATERA SELATAN</x:v>
      </x:c>
      <x:c r="C128" s="6" t="str">
        <x:v>2024</x:v>
      </x:c>
      <x:c r="D128" s="6" t="str">
        <x:v>7</x:v>
      </x:c>
      <x:c r="E128" s="6" t="str">
        <x:v>26.015578642635422</x:v>
      </x:c>
      <x:c r="F128" s="9" t="str">
        <x:v>grid_cells_within_BIG_polygon</x:v>
      </x:c>
      <x:c r="G128" s="6" t="str">
        <x:v>23</x:v>
      </x:c>
      <x:c r="H128" s="8" t="str">
        <x:v>87.43632996337865</x:v>
      </x:c>
      <x:c r="I128" s="6" t="str">
        <x:v>3.3729319246590452</x:v>
      </x:c>
      <x:c r="J128" s="6" t="str">
        <x:v>31</x:v>
      </x:c>
      <x:c r="K128" s="6" t="str">
        <x:v>104.5608896644304</x:v>
      </x:c>
      <x:c r="L128" s="6" t="str">
        <x:v>25.238314872252612</x:v>
      </x:c>
      <x:c r="M128" s="6" t="str">
        <x:v>0.30794546670324374</x:v>
      </x:c>
      <x:c r="N128" s="6" t="str">
        <x:v>87.56884285193641</x:v>
      </x:c>
      <x:c r="O128" s="6" t="str">
        <x:v>1.2058345907305823</x:v>
      </x:c>
      <x:c r="P128" s="6" t="str">
        <x:v>115.7052850227743</x:v>
      </x:c>
      <x:c r="Q128" s="6" t="str">
        <x:v>57.17600549352044</x:v>
      </x:c>
      <x:c r="R128" s="6" t="str">
        <x:v>0.7772637703828096</x:v>
      </x:c>
      <x:c r="S128" s="8" t="str">
        <x:v>2.524030565229367</x:v>
      </x:c>
      <x:c r="T128" s="6" t="str">
        <x:v>-0.13251288855775556</x:v>
      </x:c>
      <x:c r="U128" s="8" t="str">
        <x:v>-0.10989308946384563</x:v>
      </x:c>
      <x:c r="V128" s="6" t="str">
        <x:v>-11.1443953583439</x:v>
      </x:c>
      <x:c r="W128" s="8" t="str">
        <x:v>-0.1949138499996621</x:v>
      </x:c>
      <x:c r="X128" s="6" t="str">
        <x:v>2.937131261928216</x:v>
      </x:c>
      <x:c r="Y128" s="6" t="str">
        <x:v>3.185568394834349</x:v>
      </x:c>
      <x:c r="Z128" s="6" t="str">
        <x:v>2.8822434073306447</x:v>
      </x:c>
      <x:c r="AA128" s="6" t="str">
        <x:v>0.5944529975468891</x:v>
      </x:c>
      <x:c r="AB128" s="6" t="str">
        <x:v>0.9991451397441861</x:v>
      </x:c>
      <x:c r="AC128" s="6" t="str">
        <x:v>0.4945683492757429</x:v>
      </x:c>
      <x:c r="AD128" s="6" t="str">
        <x:v>1.0474671000654887</x:v>
      </x:c>
      <x:c r="AE128" s="6" t="str">
        <x:v>2.5256001438164755</x:v>
      </x:c>
      <x:c r="AF128" s="6" t="str">
        <x:v>1.1260511312941006</x:v>
      </x:c>
      <x:c r="AG128" s="6" t="str">
        <x:v>0</x:v>
      </x:c>
      <x:c r="AH128" s="6" t="str">
        <x:v>1</x:v>
      </x:c>
      <x:c r="AI128" s="6" t="str">
        <x:v>2024-07</x:v>
      </x:c>
      <x:c r="AJ128" s="9" t="str">
        <x:v>NASA POWER (MERRA-2 meteorology)</x:v>
      </x:c>
      <x:c r="AK128" s="9" t="str">
        <x:v>Badan Informasi Geospasial (BIG)</x:v>
      </x:c>
      <x:c r="AL128" s="9" t="str">
        <x:v>https://power.larc.nasa.gov/docs/services/api/temporal/monthly/</x:v>
      </x:c>
      <x:c r="AM128" s="9" t="str">
        <x:v>https://geoservices.big.go.id/rbi/rest/services/BATASWILAYAH/BATAS_WILAYAH/MapServer/12</x:v>
      </x:c>
    </x:row>
    <x:row r="129" ht="18" customHeight="1">
      <x:c r="A129" s="6" t="str">
        <x:v>16</x:v>
      </x:c>
      <x:c r="B129" s="6" t="str">
        <x:v>SUMATERA SELATAN</x:v>
      </x:c>
      <x:c r="C129" s="6" t="str">
        <x:v>2024</x:v>
      </x:c>
      <x:c r="D129" s="6" t="str">
        <x:v>8</x:v>
      </x:c>
      <x:c r="E129" s="6" t="str">
        <x:v>26.175986151109598</x:v>
      </x:c>
      <x:c r="F129" s="9" t="str">
        <x:v>grid_cells_within_BIG_polygon</x:v>
      </x:c>
      <x:c r="G129" s="6" t="str">
        <x:v>23</x:v>
      </x:c>
      <x:c r="H129" s="8" t="str">
        <x:v>86.08119295183269</x:v>
      </x:c>
      <x:c r="I129" s="6" t="str">
        <x:v>0.8827135409601155</x:v>
      </x:c>
      <x:c r="J129" s="6" t="str">
        <x:v>31</x:v>
      </x:c>
      <x:c r="K129" s="6" t="str">
        <x:v>27.36411976976358</x:v>
      </x:c>
      <x:c r="L129" s="6" t="str">
        <x:v>25.356694220225382</x:v>
      </x:c>
      <x:c r="M129" s="6" t="str">
        <x:v>0.2837127698024297</x:v>
      </x:c>
      <x:c r="N129" s="6" t="str">
        <x:v>85.656973603625</x:v>
      </x:c>
      <x:c r="O129" s="6" t="str">
        <x:v>2.048590051839538</x:v>
      </x:c>
      <x:c r="P129" s="6" t="str">
        <x:v>98.62738186975906</x:v>
      </x:c>
      <x:c r="Q129" s="6" t="str">
        <x:v>71.22489740387793</x:v>
      </x:c>
      <x:c r="R129" s="6" t="str">
        <x:v>0.8192919308842157</x:v>
      </x:c>
      <x:c r="S129" s="8" t="str">
        <x:v>2.8877513389853746</x:v>
      </x:c>
      <x:c r="T129" s="6" t="str">
        <x:v>0.4242193482076857</x:v>
      </x:c>
      <x:c r="U129" s="8" t="str">
        <x:v>0.20707869191630437</x:v>
      </x:c>
      <x:c r="V129" s="6" t="str">
        <x:v>-71.26326209999549</x:v>
      </x:c>
      <x:c r="W129" s="8" t="str">
        <x:v>-1.0005386416480182</x:v>
      </x:c>
      <x:c r="X129" s="6" t="str">
        <x:v>2.524030565229367</x:v>
      </x:c>
      <x:c r="Y129" s="6" t="str">
        <x:v>2.937131261928216</x:v>
      </x:c>
      <x:c r="Z129" s="6" t="str">
        <x:v>2.7829710553809863</x:v>
      </x:c>
      <x:c r="AA129" s="6" t="str">
        <x:v>-0.10989308946384563</x:v>
      </x:c>
      <x:c r="AB129" s="6" t="str">
        <x:v>0.5944529975468891</x:v>
      </x:c>
      <x:c r="AC129" s="6" t="str">
        <x:v>0.23054619999978232</x:v>
      </x:c>
      <x:c r="AD129" s="6" t="str">
        <x:v>-0.1949138499996621</x:v>
      </x:c>
      <x:c r="AE129" s="6" t="str">
        <x:v>1.0474671000654887</x:v>
      </x:c>
      <x:c r="AF129" s="6" t="str">
        <x:v>-0.04932846386073053</x:v>
      </x:c>
      <x:c r="AG129" s="6" t="str">
        <x:v>0</x:v>
      </x:c>
      <x:c r="AH129" s="6" t="str">
        <x:v>1</x:v>
      </x:c>
      <x:c r="AI129" s="6" t="str">
        <x:v>2024-08</x:v>
      </x:c>
      <x:c r="AJ129" s="9" t="str">
        <x:v>NASA POWER (MERRA-2 meteorology)</x:v>
      </x:c>
      <x:c r="AK129" s="9" t="str">
        <x:v>Badan Informasi Geospasial (BIG)</x:v>
      </x:c>
      <x:c r="AL129" s="9" t="str">
        <x:v>https://power.larc.nasa.gov/docs/services/api/temporal/monthly/</x:v>
      </x:c>
      <x:c r="AM129" s="9" t="str">
        <x:v>https://geoservices.big.go.id/rbi/rest/services/BATASWILAYAH/BATAS_WILAYAH/MapServer/12</x:v>
      </x:c>
    </x:row>
    <x:row r="130" ht="18" customHeight="1">
      <x:c r="A130" s="6" t="str">
        <x:v>16</x:v>
      </x:c>
      <x:c r="B130" s="6" t="str">
        <x:v>SUMATERA SELATAN</x:v>
      </x:c>
      <x:c r="C130" s="6" t="str">
        <x:v>2024</x:v>
      </x:c>
      <x:c r="D130" s="6" t="str">
        <x:v>9</x:v>
      </x:c>
      <x:c r="E130" s="6" t="str">
        <x:v>26.69378497406448</x:v>
      </x:c>
      <x:c r="F130" s="9" t="str">
        <x:v>grid_cells_within_BIG_polygon</x:v>
      </x:c>
      <x:c r="G130" s="6" t="str">
        <x:v>23</x:v>
      </x:c>
      <x:c r="H130" s="8" t="str">
        <x:v>83.84997481187008</x:v>
      </x:c>
      <x:c r="I130" s="6" t="str">
        <x:v>4.58215832331761</x:v>
      </x:c>
      <x:c r="J130" s="6" t="str">
        <x:v>30</x:v>
      </x:c>
      <x:c r="K130" s="6" t="str">
        <x:v>137.46474969952828</x:v>
      </x:c>
      <x:c r="L130" s="6" t="str">
        <x:v>25.7206723479197</x:v>
      </x:c>
      <x:c r="M130" s="6" t="str">
        <x:v>0.2960825558586625</x:v>
      </x:c>
      <x:c r="N130" s="6" t="str">
        <x:v>83.74752598011406</x:v>
      </x:c>
      <x:c r="O130" s="6" t="str">
        <x:v>3.2041345754896953</x:v>
      </x:c>
      <x:c r="P130" s="6" t="str">
        <x:v>110.32525154393265</x:v>
      </x:c>
      <x:c r="Q130" s="6" t="str">
        <x:v>79.45687238970734</x:v>
      </x:c>
      <x:c r="R130" s="6" t="str">
        <x:v>0.9731126261447827</x:v>
      </x:c>
      <x:c r="S130" s="8" t="str">
        <x:v>3.2866259997070078</x:v>
      </x:c>
      <x:c r="T130" s="6" t="str">
        <x:v>0.10244883175602126</x:v>
      </x:c>
      <x:c r="U130" s="8" t="str">
        <x:v>0.03197394782969244</x:v>
      </x:c>
      <x:c r="V130" s="6" t="str">
        <x:v>27.139498155595632</x:v>
      </x:c>
      <x:c r="W130" s="8" t="str">
        <x:v>0.34156262811964416</x:v>
      </x:c>
      <x:c r="X130" s="6" t="str">
        <x:v>2.8877513389853746</x:v>
      </x:c>
      <x:c r="Y130" s="6" t="str">
        <x:v>2.524030565229367</x:v>
      </x:c>
      <x:c r="Z130" s="6" t="str">
        <x:v>2.8994693013072506</x:v>
      </x:c>
      <x:c r="AA130" s="6" t="str">
        <x:v>0.20707869191630437</x:v>
      </x:c>
      <x:c r="AB130" s="6" t="str">
        <x:v>-0.10989308946384563</x:v>
      </x:c>
      <x:c r="AC130" s="6" t="str">
        <x:v>0.043053183427383436</x:v>
      </x:c>
      <x:c r="AD130" s="6" t="str">
        <x:v>-1.0005386416480182</x:v>
      </x:c>
      <x:c r="AE130" s="6" t="str">
        <x:v>-0.1949138499996621</x:v>
      </x:c>
      <x:c r="AF130" s="6" t="str">
        <x:v>-0.28462995450934536</x:v>
      </x:c>
      <x:c r="AG130" s="6" t="str">
        <x:v>0</x:v>
      </x:c>
      <x:c r="AH130" s="6" t="str">
        <x:v>1</x:v>
      </x:c>
      <x:c r="AI130" s="6" t="str">
        <x:v>2024-09</x:v>
      </x:c>
      <x:c r="AJ130" s="9" t="str">
        <x:v>NASA POWER (MERRA-2 meteorology)</x:v>
      </x:c>
      <x:c r="AK130" s="9" t="str">
        <x:v>Badan Informasi Geospasial (BIG)</x:v>
      </x:c>
      <x:c r="AL130" s="9" t="str">
        <x:v>https://power.larc.nasa.gov/docs/services/api/temporal/monthly/</x:v>
      </x:c>
      <x:c r="AM130" s="9" t="str">
        <x:v>https://geoservices.big.go.id/rbi/rest/services/BATASWILAYAH/BATAS_WILAYAH/MapServer/12</x:v>
      </x:c>
    </x:row>
    <x:row r="131" ht="18" customHeight="1">
      <x:c r="A131" s="6" t="str">
        <x:v>16</x:v>
      </x:c>
      <x:c r="B131" s="6" t="str">
        <x:v>SUMATERA SELATAN</x:v>
      </x:c>
      <x:c r="C131" s="6" t="str">
        <x:v>2024</x:v>
      </x:c>
      <x:c r="D131" s="6" t="str">
        <x:v>10</x:v>
      </x:c>
      <x:c r="E131" s="6" t="str">
        <x:v>27.025454032144424</x:v>
      </x:c>
      <x:c r="F131" s="9" t="str">
        <x:v>grid_cells_within_BIG_polygon</x:v>
      </x:c>
      <x:c r="G131" s="6" t="str">
        <x:v>23</x:v>
      </x:c>
      <x:c r="H131" s="8" t="str">
        <x:v>82.24459890480087</x:v>
      </x:c>
      <x:c r="I131" s="6" t="str">
        <x:v>4.37345869598352</x:v>
      </x:c>
      <x:c r="J131" s="6" t="str">
        <x:v>31</x:v>
      </x:c>
      <x:c r="K131" s="6" t="str">
        <x:v>135.57721957548912</x:v>
      </x:c>
      <x:c r="L131" s="6" t="str">
        <x:v>26.093378626527542</x:v>
      </x:c>
      <x:c r="M131" s="6" t="str">
        <x:v>0.38789174566850115</x:v>
      </x:c>
      <x:c r="N131" s="6" t="str">
        <x:v>83.36222905457808</x:v>
      </x:c>
      <x:c r="O131" s="6" t="str">
        <x:v>4.5991800502373295</x:v>
      </x:c>
      <x:c r="P131" s="6" t="str">
        <x:v>191.59078476722047</x:v>
      </x:c>
      <x:c r="Q131" s="6" t="str">
        <x:v>107.3120100892919</x:v>
      </x:c>
      <x:c r="R131" s="6" t="str">
        <x:v>0.9320754056168816</x:v>
      </x:c>
      <x:c r="S131" s="8" t="str">
        <x:v>2.4029266310127904</x:v>
      </x:c>
      <x:c r="T131" s="6" t="str">
        <x:v>-1.117630149777213</x:v>
      </x:c>
      <x:c r="U131" s="8" t="str">
        <x:v>-0.24300639191534595</x:v>
      </x:c>
      <x:c r="V131" s="6" t="str">
        <x:v>-56.013565191731345</x:v>
      </x:c>
      <x:c r="W131" s="8" t="str">
        <x:v>-0.5219692105769309</x:v>
      </x:c>
      <x:c r="X131" s="6" t="str">
        <x:v>3.2866259997070078</x:v>
      </x:c>
      <x:c r="Y131" s="6" t="str">
        <x:v>2.8877513389853746</x:v>
      </x:c>
      <x:c r="Z131" s="6" t="str">
        <x:v>2.8591013232350577</x:v>
      </x:c>
      <x:c r="AA131" s="6" t="str">
        <x:v>0.03197394782969244</x:v>
      </x:c>
      <x:c r="AB131" s="6" t="str">
        <x:v>0.20707869191630437</x:v>
      </x:c>
      <x:c r="AC131" s="6" t="str">
        <x:v>-0.001317917389783337</x:v>
      </x:c>
      <x:c r="AD131" s="6" t="str">
        <x:v>0.34156262811964416</x:v>
      </x:c>
      <x:c r="AE131" s="6" t="str">
        <x:v>-1.0005386416480182</x:v>
      </x:c>
      <x:c r="AF131" s="6" t="str">
        <x:v>-0.39364840803510165</x:v>
      </x:c>
      <x:c r="AG131" s="6" t="str">
        <x:v>0</x:v>
      </x:c>
      <x:c r="AH131" s="6" t="str">
        <x:v>1</x:v>
      </x:c>
      <x:c r="AI131" s="6" t="str">
        <x:v>2024-10</x:v>
      </x:c>
      <x:c r="AJ131" s="9" t="str">
        <x:v>NASA POWER (MERRA-2 meteorology)</x:v>
      </x:c>
      <x:c r="AK131" s="9" t="str">
        <x:v>Badan Informasi Geospasial (BIG)</x:v>
      </x:c>
      <x:c r="AL131" s="9" t="str">
        <x:v>https://power.larc.nasa.gov/docs/services/api/temporal/monthly/</x:v>
      </x:c>
      <x:c r="AM131" s="9" t="str">
        <x:v>https://geoservices.big.go.id/rbi/rest/services/BATASWILAYAH/BATAS_WILAYAH/MapServer/12</x:v>
      </x:c>
    </x:row>
    <x:row r="132" ht="18" customHeight="1">
      <x:c r="A132" s="6" t="str">
        <x:v>16</x:v>
      </x:c>
      <x:c r="B132" s="6" t="str">
        <x:v>SUMATERA SELATAN</x:v>
      </x:c>
      <x:c r="C132" s="6" t="str">
        <x:v>2024</x:v>
      </x:c>
      <x:c r="D132" s="6" t="str">
        <x:v>11</x:v>
      </x:c>
      <x:c r="E132" s="6" t="str">
        <x:v>26.579420882908956</x:v>
      </x:c>
      <x:c r="F132" s="9" t="str">
        <x:v>grid_cells_within_BIG_polygon</x:v>
      </x:c>
      <x:c r="G132" s="6" t="str">
        <x:v>23</x:v>
      </x:c>
      <x:c r="H132" s="8" t="str">
        <x:v>85.63990074162088</x:v>
      </x:c>
      <x:c r="I132" s="6" t="str">
        <x:v>9.330726720527675</x:v>
      </x:c>
      <x:c r="J132" s="6" t="str">
        <x:v>30</x:v>
      </x:c>
      <x:c r="K132" s="6" t="str">
        <x:v>279.92180161583025</x:v>
      </x:c>
      <x:c r="L132" s="6" t="str">
        <x:v>26.038685616983525</x:v>
      </x:c>
      <x:c r="M132" s="6" t="str">
        <x:v>0.4848673858751867</x:v>
      </x:c>
      <x:c r="N132" s="6" t="str">
        <x:v>85.78519359196541</x:v>
      </x:c>
      <x:c r="O132" s="6" t="str">
        <x:v>2.7936210114001403</x:v>
      </x:c>
      <x:c r="P132" s="6" t="str">
        <x:v>271.0233108396934</x:v>
      </x:c>
      <x:c r="Q132" s="6" t="str">
        <x:v>86.61200167441145</x:v>
      </x:c>
      <x:c r="R132" s="6" t="str">
        <x:v>0.5407352659254308</x:v>
      </x:c>
      <x:c r="S132" s="8" t="str">
        <x:v>1.1152230108226446</x:v>
      </x:c>
      <x:c r="T132" s="6" t="str">
        <x:v>-0.1452928503445321</x:v>
      </x:c>
      <x:c r="U132" s="8" t="str">
        <x:v>-0.052008790652570476</x:v>
      </x:c>
      <x:c r="V132" s="6" t="str">
        <x:v>8.898490776136839</x:v>
      </x:c>
      <x:c r="W132" s="8" t="str">
        <x:v>0.10273969662527496</x:v>
      </x:c>
      <x:c r="X132" s="6" t="str">
        <x:v>2.4029266310127904</x:v>
      </x:c>
      <x:c r="Y132" s="6" t="str">
        <x:v>3.2866259997070078</x:v>
      </x:c>
      <x:c r="Z132" s="6" t="str">
        <x:v>2.2682585471808148</x:v>
      </x:c>
      <x:c r="AA132" s="6" t="str">
        <x:v>-0.24300639191534595</x:v>
      </x:c>
      <x:c r="AB132" s="6" t="str">
        <x:v>0.03197394782969244</x:v>
      </x:c>
      <x:c r="AC132" s="6" t="str">
        <x:v>-0.0876804115794083</x:v>
      </x:c>
      <x:c r="AD132" s="6" t="str">
        <x:v>-0.5219692105769309</x:v>
      </x:c>
      <x:c r="AE132" s="6" t="str">
        <x:v>0.34156262811964416</x:v>
      </x:c>
      <x:c r="AF132" s="6" t="str">
        <x:v>-0.02588896194400391</x:v>
      </x:c>
      <x:c r="AG132" s="6" t="str">
        <x:v>0</x:v>
      </x:c>
      <x:c r="AH132" s="6" t="str">
        <x:v>1</x:v>
      </x:c>
      <x:c r="AI132" s="6" t="str">
        <x:v>2024-11</x:v>
      </x:c>
      <x:c r="AJ132" s="9" t="str">
        <x:v>NASA POWER (MERRA-2 meteorology)</x:v>
      </x:c>
      <x:c r="AK132" s="9" t="str">
        <x:v>Badan Informasi Geospasial (BIG)</x:v>
      </x:c>
      <x:c r="AL132" s="9" t="str">
        <x:v>https://power.larc.nasa.gov/docs/services/api/temporal/monthly/</x:v>
      </x:c>
      <x:c r="AM132" s="9" t="str">
        <x:v>https://geoservices.big.go.id/rbi/rest/services/BATASWILAYAH/BATAS_WILAYAH/MapServer/12</x:v>
      </x:c>
    </x:row>
    <x:row r="133" ht="18" customHeight="1">
      <x:c r="A133" s="6" t="str">
        <x:v>16</x:v>
      </x:c>
      <x:c r="B133" s="6" t="str">
        <x:v>SUMATERA SELATAN</x:v>
      </x:c>
      <x:c r="C133" s="6" t="str">
        <x:v>2024</x:v>
      </x:c>
      <x:c r="D133" s="6" t="str">
        <x:v>12</x:v>
      </x:c>
      <x:c r="E133" s="6" t="str">
        <x:v>26.141651522511705</x:v>
      </x:c>
      <x:c r="F133" s="9" t="str">
        <x:v>grid_cells_within_BIG_polygon</x:v>
      </x:c>
      <x:c r="G133" s="6" t="str">
        <x:v>23</x:v>
      </x:c>
      <x:c r="H133" s="8" t="str">
        <x:v>87.18343229275969</x:v>
      </x:c>
      <x:c r="I133" s="6" t="str">
        <x:v>10.193264294625598</x:v>
      </x:c>
      <x:c r="J133" s="6" t="str">
        <x:v>31</x:v>
      </x:c>
      <x:c r="K133" s="6" t="str">
        <x:v>315.99119313339355</x:v>
      </x:c>
      <x:c r="L133" s="6" t="str">
        <x:v>25.49536052133378</x:v>
      </x:c>
      <x:c r="M133" s="6" t="str">
        <x:v>0.37154257392746753</x:v>
      </x:c>
      <x:c r="N133" s="6" t="str">
        <x:v>88.73596699183264</x:v>
      </x:c>
      <x:c r="O133" s="6" t="str">
        <x:v>1.285298715348464</x:v>
      </x:c>
      <x:c r="P133" s="6" t="str">
        <x:v>299.95222082722864</x:v>
      </x:c>
      <x:c r="Q133" s="6" t="str">
        <x:v>64.91984216947975</x:v>
      </x:c>
      <x:c r="R133" s="6" t="str">
        <x:v>0.646291001177925</x:v>
      </x:c>
      <x:c r="S133" s="8" t="str">
        <x:v>1.7394803355808528</x:v>
      </x:c>
      <x:c r="T133" s="6" t="str">
        <x:v>-1.5525346990729503</x:v>
      </x:c>
      <x:c r="U133" s="8" t="str">
        <x:v>-1.2079174129198709</x:v>
      </x:c>
      <x:c r="V133" s="6" t="str">
        <x:v>16.038972306164908</x:v>
      </x:c>
      <x:c r="W133" s="8" t="str">
        <x:v>0.24705809148909458</x:v>
      </x:c>
      <x:c r="X133" s="6" t="str">
        <x:v>1.1152230108226446</x:v>
      </x:c>
      <x:c r="Y133" s="6" t="str">
        <x:v>2.4029266310127904</x:v>
      </x:c>
      <x:c r="Z133" s="6" t="str">
        <x:v>1.7525433258054297</x:v>
      </x:c>
      <x:c r="AA133" s="6" t="str">
        <x:v>-0.052008790652570476</x:v>
      </x:c>
      <x:c r="AB133" s="6" t="str">
        <x:v>-0.24300639191534595</x:v>
      </x:c>
      <x:c r="AC133" s="6" t="str">
        <x:v>-0.5009775318292627</x:v>
      </x:c>
      <x:c r="AD133" s="6" t="str">
        <x:v>0.10273969662527496</x:v>
      </x:c>
      <x:c r="AE133" s="6" t="str">
        <x:v>-0.5219692105769309</x:v>
      </x:c>
      <x:c r="AF133" s="6" t="str">
        <x:v>-0.0573904741541871</x:v>
      </x:c>
      <x:c r="AG133" s="6" t="str">
        <x:v>0</x:v>
      </x:c>
      <x:c r="AH133" s="6" t="str">
        <x:v>1</x:v>
      </x:c>
      <x:c r="AI133" s="6" t="str">
        <x:v>2024-12</x:v>
      </x:c>
      <x:c r="AJ133" s="9" t="str">
        <x:v>NASA POWER (MERRA-2 meteorology)</x:v>
      </x:c>
      <x:c r="AK133" s="9" t="str">
        <x:v>Badan Informasi Geospasial (BIG)</x:v>
      </x:c>
      <x:c r="AL133" s="9" t="str">
        <x:v>https://power.larc.nasa.gov/docs/services/api/temporal/monthly/</x:v>
      </x:c>
      <x:c r="AM133" s="9" t="str">
        <x:v>https://geoservices.big.go.id/rbi/rest/services/BATASWILAYAH/BATAS_WILAYAH/MapServer/12</x:v>
      </x:c>
    </x:row>
    <x:row r="134" ht="18" customHeight="1">
      <x:c r="A134" s="6" t="str">
        <x:v>16</x:v>
      </x:c>
      <x:c r="B134" s="6" t="str">
        <x:v>SUMATERA SELATAN</x:v>
      </x:c>
      <x:c r="C134" s="6" t="str">
        <x:v>2025</x:v>
      </x:c>
      <x:c r="D134" s="6" t="str">
        <x:v>1</x:v>
      </x:c>
      <x:c r="E134" s="6" t="str">
        <x:v>25.512427776118866</x:v>
      </x:c>
      <x:c r="F134" s="9" t="str">
        <x:v>grid_cells_within_BIG_polygon</x:v>
      </x:c>
      <x:c r="G134" s="6" t="str">
        <x:v>23</x:v>
      </x:c>
      <x:c r="H134" s="8" t="str">
        <x:v>90.27060188611298</x:v>
      </x:c>
      <x:c r="I134" s="6" t="str">
        <x:v>9.72078746803515</x:v>
      </x:c>
      <x:c r="J134" s="6" t="str">
        <x:v>31</x:v>
      </x:c>
      <x:c r="K134" s="6" t="str">
        <x:v>301.34441150908964</x:v>
      </x:c>
      <x:c r="L134" s="6" t="str">
        <x:v>25.287857439330782</x:v>
      </x:c>
      <x:c r="M134" s="6" t="str">
        <x:v>0.4456031455533918</x:v>
      </x:c>
      <x:c r="N134" s="6" t="str">
        <x:v>89.453564398162</x:v>
      </x:c>
      <x:c r="O134" s="6" t="str">
        <x:v>1.2219493854474544</x:v>
      </x:c>
      <x:c r="P134" s="6" t="str">
        <x:v>241.73522392585815</x:v>
      </x:c>
      <x:c r="Q134" s="6" t="str">
        <x:v>68.57886433468128</x:v>
      </x:c>
      <x:c r="R134" s="6" t="str">
        <x:v>0.22457033678808358</x:v>
      </x:c>
      <x:c r="S134" s="8" t="str">
        <x:v>0.5039693705689421</x:v>
      </x:c>
      <x:c r="T134" s="6" t="str">
        <x:v>0.8170374879509836</x:v>
      </x:c>
      <x:c r="U134" s="8" t="str">
        <x:v>0.668634476747824</x:v>
      </x:c>
      <x:c r="V134" s="6" t="str">
        <x:v>59.60918758323149</x:v>
      </x:c>
      <x:c r="W134" s="8" t="str">
        <x:v>0.8692063970660753</x:v>
      </x:c>
      <x:c r="X134" s="6" t="str">
        <x:v>1.7394803355808528</x:v>
      </x:c>
      <x:c r="Y134" s="6" t="str">
        <x:v>1.1152230108226446</x:v>
      </x:c>
      <x:c r="Z134" s="6" t="str">
        <x:v>1.1195575723241469</x:v>
      </x:c>
      <x:c r="AA134" s="6" t="str">
        <x:v>-1.2079174129198709</x:v>
      </x:c>
      <x:c r="AB134" s="6" t="str">
        <x:v>-0.052008790652570476</x:v>
      </x:c>
      <x:c r="AC134" s="6" t="str">
        <x:v>-0.1970972422748727</x:v>
      </x:c>
      <x:c r="AD134" s="6" t="str">
        <x:v>0.24705809148909458</x:v>
      </x:c>
      <x:c r="AE134" s="6" t="str">
        <x:v>0.10273969662527496</x:v>
      </x:c>
      <x:c r="AF134" s="6" t="str">
        <x:v>0.40633472839348167</x:v>
      </x:c>
      <x:c r="AG134" s="6" t="str">
        <x:v>0</x:v>
      </x:c>
      <x:c r="AH134" s="6" t="str">
        <x:v>0</x:v>
      </x:c>
      <x:c r="AI134" s="6" t="str">
        <x:v>2025-01</x:v>
      </x:c>
      <x:c r="AJ134" s="9" t="str">
        <x:v>NASA POWER (MERRA-2 meteorology)</x:v>
      </x:c>
      <x:c r="AK134" s="9" t="str">
        <x:v>Badan Informasi Geospasial (BIG)</x:v>
      </x:c>
      <x:c r="AL134" s="9" t="str">
        <x:v>https://power.larc.nasa.gov/docs/services/api/temporal/monthly/</x:v>
      </x:c>
      <x:c r="AM134" s="9" t="str">
        <x:v>https://geoservices.big.go.id/rbi/rest/services/BATASWILAYAH/BATAS_WILAYAH/MapServer/12</x:v>
      </x:c>
    </x:row>
    <x:row r="135" ht="18" customHeight="1">
      <x:c r="A135" s="6" t="str">
        <x:v>16</x:v>
      </x:c>
      <x:c r="B135" s="6" t="str">
        <x:v>SUMATERA SELATAN</x:v>
      </x:c>
      <x:c r="C135" s="6" t="str">
        <x:v>2025</x:v>
      </x:c>
      <x:c r="D135" s="6" t="str">
        <x:v>2</x:v>
      </x:c>
      <x:c r="E135" s="6" t="str">
        <x:v>25.714648874134127</x:v>
      </x:c>
      <x:c r="F135" s="9" t="str">
        <x:v>grid_cells_within_BIG_polygon</x:v>
      </x:c>
      <x:c r="G135" s="6" t="str">
        <x:v>23</x:v>
      </x:c>
      <x:c r="H135" s="8" t="str">
        <x:v>88.96938392333385</x:v>
      </x:c>
      <x:c r="I135" s="6" t="str">
        <x:v>9.641293508010616</x:v>
      </x:c>
      <x:c r="J135" s="6" t="str">
        <x:v>28</x:v>
      </x:c>
      <x:c r="K135" s="6" t="str">
        <x:v>269.95621822429723</x:v>
      </x:c>
      <x:c r="L135" s="6" t="str">
        <x:v>25.41500426559015</x:v>
      </x:c>
      <x:c r="M135" s="6" t="str">
        <x:v>0.4379297329311289</x:v>
      </x:c>
      <x:c r="N135" s="6" t="str">
        <x:v>89.13294502634568</x:v>
      </x:c>
      <x:c r="O135" s="6" t="str">
        <x:v>0.7895535309043281</x:v>
      </x:c>
      <x:c r="P135" s="6" t="str">
        <x:v>221.33108864153556</x:v>
      </x:c>
      <x:c r="Q135" s="6" t="str">
        <x:v>57.17708871103288</x:v>
      </x:c>
      <x:c r="R135" s="6" t="str">
        <x:v>0.29964460854397856</x:v>
      </x:c>
      <x:c r="S135" s="8" t="str">
        <x:v>0.684229879844907</x:v>
      </x:c>
      <x:c r="T135" s="6" t="str">
        <x:v>-0.1635611030118298</x:v>
      </x:c>
      <x:c r="U135" s="8" t="str">
        <x:v>-0.20715644552243645</x:v>
      </x:c>
      <x:c r="V135" s="6" t="str">
        <x:v>48.62512958276167</x:v>
      </x:c>
      <x:c r="W135" s="8" t="str">
        <x:v>0.8504303153402593</x:v>
      </x:c>
      <x:c r="X135" s="6" t="str">
        <x:v>0.5039693705689421</x:v>
      </x:c>
      <x:c r="Y135" s="6" t="str">
        <x:v>1.7394803355808528</x:v>
      </x:c>
      <x:c r="Z135" s="6" t="str">
        <x:v>0.9758931953315678</x:v>
      </x:c>
      <x:c r="AA135" s="6" t="str">
        <x:v>0.668634476747824</x:v>
      </x:c>
      <x:c r="AB135" s="6" t="str">
        <x:v>-1.2079174129198709</x:v>
      </x:c>
      <x:c r="AC135" s="6" t="str">
        <x:v>-0.2488131272314947</x:v>
      </x:c>
      <x:c r="AD135" s="6" t="str">
        <x:v>0.8692063970660753</x:v>
      </x:c>
      <x:c r="AE135" s="6" t="str">
        <x:v>0.24705809148909458</x:v>
      </x:c>
      <x:c r="AF135" s="6" t="str">
        <x:v>0.6555649346318098</x:v>
      </x:c>
      <x:c r="AG135" s="6" t="str">
        <x:v>0</x:v>
      </x:c>
      <x:c r="AH135" s="6" t="str">
        <x:v>0</x:v>
      </x:c>
      <x:c r="AI135" s="6" t="str">
        <x:v>2025-02</x:v>
      </x:c>
      <x:c r="AJ135" s="9" t="str">
        <x:v>NASA POWER (MERRA-2 meteorology)</x:v>
      </x:c>
      <x:c r="AK135" s="9" t="str">
        <x:v>Badan Informasi Geospasial (BIG)</x:v>
      </x:c>
      <x:c r="AL135" s="9" t="str">
        <x:v>https://power.larc.nasa.gov/docs/services/api/temporal/monthly/</x:v>
      </x:c>
      <x:c r="AM135" s="9" t="str">
        <x:v>https://geoservices.big.go.id/rbi/rest/services/BATASWILAYAH/BATAS_WILAYAH/MapServer/12</x:v>
      </x:c>
    </x:row>
    <x:row r="136" ht="18" customHeight="1">
      <x:c r="A136" s="6" t="str">
        <x:v>16</x:v>
      </x:c>
      <x:c r="B136" s="6" t="str">
        <x:v>SUMATERA SELATAN</x:v>
      </x:c>
      <x:c r="C136" s="6" t="str">
        <x:v>2025</x:v>
      </x:c>
      <x:c r="D136" s="6" t="str">
        <x:v>3</x:v>
      </x:c>
      <x:c r="E136" s="6" t="str">
        <x:v>26.06425098143068</x:v>
      </x:c>
      <x:c r="F136" s="9" t="str">
        <x:v>grid_cells_within_BIG_polygon</x:v>
      </x:c>
      <x:c r="G136" s="6" t="str">
        <x:v>23</x:v>
      </x:c>
      <x:c r="H136" s="8" t="str">
        <x:v>89.39610843343515</x:v>
      </x:c>
      <x:c r="I136" s="6" t="str">
        <x:v>12.39908806072469</x:v>
      </x:c>
      <x:c r="J136" s="6" t="str">
        <x:v>31</x:v>
      </x:c>
      <x:c r="K136" s="6" t="str">
        <x:v>384.3717298824654</x:v>
      </x:c>
      <x:c r="L136" s="6" t="str">
        <x:v>25.811488305699545</x:v>
      </x:c>
      <x:c r="M136" s="6" t="str">
        <x:v>0.3607985196092</x:v>
      </x:c>
      <x:c r="N136" s="6" t="str">
        <x:v>88.21669115635176</x:v>
      </x:c>
      <x:c r="O136" s="6" t="str">
        <x:v>0.8969427771829557</x:v>
      </x:c>
      <x:c r="P136" s="6" t="str">
        <x:v>274.31873486588</x:v>
      </x:c>
      <x:c r="Q136" s="6" t="str">
        <x:v>80.30978714779837</x:v>
      </x:c>
      <x:c r="R136" s="6" t="str">
        <x:v>0.25276267573113387</x:v>
      </x:c>
      <x:c r="S136" s="8" t="str">
        <x:v>0.7005646143030589</x:v>
      </x:c>
      <x:c r="T136" s="6" t="str">
        <x:v>1.1794172770833882</x:v>
      </x:c>
      <x:c r="U136" s="8" t="str">
        <x:v>1.3149303468250284</x:v>
      </x:c>
      <x:c r="V136" s="6" t="str">
        <x:v>110.05299501658538</x:v>
      </x:c>
      <x:c r="W136" s="8" t="str">
        <x:v>1.3703559544249446</x:v>
      </x:c>
      <x:c r="X136" s="6" t="str">
        <x:v>0.684229879844907</x:v>
      </x:c>
      <x:c r="Y136" s="6" t="str">
        <x:v>0.5039693705689421</x:v>
      </x:c>
      <x:c r="Z136" s="6" t="str">
        <x:v>0.6295879549056365</x:v>
      </x:c>
      <x:c r="AA136" s="6" t="str">
        <x:v>-0.20715644552243645</x:v>
      </x:c>
      <x:c r="AB136" s="6" t="str">
        <x:v>0.668634476747824</x:v>
      </x:c>
      <x:c r="AC136" s="6" t="str">
        <x:v>0.5921361260168051</x:v>
      </x:c>
      <x:c r="AD136" s="6" t="str">
        <x:v>0.8504303153402593</x:v>
      </x:c>
      <x:c r="AE136" s="6" t="str">
        <x:v>0.8692063970660753</x:v>
      </x:c>
      <x:c r="AF136" s="6" t="str">
        <x:v>1.0299975556104266</x:v>
      </x:c>
      <x:c r="AG136" s="6" t="str">
        <x:v>1</x:v>
      </x:c>
      <x:c r="AH136" s="6" t="str">
        <x:v>0</x:v>
      </x:c>
      <x:c r="AI136" s="6" t="str">
        <x:v>2025-03</x:v>
      </x:c>
      <x:c r="AJ136" s="9" t="str">
        <x:v>NASA POWER (MERRA-2 meteorology)</x:v>
      </x:c>
      <x:c r="AK136" s="9" t="str">
        <x:v>Badan Informasi Geospasial (BIG)</x:v>
      </x:c>
      <x:c r="AL136" s="9" t="str">
        <x:v>https://power.larc.nasa.gov/docs/services/api/temporal/monthly/</x:v>
      </x:c>
      <x:c r="AM136" s="9" t="str">
        <x:v>https://geoservices.big.go.id/rbi/rest/services/BATASWILAYAH/BATAS_WILAYAH/MapServer/12</x:v>
      </x:c>
    </x:row>
    <x:row r="137" ht="18" customHeight="1">
      <x:c r="A137" s="6" t="str">
        <x:v>16</x:v>
      </x:c>
      <x:c r="B137" s="6" t="str">
        <x:v>SUMATERA SELATAN</x:v>
      </x:c>
      <x:c r="C137" s="6" t="str">
        <x:v>2025</x:v>
      </x:c>
      <x:c r="D137" s="6" t="str">
        <x:v>4</x:v>
      </x:c>
      <x:c r="E137" s="6" t="str">
        <x:v>26.329072307923365</x:v>
      </x:c>
      <x:c r="F137" s="9" t="str">
        <x:v>grid_cells_within_BIG_polygon</x:v>
      </x:c>
      <x:c r="G137" s="6" t="str">
        <x:v>23</x:v>
      </x:c>
      <x:c r="H137" s="8" t="str">
        <x:v>87.4512346688119</x:v>
      </x:c>
      <x:c r="I137" s="6" t="str">
        <x:v>9.531028097383805</x:v>
      </x:c>
      <x:c r="J137" s="6" t="str">
        <x:v>30</x:v>
      </x:c>
      <x:c r="K137" s="6" t="str">
        <x:v>285.93084292151417</x:v>
      </x:c>
      <x:c r="L137" s="6" t="str">
        <x:v>26.15458170541076</x:v>
      </x:c>
      <x:c r="M137" s="6" t="str">
        <x:v>0.34868197362045644</x:v>
      </x:c>
      <x:c r="N137" s="6" t="str">
        <x:v>88.12973512123038</x:v>
      </x:c>
      <x:c r="O137" s="6" t="str">
        <x:v>0.7664609647646273</x:v>
      </x:c>
      <x:c r="P137" s="6" t="str">
        <x:v>246.35035538891987</x:v>
      </x:c>
      <x:c r="Q137" s="6" t="str">
        <x:v>69.54924031433143</x:v>
      </x:c>
      <x:c r="R137" s="6" t="str">
        <x:v>0.17449060251260562</x:v>
      </x:c>
      <x:c r="S137" s="8" t="str">
        <x:v>0.500429089295394</x:v>
      </x:c>
      <x:c r="T137" s="6" t="str">
        <x:v>-0.6785004524184757</x:v>
      </x:c>
      <x:c r="U137" s="8" t="str">
        <x:v>-0.8852381055398386</x:v>
      </x:c>
      <x:c r="V137" s="6" t="str">
        <x:v>39.580487532594304</x:v>
      </x:c>
      <x:c r="W137" s="8" t="str">
        <x:v>0.5691002138011605</x:v>
      </x:c>
      <x:c r="X137" s="6" t="str">
        <x:v>0.7005646143030589</x:v>
      </x:c>
      <x:c r="Y137" s="6" t="str">
        <x:v>0.684229879844907</x:v>
      </x:c>
      <x:c r="Z137" s="6" t="str">
        <x:v>0.6284078611477871</x:v>
      </x:c>
      <x:c r="AA137" s="6" t="str">
        <x:v>1.3149303468250284</x:v>
      </x:c>
      <x:c r="AB137" s="6" t="str">
        <x:v>-0.20715644552243645</x:v>
      </x:c>
      <x:c r="AC137" s="6" t="str">
        <x:v>0.07417859858758417</x:v>
      </x:c>
      <x:c r="AD137" s="6" t="str">
        <x:v>1.3703559544249446</x:v>
      </x:c>
      <x:c r="AE137" s="6" t="str">
        <x:v>0.8504303153402593</x:v>
      </x:c>
      <x:c r="AF137" s="6" t="str">
        <x:v>0.9299621611887883</x:v>
      </x:c>
      <x:c r="AG137" s="6" t="str">
        <x:v>0</x:v>
      </x:c>
      <x:c r="AH137" s="6" t="str">
        <x:v>0</x:v>
      </x:c>
      <x:c r="AI137" s="6" t="str">
        <x:v>2025-04</x:v>
      </x:c>
      <x:c r="AJ137" s="9" t="str">
        <x:v>NASA POWER (MERRA-2 meteorology)</x:v>
      </x:c>
      <x:c r="AK137" s="9" t="str">
        <x:v>Badan Informasi Geospasial (BIG)</x:v>
      </x:c>
      <x:c r="AL137" s="9" t="str">
        <x:v>https://power.larc.nasa.gov/docs/services/api/temporal/monthly/</x:v>
      </x:c>
      <x:c r="AM137" s="9" t="str">
        <x:v>https://geoservices.big.go.id/rbi/rest/services/BATASWILAYAH/BATAS_WILAYAH/MapServer/12</x:v>
      </x:c>
    </x:row>
    <x:row r="138" ht="18" customHeight="1">
      <x:c r="A138" s="6" t="str">
        <x:v>16</x:v>
      </x:c>
      <x:c r="B138" s="6" t="str">
        <x:v>SUMATERA SELATAN</x:v>
      </x:c>
      <x:c r="C138" s="6" t="str">
        <x:v>2025</x:v>
      </x:c>
      <x:c r="D138" s="6" t="str">
        <x:v>5</x:v>
      </x:c>
      <x:c r="E138" s="6" t="str">
        <x:v>26.754289343586212</x:v>
      </x:c>
      <x:c r="F138" s="9" t="str">
        <x:v>grid_cells_within_BIG_polygon</x:v>
      </x:c>
      <x:c r="G138" s="6" t="str">
        <x:v>23</x:v>
      </x:c>
      <x:c r="H138" s="8" t="str">
        <x:v>86.82746583348846</x:v>
      </x:c>
      <x:c r="I138" s="6" t="str">
        <x:v>5.282483357381652</x:v>
      </x:c>
      <x:c r="J138" s="6" t="str">
        <x:v>31</x:v>
      </x:c>
      <x:c r="K138" s="6" t="str">
        <x:v>163.7569840788312</x:v>
      </x:c>
      <x:c r="L138" s="6" t="str">
        <x:v>26.17949416099351</x:v>
      </x:c>
      <x:c r="M138" s="6" t="str">
        <x:v>0.3362891426692117</x:v>
      </x:c>
      <x:c r="N138" s="6" t="str">
        <x:v>88.53974109223296</x:v>
      </x:c>
      <x:c r="O138" s="6" t="str">
        <x:v>0.8137655536793618</x:v>
      </x:c>
      <x:c r="P138" s="6" t="str">
        <x:v>169.245756167642</x:v>
      </x:c>
      <x:c r="Q138" s="6" t="str">
        <x:v>56.61148672217603</x:v>
      </x:c>
      <x:c r="R138" s="6" t="str">
        <x:v>0.5747951825927018</x:v>
      </x:c>
      <x:c r="S138" s="8" t="str">
        <x:v>1.7092290819453981</x:v>
      </x:c>
      <x:c r="T138" s="6" t="str">
        <x:v>-1.7122752587444978</x:v>
      </x:c>
      <x:c r="U138" s="8" t="str">
        <x:v>-2.104138287744685</x:v>
      </x:c>
      <x:c r="V138" s="6" t="str">
        <x:v>-5.488772088810805</x:v>
      </x:c>
      <x:c r="W138" s="8" t="str">
        <x:v>-0.09695509527504999</x:v>
      </x:c>
      <x:c r="X138" s="6" t="str">
        <x:v>0.500429089295394</x:v>
      </x:c>
      <x:c r="Y138" s="6" t="str">
        <x:v>0.7005646143030589</x:v>
      </x:c>
      <x:c r="Z138" s="6" t="str">
        <x:v>0.9700742618479508</x:v>
      </x:c>
      <x:c r="AA138" s="6" t="str">
        <x:v>-0.8852381055398386</x:v>
      </x:c>
      <x:c r="AB138" s="6" t="str">
        <x:v>1.3149303468250284</x:v>
      </x:c>
      <x:c r="AC138" s="6" t="str">
        <x:v>-0.5581486821531653</x:v>
      </x:c>
      <x:c r="AD138" s="6" t="str">
        <x:v>0.5691002138011605</x:v>
      </x:c>
      <x:c r="AE138" s="6" t="str">
        <x:v>1.3703559544249446</x:v>
      </x:c>
      <x:c r="AF138" s="6" t="str">
        <x:v>0.6141670243170184</x:v>
      </x:c>
      <x:c r="AG138" s="6" t="str">
        <x:v>0</x:v>
      </x:c>
      <x:c r="AH138" s="6" t="str">
        <x:v>1</x:v>
      </x:c>
      <x:c r="AI138" s="6" t="str">
        <x:v>2025-05</x:v>
      </x:c>
      <x:c r="AJ138" s="9" t="str">
        <x:v>NASA POWER (MERRA-2 meteorology)</x:v>
      </x:c>
      <x:c r="AK138" s="9" t="str">
        <x:v>Badan Informasi Geospasial (BIG)</x:v>
      </x:c>
      <x:c r="AL138" s="9" t="str">
        <x:v>https://power.larc.nasa.gov/docs/services/api/temporal/monthly/</x:v>
      </x:c>
      <x:c r="AM138" s="9" t="str">
        <x:v>https://geoservices.big.go.id/rbi/rest/services/BATASWILAYAH/BATAS_WILAYAH/MapServer/12</x:v>
      </x:c>
    </x:row>
    <x:row r="139" ht="18" customHeight="1">
      <x:c r="A139" s="6" t="str">
        <x:v>16</x:v>
      </x:c>
      <x:c r="B139" s="6" t="str">
        <x:v>SUMATERA SELATAN</x:v>
      </x:c>
      <x:c r="C139" s="6" t="str">
        <x:v>2025</x:v>
      </x:c>
      <x:c r="D139" s="6" t="str">
        <x:v>6</x:v>
      </x:c>
      <x:c r="E139" s="6" t="str">
        <x:v>25.991625686603758</x:v>
      </x:c>
      <x:c r="F139" s="9" t="str">
        <x:v>grid_cells_within_BIG_polygon</x:v>
      </x:c>
      <x:c r="G139" s="6" t="str">
        <x:v>23</x:v>
      </x:c>
      <x:c r="H139" s="8" t="str">
        <x:v>87.62713382378521</x:v>
      </x:c>
      <x:c r="I139" s="6" t="str">
        <x:v>3.860493647011339</x:v>
      </x:c>
      <x:c r="J139" s="6" t="str">
        <x:v>30</x:v>
      </x:c>
      <x:c r="K139" s="6" t="str">
        <x:v>115.81480941034017</x:v>
      </x:c>
      <x:c r="L139" s="6" t="str">
        <x:v>25.63126987976641</x:v>
      </x:c>
      <x:c r="M139" s="6" t="str">
        <x:v>0.2966257501235447</x:v>
      </x:c>
      <x:c r="N139" s="6" t="str">
        <x:v>88.11552594442986</x:v>
      </x:c>
      <x:c r="O139" s="6" t="str">
        <x:v>1.1086276803371429</x:v>
      </x:c>
      <x:c r="P139" s="6" t="str">
        <x:v>123.88302043979023</x:v>
      </x:c>
      <x:c r="Q139" s="6" t="str">
        <x:v>57.11148505861809</x:v>
      </x:c>
      <x:c r="R139" s="6" t="str">
        <x:v>0.36035580683734736</x:v>
      </x:c>
      <x:c r="S139" s="8" t="str">
        <x:v>1.214850048208084</x:v>
      </x:c>
      <x:c r="T139" s="6" t="str">
        <x:v>-0.4883921206446473</x:v>
      </x:c>
      <x:c r="U139" s="8" t="str">
        <x:v>-0.44053754863501443</x:v>
      </x:c>
      <x:c r="V139" s="6" t="str">
        <x:v>-8.068211029450055</x:v>
      </x:c>
      <x:c r="W139" s="8" t="str">
        <x:v>-0.14127125255400036</x:v>
      </x:c>
      <x:c r="X139" s="6" t="str">
        <x:v>1.7092290819453981</x:v>
      </x:c>
      <x:c r="Y139" s="6" t="str">
        <x:v>0.500429089295394</x:v>
      </x:c>
      <x:c r="Z139" s="6" t="str">
        <x:v>1.1415027398162925</x:v>
      </x:c>
      <x:c r="AA139" s="6" t="str">
        <x:v>-2.104138287744685</x:v>
      </x:c>
      <x:c r="AB139" s="6" t="str">
        <x:v>-0.8852381055398386</x:v>
      </x:c>
      <x:c r="AC139" s="6" t="str">
        <x:v>-1.1433046473065127</x:v>
      </x:c>
      <x:c r="AD139" s="6" t="str">
        <x:v>-0.09695509527504999</x:v>
      </x:c>
      <x:c r="AE139" s="6" t="str">
        <x:v>0.5691002138011605</x:v>
      </x:c>
      <x:c r="AF139" s="6" t="str">
        <x:v>0.11029128865737013</x:v>
      </x:c>
      <x:c r="AG139" s="6" t="str">
        <x:v>0</x:v>
      </x:c>
      <x:c r="AH139" s="6" t="str">
        <x:v>1</x:v>
      </x:c>
      <x:c r="AI139" s="6" t="str">
        <x:v>2025-06</x:v>
      </x:c>
      <x:c r="AJ139" s="9" t="str">
        <x:v>NASA POWER (MERRA-2 meteorology)</x:v>
      </x:c>
      <x:c r="AK139" s="9" t="str">
        <x:v>Badan Informasi Geospasial (BIG)</x:v>
      </x:c>
      <x:c r="AL139" s="9" t="str">
        <x:v>https://power.larc.nasa.gov/docs/services/api/temporal/monthly/</x:v>
      </x:c>
      <x:c r="AM139" s="9" t="str">
        <x:v>https://geoservices.big.go.id/rbi/rest/services/BATASWILAYAH/BATAS_WILAYAH/MapServer/12</x:v>
      </x:c>
    </x:row>
    <x:row r="140" ht="18" customHeight="1">
      <x:c r="A140" s="6" t="str">
        <x:v>16</x:v>
      </x:c>
      <x:c r="B140" s="6" t="str">
        <x:v>SUMATERA SELATAN</x:v>
      </x:c>
      <x:c r="C140" s="6" t="str">
        <x:v>2025</x:v>
      </x:c>
      <x:c r="D140" s="6" t="str">
        <x:v>7</x:v>
      </x:c>
      <x:c r="E140" s="6" t="str">
        <x:v>25.85340190809516</x:v>
      </x:c>
      <x:c r="F140" s="9" t="str">
        <x:v>grid_cells_within_BIG_polygon</x:v>
      </x:c>
      <x:c r="G140" s="6" t="str">
        <x:v>23</x:v>
      </x:c>
      <x:c r="H140" s="8" t="str">
        <x:v>87.68571065382189</x:v>
      </x:c>
      <x:c r="I140" s="6" t="str">
        <x:v>3.8012712017622805</x:v>
      </x:c>
      <x:c r="J140" s="6" t="str">
        <x:v>31</x:v>
      </x:c>
      <x:c r="K140" s="6" t="str">
        <x:v>117.8394072546307</x:v>
      </x:c>
      <x:c r="L140" s="6" t="str">
        <x:v>25.238314872252612</x:v>
      </x:c>
      <x:c r="M140" s="6" t="str">
        <x:v>0.30794546670324374</x:v>
      </x:c>
      <x:c r="N140" s="6" t="str">
        <x:v>87.56884285193641</x:v>
      </x:c>
      <x:c r="O140" s="6" t="str">
        <x:v>1.2058345907305823</x:v>
      </x:c>
      <x:c r="P140" s="6" t="str">
        <x:v>115.7052850227743</x:v>
      </x:c>
      <x:c r="Q140" s="6" t="str">
        <x:v>57.17600549352044</x:v>
      </x:c>
      <x:c r="R140" s="6" t="str">
        <x:v>0.6150870358425493</x:v>
      </x:c>
      <x:c r="S140" s="8" t="str">
        <x:v>1.99738948076572</x:v>
      </x:c>
      <x:c r="T140" s="6" t="str">
        <x:v>0.1168678018854763</x:v>
      </x:c>
      <x:c r="U140" s="8" t="str">
        <x:v>0.09691860126078261</x:v>
      </x:c>
      <x:c r="V140" s="6" t="str">
        <x:v>2.134122231856395</x:v>
      </x:c>
      <x:c r="W140" s="8" t="str">
        <x:v>0.03732548668686286</x:v>
      </x:c>
      <x:c r="X140" s="6" t="str">
        <x:v>1.214850048208084</x:v>
      </x:c>
      <x:c r="Y140" s="6" t="str">
        <x:v>1.7092290819453981</x:v>
      </x:c>
      <x:c r="Z140" s="6" t="str">
        <x:v>1.6404895369730677</x:v>
      </x:c>
      <x:c r="AA140" s="6" t="str">
        <x:v>-0.44053754863501443</x:v>
      </x:c>
      <x:c r="AB140" s="6" t="str">
        <x:v>-2.104138287744685</x:v>
      </x:c>
      <x:c r="AC140" s="6" t="str">
        <x:v>-0.8159190783729723</x:v>
      </x:c>
      <x:c r="AD140" s="6" t="str">
        <x:v>-0.14127125255400036</x:v>
      </x:c>
      <x:c r="AE140" s="6" t="str">
        <x:v>-0.09695509527504999</x:v>
      </x:c>
      <x:c r="AF140" s="6" t="str">
        <x:v>-0.06696695371406242</x:v>
      </x:c>
      <x:c r="AG140" s="6" t="str">
        <x:v>0</x:v>
      </x:c>
      <x:c r="AH140" s="6" t="str">
        <x:v>1</x:v>
      </x:c>
      <x:c r="AI140" s="6" t="str">
        <x:v>2025-07</x:v>
      </x:c>
      <x:c r="AJ140" s="9" t="str">
        <x:v>NASA POWER (MERRA-2 meteorology)</x:v>
      </x:c>
      <x:c r="AK140" s="9" t="str">
        <x:v>Badan Informasi Geospasial (BIG)</x:v>
      </x:c>
      <x:c r="AL140" s="9" t="str">
        <x:v>https://power.larc.nasa.gov/docs/services/api/temporal/monthly/</x:v>
      </x:c>
      <x:c r="AM140" s="9" t="str">
        <x:v>https://geoservices.big.go.id/rbi/rest/services/BATASWILAYAH/BATAS_WILAYAH/MapServer/12</x:v>
      </x:c>
    </x:row>
    <x:row r="141" ht="18" customHeight="1">
      <x:c r="A141" s="6" t="str">
        <x:v>16</x:v>
      </x:c>
      <x:c r="B141" s="6" t="str">
        <x:v>SUMATERA SELATAN</x:v>
      </x:c>
      <x:c r="C141" s="6" t="str">
        <x:v>2025</x:v>
      </x:c>
      <x:c r="D141" s="6" t="str">
        <x:v>8</x:v>
      </x:c>
      <x:c r="E141" s="6" t="str">
        <x:v>25.763388664315062</x:v>
      </x:c>
      <x:c r="F141" s="9" t="str">
        <x:v>grid_cells_within_BIG_polygon</x:v>
      </x:c>
      <x:c r="G141" s="6" t="str">
        <x:v>23</x:v>
      </x:c>
      <x:c r="H141" s="8" t="str">
        <x:v>86.95518842878018</x:v>
      </x:c>
      <x:c r="I141" s="6" t="str">
        <x:v>6.979021704349033</x:v>
      </x:c>
      <x:c r="J141" s="6" t="str">
        <x:v>31</x:v>
      </x:c>
      <x:c r="K141" s="6" t="str">
        <x:v>216.34967283482</x:v>
      </x:c>
      <x:c r="L141" s="6" t="str">
        <x:v>25.356694220225382</x:v>
      </x:c>
      <x:c r="M141" s="6" t="str">
        <x:v>0.2837127698024297</x:v>
      </x:c>
      <x:c r="N141" s="6" t="str">
        <x:v>85.656973603625</x:v>
      </x:c>
      <x:c r="O141" s="6" t="str">
        <x:v>2.048590051839538</x:v>
      </x:c>
      <x:c r="P141" s="6" t="str">
        <x:v>98.62738186975906</x:v>
      </x:c>
      <x:c r="Q141" s="6" t="str">
        <x:v>71.22489740387793</x:v>
      </x:c>
      <x:c r="R141" s="6" t="str">
        <x:v>0.4066944440896805</x:v>
      </x:c>
      <x:c r="S141" s="8" t="str">
        <x:v>1.4334724671465864</x:v>
      </x:c>
      <x:c r="T141" s="6" t="str">
        <x:v>1.2982148251551706</x:v>
      </x:c>
      <x:c r="U141" s="8" t="str">
        <x:v>0.6337113782181235</x:v>
      </x:c>
      <x:c r="V141" s="6" t="str">
        <x:v>117.72229096506095</x:v>
      </x:c>
      <x:c r="W141" s="8" t="str">
        <x:v>1.6528249987854866</x:v>
      </x:c>
      <x:c r="X141" s="6" t="str">
        <x:v>1.99738948076572</x:v>
      </x:c>
      <x:c r="Y141" s="6" t="str">
        <x:v>1.214850048208084</x:v>
      </x:c>
      <x:c r="Z141" s="6" t="str">
        <x:v>1.5485706653734639</x:v>
      </x:c>
      <x:c r="AA141" s="6" t="str">
        <x:v>0.09691860126078261</x:v>
      </x:c>
      <x:c r="AB141" s="6" t="str">
        <x:v>-0.44053754863501443</x:v>
      </x:c>
      <x:c r="AC141" s="6" t="str">
        <x:v>0.09669747694796375</x:v>
      </x:c>
      <x:c r="AD141" s="6" t="str">
        <x:v>0.03732548668686286</x:v>
      </x:c>
      <x:c r="AE141" s="6" t="str">
        <x:v>-0.14127125255400036</x:v>
      </x:c>
      <x:c r="AF141" s="6" t="str">
        <x:v>0.5162930776394498</x:v>
      </x:c>
      <x:c r="AG141" s="6" t="str">
        <x:v>1</x:v>
      </x:c>
      <x:c r="AH141" s="6" t="str">
        <x:v>1</x:v>
      </x:c>
      <x:c r="AI141" s="6" t="str">
        <x:v>2025-08</x:v>
      </x:c>
      <x:c r="AJ141" s="9" t="str">
        <x:v>NASA POWER (MERRA-2 meteorology)</x:v>
      </x:c>
      <x:c r="AK141" s="9" t="str">
        <x:v>Badan Informasi Geospasial (BIG)</x:v>
      </x:c>
      <x:c r="AL141" s="9" t="str">
        <x:v>https://power.larc.nasa.gov/docs/services/api/temporal/monthly/</x:v>
      </x:c>
      <x:c r="AM141" s="9" t="str">
        <x:v>https://geoservices.big.go.id/rbi/rest/services/BATASWILAYAH/BATAS_WILAYAH/MapServer/12</x:v>
      </x:c>
    </x:row>
    <x:row r="142" ht="18" customHeight="1">
      <x:c r="A142" s="6" t="str">
        <x:v>16</x:v>
      </x:c>
      <x:c r="B142" s="6" t="str">
        <x:v>SUMATERA SELATAN</x:v>
      </x:c>
      <x:c r="C142" s="6" t="str">
        <x:v>2025</x:v>
      </x:c>
      <x:c r="D142" s="6" t="str">
        <x:v>9</x:v>
      </x:c>
      <x:c r="E142" s="6" t="str">
        <x:v>26.042955289868278</x:v>
      </x:c>
      <x:c r="F142" s="9" t="str">
        <x:v>grid_cells_within_BIG_polygon</x:v>
      </x:c>
      <x:c r="G142" s="6" t="str">
        <x:v>23</x:v>
      </x:c>
      <x:c r="H142" s="8" t="str">
        <x:v>87.22389520709208</x:v>
      </x:c>
      <x:c r="I142" s="6" t="str">
        <x:v>8.263129537040536</x:v>
      </x:c>
      <x:c r="J142" s="6" t="str">
        <x:v>30</x:v>
      </x:c>
      <x:c r="K142" s="6" t="str">
        <x:v>247.89388611121606</x:v>
      </x:c>
      <x:c r="L142" s="6" t="str">
        <x:v>25.7206723479197</x:v>
      </x:c>
      <x:c r="M142" s="6" t="str">
        <x:v>0.2960825558586625</x:v>
      </x:c>
      <x:c r="N142" s="6" t="str">
        <x:v>83.74752598011406</x:v>
      </x:c>
      <x:c r="O142" s="6" t="str">
        <x:v>3.2041345754896953</x:v>
      </x:c>
      <x:c r="P142" s="6" t="str">
        <x:v>110.32525154393265</x:v>
      </x:c>
      <x:c r="Q142" s="6" t="str">
        <x:v>79.45687238970734</x:v>
      </x:c>
      <x:c r="R142" s="6" t="str">
        <x:v>0.3222829419485791</x:v>
      </x:c>
      <x:c r="S142" s="8" t="str">
        <x:v>1.0884901375359093</x:v>
      </x:c>
      <x:c r="T142" s="6" t="str">
        <x:v>3.476369226978022</x:v>
      </x:c>
      <x:c r="U142" s="8" t="str">
        <x:v>1.0849635510227347</x:v>
      </x:c>
      <x:c r="V142" s="6" t="str">
        <x:v>137.56863456728342</x:v>
      </x:c>
      <x:c r="W142" s="8" t="str">
        <x:v>1.7313623155535096</x:v>
      </x:c>
      <x:c r="X142" s="6" t="str">
        <x:v>1.4334724671465864</x:v>
      </x:c>
      <x:c r="Y142" s="6" t="str">
        <x:v>1.99738948076572</x:v>
      </x:c>
      <x:c r="Z142" s="6" t="str">
        <x:v>1.5064506951494057</x:v>
      </x:c>
      <x:c r="AA142" s="6" t="str">
        <x:v>0.6337113782181235</x:v>
      </x:c>
      <x:c r="AB142" s="6" t="str">
        <x:v>0.09691860126078261</x:v>
      </x:c>
      <x:c r="AC142" s="6" t="str">
        <x:v>0.6051978435005468</x:v>
      </x:c>
      <x:c r="AD142" s="6" t="str">
        <x:v>1.6528249987854866</x:v>
      </x:c>
      <x:c r="AE142" s="6" t="str">
        <x:v>0.03732548668686286</x:v>
      </x:c>
      <x:c r="AF142" s="6" t="str">
        <x:v>1.1405042670086198</x:v>
      </x:c>
      <x:c r="AG142" s="6" t="str">
        <x:v>1</x:v>
      </x:c>
      <x:c r="AH142" s="6" t="str">
        <x:v>1</x:v>
      </x:c>
      <x:c r="AI142" s="6" t="str">
        <x:v>2025-09</x:v>
      </x:c>
      <x:c r="AJ142" s="9" t="str">
        <x:v>NASA POWER (MERRA-2 meteorology)</x:v>
      </x:c>
      <x:c r="AK142" s="9" t="str">
        <x:v>Badan Informasi Geospasial (BIG)</x:v>
      </x:c>
      <x:c r="AL142" s="9" t="str">
        <x:v>https://power.larc.nasa.gov/docs/services/api/temporal/monthly/</x:v>
      </x:c>
      <x:c r="AM142" s="9" t="str">
        <x:v>https://geoservices.big.go.id/rbi/rest/services/BATASWILAYAH/BATAS_WILAYAH/MapServer/12</x:v>
      </x:c>
    </x:row>
    <x:row r="143" ht="18" customHeight="1">
      <x:c r="A143" s="6" t="str">
        <x:v>16</x:v>
      </x:c>
      <x:c r="B143" s="6" t="str">
        <x:v>SUMATERA SELATAN</x:v>
      </x:c>
      <x:c r="C143" s="6" t="str">
        <x:v>2025</x:v>
      </x:c>
      <x:c r="D143" s="6" t="str">
        <x:v>10</x:v>
      </x:c>
      <x:c r="E143" s="6" t="str">
        <x:v>26.200348226576555</x:v>
      </x:c>
      <x:c r="F143" s="9" t="str">
        <x:v>grid_cells_within_BIG_polygon</x:v>
      </x:c>
      <x:c r="G143" s="6" t="str">
        <x:v>23</x:v>
      </x:c>
      <x:c r="H143" s="8" t="str">
        <x:v>85.81436951259704</x:v>
      </x:c>
      <x:c r="I143" s="6" t="str">
        <x:v>7.1929615494912476</x:v>
      </x:c>
      <x:c r="J143" s="6" t="str">
        <x:v>31</x:v>
      </x:c>
      <x:c r="K143" s="6" t="str">
        <x:v>222.98180803422866</x:v>
      </x:c>
      <x:c r="L143" s="6" t="str">
        <x:v>26.093378626527542</x:v>
      </x:c>
      <x:c r="M143" s="6" t="str">
        <x:v>0.38789174566850115</x:v>
      </x:c>
      <x:c r="N143" s="6" t="str">
        <x:v>83.36222905457808</x:v>
      </x:c>
      <x:c r="O143" s="6" t="str">
        <x:v>4.5991800502373295</x:v>
      </x:c>
      <x:c r="P143" s="6" t="str">
        <x:v>191.59078476722047</x:v>
      </x:c>
      <x:c r="Q143" s="6" t="str">
        <x:v>107.3120100892919</x:v>
      </x:c>
      <x:c r="R143" s="6" t="str">
        <x:v>0.10696960004901257</x:v>
      </x:c>
      <x:c r="S143" s="8" t="str">
        <x:v>0.27577178747296827</x:v>
      </x:c>
      <x:c r="T143" s="6" t="str">
        <x:v>2.4521404580189596</x:v>
      </x:c>
      <x:c r="U143" s="8" t="str">
        <x:v>0.5331690499684663</x:v>
      </x:c>
      <x:c r="V143" s="6" t="str">
        <x:v>31.391023267008194</x:v>
      </x:c>
      <x:c r="W143" s="8" t="str">
        <x:v>0.292521063028159</x:v>
      </x:c>
      <x:c r="X143" s="6" t="str">
        <x:v>1.0884901375359093</x:v>
      </x:c>
      <x:c r="Y143" s="6" t="str">
        <x:v>1.4334724671465864</x:v>
      </x:c>
      <x:c r="Z143" s="6" t="str">
        <x:v>0.9325781307184885</x:v>
      </x:c>
      <x:c r="AA143" s="6" t="str">
        <x:v>1.0849635510227347</x:v>
      </x:c>
      <x:c r="AB143" s="6" t="str">
        <x:v>0.6337113782181235</x:v>
      </x:c>
      <x:c r="AC143" s="6" t="str">
        <x:v>0.7506146597364413</x:v>
      </x:c>
      <x:c r="AD143" s="6" t="str">
        <x:v>1.7313623155535096</x:v>
      </x:c>
      <x:c r="AE143" s="6" t="str">
        <x:v>1.6528249987854866</x:v>
      </x:c>
      <x:c r="AF143" s="6" t="str">
        <x:v>1.2255694591223851</x:v>
      </x:c>
      <x:c r="AG143" s="6" t="str">
        <x:v>0</x:v>
      </x:c>
      <x:c r="AH143" s="6" t="str">
        <x:v>0</x:v>
      </x:c>
      <x:c r="AI143" s="6" t="str">
        <x:v>2025-10</x:v>
      </x:c>
      <x:c r="AJ143" s="9" t="str">
        <x:v>NASA POWER (MERRA-2 meteorology)</x:v>
      </x:c>
      <x:c r="AK143" s="9" t="str">
        <x:v>Badan Informasi Geospasial (BIG)</x:v>
      </x:c>
      <x:c r="AL143" s="9" t="str">
        <x:v>https://power.larc.nasa.gov/docs/services/api/temporal/monthly/</x:v>
      </x:c>
      <x:c r="AM143" s="9" t="str">
        <x:v>https://geoservices.big.go.id/rbi/rest/services/BATASWILAYAH/BATAS_WILAYAH/MapServer/12</x:v>
      </x:c>
    </x:row>
    <x:row r="144" ht="18" customHeight="1">
      <x:c r="A144" s="6" t="str">
        <x:v>16</x:v>
      </x:c>
      <x:c r="B144" s="6" t="str">
        <x:v>SUMATERA SELATAN</x:v>
      </x:c>
      <x:c r="C144" s="6" t="str">
        <x:v>2025</x:v>
      </x:c>
      <x:c r="D144" s="6" t="str">
        <x:v>11</x:v>
      </x:c>
      <x:c r="E144" s="6" t="str">
        <x:v>26.062555053666944</x:v>
      </x:c>
      <x:c r="F144" s="9" t="str">
        <x:v>grid_cells_within_BIG_polygon</x:v>
      </x:c>
      <x:c r="G144" s="6" t="str">
        <x:v>23</x:v>
      </x:c>
      <x:c r="H144" s="8" t="str">
        <x:v>86.37832073599218</x:v>
      </x:c>
      <x:c r="I144" s="6" t="str">
        <x:v>11.6353028944342</x:v>
      </x:c>
      <x:c r="J144" s="6" t="str">
        <x:v>30</x:v>
      </x:c>
      <x:c r="K144" s="6" t="str">
        <x:v>349.059086833026</x:v>
      </x:c>
      <x:c r="L144" s="6" t="str">
        <x:v>26.038685616983525</x:v>
      </x:c>
      <x:c r="M144" s="6" t="str">
        <x:v>0.4848673858751867</x:v>
      </x:c>
      <x:c r="N144" s="6" t="str">
        <x:v>85.78519359196541</x:v>
      </x:c>
      <x:c r="O144" s="6" t="str">
        <x:v>2.7936210114001403</x:v>
      </x:c>
      <x:c r="P144" s="6" t="str">
        <x:v>271.0233108396934</x:v>
      </x:c>
      <x:c r="Q144" s="6" t="str">
        <x:v>86.61200167441145</x:v>
      </x:c>
      <x:c r="R144" s="6" t="str">
        <x:v>0.023869436683419565</x:v>
      </x:c>
      <x:c r="S144" s="8" t="str">
        <x:v>0.04922879405537904</x:v>
      </x:c>
      <x:c r="T144" s="6" t="str">
        <x:v>0.5931271440267665</x:v>
      </x:c>
      <x:c r="U144" s="8" t="str">
        <x:v>0.21231482065976298</x:v>
      </x:c>
      <x:c r="V144" s="6" t="str">
        <x:v>78.0357759933326</x:v>
      </x:c>
      <x:c r="W144" s="8" t="str">
        <x:v>0.900981093667385</x:v>
      </x:c>
      <x:c r="X144" s="6" t="str">
        <x:v>0.27577178747296827</x:v>
      </x:c>
      <x:c r="Y144" s="6" t="str">
        <x:v>1.0884901375359093</x:v>
      </x:c>
      <x:c r="Z144" s="6" t="str">
        <x:v>0.47116357302141926</x:v>
      </x:c>
      <x:c r="AA144" s="6" t="str">
        <x:v>0.5331690499684663</x:v>
      </x:c>
      <x:c r="AB144" s="6" t="str">
        <x:v>1.0849635510227347</x:v>
      </x:c>
      <x:c r="AC144" s="6" t="str">
        <x:v>0.6101491405503211</x:v>
      </x:c>
      <x:c r="AD144" s="6" t="str">
        <x:v>0.292521063028159</x:v>
      </x:c>
      <x:c r="AE144" s="6" t="str">
        <x:v>1.7313623155535096</x:v>
      </x:c>
      <x:c r="AF144" s="6" t="str">
        <x:v>0.9749548240830178</x:v>
      </x:c>
      <x:c r="AG144" s="6" t="str">
        <x:v>0</x:v>
      </x:c>
      <x:c r="AH144" s="6" t="str">
        <x:v>0</x:v>
      </x:c>
      <x:c r="AI144" s="6" t="str">
        <x:v>2025-11</x:v>
      </x:c>
      <x:c r="AJ144" s="9" t="str">
        <x:v>NASA POWER (MERRA-2 meteorology)</x:v>
      </x:c>
      <x:c r="AK144" s="9" t="str">
        <x:v>Badan Informasi Geospasial (BIG)</x:v>
      </x:c>
      <x:c r="AL144" s="9" t="str">
        <x:v>https://power.larc.nasa.gov/docs/services/api/temporal/monthly/</x:v>
      </x:c>
      <x:c r="AM144" s="9" t="str">
        <x:v>https://geoservices.big.go.id/rbi/rest/services/BATASWILAYAH/BATAS_WILAYAH/MapServer/12</x:v>
      </x:c>
    </x:row>
    <x:row r="145" ht="18" customHeight="1">
      <x:c r="A145" s="6" t="str">
        <x:v>16</x:v>
      </x:c>
      <x:c r="B145" s="6" t="str">
        <x:v>SUMATERA SELATAN</x:v>
      </x:c>
      <x:c r="C145" s="6" t="str">
        <x:v>2025</x:v>
      </x:c>
      <x:c r="D145" s="6" t="str">
        <x:v>12</x:v>
      </x:c>
      <x:c r="E145" s="6" t="str">
        <x:v>25.67466914134125</x:v>
      </x:c>
      <x:c r="F145" s="9" t="str">
        <x:v>grid_cells_within_BIG_polygon</x:v>
      </x:c>
      <x:c r="G145" s="6" t="str">
        <x:v>23</x:v>
      </x:c>
      <x:c r="H145" s="8" t="str">
        <x:v>89.60197457112602</x:v>
      </x:c>
      <x:c r="I145" s="6" t="str">
        <x:v>13.637298431701623</x:v>
      </x:c>
      <x:c r="J145" s="6" t="str">
        <x:v>31</x:v>
      </x:c>
      <x:c r="K145" s="6" t="str">
        <x:v>422.7562513827503</x:v>
      </x:c>
      <x:c r="L145" s="6" t="str">
        <x:v>25.49536052133378</x:v>
      </x:c>
      <x:c r="M145" s="6" t="str">
        <x:v>0.37154257392746753</x:v>
      </x:c>
      <x:c r="N145" s="6" t="str">
        <x:v>88.73596699183264</x:v>
      </x:c>
      <x:c r="O145" s="6" t="str">
        <x:v>1.285298715348464</x:v>
      </x:c>
      <x:c r="P145" s="6" t="str">
        <x:v>299.95222082722864</x:v>
      </x:c>
      <x:c r="Q145" s="6" t="str">
        <x:v>64.91984216947975</x:v>
      </x:c>
      <x:c r="R145" s="6" t="str">
        <x:v>0.17930862000747183</x:v>
      </x:c>
      <x:c r="S145" s="8" t="str">
        <x:v>0.4826058508236432</x:v>
      </x:c>
      <x:c r="T145" s="6" t="str">
        <x:v>0.866007579293381</x:v>
      </x:c>
      <x:c r="U145" s="8" t="str">
        <x:v>0.6737792304247291</x:v>
      </x:c>
      <x:c r="V145" s="6" t="str">
        <x:v>122.80403055552165</x:v>
      </x:c>
      <x:c r="W145" s="8" t="str">
        <x:v>1.8916255254430445</x:v>
      </x:c>
      <x:c r="X145" s="6" t="str">
        <x:v>0.04922879405537904</x:v>
      </x:c>
      <x:c r="Y145" s="6" t="str">
        <x:v>0.27577178747296827</x:v>
      </x:c>
      <x:c r="Z145" s="6" t="str">
        <x:v>0.2692021441173306</x:v>
      </x:c>
      <x:c r="AA145" s="6" t="str">
        <x:v>0.21231482065976298</x:v>
      </x:c>
      <x:c r="AB145" s="6" t="str">
        <x:v>0.5331690499684663</x:v>
      </x:c>
      <x:c r="AC145" s="6" t="str">
        <x:v>0.47308770035098596</x:v>
      </x:c>
      <x:c r="AD145" s="6" t="str">
        <x:v>0.900981093667385</x:v>
      </x:c>
      <x:c r="AE145" s="6" t="str">
        <x:v>0.292521063028159</x:v>
      </x:c>
      <x:c r="AF145" s="6" t="str">
        <x:v>1.0283758940461962</x:v>
      </x:c>
      <x:c r="AG145" s="6" t="str">
        <x:v>1</x:v>
      </x:c>
      <x:c r="AH145" s="6" t="str">
        <x:v>0</x:v>
      </x:c>
      <x:c r="AI145" s="6" t="str">
        <x:v>2025-12</x:v>
      </x:c>
      <x:c r="AJ145" s="9" t="str">
        <x:v>NASA POWER (MERRA-2 meteorology)</x:v>
      </x:c>
      <x:c r="AK145" s="9" t="str">
        <x:v>Badan Informasi Geospasial (BIG)</x:v>
      </x:c>
      <x:c r="AL145" s="9" t="str">
        <x:v>https://power.larc.nasa.gov/docs/services/api/temporal/monthly/</x:v>
      </x:c>
      <x:c r="AM145" s="9" t="str">
        <x:v>https://geoservices.big.go.id/rbi/rest/services/BATASWILAYAH/BATAS_WILAYAH/MapServer/12</x:v>
      </x:c>
    </x:row>
    <x:row r="146" ht="18" customHeight="1">
      <x:c r="A146" s="6" t="str">
        <x:v>17</x:v>
      </x:c>
      <x:c r="B146" s="6" t="str">
        <x:v>BENGKULU</x:v>
      </x:c>
      <x:c r="C146" s="6" t="str">
        <x:v>2024</x:v>
      </x:c>
      <x:c r="D146" s="6" t="str">
        <x:v>1</x:v>
      </x:c>
      <x:c r="E146" s="6" t="str">
        <x:v>24.90582730919607</x:v>
      </x:c>
      <x:c r="F146" s="9" t="str">
        <x:v>grid_cells_within_BIG_polygon</x:v>
      </x:c>
      <x:c r="G146" s="6" t="str">
        <x:v>5</x:v>
      </x:c>
      <x:c r="H146" s="8" t="str">
        <x:v>88.29265330370826</x:v>
      </x:c>
      <x:c r="I146" s="6" t="str">
        <x:v>12.349718297401676</x:v>
      </x:c>
      <x:c r="J146" s="6" t="str">
        <x:v>31</x:v>
      </x:c>
      <x:c r="K146" s="6" t="str">
        <x:v>382.84126721945194</x:v>
      </x:c>
      <x:c r="L146" s="6" t="str">
        <x:v>24.11221573718505</x:v>
      </x:c>
      <x:c r="M146" s="6" t="str">
        <x:v>0.45224424317244366</x:v>
      </x:c>
      <x:c r="N146" s="6" t="str">
        <x:v>87.80648172097277</x:v>
      </x:c>
      <x:c r="O146" s="6" t="str">
        <x:v>1.3669673196335907</x:v>
      </x:c>
      <x:c r="P146" s="6" t="str">
        <x:v>248.52533809102232</x:v>
      </x:c>
      <x:c r="Q146" s="6" t="str">
        <x:v>94.9663341780005</x:v>
      </x:c>
      <x:c r="R146" s="6" t="str">
        <x:v>0.7936115720110202</x:v>
      </x:c>
      <x:c r="S146" s="8" t="str">
        <x:v>1.7548295727192065</x:v>
      </x:c>
      <x:c r="T146" s="6" t="str">
        <x:v>0.4861715827354942</x:v>
      </x:c>
      <x:c r="U146" s="8" t="str">
        <x:v>0.35565706345182435</x:v>
      </x:c>
      <x:c r="V146" s="6" t="str">
        <x:v>134.31592912842962</x:v>
      </x:c>
      <x:c r="W146" s="8" t="str">
        <x:v>1.4143530998750995</x:v>
      </x:c>
      <x:c r="X146" s="6" t="str">
        <x:v>2.007118451941481</x:v>
      </x:c>
      <x:c r="Y146" s="6" t="str">
        <x:v>0.8299766971658504</x:v>
      </x:c>
      <x:c r="Z146" s="6" t="str">
        <x:v>1.5306415739421795</x:v>
      </x:c>
      <x:c r="AA146" s="6" t="str">
        <x:v>0.06666291038918976</x:v>
      </x:c>
      <x:c r="AB146" s="6" t="str">
        <x:v>0.5017639733442802</x:v>
      </x:c>
      <x:c r="AC146" s="6" t="str">
        <x:v>0.30802798239509904</x:v>
      </x:c>
      <x:c r="AD146" s="6" t="str">
        <x:v>-0.4793176082410111</x:v>
      </x:c>
      <x:c r="AE146" s="6" t="str">
        <x:v>-0.025534100384946093</x:v>
      </x:c>
      <x:c r="AF146" s="6" t="str">
        <x:v>0.30316713041638077</x:v>
      </x:c>
      <x:c r="AG146" s="6" t="str">
        <x:v>1</x:v>
      </x:c>
      <x:c r="AH146" s="6" t="str">
        <x:v>1</x:v>
      </x:c>
      <x:c r="AI146" s="6" t="str">
        <x:v>2024-01</x:v>
      </x:c>
      <x:c r="AJ146" s="9" t="str">
        <x:v>NASA POWER (MERRA-2 meteorology)</x:v>
      </x:c>
      <x:c r="AK146" s="9" t="str">
        <x:v>Badan Informasi Geospasial (BIG)</x:v>
      </x:c>
      <x:c r="AL146" s="9" t="str">
        <x:v>https://power.larc.nasa.gov/docs/services/api/temporal/monthly/</x:v>
      </x:c>
      <x:c r="AM146" s="9" t="str">
        <x:v>https://geoservices.big.go.id/rbi/rest/services/BATASWILAYAH/BATAS_WILAYAH/MapServer/12</x:v>
      </x:c>
    </x:row>
    <x:row r="147" ht="18" customHeight="1">
      <x:c r="A147" s="6" t="str">
        <x:v>17</x:v>
      </x:c>
      <x:c r="B147" s="6" t="str">
        <x:v>BENGKULU</x:v>
      </x:c>
      <x:c r="C147" s="6" t="str">
        <x:v>2024</x:v>
      </x:c>
      <x:c r="D147" s="6" t="str">
        <x:v>2</x:v>
      </x:c>
      <x:c r="E147" s="6" t="str">
        <x:v>25.45580253007501</x:v>
      </x:c>
      <x:c r="F147" s="9" t="str">
        <x:v>grid_cells_within_BIG_polygon</x:v>
      </x:c>
      <x:c r="G147" s="6" t="str">
        <x:v>5</x:v>
      </x:c>
      <x:c r="H147" s="8" t="str">
        <x:v>87.39664708324042</x:v>
      </x:c>
      <x:c r="I147" s="6" t="str">
        <x:v>12.90205479617541</x:v>
      </x:c>
      <x:c r="J147" s="6" t="str">
        <x:v>29</x:v>
      </x:c>
      <x:c r="K147" s="6" t="str">
        <x:v>374.15958908908686</x:v>
      </x:c>
      <x:c r="L147" s="6" t="str">
        <x:v>24.255496709953206</x:v>
      </x:c>
      <x:c r="M147" s="6" t="str">
        <x:v>0.45454111032136907</x:v>
      </x:c>
      <x:c r="N147" s="6" t="str">
        <x:v>87.34102003713107</x:v>
      </x:c>
      <x:c r="O147" s="6" t="str">
        <x:v>1.3822755422475994</x:v>
      </x:c>
      <x:c r="P147" s="6" t="str">
        <x:v>221.94302593618434</x:v>
      </x:c>
      <x:c r="Q147" s="6" t="str">
        <x:v>88.77466043681783</x:v>
      </x:c>
      <x:c r="R147" s="6" t="str">
        <x:v>1.2003058201218053</x:v>
      </x:c>
      <x:c r="S147" s="8" t="str">
        <x:v>2.640698042192854</x:v>
      </x:c>
      <x:c r="T147" s="6" t="str">
        <x:v>0.05562704610935043</x:v>
      </x:c>
      <x:c r="U147" s="8" t="str">
        <x:v>0.040243095105987385</x:v>
      </x:c>
      <x:c r="V147" s="6" t="str">
        <x:v>152.21656315290252</x:v>
      </x:c>
      <x:c r="W147" s="8" t="str">
        <x:v>1.714639767743603</x:v>
      </x:c>
      <x:c r="X147" s="6" t="str">
        <x:v>1.7548295727192065</x:v>
      </x:c>
      <x:c r="Y147" s="6" t="str">
        <x:v>2.007118451941481</x:v>
      </x:c>
      <x:c r="Z147" s="6" t="str">
        <x:v>2.1342153556178474</x:v>
      </x:c>
      <x:c r="AA147" s="6" t="str">
        <x:v>0.35565706345182435</x:v>
      </x:c>
      <x:c r="AB147" s="6" t="str">
        <x:v>0.06666291038918976</x:v>
      </x:c>
      <x:c r="AC147" s="6" t="str">
        <x:v>0.15418768964900145</x:v>
      </x:c>
      <x:c r="AD147" s="6" t="str">
        <x:v>1.4143530998750995</x:v>
      </x:c>
      <x:c r="AE147" s="6" t="str">
        <x:v>-0.4793176082410111</x:v>
      </x:c>
      <x:c r="AF147" s="6" t="str">
        <x:v>0.8832250864592304</x:v>
      </x:c>
      <x:c r="AG147" s="6" t="str">
        <x:v>1</x:v>
      </x:c>
      <x:c r="AH147" s="6" t="str">
        <x:v>1</x:v>
      </x:c>
      <x:c r="AI147" s="6" t="str">
        <x:v>2024-02</x:v>
      </x:c>
      <x:c r="AJ147" s="9" t="str">
        <x:v>NASA POWER (MERRA-2 meteorology)</x:v>
      </x:c>
      <x:c r="AK147" s="9" t="str">
        <x:v>Badan Informasi Geospasial (BIG)</x:v>
      </x:c>
      <x:c r="AL147" s="9" t="str">
        <x:v>https://power.larc.nasa.gov/docs/services/api/temporal/monthly/</x:v>
      </x:c>
      <x:c r="AM147" s="9" t="str">
        <x:v>https://geoservices.big.go.id/rbi/rest/services/BATASWILAYAH/BATAS_WILAYAH/MapServer/12</x:v>
      </x:c>
    </x:row>
    <x:row r="148" ht="18" customHeight="1">
      <x:c r="A148" s="6" t="str">
        <x:v>17</x:v>
      </x:c>
      <x:c r="B148" s="6" t="str">
        <x:v>BENGKULU</x:v>
      </x:c>
      <x:c r="C148" s="6" t="str">
        <x:v>2024</x:v>
      </x:c>
      <x:c r="D148" s="6" t="str">
        <x:v>3</x:v>
      </x:c>
      <x:c r="E148" s="6" t="str">
        <x:v>25.30779650662491</x:v>
      </x:c>
      <x:c r="F148" s="9" t="str">
        <x:v>grid_cells_within_BIG_polygon</x:v>
      </x:c>
      <x:c r="G148" s="6" t="str">
        <x:v>5</x:v>
      </x:c>
      <x:c r="H148" s="8" t="str">
        <x:v>87.81215711188341</x:v>
      </x:c>
      <x:c r="I148" s="6" t="str">
        <x:v>20.77766944463061</x:v>
      </x:c>
      <x:c r="J148" s="6" t="str">
        <x:v>31</x:v>
      </x:c>
      <x:c r="K148" s="6" t="str">
        <x:v>644.1077527835489</x:v>
      </x:c>
      <x:c r="L148" s="6" t="str">
        <x:v>24.423219500627702</x:v>
      </x:c>
      <x:c r="M148" s="6" t="str">
        <x:v>0.44624349944562436</x:v>
      </x:c>
      <x:c r="N148" s="6" t="str">
        <x:v>87.34511617762891</x:v>
      </x:c>
      <x:c r="O148" s="6" t="str">
        <x:v>1.2816346168899644</x:v>
      </x:c>
      <x:c r="P148" s="6" t="str">
        <x:v>239.69579532622137</x:v>
      </x:c>
      <x:c r="Q148" s="6" t="str">
        <x:v>95.7022008063762</x:v>
      </x:c>
      <x:c r="R148" s="6" t="str">
        <x:v>0.8845770059972082</x:v>
      </x:c>
      <x:c r="S148" s="8" t="str">
        <x:v>1.9822742675156788</x:v>
      </x:c>
      <x:c r="T148" s="6" t="str">
        <x:v>0.46704093425449855</x:v>
      </x:c>
      <x:c r="U148" s="8" t="str">
        <x:v>0.36441036165816726</x:v>
      </x:c>
      <x:c r="V148" s="6" t="str">
        <x:v>404.4119574573275</x:v>
      </x:c>
      <x:c r="W148" s="8" t="str">
        <x:v>4.225733097565123</x:v>
      </x:c>
      <x:c r="X148" s="6" t="str">
        <x:v>2.640698042192854</x:v>
      </x:c>
      <x:c r="Y148" s="6" t="str">
        <x:v>1.7548295727192065</x:v>
      </x:c>
      <x:c r="Z148" s="6" t="str">
        <x:v>2.1259339608092467</x:v>
      </x:c>
      <x:c r="AA148" s="6" t="str">
        <x:v>0.040243095105987385</x:v>
      </x:c>
      <x:c r="AB148" s="6" t="str">
        <x:v>0.35565706345182435</x:v>
      </x:c>
      <x:c r="AC148" s="6" t="str">
        <x:v>0.25343684007199396</x:v>
      </x:c>
      <x:c r="AD148" s="6" t="str">
        <x:v>1.714639767743603</x:v>
      </x:c>
      <x:c r="AE148" s="6" t="str">
        <x:v>1.4143530998750995</x:v>
      </x:c>
      <x:c r="AF148" s="6" t="str">
        <x:v>2.4515753217279417</x:v>
      </x:c>
      <x:c r="AG148" s="6" t="str">
        <x:v>1</x:v>
      </x:c>
      <x:c r="AH148" s="6" t="str">
        <x:v>1</x:v>
      </x:c>
      <x:c r="AI148" s="6" t="str">
        <x:v>2024-03</x:v>
      </x:c>
      <x:c r="AJ148" s="9" t="str">
        <x:v>NASA POWER (MERRA-2 meteorology)</x:v>
      </x:c>
      <x:c r="AK148" s="9" t="str">
        <x:v>Badan Informasi Geospasial (BIG)</x:v>
      </x:c>
      <x:c r="AL148" s="9" t="str">
        <x:v>https://power.larc.nasa.gov/docs/services/api/temporal/monthly/</x:v>
      </x:c>
      <x:c r="AM148" s="9" t="str">
        <x:v>https://geoservices.big.go.id/rbi/rest/services/BATASWILAYAH/BATAS_WILAYAH/MapServer/12</x:v>
      </x:c>
    </x:row>
    <x:row r="149" ht="18" customHeight="1">
      <x:c r="A149" s="6" t="str">
        <x:v>17</x:v>
      </x:c>
      <x:c r="B149" s="6" t="str">
        <x:v>BENGKULU</x:v>
      </x:c>
      <x:c r="C149" s="6" t="str">
        <x:v>2024</x:v>
      </x:c>
      <x:c r="D149" s="6" t="str">
        <x:v>4</x:v>
      </x:c>
      <x:c r="E149" s="6" t="str">
        <x:v>25.90176920865069</x:v>
      </x:c>
      <x:c r="F149" s="9" t="str">
        <x:v>grid_cells_within_BIG_polygon</x:v>
      </x:c>
      <x:c r="G149" s="6" t="str">
        <x:v>5</x:v>
      </x:c>
      <x:c r="H149" s="8" t="str">
        <x:v>88.63823395831814</x:v>
      </x:c>
      <x:c r="I149" s="6" t="str">
        <x:v>15.85555230234497</x:v>
      </x:c>
      <x:c r="J149" s="6" t="str">
        <x:v>30</x:v>
      </x:c>
      <x:c r="K149" s="6" t="str">
        <x:v>475.6665690703491</x:v>
      </x:c>
      <x:c r="L149" s="6" t="str">
        <x:v>24.65391300906983</x:v>
      </x:c>
      <x:c r="M149" s="6" t="str">
        <x:v>0.44830874839167845</x:v>
      </x:c>
      <x:c r="N149" s="6" t="str">
        <x:v>88.06519157615178</x:v>
      </x:c>
      <x:c r="O149" s="6" t="str">
        <x:v>0.9137389012665798</x:v>
      </x:c>
      <x:c r="P149" s="6" t="str">
        <x:v>237.66371133342165</x:v>
      </x:c>
      <x:c r="Q149" s="6" t="str">
        <x:v>76.38096169603459</x:v>
      </x:c>
      <x:c r="R149" s="6" t="str">
        <x:v>1.2478561995808626</x:v>
      </x:c>
      <x:c r="S149" s="8" t="str">
        <x:v>2.783475013721203</x:v>
      </x:c>
      <x:c r="T149" s="6" t="str">
        <x:v>0.5730423821663635</x:v>
      </x:c>
      <x:c r="U149" s="8" t="str">
        <x:v>0.6271401834506996</x:v>
      </x:c>
      <x:c r="V149" s="6" t="str">
        <x:v>238.00285773692747</x:v>
      </x:c>
      <x:c r="W149" s="8" t="str">
        <x:v>3.1159971339989516</x:v>
      </x:c>
      <x:c r="X149" s="6" t="str">
        <x:v>1.9822742675156788</x:v>
      </x:c>
      <x:c r="Y149" s="6" t="str">
        <x:v>2.640698042192854</x:v>
      </x:c>
      <x:c r="Z149" s="6" t="str">
        <x:v>2.4688157744765786</x:v>
      </x:c>
      <x:c r="AA149" s="6" t="str">
        <x:v>0.36441036165816726</x:v>
      </x:c>
      <x:c r="AB149" s="6" t="str">
        <x:v>0.040243095105987385</x:v>
      </x:c>
      <x:c r="AC149" s="6" t="str">
        <x:v>0.34393121340495236</x:v>
      </x:c>
      <x:c r="AD149" s="6" t="str">
        <x:v>4.225733097565123</x:v>
      </x:c>
      <x:c r="AE149" s="6" t="str">
        <x:v>1.714639767743603</x:v>
      </x:c>
      <x:c r="AF149" s="6" t="str">
        <x:v>3.0187899997692256</x:v>
      </x:c>
      <x:c r="AG149" s="6" t="str">
        <x:v>1</x:v>
      </x:c>
      <x:c r="AH149" s="6" t="str">
        <x:v>1</x:v>
      </x:c>
      <x:c r="AI149" s="6" t="str">
        <x:v>2024-04</x:v>
      </x:c>
      <x:c r="AJ149" s="9" t="str">
        <x:v>NASA POWER (MERRA-2 meteorology)</x:v>
      </x:c>
      <x:c r="AK149" s="9" t="str">
        <x:v>Badan Informasi Geospasial (BIG)</x:v>
      </x:c>
      <x:c r="AL149" s="9" t="str">
        <x:v>https://power.larc.nasa.gov/docs/services/api/temporal/monthly/</x:v>
      </x:c>
      <x:c r="AM149" s="9" t="str">
        <x:v>https://geoservices.big.go.id/rbi/rest/services/BATASWILAYAH/BATAS_WILAYAH/MapServer/12</x:v>
      </x:c>
    </x:row>
    <x:row r="150" ht="18" customHeight="1">
      <x:c r="A150" s="6" t="str">
        <x:v>17</x:v>
      </x:c>
      <x:c r="B150" s="6" t="str">
        <x:v>BENGKULU</x:v>
      </x:c>
      <x:c r="C150" s="6" t="str">
        <x:v>2024</x:v>
      </x:c>
      <x:c r="D150" s="6" t="str">
        <x:v>5</x:v>
      </x:c>
      <x:c r="E150" s="6" t="str">
        <x:v>26.071717737387445</x:v>
      </x:c>
      <x:c r="F150" s="9" t="str">
        <x:v>grid_cells_within_BIG_polygon</x:v>
      </x:c>
      <x:c r="G150" s="6" t="str">
        <x:v>5</x:v>
      </x:c>
      <x:c r="H150" s="8" t="str">
        <x:v>88.24887174039708</x:v>
      </x:c>
      <x:c r="I150" s="6" t="str">
        <x:v>10.891032012144214</x:v>
      </x:c>
      <x:c r="J150" s="6" t="str">
        <x:v>31</x:v>
      </x:c>
      <x:c r="K150" s="6" t="str">
        <x:v>337.62199237647064</x:v>
      </x:c>
      <x:c r="L150" s="6" t="str">
        <x:v>24.966682901739855</x:v>
      </x:c>
      <x:c r="M150" s="6" t="str">
        <x:v>0.32319961794192326</x:v>
      </x:c>
      <x:c r="N150" s="6" t="str">
        <x:v>87.36408903979259</x:v>
      </x:c>
      <x:c r="O150" s="6" t="str">
        <x:v>1.0117928034095998</x:v>
      </x:c>
      <x:c r="P150" s="6" t="str">
        <x:v>173.67621852714248</x:v>
      </x:c>
      <x:c r="Q150" s="6" t="str">
        <x:v>75.05984611663727</x:v>
      </x:c>
      <x:c r="R150" s="6" t="str">
        <x:v>1.10503483564759</x:v>
      </x:c>
      <x:c r="S150" s="8" t="str">
        <x:v>3.4190474688189676</x:v>
      </x:c>
      <x:c r="T150" s="6" t="str">
        <x:v>0.8847827006044895</x:v>
      </x:c>
      <x:c r="U150" s="8" t="str">
        <x:v>0.8744702449186197</x:v>
      </x:c>
      <x:c r="V150" s="6" t="str">
        <x:v>163.94577384932816</x:v>
      </x:c>
      <x:c r="W150" s="8" t="str">
        <x:v>2.1842007722020766</x:v>
      </x:c>
      <x:c r="X150" s="6" t="str">
        <x:v>2.783475013721203</x:v>
      </x:c>
      <x:c r="Y150" s="6" t="str">
        <x:v>1.9822742675156788</x:v>
      </x:c>
      <x:c r="Z150" s="6" t="str">
        <x:v>2.7282655833519502</x:v>
      </x:c>
      <x:c r="AA150" s="6" t="str">
        <x:v>0.6271401834506996</x:v>
      </x:c>
      <x:c r="AB150" s="6" t="str">
        <x:v>0.36441036165816726</x:v>
      </x:c>
      <x:c r="AC150" s="6" t="str">
        <x:v>0.6220069300091632</x:v>
      </x:c>
      <x:c r="AD150" s="6" t="str">
        <x:v>3.1159971339989516</x:v>
      </x:c>
      <x:c r="AE150" s="6" t="str">
        <x:v>4.225733097565123</x:v>
      </x:c>
      <x:c r="AF150" s="6" t="str">
        <x:v>3.1753103345887173</x:v>
      </x:c>
      <x:c r="AG150" s="6" t="str">
        <x:v>1</x:v>
      </x:c>
      <x:c r="AH150" s="6" t="str">
        <x:v>1</x:v>
      </x:c>
      <x:c r="AI150" s="6" t="str">
        <x:v>2024-05</x:v>
      </x:c>
      <x:c r="AJ150" s="9" t="str">
        <x:v>NASA POWER (MERRA-2 meteorology)</x:v>
      </x:c>
      <x:c r="AK150" s="9" t="str">
        <x:v>Badan Informasi Geospasial (BIG)</x:v>
      </x:c>
      <x:c r="AL150" s="9" t="str">
        <x:v>https://power.larc.nasa.gov/docs/services/api/temporal/monthly/</x:v>
      </x:c>
      <x:c r="AM150" s="9" t="str">
        <x:v>https://geoservices.big.go.id/rbi/rest/services/BATASWILAYAH/BATAS_WILAYAH/MapServer/12</x:v>
      </x:c>
    </x:row>
    <x:row r="151" ht="18" customHeight="1">
      <x:c r="A151" s="6" t="str">
        <x:v>17</x:v>
      </x:c>
      <x:c r="B151" s="6" t="str">
        <x:v>BENGKULU</x:v>
      </x:c>
      <x:c r="C151" s="6" t="str">
        <x:v>2024</x:v>
      </x:c>
      <x:c r="D151" s="6" t="str">
        <x:v>6</x:v>
      </x:c>
      <x:c r="E151" s="6" t="str">
        <x:v>25.345680075715126</x:v>
      </x:c>
      <x:c r="F151" s="9" t="str">
        <x:v>grid_cells_within_BIG_polygon</x:v>
      </x:c>
      <x:c r="G151" s="6" t="str">
        <x:v>5</x:v>
      </x:c>
      <x:c r="H151" s="8" t="str">
        <x:v>87.81899058244834</x:v>
      </x:c>
      <x:c r="I151" s="6" t="str">
        <x:v>9.990881968156671</x:v>
      </x:c>
      <x:c r="J151" s="6" t="str">
        <x:v>30</x:v>
      </x:c>
      <x:c r="K151" s="6" t="str">
        <x:v>299.72645904470016</x:v>
      </x:c>
      <x:c r="L151" s="6" t="str">
        <x:v>24.582384528288205</x:v>
      </x:c>
      <x:c r="M151" s="6" t="str">
        <x:v>0.3020982276641121</x:v>
      </x:c>
      <x:c r="N151" s="6" t="str">
        <x:v>86.4100278730171</x:v>
      </x:c>
      <x:c r="O151" s="6" t="str">
        <x:v>1.8108832524058762</x:v>
      </x:c>
      <x:c r="P151" s="6" t="str">
        <x:v>127.71898942203242</x:v>
      </x:c>
      <x:c r="Q151" s="6" t="str">
        <x:v>70.56589867153082</x:v>
      </x:c>
      <x:c r="R151" s="6" t="str">
        <x:v>0.763295547426921</x:v>
      </x:c>
      <x:c r="S151" s="8" t="str">
        <x:v>2.526646890082358</x:v>
      </x:c>
      <x:c r="T151" s="6" t="str">
        <x:v>1.4089627094312362</x:v>
      </x:c>
      <x:c r="U151" s="8" t="str">
        <x:v>0.7780527582655247</x:v>
      </x:c>
      <x:c r="V151" s="6" t="str">
        <x:v>172.00746962266774</x:v>
      </x:c>
      <x:c r="W151" s="8" t="str">
        <x:v>2.437543811683399</x:v>
      </x:c>
      <x:c r="X151" s="6" t="str">
        <x:v>3.4190474688189676</x:v>
      </x:c>
      <x:c r="Y151" s="6" t="str">
        <x:v>2.783475013721203</x:v>
      </x:c>
      <x:c r="Z151" s="6" t="str">
        <x:v>2.9097231242075097</x:v>
      </x:c>
      <x:c r="AA151" s="6" t="str">
        <x:v>0.8744702449186197</x:v>
      </x:c>
      <x:c r="AB151" s="6" t="str">
        <x:v>0.6271401834506996</x:v>
      </x:c>
      <x:c r="AC151" s="6" t="str">
        <x:v>0.7598877288782823</x:v>
      </x:c>
      <x:c r="AD151" s="6" t="str">
        <x:v>2.1842007722020766</x:v>
      </x:c>
      <x:c r="AE151" s="6" t="str">
        <x:v>3.1159971339989516</x:v>
      </x:c>
      <x:c r="AF151" s="6" t="str">
        <x:v>2.579247239294809</x:v>
      </x:c>
      <x:c r="AG151" s="6" t="str">
        <x:v>1</x:v>
      </x:c>
      <x:c r="AH151" s="6" t="str">
        <x:v>1</x:v>
      </x:c>
      <x:c r="AI151" s="6" t="str">
        <x:v>2024-06</x:v>
      </x:c>
      <x:c r="AJ151" s="9" t="str">
        <x:v>NASA POWER (MERRA-2 meteorology)</x:v>
      </x:c>
      <x:c r="AK151" s="9" t="str">
        <x:v>Badan Informasi Geospasial (BIG)</x:v>
      </x:c>
      <x:c r="AL151" s="9" t="str">
        <x:v>https://power.larc.nasa.gov/docs/services/api/temporal/monthly/</x:v>
      </x:c>
      <x:c r="AM151" s="9" t="str">
        <x:v>https://geoservices.big.go.id/rbi/rest/services/BATASWILAYAH/BATAS_WILAYAH/MapServer/12</x:v>
      </x:c>
    </x:row>
    <x:row r="152" ht="18" customHeight="1">
      <x:c r="A152" s="6" t="str">
        <x:v>17</x:v>
      </x:c>
      <x:c r="B152" s="6" t="str">
        <x:v>BENGKULU</x:v>
      </x:c>
      <x:c r="C152" s="6" t="str">
        <x:v>2024</x:v>
      </x:c>
      <x:c r="D152" s="6" t="str">
        <x:v>7</x:v>
      </x:c>
      <x:c r="E152" s="6" t="str">
        <x:v>25.11779475396781</x:v>
      </x:c>
      <x:c r="F152" s="9" t="str">
        <x:v>grid_cells_within_BIG_polygon</x:v>
      </x:c>
      <x:c r="G152" s="6" t="str">
        <x:v>5</x:v>
      </x:c>
      <x:c r="H152" s="8" t="str">
        <x:v>86.8669096098886</x:v>
      </x:c>
      <x:c r="I152" s="6" t="str">
        <x:v>5.509578811624515</x:v>
      </x:c>
      <x:c r="J152" s="6" t="str">
        <x:v>31</x:v>
      </x:c>
      <x:c r="K152" s="6" t="str">
        <x:v>170.79694316035994</x:v>
      </x:c>
      <x:c r="L152" s="6" t="str">
        <x:v>24.210288189241012</x:v>
      </x:c>
      <x:c r="M152" s="6" t="str">
        <x:v>0.27388838635537155</x:v>
      </x:c>
      <x:c r="N152" s="6" t="str">
        <x:v>85.89915182049235</x:v>
      </x:c>
      <x:c r="O152" s="6" t="str">
        <x:v>1.9305599826130297</x:v>
      </x:c>
      <x:c r="P152" s="6" t="str">
        <x:v>135.16863679094092</x:v>
      </x:c>
      <x:c r="Q152" s="6" t="str">
        <x:v>69.90861632492151</x:v>
      </x:c>
      <x:c r="R152" s="6" t="str">
        <x:v>0.9075065647267984</x:v>
      </x:c>
      <x:c r="S152" s="8" t="str">
        <x:v>3.313417471996436</x:v>
      </x:c>
      <x:c r="T152" s="6" t="str">
        <x:v>0.967757789396245</x:v>
      </x:c>
      <x:c r="U152" s="8" t="str">
        <x:v>0.5012834608155383</x:v>
      </x:c>
      <x:c r="V152" s="6" t="str">
        <x:v>35.62830636941902</x:v>
      </x:c>
      <x:c r="W152" s="8" t="str">
        <x:v>0.5096411321292021</x:v>
      </x:c>
      <x:c r="X152" s="6" t="str">
        <x:v>2.526646890082358</x:v>
      </x:c>
      <x:c r="Y152" s="6" t="str">
        <x:v>3.4190474688189676</x:v>
      </x:c>
      <x:c r="Z152" s="6" t="str">
        <x:v>3.086370610299254</x:v>
      </x:c>
      <x:c r="AA152" s="6" t="str">
        <x:v>0.7780527582655247</x:v>
      </x:c>
      <x:c r="AB152" s="6" t="str">
        <x:v>0.8744702449186197</x:v>
      </x:c>
      <x:c r="AC152" s="6" t="str">
        <x:v>0.7179354879998953</x:v>
      </x:c>
      <x:c r="AD152" s="6" t="str">
        <x:v>2.437543811683399</x:v>
      </x:c>
      <x:c r="AE152" s="6" t="str">
        <x:v>2.1842007722020766</x:v>
      </x:c>
      <x:c r="AF152" s="6" t="str">
        <x:v>1.710461905338226</x:v>
      </x:c>
      <x:c r="AG152" s="6" t="str">
        <x:v>0</x:v>
      </x:c>
      <x:c r="AH152" s="6" t="str">
        <x:v>1</x:v>
      </x:c>
      <x:c r="AI152" s="6" t="str">
        <x:v>2024-07</x:v>
      </x:c>
      <x:c r="AJ152" s="9" t="str">
        <x:v>NASA POWER (MERRA-2 meteorology)</x:v>
      </x:c>
      <x:c r="AK152" s="9" t="str">
        <x:v>Badan Informasi Geospasial (BIG)</x:v>
      </x:c>
      <x:c r="AL152" s="9" t="str">
        <x:v>https://power.larc.nasa.gov/docs/services/api/temporal/monthly/</x:v>
      </x:c>
      <x:c r="AM152" s="9" t="str">
        <x:v>https://geoservices.big.go.id/rbi/rest/services/BATASWILAYAH/BATAS_WILAYAH/MapServer/12</x:v>
      </x:c>
    </x:row>
    <x:row r="153" ht="18" customHeight="1">
      <x:c r="A153" s="6" t="str">
        <x:v>17</x:v>
      </x:c>
      <x:c r="B153" s="6" t="str">
        <x:v>BENGKULU</x:v>
      </x:c>
      <x:c r="C153" s="6" t="str">
        <x:v>2024</x:v>
      </x:c>
      <x:c r="D153" s="6" t="str">
        <x:v>8</x:v>
      </x:c>
      <x:c r="E153" s="6" t="str">
        <x:v>25.07189258462293</x:v>
      </x:c>
      <x:c r="F153" s="9" t="str">
        <x:v>grid_cells_within_BIG_polygon</x:v>
      </x:c>
      <x:c r="G153" s="6" t="str">
        <x:v>5</x:v>
      </x:c>
      <x:c r="H153" s="8" t="str">
        <x:v>86.65262628815655</x:v>
      </x:c>
      <x:c r="I153" s="6" t="str">
        <x:v>2.026438855078984</x:v>
      </x:c>
      <x:c r="J153" s="6" t="str">
        <x:v>31</x:v>
      </x:c>
      <x:c r="K153" s="6" t="str">
        <x:v>62.819604507448496</x:v>
      </x:c>
      <x:c r="L153" s="6" t="str">
        <x:v>24.282788160239242</x:v>
      </x:c>
      <x:c r="M153" s="6" t="str">
        <x:v>0.32451685847363004</x:v>
      </x:c>
      <x:c r="N153" s="6" t="str">
        <x:v>84.32015233447042</x:v>
      </x:c>
      <x:c r="O153" s="6" t="str">
        <x:v>2.8392646236736536</x:v>
      </x:c>
      <x:c r="P153" s="6" t="str">
        <x:v>139.66264373836657</x:v>
      </x:c>
      <x:c r="Q153" s="6" t="str">
        <x:v>91.73745714923504</x:v>
      </x:c>
      <x:c r="R153" s="6" t="str">
        <x:v>0.7891044243836873</x:v>
      </x:c>
      <x:c r="S153" s="8" t="str">
        <x:v>2.4316284463471387</x:v>
      </x:c>
      <x:c r="T153" s="6" t="str">
        <x:v>2.332473953686133</x:v>
      </x:c>
      <x:c r="U153" s="8" t="str">
        <x:v>0.82150636268211</x:v>
      </x:c>
      <x:c r="V153" s="6" t="str">
        <x:v>-76.84303923091807</x:v>
      </x:c>
      <x:c r="W153" s="8" t="str">
        <x:v>-0.8376408243571947</x:v>
      </x:c>
      <x:c r="X153" s="6" t="str">
        <x:v>3.313417471996436</x:v>
      </x:c>
      <x:c r="Y153" s="6" t="str">
        <x:v>2.526646890082358</x:v>
      </x:c>
      <x:c r="Z153" s="6" t="str">
        <x:v>2.757230936141978</x:v>
      </x:c>
      <x:c r="AA153" s="6" t="str">
        <x:v>0.5012834608155383</x:v>
      </x:c>
      <x:c r="AB153" s="6" t="str">
        <x:v>0.7780527582655247</x:v>
      </x:c>
      <x:c r="AC153" s="6" t="str">
        <x:v>0.7002808605877253</x:v>
      </x:c>
      <x:c r="AD153" s="6" t="str">
        <x:v>0.5096411321292021</x:v>
      </x:c>
      <x:c r="AE153" s="6" t="str">
        <x:v>2.437543811683399</x:v>
      </x:c>
      <x:c r="AF153" s="6" t="str">
        <x:v>0.7031813731518022</x:v>
      </x:c>
      <x:c r="AG153" s="6" t="str">
        <x:v>0</x:v>
      </x:c>
      <x:c r="AH153" s="6" t="str">
        <x:v>1</x:v>
      </x:c>
      <x:c r="AI153" s="6" t="str">
        <x:v>2024-08</x:v>
      </x:c>
      <x:c r="AJ153" s="9" t="str">
        <x:v>NASA POWER (MERRA-2 meteorology)</x:v>
      </x:c>
      <x:c r="AK153" s="9" t="str">
        <x:v>Badan Informasi Geospasial (BIG)</x:v>
      </x:c>
      <x:c r="AL153" s="9" t="str">
        <x:v>https://power.larc.nasa.gov/docs/services/api/temporal/monthly/</x:v>
      </x:c>
      <x:c r="AM153" s="9" t="str">
        <x:v>https://geoservices.big.go.id/rbi/rest/services/BATASWILAYAH/BATAS_WILAYAH/MapServer/12</x:v>
      </x:c>
    </x:row>
    <x:row r="154" ht="18" customHeight="1">
      <x:c r="A154" s="6" t="str">
        <x:v>17</x:v>
      </x:c>
      <x:c r="B154" s="6" t="str">
        <x:v>BENGKULU</x:v>
      </x:c>
      <x:c r="C154" s="6" t="str">
        <x:v>2024</x:v>
      </x:c>
      <x:c r="D154" s="6" t="str">
        <x:v>9</x:v>
      </x:c>
      <x:c r="E154" s="6" t="str">
        <x:v>25.113757231264728</x:v>
      </x:c>
      <x:c r="F154" s="9" t="str">
        <x:v>grid_cells_within_BIG_polygon</x:v>
      </x:c>
      <x:c r="G154" s="6" t="str">
        <x:v>5</x:v>
      </x:c>
      <x:c r="H154" s="8" t="str">
        <x:v>84.3309664727665</x:v>
      </x:c>
      <x:c r="I154" s="6" t="str">
        <x:v>4.415967094053578</x:v>
      </x:c>
      <x:c r="J154" s="6" t="str">
        <x:v>30</x:v>
      </x:c>
      <x:c r="K154" s="6" t="str">
        <x:v>132.47901282160734</x:v>
      </x:c>
      <x:c r="L154" s="6" t="str">
        <x:v>24.38183753505401</x:v>
      </x:c>
      <x:c r="M154" s="6" t="str">
        <x:v>0.4075130290863482</x:v>
      </x:c>
      <x:c r="N154" s="6" t="str">
        <x:v>83.85008910585388</x:v>
      </x:c>
      <x:c r="O154" s="6" t="str">
        <x:v>3.696176706979855</x:v>
      </x:c>
      <x:c r="P154" s="6" t="str">
        <x:v>151.75633321123274</x:v>
      </x:c>
      <x:c r="Q154" s="6" t="str">
        <x:v>92.43685869972155</x:v>
      </x:c>
      <x:c r="R154" s="6" t="str">
        <x:v>0.7319196962107171</x:v>
      </x:c>
      <x:c r="S154" s="8" t="str">
        <x:v>1.7960645279285785</x:v>
      </x:c>
      <x:c r="T154" s="6" t="str">
        <x:v>0.4808773669126225</x:v>
      </x:c>
      <x:c r="U154" s="8" t="str">
        <x:v>0.13010129250707478</x:v>
      </x:c>
      <x:c r="V154" s="6" t="str">
        <x:v>-19.2773203896254</x:v>
      </x:c>
      <x:c r="W154" s="8" t="str">
        <x:v>-0.2085458188518415</x:v>
      </x:c>
      <x:c r="X154" s="6" t="str">
        <x:v>2.4316284463471387</x:v>
      </x:c>
      <x:c r="Y154" s="6" t="str">
        <x:v>3.313417471996436</x:v>
      </x:c>
      <x:c r="Z154" s="6" t="str">
        <x:v>2.513703482090718</x:v>
      </x:c>
      <x:c r="AA154" s="6" t="str">
        <x:v>0.82150636268211</x:v>
      </x:c>
      <x:c r="AB154" s="6" t="str">
        <x:v>0.5012834608155383</x:v>
      </x:c>
      <x:c r="AC154" s="6" t="str">
        <x:v>0.4842970386682419</x:v>
      </x:c>
      <x:c r="AD154" s="6" t="str">
        <x:v>-0.8376408243571947</x:v>
      </x:c>
      <x:c r="AE154" s="6" t="str">
        <x:v>0.5096411321292021</x:v>
      </x:c>
      <x:c r="AF154" s="6" t="str">
        <x:v>-0.178848503693278</x:v>
      </x:c>
      <x:c r="AG154" s="6" t="str">
        <x:v>0</x:v>
      </x:c>
      <x:c r="AH154" s="6" t="str">
        <x:v>1</x:v>
      </x:c>
      <x:c r="AI154" s="6" t="str">
        <x:v>2024-09</x:v>
      </x:c>
      <x:c r="AJ154" s="9" t="str">
        <x:v>NASA POWER (MERRA-2 meteorology)</x:v>
      </x:c>
      <x:c r="AK154" s="9" t="str">
        <x:v>Badan Informasi Geospasial (BIG)</x:v>
      </x:c>
      <x:c r="AL154" s="9" t="str">
        <x:v>https://power.larc.nasa.gov/docs/services/api/temporal/monthly/</x:v>
      </x:c>
      <x:c r="AM154" s="9" t="str">
        <x:v>https://geoservices.big.go.id/rbi/rest/services/BATASWILAYAH/BATAS_WILAYAH/MapServer/12</x:v>
      </x:c>
    </x:row>
    <x:row r="155" ht="18" customHeight="1">
      <x:c r="A155" s="6" t="str">
        <x:v>17</x:v>
      </x:c>
      <x:c r="B155" s="6" t="str">
        <x:v>BENGKULU</x:v>
      </x:c>
      <x:c r="C155" s="6" t="str">
        <x:v>2024</x:v>
      </x:c>
      <x:c r="D155" s="6" t="str">
        <x:v>10</x:v>
      </x:c>
      <x:c r="E155" s="6" t="str">
        <x:v>25.44376683449334</x:v>
      </x:c>
      <x:c r="F155" s="9" t="str">
        <x:v>grid_cells_within_BIG_polygon</x:v>
      </x:c>
      <x:c r="G155" s="6" t="str">
        <x:v>5</x:v>
      </x:c>
      <x:c r="H155" s="8" t="str">
        <x:v>83.1569228380722</x:v>
      </x:c>
      <x:c r="I155" s="6" t="str">
        <x:v>5.744170152205492</x:v>
      </x:c>
      <x:c r="J155" s="6" t="str">
        <x:v>31</x:v>
      </x:c>
      <x:c r="K155" s="6" t="str">
        <x:v>178.06927471837025</x:v>
      </x:c>
      <x:c r="L155" s="6" t="str">
        <x:v>24.449512738299585</x:v>
      </x:c>
      <x:c r="M155" s="6" t="str">
        <x:v>0.4958389302465793</x:v>
      </x:c>
      <x:c r="N155" s="6" t="str">
        <x:v>84.96211279719783</x:v>
      </x:c>
      <x:c r="O155" s="6" t="str">
        <x:v>4.769347054412478</x:v>
      </x:c>
      <x:c r="P155" s="6" t="str">
        <x:v>221.3254066609608</x:v>
      </x:c>
      <x:c r="Q155" s="6" t="str">
        <x:v>126.99987632713564</x:v>
      </x:c>
      <x:c r="R155" s="6" t="str">
        <x:v>0.9942540961937532</x:v>
      </x:c>
      <x:c r="S155" s="8" t="str">
        <x:v>2.0051957108315666</x:v>
      </x:c>
      <x:c r="T155" s="6" t="str">
        <x:v>-1.8051899591256273</x:v>
      </x:c>
      <x:c r="U155" s="8" t="str">
        <x:v>-0.378498343385498</x:v>
      </x:c>
      <x:c r="V155" s="6" t="str">
        <x:v>-43.25613194259054</x:v>
      </x:c>
      <x:c r="W155" s="8" t="str">
        <x:v>-0.3405997957916763</x:v>
      </x:c>
      <x:c r="X155" s="6" t="str">
        <x:v>1.7960645279285785</x:v>
      </x:c>
      <x:c r="Y155" s="6" t="str">
        <x:v>2.4316284463471387</x:v>
      </x:c>
      <x:c r="Z155" s="6" t="str">
        <x:v>2.077629561702428</x:v>
      </x:c>
      <x:c r="AA155" s="6" t="str">
        <x:v>0.13010129250707478</x:v>
      </x:c>
      <x:c r="AB155" s="6" t="str">
        <x:v>0.82150636268211</x:v>
      </x:c>
      <x:c r="AC155" s="6" t="str">
        <x:v>0.19103643726789654</x:v>
      </x:c>
      <x:c r="AD155" s="6" t="str">
        <x:v>-0.2085458188518415</x:v>
      </x:c>
      <x:c r="AE155" s="6" t="str">
        <x:v>-0.8376408243571947</x:v>
      </x:c>
      <x:c r="AF155" s="6" t="str">
        <x:v>-0.4622621463335708</x:v>
      </x:c>
      <x:c r="AG155" s="6" t="str">
        <x:v>0</x:v>
      </x:c>
      <x:c r="AH155" s="6" t="str">
        <x:v>1</x:v>
      </x:c>
      <x:c r="AI155" s="6" t="str">
        <x:v>2024-10</x:v>
      </x:c>
      <x:c r="AJ155" s="9" t="str">
        <x:v>NASA POWER (MERRA-2 meteorology)</x:v>
      </x:c>
      <x:c r="AK155" s="9" t="str">
        <x:v>Badan Informasi Geospasial (BIG)</x:v>
      </x:c>
      <x:c r="AL155" s="9" t="str">
        <x:v>https://power.larc.nasa.gov/docs/services/api/temporal/monthly/</x:v>
      </x:c>
      <x:c r="AM155" s="9" t="str">
        <x:v>https://geoservices.big.go.id/rbi/rest/services/BATASWILAYAH/BATAS_WILAYAH/MapServer/12</x:v>
      </x:c>
    </x:row>
    <x:row r="156" ht="18" customHeight="1">
      <x:c r="A156" s="6" t="str">
        <x:v>17</x:v>
      </x:c>
      <x:c r="B156" s="6" t="str">
        <x:v>BENGKULU</x:v>
      </x:c>
      <x:c r="C156" s="6" t="str">
        <x:v>2024</x:v>
      </x:c>
      <x:c r="D156" s="6" t="str">
        <x:v>11</x:v>
      </x:c>
      <x:c r="E156" s="6" t="str">
        <x:v>24.6217510592519</x:v>
      </x:c>
      <x:c r="F156" s="9" t="str">
        <x:v>grid_cells_within_BIG_polygon</x:v>
      </x:c>
      <x:c r="G156" s="6" t="str">
        <x:v>5</x:v>
      </x:c>
      <x:c r="H156" s="8" t="str">
        <x:v>87.59014630481485</x:v>
      </x:c>
      <x:c r="I156" s="6" t="str">
        <x:v>12.385828320177675</x:v>
      </x:c>
      <x:c r="J156" s="6" t="str">
        <x:v>30</x:v>
      </x:c>
      <x:c r="K156" s="6" t="str">
        <x:v>371.57484960533026</x:v>
      </x:c>
      <x:c r="L156" s="6" t="str">
        <x:v>24.25657124865687</x:v>
      </x:c>
      <x:c r="M156" s="6" t="str">
        <x:v>0.5026823571713954</x:v>
      </x:c>
      <x:c r="N156" s="6" t="str">
        <x:v>87.56653278110473</x:v>
      </x:c>
      <x:c r="O156" s="6" t="str">
        <x:v>2.5741609221342077</x:v>
      </x:c>
      <x:c r="P156" s="6" t="str">
        <x:v>298.40866484576026</x:v>
      </x:c>
      <x:c r="Q156" s="6" t="str">
        <x:v>99.98258469474551</x:v>
      </x:c>
      <x:c r="R156" s="6" t="str">
        <x:v>0.3651798105950306</x:v>
      </x:c>
      <x:c r="S156" s="8" t="str">
        <x:v>0.7264623581577546</x:v>
      </x:c>
      <x:c r="T156" s="6" t="str">
        <x:v>0.02361352371012515</x:v>
      </x:c>
      <x:c r="U156" s="8" t="str">
        <x:v>0.009173289636666321</x:v>
      </x:c>
      <x:c r="V156" s="6" t="str">
        <x:v>73.16618475957</x:v>
      </x:c>
      <x:c r="W156" s="8" t="str">
        <x:v>0.7317892909345359</x:v>
      </x:c>
      <x:c r="X156" s="6" t="str">
        <x:v>2.0051957108315666</x:v>
      </x:c>
      <x:c r="Y156" s="6" t="str">
        <x:v>1.7960645279285785</x:v>
      </x:c>
      <x:c r="Z156" s="6" t="str">
        <x:v>1.5092408656393002</x:v>
      </x:c>
      <x:c r="AA156" s="6" t="str">
        <x:v>-0.378498343385498</x:v>
      </x:c>
      <x:c r="AB156" s="6" t="str">
        <x:v>0.13010129250707478</x:v>
      </x:c>
      <x:c r="AC156" s="6" t="str">
        <x:v>-0.07974125374725134</x:v>
      </x:c>
      <x:c r="AD156" s="6" t="str">
        <x:v>-0.3405997957916763</x:v>
      </x:c>
      <x:c r="AE156" s="6" t="str">
        <x:v>-0.2085458188518415</x:v>
      </x:c>
      <x:c r="AF156" s="6" t="str">
        <x:v>0.06088122543033936</x:v>
      </x:c>
      <x:c r="AG156" s="6" t="str">
        <x:v>0</x:v>
      </x:c>
      <x:c r="AH156" s="6" t="str">
        <x:v>0</x:v>
      </x:c>
      <x:c r="AI156" s="6" t="str">
        <x:v>2024-11</x:v>
      </x:c>
      <x:c r="AJ156" s="9" t="str">
        <x:v>NASA POWER (MERRA-2 meteorology)</x:v>
      </x:c>
      <x:c r="AK156" s="9" t="str">
        <x:v>Badan Informasi Geospasial (BIG)</x:v>
      </x:c>
      <x:c r="AL156" s="9" t="str">
        <x:v>https://power.larc.nasa.gov/docs/services/api/temporal/monthly/</x:v>
      </x:c>
      <x:c r="AM156" s="9" t="str">
        <x:v>https://geoservices.big.go.id/rbi/rest/services/BATASWILAYAH/BATAS_WILAYAH/MapServer/12</x:v>
      </x:c>
    </x:row>
    <x:row r="157" ht="18" customHeight="1">
      <x:c r="A157" s="6" t="str">
        <x:v>17</x:v>
      </x:c>
      <x:c r="B157" s="6" t="str">
        <x:v>BENGKULU</x:v>
      </x:c>
      <x:c r="C157" s="6" t="str">
        <x:v>2024</x:v>
      </x:c>
      <x:c r="D157" s="6" t="str">
        <x:v>12</x:v>
      </x:c>
      <x:c r="E157" s="6" t="str">
        <x:v>24.373778739199565</x:v>
      </x:c>
      <x:c r="F157" s="9" t="str">
        <x:v>grid_cells_within_BIG_polygon</x:v>
      </x:c>
      <x:c r="G157" s="6" t="str">
        <x:v>5</x:v>
      </x:c>
      <x:c r="H157" s="8" t="str">
        <x:v>88.13976893247414</x:v>
      </x:c>
      <x:c r="I157" s="6" t="str">
        <x:v>10.607004317630524</x:v>
      </x:c>
      <x:c r="J157" s="6" t="str">
        <x:v>31</x:v>
      </x:c>
      <x:c r="K157" s="6" t="str">
        <x:v>328.81713384654626</x:v>
      </x:c>
      <x:c r="L157" s="6" t="str">
        <x:v>23.934737108339448</x:v>
      </x:c>
      <x:c r="M157" s="6" t="str">
        <x:v>0.37818809514014484</x:v>
      </x:c>
      <x:c r="N157" s="6" t="str">
        <x:v>88.81697483061187</x:v>
      </x:c>
      <x:c r="O157" s="6" t="str">
        <x:v>1.3126175480321767</x:v>
      </x:c>
      <x:c r="P157" s="6" t="str">
        <x:v>311.17693216215685</x:v>
      </x:c>
      <x:c r="Q157" s="6" t="str">
        <x:v>98.6523100234601</x:v>
      </x:c>
      <x:c r="R157" s="6" t="str">
        <x:v>0.4390416308601175</x:v>
      </x:c>
      <x:c r="S157" s="8" t="str">
        <x:v>1.1609081208582788</x:v>
      </x:c>
      <x:c r="T157" s="6" t="str">
        <x:v>-0.6772058981377285</x:v>
      </x:c>
      <x:c r="U157" s="8" t="str">
        <x:v>-0.5159201925594917</x:v>
      </x:c>
      <x:c r="V157" s="6" t="str">
        <x:v>17.64020168438941</x:v>
      </x:c>
      <x:c r="W157" s="8" t="str">
        <x:v>0.17881184617161489</x:v>
      </x:c>
      <x:c r="X157" s="6" t="str">
        <x:v>0.7264623581577546</x:v>
      </x:c>
      <x:c r="Y157" s="6" t="str">
        <x:v>2.0051957108315666</x:v>
      </x:c>
      <x:c r="Z157" s="6" t="str">
        <x:v>1.2975220632825335</x:v>
      </x:c>
      <x:c r="AA157" s="6" t="str">
        <x:v>0.009173289636666321</x:v>
      </x:c>
      <x:c r="AB157" s="6" t="str">
        <x:v>-0.378498343385498</x:v>
      </x:c>
      <x:c r="AC157" s="6" t="str">
        <x:v>-0.29508174876944016</x:v>
      </x:c>
      <x:c r="AD157" s="6" t="str">
        <x:v>0.7317892909345359</x:v>
      </x:c>
      <x:c r="AE157" s="6" t="str">
        <x:v>-0.3405997957916763</x:v>
      </x:c>
      <x:c r="AF157" s="6" t="str">
        <x:v>0.1900004471048248</x:v>
      </x:c>
      <x:c r="AG157" s="6" t="str">
        <x:v>0</x:v>
      </x:c>
      <x:c r="AH157" s="6" t="str">
        <x:v>1</x:v>
      </x:c>
      <x:c r="AI157" s="6" t="str">
        <x:v>2024-12</x:v>
      </x:c>
      <x:c r="AJ157" s="9" t="str">
        <x:v>NASA POWER (MERRA-2 meteorology)</x:v>
      </x:c>
      <x:c r="AK157" s="9" t="str">
        <x:v>Badan Informasi Geospasial (BIG)</x:v>
      </x:c>
      <x:c r="AL157" s="9" t="str">
        <x:v>https://power.larc.nasa.gov/docs/services/api/temporal/monthly/</x:v>
      </x:c>
      <x:c r="AM157" s="9" t="str">
        <x:v>https://geoservices.big.go.id/rbi/rest/services/BATASWILAYAH/BATAS_WILAYAH/MapServer/12</x:v>
      </x:c>
    </x:row>
    <x:row r="158" ht="18" customHeight="1">
      <x:c r="A158" s="6" t="str">
        <x:v>17</x:v>
      </x:c>
      <x:c r="B158" s="6" t="str">
        <x:v>BENGKULU</x:v>
      </x:c>
      <x:c r="C158" s="6" t="str">
        <x:v>2025</x:v>
      </x:c>
      <x:c r="D158" s="6" t="str">
        <x:v>1</x:v>
      </x:c>
      <x:c r="E158" s="6" t="str">
        <x:v>24.439821667700855</x:v>
      </x:c>
      <x:c r="F158" s="9" t="str">
        <x:v>grid_cells_within_BIG_polygon</x:v>
      </x:c>
      <x:c r="G158" s="6" t="str">
        <x:v>5</x:v>
      </x:c>
      <x:c r="H158" s="8" t="str">
        <x:v>87.82210991863602</x:v>
      </x:c>
      <x:c r="I158" s="6" t="str">
        <x:v>9.432816239847861</x:v>
      </x:c>
      <x:c r="J158" s="6" t="str">
        <x:v>31</x:v>
      </x:c>
      <x:c r="K158" s="6" t="str">
        <x:v>292.4173034352837</x:v>
      </x:c>
      <x:c r="L158" s="6" t="str">
        <x:v>24.11221573718505</x:v>
      </x:c>
      <x:c r="M158" s="6" t="str">
        <x:v>0.45224424317244366</x:v>
      </x:c>
      <x:c r="N158" s="6" t="str">
        <x:v>87.80648172097277</x:v>
      </x:c>
      <x:c r="O158" s="6" t="str">
        <x:v>1.3669673196335907</x:v>
      </x:c>
      <x:c r="P158" s="6" t="str">
        <x:v>248.52533809102232</x:v>
      </x:c>
      <x:c r="Q158" s="6" t="str">
        <x:v>94.9663341780005</x:v>
      </x:c>
      <x:c r="R158" s="6" t="str">
        <x:v>0.327605930515805</x:v>
      </x:c>
      <x:c r="S158" s="8" t="str">
        <x:v>0.7244004439231452</x:v>
      </x:c>
      <x:c r="T158" s="6" t="str">
        <x:v>0.01562819766324708</x:v>
      </x:c>
      <x:c r="U158" s="8" t="str">
        <x:v>0.011432751492139655</x:v>
      </x:c>
      <x:c r="V158" s="6" t="str">
        <x:v>43.89196534426139</x:v>
      </x:c>
      <x:c r="W158" s="8" t="str">
        <x:v>0.4621844754162283</x:v>
      </x:c>
      <x:c r="X158" s="6" t="str">
        <x:v>1.1609081208582788</x:v>
      </x:c>
      <x:c r="Y158" s="6" t="str">
        <x:v>0.7264623581577546</x:v>
      </x:c>
      <x:c r="Z158" s="6" t="str">
        <x:v>0.8705903076463931</x:v>
      </x:c>
      <x:c r="AA158" s="6" t="str">
        <x:v>-0.5159201925594917</x:v>
      </x:c>
      <x:c r="AB158" s="6" t="str">
        <x:v>0.009173289636666321</x:v>
      </x:c>
      <x:c r="AC158" s="6" t="str">
        <x:v>-0.16510471714356095</x:v>
      </x:c>
      <x:c r="AD158" s="6" t="str">
        <x:v>0.17881184617161489</x:v>
      </x:c>
      <x:c r="AE158" s="6" t="str">
        <x:v>0.7317892909345359</x:v>
      </x:c>
      <x:c r="AF158" s="6" t="str">
        <x:v>0.4575952041741264</x:v>
      </x:c>
      <x:c r="AG158" s="6" t="str">
        <x:v>0</x:v>
      </x:c>
      <x:c r="AH158" s="6" t="str">
        <x:v>0</x:v>
      </x:c>
      <x:c r="AI158" s="6" t="str">
        <x:v>2025-01</x:v>
      </x:c>
      <x:c r="AJ158" s="9" t="str">
        <x:v>NASA POWER (MERRA-2 meteorology)</x:v>
      </x:c>
      <x:c r="AK158" s="9" t="str">
        <x:v>Badan Informasi Geospasial (BIG)</x:v>
      </x:c>
      <x:c r="AL158" s="9" t="str">
        <x:v>https://power.larc.nasa.gov/docs/services/api/temporal/monthly/</x:v>
      </x:c>
      <x:c r="AM158" s="9" t="str">
        <x:v>https://geoservices.big.go.id/rbi/rest/services/BATASWILAYAH/BATAS_WILAYAH/MapServer/12</x:v>
      </x:c>
    </x:row>
    <x:row r="159" ht="18" customHeight="1">
      <x:c r="A159" s="6" t="str">
        <x:v>17</x:v>
      </x:c>
      <x:c r="B159" s="6" t="str">
        <x:v>BENGKULU</x:v>
      </x:c>
      <x:c r="C159" s="6" t="str">
        <x:v>2025</x:v>
      </x:c>
      <x:c r="D159" s="6" t="str">
        <x:v>2</x:v>
      </x:c>
      <x:c r="E159" s="6" t="str">
        <x:v>24.669820296774468</x:v>
      </x:c>
      <x:c r="F159" s="9" t="str">
        <x:v>grid_cells_within_BIG_polygon</x:v>
      </x:c>
      <x:c r="G159" s="6" t="str">
        <x:v>5</x:v>
      </x:c>
      <x:c r="H159" s="8" t="str">
        <x:v>86.85022023706885</x:v>
      </x:c>
      <x:c r="I159" s="6" t="str">
        <x:v>8.165224621003555</x:v>
      </x:c>
      <x:c r="J159" s="6" t="str">
        <x:v>28</x:v>
      </x:c>
      <x:c r="K159" s="6" t="str">
        <x:v>228.62628938809954</x:v>
      </x:c>
      <x:c r="L159" s="6" t="str">
        <x:v>24.255496709953206</x:v>
      </x:c>
      <x:c r="M159" s="6" t="str">
        <x:v>0.45454111032136907</x:v>
      </x:c>
      <x:c r="N159" s="6" t="str">
        <x:v>87.34102003713107</x:v>
      </x:c>
      <x:c r="O159" s="6" t="str">
        <x:v>1.3822755422475994</x:v>
      </x:c>
      <x:c r="P159" s="6" t="str">
        <x:v>221.94302593618434</x:v>
      </x:c>
      <x:c r="Q159" s="6" t="str">
        <x:v>88.77466043681783</x:v>
      </x:c>
      <x:c r="R159" s="6" t="str">
        <x:v>0.41432358682126136</x:v>
      </x:c>
      <x:c r="S159" s="8" t="str">
        <x:v>0.9115206026762394</x:v>
      </x:c>
      <x:c r="T159" s="6" t="str">
        <x:v>-0.49079980006222</x:v>
      </x:c>
      <x:c r="U159" s="8" t="str">
        <x:v>-0.355066544304309</x:v>
      </x:c>
      <x:c r="V159" s="6" t="str">
        <x:v>6.683263451915195</x:v>
      </x:c>
      <x:c r="W159" s="8" t="str">
        <x:v>0.07528345835433263</x:v>
      </x:c>
      <x:c r="X159" s="6" t="str">
        <x:v>0.7244004439231452</x:v>
      </x:c>
      <x:c r="Y159" s="6" t="str">
        <x:v>1.1609081208582788</x:v>
      </x:c>
      <x:c r="Z159" s="6" t="str">
        <x:v>0.9322763891525546</x:v>
      </x:c>
      <x:c r="AA159" s="6" t="str">
        <x:v>0.011432751492139655</x:v>
      </x:c>
      <x:c r="AB159" s="6" t="str">
        <x:v>-0.5159201925594917</x:v>
      </x:c>
      <x:c r="AC159" s="6" t="str">
        <x:v>-0.2865179951238861</x:v>
      </x:c>
      <x:c r="AD159" s="6" t="str">
        <x:v>0.4621844754162283</x:v>
      </x:c>
      <x:c r="AE159" s="6" t="str">
        <x:v>0.17881184617161489</x:v>
      </x:c>
      <x:c r="AF159" s="6" t="str">
        <x:v>0.23875992664739196</x:v>
      </x:c>
      <x:c r="AG159" s="6" t="str">
        <x:v>0</x:v>
      </x:c>
      <x:c r="AH159" s="6" t="str">
        <x:v>0</x:v>
      </x:c>
      <x:c r="AI159" s="6" t="str">
        <x:v>2025-02</x:v>
      </x:c>
      <x:c r="AJ159" s="9" t="str">
        <x:v>NASA POWER (MERRA-2 meteorology)</x:v>
      </x:c>
      <x:c r="AK159" s="9" t="str">
        <x:v>Badan Informasi Geospasial (BIG)</x:v>
      </x:c>
      <x:c r="AL159" s="9" t="str">
        <x:v>https://power.larc.nasa.gov/docs/services/api/temporal/monthly/</x:v>
      </x:c>
      <x:c r="AM159" s="9" t="str">
        <x:v>https://geoservices.big.go.id/rbi/rest/services/BATASWILAYAH/BATAS_WILAYAH/MapServer/12</x:v>
      </x:c>
    </x:row>
    <x:row r="160" ht="18" customHeight="1">
      <x:c r="A160" s="6" t="str">
        <x:v>17</x:v>
      </x:c>
      <x:c r="B160" s="6" t="str">
        <x:v>BENGKULU</x:v>
      </x:c>
      <x:c r="C160" s="6" t="str">
        <x:v>2025</x:v>
      </x:c>
      <x:c r="D160" s="6" t="str">
        <x:v>3</x:v>
      </x:c>
      <x:c r="E160" s="6" t="str">
        <x:v>24.773787429522503</x:v>
      </x:c>
      <x:c r="F160" s="9" t="str">
        <x:v>grid_cells_within_BIG_polygon</x:v>
      </x:c>
      <x:c r="G160" s="6" t="str">
        <x:v>5</x:v>
      </x:c>
      <x:c r="H160" s="8" t="str">
        <x:v>88.45196496058246</x:v>
      </x:c>
      <x:c r="I160" s="6" t="str">
        <x:v>12.386940777524936</x:v>
      </x:c>
      <x:c r="J160" s="6" t="str">
        <x:v>31</x:v>
      </x:c>
      <x:c r="K160" s="6" t="str">
        <x:v>383.995164103273</x:v>
      </x:c>
      <x:c r="L160" s="6" t="str">
        <x:v>24.423219500627702</x:v>
      </x:c>
      <x:c r="M160" s="6" t="str">
        <x:v>0.44624349944562436</x:v>
      </x:c>
      <x:c r="N160" s="6" t="str">
        <x:v>87.34511617762891</x:v>
      </x:c>
      <x:c r="O160" s="6" t="str">
        <x:v>1.2816346168899644</x:v>
      </x:c>
      <x:c r="P160" s="6" t="str">
        <x:v>239.69579532622137</x:v>
      </x:c>
      <x:c r="Q160" s="6" t="str">
        <x:v>95.7022008063762</x:v>
      </x:c>
      <x:c r="R160" s="6" t="str">
        <x:v>0.35056792889480093</x:v>
      </x:c>
      <x:c r="S160" s="8" t="str">
        <x:v>0.7855978391401045</x:v>
      </x:c>
      <x:c r="T160" s="6" t="str">
        <x:v>1.1068487829535485</x:v>
      </x:c>
      <x:c r="U160" s="8" t="str">
        <x:v>0.8636227270760257</x:v>
      </x:c>
      <x:c r="V160" s="6" t="str">
        <x:v>144.29936877705163</x:v>
      </x:c>
      <x:c r="W160" s="8" t="str">
        <x:v>1.507795720069142</x:v>
      </x:c>
      <x:c r="X160" s="6" t="str">
        <x:v>0.9115206026762394</x:v>
      </x:c>
      <x:c r="Y160" s="6" t="str">
        <x:v>0.7244004439231452</x:v>
      </x:c>
      <x:c r="Z160" s="6" t="str">
        <x:v>0.8071729619131633</x:v>
      </x:c>
      <x:c r="AA160" s="6" t="str">
        <x:v>-0.355066544304309</x:v>
      </x:c>
      <x:c r="AB160" s="6" t="str">
        <x:v>0.011432751492139655</x:v>
      </x:c>
      <x:c r="AC160" s="6" t="str">
        <x:v>0.17332964475461973</x:v>
      </x:c>
      <x:c r="AD160" s="6" t="str">
        <x:v>0.07528345835433263</x:v>
      </x:c>
      <x:c r="AE160" s="6" t="str">
        <x:v>0.4621844754162283</x:v>
      </x:c>
      <x:c r="AF160" s="6" t="str">
        <x:v>0.681754551279901</x:v>
      </x:c>
      <x:c r="AG160" s="6" t="str">
        <x:v>1</x:v>
      </x:c>
      <x:c r="AH160" s="6" t="str">
        <x:v>0</x:v>
      </x:c>
      <x:c r="AI160" s="6" t="str">
        <x:v>2025-03</x:v>
      </x:c>
      <x:c r="AJ160" s="9" t="str">
        <x:v>NASA POWER (MERRA-2 meteorology)</x:v>
      </x:c>
      <x:c r="AK160" s="9" t="str">
        <x:v>Badan Informasi Geospasial (BIG)</x:v>
      </x:c>
      <x:c r="AL160" s="9" t="str">
        <x:v>https://power.larc.nasa.gov/docs/services/api/temporal/monthly/</x:v>
      </x:c>
      <x:c r="AM160" s="9" t="str">
        <x:v>https://geoservices.big.go.id/rbi/rest/services/BATASWILAYAH/BATAS_WILAYAH/MapServer/12</x:v>
      </x:c>
    </x:row>
    <x:row r="161" ht="18" customHeight="1">
      <x:c r="A161" s="6" t="str">
        <x:v>17</x:v>
      </x:c>
      <x:c r="B161" s="6" t="str">
        <x:v>BENGKULU</x:v>
      </x:c>
      <x:c r="C161" s="6" t="str">
        <x:v>2025</x:v>
      </x:c>
      <x:c r="D161" s="6" t="str">
        <x:v>4</x:v>
      </x:c>
      <x:c r="E161" s="6" t="str">
        <x:v>24.70178102459602</x:v>
      </x:c>
      <x:c r="F161" s="9" t="str">
        <x:v>grid_cells_within_BIG_polygon</x:v>
      </x:c>
      <x:c r="G161" s="6" t="str">
        <x:v>5</x:v>
      </x:c>
      <x:c r="H161" s="8" t="str">
        <x:v>88.22019684693858</x:v>
      </x:c>
      <x:c r="I161" s="6" t="str">
        <x:v>8.521261171287275</x:v>
      </x:c>
      <x:c r="J161" s="6" t="str">
        <x:v>30</x:v>
      </x:c>
      <x:c r="K161" s="6" t="str">
        <x:v>255.63783513861824</x:v>
      </x:c>
      <x:c r="L161" s="6" t="str">
        <x:v>24.65391300906983</x:v>
      </x:c>
      <x:c r="M161" s="6" t="str">
        <x:v>0.44830874839167845</x:v>
      </x:c>
      <x:c r="N161" s="6" t="str">
        <x:v>88.06519157615178</x:v>
      </x:c>
      <x:c r="O161" s="6" t="str">
        <x:v>0.9137389012665798</x:v>
      </x:c>
      <x:c r="P161" s="6" t="str">
        <x:v>237.66371133342165</x:v>
      </x:c>
      <x:c r="Q161" s="6" t="str">
        <x:v>76.38096169603459</x:v>
      </x:c>
      <x:c r="R161" s="6" t="str">
        <x:v>0.04786801552619124</x:v>
      </x:c>
      <x:c r="S161" s="8" t="str">
        <x:v>0.10677466299267913</x:v>
      </x:c>
      <x:c r="T161" s="6" t="str">
        <x:v>0.15500527078680193</x:v>
      </x:c>
      <x:c r="U161" s="8" t="str">
        <x:v>0.16963847174717117</x:v>
      </x:c>
      <x:c r="V161" s="6" t="str">
        <x:v>17.974123805196598</x:v>
      </x:c>
      <x:c r="W161" s="8" t="str">
        <x:v>0.2353220410699509</x:v>
      </x:c>
      <x:c r="X161" s="6" t="str">
        <x:v>0.7855978391401045</x:v>
      </x:c>
      <x:c r="Y161" s="6" t="str">
        <x:v>0.9115206026762394</x:v>
      </x:c>
      <x:c r="Z161" s="6" t="str">
        <x:v>0.601297701603008</x:v>
      </x:c>
      <x:c r="AA161" s="6" t="str">
        <x:v>0.8636227270760257</x:v>
      </x:c>
      <x:c r="AB161" s="6" t="str">
        <x:v>-0.355066544304309</x:v>
      </x:c>
      <x:c r="AC161" s="6" t="str">
        <x:v>0.22606488483963025</x:v>
      </x:c>
      <x:c r="AD161" s="6" t="str">
        <x:v>1.507795720069142</x:v>
      </x:c>
      <x:c r="AE161" s="6" t="str">
        <x:v>0.07528345835433263</x:v>
      </x:c>
      <x:c r="AF161" s="6" t="str">
        <x:v>0.6061337398311418</x:v>
      </x:c>
      <x:c r="AG161" s="6" t="str">
        <x:v>0</x:v>
      </x:c>
      <x:c r="AH161" s="6" t="str">
        <x:v>0</x:v>
      </x:c>
      <x:c r="AI161" s="6" t="str">
        <x:v>2025-04</x:v>
      </x:c>
      <x:c r="AJ161" s="9" t="str">
        <x:v>NASA POWER (MERRA-2 meteorology)</x:v>
      </x:c>
      <x:c r="AK161" s="9" t="str">
        <x:v>Badan Informasi Geospasial (BIG)</x:v>
      </x:c>
      <x:c r="AL161" s="9" t="str">
        <x:v>https://power.larc.nasa.gov/docs/services/api/temporal/monthly/</x:v>
      </x:c>
      <x:c r="AM161" s="9" t="str">
        <x:v>https://geoservices.big.go.id/rbi/rest/services/BATASWILAYAH/BATAS_WILAYAH/MapServer/12</x:v>
      </x:c>
    </x:row>
    <x:row r="162" ht="18" customHeight="1">
      <x:c r="A162" s="6" t="str">
        <x:v>17</x:v>
      </x:c>
      <x:c r="B162" s="6" t="str">
        <x:v>BENGKULU</x:v>
      </x:c>
      <x:c r="C162" s="6" t="str">
        <x:v>2025</x:v>
      </x:c>
      <x:c r="D162" s="6" t="str">
        <x:v>5</x:v>
      </x:c>
      <x:c r="E162" s="6" t="str">
        <x:v>25.08579307303806</x:v>
      </x:c>
      <x:c r="F162" s="9" t="str">
        <x:v>grid_cells_within_BIG_polygon</x:v>
      </x:c>
      <x:c r="G162" s="6" t="str">
        <x:v>5</x:v>
      </x:c>
      <x:c r="H162" s="8" t="str">
        <x:v>87.27229709553202</x:v>
      </x:c>
      <x:c r="I162" s="6" t="str">
        <x:v>5.3597692988810515</x:v>
      </x:c>
      <x:c r="J162" s="6" t="str">
        <x:v>31</x:v>
      </x:c>
      <x:c r="K162" s="6" t="str">
        <x:v>166.1528482653126</x:v>
      </x:c>
      <x:c r="L162" s="6" t="str">
        <x:v>24.966682901739855</x:v>
      </x:c>
      <x:c r="M162" s="6" t="str">
        <x:v>0.32319961794192326</x:v>
      </x:c>
      <x:c r="N162" s="6" t="str">
        <x:v>87.36408903979259</x:v>
      </x:c>
      <x:c r="O162" s="6" t="str">
        <x:v>1.0117928034095998</x:v>
      </x:c>
      <x:c r="P162" s="6" t="str">
        <x:v>173.67621852714248</x:v>
      </x:c>
      <x:c r="Q162" s="6" t="str">
        <x:v>75.05984611663727</x:v>
      </x:c>
      <x:c r="R162" s="6" t="str">
        <x:v>0.11911017129820678</x:v>
      </x:c>
      <x:c r="S162" s="8" t="str">
        <x:v>0.368534381496732</x:v>
      </x:c>
      <x:c r="T162" s="6" t="str">
        <x:v>-0.0917919442605637</x:v>
      </x:c>
      <x:c r="U162" s="8" t="str">
        <x:v>-0.09072207664576949</x:v>
      </x:c>
      <x:c r="V162" s="6" t="str">
        <x:v>-7.523370261829882</x:v>
      </x:c>
      <x:c r="W162" s="8" t="str">
        <x:v>-0.10023162384504677</x:v>
      </x:c>
      <x:c r="X162" s="6" t="str">
        <x:v>0.10677466299267913</x:v>
      </x:c>
      <x:c r="Y162" s="6" t="str">
        <x:v>0.7855978391401045</x:v>
      </x:c>
      <x:c r="Z162" s="6" t="str">
        <x:v>0.4203022945431722</x:v>
      </x:c>
      <x:c r="AA162" s="6" t="str">
        <x:v>0.16963847174717117</x:v>
      </x:c>
      <x:c r="AB162" s="6" t="str">
        <x:v>0.8636227270760257</x:v>
      </x:c>
      <x:c r="AC162" s="6" t="str">
        <x:v>0.31417970739247675</x:v>
      </x:c>
      <x:c r="AD162" s="6" t="str">
        <x:v>0.2353220410699509</x:v>
      </x:c>
      <x:c r="AE162" s="6" t="str">
        <x:v>1.507795720069142</x:v>
      </x:c>
      <x:c r="AF162" s="6" t="str">
        <x:v>0.5476287124313487</x:v>
      </x:c>
      <x:c r="AG162" s="6" t="str">
        <x:v>0</x:v>
      </x:c>
      <x:c r="AH162" s="6" t="str">
        <x:v>0</x:v>
      </x:c>
      <x:c r="AI162" s="6" t="str">
        <x:v>2025-05</x:v>
      </x:c>
      <x:c r="AJ162" s="9" t="str">
        <x:v>NASA POWER (MERRA-2 meteorology)</x:v>
      </x:c>
      <x:c r="AK162" s="9" t="str">
        <x:v>Badan Informasi Geospasial (BIG)</x:v>
      </x:c>
      <x:c r="AL162" s="9" t="str">
        <x:v>https://power.larc.nasa.gov/docs/services/api/temporal/monthly/</x:v>
      </x:c>
      <x:c r="AM162" s="9" t="str">
        <x:v>https://geoservices.big.go.id/rbi/rest/services/BATASWILAYAH/BATAS_WILAYAH/MapServer/12</x:v>
      </x:c>
    </x:row>
    <x:row r="163" ht="18" customHeight="1">
      <x:c r="A163" s="6" t="str">
        <x:v>17</x:v>
      </x:c>
      <x:c r="B163" s="6" t="str">
        <x:v>BENGKULU</x:v>
      </x:c>
      <x:c r="C163" s="6" t="str">
        <x:v>2025</x:v>
      </x:c>
      <x:c r="D163" s="6" t="str">
        <x:v>6</x:v>
      </x:c>
      <x:c r="E163" s="6" t="str">
        <x:v>24.675775006098295</x:v>
      </x:c>
      <x:c r="F163" s="9" t="str">
        <x:v>grid_cells_within_BIG_polygon</x:v>
      </x:c>
      <x:c r="G163" s="6" t="str">
        <x:v>5</x:v>
      </x:c>
      <x:c r="H163" s="8" t="str">
        <x:v>86.29258311534178</x:v>
      </x:c>
      <x:c r="I163" s="6" t="str">
        <x:v>5.14552969634376</x:v>
      </x:c>
      <x:c r="J163" s="6" t="str">
        <x:v>30</x:v>
      </x:c>
      <x:c r="K163" s="6" t="str">
        <x:v>154.3658908903128</x:v>
      </x:c>
      <x:c r="L163" s="6" t="str">
        <x:v>24.582384528288205</x:v>
      </x:c>
      <x:c r="M163" s="6" t="str">
        <x:v>0.3020982276641121</x:v>
      </x:c>
      <x:c r="N163" s="6" t="str">
        <x:v>86.4100278730171</x:v>
      </x:c>
      <x:c r="O163" s="6" t="str">
        <x:v>1.8108832524058762</x:v>
      </x:c>
      <x:c r="P163" s="6" t="str">
        <x:v>127.71898942203242</x:v>
      </x:c>
      <x:c r="Q163" s="6" t="str">
        <x:v>70.56589867153082</x:v>
      </x:c>
      <x:c r="R163" s="6" t="str">
        <x:v>0.09339047781008958</x:v>
      </x:c>
      <x:c r="S163" s="8" t="str">
        <x:v>0.30913944292955525</x:v>
      </x:c>
      <x:c r="T163" s="6" t="str">
        <x:v>-0.11744475767531526</x:v>
      </x:c>
      <x:c r="U163" s="8" t="str">
        <x:v>-0.06485495821957725</x:v>
      </x:c>
      <x:c r="V163" s="6" t="str">
        <x:v>26.64690146828039</x:v>
      </x:c>
      <x:c r="W163" s="8" t="str">
        <x:v>0.37761726230280185</x:v>
      </x:c>
      <x:c r="X163" s="6" t="str">
        <x:v>0.368534381496732</x:v>
      </x:c>
      <x:c r="Y163" s="6" t="str">
        <x:v>0.10677466299267913</x:v>
      </x:c>
      <x:c r="Z163" s="6" t="str">
        <x:v>0.26148282913965576</x:v>
      </x:c>
      <x:c r="AA163" s="6" t="str">
        <x:v>-0.09072207664576949</x:v>
      </x:c>
      <x:c r="AB163" s="6" t="str">
        <x:v>0.16963847174717117</x:v>
      </x:c>
      <x:c r="AC163" s="6" t="str">
        <x:v>0.004687145627275735</x:v>
      </x:c>
      <x:c r="AD163" s="6" t="str">
        <x:v>-0.10023162384504677</x:v>
      </x:c>
      <x:c r="AE163" s="6" t="str">
        <x:v>0.2353220410699509</x:v>
      </x:c>
      <x:c r="AF163" s="6" t="str">
        <x:v>0.17090255984256864</x:v>
      </x:c>
      <x:c r="AG163" s="6" t="str">
        <x:v>0</x:v>
      </x:c>
      <x:c r="AH163" s="6" t="str">
        <x:v>0</x:v>
      </x:c>
      <x:c r="AI163" s="6" t="str">
        <x:v>2025-06</x:v>
      </x:c>
      <x:c r="AJ163" s="9" t="str">
        <x:v>NASA POWER (MERRA-2 meteorology)</x:v>
      </x:c>
      <x:c r="AK163" s="9" t="str">
        <x:v>Badan Informasi Geospasial (BIG)</x:v>
      </x:c>
      <x:c r="AL163" s="9" t="str">
        <x:v>https://power.larc.nasa.gov/docs/services/api/temporal/monthly/</x:v>
      </x:c>
      <x:c r="AM163" s="9" t="str">
        <x:v>https://geoservices.big.go.id/rbi/rest/services/BATASWILAYAH/BATAS_WILAYAH/MapServer/12</x:v>
      </x:c>
    </x:row>
    <x:row r="164" ht="18" customHeight="1">
      <x:c r="A164" s="6" t="str">
        <x:v>17</x:v>
      </x:c>
      <x:c r="B164" s="6" t="str">
        <x:v>BENGKULU</x:v>
      </x:c>
      <x:c r="C164" s="6" t="str">
        <x:v>2025</x:v>
      </x:c>
      <x:c r="D164" s="6" t="str">
        <x:v>7</x:v>
      </x:c>
      <x:c r="E164" s="6" t="str">
        <x:v>24.549751368423717</x:v>
      </x:c>
      <x:c r="F164" s="9" t="str">
        <x:v>grid_cells_within_BIG_polygon</x:v>
      </x:c>
      <x:c r="G164" s="6" t="str">
        <x:v>5</x:v>
      </x:c>
      <x:c r="H164" s="8" t="str">
        <x:v>86.9204823089533</x:v>
      </x:c>
      <x:c r="I164" s="6" t="str">
        <x:v>5.985709893314978</x:v>
      </x:c>
      <x:c r="J164" s="6" t="str">
        <x:v>31</x:v>
      </x:c>
      <x:c r="K164" s="6" t="str">
        <x:v>185.55700669276433</x:v>
      </x:c>
      <x:c r="L164" s="6" t="str">
        <x:v>24.210288189241012</x:v>
      </x:c>
      <x:c r="M164" s="6" t="str">
        <x:v>0.27388838635537155</x:v>
      </x:c>
      <x:c r="N164" s="6" t="str">
        <x:v>85.89915182049235</x:v>
      </x:c>
      <x:c r="O164" s="6" t="str">
        <x:v>1.9305599826130297</x:v>
      </x:c>
      <x:c r="P164" s="6" t="str">
        <x:v>135.16863679094092</x:v>
      </x:c>
      <x:c r="Q164" s="6" t="str">
        <x:v>69.90861632492151</x:v>
      </x:c>
      <x:c r="R164" s="6" t="str">
        <x:v>0.3394631791827045</x:v>
      </x:c>
      <x:c r="S164" s="8" t="str">
        <x:v>1.2394215895749934</x:v>
      </x:c>
      <x:c r="T164" s="6" t="str">
        <x:v>1.021330488460947</x:v>
      </x:c>
      <x:c r="U164" s="8" t="str">
        <x:v>0.529033284466286</x:v>
      </x:c>
      <x:c r="V164" s="6" t="str">
        <x:v>50.38836990182341</x:v>
      </x:c>
      <x:c r="W164" s="8" t="str">
        <x:v>0.7207748136170822</x:v>
      </x:c>
      <x:c r="X164" s="6" t="str">
        <x:v>0.30913944292955525</x:v>
      </x:c>
      <x:c r="Y164" s="6" t="str">
        <x:v>0.368534381496732</x:v>
      </x:c>
      <x:c r="Z164" s="6" t="str">
        <x:v>0.6390318046670939</x:v>
      </x:c>
      <x:c r="AA164" s="6" t="str">
        <x:v>-0.06485495821957725</x:v>
      </x:c>
      <x:c r="AB164" s="6" t="str">
        <x:v>-0.09072207664576949</x:v>
      </x:c>
      <x:c r="AC164" s="6" t="str">
        <x:v>0.12448541653364732</x:v>
      </x:c>
      <x:c r="AD164" s="6" t="str">
        <x:v>0.37761726230280185</x:v>
      </x:c>
      <x:c r="AE164" s="6" t="str">
        <x:v>-0.10023162384504677</x:v>
      </x:c>
      <x:c r="AF164" s="6" t="str">
        <x:v>0.33272015069161237</x:v>
      </x:c>
      <x:c r="AG164" s="6" t="str">
        <x:v>0</x:v>
      </x:c>
      <x:c r="AH164" s="6" t="str">
        <x:v>1</x:v>
      </x:c>
      <x:c r="AI164" s="6" t="str">
        <x:v>2025-07</x:v>
      </x:c>
      <x:c r="AJ164" s="9" t="str">
        <x:v>NASA POWER (MERRA-2 meteorology)</x:v>
      </x:c>
      <x:c r="AK164" s="9" t="str">
        <x:v>Badan Informasi Geospasial (BIG)</x:v>
      </x:c>
      <x:c r="AL164" s="9" t="str">
        <x:v>https://power.larc.nasa.gov/docs/services/api/temporal/monthly/</x:v>
      </x:c>
      <x:c r="AM164" s="9" t="str">
        <x:v>https://geoservices.big.go.id/rbi/rest/services/BATASWILAYAH/BATAS_WILAYAH/MapServer/12</x:v>
      </x:c>
    </x:row>
    <x:row r="165" ht="18" customHeight="1">
      <x:c r="A165" s="6" t="str">
        <x:v>17</x:v>
      </x:c>
      <x:c r="B165" s="6" t="str">
        <x:v>BENGKULU</x:v>
      </x:c>
      <x:c r="C165" s="6" t="str">
        <x:v>2025</x:v>
      </x:c>
      <x:c r="D165" s="6" t="str">
        <x:v>8</x:v>
      </x:c>
      <x:c r="E165" s="6" t="str">
        <x:v>24.337744428970982</x:v>
      </x:c>
      <x:c r="F165" s="9" t="str">
        <x:v>grid_cells_within_BIG_polygon</x:v>
      </x:c>
      <x:c r="G165" s="6" t="str">
        <x:v>5</x:v>
      </x:c>
      <x:c r="H165" s="8" t="str">
        <x:v>86.51201494744879</x:v>
      </x:c>
      <x:c r="I165" s="6" t="str">
        <x:v>15.86279882003379</x:v>
      </x:c>
      <x:c r="J165" s="6" t="str">
        <x:v>31</x:v>
      </x:c>
      <x:c r="K165" s="6" t="str">
        <x:v>491.7467634210475</x:v>
      </x:c>
      <x:c r="L165" s="6" t="str">
        <x:v>24.282788160239242</x:v>
      </x:c>
      <x:c r="M165" s="6" t="str">
        <x:v>0.32451685847363004</x:v>
      </x:c>
      <x:c r="N165" s="6" t="str">
        <x:v>84.32015233447042</x:v>
      </x:c>
      <x:c r="O165" s="6" t="str">
        <x:v>2.8392646236736536</x:v>
      </x:c>
      <x:c r="P165" s="6" t="str">
        <x:v>139.66264373836657</x:v>
      </x:c>
      <x:c r="Q165" s="6" t="str">
        <x:v>91.73745714923504</x:v>
      </x:c>
      <x:c r="R165" s="6" t="str">
        <x:v>0.054956268731739755</x:v>
      </x:c>
      <x:c r="S165" s="8" t="str">
        <x:v>0.16934796235310362</x:v>
      </x:c>
      <x:c r="T165" s="6" t="str">
        <x:v>2.191862612978369</x:v>
      </x:c>
      <x:c r="U165" s="8" t="str">
        <x:v>0.7719825037450622</x:v>
      </x:c>
      <x:c r="V165" s="6" t="str">
        <x:v>352.0841196826809</x:v>
      </x:c>
      <x:c r="W165" s="8" t="str">
        <x:v>3.8379537718156254</x:v>
      </x:c>
      <x:c r="X165" s="6" t="str">
        <x:v>1.2394215895749934</x:v>
      </x:c>
      <x:c r="Y165" s="6" t="str">
        <x:v>0.30913944292955525</x:v>
      </x:c>
      <x:c r="Z165" s="6" t="str">
        <x:v>0.5726363316192177</x:v>
      </x:c>
      <x:c r="AA165" s="6" t="str">
        <x:v>0.529033284466286</x:v>
      </x:c>
      <x:c r="AB165" s="6" t="str">
        <x:v>-0.06485495821957725</x:v>
      </x:c>
      <x:c r="AC165" s="6" t="str">
        <x:v>0.4120536099972579</x:v>
      </x:c>
      <x:c r="AD165" s="6" t="str">
        <x:v>0.7207748136170822</x:v>
      </x:c>
      <x:c r="AE165" s="6" t="str">
        <x:v>0.37761726230280185</x:v>
      </x:c>
      <x:c r="AF165" s="6" t="str">
        <x:v>1.6454486159118364</x:v>
      </x:c>
      <x:c r="AG165" s="6" t="str">
        <x:v>1</x:v>
      </x:c>
      <x:c r="AH165" s="6" t="str">
        <x:v>0</x:v>
      </x:c>
      <x:c r="AI165" s="6" t="str">
        <x:v>2025-08</x:v>
      </x:c>
      <x:c r="AJ165" s="9" t="str">
        <x:v>NASA POWER (MERRA-2 meteorology)</x:v>
      </x:c>
      <x:c r="AK165" s="9" t="str">
        <x:v>Badan Informasi Geospasial (BIG)</x:v>
      </x:c>
      <x:c r="AL165" s="9" t="str">
        <x:v>https://power.larc.nasa.gov/docs/services/api/temporal/monthly/</x:v>
      </x:c>
      <x:c r="AM165" s="9" t="str">
        <x:v>https://geoservices.big.go.id/rbi/rest/services/BATASWILAYAH/BATAS_WILAYAH/MapServer/12</x:v>
      </x:c>
    </x:row>
    <x:row r="166" ht="18" customHeight="1">
      <x:c r="A166" s="6" t="str">
        <x:v>17</x:v>
      </x:c>
      <x:c r="B166" s="6" t="str">
        <x:v>BENGKULU</x:v>
      </x:c>
      <x:c r="C166" s="6" t="str">
        <x:v>2025</x:v>
      </x:c>
      <x:c r="D166" s="6" t="str">
        <x:v>9</x:v>
      </x:c>
      <x:c r="E166" s="6" t="str">
        <x:v>24.557660473329307</x:v>
      </x:c>
      <x:c r="F166" s="9" t="str">
        <x:v>grid_cells_within_BIG_polygon</x:v>
      </x:c>
      <x:c r="G166" s="6" t="str">
        <x:v>5</x:v>
      </x:c>
      <x:c r="H166" s="8" t="str">
        <x:v>87.2125477420486</x:v>
      </x:c>
      <x:c r="I166" s="6" t="str">
        <x:v>15.718029752129569</x:v>
      </x:c>
      <x:c r="J166" s="6" t="str">
        <x:v>30</x:v>
      </x:c>
      <x:c r="K166" s="6" t="str">
        <x:v>471.54089256388704</x:v>
      </x:c>
      <x:c r="L166" s="6" t="str">
        <x:v>24.38183753505401</x:v>
      </x:c>
      <x:c r="M166" s="6" t="str">
        <x:v>0.4075130290863482</x:v>
      </x:c>
      <x:c r="N166" s="6" t="str">
        <x:v>83.85008910585388</x:v>
      </x:c>
      <x:c r="O166" s="6" t="str">
        <x:v>3.696176706979855</x:v>
      </x:c>
      <x:c r="P166" s="6" t="str">
        <x:v>151.75633321123274</x:v>
      </x:c>
      <x:c r="Q166" s="6" t="str">
        <x:v>92.43685869972155</x:v>
      </x:c>
      <x:c r="R166" s="6" t="str">
        <x:v>0.17582293827529583</x:v>
      </x:c>
      <x:c r="S166" s="8" t="str">
        <x:v>0.43145353823286126</x:v>
      </x:c>
      <x:c r="T166" s="6" t="str">
        <x:v>3.3624586361947166</x:v>
      </x:c>
      <x:c r="U166" s="8" t="str">
        <x:v>0.9097126308504283</x:v>
      </x:c>
      <x:c r="V166" s="6" t="str">
        <x:v>319.7845593526543</x:v>
      </x:c>
      <x:c r="W166" s="8" t="str">
        <x:v>3.459491850447505</x:v>
      </x:c>
      <x:c r="X166" s="6" t="str">
        <x:v>0.16934796235310362</x:v>
      </x:c>
      <x:c r="Y166" s="6" t="str">
        <x:v>1.2394215895749934</x:v>
      </x:c>
      <x:c r="Z166" s="6" t="str">
        <x:v>0.6134076967203197</x:v>
      </x:c>
      <x:c r="AA166" s="6" t="str">
        <x:v>0.7719825037450622</x:v>
      </x:c>
      <x:c r="AB166" s="6" t="str">
        <x:v>0.529033284466286</x:v>
      </x:c>
      <x:c r="AC166" s="6" t="str">
        <x:v>0.7369094730205931</x:v>
      </x:c>
      <x:c r="AD166" s="6" t="str">
        <x:v>3.8379537718156254</x:v>
      </x:c>
      <x:c r="AE166" s="6" t="str">
        <x:v>0.7207748136170822</x:v>
      </x:c>
      <x:c r="AF166" s="6" t="str">
        <x:v>2.6727401452934045</x:v>
      </x:c>
      <x:c r="AG166" s="6" t="str">
        <x:v>1</x:v>
      </x:c>
      <x:c r="AH166" s="6" t="str">
        <x:v>0</x:v>
      </x:c>
      <x:c r="AI166" s="6" t="str">
        <x:v>2025-09</x:v>
      </x:c>
      <x:c r="AJ166" s="9" t="str">
        <x:v>NASA POWER (MERRA-2 meteorology)</x:v>
      </x:c>
      <x:c r="AK166" s="9" t="str">
        <x:v>Badan Informasi Geospasial (BIG)</x:v>
      </x:c>
      <x:c r="AL166" s="9" t="str">
        <x:v>https://power.larc.nasa.gov/docs/services/api/temporal/monthly/</x:v>
      </x:c>
      <x:c r="AM166" s="9" t="str">
        <x:v>https://geoservices.big.go.id/rbi/rest/services/BATASWILAYAH/BATAS_WILAYAH/MapServer/12</x:v>
      </x:c>
    </x:row>
    <x:row r="167" ht="18" customHeight="1">
      <x:c r="A167" s="6" t="str">
        <x:v>17</x:v>
      </x:c>
      <x:c r="B167" s="6" t="str">
        <x:v>BENGKULU</x:v>
      </x:c>
      <x:c r="C167" s="6" t="str">
        <x:v>2025</x:v>
      </x:c>
      <x:c r="D167" s="6" t="str">
        <x:v>10</x:v>
      </x:c>
      <x:c r="E167" s="6" t="str">
        <x:v>24.64777539125347</x:v>
      </x:c>
      <x:c r="F167" s="9" t="str">
        <x:v>grid_cells_within_BIG_polygon</x:v>
      </x:c>
      <x:c r="G167" s="6" t="str">
        <x:v>5</x:v>
      </x:c>
      <x:c r="H167" s="8" t="str">
        <x:v>86.20037346878289</x:v>
      </x:c>
      <x:c r="I167" s="6" t="str">
        <x:v>11.83104412277298</x:v>
      </x:c>
      <x:c r="J167" s="6" t="str">
        <x:v>31</x:v>
      </x:c>
      <x:c r="K167" s="6" t="str">
        <x:v>366.76236780596236</x:v>
      </x:c>
      <x:c r="L167" s="6" t="str">
        <x:v>24.449512738299585</x:v>
      </x:c>
      <x:c r="M167" s="6" t="str">
        <x:v>0.4958389302465793</x:v>
      </x:c>
      <x:c r="N167" s="6" t="str">
        <x:v>84.96211279719783</x:v>
      </x:c>
      <x:c r="O167" s="6" t="str">
        <x:v>4.769347054412478</x:v>
      </x:c>
      <x:c r="P167" s="6" t="str">
        <x:v>221.3254066609608</x:v>
      </x:c>
      <x:c r="Q167" s="6" t="str">
        <x:v>126.99987632713564</x:v>
      </x:c>
      <x:c r="R167" s="6" t="str">
        <x:v>0.19826265295388623</x:v>
      </x:c>
      <x:c r="S167" s="8" t="str">
        <x:v>0.39985293783868636</x:v>
      </x:c>
      <x:c r="T167" s="6" t="str">
        <x:v>1.2382606715850528</x:v>
      </x:c>
      <x:c r="U167" s="8" t="str">
        <x:v>0.2596289717351237</x:v>
      </x:c>
      <x:c r="V167" s="6" t="str">
        <x:v>145.43696114500156</x:v>
      </x:c>
      <x:c r="W167" s="8" t="str">
        <x:v>1.1451740375744486</x:v>
      </x:c>
      <x:c r="X167" s="6" t="str">
        <x:v>0.43145353823286126</x:v>
      </x:c>
      <x:c r="Y167" s="6" t="str">
        <x:v>0.16934796235310362</x:v>
      </x:c>
      <x:c r="Z167" s="6" t="str">
        <x:v>0.333551479474884</x:v>
      </x:c>
      <x:c r="AA167" s="6" t="str">
        <x:v>0.9097126308504283</x:v>
      </x:c>
      <x:c r="AB167" s="6" t="str">
        <x:v>0.7719825037450622</x:v>
      </x:c>
      <x:c r="AC167" s="6" t="str">
        <x:v>0.6471080354435389</x:v>
      </x:c>
      <x:c r="AD167" s="6" t="str">
        <x:v>3.459491850447505</x:v>
      </x:c>
      <x:c r="AE167" s="6" t="str">
        <x:v>3.8379537718156254</x:v>
      </x:c>
      <x:c r="AF167" s="6" t="str">
        <x:v>2.814206553279193</x:v>
      </x:c>
      <x:c r="AG167" s="6" t="str">
        <x:v>1</x:v>
      </x:c>
      <x:c r="AH167" s="6" t="str">
        <x:v>0</x:v>
      </x:c>
      <x:c r="AI167" s="6" t="str">
        <x:v>2025-10</x:v>
      </x:c>
      <x:c r="AJ167" s="9" t="str">
        <x:v>NASA POWER (MERRA-2 meteorology)</x:v>
      </x:c>
      <x:c r="AK167" s="9" t="str">
        <x:v>Badan Informasi Geospasial (BIG)</x:v>
      </x:c>
      <x:c r="AL167" s="9" t="str">
        <x:v>https://power.larc.nasa.gov/docs/services/api/temporal/monthly/</x:v>
      </x:c>
      <x:c r="AM167" s="9" t="str">
        <x:v>https://geoservices.big.go.id/rbi/rest/services/BATASWILAYAH/BATAS_WILAYAH/MapServer/12</x:v>
      </x:c>
    </x:row>
    <x:row r="168" ht="18" customHeight="1">
      <x:c r="A168" s="6" t="str">
        <x:v>17</x:v>
      </x:c>
      <x:c r="B168" s="6" t="str">
        <x:v>BENGKULU</x:v>
      </x:c>
      <x:c r="C168" s="6" t="str">
        <x:v>2025</x:v>
      </x:c>
      <x:c r="D168" s="6" t="str">
        <x:v>11</x:v>
      </x:c>
      <x:c r="E168" s="6" t="str">
        <x:v>24.0477961245051</x:v>
      </x:c>
      <x:c r="F168" s="9" t="str">
        <x:v>grid_cells_within_BIG_polygon</x:v>
      </x:c>
      <x:c r="G168" s="6" t="str">
        <x:v>5</x:v>
      </x:c>
      <x:c r="H168" s="8" t="str">
        <x:v>88.70222269172372</x:v>
      </x:c>
      <x:c r="I168" s="6" t="str">
        <x:v>18.70090628846411</x:v>
      </x:c>
      <x:c r="J168" s="6" t="str">
        <x:v>30</x:v>
      </x:c>
      <x:c r="K168" s="6" t="str">
        <x:v>561.0271886539233</x:v>
      </x:c>
      <x:c r="L168" s="6" t="str">
        <x:v>24.25657124865687</x:v>
      </x:c>
      <x:c r="M168" s="6" t="str">
        <x:v>0.5026823571713954</x:v>
      </x:c>
      <x:c r="N168" s="6" t="str">
        <x:v>87.56653278110473</x:v>
      </x:c>
      <x:c r="O168" s="6" t="str">
        <x:v>2.5741609221342077</x:v>
      </x:c>
      <x:c r="P168" s="6" t="str">
        <x:v>298.40866484576026</x:v>
      </x:c>
      <x:c r="Q168" s="6" t="str">
        <x:v>99.98258469474551</x:v>
      </x:c>
      <x:c r="R168" s="6" t="str">
        <x:v>-0.20877512415176724</x:v>
      </x:c>
      <x:c r="S168" s="8" t="str">
        <x:v>-0.4153221635359343</x:v>
      </x:c>
      <x:c r="T168" s="6" t="str">
        <x:v>1.1356899106189928</x:v>
      </x:c>
      <x:c r="U168" s="8" t="str">
        <x:v>0.44118838913823816</x:v>
      </x:c>
      <x:c r="V168" s="6" t="str">
        <x:v>262.61852380816305</x:v>
      </x:c>
      <x:c r="W168" s="8" t="str">
        <x:v>2.626642675921587</x:v>
      </x:c>
      <x:c r="X168" s="6" t="str">
        <x:v>0.39985293783868636</x:v>
      </x:c>
      <x:c r="Y168" s="6" t="str">
        <x:v>0.43145353823286126</x:v>
      </x:c>
      <x:c r="Z168" s="6" t="str">
        <x:v>0.1386614375118714</x:v>
      </x:c>
      <x:c r="AA168" s="6" t="str">
        <x:v>0.2596289717351237</x:v>
      </x:c>
      <x:c r="AB168" s="6" t="str">
        <x:v>0.9097126308504283</x:v>
      </x:c>
      <x:c r="AC168" s="6" t="str">
        <x:v>0.5368433305745975</x:v>
      </x:c>
      <x:c r="AD168" s="6" t="str">
        <x:v>1.1451740375744486</x:v>
      </x:c>
      <x:c r="AE168" s="6" t="str">
        <x:v>3.459491850447505</x:v>
      </x:c>
      <x:c r="AF168" s="6" t="str">
        <x:v>2.41043618798118</x:v>
      </x:c>
      <x:c r="AG168" s="6" t="str">
        <x:v>1</x:v>
      </x:c>
      <x:c r="AH168" s="6" t="str">
        <x:v>0</x:v>
      </x:c>
      <x:c r="AI168" s="6" t="str">
        <x:v>2025-11</x:v>
      </x:c>
      <x:c r="AJ168" s="9" t="str">
        <x:v>NASA POWER (MERRA-2 meteorology)</x:v>
      </x:c>
      <x:c r="AK168" s="9" t="str">
        <x:v>Badan Informasi Geospasial (BIG)</x:v>
      </x:c>
      <x:c r="AL168" s="9" t="str">
        <x:v>https://power.larc.nasa.gov/docs/services/api/temporal/monthly/</x:v>
      </x:c>
      <x:c r="AM168" s="9" t="str">
        <x:v>https://geoservices.big.go.id/rbi/rest/services/BATASWILAYAH/BATAS_WILAYAH/MapServer/12</x:v>
      </x:c>
    </x:row>
    <x:row r="169" ht="18" customHeight="1">
      <x:c r="A169" s="6" t="str">
        <x:v>17</x:v>
      </x:c>
      <x:c r="B169" s="6" t="str">
        <x:v>BENGKULU</x:v>
      </x:c>
      <x:c r="C169" s="6" t="str">
        <x:v>2025</x:v>
      </x:c>
      <x:c r="D169" s="6" t="str">
        <x:v>12</x:v>
      </x:c>
      <x:c r="E169" s="6" t="str">
        <x:v>24.103812214097648</x:v>
      </x:c>
      <x:c r="F169" s="9" t="str">
        <x:v>grid_cells_within_BIG_polygon</x:v>
      </x:c>
      <x:c r="G169" s="6" t="str">
        <x:v>5</x:v>
      </x:c>
      <x:c r="H169" s="8" t="str">
        <x:v>89.01806080930682</x:v>
      </x:c>
      <x:c r="I169" s="6" t="str">
        <x:v>13.255287705878528</x:v>
      </x:c>
      <x:c r="J169" s="6" t="str">
        <x:v>31</x:v>
      </x:c>
      <x:c r="K169" s="6" t="str">
        <x:v>410.9139188822344</x:v>
      </x:c>
      <x:c r="L169" s="6" t="str">
        <x:v>23.934737108339448</x:v>
      </x:c>
      <x:c r="M169" s="6" t="str">
        <x:v>0.37818809514014484</x:v>
      </x:c>
      <x:c r="N169" s="6" t="str">
        <x:v>88.81697483061187</x:v>
      </x:c>
      <x:c r="O169" s="6" t="str">
        <x:v>1.3126175480321767</x:v>
      </x:c>
      <x:c r="P169" s="6" t="str">
        <x:v>311.17693216215685</x:v>
      </x:c>
      <x:c r="Q169" s="6" t="str">
        <x:v>98.6523100234601</x:v>
      </x:c>
      <x:c r="R169" s="6" t="str">
        <x:v>0.16907510575819984</x:v>
      </x:c>
      <x:c r="S169" s="8" t="str">
        <x:v>0.4470661766747201</x:v>
      </x:c>
      <x:c r="T169" s="6" t="str">
        <x:v>0.20108597869494815</x:v>
      </x:c>
      <x:c r="U169" s="8" t="str">
        <x:v>0.15319464454547949</x:v>
      </x:c>
      <x:c r="V169" s="6" t="str">
        <x:v>99.73698672007754</x:v>
      </x:c>
      <x:c r="W169" s="8" t="str">
        <x:v>1.0109949447342843</x:v>
      </x:c>
      <x:c r="X169" s="6" t="str">
        <x:v>-0.4153221635359343</x:v>
      </x:c>
      <x:c r="Y169" s="6" t="str">
        <x:v>0.39985293783868636</x:v>
      </x:c>
      <x:c r="Z169" s="6" t="str">
        <x:v>0.14386565032582435</x:v>
      </x:c>
      <x:c r="AA169" s="6" t="str">
        <x:v>0.44118838913823816</x:v>
      </x:c>
      <x:c r="AB169" s="6" t="str">
        <x:v>0.2596289717351237</x:v>
      </x:c>
      <x:c r="AC169" s="6" t="str">
        <x:v>0.28467066847294803</x:v>
      </x:c>
      <x:c r="AD169" s="6" t="str">
        <x:v>2.626642675921587</x:v>
      </x:c>
      <x:c r="AE169" s="6" t="str">
        <x:v>1.1451740375744486</x:v>
      </x:c>
      <x:c r="AF169" s="6" t="str">
        <x:v>1.5942705527434402</x:v>
      </x:c>
      <x:c r="AG169" s="6" t="str">
        <x:v>1</x:v>
      </x:c>
      <x:c r="AH169" s="6" t="str">
        <x:v>0</x:v>
      </x:c>
      <x:c r="AI169" s="6" t="str">
        <x:v>2025-12</x:v>
      </x:c>
      <x:c r="AJ169" s="9" t="str">
        <x:v>NASA POWER (MERRA-2 meteorology)</x:v>
      </x:c>
      <x:c r="AK169" s="9" t="str">
        <x:v>Badan Informasi Geospasial (BIG)</x:v>
      </x:c>
      <x:c r="AL169" s="9" t="str">
        <x:v>https://power.larc.nasa.gov/docs/services/api/temporal/monthly/</x:v>
      </x:c>
      <x:c r="AM169" s="9" t="str">
        <x:v>https://geoservices.big.go.id/rbi/rest/services/BATASWILAYAH/BATAS_WILAYAH/MapServer/12</x:v>
      </x:c>
    </x:row>
    <x:row r="170" ht="18" customHeight="1">
      <x:c r="A170" s="6" t="str">
        <x:v>18</x:v>
      </x:c>
      <x:c r="B170" s="6" t="str">
        <x:v>LAMPUNG</x:v>
      </x:c>
      <x:c r="C170" s="6" t="str">
        <x:v>2024</x:v>
      </x:c>
      <x:c r="D170" s="6" t="str">
        <x:v>1</x:v>
      </x:c>
      <x:c r="E170" s="6" t="str">
        <x:v>26.520976676675936</x:v>
      </x:c>
      <x:c r="F170" s="9" t="str">
        <x:v>grid_cells_within_BIG_polygon</x:v>
      </x:c>
      <x:c r="G170" s="6" t="str">
        <x:v>10</x:v>
      </x:c>
      <x:c r="H170" s="8" t="str">
        <x:v>86.10724636139317</x:v>
      </x:c>
      <x:c r="I170" s="6" t="str">
        <x:v>8.601785815324387</x:v>
      </x:c>
      <x:c r="J170" s="6" t="str">
        <x:v>31</x:v>
      </x:c>
      <x:c r="K170" s="6" t="str">
        <x:v>266.655360275056</x:v>
      </x:c>
      <x:c r="L170" s="6" t="str">
        <x:v>25.505996915186074</x:v>
      </x:c>
      <x:c r="M170" s="6" t="str">
        <x:v>0.48810572406780606</x:v>
      </x:c>
      <x:c r="N170" s="6" t="str">
        <x:v>87.28009020881949</x:v>
      </x:c>
      <x:c r="O170" s="6" t="str">
        <x:v>1.8407219449317507</x:v>
      </x:c>
      <x:c r="P170" s="6" t="str">
        <x:v>278.72137556613086</x:v>
      </x:c>
      <x:c r="Q170" s="6" t="str">
        <x:v>95.81782694068964</x:v>
      </x:c>
      <x:c r="R170" s="6" t="str">
        <x:v>1.0149797614898617</x:v>
      </x:c>
      <x:c r="S170" s="8" t="str">
        <x:v>2.0794260575990786</x:v>
      </x:c>
      <x:c r="T170" s="6" t="str">
        <x:v>-1.1728438474263214</x:v>
      </x:c>
      <x:c r="U170" s="8" t="str">
        <x:v>-0.6371651354815611</x:v>
      </x:c>
      <x:c r="V170" s="6" t="str">
        <x:v>-12.066015291074848</x:v>
      </x:c>
      <x:c r="W170" s="8" t="str">
        <x:v>-0.12592662217797532</x:v>
      </x:c>
      <x:c r="X170" s="6" t="str">
        <x:v>2.762700266991727</x:v>
      </x:c>
      <x:c r="Y170" s="6" t="str">
        <x:v>1.6603920098894407</x:v>
      </x:c>
      <x:c r="Z170" s="6" t="str">
        <x:v>2.1675061114934158</x:v>
      </x:c>
      <x:c r="AA170" s="6" t="str">
        <x:v>-2.4695102541207268</x:v>
      </x:c>
      <x:c r="AB170" s="6" t="str">
        <x:v>-0.7616455249816342</x:v>
      </x:c>
      <x:c r="AC170" s="6" t="str">
        <x:v>-1.2894403048613077</x:v>
      </x:c>
      <x:c r="AD170" s="6" t="str">
        <x:v>-0.9836261771552911</x:v>
      </x:c>
      <x:c r="AE170" s="6" t="str">
        <x:v>-0.8254489543141135</x:v>
      </x:c>
      <x:c r="AF170" s="6" t="str">
        <x:v>-0.6450005845491266</x:v>
      </x:c>
      <x:c r="AG170" s="6" t="str">
        <x:v>0</x:v>
      </x:c>
      <x:c r="AH170" s="6" t="str">
        <x:v>1</x:v>
      </x:c>
      <x:c r="AI170" s="6" t="str">
        <x:v>2024-01</x:v>
      </x:c>
      <x:c r="AJ170" s="9" t="str">
        <x:v>NASA POWER (MERRA-2 meteorology)</x:v>
      </x:c>
      <x:c r="AK170" s="9" t="str">
        <x:v>Badan Informasi Geospasial (BIG)</x:v>
      </x:c>
      <x:c r="AL170" s="9" t="str">
        <x:v>https://power.larc.nasa.gov/docs/services/api/temporal/monthly/</x:v>
      </x:c>
      <x:c r="AM170" s="9" t="str">
        <x:v>https://geoservices.big.go.id/rbi/rest/services/BATASWILAYAH/BATAS_WILAYAH/MapServer/12</x:v>
      </x:c>
    </x:row>
    <x:row r="171" ht="18" customHeight="1">
      <x:c r="A171" s="6" t="str">
        <x:v>18</x:v>
      </x:c>
      <x:c r="B171" s="6" t="str">
        <x:v>LAMPUNG</x:v>
      </x:c>
      <x:c r="C171" s="6" t="str">
        <x:v>2024</x:v>
      </x:c>
      <x:c r="D171" s="6" t="str">
        <x:v>2</x:v>
      </x:c>
      <x:c r="E171" s="6" t="str">
        <x:v>26.67395464207304</x:v>
      </x:c>
      <x:c r="F171" s="9" t="str">
        <x:v>grid_cells_within_BIG_polygon</x:v>
      </x:c>
      <x:c r="G171" s="6" t="str">
        <x:v>10</x:v>
      </x:c>
      <x:c r="H171" s="8" t="str">
        <x:v>86.61068830046888</x:v>
      </x:c>
      <x:c r="I171" s="6" t="str">
        <x:v>9.123246329361054</x:v>
      </x:c>
      <x:c r="J171" s="6" t="str">
        <x:v>29</x:v>
      </x:c>
      <x:c r="K171" s="6" t="str">
        <x:v>264.57414355147057</x:v>
      </x:c>
      <x:c r="L171" s="6" t="str">
        <x:v>25.512960995120107</x:v>
      </x:c>
      <x:c r="M171" s="6" t="str">
        <x:v>0.43564564194070843</x:v>
      </x:c>
      <x:c r="N171" s="6" t="str">
        <x:v>87.76941492746101</x:v>
      </x:c>
      <x:c r="O171" s="6" t="str">
        <x:v>1.0026644220944267</x:v>
      </x:c>
      <x:c r="P171" s="6" t="str">
        <x:v>256.7847569711608</x:v>
      </x:c>
      <x:c r="Q171" s="6" t="str">
        <x:v>63.01408131833268</x:v>
      </x:c>
      <x:c r="R171" s="6" t="str">
        <x:v>1.1609936469529316</x:v>
      </x:c>
      <x:c r="S171" s="8" t="str">
        <x:v>2.6649954347780285</x:v>
      </x:c>
      <x:c r="T171" s="6" t="str">
        <x:v>-1.1587266269921344</x:v>
      </x:c>
      <x:c r="U171" s="8" t="str">
        <x:v>-1.155647494275019</x:v>
      </x:c>
      <x:c r="V171" s="6" t="str">
        <x:v>7.789386580309781</x:v>
      </x:c>
      <x:c r="W171" s="8" t="str">
        <x:v>0.12361342762357493</x:v>
      </x:c>
      <x:c r="X171" s="6" t="str">
        <x:v>2.0794260575990786</x:v>
      </x:c>
      <x:c r="Y171" s="6" t="str">
        <x:v>2.762700266991727</x:v>
      </x:c>
      <x:c r="Z171" s="6" t="str">
        <x:v>2.5023739197896115</x:v>
      </x:c>
      <x:c r="AA171" s="6" t="str">
        <x:v>-0.6371651354815611</x:v>
      </x:c>
      <x:c r="AB171" s="6" t="str">
        <x:v>-2.4695102541207268</x:v>
      </x:c>
      <x:c r="AC171" s="6" t="str">
        <x:v>-1.4207742946257695</x:v>
      </x:c>
      <x:c r="AD171" s="6" t="str">
        <x:v>-0.12592662217797532</x:v>
      </x:c>
      <x:c r="AE171" s="6" t="str">
        <x:v>-0.9836261771552911</x:v>
      </x:c>
      <x:c r="AF171" s="6" t="str">
        <x:v>-0.32864645723656377</x:v>
      </x:c>
      <x:c r="AG171" s="6" t="str">
        <x:v>0</x:v>
      </x:c>
      <x:c r="AH171" s="6" t="str">
        <x:v>1</x:v>
      </x:c>
      <x:c r="AI171" s="6" t="str">
        <x:v>2024-02</x:v>
      </x:c>
      <x:c r="AJ171" s="9" t="str">
        <x:v>NASA POWER (MERRA-2 meteorology)</x:v>
      </x:c>
      <x:c r="AK171" s="9" t="str">
        <x:v>Badan Informasi Geospasial (BIG)</x:v>
      </x:c>
      <x:c r="AL171" s="9" t="str">
        <x:v>https://power.larc.nasa.gov/docs/services/api/temporal/monthly/</x:v>
      </x:c>
      <x:c r="AM171" s="9" t="str">
        <x:v>https://geoservices.big.go.id/rbi/rest/services/BATASWILAYAH/BATAS_WILAYAH/MapServer/12</x:v>
      </x:c>
    </x:row>
    <x:row r="172" ht="18" customHeight="1">
      <x:c r="A172" s="6" t="str">
        <x:v>18</x:v>
      </x:c>
      <x:c r="B172" s="6" t="str">
        <x:v>LAMPUNG</x:v>
      </x:c>
      <x:c r="C172" s="6" t="str">
        <x:v>2024</x:v>
      </x:c>
      <x:c r="D172" s="6" t="str">
        <x:v>3</x:v>
      </x:c>
      <x:c r="E172" s="6" t="str">
        <x:v>26.8219854044734</x:v>
      </x:c>
      <x:c r="F172" s="9" t="str">
        <x:v>grid_cells_within_BIG_polygon</x:v>
      </x:c>
      <x:c r="G172" s="6" t="str">
        <x:v>10</x:v>
      </x:c>
      <x:c r="H172" s="8" t="str">
        <x:v>86.54532964651513</x:v>
      </x:c>
      <x:c r="I172" s="6" t="str">
        <x:v>10.549906907119311</x:v>
      </x:c>
      <x:c r="J172" s="6" t="str">
        <x:v>31</x:v>
      </x:c>
      <x:c r="K172" s="6" t="str">
        <x:v>327.04711412069867</x:v>
      </x:c>
      <x:c r="L172" s="6" t="str">
        <x:v>25.795522869361914</x:v>
      </x:c>
      <x:c r="M172" s="6" t="str">
        <x:v>0.38527710364337314</x:v>
      </x:c>
      <x:c r="N172" s="6" t="str">
        <x:v>87.1847458085816</x:v>
      </x:c>
      <x:c r="O172" s="6" t="str">
        <x:v>1.0445021342994185</x:v>
      </x:c>
      <x:c r="P172" s="6" t="str">
        <x:v>245.85141993667182</x:v>
      </x:c>
      <x:c r="Q172" s="6" t="str">
        <x:v>85.93646854180965</x:v>
      </x:c>
      <x:c r="R172" s="6" t="str">
        <x:v>1.0264625351114844</x:v>
      </x:c>
      <x:c r="S172" s="8" t="str">
        <x:v>2.664218884031106</x:v>
      </x:c>
      <x:c r="T172" s="6" t="str">
        <x:v>-0.6394161620664676</x:v>
      </x:c>
      <x:c r="U172" s="8" t="str">
        <x:v>-0.6121731503165809</x:v>
      </x:c>
      <x:c r="V172" s="6" t="str">
        <x:v>81.19569418402685</x:v>
      </x:c>
      <x:c r="W172" s="8" t="str">
        <x:v>0.9448339635288093</x:v>
      </x:c>
      <x:c r="X172" s="6" t="str">
        <x:v>2.6649954347780285</x:v>
      </x:c>
      <x:c r="Y172" s="6" t="str">
        <x:v>2.0794260575990786</x:v>
      </x:c>
      <x:c r="Z172" s="6" t="str">
        <x:v>2.469546792136071</x:v>
      </x:c>
      <x:c r="AA172" s="6" t="str">
        <x:v>-1.155647494275019</x:v>
      </x:c>
      <x:c r="AB172" s="6" t="str">
        <x:v>-0.6371651354815611</x:v>
      </x:c>
      <x:c r="AC172" s="6" t="str">
        <x:v>-0.8016619266910542</x:v>
      </x:c>
      <x:c r="AD172" s="6" t="str">
        <x:v>0.12361342762357493</x:v>
      </x:c>
      <x:c r="AE172" s="6" t="str">
        <x:v>-0.12592662217797532</x:v>
      </x:c>
      <x:c r="AF172" s="6" t="str">
        <x:v>0.3141735896581364</x:v>
      </x:c>
      <x:c r="AG172" s="6" t="str">
        <x:v>0</x:v>
      </x:c>
      <x:c r="AH172" s="6" t="str">
        <x:v>1</x:v>
      </x:c>
      <x:c r="AI172" s="6" t="str">
        <x:v>2024-03</x:v>
      </x:c>
      <x:c r="AJ172" s="9" t="str">
        <x:v>NASA POWER (MERRA-2 meteorology)</x:v>
      </x:c>
      <x:c r="AK172" s="9" t="str">
        <x:v>Badan Informasi Geospasial (BIG)</x:v>
      </x:c>
      <x:c r="AL172" s="9" t="str">
        <x:v>https://power.larc.nasa.gov/docs/services/api/temporal/monthly/</x:v>
      </x:c>
      <x:c r="AM172" s="9" t="str">
        <x:v>https://geoservices.big.go.id/rbi/rest/services/BATASWILAYAH/BATAS_WILAYAH/MapServer/12</x:v>
      </x:c>
    </x:row>
    <x:row r="173" ht="18" customHeight="1">
      <x:c r="A173" s="6" t="str">
        <x:v>18</x:v>
      </x:c>
      <x:c r="B173" s="6" t="str">
        <x:v>LAMPUNG</x:v>
      </x:c>
      <x:c r="C173" s="6" t="str">
        <x:v>2024</x:v>
      </x:c>
      <x:c r="D173" s="6" t="str">
        <x:v>4</x:v>
      </x:c>
      <x:c r="E173" s="6" t="str">
        <x:v>27.356980440818866</x:v>
      </x:c>
      <x:c r="F173" s="9" t="str">
        <x:v>grid_cells_within_BIG_polygon</x:v>
      </x:c>
      <x:c r="G173" s="6" t="str">
        <x:v>10</x:v>
      </x:c>
      <x:c r="H173" s="8" t="str">
        <x:v>86.74330635147614</x:v>
      </x:c>
      <x:c r="I173" s="6" t="str">
        <x:v>9.04403702033591</x:v>
      </x:c>
      <x:c r="J173" s="6" t="str">
        <x:v>30</x:v>
      </x:c>
      <x:c r="K173" s="6" t="str">
        <x:v>271.3211106100773</x:v>
      </x:c>
      <x:c r="L173" s="6" t="str">
        <x:v>26.07120642058912</x:v>
      </x:c>
      <x:c r="M173" s="6" t="str">
        <x:v>0.3755252148184523</x:v>
      </x:c>
      <x:c r="N173" s="6" t="str">
        <x:v>87.21912858883131</x:v>
      </x:c>
      <x:c r="O173" s="6" t="str">
        <x:v>0.9143460388777088</x:v>
      </x:c>
      <x:c r="P173" s="6" t="str">
        <x:v>195.50891329467507</x:v>
      </x:c>
      <x:c r="Q173" s="6" t="str">
        <x:v>61.31469255758559</x:v>
      </x:c>
      <x:c r="R173" s="6" t="str">
        <x:v>1.285774020229745</x:v>
      </x:c>
      <x:c r="S173" s="8" t="str">
        <x:v>3.4239352498642535</x:v>
      </x:c>
      <x:c r="T173" s="6" t="str">
        <x:v>-0.4758222373551746</x:v>
      </x:c>
      <x:c r="U173" s="8" t="str">
        <x:v>-0.520396236351842</x:v>
      </x:c>
      <x:c r="V173" s="6" t="str">
        <x:v>75.81219731540224</x:v>
      </x:c>
      <x:c r="W173" s="8" t="str">
        <x:v>1.2364442216553704</x:v>
      </x:c>
      <x:c r="X173" s="6" t="str">
        <x:v>2.664218884031106</x:v>
      </x:c>
      <x:c r="Y173" s="6" t="str">
        <x:v>2.6649954347780285</x:v>
      </x:c>
      <x:c r="Z173" s="6" t="str">
        <x:v>2.91771652289113</x:v>
      </x:c>
      <x:c r="AA173" s="6" t="str">
        <x:v>-0.6121731503165809</x:v>
      </x:c>
      <x:c r="AB173" s="6" t="str">
        <x:v>-1.155647494275019</x:v>
      </x:c>
      <x:c r="AC173" s="6" t="str">
        <x:v>-0.7627389603144811</x:v>
      </x:c>
      <x:c r="AD173" s="6" t="str">
        <x:v>0.9448339635288093</x:v>
      </x:c>
      <x:c r="AE173" s="6" t="str">
        <x:v>0.12361342762357493</x:v>
      </x:c>
      <x:c r="AF173" s="6" t="str">
        <x:v>0.7682972042692516</x:v>
      </x:c>
      <x:c r="AG173" s="6" t="str">
        <x:v>1</x:v>
      </x:c>
      <x:c r="AH173" s="6" t="str">
        <x:v>1</x:v>
      </x:c>
      <x:c r="AI173" s="6" t="str">
        <x:v>2024-04</x:v>
      </x:c>
      <x:c r="AJ173" s="9" t="str">
        <x:v>NASA POWER (MERRA-2 meteorology)</x:v>
      </x:c>
      <x:c r="AK173" s="9" t="str">
        <x:v>Badan Informasi Geospasial (BIG)</x:v>
      </x:c>
      <x:c r="AL173" s="9" t="str">
        <x:v>https://power.larc.nasa.gov/docs/services/api/temporal/monthly/</x:v>
      </x:c>
      <x:c r="AM173" s="9" t="str">
        <x:v>https://geoservices.big.go.id/rbi/rest/services/BATASWILAYAH/BATAS_WILAYAH/MapServer/12</x:v>
      </x:c>
    </x:row>
    <x:row r="174" ht="18" customHeight="1">
      <x:c r="A174" s="6" t="str">
        <x:v>18</x:v>
      </x:c>
      <x:c r="B174" s="6" t="str">
        <x:v>LAMPUNG</x:v>
      </x:c>
      <x:c r="C174" s="6" t="str">
        <x:v>2024</x:v>
      </x:c>
      <x:c r="D174" s="6" t="str">
        <x:v>5</x:v>
      </x:c>
      <x:c r="E174" s="6" t="str">
        <x:v>27.318929903824476</x:v>
      </x:c>
      <x:c r="F174" s="9" t="str">
        <x:v>grid_cells_within_BIG_polygon</x:v>
      </x:c>
      <x:c r="G174" s="6" t="str">
        <x:v>10</x:v>
      </x:c>
      <x:c r="H174" s="8" t="str">
        <x:v>87.13379976631597</x:v>
      </x:c>
      <x:c r="I174" s="6" t="str">
        <x:v>6.079264525599668</x:v>
      </x:c>
      <x:c r="J174" s="6" t="str">
        <x:v>31</x:v>
      </x:c>
      <x:c r="K174" s="6" t="str">
        <x:v>188.45720029358972</x:v>
      </x:c>
      <x:c r="L174" s="6" t="str">
        <x:v>26.19923020415573</x:v>
      </x:c>
      <x:c r="M174" s="6" t="str">
        <x:v>0.34822955652392357</x:v>
      </x:c>
      <x:c r="N174" s="6" t="str">
        <x:v>86.73893045986866</x:v>
      </x:c>
      <x:c r="O174" s="6" t="str">
        <x:v>1.1004964080194464</x:v>
      </x:c>
      <x:c r="P174" s="6" t="str">
        <x:v>128.35762453047457</x:v>
      </x:c>
      <x:c r="Q174" s="6" t="str">
        <x:v>49.90238969678764</x:v>
      </x:c>
      <x:c r="R174" s="6" t="str">
        <x:v>1.1196996996687467</x:v>
      </x:c>
      <x:c r="S174" s="8" t="str">
        <x:v>3.215406844972456</x:v>
      </x:c>
      <x:c r="T174" s="6" t="str">
        <x:v>0.394869306447319</x:v>
      </x:c>
      <x:c r="U174" s="8" t="str">
        <x:v>0.3588101729091163</x:v>
      </x:c>
      <x:c r="V174" s="6" t="str">
        <x:v>60.099575763115155</x:v>
      </x:c>
      <x:c r="W174" s="8" t="str">
        <x:v>1.204342640268066</x:v>
      </x:c>
      <x:c r="X174" s="6" t="str">
        <x:v>3.4239352498642535</x:v>
      </x:c>
      <x:c r="Y174" s="6" t="str">
        <x:v>2.664218884031106</x:v>
      </x:c>
      <x:c r="Z174" s="6" t="str">
        <x:v>3.1011869929559395</x:v>
      </x:c>
      <x:c r="AA174" s="6" t="str">
        <x:v>-0.520396236351842</x:v>
      </x:c>
      <x:c r="AB174" s="6" t="str">
        <x:v>-0.6121731503165809</x:v>
      </x:c>
      <x:c r="AC174" s="6" t="str">
        <x:v>-0.2579197379197693</x:v>
      </x:c>
      <x:c r="AD174" s="6" t="str">
        <x:v>1.2364442216553704</x:v>
      </x:c>
      <x:c r="AE174" s="6" t="str">
        <x:v>0.9448339635288093</x:v>
      </x:c>
      <x:c r="AF174" s="6" t="str">
        <x:v>1.1285402751507485</x:v>
      </x:c>
      <x:c r="AG174" s="6" t="str">
        <x:v>1</x:v>
      </x:c>
      <x:c r="AH174" s="6" t="str">
        <x:v>1</x:v>
      </x:c>
      <x:c r="AI174" s="6" t="str">
        <x:v>2024-05</x:v>
      </x:c>
      <x:c r="AJ174" s="9" t="str">
        <x:v>NASA POWER (MERRA-2 meteorology)</x:v>
      </x:c>
      <x:c r="AK174" s="9" t="str">
        <x:v>Badan Informasi Geospasial (BIG)</x:v>
      </x:c>
      <x:c r="AL174" s="9" t="str">
        <x:v>https://power.larc.nasa.gov/docs/services/api/temporal/monthly/</x:v>
      </x:c>
      <x:c r="AM174" s="9" t="str">
        <x:v>https://geoservices.big.go.id/rbi/rest/services/BATASWILAYAH/BATAS_WILAYAH/MapServer/12</x:v>
      </x:c>
    </x:row>
    <x:row r="175" ht="18" customHeight="1">
      <x:c r="A175" s="6" t="str">
        <x:v>18</x:v>
      </x:c>
      <x:c r="B175" s="6" t="str">
        <x:v>LAMPUNG</x:v>
      </x:c>
      <x:c r="C175" s="6" t="str">
        <x:v>2024</x:v>
      </x:c>
      <x:c r="D175" s="6" t="str">
        <x:v>6</x:v>
      </x:c>
      <x:c r="E175" s="6" t="str">
        <x:v>26.721875117225498</x:v>
      </x:c>
      <x:c r="F175" s="9" t="str">
        <x:v>grid_cells_within_BIG_polygon</x:v>
      </x:c>
      <x:c r="G175" s="6" t="str">
        <x:v>10</x:v>
      </x:c>
      <x:c r="H175" s="8" t="str">
        <x:v>85.86091990459587</x:v>
      </x:c>
      <x:c r="I175" s="6" t="str">
        <x:v>4.479852832878955</x:v>
      </x:c>
      <x:c r="J175" s="6" t="str">
        <x:v>30</x:v>
      </x:c>
      <x:c r="K175" s="6" t="str">
        <x:v>134.39558498636865</x:v>
      </x:c>
      <x:c r="L175" s="6" t="str">
        <x:v>25.747906924549376</x:v>
      </x:c>
      <x:c r="M175" s="6" t="str">
        <x:v>0.329831414650843</x:v>
      </x:c>
      <x:c r="N175" s="6" t="str">
        <x:v>85.70324445163259</x:v>
      </x:c>
      <x:c r="O175" s="6" t="str">
        <x:v>2.029765023595686</x:v>
      </x:c>
      <x:c r="P175" s="6" t="str">
        <x:v>93.62961346185766</x:v>
      </x:c>
      <x:c r="Q175" s="6" t="str">
        <x:v>57.41625852064678</x:v>
      </x:c>
      <x:c r="R175" s="6" t="str">
        <x:v>0.9739681926761214</x:v>
      </x:c>
      <x:c r="S175" s="8" t="str">
        <x:v>2.9529273119940886</x:v>
      </x:c>
      <x:c r="T175" s="6" t="str">
        <x:v>0.15767545296328933</x:v>
      </x:c>
      <x:c r="U175" s="8" t="str">
        <x:v>0.07768162872565938</x:v>
      </x:c>
      <x:c r="V175" s="6" t="str">
        <x:v>40.76597152451099</x:v>
      </x:c>
      <x:c r="W175" s="8" t="str">
        <x:v>0.7100074538965583</x:v>
      </x:c>
      <x:c r="X175" s="6" t="str">
        <x:v>3.215406844972456</x:v>
      </x:c>
      <x:c r="Y175" s="6" t="str">
        <x:v>3.4239352498642535</x:v>
      </x:c>
      <x:c r="Z175" s="6" t="str">
        <x:v>3.1974231356102667</x:v>
      </x:c>
      <x:c r="AA175" s="6" t="str">
        <x:v>0.3588101729091163</x:v>
      </x:c>
      <x:c r="AB175" s="6" t="str">
        <x:v>-0.520396236351842</x:v>
      </x:c>
      <x:c r="AC175" s="6" t="str">
        <x:v>-0.027968144905689194</x:v>
      </x:c>
      <x:c r="AD175" s="6" t="str">
        <x:v>1.204342640268066</x:v>
      </x:c>
      <x:c r="AE175" s="6" t="str">
        <x:v>1.2364442216553704</x:v>
      </x:c>
      <x:c r="AF175" s="6" t="str">
        <x:v>1.0502647719399982</x:v>
      </x:c>
      <x:c r="AG175" s="6" t="str">
        <x:v>0</x:v>
      </x:c>
      <x:c r="AH175" s="6" t="str">
        <x:v>1</x:v>
      </x:c>
      <x:c r="AI175" s="6" t="str">
        <x:v>2024-06</x:v>
      </x:c>
      <x:c r="AJ175" s="9" t="str">
        <x:v>NASA POWER (MERRA-2 meteorology)</x:v>
      </x:c>
      <x:c r="AK175" s="9" t="str">
        <x:v>Badan Informasi Geospasial (BIG)</x:v>
      </x:c>
      <x:c r="AL175" s="9" t="str">
        <x:v>https://power.larc.nasa.gov/docs/services/api/temporal/monthly/</x:v>
      </x:c>
      <x:c r="AM175" s="9" t="str">
        <x:v>https://geoservices.big.go.id/rbi/rest/services/BATASWILAYAH/BATAS_WILAYAH/MapServer/12</x:v>
      </x:c>
    </x:row>
    <x:row r="176" ht="18" customHeight="1">
      <x:c r="A176" s="6" t="str">
        <x:v>18</x:v>
      </x:c>
      <x:c r="B176" s="6" t="str">
        <x:v>LAMPUNG</x:v>
      </x:c>
      <x:c r="C176" s="6" t="str">
        <x:v>2024</x:v>
      </x:c>
      <x:c r="D176" s="6" t="str">
        <x:v>7</x:v>
      </x:c>
      <x:c r="E176" s="6" t="str">
        <x:v>26.035883605072055</x:v>
      </x:c>
      <x:c r="F176" s="9" t="str">
        <x:v>grid_cells_within_BIG_polygon</x:v>
      </x:c>
      <x:c r="G176" s="6" t="str">
        <x:v>10</x:v>
      </x:c>
      <x:c r="H176" s="8" t="str">
        <x:v>84.15591453175675</x:v>
      </x:c>
      <x:c r="I176" s="6" t="str">
        <x:v>1.8797039735334633</x:v>
      </x:c>
      <x:c r="J176" s="6" t="str">
        <x:v>31</x:v>
      </x:c>
      <x:c r="K176" s="6" t="str">
        <x:v>58.27082317953736</x:v>
      </x:c>
      <x:c r="L176" s="6" t="str">
        <x:v>25.459436542841935</x:v>
      </x:c>
      <x:c r="M176" s="6" t="str">
        <x:v>0.29795787420411035</x:v>
      </x:c>
      <x:c r="N176" s="6" t="str">
        <x:v>83.60578766316598</x:v>
      </x:c>
      <x:c r="O176" s="6" t="str">
        <x:v>3.080535682492445</x:v>
      </x:c>
      <x:c r="P176" s="6" t="str">
        <x:v>90.53248597047124</x:v>
      </x:c>
      <x:c r="Q176" s="6" t="str">
        <x:v>66.03716918872749</x:v>
      </x:c>
      <x:c r="R176" s="6" t="str">
        <x:v>0.5764470622301197</x:v>
      </x:c>
      <x:c r="S176" s="8" t="str">
        <x:v>1.9346596016967004</x:v>
      </x:c>
      <x:c r="T176" s="6" t="str">
        <x:v>0.5501268685907661</x:v>
      </x:c>
      <x:c r="U176" s="8" t="str">
        <x:v>0.17858156025177457</x:v>
      </x:c>
      <x:c r="V176" s="6" t="str">
        <x:v>-32.26166279093388</x:v>
      </x:c>
      <x:c r="W176" s="8" t="str">
        <x:v>-0.4885379429080817</x:v>
      </x:c>
      <x:c r="X176" s="6" t="str">
        <x:v>2.9529273119940886</x:v>
      </x:c>
      <x:c r="Y176" s="6" t="str">
        <x:v>3.215406844972456</x:v>
      </x:c>
      <x:c r="Z176" s="6" t="str">
        <x:v>2.7009979195544154</x:v>
      </x:c>
      <x:c r="AA176" s="6" t="str">
        <x:v>0.07768162872565938</x:v>
      </x:c>
      <x:c r="AB176" s="6" t="str">
        <x:v>0.3588101729091163</x:v>
      </x:c>
      <x:c r="AC176" s="6" t="str">
        <x:v>0.20502445396218297</x:v>
      </x:c>
      <x:c r="AD176" s="6" t="str">
        <x:v>0.7100074538965583</x:v>
      </x:c>
      <x:c r="AE176" s="6" t="str">
        <x:v>1.204342640268066</x:v>
      </x:c>
      <x:c r="AF176" s="6" t="str">
        <x:v>0.4752707170855142</x:v>
      </x:c>
      <x:c r="AG176" s="6" t="str">
        <x:v>0</x:v>
      </x:c>
      <x:c r="AH176" s="6" t="str">
        <x:v>1</x:v>
      </x:c>
      <x:c r="AI176" s="6" t="str">
        <x:v>2024-07</x:v>
      </x:c>
      <x:c r="AJ176" s="9" t="str">
        <x:v>NASA POWER (MERRA-2 meteorology)</x:v>
      </x:c>
      <x:c r="AK176" s="9" t="str">
        <x:v>Badan Informasi Geospasial (BIG)</x:v>
      </x:c>
      <x:c r="AL176" s="9" t="str">
        <x:v>https://power.larc.nasa.gov/docs/services/api/temporal/monthly/</x:v>
      </x:c>
      <x:c r="AM176" s="9" t="str">
        <x:v>https://geoservices.big.go.id/rbi/rest/services/BATASWILAYAH/BATAS_WILAYAH/MapServer/12</x:v>
      </x:c>
    </x:row>
    <x:row r="177" ht="18" customHeight="1">
      <x:c r="A177" s="6" t="str">
        <x:v>18</x:v>
      </x:c>
      <x:c r="B177" s="6" t="str">
        <x:v>LAMPUNG</x:v>
      </x:c>
      <x:c r="C177" s="6" t="str">
        <x:v>2024</x:v>
      </x:c>
      <x:c r="D177" s="6" t="str">
        <x:v>8</x:v>
      </x:c>
      <x:c r="E177" s="6" t="str">
        <x:v>26.57495480949392</x:v>
      </x:c>
      <x:c r="F177" s="9" t="str">
        <x:v>grid_cells_within_BIG_polygon</x:v>
      </x:c>
      <x:c r="G177" s="6" t="str">
        <x:v>10</x:v>
      </x:c>
      <x:c r="H177" s="8" t="str">
        <x:v>80.3207390096029</x:v>
      </x:c>
      <x:c r="I177" s="6" t="str">
        <x:v>1.224893798682849</x:v>
      </x:c>
      <x:c r="J177" s="6" t="str">
        <x:v>31</x:v>
      </x:c>
      <x:c r="K177" s="6" t="str">
        <x:v>37.97170775916832</x:v>
      </x:c>
      <x:c r="L177" s="6" t="str">
        <x:v>25.840959145013862</x:v>
      </x:c>
      <x:c r="M177" s="6" t="str">
        <x:v>0.41648639512482005</x:v>
      </x:c>
      <x:c r="N177" s="6" t="str">
        <x:v>79.22147616423754</x:v>
      </x:c>
      <x:c r="O177" s="6" t="str">
        <x:v>4.6445861379448505</x:v>
      </x:c>
      <x:c r="P177" s="6" t="str">
        <x:v>62.9723205209142</x:v>
      </x:c>
      <x:c r="Q177" s="6" t="str">
        <x:v>52.437503592399544</x:v>
      </x:c>
      <x:c r="R177" s="6" t="str">
        <x:v>0.7339956644800587</x:v>
      </x:c>
      <x:c r="S177" s="8" t="str">
        <x:v>1.7623520793760425</x:v>
      </x:c>
      <x:c r="T177" s="6" t="str">
        <x:v>1.0992628453653595</x:v>
      </x:c>
      <x:c r="U177" s="8" t="str">
        <x:v>0.2366761672013611</x:v>
      </x:c>
      <x:c r="V177" s="6" t="str">
        <x:v>-25.000612761745884</x:v>
      </x:c>
      <x:c r="W177" s="8" t="str">
        <x:v>-0.47676969819306103</x:v>
      </x:c>
      <x:c r="X177" s="6" t="str">
        <x:v>1.9346596016967004</x:v>
      </x:c>
      <x:c r="Y177" s="6" t="str">
        <x:v>2.9529273119940886</x:v>
      </x:c>
      <x:c r="Z177" s="6" t="str">
        <x:v>2.2166463310222775</x:v>
      </x:c>
      <x:c r="AA177" s="6" t="str">
        <x:v>0.17858156025177457</x:v>
      </x:c>
      <x:c r="AB177" s="6" t="str">
        <x:v>0.07768162872565938</x:v>
      </x:c>
      <x:c r="AC177" s="6" t="str">
        <x:v>0.16431311872626456</x:v>
      </x:c>
      <x:c r="AD177" s="6" t="str">
        <x:v>-0.4885379429080817</x:v>
      </x:c>
      <x:c r="AE177" s="6" t="str">
        <x:v>0.7100074538965583</x:v>
      </x:c>
      <x:c r="AF177" s="6" t="str">
        <x:v>-0.08510006240152808</x:v>
      </x:c>
      <x:c r="AG177" s="6" t="str">
        <x:v>0</x:v>
      </x:c>
      <x:c r="AH177" s="6" t="str">
        <x:v>1</x:v>
      </x:c>
      <x:c r="AI177" s="6" t="str">
        <x:v>2024-08</x:v>
      </x:c>
      <x:c r="AJ177" s="9" t="str">
        <x:v>NASA POWER (MERRA-2 meteorology)</x:v>
      </x:c>
      <x:c r="AK177" s="9" t="str">
        <x:v>Badan Informasi Geospasial (BIG)</x:v>
      </x:c>
      <x:c r="AL177" s="9" t="str">
        <x:v>https://power.larc.nasa.gov/docs/services/api/temporal/monthly/</x:v>
      </x:c>
      <x:c r="AM177" s="9" t="str">
        <x:v>https://geoservices.big.go.id/rbi/rest/services/BATASWILAYAH/BATAS_WILAYAH/MapServer/12</x:v>
      </x:c>
    </x:row>
    <x:row r="178" ht="18" customHeight="1">
      <x:c r="A178" s="6" t="str">
        <x:v>18</x:v>
      </x:c>
      <x:c r="B178" s="6" t="str">
        <x:v>LAMPUNG</x:v>
      </x:c>
      <x:c r="C178" s="6" t="str">
        <x:v>2024</x:v>
      </x:c>
      <x:c r="D178" s="6" t="str">
        <x:v>9</x:v>
      </x:c>
      <x:c r="E178" s="6" t="str">
        <x:v>27.460039480769474</x:v>
      </x:c>
      <x:c r="F178" s="9" t="str">
        <x:v>grid_cells_within_BIG_polygon</x:v>
      </x:c>
      <x:c r="G178" s="6" t="str">
        <x:v>10</x:v>
      </x:c>
      <x:c r="H178" s="8" t="str">
        <x:v>74.93311011825716</x:v>
      </x:c>
      <x:c r="I178" s="6" t="str">
        <x:v>2.6440743403417293</x:v>
      </x:c>
      <x:c r="J178" s="6" t="str">
        <x:v>30</x:v>
      </x:c>
      <x:c r="K178" s="6" t="str">
        <x:v>79.32223021025187</x:v>
      </x:c>
      <x:c r="L178" s="6" t="str">
        <x:v>26.491770543049654</x:v>
      </x:c>
      <x:c r="M178" s="6" t="str">
        <x:v>0.4923732218407871</x:v>
      </x:c>
      <x:c r="N178" s="6" t="str">
        <x:v>75.94332018979972</x:v>
      </x:c>
      <x:c r="O178" s="6" t="str">
        <x:v>6.108672077643044</x:v>
      </x:c>
      <x:c r="P178" s="6" t="str">
        <x:v>74.90691945067137</x:v>
      </x:c>
      <x:c r="Q178" s="6" t="str">
        <x:v>65.39355298533901</x:v>
      </x:c>
      <x:c r="R178" s="6" t="str">
        <x:v>0.9682689377198201</x:v>
      </x:c>
      <x:c r="S178" s="8" t="str">
        <x:v>1.966534520500219</x:v>
      </x:c>
      <x:c r="T178" s="6" t="str">
        <x:v>-1.0102100715425593</x:v>
      </x:c>
      <x:c r="U178" s="8" t="str">
        <x:v>-0.16537310543150588</x:v>
      </x:c>
      <x:c r="V178" s="6" t="str">
        <x:v>4.415310759580507</x:v>
      </x:c>
      <x:c r="W178" s="8" t="str">
        <x:v>0.06751905284257001</x:v>
      </x:c>
      <x:c r="X178" s="6" t="str">
        <x:v>1.7623520793760425</x:v>
      </x:c>
      <x:c r="Y178" s="6" t="str">
        <x:v>1.9346596016967004</x:v>
      </x:c>
      <x:c r="Z178" s="6" t="str">
        <x:v>1.8878487338576544</x:v>
      </x:c>
      <x:c r="AA178" s="6" t="str">
        <x:v>0.2366761672013611</x:v>
      </x:c>
      <x:c r="AB178" s="6" t="str">
        <x:v>0.17858156025177457</x:v>
      </x:c>
      <x:c r="AC178" s="6" t="str">
        <x:v>0.08329487400720949</x:v>
      </x:c>
      <x:c r="AD178" s="6" t="str">
        <x:v>-0.47676969819306103</x:v>
      </x:c>
      <x:c r="AE178" s="6" t="str">
        <x:v>-0.4885379429080817</x:v>
      </x:c>
      <x:c r="AF178" s="6" t="str">
        <x:v>-0.2992628627528575</x:v>
      </x:c>
      <x:c r="AG178" s="6" t="str">
        <x:v>0</x:v>
      </x:c>
      <x:c r="AH178" s="6" t="str">
        <x:v>1</x:v>
      </x:c>
      <x:c r="AI178" s="6" t="str">
        <x:v>2024-09</x:v>
      </x:c>
      <x:c r="AJ178" s="9" t="str">
        <x:v>NASA POWER (MERRA-2 meteorology)</x:v>
      </x:c>
      <x:c r="AK178" s="9" t="str">
        <x:v>Badan Informasi Geospasial (BIG)</x:v>
      </x:c>
      <x:c r="AL178" s="9" t="str">
        <x:v>https://power.larc.nasa.gov/docs/services/api/temporal/monthly/</x:v>
      </x:c>
      <x:c r="AM178" s="9" t="str">
        <x:v>https://geoservices.big.go.id/rbi/rest/services/BATASWILAYAH/BATAS_WILAYAH/MapServer/12</x:v>
      </x:c>
    </x:row>
    <x:row r="179" ht="18" customHeight="1">
      <x:c r="A179" s="6" t="str">
        <x:v>18</x:v>
      </x:c>
      <x:c r="B179" s="6" t="str">
        <x:v>LAMPUNG</x:v>
      </x:c>
      <x:c r="C179" s="6" t="str">
        <x:v>2024</x:v>
      </x:c>
      <x:c r="D179" s="6" t="str">
        <x:v>10</x:v>
      </x:c>
      <x:c r="E179" s="6" t="str">
        <x:v>28.064063891548905</x:v>
      </x:c>
      <x:c r="F179" s="9" t="str">
        <x:v>grid_cells_within_BIG_polygon</x:v>
      </x:c>
      <x:c r="G179" s="6" t="str">
        <x:v>10</x:v>
      </x:c>
      <x:c r="H179" s="8" t="str">
        <x:v>72.94572465450074</x:v>
      </x:c>
      <x:c r="I179" s="6" t="str">
        <x:v>2.4281155840528745</x:v>
      </x:c>
      <x:c r="J179" s="6" t="str">
        <x:v>31</x:v>
      </x:c>
      <x:c r="K179" s="6" t="str">
        <x:v>75.27158310563911</x:v>
      </x:c>
      <x:c r="L179" s="6" t="str">
        <x:v>26.847275087820396</x:v>
      </x:c>
      <x:c r="M179" s="6" t="str">
        <x:v>0.7972245089845442</x:v>
      </x:c>
      <x:c r="N179" s="6" t="str">
        <x:v>76.54460211200994</x:v>
      </x:c>
      <x:c r="O179" s="6" t="str">
        <x:v>7.62335255796345</x:v>
      </x:c>
      <x:c r="P179" s="6" t="str">
        <x:v>116.05668213979393</x:v>
      </x:c>
      <x:c r="Q179" s="6" t="str">
        <x:v>73.92270736511685</x:v>
      </x:c>
      <x:c r="R179" s="6" t="str">
        <x:v>1.2167888037285088</x:v>
      </x:c>
      <x:c r="S179" s="8" t="str">
        <x:v>1.526281229459917</x:v>
      </x:c>
      <x:c r="T179" s="6" t="str">
        <x:v>-3.5988774575092037</x:v>
      </x:c>
      <x:c r="U179" s="8" t="str">
        <x:v>-0.4720859267816193</x:v>
      </x:c>
      <x:c r="V179" s="6" t="str">
        <x:v>-40.785099034154825</x:v>
      </x:c>
      <x:c r="W179" s="8" t="str">
        <x:v>-0.5517262623067939</x:v>
      </x:c>
      <x:c r="X179" s="6" t="str">
        <x:v>1.966534520500219</x:v>
      </x:c>
      <x:c r="Y179" s="6" t="str">
        <x:v>1.7623520793760425</x:v>
      </x:c>
      <x:c r="Z179" s="6" t="str">
        <x:v>1.7517226097787264</x:v>
      </x:c>
      <x:c r="AA179" s="6" t="str">
        <x:v>-0.16537310543150588</x:v>
      </x:c>
      <x:c r="AB179" s="6" t="str">
        <x:v>0.2366761672013611</x:v>
      </x:c>
      <x:c r="AC179" s="6" t="str">
        <x:v>-0.13359428833725515</x:v>
      </x:c>
      <x:c r="AD179" s="6" t="str">
        <x:v>0.06751905284257001</x:v>
      </x:c>
      <x:c r="AE179" s="6" t="str">
        <x:v>-0.47676969819306103</x:v>
      </x:c>
      <x:c r="AF179" s="6" t="str">
        <x:v>-0.3203256358857616</x:v>
      </x:c>
      <x:c r="AG179" s="6" t="str">
        <x:v>0</x:v>
      </x:c>
      <x:c r="AH179" s="6" t="str">
        <x:v>1</x:v>
      </x:c>
      <x:c r="AI179" s="6" t="str">
        <x:v>2024-10</x:v>
      </x:c>
      <x:c r="AJ179" s="9" t="str">
        <x:v>NASA POWER (MERRA-2 meteorology)</x:v>
      </x:c>
      <x:c r="AK179" s="9" t="str">
        <x:v>Badan Informasi Geospasial (BIG)</x:v>
      </x:c>
      <x:c r="AL179" s="9" t="str">
        <x:v>https://power.larc.nasa.gov/docs/services/api/temporal/monthly/</x:v>
      </x:c>
      <x:c r="AM179" s="9" t="str">
        <x:v>https://geoservices.big.go.id/rbi/rest/services/BATASWILAYAH/BATAS_WILAYAH/MapServer/12</x:v>
      </x:c>
    </x:row>
    <x:row r="180" ht="18" customHeight="1">
      <x:c r="A180" s="6" t="str">
        <x:v>18</x:v>
      </x:c>
      <x:c r="B180" s="6" t="str">
        <x:v>LAMPUNG</x:v>
      </x:c>
      <x:c r="C180" s="6" t="str">
        <x:v>2024</x:v>
      </x:c>
      <x:c r="D180" s="6" t="str">
        <x:v>11</x:v>
      </x:c>
      <x:c r="E180" s="6" t="str">
        <x:v>27.046021341829757</x:v>
      </x:c>
      <x:c r="F180" s="9" t="str">
        <x:v>grid_cells_within_BIG_polygon</x:v>
      </x:c>
      <x:c r="G180" s="6" t="str">
        <x:v>10</x:v>
      </x:c>
      <x:c r="H180" s="8" t="str">
        <x:v>82.04196310259711</x:v>
      </x:c>
      <x:c r="I180" s="6" t="str">
        <x:v>9.176873429589206</x:v>
      </x:c>
      <x:c r="J180" s="6" t="str">
        <x:v>30</x:v>
      </x:c>
      <x:c r="K180" s="6" t="str">
        <x:v>275.3062028876762</x:v>
      </x:c>
      <x:c r="L180" s="6" t="str">
        <x:v>26.557125997291834</x:v>
      </x:c>
      <x:c r="M180" s="6" t="str">
        <x:v>0.9335504477873622</x:v>
      </x:c>
      <x:c r="N180" s="6" t="str">
        <x:v>80.62186322218113</x:v>
      </x:c>
      <x:c r="O180" s="6" t="str">
        <x:v>6.1717481338915015</x:v>
      </x:c>
      <x:c r="P180" s="6" t="str">
        <x:v>185.7861211227681</x:v>
      </x:c>
      <x:c r="Q180" s="6" t="str">
        <x:v>79.80682478961141</x:v>
      </x:c>
      <x:c r="R180" s="6" t="str">
        <x:v>0.48889534453792294</x:v>
      </x:c>
      <x:c r="S180" s="8" t="str">
        <x:v>0.5236946173574973</x:v>
      </x:c>
      <x:c r="T180" s="6" t="str">
        <x:v>1.4200998804159752</x:v>
      </x:c>
      <x:c r="U180" s="8" t="str">
        <x:v>0.23009686228406617</x:v>
      </x:c>
      <x:c r="V180" s="6" t="str">
        <x:v>89.5200817649081</x:v>
      </x:c>
      <x:c r="W180" s="8" t="str">
        <x:v>1.1217096031686888</x:v>
      </x:c>
      <x:c r="X180" s="6" t="str">
        <x:v>1.526281229459917</x:v>
      </x:c>
      <x:c r="Y180" s="6" t="str">
        <x:v>1.966534520500219</x:v>
      </x:c>
      <x:c r="Z180" s="6" t="str">
        <x:v>1.3388367891058781</x:v>
      </x:c>
      <x:c r="AA180" s="6" t="str">
        <x:v>-0.4720859267816193</x:v>
      </x:c>
      <x:c r="AB180" s="6" t="str">
        <x:v>-0.16537310543150588</x:v>
      </x:c>
      <x:c r="AC180" s="6" t="str">
        <x:v>-0.13578738997635345</x:v>
      </x:c>
      <x:c r="AD180" s="6" t="str">
        <x:v>-0.5517262623067939</x:v>
      </x:c>
      <x:c r="AE180" s="6" t="str">
        <x:v>0.06751905284257001</x:v>
      </x:c>
      <x:c r="AF180" s="6" t="str">
        <x:v>0.21250079790148838</x:v>
      </x:c>
      <x:c r="AG180" s="6" t="str">
        <x:v>1</x:v>
      </x:c>
      <x:c r="AH180" s="6" t="str">
        <x:v>0</x:v>
      </x:c>
      <x:c r="AI180" s="6" t="str">
        <x:v>2024-11</x:v>
      </x:c>
      <x:c r="AJ180" s="9" t="str">
        <x:v>NASA POWER (MERRA-2 meteorology)</x:v>
      </x:c>
      <x:c r="AK180" s="9" t="str">
        <x:v>Badan Informasi Geospasial (BIG)</x:v>
      </x:c>
      <x:c r="AL180" s="9" t="str">
        <x:v>https://power.larc.nasa.gov/docs/services/api/temporal/monthly/</x:v>
      </x:c>
      <x:c r="AM180" s="9" t="str">
        <x:v>https://geoservices.big.go.id/rbi/rest/services/BATASWILAYAH/BATAS_WILAYAH/MapServer/12</x:v>
      </x:c>
    </x:row>
    <x:row r="181" ht="18" customHeight="1">
      <x:c r="A181" s="6" t="str">
        <x:v>18</x:v>
      </x:c>
      <x:c r="B181" s="6" t="str">
        <x:v>LAMPUNG</x:v>
      </x:c>
      <x:c r="C181" s="6" t="str">
        <x:v>2024</x:v>
      </x:c>
      <x:c r="D181" s="6" t="str">
        <x:v>12</x:v>
      </x:c>
      <x:c r="E181" s="6" t="str">
        <x:v>26.376951315885606</x:v>
      </x:c>
      <x:c r="F181" s="9" t="str">
        <x:v>grid_cells_within_BIG_polygon</x:v>
      </x:c>
      <x:c r="G181" s="6" t="str">
        <x:v>10</x:v>
      </x:c>
      <x:c r="H181" s="8" t="str">
        <x:v>85.19923147417663</x:v>
      </x:c>
      <x:c r="I181" s="6" t="str">
        <x:v>8.157118118221943</x:v>
      </x:c>
      <x:c r="J181" s="6" t="str">
        <x:v>31</x:v>
      </x:c>
      <x:c r="K181" s="6" t="str">
        <x:v>252.87066166488023</x:v>
      </x:c>
      <x:c r="L181" s="6" t="str">
        <x:v>25.76314776657419</x:v>
      </x:c>
      <x:c r="M181" s="6" t="str">
        <x:v>0.5838363389343837</x:v>
      </x:c>
      <x:c r="N181" s="6" t="str">
        <x:v>85.61366812261414</x:v>
      </x:c>
      <x:c r="O181" s="6" t="str">
        <x:v>2.586580746423939</x:v>
      </x:c>
      <x:c r="P181" s="6" t="str">
        <x:v>269.9280093341602</x:v>
      </x:c>
      <x:c r="Q181" s="6" t="str">
        <x:v>87.39343012379328</x:v>
      </x:c>
      <x:c r="R181" s="6" t="str">
        <x:v>0.6138035493114167</x:v>
      </x:c>
      <x:c r="S181" s="8" t="str">
        <x:v>1.0513281006655548</x:v>
      </x:c>
      <x:c r="T181" s="6" t="str">
        <x:v>-0.4144366484375155</x:v>
      </x:c>
      <x:c r="U181" s="8" t="str">
        <x:v>-0.1602256759277638</x:v>
      </x:c>
      <x:c r="V181" s="6" t="str">
        <x:v>-17.057347669279977</x:v>
      </x:c>
      <x:c r="W181" s="8" t="str">
        <x:v>-0.19517883260924934</x:v>
      </x:c>
      <x:c r="X181" s="6" t="str">
        <x:v>0.5236946173574973</x:v>
      </x:c>
      <x:c r="Y181" s="6" t="str">
        <x:v>1.526281229459917</x:v>
      </x:c>
      <x:c r="Z181" s="6" t="str">
        <x:v>1.0337679824943233</x:v>
      </x:c>
      <x:c r="AA181" s="6" t="str">
        <x:v>0.23009686228406617</x:v>
      </x:c>
      <x:c r="AB181" s="6" t="str">
        <x:v>-0.4720859267816193</x:v>
      </x:c>
      <x:c r="AC181" s="6" t="str">
        <x:v>-0.13407158014177276</x:v>
      </x:c>
      <x:c r="AD181" s="6" t="str">
        <x:v>1.1217096031686888</x:v>
      </x:c>
      <x:c r="AE181" s="6" t="str">
        <x:v>-0.5517262623067939</x:v>
      </x:c>
      <x:c r="AF181" s="6" t="str">
        <x:v>0.12493483608421528</x:v>
      </x:c>
      <x:c r="AG181" s="6" t="str">
        <x:v>0</x:v>
      </x:c>
      <x:c r="AH181" s="6" t="str">
        <x:v>1</x:v>
      </x:c>
      <x:c r="AI181" s="6" t="str">
        <x:v>2024-12</x:v>
      </x:c>
      <x:c r="AJ181" s="9" t="str">
        <x:v>NASA POWER (MERRA-2 meteorology)</x:v>
      </x:c>
      <x:c r="AK181" s="9" t="str">
        <x:v>Badan Informasi Geospasial (BIG)</x:v>
      </x:c>
      <x:c r="AL181" s="9" t="str">
        <x:v>https://power.larc.nasa.gov/docs/services/api/temporal/monthly/</x:v>
      </x:c>
      <x:c r="AM181" s="9" t="str">
        <x:v>https://geoservices.big.go.id/rbi/rest/services/BATASWILAYAH/BATAS_WILAYAH/MapServer/12</x:v>
      </x:c>
    </x:row>
    <x:row r="182" ht="18" customHeight="1">
      <x:c r="A182" s="6" t="str">
        <x:v>18</x:v>
      </x:c>
      <x:c r="B182" s="6" t="str">
        <x:v>LAMPUNG</x:v>
      </x:c>
      <x:c r="C182" s="6" t="str">
        <x:v>2025</x:v>
      </x:c>
      <x:c r="D182" s="6" t="str">
        <x:v>1</x:v>
      </x:c>
      <x:c r="E182" s="6" t="str">
        <x:v>25.788897532606452</x:v>
      </x:c>
      <x:c r="F182" s="9" t="str">
        <x:v>grid_cells_within_BIG_polygon</x:v>
      </x:c>
      <x:c r="G182" s="6" t="str">
        <x:v>10</x:v>
      </x:c>
      <x:c r="H182" s="8" t="str">
        <x:v>88.20156628102391</x:v>
      </x:c>
      <x:c r="I182" s="6" t="str">
        <x:v>15.522213597302528</x:v>
      </x:c>
      <x:c r="J182" s="6" t="str">
        <x:v>31</x:v>
      </x:c>
      <x:c r="K182" s="6" t="str">
        <x:v>481.18862151637836</x:v>
      </x:c>
      <x:c r="L182" s="6" t="str">
        <x:v>25.505996915186074</x:v>
      </x:c>
      <x:c r="M182" s="6" t="str">
        <x:v>0.48810572406780606</x:v>
      </x:c>
      <x:c r="N182" s="6" t="str">
        <x:v>87.28009020881949</x:v>
      </x:c>
      <x:c r="O182" s="6" t="str">
        <x:v>1.8407219449317507</x:v>
      </x:c>
      <x:c r="P182" s="6" t="str">
        <x:v>278.72137556613086</x:v>
      </x:c>
      <x:c r="Q182" s="6" t="str">
        <x:v>95.81782694068964</x:v>
      </x:c>
      <x:c r="R182" s="6" t="str">
        <x:v>0.28290061742037764</x:v>
      </x:c>
      <x:c r="S182" s="8" t="str">
        <x:v>0.5795888133880561</x:v>
      </x:c>
      <x:c r="T182" s="6" t="str">
        <x:v>0.9214760722044275</x:v>
      </x:c>
      <x:c r="U182" s="8" t="str">
        <x:v>0.5006057947761325</x:v>
      </x:c>
      <x:c r="V182" s="6" t="str">
        <x:v>202.4672459502475</x:v>
      </x:c>
      <x:c r="W182" s="8" t="str">
        <x:v>2.1130435996588908</x:v>
      </x:c>
      <x:c r="X182" s="6" t="str">
        <x:v>1.0513281006655548</x:v>
      </x:c>
      <x:c r="Y182" s="6" t="str">
        <x:v>0.5236946173574973</x:v>
      </x:c>
      <x:c r="Z182" s="6" t="str">
        <x:v>0.7182038438037032</x:v>
      </x:c>
      <x:c r="AA182" s="6" t="str">
        <x:v>-0.1602256759277638</x:v>
      </x:c>
      <x:c r="AB182" s="6" t="str">
        <x:v>0.23009686228406617</x:v>
      </x:c>
      <x:c r="AC182" s="6" t="str">
        <x:v>0.1901589937108112</x:v>
      </x:c>
      <x:c r="AD182" s="6" t="str">
        <x:v>-0.19517883260924934</x:v>
      </x:c>
      <x:c r="AE182" s="6" t="str">
        <x:v>1.1217096031686888</x:v>
      </x:c>
      <x:c r="AF182" s="6" t="str">
        <x:v>1.0131914567394436</x:v>
      </x:c>
      <x:c r="AG182" s="6" t="str">
        <x:v>1</x:v>
      </x:c>
      <x:c r="AH182" s="6" t="str">
        <x:v>0</x:v>
      </x:c>
      <x:c r="AI182" s="6" t="str">
        <x:v>2025-01</x:v>
      </x:c>
      <x:c r="AJ182" s="9" t="str">
        <x:v>NASA POWER (MERRA-2 meteorology)</x:v>
      </x:c>
      <x:c r="AK182" s="9" t="str">
        <x:v>Badan Informasi Geospasial (BIG)</x:v>
      </x:c>
      <x:c r="AL182" s="9" t="str">
        <x:v>https://power.larc.nasa.gov/docs/services/api/temporal/monthly/</x:v>
      </x:c>
      <x:c r="AM182" s="9" t="str">
        <x:v>https://geoservices.big.go.id/rbi/rest/services/BATASWILAYAH/BATAS_WILAYAH/MapServer/12</x:v>
      </x:c>
    </x:row>
    <x:row r="183" ht="18" customHeight="1">
      <x:c r="A183" s="6" t="str">
        <x:v>18</x:v>
      </x:c>
      <x:c r="B183" s="6" t="str">
        <x:v>LAMPUNG</x:v>
      </x:c>
      <x:c r="C183" s="6" t="str">
        <x:v>2025</x:v>
      </x:c>
      <x:c r="D183" s="6" t="str">
        <x:v>2</x:v>
      </x:c>
      <x:c r="E183" s="6" t="str">
        <x:v>25.8389123454802</x:v>
      </x:c>
      <x:c r="F183" s="9" t="str">
        <x:v>grid_cells_within_BIG_polygon</x:v>
      </x:c>
      <x:c r="G183" s="6" t="str">
        <x:v>10</x:v>
      </x:c>
      <x:c r="H183" s="8" t="str">
        <x:v>87.36677788015578</x:v>
      </x:c>
      <x:c r="I183" s="6" t="str">
        <x:v>9.146140811631613</x:v>
      </x:c>
      <x:c r="J183" s="6" t="str">
        <x:v>28</x:v>
      </x:c>
      <x:c r="K183" s="6" t="str">
        <x:v>256.09194272568516</x:v>
      </x:c>
      <x:c r="L183" s="6" t="str">
        <x:v>25.512960995120107</x:v>
      </x:c>
      <x:c r="M183" s="6" t="str">
        <x:v>0.43564564194070843</x:v>
      </x:c>
      <x:c r="N183" s="6" t="str">
        <x:v>87.76941492746101</x:v>
      </x:c>
      <x:c r="O183" s="6" t="str">
        <x:v>1.0026644220944267</x:v>
      </x:c>
      <x:c r="P183" s="6" t="str">
        <x:v>256.7847569711608</x:v>
      </x:c>
      <x:c r="Q183" s="6" t="str">
        <x:v>63.01408131833268</x:v>
      </x:c>
      <x:c r="R183" s="6" t="str">
        <x:v>0.3259513503600928</x:v>
      </x:c>
      <x:c r="S183" s="8" t="str">
        <x:v>0.748202940601102</x:v>
      </x:c>
      <x:c r="T183" s="6" t="str">
        <x:v>-0.40263704730523386</x:v>
      </x:c>
      <x:c r="U183" s="8" t="str">
        <x:v>-0.40156710304348986</x:v>
      </x:c>
      <x:c r="V183" s="6" t="str">
        <x:v>-0.6928142454756312</x:v>
      </x:c>
      <x:c r="W183" s="8" t="str">
        <x:v>-0.010994594080895865</x:v>
      </x:c>
      <x:c r="X183" s="6" t="str">
        <x:v>0.5795888133880561</x:v>
      </x:c>
      <x:c r="Y183" s="6" t="str">
        <x:v>1.0513281006655548</x:v>
      </x:c>
      <x:c r="Z183" s="6" t="str">
        <x:v>0.7930399515515713</x:v>
      </x:c>
      <x:c r="AA183" s="6" t="str">
        <x:v>0.5006057947761325</x:v>
      </x:c>
      <x:c r="AB183" s="6" t="str">
        <x:v>-0.1602256759277638</x:v>
      </x:c>
      <x:c r="AC183" s="6" t="str">
        <x:v>-0.020395661398374138</x:v>
      </x:c>
      <x:c r="AD183" s="6" t="str">
        <x:v>2.1130435996588908</x:v>
      </x:c>
      <x:c r="AE183" s="6" t="str">
        <x:v>-0.19517883260924934</x:v>
      </x:c>
      <x:c r="AF183" s="6" t="str">
        <x:v>0.635623390989582</x:v>
      </x:c>
      <x:c r="AG183" s="6" t="str">
        <x:v>0</x:v>
      </x:c>
      <x:c r="AH183" s="6" t="str">
        <x:v>0</x:v>
      </x:c>
      <x:c r="AI183" s="6" t="str">
        <x:v>2025-02</x:v>
      </x:c>
      <x:c r="AJ183" s="9" t="str">
        <x:v>NASA POWER (MERRA-2 meteorology)</x:v>
      </x:c>
      <x:c r="AK183" s="9" t="str">
        <x:v>Badan Informasi Geospasial (BIG)</x:v>
      </x:c>
      <x:c r="AL183" s="9" t="str">
        <x:v>https://power.larc.nasa.gov/docs/services/api/temporal/monthly/</x:v>
      </x:c>
      <x:c r="AM183" s="9" t="str">
        <x:v>https://geoservices.big.go.id/rbi/rest/services/BATASWILAYAH/BATAS_WILAYAH/MapServer/12</x:v>
      </x:c>
    </x:row>
    <x:row r="184" ht="18" customHeight="1">
      <x:c r="A184" s="6" t="str">
        <x:v>18</x:v>
      </x:c>
      <x:c r="B184" s="6" t="str">
        <x:v>LAMPUNG</x:v>
      </x:c>
      <x:c r="C184" s="6" t="str">
        <x:v>2025</x:v>
      </x:c>
      <x:c r="D184" s="6" t="str">
        <x:v>3</x:v>
      </x:c>
      <x:c r="E184" s="6" t="str">
        <x:v>26.27589723559957</x:v>
      </x:c>
      <x:c r="F184" s="9" t="str">
        <x:v>grid_cells_within_BIG_polygon</x:v>
      </x:c>
      <x:c r="G184" s="6" t="str">
        <x:v>10</x:v>
      </x:c>
      <x:c r="H184" s="8" t="str">
        <x:v>87.5716908003072</x:v>
      </x:c>
      <x:c r="I184" s="6" t="str">
        <x:v>6.486629369313304</x:v>
      </x:c>
      <x:c r="J184" s="6" t="str">
        <x:v>31</x:v>
      </x:c>
      <x:c r="K184" s="6" t="str">
        <x:v>201.08551044871243</x:v>
      </x:c>
      <x:c r="L184" s="6" t="str">
        <x:v>25.795522869361914</x:v>
      </x:c>
      <x:c r="M184" s="6" t="str">
        <x:v>0.38527710364337314</x:v>
      </x:c>
      <x:c r="N184" s="6" t="str">
        <x:v>87.1847458085816</x:v>
      </x:c>
      <x:c r="O184" s="6" t="str">
        <x:v>1.0445021342994185</x:v>
      </x:c>
      <x:c r="P184" s="6" t="str">
        <x:v>245.85141993667182</x:v>
      </x:c>
      <x:c r="Q184" s="6" t="str">
        <x:v>85.93646854180965</x:v>
      </x:c>
      <x:c r="R184" s="6" t="str">
        <x:v>0.4803743662376547</x:v>
      </x:c>
      <x:c r="S184" s="8" t="str">
        <x:v>1.2468282223236062</x:v>
      </x:c>
      <x:c r="T184" s="6" t="str">
        <x:v>0.38694499172559915</x:v>
      </x:c>
      <x:c r="U184" s="8" t="str">
        <x:v>0.37045878511788366</x:v>
      </x:c>
      <x:c r="V184" s="6" t="str">
        <x:v>-44.76590948795939</x:v>
      </x:c>
      <x:c r="W184" s="8" t="str">
        <x:v>-0.5209186536002461</x:v>
      </x:c>
      <x:c r="X184" s="6" t="str">
        <x:v>0.748202940601102</x:v>
      </x:c>
      <x:c r="Y184" s="6" t="str">
        <x:v>0.5795888133880561</x:v>
      </x:c>
      <x:c r="Z184" s="6" t="str">
        <x:v>0.8582066587709217</x:v>
      </x:c>
      <x:c r="AA184" s="6" t="str">
        <x:v>-0.40156710304348986</x:v>
      </x:c>
      <x:c r="AB184" s="6" t="str">
        <x:v>0.5006057947761325</x:v>
      </x:c>
      <x:c r="AC184" s="6" t="str">
        <x:v>0.156499158950175</x:v>
      </x:c>
      <x:c r="AD184" s="6" t="str">
        <x:v>-0.010994594080895865</x:v>
      </x:c>
      <x:c r="AE184" s="6" t="str">
        <x:v>2.1130435996588908</x:v>
      </x:c>
      <x:c r="AF184" s="6" t="str">
        <x:v>0.5270434506592497</x:v>
      </x:c>
      <x:c r="AG184" s="6" t="str">
        <x:v>0</x:v>
      </x:c>
      <x:c r="AH184" s="6" t="str">
        <x:v>1</x:v>
      </x:c>
      <x:c r="AI184" s="6" t="str">
        <x:v>2025-03</x:v>
      </x:c>
      <x:c r="AJ184" s="9" t="str">
        <x:v>NASA POWER (MERRA-2 meteorology)</x:v>
      </x:c>
      <x:c r="AK184" s="9" t="str">
        <x:v>Badan Informasi Geospasial (BIG)</x:v>
      </x:c>
      <x:c r="AL184" s="9" t="str">
        <x:v>https://power.larc.nasa.gov/docs/services/api/temporal/monthly/</x:v>
      </x:c>
      <x:c r="AM184" s="9" t="str">
        <x:v>https://geoservices.big.go.id/rbi/rest/services/BATASWILAYAH/BATAS_WILAYAH/MapServer/12</x:v>
      </x:c>
    </x:row>
    <x:row r="185" ht="18" customHeight="1">
      <x:c r="A185" s="6" t="str">
        <x:v>18</x:v>
      </x:c>
      <x:c r="B185" s="6" t="str">
        <x:v>LAMPUNG</x:v>
      </x:c>
      <x:c r="C185" s="6" t="str">
        <x:v>2025</x:v>
      </x:c>
      <x:c r="D185" s="6" t="str">
        <x:v>4</x:v>
      </x:c>
      <x:c r="E185" s="6" t="str">
        <x:v>26.19594651977342</x:v>
      </x:c>
      <x:c r="F185" s="9" t="str">
        <x:v>grid_cells_within_BIG_polygon</x:v>
      </x:c>
      <x:c r="G185" s="6" t="str">
        <x:v>10</x:v>
      </x:c>
      <x:c r="H185" s="8" t="str">
        <x:v>87.02444929739912</x:v>
      </x:c>
      <x:c r="I185" s="6" t="str">
        <x:v>5.085294760834976</x:v>
      </x:c>
      <x:c r="J185" s="6" t="str">
        <x:v>30</x:v>
      </x:c>
      <x:c r="K185" s="6" t="str">
        <x:v>152.55884282504928</x:v>
      </x:c>
      <x:c r="L185" s="6" t="str">
        <x:v>26.07120642058912</x:v>
      </x:c>
      <x:c r="M185" s="6" t="str">
        <x:v>0.3755252148184523</x:v>
      </x:c>
      <x:c r="N185" s="6" t="str">
        <x:v>87.21912858883131</x:v>
      </x:c>
      <x:c r="O185" s="6" t="str">
        <x:v>0.9143460388777088</x:v>
      </x:c>
      <x:c r="P185" s="6" t="str">
        <x:v>195.50891329467507</x:v>
      </x:c>
      <x:c r="Q185" s="6" t="str">
        <x:v>61.31469255758559</x:v>
      </x:c>
      <x:c r="R185" s="6" t="str">
        <x:v>0.12474009918429729</x:v>
      </x:c>
      <x:c r="S185" s="8" t="str">
        <x:v>0.3321750291644275</x:v>
      </x:c>
      <x:c r="T185" s="6" t="str">
        <x:v>-0.19467929143219465</x:v>
      </x:c>
      <x:c r="U185" s="8" t="str">
        <x:v>-0.21291642677333505</x:v>
      </x:c>
      <x:c r="V185" s="6" t="str">
        <x:v>-42.950070469625786</x:v>
      </x:c>
      <x:c r="W185" s="8" t="str">
        <x:v>-0.7004857837179547</x:v>
      </x:c>
      <x:c r="X185" s="6" t="str">
        <x:v>1.2468282223236062</x:v>
      </x:c>
      <x:c r="Y185" s="6" t="str">
        <x:v>0.748202940601102</x:v>
      </x:c>
      <x:c r="Z185" s="6" t="str">
        <x:v>0.7757353973630455</x:v>
      </x:c>
      <x:c r="AA185" s="6" t="str">
        <x:v>0.37045878511788366</x:v>
      </x:c>
      <x:c r="AB185" s="6" t="str">
        <x:v>-0.40156710304348986</x:v>
      </x:c>
      <x:c r="AC185" s="6" t="str">
        <x:v>-0.0813415815663142</x:v>
      </x:c>
      <x:c r="AD185" s="6" t="str">
        <x:v>-0.5209186536002461</x:v>
      </x:c>
      <x:c r="AE185" s="6" t="str">
        <x:v>-0.010994594080895865</x:v>
      </x:c>
      <x:c r="AF185" s="6" t="str">
        <x:v>-0.41079967713303206</x:v>
      </x:c>
      <x:c r="AG185" s="6" t="str">
        <x:v>0</x:v>
      </x:c>
      <x:c r="AH185" s="6" t="str">
        <x:v>0</x:v>
      </x:c>
      <x:c r="AI185" s="6" t="str">
        <x:v>2025-04</x:v>
      </x:c>
      <x:c r="AJ185" s="9" t="str">
        <x:v>NASA POWER (MERRA-2 meteorology)</x:v>
      </x:c>
      <x:c r="AK185" s="9" t="str">
        <x:v>Badan Informasi Geospasial (BIG)</x:v>
      </x:c>
      <x:c r="AL185" s="9" t="str">
        <x:v>https://power.larc.nasa.gov/docs/services/api/temporal/monthly/</x:v>
      </x:c>
      <x:c r="AM185" s="9" t="str">
        <x:v>https://geoservices.big.go.id/rbi/rest/services/BATASWILAYAH/BATAS_WILAYAH/MapServer/12</x:v>
      </x:c>
    </x:row>
    <x:row r="186" ht="18" customHeight="1">
      <x:c r="A186" s="6" t="str">
        <x:v>18</x:v>
      </x:c>
      <x:c r="B186" s="6" t="str">
        <x:v>LAMPUNG</x:v>
      </x:c>
      <x:c r="C186" s="6" t="str">
        <x:v>2025</x:v>
      </x:c>
      <x:c r="D186" s="6" t="str">
        <x:v>5</x:v>
      </x:c>
      <x:c r="E186" s="6" t="str">
        <x:v>26.676958606154813</x:v>
      </x:c>
      <x:c r="F186" s="9" t="str">
        <x:v>grid_cells_within_BIG_polygon</x:v>
      </x:c>
      <x:c r="G186" s="6" t="str">
        <x:v>10</x:v>
      </x:c>
      <x:c r="H186" s="8" t="str">
        <x:v>86.54135944548626</x:v>
      </x:c>
      <x:c r="I186" s="6" t="str">
        <x:v>4.755946500430862</x:v>
      </x:c>
      <x:c r="J186" s="6" t="str">
        <x:v>31</x:v>
      </x:c>
      <x:c r="K186" s="6" t="str">
        <x:v>147.4343415133567</x:v>
      </x:c>
      <x:c r="L186" s="6" t="str">
        <x:v>26.19923020415573</x:v>
      </x:c>
      <x:c r="M186" s="6" t="str">
        <x:v>0.34822955652392357</x:v>
      </x:c>
      <x:c r="N186" s="6" t="str">
        <x:v>86.73893045986866</x:v>
      </x:c>
      <x:c r="O186" s="6" t="str">
        <x:v>1.1004964080194464</x:v>
      </x:c>
      <x:c r="P186" s="6" t="str">
        <x:v>128.35762453047457</x:v>
      </x:c>
      <x:c r="Q186" s="6" t="str">
        <x:v>49.90238969678764</x:v>
      </x:c>
      <x:c r="R186" s="6" t="str">
        <x:v>0.47772840199908373</x:v>
      </x:c>
      <x:c r="S186" s="8" t="str">
        <x:v>1.3718778117740373</x:v>
      </x:c>
      <x:c r="T186" s="6" t="str">
        <x:v>-0.19757101438239033</x:v>
      </x:c>
      <x:c r="U186" s="8" t="str">
        <x:v>-0.17952899522676055</x:v>
      </x:c>
      <x:c r="V186" s="6" t="str">
        <x:v>19.076716982882147</x:v>
      </x:c>
      <x:c r="W186" s="8" t="str">
        <x:v>0.382280630222207</x:v>
      </x:c>
      <x:c r="X186" s="6" t="str">
        <x:v>0.3321750291644275</x:v>
      </x:c>
      <x:c r="Y186" s="6" t="str">
        <x:v>1.2468282223236062</x:v>
      </x:c>
      <x:c r="Z186" s="6" t="str">
        <x:v>0.9836270210873573</x:v>
      </x:c>
      <x:c r="AA186" s="6" t="str">
        <x:v>-0.21291642677333505</x:v>
      </x:c>
      <x:c r="AB186" s="6" t="str">
        <x:v>0.37045878511788366</x:v>
      </x:c>
      <x:c r="AC186" s="6" t="str">
        <x:v>-0.00732887896073776</x:v>
      </x:c>
      <x:c r="AD186" s="6" t="str">
        <x:v>-0.7004857837179547</x:v>
      </x:c>
      <x:c r="AE186" s="6" t="str">
        <x:v>-0.5209186536002461</x:v>
      </x:c>
      <x:c r="AF186" s="6" t="str">
        <x:v>-0.2797079356986645</x:v>
      </x:c>
      <x:c r="AG186" s="6" t="str">
        <x:v>0</x:v>
      </x:c>
      <x:c r="AH186" s="6" t="str">
        <x:v>1</x:v>
      </x:c>
      <x:c r="AI186" s="6" t="str">
        <x:v>2025-05</x:v>
      </x:c>
      <x:c r="AJ186" s="9" t="str">
        <x:v>NASA POWER (MERRA-2 meteorology)</x:v>
      </x:c>
      <x:c r="AK186" s="9" t="str">
        <x:v>Badan Informasi Geospasial (BIG)</x:v>
      </x:c>
      <x:c r="AL186" s="9" t="str">
        <x:v>https://power.larc.nasa.gov/docs/services/api/temporal/monthly/</x:v>
      </x:c>
      <x:c r="AM186" s="9" t="str">
        <x:v>https://geoservices.big.go.id/rbi/rest/services/BATASWILAYAH/BATAS_WILAYAH/MapServer/12</x:v>
      </x:c>
    </x:row>
    <x:row r="187" ht="18" customHeight="1">
      <x:c r="A187" s="6" t="str">
        <x:v>18</x:v>
      </x:c>
      <x:c r="B187" s="6" t="str">
        <x:v>LAMPUNG</x:v>
      </x:c>
      <x:c r="C187" s="6" t="str">
        <x:v>2025</x:v>
      </x:c>
      <x:c r="D187" s="6" t="str">
        <x:v>6</x:v>
      </x:c>
      <x:c r="E187" s="6" t="str">
        <x:v>26.101899360462596</x:v>
      </x:c>
      <x:c r="F187" s="9" t="str">
        <x:v>grid_cells_within_BIG_polygon</x:v>
      </x:c>
      <x:c r="G187" s="6" t="str">
        <x:v>10</x:v>
      </x:c>
      <x:c r="H187" s="8" t="str">
        <x:v>86.94560835857828</x:v>
      </x:c>
      <x:c r="I187" s="6" t="str">
        <x:v>6.6486711716111255</x:v>
      </x:c>
      <x:c r="J187" s="6" t="str">
        <x:v>30</x:v>
      </x:c>
      <x:c r="K187" s="6" t="str">
        <x:v>199.46013514833376</x:v>
      </x:c>
      <x:c r="L187" s="6" t="str">
        <x:v>25.747906924549376</x:v>
      </x:c>
      <x:c r="M187" s="6" t="str">
        <x:v>0.329831414650843</x:v>
      </x:c>
      <x:c r="N187" s="6" t="str">
        <x:v>85.70324445163259</x:v>
      </x:c>
      <x:c r="O187" s="6" t="str">
        <x:v>2.029765023595686</x:v>
      </x:c>
      <x:c r="P187" s="6" t="str">
        <x:v>93.62961346185766</x:v>
      </x:c>
      <x:c r="Q187" s="6" t="str">
        <x:v>57.41625852064678</x:v>
      </x:c>
      <x:c r="R187" s="6" t="str">
        <x:v>0.35399243591322005</x:v>
      </x:c>
      <x:c r="S187" s="8" t="str">
        <x:v>1.0732526381331922</x:v>
      </x:c>
      <x:c r="T187" s="6" t="str">
        <x:v>1.2423639069456982</x:v>
      </x:c>
      <x:c r="U187" s="8" t="str">
        <x:v>0.6120727732044947</x:v>
      </x:c>
      <x:c r="V187" s="6" t="str">
        <x:v>105.8305216864761</x:v>
      </x:c>
      <x:c r="W187" s="8" t="str">
        <x:v>1.843215221842079</x:v>
      </x:c>
      <x:c r="X187" s="6" t="str">
        <x:v>1.3718778117740373</x:v>
      </x:c>
      <x:c r="Y187" s="6" t="str">
        <x:v>0.3321750291644275</x:v>
      </x:c>
      <x:c r="Z187" s="6" t="str">
        <x:v>0.925768493023886</x:v>
      </x:c>
      <x:c r="AA187" s="6" t="str">
        <x:v>-0.17952899522676055</x:v>
      </x:c>
      <x:c r="AB187" s="6" t="str">
        <x:v>-0.21291642677333505</x:v>
      </x:c>
      <x:c r="AC187" s="6" t="str">
        <x:v>0.0732091170681326</x:v>
      </x:c>
      <x:c r="AD187" s="6" t="str">
        <x:v>0.382280630222207</x:v>
      </x:c>
      <x:c r="AE187" s="6" t="str">
        <x:v>-0.7004857837179547</x:v>
      </x:c>
      <x:c r="AF187" s="6" t="str">
        <x:v>0.5083366894487772</x:v>
      </x:c>
      <x:c r="AG187" s="6" t="str">
        <x:v>1</x:v>
      </x:c>
      <x:c r="AH187" s="6" t="str">
        <x:v>1</x:v>
      </x:c>
      <x:c r="AI187" s="6" t="str">
        <x:v>2025-06</x:v>
      </x:c>
      <x:c r="AJ187" s="9" t="str">
        <x:v>NASA POWER (MERRA-2 meteorology)</x:v>
      </x:c>
      <x:c r="AK187" s="9" t="str">
        <x:v>Badan Informasi Geospasial (BIG)</x:v>
      </x:c>
      <x:c r="AL187" s="9" t="str">
        <x:v>https://power.larc.nasa.gov/docs/services/api/temporal/monthly/</x:v>
      </x:c>
      <x:c r="AM187" s="9" t="str">
        <x:v>https://geoservices.big.go.id/rbi/rest/services/BATASWILAYAH/BATAS_WILAYAH/MapServer/12</x:v>
      </x:c>
    </x:row>
    <x:row r="188" ht="18" customHeight="1">
      <x:c r="A188" s="6" t="str">
        <x:v>18</x:v>
      </x:c>
      <x:c r="B188" s="6" t="str">
        <x:v>LAMPUNG</x:v>
      </x:c>
      <x:c r="C188" s="6" t="str">
        <x:v>2025</x:v>
      </x:c>
      <x:c r="D188" s="6" t="str">
        <x:v>7</x:v>
      </x:c>
      <x:c r="E188" s="6" t="str">
        <x:v>25.830905786304868</x:v>
      </x:c>
      <x:c r="F188" s="9" t="str">
        <x:v>grid_cells_within_BIG_polygon</x:v>
      </x:c>
      <x:c r="G188" s="6" t="str">
        <x:v>10</x:v>
      </x:c>
      <x:c r="H188" s="8" t="str">
        <x:v>86.20976455437219</x:v>
      </x:c>
      <x:c r="I188" s="6" t="str">
        <x:v>2.213923401583659</x:v>
      </x:c>
      <x:c r="J188" s="6" t="str">
        <x:v>31</x:v>
      </x:c>
      <x:c r="K188" s="6" t="str">
        <x:v>68.63162544909343</x:v>
      </x:c>
      <x:c r="L188" s="6" t="str">
        <x:v>25.459436542841935</x:v>
      </x:c>
      <x:c r="M188" s="6" t="str">
        <x:v>0.29795787420411035</x:v>
      </x:c>
      <x:c r="N188" s="6" t="str">
        <x:v>83.60578766316598</x:v>
      </x:c>
      <x:c r="O188" s="6" t="str">
        <x:v>3.080535682492445</x:v>
      </x:c>
      <x:c r="P188" s="6" t="str">
        <x:v>90.53248597047124</x:v>
      </x:c>
      <x:c r="Q188" s="6" t="str">
        <x:v>66.03716918872749</x:v>
      </x:c>
      <x:c r="R188" s="6" t="str">
        <x:v>0.37146924346293275</x:v>
      </x:c>
      <x:c r="S188" s="8" t="str">
        <x:v>1.246717323565226</x:v>
      </x:c>
      <x:c r="T188" s="6" t="str">
        <x:v>2.6039768912062016</x:v>
      </x:c>
      <x:c r="U188" s="8" t="str">
        <x:v>0.8453000255784532</x:v>
      </x:c>
      <x:c r="V188" s="6" t="str">
        <x:v>-21.90086052137781</x:v>
      </x:c>
      <x:c r="W188" s="8" t="str">
        <x:v>-0.33164444797425197</x:v>
      </x:c>
      <x:c r="X188" s="6" t="str">
        <x:v>1.0732526381331922</x:v>
      </x:c>
      <x:c r="Y188" s="6" t="str">
        <x:v>1.3718778117740373</x:v>
      </x:c>
      <x:c r="Z188" s="6" t="str">
        <x:v>1.2306159244908186</x:v>
      </x:c>
      <x:c r="AA188" s="6" t="str">
        <x:v>0.6120727732044947</x:v>
      </x:c>
      <x:c r="AB188" s="6" t="str">
        <x:v>-0.17952899522676055</x:v>
      </x:c>
      <x:c r="AC188" s="6" t="str">
        <x:v>0.4259479345187287</x:v>
      </x:c>
      <x:c r="AD188" s="6" t="str">
        <x:v>1.843215221842079</x:v>
      </x:c>
      <x:c r="AE188" s="6" t="str">
        <x:v>0.382280630222207</x:v>
      </x:c>
      <x:c r="AF188" s="6" t="str">
        <x:v>0.6312838013633448</x:v>
      </x:c>
      <x:c r="AG188" s="6" t="str">
        <x:v>0</x:v>
      </x:c>
      <x:c r="AH188" s="6" t="str">
        <x:v>1</x:v>
      </x:c>
      <x:c r="AI188" s="6" t="str">
        <x:v>2025-07</x:v>
      </x:c>
      <x:c r="AJ188" s="9" t="str">
        <x:v>NASA POWER (MERRA-2 meteorology)</x:v>
      </x:c>
      <x:c r="AK188" s="9" t="str">
        <x:v>Badan Informasi Geospasial (BIG)</x:v>
      </x:c>
      <x:c r="AL188" s="9" t="str">
        <x:v>https://power.larc.nasa.gov/docs/services/api/temporal/monthly/</x:v>
      </x:c>
      <x:c r="AM188" s="9" t="str">
        <x:v>https://geoservices.big.go.id/rbi/rest/services/BATASWILAYAH/BATAS_WILAYAH/MapServer/12</x:v>
      </x:c>
    </x:row>
    <x:row r="189" ht="18" customHeight="1">
      <x:c r="A189" s="6" t="str">
        <x:v>18</x:v>
      </x:c>
      <x:c r="B189" s="6" t="str">
        <x:v>LAMPUNG</x:v>
      </x:c>
      <x:c r="C189" s="6" t="str">
        <x:v>2025</x:v>
      </x:c>
      <x:c r="D189" s="6" t="str">
        <x:v>8</x:v>
      </x:c>
      <x:c r="E189" s="6" t="str">
        <x:v>25.904902671418903</x:v>
      </x:c>
      <x:c r="F189" s="9" t="str">
        <x:v>grid_cells_within_BIG_polygon</x:v>
      </x:c>
      <x:c r="G189" s="6" t="str">
        <x:v>10</x:v>
      </x:c>
      <x:c r="H189" s="8" t="str">
        <x:v>84.53287731486466</x:v>
      </x:c>
      <x:c r="I189" s="6" t="str">
        <x:v>3.644938979517649</x:v>
      </x:c>
      <x:c r="J189" s="6" t="str">
        <x:v>31</x:v>
      </x:c>
      <x:c r="K189" s="6" t="str">
        <x:v>112.99310836504712</x:v>
      </x:c>
      <x:c r="L189" s="6" t="str">
        <x:v>25.840959145013862</x:v>
      </x:c>
      <x:c r="M189" s="6" t="str">
        <x:v>0.41648639512482005</x:v>
      </x:c>
      <x:c r="N189" s="6" t="str">
        <x:v>79.22147616423754</x:v>
      </x:c>
      <x:c r="O189" s="6" t="str">
        <x:v>4.6445861379448505</x:v>
      </x:c>
      <x:c r="P189" s="6" t="str">
        <x:v>62.9723205209142</x:v>
      </x:c>
      <x:c r="Q189" s="6" t="str">
        <x:v>52.437503592399544</x:v>
      </x:c>
      <x:c r="R189" s="6" t="str">
        <x:v>0.06394352640504053</x:v>
      </x:c>
      <x:c r="S189" s="8" t="str">
        <x:v>0.15353088877219337</x:v>
      </x:c>
      <x:c r="T189" s="6" t="str">
        <x:v>5.31140115062712</x:v>
      </x:c>
      <x:c r="U189" s="8" t="str">
        <x:v>1.1435682303821635</x:v>
      </x:c>
      <x:c r="V189" s="6" t="str">
        <x:v>50.02078784413292</x:v>
      </x:c>
      <x:c r="W189" s="8" t="str">
        <x:v>0.9539124561105744</x:v>
      </x:c>
      <x:c r="X189" s="6" t="str">
        <x:v>1.246717323565226</x:v>
      </x:c>
      <x:c r="Y189" s="6" t="str">
        <x:v>1.0732526381331922</x:v>
      </x:c>
      <x:c r="Z189" s="6" t="str">
        <x:v>0.8245002834902042</x:v>
      </x:c>
      <x:c r="AA189" s="6" t="str">
        <x:v>0.8453000255784532</x:v>
      </x:c>
      <x:c r="AB189" s="6" t="str">
        <x:v>0.6120727732044947</x:v>
      </x:c>
      <x:c r="AC189" s="6" t="str">
        <x:v>0.8669803430550367</x:v>
      </x:c>
      <x:c r="AD189" s="6" t="str">
        <x:v>-0.33164444797425197</x:v>
      </x:c>
      <x:c r="AE189" s="6" t="str">
        <x:v>1.843215221842079</x:v>
      </x:c>
      <x:c r="AF189" s="6" t="str">
        <x:v>0.821827743326134</x:v>
      </x:c>
      <x:c r="AG189" s="6" t="str">
        <x:v>0</x:v>
      </x:c>
      <x:c r="AH189" s="6" t="str">
        <x:v>0</x:v>
      </x:c>
      <x:c r="AI189" s="6" t="str">
        <x:v>2025-08</x:v>
      </x:c>
      <x:c r="AJ189" s="9" t="str">
        <x:v>NASA POWER (MERRA-2 meteorology)</x:v>
      </x:c>
      <x:c r="AK189" s="9" t="str">
        <x:v>Badan Informasi Geospasial (BIG)</x:v>
      </x:c>
      <x:c r="AL189" s="9" t="str">
        <x:v>https://power.larc.nasa.gov/docs/services/api/temporal/monthly/</x:v>
      </x:c>
      <x:c r="AM189" s="9" t="str">
        <x:v>https://geoservices.big.go.id/rbi/rest/services/BATASWILAYAH/BATAS_WILAYAH/MapServer/12</x:v>
      </x:c>
    </x:row>
    <x:row r="190" ht="18" customHeight="1">
      <x:c r="A190" s="6" t="str">
        <x:v>18</x:v>
      </x:c>
      <x:c r="B190" s="6" t="str">
        <x:v>LAMPUNG</x:v>
      </x:c>
      <x:c r="C190" s="6" t="str">
        <x:v>2025</x:v>
      </x:c>
      <x:c r="D190" s="6" t="str">
        <x:v>9</x:v>
      </x:c>
      <x:c r="E190" s="6" t="str">
        <x:v>26.25192386444156</x:v>
      </x:c>
      <x:c r="F190" s="9" t="str">
        <x:v>grid_cells_within_BIG_polygon</x:v>
      </x:c>
      <x:c r="G190" s="6" t="str">
        <x:v>10</x:v>
      </x:c>
      <x:c r="H190" s="8" t="str">
        <x:v>84.72658743995875</x:v>
      </x:c>
      <x:c r="I190" s="6" t="str">
        <x:v>6.6949548585699565</x:v>
      </x:c>
      <x:c r="J190" s="6" t="str">
        <x:v>30</x:v>
      </x:c>
      <x:c r="K190" s="6" t="str">
        <x:v>200.8486457570987</x:v>
      </x:c>
      <x:c r="L190" s="6" t="str">
        <x:v>26.491770543049654</x:v>
      </x:c>
      <x:c r="M190" s="6" t="str">
        <x:v>0.4923732218407871</x:v>
      </x:c>
      <x:c r="N190" s="6" t="str">
        <x:v>75.94332018979972</x:v>
      </x:c>
      <x:c r="O190" s="6" t="str">
        <x:v>6.108672077643044</x:v>
      </x:c>
      <x:c r="P190" s="6" t="str">
        <x:v>74.90691945067137</x:v>
      </x:c>
      <x:c r="Q190" s="6" t="str">
        <x:v>65.39355298533901</x:v>
      </x:c>
      <x:c r="R190" s="6" t="str">
        <x:v>-0.2398466786080924</x:v>
      </x:c>
      <x:c r="S190" s="8" t="str">
        <x:v>-0.487123726411037</x:v>
      </x:c>
      <x:c r="T190" s="6" t="str">
        <x:v>8.783267250159028</x:v>
      </x:c>
      <x:c r="U190" s="8" t="str">
        <x:v>1.4378357748658106</x:v>
      </x:c>
      <x:c r="V190" s="6" t="str">
        <x:v>125.94172630642733</x:v>
      </x:c>
      <x:c r="W190" s="8" t="str">
        <x:v>1.925904321709863</x:v>
      </x:c>
      <x:c r="X190" s="6" t="str">
        <x:v>0.15353088877219337</x:v>
      </x:c>
      <x:c r="Y190" s="6" t="str">
        <x:v>1.246717323565226</x:v>
      </x:c>
      <x:c r="Z190" s="6" t="str">
        <x:v>0.3043748286421278</x:v>
      </x:c>
      <x:c r="AA190" s="6" t="str">
        <x:v>1.1435682303821635</x:v>
      </x:c>
      <x:c r="AB190" s="6" t="str">
        <x:v>0.8453000255784532</x:v>
      </x:c>
      <x:c r="AC190" s="6" t="str">
        <x:v>1.1422346769421419</x:v>
      </x:c>
      <x:c r="AD190" s="6" t="str">
        <x:v>0.9539124561105744</x:v>
      </x:c>
      <x:c r="AE190" s="6" t="str">
        <x:v>-0.33164444797425197</x:v>
      </x:c>
      <x:c r="AF190" s="6" t="str">
        <x:v>0.8493907766153953</x:v>
      </x:c>
      <x:c r="AG190" s="6" t="str">
        <x:v>1</x:v>
      </x:c>
      <x:c r="AH190" s="6" t="str">
        <x:v>0</x:v>
      </x:c>
      <x:c r="AI190" s="6" t="str">
        <x:v>2025-09</x:v>
      </x:c>
      <x:c r="AJ190" s="9" t="str">
        <x:v>NASA POWER (MERRA-2 meteorology)</x:v>
      </x:c>
      <x:c r="AK190" s="9" t="str">
        <x:v>Badan Informasi Geospasial (BIG)</x:v>
      </x:c>
      <x:c r="AL190" s="9" t="str">
        <x:v>https://power.larc.nasa.gov/docs/services/api/temporal/monthly/</x:v>
      </x:c>
      <x:c r="AM190" s="9" t="str">
        <x:v>https://geoservices.big.go.id/rbi/rest/services/BATASWILAYAH/BATAS_WILAYAH/MapServer/12</x:v>
      </x:c>
    </x:row>
    <x:row r="191" ht="18" customHeight="1">
      <x:c r="A191" s="6" t="str">
        <x:v>18</x:v>
      </x:c>
      <x:c r="B191" s="6" t="str">
        <x:v>LAMPUNG</x:v>
      </x:c>
      <x:c r="C191" s="6" t="str">
        <x:v>2025</x:v>
      </x:c>
      <x:c r="D191" s="6" t="str">
        <x:v>10</x:v>
      </x:c>
      <x:c r="E191" s="6" t="str">
        <x:v>26.199949741277248</x:v>
      </x:c>
      <x:c r="F191" s="9" t="str">
        <x:v>grid_cells_within_BIG_polygon</x:v>
      </x:c>
      <x:c r="G191" s="6" t="str">
        <x:v>10</x:v>
      </x:c>
      <x:c r="H191" s="8" t="str">
        <x:v>84.762314856731</x:v>
      </x:c>
      <x:c r="I191" s="6" t="str">
        <x:v>7.706840733079235</x:v>
      </x:c>
      <x:c r="J191" s="6" t="str">
        <x:v>31</x:v>
      </x:c>
      <x:c r="K191" s="6" t="str">
        <x:v>238.91206272545628</x:v>
      </x:c>
      <x:c r="L191" s="6" t="str">
        <x:v>26.847275087820396</x:v>
      </x:c>
      <x:c r="M191" s="6" t="str">
        <x:v>0.7972245089845442</x:v>
      </x:c>
      <x:c r="N191" s="6" t="str">
        <x:v>76.54460211200994</x:v>
      </x:c>
      <x:c r="O191" s="6" t="str">
        <x:v>7.62335255796345</x:v>
      </x:c>
      <x:c r="P191" s="6" t="str">
        <x:v>116.05668213979393</x:v>
      </x:c>
      <x:c r="Q191" s="6" t="str">
        <x:v>73.92270736511685</x:v>
      </x:c>
      <x:c r="R191" s="6" t="str">
        <x:v>-0.6473253465431483</x:v>
      </x:c>
      <x:c r="S191" s="8" t="str">
        <x:v>-0.8119737153686755</x:v>
      </x:c>
      <x:c r="T191" s="6" t="str">
        <x:v>8.217712744721055</x:v>
      </x:c>
      <x:c r="U191" s="8" t="str">
        <x:v>1.077965722067613</x:v>
      </x:c>
      <x:c r="V191" s="6" t="str">
        <x:v>122.85538058566235</x:v>
      </x:c>
      <x:c r="W191" s="8" t="str">
        <x:v>1.661943737786262</x:v>
      </x:c>
      <x:c r="X191" s="6" t="str">
        <x:v>-0.487123726411037</x:v>
      </x:c>
      <x:c r="Y191" s="6" t="str">
        <x:v>0.15353088877219337</x:v>
      </x:c>
      <x:c r="Z191" s="6" t="str">
        <x:v>-0.3818555176691727</x:v>
      </x:c>
      <x:c r="AA191" s="6" t="str">
        <x:v>1.4378357748658106</x:v>
      </x:c>
      <x:c r="AB191" s="6" t="str">
        <x:v>1.1435682303821635</x:v>
      </x:c>
      <x:c r="AC191" s="6" t="str">
        <x:v>1.2197899091051954</x:v>
      </x:c>
      <x:c r="AD191" s="6" t="str">
        <x:v>1.925904321709863</x:v>
      </x:c>
      <x:c r="AE191" s="6" t="str">
        <x:v>0.9539124561105744</x:v>
      </x:c>
      <x:c r="AF191" s="6" t="str">
        <x:v>1.5139201718689002</x:v>
      </x:c>
      <x:c r="AG191" s="6" t="str">
        <x:v>1</x:v>
      </x:c>
      <x:c r="AH191" s="6" t="str">
        <x:v>0</x:v>
      </x:c>
      <x:c r="AI191" s="6" t="str">
        <x:v>2025-10</x:v>
      </x:c>
      <x:c r="AJ191" s="9" t="str">
        <x:v>NASA POWER (MERRA-2 meteorology)</x:v>
      </x:c>
      <x:c r="AK191" s="9" t="str">
        <x:v>Badan Informasi Geospasial (BIG)</x:v>
      </x:c>
      <x:c r="AL191" s="9" t="str">
        <x:v>https://power.larc.nasa.gov/docs/services/api/temporal/monthly/</x:v>
      </x:c>
      <x:c r="AM191" s="9" t="str">
        <x:v>https://geoservices.big.go.id/rbi/rest/services/BATASWILAYAH/BATAS_WILAYAH/MapServer/12</x:v>
      </x:c>
    </x:row>
    <x:row r="192" ht="18" customHeight="1">
      <x:c r="A192" s="6" t="str">
        <x:v>18</x:v>
      </x:c>
      <x:c r="B192" s="6" t="str">
        <x:v>LAMPUNG</x:v>
      </x:c>
      <x:c r="C192" s="6" t="str">
        <x:v>2025</x:v>
      </x:c>
      <x:c r="D192" s="6" t="str">
        <x:v>11</x:v>
      </x:c>
      <x:c r="E192" s="6" t="str">
        <x:v>25.87002124476172</x:v>
      </x:c>
      <x:c r="F192" s="9" t="str">
        <x:v>grid_cells_within_BIG_polygon</x:v>
      </x:c>
      <x:c r="G192" s="6" t="str">
        <x:v>10</x:v>
      </x:c>
      <x:c r="H192" s="8" t="str">
        <x:v>86.04606084459569</x:v>
      </x:c>
      <x:c r="I192" s="6" t="str">
        <x:v>6.3163420607300305</x:v>
      </x:c>
      <x:c r="J192" s="6" t="str">
        <x:v>30</x:v>
      </x:c>
      <x:c r="K192" s="6" t="str">
        <x:v>189.4902618219009</x:v>
      </x:c>
      <x:c r="L192" s="6" t="str">
        <x:v>26.557125997291834</x:v>
      </x:c>
      <x:c r="M192" s="6" t="str">
        <x:v>0.9335504477873622</x:v>
      </x:c>
      <x:c r="N192" s="6" t="str">
        <x:v>80.62186322218113</x:v>
      </x:c>
      <x:c r="O192" s="6" t="str">
        <x:v>6.1717481338915015</x:v>
      </x:c>
      <x:c r="P192" s="6" t="str">
        <x:v>185.7861211227681</x:v>
      </x:c>
      <x:c r="Q192" s="6" t="str">
        <x:v>79.80682478961141</x:v>
      </x:c>
      <x:c r="R192" s="6" t="str">
        <x:v>-0.6871047525301144</x:v>
      </x:c>
      <x:c r="S192" s="8" t="str">
        <x:v>-0.7360124502737301</x:v>
      </x:c>
      <x:c r="T192" s="6" t="str">
        <x:v>5.424197622414553</x:v>
      </x:c>
      <x:c r="U192" s="8" t="str">
        <x:v>0.878875402032067</x:v>
      </x:c>
      <x:c r="V192" s="6" t="str">
        <x:v>3.7041406991328074</x:v>
      </x:c>
      <x:c r="W192" s="8" t="str">
        <x:v>0.04641383376544234</x:v>
      </x:c>
      <x:c r="X192" s="6" t="str">
        <x:v>-0.8119737153686755</x:v>
      </x:c>
      <x:c r="Y192" s="6" t="str">
        <x:v>-0.487123726411037</x:v>
      </x:c>
      <x:c r="Z192" s="6" t="str">
        <x:v>-0.6783699640178139</x:v>
      </x:c>
      <x:c r="AA192" s="6" t="str">
        <x:v>1.077965722067613</x:v>
      </x:c>
      <x:c r="AB192" s="6" t="str">
        <x:v>1.4378357748658106</x:v>
      </x:c>
      <x:c r="AC192" s="6" t="str">
        <x:v>1.1315589663218297</x:v>
      </x:c>
      <x:c r="AD192" s="6" t="str">
        <x:v>1.661943737786262</x:v>
      </x:c>
      <x:c r="AE192" s="6" t="str">
        <x:v>1.925904321709863</x:v>
      </x:c>
      <x:c r="AF192" s="6" t="str">
        <x:v>1.2114206310871893</x:v>
      </x:c>
      <x:c r="AG192" s="6" t="str">
        <x:v>0</x:v>
      </x:c>
      <x:c r="AH192" s="6" t="str">
        <x:v>0</x:v>
      </x:c>
      <x:c r="AI192" s="6" t="str">
        <x:v>2025-11</x:v>
      </x:c>
      <x:c r="AJ192" s="9" t="str">
        <x:v>NASA POWER (MERRA-2 meteorology)</x:v>
      </x:c>
      <x:c r="AK192" s="9" t="str">
        <x:v>Badan Informasi Geospasial (BIG)</x:v>
      </x:c>
      <x:c r="AL192" s="9" t="str">
        <x:v>https://power.larc.nasa.gov/docs/services/api/temporal/monthly/</x:v>
      </x:c>
      <x:c r="AM192" s="9" t="str">
        <x:v>https://geoservices.big.go.id/rbi/rest/services/BATASWILAYAH/BATAS_WILAYAH/MapServer/12</x:v>
      </x:c>
    </x:row>
    <x:row r="193" ht="18" customHeight="1">
      <x:c r="A193" s="6" t="str">
        <x:v>18</x:v>
      </x:c>
      <x:c r="B193" s="6" t="str">
        <x:v>LAMPUNG</x:v>
      </x:c>
      <x:c r="C193" s="6" t="str">
        <x:v>2025</x:v>
      </x:c>
      <x:c r="D193" s="6" t="str">
        <x:v>12</x:v>
      </x:c>
      <x:c r="E193" s="6" t="str">
        <x:v>25.81996604111968</x:v>
      </x:c>
      <x:c r="F193" s="9" t="str">
        <x:v>grid_cells_within_BIG_polygon</x:v>
      </x:c>
      <x:c r="G193" s="6" t="str">
        <x:v>10</x:v>
      </x:c>
      <x:c r="H193" s="8" t="str">
        <x:v>87.82039959267807</x:v>
      </x:c>
      <x:c r="I193" s="6" t="str">
        <x:v>12.709141986362285</x:v>
      </x:c>
      <x:c r="J193" s="6" t="str">
        <x:v>31</x:v>
      </x:c>
      <x:c r="K193" s="6" t="str">
        <x:v>393.98340157723084</x:v>
      </x:c>
      <x:c r="L193" s="6" t="str">
        <x:v>25.76314776657419</x:v>
      </x:c>
      <x:c r="M193" s="6" t="str">
        <x:v>0.5838363389343837</x:v>
      </x:c>
      <x:c r="N193" s="6" t="str">
        <x:v>85.61366812261414</x:v>
      </x:c>
      <x:c r="O193" s="6" t="str">
        <x:v>2.586580746423939</x:v>
      </x:c>
      <x:c r="P193" s="6" t="str">
        <x:v>269.9280093341602</x:v>
      </x:c>
      <x:c r="Q193" s="6" t="str">
        <x:v>87.39343012379328</x:v>
      </x:c>
      <x:c r="R193" s="6" t="str">
        <x:v>0.05681827454549193</x:v>
      </x:c>
      <x:c r="S193" s="8" t="str">
        <x:v>0.09731883878484932</x:v>
      </x:c>
      <x:c r="T193" s="6" t="str">
        <x:v>2.2067314700639287</x:v>
      </x:c>
      <x:c r="U193" s="8" t="str">
        <x:v>0.8531461749705016</x:v>
      </x:c>
      <x:c r="V193" s="6" t="str">
        <x:v>124.05539224307063</x:v>
      </x:c>
      <x:c r="W193" s="8" t="str">
        <x:v>1.4195047850547287</x:v>
      </x:c>
      <x:c r="X193" s="6" t="str">
        <x:v>-0.7360124502737301</x:v>
      </x:c>
      <x:c r="Y193" s="6" t="str">
        <x:v>-0.8119737153686755</x:v>
      </x:c>
      <x:c r="Z193" s="6" t="str">
        <x:v>-0.48355577561918506</x:v>
      </x:c>
      <x:c r="AA193" s="6" t="str">
        <x:v>0.878875402032067</x:v>
      </x:c>
      <x:c r="AB193" s="6" t="str">
        <x:v>1.077965722067613</x:v>
      </x:c>
      <x:c r="AC193" s="6" t="str">
        <x:v>0.9366624330233934</x:v>
      </x:c>
      <x:c r="AD193" s="6" t="str">
        <x:v>0.04641383376544234</x:v>
      </x:c>
      <x:c r="AE193" s="6" t="str">
        <x:v>1.661943737786262</x:v>
      </x:c>
      <x:c r="AF193" s="6" t="str">
        <x:v>1.0426207855354779</x:v>
      </x:c>
      <x:c r="AG193" s="6" t="str">
        <x:v>1</x:v>
      </x:c>
      <x:c r="AH193" s="6" t="str">
        <x:v>0</x:v>
      </x:c>
      <x:c r="AI193" s="6" t="str">
        <x:v>2025-12</x:v>
      </x:c>
      <x:c r="AJ193" s="9" t="str">
        <x:v>NASA POWER (MERRA-2 meteorology)</x:v>
      </x:c>
      <x:c r="AK193" s="9" t="str">
        <x:v>Badan Informasi Geospasial (BIG)</x:v>
      </x:c>
      <x:c r="AL193" s="9" t="str">
        <x:v>https://power.larc.nasa.gov/docs/services/api/temporal/monthly/</x:v>
      </x:c>
      <x:c r="AM193" s="9" t="str">
        <x:v>https://geoservices.big.go.id/rbi/rest/services/BATASWILAYAH/BATAS_WILAYAH/MapServer/12</x:v>
      </x:c>
    </x:row>
    <x:row r="194" ht="18" customHeight="1">
      <x:c r="A194" s="6" t="str">
        <x:v>19</x:v>
      </x:c>
      <x:c r="B194" s="6" t="str">
        <x:v>KEP. BANGKA BELITUNG</x:v>
      </x:c>
      <x:c r="C194" s="6" t="str">
        <x:v>2024</x:v>
      </x:c>
      <x:c r="D194" s="6" t="str">
        <x:v>1</x:v>
      </x:c>
      <x:c r="E194" s="6" t="str">
        <x:v>27.77792227647408</x:v>
      </x:c>
      <x:c r="F194" s="9" t="str">
        <x:v>grid_cells_within_BIG_polygon</x:v>
      </x:c>
      <x:c r="G194" s="6" t="str">
        <x:v>5</x:v>
      </x:c>
      <x:c r="H194" s="8" t="str">
        <x:v>85.22831165578167</x:v>
      </x:c>
      <x:c r="I194" s="6" t="str">
        <x:v>9.596152005416654</x:v>
      </x:c>
      <x:c r="J194" s="6" t="str">
        <x:v>31</x:v>
      </x:c>
      <x:c r="K194" s="6" t="str">
        <x:v>297.4807121679163</x:v>
      </x:c>
      <x:c r="L194" s="6" t="str">
        <x:v>26.85031377572744</x:v>
      </x:c>
      <x:c r="M194" s="6" t="str">
        <x:v>0.4265108558288052</x:v>
      </x:c>
      <x:c r="N194" s="6" t="str">
        <x:v>85.48684088041111</x:v>
      </x:c>
      <x:c r="O194" s="6" t="str">
        <x:v>1.3823025166801859</x:v>
      </x:c>
      <x:c r="P194" s="6" t="str">
        <x:v>239.6150091430679</x:v>
      </x:c>
      <x:c r="Q194" s="6" t="str">
        <x:v>67.10246971820281</x:v>
      </x:c>
      <x:c r="R194" s="6" t="str">
        <x:v>0.9276085007466399</x:v>
      </x:c>
      <x:c r="S194" s="8" t="str">
        <x:v>2.1748766486707374</x:v>
      </x:c>
      <x:c r="T194" s="6" t="str">
        <x:v>-0.2585292246294415</x:v>
      </x:c>
      <x:c r="U194" s="8" t="str">
        <x:v>-0.18702796349553033</x:v>
      </x:c>
      <x:c r="V194" s="6" t="str">
        <x:v>57.865703024848386</x:v>
      </x:c>
      <x:c r="W194" s="8" t="str">
        <x:v>0.8623483348355988</x:v>
      </x:c>
      <x:c r="X194" s="6" t="str">
        <x:v>3.1049134955448148</x:v>
      </x:c>
      <x:c r="Y194" s="6" t="str">
        <x:v>3.015752824260623</x:v>
      </x:c>
      <x:c r="Z194" s="6" t="str">
        <x:v>2.765180989492059</x:v>
      </x:c>
      <x:c r="AA194" s="6" t="str">
        <x:v>-1.440998166205488</x:v>
      </x:c>
      <x:c r="AB194" s="6" t="str">
        <x:v>-1.4833139693034871</x:v>
      </x:c>
      <x:c r="AC194" s="6" t="str">
        <x:v>-1.0371133663348338</x:v>
      </x:c>
      <x:c r="AD194" s="6" t="str">
        <x:v>-0.7855955354876771</x:v>
      </x:c>
      <x:c r="AE194" s="6" t="str">
        <x:v>-1.2186602843070278</x:v>
      </x:c>
      <x:c r="AF194" s="6" t="str">
        <x:v>-0.38063582831970244</x:v>
      </x:c>
      <x:c r="AG194" s="6" t="str">
        <x:v>0</x:v>
      </x:c>
      <x:c r="AH194" s="6" t="str">
        <x:v>1</x:v>
      </x:c>
      <x:c r="AI194" s="6" t="str">
        <x:v>2024-01</x:v>
      </x:c>
      <x:c r="AJ194" s="9" t="str">
        <x:v>NASA POWER (MERRA-2 meteorology)</x:v>
      </x:c>
      <x:c r="AK194" s="9" t="str">
        <x:v>Badan Informasi Geospasial (BIG)</x:v>
      </x:c>
      <x:c r="AL194" s="9" t="str">
        <x:v>https://power.larc.nasa.gov/docs/services/api/temporal/monthly/</x:v>
      </x:c>
      <x:c r="AM194" s="9" t="str">
        <x:v>https://geoservices.big.go.id/rbi/rest/services/BATASWILAYAH/BATAS_WILAYAH/MapServer/12</x:v>
      </x:c>
    </x:row>
    <x:row r="195" ht="18" customHeight="1">
      <x:c r="A195" s="6" t="str">
        <x:v>19</x:v>
      </x:c>
      <x:c r="B195" s="6" t="str">
        <x:v>KEP. BANGKA BELITUNG</x:v>
      </x:c>
      <x:c r="C195" s="6" t="str">
        <x:v>2024</x:v>
      </x:c>
      <x:c r="D195" s="6" t="str">
        <x:v>2</x:v>
      </x:c>
      <x:c r="E195" s="6" t="str">
        <x:v>27.92392748979974</x:v>
      </x:c>
      <x:c r="F195" s="9" t="str">
        <x:v>grid_cells_within_BIG_polygon</x:v>
      </x:c>
      <x:c r="G195" s="6" t="str">
        <x:v>5</x:v>
      </x:c>
      <x:c r="H195" s="8" t="str">
        <x:v>85.37839046021989</x:v>
      </x:c>
      <x:c r="I195" s="6" t="str">
        <x:v>7.612524267953993</x:v>
      </x:c>
      <x:c r="J195" s="6" t="str">
        <x:v>29</x:v>
      </x:c>
      <x:c r="K195" s="6" t="str">
        <x:v>220.7632037706658</x:v>
      </x:c>
      <x:c r="L195" s="6" t="str">
        <x:v>26.877268170274583</x:v>
      </x:c>
      <x:c r="M195" s="6" t="str">
        <x:v>0.43979679089375184</x:v>
      </x:c>
      <x:c r="N195" s="6" t="str">
        <x:v>84.87684160515339</x:v>
      </x:c>
      <x:c r="O195" s="6" t="str">
        <x:v>1.4248465404082309</x:v>
      </x:c>
      <x:c r="P195" s="6" t="str">
        <x:v>182.7240288852491</x:v>
      </x:c>
      <x:c r="Q195" s="6" t="str">
        <x:v>71.40317221675264</x:v>
      </x:c>
      <x:c r="R195" s="6" t="str">
        <x:v>1.0466593195251583</x:v>
      </x:c>
      <x:c r="S195" s="8" t="str">
        <x:v>2.379870297366529</x:v>
      </x:c>
      <x:c r="T195" s="6" t="str">
        <x:v>0.5015488550665026</x:v>
      </x:c>
      <x:c r="U195" s="8" t="str">
        <x:v>0.35200201624717037</x:v>
      </x:c>
      <x:c r="V195" s="6" t="str">
        <x:v>38.039174885416685</x:v>
      </x:c>
      <x:c r="W195" s="8" t="str">
        <x:v>0.5327378841089069</x:v>
      </x:c>
      <x:c r="X195" s="6" t="str">
        <x:v>2.1748766486707374</x:v>
      </x:c>
      <x:c r="Y195" s="6" t="str">
        <x:v>3.1049134955448148</x:v>
      </x:c>
      <x:c r="Z195" s="6" t="str">
        <x:v>2.5532201471940277</x:v>
      </x:c>
      <x:c r="AA195" s="6" t="str">
        <x:v>-0.18702796349553033</x:v>
      </x:c>
      <x:c r="AB195" s="6" t="str">
        <x:v>-1.440998166205488</x:v>
      </x:c>
      <x:c r="AC195" s="6" t="str">
        <x:v>-0.4253413711512814</x:v>
      </x:c>
      <x:c r="AD195" s="6" t="str">
        <x:v>0.8623483348355988</x:v>
      </x:c>
      <x:c r="AE195" s="6" t="str">
        <x:v>-0.7855955354876771</x:v>
      </x:c>
      <x:c r="AF195" s="6" t="str">
        <x:v>0.20316356115227588</x:v>
      </x:c>
      <x:c r="AG195" s="6" t="str">
        <x:v>0</x:v>
      </x:c>
      <x:c r="AH195" s="6" t="str">
        <x:v>1</x:v>
      </x:c>
      <x:c r="AI195" s="6" t="str">
        <x:v>2024-02</x:v>
      </x:c>
      <x:c r="AJ195" s="9" t="str">
        <x:v>NASA POWER (MERRA-2 meteorology)</x:v>
      </x:c>
      <x:c r="AK195" s="9" t="str">
        <x:v>Badan Informasi Geospasial (BIG)</x:v>
      </x:c>
      <x:c r="AL195" s="9" t="str">
        <x:v>https://power.larc.nasa.gov/docs/services/api/temporal/monthly/</x:v>
      </x:c>
      <x:c r="AM195" s="9" t="str">
        <x:v>https://geoservices.big.go.id/rbi/rest/services/BATASWILAYAH/BATAS_WILAYAH/MapServer/12</x:v>
      </x:c>
    </x:row>
    <x:row r="196" ht="18" customHeight="1">
      <x:c r="A196" s="6" t="str">
        <x:v>19</x:v>
      </x:c>
      <x:c r="B196" s="6" t="str">
        <x:v>KEP. BANGKA BELITUNG</x:v>
      </x:c>
      <x:c r="C196" s="6" t="str">
        <x:v>2024</x:v>
      </x:c>
      <x:c r="D196" s="6" t="str">
        <x:v>3</x:v>
      </x:c>
      <x:c r="E196" s="6" t="str">
        <x:v>28.233940827306178</x:v>
      </x:c>
      <x:c r="F196" s="9" t="str">
        <x:v>grid_cells_within_BIG_polygon</x:v>
      </x:c>
      <x:c r="G196" s="6" t="str">
        <x:v>5</x:v>
      </x:c>
      <x:c r="H196" s="8" t="str">
        <x:v>83.65833406156649</x:v>
      </x:c>
      <x:c r="I196" s="6" t="str">
        <x:v>8.234092113776287</x:v>
      </x:c>
      <x:c r="J196" s="6" t="str">
        <x:v>31</x:v>
      </x:c>
      <x:c r="K196" s="6" t="str">
        <x:v>255.2568555270649</x:v>
      </x:c>
      <x:c r="L196" s="6" t="str">
        <x:v>27.397007519004383</x:v>
      </x:c>
      <x:c r="M196" s="6" t="str">
        <x:v>0.42197940628092623</x:v>
      </x:c>
      <x:c r="N196" s="6" t="str">
        <x:v>82.62031056583257</x:v>
      </x:c>
      <x:c r="O196" s="6" t="str">
        <x:v>1.6976582672139549</x:v>
      </x:c>
      <x:c r="P196" s="6" t="str">
        <x:v>218.79771564711137</x:v>
      </x:c>
      <x:c r="Q196" s="6" t="str">
        <x:v>54.56351973179262</x:v>
      </x:c>
      <x:c r="R196" s="6" t="str">
        <x:v>0.8369333083017949</x:v>
      </x:c>
      <x:c r="S196" s="8" t="str">
        <x:v>1.983351073167347</x:v>
      </x:c>
      <x:c r="T196" s="6" t="str">
        <x:v>1.038023495733924</x:v>
      </x:c>
      <x:c r="U196" s="8" t="str">
        <x:v>0.6114443146661286</x:v>
      </x:c>
      <x:c r="V196" s="6" t="str">
        <x:v>36.45913987995351</x:v>
      </x:c>
      <x:c r="W196" s="8" t="str">
        <x:v>0.6681962611497331</x:v>
      </x:c>
      <x:c r="X196" s="6" t="str">
        <x:v>2.379870297366529</x:v>
      </x:c>
      <x:c r="Y196" s="6" t="str">
        <x:v>2.1748766486707374</x:v>
      </x:c>
      <x:c r="Z196" s="6" t="str">
        <x:v>2.1793660064015383</x:v>
      </x:c>
      <x:c r="AA196" s="6" t="str">
        <x:v>0.35200201624717037</x:v>
      </x:c>
      <x:c r="AB196" s="6" t="str">
        <x:v>-0.18702796349553033</x:v>
      </x:c>
      <x:c r="AC196" s="6" t="str">
        <x:v>0.2588061224725909</x:v>
      </x:c>
      <x:c r="AD196" s="6" t="str">
        <x:v>0.5327378841089069</x:v>
      </x:c>
      <x:c r="AE196" s="6" t="str">
        <x:v>0.8623483348355988</x:v>
      </x:c>
      <x:c r="AF196" s="6" t="str">
        <x:v>0.6877608266980793</x:v>
      </x:c>
      <x:c r="AG196" s="6" t="str">
        <x:v>0</x:v>
      </x:c>
      <x:c r="AH196" s="6" t="str">
        <x:v>1</x:v>
      </x:c>
      <x:c r="AI196" s="6" t="str">
        <x:v>2024-03</x:v>
      </x:c>
      <x:c r="AJ196" s="9" t="str">
        <x:v>NASA POWER (MERRA-2 meteorology)</x:v>
      </x:c>
      <x:c r="AK196" s="9" t="str">
        <x:v>Badan Informasi Geospasial (BIG)</x:v>
      </x:c>
      <x:c r="AL196" s="9" t="str">
        <x:v>https://power.larc.nasa.gov/docs/services/api/temporal/monthly/</x:v>
      </x:c>
      <x:c r="AM196" s="9" t="str">
        <x:v>https://geoservices.big.go.id/rbi/rest/services/BATASWILAYAH/BATAS_WILAYAH/MapServer/12</x:v>
      </x:c>
    </x:row>
    <x:row r="197" ht="18" customHeight="1">
      <x:c r="A197" s="6" t="str">
        <x:v>19</x:v>
      </x:c>
      <x:c r="B197" s="6" t="str">
        <x:v>KEP. BANGKA BELITUNG</x:v>
      </x:c>
      <x:c r="C197" s="6" t="str">
        <x:v>2024</x:v>
      </x:c>
      <x:c r="D197" s="6" t="str">
        <x:v>4</x:v>
      </x:c>
      <x:c r="E197" s="6" t="str">
        <x:v>29.19395789942936</x:v>
      </x:c>
      <x:c r="F197" s="9" t="str">
        <x:v>grid_cells_within_BIG_polygon</x:v>
      </x:c>
      <x:c r="G197" s="6" t="str">
        <x:v>5</x:v>
      </x:c>
      <x:c r="H197" s="8" t="str">
        <x:v>80.41827514793897</x:v>
      </x:c>
      <x:c r="I197" s="6" t="str">
        <x:v>8.064225566445213</x:v>
      </x:c>
      <x:c r="J197" s="6" t="str">
        <x:v>30</x:v>
      </x:c>
      <x:c r="K197" s="6" t="str">
        <x:v>241.92676699335638</x:v>
      </x:c>
      <x:c r="L197" s="6" t="str">
        <x:v>27.983275651963243</x:v>
      </x:c>
      <x:c r="M197" s="6" t="str">
        <x:v>0.375194076505039</x:v>
      </x:c>
      <x:c r="N197" s="6" t="str">
        <x:v>80.94331940528755</x:v>
      </x:c>
      <x:c r="O197" s="6" t="str">
        <x:v>1.2421383760977496</x:v>
      </x:c>
      <x:c r="P197" s="6" t="str">
        <x:v>231.93580295332038</x:v>
      </x:c>
      <x:c r="Q197" s="6" t="str">
        <x:v>45.9345342391099</x:v>
      </x:c>
      <x:c r="R197" s="6" t="str">
        <x:v>1.2106822474661172</x:v>
      </x:c>
      <x:c r="S197" s="8" t="str">
        <x:v>3.226815995454175</x:v>
      </x:c>
      <x:c r="T197" s="6" t="str">
        <x:v>-0.5250442573485827</x:v>
      </x:c>
      <x:c r="U197" s="8" t="str">
        <x:v>-0.42269385396338854</x:v>
      </x:c>
      <x:c r="V197" s="6" t="str">
        <x:v>9.990964040036005</x:v>
      </x:c>
      <x:c r="W197" s="8" t="str">
        <x:v>0.21750441591567132</x:v>
      </x:c>
      <x:c r="X197" s="6" t="str">
        <x:v>1.983351073167347</x:v>
      </x:c>
      <x:c r="Y197" s="6" t="str">
        <x:v>2.379870297366529</x:v>
      </x:c>
      <x:c r="Z197" s="6" t="str">
        <x:v>2.530012455329351</x:v>
      </x:c>
      <x:c r="AA197" s="6" t="str">
        <x:v>0.6114443146661286</x:v>
      </x:c>
      <x:c r="AB197" s="6" t="str">
        <x:v>0.35200201624717037</x:v>
      </x:c>
      <x:c r="AC197" s="6" t="str">
        <x:v>0.18025082564997144</x:v>
      </x:c>
      <x:c r="AD197" s="6" t="str">
        <x:v>0.6681962611497331</x:v>
      </x:c>
      <x:c r="AE197" s="6" t="str">
        <x:v>0.5327378841089069</x:v>
      </x:c>
      <x:c r="AF197" s="6" t="str">
        <x:v>0.47281285372477017</x:v>
      </x:c>
      <x:c r="AG197" s="6" t="str">
        <x:v>0</x:v>
      </x:c>
      <x:c r="AH197" s="6" t="str">
        <x:v>1</x:v>
      </x:c>
      <x:c r="AI197" s="6" t="str">
        <x:v>2024-04</x:v>
      </x:c>
      <x:c r="AJ197" s="9" t="str">
        <x:v>NASA POWER (MERRA-2 meteorology)</x:v>
      </x:c>
      <x:c r="AK197" s="9" t="str">
        <x:v>Badan Informasi Geospasial (BIG)</x:v>
      </x:c>
      <x:c r="AL197" s="9" t="str">
        <x:v>https://power.larc.nasa.gov/docs/services/api/temporal/monthly/</x:v>
      </x:c>
      <x:c r="AM197" s="9" t="str">
        <x:v>https://geoservices.big.go.id/rbi/rest/services/BATASWILAYAH/BATAS_WILAYAH/MapServer/12</x:v>
      </x:c>
    </x:row>
    <x:row r="198" ht="18" customHeight="1">
      <x:c r="A198" s="6" t="str">
        <x:v>19</x:v>
      </x:c>
      <x:c r="B198" s="6" t="str">
        <x:v>KEP. BANGKA BELITUNG</x:v>
      </x:c>
      <x:c r="C198" s="6" t="str">
        <x:v>2024</x:v>
      </x:c>
      <x:c r="D198" s="6" t="str">
        <x:v>5</x:v>
      </x:c>
      <x:c r="E198" s="6" t="str">
        <x:v>29.221920493093958</x:v>
      </x:c>
      <x:c r="F198" s="9" t="str">
        <x:v>grid_cells_within_BIG_polygon</x:v>
      </x:c>
      <x:c r="G198" s="6" t="str">
        <x:v>5</x:v>
      </x:c>
      <x:c r="H198" s="8" t="str">
        <x:v>83.00644055103007</x:v>
      </x:c>
      <x:c r="I198" s="6" t="str">
        <x:v>7.626315713463973</x:v>
      </x:c>
      <x:c r="J198" s="6" t="str">
        <x:v>31</x:v>
      </x:c>
      <x:c r="K198" s="6" t="str">
        <x:v>236.41578711738316</x:v>
      </x:c>
      <x:c r="L198" s="6" t="str">
        <x:v>28.272196260524066</x:v>
      </x:c>
      <x:c r="M198" s="6" t="str">
        <x:v>0.3507823540163955</x:v>
      </x:c>
      <x:c r="N198" s="6" t="str">
        <x:v>81.40454152956717</x:v>
      </x:c>
      <x:c r="O198" s="6" t="str">
        <x:v>1.344972098951211</x:v>
      </x:c>
      <x:c r="P198" s="6" t="str">
        <x:v>197.96421395504157</x:v>
      </x:c>
      <x:c r="Q198" s="6" t="str">
        <x:v>56.341056891795795</x:v>
      </x:c>
      <x:c r="R198" s="6" t="str">
        <x:v>0.949724232569892</x:v>
      </x:c>
      <x:c r="S198" s="8" t="str">
        <x:v>2.7074458612176997</x:v>
      </x:c>
      <x:c r="T198" s="6" t="str">
        <x:v>1.6018990214628985</x:v>
      </x:c>
      <x:c r="U198" s="8" t="str">
        <x:v>1.1910276969403568</x:v>
      </x:c>
      <x:c r="V198" s="6" t="str">
        <x:v>38.45157316234159</x:v>
      </x:c>
      <x:c r="W198" s="8" t="str">
        <x:v>0.6824787336912876</x:v>
      </x:c>
      <x:c r="X198" s="6" t="str">
        <x:v>3.226815995454175</x:v>
      </x:c>
      <x:c r="Y198" s="6" t="str">
        <x:v>1.983351073167347</x:v>
      </x:c>
      <x:c r="Z198" s="6" t="str">
        <x:v>2.6392043099464075</x:v>
      </x:c>
      <x:c r="AA198" s="6" t="str">
        <x:v>-0.42269385396338854</x:v>
      </x:c>
      <x:c r="AB198" s="6" t="str">
        <x:v>0.6114443146661286</x:v>
      </x:c>
      <x:c r="AC198" s="6" t="str">
        <x:v>0.45992605254770025</x:v>
      </x:c>
      <x:c r="AD198" s="6" t="str">
        <x:v>0.21750441591567132</x:v>
      </x:c>
      <x:c r="AE198" s="6" t="str">
        <x:v>0.6681962611497331</x:v>
      </x:c>
      <x:c r="AF198" s="6" t="str">
        <x:v>0.5227264702522304</x:v>
      </x:c>
      <x:c r="AG198" s="6" t="str">
        <x:v>0</x:v>
      </x:c>
      <x:c r="AH198" s="6" t="str">
        <x:v>1</x:v>
      </x:c>
      <x:c r="AI198" s="6" t="str">
        <x:v>2024-05</x:v>
      </x:c>
      <x:c r="AJ198" s="9" t="str">
        <x:v>NASA POWER (MERRA-2 meteorology)</x:v>
      </x:c>
      <x:c r="AK198" s="9" t="str">
        <x:v>Badan Informasi Geospasial (BIG)</x:v>
      </x:c>
      <x:c r="AL198" s="9" t="str">
        <x:v>https://power.larc.nasa.gov/docs/services/api/temporal/monthly/</x:v>
      </x:c>
      <x:c r="AM198" s="9" t="str">
        <x:v>https://geoservices.big.go.id/rbi/rest/services/BATASWILAYAH/BATAS_WILAYAH/MapServer/12</x:v>
      </x:c>
    </x:row>
    <x:row r="199" ht="18" customHeight="1">
      <x:c r="A199" s="6" t="str">
        <x:v>19</x:v>
      </x:c>
      <x:c r="B199" s="6" t="str">
        <x:v>KEP. BANGKA BELITUNG</x:v>
      </x:c>
      <x:c r="C199" s="6" t="str">
        <x:v>2024</x:v>
      </x:c>
      <x:c r="D199" s="6" t="str">
        <x:v>6</x:v>
      </x:c>
      <x:c r="E199" s="6" t="str">
        <x:v>28.601924227710704</x:v>
      </x:c>
      <x:c r="F199" s="9" t="str">
        <x:v>grid_cells_within_BIG_polygon</x:v>
      </x:c>
      <x:c r="G199" s="6" t="str">
        <x:v>5</x:v>
      </x:c>
      <x:c r="H199" s="8" t="str">
        <x:v>82.1643498703578</x:v>
      </x:c>
      <x:c r="I199" s="6" t="str">
        <x:v>6.048270960146699</x:v>
      </x:c>
      <x:c r="J199" s="6" t="str">
        <x:v>30</x:v>
      </x:c>
      <x:c r="K199" s="6" t="str">
        <x:v>181.44812880440097</x:v>
      </x:c>
      <x:c r="L199" s="6" t="str">
        <x:v>27.880719308472422</x:v>
      </x:c>
      <x:c r="M199" s="6" t="str">
        <x:v>0.3288700107656214</x:v>
      </x:c>
      <x:c r="N199" s="6" t="str">
        <x:v>81.4921521366644</x:v>
      </x:c>
      <x:c r="O199" s="6" t="str">
        <x:v>1.8147139941328496</x:v>
      </x:c>
      <x:c r="P199" s="6" t="str">
        <x:v>148.8928585515082</x:v>
      </x:c>
      <x:c r="Q199" s="6" t="str">
        <x:v>54.67925282574471</x:v>
      </x:c>
      <x:c r="R199" s="6" t="str">
        <x:v>0.7212049192382821</x:v>
      </x:c>
      <x:c r="S199" s="8" t="str">
        <x:v>2.1929786712971815</x:v>
      </x:c>
      <x:c r="T199" s="6" t="str">
        <x:v>0.6721977336933946</x:v>
      </x:c>
      <x:c r="U199" s="8" t="str">
        <x:v>0.370415247728665</x:v>
      </x:c>
      <x:c r="V199" s="6" t="str">
        <x:v>32.55527025289277</x:v>
      </x:c>
      <x:c r="W199" s="8" t="str">
        <x:v>0.5953861578292219</x:v>
      </x:c>
      <x:c r="X199" s="6" t="str">
        <x:v>2.7074458612176997</x:v>
      </x:c>
      <x:c r="Y199" s="6" t="str">
        <x:v>3.226815995454175</x:v>
      </x:c>
      <x:c r="Z199" s="6" t="str">
        <x:v>2.7090801759896856</x:v>
      </x:c>
      <x:c r="AA199" s="6" t="str">
        <x:v>1.1910276969403568</x:v>
      </x:c>
      <x:c r="AB199" s="6" t="str">
        <x:v>-0.42269385396338854</x:v>
      </x:c>
      <x:c r="AC199" s="6" t="str">
        <x:v>0.3795830302352125</x:v>
      </x:c>
      <x:c r="AD199" s="6" t="str">
        <x:v>0.6824787336912876</x:v>
      </x:c>
      <x:c r="AE199" s="6" t="str">
        <x:v>0.21750441591567132</x:v>
      </x:c>
      <x:c r="AF199" s="6" t="str">
        <x:v>0.49845643581205995</x:v>
      </x:c>
      <x:c r="AG199" s="6" t="str">
        <x:v>0</x:v>
      </x:c>
      <x:c r="AH199" s="6" t="str">
        <x:v>1</x:v>
      </x:c>
      <x:c r="AI199" s="6" t="str">
        <x:v>2024-06</x:v>
      </x:c>
      <x:c r="AJ199" s="9" t="str">
        <x:v>NASA POWER (MERRA-2 meteorology)</x:v>
      </x:c>
      <x:c r="AK199" s="9" t="str">
        <x:v>Badan Informasi Geospasial (BIG)</x:v>
      </x:c>
      <x:c r="AL199" s="9" t="str">
        <x:v>https://power.larc.nasa.gov/docs/services/api/temporal/monthly/</x:v>
      </x:c>
      <x:c r="AM199" s="9" t="str">
        <x:v>https://geoservices.big.go.id/rbi/rest/services/BATASWILAYAH/BATAS_WILAYAH/MapServer/12</x:v>
      </x:c>
    </x:row>
    <x:row r="200" ht="18" customHeight="1">
      <x:c r="A200" s="6" t="str">
        <x:v>19</x:v>
      </x:c>
      <x:c r="B200" s="6" t="str">
        <x:v>KEP. BANGKA BELITUNG</x:v>
      </x:c>
      <x:c r="C200" s="6" t="str">
        <x:v>2024</x:v>
      </x:c>
      <x:c r="D200" s="6" t="str">
        <x:v>7</x:v>
      </x:c>
      <x:c r="E200" s="6" t="str">
        <x:v>28.13591855737824</x:v>
      </x:c>
      <x:c r="F200" s="9" t="str">
        <x:v>grid_cells_within_BIG_polygon</x:v>
      </x:c>
      <x:c r="G200" s="6" t="str">
        <x:v>5</x:v>
      </x:c>
      <x:c r="H200" s="8" t="str">
        <x:v>81.35843916448876</x:v>
      </x:c>
      <x:c r="I200" s="6" t="str">
        <x:v>2.7820053967030676</x:v>
      </x:c>
      <x:c r="J200" s="6" t="str">
        <x:v>31</x:v>
      </x:c>
      <x:c r="K200" s="6" t="str">
        <x:v>86.24216729779509</x:v>
      </x:c>
      <x:c r="L200" s="6" t="str">
        <x:v>27.457991041405094</x:v>
      </x:c>
      <x:c r="M200" s="6" t="str">
        <x:v>0.30438875757672995</x:v>
      </x:c>
      <x:c r="N200" s="6" t="str">
        <x:v>81.04379921286593</x:v>
      </x:c>
      <x:c r="O200" s="6" t="str">
        <x:v>1.656536165365013</x:v>
      </x:c>
      <x:c r="P200" s="6" t="str">
        <x:v>117.29959744159083</x:v>
      </x:c>
      <x:c r="Q200" s="6" t="str">
        <x:v>63.19504585973014</x:v>
      </x:c>
      <x:c r="R200" s="6" t="str">
        <x:v>0.6779275159731455</x:v>
      </x:c>
      <x:c r="S200" s="8" t="str">
        <x:v>2.227176592756565</x:v>
      </x:c>
      <x:c r="T200" s="6" t="str">
        <x:v>0.3146399516228229</x:v>
      </x:c>
      <x:c r="U200" s="8" t="str">
        <x:v>0.18993847414945683</x:v>
      </x:c>
      <x:c r="V200" s="6" t="str">
        <x:v>-31.05743014379574</x:v>
      </x:c>
      <x:c r="W200" s="8" t="str">
        <x:v>-0.49145355812751307</x:v>
      </x:c>
      <x:c r="X200" s="6" t="str">
        <x:v>2.1929786712971815</x:v>
      </x:c>
      <x:c r="Y200" s="6" t="str">
        <x:v>2.7074458612176997</x:v>
      </x:c>
      <x:c r="Z200" s="6" t="str">
        <x:v>2.3758670417571497</x:v>
      </x:c>
      <x:c r="AA200" s="6" t="str">
        <x:v>0.370415247728665</x:v>
      </x:c>
      <x:c r="AB200" s="6" t="str">
        <x:v>1.1910276969403568</x:v>
      </x:c>
      <x:c r="AC200" s="6" t="str">
        <x:v>0.5837938062728276</x:v>
      </x:c>
      <x:c r="AD200" s="6" t="str">
        <x:v>0.5953861578292219</x:v>
      </x:c>
      <x:c r="AE200" s="6" t="str">
        <x:v>0.6824787336912876</x:v>
      </x:c>
      <x:c r="AF200" s="6" t="str">
        <x:v>0.26213711113099847</x:v>
      </x:c>
      <x:c r="AG200" s="6" t="str">
        <x:v>0</x:v>
      </x:c>
      <x:c r="AH200" s="6" t="str">
        <x:v>1</x:v>
      </x:c>
      <x:c r="AI200" s="6" t="str">
        <x:v>2024-07</x:v>
      </x:c>
      <x:c r="AJ200" s="9" t="str">
        <x:v>NASA POWER (MERRA-2 meteorology)</x:v>
      </x:c>
      <x:c r="AK200" s="9" t="str">
        <x:v>Badan Informasi Geospasial (BIG)</x:v>
      </x:c>
      <x:c r="AL200" s="9" t="str">
        <x:v>https://power.larc.nasa.gov/docs/services/api/temporal/monthly/</x:v>
      </x:c>
      <x:c r="AM200" s="9" t="str">
        <x:v>https://geoservices.big.go.id/rbi/rest/services/BATASWILAYAH/BATAS_WILAYAH/MapServer/12</x:v>
      </x:c>
    </x:row>
    <x:row r="201" ht="18" customHeight="1">
      <x:c r="A201" s="6" t="str">
        <x:v>19</x:v>
      </x:c>
      <x:c r="B201" s="6" t="str">
        <x:v>KEP. BANGKA BELITUNG</x:v>
      </x:c>
      <x:c r="C201" s="6" t="str">
        <x:v>2024</x:v>
      </x:c>
      <x:c r="D201" s="6" t="str">
        <x:v>8</x:v>
      </x:c>
      <x:c r="E201" s="6" t="str">
        <x:v>28.239936513431026</x:v>
      </x:c>
      <x:c r="F201" s="9" t="str">
        <x:v>grid_cells_within_BIG_polygon</x:v>
      </x:c>
      <x:c r="G201" s="6" t="str">
        <x:v>5</x:v>
      </x:c>
      <x:c r="H201" s="8" t="str">
        <x:v>79.4623767908317</x:v>
      </x:c>
      <x:c r="I201" s="6" t="str">
        <x:v>1.8599175366339402</x:v>
      </x:c>
      <x:c r="J201" s="6" t="str">
        <x:v>31</x:v>
      </x:c>
      <x:c r="K201" s="6" t="str">
        <x:v>57.65744363565214</x:v>
      </x:c>
      <x:c r="L201" s="6" t="str">
        <x:v>27.457549780652233</x:v>
      </x:c>
      <x:c r="M201" s="6" t="str">
        <x:v>0.24381527961931346</x:v>
      </x:c>
      <x:c r="N201" s="6" t="str">
        <x:v>79.49241394113217</x:v>
      </x:c>
      <x:c r="O201" s="6" t="str">
        <x:v>1.9825879143469094</x:v>
      </x:c>
      <x:c r="P201" s="6" t="str">
        <x:v>84.35782795621084</x:v>
      </x:c>
      <x:c r="Q201" s="6" t="str">
        <x:v>69.8851273475448</x:v>
      </x:c>
      <x:c r="R201" s="6" t="str">
        <x:v>0.782386732778793</x:v>
      </x:c>
      <x:c r="S201" s="8" t="str">
        <x:v>3.2089323277868</x:v>
      </x:c>
      <x:c r="T201" s="6" t="str">
        <x:v>-0.030037150300472604</x:v>
      </x:c>
      <x:c r="U201" s="8" t="str">
        <x:v>-0.01515047584175718</x:v>
      </x:c>
      <x:c r="V201" s="6" t="str">
        <x:v>-26.700384320558697</x:v>
      </x:c>
      <x:c r="W201" s="8" t="str">
        <x:v>-0.38206103836336125</x:v>
      </x:c>
      <x:c r="X201" s="6" t="str">
        <x:v>2.227176592756565</x:v>
      </x:c>
      <x:c r="Y201" s="6" t="str">
        <x:v>2.1929786712971815</x:v>
      </x:c>
      <x:c r="Z201" s="6" t="str">
        <x:v>2.5430291972801826</x:v>
      </x:c>
      <x:c r="AA201" s="6" t="str">
        <x:v>0.18993847414945683</x:v>
      </x:c>
      <x:c r="AB201" s="6" t="str">
        <x:v>0.370415247728665</x:v>
      </x:c>
      <x:c r="AC201" s="6" t="str">
        <x:v>0.18173441534545623</x:v>
      </x:c>
      <x:c r="AD201" s="6" t="str">
        <x:v>-0.49145355812751307</x:v>
      </x:c>
      <x:c r="AE201" s="6" t="str">
        <x:v>0.5953861578292219</x:v>
      </x:c>
      <x:c r="AF201" s="6" t="str">
        <x:v>-0.09270947955388448</x:v>
      </x:c>
      <x:c r="AG201" s="6" t="str">
        <x:v>0</x:v>
      </x:c>
      <x:c r="AH201" s="6" t="str">
        <x:v>1</x:v>
      </x:c>
      <x:c r="AI201" s="6" t="str">
        <x:v>2024-08</x:v>
      </x:c>
      <x:c r="AJ201" s="9" t="str">
        <x:v>NASA POWER (MERRA-2 meteorology)</x:v>
      </x:c>
      <x:c r="AK201" s="9" t="str">
        <x:v>Badan Informasi Geospasial (BIG)</x:v>
      </x:c>
      <x:c r="AL201" s="9" t="str">
        <x:v>https://power.larc.nasa.gov/docs/services/api/temporal/monthly/</x:v>
      </x:c>
      <x:c r="AM201" s="9" t="str">
        <x:v>https://geoservices.big.go.id/rbi/rest/services/BATASWILAYAH/BATAS_WILAYAH/MapServer/12</x:v>
      </x:c>
    </x:row>
    <x:row r="202" ht="18" customHeight="1">
      <x:c r="A202" s="6" t="str">
        <x:v>19</x:v>
      </x:c>
      <x:c r="B202" s="6" t="str">
        <x:v>KEP. BANGKA BELITUNG</x:v>
      </x:c>
      <x:c r="C202" s="6" t="str">
        <x:v>2024</x:v>
      </x:c>
      <x:c r="D202" s="6" t="str">
        <x:v>9</x:v>
      </x:c>
      <x:c r="E202" s="6" t="str">
        <x:v>28.617971891883098</x:v>
      </x:c>
      <x:c r="F202" s="9" t="str">
        <x:v>grid_cells_within_BIG_polygon</x:v>
      </x:c>
      <x:c r="G202" s="6" t="str">
        <x:v>5</x:v>
      </x:c>
      <x:c r="H202" s="8" t="str">
        <x:v>77.97613325664406</x:v>
      </x:c>
      <x:c r="I202" s="6" t="str">
        <x:v>4.209964561379942</x:v>
      </x:c>
      <x:c r="J202" s="6" t="str">
        <x:v>30</x:v>
      </x:c>
      <x:c r="K202" s="6" t="str">
        <x:v>126.29893684139826</x:v>
      </x:c>
      <x:c r="L202" s="6" t="str">
        <x:v>27.67716060092353</x:v>
      </x:c>
      <x:c r="M202" s="6" t="str">
        <x:v>0.23945749126781288</x:v>
      </x:c>
      <x:c r="N202" s="6" t="str">
        <x:v>78.33449114896358</x:v>
      </x:c>
      <x:c r="O202" s="6" t="str">
        <x:v>2.2356266457427174</x:v>
      </x:c>
      <x:c r="P202" s="6" t="str">
        <x:v>95.91116042192968</x:v>
      </x:c>
      <x:c r="Q202" s="6" t="str">
        <x:v>76.12606418792731</x:v>
      </x:c>
      <x:c r="R202" s="6" t="str">
        <x:v>0.9408112909595694</x:v>
      </x:c>
      <x:c r="S202" s="8" t="str">
        <x:v>3.9289282034085615</x:v>
      </x:c>
      <x:c r="T202" s="6" t="str">
        <x:v>-0.35835789231951765</x:v>
      </x:c>
      <x:c r="U202" s="8" t="str">
        <x:v>-0.16029415868787178</x:v>
      </x:c>
      <x:c r="V202" s="6" t="str">
        <x:v>30.38777641946858</x:v>
      </x:c>
      <x:c r="W202" s="8" t="str">
        <x:v>0.39917703277621597</x:v>
      </x:c>
      <x:c r="X202" s="6" t="str">
        <x:v>3.2089323277868</x:v>
      </x:c>
      <x:c r="Y202" s="6" t="str">
        <x:v>2.227176592756565</x:v>
      </x:c>
      <x:c r="Z202" s="6" t="str">
        <x:v>3.1216790413173094</x:v>
      </x:c>
      <x:c r="AA202" s="6" t="str">
        <x:v>-0.01515047584175718</x:v>
      </x:c>
      <x:c r="AB202" s="6" t="str">
        <x:v>0.18993847414945683</x:v>
      </x:c>
      <x:c r="AC202" s="6" t="str">
        <x:v>0.004831279873277287</x:v>
      </x:c>
      <x:c r="AD202" s="6" t="str">
        <x:v>-0.38206103836336125</x:v>
      </x:c>
      <x:c r="AE202" s="6" t="str">
        <x:v>-0.49145355812751307</x:v>
      </x:c>
      <x:c r="AF202" s="6" t="str">
        <x:v>-0.15811252123821976</x:v>
      </x:c>
      <x:c r="AG202" s="6" t="str">
        <x:v>0</x:v>
      </x:c>
      <x:c r="AH202" s="6" t="str">
        <x:v>1</x:v>
      </x:c>
      <x:c r="AI202" s="6" t="str">
        <x:v>2024-09</x:v>
      </x:c>
      <x:c r="AJ202" s="9" t="str">
        <x:v>NASA POWER (MERRA-2 meteorology)</x:v>
      </x:c>
      <x:c r="AK202" s="9" t="str">
        <x:v>Badan Informasi Geospasial (BIG)</x:v>
      </x:c>
      <x:c r="AL202" s="9" t="str">
        <x:v>https://power.larc.nasa.gov/docs/services/api/temporal/monthly/</x:v>
      </x:c>
      <x:c r="AM202" s="9" t="str">
        <x:v>https://geoservices.big.go.id/rbi/rest/services/BATASWILAYAH/BATAS_WILAYAH/MapServer/12</x:v>
      </x:c>
    </x:row>
    <x:row r="203" ht="18" customHeight="1">
      <x:c r="A203" s="6" t="str">
        <x:v>19</x:v>
      </x:c>
      <x:c r="B203" s="6" t="str">
        <x:v>KEP. BANGKA BELITUNG</x:v>
      </x:c>
      <x:c r="C203" s="6" t="str">
        <x:v>2024</x:v>
      </x:c>
      <x:c r="D203" s="6" t="str">
        <x:v>10</x:v>
      </x:c>
      <x:c r="E203" s="6" t="str">
        <x:v>28.94796366097161</x:v>
      </x:c>
      <x:c r="F203" s="9" t="str">
        <x:v>grid_cells_within_BIG_polygon</x:v>
      </x:c>
      <x:c r="G203" s="6" t="str">
        <x:v>5</x:v>
      </x:c>
      <x:c r="H203" s="8" t="str">
        <x:v>77.46810458095838</x:v>
      </x:c>
      <x:c r="I203" s="6" t="str">
        <x:v>3.6460205350261603</x:v>
      </x:c>
      <x:c r="J203" s="6" t="str">
        <x:v>31</x:v>
      </x:c>
      <x:c r="K203" s="6" t="str">
        <x:v>113.02663658581096</x:v>
      </x:c>
      <x:c r="L203" s="6" t="str">
        <x:v>27.876436261367516</x:v>
      </x:c>
      <x:c r="M203" s="6" t="str">
        <x:v>0.3754348827157764</x:v>
      </x:c>
      <x:c r="N203" s="6" t="str">
        <x:v>78.1154768364602</x:v>
      </x:c>
      <x:c r="O203" s="6" t="str">
        <x:v>3.4017810772822172</x:v>
      </x:c>
      <x:c r="P203" s="6" t="str">
        <x:v>185.79970301936092</x:v>
      </x:c>
      <x:c r="Q203" s="6" t="str">
        <x:v>98.04786085146745</x:v>
      </x:c>
      <x:c r="R203" s="6" t="str">
        <x:v>1.0715273996040935</x:v>
      </x:c>
      <x:c r="S203" s="8" t="str">
        <x:v>2.854096539599638</x:v>
      </x:c>
      <x:c r="T203" s="6" t="str">
        <x:v>-0.6473722555018213</x:v>
      </x:c>
      <x:c r="U203" s="8" t="str">
        <x:v>-0.19030391456555046</x:v>
      </x:c>
      <x:c r="V203" s="6" t="str">
        <x:v>-72.77306643354996</x:v>
      </x:c>
      <x:c r="W203" s="8" t="str">
        <x:v>-0.7422198281693648</x:v>
      </x:c>
      <x:c r="X203" s="6" t="str">
        <x:v>3.9289282034085615</x:v>
      </x:c>
      <x:c r="Y203" s="6" t="str">
        <x:v>3.2089323277868</x:v>
      </x:c>
      <x:c r="Z203" s="6" t="str">
        <x:v>3.330652356931667</x:v>
      </x:c>
      <x:c r="AA203" s="6" t="str">
        <x:v>-0.16029415868787178</x:v>
      </x:c>
      <x:c r="AB203" s="6" t="str">
        <x:v>-0.01515047584175718</x:v>
      </x:c>
      <x:c r="AC203" s="6" t="str">
        <x:v>-0.12191618303172513</x:v>
      </x:c>
      <x:c r="AD203" s="6" t="str">
        <x:v>0.39917703277621597</x:v>
      </x:c>
      <x:c r="AE203" s="6" t="str">
        <x:v>-0.38206103836336125</x:v>
      </x:c>
      <x:c r="AF203" s="6" t="str">
        <x:v>-0.241701277918837</x:v>
      </x:c>
      <x:c r="AG203" s="6" t="str">
        <x:v>0</x:v>
      </x:c>
      <x:c r="AH203" s="6" t="str">
        <x:v>1</x:v>
      </x:c>
      <x:c r="AI203" s="6" t="str">
        <x:v>2024-10</x:v>
      </x:c>
      <x:c r="AJ203" s="9" t="str">
        <x:v>NASA POWER (MERRA-2 meteorology)</x:v>
      </x:c>
      <x:c r="AK203" s="9" t="str">
        <x:v>Badan Informasi Geospasial (BIG)</x:v>
      </x:c>
      <x:c r="AL203" s="9" t="str">
        <x:v>https://power.larc.nasa.gov/docs/services/api/temporal/monthly/</x:v>
      </x:c>
      <x:c r="AM203" s="9" t="str">
        <x:v>https://geoservices.big.go.id/rbi/rest/services/BATASWILAYAH/BATAS_WILAYAH/MapServer/12</x:v>
      </x:c>
    </x:row>
    <x:row r="204" ht="18" customHeight="1">
      <x:c r="A204" s="6" t="str">
        <x:v>19</x:v>
      </x:c>
      <x:c r="B204" s="6" t="str">
        <x:v>KEP. BANGKA BELITUNG</x:v>
      </x:c>
      <x:c r="C204" s="6" t="str">
        <x:v>2024</x:v>
      </x:c>
      <x:c r="D204" s="6" t="str">
        <x:v>11</x:v>
      </x:c>
      <x:c r="E204" s="6" t="str">
        <x:v>28.599921499275172</x:v>
      </x:c>
      <x:c r="F204" s="9" t="str">
        <x:v>grid_cells_within_BIG_polygon</x:v>
      </x:c>
      <x:c r="G204" s="6" t="str">
        <x:v>5</x:v>
      </x:c>
      <x:c r="H204" s="8" t="str">
        <x:v>77.51050972153676</x:v>
      </x:c>
      <x:c r="I204" s="6" t="str">
        <x:v>8.011995489142167</x:v>
      </x:c>
      <x:c r="J204" s="6" t="str">
        <x:v>30</x:v>
      </x:c>
      <x:c r="K204" s="6" t="str">
        <x:v>240.35986467426503</x:v>
      </x:c>
      <x:c r="L204" s="6" t="str">
        <x:v>27.70961127154381</x:v>
      </x:c>
      <x:c r="M204" s="6" t="str">
        <x:v>0.453075640186003</x:v>
      </x:c>
      <x:c r="N204" s="6" t="str">
        <x:v>80.2071596519147</x:v>
      </x:c>
      <x:c r="O204" s="6" t="str">
        <x:v>2.8119464272981483</x:v>
      </x:c>
      <x:c r="P204" s="6" t="str">
        <x:v>274.05598647969003</x:v>
      </x:c>
      <x:c r="Q204" s="6" t="str">
        <x:v>54.38388079115847</x:v>
      </x:c>
      <x:c r="R204" s="6" t="str">
        <x:v>0.8903102277313621</x:v>
      </x:c>
      <x:c r="S204" s="8" t="str">
        <x:v>1.9650366269214108</x:v>
      </x:c>
      <x:c r="T204" s="6" t="str">
        <x:v>-2.69664993037793</x:v>
      </x:c>
      <x:c r="U204" s="8" t="str">
        <x:v>-0.9589976196555777</x:v>
      </x:c>
      <x:c r="V204" s="6" t="str">
        <x:v>-33.69612180542501</x:v>
      </x:c>
      <x:c r="W204" s="8" t="str">
        <x:v>-0.6195975961116625</x:v>
      </x:c>
      <x:c r="X204" s="6" t="str">
        <x:v>2.854096539599638</x:v>
      </x:c>
      <x:c r="Y204" s="6" t="str">
        <x:v>3.9289282034085615</x:v>
      </x:c>
      <x:c r="Z204" s="6" t="str">
        <x:v>2.916020456643204</x:v>
      </x:c>
      <x:c r="AA204" s="6" t="str">
        <x:v>-0.19030391456555046</x:v>
      </x:c>
      <x:c r="AB204" s="6" t="str">
        <x:v>-0.16029415868787178</x:v>
      </x:c>
      <x:c r="AC204" s="6" t="str">
        <x:v>-0.436531897636332</x:v>
      </x:c>
      <x:c r="AD204" s="6" t="str">
        <x:v>-0.7422198281693648</x:v>
      </x:c>
      <x:c r="AE204" s="6" t="str">
        <x:v>0.39917703277621597</x:v>
      </x:c>
      <x:c r="AF204" s="6" t="str">
        <x:v>-0.3208801305016041</x:v>
      </x:c>
      <x:c r="AG204" s="6" t="str">
        <x:v>0</x:v>
      </x:c>
      <x:c r="AH204" s="6" t="str">
        <x:v>1</x:v>
      </x:c>
      <x:c r="AI204" s="6" t="str">
        <x:v>2024-11</x:v>
      </x:c>
      <x:c r="AJ204" s="9" t="str">
        <x:v>NASA POWER (MERRA-2 meteorology)</x:v>
      </x:c>
      <x:c r="AK204" s="9" t="str">
        <x:v>Badan Informasi Geospasial (BIG)</x:v>
      </x:c>
      <x:c r="AL204" s="9" t="str">
        <x:v>https://power.larc.nasa.gov/docs/services/api/temporal/monthly/</x:v>
      </x:c>
      <x:c r="AM204" s="9" t="str">
        <x:v>https://geoservices.big.go.id/rbi/rest/services/BATASWILAYAH/BATAS_WILAYAH/MapServer/12</x:v>
      </x:c>
    </x:row>
    <x:row r="205" ht="18" customHeight="1">
      <x:c r="A205" s="6" t="str">
        <x:v>19</x:v>
      </x:c>
      <x:c r="B205" s="6" t="str">
        <x:v>KEP. BANGKA BELITUNG</x:v>
      </x:c>
      <x:c r="C205" s="6" t="str">
        <x:v>2024</x:v>
      </x:c>
      <x:c r="D205" s="6" t="str">
        <x:v>12</x:v>
      </x:c>
      <x:c r="E205" s="6" t="str">
        <x:v>27.903908893362736</x:v>
      </x:c>
      <x:c r="F205" s="9" t="str">
        <x:v>grid_cells_within_BIG_polygon</x:v>
      </x:c>
      <x:c r="G205" s="6" t="str">
        <x:v>5</x:v>
      </x:c>
      <x:c r="H205" s="8" t="str">
        <x:v>83.37028938585374</x:v>
      </x:c>
      <x:c r="I205" s="6" t="str">
        <x:v>9.415562559681184</x:v>
      </x:c>
      <x:c r="J205" s="6" t="str">
        <x:v>31</x:v>
      </x:c>
      <x:c r="K205" s="6" t="str">
        <x:v>291.8824393501167</x:v>
      </x:c>
      <x:c r="L205" s="6" t="str">
        <x:v>27.19038180609451</x:v>
      </x:c>
      <x:c r="M205" s="6" t="str">
        <x:v>0.39341522546466623</x:v>
      </x:c>
      <x:c r="N205" s="6" t="str">
        <x:v>84.14299796428459</x:v>
      </x:c>
      <x:c r="O205" s="6" t="str">
        <x:v>1.7879625197786584</x:v>
      </x:c>
      <x:c r="P205" s="6" t="str">
        <x:v>321.64287921832664</x:v>
      </x:c>
      <x:c r="Q205" s="6" t="str">
        <x:v>64.23082637246513</x:v>
      </x:c>
      <x:c r="R205" s="6" t="str">
        <x:v>0.7135270872682256</x:v>
      </x:c>
      <x:c r="S205" s="8" t="str">
        <x:v>1.8136743091868708</x:v>
      </x:c>
      <x:c r="T205" s="6" t="str">
        <x:v>-0.7727085784308514</x:v>
      </x:c>
      <x:c r="U205" s="8" t="str">
        <x:v>-0.43217269371312617</x:v>
      </x:c>
      <x:c r="V205" s="6" t="str">
        <x:v>-29.760439868209914</x:v>
      </x:c>
      <x:c r="W205" s="8" t="str">
        <x:v>-0.4633357773669841</x:v>
      </x:c>
      <x:c r="X205" s="6" t="str">
        <x:v>1.9650366269214108</x:v>
      </x:c>
      <x:c r="Y205" s="6" t="str">
        <x:v>2.854096539599638</x:v>
      </x:c>
      <x:c r="Z205" s="6" t="str">
        <x:v>2.2109358252359734</x:v>
      </x:c>
      <x:c r="AA205" s="6" t="str">
        <x:v>-0.9589976196555777</x:v>
      </x:c>
      <x:c r="AB205" s="6" t="str">
        <x:v>-0.19030391456555046</x:v>
      </x:c>
      <x:c r="AC205" s="6" t="str">
        <x:v>-0.5271580759780834</x:v>
      </x:c>
      <x:c r="AD205" s="6" t="str">
        <x:v>-0.6195975961116625</x:v>
      </x:c>
      <x:c r="AE205" s="6" t="str">
        <x:v>-0.7422198281693648</x:v>
      </x:c>
      <x:c r="AF205" s="6" t="str">
        <x:v>-0.6083844005493375</x:v>
      </x:c>
      <x:c r="AG205" s="6" t="str">
        <x:v>0</x:v>
      </x:c>
      <x:c r="AH205" s="6" t="str">
        <x:v>1</x:v>
      </x:c>
      <x:c r="AI205" s="6" t="str">
        <x:v>2024-12</x:v>
      </x:c>
      <x:c r="AJ205" s="9" t="str">
        <x:v>NASA POWER (MERRA-2 meteorology)</x:v>
      </x:c>
      <x:c r="AK205" s="9" t="str">
        <x:v>Badan Informasi Geospasial (BIG)</x:v>
      </x:c>
      <x:c r="AL205" s="9" t="str">
        <x:v>https://power.larc.nasa.gov/docs/services/api/temporal/monthly/</x:v>
      </x:c>
      <x:c r="AM205" s="9" t="str">
        <x:v>https://geoservices.big.go.id/rbi/rest/services/BATASWILAYAH/BATAS_WILAYAH/MapServer/12</x:v>
      </x:c>
    </x:row>
    <x:row r="206" ht="18" customHeight="1">
      <x:c r="A206" s="6" t="str">
        <x:v>19</x:v>
      </x:c>
      <x:c r="B206" s="6" t="str">
        <x:v>KEP. BANGKA BELITUNG</x:v>
      </x:c>
      <x:c r="C206" s="6" t="str">
        <x:v>2025</x:v>
      </x:c>
      <x:c r="D206" s="6" t="str">
        <x:v>1</x:v>
      </x:c>
      <x:c r="E206" s="6" t="str">
        <x:v>26.981901287314564</x:v>
      </x:c>
      <x:c r="F206" s="9" t="str">
        <x:v>grid_cells_within_BIG_polygon</x:v>
      </x:c>
      <x:c r="G206" s="6" t="str">
        <x:v>5</x:v>
      </x:c>
      <x:c r="H206" s="8" t="str">
        <x:v>86.82044829197731</x:v>
      </x:c>
      <x:c r="I206" s="6" t="str">
        <x:v>11.211907307923122</x:v>
      </x:c>
      <x:c r="J206" s="6" t="str">
        <x:v>31</x:v>
      </x:c>
      <x:c r="K206" s="6" t="str">
        <x:v>347.56912654561677</x:v>
      </x:c>
      <x:c r="L206" s="6" t="str">
        <x:v>26.85031377572744</x:v>
      </x:c>
      <x:c r="M206" s="6" t="str">
        <x:v>0.4265108558288052</x:v>
      </x:c>
      <x:c r="N206" s="6" t="str">
        <x:v>85.48684088041111</x:v>
      </x:c>
      <x:c r="O206" s="6" t="str">
        <x:v>1.3823025166801859</x:v>
      </x:c>
      <x:c r="P206" s="6" t="str">
        <x:v>239.6150091430679</x:v>
      </x:c>
      <x:c r="Q206" s="6" t="str">
        <x:v>67.10246971820281</x:v>
      </x:c>
      <x:c r="R206" s="6" t="str">
        <x:v>0.13158751158712434</x:v>
      </x:c>
      <x:c r="S206" s="8" t="str">
        <x:v>0.3085208964527306</x:v>
      </x:c>
      <x:c r="T206" s="6" t="str">
        <x:v>1.3336074115662058</x:v>
      </x:c>
      <x:c r="U206" s="8" t="str">
        <x:v>0.9647724687422772</x:v>
      </x:c>
      <x:c r="V206" s="6" t="str">
        <x:v>107.95411740254886</x:v>
      </x:c>
      <x:c r="W206" s="8" t="str">
        <x:v>1.608794994519617</x:v>
      </x:c>
      <x:c r="X206" s="6" t="str">
        <x:v>1.8136743091868708</x:v>
      </x:c>
      <x:c r="Y206" s="6" t="str">
        <x:v>1.9650366269214108</x:v>
      </x:c>
      <x:c r="Z206" s="6" t="str">
        <x:v>1.3624106108536713</x:v>
      </x:c>
      <x:c r="AA206" s="6" t="str">
        <x:v>-0.43217269371312617</x:v>
      </x:c>
      <x:c r="AB206" s="6" t="str">
        <x:v>-0.9589976196555777</x:v>
      </x:c>
      <x:c r="AC206" s="6" t="str">
        <x:v>-0.14213261487547424</x:v>
      </x:c>
      <x:c r="AD206" s="6" t="str">
        <x:v>-0.4633357773669841</x:v>
      </x:c>
      <x:c r="AE206" s="6" t="str">
        <x:v>-0.6195975961116625</x:v>
      </x:c>
      <x:c r="AF206" s="6" t="str">
        <x:v>0.1752872070136564</x:v>
      </x:c>
      <x:c r="AG206" s="6" t="str">
        <x:v>1</x:v>
      </x:c>
      <x:c r="AH206" s="6" t="str">
        <x:v>0</x:v>
      </x:c>
      <x:c r="AI206" s="6" t="str">
        <x:v>2025-01</x:v>
      </x:c>
      <x:c r="AJ206" s="9" t="str">
        <x:v>NASA POWER (MERRA-2 meteorology)</x:v>
      </x:c>
      <x:c r="AK206" s="9" t="str">
        <x:v>Badan Informasi Geospasial (BIG)</x:v>
      </x:c>
      <x:c r="AL206" s="9" t="str">
        <x:v>https://power.larc.nasa.gov/docs/services/api/temporal/monthly/</x:v>
      </x:c>
      <x:c r="AM206" s="9" t="str">
        <x:v>https://geoservices.big.go.id/rbi/rest/services/BATASWILAYAH/BATAS_WILAYAH/MapServer/12</x:v>
      </x:c>
    </x:row>
    <x:row r="207" ht="18" customHeight="1">
      <x:c r="A207" s="6" t="str">
        <x:v>19</x:v>
      </x:c>
      <x:c r="B207" s="6" t="str">
        <x:v>KEP. BANGKA BELITUNG</x:v>
      </x:c>
      <x:c r="C207" s="6" t="str">
        <x:v>2025</x:v>
      </x:c>
      <x:c r="D207" s="6" t="str">
        <x:v>2</x:v>
      </x:c>
      <x:c r="E207" s="6" t="str">
        <x:v>27.12392543183241</x:v>
      </x:c>
      <x:c r="F207" s="9" t="str">
        <x:v>grid_cells_within_BIG_polygon</x:v>
      </x:c>
      <x:c r="G207" s="6" t="str">
        <x:v>5</x:v>
      </x:c>
      <x:c r="H207" s="8" t="str">
        <x:v>84.99432669906372</x:v>
      </x:c>
      <x:c r="I207" s="6" t="str">
        <x:v>5.472276796420033</x:v>
      </x:c>
      <x:c r="J207" s="6" t="str">
        <x:v>28</x:v>
      </x:c>
      <x:c r="K207" s="6" t="str">
        <x:v>153.22375029976092</x:v>
      </x:c>
      <x:c r="L207" s="6" t="str">
        <x:v>26.877268170274583</x:v>
      </x:c>
      <x:c r="M207" s="6" t="str">
        <x:v>0.43979679089375184</x:v>
      </x:c>
      <x:c r="N207" s="6" t="str">
        <x:v>84.87684160515339</x:v>
      </x:c>
      <x:c r="O207" s="6" t="str">
        <x:v>1.4248465404082309</x:v>
      </x:c>
      <x:c r="P207" s="6" t="str">
        <x:v>182.7240288852491</x:v>
      </x:c>
      <x:c r="Q207" s="6" t="str">
        <x:v>71.40317221675264</x:v>
      </x:c>
      <x:c r="R207" s="6" t="str">
        <x:v>0.24665726155782863</x:v>
      </x:c>
      <x:c r="S207" s="8" t="str">
        <x:v>0.5608437047859616</x:v>
      </x:c>
      <x:c r="T207" s="6" t="str">
        <x:v>0.11748509391033224</x:v>
      </x:c>
      <x:c r="U207" s="8" t="str">
        <x:v>0.08245455954623138</x:v>
      </x:c>
      <x:c r="V207" s="6" t="str">
        <x:v>-29.50027858548819</x:v>
      </x:c>
      <x:c r="W207" s="8" t="str">
        <x:v>-0.4131508120666777</x:v>
      </x:c>
      <x:c r="X207" s="6" t="str">
        <x:v>0.3085208964527306</x:v>
      </x:c>
      <x:c r="Y207" s="6" t="str">
        <x:v>1.8136743091868708</x:v>
      </x:c>
      <x:c r="Z207" s="6" t="str">
        <x:v>0.8943463034751883</x:v>
      </x:c>
      <x:c r="AA207" s="6" t="str">
        <x:v>0.9647724687422772</x:v>
      </x:c>
      <x:c r="AB207" s="6" t="str">
        <x:v>-0.43217269371312617</x:v>
      </x:c>
      <x:c r="AC207" s="6" t="str">
        <x:v>0.20501811152512883</x:v>
      </x:c>
      <x:c r="AD207" s="6" t="str">
        <x:v>1.608794994519617</x:v>
      </x:c>
      <x:c r="AE207" s="6" t="str">
        <x:v>-0.4633357773669841</x:v>
      </x:c>
      <x:c r="AF207" s="6" t="str">
        <x:v>0.24410280169531806</x:v>
      </x:c>
      <x:c r="AG207" s="6" t="str">
        <x:v>0</x:v>
      </x:c>
      <x:c r="AH207" s="6" t="str">
        <x:v>0</x:v>
      </x:c>
      <x:c r="AI207" s="6" t="str">
        <x:v>2025-02</x:v>
      </x:c>
      <x:c r="AJ207" s="9" t="str">
        <x:v>NASA POWER (MERRA-2 meteorology)</x:v>
      </x:c>
      <x:c r="AK207" s="9" t="str">
        <x:v>Badan Informasi Geospasial (BIG)</x:v>
      </x:c>
      <x:c r="AL207" s="9" t="str">
        <x:v>https://power.larc.nasa.gov/docs/services/api/temporal/monthly/</x:v>
      </x:c>
      <x:c r="AM207" s="9" t="str">
        <x:v>https://geoservices.big.go.id/rbi/rest/services/BATASWILAYAH/BATAS_WILAYAH/MapServer/12</x:v>
      </x:c>
    </x:row>
    <x:row r="208" ht="18" customHeight="1">
      <x:c r="A208" s="6" t="str">
        <x:v>19</x:v>
      </x:c>
      <x:c r="B208" s="6" t="str">
        <x:v>KEP. BANGKA BELITUNG</x:v>
      </x:c>
      <x:c r="C208" s="6" t="str">
        <x:v>2025</x:v>
      </x:c>
      <x:c r="D208" s="6" t="str">
        <x:v>3</x:v>
      </x:c>
      <x:c r="E208" s="6" t="str">
        <x:v>27.71592328265529</x:v>
      </x:c>
      <x:c r="F208" s="9" t="str">
        <x:v>grid_cells_within_BIG_polygon</x:v>
      </x:c>
      <x:c r="G208" s="6" t="str">
        <x:v>5</x:v>
      </x:c>
      <x:c r="H208" s="8" t="str">
        <x:v>83.27846423566766</x:v>
      </x:c>
      <x:c r="I208" s="6" t="str">
        <x:v>7.268358150705437</x:v>
      </x:c>
      <x:c r="J208" s="6" t="str">
        <x:v>31</x:v>
      </x:c>
      <x:c r="K208" s="6" t="str">
        <x:v>225.31910267186854</x:v>
      </x:c>
      <x:c r="L208" s="6" t="str">
        <x:v>27.397007519004383</x:v>
      </x:c>
      <x:c r="M208" s="6" t="str">
        <x:v>0.42197940628092623</x:v>
      </x:c>
      <x:c r="N208" s="6" t="str">
        <x:v>82.62031056583257</x:v>
      </x:c>
      <x:c r="O208" s="6" t="str">
        <x:v>1.6976582672139549</x:v>
      </x:c>
      <x:c r="P208" s="6" t="str">
        <x:v>218.79771564711137</x:v>
      </x:c>
      <x:c r="Q208" s="6" t="str">
        <x:v>54.56351973179262</x:v>
      </x:c>
      <x:c r="R208" s="6" t="str">
        <x:v>0.31891576365090657</x:v>
      </x:c>
      <x:c r="S208" s="8" t="str">
        <x:v>0.7557614397859818</x:v>
      </x:c>
      <x:c r="T208" s="6" t="str">
        <x:v>0.6581536698350874</x:v>
      </x:c>
      <x:c r="U208" s="8" t="str">
        <x:v>0.38768324729757914</x:v>
      </x:c>
      <x:c r="V208" s="6" t="str">
        <x:v>6.521387024757161</x:v>
      </x:c>
      <x:c r="W208" s="8" t="str">
        <x:v>0.11951917795650073</x:v>
      </x:c>
      <x:c r="X208" s="6" t="str">
        <x:v>0.5608437047859616</x:v>
      </x:c>
      <x:c r="Y208" s="6" t="str">
        <x:v>0.3085208964527306</x:v>
      </x:c>
      <x:c r="Z208" s="6" t="str">
        <x:v>0.5417086803415586</x:v>
      </x:c>
      <x:c r="AA208" s="6" t="str">
        <x:v>0.08245455954623138</x:v>
      </x:c>
      <x:c r="AB208" s="6" t="str">
        <x:v>0.9647724687422772</x:v>
      </x:c>
      <x:c r="AC208" s="6" t="str">
        <x:v>0.47830342519536395</x:v>
      </x:c>
      <x:c r="AD208" s="6" t="str">
        <x:v>-0.4131508120666777</x:v>
      </x:c>
      <x:c r="AE208" s="6" t="str">
        <x:v>1.608794994519617</x:v>
      </x:c>
      <x:c r="AF208" s="6" t="str">
        <x:v>0.43838778680314633</x:v>
      </x:c>
      <x:c r="AG208" s="6" t="str">
        <x:v>0</x:v>
      </x:c>
      <x:c r="AH208" s="6" t="str">
        <x:v>0</x:v>
      </x:c>
      <x:c r="AI208" s="6" t="str">
        <x:v>2025-03</x:v>
      </x:c>
      <x:c r="AJ208" s="9" t="str">
        <x:v>NASA POWER (MERRA-2 meteorology)</x:v>
      </x:c>
      <x:c r="AK208" s="9" t="str">
        <x:v>Badan Informasi Geospasial (BIG)</x:v>
      </x:c>
      <x:c r="AL208" s="9" t="str">
        <x:v>https://power.larc.nasa.gov/docs/services/api/temporal/monthly/</x:v>
      </x:c>
      <x:c r="AM208" s="9" t="str">
        <x:v>https://geoservices.big.go.id/rbi/rest/services/BATASWILAYAH/BATAS_WILAYAH/MapServer/12</x:v>
      </x:c>
    </x:row>
    <x:row r="209" ht="18" customHeight="1">
      <x:c r="A209" s="6" t="str">
        <x:v>19</x:v>
      </x:c>
      <x:c r="B209" s="6" t="str">
        <x:v>KEP. BANGKA BELITUNG</x:v>
      </x:c>
      <x:c r="C209" s="6" t="str">
        <x:v>2025</x:v>
      </x:c>
      <x:c r="D209" s="6" t="str">
        <x:v>4</x:v>
      </x:c>
      <x:c r="E209" s="6" t="str">
        <x:v>28.137933784995496</x:v>
      </x:c>
      <x:c r="F209" s="9" t="str">
        <x:v>grid_cells_within_BIG_polygon</x:v>
      </x:c>
      <x:c r="G209" s="6" t="str">
        <x:v>5</x:v>
      </x:c>
      <x:c r="H209" s="8" t="str">
        <x:v>80.10839084249561</x:v>
      </x:c>
      <x:c r="I209" s="6" t="str">
        <x:v>7.216199637589428</x:v>
      </x:c>
      <x:c r="J209" s="6" t="str">
        <x:v>30</x:v>
      </x:c>
      <x:c r="K209" s="6" t="str">
        <x:v>216.48598912768284</x:v>
      </x:c>
      <x:c r="L209" s="6" t="str">
        <x:v>27.983275651963243</x:v>
      </x:c>
      <x:c r="M209" s="6" t="str">
        <x:v>0.375194076505039</x:v>
      </x:c>
      <x:c r="N209" s="6" t="str">
        <x:v>80.94331940528755</x:v>
      </x:c>
      <x:c r="O209" s="6" t="str">
        <x:v>1.2421383760977496</x:v>
      </x:c>
      <x:c r="P209" s="6" t="str">
        <x:v>231.93580295332038</x:v>
      </x:c>
      <x:c r="Q209" s="6" t="str">
        <x:v>45.9345342391099</x:v>
      </x:c>
      <x:c r="R209" s="6" t="str">
        <x:v>0.15465813303225318</x:v>
      </x:c>
      <x:c r="S209" s="8" t="str">
        <x:v>0.4122083548677135</x:v>
      </x:c>
      <x:c r="T209" s="6" t="str">
        <x:v>-0.8349285627919443</x:v>
      </x:c>
      <x:c r="U209" s="8" t="str">
        <x:v>-0.6721703305028874</x:v>
      </x:c>
      <x:c r="V209" s="6" t="str">
        <x:v>-15.449813825637534</x:v>
      </x:c>
      <x:c r="W209" s="8" t="str">
        <x:v>-0.33634419248085345</x:v>
      </x:c>
      <x:c r="X209" s="6" t="str">
        <x:v>0.7557614397859818</x:v>
      </x:c>
      <x:c r="Y209" s="6" t="str">
        <x:v>0.5608437047859616</x:v>
      </x:c>
      <x:c r="Z209" s="6" t="str">
        <x:v>0.5762711664798862</x:v>
      </x:c>
      <x:c r="AA209" s="6" t="str">
        <x:v>0.38768324729757914</x:v>
      </x:c>
      <x:c r="AB209" s="6" t="str">
        <x:v>0.08245455954623138</x:v>
      </x:c>
      <x:c r="AC209" s="6" t="str">
        <x:v>-0.06734417455302429</x:v>
      </x:c>
      <x:c r="AD209" s="6" t="str">
        <x:v>0.11951917795650073</x:v>
      </x:c>
      <x:c r="AE209" s="6" t="str">
        <x:v>-0.4131508120666777</x:v>
      </x:c>
      <x:c r="AF209" s="6" t="str">
        <x:v>-0.20999194219701045</x:v>
      </x:c>
      <x:c r="AG209" s="6" t="str">
        <x:v>0</x:v>
      </x:c>
      <x:c r="AH209" s="6" t="str">
        <x:v>0</x:v>
      </x:c>
      <x:c r="AI209" s="6" t="str">
        <x:v>2025-04</x:v>
      </x:c>
      <x:c r="AJ209" s="9" t="str">
        <x:v>NASA POWER (MERRA-2 meteorology)</x:v>
      </x:c>
      <x:c r="AK209" s="9" t="str">
        <x:v>Badan Informasi Geospasial (BIG)</x:v>
      </x:c>
      <x:c r="AL209" s="9" t="str">
        <x:v>https://power.larc.nasa.gov/docs/services/api/temporal/monthly/</x:v>
      </x:c>
      <x:c r="AM209" s="9" t="str">
        <x:v>https://geoservices.big.go.id/rbi/rest/services/BATASWILAYAH/BATAS_WILAYAH/MapServer/12</x:v>
      </x:c>
    </x:row>
    <x:row r="210" ht="18" customHeight="1">
      <x:c r="A210" s="6" t="str">
        <x:v>19</x:v>
      </x:c>
      <x:c r="B210" s="6" t="str">
        <x:v>KEP. BANGKA BELITUNG</x:v>
      </x:c>
      <x:c r="C210" s="6" t="str">
        <x:v>2025</x:v>
      </x:c>
      <x:c r="D210" s="6" t="str">
        <x:v>5</x:v>
      </x:c>
      <x:c r="E210" s="6" t="str">
        <x:v>28.9179433878852</x:v>
      </x:c>
      <x:c r="F210" s="9" t="str">
        <x:v>grid_cells_within_BIG_polygon</x:v>
      </x:c>
      <x:c r="G210" s="6" t="str">
        <x:v>5</x:v>
      </x:c>
      <x:c r="H210" s="8" t="str">
        <x:v>79.4543124485015</x:v>
      </x:c>
      <x:c r="I210" s="6" t="str">
        <x:v>5.411947702718165</x:v>
      </x:c>
      <x:c r="J210" s="6" t="str">
        <x:v>31</x:v>
      </x:c>
      <x:c r="K210" s="6" t="str">
        <x:v>167.77037878426313</x:v>
      </x:c>
      <x:c r="L210" s="6" t="str">
        <x:v>28.272196260524066</x:v>
      </x:c>
      <x:c r="M210" s="6" t="str">
        <x:v>0.3507823540163955</x:v>
      </x:c>
      <x:c r="N210" s="6" t="str">
        <x:v>81.40454152956717</x:v>
      </x:c>
      <x:c r="O210" s="6" t="str">
        <x:v>1.344972098951211</x:v>
      </x:c>
      <x:c r="P210" s="6" t="str">
        <x:v>197.96421395504157</x:v>
      </x:c>
      <x:c r="Q210" s="6" t="str">
        <x:v>56.341056891795795</x:v>
      </x:c>
      <x:c r="R210" s="6" t="str">
        <x:v>0.6457471273611333</x:v>
      </x:c>
      <x:c r="S210" s="8" t="str">
        <x:v>1.8408768855315656</x:v>
      </x:c>
      <x:c r="T210" s="6" t="str">
        <x:v>-1.9502290810656717</x:v>
      </x:c>
      <x:c r="U210" s="8" t="str">
        <x:v>-1.4500145263878939</x:v>
      </x:c>
      <x:c r="V210" s="6" t="str">
        <x:v>-30.193835170778442</x:v>
      </x:c>
      <x:c r="W210" s="8" t="str">
        <x:v>-0.5359117637563375</x:v>
      </x:c>
      <x:c r="X210" s="6" t="str">
        <x:v>0.4122083548677135</x:v>
      </x:c>
      <x:c r="Y210" s="6" t="str">
        <x:v>0.7557614397859818</x:v>
      </x:c>
      <x:c r="Z210" s="6" t="str">
        <x:v>1.0029488933950876</x:v>
      </x:c>
      <x:c r="AA210" s="6" t="str">
        <x:v>-0.6721703305028874</x:v>
      </x:c>
      <x:c r="AB210" s="6" t="str">
        <x:v>0.38768324729757914</x:v>
      </x:c>
      <x:c r="AC210" s="6" t="str">
        <x:v>-0.5781672031977326</x:v>
      </x:c>
      <x:c r="AD210" s="6" t="str">
        <x:v>-0.33634419248085345</x:v>
      </x:c>
      <x:c r="AE210" s="6" t="str">
        <x:v>0.11951917795650073</x:v>
      </x:c>
      <x:c r="AF210" s="6" t="str">
        <x:v>-0.25091225942689704</x:v>
      </x:c>
      <x:c r="AG210" s="6" t="str">
        <x:v>0</x:v>
      </x:c>
      <x:c r="AH210" s="6" t="str">
        <x:v>1</x:v>
      </x:c>
      <x:c r="AI210" s="6" t="str">
        <x:v>2025-05</x:v>
      </x:c>
      <x:c r="AJ210" s="9" t="str">
        <x:v>NASA POWER (MERRA-2 meteorology)</x:v>
      </x:c>
      <x:c r="AK210" s="9" t="str">
        <x:v>Badan Informasi Geospasial (BIG)</x:v>
      </x:c>
      <x:c r="AL210" s="9" t="str">
        <x:v>https://power.larc.nasa.gov/docs/services/api/temporal/monthly/</x:v>
      </x:c>
      <x:c r="AM210" s="9" t="str">
        <x:v>https://geoservices.big.go.id/rbi/rest/services/BATASWILAYAH/BATAS_WILAYAH/MapServer/12</x:v>
      </x:c>
    </x:row>
    <x:row r="211" ht="18" customHeight="1">
      <x:c r="A211" s="6" t="str">
        <x:v>19</x:v>
      </x:c>
      <x:c r="B211" s="6" t="str">
        <x:v>KEP. BANGKA BELITUNG</x:v>
      </x:c>
      <x:c r="C211" s="6" t="str">
        <x:v>2025</x:v>
      </x:c>
      <x:c r="D211" s="6" t="str">
        <x:v>6</x:v>
      </x:c>
      <x:c r="E211" s="6" t="str">
        <x:v>28.253910570012152</x:v>
      </x:c>
      <x:c r="F211" s="9" t="str">
        <x:v>grid_cells_within_BIG_polygon</x:v>
      </x:c>
      <x:c r="G211" s="6" t="str">
        <x:v>5</x:v>
      </x:c>
      <x:c r="H211" s="8" t="str">
        <x:v>81.75030569629892</x:v>
      </x:c>
      <x:c r="I211" s="6" t="str">
        <x:v>5.727640512189414</x:v>
      </x:c>
      <x:c r="J211" s="6" t="str">
        <x:v>30</x:v>
      </x:c>
      <x:c r="K211" s="6" t="str">
        <x:v>171.82921536568242</x:v>
      </x:c>
      <x:c r="L211" s="6" t="str">
        <x:v>27.880719308472422</x:v>
      </x:c>
      <x:c r="M211" s="6" t="str">
        <x:v>0.3288700107656214</x:v>
      </x:c>
      <x:c r="N211" s="6" t="str">
        <x:v>81.4921521366644</x:v>
      </x:c>
      <x:c r="O211" s="6" t="str">
        <x:v>1.8147139941328496</x:v>
      </x:c>
      <x:c r="P211" s="6" t="str">
        <x:v>148.8928585515082</x:v>
      </x:c>
      <x:c r="Q211" s="6" t="str">
        <x:v>54.67925282574471</x:v>
      </x:c>
      <x:c r="R211" s="6" t="str">
        <x:v>0.3731912615397306</x:v>
      </x:c>
      <x:c r="S211" s="8" t="str">
        <x:v>1.134768295445753</x:v>
      </x:c>
      <x:c r="T211" s="6" t="str">
        <x:v>0.2581535596345219</x:v>
      </x:c>
      <x:c r="U211" s="8" t="str">
        <x:v>0.14225578271240427</x:v>
      </x:c>
      <x:c r="V211" s="6" t="str">
        <x:v>22.936356814174218</x:v>
      </x:c>
      <x:c r="W211" s="8" t="str">
        <x:v>0.41947092597020746</x:v>
      </x:c>
      <x:c r="X211" s="6" t="str">
        <x:v>1.8408768855315656</x:v>
      </x:c>
      <x:c r="Y211" s="6" t="str">
        <x:v>0.4122083548677135</x:v>
      </x:c>
      <x:c r="Z211" s="6" t="str">
        <x:v>1.1292845119483446</x:v>
      </x:c>
      <x:c r="AA211" s="6" t="str">
        <x:v>-1.4500145263878939</x:v>
      </x:c>
      <x:c r="AB211" s="6" t="str">
        <x:v>-0.6721703305028874</x:v>
      </x:c>
      <x:c r="AC211" s="6" t="str">
        <x:v>-0.6599763580594578</x:v>
      </x:c>
      <x:c r="AD211" s="6" t="str">
        <x:v>-0.5359117637563375</x:v>
      </x:c>
      <x:c r="AE211" s="6" t="str">
        <x:v>-0.33634419248085345</x:v>
      </x:c>
      <x:c r="AF211" s="6" t="str">
        <x:v>-0.15092834342232814</x:v>
      </x:c>
      <x:c r="AG211" s="6" t="str">
        <x:v>0</x:v>
      </x:c>
      <x:c r="AH211" s="6" t="str">
        <x:v>1</x:v>
      </x:c>
      <x:c r="AI211" s="6" t="str">
        <x:v>2025-06</x:v>
      </x:c>
      <x:c r="AJ211" s="9" t="str">
        <x:v>NASA POWER (MERRA-2 meteorology)</x:v>
      </x:c>
      <x:c r="AK211" s="9" t="str">
        <x:v>Badan Informasi Geospasial (BIG)</x:v>
      </x:c>
      <x:c r="AL211" s="9" t="str">
        <x:v>https://power.larc.nasa.gov/docs/services/api/temporal/monthly/</x:v>
      </x:c>
      <x:c r="AM211" s="9" t="str">
        <x:v>https://geoservices.big.go.id/rbi/rest/services/BATASWILAYAH/BATAS_WILAYAH/MapServer/12</x:v>
      </x:c>
    </x:row>
    <x:row r="212" ht="18" customHeight="1">
      <x:c r="A212" s="6" t="str">
        <x:v>19</x:v>
      </x:c>
      <x:c r="B212" s="6" t="str">
        <x:v>KEP. BANGKA BELITUNG</x:v>
      </x:c>
      <x:c r="C212" s="6" t="str">
        <x:v>2025</x:v>
      </x:c>
      <x:c r="D212" s="6" t="str">
        <x:v>7</x:v>
      </x:c>
      <x:c r="E212" s="6" t="str">
        <x:v>28.003908359709232</x:v>
      </x:c>
      <x:c r="F212" s="9" t="str">
        <x:v>grid_cells_within_BIG_polygon</x:v>
      </x:c>
      <x:c r="G212" s="6" t="str">
        <x:v>5</x:v>
      </x:c>
      <x:c r="H212" s="8" t="str">
        <x:v>82.35046483332042</x:v>
      </x:c>
      <x:c r="I212" s="6" t="str">
        <x:v>3.4901451135259496</x:v>
      </x:c>
      <x:c r="J212" s="6" t="str">
        <x:v>31</x:v>
      </x:c>
      <x:c r="K212" s="6" t="str">
        <x:v>108.19449851930443</x:v>
      </x:c>
      <x:c r="L212" s="6" t="str">
        <x:v>27.457991041405094</x:v>
      </x:c>
      <x:c r="M212" s="6" t="str">
        <x:v>0.30438875757672995</x:v>
      </x:c>
      <x:c r="N212" s="6" t="str">
        <x:v>81.04379921286593</x:v>
      </x:c>
      <x:c r="O212" s="6" t="str">
        <x:v>1.656536165365013</x:v>
      </x:c>
      <x:c r="P212" s="6" t="str">
        <x:v>117.29959744159083</x:v>
      </x:c>
      <x:c r="Q212" s="6" t="str">
        <x:v>63.19504585973014</x:v>
      </x:c>
      <x:c r="R212" s="6" t="str">
        <x:v>0.5459173183041379</x:v>
      </x:c>
      <x:c r="S212" s="8" t="str">
        <x:v>1.793487126956467</x:v>
      </x:c>
      <x:c r="T212" s="6" t="str">
        <x:v>1.3066656204544813</x:v>
      </x:c>
      <x:c r="U212" s="8" t="str">
        <x:v>0.7887938988440746</x:v>
      </x:c>
      <x:c r="V212" s="6" t="str">
        <x:v>-9.105098922286402</x:v>
      </x:c>
      <x:c r="W212" s="8" t="str">
        <x:v>-0.144079315054164</x:v>
      </x:c>
      <x:c r="X212" s="6" t="str">
        <x:v>1.134768295445753</x:v>
      </x:c>
      <x:c r="Y212" s="6" t="str">
        <x:v>1.8408768855315656</x:v>
      </x:c>
      <x:c r="Z212" s="6" t="str">
        <x:v>1.5897107693112627</x:v>
      </x:c>
      <x:c r="AA212" s="6" t="str">
        <x:v>0.14225578271240427</x:v>
      </x:c>
      <x:c r="AB212" s="6" t="str">
        <x:v>-1.4500145263878939</x:v>
      </x:c>
      <x:c r="AC212" s="6" t="str">
        <x:v>-0.17298828161047033</x:v>
      </x:c>
      <x:c r="AD212" s="6" t="str">
        <x:v>0.41947092597020746</x:v>
      </x:c>
      <x:c r="AE212" s="6" t="str">
        <x:v>-0.5359117637563375</x:v>
      </x:c>
      <x:c r="AF212" s="6" t="str">
        <x:v>-0.086840050946765</x:v>
      </x:c>
      <x:c r="AG212" s="6" t="str">
        <x:v>0</x:v>
      </x:c>
      <x:c r="AH212" s="6" t="str">
        <x:v>1</x:v>
      </x:c>
      <x:c r="AI212" s="6" t="str">
        <x:v>2025-07</x:v>
      </x:c>
      <x:c r="AJ212" s="9" t="str">
        <x:v>NASA POWER (MERRA-2 meteorology)</x:v>
      </x:c>
      <x:c r="AK212" s="9" t="str">
        <x:v>Badan Informasi Geospasial (BIG)</x:v>
      </x:c>
      <x:c r="AL212" s="9" t="str">
        <x:v>https://power.larc.nasa.gov/docs/services/api/temporal/monthly/</x:v>
      </x:c>
      <x:c r="AM212" s="9" t="str">
        <x:v>https://geoservices.big.go.id/rbi/rest/services/BATASWILAYAH/BATAS_WILAYAH/MapServer/12</x:v>
      </x:c>
    </x:row>
    <x:row r="213" ht="18" customHeight="1">
      <x:c r="A213" s="6" t="str">
        <x:v>19</x:v>
      </x:c>
      <x:c r="B213" s="6" t="str">
        <x:v>KEP. BANGKA BELITUNG</x:v>
      </x:c>
      <x:c r="C213" s="6" t="str">
        <x:v>2025</x:v>
      </x:c>
      <x:c r="D213" s="6" t="str">
        <x:v>8</x:v>
      </x:c>
      <x:c r="E213" s="6" t="str">
        <x:v>27.741941756840678</x:v>
      </x:c>
      <x:c r="F213" s="9" t="str">
        <x:v>grid_cells_within_BIG_polygon</x:v>
      </x:c>
      <x:c r="G213" s="6" t="str">
        <x:v>5</x:v>
      </x:c>
      <x:c r="H213" s="8" t="str">
        <x:v>80.90237846748111</x:v>
      </x:c>
      <x:c r="I213" s="6" t="str">
        <x:v>5.985873973833101</x:v>
      </x:c>
      <x:c r="J213" s="6" t="str">
        <x:v>31</x:v>
      </x:c>
      <x:c r="K213" s="6" t="str">
        <x:v>185.56209318882614</x:v>
      </x:c>
      <x:c r="L213" s="6" t="str">
        <x:v>27.457549780652233</x:v>
      </x:c>
      <x:c r="M213" s="6" t="str">
        <x:v>0.24381527961931346</x:v>
      </x:c>
      <x:c r="N213" s="6" t="str">
        <x:v>79.49241394113217</x:v>
      </x:c>
      <x:c r="O213" s="6" t="str">
        <x:v>1.9825879143469094</x:v>
      </x:c>
      <x:c r="P213" s="6" t="str">
        <x:v>84.35782795621084</x:v>
      </x:c>
      <x:c r="Q213" s="6" t="str">
        <x:v>69.8851273475448</x:v>
      </x:c>
      <x:c r="R213" s="6" t="str">
        <x:v>0.28439197618844503</x:v>
      </x:c>
      <x:c r="S213" s="8" t="str">
        <x:v>1.1664239281167568</x:v>
      </x:c>
      <x:c r="T213" s="6" t="str">
        <x:v>1.4099645263489435</x:v>
      </x:c>
      <x:c r="U213" s="8" t="str">
        <x:v>0.7111737724949284</x:v>
      </x:c>
      <x:c r="V213" s="6" t="str">
        <x:v>101.2042652326153</x:v>
      </x:c>
      <x:c r="W213" s="8" t="str">
        <x:v>1.4481516894047817</x:v>
      </x:c>
      <x:c r="X213" s="6" t="str">
        <x:v>1.793487126956467</x:v>
      </x:c>
      <x:c r="Y213" s="6" t="str">
        <x:v>1.134768295445753</x:v>
      </x:c>
      <x:c r="Z213" s="6" t="str">
        <x:v>1.3648931168396594</x:v>
      </x:c>
      <x:c r="AA213" s="6" t="str">
        <x:v>0.7887938988440746</x:v>
      </x:c>
      <x:c r="AB213" s="6" t="str">
        <x:v>0.14225578271240427</x:v>
      </x:c>
      <x:c r="AC213" s="6" t="str">
        <x:v>0.547407818017137</x:v>
      </x:c>
      <x:c r="AD213" s="6" t="str">
        <x:v>-0.144079315054164</x:v>
      </x:c>
      <x:c r="AE213" s="6" t="str">
        <x:v>0.41947092597020746</x:v>
      </x:c>
      <x:c r="AF213" s="6" t="str">
        <x:v>0.5745144334402748</x:v>
      </x:c>
      <x:c r="AG213" s="6" t="str">
        <x:v>1</x:v>
      </x:c>
      <x:c r="AH213" s="6" t="str">
        <x:v>1</x:v>
      </x:c>
      <x:c r="AI213" s="6" t="str">
        <x:v>2025-08</x:v>
      </x:c>
      <x:c r="AJ213" s="9" t="str">
        <x:v>NASA POWER (MERRA-2 meteorology)</x:v>
      </x:c>
      <x:c r="AK213" s="9" t="str">
        <x:v>Badan Informasi Geospasial (BIG)</x:v>
      </x:c>
      <x:c r="AL213" s="9" t="str">
        <x:v>https://power.larc.nasa.gov/docs/services/api/temporal/monthly/</x:v>
      </x:c>
      <x:c r="AM213" s="9" t="str">
        <x:v>https://geoservices.big.go.id/rbi/rest/services/BATASWILAYAH/BATAS_WILAYAH/MapServer/12</x:v>
      </x:c>
    </x:row>
    <x:row r="214" ht="18" customHeight="1">
      <x:c r="A214" s="6" t="str">
        <x:v>19</x:v>
      </x:c>
      <x:c r="B214" s="6" t="str">
        <x:v>KEP. BANGKA BELITUNG</x:v>
      </x:c>
      <x:c r="C214" s="6" t="str">
        <x:v>2025</x:v>
      </x:c>
      <x:c r="D214" s="6" t="str">
        <x:v>9</x:v>
      </x:c>
      <x:c r="E214" s="6" t="str">
        <x:v>27.7859335715341</x:v>
      </x:c>
      <x:c r="F214" s="9" t="str">
        <x:v>grid_cells_within_BIG_polygon</x:v>
      </x:c>
      <x:c r="G214" s="6" t="str">
        <x:v>5</x:v>
      </x:c>
      <x:c r="H214" s="8" t="str">
        <x:v>82.11227748240914</x:v>
      </x:c>
      <x:c r="I214" s="6" t="str">
        <x:v>7.061618531411774</x:v>
      </x:c>
      <x:c r="J214" s="6" t="str">
        <x:v>30</x:v>
      </x:c>
      <x:c r="K214" s="6" t="str">
        <x:v>211.84855594235324</x:v>
      </x:c>
      <x:c r="L214" s="6" t="str">
        <x:v>27.67716060092353</x:v>
      </x:c>
      <x:c r="M214" s="6" t="str">
        <x:v>0.23945749126781288</x:v>
      </x:c>
      <x:c r="N214" s="6" t="str">
        <x:v>78.33449114896358</x:v>
      </x:c>
      <x:c r="O214" s="6" t="str">
        <x:v>2.2356266457427174</x:v>
      </x:c>
      <x:c r="P214" s="6" t="str">
        <x:v>95.91116042192968</x:v>
      </x:c>
      <x:c r="Q214" s="6" t="str">
        <x:v>76.12606418792731</x:v>
      </x:c>
      <x:c r="R214" s="6" t="str">
        <x:v>0.10877297061056979</x:v>
      </x:c>
      <x:c r="S214" s="8" t="str">
        <x:v>0.454247516060863</x:v>
      </x:c>
      <x:c r="T214" s="6" t="str">
        <x:v>3.7777863334455617</x:v>
      </x:c>
      <x:c r="U214" s="8" t="str">
        <x:v>1.6898109264530212</x:v>
      </x:c>
      <x:c r="V214" s="6" t="str">
        <x:v>115.93739552042356</x:v>
      </x:c>
      <x:c r="W214" s="8" t="str">
        <x:v>1.5229658430024267</x:v>
      </x:c>
      <x:c r="X214" s="6" t="str">
        <x:v>1.1664239281167568</x:v>
      </x:c>
      <x:c r="Y214" s="6" t="str">
        <x:v>1.793487126956467</x:v>
      </x:c>
      <x:c r="Z214" s="6" t="str">
        <x:v>1.1380528570446964</x:v>
      </x:c>
      <x:c r="AA214" s="6" t="str">
        <x:v>0.7111737724949284</x:v>
      </x:c>
      <x:c r="AB214" s="6" t="str">
        <x:v>0.7887938988440746</x:v>
      </x:c>
      <x:c r="AC214" s="6" t="str">
        <x:v>1.0632595325973428</x:v>
      </x:c>
      <x:c r="AD214" s="6" t="str">
        <x:v>1.4481516894047817</x:v>
      </x:c>
      <x:c r="AE214" s="6" t="str">
        <x:v>-0.144079315054164</x:v>
      </x:c>
      <x:c r="AF214" s="6" t="str">
        <x:v>0.9423460724510145</x:v>
      </x:c>
      <x:c r="AG214" s="6" t="str">
        <x:v>1</x:v>
      </x:c>
      <x:c r="AH214" s="6" t="str">
        <x:v>0</x:v>
      </x:c>
      <x:c r="AI214" s="6" t="str">
        <x:v>2025-09</x:v>
      </x:c>
      <x:c r="AJ214" s="9" t="str">
        <x:v>NASA POWER (MERRA-2 meteorology)</x:v>
      </x:c>
      <x:c r="AK214" s="9" t="str">
        <x:v>Badan Informasi Geospasial (BIG)</x:v>
      </x:c>
      <x:c r="AL214" s="9" t="str">
        <x:v>https://power.larc.nasa.gov/docs/services/api/temporal/monthly/</x:v>
      </x:c>
      <x:c r="AM214" s="9" t="str">
        <x:v>https://geoservices.big.go.id/rbi/rest/services/BATASWILAYAH/BATAS_WILAYAH/MapServer/12</x:v>
      </x:c>
    </x:row>
    <x:row r="215" ht="18" customHeight="1">
      <x:c r="A215" s="6" t="str">
        <x:v>19</x:v>
      </x:c>
      <x:c r="B215" s="6" t="str">
        <x:v>KEP. BANGKA BELITUNG</x:v>
      </x:c>
      <x:c r="C215" s="6" t="str">
        <x:v>2025</x:v>
      </x:c>
      <x:c r="D215" s="6" t="str">
        <x:v>10</x:v>
      </x:c>
      <x:c r="E215" s="6" t="str">
        <x:v>28.123933205737092</x:v>
      </x:c>
      <x:c r="F215" s="9" t="str">
        <x:v>grid_cells_within_BIG_polygon</x:v>
      </x:c>
      <x:c r="G215" s="6" t="str">
        <x:v>5</x:v>
      </x:c>
      <x:c r="H215" s="8" t="str">
        <x:v>80.44621564048995</x:v>
      </x:c>
      <x:c r="I215" s="6" t="str">
        <x:v>7.467621153116601</x:v>
      </x:c>
      <x:c r="J215" s="6" t="str">
        <x:v>31</x:v>
      </x:c>
      <x:c r="K215" s="6" t="str">
        <x:v>231.49625574661462</x:v>
      </x:c>
      <x:c r="L215" s="6" t="str">
        <x:v>27.876436261367516</x:v>
      </x:c>
      <x:c r="M215" s="6" t="str">
        <x:v>0.3754348827157764</x:v>
      </x:c>
      <x:c r="N215" s="6" t="str">
        <x:v>78.1154768364602</x:v>
      </x:c>
      <x:c r="O215" s="6" t="str">
        <x:v>3.4017810772822172</x:v>
      </x:c>
      <x:c r="P215" s="6" t="str">
        <x:v>185.79970301936092</x:v>
      </x:c>
      <x:c r="Q215" s="6" t="str">
        <x:v>98.04786085146745</x:v>
      </x:c>
      <x:c r="R215" s="6" t="str">
        <x:v>0.24749694436957625</x:v>
      </x:c>
      <x:c r="S215" s="8" t="str">
        <x:v>0.6592273541000297</x:v>
      </x:c>
      <x:c r="T215" s="6" t="str">
        <x:v>2.3307388040297496</x:v>
      </x:c>
      <x:c r="U215" s="8" t="str">
        <x:v>0.6851524983764814</x:v>
      </x:c>
      <x:c r="V215" s="6" t="str">
        <x:v>45.6965527272537</x:v>
      </x:c>
      <x:c r="W215" s="8" t="str">
        <x:v>0.466063739998156</x:v>
      </x:c>
      <x:c r="X215" s="6" t="str">
        <x:v>0.454247516060863</x:v>
      </x:c>
      <x:c r="Y215" s="6" t="str">
        <x:v>1.1664239281167568</x:v>
      </x:c>
      <x:c r="Z215" s="6" t="str">
        <x:v>0.7599662660925505</x:v>
      </x:c>
      <x:c r="AA215" s="6" t="str">
        <x:v>1.6898109264530212</x:v>
      </x:c>
      <x:c r="AB215" s="6" t="str">
        <x:v>0.7111737724949284</x:v>
      </x:c>
      <x:c r="AC215" s="6" t="str">
        <x:v>1.028712399108145</x:v>
      </x:c>
      <x:c r="AD215" s="6" t="str">
        <x:v>1.5229658430024267</x:v>
      </x:c>
      <x:c r="AE215" s="6" t="str">
        <x:v>1.4481516894047817</x:v>
      </x:c>
      <x:c r="AF215" s="6" t="str">
        <x:v>1.145727090801788</x:v>
      </x:c>
      <x:c r="AG215" s="6" t="str">
        <x:v>0</x:v>
      </x:c>
      <x:c r="AH215" s="6" t="str">
        <x:v>0</x:v>
      </x:c>
      <x:c r="AI215" s="6" t="str">
        <x:v>2025-10</x:v>
      </x:c>
      <x:c r="AJ215" s="9" t="str">
        <x:v>NASA POWER (MERRA-2 meteorology)</x:v>
      </x:c>
      <x:c r="AK215" s="9" t="str">
        <x:v>Badan Informasi Geospasial (BIG)</x:v>
      </x:c>
      <x:c r="AL215" s="9" t="str">
        <x:v>https://power.larc.nasa.gov/docs/services/api/temporal/monthly/</x:v>
      </x:c>
      <x:c r="AM215" s="9" t="str">
        <x:v>https://geoservices.big.go.id/rbi/rest/services/BATASWILAYAH/BATAS_WILAYAH/MapServer/12</x:v>
      </x:c>
    </x:row>
    <x:row r="216" ht="18" customHeight="1">
      <x:c r="A216" s="6" t="str">
        <x:v>19</x:v>
      </x:c>
      <x:c r="B216" s="6" t="str">
        <x:v>KEP. BANGKA BELITUNG</x:v>
      </x:c>
      <x:c r="C216" s="6" t="str">
        <x:v>2025</x:v>
      </x:c>
      <x:c r="D216" s="6" t="str">
        <x:v>11</x:v>
      </x:c>
      <x:c r="E216" s="6" t="str">
        <x:v>27.843932215076784</x:v>
      </x:c>
      <x:c r="F216" s="9" t="str">
        <x:v>grid_cells_within_BIG_polygon</x:v>
      </x:c>
      <x:c r="G216" s="6" t="str">
        <x:v>5</x:v>
      </x:c>
      <x:c r="H216" s="8" t="str">
        <x:v>81.28226764957932</x:v>
      </x:c>
      <x:c r="I216" s="6" t="str">
        <x:v>10.739816094555158</x:v>
      </x:c>
      <x:c r="J216" s="6" t="str">
        <x:v>30</x:v>
      </x:c>
      <x:c r="K216" s="6" t="str">
        <x:v>322.19448283665474</x:v>
      </x:c>
      <x:c r="L216" s="6" t="str">
        <x:v>27.70961127154381</x:v>
      </x:c>
      <x:c r="M216" s="6" t="str">
        <x:v>0.453075640186003</x:v>
      </x:c>
      <x:c r="N216" s="6" t="str">
        <x:v>80.2071596519147</x:v>
      </x:c>
      <x:c r="O216" s="6" t="str">
        <x:v>2.8119464272981483</x:v>
      </x:c>
      <x:c r="P216" s="6" t="str">
        <x:v>274.05598647969003</x:v>
      </x:c>
      <x:c r="Q216" s="6" t="str">
        <x:v>54.38388079115847</x:v>
      </x:c>
      <x:c r="R216" s="6" t="str">
        <x:v>0.1343209435329733</x:v>
      </x:c>
      <x:c r="S216" s="8" t="str">
        <x:v>0.2964647216032846</x:v>
      </x:c>
      <x:c r="T216" s="6" t="str">
        <x:v>1.075107997664631</x:v>
      </x:c>
      <x:c r="U216" s="8" t="str">
        <x:v>0.3823358749752732</x:v>
      </x:c>
      <x:c r="V216" s="6" t="str">
        <x:v>48.13849635696471</x:v>
      </x:c>
      <x:c r="W216" s="8" t="str">
        <x:v>0.8851611112826447</x:v>
      </x:c>
      <x:c r="X216" s="6" t="str">
        <x:v>0.6592273541000297</x:v>
      </x:c>
      <x:c r="Y216" s="6" t="str">
        <x:v>0.454247516060863</x:v>
      </x:c>
      <x:c r="Z216" s="6" t="str">
        <x:v>0.469979863921393</x:v>
      </x:c>
      <x:c r="AA216" s="6" t="str">
        <x:v>0.6851524983764814</x:v>
      </x:c>
      <x:c r="AB216" s="6" t="str">
        <x:v>1.6898109264530212</x:v>
      </x:c>
      <x:c r="AC216" s="6" t="str">
        <x:v>0.9190997666015933</x:v>
      </x:c>
      <x:c r="AD216" s="6" t="str">
        <x:v>0.466063739998156</x:v>
      </x:c>
      <x:c r="AE216" s="6" t="str">
        <x:v>1.5229658430024267</x:v>
      </x:c>
      <x:c r="AF216" s="6" t="str">
        <x:v>0.9580635647610755</x:v>
      </x:c>
      <x:c r="AG216" s="6" t="str">
        <x:v>0</x:v>
      </x:c>
      <x:c r="AH216" s="6" t="str">
        <x:v>0</x:v>
      </x:c>
      <x:c r="AI216" s="6" t="str">
        <x:v>2025-11</x:v>
      </x:c>
      <x:c r="AJ216" s="9" t="str">
        <x:v>NASA POWER (MERRA-2 meteorology)</x:v>
      </x:c>
      <x:c r="AK216" s="9" t="str">
        <x:v>Badan Informasi Geospasial (BIG)</x:v>
      </x:c>
      <x:c r="AL216" s="9" t="str">
        <x:v>https://power.larc.nasa.gov/docs/services/api/temporal/monthly/</x:v>
      </x:c>
      <x:c r="AM216" s="9" t="str">
        <x:v>https://geoservices.big.go.id/rbi/rest/services/BATASWILAYAH/BATAS_WILAYAH/MapServer/12</x:v>
      </x:c>
    </x:row>
    <x:row r="217" ht="18" customHeight="1">
      <x:c r="A217" s="6" t="str">
        <x:v>19</x:v>
      </x:c>
      <x:c r="B217" s="6" t="str">
        <x:v>KEP. BANGKA BELITUNG</x:v>
      </x:c>
      <x:c r="C217" s="6" t="str">
        <x:v>2025</x:v>
      </x:c>
      <x:c r="D217" s="6" t="str">
        <x:v>12</x:v>
      </x:c>
      <x:c r="E217" s="6" t="str">
        <x:v>27.4598955102514</x:v>
      </x:c>
      <x:c r="F217" s="9" t="str">
        <x:v>grid_cells_within_BIG_polygon</x:v>
      </x:c>
      <x:c r="G217" s="6" t="str">
        <x:v>5</x:v>
      </x:c>
      <x:c r="H217" s="8" t="str">
        <x:v>85.04241679951976</x:v>
      </x:c>
      <x:c r="I217" s="6" t="str">
        <x:v>10.64817553771866</x:v>
      </x:c>
      <x:c r="J217" s="6" t="str">
        <x:v>31</x:v>
      </x:c>
      <x:c r="K217" s="6" t="str">
        <x:v>330.0934416692785</x:v>
      </x:c>
      <x:c r="L217" s="6" t="str">
        <x:v>27.19038180609451</x:v>
      </x:c>
      <x:c r="M217" s="6" t="str">
        <x:v>0.39341522546466623</x:v>
      </x:c>
      <x:c r="N217" s="6" t="str">
        <x:v>84.14299796428459</x:v>
      </x:c>
      <x:c r="O217" s="6" t="str">
        <x:v>1.7879625197786584</x:v>
      </x:c>
      <x:c r="P217" s="6" t="str">
        <x:v>321.64287921832664</x:v>
      </x:c>
      <x:c r="Q217" s="6" t="str">
        <x:v>64.23082637246513</x:v>
      </x:c>
      <x:c r="R217" s="6" t="str">
        <x:v>0.26951370415688913</x:v>
      </x:c>
      <x:c r="S217" s="8" t="str">
        <x:v>0.6850617025270542</x:v>
      </x:c>
      <x:c r="T217" s="6" t="str">
        <x:v>0.8994188352351671</x:v>
      </x:c>
      <x:c r="U217" s="8" t="str">
        <x:v>0.5030412132724745</x:v>
      </x:c>
      <x:c r="V217" s="6" t="str">
        <x:v>8.45056245095185</x:v>
      </x:c>
      <x:c r="W217" s="8" t="str">
        <x:v>0.1315655259041551</x:v>
      </x:c>
      <x:c r="X217" s="6" t="str">
        <x:v>0.2964647216032846</x:v>
      </x:c>
      <x:c r="Y217" s="6" t="str">
        <x:v>0.6592273541000297</x:v>
      </x:c>
      <x:c r="Z217" s="6" t="str">
        <x:v>0.5469179260767901</x:v>
      </x:c>
      <x:c r="AA217" s="6" t="str">
        <x:v>0.3823358749752732</x:v>
      </x:c>
      <x:c r="AB217" s="6" t="str">
        <x:v>0.6851524983764814</x:v>
      </x:c>
      <x:c r="AC217" s="6" t="str">
        <x:v>0.5235098622080777</x:v>
      </x:c>
      <x:c r="AD217" s="6" t="str">
        <x:v>0.8851611112826447</x:v>
      </x:c>
      <x:c r="AE217" s="6" t="str">
        <x:v>0.466063739998156</x:v>
      </x:c>
      <x:c r="AF217" s="6" t="str">
        <x:v>0.49426345906165164</x:v>
      </x:c>
      <x:c r="AG217" s="6" t="str">
        <x:v>0</x:v>
      </x:c>
      <x:c r="AH217" s="6" t="str">
        <x:v>0</x:v>
      </x:c>
      <x:c r="AI217" s="6" t="str">
        <x:v>2025-12</x:v>
      </x:c>
      <x:c r="AJ217" s="9" t="str">
        <x:v>NASA POWER (MERRA-2 meteorology)</x:v>
      </x:c>
      <x:c r="AK217" s="9" t="str">
        <x:v>Badan Informasi Geospasial (BIG)</x:v>
      </x:c>
      <x:c r="AL217" s="9" t="str">
        <x:v>https://power.larc.nasa.gov/docs/services/api/temporal/monthly/</x:v>
      </x:c>
      <x:c r="AM217" s="9" t="str">
        <x:v>https://geoservices.big.go.id/rbi/rest/services/BATASWILAYAH/BATAS_WILAYAH/MapServer/12</x:v>
      </x:c>
    </x:row>
    <x:row r="218" ht="18" customHeight="1">
      <x:c r="A218" s="6" t="str">
        <x:v>21</x:v>
      </x:c>
      <x:c r="B218" s="6" t="str">
        <x:v>KEPULAUAN RIAU</x:v>
      </x:c>
      <x:c r="C218" s="6" t="str">
        <x:v>2024</x:v>
      </x:c>
      <x:c r="D218" s="6" t="str">
        <x:v>1</x:v>
      </x:c>
      <x:c r="E218" s="6" t="str">
        <x:v>27.54527009480136</x:v>
      </x:c>
      <x:c r="F218" s="9" t="str">
        <x:v>grid_cells_within_BIG_polygon</x:v>
      </x:c>
      <x:c r="G218" s="6" t="str">
        <x:v>2</x:v>
      </x:c>
      <x:c r="H218" s="8" t="str">
        <x:v>87.14773120366857</x:v>
      </x:c>
      <x:c r="I218" s="6" t="str">
        <x:v>8.366578554061286</x:v>
      </x:c>
      <x:c r="J218" s="6" t="str">
        <x:v>31</x:v>
      </x:c>
      <x:c r="K218" s="6" t="str">
        <x:v>259.3639351758999</x:v>
      </x:c>
      <x:c r="L218" s="6" t="str">
        <x:v>26.6316122230538</x:v>
      </x:c>
      <x:c r="M218" s="6" t="str">
        <x:v>0.5634649079893154</x:v>
      </x:c>
      <x:c r="N218" s="6" t="str">
        <x:v>84.91674956110481</x:v>
      </x:c>
      <x:c r="O218" s="6" t="str">
        <x:v>1.8048862594997692</x:v>
      </x:c>
      <x:c r="P218" s="6" t="str">
        <x:v>172.27712220602587</x:v>
      </x:c>
      <x:c r="Q218" s="6" t="str">
        <x:v>66.53201951982204</x:v>
      </x:c>
      <x:c r="R218" s="6" t="str">
        <x:v>0.9136578717475601</x:v>
      </x:c>
      <x:c r="S218" s="8" t="str">
        <x:v>1.6214991542381645</x:v>
      </x:c>
      <x:c r="T218" s="6" t="str">
        <x:v>2.230981642563762</x:v>
      </x:c>
      <x:c r="U218" s="8" t="str">
        <x:v>1.2360788004348189</x:v>
      </x:c>
      <x:c r="V218" s="6" t="str">
        <x:v>87.08681296987402</x:v>
      </x:c>
      <x:c r="W218" s="8" t="str">
        <x:v>1.3089458819738373</x:v>
      </x:c>
      <x:c r="X218" s="6" t="str">
        <x:v>2.5886181485930946</x:v>
      </x:c>
      <x:c r="Y218" s="6" t="str">
        <x:v>3.2697290875394853</x:v>
      </x:c>
      <x:c r="Z218" s="6" t="str">
        <x:v>2.493282130123582</x:v>
      </x:c>
      <x:c r="AA218" s="6" t="str">
        <x:v>-0.28142042872010953</x:v>
      </x:c>
      <x:c r="AB218" s="6" t="str">
        <x:v>-1.5639333106812205</x:v>
      </x:c>
      <x:c r="AC218" s="6" t="str">
        <x:v>-0.20309164632217044</x:v>
      </x:c>
      <x:c r="AD218" s="6" t="str">
        <x:v>-0.13788403839107036</x:v>
      </x:c>
      <x:c r="AE218" s="6" t="str">
        <x:v>1.0094013358420773</x:v>
      </x:c>
      <x:c r="AF218" s="6" t="str">
        <x:v>0.7268210598082812</x:v>
      </x:c>
      <x:c r="AG218" s="6" t="str">
        <x:v>1</x:v>
      </x:c>
      <x:c r="AH218" s="6" t="str">
        <x:v>1</x:v>
      </x:c>
      <x:c r="AI218" s="6" t="str">
        <x:v>2024-01</x:v>
      </x:c>
      <x:c r="AJ218" s="9" t="str">
        <x:v>NASA POWER (MERRA-2 meteorology)</x:v>
      </x:c>
      <x:c r="AK218" s="9" t="str">
        <x:v>Badan Informasi Geospasial (BIG)</x:v>
      </x:c>
      <x:c r="AL218" s="9" t="str">
        <x:v>https://power.larc.nasa.gov/docs/services/api/temporal/monthly/</x:v>
      </x:c>
      <x:c r="AM218" s="9" t="str">
        <x:v>https://geoservices.big.go.id/rbi/rest/services/BATASWILAYAH/BATAS_WILAYAH/MapServer/12</x:v>
      </x:c>
    </x:row>
    <x:row r="219" ht="18" customHeight="1">
      <x:c r="A219" s="6" t="str">
        <x:v>21</x:v>
      </x:c>
      <x:c r="B219" s="6" t="str">
        <x:v>KEPULAUAN RIAU</x:v>
      </x:c>
      <x:c r="C219" s="6" t="str">
        <x:v>2024</x:v>
      </x:c>
      <x:c r="D219" s="6" t="str">
        <x:v>2</x:v>
      </x:c>
      <x:c r="E219" s="6" t="str">
        <x:v>28.140312109548233</x:v>
      </x:c>
      <x:c r="F219" s="9" t="str">
        <x:v>grid_cells_within_BIG_polygon</x:v>
      </x:c>
      <x:c r="G219" s="6" t="str">
        <x:v>2</x:v>
      </x:c>
      <x:c r="H219" s="8" t="str">
        <x:v>82.89552218328262</x:v>
      </x:c>
      <x:c r="I219" s="6" t="str">
        <x:v>4.602965040708272</x:v>
      </x:c>
      <x:c r="J219" s="6" t="str">
        <x:v>29</x:v>
      </x:c>
      <x:c r="K219" s="6" t="str">
        <x:v>133.48598618053987</x:v>
      </x:c>
      <x:c r="L219" s="6" t="str">
        <x:v>26.853631829935676</x:v>
      </x:c>
      <x:c r="M219" s="6" t="str">
        <x:v>0.5411752084177059</x:v>
      </x:c>
      <x:c r="N219" s="6" t="str">
        <x:v>83.18137860639878</x:v>
      </x:c>
      <x:c r="O219" s="6" t="str">
        <x:v>2.353779425099828</x:v>
      </x:c>
      <x:c r="P219" s="6" t="str">
        <x:v>109.42068256561593</x:v>
      </x:c>
      <x:c r="Q219" s="6" t="str">
        <x:v>54.575437040900724</x:v>
      </x:c>
      <x:c r="R219" s="6" t="str">
        <x:v>1.2866802796125576</x:v>
      </x:c>
      <x:c r="S219" s="8" t="str">
        <x:v>2.377566931372499</x:v>
      </x:c>
      <x:c r="T219" s="6" t="str">
        <x:v>-0.285856423116158</x:v>
      </x:c>
      <x:c r="U219" s="8" t="str">
        <x:v>-0.12144571410043416</x:v>
      </x:c>
      <x:c r="V219" s="6" t="str">
        <x:v>24.065303614923934</x:v>
      </x:c>
      <x:c r="W219" s="8" t="str">
        <x:v>0.4409548492829945</x:v>
      </x:c>
      <x:c r="X219" s="6" t="str">
        <x:v>1.6214991542381645</x:v>
      </x:c>
      <x:c r="Y219" s="6" t="str">
        <x:v>2.5886181485930946</x:v>
      </x:c>
      <x:c r="Z219" s="6" t="str">
        <x:v>2.1958947447345865</x:v>
      </x:c>
      <x:c r="AA219" s="6" t="str">
        <x:v>1.2360788004348189</x:v>
      </x:c>
      <x:c r="AB219" s="6" t="str">
        <x:v>-0.28142042872010953</x:v>
      </x:c>
      <x:c r="AC219" s="6" t="str">
        <x:v>0.2777375525380917</x:v>
      </x:c>
      <x:c r="AD219" s="6" t="str">
        <x:v>1.3089458819738373</x:v>
      </x:c>
      <x:c r="AE219" s="6" t="str">
        <x:v>-0.13788403839107036</x:v>
      </x:c>
      <x:c r="AF219" s="6" t="str">
        <x:v>0.5373388976219201</x:v>
      </x:c>
      <x:c r="AG219" s="6" t="str">
        <x:v>0</x:v>
      </x:c>
      <x:c r="AH219" s="6" t="str">
        <x:v>1</x:v>
      </x:c>
      <x:c r="AI219" s="6" t="str">
        <x:v>2024-02</x:v>
      </x:c>
      <x:c r="AJ219" s="9" t="str">
        <x:v>NASA POWER (MERRA-2 meteorology)</x:v>
      </x:c>
      <x:c r="AK219" s="9" t="str">
        <x:v>Badan Informasi Geospasial (BIG)</x:v>
      </x:c>
      <x:c r="AL219" s="9" t="str">
        <x:v>https://power.larc.nasa.gov/docs/services/api/temporal/monthly/</x:v>
      </x:c>
      <x:c r="AM219" s="9" t="str">
        <x:v>https://geoservices.big.go.id/rbi/rest/services/BATASWILAYAH/BATAS_WILAYAH/MapServer/12</x:v>
      </x:c>
    </x:row>
    <x:row r="220" ht="18" customHeight="1">
      <x:c r="A220" s="6" t="str">
        <x:v>21</x:v>
      </x:c>
      <x:c r="B220" s="6" t="str">
        <x:v>KEPULAUAN RIAU</x:v>
      </x:c>
      <x:c r="C220" s="6" t="str">
        <x:v>2024</x:v>
      </x:c>
      <x:c r="D220" s="6" t="str">
        <x:v>3</x:v>
      </x:c>
      <x:c r="E220" s="6" t="str">
        <x:v>28.530180063200905</x:v>
      </x:c>
      <x:c r="F220" s="9" t="str">
        <x:v>grid_cells_within_BIG_polygon</x:v>
      </x:c>
      <x:c r="G220" s="6" t="str">
        <x:v>2</x:v>
      </x:c>
      <x:c r="H220" s="8" t="str">
        <x:v>80.74090031600453</x:v>
      </x:c>
      <x:c r="I220" s="6" t="str">
        <x:v>4.913937381993172</x:v>
      </x:c>
      <x:c r="J220" s="6" t="str">
        <x:v>31</x:v>
      </x:c>
      <x:c r="K220" s="6" t="str">
        <x:v>152.33205884178832</x:v>
      </x:c>
      <x:c r="L220" s="6" t="str">
        <x:v>27.59057181703942</x:v>
      </x:c>
      <x:c r="M220" s="6" t="str">
        <x:v>0.48839903862378714</x:v>
      </x:c>
      <x:c r="N220" s="6" t="str">
        <x:v>80.68855061776647</x:v>
      </x:c>
      <x:c r="O220" s="6" t="str">
        <x:v>2.179368047139333</x:v>
      </x:c>
      <x:c r="P220" s="6" t="str">
        <x:v>134.14767761573455</x:v>
      </x:c>
      <x:c r="Q220" s="6" t="str">
        <x:v>47.27500535593648</x:v>
      </x:c>
      <x:c r="R220" s="6" t="str">
        <x:v>0.9396082461614839</x:v>
      </x:c>
      <x:c r="S220" s="8" t="str">
        <x:v>1.9238535948168856</x:v>
      </x:c>
      <x:c r="T220" s="6" t="str">
        <x:v>0.05234969823806068</x:v>
      </x:c>
      <x:c r="U220" s="8" t="str">
        <x:v>0.02402058629187281</x:v>
      </x:c>
      <x:c r="V220" s="6" t="str">
        <x:v>18.184381226053773</x:v>
      </x:c>
      <x:c r="W220" s="8" t="str">
        <x:v>0.3846510664386482</x:v>
      </x:c>
      <x:c r="X220" s="6" t="str">
        <x:v>2.377566931372499</x:v>
      </x:c>
      <x:c r="Y220" s="6" t="str">
        <x:v>1.6214991542381645</x:v>
      </x:c>
      <x:c r="Z220" s="6" t="str">
        <x:v>1.9743065601425167</x:v>
      </x:c>
      <x:c r="AA220" s="6" t="str">
        <x:v>-0.12144571410043416</x:v>
      </x:c>
      <x:c r="AB220" s="6" t="str">
        <x:v>1.2360788004348189</x:v>
      </x:c>
      <x:c r="AC220" s="6" t="str">
        <x:v>0.3795512242087524</x:v>
      </x:c>
      <x:c r="AD220" s="6" t="str">
        <x:v>0.4409548492829945</x:v>
      </x:c>
      <x:c r="AE220" s="6" t="str">
        <x:v>1.3089458819738373</x:v>
      </x:c>
      <x:c r="AF220" s="6" t="str">
        <x:v>0.7115172658984931</x:v>
      </x:c>
      <x:c r="AG220" s="6" t="str">
        <x:v>0</x:v>
      </x:c>
      <x:c r="AH220" s="6" t="str">
        <x:v>1</x:v>
      </x:c>
      <x:c r="AI220" s="6" t="str">
        <x:v>2024-03</x:v>
      </x:c>
      <x:c r="AJ220" s="9" t="str">
        <x:v>NASA POWER (MERRA-2 meteorology)</x:v>
      </x:c>
      <x:c r="AK220" s="9" t="str">
        <x:v>Badan Informasi Geospasial (BIG)</x:v>
      </x:c>
      <x:c r="AL220" s="9" t="str">
        <x:v>https://power.larc.nasa.gov/docs/services/api/temporal/monthly/</x:v>
      </x:c>
      <x:c r="AM220" s="9" t="str">
        <x:v>https://geoservices.big.go.id/rbi/rest/services/BATASWILAYAH/BATAS_WILAYAH/MapServer/12</x:v>
      </x:c>
    </x:row>
    <x:row r="221" ht="18" customHeight="1">
      <x:c r="A221" s="6" t="str">
        <x:v>21</x:v>
      </x:c>
      <x:c r="B221" s="6" t="str">
        <x:v>KEPULAUAN RIAU</x:v>
      </x:c>
      <x:c r="C221" s="6" t="str">
        <x:v>2024</x:v>
      </x:c>
      <x:c r="D221" s="6" t="str">
        <x:v>4</x:v>
      </x:c>
      <x:c r="E221" s="6" t="str">
        <x:v>29.534933976826334</x:v>
      </x:c>
      <x:c r="F221" s="9" t="str">
        <x:v>grid_cells_within_BIG_polygon</x:v>
      </x:c>
      <x:c r="G221" s="6" t="str">
        <x:v>2</x:v>
      </x:c>
      <x:c r="H221" s="8" t="str">
        <x:v>78.13679462990237</x:v>
      </x:c>
      <x:c r="I221" s="6" t="str">
        <x:v>4.553793331432446</x:v>
      </x:c>
      <x:c r="J221" s="6" t="str">
        <x:v>30</x:v>
      </x:c>
      <x:c r="K221" s="6" t="str">
        <x:v>136.61379994297337</x:v>
      </x:c>
      <x:c r="L221" s="6" t="str">
        <x:v>28.334772311915245</x:v>
      </x:c>
      <x:c r="M221" s="6" t="str">
        <x:v>0.4307073129518265</x:v>
      </x:c>
      <x:c r="N221" s="6" t="str">
        <x:v>78.47679586300657</x:v>
      </x:c>
      <x:c r="O221" s="6" t="str">
        <x:v>1.7014253111392845</x:v>
      </x:c>
      <x:c r="P221" s="6" t="str">
        <x:v>146.91722334988387</x:v>
      </x:c>
      <x:c r="Q221" s="6" t="str">
        <x:v>27.80840598649151</x:v>
      </x:c>
      <x:c r="R221" s="6" t="str">
        <x:v>1.2001616649110893</x:v>
      </x:c>
      <x:c r="S221" s="8" t="str">
        <x:v>2.786490103188297</x:v>
      </x:c>
      <x:c r="T221" s="6" t="str">
        <x:v>-0.3400012331042035</x:v>
      </x:c>
      <x:c r="U221" s="8" t="str">
        <x:v>-0.199833181555608</x:v>
      </x:c>
      <x:c r="V221" s="6" t="str">
        <x:v>-10.303423406910497</x:v>
      </x:c>
      <x:c r="W221" s="8" t="str">
        <x:v>-0.37051470738436393</x:v>
      </x:c>
      <x:c r="X221" s="6" t="str">
        <x:v>1.9238535948168856</x:v>
      </x:c>
      <x:c r="Y221" s="6" t="str">
        <x:v>2.377566931372499</x:v>
      </x:c>
      <x:c r="Z221" s="6" t="str">
        <x:v>2.3626368764592276</x:v>
      </x:c>
      <x:c r="AA221" s="6" t="str">
        <x:v>0.02402058629187281</x:v>
      </x:c>
      <x:c r="AB221" s="6" t="str">
        <x:v>-0.12144571410043416</x:v>
      </x:c>
      <x:c r="AC221" s="6" t="str">
        <x:v>-0.09908610312138987</x:v>
      </x:c>
      <x:c r="AD221" s="6" t="str">
        <x:v>0.3846510664386482</x:v>
      </x:c>
      <x:c r="AE221" s="6" t="str">
        <x:v>0.4409548492829945</x:v>
      </x:c>
      <x:c r="AF221" s="6" t="str">
        <x:v>0.1516970694457593</x:v>
      </x:c>
      <x:c r="AG221" s="6" t="str">
        <x:v>0</x:v>
      </x:c>
      <x:c r="AH221" s="6" t="str">
        <x:v>1</x:v>
      </x:c>
      <x:c r="AI221" s="6" t="str">
        <x:v>2024-04</x:v>
      </x:c>
      <x:c r="AJ221" s="9" t="str">
        <x:v>NASA POWER (MERRA-2 meteorology)</x:v>
      </x:c>
      <x:c r="AK221" s="9" t="str">
        <x:v>Badan Informasi Geospasial (BIG)</x:v>
      </x:c>
      <x:c r="AL221" s="9" t="str">
        <x:v>https://power.larc.nasa.gov/docs/services/api/temporal/monthly/</x:v>
      </x:c>
      <x:c r="AM221" s="9" t="str">
        <x:v>https://geoservices.big.go.id/rbi/rest/services/BATASWILAYAH/BATAS_WILAYAH/MapServer/12</x:v>
      </x:c>
    </x:row>
    <x:row r="222" ht="18" customHeight="1">
      <x:c r="A222" s="6" t="str">
        <x:v>21</x:v>
      </x:c>
      <x:c r="B222" s="6" t="str">
        <x:v>KEPULAUAN RIAU</x:v>
      </x:c>
      <x:c r="C222" s="6" t="str">
        <x:v>2024</x:v>
      </x:c>
      <x:c r="D222" s="6" t="str">
        <x:v>5</x:v>
      </x:c>
      <x:c r="E222" s="6" t="str">
        <x:v>29.83962786938479</x:v>
      </x:c>
      <x:c r="F222" s="9" t="str">
        <x:v>grid_cells_within_BIG_polygon</x:v>
      </x:c>
      <x:c r="G222" s="6" t="str">
        <x:v>2</x:v>
      </x:c>
      <x:c r="H222" s="8" t="str">
        <x:v>78.55895538831327</x:v>
      </x:c>
      <x:c r="I222" s="6" t="str">
        <x:v>6.569039417807019</x:v>
      </x:c>
      <x:c r="J222" s="6" t="str">
        <x:v>31</x:v>
      </x:c>
      <x:c r="K222" s="6" t="str">
        <x:v>203.6402219520176</x:v>
      </x:c>
      <x:c r="L222" s="6" t="str">
        <x:v>28.725979200867496</x:v>
      </x:c>
      <x:c r="M222" s="6" t="str">
        <x:v>0.4044742005069593</x:v>
      </x:c>
      <x:c r="N222" s="6" t="str">
        <x:v>78.82978822765523</x:v>
      </x:c>
      <x:c r="O222" s="6" t="str">
        <x:v>1.5277284118859762</x:v>
      </x:c>
      <x:c r="P222" s="6" t="str">
        <x:v>160.25571954922353</x:v>
      </x:c>
      <x:c r="Q222" s="6" t="str">
        <x:v>35.35134234441082</x:v>
      </x:c>
      <x:c r="R222" s="6" t="str">
        <x:v>1.1136486685172926</x:v>
      </x:c>
      <x:c r="S222" s="8" t="str">
        <x:v>2.7533243581950817</x:v>
      </x:c>
      <x:c r="T222" s="6" t="str">
        <x:v>-0.27083283934196345</x:v>
      </x:c>
      <x:c r="U222" s="8" t="str">
        <x:v>-0.17727813218294547</x:v>
      </x:c>
      <x:c r="V222" s="6" t="str">
        <x:v>43.384502402794084</x:v>
      </x:c>
      <x:c r="W222" s="8" t="str">
        <x:v>1.227237765969963</x:v>
      </x:c>
      <x:c r="X222" s="6" t="str">
        <x:v>2.786490103188297</x:v>
      </x:c>
      <x:c r="Y222" s="6" t="str">
        <x:v>1.9238535948168856</x:v>
      </x:c>
      <x:c r="Z222" s="6" t="str">
        <x:v>2.487889352066755</x:v>
      </x:c>
      <x:c r="AA222" s="6" t="str">
        <x:v>-0.199833181555608</x:v>
      </x:c>
      <x:c r="AB222" s="6" t="str">
        <x:v>0.02402058629187281</x:v>
      </x:c>
      <x:c r="AC222" s="6" t="str">
        <x:v>-0.11769690914889364</x:v>
      </x:c>
      <x:c r="AD222" s="6" t="str">
        <x:v>-0.37051470738436393</x:v>
      </x:c>
      <x:c r="AE222" s="6" t="str">
        <x:v>0.3846510664386482</x:v>
      </x:c>
      <x:c r="AF222" s="6" t="str">
        <x:v>0.4137913750080821</x:v>
      </x:c>
      <x:c r="AG222" s="6" t="str">
        <x:v>1</x:v>
      </x:c>
      <x:c r="AH222" s="6" t="str">
        <x:v>1</x:v>
      </x:c>
      <x:c r="AI222" s="6" t="str">
        <x:v>2024-05</x:v>
      </x:c>
      <x:c r="AJ222" s="9" t="str">
        <x:v>NASA POWER (MERRA-2 meteorology)</x:v>
      </x:c>
      <x:c r="AK222" s="9" t="str">
        <x:v>Badan Informasi Geospasial (BIG)</x:v>
      </x:c>
      <x:c r="AL222" s="9" t="str">
        <x:v>https://power.larc.nasa.gov/docs/services/api/temporal/monthly/</x:v>
      </x:c>
      <x:c r="AM222" s="9" t="str">
        <x:v>https://geoservices.big.go.id/rbi/rest/services/BATASWILAYAH/BATAS_WILAYAH/MapServer/12</x:v>
      </x:c>
    </x:row>
    <x:row r="223" ht="18" customHeight="1">
      <x:c r="A223" s="6" t="str">
        <x:v>21</x:v>
      </x:c>
      <x:c r="B223" s="6" t="str">
        <x:v>KEPULAUAN RIAU</x:v>
      </x:c>
      <x:c r="C223" s="6" t="str">
        <x:v>2024</x:v>
      </x:c>
      <x:c r="D223" s="6" t="str">
        <x:v>6</x:v>
      </x:c>
      <x:c r="E223" s="6" t="str">
        <x:v>29.154885959972756</x:v>
      </x:c>
      <x:c r="F223" s="9" t="str">
        <x:v>grid_cells_within_BIG_polygon</x:v>
      </x:c>
      <x:c r="G223" s="6" t="str">
        <x:v>2</x:v>
      </x:c>
      <x:c r="H223" s="8" t="str">
        <x:v>79.11665057934164</x:v>
      </x:c>
      <x:c r="I223" s="6" t="str">
        <x:v>7.630012004213393</x:v>
      </x:c>
      <x:c r="J223" s="6" t="str">
        <x:v>30</x:v>
      </x:c>
      <x:c r="K223" s="6" t="str">
        <x:v>228.90036012640178</x:v>
      </x:c>
      <x:c r="L223" s="6" t="str">
        <x:v>28.468635063742113</x:v>
      </x:c>
      <x:c r="M223" s="6" t="str">
        <x:v>0.33604212592687965</x:v>
      </x:c>
      <x:c r="N223" s="6" t="str">
        <x:v>79.60702476785409</x:v>
      </x:c>
      <x:c r="O223" s="6" t="str">
        <x:v>1.519392381700444</x:v>
      </x:c>
      <x:c r="P223" s="6" t="str">
        <x:v>157.30298904913508</x:v>
      </x:c>
      <x:c r="Q223" s="6" t="str">
        <x:v>51.88163992669994</x:v>
      </x:c>
      <x:c r="R223" s="6" t="str">
        <x:v>0.6862508962306428</x:v>
      </x:c>
      <x:c r="S223" s="8" t="str">
        <x:v>2.0421573466059018</x:v>
      </x:c>
      <x:c r="T223" s="6" t="str">
        <x:v>-0.4903741885124475</x:v>
      </x:c>
      <x:c r="U223" s="8" t="str">
        <x:v>-0.32274361410423824</x:v>
      </x:c>
      <x:c r="V223" s="6" t="str">
        <x:v>71.5973710772667</x:v>
      </x:c>
      <x:c r="W223" s="8" t="str">
        <x:v>1.3800136460301136</x:v>
      </x:c>
      <x:c r="X223" s="6" t="str">
        <x:v>2.7533243581950817</x:v>
      </x:c>
      <x:c r="Y223" s="6" t="str">
        <x:v>2.786490103188297</x:v>
      </x:c>
      <x:c r="Z223" s="6" t="str">
        <x:v>2.527323935996427</x:v>
      </x:c>
      <x:c r="AA223" s="6" t="str">
        <x:v>-0.17727813218294547</x:v>
      </x:c>
      <x:c r="AB223" s="6" t="str">
        <x:v>-0.199833181555608</x:v>
      </x:c>
      <x:c r="AC223" s="6" t="str">
        <x:v>-0.2332849759475973</x:v>
      </x:c>
      <x:c r="AD223" s="6" t="str">
        <x:v>1.227237765969963</x:v>
      </x:c>
      <x:c r="AE223" s="6" t="str">
        <x:v>-0.37051470738436393</x:v>
      </x:c>
      <x:c r="AF223" s="6" t="str">
        <x:v>0.7455789015385705</x:v>
      </x:c>
      <x:c r="AG223" s="6" t="str">
        <x:v>1</x:v>
      </x:c>
      <x:c r="AH223" s="6" t="str">
        <x:v>1</x:v>
      </x:c>
      <x:c r="AI223" s="6" t="str">
        <x:v>2024-06</x:v>
      </x:c>
      <x:c r="AJ223" s="9" t="str">
        <x:v>NASA POWER (MERRA-2 meteorology)</x:v>
      </x:c>
      <x:c r="AK223" s="9" t="str">
        <x:v>Badan Informasi Geospasial (BIG)</x:v>
      </x:c>
      <x:c r="AL223" s="9" t="str">
        <x:v>https://power.larc.nasa.gov/docs/services/api/temporal/monthly/</x:v>
      </x:c>
      <x:c r="AM223" s="9" t="str">
        <x:v>https://geoservices.big.go.id/rbi/rest/services/BATASWILAYAH/BATAS_WILAYAH/MapServer/12</x:v>
      </x:c>
    </x:row>
    <x:row r="224" ht="18" customHeight="1">
      <x:c r="A224" s="6" t="str">
        <x:v>21</x:v>
      </x:c>
      <x:c r="B224" s="6" t="str">
        <x:v>KEPULAUAN RIAU</x:v>
      </x:c>
      <x:c r="C224" s="6" t="str">
        <x:v>2024</x:v>
      </x:c>
      <x:c r="D224" s="6" t="str">
        <x:v>7</x:v>
      </x:c>
      <x:c r="E224" s="6" t="str">
        <x:v>29.039831941012483</x:v>
      </x:c>
      <x:c r="F224" s="9" t="str">
        <x:v>grid_cells_within_BIG_polygon</x:v>
      </x:c>
      <x:c r="G224" s="6" t="str">
        <x:v>2</x:v>
      </x:c>
      <x:c r="H224" s="8" t="str">
        <x:v>79.66469389255845</x:v>
      </x:c>
      <x:c r="I224" s="6" t="str">
        <x:v>4.089219726129402</x:v>
      </x:c>
      <x:c r="J224" s="6" t="str">
        <x:v>31</x:v>
      </x:c>
      <x:c r="K224" s="6" t="str">
        <x:v>126.76581151001146</x:v>
      </x:c>
      <x:c r="L224" s="6" t="str">
        <x:v>28.06677272022641</x:v>
      </x:c>
      <x:c r="M224" s="6" t="str">
        <x:v>0.3144351025037436</x:v>
      </x:c>
      <x:c r="N224" s="6" t="str">
        <x:v>80.12500157604964</x:v>
      </x:c>
      <x:c r="O224" s="6" t="str">
        <x:v>1.2805111946791619</x:v>
      </x:c>
      <x:c r="P224" s="6" t="str">
        <x:v>156.32303879728187</x:v>
      </x:c>
      <x:c r="Q224" s="6" t="str">
        <x:v>53.94290478795805</x:v>
      </x:c>
      <x:c r="R224" s="6" t="str">
        <x:v>0.9730592207860731</x:v>
      </x:c>
      <x:c r="S224" s="8" t="str">
        <x:v>3.094626563758059</x:v>
      </x:c>
      <x:c r="T224" s="6" t="str">
        <x:v>-0.46030768349119455</x:v>
      </x:c>
      <x:c r="U224" s="8" t="str">
        <x:v>-0.3594718151656041</x:v>
      </x:c>
      <x:c r="V224" s="6" t="str">
        <x:v>-29.557227287270408</x:v>
      </x:c>
      <x:c r="W224" s="8" t="str">
        <x:v>-0.5479354032463714</x:v>
      </x:c>
      <x:c r="X224" s="6" t="str">
        <x:v>2.0421573466059018</x:v>
      </x:c>
      <x:c r="Y224" s="6" t="str">
        <x:v>2.7533243581950817</x:v>
      </x:c>
      <x:c r="Z224" s="6" t="str">
        <x:v>2.630036089519681</x:v>
      </x:c>
      <x:c r="AA224" s="6" t="str">
        <x:v>-0.32274361410423824</x:v>
      </x:c>
      <x:c r="AB224" s="6" t="str">
        <x:v>-0.17727813218294547</x:v>
      </x:c>
      <x:c r="AC224" s="6" t="str">
        <x:v>-0.286497853817596</x:v>
      </x:c>
      <x:c r="AD224" s="6" t="str">
        <x:v>1.3800136460301136</x:v>
      </x:c>
      <x:c r="AE224" s="6" t="str">
        <x:v>1.227237765969963</x:v>
      </x:c>
      <x:c r="AF224" s="6" t="str">
        <x:v>0.6864386695845681</x:v>
      </x:c>
      <x:c r="AG224" s="6" t="str">
        <x:v>0</x:v>
      </x:c>
      <x:c r="AH224" s="6" t="str">
        <x:v>1</x:v>
      </x:c>
      <x:c r="AI224" s="6" t="str">
        <x:v>2024-07</x:v>
      </x:c>
      <x:c r="AJ224" s="9" t="str">
        <x:v>NASA POWER (MERRA-2 meteorology)</x:v>
      </x:c>
      <x:c r="AK224" s="9" t="str">
        <x:v>Badan Informasi Geospasial (BIG)</x:v>
      </x:c>
      <x:c r="AL224" s="9" t="str">
        <x:v>https://power.larc.nasa.gov/docs/services/api/temporal/monthly/</x:v>
      </x:c>
      <x:c r="AM224" s="9" t="str">
        <x:v>https://geoservices.big.go.id/rbi/rest/services/BATASWILAYAH/BATAS_WILAYAH/MapServer/12</x:v>
      </x:c>
    </x:row>
    <x:row r="225" ht="18" customHeight="1">
      <x:c r="A225" s="6" t="str">
        <x:v>21</x:v>
      </x:c>
      <x:c r="B225" s="6" t="str">
        <x:v>KEPULAUAN RIAU</x:v>
      </x:c>
      <x:c r="C225" s="6" t="str">
        <x:v>2024</x:v>
      </x:c>
      <x:c r="D225" s="6" t="str">
        <x:v>8</x:v>
      </x:c>
      <x:c r="E225" s="6" t="str">
        <x:v>28.745006002106695</x:v>
      </x:c>
      <x:c r="F225" s="9" t="str">
        <x:v>grid_cells_within_BIG_polygon</x:v>
      </x:c>
      <x:c r="G225" s="6" t="str">
        <x:v>2</x:v>
      </x:c>
      <x:c r="H225" s="8" t="str">
        <x:v>79.06030010533485</x:v>
      </x:c>
      <x:c r="I225" s="6" t="str">
        <x:v>5.289099683995463</x:v>
      </x:c>
      <x:c r="J225" s="6" t="str">
        <x:v>31</x:v>
      </x:c>
      <x:c r="K225" s="6" t="str">
        <x:v>163.96209020385936</x:v>
      </x:c>
      <x:c r="L225" s="6" t="str">
        <x:v>28.002691883685507</x:v>
      </x:c>
      <x:c r="M225" s="6" t="str">
        <x:v>0.29450706025058965</x:v>
      </x:c>
      <x:c r="N225" s="6" t="str">
        <x:v>79.97287037083677</x:v>
      </x:c>
      <x:c r="O225" s="6" t="str">
        <x:v>1.465481870892665</x:v>
      </x:c>
      <x:c r="P225" s="6" t="str">
        <x:v>145.3374893306878</x:v>
      </x:c>
      <x:c r="Q225" s="6" t="str">
        <x:v>59.80569425101565</x:v>
      </x:c>
      <x:c r="R225" s="6" t="str">
        <x:v>0.7423141184211879</x:v>
      </x:c>
      <x:c r="S225" s="8" t="str">
        <x:v>2.5205308076131314</x:v>
      </x:c>
      <x:c r="T225" s="6" t="str">
        <x:v>-0.9125702655019268</x:v>
      </x:c>
      <x:c r="U225" s="8" t="str">
        <x:v>-0.62271003389899</x:v>
      </x:c>
      <x:c r="V225" s="6" t="str">
        <x:v>18.624600873171573</x:v>
      </x:c>
      <x:c r="W225" s="8" t="str">
        <x:v>0.31141852137023357</x:v>
      </x:c>
      <x:c r="X225" s="6" t="str">
        <x:v>3.094626563758059</x:v>
      </x:c>
      <x:c r="Y225" s="6" t="str">
        <x:v>2.0421573466059018</x:v>
      </x:c>
      <x:c r="Z225" s="6" t="str">
        <x:v>2.5524382393256975</x:v>
      </x:c>
      <x:c r="AA225" s="6" t="str">
        <x:v>-0.3594718151656041</x:v>
      </x:c>
      <x:c r="AB225" s="6" t="str">
        <x:v>-0.32274361410423824</x:v>
      </x:c>
      <x:c r="AC225" s="6" t="str">
        <x:v>-0.4349751543896108</x:v>
      </x:c>
      <x:c r="AD225" s="6" t="str">
        <x:v>-0.5479354032463714</x:v>
      </x:c>
      <x:c r="AE225" s="6" t="str">
        <x:v>1.3800136460301136</x:v>
      </x:c>
      <x:c r="AF225" s="6" t="str">
        <x:v>0.38116558805132494</x:v>
      </x:c>
      <x:c r="AG225" s="6" t="str">
        <x:v>0</x:v>
      </x:c>
      <x:c r="AH225" s="6" t="str">
        <x:v>1</x:v>
      </x:c>
      <x:c r="AI225" s="6" t="str">
        <x:v>2024-08</x:v>
      </x:c>
      <x:c r="AJ225" s="9" t="str">
        <x:v>NASA POWER (MERRA-2 meteorology)</x:v>
      </x:c>
      <x:c r="AK225" s="9" t="str">
        <x:v>Badan Informasi Geospasial (BIG)</x:v>
      </x:c>
      <x:c r="AL225" s="9" t="str">
        <x:v>https://power.larc.nasa.gov/docs/services/api/temporal/monthly/</x:v>
      </x:c>
      <x:c r="AM225" s="9" t="str">
        <x:v>https://geoservices.big.go.id/rbi/rest/services/BATASWILAYAH/BATAS_WILAYAH/MapServer/12</x:v>
      </x:c>
    </x:row>
    <x:row r="226" ht="18" customHeight="1">
      <x:c r="A226" s="6" t="str">
        <x:v>21</x:v>
      </x:c>
      <x:c r="B226" s="6" t="str">
        <x:v>KEPULAUAN RIAU</x:v>
      </x:c>
      <x:c r="C226" s="6" t="str">
        <x:v>2024</x:v>
      </x:c>
      <x:c r="D226" s="6" t="str">
        <x:v>9</x:v>
      </x:c>
      <x:c r="E226" s="6" t="str">
        <x:v>28.85495798525312</x:v>
      </x:c>
      <x:c r="F226" s="9" t="str">
        <x:v>grid_cells_within_BIG_polygon</x:v>
      </x:c>
      <x:c r="G226" s="6" t="str">
        <x:v>2</x:v>
      </x:c>
      <x:c r="H226" s="8" t="str">
        <x:v>79.43420171980931</x:v>
      </x:c>
      <x:c r="I226" s="6" t="str">
        <x:v>5.465966339178202</x:v>
      </x:c>
      <x:c r="J226" s="6" t="str">
        <x:v>30</x:v>
      </x:c>
      <x:c r="K226" s="6" t="str">
        <x:v>163.97899017534604</x:v>
      </x:c>
      <x:c r="L226" s="6" t="str">
        <x:v>27.972951983146423</x:v>
      </x:c>
      <x:c r="M226" s="6" t="str">
        <x:v>0.2903034293499244</x:v>
      </x:c>
      <x:c r="N226" s="6" t="str">
        <x:v>79.44582796412016</x:v>
      </x:c>
      <x:c r="O226" s="6" t="str">
        <x:v>1.5906544691703692</x:v>
      </x:c>
      <x:c r="P226" s="6" t="str">
        <x:v>152.41641049507376</x:v>
      </x:c>
      <x:c r="Q226" s="6" t="str">
        <x:v>58.82842674775183</x:v>
      </x:c>
      <x:c r="R226" s="6" t="str">
        <x:v>0.8820060021066958</x:v>
      </x:c>
      <x:c r="S226" s="8" t="str">
        <x:v>3.03822109191672</x:v>
      </x:c>
      <x:c r="T226" s="6" t="str">
        <x:v>-0.0116262443108468</x:v>
      </x:c>
      <x:c r="U226" s="8" t="str">
        <x:v>-0.00730909480102907</x:v>
      </x:c>
      <x:c r="V226" s="6" t="str">
        <x:v>11.562579680272279</x:v>
      </x:c>
      <x:c r="W226" s="8" t="str">
        <x:v>0.19654749105990926</x:v>
      </x:c>
      <x:c r="X226" s="6" t="str">
        <x:v>2.5205308076131314</x:v>
      </x:c>
      <x:c r="Y226" s="6" t="str">
        <x:v>3.094626563758059</x:v>
      </x:c>
      <x:c r="Z226" s="6" t="str">
        <x:v>2.884459487762637</x:v>
      </x:c>
      <x:c r="AA226" s="6" t="str">
        <x:v>-0.62271003389899</x:v>
      </x:c>
      <x:c r="AB226" s="6" t="str">
        <x:v>-0.3594718151656041</x:v>
      </x:c>
      <x:c r="AC226" s="6" t="str">
        <x:v>-0.32983031462187445</x:v>
      </x:c>
      <x:c r="AD226" s="6" t="str">
        <x:v>0.31141852137023357</x:v>
      </x:c>
      <x:c r="AE226" s="6" t="str">
        <x:v>-0.5479354032463714</x:v>
      </x:c>
      <x:c r="AF226" s="6" t="str">
        <x:v>-0.01332313027207647</x:v>
      </x:c>
      <x:c r="AG226" s="6" t="str">
        <x:v>0</x:v>
      </x:c>
      <x:c r="AH226" s="6" t="str">
        <x:v>1</x:v>
      </x:c>
      <x:c r="AI226" s="6" t="str">
        <x:v>2024-09</x:v>
      </x:c>
      <x:c r="AJ226" s="9" t="str">
        <x:v>NASA POWER (MERRA-2 meteorology)</x:v>
      </x:c>
      <x:c r="AK226" s="9" t="str">
        <x:v>Badan Informasi Geospasial (BIG)</x:v>
      </x:c>
      <x:c r="AL226" s="9" t="str">
        <x:v>https://power.larc.nasa.gov/docs/services/api/temporal/monthly/</x:v>
      </x:c>
      <x:c r="AM226" s="9" t="str">
        <x:v>https://geoservices.big.go.id/rbi/rest/services/BATASWILAYAH/BATAS_WILAYAH/MapServer/12</x:v>
      </x:c>
    </x:row>
    <x:row r="227" ht="18" customHeight="1">
      <x:c r="A227" s="6" t="str">
        <x:v>21</x:v>
      </x:c>
      <x:c r="B227" s="6" t="str">
        <x:v>KEPULAUAN RIAU</x:v>
      </x:c>
      <x:c r="C227" s="6" t="str">
        <x:v>2024</x:v>
      </x:c>
      <x:c r="D227" s="6" t="str">
        <x:v>10</x:v>
      </x:c>
      <x:c r="E227" s="6" t="str">
        <x:v>28.800144050560725</x:v>
      </x:c>
      <x:c r="F227" s="9" t="str">
        <x:v>grid_cells_within_BIG_polygon</x:v>
      </x:c>
      <x:c r="G227" s="6" t="str">
        <x:v>2</x:v>
      </x:c>
      <x:c r="H227" s="8" t="str">
        <x:v>79.36439378722362</x:v>
      </x:c>
      <x:c r="I227" s="6" t="str">
        <x:v>7.547106739450615</x:v>
      </x:c>
      <x:c r="J227" s="6" t="str">
        <x:v>31</x:v>
      </x:c>
      <x:c r="K227" s="6" t="str">
        <x:v>233.96030892296906</x:v>
      </x:c>
      <x:c r="L227" s="6" t="str">
        <x:v>27.873210081905103</x:v>
      </x:c>
      <x:c r="M227" s="6" t="str">
        <x:v>0.3216813750849455</x:v>
      </x:c>
      <x:c r="N227" s="6" t="str">
        <x:v>79.6462101309294</x:v>
      </x:c>
      <x:c r="O227" s="6" t="str">
        <x:v>2.0644177490328794</x:v>
      </x:c>
      <x:c r="P227" s="6" t="str">
        <x:v>198.33235627229485</x:v>
      </x:c>
      <x:c r="Q227" s="6" t="str">
        <x:v>59.64275753864132</x:v>
      </x:c>
      <x:c r="R227" s="6" t="str">
        <x:v>0.9269339686556215</x:v>
      </x:c>
      <x:c r="S227" s="8" t="str">
        <x:v>2.881528246423495</x:v>
      </x:c>
      <x:c r="T227" s="6" t="str">
        <x:v>-0.2818163437057848</x:v>
      </x:c>
      <x:c r="U227" s="8" t="str">
        <x:v>-0.13651129662967085</x:v>
      </x:c>
      <x:c r="V227" s="6" t="str">
        <x:v>35.62795265067422</x:v>
      </x:c>
      <x:c r="W227" s="8" t="str">
        <x:v>0.5973558923326373</x:v>
      </x:c>
      <x:c r="X227" s="6" t="str">
        <x:v>3.03822109191672</x:v>
      </x:c>
      <x:c r="Y227" s="6" t="str">
        <x:v>2.5205308076131314</x:v>
      </x:c>
      <x:c r="Z227" s="6" t="str">
        <x:v>2.813426715317782</x:v>
      </x:c>
      <x:c r="AA227" s="6" t="str">
        <x:v>-0.00730909480102907</x:v>
      </x:c>
      <x:c r="AB227" s="6" t="str">
        <x:v>-0.62271003389899</x:v>
      </x:c>
      <x:c r="AC227" s="6" t="str">
        <x:v>-0.25551014177656334</x:v>
      </x:c>
      <x:c r="AD227" s="6" t="str">
        <x:v>0.19654749105990926</x:v>
      </x:c>
      <x:c r="AE227" s="6" t="str">
        <x:v>0.31141852137023357</x:v>
      </x:c>
      <x:c r="AF227" s="6" t="str">
        <x:v>0.36844063492092644</x:v>
      </x:c>
      <x:c r="AG227" s="6" t="str">
        <x:v>0</x:v>
      </x:c>
      <x:c r="AH227" s="6" t="str">
        <x:v>1</x:v>
      </x:c>
      <x:c r="AI227" s="6" t="str">
        <x:v>2024-10</x:v>
      </x:c>
      <x:c r="AJ227" s="9" t="str">
        <x:v>NASA POWER (MERRA-2 meteorology)</x:v>
      </x:c>
      <x:c r="AK227" s="9" t="str">
        <x:v>Badan Informasi Geospasial (BIG)</x:v>
      </x:c>
      <x:c r="AL227" s="9" t="str">
        <x:v>https://power.larc.nasa.gov/docs/services/api/temporal/monthly/</x:v>
      </x:c>
      <x:c r="AM227" s="9" t="str">
        <x:v>https://geoservices.big.go.id/rbi/rest/services/BATASWILAYAH/BATAS_WILAYAH/MapServer/12</x:v>
      </x:c>
    </x:row>
    <x:row r="228" ht="18" customHeight="1">
      <x:c r="A228" s="6" t="str">
        <x:v>21</x:v>
      </x:c>
      <x:c r="B228" s="6" t="str">
        <x:v>KEPULAUAN RIAU</x:v>
      </x:c>
      <x:c r="C228" s="6" t="str">
        <x:v>2024</x:v>
      </x:c>
      <x:c r="D228" s="6" t="str">
        <x:v>11</x:v>
      </x:c>
      <x:c r="E228" s="6" t="str">
        <x:v>28.57</x:v>
      </x:c>
      <x:c r="F228" s="9" t="str">
        <x:v>grid_cells_within_BIG_polygon</x:v>
      </x:c>
      <x:c r="G228" s="6" t="str">
        <x:v>2</x:v>
      </x:c>
      <x:c r="H228" s="8" t="str">
        <x:v>79.698415443832</x:v>
      </x:c>
      <x:c r="I228" s="6" t="str">
        <x:v>7.829207721916007</x:v>
      </x:c>
      <x:c r="J228" s="6" t="str">
        <x:v>30</x:v>
      </x:c>
      <x:c r="K228" s="6" t="str">
        <x:v>234.87623165748022</x:v>
      </x:c>
      <x:c r="L228" s="6" t="str">
        <x:v>27.57961464023791</x:v>
      </x:c>
      <x:c r="M228" s="6" t="str">
        <x:v>0.4115091410305926</x:v>
      </x:c>
      <x:c r="N228" s="6" t="str">
        <x:v>81.74154308046371</x:v>
      </x:c>
      <x:c r="O228" s="6" t="str">
        <x:v>2.083233078277556</x:v>
      </x:c>
      <x:c r="P228" s="6" t="str">
        <x:v>237.91237658913047</x:v>
      </x:c>
      <x:c r="Q228" s="6" t="str">
        <x:v>44.39414993378688</x:v>
      </x:c>
      <x:c r="R228" s="6" t="str">
        <x:v>0.9903853597620902</x:v>
      </x:c>
      <x:c r="S228" s="8" t="str">
        <x:v>2.4067153339091014</x:v>
      </x:c>
      <x:c r="T228" s="6" t="str">
        <x:v>-2.0431276366317093</x:v>
      </x:c>
      <x:c r="U228" s="8" t="str">
        <x:v>-0.9807484615792457</x:v>
      </x:c>
      <x:c r="V228" s="6" t="str">
        <x:v>-3.036144931650256</x:v>
      </x:c>
      <x:c r="W228" s="8" t="str">
        <x:v>-0.06839065363744129</x:v>
      </x:c>
      <x:c r="X228" s="6" t="str">
        <x:v>2.881528246423495</x:v>
      </x:c>
      <x:c r="Y228" s="6" t="str">
        <x:v>3.03822109191672</x:v>
      </x:c>
      <x:c r="Z228" s="6" t="str">
        <x:v>2.7754882240831056</x:v>
      </x:c>
      <x:c r="AA228" s="6" t="str">
        <x:v>-0.13651129662967085</x:v>
      </x:c>
      <x:c r="AB228" s="6" t="str">
        <x:v>-0.00730909480102907</x:v>
      </x:c>
      <x:c r="AC228" s="6" t="str">
        <x:v>-0.3748562843366486</x:v>
      </x:c>
      <x:c r="AD228" s="6" t="str">
        <x:v>0.5973558923326373</x:v>
      </x:c>
      <x:c r="AE228" s="6" t="str">
        <x:v>0.19654749105990926</x:v>
      </x:c>
      <x:c r="AF228" s="6" t="str">
        <x:v>0.24183757658503477</x:v>
      </x:c>
      <x:c r="AG228" s="6" t="str">
        <x:v>0</x:v>
      </x:c>
      <x:c r="AH228" s="6" t="str">
        <x:v>1</x:v>
      </x:c>
      <x:c r="AI228" s="6" t="str">
        <x:v>2024-11</x:v>
      </x:c>
      <x:c r="AJ228" s="9" t="str">
        <x:v>NASA POWER (MERRA-2 meteorology)</x:v>
      </x:c>
      <x:c r="AK228" s="9" t="str">
        <x:v>Badan Informasi Geospasial (BIG)</x:v>
      </x:c>
      <x:c r="AL228" s="9" t="str">
        <x:v>https://power.larc.nasa.gov/docs/services/api/temporal/monthly/</x:v>
      </x:c>
      <x:c r="AM228" s="9" t="str">
        <x:v>https://geoservices.big.go.id/rbi/rest/services/BATASWILAYAH/BATAS_WILAYAH/MapServer/12</x:v>
      </x:c>
    </x:row>
    <x:row r="229" ht="18" customHeight="1">
      <x:c r="A229" s="6" t="str">
        <x:v>21</x:v>
      </x:c>
      <x:c r="B229" s="6" t="str">
        <x:v>KEPULAUAN RIAU</x:v>
      </x:c>
      <x:c r="C229" s="6" t="str">
        <x:v>2024</x:v>
      </x:c>
      <x:c r="D229" s="6" t="str">
        <x:v>12</x:v>
      </x:c>
      <x:c r="E229" s="6" t="str">
        <x:v>27.905354124295116</x:v>
      </x:c>
      <x:c r="F229" s="9" t="str">
        <x:v>grid_cells_within_BIG_polygon</x:v>
      </x:c>
      <x:c r="G229" s="6" t="str">
        <x:v>2</x:v>
      </x:c>
      <x:c r="H229" s="8" t="str">
        <x:v>83.28759915732122</x:v>
      </x:c>
      <x:c r="I229" s="6" t="str">
        <x:v>6.27075626544381</x:v>
      </x:c>
      <x:c r="J229" s="6" t="str">
        <x:v>31</x:v>
      </x:c>
      <x:c r="K229" s="6" t="str">
        <x:v>194.39344422875809</x:v>
      </x:c>
      <x:c r="L229" s="6" t="str">
        <x:v>27.045595425325764</x:v>
      </x:c>
      <x:c r="M229" s="6" t="str">
        <x:v>0.449895882455622</x:v>
      </x:c>
      <x:c r="N229" s="6" t="str">
        <x:v>84.79231178294422</x:v>
      </x:c>
      <x:c r="O229" s="6" t="str">
        <x:v>1.5233800749802393</x:v>
      </x:c>
      <x:c r="P229" s="6" t="str">
        <x:v>258.3523130078777</x:v>
      </x:c>
      <x:c r="Q229" s="6" t="str">
        <x:v>52.04662153875505</x:v>
      </x:c>
      <x:c r="R229" s="6" t="str">
        <x:v>0.8597586989693511</x:v>
      </x:c>
      <x:c r="S229" s="8" t="str">
        <x:v>1.9110170430469724</x:v>
      </x:c>
      <x:c r="T229" s="6" t="str">
        <x:v>-1.5047126256230001</x:v>
      </x:c>
      <x:c r="U229" s="8" t="str">
        <x:v>-0.9877460328752945</x:v>
      </x:c>
      <x:c r="V229" s="6" t="str">
        <x:v>-63.9588687791196</x:v>
      </x:c>
      <x:c r="W229" s="8" t="str">
        <x:v>-1.2288764743643241</x:v>
      </x:c>
      <x:c r="X229" s="6" t="str">
        <x:v>2.4067153339091014</x:v>
      </x:c>
      <x:c r="Y229" s="6" t="str">
        <x:v>2.881528246423495</x:v>
      </x:c>
      <x:c r="Z229" s="6" t="str">
        <x:v>2.399753541126523</x:v>
      </x:c>
      <x:c r="AA229" s="6" t="str">
        <x:v>-0.9807484615792457</x:v>
      </x:c>
      <x:c r="AB229" s="6" t="str">
        <x:v>-0.13651129662967085</x:v>
      </x:c>
      <x:c r="AC229" s="6" t="str">
        <x:v>-0.7016685970280704</x:v>
      </x:c>
      <x:c r="AD229" s="6" t="str">
        <x:v>-0.06839065363744129</x:v>
      </x:c>
      <x:c r="AE229" s="6" t="str">
        <x:v>0.5973558923326373</x:v>
      </x:c>
      <x:c r="AF229" s="6" t="str">
        <x:v>-0.233303745223043</x:v>
      </x:c>
      <x:c r="AG229" s="6" t="str">
        <x:v>0</x:v>
      </x:c>
      <x:c r="AH229" s="6" t="str">
        <x:v>1</x:v>
      </x:c>
      <x:c r="AI229" s="6" t="str">
        <x:v>2024-12</x:v>
      </x:c>
      <x:c r="AJ229" s="9" t="str">
        <x:v>NASA POWER (MERRA-2 meteorology)</x:v>
      </x:c>
      <x:c r="AK229" s="9" t="str">
        <x:v>Badan Informasi Geospasial (BIG)</x:v>
      </x:c>
      <x:c r="AL229" s="9" t="str">
        <x:v>https://power.larc.nasa.gov/docs/services/api/temporal/monthly/</x:v>
      </x:c>
      <x:c r="AM229" s="9" t="str">
        <x:v>https://geoservices.big.go.id/rbi/rest/services/BATASWILAYAH/BATAS_WILAYAH/MapServer/12</x:v>
      </x:c>
    </x:row>
    <x:row r="230" ht="18" customHeight="1">
      <x:c r="A230" s="6" t="str">
        <x:v>21</x:v>
      </x:c>
      <x:c r="B230" s="6" t="str">
        <x:v>KEPULAUAN RIAU</x:v>
      </x:c>
      <x:c r="C230" s="6" t="str">
        <x:v>2025</x:v>
      </x:c>
      <x:c r="D230" s="6" t="str">
        <x:v>1</x:v>
      </x:c>
      <x:c r="E230" s="6" t="str">
        <x:v>26.790648227523267</x:v>
      </x:c>
      <x:c r="F230" s="9" t="str">
        <x:v>grid_cells_within_BIG_polygon</x:v>
      </x:c>
      <x:c r="G230" s="6" t="str">
        <x:v>2</x:v>
      </x:c>
      <x:c r="H230" s="8" t="str">
        <x:v>87.79280923105561</x:v>
      </x:c>
      <x:c r="I230" s="6" t="str">
        <x:v>13.39963962847671</x:v>
      </x:c>
      <x:c r="J230" s="6" t="str">
        <x:v>31</x:v>
      </x:c>
      <x:c r="K230" s="6" t="str">
        <x:v>415.38882848277797</x:v>
      </x:c>
      <x:c r="L230" s="6" t="str">
        <x:v>26.6316122230538</x:v>
      </x:c>
      <x:c r="M230" s="6" t="str">
        <x:v>0.5634649079893154</x:v>
      </x:c>
      <x:c r="N230" s="6" t="str">
        <x:v>84.91674956110481</x:v>
      </x:c>
      <x:c r="O230" s="6" t="str">
        <x:v>1.8048862594997692</x:v>
      </x:c>
      <x:c r="P230" s="6" t="str">
        <x:v>172.27712220602587</x:v>
      </x:c>
      <x:c r="Q230" s="6" t="str">
        <x:v>66.53201951982204</x:v>
      </x:c>
      <x:c r="R230" s="6" t="str">
        <x:v>0.15903600446946697</x:v>
      </x:c>
      <x:c r="S230" s="8" t="str">
        <x:v>0.28224651121038874</x:v>
      </x:c>
      <x:c r="T230" s="6" t="str">
        <x:v>2.8760596699508056</x:v>
      </x:c>
      <x:c r="U230" s="8" t="str">
        <x:v>1.5934852707826122</x:v>
      </x:c>
      <x:c r="V230" s="6" t="str">
        <x:v>243.1117062767521</x:v>
      </x:c>
      <x:c r="W230" s="8" t="str">
        <x:v>3.6540557168014605</x:v>
      </x:c>
      <x:c r="X230" s="6" t="str">
        <x:v>1.9110170430469724</x:v>
      </x:c>
      <x:c r="Y230" s="6" t="str">
        <x:v>2.4067153339091014</x:v>
      </x:c>
      <x:c r="Z230" s="6" t="str">
        <x:v>1.533326296055488</x:v>
      </x:c>
      <x:c r="AA230" s="6" t="str">
        <x:v>-0.9877460328752945</x:v>
      </x:c>
      <x:c r="AB230" s="6" t="str">
        <x:v>-0.9807484615792457</x:v>
      </x:c>
      <x:c r="AC230" s="6" t="str">
        <x:v>-0.1250030745573094</x:v>
      </x:c>
      <x:c r="AD230" s="6" t="str">
        <x:v>-1.2288764743643241</x:v>
      </x:c>
      <x:c r="AE230" s="6" t="str">
        <x:v>-0.06839065363744129</x:v>
      </x:c>
      <x:c r="AF230" s="6" t="str">
        <x:v>0.7855961962665647</x:v>
      </x:c>
      <x:c r="AG230" s="6" t="str">
        <x:v>1</x:v>
      </x:c>
      <x:c r="AH230" s="6" t="str">
        <x:v>0</x:v>
      </x:c>
      <x:c r="AI230" s="6" t="str">
        <x:v>2025-01</x:v>
      </x:c>
      <x:c r="AJ230" s="9" t="str">
        <x:v>NASA POWER (MERRA-2 meteorology)</x:v>
      </x:c>
      <x:c r="AK230" s="9" t="str">
        <x:v>Badan Informasi Geospasial (BIG)</x:v>
      </x:c>
      <x:c r="AL230" s="9" t="str">
        <x:v>https://power.larc.nasa.gov/docs/services/api/temporal/monthly/</x:v>
      </x:c>
      <x:c r="AM230" s="9" t="str">
        <x:v>https://geoservices.big.go.id/rbi/rest/services/BATASWILAYAH/BATAS_WILAYAH/MapServer/12</x:v>
      </x:c>
    </x:row>
    <x:row r="231" ht="18" customHeight="1">
      <x:c r="A231" s="6" t="str">
        <x:v>21</x:v>
      </x:c>
      <x:c r="B231" s="6" t="str">
        <x:v>KEPULAUAN RIAU</x:v>
      </x:c>
      <x:c r="C231" s="6" t="str">
        <x:v>2025</x:v>
      </x:c>
      <x:c r="D231" s="6" t="str">
        <x:v>2</x:v>
      </x:c>
      <x:c r="E231" s="6" t="str">
        <x:v>26.700720252803624</x:v>
      </x:c>
      <x:c r="F231" s="9" t="str">
        <x:v>grid_cells_within_BIG_polygon</x:v>
      </x:c>
      <x:c r="G231" s="6" t="str">
        <x:v>2</x:v>
      </x:c>
      <x:c r="H231" s="8" t="str">
        <x:v>86.63671084553009</x:v>
      </x:c>
      <x:c r="I231" s="6" t="str">
        <x:v>3.8297959283723046</x:v>
      </x:c>
      <x:c r="J231" s="6" t="str">
        <x:v>28</x:v>
      </x:c>
      <x:c r="K231" s="6" t="str">
        <x:v>107.23428599442452</x:v>
      </x:c>
      <x:c r="L231" s="6" t="str">
        <x:v>26.853631829935676</x:v>
      </x:c>
      <x:c r="M231" s="6" t="str">
        <x:v>0.5411752084177059</x:v>
      </x:c>
      <x:c r="N231" s="6" t="str">
        <x:v>83.18137860639878</x:v>
      </x:c>
      <x:c r="O231" s="6" t="str">
        <x:v>2.353779425099828</x:v>
      </x:c>
      <x:c r="P231" s="6" t="str">
        <x:v>109.42068256561593</x:v>
      </x:c>
      <x:c r="Q231" s="6" t="str">
        <x:v>54.575437040900724</x:v>
      </x:c>
      <x:c r="R231" s="6" t="str">
        <x:v>-0.15291157713205195</x:v>
      </x:c>
      <x:c r="S231" s="8" t="str">
        <x:v>-0.28255466021648795</x:v>
      </x:c>
      <x:c r="T231" s="6" t="str">
        <x:v>3.455332239131309</x:v>
      </x:c>
      <x:c r="U231" s="8" t="str">
        <x:v>1.4679932207261783</x:v>
      </x:c>
      <x:c r="V231" s="6" t="str">
        <x:v>-2.186396571191409</x:v>
      </x:c>
      <x:c r="W231" s="8" t="str">
        <x:v>-0.04006191594128413</x:v>
      </x:c>
      <x:c r="X231" s="6" t="str">
        <x:v>0.28224651121038874</x:v>
      </x:c>
      <x:c r="Y231" s="6" t="str">
        <x:v>1.9110170430469724</x:v>
      </x:c>
      <x:c r="Z231" s="6" t="str">
        <x:v>0.6369029646802914</x:v>
      </x:c>
      <x:c r="AA231" s="6" t="str">
        <x:v>1.5934852707826122</x:v>
      </x:c>
      <x:c r="AB231" s="6" t="str">
        <x:v>-0.9877460328752945</x:v>
      </x:c>
      <x:c r="AC231" s="6" t="str">
        <x:v>0.6912441528778319</x:v>
      </x:c>
      <x:c r="AD231" s="6" t="str">
        <x:v>3.6540557168014605</x:v>
      </x:c>
      <x:c r="AE231" s="6" t="str">
        <x:v>-1.2288764743643241</x:v>
      </x:c>
      <x:c r="AF231" s="6" t="str">
        <x:v>0.7950391088319503</x:v>
      </x:c>
      <x:c r="AG231" s="6" t="str">
        <x:v>0</x:v>
      </x:c>
      <x:c r="AH231" s="6" t="str">
        <x:v>0</x:v>
      </x:c>
      <x:c r="AI231" s="6" t="str">
        <x:v>2025-02</x:v>
      </x:c>
      <x:c r="AJ231" s="9" t="str">
        <x:v>NASA POWER (MERRA-2 meteorology)</x:v>
      </x:c>
      <x:c r="AK231" s="9" t="str">
        <x:v>Badan Informasi Geospasial (BIG)</x:v>
      </x:c>
      <x:c r="AL231" s="9" t="str">
        <x:v>https://power.larc.nasa.gov/docs/services/api/temporal/monthly/</x:v>
      </x:c>
      <x:c r="AM231" s="9" t="str">
        <x:v>https://geoservices.big.go.id/rbi/rest/services/BATASWILAYAH/BATAS_WILAYAH/MapServer/12</x:v>
      </x:c>
    </x:row>
    <x:row r="232" ht="18" customHeight="1">
      <x:c r="A232" s="6" t="str">
        <x:v>21</x:v>
      </x:c>
      <x:c r="B232" s="6" t="str">
        <x:v>KEPULAUAN RIAU</x:v>
      </x:c>
      <x:c r="C232" s="6" t="str">
        <x:v>2025</x:v>
      </x:c>
      <x:c r="D232" s="6" t="str">
        <x:v>3</x:v>
      </x:c>
      <x:c r="E232" s="6" t="str">
        <x:v>27.5653781327219</x:v>
      </x:c>
      <x:c r="F232" s="9" t="str">
        <x:v>grid_cells_within_BIG_polygon</x:v>
      </x:c>
      <x:c r="G232" s="6" t="str">
        <x:v>2</x:v>
      </x:c>
      <x:c r="H232" s="8" t="str">
        <x:v>84.58887160394099</x:v>
      </x:c>
      <x:c r="I232" s="6" t="str">
        <x:v>9.166806388994292</x:v>
      </x:c>
      <x:c r="J232" s="6" t="str">
        <x:v>31</x:v>
      </x:c>
      <x:c r="K232" s="6" t="str">
        <x:v>284.17099805882305</x:v>
      </x:c>
      <x:c r="L232" s="6" t="str">
        <x:v>27.59057181703942</x:v>
      </x:c>
      <x:c r="M232" s="6" t="str">
        <x:v>0.48839903862378714</x:v>
      </x:c>
      <x:c r="N232" s="6" t="str">
        <x:v>80.68855061776647</x:v>
      </x:c>
      <x:c r="O232" s="6" t="str">
        <x:v>2.179368047139333</x:v>
      </x:c>
      <x:c r="P232" s="6" t="str">
        <x:v>134.14767761573455</x:v>
      </x:c>
      <x:c r="Q232" s="6" t="str">
        <x:v>47.27500535593648</x:v>
      </x:c>
      <x:c r="R232" s="6" t="str">
        <x:v>-0.02519368431752156</x:v>
      </x:c>
      <x:c r="S232" s="8" t="str">
        <x:v>-0.051584221763647256</x:v>
      </x:c>
      <x:c r="T232" s="6" t="str">
        <x:v>3.9003209861745205</x:v>
      </x:c>
      <x:c r="U232" s="8" t="str">
        <x:v>1.7896568646558495</x:v>
      </x:c>
      <x:c r="V232" s="6" t="str">
        <x:v>150.0233204430885</x:v>
      </x:c>
      <x:c r="W232" s="8" t="str">
        <x:v>3.173417312458317</x:v>
      </x:c>
      <x:c r="X232" s="6" t="str">
        <x:v>-0.28255466021648795</x:v>
      </x:c>
      <x:c r="Y232" s="6" t="str">
        <x:v>0.28224651121038874</x:v>
      </x:c>
      <x:c r="Z232" s="6" t="str">
        <x:v>-0.017297456923248525</x:v>
      </x:c>
      <x:c r="AA232" s="6" t="str">
        <x:v>1.4679932207261783</x:v>
      </x:c>
      <x:c r="AB232" s="6" t="str">
        <x:v>1.5934852707826122</x:v>
      </x:c>
      <x:c r="AC232" s="6" t="str">
        <x:v>1.6170451187215467</x:v>
      </x:c>
      <x:c r="AD232" s="6" t="str">
        <x:v>-0.04006191594128413</x:v>
      </x:c>
      <x:c r="AE232" s="6" t="str">
        <x:v>3.6540557168014605</x:v>
      </x:c>
      <x:c r="AF232" s="6" t="str">
        <x:v>2.2624703711061644</x:v>
      </x:c>
      <x:c r="AG232" s="6" t="str">
        <x:v>1</x:v>
      </x:c>
      <x:c r="AH232" s="6" t="str">
        <x:v>0</x:v>
      </x:c>
      <x:c r="AI232" s="6" t="str">
        <x:v>2025-03</x:v>
      </x:c>
      <x:c r="AJ232" s="9" t="str">
        <x:v>NASA POWER (MERRA-2 meteorology)</x:v>
      </x:c>
      <x:c r="AK232" s="9" t="str">
        <x:v>Badan Informasi Geospasial (BIG)</x:v>
      </x:c>
      <x:c r="AL232" s="9" t="str">
        <x:v>https://power.larc.nasa.gov/docs/services/api/temporal/monthly/</x:v>
      </x:c>
      <x:c r="AM232" s="9" t="str">
        <x:v>https://geoservices.big.go.id/rbi/rest/services/BATASWILAYAH/BATAS_WILAYAH/MapServer/12</x:v>
      </x:c>
    </x:row>
    <x:row r="233" ht="18" customHeight="1">
      <x:c r="A233" s="6" t="str">
        <x:v>21</x:v>
      </x:c>
      <x:c r="B233" s="6" t="str">
        <x:v>KEPULAUAN RIAU</x:v>
      </x:c>
      <x:c r="C233" s="6" t="str">
        <x:v>2025</x:v>
      </x:c>
      <x:c r="D233" s="6" t="str">
        <x:v>4</x:v>
      </x:c>
      <x:c r="E233" s="6" t="str">
        <x:v>28.32002400842679</x:v>
      </x:c>
      <x:c r="F233" s="9" t="str">
        <x:v>grid_cells_within_BIG_polygon</x:v>
      </x:c>
      <x:c r="G233" s="6" t="str">
        <x:v>2</x:v>
      </x:c>
      <x:c r="H233" s="8" t="str">
        <x:v>80.28462186727808</x:v>
      </x:c>
      <x:c r="I233" s="6" t="str">
        <x:v>5.112520884812701</x:v>
      </x:c>
      <x:c r="J233" s="6" t="str">
        <x:v>30</x:v>
      </x:c>
      <x:c r="K233" s="6" t="str">
        <x:v>153.37562654438105</x:v>
      </x:c>
      <x:c r="L233" s="6" t="str">
        <x:v>28.334772311915245</x:v>
      </x:c>
      <x:c r="M233" s="6" t="str">
        <x:v>0.4307073129518265</x:v>
      </x:c>
      <x:c r="N233" s="6" t="str">
        <x:v>78.47679586300657</x:v>
      </x:c>
      <x:c r="O233" s="6" t="str">
        <x:v>1.7014253111392845</x:v>
      </x:c>
      <x:c r="P233" s="6" t="str">
        <x:v>146.91722334988387</x:v>
      </x:c>
      <x:c r="Q233" s="6" t="str">
        <x:v>27.80840598649151</x:v>
      </x:c>
      <x:c r="R233" s="6" t="str">
        <x:v>-0.014748303488456571</x:v>
      </x:c>
      <x:c r="S233" s="8" t="str">
        <x:v>-0.03424205497552379</x:v>
      </x:c>
      <x:c r="T233" s="6" t="str">
        <x:v>1.8078260042715044</x:v>
      </x:c>
      <x:c r="U233" s="8" t="str">
        <x:v>1.0625362115137298</x:v>
      </x:c>
      <x:c r="V233" s="6" t="str">
        <x:v>6.45840319449718</x:v>
      </x:c>
      <x:c r="W233" s="8" t="str">
        <x:v>0.23224643647803755</x:v>
      </x:c>
      <x:c r="X233" s="6" t="str">
        <x:v>-0.051584221763647256</x:v>
      </x:c>
      <x:c r="Y233" s="6" t="str">
        <x:v>-0.28255466021648795</x:v>
      </x:c>
      <x:c r="Z233" s="6" t="str">
        <x:v>-0.12279364565188604</x:v>
      </x:c>
      <x:c r="AA233" s="6" t="str">
        <x:v>1.7896568646558495</x:v>
      </x:c>
      <x:c r="AB233" s="6" t="str">
        <x:v>1.4679932207261783</x:v>
      </x:c>
      <x:c r="AC233" s="6" t="str">
        <x:v>1.4400620989652524</x:v>
      </x:c>
      <x:c r="AD233" s="6" t="str">
        <x:v>3.173417312458317</x:v>
      </x:c>
      <x:c r="AE233" s="6" t="str">
        <x:v>-0.04006191594128413</x:v>
      </x:c>
      <x:c r="AF233" s="6" t="str">
        <x:v>1.1218672776650231</x:v>
      </x:c>
      <x:c r="AG233" s="6" t="str">
        <x:v>0</x:v>
      </x:c>
      <x:c r="AH233" s="6" t="str">
        <x:v>0</x:v>
      </x:c>
      <x:c r="AI233" s="6" t="str">
        <x:v>2025-04</x:v>
      </x:c>
      <x:c r="AJ233" s="9" t="str">
        <x:v>NASA POWER (MERRA-2 meteorology)</x:v>
      </x:c>
      <x:c r="AK233" s="9" t="str">
        <x:v>Badan Informasi Geospasial (BIG)</x:v>
      </x:c>
      <x:c r="AL233" s="9" t="str">
        <x:v>https://power.larc.nasa.gov/docs/services/api/temporal/monthly/</x:v>
      </x:c>
      <x:c r="AM233" s="9" t="str">
        <x:v>https://geoservices.big.go.id/rbi/rest/services/BATASWILAYAH/BATAS_WILAYAH/MapServer/12</x:v>
      </x:c>
    </x:row>
    <x:row r="234" ht="18" customHeight="1">
      <x:c r="A234" s="6" t="str">
        <x:v>21</x:v>
      </x:c>
      <x:c r="B234" s="6" t="str">
        <x:v>KEPULAUAN RIAU</x:v>
      </x:c>
      <x:c r="C234" s="6" t="str">
        <x:v>2025</x:v>
      </x:c>
      <x:c r="D234" s="6" t="str">
        <x:v>5</x:v>
      </x:c>
      <x:c r="E234" s="6" t="str">
        <x:v>29.499735907305332</x:v>
      </x:c>
      <x:c r="F234" s="9" t="str">
        <x:v>grid_cells_within_BIG_polygon</x:v>
      </x:c>
      <x:c r="G234" s="6" t="str">
        <x:v>2</x:v>
      </x:c>
      <x:c r="H234" s="8" t="str">
        <x:v>77.52146451403404</x:v>
      </x:c>
      <x:c r="I234" s="6" t="str">
        <x:v>5.047454861639035</x:v>
      </x:c>
      <x:c r="J234" s="6" t="str">
        <x:v>31</x:v>
      </x:c>
      <x:c r="K234" s="6" t="str">
        <x:v>156.47110071081008</x:v>
      </x:c>
      <x:c r="L234" s="6" t="str">
        <x:v>28.725979200867496</x:v>
      </x:c>
      <x:c r="M234" s="6" t="str">
        <x:v>0.4044742005069593</x:v>
      </x:c>
      <x:c r="N234" s="6" t="str">
        <x:v>78.82978822765523</x:v>
      </x:c>
      <x:c r="O234" s="6" t="str">
        <x:v>1.5277284118859762</x:v>
      </x:c>
      <x:c r="P234" s="6" t="str">
        <x:v>160.25571954922353</x:v>
      </x:c>
      <x:c r="Q234" s="6" t="str">
        <x:v>35.35134234441082</x:v>
      </x:c>
      <x:c r="R234" s="6" t="str">
        <x:v>0.7737567064378368</x:v>
      </x:c>
      <x:c r="S234" s="8" t="str">
        <x:v>1.9129939696228504</x:v>
      </x:c>
      <x:c r="T234" s="6" t="str">
        <x:v>-1.308323713621192</x:v>
      </x:c>
      <x:c r="U234" s="8" t="str">
        <x:v>-0.856385011525753</x:v>
      </x:c>
      <x:c r="V234" s="6" t="str">
        <x:v>-3.7846188384134507</x:v>
      </x:c>
      <x:c r="W234" s="8" t="str">
        <x:v>-0.10705728799607558</x:v>
      </x:c>
      <x:c r="X234" s="6" t="str">
        <x:v>-0.03424205497552379</x:v>
      </x:c>
      <x:c r="Y234" s="6" t="str">
        <x:v>-0.051584221763647256</x:v>
      </x:c>
      <x:c r="Z234" s="6" t="str">
        <x:v>0.6090558976278934</x:v>
      </x:c>
      <x:c r="AA234" s="6" t="str">
        <x:v>1.0625362115137298</x:v>
      </x:c>
      <x:c r="AB234" s="6" t="str">
        <x:v>1.7896568646558495</x:v>
      </x:c>
      <x:c r="AC234" s="6" t="str">
        <x:v>0.6652693548812753</x:v>
      </x:c>
      <x:c r="AD234" s="6" t="str">
        <x:v>0.23224643647803755</x:v>
      </x:c>
      <x:c r="AE234" s="6" t="str">
        <x:v>3.173417312458317</x:v>
      </x:c>
      <x:c r="AF234" s="6" t="str">
        <x:v>1.0995354869800928</x:v>
      </x:c>
      <x:c r="AG234" s="6" t="str">
        <x:v>0</x:v>
      </x:c>
      <x:c r="AH234" s="6" t="str">
        <x:v>1</x:v>
      </x:c>
      <x:c r="AI234" s="6" t="str">
        <x:v>2025-05</x:v>
      </x:c>
      <x:c r="AJ234" s="9" t="str">
        <x:v>NASA POWER (MERRA-2 meteorology)</x:v>
      </x:c>
      <x:c r="AK234" s="9" t="str">
        <x:v>Badan Informasi Geospasial (BIG)</x:v>
      </x:c>
      <x:c r="AL234" s="9" t="str">
        <x:v>https://power.larc.nasa.gov/docs/services/api/temporal/monthly/</x:v>
      </x:c>
      <x:c r="AM234" s="9" t="str">
        <x:v>https://geoservices.big.go.id/rbi/rest/services/BATASWILAYAH/BATAS_WILAYAH/MapServer/12</x:v>
      </x:c>
    </x:row>
    <x:row r="235" ht="18" customHeight="1">
      <x:c r="A235" s="6" t="str">
        <x:v>21</x:v>
      </x:c>
      <x:c r="B235" s="6" t="str">
        <x:v>KEPULAUAN RIAU</x:v>
      </x:c>
      <x:c r="C235" s="6" t="str">
        <x:v>2025</x:v>
      </x:c>
      <x:c r="D235" s="6" t="str">
        <x:v>6</x:v>
      </x:c>
      <x:c r="E235" s="6" t="str">
        <x:v>28.99975991573212</x:v>
      </x:c>
      <x:c r="F235" s="9" t="str">
        <x:v>grid_cells_within_BIG_polygon</x:v>
      </x:c>
      <x:c r="G235" s="6" t="str">
        <x:v>2</x:v>
      </x:c>
      <x:c r="H235" s="8" t="str">
        <x:v>79.54537813272191</x:v>
      </x:c>
      <x:c r="I235" s="6" t="str">
        <x:v>6.552172762624281</x:v>
      </x:c>
      <x:c r="J235" s="6" t="str">
        <x:v>30</x:v>
      </x:c>
      <x:c r="K235" s="6" t="str">
        <x:v>196.56518287872842</x:v>
      </x:c>
      <x:c r="L235" s="6" t="str">
        <x:v>28.468635063742113</x:v>
      </x:c>
      <x:c r="M235" s="6" t="str">
        <x:v>0.33604212592687965</x:v>
      </x:c>
      <x:c r="N235" s="6" t="str">
        <x:v>79.60702476785409</x:v>
      </x:c>
      <x:c r="O235" s="6" t="str">
        <x:v>1.519392381700444</x:v>
      </x:c>
      <x:c r="P235" s="6" t="str">
        <x:v>157.30298904913508</x:v>
      </x:c>
      <x:c r="Q235" s="6" t="str">
        <x:v>51.88163992669994</x:v>
      </x:c>
      <x:c r="R235" s="6" t="str">
        <x:v>0.5311248519900076</x:v>
      </x:c>
      <x:c r="S235" s="8" t="str">
        <x:v>1.5805305674847936</x:v>
      </x:c>
      <x:c r="T235" s="6" t="str">
        <x:v>-0.06164663513217761</x:v>
      </x:c>
      <x:c r="U235" s="8" t="str">
        <x:v>-0.04057321589514956</x:v>
      </x:c>
      <x:c r="V235" s="6" t="str">
        <x:v>39.26219382959334</x:v>
      </x:c>
      <x:c r="W235" s="8" t="str">
        <x:v>0.7567647029867259</x:v>
      </x:c>
      <x:c r="X235" s="6" t="str">
        <x:v>1.9129939696228504</x:v>
      </x:c>
      <x:c r="Y235" s="6" t="str">
        <x:v>-0.03424205497552379</x:v>
      </x:c>
      <x:c r="Z235" s="6" t="str">
        <x:v>1.153094160710707</x:v>
      </x:c>
      <x:c r="AA235" s="6" t="str">
        <x:v>-0.856385011525753</x:v>
      </x:c>
      <x:c r="AB235" s="6" t="str">
        <x:v>1.0625362115137298</x:v>
      </x:c>
      <x:c r="AC235" s="6" t="str">
        <x:v>0.055192661364275676</x:v>
      </x:c>
      <x:c r="AD235" s="6" t="str">
        <x:v>-0.10705728799607558</x:v>
      </x:c>
      <x:c r="AE235" s="6" t="str">
        <x:v>0.23224643647803755</x:v>
      </x:c>
      <x:c r="AF235" s="6" t="str">
        <x:v>0.293984617156229</x:v>
      </x:c>
      <x:c r="AG235" s="6" t="str">
        <x:v>0</x:v>
      </x:c>
      <x:c r="AH235" s="6" t="str">
        <x:v>1</x:v>
      </x:c>
      <x:c r="AI235" s="6" t="str">
        <x:v>2025-06</x:v>
      </x:c>
      <x:c r="AJ235" s="9" t="str">
        <x:v>NASA POWER (MERRA-2 meteorology)</x:v>
      </x:c>
      <x:c r="AK235" s="9" t="str">
        <x:v>Badan Informasi Geospasial (BIG)</x:v>
      </x:c>
      <x:c r="AL235" s="9" t="str">
        <x:v>https://power.larc.nasa.gov/docs/services/api/temporal/monthly/</x:v>
      </x:c>
      <x:c r="AM235" s="9" t="str">
        <x:v>https://geoservices.big.go.id/rbi/rest/services/BATASWILAYAH/BATAS_WILAYAH/MapServer/12</x:v>
      </x:c>
    </x:row>
    <x:row r="236" ht="18" customHeight="1">
      <x:c r="A236" s="6" t="str">
        <x:v>21</x:v>
      </x:c>
      <x:c r="B236" s="6" t="str">
        <x:v>KEPULAUAN RIAU</x:v>
      </x:c>
      <x:c r="C236" s="6" t="str">
        <x:v>2025</x:v>
      </x:c>
      <x:c r="D236" s="6" t="str">
        <x:v>7</x:v>
      </x:c>
      <x:c r="E236" s="6" t="str">
        <x:v>28.854717900985243</x:v>
      </x:c>
      <x:c r="F236" s="9" t="str">
        <x:v>grid_cells_within_BIG_polygon</x:v>
      </x:c>
      <x:c r="G236" s="6" t="str">
        <x:v>2</x:v>
      </x:c>
      <x:c r="H236" s="8" t="str">
        <x:v>80.69522207794778</x:v>
      </x:c>
      <x:c r="I236" s="6" t="str">
        <x:v>4.541368480326895</x:v>
      </x:c>
      <x:c r="J236" s="6" t="str">
        <x:v>31</x:v>
      </x:c>
      <x:c r="K236" s="6" t="str">
        <x:v>140.78242289013374</x:v>
      </x:c>
      <x:c r="L236" s="6" t="str">
        <x:v>28.06677272022641</x:v>
      </x:c>
      <x:c r="M236" s="6" t="str">
        <x:v>0.3144351025037436</x:v>
      </x:c>
      <x:c r="N236" s="6" t="str">
        <x:v>80.12500157604964</x:v>
      </x:c>
      <x:c r="O236" s="6" t="str">
        <x:v>1.2805111946791619</x:v>
      </x:c>
      <x:c r="P236" s="6" t="str">
        <x:v>156.32303879728187</x:v>
      </x:c>
      <x:c r="Q236" s="6" t="str">
        <x:v>53.94290478795805</x:v>
      </x:c>
      <x:c r="R236" s="6" t="str">
        <x:v>0.7879451807588325</x:v>
      </x:c>
      <x:c r="S236" s="8" t="str">
        <x:v>2.5059071792070395</x:v>
      </x:c>
      <x:c r="T236" s="6" t="str">
        <x:v>0.5702205018981346</x:v>
      </x:c>
      <x:c r="U236" s="8" t="str">
        <x:v>0.44530692450604153</x:v>
      </x:c>
      <x:c r="V236" s="6" t="str">
        <x:v>-15.540615907148123</x:v>
      </x:c>
      <x:c r="W236" s="8" t="str">
        <x:v>-0.28809379042964206</x:v>
      </x:c>
      <x:c r="X236" s="6" t="str">
        <x:v>1.5805305674847936</x:v>
      </x:c>
      <x:c r="Y236" s="6" t="str">
        <x:v>1.9129939696228504</x:v>
      </x:c>
      <x:c r="Z236" s="6" t="str">
        <x:v>1.9998105721048949</x:v>
      </x:c>
      <x:c r="AA236" s="6" t="str">
        <x:v>-0.04057321589514956</x:v>
      </x:c>
      <x:c r="AB236" s="6" t="str">
        <x:v>-0.856385011525753</x:v>
      </x:c>
      <x:c r="AC236" s="6" t="str">
        <x:v>-0.1505504343049537</x:v>
      </x:c>
      <x:c r="AD236" s="6" t="str">
        <x:v>0.7567647029867259</x:v>
      </x:c>
      <x:c r="AE236" s="6" t="str">
        <x:v>-0.10705728799607558</x:v>
      </x:c>
      <x:c r="AF236" s="6" t="str">
        <x:v>0.12053787485366912</x:v>
      </x:c>
      <x:c r="AG236" s="6" t="str">
        <x:v>0</x:v>
      </x:c>
      <x:c r="AH236" s="6" t="str">
        <x:v>1</x:v>
      </x:c>
      <x:c r="AI236" s="6" t="str">
        <x:v>2025-07</x:v>
      </x:c>
      <x:c r="AJ236" s="9" t="str">
        <x:v>NASA POWER (MERRA-2 meteorology)</x:v>
      </x:c>
      <x:c r="AK236" s="9" t="str">
        <x:v>Badan Informasi Geospasial (BIG)</x:v>
      </x:c>
      <x:c r="AL236" s="9" t="str">
        <x:v>https://power.larc.nasa.gov/docs/services/api/temporal/monthly/</x:v>
      </x:c>
      <x:c r="AM236" s="9" t="str">
        <x:v>https://geoservices.big.go.id/rbi/rest/services/BATASWILAYAH/BATAS_WILAYAH/MapServer/12</x:v>
      </x:c>
    </x:row>
    <x:row r="237" ht="18" customHeight="1">
      <x:c r="A237" s="6" t="str">
        <x:v>21</x:v>
      </x:c>
      <x:c r="B237" s="6" t="str">
        <x:v>KEPULAUAN RIAU</x:v>
      </x:c>
      <x:c r="C237" s="6" t="str">
        <x:v>2025</x:v>
      </x:c>
      <x:c r="D237" s="6" t="str">
        <x:v>8</x:v>
      </x:c>
      <x:c r="E237" s="6" t="str">
        <x:v>28.39977191994552</x:v>
      </x:c>
      <x:c r="F237" s="9" t="str">
        <x:v>grid_cells_within_BIG_polygon</x:v>
      </x:c>
      <x:c r="G237" s="6" t="str">
        <x:v>2</x:v>
      </x:c>
      <x:c r="H237" s="8" t="str">
        <x:v>79.4753781327219</x:v>
      </x:c>
      <x:c r="I237" s="6" t="str">
        <x:v>8.057430853212248</x:v>
      </x:c>
      <x:c r="J237" s="6" t="str">
        <x:v>31</x:v>
      </x:c>
      <x:c r="K237" s="6" t="str">
        <x:v>249.78035644957967</x:v>
      </x:c>
      <x:c r="L237" s="6" t="str">
        <x:v>28.002691883685507</x:v>
      </x:c>
      <x:c r="M237" s="6" t="str">
        <x:v>0.29450706025058965</x:v>
      </x:c>
      <x:c r="N237" s="6" t="str">
        <x:v>79.97287037083677</x:v>
      </x:c>
      <x:c r="O237" s="6" t="str">
        <x:v>1.465481870892665</x:v>
      </x:c>
      <x:c r="P237" s="6" t="str">
        <x:v>145.3374893306878</x:v>
      </x:c>
      <x:c r="Q237" s="6" t="str">
        <x:v>59.80569425101565</x:v>
      </x:c>
      <x:c r="R237" s="6" t="str">
        <x:v>0.39708003626001087</x:v>
      </x:c>
      <x:c r="S237" s="8" t="str">
        <x:v>1.3482869847743009</x:v>
      </x:c>
      <x:c r="T237" s="6" t="str">
        <x:v>-0.497492238114873</x:v>
      </x:c>
      <x:c r="U237" s="8" t="str">
        <x:v>-0.33947348513553216</x:v>
      </x:c>
      <x:c r="V237" s="6" t="str">
        <x:v>104.44286711889188</x:v>
      </x:c>
      <x:c r="W237" s="8" t="str">
        <x:v>1.7463699473251777</x:v>
      </x:c>
      <x:c r="X237" s="6" t="str">
        <x:v>2.5059071792070395</x:v>
      </x:c>
      <x:c r="Y237" s="6" t="str">
        <x:v>1.5805305674847936</x:v>
      </x:c>
      <x:c r="Z237" s="6" t="str">
        <x:v>1.8115749104887116</x:v>
      </x:c>
      <x:c r="AA237" s="6" t="str">
        <x:v>0.44530692450604153</x:v>
      </x:c>
      <x:c r="AB237" s="6" t="str">
        <x:v>-0.04057321589514956</x:v>
      </x:c>
      <x:c r="AC237" s="6" t="str">
        <x:v>0.02175340782511988</x:v>
      </x:c>
      <x:c r="AD237" s="6" t="str">
        <x:v>-0.28809379042964206</x:v>
      </x:c>
      <x:c r="AE237" s="6" t="str">
        <x:v>0.7567647029867259</x:v>
      </x:c>
      <x:c r="AF237" s="6" t="str">
        <x:v>0.7383469532940868</x:v>
      </x:c>
      <x:c r="AG237" s="6" t="str">
        <x:v>1</x:v>
      </x:c>
      <x:c r="AH237" s="6" t="str">
        <x:v>1</x:v>
      </x:c>
      <x:c r="AI237" s="6" t="str">
        <x:v>2025-08</x:v>
      </x:c>
      <x:c r="AJ237" s="9" t="str">
        <x:v>NASA POWER (MERRA-2 meteorology)</x:v>
      </x:c>
      <x:c r="AK237" s="9" t="str">
        <x:v>Badan Informasi Geospasial (BIG)</x:v>
      </x:c>
      <x:c r="AL237" s="9" t="str">
        <x:v>https://power.larc.nasa.gov/docs/services/api/temporal/monthly/</x:v>
      </x:c>
      <x:c r="AM237" s="9" t="str">
        <x:v>https://geoservices.big.go.id/rbi/rest/services/BATASWILAYAH/BATAS_WILAYAH/MapServer/12</x:v>
      </x:c>
    </x:row>
    <x:row r="238" ht="18" customHeight="1">
      <x:c r="A238" s="6" t="str">
        <x:v>21</x:v>
      </x:c>
      <x:c r="B238" s="6" t="str">
        <x:v>KEPULAUAN RIAU</x:v>
      </x:c>
      <x:c r="C238" s="6" t="str">
        <x:v>2025</x:v>
      </x:c>
      <x:c r="D238" s="6" t="str">
        <x:v>9</x:v>
      </x:c>
      <x:c r="E238" s="6" t="str">
        <x:v>28.169903966292846</x:v>
      </x:c>
      <x:c r="F238" s="9" t="str">
        <x:v>grid_cells_within_BIG_polygon</x:v>
      </x:c>
      <x:c r="G238" s="6" t="str">
        <x:v>2</x:v>
      </x:c>
      <x:c r="H238" s="8" t="str">
        <x:v>80.54016805898752</x:v>
      </x:c>
      <x:c r="I238" s="6" t="str">
        <x:v>6.605354124295117</x:v>
      </x:c>
      <x:c r="J238" s="6" t="str">
        <x:v>30</x:v>
      </x:c>
      <x:c r="K238" s="6" t="str">
        <x:v>198.1606237288535</x:v>
      </x:c>
      <x:c r="L238" s="6" t="str">
        <x:v>27.972951983146423</x:v>
      </x:c>
      <x:c r="M238" s="6" t="str">
        <x:v>0.2903034293499244</x:v>
      </x:c>
      <x:c r="N238" s="6" t="str">
        <x:v>79.44582796412016</x:v>
      </x:c>
      <x:c r="O238" s="6" t="str">
        <x:v>1.5906544691703692</x:v>
      </x:c>
      <x:c r="P238" s="6" t="str">
        <x:v>152.41641049507376</x:v>
      </x:c>
      <x:c r="Q238" s="6" t="str">
        <x:v>58.82842674775183</x:v>
      </x:c>
      <x:c r="R238" s="6" t="str">
        <x:v>0.19695198314642326</x:v>
      </x:c>
      <x:c r="S238" s="8" t="str">
        <x:v>0.6784349175187397</x:v>
      </x:c>
      <x:c r="T238" s="6" t="str">
        <x:v>1.0943400948673627</x:v>
      </x:c>
      <x:c r="U238" s="8" t="str">
        <x:v>0.6879810267267743</x:v>
      </x:c>
      <x:c r="V238" s="6" t="str">
        <x:v>45.74421323377973</x:v>
      </x:c>
      <x:c r="W238" s="8" t="str">
        <x:v>0.7775868872020767</x:v>
      </x:c>
      <x:c r="X238" s="6" t="str">
        <x:v>1.3482869847743009</x:v>
      </x:c>
      <x:c r="Y238" s="6" t="str">
        <x:v>2.5059071792070395</x:v>
      </x:c>
      <x:c r="Z238" s="6" t="str">
        <x:v>1.510876360500027</x:v>
      </x:c>
      <x:c r="AA238" s="6" t="str">
        <x:v>-0.33947348513553216</x:v>
      </x:c>
      <x:c r="AB238" s="6" t="str">
        <x:v>0.44530692450604153</x:v>
      </x:c>
      <x:c r="AC238" s="6" t="str">
        <x:v>0.2646048220324278</x:v>
      </x:c>
      <x:c r="AD238" s="6" t="str">
        <x:v>1.7463699473251777</x:v>
      </x:c>
      <x:c r="AE238" s="6" t="str">
        <x:v>-0.28809379042964206</x:v>
      </x:c>
      <x:c r="AF238" s="6" t="str">
        <x:v>0.7452876813658705</x:v>
      </x:c>
      <x:c r="AG238" s="6" t="str">
        <x:v>0</x:v>
      </x:c>
      <x:c r="AH238" s="6" t="str">
        <x:v>0</x:v>
      </x:c>
      <x:c r="AI238" s="6" t="str">
        <x:v>2025-09</x:v>
      </x:c>
      <x:c r="AJ238" s="9" t="str">
        <x:v>NASA POWER (MERRA-2 meteorology)</x:v>
      </x:c>
      <x:c r="AK238" s="9" t="str">
        <x:v>Badan Informasi Geospasial (BIG)</x:v>
      </x:c>
      <x:c r="AL238" s="9" t="str">
        <x:v>https://power.larc.nasa.gov/docs/services/api/temporal/monthly/</x:v>
      </x:c>
      <x:c r="AM238" s="9" t="str">
        <x:v>https://geoservices.big.go.id/rbi/rest/services/BATASWILAYAH/BATAS_WILAYAH/MapServer/12</x:v>
      </x:c>
    </x:row>
    <x:row r="239" ht="18" customHeight="1">
      <x:c r="A239" s="6" t="str">
        <x:v>21</x:v>
      </x:c>
      <x:c r="B239" s="6" t="str">
        <x:v>KEPULAUAN RIAU</x:v>
      </x:c>
      <x:c r="C239" s="6" t="str">
        <x:v>2025</x:v>
      </x:c>
      <x:c r="D239" s="6" t="str">
        <x:v>10</x:v>
      </x:c>
      <x:c r="E239" s="6" t="str">
        <x:v>28.644885959972758</x:v>
      </x:c>
      <x:c r="F239" s="9" t="str">
        <x:v>grid_cells_within_BIG_polygon</x:v>
      </x:c>
      <x:c r="G239" s="6" t="str">
        <x:v>2</x:v>
      </x:c>
      <x:c r="H239" s="8" t="str">
        <x:v>78.70424973666287</x:v>
      </x:c>
      <x:c r="I239" s="6" t="str">
        <x:v>6.495162056880816</x:v>
      </x:c>
      <x:c r="J239" s="6" t="str">
        <x:v>31</x:v>
      </x:c>
      <x:c r="K239" s="6" t="str">
        <x:v>201.3500237633053</x:v>
      </x:c>
      <x:c r="L239" s="6" t="str">
        <x:v>27.873210081905103</x:v>
      </x:c>
      <x:c r="M239" s="6" t="str">
        <x:v>0.3216813750849455</x:v>
      </x:c>
      <x:c r="N239" s="6" t="str">
        <x:v>79.6462101309294</x:v>
      </x:c>
      <x:c r="O239" s="6" t="str">
        <x:v>2.0644177490328794</x:v>
      </x:c>
      <x:c r="P239" s="6" t="str">
        <x:v>198.33235627229485</x:v>
      </x:c>
      <x:c r="Q239" s="6" t="str">
        <x:v>59.64275753864132</x:v>
      </x:c>
      <x:c r="R239" s="6" t="str">
        <x:v>0.7716758780676543</x:v>
      </x:c>
      <x:c r="S239" s="8" t="str">
        <x:v>2.3988826765736126</x:v>
      </x:c>
      <x:c r="T239" s="6" t="str">
        <x:v>-0.9419603942665304</x:v>
      </x:c>
      <x:c r="U239" s="8" t="str">
        <x:v>-0.456283809179519</x:v>
      </x:c>
      <x:c r="V239" s="6" t="str">
        <x:v>3.0176674910104566</x:v>
      </x:c>
      <x:c r="W239" s="8" t="str">
        <x:v>0.05059570709914564</x:v>
      </x:c>
      <x:c r="X239" s="6" t="str">
        <x:v>0.6784349175187397</x:v>
      </x:c>
      <x:c r="Y239" s="6" t="str">
        <x:v>1.3482869847743009</x:v>
      </x:c>
      <x:c r="Z239" s="6" t="str">
        <x:v>1.4752015262888847</x:v>
      </x:c>
      <x:c r="AA239" s="6" t="str">
        <x:v>0.6879810267267743</x:v>
      </x:c>
      <x:c r="AB239" s="6" t="str">
        <x:v>-0.33947348513553216</x:v>
      </x:c>
      <x:c r="AC239" s="6" t="str">
        <x:v>-0.03592542252942569</x:v>
      </x:c>
      <x:c r="AD239" s="6" t="str">
        <x:v>0.7775868872020767</x:v>
      </x:c>
      <x:c r="AE239" s="6" t="str">
        <x:v>1.7463699473251777</x:v>
      </x:c>
      <x:c r="AF239" s="6" t="str">
        <x:v>0.858184180542133</x:v>
      </x:c>
      <x:c r="AG239" s="6" t="str">
        <x:v>0</x:v>
      </x:c>
      <x:c r="AH239" s="6" t="str">
        <x:v>1</x:v>
      </x:c>
      <x:c r="AI239" s="6" t="str">
        <x:v>2025-10</x:v>
      </x:c>
      <x:c r="AJ239" s="9" t="str">
        <x:v>NASA POWER (MERRA-2 meteorology)</x:v>
      </x:c>
      <x:c r="AK239" s="9" t="str">
        <x:v>Badan Informasi Geospasial (BIG)</x:v>
      </x:c>
      <x:c r="AL239" s="9" t="str">
        <x:v>https://power.larc.nasa.gov/docs/services/api/temporal/monthly/</x:v>
      </x:c>
      <x:c r="AM239" s="9" t="str">
        <x:v>https://geoservices.big.go.id/rbi/rest/services/BATASWILAYAH/BATAS_WILAYAH/MapServer/12</x:v>
      </x:c>
    </x:row>
    <x:row r="240" ht="18" customHeight="1">
      <x:c r="A240" s="6" t="str">
        <x:v>21</x:v>
      </x:c>
      <x:c r="B240" s="6" t="str">
        <x:v>KEPULAUAN RIAU</x:v>
      </x:c>
      <x:c r="C240" s="6" t="str">
        <x:v>2025</x:v>
      </x:c>
      <x:c r="D240" s="6" t="str">
        <x:v>11</x:v>
      </x:c>
      <x:c r="E240" s="6" t="str">
        <x:v>28.325162056880814</x:v>
      </x:c>
      <x:c r="F240" s="9" t="str">
        <x:v>grid_cells_within_BIG_polygon</x:v>
      </x:c>
      <x:c r="G240" s="6" t="str">
        <x:v>2</x:v>
      </x:c>
      <x:c r="H240" s="8" t="str">
        <x:v>80.228415443832</x:v>
      </x:c>
      <x:c r="I240" s="6" t="str">
        <x:v>10.164909968399545</x:v>
      </x:c>
      <x:c r="J240" s="6" t="str">
        <x:v>30</x:v>
      </x:c>
      <x:c r="K240" s="6" t="str">
        <x:v>304.94729905198636</x:v>
      </x:c>
      <x:c r="L240" s="6" t="str">
        <x:v>27.57961464023791</x:v>
      </x:c>
      <x:c r="M240" s="6" t="str">
        <x:v>0.4115091410305926</x:v>
      </x:c>
      <x:c r="N240" s="6" t="str">
        <x:v>81.74154308046371</x:v>
      </x:c>
      <x:c r="O240" s="6" t="str">
        <x:v>2.083233078277556</x:v>
      </x:c>
      <x:c r="P240" s="6" t="str">
        <x:v>237.91237658913047</x:v>
      </x:c>
      <x:c r="Q240" s="6" t="str">
        <x:v>44.39414993378688</x:v>
      </x:c>
      <x:c r="R240" s="6" t="str">
        <x:v>0.7455474166429035</x:v>
      </x:c>
      <x:c r="S240" s="8" t="str">
        <x:v>1.8117396244849824</x:v>
      </x:c>
      <x:c r="T240" s="6" t="str">
        <x:v>-1.5131276366317081</x:v>
      </x:c>
      <x:c r="U240" s="8" t="str">
        <x:v>-0.7263362186447143</x:v>
      </x:c>
      <x:c r="V240" s="6" t="str">
        <x:v>67.03492246285589</x:v>
      </x:c>
      <x:c r="W240" s="8" t="str">
        <x:v>1.5099945051957824</x:v>
      </x:c>
      <x:c r="X240" s="6" t="str">
        <x:v>2.3988826765736126</x:v>
      </x:c>
      <x:c r="Y240" s="6" t="str">
        <x:v>0.6784349175187397</x:v>
      </x:c>
      <x:c r="Z240" s="6" t="str">
        <x:v>1.6296857395257784</x:v>
      </x:c>
      <x:c r="AA240" s="6" t="str">
        <x:v>-0.456283809179519</x:v>
      </x:c>
      <x:c r="AB240" s="6" t="str">
        <x:v>0.6879810267267743</x:v>
      </x:c>
      <x:c r="AC240" s="6" t="str">
        <x:v>-0.1648796670324864</x:v>
      </x:c>
      <x:c r="AD240" s="6" t="str">
        <x:v>0.05059570709914564</x:v>
      </x:c>
      <x:c r="AE240" s="6" t="str">
        <x:v>0.7775868872020767</x:v>
      </x:c>
      <x:c r="AF240" s="6" t="str">
        <x:v>0.7793923664990013</x:v>
      </x:c>
      <x:c r="AG240" s="6" t="str">
        <x:v>1</x:v>
      </x:c>
      <x:c r="AH240" s="6" t="str">
        <x:v>1</x:v>
      </x:c>
      <x:c r="AI240" s="6" t="str">
        <x:v>2025-11</x:v>
      </x:c>
      <x:c r="AJ240" s="9" t="str">
        <x:v>NASA POWER (MERRA-2 meteorology)</x:v>
      </x:c>
      <x:c r="AK240" s="9" t="str">
        <x:v>Badan Informasi Geospasial (BIG)</x:v>
      </x:c>
      <x:c r="AL240" s="9" t="str">
        <x:v>https://power.larc.nasa.gov/docs/services/api/temporal/monthly/</x:v>
      </x:c>
      <x:c r="AM240" s="9" t="str">
        <x:v>https://geoservices.big.go.id/rbi/rest/services/BATASWILAYAH/BATAS_WILAYAH/MapServer/12</x:v>
      </x:c>
    </x:row>
    <x:row r="241" ht="18" customHeight="1">
      <x:c r="A241" s="6" t="str">
        <x:v>21</x:v>
      </x:c>
      <x:c r="B241" s="6" t="str">
        <x:v>KEPULAUAN RIAU</x:v>
      </x:c>
      <x:c r="C241" s="6" t="str">
        <x:v>2025</x:v>
      </x:c>
      <x:c r="D241" s="6" t="str">
        <x:v>12</x:v>
      </x:c>
      <x:c r="E241" s="6" t="str">
        <x:v>27.450276096908055</x:v>
      </x:c>
      <x:c r="F241" s="9" t="str">
        <x:v>grid_cells_within_BIG_polygon</x:v>
      </x:c>
      <x:c r="G241" s="6" t="str">
        <x:v>2</x:v>
      </x:c>
      <x:c r="H241" s="8" t="str">
        <x:v>85.01309733217708</x:v>
      </x:c>
      <x:c r="I241" s="6" t="str">
        <x:v>11.475173815972735</x:v>
      </x:c>
      <x:c r="J241" s="6" t="str">
        <x:v>31</x:v>
      </x:c>
      <x:c r="K241" s="6" t="str">
        <x:v>355.7303882951548</x:v>
      </x:c>
      <x:c r="L241" s="6" t="str">
        <x:v>27.045595425325764</x:v>
      </x:c>
      <x:c r="M241" s="6" t="str">
        <x:v>0.449895882455622</x:v>
      </x:c>
      <x:c r="N241" s="6" t="str">
        <x:v>84.79231178294422</x:v>
      </x:c>
      <x:c r="O241" s="6" t="str">
        <x:v>1.5233800749802393</x:v>
      </x:c>
      <x:c r="P241" s="6" t="str">
        <x:v>258.3523130078777</x:v>
      </x:c>
      <x:c r="Q241" s="6" t="str">
        <x:v>52.04662153875505</x:v>
      </x:c>
      <x:c r="R241" s="6" t="str">
        <x:v>0.40468067158229104</x:v>
      </x:c>
      <x:c r="S241" s="8" t="str">
        <x:v>0.8994985003495981</x:v>
      </x:c>
      <x:c r="T241" s="6" t="str">
        <x:v>0.22078554923285765</x:v>
      </x:c>
      <x:c r="U241" s="8" t="str">
        <x:v>0.1449313620802882</x:v>
      </x:c>
      <x:c r="V241" s="6" t="str">
        <x:v>97.37807528727711</x:v>
      </x:c>
      <x:c r="W241" s="8" t="str">
        <x:v>1.8709778350313724</x:v>
      </x:c>
      <x:c r="X241" s="6" t="str">
        <x:v>1.8117396244849824</x:v>
      </x:c>
      <x:c r="Y241" s="6" t="str">
        <x:v>2.3988826765736126</x:v>
      </x:c>
      <x:c r="Z241" s="6" t="str">
        <x:v>1.703373600469398</x:v>
      </x:c>
      <x:c r="AA241" s="6" t="str">
        <x:v>-0.7263362186447143</x:v>
      </x:c>
      <x:c r="AB241" s="6" t="str">
        <x:v>-0.456283809179519</x:v>
      </x:c>
      <x:c r="AC241" s="6" t="str">
        <x:v>-0.34589622191464847</x:v>
      </x:c>
      <x:c r="AD241" s="6" t="str">
        <x:v>1.5099945051957824</x:v>
      </x:c>
      <x:c r="AE241" s="6" t="str">
        <x:v>0.05059570709914564</x:v>
      </x:c>
      <x:c r="AF241" s="6" t="str">
        <x:v>1.1438560157754332</x:v>
      </x:c>
      <x:c r="AG241" s="6" t="str">
        <x:v>1</x:v>
      </x:c>
      <x:c r="AH241" s="6" t="str">
        <x:v>0</x:v>
      </x:c>
      <x:c r="AI241" s="6" t="str">
        <x:v>2025-12</x:v>
      </x:c>
      <x:c r="AJ241" s="9" t="str">
        <x:v>NASA POWER (MERRA-2 meteorology)</x:v>
      </x:c>
      <x:c r="AK241" s="9" t="str">
        <x:v>Badan Informasi Geospasial (BIG)</x:v>
      </x:c>
      <x:c r="AL241" s="9" t="str">
        <x:v>https://power.larc.nasa.gov/docs/services/api/temporal/monthly/</x:v>
      </x:c>
      <x:c r="AM241" s="9" t="str">
        <x:v>https://geoservices.big.go.id/rbi/rest/services/BATASWILAYAH/BATAS_WILAYAH/MapServer/12</x:v>
      </x:c>
    </x:row>
    <x:row r="242" ht="18" customHeight="1">
      <x:c r="A242" s="6" t="str">
        <x:v>31</x:v>
      </x:c>
      <x:c r="B242" s="6" t="str">
        <x:v>DKI JAKARTA</x:v>
      </x:c>
      <x:c r="C242" s="6" t="str">
        <x:v>2024</x:v>
      </x:c>
      <x:c r="D242" s="6" t="str">
        <x:v>1</x:v>
      </x:c>
      <x:c r="E242" s="6" t="str">
        <x:v>28.07</x:v>
      </x:c>
      <x:c r="F242" s="9" t="str">
        <x:v>nearest_POWER_grid_to_BIG_representative_point</x:v>
      </x:c>
      <x:c r="G242" s="6" t="str">
        <x:v>1</x:v>
      </x:c>
      <x:c r="H242" s="8" t="str">
        <x:v>83.28</x:v>
      </x:c>
      <x:c r="I242" s="6" t="str">
        <x:v>10.93</x:v>
      </x:c>
      <x:c r="J242" s="6" t="str">
        <x:v>31</x:v>
      </x:c>
      <x:c r="K242" s="6" t="str">
        <x:v>338.83</x:v>
      </x:c>
      <x:c r="L242" s="6" t="str">
        <x:v>26.771</x:v>
      </x:c>
      <x:c r="M242" s="6" t="str">
        <x:v>0.606847989828277</x:v>
      </x:c>
      <x:c r="N242" s="6" t="str">
        <x:v>85.08066666666667</x:v>
      </x:c>
      <x:c r="O242" s="6" t="str">
        <x:v>2.6674279660420077</x:v>
      </x:c>
      <x:c r="P242" s="6" t="str">
        <x:v>341.651</x:v>
      </x:c>
      <x:c r="Q242" s="6" t="str">
        <x:v>140.89873309799736</x:v>
      </x:c>
      <x:c r="R242" s="6" t="str">
        <x:v>1.2989999999999995</x:v>
      </x:c>
      <x:c r="S242" s="8" t="str">
        <x:v>2.140569008669839</x:v>
      </x:c>
      <x:c r="T242" s="6" t="str">
        <x:v>-1.8006666666666717</x:v>
      </x:c>
      <x:c r="U242" s="8" t="str">
        <x:v>-0.6750572797429815</x:v>
      </x:c>
      <x:c r="V242" s="6" t="str">
        <x:v>-2.8210000000000264</x:v>
      </x:c>
      <x:c r="W242" s="8" t="str">
        <x:v>-0.020021471719252257</x:v>
      </x:c>
      <x:c r="X242" s="6" t="str">
        <x:v>3.3709088812633987</x:v>
      </x:c>
      <x:c r="Y242" s="6" t="str">
        <x:v>2.6504008710778675</x:v>
      </x:c>
      <x:c r="Z242" s="6" t="str">
        <x:v>2.720626253670368</x:v>
      </x:c>
      <x:c r="AA242" s="6" t="str">
        <x:v>-2.315212024730682</x:v>
      </x:c>
      <x:c r="AB242" s="6" t="str">
        <x:v>-0.941404977326961</x:v>
      </x:c>
      <x:c r="AC242" s="6" t="str">
        <x:v>-1.3105580939335413</x:v>
      </x:c>
      <x:c r="AD242" s="6" t="str">
        <x:v>-1.184608824091213</x:v>
      </x:c>
      <x:c r="AE242" s="6" t="str">
        <x:v>-0.4822620680852555</x:v>
      </x:c>
      <x:c r="AF242" s="6" t="str">
        <x:v>-0.5622974546319073</x:v>
      </x:c>
      <x:c r="AG242" s="6" t="str">
        <x:v>0</x:v>
      </x:c>
      <x:c r="AH242" s="6" t="str">
        <x:v>1</x:v>
      </x:c>
      <x:c r="AI242" s="6" t="str">
        <x:v>2024-01</x:v>
      </x:c>
      <x:c r="AJ242" s="9" t="str">
        <x:v>NASA POWER (MERRA-2 meteorology)</x:v>
      </x:c>
      <x:c r="AK242" s="9" t="str">
        <x:v>Badan Informasi Geospasial (BIG)</x:v>
      </x:c>
      <x:c r="AL242" s="9" t="str">
        <x:v>https://power.larc.nasa.gov/docs/services/api/temporal/monthly/</x:v>
      </x:c>
      <x:c r="AM242" s="9" t="str">
        <x:v>https://geoservices.big.go.id/rbi/rest/services/BATASWILAYAH/BATAS_WILAYAH/MapServer/12</x:v>
      </x:c>
    </x:row>
    <x:row r="243" ht="18" customHeight="1">
      <x:c r="A243" s="6" t="str">
        <x:v>31</x:v>
      </x:c>
      <x:c r="B243" s="6" t="str">
        <x:v>DKI JAKARTA</x:v>
      </x:c>
      <x:c r="C243" s="6" t="str">
        <x:v>2024</x:v>
      </x:c>
      <x:c r="D243" s="6" t="str">
        <x:v>2</x:v>
      </x:c>
      <x:c r="E243" s="6" t="str">
        <x:v>27.9</x:v>
      </x:c>
      <x:c r="F243" s="9" t="str">
        <x:v>nearest_POWER_grid_to_BIG_representative_point</x:v>
      </x:c>
      <x:c r="G243" s="6" t="str">
        <x:v>1</x:v>
      </x:c>
      <x:c r="H243" s="8" t="str">
        <x:v>84.27</x:v>
      </x:c>
      <x:c r="I243" s="6" t="str">
        <x:v>11.18</x:v>
      </x:c>
      <x:c r="J243" s="6" t="str">
        <x:v>29</x:v>
      </x:c>
      <x:c r="K243" s="6" t="str">
        <x:v>324.21999999999997</x:v>
      </x:c>
      <x:c r="L243" s="6" t="str">
        <x:v>26.645333333333333</x:v>
      </x:c>
      <x:c r="M243" s="6" t="str">
        <x:v>0.5070586807728729</x:v>
      </x:c>
      <x:c r="N243" s="6" t="str">
        <x:v>86.278</x:v>
      </x:c>
      <x:c r="O243" s="6" t="str">
        <x:v>1.6257335744741233</x:v>
      </x:c>
      <x:c r="P243" s="6" t="str">
        <x:v>340.8763333333334</x:v>
      </x:c>
      <x:c r="Q243" s="6" t="str">
        <x:v>129.7741692719698</x:v>
      </x:c>
      <x:c r="R243" s="6" t="str">
        <x:v>1.2546666666666653</x:v>
      </x:c>
      <x:c r="S243" s="8" t="str">
        <x:v>2.4744013153551925</x:v>
      </x:c>
      <x:c r="T243" s="6" t="str">
        <x:v>-2.0080000000000098</x:v>
      </x:c>
      <x:c r="U243" s="8" t="str">
        <x:v>-1.235134730270634</x:v>
      </x:c>
      <x:c r="V243" s="6" t="str">
        <x:v>-16.656333333333407</x:v>
      </x:c>
      <x:c r="W243" s="8" t="str">
        <x:v>-0.12834860301379747</x:v>
      </x:c>
      <x:c r="X243" s="6" t="str">
        <x:v>2.140569008669839</x:v>
      </x:c>
      <x:c r="Y243" s="6" t="str">
        <x:v>3.3709088812633987</x:v>
      </x:c>
      <x:c r="Z243" s="6" t="str">
        <x:v>2.661959735096143</x:v>
      </x:c>
      <x:c r="AA243" s="6" t="str">
        <x:v>-0.6750572797429815</x:v>
      </x:c>
      <x:c r="AB243" s="6" t="str">
        <x:v>-2.315212024730682</x:v>
      </x:c>
      <x:c r="AC243" s="6" t="str">
        <x:v>-1.408468011581432</x:v>
      </x:c>
      <x:c r="AD243" s="6" t="str">
        <x:v>-0.020021471719252257</x:v>
      </x:c>
      <x:c r="AE243" s="6" t="str">
        <x:v>-1.184608824091213</x:v>
      </x:c>
      <x:c r="AF243" s="6" t="str">
        <x:v>-0.4443262996080879</x:v>
      </x:c>
      <x:c r="AG243" s="6" t="str">
        <x:v>0</x:v>
      </x:c>
      <x:c r="AH243" s="6" t="str">
        <x:v>1</x:v>
      </x:c>
      <x:c r="AI243" s="6" t="str">
        <x:v>2024-02</x:v>
      </x:c>
      <x:c r="AJ243" s="9" t="str">
        <x:v>NASA POWER (MERRA-2 meteorology)</x:v>
      </x:c>
      <x:c r="AK243" s="9" t="str">
        <x:v>Badan Informasi Geospasial (BIG)</x:v>
      </x:c>
      <x:c r="AL243" s="9" t="str">
        <x:v>https://power.larc.nasa.gov/docs/services/api/temporal/monthly/</x:v>
      </x:c>
      <x:c r="AM243" s="9" t="str">
        <x:v>https://geoservices.big.go.id/rbi/rest/services/BATASWILAYAH/BATAS_WILAYAH/MapServer/12</x:v>
      </x:c>
    </x:row>
    <x:row r="244" ht="18" customHeight="1">
      <x:c r="A244" s="6" t="str">
        <x:v>31</x:v>
      </x:c>
      <x:c r="B244" s="6" t="str">
        <x:v>DKI JAKARTA</x:v>
      </x:c>
      <x:c r="C244" s="6" t="str">
        <x:v>2024</x:v>
      </x:c>
      <x:c r="D244" s="6" t="str">
        <x:v>3</x:v>
      </x:c>
      <x:c r="E244" s="6" t="str">
        <x:v>28.02</x:v>
      </x:c>
      <x:c r="F244" s="9" t="str">
        <x:v>nearest_POWER_grid_to_BIG_representative_point</x:v>
      </x:c>
      <x:c r="G244" s="6" t="str">
        <x:v>1</x:v>
      </x:c>
      <x:c r="H244" s="8" t="str">
        <x:v>84.64</x:v>
      </x:c>
      <x:c r="I244" s="6" t="str">
        <x:v>9.45</x:v>
      </x:c>
      <x:c r="J244" s="6" t="str">
        <x:v>31</x:v>
      </x:c>
      <x:c r="K244" s="6" t="str">
        <x:v>292.95</x:v>
      </x:c>
      <x:c r="L244" s="6" t="str">
        <x:v>27.120333333333335</x:v>
      </x:c>
      <x:c r="M244" s="6" t="str">
        <x:v>0.403010082301649</x:v>
      </x:c>
      <x:c r="N244" s="6" t="str">
        <x:v>84.672</x:v>
      </x:c>
      <x:c r="O244" s="6" t="str">
        <x:v>1.4144632221788416</x:v>
      </x:c>
      <x:c r="P244" s="6" t="str">
        <x:v>232.86166666666668</x:v>
      </x:c>
      <x:c r="Q244" s="6" t="str">
        <x:v>58.965849911174246</x:v>
      </x:c>
      <x:c r="R244" s="6" t="str">
        <x:v>0.8996666666666648</x:v>
      </x:c>
      <x:c r="S244" s="8" t="str">
        <x:v>2.2323676408504176</x:v>
      </x:c>
      <x:c r="T244" s="6" t="str">
        <x:v>-0.031999999999996476</x:v>
      </x:c>
      <x:c r="U244" s="8" t="str">
        <x:v>-0.02262342314613428</x:v>
      </x:c>
      <x:c r="V244" s="6" t="str">
        <x:v>60.08833333333331</x:v>
      </x:c>
      <x:c r="W244" s="8" t="str">
        <x:v>1.019036161165318</x:v>
      </x:c>
      <x:c r="X244" s="6" t="str">
        <x:v>2.4744013153551925</x:v>
      </x:c>
      <x:c r="Y244" s="6" t="str">
        <x:v>2.140569008669839</x:v>
      </x:c>
      <x:c r="Z244" s="6" t="str">
        <x:v>2.282445988291816</x:v>
      </x:c>
      <x:c r="AA244" s="6" t="str">
        <x:v>-1.235134730270634</x:v>
      </x:c>
      <x:c r="AB244" s="6" t="str">
        <x:v>-0.6750572797429815</x:v>
      </x:c>
      <x:c r="AC244" s="6" t="str">
        <x:v>-0.6442718110532496</x:v>
      </x:c>
      <x:c r="AD244" s="6" t="str">
        <x:v>-0.12834860301379747</x:v>
      </x:c>
      <x:c r="AE244" s="6" t="str">
        <x:v>-0.020021471719252257</x:v>
      </x:c>
      <x:c r="AF244" s="6" t="str">
        <x:v>0.29022202881075576</x:v>
      </x:c>
      <x:c r="AG244" s="6" t="str">
        <x:v>1</x:v>
      </x:c>
      <x:c r="AH244" s="6" t="str">
        <x:v>1</x:v>
      </x:c>
      <x:c r="AI244" s="6" t="str">
        <x:v>2024-03</x:v>
      </x:c>
      <x:c r="AJ244" s="9" t="str">
        <x:v>NASA POWER (MERRA-2 meteorology)</x:v>
      </x:c>
      <x:c r="AK244" s="9" t="str">
        <x:v>Badan Informasi Geospasial (BIG)</x:v>
      </x:c>
      <x:c r="AL244" s="9" t="str">
        <x:v>https://power.larc.nasa.gov/docs/services/api/temporal/monthly/</x:v>
      </x:c>
      <x:c r="AM244" s="9" t="str">
        <x:v>https://geoservices.big.go.id/rbi/rest/services/BATASWILAYAH/BATAS_WILAYAH/MapServer/12</x:v>
      </x:c>
    </x:row>
    <x:row r="245" ht="18" customHeight="1">
      <x:c r="A245" s="6" t="str">
        <x:v>31</x:v>
      </x:c>
      <x:c r="B245" s="6" t="str">
        <x:v>DKI JAKARTA</x:v>
      </x:c>
      <x:c r="C245" s="6" t="str">
        <x:v>2024</x:v>
      </x:c>
      <x:c r="D245" s="6" t="str">
        <x:v>4</x:v>
      </x:c>
      <x:c r="E245" s="6" t="str">
        <x:v>28.85</x:v>
      </x:c>
      <x:c r="F245" s="9" t="str">
        <x:v>nearest_POWER_grid_to_BIG_representative_point</x:v>
      </x:c>
      <x:c r="G245" s="6" t="str">
        <x:v>1</x:v>
      </x:c>
      <x:c r="H245" s="8" t="str">
        <x:v>82.09</x:v>
      </x:c>
      <x:c r="I245" s="6" t="str">
        <x:v>7.1</x:v>
      </x:c>
      <x:c r="J245" s="6" t="str">
        <x:v>30</x:v>
      </x:c>
      <x:c r="K245" s="6" t="str">
        <x:v>213.0</x:v>
      </x:c>
      <x:c r="L245" s="6" t="str">
        <x:v>27.512333333333334</x:v>
      </x:c>
      <x:c r="M245" s="6" t="str">
        <x:v>0.37201856955258905</x:v>
      </x:c>
      <x:c r="N245" s="6" t="str">
        <x:v>83.75666666666666</x:v>
      </x:c>
      <x:c r="O245" s="6" t="str">
        <x:v>1.091798052986787</x:v>
      </x:c>
      <x:c r="P245" s="6" t="str">
        <x:v>192.86</x:v>
      </x:c>
      <x:c r="Q245" s="6" t="str">
        <x:v>48.36987235588014</x:v>
      </x:c>
      <x:c r="R245" s="6" t="str">
        <x:v>1.3376666666666672</x:v>
      </x:c>
      <x:c r="S245" s="8" t="str">
        <x:v>3.5956986455687474</x:v>
      </x:c>
      <x:c r="T245" s="6" t="str">
        <x:v>-1.6666666666666572</x:v>
      </x:c>
      <x:c r="U245" s="8" t="str">
        <x:v>-1.5265338329805827</x:v>
      </x:c>
      <x:c r="V245" s="6" t="str">
        <x:v>20.139999999999986</x:v>
      </x:c>
      <x:c r="W245" s="8" t="str">
        <x:v>0.416374884180393</x:v>
      </x:c>
      <x:c r="X245" s="6" t="str">
        <x:v>2.2323676408504176</x:v>
      </x:c>
      <x:c r="Y245" s="6" t="str">
        <x:v>2.4744013153551925</x:v>
      </x:c>
      <x:c r="Z245" s="6" t="str">
        <x:v>2.767489200591452</x:v>
      </x:c>
      <x:c r="AA245" s="6" t="str">
        <x:v>-0.02262342314613428</x:v>
      </x:c>
      <x:c r="AB245" s="6" t="str">
        <x:v>-1.235134730270634</x:v>
      </x:c>
      <x:c r="AC245" s="6" t="str">
        <x:v>-0.9280973287991167</x:v>
      </x:c>
      <x:c r="AD245" s="6" t="str">
        <x:v>1.019036161165318</x:v>
      </x:c>
      <x:c r="AE245" s="6" t="str">
        <x:v>-0.12834860301379747</x:v>
      </x:c>
      <x:c r="AF245" s="6" t="str">
        <x:v>0.4356874807773042</x:v>
      </x:c>
      <x:c r="AG245" s="6" t="str">
        <x:v>0</x:v>
      </x:c>
      <x:c r="AH245" s="6" t="str">
        <x:v>1</x:v>
      </x:c>
      <x:c r="AI245" s="6" t="str">
        <x:v>2024-04</x:v>
      </x:c>
      <x:c r="AJ245" s="9" t="str">
        <x:v>NASA POWER (MERRA-2 meteorology)</x:v>
      </x:c>
      <x:c r="AK245" s="9" t="str">
        <x:v>Badan Informasi Geospasial (BIG)</x:v>
      </x:c>
      <x:c r="AL245" s="9" t="str">
        <x:v>https://power.larc.nasa.gov/docs/services/api/temporal/monthly/</x:v>
      </x:c>
      <x:c r="AM245" s="9" t="str">
        <x:v>https://geoservices.big.go.id/rbi/rest/services/BATASWILAYAH/BATAS_WILAYAH/MapServer/12</x:v>
      </x:c>
    </x:row>
    <x:row r="246" ht="18" customHeight="1">
      <x:c r="A246" s="6" t="str">
        <x:v>31</x:v>
      </x:c>
      <x:c r="B246" s="6" t="str">
        <x:v>DKI JAKARTA</x:v>
      </x:c>
      <x:c r="C246" s="6" t="str">
        <x:v>2024</x:v>
      </x:c>
      <x:c r="D246" s="6" t="str">
        <x:v>5</x:v>
      </x:c>
      <x:c r="E246" s="6" t="str">
        <x:v>28.76</x:v>
      </x:c>
      <x:c r="F246" s="9" t="str">
        <x:v>nearest_POWER_grid_to_BIG_representative_point</x:v>
      </x:c>
      <x:c r="G246" s="6" t="str">
        <x:v>1</x:v>
      </x:c>
      <x:c r="H246" s="8" t="str">
        <x:v>82.44</x:v>
      </x:c>
      <x:c r="I246" s="6" t="str">
        <x:v>2.58</x:v>
      </x:c>
      <x:c r="J246" s="6" t="str">
        <x:v>31</x:v>
      </x:c>
      <x:c r="K246" s="6" t="str">
        <x:v>79.98</x:v>
      </x:c>
      <x:c r="L246" s="6" t="str">
        <x:v>27.657666666666668</x:v>
      </x:c>
      <x:c r="M246" s="6" t="str">
        <x:v>0.3740798673096918</x:v>
      </x:c>
      <x:c r="N246" s="6" t="str">
        <x:v>82.73166666666665</x:v>
      </x:c>
      <x:c r="O246" s="6" t="str">
        <x:v>1.2587242675062682</x:v>
      </x:c>
      <x:c r="P246" s="6" t="str">
        <x:v>139.779</x:v>
      </x:c>
      <x:c r="Q246" s="6" t="str">
        <x:v>45.33566856012055</x:v>
      </x:c>
      <x:c r="R246" s="6" t="str">
        <x:v>1.102333333333334</x:v>
      </x:c>
      <x:c r="S246" s="8" t="str">
        <x:v>2.946786046683284</x:v>
      </x:c>
      <x:c r="T246" s="6" t="str">
        <x:v>-0.2916666666666572</x:v>
      </x:c>
      <x:c r="U246" s="8" t="str">
        <x:v>-0.23171609080398123</x:v>
      </x:c>
      <x:c r="V246" s="6" t="str">
        <x:v>-59.79899999999999</x:v>
      </x:c>
      <x:c r="W246" s="8" t="str">
        <x:v>-1.3190276420143516</x:v>
      </x:c>
      <x:c r="X246" s="6" t="str">
        <x:v>3.5956986455687474</x:v>
      </x:c>
      <x:c r="Y246" s="6" t="str">
        <x:v>2.2323676408504176</x:v>
      </x:c>
      <x:c r="Z246" s="6" t="str">
        <x:v>2.924950777700816</x:v>
      </x:c>
      <x:c r="AA246" s="6" t="str">
        <x:v>-1.5265338329805827</x:v>
      </x:c>
      <x:c r="AB246" s="6" t="str">
        <x:v>-0.02262342314613428</x:v>
      </x:c>
      <x:c r="AC246" s="6" t="str">
        <x:v>-0.593624448976899</x:v>
      </x:c>
      <x:c r="AD246" s="6" t="str">
        <x:v>0.416374884180393</x:v>
      </x:c>
      <x:c r="AE246" s="6" t="str">
        <x:v>1.019036161165318</x:v>
      </x:c>
      <x:c r="AF246" s="6" t="str">
        <x:v>0.03879446777711948</x:v>
      </x:c>
      <x:c r="AG246" s="6" t="str">
        <x:v>0</x:v>
      </x:c>
      <x:c r="AH246" s="6" t="str">
        <x:v>1</x:v>
      </x:c>
      <x:c r="AI246" s="6" t="str">
        <x:v>2024-05</x:v>
      </x:c>
      <x:c r="AJ246" s="9" t="str">
        <x:v>NASA POWER (MERRA-2 meteorology)</x:v>
      </x:c>
      <x:c r="AK246" s="9" t="str">
        <x:v>Badan Informasi Geospasial (BIG)</x:v>
      </x:c>
      <x:c r="AL246" s="9" t="str">
        <x:v>https://power.larc.nasa.gov/docs/services/api/temporal/monthly/</x:v>
      </x:c>
      <x:c r="AM246" s="9" t="str">
        <x:v>https://geoservices.big.go.id/rbi/rest/services/BATASWILAYAH/BATAS_WILAYAH/MapServer/12</x:v>
      </x:c>
    </x:row>
    <x:row r="247" ht="18" customHeight="1">
      <x:c r="A247" s="6" t="str">
        <x:v>31</x:v>
      </x:c>
      <x:c r="B247" s="6" t="str">
        <x:v>DKI JAKARTA</x:v>
      </x:c>
      <x:c r="C247" s="6" t="str">
        <x:v>2024</x:v>
      </x:c>
      <x:c r="D247" s="6" t="str">
        <x:v>6</x:v>
      </x:c>
      <x:c r="E247" s="6" t="str">
        <x:v>28.21</x:v>
      </x:c>
      <x:c r="F247" s="9" t="str">
        <x:v>nearest_POWER_grid_to_BIG_representative_point</x:v>
      </x:c>
      <x:c r="G247" s="6" t="str">
        <x:v>1</x:v>
      </x:c>
      <x:c r="H247" s="8" t="str">
        <x:v>81.7</x:v>
      </x:c>
      <x:c r="I247" s="6" t="str">
        <x:v>4.76</x:v>
      </x:c>
      <x:c r="J247" s="6" t="str">
        <x:v>30</x:v>
      </x:c>
      <x:c r="K247" s="6" t="str">
        <x:v>142.79999999999998</x:v>
      </x:c>
      <x:c r="L247" s="6" t="str">
        <x:v>27.212</x:v>
      </x:c>
      <x:c r="M247" s="6" t="str">
        <x:v>0.33646642502991725</x:v>
      </x:c>
      <x:c r="N247" s="6" t="str">
        <x:v>81.81866666666666</x:v>
      </x:c>
      <x:c r="O247" s="6" t="str">
        <x:v>1.7535594015352423</x:v>
      </x:c>
      <x:c r="P247" s="6" t="str">
        <x:v>91.03</x:v>
      </x:c>
      <x:c r="Q247" s="6" t="str">
        <x:v>52.79075252091164</x:v>
      </x:c>
      <x:c r="R247" s="6" t="str">
        <x:v>0.9980000000000011</x:v>
      </x:c>
      <x:c r="S247" s="8" t="str">
        <x:v>2.9661206163772893</x:v>
      </x:c>
      <x:c r="T247" s="6" t="str">
        <x:v>-0.11866666666665537</x:v>
      </x:c>
      <x:c r="U247" s="8" t="str">
        <x:v>-0.06767188300707842</x:v>
      </x:c>
      <x:c r="V247" s="6" t="str">
        <x:v>51.76999999999998</x:v>
      </x:c>
      <x:c r="W247" s="8" t="str">
        <x:v>0.9806641793843095</x:v>
      </x:c>
      <x:c r="X247" s="6" t="str">
        <x:v>2.946786046683284</x:v>
      </x:c>
      <x:c r="Y247" s="6" t="str">
        <x:v>3.5956986455687474</x:v>
      </x:c>
      <x:c r="Z247" s="6" t="str">
        <x:v>3.1695351028764396</x:v>
      </x:c>
      <x:c r="AA247" s="6" t="str">
        <x:v>-0.23171609080398123</x:v>
      </x:c>
      <x:c r="AB247" s="6" t="str">
        <x:v>-1.5265338329805827</x:v>
      </x:c>
      <x:c r="AC247" s="6" t="str">
        <x:v>-0.6086406022638805</x:v>
      </x:c>
      <x:c r="AD247" s="6" t="str">
        <x:v>-1.3190276420143516</x:v>
      </x:c>
      <x:c r="AE247" s="6" t="str">
        <x:v>0.416374884180393</x:v>
      </x:c>
      <x:c r="AF247" s="6" t="str">
        <x:v>0.026003807183449967</x:v>
      </x:c>
      <x:c r="AG247" s="6" t="str">
        <x:v>0</x:v>
      </x:c>
      <x:c r="AH247" s="6" t="str">
        <x:v>1</x:v>
      </x:c>
      <x:c r="AI247" s="6" t="str">
        <x:v>2024-06</x:v>
      </x:c>
      <x:c r="AJ247" s="9" t="str">
        <x:v>NASA POWER (MERRA-2 meteorology)</x:v>
      </x:c>
      <x:c r="AK247" s="9" t="str">
        <x:v>Badan Informasi Geospasial (BIG)</x:v>
      </x:c>
      <x:c r="AL247" s="9" t="str">
        <x:v>https://power.larc.nasa.gov/docs/services/api/temporal/monthly/</x:v>
      </x:c>
      <x:c r="AM247" s="9" t="str">
        <x:v>https://geoservices.big.go.id/rbi/rest/services/BATASWILAYAH/BATAS_WILAYAH/MapServer/12</x:v>
      </x:c>
    </x:row>
    <x:row r="248" ht="18" customHeight="1">
      <x:c r="A248" s="6" t="str">
        <x:v>31</x:v>
      </x:c>
      <x:c r="B248" s="6" t="str">
        <x:v>DKI JAKARTA</x:v>
      </x:c>
      <x:c r="C248" s="6" t="str">
        <x:v>2024</x:v>
      </x:c>
      <x:c r="D248" s="6" t="str">
        <x:v>7</x:v>
      </x:c>
      <x:c r="E248" s="6" t="str">
        <x:v>27.38</x:v>
      </x:c>
      <x:c r="F248" s="9" t="str">
        <x:v>nearest_POWER_grid_to_BIG_representative_point</x:v>
      </x:c>
      <x:c r="G248" s="6" t="str">
        <x:v>1</x:v>
      </x:c>
      <x:c r="H248" s="8" t="str">
        <x:v>80.52</x:v>
      </x:c>
      <x:c r="I248" s="6" t="str">
        <x:v>5.69</x:v>
      </x:c>
      <x:c r="J248" s="6" t="str">
        <x:v>31</x:v>
      </x:c>
      <x:c r="K248" s="6" t="str">
        <x:v>176.39000000000001</x:v>
      </x:c>
      <x:c r="L248" s="6" t="str">
        <x:v>26.737333333333332</x:v>
      </x:c>
      <x:c r="M248" s="6" t="str">
        <x:v>0.4191118140111049</x:v>
      </x:c>
      <x:c r="N248" s="6" t="str">
        <x:v>80.25966666666666</x:v>
      </x:c>
      <x:c r="O248" s="6" t="str">
        <x:v>2.3535717293206675</x:v>
      </x:c>
      <x:c r="P248" s="6" t="str">
        <x:v>78.64699999999999</x:v>
      </x:c>
      <x:c r="Q248" s="6" t="str">
        <x:v>73.96849674948999</x:v>
      </x:c>
      <x:c r="R248" s="6" t="str">
        <x:v>0.6426666666666669</x:v>
      </x:c>
      <x:c r="S248" s="8" t="str">
        <x:v>1.533401457992875</x:v>
      </x:c>
      <x:c r="T248" s="6" t="str">
        <x:v>0.2603333333333353</x:v>
      </x:c>
      <x:c r="U248" s="8" t="str">
        <x:v>0.11061202430761592</x:v>
      </x:c>
      <x:c r="V248" s="6" t="str">
        <x:v>97.74300000000002</x:v>
      </x:c>
      <x:c r="W248" s="8" t="str">
        <x:v>1.3214139031516003</x:v>
      </x:c>
      <x:c r="X248" s="6" t="str">
        <x:v>2.9661206163772893</x:v>
      </x:c>
      <x:c r="Y248" s="6" t="str">
        <x:v>2.946786046683284</x:v>
      </x:c>
      <x:c r="Z248" s="6" t="str">
        <x:v>2.4821027070178157</x:v>
      </x:c>
      <x:c r="AA248" s="6" t="str">
        <x:v>-0.06767188300707842</x:v>
      </x:c>
      <x:c r="AB248" s="6" t="str">
        <x:v>-0.23171609080398123</x:v>
      </x:c>
      <x:c r="AC248" s="6" t="str">
        <x:v>-0.06292531650114762</x:v>
      </x:c>
      <x:c r="AD248" s="6" t="str">
        <x:v>0.9806641793843095</x:v>
      </x:c>
      <x:c r="AE248" s="6" t="str">
        <x:v>-1.3190276420143516</x:v>
      </x:c>
      <x:c r="AF248" s="6" t="str">
        <x:v>0.3276834801738524</x:v>
      </x:c>
      <x:c r="AG248" s="6" t="str">
        <x:v>1</x:v>
      </x:c>
      <x:c r="AH248" s="6" t="str">
        <x:v>1</x:v>
      </x:c>
      <x:c r="AI248" s="6" t="str">
        <x:v>2024-07</x:v>
      </x:c>
      <x:c r="AJ248" s="9" t="str">
        <x:v>NASA POWER (MERRA-2 meteorology)</x:v>
      </x:c>
      <x:c r="AK248" s="9" t="str">
        <x:v>Badan Informasi Geospasial (BIG)</x:v>
      </x:c>
      <x:c r="AL248" s="9" t="str">
        <x:v>https://power.larc.nasa.gov/docs/services/api/temporal/monthly/</x:v>
      </x:c>
      <x:c r="AM248" s="9" t="str">
        <x:v>https://geoservices.big.go.id/rbi/rest/services/BATASWILAYAH/BATAS_WILAYAH/MapServer/12</x:v>
      </x:c>
    </x:row>
    <x:row r="249" ht="18" customHeight="1">
      <x:c r="A249" s="6" t="str">
        <x:v>31</x:v>
      </x:c>
      <x:c r="B249" s="6" t="str">
        <x:v>DKI JAKARTA</x:v>
      </x:c>
      <x:c r="C249" s="6" t="str">
        <x:v>2024</x:v>
      </x:c>
      <x:c r="D249" s="6" t="str">
        <x:v>8</x:v>
      </x:c>
      <x:c r="E249" s="6" t="str">
        <x:v>27.5</x:v>
      </x:c>
      <x:c r="F249" s="9" t="str">
        <x:v>nearest_POWER_grid_to_BIG_representative_point</x:v>
      </x:c>
      <x:c r="G249" s="6" t="str">
        <x:v>1</x:v>
      </x:c>
      <x:c r="H249" s="8" t="str">
        <x:v>77.75</x:v>
      </x:c>
      <x:c r="I249" s="6" t="str">
        <x:v>1.31</x:v>
      </x:c>
      <x:c r="J249" s="6" t="str">
        <x:v>31</x:v>
      </x:c>
      <x:c r="K249" s="6" t="str">
        <x:v>40.61</x:v>
      </x:c>
      <x:c r="L249" s="6" t="str">
        <x:v>26.763666666666666</x:v>
      </x:c>
      <x:c r="M249" s="6" t="str">
        <x:v>0.3979645048574508</x:v>
      </x:c>
      <x:c r="N249" s="6" t="str">
        <x:v>78.16266666666667</x:v>
      </x:c>
      <x:c r="O249" s="6" t="str">
        <x:v>2.5040573053557975</x:v>
      </x:c>
      <x:c r="P249" s="6" t="str">
        <x:v>53.18566666666666</x:v>
      </x:c>
      <x:c r="Q249" s="6" t="str">
        <x:v>53.01419963871315</x:v>
      </x:c>
      <x:c r="R249" s="6" t="str">
        <x:v>0.7363333333333344</x:v>
      </x:c>
      <x:c r="S249" s="8" t="str">
        <x:v>1.8502487642637524</x:v>
      </x:c>
      <x:c r="T249" s="6" t="str">
        <x:v>-0.4126666666666665</x:v>
      </x:c>
      <x:c r="U249" s="8" t="str">
        <x:v>-0.16479921037910567</x:v>
      </x:c>
      <x:c r="V249" s="6" t="str">
        <x:v>-12.575666666666663</x:v>
      </x:c>
      <x:c r="W249" s="8" t="str">
        <x:v>-0.23721317594849425</x:v>
      </x:c>
      <x:c r="X249" s="6" t="str">
        <x:v>1.533401457992875</x:v>
      </x:c>
      <x:c r="Y249" s="6" t="str">
        <x:v>2.9661206163772893</x:v>
      </x:c>
      <x:c r="Z249" s="6" t="str">
        <x:v>2.1165902795446385</x:v>
      </x:c>
      <x:c r="AA249" s="6" t="str">
        <x:v>0.11061202430761592</x:v>
      </x:c>
      <x:c r="AB249" s="6" t="str">
        <x:v>-0.06767188300707842</x:v>
      </x:c>
      <x:c r="AC249" s="6" t="str">
        <x:v>-0.04061968969285576</x:v>
      </x:c>
      <x:c r="AD249" s="6" t="str">
        <x:v>1.3214139031516003</x:v>
      </x:c>
      <x:c r="AE249" s="6" t="str">
        <x:v>0.9806641793843095</x:v>
      </x:c>
      <x:c r="AF249" s="6" t="str">
        <x:v>0.6882883021958048</x:v>
      </x:c>
      <x:c r="AG249" s="6" t="str">
        <x:v>0</x:v>
      </x:c>
      <x:c r="AH249" s="6" t="str">
        <x:v>1</x:v>
      </x:c>
      <x:c r="AI249" s="6" t="str">
        <x:v>2024-08</x:v>
      </x:c>
      <x:c r="AJ249" s="9" t="str">
        <x:v>NASA POWER (MERRA-2 meteorology)</x:v>
      </x:c>
      <x:c r="AK249" s="9" t="str">
        <x:v>Badan Informasi Geospasial (BIG)</x:v>
      </x:c>
      <x:c r="AL249" s="9" t="str">
        <x:v>https://power.larc.nasa.gov/docs/services/api/temporal/monthly/</x:v>
      </x:c>
      <x:c r="AM249" s="9" t="str">
        <x:v>https://geoservices.big.go.id/rbi/rest/services/BATASWILAYAH/BATAS_WILAYAH/MapServer/12</x:v>
      </x:c>
    </x:row>
    <x:row r="250" ht="18" customHeight="1">
      <x:c r="A250" s="6" t="str">
        <x:v>31</x:v>
      </x:c>
      <x:c r="B250" s="6" t="str">
        <x:v>DKI JAKARTA</x:v>
      </x:c>
      <x:c r="C250" s="6" t="str">
        <x:v>2024</x:v>
      </x:c>
      <x:c r="D250" s="6" t="str">
        <x:v>9</x:v>
      </x:c>
      <x:c r="E250" s="6" t="str">
        <x:v>28.04</x:v>
      </x:c>
      <x:c r="F250" s="9" t="str">
        <x:v>nearest_POWER_grid_to_BIG_representative_point</x:v>
      </x:c>
      <x:c r="G250" s="6" t="str">
        <x:v>1</x:v>
      </x:c>
      <x:c r="H250" s="8" t="str">
        <x:v>77.46</x:v>
      </x:c>
      <x:c r="I250" s="6" t="str">
        <x:v>3.86</x:v>
      </x:c>
      <x:c r="J250" s="6" t="str">
        <x:v>30</x:v>
      </x:c>
      <x:c r="K250" s="6" t="str">
        <x:v>115.8</x:v>
      </x:c>
      <x:c r="L250" s="6" t="str">
        <x:v>27.468666666666667</x:v>
      </x:c>
      <x:c r="M250" s="6" t="str">
        <x:v>0.31863646276328633</x:v>
      </x:c>
      <x:c r="N250" s="6" t="str">
        <x:v>75.67733333333334</x:v>
      </x:c>
      <x:c r="O250" s="6" t="str">
        <x:v>3.3274438085188716</x:v>
      </x:c>
      <x:c r="P250" s="6" t="str">
        <x:v>65.22</x:v>
      </x:c>
      <x:c r="Q250" s="6" t="str">
        <x:v>60.333037784251026</x:v>
      </x:c>
      <x:c r="R250" s="6" t="str">
        <x:v>0.5713333333333317</x:v>
      </x:c>
      <x:c r="S250" s="8" t="str">
        <x:v>1.793056979036868</x:v>
      </x:c>
      <x:c r="T250" s="6" t="str">
        <x:v>1.7826666666666569</x:v>
      </x:c>
      <x:c r="U250" s="8" t="str">
        <x:v>0.5357465878470136</x:v>
      </x:c>
      <x:c r="V250" s="6" t="str">
        <x:v>50.58</x:v>
      </x:c>
      <x:c r="W250" s="8" t="str">
        <x:v>0.8383466481643511</x:v>
      </x:c>
      <x:c r="X250" s="6" t="str">
        <x:v>1.8502487642637524</x:v>
      </x:c>
      <x:c r="Y250" s="6" t="str">
        <x:v>1.533401457992875</x:v>
      </x:c>
      <x:c r="Z250" s="6" t="str">
        <x:v>1.7255690670978314</x:v>
      </x:c>
      <x:c r="AA250" s="6" t="str">
        <x:v>-0.16479921037910567</x:v>
      </x:c>
      <x:c r="AB250" s="6" t="str">
        <x:v>0.11061202430761592</x:v>
      </x:c>
      <x:c r="AC250" s="6" t="str">
        <x:v>0.16051980059184157</x:v>
      </x:c>
      <x:c r="AD250" s="6" t="str">
        <x:v>-0.23721317594849425</x:v>
      </x:c>
      <x:c r="AE250" s="6" t="str">
        <x:v>1.3214139031516003</x:v>
      </x:c>
      <x:c r="AF250" s="6" t="str">
        <x:v>0.6408491251224855</x:v>
      </x:c>
      <x:c r="AG250" s="6" t="str">
        <x:v>0</x:v>
      </x:c>
      <x:c r="AH250" s="6" t="str">
        <x:v>1</x:v>
      </x:c>
      <x:c r="AI250" s="6" t="str">
        <x:v>2024-09</x:v>
      </x:c>
      <x:c r="AJ250" s="9" t="str">
        <x:v>NASA POWER (MERRA-2 meteorology)</x:v>
      </x:c>
      <x:c r="AK250" s="9" t="str">
        <x:v>Badan Informasi Geospasial (BIG)</x:v>
      </x:c>
      <x:c r="AL250" s="9" t="str">
        <x:v>https://power.larc.nasa.gov/docs/services/api/temporal/monthly/</x:v>
      </x:c>
      <x:c r="AM250" s="9" t="str">
        <x:v>https://geoservices.big.go.id/rbi/rest/services/BATASWILAYAH/BATAS_WILAYAH/MapServer/12</x:v>
      </x:c>
    </x:row>
    <x:row r="251" ht="18" customHeight="1">
      <x:c r="A251" s="6" t="str">
        <x:v>31</x:v>
      </x:c>
      <x:c r="B251" s="6" t="str">
        <x:v>DKI JAKARTA</x:v>
      </x:c>
      <x:c r="C251" s="6" t="str">
        <x:v>2024</x:v>
      </x:c>
      <x:c r="D251" s="6" t="str">
        <x:v>10</x:v>
      </x:c>
      <x:c r="E251" s="6" t="str">
        <x:v>28.78</x:v>
      </x:c>
      <x:c r="F251" s="9" t="str">
        <x:v>nearest_POWER_grid_to_BIG_representative_point</x:v>
      </x:c>
      <x:c r="G251" s="6" t="str">
        <x:v>1</x:v>
      </x:c>
      <x:c r="H251" s="8" t="str">
        <x:v>76.93</x:v>
      </x:c>
      <x:c r="I251" s="6" t="str">
        <x:v>3.6</x:v>
      </x:c>
      <x:c r="J251" s="6" t="str">
        <x:v>31</x:v>
      </x:c>
      <x:c r="K251" s="6" t="str">
        <x:v>111.60000000000001</x:v>
      </x:c>
      <x:c r="L251" s="6" t="str">
        <x:v>27.959</x:v>
      </x:c>
      <x:c r="M251" s="6" t="str">
        <x:v>0.43145583543513955</x:v>
      </x:c>
      <x:c r="N251" s="6" t="str">
        <x:v>76.336</x:v>
      </x:c>
      <x:c r="O251" s="6" t="str">
        <x:v>4.377662421414203</x:v>
      </x:c>
      <x:c r="P251" s="6" t="str">
        <x:v>133.17600000000002</x:v>
      </x:c>
      <x:c r="Q251" s="6" t="str">
        <x:v>89.11544293586365</x:v>
      </x:c>
      <x:c r="R251" s="6" t="str">
        <x:v>0.8210000000000015</x:v>
      </x:c>
      <x:c r="S251" s="8" t="str">
        <x:v>1.902859881758215</x:v>
      </x:c>
      <x:c r="T251" s="6" t="str">
        <x:v>0.5940000000000083</x:v>
      </x:c>
      <x:c r="U251" s="8" t="str">
        <x:v>0.13568885464862243</x:v>
      </x:c>
      <x:c r="V251" s="6" t="str">
        <x:v>-21.576000000000008</x:v>
      </x:c>
      <x:c r="W251" s="8" t="str">
        <x:v>-0.2421129188072178</x:v>
      </x:c>
      <x:c r="X251" s="6" t="str">
        <x:v>1.793056979036868</x:v>
      </x:c>
      <x:c r="Y251" s="6" t="str">
        <x:v>1.8502487642637524</x:v>
      </x:c>
      <x:c r="Z251" s="6" t="str">
        <x:v>1.8487218750196115</x:v>
      </x:c>
      <x:c r="AA251" s="6" t="str">
        <x:v>0.5357465878470136</x:v>
      </x:c>
      <x:c r="AB251" s="6" t="str">
        <x:v>-0.16479921037910567</x:v>
      </x:c>
      <x:c r="AC251" s="6" t="str">
        <x:v>0.16887874403884373</x:v>
      </x:c>
      <x:c r="AD251" s="6" t="str">
        <x:v>0.8383466481643511</x:v>
      </x:c>
      <x:c r="AE251" s="6" t="str">
        <x:v>-0.23721317594849425</x:v>
      </x:c>
      <x:c r="AF251" s="6" t="str">
        <x:v>0.1196735178028794</x:v>
      </x:c>
      <x:c r="AG251" s="6" t="str">
        <x:v>0</x:v>
      </x:c>
      <x:c r="AH251" s="6" t="str">
        <x:v>1</x:v>
      </x:c>
      <x:c r="AI251" s="6" t="str">
        <x:v>2024-10</x:v>
      </x:c>
      <x:c r="AJ251" s="9" t="str">
        <x:v>NASA POWER (MERRA-2 meteorology)</x:v>
      </x:c>
      <x:c r="AK251" s="9" t="str">
        <x:v>Badan Informasi Geospasial (BIG)</x:v>
      </x:c>
      <x:c r="AL251" s="9" t="str">
        <x:v>https://power.larc.nasa.gov/docs/services/api/temporal/monthly/</x:v>
      </x:c>
      <x:c r="AM251" s="9" t="str">
        <x:v>https://geoservices.big.go.id/rbi/rest/services/BATASWILAYAH/BATAS_WILAYAH/MapServer/12</x:v>
      </x:c>
    </x:row>
    <x:row r="252" ht="18" customHeight="1">
      <x:c r="A252" s="6" t="str">
        <x:v>31</x:v>
      </x:c>
      <x:c r="B252" s="6" t="str">
        <x:v>DKI JAKARTA</x:v>
      </x:c>
      <x:c r="C252" s="6" t="str">
        <x:v>2024</x:v>
      </x:c>
      <x:c r="D252" s="6" t="str">
        <x:v>11</x:v>
      </x:c>
      <x:c r="E252" s="6" t="str">
        <x:v>28.47</x:v>
      </x:c>
      <x:c r="F252" s="9" t="str">
        <x:v>nearest_POWER_grid_to_BIG_representative_point</x:v>
      </x:c>
      <x:c r="G252" s="6" t="str">
        <x:v>1</x:v>
      </x:c>
      <x:c r="H252" s="8" t="str">
        <x:v>79.58</x:v>
      </x:c>
      <x:c r="I252" s="6" t="str">
        <x:v>7.43</x:v>
      </x:c>
      <x:c r="J252" s="6" t="str">
        <x:v>30</x:v>
      </x:c>
      <x:c r="K252" s="6" t="str">
        <x:v>222.89999999999998</x:v>
      </x:c>
      <x:c r="L252" s="6" t="str">
        <x:v>27.82</x:v>
      </x:c>
      <x:c r="M252" s="6" t="str">
        <x:v>0.5206759532337383</x:v>
      </x:c>
      <x:c r="N252" s="6" t="str">
        <x:v>79.46966666666667</x:v>
      </x:c>
      <x:c r="O252" s="6" t="str">
        <x:v>2.9633013781036954</x:v>
      </x:c>
      <x:c r="P252" s="6" t="str">
        <x:v>195.62</x:v>
      </x:c>
      <x:c r="Q252" s="6" t="str">
        <x:v>60.38210742059045</x:v>
      </x:c>
      <x:c r="R252" s="6" t="str">
        <x:v>0.6499999999999986</x:v>
      </x:c>
      <x:c r="S252" s="8" t="str">
        <x:v>1.248377221884501</x:v>
      </x:c>
      <x:c r="T252" s="6" t="str">
        <x:v>0.11033333333332962</x:v>
      </x:c>
      <x:c r="U252" s="8" t="str">
        <x:v>0.03723324740055134</x:v>
      </x:c>
      <x:c r="V252" s="6" t="str">
        <x:v>27.279999999999973</x:v>
      </x:c>
      <x:c r="W252" s="8" t="str">
        <x:v>0.4517894648820658</x:v>
      </x:c>
      <x:c r="X252" s="6" t="str">
        <x:v>1.902859881758215</x:v>
      </x:c>
      <x:c r="Y252" s="6" t="str">
        <x:v>1.793056979036868</x:v>
      </x:c>
      <x:c r="Z252" s="6" t="str">
        <x:v>1.6480980275598611</x:v>
      </x:c>
      <x:c r="AA252" s="6" t="str">
        <x:v>0.13568885464862243</x:v>
      </x:c>
      <x:c r="AB252" s="6" t="str">
        <x:v>0.5357465878470136</x:v>
      </x:c>
      <x:c r="AC252" s="6" t="str">
        <x:v>0.23622289663206272</x:v>
      </x:c>
      <x:c r="AD252" s="6" t="str">
        <x:v>-0.2421129188072178</x:v>
      </x:c>
      <x:c r="AE252" s="6" t="str">
        <x:v>0.8383466481643511</x:v>
      </x:c>
      <x:c r="AF252" s="6" t="str">
        <x:v>0.3493410647463994</x:v>
      </x:c>
      <x:c r="AG252" s="6" t="str">
        <x:v>0</x:v>
      </x:c>
      <x:c r="AH252" s="6" t="str">
        <x:v>1</x:v>
      </x:c>
      <x:c r="AI252" s="6" t="str">
        <x:v>2024-11</x:v>
      </x:c>
      <x:c r="AJ252" s="9" t="str">
        <x:v>NASA POWER (MERRA-2 meteorology)</x:v>
      </x:c>
      <x:c r="AK252" s="9" t="str">
        <x:v>Badan Informasi Geospasial (BIG)</x:v>
      </x:c>
      <x:c r="AL252" s="9" t="str">
        <x:v>https://power.larc.nasa.gov/docs/services/api/temporal/monthly/</x:v>
      </x:c>
      <x:c r="AM252" s="9" t="str">
        <x:v>https://geoservices.big.go.id/rbi/rest/services/BATASWILAYAH/BATAS_WILAYAH/MapServer/12</x:v>
      </x:c>
    </x:row>
    <x:row r="253" ht="18" customHeight="1">
      <x:c r="A253" s="6" t="str">
        <x:v>31</x:v>
      </x:c>
      <x:c r="B253" s="6" t="str">
        <x:v>DKI JAKARTA</x:v>
      </x:c>
      <x:c r="C253" s="6" t="str">
        <x:v>2024</x:v>
      </x:c>
      <x:c r="D253" s="6" t="str">
        <x:v>12</x:v>
      </x:c>
      <x:c r="E253" s="6" t="str">
        <x:v>27.65</x:v>
      </x:c>
      <x:c r="F253" s="9" t="str">
        <x:v>nearest_POWER_grid_to_BIG_representative_point</x:v>
      </x:c>
      <x:c r="G253" s="6" t="str">
        <x:v>1</x:v>
      </x:c>
      <x:c r="H253" s="8" t="str">
        <x:v>84.49</x:v>
      </x:c>
      <x:c r="I253" s="6" t="str">
        <x:v>10.95</x:v>
      </x:c>
      <x:c r="J253" s="6" t="str">
        <x:v>31</x:v>
      </x:c>
      <x:c r="K253" s="6" t="str">
        <x:v>339.45</x:v>
      </x:c>
      <x:c r="L253" s="6" t="str">
        <x:v>27.243666666666666</x:v>
      </x:c>
      <x:c r="M253" s="6" t="str">
        <x:v>0.45279578508253</x:v>
      </x:c>
      <x:c r="N253" s="6" t="str">
        <x:v>82.618</x:v>
      </x:c>
      <x:c r="O253" s="6" t="str">
        <x:v>2.193319638010557</x:v>
      </x:c>
      <x:c r="P253" s="6" t="str">
        <x:v>231.61133333333333</x:v>
      </x:c>
      <x:c r="Q253" s="6" t="str">
        <x:v>87.17758236568868</x:v>
      </x:c>
      <x:c r="R253" s="6" t="str">
        <x:v>0.40633333333333255</x:v>
      </x:c>
      <x:c r="S253" s="8" t="str">
        <x:v>0.8973876231186011</x:v>
      </x:c>
      <x:c r="T253" s="6" t="str">
        <x:v>1.8719999999999999</x:v>
      </x:c>
      <x:c r="U253" s="8" t="str">
        <x:v>0.8535007700464448</x:v>
      </x:c>
      <x:c r="V253" s="6" t="str">
        <x:v>107.83866666666665</x:v>
      </x:c>
      <x:c r="W253" s="8" t="str">
        <x:v>1.2369999688028714</x:v>
      </x:c>
      <x:c r="X253" s="6" t="str">
        <x:v>1.248377221884501</x:v>
      </x:c>
      <x:c r="Y253" s="6" t="str">
        <x:v>1.902859881758215</x:v>
      </x:c>
      <x:c r="Z253" s="6" t="str">
        <x:v>1.3495415755871054</x:v>
      </x:c>
      <x:c r="AA253" s="6" t="str">
        <x:v>0.03723324740055134</x:v>
      </x:c>
      <x:c r="AB253" s="6" t="str">
        <x:v>0.13568885464862243</x:v>
      </x:c>
      <x:c r="AC253" s="6" t="str">
        <x:v>0.3421409573652065</x:v>
      </x:c>
      <x:c r="AD253" s="6" t="str">
        <x:v>0.4517894648820658</x:v>
      </x:c>
      <x:c r="AE253" s="6" t="str">
        <x:v>-0.2421129188072178</x:v>
      </x:c>
      <x:c r="AF253" s="6" t="str">
        <x:v>0.4822255049592395</x:v>
      </x:c>
      <x:c r="AG253" s="6" t="str">
        <x:v>1</x:v>
      </x:c>
      <x:c r="AH253" s="6" t="str">
        <x:v>0</x:v>
      </x:c>
      <x:c r="AI253" s="6" t="str">
        <x:v>2024-12</x:v>
      </x:c>
      <x:c r="AJ253" s="9" t="str">
        <x:v>NASA POWER (MERRA-2 meteorology)</x:v>
      </x:c>
      <x:c r="AK253" s="9" t="str">
        <x:v>Badan Informasi Geospasial (BIG)</x:v>
      </x:c>
      <x:c r="AL253" s="9" t="str">
        <x:v>https://power.larc.nasa.gov/docs/services/api/temporal/monthly/</x:v>
      </x:c>
      <x:c r="AM253" s="9" t="str">
        <x:v>https://geoservices.big.go.id/rbi/rest/services/BATASWILAYAH/BATAS_WILAYAH/MapServer/12</x:v>
      </x:c>
    </x:row>
    <x:row r="254" ht="18" customHeight="1">
      <x:c r="A254" s="6" t="str">
        <x:v>31</x:v>
      </x:c>
      <x:c r="B254" s="6" t="str">
        <x:v>DKI JAKARTA</x:v>
      </x:c>
      <x:c r="C254" s="6" t="str">
        <x:v>2025</x:v>
      </x:c>
      <x:c r="D254" s="6" t="str">
        <x:v>1</x:v>
      </x:c>
      <x:c r="E254" s="6" t="str">
        <x:v>27.08</x:v>
      </x:c>
      <x:c r="F254" s="9" t="str">
        <x:v>nearest_POWER_grid_to_BIG_representative_point</x:v>
      </x:c>
      <x:c r="G254" s="6" t="str">
        <x:v>1</x:v>
      </x:c>
      <x:c r="H254" s="8" t="str">
        <x:v>86.4</x:v>
      </x:c>
      <x:c r="I254" s="6" t="str">
        <x:v>17.86</x:v>
      </x:c>
      <x:c r="J254" s="6" t="str">
        <x:v>31</x:v>
      </x:c>
      <x:c r="K254" s="6" t="str">
        <x:v>553.66</x:v>
      </x:c>
      <x:c r="L254" s="6" t="str">
        <x:v>26.771</x:v>
      </x:c>
      <x:c r="M254" s="6" t="str">
        <x:v>0.606847989828277</x:v>
      </x:c>
      <x:c r="N254" s="6" t="str">
        <x:v>85.08066666666667</x:v>
      </x:c>
      <x:c r="O254" s="6" t="str">
        <x:v>2.6674279660420077</x:v>
      </x:c>
      <x:c r="P254" s="6" t="str">
        <x:v>341.651</x:v>
      </x:c>
      <x:c r="Q254" s="6" t="str">
        <x:v>140.89873309799736</x:v>
      </x:c>
      <x:c r="R254" s="6" t="str">
        <x:v>0.3089999999999975</x:v>
      </x:c>
      <x:c r="S254" s="8" t="str">
        <x:v>0.5091884708845075</x:v>
      </x:c>
      <x:c r="T254" s="6" t="str">
        <x:v>1.3193333333333328</x:v>
      </x:c>
      <x:c r="U254" s="8" t="str">
        <x:v>0.4946087954873588</x:v>
      </x:c>
      <x:c r="V254" s="6" t="str">
        <x:v>212.00899999999996</x:v>
      </x:c>
      <x:c r="W254" s="8" t="str">
        <x:v>1.5046906053622515</x:v>
      </x:c>
      <x:c r="X254" s="6" t="str">
        <x:v>0.8973876231186011</x:v>
      </x:c>
      <x:c r="Y254" s="6" t="str">
        <x:v>1.248377221884501</x:v>
      </x:c>
      <x:c r="Z254" s="6" t="str">
        <x:v>0.884984438629203</x:v>
      </x:c>
      <x:c r="AA254" s="6" t="str">
        <x:v>0.8535007700464448</x:v>
      </x:c>
      <x:c r="AB254" s="6" t="str">
        <x:v>0.03723324740055134</x:v>
      </x:c>
      <x:c r="AC254" s="6" t="str">
        <x:v>0.4617809376447852</x:v>
      </x:c>
      <x:c r="AD254" s="6" t="str">
        <x:v>1.2369999688028714</x:v>
      </x:c>
      <x:c r="AE254" s="6" t="str">
        <x:v>0.4517894648820658</x:v>
      </x:c>
      <x:c r="AF254" s="6" t="str">
        <x:v>1.0644933463490627</x:v>
      </x:c>
      <x:c r="AG254" s="6" t="str">
        <x:v>1</x:v>
      </x:c>
      <x:c r="AH254" s="6" t="str">
        <x:v>0</x:v>
      </x:c>
      <x:c r="AI254" s="6" t="str">
        <x:v>2025-01</x:v>
      </x:c>
      <x:c r="AJ254" s="9" t="str">
        <x:v>NASA POWER (MERRA-2 meteorology)</x:v>
      </x:c>
      <x:c r="AK254" s="9" t="str">
        <x:v>Badan Informasi Geospasial (BIG)</x:v>
      </x:c>
      <x:c r="AL254" s="9" t="str">
        <x:v>https://power.larc.nasa.gov/docs/services/api/temporal/monthly/</x:v>
      </x:c>
      <x:c r="AM254" s="9" t="str">
        <x:v>https://geoservices.big.go.id/rbi/rest/services/BATASWILAYAH/BATAS_WILAYAH/MapServer/12</x:v>
      </x:c>
    </x:row>
    <x:row r="255" ht="18" customHeight="1">
      <x:c r="A255" s="6" t="str">
        <x:v>31</x:v>
      </x:c>
      <x:c r="B255" s="6" t="str">
        <x:v>DKI JAKARTA</x:v>
      </x:c>
      <x:c r="C255" s="6" t="str">
        <x:v>2025</x:v>
      </x:c>
      <x:c r="D255" s="6" t="str">
        <x:v>2</x:v>
      </x:c>
      <x:c r="E255" s="6" t="str">
        <x:v>27.05</x:v>
      </x:c>
      <x:c r="F255" s="9" t="str">
        <x:v>nearest_POWER_grid_to_BIG_representative_point</x:v>
      </x:c>
      <x:c r="G255" s="6" t="str">
        <x:v>1</x:v>
      </x:c>
      <x:c r="H255" s="8" t="str">
        <x:v>86.01</x:v>
      </x:c>
      <x:c r="I255" s="6" t="str">
        <x:v>10.44</x:v>
      </x:c>
      <x:c r="J255" s="6" t="str">
        <x:v>28</x:v>
      </x:c>
      <x:c r="K255" s="6" t="str">
        <x:v>292.32</x:v>
      </x:c>
      <x:c r="L255" s="6" t="str">
        <x:v>26.645333333333333</x:v>
      </x:c>
      <x:c r="M255" s="6" t="str">
        <x:v>0.5070586807728729</x:v>
      </x:c>
      <x:c r="N255" s="6" t="str">
        <x:v>86.278</x:v>
      </x:c>
      <x:c r="O255" s="6" t="str">
        <x:v>1.6257335744741233</x:v>
      </x:c>
      <x:c r="P255" s="6" t="str">
        <x:v>340.8763333333334</x:v>
      </x:c>
      <x:c r="Q255" s="6" t="str">
        <x:v>129.7741692719698</x:v>
      </x:c>
      <x:c r="R255" s="6" t="str">
        <x:v>0.4046666666666674</x:v>
      </x:c>
      <x:c r="S255" s="8" t="str">
        <x:v>0.7980667366740735</x:v>
      </x:c>
      <x:c r="T255" s="6" t="str">
        <x:v>-0.2680000000000007</x:v>
      </x:c>
      <x:c r="U255" s="8" t="str">
        <x:v>-0.16484865921938702</x:v>
      </x:c>
      <x:c r="V255" s="6" t="str">
        <x:v>-48.556333333333384</x:v>
      </x:c>
      <x:c r="W255" s="8" t="str">
        <x:v>-0.3741602323924193</x:v>
      </x:c>
      <x:c r="X255" s="6" t="str">
        <x:v>0.5091884708845075</x:v>
      </x:c>
      <x:c r="Y255" s="6" t="str">
        <x:v>0.8973876231186011</x:v>
      </x:c>
      <x:c r="Z255" s="6" t="str">
        <x:v>0.7348809435590603</x:v>
      </x:c>
      <x:c r="AA255" s="6" t="str">
        <x:v>0.4946087954873588</x:v>
      </x:c>
      <x:c r="AB255" s="6" t="str">
        <x:v>0.8535007700464448</x:v>
      </x:c>
      <x:c r="AC255" s="6" t="str">
        <x:v>0.39442030210480583</x:v>
      </x:c>
      <x:c r="AD255" s="6" t="str">
        <x:v>1.5046906053622515</x:v>
      </x:c>
      <x:c r="AE255" s="6" t="str">
        <x:v>1.2369999688028714</x:v>
      </x:c>
      <x:c r="AF255" s="6" t="str">
        <x:v>0.7891767805909008</x:v>
      </x:c>
      <x:c r="AG255" s="6" t="str">
        <x:v>0</x:v>
      </x:c>
      <x:c r="AH255" s="6" t="str">
        <x:v>0</x:v>
      </x:c>
      <x:c r="AI255" s="6" t="str">
        <x:v>2025-02</x:v>
      </x:c>
      <x:c r="AJ255" s="9" t="str">
        <x:v>NASA POWER (MERRA-2 meteorology)</x:v>
      </x:c>
      <x:c r="AK255" s="9" t="str">
        <x:v>Badan Informasi Geospasial (BIG)</x:v>
      </x:c>
      <x:c r="AL255" s="9" t="str">
        <x:v>https://power.larc.nasa.gov/docs/services/api/temporal/monthly/</x:v>
      </x:c>
      <x:c r="AM255" s="9" t="str">
        <x:v>https://geoservices.big.go.id/rbi/rest/services/BATASWILAYAH/BATAS_WILAYAH/MapServer/12</x:v>
      </x:c>
    </x:row>
    <x:row r="256" ht="18" customHeight="1">
      <x:c r="A256" s="6" t="str">
        <x:v>31</x:v>
      </x:c>
      <x:c r="B256" s="6" t="str">
        <x:v>DKI JAKARTA</x:v>
      </x:c>
      <x:c r="C256" s="6" t="str">
        <x:v>2025</x:v>
      </x:c>
      <x:c r="D256" s="6" t="str">
        <x:v>3</x:v>
      </x:c>
      <x:c r="E256" s="6" t="str">
        <x:v>27.55</x:v>
      </x:c>
      <x:c r="F256" s="9" t="str">
        <x:v>nearest_POWER_grid_to_BIG_representative_point</x:v>
      </x:c>
      <x:c r="G256" s="6" t="str">
        <x:v>1</x:v>
      </x:c>
      <x:c r="H256" s="8" t="str">
        <x:v>85.25</x:v>
      </x:c>
      <x:c r="I256" s="6" t="str">
        <x:v>6.82</x:v>
      </x:c>
      <x:c r="J256" s="6" t="str">
        <x:v>31</x:v>
      </x:c>
      <x:c r="K256" s="6" t="str">
        <x:v>211.42000000000002</x:v>
      </x:c>
      <x:c r="L256" s="6" t="str">
        <x:v>27.120333333333335</x:v>
      </x:c>
      <x:c r="M256" s="6" t="str">
        <x:v>0.403010082301649</x:v>
      </x:c>
      <x:c r="N256" s="6" t="str">
        <x:v>84.672</x:v>
      </x:c>
      <x:c r="O256" s="6" t="str">
        <x:v>1.4144632221788416</x:v>
      </x:c>
      <x:c r="P256" s="6" t="str">
        <x:v>232.86166666666668</x:v>
      </x:c>
      <x:c r="Q256" s="6" t="str">
        <x:v>58.965849911174246</x:v>
      </x:c>
      <x:c r="R256" s="6" t="str">
        <x:v>0.429666666666666</x:v>
      </x:c>
      <x:c r="S256" s="8" t="str">
        <x:v>1.066143715841493</x:v>
      </x:c>
      <x:c r="T256" s="6" t="str">
        <x:v>0.578000000000003</x:v>
      </x:c>
      <x:c r="U256" s="8" t="str">
        <x:v>0.4086355805770975</x:v>
      </x:c>
      <x:c r="V256" s="6" t="str">
        <x:v>-21.441666666666663</x:v>
      </x:c>
      <x:c r="W256" s="8" t="str">
        <x:v>-0.36362855278040157</x:v>
      </x:c>
      <x:c r="X256" s="6" t="str">
        <x:v>0.7980667366740735</x:v>
      </x:c>
      <x:c r="Y256" s="6" t="str">
        <x:v>0.5091884708845075</x:v>
      </x:c>
      <x:c r="Z256" s="6" t="str">
        <x:v>0.791132974466691</x:v>
      </x:c>
      <x:c r="AA256" s="6" t="str">
        <x:v>-0.16484865921938702</x:v>
      </x:c>
      <x:c r="AB256" s="6" t="str">
        <x:v>0.4946087954873588</x:v>
      </x:c>
      <x:c r="AC256" s="6" t="str">
        <x:v>0.24613190561502338</x:v>
      </x:c>
      <x:c r="AD256" s="6" t="str">
        <x:v>-0.3741602323924193</x:v>
      </x:c>
      <x:c r="AE256" s="6" t="str">
        <x:v>1.5046906053622515</x:v>
      </x:c>
      <x:c r="AF256" s="6" t="str">
        <x:v>0.2556339400631433</x:v>
      </x:c>
      <x:c r="AG256" s="6" t="str">
        <x:v>0</x:v>
      </x:c>
      <x:c r="AH256" s="6" t="str">
        <x:v>1</x:v>
      </x:c>
      <x:c r="AI256" s="6" t="str">
        <x:v>2025-03</x:v>
      </x:c>
      <x:c r="AJ256" s="9" t="str">
        <x:v>NASA POWER (MERRA-2 meteorology)</x:v>
      </x:c>
      <x:c r="AK256" s="9" t="str">
        <x:v>Badan Informasi Geospasial (BIG)</x:v>
      </x:c>
      <x:c r="AL256" s="9" t="str">
        <x:v>https://power.larc.nasa.gov/docs/services/api/temporal/monthly/</x:v>
      </x:c>
      <x:c r="AM256" s="9" t="str">
        <x:v>https://geoservices.big.go.id/rbi/rest/services/BATASWILAYAH/BATAS_WILAYAH/MapServer/12</x:v>
      </x:c>
    </x:row>
    <x:row r="257" ht="18" customHeight="1">
      <x:c r="A257" s="6" t="str">
        <x:v>31</x:v>
      </x:c>
      <x:c r="B257" s="6" t="str">
        <x:v>DKI JAKARTA</x:v>
      </x:c>
      <x:c r="C257" s="6" t="str">
        <x:v>2025</x:v>
      </x:c>
      <x:c r="D257" s="6" t="str">
        <x:v>4</x:v>
      </x:c>
      <x:c r="E257" s="6" t="str">
        <x:v>27.91</x:v>
      </x:c>
      <x:c r="F257" s="9" t="str">
        <x:v>nearest_POWER_grid_to_BIG_representative_point</x:v>
      </x:c>
      <x:c r="G257" s="6" t="str">
        <x:v>1</x:v>
      </x:c>
      <x:c r="H257" s="8" t="str">
        <x:v>82.37</x:v>
      </x:c>
      <x:c r="I257" s="6" t="str">
        <x:v>6.85</x:v>
      </x:c>
      <x:c r="J257" s="6" t="str">
        <x:v>30</x:v>
      </x:c>
      <x:c r="K257" s="6" t="str">
        <x:v>205.5</x:v>
      </x:c>
      <x:c r="L257" s="6" t="str">
        <x:v>27.512333333333334</x:v>
      </x:c>
      <x:c r="M257" s="6" t="str">
        <x:v>0.37201856955258905</x:v>
      </x:c>
      <x:c r="N257" s="6" t="str">
        <x:v>83.75666666666666</x:v>
      </x:c>
      <x:c r="O257" s="6" t="str">
        <x:v>1.091798052986787</x:v>
      </x:c>
      <x:c r="P257" s="6" t="str">
        <x:v>192.86</x:v>
      </x:c>
      <x:c r="Q257" s="6" t="str">
        <x:v>48.36987235588014</x:v>
      </x:c>
      <x:c r="R257" s="6" t="str">
        <x:v>0.39766666666666595</x:v>
      </x:c>
      <x:c r="S257" s="8" t="str">
        <x:v>1.0689430561085238</x:v>
      </x:c>
      <x:c r="T257" s="6" t="str">
        <x:v>-1.386666666666656</x:v>
      </x:c>
      <x:c r="U257" s="8" t="str">
        <x:v>-1.2700761490398422</x:v>
      </x:c>
      <x:c r="V257" s="6" t="str">
        <x:v>12.639999999999986</x:v>
      </x:c>
      <x:c r="W257" s="8" t="str">
        <x:v>0.2613196889791542</x:v>
      </x:c>
      <x:c r="X257" s="6" t="str">
        <x:v>1.066143715841493</x:v>
      </x:c>
      <x:c r="Y257" s="6" t="str">
        <x:v>0.7980667366740735</x:v>
      </x:c>
      <x:c r="Z257" s="6" t="str">
        <x:v>0.9777178362080298</x:v>
      </x:c>
      <x:c r="AA257" s="6" t="str">
        <x:v>0.4086355805770975</x:v>
      </x:c>
      <x:c r="AB257" s="6" t="str">
        <x:v>-0.16484865921938702</x:v>
      </x:c>
      <x:c r="AC257" s="6" t="str">
        <x:v>-0.342096409227377</x:v>
      </x:c>
      <x:c r="AD257" s="6" t="str">
        <x:v>-0.36362855278040157</x:v>
      </x:c>
      <x:c r="AE257" s="6" t="str">
        <x:v>-0.3741602323924193</x:v>
      </x:c>
      <x:c r="AF257" s="6" t="str">
        <x:v>-0.15882303206455586</x:v>
      </x:c>
      <x:c r="AG257" s="6" t="str">
        <x:v>0</x:v>
      </x:c>
      <x:c r="AH257" s="6" t="str">
        <x:v>1</x:v>
      </x:c>
      <x:c r="AI257" s="6" t="str">
        <x:v>2025-04</x:v>
      </x:c>
      <x:c r="AJ257" s="9" t="str">
        <x:v>NASA POWER (MERRA-2 meteorology)</x:v>
      </x:c>
      <x:c r="AK257" s="9" t="str">
        <x:v>Badan Informasi Geospasial (BIG)</x:v>
      </x:c>
      <x:c r="AL257" s="9" t="str">
        <x:v>https://power.larc.nasa.gov/docs/services/api/temporal/monthly/</x:v>
      </x:c>
      <x:c r="AM257" s="9" t="str">
        <x:v>https://geoservices.big.go.id/rbi/rest/services/BATASWILAYAH/BATAS_WILAYAH/MapServer/12</x:v>
      </x:c>
    </x:row>
    <x:row r="258" ht="18" customHeight="1">
      <x:c r="A258" s="6" t="str">
        <x:v>31</x:v>
      </x:c>
      <x:c r="B258" s="6" t="str">
        <x:v>DKI JAKARTA</x:v>
      </x:c>
      <x:c r="C258" s="6" t="str">
        <x:v>2025</x:v>
      </x:c>
      <x:c r="D258" s="6" t="str">
        <x:v>5</x:v>
      </x:c>
      <x:c r="E258" s="6" t="str">
        <x:v>28.47</x:v>
      </x:c>
      <x:c r="F258" s="9" t="str">
        <x:v>nearest_POWER_grid_to_BIG_representative_point</x:v>
      </x:c>
      <x:c r="G258" s="6" t="str">
        <x:v>1</x:v>
      </x:c>
      <x:c r="H258" s="8" t="str">
        <x:v>81.64</x:v>
      </x:c>
      <x:c r="I258" s="6" t="str">
        <x:v>7.96</x:v>
      </x:c>
      <x:c r="J258" s="6" t="str">
        <x:v>31</x:v>
      </x:c>
      <x:c r="K258" s="6" t="str">
        <x:v>246.76</x:v>
      </x:c>
      <x:c r="L258" s="6" t="str">
        <x:v>27.657666666666668</x:v>
      </x:c>
      <x:c r="M258" s="6" t="str">
        <x:v>0.3740798673096918</x:v>
      </x:c>
      <x:c r="N258" s="6" t="str">
        <x:v>82.73166666666665</x:v>
      </x:c>
      <x:c r="O258" s="6" t="str">
        <x:v>1.2587242675062682</x:v>
      </x:c>
      <x:c r="P258" s="6" t="str">
        <x:v>139.779</x:v>
      </x:c>
      <x:c r="Q258" s="6" t="str">
        <x:v>45.33566856012055</x:v>
      </x:c>
      <x:c r="R258" s="6" t="str">
        <x:v>0.8123333333333314</x:v>
      </x:c>
      <x:c r="S258" s="8" t="str">
        <x:v>2.1715505279005565</x:v>
      </x:c>
      <x:c r="T258" s="6" t="str">
        <x:v>-1.0916666666666544</x:v>
      </x:c>
      <x:c r="U258" s="8" t="str">
        <x:v>-0.8672802255806338</x:v>
      </x:c>
      <x:c r="V258" s="6" t="str">
        <x:v>106.981</x:v>
      </x:c>
      <x:c r="W258" s="8" t="str">
        <x:v>2.3597534435414866</x:v>
      </x:c>
      <x:c r="X258" s="6" t="str">
        <x:v>1.0689430561085238</x:v>
      </x:c>
      <x:c r="Y258" s="6" t="str">
        <x:v>1.066143715841493</x:v>
      </x:c>
      <x:c r="Z258" s="6" t="str">
        <x:v>1.4355457666168574</x:v>
      </x:c>
      <x:c r="AA258" s="6" t="str">
        <x:v>-1.2700761490398422</x:v>
      </x:c>
      <x:c r="AB258" s="6" t="str">
        <x:v>0.4086355805770975</x:v>
      </x:c>
      <x:c r="AC258" s="6" t="str">
        <x:v>-0.5762402646811259</x:v>
      </x:c>
      <x:c r="AD258" s="6" t="str">
        <x:v>0.2613196889791542</x:v>
      </x:c>
      <x:c r="AE258" s="6" t="str">
        <x:v>-0.36362855278040157</x:v>
      </x:c>
      <x:c r="AF258" s="6" t="str">
        <x:v>0.7524815265800795</x:v>
      </x:c>
      <x:c r="AG258" s="6" t="str">
        <x:v>1</x:v>
      </x:c>
      <x:c r="AH258" s="6" t="str">
        <x:v>1</x:v>
      </x:c>
      <x:c r="AI258" s="6" t="str">
        <x:v>2025-05</x:v>
      </x:c>
      <x:c r="AJ258" s="9" t="str">
        <x:v>NASA POWER (MERRA-2 meteorology)</x:v>
      </x:c>
      <x:c r="AK258" s="9" t="str">
        <x:v>Badan Informasi Geospasial (BIG)</x:v>
      </x:c>
      <x:c r="AL258" s="9" t="str">
        <x:v>https://power.larc.nasa.gov/docs/services/api/temporal/monthly/</x:v>
      </x:c>
      <x:c r="AM258" s="9" t="str">
        <x:v>https://geoservices.big.go.id/rbi/rest/services/BATASWILAYAH/BATAS_WILAYAH/MapServer/12</x:v>
      </x:c>
    </x:row>
    <x:row r="259" ht="18" customHeight="1">
      <x:c r="A259" s="6" t="str">
        <x:v>31</x:v>
      </x:c>
      <x:c r="B259" s="6" t="str">
        <x:v>DKI JAKARTA</x:v>
      </x:c>
      <x:c r="C259" s="6" t="str">
        <x:v>2025</x:v>
      </x:c>
      <x:c r="D259" s="6" t="str">
        <x:v>6</x:v>
      </x:c>
      <x:c r="E259" s="6" t="str">
        <x:v>27.87</x:v>
      </x:c>
      <x:c r="F259" s="9" t="str">
        <x:v>nearest_POWER_grid_to_BIG_representative_point</x:v>
      </x:c>
      <x:c r="G259" s="6" t="str">
        <x:v>1</x:v>
      </x:c>
      <x:c r="H259" s="8" t="str">
        <x:v>82.66</x:v>
      </x:c>
      <x:c r="I259" s="6" t="str">
        <x:v>6.98</x:v>
      </x:c>
      <x:c r="J259" s="6" t="str">
        <x:v>30</x:v>
      </x:c>
      <x:c r="K259" s="6" t="str">
        <x:v>209.4</x:v>
      </x:c>
      <x:c r="L259" s="6" t="str">
        <x:v>27.212</x:v>
      </x:c>
      <x:c r="M259" s="6" t="str">
        <x:v>0.33646642502991725</x:v>
      </x:c>
      <x:c r="N259" s="6" t="str">
        <x:v>81.81866666666666</x:v>
      </x:c>
      <x:c r="O259" s="6" t="str">
        <x:v>1.7535594015352423</x:v>
      </x:c>
      <x:c r="P259" s="6" t="str">
        <x:v>91.03</x:v>
      </x:c>
      <x:c r="Q259" s="6" t="str">
        <x:v>52.79075252091164</x:v>
      </x:c>
      <x:c r="R259" s="6" t="str">
        <x:v>0.6580000000000013</x:v>
      </x:c>
      <x:c r="S259" s="8" t="str">
        <x:v>1.9556186027818214</x:v>
      </x:c>
      <x:c r="T259" s="6" t="str">
        <x:v>0.8413333333333384</x:v>
      </x:c>
      <x:c r="U259" s="8" t="str">
        <x:v>0.47978604693787424</x:v>
      </x:c>
      <x:c r="V259" s="6" t="str">
        <x:v>118.37</x:v>
      </x:c>
      <x:c r="W259" s="8" t="str">
        <x:v>2.2422487717543125</x:v>
      </x:c>
      <x:c r="X259" s="6" t="str">
        <x:v>2.1715505279005565</x:v>
      </x:c>
      <x:c r="Y259" s="6" t="str">
        <x:v>1.0689430561085238</x:v>
      </x:c>
      <x:c r="Z259" s="6" t="str">
        <x:v>1.7320373955969668</x:v>
      </x:c>
      <x:c r="AA259" s="6" t="str">
        <x:v>-0.8672802255806338</x:v>
      </x:c>
      <x:c r="AB259" s="6" t="str">
        <x:v>-1.2700761490398422</x:v>
      </x:c>
      <x:c r="AC259" s="6" t="str">
        <x:v>-0.5525234425608669</x:v>
      </x:c>
      <x:c r="AD259" s="6" t="str">
        <x:v>2.3597534435414866</x:v>
      </x:c>
      <x:c r="AE259" s="6" t="str">
        <x:v>0.2613196889791542</x:v>
      </x:c>
      <x:c r="AF259" s="6" t="str">
        <x:v>1.6211073014249842</x:v>
      </x:c>
      <x:c r="AG259" s="6" t="str">
        <x:v>1</x:v>
      </x:c>
      <x:c r="AH259" s="6" t="str">
        <x:v>1</x:v>
      </x:c>
      <x:c r="AI259" s="6" t="str">
        <x:v>2025-06</x:v>
      </x:c>
      <x:c r="AJ259" s="9" t="str">
        <x:v>NASA POWER (MERRA-2 meteorology)</x:v>
      </x:c>
      <x:c r="AK259" s="9" t="str">
        <x:v>Badan Informasi Geospasial (BIG)</x:v>
      </x:c>
      <x:c r="AL259" s="9" t="str">
        <x:v>https://power.larc.nasa.gov/docs/services/api/temporal/monthly/</x:v>
      </x:c>
      <x:c r="AM259" s="9" t="str">
        <x:v>https://geoservices.big.go.id/rbi/rest/services/BATASWILAYAH/BATAS_WILAYAH/MapServer/12</x:v>
      </x:c>
    </x:row>
    <x:row r="260" ht="18" customHeight="1">
      <x:c r="A260" s="6" t="str">
        <x:v>31</x:v>
      </x:c>
      <x:c r="B260" s="6" t="str">
        <x:v>DKI JAKARTA</x:v>
      </x:c>
      <x:c r="C260" s="6" t="str">
        <x:v>2025</x:v>
      </x:c>
      <x:c r="D260" s="6" t="str">
        <x:v>7</x:v>
      </x:c>
      <x:c r="E260" s="6" t="str">
        <x:v>27.45</x:v>
      </x:c>
      <x:c r="F260" s="9" t="str">
        <x:v>nearest_POWER_grid_to_BIG_representative_point</x:v>
      </x:c>
      <x:c r="G260" s="6" t="str">
        <x:v>1</x:v>
      </x:c>
      <x:c r="H260" s="8" t="str">
        <x:v>81.17</x:v>
      </x:c>
      <x:c r="I260" s="6" t="str">
        <x:v>5.32</x:v>
      </x:c>
      <x:c r="J260" s="6" t="str">
        <x:v>31</x:v>
      </x:c>
      <x:c r="K260" s="6" t="str">
        <x:v>164.92000000000002</x:v>
      </x:c>
      <x:c r="L260" s="6" t="str">
        <x:v>26.737333333333332</x:v>
      </x:c>
      <x:c r="M260" s="6" t="str">
        <x:v>0.4191118140111049</x:v>
      </x:c>
      <x:c r="N260" s="6" t="str">
        <x:v>80.25966666666666</x:v>
      </x:c>
      <x:c r="O260" s="6" t="str">
        <x:v>2.3535717293206675</x:v>
      </x:c>
      <x:c r="P260" s="6" t="str">
        <x:v>78.64699999999999</x:v>
      </x:c>
      <x:c r="Q260" s="6" t="str">
        <x:v>73.96849674948999</x:v>
      </x:c>
      <x:c r="R260" s="6" t="str">
        <x:v>0.7126666666666672</x:v>
      </x:c>
      <x:c r="S260" s="8" t="str">
        <x:v>1.700421326342722</x:v>
      </x:c>
      <x:c r="T260" s="6" t="str">
        <x:v>0.910333333333341</x:v>
      </x:c>
      <x:c r="U260" s="8" t="str">
        <x:v>0.38678801329590184</x:v>
      </x:c>
      <x:c r="V260" s="6" t="str">
        <x:v>86.27300000000002</x:v>
      </x:c>
      <x:c r="W260" s="8" t="str">
        <x:v>1.1663478885096428</x:v>
      </x:c>
      <x:c r="X260" s="6" t="str">
        <x:v>1.9556186027818214</x:v>
      </x:c>
      <x:c r="Y260" s="6" t="str">
        <x:v>2.1715505279005565</x:v>
      </x:c>
      <x:c r="Z260" s="6" t="str">
        <x:v>1.9425301523416996</x:v>
      </x:c>
      <x:c r="AA260" s="6" t="str">
        <x:v>0.47978604693787424</x:v>
      </x:c>
      <x:c r="AB260" s="6" t="str">
        <x:v>-0.8672802255806338</x:v>
      </x:c>
      <x:c r="AC260" s="6" t="str">
        <x:v>-0.0002353884489522673</x:v>
      </x:c>
      <x:c r="AD260" s="6" t="str">
        <x:v>2.2422487717543125</x:v>
      </x:c>
      <x:c r="AE260" s="6" t="str">
        <x:v>2.3597534435414866</x:v>
      </x:c>
      <x:c r="AF260" s="6" t="str">
        <x:v>1.9227833679351471</x:v>
      </x:c>
      <x:c r="AG260" s="6" t="str">
        <x:v>1</x:v>
      </x:c>
      <x:c r="AH260" s="6" t="str">
        <x:v>1</x:v>
      </x:c>
      <x:c r="AI260" s="6" t="str">
        <x:v>2025-07</x:v>
      </x:c>
      <x:c r="AJ260" s="9" t="str">
        <x:v>NASA POWER (MERRA-2 meteorology)</x:v>
      </x:c>
      <x:c r="AK260" s="9" t="str">
        <x:v>Badan Informasi Geospasial (BIG)</x:v>
      </x:c>
      <x:c r="AL260" s="9" t="str">
        <x:v>https://power.larc.nasa.gov/docs/services/api/temporal/monthly/</x:v>
      </x:c>
      <x:c r="AM260" s="9" t="str">
        <x:v>https://geoservices.big.go.id/rbi/rest/services/BATASWILAYAH/BATAS_WILAYAH/MapServer/12</x:v>
      </x:c>
    </x:row>
    <x:row r="261" ht="18" customHeight="1">
      <x:c r="A261" s="6" t="str">
        <x:v>31</x:v>
      </x:c>
      <x:c r="B261" s="6" t="str">
        <x:v>DKI JAKARTA</x:v>
      </x:c>
      <x:c r="C261" s="6" t="str">
        <x:v>2025</x:v>
      </x:c>
      <x:c r="D261" s="6" t="str">
        <x:v>8</x:v>
      </x:c>
      <x:c r="E261" s="6" t="str">
        <x:v>27.33</x:v>
      </x:c>
      <x:c r="F261" s="9" t="str">
        <x:v>nearest_POWER_grid_to_BIG_representative_point</x:v>
      </x:c>
      <x:c r="G261" s="6" t="str">
        <x:v>1</x:v>
      </x:c>
      <x:c r="H261" s="8" t="str">
        <x:v>81.4</x:v>
      </x:c>
      <x:c r="I261" s="6" t="str">
        <x:v>5.13</x:v>
      </x:c>
      <x:c r="J261" s="6" t="str">
        <x:v>31</x:v>
      </x:c>
      <x:c r="K261" s="6" t="str">
        <x:v>159.03</x:v>
      </x:c>
      <x:c r="L261" s="6" t="str">
        <x:v>26.763666666666666</x:v>
      </x:c>
      <x:c r="M261" s="6" t="str">
        <x:v>0.3979645048574508</x:v>
      </x:c>
      <x:c r="N261" s="6" t="str">
        <x:v>78.16266666666667</x:v>
      </x:c>
      <x:c r="O261" s="6" t="str">
        <x:v>2.5040573053557975</x:v>
      </x:c>
      <x:c r="P261" s="6" t="str">
        <x:v>53.18566666666666</x:v>
      </x:c>
      <x:c r="Q261" s="6" t="str">
        <x:v>53.01419963871315</x:v>
      </x:c>
      <x:c r="R261" s="6" t="str">
        <x:v>0.5663333333333327</x:v>
      </x:c>
      <x:c r="S261" s="8" t="str">
        <x:v>1.4230749889018142</x:v>
      </x:c>
      <x:c r="T261" s="6" t="str">
        <x:v>3.237333333333339</x:v>
      </x:c>
      <x:c r="U261" s="8" t="str">
        <x:v>1.2928351625217105</x:v>
      </x:c>
      <x:c r="V261" s="6" t="str">
        <x:v>105.84433333333334</x:v>
      </x:c>
      <x:c r="W261" s="8" t="str">
        <x:v>1.9965279878721671</x:v>
      </x:c>
      <x:c r="X261" s="6" t="str">
        <x:v>1.700421326342722</x:v>
      </x:c>
      <x:c r="Y261" s="6" t="str">
        <x:v>1.9556186027818214</x:v>
      </x:c>
      <x:c r="Z261" s="6" t="str">
        <x:v>1.6930383060087857</x:v>
      </x:c>
      <x:c r="AA261" s="6" t="str">
        <x:v>0.38678801329590184</x:v>
      </x:c>
      <x:c r="AB261" s="6" t="str">
        <x:v>0.47978604693787424</x:v>
      </x:c>
      <x:c r="AC261" s="6" t="str">
        <x:v>0.7198030742518292</x:v>
      </x:c>
      <x:c r="AD261" s="6" t="str">
        <x:v>1.1663478885096428</x:v>
      </x:c>
      <x:c r="AE261" s="6" t="str">
        <x:v>2.2422487717543125</x:v>
      </x:c>
      <x:c r="AF261" s="6" t="str">
        <x:v>1.801708216045374</x:v>
      </x:c>
      <x:c r="AG261" s="6" t="str">
        <x:v>1</x:v>
      </x:c>
      <x:c r="AH261" s="6" t="str">
        <x:v>1</x:v>
      </x:c>
      <x:c r="AI261" s="6" t="str">
        <x:v>2025-08</x:v>
      </x:c>
      <x:c r="AJ261" s="9" t="str">
        <x:v>NASA POWER (MERRA-2 meteorology)</x:v>
      </x:c>
      <x:c r="AK261" s="9" t="str">
        <x:v>Badan Informasi Geospasial (BIG)</x:v>
      </x:c>
      <x:c r="AL261" s="9" t="str">
        <x:v>https://power.larc.nasa.gov/docs/services/api/temporal/monthly/</x:v>
      </x:c>
      <x:c r="AM261" s="9" t="str">
        <x:v>https://geoservices.big.go.id/rbi/rest/services/BATASWILAYAH/BATAS_WILAYAH/MapServer/12</x:v>
      </x:c>
    </x:row>
    <x:row r="262" ht="18" customHeight="1">
      <x:c r="A262" s="6" t="str">
        <x:v>31</x:v>
      </x:c>
      <x:c r="B262" s="6" t="str">
        <x:v>DKI JAKARTA</x:v>
      </x:c>
      <x:c r="C262" s="6" t="str">
        <x:v>2025</x:v>
      </x:c>
      <x:c r="D262" s="6" t="str">
        <x:v>9</x:v>
      </x:c>
      <x:c r="E262" s="6" t="str">
        <x:v>27.81</x:v>
      </x:c>
      <x:c r="F262" s="9" t="str">
        <x:v>nearest_POWER_grid_to_BIG_representative_point</x:v>
      </x:c>
      <x:c r="G262" s="6" t="str">
        <x:v>1</x:v>
      </x:c>
      <x:c r="H262" s="8" t="str">
        <x:v>80.54</x:v>
      </x:c>
      <x:c r="I262" s="6" t="str">
        <x:v>5.44</x:v>
      </x:c>
      <x:c r="J262" s="6" t="str">
        <x:v>30</x:v>
      </x:c>
      <x:c r="K262" s="6" t="str">
        <x:v>163.20000000000002</x:v>
      </x:c>
      <x:c r="L262" s="6" t="str">
        <x:v>27.468666666666667</x:v>
      </x:c>
      <x:c r="M262" s="6" t="str">
        <x:v>0.31863646276328633</x:v>
      </x:c>
      <x:c r="N262" s="6" t="str">
        <x:v>75.67733333333334</x:v>
      </x:c>
      <x:c r="O262" s="6" t="str">
        <x:v>3.3274438085188716</x:v>
      </x:c>
      <x:c r="P262" s="6" t="str">
        <x:v>65.22</x:v>
      </x:c>
      <x:c r="Q262" s="6" t="str">
        <x:v>60.333037784251026</x:v>
      </x:c>
      <x:c r="R262" s="6" t="str">
        <x:v>0.34133333333333127</x:v>
      </x:c>
      <x:c r="S262" s="8" t="str">
        <x:v>1.0712312406848</x:v>
      </x:c>
      <x:c r="T262" s="6" t="str">
        <x:v>4.862666666666669</x:v>
      </x:c>
      <x:c r="U262" s="8" t="str">
        <x:v>1.4613820537607107</x:v>
      </x:c>
      <x:c r="V262" s="6" t="str">
        <x:v>97.98000000000002</x:v>
      </x:c>
      <x:c r="W262" s="8" t="str">
        <x:v>1.6239858558154041</x:v>
      </x:c>
      <x:c r="X262" s="6" t="str">
        <x:v>1.4230749889018142</x:v>
      </x:c>
      <x:c r="Y262" s="6" t="str">
        <x:v>1.700421326342722</x:v>
      </x:c>
      <x:c r="Z262" s="6" t="str">
        <x:v>1.3982425186431116</x:v>
      </x:c>
      <x:c r="AA262" s="6" t="str">
        <x:v>1.2928351625217105</x:v>
      </x:c>
      <x:c r="AB262" s="6" t="str">
        <x:v>0.38678801329590184</x:v>
      </x:c>
      <x:c r="AC262" s="6" t="str">
        <x:v>1.0470017431927747</x:v>
      </x:c>
      <x:c r="AD262" s="6" t="str">
        <x:v>1.9965279878721671</x:v>
      </x:c>
      <x:c r="AE262" s="6" t="str">
        <x:v>1.1663478885096428</x:v>
      </x:c>
      <x:c r="AF262" s="6" t="str">
        <x:v>1.595620577399071</x:v>
      </x:c>
      <x:c r="AG262" s="6" t="str">
        <x:v>1</x:v>
      </x:c>
      <x:c r="AH262" s="6" t="str">
        <x:v>1</x:v>
      </x:c>
      <x:c r="AI262" s="6" t="str">
        <x:v>2025-09</x:v>
      </x:c>
      <x:c r="AJ262" s="9" t="str">
        <x:v>NASA POWER (MERRA-2 meteorology)</x:v>
      </x:c>
      <x:c r="AK262" s="9" t="str">
        <x:v>Badan Informasi Geospasial (BIG)</x:v>
      </x:c>
      <x:c r="AL262" s="9" t="str">
        <x:v>https://power.larc.nasa.gov/docs/services/api/temporal/monthly/</x:v>
      </x:c>
      <x:c r="AM262" s="9" t="str">
        <x:v>https://geoservices.big.go.id/rbi/rest/services/BATASWILAYAH/BATAS_WILAYAH/MapServer/12</x:v>
      </x:c>
    </x:row>
    <x:row r="263" ht="18" customHeight="1">
      <x:c r="A263" s="6" t="str">
        <x:v>31</x:v>
      </x:c>
      <x:c r="B263" s="6" t="str">
        <x:v>DKI JAKARTA</x:v>
      </x:c>
      <x:c r="C263" s="6" t="str">
        <x:v>2025</x:v>
      </x:c>
      <x:c r="D263" s="6" t="str">
        <x:v>10</x:v>
      </x:c>
      <x:c r="E263" s="6" t="str">
        <x:v>28.05</x:v>
      </x:c>
      <x:c r="F263" s="9" t="str">
        <x:v>nearest_POWER_grid_to_BIG_representative_point</x:v>
      </x:c>
      <x:c r="G263" s="6" t="str">
        <x:v>1</x:v>
      </x:c>
      <x:c r="H263" s="8" t="str">
        <x:v>80.53</x:v>
      </x:c>
      <x:c r="I263" s="6" t="str">
        <x:v>6.84</x:v>
      </x:c>
      <x:c r="J263" s="6" t="str">
        <x:v>31</x:v>
      </x:c>
      <x:c r="K263" s="6" t="str">
        <x:v>212.04</x:v>
      </x:c>
      <x:c r="L263" s="6" t="str">
        <x:v>27.959</x:v>
      </x:c>
      <x:c r="M263" s="6" t="str">
        <x:v>0.43145583543513955</x:v>
      </x:c>
      <x:c r="N263" s="6" t="str">
        <x:v>76.336</x:v>
      </x:c>
      <x:c r="O263" s="6" t="str">
        <x:v>4.377662421414203</x:v>
      </x:c>
      <x:c r="P263" s="6" t="str">
        <x:v>133.17600000000002</x:v>
      </x:c>
      <x:c r="Q263" s="6" t="str">
        <x:v>89.11544293586365</x:v>
      </x:c>
      <x:c r="R263" s="6" t="str">
        <x:v>0.09100000000000108</x:v>
      </x:c>
      <x:c r="S263" s="8" t="str">
        <x:v>0.21091382367844008</x:v>
      </x:c>
      <x:c r="T263" s="6" t="str">
        <x:v>4.194000000000003</x:v>
      </x:c>
      <x:c r="U263" s="8" t="str">
        <x:v>0.9580455494887455</x:v>
      </x:c>
      <x:c r="V263" s="6" t="str">
        <x:v>78.86399999999998</x:v>
      </x:c>
      <x:c r="W263" s="8" t="str">
        <x:v>0.8849644618470713</x:v>
      </x:c>
      <x:c r="X263" s="6" t="str">
        <x:v>1.0712312406848</x:v>
      </x:c>
      <x:c r="Y263" s="6" t="str">
        <x:v>1.4230749889018142</x:v>
      </x:c>
      <x:c r="Z263" s="6" t="str">
        <x:v>0.9017400177550178</x:v>
      </x:c>
      <x:c r="AA263" s="6" t="str">
        <x:v>1.4613820537607107</x:v>
      </x:c>
      <x:c r="AB263" s="6" t="str">
        <x:v>1.2928351625217105</x:v>
      </x:c>
      <x:c r="AC263" s="6" t="str">
        <x:v>1.2374209219237227</x:v>
      </x:c>
      <x:c r="AD263" s="6" t="str">
        <x:v>1.6239858558154041</x:v>
      </x:c>
      <x:c r="AE263" s="6" t="str">
        <x:v>1.9965279878721671</x:v>
      </x:c>
      <x:c r="AF263" s="6" t="str">
        <x:v>1.5018261018448804</x:v>
      </x:c>
      <x:c r="AG263" s="6" t="str">
        <x:v>0</x:v>
      </x:c>
      <x:c r="AH263" s="6" t="str">
        <x:v>0</x:v>
      </x:c>
      <x:c r="AI263" s="6" t="str">
        <x:v>2025-10</x:v>
      </x:c>
      <x:c r="AJ263" s="9" t="str">
        <x:v>NASA POWER (MERRA-2 meteorology)</x:v>
      </x:c>
      <x:c r="AK263" s="9" t="str">
        <x:v>Badan Informasi Geospasial (BIG)</x:v>
      </x:c>
      <x:c r="AL263" s="9" t="str">
        <x:v>https://power.larc.nasa.gov/docs/services/api/temporal/monthly/</x:v>
      </x:c>
      <x:c r="AM263" s="9" t="str">
        <x:v>https://geoservices.big.go.id/rbi/rest/services/BATASWILAYAH/BATAS_WILAYAH/MapServer/12</x:v>
      </x:c>
    </x:row>
    <x:row r="264" ht="18" customHeight="1">
      <x:c r="A264" s="6" t="str">
        <x:v>31</x:v>
      </x:c>
      <x:c r="B264" s="6" t="str">
        <x:v>DKI JAKARTA</x:v>
      </x:c>
      <x:c r="C264" s="6" t="str">
        <x:v>2025</x:v>
      </x:c>
      <x:c r="D264" s="6" t="str">
        <x:v>11</x:v>
      </x:c>
      <x:c r="E264" s="6" t="str">
        <x:v>27.67</x:v>
      </x:c>
      <x:c r="F264" s="9" t="str">
        <x:v>nearest_POWER_grid_to_BIG_representative_point</x:v>
      </x:c>
      <x:c r="G264" s="6" t="str">
        <x:v>1</x:v>
      </x:c>
      <x:c r="H264" s="8" t="str">
        <x:v>82.03</x:v>
      </x:c>
      <x:c r="I264" s="6" t="str">
        <x:v>7.18</x:v>
      </x:c>
      <x:c r="J264" s="6" t="str">
        <x:v>30</x:v>
      </x:c>
      <x:c r="K264" s="6" t="str">
        <x:v>215.39999999999998</x:v>
      </x:c>
      <x:c r="L264" s="6" t="str">
        <x:v>27.82</x:v>
      </x:c>
      <x:c r="M264" s="6" t="str">
        <x:v>0.5206759532337383</x:v>
      </x:c>
      <x:c r="N264" s="6" t="str">
        <x:v>79.46966666666667</x:v>
      </x:c>
      <x:c r="O264" s="6" t="str">
        <x:v>2.9633013781036954</x:v>
      </x:c>
      <x:c r="P264" s="6" t="str">
        <x:v>195.62</x:v>
      </x:c>
      <x:c r="Q264" s="6" t="str">
        <x:v>60.38210742059045</x:v>
      </x:c>
      <x:c r="R264" s="6" t="str">
        <x:v>-0.14999999999999858</x:v>
      </x:c>
      <x:c r="S264" s="8" t="str">
        <x:v>-0.28808705120411354</x:v>
      </x:c>
      <x:c r="T264" s="6" t="str">
        <x:v>2.5603333333333325</x:v>
      </x:c>
      <x:c r="U264" s="8" t="str">
        <x:v>0.8640138165669015</x:v>
      </x:c>
      <x:c r="V264" s="6" t="str">
        <x:v>19.779999999999973</x:v>
      </x:c>
      <x:c r="W264" s="8" t="str">
        <x:v>0.3275804844342836</x:v>
      </x:c>
      <x:c r="X264" s="6" t="str">
        <x:v>0.21091382367844008</x:v>
      </x:c>
      <x:c r="Y264" s="6" t="str">
        <x:v>1.0712312406848</x:v>
      </x:c>
      <x:c r="Z264" s="6" t="str">
        <x:v>0.33135267105304184</x:v>
      </x:c>
      <x:c r="AA264" s="6" t="str">
        <x:v>0.9580455494887455</x:v>
      </x:c>
      <x:c r="AB264" s="6" t="str">
        <x:v>1.4613820537607107</x:v>
      </x:c>
      <x:c r="AC264" s="6" t="str">
        <x:v>1.0944804732721194</x:v>
      </x:c>
      <x:c r="AD264" s="6" t="str">
        <x:v>0.8849644618470713</x:v>
      </x:c>
      <x:c r="AE264" s="6" t="str">
        <x:v>1.6239858558154041</x:v>
      </x:c>
      <x:c r="AF264" s="6" t="str">
        <x:v>0.9455102673655861</x:v>
      </x:c>
      <x:c r="AG264" s="6" t="str">
        <x:v>0</x:v>
      </x:c>
      <x:c r="AH264" s="6" t="str">
        <x:v>0</x:v>
      </x:c>
      <x:c r="AI264" s="6" t="str">
        <x:v>2025-11</x:v>
      </x:c>
      <x:c r="AJ264" s="9" t="str">
        <x:v>NASA POWER (MERRA-2 meteorology)</x:v>
      </x:c>
      <x:c r="AK264" s="9" t="str">
        <x:v>Badan Informasi Geospasial (BIG)</x:v>
      </x:c>
      <x:c r="AL264" s="9" t="str">
        <x:v>https://power.larc.nasa.gov/docs/services/api/temporal/monthly/</x:v>
      </x:c>
      <x:c r="AM264" s="9" t="str">
        <x:v>https://geoservices.big.go.id/rbi/rest/services/BATASWILAYAH/BATAS_WILAYAH/MapServer/12</x:v>
      </x:c>
    </x:row>
    <x:row r="265" ht="18" customHeight="1">
      <x:c r="A265" s="6" t="str">
        <x:v>31</x:v>
      </x:c>
      <x:c r="B265" s="6" t="str">
        <x:v>DKI JAKARTA</x:v>
      </x:c>
      <x:c r="C265" s="6" t="str">
        <x:v>2025</x:v>
      </x:c>
      <x:c r="D265" s="6" t="str">
        <x:v>12</x:v>
      </x:c>
      <x:c r="E265" s="6" t="str">
        <x:v>27.34</x:v>
      </x:c>
      <x:c r="F265" s="9" t="str">
        <x:v>nearest_POWER_grid_to_BIG_representative_point</x:v>
      </x:c>
      <x:c r="G265" s="6" t="str">
        <x:v>1</x:v>
      </x:c>
      <x:c r="H265" s="8" t="str">
        <x:v>84.97</x:v>
      </x:c>
      <x:c r="I265" s="6" t="str">
        <x:v>9.41</x:v>
      </x:c>
      <x:c r="J265" s="6" t="str">
        <x:v>31</x:v>
      </x:c>
      <x:c r="K265" s="6" t="str">
        <x:v>291.71</x:v>
      </x:c>
      <x:c r="L265" s="6" t="str">
        <x:v>27.243666666666666</x:v>
      </x:c>
      <x:c r="M265" s="6" t="str">
        <x:v>0.45279578508253</x:v>
      </x:c>
      <x:c r="N265" s="6" t="str">
        <x:v>82.618</x:v>
      </x:c>
      <x:c r="O265" s="6" t="str">
        <x:v>2.193319638010557</x:v>
      </x:c>
      <x:c r="P265" s="6" t="str">
        <x:v>231.61133333333333</x:v>
      </x:c>
      <x:c r="Q265" s="6" t="str">
        <x:v>87.17758236568868</x:v>
      </x:c>
      <x:c r="R265" s="6" t="str">
        <x:v>0.09633333333333383</x:v>
      </x:c>
      <x:c r="S265" s="8" t="str">
        <x:v>0.21275227488209808</x:v>
      </x:c>
      <x:c r="T265" s="6" t="str">
        <x:v>2.352000000000004</x:v>
      </x:c>
      <x:c r="U265" s="8" t="str">
        <x:v>1.0723471213404068</x:v>
      </x:c>
      <x:c r="V265" s="6" t="str">
        <x:v>60.098666666666645</x:v>
      </x:c>
      <x:c r="W265" s="8" t="str">
        <x:v>0.6893821213642678</x:v>
      </x:c>
      <x:c r="X265" s="6" t="str">
        <x:v>-0.28808705120411354</x:v>
      </x:c>
      <x:c r="Y265" s="6" t="str">
        <x:v>0.21091382367844008</x:v>
      </x:c>
      <x:c r="Z265" s="6" t="str">
        <x:v>0.04519301578547458</x:v>
      </x:c>
      <x:c r="AA265" s="6" t="str">
        <x:v>0.8640138165669015</x:v>
      </x:c>
      <x:c r="AB265" s="6" t="str">
        <x:v>0.9580455494887455</x:v>
      </x:c>
      <x:c r="AC265" s="6" t="str">
        <x:v>0.9648021624653516</x:v>
      </x:c>
      <x:c r="AD265" s="6" t="str">
        <x:v>0.3275804844342836</x:v>
      </x:c>
      <x:c r="AE265" s="6" t="str">
        <x:v>0.8849644618470713</x:v>
      </x:c>
      <x:c r="AF265" s="6" t="str">
        <x:v>0.6339756892152073</x:v>
      </x:c>
      <x:c r="AG265" s="6" t="str">
        <x:v>0</x:v>
      </x:c>
      <x:c r="AH265" s="6" t="str">
        <x:v>0</x:v>
      </x:c>
      <x:c r="AI265" s="6" t="str">
        <x:v>2025-12</x:v>
      </x:c>
      <x:c r="AJ265" s="9" t="str">
        <x:v>NASA POWER (MERRA-2 meteorology)</x:v>
      </x:c>
      <x:c r="AK265" s="9" t="str">
        <x:v>Badan Informasi Geospasial (BIG)</x:v>
      </x:c>
      <x:c r="AL265" s="9" t="str">
        <x:v>https://power.larc.nasa.gov/docs/services/api/temporal/monthly/</x:v>
      </x:c>
      <x:c r="AM265" s="9" t="str">
        <x:v>https://geoservices.big.go.id/rbi/rest/services/BATASWILAYAH/BATAS_WILAYAH/MapServer/12</x:v>
      </x:c>
    </x:row>
    <x:row r="266" ht="18" customHeight="1">
      <x:c r="A266" s="6" t="str">
        <x:v>32</x:v>
      </x:c>
      <x:c r="B266" s="6" t="str">
        <x:v>JAWA BARAT</x:v>
      </x:c>
      <x:c r="C266" s="6" t="str">
        <x:v>2024</x:v>
      </x:c>
      <x:c r="D266" s="6" t="str">
        <x:v>1</x:v>
      </x:c>
      <x:c r="E266" s="6" t="str">
        <x:v>25.27255689202426</x:v>
      </x:c>
      <x:c r="F266" s="9" t="str">
        <x:v>grid_cells_within_BIG_polygon</x:v>
      </x:c>
      <x:c r="G266" s="6" t="str">
        <x:v>9</x:v>
      </x:c>
      <x:c r="H266" s="8" t="str">
        <x:v>87.1077615073422</x:v>
      </x:c>
      <x:c r="I266" s="6" t="str">
        <x:v>15.993799550385303</x:v>
      </x:c>
      <x:c r="J266" s="6" t="str">
        <x:v>31</x:v>
      </x:c>
      <x:c r="K266" s="6" t="str">
        <x:v>495.8077860619444</x:v>
      </x:c>
      <x:c r="L266" s="6" t="str">
        <x:v>24.161350916057962</x:v>
      </x:c>
      <x:c r="M266" s="6" t="str">
        <x:v>0.4994566671487435</x:v>
      </x:c>
      <x:c r="N266" s="6" t="str">
        <x:v>88.0002831041981</x:v>
      </x:c>
      <x:c r="O266" s="6" t="str">
        <x:v>1.913680849157511</x:v>
      </x:c>
      <x:c r="P266" s="6" t="str">
        <x:v>325.8112378112935</x:v>
      </x:c>
      <x:c r="Q266" s="6" t="str">
        <x:v>106.45944268352247</x:v>
      </x:c>
      <x:c r="R266" s="6" t="str">
        <x:v>1.1112059759662962</x:v>
      </x:c>
      <x:c r="S266" s="8" t="str">
        <x:v>2.224829597950621</x:v>
      </x:c>
      <x:c r="T266" s="6" t="str">
        <x:v>-0.8925215968559002</x:v>
      </x:c>
      <x:c r="U266" s="8" t="str">
        <x:v>-0.4663899924842894</x:v>
      </x:c>
      <x:c r="V266" s="6" t="str">
        <x:v>169.9965482506509</x:v>
      </x:c>
      <x:c r="W266" s="8" t="str">
        <x:v>1.596819821385018</x:v>
      </x:c>
      <x:c r="X266" s="6" t="str">
        <x:v>2.445173900047224</x:v>
      </x:c>
      <x:c r="Y266" s="6" t="str">
        <x:v>2.0647926544646493</x:v>
      </x:c>
      <x:c r="Z266" s="6" t="str">
        <x:v>2.244932050820832</x:v>
      </x:c>
      <x:c r="AA266" s="6" t="str">
        <x:v>-1.5245262268202215</x:v>
      </x:c>
      <x:c r="AB266" s="6" t="str">
        <x:v>-0.578040357067306</x:v>
      </x:c>
      <x:c r="AC266" s="6" t="str">
        <x:v>-0.8563188587906049</x:v>
      </x:c>
      <x:c r="AD266" s="6" t="str">
        <x:v>-0.5105863861246677</x:v>
      </x:c>
      <x:c r="AE266" s="6" t="str">
        <x:v>0.3284645264028692</x:v>
      </x:c>
      <x:c r="AF266" s="6" t="str">
        <x:v>0.4715659872210727</x:v>
      </x:c>
      <x:c r="AG266" s="6" t="str">
        <x:v>1</x:v>
      </x:c>
      <x:c r="AH266" s="6" t="str">
        <x:v>1</x:v>
      </x:c>
      <x:c r="AI266" s="6" t="str">
        <x:v>2024-01</x:v>
      </x:c>
      <x:c r="AJ266" s="9" t="str">
        <x:v>NASA POWER (MERRA-2 meteorology)</x:v>
      </x:c>
      <x:c r="AK266" s="9" t="str">
        <x:v>Badan Informasi Geospasial (BIG)</x:v>
      </x:c>
      <x:c r="AL266" s="9" t="str">
        <x:v>https://power.larc.nasa.gov/docs/services/api/temporal/monthly/</x:v>
      </x:c>
      <x:c r="AM266" s="9" t="str">
        <x:v>https://geoservices.big.go.id/rbi/rest/services/BATASWILAYAH/BATAS_WILAYAH/MapServer/12</x:v>
      </x:c>
    </x:row>
    <x:row r="267" ht="18" customHeight="1">
      <x:c r="A267" s="6" t="str">
        <x:v>32</x:v>
      </x:c>
      <x:c r="B267" s="6" t="str">
        <x:v>JAWA BARAT</x:v>
      </x:c>
      <x:c r="C267" s="6" t="str">
        <x:v>2024</x:v>
      </x:c>
      <x:c r="D267" s="6" t="str">
        <x:v>2</x:v>
      </x:c>
      <x:c r="E267" s="6" t="str">
        <x:v>25.446926962463824</x:v>
      </x:c>
      <x:c r="F267" s="9" t="str">
        <x:v>grid_cells_within_BIG_polygon</x:v>
      </x:c>
      <x:c r="G267" s="6" t="str">
        <x:v>9</x:v>
      </x:c>
      <x:c r="H267" s="8" t="str">
        <x:v>87.28290605200367</x:v>
      </x:c>
      <x:c r="I267" s="6" t="str">
        <x:v>13.731169175828137</x:v>
      </x:c>
      <x:c r="J267" s="6" t="str">
        <x:v>29</x:v>
      </x:c>
      <x:c r="K267" s="6" t="str">
        <x:v>398.20390609901597</x:v>
      </x:c>
      <x:c r="L267" s="6" t="str">
        <x:v>24.129623624922065</x:v>
      </x:c>
      <x:c r="M267" s="6" t="str">
        <x:v>0.4428421246358428</x:v>
      </x:c>
      <x:c r="N267" s="6" t="str">
        <x:v>88.8447998726126</x:v>
      </x:c>
      <x:c r="O267" s="6" t="str">
        <x:v>1.1215142837893441</x:v>
      </x:c>
      <x:c r="P267" s="6" t="str">
        <x:v>323.6578322577735</x:v>
      </x:c>
      <x:c r="Q267" s="6" t="str">
        <x:v>103.55545509014273</x:v>
      </x:c>
      <x:c r="R267" s="6" t="str">
        <x:v>1.3173033375417589</x:v>
      </x:c>
      <x:c r="S267" s="8" t="str">
        <x:v>2.9746568003777902</x:v>
      </x:c>
      <x:c r="T267" s="6" t="str">
        <x:v>-1.5618938206089297</x:v>
      </x:c>
      <x:c r="U267" s="8" t="str">
        <x:v>-1.3926651164278017</x:v>
      </x:c>
      <x:c r="V267" s="6" t="str">
        <x:v>74.54607384124245</x:v>
      </x:c>
      <x:c r="W267" s="8" t="str">
        <x:v>0.7198662183112589</x:v>
      </x:c>
      <x:c r="X267" s="6" t="str">
        <x:v>2.224829597950621</x:v>
      </x:c>
      <x:c r="Y267" s="6" t="str">
        <x:v>2.445173900047224</x:v>
      </x:c>
      <x:c r="Z267" s="6" t="str">
        <x:v>2.548220099458545</x:v>
      </x:c>
      <x:c r="AA267" s="6" t="str">
        <x:v>-0.4663899924842894</x:v>
      </x:c>
      <x:c r="AB267" s="6" t="str">
        <x:v>-1.5245262268202215</x:v>
      </x:c>
      <x:c r="AC267" s="6" t="str">
        <x:v>-1.1278604452441037</x:v>
      </x:c>
      <x:c r="AD267" s="6" t="str">
        <x:v>1.596819821385018</x:v>
      </x:c>
      <x:c r="AE267" s="6" t="str">
        <x:v>-0.5105863861246677</x:v>
      </x:c>
      <x:c r="AF267" s="6" t="str">
        <x:v>0.6020332178572025</x:v>
      </x:c>
      <x:c r="AG267" s="6" t="str">
        <x:v>0</x:v>
      </x:c>
      <x:c r="AH267" s="6" t="str">
        <x:v>1</x:v>
      </x:c>
      <x:c r="AI267" s="6" t="str">
        <x:v>2024-02</x:v>
      </x:c>
      <x:c r="AJ267" s="9" t="str">
        <x:v>NASA POWER (MERRA-2 meteorology)</x:v>
      </x:c>
      <x:c r="AK267" s="9" t="str">
        <x:v>Badan Informasi Geospasial (BIG)</x:v>
      </x:c>
      <x:c r="AL267" s="9" t="str">
        <x:v>https://power.larc.nasa.gov/docs/services/api/temporal/monthly/</x:v>
      </x:c>
      <x:c r="AM267" s="9" t="str">
        <x:v>https://geoservices.big.go.id/rbi/rest/services/BATASWILAYAH/BATAS_WILAYAH/MapServer/12</x:v>
      </x:c>
    </x:row>
    <x:row r="268" ht="18" customHeight="1">
      <x:c r="A268" s="6" t="str">
        <x:v>32</x:v>
      </x:c>
      <x:c r="B268" s="6" t="str">
        <x:v>JAWA BARAT</x:v>
      </x:c>
      <x:c r="C268" s="6" t="str">
        <x:v>2024</x:v>
      </x:c>
      <x:c r="D268" s="6" t="str">
        <x:v>3</x:v>
      </x:c>
      <x:c r="E268" s="6" t="str">
        <x:v>25.26917643736442</x:v>
      </x:c>
      <x:c r="F268" s="9" t="str">
        <x:v>grid_cells_within_BIG_polygon</x:v>
      </x:c>
      <x:c r="G268" s="6" t="str">
        <x:v>9</x:v>
      </x:c>
      <x:c r="H268" s="8" t="str">
        <x:v>88.20624928380123</x:v>
      </x:c>
      <x:c r="I268" s="6" t="str">
        <x:v>11.473853711357691</x:v>
      </x:c>
      <x:c r="J268" s="6" t="str">
        <x:v>31</x:v>
      </x:c>
      <x:c r="K268" s="6" t="str">
        <x:v>355.6894650520884</x:v>
      </x:c>
      <x:c r="L268" s="6" t="str">
        <x:v>24.427488836808376</x:v>
      </x:c>
      <x:c r="M268" s="6" t="str">
        <x:v>0.3677070920679552</x:v>
      </x:c>
      <x:c r="N268" s="6" t="str">
        <x:v>88.32105132773296</x:v>
      </x:c>
      <x:c r="O268" s="6" t="str">
        <x:v>1.0530551633791723</x:v>
      </x:c>
      <x:c r="P268" s="6" t="str">
        <x:v>305.214662091581</x:v>
      </x:c>
      <x:c r="Q268" s="6" t="str">
        <x:v>96.92110991495386</x:v>
      </x:c>
      <x:c r="R268" s="6" t="str">
        <x:v>0.8416876005560425</x:v>
      </x:c>
      <x:c r="S268" s="8" t="str">
        <x:v>2.2890164990358466</x:v>
      </x:c>
      <x:c r="T268" s="6" t="str">
        <x:v>-0.1148020439317321</x:v>
      </x:c>
      <x:c r="U268" s="8" t="str">
        <x:v>-0.1090180722948466</x:v>
      </x:c>
      <x:c r="V268" s="6" t="str">
        <x:v>50.47480296050742</x:v>
      </x:c>
      <x:c r="W268" s="8" t="str">
        <x:v>0.5207823456086909</x:v>
      </x:c>
      <x:c r="X268" s="6" t="str">
        <x:v>2.9746568003777902</x:v>
      </x:c>
      <x:c r="Y268" s="6" t="str">
        <x:v>2.224829597950621</x:v>
      </x:c>
      <x:c r="Z268" s="6" t="str">
        <x:v>2.496167632454753</x:v>
      </x:c>
      <x:c r="AA268" s="6" t="str">
        <x:v>-1.3926651164278017</x:v>
      </x:c>
      <x:c r="AB268" s="6" t="str">
        <x:v>-0.4663899924842894</x:v>
      </x:c>
      <x:c r="AC268" s="6" t="str">
        <x:v>-0.6560243937356453</x:v>
      </x:c>
      <x:c r="AD268" s="6" t="str">
        <x:v>0.7198662183112589</x:v>
      </x:c>
      <x:c r="AE268" s="6" t="str">
        <x:v>1.596819821385018</x:v>
      </x:c>
      <x:c r="AF268" s="6" t="str">
        <x:v>0.9458227951016555</x:v>
      </x:c>
      <x:c r="AG268" s="6" t="str">
        <x:v>0</x:v>
      </x:c>
      <x:c r="AH268" s="6" t="str">
        <x:v>1</x:v>
      </x:c>
      <x:c r="AI268" s="6" t="str">
        <x:v>2024-03</x:v>
      </x:c>
      <x:c r="AJ268" s="9" t="str">
        <x:v>NASA POWER (MERRA-2 meteorology)</x:v>
      </x:c>
      <x:c r="AK268" s="9" t="str">
        <x:v>Badan Informasi Geospasial (BIG)</x:v>
      </x:c>
      <x:c r="AL268" s="9" t="str">
        <x:v>https://power.larc.nasa.gov/docs/services/api/temporal/monthly/</x:v>
      </x:c>
      <x:c r="AM268" s="9" t="str">
        <x:v>https://geoservices.big.go.id/rbi/rest/services/BATASWILAYAH/BATAS_WILAYAH/MapServer/12</x:v>
      </x:c>
    </x:row>
    <x:row r="269" ht="18" customHeight="1">
      <x:c r="A269" s="6" t="str">
        <x:v>32</x:v>
      </x:c>
      <x:c r="B269" s="6" t="str">
        <x:v>JAWA BARAT</x:v>
      </x:c>
      <x:c r="C269" s="6" t="str">
        <x:v>2024</x:v>
      </x:c>
      <x:c r="D269" s="6" t="str">
        <x:v>4</x:v>
      </x:c>
      <x:c r="E269" s="6" t="str">
        <x:v>25.755972974708357</x:v>
      </x:c>
      <x:c r="F269" s="9" t="str">
        <x:v>grid_cells_within_BIG_polygon</x:v>
      </x:c>
      <x:c r="G269" s="6" t="str">
        <x:v>9</x:v>
      </x:c>
      <x:c r="H269" s="8" t="str">
        <x:v>88.29653954879564</x:v>
      </x:c>
      <x:c r="I269" s="6" t="str">
        <x:v>10.369393024244244</x:v>
      </x:c>
      <x:c r="J269" s="6" t="str">
        <x:v>30</x:v>
      </x:c>
      <x:c r="K269" s="6" t="str">
        <x:v>311.08179072732736</x:v>
      </x:c>
      <x:c r="L269" s="6" t="str">
        <x:v>24.620007098619627</x:v>
      </x:c>
      <x:c r="M269" s="6" t="str">
        <x:v>0.37899848365398037</x:v>
      </x:c>
      <x:c r="N269" s="6" t="str">
        <x:v>88.37507166222814</x:v>
      </x:c>
      <x:c r="O269" s="6" t="str">
        <x:v>0.7369590439289836</x:v>
      </x:c>
      <x:c r="P269" s="6" t="str">
        <x:v>251.96646392029385</x:v>
      </x:c>
      <x:c r="Q269" s="6" t="str">
        <x:v>68.91218880717531</x:v>
      </x:c>
      <x:c r="R269" s="6" t="str">
        <x:v>1.1359658760887292</x:v>
      </x:c>
      <x:c r="S269" s="8" t="str">
        <x:v>2.997283432737552</x:v>
      </x:c>
      <x:c r="T269" s="6" t="str">
        <x:v>-0.07853211343250166</x:v>
      </x:c>
      <x:c r="U269" s="8" t="str">
        <x:v>-0.10656238508699181</x:v>
      </x:c>
      <x:c r="V269" s="6" t="str">
        <x:v>59.11532680703351</x:v>
      </x:c>
      <x:c r="W269" s="8" t="str">
        <x:v>0.8578355706048663</x:v>
      </x:c>
      <x:c r="X269" s="6" t="str">
        <x:v>2.2890164990358466</x:v>
      </x:c>
      <x:c r="Y269" s="6" t="str">
        <x:v>2.9746568003777902</x:v>
      </x:c>
      <x:c r="Z269" s="6" t="str">
        <x:v>2.7536522440503965</x:v>
      </x:c>
      <x:c r="AA269" s="6" t="str">
        <x:v>-0.1090180722948466</x:v>
      </x:c>
      <x:c r="AB269" s="6" t="str">
        <x:v>-1.3926651164278017</x:v>
      </x:c>
      <x:c r="AC269" s="6" t="str">
        <x:v>-0.5360818579365461</x:v>
      </x:c>
      <x:c r="AD269" s="6" t="str">
        <x:v>0.5207823456086909</x:v>
      </x:c>
      <x:c r="AE269" s="6" t="str">
        <x:v>0.7198662183112589</x:v>
      </x:c>
      <x:c r="AF269" s="6" t="str">
        <x:v>0.6994947115082715</x:v>
      </x:c>
      <x:c r="AG269" s="6" t="str">
        <x:v>0</x:v>
      </x:c>
      <x:c r="AH269" s="6" t="str">
        <x:v>1</x:v>
      </x:c>
      <x:c r="AI269" s="6" t="str">
        <x:v>2024-04</x:v>
      </x:c>
      <x:c r="AJ269" s="9" t="str">
        <x:v>NASA POWER (MERRA-2 meteorology)</x:v>
      </x:c>
      <x:c r="AK269" s="9" t="str">
        <x:v>Badan Informasi Geospasial (BIG)</x:v>
      </x:c>
      <x:c r="AL269" s="9" t="str">
        <x:v>https://power.larc.nasa.gov/docs/services/api/temporal/monthly/</x:v>
      </x:c>
      <x:c r="AM269" s="9" t="str">
        <x:v>https://geoservices.big.go.id/rbi/rest/services/BATASWILAYAH/BATAS_WILAYAH/MapServer/12</x:v>
      </x:c>
    </x:row>
    <x:row r="270" ht="18" customHeight="1">
      <x:c r="A270" s="6" t="str">
        <x:v>32</x:v>
      </x:c>
      <x:c r="B270" s="6" t="str">
        <x:v>JAWA BARAT</x:v>
      </x:c>
      <x:c r="C270" s="6" t="str">
        <x:v>2024</x:v>
      </x:c>
      <x:c r="D270" s="6" t="str">
        <x:v>5</x:v>
      </x:c>
      <x:c r="E270" s="6" t="str">
        <x:v>25.35614800890569</x:v>
      </x:c>
      <x:c r="F270" s="9" t="str">
        <x:v>grid_cells_within_BIG_polygon</x:v>
      </x:c>
      <x:c r="G270" s="6" t="str">
        <x:v>9</x:v>
      </x:c>
      <x:c r="H270" s="8" t="str">
        <x:v>87.4616033938057</x:v>
      </x:c>
      <x:c r="I270" s="6" t="str">
        <x:v>3.583720631876094</x:v>
      </x:c>
      <x:c r="J270" s="6" t="str">
        <x:v>31</x:v>
      </x:c>
      <x:c r="K270" s="6" t="str">
        <x:v>111.09533958815892</x:v>
      </x:c>
      <x:c r="L270" s="6" t="str">
        <x:v>24.49204745055662</x:v>
      </x:c>
      <x:c r="M270" s="6" t="str">
        <x:v>0.4313237262298949</x:v>
      </x:c>
      <x:c r="N270" s="6" t="str">
        <x:v>87.79585364728527</x:v>
      </x:c>
      <x:c r="O270" s="6" t="str">
        <x:v>0.9198731733165045</x:v>
      </x:c>
      <x:c r="P270" s="6" t="str">
        <x:v>165.2293834862986</x:v>
      </x:c>
      <x:c r="Q270" s="6" t="str">
        <x:v>78.71070916565726</x:v>
      </x:c>
      <x:c r="R270" s="6" t="str">
        <x:v>0.8641005583490724</x:v>
      </x:c>
      <x:c r="S270" s="8" t="str">
        <x:v>2.003368944949966</x:v>
      </x:c>
      <x:c r="T270" s="6" t="str">
        <x:v>-0.33425025347956705</x:v>
      </x:c>
      <x:c r="U270" s="8" t="str">
        <x:v>-0.36336558470823044</x:v>
      </x:c>
      <x:c r="V270" s="6" t="str">
        <x:v>-54.134043898139666</x:v>
      </x:c>
      <x:c r="W270" s="8" t="str">
        <x:v>-0.687759575183185</x:v>
      </x:c>
      <x:c r="X270" s="6" t="str">
        <x:v>2.997283432737552</x:v>
      </x:c>
      <x:c r="Y270" s="6" t="str">
        <x:v>2.2890164990358466</x:v>
      </x:c>
      <x:c r="Z270" s="6" t="str">
        <x:v>2.429889625574455</x:v>
      </x:c>
      <x:c r="AA270" s="6" t="str">
        <x:v>-0.10656238508699181</x:v>
      </x:c>
      <x:c r="AB270" s="6" t="str">
        <x:v>-0.1090180722948466</x:v>
      </x:c>
      <x:c r="AC270" s="6" t="str">
        <x:v>-0.19298201403002227</x:v>
      </x:c>
      <x:c r="AD270" s="6" t="str">
        <x:v>0.8578355706048663</x:v>
      </x:c>
      <x:c r="AE270" s="6" t="str">
        <x:v>0.5207823456086909</x:v>
      </x:c>
      <x:c r="AF270" s="6" t="str">
        <x:v>0.23028611367679017</x:v>
      </x:c>
      <x:c r="AG270" s="6" t="str">
        <x:v>0</x:v>
      </x:c>
      <x:c r="AH270" s="6" t="str">
        <x:v>1</x:v>
      </x:c>
      <x:c r="AI270" s="6" t="str">
        <x:v>2024-05</x:v>
      </x:c>
      <x:c r="AJ270" s="9" t="str">
        <x:v>NASA POWER (MERRA-2 meteorology)</x:v>
      </x:c>
      <x:c r="AK270" s="9" t="str">
        <x:v>Badan Informasi Geospasial (BIG)</x:v>
      </x:c>
      <x:c r="AL270" s="9" t="str">
        <x:v>https://power.larc.nasa.gov/docs/services/api/temporal/monthly/</x:v>
      </x:c>
      <x:c r="AM270" s="9" t="str">
        <x:v>https://geoservices.big.go.id/rbi/rest/services/BATASWILAYAH/BATAS_WILAYAH/MapServer/12</x:v>
      </x:c>
    </x:row>
    <x:row r="271" ht="18" customHeight="1">
      <x:c r="A271" s="6" t="str">
        <x:v>32</x:v>
      </x:c>
      <x:c r="B271" s="6" t="str">
        <x:v>JAWA BARAT</x:v>
      </x:c>
      <x:c r="C271" s="6" t="str">
        <x:v>2024</x:v>
      </x:c>
      <x:c r="D271" s="6" t="str">
        <x:v>6</x:v>
      </x:c>
      <x:c r="E271" s="6" t="str">
        <x:v>24.945981059755514</x:v>
      </x:c>
      <x:c r="F271" s="9" t="str">
        <x:v>grid_cells_within_BIG_polygon</x:v>
      </x:c>
      <x:c r="G271" s="6" t="str">
        <x:v>9</x:v>
      </x:c>
      <x:c r="H271" s="8" t="str">
        <x:v>87.01728316453324</x:v>
      </x:c>
      <x:c r="I271" s="6" t="str">
        <x:v>6.1731677316306195</x:v>
      </x:c>
      <x:c r="J271" s="6" t="str">
        <x:v>30</x:v>
      </x:c>
      <x:c r="K271" s="6" t="str">
        <x:v>185.1950319489186</x:v>
      </x:c>
      <x:c r="L271" s="6" t="str">
        <x:v>23.808894898714833</x:v>
      </x:c>
      <x:c r="M271" s="6" t="str">
        <x:v>0.5053762174946994</x:v>
      </x:c>
      <x:c r="N271" s="6" t="str">
        <x:v>87.20763229929246</x:v>
      </x:c>
      <x:c r="O271" s="6" t="str">
        <x:v>1.3835890203187282</x:v>
      </x:c>
      <x:c r="P271" s="6" t="str">
        <x:v>98.2530600320981</x:v>
      </x:c>
      <x:c r="Q271" s="6" t="str">
        <x:v>64.14183440470985</x:v>
      </x:c>
      <x:c r="R271" s="6" t="str">
        <x:v>1.1370861610406813</x:v>
      </x:c>
      <x:c r="S271" s="8" t="str">
        <x:v>2.249979563101636</x:v>
      </x:c>
      <x:c r="T271" s="6" t="str">
        <x:v>-0.19034913475921655</x:v>
      </x:c>
      <x:c r="U271" s="8" t="str">
        <x:v>-0.1375763553799864</x:v>
      </x:c>
      <x:c r="V271" s="6" t="str">
        <x:v>86.94197191682049</x:v>
      </x:c>
      <x:c r="W271" s="8" t="str">
        <x:v>1.3554643817676104</x:v>
      </x:c>
      <x:c r="X271" s="6" t="str">
        <x:v>2.003368944949966</x:v>
      </x:c>
      <x:c r="Y271" s="6" t="str">
        <x:v>2.997283432737552</x:v>
      </x:c>
      <x:c r="Z271" s="6" t="str">
        <x:v>2.416877313596385</x:v>
      </x:c>
      <x:c r="AA271" s="6" t="str">
        <x:v>-0.36336558470823044</x:v>
      </x:c>
      <x:c r="AB271" s="6" t="str">
        <x:v>-0.10656238508699181</x:v>
      </x:c>
      <x:c r="AC271" s="6" t="str">
        <x:v>-0.20250144172506887</x:v>
      </x:c>
      <x:c r="AD271" s="6" t="str">
        <x:v>-0.687759575183185</x:v>
      </x:c>
      <x:c r="AE271" s="6" t="str">
        <x:v>0.8578355706048663</x:v>
      </x:c>
      <x:c r="AF271" s="6" t="str">
        <x:v>0.5085134590630968</x:v>
      </x:c>
      <x:c r="AG271" s="6" t="str">
        <x:v>1</x:v>
      </x:c>
      <x:c r="AH271" s="6" t="str">
        <x:v>1</x:v>
      </x:c>
      <x:c r="AI271" s="6" t="str">
        <x:v>2024-06</x:v>
      </x:c>
      <x:c r="AJ271" s="9" t="str">
        <x:v>NASA POWER (MERRA-2 meteorology)</x:v>
      </x:c>
      <x:c r="AK271" s="9" t="str">
        <x:v>Badan Informasi Geospasial (BIG)</x:v>
      </x:c>
      <x:c r="AL271" s="9" t="str">
        <x:v>https://power.larc.nasa.gov/docs/services/api/temporal/monthly/</x:v>
      </x:c>
      <x:c r="AM271" s="9" t="str">
        <x:v>https://geoservices.big.go.id/rbi/rest/services/BATASWILAYAH/BATAS_WILAYAH/MapServer/12</x:v>
      </x:c>
    </x:row>
    <x:row r="272" ht="18" customHeight="1">
      <x:c r="A272" s="6" t="str">
        <x:v>32</x:v>
      </x:c>
      <x:c r="B272" s="6" t="str">
        <x:v>JAWA BARAT</x:v>
      </x:c>
      <x:c r="C272" s="6" t="str">
        <x:v>2024</x:v>
      </x:c>
      <x:c r="D272" s="6" t="str">
        <x:v>7</x:v>
      </x:c>
      <x:c r="E272" s="6" t="str">
        <x:v>23.77833243960562</x:v>
      </x:c>
      <x:c r="F272" s="9" t="str">
        <x:v>grid_cells_within_BIG_polygon</x:v>
      </x:c>
      <x:c r="G272" s="6" t="str">
        <x:v>9</x:v>
      </x:c>
      <x:c r="H272" s="8" t="str">
        <x:v>86.52152862149505</x:v>
      </x:c>
      <x:c r="I272" s="6" t="str">
        <x:v>8.910478888544022</x:v>
      </x:c>
      <x:c r="J272" s="6" t="str">
        <x:v>31</x:v>
      </x:c>
      <x:c r="K272" s="6" t="str">
        <x:v>276.22484554486465</x:v>
      </x:c>
      <x:c r="L272" s="6" t="str">
        <x:v>23.127246448173953</x:v>
      </x:c>
      <x:c r="M272" s="6" t="str">
        <x:v>0.6317523212785745</x:v>
      </x:c>
      <x:c r="N272" s="6" t="str">
        <x:v>85.90249603669858</x:v>
      </x:c>
      <x:c r="O272" s="6" t="str">
        <x:v>1.6694317774445329</x:v>
      </x:c>
      <x:c r="P272" s="6" t="str">
        <x:v>67.98815987067495</x:v>
      </x:c>
      <x:c r="Q272" s="6" t="str">
        <x:v>72.70987173016704</x:v>
      </x:c>
      <x:c r="R272" s="6" t="str">
        <x:v>0.6510859914316676</x:v>
      </x:c>
      <x:c r="S272" s="8" t="str">
        <x:v>1.0306032435527337</x:v>
      </x:c>
      <x:c r="T272" s="6" t="str">
        <x:v>0.6190325847964715</x:v>
      </x:c>
      <x:c r="U272" s="8" t="str">
        <x:v>0.37080436179551457</x:v>
      </x:c>
      <x:c r="V272" s="6" t="str">
        <x:v>208.2366856741897</x:v>
      </x:c>
      <x:c r="W272" s="8" t="str">
        <x:v>2.8639396648501183</x:v>
      </x:c>
      <x:c r="X272" s="6" t="str">
        <x:v>2.249979563101636</x:v>
      </x:c>
      <x:c r="Y272" s="6" t="str">
        <x:v>2.003368944949966</x:v>
      </x:c>
      <x:c r="Z272" s="6" t="str">
        <x:v>1.7613172505347787</x:v>
      </x:c>
      <x:c r="AA272" s="6" t="str">
        <x:v>-0.1375763553799864</x:v>
      </x:c>
      <x:c r="AB272" s="6" t="str">
        <x:v>-0.36336558470823044</x:v>
      </x:c>
      <x:c r="AC272" s="6" t="str">
        <x:v>-0.04337919276423341</x:v>
      </x:c>
      <x:c r="AD272" s="6" t="str">
        <x:v>1.3554643817676104</x:v>
      </x:c>
      <x:c r="AE272" s="6" t="str">
        <x:v>-0.687759575183185</x:v>
      </x:c>
      <x:c r="AF272" s="6" t="str">
        <x:v>1.177214823811514</x:v>
      </x:c>
      <x:c r="AG272" s="6" t="str">
        <x:v>1</x:v>
      </x:c>
      <x:c r="AH272" s="6" t="str">
        <x:v>1</x:v>
      </x:c>
      <x:c r="AI272" s="6" t="str">
        <x:v>2024-07</x:v>
      </x:c>
      <x:c r="AJ272" s="9" t="str">
        <x:v>NASA POWER (MERRA-2 meteorology)</x:v>
      </x:c>
      <x:c r="AK272" s="9" t="str">
        <x:v>Badan Informasi Geospasial (BIG)</x:v>
      </x:c>
      <x:c r="AL272" s="9" t="str">
        <x:v>https://power.larc.nasa.gov/docs/services/api/temporal/monthly/</x:v>
      </x:c>
      <x:c r="AM272" s="9" t="str">
        <x:v>https://geoservices.big.go.id/rbi/rest/services/BATASWILAYAH/BATAS_WILAYAH/MapServer/12</x:v>
      </x:c>
    </x:row>
    <x:row r="273" ht="18" customHeight="1">
      <x:c r="A273" s="6" t="str">
        <x:v>32</x:v>
      </x:c>
      <x:c r="B273" s="6" t="str">
        <x:v>JAWA BARAT</x:v>
      </x:c>
      <x:c r="C273" s="6" t="str">
        <x:v>2024</x:v>
      </x:c>
      <x:c r="D273" s="6" t="str">
        <x:v>8</x:v>
      </x:c>
      <x:c r="E273" s="6" t="str">
        <x:v>23.61755487614391</x:v>
      </x:c>
      <x:c r="F273" s="9" t="str">
        <x:v>grid_cells_within_BIG_polygon</x:v>
      </x:c>
      <x:c r="G273" s="6" t="str">
        <x:v>9</x:v>
      </x:c>
      <x:c r="H273" s="8" t="str">
        <x:v>84.1913782124084</x:v>
      </x:c>
      <x:c r="I273" s="6" t="str">
        <x:v>1.9454638628638916</x:v>
      </x:c>
      <x:c r="J273" s="6" t="str">
        <x:v>31</x:v>
      </x:c>
      <x:c r="K273" s="6" t="str">
        <x:v>60.30937974878064</x:v>
      </x:c>
      <x:c r="L273" s="6" t="str">
        <x:v>23.067718300603754</x:v>
      </x:c>
      <x:c r="M273" s="6" t="str">
        <x:v>0.5430735461267829</x:v>
      </x:c>
      <x:c r="N273" s="6" t="str">
        <x:v>83.55182729272879</x:v>
      </x:c>
      <x:c r="O273" s="6" t="str">
        <x:v>1.778924346097027</x:v>
      </x:c>
      <x:c r="P273" s="6" t="str">
        <x:v>47.63368481583917</x:v>
      </x:c>
      <x:c r="Q273" s="6" t="str">
        <x:v>53.66986768590782</x:v>
      </x:c>
      <x:c r="R273" s="6" t="str">
        <x:v>0.5498365755401551</x:v>
      </x:c>
      <x:c r="S273" s="8" t="str">
        <x:v>1.012453247744447</x:v>
      </x:c>
      <x:c r="T273" s="6" t="str">
        <x:v>0.639550919679607</x:v>
      </x:c>
      <x:c r="U273" s="8" t="str">
        <x:v>0.3595155246949014</x:v>
      </x:c>
      <x:c r="V273" s="6" t="str">
        <x:v>12.675694932941475</x:v>
      </x:c>
      <x:c r="W273" s="8" t="str">
        <x:v>0.23617898607694449</x:v>
      </x:c>
      <x:c r="X273" s="6" t="str">
        <x:v>1.0306032435527337</x:v>
      </x:c>
      <x:c r="Y273" s="6" t="str">
        <x:v>2.249979563101636</x:v>
      </x:c>
      <x:c r="Z273" s="6" t="str">
        <x:v>1.4310120181329389</x:v>
      </x:c>
      <x:c r="AA273" s="6" t="str">
        <x:v>0.37080436179551457</x:v>
      </x:c>
      <x:c r="AB273" s="6" t="str">
        <x:v>-0.1375763553799864</x:v>
      </x:c>
      <x:c r="AC273" s="6" t="str">
        <x:v>0.19758117703681055</x:v>
      </x:c>
      <x:c r="AD273" s="6" t="str">
        <x:v>2.8639396648501183</x:v>
      </x:c>
      <x:c r="AE273" s="6" t="str">
        <x:v>1.3554643817676104</x:v>
      </x:c>
      <x:c r="AF273" s="6" t="str">
        <x:v>1.4851943442315572</x:v>
      </x:c>
      <x:c r="AG273" s="6" t="str">
        <x:v>0</x:v>
      </x:c>
      <x:c r="AH273" s="6" t="str">
        <x:v>1</x:v>
      </x:c>
      <x:c r="AI273" s="6" t="str">
        <x:v>2024-08</x:v>
      </x:c>
      <x:c r="AJ273" s="9" t="str">
        <x:v>NASA POWER (MERRA-2 meteorology)</x:v>
      </x:c>
      <x:c r="AK273" s="9" t="str">
        <x:v>Badan Informasi Geospasial (BIG)</x:v>
      </x:c>
      <x:c r="AL273" s="9" t="str">
        <x:v>https://power.larc.nasa.gov/docs/services/api/temporal/monthly/</x:v>
      </x:c>
      <x:c r="AM273" s="9" t="str">
        <x:v>https://geoservices.big.go.id/rbi/rest/services/BATASWILAYAH/BATAS_WILAYAH/MapServer/12</x:v>
      </x:c>
    </x:row>
    <x:row r="274" ht="18" customHeight="1">
      <x:c r="A274" s="6" t="str">
        <x:v>32</x:v>
      </x:c>
      <x:c r="B274" s="6" t="str">
        <x:v>JAWA BARAT</x:v>
      </x:c>
      <x:c r="C274" s="6" t="str">
        <x:v>2024</x:v>
      </x:c>
      <x:c r="D274" s="6" t="str">
        <x:v>9</x:v>
      </x:c>
      <x:c r="E274" s="6" t="str">
        <x:v>24.544077616647254</x:v>
      </x:c>
      <x:c r="F274" s="9" t="str">
        <x:v>grid_cells_within_BIG_polygon</x:v>
      </x:c>
      <x:c r="G274" s="6" t="str">
        <x:v>9</x:v>
      </x:c>
      <x:c r="H274" s="8" t="str">
        <x:v>83.38721250773546</x:v>
      </x:c>
      <x:c r="I274" s="6" t="str">
        <x:v>7.645866462314747</x:v>
      </x:c>
      <x:c r="J274" s="6" t="str">
        <x:v>30</x:v>
      </x:c>
      <x:c r="K274" s="6" t="str">
        <x:v>229.37599386944242</x:v>
      </x:c>
      <x:c r="L274" s="6" t="str">
        <x:v>23.835337134980712</x:v>
      </x:c>
      <x:c r="M274" s="6" t="str">
        <x:v>0.40315765333366704</x:v>
      </x:c>
      <x:c r="N274" s="6" t="str">
        <x:v>81.36737382959264</x:v>
      </x:c>
      <x:c r="O274" s="6" t="str">
        <x:v>3.0185204632234863</x:v>
      </x:c>
      <x:c r="P274" s="6" t="str">
        <x:v>80.03854651928889</x:v>
      </x:c>
      <x:c r="Q274" s="6" t="str">
        <x:v>87.57063530197881</x:v>
      </x:c>
      <x:c r="R274" s="6" t="str">
        <x:v>0.7087404816665419</x:v>
      </x:c>
      <x:c r="S274" s="8" t="str">
        <x:v>1.757973526748267</x:v>
      </x:c>
      <x:c r="T274" s="6" t="str">
        <x:v>2.0198386781428184</x:v>
      </x:c>
      <x:c r="U274" s="8" t="str">
        <x:v>0.669148578832501</x:v>
      </x:c>
      <x:c r="V274" s="6" t="str">
        <x:v>149.33744735015352</x:v>
      </x:c>
      <x:c r="W274" s="8" t="str">
        <x:v>1.7053370326157606</x:v>
      </x:c>
      <x:c r="X274" s="6" t="str">
        <x:v>1.012453247744447</x:v>
      </x:c>
      <x:c r="Y274" s="6" t="str">
        <x:v>1.0306032435527337</x:v>
      </x:c>
      <x:c r="Z274" s="6" t="str">
        <x:v>1.2670100060151495</x:v>
      </x:c>
      <x:c r="AA274" s="6" t="str">
        <x:v>0.3595155246949014</x:v>
      </x:c>
      <x:c r="AB274" s="6" t="str">
        <x:v>0.37080436179551457</x:v>
      </x:c>
      <x:c r="AC274" s="6" t="str">
        <x:v>0.466489488440973</x:v>
      </x:c>
      <x:c r="AD274" s="6" t="str">
        <x:v>0.23617898607694449</x:v>
      </x:c>
      <x:c r="AE274" s="6" t="str">
        <x:v>2.8639396648501183</x:v>
      </x:c>
      <x:c r="AF274" s="6" t="str">
        <x:v>1.6018185611809406</x:v>
      </x:c>
      <x:c r="AG274" s="6" t="str">
        <x:v>1</x:v>
      </x:c>
      <x:c r="AH274" s="6" t="str">
        <x:v>1</x:v>
      </x:c>
      <x:c r="AI274" s="6" t="str">
        <x:v>2024-09</x:v>
      </x:c>
      <x:c r="AJ274" s="9" t="str">
        <x:v>NASA POWER (MERRA-2 meteorology)</x:v>
      </x:c>
      <x:c r="AK274" s="9" t="str">
        <x:v>Badan Informasi Geospasial (BIG)</x:v>
      </x:c>
      <x:c r="AL274" s="9" t="str">
        <x:v>https://power.larc.nasa.gov/docs/services/api/temporal/monthly/</x:v>
      </x:c>
      <x:c r="AM274" s="9" t="str">
        <x:v>https://geoservices.big.go.id/rbi/rest/services/BATASWILAYAH/BATAS_WILAYAH/MapServer/12</x:v>
      </x:c>
    </x:row>
    <x:row r="275" ht="18" customHeight="1">
      <x:c r="A275" s="6" t="str">
        <x:v>32</x:v>
      </x:c>
      <x:c r="B275" s="6" t="str">
        <x:v>JAWA BARAT</x:v>
      </x:c>
      <x:c r="C275" s="6" t="str">
        <x:v>2024</x:v>
      </x:c>
      <x:c r="D275" s="6" t="str">
        <x:v>10</x:v>
      </x:c>
      <x:c r="E275" s="6" t="str">
        <x:v>25.461841326906523</x:v>
      </x:c>
      <x:c r="F275" s="9" t="str">
        <x:v>grid_cells_within_BIG_polygon</x:v>
      </x:c>
      <x:c r="G275" s="6" t="str">
        <x:v>9</x:v>
      </x:c>
      <x:c r="H275" s="8" t="str">
        <x:v>82.075120385852</x:v>
      </x:c>
      <x:c r="I275" s="6" t="str">
        <x:v>3.138359604640154</x:v>
      </x:c>
      <x:c r="J275" s="6" t="str">
        <x:v>31</x:v>
      </x:c>
      <x:c r="K275" s="6" t="str">
        <x:v>97.28914774384477</x:v>
      </x:c>
      <x:c r="L275" s="6" t="str">
        <x:v>24.64571713360463</x:v>
      </x:c>
      <x:c r="M275" s="6" t="str">
        <x:v>0.3385064296158011</x:v>
      </x:c>
      <x:c r="N275" s="6" t="str">
        <x:v>81.48731580159043</x:v>
      </x:c>
      <x:c r="O275" s="6" t="str">
        <x:v>4.789024800597894</x:v>
      </x:c>
      <x:c r="P275" s="6" t="str">
        <x:v>171.20785638532953</x:v>
      </x:c>
      <x:c r="Q275" s="6" t="str">
        <x:v>128.57132827182048</x:v>
      </x:c>
      <x:c r="R275" s="6" t="str">
        <x:v>0.8161241933018921</x:v>
      </x:c>
      <x:c r="S275" s="8" t="str">
        <x:v>2.410956253410545</x:v>
      </x:c>
      <x:c r="T275" s="6" t="str">
        <x:v>0.5878045842615762</x:v>
      </x:c>
      <x:c r="U275" s="8" t="str">
        <x:v>0.12273993322986984</x:v>
      </x:c>
      <x:c r="V275" s="6" t="str">
        <x:v>-73.91870864148477</x:v>
      </x:c>
      <x:c r="W275" s="8" t="str">
        <x:v>-0.5749237379364139</x:v>
      </x:c>
      <x:c r="X275" s="6" t="str">
        <x:v>1.757973526748267</x:v>
      </x:c>
      <x:c r="Y275" s="6" t="str">
        <x:v>1.012453247744447</x:v>
      </x:c>
      <x:c r="Z275" s="6" t="str">
        <x:v>1.7271276759677532</x:v>
      </x:c>
      <x:c r="AA275" s="6" t="str">
        <x:v>0.669148578832501</x:v>
      </x:c>
      <x:c r="AB275" s="6" t="str">
        <x:v>0.3595155246949014</x:v>
      </x:c>
      <x:c r="AC275" s="6" t="str">
        <x:v>0.38380134558575807</x:v>
      </x:c>
      <x:c r="AD275" s="6" t="str">
        <x:v>1.7053370326157606</x:v>
      </x:c>
      <x:c r="AE275" s="6" t="str">
        <x:v>0.23617898607694449</x:v>
      </x:c>
      <x:c r="AF275" s="6" t="str">
        <x:v>0.45553076025209654</x:v>
      </x:c>
      <x:c r="AG275" s="6" t="str">
        <x:v>0</x:v>
      </x:c>
      <x:c r="AH275" s="6" t="str">
        <x:v>1</x:v>
      </x:c>
      <x:c r="AI275" s="6" t="str">
        <x:v>2024-10</x:v>
      </x:c>
      <x:c r="AJ275" s="9" t="str">
        <x:v>NASA POWER (MERRA-2 meteorology)</x:v>
      </x:c>
      <x:c r="AK275" s="9" t="str">
        <x:v>Badan Informasi Geospasial (BIG)</x:v>
      </x:c>
      <x:c r="AL275" s="9" t="str">
        <x:v>https://power.larc.nasa.gov/docs/services/api/temporal/monthly/</x:v>
      </x:c>
      <x:c r="AM275" s="9" t="str">
        <x:v>https://geoservices.big.go.id/rbi/rest/services/BATASWILAYAH/BATAS_WILAYAH/MapServer/12</x:v>
      </x:c>
    </x:row>
    <x:row r="276" ht="18" customHeight="1">
      <x:c r="A276" s="6" t="str">
        <x:v>32</x:v>
      </x:c>
      <x:c r="B276" s="6" t="str">
        <x:v>JAWA BARAT</x:v>
      </x:c>
      <x:c r="C276" s="6" t="str">
        <x:v>2024</x:v>
      </x:c>
      <x:c r="D276" s="6" t="str">
        <x:v>11</x:v>
      </x:c>
      <x:c r="E276" s="6" t="str">
        <x:v>25.363782863488264</x:v>
      </x:c>
      <x:c r="F276" s="9" t="str">
        <x:v>grid_cells_within_BIG_polygon</x:v>
      </x:c>
      <x:c r="G276" s="6" t="str">
        <x:v>9</x:v>
      </x:c>
      <x:c r="H276" s="8" t="str">
        <x:v>85.9537369816054</x:v>
      </x:c>
      <x:c r="I276" s="6" t="str">
        <x:v>16.408096921613502</x:v>
      </x:c>
      <x:c r="J276" s="6" t="str">
        <x:v>30</x:v>
      </x:c>
      <x:c r="K276" s="6" t="str">
        <x:v>492.2429076484051</x:v>
      </x:c>
      <x:c r="L276" s="6" t="str">
        <x:v>24.765722868429723</x:v>
      </x:c>
      <x:c r="M276" s="6" t="str">
        <x:v>0.46473974422359854</x:v>
      </x:c>
      <x:c r="N276" s="6" t="str">
        <x:v>84.69797250512327</x:v>
      </x:c>
      <x:c r="O276" s="6" t="str">
        <x:v>3.24653402220474</x:v>
      </x:c>
      <x:c r="P276" s="6" t="str">
        <x:v>275.04112197159276</x:v>
      </x:c>
      <x:c r="Q276" s="6" t="str">
        <x:v>93.22725069370341</x:v>
      </x:c>
      <x:c r="R276" s="6" t="str">
        <x:v>0.5980599950585415</x:v>
      </x:c>
      <x:c r="S276" s="8" t="str">
        <x:v>1.2868707755082789</x:v>
      </x:c>
      <x:c r="T276" s="6" t="str">
        <x:v>1.2557644764821276</x:v>
      </x:c>
      <x:c r="U276" s="8" t="str">
        <x:v>0.38680157604796356</x:v>
      </x:c>
      <x:c r="V276" s="6" t="str">
        <x:v>217.20178567681234</x:v>
      </x:c>
      <x:c r="W276" s="8" t="str">
        <x:v>2.3298100508232857</x:v>
      </x:c>
      <x:c r="X276" s="6" t="str">
        <x:v>2.410956253410545</x:v>
      </x:c>
      <x:c r="Y276" s="6" t="str">
        <x:v>1.757973526748267</x:v>
      </x:c>
      <x:c r="Z276" s="6" t="str">
        <x:v>1.8186001852223637</x:v>
      </x:c>
      <x:c r="AA276" s="6" t="str">
        <x:v>0.12273993322986984</x:v>
      </x:c>
      <x:c r="AB276" s="6" t="str">
        <x:v>0.669148578832501</x:v>
      </x:c>
      <x:c r="AC276" s="6" t="str">
        <x:v>0.3928966960367788</x:v>
      </x:c>
      <x:c r="AD276" s="6" t="str">
        <x:v>-0.5749237379364139</x:v>
      </x:c>
      <x:c r="AE276" s="6" t="str">
        <x:v>1.7053370326157606</x:v>
      </x:c>
      <x:c r="AF276" s="6" t="str">
        <x:v>1.1534077818342103</x:v>
      </x:c>
      <x:c r="AG276" s="6" t="str">
        <x:v>1</x:v>
      </x:c>
      <x:c r="AH276" s="6" t="str">
        <x:v>1</x:v>
      </x:c>
      <x:c r="AI276" s="6" t="str">
        <x:v>2024-11</x:v>
      </x:c>
      <x:c r="AJ276" s="9" t="str">
        <x:v>NASA POWER (MERRA-2 meteorology)</x:v>
      </x:c>
      <x:c r="AK276" s="9" t="str">
        <x:v>Badan Informasi Geospasial (BIG)</x:v>
      </x:c>
      <x:c r="AL276" s="9" t="str">
        <x:v>https://power.larc.nasa.gov/docs/services/api/temporal/monthly/</x:v>
      </x:c>
      <x:c r="AM276" s="9" t="str">
        <x:v>https://geoservices.big.go.id/rbi/rest/services/BATASWILAYAH/BATAS_WILAYAH/MapServer/12</x:v>
      </x:c>
    </x:row>
    <x:row r="277" ht="18" customHeight="1">
      <x:c r="A277" s="6" t="str">
        <x:v>32</x:v>
      </x:c>
      <x:c r="B277" s="6" t="str">
        <x:v>JAWA BARAT</x:v>
      </x:c>
      <x:c r="C277" s="6" t="str">
        <x:v>2024</x:v>
      </x:c>
      <x:c r="D277" s="6" t="str">
        <x:v>12</x:v>
      </x:c>
      <x:c r="E277" s="6" t="str">
        <x:v>24.840251050220083</x:v>
      </x:c>
      <x:c r="F277" s="9" t="str">
        <x:v>grid_cells_within_BIG_polygon</x:v>
      </x:c>
      <x:c r="G277" s="6" t="str">
        <x:v>9</x:v>
      </x:c>
      <x:c r="H277" s="8" t="str">
        <x:v>88.13801208801179</x:v>
      </x:c>
      <x:c r="I277" s="6" t="str">
        <x:v>10.0826018338336</x:v>
      </x:c>
      <x:c r="J277" s="6" t="str">
        <x:v>31</x:v>
      </x:c>
      <x:c r="K277" s="6" t="str">
        <x:v>312.5606568488416</x:v>
      </x:c>
      <x:c r="L277" s="6" t="str">
        <x:v>24.413048699893405</x:v>
      </x:c>
      <x:c r="M277" s="6" t="str">
        <x:v>0.42162929009000133</x:v>
      </x:c>
      <x:c r="N277" s="6" t="str">
        <x:v>86.6744021647351</x:v>
      </x:c>
      <x:c r="O277" s="6" t="str">
        <x:v>1.7022904940759809</x:v>
      </x:c>
      <x:c r="P277" s="6" t="str">
        <x:v>294.4210594154895</x:v>
      </x:c>
      <x:c r="Q277" s="6" t="str">
        <x:v>83.41325599207133</x:v>
      </x:c>
      <x:c r="R277" s="6" t="str">
        <x:v>0.4272023503266773</x:v>
      </x:c>
      <x:c r="S277" s="8" t="str">
        <x:v>1.0132179152816598</x:v>
      </x:c>
      <x:c r="T277" s="6" t="str">
        <x:v>1.4636099232766924</x:v>
      </x:c>
      <x:c r="U277" s="8" t="str">
        <x:v>0.8597885780189083</x:v>
      </x:c>
      <x:c r="V277" s="6" t="str">
        <x:v>18.139597433352094</x:v>
      </x:c>
      <x:c r="W277" s="8" t="str">
        <x:v>0.21746660309095614</x:v>
      </x:c>
      <x:c r="X277" s="6" t="str">
        <x:v>1.2868707755082789</x:v>
      </x:c>
      <x:c r="Y277" s="6" t="str">
        <x:v>2.410956253410545</x:v>
      </x:c>
      <x:c r="Z277" s="6" t="str">
        <x:v>1.5703483147334947</x:v>
      </x:c>
      <x:c r="AA277" s="6" t="str">
        <x:v>0.38680157604796356</x:v>
      </x:c>
      <x:c r="AB277" s="6" t="str">
        <x:v>0.12273993322986984</x:v>
      </x:c>
      <x:c r="AC277" s="6" t="str">
        <x:v>0.45644336243224787</x:v>
      </x:c>
      <x:c r="AD277" s="6" t="str">
        <x:v>2.3298100508232857</x:v>
      </x:c>
      <x:c r="AE277" s="6" t="str">
        <x:v>-0.5749237379364139</x:v>
      </x:c>
      <x:c r="AF277" s="6" t="str">
        <x:v>0.6574509719926087</x:v>
      </x:c>
      <x:c r="AG277" s="6" t="str">
        <x:v>0</x:v>
      </x:c>
      <x:c r="AH277" s="6" t="str">
        <x:v>1</x:v>
      </x:c>
      <x:c r="AI277" s="6" t="str">
        <x:v>2024-12</x:v>
      </x:c>
      <x:c r="AJ277" s="9" t="str">
        <x:v>NASA POWER (MERRA-2 meteorology)</x:v>
      </x:c>
      <x:c r="AK277" s="9" t="str">
        <x:v>Badan Informasi Geospasial (BIG)</x:v>
      </x:c>
      <x:c r="AL277" s="9" t="str">
        <x:v>https://power.larc.nasa.gov/docs/services/api/temporal/monthly/</x:v>
      </x:c>
      <x:c r="AM277" s="9" t="str">
        <x:v>https://geoservices.big.go.id/rbi/rest/services/BATASWILAYAH/BATAS_WILAYAH/MapServer/12</x:v>
      </x:c>
    </x:row>
    <x:row r="278" ht="18" customHeight="1">
      <x:c r="A278" s="6" t="str">
        <x:v>32</x:v>
      </x:c>
      <x:c r="B278" s="6" t="str">
        <x:v>JAWA BARAT</x:v>
      </x:c>
      <x:c r="C278" s="6" t="str">
        <x:v>2025</x:v>
      </x:c>
      <x:c r="D278" s="6" t="str">
        <x:v>1</x:v>
      </x:c>
      <x:c r="E278" s="6" t="str">
        <x:v>24.511273876799628</x:v>
      </x:c>
      <x:c r="F278" s="9" t="str">
        <x:v>grid_cells_within_BIG_polygon</x:v>
      </x:c>
      <x:c r="G278" s="6" t="str">
        <x:v>9</x:v>
      </x:c>
      <x:c r="H278" s="8" t="str">
        <x:v>88.63888109537544</x:v>
      </x:c>
      <x:c r="I278" s="6" t="str">
        <x:v>14.749675581684874</x:v>
      </x:c>
      <x:c r="J278" s="6" t="str">
        <x:v>31</x:v>
      </x:c>
      <x:c r="K278" s="6" t="str">
        <x:v>457.2399430322311</x:v>
      </x:c>
      <x:c r="L278" s="6" t="str">
        <x:v>24.161350916057962</x:v>
      </x:c>
      <x:c r="M278" s="6" t="str">
        <x:v>0.4994566671487435</x:v>
      </x:c>
      <x:c r="N278" s="6" t="str">
        <x:v>88.0002831041981</x:v>
      </x:c>
      <x:c r="O278" s="6" t="str">
        <x:v>1.913680849157511</x:v>
      </x:c>
      <x:c r="P278" s="6" t="str">
        <x:v>325.8112378112935</x:v>
      </x:c>
      <x:c r="Q278" s="6" t="str">
        <x:v>106.45944268352247</x:v>
      </x:c>
      <x:c r="R278" s="6" t="str">
        <x:v>0.3499229607416652</x:v>
      </x:c>
      <x:c r="S278" s="8" t="str">
        <x:v>0.7006072473499576</x:v>
      </x:c>
      <x:c r="T278" s="6" t="str">
        <x:v>0.6385979911773347</x:v>
      </x:c>
      <x:c r="U278" s="8" t="str">
        <x:v>0.3337014066156718</x:v>
      </x:c>
      <x:c r="V278" s="6" t="str">
        <x:v>131.42870522093762</x:v>
      </x:c>
      <x:c r="W278" s="8" t="str">
        <x:v>1.2345424878058264</x:v>
      </x:c>
      <x:c r="X278" s="6" t="str">
        <x:v>1.0132179152816598</x:v>
      </x:c>
      <x:c r="Y278" s="6" t="str">
        <x:v>1.2868707755082789</x:v>
      </x:c>
      <x:c r="Z278" s="6" t="str">
        <x:v>1.0002319793799657</x:v>
      </x:c>
      <x:c r="AA278" s="6" t="str">
        <x:v>0.8597885780189083</x:v>
      </x:c>
      <x:c r="AB278" s="6" t="str">
        <x:v>0.38680157604796356</x:v>
      </x:c>
      <x:c r="AC278" s="6" t="str">
        <x:v>0.5267638535608485</x:v>
      </x:c>
      <x:c r="AD278" s="6" t="str">
        <x:v>0.21746660309095614</x:v>
      </x:c>
      <x:c r="AE278" s="6" t="str">
        <x:v>2.3298100508232857</x:v>
      </x:c>
      <x:c r="AF278" s="6" t="str">
        <x:v>1.2606063805733554</x:v>
      </x:c>
      <x:c r="AG278" s="6" t="str">
        <x:v>1</x:v>
      </x:c>
      <x:c r="AH278" s="6" t="str">
        <x:v>0</x:v>
      </x:c>
      <x:c r="AI278" s="6" t="str">
        <x:v>2025-01</x:v>
      </x:c>
      <x:c r="AJ278" s="9" t="str">
        <x:v>NASA POWER (MERRA-2 meteorology)</x:v>
      </x:c>
      <x:c r="AK278" s="9" t="str">
        <x:v>Badan Informasi Geospasial (BIG)</x:v>
      </x:c>
      <x:c r="AL278" s="9" t="str">
        <x:v>https://power.larc.nasa.gov/docs/services/api/temporal/monthly/</x:v>
      </x:c>
      <x:c r="AM278" s="9" t="str">
        <x:v>https://geoservices.big.go.id/rbi/rest/services/BATASWILAYAH/BATAS_WILAYAH/MapServer/12</x:v>
      </x:c>
    </x:row>
    <x:row r="279" ht="18" customHeight="1">
      <x:c r="A279" s="6" t="str">
        <x:v>32</x:v>
      </x:c>
      <x:c r="B279" s="6" t="str">
        <x:v>JAWA BARAT</x:v>
      </x:c>
      <x:c r="C279" s="6" t="str">
        <x:v>2025</x:v>
      </x:c>
      <x:c r="D279" s="6" t="str">
        <x:v>2</x:v>
      </x:c>
      <x:c r="E279" s="6" t="str">
        <x:v>24.4834406144769</x:v>
      </x:c>
      <x:c r="F279" s="9" t="str">
        <x:v>grid_cells_within_BIG_polygon</x:v>
      </x:c>
      <x:c r="G279" s="6" t="str">
        <x:v>9</x:v>
      </x:c>
      <x:c r="H279" s="8" t="str">
        <x:v>88.42288059351911</x:v>
      </x:c>
      <x:c r="I279" s="6" t="str">
        <x:v>9.931827292543653</x:v>
      </x:c>
      <x:c r="J279" s="6" t="str">
        <x:v>28</x:v>
      </x:c>
      <x:c r="K279" s="6" t="str">
        <x:v>278.0911641912223</x:v>
      </x:c>
      <x:c r="L279" s="6" t="str">
        <x:v>24.129623624922065</x:v>
      </x:c>
      <x:c r="M279" s="6" t="str">
        <x:v>0.4428421246358428</x:v>
      </x:c>
      <x:c r="N279" s="6" t="str">
        <x:v>88.8447998726126</x:v>
      </x:c>
      <x:c r="O279" s="6" t="str">
        <x:v>1.1215142837893441</x:v>
      </x:c>
      <x:c r="P279" s="6" t="str">
        <x:v>323.6578322577735</x:v>
      </x:c>
      <x:c r="Q279" s="6" t="str">
        <x:v>103.55545509014273</x:v>
      </x:c>
      <x:c r="R279" s="6" t="str">
        <x:v>0.3538169895548364</x:v>
      </x:c>
      <x:c r="S279" s="8" t="str">
        <x:v>0.7989686840333597</x:v>
      </x:c>
      <x:c r="T279" s="6" t="str">
        <x:v>-0.4219192790934869</x:v>
      </x:c>
      <x:c r="U279" s="8" t="str">
        <x:v>-0.37620499818149145</x:v>
      </x:c>
      <x:c r="V279" s="6" t="str">
        <x:v>-45.566668066551244</x:v>
      </x:c>
      <x:c r="W279" s="8" t="str">
        <x:v>-0.4400218996371217</x:v>
      </x:c>
      <x:c r="X279" s="6" t="str">
        <x:v>0.7006072473499576</x:v>
      </x:c>
      <x:c r="Y279" s="6" t="str">
        <x:v>1.0132179152816598</x:v>
      </x:c>
      <x:c r="Z279" s="6" t="str">
        <x:v>0.8375979488883258</x:v>
      </x:c>
      <x:c r="AA279" s="6" t="str">
        <x:v>0.3337014066156718</x:v>
      </x:c>
      <x:c r="AB279" s="6" t="str">
        <x:v>0.8597885780189083</x:v>
      </x:c>
      <x:c r="AC279" s="6" t="str">
        <x:v>0.2724283288176968</x:v>
      </x:c>
      <x:c r="AD279" s="6" t="str">
        <x:v>1.2345424878058264</x:v>
      </x:c>
      <x:c r="AE279" s="6" t="str">
        <x:v>0.21746660309095614</x:v>
      </x:c>
      <x:c r="AF279" s="6" t="str">
        <x:v>0.33732906375321975</x:v>
      </x:c>
      <x:c r="AG279" s="6" t="str">
        <x:v>0</x:v>
      </x:c>
      <x:c r="AH279" s="6" t="str">
        <x:v>0</x:v>
      </x:c>
      <x:c r="AI279" s="6" t="str">
        <x:v>2025-02</x:v>
      </x:c>
      <x:c r="AJ279" s="9" t="str">
        <x:v>NASA POWER (MERRA-2 meteorology)</x:v>
      </x:c>
      <x:c r="AK279" s="9" t="str">
        <x:v>Badan Informasi Geospasial (BIG)</x:v>
      </x:c>
      <x:c r="AL279" s="9" t="str">
        <x:v>https://power.larc.nasa.gov/docs/services/api/temporal/monthly/</x:v>
      </x:c>
      <x:c r="AM279" s="9" t="str">
        <x:v>https://geoservices.big.go.id/rbi/rest/services/BATASWILAYAH/BATAS_WILAYAH/MapServer/12</x:v>
      </x:c>
    </x:row>
    <x:row r="280" ht="18" customHeight="1">
      <x:c r="A280" s="6" t="str">
        <x:v>32</x:v>
      </x:c>
      <x:c r="B280" s="6" t="str">
        <x:v>JAWA BARAT</x:v>
      </x:c>
      <x:c r="C280" s="6" t="str">
        <x:v>2025</x:v>
      </x:c>
      <x:c r="D280" s="6" t="str">
        <x:v>3</x:v>
      </x:c>
      <x:c r="E280" s="6" t="str">
        <x:v>24.802385350404155</x:v>
      </x:c>
      <x:c r="F280" s="9" t="str">
        <x:v>grid_cells_within_BIG_polygon</x:v>
      </x:c>
      <x:c r="G280" s="6" t="str">
        <x:v>9</x:v>
      </x:c>
      <x:c r="H280" s="8" t="str">
        <x:v>88.72315693557442</x:v>
      </x:c>
      <x:c r="I280" s="6" t="str">
        <x:v>7.508107693941398</x:v>
      </x:c>
      <x:c r="J280" s="6" t="str">
        <x:v>31</x:v>
      </x:c>
      <x:c r="K280" s="6" t="str">
        <x:v>232.75133851218334</x:v>
      </x:c>
      <x:c r="L280" s="6" t="str">
        <x:v>24.427488836808376</x:v>
      </x:c>
      <x:c r="M280" s="6" t="str">
        <x:v>0.3677070920679552</x:v>
      </x:c>
      <x:c r="N280" s="6" t="str">
        <x:v>88.32105132773296</x:v>
      </x:c>
      <x:c r="O280" s="6" t="str">
        <x:v>1.0530551633791723</x:v>
      </x:c>
      <x:c r="P280" s="6" t="str">
        <x:v>305.214662091581</x:v>
      </x:c>
      <x:c r="Q280" s="6" t="str">
        <x:v>96.92110991495386</x:v>
      </x:c>
      <x:c r="R280" s="6" t="str">
        <x:v>0.3748965135957789</x:v>
      </x:c>
      <x:c r="S280" s="8" t="str">
        <x:v>1.019552033895759</x:v>
      </x:c>
      <x:c r="T280" s="6" t="str">
        <x:v>0.4021056078414631</x:v>
      </x:c>
      <x:c r="U280" s="8" t="str">
        <x:v>0.38184667035973446</x:v>
      </x:c>
      <x:c r="V280" s="6" t="str">
        <x:v>-72.46332357939764</x:v>
      </x:c>
      <x:c r="W280" s="8" t="str">
        <x:v>-0.747652638759323</x:v>
      </x:c>
      <x:c r="X280" s="6" t="str">
        <x:v>0.7989686840333597</x:v>
      </x:c>
      <x:c r="Y280" s="6" t="str">
        <x:v>0.7006072473499576</x:v>
      </x:c>
      <x:c r="Z280" s="6" t="str">
        <x:v>0.8397093217596923</x:v>
      </x:c>
      <x:c r="AA280" s="6" t="str">
        <x:v>-0.37620499818149145</x:v>
      </x:c>
      <x:c r="AB280" s="6" t="str">
        <x:v>0.3337014066156718</x:v>
      </x:c>
      <x:c r="AC280" s="6" t="str">
        <x:v>0.11311435959797224</x:v>
      </x:c>
      <x:c r="AD280" s="6" t="str">
        <x:v>-0.4400218996371217</x:v>
      </x:c>
      <x:c r="AE280" s="6" t="str">
        <x:v>1.2345424878058264</x:v>
      </x:c>
      <x:c r="AF280" s="6" t="str">
        <x:v>0.015622649803126701</x:v>
      </x:c>
      <x:c r="AG280" s="6" t="str">
        <x:v>0</x:v>
      </x:c>
      <x:c r="AH280" s="6" t="str">
        <x:v>1</x:v>
      </x:c>
      <x:c r="AI280" s="6" t="str">
        <x:v>2025-03</x:v>
      </x:c>
      <x:c r="AJ280" s="9" t="str">
        <x:v>NASA POWER (MERRA-2 meteorology)</x:v>
      </x:c>
      <x:c r="AK280" s="9" t="str">
        <x:v>Badan Informasi Geospasial (BIG)</x:v>
      </x:c>
      <x:c r="AL280" s="9" t="str">
        <x:v>https://power.larc.nasa.gov/docs/services/api/temporal/monthly/</x:v>
      </x:c>
      <x:c r="AM280" s="9" t="str">
        <x:v>https://geoservices.big.go.id/rbi/rest/services/BATASWILAYAH/BATAS_WILAYAH/MapServer/12</x:v>
      </x:c>
    </x:row>
    <x:row r="281" ht="18" customHeight="1">
      <x:c r="A281" s="6" t="str">
        <x:v>32</x:v>
      </x:c>
      <x:c r="B281" s="6" t="str">
        <x:v>JAWA BARAT</x:v>
      </x:c>
      <x:c r="C281" s="6" t="str">
        <x:v>2025</x:v>
      </x:c>
      <x:c r="D281" s="6" t="str">
        <x:v>4</x:v>
      </x:c>
      <x:c r="E281" s="6" t="str">
        <x:v>24.88481274798696</x:v>
      </x:c>
      <x:c r="F281" s="9" t="str">
        <x:v>grid_cells_within_BIG_polygon</x:v>
      </x:c>
      <x:c r="G281" s="6" t="str">
        <x:v>9</x:v>
      </x:c>
      <x:c r="H281" s="8" t="str">
        <x:v>87.1957376455853</x:v>
      </x:c>
      <x:c r="I281" s="6" t="str">
        <x:v>7.505467736397809</x:v>
      </x:c>
      <x:c r="J281" s="6" t="str">
        <x:v>30</x:v>
      </x:c>
      <x:c r="K281" s="6" t="str">
        <x:v>225.16403209193427</x:v>
      </x:c>
      <x:c r="L281" s="6" t="str">
        <x:v>24.620007098619627</x:v>
      </x:c>
      <x:c r="M281" s="6" t="str">
        <x:v>0.37899848365398037</x:v>
      </x:c>
      <x:c r="N281" s="6" t="str">
        <x:v>88.37507166222814</x:v>
      </x:c>
      <x:c r="O281" s="6" t="str">
        <x:v>0.7369590439289836</x:v>
      </x:c>
      <x:c r="P281" s="6" t="str">
        <x:v>251.96646392029385</x:v>
      </x:c>
      <x:c r="Q281" s="6" t="str">
        <x:v>68.91218880717531</x:v>
      </x:c>
      <x:c r="R281" s="6" t="str">
        <x:v>0.2648056493673323</x:v>
      </x:c>
      <x:c r="S281" s="8" t="str">
        <x:v>0.6986984402003458</x:v>
      </x:c>
      <x:c r="T281" s="6" t="str">
        <x:v>-1.1793340166428408</x:v>
      </x:c>
      <x:c r="U281" s="8" t="str">
        <x:v>-1.6002707699404883</x:v>
      </x:c>
      <x:c r="V281" s="6" t="str">
        <x:v>-26.802431828359573</x:v>
      </x:c>
      <x:c r="W281" s="8" t="str">
        <x:v>-0.38893601106410997</x:v>
      </x:c>
      <x:c r="X281" s="6" t="str">
        <x:v>1.019552033895759</x:v>
      </x:c>
      <x:c r="Y281" s="6" t="str">
        <x:v>0.7989686840333597</x:v>
      </x:c>
      <x:c r="Z281" s="6" t="str">
        <x:v>0.8390730527098217</x:v>
      </x:c>
      <x:c r="AA281" s="6" t="str">
        <x:v>0.38184667035973446</x:v>
      </x:c>
      <x:c r="AB281" s="6" t="str">
        <x:v>-0.37620499818149145</x:v>
      </x:c>
      <x:c r="AC281" s="6" t="str">
        <x:v>-0.5315430325874145</x:v>
      </x:c>
      <x:c r="AD281" s="6" t="str">
        <x:v>-0.747652638759323</x:v>
      </x:c>
      <x:c r="AE281" s="6" t="str">
        <x:v>-0.4400218996371217</x:v>
      </x:c>
      <x:c r="AF281" s="6" t="str">
        <x:v>-0.5255368498201854</x:v>
      </x:c>
      <x:c r="AG281" s="6" t="str">
        <x:v>0</x:v>
      </x:c>
      <x:c r="AH281" s="6" t="str">
        <x:v>0</x:v>
      </x:c>
      <x:c r="AI281" s="6" t="str">
        <x:v>2025-04</x:v>
      </x:c>
      <x:c r="AJ281" s="9" t="str">
        <x:v>NASA POWER (MERRA-2 meteorology)</x:v>
      </x:c>
      <x:c r="AK281" s="9" t="str">
        <x:v>Badan Informasi Geospasial (BIG)</x:v>
      </x:c>
      <x:c r="AL281" s="9" t="str">
        <x:v>https://power.larc.nasa.gov/docs/services/api/temporal/monthly/</x:v>
      </x:c>
      <x:c r="AM281" s="9" t="str">
        <x:v>https://geoservices.big.go.id/rbi/rest/services/BATASWILAYAH/BATAS_WILAYAH/MapServer/12</x:v>
      </x:c>
    </x:row>
    <x:row r="282" ht="18" customHeight="1">
      <x:c r="A282" s="6" t="str">
        <x:v>32</x:v>
      </x:c>
      <x:c r="B282" s="6" t="str">
        <x:v>JAWA BARAT</x:v>
      </x:c>
      <x:c r="C282" s="6" t="str">
        <x:v>2025</x:v>
      </x:c>
      <x:c r="D282" s="6" t="str">
        <x:v>5</x:v>
      </x:c>
      <x:c r="E282" s="6" t="str">
        <x:v>25.202630154104</x:v>
      </x:c>
      <x:c r="F282" s="9" t="str">
        <x:v>grid_cells_within_BIG_polygon</x:v>
      </x:c>
      <x:c r="G282" s="6" t="str">
        <x:v>9</x:v>
      </x:c>
      <x:c r="H282" s="8" t="str">
        <x:v>88.11643091251304</x:v>
      </x:c>
      <x:c r="I282" s="6" t="str">
        <x:v>10.231365004985376</x:v>
      </x:c>
      <x:c r="J282" s="6" t="str">
        <x:v>31</x:v>
      </x:c>
      <x:c r="K282" s="6" t="str">
        <x:v>317.17231515454665</x:v>
      </x:c>
      <x:c r="L282" s="6" t="str">
        <x:v>24.49204745055662</x:v>
      </x:c>
      <x:c r="M282" s="6" t="str">
        <x:v>0.4313237262298949</x:v>
      </x:c>
      <x:c r="N282" s="6" t="str">
        <x:v>87.79585364728527</x:v>
      </x:c>
      <x:c r="O282" s="6" t="str">
        <x:v>0.9198731733165045</x:v>
      </x:c>
      <x:c r="P282" s="6" t="str">
        <x:v>165.2293834862986</x:v>
      </x:c>
      <x:c r="Q282" s="6" t="str">
        <x:v>78.71070916565726</x:v>
      </x:c>
      <x:c r="R282" s="6" t="str">
        <x:v>0.7105827035473808</x:v>
      </x:c>
      <x:c r="S282" s="8" t="str">
        <x:v>1.6474463618276387</x:v>
      </x:c>
      <x:c r="T282" s="6" t="str">
        <x:v>0.32057726522776875</x:v>
      </x:c>
      <x:c r="U282" s="8" t="str">
        <x:v>0.3485015918791953</x:v>
      </x:c>
      <x:c r="V282" s="6" t="str">
        <x:v>151.94293166824806</x:v>
      </x:c>
      <x:c r="W282" s="8" t="str">
        <x:v>1.9303971883732334</x:v>
      </x:c>
      <x:c r="X282" s="6" t="str">
        <x:v>0.6986984402003458</x:v>
      </x:c>
      <x:c r="Y282" s="6" t="str">
        <x:v>1.019552033895759</x:v>
      </x:c>
      <x:c r="Z282" s="6" t="str">
        <x:v>1.1218989453079147</x:v>
      </x:c>
      <x:c r="AA282" s="6" t="str">
        <x:v>-1.6002707699404883</x:v>
      </x:c>
      <x:c r="AB282" s="6" t="str">
        <x:v>0.38184667035973446</x:v>
      </x:c>
      <x:c r="AC282" s="6" t="str">
        <x:v>-0.2899741692338522</x:v>
      </x:c>
      <x:c r="AD282" s="6" t="str">
        <x:v>-0.38893601106410997</x:v>
      </x:c>
      <x:c r="AE282" s="6" t="str">
        <x:v>-0.747652638759323</x:v>
      </x:c>
      <x:c r="AF282" s="6" t="str">
        <x:v>0.2646028461832663</x:v>
      </x:c>
      <x:c r="AG282" s="6" t="str">
        <x:v>1</x:v>
      </x:c>
      <x:c r="AH282" s="6" t="str">
        <x:v>1</x:v>
      </x:c>
      <x:c r="AI282" s="6" t="str">
        <x:v>2025-05</x:v>
      </x:c>
      <x:c r="AJ282" s="9" t="str">
        <x:v>NASA POWER (MERRA-2 meteorology)</x:v>
      </x:c>
      <x:c r="AK282" s="9" t="str">
        <x:v>Badan Informasi Geospasial (BIG)</x:v>
      </x:c>
      <x:c r="AL282" s="9" t="str">
        <x:v>https://power.larc.nasa.gov/docs/services/api/temporal/monthly/</x:v>
      </x:c>
      <x:c r="AM282" s="9" t="str">
        <x:v>https://geoservices.big.go.id/rbi/rest/services/BATASWILAYAH/BATAS_WILAYAH/MapServer/12</x:v>
      </x:c>
    </x:row>
    <x:row r="283" ht="18" customHeight="1">
      <x:c r="A283" s="6" t="str">
        <x:v>32</x:v>
      </x:c>
      <x:c r="B283" s="6" t="str">
        <x:v>JAWA BARAT</x:v>
      </x:c>
      <x:c r="C283" s="6" t="str">
        <x:v>2025</x:v>
      </x:c>
      <x:c r="D283" s="6" t="str">
        <x:v>6</x:v>
      </x:c>
      <x:c r="E283" s="6" t="str">
        <x:v>24.531444028323317</x:v>
      </x:c>
      <x:c r="F283" s="9" t="str">
        <x:v>grid_cells_within_BIG_polygon</x:v>
      </x:c>
      <x:c r="G283" s="6" t="str">
        <x:v>9</x:v>
      </x:c>
      <x:c r="H283" s="8" t="str">
        <x:v>88.80670420171084</x:v>
      </x:c>
      <x:c r="I283" s="6" t="str">
        <x:v>10.020460047853073</x:v>
      </x:c>
      <x:c r="J283" s="6" t="str">
        <x:v>30</x:v>
      </x:c>
      <x:c r="K283" s="6" t="str">
        <x:v>300.61380143559217</x:v>
      </x:c>
      <x:c r="L283" s="6" t="str">
        <x:v>23.808894898714833</x:v>
      </x:c>
      <x:c r="M283" s="6" t="str">
        <x:v>0.5053762174946994</x:v>
      </x:c>
      <x:c r="N283" s="6" t="str">
        <x:v>87.20763229929246</x:v>
      </x:c>
      <x:c r="O283" s="6" t="str">
        <x:v>1.3835890203187282</x:v>
      </x:c>
      <x:c r="P283" s="6" t="str">
        <x:v>98.2530600320981</x:v>
      </x:c>
      <x:c r="Q283" s="6" t="str">
        <x:v>64.14183440470985</x:v>
      </x:c>
      <x:c r="R283" s="6" t="str">
        <x:v>0.7225491296084847</x:v>
      </x:c>
      <x:c r="S283" s="8" t="str">
        <x:v>1.429725231611365</x:v>
      </x:c>
      <x:c r="T283" s="6" t="str">
        <x:v>1.5990719024183875</x:v>
      </x:c>
      <x:c r="U283" s="8" t="str">
        <x:v>1.155741971738125</x:v>
      </x:c>
      <x:c r="V283" s="6" t="str">
        <x:v>202.36074140349405</x:v>
      </x:c>
      <x:c r="W283" s="8" t="str">
        <x:v>3.1548948245957082</x:v>
      </x:c>
      <x:c r="X283" s="6" t="str">
        <x:v>1.6474463618276387</x:v>
      </x:c>
      <x:c r="Y283" s="6" t="str">
        <x:v>0.6986984402003458</x:v>
      </x:c>
      <x:c r="Z283" s="6" t="str">
        <x:v>1.25862334454645</x:v>
      </x:c>
      <x:c r="AA283" s="6" t="str">
        <x:v>0.3485015918791953</x:v>
      </x:c>
      <x:c r="AB283" s="6" t="str">
        <x:v>-1.6002707699404883</x:v>
      </x:c>
      <x:c r="AC283" s="6" t="str">
        <x:v>-0.03200906877438873</x:v>
      </x:c>
      <x:c r="AD283" s="6" t="str">
        <x:v>1.9303971883732334</x:v>
      </x:c>
      <x:c r="AE283" s="6" t="str">
        <x:v>-0.38893601106410997</x:v>
      </x:c>
      <x:c r="AF283" s="6" t="str">
        <x:v>1.5654520006349433</x:v>
      </x:c>
      <x:c r="AG283" s="6" t="str">
        <x:v>1</x:v>
      </x:c>
      <x:c r="AH283" s="6" t="str">
        <x:v>1</x:v>
      </x:c>
      <x:c r="AI283" s="6" t="str">
        <x:v>2025-06</x:v>
      </x:c>
      <x:c r="AJ283" s="9" t="str">
        <x:v>NASA POWER (MERRA-2 meteorology)</x:v>
      </x:c>
      <x:c r="AK283" s="9" t="str">
        <x:v>Badan Informasi Geospasial (BIG)</x:v>
      </x:c>
      <x:c r="AL283" s="9" t="str">
        <x:v>https://power.larc.nasa.gov/docs/services/api/temporal/monthly/</x:v>
      </x:c>
      <x:c r="AM283" s="9" t="str">
        <x:v>https://geoservices.big.go.id/rbi/rest/services/BATASWILAYAH/BATAS_WILAYAH/MapServer/12</x:v>
      </x:c>
    </x:row>
    <x:row r="284" ht="18" customHeight="1">
      <x:c r="A284" s="6" t="str">
        <x:v>32</x:v>
      </x:c>
      <x:c r="B284" s="6" t="str">
        <x:v>JAWA BARAT</x:v>
      </x:c>
      <x:c r="C284" s="6" t="str">
        <x:v>2025</x:v>
      </x:c>
      <x:c r="D284" s="6" t="str">
        <x:v>7</x:v>
      </x:c>
      <x:c r="E284" s="6" t="str">
        <x:v>23.807195078784268</x:v>
      </x:c>
      <x:c r="F284" s="9" t="str">
        <x:v>grid_cells_within_BIG_polygon</x:v>
      </x:c>
      <x:c r="G284" s="6" t="str">
        <x:v>9</x:v>
      </x:c>
      <x:c r="H284" s="8" t="str">
        <x:v>87.57940210431195</x:v>
      </x:c>
      <x:c r="I284" s="6" t="str">
        <x:v>4.644638343276838</x:v>
      </x:c>
      <x:c r="J284" s="6" t="str">
        <x:v>31</x:v>
      </x:c>
      <x:c r="K284" s="6" t="str">
        <x:v>143.98378864158198</x:v>
      </x:c>
      <x:c r="L284" s="6" t="str">
        <x:v>23.127246448173953</x:v>
      </x:c>
      <x:c r="M284" s="6" t="str">
        <x:v>0.6317523212785745</x:v>
      </x:c>
      <x:c r="N284" s="6" t="str">
        <x:v>85.90249603669858</x:v>
      </x:c>
      <x:c r="O284" s="6" t="str">
        <x:v>1.6694317774445329</x:v>
      </x:c>
      <x:c r="P284" s="6" t="str">
        <x:v>67.98815987067495</x:v>
      </x:c>
      <x:c r="Q284" s="6" t="str">
        <x:v>72.70987173016704</x:v>
      </x:c>
      <x:c r="R284" s="6" t="str">
        <x:v>0.6799486306103155</x:v>
      </x:c>
      <x:c r="S284" s="8" t="str">
        <x:v>1.076289880873249</x:v>
      </x:c>
      <x:c r="T284" s="6" t="str">
        <x:v>1.6769060676133734</x:v>
      </x:c>
      <x:c r="U284" s="8" t="str">
        <x:v>1.0044771462181472</x:v>
      </x:c>
      <x:c r="V284" s="6" t="str">
        <x:v>75.99562877090703</x:v>
      </x:c>
      <x:c r="W284" s="8" t="str">
        <x:v>1.0451899716304511</x:v>
      </x:c>
      <x:c r="X284" s="6" t="str">
        <x:v>1.429725231611365</x:v>
      </x:c>
      <x:c r="Y284" s="6" t="str">
        <x:v>1.6474463618276387</x:v>
      </x:c>
      <x:c r="Z284" s="6" t="str">
        <x:v>1.3844871581040845</x:v>
      </x:c>
      <x:c r="AA284" s="6" t="str">
        <x:v>1.155741971738125</x:v>
      </x:c>
      <x:c r="AB284" s="6" t="str">
        <x:v>0.3485015918791953</x:v>
      </x:c>
      <x:c r="AC284" s="6" t="str">
        <x:v>0.8362402366118231</x:v>
      </x:c>
      <x:c r="AD284" s="6" t="str">
        <x:v>3.1548948245957082</x:v>
      </x:c>
      <x:c r="AE284" s="6" t="str">
        <x:v>1.9303971883732334</x:v>
      </x:c>
      <x:c r="AF284" s="6" t="str">
        <x:v>2.0434939948664637</x:v>
      </x:c>
      <x:c r="AG284" s="6" t="str">
        <x:v>1</x:v>
      </x:c>
      <x:c r="AH284" s="6" t="str">
        <x:v>1</x:v>
      </x:c>
      <x:c r="AI284" s="6" t="str">
        <x:v>2025-07</x:v>
      </x:c>
      <x:c r="AJ284" s="9" t="str">
        <x:v>NASA POWER (MERRA-2 meteorology)</x:v>
      </x:c>
      <x:c r="AK284" s="9" t="str">
        <x:v>Badan Informasi Geospasial (BIG)</x:v>
      </x:c>
      <x:c r="AL284" s="9" t="str">
        <x:v>https://power.larc.nasa.gov/docs/services/api/temporal/monthly/</x:v>
      </x:c>
      <x:c r="AM284" s="9" t="str">
        <x:v>https://geoservices.big.go.id/rbi/rest/services/BATASWILAYAH/BATAS_WILAYAH/MapServer/12</x:v>
      </x:c>
    </x:row>
    <x:row r="285" ht="18" customHeight="1">
      <x:c r="A285" s="6" t="str">
        <x:v>32</x:v>
      </x:c>
      <x:c r="B285" s="6" t="str">
        <x:v>JAWA BARAT</x:v>
      </x:c>
      <x:c r="C285" s="6" t="str">
        <x:v>2025</x:v>
      </x:c>
      <x:c r="D285" s="6" t="str">
        <x:v>8</x:v>
      </x:c>
      <x:c r="E285" s="6" t="str">
        <x:v>24.052649877697778</x:v>
      </x:c>
      <x:c r="F285" s="9" t="str">
        <x:v>grid_cells_within_BIG_polygon</x:v>
      </x:c>
      <x:c r="G285" s="6" t="str">
        <x:v>9</x:v>
      </x:c>
      <x:c r="H285" s="8" t="str">
        <x:v>86.75192144774284</x:v>
      </x:c>
      <x:c r="I285" s="6" t="str">
        <x:v>8.618442022278204</x:v>
      </x:c>
      <x:c r="J285" s="6" t="str">
        <x:v>31</x:v>
      </x:c>
      <x:c r="K285" s="6" t="str">
        <x:v>267.17170269062433</x:v>
      </x:c>
      <x:c r="L285" s="6" t="str">
        <x:v>23.067718300603754</x:v>
      </x:c>
      <x:c r="M285" s="6" t="str">
        <x:v>0.5430735461267829</x:v>
      </x:c>
      <x:c r="N285" s="6" t="str">
        <x:v>83.55182729272879</x:v>
      </x:c>
      <x:c r="O285" s="6" t="str">
        <x:v>1.778924346097027</x:v>
      </x:c>
      <x:c r="P285" s="6" t="str">
        <x:v>47.63368481583917</x:v>
      </x:c>
      <x:c r="Q285" s="6" t="str">
        <x:v>53.66986768590782</x:v>
      </x:c>
      <x:c r="R285" s="6" t="str">
        <x:v>0.9849315770940237</x:v>
      </x:c>
      <x:c r="S285" s="8" t="str">
        <x:v>1.813624663028766</x:v>
      </x:c>
      <x:c r="T285" s="6" t="str">
        <x:v>3.2000941550140567</x:v>
      </x:c>
      <x:c r="U285" s="8" t="str">
        <x:v>1.7988927758704785</x:v>
      </x:c>
      <x:c r="V285" s="6" t="str">
        <x:v>219.53801787478517</x:v>
      </x:c>
      <x:c r="W285" s="8" t="str">
        <x:v>4.090526534546117</x:v>
      </x:c>
      <x:c r="X285" s="6" t="str">
        <x:v>1.076289880873249</x:v>
      </x:c>
      <x:c r="Y285" s="6" t="str">
        <x:v>1.429725231611365</x:v>
      </x:c>
      <x:c r="Z285" s="6" t="str">
        <x:v>1.439879925171127</x:v>
      </x:c>
      <x:c r="AA285" s="6" t="str">
        <x:v>1.0044771462181472</x:v>
      </x:c>
      <x:c r="AB285" s="6" t="str">
        <x:v>1.155741971738125</x:v>
      </x:c>
      <x:c r="AC285" s="6" t="str">
        <x:v>1.3197039646089175</x:v>
      </x:c>
      <x:c r="AD285" s="6" t="str">
        <x:v>1.0451899716304511</x:v>
      </x:c>
      <x:c r="AE285" s="6" t="str">
        <x:v>3.1548948245957082</x:v>
      </x:c>
      <x:c r="AF285" s="6" t="str">
        <x:v>2.7635371102574253</x:v>
      </x:c>
      <x:c r="AG285" s="6" t="str">
        <x:v>1</x:v>
      </x:c>
      <x:c r="AH285" s="6" t="str">
        <x:v>1</x:v>
      </x:c>
      <x:c r="AI285" s="6" t="str">
        <x:v>2025-08</x:v>
      </x:c>
      <x:c r="AJ285" s="9" t="str">
        <x:v>NASA POWER (MERRA-2 meteorology)</x:v>
      </x:c>
      <x:c r="AK285" s="9" t="str">
        <x:v>Badan Informasi Geospasial (BIG)</x:v>
      </x:c>
      <x:c r="AL285" s="9" t="str">
        <x:v>https://power.larc.nasa.gov/docs/services/api/temporal/monthly/</x:v>
      </x:c>
      <x:c r="AM285" s="9" t="str">
        <x:v>https://geoservices.big.go.id/rbi/rest/services/BATASWILAYAH/BATAS_WILAYAH/MapServer/12</x:v>
      </x:c>
    </x:row>
    <x:row r="286" ht="18" customHeight="1">
      <x:c r="A286" s="6" t="str">
        <x:v>32</x:v>
      </x:c>
      <x:c r="B286" s="6" t="str">
        <x:v>JAWA BARAT</x:v>
      </x:c>
      <x:c r="C286" s="6" t="str">
        <x:v>2025</x:v>
      </x:c>
      <x:c r="D286" s="6" t="str">
        <x:v>9</x:v>
      </x:c>
      <x:c r="E286" s="6" t="str">
        <x:v>24.403919079130297</x:v>
      </x:c>
      <x:c r="F286" s="9" t="str">
        <x:v>grid_cells_within_BIG_polygon</x:v>
      </x:c>
      <x:c r="G286" s="6" t="str">
        <x:v>9</x:v>
      </x:c>
      <x:c r="H286" s="8" t="str">
        <x:v>86.6057108710732</x:v>
      </x:c>
      <x:c r="I286" s="6" t="str">
        <x:v>8.725239128187145</x:v>
      </x:c>
      <x:c r="J286" s="6" t="str">
        <x:v>30</x:v>
      </x:c>
      <x:c r="K286" s="6" t="str">
        <x:v>261.7571738456143</x:v>
      </x:c>
      <x:c r="L286" s="6" t="str">
        <x:v>23.835337134980712</x:v>
      </x:c>
      <x:c r="M286" s="6" t="str">
        <x:v>0.40315765333366704</x:v>
      </x:c>
      <x:c r="N286" s="6" t="str">
        <x:v>81.36737382959264</x:v>
      </x:c>
      <x:c r="O286" s="6" t="str">
        <x:v>3.0185204632234863</x:v>
      </x:c>
      <x:c r="P286" s="6" t="str">
        <x:v>80.03854651928889</x:v>
      </x:c>
      <x:c r="Q286" s="6" t="str">
        <x:v>87.57063530197881</x:v>
      </x:c>
      <x:c r="R286" s="6" t="str">
        <x:v>0.5685819441495852</x:v>
      </x:c>
      <x:c r="S286" s="8" t="str">
        <x:v>1.4103215936694804</x:v>
      </x:c>
      <x:c r="T286" s="6" t="str">
        <x:v>5.238337041480563</x:v>
      </x:c>
      <x:c r="U286" s="8" t="str">
        <x:v>1.7353988834273226</x:v>
      </x:c>
      <x:c r="V286" s="6" t="str">
        <x:v>181.71862732632542</x:v>
      </x:c>
      <x:c r="W286" s="8" t="str">
        <x:v>2.075109158448907</x:v>
      </x:c>
      <x:c r="X286" s="6" t="str">
        <x:v>1.813624663028766</x:v>
      </x:c>
      <x:c r="Y286" s="6" t="str">
        <x:v>1.076289880873249</x:v>
      </x:c>
      <x:c r="Z286" s="6" t="str">
        <x:v>1.4334120458571655</x:v>
      </x:c>
      <x:c r="AA286" s="6" t="str">
        <x:v>1.7988927758704785</x:v>
      </x:c>
      <x:c r="AB286" s="6" t="str">
        <x:v>1.0044771462181472</x:v>
      </x:c>
      <x:c r="AC286" s="6" t="str">
        <x:v>1.5129229351719833</x:v>
      </x:c>
      <x:c r="AD286" s="6" t="str">
        <x:v>4.090526534546117</x:v>
      </x:c>
      <x:c r="AE286" s="6" t="str">
        <x:v>1.0451899716304511</x:v>
      </x:c>
      <x:c r="AF286" s="6" t="str">
        <x:v>2.403608554875158</x:v>
      </x:c>
      <x:c r="AG286" s="6" t="str">
        <x:v>1</x:v>
      </x:c>
      <x:c r="AH286" s="6" t="str">
        <x:v>1</x:v>
      </x:c>
      <x:c r="AI286" s="6" t="str">
        <x:v>2025-09</x:v>
      </x:c>
      <x:c r="AJ286" s="9" t="str">
        <x:v>NASA POWER (MERRA-2 meteorology)</x:v>
      </x:c>
      <x:c r="AK286" s="9" t="str">
        <x:v>Badan Informasi Geospasial (BIG)</x:v>
      </x:c>
      <x:c r="AL286" s="9" t="str">
        <x:v>https://power.larc.nasa.gov/docs/services/api/temporal/monthly/</x:v>
      </x:c>
      <x:c r="AM286" s="9" t="str">
        <x:v>https://geoservices.big.go.id/rbi/rest/services/BATASWILAYAH/BATAS_WILAYAH/MapServer/12</x:v>
      </x:c>
    </x:row>
    <x:row r="287" ht="18" customHeight="1">
      <x:c r="A287" s="6" t="str">
        <x:v>32</x:v>
      </x:c>
      <x:c r="B287" s="6" t="str">
        <x:v>JAWA BARAT</x:v>
      </x:c>
      <x:c r="C287" s="6" t="str">
        <x:v>2025</x:v>
      </x:c>
      <x:c r="D287" s="6" t="str">
        <x:v>10</x:v>
      </x:c>
      <x:c r="E287" s="6" t="str">
        <x:v>24.773839665269957</x:v>
      </x:c>
      <x:c r="F287" s="9" t="str">
        <x:v>grid_cells_within_BIG_polygon</x:v>
      </x:c>
      <x:c r="G287" s="6" t="str">
        <x:v>9</x:v>
      </x:c>
      <x:c r="H287" s="8" t="str">
        <x:v>87.25115272680577</x:v>
      </x:c>
      <x:c r="I287" s="6" t="str">
        <x:v>12.633927912826607</x:v>
      </x:c>
      <x:c r="J287" s="6" t="str">
        <x:v>31</x:v>
      </x:c>
      <x:c r="K287" s="6" t="str">
        <x:v>391.6517652976248</x:v>
      </x:c>
      <x:c r="L287" s="6" t="str">
        <x:v>24.64571713360463</x:v>
      </x:c>
      <x:c r="M287" s="6" t="str">
        <x:v>0.3385064296158011</x:v>
      </x:c>
      <x:c r="N287" s="6" t="str">
        <x:v>81.48731580159043</x:v>
      </x:c>
      <x:c r="O287" s="6" t="str">
        <x:v>4.789024800597894</x:v>
      </x:c>
      <x:c r="P287" s="6" t="str">
        <x:v>171.20785638532953</x:v>
      </x:c>
      <x:c r="Q287" s="6" t="str">
        <x:v>128.57132827182048</x:v>
      </x:c>
      <x:c r="R287" s="6" t="str">
        <x:v>0.12812253166532628</x:v>
      </x:c>
      <x:c r="S287" s="8" t="str">
        <x:v>0.3784936428260554</x:v>
      </x:c>
      <x:c r="T287" s="6" t="str">
        <x:v>5.763836925215344</x:v>
      </x:c>
      <x:c r="U287" s="8" t="str">
        <x:v>1.2035512792699983</x:v>
      </x:c>
      <x:c r="V287" s="6" t="str">
        <x:v>220.44390891229529</x:v>
      </x:c>
      <x:c r="W287" s="8" t="str">
        <x:v>1.7145650735305573</x:v>
      </x:c>
      <x:c r="X287" s="6" t="str">
        <x:v>1.4103215936694804</x:v>
      </x:c>
      <x:c r="Y287" s="6" t="str">
        <x:v>1.813624663028766</x:v>
      </x:c>
      <x:c r="Z287" s="6" t="str">
        <x:v>1.2008132998414343</x:v>
      </x:c>
      <x:c r="AA287" s="6" t="str">
        <x:v>1.7353988834273226</x:v>
      </x:c>
      <x:c r="AB287" s="6" t="str">
        <x:v>1.7988927758704785</x:v>
      </x:c>
      <x:c r="AC287" s="6" t="str">
        <x:v>1.5792809795226004</x:v>
      </x:c>
      <x:c r="AD287" s="6" t="str">
        <x:v>2.075109158448907</x:v>
      </x:c>
      <x:c r="AE287" s="6" t="str">
        <x:v>4.090526534546117</x:v>
      </x:c>
      <x:c r="AF287" s="6" t="str">
        <x:v>2.62673358884186</x:v>
      </x:c>
      <x:c r="AG287" s="6" t="str">
        <x:v>1</x:v>
      </x:c>
      <x:c r="AH287" s="6" t="str">
        <x:v>0</x:v>
      </x:c>
      <x:c r="AI287" s="6" t="str">
        <x:v>2025-10</x:v>
      </x:c>
      <x:c r="AJ287" s="9" t="str">
        <x:v>NASA POWER (MERRA-2 meteorology)</x:v>
      </x:c>
      <x:c r="AK287" s="9" t="str">
        <x:v>Badan Informasi Geospasial (BIG)</x:v>
      </x:c>
      <x:c r="AL287" s="9" t="str">
        <x:v>https://power.larc.nasa.gov/docs/services/api/temporal/monthly/</x:v>
      </x:c>
      <x:c r="AM287" s="9" t="str">
        <x:v>https://geoservices.big.go.id/rbi/rest/services/BATASWILAYAH/BATAS_WILAYAH/MapServer/12</x:v>
      </x:c>
    </x:row>
    <x:row r="288" ht="18" customHeight="1">
      <x:c r="A288" s="6" t="str">
        <x:v>32</x:v>
      </x:c>
      <x:c r="B288" s="6" t="str">
        <x:v>JAWA BARAT</x:v>
      </x:c>
      <x:c r="C288" s="6" t="str">
        <x:v>2025</x:v>
      </x:c>
      <x:c r="D288" s="6" t="str">
        <x:v>11</x:v>
      </x:c>
      <x:c r="E288" s="6" t="str">
        <x:v>24.592721266578202</x:v>
      </x:c>
      <x:c r="F288" s="9" t="str">
        <x:v>grid_cells_within_BIG_polygon</x:v>
      </x:c>
      <x:c r="G288" s="6" t="str">
        <x:v>9</x:v>
      </x:c>
      <x:c r="H288" s="8" t="str">
        <x:v>87.69714809786366</x:v>
      </x:c>
      <x:c r="I288" s="6" t="str">
        <x:v>9.337104127550958</x:v>
      </x:c>
      <x:c r="J288" s="6" t="str">
        <x:v>30</x:v>
      </x:c>
      <x:c r="K288" s="6" t="str">
        <x:v>280.11312382652875</x:v>
      </x:c>
      <x:c r="L288" s="6" t="str">
        <x:v>24.765722868429723</x:v>
      </x:c>
      <x:c r="M288" s="6" t="str">
        <x:v>0.46473974422359854</x:v>
      </x:c>
      <x:c r="N288" s="6" t="str">
        <x:v>84.69797250512327</x:v>
      </x:c>
      <x:c r="O288" s="6" t="str">
        <x:v>3.24653402220474</x:v>
      </x:c>
      <x:c r="P288" s="6" t="str">
        <x:v>275.04112197159276</x:v>
      </x:c>
      <x:c r="Q288" s="6" t="str">
        <x:v>93.22725069370341</x:v>
      </x:c>
      <x:c r="R288" s="6" t="str">
        <x:v>-0.1730016018515208</x:v>
      </x:c>
      <x:c r="S288" s="8" t="str">
        <x:v>-0.3722548028263431</x:v>
      </x:c>
      <x:c r="T288" s="6" t="str">
        <x:v>2.999175592740386</x:v>
      </x:c>
      <x:c r="U288" s="8" t="str">
        <x:v>0.9238084591836893</x:v>
      </x:c>
      <x:c r="V288" s="6" t="str">
        <x:v>5.072001854935991</x:v>
      </x:c>
      <x:c r="W288" s="8" t="str">
        <x:v>0.05440471339866032</x:v>
      </x:c>
      <x:c r="X288" s="6" t="str">
        <x:v>0.3784936428260554</x:v>
      </x:c>
      <x:c r="Y288" s="6" t="str">
        <x:v>1.4103215936694804</x:v>
      </x:c>
      <x:c r="Z288" s="6" t="str">
        <x:v>0.47218681122306433</x:v>
      </x:c>
      <x:c r="AA288" s="6" t="str">
        <x:v>1.2035512792699983</x:v>
      </x:c>
      <x:c r="AB288" s="6" t="str">
        <x:v>1.7353988834273226</x:v>
      </x:c>
      <x:c r="AC288" s="6" t="str">
        <x:v>1.2875862072936706</x:v>
      </x:c>
      <x:c r="AD288" s="6" t="str">
        <x:v>1.7145650735305573</x:v>
      </x:c>
      <x:c r="AE288" s="6" t="str">
        <x:v>2.075109158448907</x:v>
      </x:c>
      <x:c r="AF288" s="6" t="str">
        <x:v>1.2813596484593743</x:v>
      </x:c>
      <x:c r="AG288" s="6" t="str">
        <x:v>0</x:v>
      </x:c>
      <x:c r="AH288" s="6" t="str">
        <x:v>0</x:v>
      </x:c>
      <x:c r="AI288" s="6" t="str">
        <x:v>2025-11</x:v>
      </x:c>
      <x:c r="AJ288" s="9" t="str">
        <x:v>NASA POWER (MERRA-2 meteorology)</x:v>
      </x:c>
      <x:c r="AK288" s="9" t="str">
        <x:v>Badan Informasi Geospasial (BIG)</x:v>
      </x:c>
      <x:c r="AL288" s="9" t="str">
        <x:v>https://power.larc.nasa.gov/docs/services/api/temporal/monthly/</x:v>
      </x:c>
      <x:c r="AM288" s="9" t="str">
        <x:v>https://geoservices.big.go.id/rbi/rest/services/BATASWILAYAH/BATAS_WILAYAH/MapServer/12</x:v>
      </x:c>
    </x:row>
    <x:row r="289" ht="18" customHeight="1">
      <x:c r="A289" s="6" t="str">
        <x:v>32</x:v>
      </x:c>
      <x:c r="B289" s="6" t="str">
        <x:v>JAWA BARAT</x:v>
      </x:c>
      <x:c r="C289" s="6" t="str">
        <x:v>2025</x:v>
      </x:c>
      <x:c r="D289" s="6" t="str">
        <x:v>12</x:v>
      </x:c>
      <x:c r="E289" s="6" t="str">
        <x:v>24.595863286757858</x:v>
      </x:c>
      <x:c r="F289" s="9" t="str">
        <x:v>grid_cells_within_BIG_polygon</x:v>
      </x:c>
      <x:c r="G289" s="6" t="str">
        <x:v>9</x:v>
      </x:c>
      <x:c r="H289" s="8" t="str">
        <x:v>88.25711908416972</x:v>
      </x:c>
      <x:c r="I289" s="6" t="str">
        <x:v>8.377624877942036</x:v>
      </x:c>
      <x:c r="J289" s="6" t="str">
        <x:v>31</x:v>
      </x:c>
      <x:c r="K289" s="6" t="str">
        <x:v>259.70637121620314</x:v>
      </x:c>
      <x:c r="L289" s="6" t="str">
        <x:v>24.413048699893405</x:v>
      </x:c>
      <x:c r="M289" s="6" t="str">
        <x:v>0.42162929009000133</x:v>
      </x:c>
      <x:c r="N289" s="6" t="str">
        <x:v>86.6744021647351</x:v>
      </x:c>
      <x:c r="O289" s="6" t="str">
        <x:v>1.7022904940759809</x:v>
      </x:c>
      <x:c r="P289" s="6" t="str">
        <x:v>294.4210594154895</x:v>
      </x:c>
      <x:c r="Q289" s="6" t="str">
        <x:v>83.41325599207133</x:v>
      </x:c>
      <x:c r="R289" s="6" t="str">
        <x:v>0.18281458686445262</x:v>
      </x:c>
      <x:c r="S289" s="8" t="str">
        <x:v>0.4335908134499595</x:v>
      </x:c>
      <x:c r="T289" s="6" t="str">
        <x:v>1.582716919434617</x:v>
      </x:c>
      <x:c r="U289" s="8" t="str">
        <x:v>0.9297572446903255</x:v>
      </x:c>
      <x:c r="V289" s="6" t="str">
        <x:v>-34.71468819928634</x:v>
      </x:c>
      <x:c r="W289" s="8" t="str">
        <x:v>-0.41617711461336643</x:v>
      </x:c>
      <x:c r="X289" s="6" t="str">
        <x:v>-0.3722548028263431</x:v>
      </x:c>
      <x:c r="Y289" s="6" t="str">
        <x:v>0.3784936428260554</x:v>
      </x:c>
      <x:c r="Z289" s="6" t="str">
        <x:v>0.14660988448322407</x:v>
      </x:c>
      <x:c r="AA289" s="6" t="str">
        <x:v>0.9238084591836893</x:v>
      </x:c>
      <x:c r="AB289" s="6" t="str">
        <x:v>1.2035512792699983</x:v>
      </x:c>
      <x:c r="AC289" s="6" t="str">
        <x:v>1.0190389943813383</x:v>
      </x:c>
      <x:c r="AD289" s="6" t="str">
        <x:v>0.05440471339866032</x:v>
      </x:c>
      <x:c r="AE289" s="6" t="str">
        <x:v>1.7145650735305573</x:v>
      </x:c>
      <x:c r="AF289" s="6" t="str">
        <x:v>0.4509308907719498</x:v>
      </x:c>
      <x:c r="AG289" s="6" t="str">
        <x:v>0</x:v>
      </x:c>
      <x:c r="AH289" s="6" t="str">
        <x:v>0</x:v>
      </x:c>
      <x:c r="AI289" s="6" t="str">
        <x:v>2025-12</x:v>
      </x:c>
      <x:c r="AJ289" s="9" t="str">
        <x:v>NASA POWER (MERRA-2 meteorology)</x:v>
      </x:c>
      <x:c r="AK289" s="9" t="str">
        <x:v>Badan Informasi Geospasial (BIG)</x:v>
      </x:c>
      <x:c r="AL289" s="9" t="str">
        <x:v>https://power.larc.nasa.gov/docs/services/api/temporal/monthly/</x:v>
      </x:c>
      <x:c r="AM289" s="9" t="str">
        <x:v>https://geoservices.big.go.id/rbi/rest/services/BATASWILAYAH/BATAS_WILAYAH/MapServer/12</x:v>
      </x:c>
    </x:row>
    <x:row r="290" ht="18" customHeight="1">
      <x:c r="A290" s="6" t="str">
        <x:v>33</x:v>
      </x:c>
      <x:c r="B290" s="6" t="str">
        <x:v>JAWA TENGAH</x:v>
      </x:c>
      <x:c r="C290" s="6" t="str">
        <x:v>2024</x:v>
      </x:c>
      <x:c r="D290" s="6" t="str">
        <x:v>1</x:v>
      </x:c>
      <x:c r="E290" s="6" t="str">
        <x:v>26.216067475141173</x:v>
      </x:c>
      <x:c r="F290" s="9" t="str">
        <x:v>grid_cells_within_BIG_polygon</x:v>
      </x:c>
      <x:c r="G290" s="6" t="str">
        <x:v>7</x:v>
      </x:c>
      <x:c r="H290" s="8" t="str">
        <x:v>86.4893482193835</x:v>
      </x:c>
      <x:c r="I290" s="6" t="str">
        <x:v>10.252430325102015</x:v>
      </x:c>
      <x:c r="J290" s="6" t="str">
        <x:v>31</x:v>
      </x:c>
      <x:c r="K290" s="6" t="str">
        <x:v>317.82534007816247</x:v>
      </x:c>
      <x:c r="L290" s="6" t="str">
        <x:v>25.143467916772536</x:v>
      </x:c>
      <x:c r="M290" s="6" t="str">
        <x:v>0.5240126374647284</x:v>
      </x:c>
      <x:c r="N290" s="6" t="str">
        <x:v>87.623949031218</x:v>
      </x:c>
      <x:c r="O290" s="6" t="str">
        <x:v>2.2440343349529766</x:v>
      </x:c>
      <x:c r="P290" s="6" t="str">
        <x:v>331.3020984248159</x:v>
      </x:c>
      <x:c r="Q290" s="6" t="str">
        <x:v>107.98130840000809</x:v>
      </x:c>
      <x:c r="R290" s="6" t="str">
        <x:v>1.072599558368637</x:v>
      </x:c>
      <x:c r="S290" s="8" t="str">
        <x:v>2.046896356465896</x:v>
      </x:c>
      <x:c r="T290" s="6" t="str">
        <x:v>-1.1346008118345026</x:v>
      </x:c>
      <x:c r="U290" s="8" t="str">
        <x:v>-0.5056075988508786</x:v>
      </x:c>
      <x:c r="V290" s="6" t="str">
        <x:v>-13.476758346653412</x:v>
      </x:c>
      <x:c r="W290" s="8" t="str">
        <x:v>-0.12480639979587803</x:v>
      </x:c>
      <x:c r="X290" s="6" t="str">
        <x:v>2.1457005479531457</x:v>
      </x:c>
      <x:c r="Y290" s="6" t="str">
        <x:v>1.5036466099154497</x:v>
      </x:c>
      <x:c r="Z290" s="6" t="str">
        <x:v>1.8987478381114966</x:v>
      </x:c>
      <x:c r="AA290" s="6" t="str">
        <x:v>-1.5955947653531217</x:v>
      </x:c>
      <x:c r="AB290" s="6" t="str">
        <x:v>-0.5729402808266923</x:v>
      </x:c>
      <x:c r="AC290" s="6" t="str">
        <x:v>-0.8913808816768972</x:v>
      </x:c>
      <x:c r="AD290" s="6" t="str">
        <x:v>-0.3860693533484762</x:v>
      </x:c>
      <x:c r="AE290" s="6" t="str">
        <x:v>-0.16279222553980807</x:v>
      </x:c>
      <x:c r="AF290" s="6" t="str">
        <x:v>-0.2245559928947204</x:v>
      </x:c>
      <x:c r="AG290" s="6" t="str">
        <x:v>0</x:v>
      </x:c>
      <x:c r="AH290" s="6" t="str">
        <x:v>1</x:v>
      </x:c>
      <x:c r="AI290" s="6" t="str">
        <x:v>2024-01</x:v>
      </x:c>
      <x:c r="AJ290" s="9" t="str">
        <x:v>NASA POWER (MERRA-2 meteorology)</x:v>
      </x:c>
      <x:c r="AK290" s="9" t="str">
        <x:v>Badan Informasi Geospasial (BIG)</x:v>
      </x:c>
      <x:c r="AL290" s="9" t="str">
        <x:v>https://power.larc.nasa.gov/docs/services/api/temporal/monthly/</x:v>
      </x:c>
      <x:c r="AM290" s="9" t="str">
        <x:v>https://geoservices.big.go.id/rbi/rest/services/BATASWILAYAH/BATAS_WILAYAH/MapServer/12</x:v>
      </x:c>
    </x:row>
    <x:row r="291" ht="18" customHeight="1">
      <x:c r="A291" s="6" t="str">
        <x:v>33</x:v>
      </x:c>
      <x:c r="B291" s="6" t="str">
        <x:v>JAWA TENGAH</x:v>
      </x:c>
      <x:c r="C291" s="6" t="str">
        <x:v>2024</x:v>
      </x:c>
      <x:c r="D291" s="6" t="str">
        <x:v>2</x:v>
      </x:c>
      <x:c r="E291" s="6" t="str">
        <x:v>26.325989768936278</x:v>
      </x:c>
      <x:c r="F291" s="9" t="str">
        <x:v>grid_cells_within_BIG_polygon</x:v>
      </x:c>
      <x:c r="G291" s="6" t="str">
        <x:v>7</x:v>
      </x:c>
      <x:c r="H291" s="8" t="str">
        <x:v>86.92117075900538</x:v>
      </x:c>
      <x:c r="I291" s="6" t="str">
        <x:v>9.395736034389707</x:v>
      </x:c>
      <x:c r="J291" s="6" t="str">
        <x:v>29</x:v>
      </x:c>
      <x:c r="K291" s="6" t="str">
        <x:v>272.4763449973015</x:v>
      </x:c>
      <x:c r="L291" s="6" t="str">
        <x:v>25.061856676042495</x:v>
      </x:c>
      <x:c r="M291" s="6" t="str">
        <x:v>0.4480994978591014</x:v>
      </x:c>
      <x:c r="N291" s="6" t="str">
        <x:v>88.62151239157284</x:v>
      </x:c>
      <x:c r="O291" s="6" t="str">
        <x:v>1.3001171392988795</x:v>
      </x:c>
      <x:c r="P291" s="6" t="str">
        <x:v>315.9833567422263</x:v>
      </x:c>
      <x:c r="Q291" s="6" t="str">
        <x:v>101.41197466184207</x:v>
      </x:c>
      <x:c r="R291" s="6" t="str">
        <x:v>1.2641330928937826</x:v>
      </x:c>
      <x:c r="S291" s="8" t="str">
        <x:v>2.821099106188402</x:v>
      </x:c>
      <x:c r="T291" s="6" t="str">
        <x:v>-1.7003416325674579</x:v>
      </x:c>
      <x:c r="U291" s="8" t="str">
        <x:v>-1.3078372564832192</x:v>
      </x:c>
      <x:c r="V291" s="6" t="str">
        <x:v>-43.507011744924796</x:v>
      </x:c>
      <x:c r="W291" s="8" t="str">
        <x:v>-0.42901256868332166</x:v>
      </x:c>
      <x:c r="X291" s="6" t="str">
        <x:v>2.046896356465896</x:v>
      </x:c>
      <x:c r="Y291" s="6" t="str">
        <x:v>2.1457005479531457</x:v>
      </x:c>
      <x:c r="Z291" s="6" t="str">
        <x:v>2.3378986702024807</x:v>
      </x:c>
      <x:c r="AA291" s="6" t="str">
        <x:v>-0.5056075988508786</x:v>
      </x:c>
      <x:c r="AB291" s="6" t="str">
        <x:v>-1.5955947653531217</x:v>
      </x:c>
      <x:c r="AC291" s="6" t="str">
        <x:v>-1.1363465402290727</x:v>
      </x:c>
      <x:c r="AD291" s="6" t="str">
        <x:v>-0.12480639979587803</x:v>
      </x:c>
      <x:c r="AE291" s="6" t="str">
        <x:v>-0.3860693533484762</x:v>
      </x:c>
      <x:c r="AF291" s="6" t="str">
        <x:v>-0.3132961072758916</x:v>
      </x:c>
      <x:c r="AG291" s="6" t="str">
        <x:v>0</x:v>
      </x:c>
      <x:c r="AH291" s="6" t="str">
        <x:v>1</x:v>
      </x:c>
      <x:c r="AI291" s="6" t="str">
        <x:v>2024-02</x:v>
      </x:c>
      <x:c r="AJ291" s="9" t="str">
        <x:v>NASA POWER (MERRA-2 meteorology)</x:v>
      </x:c>
      <x:c r="AK291" s="9" t="str">
        <x:v>Badan Informasi Geospasial (BIG)</x:v>
      </x:c>
      <x:c r="AL291" s="9" t="str">
        <x:v>https://power.larc.nasa.gov/docs/services/api/temporal/monthly/</x:v>
      </x:c>
      <x:c r="AM291" s="9" t="str">
        <x:v>https://geoservices.big.go.id/rbi/rest/services/BATASWILAYAH/BATAS_WILAYAH/MapServer/12</x:v>
      </x:c>
    </x:row>
    <x:row r="292" ht="18" customHeight="1">
      <x:c r="A292" s="6" t="str">
        <x:v>33</x:v>
      </x:c>
      <x:c r="B292" s="6" t="str">
        <x:v>JAWA TENGAH</x:v>
      </x:c>
      <x:c r="C292" s="6" t="str">
        <x:v>2024</x:v>
      </x:c>
      <x:c r="D292" s="6" t="str">
        <x:v>3</x:v>
      </x:c>
      <x:c r="E292" s="6" t="str">
        <x:v>26.300374258456195</x:v>
      </x:c>
      <x:c r="F292" s="9" t="str">
        <x:v>grid_cells_within_BIG_polygon</x:v>
      </x:c>
      <x:c r="G292" s="6" t="str">
        <x:v>7</x:v>
      </x:c>
      <x:c r="H292" s="8" t="str">
        <x:v>87.47228759941959</x:v>
      </x:c>
      <x:c r="I292" s="6" t="str">
        <x:v>12.338773736562581</x:v>
      </x:c>
      <x:c r="J292" s="6" t="str">
        <x:v>31</x:v>
      </x:c>
      <x:c r="K292" s="6" t="str">
        <x:v>382.50198583344</x:v>
      </x:c>
      <x:c r="L292" s="6" t="str">
        <x:v>25.372054629829748</x:v>
      </x:c>
      <x:c r="M292" s="6" t="str">
        <x:v>0.3809586058057435</x:v>
      </x:c>
      <x:c r="N292" s="6" t="str">
        <x:v>87.50500885985467</x:v>
      </x:c>
      <x:c r="O292" s="6" t="str">
        <x:v>1.2313028725328639</x:v>
      </x:c>
      <x:c r="P292" s="6" t="str">
        <x:v>234.7079600893848</x:v>
      </x:c>
      <x:c r="Q292" s="6" t="str">
        <x:v>69.72888119114154</x:v>
      </x:c>
      <x:c r="R292" s="6" t="str">
        <x:v>0.928319628626447</x:v>
      </x:c>
      <x:c r="S292" s="8" t="str">
        <x:v>2.4367992072603584</x:v>
      </x:c>
      <x:c r="T292" s="6" t="str">
        <x:v>-0.032721260435081945</x:v>
      </x:c>
      <x:c r="U292" s="8" t="str">
        <x:v>-0.026574501826485915</x:v>
      </x:c>
      <x:c r="V292" s="6" t="str">
        <x:v>147.7940257440552</x:v>
      </x:c>
      <x:c r="W292" s="8" t="str">
        <x:v>2.1195525185456607</x:v>
      </x:c>
      <x:c r="X292" s="6" t="str">
        <x:v>2.821099106188402</x:v>
      </x:c>
      <x:c r="Y292" s="6" t="str">
        <x:v>2.046896356465896</x:v>
      </x:c>
      <x:c r="Z292" s="6" t="str">
        <x:v>2.4349315566382184</x:v>
      </x:c>
      <x:c r="AA292" s="6" t="str">
        <x:v>-1.3078372564832192</x:v>
      </x:c>
      <x:c r="AB292" s="6" t="str">
        <x:v>-0.5056075988508786</x:v>
      </x:c>
      <x:c r="AC292" s="6" t="str">
        <x:v>-0.6133397857201942</x:v>
      </x:c>
      <x:c r="AD292" s="6" t="str">
        <x:v>-0.42901256868332166</x:v>
      </x:c>
      <x:c r="AE292" s="6" t="str">
        <x:v>-0.12480639979587803</x:v>
      </x:c>
      <x:c r="AF292" s="6" t="str">
        <x:v>0.5219111833554874</x:v>
      </x:c>
      <x:c r="AG292" s="6" t="str">
        <x:v>1</x:v>
      </x:c>
      <x:c r="AH292" s="6" t="str">
        <x:v>1</x:v>
      </x:c>
      <x:c r="AI292" s="6" t="str">
        <x:v>2024-03</x:v>
      </x:c>
      <x:c r="AJ292" s="9" t="str">
        <x:v>NASA POWER (MERRA-2 meteorology)</x:v>
      </x:c>
      <x:c r="AK292" s="9" t="str">
        <x:v>Badan Informasi Geospasial (BIG)</x:v>
      </x:c>
      <x:c r="AL292" s="9" t="str">
        <x:v>https://power.larc.nasa.gov/docs/services/api/temporal/monthly/</x:v>
      </x:c>
      <x:c r="AM292" s="9" t="str">
        <x:v>https://geoservices.big.go.id/rbi/rest/services/BATASWILAYAH/BATAS_WILAYAH/MapServer/12</x:v>
      </x:c>
    </x:row>
    <x:row r="293" ht="18" customHeight="1">
      <x:c r="A293" s="6" t="str">
        <x:v>33</x:v>
      </x:c>
      <x:c r="B293" s="6" t="str">
        <x:v>JAWA TENGAH</x:v>
      </x:c>
      <x:c r="C293" s="6" t="str">
        <x:v>2024</x:v>
      </x:c>
      <x:c r="D293" s="6" t="str">
        <x:v>4</x:v>
      </x:c>
      <x:c r="E293" s="6" t="str">
        <x:v>26.63043769209284</x:v>
      </x:c>
      <x:c r="F293" s="9" t="str">
        <x:v>grid_cells_within_BIG_polygon</x:v>
      </x:c>
      <x:c r="G293" s="6" t="str">
        <x:v>7</x:v>
      </x:c>
      <x:c r="H293" s="8" t="str">
        <x:v>88.07732110628345</x:v>
      </x:c>
      <x:c r="I293" s="6" t="str">
        <x:v>8.971126355459706</x:v>
      </x:c>
      <x:c r="J293" s="6" t="str">
        <x:v>30</x:v>
      </x:c>
      <x:c r="K293" s="6" t="str">
        <x:v>269.13379066379116</x:v>
      </x:c>
      <x:c r="L293" s="6" t="str">
        <x:v>25.589026850386436</x:v>
      </x:c>
      <x:c r="M293" s="6" t="str">
        <x:v>0.38807533192212396</x:v>
      </x:c>
      <x:c r="N293" s="6" t="str">
        <x:v>86.970306765647</x:v>
      </x:c>
      <x:c r="O293" s="6" t="str">
        <x:v>0.8588360816157378</x:v>
      </x:c>
      <x:c r="P293" s="6" t="str">
        <x:v>192.42001590620538</x:v>
      </x:c>
      <x:c r="Q293" s="6" t="str">
        <x:v>53.87066761000839</x:v>
      </x:c>
      <x:c r="R293" s="6" t="str">
        <x:v>1.041410841706405</x:v>
      </x:c>
      <x:c r="S293" s="8" t="str">
        <x:v>2.6835275423159013</x:v>
      </x:c>
      <x:c r="T293" s="6" t="str">
        <x:v>1.1070143406364537</x:v>
      </x:c>
      <x:c r="U293" s="8" t="str">
        <x:v>1.2889704616902162</x:v>
      </x:c>
      <x:c r="V293" s="6" t="str">
        <x:v>76.71377475758578</x:v>
      </x:c>
      <x:c r="W293" s="8" t="str">
        <x:v>1.4240360879309666</x:v>
      </x:c>
      <x:c r="X293" s="6" t="str">
        <x:v>2.4367992072603584</x:v>
      </x:c>
      <x:c r="Y293" s="6" t="str">
        <x:v>2.821099106188402</x:v>
      </x:c>
      <x:c r="Z293" s="6" t="str">
        <x:v>2.647141951921553</x:v>
      </x:c>
      <x:c r="AA293" s="6" t="str">
        <x:v>-0.026574501826485915</x:v>
      </x:c>
      <x:c r="AB293" s="6" t="str">
        <x:v>-1.3078372564832192</x:v>
      </x:c>
      <x:c r="AC293" s="6" t="str">
        <x:v>-0.015147098873162568</x:v>
      </x:c>
      <x:c r="AD293" s="6" t="str">
        <x:v>2.1195525185456607</x:v>
      </x:c>
      <x:c r="AE293" s="6" t="str">
        <x:v>-0.42901256868332166</x:v>
      </x:c>
      <x:c r="AF293" s="6" t="str">
        <x:v>1.0381920125977688</x:v>
      </x:c>
      <x:c r="AG293" s="6" t="str">
        <x:v>1</x:v>
      </x:c>
      <x:c r="AH293" s="6" t="str">
        <x:v>1</x:v>
      </x:c>
      <x:c r="AI293" s="6" t="str">
        <x:v>2024-04</x:v>
      </x:c>
      <x:c r="AJ293" s="9" t="str">
        <x:v>NASA POWER (MERRA-2 meteorology)</x:v>
      </x:c>
      <x:c r="AK293" s="9" t="str">
        <x:v>Badan Informasi Geospasial (BIG)</x:v>
      </x:c>
      <x:c r="AL293" s="9" t="str">
        <x:v>https://power.larc.nasa.gov/docs/services/api/temporal/monthly/</x:v>
      </x:c>
      <x:c r="AM293" s="9" t="str">
        <x:v>https://geoservices.big.go.id/rbi/rest/services/BATASWILAYAH/BATAS_WILAYAH/MapServer/12</x:v>
      </x:c>
    </x:row>
    <x:row r="294" ht="18" customHeight="1">
      <x:c r="A294" s="6" t="str">
        <x:v>33</x:v>
      </x:c>
      <x:c r="B294" s="6" t="str">
        <x:v>JAWA TENGAH</x:v>
      </x:c>
      <x:c r="C294" s="6" t="str">
        <x:v>2024</x:v>
      </x:c>
      <x:c r="D294" s="6" t="str">
        <x:v>5</x:v>
      </x:c>
      <x:c r="E294" s="6" t="str">
        <x:v>26.273446849129225</x:v>
      </x:c>
      <x:c r="F294" s="9" t="str">
        <x:v>grid_cells_within_BIG_polygon</x:v>
      </x:c>
      <x:c r="G294" s="6" t="str">
        <x:v>7</x:v>
      </x:c>
      <x:c r="H294" s="8" t="str">
        <x:v>85.72258297423926</x:v>
      </x:c>
      <x:c r="I294" s="6" t="str">
        <x:v>1.7243147125196086</x:v>
      </x:c>
      <x:c r="J294" s="6" t="str">
        <x:v>31</x:v>
      </x:c>
      <x:c r="K294" s="6" t="str">
        <x:v>53.453756088107866</x:v>
      </x:c>
      <x:c r="L294" s="6" t="str">
        <x:v>25.392865713742506</x:v>
      </x:c>
      <x:c r="M294" s="6" t="str">
        <x:v>0.43821924952905394</x:v>
      </x:c>
      <x:c r="N294" s="6" t="str">
        <x:v>85.82255379157998</x:v>
      </x:c>
      <x:c r="O294" s="6" t="str">
        <x:v>1.389825531654564</x:v>
      </x:c>
      <x:c r="P294" s="6" t="str">
        <x:v>141.2529513559645</x:v>
      </x:c>
      <x:c r="Q294" s="6" t="str">
        <x:v>72.27309906898097</x:v>
      </x:c>
      <x:c r="R294" s="6" t="str">
        <x:v>0.8805811353867199</x:v>
      </x:c>
      <x:c r="S294" s="8" t="str">
        <x:v>2.0094533417531615</x:v>
      </x:c>
      <x:c r="T294" s="6" t="str">
        <x:v>-0.09997081734071855</x:v>
      </x:c>
      <x:c r="U294" s="8" t="str">
        <x:v>-0.07193047980756619</x:v>
      </x:c>
      <x:c r="V294" s="6" t="str">
        <x:v>-87.79919526785665</x:v>
      </x:c>
      <x:c r="W294" s="8" t="str">
        <x:v>-1.2148253831492242</x:v>
      </x:c>
      <x:c r="X294" s="6" t="str">
        <x:v>2.6835275423159013</x:v>
      </x:c>
      <x:c r="Y294" s="6" t="str">
        <x:v>2.4367992072603584</x:v>
      </x:c>
      <x:c r="Z294" s="6" t="str">
        <x:v>2.376593363776473</x:v>
      </x:c>
      <x:c r="AA294" s="6" t="str">
        <x:v>1.2889704616902162</x:v>
      </x:c>
      <x:c r="AB294" s="6" t="str">
        <x:v>-0.026574501826485915</x:v>
      </x:c>
      <x:c r="AC294" s="6" t="str">
        <x:v>0.39682182668538846</x:v>
      </x:c>
      <x:c r="AD294" s="6" t="str">
        <x:v>1.4240360879309666</x:v>
      </x:c>
      <x:c r="AE294" s="6" t="str">
        <x:v>2.1195525185456607</x:v>
      </x:c>
      <x:c r="AF294" s="6" t="str">
        <x:v>0.7762544077758013</x:v>
      </x:c>
      <x:c r="AG294" s="6" t="str">
        <x:v>0</x:v>
      </x:c>
      <x:c r="AH294" s="6" t="str">
        <x:v>1</x:v>
      </x:c>
      <x:c r="AI294" s="6" t="str">
        <x:v>2024-05</x:v>
      </x:c>
      <x:c r="AJ294" s="9" t="str">
        <x:v>NASA POWER (MERRA-2 meteorology)</x:v>
      </x:c>
      <x:c r="AK294" s="9" t="str">
        <x:v>Badan Informasi Geospasial (BIG)</x:v>
      </x:c>
      <x:c r="AL294" s="9" t="str">
        <x:v>https://power.larc.nasa.gov/docs/services/api/temporal/monthly/</x:v>
      </x:c>
      <x:c r="AM294" s="9" t="str">
        <x:v>https://geoservices.big.go.id/rbi/rest/services/BATASWILAYAH/BATAS_WILAYAH/MapServer/12</x:v>
      </x:c>
    </x:row>
    <x:row r="295" ht="18" customHeight="1">
      <x:c r="A295" s="6" t="str">
        <x:v>33</x:v>
      </x:c>
      <x:c r="B295" s="6" t="str">
        <x:v>JAWA TENGAH</x:v>
      </x:c>
      <x:c r="C295" s="6" t="str">
        <x:v>2024</x:v>
      </x:c>
      <x:c r="D295" s="6" t="str">
        <x:v>6</x:v>
      </x:c>
      <x:c r="E295" s="6" t="str">
        <x:v>25.793373900447083</x:v>
      </x:c>
      <x:c r="F295" s="9" t="str">
        <x:v>grid_cells_within_BIG_polygon</x:v>
      </x:c>
      <x:c r="G295" s="6" t="str">
        <x:v>7</x:v>
      </x:c>
      <x:c r="H295" s="8" t="str">
        <x:v>85.68702138235031</x:v>
      </x:c>
      <x:c r="I295" s="6" t="str">
        <x:v>5.805298342296869</x:v>
      </x:c>
      <x:c r="J295" s="6" t="str">
        <x:v>30</x:v>
      </x:c>
      <x:c r="K295" s="6" t="str">
        <x:v>174.15895026890607</x:v>
      </x:c>
      <x:c r="L295" s="6" t="str">
        <x:v>24.8200287125546</x:v>
      </x:c>
      <x:c r="M295" s="6" t="str">
        <x:v>0.4900232341076813</x:v>
      </x:c>
      <x:c r="N295" s="6" t="str">
        <x:v>84.47053235868675</x:v>
      </x:c>
      <x:c r="O295" s="6" t="str">
        <x:v>2.4449481200195757</x:v>
      </x:c>
      <x:c r="P295" s="6" t="str">
        <x:v>95.46169096262207</x:v>
      </x:c>
      <x:c r="Q295" s="6" t="str">
        <x:v>72.56767593855595</x:v>
      </x:c>
      <x:c r="R295" s="6" t="str">
        <x:v>0.9733451878924839</x:v>
      </x:c>
      <x:c r="S295" s="8" t="str">
        <x:v>1.986324566150253</x:v>
      </x:c>
      <x:c r="T295" s="6" t="str">
        <x:v>1.2164890236635557</x:v>
      </x:c>
      <x:c r="U295" s="8" t="str">
        <x:v>0.497552080431799</x:v>
      </x:c>
      <x:c r="V295" s="6" t="str">
        <x:v>78.697259306284</x:v>
      </x:c>
      <x:c r="W295" s="8" t="str">
        <x:v>1.0844671306949123</x:v>
      </x:c>
      <x:c r="X295" s="6" t="str">
        <x:v>2.0094533417531615</x:v>
      </x:c>
      <x:c r="Y295" s="6" t="str">
        <x:v>2.6835275423159013</x:v>
      </x:c>
      <x:c r="Z295" s="6" t="str">
        <x:v>2.2264351500731046</x:v>
      </x:c>
      <x:c r="AA295" s="6" t="str">
        <x:v>-0.07193047980756619</x:v>
      </x:c>
      <x:c r="AB295" s="6" t="str">
        <x:v>1.2889704616902162</x:v>
      </x:c>
      <x:c r="AC295" s="6" t="str">
        <x:v>0.5715306874381502</x:v>
      </x:c>
      <x:c r="AD295" s="6" t="str">
        <x:v>-1.2148253831492242</x:v>
      </x:c>
      <x:c r="AE295" s="6" t="str">
        <x:v>1.4240360879309666</x:v>
      </x:c>
      <x:c r="AF295" s="6" t="str">
        <x:v>0.4312259451588853</x:v>
      </x:c>
      <x:c r="AG295" s="6" t="str">
        <x:v>1</x:v>
      </x:c>
      <x:c r="AH295" s="6" t="str">
        <x:v>1</x:v>
      </x:c>
      <x:c r="AI295" s="6" t="str">
        <x:v>2024-06</x:v>
      </x:c>
      <x:c r="AJ295" s="9" t="str">
        <x:v>NASA POWER (MERRA-2 meteorology)</x:v>
      </x:c>
      <x:c r="AK295" s="9" t="str">
        <x:v>Badan Informasi Geospasial (BIG)</x:v>
      </x:c>
      <x:c r="AL295" s="9" t="str">
        <x:v>https://power.larc.nasa.gov/docs/services/api/temporal/monthly/</x:v>
      </x:c>
      <x:c r="AM295" s="9" t="str">
        <x:v>https://geoservices.big.go.id/rbi/rest/services/BATASWILAYAH/BATAS_WILAYAH/MapServer/12</x:v>
      </x:c>
    </x:row>
    <x:row r="296" ht="18" customHeight="1">
      <x:c r="A296" s="6" t="str">
        <x:v>33</x:v>
      </x:c>
      <x:c r="B296" s="6" t="str">
        <x:v>JAWA TENGAH</x:v>
      </x:c>
      <x:c r="C296" s="6" t="str">
        <x:v>2024</x:v>
      </x:c>
      <x:c r="D296" s="6" t="str">
        <x:v>7</x:v>
      </x:c>
      <x:c r="E296" s="6" t="str">
        <x:v>24.970675568230256</x:v>
      </x:c>
      <x:c r="F296" s="9" t="str">
        <x:v>grid_cells_within_BIG_polygon</x:v>
      </x:c>
      <x:c r="G296" s="6" t="str">
        <x:v>7</x:v>
      </x:c>
      <x:c r="H296" s="8" t="str">
        <x:v>82.01494986570462</x:v>
      </x:c>
      <x:c r="I296" s="6" t="str">
        <x:v>1.5440815939049441</x:v>
      </x:c>
      <x:c r="J296" s="6" t="str">
        <x:v>31</x:v>
      </x:c>
      <x:c r="K296" s="6" t="str">
        <x:v>47.86652941105327</x:v>
      </x:c>
      <x:c r="L296" s="6" t="str">
        <x:v>24.464724742912292</x:v>
      </x:c>
      <x:c r="M296" s="6" t="str">
        <x:v>0.4882763909436186</x:v>
      </x:c>
      <x:c r="N296" s="6" t="str">
        <x:v>80.71770419012621</x:v>
      </x:c>
      <x:c r="O296" s="6" t="str">
        <x:v>4.099749607629604</x:v>
      </x:c>
      <x:c r="P296" s="6" t="str">
        <x:v>54.30622151373796</x:v>
      </x:c>
      <x:c r="Q296" s="6" t="str">
        <x:v>63.66905265426834</x:v>
      </x:c>
      <x:c r="R296" s="6" t="str">
        <x:v>0.5059508253179636</x:v>
      </x:c>
      <x:c r="S296" s="8" t="str">
        <x:v>1.036197601813572</x:v>
      </x:c>
      <x:c r="T296" s="6" t="str">
        <x:v>1.2972456755784094</x:v>
      </x:c>
      <x:c r="U296" s="8" t="str">
        <x:v>0.31642070851455045</x:v>
      </x:c>
      <x:c r="V296" s="6" t="str">
        <x:v>-6.439692102684688</x:v>
      </x:c>
      <x:c r="W296" s="8" t="str">
        <x:v>-0.10114320590967635</x:v>
      </x:c>
      <x:c r="X296" s="6" t="str">
        <x:v>1.986324566150253</x:v>
      </x:c>
      <x:c r="Y296" s="6" t="str">
        <x:v>2.0094533417531615</x:v>
      </x:c>
      <x:c r="Z296" s="6" t="str">
        <x:v>1.6773251699056615</x:v>
      </x:c>
      <x:c r="AA296" s="6" t="str">
        <x:v>0.497552080431799</x:v>
      </x:c>
      <x:c r="AB296" s="6" t="str">
        <x:v>-0.07193047980756619</x:v>
      </x:c>
      <x:c r="AC296" s="6" t="str">
        <x:v>0.2473474363795949</x:v>
      </x:c>
      <x:c r="AD296" s="6" t="str">
        <x:v>1.0844671306949123</x:v>
      </x:c>
      <x:c r="AE296" s="6" t="str">
        <x:v>-1.2148253831492242</x:v>
      </x:c>
      <x:c r="AF296" s="6" t="str">
        <x:v>-0.0771671527879957</x:v>
      </x:c>
      <x:c r="AG296" s="6" t="str">
        <x:v>0</x:v>
      </x:c>
      <x:c r="AH296" s="6" t="str">
        <x:v>1</x:v>
      </x:c>
      <x:c r="AI296" s="6" t="str">
        <x:v>2024-07</x:v>
      </x:c>
      <x:c r="AJ296" s="9" t="str">
        <x:v>NASA POWER (MERRA-2 meteorology)</x:v>
      </x:c>
      <x:c r="AK296" s="9" t="str">
        <x:v>Badan Informasi Geospasial (BIG)</x:v>
      </x:c>
      <x:c r="AL296" s="9" t="str">
        <x:v>https://power.larc.nasa.gov/docs/services/api/temporal/monthly/</x:v>
      </x:c>
      <x:c r="AM296" s="9" t="str">
        <x:v>https://geoservices.big.go.id/rbi/rest/services/BATASWILAYAH/BATAS_WILAYAH/MapServer/12</x:v>
      </x:c>
    </x:row>
    <x:row r="297" ht="18" customHeight="1">
      <x:c r="A297" s="6" t="str">
        <x:v>33</x:v>
      </x:c>
      <x:c r="B297" s="6" t="str">
        <x:v>JAWA TENGAH</x:v>
      </x:c>
      <x:c r="C297" s="6" t="str">
        <x:v>2024</x:v>
      </x:c>
      <x:c r="D297" s="6" t="str">
        <x:v>8</x:v>
      </x:c>
      <x:c r="E297" s="6" t="str">
        <x:v>25.465183753341623</x:v>
      </x:c>
      <x:c r="F297" s="9" t="str">
        <x:v>grid_cells_within_BIG_polygon</x:v>
      </x:c>
      <x:c r="G297" s="6" t="str">
        <x:v>7</x:v>
      </x:c>
      <x:c r="H297" s="8" t="str">
        <x:v>76.4311493740511</x:v>
      </x:c>
      <x:c r="I297" s="6" t="str">
        <x:v>0.9142512788829651</x:v>
      </x:c>
      <x:c r="J297" s="6" t="str">
        <x:v>31</x:v>
      </x:c>
      <x:c r="K297" s="6" t="str">
        <x:v>28.341789645371918</x:v>
      </x:c>
      <x:c r="L297" s="6" t="str">
        <x:v>24.94855746073652</x:v>
      </x:c>
      <x:c r="M297" s="6" t="str">
        <x:v>0.4334777008469516</x:v>
      </x:c>
      <x:c r="N297" s="6" t="str">
        <x:v>75.0955906999644</x:v>
      </x:c>
      <x:c r="O297" s="6" t="str">
        <x:v>4.997786815501817</x:v>
      </x:c>
      <x:c r="P297" s="6" t="str">
        <x:v>35.90828951039471</x:v>
      </x:c>
      <x:c r="Q297" s="6" t="str">
        <x:v>44.38823929670012</x:v>
      </x:c>
      <x:c r="R297" s="6" t="str">
        <x:v>0.5166262926051033</x:v>
      </x:c>
      <x:c r="S297" s="8" t="str">
        <x:v>1.191817460496103</x:v>
      </x:c>
      <x:c r="T297" s="6" t="str">
        <x:v>1.3355586740866983</x:v>
      </x:c>
      <x:c r="U297" s="8" t="str">
        <x:v>0.2672300206851856</x:v>
      </x:c>
      <x:c r="V297" s="6" t="str">
        <x:v>-7.5664998650227915</x:v>
      </x:c>
      <x:c r="W297" s="8" t="str">
        <x:v>-0.17046181567254223</x:v>
      </x:c>
      <x:c r="X297" s="6" t="str">
        <x:v>1.036197601813572</x:v>
      </x:c>
      <x:c r="Y297" s="6" t="str">
        <x:v>1.986324566150253</x:v>
      </x:c>
      <x:c r="Z297" s="6" t="str">
        <x:v>1.4047798761533088</x:v>
      </x:c>
      <x:c r="AA297" s="6" t="str">
        <x:v>0.31642070851455045</x:v>
      </x:c>
      <x:c r="AB297" s="6" t="str">
        <x:v>0.497552080431799</x:v>
      </x:c>
      <x:c r="AC297" s="6" t="str">
        <x:v>0.3604009365438454</x:v>
      </x:c>
      <x:c r="AD297" s="6" t="str">
        <x:v>-0.10114320590967635</x:v>
      </x:c>
      <x:c r="AE297" s="6" t="str">
        <x:v>1.0844671306949123</x:v>
      </x:c>
      <x:c r="AF297" s="6" t="str">
        <x:v>0.27095403637089827</x:v>
      </x:c>
      <x:c r="AG297" s="6" t="str">
        <x:v>0</x:v>
      </x:c>
      <x:c r="AH297" s="6" t="str">
        <x:v>1</x:v>
      </x:c>
      <x:c r="AI297" s="6" t="str">
        <x:v>2024-08</x:v>
      </x:c>
      <x:c r="AJ297" s="9" t="str">
        <x:v>NASA POWER (MERRA-2 meteorology)</x:v>
      </x:c>
      <x:c r="AK297" s="9" t="str">
        <x:v>Badan Informasi Geospasial (BIG)</x:v>
      </x:c>
      <x:c r="AL297" s="9" t="str">
        <x:v>https://power.larc.nasa.gov/docs/services/api/temporal/monthly/</x:v>
      </x:c>
      <x:c r="AM297" s="9" t="str">
        <x:v>https://geoservices.big.go.id/rbi/rest/services/BATASWILAYAH/BATAS_WILAYAH/MapServer/12</x:v>
      </x:c>
    </x:row>
    <x:row r="298" ht="18" customHeight="1">
      <x:c r="A298" s="6" t="str">
        <x:v>33</x:v>
      </x:c>
      <x:c r="B298" s="6" t="str">
        <x:v>JAWA TENGAH</x:v>
      </x:c>
      <x:c r="C298" s="6" t="str">
        <x:v>2024</x:v>
      </x:c>
      <x:c r="D298" s="6" t="str">
        <x:v>9</x:v>
      </x:c>
      <x:c r="E298" s="6" t="str">
        <x:v>26.33648930882485</x:v>
      </x:c>
      <x:c r="F298" s="9" t="str">
        <x:v>grid_cells_within_BIG_polygon</x:v>
      </x:c>
      <x:c r="G298" s="6" t="str">
        <x:v>7</x:v>
      </x:c>
      <x:c r="H298" s="8" t="str">
        <x:v>77.65310353846903</x:v>
      </x:c>
      <x:c r="I298" s="6" t="str">
        <x:v>6.495207949364651</x:v>
      </x:c>
      <x:c r="J298" s="6" t="str">
        <x:v>30</x:v>
      </x:c>
      <x:c r="K298" s="6" t="str">
        <x:v>194.8562384809395</x:v>
      </x:c>
      <x:c r="L298" s="6" t="str">
        <x:v>26.0644969072476</x:v>
      </x:c>
      <x:c r="M298" s="6" t="str">
        <x:v>0.4989728579522591</x:v>
      </x:c>
      <x:c r="N298" s="6" t="str">
        <x:v>71.21300690948907</x:v>
      </x:c>
      <x:c r="O298" s="6" t="str">
        <x:v>6.23186896892333</x:v>
      </x:c>
      <x:c r="P298" s="6" t="str">
        <x:v>62.867130036351185</x:v>
      </x:c>
      <x:c r="Q298" s="6" t="str">
        <x:v>89.30239908106603</x:v>
      </x:c>
      <x:c r="R298" s="6" t="str">
        <x:v>0.271992401577247</x:v>
      </x:c>
      <x:c r="S298" s="8" t="str">
        <x:v>0.545104602870545</x:v>
      </x:c>
      <x:c r="T298" s="6" t="str">
        <x:v>6.440096628979958</x:v>
      </x:c>
      <x:c r="U298" s="8" t="str">
        <x:v>1.0334133565861228</x:v>
      </x:c>
      <x:c r="V298" s="6" t="str">
        <x:v>131.98910844458834</x:v>
      </x:c>
      <x:c r="W298" s="8" t="str">
        <x:v>1.4780018208108003</x:v>
      </x:c>
      <x:c r="X298" s="6" t="str">
        <x:v>1.191817460496103</x:v>
      </x:c>
      <x:c r="Y298" s="6" t="str">
        <x:v>1.036197601813572</x:v>
      </x:c>
      <x:c r="Z298" s="6" t="str">
        <x:v>0.9243732217267393</x:v>
      </x:c>
      <x:c r="AA298" s="6" t="str">
        <x:v>0.2672300206851856</x:v>
      </x:c>
      <x:c r="AB298" s="6" t="str">
        <x:v>0.31642070851455045</x:v>
      </x:c>
      <x:c r="AC298" s="6" t="str">
        <x:v>0.53902136192862</x:v>
      </x:c>
      <x:c r="AD298" s="6" t="str">
        <x:v>-0.17046181567254223</x:v>
      </x:c>
      <x:c r="AE298" s="6" t="str">
        <x:v>-0.10114320590967635</x:v>
      </x:c>
      <x:c r="AF298" s="6" t="str">
        <x:v>0.40213226640952754</x:v>
      </x:c>
      <x:c r="AG298" s="6" t="str">
        <x:v>1</x:v>
      </x:c>
      <x:c r="AH298" s="6" t="str">
        <x:v>0</x:v>
      </x:c>
      <x:c r="AI298" s="6" t="str">
        <x:v>2024-09</x:v>
      </x:c>
      <x:c r="AJ298" s="9" t="str">
        <x:v>NASA POWER (MERRA-2 meteorology)</x:v>
      </x:c>
      <x:c r="AK298" s="9" t="str">
        <x:v>Badan Informasi Geospasial (BIG)</x:v>
      </x:c>
      <x:c r="AL298" s="9" t="str">
        <x:v>https://power.larc.nasa.gov/docs/services/api/temporal/monthly/</x:v>
      </x:c>
      <x:c r="AM298" s="9" t="str">
        <x:v>https://geoservices.big.go.id/rbi/rest/services/BATASWILAYAH/BATAS_WILAYAH/MapServer/12</x:v>
      </x:c>
    </x:row>
    <x:row r="299" ht="18" customHeight="1">
      <x:c r="A299" s="6" t="str">
        <x:v>33</x:v>
      </x:c>
      <x:c r="B299" s="6" t="str">
        <x:v>JAWA TENGAH</x:v>
      </x:c>
      <x:c r="C299" s="6" t="str">
        <x:v>2024</x:v>
      </x:c>
      <x:c r="D299" s="6" t="str">
        <x:v>10</x:v>
      </x:c>
      <x:c r="E299" s="6" t="str">
        <x:v>27.186456006165606</x:v>
      </x:c>
      <x:c r="F299" s="9" t="str">
        <x:v>grid_cells_within_BIG_polygon</x:v>
      </x:c>
      <x:c r="G299" s="6" t="str">
        <x:v>7</x:v>
      </x:c>
      <x:c r="H299" s="8" t="str">
        <x:v>76.64321930485589</x:v>
      </x:c>
      <x:c r="I299" s="6" t="str">
        <x:v>4.455483885684049</x:v>
      </x:c>
      <x:c r="J299" s="6" t="str">
        <x:v>31</x:v>
      </x:c>
      <x:c r="K299" s="6" t="str">
        <x:v>138.1200004562055</x:v>
      </x:c>
      <x:c r="L299" s="6" t="str">
        <x:v>26.606757939848805</x:v>
      </x:c>
      <x:c r="M299" s="6" t="str">
        <x:v>0.8012067397186616</x:v>
      </x:c>
      <x:c r="N299" s="6" t="str">
        <x:v>73.8146337667691</x:v>
      </x:c>
      <x:c r="O299" s="6" t="str">
        <x:v>7.934129838753081</x:v>
      </x:c>
      <x:c r="P299" s="6" t="str">
        <x:v>142.41205004306576</x:v>
      </x:c>
      <x:c r="Q299" s="6" t="str">
        <x:v>105.49263746700701</x:v>
      </x:c>
      <x:c r="R299" s="6" t="str">
        <x:v>0.5796980663168014</x:v>
      </x:c>
      <x:c r="S299" s="8" t="str">
        <x:v>0.7235311906142459</x:v>
      </x:c>
      <x:c r="T299" s="6" t="str">
        <x:v>2.8285855380867844</x:v>
      </x:c>
      <x:c r="U299" s="8" t="str">
        <x:v>0.356508602149536</x:v>
      </x:c>
      <x:c r="V299" s="6" t="str">
        <x:v>-4.292049586860259</x:v>
      </x:c>
      <x:c r="W299" s="8" t="str">
        <x:v>-0.04068577381243884</x:v>
      </x:c>
      <x:c r="X299" s="6" t="str">
        <x:v>0.545104602870545</x:v>
      </x:c>
      <x:c r="Y299" s="6" t="str">
        <x:v>1.191817460496103</x:v>
      </x:c>
      <x:c r="Z299" s="6" t="str">
        <x:v>0.8201510846602974</x:v>
      </x:c>
      <x:c r="AA299" s="6" t="str">
        <x:v>1.0334133565861228</x:v>
      </x:c>
      <x:c r="AB299" s="6" t="str">
        <x:v>0.2672300206851856</x:v>
      </x:c>
      <x:c r="AC299" s="6" t="str">
        <x:v>0.5523839931402819</x:v>
      </x:c>
      <x:c r="AD299" s="6" t="str">
        <x:v>1.4780018208108003</x:v>
      </x:c>
      <x:c r="AE299" s="6" t="str">
        <x:v>-0.17046181567254223</x:v>
      </x:c>
      <x:c r="AF299" s="6" t="str">
        <x:v>0.4222847437752735</x:v>
      </x:c>
      <x:c r="AG299" s="6" t="str">
        <x:v>0</x:v>
      </x:c>
      <x:c r="AH299" s="6" t="str">
        <x:v>0</x:v>
      </x:c>
      <x:c r="AI299" s="6" t="str">
        <x:v>2024-10</x:v>
      </x:c>
      <x:c r="AJ299" s="9" t="str">
        <x:v>NASA POWER (MERRA-2 meteorology)</x:v>
      </x:c>
      <x:c r="AK299" s="9" t="str">
        <x:v>Badan Informasi Geospasial (BIG)</x:v>
      </x:c>
      <x:c r="AL299" s="9" t="str">
        <x:v>https://power.larc.nasa.gov/docs/services/api/temporal/monthly/</x:v>
      </x:c>
      <x:c r="AM299" s="9" t="str">
        <x:v>https://geoservices.big.go.id/rbi/rest/services/BATASWILAYAH/BATAS_WILAYAH/MapServer/12</x:v>
      </x:c>
    </x:row>
    <x:row r="300" ht="18" customHeight="1">
      <x:c r="A300" s="6" t="str">
        <x:v>33</x:v>
      </x:c>
      <x:c r="B300" s="6" t="str">
        <x:v>JAWA TENGAH</x:v>
      </x:c>
      <x:c r="C300" s="6" t="str">
        <x:v>2024</x:v>
      </x:c>
      <x:c r="D300" s="6" t="str">
        <x:v>11</x:v>
      </x:c>
      <x:c r="E300" s="6" t="str">
        <x:v>26.563353284515177</x:v>
      </x:c>
      <x:c r="F300" s="9" t="str">
        <x:v>grid_cells_within_BIG_polygon</x:v>
      </x:c>
      <x:c r="G300" s="6" t="str">
        <x:v>7</x:v>
      </x:c>
      <x:c r="H300" s="8" t="str">
        <x:v>84.28272252823987</x:v>
      </x:c>
      <x:c r="I300" s="6" t="str">
        <x:v>10.067885665649575</x:v>
      </x:c>
      <x:c r="J300" s="6" t="str">
        <x:v>30</x:v>
      </x:c>
      <x:c r="K300" s="6" t="str">
        <x:v>302.03656996948723</x:v>
      </x:c>
      <x:c r="L300" s="6" t="str">
        <x:v>26.15408671508441</x:v>
      </x:c>
      <x:c r="M300" s="6" t="str">
        <x:v>0.780572356431426</x:v>
      </x:c>
      <x:c r="N300" s="6" t="str">
        <x:v>81.12786778084055</x:v>
      </x:c>
      <x:c r="O300" s="6" t="str">
        <x:v>5.245634775672941</x:v>
      </x:c>
      <x:c r="P300" s="6" t="str">
        <x:v>232.8496016889095</x:v>
      </x:c>
      <x:c r="Q300" s="6" t="str">
        <x:v>72.49816109579973</x:v>
      </x:c>
      <x:c r="R300" s="6" t="str">
        <x:v>0.4092665694307662</x:v>
      </x:c>
      <x:c r="S300" s="8" t="str">
        <x:v>0.5243159920520715</x:v>
      </x:c>
      <x:c r="T300" s="6" t="str">
        <x:v>3.1548547473993267</x:v>
      </x:c>
      <x:c r="U300" s="8" t="str">
        <x:v>0.6014247812352898</x:v>
      </x:c>
      <x:c r="V300" s="6" t="str">
        <x:v>69.18696828057773</x:v>
      </x:c>
      <x:c r="W300" s="8" t="str">
        <x:v>0.954327216509029</x:v>
      </x:c>
      <x:c r="X300" s="6" t="str">
        <x:v>0.7235311906142459</x:v>
      </x:c>
      <x:c r="Y300" s="6" t="str">
        <x:v>0.545104602870545</x:v>
      </x:c>
      <x:c r="Z300" s="6" t="str">
        <x:v>0.5976505951789535</x:v>
      </x:c>
      <x:c r="AA300" s="6" t="str">
        <x:v>0.356508602149536</x:v>
      </x:c>
      <x:c r="AB300" s="6" t="str">
        <x:v>1.0334133565861228</x:v>
      </x:c>
      <x:c r="AC300" s="6" t="str">
        <x:v>0.6637822466569833</x:v>
      </x:c>
      <x:c r="AD300" s="6" t="str">
        <x:v>-0.04068577381243884</x:v>
      </x:c>
      <x:c r="AE300" s="6" t="str">
        <x:v>1.4780018208108003</x:v>
      </x:c>
      <x:c r="AF300" s="6" t="str">
        <x:v>0.7972144211691305</x:v>
      </x:c>
      <x:c r="AG300" s="6" t="str">
        <x:v>0</x:v>
      </x:c>
      <x:c r="AH300" s="6" t="str">
        <x:v>0</x:v>
      </x:c>
      <x:c r="AI300" s="6" t="str">
        <x:v>2024-11</x:v>
      </x:c>
      <x:c r="AJ300" s="9" t="str">
        <x:v>NASA POWER (MERRA-2 meteorology)</x:v>
      </x:c>
      <x:c r="AK300" s="9" t="str">
        <x:v>Badan Informasi Geospasial (BIG)</x:v>
      </x:c>
      <x:c r="AL300" s="9" t="str">
        <x:v>https://power.larc.nasa.gov/docs/services/api/temporal/monthly/</x:v>
      </x:c>
      <x:c r="AM300" s="9" t="str">
        <x:v>https://geoservices.big.go.id/rbi/rest/services/BATASWILAYAH/BATAS_WILAYAH/MapServer/12</x:v>
      </x:c>
    </x:row>
    <x:row r="301" ht="18" customHeight="1">
      <x:c r="A301" s="6" t="str">
        <x:v>33</x:v>
      </x:c>
      <x:c r="B301" s="6" t="str">
        <x:v>JAWA TENGAH</x:v>
      </x:c>
      <x:c r="C301" s="6" t="str">
        <x:v>2024</x:v>
      </x:c>
      <x:c r="D301" s="6" t="str">
        <x:v>12</x:v>
      </x:c>
      <x:c r="E301" s="6" t="str">
        <x:v>25.800356814206125</x:v>
      </x:c>
      <x:c r="F301" s="9" t="str">
        <x:v>grid_cells_within_BIG_polygon</x:v>
      </x:c>
      <x:c r="G301" s="6" t="str">
        <x:v>7</x:v>
      </x:c>
      <x:c r="H301" s="8" t="str">
        <x:v>87.82644055616574</x:v>
      </x:c>
      <x:c r="I301" s="6" t="str">
        <x:v>9.924133926655177</x:v>
      </x:c>
      <x:c r="J301" s="6" t="str">
        <x:v>31</x:v>
      </x:c>
      <x:c r="K301" s="6" t="str">
        <x:v>307.64815172631046</x:v>
      </x:c>
      <x:c r="L301" s="6" t="str">
        <x:v>25.446949116954258</x:v>
      </x:c>
      <x:c r="M301" s="6" t="str">
        <x:v>0.4910289885737732</x:v>
      </x:c>
      <x:c r="N301" s="6" t="str">
        <x:v>85.5979580224295</x:v>
      </x:c>
      <x:c r="O301" s="6" t="str">
        <x:v>2.1760663554467414</x:v>
      </x:c>
      <x:c r="P301" s="6" t="str">
        <x:v>286.63262457744037</x:v>
      </x:c>
      <x:c r="Q301" s="6" t="str">
        <x:v>71.5718847839245</x:v>
      </x:c>
      <x:c r="R301" s="6" t="str">
        <x:v>0.3534076972518676</x:v>
      </x:c>
      <x:c r="S301" s="8" t="str">
        <x:v>0.719728784808335</x:v>
      </x:c>
      <x:c r="T301" s="6" t="str">
        <x:v>2.2284825337362406</x:v>
      </x:c>
      <x:c r="U301" s="8" t="str">
        <x:v>1.0240875826963183</x:v>
      </x:c>
      <x:c r="V301" s="6" t="str">
        <x:v>21.015527148870092</x:v>
      </x:c>
      <x:c r="W301" s="8" t="str">
        <x:v>0.29362824819153444</x:v>
      </x:c>
      <x:c r="X301" s="6" t="str">
        <x:v>0.5243159920520715</x:v>
      </x:c>
      <x:c r="Y301" s="6" t="str">
        <x:v>0.7235311906142459</x:v>
      </x:c>
      <x:c r="Z301" s="6" t="str">
        <x:v>0.6558586558248836</x:v>
      </x:c>
      <x:c r="AA301" s="6" t="str">
        <x:v>0.6014247812352898</x:v>
      </x:c>
      <x:c r="AB301" s="6" t="str">
        <x:v>0.356508602149536</x:v>
      </x:c>
      <x:c r="AC301" s="6" t="str">
        <x:v>0.6606736553603817</x:v>
      </x:c>
      <x:c r="AD301" s="6" t="str">
        <x:v>0.954327216509029</x:v>
      </x:c>
      <x:c r="AE301" s="6" t="str">
        <x:v>-0.04068577381243884</x:v>
      </x:c>
      <x:c r="AF301" s="6" t="str">
        <x:v>0.4024232302960418</x:v>
      </x:c>
      <x:c r="AG301" s="6" t="str">
        <x:v>0</x:v>
      </x:c>
      <x:c r="AH301" s="6" t="str">
        <x:v>0</x:v>
      </x:c>
      <x:c r="AI301" s="6" t="str">
        <x:v>2024-12</x:v>
      </x:c>
      <x:c r="AJ301" s="9" t="str">
        <x:v>NASA POWER (MERRA-2 meteorology)</x:v>
      </x:c>
      <x:c r="AK301" s="9" t="str">
        <x:v>Badan Informasi Geospasial (BIG)</x:v>
      </x:c>
      <x:c r="AL301" s="9" t="str">
        <x:v>https://power.larc.nasa.gov/docs/services/api/temporal/monthly/</x:v>
      </x:c>
      <x:c r="AM301" s="9" t="str">
        <x:v>https://geoservices.big.go.id/rbi/rest/services/BATASWILAYAH/BATAS_WILAYAH/MapServer/12</x:v>
      </x:c>
    </x:row>
    <x:row r="302" ht="18" customHeight="1">
      <x:c r="A302" s="6" t="str">
        <x:v>33</x:v>
      </x:c>
      <x:c r="B302" s="6" t="str">
        <x:v>JAWA TENGAH</x:v>
      </x:c>
      <x:c r="C302" s="6" t="str">
        <x:v>2025</x:v>
      </x:c>
      <x:c r="D302" s="6" t="str">
        <x:v>1</x:v>
      </x:c>
      <x:c r="E302" s="6" t="str">
        <x:v>25.506034172481932</x:v>
      </x:c>
      <x:c r="F302" s="9" t="str">
        <x:v>grid_cells_within_BIG_polygon</x:v>
      </x:c>
      <x:c r="G302" s="6" t="str">
        <x:v>7</x:v>
      </x:c>
      <x:c r="H302" s="8" t="str">
        <x:v>88.25235420473804</x:v>
      </x:c>
      <x:c r="I302" s="6" t="str">
        <x:v>11.251681399780336</x:v>
      </x:c>
      <x:c r="J302" s="6" t="str">
        <x:v>31</x:v>
      </x:c>
      <x:c r="K302" s="6" t="str">
        <x:v>348.8021233931904</x:v>
      </x:c>
      <x:c r="L302" s="6" t="str">
        <x:v>25.143467916772536</x:v>
      </x:c>
      <x:c r="M302" s="6" t="str">
        <x:v>0.5240126374647284</x:v>
      </x:c>
      <x:c r="N302" s="6" t="str">
        <x:v>87.623949031218</x:v>
      </x:c>
      <x:c r="O302" s="6" t="str">
        <x:v>2.2440343349529766</x:v>
      </x:c>
      <x:c r="P302" s="6" t="str">
        <x:v>331.3020984248159</x:v>
      </x:c>
      <x:c r="Q302" s="6" t="str">
        <x:v>107.98130840000809</x:v>
      </x:c>
      <x:c r="R302" s="6" t="str">
        <x:v>0.36256625570939605</x:v>
      </x:c>
      <x:c r="S302" s="8" t="str">
        <x:v>0.6919036484760362</x:v>
      </x:c>
      <x:c r="T302" s="6" t="str">
        <x:v>0.6284051735200364</x:v>
      </x:c>
      <x:c r="U302" s="8" t="str">
        <x:v>0.2800336713801683</x:v>
      </x:c>
      <x:c r="V302" s="6" t="str">
        <x:v>17.500024968374532</x:v>
      </x:c>
      <x:c r="W302" s="8" t="str">
        <x:v>0.16206531693010326</x:v>
      </x:c>
      <x:c r="X302" s="6" t="str">
        <x:v>0.719728784808335</x:v>
      </x:c>
      <x:c r="Y302" s="6" t="str">
        <x:v>0.5243159920520715</x:v>
      </x:c>
      <x:c r="Z302" s="6" t="str">
        <x:v>0.6453161417788137</x:v>
      </x:c>
      <x:c r="AA302" s="6" t="str">
        <x:v>1.0240875826963183</x:v>
      </x:c>
      <x:c r="AB302" s="6" t="str">
        <x:v>0.6014247812352898</x:v>
      </x:c>
      <x:c r="AC302" s="6" t="str">
        <x:v>0.6351820117705925</x:v>
      </x:c>
      <x:c r="AD302" s="6" t="str">
        <x:v>0.29362824819153444</x:v>
      </x:c>
      <x:c r="AE302" s="6" t="str">
        <x:v>0.954327216509029</x:v>
      </x:c>
      <x:c r="AF302" s="6" t="str">
        <x:v>0.4700069272102226</x:v>
      </x:c>
      <x:c r="AG302" s="6" t="str">
        <x:v>0</x:v>
      </x:c>
      <x:c r="AH302" s="6" t="str">
        <x:v>0</x:v>
      </x:c>
      <x:c r="AI302" s="6" t="str">
        <x:v>2025-01</x:v>
      </x:c>
      <x:c r="AJ302" s="9" t="str">
        <x:v>NASA POWER (MERRA-2 meteorology)</x:v>
      </x:c>
      <x:c r="AK302" s="9" t="str">
        <x:v>Badan Informasi Geospasial (BIG)</x:v>
      </x:c>
      <x:c r="AL302" s="9" t="str">
        <x:v>https://power.larc.nasa.gov/docs/services/api/temporal/monthly/</x:v>
      </x:c>
      <x:c r="AM302" s="9" t="str">
        <x:v>https://geoservices.big.go.id/rbi/rest/services/BATASWILAYAH/BATAS_WILAYAH/MapServer/12</x:v>
      </x:c>
    </x:row>
    <x:row r="303" ht="18" customHeight="1">
      <x:c r="A303" s="6" t="str">
        <x:v>33</x:v>
      </x:c>
      <x:c r="B303" s="6" t="str">
        <x:v>JAWA TENGAH</x:v>
      </x:c>
      <x:c r="C303" s="6" t="str">
        <x:v>2025</x:v>
      </x:c>
      <x:c r="D303" s="6" t="str">
        <x:v>2</x:v>
      </x:c>
      <x:c r="E303" s="6" t="str">
        <x:v>25.371690914825834</x:v>
      </x:c>
      <x:c r="F303" s="9" t="str">
        <x:v>grid_cells_within_BIG_polygon</x:v>
      </x:c>
      <x:c r="G303" s="6" t="str">
        <x:v>7</x:v>
      </x:c>
      <x:c r="H303" s="8" t="str">
        <x:v>89.05710502350958</x:v>
      </x:c>
      <x:c r="I303" s="6" t="str">
        <x:v>9.94878166576716</x:v>
      </x:c>
      <x:c r="J303" s="6" t="str">
        <x:v>28</x:v>
      </x:c>
      <x:c r="K303" s="6" t="str">
        <x:v>278.5658866414805</x:v>
      </x:c>
      <x:c r="L303" s="6" t="str">
        <x:v>25.061856676042495</x:v>
      </x:c>
      <x:c r="M303" s="6" t="str">
        <x:v>0.4480994978591014</x:v>
      </x:c>
      <x:c r="N303" s="6" t="str">
        <x:v>88.62151239157284</x:v>
      </x:c>
      <x:c r="O303" s="6" t="str">
        <x:v>1.3001171392988795</x:v>
      </x:c>
      <x:c r="P303" s="6" t="str">
        <x:v>315.9833567422263</x:v>
      </x:c>
      <x:c r="Q303" s="6" t="str">
        <x:v>101.41197466184207</x:v>
      </x:c>
      <x:c r="R303" s="6" t="str">
        <x:v>0.3098342387833384</x:v>
      </x:c>
      <x:c r="S303" s="8" t="str">
        <x:v>0.6914407185538989</x:v>
      </x:c>
      <x:c r="T303" s="6" t="str">
        <x:v>0.4355926319367427</x:v>
      </x:c>
      <x:c r="U303" s="8" t="str">
        <x:v>0.33504106573938935</x:v>
      </x:c>
      <x:c r="V303" s="6" t="str">
        <x:v>-37.41747010074579</x:v>
      </x:c>
      <x:c r="W303" s="8" t="str">
        <x:v>-0.36896500857531106</x:v>
      </x:c>
      <x:c r="X303" s="6" t="str">
        <x:v>0.6919036484760362</x:v>
      </x:c>
      <x:c r="Y303" s="6" t="str">
        <x:v>0.719728784808335</x:v>
      </x:c>
      <x:c r="Z303" s="6" t="str">
        <x:v>0.7010243839460895</x:v>
      </x:c>
      <x:c r="AA303" s="6" t="str">
        <x:v>0.2800336713801683</x:v>
      </x:c>
      <x:c r="AB303" s="6" t="str">
        <x:v>1.0240875826963183</x:v>
      </x:c>
      <x:c r="AC303" s="6" t="str">
        <x:v>0.5463874399386257</x:v>
      </x:c>
      <x:c r="AD303" s="6" t="str">
        <x:v>0.16206531693010326</x:v>
      </x:c>
      <x:c r="AE303" s="6" t="str">
        <x:v>0.29362824819153444</x:v>
      </x:c>
      <x:c r="AF303" s="6" t="str">
        <x:v>0.028909518848775906</x:v>
      </x:c>
      <x:c r="AG303" s="6" t="str">
        <x:v>0</x:v>
      </x:c>
      <x:c r="AH303" s="6" t="str">
        <x:v>0</x:v>
      </x:c>
      <x:c r="AI303" s="6" t="str">
        <x:v>2025-02</x:v>
      </x:c>
      <x:c r="AJ303" s="9" t="str">
        <x:v>NASA POWER (MERRA-2 meteorology)</x:v>
      </x:c>
      <x:c r="AK303" s="9" t="str">
        <x:v>Badan Informasi Geospasial (BIG)</x:v>
      </x:c>
      <x:c r="AL303" s="9" t="str">
        <x:v>https://power.larc.nasa.gov/docs/services/api/temporal/monthly/</x:v>
      </x:c>
      <x:c r="AM303" s="9" t="str">
        <x:v>https://geoservices.big.go.id/rbi/rest/services/BATASWILAYAH/BATAS_WILAYAH/MapServer/12</x:v>
      </x:c>
    </x:row>
    <x:row r="304" ht="18" customHeight="1">
      <x:c r="A304" s="6" t="str">
        <x:v>33</x:v>
      </x:c>
      <x:c r="B304" s="6" t="str">
        <x:v>JAWA TENGAH</x:v>
      </x:c>
      <x:c r="C304" s="6" t="str">
        <x:v>2025</x:v>
      </x:c>
      <x:c r="D304" s="6" t="str">
        <x:v>3</x:v>
      </x:c>
      <x:c r="E304" s="6" t="str">
        <x:v>25.768911704722285</x:v>
      </x:c>
      <x:c r="F304" s="9" t="str">
        <x:v>grid_cells_within_BIG_polygon</x:v>
      </x:c>
      <x:c r="G304" s="6" t="str">
        <x:v>7</x:v>
      </x:c>
      <x:c r="H304" s="8" t="str">
        <x:v>87.77939262292915</x:v>
      </x:c>
      <x:c r="I304" s="6" t="str">
        <x:v>7.573082105718525</x:v>
      </x:c>
      <x:c r="J304" s="6" t="str">
        <x:v>31</x:v>
      </x:c>
      <x:c r="K304" s="6" t="str">
        <x:v>234.76554527727427</x:v>
      </x:c>
      <x:c r="L304" s="6" t="str">
        <x:v>25.372054629829748</x:v>
      </x:c>
      <x:c r="M304" s="6" t="str">
        <x:v>0.3809586058057435</x:v>
      </x:c>
      <x:c r="N304" s="6" t="str">
        <x:v>87.50500885985467</x:v>
      </x:c>
      <x:c r="O304" s="6" t="str">
        <x:v>1.2313028725328639</x:v>
      </x:c>
      <x:c r="P304" s="6" t="str">
        <x:v>234.7079600893848</x:v>
      </x:c>
      <x:c r="Q304" s="6" t="str">
        <x:v>69.72888119114154</x:v>
      </x:c>
      <x:c r="R304" s="6" t="str">
        <x:v>0.3968570748925373</x:v>
      </x:c>
      <x:c r="S304" s="8" t="str">
        <x:v>1.041732799428872</x:v>
      </x:c>
      <x:c r="T304" s="6" t="str">
        <x:v>0.2743837630744821</x:v>
      </x:c>
      <x:c r="U304" s="8" t="str">
        <x:v>0.22284018757306903</x:v>
      </x:c>
      <x:c r="V304" s="6" t="str">
        <x:v>0.05758518788945821</x:v>
      </x:c>
      <x:c r="W304" s="8" t="str">
        <x:v>0.0008258441395553887</x:v>
      </x:c>
      <x:c r="X304" s="6" t="str">
        <x:v>0.6914407185538989</x:v>
      </x:c>
      <x:c r="Y304" s="6" t="str">
        <x:v>0.6919036484760362</x:v>
      </x:c>
      <x:c r="Z304" s="6" t="str">
        <x:v>0.8083590554862684</x:v>
      </x:c>
      <x:c r="AA304" s="6" t="str">
        <x:v>0.33504106573938935</x:v>
      </x:c>
      <x:c r="AB304" s="6" t="str">
        <x:v>0.2800336713801683</x:v>
      </x:c>
      <x:c r="AC304" s="6" t="str">
        <x:v>0.27930497489754263</x:v>
      </x:c>
      <x:c r="AD304" s="6" t="str">
        <x:v>-0.36896500857531106</x:v>
      </x:c>
      <x:c r="AE304" s="6" t="str">
        <x:v>0.16206531693010326</x:v>
      </x:c>
      <x:c r="AF304" s="6" t="str">
        <x:v>-0.06869128250188378</x:v>
      </x:c>
      <x:c r="AG304" s="6" t="str">
        <x:v>0</x:v>
      </x:c>
      <x:c r="AH304" s="6" t="str">
        <x:v>1</x:v>
      </x:c>
      <x:c r="AI304" s="6" t="str">
        <x:v>2025-03</x:v>
      </x:c>
      <x:c r="AJ304" s="9" t="str">
        <x:v>NASA POWER (MERRA-2 meteorology)</x:v>
      </x:c>
      <x:c r="AK304" s="9" t="str">
        <x:v>Badan Informasi Geospasial (BIG)</x:v>
      </x:c>
      <x:c r="AL304" s="9" t="str">
        <x:v>https://power.larc.nasa.gov/docs/services/api/temporal/monthly/</x:v>
      </x:c>
      <x:c r="AM304" s="9" t="str">
        <x:v>https://geoservices.big.go.id/rbi/rest/services/BATASWILAYAH/BATAS_WILAYAH/MapServer/12</x:v>
      </x:c>
    </x:row>
    <x:row r="305" ht="18" customHeight="1">
      <x:c r="A305" s="6" t="str">
        <x:v>33</x:v>
      </x:c>
      <x:c r="B305" s="6" t="str">
        <x:v>JAWA TENGAH</x:v>
      </x:c>
      <x:c r="C305" s="6" t="str">
        <x:v>2025</x:v>
      </x:c>
      <x:c r="D305" s="6" t="str">
        <x:v>4</x:v>
      </x:c>
      <x:c r="E305" s="6" t="str">
        <x:v>25.800393288547195</x:v>
      </x:c>
      <x:c r="F305" s="9" t="str">
        <x:v>grid_cells_within_BIG_polygon</x:v>
      </x:c>
      <x:c r="G305" s="6" t="str">
        <x:v>7</x:v>
      </x:c>
      <x:c r="H305" s="8" t="str">
        <x:v>85.69613290302802</x:v>
      </x:c>
      <x:c r="I305" s="6" t="str">
        <x:v>5.788408993151882</x:v>
      </x:c>
      <x:c r="J305" s="6" t="str">
        <x:v>30</x:v>
      </x:c>
      <x:c r="K305" s="6" t="str">
        <x:v>173.65226979455647</x:v>
      </x:c>
      <x:c r="L305" s="6" t="str">
        <x:v>25.589026850386436</x:v>
      </x:c>
      <x:c r="M305" s="6" t="str">
        <x:v>0.38807533192212396</x:v>
      </x:c>
      <x:c r="N305" s="6" t="str">
        <x:v>86.970306765647</x:v>
      </x:c>
      <x:c r="O305" s="6" t="str">
        <x:v>0.8588360816157378</x:v>
      </x:c>
      <x:c r="P305" s="6" t="str">
        <x:v>192.42001590620538</x:v>
      </x:c>
      <x:c r="Q305" s="6" t="str">
        <x:v>53.87066761000839</x:v>
      </x:c>
      <x:c r="R305" s="6" t="str">
        <x:v>0.21136643816075917</x:v>
      </x:c>
      <x:c r="S305" s="8" t="str">
        <x:v>0.5446531144194824</x:v>
      </x:c>
      <x:c r="T305" s="6" t="str">
        <x:v>-1.27417386261898</x:v>
      </x:c>
      <x:c r="U305" s="8" t="str">
        <x:v>-1.4836054165561636</x:v>
      </x:c>
      <x:c r="V305" s="6" t="str">
        <x:v>-18.767746111648904</x:v>
      </x:c>
      <x:c r="W305" s="8" t="str">
        <x:v>-0.3483852520172245</x:v>
      </x:c>
      <x:c r="X305" s="6" t="str">
        <x:v>1.041732799428872</x:v>
      </x:c>
      <x:c r="Y305" s="6" t="str">
        <x:v>0.6914407185538989</x:v>
      </x:c>
      <x:c r="Z305" s="6" t="str">
        <x:v>0.7592755441340838</x:v>
      </x:c>
      <x:c r="AA305" s="6" t="str">
        <x:v>0.22284018757306903</x:v>
      </x:c>
      <x:c r="AB305" s="6" t="str">
        <x:v>0.33504106573938935</x:v>
      </x:c>
      <x:c r="AC305" s="6" t="str">
        <x:v>-0.3085747210812347</x:v>
      </x:c>
      <x:c r="AD305" s="6" t="str">
        <x:v>0.0008258441395553887</x:v>
      </x:c>
      <x:c r="AE305" s="6" t="str">
        <x:v>-0.36896500857531106</x:v>
      </x:c>
      <x:c r="AF305" s="6" t="str">
        <x:v>-0.23884147215099302</x:v>
      </x:c>
      <x:c r="AG305" s="6" t="str">
        <x:v>0</x:v>
      </x:c>
      <x:c r="AH305" s="6" t="str">
        <x:v>0</x:v>
      </x:c>
      <x:c r="AI305" s="6" t="str">
        <x:v>2025-04</x:v>
      </x:c>
      <x:c r="AJ305" s="9" t="str">
        <x:v>NASA POWER (MERRA-2 meteorology)</x:v>
      </x:c>
      <x:c r="AK305" s="9" t="str">
        <x:v>Badan Informasi Geospasial (BIG)</x:v>
      </x:c>
      <x:c r="AL305" s="9" t="str">
        <x:v>https://power.larc.nasa.gov/docs/services/api/temporal/monthly/</x:v>
      </x:c>
      <x:c r="AM305" s="9" t="str">
        <x:v>https://geoservices.big.go.id/rbi/rest/services/BATASWILAYAH/BATAS_WILAYAH/MapServer/12</x:v>
      </x:c>
    </x:row>
    <x:row r="306" ht="18" customHeight="1">
      <x:c r="A306" s="6" t="str">
        <x:v>33</x:v>
      </x:c>
      <x:c r="B306" s="6" t="str">
        <x:v>JAWA TENGAH</x:v>
      </x:c>
      <x:c r="C306" s="6" t="str">
        <x:v>2025</x:v>
      </x:c>
      <x:c r="D306" s="6" t="str">
        <x:v>5</x:v>
      </x:c>
      <x:c r="E306" s="6" t="str">
        <x:v>25.92043769209284</x:v>
      </x:c>
      <x:c r="F306" s="9" t="str">
        <x:v>grid_cells_within_BIG_polygon</x:v>
      </x:c>
      <x:c r="G306" s="6" t="str">
        <x:v>7</x:v>
      </x:c>
      <x:c r="H306" s="8" t="str">
        <x:v>88.29597590477732</x:v>
      </x:c>
      <x:c r="I306" s="6" t="str">
        <x:v>12.45404353372296</x:v>
      </x:c>
      <x:c r="J306" s="6" t="str">
        <x:v>31</x:v>
      </x:c>
      <x:c r="K306" s="6" t="str">
        <x:v>386.07534954541177</x:v>
      </x:c>
      <x:c r="L306" s="6" t="str">
        <x:v>25.392865713742506</x:v>
      </x:c>
      <x:c r="M306" s="6" t="str">
        <x:v>0.43821924952905394</x:v>
      </x:c>
      <x:c r="N306" s="6" t="str">
        <x:v>85.82255379157998</x:v>
      </x:c>
      <x:c r="O306" s="6" t="str">
        <x:v>1.389825531654564</x:v>
      </x:c>
      <x:c r="P306" s="6" t="str">
        <x:v>141.2529513559645</x:v>
      </x:c>
      <x:c r="Q306" s="6" t="str">
        <x:v>72.27309906898097</x:v>
      </x:c>
      <x:c r="R306" s="6" t="str">
        <x:v>0.5275719783503341</x:v>
      </x:c>
      <x:c r="S306" s="8" t="str">
        <x:v>1.2038995980147058</x:v>
      </x:c>
      <x:c r="T306" s="6" t="str">
        <x:v>2.473422113197344</x:v>
      </x:c>
      <x:c r="U306" s="8" t="str">
        <x:v>1.7796637468969048</x:v>
      </x:c>
      <x:c r="V306" s="6" t="str">
        <x:v>244.82239818944726</x:v>
      </x:c>
      <x:c r="W306" s="8" t="str">
        <x:v>3.387462297082028</x:v>
      </x:c>
      <x:c r="X306" s="6" t="str">
        <x:v>0.5446531144194824</x:v>
      </x:c>
      <x:c r="Y306" s="6" t="str">
        <x:v>1.041732799428872</x:v>
      </x:c>
      <x:c r="Z306" s="6" t="str">
        <x:v>0.9300951706210195</x:v>
      </x:c>
      <x:c r="AA306" s="6" t="str">
        <x:v>-1.4836054165561636</x:v>
      </x:c>
      <x:c r="AB306" s="6" t="str">
        <x:v>0.22284018757306903</x:v>
      </x:c>
      <x:c r="AC306" s="6" t="str">
        <x:v>0.1729661726379371</x:v>
      </x:c>
      <x:c r="AD306" s="6" t="str">
        <x:v>-0.3483852520172245</x:v>
      </x:c>
      <x:c r="AE306" s="6" t="str">
        <x:v>0.0008258441395553887</x:v>
      </x:c>
      <x:c r="AF306" s="6" t="str">
        <x:v>1.01330096306812</x:v>
      </x:c>
      <x:c r="AG306" s="6" t="str">
        <x:v>1</x:v>
      </x:c>
      <x:c r="AH306" s="6" t="str">
        <x:v>1</x:v>
      </x:c>
      <x:c r="AI306" s="6" t="str">
        <x:v>2025-05</x:v>
      </x:c>
      <x:c r="AJ306" s="9" t="str">
        <x:v>NASA POWER (MERRA-2 meteorology)</x:v>
      </x:c>
      <x:c r="AK306" s="9" t="str">
        <x:v>Badan Informasi Geospasial (BIG)</x:v>
      </x:c>
      <x:c r="AL306" s="9" t="str">
        <x:v>https://power.larc.nasa.gov/docs/services/api/temporal/monthly/</x:v>
      </x:c>
      <x:c r="AM306" s="9" t="str">
        <x:v>https://geoservices.big.go.id/rbi/rest/services/BATASWILAYAH/BATAS_WILAYAH/MapServer/12</x:v>
      </x:c>
    </x:row>
    <x:row r="307" ht="18" customHeight="1">
      <x:c r="A307" s="6" t="str">
        <x:v>33</x:v>
      </x:c>
      <x:c r="B307" s="6" t="str">
        <x:v>JAWA TENGAH</x:v>
      </x:c>
      <x:c r="C307" s="6" t="str">
        <x:v>2025</x:v>
      </x:c>
      <x:c r="D307" s="6" t="str">
        <x:v>6</x:v>
      </x:c>
      <x:c r="E307" s="6" t="str">
        <x:v>25.4361689689598</x:v>
      </x:c>
      <x:c r="F307" s="9" t="str">
        <x:v>grid_cells_within_BIG_polygon</x:v>
      </x:c>
      <x:c r="G307" s="6" t="str">
        <x:v>7</x:v>
      </x:c>
      <x:c r="H307" s="8" t="str">
        <x:v>87.10873132726715</x:v>
      </x:c>
      <x:c r="I307" s="6" t="str">
        <x:v>6.548061693991259</x:v>
      </x:c>
      <x:c r="J307" s="6" t="str">
        <x:v>30</x:v>
      </x:c>
      <x:c r="K307" s="6" t="str">
        <x:v>196.44185081973777</x:v>
      </x:c>
      <x:c r="L307" s="6" t="str">
        <x:v>24.8200287125546</x:v>
      </x:c>
      <x:c r="M307" s="6" t="str">
        <x:v>0.4900232341076813</x:v>
      </x:c>
      <x:c r="N307" s="6" t="str">
        <x:v>84.47053235868675</x:v>
      </x:c>
      <x:c r="O307" s="6" t="str">
        <x:v>2.4449481200195757</x:v>
      </x:c>
      <x:c r="P307" s="6" t="str">
        <x:v>95.46169096262207</x:v>
      </x:c>
      <x:c r="Q307" s="6" t="str">
        <x:v>72.56767593855595</x:v>
      </x:c>
      <x:c r="R307" s="6" t="str">
        <x:v>0.6161402564052025</x:v>
      </x:c>
      <x:c r="S307" s="8" t="str">
        <x:v>1.2573694745866018</x:v>
      </x:c>
      <x:c r="T307" s="6" t="str">
        <x:v>2.6381989685803973</x:v>
      </x:c>
      <x:c r="U307" s="8" t="str">
        <x:v>1.0790408790184367</x:v>
      </x:c>
      <x:c r="V307" s="6" t="str">
        <x:v>100.9801598571157</x:v>
      </x:c>
      <x:c r="W307" s="8" t="str">
        <x:v>1.3915308510447129</x:v>
      </x:c>
      <x:c r="X307" s="6" t="str">
        <x:v>1.2038995980147058</x:v>
      </x:c>
      <x:c r="Y307" s="6" t="str">
        <x:v>0.5446531144194824</x:v>
      </x:c>
      <x:c r="Z307" s="6" t="str">
        <x:v>1.0019740623402627</x:v>
      </x:c>
      <x:c r="AA307" s="6" t="str">
        <x:v>1.7796637468969048</x:v>
      </x:c>
      <x:c r="AB307" s="6" t="str">
        <x:v>-1.4836054165561636</x:v>
      </x:c>
      <x:c r="AC307" s="6" t="str">
        <x:v>0.4583664031197263</x:v>
      </x:c>
      <x:c r="AD307" s="6" t="str">
        <x:v>3.387462297082028</x:v>
      </x:c>
      <x:c r="AE307" s="6" t="str">
        <x:v>-0.3483852520172245</x:v>
      </x:c>
      <x:c r="AF307" s="6" t="str">
        <x:v>1.4768692987031724</x:v>
      </x:c>
      <x:c r="AG307" s="6" t="str">
        <x:v>1</x:v>
      </x:c>
      <x:c r="AH307" s="6" t="str">
        <x:v>1</x:v>
      </x:c>
      <x:c r="AI307" s="6" t="str">
        <x:v>2025-06</x:v>
      </x:c>
      <x:c r="AJ307" s="9" t="str">
        <x:v>NASA POWER (MERRA-2 meteorology)</x:v>
      </x:c>
      <x:c r="AK307" s="9" t="str">
        <x:v>Badan Informasi Geospasial (BIG)</x:v>
      </x:c>
      <x:c r="AL307" s="9" t="str">
        <x:v>https://power.larc.nasa.gov/docs/services/api/temporal/monthly/</x:v>
      </x:c>
      <x:c r="AM307" s="9" t="str">
        <x:v>https://geoservices.big.go.id/rbi/rest/services/BATASWILAYAH/BATAS_WILAYAH/MapServer/12</x:v>
      </x:c>
    </x:row>
    <x:row r="308" ht="18" customHeight="1">
      <x:c r="A308" s="6" t="str">
        <x:v>33</x:v>
      </x:c>
      <x:c r="B308" s="6" t="str">
        <x:v>JAWA TENGAH</x:v>
      </x:c>
      <x:c r="C308" s="6" t="str">
        <x:v>2025</x:v>
      </x:c>
      <x:c r="D308" s="6" t="str">
        <x:v>7</x:v>
      </x:c>
      <x:c r="E308" s="6" t="str">
        <x:v>24.59344526328831</x:v>
      </x:c>
      <x:c r="F308" s="9" t="str">
        <x:v>grid_cells_within_BIG_polygon</x:v>
      </x:c>
      <x:c r="G308" s="6" t="str">
        <x:v>7</x:v>
      </x:c>
      <x:c r="H308" s="8" t="str">
        <x:v>85.33251478307986</x:v>
      </x:c>
      <x:c r="I308" s="6" t="str">
        <x:v>1.358461325902112</x:v>
      </x:c>
      <x:c r="J308" s="6" t="str">
        <x:v>31</x:v>
      </x:c>
      <x:c r="K308" s="6" t="str">
        <x:v>42.112301102965475</x:v>
      </x:c>
      <x:c r="L308" s="6" t="str">
        <x:v>24.464724742912292</x:v>
      </x:c>
      <x:c r="M308" s="6" t="str">
        <x:v>0.4882763909436186</x:v>
      </x:c>
      <x:c r="N308" s="6" t="str">
        <x:v>80.71770419012621</x:v>
      </x:c>
      <x:c r="O308" s="6" t="str">
        <x:v>4.099749607629604</x:v>
      </x:c>
      <x:c r="P308" s="6" t="str">
        <x:v>54.30622151373796</x:v>
      </x:c>
      <x:c r="Q308" s="6" t="str">
        <x:v>63.66905265426834</x:v>
      </x:c>
      <x:c r="R308" s="6" t="str">
        <x:v>0.12872052037601733</x:v>
      </x:c>
      <x:c r="S308" s="8" t="str">
        <x:v>0.26362224912668514</x:v>
      </x:c>
      <x:c r="T308" s="6" t="str">
        <x:v>4.614810592953646</x:v>
      </x:c>
      <x:c r="U308" s="8" t="str">
        <x:v>1.1256323030961495</x:v>
      </x:c>
      <x:c r="V308" s="6" t="str">
        <x:v>-12.193920410772485</x:v>
      </x:c>
      <x:c r="W308" s="8" t="str">
        <x:v>-0.1915203682546863</x:v>
      </x:c>
      <x:c r="X308" s="6" t="str">
        <x:v>1.2573694745866018</x:v>
      </x:c>
      <x:c r="Y308" s="6" t="str">
        <x:v>1.2038995980147058</x:v>
      </x:c>
      <x:c r="Z308" s="6" t="str">
        <x:v>0.9082971072426638</x:v>
      </x:c>
      <x:c r="AA308" s="6" t="str">
        <x:v>1.0790408790184367</x:v>
      </x:c>
      <x:c r="AB308" s="6" t="str">
        <x:v>1.7796637468969048</x:v>
      </x:c>
      <x:c r="AC308" s="6" t="str">
        <x:v>1.3281123096704974</x:v>
      </x:c>
      <x:c r="AD308" s="6" t="str">
        <x:v>1.3915308510447129</x:v>
      </x:c>
      <x:c r="AE308" s="6" t="str">
        <x:v>3.387462297082028</x:v>
      </x:c>
      <x:c r="AF308" s="6" t="str">
        <x:v>1.5291575932906853</x:v>
      </x:c>
      <x:c r="AG308" s="6" t="str">
        <x:v>0</x:v>
      </x:c>
      <x:c r="AH308" s="6" t="str">
        <x:v>0</x:v>
      </x:c>
      <x:c r="AI308" s="6" t="str">
        <x:v>2025-07</x:v>
      </x:c>
      <x:c r="AJ308" s="9" t="str">
        <x:v>NASA POWER (MERRA-2 meteorology)</x:v>
      </x:c>
      <x:c r="AK308" s="9" t="str">
        <x:v>Badan Informasi Geospasial (BIG)</x:v>
      </x:c>
      <x:c r="AL308" s="9" t="str">
        <x:v>https://power.larc.nasa.gov/docs/services/api/temporal/monthly/</x:v>
      </x:c>
      <x:c r="AM308" s="9" t="str">
        <x:v>https://geoservices.big.go.id/rbi/rest/services/BATASWILAYAH/BATAS_WILAYAH/MapServer/12</x:v>
      </x:c>
    </x:row>
    <x:row r="309" ht="18" customHeight="1">
      <x:c r="A309" s="6" t="str">
        <x:v>33</x:v>
      </x:c>
      <x:c r="B309" s="6" t="str">
        <x:v>JAWA TENGAH</x:v>
      </x:c>
      <x:c r="C309" s="6" t="str">
        <x:v>2025</x:v>
      </x:c>
      <x:c r="D309" s="6" t="str">
        <x:v>8</x:v>
      </x:c>
      <x:c r="E309" s="6" t="str">
        <x:v>25.176305351278582</x:v>
      </x:c>
      <x:c r="F309" s="9" t="str">
        <x:v>grid_cells_within_BIG_polygon</x:v>
      </x:c>
      <x:c r="G309" s="6" t="str">
        <x:v>7</x:v>
      </x:c>
      <x:c r="H309" s="8" t="str">
        <x:v>83.0752226303422</x:v>
      </x:c>
      <x:c r="I309" s="6" t="str">
        <x:v>5.129529005247924</x:v>
      </x:c>
      <x:c r="J309" s="6" t="str">
        <x:v>31</x:v>
      </x:c>
      <x:c r="K309" s="6" t="str">
        <x:v>159.01539916268564</x:v>
      </x:c>
      <x:c r="L309" s="6" t="str">
        <x:v>24.94855746073652</x:v>
      </x:c>
      <x:c r="M309" s="6" t="str">
        <x:v>0.4334777008469516</x:v>
      </x:c>
      <x:c r="N309" s="6" t="str">
        <x:v>75.0955906999644</x:v>
      </x:c>
      <x:c r="O309" s="6" t="str">
        <x:v>4.997786815501817</x:v>
      </x:c>
      <x:c r="P309" s="6" t="str">
        <x:v>35.90828951039471</x:v>
      </x:c>
      <x:c r="Q309" s="6" t="str">
        <x:v>44.38823929670012</x:v>
      </x:c>
      <x:c r="R309" s="6" t="str">
        <x:v>0.22774789054206224</x:v>
      </x:c>
      <x:c r="S309" s="8" t="str">
        <x:v>0.525397016033527</x:v>
      </x:c>
      <x:c r="T309" s="6" t="str">
        <x:v>7.979631930377792</x:v>
      </x:c>
      <x:c r="U309" s="8" t="str">
        <x:v>1.596633114807354</x:v>
      </x:c>
      <x:c r="V309" s="6" t="str">
        <x:v>123.10710965229093</x:v>
      </x:c>
      <x:c r="W309" s="8" t="str">
        <x:v>2.7734172745491814</x:v>
      </x:c>
      <x:c r="X309" s="6" t="str">
        <x:v>0.26362224912668514</x:v>
      </x:c>
      <x:c r="Y309" s="6" t="str">
        <x:v>1.2573694745866018</x:v>
      </x:c>
      <x:c r="Z309" s="6" t="str">
        <x:v>0.6821295799156041</x:v>
      </x:c>
      <x:c r="AA309" s="6" t="str">
        <x:v>1.1256323030961495</x:v>
      </x:c>
      <x:c r="AB309" s="6" t="str">
        <x:v>1.0790408790184367</x:v>
      </x:c>
      <x:c r="AC309" s="6" t="str">
        <x:v>1.2671020989739803</x:v>
      </x:c>
      <x:c r="AD309" s="6" t="str">
        <x:v>-0.1915203682546863</x:v>
      </x:c>
      <x:c r="AE309" s="6" t="str">
        <x:v>1.3915308510447129</x:v>
      </x:c>
      <x:c r="AF309" s="6" t="str">
        <x:v>1.3244759191130695</x:v>
      </x:c>
      <x:c r="AG309" s="6" t="str">
        <x:v>1</x:v>
      </x:c>
      <x:c r="AH309" s="6" t="str">
        <x:v>0</x:v>
      </x:c>
      <x:c r="AI309" s="6" t="str">
        <x:v>2025-08</x:v>
      </x:c>
      <x:c r="AJ309" s="9" t="str">
        <x:v>NASA POWER (MERRA-2 meteorology)</x:v>
      </x:c>
      <x:c r="AK309" s="9" t="str">
        <x:v>Badan Informasi Geospasial (BIG)</x:v>
      </x:c>
      <x:c r="AL309" s="9" t="str">
        <x:v>https://power.larc.nasa.gov/docs/services/api/temporal/monthly/</x:v>
      </x:c>
      <x:c r="AM309" s="9" t="str">
        <x:v>https://geoservices.big.go.id/rbi/rest/services/BATASWILAYAH/BATAS_WILAYAH/MapServer/12</x:v>
      </x:c>
    </x:row>
    <x:row r="310" ht="18" customHeight="1">
      <x:c r="A310" s="6" t="str">
        <x:v>33</x:v>
      </x:c>
      <x:c r="B310" s="6" t="str">
        <x:v>JAWA TENGAH</x:v>
      </x:c>
      <x:c r="C310" s="6" t="str">
        <x:v>2025</x:v>
      </x:c>
      <x:c r="D310" s="6" t="str">
        <x:v>9</x:v>
      </x:c>
      <x:c r="E310" s="6" t="str">
        <x:v>25.806373542437974</x:v>
      </x:c>
      <x:c r="F310" s="9" t="str">
        <x:v>grid_cells_within_BIG_polygon</x:v>
      </x:c>
      <x:c r="G310" s="6" t="str">
        <x:v>7</x:v>
      </x:c>
      <x:c r="H310" s="8" t="str">
        <x:v>81.64920590211034</x:v>
      </x:c>
      <x:c r="I310" s="6" t="str">
        <x:v>7.498074380718588</x:v>
      </x:c>
      <x:c r="J310" s="6" t="str">
        <x:v>30</x:v>
      </x:c>
      <x:c r="K310" s="6" t="str">
        <x:v>224.94223142155764</x:v>
      </x:c>
      <x:c r="L310" s="6" t="str">
        <x:v>26.0644969072476</x:v>
      </x:c>
      <x:c r="M310" s="6" t="str">
        <x:v>0.4989728579522591</x:v>
      </x:c>
      <x:c r="N310" s="6" t="str">
        <x:v>71.21300690948907</x:v>
      </x:c>
      <x:c r="O310" s="6" t="str">
        <x:v>6.23186896892333</x:v>
      </x:c>
      <x:c r="P310" s="6" t="str">
        <x:v>62.867130036351185</x:v>
      </x:c>
      <x:c r="Q310" s="6" t="str">
        <x:v>89.30239908106603</x:v>
      </x:c>
      <x:c r="R310" s="6" t="str">
        <x:v>-0.2581233648096273</x:v>
      </x:c>
      <x:c r="S310" s="8" t="str">
        <x:v>-0.5173094301540628</x:v>
      </x:c>
      <x:c r="T310" s="6" t="str">
        <x:v>10.436198992621271</x:v>
      </x:c>
      <x:c r="U310" s="8" t="str">
        <x:v>1.674649939635094</x:v>
      </x:c>
      <x:c r="V310" s="6" t="str">
        <x:v>162.07510138520644</x:v>
      </x:c>
      <x:c r="W310" s="8" t="str">
        <x:v>1.8149019853103783</x:v>
      </x:c>
      <x:c r="X310" s="6" t="str">
        <x:v>0.525397016033527</x:v>
      </x:c>
      <x:c r="Y310" s="6" t="str">
        <x:v>0.26362224912668514</x:v>
      </x:c>
      <x:c r="Z310" s="6" t="str">
        <x:v>0.09056994500204918</x:v>
      </x:c>
      <x:c r="AA310" s="6" t="str">
        <x:v>1.596633114807354</x:v>
      </x:c>
      <x:c r="AB310" s="6" t="str">
        <x:v>1.1256323030961495</x:v>
      </x:c>
      <x:c r="AC310" s="6" t="str">
        <x:v>1.4656384525128663</x:v>
      </x:c>
      <x:c r="AD310" s="6" t="str">
        <x:v>2.7734172745491814</x:v>
      </x:c>
      <x:c r="AE310" s="6" t="str">
        <x:v>-0.1915203682546863</x:v>
      </x:c>
      <x:c r="AF310" s="6" t="str">
        <x:v>1.465599630534958</x:v>
      </x:c>
      <x:c r="AG310" s="6" t="str">
        <x:v>1</x:v>
      </x:c>
      <x:c r="AH310" s="6" t="str">
        <x:v>0</x:v>
      </x:c>
      <x:c r="AI310" s="6" t="str">
        <x:v>2025-09</x:v>
      </x:c>
      <x:c r="AJ310" s="9" t="str">
        <x:v>NASA POWER (MERRA-2 meteorology)</x:v>
      </x:c>
      <x:c r="AK310" s="9" t="str">
        <x:v>Badan Informasi Geospasial (BIG)</x:v>
      </x:c>
      <x:c r="AL310" s="9" t="str">
        <x:v>https://power.larc.nasa.gov/docs/services/api/temporal/monthly/</x:v>
      </x:c>
      <x:c r="AM310" s="9" t="str">
        <x:v>https://geoservices.big.go.id/rbi/rest/services/BATASWILAYAH/BATAS_WILAYAH/MapServer/12</x:v>
      </x:c>
    </x:row>
    <x:row r="311" ht="18" customHeight="1">
      <x:c r="A311" s="6" t="str">
        <x:v>33</x:v>
      </x:c>
      <x:c r="B311" s="6" t="str">
        <x:v>JAWA TENGAH</x:v>
      </x:c>
      <x:c r="C311" s="6" t="str">
        <x:v>2025</x:v>
      </x:c>
      <x:c r="D311" s="6" t="str">
        <x:v>10</x:v>
      </x:c>
      <x:c r="E311" s="6" t="str">
        <x:v>26.230593104502617</x:v>
      </x:c>
      <x:c r="F311" s="9" t="str">
        <x:v>grid_cells_within_BIG_polygon</x:v>
      </x:c>
      <x:c r="G311" s="6" t="str">
        <x:v>7</x:v>
      </x:c>
      <x:c r="H311" s="8" t="str">
        <x:v>83.50078897975386</x:v>
      </x:c>
      <x:c r="I311" s="6" t="str">
        <x:v>11.940674390798621</x:v>
      </x:c>
      <x:c r="J311" s="6" t="str">
        <x:v>31</x:v>
      </x:c>
      <x:c r="K311" s="6" t="str">
        <x:v>370.16090611475727</x:v>
      </x:c>
      <x:c r="L311" s="6" t="str">
        <x:v>26.606757939848805</x:v>
      </x:c>
      <x:c r="M311" s="6" t="str">
        <x:v>0.8012067397186616</x:v>
      </x:c>
      <x:c r="N311" s="6" t="str">
        <x:v>73.8146337667691</x:v>
      </x:c>
      <x:c r="O311" s="6" t="str">
        <x:v>7.934129838753081</x:v>
      </x:c>
      <x:c r="P311" s="6" t="str">
        <x:v>142.41205004306576</x:v>
      </x:c>
      <x:c r="Q311" s="6" t="str">
        <x:v>105.49263746700701</x:v>
      </x:c>
      <x:c r="R311" s="6" t="str">
        <x:v>-0.37616483534618794</x:v>
      </x:c>
      <x:c r="S311" s="8" t="str">
        <x:v>-0.4694978420654271</x:v>
      </x:c>
      <x:c r="T311" s="6" t="str">
        <x:v>9.686155212984758</x:v>
      </x:c>
      <x:c r="U311" s="8" t="str">
        <x:v>1.2208213641367665</x:v>
      </x:c>
      <x:c r="V311" s="6" t="str">
        <x:v>227.7488560716915</x:v>
      </x:c>
      <x:c r="W311" s="8" t="str">
        <x:v>2.1589075933656536</x:v>
      </x:c>
      <x:c r="X311" s="6" t="str">
        <x:v>-0.5173094301540628</x:v>
      </x:c>
      <x:c r="Y311" s="6" t="str">
        <x:v>0.525397016033527</x:v>
      </x:c>
      <x:c r="Z311" s="6" t="str">
        <x:v>-0.1538034187286549</x:v>
      </x:c>
      <x:c r="AA311" s="6" t="str">
        <x:v>1.674649939635094</x:v>
      </x:c>
      <x:c r="AB311" s="6" t="str">
        <x:v>1.596633114807354</x:v>
      </x:c>
      <x:c r="AC311" s="6" t="str">
        <x:v>1.4973681395264054</x:v>
      </x:c>
      <x:c r="AD311" s="6" t="str">
        <x:v>1.8149019853103783</x:v>
      </x:c>
      <x:c r="AE311" s="6" t="str">
        <x:v>2.7734172745491814</x:v>
      </x:c>
      <x:c r="AF311" s="6" t="str">
        <x:v>2.2490756177417377</x:v>
      </x:c>
      <x:c r="AG311" s="6" t="str">
        <x:v>1</x:v>
      </x:c>
      <x:c r="AH311" s="6" t="str">
        <x:v>0</x:v>
      </x:c>
      <x:c r="AI311" s="6" t="str">
        <x:v>2025-10</x:v>
      </x:c>
      <x:c r="AJ311" s="9" t="str">
        <x:v>NASA POWER (MERRA-2 meteorology)</x:v>
      </x:c>
      <x:c r="AK311" s="9" t="str">
        <x:v>Badan Informasi Geospasial (BIG)</x:v>
      </x:c>
      <x:c r="AL311" s="9" t="str">
        <x:v>https://power.larc.nasa.gov/docs/services/api/temporal/monthly/</x:v>
      </x:c>
      <x:c r="AM311" s="9" t="str">
        <x:v>https://geoservices.big.go.id/rbi/rest/services/BATASWILAYAH/BATAS_WILAYAH/MapServer/12</x:v>
      </x:c>
    </x:row>
    <x:row r="312" ht="18" customHeight="1">
      <x:c r="A312" s="6" t="str">
        <x:v>33</x:v>
      </x:c>
      <x:c r="B312" s="6" t="str">
        <x:v>JAWA TENGAH</x:v>
      </x:c>
      <x:c r="C312" s="6" t="str">
        <x:v>2025</x:v>
      </x:c>
      <x:c r="D312" s="6" t="str">
        <x:v>11</x:v>
      </x:c>
      <x:c r="E312" s="6" t="str">
        <x:v>25.453308880969523</x:v>
      </x:c>
      <x:c r="F312" s="9" t="str">
        <x:v>grid_cells_within_BIG_polygon</x:v>
      </x:c>
      <x:c r="G312" s="6" t="str">
        <x:v>7</x:v>
      </x:c>
      <x:c r="H312" s="8" t="str">
        <x:v>87.64735282310178</x:v>
      </x:c>
      <x:c r="I312" s="6" t="str">
        <x:v>10.63245252687484</x:v>
      </x:c>
      <x:c r="J312" s="6" t="str">
        <x:v>30</x:v>
      </x:c>
      <x:c r="K312" s="6" t="str">
        <x:v>318.9735758062452</x:v>
      </x:c>
      <x:c r="L312" s="6" t="str">
        <x:v>26.15408671508441</x:v>
      </x:c>
      <x:c r="M312" s="6" t="str">
        <x:v>0.780572356431426</x:v>
      </x:c>
      <x:c r="N312" s="6" t="str">
        <x:v>81.12786778084055</x:v>
      </x:c>
      <x:c r="O312" s="6" t="str">
        <x:v>5.245634775672941</x:v>
      </x:c>
      <x:c r="P312" s="6" t="str">
        <x:v>232.8496016889095</x:v>
      </x:c>
      <x:c r="Q312" s="6" t="str">
        <x:v>72.49816109579973</x:v>
      </x:c>
      <x:c r="R312" s="6" t="str">
        <x:v>-0.7007778341148878</x:v>
      </x:c>
      <x:c r="S312" s="8" t="str">
        <x:v>-0.8977743425589166</x:v>
      </x:c>
      <x:c r="T312" s="6" t="str">
        <x:v>6.519485042261238</x:v>
      </x:c>
      <x:c r="U312" s="8" t="str">
        <x:v>1.2428400605577576</x:v>
      </x:c>
      <x:c r="V312" s="6" t="str">
        <x:v>86.1239741173357</x:v>
      </x:c>
      <x:c r="W312" s="8" t="str">
        <x:v>1.1879470156978285</x:v>
      </x:c>
      <x:c r="X312" s="6" t="str">
        <x:v>-0.4694978420654271</x:v>
      </x:c>
      <x:c r="Y312" s="6" t="str">
        <x:v>-0.5173094301540628</x:v>
      </x:c>
      <x:c r="Z312" s="6" t="str">
        <x:v>-0.6281938715928027</x:v>
      </x:c>
      <x:c r="AA312" s="6" t="str">
        <x:v>1.2208213641367665</x:v>
      </x:c>
      <x:c r="AB312" s="6" t="str">
        <x:v>1.674649939635094</x:v>
      </x:c>
      <x:c r="AC312" s="6" t="str">
        <x:v>1.3794371214432062</x:v>
      </x:c>
      <x:c r="AD312" s="6" t="str">
        <x:v>2.1589075933656536</x:v>
      </x:c>
      <x:c r="AE312" s="6" t="str">
        <x:v>1.8149019853103783</x:v>
      </x:c>
      <x:c r="AF312" s="6" t="str">
        <x:v>1.7205855314579537</x:v>
      </x:c>
      <x:c r="AG312" s="6" t="str">
        <x:v>1</x:v>
      </x:c>
      <x:c r="AH312" s="6" t="str">
        <x:v>0</x:v>
      </x:c>
      <x:c r="AI312" s="6" t="str">
        <x:v>2025-11</x:v>
      </x:c>
      <x:c r="AJ312" s="9" t="str">
        <x:v>NASA POWER (MERRA-2 meteorology)</x:v>
      </x:c>
      <x:c r="AK312" s="9" t="str">
        <x:v>Badan Informasi Geospasial (BIG)</x:v>
      </x:c>
      <x:c r="AL312" s="9" t="str">
        <x:v>https://power.larc.nasa.gov/docs/services/api/temporal/monthly/</x:v>
      </x:c>
      <x:c r="AM312" s="9" t="str">
        <x:v>https://geoservices.big.go.id/rbi/rest/services/BATASWILAYAH/BATAS_WILAYAH/MapServer/12</x:v>
      </x:c>
    </x:row>
    <x:row r="313" ht="18" customHeight="1">
      <x:c r="A313" s="6" t="str">
        <x:v>33</x:v>
      </x:c>
      <x:c r="B313" s="6" t="str">
        <x:v>JAWA TENGAH</x:v>
      </x:c>
      <x:c r="C313" s="6" t="str">
        <x:v>2025</x:v>
      </x:c>
      <x:c r="D313" s="6" t="str">
        <x:v>12</x:v>
      </x:c>
      <x:c r="E313" s="6" t="str">
        <x:v>25.533243861491968</x:v>
      </x:c>
      <x:c r="F313" s="9" t="str">
        <x:v>grid_cells_within_BIG_polygon</x:v>
      </x:c>
      <x:c r="G313" s="6" t="str">
        <x:v>7</x:v>
      </x:c>
      <x:c r="H313" s="8" t="str">
        <x:v>87.38778100014913</x:v>
      </x:c>
      <x:c r="I313" s="6" t="str">
        <x:v>10.074335328451516</x:v>
      </x:c>
      <x:c r="J313" s="6" t="str">
        <x:v>31</x:v>
      </x:c>
      <x:c r="K313" s="6" t="str">
        <x:v>312.304395181997</x:v>
      </x:c>
      <x:c r="L313" s="6" t="str">
        <x:v>25.446949116954258</x:v>
      </x:c>
      <x:c r="M313" s="6" t="str">
        <x:v>0.4910289885737732</x:v>
      </x:c>
      <x:c r="N313" s="6" t="str">
        <x:v>85.5979580224295</x:v>
      </x:c>
      <x:c r="O313" s="6" t="str">
        <x:v>2.1760663554467414</x:v>
      </x:c>
      <x:c r="P313" s="6" t="str">
        <x:v>286.63262457744037</x:v>
      </x:c>
      <x:c r="Q313" s="6" t="str">
        <x:v>71.5718847839245</x:v>
      </x:c>
      <x:c r="R313" s="6" t="str">
        <x:v>0.08629474453771024</x:v>
      </x:c>
      <x:c r="S313" s="8" t="str">
        <x:v>0.17574266804157357</x:v>
      </x:c>
      <x:c r="T313" s="6" t="str">
        <x:v>1.7898229777196377</x:v>
      </x:c>
      <x:c r="U313" s="8" t="str">
        <x:v>0.8225038603439973</x:v>
      </x:c>
      <x:c r="V313" s="6" t="str">
        <x:v>25.671770604556627</x:v>
      </x:c>
      <x:c r="W313" s="8" t="str">
        <x:v>0.3586851272962797</x:v>
      </x:c>
      <x:c r="X313" s="6" t="str">
        <x:v>-0.8977743425589166</x:v>
      </x:c>
      <x:c r="Y313" s="6" t="str">
        <x:v>-0.4694978420654271</x:v>
      </x:c>
      <x:c r="Z313" s="6" t="str">
        <x:v>-0.3971765055275906</x:v>
      </x:c>
      <x:c r="AA313" s="6" t="str">
        <x:v>1.2428400605577576</x:v>
      </x:c>
      <x:c r="AB313" s="6" t="str">
        <x:v>1.2208213641367665</x:v>
      </x:c>
      <x:c r="AC313" s="6" t="str">
        <x:v>1.0953884283461741</x:v>
      </x:c>
      <x:c r="AD313" s="6" t="str">
        <x:v>1.1879470156978285</x:v>
      </x:c>
      <x:c r="AE313" s="6" t="str">
        <x:v>2.1589075933656536</x:v>
      </x:c>
      <x:c r="AF313" s="6" t="str">
        <x:v>1.235179912119921</x:v>
      </x:c>
      <x:c r="AG313" s="6" t="str">
        <x:v>0</x:v>
      </x:c>
      <x:c r="AH313" s="6" t="str">
        <x:v>0</x:v>
      </x:c>
      <x:c r="AI313" s="6" t="str">
        <x:v>2025-12</x:v>
      </x:c>
      <x:c r="AJ313" s="9" t="str">
        <x:v>NASA POWER (MERRA-2 meteorology)</x:v>
      </x:c>
      <x:c r="AK313" s="9" t="str">
        <x:v>Badan Informasi Geospasial (BIG)</x:v>
      </x:c>
      <x:c r="AL313" s="9" t="str">
        <x:v>https://power.larc.nasa.gov/docs/services/api/temporal/monthly/</x:v>
      </x:c>
      <x:c r="AM313" s="9" t="str">
        <x:v>https://geoservices.big.go.id/rbi/rest/services/BATASWILAYAH/BATAS_WILAYAH/MapServer/12</x:v>
      </x:c>
    </x:row>
    <x:row r="314" ht="18" customHeight="1">
      <x:c r="A314" s="6" t="str">
        <x:v>34</x:v>
      </x:c>
      <x:c r="B314" s="6" t="str">
        <x:v>DI YOGYAKARTA</x:v>
      </x:c>
      <x:c r="C314" s="6" t="str">
        <x:v>2024</x:v>
      </x:c>
      <x:c r="D314" s="6" t="str">
        <x:v>1</x:v>
      </x:c>
      <x:c r="E314" s="6" t="str">
        <x:v>26.89</x:v>
      </x:c>
      <x:c r="F314" s="9" t="str">
        <x:v>grid_cells_within_BIG_polygon</x:v>
      </x:c>
      <x:c r="G314" s="6" t="str">
        <x:v>1</x:v>
      </x:c>
      <x:c r="H314" s="8" t="str">
        <x:v>86.4</x:v>
      </x:c>
      <x:c r="I314" s="6" t="str">
        <x:v>10.91</x:v>
      </x:c>
      <x:c r="J314" s="6" t="str">
        <x:v>31</x:v>
      </x:c>
      <x:c r="K314" s="6" t="str">
        <x:v>338.21</x:v>
      </x:c>
      <x:c r="L314" s="6" t="str">
        <x:v>25.927</x:v>
      </x:c>
      <x:c r="M314" s="6" t="str">
        <x:v>0.42545837350580884</x:v>
      </x:c>
      <x:c r="N314" s="6" t="str">
        <x:v>86.557</x:v>
      </x:c>
      <x:c r="O314" s="6" t="str">
        <x:v>1.9051330843186565</x:v>
      </x:c>
      <x:c r="P314" s="6" t="str">
        <x:v>334.2006666666667</x:v>
      </x:c>
      <x:c r="Q314" s="6" t="str">
        <x:v>125.34055704726838</x:v>
      </x:c>
      <x:c r="R314" s="6" t="str">
        <x:v>0.963000000000001</x:v>
      </x:c>
      <x:c r="S314" s="8" t="str">
        <x:v>2.263441173021955</x:v>
      </x:c>
      <x:c r="T314" s="6" t="str">
        <x:v>-0.15699999999999648</x:v>
      </x:c>
      <x:c r="U314" s="8" t="str">
        <x:v>-0.0824089410300411</x:v>
      </x:c>
      <x:c r="V314" s="6" t="str">
        <x:v>4.009333333333302</x:v>
      </x:c>
      <x:c r="W314" s="8" t="str">
        <x:v>0.031987518069042126</x:v>
      </x:c>
      <x:c r="X314" s="6" t="str">
        <x:v>1.1611334226688086</x:v>
      </x:c>
      <x:c r="Y314" s="6" t="str">
        <x:v>1.713527968803953</x:v>
      </x:c>
      <x:c r="Z314" s="6" t="str">
        <x:v>1.7127008548315723</x:v>
      </x:c>
      <x:c r="AA314" s="6" t="str">
        <x:v>-1.0477875990719325</x:v>
      </x:c>
      <x:c r="AB314" s="6" t="str">
        <x:v>-0.8332717560506113</x:v>
      </x:c>
      <x:c r="AC314" s="6" t="str">
        <x:v>-0.6544894320508621</x:v>
      </x:c>
      <x:c r="AD314" s="6" t="str">
        <x:v>0.21036351011512106</x:v>
      </x:c>
      <x:c r="AE314" s="6" t="str">
        <x:v>-0.1652184329760817</x:v>
      </x:c>
      <x:c r="AF314" s="6" t="str">
        <x:v>0.025710865069360562</x:v>
      </x:c>
      <x:c r="AG314" s="6" t="str">
        <x:v>0</x:v>
      </x:c>
      <x:c r="AH314" s="6" t="str">
        <x:v>1</x:v>
      </x:c>
      <x:c r="AI314" s="6" t="str">
        <x:v>2024-01</x:v>
      </x:c>
      <x:c r="AJ314" s="9" t="str">
        <x:v>NASA POWER (MERRA-2 meteorology)</x:v>
      </x:c>
      <x:c r="AK314" s="9" t="str">
        <x:v>Badan Informasi Geospasial (BIG)</x:v>
      </x:c>
      <x:c r="AL314" s="9" t="str">
        <x:v>https://power.larc.nasa.gov/docs/services/api/temporal/monthly/</x:v>
      </x:c>
      <x:c r="AM314" s="9" t="str">
        <x:v>https://geoservices.big.go.id/rbi/rest/services/BATASWILAYAH/BATAS_WILAYAH/MapServer/12</x:v>
      </x:c>
    </x:row>
    <x:row r="315" ht="18" customHeight="1">
      <x:c r="A315" s="6" t="str">
        <x:v>34</x:v>
      </x:c>
      <x:c r="B315" s="6" t="str">
        <x:v>DI YOGYAKARTA</x:v>
      </x:c>
      <x:c r="C315" s="6" t="str">
        <x:v>2024</x:v>
      </x:c>
      <x:c r="D315" s="6" t="str">
        <x:v>2</x:v>
      </x:c>
      <x:c r="E315" s="6" t="str">
        <x:v>27.18</x:v>
      </x:c>
      <x:c r="F315" s="9" t="str">
        <x:v>grid_cells_within_BIG_polygon</x:v>
      </x:c>
      <x:c r="G315" s="6" t="str">
        <x:v>1</x:v>
      </x:c>
      <x:c r="H315" s="8" t="str">
        <x:v>85.56</x:v>
      </x:c>
      <x:c r="I315" s="6" t="str">
        <x:v>9.25</x:v>
      </x:c>
      <x:c r="J315" s="6" t="str">
        <x:v>29</x:v>
      </x:c>
      <x:c r="K315" s="6" t="str">
        <x:v>268.25</x:v>
      </x:c>
      <x:c r="L315" s="6" t="str">
        <x:v>25.956666666666667</x:v>
      </x:c>
      <x:c r="M315" s="6" t="str">
        <x:v>0.4209867991487038</x:v>
      </x:c>
      <x:c r="N315" s="6" t="str">
        <x:v>87.17133333333332</x:v>
      </x:c>
      <x:c r="O315" s="6" t="str">
        <x:v>1.5286025471411544</x:v>
      </x:c>
      <x:c r="P315" s="6" t="str">
        <x:v>314.9676666666667</x:v>
      </x:c>
      <x:c r="Q315" s="6" t="str">
        <x:v>112.83456659422123</x:v>
      </x:c>
      <x:c r="R315" s="6" t="str">
        <x:v>1.2233333333333327</x:v>
      </x:c>
      <x:c r="S315" s="8" t="str">
        <x:v>2.9058710054735437</x:v>
      </x:c>
      <x:c r="T315" s="6" t="str">
        <x:v>-1.6113333333333202</x:v>
      </x:c>
      <x:c r="U315" s="8" t="str">
        <x:v>-1.0541218424284924</x:v>
      </x:c>
      <x:c r="V315" s="6" t="str">
        <x:v>-46.71766666666667</x:v>
      </x:c>
      <x:c r="W315" s="8" t="str">
        <x:v>-0.4140368335412146</x:v>
      </x:c>
      <x:c r="X315" s="6" t="str">
        <x:v>2.263441173021955</x:v>
      </x:c>
      <x:c r="Y315" s="6" t="str">
        <x:v>1.1611334226688086</x:v>
      </x:c>
      <x:c r="Z315" s="6" t="str">
        <x:v>2.1101485337214356</x:v>
      </x:c>
      <x:c r="AA315" s="6" t="str">
        <x:v>-0.0824089410300411</x:v>
      </x:c>
      <x:c r="AB315" s="6" t="str">
        <x:v>-1.0477875990719325</x:v>
      </x:c>
      <x:c r="AC315" s="6" t="str">
        <x:v>-0.7281061275101557</x:v>
      </x:c>
      <x:c r="AD315" s="6" t="str">
        <x:v>0.031987518069042126</x:v>
      </x:c>
      <x:c r="AE315" s="6" t="str">
        <x:v>0.21036351011512106</x:v>
      </x:c>
      <x:c r="AF315" s="6" t="str">
        <x:v>-0.05722860178568374</x:v>
      </x:c>
      <x:c r="AG315" s="6" t="str">
        <x:v>0</x:v>
      </x:c>
      <x:c r="AH315" s="6" t="str">
        <x:v>1</x:v>
      </x:c>
      <x:c r="AI315" s="6" t="str">
        <x:v>2024-02</x:v>
      </x:c>
      <x:c r="AJ315" s="9" t="str">
        <x:v>NASA POWER (MERRA-2 meteorology)</x:v>
      </x:c>
      <x:c r="AK315" s="9" t="str">
        <x:v>Badan Informasi Geospasial (BIG)</x:v>
      </x:c>
      <x:c r="AL315" s="9" t="str">
        <x:v>https://power.larc.nasa.gov/docs/services/api/temporal/monthly/</x:v>
      </x:c>
      <x:c r="AM315" s="9" t="str">
        <x:v>https://geoservices.big.go.id/rbi/rest/services/BATASWILAYAH/BATAS_WILAYAH/MapServer/12</x:v>
      </x:c>
    </x:row>
    <x:row r="316" ht="18" customHeight="1">
      <x:c r="A316" s="6" t="str">
        <x:v>34</x:v>
      </x:c>
      <x:c r="B316" s="6" t="str">
        <x:v>DI YOGYAKARTA</x:v>
      </x:c>
      <x:c r="C316" s="6" t="str">
        <x:v>2024</x:v>
      </x:c>
      <x:c r="D316" s="6" t="str">
        <x:v>3</x:v>
      </x:c>
      <x:c r="E316" s="6" t="str">
        <x:v>26.98</x:v>
      </x:c>
      <x:c r="F316" s="9" t="str">
        <x:v>grid_cells_within_BIG_polygon</x:v>
      </x:c>
      <x:c r="G316" s="6" t="str">
        <x:v>1</x:v>
      </x:c>
      <x:c r="H316" s="8" t="str">
        <x:v>86.84</x:v>
      </x:c>
      <x:c r="I316" s="6" t="str">
        <x:v>12.64</x:v>
      </x:c>
      <x:c r="J316" s="6" t="str">
        <x:v>31</x:v>
      </x:c>
      <x:c r="K316" s="6" t="str">
        <x:v>391.84000000000003</x:v>
      </x:c>
      <x:c r="L316" s="6" t="str">
        <x:v>26.176333333333332</x:v>
      </x:c>
      <x:c r="M316" s="6" t="str">
        <x:v>0.42515298125647033</x:v>
      </x:c>
      <x:c r="N316" s="6" t="str">
        <x:v>86.402</x:v>
      </x:c>
      <x:c r="O316" s="6" t="str">
        <x:v>1.5780201475921922</x:v>
      </x:c>
      <x:c r="P316" s="6" t="str">
        <x:v>228.005</x:v>
      </x:c>
      <x:c r="Q316" s="6" t="str">
        <x:v>94.45333187201041</x:v>
      </x:c>
      <x:c r="R316" s="6" t="str">
        <x:v>0.8036666666666683</x:v>
      </x:c>
      <x:c r="S316" s="8" t="str">
        <x:v>1.8902999675353622</x:v>
      </x:c>
      <x:c r="T316" s="6" t="str">
        <x:v>0.4380000000000024</x:v>
      </x:c>
      <x:c r="U316" s="8" t="str">
        <x:v>0.2775629960544678</x:v>
      </x:c>
      <x:c r="V316" s="6" t="str">
        <x:v>163.83500000000004</x:v>
      </x:c>
      <x:c r="W316" s="8" t="str">
        <x:v>1.734560303515875</x:v>
      </x:c>
      <x:c r="X316" s="6" t="str">
        <x:v>2.9058710054735437</x:v>
      </x:c>
      <x:c r="Y316" s="6" t="str">
        <x:v>2.263441173021955</x:v>
      </x:c>
      <x:c r="Z316" s="6" t="str">
        <x:v>2.3532040486769534</x:v>
      </x:c>
      <x:c r="AA316" s="6" t="str">
        <x:v>-1.0541218424284924</x:v>
      </x:c>
      <x:c r="AB316" s="6" t="str">
        <x:v>-0.0824089410300411</x:v>
      </x:c>
      <x:c r="AC316" s="6" t="str">
        <x:v>-0.2863225958013556</x:v>
      </x:c>
      <x:c r="AD316" s="6" t="str">
        <x:v>-0.4140368335412146</x:v>
      </x:c>
      <x:c r="AE316" s="6" t="str">
        <x:v>0.031987518069042126</x:v>
      </x:c>
      <x:c r="AF316" s="6" t="str">
        <x:v>0.45083699601456756</x:v>
      </x:c>
      <x:c r="AG316" s="6" t="str">
        <x:v>1</x:v>
      </x:c>
      <x:c r="AH316" s="6" t="str">
        <x:v>1</x:v>
      </x:c>
      <x:c r="AI316" s="6" t="str">
        <x:v>2024-03</x:v>
      </x:c>
      <x:c r="AJ316" s="9" t="str">
        <x:v>NASA POWER (MERRA-2 meteorology)</x:v>
      </x:c>
      <x:c r="AK316" s="9" t="str">
        <x:v>Badan Informasi Geospasial (BIG)</x:v>
      </x:c>
      <x:c r="AL316" s="9" t="str">
        <x:v>https://power.larc.nasa.gov/docs/services/api/temporal/monthly/</x:v>
      </x:c>
      <x:c r="AM316" s="9" t="str">
        <x:v>https://geoservices.big.go.id/rbi/rest/services/BATASWILAYAH/BATAS_WILAYAH/MapServer/12</x:v>
      </x:c>
    </x:row>
    <x:row r="317" ht="18" customHeight="1">
      <x:c r="A317" s="6" t="str">
        <x:v>34</x:v>
      </x:c>
      <x:c r="B317" s="6" t="str">
        <x:v>DI YOGYAKARTA</x:v>
      </x:c>
      <x:c r="C317" s="6" t="str">
        <x:v>2024</x:v>
      </x:c>
      <x:c r="D317" s="6" t="str">
        <x:v>4</x:v>
      </x:c>
      <x:c r="E317" s="6" t="str">
        <x:v>27.23</x:v>
      </x:c>
      <x:c r="F317" s="9" t="str">
        <x:v>grid_cells_within_BIG_polygon</x:v>
      </x:c>
      <x:c r="G317" s="6" t="str">
        <x:v>1</x:v>
      </x:c>
      <x:c r="H317" s="8" t="str">
        <x:v>88.05</x:v>
      </x:c>
      <x:c r="I317" s="6" t="str">
        <x:v>10.51</x:v>
      </x:c>
      <x:c r="J317" s="6" t="str">
        <x:v>30</x:v>
      </x:c>
      <x:c r="K317" s="6" t="str">
        <x:v>315.3</x:v>
      </x:c>
      <x:c r="L317" s="6" t="str">
        <x:v>26.35033333333333</x:v>
      </x:c>
      <x:c r="M317" s="6" t="str">
        <x:v>0.4663836169516666</x:v>
      </x:c>
      <x:c r="N317" s="6" t="str">
        <x:v>85.80266666666667</x:v>
      </x:c>
      <x:c r="O317" s="6" t="str">
        <x:v>1.0319012694463887</x:v>
      </x:c>
      <x:c r="P317" s="6" t="str">
        <x:v>183.63</x:v>
      </x:c>
      <x:c r="Q317" s="6" t="str">
        <x:v>70.13668010785601</x:v>
      </x:c>
      <x:c r="R317" s="6" t="str">
        <x:v>0.8796666666666688</x:v>
      </x:c>
      <x:c r="S317" s="8" t="str">
        <x:v>1.88614401255401</x:v>
      </x:c>
      <x:c r="T317" s="6" t="str">
        <x:v>2.24733333333333</x:v>
      </x:c>
      <x:c r="U317" s="8" t="str">
        <x:v>2.17785693251353</x:v>
      </x:c>
      <x:c r="V317" s="6" t="str">
        <x:v>131.67000000000002</x:v>
      </x:c>
      <x:c r="W317" s="8" t="str">
        <x:v>1.8773343676592367</x:v>
      </x:c>
      <x:c r="X317" s="6" t="str">
        <x:v>1.8902999675353622</x:v>
      </x:c>
      <x:c r="Y317" s="6" t="str">
        <x:v>2.9058710054735437</x:v>
      </x:c>
      <x:c r="Z317" s="6" t="str">
        <x:v>2.227438328520972</x:v>
      </x:c>
      <x:c r="AA317" s="6" t="str">
        <x:v>0.2775629960544678</x:v>
      </x:c>
      <x:c r="AB317" s="6" t="str">
        <x:v>-1.0541218424284924</x:v>
      </x:c>
      <x:c r="AC317" s="6" t="str">
        <x:v>0.46709936204650143</x:v>
      </x:c>
      <x:c r="AD317" s="6" t="str">
        <x:v>1.734560303515875</x:v>
      </x:c>
      <x:c r="AE317" s="6" t="str">
        <x:v>-0.4140368335412146</x:v>
      </x:c>
      <x:c r="AF317" s="6" t="str">
        <x:v>1.0659526125446324</x:v>
      </x:c>
      <x:c r="AG317" s="6" t="str">
        <x:v>1</x:v>
      </x:c>
      <x:c r="AH317" s="6" t="str">
        <x:v>1</x:v>
      </x:c>
      <x:c r="AI317" s="6" t="str">
        <x:v>2024-04</x:v>
      </x:c>
      <x:c r="AJ317" s="9" t="str">
        <x:v>NASA POWER (MERRA-2 meteorology)</x:v>
      </x:c>
      <x:c r="AK317" s="9" t="str">
        <x:v>Badan Informasi Geospasial (BIG)</x:v>
      </x:c>
      <x:c r="AL317" s="9" t="str">
        <x:v>https://power.larc.nasa.gov/docs/services/api/temporal/monthly/</x:v>
      </x:c>
      <x:c r="AM317" s="9" t="str">
        <x:v>https://geoservices.big.go.id/rbi/rest/services/BATASWILAYAH/BATAS_WILAYAH/MapServer/12</x:v>
      </x:c>
    </x:row>
    <x:row r="318" ht="18" customHeight="1">
      <x:c r="A318" s="6" t="str">
        <x:v>34</x:v>
      </x:c>
      <x:c r="B318" s="6" t="str">
        <x:v>DI YOGYAKARTA</x:v>
      </x:c>
      <x:c r="C318" s="6" t="str">
        <x:v>2024</x:v>
      </x:c>
      <x:c r="D318" s="6" t="str">
        <x:v>5</x:v>
      </x:c>
      <x:c r="E318" s="6" t="str">
        <x:v>26.25</x:v>
      </x:c>
      <x:c r="F318" s="9" t="str">
        <x:v>grid_cells_within_BIG_polygon</x:v>
      </x:c>
      <x:c r="G318" s="6" t="str">
        <x:v>1</x:v>
      </x:c>
      <x:c r="H318" s="8" t="str">
        <x:v>87.24</x:v>
      </x:c>
      <x:c r="I318" s="6" t="str">
        <x:v>1.7</x:v>
      </x:c>
      <x:c r="J318" s="6" t="str">
        <x:v>31</x:v>
      </x:c>
      <x:c r="K318" s="6" t="str">
        <x:v>52.699999999999996</x:v>
      </x:c>
      <x:c r="L318" s="6" t="str">
        <x:v>25.999333333333333</x:v>
      </x:c>
      <x:c r="M318" s="6" t="str">
        <x:v>0.5265563684881244</x:v>
      </x:c>
      <x:c r="N318" s="6" t="str">
        <x:v>84.82166666666667</x:v>
      </x:c>
      <x:c r="O318" s="6" t="str">
        <x:v>1.4377834553116218</x:v>
      </x:c>
      <x:c r="P318" s="6" t="str">
        <x:v>122.62566666666666</x:v>
      </x:c>
      <x:c r="Q318" s="6" t="str">
        <x:v>80.46852032523857</x:v>
      </x:c>
      <x:c r="R318" s="6" t="str">
        <x:v>0.2506666666666675</x:v>
      </x:c>
      <x:c r="S318" s="8" t="str">
        <x:v>0.4760490645785834</x:v>
      </x:c>
      <x:c r="T318" s="6" t="str">
        <x:v>2.4183333333333223</x:v>
      </x:c>
      <x:c r="U318" s="8" t="str">
        <x:v>1.6819871757455844</x:v>
      </x:c>
      <x:c r="V318" s="6" t="str">
        <x:v>-69.92566666666667</x:v>
      </x:c>
      <x:c r="W318" s="8" t="str">
        <x:v>-0.8689816388326804</x:v>
      </x:c>
      <x:c r="X318" s="6" t="str">
        <x:v>1.88614401255401</x:v>
      </x:c>
      <x:c r="Y318" s="6" t="str">
        <x:v>1.8902999675353622</x:v>
      </x:c>
      <x:c r="Z318" s="6" t="str">
        <x:v>1.4174976815559852</x:v>
      </x:c>
      <x:c r="AA318" s="6" t="str">
        <x:v>2.17785693251353</x:v>
      </x:c>
      <x:c r="AB318" s="6" t="str">
        <x:v>0.2775629960544678</x:v>
      </x:c>
      <x:c r="AC318" s="6" t="str">
        <x:v>1.3791357014378605</x:v>
      </x:c>
      <x:c r="AD318" s="6" t="str">
        <x:v>1.8773343676592367</x:v>
      </x:c>
      <x:c r="AE318" s="6" t="str">
        <x:v>1.734560303515875</x:v>
      </x:c>
      <x:c r="AF318" s="6" t="str">
        <x:v>0.9143043441141439</x:v>
      </x:c>
      <x:c r="AG318" s="6" t="str">
        <x:v>0</x:v>
      </x:c>
      <x:c r="AH318" s="6" t="str">
        <x:v>0</x:v>
      </x:c>
      <x:c r="AI318" s="6" t="str">
        <x:v>2024-05</x:v>
      </x:c>
      <x:c r="AJ318" s="9" t="str">
        <x:v>NASA POWER (MERRA-2 meteorology)</x:v>
      </x:c>
      <x:c r="AK318" s="9" t="str">
        <x:v>Badan Informasi Geospasial (BIG)</x:v>
      </x:c>
      <x:c r="AL318" s="9" t="str">
        <x:v>https://power.larc.nasa.gov/docs/services/api/temporal/monthly/</x:v>
      </x:c>
      <x:c r="AM318" s="9" t="str">
        <x:v>https://geoservices.big.go.id/rbi/rest/services/BATASWILAYAH/BATAS_WILAYAH/MapServer/12</x:v>
      </x:c>
    </x:row>
    <x:row r="319" ht="18" customHeight="1">
      <x:c r="A319" s="6" t="str">
        <x:v>34</x:v>
      </x:c>
      <x:c r="B319" s="6" t="str">
        <x:v>DI YOGYAKARTA</x:v>
      </x:c>
      <x:c r="C319" s="6" t="str">
        <x:v>2024</x:v>
      </x:c>
      <x:c r="D319" s="6" t="str">
        <x:v>6</x:v>
      </x:c>
      <x:c r="E319" s="6" t="str">
        <x:v>26.12</x:v>
      </x:c>
      <x:c r="F319" s="9" t="str">
        <x:v>grid_cells_within_BIG_polygon</x:v>
      </x:c>
      <x:c r="G319" s="6" t="str">
        <x:v>1</x:v>
      </x:c>
      <x:c r="H319" s="8" t="str">
        <x:v>85.88</x:v>
      </x:c>
      <x:c r="I319" s="6" t="str">
        <x:v>5.55</x:v>
      </x:c>
      <x:c r="J319" s="6" t="str">
        <x:v>30</x:v>
      </x:c>
      <x:c r="K319" s="6" t="str">
        <x:v>166.5</x:v>
      </x:c>
      <x:c r="L319" s="6" t="str">
        <x:v>25.323666666666668</x:v>
      </x:c>
      <x:c r="M319" s="6" t="str">
        <x:v>0.6601279047084075</x:v>
      </x:c>
      <x:c r="N319" s="6" t="str">
        <x:v>83.768</x:v>
      </x:c>
      <x:c r="O319" s="6" t="str">
        <x:v>2.64749901501072</x:v>
      </x:c>
      <x:c r="P319" s="6" t="str">
        <x:v>86.66000000000001</x:v>
      </x:c>
      <x:c r="Q319" s="6" t="str">
        <x:v>75.11245638007239</x:v>
      </x:c>
      <x:c r="R319" s="6" t="str">
        <x:v>0.7963333333333331</x:v>
      </x:c>
      <x:c r="S319" s="8" t="str">
        <x:v>1.2063318754644834</x:v>
      </x:c>
      <x:c r="T319" s="6" t="str">
        <x:v>2.1119999999999948</x:v>
      </x:c>
      <x:c r="U319" s="8" t="str">
        <x:v>0.7977340078411486</x:v>
      </x:c>
      <x:c r="V319" s="6" t="str">
        <x:v>79.83999999999999</x:v>
      </x:c>
      <x:c r="W319" s="8" t="str">
        <x:v>1.0629395422246082</x:v>
      </x:c>
      <x:c r="X319" s="6" t="str">
        <x:v>0.4760490645785834</x:v>
      </x:c>
      <x:c r="Y319" s="6" t="str">
        <x:v>1.88614401255401</x:v>
      </x:c>
      <x:c r="Z319" s="6" t="str">
        <x:v>1.189508317532359</x:v>
      </x:c>
      <x:c r="AA319" s="6" t="str">
        <x:v>1.6819871757455844</x:v>
      </x:c>
      <x:c r="AB319" s="6" t="str">
        <x:v>2.17785693251353</x:v>
      </x:c>
      <x:c r="AC319" s="6" t="str">
        <x:v>1.5525260387000872</x:v>
      </x:c>
      <x:c r="AD319" s="6" t="str">
        <x:v>-0.8689816388326804</x:v>
      </x:c>
      <x:c r="AE319" s="6" t="str">
        <x:v>1.8773343676592367</x:v>
      </x:c>
      <x:c r="AF319" s="6" t="str">
        <x:v>0.6904307570170548</x:v>
      </x:c>
      <x:c r="AG319" s="6" t="str">
        <x:v>1</x:v>
      </x:c>
      <x:c r="AH319" s="6" t="str">
        <x:v>1</x:v>
      </x:c>
      <x:c r="AI319" s="6" t="str">
        <x:v>2024-06</x:v>
      </x:c>
      <x:c r="AJ319" s="9" t="str">
        <x:v>NASA POWER (MERRA-2 meteorology)</x:v>
      </x:c>
      <x:c r="AK319" s="9" t="str">
        <x:v>Badan Informasi Geospasial (BIG)</x:v>
      </x:c>
      <x:c r="AL319" s="9" t="str">
        <x:v>https://power.larc.nasa.gov/docs/services/api/temporal/monthly/</x:v>
      </x:c>
      <x:c r="AM319" s="9" t="str">
        <x:v>https://geoservices.big.go.id/rbi/rest/services/BATASWILAYAH/BATAS_WILAYAH/MapServer/12</x:v>
      </x:c>
    </x:row>
    <x:row r="320" ht="18" customHeight="1">
      <x:c r="A320" s="6" t="str">
        <x:v>34</x:v>
      </x:c>
      <x:c r="B320" s="6" t="str">
        <x:v>DI YOGYAKARTA</x:v>
      </x:c>
      <x:c r="C320" s="6" t="str">
        <x:v>2024</x:v>
      </x:c>
      <x:c r="D320" s="6" t="str">
        <x:v>7</x:v>
      </x:c>
      <x:c r="E320" s="6" t="str">
        <x:v>25.06</x:v>
      </x:c>
      <x:c r="F320" s="9" t="str">
        <x:v>grid_cells_within_BIG_polygon</x:v>
      </x:c>
      <x:c r="G320" s="6" t="str">
        <x:v>1</x:v>
      </x:c>
      <x:c r="H320" s="8" t="str">
        <x:v>82.71</x:v>
      </x:c>
      <x:c r="I320" s="6" t="str">
        <x:v>1.04</x:v>
      </x:c>
      <x:c r="J320" s="6" t="str">
        <x:v>31</x:v>
      </x:c>
      <x:c r="K320" s="6" t="str">
        <x:v>32.24</x:v>
      </x:c>
      <x:c r="L320" s="6" t="str">
        <x:v>24.65266666666667</x:v>
      </x:c>
      <x:c r="M320" s="6" t="str">
        <x:v>0.752508143309511</x:v>
      </x:c>
      <x:c r="N320" s="6" t="str">
        <x:v>80.94699999999999</x:v>
      </x:c>
      <x:c r="O320" s="6" t="str">
        <x:v>3.789678496053223</x:v>
      </x:c>
      <x:c r="P320" s="6" t="str">
        <x:v>47.43</x:v>
      </x:c>
      <x:c r="Q320" s="6" t="str">
        <x:v>60.66470006917332</x:v>
      </x:c>
      <x:c r="R320" s="6" t="str">
        <x:v>0.4073333333333302</x:v>
      </x:c>
      <x:c r="S320" s="8" t="str">
        <x:v>0.5413008974785163</x:v>
      </x:c>
      <x:c r="T320" s="6" t="str">
        <x:v>1.7630000000000052</x:v>
      </x:c>
      <x:c r="U320" s="8" t="str">
        <x:v>0.46521096758896285</x:v>
      </x:c>
      <x:c r="V320" s="6" t="str">
        <x:v>-15.189999999999998</x:v>
      </x:c>
      <x:c r="W320" s="8" t="str">
        <x:v>-0.25039273222614633</x:v>
      </x:c>
      <x:c r="X320" s="6" t="str">
        <x:v>1.2063318754644834</x:v>
      </x:c>
      <x:c r="Y320" s="6" t="str">
        <x:v>0.4760490645785834</x:v>
      </x:c>
      <x:c r="Z320" s="6" t="str">
        <x:v>0.7412272791738612</x:v>
      </x:c>
      <x:c r="AA320" s="6" t="str">
        <x:v>0.7977340078411486</x:v>
      </x:c>
      <x:c r="AB320" s="6" t="str">
        <x:v>1.6819871757455844</x:v>
      </x:c>
      <x:c r="AC320" s="6" t="str">
        <x:v>0.9816440503918983</x:v>
      </x:c>
      <x:c r="AD320" s="6" t="str">
        <x:v>1.0629395422246082</x:v>
      </x:c>
      <x:c r="AE320" s="6" t="str">
        <x:v>-0.8689816388326804</x:v>
      </x:c>
      <x:c r="AF320" s="6" t="str">
        <x:v>-0.018811609611406155</x:v>
      </x:c>
      <x:c r="AG320" s="6" t="str">
        <x:v>0</x:v>
      </x:c>
      <x:c r="AH320" s="6" t="str">
        <x:v>0</x:v>
      </x:c>
      <x:c r="AI320" s="6" t="str">
        <x:v>2024-07</x:v>
      </x:c>
      <x:c r="AJ320" s="9" t="str">
        <x:v>NASA POWER (MERRA-2 meteorology)</x:v>
      </x:c>
      <x:c r="AK320" s="9" t="str">
        <x:v>Badan Informasi Geospasial (BIG)</x:v>
      </x:c>
      <x:c r="AL320" s="9" t="str">
        <x:v>https://power.larc.nasa.gov/docs/services/api/temporal/monthly/</x:v>
      </x:c>
      <x:c r="AM320" s="9" t="str">
        <x:v>https://geoservices.big.go.id/rbi/rest/services/BATASWILAYAH/BATAS_WILAYAH/MapServer/12</x:v>
      </x:c>
    </x:row>
    <x:row r="321" ht="18" customHeight="1">
      <x:c r="A321" s="6" t="str">
        <x:v>34</x:v>
      </x:c>
      <x:c r="B321" s="6" t="str">
        <x:v>DI YOGYAKARTA</x:v>
      </x:c>
      <x:c r="C321" s="6" t="str">
        <x:v>2024</x:v>
      </x:c>
      <x:c r="D321" s="6" t="str">
        <x:v>8</x:v>
      </x:c>
      <x:c r="E321" s="6" t="str">
        <x:v>24.86</x:v>
      </x:c>
      <x:c r="F321" s="9" t="str">
        <x:v>grid_cells_within_BIG_polygon</x:v>
      </x:c>
      <x:c r="G321" s="6" t="str">
        <x:v>1</x:v>
      </x:c>
      <x:c r="H321" s="8" t="str">
        <x:v>80.12</x:v>
      </x:c>
      <x:c r="I321" s="6" t="str">
        <x:v>0.8</x:v>
      </x:c>
      <x:c r="J321" s="6" t="str">
        <x:v>31</x:v>
      </x:c>
      <x:c r="K321" s="6" t="str">
        <x:v>24.8</x:v>
      </x:c>
      <x:c r="L321" s="6" t="str">
        <x:v>24.795</x:v>
      </x:c>
      <x:c r="M321" s="6" t="str">
        <x:v>0.5623028390099248</x:v>
      </x:c>
      <x:c r="N321" s="6" t="str">
        <x:v>76.58500000000001</x:v>
      </x:c>
      <x:c r="O321" s="6" t="str">
        <x:v>4.409939987080909</x:v>
      </x:c>
      <x:c r="P321" s="6" t="str">
        <x:v>30.741666666666667</x:v>
      </x:c>
      <x:c r="Q321" s="6" t="str">
        <x:v>42.848659503704056</x:v>
      </x:c>
      <x:c r="R321" s="6" t="str">
        <x:v>0.06499999999999773</x:v>
      </x:c>
      <x:c r="S321" s="8" t="str">
        <x:v>0.11559607295322664</x:v>
      </x:c>
      <x:c r="T321" s="6" t="str">
        <x:v>3.5349999999999966</x:v>
      </x:c>
      <x:c r="U321" s="8" t="str">
        <x:v>0.8015982100336777</x:v>
      </x:c>
      <x:c r="V321" s="6" t="str">
        <x:v>-5.941666666666666</x:v>
      </x:c>
      <x:c r="W321" s="8" t="str">
        <x:v>-0.13866633718501833</x:v>
      </x:c>
      <x:c r="X321" s="6" t="str">
        <x:v>0.5413008974785163</x:v>
      </x:c>
      <x:c r="Y321" s="6" t="str">
        <x:v>1.2063318754644834</x:v>
      </x:c>
      <x:c r="Z321" s="6" t="str">
        <x:v>0.6210762819654089</x:v>
      </x:c>
      <x:c r="AA321" s="6" t="str">
        <x:v>0.46521096758896285</x:v>
      </x:c>
      <x:c r="AB321" s="6" t="str">
        <x:v>0.7977340078411486</x:v>
      </x:c>
      <x:c r="AC321" s="6" t="str">
        <x:v>0.6881810618212626</x:v>
      </x:c>
      <x:c r="AD321" s="6" t="str">
        <x:v>-0.25039273222614633</x:v>
      </x:c>
      <x:c r="AE321" s="6" t="str">
        <x:v>1.0629395422246082</x:v>
      </x:c>
      <x:c r="AF321" s="6" t="str">
        <x:v>0.22462682427114788</x:v>
      </x:c>
      <x:c r="AG321" s="6" t="str">
        <x:v>0</x:v>
      </x:c>
      <x:c r="AH321" s="6" t="str">
        <x:v>0</x:v>
      </x:c>
      <x:c r="AI321" s="6" t="str">
        <x:v>2024-08</x:v>
      </x:c>
      <x:c r="AJ321" s="9" t="str">
        <x:v>NASA POWER (MERRA-2 meteorology)</x:v>
      </x:c>
      <x:c r="AK321" s="9" t="str">
        <x:v>Badan Informasi Geospasial (BIG)</x:v>
      </x:c>
      <x:c r="AL321" s="9" t="str">
        <x:v>https://power.larc.nasa.gov/docs/services/api/temporal/monthly/</x:v>
      </x:c>
      <x:c r="AM321" s="9" t="str">
        <x:v>https://geoservices.big.go.id/rbi/rest/services/BATASWILAYAH/BATAS_WILAYAH/MapServer/12</x:v>
      </x:c>
    </x:row>
    <x:row r="322" ht="18" customHeight="1">
      <x:c r="A322" s="6" t="str">
        <x:v>34</x:v>
      </x:c>
      <x:c r="B322" s="6" t="str">
        <x:v>DI YOGYAKARTA</x:v>
      </x:c>
      <x:c r="C322" s="6" t="str">
        <x:v>2024</x:v>
      </x:c>
      <x:c r="D322" s="6" t="str">
        <x:v>9</x:v>
      </x:c>
      <x:c r="E322" s="6" t="str">
        <x:v>26.0</x:v>
      </x:c>
      <x:c r="F322" s="9" t="str">
        <x:v>grid_cells_within_BIG_polygon</x:v>
      </x:c>
      <x:c r="G322" s="6" t="str">
        <x:v>1</x:v>
      </x:c>
      <x:c r="H322" s="8" t="str">
        <x:v>81.08</x:v>
      </x:c>
      <x:c r="I322" s="6" t="str">
        <x:v>6.49</x:v>
      </x:c>
      <x:c r="J322" s="6" t="str">
        <x:v>30</x:v>
      </x:c>
      <x:c r="K322" s="6" t="str">
        <x:v>194.70000000000002</x:v>
      </x:c>
      <x:c r="L322" s="6" t="str">
        <x:v>25.644333333333336</x:v>
      </x:c>
      <x:c r="M322" s="6" t="str">
        <x:v>0.5357990058899355</x:v>
      </x:c>
      <x:c r="N322" s="6" t="str">
        <x:v>74.466</x:v>
      </x:c>
      <x:c r="O322" s="6" t="str">
        <x:v>5.089683683688013</x:v>
      </x:c>
      <x:c r="P322" s="6" t="str">
        <x:v>63.46</x:v>
      </x:c>
      <x:c r="Q322" s="6" t="str">
        <x:v>101.01958021199106</x:v>
      </x:c>
      <x:c r="R322" s="6" t="str">
        <x:v>0.35566666666666436</x:v>
      </x:c>
      <x:c r="S322" s="8" t="str">
        <x:v>0.6638061339362131</x:v>
      </x:c>
      <x:c r="T322" s="6" t="str">
        <x:v>6.614000000000004</x:v>
      </x:c>
      <x:c r="U322" s="8" t="str">
        <x:v>1.2994913654845175</x:v>
      </x:c>
      <x:c r="V322" s="6" t="str">
        <x:v>131.24</x:v>
      </x:c>
      <x:c r="W322" s="8" t="str">
        <x:v>1.2991540820560823</x:v>
      </x:c>
      <x:c r="X322" s="6" t="str">
        <x:v>0.11559607295322664</x:v>
      </x:c>
      <x:c r="Y322" s="6" t="str">
        <x:v>0.5413008974785163</x:v>
      </x:c>
      <x:c r="Z322" s="6" t="str">
        <x:v>0.44023436812265215</x:v>
      </x:c>
      <x:c r="AA322" s="6" t="str">
        <x:v>0.8015982100336777</x:v>
      </x:c>
      <x:c r="AB322" s="6" t="str">
        <x:v>0.46521096758896285</x:v>
      </x:c>
      <x:c r="AC322" s="6" t="str">
        <x:v>0.8554335143690522</x:v>
      </x:c>
      <x:c r="AD322" s="6" t="str">
        <x:v>-0.13866633718501833</x:v>
      </x:c>
      <x:c r="AE322" s="6" t="str">
        <x:v>-0.25039273222614633</x:v>
      </x:c>
      <x:c r="AF322" s="6" t="str">
        <x:v>0.3033650042149726</x:v>
      </x:c>
      <x:c r="AG322" s="6" t="str">
        <x:v>1</x:v>
      </x:c>
      <x:c r="AH322" s="6" t="str">
        <x:v>0</x:v>
      </x:c>
      <x:c r="AI322" s="6" t="str">
        <x:v>2024-09</x:v>
      </x:c>
      <x:c r="AJ322" s="9" t="str">
        <x:v>NASA POWER (MERRA-2 meteorology)</x:v>
      </x:c>
      <x:c r="AK322" s="9" t="str">
        <x:v>Badan Informasi Geospasial (BIG)</x:v>
      </x:c>
      <x:c r="AL322" s="9" t="str">
        <x:v>https://power.larc.nasa.gov/docs/services/api/temporal/monthly/</x:v>
      </x:c>
      <x:c r="AM322" s="9" t="str">
        <x:v>https://geoservices.big.go.id/rbi/rest/services/BATASWILAYAH/BATAS_WILAYAH/MapServer/12</x:v>
      </x:c>
    </x:row>
    <x:row r="323" ht="18" customHeight="1">
      <x:c r="A323" s="6" t="str">
        <x:v>34</x:v>
      </x:c>
      <x:c r="B323" s="6" t="str">
        <x:v>DI YOGYAKARTA</x:v>
      </x:c>
      <x:c r="C323" s="6" t="str">
        <x:v>2024</x:v>
      </x:c>
      <x:c r="D323" s="6" t="str">
        <x:v>10</x:v>
      </x:c>
      <x:c r="E323" s="6" t="str">
        <x:v>26.99</x:v>
      </x:c>
      <x:c r="F323" s="9" t="str">
        <x:v>grid_cells_within_BIG_polygon</x:v>
      </x:c>
      <x:c r="G323" s="6" t="str">
        <x:v>1</x:v>
      </x:c>
      <x:c r="H323" s="8" t="str">
        <x:v>79.44</x:v>
      </x:c>
      <x:c r="I323" s="6" t="str">
        <x:v>3.89</x:v>
      </x:c>
      <x:c r="J323" s="6" t="str">
        <x:v>31</x:v>
      </x:c>
      <x:c r="K323" s="6" t="str">
        <x:v>120.59</x:v>
      </x:c>
      <x:c r="L323" s="6" t="str">
        <x:v>26.398000000000003</x:v>
      </x:c>
      <x:c r="M323" s="6" t="str">
        <x:v>0.4531833761445717</x:v>
      </x:c>
      <x:c r="N323" s="6" t="str">
        <x:v>76.57066666666667</x:v>
      </x:c>
      <x:c r="O323" s="6" t="str">
        <x:v>5.61943544429898</x:v>
      </x:c>
      <x:c r="P323" s="6" t="str">
        <x:v>139.531</x:v>
      </x:c>
      <x:c r="Q323" s="6" t="str">
        <x:v>111.12163265446159</x:v>
      </x:c>
      <x:c r="R323" s="6" t="str">
        <x:v>0.5919999999999952</x:v>
      </x:c>
      <x:c r="S323" s="8" t="str">
        <x:v>1.3063144659815127</x:v>
      </x:c>
      <x:c r="T323" s="6" t="str">
        <x:v>2.86933333333333</x:v>
      </x:c>
      <x:c r="U323" s="8" t="str">
        <x:v>0.5106088257040698</x:v>
      </x:c>
      <x:c r="V323" s="6" t="str">
        <x:v>-18.941000000000003</x:v>
      </x:c>
      <x:c r="W323" s="8" t="str">
        <x:v>-0.17045285915567865</x:v>
      </x:c>
      <x:c r="X323" s="6" t="str">
        <x:v>0.6638061339362131</x:v>
      </x:c>
      <x:c r="Y323" s="6" t="str">
        <x:v>0.11559607295322664</x:v>
      </x:c>
      <x:c r="Z323" s="6" t="str">
        <x:v>0.6952388909569843</x:v>
      </x:c>
      <x:c r="AA323" s="6" t="str">
        <x:v>1.2994913654845175</x:v>
      </x:c>
      <x:c r="AB323" s="6" t="str">
        <x:v>0.8015982100336777</x:v>
      </x:c>
      <x:c r="AC323" s="6" t="str">
        <x:v>0.8705661337407546</x:v>
      </x:c>
      <x:c r="AD323" s="6" t="str">
        <x:v>1.2991540820560823</x:v>
      </x:c>
      <x:c r="AE323" s="6" t="str">
        <x:v>-0.13866633718501833</x:v>
      </x:c>
      <x:c r="AF323" s="6" t="str">
        <x:v>0.33001162857179517</x:v>
      </x:c>
      <x:c r="AG323" s="6" t="str">
        <x:v>0</x:v>
      </x:c>
      <x:c r="AH323" s="6" t="str">
        <x:v>1</x:v>
      </x:c>
      <x:c r="AI323" s="6" t="str">
        <x:v>2024-10</x:v>
      </x:c>
      <x:c r="AJ323" s="9" t="str">
        <x:v>NASA POWER (MERRA-2 meteorology)</x:v>
      </x:c>
      <x:c r="AK323" s="9" t="str">
        <x:v>Badan Informasi Geospasial (BIG)</x:v>
      </x:c>
      <x:c r="AL323" s="9" t="str">
        <x:v>https://power.larc.nasa.gov/docs/services/api/temporal/monthly/</x:v>
      </x:c>
      <x:c r="AM323" s="9" t="str">
        <x:v>https://geoservices.big.go.id/rbi/rest/services/BATASWILAYAH/BATAS_WILAYAH/MapServer/12</x:v>
      </x:c>
    </x:row>
    <x:row r="324" ht="18" customHeight="1">
      <x:c r="A324" s="6" t="str">
        <x:v>34</x:v>
      </x:c>
      <x:c r="B324" s="6" t="str">
        <x:v>DI YOGYAKARTA</x:v>
      </x:c>
      <x:c r="C324" s="6" t="str">
        <x:v>2024</x:v>
      </x:c>
      <x:c r="D324" s="6" t="str">
        <x:v>11</x:v>
      </x:c>
      <x:c r="E324" s="6" t="str">
        <x:v>27.22</x:v>
      </x:c>
      <x:c r="F324" s="9" t="str">
        <x:v>grid_cells_within_BIG_polygon</x:v>
      </x:c>
      <x:c r="G324" s="6" t="str">
        <x:v>1</x:v>
      </x:c>
      <x:c r="H324" s="8" t="str">
        <x:v>85.69</x:v>
      </x:c>
      <x:c r="I324" s="6" t="str">
        <x:v>11.63</x:v>
      </x:c>
      <x:c r="J324" s="6" t="str">
        <x:v>30</x:v>
      </x:c>
      <x:c r="K324" s="6" t="str">
        <x:v>348.90000000000003</x:v>
      </x:c>
      <x:c r="L324" s="6" t="str">
        <x:v>26.395666666666667</x:v>
      </x:c>
      <x:c r="M324" s="6" t="str">
        <x:v>0.5744483610736737</x:v>
      </x:c>
      <x:c r="N324" s="6" t="str">
        <x:v>82.29166666666667</x:v>
      </x:c>
      <x:c r="O324" s="6" t="str">
        <x:v>4.0823016524516165</x:v>
      </x:c>
      <x:c r="P324" s="6" t="str">
        <x:v>232.41</x:v>
      </x:c>
      <x:c r="Q324" s="6" t="str">
        <x:v>81.16527773835823</x:v>
      </x:c>
      <x:c r="R324" s="6" t="str">
        <x:v>0.8243333333333318</x:v>
      </x:c>
      <x:c r="S324" s="8" t="str">
        <x:v>1.4349998871832625</x:v>
      </x:c>
      <x:c r="T324" s="6" t="str">
        <x:v>3.3983333333333263</x:v>
      </x:c>
      <x:c r="U324" s="8" t="str">
        <x:v>0.832455223217634</x:v>
      </x:c>
      <x:c r="V324" s="6" t="str">
        <x:v>116.49000000000004</x:v>
      </x:c>
      <x:c r="W324" s="8" t="str">
        <x:v>1.4352196314231</x:v>
      </x:c>
      <x:c r="X324" s="6" t="str">
        <x:v>1.3063144659815127</x:v>
      </x:c>
      <x:c r="Y324" s="6" t="str">
        <x:v>0.6638061339362131</x:v>
      </x:c>
      <x:c r="Z324" s="6" t="str">
        <x:v>1.1350401623669963</x:v>
      </x:c>
      <x:c r="AA324" s="6" t="str">
        <x:v>0.5106088257040698</x:v>
      </x:c>
      <x:c r="AB324" s="6" t="str">
        <x:v>1.2994913654845175</x:v>
      </x:c>
      <x:c r="AC324" s="6" t="str">
        <x:v>0.8808518048020734</x:v>
      </x:c>
      <x:c r="AD324" s="6" t="str">
        <x:v>-0.17045285915567865</x:v>
      </x:c>
      <x:c r="AE324" s="6" t="str">
        <x:v>1.2991540820560823</x:v>
      </x:c>
      <x:c r="AF324" s="6" t="str">
        <x:v>0.8546402847745013</x:v>
      </x:c>
      <x:c r="AG324" s="6" t="str">
        <x:v>1</x:v>
      </x:c>
      <x:c r="AH324" s="6" t="str">
        <x:v>1</x:v>
      </x:c>
      <x:c r="AI324" s="6" t="str">
        <x:v>2024-11</x:v>
      </x:c>
      <x:c r="AJ324" s="9" t="str">
        <x:v>NASA POWER (MERRA-2 meteorology)</x:v>
      </x:c>
      <x:c r="AK324" s="9" t="str">
        <x:v>Badan Informasi Geospasial (BIG)</x:v>
      </x:c>
      <x:c r="AL324" s="9" t="str">
        <x:v>https://power.larc.nasa.gov/docs/services/api/temporal/monthly/</x:v>
      </x:c>
      <x:c r="AM324" s="9" t="str">
        <x:v>https://geoservices.big.go.id/rbi/rest/services/BATASWILAYAH/BATAS_WILAYAH/MapServer/12</x:v>
      </x:c>
    </x:row>
    <x:row r="325" ht="18" customHeight="1">
      <x:c r="A325" s="6" t="str">
        <x:v>34</x:v>
      </x:c>
      <x:c r="B325" s="6" t="str">
        <x:v>DI YOGYAKARTA</x:v>
      </x:c>
      <x:c r="C325" s="6" t="str">
        <x:v>2024</x:v>
      </x:c>
      <x:c r="D325" s="6" t="str">
        <x:v>12</x:v>
      </x:c>
      <x:c r="E325" s="6" t="str">
        <x:v>26.52</x:v>
      </x:c>
      <x:c r="F325" s="9" t="str">
        <x:v>grid_cells_within_BIG_polygon</x:v>
      </x:c>
      <x:c r="G325" s="6" t="str">
        <x:v>1</x:v>
      </x:c>
      <x:c r="H325" s="8" t="str">
        <x:v>88.16</x:v>
      </x:c>
      <x:c r="I325" s="6" t="str">
        <x:v>10.44</x:v>
      </x:c>
      <x:c r="J325" s="6" t="str">
        <x:v>31</x:v>
      </x:c>
      <x:c r="K325" s="6" t="str">
        <x:v>323.64</x:v>
      </x:c>
      <x:c r="L325" s="6" t="str">
        <x:v>26.006000000000004</x:v>
      </x:c>
      <x:c r="M325" s="6" t="str">
        <x:v>0.4943445678108925</x:v>
      </x:c>
      <x:c r="N325" s="6" t="str">
        <x:v>85.30266666666667</x:v>
      </x:c>
      <x:c r="O325" s="6" t="str">
        <x:v>2.2071903396404897</x:v>
      </x:c>
      <x:c r="P325" s="6" t="str">
        <x:v>280.01266666666663</x:v>
      </x:c>
      <x:c r="Q325" s="6" t="str">
        <x:v>80.65720772603596</x:v>
      </x:c>
      <x:c r="R325" s="6" t="str">
        <x:v>0.5139999999999958</x:v>
      </x:c>
      <x:c r="S325" s="8" t="str">
        <x:v>1.0397605910309555</x:v>
      </x:c>
      <x:c r="T325" s="6" t="str">
        <x:v>2.8573333333333295</x:v>
      </x:c>
      <x:c r="U325" s="8" t="str">
        <x:v>1.2945568318311578</x:v>
      </x:c>
      <x:c r="V325" s="6" t="str">
        <x:v>43.627333333333354</x:v>
      </x:c>
      <x:c r="W325" s="8" t="str">
        <x:v>0.5408981362399748</x:v>
      </x:c>
      <x:c r="X325" s="6" t="str">
        <x:v>1.4349998871832625</x:v>
      </x:c>
      <x:c r="Y325" s="6" t="str">
        <x:v>1.3063144659815127</x:v>
      </x:c>
      <x:c r="Z325" s="6" t="str">
        <x:v>1.2603583147319102</x:v>
      </x:c>
      <x:c r="AA325" s="6" t="str">
        <x:v>0.832455223217634</x:v>
      </x:c>
      <x:c r="AB325" s="6" t="str">
        <x:v>0.5106088257040698</x:v>
      </x:c>
      <x:c r="AC325" s="6" t="str">
        <x:v>0.8792069602509535</x:v>
      </x:c>
      <x:c r="AD325" s="6" t="str">
        <x:v>1.4352196314231</x:v>
      </x:c>
      <x:c r="AE325" s="6" t="str">
        <x:v>-0.17045285915567865</x:v>
      </x:c>
      <x:c r="AF325" s="6" t="str">
        <x:v>0.6018883028357989</x:v>
      </x:c>
      <x:c r="AG325" s="6" t="str">
        <x:v>0</x:v>
      </x:c>
      <x:c r="AH325" s="6" t="str">
        <x:v>1</x:v>
      </x:c>
      <x:c r="AI325" s="6" t="str">
        <x:v>2024-12</x:v>
      </x:c>
      <x:c r="AJ325" s="9" t="str">
        <x:v>NASA POWER (MERRA-2 meteorology)</x:v>
      </x:c>
      <x:c r="AK325" s="9" t="str">
        <x:v>Badan Informasi Geospasial (BIG)</x:v>
      </x:c>
      <x:c r="AL325" s="9" t="str">
        <x:v>https://power.larc.nasa.gov/docs/services/api/temporal/monthly/</x:v>
      </x:c>
      <x:c r="AM325" s="9" t="str">
        <x:v>https://geoservices.big.go.id/rbi/rest/services/BATASWILAYAH/BATAS_WILAYAH/MapServer/12</x:v>
      </x:c>
    </x:row>
    <x:row r="326" ht="18" customHeight="1">
      <x:c r="A326" s="6" t="str">
        <x:v>34</x:v>
      </x:c>
      <x:c r="B326" s="6" t="str">
        <x:v>DI YOGYAKARTA</x:v>
      </x:c>
      <x:c r="C326" s="6" t="str">
        <x:v>2025</x:v>
      </x:c>
      <x:c r="D326" s="6" t="str">
        <x:v>1</x:v>
      </x:c>
      <x:c r="E326" s="6" t="str">
        <x:v>26.31</x:v>
      </x:c>
      <x:c r="F326" s="9" t="str">
        <x:v>grid_cells_within_BIG_polygon</x:v>
      </x:c>
      <x:c r="G326" s="6" t="str">
        <x:v>1</x:v>
      </x:c>
      <x:c r="H326" s="8" t="str">
        <x:v>87.53</x:v>
      </x:c>
      <x:c r="I326" s="6" t="str">
        <x:v>11.07</x:v>
      </x:c>
      <x:c r="J326" s="6" t="str">
        <x:v>31</x:v>
      </x:c>
      <x:c r="K326" s="6" t="str">
        <x:v>343.17</x:v>
      </x:c>
      <x:c r="L326" s="6" t="str">
        <x:v>25.927</x:v>
      </x:c>
      <x:c r="M326" s="6" t="str">
        <x:v>0.42545837350580884</x:v>
      </x:c>
      <x:c r="N326" s="6" t="str">
        <x:v>86.557</x:v>
      </x:c>
      <x:c r="O326" s="6" t="str">
        <x:v>1.9051330843186565</x:v>
      </x:c>
      <x:c r="P326" s="6" t="str">
        <x:v>334.2006666666667</x:v>
      </x:c>
      <x:c r="Q326" s="6" t="str">
        <x:v>125.34055704726838</x:v>
      </x:c>
      <x:c r="R326" s="6" t="str">
        <x:v>0.3829999999999991</x:v>
      </x:c>
      <x:c r="S326" s="8" t="str">
        <x:v>0.900205575563246</x:v>
      </x:c>
      <x:c r="T326" s="6" t="str">
        <x:v>0.972999999999999</x:v>
      </x:c>
      <x:c r="U326" s="8" t="str">
        <x:v>0.5107254753008389</x:v>
      </x:c>
      <x:c r="V326" s="6" t="str">
        <x:v>8.969333333333338</x:v>
      </x:c>
      <x:c r="W326" s="8" t="str">
        <x:v>0.07155970537095051</x:v>
      </x:c>
      <x:c r="X326" s="6" t="str">
        <x:v>1.0397605910309555</x:v>
      </x:c>
      <x:c r="Y326" s="6" t="str">
        <x:v>1.4349998871832625</x:v>
      </x:c>
      <x:c r="Z326" s="6" t="str">
        <x:v>1.1249886845924881</x:v>
      </x:c>
      <x:c r="AA326" s="6" t="str">
        <x:v>1.2945568318311578</x:v>
      </x:c>
      <x:c r="AB326" s="6" t="str">
        <x:v>0.832455223217634</x:v>
      </x:c>
      <x:c r="AC326" s="6" t="str">
        <x:v>0.8792458434498766</x:v>
      </x:c>
      <x:c r="AD326" s="6" t="str">
        <x:v>0.5408981362399748</x:v>
      </x:c>
      <x:c r="AE326" s="6" t="str">
        <x:v>1.4352196314231</x:v>
      </x:c>
      <x:c r="AF326" s="6" t="str">
        <x:v>0.6825591576780085</x:v>
      </x:c>
      <x:c r="AG326" s="6" t="str">
        <x:v>0</x:v>
      </x:c>
      <x:c r="AH326" s="6" t="str">
        <x:v>0</x:v>
      </x:c>
      <x:c r="AI326" s="6" t="str">
        <x:v>2025-01</x:v>
      </x:c>
      <x:c r="AJ326" s="9" t="str">
        <x:v>NASA POWER (MERRA-2 meteorology)</x:v>
      </x:c>
      <x:c r="AK326" s="9" t="str">
        <x:v>Badan Informasi Geospasial (BIG)</x:v>
      </x:c>
      <x:c r="AL326" s="9" t="str">
        <x:v>https://power.larc.nasa.gov/docs/services/api/temporal/monthly/</x:v>
      </x:c>
      <x:c r="AM326" s="9" t="str">
        <x:v>https://geoservices.big.go.id/rbi/rest/services/BATASWILAYAH/BATAS_WILAYAH/MapServer/12</x:v>
      </x:c>
    </x:row>
    <x:row r="327" ht="18" customHeight="1">
      <x:c r="A327" s="6" t="str">
        <x:v>34</x:v>
      </x:c>
      <x:c r="B327" s="6" t="str">
        <x:v>DI YOGYAKARTA</x:v>
      </x:c>
      <x:c r="C327" s="6" t="str">
        <x:v>2025</x:v>
      </x:c>
      <x:c r="D327" s="6" t="str">
        <x:v>2</x:v>
      </x:c>
      <x:c r="E327" s="6" t="str">
        <x:v>26.44</x:v>
      </x:c>
      <x:c r="F327" s="9" t="str">
        <x:v>grid_cells_within_BIG_polygon</x:v>
      </x:c>
      <x:c r="G327" s="6" t="str">
        <x:v>1</x:v>
      </x:c>
      <x:c r="H327" s="8" t="str">
        <x:v>87.25</x:v>
      </x:c>
      <x:c r="I327" s="6" t="str">
        <x:v>9.94</x:v>
      </x:c>
      <x:c r="J327" s="6" t="str">
        <x:v>28</x:v>
      </x:c>
      <x:c r="K327" s="6" t="str">
        <x:v>278.32</x:v>
      </x:c>
      <x:c r="L327" s="6" t="str">
        <x:v>25.956666666666667</x:v>
      </x:c>
      <x:c r="M327" s="6" t="str">
        <x:v>0.4209867991487038</x:v>
      </x:c>
      <x:c r="N327" s="6" t="str">
        <x:v>87.17133333333332</x:v>
      </x:c>
      <x:c r="O327" s="6" t="str">
        <x:v>1.5286025471411544</x:v>
      </x:c>
      <x:c r="P327" s="6" t="str">
        <x:v>314.9676666666667</x:v>
      </x:c>
      <x:c r="Q327" s="6" t="str">
        <x:v>112.83456659422123</x:v>
      </x:c>
      <x:c r="R327" s="6" t="str">
        <x:v>0.4833333333333343</x:v>
      </x:c>
      <x:c r="S327" s="8" t="str">
        <x:v>1.1480961738247</x:v>
      </x:c>
      <x:c r="T327" s="6" t="str">
        <x:v>0.07866666666667754</x:v>
      </x:c>
      <x:c r="U327" s="8" t="str">
        <x:v>0.05146312677144407</x:v>
      </x:c>
      <x:c r="V327" s="6" t="str">
        <x:v>-36.64766666666668</x:v>
      </x:c>
      <x:c r="W327" s="8" t="str">
        <x:v>-0.32479113247680585</x:v>
      </x:c>
      <x:c r="X327" s="6" t="str">
        <x:v>0.900205575563246</x:v>
      </x:c>
      <x:c r="Y327" s="6" t="str">
        <x:v>1.0397605910309555</x:v>
      </x:c>
      <x:c r="Z327" s="6" t="str">
        <x:v>1.0293541134729673</x:v>
      </x:c>
      <x:c r="AA327" s="6" t="str">
        <x:v>0.5107254753008389</x:v>
      </x:c>
      <x:c r="AB327" s="6" t="str">
        <x:v>1.2945568318311578</x:v>
      </x:c>
      <x:c r="AC327" s="6" t="str">
        <x:v>0.6189151446344799</x:v>
      </x:c>
      <x:c r="AD327" s="6" t="str">
        <x:v>0.07155970537095051</x:v>
      </x:c>
      <x:c r="AE327" s="6" t="str">
        <x:v>0.5408981362399748</x:v>
      </x:c>
      <x:c r="AF327" s="6" t="str">
        <x:v>0.09588890304470658</x:v>
      </x:c>
      <x:c r="AG327" s="6" t="str">
        <x:v>0</x:v>
      </x:c>
      <x:c r="AH327" s="6" t="str">
        <x:v>1</x:v>
      </x:c>
      <x:c r="AI327" s="6" t="str">
        <x:v>2025-02</x:v>
      </x:c>
      <x:c r="AJ327" s="9" t="str">
        <x:v>NASA POWER (MERRA-2 meteorology)</x:v>
      </x:c>
      <x:c r="AK327" s="9" t="str">
        <x:v>Badan Informasi Geospasial (BIG)</x:v>
      </x:c>
      <x:c r="AL327" s="9" t="str">
        <x:v>https://power.larc.nasa.gov/docs/services/api/temporal/monthly/</x:v>
      </x:c>
      <x:c r="AM327" s="9" t="str">
        <x:v>https://geoservices.big.go.id/rbi/rest/services/BATASWILAYAH/BATAS_WILAYAH/MapServer/12</x:v>
      </x:c>
    </x:row>
    <x:row r="328" ht="18" customHeight="1">
      <x:c r="A328" s="6" t="str">
        <x:v>34</x:v>
      </x:c>
      <x:c r="B328" s="6" t="str">
        <x:v>DI YOGYAKARTA</x:v>
      </x:c>
      <x:c r="C328" s="6" t="str">
        <x:v>2025</x:v>
      </x:c>
      <x:c r="D328" s="6" t="str">
        <x:v>3</x:v>
      </x:c>
      <x:c r="E328" s="6" t="str">
        <x:v>26.8</x:v>
      </x:c>
      <x:c r="F328" s="9" t="str">
        <x:v>grid_cells_within_BIG_polygon</x:v>
      </x:c>
      <x:c r="G328" s="6" t="str">
        <x:v>1</x:v>
      </x:c>
      <x:c r="H328" s="8" t="str">
        <x:v>86.6</x:v>
      </x:c>
      <x:c r="I328" s="6" t="str">
        <x:v>9.1</x:v>
      </x:c>
      <x:c r="J328" s="6" t="str">
        <x:v>31</x:v>
      </x:c>
      <x:c r="K328" s="6" t="str">
        <x:v>282.09999999999997</x:v>
      </x:c>
      <x:c r="L328" s="6" t="str">
        <x:v>26.176333333333332</x:v>
      </x:c>
      <x:c r="M328" s="6" t="str">
        <x:v>0.42515298125647033</x:v>
      </x:c>
      <x:c r="N328" s="6" t="str">
        <x:v>86.402</x:v>
      </x:c>
      <x:c r="O328" s="6" t="str">
        <x:v>1.5780201475921922</x:v>
      </x:c>
      <x:c r="P328" s="6" t="str">
        <x:v>228.005</x:v>
      </x:c>
      <x:c r="Q328" s="6" t="str">
        <x:v>94.45333187201041</x:v>
      </x:c>
      <x:c r="R328" s="6" t="str">
        <x:v>0.6236666666666686</x:v>
      </x:c>
      <x:c r="S328" s="8" t="str">
        <x:v>1.4669229528240009</x:v>
      </x:c>
      <x:c r="T328" s="6" t="str">
        <x:v>0.1979999999999933</x:v>
      </x:c>
      <x:c r="U328" s="8" t="str">
        <x:v>0.1254736831479052</x:v>
      </x:c>
      <x:c r="V328" s="6" t="str">
        <x:v>54.09499999999997</x:v>
      </x:c>
      <x:c r="W328" s="8" t="str">
        <x:v>0.572716694349139</x:v>
      </x:c>
      <x:c r="X328" s="6" t="str">
        <x:v>1.1480961738247</x:v>
      </x:c>
      <x:c r="Y328" s="6" t="str">
        <x:v>0.900205575563246</x:v>
      </x:c>
      <x:c r="Z328" s="6" t="str">
        <x:v>1.1717415674039824</x:v>
      </x:c>
      <x:c r="AA328" s="6" t="str">
        <x:v>0.05146312677144407</x:v>
      </x:c>
      <x:c r="AB328" s="6" t="str">
        <x:v>0.5107254753008389</x:v>
      </x:c>
      <x:c r="AC328" s="6" t="str">
        <x:v>0.22922076174006234</x:v>
      </x:c>
      <x:c r="AD328" s="6" t="str">
        <x:v>-0.32479113247680585</x:v>
      </x:c>
      <x:c r="AE328" s="6" t="str">
        <x:v>0.07155970537095051</x:v>
      </x:c>
      <x:c r="AF328" s="6" t="str">
        <x:v>0.10649508908109462</x:v>
      </x:c>
      <x:c r="AG328" s="6" t="str">
        <x:v>0</x:v>
      </x:c>
      <x:c r="AH328" s="6" t="str">
        <x:v>1</x:v>
      </x:c>
      <x:c r="AI328" s="6" t="str">
        <x:v>2025-03</x:v>
      </x:c>
      <x:c r="AJ328" s="9" t="str">
        <x:v>NASA POWER (MERRA-2 meteorology)</x:v>
      </x:c>
      <x:c r="AK328" s="9" t="str">
        <x:v>Badan Informasi Geospasial (BIG)</x:v>
      </x:c>
      <x:c r="AL328" s="9" t="str">
        <x:v>https://power.larc.nasa.gov/docs/services/api/temporal/monthly/</x:v>
      </x:c>
      <x:c r="AM328" s="9" t="str">
        <x:v>https://geoservices.big.go.id/rbi/rest/services/BATASWILAYAH/BATAS_WILAYAH/MapServer/12</x:v>
      </x:c>
    </x:row>
    <x:row r="329" ht="18" customHeight="1">
      <x:c r="A329" s="6" t="str">
        <x:v>34</x:v>
      </x:c>
      <x:c r="B329" s="6" t="str">
        <x:v>DI YOGYAKARTA</x:v>
      </x:c>
      <x:c r="C329" s="6" t="str">
        <x:v>2025</x:v>
      </x:c>
      <x:c r="D329" s="6" t="str">
        <x:v>4</x:v>
      </x:c>
      <x:c r="E329" s="6" t="str">
        <x:v>26.64</x:v>
      </x:c>
      <x:c r="F329" s="9" t="str">
        <x:v>grid_cells_within_BIG_polygon</x:v>
      </x:c>
      <x:c r="G329" s="6" t="str">
        <x:v>1</x:v>
      </x:c>
      <x:c r="H329" s="8" t="str">
        <x:v>83.26</x:v>
      </x:c>
      <x:c r="I329" s="6" t="str">
        <x:v>5.76</x:v>
      </x:c>
      <x:c r="J329" s="6" t="str">
        <x:v>30</x:v>
      </x:c>
      <x:c r="K329" s="6" t="str">
        <x:v>172.79999999999998</x:v>
      </x:c>
      <x:c r="L329" s="6" t="str">
        <x:v>26.35033333333333</x:v>
      </x:c>
      <x:c r="M329" s="6" t="str">
        <x:v>0.4663836169516666</x:v>
      </x:c>
      <x:c r="N329" s="6" t="str">
        <x:v>85.80266666666667</x:v>
      </x:c>
      <x:c r="O329" s="6" t="str">
        <x:v>1.0319012694463887</x:v>
      </x:c>
      <x:c r="P329" s="6" t="str">
        <x:v>183.63</x:v>
      </x:c>
      <x:c r="Q329" s="6" t="str">
        <x:v>70.13668010785601</x:v>
      </x:c>
      <x:c r="R329" s="6" t="str">
        <x:v>0.28966666666666896</x:v>
      </x:c>
      <x:c r="S329" s="8" t="str">
        <x:v>0.6210909992078225</x:v>
      </x:c>
      <x:c r="T329" s="6" t="str">
        <x:v>-2.542666666666662</x:v>
      </x:c>
      <x:c r="U329" s="8" t="str">
        <x:v>-2.4640600239117774</x:v>
      </x:c>
      <x:c r="V329" s="6" t="str">
        <x:v>-10.830000000000013</x:v>
      </x:c>
      <x:c r="W329" s="8" t="str">
        <x:v>-0.1544127834871235</x:v>
      </x:c>
      <x:c r="X329" s="6" t="str">
        <x:v>1.4669229528240009</x:v>
      </x:c>
      <x:c r="Y329" s="6" t="str">
        <x:v>1.1480961738247</x:v>
      </x:c>
      <x:c r="Z329" s="6" t="str">
        <x:v>1.078703375285508</x:v>
      </x:c>
      <x:c r="AA329" s="6" t="str">
        <x:v>0.1254736831479052</x:v>
      </x:c>
      <x:c r="AB329" s="6" t="str">
        <x:v>0.05146312677144407</x:v>
      </x:c>
      <x:c r="AC329" s="6" t="str">
        <x:v>-0.7623744046641431</x:v>
      </x:c>
      <x:c r="AD329" s="6" t="str">
        <x:v>0.572716694349139</x:v>
      </x:c>
      <x:c r="AE329" s="6" t="str">
        <x:v>-0.32479113247680585</x:v>
      </x:c>
      <x:c r="AF329" s="6" t="str">
        <x:v>0.031170926128403276</x:v>
      </x:c>
      <x:c r="AG329" s="6" t="str">
        <x:v>0</x:v>
      </x:c>
      <x:c r="AH329" s="6" t="str">
        <x:v>0</x:v>
      </x:c>
      <x:c r="AI329" s="6" t="str">
        <x:v>2025-04</x:v>
      </x:c>
      <x:c r="AJ329" s="9" t="str">
        <x:v>NASA POWER (MERRA-2 meteorology)</x:v>
      </x:c>
      <x:c r="AK329" s="9" t="str">
        <x:v>Badan Informasi Geospasial (BIG)</x:v>
      </x:c>
      <x:c r="AL329" s="9" t="str">
        <x:v>https://power.larc.nasa.gov/docs/services/api/temporal/monthly/</x:v>
      </x:c>
      <x:c r="AM329" s="9" t="str">
        <x:v>https://geoservices.big.go.id/rbi/rest/services/BATASWILAYAH/BATAS_WILAYAH/MapServer/12</x:v>
      </x:c>
    </x:row>
    <x:row r="330" ht="18" customHeight="1">
      <x:c r="A330" s="6" t="str">
        <x:v>34</x:v>
      </x:c>
      <x:c r="B330" s="6" t="str">
        <x:v>DI YOGYAKARTA</x:v>
      </x:c>
      <x:c r="C330" s="6" t="str">
        <x:v>2025</x:v>
      </x:c>
      <x:c r="D330" s="6" t="str">
        <x:v>5</x:v>
      </x:c>
      <x:c r="E330" s="6" t="str">
        <x:v>26.63</x:v>
      </x:c>
      <x:c r="F330" s="9" t="str">
        <x:v>grid_cells_within_BIG_polygon</x:v>
      </x:c>
      <x:c r="G330" s="6" t="str">
        <x:v>1</x:v>
      </x:c>
      <x:c r="H330" s="8" t="str">
        <x:v>87.83</x:v>
      </x:c>
      <x:c r="I330" s="6" t="str">
        <x:v>13.71</x:v>
      </x:c>
      <x:c r="J330" s="6" t="str">
        <x:v>31</x:v>
      </x:c>
      <x:c r="K330" s="6" t="str">
        <x:v>425.01000000000005</x:v>
      </x:c>
      <x:c r="L330" s="6" t="str">
        <x:v>25.999333333333333</x:v>
      </x:c>
      <x:c r="M330" s="6" t="str">
        <x:v>0.5265563684881244</x:v>
      </x:c>
      <x:c r="N330" s="6" t="str">
        <x:v>84.82166666666667</x:v>
      </x:c>
      <x:c r="O330" s="6" t="str">
        <x:v>1.4377834553116218</x:v>
      </x:c>
      <x:c r="P330" s="6" t="str">
        <x:v>122.62566666666666</x:v>
      </x:c>
      <x:c r="Q330" s="6" t="str">
        <x:v>80.46852032523857</x:v>
      </x:c>
      <x:c r="R330" s="6" t="str">
        <x:v>0.6306666666666665</x:v>
      </x:c>
      <x:c r="S330" s="8" t="str">
        <x:v>1.1977191890727084</x:v>
      </x:c>
      <x:c r="T330" s="6" t="str">
        <x:v>3.0083333333333258</x:v>
      </x:c>
      <x:c r="U330" s="8" t="str">
        <x:v>2.0923410421921336</x:v>
      </x:c>
      <x:c r="V330" s="6" t="str">
        <x:v>302.3843333333334</x:v>
      </x:c>
      <x:c r="W330" s="8" t="str">
        <x:v>3.7577966155106743</x:v>
      </x:c>
      <x:c r="X330" s="6" t="str">
        <x:v>0.6210909992078225</x:v>
      </x:c>
      <x:c r="Y330" s="6" t="str">
        <x:v>1.4669229528240009</x:v>
      </x:c>
      <x:c r="Z330" s="6" t="str">
        <x:v>1.0952443803681775</x:v>
      </x:c>
      <x:c r="AA330" s="6" t="str">
        <x:v>-2.4640600239117774</x:v>
      </x:c>
      <x:c r="AB330" s="6" t="str">
        <x:v>0.1254736831479052</x:v>
      </x:c>
      <x:c r="AC330" s="6" t="str">
        <x:v>-0.08208176619057994</x:v>
      </x:c>
      <x:c r="AD330" s="6" t="str">
        <x:v>-0.1544127834871235</x:v>
      </x:c>
      <x:c r="AE330" s="6" t="str">
        <x:v>0.572716694349139</x:v>
      </x:c>
      <x:c r="AF330" s="6" t="str">
        <x:v>1.3920335087908968</x:v>
      </x:c>
      <x:c r="AG330" s="6" t="str">
        <x:v>1</x:v>
      </x:c>
      <x:c r="AH330" s="6" t="str">
        <x:v>1</x:v>
      </x:c>
      <x:c r="AI330" s="6" t="str">
        <x:v>2025-05</x:v>
      </x:c>
      <x:c r="AJ330" s="9" t="str">
        <x:v>NASA POWER (MERRA-2 meteorology)</x:v>
      </x:c>
      <x:c r="AK330" s="9" t="str">
        <x:v>Badan Informasi Geospasial (BIG)</x:v>
      </x:c>
      <x:c r="AL330" s="9" t="str">
        <x:v>https://power.larc.nasa.gov/docs/services/api/temporal/monthly/</x:v>
      </x:c>
      <x:c r="AM330" s="9" t="str">
        <x:v>https://geoservices.big.go.id/rbi/rest/services/BATASWILAYAH/BATAS_WILAYAH/MapServer/12</x:v>
      </x:c>
    </x:row>
    <x:row r="331" ht="18" customHeight="1">
      <x:c r="A331" s="6" t="str">
        <x:v>34</x:v>
      </x:c>
      <x:c r="B331" s="6" t="str">
        <x:v>DI YOGYAKARTA</x:v>
      </x:c>
      <x:c r="C331" s="6" t="str">
        <x:v>2025</x:v>
      </x:c>
      <x:c r="D331" s="6" t="str">
        <x:v>6</x:v>
      </x:c>
      <x:c r="E331" s="6" t="str">
        <x:v>26.21</x:v>
      </x:c>
      <x:c r="F331" s="9" t="str">
        <x:v>grid_cells_within_BIG_polygon</x:v>
      </x:c>
      <x:c r="G331" s="6" t="str">
        <x:v>1</x:v>
      </x:c>
      <x:c r="H331" s="8" t="str">
        <x:v>85.31</x:v>
      </x:c>
      <x:c r="I331" s="6" t="str">
        <x:v>5.49</x:v>
      </x:c>
      <x:c r="J331" s="6" t="str">
        <x:v>30</x:v>
      </x:c>
      <x:c r="K331" s="6" t="str">
        <x:v>164.70000000000002</x:v>
      </x:c>
      <x:c r="L331" s="6" t="str">
        <x:v>25.323666666666668</x:v>
      </x:c>
      <x:c r="M331" s="6" t="str">
        <x:v>0.6601279047084075</x:v>
      </x:c>
      <x:c r="N331" s="6" t="str">
        <x:v>83.768</x:v>
      </x:c>
      <x:c r="O331" s="6" t="str">
        <x:v>2.64749901501072</x:v>
      </x:c>
      <x:c r="P331" s="6" t="str">
        <x:v>86.66000000000001</x:v>
      </x:c>
      <x:c r="Q331" s="6" t="str">
        <x:v>75.11245638007239</x:v>
      </x:c>
      <x:c r="R331" s="6" t="str">
        <x:v>0.886333333333333</x:v>
      </x:c>
      <x:c r="S331" s="8" t="str">
        <x:v>1.342669090355823</x:v>
      </x:c>
      <x:c r="T331" s="6" t="str">
        <x:v>1.5420000000000016</x:v>
      </x:c>
      <x:c r="U331" s="8" t="str">
        <x:v>0.5824364773158406</x:v>
      </x:c>
      <x:c r="V331" s="6" t="str">
        <x:v>78.04</x:v>
      </x:c>
      <x:c r="W331" s="8" t="str">
        <x:v>1.0389754743888833</x:v>
      </x:c>
      <x:c r="X331" s="6" t="str">
        <x:v>1.1977191890727084</x:v>
      </x:c>
      <x:c r="Y331" s="6" t="str">
        <x:v>0.6210909992078225</x:v>
      </x:c>
      <x:c r="Z331" s="6" t="str">
        <x:v>1.0538264262121182</x:v>
      </x:c>
      <x:c r="AA331" s="6" t="str">
        <x:v>2.0923410421921336</x:v>
      </x:c>
      <x:c r="AB331" s="6" t="str">
        <x:v>-2.4640600239117774</x:v>
      </x:c>
      <x:c r="AC331" s="6" t="str">
        <x:v>0.07023916519873186</x:v>
      </x:c>
      <x:c r="AD331" s="6" t="str">
        <x:v>3.7577966155106743</x:v>
      </x:c>
      <x:c r="AE331" s="6" t="str">
        <x:v>-0.1544127834871235</x:v>
      </x:c>
      <x:c r="AF331" s="6" t="str">
        <x:v>1.5474531021374782</x:v>
      </x:c>
      <x:c r="AG331" s="6" t="str">
        <x:v>1</x:v>
      </x:c>
      <x:c r="AH331" s="6" t="str">
        <x:v>1</x:v>
      </x:c>
      <x:c r="AI331" s="6" t="str">
        <x:v>2025-06</x:v>
      </x:c>
      <x:c r="AJ331" s="9" t="str">
        <x:v>NASA POWER (MERRA-2 meteorology)</x:v>
      </x:c>
      <x:c r="AK331" s="9" t="str">
        <x:v>Badan Informasi Geospasial (BIG)</x:v>
      </x:c>
      <x:c r="AL331" s="9" t="str">
        <x:v>https://power.larc.nasa.gov/docs/services/api/temporal/monthly/</x:v>
      </x:c>
      <x:c r="AM331" s="9" t="str">
        <x:v>https://geoservices.big.go.id/rbi/rest/services/BATASWILAYAH/BATAS_WILAYAH/MapServer/12</x:v>
      </x:c>
    </x:row>
    <x:row r="332" ht="18" customHeight="1">
      <x:c r="A332" s="6" t="str">
        <x:v>34</x:v>
      </x:c>
      <x:c r="B332" s="6" t="str">
        <x:v>DI YOGYAKARTA</x:v>
      </x:c>
      <x:c r="C332" s="6" t="str">
        <x:v>2025</x:v>
      </x:c>
      <x:c r="D332" s="6" t="str">
        <x:v>7</x:v>
      </x:c>
      <x:c r="E332" s="6" t="str">
        <x:v>24.75</x:v>
      </x:c>
      <x:c r="F332" s="9" t="str">
        <x:v>grid_cells_within_BIG_polygon</x:v>
      </x:c>
      <x:c r="G332" s="6" t="str">
        <x:v>1</x:v>
      </x:c>
      <x:c r="H332" s="8" t="str">
        <x:v>85.86</x:v>
      </x:c>
      <x:c r="I332" s="6" t="str">
        <x:v>1.15</x:v>
      </x:c>
      <x:c r="J332" s="6" t="str">
        <x:v>31</x:v>
      </x:c>
      <x:c r="K332" s="6" t="str">
        <x:v>35.65</x:v>
      </x:c>
      <x:c r="L332" s="6" t="str">
        <x:v>24.65266666666667</x:v>
      </x:c>
      <x:c r="M332" s="6" t="str">
        <x:v>0.752508143309511</x:v>
      </x:c>
      <x:c r="N332" s="6" t="str">
        <x:v>80.94699999999999</x:v>
      </x:c>
      <x:c r="O332" s="6" t="str">
        <x:v>3.789678496053223</x:v>
      </x:c>
      <x:c r="P332" s="6" t="str">
        <x:v>47.43</x:v>
      </x:c>
      <x:c r="Q332" s="6" t="str">
        <x:v>60.66470006917332</x:v>
      </x:c>
      <x:c r="R332" s="6" t="str">
        <x:v>0.0973333333333315</x:v>
      </x:c>
      <x:c r="S332" s="8" t="str">
        <x:v>0.1293452226380728</x:v>
      </x:c>
      <x:c r="T332" s="6" t="str">
        <x:v>4.913000000000011</x:v>
      </x:c>
      <x:c r="U332" s="8" t="str">
        <x:v>1.2964160429748002</x:v>
      </x:c>
      <x:c r="V332" s="6" t="str">
        <x:v>-11.780000000000001</x:v>
      </x:c>
      <x:c r="W332" s="8" t="str">
        <x:v>-0.1941821188692564</x:v>
      </x:c>
      <x:c r="X332" s="6" t="str">
        <x:v>1.342669090355823</x:v>
      </x:c>
      <x:c r="Y332" s="6" t="str">
        <x:v>1.1977191890727084</x:v>
      </x:c>
      <x:c r="Z332" s="6" t="str">
        <x:v>0.889911167355535</x:v>
      </x:c>
      <x:c r="AA332" s="6" t="str">
        <x:v>0.5824364773158406</x:v>
      </x:c>
      <x:c r="AB332" s="6" t="str">
        <x:v>2.0923410421921336</x:v>
      </x:c>
      <x:c r="AC332" s="6" t="str">
        <x:v>1.3237311874942577</x:v>
      </x:c>
      <x:c r="AD332" s="6" t="str">
        <x:v>1.0389754743888833</x:v>
      </x:c>
      <x:c r="AE332" s="6" t="str">
        <x:v>3.7577966155106743</x:v>
      </x:c>
      <x:c r="AF332" s="6" t="str">
        <x:v>1.5341966570101009</x:v>
      </x:c>
      <x:c r="AG332" s="6" t="str">
        <x:v>0</x:v>
      </x:c>
      <x:c r="AH332" s="6" t="str">
        <x:v>0</x:v>
      </x:c>
      <x:c r="AI332" s="6" t="str">
        <x:v>2025-07</x:v>
      </x:c>
      <x:c r="AJ332" s="9" t="str">
        <x:v>NASA POWER (MERRA-2 meteorology)</x:v>
      </x:c>
      <x:c r="AK332" s="9" t="str">
        <x:v>Badan Informasi Geospasial (BIG)</x:v>
      </x:c>
      <x:c r="AL332" s="9" t="str">
        <x:v>https://power.larc.nasa.gov/docs/services/api/temporal/monthly/</x:v>
      </x:c>
      <x:c r="AM332" s="9" t="str">
        <x:v>https://geoservices.big.go.id/rbi/rest/services/BATASWILAYAH/BATAS_WILAYAH/MapServer/12</x:v>
      </x:c>
    </x:row>
    <x:row r="333" ht="18" customHeight="1">
      <x:c r="A333" s="6" t="str">
        <x:v>34</x:v>
      </x:c>
      <x:c r="B333" s="6" t="str">
        <x:v>DI YOGYAKARTA</x:v>
      </x:c>
      <x:c r="C333" s="6" t="str">
        <x:v>2025</x:v>
      </x:c>
      <x:c r="D333" s="6" t="str">
        <x:v>8</x:v>
      </x:c>
      <x:c r="E333" s="6" t="str">
        <x:v>25.38</x:v>
      </x:c>
      <x:c r="F333" s="9" t="str">
        <x:v>grid_cells_within_BIG_polygon</x:v>
      </x:c>
      <x:c r="G333" s="6" t="str">
        <x:v>1</x:v>
      </x:c>
      <x:c r="H333" s="8" t="str">
        <x:v>83.59</x:v>
      </x:c>
      <x:c r="I333" s="6" t="str">
        <x:v>3.5</x:v>
      </x:c>
      <x:c r="J333" s="6" t="str">
        <x:v>31</x:v>
      </x:c>
      <x:c r="K333" s="6" t="str">
        <x:v>108.5</x:v>
      </x:c>
      <x:c r="L333" s="6" t="str">
        <x:v>24.795</x:v>
      </x:c>
      <x:c r="M333" s="6" t="str">
        <x:v>0.5623028390099248</x:v>
      </x:c>
      <x:c r="N333" s="6" t="str">
        <x:v>76.58500000000001</x:v>
      </x:c>
      <x:c r="O333" s="6" t="str">
        <x:v>4.409939987080909</x:v>
      </x:c>
      <x:c r="P333" s="6" t="str">
        <x:v>30.741666666666667</x:v>
      </x:c>
      <x:c r="Q333" s="6" t="str">
        <x:v>42.848659503704056</x:v>
      </x:c>
      <x:c r="R333" s="6" t="str">
        <x:v>0.5849999999999973</x:v>
      </x:c>
      <x:c r="S333" s="8" t="str">
        <x:v>1.0403646565790714</x:v>
      </x:c>
      <x:c r="T333" s="6" t="str">
        <x:v>7.0049999999999955</x:v>
      </x:c>
      <x:c r="U333" s="8" t="str">
        <x:v>1.5884569904627763</x:v>
      </x:c>
      <x:c r="V333" s="6" t="str">
        <x:v>77.75833333333333</x:v>
      </x:c>
      <x:c r="W333" s="8" t="str">
        <x:v>1.8147203257691527</x:v>
      </x:c>
      <x:c r="X333" s="6" t="str">
        <x:v>0.1293452226380728</x:v>
      </x:c>
      <x:c r="Y333" s="6" t="str">
        <x:v>1.342669090355823</x:v>
      </x:c>
      <x:c r="Z333" s="6" t="str">
        <x:v>0.8374596565243227</x:v>
      </x:c>
      <x:c r="AA333" s="6" t="str">
        <x:v>1.2964160429748002</x:v>
      </x:c>
      <x:c r="AB333" s="6" t="str">
        <x:v>0.5824364773158406</x:v>
      </x:c>
      <x:c r="AC333" s="6" t="str">
        <x:v>1.1557698369178053</x:v>
      </x:c>
      <x:c r="AD333" s="6" t="str">
        <x:v>-0.1941821188692564</x:v>
      </x:c>
      <x:c r="AE333" s="6" t="str">
        <x:v>1.0389754743888833</x:v>
      </x:c>
      <x:c r="AF333" s="6" t="str">
        <x:v>0.8865045604295934</x:v>
      </x:c>
      <x:c r="AG333" s="6" t="str">
        <x:v>1</x:v>
      </x:c>
      <x:c r="AH333" s="6" t="str">
        <x:v>1</x:v>
      </x:c>
      <x:c r="AI333" s="6" t="str">
        <x:v>2025-08</x:v>
      </x:c>
      <x:c r="AJ333" s="9" t="str">
        <x:v>NASA POWER (MERRA-2 meteorology)</x:v>
      </x:c>
      <x:c r="AK333" s="9" t="str">
        <x:v>Badan Informasi Geospasial (BIG)</x:v>
      </x:c>
      <x:c r="AL333" s="9" t="str">
        <x:v>https://power.larc.nasa.gov/docs/services/api/temporal/monthly/</x:v>
      </x:c>
      <x:c r="AM333" s="9" t="str">
        <x:v>https://geoservices.big.go.id/rbi/rest/services/BATASWILAYAH/BATAS_WILAYAH/MapServer/12</x:v>
      </x:c>
    </x:row>
    <x:row r="334" ht="18" customHeight="1">
      <x:c r="A334" s="6" t="str">
        <x:v>34</x:v>
      </x:c>
      <x:c r="B334" s="6" t="str">
        <x:v>DI YOGYAKARTA</x:v>
      </x:c>
      <x:c r="C334" s="6" t="str">
        <x:v>2025</x:v>
      </x:c>
      <x:c r="D334" s="6" t="str">
        <x:v>9</x:v>
      </x:c>
      <x:c r="E334" s="6" t="str">
        <x:v>25.97</x:v>
      </x:c>
      <x:c r="F334" s="9" t="str">
        <x:v>grid_cells_within_BIG_polygon</x:v>
      </x:c>
      <x:c r="G334" s="6" t="str">
        <x:v>1</x:v>
      </x:c>
      <x:c r="H334" s="8" t="str">
        <x:v>82.38</x:v>
      </x:c>
      <x:c r="I334" s="6" t="str">
        <x:v>5.84</x:v>
      </x:c>
      <x:c r="J334" s="6" t="str">
        <x:v>30</x:v>
      </x:c>
      <x:c r="K334" s="6" t="str">
        <x:v>175.2</x:v>
      </x:c>
      <x:c r="L334" s="6" t="str">
        <x:v>25.644333333333336</x:v>
      </x:c>
      <x:c r="M334" s="6" t="str">
        <x:v>0.5357990058899355</x:v>
      </x:c>
      <x:c r="N334" s="6" t="str">
        <x:v>74.466</x:v>
      </x:c>
      <x:c r="O334" s="6" t="str">
        <x:v>5.089683683688013</x:v>
      </x:c>
      <x:c r="P334" s="6" t="str">
        <x:v>63.46</x:v>
      </x:c>
      <x:c r="Q334" s="6" t="str">
        <x:v>101.01958021199106</x:v>
      </x:c>
      <x:c r="R334" s="6" t="str">
        <x:v>0.3256666666666632</x:v>
      </x:c>
      <x:c r="S334" s="8" t="str">
        <x:v>0.6078149886182546</x:v>
      </x:c>
      <x:c r="T334" s="6" t="str">
        <x:v>7.9140000000000015</x:v>
      </x:c>
      <x:c r="U334" s="8" t="str">
        <x:v>1.5549099888788125</x:v>
      </x:c>
      <x:c r="V334" s="6" t="str">
        <x:v>111.73999999999998</x:v>
      </x:c>
      <x:c r="W334" s="8" t="str">
        <x:v>1.1061221969593615</x:v>
      </x:c>
      <x:c r="X334" s="6" t="str">
        <x:v>1.0403646565790714</x:v>
      </x:c>
      <x:c r="Y334" s="6" t="str">
        <x:v>0.1293452226380728</x:v>
      </x:c>
      <x:c r="Z334" s="6" t="str">
        <x:v>0.5925082892784665</x:v>
      </x:c>
      <x:c r="AA334" s="6" t="str">
        <x:v>1.5884569904627763</x:v>
      </x:c>
      <x:c r="AB334" s="6" t="str">
        <x:v>1.2964160429748002</x:v>
      </x:c>
      <x:c r="AC334" s="6" t="str">
        <x:v>1.4799276741054623</x:v>
      </x:c>
      <x:c r="AD334" s="6" t="str">
        <x:v>1.8147203257691527</x:v>
      </x:c>
      <x:c r="AE334" s="6" t="str">
        <x:v>-0.1941821188692564</x:v>
      </x:c>
      <x:c r="AF334" s="6" t="str">
        <x:v>0.9088868012864194</x:v>
      </x:c>
      <x:c r="AG334" s="6" t="str">
        <x:v>1</x:v>
      </x:c>
      <x:c r="AH334" s="6" t="str">
        <x:v>0</x:v>
      </x:c>
      <x:c r="AI334" s="6" t="str">
        <x:v>2025-09</x:v>
      </x:c>
      <x:c r="AJ334" s="9" t="str">
        <x:v>NASA POWER (MERRA-2 meteorology)</x:v>
      </x:c>
      <x:c r="AK334" s="9" t="str">
        <x:v>Badan Informasi Geospasial (BIG)</x:v>
      </x:c>
      <x:c r="AL334" s="9" t="str">
        <x:v>https://power.larc.nasa.gov/docs/services/api/temporal/monthly/</x:v>
      </x:c>
      <x:c r="AM334" s="9" t="str">
        <x:v>https://geoservices.big.go.id/rbi/rest/services/BATASWILAYAH/BATAS_WILAYAH/MapServer/12</x:v>
      </x:c>
    </x:row>
    <x:row r="335" ht="18" customHeight="1">
      <x:c r="A335" s="6" t="str">
        <x:v>34</x:v>
      </x:c>
      <x:c r="B335" s="6" t="str">
        <x:v>DI YOGYAKARTA</x:v>
      </x:c>
      <x:c r="C335" s="6" t="str">
        <x:v>2025</x:v>
      </x:c>
      <x:c r="D335" s="6" t="str">
        <x:v>10</x:v>
      </x:c>
      <x:c r="E335" s="6" t="str">
        <x:v>26.59</x:v>
      </x:c>
      <x:c r="F335" s="9" t="str">
        <x:v>grid_cells_within_BIG_polygon</x:v>
      </x:c>
      <x:c r="G335" s="6" t="str">
        <x:v>1</x:v>
      </x:c>
      <x:c r="H335" s="8" t="str">
        <x:v>84.42</x:v>
      </x:c>
      <x:c r="I335" s="6" t="str">
        <x:v>10.46</x:v>
      </x:c>
      <x:c r="J335" s="6" t="str">
        <x:v>31</x:v>
      </x:c>
      <x:c r="K335" s="6" t="str">
        <x:v>324.26000000000005</x:v>
      </x:c>
      <x:c r="L335" s="6" t="str">
        <x:v>26.398000000000003</x:v>
      </x:c>
      <x:c r="M335" s="6" t="str">
        <x:v>0.4531833761445717</x:v>
      </x:c>
      <x:c r="N335" s="6" t="str">
        <x:v>76.57066666666667</x:v>
      </x:c>
      <x:c r="O335" s="6" t="str">
        <x:v>5.61943544429898</x:v>
      </x:c>
      <x:c r="P335" s="6" t="str">
        <x:v>139.531</x:v>
      </x:c>
      <x:c r="Q335" s="6" t="str">
        <x:v>111.12163265446159</x:v>
      </x:c>
      <x:c r="R335" s="6" t="str">
        <x:v>0.19199999999999662</x:v>
      </x:c>
      <x:c r="S335" s="8" t="str">
        <x:v>0.42366955653454064</x:v>
      </x:c>
      <x:c r="T335" s="6" t="str">
        <x:v>7.849333333333334</x:v>
      </x:c>
      <x:c r="U335" s="8" t="str">
        <x:v>1.3968188461523525</x:v>
      </x:c>
      <x:c r="V335" s="6" t="str">
        <x:v>184.72900000000004</x:v>
      </x:c>
      <x:c r="W335" s="8" t="str">
        <x:v>1.6624035805379527</x:v>
      </x:c>
      <x:c r="X335" s="6" t="str">
        <x:v>0.6078149886182546</x:v>
      </x:c>
      <x:c r="Y335" s="6" t="str">
        <x:v>1.0403646565790714</x:v>
      </x:c>
      <x:c r="Z335" s="6" t="str">
        <x:v>0.6906164005772893</x:v>
      </x:c>
      <x:c r="AA335" s="6" t="str">
        <x:v>1.5549099888788125</x:v>
      </x:c>
      <x:c r="AB335" s="6" t="str">
        <x:v>1.5884569904627763</x:v>
      </x:c>
      <x:c r="AC335" s="6" t="str">
        <x:v>1.5133952751646467</x:v>
      </x:c>
      <x:c r="AD335" s="6" t="str">
        <x:v>1.1061221969593615</x:v>
      </x:c>
      <x:c r="AE335" s="6" t="str">
        <x:v>1.8147203257691527</x:v>
      </x:c>
      <x:c r="AF335" s="6" t="str">
        <x:v>1.5277487010888224</x:v>
      </x:c>
      <x:c r="AG335" s="6" t="str">
        <x:v>1</x:v>
      </x:c>
      <x:c r="AH335" s="6" t="str">
        <x:v>0</x:v>
      </x:c>
      <x:c r="AI335" s="6" t="str">
        <x:v>2025-10</x:v>
      </x:c>
      <x:c r="AJ335" s="9" t="str">
        <x:v>NASA POWER (MERRA-2 meteorology)</x:v>
      </x:c>
      <x:c r="AK335" s="9" t="str">
        <x:v>Badan Informasi Geospasial (BIG)</x:v>
      </x:c>
      <x:c r="AL335" s="9" t="str">
        <x:v>https://power.larc.nasa.gov/docs/services/api/temporal/monthly/</x:v>
      </x:c>
      <x:c r="AM335" s="9" t="str">
        <x:v>https://geoservices.big.go.id/rbi/rest/services/BATASWILAYAH/BATAS_WILAYAH/MapServer/12</x:v>
      </x:c>
    </x:row>
    <x:row r="336" ht="18" customHeight="1">
      <x:c r="A336" s="6" t="str">
        <x:v>34</x:v>
      </x:c>
      <x:c r="B336" s="6" t="str">
        <x:v>DI YOGYAKARTA</x:v>
      </x:c>
      <x:c r="C336" s="6" t="str">
        <x:v>2025</x:v>
      </x:c>
      <x:c r="D336" s="6" t="str">
        <x:v>11</x:v>
      </x:c>
      <x:c r="E336" s="6" t="str">
        <x:v>26.01</x:v>
      </x:c>
      <x:c r="F336" s="9" t="str">
        <x:v>grid_cells_within_BIG_polygon</x:v>
      </x:c>
      <x:c r="G336" s="6" t="str">
        <x:v>1</x:v>
      </x:c>
      <x:c r="H336" s="8" t="str">
        <x:v>86.96</x:v>
      </x:c>
      <x:c r="I336" s="6" t="str">
        <x:v>10.41</x:v>
      </x:c>
      <x:c r="J336" s="6" t="str">
        <x:v>30</x:v>
      </x:c>
      <x:c r="K336" s="6" t="str">
        <x:v>312.3</x:v>
      </x:c>
      <x:c r="L336" s="6" t="str">
        <x:v>26.395666666666667</x:v>
      </x:c>
      <x:c r="M336" s="6" t="str">
        <x:v>0.5744483610736737</x:v>
      </x:c>
      <x:c r="N336" s="6" t="str">
        <x:v>82.29166666666667</x:v>
      </x:c>
      <x:c r="O336" s="6" t="str">
        <x:v>4.0823016524516165</x:v>
      </x:c>
      <x:c r="P336" s="6" t="str">
        <x:v>232.41</x:v>
      </x:c>
      <x:c r="Q336" s="6" t="str">
        <x:v>81.16527773835823</x:v>
      </x:c>
      <x:c r="R336" s="6" t="str">
        <x:v>-0.3856666666666655</x:v>
      </x:c>
      <x:c r="S336" s="8" t="str">
        <x:v>-0.6713687300732037</x:v>
      </x:c>
      <x:c r="T336" s="6" t="str">
        <x:v>4.668333333333322</x:v>
      </x:c>
      <x:c r="U336" s="8" t="str">
        <x:v>1.1435542325809671</x:v>
      </x:c>
      <x:c r="V336" s="6" t="str">
        <x:v>79.89000000000001</x:v>
      </x:c>
      <x:c r="W336" s="8" t="str">
        <x:v>0.9842878904145544</x:v>
      </x:c>
      <x:c r="X336" s="6" t="str">
        <x:v>0.42366955653454064</x:v>
      </x:c>
      <x:c r="Y336" s="6" t="str">
        <x:v>0.6078149886182546</x:v>
      </x:c>
      <x:c r="Z336" s="6" t="str">
        <x:v>0.12003860502653085</x:v>
      </x:c>
      <x:c r="AA336" s="6" t="str">
        <x:v>1.3968188461523525</x:v>
      </x:c>
      <x:c r="AB336" s="6" t="str">
        <x:v>1.5549099888788125</x:v>
      </x:c>
      <x:c r="AC336" s="6" t="str">
        <x:v>1.3650943558707105</x:v>
      </x:c>
      <x:c r="AD336" s="6" t="str">
        <x:v>1.6624035805379527</x:v>
      </x:c>
      <x:c r="AE336" s="6" t="str">
        <x:v>1.1061221969593615</x:v>
      </x:c>
      <x:c r="AF336" s="6" t="str">
        <x:v>1.2509378893039564</x:v>
      </x:c>
      <x:c r="AG336" s="6" t="str">
        <x:v>0</x:v>
      </x:c>
      <x:c r="AH336" s="6" t="str">
        <x:v>0</x:v>
      </x:c>
      <x:c r="AI336" s="6" t="str">
        <x:v>2025-11</x:v>
      </x:c>
      <x:c r="AJ336" s="9" t="str">
        <x:v>NASA POWER (MERRA-2 meteorology)</x:v>
      </x:c>
      <x:c r="AK336" s="9" t="str">
        <x:v>Badan Informasi Geospasial (BIG)</x:v>
      </x:c>
      <x:c r="AL336" s="9" t="str">
        <x:v>https://power.larc.nasa.gov/docs/services/api/temporal/monthly/</x:v>
      </x:c>
      <x:c r="AM336" s="9" t="str">
        <x:v>https://geoservices.big.go.id/rbi/rest/services/BATASWILAYAH/BATAS_WILAYAH/MapServer/12</x:v>
      </x:c>
    </x:row>
    <x:row r="337" ht="18" customHeight="1">
      <x:c r="A337" s="6" t="str">
        <x:v>34</x:v>
      </x:c>
      <x:c r="B337" s="6" t="str">
        <x:v>DI YOGYAKARTA</x:v>
      </x:c>
      <x:c r="C337" s="6" t="str">
        <x:v>2025</x:v>
      </x:c>
      <x:c r="D337" s="6" t="str">
        <x:v>12</x:v>
      </x:c>
      <x:c r="E337" s="6" t="str">
        <x:v>26.26</x:v>
      </x:c>
      <x:c r="F337" s="9" t="str">
        <x:v>grid_cells_within_BIG_polygon</x:v>
      </x:c>
      <x:c r="G337" s="6" t="str">
        <x:v>1</x:v>
      </x:c>
      <x:c r="H337" s="8" t="str">
        <x:v>86.65</x:v>
      </x:c>
      <x:c r="I337" s="6" t="str">
        <x:v>11.04</x:v>
      </x:c>
      <x:c r="J337" s="6" t="str">
        <x:v>31</x:v>
      </x:c>
      <x:c r="K337" s="6" t="str">
        <x:v>342.23999999999995</x:v>
      </x:c>
      <x:c r="L337" s="6" t="str">
        <x:v>26.006000000000004</x:v>
      </x:c>
      <x:c r="M337" s="6" t="str">
        <x:v>0.4943445678108925</x:v>
      </x:c>
      <x:c r="N337" s="6" t="str">
        <x:v>85.30266666666667</x:v>
      </x:c>
      <x:c r="O337" s="6" t="str">
        <x:v>2.2071903396404897</x:v>
      </x:c>
      <x:c r="P337" s="6" t="str">
        <x:v>280.01266666666663</x:v>
      </x:c>
      <x:c r="Q337" s="6" t="str">
        <x:v>80.65720772603596</x:v>
      </x:c>
      <x:c r="R337" s="6" t="str">
        <x:v>0.2539999999999978</x:v>
      </x:c>
      <x:c r="S337" s="8" t="str">
        <x:v>0.5138116539335847</x:v>
      </x:c>
      <x:c r="T337" s="6" t="str">
        <x:v>1.3473333333333386</x:v>
      </x:c>
      <x:c r="U337" s="8" t="str">
        <x:v>0.6104291547202015</x:v>
      </x:c>
      <x:c r="V337" s="6" t="str">
        <x:v>62.22733333333332</x:v>
      </x:c>
      <x:c r="W337" s="8" t="str">
        <x:v>0.7715036893503379</x:v>
      </x:c>
      <x:c r="X337" s="6" t="str">
        <x:v>-0.6713687300732037</x:v>
      </x:c>
      <x:c r="Y337" s="6" t="str">
        <x:v>0.42366955653454064</x:v>
      </x:c>
      <x:c r="Z337" s="6" t="str">
        <x:v>0.08870416013164091</x:v>
      </x:c>
      <x:c r="AA337" s="6" t="str">
        <x:v>1.1435542325809671</x:v>
      </x:c>
      <x:c r="AB337" s="6" t="str">
        <x:v>1.3968188461523525</x:v>
      </x:c>
      <x:c r="AC337" s="6" t="str">
        <x:v>1.0502674111511732</x:v>
      </x:c>
      <x:c r="AD337" s="6" t="str">
        <x:v>0.9842878904145544</x:v>
      </x:c>
      <x:c r="AE337" s="6" t="str">
        <x:v>1.6624035805379527</x:v>
      </x:c>
      <x:c r="AF337" s="6" t="str">
        <x:v>1.1393983867676152</x:v>
      </x:c>
      <x:c r="AG337" s="6" t="str">
        <x:v>0</x:v>
      </x:c>
      <x:c r="AH337" s="6" t="str">
        <x:v>0</x:v>
      </x:c>
      <x:c r="AI337" s="6" t="str">
        <x:v>2025-12</x:v>
      </x:c>
      <x:c r="AJ337" s="9" t="str">
        <x:v>NASA POWER (MERRA-2 meteorology)</x:v>
      </x:c>
      <x:c r="AK337" s="9" t="str">
        <x:v>Badan Informasi Geospasial (BIG)</x:v>
      </x:c>
      <x:c r="AL337" s="9" t="str">
        <x:v>https://power.larc.nasa.gov/docs/services/api/temporal/monthly/</x:v>
      </x:c>
      <x:c r="AM337" s="9" t="str">
        <x:v>https://geoservices.big.go.id/rbi/rest/services/BATASWILAYAH/BATAS_WILAYAH/MapServer/12</x:v>
      </x:c>
    </x:row>
    <x:row r="338" ht="18" customHeight="1">
      <x:c r="A338" s="6" t="str">
        <x:v>35</x:v>
      </x:c>
      <x:c r="B338" s="6" t="str">
        <x:v>JAWA TIMUR</x:v>
      </x:c>
      <x:c r="C338" s="6" t="str">
        <x:v>2024</x:v>
      </x:c>
      <x:c r="D338" s="6" t="str">
        <x:v>1</x:v>
      </x:c>
      <x:c r="E338" s="6" t="str">
        <x:v>26.96062623956446</x:v>
      </x:c>
      <x:c r="F338" s="9" t="str">
        <x:v>grid_cells_within_BIG_polygon</x:v>
      </x:c>
      <x:c r="G338" s="6" t="str">
        <x:v>16</x:v>
      </x:c>
      <x:c r="H338" s="8" t="str">
        <x:v>84.73521494731392</x:v>
      </x:c>
      <x:c r="I338" s="6" t="str">
        <x:v>8.936848365064693</x:v>
      </x:c>
      <x:c r="J338" s="6" t="str">
        <x:v>31</x:v>
      </x:c>
      <x:c r="K338" s="6" t="str">
        <x:v>277.0422993170055</x:v>
      </x:c>
      <x:c r="L338" s="6" t="str">
        <x:v>25.865174548557217</x:v>
      </x:c>
      <x:c r="M338" s="6" t="str">
        <x:v>0.5552328509727933</x:v>
      </x:c>
      <x:c r="N338" s="6" t="str">
        <x:v>85.91633326687894</x:v>
      </x:c>
      <x:c r="O338" s="6" t="str">
        <x:v>2.6265435236820482</x:v>
      </x:c>
      <x:c r="P338" s="6" t="str">
        <x:v>313.17560228208833</x:v>
      </x:c>
      <x:c r="Q338" s="6" t="str">
        <x:v>82.1394983844485</x:v>
      </x:c>
      <x:c r="R338" s="6" t="str">
        <x:v>1.0954516910072414</x:v>
      </x:c>
      <x:c r="S338" s="8" t="str">
        <x:v>1.9729590730951168</x:v>
      </x:c>
      <x:c r="T338" s="6" t="str">
        <x:v>-1.181118319565016</x:v>
      </x:c>
      <x:c r="U338" s="8" t="str">
        <x:v>-0.44968541694266406</x:v>
      </x:c>
      <x:c r="V338" s="6" t="str">
        <x:v>-36.13330296508286</x:v>
      </x:c>
      <x:c r="W338" s="8" t="str">
        <x:v>-0.4399016755125935</x:v>
      </x:c>
      <x:c r="X338" s="6" t="str">
        <x:v>1.3116544056822699</x:v>
      </x:c>
      <x:c r="Y338" s="6" t="str">
        <x:v>1.6624813177305484</x:v>
      </x:c>
      <x:c r="Z338" s="6" t="str">
        <x:v>1.6490315988359783</x:v>
      </x:c>
      <x:c r="AA338" s="6" t="str">
        <x:v>-0.16952223842422678</x:v>
      </x:c>
      <x:c r="AB338" s="6" t="str">
        <x:v>-0.7281075390847563</x:v>
      </x:c>
      <x:c r="AC338" s="6" t="str">
        <x:v>-0.4491050648172159</x:v>
      </x:c>
      <x:c r="AD338" s="6" t="str">
        <x:v>3.9747635591033244</x:v>
      </x:c>
      <x:c r="AE338" s="6" t="str">
        <x:v>-0.10824475433152632</x:v>
      </x:c>
      <x:c r="AF338" s="6" t="str">
        <x:v>1.1422057097530685</x:v>
      </x:c>
      <x:c r="AG338" s="6" t="str">
        <x:v>0</x:v>
      </x:c>
      <x:c r="AH338" s="6" t="str">
        <x:v>1</x:v>
      </x:c>
      <x:c r="AI338" s="6" t="str">
        <x:v>2024-01</x:v>
      </x:c>
      <x:c r="AJ338" s="9" t="str">
        <x:v>NASA POWER (MERRA-2 meteorology)</x:v>
      </x:c>
      <x:c r="AK338" s="9" t="str">
        <x:v>Badan Informasi Geospasial (BIG)</x:v>
      </x:c>
      <x:c r="AL338" s="9" t="str">
        <x:v>https://power.larc.nasa.gov/docs/services/api/temporal/monthly/</x:v>
      </x:c>
      <x:c r="AM338" s="9" t="str">
        <x:v>https://geoservices.big.go.id/rbi/rest/services/BATASWILAYAH/BATAS_WILAYAH/MapServer/12</x:v>
      </x:c>
    </x:row>
    <x:row r="339" ht="18" customHeight="1">
      <x:c r="A339" s="6" t="str">
        <x:v>35</x:v>
      </x:c>
      <x:c r="B339" s="6" t="str">
        <x:v>JAWA TIMUR</x:v>
      </x:c>
      <x:c r="C339" s="6" t="str">
        <x:v>2024</x:v>
      </x:c>
      <x:c r="D339" s="6" t="str">
        <x:v>2</x:v>
      </x:c>
      <x:c r="E339" s="6" t="str">
        <x:v>26.918652302313745</x:v>
      </x:c>
      <x:c r="F339" s="9" t="str">
        <x:v>grid_cells_within_BIG_polygon</x:v>
      </x:c>
      <x:c r="G339" s="6" t="str">
        <x:v>16</x:v>
      </x:c>
      <x:c r="H339" s="8" t="str">
        <x:v>85.95410344815751</x:v>
      </x:c>
      <x:c r="I339" s="6" t="str">
        <x:v>11.747284368013078</x:v>
      </x:c>
      <x:c r="J339" s="6" t="str">
        <x:v>29</x:v>
      </x:c>
      <x:c r="K339" s="6" t="str">
        <x:v>340.67124667237925</x:v>
      </x:c>
      <x:c r="L339" s="6" t="str">
        <x:v>25.71901338690174</x:v>
      </x:c>
      <x:c r="M339" s="6" t="str">
        <x:v>0.46614036621534766</x:v>
      </x:c>
      <x:c r="N339" s="6" t="str">
        <x:v>87.21228219026929</x:v>
      </x:c>
      <x:c r="O339" s="6" t="str">
        <x:v>1.5420110419202768</x:v>
      </x:c>
      <x:c r="P339" s="6" t="str">
        <x:v>280.0341668779272</x:v>
      </x:c>
      <x:c r="Q339" s="6" t="str">
        <x:v>72.94502991108145</x:v>
      </x:c>
      <x:c r="R339" s="6" t="str">
        <x:v>1.199638915412006</x:v>
      </x:c>
      <x:c r="S339" s="8" t="str">
        <x:v>2.5735572423217183</x:v>
      </x:c>
      <x:c r="T339" s="6" t="str">
        <x:v>-1.258178742111781</x:v>
      </x:c>
      <x:c r="U339" s="8" t="str">
        <x:v>-0.8159336787530149</x:v>
      </x:c>
      <x:c r="V339" s="6" t="str">
        <x:v>60.63707979445206</x:v>
      </x:c>
      <x:c r="W339" s="8" t="str">
        <x:v>0.8312708880696528</x:v>
      </x:c>
      <x:c r="X339" s="6" t="str">
        <x:v>1.9729590730951168</x:v>
      </x:c>
      <x:c r="Y339" s="6" t="str">
        <x:v>1.3116544056822699</x:v>
      </x:c>
      <x:c r="Z339" s="6" t="str">
        <x:v>1.9527235736997017</x:v>
      </x:c>
      <x:c r="AA339" s="6" t="str">
        <x:v>-0.44968541694266406</x:v>
      </x:c>
      <x:c r="AB339" s="6" t="str">
        <x:v>-0.16952223842422678</x:v>
      </x:c>
      <x:c r="AC339" s="6" t="str">
        <x:v>-0.4783804447066354</x:v>
      </x:c>
      <x:c r="AD339" s="6" t="str">
        <x:v>-0.4399016755125935</x:v>
      </x:c>
      <x:c r="AE339" s="6" t="str">
        <x:v>3.9747635591033244</x:v>
      </x:c>
      <x:c r="AF339" s="6" t="str">
        <x:v>1.4553775905534614</x:v>
      </x:c>
      <x:c r="AG339" s="6" t="str">
        <x:v>0</x:v>
      </x:c>
      <x:c r="AH339" s="6" t="str">
        <x:v>1</x:v>
      </x:c>
      <x:c r="AI339" s="6" t="str">
        <x:v>2024-02</x:v>
      </x:c>
      <x:c r="AJ339" s="9" t="str">
        <x:v>NASA POWER (MERRA-2 meteorology)</x:v>
      </x:c>
      <x:c r="AK339" s="9" t="str">
        <x:v>Badan Informasi Geospasial (BIG)</x:v>
      </x:c>
      <x:c r="AL339" s="9" t="str">
        <x:v>https://power.larc.nasa.gov/docs/services/api/temporal/monthly/</x:v>
      </x:c>
      <x:c r="AM339" s="9" t="str">
        <x:v>https://geoservices.big.go.id/rbi/rest/services/BATASWILAYAH/BATAS_WILAYAH/MapServer/12</x:v>
      </x:c>
    </x:row>
    <x:row r="340" ht="18" customHeight="1">
      <x:c r="A340" s="6" t="str">
        <x:v>35</x:v>
      </x:c>
      <x:c r="B340" s="6" t="str">
        <x:v>JAWA TIMUR</x:v>
      </x:c>
      <x:c r="C340" s="6" t="str">
        <x:v>2024</x:v>
      </x:c>
      <x:c r="D340" s="6" t="str">
        <x:v>3</x:v>
      </x:c>
      <x:c r="E340" s="6" t="str">
        <x:v>26.920720879421488</x:v>
      </x:c>
      <x:c r="F340" s="9" t="str">
        <x:v>grid_cells_within_BIG_polygon</x:v>
      </x:c>
      <x:c r="G340" s="6" t="str">
        <x:v>16</x:v>
      </x:c>
      <x:c r="H340" s="8" t="str">
        <x:v>86.53969919575545</x:v>
      </x:c>
      <x:c r="I340" s="6" t="str">
        <x:v>7.377927627238525</x:v>
      </x:c>
      <x:c r="J340" s="6" t="str">
        <x:v>31</x:v>
      </x:c>
      <x:c r="K340" s="6" t="str">
        <x:v>228.71575644439426</x:v>
      </x:c>
      <x:c r="L340" s="6" t="str">
        <x:v>25.991500882835982</x:v>
      </x:c>
      <x:c r="M340" s="6" t="str">
        <x:v>0.42456957764111347</x:v>
      </x:c>
      <x:c r="N340" s="6" t="str">
        <x:v>85.88509963183624</x:v>
      </x:c>
      <x:c r="O340" s="6" t="str">
        <x:v>1.6150489413601696</x:v>
      </x:c>
      <x:c r="P340" s="6" t="str">
        <x:v>233.94270804701378</x:v>
      </x:c>
      <x:c r="Q340" s="6" t="str">
        <x:v>67.9512588107665</x:v>
      </x:c>
      <x:c r="R340" s="6" t="str">
        <x:v>0.9292199965855055</x:v>
      </x:c>
      <x:c r="S340" s="8" t="str">
        <x:v>2.188616531943253</x:v>
      </x:c>
      <x:c r="T340" s="6" t="str">
        <x:v>0.6545995639192057</x:v>
      </x:c>
      <x:c r="U340" s="8" t="str">
        <x:v>0.40531252468913537</x:v>
      </x:c>
      <x:c r="V340" s="6" t="str">
        <x:v>-5.226951602619522</x:v>
      </x:c>
      <x:c r="W340" s="8" t="str">
        <x:v>-0.07692207170401</x:v>
      </x:c>
      <x:c r="X340" s="6" t="str">
        <x:v>2.5735572423217183</x:v>
      </x:c>
      <x:c r="Y340" s="6" t="str">
        <x:v>1.9729590730951168</x:v>
      </x:c>
      <x:c r="Z340" s="6" t="str">
        <x:v>2.245044282453363</x:v>
      </x:c>
      <x:c r="AA340" s="6" t="str">
        <x:v>-0.8159336787530149</x:v>
      </x:c>
      <x:c r="AB340" s="6" t="str">
        <x:v>-0.44968541694266406</x:v>
      </x:c>
      <x:c r="AC340" s="6" t="str">
        <x:v>-0.28676885700218135</x:v>
      </x:c>
      <x:c r="AD340" s="6" t="str">
        <x:v>0.8312708880696528</x:v>
      </x:c>
      <x:c r="AE340" s="6" t="str">
        <x:v>-0.4399016755125935</x:v>
      </x:c>
      <x:c r="AF340" s="6" t="str">
        <x:v>0.10481571361768323</x:v>
      </x:c>
      <x:c r="AG340" s="6" t="str">
        <x:v>0</x:v>
      </x:c>
      <x:c r="AH340" s="6" t="str">
        <x:v>1</x:v>
      </x:c>
      <x:c r="AI340" s="6" t="str">
        <x:v>2024-03</x:v>
      </x:c>
      <x:c r="AJ340" s="9" t="str">
        <x:v>NASA POWER (MERRA-2 meteorology)</x:v>
      </x:c>
      <x:c r="AK340" s="9" t="str">
        <x:v>Badan Informasi Geospasial (BIG)</x:v>
      </x:c>
      <x:c r="AL340" s="9" t="str">
        <x:v>https://power.larc.nasa.gov/docs/services/api/temporal/monthly/</x:v>
      </x:c>
      <x:c r="AM340" s="9" t="str">
        <x:v>https://geoservices.big.go.id/rbi/rest/services/BATASWILAYAH/BATAS_WILAYAH/MapServer/12</x:v>
      </x:c>
    </x:row>
    <x:row r="341" ht="18" customHeight="1">
      <x:c r="A341" s="6" t="str">
        <x:v>35</x:v>
      </x:c>
      <x:c r="B341" s="6" t="str">
        <x:v>JAWA TIMUR</x:v>
      </x:c>
      <x:c r="C341" s="6" t="str">
        <x:v>2024</x:v>
      </x:c>
      <x:c r="D341" s="6" t="str">
        <x:v>4</x:v>
      </x:c>
      <x:c r="E341" s="6" t="str">
        <x:v>27.224709038341675</x:v>
      </x:c>
      <x:c r="F341" s="9" t="str">
        <x:v>grid_cells_within_BIG_polygon</x:v>
      </x:c>
      <x:c r="G341" s="6" t="str">
        <x:v>16</x:v>
      </x:c>
      <x:c r="H341" s="8" t="str">
        <x:v>86.70657542762659</x:v>
      </x:c>
      <x:c r="I341" s="6" t="str">
        <x:v>8.239915294891738</x:v>
      </x:c>
      <x:c r="J341" s="6" t="str">
        <x:v>30</x:v>
      </x:c>
      <x:c r="K341" s="6" t="str">
        <x:v>247.1974588467521</x:v>
      </x:c>
      <x:c r="L341" s="6" t="str">
        <x:v>26.223860352980264</x:v>
      </x:c>
      <x:c r="M341" s="6" t="str">
        <x:v>0.4086033049517113</x:v>
      </x:c>
      <x:c r="N341" s="6" t="str">
        <x:v>85.00023758715346</x:v>
      </x:c>
      <x:c r="O341" s="6" t="str">
        <x:v>1.0598252050289105</x:v>
      </x:c>
      <x:c r="P341" s="6" t="str">
        <x:v>173.4037785689062</x:v>
      </x:c>
      <x:c r="Q341" s="6" t="str">
        <x:v>58.54612503611087</x:v>
      </x:c>
      <x:c r="R341" s="6" t="str">
        <x:v>1.0008486853614116</x:v>
      </x:c>
      <x:c r="S341" s="8" t="str">
        <x:v>2.4494385464642576</x:v>
      </x:c>
      <x:c r="T341" s="6" t="str">
        <x:v>1.7063378404731253</x:v>
      </x:c>
      <x:c r="U341" s="8" t="str">
        <x:v>1.6100181731633556</x:v>
      </x:c>
      <x:c r="V341" s="6" t="str">
        <x:v>73.79368027784591</x:v>
      </x:c>
      <x:c r="W341" s="8" t="str">
        <x:v>1.2604366255209964</x:v>
      </x:c>
      <x:c r="X341" s="6" t="str">
        <x:v>2.188616531943253</x:v>
      </x:c>
      <x:c r="Y341" s="6" t="str">
        <x:v>2.5735572423217183</x:v>
      </x:c>
      <x:c r="Z341" s="6" t="str">
        <x:v>2.40387077357641</x:v>
      </x:c>
      <x:c r="AA341" s="6" t="str">
        <x:v>0.40531252468913537</x:v>
      </x:c>
      <x:c r="AB341" s="6" t="str">
        <x:v>-0.8159336787530149</x:v>
      </x:c>
      <x:c r="AC341" s="6" t="str">
        <x:v>0.39979900636649185</x:v>
      </x:c>
      <x:c r="AD341" s="6" t="str">
        <x:v>-0.07692207170401</x:v>
      </x:c>
      <x:c r="AE341" s="6" t="str">
        <x:v>0.8312708880696528</x:v>
      </x:c>
      <x:c r="AF341" s="6" t="str">
        <x:v>0.6715951472955465</x:v>
      </x:c>
      <x:c r="AG341" s="6" t="str">
        <x:v>1</x:v>
      </x:c>
      <x:c r="AH341" s="6" t="str">
        <x:v>1</x:v>
      </x:c>
      <x:c r="AI341" s="6" t="str">
        <x:v>2024-04</x:v>
      </x:c>
      <x:c r="AJ341" s="9" t="str">
        <x:v>NASA POWER (MERRA-2 meteorology)</x:v>
      </x:c>
      <x:c r="AK341" s="9" t="str">
        <x:v>Badan Informasi Geospasial (BIG)</x:v>
      </x:c>
      <x:c r="AL341" s="9" t="str">
        <x:v>https://power.larc.nasa.gov/docs/services/api/temporal/monthly/</x:v>
      </x:c>
      <x:c r="AM341" s="9" t="str">
        <x:v>https://geoservices.big.go.id/rbi/rest/services/BATASWILAYAH/BATAS_WILAYAH/MapServer/12</x:v>
      </x:c>
    </x:row>
    <x:row r="342" ht="18" customHeight="1">
      <x:c r="A342" s="6" t="str">
        <x:v>35</x:v>
      </x:c>
      <x:c r="B342" s="6" t="str">
        <x:v>JAWA TIMUR</x:v>
      </x:c>
      <x:c r="C342" s="6" t="str">
        <x:v>2024</x:v>
      </x:c>
      <x:c r="D342" s="6" t="str">
        <x:v>5</x:v>
      </x:c>
      <x:c r="E342" s="6" t="str">
        <x:v>26.712165122446972</x:v>
      </x:c>
      <x:c r="F342" s="9" t="str">
        <x:v>grid_cells_within_BIG_polygon</x:v>
      </x:c>
      <x:c r="G342" s="6" t="str">
        <x:v>16</x:v>
      </x:c>
      <x:c r="H342" s="8" t="str">
        <x:v>84.46993480879033</x:v>
      </x:c>
      <x:c r="I342" s="6" t="str">
        <x:v>0.6387993116143947</x:v>
      </x:c>
      <x:c r="J342" s="6" t="str">
        <x:v>31</x:v>
      </x:c>
      <x:c r="K342" s="6" t="str">
        <x:v>19.802778660046236</x:v>
      </x:c>
      <x:c r="L342" s="6" t="str">
        <x:v>25.932945020258533</x:v>
      </x:c>
      <x:c r="M342" s="6" t="str">
        <x:v>0.4621777101312441</x:v>
      </x:c>
      <x:c r="N342" s="6" t="str">
        <x:v>83.65393583172172</x:v>
      </x:c>
      <x:c r="O342" s="6" t="str">
        <x:v>1.5871119512498115</x:v>
      </x:c>
      <x:c r="P342" s="6" t="str">
        <x:v>98.68629659290539</x:v>
      </x:c>
      <x:c r="Q342" s="6" t="str">
        <x:v>63.7713922830138</x:v>
      </x:c>
      <x:c r="R342" s="6" t="str">
        <x:v>0.7792201021884395</x:v>
      </x:c>
      <x:c r="S342" s="8" t="str">
        <x:v>1.6859750808128875</x:v>
      </x:c>
      <x:c r="T342" s="6" t="str">
        <x:v>0.8159989770686025</x:v>
      </x:c>
      <x:c r="U342" s="8" t="str">
        <x:v>0.5141407803186305</x:v>
      </x:c>
      <x:c r="V342" s="6" t="str">
        <x:v>-78.88351793285915</x:v>
      </x:c>
      <x:c r="W342" s="8" t="str">
        <x:v>-1.2369734313276177</x:v>
      </x:c>
      <x:c r="X342" s="6" t="str">
        <x:v>2.4494385464642576</x:v>
      </x:c>
      <x:c r="Y342" s="6" t="str">
        <x:v>2.188616531943253</x:v>
      </x:c>
      <x:c r="Z342" s="6" t="str">
        <x:v>2.1080100530734662</x:v>
      </x:c>
      <x:c r="AA342" s="6" t="str">
        <x:v>1.6100181731633556</x:v>
      </x:c>
      <x:c r="AB342" s="6" t="str">
        <x:v>0.40531252468913537</x:v>
      </x:c>
      <x:c r="AC342" s="6" t="str">
        <x:v>0.8431571593903736</x:v>
      </x:c>
      <x:c r="AD342" s="6" t="str">
        <x:v>1.2604366255209964</x:v>
      </x:c>
      <x:c r="AE342" s="6" t="str">
        <x:v>-0.07692207170401</x:v>
      </x:c>
      <x:c r="AF342" s="6" t="str">
        <x:v>-0.017819625836876945</x:v>
      </x:c>
      <x:c r="AG342" s="6" t="str">
        <x:v>0</x:v>
      </x:c>
      <x:c r="AH342" s="6" t="str">
        <x:v>1</x:v>
      </x:c>
      <x:c r="AI342" s="6" t="str">
        <x:v>2024-05</x:v>
      </x:c>
      <x:c r="AJ342" s="9" t="str">
        <x:v>NASA POWER (MERRA-2 meteorology)</x:v>
      </x:c>
      <x:c r="AK342" s="9" t="str">
        <x:v>Badan Informasi Geospasial (BIG)</x:v>
      </x:c>
      <x:c r="AL342" s="9" t="str">
        <x:v>https://power.larc.nasa.gov/docs/services/api/temporal/monthly/</x:v>
      </x:c>
      <x:c r="AM342" s="9" t="str">
        <x:v>https://geoservices.big.go.id/rbi/rest/services/BATASWILAYAH/BATAS_WILAYAH/MapServer/12</x:v>
      </x:c>
    </x:row>
    <x:row r="343" ht="18" customHeight="1">
      <x:c r="A343" s="6" t="str">
        <x:v>35</x:v>
      </x:c>
      <x:c r="B343" s="6" t="str">
        <x:v>JAWA TIMUR</x:v>
      </x:c>
      <x:c r="C343" s="6" t="str">
        <x:v>2024</x:v>
      </x:c>
      <x:c r="D343" s="6" t="str">
        <x:v>6</x:v>
      </x:c>
      <x:c r="E343" s="6" t="str">
        <x:v>26.37644455006596</x:v>
      </x:c>
      <x:c r="F343" s="9" t="str">
        <x:v>grid_cells_within_BIG_polygon</x:v>
      </x:c>
      <x:c r="G343" s="6" t="str">
        <x:v>16</x:v>
      </x:c>
      <x:c r="H343" s="8" t="str">
        <x:v>82.64047122308871</x:v>
      </x:c>
      <x:c r="I343" s="6" t="str">
        <x:v>2.8071998072065796</x:v>
      </x:c>
      <x:c r="J343" s="6" t="str">
        <x:v>30</x:v>
      </x:c>
      <x:c r="K343" s="6" t="str">
        <x:v>84.21599421619739</x:v>
      </x:c>
      <x:c r="L343" s="6" t="str">
        <x:v>25.424885283573154</x:v>
      </x:c>
      <x:c r="M343" s="6" t="str">
        <x:v>0.4714405954836887</x:v>
      </x:c>
      <x:c r="N343" s="6" t="str">
        <x:v>81.88567168183422</x:v>
      </x:c>
      <x:c r="O343" s="6" t="str">
        <x:v>2.831903938788086</x:v>
      </x:c>
      <x:c r="P343" s="6" t="str">
        <x:v>64.94012466857167</x:v>
      </x:c>
      <x:c r="Q343" s="6" t="str">
        <x:v>53.276750817384766</x:v>
      </x:c>
      <x:c r="R343" s="6" t="str">
        <x:v>0.9515592664928043</x:v>
      </x:c>
      <x:c r="S343" s="8" t="str">
        <x:v>2.0184075694977506</x:v>
      </x:c>
      <x:c r="T343" s="6" t="str">
        <x:v>0.754799541254485</x:v>
      </x:c>
      <x:c r="U343" s="8" t="str">
        <x:v>0.2665343025644795</x:v>
      </x:c>
      <x:c r="V343" s="6" t="str">
        <x:v>19.275869547625717</x:v>
      </x:c>
      <x:c r="W343" s="8" t="str">
        <x:v>0.36180640245305273</x:v>
      </x:c>
      <x:c r="X343" s="6" t="str">
        <x:v>1.6859750808128875</x:v>
      </x:c>
      <x:c r="Y343" s="6" t="str">
        <x:v>2.4494385464642576</x:v>
      </x:c>
      <x:c r="Z343" s="6" t="str">
        <x:v>2.0512737322582986</x:v>
      </x:c>
      <x:c r="AA343" s="6" t="str">
        <x:v>0.5141407803186305</x:v>
      </x:c>
      <x:c r="AB343" s="6" t="str">
        <x:v>1.6100181731633556</x:v>
      </x:c>
      <x:c r="AC343" s="6" t="str">
        <x:v>0.7968977520154884</x:v>
      </x:c>
      <x:c r="AD343" s="6" t="str">
        <x:v>-1.2369734313276177</x:v>
      </x:c>
      <x:c r="AE343" s="6" t="str">
        <x:v>1.2604366255209964</x:v>
      </x:c>
      <x:c r="AF343" s="6" t="str">
        <x:v>0.128423198882144</x:v>
      </x:c>
      <x:c r="AG343" s="6" t="str">
        <x:v>0</x:v>
      </x:c>
      <x:c r="AH343" s="6" t="str">
        <x:v>1</x:v>
      </x:c>
      <x:c r="AI343" s="6" t="str">
        <x:v>2024-06</x:v>
      </x:c>
      <x:c r="AJ343" s="9" t="str">
        <x:v>NASA POWER (MERRA-2 meteorology)</x:v>
      </x:c>
      <x:c r="AK343" s="9" t="str">
        <x:v>Badan Informasi Geospasial (BIG)</x:v>
      </x:c>
      <x:c r="AL343" s="9" t="str">
        <x:v>https://power.larc.nasa.gov/docs/services/api/temporal/monthly/</x:v>
      </x:c>
      <x:c r="AM343" s="9" t="str">
        <x:v>https://geoservices.big.go.id/rbi/rest/services/BATASWILAYAH/BATAS_WILAYAH/MapServer/12</x:v>
      </x:c>
    </x:row>
    <x:row r="344" ht="18" customHeight="1">
      <x:c r="A344" s="6" t="str">
        <x:v>35</x:v>
      </x:c>
      <x:c r="B344" s="6" t="str">
        <x:v>JAWA TIMUR</x:v>
      </x:c>
      <x:c r="C344" s="6" t="str">
        <x:v>2024</x:v>
      </x:c>
      <x:c r="D344" s="6" t="str">
        <x:v>7</x:v>
      </x:c>
      <x:c r="E344" s="6" t="str">
        <x:v>25.774204263437763</x:v>
      </x:c>
      <x:c r="F344" s="9" t="str">
        <x:v>grid_cells_within_BIG_polygon</x:v>
      </x:c>
      <x:c r="G344" s="6" t="str">
        <x:v>16</x:v>
      </x:c>
      <x:c r="H344" s="8" t="str">
        <x:v>77.86618863009164</x:v>
      </x:c>
      <x:c r="I344" s="6" t="str">
        <x:v>0.9673134006539077</x:v>
      </x:c>
      <x:c r="J344" s="6" t="str">
        <x:v>31</x:v>
      </x:c>
      <x:c r="K344" s="6" t="str">
        <x:v>29.98671542027114</x:v>
      </x:c>
      <x:c r="L344" s="6" t="str">
        <x:v>25.102468604421066</x:v>
      </x:c>
      <x:c r="M344" s="6" t="str">
        <x:v>0.4126562856530456</x:v>
      </x:c>
      <x:c r="N344" s="6" t="str">
        <x:v>77.70931458902493</x:v>
      </x:c>
      <x:c r="O344" s="6" t="str">
        <x:v>4.1938025408301725</x:v>
      </x:c>
      <x:c r="P344" s="6" t="str">
        <x:v>34.05035423554577</x:v>
      </x:c>
      <x:c r="Q344" s="6" t="str">
        <x:v>38.9889265042854</x:v>
      </x:c>
      <x:c r="R344" s="6" t="str">
        <x:v>0.6717356590166972</x:v>
      </x:c>
      <x:c r="S344" s="8" t="str">
        <x:v>1.62783333823123</x:v>
      </x:c>
      <x:c r="T344" s="6" t="str">
        <x:v>0.15687404106671465</x:v>
      </x:c>
      <x:c r="U344" s="8" t="str">
        <x:v>0.037406158143931376</x:v>
      </x:c>
      <x:c r="V344" s="6" t="str">
        <x:v>-4.063638815274629</x:v>
      </x:c>
      <x:c r="W344" s="8" t="str">
        <x:v>-0.10422546039650467</x:v>
      </x:c>
      <x:c r="X344" s="6" t="str">
        <x:v>2.0184075694977506</x:v>
      </x:c>
      <x:c r="Y344" s="6" t="str">
        <x:v>1.6859750808128875</x:v>
      </x:c>
      <x:c r="Z344" s="6" t="str">
        <x:v>1.7774053295139562</x:v>
      </x:c>
      <x:c r="AA344" s="6" t="str">
        <x:v>0.2665343025644795</x:v>
      </x:c>
      <x:c r="AB344" s="6" t="str">
        <x:v>0.5141407803186305</x:v>
      </x:c>
      <x:c r="AC344" s="6" t="str">
        <x:v>0.27269374700901367</x:v>
      </x:c>
      <x:c r="AD344" s="6" t="str">
        <x:v>0.36180640245305273</x:v>
      </x:c>
      <x:c r="AE344" s="6" t="str">
        <x:v>-1.2369734313276177</x:v>
      </x:c>
      <x:c r="AF344" s="6" t="str">
        <x:v>-0.32646416309035636</x:v>
      </x:c>
      <x:c r="AG344" s="6" t="str">
        <x:v>0</x:v>
      </x:c>
      <x:c r="AH344" s="6" t="str">
        <x:v>1</x:v>
      </x:c>
      <x:c r="AI344" s="6" t="str">
        <x:v>2024-07</x:v>
      </x:c>
      <x:c r="AJ344" s="9" t="str">
        <x:v>NASA POWER (MERRA-2 meteorology)</x:v>
      </x:c>
      <x:c r="AK344" s="9" t="str">
        <x:v>Badan Informasi Geospasial (BIG)</x:v>
      </x:c>
      <x:c r="AL344" s="9" t="str">
        <x:v>https://power.larc.nasa.gov/docs/services/api/temporal/monthly/</x:v>
      </x:c>
      <x:c r="AM344" s="9" t="str">
        <x:v>https://geoservices.big.go.id/rbi/rest/services/BATASWILAYAH/BATAS_WILAYAH/MapServer/12</x:v>
      </x:c>
    </x:row>
    <x:row r="345" ht="18" customHeight="1">
      <x:c r="A345" s="6" t="str">
        <x:v>35</x:v>
      </x:c>
      <x:c r="B345" s="6" t="str">
        <x:v>JAWA TIMUR</x:v>
      </x:c>
      <x:c r="C345" s="6" t="str">
        <x:v>2024</x:v>
      </x:c>
      <x:c r="D345" s="6" t="str">
        <x:v>8</x:v>
      </x:c>
      <x:c r="E345" s="6" t="str">
        <x:v>26.456455189122405</x:v>
      </x:c>
      <x:c r="F345" s="9" t="str">
        <x:v>grid_cells_within_BIG_polygon</x:v>
      </x:c>
      <x:c r="G345" s="6" t="str">
        <x:v>16</x:v>
      </x:c>
      <x:c r="H345" s="8" t="str">
        <x:v>71.5210689053189</x:v>
      </x:c>
      <x:c r="I345" s="6" t="str">
        <x:v>0.2831312118656251</x:v>
      </x:c>
      <x:c r="J345" s="6" t="str">
        <x:v>31</x:v>
      </x:c>
      <x:c r="K345" s="6" t="str">
        <x:v>8.77706756783438</x:v>
      </x:c>
      <x:c r="L345" s="6" t="str">
        <x:v>25.568383430285433</x:v>
      </x:c>
      <x:c r="M345" s="6" t="str">
        <x:v>0.37824589229550787</x:v>
      </x:c>
      <x:c r="N345" s="6" t="str">
        <x:v>72.3148433788396</x:v>
      </x:c>
      <x:c r="O345" s="6" t="str">
        <x:v>4.191174334882185</x:v>
      </x:c>
      <x:c r="P345" s="6" t="str">
        <x:v>19.21129787565912</x:v>
      </x:c>
      <x:c r="Q345" s="6" t="str">
        <x:v>21.799776804984898</x:v>
      </x:c>
      <x:c r="R345" s="6" t="str">
        <x:v>0.888071758836972</x:v>
      </x:c>
      <x:c r="S345" s="8" t="str">
        <x:v>2.3478688782247454</x:v>
      </x:c>
      <x:c r="T345" s="6" t="str">
        <x:v>-0.7937744735206991</x:v>
      </x:c>
      <x:c r="U345" s="8" t="str">
        <x:v>-0.18939190071725143</x:v>
      </x:c>
      <x:c r="V345" s="6" t="str">
        <x:v>-10.434230307824741</x:v>
      </x:c>
      <x:c r="W345" s="8" t="str">
        <x:v>-0.4786393182447067</x:v>
      </x:c>
      <x:c r="X345" s="6" t="str">
        <x:v>1.62783333823123</x:v>
      </x:c>
      <x:c r="Y345" s="6" t="str">
        <x:v>2.0184075694977506</x:v>
      </x:c>
      <x:c r="Z345" s="6" t="str">
        <x:v>1.998036595317909</x:v>
      </x:c>
      <x:c r="AA345" s="6" t="str">
        <x:v>0.037406158143931376</x:v>
      </x:c>
      <x:c r="AB345" s="6" t="str">
        <x:v>0.2665343025644795</x:v>
      </x:c>
      <x:c r="AC345" s="6" t="str">
        <x:v>0.038182853330386346</x:v>
      </x:c>
      <x:c r="AD345" s="6" t="str">
        <x:v>-0.10422546039650467</x:v>
      </x:c>
      <x:c r="AE345" s="6" t="str">
        <x:v>0.36180640245305273</x:v>
      </x:c>
      <x:c r="AF345" s="6" t="str">
        <x:v>-0.07368612539605268</x:v>
      </x:c>
      <x:c r="AG345" s="6" t="str">
        <x:v>0</x:v>
      </x:c>
      <x:c r="AH345" s="6" t="str">
        <x:v>1</x:v>
      </x:c>
      <x:c r="AI345" s="6" t="str">
        <x:v>2024-08</x:v>
      </x:c>
      <x:c r="AJ345" s="9" t="str">
        <x:v>NASA POWER (MERRA-2 meteorology)</x:v>
      </x:c>
      <x:c r="AK345" s="9" t="str">
        <x:v>Badan Informasi Geospasial (BIG)</x:v>
      </x:c>
      <x:c r="AL345" s="9" t="str">
        <x:v>https://power.larc.nasa.gov/docs/services/api/temporal/monthly/</x:v>
      </x:c>
      <x:c r="AM345" s="9" t="str">
        <x:v>https://geoservices.big.go.id/rbi/rest/services/BATASWILAYAH/BATAS_WILAYAH/MapServer/12</x:v>
      </x:c>
    </x:row>
    <x:row r="346" ht="18" customHeight="1">
      <x:c r="A346" s="6" t="str">
        <x:v>35</x:v>
      </x:c>
      <x:c r="B346" s="6" t="str">
        <x:v>JAWA TIMUR</x:v>
      </x:c>
      <x:c r="C346" s="6" t="str">
        <x:v>2024</x:v>
      </x:c>
      <x:c r="D346" s="6" t="str">
        <x:v>9</x:v>
      </x:c>
      <x:c r="E346" s="6" t="str">
        <x:v>27.589732289433112</x:v>
      </x:c>
      <x:c r="F346" s="9" t="str">
        <x:v>grid_cells_within_BIG_polygon</x:v>
      </x:c>
      <x:c r="G346" s="6" t="str">
        <x:v>16</x:v>
      </x:c>
      <x:c r="H346" s="8" t="str">
        <x:v>71.65059080495196</x:v>
      </x:c>
      <x:c r="I346" s="6" t="str">
        <x:v>2.183631417479618</x:v>
      </x:c>
      <x:c r="J346" s="6" t="str">
        <x:v>30</x:v>
      </x:c>
      <x:c r="K346" s="6" t="str">
        <x:v>65.50894252438854</x:v>
      </x:c>
      <x:c r="L346" s="6" t="str">
        <x:v>26.697943421023176</x:v>
      </x:c>
      <x:c r="M346" s="6" t="str">
        <x:v>0.43963210618140114</x:v>
      </x:c>
      <x:c r="N346" s="6" t="str">
        <x:v>68.51185839886485</x:v>
      </x:c>
      <x:c r="O346" s="6" t="str">
        <x:v>4.548686338691657</x:v>
      </x:c>
      <x:c r="P346" s="6" t="str">
        <x:v>25.744453203253492</x:v>
      </x:c>
      <x:c r="Q346" s="6" t="str">
        <x:v>40.820603303107674</x:v>
      </x:c>
      <x:c r="R346" s="6" t="str">
        <x:v>0.891788868409936</x:v>
      </x:c>
      <x:c r="S346" s="8" t="str">
        <x:v>2.0284889476246892</x:v>
      </x:c>
      <x:c r="T346" s="6" t="str">
        <x:v>3.138732406087115</x:v>
      </x:c>
      <x:c r="U346" s="8" t="str">
        <x:v>0.6900305214252059</x:v>
      </x:c>
      <x:c r="V346" s="6" t="str">
        <x:v>39.76448932113505</x:v>
      </x:c>
      <x:c r="W346" s="8" t="str">
        <x:v>0.9741279183423479</x:v>
      </x:c>
      <x:c r="X346" s="6" t="str">
        <x:v>2.3478688782247454</x:v>
      </x:c>
      <x:c r="Y346" s="6" t="str">
        <x:v>1.62783333823123</x:v>
      </x:c>
      <x:c r="Z346" s="6" t="str">
        <x:v>2.001397054693555</x:v>
      </x:c>
      <x:c r="AA346" s="6" t="str">
        <x:v>-0.18939190071725143</x:v>
      </x:c>
      <x:c r="AB346" s="6" t="str">
        <x:v>0.037406158143931376</x:v>
      </x:c>
      <x:c r="AC346" s="6" t="str">
        <x:v>0.17934825961729514</x:v>
      </x:c>
      <x:c r="AD346" s="6" t="str">
        <x:v>-0.4786393182447067</x:v>
      </x:c>
      <x:c r="AE346" s="6" t="str">
        <x:v>-0.10422546039650467</x:v>
      </x:c>
      <x:c r="AF346" s="6" t="str">
        <x:v>0.1304210465670457</x:v>
      </x:c>
      <x:c r="AG346" s="6" t="str">
        <x:v>0</x:v>
      </x:c>
      <x:c r="AH346" s="6" t="str">
        <x:v>1</x:v>
      </x:c>
      <x:c r="AI346" s="6" t="str">
        <x:v>2024-09</x:v>
      </x:c>
      <x:c r="AJ346" s="9" t="str">
        <x:v>NASA POWER (MERRA-2 meteorology)</x:v>
      </x:c>
      <x:c r="AK346" s="9" t="str">
        <x:v>Badan Informasi Geospasial (BIG)</x:v>
      </x:c>
      <x:c r="AL346" s="9" t="str">
        <x:v>https://power.larc.nasa.gov/docs/services/api/temporal/monthly/</x:v>
      </x:c>
      <x:c r="AM346" s="9" t="str">
        <x:v>https://geoservices.big.go.id/rbi/rest/services/BATASWILAYAH/BATAS_WILAYAH/MapServer/12</x:v>
      </x:c>
    </x:row>
    <x:row r="347" ht="18" customHeight="1">
      <x:c r="A347" s="6" t="str">
        <x:v>35</x:v>
      </x:c>
      <x:c r="B347" s="6" t="str">
        <x:v>JAWA TIMUR</x:v>
      </x:c>
      <x:c r="C347" s="6" t="str">
        <x:v>2024</x:v>
      </x:c>
      <x:c r="D347" s="6" t="str">
        <x:v>10</x:v>
      </x:c>
      <x:c r="E347" s="6" t="str">
        <x:v>28.63778334762461</x:v>
      </x:c>
      <x:c r="F347" s="9" t="str">
        <x:v>grid_cells_within_BIG_polygon</x:v>
      </x:c>
      <x:c r="G347" s="6" t="str">
        <x:v>16</x:v>
      </x:c>
      <x:c r="H347" s="8" t="str">
        <x:v>69.51717716728562</x:v>
      </x:c>
      <x:c r="I347" s="6" t="str">
        <x:v>1.8874510229336863</x:v>
      </x:c>
      <x:c r="J347" s="6" t="str">
        <x:v>31</x:v>
      </x:c>
      <x:c r="K347" s="6" t="str">
        <x:v>58.51098171094427</x:v>
      </x:c>
      <x:c r="L347" s="6" t="str">
        <x:v>27.568179381404402</x:v>
      </x:c>
      <x:c r="M347" s="6" t="str">
        <x:v>0.5274487121899769</x:v>
      </x:c>
      <x:c r="N347" s="6" t="str">
        <x:v>69.50281124709164</x:v>
      </x:c>
      <x:c r="O347" s="6" t="str">
        <x:v>5.981236609440668</x:v>
      </x:c>
      <x:c r="P347" s="6" t="str">
        <x:v>72.02265254184633</x:v>
      </x:c>
      <x:c r="Q347" s="6" t="str">
        <x:v>67.86599409366437</x:v>
      </x:c>
      <x:c r="R347" s="6" t="str">
        <x:v>1.0696039662202068</x:v>
      </x:c>
      <x:c r="S347" s="8" t="str">
        <x:v>2.02788241112428</x:v>
      </x:c>
      <x:c r="T347" s="6" t="str">
        <x:v>0.014365920193981196</x:v>
      </x:c>
      <x:c r="U347" s="8" t="str">
        <x:v>0.002401831114874524</x:v>
      </x:c>
      <x:c r="V347" s="6" t="str">
        <x:v>-13.511670830902055</x:v>
      </x:c>
      <x:c r="W347" s="8" t="str">
        <x:v>-0.19909339001583176</x:v>
      </x:c>
      <x:c r="X347" s="6" t="str">
        <x:v>2.0284889476246892</x:v>
      </x:c>
      <x:c r="Y347" s="6" t="str">
        <x:v>2.3478688782247454</x:v>
      </x:c>
      <x:c r="Z347" s="6" t="str">
        <x:v>2.134746745657905</x:v>
      </x:c>
      <x:c r="AA347" s="6" t="str">
        <x:v>0.6900305214252059</x:v>
      </x:c>
      <x:c r="AB347" s="6" t="str">
        <x:v>-0.18939190071725143</x:v>
      </x:c>
      <x:c r="AC347" s="6" t="str">
        <x:v>0.16768015060760957</x:v>
      </x:c>
      <x:c r="AD347" s="6" t="str">
        <x:v>0.9741279183423479</x:v>
      </x:c>
      <x:c r="AE347" s="6" t="str">
        <x:v>-0.4786393182447067</x:v>
      </x:c>
      <x:c r="AF347" s="6" t="str">
        <x:v>0.09879840336060335</x:v>
      </x:c>
      <x:c r="AG347" s="6" t="str">
        <x:v>0</x:v>
      </x:c>
      <x:c r="AH347" s="6" t="str">
        <x:v>1</x:v>
      </x:c>
      <x:c r="AI347" s="6" t="str">
        <x:v>2024-10</x:v>
      </x:c>
      <x:c r="AJ347" s="9" t="str">
        <x:v>NASA POWER (MERRA-2 meteorology)</x:v>
      </x:c>
      <x:c r="AK347" s="9" t="str">
        <x:v>Badan Informasi Geospasial (BIG)</x:v>
      </x:c>
      <x:c r="AL347" s="9" t="str">
        <x:v>https://power.larc.nasa.gov/docs/services/api/temporal/monthly/</x:v>
      </x:c>
      <x:c r="AM347" s="9" t="str">
        <x:v>https://geoservices.big.go.id/rbi/rest/services/BATASWILAYAH/BATAS_WILAYAH/MapServer/12</x:v>
      </x:c>
    </x:row>
    <x:row r="348" ht="18" customHeight="1">
      <x:c r="A348" s="6" t="str">
        <x:v>35</x:v>
      </x:c>
      <x:c r="B348" s="6" t="str">
        <x:v>JAWA TIMUR</x:v>
      </x:c>
      <x:c r="C348" s="6" t="str">
        <x:v>2024</x:v>
      </x:c>
      <x:c r="D348" s="6" t="str">
        <x:v>11</x:v>
      </x:c>
      <x:c r="E348" s="6" t="str">
        <x:v>28.021470220542543</x:v>
      </x:c>
      <x:c r="F348" s="9" t="str">
        <x:v>grid_cells_within_BIG_polygon</x:v>
      </x:c>
      <x:c r="G348" s="6" t="str">
        <x:v>16</x:v>
      </x:c>
      <x:c r="H348" s="8" t="str">
        <x:v>78.23143679499483</x:v>
      </x:c>
      <x:c r="I348" s="6" t="str">
        <x:v>6.484760413223131</x:v>
      </x:c>
      <x:c r="J348" s="6" t="str">
        <x:v>30</x:v>
      </x:c>
      <x:c r="K348" s="6" t="str">
        <x:v>194.54281239669393</x:v>
      </x:c>
      <x:c r="L348" s="6" t="str">
        <x:v>27.32158169543687</x:v>
      </x:c>
      <x:c r="M348" s="6" t="str">
        <x:v>0.7956645985765324</x:v>
      </x:c>
      <x:c r="N348" s="6" t="str">
        <x:v>75.93671867532923</x:v>
      </x:c>
      <x:c r="O348" s="6" t="str">
        <x:v>5.444192784126345</x:v>
      </x:c>
      <x:c r="P348" s="6" t="str">
        <x:v>150.8147495350367</x:v>
      </x:c>
      <x:c r="Q348" s="6" t="str">
        <x:v>67.04296780806756</x:v>
      </x:c>
      <x:c r="R348" s="6" t="str">
        <x:v>0.6998885251056741</x:v>
      </x:c>
      <x:c r="S348" s="8" t="str">
        <x:v>0.8796275797085801</x:v>
      </x:c>
      <x:c r="T348" s="6" t="str">
        <x:v>2.2947181196656032</x:v>
      </x:c>
      <x:c r="U348" s="8" t="str">
        <x:v>0.421498321359288</x:v>
      </x:c>
      <x:c r="V348" s="6" t="str">
        <x:v>43.728062861657236</x:v>
      </x:c>
      <x:c r="W348" s="8" t="str">
        <x:v>0.6522393666527879</x:v>
      </x:c>
      <x:c r="X348" s="6" t="str">
        <x:v>2.02788241112428</x:v>
      </x:c>
      <x:c r="Y348" s="6" t="str">
        <x:v>2.0284889476246892</x:v>
      </x:c>
      <x:c r="Z348" s="6" t="str">
        <x:v>1.6453329794858498</x:v>
      </x:c>
      <x:c r="AA348" s="6" t="str">
        <x:v>0.002401831114874524</x:v>
      </x:c>
      <x:c r="AB348" s="6" t="str">
        <x:v>0.6900305214252059</x:v>
      </x:c>
      <x:c r="AC348" s="6" t="str">
        <x:v>0.37131022463312274</x:v>
      </x:c>
      <x:c r="AD348" s="6" t="str">
        <x:v>-0.19909339001583176</x:v>
      </x:c>
      <x:c r="AE348" s="6" t="str">
        <x:v>0.9741279183423479</x:v>
      </x:c>
      <x:c r="AF348" s="6" t="str">
        <x:v>0.4757579649931016</x:v>
      </x:c>
      <x:c r="AG348" s="6" t="str">
        <x:v>0</x:v>
      </x:c>
      <x:c r="AH348" s="6" t="str">
        <x:v>0</x:v>
      </x:c>
      <x:c r="AI348" s="6" t="str">
        <x:v>2024-11</x:v>
      </x:c>
      <x:c r="AJ348" s="9" t="str">
        <x:v>NASA POWER (MERRA-2 meteorology)</x:v>
      </x:c>
      <x:c r="AK348" s="9" t="str">
        <x:v>Badan Informasi Geospasial (BIG)</x:v>
      </x:c>
      <x:c r="AL348" s="9" t="str">
        <x:v>https://power.larc.nasa.gov/docs/services/api/temporal/monthly/</x:v>
      </x:c>
      <x:c r="AM348" s="9" t="str">
        <x:v>https://geoservices.big.go.id/rbi/rest/services/BATASWILAYAH/BATAS_WILAYAH/MapServer/12</x:v>
      </x:c>
    </x:row>
    <x:row r="349" ht="18" customHeight="1">
      <x:c r="A349" s="6" t="str">
        <x:v>35</x:v>
      </x:c>
      <x:c r="B349" s="6" t="str">
        <x:v>JAWA TIMUR</x:v>
      </x:c>
      <x:c r="C349" s="6" t="str">
        <x:v>2024</x:v>
      </x:c>
      <x:c r="D349" s="6" t="str">
        <x:v>12</x:v>
      </x:c>
      <x:c r="E349" s="6" t="str">
        <x:v>26.51383200521737</x:v>
      </x:c>
      <x:c r="F349" s="9" t="str">
        <x:v>grid_cells_within_BIG_polygon</x:v>
      </x:c>
      <x:c r="G349" s="6" t="str">
        <x:v>16</x:v>
      </x:c>
      <x:c r="H349" s="8" t="str">
        <x:v>86.4889384247877</x:v>
      </x:c>
      <x:c r="I349" s="6" t="str">
        <x:v>12.646907948613189</x:v>
      </x:c>
      <x:c r="J349" s="6" t="str">
        <x:v>31</x:v>
      </x:c>
      <x:c r="K349" s="6" t="str">
        <x:v>392.05414640700883</x:v>
      </x:c>
      <x:c r="L349" s="6" t="str">
        <x:v>26.308310335985784</x:v>
      </x:c>
      <x:c r="M349" s="6" t="str">
        <x:v>0.6206040881488807</x:v>
      </x:c>
      <x:c r="N349" s="6" t="str">
        <x:v>82.7945795051313</x:v>
      </x:c>
      <x:c r="O349" s="6" t="str">
        <x:v>3.037787485038441</x:v>
      </x:c>
      <x:c r="P349" s="6" t="str">
        <x:v>256.2196120700676</x:v>
      </x:c>
      <x:c r="Q349" s="6" t="str">
        <x:v>68.83792566882815</x:v>
      </x:c>
      <x:c r="R349" s="6" t="str">
        <x:v>0.20552166923158666</x:v>
      </x:c>
      <x:c r="S349" s="8" t="str">
        <x:v>0.3311638984599836</x:v>
      </x:c>
      <x:c r="T349" s="6" t="str">
        <x:v>3.694358919656409</x:v>
      </x:c>
      <x:c r="U349" s="8" t="str">
        <x:v>1.2161347486786618</x:v>
      </x:c>
      <x:c r="V349" s="6" t="str">
        <x:v>135.8345343369412</x:v>
      </x:c>
      <x:c r="W349" s="8" t="str">
        <x:v>1.9732514165291168</x:v>
      </x:c>
      <x:c r="X349" s="6" t="str">
        <x:v>0.8796275797085801</x:v>
      </x:c>
      <x:c r="Y349" s="6" t="str">
        <x:v>2.02788241112428</x:v>
      </x:c>
      <x:c r="Z349" s="6" t="str">
        <x:v>1.0795579630976146</x:v>
      </x:c>
      <x:c r="AA349" s="6" t="str">
        <x:v>0.421498321359288</x:v>
      </x:c>
      <x:c r="AB349" s="6" t="str">
        <x:v>0.002401831114874524</x:v>
      </x:c>
      <x:c r="AC349" s="6" t="str">
        <x:v>0.5466783003842747</x:v>
      </x:c>
      <x:c r="AD349" s="6" t="str">
        <x:v>0.6522393666527879</x:v>
      </x:c>
      <x:c r="AE349" s="6" t="str">
        <x:v>-0.19909339001583176</x:v>
      </x:c>
      <x:c r="AF349" s="6" t="str">
        <x:v>0.8087991310553578</x:v>
      </x:c>
      <x:c r="AG349" s="6" t="str">
        <x:v>1</x:v>
      </x:c>
      <x:c r="AH349" s="6" t="str">
        <x:v>0</x:v>
      </x:c>
      <x:c r="AI349" s="6" t="str">
        <x:v>2024-12</x:v>
      </x:c>
      <x:c r="AJ349" s="9" t="str">
        <x:v>NASA POWER (MERRA-2 meteorology)</x:v>
      </x:c>
      <x:c r="AK349" s="9" t="str">
        <x:v>Badan Informasi Geospasial (BIG)</x:v>
      </x:c>
      <x:c r="AL349" s="9" t="str">
        <x:v>https://power.larc.nasa.gov/docs/services/api/temporal/monthly/</x:v>
      </x:c>
      <x:c r="AM349" s="9" t="str">
        <x:v>https://geoservices.big.go.id/rbi/rest/services/BATASWILAYAH/BATAS_WILAYAH/MapServer/12</x:v>
      </x:c>
    </x:row>
    <x:row r="350" ht="18" customHeight="1">
      <x:c r="A350" s="6" t="str">
        <x:v>35</x:v>
      </x:c>
      <x:c r="B350" s="6" t="str">
        <x:v>JAWA TIMUR</x:v>
      </x:c>
      <x:c r="C350" s="6" t="str">
        <x:v>2025</x:v>
      </x:c>
      <x:c r="D350" s="6" t="str">
        <x:v>1</x:v>
      </x:c>
      <x:c r="E350" s="6" t="str">
        <x:v>26.035087934609425</x:v>
      </x:c>
      <x:c r="F350" s="9" t="str">
        <x:v>grid_cells_within_BIG_polygon</x:v>
      </x:c>
      <x:c r="G350" s="6" t="str">
        <x:v>16</x:v>
      </x:c>
      <x:c r="H350" s="8" t="str">
        <x:v>87.42218074392144</x:v>
      </x:c>
      <x:c r="I350" s="6" t="str">
        <x:v>13.020888520215548</x:v>
      </x:c>
      <x:c r="J350" s="6" t="str">
        <x:v>31</x:v>
      </x:c>
      <x:c r="K350" s="6" t="str">
        <x:v>403.647544126682</x:v>
      </x:c>
      <x:c r="L350" s="6" t="str">
        <x:v>25.865174548557217</x:v>
      </x:c>
      <x:c r="M350" s="6" t="str">
        <x:v>0.5552328509727933</x:v>
      </x:c>
      <x:c r="N350" s="6" t="str">
        <x:v>85.91633326687894</x:v>
      </x:c>
      <x:c r="O350" s="6" t="str">
        <x:v>2.6265435236820482</x:v>
      </x:c>
      <x:c r="P350" s="6" t="str">
        <x:v>313.17560228208833</x:v>
      </x:c>
      <x:c r="Q350" s="6" t="str">
        <x:v>82.1394983844485</x:v>
      </x:c>
      <x:c r="R350" s="6" t="str">
        <x:v>0.16991338605220818</x:v>
      </x:c>
      <x:c r="S350" s="8" t="str">
        <x:v>0.306021853272032</x:v>
      </x:c>
      <x:c r="T350" s="6" t="str">
        <x:v>1.5058474770425079</x:v>
      </x:c>
      <x:c r="U350" s="8" t="str">
        <x:v>0.5733190649479585</x:v>
      </x:c>
      <x:c r="V350" s="6" t="str">
        <x:v>90.47194184459369</x:v>
      </x:c>
      <x:c r="W350" s="8" t="str">
        <x:v>1.1014425900331863</x:v>
      </x:c>
      <x:c r="X350" s="6" t="str">
        <x:v>0.3311638984599836</x:v>
      </x:c>
      <x:c r="Y350" s="6" t="str">
        <x:v>0.8796275797085801</x:v>
      </x:c>
      <x:c r="Z350" s="6" t="str">
        <x:v>0.5056044438135321</x:v>
      </x:c>
      <x:c r="AA350" s="6" t="str">
        <x:v>1.2161347486786618</x:v>
      </x:c>
      <x:c r="AB350" s="6" t="str">
        <x:v>0.421498321359288</x:v>
      </x:c>
      <x:c r="AC350" s="6" t="str">
        <x:v>0.7369840449953026</x:v>
      </x:c>
      <x:c r="AD350" s="6" t="str">
        <x:v>1.9732514165291168</x:v>
      </x:c>
      <x:c r="AE350" s="6" t="str">
        <x:v>0.6522393666527879</x:v>
      </x:c>
      <x:c r="AF350" s="6" t="str">
        <x:v>1.2423111244050304</x:v>
      </x:c>
      <x:c r="AG350" s="6" t="str">
        <x:v>1</x:v>
      </x:c>
      <x:c r="AH350" s="6" t="str">
        <x:v>0</x:v>
      </x:c>
      <x:c r="AI350" s="6" t="str">
        <x:v>2025-01</x:v>
      </x:c>
      <x:c r="AJ350" s="9" t="str">
        <x:v>NASA POWER (MERRA-2 meteorology)</x:v>
      </x:c>
      <x:c r="AK350" s="9" t="str">
        <x:v>Badan Informasi Geospasial (BIG)</x:v>
      </x:c>
      <x:c r="AL350" s="9" t="str">
        <x:v>https://power.larc.nasa.gov/docs/services/api/temporal/monthly/</x:v>
      </x:c>
      <x:c r="AM350" s="9" t="str">
        <x:v>https://geoservices.big.go.id/rbi/rest/services/BATASWILAYAH/BATAS_WILAYAH/MapServer/12</x:v>
      </x:c>
    </x:row>
    <x:row r="351" ht="18" customHeight="1">
      <x:c r="A351" s="6" t="str">
        <x:v>35</x:v>
      </x:c>
      <x:c r="B351" s="6" t="str">
        <x:v>JAWA TIMUR</x:v>
      </x:c>
      <x:c r="C351" s="6" t="str">
        <x:v>2025</x:v>
      </x:c>
      <x:c r="D351" s="6" t="str">
        <x:v>2</x:v>
      </x:c>
      <x:c r="E351" s="6" t="str">
        <x:v>26.044372998288427</x:v>
      </x:c>
      <x:c r="F351" s="9" t="str">
        <x:v>grid_cells_within_BIG_polygon</x:v>
      </x:c>
      <x:c r="G351" s="6" t="str">
        <x:v>16</x:v>
      </x:c>
      <x:c r="H351" s="8" t="str">
        <x:v>87.90669162233995</x:v>
      </x:c>
      <x:c r="I351" s="6" t="str">
        <x:v>9.290777425514364</x:v>
      </x:c>
      <x:c r="J351" s="6" t="str">
        <x:v>28</x:v>
      </x:c>
      <x:c r="K351" s="6" t="str">
        <x:v>260.1417679144022</x:v>
      </x:c>
      <x:c r="L351" s="6" t="str">
        <x:v>25.71901338690174</x:v>
      </x:c>
      <x:c r="M351" s="6" t="str">
        <x:v>0.46614036621534766</x:v>
      </x:c>
      <x:c r="N351" s="6" t="str">
        <x:v>87.21228219026929</x:v>
      </x:c>
      <x:c r="O351" s="6" t="str">
        <x:v>1.5420110419202768</x:v>
      </x:c>
      <x:c r="P351" s="6" t="str">
        <x:v>280.0341668779272</x:v>
      </x:c>
      <x:c r="Q351" s="6" t="str">
        <x:v>72.94502991108145</x:v>
      </x:c>
      <x:c r="R351" s="6" t="str">
        <x:v>0.3253596113866877</x:v>
      </x:c>
      <x:c r="S351" s="8" t="str">
        <x:v>0.6979863469630904</x:v>
      </x:c>
      <x:c r="T351" s="6" t="str">
        <x:v>0.6944094320706569</x:v>
      </x:c>
      <x:c r="U351" s="8" t="str">
        <x:v>0.4503271462997464</x:v>
      </x:c>
      <x:c r="V351" s="6" t="str">
        <x:v>-19.89239896352501</x:v>
      </x:c>
      <x:c r="W351" s="8" t="str">
        <x:v>-0.272703966093008</x:v>
      </x:c>
      <x:c r="X351" s="6" t="str">
        <x:v>0.306021853272032</x:v>
      </x:c>
      <x:c r="Y351" s="6" t="str">
        <x:v>0.3311638984599836</x:v>
      </x:c>
      <x:c r="Z351" s="6" t="str">
        <x:v>0.4450573662317021</x:v>
      </x:c>
      <x:c r="AA351" s="6" t="str">
        <x:v>0.5733190649479585</x:v>
      </x:c>
      <x:c r="AB351" s="6" t="str">
        <x:v>1.2161347486786618</x:v>
      </x:c>
      <x:c r="AC351" s="6" t="str">
        <x:v>0.7465936533087887</x:v>
      </x:c>
      <x:c r="AD351" s="6" t="str">
        <x:v>1.1014425900331863</x:v>
      </x:c>
      <x:c r="AE351" s="6" t="str">
        <x:v>1.9732514165291168</x:v>
      </x:c>
      <x:c r="AF351" s="6" t="str">
        <x:v>0.9339966801564318</x:v>
      </x:c>
      <x:c r="AG351" s="6" t="str">
        <x:v>0</x:v>
      </x:c>
      <x:c r="AH351" s="6" t="str">
        <x:v>0</x:v>
      </x:c>
      <x:c r="AI351" s="6" t="str">
        <x:v>2025-02</x:v>
      </x:c>
      <x:c r="AJ351" s="9" t="str">
        <x:v>NASA POWER (MERRA-2 meteorology)</x:v>
      </x:c>
      <x:c r="AK351" s="9" t="str">
        <x:v>Badan Informasi Geospasial (BIG)</x:v>
      </x:c>
      <x:c r="AL351" s="9" t="str">
        <x:v>https://power.larc.nasa.gov/docs/services/api/temporal/monthly/</x:v>
      </x:c>
      <x:c r="AM351" s="9" t="str">
        <x:v>https://geoservices.big.go.id/rbi/rest/services/BATASWILAYAH/BATAS_WILAYAH/MapServer/12</x:v>
      </x:c>
    </x:row>
    <x:row r="352" ht="18" customHeight="1">
      <x:c r="A352" s="6" t="str">
        <x:v>35</x:v>
      </x:c>
      <x:c r="B352" s="6" t="str">
        <x:v>JAWA TIMUR</x:v>
      </x:c>
      <x:c r="C352" s="6" t="str">
        <x:v>2025</x:v>
      </x:c>
      <x:c r="D352" s="6" t="str">
        <x:v>3</x:v>
      </x:c>
      <x:c r="E352" s="6" t="str">
        <x:v>26.49379254825511</x:v>
      </x:c>
      <x:c r="F352" s="9" t="str">
        <x:v>grid_cells_within_BIG_polygon</x:v>
      </x:c>
      <x:c r="G352" s="6" t="str">
        <x:v>16</x:v>
      </x:c>
      <x:c r="H352" s="8" t="str">
        <x:v>86.28929276394969</x:v>
      </x:c>
      <x:c r="I352" s="6" t="str">
        <x:v>10.35803202220953</x:v>
      </x:c>
      <x:c r="J352" s="6" t="str">
        <x:v>31</x:v>
      </x:c>
      <x:c r="K352" s="6" t="str">
        <x:v>321.0989926884954</x:v>
      </x:c>
      <x:c r="L352" s="6" t="str">
        <x:v>25.991500882835982</x:v>
      </x:c>
      <x:c r="M352" s="6" t="str">
        <x:v>0.42456957764111347</x:v>
      </x:c>
      <x:c r="N352" s="6" t="str">
        <x:v>85.88509963183624</x:v>
      </x:c>
      <x:c r="O352" s="6" t="str">
        <x:v>1.6150489413601696</x:v>
      </x:c>
      <x:c r="P352" s="6" t="str">
        <x:v>233.94270804701378</x:v>
      </x:c>
      <x:c r="Q352" s="6" t="str">
        <x:v>67.9512588107665</x:v>
      </x:c>
      <x:c r="R352" s="6" t="str">
        <x:v>0.5022916654191292</x:v>
      </x:c>
      <x:c r="S352" s="8" t="str">
        <x:v>1.1830608971321863</x:v>
      </x:c>
      <x:c r="T352" s="6" t="str">
        <x:v>0.40419313211344843</x:v>
      </x:c>
      <x:c r="U352" s="8" t="str">
        <x:v>0.25026680106241433</x:v>
      </x:c>
      <x:c r="V352" s="6" t="str">
        <x:v>87.15628464148162</x:v>
      </x:c>
      <x:c r="W352" s="8" t="str">
        <x:v>1.2826294341977986</x:v>
      </x:c>
      <x:c r="X352" s="6" t="str">
        <x:v>0.6979863469630904</x:v>
      </x:c>
      <x:c r="Y352" s="6" t="str">
        <x:v>0.306021853272032</x:v>
      </x:c>
      <x:c r="Z352" s="6" t="str">
        <x:v>0.7290230324557697</x:v>
      </x:c>
      <x:c r="AA352" s="6" t="str">
        <x:v>0.4503271462997464</x:v>
      </x:c>
      <x:c r="AB352" s="6" t="str">
        <x:v>0.5733190649479585</x:v>
      </x:c>
      <x:c r="AC352" s="6" t="str">
        <x:v>0.4246376707700396</x:v>
      </x:c>
      <x:c r="AD352" s="6" t="str">
        <x:v>-0.272703966093008</x:v>
      </x:c>
      <x:c r="AE352" s="6" t="str">
        <x:v>1.1014425900331863</x:v>
      </x:c>
      <x:c r="AF352" s="6" t="str">
        <x:v>0.7037893527126592</x:v>
      </x:c>
      <x:c r="AG352" s="6" t="str">
        <x:v>1</x:v>
      </x:c>
      <x:c r="AH352" s="6" t="str">
        <x:v>1</x:v>
      </x:c>
      <x:c r="AI352" s="6" t="str">
        <x:v>2025-03</x:v>
      </x:c>
      <x:c r="AJ352" s="9" t="str">
        <x:v>NASA POWER (MERRA-2 meteorology)</x:v>
      </x:c>
      <x:c r="AK352" s="9" t="str">
        <x:v>Badan Informasi Geospasial (BIG)</x:v>
      </x:c>
      <x:c r="AL352" s="9" t="str">
        <x:v>https://power.larc.nasa.gov/docs/services/api/temporal/monthly/</x:v>
      </x:c>
      <x:c r="AM352" s="9" t="str">
        <x:v>https://geoservices.big.go.id/rbi/rest/services/BATASWILAYAH/BATAS_WILAYAH/MapServer/12</x:v>
      </x:c>
    </x:row>
    <x:row r="353" ht="18" customHeight="1">
      <x:c r="A353" s="6" t="str">
        <x:v>35</x:v>
      </x:c>
      <x:c r="B353" s="6" t="str">
        <x:v>JAWA TIMUR</x:v>
      </x:c>
      <x:c r="C353" s="6" t="str">
        <x:v>2025</x:v>
      </x:c>
      <x:c r="D353" s="6" t="str">
        <x:v>4</x:v>
      </x:c>
      <x:c r="E353" s="6" t="str">
        <x:v>26.40212682078364</x:v>
      </x:c>
      <x:c r="F353" s="9" t="str">
        <x:v>grid_cells_within_BIG_polygon</x:v>
      </x:c>
      <x:c r="G353" s="6" t="str">
        <x:v>16</x:v>
      </x:c>
      <x:c r="H353" s="8" t="str">
        <x:v>83.33921699568057</x:v>
      </x:c>
      <x:c r="I353" s="6" t="str">
        <x:v>7.573193360143598</x:v>
      </x:c>
      <x:c r="J353" s="6" t="str">
        <x:v>30</x:v>
      </x:c>
      <x:c r="K353" s="6" t="str">
        <x:v>227.19580080430796</x:v>
      </x:c>
      <x:c r="L353" s="6" t="str">
        <x:v>26.223860352980264</x:v>
      </x:c>
      <x:c r="M353" s="6" t="str">
        <x:v>0.4086033049517113</x:v>
      </x:c>
      <x:c r="N353" s="6" t="str">
        <x:v>85.00023758715346</x:v>
      </x:c>
      <x:c r="O353" s="6" t="str">
        <x:v>1.0598252050289105</x:v>
      </x:c>
      <x:c r="P353" s="6" t="str">
        <x:v>173.4037785689062</x:v>
      </x:c>
      <x:c r="Q353" s="6" t="str">
        <x:v>58.54612503611087</x:v>
      </x:c>
      <x:c r="R353" s="6" t="str">
        <x:v>0.1782664678033754</x:v>
      </x:c>
      <x:c r="S353" s="8" t="str">
        <x:v>0.43628249121588214</x:v>
      </x:c>
      <x:c r="T353" s="6" t="str">
        <x:v>-1.6610205914728908</x:v>
      </x:c>
      <x:c r="U353" s="8" t="str">
        <x:v>-1.5672590004382663</x:v>
      </x:c>
      <x:c r="V353" s="6" t="str">
        <x:v>53.79202223540176</x:v>
      </x:c>
      <x:c r="W353" s="8" t="str">
        <x:v>0.918797310705417</x:v>
      </x:c>
      <x:c r="X353" s="6" t="str">
        <x:v>1.1830608971321863</x:v>
      </x:c>
      <x:c r="Y353" s="6" t="str">
        <x:v>0.6979863469630904</x:v>
      </x:c>
      <x:c r="Z353" s="6" t="str">
        <x:v>0.7724432451037199</x:v>
      </x:c>
      <x:c r="AA353" s="6" t="str">
        <x:v>0.25026680106241433</x:v>
      </x:c>
      <x:c r="AB353" s="6" t="str">
        <x:v>0.4503271462997464</x:v>
      </x:c>
      <x:c r="AC353" s="6" t="str">
        <x:v>-0.28888835102536864</x:v>
      </x:c>
      <x:c r="AD353" s="6" t="str">
        <x:v>1.2826294341977986</x:v>
      </x:c>
      <x:c r="AE353" s="6" t="str">
        <x:v>-0.272703966093008</x:v>
      </x:c>
      <x:c r="AF353" s="6" t="str">
        <x:v>0.6429075929367362</x:v>
      </x:c>
      <x:c r="AG353" s="6" t="str">
        <x:v>0</x:v>
      </x:c>
      <x:c r="AH353" s="6" t="str">
        <x:v>0</x:v>
      </x:c>
      <x:c r="AI353" s="6" t="str">
        <x:v>2025-04</x:v>
      </x:c>
      <x:c r="AJ353" s="9" t="str">
        <x:v>NASA POWER (MERRA-2 meteorology)</x:v>
      </x:c>
      <x:c r="AK353" s="9" t="str">
        <x:v>Badan Informasi Geospasial (BIG)</x:v>
      </x:c>
      <x:c r="AL353" s="9" t="str">
        <x:v>https://power.larc.nasa.gov/docs/services/api/temporal/monthly/</x:v>
      </x:c>
      <x:c r="AM353" s="9" t="str">
        <x:v>https://geoservices.big.go.id/rbi/rest/services/BATASWILAYAH/BATAS_WILAYAH/MapServer/12</x:v>
      </x:c>
    </x:row>
    <x:row r="354" ht="18" customHeight="1">
      <x:c r="A354" s="6" t="str">
        <x:v>35</x:v>
      </x:c>
      <x:c r="B354" s="6" t="str">
        <x:v>JAWA TIMUR</x:v>
      </x:c>
      <x:c r="C354" s="6" t="str">
        <x:v>2025</x:v>
      </x:c>
      <x:c r="D354" s="6" t="str">
        <x:v>5</x:v>
      </x:c>
      <x:c r="E354" s="6" t="str">
        <x:v>26.499704988390267</x:v>
      </x:c>
      <x:c r="F354" s="9" t="str">
        <x:v>grid_cells_within_BIG_polygon</x:v>
      </x:c>
      <x:c r="G354" s="6" t="str">
        <x:v>16</x:v>
      </x:c>
      <x:c r="H354" s="8" t="str">
        <x:v>86.58225333461324</x:v>
      </x:c>
      <x:c r="I354" s="6" t="str">
        <x:v>9.65203171383247</x:v>
      </x:c>
      <x:c r="J354" s="6" t="str">
        <x:v>31</x:v>
      </x:c>
      <x:c r="K354" s="6" t="str">
        <x:v>299.21298312880657</x:v>
      </x:c>
      <x:c r="L354" s="6" t="str">
        <x:v>25.932945020258533</x:v>
      </x:c>
      <x:c r="M354" s="6" t="str">
        <x:v>0.4621777101312441</x:v>
      </x:c>
      <x:c r="N354" s="6" t="str">
        <x:v>83.65393583172172</x:v>
      </x:c>
      <x:c r="O354" s="6" t="str">
        <x:v>1.5871119512498115</x:v>
      </x:c>
      <x:c r="P354" s="6" t="str">
        <x:v>98.68629659290539</x:v>
      </x:c>
      <x:c r="Q354" s="6" t="str">
        <x:v>63.7713922830138</x:v>
      </x:c>
      <x:c r="R354" s="6" t="str">
        <x:v>0.5667599681317341</x:v>
      </x:c>
      <x:c r="S354" s="8" t="str">
        <x:v>1.2262814837409444</x:v>
      </x:c>
      <x:c r="T354" s="6" t="str">
        <x:v>2.9283175028915167</x:v>
      </x:c>
      <x:c r="U354" s="8" t="str">
        <x:v>1.8450604575093388</x:v>
      </x:c>
      <x:c r="V354" s="6" t="str">
        <x:v>200.52668653590118</x:v>
      </x:c>
      <x:c r="W354" s="8" t="str">
        <x:v>3.1444614796235775</x:v>
      </x:c>
      <x:c r="X354" s="6" t="str">
        <x:v>0.43628249121588214</x:v>
      </x:c>
      <x:c r="Y354" s="6" t="str">
        <x:v>1.1830608971321863</x:v>
      </x:c>
      <x:c r="Z354" s="6" t="str">
        <x:v>0.9485416240296711</x:v>
      </x:c>
      <x:c r="AA354" s="6" t="str">
        <x:v>-1.5672590004382663</x:v>
      </x:c>
      <x:c r="AB354" s="6" t="str">
        <x:v>0.25026680106241433</x:v>
      </x:c>
      <x:c r="AC354" s="6" t="str">
        <x:v>0.1760227527111621</x:v>
      </x:c>
      <x:c r="AD354" s="6" t="str">
        <x:v>0.918797310705417</x:v>
      </x:c>
      <x:c r="AE354" s="6" t="str">
        <x:v>1.2826294341977986</x:v>
      </x:c>
      <x:c r="AF354" s="6" t="str">
        <x:v>1.7819627415089314</x:v>
      </x:c>
      <x:c r="AG354" s="6" t="str">
        <x:v>1</x:v>
      </x:c>
      <x:c r="AH354" s="6" t="str">
        <x:v>1</x:v>
      </x:c>
      <x:c r="AI354" s="6" t="str">
        <x:v>2025-05</x:v>
      </x:c>
      <x:c r="AJ354" s="9" t="str">
        <x:v>NASA POWER (MERRA-2 meteorology)</x:v>
      </x:c>
      <x:c r="AK354" s="9" t="str">
        <x:v>Badan Informasi Geospasial (BIG)</x:v>
      </x:c>
      <x:c r="AL354" s="9" t="str">
        <x:v>https://power.larc.nasa.gov/docs/services/api/temporal/monthly/</x:v>
      </x:c>
      <x:c r="AM354" s="9" t="str">
        <x:v>https://geoservices.big.go.id/rbi/rest/services/BATASWILAYAH/BATAS_WILAYAH/MapServer/12</x:v>
      </x:c>
    </x:row>
    <x:row r="355" ht="18" customHeight="1">
      <x:c r="A355" s="6" t="str">
        <x:v>35</x:v>
      </x:c>
      <x:c r="B355" s="6" t="str">
        <x:v>JAWA TIMUR</x:v>
      </x:c>
      <x:c r="C355" s="6" t="str">
        <x:v>2025</x:v>
      </x:c>
      <x:c r="D355" s="6" t="str">
        <x:v>6</x:v>
      </x:c>
      <x:c r="E355" s="6" t="str">
        <x:v>25.952466427611768</x:v>
      </x:c>
      <x:c r="F355" s="9" t="str">
        <x:v>grid_cells_within_BIG_polygon</x:v>
      </x:c>
      <x:c r="G355" s="6" t="str">
        <x:v>16</x:v>
      </x:c>
      <x:c r="H355" s="8" t="str">
        <x:v>84.52162565762153</x:v>
      </x:c>
      <x:c r="I355" s="6" t="str">
        <x:v>2.299962662836792</x:v>
      </x:c>
      <x:c r="J355" s="6" t="str">
        <x:v>30</x:v>
      </x:c>
      <x:c r="K355" s="6" t="str">
        <x:v>68.99887988510376</x:v>
      </x:c>
      <x:c r="L355" s="6" t="str">
        <x:v>25.424885283573154</x:v>
      </x:c>
      <x:c r="M355" s="6" t="str">
        <x:v>0.4714405954836887</x:v>
      </x:c>
      <x:c r="N355" s="6" t="str">
        <x:v>81.88567168183422</x:v>
      </x:c>
      <x:c r="O355" s="6" t="str">
        <x:v>2.831903938788086</x:v>
      </x:c>
      <x:c r="P355" s="6" t="str">
        <x:v>64.94012466857167</x:v>
      </x:c>
      <x:c r="Q355" s="6" t="str">
        <x:v>53.276750817384766</x:v>
      </x:c>
      <x:c r="R355" s="6" t="str">
        <x:v>0.5275811440386136</x:v>
      </x:c>
      <x:c r="S355" s="8" t="str">
        <x:v>1.1190829748068805</x:v>
      </x:c>
      <x:c r="T355" s="6" t="str">
        <x:v>2.6359539757873023</x:v>
      </x:c>
      <x:c r="U355" s="8" t="str">
        <x:v>0.9308062818385568</x:v>
      </x:c>
      <x:c r="V355" s="6" t="str">
        <x:v>4.0587552165320915</x:v>
      </x:c>
      <x:c r="W355" s="8" t="str">
        <x:v>0.07618248399652174</x:v>
      </x:c>
      <x:c r="X355" s="6" t="str">
        <x:v>1.2262814837409444</x:v>
      </x:c>
      <x:c r="Y355" s="6" t="str">
        <x:v>0.43628249121588214</x:v>
      </x:c>
      <x:c r="Z355" s="6" t="str">
        <x:v>0.927215649921236</x:v>
      </x:c>
      <x:c r="AA355" s="6" t="str">
        <x:v>1.8450604575093388</x:v>
      </x:c>
      <x:c r="AB355" s="6" t="str">
        <x:v>-1.5672590004382663</x:v>
      </x:c>
      <x:c r="AC355" s="6" t="str">
        <x:v>0.4028692463032096</x:v>
      </x:c>
      <x:c r="AD355" s="6" t="str">
        <x:v>3.1444614796235775</x:v>
      </x:c>
      <x:c r="AE355" s="6" t="str">
        <x:v>0.918797310705417</x:v>
      </x:c>
      <x:c r="AF355" s="6" t="str">
        <x:v>1.379813758108506</x:v>
      </x:c>
      <x:c r="AG355" s="6" t="str">
        <x:v>0</x:v>
      </x:c>
      <x:c r="AH355" s="6" t="str">
        <x:v>1</x:v>
      </x:c>
      <x:c r="AI355" s="6" t="str">
        <x:v>2025-06</x:v>
      </x:c>
      <x:c r="AJ355" s="9" t="str">
        <x:v>NASA POWER (MERRA-2 meteorology)</x:v>
      </x:c>
      <x:c r="AK355" s="9" t="str">
        <x:v>Badan Informasi Geospasial (BIG)</x:v>
      </x:c>
      <x:c r="AL355" s="9" t="str">
        <x:v>https://power.larc.nasa.gov/docs/services/api/temporal/monthly/</x:v>
      </x:c>
      <x:c r="AM355" s="9" t="str">
        <x:v>https://geoservices.big.go.id/rbi/rest/services/BATASWILAYAH/BATAS_WILAYAH/MapServer/12</x:v>
      </x:c>
    </x:row>
    <x:row r="356" ht="18" customHeight="1">
      <x:c r="A356" s="6" t="str">
        <x:v>35</x:v>
      </x:c>
      <x:c r="B356" s="6" t="str">
        <x:v>JAWA TIMUR</x:v>
      </x:c>
      <x:c r="C356" s="6" t="str">
        <x:v>2025</x:v>
      </x:c>
      <x:c r="D356" s="6" t="str">
        <x:v>7</x:v>
      </x:c>
      <x:c r="E356" s="6" t="str">
        <x:v>25.16542128556975</x:v>
      </x:c>
      <x:c r="F356" s="9" t="str">
        <x:v>grid_cells_within_BIG_polygon</x:v>
      </x:c>
      <x:c r="G356" s="6" t="str">
        <x:v>16</x:v>
      </x:c>
      <x:c r="H356" s="8" t="str">
        <x:v>83.11123393721341</x:v>
      </x:c>
      <x:c r="I356" s="6" t="str">
        <x:v>1.1882841430642805</x:v>
      </x:c>
      <x:c r="J356" s="6" t="str">
        <x:v>31</x:v>
      </x:c>
      <x:c r="K356" s="6" t="str">
        <x:v>36.8368084349927</x:v>
      </x:c>
      <x:c r="L356" s="6" t="str">
        <x:v>25.102468604421066</x:v>
      </x:c>
      <x:c r="M356" s="6" t="str">
        <x:v>0.4126562856530456</x:v>
      </x:c>
      <x:c r="N356" s="6" t="str">
        <x:v>77.70931458902493</x:v>
      </x:c>
      <x:c r="O356" s="6" t="str">
        <x:v>4.1938025408301725</x:v>
      </x:c>
      <x:c r="P356" s="6" t="str">
        <x:v>34.05035423554577</x:v>
      </x:c>
      <x:c r="Q356" s="6" t="str">
        <x:v>38.9889265042854</x:v>
      </x:c>
      <x:c r="R356" s="6" t="str">
        <x:v>0.06295268114868335</x:v>
      </x:c>
      <x:c r="S356" s="8" t="str">
        <x:v>0.15255476128046405</x:v>
      </x:c>
      <x:c r="T356" s="6" t="str">
        <x:v>5.4019193481884855</x:v>
      </x:c>
      <x:c r="U356" s="8" t="str">
        <x:v>1.2880719336679032</x:v>
      </x:c>
      <x:c r="V356" s="6" t="str">
        <x:v>2.786454199446929</x:v>
      </x:c>
      <x:c r="W356" s="8" t="str">
        <x:v>0.07146783585181964</x:v>
      </x:c>
      <x:c r="X356" s="6" t="str">
        <x:v>1.1190829748068805</x:v>
      </x:c>
      <x:c r="Y356" s="6" t="str">
        <x:v>1.2262814837409444</x:v>
      </x:c>
      <x:c r="Z356" s="6" t="str">
        <x:v>0.8326397399427633</x:v>
      </x:c>
      <x:c r="AA356" s="6" t="str">
        <x:v>0.9308062818385568</x:v>
      </x:c>
      <x:c r="AB356" s="6" t="str">
        <x:v>1.8450604575093388</x:v>
      </x:c>
      <x:c r="AC356" s="6" t="str">
        <x:v>1.3546462243385993</x:v>
      </x:c>
      <x:c r="AD356" s="6" t="str">
        <x:v>0.07618248399652174</x:v>
      </x:c>
      <x:c r="AE356" s="6" t="str">
        <x:v>3.1444614796235775</x:v>
      </x:c>
      <x:c r="AF356" s="6" t="str">
        <x:v>1.0973705998239731</x:v>
      </x:c>
      <x:c r="AG356" s="6" t="str">
        <x:v>0</x:v>
      </x:c>
      <x:c r="AH356" s="6" t="str">
        <x:v>0</x:v>
      </x:c>
      <x:c r="AI356" s="6" t="str">
        <x:v>2025-07</x:v>
      </x:c>
      <x:c r="AJ356" s="9" t="str">
        <x:v>NASA POWER (MERRA-2 meteorology)</x:v>
      </x:c>
      <x:c r="AK356" s="9" t="str">
        <x:v>Badan Informasi Geospasial (BIG)</x:v>
      </x:c>
      <x:c r="AL356" s="9" t="str">
        <x:v>https://power.larc.nasa.gov/docs/services/api/temporal/monthly/</x:v>
      </x:c>
      <x:c r="AM356" s="9" t="str">
        <x:v>https://geoservices.big.go.id/rbi/rest/services/BATASWILAYAH/BATAS_WILAYAH/MapServer/12</x:v>
      </x:c>
    </x:row>
    <x:row r="357" ht="18" customHeight="1">
      <x:c r="A357" s="6" t="str">
        <x:v>35</x:v>
      </x:c>
      <x:c r="B357" s="6" t="str">
        <x:v>JAWA TIMUR</x:v>
      </x:c>
      <x:c r="C357" s="6" t="str">
        <x:v>2025</x:v>
      </x:c>
      <x:c r="D357" s="6" t="str">
        <x:v>8</x:v>
      </x:c>
      <x:c r="E357" s="6" t="str">
        <x:v>25.979741656653864</x:v>
      </x:c>
      <x:c r="F357" s="9" t="str">
        <x:v>grid_cells_within_BIG_polygon</x:v>
      </x:c>
      <x:c r="G357" s="6" t="str">
        <x:v>16</x:v>
      </x:c>
      <x:c r="H357" s="8" t="str">
        <x:v>78.08309045281243</x:v>
      </x:c>
      <x:c r="I357" s="6" t="str">
        <x:v>1.1632423726296313</x:v>
      </x:c>
      <x:c r="J357" s="6" t="str">
        <x:v>31</x:v>
      </x:c>
      <x:c r="K357" s="6" t="str">
        <x:v>36.06051355151857</x:v>
      </x:c>
      <x:c r="L357" s="6" t="str">
        <x:v>25.568383430285433</x:v>
      </x:c>
      <x:c r="M357" s="6" t="str">
        <x:v>0.37824589229550787</x:v>
      </x:c>
      <x:c r="N357" s="6" t="str">
        <x:v>72.3148433788396</x:v>
      </x:c>
      <x:c r="O357" s="6" t="str">
        <x:v>4.191174334882185</x:v>
      </x:c>
      <x:c r="P357" s="6" t="str">
        <x:v>19.21129787565912</x:v>
      </x:c>
      <x:c r="Q357" s="6" t="str">
        <x:v>21.799776804984898</x:v>
      </x:c>
      <x:c r="R357" s="6" t="str">
        <x:v>0.41135822636843145</x:v>
      </x:c>
      <x:c r="S357" s="8" t="str">
        <x:v>1.0875418206711265</x:v>
      </x:c>
      <x:c r="T357" s="6" t="str">
        <x:v>5.76824707397283</x:v>
      </x:c>
      <x:c r="U357" s="8" t="str">
        <x:v>1.3762842137023577</x:v>
      </x:c>
      <x:c r="V357" s="6" t="str">
        <x:v>16.849215675859448</x:v>
      </x:c>
      <x:c r="W357" s="8" t="str">
        <x:v>0.7729077149086491</x:v>
      </x:c>
      <x:c r="X357" s="6" t="str">
        <x:v>0.15255476128046405</x:v>
      </x:c>
      <x:c r="Y357" s="6" t="str">
        <x:v>1.1190829748068805</x:v>
      </x:c>
      <x:c r="Z357" s="6" t="str">
        <x:v>0.7863931855861573</x:v>
      </x:c>
      <x:c r="AA357" s="6" t="str">
        <x:v>1.2880719336679032</x:v>
      </x:c>
      <x:c r="AB357" s="6" t="str">
        <x:v>0.9308062818385568</x:v>
      </x:c>
      <x:c r="AC357" s="6" t="str">
        <x:v>1.198387476402939</x:v>
      </x:c>
      <x:c r="AD357" s="6" t="str">
        <x:v>0.07146783585181964</x:v>
      </x:c>
      <x:c r="AE357" s="6" t="str">
        <x:v>0.07618248399652174</x:v>
      </x:c>
      <x:c r="AF357" s="6" t="str">
        <x:v>0.3068526782523304</x:v>
      </x:c>
      <x:c r="AG357" s="6" t="str">
        <x:v>0</x:v>
      </x:c>
      <x:c r="AH357" s="6" t="str">
        <x:v>1</x:v>
      </x:c>
      <x:c r="AI357" s="6" t="str">
        <x:v>2025-08</x:v>
      </x:c>
      <x:c r="AJ357" s="9" t="str">
        <x:v>NASA POWER (MERRA-2 meteorology)</x:v>
      </x:c>
      <x:c r="AK357" s="9" t="str">
        <x:v>Badan Informasi Geospasial (BIG)</x:v>
      </x:c>
      <x:c r="AL357" s="9" t="str">
        <x:v>https://power.larc.nasa.gov/docs/services/api/temporal/monthly/</x:v>
      </x:c>
      <x:c r="AM357" s="9" t="str">
        <x:v>https://geoservices.big.go.id/rbi/rest/services/BATASWILAYAH/BATAS_WILAYAH/MapServer/12</x:v>
      </x:c>
    </x:row>
    <x:row r="358" ht="18" customHeight="1">
      <x:c r="A358" s="6" t="str">
        <x:v>35</x:v>
      </x:c>
      <x:c r="B358" s="6" t="str">
        <x:v>JAWA TIMUR</x:v>
      </x:c>
      <x:c r="C358" s="6" t="str">
        <x:v>2025</x:v>
      </x:c>
      <x:c r="D358" s="6" t="str">
        <x:v>9</x:v>
      </x:c>
      <x:c r="E358" s="6" t="str">
        <x:v>27.05978340912895</x:v>
      </x:c>
      <x:c r="F358" s="9" t="str">
        <x:v>grid_cells_within_BIG_polygon</x:v>
      </x:c>
      <x:c r="G358" s="6" t="str">
        <x:v>16</x:v>
      </x:c>
      <x:c r="H358" s="8" t="str">
        <x:v>74.67328011397038</x:v>
      </x:c>
      <x:c r="I358" s="6" t="str">
        <x:v>2.0403304935310986</x:v>
      </x:c>
      <x:c r="J358" s="6" t="str">
        <x:v>30</x:v>
      </x:c>
      <x:c r="K358" s="6" t="str">
        <x:v>61.20991480593296</x:v>
      </x:c>
      <x:c r="L358" s="6" t="str">
        <x:v>26.697943421023176</x:v>
      </x:c>
      <x:c r="M358" s="6" t="str">
        <x:v>0.43963210618140114</x:v>
      </x:c>
      <x:c r="N358" s="6" t="str">
        <x:v>68.51185839886485</x:v>
      </x:c>
      <x:c r="O358" s="6" t="str">
        <x:v>4.548686338691657</x:v>
      </x:c>
      <x:c r="P358" s="6" t="str">
        <x:v>25.744453203253492</x:v>
      </x:c>
      <x:c r="Q358" s="6" t="str">
        <x:v>40.820603303107674</x:v>
      </x:c>
      <x:c r="R358" s="6" t="str">
        <x:v>0.3618399881057748</x:v>
      </x:c>
      <x:c r="S358" s="8" t="str">
        <x:v>0.8230517812920429</x:v>
      </x:c>
      <x:c r="T358" s="6" t="str">
        <x:v>6.161421715105533</x:v>
      </x:c>
      <x:c r="U358" s="8" t="str">
        <x:v>1.3545496999201199</x:v>
      </x:c>
      <x:c r="V358" s="6" t="str">
        <x:v>35.46546160267947</x:v>
      </x:c>
      <x:c r="W358" s="8" t="str">
        <x:v>0.8688127742585197</x:v>
      </x:c>
      <x:c r="X358" s="6" t="str">
        <x:v>1.0875418206711265</x:v>
      </x:c>
      <x:c r="Y358" s="6" t="str">
        <x:v>0.15255476128046405</x:v>
      </x:c>
      <x:c r="Z358" s="6" t="str">
        <x:v>0.6877161210812114</x:v>
      </x:c>
      <x:c r="AA358" s="6" t="str">
        <x:v>1.3762842137023577</x:v>
      </x:c>
      <x:c r="AB358" s="6" t="str">
        <x:v>1.2880719336679032</x:v>
      </x:c>
      <x:c r="AC358" s="6" t="str">
        <x:v>1.3396352824301268</x:v>
      </x:c>
      <x:c r="AD358" s="6" t="str">
        <x:v>0.7729077149086491</x:v>
      </x:c>
      <x:c r="AE358" s="6" t="str">
        <x:v>0.07146783585181964</x:v>
      </x:c>
      <x:c r="AF358" s="6" t="str">
        <x:v>0.5710627750063297</x:v>
      </x:c>
      <x:c r="AG358" s="6" t="str">
        <x:v>0</x:v>
      </x:c>
      <x:c r="AH358" s="6" t="str">
        <x:v>0</x:v>
      </x:c>
      <x:c r="AI358" s="6" t="str">
        <x:v>2025-09</x:v>
      </x:c>
      <x:c r="AJ358" s="9" t="str">
        <x:v>NASA POWER (MERRA-2 meteorology)</x:v>
      </x:c>
      <x:c r="AK358" s="9" t="str">
        <x:v>Badan Informasi Geospasial (BIG)</x:v>
      </x:c>
      <x:c r="AL358" s="9" t="str">
        <x:v>https://power.larc.nasa.gov/docs/services/api/temporal/monthly/</x:v>
      </x:c>
      <x:c r="AM358" s="9" t="str">
        <x:v>https://geoservices.big.go.id/rbi/rest/services/BATASWILAYAH/BATAS_WILAYAH/MapServer/12</x:v>
      </x:c>
    </x:row>
    <x:row r="359" ht="18" customHeight="1">
      <x:c r="A359" s="6" t="str">
        <x:v>35</x:v>
      </x:c>
      <x:c r="B359" s="6" t="str">
        <x:v>JAWA TIMUR</x:v>
      </x:c>
      <x:c r="C359" s="6" t="str">
        <x:v>2025</x:v>
      </x:c>
      <x:c r="D359" s="6" t="str">
        <x:v>10</x:v>
      </x:c>
      <x:c r="E359" s="6" t="str">
        <x:v>27.84569525395226</x:v>
      </x:c>
      <x:c r="F359" s="9" t="str">
        <x:v>grid_cells_within_BIG_polygon</x:v>
      </x:c>
      <x:c r="G359" s="6" t="str">
        <x:v>16</x:v>
      </x:c>
      <x:c r="H359" s="8" t="str">
        <x:v>74.88491222921215</x:v>
      </x:c>
      <x:c r="I359" s="6" t="str">
        <x:v>3.7056303872870244</x:v>
      </x:c>
      <x:c r="J359" s="6" t="str">
        <x:v>31</x:v>
      </x:c>
      <x:c r="K359" s="6" t="str">
        <x:v>114.87454200589775</x:v>
      </x:c>
      <x:c r="L359" s="6" t="str">
        <x:v>27.568179381404402</x:v>
      </x:c>
      <x:c r="M359" s="6" t="str">
        <x:v>0.5274487121899769</x:v>
      </x:c>
      <x:c r="N359" s="6" t="str">
        <x:v>69.50281124709164</x:v>
      </x:c>
      <x:c r="O359" s="6" t="str">
        <x:v>5.981236609440668</x:v>
      </x:c>
      <x:c r="P359" s="6" t="str">
        <x:v>72.02265254184633</x:v>
      </x:c>
      <x:c r="Q359" s="6" t="str">
        <x:v>67.86599409366437</x:v>
      </x:c>
      <x:c r="R359" s="6" t="str">
        <x:v>0.27751587254785903</x:v>
      </x:c>
      <x:c r="S359" s="8" t="str">
        <x:v>0.5261475971675198</x:v>
      </x:c>
      <x:c r="T359" s="6" t="str">
        <x:v>5.382100982120505</x:v>
      </x:c>
      <x:c r="U359" s="8" t="str">
        <x:v>0.899830809840477</x:v>
      </x:c>
      <x:c r="V359" s="6" t="str">
        <x:v>42.851889464051425</x:v>
      </x:c>
      <x:c r="W359" s="8" t="str">
        <x:v>0.6314191670855059</x:v>
      </x:c>
      <x:c r="X359" s="6" t="str">
        <x:v>0.8230517812920429</x:v>
      </x:c>
      <x:c r="Y359" s="6" t="str">
        <x:v>1.0875418206711265</x:v>
      </x:c>
      <x:c r="Z359" s="6" t="str">
        <x:v>0.8122470663768967</x:v>
      </x:c>
      <x:c r="AA359" s="6" t="str">
        <x:v>1.3545496999201199</x:v>
      </x:c>
      <x:c r="AB359" s="6" t="str">
        <x:v>1.3762842137023577</x:v>
      </x:c>
      <x:c r="AC359" s="6" t="str">
        <x:v>1.2102215744876512</x:v>
      </x:c>
      <x:c r="AD359" s="6" t="str">
        <x:v>0.8688127742585197</x:v>
      </x:c>
      <x:c r="AE359" s="6" t="str">
        <x:v>0.7729077149086491</x:v>
      </x:c>
      <x:c r="AF359" s="6" t="str">
        <x:v>0.7577132187508918</x:v>
      </x:c>
      <x:c r="AG359" s="6" t="str">
        <x:v>0</x:v>
      </x:c>
      <x:c r="AH359" s="6" t="str">
        <x:v>0</x:v>
      </x:c>
      <x:c r="AI359" s="6" t="str">
        <x:v>2025-10</x:v>
      </x:c>
      <x:c r="AJ359" s="9" t="str">
        <x:v>NASA POWER (MERRA-2 meteorology)</x:v>
      </x:c>
      <x:c r="AK359" s="9" t="str">
        <x:v>Badan Informasi Geospasial (BIG)</x:v>
      </x:c>
      <x:c r="AL359" s="9" t="str">
        <x:v>https://power.larc.nasa.gov/docs/services/api/temporal/monthly/</x:v>
      </x:c>
      <x:c r="AM359" s="9" t="str">
        <x:v>https://geoservices.big.go.id/rbi/rest/services/BATASWILAYAH/BATAS_WILAYAH/MapServer/12</x:v>
      </x:c>
    </x:row>
    <x:row r="360" ht="18" customHeight="1">
      <x:c r="A360" s="6" t="str">
        <x:v>35</x:v>
      </x:c>
      <x:c r="B360" s="6" t="str">
        <x:v>JAWA TIMUR</x:v>
      </x:c>
      <x:c r="C360" s="6" t="str">
        <x:v>2025</x:v>
      </x:c>
      <x:c r="D360" s="6" t="str">
        <x:v>11</x:v>
      </x:c>
      <x:c r="E360" s="6" t="str">
        <x:v>26.344037107763384</x:v>
      </x:c>
      <x:c r="F360" s="9" t="str">
        <x:v>grid_cells_within_BIG_polygon</x:v>
      </x:c>
      <x:c r="G360" s="6" t="str">
        <x:v>16</x:v>
      </x:c>
      <x:c r="H360" s="8" t="str">
        <x:v>84.38073747532522</x:v>
      </x:c>
      <x:c r="I360" s="6" t="str">
        <x:v>12.852990723884878</x:v>
      </x:c>
      <x:c r="J360" s="6" t="str">
        <x:v>30</x:v>
      </x:c>
      <x:c r="K360" s="6" t="str">
        <x:v>385.5897217165463</x:v>
      </x:c>
      <x:c r="L360" s="6" t="str">
        <x:v>27.32158169543687</x:v>
      </x:c>
      <x:c r="M360" s="6" t="str">
        <x:v>0.7956645985765324</x:v>
      </x:c>
      <x:c r="N360" s="6" t="str">
        <x:v>75.93671867532923</x:v>
      </x:c>
      <x:c r="O360" s="6" t="str">
        <x:v>5.444192784126345</x:v>
      </x:c>
      <x:c r="P360" s="6" t="str">
        <x:v>150.8147495350367</x:v>
      </x:c>
      <x:c r="Q360" s="6" t="str">
        <x:v>67.04296780806756</x:v>
      </x:c>
      <x:c r="R360" s="6" t="str">
        <x:v>-0.977544587673485</x:v>
      </x:c>
      <x:c r="S360" s="8" t="str">
        <x:v>-1.2285887664505135</x:v>
      </x:c>
      <x:c r="T360" s="6" t="str">
        <x:v>8.444018799995987</x:v>
      </x:c>
      <x:c r="U360" s="8" t="str">
        <x:v>1.5510139215893028</x:v>
      </x:c>
      <x:c r="V360" s="6" t="str">
        <x:v>234.7749721815096</x:v>
      </x:c>
      <x:c r="W360" s="8" t="str">
        <x:v>3.5018582836850216</x:v>
      </x:c>
      <x:c r="X360" s="6" t="str">
        <x:v>0.5261475971675198</x:v>
      </x:c>
      <x:c r="Y360" s="6" t="str">
        <x:v>0.8230517812920429</x:v>
      </x:c>
      <x:c r="Z360" s="6" t="str">
        <x:v>0.04020353733635007</x:v>
      </x:c>
      <x:c r="AA360" s="6" t="str">
        <x:v>0.899830809840477</x:v>
      </x:c>
      <x:c r="AB360" s="6" t="str">
        <x:v>1.3545496999201199</x:v>
      </x:c>
      <x:c r="AC360" s="6" t="str">
        <x:v>1.2684648104499665</x:v>
      </x:c>
      <x:c r="AD360" s="6" t="str">
        <x:v>0.6314191670855059</x:v>
      </x:c>
      <x:c r="AE360" s="6" t="str">
        <x:v>0.8688127742585197</x:v>
      </x:c>
      <x:c r="AF360" s="6" t="str">
        <x:v>1.667363408343016</x:v>
      </x:c>
      <x:c r="AG360" s="6" t="str">
        <x:v>1</x:v>
      </x:c>
      <x:c r="AH360" s="6" t="str">
        <x:v>0</x:v>
      </x:c>
      <x:c r="AI360" s="6" t="str">
        <x:v>2025-11</x:v>
      </x:c>
      <x:c r="AJ360" s="9" t="str">
        <x:v>NASA POWER (MERRA-2 meteorology)</x:v>
      </x:c>
      <x:c r="AK360" s="9" t="str">
        <x:v>Badan Informasi Geospasial (BIG)</x:v>
      </x:c>
      <x:c r="AL360" s="9" t="str">
        <x:v>https://power.larc.nasa.gov/docs/services/api/temporal/monthly/</x:v>
      </x:c>
      <x:c r="AM360" s="9" t="str">
        <x:v>https://geoservices.big.go.id/rbi/rest/services/BATASWILAYAH/BATAS_WILAYAH/MapServer/12</x:v>
      </x:c>
    </x:row>
    <x:row r="361" ht="18" customHeight="1">
      <x:c r="A361" s="6" t="str">
        <x:v>35</x:v>
      </x:c>
      <x:c r="B361" s="6" t="str">
        <x:v>JAWA TIMUR</x:v>
      </x:c>
      <x:c r="C361" s="6" t="str">
        <x:v>2025</x:v>
      </x:c>
      <x:c r="D361" s="6" t="str">
        <x:v>12</x:v>
      </x:c>
      <x:c r="E361" s="6" t="str">
        <x:v>26.29952335023491</x:v>
      </x:c>
      <x:c r="F361" s="9" t="str">
        <x:v>grid_cells_within_BIG_polygon</x:v>
      </x:c>
      <x:c r="G361" s="6" t="str">
        <x:v>16</x:v>
      </x:c>
      <x:c r="H361" s="8" t="str">
        <x:v>85.68341036828647</x:v>
      </x:c>
      <x:c r="I361" s="6" t="str">
        <x:v>11.230268678264524</x:v>
      </x:c>
      <x:c r="J361" s="6" t="str">
        <x:v>31</x:v>
      </x:c>
      <x:c r="K361" s="6" t="str">
        <x:v>348.13832902620027</x:v>
      </x:c>
      <x:c r="L361" s="6" t="str">
        <x:v>26.308310335985784</x:v>
      </x:c>
      <x:c r="M361" s="6" t="str">
        <x:v>0.6206040881488807</x:v>
      </x:c>
      <x:c r="N361" s="6" t="str">
        <x:v>82.7945795051313</x:v>
      </x:c>
      <x:c r="O361" s="6" t="str">
        <x:v>3.037787485038441</x:v>
      </x:c>
      <x:c r="P361" s="6" t="str">
        <x:v>256.2196120700676</x:v>
      </x:c>
      <x:c r="Q361" s="6" t="str">
        <x:v>68.83792566882815</x:v>
      </x:c>
      <x:c r="R361" s="6" t="str">
        <x:v>-0.008786985750873555</x:v>
      </x:c>
      <x:c r="S361" s="8" t="str">
        <x:v>-0.014158762274807299</x:v>
      </x:c>
      <x:c r="T361" s="6" t="str">
        <x:v>2.888830863155178</x:v>
      </x:c>
      <x:c r="U361" s="8" t="str">
        <x:v>0.9509654238102906</x:v>
      </x:c>
      <x:c r="V361" s="6" t="str">
        <x:v>91.91871695613264</x:v>
      </x:c>
      <x:c r="W361" s="8" t="str">
        <x:v>1.3352917895629757</x:v>
      </x:c>
      <x:c r="X361" s="6" t="str">
        <x:v>-1.2285887664505135</x:v>
      </x:c>
      <x:c r="Y361" s="6" t="str">
        <x:v>0.5261475971675198</x:v>
      </x:c>
      <x:c r="Z361" s="6" t="str">
        <x:v>-0.2388666438526</x:v>
      </x:c>
      <x:c r="AA361" s="6" t="str">
        <x:v>1.5510139215893028</x:v>
      </x:c>
      <x:c r="AB361" s="6" t="str">
        <x:v>0.899830809840477</x:v>
      </x:c>
      <x:c r="AC361" s="6" t="str">
        <x:v>1.1339367184133569</x:v>
      </x:c>
      <x:c r="AD361" s="6" t="str">
        <x:v>3.5018582836850216</x:v>
      </x:c>
      <x:c r="AE361" s="6" t="str">
        <x:v>0.6314191670855059</x:v>
      </x:c>
      <x:c r="AF361" s="6" t="str">
        <x:v>1.8228564134445013</x:v>
      </x:c>
      <x:c r="AG361" s="6" t="str">
        <x:v>1</x:v>
      </x:c>
      <x:c r="AH361" s="6" t="str">
        <x:v>0</x:v>
      </x:c>
      <x:c r="AI361" s="6" t="str">
        <x:v>2025-12</x:v>
      </x:c>
      <x:c r="AJ361" s="9" t="str">
        <x:v>NASA POWER (MERRA-2 meteorology)</x:v>
      </x:c>
      <x:c r="AK361" s="9" t="str">
        <x:v>Badan Informasi Geospasial (BIG)</x:v>
      </x:c>
      <x:c r="AL361" s="9" t="str">
        <x:v>https://power.larc.nasa.gov/docs/services/api/temporal/monthly/</x:v>
      </x:c>
      <x:c r="AM361" s="9" t="str">
        <x:v>https://geoservices.big.go.id/rbi/rest/services/BATASWILAYAH/BATAS_WILAYAH/MapServer/12</x:v>
      </x:c>
    </x:row>
    <x:row r="362" ht="18" customHeight="1">
      <x:c r="A362" s="6" t="str">
        <x:v>36</x:v>
      </x:c>
      <x:c r="B362" s="6" t="str">
        <x:v>BANTEN</x:v>
      </x:c>
      <x:c r="C362" s="6" t="str">
        <x:v>2024</x:v>
      </x:c>
      <x:c r="D362" s="6" t="str">
        <x:v>1</x:v>
      </x:c>
      <x:c r="E362" s="6" t="str">
        <x:v>27.030391848999464</x:v>
      </x:c>
      <x:c r="F362" s="9" t="str">
        <x:v>grid_cells_within_BIG_polygon</x:v>
      </x:c>
      <x:c r="G362" s="6" t="str">
        <x:v>2</x:v>
      </x:c>
      <x:c r="H362" s="8" t="str">
        <x:v>85.1942378059096</x:v>
      </x:c>
      <x:c r="I362" s="6" t="str">
        <x:v>13.254949824213485</x:v>
      </x:c>
      <x:c r="J362" s="6" t="str">
        <x:v>31</x:v>
      </x:c>
      <x:c r="K362" s="6" t="str">
        <x:v>410.903444550618</x:v>
      </x:c>
      <x:c r="L362" s="6" t="str">
        <x:v>25.95036986722632</x:v>
      </x:c>
      <x:c r="M362" s="6" t="str">
        <x:v>0.5725621671017439</x:v>
      </x:c>
      <x:c r="N362" s="6" t="str">
        <x:v>85.9303552013212</x:v>
      </x:c>
      <x:c r="O362" s="6" t="str">
        <x:v>2.513734223089988</x:v>
      </x:c>
      <x:c r="P362" s="6" t="str">
        <x:v>305.7695542490256</x:v>
      </x:c>
      <x:c r="Q362" s="6" t="str">
        <x:v>111.30479721739056</x:v>
      </x:c>
      <x:c r="R362" s="6" t="str">
        <x:v>1.0800219817731431</x:v>
      </x:c>
      <x:c r="S362" s="8" t="str">
        <x:v>1.886296447493402</x:v>
      </x:c>
      <x:c r="T362" s="6" t="str">
        <x:v>-0.7361173954116111</x:v>
      </x:c>
      <x:c r="U362" s="8" t="str">
        <x:v>-0.2928381961187387</x:v>
      </x:c>
      <x:c r="V362" s="6" t="str">
        <x:v>105.13389030159243</x:v>
      </x:c>
      <x:c r="W362" s="8" t="str">
        <x:v>0.9445584820235047</x:v>
      </x:c>
      <x:c r="X362" s="6" t="str">
        <x:v>2.6833736130554495</x:v>
      </x:c>
      <x:c r="Y362" s="6" t="str">
        <x:v>1.867909114992826</x:v>
      </x:c>
      <x:c r="Z362" s="6" t="str">
        <x:v>2.1458597251805593</x:v>
      </x:c>
      <x:c r="AA362" s="6" t="str">
        <x:v>-2.218960356469831</x:v>
      </x:c>
      <x:c r="AB362" s="6" t="str">
        <x:v>-0.48541147132317103</x:v>
      </x:c>
      <x:c r="AC362" s="6" t="str">
        <x:v>-0.9990700079705804</x:v>
      </x:c>
      <x:c r="AD362" s="6" t="str">
        <x:v>-1.246128261024331</x:v>
      </x:c>
      <x:c r="AE362" s="6" t="str">
        <x:v>0.39062146604853837</x:v>
      </x:c>
      <x:c r="AF362" s="6" t="str">
        <x:v>0.02968389568257046</x:v>
      </x:c>
      <x:c r="AG362" s="6" t="str">
        <x:v>0</x:v>
      </x:c>
      <x:c r="AH362" s="6" t="str">
        <x:v>1</x:v>
      </x:c>
      <x:c r="AI362" s="6" t="str">
        <x:v>2024-01</x:v>
      </x:c>
      <x:c r="AJ362" s="9" t="str">
        <x:v>NASA POWER (MERRA-2 meteorology)</x:v>
      </x:c>
      <x:c r="AK362" s="9" t="str">
        <x:v>Badan Informasi Geospasial (BIG)</x:v>
      </x:c>
      <x:c r="AL362" s="9" t="str">
        <x:v>https://power.larc.nasa.gov/docs/services/api/temporal/monthly/</x:v>
      </x:c>
      <x:c r="AM362" s="9" t="str">
        <x:v>https://geoservices.big.go.id/rbi/rest/services/BATASWILAYAH/BATAS_WILAYAH/MapServer/12</x:v>
      </x:c>
    </x:row>
    <x:row r="363" ht="18" customHeight="1">
      <x:c r="A363" s="6" t="str">
        <x:v>36</x:v>
      </x:c>
      <x:c r="B363" s="6" t="str">
        <x:v>BANTEN</x:v>
      </x:c>
      <x:c r="C363" s="6" t="str">
        <x:v>2024</x:v>
      </x:c>
      <x:c r="D363" s="6" t="str">
        <x:v>2</x:v>
      </x:c>
      <x:c r="E363" s="6" t="str">
        <x:v>27.160334505243444</x:v>
      </x:c>
      <x:c r="F363" s="9" t="str">
        <x:v>grid_cells_within_BIG_polygon</x:v>
      </x:c>
      <x:c r="G363" s="6" t="str">
        <x:v>2</x:v>
      </x:c>
      <x:c r="H363" s="8" t="str">
        <x:v>84.99935010409845</x:v>
      </x:c>
      <x:c r="I363" s="6" t="str">
        <x:v>12.310296276072764</x:v>
      </x:c>
      <x:c r="J363" s="6" t="str">
        <x:v>29</x:v>
      </x:c>
      <x:c r="K363" s="6" t="str">
        <x:v>356.99859200611013</x:v>
      </x:c>
      <x:c r="L363" s="6" t="str">
        <x:v>25.843536294960675</x:v>
      </x:c>
      <x:c r="M363" s="6" t="str">
        <x:v>0.48404376694720264</x:v>
      </x:c>
      <x:c r="N363" s="6" t="str">
        <x:v>87.18962418221723</x:v>
      </x:c>
      <x:c r="O363" s="6" t="str">
        <x:v>1.384064495131185</x:v>
      </x:c>
      <x:c r="P363" s="6" t="str">
        <x:v>314.43948595421904</x:v>
      </x:c>
      <x:c r="Q363" s="6" t="str">
        <x:v>123.53233061776095</x:v>
      </x:c>
      <x:c r="R363" s="6" t="str">
        <x:v>1.3167982102827693</x:v>
      </x:c>
      <x:c r="S363" s="8" t="str">
        <x:v>2.7204114590456028</x:v>
      </x:c>
      <x:c r="T363" s="6" t="str">
        <x:v>-2.190274078118776</x:v>
      </x:c>
      <x:c r="U363" s="8" t="str">
        <x:v>-1.5824942304521559</x:v>
      </x:c>
      <x:c r="V363" s="6" t="str">
        <x:v>42.55910605189109</x:v>
      </x:c>
      <x:c r="W363" s="8" t="str">
        <x:v>0.344517956061068</x:v>
      </x:c>
      <x:c r="X363" s="6" t="str">
        <x:v>1.886296447493402</x:v>
      </x:c>
      <x:c r="Y363" s="6" t="str">
        <x:v>2.6833736130554495</x:v>
      </x:c>
      <x:c r="Z363" s="6" t="str">
        <x:v>2.4300271731981518</x:v>
      </x:c>
      <x:c r="AA363" s="6" t="str">
        <x:v>-0.2928381961187387</x:v>
      </x:c>
      <x:c r="AB363" s="6" t="str">
        <x:v>-2.218960356469831</x:v>
      </x:c>
      <x:c r="AC363" s="6" t="str">
        <x:v>-1.3647642610135753</x:v>
      </x:c>
      <x:c r="AD363" s="6" t="str">
        <x:v>0.9445584820235047</x:v>
      </x:c>
      <x:c r="AE363" s="6" t="str">
        <x:v>-1.246128261024331</x:v>
      </x:c>
      <x:c r="AF363" s="6" t="str">
        <x:v>0.014316059020080337</x:v>
      </x:c>
      <x:c r="AG363" s="6" t="str">
        <x:v>0</x:v>
      </x:c>
      <x:c r="AH363" s="6" t="str">
        <x:v>1</x:v>
      </x:c>
      <x:c r="AI363" s="6" t="str">
        <x:v>2024-02</x:v>
      </x:c>
      <x:c r="AJ363" s="9" t="str">
        <x:v>NASA POWER (MERRA-2 meteorology)</x:v>
      </x:c>
      <x:c r="AK363" s="9" t="str">
        <x:v>Badan Informasi Geospasial (BIG)</x:v>
      </x:c>
      <x:c r="AL363" s="9" t="str">
        <x:v>https://power.larc.nasa.gov/docs/services/api/temporal/monthly/</x:v>
      </x:c>
      <x:c r="AM363" s="9" t="str">
        <x:v>https://geoservices.big.go.id/rbi/rest/services/BATASWILAYAH/BATAS_WILAYAH/MapServer/12</x:v>
      </x:c>
    </x:row>
    <x:row r="364" ht="18" customHeight="1">
      <x:c r="A364" s="6" t="str">
        <x:v>36</x:v>
      </x:c>
      <x:c r="B364" s="6" t="str">
        <x:v>BANTEN</x:v>
      </x:c>
      <x:c r="C364" s="6" t="str">
        <x:v>2024</x:v>
      </x:c>
      <x:c r="D364" s="6" t="str">
        <x:v>3</x:v>
      </x:c>
      <x:c r="E364" s="6" t="str">
        <x:v>27.11038229170679</x:v>
      </x:c>
      <x:c r="F364" s="9" t="str">
        <x:v>grid_cells_within_BIG_polygon</x:v>
      </x:c>
      <x:c r="G364" s="6" t="str">
        <x:v>2</x:v>
      </x:c>
      <x:c r="H364" s="8" t="str">
        <x:v>86.34915895824506</x:v>
      </x:c>
      <x:c r="I364" s="6" t="str">
        <x:v>10.669885312487963</x:v>
      </x:c>
      <x:c r="J364" s="6" t="str">
        <x:v>31</x:v>
      </x:c>
      <x:c r="K364" s="6" t="str">
        <x:v>330.76644468712686</x:v>
      </x:c>
      <x:c r="L364" s="6" t="str">
        <x:v>26.21270781991778</x:v>
      </x:c>
      <x:c r="M364" s="6" t="str">
        <x:v>0.39692483492062264</x:v>
      </x:c>
      <x:c r="N364" s="6" t="str">
        <x:v>86.32190128681204</x:v>
      </x:c>
      <x:c r="O364" s="6" t="str">
        <x:v>1.247345727727266</x:v>
      </x:c>
      <x:c r="P364" s="6" t="str">
        <x:v>220.78176297914177</x:v>
      </x:c>
      <x:c r="Q364" s="6" t="str">
        <x:v>69.41259585527477</x:v>
      </x:c>
      <x:c r="R364" s="6" t="str">
        <x:v>0.8976744717890099</x:v>
      </x:c>
      <x:c r="S364" s="8" t="str">
        <x:v>2.2615729549110415</x:v>
      </x:c>
      <x:c r="T364" s="6" t="str">
        <x:v>0.027257671433019937</x:v>
      </x:c>
      <x:c r="U364" s="8" t="str">
        <x:v>0.02185253921756316</x:v>
      </x:c>
      <x:c r="V364" s="6" t="str">
        <x:v>109.98468170798509</x:v>
      </x:c>
      <x:c r="W364" s="8" t="str">
        <x:v>1.584506102282979</x:v>
      </x:c>
      <x:c r="X364" s="6" t="str">
        <x:v>2.7204114590456028</x:v>
      </x:c>
      <x:c r="Y364" s="6" t="str">
        <x:v>1.886296447493402</x:v>
      </x:c>
      <x:c r="Z364" s="6" t="str">
        <x:v>2.2894269538166827</x:v>
      </x:c>
      <x:c r="AA364" s="6" t="str">
        <x:v>-1.5824942304521559</x:v>
      </x:c>
      <x:c r="AB364" s="6" t="str">
        <x:v>-0.2928381961187387</x:v>
      </x:c>
      <x:c r="AC364" s="6" t="str">
        <x:v>-0.6178266291177773</x:v>
      </x:c>
      <x:c r="AD364" s="6" t="str">
        <x:v>0.344517956061068</x:v>
      </x:c>
      <x:c r="AE364" s="6" t="str">
        <x:v>0.9445584820235047</x:v>
      </x:c>
      <x:c r="AF364" s="6" t="str">
        <x:v>0.9578608467891835</x:v>
      </x:c>
      <x:c r="AG364" s="6" t="str">
        <x:v>1</x:v>
      </x:c>
      <x:c r="AH364" s="6" t="str">
        <x:v>1</x:v>
      </x:c>
      <x:c r="AI364" s="6" t="str">
        <x:v>2024-03</x:v>
      </x:c>
      <x:c r="AJ364" s="9" t="str">
        <x:v>NASA POWER (MERRA-2 meteorology)</x:v>
      </x:c>
      <x:c r="AK364" s="9" t="str">
        <x:v>Badan Informasi Geospasial (BIG)</x:v>
      </x:c>
      <x:c r="AL364" s="9" t="str">
        <x:v>https://power.larc.nasa.gov/docs/services/api/temporal/monthly/</x:v>
      </x:c>
      <x:c r="AM364" s="9" t="str">
        <x:v>https://geoservices.big.go.id/rbi/rest/services/BATASWILAYAH/BATAS_WILAYAH/MapServer/12</x:v>
      </x:c>
    </x:row>
    <x:row r="365" ht="18" customHeight="1">
      <x:c r="A365" s="6" t="str">
        <x:v>36</x:v>
      </x:c>
      <x:c r="B365" s="6" t="str">
        <x:v>BANTEN</x:v>
      </x:c>
      <x:c r="C365" s="6" t="str">
        <x:v>2024</x:v>
      </x:c>
      <x:c r="D365" s="6" t="str">
        <x:v>4</x:v>
      </x:c>
      <x:c r="E365" s="6" t="str">
        <x:v>27.885375123737294</x:v>
      </x:c>
      <x:c r="F365" s="9" t="str">
        <x:v>grid_cells_within_BIG_polygon</x:v>
      </x:c>
      <x:c r="G365" s="6" t="str">
        <x:v>2</x:v>
      </x:c>
      <x:c r="H365" s="8" t="str">
        <x:v>84.75396064442216</x:v>
      </x:c>
      <x:c r="I365" s="6" t="str">
        <x:v>9.044882923164796</x:v>
      </x:c>
      <x:c r="J365" s="6" t="str">
        <x:v>30</x:v>
      </x:c>
      <x:c r="K365" s="6" t="str">
        <x:v>271.34648769494385</x:v>
      </x:c>
      <x:c r="L365" s="6" t="str">
        <x:v>26.535040516098267</x:v>
      </x:c>
      <x:c r="M365" s="6" t="str">
        <x:v>0.39992623275975164</x:v>
      </x:c>
      <x:c r="N365" s="6" t="str">
        <x:v>85.9436924884135</x:v>
      </x:c>
      <x:c r="O365" s="6" t="str">
        <x:v>1.1142054717118834</x:v>
      </x:c>
      <x:c r="P365" s="6" t="str">
        <x:v>180.86021896434195</x:v>
      </x:c>
      <x:c r="Q365" s="6" t="str">
        <x:v>54.228860468510334</x:v>
      </x:c>
      <x:c r="R365" s="6" t="str">
        <x:v>1.3503346076390272</x:v>
      </x:c>
      <x:c r="S365" s="8" t="str">
        <x:v>3.376459199289925</x:v>
      </x:c>
      <x:c r="T365" s="6" t="str">
        <x:v>-1.1897318439913391</x:v>
      </x:c>
      <x:c r="U365" s="8" t="str">
        <x:v>-1.0677849590555464</x:v>
      </x:c>
      <x:c r="V365" s="6" t="str">
        <x:v>90.48626873060189</x:v>
      </x:c>
      <x:c r="W365" s="8" t="str">
        <x:v>1.668599855295605</x:v>
      </x:c>
      <x:c r="X365" s="6" t="str">
        <x:v>2.2615729549110415</x:v>
      </x:c>
      <x:c r="Y365" s="6" t="str">
        <x:v>2.7204114590456028</x:v>
      </x:c>
      <x:c r="Z365" s="6" t="str">
        <x:v>2.7861478710821905</x:v>
      </x:c>
      <x:c r="AA365" s="6" t="str">
        <x:v>0.02185253921756316</x:v>
      </x:c>
      <x:c r="AB365" s="6" t="str">
        <x:v>-1.5824942304521559</x:v>
      </x:c>
      <x:c r="AC365" s="6" t="str">
        <x:v>-0.8761422167633798</x:v>
      </x:c>
      <x:c r="AD365" s="6" t="str">
        <x:v>1.584506102282979</x:v>
      </x:c>
      <x:c r="AE365" s="6" t="str">
        <x:v>0.344517956061068</x:v>
      </x:c>
      <x:c r="AF365" s="6" t="str">
        <x:v>1.199207971213217</x:v>
      </x:c>
      <x:c r="AG365" s="6" t="str">
        <x:v>1</x:v>
      </x:c>
      <x:c r="AH365" s="6" t="str">
        <x:v>1</x:v>
      </x:c>
      <x:c r="AI365" s="6" t="str">
        <x:v>2024-04</x:v>
      </x:c>
      <x:c r="AJ365" s="9" t="str">
        <x:v>NASA POWER (MERRA-2 meteorology)</x:v>
      </x:c>
      <x:c r="AK365" s="9" t="str">
        <x:v>Badan Informasi Geospasial (BIG)</x:v>
      </x:c>
      <x:c r="AL365" s="9" t="str">
        <x:v>https://power.larc.nasa.gov/docs/services/api/temporal/monthly/</x:v>
      </x:c>
      <x:c r="AM365" s="9" t="str">
        <x:v>https://geoservices.big.go.id/rbi/rest/services/BATASWILAYAH/BATAS_WILAYAH/MapServer/12</x:v>
      </x:c>
    </x:row>
    <x:row r="366" ht="18" customHeight="1">
      <x:c r="A366" s="6" t="str">
        <x:v>36</x:v>
      </x:c>
      <x:c r="B366" s="6" t="str">
        <x:v>BANTEN</x:v>
      </x:c>
      <x:c r="C366" s="6" t="str">
        <x:v>2024</x:v>
      </x:c>
      <x:c r="D366" s="6" t="str">
        <x:v>5</x:v>
      </x:c>
      <x:c r="E366" s="6" t="str">
        <x:v>27.910377513060457</x:v>
      </x:c>
      <x:c r="F366" s="9" t="str">
        <x:v>grid_cells_within_BIG_polygon</x:v>
      </x:c>
      <x:c r="G366" s="6" t="str">
        <x:v>2</x:v>
      </x:c>
      <x:c r="H366" s="8" t="str">
        <x:v>83.36427125643394</x:v>
      </x:c>
      <x:c r="I366" s="6" t="str">
        <x:v>4.229866197902623</x:v>
      </x:c>
      <x:c r="J366" s="6" t="str">
        <x:v>31</x:v>
      </x:c>
      <x:c r="K366" s="6" t="str">
        <x:v>131.1258521349813</x:v>
      </x:c>
      <x:c r="L366" s="6" t="str">
        <x:v>26.733701766965755</x:v>
      </x:c>
      <x:c r="M366" s="6" t="str">
        <x:v>0.3567138254076429</x:v>
      </x:c>
      <x:c r="N366" s="6" t="str">
        <x:v>84.5519309144193</x:v>
      </x:c>
      <x:c r="O366" s="6" t="str">
        <x:v>1.4030994122659872</x:v>
      </x:c>
      <x:c r="P366" s="6" t="str">
        <x:v>142.21895952368195</x:v>
      </x:c>
      <x:c r="Q366" s="6" t="str">
        <x:v>50.21305700584066</x:v>
      </x:c>
      <x:c r="R366" s="6" t="str">
        <x:v>1.176675746094702</x:v>
      </x:c>
      <x:c r="S366" s="8" t="str">
        <x:v>3.2986547262361605</x:v>
      </x:c>
      <x:c r="T366" s="6" t="str">
        <x:v>-1.187659657985364</x:v>
      </x:c>
      <x:c r="U366" s="8" t="str">
        <x:v>-0.8464543906174896</x:v>
      </x:c>
      <x:c r="V366" s="6" t="str">
        <x:v>-11.093107388700645</x:v>
      </x:c>
      <x:c r="W366" s="8" t="str">
        <x:v>-0.22092077340382446</x:v>
      </x:c>
      <x:c r="X366" s="6" t="str">
        <x:v>3.376459199289925</x:v>
      </x:c>
      <x:c r="Y366" s="6" t="str">
        <x:v>2.2615729549110415</x:v>
      </x:c>
      <x:c r="Z366" s="6" t="str">
        <x:v>2.978895626812376</x:v>
      </x:c>
      <x:c r="AA366" s="6" t="str">
        <x:v>-1.0677849590555464</x:v>
      </x:c>
      <x:c r="AB366" s="6" t="str">
        <x:v>0.02185253921756316</x:v>
      </x:c>
      <x:c r="AC366" s="6" t="str">
        <x:v>-0.6307956034851577</x:v>
      </x:c>
      <x:c r="AD366" s="6" t="str">
        <x:v>1.668599855295605</x:v>
      </x:c>
      <x:c r="AE366" s="6" t="str">
        <x:v>1.584506102282979</x:v>
      </x:c>
      <x:c r="AF366" s="6" t="str">
        <x:v>1.0107283947249197</x:v>
      </x:c>
      <x:c r="AG366" s="6" t="str">
        <x:v>0</x:v>
      </x:c>
      <x:c r="AH366" s="6" t="str">
        <x:v>1</x:v>
      </x:c>
      <x:c r="AI366" s="6" t="str">
        <x:v>2024-05</x:v>
      </x:c>
      <x:c r="AJ366" s="9" t="str">
        <x:v>NASA POWER (MERRA-2 meteorology)</x:v>
      </x:c>
      <x:c r="AK366" s="9" t="str">
        <x:v>Badan Informasi Geospasial (BIG)</x:v>
      </x:c>
      <x:c r="AL366" s="9" t="str">
        <x:v>https://power.larc.nasa.gov/docs/services/api/temporal/monthly/</x:v>
      </x:c>
      <x:c r="AM366" s="9" t="str">
        <x:v>https://geoservices.big.go.id/rbi/rest/services/BATASWILAYAH/BATAS_WILAYAH/MapServer/12</x:v>
      </x:c>
    </x:row>
    <x:row r="367" ht="18" customHeight="1">
      <x:c r="A367" s="6" t="str">
        <x:v>36</x:v>
      </x:c>
      <x:c r="B367" s="6" t="str">
        <x:v>BANTEN</x:v>
      </x:c>
      <x:c r="C367" s="6" t="str">
        <x:v>2024</x:v>
      </x:c>
      <x:c r="D367" s="6" t="str">
        <x:v>6</x:v>
      </x:c>
      <x:c r="E367" s="6" t="str">
        <x:v>27.330372734414123</x:v>
      </x:c>
      <x:c r="F367" s="9" t="str">
        <x:v>grid_cells_within_BIG_polygon</x:v>
      </x:c>
      <x:c r="G367" s="6" t="str">
        <x:v>2</x:v>
      </x:c>
      <x:c r="H367" s="8" t="str">
        <x:v>82.90924975252544</x:v>
      </x:c>
      <x:c r="I367" s="6" t="str">
        <x:v>6.639593815061535</x:v>
      </x:c>
      <x:c r="J367" s="6" t="str">
        <x:v>30</x:v>
      </x:c>
      <x:c r="K367" s="6" t="str">
        <x:v>199.18781445184607</x:v>
      </x:c>
      <x:c r="L367" s="6" t="str">
        <x:v>26.29905150698484</x:v>
      </x:c>
      <x:c r="M367" s="6" t="str">
        <x:v>0.31286633816352305</x:v>
      </x:c>
      <x:c r="N367" s="6" t="str">
        <x:v>83.34344055135608</x:v>
      </x:c>
      <x:c r="O367" s="6" t="str">
        <x:v>2.0311182648994075</x:v>
      </x:c>
      <x:c r="P367" s="6" t="str">
        <x:v>90.45859507797755</x:v>
      </x:c>
      <x:c r="Q367" s="6" t="str">
        <x:v>50.1879824669283</x:v>
      </x:c>
      <x:c r="R367" s="6" t="str">
        <x:v>1.0313212274292844</x:v>
      </x:c>
      <x:c r="S367" s="8" t="str">
        <x:v>3.296363659583771</x:v>
      </x:c>
      <x:c r="T367" s="6" t="str">
        <x:v>-0.4341907988306417</x:v>
      </x:c>
      <x:c r="U367" s="8" t="str">
        <x:v>-0.21376933403341006</x:v>
      </x:c>
      <x:c r="V367" s="6" t="str">
        <x:v>108.72921937386852</x:v>
      </x:c>
      <x:c r="W367" s="8" t="str">
        <x:v>2.1664393352635036</x:v>
      </x:c>
      <x:c r="X367" s="6" t="str">
        <x:v>3.2986547262361605</x:v>
      </x:c>
      <x:c r="Y367" s="6" t="str">
        <x:v>3.376459199289925</x:v>
      </x:c>
      <x:c r="Z367" s="6" t="str">
        <x:v>3.323825861703286</x:v>
      </x:c>
      <x:c r="AA367" s="6" t="str">
        <x:v>-0.8464543906174896</x:v>
      </x:c>
      <x:c r="AB367" s="6" t="str">
        <x:v>-1.0677849590555464</x:v>
      </x:c>
      <x:c r="AC367" s="6" t="str">
        <x:v>-0.7093362279021488</x:v>
      </x:c>
      <x:c r="AD367" s="6" t="str">
        <x:v>-0.22092077340382446</x:v>
      </x:c>
      <x:c r="AE367" s="6" t="str">
        <x:v>1.668599855295605</x:v>
      </x:c>
      <x:c r="AF367" s="6" t="str">
        <x:v>1.2047061390517613</x:v>
      </x:c>
      <x:c r="AG367" s="6" t="str">
        <x:v>1</x:v>
      </x:c>
      <x:c r="AH367" s="6" t="str">
        <x:v>1</x:v>
      </x:c>
      <x:c r="AI367" s="6" t="str">
        <x:v>2024-06</x:v>
      </x:c>
      <x:c r="AJ367" s="9" t="str">
        <x:v>NASA POWER (MERRA-2 meteorology)</x:v>
      </x:c>
      <x:c r="AK367" s="9" t="str">
        <x:v>Badan Informasi Geospasial (BIG)</x:v>
      </x:c>
      <x:c r="AL367" s="9" t="str">
        <x:v>https://power.larc.nasa.gov/docs/services/api/temporal/monthly/</x:v>
      </x:c>
      <x:c r="AM367" s="9" t="str">
        <x:v>https://geoservices.big.go.id/rbi/rest/services/BATASWILAYAH/BATAS_WILAYAH/MapServer/12</x:v>
      </x:c>
    </x:row>
    <x:row r="368" ht="18" customHeight="1">
      <x:c r="A368" s="6" t="str">
        <x:v>36</x:v>
      </x:c>
      <x:c r="B368" s="6" t="str">
        <x:v>BANTEN</x:v>
      </x:c>
      <x:c r="C368" s="6" t="str">
        <x:v>2024</x:v>
      </x:c>
      <x:c r="D368" s="6" t="str">
        <x:v>7</x:v>
      </x:c>
      <x:c r="E368" s="6" t="str">
        <x:v>26.52541335290797</x:v>
      </x:c>
      <x:c r="F368" s="9" t="str">
        <x:v>grid_cells_within_BIG_polygon</x:v>
      </x:c>
      <x:c r="G368" s="6" t="str">
        <x:v>2</x:v>
      </x:c>
      <x:c r="H368" s="8" t="str">
        <x:v>81.53903471344036</x:v>
      </x:c>
      <x:c r="I368" s="6" t="str">
        <x:v>6.3148542512867865</x:v>
      </x:c>
      <x:c r="J368" s="6" t="str">
        <x:v>31</x:v>
      </x:c>
      <x:c r="K368" s="6" t="str">
        <x:v>195.76048178989038</x:v>
      </x:c>
      <x:c r="L368" s="6" t="str">
        <x:v>25.853569586196805</x:v>
      </x:c>
      <x:c r="M368" s="6" t="str">
        <x:v>0.35465164333122196</x:v>
      </x:c>
      <x:c r="N368" s="6" t="str">
        <x:v>81.60321630200109</x:v>
      </x:c>
      <x:c r="O368" s="6" t="str">
        <x:v>2.583418397901419</x:v>
      </x:c>
      <x:c r="P368" s="6" t="str">
        <x:v>82.66632101124846</x:v>
      </x:c>
      <x:c r="Q368" s="6" t="str">
        <x:v>74.53517436326956</x:v>
      </x:c>
      <x:c r="R368" s="6" t="str">
        <x:v>0.6718437667111665</x:v>
      </x:c>
      <x:c r="S368" s="8" t="str">
        <x:v>1.894376578663439</x:v>
      </x:c>
      <x:c r="T368" s="6" t="str">
        <x:v>-0.06418158856072864</x:v>
      </x:c>
      <x:c r="U368" s="8" t="str">
        <x:v>-0.02484366783671785</x:v>
      </x:c>
      <x:c r="V368" s="6" t="str">
        <x:v>113.09416077864192</x:v>
      </x:c>
      <x:c r="W368" s="8" t="str">
        <x:v>1.5173260376026432</x:v>
      </x:c>
      <x:c r="X368" s="6" t="str">
        <x:v>3.296363659583771</x:v>
      </x:c>
      <x:c r="Y368" s="6" t="str">
        <x:v>3.2986547262361605</x:v>
      </x:c>
      <x:c r="Z368" s="6" t="str">
        <x:v>2.8297983214944575</x:v>
      </x:c>
      <x:c r="AA368" s="6" t="str">
        <x:v>-0.21376933403341006</x:v>
      </x:c>
      <x:c r="AB368" s="6" t="str">
        <x:v>-0.8464543906174896</x:v>
      </x:c>
      <x:c r="AC368" s="6" t="str">
        <x:v>-0.361689130829206</x:v>
      </x:c>
      <x:c r="AD368" s="6" t="str">
        <x:v>2.1664393352635036</x:v>
      </x:c>
      <x:c r="AE368" s="6" t="str">
        <x:v>-0.22092077340382446</x:v>
      </x:c>
      <x:c r="AF368" s="6" t="str">
        <x:v>1.1542815331541074</x:v>
      </x:c>
      <x:c r="AG368" s="6" t="str">
        <x:v>1</x:v>
      </x:c>
      <x:c r="AH368" s="6" t="str">
        <x:v>1</x:v>
      </x:c>
      <x:c r="AI368" s="6" t="str">
        <x:v>2024-07</x:v>
      </x:c>
      <x:c r="AJ368" s="9" t="str">
        <x:v>NASA POWER (MERRA-2 meteorology)</x:v>
      </x:c>
      <x:c r="AK368" s="9" t="str">
        <x:v>Badan Informasi Geospasial (BIG)</x:v>
      </x:c>
      <x:c r="AL368" s="9" t="str">
        <x:v>https://power.larc.nasa.gov/docs/services/api/temporal/monthly/</x:v>
      </x:c>
      <x:c r="AM368" s="9" t="str">
        <x:v>https://geoservices.big.go.id/rbi/rest/services/BATASWILAYAH/BATAS_WILAYAH/MapServer/12</x:v>
      </x:c>
    </x:row>
    <x:row r="369" ht="18" customHeight="1">
      <x:c r="A369" s="6" t="str">
        <x:v>36</x:v>
      </x:c>
      <x:c r="B369" s="6" t="str">
        <x:v>BANTEN</x:v>
      </x:c>
      <x:c r="C369" s="6" t="str">
        <x:v>2024</x:v>
      </x:c>
      <x:c r="D369" s="6" t="str">
        <x:v>8</x:v>
      </x:c>
      <x:c r="E369" s="6" t="str">
        <x:v>26.58541813155431</x:v>
      </x:c>
      <x:c r="F369" s="9" t="str">
        <x:v>grid_cells_within_BIG_polygon</x:v>
      </x:c>
      <x:c r="G369" s="6" t="str">
        <x:v>2</x:v>
      </x:c>
      <x:c r="H369" s="8" t="str">
        <x:v>79.44417568350724</x:v>
      </x:c>
      <x:c r="I369" s="6" t="str">
        <x:v>1.9299713281219908</x:v>
      </x:c>
      <x:c r="J369" s="6" t="str">
        <x:v>31</x:v>
      </x:c>
      <x:c r="K369" s="6" t="str">
        <x:v>59.82911117178171</x:v>
      </x:c>
      <x:c r="L369" s="6" t="str">
        <x:v>25.936901167359814</x:v>
      </x:c>
      <x:c r="M369" s="6" t="str">
        <x:v>0.3425907228068386</x:v>
      </x:c>
      <x:c r="N369" s="6" t="str">
        <x:v>79.15045775448289</x:v>
      </x:c>
      <x:c r="O369" s="6" t="str">
        <x:v>2.867990041776416</x:v>
      </x:c>
      <x:c r="P369" s="6" t="str">
        <x:v>58.46497784754897</x:v>
      </x:c>
      <x:c r="Q369" s="6" t="str">
        <x:v>54.04707904422733</x:v>
      </x:c>
      <x:c r="R369" s="6" t="str">
        <x:v>0.6485169641944957</x:v>
      </x:c>
      <x:c r="S369" s="8" t="str">
        <x:v>1.8929787674377454</x:v>
      </x:c>
      <x:c r="T369" s="6" t="str">
        <x:v>0.29371792902435345</x:v>
      </x:c>
      <x:c r="U369" s="8" t="str">
        <x:v>0.10241246473869425</x:v>
      </x:c>
      <x:c r="V369" s="6" t="str">
        <x:v>1.3641333242327391</x:v>
      </x:c>
      <x:c r="W369" s="8" t="str">
        <x:v>0.02523972337369895</x:v>
      </x:c>
      <x:c r="X369" s="6" t="str">
        <x:v>1.894376578663439</x:v>
      </x:c>
      <x:c r="Y369" s="6" t="str">
        <x:v>3.296363659583771</x:v>
      </x:c>
      <x:c r="Z369" s="6" t="str">
        <x:v>2.361239668561652</x:v>
      </x:c>
      <x:c r="AA369" s="6" t="str">
        <x:v>-0.02484366783671785</x:v>
      </x:c>
      <x:c r="AB369" s="6" t="str">
        <x:v>-0.21376933403341006</x:v>
      </x:c>
      <x:c r="AC369" s="6" t="str">
        <x:v>-0.04540017904381136</x:v>
      </x:c>
      <x:c r="AD369" s="6" t="str">
        <x:v>1.5173260376026432</x:v>
      </x:c>
      <x:c r="AE369" s="6" t="str">
        <x:v>2.1664393352635036</x:v>
      </x:c>
      <x:c r="AF369" s="6" t="str">
        <x:v>1.2363350320799484</x:v>
      </x:c>
      <x:c r="AG369" s="6" t="str">
        <x:v>0</x:v>
      </x:c>
      <x:c r="AH369" s="6" t="str">
        <x:v>1</x:v>
      </x:c>
      <x:c r="AI369" s="6" t="str">
        <x:v>2024-08</x:v>
      </x:c>
      <x:c r="AJ369" s="9" t="str">
        <x:v>NASA POWER (MERRA-2 meteorology)</x:v>
      </x:c>
      <x:c r="AK369" s="9" t="str">
        <x:v>Badan Informasi Geospasial (BIG)</x:v>
      </x:c>
      <x:c r="AL369" s="9" t="str">
        <x:v>https://power.larc.nasa.gov/docs/services/api/temporal/monthly/</x:v>
      </x:c>
      <x:c r="AM369" s="9" t="str">
        <x:v>https://geoservices.big.go.id/rbi/rest/services/BATASWILAYAH/BATAS_WILAYAH/MapServer/12</x:v>
      </x:c>
    </x:row>
    <x:row r="370" ht="18" customHeight="1">
      <x:c r="A370" s="6" t="str">
        <x:v>36</x:v>
      </x:c>
      <x:c r="B370" s="6" t="str">
        <x:v>BANTEN</x:v>
      </x:c>
      <x:c r="C370" s="6" t="str">
        <x:v>2024</x:v>
      </x:c>
      <x:c r="D370" s="6" t="str">
        <x:v>9</x:v>
      </x:c>
      <x:c r="E370" s="6" t="str">
        <x:v>26.945394238322628</x:v>
      </x:c>
      <x:c r="F370" s="9" t="str">
        <x:v>grid_cells_within_BIG_polygon</x:v>
      </x:c>
      <x:c r="G370" s="6" t="str">
        <x:v>2</x:v>
      </x:c>
      <x:c r="H370" s="8" t="str">
        <x:v>79.90924019523274</x:v>
      </x:c>
      <x:c r="I370" s="6" t="str">
        <x:v>4.284577089799361</x:v>
      </x:c>
      <x:c r="J370" s="6" t="str">
        <x:v>30</x:v>
      </x:c>
      <x:c r="K370" s="6" t="str">
        <x:v>128.53731269398085</x:v>
      </x:c>
      <x:c r="L370" s="6" t="str">
        <x:v>26.561892725084626</x:v>
      </x:c>
      <x:c r="M370" s="6" t="str">
        <x:v>0.30154401290458893</x:v>
      </x:c>
      <x:c r="N370" s="6" t="str">
        <x:v>77.14346125882354</x:v>
      </x:c>
      <x:c r="O370" s="6" t="str">
        <x:v>4.098803098786826</x:v>
      </x:c>
      <x:c r="P370" s="6" t="str">
        <x:v>73.36245059218034</x:v>
      </x:c>
      <x:c r="Q370" s="6" t="str">
        <x:v>68.5090893616541</x:v>
      </x:c>
      <x:c r="R370" s="6" t="str">
        <x:v>0.3835015132380022</x:v>
      </x:c>
      <x:c r="S370" s="8" t="str">
        <x:v>1.2717928289935747</x:v>
      </x:c>
      <x:c r="T370" s="6" t="str">
        <x:v>2.7657789364092054</x:v>
      </x:c>
      <x:c r="U370" s="8" t="str">
        <x:v>0.6747772141647467</x:v>
      </x:c>
      <x:c r="V370" s="6" t="str">
        <x:v>55.174862101800514</x:v>
      </x:c>
      <x:c r="W370" s="8" t="str">
        <x:v>0.8053655743479051</x:v>
      </x:c>
      <x:c r="X370" s="6" t="str">
        <x:v>1.8929787674377454</x:v>
      </x:c>
      <x:c r="Y370" s="6" t="str">
        <x:v>1.894376578663439</x:v>
      </x:c>
      <x:c r="Z370" s="6" t="str">
        <x:v>1.6863827250315868</x:v>
      </x:c>
      <x:c r="AA370" s="6" t="str">
        <x:v>0.10241246473869425</x:v>
      </x:c>
      <x:c r="AB370" s="6" t="str">
        <x:v>-0.02484366783671785</x:v>
      </x:c>
      <x:c r="AC370" s="6" t="str">
        <x:v>0.2507820036889075</x:v>
      </x:c>
      <x:c r="AD370" s="6" t="str">
        <x:v>0.02523972337369895</x:v>
      </x:c>
      <x:c r="AE370" s="6" t="str">
        <x:v>1.5173260376026432</x:v>
      </x:c>
      <x:c r="AF370" s="6" t="str">
        <x:v>0.7826437784414155</x:v>
      </x:c>
      <x:c r="AG370" s="6" t="str">
        <x:v>0</x:v>
      </x:c>
      <x:c r="AH370" s="6" t="str">
        <x:v>1</x:v>
      </x:c>
      <x:c r="AI370" s="6" t="str">
        <x:v>2024-09</x:v>
      </x:c>
      <x:c r="AJ370" s="9" t="str">
        <x:v>NASA POWER (MERRA-2 meteorology)</x:v>
      </x:c>
      <x:c r="AK370" s="9" t="str">
        <x:v>Badan Informasi Geospasial (BIG)</x:v>
      </x:c>
      <x:c r="AL370" s="9" t="str">
        <x:v>https://power.larc.nasa.gov/docs/services/api/temporal/monthly/</x:v>
      </x:c>
      <x:c r="AM370" s="9" t="str">
        <x:v>https://geoservices.big.go.id/rbi/rest/services/BATASWILAYAH/BATAS_WILAYAH/MapServer/12</x:v>
      </x:c>
    </x:row>
    <x:row r="371" ht="18" customHeight="1">
      <x:c r="A371" s="6" t="str">
        <x:v>36</x:v>
      </x:c>
      <x:c r="B371" s="6" t="str">
        <x:v>BANTEN</x:v>
      </x:c>
      <x:c r="C371" s="6" t="str">
        <x:v>2024</x:v>
      </x:c>
      <x:c r="D371" s="6" t="str">
        <x:v>10</x:v>
      </x:c>
      <x:c r="E371" s="6" t="str">
        <x:v>27.670363177121455</x:v>
      </x:c>
      <x:c r="F371" s="9" t="str">
        <x:v>grid_cells_within_BIG_polygon</x:v>
      </x:c>
      <x:c r="G371" s="6" t="str">
        <x:v>2</x:v>
      </x:c>
      <x:c r="H371" s="8" t="str">
        <x:v>78.87437160800695</x:v>
      </x:c>
      <x:c r="I371" s="6" t="str">
        <x:v>2.364940266920814</x:v>
      </x:c>
      <x:c r="J371" s="6" t="str">
        <x:v>31</x:v>
      </x:c>
      <x:c r="K371" s="6" t="str">
        <x:v>73.31314827454524</x:v>
      </x:c>
      <x:c r="L371" s="6" t="str">
        <x:v>27.0047095720881</x:v>
      </x:c>
      <x:c r="M371" s="6" t="str">
        <x:v>0.5544963467527821</x:v>
      </x:c>
      <x:c r="N371" s="6" t="str">
        <x:v>78.05330677770503</x:v>
      </x:c>
      <x:c r="O371" s="6" t="str">
        <x:v>5.505670015719146</x:v>
      </x:c>
      <x:c r="P371" s="6" t="str">
        <x:v>128.1742806259363</x:v>
      </x:c>
      <x:c r="Q371" s="6" t="str">
        <x:v>77.1262313151359</x:v>
      </x:c>
      <x:c r="R371" s="6" t="str">
        <x:v>0.6656536050333557</x:v>
      </x:c>
      <x:c r="S371" s="8" t="str">
        <x:v>1.2004652671411236</x:v>
      </x:c>
      <x:c r="T371" s="6" t="str">
        <x:v>0.8210648303019212</x:v>
      </x:c>
      <x:c r="U371" s="8" t="str">
        <x:v>0.1491307739035781</x:v>
      </x:c>
      <x:c r="V371" s="6" t="str">
        <x:v>-54.86113235139105</x:v>
      </x:c>
      <x:c r="W371" s="8" t="str">
        <x:v>-0.7113161296217081</x:v>
      </x:c>
      <x:c r="X371" s="6" t="str">
        <x:v>1.2717928289935747</x:v>
      </x:c>
      <x:c r="Y371" s="6" t="str">
        <x:v>1.8929787674377454</x:v>
      </x:c>
      <x:c r="Z371" s="6" t="str">
        <x:v>1.455078954524148</x:v>
      </x:c>
      <x:c r="AA371" s="6" t="str">
        <x:v>0.6747772141647467</x:v>
      </x:c>
      <x:c r="AB371" s="6" t="str">
        <x:v>0.10241246473869425</x:v>
      </x:c>
      <x:c r="AC371" s="6" t="str">
        <x:v>0.3087734842690062</x:v>
      </x:c>
      <x:c r="AD371" s="6" t="str">
        <x:v>0.8053655743479051</x:v>
      </x:c>
      <x:c r="AE371" s="6" t="str">
        <x:v>0.02523972337369895</x:v>
      </x:c>
      <x:c r="AF371" s="6" t="str">
        <x:v>0.039763056033298515</x:v>
      </x:c>
      <x:c r="AG371" s="6" t="str">
        <x:v>0</x:v>
      </x:c>
      <x:c r="AH371" s="6" t="str">
        <x:v>1</x:v>
      </x:c>
      <x:c r="AI371" s="6" t="str">
        <x:v>2024-10</x:v>
      </x:c>
      <x:c r="AJ371" s="9" t="str">
        <x:v>NASA POWER (MERRA-2 meteorology)</x:v>
      </x:c>
      <x:c r="AK371" s="9" t="str">
        <x:v>Badan Informasi Geospasial (BIG)</x:v>
      </x:c>
      <x:c r="AL371" s="9" t="str">
        <x:v>https://power.larc.nasa.gov/docs/services/api/temporal/monthly/</x:v>
      </x:c>
      <x:c r="AM371" s="9" t="str">
        <x:v>https://geoservices.big.go.id/rbi/rest/services/BATASWILAYAH/BATAS_WILAYAH/MapServer/12</x:v>
      </x:c>
    </x:row>
    <x:row r="372" ht="18" customHeight="1">
      <x:c r="A372" s="6" t="str">
        <x:v>36</x:v>
      </x:c>
      <x:c r="B372" s="6" t="str">
        <x:v>BANTEN</x:v>
      </x:c>
      <x:c r="C372" s="6" t="str">
        <x:v>2024</x:v>
      </x:c>
      <x:c r="D372" s="6" t="str">
        <x:v>11</x:v>
      </x:c>
      <x:c r="E372" s="6" t="str">
        <x:v>27.285389459676296</x:v>
      </x:c>
      <x:c r="F372" s="9" t="str">
        <x:v>grid_cells_within_BIG_polygon</x:v>
      </x:c>
      <x:c r="G372" s="6" t="str">
        <x:v>2</x:v>
      </x:c>
      <x:c r="H372" s="8" t="str">
        <x:v>83.09905382802569</x:v>
      </x:c>
      <x:c r="I372" s="6" t="str">
        <x:v>8.809292760342437</x:v>
      </x:c>
      <x:c r="J372" s="6" t="str">
        <x:v>30</x:v>
      </x:c>
      <x:c r="K372" s="6" t="str">
        <x:v>264.2787828102731</x:v>
      </x:c>
      <x:c r="L372" s="6" t="str">
        <x:v>26.832218571872033</x:v>
      </x:c>
      <x:c r="M372" s="6" t="str">
        <x:v>0.6146913700728116</x:v>
      </x:c>
      <x:c r="N372" s="6" t="str">
        <x:v>81.48964852486723</x:v>
      </x:c>
      <x:c r="O372" s="6" t="str">
        <x:v>3.7299416569935997</x:v>
      </x:c>
      <x:c r="P372" s="6" t="str">
        <x:v>185.09381165299632</x:v>
      </x:c>
      <x:c r="Q372" s="6" t="str">
        <x:v>63.72481967766727</x:v>
      </x:c>
      <x:c r="R372" s="6" t="str">
        <x:v>0.4531708878042622</x:v>
      </x:c>
      <x:c r="S372" s="8" t="str">
        <x:v>0.737233203307512</x:v>
      </x:c>
      <x:c r="T372" s="6" t="str">
        <x:v>1.6094053031584536</x:v>
      </x:c>
      <x:c r="U372" s="8" t="str">
        <x:v>0.4314827016505302</x:v>
      </x:c>
      <x:c r="V372" s="6" t="str">
        <x:v>79.1849711572768</x:v>
      </x:c>
      <x:c r="W372" s="8" t="str">
        <x:v>1.2426080067046095</x:v>
      </x:c>
      <x:c r="X372" s="6" t="str">
        <x:v>1.2004652671411236</x:v>
      </x:c>
      <x:c r="Y372" s="6" t="str">
        <x:v>1.2717928289935747</x:v>
      </x:c>
      <x:c r="Z372" s="6" t="str">
        <x:v>1.0698304331474038</x:v>
      </x:c>
      <x:c r="AA372" s="6" t="str">
        <x:v>0.1491307739035781</x:v>
      </x:c>
      <x:c r="AB372" s="6" t="str">
        <x:v>0.6747772141647467</x:v>
      </x:c>
      <x:c r="AC372" s="6" t="str">
        <x:v>0.41846356323961814</x:v>
      </x:c>
      <x:c r="AD372" s="6" t="str">
        <x:v>-0.7113161296217081</x:v>
      </x:c>
      <x:c r="AE372" s="6" t="str">
        <x:v>0.8053655743479051</x:v>
      </x:c>
      <x:c r="AF372" s="6" t="str">
        <x:v>0.4455524838102687</x:v>
      </x:c>
      <x:c r="AG372" s="6" t="str">
        <x:v>1</x:v>
      </x:c>
      <x:c r="AH372" s="6" t="str">
        <x:v>0</x:v>
      </x:c>
      <x:c r="AI372" s="6" t="str">
        <x:v>2024-11</x:v>
      </x:c>
      <x:c r="AJ372" s="9" t="str">
        <x:v>NASA POWER (MERRA-2 meteorology)</x:v>
      </x:c>
      <x:c r="AK372" s="9" t="str">
        <x:v>Badan Informasi Geospasial (BIG)</x:v>
      </x:c>
      <x:c r="AL372" s="9" t="str">
        <x:v>https://power.larc.nasa.gov/docs/services/api/temporal/monthly/</x:v>
      </x:c>
      <x:c r="AM372" s="9" t="str">
        <x:v>https://geoservices.big.go.id/rbi/rest/services/BATASWILAYAH/BATAS_WILAYAH/MapServer/12</x:v>
      </x:c>
    </x:row>
    <x:row r="373" ht="18" customHeight="1">
      <x:c r="A373" s="6" t="str">
        <x:v>36</x:v>
      </x:c>
      <x:c r="B373" s="6" t="str">
        <x:v>BANTEN</x:v>
      </x:c>
      <x:c r="C373" s="6" t="str">
        <x:v>2024</x:v>
      </x:c>
      <x:c r="D373" s="6" t="str">
        <x:v>12</x:v>
      </x:c>
      <x:c r="E373" s="6" t="str">
        <x:v>26.71042529952381</x:v>
      </x:c>
      <x:c r="F373" s="9" t="str">
        <x:v>grid_cells_within_BIG_polygon</x:v>
      </x:c>
      <x:c r="G373" s="6" t="str">
        <x:v>2</x:v>
      </x:c>
      <x:c r="H373" s="8" t="str">
        <x:v>86.44901559885501</x:v>
      </x:c>
      <x:c r="I373" s="6" t="str">
        <x:v>11.484949824213485</x:v>
      </x:c>
      <x:c r="J373" s="6" t="str">
        <x:v>31</x:v>
      </x:c>
      <x:c r="K373" s="6" t="str">
        <x:v>356.03344455061807</x:v>
      </x:c>
      <x:c r="L373" s="6" t="str">
        <x:v>26.253887627861864</x:v>
      </x:c>
      <x:c r="M373" s="6" t="str">
        <x:v>0.48503692367190343</x:v>
      </x:c>
      <x:c r="N373" s="6" t="str">
        <x:v>84.28208666984351</x:v>
      </x:c>
      <x:c r="O373" s="6" t="str">
        <x:v>2.1374829073316373</x:v>
      </x:c>
      <x:c r="P373" s="6" t="str">
        <x:v>222.491907425103</x:v>
      </x:c>
      <x:c r="Q373" s="6" t="str">
        <x:v>78.92043220915731</x:v>
      </x:c>
      <x:c r="R373" s="6" t="str">
        <x:v>0.4565376716619447</x:v>
      </x:c>
      <x:c r="S373" s="8" t="str">
        <x:v>0.9412431288855101</x:v>
      </x:c>
      <x:c r="T373" s="6" t="str">
        <x:v>2.1669289290115046</x:v>
      </x:c>
      <x:c r="U373" s="8" t="str">
        <x:v>1.0137760267363385</x:v>
      </x:c>
      <x:c r="V373" s="6" t="str">
        <x:v>133.54153712551508</x:v>
      </x:c>
      <x:c r="W373" s="8" t="str">
        <x:v>1.692103469119369</x:v>
      </x:c>
      <x:c r="X373" s="6" t="str">
        <x:v>0.737233203307512</x:v>
      </x:c>
      <x:c r="Y373" s="6" t="str">
        <x:v>1.2004652671411236</x:v>
      </x:c>
      <x:c r="Z373" s="6" t="str">
        <x:v>0.9596471997780488</x:v>
      </x:c>
      <x:c r="AA373" s="6" t="str">
        <x:v>0.4314827016505302</x:v>
      </x:c>
      <x:c r="AB373" s="6" t="str">
        <x:v>0.1491307739035781</x:v>
      </x:c>
      <x:c r="AC373" s="6" t="str">
        <x:v>0.5314631674301488</x:v>
      </x:c>
      <x:c r="AD373" s="6" t="str">
        <x:v>1.2426080067046095</x:v>
      </x:c>
      <x:c r="AE373" s="6" t="str">
        <x:v>-0.7113161296217081</x:v>
      </x:c>
      <x:c r="AF373" s="6" t="str">
        <x:v>0.7411317820674234</x:v>
      </x:c>
      <x:c r="AG373" s="6" t="str">
        <x:v>1</x:v>
      </x:c>
      <x:c r="AH373" s="6" t="str">
        <x:v>0</x:v>
      </x:c>
      <x:c r="AI373" s="6" t="str">
        <x:v>2024-12</x:v>
      </x:c>
      <x:c r="AJ373" s="9" t="str">
        <x:v>NASA POWER (MERRA-2 meteorology)</x:v>
      </x:c>
      <x:c r="AK373" s="9" t="str">
        <x:v>Badan Informasi Geospasial (BIG)</x:v>
      </x:c>
      <x:c r="AL373" s="9" t="str">
        <x:v>https://power.larc.nasa.gov/docs/services/api/temporal/monthly/</x:v>
      </x:c>
      <x:c r="AM373" s="9" t="str">
        <x:v>https://geoservices.big.go.id/rbi/rest/services/BATASWILAYAH/BATAS_WILAYAH/MapServer/12</x:v>
      </x:c>
    </x:row>
    <x:row r="374" ht="18" customHeight="1">
      <x:c r="A374" s="6" t="str">
        <x:v>36</x:v>
      </x:c>
      <x:c r="B374" s="6" t="str">
        <x:v>BANTEN</x:v>
      </x:c>
      <x:c r="C374" s="6" t="str">
        <x:v>2025</x:v>
      </x:c>
      <x:c r="D374" s="6" t="str">
        <x:v>1</x:v>
      </x:c>
      <x:c r="E374" s="6" t="str">
        <x:v>26.215389459676295</x:v>
      </x:c>
      <x:c r="F374" s="9" t="str">
        <x:v>grid_cells_within_BIG_polygon</x:v>
      </x:c>
      <x:c r="G374" s="6" t="str">
        <x:v>2</x:v>
      </x:c>
      <x:c r="H374" s="8" t="str">
        <x:v>87.85925453117176</x:v>
      </x:c>
      <x:c r="I374" s="6" t="str">
        <x:v>17.215695293041726</x:v>
      </x:c>
      <x:c r="J374" s="6" t="str">
        <x:v>31</x:v>
      </x:c>
      <x:c r="K374" s="6" t="str">
        <x:v>533.6865540842936</x:v>
      </x:c>
      <x:c r="L374" s="6" t="str">
        <x:v>25.95036986722632</x:v>
      </x:c>
      <x:c r="M374" s="6" t="str">
        <x:v>0.5725621671017439</x:v>
      </x:c>
      <x:c r="N374" s="6" t="str">
        <x:v>85.9303552013212</x:v>
      </x:c>
      <x:c r="O374" s="6" t="str">
        <x:v>2.513734223089988</x:v>
      </x:c>
      <x:c r="P374" s="6" t="str">
        <x:v>305.7695542490256</x:v>
      </x:c>
      <x:c r="Q374" s="6" t="str">
        <x:v>111.30479721739056</x:v>
      </x:c>
      <x:c r="R374" s="6" t="str">
        <x:v>0.2650195924499741</x:v>
      </x:c>
      <x:c r="S374" s="8" t="str">
        <x:v>0.4628660566091512</x:v>
      </x:c>
      <x:c r="T374" s="6" t="str">
        <x:v>1.9288993298505517</x:v>
      </x:c>
      <x:c r="U374" s="8" t="str">
        <x:v>0.7673441814701744</x:v>
      </x:c>
      <x:c r="V374" s="6" t="str">
        <x:v>227.91699983526797</x:v>
      </x:c>
      <x:c r="W374" s="8" t="str">
        <x:v>2.0476835278727554</x:v>
      </x:c>
      <x:c r="X374" s="6" t="str">
        <x:v>0.9412431288855101</x:v>
      </x:c>
      <x:c r="Y374" s="6" t="str">
        <x:v>0.737233203307512</x:v>
      </x:c>
      <x:c r="Z374" s="6" t="str">
        <x:v>0.7137807962673914</x:v>
      </x:c>
      <x:c r="AA374" s="6" t="str">
        <x:v>1.0137760267363385</x:v>
      </x:c>
      <x:c r="AB374" s="6" t="str">
        <x:v>0.4314827016505302</x:v>
      </x:c>
      <x:c r="AC374" s="6" t="str">
        <x:v>0.7375343032856808</x:v>
      </x:c>
      <x:c r="AD374" s="6" t="str">
        <x:v>1.692103469119369</x:v>
      </x:c>
      <x:c r="AE374" s="6" t="str">
        <x:v>1.2426080067046095</x:v>
      </x:c>
      <x:c r="AF374" s="6" t="str">
        <x:v>1.660798334565578</x:v>
      </x:c>
      <x:c r="AG374" s="6" t="str">
        <x:v>1</x:v>
      </x:c>
      <x:c r="AH374" s="6" t="str">
        <x:v>0</x:v>
      </x:c>
      <x:c r="AI374" s="6" t="str">
        <x:v>2025-01</x:v>
      </x:c>
      <x:c r="AJ374" s="9" t="str">
        <x:v>NASA POWER (MERRA-2 meteorology)</x:v>
      </x:c>
      <x:c r="AK374" s="9" t="str">
        <x:v>Badan Informasi Geospasial (BIG)</x:v>
      </x:c>
      <x:c r="AL374" s="9" t="str">
        <x:v>https://power.larc.nasa.gov/docs/services/api/temporal/monthly/</x:v>
      </x:c>
      <x:c r="AM374" s="9" t="str">
        <x:v>https://geoservices.big.go.id/rbi/rest/services/BATASWILAYAH/BATAS_WILAYAH/MapServer/12</x:v>
      </x:c>
    </x:row>
    <x:row r="375" ht="18" customHeight="1">
      <x:c r="A375" s="6" t="str">
        <x:v>36</x:v>
      </x:c>
      <x:c r="B375" s="6" t="str">
        <x:v>BANTEN</x:v>
      </x:c>
      <x:c r="C375" s="6" t="str">
        <x:v>2025</x:v>
      </x:c>
      <x:c r="D375" s="6" t="str">
        <x:v>2</x:v>
      </x:c>
      <x:c r="E375" s="6" t="str">
        <x:v>26.260372734414126</x:v>
      </x:c>
      <x:c r="F375" s="9" t="str">
        <x:v>grid_cells_within_BIG_polygon</x:v>
      </x:c>
      <x:c r="G375" s="6" t="str">
        <x:v>2</x:v>
      </x:c>
      <x:c r="H375" s="8" t="str">
        <x:v>86.58935966139113</x:v>
      </x:c>
      <x:c r="I375" s="6" t="str">
        <x:v>9.480501757865165</x:v>
      </x:c>
      <x:c r="J375" s="6" t="str">
        <x:v>28</x:v>
      </x:c>
      <x:c r="K375" s="6" t="str">
        <x:v>265.4540492202246</x:v>
      </x:c>
      <x:c r="L375" s="6" t="str">
        <x:v>25.843536294960675</x:v>
      </x:c>
      <x:c r="M375" s="6" t="str">
        <x:v>0.48404376694720264</x:v>
      </x:c>
      <x:c r="N375" s="6" t="str">
        <x:v>87.18962418221723</x:v>
      </x:c>
      <x:c r="O375" s="6" t="str">
        <x:v>1.384064495131185</x:v>
      </x:c>
      <x:c r="P375" s="6" t="str">
        <x:v>314.43948595421904</x:v>
      </x:c>
      <x:c r="Q375" s="6" t="str">
        <x:v>123.53233061776095</x:v>
      </x:c>
      <x:c r="R375" s="6" t="str">
        <x:v>0.4168364394534514</x:v>
      </x:c>
      <x:c r="S375" s="8" t="str">
        <x:v>0.861154440810965</x:v>
      </x:c>
      <x:c r="T375" s="6" t="str">
        <x:v>-0.6002645208261015</x:v>
      </x:c>
      <x:c r="U375" s="8" t="str">
        <x:v>-0.43369692881920724</x:v>
      </x:c>
      <x:c r="V375" s="6" t="str">
        <x:v>-48.98543673399445</x:v>
      </x:c>
      <x:c r="W375" s="8" t="str">
        <x:v>-0.3965394038065006</x:v>
      </x:c>
      <x:c r="X375" s="6" t="str">
        <x:v>0.4628660566091512</x:v>
      </x:c>
      <x:c r="Y375" s="6" t="str">
        <x:v>0.9412431288855101</x:v>
      </x:c>
      <x:c r="Z375" s="6" t="str">
        <x:v>0.7550878754352089</x:v>
      </x:c>
      <x:c r="AA375" s="6" t="str">
        <x:v>0.7673441814701744</x:v>
      </x:c>
      <x:c r="AB375" s="6" t="str">
        <x:v>1.0137760267363385</x:v>
      </x:c>
      <x:c r="AC375" s="6" t="str">
        <x:v>0.4491410931291016</x:v>
      </x:c>
      <x:c r="AD375" s="6" t="str">
        <x:v>2.0476835278727554</x:v>
      </x:c>
      <x:c r="AE375" s="6" t="str">
        <x:v>1.692103469119369</x:v>
      </x:c>
      <x:c r="AF375" s="6" t="str">
        <x:v>1.1144158643952078</x:v>
      </x:c>
      <x:c r="AG375" s="6" t="str">
        <x:v>0</x:v>
      </x:c>
      <x:c r="AH375" s="6" t="str">
        <x:v>0</x:v>
      </x:c>
      <x:c r="AI375" s="6" t="str">
        <x:v>2025-02</x:v>
      </x:c>
      <x:c r="AJ375" s="9" t="str">
        <x:v>NASA POWER (MERRA-2 meteorology)</x:v>
      </x:c>
      <x:c r="AK375" s="9" t="str">
        <x:v>Badan Informasi Geospasial (BIG)</x:v>
      </x:c>
      <x:c r="AL375" s="9" t="str">
        <x:v>https://power.larc.nasa.gov/docs/services/api/temporal/monthly/</x:v>
      </x:c>
      <x:c r="AM375" s="9" t="str">
        <x:v>https://geoservices.big.go.id/rbi/rest/services/BATASWILAYAH/BATAS_WILAYAH/MapServer/12</x:v>
      </x:c>
    </x:row>
    <x:row r="376" ht="18" customHeight="1">
      <x:c r="A376" s="6" t="str">
        <x:v>36</x:v>
      </x:c>
      <x:c r="B376" s="6" t="str">
        <x:v>BANTEN</x:v>
      </x:c>
      <x:c r="C376" s="6" t="str">
        <x:v>2025</x:v>
      </x:c>
      <x:c r="D376" s="6" t="str">
        <x:v>3</x:v>
      </x:c>
      <x:c r="E376" s="6" t="str">
        <x:v>26.65539423832263</x:v>
      </x:c>
      <x:c r="F376" s="9" t="str">
        <x:v>grid_cells_within_BIG_polygon</x:v>
      </x:c>
      <x:c r="G376" s="6" t="str">
        <x:v>2</x:v>
      </x:c>
      <x:c r="H376" s="8" t="str">
        <x:v>86.99920196606207</x:v>
      </x:c>
      <x:c r="I376" s="6" t="str">
        <x:v>6.40003822917068</x:v>
      </x:c>
      <x:c r="J376" s="6" t="str">
        <x:v>31</x:v>
      </x:c>
      <x:c r="K376" s="6" t="str">
        <x:v>198.40118510429107</x:v>
      </x:c>
      <x:c r="L376" s="6" t="str">
        <x:v>26.21270781991778</x:v>
      </x:c>
      <x:c r="M376" s="6" t="str">
        <x:v>0.39692483492062264</x:v>
      </x:c>
      <x:c r="N376" s="6" t="str">
        <x:v>86.32190128681204</x:v>
      </x:c>
      <x:c r="O376" s="6" t="str">
        <x:v>1.247345727727266</x:v>
      </x:c>
      <x:c r="P376" s="6" t="str">
        <x:v>220.78176297914177</x:v>
      </x:c>
      <x:c r="Q376" s="6" t="str">
        <x:v>69.41259585527477</x:v>
      </x:c>
      <x:c r="R376" s="6" t="str">
        <x:v>0.4426864184048469</x:v>
      </x:c>
      <x:c r="S376" s="8" t="str">
        <x:v>1.1152903004755943</x:v>
      </x:c>
      <x:c r="T376" s="6" t="str">
        <x:v>0.6773006792500382</x:v>
      </x:c>
      <x:c r="U376" s="8" t="str">
        <x:v>0.5429935455698542</x:v>
      </x:c>
      <x:c r="V376" s="6" t="str">
        <x:v>-22.3805778748507</x:v>
      </x:c>
      <x:c r="W376" s="8" t="str">
        <x:v>-0.3224281933139944</x:v>
      </x:c>
      <x:c r="X376" s="6" t="str">
        <x:v>0.861154440810965</x:v>
      </x:c>
      <x:c r="Y376" s="6" t="str">
        <x:v>0.4628660566091512</x:v>
      </x:c>
      <x:c r="Z376" s="6" t="str">
        <x:v>0.8131035992985703</x:v>
      </x:c>
      <x:c r="AA376" s="6" t="str">
        <x:v>-0.43369692881920724</x:v>
      </x:c>
      <x:c r="AB376" s="6" t="str">
        <x:v>0.7673441814701744</x:v>
      </x:c>
      <x:c r="AC376" s="6" t="str">
        <x:v>0.2922135994069402</x:v>
      </x:c>
      <x:c r="AD376" s="6" t="str">
        <x:v>-0.3965394038065006</x:v>
      </x:c>
      <x:c r="AE376" s="6" t="str">
        <x:v>2.0476835278727554</x:v>
      </x:c>
      <x:c r="AF376" s="6" t="str">
        <x:v>0.44290531025075336</x:v>
      </x:c>
      <x:c r="AG376" s="6" t="str">
        <x:v>0</x:v>
      </x:c>
      <x:c r="AH376" s="6" t="str">
        <x:v>1</x:v>
      </x:c>
      <x:c r="AI376" s="6" t="str">
        <x:v>2025-03</x:v>
      </x:c>
      <x:c r="AJ376" s="9" t="str">
        <x:v>NASA POWER (MERRA-2 meteorology)</x:v>
      </x:c>
      <x:c r="AK376" s="9" t="str">
        <x:v>Badan Informasi Geospasial (BIG)</x:v>
      </x:c>
      <x:c r="AL376" s="9" t="str">
        <x:v>https://power.larc.nasa.gov/docs/services/api/temporal/monthly/</x:v>
      </x:c>
      <x:c r="AM376" s="9" t="str">
        <x:v>https://geoservices.big.go.id/rbi/rest/services/BATASWILAYAH/BATAS_WILAYAH/MapServer/12</x:v>
      </x:c>
    </x:row>
    <x:row r="377" ht="18" customHeight="1">
      <x:c r="A377" s="6" t="str">
        <x:v>36</x:v>
      </x:c>
      <x:c r="B377" s="6" t="str">
        <x:v>BANTEN</x:v>
      </x:c>
      <x:c r="C377" s="6" t="str">
        <x:v>2025</x:v>
      </x:c>
      <x:c r="D377" s="6" t="str">
        <x:v>4</x:v>
      </x:c>
      <x:c r="E377" s="6" t="str">
        <x:v>26.875379902383624</x:v>
      </x:c>
      <x:c r="F377" s="9" t="str">
        <x:v>grid_cells_within_BIG_polygon</x:v>
      </x:c>
      <x:c r="G377" s="6" t="str">
        <x:v>2</x:v>
      </x:c>
      <x:c r="H377" s="8" t="str">
        <x:v>85.03423780590958</x:v>
      </x:c>
      <x:c r="I377" s="6" t="str">
        <x:v>5.715035839847513</x:v>
      </x:c>
      <x:c r="J377" s="6" t="str">
        <x:v>30</x:v>
      </x:c>
      <x:c r="K377" s="6" t="str">
        <x:v>171.45107519542537</x:v>
      </x:c>
      <x:c r="L377" s="6" t="str">
        <x:v>26.535040516098267</x:v>
      </x:c>
      <x:c r="M377" s="6" t="str">
        <x:v>0.39992623275975164</x:v>
      </x:c>
      <x:c r="N377" s="6" t="str">
        <x:v>85.9436924884135</x:v>
      </x:c>
      <x:c r="O377" s="6" t="str">
        <x:v>1.1142054717118834</x:v>
      </x:c>
      <x:c r="P377" s="6" t="str">
        <x:v>180.86021896434195</x:v>
      </x:c>
      <x:c r="Q377" s="6" t="str">
        <x:v>54.228860468510334</x:v>
      </x:c>
      <x:c r="R377" s="6" t="str">
        <x:v>0.34033938628535765</x:v>
      </x:c>
      <x:c r="S377" s="8" t="str">
        <x:v>0.8510054065140815</x:v>
      </x:c>
      <x:c r="T377" s="6" t="str">
        <x:v>-0.9094546825039203</x:v>
      </x:c>
      <x:c r="U377" s="8" t="str">
        <x:v>-0.8162360584234246</x:v>
      </x:c>
      <x:c r="V377" s="6" t="str">
        <x:v>-9.409143768916579</x:v>
      </x:c>
      <x:c r="W377" s="8" t="str">
        <x:v>-0.17350804880696855</x:v>
      </x:c>
      <x:c r="X377" s="6" t="str">
        <x:v>1.1152903004755943</x:v>
      </x:c>
      <x:c r="Y377" s="6" t="str">
        <x:v>0.861154440810965</x:v>
      </x:c>
      <x:c r="Z377" s="6" t="str">
        <x:v>0.9424833826002139</x:v>
      </x:c>
      <x:c r="AA377" s="6" t="str">
        <x:v>0.5429935455698542</x:v>
      </x:c>
      <x:c r="AB377" s="6" t="str">
        <x:v>-0.43369692881920724</x:v>
      </x:c>
      <x:c r="AC377" s="6" t="str">
        <x:v>-0.23564648055759277</x:v>
      </x:c>
      <x:c r="AD377" s="6" t="str">
        <x:v>-0.3224281933139944</x:v>
      </x:c>
      <x:c r="AE377" s="6" t="str">
        <x:v>-0.3965394038065006</x:v>
      </x:c>
      <x:c r="AF377" s="6" t="str">
        <x:v>-0.2974918819758213</x:v>
      </x:c>
      <x:c r="AG377" s="6" t="str">
        <x:v>0</x:v>
      </x:c>
      <x:c r="AH377" s="6" t="str">
        <x:v>0</x:v>
      </x:c>
      <x:c r="AI377" s="6" t="str">
        <x:v>2025-04</x:v>
      </x:c>
      <x:c r="AJ377" s="9" t="str">
        <x:v>NASA POWER (MERRA-2 meteorology)</x:v>
      </x:c>
      <x:c r="AK377" s="9" t="str">
        <x:v>Badan Informasi Geospasial (BIG)</x:v>
      </x:c>
      <x:c r="AL377" s="9" t="str">
        <x:v>https://power.larc.nasa.gov/docs/services/api/temporal/monthly/</x:v>
      </x:c>
      <x:c r="AM377" s="9" t="str">
        <x:v>https://geoservices.big.go.id/rbi/rest/services/BATASWILAYAH/BATAS_WILAYAH/MapServer/12</x:v>
      </x:c>
    </x:row>
    <x:row r="378" ht="18" customHeight="1">
      <x:c r="A378" s="6" t="str">
        <x:v>36</x:v>
      </x:c>
      <x:c r="B378" s="6" t="str">
        <x:v>BANTEN</x:v>
      </x:c>
      <x:c r="C378" s="6" t="str">
        <x:v>2025</x:v>
      </x:c>
      <x:c r="D378" s="6" t="str">
        <x:v>5</x:v>
      </x:c>
      <x:c r="E378" s="6" t="str">
        <x:v>27.295408574261636</x:v>
      </x:c>
      <x:c r="F378" s="9" t="str">
        <x:v>grid_cells_within_BIG_polygon</x:v>
      </x:c>
      <x:c r="G378" s="6" t="str">
        <x:v>2</x:v>
      </x:c>
      <x:c r="H378" s="8" t="str">
        <x:v>84.65413745433655</x:v>
      </x:c>
      <x:c r="I378" s="6" t="str">
        <x:v>6.1345818684456965</x:v>
      </x:c>
      <x:c r="J378" s="6" t="str">
        <x:v>31</x:v>
      </x:c>
      <x:c r="K378" s="6" t="str">
        <x:v>190.17203792181658</x:v>
      </x:c>
      <x:c r="L378" s="6" t="str">
        <x:v>26.733701766965755</x:v>
      </x:c>
      <x:c r="M378" s="6" t="str">
        <x:v>0.3567138254076429</x:v>
      </x:c>
      <x:c r="N378" s="6" t="str">
        <x:v>84.5519309144193</x:v>
      </x:c>
      <x:c r="O378" s="6" t="str">
        <x:v>1.4030994122659872</x:v>
      </x:c>
      <x:c r="P378" s="6" t="str">
        <x:v>142.21895952368195</x:v>
      </x:c>
      <x:c r="Q378" s="6" t="str">
        <x:v>50.21305700584066</x:v>
      </x:c>
      <x:c r="R378" s="6" t="str">
        <x:v>0.5617068072958809</x:v>
      </x:c>
      <x:c r="S378" s="8" t="str">
        <x:v>1.5746706947900815</x:v>
      </x:c>
      <x:c r="T378" s="6" t="str">
        <x:v>0.1022065399172476</x:v>
      </x:c>
      <x:c r="U378" s="8" t="str">
        <x:v>0.0728434058369288</x:v>
      </x:c>
      <x:c r="V378" s="6" t="str">
        <x:v>47.953078398134636</x:v>
      </x:c>
      <x:c r="W378" s="8" t="str">
        <x:v>0.9549922123354658</x:v>
      </x:c>
      <x:c r="X378" s="6" t="str">
        <x:v>0.8510054065140815</x:v>
      </x:c>
      <x:c r="Y378" s="6" t="str">
        <x:v>1.1152903004755943</x:v>
      </x:c>
      <x:c r="Z378" s="6" t="str">
        <x:v>1.180322133926586</x:v>
      </x:c>
      <x:c r="AA378" s="6" t="str">
        <x:v>-0.8162360584234246</x:v>
      </x:c>
      <x:c r="AB378" s="6" t="str">
        <x:v>0.5429935455698542</x:v>
      </x:c>
      <x:c r="AC378" s="6" t="str">
        <x:v>-0.06679970233888076</x:v>
      </x:c>
      <x:c r="AD378" s="6" t="str">
        <x:v>-0.17350804880696855</x:v>
      </x:c>
      <x:c r="AE378" s="6" t="str">
        <x:v>-0.3224281933139944</x:v>
      </x:c>
      <x:c r="AF378" s="6" t="str">
        <x:v>0.15301865673816747</x:v>
      </x:c>
      <x:c r="AG378" s="6" t="str">
        <x:v>0</x:v>
      </x:c>
      <x:c r="AH378" s="6" t="str">
        <x:v>1</x:v>
      </x:c>
      <x:c r="AI378" s="6" t="str">
        <x:v>2025-05</x:v>
      </x:c>
      <x:c r="AJ378" s="9" t="str">
        <x:v>NASA POWER (MERRA-2 meteorology)</x:v>
      </x:c>
      <x:c r="AK378" s="9" t="str">
        <x:v>Badan Informasi Geospasial (BIG)</x:v>
      </x:c>
      <x:c r="AL378" s="9" t="str">
        <x:v>https://power.larc.nasa.gov/docs/services/api/temporal/monthly/</x:v>
      </x:c>
      <x:c r="AM378" s="9" t="str">
        <x:v>https://geoservices.big.go.id/rbi/rest/services/BATASWILAYAH/BATAS_WILAYAH/MapServer/12</x:v>
      </x:c>
    </x:row>
    <x:row r="379" ht="18" customHeight="1">
      <x:c r="A379" s="6" t="str">
        <x:v>36</x:v>
      </x:c>
      <x:c r="B379" s="6" t="str">
        <x:v>BANTEN</x:v>
      </x:c>
      <x:c r="C379" s="6" t="str">
        <x:v>2025</x:v>
      </x:c>
      <x:c r="D379" s="6" t="str">
        <x:v>6</x:v>
      </x:c>
      <x:c r="E379" s="6" t="str">
        <x:v>26.835408574261635</x:v>
      </x:c>
      <x:c r="F379" s="9" t="str">
        <x:v>grid_cells_within_BIG_polygon</x:v>
      </x:c>
      <x:c r="G379" s="6" t="str">
        <x:v>2</x:v>
      </x:c>
      <x:c r="H379" s="8" t="str">
        <x:v>84.89907294261103</x:v>
      </x:c>
      <x:c r="I379" s="6" t="str">
        <x:v>7.1648255794087765</x:v>
      </x:c>
      <x:c r="J379" s="6" t="str">
        <x:v>30</x:v>
      </x:c>
      <x:c r="K379" s="6" t="str">
        <x:v>214.9447673822633</x:v>
      </x:c>
      <x:c r="L379" s="6" t="str">
        <x:v>26.29905150698484</x:v>
      </x:c>
      <x:c r="M379" s="6" t="str">
        <x:v>0.31286633816352305</x:v>
      </x:c>
      <x:c r="N379" s="6" t="str">
        <x:v>83.34344055135608</x:v>
      </x:c>
      <x:c r="O379" s="6" t="str">
        <x:v>2.0311182648994075</x:v>
      </x:c>
      <x:c r="P379" s="6" t="str">
        <x:v>90.45859507797755</x:v>
      </x:c>
      <x:c r="Q379" s="6" t="str">
        <x:v>50.1879824669283</x:v>
      </x:c>
      <x:c r="R379" s="6" t="str">
        <x:v>0.5363570672767963</x:v>
      </x:c>
      <x:c r="S379" s="8" t="str">
        <x:v>1.7143329334345434</x:v>
      </x:c>
      <x:c r="T379" s="6" t="str">
        <x:v>1.555632391254946</x:v>
      </x:c>
      <x:c r="U379" s="8" t="str">
        <x:v>0.7658994644174447</x:v>
      </x:c>
      <x:c r="V379" s="6" t="str">
        <x:v>124.48617230428576</x:v>
      </x:c>
      <x:c r="W379" s="8" t="str">
        <x:v>2.4803980193130246</x:v>
      </x:c>
      <x:c r="X379" s="6" t="str">
        <x:v>1.5746706947900815</x:v>
      </x:c>
      <x:c r="Y379" s="6" t="str">
        <x:v>0.8510054065140815</x:v>
      </x:c>
      <x:c r="Z379" s="6" t="str">
        <x:v>1.380003011579569</x:v>
      </x:c>
      <x:c r="AA379" s="6" t="str">
        <x:v>0.0728434058369288</x:v>
      </x:c>
      <x:c r="AB379" s="6" t="str">
        <x:v>-0.8162360584234246</x:v>
      </x:c>
      <x:c r="AC379" s="6" t="str">
        <x:v>0.007502270610316053</x:v>
      </x:c>
      <x:c r="AD379" s="6" t="str">
        <x:v>0.9549922123354658</x:v>
      </x:c>
      <x:c r="AE379" s="6" t="str">
        <x:v>-0.17350804880696855</x:v>
      </x:c>
      <x:c r="AF379" s="6" t="str">
        <x:v>1.0872940609471737</x:v>
      </x:c>
      <x:c r="AG379" s="6" t="str">
        <x:v>1</x:v>
      </x:c>
      <x:c r="AH379" s="6" t="str">
        <x:v>1</x:v>
      </x:c>
      <x:c r="AI379" s="6" t="str">
        <x:v>2025-06</x:v>
      </x:c>
      <x:c r="AJ379" s="9" t="str">
        <x:v>NASA POWER (MERRA-2 meteorology)</x:v>
      </x:c>
      <x:c r="AK379" s="9" t="str">
        <x:v>Badan Informasi Geospasial (BIG)</x:v>
      </x:c>
      <x:c r="AL379" s="9" t="str">
        <x:v>https://power.larc.nasa.gov/docs/services/api/temporal/monthly/</x:v>
      </x:c>
      <x:c r="AM379" s="9" t="str">
        <x:v>https://geoservices.big.go.id/rbi/rest/services/BATASWILAYAH/BATAS_WILAYAH/MapServer/12</x:v>
      </x:c>
    </x:row>
    <x:row r="380" ht="18" customHeight="1">
      <x:c r="A380" s="6" t="str">
        <x:v>36</x:v>
      </x:c>
      <x:c r="B380" s="6" t="str">
        <x:v>BANTEN</x:v>
      </x:c>
      <x:c r="C380" s="6" t="str">
        <x:v>2025</x:v>
      </x:c>
      <x:c r="D380" s="6" t="str">
        <x:v>7</x:v>
      </x:c>
      <x:c r="E380" s="6" t="str">
        <x:v>26.5203966276458</x:v>
      </x:c>
      <x:c r="F380" s="9" t="str">
        <x:v>grid_cells_within_BIG_polygon</x:v>
      </x:c>
      <x:c r="G380" s="6" t="str">
        <x:v>2</x:v>
      </x:c>
      <x:c r="H380" s="8" t="str">
        <x:v>82.99912072907438</x:v>
      </x:c>
      <x:c r="I380" s="6" t="str">
        <x:v>7.429928320304977</x:v>
      </x:c>
      <x:c r="J380" s="6" t="str">
        <x:v>31</x:v>
      </x:c>
      <x:c r="K380" s="6" t="str">
        <x:v>230.32777792945427</x:v>
      </x:c>
      <x:c r="L380" s="6" t="str">
        <x:v>25.853569586196805</x:v>
      </x:c>
      <x:c r="M380" s="6" t="str">
        <x:v>0.35465164333122196</x:v>
      </x:c>
      <x:c r="N380" s="6" t="str">
        <x:v>81.60321630200109</x:v>
      </x:c>
      <x:c r="O380" s="6" t="str">
        <x:v>2.583418397901419</x:v>
      </x:c>
      <x:c r="P380" s="6" t="str">
        <x:v>82.66632101124846</x:v>
      </x:c>
      <x:c r="Q380" s="6" t="str">
        <x:v>74.53517436326956</x:v>
      </x:c>
      <x:c r="R380" s="6" t="str">
        <x:v>0.6668270414489932</x:v>
      </x:c>
      <x:c r="S380" s="8" t="str">
        <x:v>1.8802310774187485</x:v>
      </x:c>
      <x:c r="T380" s="6" t="str">
        <x:v>1.3959044270732903</x:v>
      </x:c>
      <x:c r="U380" s="8" t="str">
        <x:v>0.5403323086214844</x:v>
      </x:c>
      <x:c r="V380" s="6" t="str">
        <x:v>147.66145691820583</x:v>
      </x:c>
      <x:c r="W380" s="8" t="str">
        <x:v>1.9810976251096344</x:v>
      </x:c>
      <x:c r="X380" s="6" t="str">
        <x:v>1.7143329334345434</x:v>
      </x:c>
      <x:c r="Y380" s="6" t="str">
        <x:v>1.5746706947900815</x:v>
      </x:c>
      <x:c r="Z380" s="6" t="str">
        <x:v>1.723078235214458</x:v>
      </x:c>
      <x:c r="AA380" s="6" t="str">
        <x:v>0.7658994644174447</x:v>
      </x:c>
      <x:c r="AB380" s="6" t="str">
        <x:v>0.0728434058369288</x:v>
      </x:c>
      <x:c r="AC380" s="6" t="str">
        <x:v>0.4596917262919524</x:v>
      </x:c>
      <x:c r="AD380" s="6" t="str">
        <x:v>2.4803980193130246</x:v>
      </x:c>
      <x:c r="AE380" s="6" t="str">
        <x:v>0.9549922123354658</x:v>
      </x:c>
      <x:c r="AF380" s="6" t="str">
        <x:v>1.805495952252708</x:v>
      </x:c>
      <x:c r="AG380" s="6" t="str">
        <x:v>1</x:v>
      </x:c>
      <x:c r="AH380" s="6" t="str">
        <x:v>1</x:v>
      </x:c>
      <x:c r="AI380" s="6" t="str">
        <x:v>2025-07</x:v>
      </x:c>
      <x:c r="AJ380" s="9" t="str">
        <x:v>NASA POWER (MERRA-2 meteorology)</x:v>
      </x:c>
      <x:c r="AK380" s="9" t="str">
        <x:v>Badan Informasi Geospasial (BIG)</x:v>
      </x:c>
      <x:c r="AL380" s="9" t="str">
        <x:v>https://power.larc.nasa.gov/docs/services/api/temporal/monthly/</x:v>
      </x:c>
      <x:c r="AM380" s="9" t="str">
        <x:v>https://geoservices.big.go.id/rbi/rest/services/BATASWILAYAH/BATAS_WILAYAH/MapServer/12</x:v>
      </x:c>
    </x:row>
    <x:row r="381" ht="18" customHeight="1">
      <x:c r="A381" s="6" t="str">
        <x:v>36</x:v>
      </x:c>
      <x:c r="B381" s="6" t="str">
        <x:v>BANTEN</x:v>
      </x:c>
      <x:c r="C381" s="6" t="str">
        <x:v>2025</x:v>
      </x:c>
      <x:c r="D381" s="6" t="str">
        <x:v>8</x:v>
      </x:c>
      <x:c r="E381" s="6" t="str">
        <x:v>26.375375123737292</x:v>
      </x:c>
      <x:c r="F381" s="9" t="str">
        <x:v>grid_cells_within_BIG_polygon</x:v>
      </x:c>
      <x:c r="G381" s="6" t="str">
        <x:v>2</x:v>
      </x:c>
      <x:c r="H381" s="8" t="str">
        <x:v>82.77426647778759</x:v>
      </x:c>
      <x:c r="I381" s="6" t="str">
        <x:v>6.674935488274479</x:v>
      </x:c>
      <x:c r="J381" s="6" t="str">
        <x:v>31</x:v>
      </x:c>
      <x:c r="K381" s="6" t="str">
        <x:v>206.92300013650885</x:v>
      </x:c>
      <x:c r="L381" s="6" t="str">
        <x:v>25.936901167359814</x:v>
      </x:c>
      <x:c r="M381" s="6" t="str">
        <x:v>0.3425907228068386</x:v>
      </x:c>
      <x:c r="N381" s="6" t="str">
        <x:v>79.15045775448289</x:v>
      </x:c>
      <x:c r="O381" s="6" t="str">
        <x:v>2.867990041776416</x:v>
      </x:c>
      <x:c r="P381" s="6" t="str">
        <x:v>58.46497784754897</x:v>
      </x:c>
      <x:c r="Q381" s="6" t="str">
        <x:v>54.04707904422733</x:v>
      </x:c>
      <x:c r="R381" s="6" t="str">
        <x:v>0.43847395637747866</x:v>
      </x:c>
      <x:c r="S381" s="8" t="str">
        <x:v>1.279876911975522</x:v>
      </x:c>
      <x:c r="T381" s="6" t="str">
        <x:v>3.6238087233047054</x:v>
      </x:c>
      <x:c r="U381" s="8" t="str">
        <x:v>1.2635360201809278</x:v>
      </x:c>
      <x:c r="V381" s="6" t="str">
        <x:v>148.45802228895988</x:v>
      </x:c>
      <x:c r="W381" s="8" t="str">
        <x:v>2.7468278566446673</x:v>
      </x:c>
      <x:c r="X381" s="6" t="str">
        <x:v>1.8802310774187485</x:v>
      </x:c>
      <x:c r="Y381" s="6" t="str">
        <x:v>1.7143329334345434</x:v>
      </x:c>
      <x:c r="Z381" s="6" t="str">
        <x:v>1.6248136409429381</x:v>
      </x:c>
      <x:c r="AA381" s="6" t="str">
        <x:v>0.5403323086214844</x:v>
      </x:c>
      <x:c r="AB381" s="6" t="str">
        <x:v>0.7658994644174447</x:v>
      </x:c>
      <x:c r="AC381" s="6" t="str">
        <x:v>0.8565892644066188</x:v>
      </x:c>
      <x:c r="AD381" s="6" t="str">
        <x:v>1.9810976251096344</x:v>
      </x:c>
      <x:c r="AE381" s="6" t="str">
        <x:v>2.4803980193130246</x:v>
      </x:c>
      <x:c r="AF381" s="6" t="str">
        <x:v>2.4027745003557754</x:v>
      </x:c>
      <x:c r="AG381" s="6" t="str">
        <x:v>1</x:v>
      </x:c>
      <x:c r="AH381" s="6" t="str">
        <x:v>1</x:v>
      </x:c>
      <x:c r="AI381" s="6" t="str">
        <x:v>2025-08</x:v>
      </x:c>
      <x:c r="AJ381" s="9" t="str">
        <x:v>NASA POWER (MERRA-2 meteorology)</x:v>
      </x:c>
      <x:c r="AK381" s="9" t="str">
        <x:v>Badan Informasi Geospasial (BIG)</x:v>
      </x:c>
      <x:c r="AL381" s="9" t="str">
        <x:v>https://power.larc.nasa.gov/docs/services/api/temporal/monthly/</x:v>
      </x:c>
      <x:c r="AM381" s="9" t="str">
        <x:v>https://geoservices.big.go.id/rbi/rest/services/BATASWILAYAH/BATAS_WILAYAH/MapServer/12</x:v>
      </x:c>
    </x:row>
    <x:row r="382" ht="18" customHeight="1">
      <x:c r="A382" s="6" t="str">
        <x:v>36</x:v>
      </x:c>
      <x:c r="B382" s="6" t="str">
        <x:v>BANTEN</x:v>
      </x:c>
      <x:c r="C382" s="6" t="str">
        <x:v>2025</x:v>
      </x:c>
      <x:c r="D382" s="6" t="str">
        <x:v>9</x:v>
      </x:c>
      <x:c r="E382" s="6" t="str">
        <x:v>26.81535600915195</x:v>
      </x:c>
      <x:c r="F382" s="9" t="str">
        <x:v>grid_cells_within_BIG_polygon</x:v>
      </x:c>
      <x:c r="G382" s="6" t="str">
        <x:v>2</x:v>
      </x:c>
      <x:c r="H382" s="8" t="str">
        <x:v>83.13935010409845</x:v>
      </x:c>
      <x:c r="I382" s="6" t="str">
        <x:v>8.199698945280902</x:v>
      </x:c>
      <x:c r="J382" s="6" t="str">
        <x:v>30</x:v>
      </x:c>
      <x:c r="K382" s="6" t="str">
        <x:v>245.99096835842707</x:v>
      </x:c>
      <x:c r="L382" s="6" t="str">
        <x:v>26.561892725084626</x:v>
      </x:c>
      <x:c r="M382" s="6" t="str">
        <x:v>0.30154401290458893</x:v>
      </x:c>
      <x:c r="N382" s="6" t="str">
        <x:v>77.14346125882354</x:v>
      </x:c>
      <x:c r="O382" s="6" t="str">
        <x:v>4.098803098786826</x:v>
      </x:c>
      <x:c r="P382" s="6" t="str">
        <x:v>73.36245059218034</x:v>
      </x:c>
      <x:c r="Q382" s="6" t="str">
        <x:v>68.5090893616541</x:v>
      </x:c>
      <x:c r="R382" s="6" t="str">
        <x:v>0.2534632840673261</x:v>
      </x:c>
      <x:c r="S382" s="8" t="str">
        <x:v>0.8405515388147469</x:v>
      </x:c>
      <x:c r="T382" s="6" t="str">
        <x:v>5.995888845274919</x:v>
      </x:c>
      <x:c r="U382" s="8" t="str">
        <x:v>1.4628389558526482</x:v>
      </x:c>
      <x:c r="V382" s="6" t="str">
        <x:v>172.62851776624672</x:v>
      </x:c>
      <x:c r="W382" s="8" t="str">
        <x:v>2.519789992462961</x:v>
      </x:c>
      <x:c r="X382" s="6" t="str">
        <x:v>1.279876911975522</x:v>
      </x:c>
      <x:c r="Y382" s="6" t="str">
        <x:v>1.8802310774187485</x:v>
      </x:c>
      <x:c r="Z382" s="6" t="str">
        <x:v>1.3335531760696728</x:v>
      </x:c>
      <x:c r="AA382" s="6" t="str">
        <x:v>1.2635360201809278</x:v>
      </x:c>
      <x:c r="AB382" s="6" t="str">
        <x:v>0.5403323086214844</x:v>
      </x:c>
      <x:c r="AC382" s="6" t="str">
        <x:v>1.0889024282183533</x:v>
      </x:c>
      <x:c r="AD382" s="6" t="str">
        <x:v>2.7468278566446673</x:v>
      </x:c>
      <x:c r="AE382" s="6" t="str">
        <x:v>1.9810976251096344</x:v>
      </x:c>
      <x:c r="AF382" s="6" t="str">
        <x:v>2.415905158072421</x:v>
      </x:c>
      <x:c r="AG382" s="6" t="str">
        <x:v>1</x:v>
      </x:c>
      <x:c r="AH382" s="6" t="str">
        <x:v>0</x:v>
      </x:c>
      <x:c r="AI382" s="6" t="str">
        <x:v>2025-09</x:v>
      </x:c>
      <x:c r="AJ382" s="9" t="str">
        <x:v>NASA POWER (MERRA-2 meteorology)</x:v>
      </x:c>
      <x:c r="AK382" s="9" t="str">
        <x:v>Badan Informasi Geospasial (BIG)</x:v>
      </x:c>
      <x:c r="AL382" s="9" t="str">
        <x:v>https://power.larc.nasa.gov/docs/services/api/temporal/monthly/</x:v>
      </x:c>
      <x:c r="AM382" s="9" t="str">
        <x:v>https://geoservices.big.go.id/rbi/rest/services/BATASWILAYAH/BATAS_WILAYAH/MapServer/12</x:v>
      </x:c>
    </x:row>
    <x:row r="383" ht="18" customHeight="1">
      <x:c r="A383" s="6" t="str">
        <x:v>36</x:v>
      </x:c>
      <x:c r="B383" s="6" t="str">
        <x:v>BANTEN</x:v>
      </x:c>
      <x:c r="C383" s="6" t="str">
        <x:v>2025</x:v>
      </x:c>
      <x:c r="D383" s="6" t="str">
        <x:v>10</x:v>
      </x:c>
      <x:c r="E383" s="6" t="str">
        <x:v>26.995379902383625</x:v>
      </x:c>
      <x:c r="F383" s="9" t="str">
        <x:v>grid_cells_within_BIG_polygon</x:v>
      </x:c>
      <x:c r="G383" s="6" t="str">
        <x:v>2</x:v>
      </x:c>
      <x:c r="H383" s="8" t="str">
        <x:v>83.15923063794008</x:v>
      </x:c>
      <x:c r="I383" s="6" t="str">
        <x:v>6.234849472640451</x:v>
      </x:c>
      <x:c r="J383" s="6" t="str">
        <x:v>31</x:v>
      </x:c>
      <x:c r="K383" s="6" t="str">
        <x:v>193.28033365185397</x:v>
      </x:c>
      <x:c r="L383" s="6" t="str">
        <x:v>27.0047095720881</x:v>
      </x:c>
      <x:c r="M383" s="6" t="str">
        <x:v>0.5544963467527821</x:v>
      </x:c>
      <x:c r="N383" s="6" t="str">
        <x:v>78.05330677770503</x:v>
      </x:c>
      <x:c r="O383" s="6" t="str">
        <x:v>5.505670015719146</x:v>
      </x:c>
      <x:c r="P383" s="6" t="str">
        <x:v>128.1742806259363</x:v>
      </x:c>
      <x:c r="Q383" s="6" t="str">
        <x:v>77.1262313151359</x:v>
      </x:c>
      <x:c r="R383" s="6" t="str">
        <x:v>-0.009329669704474242</x:v>
      </x:c>
      <x:c r="S383" s="8" t="str">
        <x:v>-0.01682548453043966</x:v>
      </x:c>
      <x:c r="T383" s="6" t="str">
        <x:v>5.105923860235052</x:v>
      </x:c>
      <x:c r="U383" s="8" t="str">
        <x:v>0.9273937314908475</x:v>
      </x:c>
      <x:c r="V383" s="6" t="str">
        <x:v>65.10605302591767</x:v>
      </x:c>
      <x:c r="W383" s="8" t="str">
        <x:v>0.8441492850842917</x:v>
      </x:c>
      <x:c r="X383" s="6" t="str">
        <x:v>0.8405515388147469</x:v>
      </x:c>
      <x:c r="Y383" s="6" t="str">
        <x:v>1.279876911975522</x:v>
      </x:c>
      <x:c r="Z383" s="6" t="str">
        <x:v>0.7012009887532766</x:v>
      </x:c>
      <x:c r="AA383" s="6" t="str">
        <x:v>1.4628389558526482</x:v>
      </x:c>
      <x:c r="AB383" s="6" t="str">
        <x:v>1.2635360201809278</x:v>
      </x:c>
      <x:c r="AC383" s="6" t="str">
        <x:v>1.217922902508141</x:v>
      </x:c>
      <x:c r="AD383" s="6" t="str">
        <x:v>2.519789992462961</x:v>
      </x:c>
      <x:c r="AE383" s="6" t="str">
        <x:v>2.7468278566446673</x:v>
      </x:c>
      <x:c r="AF383" s="6" t="str">
        <x:v>2.036922378063973</x:v>
      </x:c>
      <x:c r="AG383" s="6" t="str">
        <x:v>0</x:v>
      </x:c>
      <x:c r="AH383" s="6" t="str">
        <x:v>0</x:v>
      </x:c>
      <x:c r="AI383" s="6" t="str">
        <x:v>2025-10</x:v>
      </x:c>
      <x:c r="AJ383" s="9" t="str">
        <x:v>NASA POWER (MERRA-2 meteorology)</x:v>
      </x:c>
      <x:c r="AK383" s="9" t="str">
        <x:v>Badan Informasi Geospasial (BIG)</x:v>
      </x:c>
      <x:c r="AL383" s="9" t="str">
        <x:v>https://power.larc.nasa.gov/docs/services/api/temporal/monthly/</x:v>
      </x:c>
      <x:c r="AM383" s="9" t="str">
        <x:v>https://geoservices.big.go.id/rbi/rest/services/BATASWILAYAH/BATAS_WILAYAH/MapServer/12</x:v>
      </x:c>
    </x:row>
    <x:row r="384" ht="18" customHeight="1">
      <x:c r="A384" s="6" t="str">
        <x:v>36</x:v>
      </x:c>
      <x:c r="B384" s="6" t="str">
        <x:v>BANTEN</x:v>
      </x:c>
      <x:c r="C384" s="6" t="str">
        <x:v>2025</x:v>
      </x:c>
      <x:c r="D384" s="6" t="str">
        <x:v>11</x:v>
      </x:c>
      <x:c r="E384" s="6" t="str">
        <x:v>26.375418131554305</x:v>
      </x:c>
      <x:c r="F384" s="9" t="str">
        <x:v>grid_cells_within_BIG_polygon</x:v>
      </x:c>
      <x:c r="G384" s="6" t="str">
        <x:v>2</x:v>
      </x:c>
      <x:c r="H384" s="8" t="str">
        <x:v>85.53919718741574</x:v>
      </x:c>
      <x:c r="I384" s="6" t="str">
        <x:v>6.975351230505615</x:v>
      </x:c>
      <x:c r="J384" s="6" t="str">
        <x:v>30</x:v>
      </x:c>
      <x:c r="K384" s="6" t="str">
        <x:v>209.26053691516847</x:v>
      </x:c>
      <x:c r="L384" s="6" t="str">
        <x:v>26.832218571872033</x:v>
      </x:c>
      <x:c r="M384" s="6" t="str">
        <x:v>0.6146913700728116</x:v>
      </x:c>
      <x:c r="N384" s="6" t="str">
        <x:v>81.48964852486723</x:v>
      </x:c>
      <x:c r="O384" s="6" t="str">
        <x:v>3.7299416569935997</x:v>
      </x:c>
      <x:c r="P384" s="6" t="str">
        <x:v>185.09381165299632</x:v>
      </x:c>
      <x:c r="Q384" s="6" t="str">
        <x:v>63.72481967766727</x:v>
      </x:c>
      <x:c r="R384" s="6" t="str">
        <x:v>-0.4568004403177284</x:v>
      </x:c>
      <x:c r="S384" s="8" t="str">
        <x:v>-0.7431378778973573</x:v>
      </x:c>
      <x:c r="T384" s="6" t="str">
        <x:v>4.049548662548503</x:v>
      </x:c>
      <x:c r="U384" s="8" t="str">
        <x:v>1.0856868645534021</x:v>
      </x:c>
      <x:c r="V384" s="6" t="str">
        <x:v>24.16672526217215</x:v>
      </x:c>
      <x:c r="W384" s="8" t="str">
        <x:v>0.379235679040164</x:v>
      </x:c>
      <x:c r="X384" s="6" t="str">
        <x:v>-0.01682548453043966</x:v>
      </x:c>
      <x:c r="Y384" s="6" t="str">
        <x:v>0.8405515388147469</x:v>
      </x:c>
      <x:c r="Z384" s="6" t="str">
        <x:v>0.02686272546231694</x:v>
      </x:c>
      <x:c r="AA384" s="6" t="str">
        <x:v>0.9273937314908475</x:v>
      </x:c>
      <x:c r="AB384" s="6" t="str">
        <x:v>1.4628389558526482</x:v>
      </x:c>
      <x:c r="AC384" s="6" t="str">
        <x:v>1.158639850632299</x:v>
      </x:c>
      <x:c r="AD384" s="6" t="str">
        <x:v>0.8441492850842917</x:v>
      </x:c>
      <x:c r="AE384" s="6" t="str">
        <x:v>2.519789992462961</x:v>
      </x:c>
      <x:c r="AF384" s="6" t="str">
        <x:v>1.2477249855291388</x:v>
      </x:c>
      <x:c r="AG384" s="6" t="str">
        <x:v>0</x:v>
      </x:c>
      <x:c r="AH384" s="6" t="str">
        <x:v>0</x:v>
      </x:c>
      <x:c r="AI384" s="6" t="str">
        <x:v>2025-11</x:v>
      </x:c>
      <x:c r="AJ384" s="9" t="str">
        <x:v>NASA POWER (MERRA-2 meteorology)</x:v>
      </x:c>
      <x:c r="AK384" s="9" t="str">
        <x:v>Badan Informasi Geospasial (BIG)</x:v>
      </x:c>
      <x:c r="AL384" s="9" t="str">
        <x:v>https://power.larc.nasa.gov/docs/services/api/temporal/monthly/</x:v>
      </x:c>
      <x:c r="AM384" s="9" t="str">
        <x:v>https://geoservices.big.go.id/rbi/rest/services/BATASWILAYAH/BATAS_WILAYAH/MapServer/12</x:v>
      </x:c>
    </x:row>
    <x:row r="385" ht="18" customHeight="1">
      <x:c r="A385" s="6" t="str">
        <x:v>36</x:v>
      </x:c>
      <x:c r="B385" s="6" t="str">
        <x:v>BANTEN</x:v>
      </x:c>
      <x:c r="C385" s="6" t="str">
        <x:v>2025</x:v>
      </x:c>
      <x:c r="D385" s="6" t="str">
        <x:v>12</x:v>
      </x:c>
      <x:c r="E385" s="6" t="str">
        <x:v>26.36037273441412</x:v>
      </x:c>
      <x:c r="F385" s="9" t="str">
        <x:v>grid_cells_within_BIG_polygon</x:v>
      </x:c>
      <x:c r="G385" s="6" t="str">
        <x:v>2</x:v>
      </x:c>
      <x:c r="H385" s="8" t="str">
        <x:v>86.70434293612895</x:v>
      </x:c>
      <x:c r="I385" s="6" t="str">
        <x:v>10.00542291020064</x:v>
      </x:c>
      <x:c r="J385" s="6" t="str">
        <x:v>31</x:v>
      </x:c>
      <x:c r="K385" s="6" t="str">
        <x:v>310.1681102162198</x:v>
      </x:c>
      <x:c r="L385" s="6" t="str">
        <x:v>26.253887627861864</x:v>
      </x:c>
      <x:c r="M385" s="6" t="str">
        <x:v>0.48503692367190343</x:v>
      </x:c>
      <x:c r="N385" s="6" t="str">
        <x:v>84.28208666984351</x:v>
      </x:c>
      <x:c r="O385" s="6" t="str">
        <x:v>2.1374829073316373</x:v>
      </x:c>
      <x:c r="P385" s="6" t="str">
        <x:v>222.491907425103</x:v>
      </x:c>
      <x:c r="Q385" s="6" t="str">
        <x:v>78.92043220915731</x:v>
      </x:c>
      <x:c r="R385" s="6" t="str">
        <x:v>0.10648510655225607</x:v>
      </x:c>
      <x:c r="S385" s="8" t="str">
        <x:v>0.21954020684884282</x:v>
      </x:c>
      <x:c r="T385" s="6" t="str">
        <x:v>2.4222562662854443</x:v>
      </x:c>
      <x:c r="U385" s="8" t="str">
        <x:v>1.133228367804498</x:v>
      </x:c>
      <x:c r="V385" s="6" t="str">
        <x:v>87.67620279111682</x:v>
      </x:c>
      <x:c r="W385" s="8" t="str">
        <x:v>1.1109442806744227</x:v>
      </x:c>
      <x:c r="X385" s="6" t="str">
        <x:v>-0.7431378778973573</x:v>
      </x:c>
      <x:c r="Y385" s="6" t="str">
        <x:v>-0.01682548453043966</x:v>
      </x:c>
      <x:c r="Z385" s="6" t="str">
        <x:v>-0.1801410518596511</x:v>
      </x:c>
      <x:c r="AA385" s="6" t="str">
        <x:v>1.0856868645534021</x:v>
      </x:c>
      <x:c r="AB385" s="6" t="str">
        <x:v>0.9273937314908475</x:v>
      </x:c>
      <x:c r="AC385" s="6" t="str">
        <x:v>1.048769654616249</x:v>
      </x:c>
      <x:c r="AD385" s="6" t="str">
        <x:v>0.379235679040164</x:v>
      </x:c>
      <x:c r="AE385" s="6" t="str">
        <x:v>0.8441492850842917</x:v>
      </x:c>
      <x:c r="AF385" s="6" t="str">
        <x:v>0.7781097482662926</x:v>
      </x:c>
      <x:c r="AG385" s="6" t="str">
        <x:v>1</x:v>
      </x:c>
      <x:c r="AH385" s="6" t="str">
        <x:v>0</x:v>
      </x:c>
      <x:c r="AI385" s="6" t="str">
        <x:v>2025-12</x:v>
      </x:c>
      <x:c r="AJ385" s="9" t="str">
        <x:v>NASA POWER (MERRA-2 meteorology)</x:v>
      </x:c>
      <x:c r="AK385" s="9" t="str">
        <x:v>Badan Informasi Geospasial (BIG)</x:v>
      </x:c>
      <x:c r="AL385" s="9" t="str">
        <x:v>https://power.larc.nasa.gov/docs/services/api/temporal/monthly/</x:v>
      </x:c>
      <x:c r="AM385" s="9" t="str">
        <x:v>https://geoservices.big.go.id/rbi/rest/services/BATASWILAYAH/BATAS_WILAYAH/MapServer/12</x:v>
      </x:c>
    </x:row>
    <x:row r="386" ht="18" customHeight="1">
      <x:c r="A386" s="6" t="str">
        <x:v>51</x:v>
      </x:c>
      <x:c r="B386" s="6" t="str">
        <x:v>BALI</x:v>
      </x:c>
      <x:c r="C386" s="6" t="str">
        <x:v>2024</x:v>
      </x:c>
      <x:c r="D386" s="6" t="str">
        <x:v>1</x:v>
      </x:c>
      <x:c r="E386" s="6" t="str">
        <x:v>26.74</x:v>
      </x:c>
      <x:c r="F386" s="9" t="str">
        <x:v>grid_cells_within_BIG_polygon</x:v>
      </x:c>
      <x:c r="G386" s="6" t="str">
        <x:v>1</x:v>
      </x:c>
      <x:c r="H386" s="8" t="str">
        <x:v>82.48</x:v>
      </x:c>
      <x:c r="I386" s="6" t="str">
        <x:v>5.87</x:v>
      </x:c>
      <x:c r="J386" s="6" t="str">
        <x:v>31</x:v>
      </x:c>
      <x:c r="K386" s="6" t="str">
        <x:v>181.97</x:v>
      </x:c>
      <x:c r="L386" s="6" t="str">
        <x:v>25.472666666666665</x:v>
      </x:c>
      <x:c r="M386" s="6" t="str">
        <x:v>0.5204502913315797</x:v>
      </x:c>
      <x:c r="N386" s="6" t="str">
        <x:v>85.88966666666667</x:v>
      </x:c>
      <x:c r="O386" s="6" t="str">
        <x:v>2.603731385230968</x:v>
      </x:c>
      <x:c r="P386" s="6" t="str">
        <x:v>309.95866666666666</x:v>
      </x:c>
      <x:c r="Q386" s="6" t="str">
        <x:v>112.12312329520287</x:v>
      </x:c>
      <x:c r="R386" s="6" t="str">
        <x:v>1.2673333333333332</x:v>
      </x:c>
      <x:c r="S386" s="8" t="str">
        <x:v>2.4350708500726213</x:v>
      </x:c>
      <x:c r="T386" s="6" t="str">
        <x:v>-3.4096666666666664</x:v>
      </x:c>
      <x:c r="U386" s="8" t="str">
        <x:v>-1.3095308855618404</x:v>
      </x:c>
      <x:c r="V386" s="6" t="str">
        <x:v>-127.98866666666666</x:v>
      </x:c>
      <x:c r="W386" s="8" t="str">
        <x:v>-1.1415010829629875</x:v>
      </x:c>
      <x:c r="X386" s="6" t="str">
        <x:v>1.521854961381792</x:v>
      </x:c>
      <x:c r="Y386" s="6" t="str">
        <x:v>1.325276835655017</x:v>
      </x:c>
      <x:c r="Z386" s="6" t="str">
        <x:v>1.7607342157031436</x:v>
      </x:c>
      <x:c r="AA386" s="6" t="str">
        <x:v>-0.7959118363773036</x:v>
      </x:c>
      <x:c r="AB386" s="6" t="str">
        <x:v>-0.07996448938791514</x:v>
      </x:c>
      <x:c r="AC386" s="6" t="str">
        <x:v>-0.7284690704423529</x:v>
      </x:c>
      <x:c r="AD386" s="6" t="str">
        <x:v>-1.0956180061498526</x:v>
      </x:c>
      <x:c r="AE386" s="6" t="str">
        <x:v>-0.6329671156599703</x:v>
      </x:c>
      <x:c r="AF386" s="6" t="str">
        <x:v>-0.9566954015909371</x:v>
      </x:c>
      <x:c r="AG386" s="6" t="str">
        <x:v>0</x:v>
      </x:c>
      <x:c r="AH386" s="6" t="str">
        <x:v>1</x:v>
      </x:c>
      <x:c r="AI386" s="6" t="str">
        <x:v>2024-01</x:v>
      </x:c>
      <x:c r="AJ386" s="9" t="str">
        <x:v>NASA POWER (MERRA-2 meteorology)</x:v>
      </x:c>
      <x:c r="AK386" s="9" t="str">
        <x:v>Badan Informasi Geospasial (BIG)</x:v>
      </x:c>
      <x:c r="AL386" s="9" t="str">
        <x:v>https://power.larc.nasa.gov/docs/services/api/temporal/monthly/</x:v>
      </x:c>
      <x:c r="AM386" s="9" t="str">
        <x:v>https://geoservices.big.go.id/rbi/rest/services/BATASWILAYAH/BATAS_WILAYAH/MapServer/12</x:v>
      </x:c>
    </x:row>
    <x:row r="387" ht="18" customHeight="1">
      <x:c r="A387" s="6" t="str">
        <x:v>51</x:v>
      </x:c>
      <x:c r="B387" s="6" t="str">
        <x:v>BALI</x:v>
      </x:c>
      <x:c r="C387" s="6" t="str">
        <x:v>2024</x:v>
      </x:c>
      <x:c r="D387" s="6" t="str">
        <x:v>2</x:v>
      </x:c>
      <x:c r="E387" s="6" t="str">
        <x:v>26.79</x:v>
      </x:c>
      <x:c r="F387" s="9" t="str">
        <x:v>grid_cells_within_BIG_polygon</x:v>
      </x:c>
      <x:c r="G387" s="6" t="str">
        <x:v>1</x:v>
      </x:c>
      <x:c r="H387" s="8" t="str">
        <x:v>84.01</x:v>
      </x:c>
      <x:c r="I387" s="6" t="str">
        <x:v>7.01</x:v>
      </x:c>
      <x:c r="J387" s="6" t="str">
        <x:v>29</x:v>
      </x:c>
      <x:c r="K387" s="6" t="str">
        <x:v>203.29</x:v>
      </x:c>
      <x:c r="L387" s="6" t="str">
        <x:v>25.386333333333333</x:v>
      </x:c>
      <x:c r="M387" s="6" t="str">
        <x:v>0.5379686142193223</x:v>
      </x:c>
      <x:c r="N387" s="6" t="str">
        <x:v>86.67233333333334</x:v>
      </x:c>
      <x:c r="O387" s="6" t="str">
        <x:v>2.272823981432505</x:v>
      </x:c>
      <x:c r="P387" s="6" t="str">
        <x:v>250.37199999999999</x:v>
      </x:c>
      <x:c r="Q387" s="6" t="str">
        <x:v>80.40813474887416</x:v>
      </x:c>
      <x:c r="R387" s="6" t="str">
        <x:v>1.4036666666666662</x:v>
      </x:c>
      <x:c r="S387" s="8" t="str">
        <x:v>2.609198063912351</x:v>
      </x:c>
      <x:c r="T387" s="6" t="str">
        <x:v>-2.6623333333333363</x:v>
      </x:c>
      <x:c r="U387" s="8" t="str">
        <x:v>-1.1713768224388996</x:v>
      </x:c>
      <x:c r="V387" s="6" t="str">
        <x:v>-47.081999999999994</x:v>
      </x:c>
      <x:c r="W387" s="8" t="str">
        <x:v>-0.585537771110394</x:v>
      </x:c>
      <x:c r="X387" s="6" t="str">
        <x:v>2.4350708500726213</x:v>
      </x:c>
      <x:c r="Y387" s="6" t="str">
        <x:v>1.521854961381792</x:v>
      </x:c>
      <x:c r="Z387" s="6" t="str">
        <x:v>2.188707958455588</x:v>
      </x:c>
      <x:c r="AA387" s="6" t="str">
        <x:v>-1.3095308855618404</x:v>
      </x:c>
      <x:c r="AB387" s="6" t="str">
        <x:v>-0.7959118363773036</x:v>
      </x:c>
      <x:c r="AC387" s="6" t="str">
        <x:v>-1.0922731814593476</x:v>
      </x:c>
      <x:c r="AD387" s="6" t="str">
        <x:v>-1.1415010829629875</x:v>
      </x:c>
      <x:c r="AE387" s="6" t="str">
        <x:v>-1.0956180061498526</x:v>
      </x:c>
      <x:c r="AF387" s="6" t="str">
        <x:v>-0.9408856200744117</x:v>
      </x:c>
      <x:c r="AG387" s="6" t="str">
        <x:v>0</x:v>
      </x:c>
      <x:c r="AH387" s="6" t="str">
        <x:v>1</x:v>
      </x:c>
      <x:c r="AI387" s="6" t="str">
        <x:v>2024-02</x:v>
      </x:c>
      <x:c r="AJ387" s="9" t="str">
        <x:v>NASA POWER (MERRA-2 meteorology)</x:v>
      </x:c>
      <x:c r="AK387" s="9" t="str">
        <x:v>Badan Informasi Geospasial (BIG)</x:v>
      </x:c>
      <x:c r="AL387" s="9" t="str">
        <x:v>https://power.larc.nasa.gov/docs/services/api/temporal/monthly/</x:v>
      </x:c>
      <x:c r="AM387" s="9" t="str">
        <x:v>https://geoservices.big.go.id/rbi/rest/services/BATASWILAYAH/BATAS_WILAYAH/MapServer/12</x:v>
      </x:c>
    </x:row>
    <x:row r="388" ht="18" customHeight="1">
      <x:c r="A388" s="6" t="str">
        <x:v>51</x:v>
      </x:c>
      <x:c r="B388" s="6" t="str">
        <x:v>BALI</x:v>
      </x:c>
      <x:c r="C388" s="6" t="str">
        <x:v>2024</x:v>
      </x:c>
      <x:c r="D388" s="6" t="str">
        <x:v>3</x:v>
      </x:c>
      <x:c r="E388" s="6" t="str">
        <x:v>26.7</x:v>
      </x:c>
      <x:c r="F388" s="9" t="str">
        <x:v>grid_cells_within_BIG_polygon</x:v>
      </x:c>
      <x:c r="G388" s="6" t="str">
        <x:v>1</x:v>
      </x:c>
      <x:c r="H388" s="8" t="str">
        <x:v>85.03</x:v>
      </x:c>
      <x:c r="I388" s="6" t="str">
        <x:v>9.53</x:v>
      </x:c>
      <x:c r="J388" s="6" t="str">
        <x:v>31</x:v>
      </x:c>
      <x:c r="K388" s="6" t="str">
        <x:v>295.43</x:v>
      </x:c>
      <x:c r="L388" s="6" t="str">
        <x:v>25.552666666666667</x:v>
      </x:c>
      <x:c r="M388" s="6" t="str">
        <x:v>0.5033538094335477</x:v>
      </x:c>
      <x:c r="N388" s="6" t="str">
        <x:v>85.739</x:v>
      </x:c>
      <x:c r="O388" s="6" t="str">
        <x:v>2.1414583332634445</x:v>
      </x:c>
      <x:c r="P388" s="6" t="str">
        <x:v>189.689</x:v>
      </x:c>
      <x:c r="Q388" s="6" t="str">
        <x:v>80.20823202871645</x:v>
      </x:c>
      <x:c r="R388" s="6" t="str">
        <x:v>1.1473333333333322</x:v>
      </x:c>
      <x:c r="S388" s="8" t="str">
        <x:v>2.2793774713347075</x:v>
      </x:c>
      <x:c r="T388" s="6" t="str">
        <x:v>-0.7090000000000032</x:v>
      </x:c>
      <x:c r="U388" s="8" t="str">
        <x:v>-0.331082790165491</x:v>
      </x:c>
      <x:c r="V388" s="6" t="str">
        <x:v>105.74100000000001</x:v>
      </x:c>
      <x:c r="W388" s="8" t="str">
        <x:v>1.3183310157259447</x:v>
      </x:c>
      <x:c r="X388" s="6" t="str">
        <x:v>2.609198063912351</x:v>
      </x:c>
      <x:c r="Y388" s="6" t="str">
        <x:v>2.4350708500726213</x:v>
      </x:c>
      <x:c r="Z388" s="6" t="str">
        <x:v>2.441215461773227</x:v>
      </x:c>
      <x:c r="AA388" s="6" t="str">
        <x:v>-1.1713768224388996</x:v>
      </x:c>
      <x:c r="AB388" s="6" t="str">
        <x:v>-1.3095308855618404</x:v>
      </x:c>
      <x:c r="AC388" s="6" t="str">
        <x:v>-0.9373301660554101</x:v>
      </x:c>
      <x:c r="AD388" s="6" t="str">
        <x:v>-0.585537771110394</x:v>
      </x:c>
      <x:c r="AE388" s="6" t="str">
        <x:v>-1.1415010829629875</x:v>
      </x:c>
      <x:c r="AF388" s="6" t="str">
        <x:v>-0.13623594611581255</x:v>
      </x:c>
      <x:c r="AG388" s="6" t="str">
        <x:v>1</x:v>
      </x:c>
      <x:c r="AH388" s="6" t="str">
        <x:v>1</x:v>
      </x:c>
      <x:c r="AI388" s="6" t="str">
        <x:v>2024-03</x:v>
      </x:c>
      <x:c r="AJ388" s="9" t="str">
        <x:v>NASA POWER (MERRA-2 meteorology)</x:v>
      </x:c>
      <x:c r="AK388" s="9" t="str">
        <x:v>Badan Informasi Geospasial (BIG)</x:v>
      </x:c>
      <x:c r="AL388" s="9" t="str">
        <x:v>https://power.larc.nasa.gov/docs/services/api/temporal/monthly/</x:v>
      </x:c>
      <x:c r="AM388" s="9" t="str">
        <x:v>https://geoservices.big.go.id/rbi/rest/services/BATASWILAYAH/BATAS_WILAYAH/MapServer/12</x:v>
      </x:c>
    </x:row>
    <x:row r="389" ht="18" customHeight="1">
      <x:c r="A389" s="6" t="str">
        <x:v>51</x:v>
      </x:c>
      <x:c r="B389" s="6" t="str">
        <x:v>BALI</x:v>
      </x:c>
      <x:c r="C389" s="6" t="str">
        <x:v>2024</x:v>
      </x:c>
      <x:c r="D389" s="6" t="str">
        <x:v>4</x:v>
      </x:c>
      <x:c r="E389" s="6" t="str">
        <x:v>26.52</x:v>
      </x:c>
      <x:c r="F389" s="9" t="str">
        <x:v>grid_cells_within_BIG_polygon</x:v>
      </x:c>
      <x:c r="G389" s="6" t="str">
        <x:v>1</x:v>
      </x:c>
      <x:c r="H389" s="8" t="str">
        <x:v>87.61</x:v>
      </x:c>
      <x:c r="I389" s="6" t="str">
        <x:v>7.61</x:v>
      </x:c>
      <x:c r="J389" s="6" t="str">
        <x:v>30</x:v>
      </x:c>
      <x:c r="K389" s="6" t="str">
        <x:v>228.3</x:v>
      </x:c>
      <x:c r="L389" s="6" t="str">
        <x:v>25.589</x:v>
      </x:c>
      <x:c r="M389" s="6" t="str">
        <x:v>0.4550282295145774</x:v>
      </x:c>
      <x:c r="N389" s="6" t="str">
        <x:v>85.50566666666667</x:v>
      </x:c>
      <x:c r="O389" s="6" t="str">
        <x:v>1.283507272881705</x:v>
      </x:c>
      <x:c r="P389" s="6" t="str">
        <x:v>130.82</x:v>
      </x:c>
      <x:c r="Q389" s="6" t="str">
        <x:v>74.54139511846351</x:v>
      </x:c>
      <x:c r="R389" s="6" t="str">
        <x:v>0.9310000000000009</x:v>
      </x:c>
      <x:c r="S389" s="8" t="str">
        <x:v>2.046026904733336</x:v>
      </x:c>
      <x:c r="T389" s="6" t="str">
        <x:v>2.1043333333333294</x:v>
      </x:c>
      <x:c r="U389" s="8" t="str">
        <x:v>1.6395180438742059</x:v>
      </x:c>
      <x:c r="V389" s="6" t="str">
        <x:v>97.48000000000002</x:v>
      </x:c>
      <x:c r="W389" s="8" t="str">
        <x:v>1.307729749960834</x:v>
      </x:c>
      <x:c r="X389" s="6" t="str">
        <x:v>2.2793774713347075</x:v>
      </x:c>
      <x:c r="Y389" s="6" t="str">
        <x:v>2.609198063912351</x:v>
      </x:c>
      <x:c r="Z389" s="6" t="str">
        <x:v>2.3115341466601316</x:v>
      </x:c>
      <x:c r="AA389" s="6" t="str">
        <x:v>-0.331082790165491</x:v>
      </x:c>
      <x:c r="AB389" s="6" t="str">
        <x:v>-1.1713768224388996</x:v>
      </x:c>
      <x:c r="AC389" s="6" t="str">
        <x:v>0.045686143756605326</x:v>
      </x:c>
      <x:c r="AD389" s="6" t="str">
        <x:v>1.3183310157259447</x:v>
      </x:c>
      <x:c r="AE389" s="6" t="str">
        <x:v>-0.585537771110394</x:v>
      </x:c>
      <x:c r="AF389" s="6" t="str">
        <x:v>0.6801743315254614</x:v>
      </x:c>
      <x:c r="AG389" s="6" t="str">
        <x:v>1</x:v>
      </x:c>
      <x:c r="AH389" s="6" t="str">
        <x:v>1</x:v>
      </x:c>
      <x:c r="AI389" s="6" t="str">
        <x:v>2024-04</x:v>
      </x:c>
      <x:c r="AJ389" s="9" t="str">
        <x:v>NASA POWER (MERRA-2 meteorology)</x:v>
      </x:c>
      <x:c r="AK389" s="9" t="str">
        <x:v>Badan Informasi Geospasial (BIG)</x:v>
      </x:c>
      <x:c r="AL389" s="9" t="str">
        <x:v>https://power.larc.nasa.gov/docs/services/api/temporal/monthly/</x:v>
      </x:c>
      <x:c r="AM389" s="9" t="str">
        <x:v>https://geoservices.big.go.id/rbi/rest/services/BATASWILAYAH/BATAS_WILAYAH/MapServer/12</x:v>
      </x:c>
    </x:row>
    <x:row r="390" ht="18" customHeight="1">
      <x:c r="A390" s="6" t="str">
        <x:v>51</x:v>
      </x:c>
      <x:c r="B390" s="6" t="str">
        <x:v>BALI</x:v>
      </x:c>
      <x:c r="C390" s="6" t="str">
        <x:v>2024</x:v>
      </x:c>
      <x:c r="D390" s="6" t="str">
        <x:v>5</x:v>
      </x:c>
      <x:c r="E390" s="6" t="str">
        <x:v>25.69</x:v>
      </x:c>
      <x:c r="F390" s="9" t="str">
        <x:v>grid_cells_within_BIG_polygon</x:v>
      </x:c>
      <x:c r="G390" s="6" t="str">
        <x:v>1</x:v>
      </x:c>
      <x:c r="H390" s="8" t="str">
        <x:v>86.52</x:v>
      </x:c>
      <x:c r="I390" s="6" t="str">
        <x:v>0.33</x:v>
      </x:c>
      <x:c r="J390" s="6" t="str">
        <x:v>31</x:v>
      </x:c>
      <x:c r="K390" s="6" t="str">
        <x:v>10.23</x:v>
      </x:c>
      <x:c r="L390" s="6" t="str">
        <x:v>24.99866666666667</x:v>
      </x:c>
      <x:c r="M390" s="6" t="str">
        <x:v>0.563130004793609</x:v>
      </x:c>
      <x:c r="N390" s="6" t="str">
        <x:v>84.76266666666668</x:v>
      </x:c>
      <x:c r="O390" s="6" t="str">
        <x:v>1.7277889664665835</x:v>
      </x:c>
      <x:c r="P390" s="6" t="str">
        <x:v>74.38966666666667</x:v>
      </x:c>
      <x:c r="Q390" s="6" t="str">
        <x:v>54.50740604429971</x:v>
      </x:c>
      <x:c r="R390" s="6" t="str">
        <x:v>0.6913333333333327</x:v>
      </x:c>
      <x:c r="S390" s="8" t="str">
        <x:v>1.2276620450844404</x:v>
      </x:c>
      <x:c r="T390" s="6" t="str">
        <x:v>1.757333333333321</x:v>
      </x:c>
      <x:c r="U390" s="8" t="str">
        <x:v>1.0170995228237607</x:v>
      </x:c>
      <x:c r="V390" s="6" t="str">
        <x:v>-64.15966666666667</x:v>
      </x:c>
      <x:c r="W390" s="8" t="str">
        <x:v>-1.177081635741798</x:v>
      </x:c>
      <x:c r="X390" s="6" t="str">
        <x:v>2.046026904733336</x:v>
      </x:c>
      <x:c r="Y390" s="6" t="str">
        <x:v>2.2793774713347075</x:v>
      </x:c>
      <x:c r="Z390" s="6" t="str">
        <x:v>1.8510221403841616</x:v>
      </x:c>
      <x:c r="AA390" s="6" t="str">
        <x:v>1.6395180438742059</x:v>
      </x:c>
      <x:c r="AB390" s="6" t="str">
        <x:v>-0.331082790165491</x:v>
      </x:c>
      <x:c r="AC390" s="6" t="str">
        <x:v>0.7751782588441588</x:v>
      </x:c>
      <x:c r="AD390" s="6" t="str">
        <x:v>1.307729749960834</x:v>
      </x:c>
      <x:c r="AE390" s="6" t="str">
        <x:v>1.3183310157259447</x:v>
      </x:c>
      <x:c r="AF390" s="6" t="str">
        <x:v>0.4829930433149932</x:v>
      </x:c>
      <x:c r="AG390" s="6" t="str">
        <x:v>0</x:v>
      </x:c>
      <x:c r="AH390" s="6" t="str">
        <x:v>1</x:v>
      </x:c>
      <x:c r="AI390" s="6" t="str">
        <x:v>2024-05</x:v>
      </x:c>
      <x:c r="AJ390" s="9" t="str">
        <x:v>NASA POWER (MERRA-2 meteorology)</x:v>
      </x:c>
      <x:c r="AK390" s="9" t="str">
        <x:v>Badan Informasi Geospasial (BIG)</x:v>
      </x:c>
      <x:c r="AL390" s="9" t="str">
        <x:v>https://power.larc.nasa.gov/docs/services/api/temporal/monthly/</x:v>
      </x:c>
      <x:c r="AM390" s="9" t="str">
        <x:v>https://geoservices.big.go.id/rbi/rest/services/BATASWILAYAH/BATAS_WILAYAH/MapServer/12</x:v>
      </x:c>
    </x:row>
    <x:row r="391" ht="18" customHeight="1">
      <x:c r="A391" s="6" t="str">
        <x:v>51</x:v>
      </x:c>
      <x:c r="B391" s="6" t="str">
        <x:v>BALI</x:v>
      </x:c>
      <x:c r="C391" s="6" t="str">
        <x:v>2024</x:v>
      </x:c>
      <x:c r="D391" s="6" t="str">
        <x:v>6</x:v>
      </x:c>
      <x:c r="E391" s="6" t="str">
        <x:v>24.98</x:v>
      </x:c>
      <x:c r="F391" s="9" t="str">
        <x:v>grid_cells_within_BIG_polygon</x:v>
      </x:c>
      <x:c r="G391" s="6" t="str">
        <x:v>1</x:v>
      </x:c>
      <x:c r="H391" s="8" t="str">
        <x:v>86.12</x:v>
      </x:c>
      <x:c r="I391" s="6" t="str">
        <x:v>1.71</x:v>
      </x:c>
      <x:c r="J391" s="6" t="str">
        <x:v>30</x:v>
      </x:c>
      <x:c r="K391" s="6" t="str">
        <x:v>51.3</x:v>
      </x:c>
      <x:c r="L391" s="6" t="str">
        <x:v>24.244333333333334</x:v>
      </x:c>
      <x:c r="M391" s="6" t="str">
        <x:v>0.7138418801702914</x:v>
      </x:c>
      <x:c r="N391" s="6" t="str">
        <x:v>84.42366666666666</x:v>
      </x:c>
      <x:c r="O391" s="6" t="str">
        <x:v>1.740597367400712</x:v>
      </x:c>
      <x:c r="P391" s="6" t="str">
        <x:v>47.1</x:v>
      </x:c>
      <x:c r="Q391" s="6" t="str">
        <x:v>47.98680853217318</x:v>
      </x:c>
      <x:c r="R391" s="6" t="str">
        <x:v>0.7356666666666669</x:v>
      </x:c>
      <x:c r="S391" s="8" t="str">
        <x:v>1.030573698605592</x:v>
      </x:c>
      <x:c r="T391" s="6" t="str">
        <x:v>1.6963333333333424</x:v>
      </x:c>
      <x:c r="U391" s="8" t="str">
        <x:v>0.9745696305783396</x:v>
      </x:c>
      <x:c r="V391" s="6" t="str">
        <x:v>4.199999999999996</x:v>
      </x:c>
      <x:c r="W391" s="8" t="str">
        <x:v>0.08752405355701179</x:v>
      </x:c>
      <x:c r="X391" s="6" t="str">
        <x:v>1.2276620450844404</x:v>
      </x:c>
      <x:c r="Y391" s="6" t="str">
        <x:v>2.046026904733336</x:v>
      </x:c>
      <x:c r="Z391" s="6" t="str">
        <x:v>1.4347542161411233</x:v>
      </x:c>
      <x:c r="AA391" s="6" t="str">
        <x:v>1.0170995228237607</x:v>
      </x:c>
      <x:c r="AB391" s="6" t="str">
        <x:v>1.6395180438742059</x:v>
      </x:c>
      <x:c r="AC391" s="6" t="str">
        <x:v>1.2103957324254357</x:v>
      </x:c>
      <x:c r="AD391" s="6" t="str">
        <x:v>-1.177081635741798</x:v>
      </x:c>
      <x:c r="AE391" s="6" t="str">
        <x:v>1.307729749960834</x:v>
      </x:c>
      <x:c r="AF391" s="6" t="str">
        <x:v>0.072724055925349</x:v>
      </x:c>
      <x:c r="AG391" s="6" t="str">
        <x:v>0</x:v>
      </x:c>
      <x:c r="AH391" s="6" t="str">
        <x:v>1</x:v>
      </x:c>
      <x:c r="AI391" s="6" t="str">
        <x:v>2024-06</x:v>
      </x:c>
      <x:c r="AJ391" s="9" t="str">
        <x:v>NASA POWER (MERRA-2 meteorology)</x:v>
      </x:c>
      <x:c r="AK391" s="9" t="str">
        <x:v>Badan Informasi Geospasial (BIG)</x:v>
      </x:c>
      <x:c r="AL391" s="9" t="str">
        <x:v>https://power.larc.nasa.gov/docs/services/api/temporal/monthly/</x:v>
      </x:c>
      <x:c r="AM391" s="9" t="str">
        <x:v>https://geoservices.big.go.id/rbi/rest/services/BATASWILAYAH/BATAS_WILAYAH/MapServer/12</x:v>
      </x:c>
    </x:row>
    <x:row r="392" ht="18" customHeight="1">
      <x:c r="A392" s="6" t="str">
        <x:v>51</x:v>
      </x:c>
      <x:c r="B392" s="6" t="str">
        <x:v>BALI</x:v>
      </x:c>
      <x:c r="C392" s="6" t="str">
        <x:v>2024</x:v>
      </x:c>
      <x:c r="D392" s="6" t="str">
        <x:v>7</x:v>
      </x:c>
      <x:c r="E392" s="6" t="str">
        <x:v>24.15</x:v>
      </x:c>
      <x:c r="F392" s="9" t="str">
        <x:v>grid_cells_within_BIG_polygon</x:v>
      </x:c>
      <x:c r="G392" s="6" t="str">
        <x:v>1</x:v>
      </x:c>
      <x:c r="H392" s="8" t="str">
        <x:v>83.82</x:v>
      </x:c>
      <x:c r="I392" s="6" t="str">
        <x:v>1.5</x:v>
      </x:c>
      <x:c r="J392" s="6" t="str">
        <x:v>31</x:v>
      </x:c>
      <x:c r="K392" s="6" t="str">
        <x:v>46.5</x:v>
      </x:c>
      <x:c r="L392" s="6" t="str">
        <x:v>23.511000000000003</x:v>
      </x:c>
      <x:c r="M392" s="6" t="str">
        <x:v>0.7260443132671639</x:v>
      </x:c>
      <x:c r="N392" s="6" t="str">
        <x:v>83.03566666666667</x:v>
      </x:c>
      <x:c r="O392" s="6" t="str">
        <x:v>1.7003056182352412</x:v>
      </x:c>
      <x:c r="P392" s="6" t="str">
        <x:v>33.759</x:v>
      </x:c>
      <x:c r="Q392" s="6" t="str">
        <x:v>33.18656482934643</x:v>
      </x:c>
      <x:c r="R392" s="6" t="str">
        <x:v>0.6389999999999958</x:v>
      </x:c>
      <x:c r="S392" s="8" t="str">
        <x:v>0.8801115693951613</x:v>
      </x:c>
      <x:c r="T392" s="6" t="str">
        <x:v>0.784333333333322</x:v>
      </x:c>
      <x:c r="U392" s="8" t="str">
        <x:v>0.4612896204785743</x:v>
      </x:c>
      <x:c r="V392" s="6" t="str">
        <x:v>12.741</x:v>
      </x:c>
      <x:c r="W392" s="8" t="str">
        <x:v>0.38392042278305666</x:v>
      </x:c>
      <x:c r="X392" s="6" t="str">
        <x:v>1.030573698605592</x:v>
      </x:c>
      <x:c r="Y392" s="6" t="str">
        <x:v>1.2276620450844404</x:v>
      </x:c>
      <x:c r="Z392" s="6" t="str">
        <x:v>1.0461157710283981</x:v>
      </x:c>
      <x:c r="AA392" s="6" t="str">
        <x:v>0.9745696305783396</x:v>
      </x:c>
      <x:c r="AB392" s="6" t="str">
        <x:v>1.0170995228237607</x:v>
      </x:c>
      <x:c r="AC392" s="6" t="str">
        <x:v>0.8176529246268918</x:v>
      </x:c>
      <x:c r="AD392" s="6" t="str">
        <x:v>0.08752405355701179</x:v>
      </x:c>
      <x:c r="AE392" s="6" t="str">
        <x:v>-1.177081635741798</x:v>
      </x:c>
      <x:c r="AF392" s="6" t="str">
        <x:v>-0.23521238646724343</x:v>
      </x:c>
      <x:c r="AG392" s="6" t="str">
        <x:v>0</x:v>
      </x:c>
      <x:c r="AH392" s="6" t="str">
        <x:v>0</x:v>
      </x:c>
      <x:c r="AI392" s="6" t="str">
        <x:v>2024-07</x:v>
      </x:c>
      <x:c r="AJ392" s="9" t="str">
        <x:v>NASA POWER (MERRA-2 meteorology)</x:v>
      </x:c>
      <x:c r="AK392" s="9" t="str">
        <x:v>Badan Informasi Geospasial (BIG)</x:v>
      </x:c>
      <x:c r="AL392" s="9" t="str">
        <x:v>https://power.larc.nasa.gov/docs/services/api/temporal/monthly/</x:v>
      </x:c>
      <x:c r="AM392" s="9" t="str">
        <x:v>https://geoservices.big.go.id/rbi/rest/services/BATASWILAYAH/BATAS_WILAYAH/MapServer/12</x:v>
      </x:c>
    </x:row>
    <x:row r="393" ht="18" customHeight="1">
      <x:c r="A393" s="6" t="str">
        <x:v>51</x:v>
      </x:c>
      <x:c r="B393" s="6" t="str">
        <x:v>BALI</x:v>
      </x:c>
      <x:c r="C393" s="6" t="str">
        <x:v>2024</x:v>
      </x:c>
      <x:c r="D393" s="6" t="str">
        <x:v>8</x:v>
      </x:c>
      <x:c r="E393" s="6" t="str">
        <x:v>24.29</x:v>
      </x:c>
      <x:c r="F393" s="9" t="str">
        <x:v>grid_cells_within_BIG_polygon</x:v>
      </x:c>
      <x:c r="G393" s="6" t="str">
        <x:v>1</x:v>
      </x:c>
      <x:c r="H393" s="8" t="str">
        <x:v>81.51</x:v>
      </x:c>
      <x:c r="I393" s="6" t="str">
        <x:v>0.19</x:v>
      </x:c>
      <x:c r="J393" s="6" t="str">
        <x:v>31</x:v>
      </x:c>
      <x:c r="K393" s="6" t="str">
        <x:v>5.89</x:v>
      </x:c>
      <x:c r="L393" s="6" t="str">
        <x:v>23.484666666666666</x:v>
      </x:c>
      <x:c r="M393" s="6" t="str">
        <x:v>0.632944587286054</x:v>
      </x:c>
      <x:c r="N393" s="6" t="str">
        <x:v>80.97966666666666</x:v>
      </x:c>
      <x:c r="O393" s="6" t="str">
        <x:v>1.795971513738706</x:v>
      </x:c>
      <x:c r="P393" s="6" t="str">
        <x:v>22.32</x:v>
      </x:c>
      <x:c r="Q393" s="6" t="str">
        <x:v>23.917362327180964</x:v>
      </x:c>
      <x:c r="R393" s="6" t="str">
        <x:v>0.8053333333333335</x:v>
      </x:c>
      <x:c r="S393" s="8" t="str">
        <x:v>1.272359934044858</x:v>
      </x:c>
      <x:c r="T393" s="6" t="str">
        <x:v>0.5303333333333455</x:v>
      </x:c>
      <x:c r="U393" s="8" t="str">
        <x:v>0.2952905039286181</x:v>
      </x:c>
      <x:c r="V393" s="6" t="str">
        <x:v>-16.43</x:v>
      </x:c>
      <x:c r="W393" s="8" t="str">
        <x:v>-0.6869486599418229</x:v>
      </x:c>
      <x:c r="X393" s="6" t="str">
        <x:v>0.8801115693951613</x:v>
      </x:c>
      <x:c r="Y393" s="6" t="str">
        <x:v>1.030573698605592</x:v>
      </x:c>
      <x:c r="Z393" s="6" t="str">
        <x:v>1.0610150673485375</x:v>
      </x:c>
      <x:c r="AA393" s="6" t="str">
        <x:v>0.4612896204785743</x:v>
      </x:c>
      <x:c r="AB393" s="6" t="str">
        <x:v>0.9745696305783396</x:v>
      </x:c>
      <x:c r="AC393" s="6" t="str">
        <x:v>0.5770499183285109</x:v>
      </x:c>
      <x:c r="AD393" s="6" t="str">
        <x:v>0.38392042278305666</x:v>
      </x:c>
      <x:c r="AE393" s="6" t="str">
        <x:v>0.08752405355701179</x:v>
      </x:c>
      <x:c r="AF393" s="6" t="str">
        <x:v>-0.07183472786725176</x:v>
      </x:c>
      <x:c r="AG393" s="6" t="str">
        <x:v>0</x:v>
      </x:c>
      <x:c r="AH393" s="6" t="str">
        <x:v>1</x:v>
      </x:c>
      <x:c r="AI393" s="6" t="str">
        <x:v>2024-08</x:v>
      </x:c>
      <x:c r="AJ393" s="9" t="str">
        <x:v>NASA POWER (MERRA-2 meteorology)</x:v>
      </x:c>
      <x:c r="AK393" s="9" t="str">
        <x:v>Badan Informasi Geospasial (BIG)</x:v>
      </x:c>
      <x:c r="AL393" s="9" t="str">
        <x:v>https://power.larc.nasa.gov/docs/services/api/temporal/monthly/</x:v>
      </x:c>
      <x:c r="AM393" s="9" t="str">
        <x:v>https://geoservices.big.go.id/rbi/rest/services/BATASWILAYAH/BATAS_WILAYAH/MapServer/12</x:v>
      </x:c>
    </x:row>
    <x:row r="394" ht="18" customHeight="1">
      <x:c r="A394" s="6" t="str">
        <x:v>51</x:v>
      </x:c>
      <x:c r="B394" s="6" t="str">
        <x:v>BALI</x:v>
      </x:c>
      <x:c r="C394" s="6" t="str">
        <x:v>2024</x:v>
      </x:c>
      <x:c r="D394" s="6" t="str">
        <x:v>9</x:v>
      </x:c>
      <x:c r="E394" s="6" t="str">
        <x:v>25.75</x:v>
      </x:c>
      <x:c r="F394" s="9" t="str">
        <x:v>grid_cells_within_BIG_polygon</x:v>
      </x:c>
      <x:c r="G394" s="6" t="str">
        <x:v>1</x:v>
      </x:c>
      <x:c r="H394" s="8" t="str">
        <x:v>79.32</x:v>
      </x:c>
      <x:c r="I394" s="6" t="str">
        <x:v>0.63</x:v>
      </x:c>
      <x:c r="J394" s="6" t="str">
        <x:v>30</x:v>
      </x:c>
      <x:c r="K394" s="6" t="str">
        <x:v>18.9</x:v>
      </x:c>
      <x:c r="L394" s="6" t="str">
        <x:v>24.348000000000003</x:v>
      </x:c>
      <x:c r="M394" s="6" t="str">
        <x:v>0.590525189979225</x:v>
      </x:c>
      <x:c r="N394" s="6" t="str">
        <x:v>79.509</x:v>
      </x:c>
      <x:c r="O394" s="6" t="str">
        <x:v>2.3692125128477834</x:v>
      </x:c>
      <x:c r="P394" s="6" t="str">
        <x:v>34.14</x:v>
      </x:c>
      <x:c r="Q394" s="6" t="str">
        <x:v>54.41463799003175</x:v>
      </x:c>
      <x:c r="R394" s="6" t="str">
        <x:v>1.4019999999999975</x:v>
      </x:c>
      <x:c r="S394" s="8" t="str">
        <x:v>2.374157823901332</x:v>
      </x:c>
      <x:c r="T394" s="6" t="str">
        <x:v>-0.18900000000000716</x:v>
      </x:c>
      <x:c r="U394" s="8" t="str">
        <x:v>-0.07977334197548618</x:v>
      </x:c>
      <x:c r="V394" s="6" t="str">
        <x:v>-15.240000000000002</x:v>
      </x:c>
      <x:c r="W394" s="8" t="str">
        <x:v>-0.28007169693551626</x:v>
      </x:c>
      <x:c r="X394" s="6" t="str">
        <x:v>1.272359934044858</x:v>
      </x:c>
      <x:c r="Y394" s="6" t="str">
        <x:v>0.8801115693951613</x:v>
      </x:c>
      <x:c r="Z394" s="6" t="str">
        <x:v>1.5088764424471173</x:v>
      </x:c>
      <x:c r="AA394" s="6" t="str">
        <x:v>0.2952905039286181</x:v>
      </x:c>
      <x:c r="AB394" s="6" t="str">
        <x:v>0.4612896204785743</x:v>
      </x:c>
      <x:c r="AC394" s="6" t="str">
        <x:v>0.22560226081056903</x:v>
      </x:c>
      <x:c r="AD394" s="6" t="str">
        <x:v>-0.6869486599418229</x:v>
      </x:c>
      <x:c r="AE394" s="6" t="str">
        <x:v>0.38392042278305666</x:v>
      </x:c>
      <x:c r="AF394" s="6" t="str">
        <x:v>-0.19436664469809442</x:v>
      </x:c>
      <x:c r="AG394" s="6" t="str">
        <x:v>0</x:v>
      </x:c>
      <x:c r="AH394" s="6" t="str">
        <x:v>1</x:v>
      </x:c>
      <x:c r="AI394" s="6" t="str">
        <x:v>2024-09</x:v>
      </x:c>
      <x:c r="AJ394" s="9" t="str">
        <x:v>NASA POWER (MERRA-2 meteorology)</x:v>
      </x:c>
      <x:c r="AK394" s="9" t="str">
        <x:v>Badan Informasi Geospasial (BIG)</x:v>
      </x:c>
      <x:c r="AL394" s="9" t="str">
        <x:v>https://power.larc.nasa.gov/docs/services/api/temporal/monthly/</x:v>
      </x:c>
      <x:c r="AM394" s="9" t="str">
        <x:v>https://geoservices.big.go.id/rbi/rest/services/BATASWILAYAH/BATAS_WILAYAH/MapServer/12</x:v>
      </x:c>
    </x:row>
    <x:row r="395" ht="18" customHeight="1">
      <x:c r="A395" s="6" t="str">
        <x:v>51</x:v>
      </x:c>
      <x:c r="B395" s="6" t="str">
        <x:v>BALI</x:v>
      </x:c>
      <x:c r="C395" s="6" t="str">
        <x:v>2024</x:v>
      </x:c>
      <x:c r="D395" s="6" t="str">
        <x:v>10</x:v>
      </x:c>
      <x:c r="E395" s="6" t="str">
        <x:v>26.75</x:v>
      </x:c>
      <x:c r="F395" s="9" t="str">
        <x:v>grid_cells_within_BIG_polygon</x:v>
      </x:c>
      <x:c r="G395" s="6" t="str">
        <x:v>1</x:v>
      </x:c>
      <x:c r="H395" s="8" t="str">
        <x:v>77.25</x:v>
      </x:c>
      <x:c r="I395" s="6" t="str">
        <x:v>2.64</x:v>
      </x:c>
      <x:c r="J395" s="6" t="str">
        <x:v>31</x:v>
      </x:c>
      <x:c r="K395" s="6" t="str">
        <x:v>81.84</x:v>
      </x:c>
      <x:c r="L395" s="6" t="str">
        <x:v>25.559</x:v>
      </x:c>
      <x:c r="M395" s="6" t="str">
        <x:v>0.3549390428481074</x:v>
      </x:c>
      <x:c r="N395" s="6" t="str">
        <x:v>78.79233333333333</x:v>
      </x:c>
      <x:c r="O395" s="6" t="str">
        <x:v>3.387376854444009</x:v>
      </x:c>
      <x:c r="P395" s="6" t="str">
        <x:v>71.455</x:v>
      </x:c>
      <x:c r="Q395" s="6" t="str">
        <x:v>71.40740822911863</x:v>
      </x:c>
      <x:c r="R395" s="6" t="str">
        <x:v>1.190999999999999</x:v>
      </x:c>
      <x:c r="S395" s="8" t="str">
        <x:v>3.3555057523206187</x:v>
      </x:c>
      <x:c r="T395" s="6" t="str">
        <x:v>-1.5423333333333318</x:v>
      </x:c>
      <x:c r="U395" s="8" t="str">
        <x:v>-0.4553179051542183</x:v>
      </x:c>
      <x:c r="V395" s="6" t="str">
        <x:v>10.385000000000005</x:v>
      </x:c>
      <x:c r="W395" s="8" t="str">
        <x:v>0.14543308961275522</x:v>
      </x:c>
      <x:c r="X395" s="6" t="str">
        <x:v>2.374157823901332</x:v>
      </x:c>
      <x:c r="Y395" s="6" t="str">
        <x:v>1.272359934044858</x:v>
      </x:c>
      <x:c r="Z395" s="6" t="str">
        <x:v>2.334007836755603</x:v>
      </x:c>
      <x:c r="AA395" s="6" t="str">
        <x:v>-0.07977334197548618</x:v>
      </x:c>
      <x:c r="AB395" s="6" t="str">
        <x:v>0.2952905039286181</x:v>
      </x:c>
      <x:c r="AC395" s="6" t="str">
        <x:v>-0.07993358106702851</x:v>
      </x:c>
      <x:c r="AD395" s="6" t="str">
        <x:v>-0.28007169693551626</x:v>
      </x:c>
      <x:c r="AE395" s="6" t="str">
        <x:v>-0.6869486599418229</x:v>
      </x:c>
      <x:c r="AF395" s="6" t="str">
        <x:v>-0.27386242242152825</x:v>
      </x:c>
      <x:c r="AG395" s="6" t="str">
        <x:v>0</x:v>
      </x:c>
      <x:c r="AH395" s="6" t="str">
        <x:v>1</x:v>
      </x:c>
      <x:c r="AI395" s="6" t="str">
        <x:v>2024-10</x:v>
      </x:c>
      <x:c r="AJ395" s="9" t="str">
        <x:v>NASA POWER (MERRA-2 meteorology)</x:v>
      </x:c>
      <x:c r="AK395" s="9" t="str">
        <x:v>Badan Informasi Geospasial (BIG)</x:v>
      </x:c>
      <x:c r="AL395" s="9" t="str">
        <x:v>https://power.larc.nasa.gov/docs/services/api/temporal/monthly/</x:v>
      </x:c>
      <x:c r="AM395" s="9" t="str">
        <x:v>https://geoservices.big.go.id/rbi/rest/services/BATASWILAYAH/BATAS_WILAYAH/MapServer/12</x:v>
      </x:c>
    </x:row>
    <x:row r="396" ht="18" customHeight="1">
      <x:c r="A396" s="6" t="str">
        <x:v>51</x:v>
      </x:c>
      <x:c r="B396" s="6" t="str">
        <x:v>BALI</x:v>
      </x:c>
      <x:c r="C396" s="6" t="str">
        <x:v>2024</x:v>
      </x:c>
      <x:c r="D396" s="6" t="str">
        <x:v>11</x:v>
      </x:c>
      <x:c r="E396" s="6" t="str">
        <x:v>27.15</x:v>
      </x:c>
      <x:c r="F396" s="9" t="str">
        <x:v>grid_cells_within_BIG_polygon</x:v>
      </x:c>
      <x:c r="G396" s="6" t="str">
        <x:v>1</x:v>
      </x:c>
      <x:c r="H396" s="8" t="str">
        <x:v>80.72</x:v>
      </x:c>
      <x:c r="I396" s="6" t="str">
        <x:v>4.04</x:v>
      </x:c>
      <x:c r="J396" s="6" t="str">
        <x:v>30</x:v>
      </x:c>
      <x:c r="K396" s="6" t="str">
        <x:v>121.2</x:v>
      </x:c>
      <x:c r="L396" s="6" t="str">
        <x:v>26.172</x:v>
      </x:c>
      <x:c r="M396" s="6" t="str">
        <x:v>0.48140885197368377</x:v>
      </x:c>
      <x:c r="N396" s="6" t="str">
        <x:v>80.66799999999999</x:v>
      </x:c>
      <x:c r="O396" s="6" t="str">
        <x:v>3.601598687173278</x:v>
      </x:c>
      <x:c r="P396" s="6" t="str">
        <x:v>140.51000000000002</x:v>
      </x:c>
      <x:c r="Q396" s="6" t="str">
        <x:v>79.79877429704258</x:v>
      </x:c>
      <x:c r="R396" s="6" t="str">
        <x:v>0.977999999999998</x:v>
      </x:c>
      <x:c r="S396" s="8" t="str">
        <x:v>2.0315372182924887</x:v>
      </x:c>
      <x:c r="T396" s="6" t="str">
        <x:v>0.05200000000000671</x:v>
      </x:c>
      <x:c r="U396" s="8" t="str">
        <x:v>0.014438032806153373</x:v>
      </x:c>
      <x:c r="V396" s="6" t="str">
        <x:v>-19.310000000000016</x:v>
      </x:c>
      <x:c r="W396" s="8" t="str">
        <x:v>-0.24198366666786839</x:v>
      </x:c>
      <x:c r="X396" s="6" t="str">
        <x:v>3.3555057523206187</x:v>
      </x:c>
      <x:c r="Y396" s="6" t="str">
        <x:v>2.374157823901332</x:v>
      </x:c>
      <x:c r="Z396" s="6" t="str">
        <x:v>2.5870669315048134</x:v>
      </x:c>
      <x:c r="AA396" s="6" t="str">
        <x:v>-0.4553179051542183</x:v>
      </x:c>
      <x:c r="AB396" s="6" t="str">
        <x:v>-0.07977334197548618</x:v>
      </x:c>
      <x:c r="AC396" s="6" t="str">
        <x:v>-0.1735510714411834</x:v>
      </x:c>
      <x:c r="AD396" s="6" t="str">
        <x:v>0.14543308961275522</x:v>
      </x:c>
      <x:c r="AE396" s="6" t="str">
        <x:v>-0.28007169693551626</x:v>
      </x:c>
      <x:c r="AF396" s="6" t="str">
        <x:v>-0.12554075799687678</x:v>
      </x:c>
      <x:c r="AG396" s="6" t="str">
        <x:v>0</x:v>
      </x:c>
      <x:c r="AH396" s="6" t="str">
        <x:v>1</x:v>
      </x:c>
      <x:c r="AI396" s="6" t="str">
        <x:v>2024-11</x:v>
      </x:c>
      <x:c r="AJ396" s="9" t="str">
        <x:v>NASA POWER (MERRA-2 meteorology)</x:v>
      </x:c>
      <x:c r="AK396" s="9" t="str">
        <x:v>Badan Informasi Geospasial (BIG)</x:v>
      </x:c>
      <x:c r="AL396" s="9" t="str">
        <x:v>https://power.larc.nasa.gov/docs/services/api/temporal/monthly/</x:v>
      </x:c>
      <x:c r="AM396" s="9" t="str">
        <x:v>https://geoservices.big.go.id/rbi/rest/services/BATASWILAYAH/BATAS_WILAYAH/MapServer/12</x:v>
      </x:c>
    </x:row>
    <x:row r="397" ht="18" customHeight="1">
      <x:c r="A397" s="6" t="str">
        <x:v>51</x:v>
      </x:c>
      <x:c r="B397" s="6" t="str">
        <x:v>BALI</x:v>
      </x:c>
      <x:c r="C397" s="6" t="str">
        <x:v>2024</x:v>
      </x:c>
      <x:c r="D397" s="6" t="str">
        <x:v>12</x:v>
      </x:c>
      <x:c r="E397" s="6" t="str">
        <x:v>26.08</x:v>
      </x:c>
      <x:c r="F397" s="9" t="str">
        <x:v>grid_cells_within_BIG_polygon</x:v>
      </x:c>
      <x:c r="G397" s="6" t="str">
        <x:v>1</x:v>
      </x:c>
      <x:c r="H397" s="8" t="str">
        <x:v>86.66</x:v>
      </x:c>
      <x:c r="I397" s="6" t="str">
        <x:v>17.83</x:v>
      </x:c>
      <x:c r="J397" s="6" t="str">
        <x:v>31</x:v>
      </x:c>
      <x:c r="K397" s="6" t="str">
        <x:v>552.7299999999999</x:v>
      </x:c>
      <x:c r="L397" s="6" t="str">
        <x:v>25.775</x:v>
      </x:c>
      <x:c r="M397" s="6" t="str">
        <x:v>0.5421015937359308</x:v>
      </x:c>
      <x:c r="N397" s="6" t="str">
        <x:v>83.787</x:v>
      </x:c>
      <x:c r="O397" s="6" t="str">
        <x:v>2.7477917779869028</x:v>
      </x:c>
      <x:c r="P397" s="6" t="str">
        <x:v>252.47433333333336</x:v>
      </x:c>
      <x:c r="Q397" s="6" t="str">
        <x:v>102.26587433248935</x:v>
      </x:c>
      <x:c r="R397" s="6" t="str">
        <x:v>0.3049999999999997</x:v>
      </x:c>
      <x:c r="S397" s="8" t="str">
        <x:v>0.5626251675411449</x:v>
      </x:c>
      <x:c r="T397" s="6" t="str">
        <x:v>2.8729999999999905</x:v>
      </x:c>
      <x:c r="U397" s="8" t="str">
        <x:v>1.0455668522688493</x:v>
      </x:c>
      <x:c r="V397" s="6" t="str">
        <x:v>300.25566666666657</x:v>
      </x:c>
      <x:c r="W397" s="8" t="str">
        <x:v>2.9360299183525083</x:v>
      </x:c>
      <x:c r="X397" s="6" t="str">
        <x:v>2.0315372182924887</x:v>
      </x:c>
      <x:c r="Y397" s="6" t="str">
        <x:v>3.3555057523206187</x:v>
      </x:c>
      <x:c r="Z397" s="6" t="str">
        <x:v>1.9832227127180844</x:v>
      </x:c>
      <x:c r="AA397" s="6" t="str">
        <x:v>0.014438032806153373</x:v>
      </x:c>
      <x:c r="AB397" s="6" t="str">
        <x:v>-0.4553179051542183</x:v>
      </x:c>
      <x:c r="AC397" s="6" t="str">
        <x:v>0.20156232664026175</x:v>
      </x:c>
      <x:c r="AD397" s="6" t="str">
        <x:v>-0.24198366666786839</x:v>
      </x:c>
      <x:c r="AE397" s="6" t="str">
        <x:v>0.14543308961275522</x:v>
      </x:c>
      <x:c r="AF397" s="6" t="str">
        <x:v>0.946493113765798</x:v>
      </x:c>
      <x:c r="AG397" s="6" t="str">
        <x:v>1</x:v>
      </x:c>
      <x:c r="AH397" s="6" t="str">
        <x:v>0</x:v>
      </x:c>
      <x:c r="AI397" s="6" t="str">
        <x:v>2024-12</x:v>
      </x:c>
      <x:c r="AJ397" s="9" t="str">
        <x:v>NASA POWER (MERRA-2 meteorology)</x:v>
      </x:c>
      <x:c r="AK397" s="9" t="str">
        <x:v>Badan Informasi Geospasial (BIG)</x:v>
      </x:c>
      <x:c r="AL397" s="9" t="str">
        <x:v>https://power.larc.nasa.gov/docs/services/api/temporal/monthly/</x:v>
      </x:c>
      <x:c r="AM397" s="9" t="str">
        <x:v>https://geoservices.big.go.id/rbi/rest/services/BATASWILAYAH/BATAS_WILAYAH/MapServer/12</x:v>
      </x:c>
    </x:row>
    <x:row r="398" ht="18" customHeight="1">
      <x:c r="A398" s="6" t="str">
        <x:v>51</x:v>
      </x:c>
      <x:c r="B398" s="6" t="str">
        <x:v>BALI</x:v>
      </x:c>
      <x:c r="C398" s="6" t="str">
        <x:v>2025</x:v>
      </x:c>
      <x:c r="D398" s="6" t="str">
        <x:v>1</x:v>
      </x:c>
      <x:c r="E398" s="6" t="str">
        <x:v>25.45</x:v>
      </x:c>
      <x:c r="F398" s="9" t="str">
        <x:v>grid_cells_within_BIG_polygon</x:v>
      </x:c>
      <x:c r="G398" s="6" t="str">
        <x:v>1</x:v>
      </x:c>
      <x:c r="H398" s="8" t="str">
        <x:v>88.74</x:v>
      </x:c>
      <x:c r="I398" s="6" t="str">
        <x:v>12.72</x:v>
      </x:c>
      <x:c r="J398" s="6" t="str">
        <x:v>31</x:v>
      </x:c>
      <x:c r="K398" s="6" t="str">
        <x:v>394.32</x:v>
      </x:c>
      <x:c r="L398" s="6" t="str">
        <x:v>25.472666666666665</x:v>
      </x:c>
      <x:c r="M398" s="6" t="str">
        <x:v>0.5204502913315797</x:v>
      </x:c>
      <x:c r="N398" s="6" t="str">
        <x:v>85.88966666666667</x:v>
      </x:c>
      <x:c r="O398" s="6" t="str">
        <x:v>2.603731385230968</x:v>
      </x:c>
      <x:c r="P398" s="6" t="str">
        <x:v>309.95866666666666</x:v>
      </x:c>
      <x:c r="Q398" s="6" t="str">
        <x:v>112.12312329520287</x:v>
      </x:c>
      <x:c r="R398" s="6" t="str">
        <x:v>-0.022666666666665947</x:v>
      </x:c>
      <x:c r="S398" s="8" t="str">
        <x:v>-0.04355202993291241</x:v>
      </x:c>
      <x:c r="T398" s="6" t="str">
        <x:v>2.8503333333333245</x:v>
      </x:c>
      <x:c r="U398" s="8" t="str">
        <x:v>1.094710978828748</x:v>
      </x:c>
      <x:c r="V398" s="6" t="str">
        <x:v>84.36133333333333</x:v>
      </x:c>
      <x:c r="W398" s="8" t="str">
        <x:v>0.7523990667939473</x:v>
      </x:c>
      <x:c r="X398" s="6" t="str">
        <x:v>0.5626251675411449</x:v>
      </x:c>
      <x:c r="Y398" s="6" t="str">
        <x:v>2.0315372182924887</x:v>
      </x:c>
      <x:c r="Z398" s="6" t="str">
        <x:v>0.8502034519669074</x:v>
      </x:c>
      <x:c r="AA398" s="6" t="str">
        <x:v>1.0455668522688493</x:v>
      </x:c>
      <x:c r="AB398" s="6" t="str">
        <x:v>0.014438032806153373</x:v>
      </x:c>
      <x:c r="AC398" s="6" t="str">
        <x:v>0.7182386213012505</x:v>
      </x:c>
      <x:c r="AD398" s="6" t="str">
        <x:v>2.9360299183525083</x:v>
      </x:c>
      <x:c r="AE398" s="6" t="str">
        <x:v>-0.24198366666786839</x:v>
      </x:c>
      <x:c r="AF398" s="6" t="str">
        <x:v>1.1488151061595289</x:v>
      </x:c>
      <x:c r="AG398" s="6" t="str">
        <x:v>0</x:v>
      </x:c>
      <x:c r="AH398" s="6" t="str">
        <x:v>0</x:v>
      </x:c>
      <x:c r="AI398" s="6" t="str">
        <x:v>2025-01</x:v>
      </x:c>
      <x:c r="AJ398" s="9" t="str">
        <x:v>NASA POWER (MERRA-2 meteorology)</x:v>
      </x:c>
      <x:c r="AK398" s="9" t="str">
        <x:v>Badan Informasi Geospasial (BIG)</x:v>
      </x:c>
      <x:c r="AL398" s="9" t="str">
        <x:v>https://power.larc.nasa.gov/docs/services/api/temporal/monthly/</x:v>
      </x:c>
      <x:c r="AM398" s="9" t="str">
        <x:v>https://geoservices.big.go.id/rbi/rest/services/BATASWILAYAH/BATAS_WILAYAH/MapServer/12</x:v>
      </x:c>
    </x:row>
    <x:row r="399" ht="18" customHeight="1">
      <x:c r="A399" s="6" t="str">
        <x:v>51</x:v>
      </x:c>
      <x:c r="B399" s="6" t="str">
        <x:v>BALI</x:v>
      </x:c>
      <x:c r="C399" s="6" t="str">
        <x:v>2025</x:v>
      </x:c>
      <x:c r="D399" s="6" t="str">
        <x:v>2</x:v>
      </x:c>
      <x:c r="E399" s="6" t="str">
        <x:v>25.78</x:v>
      </x:c>
      <x:c r="F399" s="9" t="str">
        <x:v>grid_cells_within_BIG_polygon</x:v>
      </x:c>
      <x:c r="G399" s="6" t="str">
        <x:v>1</x:v>
      </x:c>
      <x:c r="H399" s="8" t="str">
        <x:v>87.53</x:v>
      </x:c>
      <x:c r="I399" s="6" t="str">
        <x:v>9.5</x:v>
      </x:c>
      <x:c r="J399" s="6" t="str">
        <x:v>28</x:v>
      </x:c>
      <x:c r="K399" s="6" t="str">
        <x:v>266.0</x:v>
      </x:c>
      <x:c r="L399" s="6" t="str">
        <x:v>25.386333333333333</x:v>
      </x:c>
      <x:c r="M399" s="6" t="str">
        <x:v>0.5379686142193223</x:v>
      </x:c>
      <x:c r="N399" s="6" t="str">
        <x:v>86.67233333333334</x:v>
      </x:c>
      <x:c r="O399" s="6" t="str">
        <x:v>2.272823981432505</x:v>
      </x:c>
      <x:c r="P399" s="6" t="str">
        <x:v>250.37199999999999</x:v>
      </x:c>
      <x:c r="Q399" s="6" t="str">
        <x:v>80.40813474887416</x:v>
      </x:c>
      <x:c r="R399" s="6" t="str">
        <x:v>0.39366666666666816</x:v>
      </x:c>
      <x:c r="S399" s="8" t="str">
        <x:v>0.7317651183758013</x:v>
      </x:c>
      <x:c r="T399" s="6" t="str">
        <x:v>0.8576666666666597</x:v>
      </x:c>
      <x:c r="U399" s="8" t="str">
        <x:v>0.3773572760905548</x:v>
      </x:c>
      <x:c r="V399" s="6" t="str">
        <x:v>15.628000000000014</x:v>
      </x:c>
      <x:c r="W399" s="8" t="str">
        <x:v>0.19435844456295923</x:v>
      </x:c>
      <x:c r="X399" s="6" t="str">
        <x:v>-0.04355202993291241</x:v>
      </x:c>
      <x:c r="Y399" s="6" t="str">
        <x:v>0.5626251675411449</x:v>
      </x:c>
      <x:c r="Z399" s="6" t="str">
        <x:v>0.4169460853280116</x:v>
      </x:c>
      <x:c r="AA399" s="6" t="str">
        <x:v>1.094710978828748</x:v>
      </x:c>
      <x:c r="AB399" s="6" t="str">
        <x:v>1.0455668522688493</x:v>
      </x:c>
      <x:c r="AC399" s="6" t="str">
        <x:v>0.8392117023960509</x:v>
      </x:c>
      <x:c r="AD399" s="6" t="str">
        <x:v>0.7523990667939473</x:v>
      </x:c>
      <x:c r="AE399" s="6" t="str">
        <x:v>2.9360299183525083</x:v>
      </x:c>
      <x:c r="AF399" s="6" t="str">
        <x:v>1.2942624765698045</x:v>
      </x:c>
      <x:c r="AG399" s="6" t="str">
        <x:v>0</x:v>
      </x:c>
      <x:c r="AH399" s="6" t="str">
        <x:v>0</x:v>
      </x:c>
      <x:c r="AI399" s="6" t="str">
        <x:v>2025-02</x:v>
      </x:c>
      <x:c r="AJ399" s="9" t="str">
        <x:v>NASA POWER (MERRA-2 meteorology)</x:v>
      </x:c>
      <x:c r="AK399" s="9" t="str">
        <x:v>Badan Informasi Geospasial (BIG)</x:v>
      </x:c>
      <x:c r="AL399" s="9" t="str">
        <x:v>https://power.larc.nasa.gov/docs/services/api/temporal/monthly/</x:v>
      </x:c>
      <x:c r="AM399" s="9" t="str">
        <x:v>https://geoservices.big.go.id/rbi/rest/services/BATASWILAYAH/BATAS_WILAYAH/MapServer/12</x:v>
      </x:c>
    </x:row>
    <x:row r="400" ht="18" customHeight="1">
      <x:c r="A400" s="6" t="str">
        <x:v>51</x:v>
      </x:c>
      <x:c r="B400" s="6" t="str">
        <x:v>BALI</x:v>
      </x:c>
      <x:c r="C400" s="6" t="str">
        <x:v>2025</x:v>
      </x:c>
      <x:c r="D400" s="6" t="str">
        <x:v>3</x:v>
      </x:c>
      <x:c r="E400" s="6" t="str">
        <x:v>25.99</x:v>
      </x:c>
      <x:c r="F400" s="9" t="str">
        <x:v>grid_cells_within_BIG_polygon</x:v>
      </x:c>
      <x:c r="G400" s="6" t="str">
        <x:v>1</x:v>
      </x:c>
      <x:c r="H400" s="8" t="str">
        <x:v>86.73</x:v>
      </x:c>
      <x:c r="I400" s="6" t="str">
        <x:v>9.93</x:v>
      </x:c>
      <x:c r="J400" s="6" t="str">
        <x:v>31</x:v>
      </x:c>
      <x:c r="K400" s="6" t="str">
        <x:v>307.83</x:v>
      </x:c>
      <x:c r="L400" s="6" t="str">
        <x:v>25.552666666666667</x:v>
      </x:c>
      <x:c r="M400" s="6" t="str">
        <x:v>0.5033538094335477</x:v>
      </x:c>
      <x:c r="N400" s="6" t="str">
        <x:v>85.739</x:v>
      </x:c>
      <x:c r="O400" s="6" t="str">
        <x:v>2.1414583332634445</x:v>
      </x:c>
      <x:c r="P400" s="6" t="str">
        <x:v>189.689</x:v>
      </x:c>
      <x:c r="Q400" s="6" t="str">
        <x:v>80.20823202871645</x:v>
      </x:c>
      <x:c r="R400" s="6" t="str">
        <x:v>0.43733333333333135</x:v>
      </x:c>
      <x:c r="S400" s="8" t="str">
        <x:v>0.8688388269584909</x:v>
      </x:c>
      <x:c r="T400" s="6" t="str">
        <x:v>0.9909999999999997</x:v>
      </x:c>
      <x:c r="U400" s="8" t="str">
        <x:v>0.46276875183921024</x:v>
      </x:c>
      <x:c r="V400" s="6" t="str">
        <x:v>118.14099999999999</x:v>
      </x:c>
      <x:c r="W400" s="8" t="str">
        <x:v>1.4729286135829887</x:v>
      </x:c>
      <x:c r="X400" s="6" t="str">
        <x:v>0.7317651183758013</x:v>
      </x:c>
      <x:c r="Y400" s="6" t="str">
        <x:v>-0.04355202993291241</x:v>
      </x:c>
      <x:c r="Z400" s="6" t="str">
        <x:v>0.5190173051337935</x:v>
      </x:c>
      <x:c r="AA400" s="6" t="str">
        <x:v>0.3773572760905548</x:v>
      </x:c>
      <x:c r="AB400" s="6" t="str">
        <x:v>1.094710978828748</x:v>
      </x:c>
      <x:c r="AC400" s="6" t="str">
        <x:v>0.6449456689195047</x:v>
      </x:c>
      <x:c r="AD400" s="6" t="str">
        <x:v>0.19435844456295923</x:v>
      </x:c>
      <x:c r="AE400" s="6" t="str">
        <x:v>0.7523990667939473</x:v>
      </x:c>
      <x:c r="AF400" s="6" t="str">
        <x:v>0.8065620416466315</x:v>
      </x:c>
      <x:c r="AG400" s="6" t="str">
        <x:v>1</x:v>
      </x:c>
      <x:c r="AH400" s="6" t="str">
        <x:v>0</x:v>
      </x:c>
      <x:c r="AI400" s="6" t="str">
        <x:v>2025-03</x:v>
      </x:c>
      <x:c r="AJ400" s="9" t="str">
        <x:v>NASA POWER (MERRA-2 meteorology)</x:v>
      </x:c>
      <x:c r="AK400" s="9" t="str">
        <x:v>Badan Informasi Geospasial (BIG)</x:v>
      </x:c>
      <x:c r="AL400" s="9" t="str">
        <x:v>https://power.larc.nasa.gov/docs/services/api/temporal/monthly/</x:v>
      </x:c>
      <x:c r="AM400" s="9" t="str">
        <x:v>https://geoservices.big.go.id/rbi/rest/services/BATASWILAYAH/BATAS_WILAYAH/MapServer/12</x:v>
      </x:c>
    </x:row>
    <x:row r="401" ht="18" customHeight="1">
      <x:c r="A401" s="6" t="str">
        <x:v>51</x:v>
      </x:c>
      <x:c r="B401" s="6" t="str">
        <x:v>BALI</x:v>
      </x:c>
      <x:c r="C401" s="6" t="str">
        <x:v>2025</x:v>
      </x:c>
      <x:c r="D401" s="6" t="str">
        <x:v>4</x:v>
      </x:c>
      <x:c r="E401" s="6" t="str">
        <x:v>25.79</x:v>
      </x:c>
      <x:c r="F401" s="9" t="str">
        <x:v>grid_cells_within_BIG_polygon</x:v>
      </x:c>
      <x:c r="G401" s="6" t="str">
        <x:v>1</x:v>
      </x:c>
      <x:c r="H401" s="8" t="str">
        <x:v>83.76</x:v>
      </x:c>
      <x:c r="I401" s="6" t="str">
        <x:v>5.52</x:v>
      </x:c>
      <x:c r="J401" s="6" t="str">
        <x:v>30</x:v>
      </x:c>
      <x:c r="K401" s="6" t="str">
        <x:v>165.6</x:v>
      </x:c>
      <x:c r="L401" s="6" t="str">
        <x:v>25.589</x:v>
      </x:c>
      <x:c r="M401" s="6" t="str">
        <x:v>0.4550282295145774</x:v>
      </x:c>
      <x:c r="N401" s="6" t="str">
        <x:v>85.50566666666667</x:v>
      </x:c>
      <x:c r="O401" s="6" t="str">
        <x:v>1.283507272881705</x:v>
      </x:c>
      <x:c r="P401" s="6" t="str">
        <x:v>130.82</x:v>
      </x:c>
      <x:c r="Q401" s="6" t="str">
        <x:v>74.54139511846351</x:v>
      </x:c>
      <x:c r="R401" s="6" t="str">
        <x:v>0.2010000000000005</x:v>
      </x:c>
      <x:c r="S401" s="8" t="str">
        <x:v>0.44173083550096803</x:v>
      </x:c>
      <x:c r="T401" s="6" t="str">
        <x:v>-1.745666666666665</x:v>
      </x:c>
      <x:c r="U401" s="8" t="str">
        <x:v>-1.3600753992981505</x:v>
      </x:c>
      <x:c r="V401" s="6" t="str">
        <x:v>34.78</x:v>
      </x:c>
      <x:c r="W401" s="8" t="str">
        <x:v>0.4665863839109335</x:v>
      </x:c>
      <x:c r="X401" s="6" t="str">
        <x:v>0.8688388269584909</x:v>
      </x:c>
      <x:c r="Y401" s="6" t="str">
        <x:v>0.7317651183758013</x:v>
      </x:c>
      <x:c r="Z401" s="6" t="str">
        <x:v>0.6807782602784204</x:v>
      </x:c>
      <x:c r="AA401" s="6" t="str">
        <x:v>0.46276875183921024</x:v>
      </x:c>
      <x:c r="AB401" s="6" t="str">
        <x:v>0.3773572760905548</x:v>
      </x:c>
      <x:c r="AC401" s="6" t="str">
        <x:v>-0.17331645712279484</x:v>
      </x:c>
      <x:c r="AD401" s="6" t="str">
        <x:v>1.4729286135829887</x:v>
      </x:c>
      <x:c r="AE401" s="6" t="str">
        <x:v>0.19435844456295923</x:v>
      </x:c>
      <x:c r="AF401" s="6" t="str">
        <x:v>0.7112911473522935</x:v>
      </x:c>
      <x:c r="AG401" s="6" t="str">
        <x:v>0</x:v>
      </x:c>
      <x:c r="AH401" s="6" t="str">
        <x:v>0</x:v>
      </x:c>
      <x:c r="AI401" s="6" t="str">
        <x:v>2025-04</x:v>
      </x:c>
      <x:c r="AJ401" s="9" t="str">
        <x:v>NASA POWER (MERRA-2 meteorology)</x:v>
      </x:c>
      <x:c r="AK401" s="9" t="str">
        <x:v>Badan Informasi Geospasial (BIG)</x:v>
      </x:c>
      <x:c r="AL401" s="9" t="str">
        <x:v>https://power.larc.nasa.gov/docs/services/api/temporal/monthly/</x:v>
      </x:c>
      <x:c r="AM401" s="9" t="str">
        <x:v>https://geoservices.big.go.id/rbi/rest/services/BATASWILAYAH/BATAS_WILAYAH/MapServer/12</x:v>
      </x:c>
    </x:row>
    <x:row r="402" ht="18" customHeight="1">
      <x:c r="A402" s="6" t="str">
        <x:v>51</x:v>
      </x:c>
      <x:c r="B402" s="6" t="str">
        <x:v>BALI</x:v>
      </x:c>
      <x:c r="C402" s="6" t="str">
        <x:v>2025</x:v>
      </x:c>
      <x:c r="D402" s="6" t="str">
        <x:v>5</x:v>
      </x:c>
      <x:c r="E402" s="6" t="str">
        <x:v>25.75</x:v>
      </x:c>
      <x:c r="F402" s="9" t="str">
        <x:v>grid_cells_within_BIG_polygon</x:v>
      </x:c>
      <x:c r="G402" s="6" t="str">
        <x:v>1</x:v>
      </x:c>
      <x:c r="H402" s="8" t="str">
        <x:v>87.65999999999998</x:v>
      </x:c>
      <x:c r="I402" s="6" t="str">
        <x:v>4.99</x:v>
      </x:c>
      <x:c r="J402" s="6" t="str">
        <x:v>31</x:v>
      </x:c>
      <x:c r="K402" s="6" t="str">
        <x:v>154.69</x:v>
      </x:c>
      <x:c r="L402" s="6" t="str">
        <x:v>24.99866666666667</x:v>
      </x:c>
      <x:c r="M402" s="6" t="str">
        <x:v>0.563130004793609</x:v>
      </x:c>
      <x:c r="N402" s="6" t="str">
        <x:v>84.76266666666668</x:v>
      </x:c>
      <x:c r="O402" s="6" t="str">
        <x:v>1.7277889664665835</x:v>
      </x:c>
      <x:c r="P402" s="6" t="str">
        <x:v>74.38966666666667</x:v>
      </x:c>
      <x:c r="Q402" s="6" t="str">
        <x:v>54.50740604429971</x:v>
      </x:c>
      <x:c r="R402" s="6" t="str">
        <x:v>0.7513333333333314</x:v>
      </x:c>
      <x:c r="S402" s="8" t="str">
        <x:v>1.3342093778304358</x:v>
      </x:c>
      <x:c r="T402" s="6" t="str">
        <x:v>2.8973333333333073</x:v>
      </x:c>
      <x:c r="U402" s="8" t="str">
        <x:v>1.6769023240485796</x:v>
      </x:c>
      <x:c r="V402" s="6" t="str">
        <x:v>80.30033333333333</x:v>
      </x:c>
      <x:c r="W402" s="8" t="str">
        <x:v>1.4732004173537625</x:v>
      </x:c>
      <x:c r="X402" s="6" t="str">
        <x:v>0.44173083550096803</x:v>
      </x:c>
      <x:c r="Y402" s="6" t="str">
        <x:v>0.8688388269584909</x:v>
      </x:c>
      <x:c r="Z402" s="6" t="str">
        <x:v>0.8815930134299652</x:v>
      </x:c>
      <x:c r="AA402" s="6" t="str">
        <x:v>-1.3600753992981505</x:v>
      </x:c>
      <x:c r="AB402" s="6" t="str">
        <x:v>0.46276875183921024</x:v>
      </x:c>
      <x:c r="AC402" s="6" t="str">
        <x:v>0.2598652255298801</x:v>
      </x:c>
      <x:c r="AD402" s="6" t="str">
        <x:v>0.4665863839109335</x:v>
      </x:c>
      <x:c r="AE402" s="6" t="str">
        <x:v>1.4729286135829887</x:v>
      </x:c>
      <x:c r="AF402" s="6" t="str">
        <x:v>1.1375718049492278</x:v>
      </x:c>
      <x:c r="AG402" s="6" t="str">
        <x:v>1</x:v>
      </x:c>
      <x:c r="AH402" s="6" t="str">
        <x:v>1</x:v>
      </x:c>
      <x:c r="AI402" s="6" t="str">
        <x:v>2025-05</x:v>
      </x:c>
      <x:c r="AJ402" s="9" t="str">
        <x:v>NASA POWER (MERRA-2 meteorology)</x:v>
      </x:c>
      <x:c r="AK402" s="9" t="str">
        <x:v>Badan Informasi Geospasial (BIG)</x:v>
      </x:c>
      <x:c r="AL402" s="9" t="str">
        <x:v>https://power.larc.nasa.gov/docs/services/api/temporal/monthly/</x:v>
      </x:c>
      <x:c r="AM402" s="9" t="str">
        <x:v>https://geoservices.big.go.id/rbi/rest/services/BATASWILAYAH/BATAS_WILAYAH/MapServer/12</x:v>
      </x:c>
    </x:row>
    <x:row r="403" ht="18" customHeight="1">
      <x:c r="A403" s="6" t="str">
        <x:v>51</x:v>
      </x:c>
      <x:c r="B403" s="6" t="str">
        <x:v>BALI</x:v>
      </x:c>
      <x:c r="C403" s="6" t="str">
        <x:v>2025</x:v>
      </x:c>
      <x:c r="D403" s="6" t="str">
        <x:v>6</x:v>
      </x:c>
      <x:c r="E403" s="6" t="str">
        <x:v>24.91</x:v>
      </x:c>
      <x:c r="F403" s="9" t="str">
        <x:v>grid_cells_within_BIG_polygon</x:v>
      </x:c>
      <x:c r="G403" s="6" t="str">
        <x:v>1</x:v>
      </x:c>
      <x:c r="H403" s="8" t="str">
        <x:v>85.93</x:v>
      </x:c>
      <x:c r="I403" s="6" t="str">
        <x:v>3.65</x:v>
      </x:c>
      <x:c r="J403" s="6" t="str">
        <x:v>30</x:v>
      </x:c>
      <x:c r="K403" s="6" t="str">
        <x:v>109.5</x:v>
      </x:c>
      <x:c r="L403" s="6" t="str">
        <x:v>24.244333333333334</x:v>
      </x:c>
      <x:c r="M403" s="6" t="str">
        <x:v>0.7138418801702914</x:v>
      </x:c>
      <x:c r="N403" s="6" t="str">
        <x:v>84.42366666666666</x:v>
      </x:c>
      <x:c r="O403" s="6" t="str">
        <x:v>1.740597367400712</x:v>
      </x:c>
      <x:c r="P403" s="6" t="str">
        <x:v>47.1</x:v>
      </x:c>
      <x:c r="Q403" s="6" t="str">
        <x:v>47.98680853217318</x:v>
      </x:c>
      <x:c r="R403" s="6" t="str">
        <x:v>0.6656666666666666</x:v>
      </x:c>
      <x:c r="S403" s="8" t="str">
        <x:v>0.9325127667038361</x:v>
      </x:c>
      <x:c r="T403" s="6" t="str">
        <x:v>1.5063333333333446</x:v>
      </x:c>
      <x:c r="U403" s="8" t="str">
        <x:v>0.8654117037892565</x:v>
      </x:c>
      <x:c r="V403" s="6" t="str">
        <x:v>62.4</x:v>
      </x:c>
      <x:c r="W403" s="8" t="str">
        <x:v>1.300357367132748</x:v>
      </x:c>
      <x:c r="X403" s="6" t="str">
        <x:v>1.3342093778304358</x:v>
      </x:c>
      <x:c r="Y403" s="6" t="str">
        <x:v>0.44173083550096803</x:v>
      </x:c>
      <x:c r="Z403" s="6" t="str">
        <x:v>0.9028176600117469</x:v>
      </x:c>
      <x:c r="AA403" s="6" t="str">
        <x:v>1.6769023240485796</x:v>
      </x:c>
      <x:c r="AB403" s="6" t="str">
        <x:v>-1.3600753992981505</x:v>
      </x:c>
      <x:c r="AC403" s="6" t="str">
        <x:v>0.3940795428465622</x:v>
      </x:c>
      <x:c r="AD403" s="6" t="str">
        <x:v>1.4732004173537625</x:v>
      </x:c>
      <x:c r="AE403" s="6" t="str">
        <x:v>0.4665863839109335</x:v>
      </x:c>
      <x:c r="AF403" s="6" t="str">
        <x:v>1.080048056132481</x:v>
      </x:c>
      <x:c r="AG403" s="6" t="str">
        <x:v>1</x:v>
      </x:c>
      <x:c r="AH403" s="6" t="str">
        <x:v>0</x:v>
      </x:c>
      <x:c r="AI403" s="6" t="str">
        <x:v>2025-06</x:v>
      </x:c>
      <x:c r="AJ403" s="9" t="str">
        <x:v>NASA POWER (MERRA-2 meteorology)</x:v>
      </x:c>
      <x:c r="AK403" s="9" t="str">
        <x:v>Badan Informasi Geospasial (BIG)</x:v>
      </x:c>
      <x:c r="AL403" s="9" t="str">
        <x:v>https://power.larc.nasa.gov/docs/services/api/temporal/monthly/</x:v>
      </x:c>
      <x:c r="AM403" s="9" t="str">
        <x:v>https://geoservices.big.go.id/rbi/rest/services/BATASWILAYAH/BATAS_WILAYAH/MapServer/12</x:v>
      </x:c>
    </x:row>
    <x:row r="404" ht="18" customHeight="1">
      <x:c r="A404" s="6" t="str">
        <x:v>51</x:v>
      </x:c>
      <x:c r="B404" s="6" t="str">
        <x:v>BALI</x:v>
      </x:c>
      <x:c r="C404" s="6" t="str">
        <x:v>2025</x:v>
      </x:c>
      <x:c r="D404" s="6" t="str">
        <x:v>7</x:v>
      </x:c>
      <x:c r="E404" s="6" t="str">
        <x:v>23.89</x:v>
      </x:c>
      <x:c r="F404" s="9" t="str">
        <x:v>grid_cells_within_BIG_polygon</x:v>
      </x:c>
      <x:c r="G404" s="6" t="str">
        <x:v>1</x:v>
      </x:c>
      <x:c r="H404" s="8" t="str">
        <x:v>86.19</x:v>
      </x:c>
      <x:c r="I404" s="6" t="str">
        <x:v>2.44</x:v>
      </x:c>
      <x:c r="J404" s="6" t="str">
        <x:v>31</x:v>
      </x:c>
      <x:c r="K404" s="6" t="str">
        <x:v>75.64</x:v>
      </x:c>
      <x:c r="L404" s="6" t="str">
        <x:v>23.511000000000003</x:v>
      </x:c>
      <x:c r="M404" s="6" t="str">
        <x:v>0.7260443132671639</x:v>
      </x:c>
      <x:c r="N404" s="6" t="str">
        <x:v>83.03566666666667</x:v>
      </x:c>
      <x:c r="O404" s="6" t="str">
        <x:v>1.7003056182352412</x:v>
      </x:c>
      <x:c r="P404" s="6" t="str">
        <x:v>33.759</x:v>
      </x:c>
      <x:c r="Q404" s="6" t="str">
        <x:v>33.18656482934643</x:v>
      </x:c>
      <x:c r="R404" s="6" t="str">
        <x:v>0.3789999999999978</x:v>
      </x:c>
      <x:c r="S404" s="8" t="str">
        <x:v>0.5220067054785077</x:v>
      </x:c>
      <x:c r="T404" s="6" t="str">
        <x:v>3.1543333333333266</x:v>
      </x:c>
      <x:c r="U404" s="8" t="str">
        <x:v>1.8551566844831289</x:v>
      </x:c>
      <x:c r="V404" s="6" t="str">
        <x:v>41.881</x:v>
      </x:c>
      <x:c r="W404" s="8" t="str">
        <x:v>1.261986596544792</x:v>
      </x:c>
      <x:c r="X404" s="6" t="str">
        <x:v>0.9325127667038361</x:v>
      </x:c>
      <x:c r="Y404" s="6" t="str">
        <x:v>1.3342093778304358</x:v>
      </x:c>
      <x:c r="Z404" s="6" t="str">
        <x:v>0.9295762833375935</x:v>
      </x:c>
      <x:c r="AA404" s="6" t="str">
        <x:v>0.8654117037892565</x:v>
      </x:c>
      <x:c r="AB404" s="6" t="str">
        <x:v>1.6769023240485796</x:v>
      </x:c>
      <x:c r="AC404" s="6" t="str">
        <x:v>1.4658235707736553</x:v>
      </x:c>
      <x:c r="AD404" s="6" t="str">
        <x:v>1.300357367132748</x:v>
      </x:c>
      <x:c r="AE404" s="6" t="str">
        <x:v>1.4732004173537625</x:v>
      </x:c>
      <x:c r="AF404" s="6" t="str">
        <x:v>1.345181460343767</x:v>
      </x:c>
      <x:c r="AG404" s="6" t="str">
        <x:v>1</x:v>
      </x:c>
      <x:c r="AH404" s="6" t="str">
        <x:v>0</x:v>
      </x:c>
      <x:c r="AI404" s="6" t="str">
        <x:v>2025-07</x:v>
      </x:c>
      <x:c r="AJ404" s="9" t="str">
        <x:v>NASA POWER (MERRA-2 meteorology)</x:v>
      </x:c>
      <x:c r="AK404" s="9" t="str">
        <x:v>Badan Informasi Geospasial (BIG)</x:v>
      </x:c>
      <x:c r="AL404" s="9" t="str">
        <x:v>https://power.larc.nasa.gov/docs/services/api/temporal/monthly/</x:v>
      </x:c>
      <x:c r="AM404" s="9" t="str">
        <x:v>https://geoservices.big.go.id/rbi/rest/services/BATASWILAYAH/BATAS_WILAYAH/MapServer/12</x:v>
      </x:c>
    </x:row>
    <x:row r="405" ht="18" customHeight="1">
      <x:c r="A405" s="6" t="str">
        <x:v>51</x:v>
      </x:c>
      <x:c r="B405" s="6" t="str">
        <x:v>BALI</x:v>
      </x:c>
      <x:c r="C405" s="6" t="str">
        <x:v>2025</x:v>
      </x:c>
      <x:c r="D405" s="6" t="str">
        <x:v>8</x:v>
      </x:c>
      <x:c r="E405" s="6" t="str">
        <x:v>24.23</x:v>
      </x:c>
      <x:c r="F405" s="9" t="str">
        <x:v>grid_cells_within_BIG_polygon</x:v>
      </x:c>
      <x:c r="G405" s="6" t="str">
        <x:v>1</x:v>
      </x:c>
      <x:c r="H405" s="8" t="str">
        <x:v>83.93</x:v>
      </x:c>
      <x:c r="I405" s="6" t="str">
        <x:v>0.32</x:v>
      </x:c>
      <x:c r="J405" s="6" t="str">
        <x:v>31</x:v>
      </x:c>
      <x:c r="K405" s="6" t="str">
        <x:v>9.92</x:v>
      </x:c>
      <x:c r="L405" s="6" t="str">
        <x:v>23.484666666666666</x:v>
      </x:c>
      <x:c r="M405" s="6" t="str">
        <x:v>0.632944587286054</x:v>
      </x:c>
      <x:c r="N405" s="6" t="str">
        <x:v>80.97966666666666</x:v>
      </x:c>
      <x:c r="O405" s="6" t="str">
        <x:v>1.795971513738706</x:v>
      </x:c>
      <x:c r="P405" s="6" t="str">
        <x:v>22.32</x:v>
      </x:c>
      <x:c r="Q405" s="6" t="str">
        <x:v>23.917362327180964</x:v>
      </x:c>
      <x:c r="R405" s="6" t="str">
        <x:v>0.7453333333333347</x:v>
      </x:c>
      <x:c r="S405" s="8" t="str">
        <x:v>1.1775649058461537</x:v>
      </x:c>
      <x:c r="T405" s="6" t="str">
        <x:v>2.9503333333333472</x:v>
      </x:c>
      <x:c r="U405" s="8" t="str">
        <x:v>1.6427506287065687</x:v>
      </x:c>
      <x:c r="V405" s="6" t="str">
        <x:v>-12.4</x:v>
      </x:c>
      <x:c r="W405" s="8" t="str">
        <x:v>-0.5184518188240173</x:v>
      </x:c>
      <x:c r="X405" s="6" t="str">
        <x:v>0.5220067054785077</x:v>
      </x:c>
      <x:c r="Y405" s="6" t="str">
        <x:v>0.9325127667038361</x:v>
      </x:c>
      <x:c r="Z405" s="6" t="str">
        <x:v>0.8773614593428327</x:v>
      </x:c>
      <x:c r="AA405" s="6" t="str">
        <x:v>1.8551566844831289</x:v>
      </x:c>
      <x:c r="AB405" s="6" t="str">
        <x:v>0.8654117037892565</x:v>
      </x:c>
      <x:c r="AC405" s="6" t="str">
        <x:v>1.4544396723263182</x:v>
      </x:c>
      <x:c r="AD405" s="6" t="str">
        <x:v>1.261986596544792</x:v>
      </x:c>
      <x:c r="AE405" s="6" t="str">
        <x:v>1.300357367132748</x:v>
      </x:c>
      <x:c r="AF405" s="6" t="str">
        <x:v>0.6812973816178406</x:v>
      </x:c>
      <x:c r="AG405" s="6" t="str">
        <x:v>0</x:v>
      </x:c>
      <x:c r="AH405" s="6" t="str">
        <x:v>1</x:v>
      </x:c>
      <x:c r="AI405" s="6" t="str">
        <x:v>2025-08</x:v>
      </x:c>
      <x:c r="AJ405" s="9" t="str">
        <x:v>NASA POWER (MERRA-2 meteorology)</x:v>
      </x:c>
      <x:c r="AK405" s="9" t="str">
        <x:v>Badan Informasi Geospasial (BIG)</x:v>
      </x:c>
      <x:c r="AL405" s="9" t="str">
        <x:v>https://power.larc.nasa.gov/docs/services/api/temporal/monthly/</x:v>
      </x:c>
      <x:c r="AM405" s="9" t="str">
        <x:v>https://geoservices.big.go.id/rbi/rest/services/BATASWILAYAH/BATAS_WILAYAH/MapServer/12</x:v>
      </x:c>
    </x:row>
    <x:row r="406" ht="18" customHeight="1">
      <x:c r="A406" s="6" t="str">
        <x:v>51</x:v>
      </x:c>
      <x:c r="B406" s="6" t="str">
        <x:v>BALI</x:v>
      </x:c>
      <x:c r="C406" s="6" t="str">
        <x:v>2025</x:v>
      </x:c>
      <x:c r="D406" s="6" t="str">
        <x:v>9</x:v>
      </x:c>
      <x:c r="E406" s="6" t="str">
        <x:v>24.93</x:v>
      </x:c>
      <x:c r="F406" s="9" t="str">
        <x:v>grid_cells_within_BIG_polygon</x:v>
      </x:c>
      <x:c r="G406" s="6" t="str">
        <x:v>1</x:v>
      </x:c>
      <x:c r="H406" s="8" t="str">
        <x:v>84.09</x:v>
      </x:c>
      <x:c r="I406" s="6" t="str">
        <x:v>4.11</x:v>
      </x:c>
      <x:c r="J406" s="6" t="str">
        <x:v>30</x:v>
      </x:c>
      <x:c r="K406" s="6" t="str">
        <x:v>123.30000000000001</x:v>
      </x:c>
      <x:c r="L406" s="6" t="str">
        <x:v>24.348000000000003</x:v>
      </x:c>
      <x:c r="M406" s="6" t="str">
        <x:v>0.590525189979225</x:v>
      </x:c>
      <x:c r="N406" s="6" t="str">
        <x:v>79.509</x:v>
      </x:c>
      <x:c r="O406" s="6" t="str">
        <x:v>2.3692125128477834</x:v>
      </x:c>
      <x:c r="P406" s="6" t="str">
        <x:v>34.14</x:v>
      </x:c>
      <x:c r="Q406" s="6" t="str">
        <x:v>54.41463799003175</x:v>
      </x:c>
      <x:c r="R406" s="6" t="str">
        <x:v>0.5819999999999972</x:v>
      </x:c>
      <x:c r="S406" s="8" t="str">
        <x:v>0.9855633762557569</x:v>
      </x:c>
      <x:c r="T406" s="6" t="str">
        <x:v>4.581000000000003</x:v>
      </x:c>
      <x:c r="U406" s="8" t="str">
        <x:v>1.9335538602629025</x:v>
      </x:c>
      <x:c r="V406" s="6" t="str">
        <x:v>89.16000000000001</x:v>
      </x:c>
      <x:c r="W406" s="8" t="str">
        <x:v>1.6385296915203824</x:v>
      </x:c>
      <x:c r="X406" s="6" t="str">
        <x:v>1.1775649058461537</x:v>
      </x:c>
      <x:c r="Y406" s="6" t="str">
        <x:v>0.5220067054785077</x:v>
      </x:c>
      <x:c r="Z406" s="6" t="str">
        <x:v>0.8950449958601397</x:v>
      </x:c>
      <x:c r="AA406" s="6" t="str">
        <x:v>1.6427506287065687</x:v>
      </x:c>
      <x:c r="AB406" s="6" t="str">
        <x:v>1.8551566844831289</x:v>
      </x:c>
      <x:c r="AC406" s="6" t="str">
        <x:v>1.8104870578175338</x:v>
      </x:c>
      <x:c r="AD406" s="6" t="str">
        <x:v>-0.5184518188240173</x:v>
      </x:c>
      <x:c r="AE406" s="6" t="str">
        <x:v>1.261986596544792</x:v>
      </x:c>
      <x:c r="AF406" s="6" t="str">
        <x:v>0.7940214897470521</x:v>
      </x:c>
      <x:c r="AG406" s="6" t="str">
        <x:v>1</x:v>
      </x:c>
      <x:c r="AH406" s="6" t="str">
        <x:v>0</x:v>
      </x:c>
      <x:c r="AI406" s="6" t="str">
        <x:v>2025-09</x:v>
      </x:c>
      <x:c r="AJ406" s="9" t="str">
        <x:v>NASA POWER (MERRA-2 meteorology)</x:v>
      </x:c>
      <x:c r="AK406" s="9" t="str">
        <x:v>Badan Informasi Geospasial (BIG)</x:v>
      </x:c>
      <x:c r="AL406" s="9" t="str">
        <x:v>https://power.larc.nasa.gov/docs/services/api/temporal/monthly/</x:v>
      </x:c>
      <x:c r="AM406" s="9" t="str">
        <x:v>https://geoservices.big.go.id/rbi/rest/services/BATASWILAYAH/BATAS_WILAYAH/MapServer/12</x:v>
      </x:c>
    </x:row>
    <x:row r="407" ht="18" customHeight="1">
      <x:c r="A407" s="6" t="str">
        <x:v>51</x:v>
      </x:c>
      <x:c r="B407" s="6" t="str">
        <x:v>BALI</x:v>
      </x:c>
      <x:c r="C407" s="6" t="str">
        <x:v>2025</x:v>
      </x:c>
      <x:c r="D407" s="6" t="str">
        <x:v>10</x:v>
      </x:c>
      <x:c r="E407" s="6" t="str">
        <x:v>26.04</x:v>
      </x:c>
      <x:c r="F407" s="9" t="str">
        <x:v>grid_cells_within_BIG_polygon</x:v>
      </x:c>
      <x:c r="G407" s="6" t="str">
        <x:v>1</x:v>
      </x:c>
      <x:c r="H407" s="8" t="str">
        <x:v>84.0</x:v>
      </x:c>
      <x:c r="I407" s="6" t="str">
        <x:v>3.22</x:v>
      </x:c>
      <x:c r="J407" s="6" t="str">
        <x:v>31</x:v>
      </x:c>
      <x:c r="K407" s="6" t="str">
        <x:v>99.82000000000001</x:v>
      </x:c>
      <x:c r="L407" s="6" t="str">
        <x:v>25.559</x:v>
      </x:c>
      <x:c r="M407" s="6" t="str">
        <x:v>0.3549390428481074</x:v>
      </x:c>
      <x:c r="N407" s="6" t="str">
        <x:v>78.79233333333333</x:v>
      </x:c>
      <x:c r="O407" s="6" t="str">
        <x:v>3.387376854444009</x:v>
      </x:c>
      <x:c r="P407" s="6" t="str">
        <x:v>71.455</x:v>
      </x:c>
      <x:c r="Q407" s="6" t="str">
        <x:v>71.40740822911863</x:v>
      </x:c>
      <x:c r="R407" s="6" t="str">
        <x:v>0.4809999999999981</x:v>
      </x:c>
      <x:c r="S407" s="8" t="str">
        <x:v>1.355162272767601</x:v>
      </x:c>
      <x:c r="T407" s="6" t="str">
        <x:v>5.207666666666668</x:v>
      </x:c>
      <x:c r="U407" s="8" t="str">
        <x:v>1.5373744612544549</x:v>
      </x:c>
      <x:c r="V407" s="6" t="str">
        <x:v>28.36500000000001</x:v>
      </x:c>
      <x:c r="W407" s="8" t="str">
        <x:v>0.3972276925243911</x:v>
      </x:c>
      <x:c r="X407" s="6" t="str">
        <x:v>0.9855633762557569</x:v>
      </x:c>
      <x:c r="Y407" s="6" t="str">
        <x:v>1.1775649058461537</x:v>
      </x:c>
      <x:c r="Z407" s="6" t="str">
        <x:v>1.1727635182898375</x:v>
      </x:c>
      <x:c r="AA407" s="6" t="str">
        <x:v>1.9335538602629025</x:v>
      </x:c>
      <x:c r="AB407" s="6" t="str">
        <x:v>1.6427506287065687</x:v>
      </x:c>
      <x:c r="AC407" s="6" t="str">
        <x:v>1.7045596500746425</x:v>
      </x:c>
      <x:c r="AD407" s="6" t="str">
        <x:v>1.6385296915203824</x:v>
      </x:c>
      <x:c r="AE407" s="6" t="str">
        <x:v>-0.5184518188240173</x:v>
      </x:c>
      <x:c r="AF407" s="6" t="str">
        <x:v>0.5057685217402518</x:v>
      </x:c>
      <x:c r="AG407" s="6" t="str">
        <x:v>0</x:v>
      </x:c>
      <x:c r="AH407" s="6" t="str">
        <x:v>1</x:v>
      </x:c>
      <x:c r="AI407" s="6" t="str">
        <x:v>2025-10</x:v>
      </x:c>
      <x:c r="AJ407" s="9" t="str">
        <x:v>NASA POWER (MERRA-2 meteorology)</x:v>
      </x:c>
      <x:c r="AK407" s="9" t="str">
        <x:v>Badan Informasi Geospasial (BIG)</x:v>
      </x:c>
      <x:c r="AL407" s="9" t="str">
        <x:v>https://power.larc.nasa.gov/docs/services/api/temporal/monthly/</x:v>
      </x:c>
      <x:c r="AM407" s="9" t="str">
        <x:v>https://geoservices.big.go.id/rbi/rest/services/BATASWILAYAH/BATAS_WILAYAH/MapServer/12</x:v>
      </x:c>
    </x:row>
    <x:row r="408" ht="18" customHeight="1">
      <x:c r="A408" s="6" t="str">
        <x:v>51</x:v>
      </x:c>
      <x:c r="B408" s="6" t="str">
        <x:v>BALI</x:v>
      </x:c>
      <x:c r="C408" s="6" t="str">
        <x:v>2025</x:v>
      </x:c>
      <x:c r="D408" s="6" t="str">
        <x:v>11</x:v>
      </x:c>
      <x:c r="E408" s="6" t="str">
        <x:v>25.91</x:v>
      </x:c>
      <x:c r="F408" s="9" t="str">
        <x:v>grid_cells_within_BIG_polygon</x:v>
      </x:c>
      <x:c r="G408" s="6" t="str">
        <x:v>1</x:v>
      </x:c>
      <x:c r="H408" s="8" t="str">
        <x:v>85.25</x:v>
      </x:c>
      <x:c r="I408" s="6" t="str">
        <x:v>8.17</x:v>
      </x:c>
      <x:c r="J408" s="6" t="str">
        <x:v>30</x:v>
      </x:c>
      <x:c r="K408" s="6" t="str">
        <x:v>245.1</x:v>
      </x:c>
      <x:c r="L408" s="6" t="str">
        <x:v>26.172</x:v>
      </x:c>
      <x:c r="M408" s="6" t="str">
        <x:v>0.48140885197368377</x:v>
      </x:c>
      <x:c r="N408" s="6" t="str">
        <x:v>80.66799999999999</x:v>
      </x:c>
      <x:c r="O408" s="6" t="str">
        <x:v>3.601598687173278</x:v>
      </x:c>
      <x:c r="P408" s="6" t="str">
        <x:v>140.51000000000002</x:v>
      </x:c>
      <x:c r="Q408" s="6" t="str">
        <x:v>79.79877429704258</x:v>
      </x:c>
      <x:c r="R408" s="6" t="str">
        <x:v>-0.26200000000000045</x:v>
      </x:c>
      <x:c r="S408" s="8" t="str">
        <x:v>-0.5442359419147588</x:v>
      </x:c>
      <x:c r="T408" s="6" t="str">
        <x:v>4.582000000000008</x:v>
      </x:c>
      <x:c r="U408" s="8" t="str">
        <x:v>1.2722128138035833</x:v>
      </x:c>
      <x:c r="V408" s="6" t="str">
        <x:v>104.58999999999997</x:v>
      </x:c>
      <x:c r="W408" s="8" t="str">
        <x:v>1.310671760579613</x:v>
      </x:c>
      <x:c r="X408" s="6" t="str">
        <x:v>1.355162272767601</x:v>
      </x:c>
      <x:c r="Y408" s="6" t="str">
        <x:v>0.9855633762557569</x:v>
      </x:c>
      <x:c r="Z408" s="6" t="str">
        <x:v>0.5988299023695333</x:v>
      </x:c>
      <x:c r="AA408" s="6" t="str">
        <x:v>1.5373744612544549</x:v>
      </x:c>
      <x:c r="AB408" s="6" t="str">
        <x:v>1.9335538602629025</x:v>
      </x:c>
      <x:c r="AC408" s="6" t="str">
        <x:v>1.5810470451069805</x:v>
      </x:c>
      <x:c r="AD408" s="6" t="str">
        <x:v>0.3972276925243911</x:v>
      </x:c>
      <x:c r="AE408" s="6" t="str">
        <x:v>1.6385296915203824</x:v>
      </x:c>
      <x:c r="AF408" s="6" t="str">
        <x:v>1.115476381541462</x:v>
      </x:c>
      <x:c r="AG408" s="6" t="str">
        <x:v>1</x:v>
      </x:c>
      <x:c r="AH408" s="6" t="str">
        <x:v>0</x:v>
      </x:c>
      <x:c r="AI408" s="6" t="str">
        <x:v>2025-11</x:v>
      </x:c>
      <x:c r="AJ408" s="9" t="str">
        <x:v>NASA POWER (MERRA-2 meteorology)</x:v>
      </x:c>
      <x:c r="AK408" s="9" t="str">
        <x:v>Badan Informasi Geospasial (BIG)</x:v>
      </x:c>
      <x:c r="AL408" s="9" t="str">
        <x:v>https://power.larc.nasa.gov/docs/services/api/temporal/monthly/</x:v>
      </x:c>
      <x:c r="AM408" s="9" t="str">
        <x:v>https://geoservices.big.go.id/rbi/rest/services/BATASWILAYAH/BATAS_WILAYAH/MapServer/12</x:v>
      </x:c>
    </x:row>
    <x:row r="409" ht="18" customHeight="1">
      <x:c r="A409" s="6" t="str">
        <x:v>51</x:v>
      </x:c>
      <x:c r="B409" s="6" t="str">
        <x:v>BALI</x:v>
      </x:c>
      <x:c r="C409" s="6" t="str">
        <x:v>2025</x:v>
      </x:c>
      <x:c r="D409" s="6" t="str">
        <x:v>12</x:v>
      </x:c>
      <x:c r="E409" s="6" t="str">
        <x:v>25.96</x:v>
      </x:c>
      <x:c r="F409" s="9" t="str">
        <x:v>grid_cells_within_BIG_polygon</x:v>
      </x:c>
      <x:c r="G409" s="6" t="str">
        <x:v>1</x:v>
      </x:c>
      <x:c r="H409" s="8" t="str">
        <x:v>86.08</x:v>
      </x:c>
      <x:c r="I409" s="6" t="str">
        <x:v>11.61</x:v>
      </x:c>
      <x:c r="J409" s="6" t="str">
        <x:v>31</x:v>
      </x:c>
      <x:c r="K409" s="6" t="str">
        <x:v>359.90999999999997</x:v>
      </x:c>
      <x:c r="L409" s="6" t="str">
        <x:v>25.775</x:v>
      </x:c>
      <x:c r="M409" s="6" t="str">
        <x:v>0.5421015937359308</x:v>
      </x:c>
      <x:c r="N409" s="6" t="str">
        <x:v>83.787</x:v>
      </x:c>
      <x:c r="O409" s="6" t="str">
        <x:v>2.7477917779869028</x:v>
      </x:c>
      <x:c r="P409" s="6" t="str">
        <x:v>252.47433333333336</x:v>
      </x:c>
      <x:c r="Q409" s="6" t="str">
        <x:v>102.26587433248935</x:v>
      </x:c>
      <x:c r="R409" s="6" t="str">
        <x:v>0.18500000000000227</x:v>
      </x:c>
      <x:c r="S409" s="8" t="str">
        <x:v>0.34126444588561694</x:v>
      </x:c>
      <x:c r="T409" s="6" t="str">
        <x:v>2.292999999999992</x:v>
      </x:c>
      <x:c r="U409" s="8" t="str">
        <x:v>0.8344882674042712</x:v>
      </x:c>
      <x:c r="V409" s="6" t="str">
        <x:v>107.4356666666666</x:v>
      </x:c>
      <x:c r="W409" s="8" t="str">
        <x:v>1.050552467946141</x:v>
      </x:c>
      <x:c r="X409" s="6" t="str">
        <x:v>-0.5442359419147588</x:v>
      </x:c>
      <x:c r="Y409" s="6" t="str">
        <x:v>1.355162272767601</x:v>
      </x:c>
      <x:c r="Z409" s="6" t="str">
        <x:v>0.38406359224615333</x:v>
      </x:c>
      <x:c r="AA409" s="6" t="str">
        <x:v>1.2722128138035833</x:v>
      </x:c>
      <x:c r="AB409" s="6" t="str">
        <x:v>1.5373744612544549</x:v>
      </x:c>
      <x:c r="AC409" s="6" t="str">
        <x:v>1.2146918474874366</x:v>
      </x:c>
      <x:c r="AD409" s="6" t="str">
        <x:v>1.310671760579613</x:v>
      </x:c>
      <x:c r="AE409" s="6" t="str">
        <x:v>0.3972276925243911</x:v>
      </x:c>
      <x:c r="AF409" s="6" t="str">
        <x:v>0.9194839736833815</x:v>
      </x:c>
      <x:c r="AG409" s="6" t="str">
        <x:v>1</x:v>
      </x:c>
      <x:c r="AH409" s="6" t="str">
        <x:v>0</x:v>
      </x:c>
      <x:c r="AI409" s="6" t="str">
        <x:v>2025-12</x:v>
      </x:c>
      <x:c r="AJ409" s="9" t="str">
        <x:v>NASA POWER (MERRA-2 meteorology)</x:v>
      </x:c>
      <x:c r="AK409" s="9" t="str">
        <x:v>Badan Informasi Geospasial (BIG)</x:v>
      </x:c>
      <x:c r="AL409" s="9" t="str">
        <x:v>https://power.larc.nasa.gov/docs/services/api/temporal/monthly/</x:v>
      </x:c>
      <x:c r="AM409" s="9" t="str">
        <x:v>https://geoservices.big.go.id/rbi/rest/services/BATASWILAYAH/BATAS_WILAYAH/MapServer/12</x:v>
      </x:c>
    </x:row>
    <x:row r="410" ht="18" customHeight="1">
      <x:c r="A410" s="6" t="str">
        <x:v>52</x:v>
      </x:c>
      <x:c r="B410" s="6" t="str">
        <x:v>NUSA TENGGARA BARAT</x:v>
      </x:c>
      <x:c r="C410" s="6" t="str">
        <x:v>2024</x:v>
      </x:c>
      <x:c r="D410" s="6" t="str">
        <x:v>1</x:v>
      </x:c>
      <x:c r="E410" s="6" t="str">
        <x:v>27.92002110085005</x:v>
      </x:c>
      <x:c r="F410" s="9" t="str">
        <x:v>grid_cells_within_BIG_polygon</x:v>
      </x:c>
      <x:c r="G410" s="6" t="str">
        <x:v>7</x:v>
      </x:c>
      <x:c r="H410" s="8" t="str">
        <x:v>79.932495688036</x:v>
      </x:c>
      <x:c r="I410" s="6" t="str">
        <x:v>5.4572741208724365</x:v>
      </x:c>
      <x:c r="J410" s="6" t="str">
        <x:v>31</x:v>
      </x:c>
      <x:c r="K410" s="6" t="str">
        <x:v>169.17549774704554</x:v>
      </x:c>
      <x:c r="L410" s="6" t="str">
        <x:v>26.481279685471407</x:v>
      </x:c>
      <x:c r="M410" s="6" t="str">
        <x:v>0.5954952226252781</x:v>
      </x:c>
      <x:c r="N410" s="6" t="str">
        <x:v>83.64956845235012</x:v>
      </x:c>
      <x:c r="O410" s="6" t="str">
        <x:v>2.921828911780856</x:v>
      </x:c>
      <x:c r="P410" s="6" t="str">
        <x:v>242.2426404995726</x:v>
      </x:c>
      <x:c r="Q410" s="6" t="str">
        <x:v>82.90490598279676</x:v>
      </x:c>
      <x:c r="R410" s="6" t="str">
        <x:v>1.4387414153786438</x:v>
      </x:c>
      <x:c r="S410" s="8" t="str">
        <x:v>2.4160419105225763</x:v>
      </x:c>
      <x:c r="T410" s="6" t="str">
        <x:v>-3.717072764314125</x:v>
      </x:c>
      <x:c r="U410" s="8" t="str">
        <x:v>-1.2721733121767789</x:v>
      </x:c>
      <x:c r="V410" s="6" t="str">
        <x:v>-73.06714275252705</x:v>
      </x:c>
      <x:c r="W410" s="8" t="str">
        <x:v>-0.8813367784011346</x:v>
      </x:c>
      <x:c r="X410" s="6" t="str">
        <x:v>1.809535851491923</x:v>
      </x:c>
      <x:c r="Y410" s="6" t="str">
        <x:v>1.668256802342459</x:v>
      </x:c>
      <x:c r="Z410" s="6" t="str">
        <x:v>1.9646115214523192</x:v>
      </x:c>
      <x:c r="AA410" s="6" t="str">
        <x:v>-0.9533670856347793</x:v>
      </x:c>
      <x:c r="AB410" s="6" t="str">
        <x:v>-0.6957339889376518</x:v>
      </x:c>
      <x:c r="AC410" s="6" t="str">
        <x:v>-0.9737581289164043</x:v>
      </x:c>
      <x:c r="AD410" s="6" t="str">
        <x:v>-0.8032241743520769</x:v>
      </x:c>
      <x:c r="AE410" s="6" t="str">
        <x:v>-1.0442286289355416</x:v>
      </x:c>
      <x:c r="AF410" s="6" t="str">
        <x:v>-0.9095965272295837</x:v>
      </x:c>
      <x:c r="AG410" s="6" t="str">
        <x:v>0</x:v>
      </x:c>
      <x:c r="AH410" s="6" t="str">
        <x:v>1</x:v>
      </x:c>
      <x:c r="AI410" s="6" t="str">
        <x:v>2024-01</x:v>
      </x:c>
      <x:c r="AJ410" s="9" t="str">
        <x:v>NASA POWER (MERRA-2 meteorology)</x:v>
      </x:c>
      <x:c r="AK410" s="9" t="str">
        <x:v>Badan Informasi Geospasial (BIG)</x:v>
      </x:c>
      <x:c r="AL410" s="9" t="str">
        <x:v>https://power.larc.nasa.gov/docs/services/api/temporal/monthly/</x:v>
      </x:c>
      <x:c r="AM410" s="9" t="str">
        <x:v>https://geoservices.big.go.id/rbi/rest/services/BATASWILAYAH/BATAS_WILAYAH/MapServer/12</x:v>
      </x:c>
    </x:row>
    <x:row r="411" ht="18" customHeight="1">
      <x:c r="A411" s="6" t="str">
        <x:v>52</x:v>
      </x:c>
      <x:c r="B411" s="6" t="str">
        <x:v>NUSA TENGGARA BARAT</x:v>
      </x:c>
      <x:c r="C411" s="6" t="str">
        <x:v>2024</x:v>
      </x:c>
      <x:c r="D411" s="6" t="str">
        <x:v>2</x:v>
      </x:c>
      <x:c r="E411" s="6" t="str">
        <x:v>27.769975062631744</x:v>
      </x:c>
      <x:c r="F411" s="9" t="str">
        <x:v>grid_cells_within_BIG_polygon</x:v>
      </x:c>
      <x:c r="G411" s="6" t="str">
        <x:v>7</x:v>
      </x:c>
      <x:c r="H411" s="8" t="str">
        <x:v>82.43836754503319</x:v>
      </x:c>
      <x:c r="I411" s="6" t="str">
        <x:v>6.315165937649795</x:v>
      </x:c>
      <x:c r="J411" s="6" t="str">
        <x:v>29</x:v>
      </x:c>
      <x:c r="K411" s="6" t="str">
        <x:v>183.13981219184404</x:v>
      </x:c>
      <x:c r="L411" s="6" t="str">
        <x:v>26.28511573661306</x:v>
      </x:c>
      <x:c r="M411" s="6" t="str">
        <x:v>0.5678509766342259</x:v>
      </x:c>
      <x:c r="N411" s="6" t="str">
        <x:v>84.97884142226711</x:v>
      </x:c>
      <x:c r="O411" s="6" t="str">
        <x:v>2.536946237366804</x:v>
      </x:c>
      <x:c r="P411" s="6" t="str">
        <x:v>235.86364895913454</x:v>
      </x:c>
      <x:c r="Q411" s="6" t="str">
        <x:v>72.59255527436693</x:v>
      </x:c>
      <x:c r="R411" s="6" t="str">
        <x:v>1.4848593260186824</x:v>
      </x:c>
      <x:c r="S411" s="8" t="str">
        <x:v>2.61487500614996</x:v>
      </x:c>
      <x:c r="T411" s="6" t="str">
        <x:v>-2.5404738772339215</x:v>
      </x:c>
      <x:c r="U411" s="8" t="str">
        <x:v>-1.001390506355696</x:v>
      </x:c>
      <x:c r="V411" s="6" t="str">
        <x:v>-52.72383676729049</x:v>
      </x:c>
      <x:c r="W411" s="8" t="str">
        <x:v>-0.7262981247597402</x:v>
      </x:c>
      <x:c r="X411" s="6" t="str">
        <x:v>2.4160419105225763</x:v>
      </x:c>
      <x:c r="Y411" s="6" t="str">
        <x:v>1.809535851491923</x:v>
      </x:c>
      <x:c r="Z411" s="6" t="str">
        <x:v>2.2801509227214862</x:v>
      </x:c>
      <x:c r="AA411" s="6" t="str">
        <x:v>-1.2721733121767789</x:v>
      </x:c>
      <x:c r="AB411" s="6" t="str">
        <x:v>-0.9533670856347793</x:v>
      </x:c>
      <x:c r="AC411" s="6" t="str">
        <x:v>-1.075643634722419</x:v>
      </x:c>
      <x:c r="AD411" s="6" t="str">
        <x:v>-0.8813367784011346</x:v>
      </x:c>
      <x:c r="AE411" s="6" t="str">
        <x:v>-0.8032241743520769</x:v>
      </x:c>
      <x:c r="AF411" s="6" t="str">
        <x:v>-0.8036196925043168</x:v>
      </x:c>
      <x:c r="AG411" s="6" t="str">
        <x:v>0</x:v>
      </x:c>
      <x:c r="AH411" s="6" t="str">
        <x:v>1</x:v>
      </x:c>
      <x:c r="AI411" s="6" t="str">
        <x:v>2024-02</x:v>
      </x:c>
      <x:c r="AJ411" s="9" t="str">
        <x:v>NASA POWER (MERRA-2 meteorology)</x:v>
      </x:c>
      <x:c r="AK411" s="9" t="str">
        <x:v>Badan Informasi Geospasial (BIG)</x:v>
      </x:c>
      <x:c r="AL411" s="9" t="str">
        <x:v>https://power.larc.nasa.gov/docs/services/api/temporal/monthly/</x:v>
      </x:c>
      <x:c r="AM411" s="9" t="str">
        <x:v>https://geoservices.big.go.id/rbi/rest/services/BATASWILAYAH/BATAS_WILAYAH/MapServer/12</x:v>
      </x:c>
    </x:row>
    <x:row r="412" ht="18" customHeight="1">
      <x:c r="A412" s="6" t="str">
        <x:v>52</x:v>
      </x:c>
      <x:c r="B412" s="6" t="str">
        <x:v>NUSA TENGGARA BARAT</x:v>
      </x:c>
      <x:c r="C412" s="6" t="str">
        <x:v>2024</x:v>
      </x:c>
      <x:c r="D412" s="6" t="str">
        <x:v>3</x:v>
      </x:c>
      <x:c r="E412" s="6" t="str">
        <x:v>27.502877421596157</x:v>
      </x:c>
      <x:c r="F412" s="9" t="str">
        <x:v>grid_cells_within_BIG_polygon</x:v>
      </x:c>
      <x:c r="G412" s="6" t="str">
        <x:v>7</x:v>
      </x:c>
      <x:c r="H412" s="8" t="str">
        <x:v>83.7655016329916</x:v>
      </x:c>
      <x:c r="I412" s="6" t="str">
        <x:v>7.83798005669578</x:v>
      </x:c>
      <x:c r="J412" s="6" t="str">
        <x:v>31</x:v>
      </x:c>
      <x:c r="K412" s="6" t="str">
        <x:v>242.97738175756916</x:v>
      </x:c>
      <x:c r="L412" s="6" t="str">
        <x:v>26.56815064892861</x:v>
      </x:c>
      <x:c r="M412" s="6" t="str">
        <x:v>0.5496021918960419</x:v>
      </x:c>
      <x:c r="N412" s="6" t="str">
        <x:v>83.15938167620854</x:v>
      </x:c>
      <x:c r="O412" s="6" t="str">
        <x:v>2.546641796509969</x:v>
      </x:c>
      <x:c r="P412" s="6" t="str">
        <x:v>182.0851870319094</x:v>
      </x:c>
      <x:c r="Q412" s="6" t="str">
        <x:v>75.35048501640557</x:v>
      </x:c>
      <x:c r="R412" s="6" t="str">
        <x:v>0.9347267726675454</x:v>
      </x:c>
      <x:c r="S412" s="8" t="str">
        <x:v>1.700733342134033</x:v>
      </x:c>
      <x:c r="T412" s="6" t="str">
        <x:v>0.6061199567830613</x:v>
      </x:c>
      <x:c r="U412" s="8" t="str">
        <x:v>0.2380075429586191</x:v>
      </x:c>
      <x:c r="V412" s="6" t="str">
        <x:v>60.89219472565975</x:v>
      </x:c>
      <x:c r="W412" s="8" t="str">
        <x:v>0.8081194794220912</x:v>
      </x:c>
      <x:c r="X412" s="6" t="str">
        <x:v>2.61487500614996</x:v>
      </x:c>
      <x:c r="Y412" s="6" t="str">
        <x:v>2.4160419105225763</x:v>
      </x:c>
      <x:c r="Z412" s="6" t="str">
        <x:v>2.2438834196021893</x:v>
      </x:c>
      <x:c r="AA412" s="6" t="str">
        <x:v>-1.001390506355696</x:v>
      </x:c>
      <x:c r="AB412" s="6" t="str">
        <x:v>-1.2721733121767789</x:v>
      </x:c>
      <x:c r="AC412" s="6" t="str">
        <x:v>-0.6785187585246195</x:v>
      </x:c>
      <x:c r="AD412" s="6" t="str">
        <x:v>-0.7262981247597402</x:v>
      </x:c>
      <x:c r="AE412" s="6" t="str">
        <x:v>-0.8813367784011346</x:v>
      </x:c>
      <x:c r="AF412" s="6" t="str">
        <x:v>-0.2665051412462607</x:v>
      </x:c>
      <x:c r="AG412" s="6" t="str">
        <x:v>0</x:v>
      </x:c>
      <x:c r="AH412" s="6" t="str">
        <x:v>1</x:v>
      </x:c>
      <x:c r="AI412" s="6" t="str">
        <x:v>2024-03</x:v>
      </x:c>
      <x:c r="AJ412" s="9" t="str">
        <x:v>NASA POWER (MERRA-2 meteorology)</x:v>
      </x:c>
      <x:c r="AK412" s="9" t="str">
        <x:v>Badan Informasi Geospasial (BIG)</x:v>
      </x:c>
      <x:c r="AL412" s="9" t="str">
        <x:v>https://power.larc.nasa.gov/docs/services/api/temporal/monthly/</x:v>
      </x:c>
      <x:c r="AM412" s="9" t="str">
        <x:v>https://geoservices.big.go.id/rbi/rest/services/BATASWILAYAH/BATAS_WILAYAH/MapServer/12</x:v>
      </x:c>
    </x:row>
    <x:row r="413" ht="18" customHeight="1">
      <x:c r="A413" s="6" t="str">
        <x:v>52</x:v>
      </x:c>
      <x:c r="B413" s="6" t="str">
        <x:v>NUSA TENGGARA BARAT</x:v>
      </x:c>
      <x:c r="C413" s="6" t="str">
        <x:v>2024</x:v>
      </x:c>
      <x:c r="D413" s="6" t="str">
        <x:v>4</x:v>
      </x:c>
      <x:c r="E413" s="6" t="str">
        <x:v>27.595808554447007</x:v>
      </x:c>
      <x:c r="F413" s="9" t="str">
        <x:v>grid_cells_within_BIG_polygon</x:v>
      </x:c>
      <x:c r="G413" s="6" t="str">
        <x:v>7</x:v>
      </x:c>
      <x:c r="H413" s="8" t="str">
        <x:v>83.9249971308493</x:v>
      </x:c>
      <x:c r="I413" s="6" t="str">
        <x:v>4.767132169699321</x:v>
      </x:c>
      <x:c r="J413" s="6" t="str">
        <x:v>30</x:v>
      </x:c>
      <x:c r="K413" s="6" t="str">
        <x:v>143.01396509097964</x:v>
      </x:c>
      <x:c r="L413" s="6" t="str">
        <x:v>26.684162477643838</x:v>
      </x:c>
      <x:c r="M413" s="6" t="str">
        <x:v>0.48872046262674795</x:v>
      </x:c>
      <x:c r="N413" s="6" t="str">
        <x:v>82.2211465632329</x:v>
      </x:c>
      <x:c r="O413" s="6" t="str">
        <x:v>1.7522523158331806</x:v>
      </x:c>
      <x:c r="P413" s="6" t="str">
        <x:v>118.00278726341863</x:v>
      </x:c>
      <x:c r="Q413" s="6" t="str">
        <x:v>50.57804088099216</x:v>
      </x:c>
      <x:c r="R413" s="6" t="str">
        <x:v>0.9116460768031693</x:v>
      </x:c>
      <x:c r="S413" s="8" t="str">
        <x:v>1.865373248141287</x:v>
      </x:c>
      <x:c r="T413" s="6" t="str">
        <x:v>1.7038505676163993</x:v>
      </x:c>
      <x:c r="U413" s="8" t="str">
        <x:v>0.9723774094749781</x:v>
      </x:c>
      <x:c r="V413" s="6" t="str">
        <x:v>25.011177827561013</x:v>
      </x:c>
      <x:c r="W413" s="8" t="str">
        <x:v>0.49450665529752685</x:v>
      </x:c>
      <x:c r="X413" s="6" t="str">
        <x:v>1.700733342134033</x:v>
      </x:c>
      <x:c r="Y413" s="6" t="str">
        <x:v>2.61487500614996</x:v>
      </x:c>
      <x:c r="Z413" s="6" t="str">
        <x:v>2.060327198808426</x:v>
      </x:c>
      <x:c r="AA413" s="6" t="str">
        <x:v>0.2380075429586191</x:v>
      </x:c>
      <x:c r="AB413" s="6" t="str">
        <x:v>-1.001390506355696</x:v>
      </x:c>
      <x:c r="AC413" s="6" t="str">
        <x:v>0.06966481535929936</x:v>
      </x:c>
      <x:c r="AD413" s="6" t="str">
        <x:v>0.8081194794220912</x:v>
      </x:c>
      <x:c r="AE413" s="6" t="str">
        <x:v>-0.7262981247597402</x:v>
      </x:c>
      <x:c r="AF413" s="6" t="str">
        <x:v>0.1921093366532931</x:v>
      </x:c>
      <x:c r="AG413" s="6" t="str">
        <x:v>0</x:v>
      </x:c>
      <x:c r="AH413" s="6" t="str">
        <x:v>1</x:v>
      </x:c>
      <x:c r="AI413" s="6" t="str">
        <x:v>2024-04</x:v>
      </x:c>
      <x:c r="AJ413" s="9" t="str">
        <x:v>NASA POWER (MERRA-2 meteorology)</x:v>
      </x:c>
      <x:c r="AK413" s="9" t="str">
        <x:v>Badan Informasi Geospasial (BIG)</x:v>
      </x:c>
      <x:c r="AL413" s="9" t="str">
        <x:v>https://power.larc.nasa.gov/docs/services/api/temporal/monthly/</x:v>
      </x:c>
      <x:c r="AM413" s="9" t="str">
        <x:v>https://geoservices.big.go.id/rbi/rest/services/BATASWILAYAH/BATAS_WILAYAH/MapServer/12</x:v>
      </x:c>
    </x:row>
    <x:row r="414" ht="18" customHeight="1">
      <x:c r="A414" s="6" t="str">
        <x:v>52</x:v>
      </x:c>
      <x:c r="B414" s="6" t="str">
        <x:v>NUSA TENGGARA BARAT</x:v>
      </x:c>
      <x:c r="C414" s="6" t="str">
        <x:v>2024</x:v>
      </x:c>
      <x:c r="D414" s="6" t="str">
        <x:v>5</x:v>
      </x:c>
      <x:c r="E414" s="6" t="str">
        <x:v>27.0973911346773</x:v>
      </x:c>
      <x:c r="F414" s="9" t="str">
        <x:v>grid_cells_within_BIG_polygon</x:v>
      </x:c>
      <x:c r="G414" s="6" t="str">
        <x:v>7</x:v>
      </x:c>
      <x:c r="H414" s="8" t="str">
        <x:v>81.55559180764509</x:v>
      </x:c>
      <x:c r="I414" s="6" t="str">
        <x:v>0.29990408704519156</x:v>
      </x:c>
      <x:c r="J414" s="6" t="str">
        <x:v>31</x:v>
      </x:c>
      <x:c r="K414" s="6" t="str">
        <x:v>9.297026698400938</x:v>
      </x:c>
      <x:c r="L414" s="6" t="str">
        <x:v>26.142414666969806</x:v>
      </x:c>
      <x:c r="M414" s="6" t="str">
        <x:v>0.6057500207289264</x:v>
      </x:c>
      <x:c r="N414" s="6" t="str">
        <x:v>80.96772921234795</x:v>
      </x:c>
      <x:c r="O414" s="6" t="str">
        <x:v>2.4288724645976627</x:v>
      </x:c>
      <x:c r="P414" s="6" t="str">
        <x:v>54.773683743566195</x:v>
      </x:c>
      <x:c r="Q414" s="6" t="str">
        <x:v>44.08691909429086</x:v>
      </x:c>
      <x:c r="R414" s="6" t="str">
        <x:v>0.9549764677074926</x:v>
      </x:c>
      <x:c r="S414" s="8" t="str">
        <x:v>1.5765190838265697</x:v>
      </x:c>
      <x:c r="T414" s="6" t="str">
        <x:v>0.587862595297139</x:v>
      </x:c>
      <x:c r="U414" s="8" t="str">
        <x:v>0.24203106744615227</x:v>
      </x:c>
      <x:c r="V414" s="6" t="str">
        <x:v>-45.476657045165254</x:v>
      </x:c>
      <x:c r="W414" s="8" t="str">
        <x:v>-1.031522682451502</x:v>
      </x:c>
      <x:c r="X414" s="6" t="str">
        <x:v>1.865373248141287</x:v>
      </x:c>
      <x:c r="Y414" s="6" t="str">
        <x:v>1.700733342134033</x:v>
      </x:c>
      <x:c r="Z414" s="6" t="str">
        <x:v>1.714208558033963</x:v>
      </x:c>
      <x:c r="AA414" s="6" t="str">
        <x:v>0.9723774094749781</x:v>
      </x:c>
      <x:c r="AB414" s="6" t="str">
        <x:v>0.2380075429586191</x:v>
      </x:c>
      <x:c r="AC414" s="6" t="str">
        <x:v>0.48413867329324883</x:v>
      </x:c>
      <x:c r="AD414" s="6" t="str">
        <x:v>0.49450665529752685</x:v>
      </x:c>
      <x:c r="AE414" s="6" t="str">
        <x:v>0.8081194794220912</x:v>
      </x:c>
      <x:c r="AF414" s="6" t="str">
        <x:v>0.09036781742270583</x:v>
      </x:c>
      <x:c r="AG414" s="6" t="str">
        <x:v>0</x:v>
      </x:c>
      <x:c r="AH414" s="6" t="str">
        <x:v>1</x:v>
      </x:c>
      <x:c r="AI414" s="6" t="str">
        <x:v>2024-05</x:v>
      </x:c>
      <x:c r="AJ414" s="9" t="str">
        <x:v>NASA POWER (MERRA-2 meteorology)</x:v>
      </x:c>
      <x:c r="AK414" s="9" t="str">
        <x:v>Badan Informasi Geospasial (BIG)</x:v>
      </x:c>
      <x:c r="AL414" s="9" t="str">
        <x:v>https://power.larc.nasa.gov/docs/services/api/temporal/monthly/</x:v>
      </x:c>
      <x:c r="AM414" s="9" t="str">
        <x:v>https://geoservices.big.go.id/rbi/rest/services/BATASWILAYAH/BATAS_WILAYAH/MapServer/12</x:v>
      </x:c>
    </x:row>
    <x:row r="415" ht="18" customHeight="1">
      <x:c r="A415" s="6" t="str">
        <x:v>52</x:v>
      </x:c>
      <x:c r="B415" s="6" t="str">
        <x:v>NUSA TENGGARA BARAT</x:v>
      </x:c>
      <x:c r="C415" s="6" t="str">
        <x:v>2024</x:v>
      </x:c>
      <x:c r="D415" s="6" t="str">
        <x:v>6</x:v>
      </x:c>
      <x:c r="E415" s="6" t="str">
        <x:v>26.48890465758013</x:v>
      </x:c>
      <x:c r="F415" s="9" t="str">
        <x:v>grid_cells_within_BIG_polygon</x:v>
      </x:c>
      <x:c r="G415" s="6" t="str">
        <x:v>7</x:v>
      </x:c>
      <x:c r="H415" s="8" t="str">
        <x:v>79.06504894032088</x:v>
      </x:c>
      <x:c r="I415" s="6" t="str">
        <x:v>0.6270132376353588</x:v>
      </x:c>
      <x:c r="J415" s="6" t="str">
        <x:v>30</x:v>
      </x:c>
      <x:c r="K415" s="6" t="str">
        <x:v>18.810397129060764</x:v>
      </x:c>
      <x:c r="L415" s="6" t="str">
        <x:v>25.482933369721398</x:v>
      </x:c>
      <x:c r="M415" s="6" t="str">
        <x:v>0.7356601477606092</x:v>
      </x:c>
      <x:c r="N415" s="6" t="str">
        <x:v>79.49316044577995</x:v>
      </x:c>
      <x:c r="O415" s="6" t="str">
        <x:v>2.6271320973672645</x:v>
      </x:c>
      <x:c r="P415" s="6" t="str">
        <x:v>27.76519854805442</x:v>
      </x:c>
      <x:c r="Q415" s="6" t="str">
        <x:v>30.582335300075865</x:v>
      </x:c>
      <x:c r="R415" s="6" t="str">
        <x:v>1.0059712878587312</x:v>
      </x:c>
      <x:c r="S415" s="8" t="str">
        <x:v>1.3674402384320592</x:v>
      </x:c>
      <x:c r="T415" s="6" t="str">
        <x:v>-0.4281115054590714</x:v>
      </x:c>
      <x:c r="U415" s="8" t="str">
        <x:v>-0.16295773854999374</x:v>
      </x:c>
      <x:c r="V415" s="6" t="str">
        <x:v>-8.954801418993657</x:v>
      </x:c>
      <x:c r="W415" s="8" t="str">
        <x:v>-0.2928096017236278</x:v>
      </x:c>
      <x:c r="X415" s="6" t="str">
        <x:v>1.5765190838265697</x:v>
      </x:c>
      <x:c r="Y415" s="6" t="str">
        <x:v>1.865373248141287</x:v>
      </x:c>
      <x:c r="Z415" s="6" t="str">
        <x:v>1.6031108567999717</x:v>
      </x:c>
      <x:c r="AA415" s="6" t="str">
        <x:v>0.24203106744615227</x:v>
      </x:c>
      <x:c r="AB415" s="6" t="str">
        <x:v>0.9723774094749781</x:v>
      </x:c>
      <x:c r="AC415" s="6" t="str">
        <x:v>0.3504835794570445</x:v>
      </x:c>
      <x:c r="AD415" s="6" t="str">
        <x:v>-1.031522682451502</x:v>
      </x:c>
      <x:c r="AE415" s="6" t="str">
        <x:v>0.49450665529752685</x:v>
      </x:c>
      <x:c r="AF415" s="6" t="str">
        <x:v>-0.2766085429592005</x:v>
      </x:c>
      <x:c r="AG415" s="6" t="str">
        <x:v>0</x:v>
      </x:c>
      <x:c r="AH415" s="6" t="str">
        <x:v>1</x:v>
      </x:c>
      <x:c r="AI415" s="6" t="str">
        <x:v>2024-06</x:v>
      </x:c>
      <x:c r="AJ415" s="9" t="str">
        <x:v>NASA POWER (MERRA-2 meteorology)</x:v>
      </x:c>
      <x:c r="AK415" s="9" t="str">
        <x:v>Badan Informasi Geospasial (BIG)</x:v>
      </x:c>
      <x:c r="AL415" s="9" t="str">
        <x:v>https://power.larc.nasa.gov/docs/services/api/temporal/monthly/</x:v>
      </x:c>
      <x:c r="AM415" s="9" t="str">
        <x:v>https://geoservices.big.go.id/rbi/rest/services/BATASWILAYAH/BATAS_WILAYAH/MapServer/12</x:v>
      </x:c>
    </x:row>
    <x:row r="416" ht="18" customHeight="1">
      <x:c r="A416" s="6" t="str">
        <x:v>52</x:v>
      </x:c>
      <x:c r="B416" s="6" t="str">
        <x:v>NUSA TENGGARA BARAT</x:v>
      </x:c>
      <x:c r="C416" s="6" t="str">
        <x:v>2024</x:v>
      </x:c>
      <x:c r="D416" s="6" t="str">
        <x:v>7</x:v>
      </x:c>
      <x:c r="E416" s="6" t="str">
        <x:v>25.953220789974367</x:v>
      </x:c>
      <x:c r="F416" s="9" t="str">
        <x:v>grid_cells_within_BIG_polygon</x:v>
      </x:c>
      <x:c r="G416" s="6" t="str">
        <x:v>7</x:v>
      </x:c>
      <x:c r="H416" s="8" t="str">
        <x:v>76.29613852796344</x:v>
      </x:c>
      <x:c r="I416" s="6" t="str">
        <x:v>0.7813581439160407</x:v>
      </x:c>
      <x:c r="J416" s="6" t="str">
        <x:v>31</x:v>
      </x:c>
      <x:c r="K416" s="6" t="str">
        <x:v>24.222102461397263</x:v>
      </x:c>
      <x:c r="L416" s="6" t="str">
        <x:v>25.02362426984545</x:v>
      </x:c>
      <x:c r="M416" s="6" t="str">
        <x:v>0.6408324447042929</x:v>
      </x:c>
      <x:c r="N416" s="6" t="str">
        <x:v>76.69832580630442</x:v>
      </x:c>
      <x:c r="O416" s="6" t="str">
        <x:v>2.757307170529771</x:v>
      </x:c>
      <x:c r="P416" s="6" t="str">
        <x:v>19.57393203298121</x:v>
      </x:c>
      <x:c r="Q416" s="6" t="str">
        <x:v>34.92762857913532</x:v>
      </x:c>
      <x:c r="R416" s="6" t="str">
        <x:v>0.9295965201289178</x:v>
      </x:c>
      <x:c r="S416" s="8" t="str">
        <x:v>1.4506077646519173</x:v>
      </x:c>
      <x:c r="T416" s="6" t="str">
        <x:v>-0.402187278340989</x:v>
      </x:c>
      <x:c r="U416" s="8" t="str">
        <x:v>-0.14586234085182295</x:v>
      </x:c>
      <x:c r="V416" s="6" t="str">
        <x:v>4.648170428416051</x:v>
      </x:c>
      <x:c r="W416" s="8" t="str">
        <x:v>0.1330800462987265</x:v>
      </x:c>
      <x:c r="X416" s="6" t="str">
        <x:v>1.3674402384320592</x:v>
      </x:c>
      <x:c r="Y416" s="6" t="str">
        <x:v>1.5765190838265697</x:v>
      </x:c>
      <x:c r="Z416" s="6" t="str">
        <x:v>1.4648556956368486</x:v>
      </x:c>
      <x:c r="AA416" s="6" t="str">
        <x:v>-0.16295773854999374</x:v>
      </x:c>
      <x:c r="AB416" s="6" t="str">
        <x:v>0.24203106744615227</x:v>
      </x:c>
      <x:c r="AC416" s="6" t="str">
        <x:v>-0.022263003985222508</x:v>
      </x:c>
      <x:c r="AD416" s="6" t="str">
        <x:v>-0.2928096017236278</x:v>
      </x:c>
      <x:c r="AE416" s="6" t="str">
        <x:v>-1.031522682451502</x:v>
      </x:c>
      <x:c r="AF416" s="6" t="str">
        <x:v>-0.39708407929213396</x:v>
      </x:c>
      <x:c r="AG416" s="6" t="str">
        <x:v>0</x:v>
      </x:c>
      <x:c r="AH416" s="6" t="str">
        <x:v>1</x:v>
      </x:c>
      <x:c r="AI416" s="6" t="str">
        <x:v>2024-07</x:v>
      </x:c>
      <x:c r="AJ416" s="9" t="str">
        <x:v>NASA POWER (MERRA-2 meteorology)</x:v>
      </x:c>
      <x:c r="AK416" s="9" t="str">
        <x:v>Badan Informasi Geospasial (BIG)</x:v>
      </x:c>
      <x:c r="AL416" s="9" t="str">
        <x:v>https://power.larc.nasa.gov/docs/services/api/temporal/monthly/</x:v>
      </x:c>
      <x:c r="AM416" s="9" t="str">
        <x:v>https://geoservices.big.go.id/rbi/rest/services/BATASWILAYAH/BATAS_WILAYAH/MapServer/12</x:v>
      </x:c>
    </x:row>
    <x:row r="417" ht="18" customHeight="1">
      <x:c r="A417" s="6" t="str">
        <x:v>52</x:v>
      </x:c>
      <x:c r="B417" s="6" t="str">
        <x:v>NUSA TENGGARA BARAT</x:v>
      </x:c>
      <x:c r="C417" s="6" t="str">
        <x:v>2024</x:v>
      </x:c>
      <x:c r="D417" s="6" t="str">
        <x:v>8</x:v>
      </x:c>
      <x:c r="E417" s="6" t="str">
        <x:v>26.617617489250645</x:v>
      </x:c>
      <x:c r="F417" s="9" t="str">
        <x:v>grid_cells_within_BIG_polygon</x:v>
      </x:c>
      <x:c r="G417" s="6" t="str">
        <x:v>7</x:v>
      </x:c>
      <x:c r="H417" s="8" t="str">
        <x:v>71.87425094453687</x:v>
      </x:c>
      <x:c r="I417" s="6" t="str">
        <x:v>0.14709380451739798</x:v>
      </x:c>
      <x:c r="J417" s="6" t="str">
        <x:v>31</x:v>
      </x:c>
      <x:c r="K417" s="6" t="str">
        <x:v>4.559907940039337</x:v>
      </x:c>
      <x:c r="L417" s="6" t="str">
        <x:v>25.335154737370296</x:v>
      </x:c>
      <x:c r="M417" s="6" t="str">
        <x:v>0.5486542806916044</x:v>
      </x:c>
      <x:c r="N417" s="6" t="str">
        <x:v>73.15064936255754</x:v>
      </x:c>
      <x:c r="O417" s="6" t="str">
        <x:v>2.007997092317165</x:v>
      </x:c>
      <x:c r="P417" s="6" t="str">
        <x:v>7.742366458568916</x:v>
      </x:c>
      <x:c r="Q417" s="6" t="str">
        <x:v>9.208199420303144</x:v>
      </x:c>
      <x:c r="R417" s="6" t="str">
        <x:v>1.2824627518803489</x:v>
      </x:c>
      <x:c r="S417" s="8" t="str">
        <x:v>2.3374696908657024</x:v>
      </x:c>
      <x:c r="T417" s="6" t="str">
        <x:v>-1.2763984180206762</x:v>
      </x:c>
      <x:c r="U417" s="8" t="str">
        <x:v>-0.6356575031429716</x:v>
      </x:c>
      <x:c r="V417" s="6" t="str">
        <x:v>-3.182458518529579</x:v>
      </x:c>
      <x:c r="W417" s="8" t="str">
        <x:v>-0.34561138103857536</x:v>
      </x:c>
      <x:c r="X417" s="6" t="str">
        <x:v>1.4506077646519173</x:v>
      </x:c>
      <x:c r="Y417" s="6" t="str">
        <x:v>1.3674402384320592</x:v>
      </x:c>
      <x:c r="Z417" s="6" t="str">
        <x:v>1.718505897983226</x:v>
      </x:c>
      <x:c r="AA417" s="6" t="str">
        <x:v>-0.14586234085182295</x:v>
      </x:c>
      <x:c r="AB417" s="6" t="str">
        <x:v>-0.16295773854999374</x:v>
      </x:c>
      <x:c r="AC417" s="6" t="str">
        <x:v>-0.3148258608482638</x:v>
      </x:c>
      <x:c r="AD417" s="6" t="str">
        <x:v>0.1330800462987265</x:v>
      </x:c>
      <x:c r="AE417" s="6" t="str">
        <x:v>-0.2928096017236278</x:v>
      </x:c>
      <x:c r="AF417" s="6" t="str">
        <x:v>-0.16844697882115842</x:v>
      </x:c>
      <x:c r="AG417" s="6" t="str">
        <x:v>0</x:v>
      </x:c>
      <x:c r="AH417" s="6" t="str">
        <x:v>1</x:v>
      </x:c>
      <x:c r="AI417" s="6" t="str">
        <x:v>2024-08</x:v>
      </x:c>
      <x:c r="AJ417" s="9" t="str">
        <x:v>NASA POWER (MERRA-2 meteorology)</x:v>
      </x:c>
      <x:c r="AK417" s="9" t="str">
        <x:v>Badan Informasi Geospasial (BIG)</x:v>
      </x:c>
      <x:c r="AL417" s="9" t="str">
        <x:v>https://power.larc.nasa.gov/docs/services/api/temporal/monthly/</x:v>
      </x:c>
      <x:c r="AM417" s="9" t="str">
        <x:v>https://geoservices.big.go.id/rbi/rest/services/BATASWILAYAH/BATAS_WILAYAH/MapServer/12</x:v>
      </x:c>
    </x:row>
    <x:row r="418" ht="18" customHeight="1">
      <x:c r="A418" s="6" t="str">
        <x:v>52</x:v>
      </x:c>
      <x:c r="B418" s="6" t="str">
        <x:v>NUSA TENGGARA BARAT</x:v>
      </x:c>
      <x:c r="C418" s="6" t="str">
        <x:v>2024</x:v>
      </x:c>
      <x:c r="D418" s="6" t="str">
        <x:v>9</x:v>
      </x:c>
      <x:c r="E418" s="6" t="str">
        <x:v>28.077611734473358</x:v>
      </x:c>
      <x:c r="F418" s="9" t="str">
        <x:v>grid_cells_within_BIG_polygon</x:v>
      </x:c>
      <x:c r="G418" s="6" t="str">
        <x:v>7</x:v>
      </x:c>
      <x:c r="H418" s="8" t="str">
        <x:v>69.5012737734677</x:v>
      </x:c>
      <x:c r="I418" s="6" t="str">
        <x:v>0.31993094267253785</x:v>
      </x:c>
      <x:c r="J418" s="6" t="str">
        <x:v>30</x:v>
      </x:c>
      <x:c r="K418" s="6" t="str">
        <x:v>9.597928280176136</x:v>
      </x:c>
      <x:c r="L418" s="6" t="str">
        <x:v>26.483653233910204</x:v>
      </x:c>
      <x:c r="M418" s="6" t="str">
        <x:v>0.5244267582805844</x:v>
      </x:c>
      <x:c r="N418" s="6" t="str">
        <x:v>71.19488390884263</x:v>
      </x:c>
      <x:c r="O418" s="6" t="str">
        <x:v>2.641719356291759</x:v>
      </x:c>
      <x:c r="P418" s="6" t="str">
        <x:v>22.679779400203937</x:v>
      </x:c>
      <x:c r="Q418" s="6" t="str">
        <x:v>51.545401355294615</x:v>
      </x:c>
      <x:c r="R418" s="6" t="str">
        <x:v>1.5939585005631542</x:v>
      </x:c>
      <x:c r="S418" s="8" t="str">
        <x:v>3.0394301499587817</x:v>
      </x:c>
      <x:c r="T418" s="6" t="str">
        <x:v>-1.693610135374925</x:v>
      </x:c>
      <x:c r="U418" s="8" t="str">
        <x:v>-0.6411014596767326</x:v>
      </x:c>
      <x:c r="V418" s="6" t="str">
        <x:v>-13.081851120027801</x:v>
      </x:c>
      <x:c r="W418" s="8" t="str">
        <x:v>-0.25379278802887945</x:v>
      </x:c>
      <x:c r="X418" s="6" t="str">
        <x:v>2.3374696908657024</x:v>
      </x:c>
      <x:c r="Y418" s="6" t="str">
        <x:v>1.4506077646519173</x:v>
      </x:c>
      <x:c r="Z418" s="6" t="str">
        <x:v>2.2758358684921336</x:v>
      </x:c>
      <x:c r="AA418" s="6" t="str">
        <x:v>-0.6356575031429716</x:v>
      </x:c>
      <x:c r="AB418" s="6" t="str">
        <x:v>-0.14586234085182295</x:v>
      </x:c>
      <x:c r="AC418" s="6" t="str">
        <x:v>-0.4742071012238434</x:v>
      </x:c>
      <x:c r="AD418" s="6" t="str">
        <x:v>-0.34561138103857536</x:v>
      </x:c>
      <x:c r="AE418" s="6" t="str">
        <x:v>0.1330800462987265</x:v>
      </x:c>
      <x:c r="AF418" s="6" t="str">
        <x:v>-0.1554413742562423</x:v>
      </x:c>
      <x:c r="AG418" s="6" t="str">
        <x:v>0</x:v>
      </x:c>
      <x:c r="AH418" s="6" t="str">
        <x:v>1</x:v>
      </x:c>
      <x:c r="AI418" s="6" t="str">
        <x:v>2024-09</x:v>
      </x:c>
      <x:c r="AJ418" s="9" t="str">
        <x:v>NASA POWER (MERRA-2 meteorology)</x:v>
      </x:c>
      <x:c r="AK418" s="9" t="str">
        <x:v>Badan Informasi Geospasial (BIG)</x:v>
      </x:c>
      <x:c r="AL418" s="9" t="str">
        <x:v>https://power.larc.nasa.gov/docs/services/api/temporal/monthly/</x:v>
      </x:c>
      <x:c r="AM418" s="9" t="str">
        <x:v>https://geoservices.big.go.id/rbi/rest/services/BATASWILAYAH/BATAS_WILAYAH/MapServer/12</x:v>
      </x:c>
    </x:row>
    <x:row r="419" ht="18" customHeight="1">
      <x:c r="A419" s="6" t="str">
        <x:v>52</x:v>
      </x:c>
      <x:c r="B419" s="6" t="str">
        <x:v>NUSA TENGGARA BARAT</x:v>
      </x:c>
      <x:c r="C419" s="6" t="str">
        <x:v>2024</x:v>
      </x:c>
      <x:c r="D419" s="6" t="str">
        <x:v>10</x:v>
      </x:c>
      <x:c r="E419" s="6" t="str">
        <x:v>28.827586797105106</x:v>
      </x:c>
      <x:c r="F419" s="9" t="str">
        <x:v>grid_cells_within_BIG_polygon</x:v>
      </x:c>
      <x:c r="G419" s="6" t="str">
        <x:v>7</x:v>
      </x:c>
      <x:c r="H419" s="8" t="str">
        <x:v>69.70144641678635</x:v>
      </x:c>
      <x:c r="I419" s="6" t="str">
        <x:v>1.7056435841647408</x:v>
      </x:c>
      <x:c r="J419" s="6" t="str">
        <x:v>31</x:v>
      </x:c>
      <x:c r="K419" s="6" t="str">
        <x:v>52.874951109106966</x:v>
      </x:c>
      <x:c r="L419" s="6" t="str">
        <x:v>27.672605725026585</x:v>
      </x:c>
      <x:c r="M419" s="6" t="str">
        <x:v>0.37042638325002003</x:v>
      </x:c>
      <x:c r="N419" s="6" t="str">
        <x:v>70.82476510081821</x:v>
      </x:c>
      <x:c r="O419" s="6" t="str">
        <x:v>3.836769117501742</x:v>
      </x:c>
      <x:c r="P419" s="6" t="str">
        <x:v>55.73236849867076</x:v>
      </x:c>
      <x:c r="Q419" s="6" t="str">
        <x:v>50.26574819075636</x:v>
      </x:c>
      <x:c r="R419" s="6" t="str">
        <x:v>1.1549810720785203</x:v>
      </x:c>
      <x:c r="S419" s="8" t="str">
        <x:v>3.117977348009155</x:v>
      </x:c>
      <x:c r="T419" s="6" t="str">
        <x:v>-1.123318684031858</x:v>
      </x:c>
      <x:c r="U419" s="8" t="str">
        <x:v>-0.29277724294322177</x:v>
      </x:c>
      <x:c r="V419" s="6" t="str">
        <x:v>-2.8574173895637927</x:v>
      </x:c>
      <x:c r="W419" s="8" t="str">
        <x:v>-0.05684621223024506</x:v>
      </x:c>
      <x:c r="X419" s="6" t="str">
        <x:v>3.0394301499587817</x:v>
      </x:c>
      <x:c r="Y419" s="6" t="str">
        <x:v>2.3374696908657024</x:v>
      </x:c>
      <x:c r="Z419" s="6" t="str">
        <x:v>2.8316257296112126</x:v>
      </x:c>
      <x:c r="AA419" s="6" t="str">
        <x:v>-0.6411014596767326</x:v>
      </x:c>
      <x:c r="AB419" s="6" t="str">
        <x:v>-0.6356575031429716</x:v>
      </x:c>
      <x:c r="AC419" s="6" t="str">
        <x:v>-0.5231787352543097</x:v>
      </x:c>
      <x:c r="AD419" s="6" t="str">
        <x:v>-0.25379278802887945</x:v>
      </x:c>
      <x:c r="AE419" s="6" t="str">
        <x:v>-0.34561138103857536</x:v>
      </x:c>
      <x:c r="AF419" s="6" t="str">
        <x:v>-0.21875012709923283</x:v>
      </x:c>
      <x:c r="AG419" s="6" t="str">
        <x:v>0</x:v>
      </x:c>
      <x:c r="AH419" s="6" t="str">
        <x:v>1</x:v>
      </x:c>
      <x:c r="AI419" s="6" t="str">
        <x:v>2024-10</x:v>
      </x:c>
      <x:c r="AJ419" s="9" t="str">
        <x:v>NASA POWER (MERRA-2 meteorology)</x:v>
      </x:c>
      <x:c r="AK419" s="9" t="str">
        <x:v>Badan Informasi Geospasial (BIG)</x:v>
      </x:c>
      <x:c r="AL419" s="9" t="str">
        <x:v>https://power.larc.nasa.gov/docs/services/api/temporal/monthly/</x:v>
      </x:c>
      <x:c r="AM419" s="9" t="str">
        <x:v>https://geoservices.big.go.id/rbi/rest/services/BATASWILAYAH/BATAS_WILAYAH/MapServer/12</x:v>
      </x:c>
    </x:row>
    <x:row r="420" ht="18" customHeight="1">
      <x:c r="A420" s="6" t="str">
        <x:v>52</x:v>
      </x:c>
      <x:c r="B420" s="6" t="str">
        <x:v>NUSA TENGGARA BARAT</x:v>
      </x:c>
      <x:c r="C420" s="6" t="str">
        <x:v>2024</x:v>
      </x:c>
      <x:c r="D420" s="6" t="str">
        <x:v>11</x:v>
      </x:c>
      <x:c r="E420" s="6" t="str">
        <x:v>28.775772107524176</x:v>
      </x:c>
      <x:c r="F420" s="9" t="str">
        <x:v>grid_cells_within_BIG_polygon</x:v>
      </x:c>
      <x:c r="G420" s="6" t="str">
        <x:v>7</x:v>
      </x:c>
      <x:c r="H420" s="8" t="str">
        <x:v>74.80771725519959</x:v>
      </x:c>
      <x:c r="I420" s="6" t="str">
        <x:v>3.9731076126876985</x:v>
      </x:c>
      <x:c r="J420" s="6" t="str">
        <x:v>30</x:v>
      </x:c>
      <x:c r="K420" s="6" t="str">
        <x:v>119.19322838063096</x:v>
      </x:c>
      <x:c r="L420" s="6" t="str">
        <x:v>27.890505016973236</x:v>
      </x:c>
      <x:c r="M420" s="6" t="str">
        <x:v>0.6781227059238503</x:v>
      </x:c>
      <x:c r="N420" s="6" t="str">
        <x:v>74.67641040098137</x:v>
      </x:c>
      <x:c r="O420" s="6" t="str">
        <x:v>4.283399905883718</x:v>
      </x:c>
      <x:c r="P420" s="6" t="str">
        <x:v>146.5948954631172</x:v>
      </x:c>
      <x:c r="Q420" s="6" t="str">
        <x:v>61.54530371483929</x:v>
      </x:c>
      <x:c r="R420" s="6" t="str">
        <x:v>0.8852670905509399</x:v>
      </x:c>
      <x:c r="S420" s="8" t="str">
        <x:v>1.3054674070305365</x:v>
      </x:c>
      <x:c r="T420" s="6" t="str">
        <x:v>0.13130685421822363</x:v>
      </x:c>
      <x:c r="U420" s="8" t="str">
        <x:v>0.03065482026038692</x:v>
      </x:c>
      <x:c r="V420" s="6" t="str">
        <x:v>-27.401667082486256</x:v>
      </x:c>
      <x:c r="W420" s="8" t="str">
        <x:v>-0.445227587298093</x:v>
      </x:c>
      <x:c r="X420" s="6" t="str">
        <x:v>3.117977348009155</x:v>
      </x:c>
      <x:c r="Y420" s="6" t="str">
        <x:v>3.0394301499587817</x:v>
      </x:c>
      <x:c r="Z420" s="6" t="str">
        <x:v>2.487624968332824</x:v>
      </x:c>
      <x:c r="AA420" s="6" t="str">
        <x:v>-0.29277724294322177</x:v>
      </x:c>
      <x:c r="AB420" s="6" t="str">
        <x:v>-0.6411014596767326</x:v>
      </x:c>
      <x:c r="AC420" s="6" t="str">
        <x:v>-0.3010746274531902</x:v>
      </x:c>
      <x:c r="AD420" s="6" t="str">
        <x:v>-0.05684621223024506</x:v>
      </x:c>
      <x:c r="AE420" s="6" t="str">
        <x:v>-0.25379278802887945</x:v>
      </x:c>
      <x:c r="AF420" s="6" t="str">
        <x:v>-0.25195552918573866</x:v>
      </x:c>
      <x:c r="AG420" s="6" t="str">
        <x:v>0</x:v>
      </x:c>
      <x:c r="AH420" s="6" t="str">
        <x:v>1</x:v>
      </x:c>
      <x:c r="AI420" s="6" t="str">
        <x:v>2024-11</x:v>
      </x:c>
      <x:c r="AJ420" s="9" t="str">
        <x:v>NASA POWER (MERRA-2 meteorology)</x:v>
      </x:c>
      <x:c r="AK420" s="9" t="str">
        <x:v>Badan Informasi Geospasial (BIG)</x:v>
      </x:c>
      <x:c r="AL420" s="9" t="str">
        <x:v>https://power.larc.nasa.gov/docs/services/api/temporal/monthly/</x:v>
      </x:c>
      <x:c r="AM420" s="9" t="str">
        <x:v>https://geoservices.big.go.id/rbi/rest/services/BATASWILAYAH/BATAS_WILAYAH/MapServer/12</x:v>
      </x:c>
    </x:row>
    <x:row r="421" ht="18" customHeight="1">
      <x:c r="A421" s="6" t="str">
        <x:v>52</x:v>
      </x:c>
      <x:c r="B421" s="6" t="str">
        <x:v>NUSA TENGGARA BARAT</x:v>
      </x:c>
      <x:c r="C421" s="6" t="str">
        <x:v>2024</x:v>
      </x:c>
      <x:c r="D421" s="6" t="str">
        <x:v>12</x:v>
      </x:c>
      <x:c r="E421" s="6" t="str">
        <x:v>27.169996163481798</x:v>
      </x:c>
      <x:c r="F421" s="9" t="str">
        <x:v>grid_cells_within_BIG_polygon</x:v>
      </x:c>
      <x:c r="G421" s="6" t="str">
        <x:v>7</x:v>
      </x:c>
      <x:c r="H421" s="8" t="str">
        <x:v>83.50538461918676</x:v>
      </x:c>
      <x:c r="I421" s="6" t="str">
        <x:v>12.983896033652178</x:v>
      </x:c>
      <x:c r="J421" s="6" t="str">
        <x:v>31</x:v>
      </x:c>
      <x:c r="K421" s="6" t="str">
        <x:v>402.5007770432175</x:v>
      </x:c>
      <x:c r="L421" s="6" t="str">
        <x:v>26.989998464843517</x:v>
      </x:c>
      <x:c r="M421" s="6" t="str">
        <x:v>0.6300793424048204</x:v>
      </x:c>
      <x:c r="N421" s="6" t="str">
        <x:v>80.85910602182722</x:v>
      </x:c>
      <x:c r="O421" s="6" t="str">
        <x:v>3.1496250227722604</x:v>
      </x:c>
      <x:c r="P421" s="6" t="str">
        <x:v>231.41692471723508</x:v>
      </x:c>
      <x:c r="Q421" s="6" t="str">
        <x:v>69.33304600806684</x:v>
      </x:c>
      <x:c r="R421" s="6" t="str">
        <x:v>0.17999769863828163</x:v>
      </x:c>
      <x:c r="S421" s="8" t="str">
        <x:v>0.28567465480027543</x:v>
      </x:c>
      <x:c r="T421" s="6" t="str">
        <x:v>2.64627859735954</x:v>
      </x:c>
      <x:c r="U421" s="8" t="str">
        <x:v>0.8401884599679484</x:v>
      </x:c>
      <x:c r="V421" s="6" t="str">
        <x:v>171.08385232598243</x:v>
      </x:c>
      <x:c r="W421" s="8" t="str">
        <x:v>2.4675657882689443</x:v>
      </x:c>
      <x:c r="X421" s="6" t="str">
        <x:v>1.3054674070305365</x:v>
      </x:c>
      <x:c r="Y421" s="6" t="str">
        <x:v>3.117977348009155</x:v>
      </x:c>
      <x:c r="Z421" s="6" t="str">
        <x:v>1.5697064699466552</x:v>
      </x:c>
      <x:c r="AA421" s="6" t="str">
        <x:v>0.03065482026038692</x:v>
      </x:c>
      <x:c r="AB421" s="6" t="str">
        <x:v>-0.29277724294322177</x:v>
      </x:c>
      <x:c r="AC421" s="6" t="str">
        <x:v>0.19268867909503684</x:v>
      </x:c>
      <x:c r="AD421" s="6" t="str">
        <x:v>-0.445227587298093</x:v>
      </x:c>
      <x:c r="AE421" s="6" t="str">
        <x:v>-0.05684621223024506</x:v>
      </x:c>
      <x:c r="AF421" s="6" t="str">
        <x:v>0.6551639962468693</x:v>
      </x:c>
      <x:c r="AG421" s="6" t="str">
        <x:v>1</x:v>
      </x:c>
      <x:c r="AH421" s="6" t="str">
        <x:v>0</x:v>
      </x:c>
      <x:c r="AI421" s="6" t="str">
        <x:v>2024-12</x:v>
      </x:c>
      <x:c r="AJ421" s="9" t="str">
        <x:v>NASA POWER (MERRA-2 meteorology)</x:v>
      </x:c>
      <x:c r="AK421" s="9" t="str">
        <x:v>Badan Informasi Geospasial (BIG)</x:v>
      </x:c>
      <x:c r="AL421" s="9" t="str">
        <x:v>https://power.larc.nasa.gov/docs/services/api/temporal/monthly/</x:v>
      </x:c>
      <x:c r="AM421" s="9" t="str">
        <x:v>https://geoservices.big.go.id/rbi/rest/services/BATASWILAYAH/BATAS_WILAYAH/MapServer/12</x:v>
      </x:c>
    </x:row>
    <x:row r="422" ht="18" customHeight="1">
      <x:c r="A422" s="6" t="str">
        <x:v>52</x:v>
      </x:c>
      <x:c r="B422" s="6" t="str">
        <x:v>NUSA TENGGARA BARAT</x:v>
      </x:c>
      <x:c r="C422" s="6" t="str">
        <x:v>2025</x:v>
      </x:c>
      <x:c r="D422" s="6" t="str">
        <x:v>1</x:v>
      </x:c>
      <x:c r="E422" s="6" t="str">
        <x:v>26.395685785864856</x:v>
      </x:c>
      <x:c r="F422" s="9" t="str">
        <x:v>grid_cells_within_BIG_polygon</x:v>
      </x:c>
      <x:c r="G422" s="6" t="str">
        <x:v>7</x:v>
      </x:c>
      <x:c r="H422" s="8" t="str">
        <x:v>86.69129867788406</x:v>
      </x:c>
      <x:c r="I422" s="6" t="str">
        <x:v>10.18807405139149</x:v>
      </x:c>
      <x:c r="J422" s="6" t="str">
        <x:v>31</x:v>
      </x:c>
      <x:c r="K422" s="6" t="str">
        <x:v>315.8302955931362</x:v>
      </x:c>
      <x:c r="L422" s="6" t="str">
        <x:v>26.481279685471407</x:v>
      </x:c>
      <x:c r="M422" s="6" t="str">
        <x:v>0.5954952226252781</x:v>
      </x:c>
      <x:c r="N422" s="6" t="str">
        <x:v>83.64956845235012</x:v>
      </x:c>
      <x:c r="O422" s="6" t="str">
        <x:v>2.921828911780856</x:v>
      </x:c>
      <x:c r="P422" s="6" t="str">
        <x:v>242.2426404995726</x:v>
      </x:c>
      <x:c r="Q422" s="6" t="str">
        <x:v>82.90490598279676</x:v>
      </x:c>
      <x:c r="R422" s="6" t="str">
        <x:v>-0.0855938996065504</x:v>
      </x:c>
      <x:c r="S422" s="8" t="str">
        <x:v>-0.14373566126895915</x:v>
      </x:c>
      <x:c r="T422" s="6" t="str">
        <x:v>3.0417302255339393</x:v>
      </x:c>
      <x:c r="U422" s="8" t="str">
        <x:v>1.0410363910322196</x:v>
      </x:c>
      <x:c r="V422" s="6" t="str">
        <x:v>73.58765509356363</x:v>
      </x:c>
      <x:c r="W422" s="8" t="str">
        <x:v>0.8876152046880492</x:v>
      </x:c>
      <x:c r="X422" s="6" t="str">
        <x:v>0.28567465480027543</x:v>
      </x:c>
      <x:c r="Y422" s="6" t="str">
        <x:v>1.3054674070305365</x:v>
      </x:c>
      <x:c r="Z422" s="6" t="str">
        <x:v>0.48246880018728394</x:v>
      </x:c>
      <x:c r="AA422" s="6" t="str">
        <x:v>0.8401884599679484</x:v>
      </x:c>
      <x:c r="AB422" s="6" t="str">
        <x:v>0.03065482026038692</x:v>
      </x:c>
      <x:c r="AC422" s="6" t="str">
        <x:v>0.6372932237535173</x:v>
      </x:c>
      <x:c r="AD422" s="6" t="str">
        <x:v>2.4675657882689443</x:v>
      </x:c>
      <x:c r="AE422" s="6" t="str">
        <x:v>-0.445227587298093</x:v>
      </x:c>
      <x:c r="AF422" s="6" t="str">
        <x:v>0.9699844685529673</x:v>
      </x:c>
      <x:c r="AG422" s="6" t="str">
        <x:v>0</x:v>
      </x:c>
      <x:c r="AH422" s="6" t="str">
        <x:v>0</x:v>
      </x:c>
      <x:c r="AI422" s="6" t="str">
        <x:v>2025-01</x:v>
      </x:c>
      <x:c r="AJ422" s="9" t="str">
        <x:v>NASA POWER (MERRA-2 meteorology)</x:v>
      </x:c>
      <x:c r="AK422" s="9" t="str">
        <x:v>Badan Informasi Geospasial (BIG)</x:v>
      </x:c>
      <x:c r="AL422" s="9" t="str">
        <x:v>https://power.larc.nasa.gov/docs/services/api/temporal/monthly/</x:v>
      </x:c>
      <x:c r="AM422" s="9" t="str">
        <x:v>https://geoservices.big.go.id/rbi/rest/services/BATASWILAYAH/BATAS_WILAYAH/MapServer/12</x:v>
      </x:c>
    </x:row>
    <x:row r="423" ht="18" customHeight="1">
      <x:c r="A423" s="6" t="str">
        <x:v>52</x:v>
      </x:c>
      <x:c r="B423" s="6" t="str">
        <x:v>NUSA TENGGARA BARAT</x:v>
      </x:c>
      <x:c r="C423" s="6" t="str">
        <x:v>2025</x:v>
      </x:c>
      <x:c r="D423" s="6" t="str">
        <x:v>2</x:v>
      </x:c>
      <x:c r="E423" s="6" t="str">
        <x:v>26.585643584164735</x:v>
      </x:c>
      <x:c r="F423" s="9" t="str">
        <x:v>grid_cells_within_BIG_polygon</x:v>
      </x:c>
      <x:c r="G423" s="6" t="str">
        <x:v>7</x:v>
      </x:c>
      <x:c r="H423" s="8" t="str">
        <x:v>85.37159217152575</x:v>
      </x:c>
      <x:c r="I423" s="6" t="str">
        <x:v>8.006934589012415</x:v>
      </x:c>
      <x:c r="J423" s="6" t="str">
        <x:v>28</x:v>
      </x:c>
      <x:c r="K423" s="6" t="str">
        <x:v>224.19416849234761</x:v>
      </x:c>
      <x:c r="L423" s="6" t="str">
        <x:v>26.28511573661306</x:v>
      </x:c>
      <x:c r="M423" s="6" t="str">
        <x:v>0.5678509766342259</x:v>
      </x:c>
      <x:c r="N423" s="6" t="str">
        <x:v>84.97884142226711</x:v>
      </x:c>
      <x:c r="O423" s="6" t="str">
        <x:v>2.536946237366804</x:v>
      </x:c>
      <x:c r="P423" s="6" t="str">
        <x:v>235.86364895913454</x:v>
      </x:c>
      <x:c r="Q423" s="6" t="str">
        <x:v>72.59255527436693</x:v>
      </x:c>
      <x:c r="R423" s="6" t="str">
        <x:v>0.30052784755167394</x:v>
      </x:c>
      <x:c r="S423" s="8" t="str">
        <x:v>0.5292371765088205</x:v>
      </x:c>
      <x:c r="T423" s="6" t="str">
        <x:v>0.3927507492586386</x:v>
      </x:c>
      <x:c r="U423" s="8" t="str">
        <x:v>0.1548124053532526</x:v>
      </x:c>
      <x:c r="V423" s="6" t="str">
        <x:v>-11.669480466786922</x:v>
      </x:c>
      <x:c r="W423" s="8" t="str">
        <x:v>-0.1607531298861375</x:v>
      </x:c>
      <x:c r="X423" s="6" t="str">
        <x:v>-0.14373566126895915</x:v>
      </x:c>
      <x:c r="Y423" s="6" t="str">
        <x:v>0.28567465480027543</x:v>
      </x:c>
      <x:c r="Z423" s="6" t="str">
        <x:v>0.22372539001337866</x:v>
      </x:c>
      <x:c r="AA423" s="6" t="str">
        <x:v>1.0410363910322196</x:v>
      </x:c>
      <x:c r="AB423" s="6" t="str">
        <x:v>0.8401884599679484</x:v>
      </x:c>
      <x:c r="AC423" s="6" t="str">
        <x:v>0.6786790854511392</x:v>
      </x:c>
      <x:c r="AD423" s="6" t="str">
        <x:v>0.8876152046880492</x:v>
      </x:c>
      <x:c r="AE423" s="6" t="str">
        <x:v>2.4675657882689443</x:v>
      </x:c>
      <x:c r="AF423" s="6" t="str">
        <x:v>1.064809287690286</x:v>
      </x:c>
      <x:c r="AG423" s="6" t="str">
        <x:v>0</x:v>
      </x:c>
      <x:c r="AH423" s="6" t="str">
        <x:v>0</x:v>
      </x:c>
      <x:c r="AI423" s="6" t="str">
        <x:v>2025-02</x:v>
      </x:c>
      <x:c r="AJ423" s="9" t="str">
        <x:v>NASA POWER (MERRA-2 meteorology)</x:v>
      </x:c>
      <x:c r="AK423" s="9" t="str">
        <x:v>Badan Informasi Geospasial (BIG)</x:v>
      </x:c>
      <x:c r="AL423" s="9" t="str">
        <x:v>https://power.larc.nasa.gov/docs/services/api/temporal/monthly/</x:v>
      </x:c>
      <x:c r="AM423" s="9" t="str">
        <x:v>https://geoservices.big.go.id/rbi/rest/services/BATASWILAYAH/BATAS_WILAYAH/MapServer/12</x:v>
      </x:c>
    </x:row>
    <x:row r="424" ht="18" customHeight="1">
      <x:c r="A424" s="6" t="str">
        <x:v>52</x:v>
      </x:c>
      <x:c r="B424" s="6" t="str">
        <x:v>NUSA TENGGARA BARAT</x:v>
      </x:c>
      <x:c r="C424" s="6" t="str">
        <x:v>2025</x:v>
      </x:c>
      <x:c r="D424" s="6" t="str">
        <x:v>3</x:v>
      </x:c>
      <x:c r="E424" s="6" t="str">
        <x:v>27.02139650909796</x:v>
      </x:c>
      <x:c r="F424" s="9" t="str">
        <x:v>grid_cells_within_BIG_polygon</x:v>
      </x:c>
      <x:c r="G424" s="6" t="str">
        <x:v>7</x:v>
      </x:c>
      <x:c r="H424" s="8" t="str">
        <x:v>84.36421062814394</x:v>
      </x:c>
      <x:c r="I424" s="6" t="str">
        <x:v>9.242862075523389</x:v>
      </x:c>
      <x:c r="J424" s="6" t="str">
        <x:v>31</x:v>
      </x:c>
      <x:c r="K424" s="6" t="str">
        <x:v>286.5287243412251</x:v>
      </x:c>
      <x:c r="L424" s="6" t="str">
        <x:v>26.56815064892861</x:v>
      </x:c>
      <x:c r="M424" s="6" t="str">
        <x:v>0.5496021918960419</x:v>
      </x:c>
      <x:c r="N424" s="6" t="str">
        <x:v>83.15938167620854</x:v>
      </x:c>
      <x:c r="O424" s="6" t="str">
        <x:v>2.546641796509969</x:v>
      </x:c>
      <x:c r="P424" s="6" t="str">
        <x:v>182.0851870319094</x:v>
      </x:c>
      <x:c r="Q424" s="6" t="str">
        <x:v>75.35048501640557</x:v>
      </x:c>
      <x:c r="R424" s="6" t="str">
        <x:v>0.45324586016934987</x:v>
      </x:c>
      <x:c r="S424" s="8" t="str">
        <x:v>0.824679862730755</x:v>
      </x:c>
      <x:c r="T424" s="6" t="str">
        <x:v>1.2048289519353972</x:v>
      </x:c>
      <x:c r="U424" s="8" t="str">
        <x:v>0.47310499403039263</x:v>
      </x:c>
      <x:c r="V424" s="6" t="str">
        <x:v>104.44353730931567</x:v>
      </x:c>
      <x:c r="W424" s="8" t="str">
        <x:v>1.386103052774987</x:v>
      </x:c>
      <x:c r="X424" s="6" t="str">
        <x:v>0.5292371765088205</x:v>
      </x:c>
      <x:c r="Y424" s="6" t="str">
        <x:v>-0.14373566126895915</x:v>
      </x:c>
      <x:c r="Z424" s="6" t="str">
        <x:v>0.40339379265687186</x:v>
      </x:c>
      <x:c r="AA424" s="6" t="str">
        <x:v>0.1548124053532526</x:v>
      </x:c>
      <x:c r="AB424" s="6" t="str">
        <x:v>1.0410363910322196</x:v>
      </x:c>
      <x:c r="AC424" s="6" t="str">
        <x:v>0.5563179301386206</x:v>
      </x:c>
      <x:c r="AD424" s="6" t="str">
        <x:v>-0.1607531298861375</x:v>
      </x:c>
      <x:c r="AE424" s="6" t="str">
        <x:v>0.8876152046880492</x:v>
      </x:c>
      <x:c r="AF424" s="6" t="str">
        <x:v>0.7043217091923001</x:v>
      </x:c>
      <x:c r="AG424" s="6" t="str">
        <x:v>1</x:v>
      </x:c>
      <x:c r="AH424" s="6" t="str">
        <x:v>0</x:v>
      </x:c>
      <x:c r="AI424" s="6" t="str">
        <x:v>2025-03</x:v>
      </x:c>
      <x:c r="AJ424" s="9" t="str">
        <x:v>NASA POWER (MERRA-2 meteorology)</x:v>
      </x:c>
      <x:c r="AK424" s="9" t="str">
        <x:v>Badan Informasi Geospasial (BIG)</x:v>
      </x:c>
      <x:c r="AL424" s="9" t="str">
        <x:v>https://power.larc.nasa.gov/docs/services/api/temporal/monthly/</x:v>
      </x:c>
      <x:c r="AM424" s="9" t="str">
        <x:v>https://geoservices.big.go.id/rbi/rest/services/BATASWILAYAH/BATAS_WILAYAH/MapServer/12</x:v>
      </x:c>
    </x:row>
    <x:row r="425" ht="18" customHeight="1">
      <x:c r="A425" s="6" t="str">
        <x:v>52</x:v>
      </x:c>
      <x:c r="B425" s="6" t="str">
        <x:v>NUSA TENGGARA BARAT</x:v>
      </x:c>
      <x:c r="C425" s="6" t="str">
        <x:v>2025</x:v>
      </x:c>
      <x:c r="D425" s="6" t="str">
        <x:v>4</x:v>
      </x:c>
      <x:c r="E425" s="6" t="str">
        <x:v>26.932911950259882</x:v>
      </x:c>
      <x:c r="F425" s="9" t="str">
        <x:v>grid_cells_within_BIG_polygon</x:v>
      </x:c>
      <x:c r="G425" s="6" t="str">
        <x:v>7</x:v>
      </x:c>
      <x:c r="H425" s="8" t="str">
        <x:v>80.84960675688527</x:v>
      </x:c>
      <x:c r="I425" s="6" t="str">
        <x:v>3.838708995152324</x:v>
      </x:c>
      <x:c r="J425" s="6" t="str">
        <x:v>30</x:v>
      </x:c>
      <x:c r="K425" s="6" t="str">
        <x:v>115.16126985456972</x:v>
      </x:c>
      <x:c r="L425" s="6" t="str">
        <x:v>26.684162477643838</x:v>
      </x:c>
      <x:c r="M425" s="6" t="str">
        <x:v>0.48872046262674795</x:v>
      </x:c>
      <x:c r="N425" s="6" t="str">
        <x:v>82.2211465632329</x:v>
      </x:c>
      <x:c r="O425" s="6" t="str">
        <x:v>1.7522523158331806</x:v>
      </x:c>
      <x:c r="P425" s="6" t="str">
        <x:v>118.00278726341863</x:v>
      </x:c>
      <x:c r="Q425" s="6" t="str">
        <x:v>50.57804088099216</x:v>
      </x:c>
      <x:c r="R425" s="6" t="str">
        <x:v>0.2487494726160442</x:v>
      </x:c>
      <x:c r="S425" s="8" t="str">
        <x:v>0.508981087632548</x:v>
      </x:c>
      <x:c r="T425" s="6" t="str">
        <x:v>-1.3715398063476414</x:v>
      </x:c>
      <x:c r="U425" s="8" t="str">
        <x:v>-0.782729629719728</x:v>
      </x:c>
      <x:c r="V425" s="6" t="str">
        <x:v>-2.841517408848901</x:v>
      </x:c>
      <x:c r="W425" s="8" t="str">
        <x:v>-0.056180851597926906</x:v>
      </x:c>
      <x:c r="X425" s="6" t="str">
        <x:v>0.824679862730755</x:v>
      </x:c>
      <x:c r="Y425" s="6" t="str">
        <x:v>0.5292371765088205</x:v>
      </x:c>
      <x:c r="Z425" s="6" t="str">
        <x:v>0.6209660422907075</x:v>
      </x:c>
      <x:c r="AA425" s="6" t="str">
        <x:v>0.47310499403039263</x:v>
      </x:c>
      <x:c r="AB425" s="6" t="str">
        <x:v>0.1548124053532526</x:v>
      </x:c>
      <x:c r="AC425" s="6" t="str">
        <x:v>-0.05160407677869531</x:v>
      </x:c>
      <x:c r="AD425" s="6" t="str">
        <x:v>1.386103052774987</x:v>
      </x:c>
      <x:c r="AE425" s="6" t="str">
        <x:v>-0.1607531298861375</x:v>
      </x:c>
      <x:c r="AF425" s="6" t="str">
        <x:v>0.38972302376364126</x:v>
      </x:c>
      <x:c r="AG425" s="6" t="str">
        <x:v>0</x:v>
      </x:c>
      <x:c r="AH425" s="6" t="str">
        <x:v>0</x:v>
      </x:c>
      <x:c r="AI425" s="6" t="str">
        <x:v>2025-04</x:v>
      </x:c>
      <x:c r="AJ425" s="9" t="str">
        <x:v>NASA POWER (MERRA-2 meteorology)</x:v>
      </x:c>
      <x:c r="AK425" s="9" t="str">
        <x:v>Badan Informasi Geospasial (BIG)</x:v>
      </x:c>
      <x:c r="AL425" s="9" t="str">
        <x:v>https://power.larc.nasa.gov/docs/services/api/temporal/monthly/</x:v>
      </x:c>
      <x:c r="AM425" s="9" t="str">
        <x:v>https://geoservices.big.go.id/rbi/rest/services/BATASWILAYAH/BATAS_WILAYAH/MapServer/12</x:v>
      </x:c>
    </x:row>
    <x:row r="426" ht="18" customHeight="1">
      <x:c r="A426" s="6" t="str">
        <x:v>52</x:v>
      </x:c>
      <x:c r="B426" s="6" t="str">
        <x:v>NUSA TENGGARA BARAT</x:v>
      </x:c>
      <x:c r="C426" s="6" t="str">
        <x:v>2025</x:v>
      </x:c>
      <x:c r="D426" s="6" t="str">
        <x:v>5</x:v>
      </x:c>
      <x:c r="E426" s="6" t="str">
        <x:v>26.744369843648926</x:v>
      </x:c>
      <x:c r="F426" s="9" t="str">
        <x:v>grid_cells_within_BIG_polygon</x:v>
      </x:c>
      <x:c r="G426" s="6" t="str">
        <x:v>7</x:v>
      </x:c>
      <x:c r="H426" s="8" t="str">
        <x:v>84.91053712902286</x:v>
      </x:c>
      <x:c r="I426" s="6" t="str">
        <x:v>3.3839574179432548</x:v>
      </x:c>
      <x:c r="J426" s="6" t="str">
        <x:v>31</x:v>
      </x:c>
      <x:c r="K426" s="6" t="str">
        <x:v>104.9026799562409</x:v>
      </x:c>
      <x:c r="L426" s="6" t="str">
        <x:v>26.142414666969806</x:v>
      </x:c>
      <x:c r="M426" s="6" t="str">
        <x:v>0.6057500207289264</x:v>
      </x:c>
      <x:c r="N426" s="6" t="str">
        <x:v>80.96772921234795</x:v>
      </x:c>
      <x:c r="O426" s="6" t="str">
        <x:v>2.4288724645976627</x:v>
      </x:c>
      <x:c r="P426" s="6" t="str">
        <x:v>54.773683743566195</x:v>
      </x:c>
      <x:c r="Q426" s="6" t="str">
        <x:v>44.08691909429086</x:v>
      </x:c>
      <x:c r="R426" s="6" t="str">
        <x:v>0.6019551766791196</x:v>
      </x:c>
      <x:c r="S426" s="8" t="str">
        <x:v>0.9937352968717355</x:v>
      </x:c>
      <x:c r="T426" s="6" t="str">
        <x:v>3.9428079166749086</x:v>
      </x:c>
      <x:c r="U426" s="8" t="str">
        <x:v>1.62330792338577</x:v>
      </x:c>
      <x:c r="V426" s="6" t="str">
        <x:v>50.12899621267471</x:v>
      </x:c>
      <x:c r="W426" s="8" t="str">
        <x:v>1.1370492028590466</x:v>
      </x:c>
      <x:c r="X426" s="6" t="str">
        <x:v>0.508981087632548</x:v>
      </x:c>
      <x:c r="Y426" s="6" t="str">
        <x:v>0.824679862730755</x:v>
      </x:c>
      <x:c r="Z426" s="6" t="str">
        <x:v>0.7757987490783459</x:v>
      </x:c>
      <x:c r="AA426" s="6" t="str">
        <x:v>-0.782729629719728</x:v>
      </x:c>
      <x:c r="AB426" s="6" t="str">
        <x:v>0.47310499403039263</x:v>
      </x:c>
      <x:c r="AC426" s="6" t="str">
        <x:v>0.4378944292321438</x:v>
      </x:c>
      <x:c r="AD426" s="6" t="str">
        <x:v>-0.056180851597926906</x:v>
      </x:c>
      <x:c r="AE426" s="6" t="str">
        <x:v>1.386103052774987</x:v>
      </x:c>
      <x:c r="AF426" s="6" t="str">
        <x:v>0.8223238013453692</x:v>
      </x:c>
      <x:c r="AG426" s="6" t="str">
        <x:v>1</x:v>
      </x:c>
      <x:c r="AH426" s="6" t="str">
        <x:v>0</x:v>
      </x:c>
      <x:c r="AI426" s="6" t="str">
        <x:v>2025-05</x:v>
      </x:c>
      <x:c r="AJ426" s="9" t="str">
        <x:v>NASA POWER (MERRA-2 meteorology)</x:v>
      </x:c>
      <x:c r="AK426" s="9" t="str">
        <x:v>Badan Informasi Geospasial (BIG)</x:v>
      </x:c>
      <x:c r="AL426" s="9" t="str">
        <x:v>https://power.larc.nasa.gov/docs/services/api/temporal/monthly/</x:v>
      </x:c>
      <x:c r="AM426" s="9" t="str">
        <x:v>https://geoservices.big.go.id/rbi/rest/services/BATASWILAYAH/BATAS_WILAYAH/MapServer/12</x:v>
      </x:c>
    </x:row>
    <x:row r="427" ht="18" customHeight="1">
      <x:c r="A427" s="6" t="str">
        <x:v>52</x:v>
      </x:c>
      <x:c r="B427" s="6" t="str">
        <x:v>NUSA TENGGARA BARAT</x:v>
      </x:c>
      <x:c r="C427" s="6" t="str">
        <x:v>2025</x:v>
      </x:c>
      <x:c r="D427" s="6" t="str">
        <x:v>6</x:v>
      </x:c>
      <x:c r="E427" s="6" t="str">
        <x:v>25.74012276858215</x:v>
      </x:c>
      <x:c r="F427" s="9" t="str">
        <x:v>grid_cells_within_BIG_polygon</x:v>
      </x:c>
      <x:c r="G427" s="6" t="str">
        <x:v>7</x:v>
      </x:c>
      <x:c r="H427" s="8" t="str">
        <x:v>83.3033781036962</x:v>
      </x:c>
      <x:c r="I427" s="6" t="str">
        <x:v>1.795601382464625</x:v>
      </x:c>
      <x:c r="J427" s="6" t="str">
        <x:v>30</x:v>
      </x:c>
      <x:c r="K427" s="6" t="str">
        <x:v>53.86804147393875</x:v>
      </x:c>
      <x:c r="L427" s="6" t="str">
        <x:v>25.482933369721398</x:v>
      </x:c>
      <x:c r="M427" s="6" t="str">
        <x:v>0.7356601477606092</x:v>
      </x:c>
      <x:c r="N427" s="6" t="str">
        <x:v>79.49316044577995</x:v>
      </x:c>
      <x:c r="O427" s="6" t="str">
        <x:v>2.6271320973672645</x:v>
      </x:c>
      <x:c r="P427" s="6" t="str">
        <x:v>27.76519854805442</x:v>
      </x:c>
      <x:c r="Q427" s="6" t="str">
        <x:v>30.582335300075865</x:v>
      </x:c>
      <x:c r="R427" s="6" t="str">
        <x:v>0.25718939886075276</x:v>
      </x:c>
      <x:c r="S427" s="8" t="str">
        <x:v>0.349603549470026</x:v>
      </x:c>
      <x:c r="T427" s="6" t="str">
        <x:v>3.8102176579162546</x:v>
      </x:c>
      <x:c r="U427" s="8" t="str">
        <x:v>1.450333487887647</x:v>
      </x:c>
      <x:c r="V427" s="6" t="str">
        <x:v>26.10284292588433</x:v>
      </x:c>
      <x:c r="W427" s="8" t="str">
        <x:v>0.8535268046001568</x:v>
      </x:c>
      <x:c r="X427" s="6" t="str">
        <x:v>0.9937352968717355</x:v>
      </x:c>
      <x:c r="Y427" s="6" t="str">
        <x:v>0.508981087632548</x:v>
      </x:c>
      <x:c r="Z427" s="6" t="str">
        <x:v>0.6174399779914362</x:v>
      </x:c>
      <x:c r="AA427" s="6" t="str">
        <x:v>1.62330792338577</x:v>
      </x:c>
      <x:c r="AB427" s="6" t="str">
        <x:v>-0.782729629719728</x:v>
      </x:c>
      <x:c r="AC427" s="6" t="str">
        <x:v>0.7636372605178954</x:v>
      </x:c>
      <x:c r="AD427" s="6" t="str">
        <x:v>1.1370492028590466</x:v>
      </x:c>
      <x:c r="AE427" s="6" t="str">
        <x:v>-0.056180851597926906</x:v>
      </x:c>
      <x:c r="AF427" s="6" t="str">
        <x:v>0.6447983852870927</x:v>
      </x:c>
      <x:c r="AG427" s="6" t="str">
        <x:v>0</x:v>
      </x:c>
      <x:c r="AH427" s="6" t="str">
        <x:v>0</x:v>
      </x:c>
      <x:c r="AI427" s="6" t="str">
        <x:v>2025-06</x:v>
      </x:c>
      <x:c r="AJ427" s="9" t="str">
        <x:v>NASA POWER (MERRA-2 meteorology)</x:v>
      </x:c>
      <x:c r="AK427" s="9" t="str">
        <x:v>Badan Informasi Geospasial (BIG)</x:v>
      </x:c>
      <x:c r="AL427" s="9" t="str">
        <x:v>https://power.larc.nasa.gov/docs/services/api/temporal/monthly/</x:v>
      </x:c>
      <x:c r="AM427" s="9" t="str">
        <x:v>https://geoservices.big.go.id/rbi/rest/services/BATASWILAYAH/BATAS_WILAYAH/MapServer/12</x:v>
      </x:c>
    </x:row>
    <x:row r="428" ht="18" customHeight="1">
      <x:c r="A428" s="6" t="str">
        <x:v>52</x:v>
      </x:c>
      <x:c r="B428" s="6" t="str">
        <x:v>NUSA TENGGARA BARAT</x:v>
      </x:c>
      <x:c r="C428" s="6" t="str">
        <x:v>2025</x:v>
      </x:c>
      <x:c r="D428" s="6" t="str">
        <x:v>7</x:v>
      </x:c>
      <x:c r="E428" s="6" t="str">
        <x:v>25.278831763734477</x:v>
      </x:c>
      <x:c r="F428" s="9" t="str">
        <x:v>grid_cells_within_BIG_polygon</x:v>
      </x:c>
      <x:c r="G428" s="6" t="str">
        <x:v>7</x:v>
      </x:c>
      <x:c r="H428" s="8" t="str">
        <x:v>81.61261271831683</x:v>
      </x:c>
      <x:c r="I428" s="6" t="str">
        <x:v>0.7940494943798718</x:v>
      </x:c>
      <x:c r="J428" s="6" t="str">
        <x:v>31</x:v>
      </x:c>
      <x:c r="K428" s="6" t="str">
        <x:v>24.615534325776025</x:v>
      </x:c>
      <x:c r="L428" s="6" t="str">
        <x:v>25.02362426984545</x:v>
      </x:c>
      <x:c r="M428" s="6" t="str">
        <x:v>0.6408324447042929</x:v>
      </x:c>
      <x:c r="N428" s="6" t="str">
        <x:v>76.69832580630442</x:v>
      </x:c>
      <x:c r="O428" s="6" t="str">
        <x:v>2.757307170529771</x:v>
      </x:c>
      <x:c r="P428" s="6" t="str">
        <x:v>19.57393203298121</x:v>
      </x:c>
      <x:c r="Q428" s="6" t="str">
        <x:v>34.92762857913532</x:v>
      </x:c>
      <x:c r="R428" s="6" t="str">
        <x:v>0.25520749388902786</x:v>
      </x:c>
      <x:c r="S428" s="8" t="str">
        <x:v>0.3982437156514311</x:v>
      </x:c>
      <x:c r="T428" s="6" t="str">
        <x:v>4.9142869120124</x:v>
      </x:c>
      <x:c r="U428" s="8" t="str">
        <x:v>1.7822776383192016</x:v>
      </x:c>
      <x:c r="V428" s="6" t="str">
        <x:v>5.041602292794813</x:v>
      </x:c>
      <x:c r="W428" s="8" t="str">
        <x:v>0.14434424831826428</x:v>
      </x:c>
      <x:c r="X428" s="6" t="str">
        <x:v>0.349603549470026</x:v>
      </x:c>
      <x:c r="Y428" s="6" t="str">
        <x:v>0.9937352968717355</x:v>
      </x:c>
      <x:c r="Z428" s="6" t="str">
        <x:v>0.5805275206643973</x:v>
      </x:c>
      <x:c r="AA428" s="6" t="str">
        <x:v>1.450333487887647</x:v>
      </x:c>
      <x:c r="AB428" s="6" t="str">
        <x:v>1.62330792338577</x:v>
      </x:c>
      <x:c r="AC428" s="6" t="str">
        <x:v>1.6186396831975385</x:v>
      </x:c>
      <x:c r="AD428" s="6" t="str">
        <x:v>0.8535268046001568</x:v>
      </x:c>
      <x:c r="AE428" s="6" t="str">
        <x:v>1.1370492028590466</x:v>
      </x:c>
      <x:c r="AF428" s="6" t="str">
        <x:v>0.7116400852591563</x:v>
      </x:c>
      <x:c r="AG428" s="6" t="str">
        <x:v>0</x:v>
      </x:c>
      <x:c r="AH428" s="6" t="str">
        <x:v>0</x:v>
      </x:c>
      <x:c r="AI428" s="6" t="str">
        <x:v>2025-07</x:v>
      </x:c>
      <x:c r="AJ428" s="9" t="str">
        <x:v>NASA POWER (MERRA-2 meteorology)</x:v>
      </x:c>
      <x:c r="AK428" s="9" t="str">
        <x:v>Badan Informasi Geospasial (BIG)</x:v>
      </x:c>
      <x:c r="AL428" s="9" t="str">
        <x:v>https://power.larc.nasa.gov/docs/services/api/temporal/monthly/</x:v>
      </x:c>
      <x:c r="AM428" s="9" t="str">
        <x:v>https://geoservices.big.go.id/rbi/rest/services/BATASWILAYAH/BATAS_WILAYAH/MapServer/12</x:v>
      </x:c>
    </x:row>
    <x:row r="429" ht="18" customHeight="1">
      <x:c r="A429" s="6" t="str">
        <x:v>52</x:v>
      </x:c>
      <x:c r="B429" s="6" t="str">
        <x:v>NUSA TENGGARA BARAT</x:v>
      </x:c>
      <x:c r="C429" s="6" t="str">
        <x:v>2025</x:v>
      </x:c>
      <x:c r="D429" s="6" t="str">
        <x:v>8</x:v>
      </x:c>
      <x:c r="E429" s="6" t="str">
        <x:v>25.84179358873087</x:v>
      </x:c>
      <x:c r="F429" s="9" t="str">
        <x:v>grid_cells_within_BIG_polygon</x:v>
      </x:c>
      <x:c r="G429" s="6" t="str">
        <x:v>7</x:v>
      </x:c>
      <x:c r="H429" s="8" t="str">
        <x:v>76.34324959681271</x:v>
      </x:c>
      <x:c r="I429" s="6" t="str">
        <x:v>0.3670439297808975</x:v>
      </x:c>
      <x:c r="J429" s="6" t="str">
        <x:v>31</x:v>
      </x:c>
      <x:c r="K429" s="6" t="str">
        <x:v>11.378361823207822</x:v>
      </x:c>
      <x:c r="L429" s="6" t="str">
        <x:v>25.335154737370296</x:v>
      </x:c>
      <x:c r="M429" s="6" t="str">
        <x:v>0.5486542806916044</x:v>
      </x:c>
      <x:c r="N429" s="6" t="str">
        <x:v>73.15064936255754</x:v>
      </x:c>
      <x:c r="O429" s="6" t="str">
        <x:v>2.007997092317165</x:v>
      </x:c>
      <x:c r="P429" s="6" t="str">
        <x:v>7.742366458568916</x:v>
      </x:c>
      <x:c r="Q429" s="6" t="str">
        <x:v>9.208199420303144</x:v>
      </x:c>
      <x:c r="R429" s="6" t="str">
        <x:v>0.5066388513605737</x:v>
      </x:c>
      <x:c r="S429" s="8" t="str">
        <x:v>0.9234209395430795</x:v>
      </x:c>
      <x:c r="T429" s="6" t="str">
        <x:v>3.192600234255167</x:v>
      </x:c>
      <x:c r="U429" s="8" t="str">
        <x:v>1.5899426580199911</x:v>
      </x:c>
      <x:c r="V429" s="6" t="str">
        <x:v>3.635995364638906</x:v>
      </x:c>
      <x:c r="W429" s="8" t="str">
        <x:v>0.3948649674790824</x:v>
      </x:c>
      <x:c r="X429" s="6" t="str">
        <x:v>0.3982437156514311</x:v>
      </x:c>
      <x:c r="Y429" s="6" t="str">
        <x:v>0.349603549470026</x:v>
      </x:c>
      <x:c r="Z429" s="6" t="str">
        <x:v>0.5570894015548452</x:v>
      </x:c>
      <x:c r="AA429" s="6" t="str">
        <x:v>1.7822776383192016</x:v>
      </x:c>
      <x:c r="AB429" s="6" t="str">
        <x:v>1.450333487887647</x:v>
      </x:c>
      <x:c r="AC429" s="6" t="str">
        <x:v>1.6075179280756122</x:v>
      </x:c>
      <x:c r="AD429" s="6" t="str">
        <x:v>0.14434424831826428</x:v>
      </x:c>
      <x:c r="AE429" s="6" t="str">
        <x:v>0.8535268046001568</x:v>
      </x:c>
      <x:c r="AF429" s="6" t="str">
        <x:v>0.46424534013250157</x:v>
      </x:c>
      <x:c r="AG429" s="6" t="str">
        <x:v>0</x:v>
      </x:c>
      <x:c r="AH429" s="6" t="str">
        <x:v>0</x:v>
      </x:c>
      <x:c r="AI429" s="6" t="str">
        <x:v>2025-08</x:v>
      </x:c>
      <x:c r="AJ429" s="9" t="str">
        <x:v>NASA POWER (MERRA-2 meteorology)</x:v>
      </x:c>
      <x:c r="AK429" s="9" t="str">
        <x:v>Badan Informasi Geospasial (BIG)</x:v>
      </x:c>
      <x:c r="AL429" s="9" t="str">
        <x:v>https://power.larc.nasa.gov/docs/services/api/temporal/monthly/</x:v>
      </x:c>
      <x:c r="AM429" s="9" t="str">
        <x:v>https://geoservices.big.go.id/rbi/rest/services/BATASWILAYAH/BATAS_WILAYAH/MapServer/12</x:v>
      </x:c>
    </x:row>
    <x:row r="430" ht="18" customHeight="1">
      <x:c r="A430" s="6" t="str">
        <x:v>52</x:v>
      </x:c>
      <x:c r="B430" s="6" t="str">
        <x:v>NUSA TENGGARA BARAT</x:v>
      </x:c>
      <x:c r="C430" s="6" t="str">
        <x:v>2025</x:v>
      </x:c>
      <x:c r="D430" s="6" t="str">
        <x:v>9</x:v>
      </x:c>
      <x:c r="E430" s="6" t="str">
        <x:v>26.846115475902394</x:v>
      </x:c>
      <x:c r="F430" s="9" t="str">
        <x:v>grid_cells_within_BIG_polygon</x:v>
      </x:c>
      <x:c r="G430" s="6" t="str">
        <x:v>7</x:v>
      </x:c>
      <x:c r="H430" s="8" t="str">
        <x:v>75.9759639663857</x:v>
      </x:c>
      <x:c r="I430" s="6" t="str">
        <x:v>1.6456128920192024</x:v>
      </x:c>
      <x:c r="J430" s="6" t="str">
        <x:v>30</x:v>
      </x:c>
      <x:c r="K430" s="6" t="str">
        <x:v>49.36838676057607</x:v>
      </x:c>
      <x:c r="L430" s="6" t="str">
        <x:v>26.483653233910204</x:v>
      </x:c>
      <x:c r="M430" s="6" t="str">
        <x:v>0.5244267582805844</x:v>
      </x:c>
      <x:c r="N430" s="6" t="str">
        <x:v>71.19488390884263</x:v>
      </x:c>
      <x:c r="O430" s="6" t="str">
        <x:v>2.641719356291759</x:v>
      </x:c>
      <x:c r="P430" s="6" t="str">
        <x:v>22.679779400203937</x:v>
      </x:c>
      <x:c r="Q430" s="6" t="str">
        <x:v>51.545401355294615</x:v>
      </x:c>
      <x:c r="R430" s="6" t="str">
        <x:v>0.36246224199219057</x:v>
      </x:c>
      <x:c r="S430" s="8" t="str">
        <x:v>0.6911589392970336</x:v>
      </x:c>
      <x:c r="T430" s="6" t="str">
        <x:v>4.781080057543079</x:v>
      </x:c>
      <x:c r="U430" s="8" t="str">
        <x:v>1.8098364787145251</x:v>
      </x:c>
      <x:c r="V430" s="6" t="str">
        <x:v>26.688607360372135</x:v>
      </x:c>
      <x:c r="W430" s="8" t="str">
        <x:v>0.5177689310519017</x:v>
      </x:c>
      <x:c r="X430" s="6" t="str">
        <x:v>0.9234209395430795</x:v>
      </x:c>
      <x:c r="Y430" s="6" t="str">
        <x:v>0.3982437156514311</x:v>
      </x:c>
      <x:c r="Z430" s="6" t="str">
        <x:v>0.6709411981638477</x:v>
      </x:c>
      <x:c r="AA430" s="6" t="str">
        <x:v>1.5899426580199911</x:v>
      </x:c>
      <x:c r="AB430" s="6" t="str">
        <x:v>1.7822776383192016</x:v>
      </x:c>
      <x:c r="AC430" s="6" t="str">
        <x:v>1.7273522583512382</x:v>
      </x:c>
      <x:c r="AD430" s="6" t="str">
        <x:v>0.3948649674790824</x:v>
      </x:c>
      <x:c r="AE430" s="6" t="str">
        <x:v>0.14434424831826428</x:v>
      </x:c>
      <x:c r="AF430" s="6" t="str">
        <x:v>0.3523260489497499</x:v>
      </x:c>
      <x:c r="AG430" s="6" t="str">
        <x:v>0</x:v>
      </x:c>
      <x:c r="AH430" s="6" t="str">
        <x:v>0</x:v>
      </x:c>
      <x:c r="AI430" s="6" t="str">
        <x:v>2025-09</x:v>
      </x:c>
      <x:c r="AJ430" s="9" t="str">
        <x:v>NASA POWER (MERRA-2 meteorology)</x:v>
      </x:c>
      <x:c r="AK430" s="9" t="str">
        <x:v>Badan Informasi Geospasial (BIG)</x:v>
      </x:c>
      <x:c r="AL430" s="9" t="str">
        <x:v>https://power.larc.nasa.gov/docs/services/api/temporal/monthly/</x:v>
      </x:c>
      <x:c r="AM430" s="9" t="str">
        <x:v>https://geoservices.big.go.id/rbi/rest/services/BATASWILAYAH/BATAS_WILAYAH/MapServer/12</x:v>
      </x:c>
    </x:row>
    <x:row r="431" ht="18" customHeight="1">
      <x:c r="A431" s="6" t="str">
        <x:v>52</x:v>
      </x:c>
      <x:c r="B431" s="6" t="str">
        <x:v>NUSA TENGGARA BARAT</x:v>
      </x:c>
      <x:c r="C431" s="6" t="str">
        <x:v>2025</x:v>
      </x:c>
      <x:c r="D431" s="6" t="str">
        <x:v>10</x:v>
      </x:c>
      <x:c r="E431" s="6" t="str">
        <x:v>28.11460387125866</x:v>
      </x:c>
      <x:c r="F431" s="9" t="str">
        <x:v>grid_cells_within_BIG_polygon</x:v>
      </x:c>
      <x:c r="G431" s="6" t="str">
        <x:v>7</x:v>
      </x:c>
      <x:c r="H431" s="8" t="str">
        <x:v>74.41195859196503</x:v>
      </x:c>
      <x:c r="I431" s="6" t="str">
        <x:v>2.5942700941759305</x:v>
      </x:c>
      <x:c r="J431" s="6" t="str">
        <x:v>31</x:v>
      </x:c>
      <x:c r="K431" s="6" t="str">
        <x:v>80.42237291945385</x:v>
      </x:c>
      <x:c r="L431" s="6" t="str">
        <x:v>27.672605725026585</x:v>
      </x:c>
      <x:c r="M431" s="6" t="str">
        <x:v>0.37042638325002003</x:v>
      </x:c>
      <x:c r="N431" s="6" t="str">
        <x:v>70.82476510081821</x:v>
      </x:c>
      <x:c r="O431" s="6" t="str">
        <x:v>3.836769117501742</x:v>
      </x:c>
      <x:c r="P431" s="6" t="str">
        <x:v>55.73236849867076</x:v>
      </x:c>
      <x:c r="Q431" s="6" t="str">
        <x:v>50.26574819075636</x:v>
      </x:c>
      <x:c r="R431" s="6" t="str">
        <x:v>0.44199814623207345</x:v>
      </x:c>
      <x:c r="S431" s="8" t="str">
        <x:v>1.1932145392941569</x:v>
      </x:c>
      <x:c r="T431" s="6" t="str">
        <x:v>3.58719349114682</x:v>
      </x:c>
      <x:c r="U431" s="8" t="str">
        <x:v>0.9349516171779892</x:v>
      </x:c>
      <x:c r="V431" s="6" t="str">
        <x:v>24.69000442078309</x:v>
      </x:c>
      <x:c r="W431" s="8" t="str">
        <x:v>0.49118943434574136</x:v>
      </x:c>
      <x:c r="X431" s="6" t="str">
        <x:v>0.6911589392970336</x:v>
      </x:c>
      <x:c r="Y431" s="6" t="str">
        <x:v>0.9234209395430795</x:v>
      </x:c>
      <x:c r="Z431" s="6" t="str">
        <x:v>0.9359314727114231</x:v>
      </x:c>
      <x:c r="AA431" s="6" t="str">
        <x:v>1.8098364787145251</x:v>
      </x:c>
      <x:c r="AB431" s="6" t="str">
        <x:v>1.5899426580199911</x:v>
      </x:c>
      <x:c r="AC431" s="6" t="str">
        <x:v>1.4449102513041676</x:v>
      </x:c>
      <x:c r="AD431" s="6" t="str">
        <x:v>0.5177689310519017</x:v>
      </x:c>
      <x:c r="AE431" s="6" t="str">
        <x:v>0.3948649674790824</x:v>
      </x:c>
      <x:c r="AF431" s="6" t="str">
        <x:v>0.4679411109589089</x:v>
      </x:c>
      <x:c r="AG431" s="6" t="str">
        <x:v>0</x:v>
      </x:c>
      <x:c r="AH431" s="6" t="str">
        <x:v>1</x:v>
      </x:c>
      <x:c r="AI431" s="6" t="str">
        <x:v>2025-10</x:v>
      </x:c>
      <x:c r="AJ431" s="9" t="str">
        <x:v>NASA POWER (MERRA-2 meteorology)</x:v>
      </x:c>
      <x:c r="AK431" s="9" t="str">
        <x:v>Badan Informasi Geospasial (BIG)</x:v>
      </x:c>
      <x:c r="AL431" s="9" t="str">
        <x:v>https://power.larc.nasa.gov/docs/services/api/temporal/monthly/</x:v>
      </x:c>
      <x:c r="AM431" s="9" t="str">
        <x:v>https://geoservices.big.go.id/rbi/rest/services/BATASWILAYAH/BATAS_WILAYAH/MapServer/12</x:v>
      </x:c>
    </x:row>
    <x:row r="432" ht="18" customHeight="1">
      <x:c r="A432" s="6" t="str">
        <x:v>52</x:v>
      </x:c>
      <x:c r="B432" s="6" t="str">
        <x:v>NUSA TENGGARA BARAT</x:v>
      </x:c>
      <x:c r="C432" s="6" t="str">
        <x:v>2025</x:v>
      </x:c>
      <x:c r="D432" s="6" t="str">
        <x:v>11</x:v>
      </x:c>
      <x:c r="E432" s="6" t="str">
        <x:v>27.410134278136724</x:v>
      </x:c>
      <x:c r="F432" s="9" t="str">
        <x:v>grid_cells_within_BIG_polygon</x:v>
      </x:c>
      <x:c r="G432" s="6" t="str">
        <x:v>7</x:v>
      </x:c>
      <x:c r="H432" s="8" t="str">
        <x:v>79.92324190730038</x:v>
      </x:c>
      <x:c r="I432" s="6" t="str">
        <x:v>6.799735280244727</x:v>
      </x:c>
      <x:c r="J432" s="6" t="str">
        <x:v>30</x:v>
      </x:c>
      <x:c r="K432" s="6" t="str">
        <x:v>203.9920584073418</x:v>
      </x:c>
      <x:c r="L432" s="6" t="str">
        <x:v>27.890505016973236</x:v>
      </x:c>
      <x:c r="M432" s="6" t="str">
        <x:v>0.6781227059238503</x:v>
      </x:c>
      <x:c r="N432" s="6" t="str">
        <x:v>74.67641040098137</x:v>
      </x:c>
      <x:c r="O432" s="6" t="str">
        <x:v>4.283399905883718</x:v>
      </x:c>
      <x:c r="P432" s="6" t="str">
        <x:v>146.5948954631172</x:v>
      </x:c>
      <x:c r="Q432" s="6" t="str">
        <x:v>61.54530371483929</x:v>
      </x:c>
      <x:c r="R432" s="6" t="str">
        <x:v>-0.4803707388365126</x:v>
      </x:c>
      <x:c r="S432" s="8" t="str">
        <x:v>-0.7083832094695496</x:v>
      </x:c>
      <x:c r="T432" s="6" t="str">
        <x:v>5.246831506319012</x:v>
      </x:c>
      <x:c r="U432" s="8" t="str">
        <x:v>1.2249221696792576</x:v>
      </x:c>
      <x:c r="V432" s="6" t="str">
        <x:v>57.39716294422459</x:v>
      </x:c>
      <x:c r="W432" s="8" t="str">
        <x:v>0.9326002063482459</x:v>
      </x:c>
      <x:c r="X432" s="6" t="str">
        <x:v>1.1932145392941569</x:v>
      </x:c>
      <x:c r="Y432" s="6" t="str">
        <x:v>0.6911589392970336</x:v>
      </x:c>
      <x:c r="Z432" s="6" t="str">
        <x:v>0.39199675637388004</x:v>
      </x:c>
      <x:c r="AA432" s="6" t="str">
        <x:v>0.9349516171779892</x:v>
      </x:c>
      <x:c r="AB432" s="6" t="str">
        <x:v>1.8098364787145251</x:v>
      </x:c>
      <x:c r="AC432" s="6" t="str">
        <x:v>1.3232367551905895</x:v>
      </x:c>
      <x:c r="AD432" s="6" t="str">
        <x:v>0.49118943434574136</x:v>
      </x:c>
      <x:c r="AE432" s="6" t="str">
        <x:v>0.5177689310519017</x:v>
      </x:c>
      <x:c r="AF432" s="6" t="str">
        <x:v>0.6471861905819635</x:v>
      </x:c>
      <x:c r="AG432" s="6" t="str">
        <x:v>0</x:v>
      </x:c>
      <x:c r="AH432" s="6" t="str">
        <x:v>0</x:v>
      </x:c>
      <x:c r="AI432" s="6" t="str">
        <x:v>2025-11</x:v>
      </x:c>
      <x:c r="AJ432" s="9" t="str">
        <x:v>NASA POWER (MERRA-2 meteorology)</x:v>
      </x:c>
      <x:c r="AK432" s="9" t="str">
        <x:v>Badan Informasi Geospasial (BIG)</x:v>
      </x:c>
      <x:c r="AL432" s="9" t="str">
        <x:v>https://power.larc.nasa.gov/docs/services/api/temporal/monthly/</x:v>
      </x:c>
      <x:c r="AM432" s="9" t="str">
        <x:v>https://geoservices.big.go.id/rbi/rest/services/BATASWILAYAH/BATAS_WILAYAH/MapServer/12</x:v>
      </x:c>
    </x:row>
    <x:row r="433" ht="18" customHeight="1">
      <x:c r="A433" s="6" t="str">
        <x:v>52</x:v>
      </x:c>
      <x:c r="B433" s="6" t="str">
        <x:v>NUSA TENGGARA BARAT</x:v>
      </x:c>
      <x:c r="C433" s="6" t="str">
        <x:v>2025</x:v>
      </x:c>
      <x:c r="D433" s="6" t="str">
        <x:v>12</x:v>
      </x:c>
      <x:c r="E433" s="6" t="str">
        <x:v>27.135708804974005</x:v>
      </x:c>
      <x:c r="F433" s="9" t="str">
        <x:v>grid_cells_within_BIG_polygon</x:v>
      </x:c>
      <x:c r="G433" s="6" t="str">
        <x:v>7</x:v>
      </x:c>
      <x:c r="H433" s="8" t="str">
        <x:v>82.51838289110596</x:v>
      </x:c>
      <x:c r="I433" s="6" t="str">
        <x:v>7.365795126633336</x:v>
      </x:c>
      <x:c r="J433" s="6" t="str">
        <x:v>31</x:v>
      </x:c>
      <x:c r="K433" s="6" t="str">
        <x:v>228.3396489256334</x:v>
      </x:c>
      <x:c r="L433" s="6" t="str">
        <x:v>26.989998464843517</x:v>
      </x:c>
      <x:c r="M433" s="6" t="str">
        <x:v>0.6300793424048204</x:v>
      </x:c>
      <x:c r="N433" s="6" t="str">
        <x:v>80.85910602182722</x:v>
      </x:c>
      <x:c r="O433" s="6" t="str">
        <x:v>3.1496250227722604</x:v>
      </x:c>
      <x:c r="P433" s="6" t="str">
        <x:v>231.41692471723508</x:v>
      </x:c>
      <x:c r="Q433" s="6" t="str">
        <x:v>69.33304600806684</x:v>
      </x:c>
      <x:c r="R433" s="6" t="str">
        <x:v>0.14571034013048845</x:v>
      </x:c>
      <x:c r="S433" s="8" t="str">
        <x:v>0.2312571295772951</x:v>
      </x:c>
      <x:c r="T433" s="6" t="str">
        <x:v>1.6592768692787416</x:v>
      </x:c>
      <x:c r="U433" s="8" t="str">
        <x:v>0.5268172742094445</x:v>
      </x:c>
      <x:c r="V433" s="6" t="str">
        <x:v>-3.0772757916016644</x:v>
      </x:c>
      <x:c r="W433" s="8" t="str">
        <x:v>-0.04438396938804082</x:v>
      </x:c>
      <x:c r="X433" s="6" t="str">
        <x:v>-0.7083832094695496</x:v>
      </x:c>
      <x:c r="Y433" s="6" t="str">
        <x:v>1.1932145392941569</x:v>
      </x:c>
      <x:c r="Z433" s="6" t="str">
        <x:v>0.23869615313396722</x:v>
      </x:c>
      <x:c r="AA433" s="6" t="str">
        <x:v>1.2249221696792576</x:v>
      </x:c>
      <x:c r="AB433" s="6" t="str">
        <x:v>0.9349516171779892</x:v>
      </x:c>
      <x:c r="AC433" s="6" t="str">
        <x:v>0.8955636870222293</x:v>
      </x:c>
      <x:c r="AD433" s="6" t="str">
        <x:v>0.9326002063482459</x:v>
      </x:c>
      <x:c r="AE433" s="6" t="str">
        <x:v>0.49118943434574136</x:v>
      </x:c>
      <x:c r="AF433" s="6" t="str">
        <x:v>0.4598018904353159</x:v>
      </x:c>
      <x:c r="AG433" s="6" t="str">
        <x:v>0</x:v>
      </x:c>
      <x:c r="AH433" s="6" t="str">
        <x:v>0</x:v>
      </x:c>
      <x:c r="AI433" s="6" t="str">
        <x:v>2025-12</x:v>
      </x:c>
      <x:c r="AJ433" s="9" t="str">
        <x:v>NASA POWER (MERRA-2 meteorology)</x:v>
      </x:c>
      <x:c r="AK433" s="9" t="str">
        <x:v>Badan Informasi Geospasial (BIG)</x:v>
      </x:c>
      <x:c r="AL433" s="9" t="str">
        <x:v>https://power.larc.nasa.gov/docs/services/api/temporal/monthly/</x:v>
      </x:c>
      <x:c r="AM433" s="9" t="str">
        <x:v>https://geoservices.big.go.id/rbi/rest/services/BATASWILAYAH/BATAS_WILAYAH/MapServer/12</x:v>
      </x:c>
    </x:row>
    <x:row r="434" ht="18" customHeight="1">
      <x:c r="A434" s="6" t="str">
        <x:v>53</x:v>
      </x:c>
      <x:c r="B434" s="6" t="str">
        <x:v>NUSA TENGGARA TIMUR</x:v>
      </x:c>
      <x:c r="C434" s="6" t="str">
        <x:v>2024</x:v>
      </x:c>
      <x:c r="D434" s="6" t="str">
        <x:v>1</x:v>
      </x:c>
      <x:c r="E434" s="6" t="str">
        <x:v>27.717589208621277</x:v>
      </x:c>
      <x:c r="F434" s="9" t="str">
        <x:v>grid_cells_within_BIG_polygon</x:v>
      </x:c>
      <x:c r="G434" s="6" t="str">
        <x:v>14</x:v>
      </x:c>
      <x:c r="H434" s="8" t="str">
        <x:v>80.7681011789436</x:v>
      </x:c>
      <x:c r="I434" s="6" t="str">
        <x:v>5.695171563419193</x:v>
      </x:c>
      <x:c r="J434" s="6" t="str">
        <x:v>31</x:v>
      </x:c>
      <x:c r="K434" s="6" t="str">
        <x:v>176.550318465995</x:v>
      </x:c>
      <x:c r="L434" s="6" t="str">
        <x:v>26.444268410909913</x:v>
      </x:c>
      <x:c r="M434" s="6" t="str">
        <x:v>0.5376086098883653</x:v>
      </x:c>
      <x:c r="N434" s="6" t="str">
        <x:v>83.41698612740548</x:v>
      </x:c>
      <x:c r="O434" s="6" t="str">
        <x:v>2.8778533910940833</x:v>
      </x:c>
      <x:c r="P434" s="6" t="str">
        <x:v>252.14742531204917</x:v>
      </x:c>
      <x:c r="Q434" s="6" t="str">
        <x:v>93.47852484201842</x:v>
      </x:c>
      <x:c r="R434" s="6" t="str">
        <x:v>1.2733207977113636</x:v>
      </x:c>
      <x:c r="S434" s="8" t="str">
        <x:v>2.368490337191157</x:v>
      </x:c>
      <x:c r="T434" s="6" t="str">
        <x:v>-2.648884948461884</x:v>
      </x:c>
      <x:c r="U434" s="8" t="str">
        <x:v>-0.9204377667949403</x:v>
      </x:c>
      <x:c r="V434" s="6" t="str">
        <x:v>-75.59710684605417</x:v>
      </x:c>
      <x:c r="W434" s="8" t="str">
        <x:v>-0.8087109523156855</x:v>
      </x:c>
      <x:c r="X434" s="6" t="str">
        <x:v>1.705766769755304</x:v>
      </x:c>
      <x:c r="Y434" s="6" t="str">
        <x:v>1.436645352730384</x:v>
      </x:c>
      <x:c r="Z434" s="6" t="str">
        <x:v>1.836967486558948</x:v>
      </x:c>
      <x:c r="AA434" s="6" t="str">
        <x:v>-0.4499648543779548</x:v>
      </x:c>
      <x:c r="AB434" s="6" t="str">
        <x:v>-0.4164217296296972</x:v>
      </x:c>
      <x:c r="AC434" s="6" t="str">
        <x:v>-0.5956081169341972</x:v>
      </x:c>
      <x:c r="AD434" s="6" t="str">
        <x:v>-0.9186638015242627</x:v>
      </x:c>
      <x:c r="AE434" s="6" t="str">
        <x:v>-0.24294278575101597</x:v>
      </x:c>
      <x:c r="AF434" s="6" t="str">
        <x:v>-0.6567725131969879</x:v>
      </x:c>
      <x:c r="AG434" s="6" t="str">
        <x:v>0</x:v>
      </x:c>
      <x:c r="AH434" s="6" t="str">
        <x:v>1</x:v>
      </x:c>
      <x:c r="AI434" s="6" t="str">
        <x:v>2024-01</x:v>
      </x:c>
      <x:c r="AJ434" s="9" t="str">
        <x:v>NASA POWER (MERRA-2 meteorology)</x:v>
      </x:c>
      <x:c r="AK434" s="9" t="str">
        <x:v>Badan Informasi Geospasial (BIG)</x:v>
      </x:c>
      <x:c r="AL434" s="9" t="str">
        <x:v>https://power.larc.nasa.gov/docs/services/api/temporal/monthly/</x:v>
      </x:c>
      <x:c r="AM434" s="9" t="str">
        <x:v>https://geoservices.big.go.id/rbi/rest/services/BATASWILAYAH/BATAS_WILAYAH/MapServer/12</x:v>
      </x:c>
    </x:row>
    <x:row r="435" ht="18" customHeight="1">
      <x:c r="A435" s="6" t="str">
        <x:v>53</x:v>
      </x:c>
      <x:c r="B435" s="6" t="str">
        <x:v>NUSA TENGGARA TIMUR</x:v>
      </x:c>
      <x:c r="C435" s="6" t="str">
        <x:v>2024</x:v>
      </x:c>
      <x:c r="D435" s="6" t="str">
        <x:v>2</x:v>
      </x:c>
      <x:c r="E435" s="6" t="str">
        <x:v>27.53201080857162</x:v>
      </x:c>
      <x:c r="F435" s="9" t="str">
        <x:v>grid_cells_within_BIG_polygon</x:v>
      </x:c>
      <x:c r="G435" s="6" t="str">
        <x:v>14</x:v>
      </x:c>
      <x:c r="H435" s="8" t="str">
        <x:v>82.5789134541777</x:v>
      </x:c>
      <x:c r="I435" s="6" t="str">
        <x:v>6.100068620234786</x:v>
      </x:c>
      <x:c r="J435" s="6" t="str">
        <x:v>29</x:v>
      </x:c>
      <x:c r="K435" s="6" t="str">
        <x:v>176.9019899868088</x:v>
      </x:c>
      <x:c r="L435" s="6" t="str">
        <x:v>26.22951054981684</x:v>
      </x:c>
      <x:c r="M435" s="6" t="str">
        <x:v>0.533360344433341</x:v>
      </x:c>
      <x:c r="N435" s="6" t="str">
        <x:v>84.63450355860893</x:v>
      </x:c>
      <x:c r="O435" s="6" t="str">
        <x:v>2.467590752556819</x:v>
      </x:c>
      <x:c r="P435" s="6" t="str">
        <x:v>250.5351157953183</x:v>
      </x:c>
      <x:c r="Q435" s="6" t="str">
        <x:v>74.614240744379</x:v>
      </x:c>
      <x:c r="R435" s="6" t="str">
        <x:v>1.3025002587547796</x:v>
      </x:c>
      <x:c r="S435" s="8" t="str">
        <x:v>2.442064304834281</x:v>
      </x:c>
      <x:c r="T435" s="6" t="str">
        <x:v>-2.055590104431232</x:v>
      </x:c>
      <x:c r="U435" s="8" t="str">
        <x:v>-0.8330352601221704</x:v>
      </x:c>
      <x:c r="V435" s="6" t="str">
        <x:v>-73.6331258085095</x:v>
      </x:c>
      <x:c r="W435" s="8" t="str">
        <x:v>-0.9868508353622373</x:v>
      </x:c>
      <x:c r="X435" s="6" t="str">
        <x:v>2.368490337191157</x:v>
      </x:c>
      <x:c r="Y435" s="6" t="str">
        <x:v>1.705766769755304</x:v>
      </x:c>
      <x:c r="Z435" s="6" t="str">
        <x:v>2.1721071372602467</x:v>
      </x:c>
      <x:c r="AA435" s="6" t="str">
        <x:v>-0.9204377667949403</x:v>
      </x:c>
      <x:c r="AB435" s="6" t="str">
        <x:v>-0.4499648543779548</x:v>
      </x:c>
      <x:c r="AC435" s="6" t="str">
        <x:v>-0.7344792937650215</x:v>
      </x:c>
      <x:c r="AD435" s="6" t="str">
        <x:v>-0.8087109523156855</x:v>
      </x:c>
      <x:c r="AE435" s="6" t="str">
        <x:v>-0.9186638015242627</x:v>
      </x:c>
      <x:c r="AF435" s="6" t="str">
        <x:v>-0.904741863067395</x:v>
      </x:c>
      <x:c r="AG435" s="6" t="str">
        <x:v>0</x:v>
      </x:c>
      <x:c r="AH435" s="6" t="str">
        <x:v>1</x:v>
      </x:c>
      <x:c r="AI435" s="6" t="str">
        <x:v>2024-02</x:v>
      </x:c>
      <x:c r="AJ435" s="9" t="str">
        <x:v>NASA POWER (MERRA-2 meteorology)</x:v>
      </x:c>
      <x:c r="AK435" s="9" t="str">
        <x:v>Badan Informasi Geospasial (BIG)</x:v>
      </x:c>
      <x:c r="AL435" s="9" t="str">
        <x:v>https://power.larc.nasa.gov/docs/services/api/temporal/monthly/</x:v>
      </x:c>
      <x:c r="AM435" s="9" t="str">
        <x:v>https://geoservices.big.go.id/rbi/rest/services/BATASWILAYAH/BATAS_WILAYAH/MapServer/12</x:v>
      </x:c>
    </x:row>
    <x:row r="436" ht="18" customHeight="1">
      <x:c r="A436" s="6" t="str">
        <x:v>53</x:v>
      </x:c>
      <x:c r="B436" s="6" t="str">
        <x:v>NUSA TENGGARA TIMUR</x:v>
      </x:c>
      <x:c r="C436" s="6" t="str">
        <x:v>2024</x:v>
      </x:c>
      <x:c r="D436" s="6" t="str">
        <x:v>3</x:v>
      </x:c>
      <x:c r="E436" s="6" t="str">
        <x:v>27.141603867776936</x:v>
      </x:c>
      <x:c r="F436" s="9" t="str">
        <x:v>grid_cells_within_BIG_polygon</x:v>
      </x:c>
      <x:c r="G436" s="6" t="str">
        <x:v>14</x:v>
      </x:c>
      <x:c r="H436" s="8" t="str">
        <x:v>84.96582886402602</x:v>
      </x:c>
      <x:c r="I436" s="6" t="str">
        <x:v>11.069869143250624</x:v>
      </x:c>
      <x:c r="J436" s="6" t="str">
        <x:v>31</x:v>
      </x:c>
      <x:c r="K436" s="6" t="str">
        <x:v>343.16594344076935</x:v>
      </x:c>
      <x:c r="L436" s="6" t="str">
        <x:v>26.414200050948704</x:v>
      </x:c>
      <x:c r="M436" s="6" t="str">
        <x:v>0.5341117135525165</x:v>
      </x:c>
      <x:c r="N436" s="6" t="str">
        <x:v>82.5551554974939</x:v>
      </x:c>
      <x:c r="O436" s="6" t="str">
        <x:v>2.606904524380903</x:v>
      </x:c>
      <x:c r="P436" s="6" t="str">
        <x:v>189.23193487512705</x:v>
      </x:c>
      <x:c r="Q436" s="6" t="str">
        <x:v>74.14341262421001</x:v>
      </x:c>
      <x:c r="R436" s="6" t="str">
        <x:v>0.7274038168282324</x:v>
      </x:c>
      <x:c r="S436" s="8" t="str">
        <x:v>1.3618945220094119</x:v>
      </x:c>
      <x:c r="T436" s="6" t="str">
        <x:v>2.410673366532123</x:v>
      </x:c>
      <x:c r="U436" s="8" t="str">
        <x:v>0.9247263733621462</x:v>
      </x:c>
      <x:c r="V436" s="6" t="str">
        <x:v>153.9340085656423</x:v>
      </x:c>
      <x:c r="W436" s="8" t="str">
        <x:v>2.0761656783434637</x:v>
      </x:c>
      <x:c r="X436" s="6" t="str">
        <x:v>2.442064304834281</x:v>
      </x:c>
      <x:c r="Y436" s="6" t="str">
        <x:v>2.368490337191157</x:v>
      </x:c>
      <x:c r="Z436" s="6" t="str">
        <x:v>2.057483054678283</x:v>
      </x:c>
      <x:c r="AA436" s="6" t="str">
        <x:v>-0.8330352601221704</x:v>
      </x:c>
      <x:c r="AB436" s="6" t="str">
        <x:v>-0.9204377667949403</x:v>
      </x:c>
      <x:c r="AC436" s="6" t="str">
        <x:v>-0.2762488845183213</x:v>
      </x:c>
      <x:c r="AD436" s="6" t="str">
        <x:v>-0.9868508353622373</x:v>
      </x:c>
      <x:c r="AE436" s="6" t="str">
        <x:v>-0.8087109523156855</x:v>
      </x:c>
      <x:c r="AF436" s="6" t="str">
        <x:v>0.09353463022184709</x:v>
      </x:c>
      <x:c r="AG436" s="6" t="str">
        <x:v>1</x:v>
      </x:c>
      <x:c r="AH436" s="6" t="str">
        <x:v>1</x:v>
      </x:c>
      <x:c r="AI436" s="6" t="str">
        <x:v>2024-03</x:v>
      </x:c>
      <x:c r="AJ436" s="9" t="str">
        <x:v>NASA POWER (MERRA-2 meteorology)</x:v>
      </x:c>
      <x:c r="AK436" s="9" t="str">
        <x:v>Badan Informasi Geospasial (BIG)</x:v>
      </x:c>
      <x:c r="AL436" s="9" t="str">
        <x:v>https://power.larc.nasa.gov/docs/services/api/temporal/monthly/</x:v>
      </x:c>
      <x:c r="AM436" s="9" t="str">
        <x:v>https://geoservices.big.go.id/rbi/rest/services/BATASWILAYAH/BATAS_WILAYAH/MapServer/12</x:v>
      </x:c>
    </x:row>
    <x:row r="437" ht="18" customHeight="1">
      <x:c r="A437" s="6" t="str">
        <x:v>53</x:v>
      </x:c>
      <x:c r="B437" s="6" t="str">
        <x:v>NUSA TENGGARA TIMUR</x:v>
      </x:c>
      <x:c r="C437" s="6" t="str">
        <x:v>2024</x:v>
      </x:c>
      <x:c r="D437" s="6" t="str">
        <x:v>4</x:v>
      </x:c>
      <x:c r="E437" s="6" t="str">
        <x:v>26.986216606084284</x:v>
      </x:c>
      <x:c r="F437" s="9" t="str">
        <x:v>grid_cells_within_BIG_polygon</x:v>
      </x:c>
      <x:c r="G437" s="6" t="str">
        <x:v>14</x:v>
      </x:c>
      <x:c r="H437" s="8" t="str">
        <x:v>83.73769582836779</x:v>
      </x:c>
      <x:c r="I437" s="6" t="str">
        <x:v>6.956825704832952</x:v>
      </x:c>
      <x:c r="J437" s="6" t="str">
        <x:v>30</x:v>
      </x:c>
      <x:c r="K437" s="6" t="str">
        <x:v>208.70477114498857</x:v>
      </x:c>
      <x:c r="L437" s="6" t="str">
        <x:v>26.512144879080452</x:v>
      </x:c>
      <x:c r="M437" s="6" t="str">
        <x:v>0.48837141374430676</x:v>
      </x:c>
      <x:c r="N437" s="6" t="str">
        <x:v>80.17411299632882</x:v>
      </x:c>
      <x:c r="O437" s="6" t="str">
        <x:v>2.4824685620337</x:v>
      </x:c>
      <x:c r="P437" s="6" t="str">
        <x:v>111.5979380284084</x:v>
      </x:c>
      <x:c r="Q437" s="6" t="str">
        <x:v>53.32610346325972</x:v>
      </x:c>
      <x:c r="R437" s="6" t="str">
        <x:v>0.4740717270038317</x:v>
      </x:c>
      <x:c r="S437" s="8" t="str">
        <x:v>0.9707196483290444</x:v>
      </x:c>
      <x:c r="T437" s="6" t="str">
        <x:v>3.563582832038975</x:v>
      </x:c>
      <x:c r="U437" s="8" t="str">
        <x:v>1.435499682267718</x:v>
      </x:c>
      <x:c r="V437" s="6" t="str">
        <x:v>97.10683311658018</x:v>
      </x:c>
      <x:c r="W437" s="8" t="str">
        <x:v>1.8209999758089248</x:v>
      </x:c>
      <x:c r="X437" s="6" t="str">
        <x:v>1.3618945220094119</x:v>
      </x:c>
      <x:c r="Y437" s="6" t="str">
        <x:v>2.442064304834281</x:v>
      </x:c>
      <x:c r="Z437" s="6" t="str">
        <x:v>1.5915594917242453</x:v>
      </x:c>
      <x:c r="AA437" s="6" t="str">
        <x:v>0.9247263733621462</x:v>
      </x:c>
      <x:c r="AB437" s="6" t="str">
        <x:v>-0.8330352601221704</x:v>
      </x:c>
      <x:c r="AC437" s="6" t="str">
        <x:v>0.5090635985025648</x:v>
      </x:c>
      <x:c r="AD437" s="6" t="str">
        <x:v>2.0761656783434637</x:v>
      </x:c>
      <x:c r="AE437" s="6" t="str">
        <x:v>-0.9868508353622373</x:v>
      </x:c>
      <x:c r="AF437" s="6" t="str">
        <x:v>0.9701049395967173</x:v>
      </x:c>
      <x:c r="AG437" s="6" t="str">
        <x:v>1</x:v>
      </x:c>
      <x:c r="AH437" s="6" t="str">
        <x:v>0</x:v>
      </x:c>
      <x:c r="AI437" s="6" t="str">
        <x:v>2024-04</x:v>
      </x:c>
      <x:c r="AJ437" s="9" t="str">
        <x:v>NASA POWER (MERRA-2 meteorology)</x:v>
      </x:c>
      <x:c r="AK437" s="9" t="str">
        <x:v>Badan Informasi Geospasial (BIG)</x:v>
      </x:c>
      <x:c r="AL437" s="9" t="str">
        <x:v>https://power.larc.nasa.gov/docs/services/api/temporal/monthly/</x:v>
      </x:c>
      <x:c r="AM437" s="9" t="str">
        <x:v>https://geoservices.big.go.id/rbi/rest/services/BATASWILAYAH/BATAS_WILAYAH/MapServer/12</x:v>
      </x:c>
    </x:row>
    <x:row r="438" ht="18" customHeight="1">
      <x:c r="A438" s="6" t="str">
        <x:v>53</x:v>
      </x:c>
      <x:c r="B438" s="6" t="str">
        <x:v>NUSA TENGGARA TIMUR</x:v>
      </x:c>
      <x:c r="C438" s="6" t="str">
        <x:v>2024</x:v>
      </x:c>
      <x:c r="D438" s="6" t="str">
        <x:v>5</x:v>
      </x:c>
      <x:c r="E438" s="6" t="str">
        <x:v>26.652892001668633</x:v>
      </x:c>
      <x:c r="F438" s="9" t="str">
        <x:v>grid_cells_within_BIG_polygon</x:v>
      </x:c>
      <x:c r="G438" s="6" t="str">
        <x:v>14</x:v>
      </x:c>
      <x:c r="H438" s="8" t="str">
        <x:v>80.7505640109745</x:v>
      </x:c>
      <x:c r="I438" s="6" t="str">
        <x:v>0.7648787613190546</x:v>
      </x:c>
      <x:c r="J438" s="6" t="str">
        <x:v>31</x:v>
      </x:c>
      <x:c r="K438" s="6" t="str">
        <x:v>23.711241600890695</x:v>
      </x:c>
      <x:c r="L438" s="6" t="str">
        <x:v>26.130585819210573</x:v>
      </x:c>
      <x:c r="M438" s="6" t="str">
        <x:v>0.578540329448308</x:v>
      </x:c>
      <x:c r="N438" s="6" t="str">
        <x:v>76.99392031644831</x:v>
      </x:c>
      <x:c r="O438" s="6" t="str">
        <x:v>3.5534301233056573</x:v>
      </x:c>
      <x:c r="P438" s="6" t="str">
        <x:v>49.93025787781665</x:v>
      </x:c>
      <x:c r="Q438" s="6" t="str">
        <x:v>43.02668572904534</x:v>
      </x:c>
      <x:c r="R438" s="6" t="str">
        <x:v>0.5223061824580597</x:v>
      </x:c>
      <x:c r="S438" s="8" t="str">
        <x:v>0.9027999533863563</x:v>
      </x:c>
      <x:c r="T438" s="6" t="str">
        <x:v>3.75664369452619</x:v>
      </x:c>
      <x:c r="U438" s="8" t="str">
        <x:v>1.0571880026253306</x:v>
      </x:c>
      <x:c r="V438" s="6" t="str">
        <x:v>-26.219016276925956</x:v>
      </x:c>
      <x:c r="W438" s="8" t="str">
        <x:v>-0.6093663928018211</x:v>
      </x:c>
      <x:c r="X438" s="6" t="str">
        <x:v>0.9707196483290444</x:v>
      </x:c>
      <x:c r="Y438" s="6" t="str">
        <x:v>1.3618945220094119</x:v>
      </x:c>
      <x:c r="Z438" s="6" t="str">
        <x:v>1.078471374574937</x:v>
      </x:c>
      <x:c r="AA438" s="6" t="str">
        <x:v>1.435499682267718</x:v>
      </x:c>
      <x:c r="AB438" s="6" t="str">
        <x:v>0.9247263733621462</x:v>
      </x:c>
      <x:c r="AC438" s="6" t="str">
        <x:v>1.1391380194183987</x:v>
      </x:c>
      <x:c r="AD438" s="6" t="str">
        <x:v>1.8209999758089248</x:v>
      </x:c>
      <x:c r="AE438" s="6" t="str">
        <x:v>2.0761656783434637</x:v>
      </x:c>
      <x:c r="AF438" s="6" t="str">
        <x:v>1.0959330871168558</x:v>
      </x:c>
      <x:c r="AG438" s="6" t="str">
        <x:v>0</x:v>
      </x:c>
      <x:c r="AH438" s="6" t="str">
        <x:v>0</x:v>
      </x:c>
      <x:c r="AI438" s="6" t="str">
        <x:v>2024-05</x:v>
      </x:c>
      <x:c r="AJ438" s="9" t="str">
        <x:v>NASA POWER (MERRA-2 meteorology)</x:v>
      </x:c>
      <x:c r="AK438" s="9" t="str">
        <x:v>Badan Informasi Geospasial (BIG)</x:v>
      </x:c>
      <x:c r="AL438" s="9" t="str">
        <x:v>https://power.larc.nasa.gov/docs/services/api/temporal/monthly/</x:v>
      </x:c>
      <x:c r="AM438" s="9" t="str">
        <x:v>https://geoservices.big.go.id/rbi/rest/services/BATASWILAYAH/BATAS_WILAYAH/MapServer/12</x:v>
      </x:c>
    </x:row>
    <x:row r="439" ht="18" customHeight="1">
      <x:c r="A439" s="6" t="str">
        <x:v>53</x:v>
      </x:c>
      <x:c r="B439" s="6" t="str">
        <x:v>NUSA TENGGARA TIMUR</x:v>
      </x:c>
      <x:c r="C439" s="6" t="str">
        <x:v>2024</x:v>
      </x:c>
      <x:c r="D439" s="6" t="str">
        <x:v>6</x:v>
      </x:c>
      <x:c r="E439" s="6" t="str">
        <x:v>25.777263023661764</x:v>
      </x:c>
      <x:c r="F439" s="9" t="str">
        <x:v>grid_cells_within_BIG_polygon</x:v>
      </x:c>
      <x:c r="G439" s="6" t="str">
        <x:v>14</x:v>
      </x:c>
      <x:c r="H439" s="8" t="str">
        <x:v>77.05006062053269</x:v>
      </x:c>
      <x:c r="I439" s="6" t="str">
        <x:v>0.9026453009362885</x:v>
      </x:c>
      <x:c r="J439" s="6" t="str">
        <x:v>30</x:v>
      </x:c>
      <x:c r="K439" s="6" t="str">
        <x:v>27.079359028088653</x:v>
      </x:c>
      <x:c r="L439" s="6" t="str">
        <x:v>25.43722889018117</x:v>
      </x:c>
      <x:c r="M439" s="6" t="str">
        <x:v>0.6558023444160858</x:v>
      </x:c>
      <x:c r="N439" s="6" t="str">
        <x:v>74.60846077394025</x:v>
      </x:c>
      <x:c r="O439" s="6" t="str">
        <x:v>3.1199408610474824</x:v>
      </x:c>
      <x:c r="P439" s="6" t="str">
        <x:v>23.117150457984838</x:v>
      </x:c>
      <x:c r="Q439" s="6" t="str">
        <x:v>21.527825189880787</x:v>
      </x:c>
      <x:c r="R439" s="6" t="str">
        <x:v>0.34003413348059297</x:v>
      </x:c>
      <x:c r="S439" s="8" t="str">
        <x:v>0.5185009422059219</x:v>
      </x:c>
      <x:c r="T439" s="6" t="str">
        <x:v>2.441599846592439</x:v>
      </x:c>
      <x:c r="U439" s="8" t="str">
        <x:v>0.7825788870154101</x:v>
      </x:c>
      <x:c r="V439" s="6" t="str">
        <x:v>3.962208570103815</x:v>
      </x:c>
      <x:c r="W439" s="8" t="str">
        <x:v>0.1840505733930923</x:v>
      </x:c>
      <x:c r="X439" s="6" t="str">
        <x:v>0.9027999533863563</x:v>
      </x:c>
      <x:c r="Y439" s="6" t="str">
        <x:v>0.9707196483290444</x:v>
      </x:c>
      <x:c r="Z439" s="6" t="str">
        <x:v>0.7973401813071069</x:v>
      </x:c>
      <x:c r="AA439" s="6" t="str">
        <x:v>1.0571880026253306</x:v>
      </x:c>
      <x:c r="AB439" s="6" t="str">
        <x:v>1.435499682267718</x:v>
      </x:c>
      <x:c r="AC439" s="6" t="str">
        <x:v>1.0917555239694863</x:v>
      </x:c>
      <x:c r="AD439" s="6" t="str">
        <x:v>-0.6093663928018211</x:v>
      </x:c>
      <x:c r="AE439" s="6" t="str">
        <x:v>1.8209999758089248</x:v>
      </x:c>
      <x:c r="AF439" s="6" t="str">
        <x:v>0.46522805213339874</x:v>
      </x:c>
      <x:c r="AG439" s="6" t="str">
        <x:v>0</x:v>
      </x:c>
      <x:c r="AH439" s="6" t="str">
        <x:v>0</x:v>
      </x:c>
      <x:c r="AI439" s="6" t="str">
        <x:v>2024-06</x:v>
      </x:c>
      <x:c r="AJ439" s="9" t="str">
        <x:v>NASA POWER (MERRA-2 meteorology)</x:v>
      </x:c>
      <x:c r="AK439" s="9" t="str">
        <x:v>Badan Informasi Geospasial (BIG)</x:v>
      </x:c>
      <x:c r="AL439" s="9" t="str">
        <x:v>https://power.larc.nasa.gov/docs/services/api/temporal/monthly/</x:v>
      </x:c>
      <x:c r="AM439" s="9" t="str">
        <x:v>https://geoservices.big.go.id/rbi/rest/services/BATASWILAYAH/BATAS_WILAYAH/MapServer/12</x:v>
      </x:c>
    </x:row>
    <x:row r="440" ht="18" customHeight="1">
      <x:c r="A440" s="6" t="str">
        <x:v>53</x:v>
      </x:c>
      <x:c r="B440" s="6" t="str">
        <x:v>NUSA TENGGARA TIMUR</x:v>
      </x:c>
      <x:c r="C440" s="6" t="str">
        <x:v>2024</x:v>
      </x:c>
      <x:c r="D440" s="6" t="str">
        <x:v>7</x:v>
      </x:c>
      <x:c r="E440" s="6" t="str">
        <x:v>25.44148378823559</x:v>
      </x:c>
      <x:c r="F440" s="9" t="str">
        <x:v>grid_cells_within_BIG_polygon</x:v>
      </x:c>
      <x:c r="G440" s="6" t="str">
        <x:v>14</x:v>
      </x:c>
      <x:c r="H440" s="8" t="str">
        <x:v>73.5580448037401</x:v>
      </x:c>
      <x:c r="I440" s="6" t="str">
        <x:v>0.8603296305767179</x:v>
      </x:c>
      <x:c r="J440" s="6" t="str">
        <x:v>31</x:v>
      </x:c>
      <x:c r="K440" s="6" t="str">
        <x:v>26.670218547878253</x:v>
      </x:c>
      <x:c r="L440" s="6" t="str">
        <x:v>25.019499596808874</x:v>
      </x:c>
      <x:c r="M440" s="6" t="str">
        <x:v>0.5383346080225049</x:v>
      </x:c>
      <x:c r="N440" s="6" t="str">
        <x:v>71.83950614965238</x:v>
      </x:c>
      <x:c r="O440" s="6" t="str">
        <x:v>2.9744601108442517</x:v>
      </x:c>
      <x:c r="P440" s="6" t="str">
        <x:v>14.933050418329417</x:v>
      </x:c>
      <x:c r="Q440" s="6" t="str">
        <x:v>18.050252559774062</x:v>
      </x:c>
      <x:c r="R440" s="6" t="str">
        <x:v>0.4219841914267164</x:v>
      </x:c>
      <x:c r="S440" s="8" t="str">
        <x:v>0.7838697069408466</x:v>
      </x:c>
      <x:c r="T440" s="6" t="str">
        <x:v>1.7185386540877232</x:v>
      </x:c>
      <x:c r="U440" s="8" t="str">
        <x:v>0.5777649018799396</x:v>
      </x:c>
      <x:c r="V440" s="6" t="str">
        <x:v>11.737168129548836</x:v>
      </x:c>
      <x:c r="W440" s="8" t="str">
        <x:v>0.6502495236939638</x:v>
      </x:c>
      <x:c r="X440" s="6" t="str">
        <x:v>0.5185009422059219</x:v>
      </x:c>
      <x:c r="Y440" s="6" t="str">
        <x:v>0.9027999533863563</x:v>
      </x:c>
      <x:c r="Z440" s="6" t="str">
        <x:v>0.7350568675110409</x:v>
      </x:c>
      <x:c r="AA440" s="6" t="str">
        <x:v>0.7825788870154101</x:v>
      </x:c>
      <x:c r="AB440" s="6" t="str">
        <x:v>1.0571880026253306</x:v>
      </x:c>
      <x:c r="AC440" s="6" t="str">
        <x:v>0.8058439305068936</x:v>
      </x:c>
      <x:c r="AD440" s="6" t="str">
        <x:v>0.1840505733930923</x:v>
      </x:c>
      <x:c r="AE440" s="6" t="str">
        <x:v>-0.6093663928018211</x:v>
      </x:c>
      <x:c r="AF440" s="6" t="str">
        <x:v>0.07497790142841172</x:v>
      </x:c>
      <x:c r="AG440" s="6" t="str">
        <x:v>0</x:v>
      </x:c>
      <x:c r="AH440" s="6" t="str">
        <x:v>0</x:v>
      </x:c>
      <x:c r="AI440" s="6" t="str">
        <x:v>2024-07</x:v>
      </x:c>
      <x:c r="AJ440" s="9" t="str">
        <x:v>NASA POWER (MERRA-2 meteorology)</x:v>
      </x:c>
      <x:c r="AK440" s="9" t="str">
        <x:v>Badan Informasi Geospasial (BIG)</x:v>
      </x:c>
      <x:c r="AL440" s="9" t="str">
        <x:v>https://power.larc.nasa.gov/docs/services/api/temporal/monthly/</x:v>
      </x:c>
      <x:c r="AM440" s="9" t="str">
        <x:v>https://geoservices.big.go.id/rbi/rest/services/BATASWILAYAH/BATAS_WILAYAH/MapServer/12</x:v>
      </x:c>
    </x:row>
    <x:row r="441" ht="18" customHeight="1">
      <x:c r="A441" s="6" t="str">
        <x:v>53</x:v>
      </x:c>
      <x:c r="B441" s="6" t="str">
        <x:v>NUSA TENGGARA TIMUR</x:v>
      </x:c>
      <x:c r="C441" s="6" t="str">
        <x:v>2024</x:v>
      </x:c>
      <x:c r="D441" s="6" t="str">
        <x:v>8</x:v>
      </x:c>
      <x:c r="E441" s="6" t="str">
        <x:v>26.147549028873073</x:v>
      </x:c>
      <x:c r="F441" s="9" t="str">
        <x:v>grid_cells_within_BIG_polygon</x:v>
      </x:c>
      <x:c r="G441" s="6" t="str">
        <x:v>14</x:v>
      </x:c>
      <x:c r="H441" s="8" t="str">
        <x:v>69.70658526693978</x:v>
      </x:c>
      <x:c r="I441" s="6" t="str">
        <x:v>0.3348842934225224</x:v>
      </x:c>
      <x:c r="J441" s="6" t="str">
        <x:v>31</x:v>
      </x:c>
      <x:c r="K441" s="6" t="str">
        <x:v>10.381413096098195</x:v>
      </x:c>
      <x:c r="L441" s="6" t="str">
        <x:v>25.360751063283583</x:v>
      </x:c>
      <x:c r="M441" s="6" t="str">
        <x:v>0.4771988107174938</x:v>
      </x:c>
      <x:c r="N441" s="6" t="str">
        <x:v>68.20912905087874</x:v>
      </x:c>
      <x:c r="O441" s="6" t="str">
        <x:v>1.8739468277756044</x:v>
      </x:c>
      <x:c r="P441" s="6" t="str">
        <x:v>8.587484302490044</x:v>
      </x:c>
      <x:c r="Q441" s="6" t="str">
        <x:v>8.429876254997456</x:v>
      </x:c>
      <x:c r="R441" s="6" t="str">
        <x:v>0.7867979655894892</x:v>
      </x:c>
      <x:c r="S441" s="8" t="str">
        <x:v>1.6487844225900241</x:v>
      </x:c>
      <x:c r="T441" s="6" t="str">
        <x:v>1.497456216061039</x:v>
      </x:c>
      <x:c r="U441" s="8" t="str">
        <x:v>0.7990921587879503</x:v>
      </x:c>
      <x:c r="V441" s="6" t="str">
        <x:v>1.793928793608151</x:v>
      </x:c>
      <x:c r="W441" s="8" t="str">
        <x:v>0.21280606492232457</x:v>
      </x:c>
      <x:c r="X441" s="6" t="str">
        <x:v>0.7838697069408466</x:v>
      </x:c>
      <x:c r="Y441" s="6" t="str">
        <x:v>0.5185009422059219</x:v>
      </x:c>
      <x:c r="Z441" s="6" t="str">
        <x:v>0.9837183572455969</x:v>
      </x:c>
      <x:c r="AA441" s="6" t="str">
        <x:v>0.5777649018799396</x:v>
      </x:c>
      <x:c r="AB441" s="6" t="str">
        <x:v>0.7825788870154101</x:v>
      </x:c>
      <x:c r="AC441" s="6" t="str">
        <x:v>0.7198119825611001</x:v>
      </x:c>
      <x:c r="AD441" s="6" t="str">
        <x:v>0.6502495236939638</x:v>
      </x:c>
      <x:c r="AE441" s="6" t="str">
        <x:v>0.1840505733930923</x:v>
      </x:c>
      <x:c r="AF441" s="6" t="str">
        <x:v>0.3490353873364603</x:v>
      </x:c>
      <x:c r="AG441" s="6" t="str">
        <x:v>0</x:v>
      </x:c>
      <x:c r="AH441" s="6" t="str">
        <x:v>1</x:v>
      </x:c>
      <x:c r="AI441" s="6" t="str">
        <x:v>2024-08</x:v>
      </x:c>
      <x:c r="AJ441" s="9" t="str">
        <x:v>NASA POWER (MERRA-2 meteorology)</x:v>
      </x:c>
      <x:c r="AK441" s="9" t="str">
        <x:v>Badan Informasi Geospasial (BIG)</x:v>
      </x:c>
      <x:c r="AL441" s="9" t="str">
        <x:v>https://power.larc.nasa.gov/docs/services/api/temporal/monthly/</x:v>
      </x:c>
      <x:c r="AM441" s="9" t="str">
        <x:v>https://geoservices.big.go.id/rbi/rest/services/BATASWILAYAH/BATAS_WILAYAH/MapServer/12</x:v>
      </x:c>
    </x:row>
    <x:row r="442" ht="18" customHeight="1">
      <x:c r="A442" s="6" t="str">
        <x:v>53</x:v>
      </x:c>
      <x:c r="B442" s="6" t="str">
        <x:v>NUSA TENGGARA TIMUR</x:v>
      </x:c>
      <x:c r="C442" s="6" t="str">
        <x:v>2024</x:v>
      </x:c>
      <x:c r="D442" s="6" t="str">
        <x:v>9</x:v>
      </x:c>
      <x:c r="E442" s="6" t="str">
        <x:v>27.458255525195888</x:v>
      </x:c>
      <x:c r="F442" s="9" t="str">
        <x:v>grid_cells_within_BIG_polygon</x:v>
      </x:c>
      <x:c r="G442" s="6" t="str">
        <x:v>14</x:v>
      </x:c>
      <x:c r="H442" s="8" t="str">
        <x:v>69.97206665091525</x:v>
      </x:c>
      <x:c r="I442" s="6" t="str">
        <x:v>1.3347560825458733</x:v>
      </x:c>
      <x:c r="J442" s="6" t="str">
        <x:v>30</x:v>
      </x:c>
      <x:c r="K442" s="6" t="str">
        <x:v>40.0426824763762</x:v>
      </x:c>
      <x:c r="L442" s="6" t="str">
        <x:v>26.60889578650569</x:v>
      </x:c>
      <x:c r="M442" s="6" t="str">
        <x:v>0.5015445704208772</x:v>
      </x:c>
      <x:c r="N442" s="6" t="str">
        <x:v>66.65601563619715</x:v>
      </x:c>
      <x:c r="O442" s="6" t="str">
        <x:v>2.585877128745223</x:v>
      </x:c>
      <x:c r="P442" s="6" t="str">
        <x:v>18.093059421016523</x:v>
      </x:c>
      <x:c r="Q442" s="6" t="str">
        <x:v>28.265595932060894</x:v>
      </x:c>
      <x:c r="R442" s="6" t="str">
        <x:v>0.8493597386901968</x:v>
      </x:c>
      <x:c r="S442" s="8" t="str">
        <x:v>1.6934880542669344</x:v>
      </x:c>
      <x:c r="T442" s="6" t="str">
        <x:v>3.3160510147180986</x:v>
      </x:c>
      <x:c r="U442" s="8" t="str">
        <x:v>1.2823699076248016</x:v>
      </x:c>
      <x:c r="V442" s="6" t="str">
        <x:v>21.949623055359677</x:v>
      </x:c>
      <x:c r="W442" s="8" t="str">
        <x:v>0.7765490990573037</x:v>
      </x:c>
      <x:c r="X442" s="6" t="str">
        <x:v>1.6487844225900241</x:v>
      </x:c>
      <x:c r="Y442" s="6" t="str">
        <x:v>0.7838697069408466</x:v>
      </x:c>
      <x:c r="Z442" s="6" t="str">
        <x:v>1.3753807279326011</x:v>
      </x:c>
      <x:c r="AA442" s="6" t="str">
        <x:v>0.7990921587879503</x:v>
      </x:c>
      <x:c r="AB442" s="6" t="str">
        <x:v>0.5777649018799396</x:v>
      </x:c>
      <x:c r="AC442" s="6" t="str">
        <x:v>0.8864089894308974</x:v>
      </x:c>
      <x:c r="AD442" s="6" t="str">
        <x:v>0.21280606492232457</x:v>
      </x:c>
      <x:c r="AE442" s="6" t="str">
        <x:v>0.6502495236939638</x:v>
      </x:c>
      <x:c r="AF442" s="6" t="str">
        <x:v>0.5465348958911974</x:v>
      </x:c>
      <x:c r="AG442" s="6" t="str">
        <x:v>0</x:v>
      </x:c>
      <x:c r="AH442" s="6" t="str">
        <x:v>1</x:v>
      </x:c>
      <x:c r="AI442" s="6" t="str">
        <x:v>2024-09</x:v>
      </x:c>
      <x:c r="AJ442" s="9" t="str">
        <x:v>NASA POWER (MERRA-2 meteorology)</x:v>
      </x:c>
      <x:c r="AK442" s="9" t="str">
        <x:v>Badan Informasi Geospasial (BIG)</x:v>
      </x:c>
      <x:c r="AL442" s="9" t="str">
        <x:v>https://power.larc.nasa.gov/docs/services/api/temporal/monthly/</x:v>
      </x:c>
      <x:c r="AM442" s="9" t="str">
        <x:v>https://geoservices.big.go.id/rbi/rest/services/BATASWILAYAH/BATAS_WILAYAH/MapServer/12</x:v>
      </x:c>
    </x:row>
    <x:row r="443" ht="18" customHeight="1">
      <x:c r="A443" s="6" t="str">
        <x:v>53</x:v>
      </x:c>
      <x:c r="B443" s="6" t="str">
        <x:v>NUSA TENGGARA TIMUR</x:v>
      </x:c>
      <x:c r="C443" s="6" t="str">
        <x:v>2024</x:v>
      </x:c>
      <x:c r="D443" s="6" t="str">
        <x:v>10</x:v>
      </x:c>
      <x:c r="E443" s="6" t="str">
        <x:v>28.447928910203085</x:v>
      </x:c>
      <x:c r="F443" s="9" t="str">
        <x:v>grid_cells_within_BIG_polygon</x:v>
      </x:c>
      <x:c r="G443" s="6" t="str">
        <x:v>14</x:v>
      </x:c>
      <x:c r="H443" s="8" t="str">
        <x:v>69.18552510581199</x:v>
      </x:c>
      <x:c r="I443" s="6" t="str">
        <x:v>1.726591944868974</x:v>
      </x:c>
      <x:c r="J443" s="6" t="str">
        <x:v>31</x:v>
      </x:c>
      <x:c r="K443" s="6" t="str">
        <x:v>53.524350290938195</x:v>
      </x:c>
      <x:c r="L443" s="6" t="str">
        <x:v>27.901517634686858</x:v>
      </x:c>
      <x:c r="M443" s="6" t="str">
        <x:v>0.38984486001993995</x:v>
      </x:c>
      <x:c r="N443" s="6" t="str">
        <x:v>66.13287215269094</x:v>
      </x:c>
      <x:c r="O443" s="6" t="str">
        <x:v>3.6171618133394188</x:v>
      </x:c>
      <x:c r="P443" s="6" t="str">
        <x:v>38.356923464320936</x:v>
      </x:c>
      <x:c r="Q443" s="6" t="str">
        <x:v>34.68847078318766</x:v>
      </x:c>
      <x:c r="R443" s="6" t="str">
        <x:v>0.5464112755162276</x:v>
      </x:c>
      <x:c r="S443" s="8" t="str">
        <x:v>1.401612106642318</x:v>
      </x:c>
      <x:c r="T443" s="6" t="str">
        <x:v>3.0526529531210542</x:v>
      </x:c>
      <x:c r="U443" s="8" t="str">
        <x:v>0.843935967106431</x:v>
      </x:c>
      <x:c r="V443" s="6" t="str">
        <x:v>15.167426826617259</x:v>
      </x:c>
      <x:c r="W443" s="8" t="str">
        <x:v>0.43724691472904026</x:v>
      </x:c>
      <x:c r="X443" s="6" t="str">
        <x:v>1.6934880542669344</x:v>
      </x:c>
      <x:c r="Y443" s="6" t="str">
        <x:v>1.6487844225900241</x:v>
      </x:c>
      <x:c r="Z443" s="6" t="str">
        <x:v>1.581294861166425</x:v>
      </x:c>
      <x:c r="AA443" s="6" t="str">
        <x:v>1.2823699076248016</x:v>
      </x:c>
      <x:c r="AB443" s="6" t="str">
        <x:v>0.7990921587879503</x:v>
      </x:c>
      <x:c r="AC443" s="6" t="str">
        <x:v>0.9751326778397278</x:v>
      </x:c>
      <x:c r="AD443" s="6" t="str">
        <x:v>0.7765490990573037</x:v>
      </x:c>
      <x:c r="AE443" s="6" t="str">
        <x:v>0.21280606492232457</x:v>
      </x:c>
      <x:c r="AF443" s="6" t="str">
        <x:v>0.47553402623622293</x:v>
      </x:c>
      <x:c r="AG443" s="6" t="str">
        <x:v>0</x:v>
      </x:c>
      <x:c r="AH443" s="6" t="str">
        <x:v>1</x:v>
      </x:c>
      <x:c r="AI443" s="6" t="str">
        <x:v>2024-10</x:v>
      </x:c>
      <x:c r="AJ443" s="9" t="str">
        <x:v>NASA POWER (MERRA-2 meteorology)</x:v>
      </x:c>
      <x:c r="AK443" s="9" t="str">
        <x:v>Badan Informasi Geospasial (BIG)</x:v>
      </x:c>
      <x:c r="AL443" s="9" t="str">
        <x:v>https://power.larc.nasa.gov/docs/services/api/temporal/monthly/</x:v>
      </x:c>
      <x:c r="AM443" s="9" t="str">
        <x:v>https://geoservices.big.go.id/rbi/rest/services/BATASWILAYAH/BATAS_WILAYAH/MapServer/12</x:v>
      </x:c>
    </x:row>
    <x:row r="444" ht="18" customHeight="1">
      <x:c r="A444" s="6" t="str">
        <x:v>53</x:v>
      </x:c>
      <x:c r="B444" s="6" t="str">
        <x:v>NUSA TENGGARA TIMUR</x:v>
      </x:c>
      <x:c r="C444" s="6" t="str">
        <x:v>2024</x:v>
      </x:c>
      <x:c r="D444" s="6" t="str">
        <x:v>11</x:v>
      </x:c>
      <x:c r="E444" s="6" t="str">
        <x:v>28.89800068229349</x:v>
      </x:c>
      <x:c r="F444" s="9" t="str">
        <x:v>grid_cells_within_BIG_polygon</x:v>
      </x:c>
      <x:c r="G444" s="6" t="str">
        <x:v>14</x:v>
      </x:c>
      <x:c r="H444" s="8" t="str">
        <x:v>71.19866506867054</x:v>
      </x:c>
      <x:c r="I444" s="6" t="str">
        <x:v>2.9782488964075937</x:v>
      </x:c>
      <x:c r="J444" s="6" t="str">
        <x:v>30</x:v>
      </x:c>
      <x:c r="K444" s="6" t="str">
        <x:v>89.34746689222781</x:v>
      </x:c>
      <x:c r="L444" s="6" t="str">
        <x:v>28.280663632343717</x:v>
      </x:c>
      <x:c r="M444" s="6" t="str">
        <x:v>0.5512557242591001</x:v>
      </x:c>
      <x:c r="N444" s="6" t="str">
        <x:v>69.80360620341806</x:v>
      </x:c>
      <x:c r="O444" s="6" t="str">
        <x:v>4.389809169200309</x:v>
      </x:c>
      <x:c r="P444" s="6" t="str">
        <x:v>104.13954117051782</x:v>
      </x:c>
      <x:c r="Q444" s="6" t="str">
        <x:v>47.515094701361654</x:v>
      </x:c>
      <x:c r="R444" s="6" t="str">
        <x:v>0.6173370499497715</x:v>
      </x:c>
      <x:c r="S444" s="8" t="str">
        <x:v>1.119874175963408</x:v>
      </x:c>
      <x:c r="T444" s="6" t="str">
        <x:v>1.39505886525248</x:v>
      </x:c>
      <x:c r="U444" s="8" t="str">
        <x:v>0.31779487706218845</x:v>
      </x:c>
      <x:c r="V444" s="6" t="str">
        <x:v>-14.792074278290002</x:v>
      </x:c>
      <x:c r="W444" s="8" t="str">
        <x:v>-0.3113131599812659</x:v>
      </x:c>
      <x:c r="X444" s="6" t="str">
        <x:v>1.401612106642318</x:v>
      </x:c>
      <x:c r="Y444" s="6" t="str">
        <x:v>1.6934880542669344</x:v>
      </x:c>
      <x:c r="Z444" s="6" t="str">
        <x:v>1.4049914456242198</x:v>
      </x:c>
      <x:c r="AA444" s="6" t="str">
        <x:v>0.843935967106431</x:v>
      </x:c>
      <x:c r="AB444" s="6" t="str">
        <x:v>1.2823699076248016</x:v>
      </x:c>
      <x:c r="AC444" s="6" t="str">
        <x:v>0.8147002505978072</x:v>
      </x:c>
      <x:c r="AD444" s="6" t="str">
        <x:v>0.43724691472904026</x:v>
      </x:c>
      <x:c r="AE444" s="6" t="str">
        <x:v>0.7765490990573037</x:v>
      </x:c>
      <x:c r="AF444" s="6" t="str">
        <x:v>0.30082761793502616</x:v>
      </x:c>
      <x:c r="AG444" s="6" t="str">
        <x:v>0</x:v>
      </x:c>
      <x:c r="AH444" s="6" t="str">
        <x:v>1</x:v>
      </x:c>
      <x:c r="AI444" s="6" t="str">
        <x:v>2024-11</x:v>
      </x:c>
      <x:c r="AJ444" s="9" t="str">
        <x:v>NASA POWER (MERRA-2 meteorology)</x:v>
      </x:c>
      <x:c r="AK444" s="9" t="str">
        <x:v>Badan Informasi Geospasial (BIG)</x:v>
      </x:c>
      <x:c r="AL444" s="9" t="str">
        <x:v>https://power.larc.nasa.gov/docs/services/api/temporal/monthly/</x:v>
      </x:c>
      <x:c r="AM444" s="9" t="str">
        <x:v>https://geoservices.big.go.id/rbi/rest/services/BATASWILAYAH/BATAS_WILAYAH/MapServer/12</x:v>
      </x:c>
    </x:row>
    <x:row r="445" ht="18" customHeight="1">
      <x:c r="A445" s="6" t="str">
        <x:v>53</x:v>
      </x:c>
      <x:c r="B445" s="6" t="str">
        <x:v>NUSA TENGGARA TIMUR</x:v>
      </x:c>
      <x:c r="C445" s="6" t="str">
        <x:v>2024</x:v>
      </x:c>
      <x:c r="D445" s="6" t="str">
        <x:v>12</x:v>
      </x:c>
      <x:c r="E445" s="6" t="str">
        <x:v>27.078493728232626</x:v>
      </x:c>
      <x:c r="F445" s="9" t="str">
        <x:v>grid_cells_within_BIG_polygon</x:v>
      </x:c>
      <x:c r="G445" s="6" t="str">
        <x:v>14</x:v>
      </x:c>
      <x:c r="H445" s="8" t="str">
        <x:v>83.92620437375467</x:v>
      </x:c>
      <x:c r="I445" s="6" t="str">
        <x:v>11.312275697893524</x:v>
      </x:c>
      <x:c r="J445" s="6" t="str">
        <x:v>31</x:v>
      </x:c>
      <x:c r="K445" s="6" t="str">
        <x:v>350.6805466346992</x:v>
      </x:c>
      <x:c r="L445" s="6" t="str">
        <x:v>27.18499840237978</x:v>
      </x:c>
      <x:c r="M445" s="6" t="str">
        <x:v>0.6302118432567106</x:v>
      </x:c>
      <x:c r="N445" s="6" t="str">
        <x:v>79.05175317112982</x:v>
      </x:c>
      <x:c r="O445" s="6" t="str">
        <x:v>3.600542111052496</x:v>
      </x:c>
      <x:c r="P445" s="6" t="str">
        <x:v>231.51887663990956</x:v>
      </x:c>
      <x:c r="Q445" s="6" t="str">
        <x:v>78.40055648215927</x:v>
      </x:c>
      <x:c r="R445" s="6" t="str">
        <x:v>-0.10650467414715337</x:v>
      </x:c>
      <x:c r="S445" s="8" t="str">
        <x:v>-0.16899821113607624</x:v>
      </x:c>
      <x:c r="T445" s="6" t="str">
        <x:v>4.874451202624854</x:v>
      </x:c>
      <x:c r="U445" s="8" t="str">
        <x:v>1.3538103575186278</x:v>
      </x:c>
      <x:c r="V445" s="6" t="str">
        <x:v>119.16166999478966</x:v>
      </x:c>
      <x:c r="W445" s="8" t="str">
        <x:v>1.5199084718474662</x:v>
      </x:c>
      <x:c r="X445" s="6" t="str">
        <x:v>1.119874175963408</x:v>
      </x:c>
      <x:c r="Y445" s="6" t="str">
        <x:v>1.401612106642318</x:v>
      </x:c>
      <x:c r="Z445" s="6" t="str">
        <x:v>0.7841626904898827</x:v>
      </x:c>
      <x:c r="AA445" s="6" t="str">
        <x:v>0.31779487706218845</x:v>
      </x:c>
      <x:c r="AB445" s="6" t="str">
        <x:v>0.843935967106431</x:v>
      </x:c>
      <x:c r="AC445" s="6" t="str">
        <x:v>0.8385137338957492</x:v>
      </x:c>
      <x:c r="AD445" s="6" t="str">
        <x:v>-0.3113131599812659</x:v>
      </x:c>
      <x:c r="AE445" s="6" t="str">
        <x:v>0.43724691472904026</x:v>
      </x:c>
      <x:c r="AF445" s="6" t="str">
        <x:v>0.5486140755317469</x:v>
      </x:c>
      <x:c r="AG445" s="6" t="str">
        <x:v>1</x:v>
      </x:c>
      <x:c r="AH445" s="6" t="str">
        <x:v>0</x:v>
      </x:c>
      <x:c r="AI445" s="6" t="str">
        <x:v>2024-12</x:v>
      </x:c>
      <x:c r="AJ445" s="9" t="str">
        <x:v>NASA POWER (MERRA-2 meteorology)</x:v>
      </x:c>
      <x:c r="AK445" s="9" t="str">
        <x:v>Badan Informasi Geospasial (BIG)</x:v>
      </x:c>
      <x:c r="AL445" s="9" t="str">
        <x:v>https://power.larc.nasa.gov/docs/services/api/temporal/monthly/</x:v>
      </x:c>
      <x:c r="AM445" s="9" t="str">
        <x:v>https://geoservices.big.go.id/rbi/rest/services/BATASWILAYAH/BATAS_WILAYAH/MapServer/12</x:v>
      </x:c>
    </x:row>
    <x:row r="446" ht="18" customHeight="1">
      <x:c r="A446" s="6" t="str">
        <x:v>53</x:v>
      </x:c>
      <x:c r="B446" s="6" t="str">
        <x:v>NUSA TENGGARA TIMUR</x:v>
      </x:c>
      <x:c r="C446" s="6" t="str">
        <x:v>2025</x:v>
      </x:c>
      <x:c r="D446" s="6" t="str">
        <x:v>1</x:v>
      </x:c>
      <x:c r="E446" s="6" t="str">
        <x:v>26.58275069159914</x:v>
      </x:c>
      <x:c r="F446" s="9" t="str">
        <x:v>grid_cells_within_BIG_polygon</x:v>
      </x:c>
      <x:c r="G446" s="6" t="str">
        <x:v>14</x:v>
      </x:c>
      <x:c r="H446" s="8" t="str">
        <x:v>85.29110676463857</x:v>
      </x:c>
      <x:c r="I446" s="6" t="str">
        <x:v>13.310221352880793</x:v>
      </x:c>
      <x:c r="J446" s="6" t="str">
        <x:v>31</x:v>
      </x:c>
      <x:c r="K446" s="6" t="str">
        <x:v>412.6168619393046</x:v>
      </x:c>
      <x:c r="L446" s="6" t="str">
        <x:v>26.444268410909913</x:v>
      </x:c>
      <x:c r="M446" s="6" t="str">
        <x:v>0.5376086098883653</x:v>
      </x:c>
      <x:c r="N446" s="6" t="str">
        <x:v>83.41698612740548</x:v>
      </x:c>
      <x:c r="O446" s="6" t="str">
        <x:v>2.8778533910940833</x:v>
      </x:c>
      <x:c r="P446" s="6" t="str">
        <x:v>252.14742531204917</x:v>
      </x:c>
      <x:c r="Q446" s="6" t="str">
        <x:v>93.47852484201842</x:v>
      </x:c>
      <x:c r="R446" s="6" t="str">
        <x:v>0.13848228068922808</x:v>
      </x:c>
      <x:c r="S446" s="8" t="str">
        <x:v>0.2575894026659729</x:v>
      </x:c>
      <x:c r="T446" s="6" t="str">
        <x:v>1.8741206372330907</x:v>
      </x:c>
      <x:c r="U446" s="8" t="str">
        <x:v>0.6512217206869596</x:v>
      </x:c>
      <x:c r="V446" s="6" t="str">
        <x:v>160.46943662725545</x:v>
      </x:c>
      <x:c r="W446" s="8" t="str">
        <x:v>1.7166449395564782</x:v>
      </x:c>
      <x:c r="X446" s="6" t="str">
        <x:v>-0.16899821113607624</x:v>
      </x:c>
      <x:c r="Y446" s="6" t="str">
        <x:v>1.119874175963408</x:v>
      </x:c>
      <x:c r="Z446" s="6" t="str">
        <x:v>0.4028217891644344</x:v>
      </x:c>
      <x:c r="AA446" s="6" t="str">
        <x:v>1.3538103575186278</x:v>
      </x:c>
      <x:c r="AB446" s="6" t="str">
        <x:v>0.31779487706218845</x:v>
      </x:c>
      <x:c r="AC446" s="6" t="str">
        <x:v>0.7742756517559254</x:v>
      </x:c>
      <x:c r="AD446" s="6" t="str">
        <x:v>1.5199084718474662</x:v>
      </x:c>
      <x:c r="AE446" s="6" t="str">
        <x:v>-0.3113131599812659</x:v>
      </x:c>
      <x:c r="AF446" s="6" t="str">
        <x:v>0.9750800838075596</x:v>
      </x:c>
      <x:c r="AG446" s="6" t="str">
        <x:v>1</x:v>
      </x:c>
      <x:c r="AH446" s="6" t="str">
        <x:v>0</x:v>
      </x:c>
      <x:c r="AI446" s="6" t="str">
        <x:v>2025-01</x:v>
      </x:c>
      <x:c r="AJ446" s="9" t="str">
        <x:v>NASA POWER (MERRA-2 meteorology)</x:v>
      </x:c>
      <x:c r="AK446" s="9" t="str">
        <x:v>Badan Informasi Geospasial (BIG)</x:v>
      </x:c>
      <x:c r="AL446" s="9" t="str">
        <x:v>https://power.larc.nasa.gov/docs/services/api/temporal/monthly/</x:v>
      </x:c>
      <x:c r="AM446" s="9" t="str">
        <x:v>https://geoservices.big.go.id/rbi/rest/services/BATASWILAYAH/BATAS_WILAYAH/MapServer/12</x:v>
      </x:c>
    </x:row>
    <x:row r="447" ht="18" customHeight="1">
      <x:c r="A447" s="6" t="str">
        <x:v>53</x:v>
      </x:c>
      <x:c r="B447" s="6" t="str">
        <x:v>NUSA TENGGARA TIMUR</x:v>
      </x:c>
      <x:c r="C447" s="6" t="str">
        <x:v>2025</x:v>
      </x:c>
      <x:c r="D447" s="6" t="str">
        <x:v>2</x:v>
      </x:c>
      <x:c r="E447" s="6" t="str">
        <x:v>26.45559077732941</x:v>
      </x:c>
      <x:c r="F447" s="9" t="str">
        <x:v>grid_cells_within_BIG_polygon</x:v>
      </x:c>
      <x:c r="G447" s="6" t="str">
        <x:v>14</x:v>
      </x:c>
      <x:c r="H447" s="8" t="str">
        <x:v>85.25067237665114</x:v>
      </x:c>
      <x:c r="I447" s="6" t="str">
        <x:v>8.475263515407999</x:v>
      </x:c>
      <x:c r="J447" s="6" t="str">
        <x:v>28</x:v>
      </x:c>
      <x:c r="K447" s="6" t="str">
        <x:v>237.30737843142396</x:v>
      </x:c>
      <x:c r="L447" s="6" t="str">
        <x:v>26.22951054981684</x:v>
      </x:c>
      <x:c r="M447" s="6" t="str">
        <x:v>0.533360344433341</x:v>
      </x:c>
      <x:c r="N447" s="6" t="str">
        <x:v>84.63450355860893</x:v>
      </x:c>
      <x:c r="O447" s="6" t="str">
        <x:v>2.467590752556819</x:v>
      </x:c>
      <x:c r="P447" s="6" t="str">
        <x:v>250.5351157953183</x:v>
      </x:c>
      <x:c r="Q447" s="6" t="str">
        <x:v>74.614240744379</x:v>
      </x:c>
      <x:c r="R447" s="6" t="str">
        <x:v>0.2260802275125684</x:v>
      </x:c>
      <x:c r="S447" s="8" t="str">
        <x:v>0.4238789588917849</x:v>
      </x:c>
      <x:c r="T447" s="6" t="str">
        <x:v>0.6161688180422118</x:v>
      </x:c>
      <x:c r="U447" s="8" t="str">
        <x:v>0.24970462277983588</x:v>
      </x:c>
      <x:c r="V447" s="6" t="str">
        <x:v>-13.227737363894335</x:v>
      </x:c>
      <x:c r="W447" s="8" t="str">
        <x:v>-0.17728167213027407</x:v>
      </x:c>
      <x:c r="X447" s="6" t="str">
        <x:v>0.2575894026659729</x:v>
      </x:c>
      <x:c r="Y447" s="6" t="str">
        <x:v>-0.16899821113607624</x:v>
      </x:c>
      <x:c r="Z447" s="6" t="str">
        <x:v>0.17082338347389334</x:v>
      </x:c>
      <x:c r="AA447" s="6" t="str">
        <x:v>0.6512217206869596</x:v>
      </x:c>
      <x:c r="AB447" s="6" t="str">
        <x:v>1.3538103575186278</x:v>
      </x:c>
      <x:c r="AC447" s="6" t="str">
        <x:v>0.7515789003284746</x:v>
      </x:c>
      <x:c r="AD447" s="6" t="str">
        <x:v>1.7166449395564782</x:v>
      </x:c>
      <x:c r="AE447" s="6" t="str">
        <x:v>1.5199084718474662</x:v>
      </x:c>
      <x:c r="AF447" s="6" t="str">
        <x:v>1.0197572464245568</x:v>
      </x:c>
      <x:c r="AG447" s="6" t="str">
        <x:v>0</x:v>
      </x:c>
      <x:c r="AH447" s="6" t="str">
        <x:v>0</x:v>
      </x:c>
      <x:c r="AI447" s="6" t="str">
        <x:v>2025-02</x:v>
      </x:c>
      <x:c r="AJ447" s="9" t="str">
        <x:v>NASA POWER (MERRA-2 meteorology)</x:v>
      </x:c>
      <x:c r="AK447" s="9" t="str">
        <x:v>Badan Informasi Geospasial (BIG)</x:v>
      </x:c>
      <x:c r="AL447" s="9" t="str">
        <x:v>https://power.larc.nasa.gov/docs/services/api/temporal/monthly/</x:v>
      </x:c>
      <x:c r="AM447" s="9" t="str">
        <x:v>https://geoservices.big.go.id/rbi/rest/services/BATASWILAYAH/BATAS_WILAYAH/MapServer/12</x:v>
      </x:c>
    </x:row>
    <x:row r="448" ht="18" customHeight="1">
      <x:c r="A448" s="6" t="str">
        <x:v>53</x:v>
      </x:c>
      <x:c r="B448" s="6" t="str">
        <x:v>NUSA TENGGARA TIMUR</x:v>
      </x:c>
      <x:c r="C448" s="6" t="str">
        <x:v>2025</x:v>
      </x:c>
      <x:c r="D448" s="6" t="str">
        <x:v>3</x:v>
      </x:c>
      <x:c r="E448" s="6" t="str">
        <x:v>26.887888458960308</x:v>
      </x:c>
      <x:c r="F448" s="9" t="str">
        <x:v>grid_cells_within_BIG_polygon</x:v>
      </x:c>
      <x:c r="G448" s="6" t="str">
        <x:v>14</x:v>
      </x:c>
      <x:c r="H448" s="8" t="str">
        <x:v>83.7553254939625</x:v>
      </x:c>
      <x:c r="I448" s="6" t="str">
        <x:v>6.589046220441576</x:v>
      </x:c>
      <x:c r="J448" s="6" t="str">
        <x:v>31</x:v>
      </x:c>
      <x:c r="K448" s="6" t="str">
        <x:v>204.26043283368884</x:v>
      </x:c>
      <x:c r="L448" s="6" t="str">
        <x:v>26.414200050948704</x:v>
      </x:c>
      <x:c r="M448" s="6" t="str">
        <x:v>0.5341117135525165</x:v>
      </x:c>
      <x:c r="N448" s="6" t="str">
        <x:v>82.5551554974939</x:v>
      </x:c>
      <x:c r="O448" s="6" t="str">
        <x:v>2.606904524380903</x:v>
      </x:c>
      <x:c r="P448" s="6" t="str">
        <x:v>189.23193487512705</x:v>
      </x:c>
      <x:c r="Q448" s="6" t="str">
        <x:v>74.14341262421001</x:v>
      </x:c>
      <x:c r="R448" s="6" t="str">
        <x:v>0.47368840801160417</x:v>
      </x:c>
      <x:c r="S448" s="8" t="str">
        <x:v>0.8868714090933877</x:v>
      </x:c>
      <x:c r="T448" s="6" t="str">
        <x:v>1.2001699964686026</x:v>
      </x:c>
      <x:c r="U448" s="8" t="str">
        <x:v>0.46038126262166174</x:v>
      </x:c>
      <x:c r="V448" s="6" t="str">
        <x:v>15.028497958561786</x:v>
      </x:c>
      <x:c r="W448" s="8" t="str">
        <x:v>0.2026949856588411</x:v>
      </x:c>
      <x:c r="X448" s="6" t="str">
        <x:v>0.4238789588917849</x:v>
      </x:c>
      <x:c r="Y448" s="6" t="str">
        <x:v>0.2575894026659729</x:v>
      </x:c>
      <x:c r="Z448" s="6" t="str">
        <x:v>0.5227799235503814</x:v>
      </x:c>
      <x:c r="AA448" s="6" t="str">
        <x:v>0.24970462277983588</x:v>
      </x:c>
      <x:c r="AB448" s="6" t="str">
        <x:v>0.6512217206869596</x:v>
      </x:c>
      <x:c r="AC448" s="6" t="str">
        <x:v>0.4537692020294859</x:v>
      </x:c>
      <x:c r="AD448" s="6" t="str">
        <x:v>-0.17728167213027407</x:v>
      </x:c>
      <x:c r="AE448" s="6" t="str">
        <x:v>1.7166449395564782</x:v>
      </x:c>
      <x:c r="AF448" s="6" t="str">
        <x:v>0.5806860843616818</x:v>
      </x:c>
      <x:c r="AG448" s="6" t="str">
        <x:v>0</x:v>
      </x:c>
      <x:c r="AH448" s="6" t="str">
        <x:v>0</x:v>
      </x:c>
      <x:c r="AI448" s="6" t="str">
        <x:v>2025-03</x:v>
      </x:c>
      <x:c r="AJ448" s="9" t="str">
        <x:v>NASA POWER (MERRA-2 meteorology)</x:v>
      </x:c>
      <x:c r="AK448" s="9" t="str">
        <x:v>Badan Informasi Geospasial (BIG)</x:v>
      </x:c>
      <x:c r="AL448" s="9" t="str">
        <x:v>https://power.larc.nasa.gov/docs/services/api/temporal/monthly/</x:v>
      </x:c>
      <x:c r="AM448" s="9" t="str">
        <x:v>https://geoservices.big.go.id/rbi/rest/services/BATASWILAYAH/BATAS_WILAYAH/MapServer/12</x:v>
      </x:c>
    </x:row>
    <x:row r="449" ht="18" customHeight="1">
      <x:c r="A449" s="6" t="str">
        <x:v>53</x:v>
      </x:c>
      <x:c r="B449" s="6" t="str">
        <x:v>NUSA TENGGARA TIMUR</x:v>
      </x:c>
      <x:c r="C449" s="6" t="str">
        <x:v>2025</x:v>
      </x:c>
      <x:c r="D449" s="6" t="str">
        <x:v>4</x:v>
      </x:c>
      <x:c r="E449" s="6" t="str">
        <x:v>26.666116868378115</x:v>
      </x:c>
      <x:c r="F449" s="9" t="str">
        <x:v>grid_cells_within_BIG_polygon</x:v>
      </x:c>
      <x:c r="G449" s="6" t="str">
        <x:v>14</x:v>
      </x:c>
      <x:c r="H449" s="8" t="str">
        <x:v>80.66016157049012</x:v>
      </x:c>
      <x:c r="I449" s="6" t="str">
        <x:v>3.8550868030743954</x:v>
      </x:c>
      <x:c r="J449" s="6" t="str">
        <x:v>30</x:v>
      </x:c>
      <x:c r="K449" s="6" t="str">
        <x:v>115.65260409223187</x:v>
      </x:c>
      <x:c r="L449" s="6" t="str">
        <x:v>26.512144879080452</x:v>
      </x:c>
      <x:c r="M449" s="6" t="str">
        <x:v>0.48837141374430676</x:v>
      </x:c>
      <x:c r="N449" s="6" t="str">
        <x:v>80.17411299632882</x:v>
      </x:c>
      <x:c r="O449" s="6" t="str">
        <x:v>2.4824685620337</x:v>
      </x:c>
      <x:c r="P449" s="6" t="str">
        <x:v>111.5979380284084</x:v>
      </x:c>
      <x:c r="Q449" s="6" t="str">
        <x:v>53.32610346325972</x:v>
      </x:c>
      <x:c r="R449" s="6" t="str">
        <x:v>0.15397198929766276</x:v>
      </x:c>
      <x:c r="S449" s="8" t="str">
        <x:v>0.31527641660508166</x:v>
      </x:c>
      <x:c r="T449" s="6" t="str">
        <x:v>0.48604857416130187</x:v>
      </x:c>
      <x:c r="U449" s="8" t="str">
        <x:v>0.19579243886299966</x:v>
      </x:c>
      <x:c r="V449" s="6" t="str">
        <x:v>4.0546660638234755</x:v>
      </x:c>
      <x:c r="W449" s="8" t="str">
        <x:v>0.07603529604627936</x:v>
      </x:c>
      <x:c r="X449" s="6" t="str">
        <x:v>0.8868714090933877</x:v>
      </x:c>
      <x:c r="Y449" s="6" t="str">
        <x:v>0.4238789588917849</x:v>
      </x:c>
      <x:c r="Z449" s="6" t="str">
        <x:v>0.542008928196751</x:v>
      </x:c>
      <x:c r="AA449" s="6" t="str">
        <x:v>0.46038126262166174</x:v>
      </x:c>
      <x:c r="AB449" s="6" t="str">
        <x:v>0.24970462277983588</x:v>
      </x:c>
      <x:c r="AC449" s="6" t="str">
        <x:v>0.3019594414214993</x:v>
      </x:c>
      <x:c r="AD449" s="6" t="str">
        <x:v>0.2026949856588411</x:v>
      </x:c>
      <x:c r="AE449" s="6" t="str">
        <x:v>-0.17728167213027407</x:v>
      </x:c>
      <x:c r="AF449" s="6" t="str">
        <x:v>0.03381620319161553</x:v>
      </x:c>
      <x:c r="AG449" s="6" t="str">
        <x:v>0</x:v>
      </x:c>
      <x:c r="AH449" s="6" t="str">
        <x:v>0</x:v>
      </x:c>
      <x:c r="AI449" s="6" t="str">
        <x:v>2025-04</x:v>
      </x:c>
      <x:c r="AJ449" s="9" t="str">
        <x:v>NASA POWER (MERRA-2 meteorology)</x:v>
      </x:c>
      <x:c r="AK449" s="9" t="str">
        <x:v>Badan Informasi Geospasial (BIG)</x:v>
      </x:c>
      <x:c r="AL449" s="9" t="str">
        <x:v>https://power.larc.nasa.gov/docs/services/api/temporal/monthly/</x:v>
      </x:c>
      <x:c r="AM449" s="9" t="str">
        <x:v>https://geoservices.big.go.id/rbi/rest/services/BATASWILAYAH/BATAS_WILAYAH/MapServer/12</x:v>
      </x:c>
    </x:row>
    <x:row r="450" ht="18" customHeight="1">
      <x:c r="A450" s="6" t="str">
        <x:v>53</x:v>
      </x:c>
      <x:c r="B450" s="6" t="str">
        <x:v>NUSA TENGGARA TIMUR</x:v>
      </x:c>
      <x:c r="C450" s="6" t="str">
        <x:v>2025</x:v>
      </x:c>
      <x:c r="D450" s="6" t="str">
        <x:v>5</x:v>
      </x:c>
      <x:c r="E450" s="6" t="str">
        <x:v>26.335746214382823</x:v>
      </x:c>
      <x:c r="F450" s="9" t="str">
        <x:v>grid_cells_within_BIG_polygon</x:v>
      </x:c>
      <x:c r="G450" s="6" t="str">
        <x:v>14</x:v>
      </x:c>
      <x:c r="H450" s="8" t="str">
        <x:v>82.99047160057299</x:v>
      </x:c>
      <x:c r="I450" s="6" t="str">
        <x:v>3.5260921840229758</x:v>
      </x:c>
      <x:c r="J450" s="6" t="str">
        <x:v>31</x:v>
      </x:c>
      <x:c r="K450" s="6" t="str">
        <x:v>109.30885770471225</x:v>
      </x:c>
      <x:c r="L450" s="6" t="str">
        <x:v>26.130585819210573</x:v>
      </x:c>
      <x:c r="M450" s="6" t="str">
        <x:v>0.578540329448308</x:v>
      </x:c>
      <x:c r="N450" s="6" t="str">
        <x:v>76.99392031644831</x:v>
      </x:c>
      <x:c r="O450" s="6" t="str">
        <x:v>3.5534301233056573</x:v>
      </x:c>
      <x:c r="P450" s="6" t="str">
        <x:v>49.93025787781665</x:v>
      </x:c>
      <x:c r="Q450" s="6" t="str">
        <x:v>43.02668572904534</x:v>
      </x:c>
      <x:c r="R450" s="6" t="str">
        <x:v>0.20516039517224982</x:v>
      </x:c>
      <x:c r="S450" s="8" t="str">
        <x:v>0.3546172751135419</x:v>
      </x:c>
      <x:c r="T450" s="6" t="str">
        <x:v>5.996551284124678</x:v>
      </x:c>
      <x:c r="U450" s="8" t="str">
        <x:v>1.6875388219386886</x:v>
      </x:c>
      <x:c r="V450" s="6" t="str">
        <x:v>59.3785998268956</x:v>
      </x:c>
      <x:c r="W450" s="8" t="str">
        <x:v>1.3800412190895714</x:v>
      </x:c>
      <x:c r="X450" s="6" t="str">
        <x:v>0.31527641660508166</x:v>
      </x:c>
      <x:c r="Y450" s="6" t="str">
        <x:v>0.8868714090933877</x:v>
      </x:c>
      <x:c r="Z450" s="6" t="str">
        <x:v>0.51892170027067</x:v>
      </x:c>
      <x:c r="AA450" s="6" t="str">
        <x:v>0.19579243886299966</x:v>
      </x:c>
      <x:c r="AB450" s="6" t="str">
        <x:v>0.46038126262166174</x:v>
      </x:c>
      <x:c r="AC450" s="6" t="str">
        <x:v>0.7812375078077834</x:v>
      </x:c>
      <x:c r="AD450" s="6" t="str">
        <x:v>0.07603529604627936</x:v>
      </x:c>
      <x:c r="AE450" s="6" t="str">
        <x:v>0.2026949856588411</x:v>
      </x:c>
      <x:c r="AF450" s="6" t="str">
        <x:v>0.5529238335982307</x:v>
      </x:c>
      <x:c r="AG450" s="6" t="str">
        <x:v>1</x:v>
      </x:c>
      <x:c r="AH450" s="6" t="str">
        <x:v>0</x:v>
      </x:c>
      <x:c r="AI450" s="6" t="str">
        <x:v>2025-05</x:v>
      </x:c>
      <x:c r="AJ450" s="9" t="str">
        <x:v>NASA POWER (MERRA-2 meteorology)</x:v>
      </x:c>
      <x:c r="AK450" s="9" t="str">
        <x:v>Badan Informasi Geospasial (BIG)</x:v>
      </x:c>
      <x:c r="AL450" s="9" t="str">
        <x:v>https://power.larc.nasa.gov/docs/services/api/temporal/monthly/</x:v>
      </x:c>
      <x:c r="AM450" s="9" t="str">
        <x:v>https://geoservices.big.go.id/rbi/rest/services/BATASWILAYAH/BATAS_WILAYAH/MapServer/12</x:v>
      </x:c>
    </x:row>
    <x:row r="451" ht="18" customHeight="1">
      <x:c r="A451" s="6" t="str">
        <x:v>53</x:v>
      </x:c>
      <x:c r="B451" s="6" t="str">
        <x:v>NUSA TENGGARA TIMUR</x:v>
      </x:c>
      <x:c r="C451" s="6" t="str">
        <x:v>2025</x:v>
      </x:c>
      <x:c r="D451" s="6" t="str">
        <x:v>6</x:v>
      </x:c>
      <x:c r="E451" s="6" t="str">
        <x:v>25.570140051365303</x:v>
      </x:c>
      <x:c r="F451" s="9" t="str">
        <x:v>grid_cells_within_BIG_polygon</x:v>
      </x:c>
      <x:c r="G451" s="6" t="str">
        <x:v>14</x:v>
      </x:c>
      <x:c r="H451" s="8" t="str">
        <x:v>78.28532485507276</x:v>
      </x:c>
      <x:c r="I451" s="6" t="str">
        <x:v>0.9474330877004377</x:v>
      </x:c>
      <x:c r="J451" s="6" t="str">
        <x:v>30</x:v>
      </x:c>
      <x:c r="K451" s="6" t="str">
        <x:v>28.42299263101313</x:v>
      </x:c>
      <x:c r="L451" s="6" t="str">
        <x:v>25.43722889018117</x:v>
      </x:c>
      <x:c r="M451" s="6" t="str">
        <x:v>0.6558023444160858</x:v>
      </x:c>
      <x:c r="N451" s="6" t="str">
        <x:v>74.60846077394025</x:v>
      </x:c>
      <x:c r="O451" s="6" t="str">
        <x:v>3.1199408610474824</x:v>
      </x:c>
      <x:c r="P451" s="6" t="str">
        <x:v>23.117150457984838</x:v>
      </x:c>
      <x:c r="Q451" s="6" t="str">
        <x:v>21.527825189880787</x:v>
      </x:c>
      <x:c r="R451" s="6" t="str">
        <x:v>0.1329111611841327</x:v>
      </x:c>
      <x:c r="S451" s="8" t="str">
        <x:v>0.20266954260810754</x:v>
      </x:c>
      <x:c r="T451" s="6" t="str">
        <x:v>3.676864081132507</x:v>
      </x:c>
      <x:c r="U451" s="8" t="str">
        <x:v>1.1785044155926867</x:v>
      </x:c>
      <x:c r="V451" s="6" t="str">
        <x:v>5.305842173028292</x:v>
      </x:c>
      <x:c r="W451" s="8" t="str">
        <x:v>0.24646438394168668</x:v>
      </x:c>
      <x:c r="X451" s="6" t="str">
        <x:v>0.3546172751135419</x:v>
      </x:c>
      <x:c r="Y451" s="6" t="str">
        <x:v>0.31527641660508166</x:v>
      </x:c>
      <x:c r="Z451" s="6" t="str">
        <x:v>0.2908544114422432</x:v>
      </x:c>
      <x:c r="AA451" s="6" t="str">
        <x:v>1.6875388219386886</x:v>
      </x:c>
      <x:c r="AB451" s="6" t="str">
        <x:v>0.19579243886299966</x:v>
      </x:c>
      <x:c r="AC451" s="6" t="str">
        <x:v>1.0206118921314584</x:v>
      </x:c>
      <x:c r="AD451" s="6" t="str">
        <x:v>1.3800412190895714</x:v>
      </x:c>
      <x:c r="AE451" s="6" t="str">
        <x:v>0.07603529604627936</x:v>
      </x:c>
      <x:c r="AF451" s="6" t="str">
        <x:v>0.5675136330258459</x:v>
      </x:c>
      <x:c r="AG451" s="6" t="str">
        <x:v>0</x:v>
      </x:c>
      <x:c r="AH451" s="6" t="str">
        <x:v>0</x:v>
      </x:c>
      <x:c r="AI451" s="6" t="str">
        <x:v>2025-06</x:v>
      </x:c>
      <x:c r="AJ451" s="9" t="str">
        <x:v>NASA POWER (MERRA-2 meteorology)</x:v>
      </x:c>
      <x:c r="AK451" s="9" t="str">
        <x:v>Badan Informasi Geospasial (BIG)</x:v>
      </x:c>
      <x:c r="AL451" s="9" t="str">
        <x:v>https://power.larc.nasa.gov/docs/services/api/temporal/monthly/</x:v>
      </x:c>
      <x:c r="AM451" s="9" t="str">
        <x:v>https://geoservices.big.go.id/rbi/rest/services/BATASWILAYAH/BATAS_WILAYAH/MapServer/12</x:v>
      </x:c>
    </x:row>
    <x:row r="452" ht="18" customHeight="1">
      <x:c r="A452" s="6" t="str">
        <x:v>53</x:v>
      </x:c>
      <x:c r="B452" s="6" t="str">
        <x:v>NUSA TENGGARA TIMUR</x:v>
      </x:c>
      <x:c r="C452" s="6" t="str">
        <x:v>2025</x:v>
      </x:c>
      <x:c r="D452" s="6" t="str">
        <x:v>7</x:v>
      </x:c>
      <x:c r="E452" s="6" t="str">
        <x:v>25.53321313607489</x:v>
      </x:c>
      <x:c r="F452" s="9" t="str">
        <x:v>grid_cells_within_BIG_polygon</x:v>
      </x:c>
      <x:c r="G452" s="6" t="str">
        <x:v>14</x:v>
      </x:c>
      <x:c r="H452" s="8" t="str">
        <x:v>75.35927753391184</x:v>
      </x:c>
      <x:c r="I452" s="6" t="str">
        <x:v>0.33336601935990207</x:v>
      </x:c>
      <x:c r="J452" s="6" t="str">
        <x:v>31</x:v>
      </x:c>
      <x:c r="K452" s="6" t="str">
        <x:v>10.334346600156964</x:v>
      </x:c>
      <x:c r="L452" s="6" t="str">
        <x:v>25.019499596808874</x:v>
      </x:c>
      <x:c r="M452" s="6" t="str">
        <x:v>0.5383346080225049</x:v>
      </x:c>
      <x:c r="N452" s="6" t="str">
        <x:v>71.83950614965238</x:v>
      </x:c>
      <x:c r="O452" s="6" t="str">
        <x:v>2.9744601108442517</x:v>
      </x:c>
      <x:c r="P452" s="6" t="str">
        <x:v>14.933050418329417</x:v>
      </x:c>
      <x:c r="Q452" s="6" t="str">
        <x:v>18.050252559774062</x:v>
      </x:c>
      <x:c r="R452" s="6" t="str">
        <x:v>0.5137135392660177</x:v>
      </x:c>
      <x:c r="S452" s="8" t="str">
        <x:v>0.9542643768586063</x:v>
      </x:c>
      <x:c r="T452" s="6" t="str">
        <x:v>3.5197713842594567</x:v>
      </x:c>
      <x:c r="U452" s="8" t="str">
        <x:v>1.1833311771192074</x:v>
      </x:c>
      <x:c r="V452" s="6" t="str">
        <x:v>-4.598703818172453</x:v>
      </x:c>
      <x:c r="W452" s="8" t="str">
        <x:v>-0.25477226996928043</x:v>
      </x:c>
      <x:c r="X452" s="6" t="str">
        <x:v>0.20266954260810754</x:v>
      </x:c>
      <x:c r="Y452" s="6" t="str">
        <x:v>0.3546172751135419</x:v>
      </x:c>
      <x:c r="Z452" s="6" t="str">
        <x:v>0.5038503981934181</x:v>
      </x:c>
      <x:c r="AA452" s="6" t="str">
        <x:v>1.1785044155926867</x:v>
      </x:c>
      <x:c r="AB452" s="6" t="str">
        <x:v>1.6875388219386886</x:v>
      </x:c>
      <x:c r="AC452" s="6" t="str">
        <x:v>1.3497914715501944</x:v>
      </x:c>
      <x:c r="AD452" s="6" t="str">
        <x:v>0.24646438394168668</x:v>
      </x:c>
      <x:c r="AE452" s="6" t="str">
        <x:v>1.3800412190895714</x:v>
      </x:c>
      <x:c r="AF452" s="6" t="str">
        <x:v>0.45724444435399264</x:v>
      </x:c>
      <x:c r="AG452" s="6" t="str">
        <x:v>0</x:v>
      </x:c>
      <x:c r="AH452" s="6" t="str">
        <x:v>0</x:v>
      </x:c>
      <x:c r="AI452" s="6" t="str">
        <x:v>2025-07</x:v>
      </x:c>
      <x:c r="AJ452" s="9" t="str">
        <x:v>NASA POWER (MERRA-2 meteorology)</x:v>
      </x:c>
      <x:c r="AK452" s="9" t="str">
        <x:v>Badan Informasi Geospasial (BIG)</x:v>
      </x:c>
      <x:c r="AL452" s="9" t="str">
        <x:v>https://power.larc.nasa.gov/docs/services/api/temporal/monthly/</x:v>
      </x:c>
      <x:c r="AM452" s="9" t="str">
        <x:v>https://geoservices.big.go.id/rbi/rest/services/BATASWILAYAH/BATAS_WILAYAH/MapServer/12</x:v>
      </x:c>
    </x:row>
    <x:row r="453" ht="18" customHeight="1">
      <x:c r="A453" s="6" t="str">
        <x:v>53</x:v>
      </x:c>
      <x:c r="B453" s="6" t="str">
        <x:v>NUSA TENGGARA TIMUR</x:v>
      </x:c>
      <x:c r="C453" s="6" t="str">
        <x:v>2025</x:v>
      </x:c>
      <x:c r="D453" s="6" t="str">
        <x:v>8</x:v>
      </x:c>
      <x:c r="E453" s="6" t="str">
        <x:v>26.093538296282514</x:v>
      </x:c>
      <x:c r="F453" s="9" t="str">
        <x:v>grid_cells_within_BIG_polygon</x:v>
      </x:c>
      <x:c r="G453" s="6" t="str">
        <x:v>14</x:v>
      </x:c>
      <x:c r="H453" s="8" t="str">
        <x:v>68.5578914741699</x:v>
      </x:c>
      <x:c r="I453" s="6" t="str">
        <x:v>0.19272018030527654</x:v>
      </x:c>
      <x:c r="J453" s="6" t="str">
        <x:v>31</x:v>
      </x:c>
      <x:c r="K453" s="6" t="str">
        <x:v>5.9743255894635725</x:v>
      </x:c>
      <x:c r="L453" s="6" t="str">
        <x:v>25.360751063283583</x:v>
      </x:c>
      <x:c r="M453" s="6" t="str">
        <x:v>0.4771988107174938</x:v>
      </x:c>
      <x:c r="N453" s="6" t="str">
        <x:v>68.20912905087874</x:v>
      </x:c>
      <x:c r="O453" s="6" t="str">
        <x:v>1.8739468277756044</x:v>
      </x:c>
      <x:c r="P453" s="6" t="str">
        <x:v>8.587484302490044</x:v>
      </x:c>
      <x:c r="Q453" s="6" t="str">
        <x:v>8.429876254997456</x:v>
      </x:c>
      <x:c r="R453" s="6" t="str">
        <x:v>0.7327872329989304</x:v>
      </x:c>
      <x:c r="S453" s="8" t="str">
        <x:v>1.5356015491680415</x:v>
      </x:c>
      <x:c r="T453" s="6" t="str">
        <x:v>0.3487624232911628</x:v>
      </x:c>
      <x:c r="U453" s="8" t="str">
        <x:v>0.1861111628792305</x:v>
      </x:c>
      <x:c r="V453" s="6" t="str">
        <x:v>-2.613158713026471</x:v>
      </x:c>
      <x:c r="W453" s="8" t="str">
        <x:v>-0.3099877903281582</x:v>
      </x:c>
      <x:c r="X453" s="6" t="str">
        <x:v>0.9542643768586063</x:v>
      </x:c>
      <x:c r="Y453" s="6" t="str">
        <x:v>0.20266954260810754</x:v>
      </x:c>
      <x:c r="Z453" s="6" t="str">
        <x:v>0.8975118228782514</x:v>
      </x:c>
      <x:c r="AA453" s="6" t="str">
        <x:v>1.1833311771192074</x:v>
      </x:c>
      <x:c r="AB453" s="6" t="str">
        <x:v>1.1785044155926867</x:v>
      </x:c>
      <x:c r="AC453" s="6" t="str">
        <x:v>0.8493155851970418</x:v>
      </x:c>
      <x:c r="AD453" s="6" t="str">
        <x:v>-0.25477226996928043</x:v>
      </x:c>
      <x:c r="AE453" s="6" t="str">
        <x:v>0.24646438394168668</x:v>
      </x:c>
      <x:c r="AF453" s="6" t="str">
        <x:v>-0.10609855878525058</x:v>
      </x:c>
      <x:c r="AG453" s="6" t="str">
        <x:v>0</x:v>
      </x:c>
      <x:c r="AH453" s="6" t="str">
        <x:v>1</x:v>
      </x:c>
      <x:c r="AI453" s="6" t="str">
        <x:v>2025-08</x:v>
      </x:c>
      <x:c r="AJ453" s="9" t="str">
        <x:v>NASA POWER (MERRA-2 meteorology)</x:v>
      </x:c>
      <x:c r="AK453" s="9" t="str">
        <x:v>Badan Informasi Geospasial (BIG)</x:v>
      </x:c>
      <x:c r="AL453" s="9" t="str">
        <x:v>https://power.larc.nasa.gov/docs/services/api/temporal/monthly/</x:v>
      </x:c>
      <x:c r="AM453" s="9" t="str">
        <x:v>https://geoservices.big.go.id/rbi/rest/services/BATASWILAYAH/BATAS_WILAYAH/MapServer/12</x:v>
      </x:c>
    </x:row>
    <x:row r="454" ht="18" customHeight="1">
      <x:c r="A454" s="6" t="str">
        <x:v>53</x:v>
      </x:c>
      <x:c r="B454" s="6" t="str">
        <x:v>NUSA TENGGARA TIMUR</x:v>
      </x:c>
      <x:c r="C454" s="6" t="str">
        <x:v>2025</x:v>
      </x:c>
      <x:c r="D454" s="6" t="str">
        <x:v>9</x:v>
      </x:c>
      <x:c r="E454" s="6" t="str">
        <x:v>27.3627804548152</x:v>
      </x:c>
      <x:c r="F454" s="9" t="str">
        <x:v>grid_cells_within_BIG_polygon</x:v>
      </x:c>
      <x:c r="G454" s="6" t="str">
        <x:v>14</x:v>
      </x:c>
      <x:c r="H454" s="8" t="str">
        <x:v>68.2022400832176</x:v>
      </x:c>
      <x:c r="I454" s="6" t="str">
        <x:v>0.509352110604656</x:v>
      </x:c>
      <x:c r="J454" s="6" t="str">
        <x:v>30</x:v>
      </x:c>
      <x:c r="K454" s="6" t="str">
        <x:v>15.28056331813968</x:v>
      </x:c>
      <x:c r="L454" s="6" t="str">
        <x:v>26.60889578650569</x:v>
      </x:c>
      <x:c r="M454" s="6" t="str">
        <x:v>0.5015445704208772</x:v>
      </x:c>
      <x:c r="N454" s="6" t="str">
        <x:v>66.65601563619715</x:v>
      </x:c>
      <x:c r="O454" s="6" t="str">
        <x:v>2.585877128745223</x:v>
      </x:c>
      <x:c r="P454" s="6" t="str">
        <x:v>18.093059421016523</x:v>
      </x:c>
      <x:c r="Q454" s="6" t="str">
        <x:v>28.265595932060894</x:v>
      </x:c>
      <x:c r="R454" s="6" t="str">
        <x:v>0.7538846683095102</x:v>
      </x:c>
      <x:c r="S454" s="8" t="str">
        <x:v>1.5031259687985032</x:v>
      </x:c>
      <x:c r="T454" s="6" t="str">
        <x:v>1.5462244470204496</x:v>
      </x:c>
      <x:c r="U454" s="8" t="str">
        <x:v>0.5979496975445013</x:v>
      </x:c>
      <x:c r="V454" s="6" t="str">
        <x:v>-2.8124961028768425</x:v>
      </x:c>
      <x:c r="W454" s="8" t="str">
        <x:v>-0.09950245201399434</x:v>
      </x:c>
      <x:c r="X454" s="6" t="str">
        <x:v>1.5356015491680415</x:v>
      </x:c>
      <x:c r="Y454" s="6" t="str">
        <x:v>0.9542643768586063</x:v>
      </x:c>
      <x:c r="Z454" s="6" t="str">
        <x:v>1.33099729827505</x:v>
      </x:c>
      <x:c r="AA454" s="6" t="str">
        <x:v>0.1861111628792305</x:v>
      </x:c>
      <x:c r="AB454" s="6" t="str">
        <x:v>1.1833311771192074</x:v>
      </x:c>
      <x:c r="AC454" s="6" t="str">
        <x:v>0.6557973458476466</x:v>
      </x:c>
      <x:c r="AD454" s="6" t="str">
        <x:v>-0.3099877903281582</x:v>
      </x:c>
      <x:c r="AE454" s="6" t="str">
        <x:v>-0.25477226996928043</x:v>
      </x:c>
      <x:c r="AF454" s="6" t="str">
        <x:v>-0.22142083743714425</x:v>
      </x:c>
      <x:c r="AG454" s="6" t="str">
        <x:v>0</x:v>
      </x:c>
      <x:c r="AH454" s="6" t="str">
        <x:v>1</x:v>
      </x:c>
      <x:c r="AI454" s="6" t="str">
        <x:v>2025-09</x:v>
      </x:c>
      <x:c r="AJ454" s="9" t="str">
        <x:v>NASA POWER (MERRA-2 meteorology)</x:v>
      </x:c>
      <x:c r="AK454" s="9" t="str">
        <x:v>Badan Informasi Geospasial (BIG)</x:v>
      </x:c>
      <x:c r="AL454" s="9" t="str">
        <x:v>https://power.larc.nasa.gov/docs/services/api/temporal/monthly/</x:v>
      </x:c>
      <x:c r="AM454" s="9" t="str">
        <x:v>https://geoservices.big.go.id/rbi/rest/services/BATASWILAYAH/BATAS_WILAYAH/MapServer/12</x:v>
      </x:c>
    </x:row>
    <x:row r="455" ht="18" customHeight="1">
      <x:c r="A455" s="6" t="str">
        <x:v>53</x:v>
      </x:c>
      <x:c r="B455" s="6" t="str">
        <x:v>NUSA TENGGARA TIMUR</x:v>
      </x:c>
      <x:c r="C455" s="6" t="str">
        <x:v>2025</x:v>
      </x:c>
      <x:c r="D455" s="6" t="str">
        <x:v>10</x:v>
      </x:c>
      <x:c r="E455" s="6" t="str">
        <x:v>28.568688323581377</x:v>
      </x:c>
      <x:c r="F455" s="9" t="str">
        <x:v>grid_cells_within_BIG_polygon</x:v>
      </x:c>
      <x:c r="G455" s="6" t="str">
        <x:v>14</x:v>
      </x:c>
      <x:c r="H455" s="8" t="str">
        <x:v>67.41512530707679</x:v>
      </x:c>
      <x:c r="I455" s="6" t="str">
        <x:v>1.1847258143776271</x:v>
      </x:c>
      <x:c r="J455" s="6" t="str">
        <x:v>31</x:v>
      </x:c>
      <x:c r="K455" s="6" t="str">
        <x:v>36.72650024570644</x:v>
      </x:c>
      <x:c r="L455" s="6" t="str">
        <x:v>27.901517634686858</x:v>
      </x:c>
      <x:c r="M455" s="6" t="str">
        <x:v>0.38984486001993995</x:v>
      </x:c>
      <x:c r="N455" s="6" t="str">
        <x:v>66.13287215269094</x:v>
      </x:c>
      <x:c r="O455" s="6" t="str">
        <x:v>3.6171618133394188</x:v>
      </x:c>
      <x:c r="P455" s="6" t="str">
        <x:v>38.356923464320936</x:v>
      </x:c>
      <x:c r="Q455" s="6" t="str">
        <x:v>34.68847078318766</x:v>
      </x:c>
      <x:c r="R455" s="6" t="str">
        <x:v>0.6671706888945188</x:v>
      </x:c>
      <x:c r="S455" s="8" t="str">
        <x:v>1.711374850140115</x:v>
      </x:c>
      <x:c r="T455" s="6" t="str">
        <x:v>1.282253154385856</x:v>
      </x:c>
      <x:c r="U455" s="8" t="str">
        <x:v>0.35449151034856813</x:v>
      </x:c>
      <x:c r="V455" s="6" t="str">
        <x:v>-1.6304232186144958</x:v>
      </x:c>
      <x:c r="W455" s="8" t="str">
        <x:v>-0.047001876467979306</x:v>
      </x:c>
      <x:c r="X455" s="6" t="str">
        <x:v>1.5031259687985032</x:v>
      </x:c>
      <x:c r="Y455" s="6" t="str">
        <x:v>1.5356015491680415</x:v>
      </x:c>
      <x:c r="Z455" s="6" t="str">
        <x:v>1.5833674560355526</x:v>
      </x:c>
      <x:c r="AA455" s="6" t="str">
        <x:v>0.5979496975445013</x:v>
      </x:c>
      <x:c r="AB455" s="6" t="str">
        <x:v>0.1861111628792305</x:v>
      </x:c>
      <x:c r="AC455" s="6" t="str">
        <x:v>0.37951745692410016</x:v>
      </x:c>
      <x:c r="AD455" s="6" t="str">
        <x:v>-0.09950245201399434</x:v>
      </x:c>
      <x:c r="AE455" s="6" t="str">
        <x:v>-0.3099877903281582</x:v>
      </x:c>
      <x:c r="AF455" s="6" t="str">
        <x:v>-0.1521640396033772</x:v>
      </x:c>
      <x:c r="AG455" s="6" t="str">
        <x:v>0</x:v>
      </x:c>
      <x:c r="AH455" s="6" t="str">
        <x:v>1</x:v>
      </x:c>
      <x:c r="AI455" s="6" t="str">
        <x:v>2025-10</x:v>
      </x:c>
      <x:c r="AJ455" s="9" t="str">
        <x:v>NASA POWER (MERRA-2 meteorology)</x:v>
      </x:c>
      <x:c r="AK455" s="9" t="str">
        <x:v>Badan Informasi Geospasial (BIG)</x:v>
      </x:c>
      <x:c r="AL455" s="9" t="str">
        <x:v>https://power.larc.nasa.gov/docs/services/api/temporal/monthly/</x:v>
      </x:c>
      <x:c r="AM455" s="9" t="str">
        <x:v>https://geoservices.big.go.id/rbi/rest/services/BATASWILAYAH/BATAS_WILAYAH/MapServer/12</x:v>
      </x:c>
    </x:row>
    <x:row r="456" ht="18" customHeight="1">
      <x:c r="A456" s="6" t="str">
        <x:v>53</x:v>
      </x:c>
      <x:c r="B456" s="6" t="str">
        <x:v>NUSA TENGGARA TIMUR</x:v>
      </x:c>
      <x:c r="C456" s="6" t="str">
        <x:v>2025</x:v>
      </x:c>
      <x:c r="D456" s="6" t="str">
        <x:v>11</x:v>
      </x:c>
      <x:c r="E456" s="6" t="str">
        <x:v>28.05772318275255</x:v>
      </x:c>
      <x:c r="F456" s="9" t="str">
        <x:v>grid_cells_within_BIG_polygon</x:v>
      </x:c>
      <x:c r="G456" s="6" t="str">
        <x:v>14</x:v>
      </x:c>
      <x:c r="H456" s="8" t="str">
        <x:v>75.22125890606583</x:v>
      </x:c>
      <x:c r="I456" s="6" t="str">
        <x:v>4.732588525670749</x:v>
      </x:c>
      <x:c r="J456" s="6" t="str">
        <x:v>30</x:v>
      </x:c>
      <x:c r="K456" s="6" t="str">
        <x:v>141.97765577012248</x:v>
      </x:c>
      <x:c r="L456" s="6" t="str">
        <x:v>28.280663632343717</x:v>
      </x:c>
      <x:c r="M456" s="6" t="str">
        <x:v>0.5512557242591001</x:v>
      </x:c>
      <x:c r="N456" s="6" t="str">
        <x:v>69.80360620341806</x:v>
      </x:c>
      <x:c r="O456" s="6" t="str">
        <x:v>4.389809169200309</x:v>
      </x:c>
      <x:c r="P456" s="6" t="str">
        <x:v>104.13954117051782</x:v>
      </x:c>
      <x:c r="Q456" s="6" t="str">
        <x:v>47.515094701361654</x:v>
      </x:c>
      <x:c r="R456" s="6" t="str">
        <x:v>-0.22294044959116732</x:v>
      </x:c>
      <x:c r="S456" s="8" t="str">
        <x:v>-0.40442291985412804</x:v>
      </x:c>
      <x:c r="T456" s="6" t="str">
        <x:v>5.417652702647771</x:v>
      </x:c>
      <x:c r="U456" s="8" t="str">
        <x:v>1.2341431014038144</x:v>
      </x:c>
      <x:c r="V456" s="6" t="str">
        <x:v>37.838114599604666</x:v>
      </x:c>
      <x:c r="W456" s="8" t="str">
        <x:v>0.7963388232186419</x:v>
      </x:c>
      <x:c r="X456" s="6" t="str">
        <x:v>1.711374850140115</x:v>
      </x:c>
      <x:c r="Y456" s="6" t="str">
        <x:v>1.5031259687985032</x:v>
      </x:c>
      <x:c r="Z456" s="6" t="str">
        <x:v>0.936692633028163</x:v>
      </x:c>
      <x:c r="AA456" s="6" t="str">
        <x:v>0.35449151034856813</x:v>
      </x:c>
      <x:c r="AB456" s="6" t="str">
        <x:v>0.5979496975445013</x:v>
      </x:c>
      <x:c r="AC456" s="6" t="str">
        <x:v>0.7288614364322948</x:v>
      </x:c>
      <x:c r="AD456" s="6" t="str">
        <x:v>-0.047001876467979306</x:v>
      </x:c>
      <x:c r="AE456" s="6" t="str">
        <x:v>-0.09950245201399434</x:v>
      </x:c>
      <x:c r="AF456" s="6" t="str">
        <x:v>0.21661149824555617</x:v>
      </x:c>
      <x:c r="AG456" s="6" t="str">
        <x:v>0</x:v>
      </x:c>
      <x:c r="AH456" s="6" t="str">
        <x:v>0</x:v>
      </x:c>
      <x:c r="AI456" s="6" t="str">
        <x:v>2025-11</x:v>
      </x:c>
      <x:c r="AJ456" s="9" t="str">
        <x:v>NASA POWER (MERRA-2 meteorology)</x:v>
      </x:c>
      <x:c r="AK456" s="9" t="str">
        <x:v>Badan Informasi Geospasial (BIG)</x:v>
      </x:c>
      <x:c r="AL456" s="9" t="str">
        <x:v>https://power.larc.nasa.gov/docs/services/api/temporal/monthly/</x:v>
      </x:c>
      <x:c r="AM456" s="9" t="str">
        <x:v>https://geoservices.big.go.id/rbi/rest/services/BATASWILAYAH/BATAS_WILAYAH/MapServer/12</x:v>
      </x:c>
    </x:row>
    <x:row r="457" ht="18" customHeight="1">
      <x:c r="A457" s="6" t="str">
        <x:v>53</x:v>
      </x:c>
      <x:c r="B457" s="6" t="str">
        <x:v>NUSA TENGGARA TIMUR</x:v>
      </x:c>
      <x:c r="C457" s="6" t="str">
        <x:v>2025</x:v>
      </x:c>
      <x:c r="D457" s="6" t="str">
        <x:v>12</x:v>
      </x:c>
      <x:c r="E457" s="6" t="str">
        <x:v>27.101555612603764</x:v>
      </x:c>
      <x:c r="F457" s="9" t="str">
        <x:v>grid_cells_within_BIG_polygon</x:v>
      </x:c>
      <x:c r="G457" s="6" t="str">
        <x:v>14</x:v>
      </x:c>
      <x:c r="H457" s="8" t="str">
        <x:v>81.81722510043339</x:v>
      </x:c>
      <x:c r="I457" s="6" t="str">
        <x:v>8.292046465293371</x:v>
      </x:c>
      <x:c r="J457" s="6" t="str">
        <x:v>31</x:v>
      </x:c>
      <x:c r="K457" s="6" t="str">
        <x:v>257.0534404240945</x:v>
      </x:c>
      <x:c r="L457" s="6" t="str">
        <x:v>27.18499840237978</x:v>
      </x:c>
      <x:c r="M457" s="6" t="str">
        <x:v>0.6302118432567106</x:v>
      </x:c>
      <x:c r="N457" s="6" t="str">
        <x:v>79.05175317112982</x:v>
      </x:c>
      <x:c r="O457" s="6" t="str">
        <x:v>3.600542111052496</x:v>
      </x:c>
      <x:c r="P457" s="6" t="str">
        <x:v>231.51887663990956</x:v>
      </x:c>
      <x:c r="Q457" s="6" t="str">
        <x:v>78.40055648215927</x:v>
      </x:c>
      <x:c r="R457" s="6" t="str">
        <x:v>-0.08344278977601505</x:v>
      </x:c>
      <x:c r="S457" s="8" t="str">
        <x:v>-0.13240435048762714</x:v>
      </x:c>
      <x:c r="T457" s="6" t="str">
        <x:v>2.7654719293035726</x:v>
      </x:c>
      <x:c r="U457" s="8" t="str">
        <x:v>0.7680709859813807</x:v>
      </x:c>
      <x:c r="V457" s="6" t="str">
        <x:v>25.53456378418494</x:v>
      </x:c>
      <x:c r="W457" s="8" t="str">
        <x:v>0.3256936548657732</x:v>
      </x:c>
      <x:c r="X457" s="6" t="str">
        <x:v>-0.40442291985412804</x:v>
      </x:c>
      <x:c r="Y457" s="6" t="str">
        <x:v>1.711374850140115</x:v>
      </x:c>
      <x:c r="Z457" s="6" t="str">
        <x:v>0.39151585993278615</x:v>
      </x:c>
      <x:c r="AA457" s="6" t="str">
        <x:v>1.2341431014038144</x:v>
      </x:c>
      <x:c r="AB457" s="6" t="str">
        <x:v>0.35449151034856813</x:v>
      </x:c>
      <x:c r="AC457" s="6" t="str">
        <x:v>0.7855685325779213</x:v>
      </x:c>
      <x:c r="AD457" s="6" t="str">
        <x:v>0.7963388232186419</x:v>
      </x:c>
      <x:c r="AE457" s="6" t="str">
        <x:v>-0.047001876467979306</x:v>
      </x:c>
      <x:c r="AF457" s="6" t="str">
        <x:v>0.3583435338721454</x:v>
      </x:c>
      <x:c r="AG457" s="6" t="str">
        <x:v>0</x:v>
      </x:c>
      <x:c r="AH457" s="6" t="str">
        <x:v>0</x:v>
      </x:c>
      <x:c r="AI457" s="6" t="str">
        <x:v>2025-12</x:v>
      </x:c>
      <x:c r="AJ457" s="9" t="str">
        <x:v>NASA POWER (MERRA-2 meteorology)</x:v>
      </x:c>
      <x:c r="AK457" s="9" t="str">
        <x:v>Badan Informasi Geospasial (BIG)</x:v>
      </x:c>
      <x:c r="AL457" s="9" t="str">
        <x:v>https://power.larc.nasa.gov/docs/services/api/temporal/monthly/</x:v>
      </x:c>
      <x:c r="AM457" s="9" t="str">
        <x:v>https://geoservices.big.go.id/rbi/rest/services/BATASWILAYAH/BATAS_WILAYAH/MapServer/12</x:v>
      </x:c>
    </x:row>
    <x:row r="458" ht="18" customHeight="1">
      <x:c r="A458" s="6" t="str">
        <x:v>61</x:v>
      </x:c>
      <x:c r="B458" s="6" t="str">
        <x:v>KALIMANTAN BARAT</x:v>
      </x:c>
      <x:c r="C458" s="6" t="str">
        <x:v>2024</x:v>
      </x:c>
      <x:c r="D458" s="6" t="str">
        <x:v>1</x:v>
      </x:c>
      <x:c r="E458" s="6" t="str">
        <x:v>25.88855912244885</x:v>
      </x:c>
      <x:c r="F458" s="9" t="str">
        <x:v>grid_cells_within_BIG_polygon</x:v>
      </x:c>
      <x:c r="G458" s="6" t="str">
        <x:v>35</x:v>
      </x:c>
      <x:c r="H458" s="8" t="str">
        <x:v>92.58312345978769</x:v>
      </x:c>
      <x:c r="I458" s="6" t="str">
        <x:v>14.285514634992946</x:v>
      </x:c>
      <x:c r="J458" s="6" t="str">
        <x:v>31</x:v>
      </x:c>
      <x:c r="K458" s="6" t="str">
        <x:v>442.85095368478136</x:v>
      </x:c>
      <x:c r="L458" s="6" t="str">
        <x:v>25.00281488181116</x:v>
      </x:c>
      <x:c r="M458" s="6" t="str">
        <x:v>0.3439364927186906</x:v>
      </x:c>
      <x:c r="N458" s="6" t="str">
        <x:v>91.84439615002407</x:v>
      </x:c>
      <x:c r="O458" s="6" t="str">
        <x:v>0.6561544425617551</x:v>
      </x:c>
      <x:c r="P458" s="6" t="str">
        <x:v>329.0242769040061</x:v>
      </x:c>
      <x:c r="Q458" s="6" t="str">
        <x:v>77.96816081163037</x:v>
      </x:c>
      <x:c r="R458" s="6" t="str">
        <x:v>0.8857442406376883</x:v>
      </x:c>
      <x:c r="S458" s="8" t="str">
        <x:v>2.575313348217888</x:v>
      </x:c>
      <x:c r="T458" s="6" t="str">
        <x:v>0.7387273097636182</x:v>
      </x:c>
      <x:c r="U458" s="8" t="str">
        <x:v>1.1258436457116445</x:v>
      </x:c>
      <x:c r="V458" s="6" t="str">
        <x:v>113.82667678077524</x:v>
      </x:c>
      <x:c r="W458" s="8" t="str">
        <x:v>1.4599122974797158</x:v>
      </x:c>
      <x:c r="X458" s="6" t="str">
        <x:v>4.253073321165529</x:v>
      </x:c>
      <x:c r="Y458" s="6" t="str">
        <x:v>4.707468915889657</x:v>
      </x:c>
      <x:c r="Z458" s="6" t="str">
        <x:v>3.8452851950910243</x:v>
      </x:c>
      <x:c r="AA458" s="6" t="str">
        <x:v>-0.2589959938788888</x:v>
      </x:c>
      <x:c r="AB458" s="6" t="str">
        <x:v>-1.090760280238103</x:v>
      </x:c>
      <x:c r="AC458" s="6" t="str">
        <x:v>-0.07463754280178218</x:v>
      </x:c>
      <x:c r="AD458" s="6" t="str">
        <x:v>0.5083363944148623</x:v>
      </x:c>
      <x:c r="AE458" s="6" t="str">
        <x:v>0.8079763561112691</x:v>
      </x:c>
      <x:c r="AF458" s="6" t="str">
        <x:v>0.9254083493352825</x:v>
      </x:c>
      <x:c r="AG458" s="6" t="str">
        <x:v>1</x:v>
      </x:c>
      <x:c r="AH458" s="6" t="str">
        <x:v>1</x:v>
      </x:c>
      <x:c r="AI458" s="6" t="str">
        <x:v>2024-01</x:v>
      </x:c>
      <x:c r="AJ458" s="9" t="str">
        <x:v>NASA POWER (MERRA-2 meteorology)</x:v>
      </x:c>
      <x:c r="AK458" s="9" t="str">
        <x:v>Badan Informasi Geospasial (BIG)</x:v>
      </x:c>
      <x:c r="AL458" s="9" t="str">
        <x:v>https://power.larc.nasa.gov/docs/services/api/temporal/monthly/</x:v>
      </x:c>
      <x:c r="AM458" s="9" t="str">
        <x:v>https://geoservices.big.go.id/rbi/rest/services/BATASWILAYAH/BATAS_WILAYAH/MapServer/12</x:v>
      </x:c>
    </x:row>
    <x:row r="459" ht="18" customHeight="1">
      <x:c r="A459" s="6" t="str">
        <x:v>61</x:v>
      </x:c>
      <x:c r="B459" s="6" t="str">
        <x:v>KALIMANTAN BARAT</x:v>
      </x:c>
      <x:c r="C459" s="6" t="str">
        <x:v>2024</x:v>
      </x:c>
      <x:c r="D459" s="6" t="str">
        <x:v>2</x:v>
      </x:c>
      <x:c r="E459" s="6" t="str">
        <x:v>26.176272433094564</x:v>
      </x:c>
      <x:c r="F459" s="9" t="str">
        <x:v>grid_cells_within_BIG_polygon</x:v>
      </x:c>
      <x:c r="G459" s="6" t="str">
        <x:v>35</x:v>
      </x:c>
      <x:c r="H459" s="8" t="str">
        <x:v>91.83255219516631</x:v>
      </x:c>
      <x:c r="I459" s="6" t="str">
        <x:v>13.724529158730865</x:v>
      </x:c>
      <x:c r="J459" s="6" t="str">
        <x:v>29</x:v>
      </x:c>
      <x:c r="K459" s="6" t="str">
        <x:v>398.0113456031951</x:v>
      </x:c>
      <x:c r="L459" s="6" t="str">
        <x:v>25.141149706733763</x:v>
      </x:c>
      <x:c r="M459" s="6" t="str">
        <x:v>0.30891977132480897</x:v>
      </x:c>
      <x:c r="N459" s="6" t="str">
        <x:v>91.04222570775364</x:v>
      </x:c>
      <x:c r="O459" s="6" t="str">
        <x:v>0.8752732503761481</x:v>
      </x:c>
      <x:c r="P459" s="6" t="str">
        <x:v>263.16838427275775</x:v>
      </x:c>
      <x:c r="Q459" s="6" t="str">
        <x:v>96.76591444106401</x:v>
      </x:c>
      <x:c r="R459" s="6" t="str">
        <x:v>1.0351227263608003</x:v>
      </x:c>
      <x:c r="S459" s="8" t="str">
        <x:v>3.3507817318446618</x:v>
      </x:c>
      <x:c r="T459" s="6" t="str">
        <x:v>0.7903264874126705</x:v>
      </x:c>
      <x:c r="U459" s="8" t="str">
        <x:v>0.9029482930879337</x:v>
      </x:c>
      <x:c r="V459" s="6" t="str">
        <x:v>134.84296133043733</x:v>
      </x:c>
      <x:c r="W459" s="8" t="str">
        <x:v>1.3934964817860986</x:v>
      </x:c>
      <x:c r="X459" s="6" t="str">
        <x:v>2.575313348217888</x:v>
      </x:c>
      <x:c r="Y459" s="6" t="str">
        <x:v>4.253073321165529</x:v>
      </x:c>
      <x:c r="Z459" s="6" t="str">
        <x:v>3.393056133742693</x:v>
      </x:c>
      <x:c r="AA459" s="6" t="str">
        <x:v>1.1258436457116445</x:v>
      </x:c>
      <x:c r="AB459" s="6" t="str">
        <x:v>-0.2589959938788888</x:v>
      </x:c>
      <x:c r="AC459" s="6" t="str">
        <x:v>0.58993198164023</x:v>
      </x:c>
      <x:c r="AD459" s="6" t="str">
        <x:v>1.4599122974797158</x:v>
      </x:c>
      <x:c r="AE459" s="6" t="str">
        <x:v>0.5083363944148623</x:v>
      </x:c>
      <x:c r="AF459" s="6" t="str">
        <x:v>1.1205817245602256</x:v>
      </x:c>
      <x:c r="AG459" s="6" t="str">
        <x:v>1</x:v>
      </x:c>
      <x:c r="AH459" s="6" t="str">
        <x:v>1</x:v>
      </x:c>
      <x:c r="AI459" s="6" t="str">
        <x:v>2024-02</x:v>
      </x:c>
      <x:c r="AJ459" s="9" t="str">
        <x:v>NASA POWER (MERRA-2 meteorology)</x:v>
      </x:c>
      <x:c r="AK459" s="9" t="str">
        <x:v>Badan Informasi Geospasial (BIG)</x:v>
      </x:c>
      <x:c r="AL459" s="9" t="str">
        <x:v>https://power.larc.nasa.gov/docs/services/api/temporal/monthly/</x:v>
      </x:c>
      <x:c r="AM459" s="9" t="str">
        <x:v>https://geoservices.big.go.id/rbi/rest/services/BATASWILAYAH/BATAS_WILAYAH/MapServer/12</x:v>
      </x:c>
    </x:row>
    <x:row r="460" ht="18" customHeight="1">
      <x:c r="A460" s="6" t="str">
        <x:v>61</x:v>
      </x:c>
      <x:c r="B460" s="6" t="str">
        <x:v>KALIMANTAN BARAT</x:v>
      </x:c>
      <x:c r="C460" s="6" t="str">
        <x:v>2024</x:v>
      </x:c>
      <x:c r="D460" s="6" t="str">
        <x:v>3</x:v>
      </x:c>
      <x:c r="E460" s="6" t="str">
        <x:v>26.40542029029303</x:v>
      </x:c>
      <x:c r="F460" s="9" t="str">
        <x:v>grid_cells_within_BIG_polygon</x:v>
      </x:c>
      <x:c r="G460" s="6" t="str">
        <x:v>35</x:v>
      </x:c>
      <x:c r="H460" s="8" t="str">
        <x:v>91.69710156408877</x:v>
      </x:c>
      <x:c r="I460" s="6" t="str">
        <x:v>11.908352446246866</x:v>
      </x:c>
      <x:c r="J460" s="6" t="str">
        <x:v>31</x:v>
      </x:c>
      <x:c r="K460" s="6" t="str">
        <x:v>369.15892583365286</x:v>
      </x:c>
      <x:c r="L460" s="6" t="str">
        <x:v>25.451578080557113</x:v>
      </x:c>
      <x:c r="M460" s="6" t="str">
        <x:v>0.294909162219301</x:v>
      </x:c>
      <x:c r="N460" s="6" t="str">
        <x:v>90.8701211421867</x:v>
      </x:c>
      <x:c r="O460" s="6" t="str">
        <x:v>0.6765251756573998</x:v>
      </x:c>
      <x:c r="P460" s="6" t="str">
        <x:v>274.0591339801549</x:v>
      </x:c>
      <x:c r="Q460" s="6" t="str">
        <x:v>81.17004315150956</x:v>
      </x:c>
      <x:c r="R460" s="6" t="str">
        <x:v>0.9538422097359174</x:v>
      </x:c>
      <x:c r="S460" s="8" t="str">
        <x:v>3.234359361906223</x:v>
      </x:c>
      <x:c r="T460" s="6" t="str">
        <x:v>0.8269804219020642</x:v>
      </x:c>
      <x:c r="U460" s="8" t="str">
        <x:v>1.2223941571700752</x:v>
      </x:c>
      <x:c r="V460" s="6" t="str">
        <x:v>95.09979185349795</x:v>
      </x:c>
      <x:c r="W460" s="8" t="str">
        <x:v>1.1716119415630657</x:v>
      </x:c>
      <x:c r="X460" s="6" t="str">
        <x:v>3.3507817318446618</x:v>
      </x:c>
      <x:c r="Y460" s="6" t="str">
        <x:v>2.575313348217888</x:v>
      </x:c>
      <x:c r="Z460" s="6" t="str">
        <x:v>3.053484813989591</x:v>
      </x:c>
      <x:c r="AA460" s="6" t="str">
        <x:v>0.9029482930879337</x:v>
      </x:c>
      <x:c r="AB460" s="6" t="str">
        <x:v>1.1258436457116445</x:v>
      </x:c>
      <x:c r="AC460" s="6" t="str">
        <x:v>1.0837286986565513</x:v>
      </x:c>
      <x:c r="AD460" s="6" t="str">
        <x:v>1.3934964817860986</x:v>
      </x:c>
      <x:c r="AE460" s="6" t="str">
        <x:v>1.4599122974797158</x:v>
      </x:c>
      <x:c r="AF460" s="6" t="str">
        <x:v>1.3416735736096268</x:v>
      </x:c>
      <x:c r="AG460" s="6" t="str">
        <x:v>1</x:v>
      </x:c>
      <x:c r="AH460" s="6" t="str">
        <x:v>1</x:v>
      </x:c>
      <x:c r="AI460" s="6" t="str">
        <x:v>2024-03</x:v>
      </x:c>
      <x:c r="AJ460" s="9" t="str">
        <x:v>NASA POWER (MERRA-2 meteorology)</x:v>
      </x:c>
      <x:c r="AK460" s="9" t="str">
        <x:v>Badan Informasi Geospasial (BIG)</x:v>
      </x:c>
      <x:c r="AL460" s="9" t="str">
        <x:v>https://power.larc.nasa.gov/docs/services/api/temporal/monthly/</x:v>
      </x:c>
      <x:c r="AM460" s="9" t="str">
        <x:v>https://geoservices.big.go.id/rbi/rest/services/BATASWILAYAH/BATAS_WILAYAH/MapServer/12</x:v>
      </x:c>
    </x:row>
    <x:row r="461" ht="18" customHeight="1">
      <x:c r="A461" s="6" t="str">
        <x:v>61</x:v>
      </x:c>
      <x:c r="B461" s="6" t="str">
        <x:v>KALIMANTAN BARAT</x:v>
      </x:c>
      <x:c r="C461" s="6" t="str">
        <x:v>2024</x:v>
      </x:c>
      <x:c r="D461" s="6" t="str">
        <x:v>4</x:v>
      </x:c>
      <x:c r="E461" s="6" t="str">
        <x:v>26.753704647354084</x:v>
      </x:c>
      <x:c r="F461" s="9" t="str">
        <x:v>grid_cells_within_BIG_polygon</x:v>
      </x:c>
      <x:c r="G461" s="6" t="str">
        <x:v>35</x:v>
      </x:c>
      <x:c r="H461" s="8" t="str">
        <x:v>92.09566559343584</x:v>
      </x:c>
      <x:c r="I461" s="6" t="str">
        <x:v>9.557899117006126</x:v>
      </x:c>
      <x:c r="J461" s="6" t="str">
        <x:v>30</x:v>
      </x:c>
      <x:c r="K461" s="6" t="str">
        <x:v>286.7369735101838</x:v>
      </x:c>
      <x:c r="L461" s="6" t="str">
        <x:v>25.681679578470888</x:v>
      </x:c>
      <x:c r="M461" s="6" t="str">
        <x:v>0.27325454783214</x:v>
      </x:c>
      <x:c r="N461" s="6" t="str">
        <x:v>91.5279571845296</x:v>
      </x:c>
      <x:c r="O461" s="6" t="str">
        <x:v>0.565492345580704</x:v>
      </x:c>
      <x:c r="P461" s="6" t="str">
        <x:v>288.65394572011934</x:v>
      </x:c>
      <x:c r="Q461" s="6" t="str">
        <x:v>51.19144943718406</x:v>
      </x:c>
      <x:c r="R461" s="6" t="str">
        <x:v>1.072025068883196</x:v>
      </x:c>
      <x:c r="S461" s="8" t="str">
        <x:v>3.9231737491217897</x:v>
      </x:c>
      <x:c r="T461" s="6" t="str">
        <x:v>0.5677084089062419</x:v>
      </x:c>
      <x:c r="U461" s="8" t="str">
        <x:v>1.0039188210819407</x:v>
      </x:c>
      <x:c r="V461" s="6" t="str">
        <x:v>-1.9169722099355226</x:v>
      </x:c>
      <x:c r="W461" s="8" t="str">
        <x:v>-0.03744711726296788</x:v>
      </x:c>
      <x:c r="X461" s="6" t="str">
        <x:v>3.234359361906223</x:v>
      </x:c>
      <x:c r="Y461" s="6" t="str">
        <x:v>3.3507817318446618</x:v>
      </x:c>
      <x:c r="Z461" s="6" t="str">
        <x:v>3.502771614290891</x:v>
      </x:c>
      <x:c r="AA461" s="6" t="str">
        <x:v>1.2223941571700752</x:v>
      </x:c>
      <x:c r="AB461" s="6" t="str">
        <x:v>0.9029482930879337</x:v>
      </x:c>
      <x:c r="AC461" s="6" t="str">
        <x:v>1.04308709044665</x:v>
      </x:c>
      <x:c r="AD461" s="6" t="str">
        <x:v>1.1716119415630657</x:v>
      </x:c>
      <x:c r="AE461" s="6" t="str">
        <x:v>1.3934964817860986</x:v>
      </x:c>
      <x:c r="AF461" s="6" t="str">
        <x:v>0.8425537686953989</x:v>
      </x:c>
      <x:c r="AG461" s="6" t="str">
        <x:v>0</x:v>
      </x:c>
      <x:c r="AH461" s="6" t="str">
        <x:v>1</x:v>
      </x:c>
      <x:c r="AI461" s="6" t="str">
        <x:v>2024-04</x:v>
      </x:c>
      <x:c r="AJ461" s="9" t="str">
        <x:v>NASA POWER (MERRA-2 meteorology)</x:v>
      </x:c>
      <x:c r="AK461" s="9" t="str">
        <x:v>Badan Informasi Geospasial (BIG)</x:v>
      </x:c>
      <x:c r="AL461" s="9" t="str">
        <x:v>https://power.larc.nasa.gov/docs/services/api/temporal/monthly/</x:v>
      </x:c>
      <x:c r="AM461" s="9" t="str">
        <x:v>https://geoservices.big.go.id/rbi/rest/services/BATASWILAYAH/BATAS_WILAYAH/MapServer/12</x:v>
      </x:c>
    </x:row>
    <x:row r="462" ht="18" customHeight="1">
      <x:c r="A462" s="6" t="str">
        <x:v>61</x:v>
      </x:c>
      <x:c r="B462" s="6" t="str">
        <x:v>KALIMANTAN BARAT</x:v>
      </x:c>
      <x:c r="C462" s="6" t="str">
        <x:v>2024</x:v>
      </x:c>
      <x:c r="D462" s="6" t="str">
        <x:v>5</x:v>
      </x:c>
      <x:c r="E462" s="6" t="str">
        <x:v>26.787696361635827</x:v>
      </x:c>
      <x:c r="F462" s="9" t="str">
        <x:v>grid_cells_within_BIG_polygon</x:v>
      </x:c>
      <x:c r="G462" s="6" t="str">
        <x:v>35</x:v>
      </x:c>
      <x:c r="H462" s="8" t="str">
        <x:v>93.11769693780407</x:v>
      </x:c>
      <x:c r="I462" s="6" t="str">
        <x:v>13.23161503823602</x:v>
      </x:c>
      <x:c r="J462" s="6" t="str">
        <x:v>31</x:v>
      </x:c>
      <x:c r="K462" s="6" t="str">
        <x:v>410.1800661853166</x:v>
      </x:c>
      <x:c r="L462" s="6" t="str">
        <x:v>25.858624038733986</x:v>
      </x:c>
      <x:c r="M462" s="6" t="str">
        <x:v>0.2990089036254514</x:v>
      </x:c>
      <x:c r="N462" s="6" t="str">
        <x:v>91.5403533371668</x:v>
      </x:c>
      <x:c r="O462" s="6" t="str">
        <x:v>0.797988211375313</x:v>
      </x:c>
      <x:c r="P462" s="6" t="str">
        <x:v>247.1659477102931</x:v>
      </x:c>
      <x:c r="Q462" s="6" t="str">
        <x:v>78.6699187681726</x:v>
      </x:c>
      <x:c r="R462" s="6" t="str">
        <x:v>0.9290723229018418</x:v>
      </x:c>
      <x:c r="S462" s="8" t="str">
        <x:v>3.1071727685595243</x:v>
      </x:c>
      <x:c r="T462" s="6" t="str">
        <x:v>1.5773436006372634</x:v>
      </x:c>
      <x:c r="U462" s="8" t="str">
        <x:v>1.9766502539163464</x:v>
      </x:c>
      <x:c r="V462" s="6" t="str">
        <x:v>163.0141184750235</x:v>
      </x:c>
      <x:c r="W462" s="8" t="str">
        <x:v>2.0721277081192815</x:v>
      </x:c>
      <x:c r="X462" s="6" t="str">
        <x:v>3.9231737491217897</x:v>
      </x:c>
      <x:c r="Y462" s="6" t="str">
        <x:v>3.234359361906223</x:v>
      </x:c>
      <x:c r="Z462" s="6" t="str">
        <x:v>3.421568626529179</x:v>
      </x:c>
      <x:c r="AA462" s="6" t="str">
        <x:v>1.0039188210819407</x:v>
      </x:c>
      <x:c r="AB462" s="6" t="str">
        <x:v>1.2223941571700752</x:v>
      </x:c>
      <x:c r="AC462" s="6" t="str">
        <x:v>1.4009877440561211</x:v>
      </x:c>
      <x:c r="AD462" s="6" t="str">
        <x:v>-0.03744711726296788</x:v>
      </x:c>
      <x:c r="AE462" s="6" t="str">
        <x:v>1.1716119415630657</x:v>
      </x:c>
      <x:c r="AF462" s="6" t="str">
        <x:v>1.0687641774731265</x:v>
      </x:c>
      <x:c r="AG462" s="6" t="str">
        <x:v>1</x:v>
      </x:c>
      <x:c r="AH462" s="6" t="str">
        <x:v>1</x:v>
      </x:c>
      <x:c r="AI462" s="6" t="str">
        <x:v>2024-05</x:v>
      </x:c>
      <x:c r="AJ462" s="9" t="str">
        <x:v>NASA POWER (MERRA-2 meteorology)</x:v>
      </x:c>
      <x:c r="AK462" s="9" t="str">
        <x:v>Badan Informasi Geospasial (BIG)</x:v>
      </x:c>
      <x:c r="AL462" s="9" t="str">
        <x:v>https://power.larc.nasa.gov/docs/services/api/temporal/monthly/</x:v>
      </x:c>
      <x:c r="AM462" s="9" t="str">
        <x:v>https://geoservices.big.go.id/rbi/rest/services/BATASWILAYAH/BATAS_WILAYAH/MapServer/12</x:v>
      </x:c>
    </x:row>
    <x:row r="463" ht="18" customHeight="1">
      <x:c r="A463" s="6" t="str">
        <x:v>61</x:v>
      </x:c>
      <x:c r="B463" s="6" t="str">
        <x:v>KALIMANTAN BARAT</x:v>
      </x:c>
      <x:c r="C463" s="6" t="str">
        <x:v>2024</x:v>
      </x:c>
      <x:c r="D463" s="6" t="str">
        <x:v>6</x:v>
      </x:c>
      <x:c r="E463" s="6" t="str">
        <x:v>26.13055550161865</x:v>
      </x:c>
      <x:c r="F463" s="9" t="str">
        <x:v>grid_cells_within_BIG_polygon</x:v>
      </x:c>
      <x:c r="G463" s="6" t="str">
        <x:v>35</x:v>
      </x:c>
      <x:c r="H463" s="8" t="str">
        <x:v>92.42828701311255</x:v>
      </x:c>
      <x:c r="I463" s="6" t="str">
        <x:v>9.10103388829341</x:v>
      </x:c>
      <x:c r="J463" s="6" t="str">
        <x:v>30</x:v>
      </x:c>
      <x:c r="K463" s="6" t="str">
        <x:v>273.0310166488023</x:v>
      </x:c>
      <x:c r="L463" s="6" t="str">
        <x:v>25.454112165402606</x:v>
      </x:c>
      <x:c r="M463" s="6" t="str">
        <x:v>0.2365380380890239</x:v>
      </x:c>
      <x:c r="N463" s="6" t="str">
        <x:v>91.25853866440417</x:v>
      </x:c>
      <x:c r="O463" s="6" t="str">
        <x:v>0.7760248383878541</x:v>
      </x:c>
      <x:c r="P463" s="6" t="str">
        <x:v>211.71707678631736</x:v>
      </x:c>
      <x:c r="Q463" s="6" t="str">
        <x:v>65.79945765155323</x:v>
      </x:c>
      <x:c r="R463" s="6" t="str">
        <x:v>0.676443336216046</x:v>
      </x:c>
      <x:c r="S463" s="8" t="str">
        <x:v>2.85976556532298</x:v>
      </x:c>
      <x:c r="T463" s="6" t="str">
        <x:v>1.1697483487083815</x:v>
      </x:c>
      <x:c r="U463" s="8" t="str">
        <x:v>1.507359417951705</x:v>
      </x:c>
      <x:c r="V463" s="6" t="str">
        <x:v>61.313939862484915</x:v>
      </x:c>
      <x:c r="W463" s="8" t="str">
        <x:v>0.9318304747613306</x:v>
      </x:c>
      <x:c r="X463" s="6" t="str">
        <x:v>3.1071727685595243</x:v>
      </x:c>
      <x:c r="Y463" s="6" t="str">
        <x:v>3.9231737491217897</x:v>
      </x:c>
      <x:c r="Z463" s="6" t="str">
        <x:v>3.2967040276680977</x:v>
      </x:c>
      <x:c r="AA463" s="6" t="str">
        <x:v>1.9766502539163464</x:v>
      </x:c>
      <x:c r="AB463" s="6" t="str">
        <x:v>1.0039188210819407</x:v>
      </x:c>
      <x:c r="AC463" s="6" t="str">
        <x:v>1.495976164316664</x:v>
      </x:c>
      <x:c r="AD463" s="6" t="str">
        <x:v>2.0721277081192815</x:v>
      </x:c>
      <x:c r="AE463" s="6" t="str">
        <x:v>-0.03744711726296788</x:v>
      </x:c>
      <x:c r="AF463" s="6" t="str">
        <x:v>0.9888370218725481</x:v>
      </x:c>
      <x:c r="AG463" s="6" t="str">
        <x:v>0</x:v>
      </x:c>
      <x:c r="AH463" s="6" t="str">
        <x:v>1</x:v>
      </x:c>
      <x:c r="AI463" s="6" t="str">
        <x:v>2024-06</x:v>
      </x:c>
      <x:c r="AJ463" s="9" t="str">
        <x:v>NASA POWER (MERRA-2 meteorology)</x:v>
      </x:c>
      <x:c r="AK463" s="9" t="str">
        <x:v>Badan Informasi Geospasial (BIG)</x:v>
      </x:c>
      <x:c r="AL463" s="9" t="str">
        <x:v>https://power.larc.nasa.gov/docs/services/api/temporal/monthly/</x:v>
      </x:c>
      <x:c r="AM463" s="9" t="str">
        <x:v>https://geoservices.big.go.id/rbi/rest/services/BATASWILAYAH/BATAS_WILAYAH/MapServer/12</x:v>
      </x:c>
    </x:row>
    <x:row r="464" ht="18" customHeight="1">
      <x:c r="A464" s="6" t="str">
        <x:v>61</x:v>
      </x:c>
      <x:c r="B464" s="6" t="str">
        <x:v>KALIMANTAN BARAT</x:v>
      </x:c>
      <x:c r="C464" s="6" t="str">
        <x:v>2024</x:v>
      </x:c>
      <x:c r="D464" s="6" t="str">
        <x:v>7</x:v>
      </x:c>
      <x:c r="E464" s="6" t="str">
        <x:v>26.071135023046416</x:v>
      </x:c>
      <x:c r="F464" s="9" t="str">
        <x:v>grid_cells_within_BIG_polygon</x:v>
      </x:c>
      <x:c r="G464" s="6" t="str">
        <x:v>35</x:v>
      </x:c>
      <x:c r="H464" s="8" t="str">
        <x:v>90.50119039744168</x:v>
      </x:c>
      <x:c r="I464" s="6" t="str">
        <x:v>5.507787875448875</x:v>
      </x:c>
      <x:c r="J464" s="6" t="str">
        <x:v>31</x:v>
      </x:c>
      <x:c r="K464" s="6" t="str">
        <x:v>170.7414241389151</x:v>
      </x:c>
      <x:c r="L464" s="6" t="str">
        <x:v>25.108973515936995</x:v>
      </x:c>
      <x:c r="M464" s="6" t="str">
        <x:v>0.2749309570547603</x:v>
      </x:c>
      <x:c r="N464" s="6" t="str">
        <x:v>90.49864042747332</x:v>
      </x:c>
      <x:c r="O464" s="6" t="str">
        <x:v>0.9436720975383635</x:v>
      </x:c>
      <x:c r="P464" s="6" t="str">
        <x:v>189.04957559471922</x:v>
      </x:c>
      <x:c r="Q464" s="6" t="str">
        <x:v>88.90293257709332</x:v>
      </x:c>
      <x:c r="R464" s="6" t="str">
        <x:v>0.9621615071094212</x:v>
      </x:c>
      <x:c r="S464" s="8" t="str">
        <x:v>3.499647756719442</x:v>
      </x:c>
      <x:c r="T464" s="6" t="str">
        <x:v>0.002549969968356436</x:v>
      </x:c>
      <x:c r="U464" s="8" t="str">
        <x:v>0.0027021779864088553</x:v>
      </x:c>
      <x:c r="V464" s="6" t="str">
        <x:v>-18.308151455804108</x:v>
      </x:c>
      <x:c r="W464" s="8" t="str">
        <x:v>-0.2059341680312734</x:v>
      </x:c>
      <x:c r="X464" s="6" t="str">
        <x:v>2.85976556532298</x:v>
      </x:c>
      <x:c r="Y464" s="6" t="str">
        <x:v>3.1071727685595243</x:v>
      </x:c>
      <x:c r="Z464" s="6" t="str">
        <x:v>3.1555286968673157</x:v>
      </x:c>
      <x:c r="AA464" s="6" t="str">
        <x:v>1.507359417951705</x:v>
      </x:c>
      <x:c r="AB464" s="6" t="str">
        <x:v>1.9766502539163464</x:v>
      </x:c>
      <x:c r="AC464" s="6" t="str">
        <x:v>1.1622372832848202</x:v>
      </x:c>
      <x:c r="AD464" s="6" t="str">
        <x:v>0.9318304747613306</x:v>
      </x:c>
      <x:c r="AE464" s="6" t="str">
        <x:v>2.0721277081192815</x:v>
      </x:c>
      <x:c r="AF464" s="6" t="str">
        <x:v>0.9326746716164461</x:v>
      </x:c>
      <x:c r="AG464" s="6" t="str">
        <x:v>0</x:v>
      </x:c>
      <x:c r="AH464" s="6" t="str">
        <x:v>1</x:v>
      </x:c>
      <x:c r="AI464" s="6" t="str">
        <x:v>2024-07</x:v>
      </x:c>
      <x:c r="AJ464" s="9" t="str">
        <x:v>NASA POWER (MERRA-2 meteorology)</x:v>
      </x:c>
      <x:c r="AK464" s="9" t="str">
        <x:v>Badan Informasi Geospasial (BIG)</x:v>
      </x:c>
      <x:c r="AL464" s="9" t="str">
        <x:v>https://power.larc.nasa.gov/docs/services/api/temporal/monthly/</x:v>
      </x:c>
      <x:c r="AM464" s="9" t="str">
        <x:v>https://geoservices.big.go.id/rbi/rest/services/BATASWILAYAH/BATAS_WILAYAH/MapServer/12</x:v>
      </x:c>
    </x:row>
    <x:row r="465" ht="18" customHeight="1">
      <x:c r="A465" s="6" t="str">
        <x:v>61</x:v>
      </x:c>
      <x:c r="B465" s="6" t="str">
        <x:v>KALIMANTAN BARAT</x:v>
      </x:c>
      <x:c r="C465" s="6" t="str">
        <x:v>2024</x:v>
      </x:c>
      <x:c r="D465" s="6" t="str">
        <x:v>8</x:v>
      </x:c>
      <x:c r="E465" s="6" t="str">
        <x:v>25.845420398775467</x:v>
      </x:c>
      <x:c r="F465" s="9" t="str">
        <x:v>grid_cells_within_BIG_polygon</x:v>
      </x:c>
      <x:c r="G465" s="6" t="str">
        <x:v>35</x:v>
      </x:c>
      <x:c r="H465" s="8" t="str">
        <x:v>91.556054608072</x:v>
      </x:c>
      <x:c r="I465" s="6" t="str">
        <x:v>11.542995351731882</x:v>
      </x:c>
      <x:c r="J465" s="6" t="str">
        <x:v>31</x:v>
      </x:c>
      <x:c r="K465" s="6" t="str">
        <x:v>357.83285590368837</x:v>
      </x:c>
      <x:c r="L465" s="6" t="str">
        <x:v>25.187594123841325</x:v>
      </x:c>
      <x:c r="M465" s="6" t="str">
        <x:v>0.26889711469069255</x:v>
      </x:c>
      <x:c r="N465" s="6" t="str">
        <x:v>89.4305061806724</x:v>
      </x:c>
      <x:c r="O465" s="6" t="str">
        <x:v>1.2155050566553178</x:v>
      </x:c>
      <x:c r="P465" s="6" t="str">
        <x:v>175.80089786490527</x:v>
      </x:c>
      <x:c r="Q465" s="6" t="str">
        <x:v>107.64032143123733</x:v>
      </x:c>
      <x:c r="R465" s="6" t="str">
        <x:v>0.6578262749341413</x:v>
      </x:c>
      <x:c r="S465" s="8" t="str">
        <x:v>2.4463865136330183</x:v>
      </x:c>
      <x:c r="T465" s="6" t="str">
        <x:v>2.1255484273996075</x:v>
      </x:c>
      <x:c r="U465" s="8" t="str">
        <x:v>1.7486956683244401</x:v>
      </x:c>
      <x:c r="V465" s="6" t="str">
        <x:v>182.0319580387831</x:v>
      </x:c>
      <x:c r="W465" s="8" t="str">
        <x:v>1.6911131035136175</x:v>
      </x:c>
      <x:c r="X465" s="6" t="str">
        <x:v>3.499647756719442</x:v>
      </x:c>
      <x:c r="Y465" s="6" t="str">
        <x:v>2.85976556532298</x:v>
      </x:c>
      <x:c r="Z465" s="6" t="str">
        <x:v>2.9352666118918136</x:v>
      </x:c>
      <x:c r="AA465" s="6" t="str">
        <x:v>0.0027021779864088553</x:v>
      </x:c>
      <x:c r="AB465" s="6" t="str">
        <x:v>1.507359417951705</x:v>
      </x:c>
      <x:c r="AC465" s="6" t="str">
        <x:v>1.0862524214208513</x:v>
      </x:c>
      <x:c r="AD465" s="6" t="str">
        <x:v>-0.2059341680312734</x:v>
      </x:c>
      <x:c r="AE465" s="6" t="str">
        <x:v>0.9318304747613306</x:v>
      </x:c>
      <x:c r="AF465" s="6" t="str">
        <x:v>0.8056698034145583</x:v>
      </x:c>
      <x:c r="AG465" s="6" t="str">
        <x:v>1</x:v>
      </x:c>
      <x:c r="AH465" s="6" t="str">
        <x:v>1</x:v>
      </x:c>
      <x:c r="AI465" s="6" t="str">
        <x:v>2024-08</x:v>
      </x:c>
      <x:c r="AJ465" s="9" t="str">
        <x:v>NASA POWER (MERRA-2 meteorology)</x:v>
      </x:c>
      <x:c r="AK465" s="9" t="str">
        <x:v>Badan Informasi Geospasial (BIG)</x:v>
      </x:c>
      <x:c r="AL465" s="9" t="str">
        <x:v>https://power.larc.nasa.gov/docs/services/api/temporal/monthly/</x:v>
      </x:c>
      <x:c r="AM465" s="9" t="str">
        <x:v>https://geoservices.big.go.id/rbi/rest/services/BATASWILAYAH/BATAS_WILAYAH/MapServer/12</x:v>
      </x:c>
    </x:row>
    <x:row r="466" ht="18" customHeight="1">
      <x:c r="A466" s="6" t="str">
        <x:v>61</x:v>
      </x:c>
      <x:c r="B466" s="6" t="str">
        <x:v>KALIMANTAN BARAT</x:v>
      </x:c>
      <x:c r="C466" s="6" t="str">
        <x:v>2024</x:v>
      </x:c>
      <x:c r="D466" s="6" t="str">
        <x:v>9</x:v>
      </x:c>
      <x:c r="E466" s="6" t="str">
        <x:v>26.145698393869118</x:v>
      </x:c>
      <x:c r="F466" s="9" t="str">
        <x:v>grid_cells_within_BIG_polygon</x:v>
      </x:c>
      <x:c r="G466" s="6" t="str">
        <x:v>35</x:v>
      </x:c>
      <x:c r="H466" s="8" t="str">
        <x:v>89.0214574471982</x:v>
      </x:c>
      <x:c r="I466" s="6" t="str">
        <x:v>8.819235275102416</x:v>
      </x:c>
      <x:c r="J466" s="6" t="str">
        <x:v>30</x:v>
      </x:c>
      <x:c r="K466" s="6" t="str">
        <x:v>264.5770582530725</x:v>
      </x:c>
      <x:c r="L466" s="6" t="str">
        <x:v>25.305219595790238</x:v>
      </x:c>
      <x:c r="M466" s="6" t="str">
        <x:v>0.3414991037601336</x:v>
      </x:c>
      <x:c r="N466" s="6" t="str">
        <x:v>89.23203727301566</x:v>
      </x:c>
      <x:c r="O466" s="6" t="str">
        <x:v>1.1686639911883</x:v>
      </x:c>
      <x:c r="P466" s="6" t="str">
        <x:v>198.3863196163242</x:v>
      </x:c>
      <x:c r="Q466" s="6" t="str">
        <x:v>92.27392170886363</x:v>
      </x:c>
      <x:c r="R466" s="6" t="str">
        <x:v>0.8404787980788804</x:v>
      </x:c>
      <x:c r="S466" s="8" t="str">
        <x:v>2.4611449600442477</x:v>
      </x:c>
      <x:c r="T466" s="6" t="str">
        <x:v>-0.2105798258174616</x:v>
      </x:c>
      <x:c r="U466" s="8" t="str">
        <x:v>-0.18018851218590518</x:v>
      </x:c>
      <x:c r="V466" s="6" t="str">
        <x:v>66.1907386367483</x:v>
      </x:c>
      <x:c r="W466" s="8" t="str">
        <x:v>0.7173287686372408</x:v>
      </x:c>
      <x:c r="X466" s="6" t="str">
        <x:v>2.4463865136330183</x:v>
      </x:c>
      <x:c r="Y466" s="6" t="str">
        <x:v>3.499647756719442</x:v>
      </x:c>
      <x:c r="Z466" s="6" t="str">
        <x:v>2.8023930767989023</x:v>
      </x:c>
      <x:c r="AA466" s="6" t="str">
        <x:v>1.7486956683244401</x:v>
      </x:c>
      <x:c r="AB466" s="6" t="str">
        <x:v>0.0027021779864088553</x:v>
      </x:c>
      <x:c r="AC466" s="6" t="str">
        <x:v>0.5237364447083147</x:v>
      </x:c>
      <x:c r="AD466" s="6" t="str">
        <x:v>1.6911131035136175</x:v>
      </x:c>
      <x:c r="AE466" s="6" t="str">
        <x:v>-0.2059341680312734</x:v>
      </x:c>
      <x:c r="AF466" s="6" t="str">
        <x:v>0.7341692347065284</x:v>
      </x:c>
      <x:c r="AG466" s="6" t="str">
        <x:v>0</x:v>
      </x:c>
      <x:c r="AH466" s="6" t="str">
        <x:v>1</x:v>
      </x:c>
      <x:c r="AI466" s="6" t="str">
        <x:v>2024-09</x:v>
      </x:c>
      <x:c r="AJ466" s="9" t="str">
        <x:v>NASA POWER (MERRA-2 meteorology)</x:v>
      </x:c>
      <x:c r="AK466" s="9" t="str">
        <x:v>Badan Informasi Geospasial (BIG)</x:v>
      </x:c>
      <x:c r="AL466" s="9" t="str">
        <x:v>https://power.larc.nasa.gov/docs/services/api/temporal/monthly/</x:v>
      </x:c>
      <x:c r="AM466" s="9" t="str">
        <x:v>https://geoservices.big.go.id/rbi/rest/services/BATASWILAYAH/BATAS_WILAYAH/MapServer/12</x:v>
      </x:c>
    </x:row>
    <x:row r="467" ht="18" customHeight="1">
      <x:c r="A467" s="6" t="str">
        <x:v>61</x:v>
      </x:c>
      <x:c r="B467" s="6" t="str">
        <x:v>KALIMANTAN BARAT</x:v>
      </x:c>
      <x:c r="C467" s="6" t="str">
        <x:v>2024</x:v>
      </x:c>
      <x:c r="D467" s="6" t="str">
        <x:v>10</x:v>
      </x:c>
      <x:c r="E467" s="6" t="str">
        <x:v>26.053981228542078</x:v>
      </x:c>
      <x:c r="F467" s="9" t="str">
        <x:v>grid_cells_within_BIG_polygon</x:v>
      </x:c>
      <x:c r="G467" s="6" t="str">
        <x:v>35</x:v>
      </x:c>
      <x:c r="H467" s="8" t="str">
        <x:v>90.48543525782704</x:v>
      </x:c>
      <x:c r="I467" s="6" t="str">
        <x:v>11.074912868488973</x:v>
      </x:c>
      <x:c r="J467" s="6" t="str">
        <x:v>31</x:v>
      </x:c>
      <x:c r="K467" s="6" t="str">
        <x:v>343.32229892315814</x:v>
      </x:c>
      <x:c r="L467" s="6" t="str">
        <x:v>25.350906257602052</x:v>
      </x:c>
      <x:c r="M467" s="6" t="str">
        <x:v>0.2795391225141604</x:v>
      </x:c>
      <x:c r="N467" s="6" t="str">
        <x:v>90.42897504624723</x:v>
      </x:c>
      <x:c r="O467" s="6" t="str">
        <x:v>0.9159307808218756</x:v>
      </x:c>
      <x:c r="P467" s="6" t="str">
        <x:v>298.86512659771466</x:v>
      </x:c>
      <x:c r="Q467" s="6" t="str">
        <x:v>101.00079441911807</x:v>
      </x:c>
      <x:c r="R467" s="6" t="str">
        <x:v>0.7030749709400261</x:v>
      </x:c>
      <x:c r="S467" s="8" t="str">
        <x:v>2.5151219071470434</x:v>
      </x:c>
      <x:c r="T467" s="6" t="str">
        <x:v>0.056460211579803854</x:v>
      </x:c>
      <x:c r="U467" s="8" t="str">
        <x:v>0.06164244368896679</x:v>
      </x:c>
      <x:c r="V467" s="6" t="str">
        <x:v>44.45717232544348</x:v>
      </x:c>
      <x:c r="W467" s="8" t="str">
        <x:v>0.44016656087834044</x:v>
      </x:c>
      <x:c r="X467" s="6" t="str">
        <x:v>2.4611449600442477</x:v>
      </x:c>
      <x:c r="Y467" s="6" t="str">
        <x:v>2.4463865136330183</x:v>
      </x:c>
      <x:c r="Z467" s="6" t="str">
        <x:v>2.4742177936081027</x:v>
      </x:c>
      <x:c r="AA467" s="6" t="str">
        <x:v>-0.18018851218590518</x:v>
      </x:c>
      <x:c r="AB467" s="6" t="str">
        <x:v>1.7486956683244401</x:v>
      </x:c>
      <x:c r="AC467" s="6" t="str">
        <x:v>0.5433831999425007</x:v>
      </x:c>
      <x:c r="AD467" s="6" t="str">
        <x:v>0.7173287686372408</x:v>
      </x:c>
      <x:c r="AE467" s="6" t="str">
        <x:v>1.6911131035136175</x:v>
      </x:c>
      <x:c r="AF467" s="6" t="str">
        <x:v>0.9495361443430662</x:v>
      </x:c>
      <x:c r="AG467" s="6" t="str">
        <x:v>0</x:v>
      </x:c>
      <x:c r="AH467" s="6" t="str">
        <x:v>1</x:v>
      </x:c>
      <x:c r="AI467" s="6" t="str">
        <x:v>2024-10</x:v>
      </x:c>
      <x:c r="AJ467" s="9" t="str">
        <x:v>NASA POWER (MERRA-2 meteorology)</x:v>
      </x:c>
      <x:c r="AK467" s="9" t="str">
        <x:v>Badan Informasi Geospasial (BIG)</x:v>
      </x:c>
      <x:c r="AL467" s="9" t="str">
        <x:v>https://power.larc.nasa.gov/docs/services/api/temporal/monthly/</x:v>
      </x:c>
      <x:c r="AM467" s="9" t="str">
        <x:v>https://geoservices.big.go.id/rbi/rest/services/BATASWILAYAH/BATAS_WILAYAH/MapServer/12</x:v>
      </x:c>
    </x:row>
    <x:row r="468" ht="18" customHeight="1">
      <x:c r="A468" s="6" t="str">
        <x:v>61</x:v>
      </x:c>
      <x:c r="B468" s="6" t="str">
        <x:v>KALIMANTAN BARAT</x:v>
      </x:c>
      <x:c r="C468" s="6" t="str">
        <x:v>2024</x:v>
      </x:c>
      <x:c r="D468" s="6" t="str">
        <x:v>11</x:v>
      </x:c>
      <x:c r="E468" s="6" t="str">
        <x:v>25.945985364470037</x:v>
      </x:c>
      <x:c r="F468" s="9" t="str">
        <x:v>grid_cells_within_BIG_polygon</x:v>
      </x:c>
      <x:c r="G468" s="6" t="str">
        <x:v>35</x:v>
      </x:c>
      <x:c r="H468" s="8" t="str">
        <x:v>91.56339555861382</x:v>
      </x:c>
      <x:c r="I468" s="6" t="str">
        <x:v>13.469587065015794</x:v>
      </x:c>
      <x:c r="J468" s="6" t="str">
        <x:v>30</x:v>
      </x:c>
      <x:c r="K468" s="6" t="str">
        <x:v>404.08761195047384</x:v>
      </x:c>
      <x:c r="L468" s="6" t="str">
        <x:v>25.248636266303553</x:v>
      </x:c>
      <x:c r="M468" s="6" t="str">
        <x:v>0.1929261499578574</x:v>
      </x:c>
      <x:c r="N468" s="6" t="str">
        <x:v>91.84506956302134</x:v>
      </x:c>
      <x:c r="O468" s="6" t="str">
        <x:v>0.37053989157953826</x:v>
      </x:c>
      <x:c r="P468" s="6" t="str">
        <x:v>347.5923312534161</x:v>
      </x:c>
      <x:c r="Q468" s="6" t="str">
        <x:v>89.83649823145825</x:v>
      </x:c>
      <x:c r="R468" s="6" t="str">
        <x:v>0.6973490981664838</x:v>
      </x:c>
      <x:c r="S468" s="8" t="str">
        <x:v>3.6145908593459835</x:v>
      </x:c>
      <x:c r="T468" s="6" t="str">
        <x:v>-0.28167400440752033</x:v>
      </x:c>
      <x:c r="U468" s="8" t="str">
        <x:v>-0.7601718757103311</x:v>
      </x:c>
      <x:c r="V468" s="6" t="str">
        <x:v>56.49528069705775</x:v>
      </x:c>
      <x:c r="W468" s="8" t="str">
        <x:v>0.6288677965997863</x:v>
      </x:c>
      <x:c r="X468" s="6" t="str">
        <x:v>2.5151219071470434</x:v>
      </x:c>
      <x:c r="Y468" s="6" t="str">
        <x:v>2.4611449600442477</x:v>
      </x:c>
      <x:c r="Z468" s="6" t="str">
        <x:v>2.863619242179091</x:v>
      </x:c>
      <x:c r="AA468" s="6" t="str">
        <x:v>0.06164244368896679</x:v>
      </x:c>
      <x:c r="AB468" s="6" t="str">
        <x:v>-0.18018851218590518</x:v>
      </x:c>
      <x:c r="AC468" s="6" t="str">
        <x:v>-0.292905981402423</x:v>
      </x:c>
      <x:c r="AD468" s="6" t="str">
        <x:v>0.44016656087834044</x:v>
      </x:c>
      <x:c r="AE468" s="6" t="str">
        <x:v>0.7173287686372408</x:v>
      </x:c>
      <x:c r="AF468" s="6" t="str">
        <x:v>0.5954543753717892</x:v>
      </x:c>
      <x:c r="AG468" s="6" t="str">
        <x:v>0</x:v>
      </x:c>
      <x:c r="AH468" s="6" t="str">
        <x:v>1</x:v>
      </x:c>
      <x:c r="AI468" s="6" t="str">
        <x:v>2024-11</x:v>
      </x:c>
      <x:c r="AJ468" s="9" t="str">
        <x:v>NASA POWER (MERRA-2 meteorology)</x:v>
      </x:c>
      <x:c r="AK468" s="9" t="str">
        <x:v>Badan Informasi Geospasial (BIG)</x:v>
      </x:c>
      <x:c r="AL468" s="9" t="str">
        <x:v>https://power.larc.nasa.gov/docs/services/api/temporal/monthly/</x:v>
      </x:c>
      <x:c r="AM468" s="9" t="str">
        <x:v>https://geoservices.big.go.id/rbi/rest/services/BATASWILAYAH/BATAS_WILAYAH/MapServer/12</x:v>
      </x:c>
    </x:row>
    <x:row r="469" ht="18" customHeight="1">
      <x:c r="A469" s="6" t="str">
        <x:v>61</x:v>
      </x:c>
      <x:c r="B469" s="6" t="str">
        <x:v>KALIMANTAN BARAT</x:v>
      </x:c>
      <x:c r="C469" s="6" t="str">
        <x:v>2024</x:v>
      </x:c>
      <x:c r="D469" s="6" t="str">
        <x:v>12</x:v>
      </x:c>
      <x:c r="E469" s="6" t="str">
        <x:v>25.738276068477152</x:v>
      </x:c>
      <x:c r="F469" s="9" t="str">
        <x:v>grid_cells_within_BIG_polygon</x:v>
      </x:c>
      <x:c r="G469" s="6" t="str">
        <x:v>35</x:v>
      </x:c>
      <x:c r="H469" s="8" t="str">
        <x:v>92.19997085605353</x:v>
      </x:c>
      <x:c r="I469" s="6" t="str">
        <x:v>10.87070841313966</x:v>
      </x:c>
      <x:c r="J469" s="6" t="str">
        <x:v>31</x:v>
      </x:c>
      <x:c r="K469" s="6" t="str">
        <x:v>336.99196080732946</x:v>
      </x:c>
      <x:c r="L469" s="6" t="str">
        <x:v>25.088348853537116</x:v>
      </x:c>
      <x:c r="M469" s="6" t="str">
        <x:v>0.2321477783843072</x:v>
      </x:c>
      <x:c r="N469" s="6" t="str">
        <x:v>92.3024805870992</x:v>
      </x:c>
      <x:c r="O469" s="6" t="str">
        <x:v>0.6095715708426624</x:v>
      </x:c>
      <x:c r="P469" s="6" t="str">
        <x:v>371.20206570265185</x:v>
      </x:c>
      <x:c r="Q469" s="6" t="str">
        <x:v>102.6039485965163</x:v>
      </x:c>
      <x:c r="R469" s="6" t="str">
        <x:v>0.6499272149400355</x:v>
      </x:c>
      <x:c r="S469" s="8" t="str">
        <x:v>2.7996271145189193</x:v>
      </x:c>
      <x:c r="T469" s="6" t="str">
        <x:v>-0.10250973104567151</x:v>
      </x:c>
      <x:c r="U469" s="8" t="str">
        <x:v>-0.16816685020917826</x:v>
      </x:c>
      <x:c r="V469" s="6" t="str">
        <x:v>-34.21010489532239</x:v>
      </x:c>
      <x:c r="W469" s="8" t="str">
        <x:v>-0.3334189898465946</x:v>
      </x:c>
      <x:c r="X469" s="6" t="str">
        <x:v>3.6145908593459835</x:v>
      </x:c>
      <x:c r="Y469" s="6" t="str">
        <x:v>2.5151219071470434</x:v>
      </x:c>
      <x:c r="Z469" s="6" t="str">
        <x:v>2.9764466270039818</x:v>
      </x:c>
      <x:c r="AA469" s="6" t="str">
        <x:v>-0.7601718757103311</x:v>
      </x:c>
      <x:c r="AB469" s="6" t="str">
        <x:v>0.06164244368896679</x:v>
      </x:c>
      <x:c r="AC469" s="6" t="str">
        <x:v>-0.28889876074351406</x:v>
      </x:c>
      <x:c r="AD469" s="6" t="str">
        <x:v>0.6288677965997863</x:v>
      </x:c>
      <x:c r="AE469" s="6" t="str">
        <x:v>0.44016656087834044</x:v>
      </x:c>
      <x:c r="AF469" s="6" t="str">
        <x:v>0.24520512254384408</x:v>
      </x:c>
      <x:c r="AG469" s="6" t="str">
        <x:v>0</x:v>
      </x:c>
      <x:c r="AH469" s="6" t="str">
        <x:v>1</x:v>
      </x:c>
      <x:c r="AI469" s="6" t="str">
        <x:v>2024-12</x:v>
      </x:c>
      <x:c r="AJ469" s="9" t="str">
        <x:v>NASA POWER (MERRA-2 meteorology)</x:v>
      </x:c>
      <x:c r="AK469" s="9" t="str">
        <x:v>Badan Informasi Geospasial (BIG)</x:v>
      </x:c>
      <x:c r="AL469" s="9" t="str">
        <x:v>https://power.larc.nasa.gov/docs/services/api/temporal/monthly/</x:v>
      </x:c>
      <x:c r="AM469" s="9" t="str">
        <x:v>https://geoservices.big.go.id/rbi/rest/services/BATASWILAYAH/BATAS_WILAYAH/MapServer/12</x:v>
      </x:c>
    </x:row>
    <x:row r="470" ht="18" customHeight="1">
      <x:c r="A470" s="6" t="str">
        <x:v>61</x:v>
      </x:c>
      <x:c r="B470" s="6" t="str">
        <x:v>KALIMANTAN BARAT</x:v>
      </x:c>
      <x:c r="C470" s="6" t="str">
        <x:v>2025</x:v>
      </x:c>
      <x:c r="D470" s="6" t="str">
        <x:v>1</x:v>
      </x:c>
      <x:c r="E470" s="6" t="str">
        <x:v>25.37684522037908</x:v>
      </x:c>
      <x:c r="F470" s="9" t="str">
        <x:v>grid_cells_within_BIG_polygon</x:v>
      </x:c>
      <x:c r="G470" s="6" t="str">
        <x:v>35</x:v>
      </x:c>
      <x:c r="H470" s="8" t="str">
        <x:v>93.30285992243842</x:v>
      </x:c>
      <x:c r="I470" s="6" t="str">
        <x:v>17.53312676191993</x:v>
      </x:c>
      <x:c r="J470" s="6" t="str">
        <x:v>31</x:v>
      </x:c>
      <x:c r="K470" s="6" t="str">
        <x:v>543.5269296195179</x:v>
      </x:c>
      <x:c r="L470" s="6" t="str">
        <x:v>25.00281488181116</x:v>
      </x:c>
      <x:c r="M470" s="6" t="str">
        <x:v>0.3439364927186906</x:v>
      </x:c>
      <x:c r="N470" s="6" t="str">
        <x:v>91.84439615002407</x:v>
      </x:c>
      <x:c r="O470" s="6" t="str">
        <x:v>0.6561544425617551</x:v>
      </x:c>
      <x:c r="P470" s="6" t="str">
        <x:v>329.0242769040061</x:v>
      </x:c>
      <x:c r="Q470" s="6" t="str">
        <x:v>77.96816081163037</x:v>
      </x:c>
      <x:c r="R470" s="6" t="str">
        <x:v>0.3740303385679198</x:v>
      </x:c>
      <x:c r="S470" s="8" t="str">
        <x:v>1.087498263447849</x:v>
      </x:c>
      <x:c r="T470" s="6" t="str">
        <x:v>1.4584637724143477</x:v>
      </x:c>
      <x:c r="U470" s="8" t="str">
        <x:v>2.2227446433498494</x:v>
      </x:c>
      <x:c r="V470" s="6" t="str">
        <x:v>214.50265271551177</x:v>
      </x:c>
      <x:c r="W470" s="8" t="str">
        <x:v>2.7511570169488313</x:v>
      </x:c>
      <x:c r="X470" s="6" t="str">
        <x:v>2.7996271145189193</x:v>
      </x:c>
      <x:c r="Y470" s="6" t="str">
        <x:v>3.6145908593459835</x:v>
      </x:c>
      <x:c r="Z470" s="6" t="str">
        <x:v>2.5005720791042503</x:v>
      </x:c>
      <x:c r="AA470" s="6" t="str">
        <x:v>-0.16816685020917826</x:v>
      </x:c>
      <x:c r="AB470" s="6" t="str">
        <x:v>-0.7601718757103311</x:v>
      </x:c>
      <x:c r="AC470" s="6" t="str">
        <x:v>0.4314686391434468</x:v>
      </x:c>
      <x:c r="AD470" s="6" t="str">
        <x:v>-0.3334189898465946</x:v>
      </x:c>
      <x:c r="AE470" s="6" t="str">
        <x:v>0.6288677965997863</x:v>
      </x:c>
      <x:c r="AF470" s="6" t="str">
        <x:v>1.015535274567341</x:v>
      </x:c>
      <x:c r="AG470" s="6" t="str">
        <x:v>1</x:v>
      </x:c>
      <x:c r="AH470" s="6" t="str">
        <x:v>1</x:v>
      </x:c>
      <x:c r="AI470" s="6" t="str">
        <x:v>2025-01</x:v>
      </x:c>
      <x:c r="AJ470" s="9" t="str">
        <x:v>NASA POWER (MERRA-2 meteorology)</x:v>
      </x:c>
      <x:c r="AK470" s="9" t="str">
        <x:v>Badan Informasi Geospasial (BIG)</x:v>
      </x:c>
      <x:c r="AL470" s="9" t="str">
        <x:v>https://power.larc.nasa.gov/docs/services/api/temporal/monthly/</x:v>
      </x:c>
      <x:c r="AM470" s="9" t="str">
        <x:v>https://geoservices.big.go.id/rbi/rest/services/BATASWILAYAH/BATAS_WILAYAH/MapServer/12</x:v>
      </x:c>
    </x:row>
    <x:row r="471" ht="18" customHeight="1">
      <x:c r="A471" s="6" t="str">
        <x:v>61</x:v>
      </x:c>
      <x:c r="B471" s="6" t="str">
        <x:v>KALIMANTAN BARAT</x:v>
      </x:c>
      <x:c r="C471" s="6" t="str">
        <x:v>2025</x:v>
      </x:c>
      <x:c r="D471" s="6" t="str">
        <x:v>2</x:v>
      </x:c>
      <x:c r="E471" s="6" t="str">
        <x:v>25.407412339830636</x:v>
      </x:c>
      <x:c r="F471" s="9" t="str">
        <x:v>grid_cells_within_BIG_polygon</x:v>
      </x:c>
      <x:c r="G471" s="6" t="str">
        <x:v>35</x:v>
      </x:c>
      <x:c r="H471" s="8" t="str">
        <x:v>91.36629218703781</x:v>
      </x:c>
      <x:c r="I471" s="6" t="str">
        <x:v>7.957026103527093</x:v>
      </x:c>
      <x:c r="J471" s="6" t="str">
        <x:v>28</x:v>
      </x:c>
      <x:c r="K471" s="6" t="str">
        <x:v>222.7967308987586</x:v>
      </x:c>
      <x:c r="L471" s="6" t="str">
        <x:v>25.141149706733763</x:v>
      </x:c>
      <x:c r="M471" s="6" t="str">
        <x:v>0.30891977132480897</x:v>
      </x:c>
      <x:c r="N471" s="6" t="str">
        <x:v>91.04222570775364</x:v>
      </x:c>
      <x:c r="O471" s="6" t="str">
        <x:v>0.8752732503761481</x:v>
      </x:c>
      <x:c r="P471" s="6" t="str">
        <x:v>263.16838427275775</x:v>
      </x:c>
      <x:c r="Q471" s="6" t="str">
        <x:v>96.76591444106401</x:v>
      </x:c>
      <x:c r="R471" s="6" t="str">
        <x:v>0.26626263309687204</x:v>
      </x:c>
      <x:c r="S471" s="8" t="str">
        <x:v>0.8619151566602523</x:v>
      </x:c>
      <x:c r="T471" s="6" t="str">
        <x:v>0.3240664792841699</x:v>
      </x:c>
      <x:c r="U471" s="8" t="str">
        <x:v>0.37024606789354353</x:v>
      </x:c>
      <x:c r="V471" s="6" t="str">
        <x:v>-40.37165337399915</x:v>
      </x:c>
      <x:c r="W471" s="8" t="str">
        <x:v>-0.4172094441228869</x:v>
      </x:c>
      <x:c r="X471" s="6" t="str">
        <x:v>1.087498263447849</x:v>
      </x:c>
      <x:c r="Y471" s="6" t="str">
        <x:v>2.7996271145189193</x:v>
      </x:c>
      <x:c r="Z471" s="6" t="str">
        <x:v>1.58301351154234</x:v>
      </x:c>
      <x:c r="AA471" s="6" t="str">
        <x:v>2.2227446433498494</x:v>
      </x:c>
      <x:c r="AB471" s="6" t="str">
        <x:v>-0.16816685020917826</x:v>
      </x:c>
      <x:c r="AC471" s="6" t="str">
        <x:v>0.8082746203447383</x:v>
      </x:c>
      <x:c r="AD471" s="6" t="str">
        <x:v>2.7511570169488313</x:v>
      </x:c>
      <x:c r="AE471" s="6" t="str">
        <x:v>-0.3334189898465946</x:v>
      </x:c>
      <x:c r="AF471" s="6" t="str">
        <x:v>0.6668428609931166</x:v>
      </x:c>
      <x:c r="AG471" s="6" t="str">
        <x:v>0</x:v>
      </x:c>
      <x:c r="AH471" s="6" t="str">
        <x:v>0</x:v>
      </x:c>
      <x:c r="AI471" s="6" t="str">
        <x:v>2025-02</x:v>
      </x:c>
      <x:c r="AJ471" s="9" t="str">
        <x:v>NASA POWER (MERRA-2 meteorology)</x:v>
      </x:c>
      <x:c r="AK471" s="9" t="str">
        <x:v>Badan Informasi Geospasial (BIG)</x:v>
      </x:c>
      <x:c r="AL471" s="9" t="str">
        <x:v>https://power.larc.nasa.gov/docs/services/api/temporal/monthly/</x:v>
      </x:c>
      <x:c r="AM471" s="9" t="str">
        <x:v>https://geoservices.big.go.id/rbi/rest/services/BATASWILAYAH/BATAS_WILAYAH/MapServer/12</x:v>
      </x:c>
    </x:row>
    <x:row r="472" ht="18" customHeight="1">
      <x:c r="A472" s="6" t="str">
        <x:v>61</x:v>
      </x:c>
      <x:c r="B472" s="6" t="str">
        <x:v>KALIMANTAN BARAT</x:v>
      </x:c>
      <x:c r="C472" s="6" t="str">
        <x:v>2025</x:v>
      </x:c>
      <x:c r="D472" s="6" t="str">
        <x:v>3</x:v>
      </x:c>
      <x:c r="E472" s="6" t="str">
        <x:v>25.71055497978112</x:v>
      </x:c>
      <x:c r="F472" s="9" t="str">
        <x:v>grid_cells_within_BIG_polygon</x:v>
      </x:c>
      <x:c r="G472" s="6" t="str">
        <x:v>35</x:v>
      </x:c>
      <x:c r="H472" s="8" t="str">
        <x:v>91.84340415216737</x:v>
      </x:c>
      <x:c r="I472" s="6" t="str">
        <x:v>13.582578896006105</x:v>
      </x:c>
      <x:c r="J472" s="6" t="str">
        <x:v>31</x:v>
      </x:c>
      <x:c r="K472" s="6" t="str">
        <x:v>421.05994577618924</x:v>
      </x:c>
      <x:c r="L472" s="6" t="str">
        <x:v>25.451578080557113</x:v>
      </x:c>
      <x:c r="M472" s="6" t="str">
        <x:v>0.294909162219301</x:v>
      </x:c>
      <x:c r="N472" s="6" t="str">
        <x:v>90.8701211421867</x:v>
      </x:c>
      <x:c r="O472" s="6" t="str">
        <x:v>0.6765251756573998</x:v>
      </x:c>
      <x:c r="P472" s="6" t="str">
        <x:v>274.0591339801549</x:v>
      </x:c>
      <x:c r="Q472" s="6" t="str">
        <x:v>81.17004315150956</x:v>
      </x:c>
      <x:c r="R472" s="6" t="str">
        <x:v>0.258976899224006</x:v>
      </x:c>
      <x:c r="S472" s="8" t="str">
        <x:v>0.8781582005628737</x:v>
      </x:c>
      <x:c r="T472" s="6" t="str">
        <x:v>0.973283009980662</x:v>
      </x:c>
      <x:c r="U472" s="8" t="str">
        <x:v>1.4386500975885985</x:v>
      </x:c>
      <x:c r="V472" s="6" t="str">
        <x:v>147.00081179603433</x:v>
      </x:c>
      <x:c r="W472" s="8" t="str">
        <x:v>1.811022959808547</x:v>
      </x:c>
      <x:c r="X472" s="6" t="str">
        <x:v>0.8619151566602523</x:v>
      </x:c>
      <x:c r="Y472" s="6" t="str">
        <x:v>1.087498263447849</x:v>
      </x:c>
      <x:c r="Z472" s="6" t="str">
        <x:v>0.9425238735569913</x:v>
      </x:c>
      <x:c r="AA472" s="6" t="str">
        <x:v>0.37024606789354353</x:v>
      </x:c>
      <x:c r="AB472" s="6" t="str">
        <x:v>2.2227446433498494</x:v>
      </x:c>
      <x:c r="AC472" s="6" t="str">
        <x:v>1.343880269610664</x:v>
      </x:c>
      <x:c r="AD472" s="6" t="str">
        <x:v>-0.4172094441228869</x:v>
      </x:c>
      <x:c r="AE472" s="6" t="str">
        <x:v>2.7511570169488313</x:v>
      </x:c>
      <x:c r="AF472" s="6" t="str">
        <x:v>1.3816568442114974</x:v>
      </x:c>
      <x:c r="AG472" s="6" t="str">
        <x:v>1</x:v>
      </x:c>
      <x:c r="AH472" s="6" t="str">
        <x:v>0</x:v>
      </x:c>
      <x:c r="AI472" s="6" t="str">
        <x:v>2025-03</x:v>
      </x:c>
      <x:c r="AJ472" s="9" t="str">
        <x:v>NASA POWER (MERRA-2 meteorology)</x:v>
      </x:c>
      <x:c r="AK472" s="9" t="str">
        <x:v>Badan Informasi Geospasial (BIG)</x:v>
      </x:c>
      <x:c r="AL472" s="9" t="str">
        <x:v>https://power.larc.nasa.gov/docs/services/api/temporal/monthly/</x:v>
      </x:c>
      <x:c r="AM472" s="9" t="str">
        <x:v>https://geoservices.big.go.id/rbi/rest/services/BATASWILAYAH/BATAS_WILAYAH/MapServer/12</x:v>
      </x:c>
    </x:row>
    <x:row r="473" ht="18" customHeight="1">
      <x:c r="A473" s="6" t="str">
        <x:v>61</x:v>
      </x:c>
      <x:c r="B473" s="6" t="str">
        <x:v>KALIMANTAN BARAT</x:v>
      </x:c>
      <x:c r="C473" s="6" t="str">
        <x:v>2025</x:v>
      </x:c>
      <x:c r="D473" s="6" t="str">
        <x:v>4</x:v>
      </x:c>
      <x:c r="E473" s="6" t="str">
        <x:v>25.804266914762554</x:v>
      </x:c>
      <x:c r="F473" s="9" t="str">
        <x:v>grid_cells_within_BIG_polygon</x:v>
      </x:c>
      <x:c r="G473" s="6" t="str">
        <x:v>35</x:v>
      </x:c>
      <x:c r="H473" s="8" t="str">
        <x:v>91.09771163542365</x:v>
      </x:c>
      <x:c r="I473" s="6" t="str">
        <x:v>8.266061777592425</x:v>
      </x:c>
      <x:c r="J473" s="6" t="str">
        <x:v>30</x:v>
      </x:c>
      <x:c r="K473" s="6" t="str">
        <x:v>247.98185332777274</x:v>
      </x:c>
      <x:c r="L473" s="6" t="str">
        <x:v>25.681679578470888</x:v>
      </x:c>
      <x:c r="M473" s="6" t="str">
        <x:v>0.27325454783214</x:v>
      </x:c>
      <x:c r="N473" s="6" t="str">
        <x:v>91.5279571845296</x:v>
      </x:c>
      <x:c r="O473" s="6" t="str">
        <x:v>0.565492345580704</x:v>
      </x:c>
      <x:c r="P473" s="6" t="str">
        <x:v>288.65394572011934</x:v>
      </x:c>
      <x:c r="Q473" s="6" t="str">
        <x:v>51.19144943718406</x:v>
      </x:c>
      <x:c r="R473" s="6" t="str">
        <x:v>0.12258733629166585</x:v>
      </x:c>
      <x:c r="S473" s="8" t="str">
        <x:v>0.44861956466675584</x:v>
      </x:c>
      <x:c r="T473" s="6" t="str">
        <x:v>-0.4302455491059476</x:v>
      </x:c>
      <x:c r="U473" s="8" t="str">
        <x:v>-0.7608335505657967</x:v>
      </x:c>
      <x:c r="V473" s="6" t="str">
        <x:v>-40.6720923923466</x:v>
      </x:c>
      <x:c r="W473" s="8" t="str">
        <x:v>-0.7945094901494136</x:v>
      </x:c>
      <x:c r="X473" s="6" t="str">
        <x:v>0.8781582005628737</x:v>
      </x:c>
      <x:c r="Y473" s="6" t="str">
        <x:v>0.8619151566602523</x:v>
      </x:c>
      <x:c r="Z473" s="6" t="str">
        <x:v>0.729564307296627</x:v>
      </x:c>
      <x:c r="AA473" s="6" t="str">
        <x:v>1.4386500975885985</x:v>
      </x:c>
      <x:c r="AB473" s="6" t="str">
        <x:v>0.37024606789354353</x:v>
      </x:c>
      <x:c r="AC473" s="6" t="str">
        <x:v>0.3493542049721152</x:v>
      </x:c>
      <x:c r="AD473" s="6" t="str">
        <x:v>1.811022959808547</x:v>
      </x:c>
      <x:c r="AE473" s="6" t="str">
        <x:v>-0.4172094441228869</x:v>
      </x:c>
      <x:c r="AF473" s="6" t="str">
        <x:v>0.19976800851208218</x:v>
      </x:c>
      <x:c r="AG473" s="6" t="str">
        <x:v>0</x:v>
      </x:c>
      <x:c r="AH473" s="6" t="str">
        <x:v>0</x:v>
      </x:c>
      <x:c r="AI473" s="6" t="str">
        <x:v>2025-04</x:v>
      </x:c>
      <x:c r="AJ473" s="9" t="str">
        <x:v>NASA POWER (MERRA-2 meteorology)</x:v>
      </x:c>
      <x:c r="AK473" s="9" t="str">
        <x:v>Badan Informasi Geospasial (BIG)</x:v>
      </x:c>
      <x:c r="AL473" s="9" t="str">
        <x:v>https://power.larc.nasa.gov/docs/services/api/temporal/monthly/</x:v>
      </x:c>
      <x:c r="AM473" s="9" t="str">
        <x:v>https://geoservices.big.go.id/rbi/rest/services/BATASWILAYAH/BATAS_WILAYAH/MapServer/12</x:v>
      </x:c>
    </x:row>
    <x:row r="474" ht="18" customHeight="1">
      <x:c r="A474" s="6" t="str">
        <x:v>61</x:v>
      </x:c>
      <x:c r="B474" s="6" t="str">
        <x:v>KALIMANTAN BARAT</x:v>
      </x:c>
      <x:c r="C474" s="6" t="str">
        <x:v>2025</x:v>
      </x:c>
      <x:c r="D474" s="6" t="str">
        <x:v>5</x:v>
      </x:c>
      <x:c r="E474" s="6" t="str">
        <x:v>26.32712297557933</x:v>
      </x:c>
      <x:c r="F474" s="9" t="str">
        <x:v>grid_cells_within_BIG_polygon</x:v>
      </x:c>
      <x:c r="G474" s="6" t="str">
        <x:v>35</x:v>
      </x:c>
      <x:c r="H474" s="8" t="str">
        <x:v>90.94027961839038</x:v>
      </x:c>
      <x:c r="I474" s="6" t="str">
        <x:v>7.745271238227634</x:v>
      </x:c>
      <x:c r="J474" s="6" t="str">
        <x:v>31</x:v>
      </x:c>
      <x:c r="K474" s="6" t="str">
        <x:v>240.10340838505664</x:v>
      </x:c>
      <x:c r="L474" s="6" t="str">
        <x:v>25.858624038733986</x:v>
      </x:c>
      <x:c r="M474" s="6" t="str">
        <x:v>0.2990089036254514</x:v>
      </x:c>
      <x:c r="N474" s="6" t="str">
        <x:v>91.5403533371668</x:v>
      </x:c>
      <x:c r="O474" s="6" t="str">
        <x:v>0.797988211375313</x:v>
      </x:c>
      <x:c r="P474" s="6" t="str">
        <x:v>247.1659477102931</x:v>
      </x:c>
      <x:c r="Q474" s="6" t="str">
        <x:v>78.6699187681726</x:v>
      </x:c>
      <x:c r="R474" s="6" t="str">
        <x:v>0.46849893684534294</x:v>
      </x:c>
      <x:c r="S474" s="8" t="str">
        <x:v>1.5668394190435226</x:v>
      </x:c>
      <x:c r="T474" s="6" t="str">
        <x:v>-0.6000737187764287</x:v>
      </x:c>
      <x:c r="U474" s="8" t="str">
        <x:v>-0.7519831874987432</x:v>
      </x:c>
      <x:c r="V474" s="6" t="str">
        <x:v>-7.062539325236457</x:v>
      </x:c>
      <x:c r="W474" s="8" t="str">
        <x:v>-0.08977433097456994</x:v>
      </x:c>
      <x:c r="X474" s="6" t="str">
        <x:v>0.44861956466675584</x:v>
      </x:c>
      <x:c r="Y474" s="6" t="str">
        <x:v>0.8781582005628737</x:v>
      </x:c>
      <x:c r="Z474" s="6" t="str">
        <x:v>0.9645390614243837</x:v>
      </x:c>
      <x:c r="AA474" s="6" t="str">
        <x:v>-0.7608335505657967</x:v>
      </x:c>
      <x:c r="AB474" s="6" t="str">
        <x:v>1.4386500975885985</x:v>
      </x:c>
      <x:c r="AC474" s="6" t="str">
        <x:v>-0.0247222134919803</x:v>
      </x:c>
      <x:c r="AD474" s="6" t="str">
        <x:v>-0.7945094901494136</x:v>
      </x:c>
      <x:c r="AE474" s="6" t="str">
        <x:v>1.811022959808547</x:v>
      </x:c>
      <x:c r="AF474" s="6" t="str">
        <x:v>0.30891304622818777</x:v>
      </x:c>
      <x:c r="AG474" s="6" t="str">
        <x:v>0</x:v>
      </x:c>
      <x:c r="AH474" s="6" t="str">
        <x:v>1</x:v>
      </x:c>
      <x:c r="AI474" s="6" t="str">
        <x:v>2025-05</x:v>
      </x:c>
      <x:c r="AJ474" s="9" t="str">
        <x:v>NASA POWER (MERRA-2 meteorology)</x:v>
      </x:c>
      <x:c r="AK474" s="9" t="str">
        <x:v>Badan Informasi Geospasial (BIG)</x:v>
      </x:c>
      <x:c r="AL474" s="9" t="str">
        <x:v>https://power.larc.nasa.gov/docs/services/api/temporal/monthly/</x:v>
      </x:c>
      <x:c r="AM474" s="9" t="str">
        <x:v>https://geoservices.big.go.id/rbi/rest/services/BATASWILAYAH/BATAS_WILAYAH/MapServer/12</x:v>
      </x:c>
    </x:row>
    <x:row r="475" ht="18" customHeight="1">
      <x:c r="A475" s="6" t="str">
        <x:v>61</x:v>
      </x:c>
      <x:c r="B475" s="6" t="str">
        <x:v>KALIMANTAN BARAT</x:v>
      </x:c>
      <x:c r="C475" s="6" t="str">
        <x:v>2025</x:v>
      </x:c>
      <x:c r="D475" s="6" t="str">
        <x:v>6</x:v>
      </x:c>
      <x:c r="E475" s="6" t="str">
        <x:v>25.742276714281612</x:v>
      </x:c>
      <x:c r="F475" s="9" t="str">
        <x:v>grid_cells_within_BIG_polygon</x:v>
      </x:c>
      <x:c r="G475" s="6" t="str">
        <x:v>35</x:v>
      </x:c>
      <x:c r="H475" s="8" t="str">
        <x:v>91.22540164448634</x:v>
      </x:c>
      <x:c r="I475" s="6" t="str">
        <x:v>6.255111329327212</x:v>
      </x:c>
      <x:c r="J475" s="6" t="str">
        <x:v>30</x:v>
      </x:c>
      <x:c r="K475" s="6" t="str">
        <x:v>187.65333987981637</x:v>
      </x:c>
      <x:c r="L475" s="6" t="str">
        <x:v>25.454112165402606</x:v>
      </x:c>
      <x:c r="M475" s="6" t="str">
        <x:v>0.2365380380890239</x:v>
      </x:c>
      <x:c r="N475" s="6" t="str">
        <x:v>91.25853866440417</x:v>
      </x:c>
      <x:c r="O475" s="6" t="str">
        <x:v>0.7760248383878541</x:v>
      </x:c>
      <x:c r="P475" s="6" t="str">
        <x:v>211.71707678631736</x:v>
      </x:c>
      <x:c r="Q475" s="6" t="str">
        <x:v>65.79945765155323</x:v>
      </x:c>
      <x:c r="R475" s="6" t="str">
        <x:v>0.28816454887900633</x:v>
      </x:c>
      <x:c r="S475" s="8" t="str">
        <x:v>1.2182588103252643</x:v>
      </x:c>
      <x:c r="T475" s="6" t="str">
        <x:v>-0.03313701991783091</x:v>
      </x:c>
      <x:c r="U475" s="8" t="str">
        <x:v>-0.04270097847212097</x:v>
      </x:c>
      <x:c r="V475" s="6" t="str">
        <x:v>-24.063736906500992</x:v>
      </x:c>
      <x:c r="W475" s="8" t="str">
        <x:v>-0.36571330167997146</x:v>
      </x:c>
      <x:c r="X475" s="6" t="str">
        <x:v>1.5668394190435226</x:v>
      </x:c>
      <x:c r="Y475" s="6" t="str">
        <x:v>0.44861956466675584</x:v>
      </x:c>
      <x:c r="Z475" s="6" t="str">
        <x:v>1.0779059313451806</x:v>
      </x:c>
      <x:c r="AA475" s="6" t="str">
        <x:v>-0.7519831874987432</x:v>
      </x:c>
      <x:c r="AB475" s="6" t="str">
        <x:v>-0.7608335505657967</x:v>
      </x:c>
      <x:c r="AC475" s="6" t="str">
        <x:v>-0.5185059055122202</x:v>
      </x:c>
      <x:c r="AD475" s="6" t="str">
        <x:v>-0.08977433097456994</x:v>
      </x:c>
      <x:c r="AE475" s="6" t="str">
        <x:v>-0.7945094901494136</x:v>
      </x:c>
      <x:c r="AF475" s="6" t="str">
        <x:v>-0.4166657076013183</x:v>
      </x:c>
      <x:c r="AG475" s="6" t="str">
        <x:v>0</x:v>
      </x:c>
      <x:c r="AH475" s="6" t="str">
        <x:v>1</x:v>
      </x:c>
      <x:c r="AI475" s="6" t="str">
        <x:v>2025-06</x:v>
      </x:c>
      <x:c r="AJ475" s="9" t="str">
        <x:v>NASA POWER (MERRA-2 meteorology)</x:v>
      </x:c>
      <x:c r="AK475" s="9" t="str">
        <x:v>Badan Informasi Geospasial (BIG)</x:v>
      </x:c>
      <x:c r="AL475" s="9" t="str">
        <x:v>https://power.larc.nasa.gov/docs/services/api/temporal/monthly/</x:v>
      </x:c>
      <x:c r="AM475" s="9" t="str">
        <x:v>https://geoservices.big.go.id/rbi/rest/services/BATASWILAYAH/BATAS_WILAYAH/MapServer/12</x:v>
      </x:c>
    </x:row>
    <x:row r="476" ht="18" customHeight="1">
      <x:c r="A476" s="6" t="str">
        <x:v>61</x:v>
      </x:c>
      <x:c r="B476" s="6" t="str">
        <x:v>KALIMANTAN BARAT</x:v>
      </x:c>
      <x:c r="C476" s="6" t="str">
        <x:v>2025</x:v>
      </x:c>
      <x:c r="D476" s="6" t="str">
        <x:v>7</x:v>
      </x:c>
      <x:c r="E476" s="6" t="str">
        <x:v>25.89113632866766</x:v>
      </x:c>
      <x:c r="F476" s="9" t="str">
        <x:v>grid_cells_within_BIG_polygon</x:v>
      </x:c>
      <x:c r="G476" s="6" t="str">
        <x:v>35</x:v>
      </x:c>
      <x:c r="H476" s="8" t="str">
        <x:v>89.81828282451163</x:v>
      </x:c>
      <x:c r="I476" s="6" t="str">
        <x:v>2.551712735766408</x:v>
      </x:c>
      <x:c r="J476" s="6" t="str">
        <x:v>31</x:v>
      </x:c>
      <x:c r="K476" s="6" t="str">
        <x:v>79.10309480875864</x:v>
      </x:c>
      <x:c r="L476" s="6" t="str">
        <x:v>25.108973515936995</x:v>
      </x:c>
      <x:c r="M476" s="6" t="str">
        <x:v>0.2749309570547603</x:v>
      </x:c>
      <x:c r="N476" s="6" t="str">
        <x:v>90.49864042747332</x:v>
      </x:c>
      <x:c r="O476" s="6" t="str">
        <x:v>0.9436720975383635</x:v>
      </x:c>
      <x:c r="P476" s="6" t="str">
        <x:v>189.04957559471922</x:v>
      </x:c>
      <x:c r="Q476" s="6" t="str">
        <x:v>88.90293257709332</x:v>
      </x:c>
      <x:c r="R476" s="6" t="str">
        <x:v>0.7821628127306646</x:v>
      </x:c>
      <x:c r="S476" s="8" t="str">
        <x:v>2.844942676189334</x:v>
      </x:c>
      <x:c r="T476" s="6" t="str">
        <x:v>-0.680357602961692</x:v>
      </x:c>
      <x:c r="U476" s="8" t="str">
        <x:v>-0.7209682311646745</x:v>
      </x:c>
      <x:c r="V476" s="6" t="str">
        <x:v>-109.94648078596057</x:v>
      </x:c>
      <x:c r="W476" s="8" t="str">
        <x:v>-1.2367025203653328</x:v>
      </x:c>
      <x:c r="X476" s="6" t="str">
        <x:v>1.2182588103252643</x:v>
      </x:c>
      <x:c r="Y476" s="6" t="str">
        <x:v>1.5668394190435226</x:v>
      </x:c>
      <x:c r="Z476" s="6" t="str">
        <x:v>1.8766803018527067</x:v>
      </x:c>
      <x:c r="AA476" s="6" t="str">
        <x:v>-0.04270097847212097</x:v>
      </x:c>
      <x:c r="AB476" s="6" t="str">
        <x:v>-0.7519831874987432</x:v>
      </x:c>
      <x:c r="AC476" s="6" t="str">
        <x:v>-0.505217465711846</x:v>
      </x:c>
      <x:c r="AD476" s="6" t="str">
        <x:v>-0.36571330167997146</x:v>
      </x:c>
      <x:c r="AE476" s="6" t="str">
        <x:v>-0.08977433097456994</x:v>
      </x:c>
      <x:c r="AF476" s="6" t="str">
        <x:v>-0.5640633843399581</x:v>
      </x:c>
      <x:c r="AG476" s="6" t="str">
        <x:v>0</x:v>
      </x:c>
      <x:c r="AH476" s="6" t="str">
        <x:v>1</x:v>
      </x:c>
      <x:c r="AI476" s="6" t="str">
        <x:v>2025-07</x:v>
      </x:c>
      <x:c r="AJ476" s="9" t="str">
        <x:v>NASA POWER (MERRA-2 meteorology)</x:v>
      </x:c>
      <x:c r="AK476" s="9" t="str">
        <x:v>Badan Informasi Geospasial (BIG)</x:v>
      </x:c>
      <x:c r="AL476" s="9" t="str">
        <x:v>https://power.larc.nasa.gov/docs/services/api/temporal/monthly/</x:v>
      </x:c>
      <x:c r="AM476" s="9" t="str">
        <x:v>https://geoservices.big.go.id/rbi/rest/services/BATASWILAYAH/BATAS_WILAYAH/MapServer/12</x:v>
      </x:c>
    </x:row>
    <x:row r="477" ht="18" customHeight="1">
      <x:c r="A477" s="6" t="str">
        <x:v>61</x:v>
      </x:c>
      <x:c r="B477" s="6" t="str">
        <x:v>KALIMANTAN BARAT</x:v>
      </x:c>
      <x:c r="C477" s="6" t="str">
        <x:v>2025</x:v>
      </x:c>
      <x:c r="D477" s="6" t="str">
        <x:v>8</x:v>
      </x:c>
      <x:c r="E477" s="6" t="str">
        <x:v>25.234843444565847</x:v>
      </x:c>
      <x:c r="F477" s="9" t="str">
        <x:v>grid_cells_within_BIG_polygon</x:v>
      </x:c>
      <x:c r="G477" s="6" t="str">
        <x:v>35</x:v>
      </x:c>
      <x:c r="H477" s="8" t="str">
        <x:v>90.66199235443436</x:v>
      </x:c>
      <x:c r="I477" s="6" t="str">
        <x:v>10.404637452505707</x:v>
      </x:c>
      <x:c r="J477" s="6" t="str">
        <x:v>31</x:v>
      </x:c>
      <x:c r="K477" s="6" t="str">
        <x:v>322.5437610276769</x:v>
      </x:c>
      <x:c r="L477" s="6" t="str">
        <x:v>25.187594123841325</x:v>
      </x:c>
      <x:c r="M477" s="6" t="str">
        <x:v>0.26889711469069255</x:v>
      </x:c>
      <x:c r="N477" s="6" t="str">
        <x:v>89.4305061806724</x:v>
      </x:c>
      <x:c r="O477" s="6" t="str">
        <x:v>1.2155050566553178</x:v>
      </x:c>
      <x:c r="P477" s="6" t="str">
        <x:v>175.80089786490527</x:v>
      </x:c>
      <x:c r="Q477" s="6" t="str">
        <x:v>107.64032143123733</x:v>
      </x:c>
      <x:c r="R477" s="6" t="str">
        <x:v>0.04724932072452148</x:v>
      </x:c>
      <x:c r="S477" s="8" t="str">
        <x:v>0.17571523881493303</x:v>
      </x:c>
      <x:c r="T477" s="6" t="str">
        <x:v>1.2314861737619651</x:v>
      </x:c>
      <x:c r="U477" s="8" t="str">
        <x:v>1.013147717501581</x:v>
      </x:c>
      <x:c r="V477" s="6" t="str">
        <x:v>146.74286316277164</x:v>
      </x:c>
      <x:c r="W477" s="8" t="str">
        <x:v>1.3632703917231774</x:v>
      </x:c>
      <x:c r="X477" s="6" t="str">
        <x:v>2.844942676189334</x:v>
      </x:c>
      <x:c r="Y477" s="6" t="str">
        <x:v>1.2182588103252643</x:v>
      </x:c>
      <x:c r="Z477" s="6" t="str">
        <x:v>1.41297224177651</x:v>
      </x:c>
      <x:c r="AA477" s="6" t="str">
        <x:v>-0.7209682311646745</x:v>
      </x:c>
      <x:c r="AB477" s="6" t="str">
        <x:v>-0.04270097847212097</x:v>
      </x:c>
      <x:c r="AC477" s="6" t="str">
        <x:v>0.08315950262159533</x:v>
      </x:c>
      <x:c r="AD477" s="6" t="str">
        <x:v>-1.2367025203653328</x:v>
      </x:c>
      <x:c r="AE477" s="6" t="str">
        <x:v>-0.36571330167997146</x:v>
      </x:c>
      <x:c r="AF477" s="6" t="str">
        <x:v>-0.07971514344070892</x:v>
      </x:c>
      <x:c r="AG477" s="6" t="str">
        <x:v>1</x:v>
      </x:c>
      <x:c r="AH477" s="6" t="str">
        <x:v>0</x:v>
      </x:c>
      <x:c r="AI477" s="6" t="str">
        <x:v>2025-08</x:v>
      </x:c>
      <x:c r="AJ477" s="9" t="str">
        <x:v>NASA POWER (MERRA-2 meteorology)</x:v>
      </x:c>
      <x:c r="AK477" s="9" t="str">
        <x:v>Badan Informasi Geospasial (BIG)</x:v>
      </x:c>
      <x:c r="AL477" s="9" t="str">
        <x:v>https://power.larc.nasa.gov/docs/services/api/temporal/monthly/</x:v>
      </x:c>
      <x:c r="AM477" s="9" t="str">
        <x:v>https://geoservices.big.go.id/rbi/rest/services/BATASWILAYAH/BATAS_WILAYAH/MapServer/12</x:v>
      </x:c>
    </x:row>
    <x:row r="478" ht="18" customHeight="1">
      <x:c r="A478" s="6" t="str">
        <x:v>61</x:v>
      </x:c>
      <x:c r="B478" s="6" t="str">
        <x:v>KALIMANTAN BARAT</x:v>
      </x:c>
      <x:c r="C478" s="6" t="str">
        <x:v>2025</x:v>
      </x:c>
      <x:c r="D478" s="6" t="str">
        <x:v>9</x:v>
      </x:c>
      <x:c r="E478" s="6" t="str">
        <x:v>25.5451298385478</x:v>
      </x:c>
      <x:c r="F478" s="9" t="str">
        <x:v>grid_cells_within_BIG_polygon</x:v>
      </x:c>
      <x:c r="G478" s="6" t="str">
        <x:v>35</x:v>
      </x:c>
      <x:c r="H478" s="8" t="str">
        <x:v>90.69968004351746</x:v>
      </x:c>
      <x:c r="I478" s="6" t="str">
        <x:v>11.961690331460387</x:v>
      </x:c>
      <x:c r="J478" s="6" t="str">
        <x:v>30</x:v>
      </x:c>
      <x:c r="K478" s="6" t="str">
        <x:v>358.85070994381164</x:v>
      </x:c>
      <x:c r="L478" s="6" t="str">
        <x:v>25.305219595790238</x:v>
      </x:c>
      <x:c r="M478" s="6" t="str">
        <x:v>0.3414991037601336</x:v>
      </x:c>
      <x:c r="N478" s="6" t="str">
        <x:v>89.23203727301566</x:v>
      </x:c>
      <x:c r="O478" s="6" t="str">
        <x:v>1.1686639911883</x:v>
      </x:c>
      <x:c r="P478" s="6" t="str">
        <x:v>198.3863196163242</x:v>
      </x:c>
      <x:c r="Q478" s="6" t="str">
        <x:v>92.27392170886363</x:v>
      </x:c>
      <x:c r="R478" s="6" t="str">
        <x:v>0.23991024275756345</x:v>
      </x:c>
      <x:c r="S478" s="8" t="str">
        <x:v>0.702520856177926</x:v>
      </x:c>
      <x:c r="T478" s="6" t="str">
        <x:v>1.4676427705017971</x:v>
      </x:c>
      <x:c r="U478" s="8" t="str">
        <x:v>1.2558295468738578</x:v>
      </x:c>
      <x:c r="V478" s="6" t="str">
        <x:v>160.46439032748745</x:v>
      </x:c>
      <x:c r="W478" s="8" t="str">
        <x:v>1.739000438648026</x:v>
      </x:c>
      <x:c r="X478" s="6" t="str">
        <x:v>0.17571523881493303</x:v>
      </x:c>
      <x:c r="Y478" s="6" t="str">
        <x:v>2.844942676189334</x:v>
      </x:c>
      <x:c r="Z478" s="6" t="str">
        <x:v>1.241059590394064</x:v>
      </x:c>
      <x:c r="AA478" s="6" t="str">
        <x:v>1.013147717501581</x:v>
      </x:c>
      <x:c r="AB478" s="6" t="str">
        <x:v>-0.7209682311646745</x:v>
      </x:c>
      <x:c r="AC478" s="6" t="str">
        <x:v>0.5160030110702549</x:v>
      </x:c>
      <x:c r="AD478" s="6" t="str">
        <x:v>1.3632703917231774</x:v>
      </x:c>
      <x:c r="AE478" s="6" t="str">
        <x:v>-1.2367025203653328</x:v>
      </x:c>
      <x:c r="AF478" s="6" t="str">
        <x:v>0.6218561033352902</x:v>
      </x:c>
      <x:c r="AG478" s="6" t="str">
        <x:v>1</x:v>
      </x:c>
      <x:c r="AH478" s="6" t="str">
        <x:v>0</x:v>
      </x:c>
      <x:c r="AI478" s="6" t="str">
        <x:v>2025-09</x:v>
      </x:c>
      <x:c r="AJ478" s="9" t="str">
        <x:v>NASA POWER (MERRA-2 meteorology)</x:v>
      </x:c>
      <x:c r="AK478" s="9" t="str">
        <x:v>Badan Informasi Geospasial (BIG)</x:v>
      </x:c>
      <x:c r="AL478" s="9" t="str">
        <x:v>https://power.larc.nasa.gov/docs/services/api/temporal/monthly/</x:v>
      </x:c>
      <x:c r="AM478" s="9" t="str">
        <x:v>https://geoservices.big.go.id/rbi/rest/services/BATASWILAYAH/BATAS_WILAYAH/MapServer/12</x:v>
      </x:c>
    </x:row>
    <x:row r="479" ht="18" customHeight="1">
      <x:c r="A479" s="6" t="str">
        <x:v>61</x:v>
      </x:c>
      <x:c r="B479" s="6" t="str">
        <x:v>KALIMANTAN BARAT</x:v>
      </x:c>
      <x:c r="C479" s="6" t="str">
        <x:v>2025</x:v>
      </x:c>
      <x:c r="D479" s="6" t="str">
        <x:v>10</x:v>
      </x:c>
      <x:c r="E479" s="6" t="str">
        <x:v>25.720839143088206</x:v>
      </x:c>
      <x:c r="F479" s="9" t="str">
        <x:v>grid_cells_within_BIG_polygon</x:v>
      </x:c>
      <x:c r="G479" s="6" t="str">
        <x:v>35</x:v>
      </x:c>
      <x:c r="H479" s="8" t="str">
        <x:v>90.10313527550882</x:v>
      </x:c>
      <x:c r="I479" s="6" t="str">
        <x:v>10.18574582138223</x:v>
      </x:c>
      <x:c r="J479" s="6" t="str">
        <x:v>31</x:v>
      </x:c>
      <x:c r="K479" s="6" t="str">
        <x:v>315.75812046284915</x:v>
      </x:c>
      <x:c r="L479" s="6" t="str">
        <x:v>25.350906257602052</x:v>
      </x:c>
      <x:c r="M479" s="6" t="str">
        <x:v>0.2795391225141604</x:v>
      </x:c>
      <x:c r="N479" s="6" t="str">
        <x:v>90.42897504624723</x:v>
      </x:c>
      <x:c r="O479" s="6" t="str">
        <x:v>0.9159307808218756</x:v>
      </x:c>
      <x:c r="P479" s="6" t="str">
        <x:v>298.86512659771466</x:v>
      </x:c>
      <x:c r="Q479" s="6" t="str">
        <x:v>101.00079441911807</x:v>
      </x:c>
      <x:c r="R479" s="6" t="str">
        <x:v>0.3699328854861541</x:v>
      </x:c>
      <x:c r="S479" s="8" t="str">
        <x:v>1.3233671271448406</x:v>
      </x:c>
      <x:c r="T479" s="6" t="str">
        <x:v>-0.32583977073841197</x:v>
      </x:c>
      <x:c r="U479" s="8" t="str">
        <x:v>-0.3557471564019631</x:v>
      </x:c>
      <x:c r="V479" s="6" t="str">
        <x:v>16.892993865134486</x:v>
      </x:c>
      <x:c r="W479" s="8" t="str">
        <x:v>0.16725604944288314</x:v>
      </x:c>
      <x:c r="X479" s="6" t="str">
        <x:v>0.702520856177926</x:v>
      </x:c>
      <x:c r="Y479" s="6" t="str">
        <x:v>0.17571523881493303</x:v>
      </x:c>
      <x:c r="Z479" s="6" t="str">
        <x:v>0.7338677407125663</x:v>
      </x:c>
      <x:c r="AA479" s="6" t="str">
        <x:v>1.2558295468738578</x:v>
      </x:c>
      <x:c r="AB479" s="6" t="str">
        <x:v>1.013147717501581</x:v>
      </x:c>
      <x:c r="AC479" s="6" t="str">
        <x:v>0.6377433693244922</x:v>
      </x:c>
      <x:c r="AD479" s="6" t="str">
        <x:v>1.739000438648026</x:v>
      </x:c>
      <x:c r="AE479" s="6" t="str">
        <x:v>1.3632703917231774</x:v>
      </x:c>
      <x:c r="AF479" s="6" t="str">
        <x:v>1.0898422932713623</x:v>
      </x:c>
      <x:c r="AG479" s="6" t="str">
        <x:v>0</x:v>
      </x:c>
      <x:c r="AH479" s="6" t="str">
        <x:v>1</x:v>
      </x:c>
      <x:c r="AI479" s="6" t="str">
        <x:v>2025-10</x:v>
      </x:c>
      <x:c r="AJ479" s="9" t="str">
        <x:v>NASA POWER (MERRA-2 meteorology)</x:v>
      </x:c>
      <x:c r="AK479" s="9" t="str">
        <x:v>Badan Informasi Geospasial (BIG)</x:v>
      </x:c>
      <x:c r="AL479" s="9" t="str">
        <x:v>https://power.larc.nasa.gov/docs/services/api/temporal/monthly/</x:v>
      </x:c>
      <x:c r="AM479" s="9" t="str">
        <x:v>https://geoservices.big.go.id/rbi/rest/services/BATASWILAYAH/BATAS_WILAYAH/MapServer/12</x:v>
      </x:c>
    </x:row>
    <x:row r="480" ht="18" customHeight="1">
      <x:c r="A480" s="6" t="str">
        <x:v>61</x:v>
      </x:c>
      <x:c r="B480" s="6" t="str">
        <x:v>KALIMANTAN BARAT</x:v>
      </x:c>
      <x:c r="C480" s="6" t="str">
        <x:v>2025</x:v>
      </x:c>
      <x:c r="D480" s="6" t="str">
        <x:v>11</x:v>
      </x:c>
      <x:c r="E480" s="6" t="str">
        <x:v>25.656557357758928</x:v>
      </x:c>
      <x:c r="F480" s="9" t="str">
        <x:v>grid_cells_within_BIG_polygon</x:v>
      </x:c>
      <x:c r="G480" s="6" t="str">
        <x:v>35</x:v>
      </x:c>
      <x:c r="H480" s="8" t="str">
        <x:v>90.92055729657497</x:v>
      </x:c>
      <x:c r="I480" s="6" t="str">
        <x:v>10.992939894689167</x:v>
      </x:c>
      <x:c r="J480" s="6" t="str">
        <x:v>30</x:v>
      </x:c>
      <x:c r="K480" s="6" t="str">
        <x:v>329.788196840675</x:v>
      </x:c>
      <x:c r="L480" s="6" t="str">
        <x:v>25.248636266303553</x:v>
      </x:c>
      <x:c r="M480" s="6" t="str">
        <x:v>0.1929261499578574</x:v>
      </x:c>
      <x:c r="N480" s="6" t="str">
        <x:v>91.84506956302134</x:v>
      </x:c>
      <x:c r="O480" s="6" t="str">
        <x:v>0.37053989157953826</x:v>
      </x:c>
      <x:c r="P480" s="6" t="str">
        <x:v>347.5923312534161</x:v>
      </x:c>
      <x:c r="Q480" s="6" t="str">
        <x:v>89.83649823145825</x:v>
      </x:c>
      <x:c r="R480" s="6" t="str">
        <x:v>0.4079210914553748</x:v>
      </x:c>
      <x:c r="S480" s="8" t="str">
        <x:v>2.114389840591753</x:v>
      </x:c>
      <x:c r="T480" s="6" t="str">
        <x:v>-0.9245122664463707</x:v>
      </x:c>
      <x:c r="U480" s="8" t="str">
        <x:v>-2.4950411209582803</x:v>
      </x:c>
      <x:c r="V480" s="6" t="str">
        <x:v>-17.804134412741064</x:v>
      </x:c>
      <x:c r="W480" s="8" t="str">
        <x:v>-0.19818375341022085</x:v>
      </x:c>
      <x:c r="X480" s="6" t="str">
        <x:v>1.3233671271448406</x:v>
      </x:c>
      <x:c r="Y480" s="6" t="str">
        <x:v>0.702520856177926</x:v>
      </x:c>
      <x:c r="Z480" s="6" t="str">
        <x:v>1.3800926079715063</x:v>
      </x:c>
      <x:c r="AA480" s="6" t="str">
        <x:v>-0.3557471564019631</x:v>
      </x:c>
      <x:c r="AB480" s="6" t="str">
        <x:v>1.2558295468738578</x:v>
      </x:c>
      <x:c r="AC480" s="6" t="str">
        <x:v>-0.5316529101621285</x:v>
      </x:c>
      <x:c r="AD480" s="6" t="str">
        <x:v>0.16725604944288314</x:v>
      </x:c>
      <x:c r="AE480" s="6" t="str">
        <x:v>1.739000438648026</x:v>
      </x:c>
      <x:c r="AF480" s="6" t="str">
        <x:v>0.5693575782268961</x:v>
      </x:c>
      <x:c r="AG480" s="6" t="str">
        <x:v>0</x:v>
      </x:c>
      <x:c r="AH480" s="6" t="str">
        <x:v>1</x:v>
      </x:c>
      <x:c r="AI480" s="6" t="str">
        <x:v>2025-11</x:v>
      </x:c>
      <x:c r="AJ480" s="9" t="str">
        <x:v>NASA POWER (MERRA-2 meteorology)</x:v>
      </x:c>
      <x:c r="AK480" s="9" t="str">
        <x:v>Badan Informasi Geospasial (BIG)</x:v>
      </x:c>
      <x:c r="AL480" s="9" t="str">
        <x:v>https://power.larc.nasa.gov/docs/services/api/temporal/monthly/</x:v>
      </x:c>
      <x:c r="AM480" s="9" t="str">
        <x:v>https://geoservices.big.go.id/rbi/rest/services/BATASWILAYAH/BATAS_WILAYAH/MapServer/12</x:v>
      </x:c>
    </x:row>
    <x:row r="481" ht="18" customHeight="1">
      <x:c r="A481" s="6" t="str">
        <x:v>61</x:v>
      </x:c>
      <x:c r="B481" s="6" t="str">
        <x:v>KALIMANTAN BARAT</x:v>
      </x:c>
      <x:c r="C481" s="6" t="str">
        <x:v>2025</x:v>
      </x:c>
      <x:c r="D481" s="6" t="str">
        <x:v>12</x:v>
      </x:c>
      <x:c r="E481" s="6" t="str">
        <x:v>25.45884769189588</x:v>
      </x:c>
      <x:c r="F481" s="9" t="str">
        <x:v>grid_cells_within_BIG_polygon</x:v>
      </x:c>
      <x:c r="G481" s="6" t="str">
        <x:v>35</x:v>
      </x:c>
      <x:c r="H481" s="8" t="str">
        <x:v>91.91396755305686</x:v>
      </x:c>
      <x:c r="I481" s="6" t="str">
        <x:v>13.571986463284011</x:v>
      </x:c>
      <x:c r="J481" s="6" t="str">
        <x:v>31</x:v>
      </x:c>
      <x:c r="K481" s="6" t="str">
        <x:v>420.73158036180433</x:v>
      </x:c>
      <x:c r="L481" s="6" t="str">
        <x:v>25.088348853537116</x:v>
      </x:c>
      <x:c r="M481" s="6" t="str">
        <x:v>0.2321477783843072</x:v>
      </x:c>
      <x:c r="N481" s="6" t="str">
        <x:v>92.3024805870992</x:v>
      </x:c>
      <x:c r="O481" s="6" t="str">
        <x:v>0.6095715708426624</x:v>
      </x:c>
      <x:c r="P481" s="6" t="str">
        <x:v>371.20206570265185</x:v>
      </x:c>
      <x:c r="Q481" s="6" t="str">
        <x:v>102.6039485965163</x:v>
      </x:c>
      <x:c r="R481" s="6" t="str">
        <x:v>0.3704988383587633</x:v>
      </x:c>
      <x:c r="S481" s="8" t="str">
        <x:v>1.5959611629167691</x:v>
      </x:c>
      <x:c r="T481" s="6" t="str">
        <x:v>-0.38851303404233306</x:v>
      </x:c>
      <x:c r="U481" s="8" t="str">
        <x:v>-0.637354254407335</x:v>
      </x:c>
      <x:c r="V481" s="6" t="str">
        <x:v>49.52951465915248</x:v>
      </x:c>
      <x:c r="W481" s="8" t="str">
        <x:v>0.48272522974651044</x:v>
      </x:c>
      <x:c r="X481" s="6" t="str">
        <x:v>2.114389840591753</x:v>
      </x:c>
      <x:c r="Y481" s="6" t="str">
        <x:v>1.3233671271448406</x:v>
      </x:c>
      <x:c r="Z481" s="6" t="str">
        <x:v>1.6779060435511208</x:v>
      </x:c>
      <x:c r="AA481" s="6" t="str">
        <x:v>-2.4950411209582803</x:v>
      </x:c>
      <x:c r="AB481" s="6" t="str">
        <x:v>-0.3557471564019631</x:v>
      </x:c>
      <x:c r="AC481" s="6" t="str">
        <x:v>-1.1627141772558593</x:v>
      </x:c>
      <x:c r="AD481" s="6" t="str">
        <x:v>-0.19818375341022085</x:v>
      </x:c>
      <x:c r="AE481" s="6" t="str">
        <x:v>0.16725604944288314</x:v>
      </x:c>
      <x:c r="AF481" s="6" t="str">
        <x:v>0.15059917525972424</x:v>
      </x:c>
      <x:c r="AG481" s="6" t="str">
        <x:v>0</x:v>
      </x:c>
      <x:c r="AH481" s="6" t="str">
        <x:v>1</x:v>
      </x:c>
      <x:c r="AI481" s="6" t="str">
        <x:v>2025-12</x:v>
      </x:c>
      <x:c r="AJ481" s="9" t="str">
        <x:v>NASA POWER (MERRA-2 meteorology)</x:v>
      </x:c>
      <x:c r="AK481" s="9" t="str">
        <x:v>Badan Informasi Geospasial (BIG)</x:v>
      </x:c>
      <x:c r="AL481" s="9" t="str">
        <x:v>https://power.larc.nasa.gov/docs/services/api/temporal/monthly/</x:v>
      </x:c>
      <x:c r="AM481" s="9" t="str">
        <x:v>https://geoservices.big.go.id/rbi/rest/services/BATASWILAYAH/BATAS_WILAYAH/MapServer/12</x:v>
      </x:c>
    </x:row>
    <x:row r="482" ht="18" customHeight="1">
      <x:c r="A482" s="6" t="str">
        <x:v>62</x:v>
      </x:c>
      <x:c r="B482" s="6" t="str">
        <x:v>KALIMANTAN TENGAH</x:v>
      </x:c>
      <x:c r="C482" s="6" t="str">
        <x:v>2024</x:v>
      </x:c>
      <x:c r="D482" s="6" t="str">
        <x:v>1</x:v>
      </x:c>
      <x:c r="E482" s="6" t="str">
        <x:v>26.432786043999418</x:v>
      </x:c>
      <x:c r="F482" s="9" t="str">
        <x:v>grid_cells_within_BIG_polygon</x:v>
      </x:c>
      <x:c r="G482" s="6" t="str">
        <x:v>41</x:v>
      </x:c>
      <x:c r="H482" s="8" t="str">
        <x:v>89.74790348035415</x:v>
      </x:c>
      <x:c r="I482" s="6" t="str">
        <x:v>12.93382013217867</x:v>
      </x:c>
      <x:c r="J482" s="6" t="str">
        <x:v>31</x:v>
      </x:c>
      <x:c r="K482" s="6" t="str">
        <x:v>400.9484240975388</x:v>
      </x:c>
      <x:c r="L482" s="6" t="str">
        <x:v>25.563735001451956</x:v>
      </x:c>
      <x:c r="M482" s="6" t="str">
        <x:v>0.36084278124130165</x:v>
      </x:c>
      <x:c r="N482" s="6" t="str">
        <x:v>89.60577985049876</x:v>
      </x:c>
      <x:c r="O482" s="6" t="str">
        <x:v>0.5618519100502309</x:v>
      </x:c>
      <x:c r="P482" s="6" t="str">
        <x:v>281.9989912106085</x:v>
      </x:c>
      <x:c r="Q482" s="6" t="str">
        <x:v>45.82277363310236</x:v>
      </x:c>
      <x:c r="R482" s="6" t="str">
        <x:v>0.8690510425474613</x:v>
      </x:c>
      <x:c r="S482" s="8" t="str">
        <x:v>2.4083924848320915</x:v>
      </x:c>
      <x:c r="T482" s="6" t="str">
        <x:v>0.14212362985539073</x:v>
      </x:c>
      <x:c r="U482" s="8" t="str">
        <x:v>0.2529556762433797</x:v>
      </x:c>
      <x:c r="V482" s="6" t="str">
        <x:v>118.94943288693031</x:v>
      </x:c>
      <x:c r="W482" s="8" t="str">
        <x:v>2.59585842269926</x:v>
      </x:c>
      <x:c r="X482" s="6" t="str">
        <x:v>4.010385207937853</x:v>
      </x:c>
      <x:c r="Y482" s="6" t="str">
        <x:v>3.701296656478015</x:v>
      </x:c>
      <x:c r="Z482" s="6" t="str">
        <x:v>3.373358116415987</x:v>
      </x:c>
      <x:c r="AA482" s="6" t="str">
        <x:v>-1.7141513796102665</x:v>
      </x:c>
      <x:c r="AB482" s="6" t="str">
        <x:v>-1.2059018018890444</x:v>
      </x:c>
      <x:c r="AC482" s="6" t="str">
        <x:v>-0.8890325017519772</x:v>
      </x:c>
      <x:c r="AD482" s="6" t="str">
        <x:v>-0.035705318251092</x:v>
      </x:c>
      <x:c r="AE482" s="6" t="str">
        <x:v>0.12321168415100112</x:v>
      </x:c>
      <x:c r="AF482" s="6" t="str">
        <x:v>0.8944549295330556</x:v>
      </x:c>
      <x:c r="AG482" s="6" t="str">
        <x:v>1</x:v>
      </x:c>
      <x:c r="AH482" s="6" t="str">
        <x:v>1</x:v>
      </x:c>
      <x:c r="AI482" s="6" t="str">
        <x:v>2024-01</x:v>
      </x:c>
      <x:c r="AJ482" s="9" t="str">
        <x:v>NASA POWER (MERRA-2 meteorology)</x:v>
      </x:c>
      <x:c r="AK482" s="9" t="str">
        <x:v>Badan Informasi Geospasial (BIG)</x:v>
      </x:c>
      <x:c r="AL482" s="9" t="str">
        <x:v>https://power.larc.nasa.gov/docs/services/api/temporal/monthly/</x:v>
      </x:c>
      <x:c r="AM482" s="9" t="str">
        <x:v>https://geoservices.big.go.id/rbi/rest/services/BATASWILAYAH/BATAS_WILAYAH/MapServer/12</x:v>
      </x:c>
    </x:row>
    <x:row r="483" ht="18" customHeight="1">
      <x:c r="A483" s="6" t="str">
        <x:v>62</x:v>
      </x:c>
      <x:c r="B483" s="6" t="str">
        <x:v>KALIMANTAN TENGAH</x:v>
      </x:c>
      <x:c r="C483" s="6" t="str">
        <x:v>2024</x:v>
      </x:c>
      <x:c r="D483" s="6" t="str">
        <x:v>2</x:v>
      </x:c>
      <x:c r="E483" s="6" t="str">
        <x:v>26.809838971196065</x:v>
      </x:c>
      <x:c r="F483" s="9" t="str">
        <x:v>grid_cells_within_BIG_polygon</x:v>
      </x:c>
      <x:c r="G483" s="6" t="str">
        <x:v>41</x:v>
      </x:c>
      <x:c r="H483" s="8" t="str">
        <x:v>88.96944793472346</x:v>
      </x:c>
      <x:c r="I483" s="6" t="str">
        <x:v>12.852640385512512</x:v>
      </x:c>
      <x:c r="J483" s="6" t="str">
        <x:v>29</x:v>
      </x:c>
      <x:c r="K483" s="6" t="str">
        <x:v>372.72657117986284</x:v>
      </x:c>
      <x:c r="L483" s="6" t="str">
        <x:v>25.685837762332632</x:v>
      </x:c>
      <x:c r="M483" s="6" t="str">
        <x:v>0.35975836076922657</x:v>
      </x:c>
      <x:c r="N483" s="6" t="str">
        <x:v>89.0687777322771</x:v>
      </x:c>
      <x:c r="O483" s="6" t="str">
        <x:v>0.8681649198173536</x:v>
      </x:c>
      <x:c r="P483" s="6" t="str">
        <x:v>264.83655985589667</x:v>
      </x:c>
      <x:c r="Q483" s="6" t="str">
        <x:v>84.68436735756508</x:v>
      </x:c>
      <x:c r="R483" s="6" t="str">
        <x:v>1.124001208863433</x:v>
      </x:c>
      <x:c r="S483" s="8" t="str">
        <x:v>3.124322688318128</x:v>
      </x:c>
      <x:c r="T483" s="6" t="str">
        <x:v>-0.09932979755363647</x:v>
      </x:c>
      <x:c r="U483" s="8" t="str">
        <x:v>-0.11441351209460719</x:v>
      </x:c>
      <x:c r="V483" s="6" t="str">
        <x:v>107.89001132396618</x:v>
      </x:c>
      <x:c r="W483" s="8" t="str">
        <x:v>1.2740251204619535</x:v>
      </x:c>
      <x:c r="X483" s="6" t="str">
        <x:v>2.4083924848320915</x:v>
      </x:c>
      <x:c r="Y483" s="6" t="str">
        <x:v>4.010385207937853</x:v>
      </x:c>
      <x:c r="Z483" s="6" t="str">
        <x:v>3.1810334603626913</x:v>
      </x:c>
      <x:c r="AA483" s="6" t="str">
        <x:v>0.2529556762433797</x:v>
      </x:c>
      <x:c r="AB483" s="6" t="str">
        <x:v>-1.7141513796102665</x:v>
      </x:c>
      <x:c r="AC483" s="6" t="str">
        <x:v>-0.5252030718204982</x:v>
      </x:c>
      <x:c r="AD483" s="6" t="str">
        <x:v>2.59585842269926</x:v>
      </x:c>
      <x:c r="AE483" s="6" t="str">
        <x:v>-0.035705318251092</x:v>
      </x:c>
      <x:c r="AF483" s="6" t="str">
        <x:v>1.2780594083033732</x:v>
      </x:c>
      <x:c r="AG483" s="6" t="str">
        <x:v>1</x:v>
      </x:c>
      <x:c r="AH483" s="6" t="str">
        <x:v>1</x:v>
      </x:c>
      <x:c r="AI483" s="6" t="str">
        <x:v>2024-02</x:v>
      </x:c>
      <x:c r="AJ483" s="9" t="str">
        <x:v>NASA POWER (MERRA-2 meteorology)</x:v>
      </x:c>
      <x:c r="AK483" s="9" t="str">
        <x:v>Badan Informasi Geospasial (BIG)</x:v>
      </x:c>
      <x:c r="AL483" s="9" t="str">
        <x:v>https://power.larc.nasa.gov/docs/services/api/temporal/monthly/</x:v>
      </x:c>
      <x:c r="AM483" s="9" t="str">
        <x:v>https://geoservices.big.go.id/rbi/rest/services/BATASWILAYAH/BATAS_WILAYAH/MapServer/12</x:v>
      </x:c>
    </x:row>
    <x:row r="484" ht="18" customHeight="1">
      <x:c r="A484" s="6" t="str">
        <x:v>62</x:v>
      </x:c>
      <x:c r="B484" s="6" t="str">
        <x:v>KALIMANTAN TENGAH</x:v>
      </x:c>
      <x:c r="C484" s="6" t="str">
        <x:v>2024</x:v>
      </x:c>
      <x:c r="D484" s="6" t="str">
        <x:v>3</x:v>
      </x:c>
      <x:c r="E484" s="6" t="str">
        <x:v>26.888845456549003</x:v>
      </x:c>
      <x:c r="F484" s="9" t="str">
        <x:v>grid_cells_within_BIG_polygon</x:v>
      </x:c>
      <x:c r="G484" s="6" t="str">
        <x:v>41</x:v>
      </x:c>
      <x:c r="H484" s="8" t="str">
        <x:v>89.67539147983962</x:v>
      </x:c>
      <x:c r="I484" s="6" t="str">
        <x:v>11.12547559435996</x:v>
      </x:c>
      <x:c r="J484" s="6" t="str">
        <x:v>31</x:v>
      </x:c>
      <x:c r="K484" s="6" t="str">
        <x:v>344.88974342515877</x:v>
      </x:c>
      <x:c r="L484" s="6" t="str">
        <x:v>25.92168233652734</x:v>
      </x:c>
      <x:c r="M484" s="6" t="str">
        <x:v>0.31494378401000106</x:v>
      </x:c>
      <x:c r="N484" s="6" t="str">
        <x:v>89.04529440299926</x:v>
      </x:c>
      <x:c r="O484" s="6" t="str">
        <x:v>0.5650117030094367</x:v>
      </x:c>
      <x:c r="P484" s="6" t="str">
        <x:v>301.2867892893131</x:v>
      </x:c>
      <x:c r="Q484" s="6" t="str">
        <x:v>66.92358338990157</x:v>
      </x:c>
      <x:c r="R484" s="6" t="str">
        <x:v>0.967163120021663</x:v>
      </x:c>
      <x:c r="S484" s="8" t="str">
        <x:v>3.0709071558972276</x:v>
      </x:c>
      <x:c r="T484" s="6" t="str">
        <x:v>0.6300970768403573</x:v>
      </x:c>
      <x:c r="U484" s="8" t="str">
        <x:v>1.1151929658877058</x:v>
      </x:c>
      <x:c r="V484" s="6" t="str">
        <x:v>43.602954135845664</x:v>
      </x:c>
      <x:c r="W484" s="8" t="str">
        <x:v>0.6515334643964258</x:v>
      </x:c>
      <x:c r="X484" s="6" t="str">
        <x:v>3.124322688318128</x:v>
      </x:c>
      <x:c r="Y484" s="6" t="str">
        <x:v>2.4083924848320915</x:v>
      </x:c>
      <x:c r="Z484" s="6" t="str">
        <x:v>2.8678741096824827</x:v>
      </x:c>
      <x:c r="AA484" s="6" t="str">
        <x:v>-0.11441351209460719</x:v>
      </x:c>
      <x:c r="AB484" s="6" t="str">
        <x:v>0.2529556762433797</x:v>
      </x:c>
      <x:c r="AC484" s="6" t="str">
        <x:v>0.4179117100121592</x:v>
      </x:c>
      <x:c r="AD484" s="6" t="str">
        <x:v>1.2740251204619535</x:v>
      </x:c>
      <x:c r="AE484" s="6" t="str">
        <x:v>2.59585842269926</x:v>
      </x:c>
      <x:c r="AF484" s="6" t="str">
        <x:v>1.5071390025192126</x:v>
      </x:c>
      <x:c r="AG484" s="6" t="str">
        <x:v>0</x:v>
      </x:c>
      <x:c r="AH484" s="6" t="str">
        <x:v>1</x:v>
      </x:c>
      <x:c r="AI484" s="6" t="str">
        <x:v>2024-03</x:v>
      </x:c>
      <x:c r="AJ484" s="9" t="str">
        <x:v>NASA POWER (MERRA-2 meteorology)</x:v>
      </x:c>
      <x:c r="AK484" s="9" t="str">
        <x:v>Badan Informasi Geospasial (BIG)</x:v>
      </x:c>
      <x:c r="AL484" s="9" t="str">
        <x:v>https://power.larc.nasa.gov/docs/services/api/temporal/monthly/</x:v>
      </x:c>
      <x:c r="AM484" s="9" t="str">
        <x:v>https://geoservices.big.go.id/rbi/rest/services/BATASWILAYAH/BATAS_WILAYAH/MapServer/12</x:v>
      </x:c>
    </x:row>
    <x:row r="485" ht="18" customHeight="1">
      <x:c r="A485" s="6" t="str">
        <x:v>62</x:v>
      </x:c>
      <x:c r="B485" s="6" t="str">
        <x:v>KALIMANTAN TENGAH</x:v>
      </x:c>
      <x:c r="C485" s="6" t="str">
        <x:v>2024</x:v>
      </x:c>
      <x:c r="D485" s="6" t="str">
        <x:v>4</x:v>
      </x:c>
      <x:c r="E485" s="6" t="str">
        <x:v>27.298849369606575</x:v>
      </x:c>
      <x:c r="F485" s="9" t="str">
        <x:v>grid_cells_within_BIG_polygon</x:v>
      </x:c>
      <x:c r="G485" s="6" t="str">
        <x:v>41</x:v>
      </x:c>
      <x:c r="H485" s="8" t="str">
        <x:v>89.622487170912</x:v>
      </x:c>
      <x:c r="I485" s="6" t="str">
        <x:v>10.170818644564076</x:v>
      </x:c>
      <x:c r="J485" s="6" t="str">
        <x:v>30</x:v>
      </x:c>
      <x:c r="K485" s="6" t="str">
        <x:v>305.1245593369223</x:v>
      </x:c>
      <x:c r="L485" s="6" t="str">
        <x:v>26.133281780038114</x:v>
      </x:c>
      <x:c r="M485" s="6" t="str">
        <x:v>0.27981560739098343</x:v>
      </x:c>
      <x:c r="N485" s="6" t="str">
        <x:v>89.51379369751466</x:v>
      </x:c>
      <x:c r="O485" s="6" t="str">
        <x:v>0.47389708965757027</x:v>
      </x:c>
      <x:c r="P485" s="6" t="str">
        <x:v>296.25778223780827</x:v>
      </x:c>
      <x:c r="Q485" s="6" t="str">
        <x:v>58.8509274761379</x:v>
      </x:c>
      <x:c r="R485" s="6" t="str">
        <x:v>1.165567589568461</x:v>
      </x:c>
      <x:c r="S485" s="8" t="str">
        <x:v>4.16548455047336</x:v>
      </x:c>
      <x:c r="T485" s="6" t="str">
        <x:v>0.10869347339733793</x:v>
      </x:c>
      <x:c r="U485" s="8" t="str">
        <x:v>0.2293609219585584</x:v>
      </x:c>
      <x:c r="V485" s="6" t="str">
        <x:v>8.866777099114017</x:v>
      </x:c>
      <x:c r="W485" s="8" t="str">
        <x:v>0.15066503586896232</x:v>
      </x:c>
      <x:c r="X485" s="6" t="str">
        <x:v>3.0709071558972276</x:v>
      </x:c>
      <x:c r="Y485" s="6" t="str">
        <x:v>3.124322688318128</x:v>
      </x:c>
      <x:c r="Z485" s="6" t="str">
        <x:v>3.453571464896239</x:v>
      </x:c>
      <x:c r="AA485" s="6" t="str">
        <x:v>1.1151929658877058</x:v>
      </x:c>
      <x:c r="AB485" s="6" t="str">
        <x:v>-0.11441351209460719</x:v>
      </x:c>
      <x:c r="AC485" s="6" t="str">
        <x:v>0.41004679191721877</x:v>
      </x:c>
      <x:c r="AD485" s="6" t="str">
        <x:v>0.6515334643964258</x:v>
      </x:c>
      <x:c r="AE485" s="6" t="str">
        <x:v>1.2740251204619535</x:v>
      </x:c>
      <x:c r="AF485" s="6" t="str">
        <x:v>0.6920745402424466</x:v>
      </x:c>
      <x:c r="AG485" s="6" t="str">
        <x:v>0</x:v>
      </x:c>
      <x:c r="AH485" s="6" t="str">
        <x:v>1</x:v>
      </x:c>
      <x:c r="AI485" s="6" t="str">
        <x:v>2024-04</x:v>
      </x:c>
      <x:c r="AJ485" s="9" t="str">
        <x:v>NASA POWER (MERRA-2 meteorology)</x:v>
      </x:c>
      <x:c r="AK485" s="9" t="str">
        <x:v>Badan Informasi Geospasial (BIG)</x:v>
      </x:c>
      <x:c r="AL485" s="9" t="str">
        <x:v>https://power.larc.nasa.gov/docs/services/api/temporal/monthly/</x:v>
      </x:c>
      <x:c r="AM485" s="9" t="str">
        <x:v>https://geoservices.big.go.id/rbi/rest/services/BATASWILAYAH/BATAS_WILAYAH/MapServer/12</x:v>
      </x:c>
    </x:row>
    <x:row r="486" ht="18" customHeight="1">
      <x:c r="A486" s="6" t="str">
        <x:v>62</x:v>
      </x:c>
      <x:c r="B486" s="6" t="str">
        <x:v>KALIMANTAN TENGAH</x:v>
      </x:c>
      <x:c r="C486" s="6" t="str">
        <x:v>2024</x:v>
      </x:c>
      <x:c r="D486" s="6" t="str">
        <x:v>5</x:v>
      </x:c>
      <x:c r="E486" s="6" t="str">
        <x:v>27.107137700635395</x:v>
      </x:c>
      <x:c r="F486" s="9" t="str">
        <x:v>grid_cells_within_BIG_polygon</x:v>
      </x:c>
      <x:c r="G486" s="6" t="str">
        <x:v>41</x:v>
      </x:c>
      <x:c r="H486" s="8" t="str">
        <x:v>90.89005057855921</x:v>
      </x:c>
      <x:c r="I486" s="6" t="str">
        <x:v>9.573119812936104</x:v>
      </x:c>
      <x:c r="J486" s="6" t="str">
        <x:v>31</x:v>
      </x:c>
      <x:c r="K486" s="6" t="str">
        <x:v>296.7667142010192</x:v>
      </x:c>
      <x:c r="L486" s="6" t="str">
        <x:v>26.14443365945314</x:v>
      </x:c>
      <x:c r="M486" s="6" t="str">
        <x:v>0.3296746917869876</x:v>
      </x:c>
      <x:c r="N486" s="6" t="str">
        <x:v>89.57445606451296</x:v>
      </x:c>
      <x:c r="O486" s="6" t="str">
        <x:v>0.7315358616585483</x:v>
      </x:c>
      <x:c r="P486" s="6" t="str">
        <x:v>231.02213849684165</x:v>
      </x:c>
      <x:c r="Q486" s="6" t="str">
        <x:v>69.54532459248891</x:v>
      </x:c>
      <x:c r="R486" s="6" t="str">
        <x:v>0.9627040411822563</x:v>
      </x:c>
      <x:c r="S486" s="8" t="str">
        <x:v>2.9201636193665945</x:v>
      </x:c>
      <x:c r="T486" s="6" t="str">
        <x:v>1.3155945140462535</x:v>
      </x:c>
      <x:c r="U486" s="8" t="str">
        <x:v>1.7984005747353509</x:v>
      </x:c>
      <x:c r="V486" s="6" t="str">
        <x:v>65.74457570417758</x:v>
      </x:c>
      <x:c r="W486" s="8" t="str">
        <x:v>0.945348606673671</x:v>
      </x:c>
      <x:c r="X486" s="6" t="str">
        <x:v>4.16548455047336</x:v>
      </x:c>
      <x:c r="Y486" s="6" t="str">
        <x:v>3.0709071558972276</x:v>
      </x:c>
      <x:c r="Z486" s="6" t="str">
        <x:v>3.3855184419123945</x:v>
      </x:c>
      <x:c r="AA486" s="6" t="str">
        <x:v>0.2293609219585584</x:v>
      </x:c>
      <x:c r="AB486" s="6" t="str">
        <x:v>1.1151929658877058</x:v>
      </x:c>
      <x:c r="AC486" s="6" t="str">
        <x:v>1.0476514875272047</x:v>
      </x:c>
      <x:c r="AD486" s="6" t="str">
        <x:v>0.15066503586896232</x:v>
      </x:c>
      <x:c r="AE486" s="6" t="str">
        <x:v>0.6515334643964258</x:v>
      </x:c>
      <x:c r="AF486" s="6" t="str">
        <x:v>0.5825157023130191</x:v>
      </x:c>
      <x:c r="AG486" s="6" t="str">
        <x:v>0</x:v>
      </x:c>
      <x:c r="AH486" s="6" t="str">
        <x:v>1</x:v>
      </x:c>
      <x:c r="AI486" s="6" t="str">
        <x:v>2024-05</x:v>
      </x:c>
      <x:c r="AJ486" s="9" t="str">
        <x:v>NASA POWER (MERRA-2 meteorology)</x:v>
      </x:c>
      <x:c r="AK486" s="9" t="str">
        <x:v>Badan Informasi Geospasial (BIG)</x:v>
      </x:c>
      <x:c r="AL486" s="9" t="str">
        <x:v>https://power.larc.nasa.gov/docs/services/api/temporal/monthly/</x:v>
      </x:c>
      <x:c r="AM486" s="9" t="str">
        <x:v>https://geoservices.big.go.id/rbi/rest/services/BATASWILAYAH/BATAS_WILAYAH/MapServer/12</x:v>
      </x:c>
    </x:row>
    <x:row r="487" ht="18" customHeight="1">
      <x:c r="A487" s="6" t="str">
        <x:v>62</x:v>
      </x:c>
      <x:c r="B487" s="6" t="str">
        <x:v>KALIMANTAN TENGAH</x:v>
      </x:c>
      <x:c r="C487" s="6" t="str">
        <x:v>2024</x:v>
      </x:c>
      <x:c r="D487" s="6" t="str">
        <x:v>6</x:v>
      </x:c>
      <x:c r="E487" s="6" t="str">
        <x:v>26.372784058256183</x:v>
      </x:c>
      <x:c r="F487" s="9" t="str">
        <x:v>grid_cells_within_BIG_polygon</x:v>
      </x:c>
      <x:c r="G487" s="6" t="str">
        <x:v>41</x:v>
      </x:c>
      <x:c r="H487" s="8" t="str">
        <x:v>90.3509481682286</x:v>
      </x:c>
      <x:c r="I487" s="6" t="str">
        <x:v>6.218110680351488</x:v>
      </x:c>
      <x:c r="J487" s="6" t="str">
        <x:v>30</x:v>
      </x:c>
      <x:c r="K487" s="6" t="str">
        <x:v>186.54332041054465</x:v>
      </x:c>
      <x:c r="L487" s="6" t="str">
        <x:v>25.596553433761446</x:v>
      </x:c>
      <x:c r="M487" s="6" t="str">
        <x:v>0.32144194432172907</x:v>
      </x:c>
      <x:c r="N487" s="6" t="str">
        <x:v>89.64027040812955</x:v>
      </x:c>
      <x:c r="O487" s="6" t="str">
        <x:v>1.058492826787717</x:v>
      </x:c>
      <x:c r="P487" s="6" t="str">
        <x:v>185.3827919508112</x:v>
      </x:c>
      <x:c r="Q487" s="6" t="str">
        <x:v>63.87584456462582</x:v>
      </x:c>
      <x:c r="R487" s="6" t="str">
        <x:v>0.7762306244947368</x:v>
      </x:c>
      <x:c r="S487" s="8" t="str">
        <x:v>2.414839252334203</x:v>
      </x:c>
      <x:c r="T487" s="6" t="str">
        <x:v>0.7106777600990455</x:v>
      </x:c>
      <x:c r="U487" s="8" t="str">
        <x:v>0.6714053625245525</x:v>
      </x:c>
      <x:c r="V487" s="6" t="str">
        <x:v>1.160528459733456</x:v>
      </x:c>
      <x:c r="W487" s="8" t="str">
        <x:v>0.01816850278291509</x:v>
      </x:c>
      <x:c r="X487" s="6" t="str">
        <x:v>2.9201636193665945</x:v>
      </x:c>
      <x:c r="Y487" s="6" t="str">
        <x:v>4.16548455047336</x:v>
      </x:c>
      <x:c r="Z487" s="6" t="str">
        <x:v>3.16682914072472</x:v>
      </x:c>
      <x:c r="AA487" s="6" t="str">
        <x:v>1.7984005747353509</x:v>
      </x:c>
      <x:c r="AB487" s="6" t="str">
        <x:v>0.2293609219585584</x:v>
      </x:c>
      <x:c r="AC487" s="6" t="str">
        <x:v>0.8997222864061537</x:v>
      </x:c>
      <x:c r="AD487" s="6" t="str">
        <x:v>0.945348606673671</x:v>
      </x:c>
      <x:c r="AE487" s="6" t="str">
        <x:v>0.15066503586896232</x:v>
      </x:c>
      <x:c r="AF487" s="6" t="str">
        <x:v>0.3713940484418489</x:v>
      </x:c>
      <x:c r="AG487" s="6" t="str">
        <x:v>0</x:v>
      </x:c>
      <x:c r="AH487" s="6" t="str">
        <x:v>1</x:v>
      </x:c>
      <x:c r="AI487" s="6" t="str">
        <x:v>2024-06</x:v>
      </x:c>
      <x:c r="AJ487" s="9" t="str">
        <x:v>NASA POWER (MERRA-2 meteorology)</x:v>
      </x:c>
      <x:c r="AK487" s="9" t="str">
        <x:v>Badan Informasi Geospasial (BIG)</x:v>
      </x:c>
      <x:c r="AL487" s="9" t="str">
        <x:v>https://power.larc.nasa.gov/docs/services/api/temporal/monthly/</x:v>
      </x:c>
      <x:c r="AM487" s="9" t="str">
        <x:v>https://geoservices.big.go.id/rbi/rest/services/BATASWILAYAH/BATAS_WILAYAH/MapServer/12</x:v>
      </x:c>
    </x:row>
    <x:row r="488" ht="18" customHeight="1">
      <x:c r="A488" s="6" t="str">
        <x:v>62</x:v>
      </x:c>
      <x:c r="B488" s="6" t="str">
        <x:v>KALIMANTAN TENGAH</x:v>
      </x:c>
      <x:c r="C488" s="6" t="str">
        <x:v>2024</x:v>
      </x:c>
      <x:c r="D488" s="6" t="str">
        <x:v>7</x:v>
      </x:c>
      <x:c r="E488" s="6" t="str">
        <x:v>26.088186258386646</x:v>
      </x:c>
      <x:c r="F488" s="9" t="str">
        <x:v>grid_cells_within_BIG_polygon</x:v>
      </x:c>
      <x:c r="G488" s="6" t="str">
        <x:v>41</x:v>
      </x:c>
      <x:c r="H488" s="8" t="str">
        <x:v>88.77296401150683</x:v>
      </x:c>
      <x:c r="I488" s="6" t="str">
        <x:v>3.9212124612386927</x:v>
      </x:c>
      <x:c r="J488" s="6" t="str">
        <x:v>31</x:v>
      </x:c>
      <x:c r="K488" s="6" t="str">
        <x:v>121.55758629839947</x:v>
      </x:c>
      <x:c r="L488" s="6" t="str">
        <x:v>25.172523599796556</x:v>
      </x:c>
      <x:c r="M488" s="6" t="str">
        <x:v>0.3387731463352202</x:v>
      </x:c>
      <x:c r="N488" s="6" t="str">
        <x:v>88.37987244352456</x:v>
      </x:c>
      <x:c r="O488" s="6" t="str">
        <x:v>1.5761722307968649</x:v>
      </x:c>
      <x:c r="P488" s="6" t="str">
        <x:v>138.283087774158</x:v>
      </x:c>
      <x:c r="Q488" s="6" t="str">
        <x:v>78.888954331178</x:v>
      </x:c>
      <x:c r="R488" s="6" t="str">
        <x:v>0.9156626585900902</x:v>
      </x:c>
      <x:c r="S488" s="8" t="str">
        <x:v>2.702878514709754</x:v>
      </x:c>
      <x:c r="T488" s="6" t="str">
        <x:v>0.3930915679822675</x:v>
      </x:c>
      <x:c r="U488" s="8" t="str">
        <x:v>0.24939632884125382</x:v>
      </x:c>
      <x:c r="V488" s="6" t="str">
        <x:v>-16.72550147575852</x:v>
      </x:c>
      <x:c r="W488" s="8" t="str">
        <x:v>-0.2120132231128886</x:v>
      </x:c>
      <x:c r="X488" s="6" t="str">
        <x:v>2.414839252334203</x:v>
      </x:c>
      <x:c r="Y488" s="6" t="str">
        <x:v>2.9201636193665945</x:v>
      </x:c>
      <x:c r="Z488" s="6" t="str">
        <x:v>2.6792937954701848</x:v>
      </x:c>
      <x:c r="AA488" s="6" t="str">
        <x:v>0.6714053625245525</x:v>
      </x:c>
      <x:c r="AB488" s="6" t="str">
        <x:v>1.7984005747353509</x:v>
      </x:c>
      <x:c r="AC488" s="6" t="str">
        <x:v>0.9064007553670521</x:v>
      </x:c>
      <x:c r="AD488" s="6" t="str">
        <x:v>0.01816850278291509</x:v>
      </x:c>
      <x:c r="AE488" s="6" t="str">
        <x:v>0.945348606673671</x:v>
      </x:c>
      <x:c r="AF488" s="6" t="str">
        <x:v>0.2505012954478986</x:v>
      </x:c>
      <x:c r="AG488" s="6" t="str">
        <x:v>0</x:v>
      </x:c>
      <x:c r="AH488" s="6" t="str">
        <x:v>1</x:v>
      </x:c>
      <x:c r="AI488" s="6" t="str">
        <x:v>2024-07</x:v>
      </x:c>
      <x:c r="AJ488" s="9" t="str">
        <x:v>NASA POWER (MERRA-2 meteorology)</x:v>
      </x:c>
      <x:c r="AK488" s="9" t="str">
        <x:v>Badan Informasi Geospasial (BIG)</x:v>
      </x:c>
      <x:c r="AL488" s="9" t="str">
        <x:v>https://power.larc.nasa.gov/docs/services/api/temporal/monthly/</x:v>
      </x:c>
      <x:c r="AM488" s="9" t="str">
        <x:v>https://geoservices.big.go.id/rbi/rest/services/BATASWILAYAH/BATAS_WILAYAH/MapServer/12</x:v>
      </x:c>
    </x:row>
    <x:row r="489" ht="18" customHeight="1">
      <x:c r="A489" s="6" t="str">
        <x:v>62</x:v>
      </x:c>
      <x:c r="B489" s="6" t="str">
        <x:v>KALIMANTAN TENGAH</x:v>
      </x:c>
      <x:c r="C489" s="6" t="str">
        <x:v>2024</x:v>
      </x:c>
      <x:c r="D489" s="6" t="str">
        <x:v>8</x:v>
      </x:c>
      <x:c r="E489" s="6" t="str">
        <x:v>26.008893709480038</x:v>
      </x:c>
      <x:c r="F489" s="9" t="str">
        <x:v>grid_cells_within_BIG_polygon</x:v>
      </x:c>
      <x:c r="G489" s="6" t="str">
        <x:v>41</x:v>
      </x:c>
      <x:c r="H489" s="8" t="str">
        <x:v>88.55006378754639</x:v>
      </x:c>
      <x:c r="I489" s="6" t="str">
        <x:v>6.067694338581904</x:v>
      </x:c>
      <x:c r="J489" s="6" t="str">
        <x:v>31</x:v>
      </x:c>
      <x:c r="K489" s="6" t="str">
        <x:v>188.09852449603903</x:v>
      </x:c>
      <x:c r="L489" s="6" t="str">
        <x:v>25.294062113058143</x:v>
      </x:c>
      <x:c r="M489" s="6" t="str">
        <x:v>0.4010988652742919</x:v>
      </x:c>
      <x:c r="N489" s="6" t="str">
        <x:v>86.14872087519198</x:v>
      </x:c>
      <x:c r="O489" s="6" t="str">
        <x:v>2.532429375718908</x:v>
      </x:c>
      <x:c r="P489" s="6" t="str">
        <x:v>117.47270723633986</x:v>
      </x:c>
      <x:c r="Q489" s="6" t="str">
        <x:v>85.04344150566675</x:v>
      </x:c>
      <x:c r="R489" s="6" t="str">
        <x:v>0.7148315964218952</x:v>
      </x:c>
      <x:c r="S489" s="8" t="str">
        <x:v>1.7821830434076567</x:v>
      </x:c>
      <x:c r="T489" s="6" t="str">
        <x:v>2.4013429123544086</x:v>
      </x:c>
      <x:c r="U489" s="8" t="str">
        <x:v>0.9482368730115972</x:v>
      </x:c>
      <x:c r="V489" s="6" t="str">
        <x:v>70.62581725969918</x:v>
      </x:c>
      <x:c r="W489" s="8" t="str">
        <x:v>0.8304675352889279</x:v>
      </x:c>
      <x:c r="X489" s="6" t="str">
        <x:v>2.702878514709754</x:v>
      </x:c>
      <x:c r="Y489" s="6" t="str">
        <x:v>2.414839252334203</x:v>
      </x:c>
      <x:c r="Z489" s="6" t="str">
        <x:v>2.299966936817205</x:v>
      </x:c>
      <x:c r="AA489" s="6" t="str">
        <x:v>0.24939632884125382</x:v>
      </x:c>
      <x:c r="AB489" s="6" t="str">
        <x:v>0.6714053625245525</x:v>
      </x:c>
      <x:c r="AC489" s="6" t="str">
        <x:v>0.6230128547924676</x:v>
      </x:c>
      <x:c r="AD489" s="6" t="str">
        <x:v>-0.2120132231128886</x:v>
      </x:c>
      <x:c r="AE489" s="6" t="str">
        <x:v>0.01816850278291509</x:v>
      </x:c>
      <x:c r="AF489" s="6" t="str">
        <x:v>0.21220760498631755</x:v>
      </x:c>
      <x:c r="AG489" s="6" t="str">
        <x:v>0</x:v>
      </x:c>
      <x:c r="AH489" s="6" t="str">
        <x:v>1</x:v>
      </x:c>
      <x:c r="AI489" s="6" t="str">
        <x:v>2024-08</x:v>
      </x:c>
      <x:c r="AJ489" s="9" t="str">
        <x:v>NASA POWER (MERRA-2 meteorology)</x:v>
      </x:c>
      <x:c r="AK489" s="9" t="str">
        <x:v>Badan Informasi Geospasial (BIG)</x:v>
      </x:c>
      <x:c r="AL489" s="9" t="str">
        <x:v>https://power.larc.nasa.gov/docs/services/api/temporal/monthly/</x:v>
      </x:c>
      <x:c r="AM489" s="9" t="str">
        <x:v>https://geoservices.big.go.id/rbi/rest/services/BATASWILAYAH/BATAS_WILAYAH/MapServer/12</x:v>
      </x:c>
    </x:row>
    <x:row r="490" ht="18" customHeight="1">
      <x:c r="A490" s="6" t="str">
        <x:v>62</x:v>
      </x:c>
      <x:c r="B490" s="6" t="str">
        <x:v>KALIMANTAN TENGAH</x:v>
      </x:c>
      <x:c r="C490" s="6" t="str">
        <x:v>2024</x:v>
      </x:c>
      <x:c r="D490" s="6" t="str">
        <x:v>9</x:v>
      </x:c>
      <x:c r="E490" s="6" t="str">
        <x:v>26.52493427887324</x:v>
      </x:c>
      <x:c r="F490" s="9" t="str">
        <x:v>grid_cells_within_BIG_polygon</x:v>
      </x:c>
      <x:c r="G490" s="6" t="str">
        <x:v>41</x:v>
      </x:c>
      <x:c r="H490" s="8" t="str">
        <x:v>85.23596705980148</x:v>
      </x:c>
      <x:c r="I490" s="6" t="str">
        <x:v>5.95024033491887</x:v>
      </x:c>
      <x:c r="J490" s="6" t="str">
        <x:v>30</x:v>
      </x:c>
      <x:c r="K490" s="6" t="str">
        <x:v>178.5072100475661</x:v>
      </x:c>
      <x:c r="L490" s="6" t="str">
        <x:v>25.687220525433382</x:v>
      </x:c>
      <x:c r="M490" s="6" t="str">
        <x:v>0.49509357412439364</x:v>
      </x:c>
      <x:c r="N490" s="6" t="str">
        <x:v>84.63700166858312</x:v>
      </x:c>
      <x:c r="O490" s="6" t="str">
        <x:v>3.3399270097466074</x:v>
      </x:c>
      <x:c r="P490" s="6" t="str">
        <x:v>137.19027612650328</x:v>
      </x:c>
      <x:c r="Q490" s="6" t="str">
        <x:v>86.04488790488648</x:v>
      </x:c>
      <x:c r="R490" s="6" t="str">
        <x:v>0.8377137534398571</x:v>
      </x:c>
      <x:c r="S490" s="8" t="str">
        <x:v>1.6920311577895357</x:v>
      </x:c>
      <x:c r="T490" s="6" t="str">
        <x:v>0.598965391218357</x:v>
      </x:c>
      <x:c r="U490" s="8" t="str">
        <x:v>0.17933487452583557</x:v>
      </x:c>
      <x:c r="V490" s="6" t="str">
        <x:v>41.31693392106283</x:v>
      </x:c>
      <x:c r="W490" s="8" t="str">
        <x:v>0.4801788337121704</x:v>
      </x:c>
      <x:c r="X490" s="6" t="str">
        <x:v>1.7821830434076567</x:v>
      </x:c>
      <x:c r="Y490" s="6" t="str">
        <x:v>2.702878514709754</x:v>
      </x:c>
      <x:c r="Z490" s="6" t="str">
        <x:v>2.059030905302316</x:v>
      </x:c>
      <x:c r="AA490" s="6" t="str">
        <x:v>0.9482368730115972</x:v>
      </x:c>
      <x:c r="AB490" s="6" t="str">
        <x:v>0.24939632884125382</x:v>
      </x:c>
      <x:c r="AC490" s="6" t="str">
        <x:v>0.45898935879289526</x:v>
      </x:c>
      <x:c r="AD490" s="6" t="str">
        <x:v>0.8304675352889279</x:v>
      </x:c>
      <x:c r="AE490" s="6" t="str">
        <x:v>-0.2120132231128886</x:v>
      </x:c>
      <x:c r="AF490" s="6" t="str">
        <x:v>0.36621104862940274</x:v>
      </x:c>
      <x:c r="AG490" s="6" t="str">
        <x:v>0</x:v>
      </x:c>
      <x:c r="AH490" s="6" t="str">
        <x:v>1</x:v>
      </x:c>
      <x:c r="AI490" s="6" t="str">
        <x:v>2024-09</x:v>
      </x:c>
      <x:c r="AJ490" s="9" t="str">
        <x:v>NASA POWER (MERRA-2 meteorology)</x:v>
      </x:c>
      <x:c r="AK490" s="9" t="str">
        <x:v>Badan Informasi Geospasial (BIG)</x:v>
      </x:c>
      <x:c r="AL490" s="9" t="str">
        <x:v>https://power.larc.nasa.gov/docs/services/api/temporal/monthly/</x:v>
      </x:c>
      <x:c r="AM490" s="9" t="str">
        <x:v>https://geoservices.big.go.id/rbi/rest/services/BATASWILAYAH/BATAS_WILAYAH/MapServer/12</x:v>
      </x:c>
    </x:row>
    <x:row r="491" ht="18" customHeight="1">
      <x:c r="A491" s="6" t="str">
        <x:v>62</x:v>
      </x:c>
      <x:c r="B491" s="6" t="str">
        <x:v>KALIMANTAN TENGAH</x:v>
      </x:c>
      <x:c r="C491" s="6" t="str">
        <x:v>2024</x:v>
      </x:c>
      <x:c r="D491" s="6" t="str">
        <x:v>10</x:v>
      </x:c>
      <x:c r="E491" s="6" t="str">
        <x:v>26.705104376828285</x:v>
      </x:c>
      <x:c r="F491" s="9" t="str">
        <x:v>grid_cells_within_BIG_polygon</x:v>
      </x:c>
      <x:c r="G491" s="6" t="str">
        <x:v>41</x:v>
      </x:c>
      <x:c r="H491" s="8" t="str">
        <x:v>86.53726637344958</x:v>
      </x:c>
      <x:c r="I491" s="6" t="str">
        <x:v>7.19301911871513</x:v>
      </x:c>
      <x:c r="J491" s="6" t="str">
        <x:v>31</x:v>
      </x:c>
      <x:c r="K491" s="6" t="str">
        <x:v>222.983592680169</x:v>
      </x:c>
      <x:c r="L491" s="6" t="str">
        <x:v>26.068862184781814</x:v>
      </x:c>
      <x:c r="M491" s="6" t="str">
        <x:v>0.38269609153391904</x:v>
      </x:c>
      <x:c r="N491" s="6" t="str">
        <x:v>85.43228515581414</x:v>
      </x:c>
      <x:c r="O491" s="6" t="str">
        <x:v>3.3467046592939473</x:v>
      </x:c>
      <x:c r="P491" s="6" t="str">
        <x:v>214.92560268409406</x:v>
      </x:c>
      <x:c r="Q491" s="6" t="str">
        <x:v>94.66321194168768</x:v>
      </x:c>
      <x:c r="R491" s="6" t="str">
        <x:v>0.6362421920464705</x:v>
      </x:c>
      <x:c r="S491" s="8" t="str">
        <x:v>1.662525973276315</x:v>
      </x:c>
      <x:c r="T491" s="6" t="str">
        <x:v>1.1049812176354408</x:v>
      </x:c>
      <x:c r="U491" s="8" t="str">
        <x:v>0.3301699223942151</x:v>
      </x:c>
      <x:c r="V491" s="6" t="str">
        <x:v>8.057989996074951</x:v>
      </x:c>
      <x:c r="W491" s="8" t="str">
        <x:v>0.08512271906681822</x:v>
      </x:c>
      <x:c r="X491" s="6" t="str">
        <x:v>1.6920311577895357</x:v>
      </x:c>
      <x:c r="Y491" s="6" t="str">
        <x:v>1.7821830434076567</x:v>
      </x:c>
      <x:c r="Z491" s="6" t="str">
        <x:v>1.712246724824503</x:v>
      </x:c>
      <x:c r="AA491" s="6" t="str">
        <x:v>0.17933487452583557</x:v>
      </x:c>
      <x:c r="AB491" s="6" t="str">
        <x:v>0.9482368730115972</x:v>
      </x:c>
      <x:c r="AC491" s="6" t="str">
        <x:v>0.48591388997721574</x:v>
      </x:c>
      <x:c r="AD491" s="6" t="str">
        <x:v>0.4801788337121704</x:v>
      </x:c>
      <x:c r="AE491" s="6" t="str">
        <x:v>0.8304675352889279</x:v>
      </x:c>
      <x:c r="AF491" s="6" t="str">
        <x:v>0.4652563626893049</x:v>
      </x:c>
      <x:c r="AG491" s="6" t="str">
        <x:v>0</x:v>
      </x:c>
      <x:c r="AH491" s="6" t="str">
        <x:v>1</x:v>
      </x:c>
      <x:c r="AI491" s="6" t="str">
        <x:v>2024-10</x:v>
      </x:c>
      <x:c r="AJ491" s="9" t="str">
        <x:v>NASA POWER (MERRA-2 meteorology)</x:v>
      </x:c>
      <x:c r="AK491" s="9" t="str">
        <x:v>Badan Informasi Geospasial (BIG)</x:v>
      </x:c>
      <x:c r="AL491" s="9" t="str">
        <x:v>https://power.larc.nasa.gov/docs/services/api/temporal/monthly/</x:v>
      </x:c>
      <x:c r="AM491" s="9" t="str">
        <x:v>https://geoservices.big.go.id/rbi/rest/services/BATASWILAYAH/BATAS_WILAYAH/MapServer/12</x:v>
      </x:c>
    </x:row>
    <x:row r="492" ht="18" customHeight="1">
      <x:c r="A492" s="6" t="str">
        <x:v>62</x:v>
      </x:c>
      <x:c r="B492" s="6" t="str">
        <x:v>KALIMANTAN TENGAH</x:v>
      </x:c>
      <x:c r="C492" s="6" t="str">
        <x:v>2024</x:v>
      </x:c>
      <x:c r="D492" s="6" t="str">
        <x:v>11</x:v>
      </x:c>
      <x:c r="E492" s="6" t="str">
        <x:v>26.76269872828606</x:v>
      </x:c>
      <x:c r="F492" s="9" t="str">
        <x:v>grid_cells_within_BIG_polygon</x:v>
      </x:c>
      <x:c r="G492" s="6" t="str">
        <x:v>41</x:v>
      </x:c>
      <x:c r="H492" s="8" t="str">
        <x:v>88.38281731750445</x:v>
      </x:c>
      <x:c r="I492" s="6" t="str">
        <x:v>15.647569053200764</x:v>
      </x:c>
      <x:c r="J492" s="6" t="str">
        <x:v>30</x:v>
      </x:c>
      <x:c r="K492" s="6" t="str">
        <x:v>469.4270715960229</x:v>
      </x:c>
      <x:c r="L492" s="6" t="str">
        <x:v>25.96829819719932</x:v>
      </x:c>
      <x:c r="M492" s="6" t="str">
        <x:v>0.2909091377365843</x:v>
      </x:c>
      <x:c r="N492" s="6" t="str">
        <x:v>88.24672053117557</x:v>
      </x:c>
      <x:c r="O492" s="6" t="str">
        <x:v>1.5194485821765606</x:v>
      </x:c>
      <x:c r="P492" s="6" t="str">
        <x:v>305.6806857511025</x:v>
      </x:c>
      <x:c r="Q492" s="6" t="str">
        <x:v>62.38606844402229</x:v>
      </x:c>
      <x:c r="R492" s="6" t="str">
        <x:v>0.7944005310867404</x:v>
      </x:c>
      <x:c r="S492" s="8" t="str">
        <x:v>2.7307513860429617</x:v>
      </x:c>
      <x:c r="T492" s="6" t="str">
        <x:v>0.13609678632887778</x:v>
      </x:c>
      <x:c r="U492" s="8" t="str">
        <x:v>0.08956985311995459</x:v>
      </x:c>
      <x:c r="V492" s="6" t="str">
        <x:v>163.74638584492044</x:v>
      </x:c>
      <x:c r="W492" s="8" t="str">
        <x:v>2.6247268008537294</x:v>
      </x:c>
      <x:c r="X492" s="6" t="str">
        <x:v>1.662525973276315</x:v>
      </x:c>
      <x:c r="Y492" s="6" t="str">
        <x:v>1.6920311577895357</x:v>
      </x:c>
      <x:c r="Z492" s="6" t="str">
        <x:v>2.0284361723696045</x:v>
      </x:c>
      <x:c r="AA492" s="6" t="str">
        <x:v>0.3301699223942151</x:v>
      </x:c>
      <x:c r="AB492" s="6" t="str">
        <x:v>0.17933487452583557</x:v>
      </x:c>
      <x:c r="AC492" s="6" t="str">
        <x:v>0.19969155001333486</x:v>
      </x:c>
      <x:c r="AD492" s="6" t="str">
        <x:v>0.08512271906681822</x:v>
      </x:c>
      <x:c r="AE492" s="6" t="str">
        <x:v>0.4801788337121704</x:v>
      </x:c>
      <x:c r="AF492" s="6" t="str">
        <x:v>1.0633427845442387</x:v>
      </x:c>
      <x:c r="AG492" s="6" t="str">
        <x:v>1</x:v>
      </x:c>
      <x:c r="AH492" s="6" t="str">
        <x:v>1</x:v>
      </x:c>
      <x:c r="AI492" s="6" t="str">
        <x:v>2024-11</x:v>
      </x:c>
      <x:c r="AJ492" s="9" t="str">
        <x:v>NASA POWER (MERRA-2 meteorology)</x:v>
      </x:c>
      <x:c r="AK492" s="9" t="str">
        <x:v>Badan Informasi Geospasial (BIG)</x:v>
      </x:c>
      <x:c r="AL492" s="9" t="str">
        <x:v>https://power.larc.nasa.gov/docs/services/api/temporal/monthly/</x:v>
      </x:c>
      <x:c r="AM492" s="9" t="str">
        <x:v>https://geoservices.big.go.id/rbi/rest/services/BATASWILAYAH/BATAS_WILAYAH/MapServer/12</x:v>
      </x:c>
    </x:row>
    <x:row r="493" ht="18" customHeight="1">
      <x:c r="A493" s="6" t="str">
        <x:v>62</x:v>
      </x:c>
      <x:c r="B493" s="6" t="str">
        <x:v>KALIMANTAN TENGAH</x:v>
      </x:c>
      <x:c r="C493" s="6" t="str">
        <x:v>2024</x:v>
      </x:c>
      <x:c r="D493" s="6" t="str">
        <x:v>12</x:v>
      </x:c>
      <x:c r="E493" s="6" t="str">
        <x:v>26.123784746736746</x:v>
      </x:c>
      <x:c r="F493" s="9" t="str">
        <x:v>grid_cells_within_BIG_polygon</x:v>
      </x:c>
      <x:c r="G493" s="6" t="str">
        <x:v>41</x:v>
      </x:c>
      <x:c r="H493" s="8" t="str">
        <x:v>90.97813332082555</x:v>
      </x:c>
      <x:c r="I493" s="6" t="str">
        <x:v>12.220957437722708</x:v>
      </x:c>
      <x:c r="J493" s="6" t="str">
        <x:v>31</x:v>
      </x:c>
      <x:c r="K493" s="6" t="str">
        <x:v>378.849680569404</x:v>
      </x:c>
      <x:c r="L493" s="6" t="str">
        <x:v>25.625784870442942</x:v>
      </x:c>
      <x:c r="M493" s="6" t="str">
        <x:v>0.27697970321673665</x:v>
      </x:c>
      <x:c r="N493" s="6" t="str">
        <x:v>89.99982708321937</x:v>
      </x:c>
      <x:c r="O493" s="6" t="str">
        <x:v>0.6967582841629834</x:v>
      </x:c>
      <x:c r="P493" s="6" t="str">
        <x:v>341.5817591711892</x:v>
      </x:c>
      <x:c r="Q493" s="6" t="str">
        <x:v>68.28726610804922</x:v>
      </x:c>
      <x:c r="R493" s="6" t="str">
        <x:v>0.4979998762938038</x:v>
      </x:c>
      <x:c r="S493" s="8" t="str">
        <x:v>1.7979652317849402</x:v>
      </x:c>
      <x:c r="T493" s="6" t="str">
        <x:v>0.9783062376061764</x:v>
      </x:c>
      <x:c r="U493" s="8" t="str">
        <x:v>1.4040826780860123</x:v>
      </x:c>
      <x:c r="V493" s="6" t="str">
        <x:v>37.26792139821475</x:v>
      </x:c>
      <x:c r="W493" s="8" t="str">
        <x:v>0.5457521368514981</x:v>
      </x:c>
      <x:c r="X493" s="6" t="str">
        <x:v>2.7307513860429617</x:v>
      </x:c>
      <x:c r="Y493" s="6" t="str">
        <x:v>1.662525973276315</x:v>
      </x:c>
      <x:c r="Z493" s="6" t="str">
        <x:v>2.063747530368073</x:v>
      </x:c>
      <x:c r="AA493" s="6" t="str">
        <x:v>0.08956985311995459</x:v>
      </x:c>
      <x:c r="AB493" s="6" t="str">
        <x:v>0.3301699223942151</x:v>
      </x:c>
      <x:c r="AC493" s="6" t="str">
        <x:v>0.607940817866727</x:v>
      </x:c>
      <x:c r="AD493" s="6" t="str">
        <x:v>2.6247268008537294</x:v>
      </x:c>
      <x:c r="AE493" s="6" t="str">
        <x:v>0.08512271906681822</x:v>
      </x:c>
      <x:c r="AF493" s="6" t="str">
        <x:v>1.085200552257348</x:v>
      </x:c>
      <x:c r="AG493" s="6" t="str">
        <x:v>0</x:v>
      </x:c>
      <x:c r="AH493" s="6" t="str">
        <x:v>1</x:v>
      </x:c>
      <x:c r="AI493" s="6" t="str">
        <x:v>2024-12</x:v>
      </x:c>
      <x:c r="AJ493" s="9" t="str">
        <x:v>NASA POWER (MERRA-2 meteorology)</x:v>
      </x:c>
      <x:c r="AK493" s="9" t="str">
        <x:v>Badan Informasi Geospasial (BIG)</x:v>
      </x:c>
      <x:c r="AL493" s="9" t="str">
        <x:v>https://power.larc.nasa.gov/docs/services/api/temporal/monthly/</x:v>
      </x:c>
      <x:c r="AM493" s="9" t="str">
        <x:v>https://geoservices.big.go.id/rbi/rest/services/BATASWILAYAH/BATAS_WILAYAH/MapServer/12</x:v>
      </x:c>
    </x:row>
    <x:row r="494" ht="18" customHeight="1">
      <x:c r="A494" s="6" t="str">
        <x:v>62</x:v>
      </x:c>
      <x:c r="B494" s="6" t="str">
        <x:v>KALIMANTAN TENGAH</x:v>
      </x:c>
      <x:c r="C494" s="6" t="str">
        <x:v>2025</x:v>
      </x:c>
      <x:c r="D494" s="6" t="str">
        <x:v>1</x:v>
      </x:c>
      <x:c r="E494" s="6" t="str">
        <x:v>25.82549275290536</x:v>
      </x:c>
      <x:c r="F494" s="9" t="str">
        <x:v>grid_cells_within_BIG_polygon</x:v>
      </x:c>
      <x:c r="G494" s="6" t="str">
        <x:v>41</x:v>
      </x:c>
      <x:c r="H494" s="8" t="str">
        <x:v>91.00109519239228</x:v>
      </x:c>
      <x:c r="I494" s="6" t="str">
        <x:v>15.710886946110547</x:v>
      </x:c>
      <x:c r="J494" s="6" t="str">
        <x:v>31</x:v>
      </x:c>
      <x:c r="K494" s="6" t="str">
        <x:v>487.037495329427</x:v>
      </x:c>
      <x:c r="L494" s="6" t="str">
        <x:v>25.563735001451956</x:v>
      </x:c>
      <x:c r="M494" s="6" t="str">
        <x:v>0.36084278124130165</x:v>
      </x:c>
      <x:c r="N494" s="6" t="str">
        <x:v>89.60577985049876</x:v>
      </x:c>
      <x:c r="O494" s="6" t="str">
        <x:v>0.5618519100502309</x:v>
      </x:c>
      <x:c r="P494" s="6" t="str">
        <x:v>281.9989912106085</x:v>
      </x:c>
      <x:c r="Q494" s="6" t="str">
        <x:v>45.82277363310236</x:v>
      </x:c>
      <x:c r="R494" s="6" t="str">
        <x:v>0.2617577514534055</x:v>
      </x:c>
      <x:c r="S494" s="8" t="str">
        <x:v>0.7254066453898761</x:v>
      </x:c>
      <x:c r="T494" s="6" t="str">
        <x:v>1.3953153418935216</x:v>
      </x:c>
      <x:c r="U494" s="8" t="str">
        <x:v>2.483421906973275</x:v>
      </x:c>
      <x:c r="V494" s="6" t="str">
        <x:v>205.03850411881848</x:v>
      </x:c>
      <x:c r="W494" s="8" t="str">
        <x:v>4.474598280770563</x:v>
      </x:c>
      <x:c r="X494" s="6" t="str">
        <x:v>1.7979652317849402</x:v>
      </x:c>
      <x:c r="Y494" s="6" t="str">
        <x:v>2.7307513860429617</x:v>
      </x:c>
      <x:c r="Z494" s="6" t="str">
        <x:v>1.7513744210725932</x:v>
      </x:c>
      <x:c r="AA494" s="6" t="str">
        <x:v>1.4040826780860123</x:v>
      </x:c>
      <x:c r="AB494" s="6" t="str">
        <x:v>0.08956985311995459</x:v>
      </x:c>
      <x:c r="AC494" s="6" t="str">
        <x:v>1.3256914793930805</x:v>
      </x:c>
      <x:c r="AD494" s="6" t="str">
        <x:v>0.5457521368514981</x:v>
      </x:c>
      <x:c r="AE494" s="6" t="str">
        <x:v>2.6247268008537294</x:v>
      </x:c>
      <x:c r="AF494" s="6" t="str">
        <x:v>2.548359072825263</x:v>
      </x:c>
      <x:c r="AG494" s="6" t="str">
        <x:v>1</x:v>
      </x:c>
      <x:c r="AH494" s="6" t="str">
        <x:v>0</x:v>
      </x:c>
      <x:c r="AI494" s="6" t="str">
        <x:v>2025-01</x:v>
      </x:c>
      <x:c r="AJ494" s="9" t="str">
        <x:v>NASA POWER (MERRA-2 meteorology)</x:v>
      </x:c>
      <x:c r="AK494" s="9" t="str">
        <x:v>Badan Informasi Geospasial (BIG)</x:v>
      </x:c>
      <x:c r="AL494" s="9" t="str">
        <x:v>https://power.larc.nasa.gov/docs/services/api/temporal/monthly/</x:v>
      </x:c>
      <x:c r="AM494" s="9" t="str">
        <x:v>https://geoservices.big.go.id/rbi/rest/services/BATASWILAYAH/BATAS_WILAYAH/MapServer/12</x:v>
      </x:c>
    </x:row>
    <x:row r="495" ht="18" customHeight="1">
      <x:c r="A495" s="6" t="str">
        <x:v>62</x:v>
      </x:c>
      <x:c r="B495" s="6" t="str">
        <x:v>KALIMANTAN TENGAH</x:v>
      </x:c>
      <x:c r="C495" s="6" t="str">
        <x:v>2025</x:v>
      </x:c>
      <x:c r="D495" s="6" t="str">
        <x:v>2</x:v>
      </x:c>
      <x:c r="E495" s="6" t="str">
        <x:v>26.001293357946327</x:v>
      </x:c>
      <x:c r="F495" s="9" t="str">
        <x:v>grid_cells_within_BIG_polygon</x:v>
      </x:c>
      <x:c r="G495" s="6" t="str">
        <x:v>41</x:v>
      </x:c>
      <x:c r="H495" s="8" t="str">
        <x:v>89.23874239621773</x:v>
      </x:c>
      <x:c r="I495" s="6" t="str">
        <x:v>8.329310808254874</x:v>
      </x:c>
      <x:c r="J495" s="6" t="str">
        <x:v>28</x:v>
      </x:c>
      <x:c r="K495" s="6" t="str">
        <x:v>233.22070263113648</x:v>
      </x:c>
      <x:c r="L495" s="6" t="str">
        <x:v>25.685837762332632</x:v>
      </x:c>
      <x:c r="M495" s="6" t="str">
        <x:v>0.35975836076922657</x:v>
      </x:c>
      <x:c r="N495" s="6" t="str">
        <x:v>89.0687777322771</x:v>
      </x:c>
      <x:c r="O495" s="6" t="str">
        <x:v>0.8681649198173536</x:v>
      </x:c>
      <x:c r="P495" s="6" t="str">
        <x:v>264.83655985589667</x:v>
      </x:c>
      <x:c r="Q495" s="6" t="str">
        <x:v>84.68436735756508</x:v>
      </x:c>
      <x:c r="R495" s="6" t="str">
        <x:v>0.3154555956136953</x:v>
      </x:c>
      <x:c r="S495" s="8" t="str">
        <x:v>0.876854105458997</x:v>
      </x:c>
      <x:c r="T495" s="6" t="str">
        <x:v>0.16996466394063248</x:v>
      </x:c>
      <x:c r="U495" s="8" t="str">
        <x:v>0.1957746276783333</x:v>
      </x:c>
      <x:c r="V495" s="6" t="str">
        <x:v>-31.61585722476019</x:v>
      </x:c>
      <x:c r="W495" s="8" t="str">
        <x:v>-0.3733375853334029</x:v>
      </x:c>
      <x:c r="X495" s="6" t="str">
        <x:v>0.7254066453898761</x:v>
      </x:c>
      <x:c r="Y495" s="6" t="str">
        <x:v>1.7979652317849402</x:v>
      </x:c>
      <x:c r="Z495" s="6" t="str">
        <x:v>1.1334086608779383</x:v>
      </x:c>
      <x:c r="AA495" s="6" t="str">
        <x:v>2.483421906973275</x:v>
      </x:c>
      <x:c r="AB495" s="6" t="str">
        <x:v>1.4040826780860123</x:v>
      </x:c>
      <x:c r="AC495" s="6" t="str">
        <x:v>1.36109307091254</x:v>
      </x:c>
      <x:c r="AD495" s="6" t="str">
        <x:v>4.474598280770563</x:v>
      </x:c>
      <x:c r="AE495" s="6" t="str">
        <x:v>0.5457521368514981</x:v>
      </x:c>
      <x:c r="AF495" s="6" t="str">
        <x:v>1.5490042774295525</x:v>
      </x:c>
      <x:c r="AG495" s="6" t="str">
        <x:v>0</x:v>
      </x:c>
      <x:c r="AH495" s="6" t="str">
        <x:v>0</x:v>
      </x:c>
      <x:c r="AI495" s="6" t="str">
        <x:v>2025-02</x:v>
      </x:c>
      <x:c r="AJ495" s="9" t="str">
        <x:v>NASA POWER (MERRA-2 meteorology)</x:v>
      </x:c>
      <x:c r="AK495" s="9" t="str">
        <x:v>Badan Informasi Geospasial (BIG)</x:v>
      </x:c>
      <x:c r="AL495" s="9" t="str">
        <x:v>https://power.larc.nasa.gov/docs/services/api/temporal/monthly/</x:v>
      </x:c>
      <x:c r="AM495" s="9" t="str">
        <x:v>https://geoservices.big.go.id/rbi/rest/services/BATASWILAYAH/BATAS_WILAYAH/MapServer/12</x:v>
      </x:c>
    </x:row>
    <x:row r="496" ht="18" customHeight="1">
      <x:c r="A496" s="6" t="str">
        <x:v>62</x:v>
      </x:c>
      <x:c r="B496" s="6" t="str">
        <x:v>KALIMANTAN TENGAH</x:v>
      </x:c>
      <x:c r="C496" s="6" t="str">
        <x:v>2025</x:v>
      </x:c>
      <x:c r="D496" s="6" t="str">
        <x:v>3</x:v>
      </x:c>
      <x:c r="E496" s="6" t="str">
        <x:v>26.124459515116975</x:v>
      </x:c>
      <x:c r="F496" s="9" t="str">
        <x:v>grid_cells_within_BIG_polygon</x:v>
      </x:c>
      <x:c r="G496" s="6" t="str">
        <x:v>41</x:v>
      </x:c>
      <x:c r="H496" s="8" t="str">
        <x:v>89.74303788999008</x:v>
      </x:c>
      <x:c r="I496" s="6" t="str">
        <x:v>12.969282964640477</x:v>
      </x:c>
      <x:c r="J496" s="6" t="str">
        <x:v>31</x:v>
      </x:c>
      <x:c r="K496" s="6" t="str">
        <x:v>402.0477719038548</x:v>
      </x:c>
      <x:c r="L496" s="6" t="str">
        <x:v>25.92168233652734</x:v>
      </x:c>
      <x:c r="M496" s="6" t="str">
        <x:v>0.31494378401000106</x:v>
      </x:c>
      <x:c r="N496" s="6" t="str">
        <x:v>89.04529440299926</x:v>
      </x:c>
      <x:c r="O496" s="6" t="str">
        <x:v>0.5650117030094367</x:v>
      </x:c>
      <x:c r="P496" s="6" t="str">
        <x:v>301.2867892893131</x:v>
      </x:c>
      <x:c r="Q496" s="6" t="str">
        <x:v>66.92358338990157</x:v>
      </x:c>
      <x:c r="R496" s="6" t="str">
        <x:v>0.20277717858963484</x:v>
      </x:c>
      <x:c r="S496" s="8" t="str">
        <x:v>0.6438519789398214</x:v>
      </x:c>
      <x:c r="T496" s="6" t="str">
        <x:v>0.6977434869908166</x:v>
      </x:c>
      <x:c r="U496" s="8" t="str">
        <x:v>1.2349186455331935</x:v>
      </x:c>
      <x:c r="V496" s="6" t="str">
        <x:v>100.76098261454172</x:v>
      </x:c>
      <x:c r="W496" s="8" t="str">
        <x:v>1.5056124838310145</x:v>
      </x:c>
      <x:c r="X496" s="6" t="str">
        <x:v>0.876854105458997</x:v>
      </x:c>
      <x:c r="Y496" s="6" t="str">
        <x:v>0.7254066453898761</x:v>
      </x:c>
      <x:c r="Z496" s="6" t="str">
        <x:v>0.7487042432628987</x:v>
      </x:c>
      <x:c r="AA496" s="6" t="str">
        <x:v>0.1957746276783333</x:v>
      </x:c>
      <x:c r="AB496" s="6" t="str">
        <x:v>2.483421906973275</x:v>
      </x:c>
      <x:c r="AC496" s="6" t="str">
        <x:v>1.3047050600616006</x:v>
      </x:c>
      <x:c r="AD496" s="6" t="str">
        <x:v>-0.3733375853334029</x:v>
      </x:c>
      <x:c r="AE496" s="6" t="str">
        <x:v>4.474598280770563</x:v>
      </x:c>
      <x:c r="AF496" s="6" t="str">
        <x:v>1.8689577264227246</x:v>
      </x:c>
      <x:c r="AG496" s="6" t="str">
        <x:v>1</x:v>
      </x:c>
      <x:c r="AH496" s="6" t="str">
        <x:v>0</x:v>
      </x:c>
      <x:c r="AI496" s="6" t="str">
        <x:v>2025-03</x:v>
      </x:c>
      <x:c r="AJ496" s="9" t="str">
        <x:v>NASA POWER (MERRA-2 meteorology)</x:v>
      </x:c>
      <x:c r="AK496" s="9" t="str">
        <x:v>Badan Informasi Geospasial (BIG)</x:v>
      </x:c>
      <x:c r="AL496" s="9" t="str">
        <x:v>https://power.larc.nasa.gov/docs/services/api/temporal/monthly/</x:v>
      </x:c>
      <x:c r="AM496" s="9" t="str">
        <x:v>https://geoservices.big.go.id/rbi/rest/services/BATASWILAYAH/BATAS_WILAYAH/MapServer/12</x:v>
      </x:c>
    </x:row>
    <x:row r="497" ht="18" customHeight="1">
      <x:c r="A497" s="6" t="str">
        <x:v>62</x:v>
      </x:c>
      <x:c r="B497" s="6" t="str">
        <x:v>KALIMANTAN TENGAH</x:v>
      </x:c>
      <x:c r="C497" s="6" t="str">
        <x:v>2025</x:v>
      </x:c>
      <x:c r="D497" s="6" t="str">
        <x:v>4</x:v>
      </x:c>
      <x:c r="E497" s="6" t="str">
        <x:v>26.230271109125425</x:v>
      </x:c>
      <x:c r="F497" s="9" t="str">
        <x:v>grid_cells_within_BIG_polygon</x:v>
      </x:c>
      <x:c r="G497" s="6" t="str">
        <x:v>41</x:v>
      </x:c>
      <x:c r="H497" s="8" t="str">
        <x:v>89.20078667458979</x:v>
      </x:c>
      <x:c r="I497" s="6" t="str">
        <x:v>8.24600147234107</x:v>
      </x:c>
      <x:c r="J497" s="6" t="str">
        <x:v>30</x:v>
      </x:c>
      <x:c r="K497" s="6" t="str">
        <x:v>247.3800441702321</x:v>
      </x:c>
      <x:c r="L497" s="6" t="str">
        <x:v>26.133281780038114</x:v>
      </x:c>
      <x:c r="M497" s="6" t="str">
        <x:v>0.27981560739098343</x:v>
      </x:c>
      <x:c r="N497" s="6" t="str">
        <x:v>89.51379369751466</x:v>
      </x:c>
      <x:c r="O497" s="6" t="str">
        <x:v>0.47389708965757027</x:v>
      </x:c>
      <x:c r="P497" s="6" t="str">
        <x:v>296.25778223780827</x:v>
      </x:c>
      <x:c r="Q497" s="6" t="str">
        <x:v>58.8509274761379</x:v>
      </x:c>
      <x:c r="R497" s="6" t="str">
        <x:v>0.09698932908731095</x:v>
      </x:c>
      <x:c r="S497" s="8" t="str">
        <x:v>0.3466187250655707</x:v>
      </x:c>
      <x:c r="T497" s="6" t="str">
        <x:v>-0.3130070229248645</x:v>
      </x:c>
      <x:c r="U497" s="8" t="str">
        <x:v>-0.6604957695584033</x:v>
      </x:c>
      <x:c r="V497" s="6" t="str">
        <x:v>-48.87773806757616</x:v>
      </x:c>
      <x:c r="W497" s="8" t="str">
        <x:v>-0.8305347114095095</x:v>
      </x:c>
      <x:c r="X497" s="6" t="str">
        <x:v>0.6438519789398214</x:v>
      </x:c>
      <x:c r="Y497" s="6" t="str">
        <x:v>0.876854105458997</x:v>
      </x:c>
      <x:c r="Z497" s="6" t="str">
        <x:v>0.6224416031547969</x:v>
      </x:c>
      <x:c r="AA497" s="6" t="str">
        <x:v>1.2349186455331935</x:v>
      </x:c>
      <x:c r="AB497" s="6" t="str">
        <x:v>0.1957746276783333</x:v>
      </x:c>
      <x:c r="AC497" s="6" t="str">
        <x:v>0.25673250121770774</x:v>
      </x:c>
      <x:c r="AD497" s="6" t="str">
        <x:v>1.5056124838310145</x:v>
      </x:c>
      <x:c r="AE497" s="6" t="str">
        <x:v>-0.3733375853334029</x:v>
      </x:c>
      <x:c r="AF497" s="6" t="str">
        <x:v>0.10058006236270041</x:v>
      </x:c>
      <x:c r="AG497" s="6" t="str">
        <x:v>0</x:v>
      </x:c>
      <x:c r="AH497" s="6" t="str">
        <x:v>0</x:v>
      </x:c>
      <x:c r="AI497" s="6" t="str">
        <x:v>2025-04</x:v>
      </x:c>
      <x:c r="AJ497" s="9" t="str">
        <x:v>NASA POWER (MERRA-2 meteorology)</x:v>
      </x:c>
      <x:c r="AK497" s="9" t="str">
        <x:v>Badan Informasi Geospasial (BIG)</x:v>
      </x:c>
      <x:c r="AL497" s="9" t="str">
        <x:v>https://power.larc.nasa.gov/docs/services/api/temporal/monthly/</x:v>
      </x:c>
      <x:c r="AM497" s="9" t="str">
        <x:v>https://geoservices.big.go.id/rbi/rest/services/BATASWILAYAH/BATAS_WILAYAH/MapServer/12</x:v>
      </x:c>
    </x:row>
    <x:row r="498" ht="18" customHeight="1">
      <x:c r="A498" s="6" t="str">
        <x:v>62</x:v>
      </x:c>
      <x:c r="B498" s="6" t="str">
        <x:v>KALIMANTAN TENGAH</x:v>
      </x:c>
      <x:c r="C498" s="6" t="str">
        <x:v>2025</x:v>
      </x:c>
      <x:c r="D498" s="6" t="str">
        <x:v>5</x:v>
      </x:c>
      <x:c r="E498" s="6" t="str">
        <x:v>26.613692549834358</x:v>
      </x:c>
      <x:c r="F498" s="9" t="str">
        <x:v>grid_cells_within_BIG_polygon</x:v>
      </x:c>
      <x:c r="G498" s="6" t="str">
        <x:v>41</x:v>
      </x:c>
      <x:c r="H498" s="8" t="str">
        <x:v>88.88539406307922</x:v>
      </x:c>
      <x:c r="I498" s="6" t="str">
        <x:v>11.131975718933225</x:v>
      </x:c>
      <x:c r="J498" s="6" t="str">
        <x:v>31</x:v>
      </x:c>
      <x:c r="K498" s="6" t="str">
        <x:v>345.09124728692996</x:v>
      </x:c>
      <x:c r="L498" s="6" t="str">
        <x:v>26.14443365945314</x:v>
      </x:c>
      <x:c r="M498" s="6" t="str">
        <x:v>0.3296746917869876</x:v>
      </x:c>
      <x:c r="N498" s="6" t="str">
        <x:v>89.57445606451296</x:v>
      </x:c>
      <x:c r="O498" s="6" t="str">
        <x:v>0.7315358616585483</x:v>
      </x:c>
      <x:c r="P498" s="6" t="str">
        <x:v>231.02213849684165</x:v>
      </x:c>
      <x:c r="Q498" s="6" t="str">
        <x:v>69.54532459248891</x:v>
      </x:c>
      <x:c r="R498" s="6" t="str">
        <x:v>0.4692588903812194</x:v>
      </x:c>
      <x:c r="S498" s="8" t="str">
        <x:v>1.423399800080563</x:v>
      </x:c>
      <x:c r="T498" s="6" t="str">
        <x:v>-0.6890620014337401</x:v>
      </x:c>
      <x:c r="U498" s="8" t="str">
        <x:v>-0.941938785983081</x:v>
      </x:c>
      <x:c r="V498" s="6" t="str">
        <x:v>114.06910879008831</x:v>
      </x:c>
      <x:c r="W498" s="8" t="str">
        <x:v>1.6402124723479699</x:v>
      </x:c>
      <x:c r="X498" s="6" t="str">
        <x:v>0.3466187250655707</x:v>
      </x:c>
      <x:c r="Y498" s="6" t="str">
        <x:v>0.6438519789398214</x:v>
      </x:c>
      <x:c r="Z498" s="6" t="str">
        <x:v>0.8046235013619856</x:v>
      </x:c>
      <x:c r="AA498" s="6" t="str">
        <x:v>-0.6604957695584033</x:v>
      </x:c>
      <x:c r="AB498" s="6" t="str">
        <x:v>1.2349186455331935</x:v>
      </x:c>
      <x:c r="AC498" s="6" t="str">
        <x:v>-0.12250530333609704</x:v>
      </x:c>
      <x:c r="AD498" s="6" t="str">
        <x:v>-0.8305347114095095</x:v>
      </x:c>
      <x:c r="AE498" s="6" t="str">
        <x:v>1.5056124838310145</x:v>
      </x:c>
      <x:c r="AF498" s="6" t="str">
        <x:v>0.771763414923158</x:v>
      </x:c>
      <x:c r="AG498" s="6" t="str">
        <x:v>1</x:v>
      </x:c>
      <x:c r="AH498" s="6" t="str">
        <x:v>1</x:v>
      </x:c>
      <x:c r="AI498" s="6" t="str">
        <x:v>2025-05</x:v>
      </x:c>
      <x:c r="AJ498" s="9" t="str">
        <x:v>NASA POWER (MERRA-2 meteorology)</x:v>
      </x:c>
      <x:c r="AK498" s="9" t="str">
        <x:v>Badan Informasi Geospasial (BIG)</x:v>
      </x:c>
      <x:c r="AL498" s="9" t="str">
        <x:v>https://power.larc.nasa.gov/docs/services/api/temporal/monthly/</x:v>
      </x:c>
      <x:c r="AM498" s="9" t="str">
        <x:v>https://geoservices.big.go.id/rbi/rest/services/BATASWILAYAH/BATAS_WILAYAH/MapServer/12</x:v>
      </x:c>
    </x:row>
    <x:row r="499" ht="18" customHeight="1">
      <x:c r="A499" s="6" t="str">
        <x:v>62</x:v>
      </x:c>
      <x:c r="B499" s="6" t="str">
        <x:v>KALIMANTAN TENGAH</x:v>
      </x:c>
      <x:c r="C499" s="6" t="str">
        <x:v>2025</x:v>
      </x:c>
      <x:c r="D499" s="6" t="str">
        <x:v>6</x:v>
      </x:c>
      <x:c r="E499" s="6" t="str">
        <x:v>25.689371976460613</x:v>
      </x:c>
      <x:c r="F499" s="9" t="str">
        <x:v>grid_cells_within_BIG_polygon</x:v>
      </x:c>
      <x:c r="G499" s="6" t="str">
        <x:v>41</x:v>
      </x:c>
      <x:c r="H499" s="8" t="str">
        <x:v>90.41274540740083</x:v>
      </x:c>
      <x:c r="I499" s="6" t="str">
        <x:v>5.244733322888828</x:v>
      </x:c>
      <x:c r="J499" s="6" t="str">
        <x:v>30</x:v>
      </x:c>
      <x:c r="K499" s="6" t="str">
        <x:v>157.34199968666482</x:v>
      </x:c>
      <x:c r="L499" s="6" t="str">
        <x:v>25.596553433761446</x:v>
      </x:c>
      <x:c r="M499" s="6" t="str">
        <x:v>0.32144194432172907</x:v>
      </x:c>
      <x:c r="N499" s="6" t="str">
        <x:v>89.64027040812955</x:v>
      </x:c>
      <x:c r="O499" s="6" t="str">
        <x:v>1.058492826787717</x:v>
      </x:c>
      <x:c r="P499" s="6" t="str">
        <x:v>185.3827919508112</x:v>
      </x:c>
      <x:c r="Q499" s="6" t="str">
        <x:v>63.87584456462582</x:v>
      </x:c>
      <x:c r="R499" s="6" t="str">
        <x:v>0.09281854269916678</x:v>
      </x:c>
      <x:c r="S499" s="8" t="str">
        <x:v>0.28875678591050746</x:v>
      </x:c>
      <x:c r="T499" s="6" t="str">
        <x:v>0.7724749992712816</x:v>
      </x:c>
      <x:c r="U499" s="8" t="str">
        <x:v>0.7297876562995388</x:v>
      </x:c>
      <x:c r="V499" s="6" t="str">
        <x:v>-28.040792264146376</x:v>
      </x:c>
      <x:c r="W499" s="8" t="str">
        <x:v>-0.4389889864513079</x:v>
      </x:c>
      <x:c r="X499" s="6" t="str">
        <x:v>1.423399800080563</x:v>
      </x:c>
      <x:c r="Y499" s="6" t="str">
        <x:v>0.3466187250655707</x:v>
      </x:c>
      <x:c r="Z499" s="6" t="str">
        <x:v>0.686258437018881</x:v>
      </x:c>
      <x:c r="AA499" s="6" t="str">
        <x:v>-0.941938785983081</x:v>
      </x:c>
      <x:c r="AB499" s="6" t="str">
        <x:v>-0.6604957695584033</x:v>
      </x:c>
      <x:c r="AC499" s="6" t="str">
        <x:v>-0.2908822997473152</x:v>
      </x:c>
      <x:c r="AD499" s="6" t="str">
        <x:v>1.6402124723479699</x:v>
      </x:c>
      <x:c r="AE499" s="6" t="str">
        <x:v>-0.8305347114095095</x:v>
      </x:c>
      <x:c r="AF499" s="6" t="str">
        <x:v>0.12356292482905047</x:v>
      </x:c>
      <x:c r="AG499" s="6" t="str">
        <x:v>0</x:v>
      </x:c>
      <x:c r="AH499" s="6" t="str">
        <x:v>0</x:v>
      </x:c>
      <x:c r="AI499" s="6" t="str">
        <x:v>2025-06</x:v>
      </x:c>
      <x:c r="AJ499" s="9" t="str">
        <x:v>NASA POWER (MERRA-2 meteorology)</x:v>
      </x:c>
      <x:c r="AK499" s="9" t="str">
        <x:v>Badan Informasi Geospasial (BIG)</x:v>
      </x:c>
      <x:c r="AL499" s="9" t="str">
        <x:v>https://power.larc.nasa.gov/docs/services/api/temporal/monthly/</x:v>
      </x:c>
      <x:c r="AM499" s="9" t="str">
        <x:v>https://geoservices.big.go.id/rbi/rest/services/BATASWILAYAH/BATAS_WILAYAH/MapServer/12</x:v>
      </x:c>
    </x:row>
    <x:row r="500" ht="18" customHeight="1">
      <x:c r="A500" s="6" t="str">
        <x:v>62</x:v>
      </x:c>
      <x:c r="B500" s="6" t="str">
        <x:v>KALIMANTAN TENGAH</x:v>
      </x:c>
      <x:c r="C500" s="6" t="str">
        <x:v>2025</x:v>
      </x:c>
      <x:c r="D500" s="6" t="str">
        <x:v>7</x:v>
      </x:c>
      <x:c r="E500" s="6" t="str">
        <x:v>25.850114391816824</x:v>
      </x:c>
      <x:c r="F500" s="9" t="str">
        <x:v>grid_cells_within_BIG_polygon</x:v>
      </x:c>
      <x:c r="G500" s="6" t="str">
        <x:v>41</x:v>
      </x:c>
      <x:c r="H500" s="8" t="str">
        <x:v>88.41795816945965</x:v>
      </x:c>
      <x:c r="I500" s="6" t="str">
        <x:v>1.9418800844597297</x:v>
      </x:c>
      <x:c r="J500" s="6" t="str">
        <x:v>31</x:v>
      </x:c>
      <x:c r="K500" s="6" t="str">
        <x:v>60.19828261825162</x:v>
      </x:c>
      <x:c r="L500" s="6" t="str">
        <x:v>25.172523599796556</x:v>
      </x:c>
      <x:c r="M500" s="6" t="str">
        <x:v>0.3387731463352202</x:v>
      </x:c>
      <x:c r="N500" s="6" t="str">
        <x:v>88.37987244352456</x:v>
      </x:c>
      <x:c r="O500" s="6" t="str">
        <x:v>1.5761722307968649</x:v>
      </x:c>
      <x:c r="P500" s="6" t="str">
        <x:v>138.283087774158</x:v>
      </x:c>
      <x:c r="Q500" s="6" t="str">
        <x:v>78.888954331178</x:v>
      </x:c>
      <x:c r="R500" s="6" t="str">
        <x:v>0.6775907920202684</x:v>
      </x:c>
      <x:c r="S500" s="8" t="str">
        <x:v>2.000131354419054</x:v>
      </x:c>
      <x:c r="T500" s="6" t="str">
        <x:v>0.03808572593509041</x:v>
      </x:c>
      <x:c r="U500" s="8" t="str">
        <x:v>0.024163429091651627</x:v>
      </x:c>
      <x:c r="V500" s="6" t="str">
        <x:v>-78.08480515590637</x:v>
      </x:c>
      <x:c r="W500" s="8" t="str">
        <x:v>-0.9898065682060407</x:v>
      </x:c>
      <x:c r="X500" s="6" t="str">
        <x:v>0.28875678591050746</x:v>
      </x:c>
      <x:c r="Y500" s="6" t="str">
        <x:v>1.423399800080563</x:v>
      </x:c>
      <x:c r="Z500" s="6" t="str">
        <x:v>1.2374293134700423</x:v>
      </x:c>
      <x:c r="AA500" s="6" t="str">
        <x:v>0.7297876562995388</x:v>
      </x:c>
      <x:c r="AB500" s="6" t="str">
        <x:v>-0.941938785983081</x:v>
      </x:c>
      <x:c r="AC500" s="6" t="str">
        <x:v>-0.06266256686396361</x:v>
      </x:c>
      <x:c r="AD500" s="6" t="str">
        <x:v>-0.4389889864513079</x:v>
      </x:c>
      <x:c r="AE500" s="6" t="str">
        <x:v>1.6402124723479699</x:v>
      </x:c>
      <x:c r="AF500" s="6" t="str">
        <x:v>0.07047230589687337</x:v>
      </x:c>
      <x:c r="AG500" s="6" t="str">
        <x:v>0</x:v>
      </x:c>
      <x:c r="AH500" s="6" t="str">
        <x:v>1</x:v>
      </x:c>
      <x:c r="AI500" s="6" t="str">
        <x:v>2025-07</x:v>
      </x:c>
      <x:c r="AJ500" s="9" t="str">
        <x:v>NASA POWER (MERRA-2 meteorology)</x:v>
      </x:c>
      <x:c r="AK500" s="9" t="str">
        <x:v>Badan Informasi Geospasial (BIG)</x:v>
      </x:c>
      <x:c r="AL500" s="9" t="str">
        <x:v>https://power.larc.nasa.gov/docs/services/api/temporal/monthly/</x:v>
      </x:c>
      <x:c r="AM500" s="9" t="str">
        <x:v>https://geoservices.big.go.id/rbi/rest/services/BATASWILAYAH/BATAS_WILAYAH/MapServer/12</x:v>
      </x:c>
    </x:row>
    <x:row r="501" ht="18" customHeight="1">
      <x:c r="A501" s="6" t="str">
        <x:v>62</x:v>
      </x:c>
      <x:c r="B501" s="6" t="str">
        <x:v>KALIMANTAN TENGAH</x:v>
      </x:c>
      <x:c r="C501" s="6" t="str">
        <x:v>2025</x:v>
      </x:c>
      <x:c r="D501" s="6" t="str">
        <x:v>8</x:v>
      </x:c>
      <x:c r="E501" s="6" t="str">
        <x:v>25.442288323966324</x:v>
      </x:c>
      <x:c r="F501" s="9" t="str">
        <x:v>grid_cells_within_BIG_polygon</x:v>
      </x:c>
      <x:c r="G501" s="6" t="str">
        <x:v>41</x:v>
      </x:c>
      <x:c r="H501" s="8" t="str">
        <x:v>88.91094170521654</x:v>
      </x:c>
      <x:c r="I501" s="6" t="str">
        <x:v>8.323446849246213</x:v>
      </x:c>
      <x:c r="J501" s="6" t="str">
        <x:v>31</x:v>
      </x:c>
      <x:c r="K501" s="6" t="str">
        <x:v>258.0268523266326</x:v>
      </x:c>
      <x:c r="L501" s="6" t="str">
        <x:v>25.294062113058143</x:v>
      </x:c>
      <x:c r="M501" s="6" t="str">
        <x:v>0.4010988652742919</x:v>
      </x:c>
      <x:c r="N501" s="6" t="str">
        <x:v>86.14872087519198</x:v>
      </x:c>
      <x:c r="O501" s="6" t="str">
        <x:v>2.532429375718908</x:v>
      </x:c>
      <x:c r="P501" s="6" t="str">
        <x:v>117.47270723633986</x:v>
      </x:c>
      <x:c r="Q501" s="6" t="str">
        <x:v>85.04344150566675</x:v>
      </x:c>
      <x:c r="R501" s="6" t="str">
        <x:v>0.1482262109081809</x:v>
      </x:c>
      <x:c r="S501" s="8" t="str">
        <x:v>0.3695503122573439</x:v>
      </x:c>
      <x:c r="T501" s="6" t="str">
        <x:v>2.7622208300245603</x:v>
      </x:c>
      <x:c r="U501" s="8" t="str">
        <x:v>1.0907395311825503</x:v>
      </x:c>
      <x:c r="V501" s="6" t="str">
        <x:v>140.55414509029274</x:v>
      </x:c>
      <x:c r="W501" s="8" t="str">
        <x:v>1.6527335042165139</x:v>
      </x:c>
      <x:c r="X501" s="6" t="str">
        <x:v>2.000131354419054</x:v>
      </x:c>
      <x:c r="Y501" s="6" t="str">
        <x:v>0.28875678591050746</x:v>
      </x:c>
      <x:c r="Z501" s="6" t="str">
        <x:v>0.8861461508623024</x:v>
      </x:c>
      <x:c r="AA501" s="6" t="str">
        <x:v>0.024163429091651627</x:v>
      </x:c>
      <x:c r="AB501" s="6" t="str">
        <x:v>0.7297876562995388</x:v>
      </x:c>
      <x:c r="AC501" s="6" t="str">
        <x:v>0.6148968721912468</x:v>
      </x:c>
      <x:c r="AD501" s="6" t="str">
        <x:v>-0.9898065682060407</x:v>
      </x:c>
      <x:c r="AE501" s="6" t="str">
        <x:v>-0.4389889864513079</x:v>
      </x:c>
      <x:c r="AF501" s="6" t="str">
        <x:v>0.07464598318638815</x:v>
      </x:c>
      <x:c r="AG501" s="6" t="str">
        <x:v>1</x:v>
      </x:c>
      <x:c r="AH501" s="6" t="str">
        <x:v>0</x:v>
      </x:c>
      <x:c r="AI501" s="6" t="str">
        <x:v>2025-08</x:v>
      </x:c>
      <x:c r="AJ501" s="9" t="str">
        <x:v>NASA POWER (MERRA-2 meteorology)</x:v>
      </x:c>
      <x:c r="AK501" s="9" t="str">
        <x:v>Badan Informasi Geospasial (BIG)</x:v>
      </x:c>
      <x:c r="AL501" s="9" t="str">
        <x:v>https://power.larc.nasa.gov/docs/services/api/temporal/monthly/</x:v>
      </x:c>
      <x:c r="AM501" s="9" t="str">
        <x:v>https://geoservices.big.go.id/rbi/rest/services/BATASWILAYAH/BATAS_WILAYAH/MapServer/12</x:v>
      </x:c>
    </x:row>
    <x:row r="502" ht="18" customHeight="1">
      <x:c r="A502" s="6" t="str">
        <x:v>62</x:v>
      </x:c>
      <x:c r="B502" s="6" t="str">
        <x:v>KALIMANTAN TENGAH</x:v>
      </x:c>
      <x:c r="C502" s="6" t="str">
        <x:v>2025</x:v>
      </x:c>
      <x:c r="D502" s="6" t="str">
        <x:v>9</x:v>
      </x:c>
      <x:c r="E502" s="6" t="str">
        <x:v>25.947181289598895</x:v>
      </x:c>
      <x:c r="F502" s="9" t="str">
        <x:v>grid_cells_within_BIG_polygon</x:v>
      </x:c>
      <x:c r="G502" s="6" t="str">
        <x:v>41</x:v>
      </x:c>
      <x:c r="H502" s="8" t="str">
        <x:v>88.58888646700976</x:v>
      </x:c>
      <x:c r="I502" s="6" t="str">
        <x:v>8.682750256624486</x:v>
      </x:c>
      <x:c r="J502" s="6" t="str">
        <x:v>30</x:v>
      </x:c>
      <x:c r="K502" s="6" t="str">
        <x:v>260.4825076987346</x:v>
      </x:c>
      <x:c r="L502" s="6" t="str">
        <x:v>25.687220525433382</x:v>
      </x:c>
      <x:c r="M502" s="6" t="str">
        <x:v>0.49509357412439364</x:v>
      </x:c>
      <x:c r="N502" s="6" t="str">
        <x:v>84.63700166858312</x:v>
      </x:c>
      <x:c r="O502" s="6" t="str">
        <x:v>3.3399270097466074</x:v>
      </x:c>
      <x:c r="P502" s="6" t="str">
        <x:v>137.19027612650328</x:v>
      </x:c>
      <x:c r="Q502" s="6" t="str">
        <x:v>86.04488790488648</x:v>
      </x:c>
      <x:c r="R502" s="6" t="str">
        <x:v>0.2599607641655126</x:v>
      </x:c>
      <x:c r="S502" s="8" t="str">
        <x:v>0.5250740016678075</x:v>
      </x:c>
      <x:c r="T502" s="6" t="str">
        <x:v>3.951884798426633</x:v>
      </x:c>
      <x:c r="U502" s="8" t="str">
        <x:v>1.1832248988957557</x:v>
      </x:c>
      <x:c r="V502" s="6" t="str">
        <x:v>123.29223157223132</x:v>
      </x:c>
      <x:c r="W502" s="8" t="str">
        <x:v>1.4328827031365052</x:v>
      </x:c>
      <x:c r="X502" s="6" t="str">
        <x:v>0.3695503122573439</x:v>
      </x:c>
      <x:c r="Y502" s="6" t="str">
        <x:v>2.000131354419054</x:v>
      </x:c>
      <x:c r="Z502" s="6" t="str">
        <x:v>0.9649185561147359</x:v>
      </x:c>
      <x:c r="AA502" s="6" t="str">
        <x:v>1.0907395311825503</x:v>
      </x:c>
      <x:c r="AB502" s="6" t="str">
        <x:v>0.024163429091651627</x:v>
      </x:c>
      <x:c r="AC502" s="6" t="str">
        <x:v>0.7660426197233191</x:v>
      </x:c>
      <x:c r="AD502" s="6" t="str">
        <x:v>1.6527335042165139</x:v>
      </x:c>
      <x:c r="AE502" s="6" t="str">
        <x:v>-0.9898065682060407</x:v>
      </x:c>
      <x:c r="AF502" s="6" t="str">
        <x:v>0.6986032130489925</x:v>
      </x:c>
      <x:c r="AG502" s="6" t="str">
        <x:v>1</x:v>
      </x:c>
      <x:c r="AH502" s="6" t="str">
        <x:v>0</x:v>
      </x:c>
      <x:c r="AI502" s="6" t="str">
        <x:v>2025-09</x:v>
      </x:c>
      <x:c r="AJ502" s="9" t="str">
        <x:v>NASA POWER (MERRA-2 meteorology)</x:v>
      </x:c>
      <x:c r="AK502" s="9" t="str">
        <x:v>Badan Informasi Geospasial (BIG)</x:v>
      </x:c>
      <x:c r="AL502" s="9" t="str">
        <x:v>https://power.larc.nasa.gov/docs/services/api/temporal/monthly/</x:v>
      </x:c>
      <x:c r="AM502" s="9" t="str">
        <x:v>https://geoservices.big.go.id/rbi/rest/services/BATASWILAYAH/BATAS_WILAYAH/MapServer/12</x:v>
      </x:c>
    </x:row>
    <x:row r="503" ht="18" customHeight="1">
      <x:c r="A503" s="6" t="str">
        <x:v>62</x:v>
      </x:c>
      <x:c r="B503" s="6" t="str">
        <x:v>KALIMANTAN TENGAH</x:v>
      </x:c>
      <x:c r="C503" s="6" t="str">
        <x:v>2025</x:v>
      </x:c>
      <x:c r="D503" s="6" t="str">
        <x:v>10</x:v>
      </x:c>
      <x:c r="E503" s="6" t="str">
        <x:v>26.09152795690538</x:v>
      </x:c>
      <x:c r="F503" s="9" t="str">
        <x:v>grid_cells_within_BIG_polygon</x:v>
      </x:c>
      <x:c r="G503" s="6" t="str">
        <x:v>41</x:v>
      </x:c>
      <x:c r="H503" s="8" t="str">
        <x:v>88.08511726329189</x:v>
      </x:c>
      <x:c r="I503" s="6" t="str">
        <x:v>10.874237480427615</x:v>
      </x:c>
      <x:c r="J503" s="6" t="str">
        <x:v>31</x:v>
      </x:c>
      <x:c r="K503" s="6" t="str">
        <x:v>337.10136189325607</x:v>
      </x:c>
      <x:c r="L503" s="6" t="str">
        <x:v>26.068862184781814</x:v>
      </x:c>
      <x:c r="M503" s="6" t="str">
        <x:v>0.38269609153391904</x:v>
      </x:c>
      <x:c r="N503" s="6" t="str">
        <x:v>85.43228515581414</x:v>
      </x:c>
      <x:c r="O503" s="6" t="str">
        <x:v>3.3467046592939473</x:v>
      </x:c>
      <x:c r="P503" s="6" t="str">
        <x:v>214.92560268409406</x:v>
      </x:c>
      <x:c r="Q503" s="6" t="str">
        <x:v>94.66321194168768</x:v>
      </x:c>
      <x:c r="R503" s="6" t="str">
        <x:v>0.022665772123566796</x:v>
      </x:c>
      <x:c r="S503" s="8" t="str">
        <x:v>0.05922655763929559</x:v>
      </x:c>
      <x:c r="T503" s="6" t="str">
        <x:v>2.6528321074777494</x:v>
      </x:c>
      <x:c r="U503" s="8" t="str">
        <x:v>0.7926699178879489</x:v>
      </x:c>
      <x:c r="V503" s="6" t="str">
        <x:v>122.17575920916201</x:v>
      </x:c>
      <x:c r="W503" s="8" t="str">
        <x:v>1.2906361056544542</x:v>
      </x:c>
      <x:c r="X503" s="6" t="str">
        <x:v>0.5250740016678075</x:v>
      </x:c>
      <x:c r="Y503" s="6" t="str">
        <x:v>0.3695503122573439</x:v>
      </x:c>
      <x:c r="Z503" s="6" t="str">
        <x:v>0.31795029052148294</x:v>
      </x:c>
      <x:c r="AA503" s="6" t="str">
        <x:v>1.1832248988957557</x:v>
      </x:c>
      <x:c r="AB503" s="6" t="str">
        <x:v>1.0907395311825503</x:v>
      </x:c>
      <x:c r="AC503" s="6" t="str">
        <x:v>1.0222114493220849</x:v>
      </x:c>
      <x:c r="AD503" s="6" t="str">
        <x:v>1.4328827031365052</x:v>
      </x:c>
      <x:c r="AE503" s="6" t="str">
        <x:v>1.6527335042165139</x:v>
      </x:c>
      <x:c r="AF503" s="6" t="str">
        <x:v>1.4587507710024907</x:v>
      </x:c>
      <x:c r="AG503" s="6" t="str">
        <x:v>1</x:v>
      </x:c>
      <x:c r="AH503" s="6" t="str">
        <x:v>0</x:v>
      </x:c>
      <x:c r="AI503" s="6" t="str">
        <x:v>2025-10</x:v>
      </x:c>
      <x:c r="AJ503" s="9" t="str">
        <x:v>NASA POWER (MERRA-2 meteorology)</x:v>
      </x:c>
      <x:c r="AK503" s="9" t="str">
        <x:v>Badan Informasi Geospasial (BIG)</x:v>
      </x:c>
      <x:c r="AL503" s="9" t="str">
        <x:v>https://power.larc.nasa.gov/docs/services/api/temporal/monthly/</x:v>
      </x:c>
      <x:c r="AM503" s="9" t="str">
        <x:v>https://geoservices.big.go.id/rbi/rest/services/BATASWILAYAH/BATAS_WILAYAH/MapServer/12</x:v>
      </x:c>
    </x:row>
    <x:row r="504" ht="18" customHeight="1">
      <x:c r="A504" s="6" t="str">
        <x:v>62</x:v>
      </x:c>
      <x:c r="B504" s="6" t="str">
        <x:v>KALIMANTAN TENGAH</x:v>
      </x:c>
      <x:c r="C504" s="6" t="str">
        <x:v>2025</x:v>
      </x:c>
      <x:c r="D504" s="6" t="str">
        <x:v>11</x:v>
      </x:c>
      <x:c r="E504" s="6" t="str">
        <x:v>26.144948105011288</x:v>
      </x:c>
      <x:c r="F504" s="9" t="str">
        <x:v>grid_cells_within_BIG_polygon</x:v>
      </x:c>
      <x:c r="G504" s="6" t="str">
        <x:v>41</x:v>
      </x:c>
      <x:c r="H504" s="8" t="str">
        <x:v>89.10555664000098</x:v>
      </x:c>
      <x:c r="I504" s="6" t="str">
        <x:v>11.939273176579338</x:v>
      </x:c>
      <x:c r="J504" s="6" t="str">
        <x:v>30</x:v>
      </x:c>
      <x:c r="K504" s="6" t="str">
        <x:v>358.1781952973801</x:v>
      </x:c>
      <x:c r="L504" s="6" t="str">
        <x:v>25.96829819719932</x:v>
      </x:c>
      <x:c r="M504" s="6" t="str">
        <x:v>0.2909091377365843</x:v>
      </x:c>
      <x:c r="N504" s="6" t="str">
        <x:v>88.24672053117557</x:v>
      </x:c>
      <x:c r="O504" s="6" t="str">
        <x:v>1.5194485821765606</x:v>
      </x:c>
      <x:c r="P504" s="6" t="str">
        <x:v>305.6806857511025</x:v>
      </x:c>
      <x:c r="Q504" s="6" t="str">
        <x:v>62.38606844402229</x:v>
      </x:c>
      <x:c r="R504" s="6" t="str">
        <x:v>0.1766499078119672</x:v>
      </x:c>
      <x:c r="S504" s="8" t="str">
        <x:v>0.6072339603574852</x:v>
      </x:c>
      <x:c r="T504" s="6" t="str">
        <x:v>0.8588361088254146</x:v>
      </x:c>
      <x:c r="U504" s="8" t="str">
        <x:v>0.5652288066208597</x:v>
      </x:c>
      <x:c r="V504" s="6" t="str">
        <x:v>52.49750954627763</x:v>
      </x:c>
      <x:c r="W504" s="8" t="str">
        <x:v>0.8414941164850377</x:v>
      </x:c>
      <x:c r="X504" s="6" t="str">
        <x:v>0.05922655763929559</x:v>
      </x:c>
      <x:c r="Y504" s="6" t="str">
        <x:v>0.5250740016678075</x:v>
      </x:c>
      <x:c r="Z504" s="6" t="str">
        <x:v>0.39717817322153004</x:v>
      </x:c>
      <x:c r="AA504" s="6" t="str">
        <x:v>0.7926699178879489</x:v>
      </x:c>
      <x:c r="AB504" s="6" t="str">
        <x:v>1.1832248988957557</x:v>
      </x:c>
      <x:c r="AC504" s="6" t="str">
        <x:v>0.8470412078015214</x:v>
      </x:c>
      <x:c r="AD504" s="6" t="str">
        <x:v>1.2906361056544542</x:v>
      </x:c>
      <x:c r="AE504" s="6" t="str">
        <x:v>1.4328827031365052</x:v>
      </x:c>
      <x:c r="AF504" s="6" t="str">
        <x:v>1.1883376417586653</x:v>
      </x:c>
      <x:c r="AG504" s="6" t="str">
        <x:v>0</x:v>
      </x:c>
      <x:c r="AH504" s="6" t="str">
        <x:v>0</x:v>
      </x:c>
      <x:c r="AI504" s="6" t="str">
        <x:v>2025-11</x:v>
      </x:c>
      <x:c r="AJ504" s="9" t="str">
        <x:v>NASA POWER (MERRA-2 meteorology)</x:v>
      </x:c>
      <x:c r="AK504" s="9" t="str">
        <x:v>Badan Informasi Geospasial (BIG)</x:v>
      </x:c>
      <x:c r="AL504" s="9" t="str">
        <x:v>https://power.larc.nasa.gov/docs/services/api/temporal/monthly/</x:v>
      </x:c>
      <x:c r="AM504" s="9" t="str">
        <x:v>https://geoservices.big.go.id/rbi/rest/services/BATASWILAYAH/BATAS_WILAYAH/MapServer/12</x:v>
      </x:c>
    </x:row>
    <x:row r="505" ht="18" customHeight="1">
      <x:c r="A505" s="6" t="str">
        <x:v>62</x:v>
      </x:c>
      <x:c r="B505" s="6" t="str">
        <x:v>KALIMANTAN TENGAH</x:v>
      </x:c>
      <x:c r="C505" s="6" t="str">
        <x:v>2025</x:v>
      </x:c>
      <x:c r="D505" s="6" t="str">
        <x:v>12</x:v>
      </x:c>
      <x:c r="E505" s="6" t="str">
        <x:v>25.911589509871533</x:v>
      </x:c>
      <x:c r="F505" s="9" t="str">
        <x:v>grid_cells_within_BIG_polygon</x:v>
      </x:c>
      <x:c r="G505" s="6" t="str">
        <x:v>41</x:v>
      </x:c>
      <x:c r="H505" s="8" t="str">
        <x:v>90.03998384448587</x:v>
      </x:c>
      <x:c r="I505" s="6" t="str">
        <x:v>12.378053336001164</x:v>
      </x:c>
      <x:c r="J505" s="6" t="str">
        <x:v>31</x:v>
      </x:c>
      <x:c r="K505" s="6" t="str">
        <x:v>383.71965341603607</x:v>
      </x:c>
      <x:c r="L505" s="6" t="str">
        <x:v>25.625784870442942</x:v>
      </x:c>
      <x:c r="M505" s="6" t="str">
        <x:v>0.27697970321673665</x:v>
      </x:c>
      <x:c r="N505" s="6" t="str">
        <x:v>89.99982708321937</x:v>
      </x:c>
      <x:c r="O505" s="6" t="str">
        <x:v>0.6967582841629834</x:v>
      </x:c>
      <x:c r="P505" s="6" t="str">
        <x:v>341.5817591711892</x:v>
      </x:c>
      <x:c r="Q505" s="6" t="str">
        <x:v>68.28726610804922</x:v>
      </x:c>
      <x:c r="R505" s="6" t="str">
        <x:v>0.2858046394285907</x:v>
      </x:c>
      <x:c r="S505" s="8" t="str">
        <x:v>1.031861310086496</x:v>
      </x:c>
      <x:c r="T505" s="6" t="str">
        <x:v>0.04015676126650192</x:v>
      </x:c>
      <x:c r="U505" s="8" t="str">
        <x:v>0.05763370480014068</x:v>
      </x:c>
      <x:c r="V505" s="6" t="str">
        <x:v>42.13789424484685</x:v>
      </x:c>
      <x:c r="W505" s="8" t="str">
        <x:v>0.6170681101535551</x:v>
      </x:c>
      <x:c r="X505" s="6" t="str">
        <x:v>0.6072339603574852</x:v>
      </x:c>
      <x:c r="Y505" s="6" t="str">
        <x:v>0.05922655763929559</x:v>
      </x:c>
      <x:c r="Z505" s="6" t="str">
        <x:v>0.5661072760277596</x:v>
      </x:c>
      <x:c r="AA505" s="6" t="str">
        <x:v>0.5652288066208597</x:v>
      </x:c>
      <x:c r="AB505" s="6" t="str">
        <x:v>0.7926699178879489</x:v>
      </x:c>
      <x:c r="AC505" s="6" t="str">
        <x:v>0.471844143102983</x:v>
      </x:c>
      <x:c r="AD505" s="6" t="str">
        <x:v>0.8414941164850377</x:v>
      </x:c>
      <x:c r="AE505" s="6" t="str">
        <x:v>1.2906361056544542</x:v>
      </x:c>
      <x:c r="AF505" s="6" t="str">
        <x:v>0.916399444097682</x:v>
      </x:c>
      <x:c r="AG505" s="6" t="str">
        <x:v>0</x:v>
      </x:c>
      <x:c r="AH505" s="6" t="str">
        <x:v>1</x:v>
      </x:c>
      <x:c r="AI505" s="6" t="str">
        <x:v>2025-12</x:v>
      </x:c>
      <x:c r="AJ505" s="9" t="str">
        <x:v>NASA POWER (MERRA-2 meteorology)</x:v>
      </x:c>
      <x:c r="AK505" s="9" t="str">
        <x:v>Badan Informasi Geospasial (BIG)</x:v>
      </x:c>
      <x:c r="AL505" s="9" t="str">
        <x:v>https://power.larc.nasa.gov/docs/services/api/temporal/monthly/</x:v>
      </x:c>
      <x:c r="AM505" s="9" t="str">
        <x:v>https://geoservices.big.go.id/rbi/rest/services/BATASWILAYAH/BATAS_WILAYAH/MapServer/12</x:v>
      </x:c>
    </x:row>
    <x:row r="506" ht="18" customHeight="1">
      <x:c r="A506" s="6" t="str">
        <x:v>63</x:v>
      </x:c>
      <x:c r="B506" s="6" t="str">
        <x:v>KALIMANTAN SELATAN</x:v>
      </x:c>
      <x:c r="C506" s="6" t="str">
        <x:v>2024</x:v>
      </x:c>
      <x:c r="D506" s="6" t="str">
        <x:v>1</x:v>
      </x:c>
      <x:c r="E506" s="6" t="str">
        <x:v>26.86645727784497</x:v>
      </x:c>
      <x:c r="F506" s="9" t="str">
        <x:v>grid_cells_within_BIG_polygon</x:v>
      </x:c>
      <x:c r="G506" s="6" t="str">
        <x:v>9</x:v>
      </x:c>
      <x:c r="H506" s="8" t="str">
        <x:v>87.91306446070068</x:v>
      </x:c>
      <x:c r="I506" s="6" t="str">
        <x:v>12.875476630377486</x:v>
      </x:c>
      <x:c r="J506" s="6" t="str">
        <x:v>31</x:v>
      </x:c>
      <x:c r="K506" s="6" t="str">
        <x:v>399.1397755417021</x:v>
      </x:c>
      <x:c r="L506" s="6" t="str">
        <x:v>25.939992004921937</x:v>
      </x:c>
      <x:c r="M506" s="6" t="str">
        <x:v>0.4114867523487792</x:v>
      </x:c>
      <x:c r="N506" s="6" t="str">
        <x:v>87.93840188507079</x:v>
      </x:c>
      <x:c r="O506" s="6" t="str">
        <x:v>0.9990163371521907</x:v>
      </x:c>
      <x:c r="P506" s="6" t="str">
        <x:v>305.9578843053515</x:v>
      </x:c>
      <x:c r="Q506" s="6" t="str">
        <x:v>70.12357838949082</x:v>
      </x:c>
      <x:c r="R506" s="6" t="str">
        <x:v>0.926465272923032</x:v>
      </x:c>
      <x:c r="S506" s="8" t="str">
        <x:v>2.251506926127608</x:v>
      </x:c>
      <x:c r="T506" s="6" t="str">
        <x:v>-0.025337424370107442</x:v>
      </x:c>
      <x:c r="U506" s="8" t="str">
        <x:v>-0.025362372393563294</x:v>
      </x:c>
      <x:c r="V506" s="6" t="str">
        <x:v>93.18189123635057</x:v>
      </x:c>
      <x:c r="W506" s="8" t="str">
        <x:v>1.3288239615894362</x:v>
      </x:c>
      <x:c r="X506" s="6" t="str">
        <x:v>2.8152359763579153</x:v>
      </x:c>
      <x:c r="Y506" s="6" t="str">
        <x:v>2.6744301562403208</x:v>
      </x:c>
      <x:c r="Z506" s="6" t="str">
        <x:v>2.580391019575281</x:v>
      </x:c>
      <x:c r="AA506" s="6" t="str">
        <x:v>-0.8313673304372595</x:v>
      </x:c>
      <x:c r="AB506" s="6" t="str">
        <x:v>-1.0409492651126147</x:v>
      </x:c>
      <x:c r="AC506" s="6" t="str">
        <x:v>-0.6325596559811456</x:v>
      </x:c>
      <x:c r="AD506" s="6" t="str">
        <x:v>-0.05567625626298952</x:v>
      </x:c>
      <x:c r="AE506" s="6" t="str">
        <x:v>-0.07534969276932718</x:v>
      </x:c>
      <x:c r="AF506" s="6" t="str">
        <x:v>0.39926600418570596</x:v>
      </x:c>
      <x:c r="AG506" s="6" t="str">
        <x:v>1</x:v>
      </x:c>
      <x:c r="AH506" s="6" t="str">
        <x:v>1</x:v>
      </x:c>
      <x:c r="AI506" s="6" t="str">
        <x:v>2024-01</x:v>
      </x:c>
      <x:c r="AJ506" s="9" t="str">
        <x:v>NASA POWER (MERRA-2 meteorology)</x:v>
      </x:c>
      <x:c r="AK506" s="9" t="str">
        <x:v>Badan Informasi Geospasial (BIG)</x:v>
      </x:c>
      <x:c r="AL506" s="9" t="str">
        <x:v>https://power.larc.nasa.gov/docs/services/api/temporal/monthly/</x:v>
      </x:c>
      <x:c r="AM506" s="9" t="str">
        <x:v>https://geoservices.big.go.id/rbi/rest/services/BATASWILAYAH/BATAS_WILAYAH/MapServer/12</x:v>
      </x:c>
    </x:row>
    <x:row r="507" ht="18" customHeight="1">
      <x:c r="A507" s="6" t="str">
        <x:v>63</x:v>
      </x:c>
      <x:c r="B507" s="6" t="str">
        <x:v>KALIMANTAN SELATAN</x:v>
      </x:c>
      <x:c r="C507" s="6" t="str">
        <x:v>2024</x:v>
      </x:c>
      <x:c r="D507" s="6" t="str">
        <x:v>2</x:v>
      </x:c>
      <x:c r="E507" s="6" t="str">
        <x:v>27.16092192532078</x:v>
      </x:c>
      <x:c r="F507" s="9" t="str">
        <x:v>grid_cells_within_BIG_polygon</x:v>
      </x:c>
      <x:c r="G507" s="6" t="str">
        <x:v>9</x:v>
      </x:c>
      <x:c r="H507" s="8" t="str">
        <x:v>86.78299535759702</x:v>
      </x:c>
      <x:c r="I507" s="6" t="str">
        <x:v>10.181864367834363</x:v>
      </x:c>
      <x:c r="J507" s="6" t="str">
        <x:v>29</x:v>
      </x:c>
      <x:c r="K507" s="6" t="str">
        <x:v>295.2740666671965</x:v>
      </x:c>
      <x:c r="L507" s="6" t="str">
        <x:v>26.02387240468728</x:v>
      </x:c>
      <x:c r="M507" s="6" t="str">
        <x:v>0.40165864637526744</x:v>
      </x:c>
      <x:c r="N507" s="6" t="str">
        <x:v>87.66795500115511</x:v>
      </x:c>
      <x:c r="O507" s="6" t="str">
        <x:v>1.0873615408127182</x:v>
      </x:c>
      <x:c r="P507" s="6" t="str">
        <x:v>274.4721510790753</x:v>
      </x:c>
      <x:c r="Q507" s="6" t="str">
        <x:v>88.55250843518172</x:v>
      </x:c>
      <x:c r="R507" s="6" t="str">
        <x:v>1.1370495206335</x:v>
      </x:c>
      <x:c r="S507" s="8" t="str">
        <x:v>2.830885207861705</x:v>
      </x:c>
      <x:c r="T507" s="6" t="str">
        <x:v>-0.8849596435580906</x:v>
      </x:c>
      <x:c r="U507" s="8" t="str">
        <x:v>-0.8138596137000138</x:v>
      </x:c>
      <x:c r="V507" s="6" t="str">
        <x:v>20.801915588121233</x:v>
      </x:c>
      <x:c r="W507" s="8" t="str">
        <x:v>0.2349105175642509</x:v>
      </x:c>
      <x:c r="X507" s="6" t="str">
        <x:v>2.251506926127608</x:v>
      </x:c>
      <x:c r="Y507" s="6" t="str">
        <x:v>2.8152359763579153</x:v>
      </x:c>
      <x:c r="Z507" s="6" t="str">
        <x:v>2.632542703449076</x:v>
      </x:c>
      <x:c r="AA507" s="6" t="str">
        <x:v>-0.025362372393563294</x:v>
      </x:c>
      <x:c r="AB507" s="6" t="str">
        <x:v>-0.8313673304372595</x:v>
      </x:c>
      <x:c r="AC507" s="6" t="str">
        <x:v>-0.5568631055102786</x:v>
      </x:c>
      <x:c r="AD507" s="6" t="str">
        <x:v>1.3288239615894362</x:v>
      </x:c>
      <x:c r="AE507" s="6" t="str">
        <x:v>-0.05567625626298952</x:v>
      </x:c>
      <x:c r="AF507" s="6" t="str">
        <x:v>0.5026860742968987</x:v>
      </x:c>
      <x:c r="AG507" s="6" t="str">
        <x:v>0</x:v>
      </x:c>
      <x:c r="AH507" s="6" t="str">
        <x:v>1</x:v>
      </x:c>
      <x:c r="AI507" s="6" t="str">
        <x:v>2024-02</x:v>
      </x:c>
      <x:c r="AJ507" s="9" t="str">
        <x:v>NASA POWER (MERRA-2 meteorology)</x:v>
      </x:c>
      <x:c r="AK507" s="9" t="str">
        <x:v>Badan Informasi Geospasial (BIG)</x:v>
      </x:c>
      <x:c r="AL507" s="9" t="str">
        <x:v>https://power.larc.nasa.gov/docs/services/api/temporal/monthly/</x:v>
      </x:c>
      <x:c r="AM507" s="9" t="str">
        <x:v>https://geoservices.big.go.id/rbi/rest/services/BATASWILAYAH/BATAS_WILAYAH/MapServer/12</x:v>
      </x:c>
    </x:row>
    <x:row r="508" ht="18" customHeight="1">
      <x:c r="A508" s="6" t="str">
        <x:v>63</x:v>
      </x:c>
      <x:c r="B508" s="6" t="str">
        <x:v>KALIMANTAN SELATAN</x:v>
      </x:c>
      <x:c r="C508" s="6" t="str">
        <x:v>2024</x:v>
      </x:c>
      <x:c r="D508" s="6" t="str">
        <x:v>3</x:v>
      </x:c>
      <x:c r="E508" s="6" t="str">
        <x:v>27.304218769258902</x:v>
      </x:c>
      <x:c r="F508" s="9" t="str">
        <x:v>grid_cells_within_BIG_polygon</x:v>
      </x:c>
      <x:c r="G508" s="6" t="str">
        <x:v>9</x:v>
      </x:c>
      <x:c r="H508" s="8" t="str">
        <x:v>87.4709878988701</x:v>
      </x:c>
      <x:c r="I508" s="6" t="str">
        <x:v>9.619864014796114</x:v>
      </x:c>
      <x:c r="J508" s="6" t="str">
        <x:v>31</x:v>
      </x:c>
      <x:c r="K508" s="6" t="str">
        <x:v>298.21578445867954</x:v>
      </x:c>
      <x:c r="L508" s="6" t="str">
        <x:v>26.277998645406193</x:v>
      </x:c>
      <x:c r="M508" s="6" t="str">
        <x:v>0.38047196142148876</x:v>
      </x:c>
      <x:c r="N508" s="6" t="str">
        <x:v>87.25951876896245</x:v>
      </x:c>
      <x:c r="O508" s="6" t="str">
        <x:v>1.0145256296493854</x:v>
      </x:c>
      <x:c r="P508" s="6" t="str">
        <x:v>288.1960390680695</x:v>
      </x:c>
      <x:c r="Q508" s="6" t="str">
        <x:v>99.40014893282448</x:v>
      </x:c>
      <x:c r="R508" s="6" t="str">
        <x:v>1.0262201238527098</x:v>
      </x:c>
      <x:c r="S508" s="8" t="str">
        <x:v>2.6972293044108393</x:v>
      </x:c>
      <x:c r="T508" s="6" t="str">
        <x:v>0.21146912990765543</x:v>
      </x:c>
      <x:c r="U508" s="8" t="str">
        <x:v>0.2084413875090943</x:v>
      </x:c>
      <x:c r="V508" s="6" t="str">
        <x:v>10.019745390610012</x:v>
      </x:c>
      <x:c r="W508" s="8" t="str">
        <x:v>0.10080211647752607</x:v>
      </x:c>
      <x:c r="X508" s="6" t="str">
        <x:v>2.830885207861705</x:v>
      </x:c>
      <x:c r="Y508" s="6" t="str">
        <x:v>2.251506926127608</x:v>
      </x:c>
      <x:c r="Z508" s="6" t="str">
        <x:v>2.593207146133384</x:v>
      </x:c>
      <x:c r="AA508" s="6" t="str">
        <x:v>-0.8138596137000138</x:v>
      </x:c>
      <x:c r="AB508" s="6" t="str">
        <x:v>-0.025362372393563294</x:v>
      </x:c>
      <x:c r="AC508" s="6" t="str">
        <x:v>-0.21026019952816064</x:v>
      </x:c>
      <x:c r="AD508" s="6" t="str">
        <x:v>0.2349105175642509</x:v>
      </x:c>
      <x:c r="AE508" s="6" t="str">
        <x:v>1.3288239615894362</x:v>
      </x:c>
      <x:c r="AF508" s="6" t="str">
        <x:v>0.5548455318770705</x:v>
      </x:c>
      <x:c r="AG508" s="6" t="str">
        <x:v>0</x:v>
      </x:c>
      <x:c r="AH508" s="6" t="str">
        <x:v>1</x:v>
      </x:c>
      <x:c r="AI508" s="6" t="str">
        <x:v>2024-03</x:v>
      </x:c>
      <x:c r="AJ508" s="9" t="str">
        <x:v>NASA POWER (MERRA-2 meteorology)</x:v>
      </x:c>
      <x:c r="AK508" s="9" t="str">
        <x:v>Badan Informasi Geospasial (BIG)</x:v>
      </x:c>
      <x:c r="AL508" s="9" t="str">
        <x:v>https://power.larc.nasa.gov/docs/services/api/temporal/monthly/</x:v>
      </x:c>
      <x:c r="AM508" s="9" t="str">
        <x:v>https://geoservices.big.go.id/rbi/rest/services/BATASWILAYAH/BATAS_WILAYAH/MapServer/12</x:v>
      </x:c>
    </x:row>
    <x:row r="509" ht="18" customHeight="1">
      <x:c r="A509" s="6" t="str">
        <x:v>63</x:v>
      </x:c>
      <x:c r="B509" s="6" t="str">
        <x:v>KALIMANTAN SELATAN</x:v>
      </x:c>
      <x:c r="C509" s="6" t="str">
        <x:v>2024</x:v>
      </x:c>
      <x:c r="D509" s="6" t="str">
        <x:v>4</x:v>
      </x:c>
      <x:c r="E509" s="6" t="str">
        <x:v>27.73754758401853</x:v>
      </x:c>
      <x:c r="F509" s="9" t="str">
        <x:v>grid_cells_within_BIG_polygon</x:v>
      </x:c>
      <x:c r="G509" s="6" t="str">
        <x:v>9</x:v>
      </x:c>
      <x:c r="H509" s="8" t="str">
        <x:v>86.86990972057708</x:v>
      </x:c>
      <x:c r="I509" s="6" t="str">
        <x:v>5.621419395780206</x:v>
      </x:c>
      <x:c r="J509" s="6" t="str">
        <x:v>30</x:v>
      </x:c>
      <x:c r="K509" s="6" t="str">
        <x:v>168.6425818734062</x:v>
      </x:c>
      <x:c r="L509" s="6" t="str">
        <x:v>26.52757602404599</x:v>
      </x:c>
      <x:c r="M509" s="6" t="str">
        <x:v>0.3127809646373309</x:v>
      </x:c>
      <x:c r="N509" s="6" t="str">
        <x:v>87.2006908598992</x:v>
      </x:c>
      <x:c r="O509" s="6" t="str">
        <x:v>0.7580688524067073</x:v>
      </x:c>
      <x:c r="P509" s="6" t="str">
        <x:v>227.51242363223773</x:v>
      </x:c>
      <x:c r="Q509" s="6" t="str">
        <x:v>52.69303005563251</x:v>
      </x:c>
      <x:c r="R509" s="6" t="str">
        <x:v>1.2099715599725371</x:v>
      </x:c>
      <x:c r="S509" s="8" t="str">
        <x:v>3.868430936567695</x:v>
      </x:c>
      <x:c r="T509" s="6" t="str">
        <x:v>-0.33078113932211295</x:v>
      </x:c>
      <x:c r="U509" s="8" t="str">
        <x:v>-0.4363470920510099</x:v>
      </x:c>
      <x:c r="V509" s="6" t="str">
        <x:v>-58.86984175883154</x:v>
      </x:c>
      <x:c r="W509" s="8" t="str">
        <x:v>-1.1172225566963532</x:v>
      </x:c>
      <x:c r="X509" s="6" t="str">
        <x:v>2.6972293044108393</x:v>
      </x:c>
      <x:c r="Y509" s="6" t="str">
        <x:v>2.830885207861705</x:v>
      </x:c>
      <x:c r="Z509" s="6" t="str">
        <x:v>3.1321818162800796</x:v>
      </x:c>
      <x:c r="AA509" s="6" t="str">
        <x:v>0.2084413875090943</x:v>
      </x:c>
      <x:c r="AB509" s="6" t="str">
        <x:v>-0.8138596137000138</x:v>
      </x:c>
      <x:c r="AC509" s="6" t="str">
        <x:v>-0.34725510608064286</x:v>
      </x:c>
      <x:c r="AD509" s="6" t="str">
        <x:v>0.10080211647752607</x:v>
      </x:c>
      <x:c r="AE509" s="6" t="str">
        <x:v>0.2349105175642509</x:v>
      </x:c>
      <x:c r="AF509" s="6" t="str">
        <x:v>-0.2605033075515259</x:v>
      </x:c>
      <x:c r="AG509" s="6" t="str">
        <x:v>0</x:v>
      </x:c>
      <x:c r="AH509" s="6" t="str">
        <x:v>1</x:v>
      </x:c>
      <x:c r="AI509" s="6" t="str">
        <x:v>2024-04</x:v>
      </x:c>
      <x:c r="AJ509" s="9" t="str">
        <x:v>NASA POWER (MERRA-2 meteorology)</x:v>
      </x:c>
      <x:c r="AK509" s="9" t="str">
        <x:v>Badan Informasi Geospasial (BIG)</x:v>
      </x:c>
      <x:c r="AL509" s="9" t="str">
        <x:v>https://power.larc.nasa.gov/docs/services/api/temporal/monthly/</x:v>
      </x:c>
      <x:c r="AM509" s="9" t="str">
        <x:v>https://geoservices.big.go.id/rbi/rest/services/BATASWILAYAH/BATAS_WILAYAH/MapServer/12</x:v>
      </x:c>
    </x:row>
    <x:row r="510" ht="18" customHeight="1">
      <x:c r="A510" s="6" t="str">
        <x:v>63</x:v>
      </x:c>
      <x:c r="B510" s="6" t="str">
        <x:v>KALIMANTAN SELATAN</x:v>
      </x:c>
      <x:c r="C510" s="6" t="str">
        <x:v>2024</x:v>
      </x:c>
      <x:c r="D510" s="6" t="str">
        <x:v>5</x:v>
      </x:c>
      <x:c r="E510" s="6" t="str">
        <x:v>27.422009272528303</x:v>
      </x:c>
      <x:c r="F510" s="9" t="str">
        <x:v>grid_cells_within_BIG_polygon</x:v>
      </x:c>
      <x:c r="G510" s="6" t="str">
        <x:v>9</x:v>
      </x:c>
      <x:c r="H510" s="8" t="str">
        <x:v>89.07649912182035</x:v>
      </x:c>
      <x:c r="I510" s="6" t="str">
        <x:v>6.503864967629359</x:v>
      </x:c>
      <x:c r="J510" s="6" t="str">
        <x:v>31</x:v>
      </x:c>
      <x:c r="K510" s="6" t="str">
        <x:v>201.61981399651012</x:v>
      </x:c>
      <x:c r="L510" s="6" t="str">
        <x:v>26.43251860701195</x:v>
      </x:c>
      <x:c r="M510" s="6" t="str">
        <x:v>0.38045685492112696</x:v>
      </x:c>
      <x:c r="N510" s="6" t="str">
        <x:v>87.70120658191483</x:v>
      </x:c>
      <x:c r="O510" s="6" t="str">
        <x:v>0.8766895816972831</x:v>
      </x:c>
      <x:c r="P510" s="6" t="str">
        <x:v>199.59273792409348</x:v>
      </x:c>
      <x:c r="Q510" s="6" t="str">
        <x:v>56.33946994772556</x:v>
      </x:c>
      <x:c r="R510" s="6" t="str">
        <x:v>0.9894906655163531</x:v>
      </x:c>
      <x:c r="S510" s="8" t="str">
        <x:v>2.6007959975421806</x:v>
      </x:c>
      <x:c r="T510" s="6" t="str">
        <x:v>1.3752925399055158</x:v>
      </x:c>
      <x:c r="U510" s="8" t="str">
        <x:v>1.568733755502068</x:v>
      </x:c>
      <x:c r="V510" s="6" t="str">
        <x:v>2.0270760724166337</x:v>
      </x:c>
      <x:c r="W510" s="8" t="str">
        <x:v>0.03597967950883193</x:v>
      </x:c>
      <x:c r="X510" s="6" t="str">
        <x:v>3.868430936567695</x:v>
      </x:c>
      <x:c r="Y510" s="6" t="str">
        <x:v>2.6972293044108393</x:v>
      </x:c>
      <x:c r="Z510" s="6" t="str">
        <x:v>3.055485412840239</x:v>
      </x:c>
      <x:c r="AA510" s="6" t="str">
        <x:v>-0.4363470920510099</x:v>
      </x:c>
      <x:c r="AB510" s="6" t="str">
        <x:v>0.2084413875090943</x:v>
      </x:c>
      <x:c r="AC510" s="6" t="str">
        <x:v>0.44694268365338435</x:v>
      </x:c>
      <x:c r="AD510" s="6" t="str">
        <x:v>-1.1172225566963532</x:v>
      </x:c>
      <x:c r="AE510" s="6" t="str">
        <x:v>0.10080211647752607</x:v>
      </x:c>
      <x:c r="AF510" s="6" t="str">
        <x:v>-0.32681358690333223</x:v>
      </x:c>
      <x:c r="AG510" s="6" t="str">
        <x:v>0</x:v>
      </x:c>
      <x:c r="AH510" s="6" t="str">
        <x:v>1</x:v>
      </x:c>
      <x:c r="AI510" s="6" t="str">
        <x:v>2024-05</x:v>
      </x:c>
      <x:c r="AJ510" s="9" t="str">
        <x:v>NASA POWER (MERRA-2 meteorology)</x:v>
      </x:c>
      <x:c r="AK510" s="9" t="str">
        <x:v>Badan Informasi Geospasial (BIG)</x:v>
      </x:c>
      <x:c r="AL510" s="9" t="str">
        <x:v>https://power.larc.nasa.gov/docs/services/api/temporal/monthly/</x:v>
      </x:c>
      <x:c r="AM510" s="9" t="str">
        <x:v>https://geoservices.big.go.id/rbi/rest/services/BATASWILAYAH/BATAS_WILAYAH/MapServer/12</x:v>
      </x:c>
    </x:row>
    <x:row r="511" ht="18" customHeight="1">
      <x:c r="A511" s="6" t="str">
        <x:v>63</x:v>
      </x:c>
      <x:c r="B511" s="6" t="str">
        <x:v>KALIMANTAN SELATAN</x:v>
      </x:c>
      <x:c r="C511" s="6" t="str">
        <x:v>2024</x:v>
      </x:c>
      <x:c r="D511" s="6" t="str">
        <x:v>6</x:v>
      </x:c>
      <x:c r="E511" s="6" t="str">
        <x:v>26.49753568756886</x:v>
      </x:c>
      <x:c r="F511" s="9" t="str">
        <x:v>grid_cells_within_BIG_polygon</x:v>
      </x:c>
      <x:c r="G511" s="6" t="str">
        <x:v>9</x:v>
      </x:c>
      <x:c r="H511" s="8" t="str">
        <x:v>89.22086585374329</x:v>
      </x:c>
      <x:c r="I511" s="6" t="str">
        <x:v>8.768823609392268</x:v>
      </x:c>
      <x:c r="J511" s="6" t="str">
        <x:v>30</x:v>
      </x:c>
      <x:c r="K511" s="6" t="str">
        <x:v>263.06470828176805</x:v>
      </x:c>
      <x:c r="L511" s="6" t="str">
        <x:v>25.81458732370124</x:v>
      </x:c>
      <x:c r="M511" s="6" t="str">
        <x:v>0.3427747366364532</x:v>
      </x:c>
      <x:c r="N511" s="6" t="str">
        <x:v>88.24891851205538</x:v>
      </x:c>
      <x:c r="O511" s="6" t="str">
        <x:v>1.6849995100476698</x:v>
      </x:c>
      <x:c r="P511" s="6" t="str">
        <x:v>185.75753397554516</x:v>
      </x:c>
      <x:c r="Q511" s="6" t="str">
        <x:v>83.90129232181303</x:v>
      </x:c>
      <x:c r="R511" s="6" t="str">
        <x:v>0.6829483638676201</x:v>
      </x:c>
      <x:c r="S511" s="8" t="str">
        <x:v>1.9924116070197875</x:v>
      </x:c>
      <x:c r="T511" s="6" t="str">
        <x:v>0.9719473416879083</x:v>
      </x:c>
      <x:c r="U511" s="8" t="str">
        <x:v>0.5768235159073792</x:v>
      </x:c>
      <x:c r="V511" s="6" t="str">
        <x:v>77.30717430622289</x:v>
      </x:c>
      <x:c r="W511" s="8" t="str">
        <x:v>0.9214062402007154</x:v>
      </x:c>
      <x:c r="X511" s="6" t="str">
        <x:v>2.6007959975421806</x:v>
      </x:c>
      <x:c r="Y511" s="6" t="str">
        <x:v>3.868430936567695</x:v>
      </x:c>
      <x:c r="Z511" s="6" t="str">
        <x:v>2.8205461803765544</x:v>
      </x:c>
      <x:c r="AA511" s="6" t="str">
        <x:v>1.568733755502068</x:v>
      </x:c>
      <x:c r="AB511" s="6" t="str">
        <x:v>-0.4363470920510099</x:v>
      </x:c>
      <x:c r="AC511" s="6" t="str">
        <x:v>0.5697367264528127</x:v>
      </x:c>
      <x:c r="AD511" s="6" t="str">
        <x:v>0.03597967950883193</x:v>
      </x:c>
      <x:c r="AE511" s="6" t="str">
        <x:v>-1.1172225566963532</x:v>
      </x:c>
      <x:c r="AF511" s="6" t="str">
        <x:v>-0.05327887899560243</x:v>
      </x:c>
      <x:c r="AG511" s="6" t="str">
        <x:v>0</x:v>
      </x:c>
      <x:c r="AH511" s="6" t="str">
        <x:v>1</x:v>
      </x:c>
      <x:c r="AI511" s="6" t="str">
        <x:v>2024-06</x:v>
      </x:c>
      <x:c r="AJ511" s="9" t="str">
        <x:v>NASA POWER (MERRA-2 meteorology)</x:v>
      </x:c>
      <x:c r="AK511" s="9" t="str">
        <x:v>Badan Informasi Geospasial (BIG)</x:v>
      </x:c>
      <x:c r="AL511" s="9" t="str">
        <x:v>https://power.larc.nasa.gov/docs/services/api/temporal/monthly/</x:v>
      </x:c>
      <x:c r="AM511" s="9" t="str">
        <x:v>https://geoservices.big.go.id/rbi/rest/services/BATASWILAYAH/BATAS_WILAYAH/MapServer/12</x:v>
      </x:c>
    </x:row>
    <x:row r="512" ht="18" customHeight="1">
      <x:c r="A512" s="6" t="str">
        <x:v>63</x:v>
      </x:c>
      <x:c r="B512" s="6" t="str">
        <x:v>KALIMANTAN SELATAN</x:v>
      </x:c>
      <x:c r="C512" s="6" t="str">
        <x:v>2024</x:v>
      </x:c>
      <x:c r="D512" s="6" t="str">
        <x:v>7</x:v>
      </x:c>
      <x:c r="E512" s="6" t="str">
        <x:v>26.219841404722864</x:v>
      </x:c>
      <x:c r="F512" s="9" t="str">
        <x:v>grid_cells_within_BIG_polygon</x:v>
      </x:c>
      <x:c r="G512" s="6" t="str">
        <x:v>9</x:v>
      </x:c>
      <x:c r="H512" s="8" t="str">
        <x:v>87.57532944241473</x:v>
      </x:c>
      <x:c r="I512" s="6" t="str">
        <x:v>3.70568724992102</x:v>
      </x:c>
      <x:c r="J512" s="6" t="str">
        <x:v>31</x:v>
      </x:c>
      <x:c r="K512" s="6" t="str">
        <x:v>114.87630474755161</x:v>
      </x:c>
      <x:c r="L512" s="6" t="str">
        <x:v>25.32871122105454</x:v>
      </x:c>
      <x:c r="M512" s="6" t="str">
        <x:v>0.35837969471081005</x:v>
      </x:c>
      <x:c r="N512" s="6" t="str">
        <x:v>87.0885618083583</x:v>
      </x:c>
      <x:c r="O512" s="6" t="str">
        <x:v>2.030172576120781</x:v>
      </x:c>
      <x:c r="P512" s="6" t="str">
        <x:v>153.70044998028152</x:v>
      </x:c>
      <x:c r="Q512" s="6" t="str">
        <x:v>107.30981738126864</x:v>
      </x:c>
      <x:c r="R512" s="6" t="str">
        <x:v>0.8911301836683236</x:v>
      </x:c>
      <x:c r="S512" s="8" t="str">
        <x:v>2.4865532194490254</x:v>
      </x:c>
      <x:c r="T512" s="6" t="str">
        <x:v>0.4867676340564202</x:v>
      </x:c>
      <x:c r="U512" s="8" t="str">
        <x:v>0.23976662860185385</x:v>
      </x:c>
      <x:c r="V512" s="6" t="str">
        <x:v>-38.824145232729904</x:v>
      </x:c>
      <x:c r="W512" s="8" t="str">
        <x:v>-0.3617949054445676</x:v>
      </x:c>
      <x:c r="X512" s="6" t="str">
        <x:v>1.9924116070197875</x:v>
      </x:c>
      <x:c r="Y512" s="6" t="str">
        <x:v>2.6007959975421806</x:v>
      </x:c>
      <x:c r="Z512" s="6" t="str">
        <x:v>2.359920274670331</x:v>
      </x:c>
      <x:c r="AA512" s="6" t="str">
        <x:v>0.5768235159073792</x:v>
      </x:c>
      <x:c r="AB512" s="6" t="str">
        <x:v>1.568733755502068</x:v>
      </x:c>
      <x:c r="AC512" s="6" t="str">
        <x:v>0.795107966670434</x:v>
      </x:c>
      <x:c r="AD512" s="6" t="str">
        <x:v>0.9214062402007154</x:v>
      </x:c>
      <x:c r="AE512" s="6" t="str">
        <x:v>0.03597967950883193</x:v>
      </x:c>
      <x:c r="AF512" s="6" t="str">
        <x:v>0.1985303380883261</x:v>
      </x:c>
      <x:c r="AG512" s="6" t="str">
        <x:v>0</x:v>
      </x:c>
      <x:c r="AH512" s="6" t="str">
        <x:v>1</x:v>
      </x:c>
      <x:c r="AI512" s="6" t="str">
        <x:v>2024-07</x:v>
      </x:c>
      <x:c r="AJ512" s="9" t="str">
        <x:v>NASA POWER (MERRA-2 meteorology)</x:v>
      </x:c>
      <x:c r="AK512" s="9" t="str">
        <x:v>Badan Informasi Geospasial (BIG)</x:v>
      </x:c>
      <x:c r="AL512" s="9" t="str">
        <x:v>https://power.larc.nasa.gov/docs/services/api/temporal/monthly/</x:v>
      </x:c>
      <x:c r="AM512" s="9" t="str">
        <x:v>https://geoservices.big.go.id/rbi/rest/services/BATASWILAYAH/BATAS_WILAYAH/MapServer/12</x:v>
      </x:c>
    </x:row>
    <x:row r="513" ht="18" customHeight="1">
      <x:c r="A513" s="6" t="str">
        <x:v>63</x:v>
      </x:c>
      <x:c r="B513" s="6" t="str">
        <x:v>KALIMANTAN SELATAN</x:v>
      </x:c>
      <x:c r="C513" s="6" t="str">
        <x:v>2024</x:v>
      </x:c>
      <x:c r="D513" s="6" t="str">
        <x:v>8</x:v>
      </x:c>
      <x:c r="E513" s="6" t="str">
        <x:v>26.183139390660944</x:v>
      </x:c>
      <x:c r="F513" s="9" t="str">
        <x:v>grid_cells_within_BIG_polygon</x:v>
      </x:c>
      <x:c r="G513" s="6" t="str">
        <x:v>9</x:v>
      </x:c>
      <x:c r="H513" s="8" t="str">
        <x:v>86.97783035497531</x:v>
      </x:c>
      <x:c r="I513" s="6" t="str">
        <x:v>5.856213647888799</x:v>
      </x:c>
      <x:c r="J513" s="6" t="str">
        <x:v>31</x:v>
      </x:c>
      <x:c r="K513" s="6" t="str">
        <x:v>181.54262308455276</x:v>
      </x:c>
      <x:c r="L513" s="6" t="str">
        <x:v>25.489021158263743</x:v>
      </x:c>
      <x:c r="M513" s="6" t="str">
        <x:v>0.38282664046389664</x:v>
      </x:c>
      <x:c r="N513" s="6" t="str">
        <x:v>84.18787148573524</x:v>
      </x:c>
      <x:c r="O513" s="6" t="str">
        <x:v>3.1178973711753373</x:v>
      </x:c>
      <x:c r="P513" s="6" t="str">
        <x:v>102.72116029413077</x:v>
      </x:c>
      <x:c r="Q513" s="6" t="str">
        <x:v>86.9298771245991</x:v>
      </x:c>
      <x:c r="R513" s="6" t="str">
        <x:v>0.6941182323972015</x:v>
      </x:c>
      <x:c r="S513" s="8" t="str">
        <x:v>1.8131398367576823</x:v>
      </x:c>
      <x:c r="T513" s="6" t="str">
        <x:v>2.789958869240067</x:v>
      </x:c>
      <x:c r="U513" s="8" t="str">
        <x:v>0.8948206233575773</x:v>
      </x:c>
      <x:c r="V513" s="6" t="str">
        <x:v>78.82146279042199</x:v>
      </x:c>
      <x:c r="W513" s="8" t="str">
        <x:v>0.9067246543722236</x:v>
      </x:c>
      <x:c r="X513" s="6" t="str">
        <x:v>2.4865532194490254</x:v>
      </x:c>
      <x:c r="Y513" s="6" t="str">
        <x:v>1.9924116070197875</x:v>
      </x:c>
      <x:c r="Z513" s="6" t="str">
        <x:v>2.0973682210754983</x:v>
      </x:c>
      <x:c r="AA513" s="6" t="str">
        <x:v>0.23976662860185385</x:v>
      </x:c>
      <x:c r="AB513" s="6" t="str">
        <x:v>0.5768235159073792</x:v>
      </x:c>
      <x:c r="AC513" s="6" t="str">
        <x:v>0.5704702559556037</x:v>
      </x:c>
      <x:c r="AD513" s="6" t="str">
        <x:v>-0.3617949054445676</x:v>
      </x:c>
      <x:c r="AE513" s="6" t="str">
        <x:v>0.9214062402007154</x:v>
      </x:c>
      <x:c r="AF513" s="6" t="str">
        <x:v>0.48877866304278994</x:v>
      </x:c>
      <x:c r="AG513" s="6" t="str">
        <x:v>0</x:v>
      </x:c>
      <x:c r="AH513" s="6" t="str">
        <x:v>1</x:v>
      </x:c>
      <x:c r="AI513" s="6" t="str">
        <x:v>2024-08</x:v>
      </x:c>
      <x:c r="AJ513" s="9" t="str">
        <x:v>NASA POWER (MERRA-2 meteorology)</x:v>
      </x:c>
      <x:c r="AK513" s="9" t="str">
        <x:v>Badan Informasi Geospasial (BIG)</x:v>
      </x:c>
      <x:c r="AL513" s="9" t="str">
        <x:v>https://power.larc.nasa.gov/docs/services/api/temporal/monthly/</x:v>
      </x:c>
      <x:c r="AM513" s="9" t="str">
        <x:v>https://geoservices.big.go.id/rbi/rest/services/BATASWILAYAH/BATAS_WILAYAH/MapServer/12</x:v>
      </x:c>
    </x:row>
    <x:row r="514" ht="18" customHeight="1">
      <x:c r="A514" s="6" t="str">
        <x:v>63</x:v>
      </x:c>
      <x:c r="B514" s="6" t="str">
        <x:v>KALIMANTAN SELATAN</x:v>
      </x:c>
      <x:c r="C514" s="6" t="str">
        <x:v>2024</x:v>
      </x:c>
      <x:c r="D514" s="6" t="str">
        <x:v>9</x:v>
      </x:c>
      <x:c r="E514" s="6" t="str">
        <x:v>26.765341942122383</x:v>
      </x:c>
      <x:c r="F514" s="9" t="str">
        <x:v>grid_cells_within_BIG_polygon</x:v>
      </x:c>
      <x:c r="G514" s="6" t="str">
        <x:v>9</x:v>
      </x:c>
      <x:c r="H514" s="8" t="str">
        <x:v>83.97321435476063</x:v>
      </x:c>
      <x:c r="I514" s="6" t="str">
        <x:v>2.5547789025826693</x:v>
      </x:c>
      <x:c r="J514" s="6" t="str">
        <x:v>30</x:v>
      </x:c>
      <x:c r="K514" s="6" t="str">
        <x:v>76.64336707748008</x:v>
      </x:c>
      <x:c r="L514" s="6" t="str">
        <x:v>26.023795897663717</x:v>
      </x:c>
      <x:c r="M514" s="6" t="str">
        <x:v>0.3970462173406118</x:v>
      </x:c>
      <x:c r="N514" s="6" t="str">
        <x:v>82.13490563527915</x:v>
      </x:c>
      <x:c r="O514" s="6" t="str">
        <x:v>4.041327842852229</x:v>
      </x:c>
      <x:c r="P514" s="6" t="str">
        <x:v>101.97600576619199</x:v>
      </x:c>
      <x:c r="Q514" s="6" t="str">
        <x:v>78.34947039576747</x:v>
      </x:c>
      <x:c r="R514" s="6" t="str">
        <x:v>0.7415460444586657</x:v>
      </x:c>
      <x:c r="S514" s="8" t="str">
        <x:v>1.867656741387665</x:v>
      </x:c>
      <x:c r="T514" s="6" t="str">
        <x:v>1.838308719481475</x:v>
      </x:c>
      <x:c r="U514" s="8" t="str">
        <x:v>0.45487740439886226</x:v>
      </x:c>
      <x:c r="V514" s="6" t="str">
        <x:v>-25.33263868871191</x:v>
      </x:c>
      <x:c r="W514" s="8" t="str">
        <x:v>-0.3233287801531893</x:v>
      </x:c>
      <x:c r="X514" s="6" t="str">
        <x:v>1.8131398367576823</x:v>
      </x:c>
      <x:c r="Y514" s="6" t="str">
        <x:v>2.4865532194490254</x:v>
      </x:c>
      <x:c r="Z514" s="6" t="str">
        <x:v>2.055783265864791</x:v>
      </x:c>
      <x:c r="AA514" s="6" t="str">
        <x:v>0.8948206233575773</x:v>
      </x:c>
      <x:c r="AB514" s="6" t="str">
        <x:v>0.23976662860185385</x:v>
      </x:c>
      <x:c r="AC514" s="6" t="str">
        <x:v>0.5298215521194315</x:v>
      </x:c>
      <x:c r="AD514" s="6" t="str">
        <x:v>0.9067246543722236</x:v>
      </x:c>
      <x:c r="AE514" s="6" t="str">
        <x:v>-0.3617949054445676</x:v>
      </x:c>
      <x:c r="AF514" s="6" t="str">
        <x:v>0.07386698959148842</x:v>
      </x:c>
      <x:c r="AG514" s="6" t="str">
        <x:v>0</x:v>
      </x:c>
      <x:c r="AH514" s="6" t="str">
        <x:v>1</x:v>
      </x:c>
      <x:c r="AI514" s="6" t="str">
        <x:v>2024-09</x:v>
      </x:c>
      <x:c r="AJ514" s="9" t="str">
        <x:v>NASA POWER (MERRA-2 meteorology)</x:v>
      </x:c>
      <x:c r="AK514" s="9" t="str">
        <x:v>Badan Informasi Geospasial (BIG)</x:v>
      </x:c>
      <x:c r="AL514" s="9" t="str">
        <x:v>https://power.larc.nasa.gov/docs/services/api/temporal/monthly/</x:v>
      </x:c>
      <x:c r="AM514" s="9" t="str">
        <x:v>https://geoservices.big.go.id/rbi/rest/services/BATASWILAYAH/BATAS_WILAYAH/MapServer/12</x:v>
      </x:c>
    </x:row>
    <x:row r="515" ht="18" customHeight="1">
      <x:c r="A515" s="6" t="str">
        <x:v>63</x:v>
      </x:c>
      <x:c r="B515" s="6" t="str">
        <x:v>KALIMANTAN SELATAN</x:v>
      </x:c>
      <x:c r="C515" s="6" t="str">
        <x:v>2024</x:v>
      </x:c>
      <x:c r="D515" s="6" t="str">
        <x:v>10</x:v>
      </x:c>
      <x:c r="E515" s="6" t="str">
        <x:v>27.261946128584857</x:v>
      </x:c>
      <x:c r="F515" s="9" t="str">
        <x:v>grid_cells_within_BIG_polygon</x:v>
      </x:c>
      <x:c r="G515" s="6" t="str">
        <x:v>9</x:v>
      </x:c>
      <x:c r="H515" s="8" t="str">
        <x:v>83.65575053647056</x:v>
      </x:c>
      <x:c r="I515" s="6" t="str">
        <x:v>3.829088670569958</x:v>
      </x:c>
      <x:c r="J515" s="6" t="str">
        <x:v>31</x:v>
      </x:c>
      <x:c r="K515" s="6" t="str">
        <x:v>118.70174878766869</x:v>
      </x:c>
      <x:c r="L515" s="6" t="str">
        <x:v>26.69896395752406</x:v>
      </x:c>
      <x:c r="M515" s="6" t="str">
        <x:v>0.42041058586144275</x:v>
      </x:c>
      <x:c r="N515" s="6" t="str">
        <x:v>81.4416033171827</x:v>
      </x:c>
      <x:c r="O515" s="6" t="str">
        <x:v>4.944544458239323</x:v>
      </x:c>
      <x:c r="P515" s="6" t="str">
        <x:v>137.16348756836814</x:v>
      </x:c>
      <x:c r="Q515" s="6" t="str">
        <x:v>88.05172128275755</x:v>
      </x:c>
      <x:c r="R515" s="6" t="str">
        <x:v>0.5629821710607956</x:v>
      </x:c>
      <x:c r="S515" s="8" t="str">
        <x:v>1.3391246319528716</x:v>
      </x:c>
      <x:c r="T515" s="6" t="str">
        <x:v>2.2141472192878666</x:v>
      </x:c>
      <x:c r="U515" s="8" t="str">
        <x:v>0.44779599778870033</x:v>
      </x:c>
      <x:c r="V515" s="6" t="str">
        <x:v>-18.46173878069945</x:v>
      </x:c>
      <x:c r="W515" s="8" t="str">
        <x:v>-0.2096692547487389</x:v>
      </x:c>
      <x:c r="X515" s="6" t="str">
        <x:v>1.867656741387665</x:v>
      </x:c>
      <x:c r="Y515" s="6" t="str">
        <x:v>1.8131398367576823</x:v>
      </x:c>
      <x:c r="Z515" s="6" t="str">
        <x:v>1.6733070700327397</x:v>
      </x:c>
      <x:c r="AA515" s="6" t="str">
        <x:v>0.45487740439886226</x:v>
      </x:c>
      <x:c r="AB515" s="6" t="str">
        <x:v>0.8948206233575773</x:v>
      </x:c>
      <x:c r="AC515" s="6" t="str">
        <x:v>0.5991646751817136</x:v>
      </x:c>
      <x:c r="AD515" s="6" t="str">
        <x:v>-0.3233287801531893</x:v>
      </x:c>
      <x:c r="AE515" s="6" t="str">
        <x:v>0.9067246543722236</x:v>
      </x:c>
      <x:c r="AF515" s="6" t="str">
        <x:v>0.12457553982343132</x:v>
      </x:c>
      <x:c r="AG515" s="6" t="str">
        <x:v>0</x:v>
      </x:c>
      <x:c r="AH515" s="6" t="str">
        <x:v>1</x:v>
      </x:c>
      <x:c r="AI515" s="6" t="str">
        <x:v>2024-10</x:v>
      </x:c>
      <x:c r="AJ515" s="9" t="str">
        <x:v>NASA POWER (MERRA-2 meteorology)</x:v>
      </x:c>
      <x:c r="AK515" s="9" t="str">
        <x:v>Badan Informasi Geospasial (BIG)</x:v>
      </x:c>
      <x:c r="AL515" s="9" t="str">
        <x:v>https://power.larc.nasa.gov/docs/services/api/temporal/monthly/</x:v>
      </x:c>
      <x:c r="AM515" s="9" t="str">
        <x:v>https://geoservices.big.go.id/rbi/rest/services/BATASWILAYAH/BATAS_WILAYAH/MapServer/12</x:v>
      </x:c>
    </x:row>
    <x:row r="516" ht="18" customHeight="1">
      <x:c r="A516" s="6" t="str">
        <x:v>63</x:v>
      </x:c>
      <x:c r="B516" s="6" t="str">
        <x:v>KALIMANTAN SELATAN</x:v>
      </x:c>
      <x:c r="C516" s="6" t="str">
        <x:v>2024</x:v>
      </x:c>
      <x:c r="D516" s="6" t="str">
        <x:v>11</x:v>
      </x:c>
      <x:c r="E516" s="6" t="str">
        <x:v>27.429692500158936</x:v>
      </x:c>
      <x:c r="F516" s="9" t="str">
        <x:v>grid_cells_within_BIG_polygon</x:v>
      </x:c>
      <x:c r="G516" s="6" t="str">
        <x:v>9</x:v>
      </x:c>
      <x:c r="H516" s="8" t="str">
        <x:v>84.49260466123563</x:v>
      </x:c>
      <x:c r="I516" s="6" t="str">
        <x:v>10.350296321907896</x:v>
      </x:c>
      <x:c r="J516" s="6" t="str">
        <x:v>30</x:v>
      </x:c>
      <x:c r="K516" s="6" t="str">
        <x:v>310.50888965723686</x:v>
      </x:c>
      <x:c r="L516" s="6" t="str">
        <x:v>26.792481613812175</x:v>
      </x:c>
      <x:c r="M516" s="6" t="str">
        <x:v>0.5061997985483049</x:v>
      </x:c>
      <x:c r="N516" s="6" t="str">
        <x:v>83.66828894703438</x:v>
      </x:c>
      <x:c r="O516" s="6" t="str">
        <x:v>3.392771462328123</x:v>
      </x:c>
      <x:c r="P516" s="6" t="str">
        <x:v>224.6666214733365</x:v>
      </x:c>
      <x:c r="Q516" s="6" t="str">
        <x:v>67.65595598351705</x:v>
      </x:c>
      <x:c r="R516" s="6" t="str">
        <x:v>0.6372108863467609</x:v>
      </x:c>
      <x:c r="S516" s="8" t="str">
        <x:v>1.2588129986897933</x:v>
      </x:c>
      <x:c r="T516" s="6" t="str">
        <x:v>0.8243157142012478</x:v>
      </x:c>
      <x:c r="U516" s="8" t="str">
        <x:v>0.24296234608021655</x:v>
      </x:c>
      <x:c r="V516" s="6" t="str">
        <x:v>85.84226818390036</x:v>
      </x:c>
      <x:c r="W516" s="8" t="str">
        <x:v>1.2688057826692158</x:v>
      </x:c>
      <x:c r="X516" s="6" t="str">
        <x:v>1.3391246319528716</x:v>
      </x:c>
      <x:c r="Y516" s="6" t="str">
        <x:v>1.867656741387665</x:v>
      </x:c>
      <x:c r="Z516" s="6" t="str">
        <x:v>1.4885314573434432</x:v>
      </x:c>
      <x:c r="AA516" s="6" t="str">
        <x:v>0.44779599778870033</x:v>
      </x:c>
      <x:c r="AB516" s="6" t="str">
        <x:v>0.45487740439886226</x:v>
      </x:c>
      <x:c r="AC516" s="6" t="str">
        <x:v>0.38187858275592673</x:v>
      </x:c>
      <x:c r="AD516" s="6" t="str">
        <x:v>-0.2096692547487389</x:v>
      </x:c>
      <x:c r="AE516" s="6" t="str">
        <x:v>-0.3233287801531893</x:v>
      </x:c>
      <x:c r="AF516" s="6" t="str">
        <x:v>0.24526924925576207</x:v>
      </x:c>
      <x:c r="AG516" s="6" t="str">
        <x:v>1</x:v>
      </x:c>
      <x:c r="AH516" s="6" t="str">
        <x:v>1</x:v>
      </x:c>
      <x:c r="AI516" s="6" t="str">
        <x:v>2024-11</x:v>
      </x:c>
      <x:c r="AJ516" s="9" t="str">
        <x:v>NASA POWER (MERRA-2 meteorology)</x:v>
      </x:c>
      <x:c r="AK516" s="9" t="str">
        <x:v>Badan Informasi Geospasial (BIG)</x:v>
      </x:c>
      <x:c r="AL516" s="9" t="str">
        <x:v>https://power.larc.nasa.gov/docs/services/api/temporal/monthly/</x:v>
      </x:c>
      <x:c r="AM516" s="9" t="str">
        <x:v>https://geoservices.big.go.id/rbi/rest/services/BATASWILAYAH/BATAS_WILAYAH/MapServer/12</x:v>
      </x:c>
    </x:row>
    <x:row r="517" ht="18" customHeight="1">
      <x:c r="A517" s="6" t="str">
        <x:v>63</x:v>
      </x:c>
      <x:c r="B517" s="6" t="str">
        <x:v>KALIMANTAN SELATAN</x:v>
      </x:c>
      <x:c r="C517" s="6" t="str">
        <x:v>2024</x:v>
      </x:c>
      <x:c r="D517" s="6" t="str">
        <x:v>12</x:v>
      </x:c>
      <x:c r="E517" s="6" t="str">
        <x:v>26.483138966590754</x:v>
      </x:c>
      <x:c r="F517" s="9" t="str">
        <x:v>grid_cells_within_BIG_polygon</x:v>
      </x:c>
      <x:c r="G517" s="6" t="str">
        <x:v>9</x:v>
      </x:c>
      <x:c r="H517" s="8" t="str">
        <x:v>88.72193718693917</x:v>
      </x:c>
      <x:c r="I517" s="6" t="str">
        <x:v>10.564609815128975</x:v>
      </x:c>
      <x:c r="J517" s="6" t="str">
        <x:v>31</x:v>
      </x:c>
      <x:c r="K517" s="6" t="str">
        <x:v>327.50290426899824</x:v>
      </x:c>
      <x:c r="L517" s="6" t="str">
        <x:v>26.215283678338256</x:v>
      </x:c>
      <x:c r="M517" s="6" t="str">
        <x:v>0.43769803269216245</x:v>
      </x:c>
      <x:c r="N517" s="6" t="str">
        <x:v>87.12060662731434</x:v>
      </x:c>
      <x:c r="O517" s="6" t="str">
        <x:v>1.8929753046476405</x:v>
      </x:c>
      <x:c r="P517" s="6" t="str">
        <x:v>318.17361724012113</x:v>
      </x:c>
      <x:c r="Q517" s="6" t="str">
        <x:v>65.79193062808487</x:v>
      </x:c>
      <x:c r="R517" s="6" t="str">
        <x:v>0.26785528825249827</x:v>
      </x:c>
      <x:c r="S517" s="8" t="str">
        <x:v>0.6119636558679341</x:v>
      </x:c>
      <x:c r="T517" s="6" t="str">
        <x:v>1.6013305596248273</x:v>
      </x:c>
      <x:c r="U517" s="8" t="str">
        <x:v>0.8459331485694684</x:v>
      </x:c>
      <x:c r="V517" s="6" t="str">
        <x:v>9.329287028877104</x:v>
      </x:c>
      <x:c r="W517" s="8" t="str">
        <x:v>0.14179986724534077</x:v>
      </x:c>
      <x:c r="X517" s="6" t="str">
        <x:v>1.2588129986897933</x:v>
      </x:c>
      <x:c r="Y517" s="6" t="str">
        <x:v>1.3391246319528716</x:v>
      </x:c>
      <x:c r="Z517" s="6" t="str">
        <x:v>1.069967095503533</x:v>
      </x:c>
      <x:c r="AA517" s="6" t="str">
        <x:v>0.24296234608021655</x:v>
      </x:c>
      <x:c r="AB517" s="6" t="str">
        <x:v>0.44779599778870033</x:v>
      </x:c>
      <x:c r="AC517" s="6" t="str">
        <x:v>0.5122304974794621</x:v>
      </x:c>
      <x:c r="AD517" s="6" t="str">
        <x:v>1.2688057826692158</x:v>
      </x:c>
      <x:c r="AE517" s="6" t="str">
        <x:v>-0.2096692547487389</x:v>
      </x:c>
      <x:c r="AF517" s="6" t="str">
        <x:v>0.4003121317219387</x:v>
      </x:c>
      <x:c r="AG517" s="6" t="str">
        <x:v>0</x:v>
      </x:c>
      <x:c r="AH517" s="6" t="str">
        <x:v>0</x:v>
      </x:c>
      <x:c r="AI517" s="6" t="str">
        <x:v>2024-12</x:v>
      </x:c>
      <x:c r="AJ517" s="9" t="str">
        <x:v>NASA POWER (MERRA-2 meteorology)</x:v>
      </x:c>
      <x:c r="AK517" s="9" t="str">
        <x:v>Badan Informasi Geospasial (BIG)</x:v>
      </x:c>
      <x:c r="AL517" s="9" t="str">
        <x:v>https://power.larc.nasa.gov/docs/services/api/temporal/monthly/</x:v>
      </x:c>
      <x:c r="AM517" s="9" t="str">
        <x:v>https://geoservices.big.go.id/rbi/rest/services/BATASWILAYAH/BATAS_WILAYAH/MapServer/12</x:v>
      </x:c>
    </x:row>
    <x:row r="518" ht="18" customHeight="1">
      <x:c r="A518" s="6" t="str">
        <x:v>63</x:v>
      </x:c>
      <x:c r="B518" s="6" t="str">
        <x:v>KALIMANTAN SELATAN</x:v>
      </x:c>
      <x:c r="C518" s="6" t="str">
        <x:v>2025</x:v>
      </x:c>
      <x:c r="D518" s="6" t="str">
        <x:v>1</x:v>
      </x:c>
      <x:c r="E518" s="6" t="str">
        <x:v>26.080941876020507</x:v>
      </x:c>
      <x:c r="F518" s="9" t="str">
        <x:v>grid_cells_within_BIG_polygon</x:v>
      </x:c>
      <x:c r="G518" s="6" t="str">
        <x:v>9</x:v>
      </x:c>
      <x:c r="H518" s="8" t="str">
        <x:v>88.88738754421658</x:v>
      </x:c>
      <x:c r="I518" s="6" t="str">
        <x:v>15.888509660847014</x:v>
      </x:c>
      <x:c r="J518" s="6" t="str">
        <x:v>31</x:v>
      </x:c>
      <x:c r="K518" s="6" t="str">
        <x:v>492.5437994862574</x:v>
      </x:c>
      <x:c r="L518" s="6" t="str">
        <x:v>25.939992004921937</x:v>
      </x:c>
      <x:c r="M518" s="6" t="str">
        <x:v>0.4114867523487792</x:v>
      </x:c>
      <x:c r="N518" s="6" t="str">
        <x:v>87.93840188507079</x:v>
      </x:c>
      <x:c r="O518" s="6" t="str">
        <x:v>0.9990163371521907</x:v>
      </x:c>
      <x:c r="P518" s="6" t="str">
        <x:v>305.9578843053515</x:v>
      </x:c>
      <x:c r="Q518" s="6" t="str">
        <x:v>70.12357838949082</x:v>
      </x:c>
      <x:c r="R518" s="6" t="str">
        <x:v>0.14094987109857016</x:v>
      </x:c>
      <x:c r="S518" s="8" t="str">
        <x:v>0.34253805327637865</x:v>
      </x:c>
      <x:c r="T518" s="6" t="str">
        <x:v>0.9489856591457908</x:v>
      </x:c>
      <x:c r="U518" s="8" t="str">
        <x:v>0.9499200602174154</x:v>
      </x:c>
      <x:c r="V518" s="6" t="str">
        <x:v>186.5859151809059</x:v>
      </x:c>
      <x:c r="W518" s="8" t="str">
        <x:v>2.6608156552499733</x:v>
      </x:c>
      <x:c r="X518" s="6" t="str">
        <x:v>0.6119636558679341</x:v>
      </x:c>
      <x:c r="Y518" s="6" t="str">
        <x:v>1.2588129986897933</x:v>
      </x:c>
      <x:c r="Z518" s="6" t="str">
        <x:v>0.7377715692780353</x:v>
      </x:c>
      <x:c r="AA518" s="6" t="str">
        <x:v>0.8459331485694684</x:v>
      </x:c>
      <x:c r="AB518" s="6" t="str">
        <x:v>0.24296234608021655</x:v>
      </x:c>
      <x:c r="AC518" s="6" t="str">
        <x:v>0.6796051849557004</x:v>
      </x:c>
      <x:c r="AD518" s="6" t="str">
        <x:v>0.14179986724534077</x:v>
      </x:c>
      <x:c r="AE518" s="6" t="str">
        <x:v>1.2688057826692158</x:v>
      </x:c>
      <x:c r="AF518" s="6" t="str">
        <x:v>1.3571404350548428</x:v>
      </x:c>
      <x:c r="AG518" s="6" t="str">
        <x:v>1</x:v>
      </x:c>
      <x:c r="AH518" s="6" t="str">
        <x:v>0</x:v>
      </x:c>
      <x:c r="AI518" s="6" t="str">
        <x:v>2025-01</x:v>
      </x:c>
      <x:c r="AJ518" s="9" t="str">
        <x:v>NASA POWER (MERRA-2 meteorology)</x:v>
      </x:c>
      <x:c r="AK518" s="9" t="str">
        <x:v>Badan Informasi Geospasial (BIG)</x:v>
      </x:c>
      <x:c r="AL518" s="9" t="str">
        <x:v>https://power.larc.nasa.gov/docs/services/api/temporal/monthly/</x:v>
      </x:c>
      <x:c r="AM518" s="9" t="str">
        <x:v>https://geoservices.big.go.id/rbi/rest/services/BATASWILAYAH/BATAS_WILAYAH/MapServer/12</x:v>
      </x:c>
    </x:row>
    <x:row r="519" ht="18" customHeight="1">
      <x:c r="A519" s="6" t="str">
        <x:v>63</x:v>
      </x:c>
      <x:c r="B519" s="6" t="str">
        <x:v>KALIMANTAN SELATAN</x:v>
      </x:c>
      <x:c r="C519" s="6" t="str">
        <x:v>2025</x:v>
      </x:c>
      <x:c r="D519" s="6" t="str">
        <x:v>2</x:v>
      </x:c>
      <x:c r="E519" s="6" t="str">
        <x:v>26.349781731910834</x:v>
      </x:c>
      <x:c r="F519" s="9" t="str">
        <x:v>grid_cells_within_BIG_polygon</x:v>
      </x:c>
      <x:c r="G519" s="6" t="str">
        <x:v>9</x:v>
      </x:c>
      <x:c r="H519" s="8" t="str">
        <x:v>87.46414219750682</x:v>
      </x:c>
      <x:c r="I519" s="6" t="str">
        <x:v>7.263312350790782</x:v>
      </x:c>
      <x:c r="J519" s="6" t="str">
        <x:v>28</x:v>
      </x:c>
      <x:c r="K519" s="6" t="str">
        <x:v>203.3727458221419</x:v>
      </x:c>
      <x:c r="L519" s="6" t="str">
        <x:v>26.02387240468728</x:v>
      </x:c>
      <x:c r="M519" s="6" t="str">
        <x:v>0.40165864637526744</x:v>
      </x:c>
      <x:c r="N519" s="6" t="str">
        <x:v>87.66795500115511</x:v>
      </x:c>
      <x:c r="O519" s="6" t="str">
        <x:v>1.0873615408127182</x:v>
      </x:c>
      <x:c r="P519" s="6" t="str">
        <x:v>274.4721510790753</x:v>
      </x:c>
      <x:c r="Q519" s="6" t="str">
        <x:v>88.55250843518172</x:v>
      </x:c>
      <x:c r="R519" s="6" t="str">
        <x:v>0.32590932722355603</x:v>
      </x:c>
      <x:c r="S519" s="8" t="str">
        <x:v>0.8114087177375506</x:v>
      </x:c>
      <x:c r="T519" s="6" t="str">
        <x:v>-0.20381280364829024</x:v>
      </x:c>
      <x:c r="U519" s="8" t="str">
        <x:v>-0.18743793669211073</x:v>
      </x:c>
      <x:c r="V519" s="6" t="str">
        <x:v>-71.09940525693338</x:v>
      </x:c>
      <x:c r="W519" s="8" t="str">
        <x:v>-0.8029067331161648</x:v>
      </x:c>
      <x:c r="X519" s="6" t="str">
        <x:v>0.34253805327637865</x:v>
      </x:c>
      <x:c r="Y519" s="6" t="str">
        <x:v>0.6119636558679341</x:v>
      </x:c>
      <x:c r="Z519" s="6" t="str">
        <x:v>0.5886368089606212</x:v>
      </x:c>
      <x:c r="AA519" s="6" t="str">
        <x:v>0.9499200602174154</x:v>
      </x:c>
      <x:c r="AB519" s="6" t="str">
        <x:v>0.8459331485694684</x:v>
      </x:c>
      <x:c r="AC519" s="6" t="str">
        <x:v>0.5361384240315913</x:v>
      </x:c>
      <x:c r="AD519" s="6" t="str">
        <x:v>2.6608156552499733</x:v>
      </x:c>
      <x:c r="AE519" s="6" t="str">
        <x:v>0.14179986724534077</x:v>
      </x:c>
      <x:c r="AF519" s="6" t="str">
        <x:v>0.6665695964597158</x:v>
      </x:c>
      <x:c r="AG519" s="6" t="str">
        <x:v>0</x:v>
      </x:c>
      <x:c r="AH519" s="6" t="str">
        <x:v>0</x:v>
      </x:c>
      <x:c r="AI519" s="6" t="str">
        <x:v>2025-02</x:v>
      </x:c>
      <x:c r="AJ519" s="9" t="str">
        <x:v>NASA POWER (MERRA-2 meteorology)</x:v>
      </x:c>
      <x:c r="AK519" s="9" t="str">
        <x:v>Badan Informasi Geospasial (BIG)</x:v>
      </x:c>
      <x:c r="AL519" s="9" t="str">
        <x:v>https://power.larc.nasa.gov/docs/services/api/temporal/monthly/</x:v>
      </x:c>
      <x:c r="AM519" s="9" t="str">
        <x:v>https://geoservices.big.go.id/rbi/rest/services/BATASWILAYAH/BATAS_WILAYAH/MapServer/12</x:v>
      </x:c>
    </x:row>
    <x:row r="520" ht="18" customHeight="1">
      <x:c r="A520" s="6" t="str">
        <x:v>63</x:v>
      </x:c>
      <x:c r="B520" s="6" t="str">
        <x:v>KALIMANTAN SELATAN</x:v>
      </x:c>
      <x:c r="C520" s="6" t="str">
        <x:v>2025</x:v>
      </x:c>
      <x:c r="D520" s="6" t="str">
        <x:v>3</x:v>
      </x:c>
      <x:c r="E520" s="6" t="str">
        <x:v>26.547540811101236</x:v>
      </x:c>
      <x:c r="F520" s="9" t="str">
        <x:v>grid_cells_within_BIG_polygon</x:v>
      </x:c>
      <x:c r="G520" s="6" t="str">
        <x:v>9</x:v>
      </x:c>
      <x:c r="H520" s="8" t="str">
        <x:v>87.55109584597511</x:v>
      </x:c>
      <x:c r="I520" s="6" t="str">
        <x:v>10.10368543393169</x:v>
      </x:c>
      <x:c r="J520" s="6" t="str">
        <x:v>31</x:v>
      </x:c>
      <x:c r="K520" s="6" t="str">
        <x:v>313.2142484518824</x:v>
      </x:c>
      <x:c r="L520" s="6" t="str">
        <x:v>26.277998645406193</x:v>
      </x:c>
      <x:c r="M520" s="6" t="str">
        <x:v>0.38047196142148876</x:v>
      </x:c>
      <x:c r="N520" s="6" t="str">
        <x:v>87.25951876896245</x:v>
      </x:c>
      <x:c r="O520" s="6" t="str">
        <x:v>1.0145256296493854</x:v>
      </x:c>
      <x:c r="P520" s="6" t="str">
        <x:v>288.1960390680695</x:v>
      </x:c>
      <x:c r="Q520" s="6" t="str">
        <x:v>99.40014893282448</x:v>
      </x:c>
      <x:c r="R520" s="6" t="str">
        <x:v>0.26954216569504297</x:v>
      </x:c>
      <x:c r="S520" s="8" t="str">
        <x:v>0.7084416015519283</x:v>
      </x:c>
      <x:c r="T520" s="6" t="str">
        <x:v>0.29157707701266133</x:v>
      </x:c>
      <x:c r="U520" s="8" t="str">
        <x:v>0.2874023765308214</x:v>
      </x:c>
      <x:c r="V520" s="6" t="str">
        <x:v>25.01820938381286</x:v>
      </x:c>
      <x:c r="W520" s="8" t="str">
        <x:v>0.2516918702075627</x:v>
      </x:c>
      <x:c r="X520" s="6" t="str">
        <x:v>0.8114087177375506</x:v>
      </x:c>
      <x:c r="Y520" s="6" t="str">
        <x:v>0.34253805327637865</x:v>
      </x:c>
      <x:c r="Z520" s="6" t="str">
        <x:v>0.6207961241886192</x:v>
      </x:c>
      <x:c r="AA520" s="6" t="str">
        <x:v>-0.18743793669211073</x:v>
      </x:c>
      <x:c r="AB520" s="6" t="str">
        <x:v>0.9499200602174154</x:v>
      </x:c>
      <x:c r="AC520" s="6" t="str">
        <x:v>0.349961500018709</x:v>
      </x:c>
      <x:c r="AD520" s="6" t="str">
        <x:v>-0.8029067331161648</x:v>
      </x:c>
      <x:c r="AE520" s="6" t="str">
        <x:v>2.6608156552499733</x:v>
      </x:c>
      <x:c r="AF520" s="6" t="str">
        <x:v>0.7032002641137898</x:v>
      </x:c>
      <x:c r="AG520" s="6" t="str">
        <x:v>0</x:v>
      </x:c>
      <x:c r="AH520" s="6" t="str">
        <x:v>0</x:v>
      </x:c>
      <x:c r="AI520" s="6" t="str">
        <x:v>2025-03</x:v>
      </x:c>
      <x:c r="AJ520" s="9" t="str">
        <x:v>NASA POWER (MERRA-2 meteorology)</x:v>
      </x:c>
      <x:c r="AK520" s="9" t="str">
        <x:v>Badan Informasi Geospasial (BIG)</x:v>
      </x:c>
      <x:c r="AL520" s="9" t="str">
        <x:v>https://power.larc.nasa.gov/docs/services/api/temporal/monthly/</x:v>
      </x:c>
      <x:c r="AM520" s="9" t="str">
        <x:v>https://geoservices.big.go.id/rbi/rest/services/BATASWILAYAH/BATAS_WILAYAH/MapServer/12</x:v>
      </x:c>
    </x:row>
    <x:row r="521" ht="18" customHeight="1">
      <x:c r="A521" s="6" t="str">
        <x:v>63</x:v>
      </x:c>
      <x:c r="B521" s="6" t="str">
        <x:v>KALIMANTAN SELATAN</x:v>
      </x:c>
      <x:c r="C521" s="6" t="str">
        <x:v>2025</x:v>
      </x:c>
      <x:c r="D521" s="6" t="str">
        <x:v>4</x:v>
      </x:c>
      <x:c r="E521" s="6" t="str">
        <x:v>26.681972595722364</x:v>
      </x:c>
      <x:c r="F521" s="9" t="str">
        <x:v>grid_cells_within_BIG_polygon</x:v>
      </x:c>
      <x:c r="G521" s="6" t="str">
        <x:v>9</x:v>
      </x:c>
      <x:c r="H521" s="8" t="str">
        <x:v>86.2646517927117</x:v>
      </x:c>
      <x:c r="I521" s="6" t="str">
        <x:v>9.025600606309451</x:v>
      </x:c>
      <x:c r="J521" s="6" t="str">
        <x:v>30</x:v>
      </x:c>
      <x:c r="K521" s="6" t="str">
        <x:v>270.76801818928357</x:v>
      </x:c>
      <x:c r="L521" s="6" t="str">
        <x:v>26.52757602404599</x:v>
      </x:c>
      <x:c r="M521" s="6" t="str">
        <x:v>0.3127809646373309</x:v>
      </x:c>
      <x:c r="N521" s="6" t="str">
        <x:v>87.2006908598992</x:v>
      </x:c>
      <x:c r="O521" s="6" t="str">
        <x:v>0.7580688524067073</x:v>
      </x:c>
      <x:c r="P521" s="6" t="str">
        <x:v>227.51242363223773</x:v>
      </x:c>
      <x:c r="Q521" s="6" t="str">
        <x:v>52.69303005563251</x:v>
      </x:c>
      <x:c r="R521" s="6" t="str">
        <x:v>0.15439657167637222</x:v>
      </x:c>
      <x:c r="S521" s="8" t="str">
        <x:v>0.49362521742777676</x:v>
      </x:c>
      <x:c r="T521" s="6" t="str">
        <x:v>-0.9360390671874939</x:v>
      </x:c>
      <x:c r="U521" s="8" t="str">
        <x:v>-1.2347678765797712</x:v>
      </x:c>
      <x:c r="V521" s="6" t="str">
        <x:v>43.25559455704584</x:v>
      </x:c>
      <x:c r="W521" s="8" t="str">
        <x:v>0.8208978400250893</x:v>
      </x:c>
      <x:c r="X521" s="6" t="str">
        <x:v>0.7084416015519283</x:v>
      </x:c>
      <x:c r="Y521" s="6" t="str">
        <x:v>0.8114087177375506</x:v>
      </x:c>
      <x:c r="Z521" s="6" t="str">
        <x:v>0.6711585122390852</x:v>
      </x:c>
      <x:c r="AA521" s="6" t="str">
        <x:v>0.2874023765308214</x:v>
      </x:c>
      <x:c r="AB521" s="6" t="str">
        <x:v>-0.18743793669211073</x:v>
      </x:c>
      <x:c r="AC521" s="6" t="str">
        <x:v>-0.37826781224701983</x:v>
      </x:c>
      <x:c r="AD521" s="6" t="str">
        <x:v>0.2516918702075627</x:v>
      </x:c>
      <x:c r="AE521" s="6" t="str">
        <x:v>-0.8029067331161648</x:v>
      </x:c>
      <x:c r="AF521" s="6" t="str">
        <x:v>0.08989432570549512</x:v>
      </x:c>
      <x:c r="AG521" s="6" t="str">
        <x:v>0</x:v>
      </x:c>
      <x:c r="AH521" s="6" t="str">
        <x:v>0</x:v>
      </x:c>
      <x:c r="AI521" s="6" t="str">
        <x:v>2025-04</x:v>
      </x:c>
      <x:c r="AJ521" s="9" t="str">
        <x:v>NASA POWER (MERRA-2 meteorology)</x:v>
      </x:c>
      <x:c r="AK521" s="9" t="str">
        <x:v>Badan Informasi Geospasial (BIG)</x:v>
      </x:c>
      <x:c r="AL521" s="9" t="str">
        <x:v>https://power.larc.nasa.gov/docs/services/api/temporal/monthly/</x:v>
      </x:c>
      <x:c r="AM521" s="9" t="str">
        <x:v>https://geoservices.big.go.id/rbi/rest/services/BATASWILAYAH/BATAS_WILAYAH/MapServer/12</x:v>
      </x:c>
    </x:row>
    <x:row r="522" ht="18" customHeight="1">
      <x:c r="A522" s="6" t="str">
        <x:v>63</x:v>
      </x:c>
      <x:c r="B522" s="6" t="str">
        <x:v>KALIMANTAN SELATAN</x:v>
      </x:c>
      <x:c r="C522" s="6" t="str">
        <x:v>2025</x:v>
      </x:c>
      <x:c r="D522" s="6" t="str">
        <x:v>5</x:v>
      </x:c>
      <x:c r="E522" s="6" t="str">
        <x:v>26.94865305425048</x:v>
      </x:c>
      <x:c r="F522" s="9" t="str">
        <x:v>grid_cells_within_BIG_polygon</x:v>
      </x:c>
      <x:c r="G522" s="6" t="str">
        <x:v>9</x:v>
      </x:c>
      <x:c r="H522" s="8" t="str">
        <x:v>86.92218422883913</x:v>
      </x:c>
      <x:c r="I522" s="6" t="str">
        <x:v>4.080516803484728</x:v>
      </x:c>
      <x:c r="J522" s="6" t="str">
        <x:v>31</x:v>
      </x:c>
      <x:c r="K522" s="6" t="str">
        <x:v>126.49602090802657</x:v>
      </x:c>
      <x:c r="L522" s="6" t="str">
        <x:v>26.43251860701195</x:v>
      </x:c>
      <x:c r="M522" s="6" t="str">
        <x:v>0.38045685492112696</x:v>
      </x:c>
      <x:c r="N522" s="6" t="str">
        <x:v>87.70120658191483</x:v>
      </x:c>
      <x:c r="O522" s="6" t="str">
        <x:v>0.8766895816972831</x:v>
      </x:c>
      <x:c r="P522" s="6" t="str">
        <x:v>199.59273792409348</x:v>
      </x:c>
      <x:c r="Q522" s="6" t="str">
        <x:v>56.33946994772556</x:v>
      </x:c>
      <x:c r="R522" s="6" t="str">
        <x:v>0.5161344472385316</x:v>
      </x:c>
      <x:c r="S522" s="8" t="str">
        <x:v>1.356617552194012</x:v>
      </x:c>
      <x:c r="T522" s="6" t="str">
        <x:v>-0.7790223530757032</x:v>
      </x:c>
      <x:c r="U522" s="8" t="str">
        <x:v>-0.8885954268642103</x:v>
      </x:c>
      <x:c r="V522" s="6" t="str">
        <x:v>-73.09671701606692</x:v>
      </x:c>
      <x:c r="W522" s="8" t="str">
        <x:v>-1.2974335236715846</x:v>
      </x:c>
      <x:c r="X522" s="6" t="str">
        <x:v>0.49362521742777676</x:v>
      </x:c>
      <x:c r="Y522" s="6" t="str">
        <x:v>0.7084416015519283</x:v>
      </x:c>
      <x:c r="Z522" s="6" t="str">
        <x:v>0.852894790391239</x:v>
      </x:c>
      <x:c r="AA522" s="6" t="str">
        <x:v>-1.2347678765797712</x:v>
      </x:c>
      <x:c r="AB522" s="6" t="str">
        <x:v>0.2874023765308214</x:v>
      </x:c>
      <x:c r="AC522" s="6" t="str">
        <x:v>-0.6119869756377198</x:v>
      </x:c>
      <x:c r="AD522" s="6" t="str">
        <x:v>0.8208978400250893</x:v>
      </x:c>
      <x:c r="AE522" s="6" t="str">
        <x:v>0.2516918702075627</x:v>
      </x:c>
      <x:c r="AF522" s="6" t="str">
        <x:v>-0.07494793781297811</x:v>
      </x:c>
      <x:c r="AG522" s="6" t="str">
        <x:v>0</x:v>
      </x:c>
      <x:c r="AH522" s="6" t="str">
        <x:v>1</x:v>
      </x:c>
      <x:c r="AI522" s="6" t="str">
        <x:v>2025-05</x:v>
      </x:c>
      <x:c r="AJ522" s="9" t="str">
        <x:v>NASA POWER (MERRA-2 meteorology)</x:v>
      </x:c>
      <x:c r="AK522" s="9" t="str">
        <x:v>Badan Informasi Geospasial (BIG)</x:v>
      </x:c>
      <x:c r="AL522" s="9" t="str">
        <x:v>https://power.larc.nasa.gov/docs/services/api/temporal/monthly/</x:v>
      </x:c>
      <x:c r="AM522" s="9" t="str">
        <x:v>https://geoservices.big.go.id/rbi/rest/services/BATASWILAYAH/BATAS_WILAYAH/MapServer/12</x:v>
      </x:c>
    </x:row>
    <x:row r="523" ht="18" customHeight="1">
      <x:c r="A523" s="6" t="str">
        <x:v>63</x:v>
      </x:c>
      <x:c r="B523" s="6" t="str">
        <x:v>KALIMANTAN SELATAN</x:v>
      </x:c>
      <x:c r="C523" s="6" t="str">
        <x:v>2025</x:v>
      </x:c>
      <x:c r="D523" s="6" t="str">
        <x:v>6</x:v>
      </x:c>
      <x:c r="E523" s="6" t="str">
        <x:v>26.126429372009188</x:v>
      </x:c>
      <x:c r="F523" s="9" t="str">
        <x:v>grid_cells_within_BIG_polygon</x:v>
      </x:c>
      <x:c r="G523" s="6" t="str">
        <x:v>9</x:v>
      </x:c>
      <x:c r="H523" s="8" t="str">
        <x:v>88.75861540526984</x:v>
      </x:c>
      <x:c r="I523" s="6" t="str">
        <x:v>6.003480081350927</x:v>
      </x:c>
      <x:c r="J523" s="6" t="str">
        <x:v>30</x:v>
      </x:c>
      <x:c r="K523" s="6" t="str">
        <x:v>180.1044024405278</x:v>
      </x:c>
      <x:c r="L523" s="6" t="str">
        <x:v>25.81458732370124</x:v>
      </x:c>
      <x:c r="M523" s="6" t="str">
        <x:v>0.3427747366364532</x:v>
      </x:c>
      <x:c r="N523" s="6" t="str">
        <x:v>88.24891851205538</x:v>
      </x:c>
      <x:c r="O523" s="6" t="str">
        <x:v>1.6849995100476698</x:v>
      </x:c>
      <x:c r="P523" s="6" t="str">
        <x:v>185.75753397554516</x:v>
      </x:c>
      <x:c r="Q523" s="6" t="str">
        <x:v>83.90129232181303</x:v>
      </x:c>
      <x:c r="R523" s="6" t="str">
        <x:v>0.31184204830794826</x:v>
      </x:c>
      <x:c r="S523" s="8" t="str">
        <x:v>0.9097579692364781</x:v>
      </x:c>
      <x:c r="T523" s="6" t="str">
        <x:v>0.5096968932144534</x:v>
      </x:c>
      <x:c r="U523" s="8" t="str">
        <x:v>0.3024908257688655</x:v>
      </x:c>
      <x:c r="V523" s="6" t="str">
        <x:v>-5.653131535017366</x:v>
      </x:c>
      <x:c r="W523" s="8" t="str">
        <x:v>-0.06737836067332707</x:v>
      </x:c>
      <x:c r="X523" s="6" t="str">
        <x:v>1.356617552194012</x:v>
      </x:c>
      <x:c r="Y523" s="6" t="str">
        <x:v>0.49362521742777676</x:v>
      </x:c>
      <x:c r="Z523" s="6" t="str">
        <x:v>0.9200002462860889</x:v>
      </x:c>
      <x:c r="AA523" s="6" t="str">
        <x:v>-0.8885954268642103</x:v>
      </x:c>
      <x:c r="AB523" s="6" t="str">
        <x:v>-1.2347678765797712</x:v>
      </x:c>
      <x:c r="AC523" s="6" t="str">
        <x:v>-0.6069574925583717</x:v>
      </x:c>
      <x:c r="AD523" s="6" t="str">
        <x:v>-1.2974335236715846</x:v>
      </x:c>
      <x:c r="AE523" s="6" t="str">
        <x:v>0.8208978400250893</x:v>
      </x:c>
      <x:c r="AF523" s="6" t="str">
        <x:v>-0.18130468143994138</x:v>
      </x:c>
      <x:c r="AG523" s="6" t="str">
        <x:v>0</x:v>
      </x:c>
      <x:c r="AH523" s="6" t="str">
        <x:v>0</x:v>
      </x:c>
      <x:c r="AI523" s="6" t="str">
        <x:v>2025-06</x:v>
      </x:c>
      <x:c r="AJ523" s="9" t="str">
        <x:v>NASA POWER (MERRA-2 meteorology)</x:v>
      </x:c>
      <x:c r="AK523" s="9" t="str">
        <x:v>Badan Informasi Geospasial (BIG)</x:v>
      </x:c>
      <x:c r="AL523" s="9" t="str">
        <x:v>https://power.larc.nasa.gov/docs/services/api/temporal/monthly/</x:v>
      </x:c>
      <x:c r="AM523" s="9" t="str">
        <x:v>https://geoservices.big.go.id/rbi/rest/services/BATASWILAYAH/BATAS_WILAYAH/MapServer/12</x:v>
      </x:c>
    </x:row>
    <x:row r="524" ht="18" customHeight="1">
      <x:c r="A524" s="6" t="str">
        <x:v>63</x:v>
      </x:c>
      <x:c r="B524" s="6" t="str">
        <x:v>KALIMANTAN SELATAN</x:v>
      </x:c>
      <x:c r="C524" s="6" t="str">
        <x:v>2025</x:v>
      </x:c>
      <x:c r="D524" s="6" t="str">
        <x:v>7</x:v>
      </x:c>
      <x:c r="E524" s="6" t="str">
        <x:v>26.000903467414794</x:v>
      </x:c>
      <x:c r="F524" s="9" t="str">
        <x:v>grid_cells_within_BIG_polygon</x:v>
      </x:c>
      <x:c r="G524" s="6" t="str">
        <x:v>9</x:v>
      </x:c>
      <x:c r="H524" s="8" t="str">
        <x:v>87.55076171294814</x:v>
      </x:c>
      <x:c r="I524" s="6" t="str">
        <x:v>2.8822695906610285</x:v>
      </x:c>
      <x:c r="J524" s="6" t="str">
        <x:v>31</x:v>
      </x:c>
      <x:c r="K524" s="6" t="str">
        <x:v>89.35035731049189</x:v>
      </x:c>
      <x:c r="L524" s="6" t="str">
        <x:v>25.32871122105454</x:v>
      </x:c>
      <x:c r="M524" s="6" t="str">
        <x:v>0.35837969471081005</x:v>
      </x:c>
      <x:c r="N524" s="6" t="str">
        <x:v>87.0885618083583</x:v>
      </x:c>
      <x:c r="O524" s="6" t="str">
        <x:v>2.030172576120781</x:v>
      </x:c>
      <x:c r="P524" s="6" t="str">
        <x:v>153.70044998028152</x:v>
      </x:c>
      <x:c r="Q524" s="6" t="str">
        <x:v>107.30981738126864</x:v>
      </x:c>
      <x:c r="R524" s="6" t="str">
        <x:v>0.6721922463602539</x:v>
      </x:c>
      <x:c r="S524" s="8" t="str">
        <x:v>1.8756426669280772</x:v>
      </x:c>
      <x:c r="T524" s="6" t="str">
        <x:v>0.46219990458983773</x:v>
      </x:c>
      <x:c r="U524" s="8" t="str">
        <x:v>0.22766532758165878</x:v>
      </x:c>
      <x:c r="V524" s="6" t="str">
        <x:v>-64.35009266978963</x:v>
      </x:c>
      <x:c r="W524" s="8" t="str">
        <x:v>-0.5996664074187699</x:v>
      </x:c>
      <x:c r="X524" s="6" t="str">
        <x:v>0.9097579692364781</x:v>
      </x:c>
      <x:c r="Y524" s="6" t="str">
        <x:v>1.356617552194012</x:v>
      </x:c>
      <x:c r="Z524" s="6" t="str">
        <x:v>1.3806727294528558</x:v>
      </x:c>
      <x:c r="AA524" s="6" t="str">
        <x:v>0.3024908257688655</x:v>
      </x:c>
      <x:c r="AB524" s="6" t="str">
        <x:v>-0.8885954268642103</x:v>
      </x:c>
      <x:c r="AC524" s="6" t="str">
        <x:v>-0.11947975783789504</x:v>
      </x:c>
      <x:c r="AD524" s="6" t="str">
        <x:v>-0.06737836067332707</x:v>
      </x:c>
      <x:c r="AE524" s="6" t="str">
        <x:v>-1.2974335236715846</x:v>
      </x:c>
      <x:c r="AF524" s="6" t="str">
        <x:v>-0.6548260972545611</x:v>
      </x:c>
      <x:c r="AG524" s="6" t="str">
        <x:v>0</x:v>
      </x:c>
      <x:c r="AH524" s="6" t="str">
        <x:v>1</x:v>
      </x:c>
      <x:c r="AI524" s="6" t="str">
        <x:v>2025-07</x:v>
      </x:c>
      <x:c r="AJ524" s="9" t="str">
        <x:v>NASA POWER (MERRA-2 meteorology)</x:v>
      </x:c>
      <x:c r="AK524" s="9" t="str">
        <x:v>Badan Informasi Geospasial (BIG)</x:v>
      </x:c>
      <x:c r="AL524" s="9" t="str">
        <x:v>https://power.larc.nasa.gov/docs/services/api/temporal/monthly/</x:v>
      </x:c>
      <x:c r="AM524" s="9" t="str">
        <x:v>https://geoservices.big.go.id/rbi/rest/services/BATASWILAYAH/BATAS_WILAYAH/MapServer/12</x:v>
      </x:c>
    </x:row>
    <x:row r="525" ht="18" customHeight="1">
      <x:c r="A525" s="6" t="str">
        <x:v>63</x:v>
      </x:c>
      <x:c r="B525" s="6" t="str">
        <x:v>KALIMANTAN SELATAN</x:v>
      </x:c>
      <x:c r="C525" s="6" t="str">
        <x:v>2025</x:v>
      </x:c>
      <x:c r="D525" s="6" t="str">
        <x:v>8</x:v>
      </x:c>
      <x:c r="E525" s="6" t="str">
        <x:v>25.794213351366945</x:v>
      </x:c>
      <x:c r="F525" s="9" t="str">
        <x:v>grid_cells_within_BIG_polygon</x:v>
      </x:c>
      <x:c r="G525" s="6" t="str">
        <x:v>9</x:v>
      </x:c>
      <x:c r="H525" s="8" t="str">
        <x:v>87.40546132080334</x:v>
      </x:c>
      <x:c r="I525" s="6" t="str">
        <x:v>6.774848923890094</x:v>
      </x:c>
      <x:c r="J525" s="6" t="str">
        <x:v>31</x:v>
      </x:c>
      <x:c r="K525" s="6" t="str">
        <x:v>210.0203166405929</x:v>
      </x:c>
      <x:c r="L525" s="6" t="str">
        <x:v>25.489021158263743</x:v>
      </x:c>
      <x:c r="M525" s="6" t="str">
        <x:v>0.38282664046389664</x:v>
      </x:c>
      <x:c r="N525" s="6" t="str">
        <x:v>84.18787148573524</x:v>
      </x:c>
      <x:c r="O525" s="6" t="str">
        <x:v>3.1178973711753373</x:v>
      </x:c>
      <x:c r="P525" s="6" t="str">
        <x:v>102.72116029413077</x:v>
      </x:c>
      <x:c r="Q525" s="6" t="str">
        <x:v>86.9298771245991</x:v>
      </x:c>
      <x:c r="R525" s="6" t="str">
        <x:v>0.30519219310320267</x:v>
      </x:c>
      <x:c r="S525" s="8" t="str">
        <x:v>0.7972073018047565</x:v>
      </x:c>
      <x:c r="T525" s="6" t="str">
        <x:v>3.2175898350680967</x:v>
      </x:c>
      <x:c r="U525" s="8" t="str">
        <x:v>1.031974260863878</x:v>
      </x:c>
      <x:c r="V525" s="6" t="str">
        <x:v>107.29915634646214</x:v>
      </x:c>
      <x:c r="W525" s="8" t="str">
        <x:v>1.2343185093045417</x:v>
      </x:c>
      <x:c r="X525" s="6" t="str">
        <x:v>1.8756426669280772</x:v>
      </x:c>
      <x:c r="Y525" s="6" t="str">
        <x:v>0.9097579692364781</x:v>
      </x:c>
      <x:c r="Z525" s="6" t="str">
        <x:v>1.1942026459897706</x:v>
      </x:c>
      <x:c r="AA525" s="6" t="str">
        <x:v>0.22766532758165878</x:v>
      </x:c>
      <x:c r="AB525" s="6" t="str">
        <x:v>0.3024908257688655</x:v>
      </x:c>
      <x:c r="AC525" s="6" t="str">
        <x:v>0.5207101380714677</x:v>
      </x:c>
      <x:c r="AD525" s="6" t="str">
        <x:v>-0.5996664074187699</x:v>
      </x:c>
      <x:c r="AE525" s="6" t="str">
        <x:v>-0.06737836067332707</x:v>
      </x:c>
      <x:c r="AF525" s="6" t="str">
        <x:v>0.18909124707081437</x:v>
      </x:c>
      <x:c r="AG525" s="6" t="str">
        <x:v>1</x:v>
      </x:c>
      <x:c r="AH525" s="6" t="str">
        <x:v>0</x:v>
      </x:c>
      <x:c r="AI525" s="6" t="str">
        <x:v>2025-08</x:v>
      </x:c>
      <x:c r="AJ525" s="9" t="str">
        <x:v>NASA POWER (MERRA-2 meteorology)</x:v>
      </x:c>
      <x:c r="AK525" s="9" t="str">
        <x:v>Badan Informasi Geospasial (BIG)</x:v>
      </x:c>
      <x:c r="AL525" s="9" t="str">
        <x:v>https://power.larc.nasa.gov/docs/services/api/temporal/monthly/</x:v>
      </x:c>
      <x:c r="AM525" s="9" t="str">
        <x:v>https://geoservices.big.go.id/rbi/rest/services/BATASWILAYAH/BATAS_WILAYAH/MapServer/12</x:v>
      </x:c>
    </x:row>
    <x:row r="526" ht="18" customHeight="1">
      <x:c r="A526" s="6" t="str">
        <x:v>63</x:v>
      </x:c>
      <x:c r="B526" s="6" t="str">
        <x:v>KALIMANTAN SELATAN</x:v>
      </x:c>
      <x:c r="C526" s="6" t="str">
        <x:v>2025</x:v>
      </x:c>
      <x:c r="D526" s="6" t="str">
        <x:v>9</x:v>
      </x:c>
      <x:c r="E526" s="6" t="str">
        <x:v>26.248644670541218</x:v>
      </x:c>
      <x:c r="F526" s="9" t="str">
        <x:v>grid_cells_within_BIG_polygon</x:v>
      </x:c>
      <x:c r="G526" s="6" t="str">
        <x:v>9</x:v>
      </x:c>
      <x:c r="H526" s="8" t="str">
        <x:v>86.87975027047638</x:v>
      </x:c>
      <x:c r="I526" s="6" t="str">
        <x:v>5.220076249700628</x:v>
      </x:c>
      <x:c r="J526" s="6" t="str">
        <x:v>30</x:v>
      </x:c>
      <x:c r="K526" s="6" t="str">
        <x:v>156.60228749101884</x:v>
      </x:c>
      <x:c r="L526" s="6" t="str">
        <x:v>26.023795897663717</x:v>
      </x:c>
      <x:c r="M526" s="6" t="str">
        <x:v>0.3970462173406118</x:v>
      </x:c>
      <x:c r="N526" s="6" t="str">
        <x:v>82.13490563527915</x:v>
      </x:c>
      <x:c r="O526" s="6" t="str">
        <x:v>4.041327842852229</x:v>
      </x:c>
      <x:c r="P526" s="6" t="str">
        <x:v>101.97600576619199</x:v>
      </x:c>
      <x:c r="Q526" s="6" t="str">
        <x:v>78.34947039576747</x:v>
      </x:c>
      <x:c r="R526" s="6" t="str">
        <x:v>0.22484877287750038</x:v>
      </x:c>
      <x:c r="S526" s="8" t="str">
        <x:v>0.5663037778914555</x:v>
      </x:c>
      <x:c r="T526" s="6" t="str">
        <x:v>4.744844635197225</x:v>
      </x:c>
      <x:c r="U526" s="8" t="str">
        <x:v>1.1740806041235394</x:v>
      </x:c>
      <x:c r="V526" s="6" t="str">
        <x:v>54.62628172482685</x:v>
      </x:c>
      <x:c r="W526" s="8" t="str">
        <x:v>0.6972131585432877</x:v>
      </x:c>
      <x:c r="X526" s="6" t="str">
        <x:v>0.7972073018047565</x:v>
      </x:c>
      <x:c r="Y526" s="6" t="str">
        <x:v>1.8756426669280772</x:v>
      </x:c>
      <x:c r="Z526" s="6" t="str">
        <x:v>1.0797179155414298</x:v>
      </x:c>
      <x:c r="AA526" s="6" t="str">
        <x:v>1.031974260863878</x:v>
      </x:c>
      <x:c r="AB526" s="6" t="str">
        <x:v>0.22766532758165878</x:v>
      </x:c>
      <x:c r="AC526" s="6" t="str">
        <x:v>0.8112400641896924</x:v>
      </x:c>
      <x:c r="AD526" s="6" t="str">
        <x:v>1.2343185093045417</x:v>
      </x:c>
      <x:c r="AE526" s="6" t="str">
        <x:v>-0.5996664074187699</x:v>
      </x:c>
      <x:c r="AF526" s="6" t="str">
        <x:v>0.443955086809686</x:v>
      </x:c>
      <x:c r="AG526" s="6" t="str">
        <x:v>0</x:v>
      </x:c>
      <x:c r="AH526" s="6" t="str">
        <x:v>0</x:v>
      </x:c>
      <x:c r="AI526" s="6" t="str">
        <x:v>2025-09</x:v>
      </x:c>
      <x:c r="AJ526" s="9" t="str">
        <x:v>NASA POWER (MERRA-2 meteorology)</x:v>
      </x:c>
      <x:c r="AK526" s="9" t="str">
        <x:v>Badan Informasi Geospasial (BIG)</x:v>
      </x:c>
      <x:c r="AL526" s="9" t="str">
        <x:v>https://power.larc.nasa.gov/docs/services/api/temporal/monthly/</x:v>
      </x:c>
      <x:c r="AM526" s="9" t="str">
        <x:v>https://geoservices.big.go.id/rbi/rest/services/BATASWILAYAH/BATAS_WILAYAH/MapServer/12</x:v>
      </x:c>
    </x:row>
    <x:row r="527" ht="18" customHeight="1">
      <x:c r="A527" s="6" t="str">
        <x:v>63</x:v>
      </x:c>
      <x:c r="B527" s="6" t="str">
        <x:v>KALIMANTAN SELATAN</x:v>
      </x:c>
      <x:c r="C527" s="6" t="str">
        <x:v>2025</x:v>
      </x:c>
      <x:c r="D527" s="6" t="str">
        <x:v>10</x:v>
      </x:c>
      <x:c r="E527" s="6" t="str">
        <x:v>26.66644258267521</x:v>
      </x:c>
      <x:c r="F527" s="9" t="str">
        <x:v>grid_cells_within_BIG_polygon</x:v>
      </x:c>
      <x:c r="G527" s="6" t="str">
        <x:v>9</x:v>
      </x:c>
      <x:c r="H527" s="8" t="str">
        <x:v>85.9453202994728</x:v>
      </x:c>
      <x:c r="I527" s="6" t="str">
        <x:v>11.51553903006494</x:v>
      </x:c>
      <x:c r="J527" s="6" t="str">
        <x:v>31</x:v>
      </x:c>
      <x:c r="K527" s="6" t="str">
        <x:v>356.98170993201313</x:v>
      </x:c>
      <x:c r="L527" s="6" t="str">
        <x:v>26.69896395752406</x:v>
      </x:c>
      <x:c r="M527" s="6" t="str">
        <x:v>0.42041058586144275</x:v>
      </x:c>
      <x:c r="N527" s="6" t="str">
        <x:v>81.4416033171827</x:v>
      </x:c>
      <x:c r="O527" s="6" t="str">
        <x:v>4.944544458239323</x:v>
      </x:c>
      <x:c r="P527" s="6" t="str">
        <x:v>137.16348756836814</x:v>
      </x:c>
      <x:c r="Q527" s="6" t="str">
        <x:v>88.05172128275755</x:v>
      </x:c>
      <x:c r="R527" s="6" t="str">
        <x:v>-0.032521374848851536</x:v>
      </x:c>
      <x:c r="S527" s="8" t="str">
        <x:v>-0.07735622256564634</x:v>
      </x:c>
      <x:c r="T527" s="6" t="str">
        <x:v>4.503716982290101</x:v>
      </x:c>
      <x:c r="U527" s="8" t="str">
        <x:v>0.9108456846384198</x:v>
      </x:c>
      <x:c r="V527" s="6" t="str">
        <x:v>219.818222363645</x:v>
      </x:c>
      <x:c r="W527" s="8" t="str">
        <x:v>2.496467066870278</x:v>
      </x:c>
      <x:c r="X527" s="6" t="str">
        <x:v>0.5663037778914555</x:v>
      </x:c>
      <x:c r="Y527" s="6" t="str">
        <x:v>0.7972073018047565</x:v>
      </x:c>
      <x:c r="Z527" s="6" t="str">
        <x:v>0.42871828571018855</x:v>
      </x:c>
      <x:c r="AA527" s="6" t="str">
        <x:v>1.1740806041235394</x:v>
      </x:c>
      <x:c r="AB527" s="6" t="str">
        <x:v>1.031974260863878</x:v>
      </x:c>
      <x:c r="AC527" s="6" t="str">
        <x:v>1.0389668498752795</x:v>
      </x:c>
      <x:c r="AD527" s="6" t="str">
        <x:v>0.6972131585432877</x:v>
      </x:c>
      <x:c r="AE527" s="6" t="str">
        <x:v>1.2343185093045417</x:v>
      </x:c>
      <x:c r="AF527" s="6" t="str">
        <x:v>1.4759995782393684</x:v>
      </x:c>
      <x:c r="AG527" s="6" t="str">
        <x:v>1</x:v>
      </x:c>
      <x:c r="AH527" s="6" t="str">
        <x:v>0</x:v>
      </x:c>
      <x:c r="AI527" s="6" t="str">
        <x:v>2025-10</x:v>
      </x:c>
      <x:c r="AJ527" s="9" t="str">
        <x:v>NASA POWER (MERRA-2 meteorology)</x:v>
      </x:c>
      <x:c r="AK527" s="9" t="str">
        <x:v>Badan Informasi Geospasial (BIG)</x:v>
      </x:c>
      <x:c r="AL527" s="9" t="str">
        <x:v>https://power.larc.nasa.gov/docs/services/api/temporal/monthly/</x:v>
      </x:c>
      <x:c r="AM527" s="9" t="str">
        <x:v>https://geoservices.big.go.id/rbi/rest/services/BATASWILAYAH/BATAS_WILAYAH/MapServer/12</x:v>
      </x:c>
    </x:row>
    <x:row r="528" ht="18" customHeight="1">
      <x:c r="A528" s="6" t="str">
        <x:v>63</x:v>
      </x:c>
      <x:c r="B528" s="6" t="str">
        <x:v>KALIMANTAN SELATAN</x:v>
      </x:c>
      <x:c r="C528" s="6" t="str">
        <x:v>2025</x:v>
      </x:c>
      <x:c r="D528" s="6" t="str">
        <x:v>11</x:v>
      </x:c>
      <x:c r="E528" s="6" t="str">
        <x:v>26.53534101046724</x:v>
      </x:c>
      <x:c r="F528" s="9" t="str">
        <x:v>grid_cells_within_BIG_polygon</x:v>
      </x:c>
      <x:c r="G528" s="6" t="str">
        <x:v>9</x:v>
      </x:c>
      <x:c r="H528" s="8" t="str">
        <x:v>87.27853637401243</x:v>
      </x:c>
      <x:c r="I528" s="6" t="str">
        <x:v>8.640235496811336</x:v>
      </x:c>
      <x:c r="J528" s="6" t="str">
        <x:v>30</x:v>
      </x:c>
      <x:c r="K528" s="6" t="str">
        <x:v>259.2070649043401</x:v>
      </x:c>
      <x:c r="L528" s="6" t="str">
        <x:v>26.792481613812175</x:v>
      </x:c>
      <x:c r="M528" s="6" t="str">
        <x:v>0.5061997985483049</x:v>
      </x:c>
      <x:c r="N528" s="6" t="str">
        <x:v>83.66828894703438</x:v>
      </x:c>
      <x:c r="O528" s="6" t="str">
        <x:v>3.392771462328123</x:v>
      </x:c>
      <x:c r="P528" s="6" t="str">
        <x:v>224.6666214733365</x:v>
      </x:c>
      <x:c r="Q528" s="6" t="str">
        <x:v>67.65595598351705</x:v>
      </x:c>
      <x:c r="R528" s="6" t="str">
        <x:v>-0.2571406033449364</x:v>
      </x:c>
      <x:c r="S528" s="8" t="str">
        <x:v>-0.5079824292351992</x:v>
      </x:c>
      <x:c r="T528" s="6" t="str">
        <x:v>3.6102474269780487</x:v>
      </x:c>
      <x:c r="U528" s="8" t="str">
        <x:v>1.0640997977802764</x:v>
      </x:c>
      <x:c r="V528" s="6" t="str">
        <x:v>34.54044343100358</x:v>
      </x:c>
      <x:c r="W528" s="8" t="str">
        <x:v>0.5105307127641303</x:v>
      </x:c>
      <x:c r="X528" s="6" t="str">
        <x:v>-0.07735622256564634</x:v>
      </x:c>
      <x:c r="Y528" s="6" t="str">
        <x:v>0.5663037778914555</x:v>
      </x:c>
      <x:c r="Z528" s="6" t="str">
        <x:v>-0.00634495796979669</x:v>
      </x:c>
      <x:c r="AA528" s="6" t="str">
        <x:v>0.9108456846384198</x:v>
      </x:c>
      <x:c r="AB528" s="6" t="str">
        <x:v>1.1740806041235394</x:v>
      </x:c>
      <x:c r="AC528" s="6" t="str">
        <x:v>1.0496753621807455</x:v>
      </x:c>
      <x:c r="AD528" s="6" t="str">
        <x:v>2.496467066870278</x:v>
      </x:c>
      <x:c r="AE528" s="6" t="str">
        <x:v>0.6972131585432877</x:v>
      </x:c>
      <x:c r="AF528" s="6" t="str">
        <x:v>1.2347369793925649</x:v>
      </x:c>
      <x:c r="AG528" s="6" t="str">
        <x:v>0</x:v>
      </x:c>
      <x:c r="AH528" s="6" t="str">
        <x:v>0</x:v>
      </x:c>
      <x:c r="AI528" s="6" t="str">
        <x:v>2025-11</x:v>
      </x:c>
      <x:c r="AJ528" s="9" t="str">
        <x:v>NASA POWER (MERRA-2 meteorology)</x:v>
      </x:c>
      <x:c r="AK528" s="9" t="str">
        <x:v>Badan Informasi Geospasial (BIG)</x:v>
      </x:c>
      <x:c r="AL528" s="9" t="str">
        <x:v>https://power.larc.nasa.gov/docs/services/api/temporal/monthly/</x:v>
      </x:c>
      <x:c r="AM528" s="9" t="str">
        <x:v>https://geoservices.big.go.id/rbi/rest/services/BATASWILAYAH/BATAS_WILAYAH/MapServer/12</x:v>
      </x:c>
    </x:row>
    <x:row r="529" ht="18" customHeight="1">
      <x:c r="A529" s="6" t="str">
        <x:v>63</x:v>
      </x:c>
      <x:c r="B529" s="6" t="str">
        <x:v>KALIMANTAN SELATAN</x:v>
      </x:c>
      <x:c r="C529" s="6" t="str">
        <x:v>2025</x:v>
      </x:c>
      <x:c r="D529" s="6" t="str">
        <x:v>12</x:v>
      </x:c>
      <x:c r="E529" s="6" t="str">
        <x:v>26.30541440346568</x:v>
      </x:c>
      <x:c r="F529" s="9" t="str">
        <x:v>grid_cells_within_BIG_polygon</x:v>
      </x:c>
      <x:c r="G529" s="6" t="str">
        <x:v>9</x:v>
      </x:c>
      <x:c r="H529" s="8" t="str">
        <x:v>88.4394153998942</x:v>
      </x:c>
      <x:c r="I529" s="6" t="str">
        <x:v>13.646178754716217</x:v>
      </x:c>
      <x:c r="J529" s="6" t="str">
        <x:v>31</x:v>
      </x:c>
      <x:c r="K529" s="6" t="str">
        <x:v>423.0315413962027</x:v>
      </x:c>
      <x:c r="L529" s="6" t="str">
        <x:v>26.215283678338256</x:v>
      </x:c>
      <x:c r="M529" s="6" t="str">
        <x:v>0.43769803269216245</x:v>
      </x:c>
      <x:c r="N529" s="6" t="str">
        <x:v>87.12060662731434</x:v>
      </x:c>
      <x:c r="O529" s="6" t="str">
        <x:v>1.8929753046476405</x:v>
      </x:c>
      <x:c r="P529" s="6" t="str">
        <x:v>318.17361724012113</x:v>
      </x:c>
      <x:c r="Q529" s="6" t="str">
        <x:v>65.79193062808487</x:v>
      </x:c>
      <x:c r="R529" s="6" t="str">
        <x:v>0.09013072512742326</x:v>
      </x:c>
      <x:c r="S529" s="8" t="str">
        <x:v>0.20591987716520793</x:v>
      </x:c>
      <x:c r="T529" s="6" t="str">
        <x:v>1.3188087725798567</x:v>
      </x:c>
      <x:c r="U529" s="8" t="str">
        <x:v>0.6966856722018043</x:v>
      </x:c>
      <x:c r="V529" s="6" t="str">
        <x:v>104.8579241560816</x:v>
      </x:c>
      <x:c r="W529" s="8" t="str">
        <x:v>1.5937809265521152</x:v>
      </x:c>
      <x:c r="X529" s="6" t="str">
        <x:v>-0.5079824292351992</x:v>
      </x:c>
      <x:c r="Y529" s="6" t="str">
        <x:v>-0.07735622256564634</x:v>
      </x:c>
      <x:c r="Z529" s="6" t="str">
        <x:v>-0.12647292487854586</x:v>
      </x:c>
      <x:c r="AA529" s="6" t="str">
        <x:v>1.0640997977802764</x:v>
      </x:c>
      <x:c r="AB529" s="6" t="str">
        <x:v>0.9108456846384198</x:v>
      </x:c>
      <x:c r="AC529" s="6" t="str">
        <x:v>0.8905437182068338</x:v>
      </x:c>
      <x:c r="AD529" s="6" t="str">
        <x:v>0.5105307127641303</x:v>
      </x:c>
      <x:c r="AE529" s="6" t="str">
        <x:v>2.496467066870278</x:v>
      </x:c>
      <x:c r="AF529" s="6" t="str">
        <x:v>1.5335929020621741</x:v>
      </x:c>
      <x:c r="AG529" s="6" t="str">
        <x:v>1</x:v>
      </x:c>
      <x:c r="AH529" s="6" t="str">
        <x:v>0</x:v>
      </x:c>
      <x:c r="AI529" s="6" t="str">
        <x:v>2025-12</x:v>
      </x:c>
      <x:c r="AJ529" s="9" t="str">
        <x:v>NASA POWER (MERRA-2 meteorology)</x:v>
      </x:c>
      <x:c r="AK529" s="9" t="str">
        <x:v>Badan Informasi Geospasial (BIG)</x:v>
      </x:c>
      <x:c r="AL529" s="9" t="str">
        <x:v>https://power.larc.nasa.gov/docs/services/api/temporal/monthly/</x:v>
      </x:c>
      <x:c r="AM529" s="9" t="str">
        <x:v>https://geoservices.big.go.id/rbi/rest/services/BATASWILAYAH/BATAS_WILAYAH/MapServer/12</x:v>
      </x:c>
    </x:row>
    <x:row r="530" ht="18" customHeight="1">
      <x:c r="A530" s="6" t="str">
        <x:v>64</x:v>
      </x:c>
      <x:c r="B530" s="6" t="str">
        <x:v>KALIMANTAN TIMUR</x:v>
      </x:c>
      <x:c r="C530" s="6" t="str">
        <x:v>2024</x:v>
      </x:c>
      <x:c r="D530" s="6" t="str">
        <x:v>1</x:v>
      </x:c>
      <x:c r="E530" s="6" t="str">
        <x:v>25.593128107032953</x:v>
      </x:c>
      <x:c r="F530" s="9" t="str">
        <x:v>grid_cells_within_BIG_polygon</x:v>
      </x:c>
      <x:c r="G530" s="6" t="str">
        <x:v>33</x:v>
      </x:c>
      <x:c r="H530" s="8" t="str">
        <x:v>90.68603169616999</x:v>
      </x:c>
      <x:c r="I530" s="6" t="str">
        <x:v>9.0586519603667</x:v>
      </x:c>
      <x:c r="J530" s="6" t="str">
        <x:v>31</x:v>
      </x:c>
      <x:c r="K530" s="6" t="str">
        <x:v>280.81821077136766</x:v>
      </x:c>
      <x:c r="L530" s="6" t="str">
        <x:v>24.737660447597097</x:v>
      </x:c>
      <x:c r="M530" s="6" t="str">
        <x:v>0.3317301195989764</x:v>
      </x:c>
      <x:c r="N530" s="6" t="str">
        <x:v>90.17212884790115</x:v>
      </x:c>
      <x:c r="O530" s="6" t="str">
        <x:v>1.3427285287083224</x:v>
      </x:c>
      <x:c r="P530" s="6" t="str">
        <x:v>234.08453947802417</x:v>
      </x:c>
      <x:c r="Q530" s="6" t="str">
        <x:v>63.834564951128414</x:v>
      </x:c>
      <x:c r="R530" s="6" t="str">
        <x:v>0.8554676594358561</x:v>
      </x:c>
      <x:c r="S530" s="8" t="str">
        <x:v>2.578806110431028</x:v>
      </x:c>
      <x:c r="T530" s="6" t="str">
        <x:v>0.5139028482688417</x:v>
      </x:c>
      <x:c r="U530" s="8" t="str">
        <x:v>0.38273026697601026</x:v>
      </x:c>
      <x:c r="V530" s="6" t="str">
        <x:v>46.73367129334349</x:v>
      </x:c>
      <x:c r="W530" s="8" t="str">
        <x:v>0.732106051464793</x:v>
      </x:c>
      <x:c r="X530" s="6" t="str">
        <x:v>3.584830637325754</x:v>
      </x:c>
      <x:c r="Y530" s="6" t="str">
        <x:v>3.4225875858324883</x:v>
      </x:c>
      <x:c r="Z530" s="6" t="str">
        <x:v>3.195408111196423</x:v>
      </x:c>
      <x:c r="AA530" s="6" t="str">
        <x:v>-0.09508592138434646</x:v>
      </x:c>
      <x:c r="AB530" s="6" t="str">
        <x:v>-0.4278424814977856</x:v>
      </x:c>
      <x:c r="AC530" s="6" t="str">
        <x:v>-0.04673271196870663</x:v>
      </x:c>
      <x:c r="AD530" s="6" t="str">
        <x:v>-0.14033665841724083</x:v>
      </x:c>
      <x:c r="AE530" s="6" t="str">
        <x:v>-0.3316679925520156</x:v>
      </x:c>
      <x:c r="AF530" s="6" t="str">
        <x:v>0.08670046683184567</x:v>
      </x:c>
      <x:c r="AG530" s="6" t="str">
        <x:v>0</x:v>
      </x:c>
      <x:c r="AH530" s="6" t="str">
        <x:v>1</x:v>
      </x:c>
      <x:c r="AI530" s="6" t="str">
        <x:v>2024-01</x:v>
      </x:c>
      <x:c r="AJ530" s="9" t="str">
        <x:v>NASA POWER (MERRA-2 meteorology)</x:v>
      </x:c>
      <x:c r="AK530" s="9" t="str">
        <x:v>Badan Informasi Geospasial (BIG)</x:v>
      </x:c>
      <x:c r="AL530" s="9" t="str">
        <x:v>https://power.larc.nasa.gov/docs/services/api/temporal/monthly/</x:v>
      </x:c>
      <x:c r="AM530" s="9" t="str">
        <x:v>https://geoservices.big.go.id/rbi/rest/services/BATASWILAYAH/BATAS_WILAYAH/MapServer/12</x:v>
      </x:c>
    </x:row>
    <x:row r="531" ht="18" customHeight="1">
      <x:c r="A531" s="6" t="str">
        <x:v>64</x:v>
      </x:c>
      <x:c r="B531" s="6" t="str">
        <x:v>KALIMANTAN TIMUR</x:v>
      </x:c>
      <x:c r="C531" s="6" t="str">
        <x:v>2024</x:v>
      </x:c>
      <x:c r="D531" s="6" t="str">
        <x:v>2</x:v>
      </x:c>
      <x:c r="E531" s="6" t="str">
        <x:v>25.78101410493235</x:v>
      </x:c>
      <x:c r="F531" s="9" t="str">
        <x:v>grid_cells_within_BIG_polygon</x:v>
      </x:c>
      <x:c r="G531" s="6" t="str">
        <x:v>33</x:v>
      </x:c>
      <x:c r="H531" s="8" t="str">
        <x:v>89.97113203834134</x:v>
      </x:c>
      <x:c r="I531" s="6" t="str">
        <x:v>8.531147038500672</x:v>
      </x:c>
      <x:c r="J531" s="6" t="str">
        <x:v>29</x:v>
      </x:c>
      <x:c r="K531" s="6" t="str">
        <x:v>247.4032641165195</x:v>
      </x:c>
      <x:c r="L531" s="6" t="str">
        <x:v>24.809286046983676</x:v>
      </x:c>
      <x:c r="M531" s="6" t="str">
        <x:v>0.3767808278742634</x:v>
      </x:c>
      <x:c r="N531" s="6" t="str">
        <x:v>89.73875570976377</x:v>
      </x:c>
      <x:c r="O531" s="6" t="str">
        <x:v>1.9959715090405226</x:v>
      </x:c>
      <x:c r="P531" s="6" t="str">
        <x:v>213.7782890251094</x:v>
      </x:c>
      <x:c r="Q531" s="6" t="str">
        <x:v>68.73921220935311</x:v>
      </x:c>
      <x:c r="R531" s="6" t="str">
        <x:v>0.971728057948674</x:v>
      </x:c>
      <x:c r="S531" s="8" t="str">
        <x:v>2.579027344440551</x:v>
      </x:c>
      <x:c r="T531" s="6" t="str">
        <x:v>0.23237632857757262</x:v>
      </x:c>
      <x:c r="U531" s="8" t="str">
        <x:v>0.11642266812178975</x:v>
      </x:c>
      <x:c r="V531" s="6" t="str">
        <x:v>33.62497509141011</x:v>
      </x:c>
      <x:c r="W531" s="8" t="str">
        <x:v>0.48916730364906436</x:v>
      </x:c>
      <x:c r="X531" s="6" t="str">
        <x:v>2.578806110431028</x:v>
      </x:c>
      <x:c r="Y531" s="6" t="str">
        <x:v>3.584830637325754</x:v>
      </x:c>
      <x:c r="Z531" s="6" t="str">
        <x:v>2.9142213640657775</x:v>
      </x:c>
      <x:c r="AA531" s="6" t="str">
        <x:v>0.38273026697601026</x:v>
      </x:c>
      <x:c r="AB531" s="6" t="str">
        <x:v>-0.09508592138434646</x:v>
      </x:c>
      <x:c r="AC531" s="6" t="str">
        <x:v>0.1346890045711518</x:v>
      </x:c>
      <x:c r="AD531" s="6" t="str">
        <x:v>0.732106051464793</x:v>
      </x:c>
      <x:c r="AE531" s="6" t="str">
        <x:v>-0.14033665841724083</x:v>
      </x:c>
      <x:c r="AF531" s="6" t="str">
        <x:v>0.36031223223220565</x:v>
      </x:c>
      <x:c r="AG531" s="6" t="str">
        <x:v>0</x:v>
      </x:c>
      <x:c r="AH531" s="6" t="str">
        <x:v>1</x:v>
      </x:c>
      <x:c r="AI531" s="6" t="str">
        <x:v>2024-02</x:v>
      </x:c>
      <x:c r="AJ531" s="9" t="str">
        <x:v>NASA POWER (MERRA-2 meteorology)</x:v>
      </x:c>
      <x:c r="AK531" s="9" t="str">
        <x:v>Badan Informasi Geospasial (BIG)</x:v>
      </x:c>
      <x:c r="AL531" s="9" t="str">
        <x:v>https://power.larc.nasa.gov/docs/services/api/temporal/monthly/</x:v>
      </x:c>
      <x:c r="AM531" s="9" t="str">
        <x:v>https://geoservices.big.go.id/rbi/rest/services/BATASWILAYAH/BATAS_WILAYAH/MapServer/12</x:v>
      </x:c>
    </x:row>
    <x:row r="532" ht="18" customHeight="1">
      <x:c r="A532" s="6" t="str">
        <x:v>64</x:v>
      </x:c>
      <x:c r="B532" s="6" t="str">
        <x:v>KALIMANTAN TIMUR</x:v>
      </x:c>
      <x:c r="C532" s="6" t="str">
        <x:v>2024</x:v>
      </x:c>
      <x:c r="D532" s="6" t="str">
        <x:v>3</x:v>
      </x:c>
      <x:c r="E532" s="6" t="str">
        <x:v>25.879492743192028</x:v>
      </x:c>
      <x:c r="F532" s="9" t="str">
        <x:v>grid_cells_within_BIG_polygon</x:v>
      </x:c>
      <x:c r="G532" s="6" t="str">
        <x:v>33</x:v>
      </x:c>
      <x:c r="H532" s="8" t="str">
        <x:v>90.8193347177026</x:v>
      </x:c>
      <x:c r="I532" s="6" t="str">
        <x:v>8.991520005802586</x:v>
      </x:c>
      <x:c r="J532" s="6" t="str">
        <x:v>31</x:v>
      </x:c>
      <x:c r="K532" s="6" t="str">
        <x:v>278.73712017988015</x:v>
      </x:c>
      <x:c r="L532" s="6" t="str">
        <x:v>25.10190490837019</x:v>
      </x:c>
      <x:c r="M532" s="6" t="str">
        <x:v>0.457526761371455</x:v>
      </x:c>
      <x:c r="N532" s="6" t="str">
        <x:v>89.30662034594982</x:v>
      </x:c>
      <x:c r="O532" s="6" t="str">
        <x:v>2.9260506413810408</x:v>
      </x:c>
      <x:c r="P532" s="6" t="str">
        <x:v>230.94799970364912</x:v>
      </x:c>
      <x:c r="Q532" s="6" t="str">
        <x:v>62.674135823948426</x:v>
      </x:c>
      <x:c r="R532" s="6" t="str">
        <x:v>0.777587834821837</x:v>
      </x:c>
      <x:c r="S532" s="8" t="str">
        <x:v>1.699546125981759</x:v>
      </x:c>
      <x:c r="T532" s="6" t="str">
        <x:v>1.5127143717527787</x:v>
      </x:c>
      <x:c r="U532" s="8" t="str">
        <x:v>0.5169816100786301</x:v>
      </x:c>
      <x:c r="V532" s="6" t="str">
        <x:v>47.789120476231034</x:v>
      </x:c>
      <x:c r="W532" s="8" t="str">
        <x:v>0.7625014664816538</x:v>
      </x:c>
      <x:c r="X532" s="6" t="str">
        <x:v>2.579027344440551</x:v>
      </x:c>
      <x:c r="Y532" s="6" t="str">
        <x:v>2.578806110431028</x:v>
      </x:c>
      <x:c r="Z532" s="6" t="str">
        <x:v>2.285793193617779</x:v>
      </x:c>
      <x:c r="AA532" s="6" t="str">
        <x:v>0.11642266812178975</x:v>
      </x:c>
      <x:c r="AB532" s="6" t="str">
        <x:v>0.38273026697601026</x:v>
      </x:c>
      <x:c r="AC532" s="6" t="str">
        <x:v>0.33871151505881064</x:v>
      </x:c>
      <x:c r="AD532" s="6" t="str">
        <x:v>0.48916730364906436</x:v>
      </x:c>
      <x:c r="AE532" s="6" t="str">
        <x:v>0.732106051464793</x:v>
      </x:c>
      <x:c r="AF532" s="6" t="str">
        <x:v>0.6612582738651706</x:v>
      </x:c>
      <x:c r="AG532" s="6" t="str">
        <x:v>0</x:v>
      </x:c>
      <x:c r="AH532" s="6" t="str">
        <x:v>1</x:v>
      </x:c>
      <x:c r="AI532" s="6" t="str">
        <x:v>2024-03</x:v>
      </x:c>
      <x:c r="AJ532" s="9" t="str">
        <x:v>NASA POWER (MERRA-2 meteorology)</x:v>
      </x:c>
      <x:c r="AK532" s="9" t="str">
        <x:v>Badan Informasi Geospasial (BIG)</x:v>
      </x:c>
      <x:c r="AL532" s="9" t="str">
        <x:v>https://power.larc.nasa.gov/docs/services/api/temporal/monthly/</x:v>
      </x:c>
      <x:c r="AM532" s="9" t="str">
        <x:v>https://geoservices.big.go.id/rbi/rest/services/BATASWILAYAH/BATAS_WILAYAH/MapServer/12</x:v>
      </x:c>
    </x:row>
    <x:row r="533" ht="18" customHeight="1">
      <x:c r="A533" s="6" t="str">
        <x:v>64</x:v>
      </x:c>
      <x:c r="B533" s="6" t="str">
        <x:v>KALIMANTAN TIMUR</x:v>
      </x:c>
      <x:c r="C533" s="6" t="str">
        <x:v>2024</x:v>
      </x:c>
      <x:c r="D533" s="6" t="str">
        <x:v>4</x:v>
      </x:c>
      <x:c r="E533" s="6" t="str">
        <x:v>26.268586432398195</x:v>
      </x:c>
      <x:c r="F533" s="9" t="str">
        <x:v>grid_cells_within_BIG_polygon</x:v>
      </x:c>
      <x:c r="G533" s="6" t="str">
        <x:v>33</x:v>
      </x:c>
      <x:c r="H533" s="8" t="str">
        <x:v>90.0065838890122</x:v>
      </x:c>
      <x:c r="I533" s="6" t="str">
        <x:v>6.512943064586099</x:v>
      </x:c>
      <x:c r="J533" s="6" t="str">
        <x:v>30</x:v>
      </x:c>
      <x:c r="K533" s="6" t="str">
        <x:v>195.38829193758298</x:v>
      </x:c>
      <x:c r="L533" s="6" t="str">
        <x:v>25.362027908818757</x:v>
      </x:c>
      <x:c r="M533" s="6" t="str">
        <x:v>0.43055270482556507</x:v>
      </x:c>
      <x:c r="N533" s="6" t="str">
        <x:v>89.68574497798588</x:v>
      </x:c>
      <x:c r="O533" s="6" t="str">
        <x:v>2.5273167592542376</x:v>
      </x:c>
      <x:c r="P533" s="6" t="str">
        <x:v>223.3400551436634</x:v>
      </x:c>
      <x:c r="Q533" s="6" t="str">
        <x:v>48.53013660684572</x:v>
      </x:c>
      <x:c r="R533" s="6" t="str">
        <x:v>0.906558523579438</x:v>
      </x:c>
      <x:c r="S533" s="8" t="str">
        <x:v>2.1055692216513258</x:v>
      </x:c>
      <x:c r="T533" s="6" t="str">
        <x:v>0.32083891102632833</x:v>
      </x:c>
      <x:c r="U533" s="8" t="str">
        <x:v>0.1269484364599401</x:v>
      </x:c>
      <x:c r="V533" s="6" t="str">
        <x:v>-27.951763206080415</x:v>
      </x:c>
      <x:c r="W533" s="8" t="str">
        <x:v>-0.5759671239445369</x:v>
      </x:c>
      <x:c r="X533" s="6" t="str">
        <x:v>1.699546125981759</x:v>
      </x:c>
      <x:c r="Y533" s="6" t="str">
        <x:v>2.579027344440551</x:v>
      </x:c>
      <x:c r="Z533" s="6" t="str">
        <x:v>2.128047564024545</x:v>
      </x:c>
      <x:c r="AA533" s="6" t="str">
        <x:v>0.5169816100786301</x:v>
      </x:c>
      <x:c r="AB533" s="6" t="str">
        <x:v>0.11642266812178975</x:v>
      </x:c>
      <x:c r="AC533" s="6" t="str">
        <x:v>0.2534509048867873</x:v>
      </x:c>
      <x:c r="AD533" s="6" t="str">
        <x:v>0.7625014664816538</x:v>
      </x:c>
      <x:c r="AE533" s="6" t="str">
        <x:v>0.48916730364906436</x:v>
      </x:c>
      <x:c r="AF533" s="6" t="str">
        <x:v>0.22523388206206063</x:v>
      </x:c>
      <x:c r="AG533" s="6" t="str">
        <x:v>0</x:v>
      </x:c>
      <x:c r="AH533" s="6" t="str">
        <x:v>1</x:v>
      </x:c>
      <x:c r="AI533" s="6" t="str">
        <x:v>2024-04</x:v>
      </x:c>
      <x:c r="AJ533" s="9" t="str">
        <x:v>NASA POWER (MERRA-2 meteorology)</x:v>
      </x:c>
      <x:c r="AK533" s="9" t="str">
        <x:v>Badan Informasi Geospasial (BIG)</x:v>
      </x:c>
      <x:c r="AL533" s="9" t="str">
        <x:v>https://power.larc.nasa.gov/docs/services/api/temporal/monthly/</x:v>
      </x:c>
      <x:c r="AM533" s="9" t="str">
        <x:v>https://geoservices.big.go.id/rbi/rest/services/BATASWILAYAH/BATAS_WILAYAH/MapServer/12</x:v>
      </x:c>
    </x:row>
    <x:row r="534" ht="18" customHeight="1">
      <x:c r="A534" s="6" t="str">
        <x:v>64</x:v>
      </x:c>
      <x:c r="B534" s="6" t="str">
        <x:v>KALIMANTAN TIMUR</x:v>
      </x:c>
      <x:c r="C534" s="6" t="str">
        <x:v>2024</x:v>
      </x:c>
      <x:c r="D534" s="6" t="str">
        <x:v>5</x:v>
      </x:c>
      <x:c r="E534" s="6" t="str">
        <x:v>26.36250192049972</x:v>
      </x:c>
      <x:c r="F534" s="9" t="str">
        <x:v>grid_cells_within_BIG_polygon</x:v>
      </x:c>
      <x:c r="G534" s="6" t="str">
        <x:v>33</x:v>
      </x:c>
      <x:c r="H534" s="8" t="str">
        <x:v>91.23059196149491</x:v>
      </x:c>
      <x:c r="I534" s="6" t="str">
        <x:v>9.422139158435169</x:v>
      </x:c>
      <x:c r="J534" s="6" t="str">
        <x:v>31</x:v>
      </x:c>
      <x:c r="K534" s="6" t="str">
        <x:v>292.0863139114902</x:v>
      </x:c>
      <x:c r="L534" s="6" t="str">
        <x:v>25.4008749629889</x:v>
      </x:c>
      <x:c r="M534" s="6" t="str">
        <x:v>0.3389319119402224</x:v>
      </x:c>
      <x:c r="N534" s="6" t="str">
        <x:v>90.70361609946684</x:v>
      </x:c>
      <x:c r="O534" s="6" t="str">
        <x:v>0.8177946219152481</x:v>
      </x:c>
      <x:c r="P534" s="6" t="str">
        <x:v>230.73105807943924</x:v>
      </x:c>
      <x:c r="Q534" s="6" t="str">
        <x:v>47.66273393333703</x:v>
      </x:c>
      <x:c r="R534" s="6" t="str">
        <x:v>0.9616269575108198</x:v>
      </x:c>
      <x:c r="S534" s="8" t="str">
        <x:v>2.8372275481702727</x:v>
      </x:c>
      <x:c r="T534" s="6" t="str">
        <x:v>0.5269758620280669</x:v>
      </x:c>
      <x:c r="U534" s="8" t="str">
        <x:v>0.6443865585639421</x:v>
      </x:c>
      <x:c r="V534" s="6" t="str">
        <x:v>61.35525583205097</x:v>
      </x:c>
      <x:c r="W534" s="8" t="str">
        <x:v>1.28727940612607</x:v>
      </x:c>
      <x:c r="X534" s="6" t="str">
        <x:v>2.1055692216513258</x:v>
      </x:c>
      <x:c r="Y534" s="6" t="str">
        <x:v>1.699546125981759</x:v>
      </x:c>
      <x:c r="Z534" s="6" t="str">
        <x:v>2.214114298601119</x:v>
      </x:c>
      <x:c r="AA534" s="6" t="str">
        <x:v>0.1269484364599401</x:v>
      </x:c>
      <x:c r="AB534" s="6" t="str">
        <x:v>0.5169816100786301</x:v>
      </x:c>
      <x:c r="AC534" s="6" t="str">
        <x:v>0.4294388683675048</x:v>
      </x:c>
      <x:c r="AD534" s="6" t="str">
        <x:v>-0.5759671239445369</x:v>
      </x:c>
      <x:c r="AE534" s="6" t="str">
        <x:v>0.7625014664816538</x:v>
      </x:c>
      <x:c r="AF534" s="6" t="str">
        <x:v>0.4912712495543958</x:v>
      </x:c>
      <x:c r="AG534" s="6" t="str">
        <x:v>1</x:v>
      </x:c>
      <x:c r="AH534" s="6" t="str">
        <x:v>1</x:v>
      </x:c>
      <x:c r="AI534" s="6" t="str">
        <x:v>2024-05</x:v>
      </x:c>
      <x:c r="AJ534" s="9" t="str">
        <x:v>NASA POWER (MERRA-2 meteorology)</x:v>
      </x:c>
      <x:c r="AK534" s="9" t="str">
        <x:v>Badan Informasi Geospasial (BIG)</x:v>
      </x:c>
      <x:c r="AL534" s="9" t="str">
        <x:v>https://power.larc.nasa.gov/docs/services/api/temporal/monthly/</x:v>
      </x:c>
      <x:c r="AM534" s="9" t="str">
        <x:v>https://geoservices.big.go.id/rbi/rest/services/BATASWILAYAH/BATAS_WILAYAH/MapServer/12</x:v>
      </x:c>
    </x:row>
    <x:row r="535" ht="18" customHeight="1">
      <x:c r="A535" s="6" t="str">
        <x:v>64</x:v>
      </x:c>
      <x:c r="B535" s="6" t="str">
        <x:v>KALIMANTAN TIMUR</x:v>
      </x:c>
      <x:c r="C535" s="6" t="str">
        <x:v>2024</x:v>
      </x:c>
      <x:c r="D535" s="6" t="str">
        <x:v>6</x:v>
      </x:c>
      <x:c r="E535" s="6" t="str">
        <x:v>25.487052227016825</x:v>
      </x:c>
      <x:c r="F535" s="9" t="str">
        <x:v>grid_cells_within_BIG_polygon</x:v>
      </x:c>
      <x:c r="G535" s="6" t="str">
        <x:v>33</x:v>
      </x:c>
      <x:c r="H535" s="8" t="str">
        <x:v>91.60631749837808</x:v>
      </x:c>
      <x:c r="I535" s="6" t="str">
        <x:v>8.784315395959439</x:v>
      </x:c>
      <x:c r="J535" s="6" t="str">
        <x:v>30</x:v>
      </x:c>
      <x:c r="K535" s="6" t="str">
        <x:v>263.5294618787832</x:v>
      </x:c>
      <x:c r="L535" s="6" t="str">
        <x:v>24.9187419568422</x:v>
      </x:c>
      <x:c r="M535" s="6" t="str">
        <x:v>0.26924967820397927</x:v>
      </x:c>
      <x:c r="N535" s="6" t="str">
        <x:v>90.91336382357159</x:v>
      </x:c>
      <x:c r="O535" s="6" t="str">
        <x:v>0.9347015155584625</x:v>
      </x:c>
      <x:c r="P535" s="6" t="str">
        <x:v>194.63921583261978</x:v>
      </x:c>
      <x:c r="Q535" s="6" t="str">
        <x:v>56.189002518154616</x:v>
      </x:c>
      <x:c r="R535" s="6" t="str">
        <x:v>0.5683102701746243</x:v>
      </x:c>
      <x:c r="S535" s="8" t="str">
        <x:v>2.1107184750062413</x:v>
      </x:c>
      <x:c r="T535" s="6" t="str">
        <x:v>0.6929536748064891</x:v>
      </x:c>
      <x:c r="U535" s="8" t="str">
        <x:v>0.7413635939088697</x:v>
      </x:c>
      <x:c r="V535" s="6" t="str">
        <x:v>68.89024604616341</x:v>
      </x:c>
      <x:c r="W535" s="8" t="str">
        <x:v>1.2260450080761807</x:v>
      </x:c>
      <x:c r="X535" s="6" t="str">
        <x:v>2.8372275481702727</x:v>
      </x:c>
      <x:c r="Y535" s="6" t="str">
        <x:v>2.1055692216513258</x:v>
      </x:c>
      <x:c r="Z535" s="6" t="str">
        <x:v>2.3511717482759464</x:v>
      </x:c>
      <x:c r="AA535" s="6" t="str">
        <x:v>0.6443865585639421</x:v>
      </x:c>
      <x:c r="AB535" s="6" t="str">
        <x:v>0.1269484364599401</x:v>
      </x:c>
      <x:c r="AC535" s="6" t="str">
        <x:v>0.5042328629775846</x:v>
      </x:c>
      <x:c r="AD535" s="6" t="str">
        <x:v>1.28727940612607</x:v>
      </x:c>
      <x:c r="AE535" s="6" t="str">
        <x:v>-0.5759671239445369</x:v>
      </x:c>
      <x:c r="AF535" s="6" t="str">
        <x:v>0.645785763419238</x:v>
      </x:c>
      <x:c r="AG535" s="6" t="str">
        <x:v>1</x:v>
      </x:c>
      <x:c r="AH535" s="6" t="str">
        <x:v>1</x:v>
      </x:c>
      <x:c r="AI535" s="6" t="str">
        <x:v>2024-06</x:v>
      </x:c>
      <x:c r="AJ535" s="9" t="str">
        <x:v>NASA POWER (MERRA-2 meteorology)</x:v>
      </x:c>
      <x:c r="AK535" s="9" t="str">
        <x:v>Badan Informasi Geospasial (BIG)</x:v>
      </x:c>
      <x:c r="AL535" s="9" t="str">
        <x:v>https://power.larc.nasa.gov/docs/services/api/temporal/monthly/</x:v>
      </x:c>
      <x:c r="AM535" s="9" t="str">
        <x:v>https://geoservices.big.go.id/rbi/rest/services/BATASWILAYAH/BATAS_WILAYAH/MapServer/12</x:v>
      </x:c>
    </x:row>
    <x:row r="536" ht="18" customHeight="1">
      <x:c r="A536" s="6" t="str">
        <x:v>64</x:v>
      </x:c>
      <x:c r="B536" s="6" t="str">
        <x:v>KALIMANTAN TIMUR</x:v>
      </x:c>
      <x:c r="C536" s="6" t="str">
        <x:v>2024</x:v>
      </x:c>
      <x:c r="D536" s="6" t="str">
        <x:v>7</x:v>
      </x:c>
      <x:c r="E536" s="6" t="str">
        <x:v>25.2797770105447</x:v>
      </x:c>
      <x:c r="F536" s="9" t="str">
        <x:v>grid_cells_within_BIG_polygon</x:v>
      </x:c>
      <x:c r="G536" s="6" t="str">
        <x:v>33</x:v>
      </x:c>
      <x:c r="H536" s="8" t="str">
        <x:v>91.10056292740542</x:v>
      </x:c>
      <x:c r="I536" s="6" t="str">
        <x:v>5.012423369841226</x:v>
      </x:c>
      <x:c r="J536" s="6" t="str">
        <x:v>31</x:v>
      </x:c>
      <x:c r="K536" s="6" t="str">
        <x:v>155.385124465078</x:v>
      </x:c>
      <x:c r="L536" s="6" t="str">
        <x:v>24.56525333975737</x:v>
      </x:c>
      <x:c r="M536" s="6" t="str">
        <x:v>0.2813886879373511</x:v>
      </x:c>
      <x:c r="N536" s="6" t="str">
        <x:v>90.27052280823196</x:v>
      </x:c>
      <x:c r="O536" s="6" t="str">
        <x:v>1.148907908122011</x:v>
      </x:c>
      <x:c r="P536" s="6" t="str">
        <x:v>157.6172363687582</x:v>
      </x:c>
      <x:c r="Q536" s="6" t="str">
        <x:v>63.61381321591377</x:v>
      </x:c>
      <x:c r="R536" s="6" t="str">
        <x:v>0.7145236707873295</x:v>
      </x:c>
      <x:c r="S536" s="8" t="str">
        <x:v>2.539276457859643</x:v>
      </x:c>
      <x:c r="T536" s="6" t="str">
        <x:v>0.8300401191734608</x:v>
      </x:c>
      <x:c r="U536" s="8" t="str">
        <x:v>0.7224600973721496</x:v>
      </x:c>
      <x:c r="V536" s="6" t="str">
        <x:v>-2.2321119036801917</x:v>
      </x:c>
      <x:c r="W536" s="8" t="str">
        <x:v>-0.03508847828543316</x:v>
      </x:c>
      <x:c r="X536" s="6" t="str">
        <x:v>2.1107184750062413</x:v>
      </x:c>
      <x:c r="Y536" s="6" t="str">
        <x:v>2.8372275481702727</x:v>
      </x:c>
      <x:c r="Z536" s="6" t="str">
        <x:v>2.495740827012052</x:v>
      </x:c>
      <x:c r="AA536" s="6" t="str">
        <x:v>0.7413635939088697</x:v>
      </x:c>
      <x:c r="AB536" s="6" t="str">
        <x:v>0.6443865585639421</x:v>
      </x:c>
      <x:c r="AC536" s="6" t="str">
        <x:v>0.7027367499483211</x:v>
      </x:c>
      <x:c r="AD536" s="6" t="str">
        <x:v>1.2260450080761807</x:v>
      </x:c>
      <x:c r="AE536" s="6" t="str">
        <x:v>1.28727940612607</x:v>
      </x:c>
      <x:c r="AF536" s="6" t="str">
        <x:v>0.826078645305606</x:v>
      </x:c>
      <x:c r="AG536" s="6" t="str">
        <x:v>0</x:v>
      </x:c>
      <x:c r="AH536" s="6" t="str">
        <x:v>1</x:v>
      </x:c>
      <x:c r="AI536" s="6" t="str">
        <x:v>2024-07</x:v>
      </x:c>
      <x:c r="AJ536" s="9" t="str">
        <x:v>NASA POWER (MERRA-2 meteorology)</x:v>
      </x:c>
      <x:c r="AK536" s="9" t="str">
        <x:v>Badan Informasi Geospasial (BIG)</x:v>
      </x:c>
      <x:c r="AL536" s="9" t="str">
        <x:v>https://power.larc.nasa.gov/docs/services/api/temporal/monthly/</x:v>
      </x:c>
      <x:c r="AM536" s="9" t="str">
        <x:v>https://geoservices.big.go.id/rbi/rest/services/BATASWILAYAH/BATAS_WILAYAH/MapServer/12</x:v>
      </x:c>
    </x:row>
    <x:row r="537" ht="18" customHeight="1">
      <x:c r="A537" s="6" t="str">
        <x:v>64</x:v>
      </x:c>
      <x:c r="B537" s="6" t="str">
        <x:v>KALIMANTAN TIMUR</x:v>
      </x:c>
      <x:c r="C537" s="6" t="str">
        <x:v>2024</x:v>
      </x:c>
      <x:c r="D537" s="6" t="str">
        <x:v>8</x:v>
      </x:c>
      <x:c r="E537" s="6" t="str">
        <x:v>25.31068470603068</x:v>
      </x:c>
      <x:c r="F537" s="9" t="str">
        <x:v>grid_cells_within_BIG_polygon</x:v>
      </x:c>
      <x:c r="G537" s="6" t="str">
        <x:v>33</x:v>
      </x:c>
      <x:c r="H537" s="8" t="str">
        <x:v>91.09211009113858</x:v>
      </x:c>
      <x:c r="I537" s="6" t="str">
        <x:v>7.969721156239402</x:v>
      </x:c>
      <x:c r="J537" s="6" t="str">
        <x:v>31</x:v>
      </x:c>
      <x:c r="K537" s="6" t="str">
        <x:v>247.06135584342144</x:v>
      </x:c>
      <x:c r="L537" s="6" t="str">
        <x:v>24.670929499743245</x:v>
      </x:c>
      <x:c r="M537" s="6" t="str">
        <x:v>0.27013978144498385</x:v>
      </x:c>
      <x:c r="N537" s="6" t="str">
        <x:v>89.08779343884957</x:v>
      </x:c>
      <x:c r="O537" s="6" t="str">
        <x:v>1.7448520621087693</x:v>
      </x:c>
      <x:c r="P537" s="6" t="str">
        <x:v>137.80589693030248</x:v>
      </x:c>
      <x:c r="Q537" s="6" t="str">
        <x:v>59.40954209809384</x:v>
      </x:c>
      <x:c r="R537" s="6" t="str">
        <x:v>0.6397552062874361</x:v>
      </x:c>
      <x:c r="S537" s="8" t="str">
        <x:v>2.3682376689037463</x:v>
      </x:c>
      <x:c r="T537" s="6" t="str">
        <x:v>2.004316652289006</x:v>
      </x:c>
      <x:c r="U537" s="8" t="str">
        <x:v>1.1487029163186802</x:v>
      </x:c>
      <x:c r="V537" s="6" t="str">
        <x:v>109.25545891311896</x:v>
      </x:c>
      <x:c r="W537" s="8" t="str">
        <x:v>1.8390220670733706</x:v>
      </x:c>
      <x:c r="X537" s="6" t="str">
        <x:v>2.539276457859643</x:v>
      </x:c>
      <x:c r="Y537" s="6" t="str">
        <x:v>2.1107184750062413</x:v>
      </x:c>
      <x:c r="Z537" s="6" t="str">
        <x:v>2.3394108672565435</x:v>
      </x:c>
      <x:c r="AA537" s="6" t="str">
        <x:v>0.7224600973721496</x:v>
      </x:c>
      <x:c r="AB537" s="6" t="str">
        <x:v>0.7413635939088697</x:v>
      </x:c>
      <x:c r="AC537" s="6" t="str">
        <x:v>0.8708422025332339</x:v>
      </x:c>
      <x:c r="AD537" s="6" t="str">
        <x:v>-0.03508847828543316</x:v>
      </x:c>
      <x:c r="AE537" s="6" t="str">
        <x:v>1.2260450080761807</x:v>
      </x:c>
      <x:c r="AF537" s="6" t="str">
        <x:v>1.0099928656213728</x:v>
      </x:c>
      <x:c r="AG537" s="6" t="str">
        <x:v>1</x:v>
      </x:c>
      <x:c r="AH537" s="6" t="str">
        <x:v>1</x:v>
      </x:c>
      <x:c r="AI537" s="6" t="str">
        <x:v>2024-08</x:v>
      </x:c>
      <x:c r="AJ537" s="9" t="str">
        <x:v>NASA POWER (MERRA-2 meteorology)</x:v>
      </x:c>
      <x:c r="AK537" s="9" t="str">
        <x:v>Badan Informasi Geospasial (BIG)</x:v>
      </x:c>
      <x:c r="AL537" s="9" t="str">
        <x:v>https://power.larc.nasa.gov/docs/services/api/temporal/monthly/</x:v>
      </x:c>
      <x:c r="AM537" s="9" t="str">
        <x:v>https://geoservices.big.go.id/rbi/rest/services/BATASWILAYAH/BATAS_WILAYAH/MapServer/12</x:v>
      </x:c>
    </x:row>
    <x:row r="538" ht="18" customHeight="1">
      <x:c r="A538" s="6" t="str">
        <x:v>64</x:v>
      </x:c>
      <x:c r="B538" s="6" t="str">
        <x:v>KALIMANTAN TIMUR</x:v>
      </x:c>
      <x:c r="C538" s="6" t="str">
        <x:v>2024</x:v>
      </x:c>
      <x:c r="D538" s="6" t="str">
        <x:v>9</x:v>
      </x:c>
      <x:c r="E538" s="6" t="str">
        <x:v>25.690985013403125</x:v>
      </x:c>
      <x:c r="F538" s="9" t="str">
        <x:v>grid_cells_within_BIG_polygon</x:v>
      </x:c>
      <x:c r="G538" s="6" t="str">
        <x:v>33</x:v>
      </x:c>
      <x:c r="H538" s="8" t="str">
        <x:v>88.73636755679813</x:v>
      </x:c>
      <x:c r="I538" s="6" t="str">
        <x:v>7.015144488123861</x:v>
      </x:c>
      <x:c r="J538" s="6" t="str">
        <x:v>30</x:v>
      </x:c>
      <x:c r="K538" s="6" t="str">
        <x:v>210.4543346437158</x:v>
      </x:c>
      <x:c r="L538" s="6" t="str">
        <x:v>24.90852931274591</x:v>
      </x:c>
      <x:c r="M538" s="6" t="str">
        <x:v>0.35361485829520617</x:v>
      </x:c>
      <x:c r="N538" s="6" t="str">
        <x:v>88.29028857475053</x:v>
      </x:c>
      <x:c r="O538" s="6" t="str">
        <x:v>2.464734776348584</x:v>
      </x:c>
      <x:c r="P538" s="6" t="str">
        <x:v>148.35484172735923</x:v>
      </x:c>
      <x:c r="Q538" s="6" t="str">
        <x:v>69.14674029521132</x:v>
      </x:c>
      <x:c r="R538" s="6" t="str">
        <x:v>0.7824557006572164</x:v>
      </x:c>
      <x:c r="S538" s="8" t="str">
        <x:v>2.2127342285034968</x:v>
      </x:c>
      <x:c r="T538" s="6" t="str">
        <x:v>0.4460789820475952</x:v>
      </x:c>
      <x:c r="U538" s="8" t="str">
        <x:v>0.18098457745966695</x:v>
      </x:c>
      <x:c r="V538" s="6" t="str">
        <x:v>62.09949291635658</x:v>
      </x:c>
      <x:c r="W538" s="8" t="str">
        <x:v>0.8980827245251533</x:v>
      </x:c>
      <x:c r="X538" s="6" t="str">
        <x:v>2.3682376689037463</x:v>
      </x:c>
      <x:c r="Y538" s="6" t="str">
        <x:v>2.539276457859643</x:v>
      </x:c>
      <x:c r="Z538" s="6" t="str">
        <x:v>2.373416118422295</x:v>
      </x:c>
      <x:c r="AA538" s="6" t="str">
        <x:v>1.1487029163186802</x:v>
      </x:c>
      <x:c r="AB538" s="6" t="str">
        <x:v>0.7224600973721496</x:v>
      </x:c>
      <x:c r="AC538" s="6" t="str">
        <x:v>0.6840491970501662</x:v>
      </x:c>
      <x:c r="AD538" s="6" t="str">
        <x:v>1.8390220670733706</x:v>
      </x:c>
      <x:c r="AE538" s="6" t="str">
        <x:v>-0.03508847828543316</x:v>
      </x:c>
      <x:c r="AF538" s="6" t="str">
        <x:v>0.900672104437697</x:v>
      </x:c>
      <x:c r="AG538" s="6" t="str">
        <x:v>0</x:v>
      </x:c>
      <x:c r="AH538" s="6" t="str">
        <x:v>1</x:v>
      </x:c>
      <x:c r="AI538" s="6" t="str">
        <x:v>2024-09</x:v>
      </x:c>
      <x:c r="AJ538" s="9" t="str">
        <x:v>NASA POWER (MERRA-2 meteorology)</x:v>
      </x:c>
      <x:c r="AK538" s="9" t="str">
        <x:v>Badan Informasi Geospasial (BIG)</x:v>
      </x:c>
      <x:c r="AL538" s="9" t="str">
        <x:v>https://power.larc.nasa.gov/docs/services/api/temporal/monthly/</x:v>
      </x:c>
      <x:c r="AM538" s="9" t="str">
        <x:v>https://geoservices.big.go.id/rbi/rest/services/BATASWILAYAH/BATAS_WILAYAH/MapServer/12</x:v>
      </x:c>
    </x:row>
    <x:row r="539" ht="18" customHeight="1">
      <x:c r="A539" s="6" t="str">
        <x:v>64</x:v>
      </x:c>
      <x:c r="B539" s="6" t="str">
        <x:v>KALIMANTAN TIMUR</x:v>
      </x:c>
      <x:c r="C539" s="6" t="str">
        <x:v>2024</x:v>
      </x:c>
      <x:c r="D539" s="6" t="str">
        <x:v>10</x:v>
      </x:c>
      <x:c r="E539" s="6" t="str">
        <x:v>25.655536646966993</x:v>
      </x:c>
      <x:c r="F539" s="9" t="str">
        <x:v>grid_cells_within_BIG_polygon</x:v>
      </x:c>
      <x:c r="G539" s="6" t="str">
        <x:v>33</x:v>
      </x:c>
      <x:c r="H539" s="8" t="str">
        <x:v>89.69818297127591</x:v>
      </x:c>
      <x:c r="I539" s="6" t="str">
        <x:v>6.713654900790926</x:v>
      </x:c>
      <x:c r="J539" s="6" t="str">
        <x:v>31</x:v>
      </x:c>
      <x:c r="K539" s="6" t="str">
        <x:v>208.12330192451873</x:v>
      </x:c>
      <x:c r="L539" s="6" t="str">
        <x:v>25.18969618893218</x:v>
      </x:c>
      <x:c r="M539" s="6" t="str">
        <x:v>0.3051015456753946</x:v>
      </x:c>
      <x:c r="N539" s="6" t="str">
        <x:v>88.50500603134938</x:v>
      </x:c>
      <x:c r="O539" s="6" t="str">
        <x:v>2.672508315084706</x:v>
      </x:c>
      <x:c r="P539" s="6" t="str">
        <x:v>195.0459017932048</x:v>
      </x:c>
      <x:c r="Q539" s="6" t="str">
        <x:v>70.51799961575948</x:v>
      </x:c>
      <x:c r="R539" s="6" t="str">
        <x:v>0.4658404580348119</x:v>
      </x:c>
      <x:c r="S539" s="8" t="str">
        <x:v>1.5268374239258413</x:v>
      </x:c>
      <x:c r="T539" s="6" t="str">
        <x:v>1.1931769399265306</x:v>
      </x:c>
      <x:c r="U539" s="8" t="str">
        <x:v>0.44646332181335513</x:v>
      </x:c>
      <x:c r="V539" s="6" t="str">
        <x:v>13.077400131313937</x:v>
      </x:c>
      <x:c r="W539" s="8" t="str">
        <x:v>0.18544768998795277</x:v>
      </x:c>
      <x:c r="X539" s="6" t="str">
        <x:v>2.2127342285034968</x:v>
      </x:c>
      <x:c r="Y539" s="6" t="str">
        <x:v>2.3682376689037463</x:v>
      </x:c>
      <x:c r="Z539" s="6" t="str">
        <x:v>2.035936440444361</x:v>
      </x:c>
      <x:c r="AA539" s="6" t="str">
        <x:v>0.18098457745966695</x:v>
      </x:c>
      <x:c r="AB539" s="6" t="str">
        <x:v>1.1487029163186802</x:v>
      </x:c>
      <x:c r="AC539" s="6" t="str">
        <x:v>0.5920502718639015</x:v>
      </x:c>
      <x:c r="AD539" s="6" t="str">
        <x:v>0.8980827245251533</x:v>
      </x:c>
      <x:c r="AE539" s="6" t="str">
        <x:v>1.8390220670733706</x:v>
      </x:c>
      <x:c r="AF539" s="6" t="str">
        <x:v>0.9741841605288256</x:v>
      </x:c>
      <x:c r="AG539" s="6" t="str">
        <x:v>0</x:v>
      </x:c>
      <x:c r="AH539" s="6" t="str">
        <x:v>1</x:v>
      </x:c>
      <x:c r="AI539" s="6" t="str">
        <x:v>2024-10</x:v>
      </x:c>
      <x:c r="AJ539" s="9" t="str">
        <x:v>NASA POWER (MERRA-2 meteorology)</x:v>
      </x:c>
      <x:c r="AK539" s="9" t="str">
        <x:v>Badan Informasi Geospasial (BIG)</x:v>
      </x:c>
      <x:c r="AL539" s="9" t="str">
        <x:v>https://power.larc.nasa.gov/docs/services/api/temporal/monthly/</x:v>
      </x:c>
      <x:c r="AM539" s="9" t="str">
        <x:v>https://geoservices.big.go.id/rbi/rest/services/BATASWILAYAH/BATAS_WILAYAH/MapServer/12</x:v>
      </x:c>
    </x:row>
    <x:row r="540" ht="18" customHeight="1">
      <x:c r="A540" s="6" t="str">
        <x:v>64</x:v>
      </x:c>
      <x:c r="B540" s="6" t="str">
        <x:v>KALIMANTAN TIMUR</x:v>
      </x:c>
      <x:c r="C540" s="6" t="str">
        <x:v>2024</x:v>
      </x:c>
      <x:c r="D540" s="6" t="str">
        <x:v>11</x:v>
      </x:c>
      <x:c r="E540" s="6" t="str">
        <x:v>25.77887893890131</x:v>
      </x:c>
      <x:c r="F540" s="9" t="str">
        <x:v>grid_cells_within_BIG_polygon</x:v>
      </x:c>
      <x:c r="G540" s="6" t="str">
        <x:v>33</x:v>
      </x:c>
      <x:c r="H540" s="8" t="str">
        <x:v>90.15119107558202</x:v>
      </x:c>
      <x:c r="I540" s="6" t="str">
        <x:v>8.32301330788533</x:v>
      </x:c>
      <x:c r="J540" s="6" t="str">
        <x:v>30</x:v>
      </x:c>
      <x:c r="K540" s="6" t="str">
        <x:v>249.69039923655987</x:v>
      </x:c>
      <x:c r="L540" s="6" t="str">
        <x:v>25.1884147600627</x:v>
      </x:c>
      <x:c r="M540" s="6" t="str">
        <x:v>0.2421086150065994</x:v>
      </x:c>
      <x:c r="N540" s="6" t="str">
        <x:v>89.67093585989944</x:v>
      </x:c>
      <x:c r="O540" s="6" t="str">
        <x:v>1.4570626317060238</x:v>
      </x:c>
      <x:c r="P540" s="6" t="str">
        <x:v>237.08587299102427</x:v>
      </x:c>
      <x:c r="Q540" s="6" t="str">
        <x:v>57.118329518747785</x:v>
      </x:c>
      <x:c r="R540" s="6" t="str">
        <x:v>0.5904641788386122</x:v>
      </x:c>
      <x:c r="S540" s="8" t="str">
        <x:v>2.4388400174133307</x:v>
      </x:c>
      <x:c r="T540" s="6" t="str">
        <x:v>0.48025521568257545</x:v>
      </x:c>
      <x:c r="U540" s="8" t="str">
        <x:v>0.3296050596811074</x:v>
      </x:c>
      <x:c r="V540" s="6" t="str">
        <x:v>12.604526245535595</x:v>
      </x:c>
      <x:c r="W540" s="8" t="str">
        <x:v>0.2206739299229409</x:v>
      </x:c>
      <x:c r="X540" s="6" t="str">
        <x:v>1.5268374239258413</x:v>
      </x:c>
      <x:c r="Y540" s="6" t="str">
        <x:v>2.2127342285034968</x:v>
      </x:c>
      <x:c r="Z540" s="6" t="str">
        <x:v>2.0594705566142224</x:v>
      </x:c>
      <x:c r="AA540" s="6" t="str">
        <x:v>0.44646332181335513</x:v>
      </x:c>
      <x:c r="AB540" s="6" t="str">
        <x:v>0.18098457745966695</x:v>
      </x:c>
      <x:c r="AC540" s="6" t="str">
        <x:v>0.31901765298471046</x:v>
      </x:c>
      <x:c r="AD540" s="6" t="str">
        <x:v>0.18544768998795277</x:v>
      </x:c>
      <x:c r="AE540" s="6" t="str">
        <x:v>0.8980827245251533</x:v>
      </x:c>
      <x:c r="AF540" s="6" t="str">
        <x:v>0.43473478147868244</x:v>
      </x:c>
      <x:c r="AG540" s="6" t="str">
        <x:v>0</x:v>
      </x:c>
      <x:c r="AH540" s="6" t="str">
        <x:v>1</x:v>
      </x:c>
      <x:c r="AI540" s="6" t="str">
        <x:v>2024-11</x:v>
      </x:c>
      <x:c r="AJ540" s="9" t="str">
        <x:v>NASA POWER (MERRA-2 meteorology)</x:v>
      </x:c>
      <x:c r="AK540" s="9" t="str">
        <x:v>Badan Informasi Geospasial (BIG)</x:v>
      </x:c>
      <x:c r="AL540" s="9" t="str">
        <x:v>https://power.larc.nasa.gov/docs/services/api/temporal/monthly/</x:v>
      </x:c>
      <x:c r="AM540" s="9" t="str">
        <x:v>https://geoservices.big.go.id/rbi/rest/services/BATASWILAYAH/BATAS_WILAYAH/MapServer/12</x:v>
      </x:c>
    </x:row>
    <x:row r="541" ht="18" customHeight="1">
      <x:c r="A541" s="6" t="str">
        <x:v>64</x:v>
      </x:c>
      <x:c r="B541" s="6" t="str">
        <x:v>KALIMANTAN TIMUR</x:v>
      </x:c>
      <x:c r="C541" s="6" t="str">
        <x:v>2024</x:v>
      </x:c>
      <x:c r="D541" s="6" t="str">
        <x:v>12</x:v>
      </x:c>
      <x:c r="E541" s="6" t="str">
        <x:v>25.533414082161308</x:v>
      </x:c>
      <x:c r="F541" s="9" t="str">
        <x:v>grid_cells_within_BIG_polygon</x:v>
      </x:c>
      <x:c r="G541" s="6" t="str">
        <x:v>33</x:v>
      </x:c>
      <x:c r="H541" s="8" t="str">
        <x:v>91.77420928872029</x:v>
      </x:c>
      <x:c r="I541" s="6" t="str">
        <x:v>10.688013731787517</x:v>
      </x:c>
      <x:c r="J541" s="6" t="str">
        <x:v>31</x:v>
      </x:c>
      <x:c r="K541" s="6" t="str">
        <x:v>331.32842568541304</x:v>
      </x:c>
      <x:c r="L541" s="6" t="str">
        <x:v>24.951427257876496</x:v>
      </x:c>
      <x:c r="M541" s="6" t="str">
        <x:v>0.25152831594322445</x:v>
      </x:c>
      <x:c r="N541" s="6" t="str">
        <x:v>90.47076427832533</x:v>
      </x:c>
      <x:c r="O541" s="6" t="str">
        <x:v>0.9036747804258519</x:v>
      </x:c>
      <x:c r="P541" s="6" t="str">
        <x:v>259.8520760945201</x:v>
      </x:c>
      <x:c r="Q541" s="6" t="str">
        <x:v>54.670530036899045</x:v>
      </x:c>
      <x:c r="R541" s="6" t="str">
        <x:v>0.5819868242848116</x:v>
      </x:c>
      <x:c r="S541" s="8" t="str">
        <x:v>2.313802412672214</x:v>
      </x:c>
      <x:c r="T541" s="6" t="str">
        <x:v>1.3034450103949524</x:v>
      </x:c>
      <x:c r="U541" s="8" t="str">
        <x:v>1.4423828556781355</x:v>
      </x:c>
      <x:c r="V541" s="6" t="str">
        <x:v>71.47634959089294</x:v>
      </x:c>
      <x:c r="W541" s="8" t="str">
        <x:v>1.3074018039088162</x:v>
      </x:c>
      <x:c r="X541" s="6" t="str">
        <x:v>2.4388400174133307</x:v>
      </x:c>
      <x:c r="Y541" s="6" t="str">
        <x:v>1.5268374239258413</x:v>
      </x:c>
      <x:c r="Z541" s="6" t="str">
        <x:v>2.093159951337128</x:v>
      </x:c>
      <x:c r="AA541" s="6" t="str">
        <x:v>0.3296050596811074</x:v>
      </x:c>
      <x:c r="AB541" s="6" t="str">
        <x:v>0.44646332181335513</x:v>
      </x:c>
      <x:c r="AC541" s="6" t="str">
        <x:v>0.7394837457242</x:v>
      </x:c>
      <x:c r="AD541" s="6" t="str">
        <x:v>0.2206739299229409</x:v>
      </x:c>
      <x:c r="AE541" s="6" t="str">
        <x:v>0.18544768998795277</x:v>
      </x:c>
      <x:c r="AF541" s="6" t="str">
        <x:v>0.5711744746065701</x:v>
      </x:c>
      <x:c r="AG541" s="6" t="str">
        <x:v>1</x:v>
      </x:c>
      <x:c r="AH541" s="6" t="str">
        <x:v>1</x:v>
      </x:c>
      <x:c r="AI541" s="6" t="str">
        <x:v>2024-12</x:v>
      </x:c>
      <x:c r="AJ541" s="9" t="str">
        <x:v>NASA POWER (MERRA-2 meteorology)</x:v>
      </x:c>
      <x:c r="AK541" s="9" t="str">
        <x:v>Badan Informasi Geospasial (BIG)</x:v>
      </x:c>
      <x:c r="AL541" s="9" t="str">
        <x:v>https://power.larc.nasa.gov/docs/services/api/temporal/monthly/</x:v>
      </x:c>
      <x:c r="AM541" s="9" t="str">
        <x:v>https://geoservices.big.go.id/rbi/rest/services/BATASWILAYAH/BATAS_WILAYAH/MapServer/12</x:v>
      </x:c>
    </x:row>
    <x:row r="542" ht="18" customHeight="1">
      <x:c r="A542" s="6" t="str">
        <x:v>64</x:v>
      </x:c>
      <x:c r="B542" s="6" t="str">
        <x:v>KALIMANTAN TIMUR</x:v>
      </x:c>
      <x:c r="C542" s="6" t="str">
        <x:v>2025</x:v>
      </x:c>
      <x:c r="D542" s="6" t="str">
        <x:v>1</x:v>
      </x:c>
      <x:c r="E542" s="6" t="str">
        <x:v>25.063121114057523</x:v>
      </x:c>
      <x:c r="F542" s="9" t="str">
        <x:v>grid_cells_within_BIG_polygon</x:v>
      </x:c>
      <x:c r="G542" s="6" t="str">
        <x:v>33</x:v>
      </x:c>
      <x:c r="H542" s="8" t="str">
        <x:v>91.80235834333259</x:v>
      </x:c>
      <x:c r="I542" s="6" t="str">
        <x:v>13.119110374304205</x:v>
      </x:c>
      <x:c r="J542" s="6" t="str">
        <x:v>31</x:v>
      </x:c>
      <x:c r="K542" s="6" t="str">
        <x:v>406.6924216034303</x:v>
      </x:c>
      <x:c r="L542" s="6" t="str">
        <x:v>24.737660447597097</x:v>
      </x:c>
      <x:c r="M542" s="6" t="str">
        <x:v>0.3317301195989764</x:v>
      </x:c>
      <x:c r="N542" s="6" t="str">
        <x:v>90.17212884790115</x:v>
      </x:c>
      <x:c r="O542" s="6" t="str">
        <x:v>1.3427285287083224</x:v>
      </x:c>
      <x:c r="P542" s="6" t="str">
        <x:v>234.08453947802417</x:v>
      </x:c>
      <x:c r="Q542" s="6" t="str">
        <x:v>63.834564951128414</x:v>
      </x:c>
      <x:c r="R542" s="6" t="str">
        <x:v>0.32546066646042604</x:v>
      </x:c>
      <x:c r="S542" s="8" t="str">
        <x:v>0.9811007419340474</x:v>
      </x:c>
      <x:c r="T542" s="6" t="str">
        <x:v>1.6302294954314362</x:v>
      </x:c>
      <x:c r="U542" s="8" t="str">
        <x:v>1.2141169719538796</x:v>
      </x:c>
      <x:c r="V542" s="6" t="str">
        <x:v>172.60788212540615</x:v>
      </x:c>
      <x:c r="W542" s="8" t="str">
        <x:v>2.703987757378065</x:v>
      </x:c>
      <x:c r="X542" s="6" t="str">
        <x:v>2.313802412672214</x:v>
      </x:c>
      <x:c r="Y542" s="6" t="str">
        <x:v>2.4388400174133307</x:v>
      </x:c>
      <x:c r="Z542" s="6" t="str">
        <x:v>1.9112477240065304</x:v>
      </x:c>
      <x:c r="AA542" s="6" t="str">
        <x:v>1.4423828556781355</x:v>
      </x:c>
      <x:c r="AB542" s="6" t="str">
        <x:v>0.3296050596811074</x:v>
      </x:c>
      <x:c r="AC542" s="6" t="str">
        <x:v>0.9953682957710415</x:v>
      </x:c>
      <x:c r="AD542" s="6" t="str">
        <x:v>1.3074018039088162</x:v>
      </x:c>
      <x:c r="AE542" s="6" t="str">
        <x:v>0.2206739299229409</x:v>
      </x:c>
      <x:c r="AF542" s="6" t="str">
        <x:v>1.4106878304032742</x:v>
      </x:c>
      <x:c r="AG542" s="6" t="str">
        <x:v>1</x:v>
      </x:c>
      <x:c r="AH542" s="6" t="str">
        <x:v>0</x:v>
      </x:c>
      <x:c r="AI542" s="6" t="str">
        <x:v>2025-01</x:v>
      </x:c>
      <x:c r="AJ542" s="9" t="str">
        <x:v>NASA POWER (MERRA-2 meteorology)</x:v>
      </x:c>
      <x:c r="AK542" s="9" t="str">
        <x:v>Badan Informasi Geospasial (BIG)</x:v>
      </x:c>
      <x:c r="AL542" s="9" t="str">
        <x:v>https://power.larc.nasa.gov/docs/services/api/temporal/monthly/</x:v>
      </x:c>
      <x:c r="AM542" s="9" t="str">
        <x:v>https://geoservices.big.go.id/rbi/rest/services/BATASWILAYAH/BATAS_WILAYAH/MapServer/12</x:v>
      </x:c>
    </x:row>
    <x:row r="543" ht="18" customHeight="1">
      <x:c r="A543" s="6" t="str">
        <x:v>64</x:v>
      </x:c>
      <x:c r="B543" s="6" t="str">
        <x:v>KALIMANTAN TIMUR</x:v>
      </x:c>
      <x:c r="C543" s="6" t="str">
        <x:v>2025</x:v>
      </x:c>
      <x:c r="D543" s="6" t="str">
        <x:v>2</x:v>
      </x:c>
      <x:c r="E543" s="6" t="str">
        <x:v>25.05160699946522</x:v>
      </x:c>
      <x:c r="F543" s="9" t="str">
        <x:v>grid_cells_within_BIG_polygon</x:v>
      </x:c>
      <x:c r="G543" s="6" t="str">
        <x:v>33</x:v>
      </x:c>
      <x:c r="H543" s="8" t="str">
        <x:v>91.28237552575712</x:v>
      </x:c>
      <x:c r="I543" s="6" t="str">
        <x:v>8.573488865186675</x:v>
      </x:c>
      <x:c r="J543" s="6" t="str">
        <x:v>28</x:v>
      </x:c>
      <x:c r="K543" s="6" t="str">
        <x:v>240.0576882252269</x:v>
      </x:c>
      <x:c r="L543" s="6" t="str">
        <x:v>24.809286046983676</x:v>
      </x:c>
      <x:c r="M543" s="6" t="str">
        <x:v>0.3767808278742634</x:v>
      </x:c>
      <x:c r="N543" s="6" t="str">
        <x:v>89.73875570976377</x:v>
      </x:c>
      <x:c r="O543" s="6" t="str">
        <x:v>1.9959715090405226</x:v>
      </x:c>
      <x:c r="P543" s="6" t="str">
        <x:v>213.7782890251094</x:v>
      </x:c>
      <x:c r="Q543" s="6" t="str">
        <x:v>68.73921220935311</x:v>
      </x:c>
      <x:c r="R543" s="6" t="str">
        <x:v>0.2423209524815455</x:v>
      </x:c>
      <x:c r="S543" s="8" t="str">
        <x:v>0.6431350391384858</x:v>
      </x:c>
      <x:c r="T543" s="6" t="str">
        <x:v>1.5436198159933525</x:v>
      </x:c>
      <x:c r="U543" s="8" t="str">
        <x:v>0.7733676603106331</x:v>
      </x:c>
      <x:c r="V543" s="6" t="str">
        <x:v>26.279399200117524</x:v>
      </x:c>
      <x:c r="W543" s="8" t="str">
        <x:v>0.3823057954182049</x:v>
      </x:c>
      <x:c r="X543" s="6" t="str">
        <x:v>0.9811007419340474</x:v>
      </x:c>
      <x:c r="Y543" s="6" t="str">
        <x:v>2.313802412672214</x:v>
      </x:c>
      <x:c r="Z543" s="6" t="str">
        <x:v>1.3126793979149154</x:v>
      </x:c>
      <x:c r="AA543" s="6" t="str">
        <x:v>1.2141169719538796</x:v>
      </x:c>
      <x:c r="AB543" s="6" t="str">
        <x:v>1.4423828556781355</x:v>
      </x:c>
      <x:c r="AC543" s="6" t="str">
        <x:v>1.14328916264755</x:v>
      </x:c>
      <x:c r="AD543" s="6" t="str">
        <x:v>2.703987757378065</x:v>
      </x:c>
      <x:c r="AE543" s="6" t="str">
        <x:v>1.3074018039088162</x:v>
      </x:c>
      <x:c r="AF543" s="6" t="str">
        <x:v>1.4645651189016953</x:v>
      </x:c>
      <x:c r="AG543" s="6" t="str">
        <x:v>0</x:v>
      </x:c>
      <x:c r="AH543" s="6" t="str">
        <x:v>0</x:v>
      </x:c>
      <x:c r="AI543" s="6" t="str">
        <x:v>2025-02</x:v>
      </x:c>
      <x:c r="AJ543" s="9" t="str">
        <x:v>NASA POWER (MERRA-2 meteorology)</x:v>
      </x:c>
      <x:c r="AK543" s="9" t="str">
        <x:v>Badan Informasi Geospasial (BIG)</x:v>
      </x:c>
      <x:c r="AL543" s="9" t="str">
        <x:v>https://power.larc.nasa.gov/docs/services/api/temporal/monthly/</x:v>
      </x:c>
      <x:c r="AM543" s="9" t="str">
        <x:v>https://geoservices.big.go.id/rbi/rest/services/BATASWILAYAH/BATAS_WILAYAH/MapServer/12</x:v>
      </x:c>
    </x:row>
    <x:row r="544" ht="18" customHeight="1">
      <x:c r="A544" s="6" t="str">
        <x:v>64</x:v>
      </x:c>
      <x:c r="B544" s="6" t="str">
        <x:v>KALIMANTAN TIMUR</x:v>
      </x:c>
      <x:c r="C544" s="6" t="str">
        <x:v>2025</x:v>
      </x:c>
      <x:c r="D544" s="6" t="str">
        <x:v>3</x:v>
      </x:c>
      <x:c r="E544" s="6" t="str">
        <x:v>25.288874103504067</x:v>
      </x:c>
      <x:c r="F544" s="9" t="str">
        <x:v>grid_cells_within_BIG_polygon</x:v>
      </x:c>
      <x:c r="G544" s="6" t="str">
        <x:v>33</x:v>
      </x:c>
      <x:c r="H544" s="8" t="str">
        <x:v>90.73786363565192</x:v>
      </x:c>
      <x:c r="I544" s="6" t="str">
        <x:v>7.908088565180465</x:v>
      </x:c>
      <x:c r="J544" s="6" t="str">
        <x:v>31</x:v>
      </x:c>
      <x:c r="K544" s="6" t="str">
        <x:v>245.15074552059443</x:v>
      </x:c>
      <x:c r="L544" s="6" t="str">
        <x:v>25.10190490837019</x:v>
      </x:c>
      <x:c r="M544" s="6" t="str">
        <x:v>0.457526761371455</x:v>
      </x:c>
      <x:c r="N544" s="6" t="str">
        <x:v>89.30662034594982</x:v>
      </x:c>
      <x:c r="O544" s="6" t="str">
        <x:v>2.9260506413810408</x:v>
      </x:c>
      <x:c r="P544" s="6" t="str">
        <x:v>230.94799970364912</x:v>
      </x:c>
      <x:c r="Q544" s="6" t="str">
        <x:v>62.674135823948426</x:v>
      </x:c>
      <x:c r="R544" s="6" t="str">
        <x:v>0.18696919513387655</x:v>
      </x:c>
      <x:c r="S544" s="8" t="str">
        <x:v>0.4086519323447416</x:v>
      </x:c>
      <x:c r="T544" s="6" t="str">
        <x:v>1.4312432897020955</x:v>
      </x:c>
      <x:c r="U544" s="8" t="str">
        <x:v>0.48913824985153903</x:v>
      </x:c>
      <x:c r="V544" s="6" t="str">
        <x:v>14.20274581694531</x:v>
      </x:c>
      <x:c r="W544" s="8" t="str">
        <x:v>0.22661255125783955</x:v>
      </x:c>
      <x:c r="X544" s="6" t="str">
        <x:v>0.6431350391384858</x:v>
      </x:c>
      <x:c r="Y544" s="6" t="str">
        <x:v>0.9811007419340474</x:v>
      </x:c>
      <x:c r="Z544" s="6" t="str">
        <x:v>0.6776292378057579</x:v>
      </x:c>
      <x:c r="AA544" s="6" t="str">
        <x:v>0.7733676603106331</x:v>
      </x:c>
      <x:c r="AB544" s="6" t="str">
        <x:v>1.2141169719538796</x:v>
      </x:c>
      <x:c r="AC544" s="6" t="str">
        <x:v>0.8255409607053513</x:v>
      </x:c>
      <x:c r="AD544" s="6" t="str">
        <x:v>0.3823057954182049</x:v>
      </x:c>
      <x:c r="AE544" s="6" t="str">
        <x:v>2.703987757378065</x:v>
      </x:c>
      <x:c r="AF544" s="6" t="str">
        <x:v>1.104302034684703</x:v>
      </x:c>
      <x:c r="AG544" s="6" t="str">
        <x:v>0</x:v>
      </x:c>
      <x:c r="AH544" s="6" t="str">
        <x:v>0</x:v>
      </x:c>
      <x:c r="AI544" s="6" t="str">
        <x:v>2025-03</x:v>
      </x:c>
      <x:c r="AJ544" s="9" t="str">
        <x:v>NASA POWER (MERRA-2 meteorology)</x:v>
      </x:c>
      <x:c r="AK544" s="9" t="str">
        <x:v>Badan Informasi Geospasial (BIG)</x:v>
      </x:c>
      <x:c r="AL544" s="9" t="str">
        <x:v>https://power.larc.nasa.gov/docs/services/api/temporal/monthly/</x:v>
      </x:c>
      <x:c r="AM544" s="9" t="str">
        <x:v>https://geoservices.big.go.id/rbi/rest/services/BATASWILAYAH/BATAS_WILAYAH/MapServer/12</x:v>
      </x:c>
    </x:row>
    <x:row r="545" ht="18" customHeight="1">
      <x:c r="A545" s="6" t="str">
        <x:v>64</x:v>
      </x:c>
      <x:c r="B545" s="6" t="str">
        <x:v>KALIMANTAN TIMUR</x:v>
      </x:c>
      <x:c r="C545" s="6" t="str">
        <x:v>2025</x:v>
      </x:c>
      <x:c r="D545" s="6" t="str">
        <x:v>4</x:v>
      </x:c>
      <x:c r="E545" s="6" t="str">
        <x:v>25.418560271943107</x:v>
      </x:c>
      <x:c r="F545" s="9" t="str">
        <x:v>grid_cells_within_BIG_polygon</x:v>
      </x:c>
      <x:c r="G545" s="6" t="str">
        <x:v>33</x:v>
      </x:c>
      <x:c r="H545" s="8" t="str">
        <x:v>90.08059700367873</x:v>
      </x:c>
      <x:c r="I545" s="6" t="str">
        <x:v>9.051695195252545</x:v>
      </x:c>
      <x:c r="J545" s="6" t="str">
        <x:v>30</x:v>
      </x:c>
      <x:c r="K545" s="6" t="str">
        <x:v>271.5508558575764</x:v>
      </x:c>
      <x:c r="L545" s="6" t="str">
        <x:v>25.362027908818757</x:v>
      </x:c>
      <x:c r="M545" s="6" t="str">
        <x:v>0.43055270482556507</x:v>
      </x:c>
      <x:c r="N545" s="6" t="str">
        <x:v>89.68574497798588</x:v>
      </x:c>
      <x:c r="O545" s="6" t="str">
        <x:v>2.5273167592542376</x:v>
      </x:c>
      <x:c r="P545" s="6" t="str">
        <x:v>223.3400551436634</x:v>
      </x:c>
      <x:c r="Q545" s="6" t="str">
        <x:v>48.53013660684572</x:v>
      </x:c>
      <x:c r="R545" s="6" t="str">
        <x:v>0.05653236312435084</x:v>
      </x:c>
      <x:c r="S545" s="8" t="str">
        <x:v>0.13130184177394605</x:v>
      </x:c>
      <x:c r="T545" s="6" t="str">
        <x:v>0.39485202569285605</x:v>
      </x:c>
      <x:c r="U545" s="8" t="str">
        <x:v>0.15623369102706747</x:v>
      </x:c>
      <x:c r="V545" s="6" t="str">
        <x:v>48.21080071391299</x:v>
      </x:c>
      <x:c r="W545" s="8" t="str">
        <x:v>0.9934198435186831</x:v>
      </x:c>
      <x:c r="X545" s="6" t="str">
        <x:v>0.4086519323447416</x:v>
      </x:c>
      <x:c r="Y545" s="6" t="str">
        <x:v>0.6431350391384858</x:v>
      </x:c>
      <x:c r="Z545" s="6" t="str">
        <x:v>0.3943629377523909</x:v>
      </x:c>
      <x:c r="AA545" s="6" t="str">
        <x:v>0.48913824985153903</x:v>
      </x:c>
      <x:c r="AB545" s="6" t="str">
        <x:v>0.7733676603106331</x:v>
      </x:c>
      <x:c r="AC545" s="6" t="str">
        <x:v>0.4729132003964138</x:v>
      </x:c>
      <x:c r="AD545" s="6" t="str">
        <x:v>0.22661255125783955</x:v>
      </x:c>
      <x:c r="AE545" s="6" t="str">
        <x:v>0.3823057954182049</x:v>
      </x:c>
      <x:c r="AF545" s="6" t="str">
        <x:v>0.5341127300649092</x:v>
      </x:c>
      <x:c r="AG545" s="6" t="str">
        <x:v>0</x:v>
      </x:c>
      <x:c r="AH545" s="6" t="str">
        <x:v>0</x:v>
      </x:c>
      <x:c r="AI545" s="6" t="str">
        <x:v>2025-04</x:v>
      </x:c>
      <x:c r="AJ545" s="9" t="str">
        <x:v>NASA POWER (MERRA-2 meteorology)</x:v>
      </x:c>
      <x:c r="AK545" s="9" t="str">
        <x:v>Badan Informasi Geospasial (BIG)</x:v>
      </x:c>
      <x:c r="AL545" s="9" t="str">
        <x:v>https://power.larc.nasa.gov/docs/services/api/temporal/monthly/</x:v>
      </x:c>
      <x:c r="AM545" s="9" t="str">
        <x:v>https://geoservices.big.go.id/rbi/rest/services/BATASWILAYAH/BATAS_WILAYAH/MapServer/12</x:v>
      </x:c>
    </x:row>
    <x:row r="546" ht="18" customHeight="1">
      <x:c r="A546" s="6" t="str">
        <x:v>64</x:v>
      </x:c>
      <x:c r="B546" s="6" t="str">
        <x:v>KALIMANTAN TIMUR</x:v>
      </x:c>
      <x:c r="C546" s="6" t="str">
        <x:v>2025</x:v>
      </x:c>
      <x:c r="D546" s="6" t="str">
        <x:v>5</x:v>
      </x:c>
      <x:c r="E546" s="6" t="str">
        <x:v>25.782204925322304</x:v>
      </x:c>
      <x:c r="F546" s="9" t="str">
        <x:v>grid_cells_within_BIG_polygon</x:v>
      </x:c>
      <x:c r="G546" s="6" t="str">
        <x:v>33</x:v>
      </x:c>
      <x:c r="H546" s="8" t="str">
        <x:v>90.43298950379776</x:v>
      </x:c>
      <x:c r="I546" s="6" t="str">
        <x:v>8.658457879765397</x:v>
      </x:c>
      <x:c r="J546" s="6" t="str">
        <x:v>31</x:v>
      </x:c>
      <x:c r="K546" s="6" t="str">
        <x:v>268.4121942727273</x:v>
      </x:c>
      <x:c r="L546" s="6" t="str">
        <x:v>25.4008749629889</x:v>
      </x:c>
      <x:c r="M546" s="6" t="str">
        <x:v>0.3389319119402224</x:v>
      </x:c>
      <x:c r="N546" s="6" t="str">
        <x:v>90.70361609946684</x:v>
      </x:c>
      <x:c r="O546" s="6" t="str">
        <x:v>0.8177946219152481</x:v>
      </x:c>
      <x:c r="P546" s="6" t="str">
        <x:v>230.73105807943924</x:v>
      </x:c>
      <x:c r="Q546" s="6" t="str">
        <x:v>47.66273393333703</x:v>
      </x:c>
      <x:c r="R546" s="6" t="str">
        <x:v>0.3813299623334032</x:v>
      </x:c>
      <x:c r="S546" s="8" t="str">
        <x:v>1.125093120180016</x:v>
      </x:c>
      <x:c r="T546" s="6" t="str">
        <x:v>-0.27062659566908565</x:v>
      </x:c>
      <x:c r="U546" s="8" t="str">
        <x:v>-0.33092244484964584</x:v>
      </x:c>
      <x:c r="V546" s="6" t="str">
        <x:v>37.68113619328804</x:v>
      </x:c>
      <x:c r="W546" s="8" t="str">
        <x:v>0.7905785733145387</x:v>
      </x:c>
      <x:c r="X546" s="6" t="str">
        <x:v>0.13130184177394605</x:v>
      </x:c>
      <x:c r="Y546" s="6" t="str">
        <x:v>0.4086519323447416</x:v>
      </x:c>
      <x:c r="Z546" s="6" t="str">
        <x:v>0.555015631432901</x:v>
      </x:c>
      <x:c r="AA546" s="6" t="str">
        <x:v>0.15623369102706747</x:v>
      </x:c>
      <x:c r="AB546" s="6" t="str">
        <x:v>0.48913824985153903</x:v>
      </x:c>
      <x:c r="AC546" s="6" t="str">
        <x:v>0.10481649867632088</x:v>
      </x:c>
      <x:c r="AD546" s="6" t="str">
        <x:v>0.9934198435186831</x:v>
      </x:c>
      <x:c r="AE546" s="6" t="str">
        <x:v>0.22661255125783955</x:v>
      </x:c>
      <x:c r="AF546" s="6" t="str">
        <x:v>0.6702036560303538</x:v>
      </x:c>
      <x:c r="AG546" s="6" t="str">
        <x:v>0</x:v>
      </x:c>
      <x:c r="AH546" s="6" t="str">
        <x:v>1</x:v>
      </x:c>
      <x:c r="AI546" s="6" t="str">
        <x:v>2025-05</x:v>
      </x:c>
      <x:c r="AJ546" s="9" t="str">
        <x:v>NASA POWER (MERRA-2 meteorology)</x:v>
      </x:c>
      <x:c r="AK546" s="9" t="str">
        <x:v>Badan Informasi Geospasial (BIG)</x:v>
      </x:c>
      <x:c r="AL546" s="9" t="str">
        <x:v>https://power.larc.nasa.gov/docs/services/api/temporal/monthly/</x:v>
      </x:c>
      <x:c r="AM546" s="9" t="str">
        <x:v>https://geoservices.big.go.id/rbi/rest/services/BATASWILAYAH/BATAS_WILAYAH/MapServer/12</x:v>
      </x:c>
    </x:row>
    <x:row r="547" ht="18" customHeight="1">
      <x:c r="A547" s="6" t="str">
        <x:v>64</x:v>
      </x:c>
      <x:c r="B547" s="6" t="str">
        <x:v>KALIMANTAN TIMUR</x:v>
      </x:c>
      <x:c r="C547" s="6" t="str">
        <x:v>2025</x:v>
      </x:c>
      <x:c r="D547" s="6" t="str">
        <x:v>6</x:v>
      </x:c>
      <x:c r="E547" s="6" t="str">
        <x:v>25.05826904640402</x:v>
      </x:c>
      <x:c r="F547" s="9" t="str">
        <x:v>grid_cells_within_BIG_polygon</x:v>
      </x:c>
      <x:c r="G547" s="6" t="str">
        <x:v>33</x:v>
      </x:c>
      <x:c r="H547" s="8" t="str">
        <x:v>91.46934115771955</x:v>
      </x:c>
      <x:c r="I547" s="6" t="str">
        <x:v>7.950103522455931</x:v>
      </x:c>
      <x:c r="J547" s="6" t="str">
        <x:v>30</x:v>
      </x:c>
      <x:c r="K547" s="6" t="str">
        <x:v>238.50310567367794</x:v>
      </x:c>
      <x:c r="L547" s="6" t="str">
        <x:v>24.9187419568422</x:v>
      </x:c>
      <x:c r="M547" s="6" t="str">
        <x:v>0.26924967820397927</x:v>
      </x:c>
      <x:c r="N547" s="6" t="str">
        <x:v>90.91336382357159</x:v>
      </x:c>
      <x:c r="O547" s="6" t="str">
        <x:v>0.9347015155584625</x:v>
      </x:c>
      <x:c r="P547" s="6" t="str">
        <x:v>194.63921583261978</x:v>
      </x:c>
      <x:c r="Q547" s="6" t="str">
        <x:v>56.189002518154616</x:v>
      </x:c>
      <x:c r="R547" s="6" t="str">
        <x:v>0.13952708956182036</x:v>
      </x:c>
      <x:c r="S547" s="8" t="str">
        <x:v>0.5182070801069514</x:v>
      </x:c>
      <x:c r="T547" s="6" t="str">
        <x:v>0.5559773341479683</x:v>
      </x:c>
      <x:c r="U547" s="8" t="str">
        <x:v>0.5948180514244537</x:v>
      </x:c>
      <x:c r="V547" s="6" t="str">
        <x:v>43.86388984105815</x:v>
      </x:c>
      <x:c r="W547" s="8" t="str">
        <x:v>0.7806490216103368</x:v>
      </x:c>
      <x:c r="X547" s="6" t="str">
        <x:v>1.125093120180016</x:v>
      </x:c>
      <x:c r="Y547" s="6" t="str">
        <x:v>0.13130184177394605</x:v>
      </x:c>
      <x:c r="Z547" s="6" t="str">
        <x:v>0.5915340140203041</x:v>
      </x:c>
      <x:c r="AA547" s="6" t="str">
        <x:v>-0.33092244484964584</x:v>
      </x:c>
      <x:c r="AB547" s="6" t="str">
        <x:v>0.15623369102706747</x:v>
      </x:c>
      <x:c r="AC547" s="6" t="str">
        <x:v>0.14004309920062577</x:v>
      </x:c>
      <x:c r="AD547" s="6" t="str">
        <x:v>0.7905785733145387</x:v>
      </x:c>
      <x:c r="AE547" s="6" t="str">
        <x:v>0.9934198435186831</x:v>
      </x:c>
      <x:c r="AF547" s="6" t="str">
        <x:v>0.8548824794811862</x:v>
      </x:c>
      <x:c r="AG547" s="6" t="str">
        <x:v>0</x:v>
      </x:c>
      <x:c r="AH547" s="6" t="str">
        <x:v>0</x:v>
      </x:c>
      <x:c r="AI547" s="6" t="str">
        <x:v>2025-06</x:v>
      </x:c>
      <x:c r="AJ547" s="9" t="str">
        <x:v>NASA POWER (MERRA-2 meteorology)</x:v>
      </x:c>
      <x:c r="AK547" s="9" t="str">
        <x:v>Badan Informasi Geospasial (BIG)</x:v>
      </x:c>
      <x:c r="AL547" s="9" t="str">
        <x:v>https://power.larc.nasa.gov/docs/services/api/temporal/monthly/</x:v>
      </x:c>
      <x:c r="AM547" s="9" t="str">
        <x:v>https://geoservices.big.go.id/rbi/rest/services/BATASWILAYAH/BATAS_WILAYAH/MapServer/12</x:v>
      </x:c>
    </x:row>
    <x:row r="548" ht="18" customHeight="1">
      <x:c r="A548" s="6" t="str">
        <x:v>64</x:v>
      </x:c>
      <x:c r="B548" s="6" t="str">
        <x:v>KALIMANTAN TIMUR</x:v>
      </x:c>
      <x:c r="C548" s="6" t="str">
        <x:v>2025</x:v>
      </x:c>
      <x:c r="D548" s="6" t="str">
        <x:v>7</x:v>
      </x:c>
      <x:c r="E548" s="6" t="str">
        <x:v>25.05432338199544</x:v>
      </x:c>
      <x:c r="F548" s="9" t="str">
        <x:v>grid_cells_within_BIG_polygon</x:v>
      </x:c>
      <x:c r="G548" s="6" t="str">
        <x:v>33</x:v>
      </x:c>
      <x:c r="H548" s="8" t="str">
        <x:v>90.76963467879942</x:v>
      </x:c>
      <x:c r="I548" s="6" t="str">
        <x:v>4.6073859730695155</x:v>
      </x:c>
      <x:c r="J548" s="6" t="str">
        <x:v>31</x:v>
      </x:c>
      <x:c r="K548" s="6" t="str">
        <x:v>142.82896516515498</x:v>
      </x:c>
      <x:c r="L548" s="6" t="str">
        <x:v>24.56525333975737</x:v>
      </x:c>
      <x:c r="M548" s="6" t="str">
        <x:v>0.2813886879373511</x:v>
      </x:c>
      <x:c r="N548" s="6" t="str">
        <x:v>90.27052280823196</x:v>
      </x:c>
      <x:c r="O548" s="6" t="str">
        <x:v>1.148907908122011</x:v>
      </x:c>
      <x:c r="P548" s="6" t="str">
        <x:v>157.6172363687582</x:v>
      </x:c>
      <x:c r="Q548" s="6" t="str">
        <x:v>63.61381321591377</x:v>
      </x:c>
      <x:c r="R548" s="6" t="str">
        <x:v>0.4890700422380725</x:v>
      </x:c>
      <x:c r="S548" s="8" t="str">
        <x:v>1.7380586470020427</x:v>
      </x:c>
      <x:c r="T548" s="6" t="str">
        <x:v>0.49911187056746087</x:v>
      </x:c>
      <x:c r="U548" s="8" t="str">
        <x:v>0.43442286978710265</x:v>
      </x:c>
      <x:c r="V548" s="6" t="str">
        <x:v>-14.788271203603216</x:v>
      </x:c>
      <x:c r="W548" s="8" t="str">
        <x:v>-0.23246949767670505</x:v>
      </x:c>
      <x:c r="X548" s="6" t="str">
        <x:v>0.5182070801069514</x:v>
      </x:c>
      <x:c r="Y548" s="6" t="str">
        <x:v>1.125093120180016</x:v>
      </x:c>
      <x:c r="Z548" s="6" t="str">
        <x:v>1.127119615763003</x:v>
      </x:c>
      <x:c r="AA548" s="6" t="str">
        <x:v>0.5948180514244537</x:v>
      </x:c>
      <x:c r="AB548" s="6" t="str">
        <x:v>-0.33092244484964584</x:v>
      </x:c>
      <x:c r="AC548" s="6" t="str">
        <x:v>0.23277282545397082</x:v>
      </x:c>
      <x:c r="AD548" s="6" t="str">
        <x:v>0.7806490216103368</x:v>
      </x:c>
      <x:c r="AE548" s="6" t="str">
        <x:v>0.7905785733145387</x:v>
      </x:c>
      <x:c r="AF548" s="6" t="str">
        <x:v>0.4462526990827235</x:v>
      </x:c>
      <x:c r="AG548" s="6" t="str">
        <x:v>0</x:v>
      </x:c>
      <x:c r="AH548" s="6" t="str">
        <x:v>1</x:v>
      </x:c>
      <x:c r="AI548" s="6" t="str">
        <x:v>2025-07</x:v>
      </x:c>
      <x:c r="AJ548" s="9" t="str">
        <x:v>NASA POWER (MERRA-2 meteorology)</x:v>
      </x:c>
      <x:c r="AK548" s="9" t="str">
        <x:v>Badan Informasi Geospasial (BIG)</x:v>
      </x:c>
      <x:c r="AL548" s="9" t="str">
        <x:v>https://power.larc.nasa.gov/docs/services/api/temporal/monthly/</x:v>
      </x:c>
      <x:c r="AM548" s="9" t="str">
        <x:v>https://geoservices.big.go.id/rbi/rest/services/BATASWILAYAH/BATAS_WILAYAH/MapServer/12</x:v>
      </x:c>
    </x:row>
    <x:row r="549" ht="18" customHeight="1">
      <x:c r="A549" s="6" t="str">
        <x:v>64</x:v>
      </x:c>
      <x:c r="B549" s="6" t="str">
        <x:v>KALIMANTAN TIMUR</x:v>
      </x:c>
      <x:c r="C549" s="6" t="str">
        <x:v>2025</x:v>
      </x:c>
      <x:c r="D549" s="6" t="str">
        <x:v>8</x:v>
      </x:c>
      <x:c r="E549" s="6" t="str">
        <x:v>24.693417740270778</x:v>
      </x:c>
      <x:c r="F549" s="9" t="str">
        <x:v>grid_cells_within_BIG_polygon</x:v>
      </x:c>
      <x:c r="G549" s="6" t="str">
        <x:v>33</x:v>
      </x:c>
      <x:c r="H549" s="8" t="str">
        <x:v>90.6268996488749</x:v>
      </x:c>
      <x:c r="I549" s="6" t="str">
        <x:v>7.867388836629142</x:v>
      </x:c>
      <x:c r="J549" s="6" t="str">
        <x:v>31</x:v>
      </x:c>
      <x:c r="K549" s="6" t="str">
        <x:v>243.8890539355034</x:v>
      </x:c>
      <x:c r="L549" s="6" t="str">
        <x:v>24.670929499743245</x:v>
      </x:c>
      <x:c r="M549" s="6" t="str">
        <x:v>0.27013978144498385</x:v>
      </x:c>
      <x:c r="N549" s="6" t="str">
        <x:v>89.08779343884957</x:v>
      </x:c>
      <x:c r="O549" s="6" t="str">
        <x:v>1.7448520621087693</x:v>
      </x:c>
      <x:c r="P549" s="6" t="str">
        <x:v>137.80589693030248</x:v>
      </x:c>
      <x:c r="Q549" s="6" t="str">
        <x:v>59.40954209809384</x:v>
      </x:c>
      <x:c r="R549" s="6" t="str">
        <x:v>0.022488240527533065</x:v>
      </x:c>
      <x:c r="S549" s="8" t="str">
        <x:v>0.08324668217040435</x:v>
      </x:c>
      <x:c r="T549" s="6" t="str">
        <x:v>1.5391062100253237</x:v>
      </x:c>
      <x:c r="U549" s="8" t="str">
        <x:v>0.8820840708783138</x:v>
      </x:c>
      <x:c r="V549" s="6" t="str">
        <x:v>106.08315700520092</x:v>
      </x:c>
      <x:c r="W549" s="8" t="str">
        <x:v>1.7856248888443227</x:v>
      </x:c>
      <x:c r="X549" s="6" t="str">
        <x:v>1.7380586470020427</x:v>
      </x:c>
      <x:c r="Y549" s="6" t="str">
        <x:v>0.5182070801069514</x:v>
      </x:c>
      <x:c r="Z549" s="6" t="str">
        <x:v>0.7798374697597993</x:v>
      </x:c>
      <x:c r="AA549" s="6" t="str">
        <x:v>0.43442286978710265</x:v>
      </x:c>
      <x:c r="AB549" s="6" t="str">
        <x:v>0.5948180514244537</x:v>
      </x:c>
      <x:c r="AC549" s="6" t="str">
        <x:v>0.637108330696624</x:v>
      </x:c>
      <x:c r="AD549" s="6" t="str">
        <x:v>-0.23246949767670505</x:v>
      </x:c>
      <x:c r="AE549" s="6" t="str">
        <x:v>0.7806490216103368</x:v>
      </x:c>
      <x:c r="AF549" s="6" t="str">
        <x:v>0.7779348042593183</x:v>
      </x:c>
      <x:c r="AG549" s="6" t="str">
        <x:v>1</x:v>
      </x:c>
      <x:c r="AH549" s="6" t="str">
        <x:v>0</x:v>
      </x:c>
      <x:c r="AI549" s="6" t="str">
        <x:v>2025-08</x:v>
      </x:c>
      <x:c r="AJ549" s="9" t="str">
        <x:v>NASA POWER (MERRA-2 meteorology)</x:v>
      </x:c>
      <x:c r="AK549" s="9" t="str">
        <x:v>Badan Informasi Geospasial (BIG)</x:v>
      </x:c>
      <x:c r="AL549" s="9" t="str">
        <x:v>https://power.larc.nasa.gov/docs/services/api/temporal/monthly/</x:v>
      </x:c>
      <x:c r="AM549" s="9" t="str">
        <x:v>https://geoservices.big.go.id/rbi/rest/services/BATASWILAYAH/BATAS_WILAYAH/MapServer/12</x:v>
      </x:c>
    </x:row>
    <x:row r="550" ht="18" customHeight="1">
      <x:c r="A550" s="6" t="str">
        <x:v>64</x:v>
      </x:c>
      <x:c r="B550" s="6" t="str">
        <x:v>KALIMANTAN TIMUR</x:v>
      </x:c>
      <x:c r="C550" s="6" t="str">
        <x:v>2025</x:v>
      </x:c>
      <x:c r="D550" s="6" t="str">
        <x:v>9</x:v>
      </x:c>
      <x:c r="E550" s="6" t="str">
        <x:v>25.096443511663185</x:v>
      </x:c>
      <x:c r="F550" s="9" t="str">
        <x:v>grid_cells_within_BIG_polygon</x:v>
      </x:c>
      <x:c r="G550" s="6" t="str">
        <x:v>33</x:v>
      </x:c>
      <x:c r="H550" s="8" t="str">
        <x:v>90.52449779041909</x:v>
      </x:c>
      <x:c r="I550" s="6" t="str">
        <x:v>7.851543320875623</x:v>
      </x:c>
      <x:c r="J550" s="6" t="str">
        <x:v>30</x:v>
      </x:c>
      <x:c r="K550" s="6" t="str">
        <x:v>235.5462996262687</x:v>
      </x:c>
      <x:c r="L550" s="6" t="str">
        <x:v>24.90852931274591</x:v>
      </x:c>
      <x:c r="M550" s="6" t="str">
        <x:v>0.35361485829520617</x:v>
      </x:c>
      <x:c r="N550" s="6" t="str">
        <x:v>88.29028857475053</x:v>
      </x:c>
      <x:c r="O550" s="6" t="str">
        <x:v>2.464734776348584</x:v>
      </x:c>
      <x:c r="P550" s="6" t="str">
        <x:v>148.35484172735923</x:v>
      </x:c>
      <x:c r="Q550" s="6" t="str">
        <x:v>69.14674029521132</x:v>
      </x:c>
      <x:c r="R550" s="6" t="str">
        <x:v>0.18791419891727656</x:v>
      </x:c>
      <x:c r="S550" s="8" t="str">
        <x:v>0.5314092281733288</x:v>
      </x:c>
      <x:c r="T550" s="6" t="str">
        <x:v>2.2342092156685567</x:v>
      </x:c>
      <x:c r="U550" s="8" t="str">
        <x:v>0.9064704393786569</x:v>
      </x:c>
      <x:c r="V550" s="6" t="str">
        <x:v>87.19145789890948</x:v>
      </x:c>
      <x:c r="W550" s="8" t="str">
        <x:v>1.260962664713608</x:v>
      </x:c>
      <x:c r="X550" s="6" t="str">
        <x:v>0.08324668217040435</x:v>
      </x:c>
      <x:c r="Y550" s="6" t="str">
        <x:v>1.7380586470020427</x:v>
      </x:c>
      <x:c r="Z550" s="6" t="str">
        <x:v>0.7842381857819251</x:v>
      </x:c>
      <x:c r="AA550" s="6" t="str">
        <x:v>0.8820840708783138</x:v>
      </x:c>
      <x:c r="AB550" s="6" t="str">
        <x:v>0.43442286978710265</x:v>
      </x:c>
      <x:c r="AC550" s="6" t="str">
        <x:v>0.7409924600146919</x:v>
      </x:c>
      <x:c r="AD550" s="6" t="str">
        <x:v>1.7856248888443227</x:v>
      </x:c>
      <x:c r="AE550" s="6" t="str">
        <x:v>-0.23246949767670505</x:v>
      </x:c>
      <x:c r="AF550" s="6" t="str">
        <x:v>0.9380393519604086</x:v>
      </x:c>
      <x:c r="AG550" s="6" t="str">
        <x:v>1</x:v>
      </x:c>
      <x:c r="AH550" s="6" t="str">
        <x:v>0</x:v>
      </x:c>
      <x:c r="AI550" s="6" t="str">
        <x:v>2025-09</x:v>
      </x:c>
      <x:c r="AJ550" s="9" t="str">
        <x:v>NASA POWER (MERRA-2 meteorology)</x:v>
      </x:c>
      <x:c r="AK550" s="9" t="str">
        <x:v>Badan Informasi Geospasial (BIG)</x:v>
      </x:c>
      <x:c r="AL550" s="9" t="str">
        <x:v>https://power.larc.nasa.gov/docs/services/api/temporal/monthly/</x:v>
      </x:c>
      <x:c r="AM550" s="9" t="str">
        <x:v>https://geoservices.big.go.id/rbi/rest/services/BATASWILAYAH/BATAS_WILAYAH/MapServer/12</x:v>
      </x:c>
    </x:row>
    <x:row r="551" ht="18" customHeight="1">
      <x:c r="A551" s="6" t="str">
        <x:v>64</x:v>
      </x:c>
      <x:c r="B551" s="6" t="str">
        <x:v>KALIMANTAN TIMUR</x:v>
      </x:c>
      <x:c r="C551" s="6" t="str">
        <x:v>2025</x:v>
      </x:c>
      <x:c r="D551" s="6" t="str">
        <x:v>10</x:v>
      </x:c>
      <x:c r="E551" s="6" t="str">
        <x:v>25.3609917180761</x:v>
      </x:c>
      <x:c r="F551" s="9" t="str">
        <x:v>grid_cells_within_BIG_polygon</x:v>
      </x:c>
      <x:c r="G551" s="6" t="str">
        <x:v>33</x:v>
      </x:c>
      <x:c r="H551" s="8" t="str">
        <x:v>89.67238661514426</x:v>
      </x:c>
      <x:c r="I551" s="6" t="str">
        <x:v>9.49456757017985</x:v>
      </x:c>
      <x:c r="J551" s="6" t="str">
        <x:v>31</x:v>
      </x:c>
      <x:c r="K551" s="6" t="str">
        <x:v>294.33159467557533</x:v>
      </x:c>
      <x:c r="L551" s="6" t="str">
        <x:v>25.18969618893218</x:v>
      </x:c>
      <x:c r="M551" s="6" t="str">
        <x:v>0.3051015456753946</x:v>
      </x:c>
      <x:c r="N551" s="6" t="str">
        <x:v>88.50500603134938</x:v>
      </x:c>
      <x:c r="O551" s="6" t="str">
        <x:v>2.672508315084706</x:v>
      </x:c>
      <x:c r="P551" s="6" t="str">
        <x:v>195.0459017932048</x:v>
      </x:c>
      <x:c r="Q551" s="6" t="str">
        <x:v>70.51799961575948</x:v>
      </x:c>
      <x:c r="R551" s="6" t="str">
        <x:v>0.17129552914391866</x:v>
      </x:c>
      <x:c r="S551" s="8" t="str">
        <x:v>0.561437762515187</x:v>
      </x:c>
      <x:c r="T551" s="6" t="str">
        <x:v>1.1673805837948805</x:v>
      </x:c>
      <x:c r="U551" s="8" t="str">
        <x:v>0.4368108331808427</x:v>
      </x:c>
      <x:c r="V551" s="6" t="str">
        <x:v>99.28569288237054</x:v>
      </x:c>
      <x:c r="W551" s="8" t="str">
        <x:v>1.4079482319884469</x:v>
      </x:c>
      <x:c r="X551" s="6" t="str">
        <x:v>0.5314092281733288</x:v>
      </x:c>
      <x:c r="Y551" s="6" t="str">
        <x:v>0.08324668217040435</x:v>
      </x:c>
      <x:c r="Z551" s="6" t="str">
        <x:v>0.3920312242863064</x:v>
      </x:c>
      <x:c r="AA551" s="6" t="str">
        <x:v>0.9064704393786569</x:v>
      </x:c>
      <x:c r="AB551" s="6" t="str">
        <x:v>0.8820840708783138</x:v>
      </x:c>
      <x:c r="AC551" s="6" t="str">
        <x:v>0.741788447812605</x:v>
      </x:c>
      <x:c r="AD551" s="6" t="str">
        <x:v>1.260962664713608</x:v>
      </x:c>
      <x:c r="AE551" s="6" t="str">
        <x:v>1.7856248888443227</x:v>
      </x:c>
      <x:c r="AF551" s="6" t="str">
        <x:v>1.4848452618487926</x:v>
      </x:c>
      <x:c r="AG551" s="6" t="str">
        <x:v>1</x:v>
      </x:c>
      <x:c r="AH551" s="6" t="str">
        <x:v>0</x:v>
      </x:c>
      <x:c r="AI551" s="6" t="str">
        <x:v>2025-10</x:v>
      </x:c>
      <x:c r="AJ551" s="9" t="str">
        <x:v>NASA POWER (MERRA-2 meteorology)</x:v>
      </x:c>
      <x:c r="AK551" s="9" t="str">
        <x:v>Badan Informasi Geospasial (BIG)</x:v>
      </x:c>
      <x:c r="AL551" s="9" t="str">
        <x:v>https://power.larc.nasa.gov/docs/services/api/temporal/monthly/</x:v>
      </x:c>
      <x:c r="AM551" s="9" t="str">
        <x:v>https://geoservices.big.go.id/rbi/rest/services/BATASWILAYAH/BATAS_WILAYAH/MapServer/12</x:v>
      </x:c>
    </x:row>
    <x:row r="552" ht="18" customHeight="1">
      <x:c r="A552" s="6" t="str">
        <x:v>64</x:v>
      </x:c>
      <x:c r="B552" s="6" t="str">
        <x:v>KALIMANTAN TIMUR</x:v>
      </x:c>
      <x:c r="C552" s="6" t="str">
        <x:v>2025</x:v>
      </x:c>
      <x:c r="D552" s="6" t="str">
        <x:v>11</x:v>
      </x:c>
      <x:c r="E552" s="6" t="str">
        <x:v>25.366447700899474</x:v>
      </x:c>
      <x:c r="F552" s="9" t="str">
        <x:v>grid_cells_within_BIG_polygon</x:v>
      </x:c>
      <x:c r="G552" s="6" t="str">
        <x:v>33</x:v>
      </x:c>
      <x:c r="H552" s="8" t="str">
        <x:v>90.81540568145766</x:v>
      </x:c>
      <x:c r="I552" s="6" t="str">
        <x:v>11.349000993068852</x:v>
      </x:c>
      <x:c r="J552" s="6" t="str">
        <x:v>30</x:v>
      </x:c>
      <x:c r="K552" s="6" t="str">
        <x:v>340.4700297920656</x:v>
      </x:c>
      <x:c r="L552" s="6" t="str">
        <x:v>25.1884147600627</x:v>
      </x:c>
      <x:c r="M552" s="6" t="str">
        <x:v>0.2421086150065994</x:v>
      </x:c>
      <x:c r="N552" s="6" t="str">
        <x:v>89.67093585989944</x:v>
      </x:c>
      <x:c r="O552" s="6" t="str">
        <x:v>1.4570626317060238</x:v>
      </x:c>
      <x:c r="P552" s="6" t="str">
        <x:v>237.08587299102427</x:v>
      </x:c>
      <x:c r="Q552" s="6" t="str">
        <x:v>57.118329518747785</x:v>
      </x:c>
      <x:c r="R552" s="6" t="str">
        <x:v>0.17803294083677557</x:v>
      </x:c>
      <x:c r="S552" s="8" t="str">
        <x:v>0.7353432707544205</x:v>
      </x:c>
      <x:c r="T552" s="6" t="str">
        <x:v>1.1444698215582179</x:v>
      </x:c>
      <x:c r="U552" s="8" t="str">
        <x:v>0.785463710793405</x:v>
      </x:c>
      <x:c r="V552" s="6" t="str">
        <x:v>103.38415680104131</x:v>
      </x:c>
      <x:c r="W552" s="8" t="str">
        <x:v>1.809999656364387</x:v>
      </x:c>
      <x:c r="X552" s="6" t="str">
        <x:v>0.561437762515187</x:v>
      </x:c>
      <x:c r="Y552" s="6" t="str">
        <x:v>0.5314092281733288</x:v>
      </x:c>
      <x:c r="Z552" s="6" t="str">
        <x:v>0.6093967538143118</x:v>
      </x:c>
      <x:c r="AA552" s="6" t="str">
        <x:v>0.4368108331808427</x:v>
      </x:c>
      <x:c r="AB552" s="6" t="str">
        <x:v>0.9064704393786569</x:v>
      </x:c>
      <x:c r="AC552" s="6" t="str">
        <x:v>0.7095816611176357</x:v>
      </x:c>
      <x:c r="AD552" s="6" t="str">
        <x:v>1.4079482319884469</x:v>
      </x:c>
      <x:c r="AE552" s="6" t="str">
        <x:v>1.260962664713608</x:v>
      </x:c>
      <x:c r="AF552" s="6" t="str">
        <x:v>1.4929701843554806</x:v>
      </x:c>
      <x:c r="AG552" s="6" t="str">
        <x:v>1</x:v>
      </x:c>
      <x:c r="AH552" s="6" t="str">
        <x:v>0</x:v>
      </x:c>
      <x:c r="AI552" s="6" t="str">
        <x:v>2025-11</x:v>
      </x:c>
      <x:c r="AJ552" s="9" t="str">
        <x:v>NASA POWER (MERRA-2 meteorology)</x:v>
      </x:c>
      <x:c r="AK552" s="9" t="str">
        <x:v>Badan Informasi Geospasial (BIG)</x:v>
      </x:c>
      <x:c r="AL552" s="9" t="str">
        <x:v>https://power.larc.nasa.gov/docs/services/api/temporal/monthly/</x:v>
      </x:c>
      <x:c r="AM552" s="9" t="str">
        <x:v>https://geoservices.big.go.id/rbi/rest/services/BATASWILAYAH/BATAS_WILAYAH/MapServer/12</x:v>
      </x:c>
    </x:row>
    <x:row r="553" ht="18" customHeight="1">
      <x:c r="A553" s="6" t="str">
        <x:v>64</x:v>
      </x:c>
      <x:c r="B553" s="6" t="str">
        <x:v>KALIMANTAN TIMUR</x:v>
      </x:c>
      <x:c r="C553" s="6" t="str">
        <x:v>2025</x:v>
      </x:c>
      <x:c r="D553" s="6" t="str">
        <x:v>12</x:v>
      </x:c>
      <x:c r="E553" s="6" t="str">
        <x:v>25.29220045962567</x:v>
      </x:c>
      <x:c r="F553" s="9" t="str">
        <x:v>grid_cells_within_BIG_polygon</x:v>
      </x:c>
      <x:c r="G553" s="6" t="str">
        <x:v>33</x:v>
      </x:c>
      <x:c r="H553" s="8" t="str">
        <x:v>90.66694943035478</x:v>
      </x:c>
      <x:c r="I553" s="6" t="str">
        <x:v>8.089606682217727</x:v>
      </x:c>
      <x:c r="J553" s="6" t="str">
        <x:v>31</x:v>
      </x:c>
      <x:c r="K553" s="6" t="str">
        <x:v>250.77780714874956</x:v>
      </x:c>
      <x:c r="L553" s="6" t="str">
        <x:v>24.951427257876496</x:v>
      </x:c>
      <x:c r="M553" s="6" t="str">
        <x:v>0.25152831594322445</x:v>
      </x:c>
      <x:c r="N553" s="6" t="str">
        <x:v>90.47076427832533</x:v>
      </x:c>
      <x:c r="O553" s="6" t="str">
        <x:v>0.9036747804258519</x:v>
      </x:c>
      <x:c r="P553" s="6" t="str">
        <x:v>259.8520760945201</x:v>
      </x:c>
      <x:c r="Q553" s="6" t="str">
        <x:v>54.670530036899045</x:v>
      </x:c>
      <x:c r="R553" s="6" t="str">
        <x:v>0.34077320174917247</x:v>
      </x:c>
      <x:c r="S553" s="8" t="str">
        <x:v>1.3548104930901401</x:v>
      </x:c>
      <x:c r="T553" s="6" t="str">
        <x:v>0.1961851520294431</x:v>
      </x:c>
      <x:c r="U553" s="8" t="str">
        <x:v>0.21709707549544746</x:v>
      </x:c>
      <x:c r="V553" s="6" t="str">
        <x:v>-9.074268945770541</x:v>
      </x:c>
      <x:c r="W553" s="8" t="str">
        <x:v>-0.16598099450738818</x:v>
      </x:c>
      <x:c r="X553" s="6" t="str">
        <x:v>0.7353432707544205</x:v>
      </x:c>
      <x:c r="Y553" s="6" t="str">
        <x:v>0.561437762515187</x:v>
      </x:c>
      <x:c r="Z553" s="6" t="str">
        <x:v>0.8838638421199155</x:v>
      </x:c>
      <x:c r="AA553" s="6" t="str">
        <x:v>0.785463710793405</x:v>
      </x:c>
      <x:c r="AB553" s="6" t="str">
        <x:v>0.4368108331808427</x:v>
      </x:c>
      <x:c r="AC553" s="6" t="str">
        <x:v>0.47979053982323244</x:v>
      </x:c>
      <x:c r="AD553" s="6" t="str">
        <x:v>1.809999656364387</x:v>
      </x:c>
      <x:c r="AE553" s="6" t="str">
        <x:v>1.4079482319884469</x:v>
      </x:c>
      <x:c r="AF553" s="6" t="str">
        <x:v>1.017322297948482</x:v>
      </x:c>
      <x:c r="AG553" s="6" t="str">
        <x:v>0</x:v>
      </x:c>
      <x:c r="AH553" s="6" t="str">
        <x:v>1</x:v>
      </x:c>
      <x:c r="AI553" s="6" t="str">
        <x:v>2025-12</x:v>
      </x:c>
      <x:c r="AJ553" s="9" t="str">
        <x:v>NASA POWER (MERRA-2 meteorology)</x:v>
      </x:c>
      <x:c r="AK553" s="9" t="str">
        <x:v>Badan Informasi Geospasial (BIG)</x:v>
      </x:c>
      <x:c r="AL553" s="9" t="str">
        <x:v>https://power.larc.nasa.gov/docs/services/api/temporal/monthly/</x:v>
      </x:c>
      <x:c r="AM553" s="9" t="str">
        <x:v>https://geoservices.big.go.id/rbi/rest/services/BATASWILAYAH/BATAS_WILAYAH/MapServer/12</x:v>
      </x:c>
    </x:row>
    <x:row r="554" ht="18" customHeight="1">
      <x:c r="A554" s="6" t="str">
        <x:v>65</x:v>
      </x:c>
      <x:c r="B554" s="6" t="str">
        <x:v>KALIMANTAN UTARA</x:v>
      </x:c>
      <x:c r="C554" s="6" t="str">
        <x:v>2024</x:v>
      </x:c>
      <x:c r="D554" s="6" t="str">
        <x:v>1</x:v>
      </x:c>
      <x:c r="E554" s="6" t="str">
        <x:v>23.998172427751502</x:v>
      </x:c>
      <x:c r="F554" s="9" t="str">
        <x:v>grid_cells_within_BIG_polygon</x:v>
      </x:c>
      <x:c r="G554" s="6" t="str">
        <x:v>16</x:v>
      </x:c>
      <x:c r="H554" s="8" t="str">
        <x:v>91.42022470568641</x:v>
      </x:c>
      <x:c r="I554" s="6" t="str">
        <x:v>7.054197816099448</x:v>
      </x:c>
      <x:c r="J554" s="6" t="str">
        <x:v>31</x:v>
      </x:c>
      <x:c r="K554" s="6" t="str">
        <x:v>218.68013229908289</x:v>
      </x:c>
      <x:c r="L554" s="6" t="str">
        <x:v>23.052858594256215</x:v>
      </x:c>
      <x:c r="M554" s="6" t="str">
        <x:v>0.306085720662011</x:v>
      </x:c>
      <x:c r="N554" s="6" t="str">
        <x:v>91.07488254527729</x:v>
      </x:c>
      <x:c r="O554" s="6" t="str">
        <x:v>1.3960366154374655</x:v>
      </x:c>
      <x:c r="P554" s="6" t="str">
        <x:v>213.32097429284389</x:v>
      </x:c>
      <x:c r="Q554" s="6" t="str">
        <x:v>71.03719831174776</x:v>
      </x:c>
      <x:c r="R554" s="6" t="str">
        <x:v>0.9453138334952875</x:v>
      </x:c>
      <x:c r="S554" s="8" t="str">
        <x:v>3.088395732576925</x:v>
      </x:c>
      <x:c r="T554" s="6" t="str">
        <x:v>0.3453421604091176</x:v>
      </x:c>
      <x:c r="U554" s="8" t="str">
        <x:v>0.247373282756556</x:v>
      </x:c>
      <x:c r="V554" s="6" t="str">
        <x:v>5.359158006238999</x:v>
      </x:c>
      <x:c r="W554" s="8" t="str">
        <x:v>0.07544157333908719</x:v>
      </x:c>
      <x:c r="X554" s="6" t="str">
        <x:v>4.092631587365101</x:v>
      </x:c>
      <x:c r="Y554" s="6" t="str">
        <x:v>4.012124816758456</x:v>
      </x:c>
      <x:c r="Z554" s="6" t="str">
        <x:v>3.7310507122334946</x:v>
      </x:c>
      <x:c r="AA554" s="6" t="str">
        <x:v>0.14912008959874606</x:v>
      </x:c>
      <x:c r="AB554" s="6" t="str">
        <x:v>-0.1910770648787406</x:v>
      </x:c>
      <x:c r="AC554" s="6" t="str">
        <x:v>0.06847210249218706</x:v>
      </x:c>
      <x:c r="AD554" s="6" t="str">
        <x:v>0.7684252857218881</x:v>
      </x:c>
      <x:c r="AE554" s="6" t="str">
        <x:v>-0.22233513988199713</x:v>
      </x:c>
      <x:c r="AF554" s="6" t="str">
        <x:v>0.20717723972632604</x:v>
      </x:c>
      <x:c r="AG554" s="6" t="str">
        <x:v>0</x:v>
      </x:c>
      <x:c r="AH554" s="6" t="str">
        <x:v>1</x:v>
      </x:c>
      <x:c r="AI554" s="6" t="str">
        <x:v>2024-01</x:v>
      </x:c>
      <x:c r="AJ554" s="9" t="str">
        <x:v>NASA POWER (MERRA-2 meteorology)</x:v>
      </x:c>
      <x:c r="AK554" s="9" t="str">
        <x:v>Badan Informasi Geospasial (BIG)</x:v>
      </x:c>
      <x:c r="AL554" s="9" t="str">
        <x:v>https://power.larc.nasa.gov/docs/services/api/temporal/monthly/</x:v>
      </x:c>
      <x:c r="AM554" s="9" t="str">
        <x:v>https://geoservices.big.go.id/rbi/rest/services/BATASWILAYAH/BATAS_WILAYAH/MapServer/12</x:v>
      </x:c>
    </x:row>
    <x:row r="555" ht="18" customHeight="1">
      <x:c r="A555" s="6" t="str">
        <x:v>65</x:v>
      </x:c>
      <x:c r="B555" s="6" t="str">
        <x:v>KALIMANTAN UTARA</x:v>
      </x:c>
      <x:c r="C555" s="6" t="str">
        <x:v>2024</x:v>
      </x:c>
      <x:c r="D555" s="6" t="str">
        <x:v>2</x:v>
      </x:c>
      <x:c r="E555" s="6" t="str">
        <x:v>24.09067766254381</x:v>
      </x:c>
      <x:c r="F555" s="9" t="str">
        <x:v>grid_cells_within_BIG_polygon</x:v>
      </x:c>
      <x:c r="G555" s="6" t="str">
        <x:v>16</x:v>
      </x:c>
      <x:c r="H555" s="8" t="str">
        <x:v>90.88545582434598</x:v>
      </x:c>
      <x:c r="I555" s="6" t="str">
        <x:v>6.840055495530989</x:v>
      </x:c>
      <x:c r="J555" s="6" t="str">
        <x:v>29</x:v>
      </x:c>
      <x:c r="K555" s="6" t="str">
        <x:v>198.3616093703987</x:v>
      </x:c>
      <x:c r="L555" s="6" t="str">
        <x:v>23.171062001151352</x:v>
      </x:c>
      <x:c r="M555" s="6" t="str">
        <x:v>0.3162880329887716</x:v>
      </x:c>
      <x:c r="N555" s="6" t="str">
        <x:v>90.28922661135297</x:v>
      </x:c>
      <x:c r="O555" s="6" t="str">
        <x:v>1.5184871581838493</x:v>
      </x:c>
      <x:c r="P555" s="6" t="str">
        <x:v>181.92390453357615</x:v>
      </x:c>
      <x:c r="Q555" s="6" t="str">
        <x:v>68.9851067599546</x:v>
      </x:c>
      <x:c r="R555" s="6" t="str">
        <x:v>0.9196156613924593</x:v>
      </x:c>
      <x:c r="S555" s="8" t="str">
        <x:v>2.9075259430542735</x:v>
      </x:c>
      <x:c r="T555" s="6" t="str">
        <x:v>0.5962292129930091</x:v>
      </x:c>
      <x:c r="U555" s="8" t="str">
        <x:v>0.3926468589343324</x:v>
      </x:c>
      <x:c r="V555" s="6" t="str">
        <x:v>16.437704836822547</x:v>
      </x:c>
      <x:c r="W555" s="8" t="str">
        <x:v>0.23827903744528994</x:v>
      </x:c>
      <x:c r="X555" s="6" t="str">
        <x:v>3.088395732576925</x:v>
      </x:c>
      <x:c r="Y555" s="6" t="str">
        <x:v>4.092631587365101</x:v>
      </x:c>
      <x:c r="Z555" s="6" t="str">
        <x:v>3.3628510876654336</x:v>
      </x:c>
      <x:c r="AA555" s="6" t="str">
        <x:v>0.247373282756556</x:v>
      </x:c>
      <x:c r="AB555" s="6" t="str">
        <x:v>0.14912008959874606</x:v>
      </x:c>
      <x:c r="AC555" s="6" t="str">
        <x:v>0.2630467437632114</x:v>
      </x:c>
      <x:c r="AD555" s="6" t="str">
        <x:v>0.07544157333908719</x:v>
      </x:c>
      <x:c r="AE555" s="6" t="str">
        <x:v>0.7684252857218881</x:v>
      </x:c>
      <x:c r="AF555" s="6" t="str">
        <x:v>0.3607152988354217</x:v>
      </x:c>
      <x:c r="AG555" s="6" t="str">
        <x:v>0</x:v>
      </x:c>
      <x:c r="AH555" s="6" t="str">
        <x:v>1</x:v>
      </x:c>
      <x:c r="AI555" s="6" t="str">
        <x:v>2024-02</x:v>
      </x:c>
      <x:c r="AJ555" s="9" t="str">
        <x:v>NASA POWER (MERRA-2 meteorology)</x:v>
      </x:c>
      <x:c r="AK555" s="9" t="str">
        <x:v>Badan Informasi Geospasial (BIG)</x:v>
      </x:c>
      <x:c r="AL555" s="9" t="str">
        <x:v>https://power.larc.nasa.gov/docs/services/api/temporal/monthly/</x:v>
      </x:c>
      <x:c r="AM555" s="9" t="str">
        <x:v>https://geoservices.big.go.id/rbi/rest/services/BATASWILAYAH/BATAS_WILAYAH/MapServer/12</x:v>
      </x:c>
    </x:row>
    <x:row r="556" ht="18" customHeight="1">
      <x:c r="A556" s="6" t="str">
        <x:v>65</x:v>
      </x:c>
      <x:c r="B556" s="6" t="str">
        <x:v>KALIMANTAN UTARA</x:v>
      </x:c>
      <x:c r="C556" s="6" t="str">
        <x:v>2024</x:v>
      </x:c>
      <x:c r="D556" s="6" t="str">
        <x:v>3</x:v>
      </x:c>
      <x:c r="E556" s="6" t="str">
        <x:v>24.344423868217113</x:v>
      </x:c>
      <x:c r="F556" s="9" t="str">
        <x:v>grid_cells_within_BIG_polygon</x:v>
      </x:c>
      <x:c r="G556" s="6" t="str">
        <x:v>16</x:v>
      </x:c>
      <x:c r="H556" s="8" t="str">
        <x:v>90.61887966084973</x:v>
      </x:c>
      <x:c r="I556" s="6" t="str">
        <x:v>7.198183445159423</x:v>
      </x:c>
      <x:c r="J556" s="6" t="str">
        <x:v>31</x:v>
      </x:c>
      <x:c r="K556" s="6" t="str">
        <x:v>223.14368679994212</x:v>
      </x:c>
      <x:c r="L556" s="6" t="str">
        <x:v>23.519425622389917</x:v>
      </x:c>
      <x:c r="M556" s="6" t="str">
        <x:v>0.3598772837794465</x:v>
      </x:c>
      <x:c r="N556" s="6" t="str">
        <x:v>89.92789574808344</x:v>
      </x:c>
      <x:c r="O556" s="6" t="str">
        <x:v>2.1142175794193436</x:v>
      </x:c>
      <x:c r="P556" s="6" t="str">
        <x:v>211.15342488170901</x:v>
      </x:c>
      <x:c r="Q556" s="6" t="str">
        <x:v>92.66673239479874</x:v>
      </x:c>
      <x:c r="R556" s="6" t="str">
        <x:v>0.8249982458271958</x:v>
      </x:c>
      <x:c r="S556" s="8" t="str">
        <x:v>2.292443238325657</x:v>
      </x:c>
      <x:c r="T556" s="6" t="str">
        <x:v>0.6909839127662849</x:v>
      </x:c>
      <x:c r="U556" s="8" t="str">
        <x:v>0.3268272478162154</x:v>
      </x:c>
      <x:c r="V556" s="6" t="str">
        <x:v>11.990261918233102</x:v>
      </x:c>
      <x:c r="W556" s="8" t="str">
        <x:v>0.12939122388765809</x:v>
      </x:c>
      <x:c r="X556" s="6" t="str">
        <x:v>2.9075259430542735</x:v>
      </x:c>
      <x:c r="Y556" s="6" t="str">
        <x:v>3.088395732576925</x:v>
      </x:c>
      <x:c r="Z556" s="6" t="str">
        <x:v>2.7627883046522856</x:v>
      </x:c>
      <x:c r="AA556" s="6" t="str">
        <x:v>0.3926468589343324</x:v>
      </x:c>
      <x:c r="AB556" s="6" t="str">
        <x:v>0.247373282756556</x:v>
      </x:c>
      <x:c r="AC556" s="6" t="str">
        <x:v>0.3222824631690345</x:v>
      </x:c>
      <x:c r="AD556" s="6" t="str">
        <x:v>0.23827903744528994</x:v>
      </x:c>
      <x:c r="AE556" s="6" t="str">
        <x:v>0.07544157333908719</x:v>
      </x:c>
      <x:c r="AF556" s="6" t="str">
        <x:v>0.1477039448906784</x:v>
      </x:c>
      <x:c r="AG556" s="6" t="str">
        <x:v>0</x:v>
      </x:c>
      <x:c r="AH556" s="6" t="str">
        <x:v>1</x:v>
      </x:c>
      <x:c r="AI556" s="6" t="str">
        <x:v>2024-03</x:v>
      </x:c>
      <x:c r="AJ556" s="9" t="str">
        <x:v>NASA POWER (MERRA-2 meteorology)</x:v>
      </x:c>
      <x:c r="AK556" s="9" t="str">
        <x:v>Badan Informasi Geospasial (BIG)</x:v>
      </x:c>
      <x:c r="AL556" s="9" t="str">
        <x:v>https://power.larc.nasa.gov/docs/services/api/temporal/monthly/</x:v>
      </x:c>
      <x:c r="AM556" s="9" t="str">
        <x:v>https://geoservices.big.go.id/rbi/rest/services/BATASWILAYAH/BATAS_WILAYAH/MapServer/12</x:v>
      </x:c>
    </x:row>
    <x:row r="557" ht="18" customHeight="1">
      <x:c r="A557" s="6" t="str">
        <x:v>65</x:v>
      </x:c>
      <x:c r="B557" s="6" t="str">
        <x:v>KALIMANTAN UTARA</x:v>
      </x:c>
      <x:c r="C557" s="6" t="str">
        <x:v>2024</x:v>
      </x:c>
      <x:c r="D557" s="6" t="str">
        <x:v>4</x:v>
      </x:c>
      <x:c r="E557" s="6" t="str">
        <x:v>24.711286809848218</x:v>
      </x:c>
      <x:c r="F557" s="9" t="str">
        <x:v>grid_cells_within_BIG_polygon</x:v>
      </x:c>
      <x:c r="G557" s="6" t="str">
        <x:v>16</x:v>
      </x:c>
      <x:c r="H557" s="8" t="str">
        <x:v>90.89421489776528</x:v>
      </x:c>
      <x:c r="I557" s="6" t="str">
        <x:v>6.973265310338743</x:v>
      </x:c>
      <x:c r="J557" s="6" t="str">
        <x:v>30</x:v>
      </x:c>
      <x:c r="K557" s="6" t="str">
        <x:v>209.19795931016228</x:v>
      </x:c>
      <x:c r="L557" s="6" t="str">
        <x:v>23.888707524983783</x:v>
      </x:c>
      <x:c r="M557" s="6" t="str">
        <x:v>0.4265499731911499</x:v>
      </x:c>
      <x:c r="N557" s="6" t="str">
        <x:v>90.24066839677054</x:v>
      </x:c>
      <x:c r="O557" s="6" t="str">
        <x:v>2.8960120526405877</x:v>
      </x:c>
      <x:c r="P557" s="6" t="str">
        <x:v>211.02988963820724</x:v>
      </x:c>
      <x:c r="Q557" s="6" t="str">
        <x:v>59.71700891791046</x:v>
      </x:c>
      <x:c r="R557" s="6" t="str">
        <x:v>0.8225792848644353</x:v>
      </x:c>
      <x:c r="S557" s="8" t="str">
        <x:v>1.9284476299704578</x:v>
      </x:c>
      <x:c r="T557" s="6" t="str">
        <x:v>0.6535465009947359</x:v>
      </x:c>
      <x:c r="U557" s="8" t="str">
        <x:v>0.2256711951177245</x:v>
      </x:c>
      <x:c r="V557" s="6" t="str">
        <x:v>-1.8319303280449617</x:v>
      </x:c>
      <x:c r="W557" s="8" t="str">
        <x:v>-0.03067686009798667</x:v>
      </x:c>
      <x:c r="X557" s="6" t="str">
        <x:v>2.292443238325657</x:v>
      </x:c>
      <x:c r="Y557" s="6" t="str">
        <x:v>2.9075259430542735</x:v>
      </x:c>
      <x:c r="Z557" s="6" t="str">
        <x:v>2.3761389371167962</x:v>
      </x:c>
      <x:c r="AA557" s="6" t="str">
        <x:v>0.3268272478162154</x:v>
      </x:c>
      <x:c r="AB557" s="6" t="str">
        <x:v>0.3926468589343324</x:v>
      </x:c>
      <x:c r="AC557" s="6" t="str">
        <x:v>0.31504843395609067</x:v>
      </x:c>
      <x:c r="AD557" s="6" t="str">
        <x:v>0.12939122388765809</x:v>
      </x:c>
      <x:c r="AE557" s="6" t="str">
        <x:v>0.23827903744528994</x:v>
      </x:c>
      <x:c r="AF557" s="6" t="str">
        <x:v>0.11233113374498711</x:v>
      </x:c>
      <x:c r="AG557" s="6" t="str">
        <x:v>0</x:v>
      </x:c>
      <x:c r="AH557" s="6" t="str">
        <x:v>1</x:v>
      </x:c>
      <x:c r="AI557" s="6" t="str">
        <x:v>2024-04</x:v>
      </x:c>
      <x:c r="AJ557" s="9" t="str">
        <x:v>NASA POWER (MERRA-2 meteorology)</x:v>
      </x:c>
      <x:c r="AK557" s="9" t="str">
        <x:v>Badan Informasi Geospasial (BIG)</x:v>
      </x:c>
      <x:c r="AL557" s="9" t="str">
        <x:v>https://power.larc.nasa.gov/docs/services/api/temporal/monthly/</x:v>
      </x:c>
      <x:c r="AM557" s="9" t="str">
        <x:v>https://geoservices.big.go.id/rbi/rest/services/BATASWILAYAH/BATAS_WILAYAH/MapServer/12</x:v>
      </x:c>
    </x:row>
    <x:row r="558" ht="18" customHeight="1">
      <x:c r="A558" s="6" t="str">
        <x:v>65</x:v>
      </x:c>
      <x:c r="B558" s="6" t="str">
        <x:v>KALIMANTAN UTARA</x:v>
      </x:c>
      <x:c r="C558" s="6" t="str">
        <x:v>2024</x:v>
      </x:c>
      <x:c r="D558" s="6" t="str">
        <x:v>5</x:v>
      </x:c>
      <x:c r="E558" s="6" t="str">
        <x:v>25.021288754939842</x:v>
      </x:c>
      <x:c r="F558" s="9" t="str">
        <x:v>grid_cells_within_BIG_polygon</x:v>
      </x:c>
      <x:c r="G558" s="6" t="str">
        <x:v>16</x:v>
      </x:c>
      <x:c r="H558" s="8" t="str">
        <x:v>92.39922368910871</x:v>
      </x:c>
      <x:c r="I558" s="6" t="str">
        <x:v>11.943237891842278</x:v>
      </x:c>
      <x:c r="J558" s="6" t="str">
        <x:v>31</x:v>
      </x:c>
      <x:c r="K558" s="6" t="str">
        <x:v>370.2403746471106</x:v>
      </x:c>
      <x:c r="L558" s="6" t="str">
        <x:v>23.99937823505668</x:v>
      </x:c>
      <x:c r="M558" s="6" t="str">
        <x:v>0.3445654240120589</x:v>
      </x:c>
      <x:c r="N558" s="6" t="str">
        <x:v>91.31135128448982</x:v>
      </x:c>
      <x:c r="O558" s="6" t="str">
        <x:v>1.1837336774287412</x:v>
      </x:c>
      <x:c r="P558" s="6" t="str">
        <x:v>234.14047573019664</x:v>
      </x:c>
      <x:c r="Q558" s="6" t="str">
        <x:v>67.19271786031031</x:v>
      </x:c>
      <x:c r="R558" s="6" t="str">
        <x:v>1.0219105198831606</x:v>
      </x:c>
      <x:c r="S558" s="8" t="str">
        <x:v>2.965795313947102</x:v>
      </x:c>
      <x:c r="T558" s="6" t="str">
        <x:v>1.0878724046188921</x:v>
      </x:c>
      <x:c r="U558" s="8" t="str">
        <x:v>0.9190178714708235</x:v>
      </x:c>
      <x:c r="V558" s="6" t="str">
        <x:v>136.099898916914</x:v>
      </x:c>
      <x:c r="W558" s="8" t="str">
        <x:v>2.0255156101864733</x:v>
      </x:c>
      <x:c r="X558" s="6" t="str">
        <x:v>1.9284476299704578</x:v>
      </x:c>
      <x:c r="Y558" s="6" t="str">
        <x:v>2.292443238325657</x:v>
      </x:c>
      <x:c r="Z558" s="6" t="str">
        <x:v>2.3955620607477393</x:v>
      </x:c>
      <x:c r="AA558" s="6" t="str">
        <x:v>0.2256711951177245</x:v>
      </x:c>
      <x:c r="AB558" s="6" t="str">
        <x:v>0.3268272478162154</x:v>
      </x:c>
      <x:c r="AC558" s="6" t="str">
        <x:v>0.49050543813492103</x:v>
      </x:c>
      <x:c r="AD558" s="6" t="str">
        <x:v>-0.03067686009798667</x:v>
      </x:c>
      <x:c r="AE558" s="6" t="str">
        <x:v>0.12939122388765809</x:v>
      </x:c>
      <x:c r="AF558" s="6" t="str">
        <x:v>0.7080766579920482</x:v>
      </x:c>
      <x:c r="AG558" s="6" t="str">
        <x:v>1</x:v>
      </x:c>
      <x:c r="AH558" s="6" t="str">
        <x:v>1</x:v>
      </x:c>
      <x:c r="AI558" s="6" t="str">
        <x:v>2024-05</x:v>
      </x:c>
      <x:c r="AJ558" s="9" t="str">
        <x:v>NASA POWER (MERRA-2 meteorology)</x:v>
      </x:c>
      <x:c r="AK558" s="9" t="str">
        <x:v>Badan Informasi Geospasial (BIG)</x:v>
      </x:c>
      <x:c r="AL558" s="9" t="str">
        <x:v>https://power.larc.nasa.gov/docs/services/api/temporal/monthly/</x:v>
      </x:c>
      <x:c r="AM558" s="9" t="str">
        <x:v>https://geoservices.big.go.id/rbi/rest/services/BATASWILAYAH/BATAS_WILAYAH/MapServer/12</x:v>
      </x:c>
    </x:row>
    <x:row r="559" ht="18" customHeight="1">
      <x:c r="A559" s="6" t="str">
        <x:v>65</x:v>
      </x:c>
      <x:c r="B559" s="6" t="str">
        <x:v>KALIMANTAN UTARA</x:v>
      </x:c>
      <x:c r="C559" s="6" t="str">
        <x:v>2024</x:v>
      </x:c>
      <x:c r="D559" s="6" t="str">
        <x:v>6</x:v>
      </x:c>
      <x:c r="E559" s="6" t="str">
        <x:v>24.005053413147778</x:v>
      </x:c>
      <x:c r="F559" s="9" t="str">
        <x:v>grid_cells_within_BIG_polygon</x:v>
      </x:c>
      <x:c r="G559" s="6" t="str">
        <x:v>16</x:v>
      </x:c>
      <x:c r="H559" s="8" t="str">
        <x:v>93.1394573625059</x:v>
      </x:c>
      <x:c r="I559" s="6" t="str">
        <x:v>10.520947717512527</x:v>
      </x:c>
      <x:c r="J559" s="6" t="str">
        <x:v>30</x:v>
      </x:c>
      <x:c r="K559" s="6" t="str">
        <x:v>315.62843152537585</x:v>
      </x:c>
      <x:c r="L559" s="6" t="str">
        <x:v>23.563942386087696</x:v>
      </x:c>
      <x:c r="M559" s="6" t="str">
        <x:v>0.24991309603478867</x:v>
      </x:c>
      <x:c r="N559" s="6" t="str">
        <x:v>91.50914811361748</x:v>
      </x:c>
      <x:c r="O559" s="6" t="str">
        <x:v>1.0879891739605394</x:v>
      </x:c>
      <x:c r="P559" s="6" t="str">
        <x:v>200.57623830708818</x:v>
      </x:c>
      <x:c r="Q559" s="6" t="str">
        <x:v>59.75696685647818</x:v>
      </x:c>
      <x:c r="R559" s="6" t="str">
        <x:v>0.44111102706008154</x:v>
      </x:c>
      <x:c r="S559" s="8" t="str">
        <x:v>1.7650576702818228</x:v>
      </x:c>
      <x:c r="T559" s="6" t="str">
        <x:v>1.630309248888409</x:v>
      </x:c>
      <x:c r="U559" s="8" t="str">
        <x:v>1.4984609111078702</x:v>
      </x:c>
      <x:c r="V559" s="6" t="str">
        <x:v>115.05219321828767</x:v>
      </x:c>
      <x:c r="W559" s="8" t="str">
        <x:v>1.925335224838558</x:v>
      </x:c>
      <x:c r="X559" s="6" t="str">
        <x:v>2.965795313947102</x:v>
      </x:c>
      <x:c r="Y559" s="6" t="str">
        <x:v>1.9284476299704578</x:v>
      </x:c>
      <x:c r="Z559" s="6" t="str">
        <x:v>2.2197668713997945</x:v>
      </x:c>
      <x:c r="AA559" s="6" t="str">
        <x:v>0.9190178714708235</x:v>
      </x:c>
      <x:c r="AB559" s="6" t="str">
        <x:v>0.2256711951177245</x:v>
      </x:c>
      <x:c r="AC559" s="6" t="str">
        <x:v>0.8810499925654726</x:v>
      </x:c>
      <x:c r="AD559" s="6" t="str">
        <x:v>2.0255156101864733</x:v>
      </x:c>
      <x:c r="AE559" s="6" t="str">
        <x:v>-0.03067686009798667</x:v>
      </x:c>
      <x:c r="AF559" s="6" t="str">
        <x:v>1.306724658309015</x:v>
      </x:c>
      <x:c r="AG559" s="6" t="str">
        <x:v>1</x:v>
      </x:c>
      <x:c r="AH559" s="6" t="str">
        <x:v>1</x:v>
      </x:c>
      <x:c r="AI559" s="6" t="str">
        <x:v>2024-06</x:v>
      </x:c>
      <x:c r="AJ559" s="9" t="str">
        <x:v>NASA POWER (MERRA-2 meteorology)</x:v>
      </x:c>
      <x:c r="AK559" s="9" t="str">
        <x:v>Badan Informasi Geospasial (BIG)</x:v>
      </x:c>
      <x:c r="AL559" s="9" t="str">
        <x:v>https://power.larc.nasa.gov/docs/services/api/temporal/monthly/</x:v>
      </x:c>
      <x:c r="AM559" s="9" t="str">
        <x:v>https://geoservices.big.go.id/rbi/rest/services/BATASWILAYAH/BATAS_WILAYAH/MapServer/12</x:v>
      </x:c>
    </x:row>
    <x:row r="560" ht="18" customHeight="1">
      <x:c r="A560" s="6" t="str">
        <x:v>65</x:v>
      </x:c>
      <x:c r="B560" s="6" t="str">
        <x:v>KALIMANTAN UTARA</x:v>
      </x:c>
      <x:c r="C560" s="6" t="str">
        <x:v>2024</x:v>
      </x:c>
      <x:c r="D560" s="6" t="str">
        <x:v>7</x:v>
      </x:c>
      <x:c r="E560" s="6" t="str">
        <x:v>23.9224789561527</x:v>
      </x:c>
      <x:c r="F560" s="9" t="str">
        <x:v>grid_cells_within_BIG_polygon</x:v>
      </x:c>
      <x:c r="G560" s="6" t="str">
        <x:v>16</x:v>
      </x:c>
      <x:c r="H560" s="8" t="str">
        <x:v>92.58180046968062</x:v>
      </x:c>
      <x:c r="I560" s="6" t="str">
        <x:v>7.766001507939703</x:v>
      </x:c>
      <x:c r="J560" s="6" t="str">
        <x:v>31</x:v>
      </x:c>
      <x:c r="K560" s="6" t="str">
        <x:v>240.7460467461308</x:v>
      </x:c>
      <x:c r="L560" s="6" t="str">
        <x:v>23.28512190000002</x:v>
      </x:c>
      <x:c r="M560" s="6" t="str">
        <x:v>0.24039697240080626</x:v>
      </x:c>
      <x:c r="N560" s="6" t="str">
        <x:v>91.1585372479533</x:v>
      </x:c>
      <x:c r="O560" s="6" t="str">
        <x:v>0.9563769275090712</x:v>
      </x:c>
      <x:c r="P560" s="6" t="str">
        <x:v>188.49242272024728</x:v>
      </x:c>
      <x:c r="Q560" s="6" t="str">
        <x:v>57.03847939693977</x:v>
      </x:c>
      <x:c r="R560" s="6" t="str">
        <x:v>0.6373570561526769</x:v>
      </x:c>
      <x:c r="S560" s="8" t="str">
        <x:v>2.6512690646121437</x:v>
      </x:c>
      <x:c r="T560" s="6" t="str">
        <x:v>1.4232632217273107</x:v>
      </x:c>
      <x:c r="U560" s="8" t="str">
        <x:v>1.4881823063572506</x:v>
      </x:c>
      <x:c r="V560" s="6" t="str">
        <x:v>52.25362402588351</x:v>
      </x:c>
      <x:c r="W560" s="8" t="str">
        <x:v>0.916111799934958</x:v>
      </x:c>
      <x:c r="X560" s="6" t="str">
        <x:v>1.7650576702818228</x:v>
      </x:c>
      <x:c r="Y560" s="6" t="str">
        <x:v>2.965795313947102</x:v>
      </x:c>
      <x:c r="Z560" s="6" t="str">
        <x:v>2.4607073496136898</x:v>
      </x:c>
      <x:c r="AA560" s="6" t="str">
        <x:v>1.4984609111078702</x:v>
      </x:c>
      <x:c r="AB560" s="6" t="str">
        <x:v>0.9190178714708235</x:v>
      </x:c>
      <x:c r="AC560" s="6" t="str">
        <x:v>1.3018870296453147</x:v>
      </x:c>
      <x:c r="AD560" s="6" t="str">
        <x:v>1.925335224838558</x:v>
      </x:c>
      <x:c r="AE560" s="6" t="str">
        <x:v>2.0255156101864733</x:v>
      </x:c>
      <x:c r="AF560" s="6" t="str">
        <x:v>1.6223208783199965</x:v>
      </x:c>
      <x:c r="AG560" s="6" t="str">
        <x:v>0</x:v>
      </x:c>
      <x:c r="AH560" s="6" t="str">
        <x:v>1</x:v>
      </x:c>
      <x:c r="AI560" s="6" t="str">
        <x:v>2024-07</x:v>
      </x:c>
      <x:c r="AJ560" s="9" t="str">
        <x:v>NASA POWER (MERRA-2 meteorology)</x:v>
      </x:c>
      <x:c r="AK560" s="9" t="str">
        <x:v>Badan Informasi Geospasial (BIG)</x:v>
      </x:c>
      <x:c r="AL560" s="9" t="str">
        <x:v>https://power.larc.nasa.gov/docs/services/api/temporal/monthly/</x:v>
      </x:c>
      <x:c r="AM560" s="9" t="str">
        <x:v>https://geoservices.big.go.id/rbi/rest/services/BATASWILAYAH/BATAS_WILAYAH/MapServer/12</x:v>
      </x:c>
    </x:row>
    <x:row r="561" ht="18" customHeight="1">
      <x:c r="A561" s="6" t="str">
        <x:v>65</x:v>
      </x:c>
      <x:c r="B561" s="6" t="str">
        <x:v>KALIMANTAN UTARA</x:v>
      </x:c>
      <x:c r="C561" s="6" t="str">
        <x:v>2024</x:v>
      </x:c>
      <x:c r="D561" s="6" t="str">
        <x:v>8</x:v>
      </x:c>
      <x:c r="E561" s="6" t="str">
        <x:v>23.961923787063064</x:v>
      </x:c>
      <x:c r="F561" s="9" t="str">
        <x:v>grid_cells_within_BIG_polygon</x:v>
      </x:c>
      <x:c r="G561" s="6" t="str">
        <x:v>16</x:v>
      </x:c>
      <x:c r="H561" s="8" t="str">
        <x:v>91.8350917338145</x:v>
      </x:c>
      <x:c r="I561" s="6" t="str">
        <x:v>8.135324521293834</x:v>
      </x:c>
      <x:c r="J561" s="6" t="str">
        <x:v>31</x:v>
      </x:c>
      <x:c r="K561" s="6" t="str">
        <x:v>252.19506016010885</x:v>
      </x:c>
      <x:c r="L561" s="6" t="str">
        <x:v>23.332916230336707</x:v>
      </x:c>
      <x:c r="M561" s="6" t="str">
        <x:v>0.2848946670375814</x:v>
      </x:c>
      <x:c r="N561" s="6" t="str">
        <x:v>90.75185914266048</x:v>
      </x:c>
      <x:c r="O561" s="6" t="str">
        <x:v>0.9991152648620515</x:v>
      </x:c>
      <x:c r="P561" s="6" t="str">
        <x:v>188.4015789614496</x:v>
      </x:c>
      <x:c r="Q561" s="6" t="str">
        <x:v>52.649218040261445</x:v>
      </x:c>
      <x:c r="R561" s="6" t="str">
        <x:v>0.6290075567263571</x:v>
      </x:c>
      <x:c r="S561" s="8" t="str">
        <x:v>2.2078600602354648</x:v>
      </x:c>
      <x:c r="T561" s="6" t="str">
        <x:v>1.0832325911540153</x:v>
      </x:c>
      <x:c r="U561" s="8" t="str">
        <x:v>1.084191813747914</x:v>
      </x:c>
      <x:c r="V561" s="6" t="str">
        <x:v>63.793481198659265</x:v>
      </x:c>
      <x:c r="W561" s="8" t="str">
        <x:v>1.211670060320282</x:v>
      </x:c>
      <x:c r="X561" s="6" t="str">
        <x:v>2.6512690646121437</x:v>
      </x:c>
      <x:c r="Y561" s="6" t="str">
        <x:v>1.7650576702818228</x:v>
      </x:c>
      <x:c r="Z561" s="6" t="str">
        <x:v>2.2080622650431443</x:v>
      </x:c>
      <x:c r="AA561" s="6" t="str">
        <x:v>1.4881823063572506</x:v>
      </x:c>
      <x:c r="AB561" s="6" t="str">
        <x:v>1.4984609111078702</x:v>
      </x:c>
      <x:c r="AC561" s="6" t="str">
        <x:v>1.3569450104043448</x:v>
      </x:c>
      <x:c r="AD561" s="6" t="str">
        <x:v>0.916111799934958</x:v>
      </x:c>
      <x:c r="AE561" s="6" t="str">
        <x:v>1.925335224838558</x:v>
      </x:c>
      <x:c r="AF561" s="6" t="str">
        <x:v>1.3510390283645994</x:v>
      </x:c>
      <x:c r="AG561" s="6" t="str">
        <x:v>1</x:v>
      </x:c>
      <x:c r="AH561" s="6" t="str">
        <x:v>1</x:v>
      </x:c>
      <x:c r="AI561" s="6" t="str">
        <x:v>2024-08</x:v>
      </x:c>
      <x:c r="AJ561" s="9" t="str">
        <x:v>NASA POWER (MERRA-2 meteorology)</x:v>
      </x:c>
      <x:c r="AK561" s="9" t="str">
        <x:v>Badan Informasi Geospasial (BIG)</x:v>
      </x:c>
      <x:c r="AL561" s="9" t="str">
        <x:v>https://power.larc.nasa.gov/docs/services/api/temporal/monthly/</x:v>
      </x:c>
      <x:c r="AM561" s="9" t="str">
        <x:v>https://geoservices.big.go.id/rbi/rest/services/BATASWILAYAH/BATAS_WILAYAH/MapServer/12</x:v>
      </x:c>
    </x:row>
    <x:row r="562" ht="18" customHeight="1">
      <x:c r="A562" s="6" t="str">
        <x:v>65</x:v>
      </x:c>
      <x:c r="B562" s="6" t="str">
        <x:v>KALIMANTAN UTARA</x:v>
      </x:c>
      <x:c r="C562" s="6" t="str">
        <x:v>2024</x:v>
      </x:c>
      <x:c r="D562" s="6" t="str">
        <x:v>9</x:v>
      </x:c>
      <x:c r="E562" s="6" t="str">
        <x:v>24.292474454184656</x:v>
      </x:c>
      <x:c r="F562" s="9" t="str">
        <x:v>grid_cells_within_BIG_polygon</x:v>
      </x:c>
      <x:c r="G562" s="6" t="str">
        <x:v>16</x:v>
      </x:c>
      <x:c r="H562" s="8" t="str">
        <x:v>90.38114493543682</x:v>
      </x:c>
      <x:c r="I562" s="6" t="str">
        <x:v>9.42856721404006</x:v>
      </x:c>
      <x:c r="J562" s="6" t="str">
        <x:v>30</x:v>
      </x:c>
      <x:c r="K562" s="6" t="str">
        <x:v>282.85701642120176</x:v>
      </x:c>
      <x:c r="L562" s="6" t="str">
        <x:v>23.44451754368868</x:v>
      </x:c>
      <x:c r="M562" s="6" t="str">
        <x:v>0.25173142286607675</x:v>
      </x:c>
      <x:c r="N562" s="6" t="str">
        <x:v>90.48129326126333</x:v>
      </x:c>
      <x:c r="O562" s="6" t="str">
        <x:v>0.8628495114682249</x:v>
      </x:c>
      <x:c r="P562" s="6" t="str">
        <x:v>188.34471732910563</x:v>
      </x:c>
      <x:c r="Q562" s="6" t="str">
        <x:v>57.0783214528301</x:v>
      </x:c>
      <x:c r="R562" s="6" t="str">
        <x:v>0.8479569104959772</x:v>
      </x:c>
      <x:c r="S562" s="8" t="str">
        <x:v>3.368498460945408</x:v>
      </x:c>
      <x:c r="T562" s="6" t="str">
        <x:v>-0.10014832582650968</x:v>
      </x:c>
      <x:c r="U562" s="8" t="str">
        <x:v>-0.1160669670613793</x:v>
      </x:c>
      <x:c r="V562" s="6" t="str">
        <x:v>94.51229909209613</x:v>
      </x:c>
      <x:c r="W562" s="8" t="str">
        <x:v>1.6558352923920812</x:v>
      </x:c>
      <x:c r="X562" s="6" t="str">
        <x:v>2.2078600602354648</x:v>
      </x:c>
      <x:c r="Y562" s="6" t="str">
        <x:v>2.6512690646121437</x:v>
      </x:c>
      <x:c r="Z562" s="6" t="str">
        <x:v>2.742542528597672</x:v>
      </x:c>
      <x:c r="AA562" s="6" t="str">
        <x:v>1.084191813747914</x:v>
      </x:c>
      <x:c r="AB562" s="6" t="str">
        <x:v>1.4881823063572506</x:v>
      </x:c>
      <x:c r="AC562" s="6" t="str">
        <x:v>0.8187690510145952</x:v>
      </x:c>
      <x:c r="AD562" s="6" t="str">
        <x:v>1.211670060320282</x:v>
      </x:c>
      <x:c r="AE562" s="6" t="str">
        <x:v>0.916111799934958</x:v>
      </x:c>
      <x:c r="AF562" s="6" t="str">
        <x:v>1.261205717549107</x:v>
      </x:c>
      <x:c r="AG562" s="6" t="str">
        <x:v>1</x:v>
      </x:c>
      <x:c r="AH562" s="6" t="str">
        <x:v>1</x:v>
      </x:c>
      <x:c r="AI562" s="6" t="str">
        <x:v>2024-09</x:v>
      </x:c>
      <x:c r="AJ562" s="9" t="str">
        <x:v>NASA POWER (MERRA-2 meteorology)</x:v>
      </x:c>
      <x:c r="AK562" s="9" t="str">
        <x:v>Badan Informasi Geospasial (BIG)</x:v>
      </x:c>
      <x:c r="AL562" s="9" t="str">
        <x:v>https://power.larc.nasa.gov/docs/services/api/temporal/monthly/</x:v>
      </x:c>
      <x:c r="AM562" s="9" t="str">
        <x:v>https://geoservices.big.go.id/rbi/rest/services/BATASWILAYAH/BATAS_WILAYAH/MapServer/12</x:v>
      </x:c>
    </x:row>
    <x:row r="563" ht="18" customHeight="1">
      <x:c r="A563" s="6" t="str">
        <x:v>65</x:v>
      </x:c>
      <x:c r="B563" s="6" t="str">
        <x:v>KALIMANTAN UTARA</x:v>
      </x:c>
      <x:c r="C563" s="6" t="str">
        <x:v>2024</x:v>
      </x:c>
      <x:c r="D563" s="6" t="str">
        <x:v>10</x:v>
      </x:c>
      <x:c r="E563" s="6" t="str">
        <x:v>24.06625802891275</x:v>
      </x:c>
      <x:c r="F563" s="9" t="str">
        <x:v>grid_cells_within_BIG_polygon</x:v>
      </x:c>
      <x:c r="G563" s="6" t="str">
        <x:v>16</x:v>
      </x:c>
      <x:c r="H563" s="8" t="str">
        <x:v>91.00826427149816</x:v>
      </x:c>
      <x:c r="I563" s="6" t="str">
        <x:v>8.88733314873114</x:v>
      </x:c>
      <x:c r="J563" s="6" t="str">
        <x:v>31</x:v>
      </x:c>
      <x:c r="K563" s="6" t="str">
        <x:v>275.5073276106653</x:v>
      </x:c>
      <x:c r="L563" s="6" t="str">
        <x:v>23.54315594193757</x:v>
      </x:c>
      <x:c r="M563" s="6" t="str">
        <x:v>0.20284827988967707</x:v>
      </x:c>
      <x:c r="N563" s="6" t="str">
        <x:v>90.78692533022793</x:v>
      </x:c>
      <x:c r="O563" s="6" t="str">
        <x:v>0.9621328414003147</x:v>
      </x:c>
      <x:c r="P563" s="6" t="str">
        <x:v>226.83787695032956</x:v>
      </x:c>
      <x:c r="Q563" s="6" t="str">
        <x:v>66.81355253929765</x:v>
      </x:c>
      <x:c r="R563" s="6" t="str">
        <x:v>0.5231020869751788</x:v>
      </x:c>
      <x:c r="S563" s="8" t="str">
        <x:v>2.5787849286159976</x:v>
      </x:c>
      <x:c r="T563" s="6" t="str">
        <x:v>0.22133894127023268</x:v>
      </x:c>
      <x:c r="U563" s="8" t="str">
        <x:v>0.2300502921697277</x:v>
      </x:c>
      <x:c r="V563" s="6" t="str">
        <x:v>48.66945066033574</x:v>
      </x:c>
      <x:c r="W563" s="8" t="str">
        <x:v>0.728436803771359</x:v>
      </x:c>
      <x:c r="X563" s="6" t="str">
        <x:v>3.368498460945408</x:v>
      </x:c>
      <x:c r="Y563" s="6" t="str">
        <x:v>2.2078600602354648</x:v>
      </x:c>
      <x:c r="Z563" s="6" t="str">
        <x:v>2.71838114993229</x:v>
      </x:c>
      <x:c r="AA563" s="6" t="str">
        <x:v>-0.1160669670613793</x:v>
      </x:c>
      <x:c r="AB563" s="6" t="str">
        <x:v>1.084191813747914</x:v>
      </x:c>
      <x:c r="AC563" s="6" t="str">
        <x:v>0.3993917129520874</x:v>
      </x:c>
      <x:c r="AD563" s="6" t="str">
        <x:v>1.6558352923920812</x:v>
      </x:c>
      <x:c r="AE563" s="6" t="str">
        <x:v>1.211670060320282</x:v>
      </x:c>
      <x:c r="AF563" s="6" t="str">
        <x:v>1.198647385494574</x:v>
      </x:c>
      <x:c r="AG563" s="6" t="str">
        <x:v>0</x:v>
      </x:c>
      <x:c r="AH563" s="6" t="str">
        <x:v>1</x:v>
      </x:c>
      <x:c r="AI563" s="6" t="str">
        <x:v>2024-10</x:v>
      </x:c>
      <x:c r="AJ563" s="9" t="str">
        <x:v>NASA POWER (MERRA-2 meteorology)</x:v>
      </x:c>
      <x:c r="AK563" s="9" t="str">
        <x:v>Badan Informasi Geospasial (BIG)</x:v>
      </x:c>
      <x:c r="AL563" s="9" t="str">
        <x:v>https://power.larc.nasa.gov/docs/services/api/temporal/monthly/</x:v>
      </x:c>
      <x:c r="AM563" s="9" t="str">
        <x:v>https://geoservices.big.go.id/rbi/rest/services/BATASWILAYAH/BATAS_WILAYAH/MapServer/12</x:v>
      </x:c>
    </x:row>
    <x:row r="564" ht="18" customHeight="1">
      <x:c r="A564" s="6" t="str">
        <x:v>65</x:v>
      </x:c>
      <x:c r="B564" s="6" t="str">
        <x:v>KALIMANTAN UTARA</x:v>
      </x:c>
      <x:c r="C564" s="6" t="str">
        <x:v>2024</x:v>
      </x:c>
      <x:c r="D564" s="6" t="str">
        <x:v>11</x:v>
      </x:c>
      <x:c r="E564" s="6" t="str">
        <x:v>24.138751624219697</x:v>
      </x:c>
      <x:c r="F564" s="9" t="str">
        <x:v>grid_cells_within_BIG_polygon</x:v>
      </x:c>
      <x:c r="G564" s="6" t="str">
        <x:v>16</x:v>
      </x:c>
      <x:c r="H564" s="8" t="str">
        <x:v>91.33715743323795</x:v>
      </x:c>
      <x:c r="I564" s="6" t="str">
        <x:v>8.956333466508404</x:v>
      </x:c>
      <x:c r="J564" s="6" t="str">
        <x:v>30</x:v>
      </x:c>
      <x:c r="K564" s="6" t="str">
        <x:v>268.69000399525214</x:v>
      </x:c>
      <x:c r="L564" s="6" t="str">
        <x:v>23.52801337573296</x:v>
      </x:c>
      <x:c r="M564" s="6" t="str">
        <x:v>0.19911873442627714</x:v>
      </x:c>
      <x:c r="N564" s="6" t="str">
        <x:v>91.4158488640711</x:v>
      </x:c>
      <x:c r="O564" s="6" t="str">
        <x:v>0.8206464158396858</x:v>
      </x:c>
      <x:c r="P564" s="6" t="str">
        <x:v>239.65793822429458</x:v>
      </x:c>
      <x:c r="Q564" s="6" t="str">
        <x:v>49.448747215977036</x:v>
      </x:c>
      <x:c r="R564" s="6" t="str">
        <x:v>0.6107382484867365</x:v>
      </x:c>
      <x:c r="S564" s="8" t="str">
        <x:v>3.067206359293428</x:v>
      </x:c>
      <x:c r="T564" s="6" t="str">
        <x:v>-0.07869143083314611</x:v>
      </x:c>
      <x:c r="U564" s="8" t="str">
        <x:v>-0.09588956865500839</x:v>
      </x:c>
      <x:c r="V564" s="6" t="str">
        <x:v>29.03206577095756</x:v>
      </x:c>
      <x:c r="W564" s="8" t="str">
        <x:v>0.5871142830809112</x:v>
      </x:c>
      <x:c r="X564" s="6" t="str">
        <x:v>2.5787849286159976</x:v>
      </x:c>
      <x:c r="Y564" s="6" t="str">
        <x:v>3.368498460945408</x:v>
      </x:c>
      <x:c r="Z564" s="6" t="str">
        <x:v>3.0048299162849452</x:v>
      </x:c>
      <x:c r="AA564" s="6" t="str">
        <x:v>0.2300502921697277</x:v>
      </x:c>
      <x:c r="AB564" s="6" t="str">
        <x:v>-0.1160669670613793</x:v>
      </x:c>
      <x:c r="AC564" s="6" t="str">
        <x:v>0.006031252151113266</x:v>
      </x:c>
      <x:c r="AD564" s="6" t="str">
        <x:v>0.728436803771359</x:v>
      </x:c>
      <x:c r="AE564" s="6" t="str">
        <x:v>1.6558352923920812</x:v>
      </x:c>
      <x:c r="AF564" s="6" t="str">
        <x:v>0.9904621264147838</x:v>
      </x:c>
      <x:c r="AG564" s="6" t="str">
        <x:v>0</x:v>
      </x:c>
      <x:c r="AH564" s="6" t="str">
        <x:v>1</x:v>
      </x:c>
      <x:c r="AI564" s="6" t="str">
        <x:v>2024-11</x:v>
      </x:c>
      <x:c r="AJ564" s="9" t="str">
        <x:v>NASA POWER (MERRA-2 meteorology)</x:v>
      </x:c>
      <x:c r="AK564" s="9" t="str">
        <x:v>Badan Informasi Geospasial (BIG)</x:v>
      </x:c>
      <x:c r="AL564" s="9" t="str">
        <x:v>https://power.larc.nasa.gov/docs/services/api/temporal/monthly/</x:v>
      </x:c>
      <x:c r="AM564" s="9" t="str">
        <x:v>https://geoservices.big.go.id/rbi/rest/services/BATASWILAYAH/BATAS_WILAYAH/MapServer/12</x:v>
      </x:c>
    </x:row>
    <x:row r="565" ht="18" customHeight="1">
      <x:c r="A565" s="6" t="str">
        <x:v>65</x:v>
      </x:c>
      <x:c r="B565" s="6" t="str">
        <x:v>KALIMANTAN UTARA</x:v>
      </x:c>
      <x:c r="C565" s="6" t="str">
        <x:v>2024</x:v>
      </x:c>
      <x:c r="D565" s="6" t="str">
        <x:v>12</x:v>
      </x:c>
      <x:c r="E565" s="6" t="str">
        <x:v>23.922501325369026</x:v>
      </x:c>
      <x:c r="F565" s="9" t="str">
        <x:v>grid_cells_within_BIG_polygon</x:v>
      </x:c>
      <x:c r="G565" s="6" t="str">
        <x:v>16</x:v>
      </x:c>
      <x:c r="H565" s="8" t="str">
        <x:v>93.29710793951377</x:v>
      </x:c>
      <x:c r="I565" s="6" t="str">
        <x:v>11.697905521834668</x:v>
      </x:c>
      <x:c r="J565" s="6" t="str">
        <x:v>31</x:v>
      </x:c>
      <x:c r="K565" s="6" t="str">
        <x:v>362.6350711768747</x:v>
      </x:c>
      <x:c r="L565" s="6" t="str">
        <x:v>23.30568178643387</x:v>
      </x:c>
      <x:c r="M565" s="6" t="str">
        <x:v>0.2293638474222764</x:v>
      </x:c>
      <x:c r="N565" s="6" t="str">
        <x:v>91.78303143786749</x:v>
      </x:c>
      <x:c r="O565" s="6" t="str">
        <x:v>0.8610307462477371</x:v>
      </x:c>
      <x:c r="P565" s="6" t="str">
        <x:v>250.55772676950872</x:v>
      </x:c>
      <x:c r="Q565" s="6" t="str">
        <x:v>63.78719655907575</x:v>
      </x:c>
      <x:c r="R565" s="6" t="str">
        <x:v>0.6168195389351574</x:v>
      </x:c>
      <x:c r="S565" s="8" t="str">
        <x:v>2.689262261107547</x:v>
      </x:c>
      <x:c r="T565" s="6" t="str">
        <x:v>1.5140765016462723</x:v>
      </x:c>
      <x:c r="U565" s="8" t="str">
        <x:v>1.7584464994362</x:v>
      </x:c>
      <x:c r="V565" s="6" t="str">
        <x:v>112.07734440736598</x:v>
      </x:c>
      <x:c r="W565" s="8" t="str">
        <x:v>1.7570507947244065</x:v>
      </x:c>
      <x:c r="X565" s="6" t="str">
        <x:v>3.067206359293428</x:v>
      </x:c>
      <x:c r="Y565" s="6" t="str">
        <x:v>2.5787849286159976</x:v>
      </x:c>
      <x:c r="Z565" s="6" t="str">
        <x:v>2.7784178496723246</x:v>
      </x:c>
      <x:c r="AA565" s="6" t="str">
        <x:v>-0.09588956865500839</x:v>
      </x:c>
      <x:c r="AB565" s="6" t="str">
        <x:v>0.2300502921697277</x:v>
      </x:c>
      <x:c r="AC565" s="6" t="str">
        <x:v>0.630869074316973</x:v>
      </x:c>
      <x:c r="AD565" s="6" t="str">
        <x:v>0.5871142830809112</x:v>
      </x:c>
      <x:c r="AE565" s="6" t="str">
        <x:v>0.728436803771359</x:v>
      </x:c>
      <x:c r="AF565" s="6" t="str">
        <x:v>1.0242006271922257</x:v>
      </x:c>
      <x:c r="AG565" s="6" t="str">
        <x:v>1</x:v>
      </x:c>
      <x:c r="AH565" s="6" t="str">
        <x:v>1</x:v>
      </x:c>
      <x:c r="AI565" s="6" t="str">
        <x:v>2024-12</x:v>
      </x:c>
      <x:c r="AJ565" s="9" t="str">
        <x:v>NASA POWER (MERRA-2 meteorology)</x:v>
      </x:c>
      <x:c r="AK565" s="9" t="str">
        <x:v>Badan Informasi Geospasial (BIG)</x:v>
      </x:c>
      <x:c r="AL565" s="9" t="str">
        <x:v>https://power.larc.nasa.gov/docs/services/api/temporal/monthly/</x:v>
      </x:c>
      <x:c r="AM565" s="9" t="str">
        <x:v>https://geoservices.big.go.id/rbi/rest/services/BATASWILAYAH/BATAS_WILAYAH/MapServer/12</x:v>
      </x:c>
    </x:row>
    <x:row r="566" ht="18" customHeight="1">
      <x:c r="A566" s="6" t="str">
        <x:v>65</x:v>
      </x:c>
      <x:c r="B566" s="6" t="str">
        <x:v>KALIMANTAN UTARA</x:v>
      </x:c>
      <x:c r="C566" s="6" t="str">
        <x:v>2025</x:v>
      </x:c>
      <x:c r="D566" s="6" t="str">
        <x:v>1</x:v>
      </x:c>
      <x:c r="E566" s="6" t="str">
        <x:v>23.410044298127424</x:v>
      </x:c>
      <x:c r="F566" s="9" t="str">
        <x:v>grid_cells_within_BIG_polygon</x:v>
      </x:c>
      <x:c r="G566" s="6" t="str">
        <x:v>16</x:v>
      </x:c>
      <x:c r="H566" s="8" t="str">
        <x:v>93.60201042016608</x:v>
      </x:c>
      <x:c r="I566" s="6" t="str">
        <x:v>14.114024481018191</x:v>
      </x:c>
      <x:c r="J566" s="6" t="str">
        <x:v>31</x:v>
      </x:c>
      <x:c r="K566" s="6" t="str">
        <x:v>437.5347589115639</x:v>
      </x:c>
      <x:c r="L566" s="6" t="str">
        <x:v>23.052858594256215</x:v>
      </x:c>
      <x:c r="M566" s="6" t="str">
        <x:v>0.306085720662011</x:v>
      </x:c>
      <x:c r="N566" s="6" t="str">
        <x:v>91.07488254527729</x:v>
      </x:c>
      <x:c r="O566" s="6" t="str">
        <x:v>1.3960366154374655</x:v>
      </x:c>
      <x:c r="P566" s="6" t="str">
        <x:v>213.32097429284389</x:v>
      </x:c>
      <x:c r="Q566" s="6" t="str">
        <x:v>71.03719831174776</x:v>
      </x:c>
      <x:c r="R566" s="6" t="str">
        <x:v>0.3571857038712096</x:v>
      </x:c>
      <x:c r="S566" s="8" t="str">
        <x:v>1.1669466419363768</x:v>
      </x:c>
      <x:c r="T566" s="6" t="str">
        <x:v>2.527127874888791</x:v>
      </x:c>
      <x:c r="U566" s="8" t="str">
        <x:v>1.810216040857126</x:v>
      </x:c>
      <x:c r="V566" s="6" t="str">
        <x:v>224.21378461872004</x:v>
      </x:c>
      <x:c r="W566" s="8" t="str">
        <x:v>3.15628698692134</x:v>
      </x:c>
      <x:c r="X566" s="6" t="str">
        <x:v>2.689262261107547</x:v>
      </x:c>
      <x:c r="Y566" s="6" t="str">
        <x:v>3.067206359293428</x:v>
      </x:c>
      <x:c r="Z566" s="6" t="str">
        <x:v>2.3078050874457845</x:v>
      </x:c>
      <x:c r="AA566" s="6" t="str">
        <x:v>1.7584464994362</x:v>
      </x:c>
      <x:c r="AB566" s="6" t="str">
        <x:v>-0.09588956865500839</x:v>
      </x:c>
      <x:c r="AC566" s="6" t="str">
        <x:v>1.1575909905461057</x:v>
      </x:c>
      <x:c r="AD566" s="6" t="str">
        <x:v>1.7570507947244065</x:v>
      </x:c>
      <x:c r="AE566" s="6" t="str">
        <x:v>0.5871142830809112</x:v>
      </x:c>
      <x:c r="AF566" s="6" t="str">
        <x:v>1.8334840215755526</x:v>
      </x:c>
      <x:c r="AG566" s="6" t="str">
        <x:v>1</x:v>
      </x:c>
      <x:c r="AH566" s="6" t="str">
        <x:v>1</x:v>
      </x:c>
      <x:c r="AI566" s="6" t="str">
        <x:v>2025-01</x:v>
      </x:c>
      <x:c r="AJ566" s="9" t="str">
        <x:v>NASA POWER (MERRA-2 meteorology)</x:v>
      </x:c>
      <x:c r="AK566" s="9" t="str">
        <x:v>Badan Informasi Geospasial (BIG)</x:v>
      </x:c>
      <x:c r="AL566" s="9" t="str">
        <x:v>https://power.larc.nasa.gov/docs/services/api/temporal/monthly/</x:v>
      </x:c>
      <x:c r="AM566" s="9" t="str">
        <x:v>https://geoservices.big.go.id/rbi/rest/services/BATASWILAYAH/BATAS_WILAYAH/MapServer/12</x:v>
      </x:c>
    </x:row>
    <x:row r="567" ht="18" customHeight="1">
      <x:c r="A567" s="6" t="str">
        <x:v>65</x:v>
      </x:c>
      <x:c r="B567" s="6" t="str">
        <x:v>KALIMANTAN UTARA</x:v>
      </x:c>
      <x:c r="C567" s="6" t="str">
        <x:v>2025</x:v>
      </x:c>
      <x:c r="D567" s="6" t="str">
        <x:v>2</x:v>
      </x:c>
      <x:c r="E567" s="6" t="str">
        <x:v>23.371296305201508</x:v>
      </x:c>
      <x:c r="F567" s="9" t="str">
        <x:v>grid_cells_within_BIG_polygon</x:v>
      </x:c>
      <x:c r="G567" s="6" t="str">
        <x:v>16</x:v>
      </x:c>
      <x:c r="H567" s="8" t="str">
        <x:v>92.64015701387035</x:v>
      </x:c>
      <x:c r="I567" s="6" t="str">
        <x:v>10.34150661960137</x:v>
      </x:c>
      <x:c r="J567" s="6" t="str">
        <x:v>28</x:v>
      </x:c>
      <x:c r="K567" s="6" t="str">
        <x:v>289.56218534883834</x:v>
      </x:c>
      <x:c r="L567" s="6" t="str">
        <x:v>23.171062001151352</x:v>
      </x:c>
      <x:c r="M567" s="6" t="str">
        <x:v>0.3162880329887716</x:v>
      </x:c>
      <x:c r="N567" s="6" t="str">
        <x:v>90.28922661135297</x:v>
      </x:c>
      <x:c r="O567" s="6" t="str">
        <x:v>1.5184871581838493</x:v>
      </x:c>
      <x:c r="P567" s="6" t="str">
        <x:v>181.92390453357615</x:v>
      </x:c>
      <x:c r="Q567" s="6" t="str">
        <x:v>68.9851067599546</x:v>
      </x:c>
      <x:c r="R567" s="6" t="str">
        <x:v>0.20023430405015574</x:v>
      </x:c>
      <x:c r="S567" s="8" t="str">
        <x:v>0.6330758143393436</x:v>
      </x:c>
      <x:c r="T567" s="6" t="str">
        <x:v>2.3509304025173776</x:v>
      </x:c>
      <x:c r="U567" s="8" t="str">
        <x:v>1.548205653137793</x:v>
      </x:c>
      <x:c r="V567" s="6" t="str">
        <x:v>107.63828081526219</x:v>
      </x:c>
      <x:c r="W567" s="8" t="str">
        <x:v>1.5603118683255486</x:v>
      </x:c>
      <x:c r="X567" s="6" t="str">
        <x:v>1.1669466419363768</x:v>
      </x:c>
      <x:c r="Y567" s="6" t="str">
        <x:v>2.689262261107547</x:v>
      </x:c>
      <x:c r="Z567" s="6" t="str">
        <x:v>1.496428239127756</x:v>
      </x:c>
      <x:c r="AA567" s="6" t="str">
        <x:v>1.810216040857126</x:v>
      </x:c>
      <x:c r="AB567" s="6" t="str">
        <x:v>1.7584464994362</x:v>
      </x:c>
      <x:c r="AC567" s="6" t="str">
        <x:v>1.7056227311437062</x:v>
      </x:c>
      <x:c r="AD567" s="6" t="str">
        <x:v>3.15628698692134</x:v>
      </x:c>
      <x:c r="AE567" s="6" t="str">
        <x:v>1.7570507947244065</x:v>
      </x:c>
      <x:c r="AF567" s="6" t="str">
        <x:v>2.1578832166570985</x:v>
      </x:c>
      <x:c r="AG567" s="6" t="str">
        <x:v>1</x:v>
      </x:c>
      <x:c r="AH567" s="6" t="str">
        <x:v>0</x:v>
      </x:c>
      <x:c r="AI567" s="6" t="str">
        <x:v>2025-02</x:v>
      </x:c>
      <x:c r="AJ567" s="9" t="str">
        <x:v>NASA POWER (MERRA-2 meteorology)</x:v>
      </x:c>
      <x:c r="AK567" s="9" t="str">
        <x:v>Badan Informasi Geospasial (BIG)</x:v>
      </x:c>
      <x:c r="AL567" s="9" t="str">
        <x:v>https://power.larc.nasa.gov/docs/services/api/temporal/monthly/</x:v>
      </x:c>
      <x:c r="AM567" s="9" t="str">
        <x:v>https://geoservices.big.go.id/rbi/rest/services/BATASWILAYAH/BATAS_WILAYAH/MapServer/12</x:v>
      </x:c>
    </x:row>
    <x:row r="568" ht="18" customHeight="1">
      <x:c r="A568" s="6" t="str">
        <x:v>65</x:v>
      </x:c>
      <x:c r="B568" s="6" t="str">
        <x:v>KALIMANTAN UTARA</x:v>
      </x:c>
      <x:c r="C568" s="6" t="str">
        <x:v>2025</x:v>
      </x:c>
      <x:c r="D568" s="6" t="str">
        <x:v>3</x:v>
      </x:c>
      <x:c r="E568" s="6" t="str">
        <x:v>23.703824795021642</x:v>
      </x:c>
      <x:c r="F568" s="9" t="str">
        <x:v>grid_cells_within_BIG_polygon</x:v>
      </x:c>
      <x:c r="G568" s="6" t="str">
        <x:v>16</x:v>
      </x:c>
      <x:c r="H568" s="8" t="str">
        <x:v>91.40704954664542</x:v>
      </x:c>
      <x:c r="I568" s="6" t="str">
        <x:v>6.0728267202296475</x:v>
      </x:c>
      <x:c r="J568" s="6" t="str">
        <x:v>31</x:v>
      </x:c>
      <x:c r="K568" s="6" t="str">
        <x:v>188.25762832711908</x:v>
      </x:c>
      <x:c r="L568" s="6" t="str">
        <x:v>23.519425622389917</x:v>
      </x:c>
      <x:c r="M568" s="6" t="str">
        <x:v>0.3598772837794465</x:v>
      </x:c>
      <x:c r="N568" s="6" t="str">
        <x:v>89.92789574808344</x:v>
      </x:c>
      <x:c r="O568" s="6" t="str">
        <x:v>2.1142175794193436</x:v>
      </x:c>
      <x:c r="P568" s="6" t="str">
        <x:v>211.15342488170901</x:v>
      </x:c>
      <x:c r="Q568" s="6" t="str">
        <x:v>92.66673239479874</x:v>
      </x:c>
      <x:c r="R568" s="6" t="str">
        <x:v>0.1843991726317249</x:v>
      </x:c>
      <x:c r="S568" s="8" t="str">
        <x:v>0.512394588219509</x:v>
      </x:c>
      <x:c r="T568" s="6" t="str">
        <x:v>1.4791537985619811</x:v>
      </x:c>
      <x:c r="U568" s="8" t="str">
        <x:v>0.6996223155841043</x:v>
      </x:c>
      <x:c r="V568" s="6" t="str">
        <x:v>-22.895796554589936</x:v>
      </x:c>
      <x:c r="W568" s="8" t="str">
        <x:v>-0.24707676598592404</x:v>
      </x:c>
      <x:c r="X568" s="6" t="str">
        <x:v>0.6330758143393436</x:v>
      </x:c>
      <x:c r="Y568" s="6" t="str">
        <x:v>1.1669466419363768</x:v>
      </x:c>
      <x:c r="Z568" s="6" t="str">
        <x:v>0.77080568149841</x:v>
      </x:c>
      <x:c r="AA568" s="6" t="str">
        <x:v>1.548205653137793</x:v>
      </x:c>
      <x:c r="AB568" s="6" t="str">
        <x:v>1.810216040857126</x:v>
      </x:c>
      <x:c r="AC568" s="6" t="str">
        <x:v>1.3526813365263408</x:v>
      </x:c>
      <x:c r="AD568" s="6" t="str">
        <x:v>1.5603118683255486</x:v>
      </x:c>
      <x:c r="AE568" s="6" t="str">
        <x:v>3.15628698692134</x:v>
      </x:c>
      <x:c r="AF568" s="6" t="str">
        <x:v>1.4898406964203217</x:v>
      </x:c>
      <x:c r="AG568" s="6" t="str">
        <x:v>0</x:v>
      </x:c>
      <x:c r="AH568" s="6" t="str">
        <x:v>0</x:v>
      </x:c>
      <x:c r="AI568" s="6" t="str">
        <x:v>2025-03</x:v>
      </x:c>
      <x:c r="AJ568" s="9" t="str">
        <x:v>NASA POWER (MERRA-2 meteorology)</x:v>
      </x:c>
      <x:c r="AK568" s="9" t="str">
        <x:v>Badan Informasi Geospasial (BIG)</x:v>
      </x:c>
      <x:c r="AL568" s="9" t="str">
        <x:v>https://power.larc.nasa.gov/docs/services/api/temporal/monthly/</x:v>
      </x:c>
      <x:c r="AM568" s="9" t="str">
        <x:v>https://geoservices.big.go.id/rbi/rest/services/BATASWILAYAH/BATAS_WILAYAH/MapServer/12</x:v>
      </x:c>
    </x:row>
    <x:row r="569" ht="18" customHeight="1">
      <x:c r="A569" s="6" t="str">
        <x:v>65</x:v>
      </x:c>
      <x:c r="B569" s="6" t="str">
        <x:v>KALIMANTAN UTARA</x:v>
      </x:c>
      <x:c r="C569" s="6" t="str">
        <x:v>2025</x:v>
      </x:c>
      <x:c r="D569" s="6" t="str">
        <x:v>4</x:v>
      </x:c>
      <x:c r="E569" s="6" t="str">
        <x:v>24.02997131272557</x:v>
      </x:c>
      <x:c r="F569" s="9" t="str">
        <x:v>grid_cells_within_BIG_polygon</x:v>
      </x:c>
      <x:c r="G569" s="6" t="str">
        <x:v>16</x:v>
      </x:c>
      <x:c r="H569" s="8" t="str">
        <x:v>90.77805435872766</x:v>
      </x:c>
      <x:c r="I569" s="6" t="str">
        <x:v>9.92294703427747</x:v>
      </x:c>
      <x:c r="J569" s="6" t="str">
        <x:v>30</x:v>
      </x:c>
      <x:c r="K569" s="6" t="str">
        <x:v>297.68841102832414</x:v>
      </x:c>
      <x:c r="L569" s="6" t="str">
        <x:v>23.888707524983783</x:v>
      </x:c>
      <x:c r="M569" s="6" t="str">
        <x:v>0.4265499731911499</x:v>
      </x:c>
      <x:c r="N569" s="6" t="str">
        <x:v>90.24066839677054</x:v>
      </x:c>
      <x:c r="O569" s="6" t="str">
        <x:v>2.8960120526405877</x:v>
      </x:c>
      <x:c r="P569" s="6" t="str">
        <x:v>211.02988963820724</x:v>
      </x:c>
      <x:c r="Q569" s="6" t="str">
        <x:v>59.71700891791046</x:v>
      </x:c>
      <x:c r="R569" s="6" t="str">
        <x:v>0.1412637877417886</x:v>
      </x:c>
      <x:c r="S569" s="8" t="str">
        <x:v>0.3311775796982269</x:v>
      </x:c>
      <x:c r="T569" s="6" t="str">
        <x:v>0.5373859619571135</x:v>
      </x:c>
      <x:c r="U569" s="8" t="str">
        <x:v>0.18556067868126594</x:v>
      </x:c>
      <x:c r="V569" s="6" t="str">
        <x:v>86.6585213901169</x:v>
      </x:c>
      <x:c r="W569" s="8" t="str">
        <x:v>1.4511530795060648</x:v>
      </x:c>
      <x:c r="X569" s="6" t="str">
        <x:v>0.512394588219509</x:v>
      </x:c>
      <x:c r="Y569" s="6" t="str">
        <x:v>0.6330758143393436</x:v>
      </x:c>
      <x:c r="Z569" s="6" t="str">
        <x:v>0.49221599408569344</x:v>
      </x:c>
      <x:c r="AA569" s="6" t="str">
        <x:v>0.6996223155841043</x:v>
      </x:c>
      <x:c r="AB569" s="6" t="str">
        <x:v>1.548205653137793</x:v>
      </x:c>
      <x:c r="AC569" s="6" t="str">
        <x:v>0.8111295491343876</x:v>
      </x:c>
      <x:c r="AD569" s="6" t="str">
        <x:v>-0.24707676598592404</x:v>
      </x:c>
      <x:c r="AE569" s="6" t="str">
        <x:v>1.5603118683255486</x:v>
      </x:c>
      <x:c r="AF569" s="6" t="str">
        <x:v>0.9214627272818966</x:v>
      </x:c>
      <x:c r="AG569" s="6" t="str">
        <x:v>1</x:v>
      </x:c>
      <x:c r="AH569" s="6" t="str">
        <x:v>0</x:v>
      </x:c>
      <x:c r="AI569" s="6" t="str">
        <x:v>2025-04</x:v>
      </x:c>
      <x:c r="AJ569" s="9" t="str">
        <x:v>NASA POWER (MERRA-2 meteorology)</x:v>
      </x:c>
      <x:c r="AK569" s="9" t="str">
        <x:v>Badan Informasi Geospasial (BIG)</x:v>
      </x:c>
      <x:c r="AL569" s="9" t="str">
        <x:v>https://power.larc.nasa.gov/docs/services/api/temporal/monthly/</x:v>
      </x:c>
      <x:c r="AM569" s="9" t="str">
        <x:v>https://geoservices.big.go.id/rbi/rest/services/BATASWILAYAH/BATAS_WILAYAH/MapServer/12</x:v>
      </x:c>
    </x:row>
    <x:row r="570" ht="18" customHeight="1">
      <x:c r="A570" s="6" t="str">
        <x:v>65</x:v>
      </x:c>
      <x:c r="B570" s="6" t="str">
        <x:v>KALIMANTAN UTARA</x:v>
      </x:c>
      <x:c r="C570" s="6" t="str">
        <x:v>2025</x:v>
      </x:c>
      <x:c r="D570" s="6" t="str">
        <x:v>5</x:v>
      </x:c>
      <x:c r="E570" s="6" t="str">
        <x:v>24.32310743860267</x:v>
      </x:c>
      <x:c r="F570" s="9" t="str">
        <x:v>grid_cells_within_BIG_polygon</x:v>
      </x:c>
      <x:c r="G570" s="6" t="str">
        <x:v>16</x:v>
      </x:c>
      <x:c r="H570" s="8" t="str">
        <x:v>91.48086541797421</x:v>
      </x:c>
      <x:c r="I570" s="6" t="str">
        <x:v>8.490170128330938</x:v>
      </x:c>
      <x:c r="J570" s="6" t="str">
        <x:v>31</x:v>
      </x:c>
      <x:c r="K570" s="6" t="str">
        <x:v>263.1952739782591</x:v>
      </x:c>
      <x:c r="L570" s="6" t="str">
        <x:v>23.99937823505668</x:v>
      </x:c>
      <x:c r="M570" s="6" t="str">
        <x:v>0.3445654240120589</x:v>
      </x:c>
      <x:c r="N570" s="6" t="str">
        <x:v>91.31135128448982</x:v>
      </x:c>
      <x:c r="O570" s="6" t="str">
        <x:v>1.1837336774287412</x:v>
      </x:c>
      <x:c r="P570" s="6" t="str">
        <x:v>234.14047573019664</x:v>
      </x:c>
      <x:c r="Q570" s="6" t="str">
        <x:v>67.19271786031031</x:v>
      </x:c>
      <x:c r="R570" s="6" t="str">
        <x:v>0.32372920354598733</x:v>
      </x:c>
      <x:c r="S570" s="8" t="str">
        <x:v>0.9395289863287549</x:v>
      </x:c>
      <x:c r="T570" s="6" t="str">
        <x:v>0.16951413348439814</x:v>
      </x:c>
      <x:c r="U570" s="8" t="str">
        <x:v>0.14320293214315735</x:v>
      </x:c>
      <x:c r="V570" s="6" t="str">
        <x:v>29.05479824806244</x:v>
      </x:c>
      <x:c r="W570" s="8" t="str">
        <x:v>0.4324099273445918</x:v>
      </x:c>
      <x:c r="X570" s="6" t="str">
        <x:v>0.3311775796982269</x:v>
      </x:c>
      <x:c r="Y570" s="6" t="str">
        <x:v>0.512394588219509</x:v>
      </x:c>
      <x:c r="Z570" s="6" t="str">
        <x:v>0.5943670514154973</x:v>
      </x:c>
      <x:c r="AA570" s="6" t="str">
        <x:v>0.18556067868126594</x:v>
      </x:c>
      <x:c r="AB570" s="6" t="str">
        <x:v>0.6996223155841043</x:v>
      </x:c>
      <x:c r="AC570" s="6" t="str">
        <x:v>0.3427953088028424</x:v>
      </x:c>
      <x:c r="AD570" s="6" t="str">
        <x:v>1.4511530795060648</x:v>
      </x:c>
      <x:c r="AE570" s="6" t="str">
        <x:v>-0.24707676598592404</x:v>
      </x:c>
      <x:c r="AF570" s="6" t="str">
        <x:v>0.5454954136215776</x:v>
      </x:c>
      <x:c r="AG570" s="6" t="str">
        <x:v>0</x:v>
      </x:c>
      <x:c r="AH570" s="6" t="str">
        <x:v>0</x:v>
      </x:c>
      <x:c r="AI570" s="6" t="str">
        <x:v>2025-05</x:v>
      </x:c>
      <x:c r="AJ570" s="9" t="str">
        <x:v>NASA POWER (MERRA-2 meteorology)</x:v>
      </x:c>
      <x:c r="AK570" s="9" t="str">
        <x:v>Badan Informasi Geospasial (BIG)</x:v>
      </x:c>
      <x:c r="AL570" s="9" t="str">
        <x:v>https://power.larc.nasa.gov/docs/services/api/temporal/monthly/</x:v>
      </x:c>
      <x:c r="AM570" s="9" t="str">
        <x:v>https://geoservices.big.go.id/rbi/rest/services/BATASWILAYAH/BATAS_WILAYAH/MapServer/12</x:v>
      </x:c>
    </x:row>
    <x:row r="571" ht="18" customHeight="1">
      <x:c r="A571" s="6" t="str">
        <x:v>65</x:v>
      </x:c>
      <x:c r="B571" s="6" t="str">
        <x:v>KALIMANTAN UTARA</x:v>
      </x:c>
      <x:c r="C571" s="6" t="str">
        <x:v>2025</x:v>
      </x:c>
      <x:c r="D571" s="6" t="str">
        <x:v>6</x:v>
      </x:c>
      <x:c r="E571" s="6" t="str">
        <x:v>23.613079049223042</x:v>
      </x:c>
      <x:c r="F571" s="9" t="str">
        <x:v>grid_cells_within_BIG_polygon</x:v>
      </x:c>
      <x:c r="G571" s="6" t="str">
        <x:v>16</x:v>
      </x:c>
      <x:c r="H571" s="8" t="str">
        <x:v>92.154554398182</x:v>
      </x:c>
      <x:c r="I571" s="6" t="str">
        <x:v>9.387665294762575</x:v>
      </x:c>
      <x:c r="J571" s="6" t="str">
        <x:v>30</x:v>
      </x:c>
      <x:c r="K571" s="6" t="str">
        <x:v>281.6299588428773</x:v>
      </x:c>
      <x:c r="L571" s="6" t="str">
        <x:v>23.563942386087696</x:v>
      </x:c>
      <x:c r="M571" s="6" t="str">
        <x:v>0.24991309603478867</x:v>
      </x:c>
      <x:c r="N571" s="6" t="str">
        <x:v>91.50914811361748</x:v>
      </x:c>
      <x:c r="O571" s="6" t="str">
        <x:v>1.0879891739605394</x:v>
      </x:c>
      <x:c r="P571" s="6" t="str">
        <x:v>200.57623830708818</x:v>
      </x:c>
      <x:c r="Q571" s="6" t="str">
        <x:v>59.75696685647818</x:v>
      </x:c>
      <x:c r="R571" s="6" t="str">
        <x:v>0.04913666313534648</x:v>
      </x:c>
      <x:c r="S571" s="8" t="str">
        <x:v>0.19661499903353005</x:v>
      </x:c>
      <x:c r="T571" s="6" t="str">
        <x:v>0.6454062845645154</x:v>
      </x:c>
      <x:c r="U571" s="8" t="str">
        <x:v>0.593210208347095</x:v>
      </x:c>
      <x:c r="V571" s="6" t="str">
        <x:v>81.0537205357891</x:v>
      </x:c>
      <x:c r="W571" s="8" t="str">
        <x:v>1.3563894688708111</x:v>
      </x:c>
      <x:c r="X571" s="6" t="str">
        <x:v>0.9395289863287549</x:v>
      </x:c>
      <x:c r="Y571" s="6" t="str">
        <x:v>0.3311775796982269</x:v>
      </x:c>
      <x:c r="Z571" s="6" t="str">
        <x:v>0.48910718835350425</x:v>
      </x:c>
      <x:c r="AA571" s="6" t="str">
        <x:v>0.14320293214315735</x:v>
      </x:c>
      <x:c r="AB571" s="6" t="str">
        <x:v>0.18556067868126594</x:v>
      </x:c>
      <x:c r="AC571" s="6" t="str">
        <x:v>0.307324606390506</x:v>
      </x:c>
      <x:c r="AD571" s="6" t="str">
        <x:v>0.4324099273445918</x:v>
      </x:c>
      <x:c r="AE571" s="6" t="str">
        <x:v>1.4511530795060648</x:v>
      </x:c>
      <x:c r="AF571" s="6" t="str">
        <x:v>1.0799841585738228</x:v>
      </x:c>
      <x:c r="AG571" s="6" t="str">
        <x:v>1</x:v>
      </x:c>
      <x:c r="AH571" s="6" t="str">
        <x:v>0</x:v>
      </x:c>
      <x:c r="AI571" s="6" t="str">
        <x:v>2025-06</x:v>
      </x:c>
      <x:c r="AJ571" s="9" t="str">
        <x:v>NASA POWER (MERRA-2 meteorology)</x:v>
      </x:c>
      <x:c r="AK571" s="9" t="str">
        <x:v>Badan Informasi Geospasial (BIG)</x:v>
      </x:c>
      <x:c r="AL571" s="9" t="str">
        <x:v>https://power.larc.nasa.gov/docs/services/api/temporal/monthly/</x:v>
      </x:c>
      <x:c r="AM571" s="9" t="str">
        <x:v>https://geoservices.big.go.id/rbi/rest/services/BATASWILAYAH/BATAS_WILAYAH/MapServer/12</x:v>
      </x:c>
    </x:row>
    <x:row r="572" ht="18" customHeight="1">
      <x:c r="A572" s="6" t="str">
        <x:v>65</x:v>
      </x:c>
      <x:c r="B572" s="6" t="str">
        <x:v>KALIMANTAN UTARA</x:v>
      </x:c>
      <x:c r="C572" s="6" t="str">
        <x:v>2025</x:v>
      </x:c>
      <x:c r="D572" s="6" t="str">
        <x:v>7</x:v>
      </x:c>
      <x:c r="E572" s="6" t="str">
        <x:v>23.682482743685217</x:v>
      </x:c>
      <x:c r="F572" s="9" t="str">
        <x:v>grid_cells_within_BIG_polygon</x:v>
      </x:c>
      <x:c r="G572" s="6" t="str">
        <x:v>16</x:v>
      </x:c>
      <x:c r="H572" s="8" t="str">
        <x:v>91.43383737420812</x:v>
      </x:c>
      <x:c r="I572" s="6" t="str">
        <x:v>6.239477239186659</x:v>
      </x:c>
      <x:c r="J572" s="6" t="str">
        <x:v>31</x:v>
      </x:c>
      <x:c r="K572" s="6" t="str">
        <x:v>193.4237944147864</x:v>
      </x:c>
      <x:c r="L572" s="6" t="str">
        <x:v>23.28512190000002</x:v>
      </x:c>
      <x:c r="M572" s="6" t="str">
        <x:v>0.24039697240080626</x:v>
      </x:c>
      <x:c r="N572" s="6" t="str">
        <x:v>91.1585372479533</x:v>
      </x:c>
      <x:c r="O572" s="6" t="str">
        <x:v>0.9563769275090712</x:v>
      </x:c>
      <x:c r="P572" s="6" t="str">
        <x:v>188.49242272024728</x:v>
      </x:c>
      <x:c r="Q572" s="6" t="str">
        <x:v>57.03847939693977</x:v>
      </x:c>
      <x:c r="R572" s="6" t="str">
        <x:v>0.3973608436851954</x:v>
      </x:c>
      <x:c r="S572" s="8" t="str">
        <x:v>1.6529361402384397</x:v>
      </x:c>
      <x:c r="T572" s="6" t="str">
        <x:v>0.2753001262548196</x:v>
      </x:c>
      <x:c r="U572" s="8" t="str">
        <x:v>0.2878573482234162</x:v>
      </x:c>
      <x:c r="V572" s="6" t="str">
        <x:v>4.931371694539138</x:v>
      </x:c>
      <x:c r="W572" s="8" t="str">
        <x:v>0.08645692779116611</x:v>
      </x:c>
      <x:c r="X572" s="6" t="str">
        <x:v>0.19661499903353005</x:v>
      </x:c>
      <x:c r="Y572" s="6" t="str">
        <x:v>0.9395289863287549</x:v>
      </x:c>
      <x:c r="Z572" s="6" t="str">
        <x:v>0.9296933752002419</x:v>
      </x:c>
      <x:c r="AA572" s="6" t="str">
        <x:v>0.593210208347095</x:v>
      </x:c>
      <x:c r="AB572" s="6" t="str">
        <x:v>0.14320293214315735</x:v>
      </x:c>
      <x:c r="AC572" s="6" t="str">
        <x:v>0.3414234962378895</x:v>
      </x:c>
      <x:c r="AD572" s="6" t="str">
        <x:v>1.3563894688708111</x:v>
      </x:c>
      <x:c r="AE572" s="6" t="str">
        <x:v>0.4324099273445918</x:v>
      </x:c>
      <x:c r="AF572" s="6" t="str">
        <x:v>0.6250854413355232</x:v>
      </x:c>
      <x:c r="AG572" s="6" t="str">
        <x:v>0</x:v>
      </x:c>
      <x:c r="AH572" s="6" t="str">
        <x:v>1</x:v>
      </x:c>
      <x:c r="AI572" s="6" t="str">
        <x:v>2025-07</x:v>
      </x:c>
      <x:c r="AJ572" s="9" t="str">
        <x:v>NASA POWER (MERRA-2 meteorology)</x:v>
      </x:c>
      <x:c r="AK572" s="9" t="str">
        <x:v>Badan Informasi Geospasial (BIG)</x:v>
      </x:c>
      <x:c r="AL572" s="9" t="str">
        <x:v>https://power.larc.nasa.gov/docs/services/api/temporal/monthly/</x:v>
      </x:c>
      <x:c r="AM572" s="9" t="str">
        <x:v>https://geoservices.big.go.id/rbi/rest/services/BATASWILAYAH/BATAS_WILAYAH/MapServer/12</x:v>
      </x:c>
    </x:row>
    <x:row r="573" ht="18" customHeight="1">
      <x:c r="A573" s="6" t="str">
        <x:v>65</x:v>
      </x:c>
      <x:c r="B573" s="6" t="str">
        <x:v>KALIMANTAN UTARA</x:v>
      </x:c>
      <x:c r="C573" s="6" t="str">
        <x:v>2025</x:v>
      </x:c>
      <x:c r="D573" s="6" t="str">
        <x:v>8</x:v>
      </x:c>
      <x:c r="E573" s="6" t="str">
        <x:v>23.239996654715142</x:v>
      </x:c>
      <x:c r="F573" s="9" t="str">
        <x:v>grid_cells_within_BIG_polygon</x:v>
      </x:c>
      <x:c r="G573" s="6" t="str">
        <x:v>16</x:v>
      </x:c>
      <x:c r="H573" s="8" t="str">
        <x:v>91.865785919381</x:v>
      </x:c>
      <x:c r="I573" s="6" t="str">
        <x:v>10.945040464948994</x:v>
      </x:c>
      <x:c r="J573" s="6" t="str">
        <x:v>31</x:v>
      </x:c>
      <x:c r="K573" s="6" t="str">
        <x:v>339.2962544134188</x:v>
      </x:c>
      <x:c r="L573" s="6" t="str">
        <x:v>23.332916230336707</x:v>
      </x:c>
      <x:c r="M573" s="6" t="str">
        <x:v>0.2848946670375814</x:v>
      </x:c>
      <x:c r="N573" s="6" t="str">
        <x:v>90.75185914266048</x:v>
      </x:c>
      <x:c r="O573" s="6" t="str">
        <x:v>0.9991152648620515</x:v>
      </x:c>
      <x:c r="P573" s="6" t="str">
        <x:v>188.4015789614496</x:v>
      </x:c>
      <x:c r="Q573" s="6" t="str">
        <x:v>52.649218040261445</x:v>
      </x:c>
      <x:c r="R573" s="6" t="str">
        <x:v>-0.09291957562156483</x:v>
      </x:c>
      <x:c r="S573" s="8" t="str">
        <x:v>-0.3261541417667447</x:v>
      </x:c>
      <x:c r="T573" s="6" t="str">
        <x:v>1.1139267767205183</x:v>
      </x:c>
      <x:c r="U573" s="8" t="str">
        <x:v>1.1149131795862601</x:v>
      </x:c>
      <x:c r="V573" s="6" t="str">
        <x:v>150.89467545196922</x:v>
      </x:c>
      <x:c r="W573" s="8" t="str">
        <x:v>2.866038301586519</x:v>
      </x:c>
      <x:c r="X573" s="6" t="str">
        <x:v>1.6529361402384397</x:v>
      </x:c>
      <x:c r="Y573" s="6" t="str">
        <x:v>0.19661499903353005</x:v>
      </x:c>
      <x:c r="Z573" s="6" t="str">
        <x:v>0.5077989991684088</x:v>
      </x:c>
      <x:c r="AA573" s="6" t="str">
        <x:v>0.2878573482234162</x:v>
      </x:c>
      <x:c r="AB573" s="6" t="str">
        <x:v>0.593210208347095</x:v>
      </x:c>
      <x:c r="AC573" s="6" t="str">
        <x:v>0.665326912052257</x:v>
      </x:c>
      <x:c r="AD573" s="6" t="str">
        <x:v>0.08645692779116611</x:v>
      </x:c>
      <x:c r="AE573" s="6" t="str">
        <x:v>1.3563894688708111</x:v>
      </x:c>
      <x:c r="AF573" s="6" t="str">
        <x:v>1.4362948994161655</x:v>
      </x:c>
      <x:c r="AG573" s="6" t="str">
        <x:v>1</x:v>
      </x:c>
      <x:c r="AH573" s="6" t="str">
        <x:v>0</x:v>
      </x:c>
      <x:c r="AI573" s="6" t="str">
        <x:v>2025-08</x:v>
      </x:c>
      <x:c r="AJ573" s="9" t="str">
        <x:v>NASA POWER (MERRA-2 meteorology)</x:v>
      </x:c>
      <x:c r="AK573" s="9" t="str">
        <x:v>Badan Informasi Geospasial (BIG)</x:v>
      </x:c>
      <x:c r="AL573" s="9" t="str">
        <x:v>https://power.larc.nasa.gov/docs/services/api/temporal/monthly/</x:v>
      </x:c>
      <x:c r="AM573" s="9" t="str">
        <x:v>https://geoservices.big.go.id/rbi/rest/services/BATASWILAYAH/BATAS_WILAYAH/MapServer/12</x:v>
      </x:c>
    </x:row>
    <x:row r="574" ht="18" customHeight="1">
      <x:c r="A574" s="6" t="str">
        <x:v>65</x:v>
      </x:c>
      <x:c r="B574" s="6" t="str">
        <x:v>KALIMANTAN UTARA</x:v>
      </x:c>
      <x:c r="C574" s="6" t="str">
        <x:v>2025</x:v>
      </x:c>
      <x:c r="D574" s="6" t="str">
        <x:v>9</x:v>
      </x:c>
      <x:c r="E574" s="6" t="str">
        <x:v>23.710028786352947</x:v>
      </x:c>
      <x:c r="F574" s="9" t="str">
        <x:v>grid_cells_within_BIG_polygon</x:v>
      </x:c>
      <x:c r="G574" s="6" t="str">
        <x:v>16</x:v>
      </x:c>
      <x:c r="H574" s="8" t="str">
        <x:v>91.56008471671856</x:v>
      </x:c>
      <x:c r="I574" s="6" t="str">
        <x:v>11.559824794988431</x:v>
      </x:c>
      <x:c r="J574" s="6" t="str">
        <x:v>30</x:v>
      </x:c>
      <x:c r="K574" s="6" t="str">
        <x:v>346.79474384965295</x:v>
      </x:c>
      <x:c r="L574" s="6" t="str">
        <x:v>23.44451754368868</x:v>
      </x:c>
      <x:c r="M574" s="6" t="str">
        <x:v>0.25173142286607675</x:v>
      </x:c>
      <x:c r="N574" s="6" t="str">
        <x:v>90.48129326126333</x:v>
      </x:c>
      <x:c r="O574" s="6" t="str">
        <x:v>0.8628495114682249</x:v>
      </x:c>
      <x:c r="P574" s="6" t="str">
        <x:v>188.34471732910563</x:v>
      </x:c>
      <x:c r="Q574" s="6" t="str">
        <x:v>57.0783214528301</x:v>
      </x:c>
      <x:c r="R574" s="6" t="str">
        <x:v>0.2655112426642674</x:v>
      </x:c>
      <x:c r="S574" s="8" t="str">
        <x:v>1.0547401656944577</x:v>
      </x:c>
      <x:c r="T574" s="6" t="str">
        <x:v>1.0787914554552316</x:v>
      </x:c>
      <x:c r="U574" s="8" t="str">
        <x:v>1.2502660558033578</x:v>
      </x:c>
      <x:c r="V574" s="6" t="str">
        <x:v>158.4500265205473</x:v>
      </x:c>
      <x:c r="W574" s="8" t="str">
        <x:v>2.776010619924965</x:v>
      </x:c>
      <x:c r="X574" s="6" t="str">
        <x:v>-0.3261541417667447</x:v>
      </x:c>
      <x:c r="Y574" s="6" t="str">
        <x:v>1.6529361402384397</x:v>
      </x:c>
      <x:c r="Z574" s="6" t="str">
        <x:v>0.793840721388718</x:v>
      </x:c>
      <x:c r="AA574" s="6" t="str">
        <x:v>1.1149131795862601</x:v>
      </x:c>
      <x:c r="AB574" s="6" t="str">
        <x:v>0.2878573482234162</x:v>
      </x:c>
      <x:c r="AC574" s="6" t="str">
        <x:v>0.8843455278710114</x:v>
      </x:c>
      <x:c r="AD574" s="6" t="str">
        <x:v>2.866038301586519</x:v>
      </x:c>
      <x:c r="AE574" s="6" t="str">
        <x:v>0.08645692779116611</x:v>
      </x:c>
      <x:c r="AF574" s="6" t="str">
        <x:v>1.9095019497675503</x:v>
      </x:c>
      <x:c r="AG574" s="6" t="str">
        <x:v>1</x:v>
      </x:c>
      <x:c r="AH574" s="6" t="str">
        <x:v>1</x:v>
      </x:c>
      <x:c r="AI574" s="6" t="str">
        <x:v>2025-09</x:v>
      </x:c>
      <x:c r="AJ574" s="9" t="str">
        <x:v>NASA POWER (MERRA-2 meteorology)</x:v>
      </x:c>
      <x:c r="AK574" s="9" t="str">
        <x:v>Badan Informasi Geospasial (BIG)</x:v>
      </x:c>
      <x:c r="AL574" s="9" t="str">
        <x:v>https://power.larc.nasa.gov/docs/services/api/temporal/monthly/</x:v>
      </x:c>
      <x:c r="AM574" s="9" t="str">
        <x:v>https://geoservices.big.go.id/rbi/rest/services/BATASWILAYAH/BATAS_WILAYAH/MapServer/12</x:v>
      </x:c>
    </x:row>
    <x:row r="575" ht="18" customHeight="1">
      <x:c r="A575" s="6" t="str">
        <x:v>65</x:v>
      </x:c>
      <x:c r="B575" s="6" t="str">
        <x:v>KALIMANTAN UTARA</x:v>
      </x:c>
      <x:c r="C575" s="6" t="str">
        <x:v>2025</x:v>
      </x:c>
      <x:c r="D575" s="6" t="str">
        <x:v>10</x:v>
      </x:c>
      <x:c r="E575" s="6" t="str">
        <x:v>23.738122042183427</x:v>
      </x:c>
      <x:c r="F575" s="9" t="str">
        <x:v>grid_cells_within_BIG_polygon</x:v>
      </x:c>
      <x:c r="G575" s="6" t="str">
        <x:v>16</x:v>
      </x:c>
      <x:c r="H575" s="8" t="str">
        <x:v>90.94839989053183</x:v>
      </x:c>
      <x:c r="I575" s="6" t="str">
        <x:v>9.172461752913726</x:v>
      </x:c>
      <x:c r="J575" s="6" t="str">
        <x:v>31</x:v>
      </x:c>
      <x:c r="K575" s="6" t="str">
        <x:v>284.34631434032553</x:v>
      </x:c>
      <x:c r="L575" s="6" t="str">
        <x:v>23.54315594193757</x:v>
      </x:c>
      <x:c r="M575" s="6" t="str">
        <x:v>0.20284827988967707</x:v>
      </x:c>
      <x:c r="N575" s="6" t="str">
        <x:v>90.78692533022793</x:v>
      </x:c>
      <x:c r="O575" s="6" t="str">
        <x:v>0.9621328414003147</x:v>
      </x:c>
      <x:c r="P575" s="6" t="str">
        <x:v>226.83787695032956</x:v>
      </x:c>
      <x:c r="Q575" s="6" t="str">
        <x:v>66.81355253929765</x:v>
      </x:c>
      <x:c r="R575" s="6" t="str">
        <x:v>0.19496610024585692</x:v>
      </x:c>
      <x:c r="S575" s="8" t="str">
        <x:v>0.9611424871430656</x:v>
      </x:c>
      <x:c r="T575" s="6" t="str">
        <x:v>0.16147456030390117</x:v>
      </x:c>
      <x:c r="U575" s="8" t="str">
        <x:v>0.1678297978778966</x:v>
      </x:c>
      <x:c r="V575" s="6" t="str">
        <x:v>57.508437389995976</x:v>
      </x:c>
      <x:c r="W575" s="8" t="str">
        <x:v>0.8607301244185648</x:v>
      </x:c>
      <x:c r="X575" s="6" t="str">
        <x:v>1.0547401656944577</x:v>
      </x:c>
      <x:c r="Y575" s="6" t="str">
        <x:v>-0.3261541417667447</x:v>
      </x:c>
      <x:c r="Z575" s="6" t="str">
        <x:v>0.5632428370235932</x:v>
      </x:c>
      <x:c r="AA575" s="6" t="str">
        <x:v>1.2502660558033578</x:v>
      </x:c>
      <x:c r="AB575" s="6" t="str">
        <x:v>1.1149131795862601</x:v>
      </x:c>
      <x:c r="AC575" s="6" t="str">
        <x:v>0.8443363444225048</x:v>
      </x:c>
      <x:c r="AD575" s="6" t="str">
        <x:v>2.776010619924965</x:v>
      </x:c>
      <x:c r="AE575" s="6" t="str">
        <x:v>2.866038301586519</x:v>
      </x:c>
      <x:c r="AF575" s="6" t="str">
        <x:v>2.1675930153100165</x:v>
      </x:c>
      <x:c r="AG575" s="6" t="str">
        <x:v>0</x:v>
      </x:c>
      <x:c r="AH575" s="6" t="str">
        <x:v>0</x:v>
      </x:c>
      <x:c r="AI575" s="6" t="str">
        <x:v>2025-10</x:v>
      </x:c>
      <x:c r="AJ575" s="9" t="str">
        <x:v>NASA POWER (MERRA-2 meteorology)</x:v>
      </x:c>
      <x:c r="AK575" s="9" t="str">
        <x:v>Badan Informasi Geospasial (BIG)</x:v>
      </x:c>
      <x:c r="AL575" s="9" t="str">
        <x:v>https://power.larc.nasa.gov/docs/services/api/temporal/monthly/</x:v>
      </x:c>
      <x:c r="AM575" s="9" t="str">
        <x:v>https://geoservices.big.go.id/rbi/rest/services/BATASWILAYAH/BATAS_WILAYAH/MapServer/12</x:v>
      </x:c>
    </x:row>
    <x:row r="576" ht="18" customHeight="1">
      <x:c r="A576" s="6" t="str">
        <x:v>65</x:v>
      </x:c>
      <x:c r="B576" s="6" t="str">
        <x:v>KALIMANTAN UTARA</x:v>
      </x:c>
      <x:c r="C576" s="6" t="str">
        <x:v>2025</x:v>
      </x:c>
      <x:c r="D576" s="6" t="str">
        <x:v>11</x:v>
      </x:c>
      <x:c r="E576" s="6" t="str">
        <x:v>23.799987767961827</x:v>
      </x:c>
      <x:c r="F576" s="9" t="str">
        <x:v>grid_cells_within_BIG_polygon</x:v>
      </x:c>
      <x:c r="G576" s="6" t="str">
        <x:v>16</x:v>
      </x:c>
      <x:c r="H576" s="8" t="str">
        <x:v>92.16076291656813</x:v>
      </x:c>
      <x:c r="I576" s="6" t="str">
        <x:v>12.072949598835802</x:v>
      </x:c>
      <x:c r="J576" s="6" t="str">
        <x:v>30</x:v>
      </x:c>
      <x:c r="K576" s="6" t="str">
        <x:v>362.18848796507405</x:v>
      </x:c>
      <x:c r="L576" s="6" t="str">
        <x:v>23.52801337573296</x:v>
      </x:c>
      <x:c r="M576" s="6" t="str">
        <x:v>0.19911873442627714</x:v>
      </x:c>
      <x:c r="N576" s="6" t="str">
        <x:v>91.4158488640711</x:v>
      </x:c>
      <x:c r="O576" s="6" t="str">
        <x:v>0.8206464158396858</x:v>
      </x:c>
      <x:c r="P576" s="6" t="str">
        <x:v>239.65793822429458</x:v>
      </x:c>
      <x:c r="Q576" s="6" t="str">
        <x:v>49.448747215977036</x:v>
      </x:c>
      <x:c r="R576" s="6" t="str">
        <x:v>0.27197439222886644</x:v>
      </x:c>
      <x:c r="S576" s="8" t="str">
        <x:v>1.3658905226196272</x:v>
      </x:c>
      <x:c r="T576" s="6" t="str">
        <x:v>0.7449140524970375</x:v>
      </x:c>
      <x:c r="U576" s="8" t="str">
        <x:v>0.9077162077590275</x:v>
      </x:c>
      <x:c r="V576" s="6" t="str">
        <x:v>122.53054974077946</x:v>
      </x:c>
      <x:c r="W576" s="8" t="str">
        <x:v>2.477930314505308</x:v>
      </x:c>
      <x:c r="X576" s="6" t="str">
        <x:v>0.9611424871430656</x:v>
      </x:c>
      <x:c r="Y576" s="6" t="str">
        <x:v>1.0547401656944577</x:v>
      </x:c>
      <x:c r="Z576" s="6" t="str">
        <x:v>1.1272577251523839</x:v>
      </x:c>
      <x:c r="AA576" s="6" t="str">
        <x:v>0.1678297978778966</x:v>
      </x:c>
      <x:c r="AB576" s="6" t="str">
        <x:v>1.2502660558033578</x:v>
      </x:c>
      <x:c r="AC576" s="6" t="str">
        <x:v>0.7752706871467606</x:v>
      </x:c>
      <x:c r="AD576" s="6" t="str">
        <x:v>0.8607301244185648</x:v>
      </x:c>
      <x:c r="AE576" s="6" t="str">
        <x:v>2.776010619924965</x:v>
      </x:c>
      <x:c r="AF576" s="6" t="str">
        <x:v>2.038223686282946</x:v>
      </x:c>
      <x:c r="AG576" s="6" t="str">
        <x:v>1</x:v>
      </x:c>
      <x:c r="AH576" s="6" t="str">
        <x:v>1</x:v>
      </x:c>
      <x:c r="AI576" s="6" t="str">
        <x:v>2025-11</x:v>
      </x:c>
      <x:c r="AJ576" s="9" t="str">
        <x:v>NASA POWER (MERRA-2 meteorology)</x:v>
      </x:c>
      <x:c r="AK576" s="9" t="str">
        <x:v>Badan Informasi Geospasial (BIG)</x:v>
      </x:c>
      <x:c r="AL576" s="9" t="str">
        <x:v>https://power.larc.nasa.gov/docs/services/api/temporal/monthly/</x:v>
      </x:c>
      <x:c r="AM576" s="9" t="str">
        <x:v>https://geoservices.big.go.id/rbi/rest/services/BATASWILAYAH/BATAS_WILAYAH/MapServer/12</x:v>
      </x:c>
    </x:row>
    <x:row r="577" ht="18" customHeight="1">
      <x:c r="A577" s="6" t="str">
        <x:v>65</x:v>
      </x:c>
      <x:c r="B577" s="6" t="str">
        <x:v>KALIMANTAN UTARA</x:v>
      </x:c>
      <x:c r="C577" s="6" t="str">
        <x:v>2025</x:v>
      </x:c>
      <x:c r="D577" s="6" t="str">
        <x:v>12</x:v>
      </x:c>
      <x:c r="E577" s="6" t="str">
        <x:v>23.753123755827716</x:v>
      </x:c>
      <x:c r="F577" s="9" t="str">
        <x:v>grid_cells_within_BIG_polygon</x:v>
      </x:c>
      <x:c r="G577" s="6" t="str">
        <x:v>16</x:v>
      </x:c>
      <x:c r="H577" s="8" t="str">
        <x:v>91.98589875341199</x:v>
      </x:c>
      <x:c r="I577" s="6" t="str">
        <x:v>9.617482185739496</x:v>
      </x:c>
      <x:c r="J577" s="6" t="str">
        <x:v>31</x:v>
      </x:c>
      <x:c r="K577" s="6" t="str">
        <x:v>298.14194775792436</x:v>
      </x:c>
      <x:c r="L577" s="6" t="str">
        <x:v>23.30568178643387</x:v>
      </x:c>
      <x:c r="M577" s="6" t="str">
        <x:v>0.2293638474222764</x:v>
      </x:c>
      <x:c r="N577" s="6" t="str">
        <x:v>91.78303143786749</x:v>
      </x:c>
      <x:c r="O577" s="6" t="str">
        <x:v>0.8610307462477371</x:v>
      </x:c>
      <x:c r="P577" s="6" t="str">
        <x:v>250.55772676950872</x:v>
      </x:c>
      <x:c r="Q577" s="6" t="str">
        <x:v>63.78719655907575</x:v>
      </x:c>
      <x:c r="R577" s="6" t="str">
        <x:v>0.4474419693938465</x:v>
      </x:c>
      <x:c r="S577" s="8" t="str">
        <x:v>1.950795534790937</x:v>
      </x:c>
      <x:c r="T577" s="6" t="str">
        <x:v>0.2028673155444949</x:v>
      </x:c>
      <x:c r="U577" s="8" t="str">
        <x:v>0.23560983905460395</x:v>
      </x:c>
      <x:c r="V577" s="6" t="str">
        <x:v>47.58422098841564</x:v>
      </x:c>
      <x:c r="W577" s="8" t="str">
        <x:v>0.7459838894839355</x:v>
      </x:c>
      <x:c r="X577" s="6" t="str">
        <x:v>1.3658905226196272</x:v>
      </x:c>
      <x:c r="Y577" s="6" t="str">
        <x:v>0.9611424871430656</x:v>
      </x:c>
      <x:c r="Z577" s="6" t="str">
        <x:v>1.4259428481845433</x:v>
      </x:c>
      <x:c r="AA577" s="6" t="str">
        <x:v>0.9077162077590275</x:v>
      </x:c>
      <x:c r="AB577" s="6" t="str">
        <x:v>0.1678297978778966</x:v>
      </x:c>
      <x:c r="AC577" s="6" t="str">
        <x:v>0.4370519482305093</x:v>
      </x:c>
      <x:c r="AD577" s="6" t="str">
        <x:v>2.477930314505308</x:v>
      </x:c>
      <x:c r="AE577" s="6" t="str">
        <x:v>0.8607301244185648</x:v>
      </x:c>
      <x:c r="AF577" s="6" t="str">
        <x:v>1.3615481094692699</x:v>
      </x:c>
      <x:c r="AG577" s="6" t="str">
        <x:v>0</x:v>
      </x:c>
      <x:c r="AH577" s="6" t="str">
        <x:v>1</x:v>
      </x:c>
      <x:c r="AI577" s="6" t="str">
        <x:v>2025-12</x:v>
      </x:c>
      <x:c r="AJ577" s="9" t="str">
        <x:v>NASA POWER (MERRA-2 meteorology)</x:v>
      </x:c>
      <x:c r="AK577" s="9" t="str">
        <x:v>Badan Informasi Geospasial (BIG)</x:v>
      </x:c>
      <x:c r="AL577" s="9" t="str">
        <x:v>https://power.larc.nasa.gov/docs/services/api/temporal/monthly/</x:v>
      </x:c>
      <x:c r="AM577" s="9" t="str">
        <x:v>https://geoservices.big.go.id/rbi/rest/services/BATASWILAYAH/BATAS_WILAYAH/MapServer/12</x:v>
      </x:c>
    </x:row>
    <x:row r="578" ht="18" customHeight="1">
      <x:c r="A578" s="6" t="str">
        <x:v>71</x:v>
      </x:c>
      <x:c r="B578" s="6" t="str">
        <x:v>SULAWESI UTARA</x:v>
      </x:c>
      <x:c r="C578" s="6" t="str">
        <x:v>2024</x:v>
      </x:c>
      <x:c r="D578" s="6" t="str">
        <x:v>1</x:v>
      </x:c>
      <x:c r="E578" s="6" t="str">
        <x:v>26.567359599474287</x:v>
      </x:c>
      <x:c r="F578" s="9" t="str">
        <x:v>grid_cells_within_BIG_polygon</x:v>
      </x:c>
      <x:c r="G578" s="6" t="str">
        <x:v>5</x:v>
      </x:c>
      <x:c r="H578" s="8" t="str">
        <x:v>82.52607334225762</x:v>
      </x:c>
      <x:c r="I578" s="6" t="str">
        <x:v>6.687645257906153</x:v>
      </x:c>
      <x:c r="J578" s="6" t="str">
        <x:v>31</x:v>
      </x:c>
      <x:c r="K578" s="6" t="str">
        <x:v>207.31700299509075</x:v>
      </x:c>
      <x:c r="L578" s="6" t="str">
        <x:v>25.69350460933629</x:v>
      </x:c>
      <x:c r="M578" s="6" t="str">
        <x:v>0.4028253837464752</x:v>
      </x:c>
      <x:c r="N578" s="6" t="str">
        <x:v>83.48766706697486</x:v>
      </x:c>
      <x:c r="O578" s="6" t="str">
        <x:v>2.6948770923197762</x:v>
      </x:c>
      <x:c r="P578" s="6" t="str">
        <x:v>200.94319397076606</x:v>
      </x:c>
      <x:c r="Q578" s="6" t="str">
        <x:v>72.23367509615231</x:v>
      </x:c>
      <x:c r="R578" s="6" t="str">
        <x:v>0.8738549901379962</x:v>
      </x:c>
      <x:c r="S578" s="8" t="str">
        <x:v>2.1693146097465674</x:v>
      </x:c>
      <x:c r="T578" s="6" t="str">
        <x:v>-0.9615937247172468</x:v>
      </x:c>
      <x:c r="U578" s="8" t="str">
        <x:v>-0.35682285008757025</x:v>
      </x:c>
      <x:c r="V578" s="6" t="str">
        <x:v>6.373809024324686</x:v>
      </x:c>
      <x:c r="W578" s="8" t="str">
        <x:v>0.08823874759023857</x:v>
      </x:c>
      <x:c r="X578" s="6" t="str">
        <x:v>2.8826022198039243</x:v>
      </x:c>
      <x:c r="Y578" s="6" t="str">
        <x:v>2.37863380508496</x:v>
      </x:c>
      <x:c r="Z578" s="6" t="str">
        <x:v>2.4768502115451505</x:v>
      </x:c>
      <x:c r="AA578" s="6" t="str">
        <x:v>-1.223509591209924</x:v>
      </x:c>
      <x:c r="AB578" s="6" t="str">
        <x:v>-0.8825518103305371</x:v>
      </x:c>
      <x:c r="AC578" s="6" t="str">
        <x:v>-0.8209614172093437</x:v>
      </x:c>
      <x:c r="AD578" s="6" t="str">
        <x:v>-1.3114110351077455</x:v>
      </x:c>
      <x:c r="AE578" s="6" t="str">
        <x:v>-0.8576135177111354</x:v>
      </x:c>
      <x:c r="AF578" s="6" t="str">
        <x:v>-0.6935952684095472</x:v>
      </x:c>
      <x:c r="AG578" s="6" t="str">
        <x:v>0</x:v>
      </x:c>
      <x:c r="AH578" s="6" t="str">
        <x:v>1</x:v>
      </x:c>
      <x:c r="AI578" s="6" t="str">
        <x:v>2024-01</x:v>
      </x:c>
      <x:c r="AJ578" s="9" t="str">
        <x:v>NASA POWER (MERRA-2 meteorology)</x:v>
      </x:c>
      <x:c r="AK578" s="9" t="str">
        <x:v>Badan Informasi Geospasial (BIG)</x:v>
      </x:c>
      <x:c r="AL578" s="9" t="str">
        <x:v>https://power.larc.nasa.gov/docs/services/api/temporal/monthly/</x:v>
      </x:c>
      <x:c r="AM578" s="9" t="str">
        <x:v>https://geoservices.big.go.id/rbi/rest/services/BATASWILAYAH/BATAS_WILAYAH/MapServer/12</x:v>
      </x:c>
    </x:row>
    <x:row r="579" ht="18" customHeight="1">
      <x:c r="A579" s="6" t="str">
        <x:v>71</x:v>
      </x:c>
      <x:c r="B579" s="6" t="str">
        <x:v>SULAWESI UTARA</x:v>
      </x:c>
      <x:c r="C579" s="6" t="str">
        <x:v>2024</x:v>
      </x:c>
      <x:c r="D579" s="6" t="str">
        <x:v>2</x:v>
      </x:c>
      <x:c r="E579" s="6" t="str">
        <x:v>26.43153049053431</x:v>
      </x:c>
      <x:c r="F579" s="9" t="str">
        <x:v>grid_cells_within_BIG_polygon</x:v>
      </x:c>
      <x:c r="G579" s="6" t="str">
        <x:v>5</x:v>
      </x:c>
      <x:c r="H579" s="8" t="str">
        <x:v>81.93182162958922</x:v>
      </x:c>
      <x:c r="I579" s="6" t="str">
        <x:v>3.476013898103375</x:v>
      </x:c>
      <x:c r="J579" s="6" t="str">
        <x:v>29</x:v>
      </x:c>
      <x:c r="K579" s="6" t="str">
        <x:v>100.80440304499787</x:v>
      </x:c>
      <x:c r="L579" s="6" t="str">
        <x:v>25.659789389485084</x:v>
      </x:c>
      <x:c r="M579" s="6" t="str">
        <x:v>0.4502354006489845</x:v>
      </x:c>
      <x:c r="N579" s="6" t="str">
        <x:v>82.90947415753301</x:v>
      </x:c>
      <x:c r="O579" s="6" t="str">
        <x:v>3.240419636939233</x:v>
      </x:c>
      <x:c r="P579" s="6" t="str">
        <x:v>154.9635690542463</x:v>
      </x:c>
      <x:c r="Q579" s="6" t="str">
        <x:v>75.18127226759837</x:v>
      </x:c>
      <x:c r="R579" s="6" t="str">
        <x:v>0.7717411010492263</x:v>
      </x:c>
      <x:c r="S579" s="8" t="str">
        <x:v>1.7140835659230986</x:v>
      </x:c>
      <x:c r="T579" s="6" t="str">
        <x:v>-0.9776525279437891</x:v>
      </x:c>
      <x:c r="U579" s="8" t="str">
        <x:v>-0.30170553122164123</x:v>
      </x:c>
      <x:c r="V579" s="6" t="str">
        <x:v>-54.15916600924844</x:v>
      </x:c>
      <x:c r="W579" s="8" t="str">
        <x:v>-0.7203810786345253</x:v>
      </x:c>
      <x:c r="X579" s="6" t="str">
        <x:v>2.1693146097465674</x:v>
      </x:c>
      <x:c r="Y579" s="6" t="str">
        <x:v>2.8826022198039243</x:v>
      </x:c>
      <x:c r="Z579" s="6" t="str">
        <x:v>2.255333465157863</x:v>
      </x:c>
      <x:c r="AA579" s="6" t="str">
        <x:v>-0.35682285008757025</x:v>
      </x:c>
      <x:c r="AB579" s="6" t="str">
        <x:v>-1.223509591209924</x:v>
      </x:c>
      <x:c r="AC579" s="6" t="str">
        <x:v>-0.6273459908397118</x:v>
      </x:c>
      <x:c r="AD579" s="6" t="str">
        <x:v>0.08823874759023857</x:v>
      </x:c>
      <x:c r="AE579" s="6" t="str">
        <x:v>-1.3114110351077455</x:v>
      </x:c>
      <x:c r="AF579" s="6" t="str">
        <x:v>-0.6478511220506772</x:v>
      </x:c>
      <x:c r="AG579" s="6" t="str">
        <x:v>0</x:v>
      </x:c>
      <x:c r="AH579" s="6" t="str">
        <x:v>1</x:v>
      </x:c>
      <x:c r="AI579" s="6" t="str">
        <x:v>2024-02</x:v>
      </x:c>
      <x:c r="AJ579" s="9" t="str">
        <x:v>NASA POWER (MERRA-2 meteorology)</x:v>
      </x:c>
      <x:c r="AK579" s="9" t="str">
        <x:v>Badan Informasi Geospasial (BIG)</x:v>
      </x:c>
      <x:c r="AL579" s="9" t="str">
        <x:v>https://power.larc.nasa.gov/docs/services/api/temporal/monthly/</x:v>
      </x:c>
      <x:c r="AM579" s="9" t="str">
        <x:v>https://geoservices.big.go.id/rbi/rest/services/BATASWILAYAH/BATAS_WILAYAH/MapServer/12</x:v>
      </x:c>
    </x:row>
    <x:row r="580" ht="18" customHeight="1">
      <x:c r="A580" s="6" t="str">
        <x:v>71</x:v>
      </x:c>
      <x:c r="B580" s="6" t="str">
        <x:v>SULAWESI UTARA</x:v>
      </x:c>
      <x:c r="C580" s="6" t="str">
        <x:v>2024</x:v>
      </x:c>
      <x:c r="D580" s="6" t="str">
        <x:v>3</x:v>
      </x:c>
      <x:c r="E580" s="6" t="str">
        <x:v>26.741577867329422</x:v>
      </x:c>
      <x:c r="F580" s="9" t="str">
        <x:v>grid_cells_within_BIG_polygon</x:v>
      </x:c>
      <x:c r="G580" s="6" t="str">
        <x:v>5</x:v>
      </x:c>
      <x:c r="H580" s="8" t="str">
        <x:v>81.61166479852449</x:v>
      </x:c>
      <x:c r="I580" s="6" t="str">
        <x:v>3.452664146277154</x:v>
      </x:c>
      <x:c r="J580" s="6" t="str">
        <x:v>31</x:v>
      </x:c>
      <x:c r="K580" s="6" t="str">
        <x:v>107.03258853459177</x:v>
      </x:c>
      <x:c r="L580" s="6" t="str">
        <x:v>25.94176133807189</x:v>
      </x:c>
      <x:c r="M580" s="6" t="str">
        <x:v>0.46192511718996637</x:v>
      </x:c>
      <x:c r="N580" s="6" t="str">
        <x:v>81.7682992459879</x:v>
      </x:c>
      <x:c r="O580" s="6" t="str">
        <x:v>3.5299800009419666</x:v>
      </x:c>
      <x:c r="P580" s="6" t="str">
        <x:v>162.45168337239198</x:v>
      </x:c>
      <x:c r="Q580" s="6" t="str">
        <x:v>83.20064593554503</x:v>
      </x:c>
      <x:c r="R580" s="6" t="str">
        <x:v>0.7998165292575337</x:v>
      </x:c>
      <x:c r="S580" s="8" t="str">
        <x:v>1.7314852548462085</x:v>
      </x:c>
      <x:c r="T580" s="6" t="str">
        <x:v>-0.15663444746341781</x:v>
      </x:c>
      <x:c r="U580" s="8" t="str">
        <x:v>-0.04437261611159845</x:v>
      </x:c>
      <x:c r="V580" s="6" t="str">
        <x:v>-55.419094837800216</x:v>
      </x:c>
      <x:c r="W580" s="8" t="str">
        <x:v>-0.6660897185910433</x:v>
      </x:c>
      <x:c r="X580" s="6" t="str">
        <x:v>1.7140835659230986</x:v>
      </x:c>
      <x:c r="Y580" s="6" t="str">
        <x:v>2.1693146097465674</x:v>
      </x:c>
      <x:c r="Z580" s="6" t="str">
        <x:v>1.8716278101719581</x:v>
      </x:c>
      <x:c r="AA580" s="6" t="str">
        <x:v>-0.30170553122164123</x:v>
      </x:c>
      <x:c r="AB580" s="6" t="str">
        <x:v>-0.35682285008757025</x:v>
      </x:c>
      <x:c r="AC580" s="6" t="str">
        <x:v>-0.23430033247360316</x:v>
      </x:c>
      <x:c r="AD580" s="6" t="str">
        <x:v>-0.7203810786345253</x:v>
      </x:c>
      <x:c r="AE580" s="6" t="str">
        <x:v>0.08823874759023857</x:v>
      </x:c>
      <x:c r="AF580" s="6" t="str">
        <x:v>-0.4327440165451099</x:v>
      </x:c>
      <x:c r="AG580" s="6" t="str">
        <x:v>0</x:v>
      </x:c>
      <x:c r="AH580" s="6" t="str">
        <x:v>1</x:v>
      </x:c>
      <x:c r="AI580" s="6" t="str">
        <x:v>2024-03</x:v>
      </x:c>
      <x:c r="AJ580" s="9" t="str">
        <x:v>NASA POWER (MERRA-2 meteorology)</x:v>
      </x:c>
      <x:c r="AK580" s="9" t="str">
        <x:v>Badan Informasi Geospasial (BIG)</x:v>
      </x:c>
      <x:c r="AL580" s="9" t="str">
        <x:v>https://power.larc.nasa.gov/docs/services/api/temporal/monthly/</x:v>
      </x:c>
      <x:c r="AM580" s="9" t="str">
        <x:v>https://geoservices.big.go.id/rbi/rest/services/BATASWILAYAH/BATAS_WILAYAH/MapServer/12</x:v>
      </x:c>
    </x:row>
    <x:row r="581" ht="18" customHeight="1">
      <x:c r="A581" s="6" t="str">
        <x:v>71</x:v>
      </x:c>
      <x:c r="B581" s="6" t="str">
        <x:v>SULAWESI UTARA</x:v>
      </x:c>
      <x:c r="C581" s="6" t="str">
        <x:v>2024</x:v>
      </x:c>
      <x:c r="D581" s="6" t="str">
        <x:v>4</x:v>
      </x:c>
      <x:c r="E581" s="6" t="str">
        <x:v>27.065521089364754</x:v>
      </x:c>
      <x:c r="F581" s="9" t="str">
        <x:v>grid_cells_within_BIG_polygon</x:v>
      </x:c>
      <x:c r="G581" s="6" t="str">
        <x:v>5</x:v>
      </x:c>
      <x:c r="H581" s="8" t="str">
        <x:v>80.7256993632788</x:v>
      </x:c>
      <x:c r="I581" s="6" t="str">
        <x:v>5.648623124346002</x:v>
      </x:c>
      <x:c r="J581" s="6" t="str">
        <x:v>30</x:v>
      </x:c>
      <x:c r="K581" s="6" t="str">
        <x:v>169.45869373038005</x:v>
      </x:c>
      <x:c r="L581" s="6" t="str">
        <x:v>26.33612046034283</x:v>
      </x:c>
      <x:c r="M581" s="6" t="str">
        <x:v>0.47827111732021554</x:v>
      </x:c>
      <x:c r="N581" s="6" t="str">
        <x:v>81.38839862161578</x:v>
      </x:c>
      <x:c r="O581" s="6" t="str">
        <x:v>3.2185083823853664</x:v>
      </x:c>
      <x:c r="P581" s="6" t="str">
        <x:v>155.38542850855399</x:v>
      </x:c>
      <x:c r="Q581" s="6" t="str">
        <x:v>61.510766305454624</x:v>
      </x:c>
      <x:c r="R581" s="6" t="str">
        <x:v>0.7294006290219244</x:v>
      </x:c>
      <x:c r="S581" s="8" t="str">
        <x:v>1.5250777281070285</x:v>
      </x:c>
      <x:c r="T581" s="6" t="str">
        <x:v>-0.6626992583369713</x:v>
      </x:c>
      <x:c r="U581" s="8" t="str">
        <x:v>-0.2059026044374687</x:v>
      </x:c>
      <x:c r="V581" s="6" t="str">
        <x:v>14.073265221826063</x:v>
      </x:c>
      <x:c r="W581" s="8" t="str">
        <x:v>0.22879352781820375</x:v>
      </x:c>
      <x:c r="X581" s="6" t="str">
        <x:v>1.7314852548462085</x:v>
      </x:c>
      <x:c r="Y581" s="6" t="str">
        <x:v>1.7140835659230986</x:v>
      </x:c>
      <x:c r="Z581" s="6" t="str">
        <x:v>1.6568821829587785</x:v>
      </x:c>
      <x:c r="AA581" s="6" t="str">
        <x:v>-0.04437261611159845</x:v>
      </x:c>
      <x:c r="AB581" s="6" t="str">
        <x:v>-0.30170553122164123</x:v>
      </x:c>
      <x:c r="AC581" s="6" t="str">
        <x:v>-0.18399358392356932</x:v>
      </x:c>
      <x:c r="AD581" s="6" t="str">
        <x:v>-0.6660897185910433</x:v>
      </x:c>
      <x:c r="AE581" s="6" t="str">
        <x:v>-0.7203810786345253</x:v>
      </x:c>
      <x:c r="AF581" s="6" t="str">
        <x:v>-0.38589242313578814</x:v>
      </x:c>
      <x:c r="AG581" s="6" t="str">
        <x:v>0</x:v>
      </x:c>
      <x:c r="AH581" s="6" t="str">
        <x:v>1</x:v>
      </x:c>
      <x:c r="AI581" s="6" t="str">
        <x:v>2024-04</x:v>
      </x:c>
      <x:c r="AJ581" s="9" t="str">
        <x:v>NASA POWER (MERRA-2 meteorology)</x:v>
      </x:c>
      <x:c r="AK581" s="9" t="str">
        <x:v>Badan Informasi Geospasial (BIG)</x:v>
      </x:c>
      <x:c r="AL581" s="9" t="str">
        <x:v>https://power.larc.nasa.gov/docs/services/api/temporal/monthly/</x:v>
      </x:c>
      <x:c r="AM581" s="9" t="str">
        <x:v>https://geoservices.big.go.id/rbi/rest/services/BATASWILAYAH/BATAS_WILAYAH/MapServer/12</x:v>
      </x:c>
    </x:row>
    <x:row r="582" ht="18" customHeight="1">
      <x:c r="A582" s="6" t="str">
        <x:v>71</x:v>
      </x:c>
      <x:c r="B582" s="6" t="str">
        <x:v>SULAWESI UTARA</x:v>
      </x:c>
      <x:c r="C582" s="6" t="str">
        <x:v>2024</x:v>
      </x:c>
      <x:c r="D582" s="6" t="str">
        <x:v>5</x:v>
      </x:c>
      <x:c r="E582" s="6" t="str">
        <x:v>27.26340121005264</x:v>
      </x:c>
      <x:c r="F582" s="9" t="str">
        <x:v>grid_cells_within_BIG_polygon</x:v>
      </x:c>
      <x:c r="G582" s="6" t="str">
        <x:v>5</x:v>
      </x:c>
      <x:c r="H582" s="8" t="str">
        <x:v>82.56268010672726</x:v>
      </x:c>
      <x:c r="I582" s="6" t="str">
        <x:v>5.347039351979129</x:v>
      </x:c>
      <x:c r="J582" s="6" t="str">
        <x:v>31</x:v>
      </x:c>
      <x:c r="K582" s="6" t="str">
        <x:v>165.758219911353</x:v>
      </x:c>
      <x:c r="L582" s="6" t="str">
        <x:v>26.300971530352253</x:v>
      </x:c>
      <x:c r="M582" s="6" t="str">
        <x:v>0.4489340391250281</x:v>
      </x:c>
      <x:c r="N582" s="6" t="str">
        <x:v>83.08215501729832</x:v>
      </x:c>
      <x:c r="O582" s="6" t="str">
        <x:v>2.0222845052148624</x:v>
      </x:c>
      <x:c r="P582" s="6" t="str">
        <x:v>173.74945878344366</x:v>
      </x:c>
      <x:c r="Q582" s="6" t="str">
        <x:v>52.43717543664875</x:v>
      </x:c>
      <x:c r="R582" s="6" t="str">
        <x:v>0.9624296797003851</x:v>
      </x:c>
      <x:c r="S582" s="8" t="str">
        <x:v>2.143810884949066</x:v>
      </x:c>
      <x:c r="T582" s="6" t="str">
        <x:v>-0.5194749105710628</x:v>
      </x:c>
      <x:c r="U582" s="8" t="str">
        <x:v>-0.2568752859607506</x:v>
      </x:c>
      <x:c r="V582" s="6" t="str">
        <x:v>-7.991238872090662</x:v>
      </x:c>
      <x:c r="W582" s="8" t="str">
        <x:v>-0.1523964402267465</x:v>
      </x:c>
      <x:c r="X582" s="6" t="str">
        <x:v>1.5250777281070285</x:v>
      </x:c>
      <x:c r="Y582" s="6" t="str">
        <x:v>1.7314852548462085</x:v>
      </x:c>
      <x:c r="Z582" s="6" t="str">
        <x:v>1.800124622634101</x:v>
      </x:c>
      <x:c r="AA582" s="6" t="str">
        <x:v>-0.2059026044374687</x:v>
      </x:c>
      <x:c r="AB582" s="6" t="str">
        <x:v>-0.04437261611159845</x:v>
      </x:c>
      <x:c r="AC582" s="6" t="str">
        <x:v>-0.16905016883660576</x:v>
      </x:c>
      <x:c r="AD582" s="6" t="str">
        <x:v>0.22879352781820375</x:v>
      </x:c>
      <x:c r="AE582" s="6" t="str">
        <x:v>-0.6660897185910433</x:v>
      </x:c>
      <x:c r="AF582" s="6" t="str">
        <x:v>-0.19656421033319518</x:v>
      </x:c>
      <x:c r="AG582" s="6" t="str">
        <x:v>0</x:v>
      </x:c>
      <x:c r="AH582" s="6" t="str">
        <x:v>1</x:v>
      </x:c>
      <x:c r="AI582" s="6" t="str">
        <x:v>2024-05</x:v>
      </x:c>
      <x:c r="AJ582" s="9" t="str">
        <x:v>NASA POWER (MERRA-2 meteorology)</x:v>
      </x:c>
      <x:c r="AK582" s="9" t="str">
        <x:v>Badan Informasi Geospasial (BIG)</x:v>
      </x:c>
      <x:c r="AL582" s="9" t="str">
        <x:v>https://power.larc.nasa.gov/docs/services/api/temporal/monthly/</x:v>
      </x:c>
      <x:c r="AM582" s="9" t="str">
        <x:v>https://geoservices.big.go.id/rbi/rest/services/BATASWILAYAH/BATAS_WILAYAH/MapServer/12</x:v>
      </x:c>
    </x:row>
    <x:row r="583" ht="18" customHeight="1">
      <x:c r="A583" s="6" t="str">
        <x:v>71</x:v>
      </x:c>
      <x:c r="B583" s="6" t="str">
        <x:v>SULAWESI UTARA</x:v>
      </x:c>
      <x:c r="C583" s="6" t="str">
        <x:v>2024</x:v>
      </x:c>
      <x:c r="D583" s="6" t="str">
        <x:v>6</x:v>
      </x:c>
      <x:c r="E583" s="6" t="str">
        <x:v>26.109265888880962</x:v>
      </x:c>
      <x:c r="F583" s="9" t="str">
        <x:v>grid_cells_within_BIG_polygon</x:v>
      </x:c>
      <x:c r="G583" s="6" t="str">
        <x:v>5</x:v>
      </x:c>
      <x:c r="H583" s="8" t="str">
        <x:v>85.17339410521004</x:v>
      </x:c>
      <x:c r="I583" s="6" t="str">
        <x:v>8.514120922077122</x:v>
      </x:c>
      <x:c r="J583" s="6" t="str">
        <x:v>30</x:v>
      </x:c>
      <x:c r="K583" s="6" t="str">
        <x:v>255.42362766231366</x:v>
      </x:c>
      <x:c r="L583" s="6" t="str">
        <x:v>25.7348931678679</x:v>
      </x:c>
      <x:c r="M583" s="6" t="str">
        <x:v>0.3330715360739926</x:v>
      </x:c>
      <x:c r="N583" s="6" t="str">
        <x:v>84.11444124188372</x:v>
      </x:c>
      <x:c r="O583" s="6" t="str">
        <x:v>1.9310294131754286</x:v>
      </x:c>
      <x:c r="P583" s="6" t="str">
        <x:v>179.11948431888305</x:v>
      </x:c>
      <x:c r="Q583" s="6" t="str">
        <x:v>68.30044084415368</x:v>
      </x:c>
      <x:c r="R583" s="6" t="str">
        <x:v>0.3743727210130636</x:v>
      </x:c>
      <x:c r="S583" s="8" t="str">
        <x:v>1.124000944139207</x:v>
      </x:c>
      <x:c r="T583" s="6" t="str">
        <x:v>1.0589528633263114</x:v>
      </x:c>
      <x:c r="U583" s="8" t="str">
        <x:v>0.5483877439157933</x:v>
      </x:c>
      <x:c r="V583" s="6" t="str">
        <x:v>76.30414334343061</x:v>
      </x:c>
      <x:c r="W583" s="8" t="str">
        <x:v>1.1171837604612185</x:v>
      </x:c>
      <x:c r="X583" s="6" t="str">
        <x:v>2.143810884949066</x:v>
      </x:c>
      <x:c r="Y583" s="6" t="str">
        <x:v>1.5250777281070285</x:v>
      </x:c>
      <x:c r="Z583" s="6" t="str">
        <x:v>1.5976298523984338</x:v>
      </x:c>
      <x:c r="AA583" s="6" t="str">
        <x:v>-0.2568752859607506</x:v>
      </x:c>
      <x:c r="AB583" s="6" t="str">
        <x:v>-0.2059026044374687</x:v>
      </x:c>
      <x:c r="AC583" s="6" t="str">
        <x:v>0.028536617839191463</x:v>
      </x:c>
      <x:c r="AD583" s="6" t="str">
        <x:v>-0.1523964402267465</x:v>
      </x:c>
      <x:c r="AE583" s="6" t="str">
        <x:v>0.22879352781820375</x:v>
      </x:c>
      <x:c r="AF583" s="6" t="str">
        <x:v>0.3978602826842254</x:v>
      </x:c>
      <x:c r="AG583" s="6" t="str">
        <x:v>1</x:v>
      </x:c>
      <x:c r="AH583" s="6" t="str">
        <x:v>1</x:v>
      </x:c>
      <x:c r="AI583" s="6" t="str">
        <x:v>2024-06</x:v>
      </x:c>
      <x:c r="AJ583" s="9" t="str">
        <x:v>NASA POWER (MERRA-2 meteorology)</x:v>
      </x:c>
      <x:c r="AK583" s="9" t="str">
        <x:v>Badan Informasi Geospasial (BIG)</x:v>
      </x:c>
      <x:c r="AL583" s="9" t="str">
        <x:v>https://power.larc.nasa.gov/docs/services/api/temporal/monthly/</x:v>
      </x:c>
      <x:c r="AM583" s="9" t="str">
        <x:v>https://geoservices.big.go.id/rbi/rest/services/BATASWILAYAH/BATAS_WILAYAH/MapServer/12</x:v>
      </x:c>
    </x:row>
    <x:row r="584" ht="18" customHeight="1">
      <x:c r="A584" s="6" t="str">
        <x:v>71</x:v>
      </x:c>
      <x:c r="B584" s="6" t="str">
        <x:v>SULAWESI UTARA</x:v>
      </x:c>
      <x:c r="C584" s="6" t="str">
        <x:v>2024</x:v>
      </x:c>
      <x:c r="D584" s="6" t="str">
        <x:v>7</x:v>
      </x:c>
      <x:c r="E584" s="6" t="str">
        <x:v>25.79523598484823</x:v>
      </x:c>
      <x:c r="F584" s="9" t="str">
        <x:v>grid_cells_within_BIG_polygon</x:v>
      </x:c>
      <x:c r="G584" s="6" t="str">
        <x:v>5</x:v>
      </x:c>
      <x:c r="H584" s="8" t="str">
        <x:v>85.57298959027405</x:v>
      </x:c>
      <x:c r="I584" s="6" t="str">
        <x:v>7.528747421640043</x:v>
      </x:c>
      <x:c r="J584" s="6" t="str">
        <x:v>31</x:v>
      </x:c>
      <x:c r="K584" s="6" t="str">
        <x:v>233.39117007084133</x:v>
      </x:c>
      <x:c r="L584" s="6" t="str">
        <x:v>25.238420006114026</x:v>
      </x:c>
      <x:c r="M584" s="6" t="str">
        <x:v>0.3344270789946227</x:v>
      </x:c>
      <x:c r="N584" s="6" t="str">
        <x:v>84.62476531913393</x:v>
      </x:c>
      <x:c r="O584" s="6" t="str">
        <x:v>1.488261299845952</x:v>
      </x:c>
      <x:c r="P584" s="6" t="str">
        <x:v>139.06781940296815</x:v>
      </x:c>
      <x:c r="Q584" s="6" t="str">
        <x:v>73.74747076134055</x:v>
      </x:c>
      <x:c r="R584" s="6" t="str">
        <x:v>0.5568159787342033</x:v>
      </x:c>
      <x:c r="S584" s="8" t="str">
        <x:v>1.6649847267396563</x:v>
      </x:c>
      <x:c r="T584" s="6" t="str">
        <x:v>0.9482242711401199</x:v>
      </x:c>
      <x:c r="U584" s="8" t="str">
        <x:v>0.6371356100157072</x:v>
      </x:c>
      <x:c r="V584" s="6" t="str">
        <x:v>94.32335066787317</x:v>
      </x:c>
      <x:c r="W584" s="8" t="str">
        <x:v>1.2790045501779945</x:v>
      </x:c>
      <x:c r="X584" s="6" t="str">
        <x:v>1.124000944139207</x:v>
      </x:c>
      <x:c r="Y584" s="6" t="str">
        <x:v>2.143810884949066</x:v>
      </x:c>
      <x:c r="Z584" s="6" t="str">
        <x:v>1.6442655186093098</x:v>
      </x:c>
      <x:c r="AA584" s="6" t="str">
        <x:v>0.5483877439157933</x:v>
      </x:c>
      <x:c r="AB584" s="6" t="str">
        <x:v>-0.2568752859607506</x:v>
      </x:c>
      <x:c r="AC584" s="6" t="str">
        <x:v>0.3095493559902501</x:v>
      </x:c>
      <x:c r="AD584" s="6" t="str">
        <x:v>1.1171837604612185</x:v>
      </x:c>
      <x:c r="AE584" s="6" t="str">
        <x:v>-0.1523964402267465</x:v>
      </x:c>
      <x:c r="AF584" s="6" t="str">
        <x:v>0.7479306234708223</x:v>
      </x:c>
      <x:c r="AG584" s="6" t="str">
        <x:v>1</x:v>
      </x:c>
      <x:c r="AH584" s="6" t="str">
        <x:v>1</x:v>
      </x:c>
      <x:c r="AI584" s="6" t="str">
        <x:v>2024-07</x:v>
      </x:c>
      <x:c r="AJ584" s="9" t="str">
        <x:v>NASA POWER (MERRA-2 meteorology)</x:v>
      </x:c>
      <x:c r="AK584" s="9" t="str">
        <x:v>Badan Informasi Geospasial (BIG)</x:v>
      </x:c>
      <x:c r="AL584" s="9" t="str">
        <x:v>https://power.larc.nasa.gov/docs/services/api/temporal/monthly/</x:v>
      </x:c>
      <x:c r="AM584" s="9" t="str">
        <x:v>https://geoservices.big.go.id/rbi/rest/services/BATASWILAYAH/BATAS_WILAYAH/MapServer/12</x:v>
      </x:c>
    </x:row>
    <x:row r="585" ht="18" customHeight="1">
      <x:c r="A585" s="6" t="str">
        <x:v>71</x:v>
      </x:c>
      <x:c r="B585" s="6" t="str">
        <x:v>SULAWESI UTARA</x:v>
      </x:c>
      <x:c r="C585" s="6" t="str">
        <x:v>2024</x:v>
      </x:c>
      <x:c r="D585" s="6" t="str">
        <x:v>8</x:v>
      </x:c>
      <x:c r="E585" s="6" t="str">
        <x:v>25.745184189938346</x:v>
      </x:c>
      <x:c r="F585" s="9" t="str">
        <x:v>grid_cells_within_BIG_polygon</x:v>
      </x:c>
      <x:c r="G585" s="6" t="str">
        <x:v>5</x:v>
      </x:c>
      <x:c r="H585" s="8" t="str">
        <x:v>85.68118772822544</x:v>
      </x:c>
      <x:c r="I585" s="6" t="str">
        <x:v>4.7641322161203155</x:v>
      </x:c>
      <x:c r="J585" s="6" t="str">
        <x:v>31</x:v>
      </x:c>
      <x:c r="K585" s="6" t="str">
        <x:v>147.68809869972978</x:v>
      </x:c>
      <x:c r="L585" s="6" t="str">
        <x:v>25.289027594558057</x:v>
      </x:c>
      <x:c r="M585" s="6" t="str">
        <x:v>0.3414142360707499</x:v>
      </x:c>
      <x:c r="N585" s="6" t="str">
        <x:v>82.92529132980589</x:v>
      </x:c>
      <x:c r="O585" s="6" t="str">
        <x:v>3.2031660540415436</x:v>
      </x:c>
      <x:c r="P585" s="6" t="str">
        <x:v>84.84706417917745</x:v>
      </x:c>
      <x:c r="Q585" s="6" t="str">
        <x:v>60.38193267877362</x:v>
      </x:c>
      <x:c r="R585" s="6" t="str">
        <x:v>0.4561565953802891</x:v>
      </x:c>
      <x:c r="S585" s="8" t="str">
        <x:v>1.336079598291155</x:v>
      </x:c>
      <x:c r="T585" s="6" t="str">
        <x:v>2.7558963984195515</x:v>
      </x:c>
      <x:c r="U585" s="8" t="str">
        <x:v>0.8603663849841138</x:v>
      </x:c>
      <x:c r="V585" s="6" t="str">
        <x:v>62.84103452055233</x:v>
      </x:c>
      <x:c r="W585" s="8" t="str">
        <x:v>1.0407257888690131</x:v>
      </x:c>
      <x:c r="X585" s="6" t="str">
        <x:v>1.6649847267396563</x:v>
      </x:c>
      <x:c r="Y585" s="6" t="str">
        <x:v>1.124000944139207</x:v>
      </x:c>
      <x:c r="Z585" s="6" t="str">
        <x:v>1.375021756390006</x:v>
      </x:c>
      <x:c r="AA585" s="6" t="str">
        <x:v>0.6371356100157072</x:v>
      </x:c>
      <x:c r="AB585" s="6" t="str">
        <x:v>0.5483877439157933</x:v>
      </x:c>
      <x:c r="AC585" s="6" t="str">
        <x:v>0.6819632463052049</x:v>
      </x:c>
      <x:c r="AD585" s="6" t="str">
        <x:v>1.2790045501779945</x:v>
      </x:c>
      <x:c r="AE585" s="6" t="str">
        <x:v>1.1171837604612185</x:v>
      </x:c>
      <x:c r="AF585" s="6" t="str">
        <x:v>1.145638033169409</x:v>
      </x:c>
      <x:c r="AG585" s="6" t="str">
        <x:v>1</x:v>
      </x:c>
      <x:c r="AH585" s="6" t="str">
        <x:v>1</x:v>
      </x:c>
      <x:c r="AI585" s="6" t="str">
        <x:v>2024-08</x:v>
      </x:c>
      <x:c r="AJ585" s="9" t="str">
        <x:v>NASA POWER (MERRA-2 meteorology)</x:v>
      </x:c>
      <x:c r="AK585" s="9" t="str">
        <x:v>Badan Informasi Geospasial (BIG)</x:v>
      </x:c>
      <x:c r="AL585" s="9" t="str">
        <x:v>https://power.larc.nasa.gov/docs/services/api/temporal/monthly/</x:v>
      </x:c>
      <x:c r="AM585" s="9" t="str">
        <x:v>https://geoservices.big.go.id/rbi/rest/services/BATASWILAYAH/BATAS_WILAYAH/MapServer/12</x:v>
      </x:c>
    </x:row>
    <x:row r="586" ht="18" customHeight="1">
      <x:c r="A586" s="6" t="str">
        <x:v>71</x:v>
      </x:c>
      <x:c r="B586" s="6" t="str">
        <x:v>SULAWESI UTARA</x:v>
      </x:c>
      <x:c r="C586" s="6" t="str">
        <x:v>2024</x:v>
      </x:c>
      <x:c r="D586" s="6" t="str">
        <x:v>9</x:v>
      </x:c>
      <x:c r="E586" s="6" t="str">
        <x:v>26.48528061790884</x:v>
      </x:c>
      <x:c r="F586" s="9" t="str">
        <x:v>grid_cells_within_BIG_polygon</x:v>
      </x:c>
      <x:c r="G586" s="6" t="str">
        <x:v>5</x:v>
      </x:c>
      <x:c r="H586" s="8" t="str">
        <x:v>81.30234690539231</x:v>
      </x:c>
      <x:c r="I586" s="6" t="str">
        <x:v>2.355725232735276</x:v>
      </x:c>
      <x:c r="J586" s="6" t="str">
        <x:v>30</x:v>
      </x:c>
      <x:c r="K586" s="6" t="str">
        <x:v>70.67175698205828</x:v>
      </x:c>
      <x:c r="L586" s="6" t="str">
        <x:v>25.78606559360624</x:v>
      </x:c>
      <x:c r="M586" s="6" t="str">
        <x:v>0.38663901592716077</x:v>
      </x:c>
      <x:c r="N586" s="6" t="str">
        <x:v>79.83410932816487</x:v>
      </x:c>
      <x:c r="O586" s="6" t="str">
        <x:v>4.305741431255455</x:v>
      </x:c>
      <x:c r="P586" s="6" t="str">
        <x:v>74.72643683230119</x:v>
      </x:c>
      <x:c r="Q586" s="6" t="str">
        <x:v>55.50851996612633</x:v>
      </x:c>
      <x:c r="R586" s="6" t="str">
        <x:v>0.6992150243025996</x:v>
      </x:c>
      <x:c r="S586" s="8" t="str">
        <x:v>1.808444040821595</x:v>
      </x:c>
      <x:c r="T586" s="6" t="str">
        <x:v>1.4682375772274412</x:v>
      </x:c>
      <x:c r="U586" s="8" t="str">
        <x:v>0.3409952967843071</x:v>
      </x:c>
      <x:c r="V586" s="6" t="str">
        <x:v>-4.054679850242906</x:v>
      </x:c>
      <x:c r="W586" s="8" t="str">
        <x:v>-0.07304608108299851</x:v>
      </x:c>
      <x:c r="X586" s="6" t="str">
        <x:v>1.336079598291155</x:v>
      </x:c>
      <x:c r="Y586" s="6" t="str">
        <x:v>1.6649847267396563</x:v>
      </x:c>
      <x:c r="Z586" s="6" t="str">
        <x:v>1.6031694552841351</x:v>
      </x:c>
      <x:c r="AA586" s="6" t="str">
        <x:v>0.8603663849841138</x:v>
      </x:c>
      <x:c r="AB586" s="6" t="str">
        <x:v>0.6371356100157072</x:v>
      </x:c>
      <x:c r="AC586" s="6" t="str">
        <x:v>0.6128324305947095</x:v>
      </x:c>
      <x:c r="AD586" s="6" t="str">
        <x:v>1.0407257888690131</x:v>
      </x:c>
      <x:c r="AE586" s="6" t="str">
        <x:v>1.2790045501779945</x:v>
      </x:c>
      <x:c r="AF586" s="6" t="str">
        <x:v>0.7488947526546698</x:v>
      </x:c>
      <x:c r="AG586" s="6" t="str">
        <x:v>0</x:v>
      </x:c>
      <x:c r="AH586" s="6" t="str">
        <x:v>1</x:v>
      </x:c>
      <x:c r="AI586" s="6" t="str">
        <x:v>2024-09</x:v>
      </x:c>
      <x:c r="AJ586" s="9" t="str">
        <x:v>NASA POWER (MERRA-2 meteorology)</x:v>
      </x:c>
      <x:c r="AK586" s="9" t="str">
        <x:v>Badan Informasi Geospasial (BIG)</x:v>
      </x:c>
      <x:c r="AL586" s="9" t="str">
        <x:v>https://power.larc.nasa.gov/docs/services/api/temporal/monthly/</x:v>
      </x:c>
      <x:c r="AM586" s="9" t="str">
        <x:v>https://geoservices.big.go.id/rbi/rest/services/BATASWILAYAH/BATAS_WILAYAH/MapServer/12</x:v>
      </x:c>
    </x:row>
    <x:row r="587" ht="18" customHeight="1">
      <x:c r="A587" s="6" t="str">
        <x:v>71</x:v>
      </x:c>
      <x:c r="B587" s="6" t="str">
        <x:v>SULAWESI UTARA</x:v>
      </x:c>
      <x:c r="C587" s="6" t="str">
        <x:v>2024</x:v>
      </x:c>
      <x:c r="D587" s="6" t="str">
        <x:v>10</x:v>
      </x:c>
      <x:c r="E587" s="6" t="str">
        <x:v>26.935371638563755</x:v>
      </x:c>
      <x:c r="F587" s="9" t="str">
        <x:v>grid_cells_within_BIG_polygon</x:v>
      </x:c>
      <x:c r="G587" s="6" t="str">
        <x:v>5</x:v>
      </x:c>
      <x:c r="H587" s="8" t="str">
        <x:v>80.95018436765035</x:v>
      </x:c>
      <x:c r="I587" s="6" t="str">
        <x:v>3.610340525347723</x:v>
      </x:c>
      <x:c r="J587" s="6" t="str">
        <x:v>31</x:v>
      </x:c>
      <x:c r="K587" s="6" t="str">
        <x:v>111.92055628577941</x:v>
      </x:c>
      <x:c r="L587" s="6" t="str">
        <x:v>26.40179336179076</x:v>
      </x:c>
      <x:c r="M587" s="6" t="str">
        <x:v>0.428892488414769</x:v>
      </x:c>
      <x:c r="N587" s="6" t="str">
        <x:v>78.08685502036583</x:v>
      </x:c>
      <x:c r="O587" s="6" t="str">
        <x:v>4.851289556066579</x:v>
      </x:c>
      <x:c r="P587" s="6" t="str">
        <x:v>123.77542208602293</x:v>
      </x:c>
      <x:c r="Q587" s="6" t="str">
        <x:v>73.14605118375135</x:v>
      </x:c>
      <x:c r="R587" s="6" t="str">
        <x:v>0.533578276772996</x:v>
      </x:c>
      <x:c r="S587" s="8" t="str">
        <x:v>1.2440839865140947</x:v>
      </x:c>
      <x:c r="T587" s="6" t="str">
        <x:v>2.8633293472845196</x:v>
      </x:c>
      <x:c r="U587" s="8" t="str">
        <x:v>0.590220252613844</x:v>
      </x:c>
      <x:c r="V587" s="6" t="str">
        <x:v>-11.854865800243516</x:v>
      </x:c>
      <x:c r="W587" s="8" t="str">
        <x:v>-0.16207116595348012</x:v>
      </x:c>
      <x:c r="X587" s="6" t="str">
        <x:v>1.808444040821595</x:v>
      </x:c>
      <x:c r="Y587" s="6" t="str">
        <x:v>1.336079598291155</x:v>
      </x:c>
      <x:c r="Z587" s="6" t="str">
        <x:v>1.4628692085422814</x:v>
      </x:c>
      <x:c r="AA587" s="6" t="str">
        <x:v>0.3409952967843071</x:v>
      </x:c>
      <x:c r="AB587" s="6" t="str">
        <x:v>0.8603663849841138</x:v>
      </x:c>
      <x:c r="AC587" s="6" t="str">
        <x:v>0.5971939781274218</x:v>
      </x:c>
      <x:c r="AD587" s="6" t="str">
        <x:v>-0.07304608108299851</x:v>
      </x:c>
      <x:c r="AE587" s="6" t="str">
        <x:v>1.0407257888690131</x:v>
      </x:c>
      <x:c r="AF587" s="6" t="str">
        <x:v>0.268536180610845</x:v>
      </x:c>
      <x:c r="AG587" s="6" t="str">
        <x:v>0</x:v>
      </x:c>
      <x:c r="AH587" s="6" t="str">
        <x:v>1</x:v>
      </x:c>
      <x:c r="AI587" s="6" t="str">
        <x:v>2024-10</x:v>
      </x:c>
      <x:c r="AJ587" s="9" t="str">
        <x:v>NASA POWER (MERRA-2 meteorology)</x:v>
      </x:c>
      <x:c r="AK587" s="9" t="str">
        <x:v>Badan Informasi Geospasial (BIG)</x:v>
      </x:c>
      <x:c r="AL587" s="9" t="str">
        <x:v>https://power.larc.nasa.gov/docs/services/api/temporal/monthly/</x:v>
      </x:c>
      <x:c r="AM587" s="9" t="str">
        <x:v>https://geoservices.big.go.id/rbi/rest/services/BATASWILAYAH/BATAS_WILAYAH/MapServer/12</x:v>
      </x:c>
    </x:row>
    <x:row r="588" ht="18" customHeight="1">
      <x:c r="A588" s="6" t="str">
        <x:v>71</x:v>
      </x:c>
      <x:c r="B588" s="6" t="str">
        <x:v>SULAWESI UTARA</x:v>
      </x:c>
      <x:c r="C588" s="6" t="str">
        <x:v>2024</x:v>
      </x:c>
      <x:c r="D588" s="6" t="str">
        <x:v>11</x:v>
      </x:c>
      <x:c r="E588" s="6" t="str">
        <x:v>27.077405066592224</x:v>
      </x:c>
      <x:c r="F588" s="9" t="str">
        <x:v>grid_cells_within_BIG_polygon</x:v>
      </x:c>
      <x:c r="G588" s="6" t="str">
        <x:v>5</x:v>
      </x:c>
      <x:c r="H588" s="8" t="str">
        <x:v>80.27452682065741</x:v>
      </x:c>
      <x:c r="I588" s="6" t="str">
        <x:v>4.492361547998889</x:v>
      </x:c>
      <x:c r="J588" s="6" t="str">
        <x:v>30</x:v>
      </x:c>
      <x:c r="K588" s="6" t="str">
        <x:v>134.77084643996668</x:v>
      </x:c>
      <x:c r="L588" s="6" t="str">
        <x:v>26.416822215454438</x:v>
      </x:c>
      <x:c r="M588" s="6" t="str">
        <x:v>0.4711747108116615</x:v>
      </x:c>
      <x:c r="N588" s="6" t="str">
        <x:v>80.44519288882866</x:v>
      </x:c>
      <x:c r="O588" s="6" t="str">
        <x:v>3.9248096480688743</x:v>
      </x:c>
      <x:c r="P588" s="6" t="str">
        <x:v>171.4044962756849</x:v>
      </x:c>
      <x:c r="Q588" s="6" t="str">
        <x:v>65.16120896161284</x:v>
      </x:c>
      <x:c r="R588" s="6" t="str">
        <x:v>0.6605828511377858</x:v>
      </x:c>
      <x:c r="S588" s="8" t="str">
        <x:v>1.4019913123092778</x:v>
      </x:c>
      <x:c r="T588" s="6" t="str">
        <x:v>-0.17066606817124352</x:v>
      </x:c>
      <x:c r="U588" s="8" t="str">
        <x:v>-0.04348390966048925</x:v>
      </x:c>
      <x:c r="V588" s="6" t="str">
        <x:v>-36.63364983571822</x:v>
      </x:c>
      <x:c r="W588" s="8" t="str">
        <x:v>-0.5622002786550429</x:v>
      </x:c>
      <x:c r="X588" s="6" t="str">
        <x:v>1.2440839865140947</x:v>
      </x:c>
      <x:c r="Y588" s="6" t="str">
        <x:v>1.808444040821595</x:v>
      </x:c>
      <x:c r="Z588" s="6" t="str">
        <x:v>1.4848397798816555</x:v>
      </x:c>
      <x:c r="AA588" s="6" t="str">
        <x:v>0.590220252613844</x:v>
      </x:c>
      <x:c r="AB588" s="6" t="str">
        <x:v>0.3409952967843071</x:v>
      </x:c>
      <x:c r="AC588" s="6" t="str">
        <x:v>0.29591054657922083</x:v>
      </x:c>
      <x:c r="AD588" s="6" t="str">
        <x:v>-0.16207116595348012</x:v>
      </x:c>
      <x:c r="AE588" s="6" t="str">
        <x:v>-0.07304608108299851</x:v>
      </x:c>
      <x:c r="AF588" s="6" t="str">
        <x:v>-0.2657725085638403</x:v>
      </x:c>
      <x:c r="AG588" s="6" t="str">
        <x:v>0</x:v>
      </x:c>
      <x:c r="AH588" s="6" t="str">
        <x:v>1</x:v>
      </x:c>
      <x:c r="AI588" s="6" t="str">
        <x:v>2024-11</x:v>
      </x:c>
      <x:c r="AJ588" s="9" t="str">
        <x:v>NASA POWER (MERRA-2 meteorology)</x:v>
      </x:c>
      <x:c r="AK588" s="9" t="str">
        <x:v>Badan Informasi Geospasial (BIG)</x:v>
      </x:c>
      <x:c r="AL588" s="9" t="str">
        <x:v>https://power.larc.nasa.gov/docs/services/api/temporal/monthly/</x:v>
      </x:c>
      <x:c r="AM588" s="9" t="str">
        <x:v>https://geoservices.big.go.id/rbi/rest/services/BATASWILAYAH/BATAS_WILAYAH/MapServer/12</x:v>
      </x:c>
    </x:row>
    <x:row r="589" ht="18" customHeight="1">
      <x:c r="A589" s="6" t="str">
        <x:v>71</x:v>
      </x:c>
      <x:c r="B589" s="6" t="str">
        <x:v>SULAWESI UTARA</x:v>
      </x:c>
      <x:c r="C589" s="6" t="str">
        <x:v>2024</x:v>
      </x:c>
      <x:c r="D589" s="6" t="str">
        <x:v>12</x:v>
      </x:c>
      <x:c r="E589" s="6" t="str">
        <x:v>26.497439726504943</x:v>
      </x:c>
      <x:c r="F589" s="9" t="str">
        <x:v>grid_cells_within_BIG_polygon</x:v>
      </x:c>
      <x:c r="G589" s="6" t="str">
        <x:v>5</x:v>
      </x:c>
      <x:c r="H589" s="8" t="str">
        <x:v>84.10823846661809</x:v>
      </x:c>
      <x:c r="I589" s="6" t="str">
        <x:v>6.839987944569027</x:v>
      </x:c>
      <x:c r="J589" s="6" t="str">
        <x:v>31</x:v>
      </x:c>
      <x:c r="K589" s="6" t="str">
        <x:v>212.03962628163984</x:v>
      </x:c>
      <x:c r="L589" s="6" t="str">
        <x:v>26.065562733629232</x:v>
      </x:c>
      <x:c r="M589" s="6" t="str">
        <x:v>0.4211256850428888</x:v>
      </x:c>
      <x:c r="N589" s="6" t="str">
        <x:v>82.98523962226949</x:v>
      </x:c>
      <x:c r="O589" s="6" t="str">
        <x:v>2.440074399919486</x:v>
      </x:c>
      <x:c r="P589" s="6" t="str">
        <x:v>188.2231104889139</x:v>
      </x:c>
      <x:c r="Q589" s="6" t="str">
        <x:v>69.00379969849345</x:v>
      </x:c>
      <x:c r="R589" s="6" t="str">
        <x:v>0.43187699287571135</x:v>
      </x:c>
      <x:c r="S589" s="8" t="str">
        <x:v>1.0255299266102176</x:v>
      </x:c>
      <x:c r="T589" s="6" t="str">
        <x:v>1.1229988443486008</x:v>
      </x:c>
      <x:c r="U589" s="8" t="str">
        <x:v>0.46023139474175695</x:v>
      </x:c>
      <x:c r="V589" s="6" t="str">
        <x:v>23.816515792725937</x:v>
      </x:c>
      <x:c r="W589" s="8" t="str">
        <x:v>0.345147888910325</x:v>
      </x:c>
      <x:c r="X589" s="6" t="str">
        <x:v>1.4019913123092778</x:v>
      </x:c>
      <x:c r="Y589" s="6" t="str">
        <x:v>1.2440839865140947</x:v>
      </x:c>
      <x:c r="Z589" s="6" t="str">
        <x:v>1.2238684084778633</x:v>
      </x:c>
      <x:c r="AA589" s="6" t="str">
        <x:v>-0.04348390966048925</x:v>
      </x:c>
      <x:c r="AB589" s="6" t="str">
        <x:v>0.590220252613844</x:v>
      </x:c>
      <x:c r="AC589" s="6" t="str">
        <x:v>0.3356559125650374</x:v>
      </x:c>
      <x:c r="AD589" s="6" t="str">
        <x:v>-0.5622002786550429</x:v>
      </x:c>
      <x:c r="AE589" s="6" t="str">
        <x:v>-0.16207116595348012</x:v>
      </x:c>
      <x:c r="AF589" s="6" t="str">
        <x:v>-0.12637451856606585</x:v>
      </x:c>
      <x:c r="AG589" s="6" t="str">
        <x:v>0</x:v>
      </x:c>
      <x:c r="AH589" s="6" t="str">
        <x:v>1</x:v>
      </x:c>
      <x:c r="AI589" s="6" t="str">
        <x:v>2024-12</x:v>
      </x:c>
      <x:c r="AJ589" s="9" t="str">
        <x:v>NASA POWER (MERRA-2 meteorology)</x:v>
      </x:c>
      <x:c r="AK589" s="9" t="str">
        <x:v>Badan Informasi Geospasial (BIG)</x:v>
      </x:c>
      <x:c r="AL589" s="9" t="str">
        <x:v>https://power.larc.nasa.gov/docs/services/api/temporal/monthly/</x:v>
      </x:c>
      <x:c r="AM589" s="9" t="str">
        <x:v>https://geoservices.big.go.id/rbi/rest/services/BATASWILAYAH/BATAS_WILAYAH/MapServer/12</x:v>
      </x:c>
    </x:row>
    <x:row r="590" ht="18" customHeight="1">
      <x:c r="A590" s="6" t="str">
        <x:v>71</x:v>
      </x:c>
      <x:c r="B590" s="6" t="str">
        <x:v>SULAWESI UTARA</x:v>
      </x:c>
      <x:c r="C590" s="6" t="str">
        <x:v>2025</x:v>
      </x:c>
      <x:c r="D590" s="6" t="str">
        <x:v>1</x:v>
      </x:c>
      <x:c r="E590" s="6" t="str">
        <x:v>26.16936643808066</x:v>
      </x:c>
      <x:c r="F590" s="9" t="str">
        <x:v>grid_cells_within_BIG_polygon</x:v>
      </x:c>
      <x:c r="G590" s="6" t="str">
        <x:v>5</x:v>
      </x:c>
      <x:c r="H590" s="8" t="str">
        <x:v>84.0945078295654</x:v>
      </x:c>
      <x:c r="I590" s="6" t="str">
        <x:v>7.660350502324576</x:v>
      </x:c>
      <x:c r="J590" s="6" t="str">
        <x:v>31</x:v>
      </x:c>
      <x:c r="K590" s="6" t="str">
        <x:v>237.47086557206185</x:v>
      </x:c>
      <x:c r="L590" s="6" t="str">
        <x:v>25.69350460933629</x:v>
      </x:c>
      <x:c r="M590" s="6" t="str">
        <x:v>0.4028253837464752</x:v>
      </x:c>
      <x:c r="N590" s="6" t="str">
        <x:v>83.48766706697486</x:v>
      </x:c>
      <x:c r="O590" s="6" t="str">
        <x:v>2.6948770923197762</x:v>
      </x:c>
      <x:c r="P590" s="6" t="str">
        <x:v>200.94319397076606</x:v>
      </x:c>
      <x:c r="Q590" s="6" t="str">
        <x:v>72.23367509615231</x:v>
      </x:c>
      <x:c r="R590" s="6" t="str">
        <x:v>0.475861828744371</x:v>
      </x:c>
      <x:c r="S590" s="8" t="str">
        <x:v>1.1813104336142395</x:v>
      </x:c>
      <x:c r="T590" s="6" t="str">
        <x:v>0.6068407625905365</x:v>
      </x:c>
      <x:c r="U590" s="8" t="str">
        <x:v>0.225183094368197</x:v>
      </x:c>
      <x:c r="V590" s="6" t="str">
        <x:v>36.52767160129579</x:v>
      </x:c>
      <x:c r="W590" s="8" t="str">
        <x:v>0.505687569581262</x:v>
      </x:c>
      <x:c r="X590" s="6" t="str">
        <x:v>1.0255299266102176</x:v>
      </x:c>
      <x:c r="Y590" s="6" t="str">
        <x:v>1.4019913123092778</x:v>
      </x:c>
      <x:c r="Z590" s="6" t="str">
        <x:v>1.2029438908445782</x:v>
      </x:c>
      <x:c r="AA590" s="6" t="str">
        <x:v>0.46023139474175695</x:v>
      </x:c>
      <x:c r="AB590" s="6" t="str">
        <x:v>-0.04348390966048925</x:v>
      </x:c>
      <x:c r="AC590" s="6" t="str">
        <x:v>0.2139768598164884</x:v>
      </x:c>
      <x:c r="AD590" s="6" t="str">
        <x:v>0.345147888910325</x:v>
      </x:c>
      <x:c r="AE590" s="6" t="str">
        <x:v>-0.5622002786550429</x:v>
      </x:c>
      <x:c r="AF590" s="6" t="str">
        <x:v>0.09621172661218154</x:v>
      </x:c>
      <x:c r="AG590" s="6" t="str">
        <x:v>0</x:v>
      </x:c>
      <x:c r="AH590" s="6" t="str">
        <x:v>1</x:v>
      </x:c>
      <x:c r="AI590" s="6" t="str">
        <x:v>2025-01</x:v>
      </x:c>
      <x:c r="AJ590" s="9" t="str">
        <x:v>NASA POWER (MERRA-2 meteorology)</x:v>
      </x:c>
      <x:c r="AK590" s="9" t="str">
        <x:v>Badan Informasi Geospasial (BIG)</x:v>
      </x:c>
      <x:c r="AL590" s="9" t="str">
        <x:v>https://power.larc.nasa.gov/docs/services/api/temporal/monthly/</x:v>
      </x:c>
      <x:c r="AM590" s="9" t="str">
        <x:v>https://geoservices.big.go.id/rbi/rest/services/BATASWILAYAH/BATAS_WILAYAH/MapServer/12</x:v>
      </x:c>
    </x:row>
    <x:row r="591" ht="18" customHeight="1">
      <x:c r="A591" s="6" t="str">
        <x:v>71</x:v>
      </x:c>
      <x:c r="B591" s="6" t="str">
        <x:v>SULAWESI UTARA</x:v>
      </x:c>
      <x:c r="C591" s="6" t="str">
        <x:v>2025</x:v>
      </x:c>
      <x:c r="D591" s="6" t="str">
        <x:v>2</x:v>
      </x:c>
      <x:c r="E591" s="6" t="str">
        <x:v>25.831356825070806</x:v>
      </x:c>
      <x:c r="F591" s="9" t="str">
        <x:v>grid_cells_within_BIG_polygon</x:v>
      </x:c>
      <x:c r="G591" s="6" t="str">
        <x:v>5</x:v>
      </x:c>
      <x:c r="H591" s="8" t="str">
        <x:v>84.19209768909184</x:v>
      </x:c>
      <x:c r="I591" s="6" t="str">
        <x:v>7.260298485867202</x:v>
      </x:c>
      <x:c r="J591" s="6" t="str">
        <x:v>28</x:v>
      </x:c>
      <x:c r="K591" s="6" t="str">
        <x:v>203.28835760428166</x:v>
      </x:c>
      <x:c r="L591" s="6" t="str">
        <x:v>25.659789389485084</x:v>
      </x:c>
      <x:c r="M591" s="6" t="str">
        <x:v>0.4502354006489845</x:v>
      </x:c>
      <x:c r="N591" s="6" t="str">
        <x:v>82.90947415753301</x:v>
      </x:c>
      <x:c r="O591" s="6" t="str">
        <x:v>3.240419636939233</x:v>
      </x:c>
      <x:c r="P591" s="6" t="str">
        <x:v>154.9635690542463</x:v>
      </x:c>
      <x:c r="Q591" s="6" t="str">
        <x:v>75.18127226759837</x:v>
      </x:c>
      <x:c r="R591" s="6" t="str">
        <x:v>0.17156743558572174</x:v>
      </x:c>
      <x:c r="S591" s="8" t="str">
        <x:v>0.3810616298461175</x:v>
      </x:c>
      <x:c r="T591" s="6" t="str">
        <x:v>1.2826235315588264</x:v>
      </x:c>
      <x:c r="U591" s="8" t="str">
        <x:v>0.39582019468637086</x:v>
      </x:c>
      <x:c r="V591" s="6" t="str">
        <x:v>48.32478855003535</x:v>
      </x:c>
      <x:c r="W591" s="8" t="str">
        <x:v>0.6427769455407629</x:v>
      </x:c>
      <x:c r="X591" s="6" t="str">
        <x:v>1.1813104336142395</x:v>
      </x:c>
      <x:c r="Y591" s="6" t="str">
        <x:v>1.0255299266102176</x:v>
      </x:c>
      <x:c r="Z591" s="6" t="str">
        <x:v>0.8626339966901914</x:v>
      </x:c>
      <x:c r="AA591" s="6" t="str">
        <x:v>0.225183094368197</x:v>
      </x:c>
      <x:c r="AB591" s="6" t="str">
        <x:v>0.46023139474175695</x:v>
      </x:c>
      <x:c r="AC591" s="6" t="str">
        <x:v>0.36041156126544177</x:v>
      </x:c>
      <x:c r="AD591" s="6" t="str">
        <x:v>0.505687569581262</x:v>
      </x:c>
      <x:c r="AE591" s="6" t="str">
        <x:v>0.345147888910325</x:v>
      </x:c>
      <x:c r="AF591" s="6" t="str">
        <x:v>0.4978708013441168</x:v>
      </x:c>
      <x:c r="AG591" s="6" t="str">
        <x:v>0</x:v>
      </x:c>
      <x:c r="AH591" s="6" t="str">
        <x:v>0</x:v>
      </x:c>
      <x:c r="AI591" s="6" t="str">
        <x:v>2025-02</x:v>
      </x:c>
      <x:c r="AJ591" s="9" t="str">
        <x:v>NASA POWER (MERRA-2 meteorology)</x:v>
      </x:c>
      <x:c r="AK591" s="9" t="str">
        <x:v>Badan Informasi Geospasial (BIG)</x:v>
      </x:c>
      <x:c r="AL591" s="9" t="str">
        <x:v>https://power.larc.nasa.gov/docs/services/api/temporal/monthly/</x:v>
      </x:c>
      <x:c r="AM591" s="9" t="str">
        <x:v>https://geoservices.big.go.id/rbi/rest/services/BATASWILAYAH/BATAS_WILAYAH/MapServer/12</x:v>
      </x:c>
    </x:row>
    <x:row r="592" ht="18" customHeight="1">
      <x:c r="A592" s="6" t="str">
        <x:v>71</x:v>
      </x:c>
      <x:c r="B592" s="6" t="str">
        <x:v>SULAWESI UTARA</x:v>
      </x:c>
      <x:c r="C592" s="6" t="str">
        <x:v>2025</x:v>
      </x:c>
      <x:c r="D592" s="6" t="str">
        <x:v>3</x:v>
      </x:c>
      <x:c r="E592" s="6" t="str">
        <x:v>26.235387717492156</x:v>
      </x:c>
      <x:c r="F592" s="9" t="str">
        <x:v>grid_cells_within_BIG_polygon</x:v>
      </x:c>
      <x:c r="G592" s="6" t="str">
        <x:v>5</x:v>
      </x:c>
      <x:c r="H592" s="8" t="str">
        <x:v>84.03249185737981</x:v>
      </x:c>
      <x:c r="I592" s="6" t="str">
        <x:v>9.531269895223671</x:v>
      </x:c>
      <x:c r="J592" s="6" t="str">
        <x:v>31</x:v>
      </x:c>
      <x:c r="K592" s="6" t="str">
        <x:v>295.4693667519338</x:v>
      </x:c>
      <x:c r="L592" s="6" t="str">
        <x:v>25.94176133807189</x:v>
      </x:c>
      <x:c r="M592" s="6" t="str">
        <x:v>0.46192511718996637</x:v>
      </x:c>
      <x:c r="N592" s="6" t="str">
        <x:v>81.7682992459879</x:v>
      </x:c>
      <x:c r="O592" s="6" t="str">
        <x:v>3.5299800009419666</x:v>
      </x:c>
      <x:c r="P592" s="6" t="str">
        <x:v>162.45168337239198</x:v>
      </x:c>
      <x:c r="Q592" s="6" t="str">
        <x:v>83.20064593554503</x:v>
      </x:c>
      <x:c r="R592" s="6" t="str">
        <x:v>0.29362637942026737</x:v>
      </x:c>
      <x:c r="S592" s="8" t="str">
        <x:v>0.6356579637983049</x:v>
      </x:c>
      <x:c r="T592" s="6" t="str">
        <x:v>2.2641926113919055</x:v>
      </x:c>
      <x:c r="U592" s="8" t="str">
        <x:v>0.6414179714297846</x:v>
      </x:c>
      <x:c r="V592" s="6" t="str">
        <x:v>133.01768337954184</x:v>
      </x:c>
      <x:c r="W592" s="8" t="str">
        <x:v>1.5987578207336242</x:v>
      </x:c>
      <x:c r="X592" s="6" t="str">
        <x:v>0.3810616298461175</x:v>
      </x:c>
      <x:c r="Y592" s="6" t="str">
        <x:v>1.1813104336142395</x:v>
      </x:c>
      <x:c r="Z592" s="6" t="str">
        <x:v>0.7326766757528871</x:v>
      </x:c>
      <x:c r="AA592" s="6" t="str">
        <x:v>0.39582019468637086</x:v>
      </x:c>
      <x:c r="AB592" s="6" t="str">
        <x:v>0.225183094368197</x:v>
      </x:c>
      <x:c r="AC592" s="6" t="str">
        <x:v>0.4208070868281177</x:v>
      </x:c>
      <x:c r="AD592" s="6" t="str">
        <x:v>0.6427769455407629</x:v>
      </x:c>
      <x:c r="AE592" s="6" t="str">
        <x:v>0.505687569581262</x:v>
      </x:c>
      <x:c r="AF592" s="6" t="str">
        <x:v>0.91574077861855</x:v>
      </x:c>
      <x:c r="AG592" s="6" t="str">
        <x:v>1</x:v>
      </x:c>
      <x:c r="AH592" s="6" t="str">
        <x:v>0</x:v>
      </x:c>
      <x:c r="AI592" s="6" t="str">
        <x:v>2025-03</x:v>
      </x:c>
      <x:c r="AJ592" s="9" t="str">
        <x:v>NASA POWER (MERRA-2 meteorology)</x:v>
      </x:c>
      <x:c r="AK592" s="9" t="str">
        <x:v>Badan Informasi Geospasial (BIG)</x:v>
      </x:c>
      <x:c r="AL592" s="9" t="str">
        <x:v>https://power.larc.nasa.gov/docs/services/api/temporal/monthly/</x:v>
      </x:c>
      <x:c r="AM592" s="9" t="str">
        <x:v>https://geoservices.big.go.id/rbi/rest/services/BATASWILAYAH/BATAS_WILAYAH/MapServer/12</x:v>
      </x:c>
    </x:row>
    <x:row r="593" ht="18" customHeight="1">
      <x:c r="A593" s="6" t="str">
        <x:v>71</x:v>
      </x:c>
      <x:c r="B593" s="6" t="str">
        <x:v>SULAWESI UTARA</x:v>
      </x:c>
      <x:c r="C593" s="6" t="str">
        <x:v>2025</x:v>
      </x:c>
      <x:c r="D593" s="6" t="str">
        <x:v>4</x:v>
      </x:c>
      <x:c r="E593" s="6" t="str">
        <x:v>26.355386574656205</x:v>
      </x:c>
      <x:c r="F593" s="9" t="str">
        <x:v>grid_cells_within_BIG_polygon</x:v>
      </x:c>
      <x:c r="G593" s="6" t="str">
        <x:v>5</x:v>
      </x:c>
      <x:c r="H593" s="8" t="str">
        <x:v>82.19028927996649</x:v>
      </x:c>
      <x:c r="I593" s="6" t="str">
        <x:v>7.880710631853953</x:v>
      </x:c>
      <x:c r="J593" s="6" t="str">
        <x:v>30</x:v>
      </x:c>
      <x:c r="K593" s="6" t="str">
        <x:v>236.42131895561857</x:v>
      </x:c>
      <x:c r="L593" s="6" t="str">
        <x:v>26.33612046034283</x:v>
      </x:c>
      <x:c r="M593" s="6" t="str">
        <x:v>0.47827111732021554</x:v>
      </x:c>
      <x:c r="N593" s="6" t="str">
        <x:v>81.38839862161578</x:v>
      </x:c>
      <x:c r="O593" s="6" t="str">
        <x:v>3.2185083823853664</x:v>
      </x:c>
      <x:c r="P593" s="6" t="str">
        <x:v>155.38542850855399</x:v>
      </x:c>
      <x:c r="Q593" s="6" t="str">
        <x:v>61.510766305454624</x:v>
      </x:c>
      <x:c r="R593" s="6" t="str">
        <x:v>0.01926611431337477</x:v>
      </x:c>
      <x:c r="S593" s="8" t="str">
        <x:v>0.0402828304191231</x:v>
      </x:c>
      <x:c r="T593" s="6" t="str">
        <x:v>0.8018906583507146</x:v>
      </x:c>
      <x:c r="U593" s="8" t="str">
        <x:v>0.24914978091696038</x:v>
      </x:c>
      <x:c r="V593" s="6" t="str">
        <x:v>81.03589044706459</x:v>
      </x:c>
      <x:c r="W593" s="8" t="str">
        <x:v>1.317426124146311</x:v>
      </x:c>
      <x:c r="X593" s="6" t="str">
        <x:v>0.6356579637983049</x:v>
      </x:c>
      <x:c r="Y593" s="6" t="str">
        <x:v>0.3810616298461175</x:v>
      </x:c>
      <x:c r="Z593" s="6" t="str">
        <x:v>0.3523341413545151</x:v>
      </x:c>
      <x:c r="AA593" s="6" t="str">
        <x:v>0.6414179714297846</x:v>
      </x:c>
      <x:c r="AB593" s="6" t="str">
        <x:v>0.39582019468637086</x:v>
      </x:c>
      <x:c r="AC593" s="6" t="str">
        <x:v>0.4287959823443721</x:v>
      </x:c>
      <x:c r="AD593" s="6" t="str">
        <x:v>1.5987578207336242</x:v>
      </x:c>
      <x:c r="AE593" s="6" t="str">
        <x:v>0.6427769455407629</x:v>
      </x:c>
      <x:c r="AF593" s="6" t="str">
        <x:v>1.1863202968068995</x:v>
      </x:c>
      <x:c r="AG593" s="6" t="str">
        <x:v>1</x:v>
      </x:c>
      <x:c r="AH593" s="6" t="str">
        <x:v>0</x:v>
      </x:c>
      <x:c r="AI593" s="6" t="str">
        <x:v>2025-04</x:v>
      </x:c>
      <x:c r="AJ593" s="9" t="str">
        <x:v>NASA POWER (MERRA-2 meteorology)</x:v>
      </x:c>
      <x:c r="AK593" s="9" t="str">
        <x:v>Badan Informasi Geospasial (BIG)</x:v>
      </x:c>
      <x:c r="AL593" s="9" t="str">
        <x:v>https://power.larc.nasa.gov/docs/services/api/temporal/monthly/</x:v>
      </x:c>
      <x:c r="AM593" s="9" t="str">
        <x:v>https://geoservices.big.go.id/rbi/rest/services/BATASWILAYAH/BATAS_WILAYAH/MapServer/12</x:v>
      </x:c>
    </x:row>
    <x:row r="594" ht="18" customHeight="1">
      <x:c r="A594" s="6" t="str">
        <x:v>71</x:v>
      </x:c>
      <x:c r="B594" s="6" t="str">
        <x:v>SULAWESI UTARA</x:v>
      </x:c>
      <x:c r="C594" s="6" t="str">
        <x:v>2025</x:v>
      </x:c>
      <x:c r="D594" s="6" t="str">
        <x:v>5</x:v>
      </x:c>
      <x:c r="E594" s="6" t="str">
        <x:v>26.67734336662075</x:v>
      </x:c>
      <x:c r="F594" s="9" t="str">
        <x:v>grid_cells_within_BIG_polygon</x:v>
      </x:c>
      <x:c r="G594" s="6" t="str">
        <x:v>5</x:v>
      </x:c>
      <x:c r="H594" s="8" t="str">
        <x:v>82.50316446346908</x:v>
      </x:c>
      <x:c r="I594" s="6" t="str">
        <x:v>6.749129427482949</x:v>
      </x:c>
      <x:c r="J594" s="6" t="str">
        <x:v>31</x:v>
      </x:c>
      <x:c r="K594" s="6" t="str">
        <x:v>209.22301225197143</x:v>
      </x:c>
      <x:c r="L594" s="6" t="str">
        <x:v>26.300971530352253</x:v>
      </x:c>
      <x:c r="M594" s="6" t="str">
        <x:v>0.4489340391250281</x:v>
      </x:c>
      <x:c r="N594" s="6" t="str">
        <x:v>83.08215501729832</x:v>
      </x:c>
      <x:c r="O594" s="6" t="str">
        <x:v>2.0222845052148624</x:v>
      </x:c>
      <x:c r="P594" s="6" t="str">
        <x:v>173.74945878344366</x:v>
      </x:c>
      <x:c r="Q594" s="6" t="str">
        <x:v>52.43717543664875</x:v>
      </x:c>
      <x:c r="R594" s="6" t="str">
        <x:v>0.3763718362684969</x:v>
      </x:c>
      <x:c r="S594" s="8" t="str">
        <x:v>0.8383677856151098</x:v>
      </x:c>
      <x:c r="T594" s="6" t="str">
        <x:v>-0.578990553829243</x:v>
      </x:c>
      <x:c r="U594" s="8" t="str">
        <x:v>-0.2863051921409677</x:v>
      </x:c>
      <x:c r="V594" s="6" t="str">
        <x:v>35.47355346852777</x:v>
      </x:c>
      <x:c r="W594" s="8" t="str">
        <x:v>0.6764962676409726</x:v>
      </x:c>
      <x:c r="X594" s="6" t="str">
        <x:v>0.0402828304191231</x:v>
      </x:c>
      <x:c r="Y594" s="6" t="str">
        <x:v>0.6356579637983049</x:v>
      </x:c>
      <x:c r="Z594" s="6" t="str">
        <x:v>0.5047695266108457</x:v>
      </x:c>
      <x:c r="AA594" s="6" t="str">
        <x:v>0.24914978091696038</x:v>
      </x:c>
      <x:c r="AB594" s="6" t="str">
        <x:v>0.6414179714297846</x:v>
      </x:c>
      <x:c r="AC594" s="6" t="str">
        <x:v>0.20142085340192595</x:v>
      </x:c>
      <x:c r="AD594" s="6" t="str">
        <x:v>1.317426124146311</x:v>
      </x:c>
      <x:c r="AE594" s="6" t="str">
        <x:v>1.5987578207336242</x:v>
      </x:c>
      <x:c r="AF594" s="6" t="str">
        <x:v>1.1975600708403027</x:v>
      </x:c>
      <x:c r="AG594" s="6" t="str">
        <x:v>0</x:v>
      </x:c>
      <x:c r="AH594" s="6" t="str">
        <x:v>0</x:v>
      </x:c>
      <x:c r="AI594" s="6" t="str">
        <x:v>2025-05</x:v>
      </x:c>
      <x:c r="AJ594" s="9" t="str">
        <x:v>NASA POWER (MERRA-2 meteorology)</x:v>
      </x:c>
      <x:c r="AK594" s="9" t="str">
        <x:v>Badan Informasi Geospasial (BIG)</x:v>
      </x:c>
      <x:c r="AL594" s="9" t="str">
        <x:v>https://power.larc.nasa.gov/docs/services/api/temporal/monthly/</x:v>
      </x:c>
      <x:c r="AM594" s="9" t="str">
        <x:v>https://geoservices.big.go.id/rbi/rest/services/BATASWILAYAH/BATAS_WILAYAH/MapServer/12</x:v>
      </x:c>
    </x:row>
    <x:row r="595" ht="18" customHeight="1">
      <x:c r="A595" s="6" t="str">
        <x:v>71</x:v>
      </x:c>
      <x:c r="B595" s="6" t="str">
        <x:v>SULAWESI UTARA</x:v>
      </x:c>
      <x:c r="C595" s="6" t="str">
        <x:v>2025</x:v>
      </x:c>
      <x:c r="D595" s="6" t="str">
        <x:v>6</x:v>
      </x:c>
      <x:c r="E595" s="6" t="str">
        <x:v>25.953269664629005</x:v>
      </x:c>
      <x:c r="F595" s="9" t="str">
        <x:v>grid_cells_within_BIG_polygon</x:v>
      </x:c>
      <x:c r="G595" s="6" t="str">
        <x:v>5</x:v>
      </x:c>
      <x:c r="H595" s="8" t="str">
        <x:v>84.20274395822833</x:v>
      </x:c>
      <x:c r="I595" s="6" t="str">
        <x:v>7.79792440583312</x:v>
      </x:c>
      <x:c r="J595" s="6" t="str">
        <x:v>30</x:v>
      </x:c>
      <x:c r="K595" s="6" t="str">
        <x:v>233.9377321749936</x:v>
      </x:c>
      <x:c r="L595" s="6" t="str">
        <x:v>25.7348931678679</x:v>
      </x:c>
      <x:c r="M595" s="6" t="str">
        <x:v>0.3330715360739926</x:v>
      </x:c>
      <x:c r="N595" s="6" t="str">
        <x:v>84.11444124188372</x:v>
      </x:c>
      <x:c r="O595" s="6" t="str">
        <x:v>1.9310294131754286</x:v>
      </x:c>
      <x:c r="P595" s="6" t="str">
        <x:v>179.11948431888305</x:v>
      </x:c>
      <x:c r="Q595" s="6" t="str">
        <x:v>68.30044084415368</x:v>
      </x:c>
      <x:c r="R595" s="6" t="str">
        <x:v>0.21837649676110615</x:v>
      </x:c>
      <x:c r="S595" s="8" t="str">
        <x:v>0.6556444280263964</x:v>
      </x:c>
      <x:c r="T595" s="6" t="str">
        <x:v>0.08830271634460019</x:v>
      </x:c>
      <x:c r="U595" s="8" t="str">
        <x:v>0.04572831244418654</x:v>
      </x:c>
      <x:c r="V595" s="6" t="str">
        <x:v>54.81824785611056</x:v>
      </x:c>
      <x:c r="W595" s="8" t="str">
        <x:v>0.8026045978413745</x:v>
      </x:c>
      <x:c r="X595" s="6" t="str">
        <x:v>0.8383677856151098</x:v>
      </x:c>
      <x:c r="Y595" s="6" t="str">
        <x:v>0.0402828304191231</x:v>
      </x:c>
      <x:c r="Z595" s="6" t="str">
        <x:v>0.511431681353543</x:v>
      </x:c>
      <x:c r="AA595" s="6" t="str">
        <x:v>-0.2863051921409677</x:v>
      </x:c>
      <x:c r="AB595" s="6" t="str">
        <x:v>0.24914978091696038</x:v>
      </x:c>
      <x:c r="AC595" s="6" t="str">
        <x:v>0.002857633740059882</x:v>
      </x:c>
      <x:c r="AD595" s="6" t="str">
        <x:v>0.6764962676409726</x:v>
      </x:c>
      <x:c r="AE595" s="6" t="str">
        <x:v>1.317426124146311</x:v>
      </x:c>
      <x:c r="AF595" s="6" t="str">
        <x:v>0.9321756632095529</x:v>
      </x:c>
      <x:c r="AG595" s="6" t="str">
        <x:v>0</x:v>
      </x:c>
      <x:c r="AH595" s="6" t="str">
        <x:v>0</x:v>
      </x:c>
      <x:c r="AI595" s="6" t="str">
        <x:v>2025-06</x:v>
      </x:c>
      <x:c r="AJ595" s="9" t="str">
        <x:v>NASA POWER (MERRA-2 meteorology)</x:v>
      </x:c>
      <x:c r="AK595" s="9" t="str">
        <x:v>Badan Informasi Geospasial (BIG)</x:v>
      </x:c>
      <x:c r="AL595" s="9" t="str">
        <x:v>https://power.larc.nasa.gov/docs/services/api/temporal/monthly/</x:v>
      </x:c>
      <x:c r="AM595" s="9" t="str">
        <x:v>https://geoservices.big.go.id/rbi/rest/services/BATASWILAYAH/BATAS_WILAYAH/MapServer/12</x:v>
      </x:c>
    </x:row>
    <x:row r="596" ht="18" customHeight="1">
      <x:c r="A596" s="6" t="str">
        <x:v>71</x:v>
      </x:c>
      <x:c r="B596" s="6" t="str">
        <x:v>SULAWESI UTARA</x:v>
      </x:c>
      <x:c r="C596" s="6" t="str">
        <x:v>2025</x:v>
      </x:c>
      <x:c r="D596" s="6" t="str">
        <x:v>7</x:v>
      </x:c>
      <x:c r="E596" s="6" t="str">
        <x:v>25.743135305760088</x:v>
      </x:c>
      <x:c r="F596" s="9" t="str">
        <x:v>grid_cells_within_BIG_polygon</x:v>
      </x:c>
      <x:c r="G596" s="6" t="str">
        <x:v>5</x:v>
      </x:c>
      <x:c r="H596" s="8" t="str">
        <x:v>85.00704639047697</x:v>
      </x:c>
      <x:c r="I596" s="6" t="str">
        <x:v>4.833569471623593</x:v>
      </x:c>
      <x:c r="J596" s="6" t="str">
        <x:v>31</x:v>
      </x:c>
      <x:c r="K596" s="6" t="str">
        <x:v>149.84065362033138</x:v>
      </x:c>
      <x:c r="L596" s="6" t="str">
        <x:v>25.238420006114026</x:v>
      </x:c>
      <x:c r="M596" s="6" t="str">
        <x:v>0.3344270789946227</x:v>
      </x:c>
      <x:c r="N596" s="6" t="str">
        <x:v>84.62476531913393</x:v>
      </x:c>
      <x:c r="O596" s="6" t="str">
        <x:v>1.488261299845952</x:v>
      </x:c>
      <x:c r="P596" s="6" t="str">
        <x:v>139.06781940296815</x:v>
      </x:c>
      <x:c r="Q596" s="6" t="str">
        <x:v>73.74747076134055</x:v>
      </x:c>
      <x:c r="R596" s="6" t="str">
        <x:v>0.5047152996460618</x:v>
      </x:c>
      <x:c r="S596" s="8" t="str">
        <x:v>1.5091938761758499</x:v>
      </x:c>
      <x:c r="T596" s="6" t="str">
        <x:v>0.38228107134304423</x:v>
      </x:c>
      <x:c r="U596" s="8" t="str">
        <x:v>0.2568642155665901</x:v>
      </x:c>
      <x:c r="V596" s="6" t="str">
        <x:v>10.772834217363226</x:v>
      </x:c>
      <x:c r="W596" s="8" t="str">
        <x:v>0.14607733805849374</x:v>
      </x:c>
      <x:c r="X596" s="6" t="str">
        <x:v>0.6556444280263964</x:v>
      </x:c>
      <x:c r="Y596" s="6" t="str">
        <x:v>0.8383677856151098</x:v>
      </x:c>
      <x:c r="Z596" s="6" t="str">
        <x:v>1.0010686966057853</x:v>
      </x:c>
      <x:c r="AA596" s="6" t="str">
        <x:v>0.04572831244418654</x:v>
      </x:c>
      <x:c r="AB596" s="6" t="str">
        <x:v>-0.2863051921409677</x:v>
      </x:c>
      <x:c r="AC596" s="6" t="str">
        <x:v>0.005429111956603126</x:v>
      </x:c>
      <x:c r="AD596" s="6" t="str">
        <x:v>0.8026045978413745</x:v>
      </x:c>
      <x:c r="AE596" s="6" t="str">
        <x:v>0.6764962676409726</x:v>
      </x:c>
      <x:c r="AF596" s="6" t="str">
        <x:v>0.5417260678469471</x:v>
      </x:c>
      <x:c r="AG596" s="6" t="str">
        <x:v>0</x:v>
      </x:c>
      <x:c r="AH596" s="6" t="str">
        <x:v>1</x:v>
      </x:c>
      <x:c r="AI596" s="6" t="str">
        <x:v>2025-07</x:v>
      </x:c>
      <x:c r="AJ596" s="9" t="str">
        <x:v>NASA POWER (MERRA-2 meteorology)</x:v>
      </x:c>
      <x:c r="AK596" s="9" t="str">
        <x:v>Badan Informasi Geospasial (BIG)</x:v>
      </x:c>
      <x:c r="AL596" s="9" t="str">
        <x:v>https://power.larc.nasa.gov/docs/services/api/temporal/monthly/</x:v>
      </x:c>
      <x:c r="AM596" s="9" t="str">
        <x:v>https://geoservices.big.go.id/rbi/rest/services/BATASWILAYAH/BATAS_WILAYAH/MapServer/12</x:v>
      </x:c>
    </x:row>
    <x:row r="597" ht="18" customHeight="1">
      <x:c r="A597" s="6" t="str">
        <x:v>71</x:v>
      </x:c>
      <x:c r="B597" s="6" t="str">
        <x:v>SULAWESI UTARA</x:v>
      </x:c>
      <x:c r="C597" s="6" t="str">
        <x:v>2025</x:v>
      </x:c>
      <x:c r="D597" s="6" t="str">
        <x:v>8</x:v>
      </x:c>
      <x:c r="E597" s="6" t="str">
        <x:v>25.29115451453082</x:v>
      </x:c>
      <x:c r="F597" s="9" t="str">
        <x:v>grid_cells_within_BIG_polygon</x:v>
      </x:c>
      <x:c r="G597" s="6" t="str">
        <x:v>5</x:v>
      </x:c>
      <x:c r="H597" s="8" t="str">
        <x:v>85.17915705013908</x:v>
      </x:c>
      <x:c r="I597" s="6" t="str">
        <x:v>5.291607516806628</x:v>
      </x:c>
      <x:c r="J597" s="6" t="str">
        <x:v>31</x:v>
      </x:c>
      <x:c r="K597" s="6" t="str">
        <x:v>164.03983302100545</x:v>
      </x:c>
      <x:c r="L597" s="6" t="str">
        <x:v>25.289027594558057</x:v>
      </x:c>
      <x:c r="M597" s="6" t="str">
        <x:v>0.3414142360707499</x:v>
      </x:c>
      <x:c r="N597" s="6" t="str">
        <x:v>82.92529132980589</x:v>
      </x:c>
      <x:c r="O597" s="6" t="str">
        <x:v>3.2031660540415436</x:v>
      </x:c>
      <x:c r="P597" s="6" t="str">
        <x:v>84.84706417917745</x:v>
      </x:c>
      <x:c r="Q597" s="6" t="str">
        <x:v>60.38193267877362</x:v>
      </x:c>
      <x:c r="R597" s="6" t="str">
        <x:v>0.0021269199727633747</x:v>
      </x:c>
      <x:c r="S597" s="8" t="str">
        <x:v>0.006229734287713245</x:v>
      </x:c>
      <x:c r="T597" s="6" t="str">
        <x:v>2.253865720333195</x:v>
      </x:c>
      <x:c r="U597" s="8" t="str">
        <x:v>0.7036368649978093</x:v>
      </x:c>
      <x:c r="V597" s="6" t="str">
        <x:v>79.192768841828</x:v>
      </x:c>
      <x:c r="W597" s="8" t="str">
        <x:v>1.3115308723741306</x:v>
      </x:c>
      <x:c r="X597" s="6" t="str">
        <x:v>1.5091938761758499</x:v>
      </x:c>
      <x:c r="Y597" s="6" t="str">
        <x:v>0.6556444280263964</x:v>
      </x:c>
      <x:c r="Z597" s="6" t="str">
        <x:v>0.7236893461633197</x:v>
      </x:c>
      <x:c r="AA597" s="6" t="str">
        <x:v>0.2568642155665901</x:v>
      </x:c>
      <x:c r="AB597" s="6" t="str">
        <x:v>0.04572831244418654</x:v>
      </x:c>
      <x:c r="AC597" s="6" t="str">
        <x:v>0.3354097976695288</x:v>
      </x:c>
      <x:c r="AD597" s="6" t="str">
        <x:v>0.14607733805849374</x:v>
      </x:c>
      <x:c r="AE597" s="6" t="str">
        <x:v>0.8026045978413745</x:v>
      </x:c>
      <x:c r="AF597" s="6" t="str">
        <x:v>0.7534042694246664</x:v>
      </x:c>
      <x:c r="AG597" s="6" t="str">
        <x:v>1</x:v>
      </x:c>
      <x:c r="AH597" s="6" t="str">
        <x:v>0</x:v>
      </x:c>
      <x:c r="AI597" s="6" t="str">
        <x:v>2025-08</x:v>
      </x:c>
      <x:c r="AJ597" s="9" t="str">
        <x:v>NASA POWER (MERRA-2 meteorology)</x:v>
      </x:c>
      <x:c r="AK597" s="9" t="str">
        <x:v>Badan Informasi Geospasial (BIG)</x:v>
      </x:c>
      <x:c r="AL597" s="9" t="str">
        <x:v>https://power.larc.nasa.gov/docs/services/api/temporal/monthly/</x:v>
      </x:c>
      <x:c r="AM597" s="9" t="str">
        <x:v>https://geoservices.big.go.id/rbi/rest/services/BATASWILAYAH/BATAS_WILAYAH/MapServer/12</x:v>
      </x:c>
    </x:row>
    <x:row r="598" ht="18" customHeight="1">
      <x:c r="A598" s="6" t="str">
        <x:v>71</x:v>
      </x:c>
      <x:c r="B598" s="6" t="str">
        <x:v>SULAWESI UTARA</x:v>
      </x:c>
      <x:c r="C598" s="6" t="str">
        <x:v>2025</x:v>
      </x:c>
      <x:c r="D598" s="6" t="str">
        <x:v>9</x:v>
      </x:c>
      <x:c r="E598" s="6" t="str">
        <x:v>25.79323310501767</x:v>
      </x:c>
      <x:c r="F598" s="9" t="str">
        <x:v>grid_cells_within_BIG_polygon</x:v>
      </x:c>
      <x:c r="G598" s="6" t="str">
        <x:v>5</x:v>
      </x:c>
      <x:c r="H598" s="8" t="str">
        <x:v>84.71322745892559</x:v>
      </x:c>
      <x:c r="I598" s="6" t="str">
        <x:v>4.860346258788318</x:v>
      </x:c>
      <x:c r="J598" s="6" t="str">
        <x:v>30</x:v>
      </x:c>
      <x:c r="K598" s="6" t="str">
        <x:v>145.81038776364954</x:v>
      </x:c>
      <x:c r="L598" s="6" t="str">
        <x:v>25.78606559360624</x:v>
      </x:c>
      <x:c r="M598" s="6" t="str">
        <x:v>0.38663901592716077</x:v>
      </x:c>
      <x:c r="N598" s="6" t="str">
        <x:v>79.83410932816487</x:v>
      </x:c>
      <x:c r="O598" s="6" t="str">
        <x:v>4.305741431255455</x:v>
      </x:c>
      <x:c r="P598" s="6" t="str">
        <x:v>74.72643683230119</x:v>
      </x:c>
      <x:c r="Q598" s="6" t="str">
        <x:v>55.50851996612633</x:v>
      </x:c>
      <x:c r="R598" s="6" t="str">
        <x:v>0.007167511411431349</x:v>
      </x:c>
      <x:c r="S598" s="8" t="str">
        <x:v>0.018537993105128433</x:v>
      </x:c>
      <x:c r="T598" s="6" t="str">
        <x:v>4.879118130760716</x:v>
      </x:c>
      <x:c r="U598" s="8" t="str">
        <x:v>1.133165613555684</x:v>
      </x:c>
      <x:c r="V598" s="6" t="str">
        <x:v>71.08395093134835</x:v>
      </x:c>
      <x:c r="W598" s="8" t="str">
        <x:v>1.2805953207674574</x:v>
      </x:c>
      <x:c r="X598" s="6" t="str">
        <x:v>0.006229734287713245</x:v>
      </x:c>
      <x:c r="Y598" s="6" t="str">
        <x:v>1.5091938761758499</x:v>
      </x:c>
      <x:c r="Z598" s="6" t="str">
        <x:v>0.511320534522897</x:v>
      </x:c>
      <x:c r="AA598" s="6" t="str">
        <x:v>0.7036368649978093</x:v>
      </x:c>
      <x:c r="AB598" s="6" t="str">
        <x:v>0.2568642155665901</x:v>
      </x:c>
      <x:c r="AC598" s="6" t="str">
        <x:v>0.697888898040028</x:v>
      </x:c>
      <x:c r="AD598" s="6" t="str">
        <x:v>1.3115308723741306</x:v>
      </x:c>
      <x:c r="AE598" s="6" t="str">
        <x:v>0.14607733805849374</x:v>
      </x:c>
      <x:c r="AF598" s="6" t="str">
        <x:v>0.9127345104000275</x:v>
      </x:c>
      <x:c r="AG598" s="6" t="str">
        <x:v>1</x:v>
      </x:c>
      <x:c r="AH598" s="6" t="str">
        <x:v>0</x:v>
      </x:c>
      <x:c r="AI598" s="6" t="str">
        <x:v>2025-09</x:v>
      </x:c>
      <x:c r="AJ598" s="9" t="str">
        <x:v>NASA POWER (MERRA-2 meteorology)</x:v>
      </x:c>
      <x:c r="AK598" s="9" t="str">
        <x:v>Badan Informasi Geospasial (BIG)</x:v>
      </x:c>
      <x:c r="AL598" s="9" t="str">
        <x:v>https://power.larc.nasa.gov/docs/services/api/temporal/monthly/</x:v>
      </x:c>
      <x:c r="AM598" s="9" t="str">
        <x:v>https://geoservices.big.go.id/rbi/rest/services/BATASWILAYAH/BATAS_WILAYAH/MapServer/12</x:v>
      </x:c>
    </x:row>
    <x:row r="599" ht="18" customHeight="1">
      <x:c r="A599" s="6" t="str">
        <x:v>71</x:v>
      </x:c>
      <x:c r="B599" s="6" t="str">
        <x:v>SULAWESI UTARA</x:v>
      </x:c>
      <x:c r="C599" s="6" t="str">
        <x:v>2025</x:v>
      </x:c>
      <x:c r="D599" s="6" t="str">
        <x:v>10</x:v>
      </x:c>
      <x:c r="E599" s="6" t="str">
        <x:v>26.395325558819838</x:v>
      </x:c>
      <x:c r="F599" s="9" t="str">
        <x:v>grid_cells_within_BIG_polygon</x:v>
      </x:c>
      <x:c r="G599" s="6" t="str">
        <x:v>5</x:v>
      </x:c>
      <x:c r="H599" s="8" t="str">
        <x:v>80.62664999050621</x:v>
      </x:c>
      <x:c r="I599" s="6" t="str">
        <x:v>6.2104851052507195</x:v>
      </x:c>
      <x:c r="J599" s="6" t="str">
        <x:v>31</x:v>
      </x:c>
      <x:c r="K599" s="6" t="str">
        <x:v>192.5250382627723</x:v>
      </x:c>
      <x:c r="L599" s="6" t="str">
        <x:v>26.40179336179076</x:v>
      </x:c>
      <x:c r="M599" s="6" t="str">
        <x:v>0.428892488414769</x:v>
      </x:c>
      <x:c r="N599" s="6" t="str">
        <x:v>78.08685502036583</x:v>
      </x:c>
      <x:c r="O599" s="6" t="str">
        <x:v>4.851289556066579</x:v>
      </x:c>
      <x:c r="P599" s="6" t="str">
        <x:v>123.77542208602293</x:v>
      </x:c>
      <x:c r="Q599" s="6" t="str">
        <x:v>73.14605118375135</x:v>
      </x:c>
      <x:c r="R599" s="6" t="str">
        <x:v>-0.006467802970920644</x:v>
      </x:c>
      <x:c r="S599" s="8" t="str">
        <x:v>-0.015080243057709667</x:v>
      </x:c>
      <x:c r="T599" s="6" t="str">
        <x:v>2.5397949701403775</x:v>
      </x:c>
      <x:c r="U599" s="8" t="str">
        <x:v>0.5235298657785418</x:v>
      </x:c>
      <x:c r="V599" s="6" t="str">
        <x:v>68.74961617674938</x:v>
      </x:c>
      <x:c r="W599" s="8" t="str">
        <x:v>0.9398951148304969</x:v>
      </x:c>
      <x:c r="X599" s="6" t="str">
        <x:v>0.018537993105128433</x:v>
      </x:c>
      <x:c r="Y599" s="6" t="str">
        <x:v>0.006229734287713245</x:v>
      </x:c>
      <x:c r="Z599" s="6" t="str">
        <x:v>0.003229161445043856</x:v>
      </x:c>
      <x:c r="AA599" s="6" t="str">
        <x:v>1.133165613555684</x:v>
      </x:c>
      <x:c r="AB599" s="6" t="str">
        <x:v>0.7036368649978093</x:v>
      </x:c>
      <x:c r="AC599" s="6" t="str">
        <x:v>0.7867774481106785</x:v>
      </x:c>
      <x:c r="AD599" s="6" t="str">
        <x:v>1.2805953207674574</x:v>
      </x:c>
      <x:c r="AE599" s="6" t="str">
        <x:v>1.3115308723741306</x:v>
      </x:c>
      <x:c r="AF599" s="6" t="str">
        <x:v>1.1773404359906952</x:v>
      </x:c>
      <x:c r="AG599" s="6" t="str">
        <x:v>0</x:v>
      </x:c>
      <x:c r="AH599" s="6" t="str">
        <x:v>0</x:v>
      </x:c>
      <x:c r="AI599" s="6" t="str">
        <x:v>2025-10</x:v>
      </x:c>
      <x:c r="AJ599" s="9" t="str">
        <x:v>NASA POWER (MERRA-2 meteorology)</x:v>
      </x:c>
      <x:c r="AK599" s="9" t="str">
        <x:v>Badan Informasi Geospasial (BIG)</x:v>
      </x:c>
      <x:c r="AL599" s="9" t="str">
        <x:v>https://power.larc.nasa.gov/docs/services/api/temporal/monthly/</x:v>
      </x:c>
      <x:c r="AM599" s="9" t="str">
        <x:v>https://geoservices.big.go.id/rbi/rest/services/BATASWILAYAH/BATAS_WILAYAH/MapServer/12</x:v>
      </x:c>
    </x:row>
    <x:row r="600" ht="18" customHeight="1">
      <x:c r="A600" s="6" t="str">
        <x:v>71</x:v>
      </x:c>
      <x:c r="B600" s="6" t="str">
        <x:v>SULAWESI UTARA</x:v>
      </x:c>
      <x:c r="C600" s="6" t="str">
        <x:v>2025</x:v>
      </x:c>
      <x:c r="D600" s="6" t="str">
        <x:v>11</x:v>
      </x:c>
      <x:c r="E600" s="6" t="str">
        <x:v>26.505380632025336</x:v>
      </x:c>
      <x:c r="F600" s="9" t="str">
        <x:v>grid_cells_within_BIG_polygon</x:v>
      </x:c>
      <x:c r="G600" s="6" t="str">
        <x:v>5</x:v>
      </x:c>
      <x:c r="H600" s="8" t="str">
        <x:v>82.9701730513872</x:v>
      </x:c>
      <x:c r="I600" s="6" t="str">
        <x:v>6.760476356252079</x:v>
      </x:c>
      <x:c r="J600" s="6" t="str">
        <x:v>30</x:v>
      </x:c>
      <x:c r="K600" s="6" t="str">
        <x:v>202.81429068756236</x:v>
      </x:c>
      <x:c r="L600" s="6" t="str">
        <x:v>26.416822215454438</x:v>
      </x:c>
      <x:c r="M600" s="6" t="str">
        <x:v>0.4711747108116615</x:v>
      </x:c>
      <x:c r="N600" s="6" t="str">
        <x:v>80.44519288882866</x:v>
      </x:c>
      <x:c r="O600" s="6" t="str">
        <x:v>3.9248096480688743</x:v>
      </x:c>
      <x:c r="P600" s="6" t="str">
        <x:v>171.4044962756849</x:v>
      </x:c>
      <x:c r="Q600" s="6" t="str">
        <x:v>65.16120896161284</x:v>
      </x:c>
      <x:c r="R600" s="6" t="str">
        <x:v>0.08855841657089769</x:v>
      </x:c>
      <x:c r="S600" s="8" t="str">
        <x:v>0.18795239756892718</x:v>
      </x:c>
      <x:c r="T600" s="6" t="str">
        <x:v>2.524980162558549</x:v>
      </x:c>
      <x:c r="U600" s="8" t="str">
        <x:v>0.6433382479583223</x:v>
      </x:c>
      <x:c r="V600" s="6" t="str">
        <x:v>31.40979441187747</x:v>
      </x:c>
      <x:c r="W600" s="8" t="str">
        <x:v>0.48203210026967597</x:v>
      </x:c>
      <x:c r="X600" s="6" t="str">
        <x:v>-0.015080243057709667</x:v>
      </x:c>
      <x:c r="Y600" s="6" t="str">
        <x:v>0.018537993105128433</x:v>
      </x:c>
      <x:c r="Z600" s="6" t="str">
        <x:v>0.06380338253878183</x:v>
      </x:c>
      <x:c r="AA600" s="6" t="str">
        <x:v>0.5235298657785418</x:v>
      </x:c>
      <x:c r="AB600" s="6" t="str">
        <x:v>1.133165613555684</x:v>
      </x:c>
      <x:c r="AC600" s="6" t="str">
        <x:v>0.7666779090975161</x:v>
      </x:c>
      <x:c r="AD600" s="6" t="str">
        <x:v>0.9398951148304969</x:v>
      </x:c>
      <x:c r="AE600" s="6" t="str">
        <x:v>1.2805953207674574</x:v>
      </x:c>
      <x:c r="AF600" s="6" t="str">
        <x:v>0.9008408452892103</x:v>
      </x:c>
      <x:c r="AG600" s="6" t="str">
        <x:v>0</x:v>
      </x:c>
      <x:c r="AH600" s="6" t="str">
        <x:v>0</x:v>
      </x:c>
      <x:c r="AI600" s="6" t="str">
        <x:v>2025-11</x:v>
      </x:c>
      <x:c r="AJ600" s="9" t="str">
        <x:v>NASA POWER (MERRA-2 meteorology)</x:v>
      </x:c>
      <x:c r="AK600" s="9" t="str">
        <x:v>Badan Informasi Geospasial (BIG)</x:v>
      </x:c>
      <x:c r="AL600" s="9" t="str">
        <x:v>https://power.larc.nasa.gov/docs/services/api/temporal/monthly/</x:v>
      </x:c>
      <x:c r="AM600" s="9" t="str">
        <x:v>https://geoservices.big.go.id/rbi/rest/services/BATASWILAYAH/BATAS_WILAYAH/MapServer/12</x:v>
      </x:c>
    </x:row>
    <x:row r="601" ht="18" customHeight="1">
      <x:c r="A601" s="6" t="str">
        <x:v>71</x:v>
      </x:c>
      <x:c r="B601" s="6" t="str">
        <x:v>SULAWESI UTARA</x:v>
      </x:c>
      <x:c r="C601" s="6" t="str">
        <x:v>2025</x:v>
      </x:c>
      <x:c r="D601" s="6" t="str">
        <x:v>12</x:v>
      </x:c>
      <x:c r="E601" s="6" t="str">
        <x:v>26.14930618838938</x:v>
      </x:c>
      <x:c r="F601" s="9" t="str">
        <x:v>grid_cells_within_BIG_polygon</x:v>
      </x:c>
      <x:c r="G601" s="6" t="str">
        <x:v>5</x:v>
      </x:c>
      <x:c r="H601" s="8" t="str">
        <x:v>84.79037403847919</x:v>
      </x:c>
      <x:c r="I601" s="6" t="str">
        <x:v>6.444228003791747</x:v>
      </x:c>
      <x:c r="J601" s="6" t="str">
        <x:v>31</x:v>
      </x:c>
      <x:c r="K601" s="6" t="str">
        <x:v>199.77106811754416</x:v>
      </x:c>
      <x:c r="L601" s="6" t="str">
        <x:v>26.065562733629232</x:v>
      </x:c>
      <x:c r="M601" s="6" t="str">
        <x:v>0.4211256850428888</x:v>
      </x:c>
      <x:c r="N601" s="6" t="str">
        <x:v>82.98523962226949</x:v>
      </x:c>
      <x:c r="O601" s="6" t="str">
        <x:v>2.440074399919486</x:v>
      </x:c>
      <x:c r="P601" s="6" t="str">
        <x:v>188.2231104889139</x:v>
      </x:c>
      <x:c r="Q601" s="6" t="str">
        <x:v>69.00379969849345</x:v>
      </x:c>
      <x:c r="R601" s="6" t="str">
        <x:v>0.08374345476014966</x:v>
      </x:c>
      <x:c r="S601" s="8" t="str">
        <x:v>0.19885620311100463</x:v>
      </x:c>
      <x:c r="T601" s="6" t="str">
        <x:v>1.8051344162096967</x:v>
      </x:c>
      <x:c r="U601" s="8" t="str">
        <x:v>0.7397866295672213</x:v>
      </x:c>
      <x:c r="V601" s="6" t="str">
        <x:v>11.547957628630257</x:v>
      </x:c>
      <x:c r="W601" s="8" t="str">
        <x:v>0.167352488980145</x:v>
      </x:c>
      <x:c r="X601" s="6" t="str">
        <x:v>0.18795239756892718</x:v>
      </x:c>
      <x:c r="Y601" s="6" t="str">
        <x:v>-0.015080243057709667</x:v>
      </x:c>
      <x:c r="Z601" s="6" t="str">
        <x:v>0.12390945254074055</x:v>
      </x:c>
      <x:c r="AA601" s="6" t="str">
        <x:v>0.6433382479583223</x:v>
      </x:c>
      <x:c r="AB601" s="6" t="str">
        <x:v>0.5235298657785418</x:v>
      </x:c>
      <x:c r="AC601" s="6" t="str">
        <x:v>0.635551581101362</x:v>
      </x:c>
      <x:c r="AD601" s="6" t="str">
        <x:v>0.48203210026967597</x:v>
      </x:c>
      <x:c r="AE601" s="6" t="str">
        <x:v>0.9398951148304969</x:v>
      </x:c>
      <x:c r="AF601" s="6" t="str">
        <x:v>0.5297599013601062</x:v>
      </x:c>
      <x:c r="AG601" s="6" t="str">
        <x:v>0</x:v>
      </x:c>
      <x:c r="AH601" s="6" t="str">
        <x:v>0</x:v>
      </x:c>
      <x:c r="AI601" s="6" t="str">
        <x:v>2025-12</x:v>
      </x:c>
      <x:c r="AJ601" s="9" t="str">
        <x:v>NASA POWER (MERRA-2 meteorology)</x:v>
      </x:c>
      <x:c r="AK601" s="9" t="str">
        <x:v>Badan Informasi Geospasial (BIG)</x:v>
      </x:c>
      <x:c r="AL601" s="9" t="str">
        <x:v>https://power.larc.nasa.gov/docs/services/api/temporal/monthly/</x:v>
      </x:c>
      <x:c r="AM601" s="9" t="str">
        <x:v>https://geoservices.big.go.id/rbi/rest/services/BATASWILAYAH/BATAS_WILAYAH/MapServer/12</x:v>
      </x:c>
    </x:row>
    <x:row r="602" ht="18" customHeight="1">
      <x:c r="A602" s="6" t="str">
        <x:v>72</x:v>
      </x:c>
      <x:c r="B602" s="6" t="str">
        <x:v>SULAWESI TENGAH</x:v>
      </x:c>
      <x:c r="C602" s="6" t="str">
        <x:v>2024</x:v>
      </x:c>
      <x:c r="D602" s="6" t="str">
        <x:v>1</x:v>
      </x:c>
      <x:c r="E602" s="6" t="str">
        <x:v>24.78518483720717</x:v>
      </x:c>
      <x:c r="F602" s="9" t="str">
        <x:v>grid_cells_within_BIG_polygon</x:v>
      </x:c>
      <x:c r="G602" s="6" t="str">
        <x:v>16</x:v>
      </x:c>
      <x:c r="H602" s="8" t="str">
        <x:v>85.76465178228582</x:v>
      </x:c>
      <x:c r="I602" s="6" t="str">
        <x:v>6.701549296729917</x:v>
      </x:c>
      <x:c r="J602" s="6" t="str">
        <x:v>31</x:v>
      </x:c>
      <x:c r="K602" s="6" t="str">
        <x:v>207.74802819862742</x:v>
      </x:c>
      <x:c r="L602" s="6" t="str">
        <x:v>24.036858320886303</x:v>
      </x:c>
      <x:c r="M602" s="6" t="str">
        <x:v>0.43272774864191804</x:v>
      </x:c>
      <x:c r="N602" s="6" t="str">
        <x:v>86.39267931155727</x:v>
      </x:c>
      <x:c r="O602" s="6" t="str">
        <x:v>2.103324251346147</x:v>
      </x:c>
      <x:c r="P602" s="6" t="str">
        <x:v>183.89896461718484</x:v>
      </x:c>
      <x:c r="Q602" s="6" t="str">
        <x:v>75.00552068299882</x:v>
      </x:c>
      <x:c r="R602" s="6" t="str">
        <x:v>0.7483265163208657</x:v>
      </x:c>
      <x:c r="S602" s="8" t="str">
        <x:v>1.7293240811790542</x:v>
      </x:c>
      <x:c r="T602" s="6" t="str">
        <x:v>-0.6280275292714492</x:v>
      </x:c>
      <x:c r="U602" s="8" t="str">
        <x:v>-0.2985880702271681</x:v>
      </x:c>
      <x:c r="V602" s="6" t="str">
        <x:v>23.84906358144258</x:v>
      </x:c>
      <x:c r="W602" s="8" t="str">
        <x:v>0.3179641093651969</x:v>
      </x:c>
      <x:c r="X602" s="6" t="str">
        <x:v>2.3343888865220634</x:v>
      </x:c>
      <x:c r="Y602" s="6" t="str">
        <x:v>2.52284415984075</x:v>
      </x:c>
      <x:c r="Z602" s="6" t="str">
        <x:v>2.195519042513956</x:v>
      </x:c>
      <x:c r="AA602" s="6" t="str">
        <x:v>-0.5659405490456226</x:v>
      </x:c>
      <x:c r="AB602" s="6" t="str">
        <x:v>-0.2658572829047373</x:v>
      </x:c>
      <x:c r="AC602" s="6" t="str">
        <x:v>-0.37679530072584266</x:v>
      </x:c>
      <x:c r="AD602" s="6" t="str">
        <x:v>1.790862210230053</x:v>
      </x:c>
      <x:c r="AE602" s="6" t="str">
        <x:v>1.5623855264215818</x:v>
      </x:c>
      <x:c r="AF602" s="6" t="str">
        <x:v>1.2237372820056107</x:v>
      </x:c>
      <x:c r="AG602" s="6" t="str">
        <x:v>0</x:v>
      </x:c>
      <x:c r="AH602" s="6" t="str">
        <x:v>1</x:v>
      </x:c>
      <x:c r="AI602" s="6" t="str">
        <x:v>2024-01</x:v>
      </x:c>
      <x:c r="AJ602" s="9" t="str">
        <x:v>NASA POWER (MERRA-2 meteorology)</x:v>
      </x:c>
      <x:c r="AK602" s="9" t="str">
        <x:v>Badan Informasi Geospasial (BIG)</x:v>
      </x:c>
      <x:c r="AL602" s="9" t="str">
        <x:v>https://power.larc.nasa.gov/docs/services/api/temporal/monthly/</x:v>
      </x:c>
      <x:c r="AM602" s="9" t="str">
        <x:v>https://geoservices.big.go.id/rbi/rest/services/BATASWILAYAH/BATAS_WILAYAH/MapServer/12</x:v>
      </x:c>
    </x:row>
    <x:row r="603" ht="18" customHeight="1">
      <x:c r="A603" s="6" t="str">
        <x:v>72</x:v>
      </x:c>
      <x:c r="B603" s="6" t="str">
        <x:v>SULAWESI TENGAH</x:v>
      </x:c>
      <x:c r="C603" s="6" t="str">
        <x:v>2024</x:v>
      </x:c>
      <x:c r="D603" s="6" t="str">
        <x:v>2</x:v>
      </x:c>
      <x:c r="E603" s="6" t="str">
        <x:v>24.96018019511171</x:v>
      </x:c>
      <x:c r="F603" s="9" t="str">
        <x:v>grid_cells_within_BIG_polygon</x:v>
      </x:c>
      <x:c r="G603" s="6" t="str">
        <x:v>16</x:v>
      </x:c>
      <x:c r="H603" s="8" t="str">
        <x:v>85.6857692940588</x:v>
      </x:c>
      <x:c r="I603" s="6" t="str">
        <x:v>6.869147020073206</x:v>
      </x:c>
      <x:c r="J603" s="6" t="str">
        <x:v>29</x:v>
      </x:c>
      <x:c r="K603" s="6" t="str">
        <x:v>199.20526358212297</x:v>
      </x:c>
      <x:c r="L603" s="6" t="str">
        <x:v>24.055071005678972</x:v>
      </x:c>
      <x:c r="M603" s="6" t="str">
        <x:v>0.44624644208049224</x:v>
      </x:c>
      <x:c r="N603" s="6" t="str">
        <x:v>86.04096932370183</x:v>
      </x:c>
      <x:c r="O603" s="6" t="str">
        <x:v>2.4036533407384213</x:v>
      </x:c>
      <x:c r="P603" s="6" t="str">
        <x:v>159.5489135550203</x:v>
      </x:c>
      <x:c r="Q603" s="6" t="str">
        <x:v>65.36303339489396</x:v>
      </x:c>
      <x:c r="R603" s="6" t="str">
        <x:v>0.9051091894327392</x:v>
      </x:c>
      <x:c r="S603" s="8" t="str">
        <x:v>2.0282720579528544</x:v>
      </x:c>
      <x:c r="T603" s="6" t="str">
        <x:v>-0.3552000296430293</x:v>
      </x:c>
      <x:c r="U603" s="8" t="str">
        <x:v>-0.1477750654068565</x:v>
      </x:c>
      <x:c r="V603" s="6" t="str">
        <x:v>39.65635002710266</x:v>
      </x:c>
      <x:c r="W603" s="8" t="str">
        <x:v>0.6067091437987109</x:v>
      </x:c>
      <x:c r="X603" s="6" t="str">
        <x:v>1.7293240811790542</x:v>
      </x:c>
      <x:c r="Y603" s="6" t="str">
        <x:v>2.3343888865220634</x:v>
      </x:c>
      <x:c r="Z603" s="6" t="str">
        <x:v>2.0306616752179907</x:v>
      </x:c>
      <x:c r="AA603" s="6" t="str">
        <x:v>-0.2985880702271681</x:v>
      </x:c>
      <x:c r="AB603" s="6" t="str">
        <x:v>-0.5659405490456226</x:v>
      </x:c>
      <x:c r="AC603" s="6" t="str">
        <x:v>-0.3374345615598824</x:v>
      </x:c>
      <x:c r="AD603" s="6" t="str">
        <x:v>0.3179641093651969</x:v>
      </x:c>
      <x:c r="AE603" s="6" t="str">
        <x:v>1.790862210230053</x:v>
      </x:c>
      <x:c r="AF603" s="6" t="str">
        <x:v>0.9051784877979872</x:v>
      </x:c>
      <x:c r="AG603" s="6" t="str">
        <x:v>0</x:v>
      </x:c>
      <x:c r="AH603" s="6" t="str">
        <x:v>1</x:v>
      </x:c>
      <x:c r="AI603" s="6" t="str">
        <x:v>2024-02</x:v>
      </x:c>
      <x:c r="AJ603" s="9" t="str">
        <x:v>NASA POWER (MERRA-2 meteorology)</x:v>
      </x:c>
      <x:c r="AK603" s="9" t="str">
        <x:v>Badan Informasi Geospasial (BIG)</x:v>
      </x:c>
      <x:c r="AL603" s="9" t="str">
        <x:v>https://power.larc.nasa.gov/docs/services/api/temporal/monthly/</x:v>
      </x:c>
      <x:c r="AM603" s="9" t="str">
        <x:v>https://geoservices.big.go.id/rbi/rest/services/BATASWILAYAH/BATAS_WILAYAH/MapServer/12</x:v>
      </x:c>
    </x:row>
    <x:row r="604" ht="18" customHeight="1">
      <x:c r="A604" s="6" t="str">
        <x:v>72</x:v>
      </x:c>
      <x:c r="B604" s="6" t="str">
        <x:v>SULAWESI TENGAH</x:v>
      </x:c>
      <x:c r="C604" s="6" t="str">
        <x:v>2024</x:v>
      </x:c>
      <x:c r="D604" s="6" t="str">
        <x:v>3</x:v>
      </x:c>
      <x:c r="E604" s="6" t="str">
        <x:v>25.140214017363785</x:v>
      </x:c>
      <x:c r="F604" s="9" t="str">
        <x:v>grid_cells_within_BIG_polygon</x:v>
      </x:c>
      <x:c r="G604" s="6" t="str">
        <x:v>16</x:v>
      </x:c>
      <x:c r="H604" s="8" t="str">
        <x:v>86.20576374664775</x:v>
      </x:c>
      <x:c r="I604" s="6" t="str">
        <x:v>6.7332348915123585</x:v>
      </x:c>
      <x:c r="J604" s="6" t="str">
        <x:v>31</x:v>
      </x:c>
      <x:c r="K604" s="6" t="str">
        <x:v>208.73028163688312</x:v>
      </x:c>
      <x:c r="L604" s="6" t="str">
        <x:v>24.247783622712216</x:v>
      </x:c>
      <x:c r="M604" s="6" t="str">
        <x:v>0.4744825753805461</x:v>
      </x:c>
      <x:c r="N604" s="6" t="str">
        <x:v>85.83513335244966</x:v>
      </x:c>
      <x:c r="O604" s="6" t="str">
        <x:v>2.296388157001228</x:v>
      </x:c>
      <x:c r="P604" s="6" t="str">
        <x:v>202.28678550063398</x:v>
      </x:c>
      <x:c r="Q604" s="6" t="str">
        <x:v>77.89694914546358</x:v>
      </x:c>
      <x:c r="R604" s="6" t="str">
        <x:v>0.8924303946515693</x:v>
      </x:c>
      <x:c r="S604" s="8" t="str">
        <x:v>1.8808496685801774</x:v>
      </x:c>
      <x:c r="T604" s="6" t="str">
        <x:v>0.37063039419808774</x:v>
      </x:c>
      <x:c r="U604" s="8" t="str">
        <x:v>0.16139710225734696</x:v>
      </x:c>
      <x:c r="V604" s="6" t="str">
        <x:v>6.443496136249138</x:v>
      </x:c>
      <x:c r="W604" s="8" t="str">
        <x:v>0.0827182092101791</x:v>
      </x:c>
      <x:c r="X604" s="6" t="str">
        <x:v>2.0282720579528544</x:v>
      </x:c>
      <x:c r="Y604" s="6" t="str">
        <x:v>1.7293240811790542</x:v>
      </x:c>
      <x:c r="Z604" s="6" t="str">
        <x:v>1.879481935904029</x:v>
      </x:c>
      <x:c r="AA604" s="6" t="str">
        <x:v>-0.1477750654068565</x:v>
      </x:c>
      <x:c r="AB604" s="6" t="str">
        <x:v>-0.2985880702271681</x:v>
      </x:c>
      <x:c r="AC604" s="6" t="str">
        <x:v>-0.09498867779222588</x:v>
      </x:c>
      <x:c r="AD604" s="6" t="str">
        <x:v>0.6067091437987109</x:v>
      </x:c>
      <x:c r="AE604" s="6" t="str">
        <x:v>0.3179641093651969</x:v>
      </x:c>
      <x:c r="AF604" s="6" t="str">
        <x:v>0.3357971541246958</x:v>
      </x:c>
      <x:c r="AG604" s="6" t="str">
        <x:v>0</x:v>
      </x:c>
      <x:c r="AH604" s="6" t="str">
        <x:v>1</x:v>
      </x:c>
      <x:c r="AI604" s="6" t="str">
        <x:v>2024-03</x:v>
      </x:c>
      <x:c r="AJ604" s="9" t="str">
        <x:v>NASA POWER (MERRA-2 meteorology)</x:v>
      </x:c>
      <x:c r="AK604" s="9" t="str">
        <x:v>Badan Informasi Geospasial (BIG)</x:v>
      </x:c>
      <x:c r="AL604" s="9" t="str">
        <x:v>https://power.larc.nasa.gov/docs/services/api/temporal/monthly/</x:v>
      </x:c>
      <x:c r="AM604" s="9" t="str">
        <x:v>https://geoservices.big.go.id/rbi/rest/services/BATASWILAYAH/BATAS_WILAYAH/MapServer/12</x:v>
      </x:c>
    </x:row>
    <x:row r="605" ht="18" customHeight="1">
      <x:c r="A605" s="6" t="str">
        <x:v>72</x:v>
      </x:c>
      <x:c r="B605" s="6" t="str">
        <x:v>SULAWESI TENGAH</x:v>
      </x:c>
      <x:c r="C605" s="6" t="str">
        <x:v>2024</x:v>
      </x:c>
      <x:c r="D605" s="6" t="str">
        <x:v>4</x:v>
      </x:c>
      <x:c r="E605" s="6" t="str">
        <x:v>25.37962214299513</x:v>
      </x:c>
      <x:c r="F605" s="9" t="str">
        <x:v>grid_cells_within_BIG_polygon</x:v>
      </x:c>
      <x:c r="G605" s="6" t="str">
        <x:v>16</x:v>
      </x:c>
      <x:c r="H605" s="8" t="str">
        <x:v>86.39425503213026</x:v>
      </x:c>
      <x:c r="I605" s="6" t="str">
        <x:v>8.766962715830264</x:v>
      </x:c>
      <x:c r="J605" s="6" t="str">
        <x:v>30</x:v>
      </x:c>
      <x:c r="K605" s="6" t="str">
        <x:v>263.0088814749079</x:v>
      </x:c>
      <x:c r="L605" s="6" t="str">
        <x:v>24.443577795132224</x:v>
      </x:c>
      <x:c r="M605" s="6" t="str">
        <x:v>0.39188581670760114</x:v>
      </x:c>
      <x:c r="N605" s="6" t="str">
        <x:v>86.53186769270839</x:v>
      </x:c>
      <x:c r="O605" s="6" t="str">
        <x:v>1.7475675802986308</x:v>
      </x:c>
      <x:c r="P605" s="6" t="str">
        <x:v>214.10656343644766</x:v>
      </x:c>
      <x:c r="Q605" s="6" t="str">
        <x:v>57.59264904273489</x:v>
      </x:c>
      <x:c r="R605" s="6" t="str">
        <x:v>0.9360443478629072</x:v>
      </x:c>
      <x:c r="S605" s="8" t="str">
        <x:v>2.3885639845989135</x:v>
      </x:c>
      <x:c r="T605" s="6" t="str">
        <x:v>-0.13761266057812804</x:v>
      </x:c>
      <x:c r="U605" s="8" t="str">
        <x:v>-0.0787452583405171</x:v>
      </x:c>
      <x:c r="V605" s="6" t="str">
        <x:v>48.902318038460265</x:v>
      </x:c>
      <x:c r="W605" s="8" t="str">
        <x:v>0.8491069407516535</x:v>
      </x:c>
      <x:c r="X605" s="6" t="str">
        <x:v>1.8808496685801774</x:v>
      </x:c>
      <x:c r="Y605" s="6" t="str">
        <x:v>2.0282720579528544</x:v>
      </x:c>
      <x:c r="Z605" s="6" t="str">
        <x:v>2.0992285703773153</x:v>
      </x:c>
      <x:c r="AA605" s="6" t="str">
        <x:v>0.16139710225734696</x:v>
      </x:c>
      <x:c r="AB605" s="6" t="str">
        <x:v>-0.1477750654068565</x:v>
      </x:c>
      <x:c r="AC605" s="6" t="str">
        <x:v>-0.021707740496675548</x:v>
      </x:c>
      <x:c r="AD605" s="6" t="str">
        <x:v>0.0827182092101791</x:v>
      </x:c>
      <x:c r="AE605" s="6" t="str">
        <x:v>0.6067091437987109</x:v>
      </x:c>
      <x:c r="AF605" s="6" t="str">
        <x:v>0.512844764586848</x:v>
      </x:c>
      <x:c r="AG605" s="6" t="str">
        <x:v>0</x:v>
      </x:c>
      <x:c r="AH605" s="6" t="str">
        <x:v>1</x:v>
      </x:c>
      <x:c r="AI605" s="6" t="str">
        <x:v>2024-04</x:v>
      </x:c>
      <x:c r="AJ605" s="9" t="str">
        <x:v>NASA POWER (MERRA-2 meteorology)</x:v>
      </x:c>
      <x:c r="AK605" s="9" t="str">
        <x:v>Badan Informasi Geospasial (BIG)</x:v>
      </x:c>
      <x:c r="AL605" s="9" t="str">
        <x:v>https://power.larc.nasa.gov/docs/services/api/temporal/monthly/</x:v>
      </x:c>
      <x:c r="AM605" s="9" t="str">
        <x:v>https://geoservices.big.go.id/rbi/rest/services/BATASWILAYAH/BATAS_WILAYAH/MapServer/12</x:v>
      </x:c>
    </x:row>
    <x:row r="606" ht="18" customHeight="1">
      <x:c r="A606" s="6" t="str">
        <x:v>72</x:v>
      </x:c>
      <x:c r="B606" s="6" t="str">
        <x:v>SULAWESI TENGAH</x:v>
      </x:c>
      <x:c r="C606" s="6" t="str">
        <x:v>2024</x:v>
      </x:c>
      <x:c r="D606" s="6" t="str">
        <x:v>5</x:v>
      </x:c>
      <x:c r="E606" s="6" t="str">
        <x:v>25.337781256862055</x:v>
      </x:c>
      <x:c r="F606" s="9" t="str">
        <x:v>grid_cells_within_BIG_polygon</x:v>
      </x:c>
      <x:c r="G606" s="6" t="str">
        <x:v>16</x:v>
      </x:c>
      <x:c r="H606" s="8" t="str">
        <x:v>87.8006410710842</x:v>
      </x:c>
      <x:c r="I606" s="6" t="str">
        <x:v>11.361964479306252</x:v>
      </x:c>
      <x:c r="J606" s="6" t="str">
        <x:v>31</x:v>
      </x:c>
      <x:c r="K606" s="6" t="str">
        <x:v>352.2208988584938</x:v>
      </x:c>
      <x:c r="L606" s="6" t="str">
        <x:v>24.464039990471218</x:v>
      </x:c>
      <x:c r="M606" s="6" t="str">
        <x:v>0.3877616789796375</x:v>
      </x:c>
      <x:c r="N606" s="6" t="str">
        <x:v>87.16259486927896</x:v>
      </x:c>
      <x:c r="O606" s="6" t="str">
        <x:v>1.1463864154842174</x:v>
      </x:c>
      <x:c r="P606" s="6" t="str">
        <x:v>208.17727165300468</x:v>
      </x:c>
      <x:c r="Q606" s="6" t="str">
        <x:v>60.5755804544403</x:v>
      </x:c>
      <x:c r="R606" s="6" t="str">
        <x:v>0.8737412663908373</x:v>
      </x:c>
      <x:c r="S606" s="8" t="str">
        <x:v>2.2532945202063663</x:v>
      </x:c>
      <x:c r="T606" s="6" t="str">
        <x:v>0.6380462018052384</x:v>
      </x:c>
      <x:c r="U606" s="8" t="str">
        <x:v>0.5565716700644405</x:v>
      </x:c>
      <x:c r="V606" s="6" t="str">
        <x:v>144.04362720548912</x:v>
      </x:c>
      <x:c r="W606" s="8" t="str">
        <x:v>2.3779157562316096</x:v>
      </x:c>
      <x:c r="X606" s="6" t="str">
        <x:v>2.3885639845989135</x:v>
      </x:c>
      <x:c r="Y606" s="6" t="str">
        <x:v>1.8808496685801774</x:v>
      </x:c>
      <x:c r="Z606" s="6" t="str">
        <x:v>2.1742360577951523</x:v>
      </x:c>
      <x:c r="AA606" s="6" t="str">
        <x:v>-0.0787452583405171</x:v>
      </x:c>
      <x:c r="AB606" s="6" t="str">
        <x:v>0.16139710225734696</x:v>
      </x:c>
      <x:c r="AC606" s="6" t="str">
        <x:v>0.21307450466042346</x:v>
      </x:c>
      <x:c r="AD606" s="6" t="str">
        <x:v>0.8491069407516535</x:v>
      </x:c>
      <x:c r="AE606" s="6" t="str">
        <x:v>0.0827182092101791</x:v>
      </x:c>
      <x:c r="AF606" s="6" t="str">
        <x:v>1.1032469687311475</x:v>
      </x:c>
      <x:c r="AG606" s="6" t="str">
        <x:v>1</x:v>
      </x:c>
      <x:c r="AH606" s="6" t="str">
        <x:v>1</x:v>
      </x:c>
      <x:c r="AI606" s="6" t="str">
        <x:v>2024-05</x:v>
      </x:c>
      <x:c r="AJ606" s="9" t="str">
        <x:v>NASA POWER (MERRA-2 meteorology)</x:v>
      </x:c>
      <x:c r="AK606" s="9" t="str">
        <x:v>Badan Informasi Geospasial (BIG)</x:v>
      </x:c>
      <x:c r="AL606" s="9" t="str">
        <x:v>https://power.larc.nasa.gov/docs/services/api/temporal/monthly/</x:v>
      </x:c>
      <x:c r="AM606" s="9" t="str">
        <x:v>https://geoservices.big.go.id/rbi/rest/services/BATASWILAYAH/BATAS_WILAYAH/MapServer/12</x:v>
      </x:c>
    </x:row>
    <x:row r="607" ht="18" customHeight="1">
      <x:c r="A607" s="6" t="str">
        <x:v>72</x:v>
      </x:c>
      <x:c r="B607" s="6" t="str">
        <x:v>SULAWESI TENGAH</x:v>
      </x:c>
      <x:c r="C607" s="6" t="str">
        <x:v>2024</x:v>
      </x:c>
      <x:c r="D607" s="6" t="str">
        <x:v>6</x:v>
      </x:c>
      <x:c r="E607" s="6" t="str">
        <x:v>24.365279472281</x:v>
      </x:c>
      <x:c r="F607" s="9" t="str">
        <x:v>grid_cells_within_BIG_polygon</x:v>
      </x:c>
      <x:c r="G607" s="6" t="str">
        <x:v>16</x:v>
      </x:c>
      <x:c r="H607" s="8" t="str">
        <x:v>88.65445458424685</x:v>
      </x:c>
      <x:c r="I607" s="6" t="str">
        <x:v>10.965619384722592</x:v>
      </x:c>
      <x:c r="J607" s="6" t="str">
        <x:v>30</x:v>
      </x:c>
      <x:c r="K607" s="6" t="str">
        <x:v>328.96858154167774</x:v>
      </x:c>
      <x:c r="L607" s="6" t="str">
        <x:v>23.911305557251055</x:v>
      </x:c>
      <x:c r="M607" s="6" t="str">
        <x:v>0.3021037377884464</x:v>
      </x:c>
      <x:c r="N607" s="6" t="str">
        <x:v>87.7226813502827</x:v>
      </x:c>
      <x:c r="O607" s="6" t="str">
        <x:v>1.4939959421923301</x:v>
      </x:c>
      <x:c r="P607" s="6" t="str">
        <x:v>232.80982866992215</x:v>
      </x:c>
      <x:c r="Q607" s="6" t="str">
        <x:v>68.40289179752648</x:v>
      </x:c>
      <x:c r="R607" s="6" t="str">
        <x:v>0.45397391502994466</x:v>
      </x:c>
      <x:c r="S607" s="8" t="str">
        <x:v>1.5027086998435222</x:v>
      </x:c>
      <x:c r="T607" s="6" t="str">
        <x:v>0.9317732339641509</x:v>
      </x:c>
      <x:c r="U607" s="8" t="str">
        <x:v>0.6236785573840593</x:v>
      </x:c>
      <x:c r="V607" s="6" t="str">
        <x:v>96.15875287175558</x:v>
      </x:c>
      <x:c r="W607" s="8" t="str">
        <x:v>1.4057702875543163</x:v>
      </x:c>
      <x:c r="X607" s="6" t="str">
        <x:v>2.2532945202063663</x:v>
      </x:c>
      <x:c r="Y607" s="6" t="str">
        <x:v>2.3885639845989135</x:v>
      </x:c>
      <x:c r="Z607" s="6" t="str">
        <x:v>2.0481890682162676</x:v>
      </x:c>
      <x:c r="AA607" s="6" t="str">
        <x:v>0.5565716700644405</x:v>
      </x:c>
      <x:c r="AB607" s="6" t="str">
        <x:v>-0.0787452583405171</x:v>
      </x:c>
      <x:c r="AC607" s="6" t="str">
        <x:v>0.3671683230359943</x:v>
      </x:c>
      <x:c r="AD607" s="6" t="str">
        <x:v>2.3779157562316096</x:v>
      </x:c>
      <x:c r="AE607" s="6" t="str">
        <x:v>0.8491069407516535</x:v>
      </x:c>
      <x:c r="AF607" s="6" t="str">
        <x:v>1.5442643281791932</x:v>
      </x:c>
      <x:c r="AG607" s="6" t="str">
        <x:v>1</x:v>
      </x:c>
      <x:c r="AH607" s="6" t="str">
        <x:v>1</x:v>
      </x:c>
      <x:c r="AI607" s="6" t="str">
        <x:v>2024-06</x:v>
      </x:c>
      <x:c r="AJ607" s="9" t="str">
        <x:v>NASA POWER (MERRA-2 meteorology)</x:v>
      </x:c>
      <x:c r="AK607" s="9" t="str">
        <x:v>Badan Informasi Geospasial (BIG)</x:v>
      </x:c>
      <x:c r="AL607" s="9" t="str">
        <x:v>https://power.larc.nasa.gov/docs/services/api/temporal/monthly/</x:v>
      </x:c>
      <x:c r="AM607" s="9" t="str">
        <x:v>https://geoservices.big.go.id/rbi/rest/services/BATASWILAYAH/BATAS_WILAYAH/MapServer/12</x:v>
      </x:c>
    </x:row>
    <x:row r="608" ht="18" customHeight="1">
      <x:c r="A608" s="6" t="str">
        <x:v>72</x:v>
      </x:c>
      <x:c r="B608" s="6" t="str">
        <x:v>SULAWESI TENGAH</x:v>
      </x:c>
      <x:c r="C608" s="6" t="str">
        <x:v>2024</x:v>
      </x:c>
      <x:c r="D608" s="6" t="str">
        <x:v>7</x:v>
      </x:c>
      <x:c r="E608" s="6" t="str">
        <x:v>24.032177791445093</x:v>
      </x:c>
      <x:c r="F608" s="9" t="str">
        <x:v>grid_cells_within_BIG_polygon</x:v>
      </x:c>
      <x:c r="G608" s="6" t="str">
        <x:v>16</x:v>
      </x:c>
      <x:c r="H608" s="8" t="str">
        <x:v>88.16561302788102</x:v>
      </x:c>
      <x:c r="I608" s="6" t="str">
        <x:v>11.29814610986339</x:v>
      </x:c>
      <x:c r="J608" s="6" t="str">
        <x:v>31</x:v>
      </x:c>
      <x:c r="K608" s="6" t="str">
        <x:v>350.2425294057651</x:v>
      </x:c>
      <x:c r="L608" s="6" t="str">
        <x:v>23.547008245387858</x:v>
      </x:c>
      <x:c r="M608" s="6" t="str">
        <x:v>0.29491305346670144</x:v>
      </x:c>
      <x:c r="N608" s="6" t="str">
        <x:v>86.97313534735082</x:v>
      </x:c>
      <x:c r="O608" s="6" t="str">
        <x:v>1.4863105244112322</x:v>
      </x:c>
      <x:c r="P608" s="6" t="str">
        <x:v>176.50856230391358</x:v>
      </x:c>
      <x:c r="Q608" s="6" t="str">
        <x:v>73.41995456283061</x:v>
      </x:c>
      <x:c r="R608" s="6" t="str">
        <x:v>0.48516954605723583</x:v>
      </x:c>
      <x:c r="S608" s="8" t="str">
        <x:v>1.6451274040062667</x:v>
      </x:c>
      <x:c r="T608" s="6" t="str">
        <x:v>1.192477680530203</x:v>
      </x:c>
      <x:c r="U608" s="8" t="str">
        <x:v>0.8023072305180479</x:v>
      </x:c>
      <x:c r="V608" s="6" t="str">
        <x:v>173.7339671018515</x:v>
      </x:c>
      <x:c r="W608" s="8" t="str">
        <x:v>2.3663044758925196</x:v>
      </x:c>
      <x:c r="X608" s="6" t="str">
        <x:v>1.5027086998435222</x:v>
      </x:c>
      <x:c r="Y608" s="6" t="str">
        <x:v>2.2532945202063663</x:v>
      </x:c>
      <x:c r="Z608" s="6" t="str">
        <x:v>1.8003768746853852</x:v>
      </x:c>
      <x:c r="AA608" s="6" t="str">
        <x:v>0.6236785573840593</x:v>
      </x:c>
      <x:c r="AB608" s="6" t="str">
        <x:v>0.5565716700644405</x:v>
      </x:c>
      <x:c r="AC608" s="6" t="str">
        <x:v>0.6608524859888493</x:v>
      </x:c>
      <x:c r="AD608" s="6" t="str">
        <x:v>1.4057702875543163</x:v>
      </x:c>
      <x:c r="AE608" s="6" t="str">
        <x:v>2.3779157562316096</x:v>
      </x:c>
      <x:c r="AF608" s="6" t="str">
        <x:v>2.0499968398928154</x:v>
      </x:c>
      <x:c r="AG608" s="6" t="str">
        <x:v>1</x:v>
      </x:c>
      <x:c r="AH608" s="6" t="str">
        <x:v>1</x:v>
      </x:c>
      <x:c r="AI608" s="6" t="str">
        <x:v>2024-07</x:v>
      </x:c>
      <x:c r="AJ608" s="9" t="str">
        <x:v>NASA POWER (MERRA-2 meteorology)</x:v>
      </x:c>
      <x:c r="AK608" s="9" t="str">
        <x:v>Badan Informasi Geospasial (BIG)</x:v>
      </x:c>
      <x:c r="AL608" s="9" t="str">
        <x:v>https://power.larc.nasa.gov/docs/services/api/temporal/monthly/</x:v>
      </x:c>
      <x:c r="AM608" s="9" t="str">
        <x:v>https://geoservices.big.go.id/rbi/rest/services/BATASWILAYAH/BATAS_WILAYAH/MapServer/12</x:v>
      </x:c>
    </x:row>
    <x:row r="609" ht="18" customHeight="1">
      <x:c r="A609" s="6" t="str">
        <x:v>72</x:v>
      </x:c>
      <x:c r="B609" s="6" t="str">
        <x:v>SULAWESI TENGAH</x:v>
      </x:c>
      <x:c r="C609" s="6" t="str">
        <x:v>2024</x:v>
      </x:c>
      <x:c r="D609" s="6" t="str">
        <x:v>8</x:v>
      </x:c>
      <x:c r="E609" s="6" t="str">
        <x:v>24.123433302397146</x:v>
      </x:c>
      <x:c r="F609" s="9" t="str">
        <x:v>grid_cells_within_BIG_polygon</x:v>
      </x:c>
      <x:c r="G609" s="6" t="str">
        <x:v>16</x:v>
      </x:c>
      <x:c r="H609" s="8" t="str">
        <x:v>86.9969489164425</x:v>
      </x:c>
      <x:c r="I609" s="6" t="str">
        <x:v>6.271286163494311</x:v>
      </x:c>
      <x:c r="J609" s="6" t="str">
        <x:v>31</x:v>
      </x:c>
      <x:c r="K609" s="6" t="str">
        <x:v>194.40987106832364</x:v>
      </x:c>
      <x:c r="L609" s="6" t="str">
        <x:v>23.63127617581619</x:v>
      </x:c>
      <x:c r="M609" s="6" t="str">
        <x:v>0.31488531745845205</x:v>
      </x:c>
      <x:c r="N609" s="6" t="str">
        <x:v>85.08290141922558</x:v>
      </x:c>
      <x:c r="O609" s="6" t="str">
        <x:v>2.3987791929676905</x:v>
      </x:c>
      <x:c r="P609" s="6" t="str">
        <x:v>124.72380834489464</x:v>
      </x:c>
      <x:c r="Q609" s="6" t="str">
        <x:v>74.03353170698831</x:v>
      </x:c>
      <x:c r="R609" s="6" t="str">
        <x:v>0.4921571265809561</x:v>
      </x:c>
      <x:c r="S609" s="8" t="str">
        <x:v>1.562972610324692</x:v>
      </x:c>
      <x:c r="T609" s="6" t="str">
        <x:v>1.9140474972169272</x:v>
      </x:c>
      <x:c r="U609" s="8" t="str">
        <x:v>0.797925671036412</x:v>
      </x:c>
      <x:c r="V609" s="6" t="str">
        <x:v>69.686062723429</x:v>
      </x:c>
      <x:c r="W609" s="8" t="str">
        <x:v>0.941277028350264</x:v>
      </x:c>
      <x:c r="X609" s="6" t="str">
        <x:v>1.6451274040062667</x:v>
      </x:c>
      <x:c r="Y609" s="6" t="str">
        <x:v>1.5027086998435222</x:v>
      </x:c>
      <x:c r="Z609" s="6" t="str">
        <x:v>1.5702695713914936</x:v>
      </x:c>
      <x:c r="AA609" s="6" t="str">
        <x:v>0.8023072305180479</x:v>
      </x:c>
      <x:c r="AB609" s="6" t="str">
        <x:v>0.6236785573840593</x:v>
      </x:c>
      <x:c r="AC609" s="6" t="str">
        <x:v>0.7413038196461731</x:v>
      </x:c>
      <x:c r="AD609" s="6" t="str">
        <x:v>2.3663044758925196</x:v>
      </x:c>
      <x:c r="AE609" s="6" t="str">
        <x:v>1.4057702875543163</x:v>
      </x:c>
      <x:c r="AF609" s="6" t="str">
        <x:v>1.5711172639323667</x:v>
      </x:c>
      <x:c r="AG609" s="6" t="str">
        <x:v>0</x:v>
      </x:c>
      <x:c r="AH609" s="6" t="str">
        <x:v>1</x:v>
      </x:c>
      <x:c r="AI609" s="6" t="str">
        <x:v>2024-08</x:v>
      </x:c>
      <x:c r="AJ609" s="9" t="str">
        <x:v>NASA POWER (MERRA-2 meteorology)</x:v>
      </x:c>
      <x:c r="AK609" s="9" t="str">
        <x:v>Badan Informasi Geospasial (BIG)</x:v>
      </x:c>
      <x:c r="AL609" s="9" t="str">
        <x:v>https://power.larc.nasa.gov/docs/services/api/temporal/monthly/</x:v>
      </x:c>
      <x:c r="AM609" s="9" t="str">
        <x:v>https://geoservices.big.go.id/rbi/rest/services/BATASWILAYAH/BATAS_WILAYAH/MapServer/12</x:v>
      </x:c>
    </x:row>
    <x:row r="610" ht="18" customHeight="1">
      <x:c r="A610" s="6" t="str">
        <x:v>72</x:v>
      </x:c>
      <x:c r="B610" s="6" t="str">
        <x:v>SULAWESI TENGAH</x:v>
      </x:c>
      <x:c r="C610" s="6" t="str">
        <x:v>2024</x:v>
      </x:c>
      <x:c r="D610" s="6" t="str">
        <x:v>9</x:v>
      </x:c>
      <x:c r="E610" s="6" t="str">
        <x:v>24.841531720660182</x:v>
      </x:c>
      <x:c r="F610" s="9" t="str">
        <x:v>grid_cells_within_BIG_polygon</x:v>
      </x:c>
      <x:c r="G610" s="6" t="str">
        <x:v>16</x:v>
      </x:c>
      <x:c r="H610" s="8" t="str">
        <x:v>84.30330571060456</x:v>
      </x:c>
      <x:c r="I610" s="6" t="str">
        <x:v>2.6849763162210323</x:v>
      </x:c>
      <x:c r="J610" s="6" t="str">
        <x:v>30</x:v>
      </x:c>
      <x:c r="K610" s="6" t="str">
        <x:v>80.54928948663097</x:v>
      </x:c>
      <x:c r="L610" s="6" t="str">
        <x:v>24.040248720763476</x:v>
      </x:c>
      <x:c r="M610" s="6" t="str">
        <x:v>0.30505924821774505</x:v>
      </x:c>
      <x:c r="N610" s="6" t="str">
        <x:v>82.90823753169282</x:v>
      </x:c>
      <x:c r="O610" s="6" t="str">
        <x:v>3.313568181831415</x:v>
      </x:c>
      <x:c r="P610" s="6" t="str">
        <x:v>106.79842872649462</x:v>
      </x:c>
      <x:c r="Q610" s="6" t="str">
        <x:v>63.65292768980589</x:v>
      </x:c>
      <x:c r="R610" s="6" t="str">
        <x:v>0.8012829998967064</x:v>
      </x:c>
      <x:c r="S610" s="8" t="str">
        <x:v>2.6266471335586816</x:v>
      </x:c>
      <x:c r="T610" s="6" t="str">
        <x:v>1.3950681789117425</x:v>
      </x:c>
      <x:c r="U610" s="8" t="str">
        <x:v>0.4210168924729009</x:v>
      </x:c>
      <x:c r="V610" s="6" t="str">
        <x:v>-26.249139239863652</x:v>
      </x:c>
      <x:c r="W610" s="8" t="str">
        <x:v>-0.4123791346688911</x:v>
      </x:c>
      <x:c r="X610" s="6" t="str">
        <x:v>1.562972610324692</x:v>
      </x:c>
      <x:c r="Y610" s="6" t="str">
        <x:v>1.6451274040062667</x:v>
      </x:c>
      <x:c r="Z610" s="6" t="str">
        <x:v>1.9449157159632133</x:v>
      </x:c>
      <x:c r="AA610" s="6" t="str">
        <x:v>0.797925671036412</x:v>
      </x:c>
      <x:c r="AB610" s="6" t="str">
        <x:v>0.8023072305180479</x:v>
      </x:c>
      <x:c r="AC610" s="6" t="str">
        <x:v>0.6737499313424536</x:v>
      </x:c>
      <x:c r="AD610" s="6" t="str">
        <x:v>0.941277028350264</x:v>
      </x:c>
      <x:c r="AE610" s="6" t="str">
        <x:v>2.3663044758925196</x:v>
      </x:c>
      <x:c r="AF610" s="6" t="str">
        <x:v>0.9650674565246309</x:v>
      </x:c>
      <x:c r="AG610" s="6" t="str">
        <x:v>0</x:v>
      </x:c>
      <x:c r="AH610" s="6" t="str">
        <x:v>1</x:v>
      </x:c>
      <x:c r="AI610" s="6" t="str">
        <x:v>2024-09</x:v>
      </x:c>
      <x:c r="AJ610" s="9" t="str">
        <x:v>NASA POWER (MERRA-2 meteorology)</x:v>
      </x:c>
      <x:c r="AK610" s="9" t="str">
        <x:v>Badan Informasi Geospasial (BIG)</x:v>
      </x:c>
      <x:c r="AL610" s="9" t="str">
        <x:v>https://power.larc.nasa.gov/docs/services/api/temporal/monthly/</x:v>
      </x:c>
      <x:c r="AM610" s="9" t="str">
        <x:v>https://geoservices.big.go.id/rbi/rest/services/BATASWILAYAH/BATAS_WILAYAH/MapServer/12</x:v>
      </x:c>
    </x:row>
    <x:row r="611" ht="18" customHeight="1">
      <x:c r="A611" s="6" t="str">
        <x:v>72</x:v>
      </x:c>
      <x:c r="B611" s="6" t="str">
        <x:v>SULAWESI TENGAH</x:v>
      </x:c>
      <x:c r="C611" s="6" t="str">
        <x:v>2024</x:v>
      </x:c>
      <x:c r="D611" s="6" t="str">
        <x:v>10</x:v>
      </x:c>
      <x:c r="E611" s="6" t="str">
        <x:v>25.020249862904635</x:v>
      </x:c>
      <x:c r="F611" s="9" t="str">
        <x:v>grid_cells_within_BIG_polygon</x:v>
      </x:c>
      <x:c r="G611" s="6" t="str">
        <x:v>16</x:v>
      </x:c>
      <x:c r="H611" s="8" t="str">
        <x:v>84.16139418201463</x:v>
      </x:c>
      <x:c r="I611" s="6" t="str">
        <x:v>4.937282209891287</x:v>
      </x:c>
      <x:c r="J611" s="6" t="str">
        <x:v>31</x:v>
      </x:c>
      <x:c r="K611" s="6" t="str">
        <x:v>153.0557485066299</x:v>
      </x:c>
      <x:c r="L611" s="6" t="str">
        <x:v>24.552464890971958</x:v>
      </x:c>
      <x:c r="M611" s="6" t="str">
        <x:v>0.3463785102407817</x:v>
      </x:c>
      <x:c r="N611" s="6" t="str">
        <x:v>82.25327815350234</x:v>
      </x:c>
      <x:c r="O611" s="6" t="str">
        <x:v>4.2914323053901136</x:v>
      </x:c>
      <x:c r="P611" s="6" t="str">
        <x:v>144.68463532564607</x:v>
      </x:c>
      <x:c r="Q611" s="6" t="str">
        <x:v>90.24524209698995</x:v>
      </x:c>
      <x:c r="R611" s="6" t="str">
        <x:v>0.46778497193267654</x:v>
      </x:c>
      <x:c r="S611" s="8" t="str">
        <x:v>1.3505022918641816</x:v>
      </x:c>
      <x:c r="T611" s="6" t="str">
        <x:v>1.9081160285122962</x:v>
      </x:c>
      <x:c r="U611" s="8" t="str">
        <x:v>0.44463384080780427</x:v>
      </x:c>
      <x:c r="V611" s="6" t="str">
        <x:v>8.371113180983826</x:v>
      </x:c>
      <x:c r="W611" s="8" t="str">
        <x:v>0.09275960689414603</x:v>
      </x:c>
      <x:c r="X611" s="6" t="str">
        <x:v>2.6266471335586816</x:v>
      </x:c>
      <x:c r="Y611" s="6" t="str">
        <x:v>1.562972610324692</x:v>
      </x:c>
      <x:c r="Z611" s="6" t="str">
        <x:v>1.846707345249185</x:v>
      </x:c>
      <x:c r="AA611" s="6" t="str">
        <x:v>0.4210168924729009</x:v>
      </x:c>
      <x:c r="AB611" s="6" t="str">
        <x:v>0.797925671036412</x:v>
      </x:c>
      <x:c r="AC611" s="6" t="str">
        <x:v>0.5545254681057057</x:v>
      </x:c>
      <x:c r="AD611" s="6" t="str">
        <x:v>-0.4123791346688911</x:v>
      </x:c>
      <x:c r="AE611" s="6" t="str">
        <x:v>0.941277028350264</x:v>
      </x:c>
      <x:c r="AF611" s="6" t="str">
        <x:v>0.20721916685850647</x:v>
      </x:c>
      <x:c r="AG611" s="6" t="str">
        <x:v>0</x:v>
      </x:c>
      <x:c r="AH611" s="6" t="str">
        <x:v>1</x:v>
      </x:c>
      <x:c r="AI611" s="6" t="str">
        <x:v>2024-10</x:v>
      </x:c>
      <x:c r="AJ611" s="9" t="str">
        <x:v>NASA POWER (MERRA-2 meteorology)</x:v>
      </x:c>
      <x:c r="AK611" s="9" t="str">
        <x:v>Badan Informasi Geospasial (BIG)</x:v>
      </x:c>
      <x:c r="AL611" s="9" t="str">
        <x:v>https://power.larc.nasa.gov/docs/services/api/temporal/monthly/</x:v>
      </x:c>
      <x:c r="AM611" s="9" t="str">
        <x:v>https://geoservices.big.go.id/rbi/rest/services/BATASWILAYAH/BATAS_WILAYAH/MapServer/12</x:v>
      </x:c>
    </x:row>
    <x:row r="612" ht="18" customHeight="1">
      <x:c r="A612" s="6" t="str">
        <x:v>72</x:v>
      </x:c>
      <x:c r="B612" s="6" t="str">
        <x:v>SULAWESI TENGAH</x:v>
      </x:c>
      <x:c r="C612" s="6" t="str">
        <x:v>2024</x:v>
      </x:c>
      <x:c r="D612" s="6" t="str">
        <x:v>11</x:v>
      </x:c>
      <x:c r="E612" s="6" t="str">
        <x:v>25.195231391408097</x:v>
      </x:c>
      <x:c r="F612" s="9" t="str">
        <x:v>grid_cells_within_BIG_polygon</x:v>
      </x:c>
      <x:c r="G612" s="6" t="str">
        <x:v>16</x:v>
      </x:c>
      <x:c r="H612" s="8" t="str">
        <x:v>84.77710968556862</x:v>
      </x:c>
      <x:c r="I612" s="6" t="str">
        <x:v>4.922857575244144</x:v>
      </x:c>
      <x:c r="J612" s="6" t="str">
        <x:v>30</x:v>
      </x:c>
      <x:c r="K612" s="6" t="str">
        <x:v>147.68572725732434</x:v>
      </x:c>
      <x:c r="L612" s="6" t="str">
        <x:v>24.616220855061297</x:v>
      </x:c>
      <x:c r="M612" s="6" t="str">
        <x:v>0.3608119349335505</x:v>
      </x:c>
      <x:c r="N612" s="6" t="str">
        <x:v>84.38861356133174</x:v>
      </x:c>
      <x:c r="O612" s="6" t="str">
        <x:v>2.912263696457803</x:v>
      </x:c>
      <x:c r="P612" s="6" t="str">
        <x:v>156.70912079880912</x:v>
      </x:c>
      <x:c r="Q612" s="6" t="str">
        <x:v>54.39907494280334</x:v>
      </x:c>
      <x:c r="R612" s="6" t="str">
        <x:v>0.5790105363468001</x:v>
      </x:c>
      <x:c r="S612" s="8" t="str">
        <x:v>1.6047433033317884</x:v>
      </x:c>
      <x:c r="T612" s="6" t="str">
        <x:v>0.3884961242368803</x:v>
      </x:c>
      <x:c r="U612" s="8" t="str">
        <x:v>0.13340005052063436</x:v>
      </x:c>
      <x:c r="V612" s="6" t="str">
        <x:v>-9.02339354148478</x:v>
      </x:c>
      <x:c r="W612" s="8" t="str">
        <x:v>-0.1658740254493706</x:v>
      </x:c>
      <x:c r="X612" s="6" t="str">
        <x:v>1.3505022918641816</x:v>
      </x:c>
      <x:c r="Y612" s="6" t="str">
        <x:v>2.6266471335586816</x:v>
      </x:c>
      <x:c r="Z612" s="6" t="str">
        <x:v>1.8606309095848836</x:v>
      </x:c>
      <x:c r="AA612" s="6" t="str">
        <x:v>0.44463384080780427</x:v>
      </x:c>
      <x:c r="AB612" s="6" t="str">
        <x:v>0.4210168924729009</x:v>
      </x:c>
      <x:c r="AC612" s="6" t="str">
        <x:v>0.33301692793377985</x:v>
      </x:c>
      <x:c r="AD612" s="6" t="str">
        <x:v>0.09275960689414603</x:v>
      </x:c>
      <x:c r="AE612" s="6" t="str">
        <x:v>-0.4123791346688911</x:v>
      </x:c>
      <x:c r="AF612" s="6" t="str">
        <x:v>-0.16183118440803843</x:v>
      </x:c>
      <x:c r="AG612" s="6" t="str">
        <x:v>0</x:v>
      </x:c>
      <x:c r="AH612" s="6" t="str">
        <x:v>1</x:v>
      </x:c>
      <x:c r="AI612" s="6" t="str">
        <x:v>2024-11</x:v>
      </x:c>
      <x:c r="AJ612" s="9" t="str">
        <x:v>NASA POWER (MERRA-2 meteorology)</x:v>
      </x:c>
      <x:c r="AK612" s="9" t="str">
        <x:v>Badan Informasi Geospasial (BIG)</x:v>
      </x:c>
      <x:c r="AL612" s="9" t="str">
        <x:v>https://power.larc.nasa.gov/docs/services/api/temporal/monthly/</x:v>
      </x:c>
      <x:c r="AM612" s="9" t="str">
        <x:v>https://geoservices.big.go.id/rbi/rest/services/BATASWILAYAH/BATAS_WILAYAH/MapServer/12</x:v>
      </x:c>
    </x:row>
    <x:row r="613" ht="18" customHeight="1">
      <x:c r="A613" s="6" t="str">
        <x:v>72</x:v>
      </x:c>
      <x:c r="B613" s="6" t="str">
        <x:v>SULAWESI TENGAH</x:v>
      </x:c>
      <x:c r="C613" s="6" t="str">
        <x:v>2024</x:v>
      </x:c>
      <x:c r="D613" s="6" t="str">
        <x:v>12</x:v>
      </x:c>
      <x:c r="E613" s="6" t="str">
        <x:v>24.87332281447394</x:v>
      </x:c>
      <x:c r="F613" s="9" t="str">
        <x:v>grid_cells_within_BIG_polygon</x:v>
      </x:c>
      <x:c r="G613" s="6" t="str">
        <x:v>16</x:v>
      </x:c>
      <x:c r="H613" s="8" t="str">
        <x:v>85.8420534907512</x:v>
      </x:c>
      <x:c r="I613" s="6" t="str">
        <x:v>4.7709004013896505</x:v>
      </x:c>
      <x:c r="J613" s="6" t="str">
        <x:v>31</x:v>
      </x:c>
      <x:c r="K613" s="6" t="str">
        <x:v>147.89791244307918</x:v>
      </x:c>
      <x:c r="L613" s="6" t="str">
        <x:v>24.30543054086403</x:v>
      </x:c>
      <x:c r="M613" s="6" t="str">
        <x:v>0.4183786189309399</x:v>
      </x:c>
      <x:c r="N613" s="6" t="str">
        <x:v>86.29396887216849</x:v>
      </x:c>
      <x:c r="O613" s="6" t="str">
        <x:v>1.9261054436021925</x:v>
      </x:c>
      <x:c r="P613" s="6" t="str">
        <x:v>183.01997107870912</x:v>
      </x:c>
      <x:c r="Q613" s="6" t="str">
        <x:v>57.88131970186853</x:v>
      </x:c>
      <x:c r="R613" s="6" t="str">
        <x:v>0.5678922736099103</x:v>
      </x:c>
      <x:c r="S613" s="8" t="str">
        <x:v>1.3573644730244927</x:v>
      </x:c>
      <x:c r="T613" s="6" t="str">
        <x:v>-0.4519153814172938</x:v>
      </x:c>
      <x:c r="U613" s="8" t="str">
        <x:v>-0.2346265013259731</x:v>
      </x:c>
      <x:c r="V613" s="6" t="str">
        <x:v>-35.12205863562994</x:v>
      </x:c>
      <x:c r="W613" s="8" t="str">
        <x:v>-0.6067943650306254</x:v>
      </x:c>
      <x:c r="X613" s="6" t="str">
        <x:v>1.6047433033317884</x:v>
      </x:c>
      <x:c r="Y613" s="6" t="str">
        <x:v>1.3505022918641816</x:v>
      </x:c>
      <x:c r="Z613" s="6" t="str">
        <x:v>1.4375366894068209</x:v>
      </x:c>
      <x:c r="AA613" s="6" t="str">
        <x:v>0.13340005052063436</x:v>
      </x:c>
      <x:c r="AB613" s="6" t="str">
        <x:v>0.44463384080780427</x:v>
      </x:c>
      <x:c r="AC613" s="6" t="str">
        <x:v>0.11446913000082182</x:v>
      </x:c>
      <x:c r="AD613" s="6" t="str">
        <x:v>-0.1658740254493706</x:v>
      </x:c>
      <x:c r="AE613" s="6" t="str">
        <x:v>0.09275960689414603</x:v>
      </x:c>
      <x:c r="AF613" s="6" t="str">
        <x:v>-0.2266362611952832</x:v>
      </x:c>
      <x:c r="AG613" s="6" t="str">
        <x:v>0</x:v>
      </x:c>
      <x:c r="AH613" s="6" t="str">
        <x:v>1</x:v>
      </x:c>
      <x:c r="AI613" s="6" t="str">
        <x:v>2024-12</x:v>
      </x:c>
      <x:c r="AJ613" s="9" t="str">
        <x:v>NASA POWER (MERRA-2 meteorology)</x:v>
      </x:c>
      <x:c r="AK613" s="9" t="str">
        <x:v>Badan Informasi Geospasial (BIG)</x:v>
      </x:c>
      <x:c r="AL613" s="9" t="str">
        <x:v>https://power.larc.nasa.gov/docs/services/api/temporal/monthly/</x:v>
      </x:c>
      <x:c r="AM613" s="9" t="str">
        <x:v>https://geoservices.big.go.id/rbi/rest/services/BATASWILAYAH/BATAS_WILAYAH/MapServer/12</x:v>
      </x:c>
    </x:row>
    <x:row r="614" ht="18" customHeight="1">
      <x:c r="A614" s="6" t="str">
        <x:v>72</x:v>
      </x:c>
      <x:c r="B614" s="6" t="str">
        <x:v>SULAWESI TENGAH</x:v>
      </x:c>
      <x:c r="C614" s="6" t="str">
        <x:v>2025</x:v>
      </x:c>
      <x:c r="D614" s="6" t="str">
        <x:v>1</x:v>
      </x:c>
      <x:c r="E614" s="6" t="str">
        <x:v>24.40769242884266</x:v>
      </x:c>
      <x:c r="F614" s="9" t="str">
        <x:v>grid_cells_within_BIG_polygon</x:v>
      </x:c>
      <x:c r="G614" s="6" t="str">
        <x:v>16</x:v>
      </x:c>
      <x:c r="H614" s="8" t="str">
        <x:v>87.24645228444186</x:v>
      </x:c>
      <x:c r="I614" s="6" t="str">
        <x:v>8.028541745572129</x:v>
      </x:c>
      <x:c r="J614" s="6" t="str">
        <x:v>31</x:v>
      </x:c>
      <x:c r="K614" s="6" t="str">
        <x:v>248.884794112736</x:v>
      </x:c>
      <x:c r="L614" s="6" t="str">
        <x:v>24.036858320886303</x:v>
      </x:c>
      <x:c r="M614" s="6" t="str">
        <x:v>0.43272774864191804</x:v>
      </x:c>
      <x:c r="N614" s="6" t="str">
        <x:v>86.39267931155727</x:v>
      </x:c>
      <x:c r="O614" s="6" t="str">
        <x:v>2.103324251346147</x:v>
      </x:c>
      <x:c r="P614" s="6" t="str">
        <x:v>183.89896461718484</x:v>
      </x:c>
      <x:c r="Q614" s="6" t="str">
        <x:v>75.00552068299882</x:v>
      </x:c>
      <x:c r="R614" s="6" t="str">
        <x:v>0.37083410795635885</x:v>
      </x:c>
      <x:c r="S614" s="8" t="str">
        <x:v>0.8569686347136103</x:v>
      </x:c>
      <x:c r="T614" s="6" t="str">
        <x:v>0.8537729728845846</x:v>
      </x:c>
      <x:c r="U614" s="8" t="str">
        <x:v>0.40591600288836205</x:v>
      </x:c>
      <x:c r="V614" s="6" t="str">
        <x:v>64.98582949555114</x:v>
      </x:c>
      <x:c r="W614" s="8" t="str">
        <x:v>0.8664139506504512</x:v>
      </x:c>
      <x:c r="X614" s="6" t="str">
        <x:v>1.3573644730244927</x:v>
      </x:c>
      <x:c r="Y614" s="6" t="str">
        <x:v>1.6047433033317884</x:v>
      </x:c>
      <x:c r="Z614" s="6" t="str">
        <x:v>1.2730254703566306</x:v>
      </x:c>
      <x:c r="AA614" s="6" t="str">
        <x:v>-0.2346265013259731</x:v>
      </x:c>
      <x:c r="AB614" s="6" t="str">
        <x:v>0.13340005052063436</x:v>
      </x:c>
      <x:c r="AC614" s="6" t="str">
        <x:v>0.10156318402767443</x:v>
      </x:c>
      <x:c r="AD614" s="6" t="str">
        <x:v>-0.6067943650306254</x:v>
      </x:c>
      <x:c r="AE614" s="6" t="str">
        <x:v>-0.1658740254493706</x:v>
      </x:c>
      <x:c r="AF614" s="6" t="str">
        <x:v>0.03124852005681855</x:v>
      </x:c>
      <x:c r="AG614" s="6" t="str">
        <x:v>0</x:v>
      </x:c>
      <x:c r="AH614" s="6" t="str">
        <x:v>0</x:v>
      </x:c>
      <x:c r="AI614" s="6" t="str">
        <x:v>2025-01</x:v>
      </x:c>
      <x:c r="AJ614" s="9" t="str">
        <x:v>NASA POWER (MERRA-2 meteorology)</x:v>
      </x:c>
      <x:c r="AK614" s="9" t="str">
        <x:v>Badan Informasi Geospasial (BIG)</x:v>
      </x:c>
      <x:c r="AL614" s="9" t="str">
        <x:v>https://power.larc.nasa.gov/docs/services/api/temporal/monthly/</x:v>
      </x:c>
      <x:c r="AM614" s="9" t="str">
        <x:v>https://geoservices.big.go.id/rbi/rest/services/BATASWILAYAH/BATAS_WILAYAH/MapServer/12</x:v>
      </x:c>
    </x:row>
    <x:row r="615" ht="18" customHeight="1">
      <x:c r="A615" s="6" t="str">
        <x:v>72</x:v>
      </x:c>
      <x:c r="B615" s="6" t="str">
        <x:v>SULAWESI TENGAH</x:v>
      </x:c>
      <x:c r="C615" s="6" t="str">
        <x:v>2025</x:v>
      </x:c>
      <x:c r="D615" s="6" t="str">
        <x:v>2</x:v>
      </x:c>
      <x:c r="E615" s="6" t="str">
        <x:v>24.254567900168652</x:v>
      </x:c>
      <x:c r="F615" s="9" t="str">
        <x:v>grid_cells_within_BIG_polygon</x:v>
      </x:c>
      <x:c r="G615" s="6" t="str">
        <x:v>16</x:v>
      </x:c>
      <x:c r="H615" s="8" t="str">
        <x:v>85.66026417632472</x:v>
      </x:c>
      <x:c r="I615" s="6" t="str">
        <x:v>4.8528157312327505</x:v>
      </x:c>
      <x:c r="J615" s="6" t="str">
        <x:v>28</x:v>
      </x:c>
      <x:c r="K615" s="6" t="str">
        <x:v>135.878840474517</x:v>
      </x:c>
      <x:c r="L615" s="6" t="str">
        <x:v>24.055071005678972</x:v>
      </x:c>
      <x:c r="M615" s="6" t="str">
        <x:v>0.44624644208049224</x:v>
      </x:c>
      <x:c r="N615" s="6" t="str">
        <x:v>86.04096932370183</x:v>
      </x:c>
      <x:c r="O615" s="6" t="str">
        <x:v>2.4036533407384213</x:v>
      </x:c>
      <x:c r="P615" s="6" t="str">
        <x:v>159.5489135550203</x:v>
      </x:c>
      <x:c r="Q615" s="6" t="str">
        <x:v>65.36303339489396</x:v>
      </x:c>
      <x:c r="R615" s="6" t="str">
        <x:v>0.19949689448968044</x:v>
      </x:c>
      <x:c r="S615" s="8" t="str">
        <x:v>0.44705542874377907</x:v>
      </x:c>
      <x:c r="T615" s="6" t="str">
        <x:v>-0.3807051473771139</x:v>
      </x:c>
      <x:c r="U615" s="8" t="str">
        <x:v>-0.15838604549363108</x:v>
      </x:c>
      <x:c r="V615" s="6" t="str">
        <x:v>-23.6700730805033</x:v>
      </x:c>
      <x:c r="W615" s="8" t="str">
        <x:v>-0.3621324141659613</x:v>
      </x:c>
      <x:c r="X615" s="6" t="str">
        <x:v>0.8569686347136103</x:v>
      </x:c>
      <x:c r="Y615" s="6" t="str">
        <x:v>1.3573644730244927</x:v>
      </x:c>
      <x:c r="Z615" s="6" t="str">
        <x:v>0.8871295121606274</x:v>
      </x:c>
      <x:c r="AA615" s="6" t="str">
        <x:v>0.40591600288836205</x:v>
      </x:c>
      <x:c r="AB615" s="6" t="str">
        <x:v>-0.2346265013259731</x:v>
      </x:c>
      <x:c r="AC615" s="6" t="str">
        <x:v>0.00430115202291928</x:v>
      </x:c>
      <x:c r="AD615" s="6" t="str">
        <x:v>0.8664139506504512</x:v>
      </x:c>
      <x:c r="AE615" s="6" t="str">
        <x:v>-0.6067943650306254</x:v>
      </x:c>
      <x:c r="AF615" s="6" t="str">
        <x:v>-0.034170942848711694</x:v>
      </x:c>
      <x:c r="AG615" s="6" t="str">
        <x:v>0</x:v>
      </x:c>
      <x:c r="AH615" s="6" t="str">
        <x:v>0</x:v>
      </x:c>
      <x:c r="AI615" s="6" t="str">
        <x:v>2025-02</x:v>
      </x:c>
      <x:c r="AJ615" s="9" t="str">
        <x:v>NASA POWER (MERRA-2 meteorology)</x:v>
      </x:c>
      <x:c r="AK615" s="9" t="str">
        <x:v>Badan Informasi Geospasial (BIG)</x:v>
      </x:c>
      <x:c r="AL615" s="9" t="str">
        <x:v>https://power.larc.nasa.gov/docs/services/api/temporal/monthly/</x:v>
      </x:c>
      <x:c r="AM615" s="9" t="str">
        <x:v>https://geoservices.big.go.id/rbi/rest/services/BATASWILAYAH/BATAS_WILAYAH/MapServer/12</x:v>
      </x:c>
    </x:row>
    <x:row r="616" ht="18" customHeight="1">
      <x:c r="A616" s="6" t="str">
        <x:v>72</x:v>
      </x:c>
      <x:c r="B616" s="6" t="str">
        <x:v>SULAWESI TENGAH</x:v>
      </x:c>
      <x:c r="C616" s="6" t="str">
        <x:v>2025</x:v>
      </x:c>
      <x:c r="D616" s="6" t="str">
        <x:v>3</x:v>
      </x:c>
      <x:c r="E616" s="6" t="str">
        <x:v>24.4951917387791</x:v>
      </x:c>
      <x:c r="F616" s="9" t="str">
        <x:v>grid_cells_within_BIG_polygon</x:v>
      </x:c>
      <x:c r="G616" s="6" t="str">
        <x:v>16</x:v>
      </x:c>
      <x:c r="H616" s="8" t="str">
        <x:v>86.63092398085709</x:v>
      </x:c>
      <x:c r="I616" s="6" t="str">
        <x:v>8.6692588153255</x:v>
      </x:c>
      <x:c r="J616" s="6" t="str">
        <x:v>31</x:v>
      </x:c>
      <x:c r="K616" s="6" t="str">
        <x:v>268.7470232750905</x:v>
      </x:c>
      <x:c r="L616" s="6" t="str">
        <x:v>24.247783622712216</x:v>
      </x:c>
      <x:c r="M616" s="6" t="str">
        <x:v>0.4744825753805461</x:v>
      </x:c>
      <x:c r="N616" s="6" t="str">
        <x:v>85.83513335244966</x:v>
      </x:c>
      <x:c r="O616" s="6" t="str">
        <x:v>2.296388157001228</x:v>
      </x:c>
      <x:c r="P616" s="6" t="str">
        <x:v>202.28678550063398</x:v>
      </x:c>
      <x:c r="Q616" s="6" t="str">
        <x:v>77.89694914546358</x:v>
      </x:c>
      <x:c r="R616" s="6" t="str">
        <x:v>0.2474081160668824</x:v>
      </x:c>
      <x:c r="S616" s="8" t="str">
        <x:v>0.5214271901733278</x:v>
      </x:c>
      <x:c r="T616" s="6" t="str">
        <x:v>0.7957906284074312</x:v>
      </x:c>
      <x:c r="U616" s="8" t="str">
        <x:v>0.3465401203978625</x:v>
      </x:c>
      <x:c r="V616" s="6" t="str">
        <x:v>66.46023777445652</x:v>
      </x:c>
      <x:c r="W616" s="8" t="str">
        <x:v>0.8531815238405509</x:v>
      </x:c>
      <x:c r="X616" s="6" t="str">
        <x:v>0.44705542874377907</x:v>
      </x:c>
      <x:c r="Y616" s="6" t="str">
        <x:v>0.8569686347136103</x:v>
      </x:c>
      <x:c r="Z616" s="6" t="str">
        <x:v>0.6084837512102391</x:v>
      </x:c>
      <x:c r="AA616" s="6" t="str">
        <x:v>-0.15838604549363108</x:v>
      </x:c>
      <x:c r="AB616" s="6" t="str">
        <x:v>0.40591600288836205</x:v>
      </x:c>
      <x:c r="AC616" s="6" t="str">
        <x:v>0.1980233592641978</x:v>
      </x:c>
      <x:c r="AD616" s="6" t="str">
        <x:v>-0.3621324141659613</x:v>
      </x:c>
      <x:c r="AE616" s="6" t="str">
        <x:v>0.8664139506504512</x:v>
      </x:c>
      <x:c r="AF616" s="6" t="str">
        <x:v>0.4524876867750138</x:v>
      </x:c>
      <x:c r="AG616" s="6" t="str">
        <x:v>0</x:v>
      </x:c>
      <x:c r="AH616" s="6" t="str">
        <x:v>0</x:v>
      </x:c>
      <x:c r="AI616" s="6" t="str">
        <x:v>2025-03</x:v>
      </x:c>
      <x:c r="AJ616" s="9" t="str">
        <x:v>NASA POWER (MERRA-2 meteorology)</x:v>
      </x:c>
      <x:c r="AK616" s="9" t="str">
        <x:v>Badan Informasi Geospasial (BIG)</x:v>
      </x:c>
      <x:c r="AL616" s="9" t="str">
        <x:v>https://power.larc.nasa.gov/docs/services/api/temporal/monthly/</x:v>
      </x:c>
      <x:c r="AM616" s="9" t="str">
        <x:v>https://geoservices.big.go.id/rbi/rest/services/BATASWILAYAH/BATAS_WILAYAH/MapServer/12</x:v>
      </x:c>
    </x:row>
    <x:row r="617" ht="18" customHeight="1">
      <x:c r="A617" s="6" t="str">
        <x:v>72</x:v>
      </x:c>
      <x:c r="B617" s="6" t="str">
        <x:v>SULAWESI TENGAH</x:v>
      </x:c>
      <x:c r="C617" s="6" t="str">
        <x:v>2025</x:v>
      </x:c>
      <x:c r="D617" s="6" t="str">
        <x:v>4</x:v>
      </x:c>
      <x:c r="E617" s="6" t="str">
        <x:v>24.48833114482642</x:v>
      </x:c>
      <x:c r="F617" s="9" t="str">
        <x:v>grid_cells_within_BIG_polygon</x:v>
      </x:c>
      <x:c r="G617" s="6" t="str">
        <x:v>16</x:v>
      </x:c>
      <x:c r="H617" s="8" t="str">
        <x:v>85.87262241497378</x:v>
      </x:c>
      <x:c r="I617" s="6" t="str">
        <x:v>7.2277944013974444</x:v>
      </x:c>
      <x:c r="J617" s="6" t="str">
        <x:v>30</x:v>
      </x:c>
      <x:c r="K617" s="6" t="str">
        <x:v>216.83383204192333</x:v>
      </x:c>
      <x:c r="L617" s="6" t="str">
        <x:v>24.443577795132224</x:v>
      </x:c>
      <x:c r="M617" s="6" t="str">
        <x:v>0.39188581670760114</x:v>
      </x:c>
      <x:c r="N617" s="6" t="str">
        <x:v>86.53186769270839</x:v>
      </x:c>
      <x:c r="O617" s="6" t="str">
        <x:v>1.7475675802986308</x:v>
      </x:c>
      <x:c r="P617" s="6" t="str">
        <x:v>214.10656343644766</x:v>
      </x:c>
      <x:c r="Q617" s="6" t="str">
        <x:v>57.59264904273489</x:v>
      </x:c>
      <x:c r="R617" s="6" t="str">
        <x:v>0.0447533496941972</x:v>
      </x:c>
      <x:c r="S617" s="8" t="str">
        <x:v>0.11419997301813334</x:v>
      </x:c>
      <x:c r="T617" s="6" t="str">
        <x:v>-0.6592452777346125</x:v>
      </x:c>
      <x:c r="U617" s="8" t="str">
        <x:v>-0.3772359279072677</x:v>
      </x:c>
      <x:c r="V617" s="6" t="str">
        <x:v>2.727268605475672</x:v>
      </x:c>
      <x:c r="W617" s="8" t="str">
        <x:v>0.04735445670248618</x:v>
      </x:c>
      <x:c r="X617" s="6" t="str">
        <x:v>0.5214271901733278</x:v>
      </x:c>
      <x:c r="Y617" s="6" t="str">
        <x:v>0.44705542874377907</x:v>
      </x:c>
      <x:c r="Z617" s="6" t="str">
        <x:v>0.36089419731174677</x:v>
      </x:c>
      <x:c r="AA617" s="6" t="str">
        <x:v>0.3465401203978625</x:v>
      </x:c>
      <x:c r="AB617" s="6" t="str">
        <x:v>-0.15838604549363108</x:v>
      </x:c>
      <x:c r="AC617" s="6" t="str">
        <x:v>-0.06302728433434542</x:v>
      </x:c>
      <x:c r="AD617" s="6" t="str">
        <x:v>0.8531815238405509</x:v>
      </x:c>
      <x:c r="AE617" s="6" t="str">
        <x:v>-0.3621324141659613</x:v>
      </x:c>
      <x:c r="AF617" s="6" t="str">
        <x:v>0.1794678554590254</x:v>
      </x:c>
      <x:c r="AG617" s="6" t="str">
        <x:v>0</x:v>
      </x:c>
      <x:c r="AH617" s="6" t="str">
        <x:v>0</x:v>
      </x:c>
      <x:c r="AI617" s="6" t="str">
        <x:v>2025-04</x:v>
      </x:c>
      <x:c r="AJ617" s="9" t="str">
        <x:v>NASA POWER (MERRA-2 meteorology)</x:v>
      </x:c>
      <x:c r="AK617" s="9" t="str">
        <x:v>Badan Informasi Geospasial (BIG)</x:v>
      </x:c>
      <x:c r="AL617" s="9" t="str">
        <x:v>https://power.larc.nasa.gov/docs/services/api/temporal/monthly/</x:v>
      </x:c>
      <x:c r="AM617" s="9" t="str">
        <x:v>https://geoservices.big.go.id/rbi/rest/services/BATASWILAYAH/BATAS_WILAYAH/MapServer/12</x:v>
      </x:c>
    </x:row>
    <x:row r="618" ht="18" customHeight="1">
      <x:c r="A618" s="6" t="str">
        <x:v>72</x:v>
      </x:c>
      <x:c r="B618" s="6" t="str">
        <x:v>SULAWESI TENGAH</x:v>
      </x:c>
      <x:c r="C618" s="6" t="str">
        <x:v>2025</x:v>
      </x:c>
      <x:c r="D618" s="6" t="str">
        <x:v>5</x:v>
      </x:c>
      <x:c r="E618" s="6" t="str">
        <x:v>24.83713530515481</x:v>
      </x:c>
      <x:c r="F618" s="9" t="str">
        <x:v>grid_cells_within_BIG_polygon</x:v>
      </x:c>
      <x:c r="G618" s="6" t="str">
        <x:v>16</x:v>
      </x:c>
      <x:c r="H618" s="8" t="str">
        <x:v>86.39996865350312</x:v>
      </x:c>
      <x:c r="I618" s="6" t="str">
        <x:v>7.830955673839476</x:v>
      </x:c>
      <x:c r="J618" s="6" t="str">
        <x:v>31</x:v>
      </x:c>
      <x:c r="K618" s="6" t="str">
        <x:v>242.75962588902377</x:v>
      </x:c>
      <x:c r="L618" s="6" t="str">
        <x:v>24.464039990471218</x:v>
      </x:c>
      <x:c r="M618" s="6" t="str">
        <x:v>0.3877616789796375</x:v>
      </x:c>
      <x:c r="N618" s="6" t="str">
        <x:v>87.16259486927896</x:v>
      </x:c>
      <x:c r="O618" s="6" t="str">
        <x:v>1.1463864154842174</x:v>
      </x:c>
      <x:c r="P618" s="6" t="str">
        <x:v>208.17727165300468</x:v>
      </x:c>
      <x:c r="Q618" s="6" t="str">
        <x:v>60.5755804544403</x:v>
      </x:c>
      <x:c r="R618" s="6" t="str">
        <x:v>0.37309531468359225</x:v>
      </x:c>
      <x:c r="S618" s="8" t="str">
        <x:v>0.9621768599345903</x:v>
      </x:c>
      <x:c r="T618" s="6" t="str">
        <x:v>-0.762626215775839</x:v>
      </x:c>
      <x:c r="U618" s="8" t="str">
        <x:v>-0.6652435910571363</x:v>
      </x:c>
      <x:c r="V618" s="6" t="str">
        <x:v>34.582354236019086</x:v>
      </x:c>
      <x:c r="W618" s="8" t="str">
        <x:v>0.5708959613194121</x:v>
      </x:c>
      <x:c r="X618" s="6" t="str">
        <x:v>0.11419997301813334</x:v>
      </x:c>
      <x:c r="Y618" s="6" t="str">
        <x:v>0.5214271901733278</x:v>
      </x:c>
      <x:c r="Z618" s="6" t="str">
        <x:v>0.5326013410420172</x:v>
      </x:c>
      <x:c r="AA618" s="6" t="str">
        <x:v>-0.3772359279072677</x:v>
      </x:c>
      <x:c r="AB618" s="6" t="str">
        <x:v>0.3465401203978625</x:v>
      </x:c>
      <x:c r="AC618" s="6" t="str">
        <x:v>-0.23197979952218048</x:v>
      </x:c>
      <x:c r="AD618" s="6" t="str">
        <x:v>0.04735445670248618</x:v>
      </x:c>
      <x:c r="AE618" s="6" t="str">
        <x:v>0.8531815238405509</x:v>
      </x:c>
      <x:c r="AF618" s="6" t="str">
        <x:v>0.4904773139541499</x:v>
      </x:c>
      <x:c r="AG618" s="6" t="str">
        <x:v>0</x:v>
      </x:c>
      <x:c r="AH618" s="6" t="str">
        <x:v>0</x:v>
      </x:c>
      <x:c r="AI618" s="6" t="str">
        <x:v>2025-05</x:v>
      </x:c>
      <x:c r="AJ618" s="9" t="str">
        <x:v>NASA POWER (MERRA-2 meteorology)</x:v>
      </x:c>
      <x:c r="AK618" s="9" t="str">
        <x:v>Badan Informasi Geospasial (BIG)</x:v>
      </x:c>
      <x:c r="AL618" s="9" t="str">
        <x:v>https://power.larc.nasa.gov/docs/services/api/temporal/monthly/</x:v>
      </x:c>
      <x:c r="AM618" s="9" t="str">
        <x:v>https://geoservices.big.go.id/rbi/rest/services/BATASWILAYAH/BATAS_WILAYAH/MapServer/12</x:v>
      </x:c>
    </x:row>
    <x:row r="619" ht="18" customHeight="1">
      <x:c r="A619" s="6" t="str">
        <x:v>72</x:v>
      </x:c>
      <x:c r="B619" s="6" t="str">
        <x:v>SULAWESI TENGAH</x:v>
      </x:c>
      <x:c r="C619" s="6" t="str">
        <x:v>2025</x:v>
      </x:c>
      <x:c r="D619" s="6" t="str">
        <x:v>6</x:v>
      </x:c>
      <x:c r="E619" s="6" t="str">
        <x:v>24.05091383305776</x:v>
      </x:c>
      <x:c r="F619" s="9" t="str">
        <x:v>grid_cells_within_BIG_polygon</x:v>
      </x:c>
      <x:c r="G619" s="6" t="str">
        <x:v>16</x:v>
      </x:c>
      <x:c r="H619" s="8" t="str">
        <x:v>86.96867374773639</x:v>
      </x:c>
      <x:c r="I619" s="6" t="str">
        <x:v>6.854242846953978</x:v>
      </x:c>
      <x:c r="J619" s="6" t="str">
        <x:v>30</x:v>
      </x:c>
      <x:c r="K619" s="6" t="str">
        <x:v>205.62728540861934</x:v>
      </x:c>
      <x:c r="L619" s="6" t="str">
        <x:v>23.911305557251055</x:v>
      </x:c>
      <x:c r="M619" s="6" t="str">
        <x:v>0.3021037377884464</x:v>
      </x:c>
      <x:c r="N619" s="6" t="str">
        <x:v>87.7226813502827</x:v>
      </x:c>
      <x:c r="O619" s="6" t="str">
        <x:v>1.4939959421923301</x:v>
      </x:c>
      <x:c r="P619" s="6" t="str">
        <x:v>232.80982866992215</x:v>
      </x:c>
      <x:c r="Q619" s="6" t="str">
        <x:v>68.40289179752648</x:v>
      </x:c>
      <x:c r="R619" s="6" t="str">
        <x:v>0.13960827580670454</x:v>
      </x:c>
      <x:c r="S619" s="8" t="str">
        <x:v>0.46212031942639437</x:v>
      </x:c>
      <x:c r="T619" s="6" t="str">
        <x:v>-0.7540076025463094</x:v>
      </x:c>
      <x:c r="U619" s="8" t="str">
        <x:v>-0.5046918677970826</x:v>
      </x:c>
      <x:c r="V619" s="6" t="str">
        <x:v>-27.18254326130281</x:v>
      </x:c>
      <x:c r="W619" s="8" t="str">
        <x:v>-0.3973888025343069</x:v>
      </x:c>
      <x:c r="X619" s="6" t="str">
        <x:v>0.9621768599345903</x:v>
      </x:c>
      <x:c r="Y619" s="6" t="str">
        <x:v>0.11419997301813334</x:v>
      </x:c>
      <x:c r="Z619" s="6" t="str">
        <x:v>0.5128323841263727</x:v>
      </x:c>
      <x:c r="AA619" s="6" t="str">
        <x:v>-0.6652435910571363</x:v>
      </x:c>
      <x:c r="AB619" s="6" t="str">
        <x:v>-0.3772359279072677</x:v>
      </x:c>
      <x:c r="AC619" s="6" t="str">
        <x:v>-0.5157237955871622</x:v>
      </x:c>
      <x:c r="AD619" s="6" t="str">
        <x:v>0.5708959613194121</x:v>
      </x:c>
      <x:c r="AE619" s="6" t="str">
        <x:v>0.04735445670248618</x:v>
      </x:c>
      <x:c r="AF619" s="6" t="str">
        <x:v>0.07362053849586393</x:v>
      </x:c>
      <x:c r="AG619" s="6" t="str">
        <x:v>0</x:v>
      </x:c>
      <x:c r="AH619" s="6" t="str">
        <x:v>0</x:v>
      </x:c>
      <x:c r="AI619" s="6" t="str">
        <x:v>2025-06</x:v>
      </x:c>
      <x:c r="AJ619" s="9" t="str">
        <x:v>NASA POWER (MERRA-2 meteorology)</x:v>
      </x:c>
      <x:c r="AK619" s="9" t="str">
        <x:v>Badan Informasi Geospasial (BIG)</x:v>
      </x:c>
      <x:c r="AL619" s="9" t="str">
        <x:v>https://power.larc.nasa.gov/docs/services/api/temporal/monthly/</x:v>
      </x:c>
      <x:c r="AM619" s="9" t="str">
        <x:v>https://geoservices.big.go.id/rbi/rest/services/BATASWILAYAH/BATAS_WILAYAH/MapServer/12</x:v>
      </x:c>
    </x:row>
    <x:row r="620" ht="18" customHeight="1">
      <x:c r="A620" s="6" t="str">
        <x:v>72</x:v>
      </x:c>
      <x:c r="B620" s="6" t="str">
        <x:v>SULAWESI TENGAH</x:v>
      </x:c>
      <x:c r="C620" s="6" t="str">
        <x:v>2025</x:v>
      </x:c>
      <x:c r="D620" s="6" t="str">
        <x:v>7</x:v>
      </x:c>
      <x:c r="E620" s="6" t="str">
        <x:v>24.093413666164615</x:v>
      </x:c>
      <x:c r="F620" s="9" t="str">
        <x:v>grid_cells_within_BIG_polygon</x:v>
      </x:c>
      <x:c r="G620" s="6" t="str">
        <x:v>16</x:v>
      </x:c>
      <x:c r="H620" s="8" t="str">
        <x:v>86.6425451477221</x:v>
      </x:c>
      <x:c r="I620" s="6" t="str">
        <x:v>5.060555763996534</x:v>
      </x:c>
      <x:c r="J620" s="6" t="str">
        <x:v>31</x:v>
      </x:c>
      <x:c r="K620" s="6" t="str">
        <x:v>156.87722868389255</x:v>
      </x:c>
      <x:c r="L620" s="6" t="str">
        <x:v>23.547008245387858</x:v>
      </x:c>
      <x:c r="M620" s="6" t="str">
        <x:v>0.29491305346670144</x:v>
      </x:c>
      <x:c r="N620" s="6" t="str">
        <x:v>86.97313534735082</x:v>
      </x:c>
      <x:c r="O620" s="6" t="str">
        <x:v>1.4863105244112322</x:v>
      </x:c>
      <x:c r="P620" s="6" t="str">
        <x:v>176.50856230391358</x:v>
      </x:c>
      <x:c r="Q620" s="6" t="str">
        <x:v>73.41995456283061</x:v>
      </x:c>
      <x:c r="R620" s="6" t="str">
        <x:v>0.5464054207767575</x:v>
      </x:c>
      <x:c r="S620" s="8" t="str">
        <x:v>1.8527678390419295</x:v>
      </x:c>
      <x:c r="T620" s="6" t="str">
        <x:v>-0.33059019962871616</x:v>
      </x:c>
      <x:c r="U620" s="8" t="str">
        <x:v>-0.22242337263922146</x:v>
      </x:c>
      <x:c r="V620" s="6" t="str">
        <x:v>-19.631333620021024</x:v>
      </x:c>
      <x:c r="W620" s="8" t="str">
        <x:v>-0.2673841701062497</x:v>
      </x:c>
      <x:c r="X620" s="6" t="str">
        <x:v>0.46212031942639437</x:v>
      </x:c>
      <x:c r="Y620" s="6" t="str">
        <x:v>0.9621768599345903</x:v>
      </x:c>
      <x:c r="Z620" s="6" t="str">
        <x:v>1.0923550061343048</x:v>
      </x:c>
      <x:c r="AA620" s="6" t="str">
        <x:v>-0.5046918677970826</x:v>
      </x:c>
      <x:c r="AB620" s="6" t="str">
        <x:v>-0.6652435910571363</x:v>
      </x:c>
      <x:c r="AC620" s="6" t="str">
        <x:v>-0.4641196104978134</x:v>
      </x:c>
      <x:c r="AD620" s="6" t="str">
        <x:v>-0.3973888025343069</x:v>
      </x:c>
      <x:c r="AE620" s="6" t="str">
        <x:v>0.5708959613194121</x:v>
      </x:c>
      <x:c r="AF620" s="6" t="str">
        <x:v>-0.03129233710704802</x:v>
      </x:c>
      <x:c r="AG620" s="6" t="str">
        <x:v>0</x:v>
      </x:c>
      <x:c r="AH620" s="6" t="str">
        <x:v>1</x:v>
      </x:c>
      <x:c r="AI620" s="6" t="str">
        <x:v>2025-07</x:v>
      </x:c>
      <x:c r="AJ620" s="9" t="str">
        <x:v>NASA POWER (MERRA-2 meteorology)</x:v>
      </x:c>
      <x:c r="AK620" s="9" t="str">
        <x:v>Badan Informasi Geospasial (BIG)</x:v>
      </x:c>
      <x:c r="AL620" s="9" t="str">
        <x:v>https://power.larc.nasa.gov/docs/services/api/temporal/monthly/</x:v>
      </x:c>
      <x:c r="AM620" s="9" t="str">
        <x:v>https://geoservices.big.go.id/rbi/rest/services/BATASWILAYAH/BATAS_WILAYAH/MapServer/12</x:v>
      </x:c>
    </x:row>
    <x:row r="621" ht="18" customHeight="1">
      <x:c r="A621" s="6" t="str">
        <x:v>72</x:v>
      </x:c>
      <x:c r="B621" s="6" t="str">
        <x:v>SULAWESI TENGAH</x:v>
      </x:c>
      <x:c r="C621" s="6" t="str">
        <x:v>2025</x:v>
      </x:c>
      <x:c r="D621" s="6" t="str">
        <x:v>8</x:v>
      </x:c>
      <x:c r="E621" s="6" t="str">
        <x:v>23.660897790336705</x:v>
      </x:c>
      <x:c r="F621" s="9" t="str">
        <x:v>grid_cells_within_BIG_polygon</x:v>
      </x:c>
      <x:c r="G621" s="6" t="str">
        <x:v>16</x:v>
      </x:c>
      <x:c r="H621" s="8" t="str">
        <x:v>87.14888960407549</x:v>
      </x:c>
      <x:c r="I621" s="6" t="str">
        <x:v>5.7855011151114715</x:v>
      </x:c>
      <x:c r="J621" s="6" t="str">
        <x:v>31</x:v>
      </x:c>
      <x:c r="K621" s="6" t="str">
        <x:v>179.35053456845563</x:v>
      </x:c>
      <x:c r="L621" s="6" t="str">
        <x:v>23.63127617581619</x:v>
      </x:c>
      <x:c r="M621" s="6" t="str">
        <x:v>0.31488531745845205</x:v>
      </x:c>
      <x:c r="N621" s="6" t="str">
        <x:v>85.08290141922558</x:v>
      </x:c>
      <x:c r="O621" s="6" t="str">
        <x:v>2.3987791929676905</x:v>
      </x:c>
      <x:c r="P621" s="6" t="str">
        <x:v>124.72380834489464</x:v>
      </x:c>
      <x:c r="Q621" s="6" t="str">
        <x:v>74.03353170698831</x:v>
      </x:c>
      <x:c r="R621" s="6" t="str">
        <x:v>0.02962161452051504</x:v>
      </x:c>
      <x:c r="S621" s="8" t="str">
        <x:v>0.09407112011319327</x:v>
      </x:c>
      <x:c r="T621" s="6" t="str">
        <x:v>2.065988184849914</x:v>
      </x:c>
      <x:c r="U621" s="8" t="str">
        <x:v>0.8612665104427313</x:v>
      </x:c>
      <x:c r="V621" s="6" t="str">
        <x:v>54.62672622356099</x:v>
      </x:c>
      <x:c r="W621" s="8" t="str">
        <x:v>0.7378646535432615</x:v>
      </x:c>
      <x:c r="X621" s="6" t="str">
        <x:v>1.8527678390419295</x:v>
      </x:c>
      <x:c r="Y621" s="6" t="str">
        <x:v>0.46212031942639437</x:v>
      </x:c>
      <x:c r="Z621" s="6" t="str">
        <x:v>0.802986426193839</x:v>
      </x:c>
      <x:c r="AA621" s="6" t="str">
        <x:v>-0.22242337263922146</x:v>
      </x:c>
      <x:c r="AB621" s="6" t="str">
        <x:v>-0.5046918677970826</x:v>
      </x:c>
      <x:c r="AC621" s="6" t="str">
        <x:v>0.04471709000214238</x:v>
      </x:c>
      <x:c r="AD621" s="6" t="str">
        <x:v>-0.2673841701062497</x:v>
      </x:c>
      <x:c r="AE621" s="6" t="str">
        <x:v>-0.3973888025343069</x:v>
      </x:c>
      <x:c r="AF621" s="6" t="str">
        <x:v>0.02436389363423508</x:v>
      </x:c>
      <x:c r="AG621" s="6" t="str">
        <x:v>0</x:v>
      </x:c>
      <x:c r="AH621" s="6" t="str">
        <x:v>0</x:v>
      </x:c>
      <x:c r="AI621" s="6" t="str">
        <x:v>2025-08</x:v>
      </x:c>
      <x:c r="AJ621" s="9" t="str">
        <x:v>NASA POWER (MERRA-2 meteorology)</x:v>
      </x:c>
      <x:c r="AK621" s="9" t="str">
        <x:v>Badan Informasi Geospasial (BIG)</x:v>
      </x:c>
      <x:c r="AL621" s="9" t="str">
        <x:v>https://power.larc.nasa.gov/docs/services/api/temporal/monthly/</x:v>
      </x:c>
      <x:c r="AM621" s="9" t="str">
        <x:v>https://geoservices.big.go.id/rbi/rest/services/BATASWILAYAH/BATAS_WILAYAH/MapServer/12</x:v>
      </x:c>
    </x:row>
    <x:row r="622" ht="18" customHeight="1">
      <x:c r="A622" s="6" t="str">
        <x:v>72</x:v>
      </x:c>
      <x:c r="B622" s="6" t="str">
        <x:v>SULAWESI TENGAH</x:v>
      </x:c>
      <x:c r="C622" s="6" t="str">
        <x:v>2025</x:v>
      </x:c>
      <x:c r="D622" s="6" t="str">
        <x:v>9</x:v>
      </x:c>
      <x:c r="E622" s="6" t="str">
        <x:v>24.27715244336496</x:v>
      </x:c>
      <x:c r="F622" s="9" t="str">
        <x:v>grid_cells_within_BIG_polygon</x:v>
      </x:c>
      <x:c r="G622" s="6" t="str">
        <x:v>16</x:v>
      </x:c>
      <x:c r="H622" s="8" t="str">
        <x:v>85.36019424424968</x:v>
      </x:c>
      <x:c r="I622" s="6" t="str">
        <x:v>3.779562956289855</x:v>
      </x:c>
      <x:c r="J622" s="6" t="str">
        <x:v>30</x:v>
      </x:c>
      <x:c r="K622" s="6" t="str">
        <x:v>113.38688868869565</x:v>
      </x:c>
      <x:c r="L622" s="6" t="str">
        <x:v>24.040248720763476</x:v>
      </x:c>
      <x:c r="M622" s="6" t="str">
        <x:v>0.30505924821774505</x:v>
      </x:c>
      <x:c r="N622" s="6" t="str">
        <x:v>82.90823753169282</x:v>
      </x:c>
      <x:c r="O622" s="6" t="str">
        <x:v>3.313568181831415</x:v>
      </x:c>
      <x:c r="P622" s="6" t="str">
        <x:v>106.79842872649462</x:v>
      </x:c>
      <x:c r="Q622" s="6" t="str">
        <x:v>63.65292768980589</x:v>
      </x:c>
      <x:c r="R622" s="6" t="str">
        <x:v>0.23690372260148607</x:v>
      </x:c>
      <x:c r="S622" s="8" t="str">
        <x:v>0.7765826605341565</x:v>
      </x:c>
      <x:c r="T622" s="6" t="str">
        <x:v>2.451956712556864</x:v>
      </x:c>
      <x:c r="U622" s="8" t="str">
        <x:v>0.7399747275463224</x:v>
      </x:c>
      <x:c r="V622" s="6" t="str">
        <x:v>6.5884599622010285</x:v>
      </x:c>
      <x:c r="W622" s="8" t="str">
        <x:v>0.10350600045151073</x:v>
      </x:c>
      <x:c r="X622" s="6" t="str">
        <x:v>0.09407112011319327</x:v>
      </x:c>
      <x:c r="Y622" s="6" t="str">
        <x:v>1.8527678390419295</x:v>
      </x:c>
      <x:c r="Z622" s="6" t="str">
        <x:v>0.9078072065630932</x:v>
      </x:c>
      <x:c r="AA622" s="6" t="str">
        <x:v>0.8612665104427313</x:v>
      </x:c>
      <x:c r="AB622" s="6" t="str">
        <x:v>-0.22242337263922146</x:v>
      </x:c>
      <x:c r="AC622" s="6" t="str">
        <x:v>0.45960595511661073</x:v>
      </x:c>
      <x:c r="AD622" s="6" t="str">
        <x:v>0.7378646535432615</x:v>
      </x:c>
      <x:c r="AE622" s="6" t="str">
        <x:v>-0.2673841701062497</x:v>
      </x:c>
      <x:c r="AF622" s="6" t="str">
        <x:v>0.191328827962841</x:v>
      </x:c>
      <x:c r="AG622" s="6" t="str">
        <x:v>0</x:v>
      </x:c>
      <x:c r="AH622" s="6" t="str">
        <x:v>0</x:v>
      </x:c>
      <x:c r="AI622" s="6" t="str">
        <x:v>2025-09</x:v>
      </x:c>
      <x:c r="AJ622" s="9" t="str">
        <x:v>NASA POWER (MERRA-2 meteorology)</x:v>
      </x:c>
      <x:c r="AK622" s="9" t="str">
        <x:v>Badan Informasi Geospasial (BIG)</x:v>
      </x:c>
      <x:c r="AL622" s="9" t="str">
        <x:v>https://power.larc.nasa.gov/docs/services/api/temporal/monthly/</x:v>
      </x:c>
      <x:c r="AM622" s="9" t="str">
        <x:v>https://geoservices.big.go.id/rbi/rest/services/BATASWILAYAH/BATAS_WILAYAH/MapServer/12</x:v>
      </x:c>
    </x:row>
    <x:row r="623" ht="18" customHeight="1">
      <x:c r="A623" s="6" t="str">
        <x:v>72</x:v>
      </x:c>
      <x:c r="B623" s="6" t="str">
        <x:v>SULAWESI TENGAH</x:v>
      </x:c>
      <x:c r="C623" s="6" t="str">
        <x:v>2025</x:v>
      </x:c>
      <x:c r="D623" s="6" t="str">
        <x:v>10</x:v>
      </x:c>
      <x:c r="E623" s="6" t="str">
        <x:v>24.702109266543882</x:v>
      </x:c>
      <x:c r="F623" s="9" t="str">
        <x:v>grid_cells_within_BIG_polygon</x:v>
      </x:c>
      <x:c r="G623" s="6" t="str">
        <x:v>16</x:v>
      </x:c>
      <x:c r="H623" s="8" t="str">
        <x:v>83.6777100772566</x:v>
      </x:c>
      <x:c r="I623" s="6" t="str">
        <x:v>7.198229232723005</x:v>
      </x:c>
      <x:c r="J623" s="6" t="str">
        <x:v>31</x:v>
      </x:c>
      <x:c r="K623" s="6" t="str">
        <x:v>223.14510621441315</x:v>
      </x:c>
      <x:c r="L623" s="6" t="str">
        <x:v>24.552464890971958</x:v>
      </x:c>
      <x:c r="M623" s="6" t="str">
        <x:v>0.3463785102407817</x:v>
      </x:c>
      <x:c r="N623" s="6" t="str">
        <x:v>82.25327815350234</x:v>
      </x:c>
      <x:c r="O623" s="6" t="str">
        <x:v>4.2914323053901136</x:v>
      </x:c>
      <x:c r="P623" s="6" t="str">
        <x:v>144.68463532564607</x:v>
      </x:c>
      <x:c r="Q623" s="6" t="str">
        <x:v>90.24524209698995</x:v>
      </x:c>
      <x:c r="R623" s="6" t="str">
        <x:v>0.14964437557192412</x:v>
      </x:c>
      <x:c r="S623" s="8" t="str">
        <x:v>0.4320255764940506</x:v>
      </x:c>
      <x:c r="T623" s="6" t="str">
        <x:v>1.4244319237542697</x:v>
      </x:c>
      <x:c r="U623" s="8" t="str">
        <x:v>0.33192459355939474</x:v>
      </x:c>
      <x:c r="V623" s="6" t="str">
        <x:v>78.46047088876708</x:v>
      </x:c>
      <x:c r="W623" s="8" t="str">
        <x:v>0.8694139332513803</x:v>
      </x:c>
      <x:c r="X623" s="6" t="str">
        <x:v>0.7765826605341565</x:v>
      </x:c>
      <x:c r="Y623" s="6" t="str">
        <x:v>0.09407112011319327</x:v>
      </x:c>
      <x:c r="Z623" s="6" t="str">
        <x:v>0.4342264523804668</x:v>
      </x:c>
      <x:c r="AA623" s="6" t="str">
        <x:v>0.7399747275463224</x:v>
      </x:c>
      <x:c r="AB623" s="6" t="str">
        <x:v>0.8612665104427313</x:v>
      </x:c>
      <x:c r="AC623" s="6" t="str">
        <x:v>0.6443886105161495</x:v>
      </x:c>
      <x:c r="AD623" s="6" t="str">
        <x:v>0.10350600045151073</x:v>
      </x:c>
      <x:c r="AE623" s="6" t="str">
        <x:v>0.7378646535432615</x:v>
      </x:c>
      <x:c r="AF623" s="6" t="str">
        <x:v>0.570261529082051</x:v>
      </x:c>
      <x:c r="AG623" s="6" t="str">
        <x:v>0</x:v>
      </x:c>
      <x:c r="AH623" s="6" t="str">
        <x:v>0</x:v>
      </x:c>
      <x:c r="AI623" s="6" t="str">
        <x:v>2025-10</x:v>
      </x:c>
      <x:c r="AJ623" s="9" t="str">
        <x:v>NASA POWER (MERRA-2 meteorology)</x:v>
      </x:c>
      <x:c r="AK623" s="9" t="str">
        <x:v>Badan Informasi Geospasial (BIG)</x:v>
      </x:c>
      <x:c r="AL623" s="9" t="str">
        <x:v>https://power.larc.nasa.gov/docs/services/api/temporal/monthly/</x:v>
      </x:c>
      <x:c r="AM623" s="9" t="str">
        <x:v>https://geoservices.big.go.id/rbi/rest/services/BATASWILAYAH/BATAS_WILAYAH/MapServer/12</x:v>
      </x:c>
    </x:row>
    <x:row r="624" ht="18" customHeight="1">
      <x:c r="A624" s="6" t="str">
        <x:v>72</x:v>
      </x:c>
      <x:c r="B624" s="6" t="str">
        <x:v>SULAWESI TENGAH</x:v>
      </x:c>
      <x:c r="C624" s="6" t="str">
        <x:v>2025</x:v>
      </x:c>
      <x:c r="D624" s="6" t="str">
        <x:v>11</x:v>
      </x:c>
      <x:c r="E624" s="6" t="str">
        <x:v>24.833942988075563</x:v>
      </x:c>
      <x:c r="F624" s="9" t="str">
        <x:v>grid_cells_within_BIG_polygon</x:v>
      </x:c>
      <x:c r="G624" s="6" t="str">
        <x:v>16</x:v>
      </x:c>
      <x:c r="H624" s="8" t="str">
        <x:v>85.40285681820858</x:v>
      </x:c>
      <x:c r="I624" s="6" t="str">
        <x:v>4.868675106818383</x:v>
      </x:c>
      <x:c r="J624" s="6" t="str">
        <x:v>30</x:v>
      </x:c>
      <x:c r="K624" s="6" t="str">
        <x:v>146.0602532045515</x:v>
      </x:c>
      <x:c r="L624" s="6" t="str">
        <x:v>24.616220855061297</x:v>
      </x:c>
      <x:c r="M624" s="6" t="str">
        <x:v>0.3608119349335505</x:v>
      </x:c>
      <x:c r="N624" s="6" t="str">
        <x:v>84.38861356133174</x:v>
      </x:c>
      <x:c r="O624" s="6" t="str">
        <x:v>2.912263696457803</x:v>
      </x:c>
      <x:c r="P624" s="6" t="str">
        <x:v>156.70912079880912</x:v>
      </x:c>
      <x:c r="Q624" s="6" t="str">
        <x:v>54.39907494280334</x:v>
      </x:c>
      <x:c r="R624" s="6" t="str">
        <x:v>0.21772213301426646</x:v>
      </x:c>
      <x:c r="S624" s="8" t="str">
        <x:v>0.60342275832523</x:v>
      </x:c>
      <x:c r="T624" s="6" t="str">
        <x:v>1.0142432568768385</x:v>
      </x:c>
      <x:c r="U624" s="8" t="str">
        <x:v>0.3482662844406797</x:v>
      </x:c>
      <x:c r="V624" s="6" t="str">
        <x:v>-10.648867594257638</x:v>
      </x:c>
      <x:c r="W624" s="8" t="str">
        <x:v>-0.1957545712947168</x:v>
      </x:c>
      <x:c r="X624" s="6" t="str">
        <x:v>0.4320255764940506</x:v>
      </x:c>
      <x:c r="Y624" s="6" t="str">
        <x:v>0.7765826605341565</x:v>
      </x:c>
      <x:c r="Z624" s="6" t="str">
        <x:v>0.604010331784479</x:v>
      </x:c>
      <x:c r="AA624" s="6" t="str">
        <x:v>0.33192459355939474</x:v>
      </x:c>
      <x:c r="AB624" s="6" t="str">
        <x:v>0.7399747275463224</x:v>
      </x:c>
      <x:c r="AC624" s="6" t="str">
        <x:v>0.4733885351821323</x:v>
      </x:c>
      <x:c r="AD624" s="6" t="str">
        <x:v>0.8694139332513803</x:v>
      </x:c>
      <x:c r="AE624" s="6" t="str">
        <x:v>0.10350600045151073</x:v>
      </x:c>
      <x:c r="AF624" s="6" t="str">
        <x:v>0.2590551208027249</x:v>
      </x:c>
      <x:c r="AG624" s="6" t="str">
        <x:v>0</x:v>
      </x:c>
      <x:c r="AH624" s="6" t="str">
        <x:v>0</x:v>
      </x:c>
      <x:c r="AI624" s="6" t="str">
        <x:v>2025-11</x:v>
      </x:c>
      <x:c r="AJ624" s="9" t="str">
        <x:v>NASA POWER (MERRA-2 meteorology)</x:v>
      </x:c>
      <x:c r="AK624" s="9" t="str">
        <x:v>Badan Informasi Geospasial (BIG)</x:v>
      </x:c>
      <x:c r="AL624" s="9" t="str">
        <x:v>https://power.larc.nasa.gov/docs/services/api/temporal/monthly/</x:v>
      </x:c>
      <x:c r="AM624" s="9" t="str">
        <x:v>https://geoservices.big.go.id/rbi/rest/services/BATASWILAYAH/BATAS_WILAYAH/MapServer/12</x:v>
      </x:c>
    </x:row>
    <x:row r="625" ht="18" customHeight="1">
      <x:c r="A625" s="6" t="str">
        <x:v>72</x:v>
      </x:c>
      <x:c r="B625" s="6" t="str">
        <x:v>SULAWESI TENGAH</x:v>
      </x:c>
      <x:c r="C625" s="6" t="str">
        <x:v>2025</x:v>
      </x:c>
      <x:c r="D625" s="6" t="str">
        <x:v>12</x:v>
      </x:c>
      <x:c r="E625" s="6" t="str">
        <x:v>24.46830731913036</x:v>
      </x:c>
      <x:c r="F625" s="9" t="str">
        <x:v>grid_cells_within_BIG_polygon</x:v>
      </x:c>
      <x:c r="G625" s="6" t="str">
        <x:v>16</x:v>
      </x:c>
      <x:c r="H625" s="8" t="str">
        <x:v>86.51725765928619</x:v>
      </x:c>
      <x:c r="I625" s="6" t="str">
        <x:v>5.4153690646111725</x:v>
      </x:c>
      <x:c r="J625" s="6" t="str">
        <x:v>31</x:v>
      </x:c>
      <x:c r="K625" s="6" t="str">
        <x:v>167.87644100294634</x:v>
      </x:c>
      <x:c r="L625" s="6" t="str">
        <x:v>24.30543054086403</x:v>
      </x:c>
      <x:c r="M625" s="6" t="str">
        <x:v>0.4183786189309399</x:v>
      </x:c>
      <x:c r="N625" s="6" t="str">
        <x:v>86.29396887216849</x:v>
      </x:c>
      <x:c r="O625" s="6" t="str">
        <x:v>1.9261054436021925</x:v>
      </x:c>
      <x:c r="P625" s="6" t="str">
        <x:v>183.01997107870912</x:v>
      </x:c>
      <x:c r="Q625" s="6" t="str">
        <x:v>57.88131970186853</x:v>
      </x:c>
      <x:c r="R625" s="6" t="str">
        <x:v>0.1628767782663303</x:v>
      </x:c>
      <x:c r="S625" s="8" t="str">
        <x:v>0.38930473713623426</x:v>
      </x:c>
      <x:c r="T625" s="6" t="str">
        <x:v>0.22328878711769562</x:v>
      </x:c>
      <x:c r="U625" s="8" t="str">
        <x:v>0.11592760295620269</x:v>
      </x:c>
      <x:c r="V625" s="6" t="str">
        <x:v>-15.143530075762783</x:v>
      </x:c>
      <x:c r="W625" s="8" t="str">
        <x:v>-0.26163069801730726</x:v>
      </x:c>
      <x:c r="X625" s="6" t="str">
        <x:v>0.60342275832523</x:v>
      </x:c>
      <x:c r="Y625" s="6" t="str">
        <x:v>0.4320255764940506</x:v>
      </x:c>
      <x:c r="Z625" s="6" t="str">
        <x:v>0.47491769065183825</x:v>
      </x:c>
      <x:c r="AA625" s="6" t="str">
        <x:v>0.3482662844406797</x:v>
      </x:c>
      <x:c r="AB625" s="6" t="str">
        <x:v>0.33192459355939474</x:v>
      </x:c>
      <x:c r="AC625" s="6" t="str">
        <x:v>0.2653728269854257</x:v>
      </x:c>
      <x:c r="AD625" s="6" t="str">
        <x:v>-0.1957545712947168</x:v>
      </x:c>
      <x:c r="AE625" s="6" t="str">
        <x:v>0.8694139332513803</x:v>
      </x:c>
      <x:c r="AF625" s="6" t="str">
        <x:v>0.13734288797978558</x:v>
      </x:c>
      <x:c r="AG625" s="6" t="str">
        <x:v>0</x:v>
      </x:c>
      <x:c r="AH625" s="6" t="str">
        <x:v>0</x:v>
      </x:c>
      <x:c r="AI625" s="6" t="str">
        <x:v>2025-12</x:v>
      </x:c>
      <x:c r="AJ625" s="9" t="str">
        <x:v>NASA POWER (MERRA-2 meteorology)</x:v>
      </x:c>
      <x:c r="AK625" s="9" t="str">
        <x:v>Badan Informasi Geospasial (BIG)</x:v>
      </x:c>
      <x:c r="AL625" s="9" t="str">
        <x:v>https://power.larc.nasa.gov/docs/services/api/temporal/monthly/</x:v>
      </x:c>
      <x:c r="AM625" s="9" t="str">
        <x:v>https://geoservices.big.go.id/rbi/rest/services/BATASWILAYAH/BATAS_WILAYAH/MapServer/12</x:v>
      </x:c>
    </x:row>
    <x:row r="626" ht="18" customHeight="1">
      <x:c r="A626" s="6" t="str">
        <x:v>73</x:v>
      </x:c>
      <x:c r="B626" s="6" t="str">
        <x:v>SULAWESI SELATAN</x:v>
      </x:c>
      <x:c r="C626" s="6" t="str">
        <x:v>2024</x:v>
      </x:c>
      <x:c r="D626" s="6" t="str">
        <x:v>1</x:v>
      </x:c>
      <x:c r="E626" s="6" t="str">
        <x:v>24.44776174826544</x:v>
      </x:c>
      <x:c r="F626" s="9" t="str">
        <x:v>grid_cells_within_BIG_polygon</x:v>
      </x:c>
      <x:c r="G626" s="6" t="str">
        <x:v>10</x:v>
      </x:c>
      <x:c r="H626" s="8" t="str">
        <x:v>85.7925833163604</x:v>
      </x:c>
      <x:c r="I626" s="6" t="str">
        <x:v>11.75535045118844</x:v>
      </x:c>
      <x:c r="J626" s="6" t="str">
        <x:v>31</x:v>
      </x:c>
      <x:c r="K626" s="6" t="str">
        <x:v>364.4158639868416</x:v>
      </x:c>
      <x:c r="L626" s="6" t="str">
        <x:v>23.377486508228973</x:v>
      </x:c>
      <x:c r="M626" s="6" t="str">
        <x:v>0.4587957143345602</x:v>
      </x:c>
      <x:c r="N626" s="6" t="str">
        <x:v>87.79509235693618</x:v>
      </x:c>
      <x:c r="O626" s="6" t="str">
        <x:v>1.6388264038186524</x:v>
      </x:c>
      <x:c r="P626" s="6" t="str">
        <x:v>334.51068427160334</x:v>
      </x:c>
      <x:c r="Q626" s="6" t="str">
        <x:v>107.94721479734235</x:v>
      </x:c>
      <x:c r="R626" s="6" t="str">
        <x:v>1.070275240036466</x:v>
      </x:c>
      <x:c r="S626" s="8" t="str">
        <x:v>2.3327925841434656</x:v>
      </x:c>
      <x:c r="T626" s="6" t="str">
        <x:v>-2.0025090405757737</x:v>
      </x:c>
      <x:c r="U626" s="8" t="str">
        <x:v>-1.2219165104428995</x:v>
      </x:c>
      <x:c r="V626" s="6" t="str">
        <x:v>29.905179715238262</x:v>
      </x:c>
      <x:c r="W626" s="8" t="str">
        <x:v>0.27703521365865313</x:v>
      </x:c>
      <x:c r="X626" s="6" t="str">
        <x:v>2.6618391907633336</x:v>
      </x:c>
      <x:c r="Y626" s="6" t="str">
        <x:v>1.9266499227399008</x:v>
      </x:c>
      <x:c r="Z626" s="6" t="str">
        <x:v>2.3070938992155674</x:v>
      </x:c>
      <x:c r="AA626" s="6" t="str">
        <x:v>-1.437446634313267</x:v>
      </x:c>
      <x:c r="AB626" s="6" t="str">
        <x:v>-0.5839307858310353</x:v>
      </x:c>
      <x:c r="AC626" s="6" t="str">
        <x:v>-1.0810979768624014</x:v>
      </x:c>
      <x:c r="AD626" s="6" t="str">
        <x:v>-1.296228049789546</x:v>
      </x:c>
      <x:c r="AE626" s="6" t="str">
        <x:v>-0.0629789882789982</x:v>
      </x:c>
      <x:c r="AF626" s="6" t="str">
        <x:v>-0.36072394146996367</x:v>
      </x:c>
      <x:c r="AG626" s="6" t="str">
        <x:v>0</x:v>
      </x:c>
      <x:c r="AH626" s="6" t="str">
        <x:v>1</x:v>
      </x:c>
      <x:c r="AI626" s="6" t="str">
        <x:v>2024-01</x:v>
      </x:c>
      <x:c r="AJ626" s="9" t="str">
        <x:v>NASA POWER (MERRA-2 meteorology)</x:v>
      </x:c>
      <x:c r="AK626" s="9" t="str">
        <x:v>Badan Informasi Geospasial (BIG)</x:v>
      </x:c>
      <x:c r="AL626" s="9" t="str">
        <x:v>https://power.larc.nasa.gov/docs/services/api/temporal/monthly/</x:v>
      </x:c>
      <x:c r="AM626" s="9" t="str">
        <x:v>https://geoservices.big.go.id/rbi/rest/services/BATASWILAYAH/BATAS_WILAYAH/MapServer/12</x:v>
      </x:c>
    </x:row>
    <x:row r="627" ht="18" customHeight="1">
      <x:c r="A627" s="6" t="str">
        <x:v>73</x:v>
      </x:c>
      <x:c r="B627" s="6" t="str">
        <x:v>SULAWESI SELATAN</x:v>
      </x:c>
      <x:c r="C627" s="6" t="str">
        <x:v>2024</x:v>
      </x:c>
      <x:c r="D627" s="6" t="str">
        <x:v>2</x:v>
      </x:c>
      <x:c r="E627" s="6" t="str">
        <x:v>24.688813576870654</x:v>
      </x:c>
      <x:c r="F627" s="9" t="str">
        <x:v>grid_cells_within_BIG_polygon</x:v>
      </x:c>
      <x:c r="G627" s="6" t="str">
        <x:v>10</x:v>
      </x:c>
      <x:c r="H627" s="8" t="str">
        <x:v>86.3874780723983</x:v>
      </x:c>
      <x:c r="I627" s="6" t="str">
        <x:v>12.963708767425254</x:v>
      </x:c>
      <x:c r="J627" s="6" t="str">
        <x:v>29</x:v>
      </x:c>
      <x:c r="K627" s="6" t="str">
        <x:v>375.94755425533236</x:v>
      </x:c>
      <x:c r="L627" s="6" t="str">
        <x:v>23.443389234546235</x:v>
      </x:c>
      <x:c r="M627" s="6" t="str">
        <x:v>0.4244652869341489</x:v>
      </x:c>
      <x:c r="N627" s="6" t="str">
        <x:v>87.65695563298074</x:v>
      </x:c>
      <x:c r="O627" s="6" t="str">
        <x:v>1.2134891082432138</x:v>
      </x:c>
      <x:c r="P627" s="6" t="str">
        <x:v>282.81922976910533</x:v>
      </x:c>
      <x:c r="Q627" s="6" t="str">
        <x:v>100.07394017816652</x:v>
      </x:c>
      <x:c r="R627" s="6" t="str">
        <x:v>1.2454243423244193</x:v>
      </x:c>
      <x:c r="S627" s="8" t="str">
        <x:v>2.934101752630794</x:v>
      </x:c>
      <x:c r="T627" s="6" t="str">
        <x:v>-1.2694775605824447</x:v>
      </x:c>
      <x:c r="U627" s="8" t="str">
        <x:v>-1.0461384053296416</x:v>
      </x:c>
      <x:c r="V627" s="6" t="str">
        <x:v>93.12832448622703</x:v>
      </x:c>
      <x:c r="W627" s="8" t="str">
        <x:v>0.9305951611421127</x:v>
      </x:c>
      <x:c r="X627" s="6" t="str">
        <x:v>2.3327925841434656</x:v>
      </x:c>
      <x:c r="Y627" s="6" t="str">
        <x:v>2.6618391907633336</x:v>
      </x:c>
      <x:c r="Z627" s="6" t="str">
        <x:v>2.6429111758458643</x:v>
      </x:c>
      <x:c r="AA627" s="6" t="str">
        <x:v>-1.2219165104428995</x:v>
      </x:c>
      <x:c r="AB627" s="6" t="str">
        <x:v>-1.437446634313267</x:v>
      </x:c>
      <x:c r="AC627" s="6" t="str">
        <x:v>-1.2351671833619369</x:v>
      </x:c>
      <x:c r="AD627" s="6" t="str">
        <x:v>0.27703521365865313</x:v>
      </x:c>
      <x:c r="AE627" s="6" t="str">
        <x:v>-1.296228049789546</x:v>
      </x:c>
      <x:c r="AF627" s="6" t="str">
        <x:v>-0.0295325583295933</x:v>
      </x:c>
      <x:c r="AG627" s="6" t="str">
        <x:v>0</x:v>
      </x:c>
      <x:c r="AH627" s="6" t="str">
        <x:v>1</x:v>
      </x:c>
      <x:c r="AI627" s="6" t="str">
        <x:v>2024-02</x:v>
      </x:c>
      <x:c r="AJ627" s="9" t="str">
        <x:v>NASA POWER (MERRA-2 meteorology)</x:v>
      </x:c>
      <x:c r="AK627" s="9" t="str">
        <x:v>Badan Informasi Geospasial (BIG)</x:v>
      </x:c>
      <x:c r="AL627" s="9" t="str">
        <x:v>https://power.larc.nasa.gov/docs/services/api/temporal/monthly/</x:v>
      </x:c>
      <x:c r="AM627" s="9" t="str">
        <x:v>https://geoservices.big.go.id/rbi/rest/services/BATASWILAYAH/BATAS_WILAYAH/MapServer/12</x:v>
      </x:c>
    </x:row>
    <x:row r="628" ht="18" customHeight="1">
      <x:c r="A628" s="6" t="str">
        <x:v>73</x:v>
      </x:c>
      <x:c r="B628" s="6" t="str">
        <x:v>SULAWESI SELATAN</x:v>
      </x:c>
      <x:c r="C628" s="6" t="str">
        <x:v>2024</x:v>
      </x:c>
      <x:c r="D628" s="6" t="str">
        <x:v>3</x:v>
      </x:c>
      <x:c r="E628" s="6" t="str">
        <x:v>24.72476981509657</x:v>
      </x:c>
      <x:c r="F628" s="9" t="str">
        <x:v>grid_cells_within_BIG_polygon</x:v>
      </x:c>
      <x:c r="G628" s="6" t="str">
        <x:v>10</x:v>
      </x:c>
      <x:c r="H628" s="8" t="str">
        <x:v>86.56322842437194</x:v>
      </x:c>
      <x:c r="I628" s="6" t="str">
        <x:v>8.911652685639265</x:v>
      </x:c>
      <x:c r="J628" s="6" t="str">
        <x:v>31</x:v>
      </x:c>
      <x:c r="K628" s="6" t="str">
        <x:v>276.2612332548172</x:v>
      </x:c>
      <x:c r="L628" s="6" t="str">
        <x:v>23.615882190999812</x:v>
      </x:c>
      <x:c r="M628" s="6" t="str">
        <x:v>0.407250369626178</x:v>
      </x:c>
      <x:c r="N628" s="6" t="str">
        <x:v>87.44896170682168</x:v>
      </x:c>
      <x:c r="O628" s="6" t="str">
        <x:v>1.0485533416854247</x:v>
      </x:c>
      <x:c r="P628" s="6" t="str">
        <x:v>290.426222309978</x:v>
      </x:c>
      <x:c r="Q628" s="6" t="str">
        <x:v>83.9245978557448</x:v>
      </x:c>
      <x:c r="R628" s="6" t="str">
        <x:v>1.1088876240967558</x:v>
      </x:c>
      <x:c r="S628" s="8" t="str">
        <x:v>2.7228646228476663</x:v>
      </x:c>
      <x:c r="T628" s="6" t="str">
        <x:v>-0.8857332824497348</x:v>
      </x:c>
      <x:c r="U628" s="8" t="str">
        <x:v>-0.8447193359052425</x:v>
      </x:c>
      <x:c r="V628" s="6" t="str">
        <x:v>-14.164989055160788</x:v>
      </x:c>
      <x:c r="W628" s="8" t="str">
        <x:v>-0.16878232862680517</x:v>
      </x:c>
      <x:c r="X628" s="6" t="str">
        <x:v>2.934101752630794</x:v>
      </x:c>
      <x:c r="Y628" s="6" t="str">
        <x:v>2.3327925841434656</x:v>
      </x:c>
      <x:c r="Z628" s="6" t="str">
        <x:v>2.6632529865406425</x:v>
      </x:c>
      <x:c r="AA628" s="6" t="str">
        <x:v>-1.0461384053296416</x:v>
      </x:c>
      <x:c r="AB628" s="6" t="str">
        <x:v>-1.2219165104428995</x:v>
      </x:c>
      <x:c r="AC628" s="6" t="str">
        <x:v>-1.0375914172259286</x:v>
      </x:c>
      <x:c r="AD628" s="6" t="str">
        <x:v>0.9305951611421127</x:v>
      </x:c>
      <x:c r="AE628" s="6" t="str">
        <x:v>0.27703521365865313</x:v>
      </x:c>
      <x:c r="AF628" s="6" t="str">
        <x:v>0.34628268205798696</x:v>
      </x:c>
      <x:c r="AG628" s="6" t="str">
        <x:v>0</x:v>
      </x:c>
      <x:c r="AH628" s="6" t="str">
        <x:v>1</x:v>
      </x:c>
      <x:c r="AI628" s="6" t="str">
        <x:v>2024-03</x:v>
      </x:c>
      <x:c r="AJ628" s="9" t="str">
        <x:v>NASA POWER (MERRA-2 meteorology)</x:v>
      </x:c>
      <x:c r="AK628" s="9" t="str">
        <x:v>Badan Informasi Geospasial (BIG)</x:v>
      </x:c>
      <x:c r="AL628" s="9" t="str">
        <x:v>https://power.larc.nasa.gov/docs/services/api/temporal/monthly/</x:v>
      </x:c>
      <x:c r="AM628" s="9" t="str">
        <x:v>https://geoservices.big.go.id/rbi/rest/services/BATASWILAYAH/BATAS_WILAYAH/MapServer/12</x:v>
      </x:c>
    </x:row>
    <x:row r="629" ht="18" customHeight="1">
      <x:c r="A629" s="6" t="str">
        <x:v>73</x:v>
      </x:c>
      <x:c r="B629" s="6" t="str">
        <x:v>SULAWESI SELATAN</x:v>
      </x:c>
      <x:c r="C629" s="6" t="str">
        <x:v>2024</x:v>
      </x:c>
      <x:c r="D629" s="6" t="str">
        <x:v>4</x:v>
      </x:c>
      <x:c r="E629" s="6" t="str">
        <x:v>24.803711831880914</x:v>
      </x:c>
      <x:c r="F629" s="9" t="str">
        <x:v>grid_cells_within_BIG_polygon</x:v>
      </x:c>
      <x:c r="G629" s="6" t="str">
        <x:v>10</x:v>
      </x:c>
      <x:c r="H629" s="8" t="str">
        <x:v>88.08194992838017</x:v>
      </x:c>
      <x:c r="I629" s="6" t="str">
        <x:v>10.05865189145651</x:v>
      </x:c>
      <x:c r="J629" s="6" t="str">
        <x:v>30</x:v>
      </x:c>
      <x:c r="K629" s="6" t="str">
        <x:v>301.75955674369527</x:v>
      </x:c>
      <x:c r="L629" s="6" t="str">
        <x:v>23.71882590977397</x:v>
      </x:c>
      <x:c r="M629" s="6" t="str">
        <x:v>0.36409057176447107</x:v>
      </x:c>
      <x:c r="N629" s="6" t="str">
        <x:v>88.15434432450343</x:v>
      </x:c>
      <x:c r="O629" s="6" t="str">
        <x:v>1.040876384290327</x:v>
      </x:c>
      <x:c r="P629" s="6" t="str">
        <x:v>287.4011157940487</x:v>
      </x:c>
      <x:c r="Q629" s="6" t="str">
        <x:v>83.42475083859247</x:v>
      </x:c>
      <x:c r="R629" s="6" t="str">
        <x:v>1.0848859221069453</x:v>
      </x:c>
      <x:c r="S629" s="8" t="str">
        <x:v>2.9797144069106913</x:v>
      </x:c>
      <x:c r="T629" s="6" t="str">
        <x:v>-0.07239439612325782</x:v>
      </x:c>
      <x:c r="U629" s="8" t="str">
        <x:v>-0.06955138690423508</x:v>
      </x:c>
      <x:c r="V629" s="6" t="str">
        <x:v>14.358440949646592</x:v>
      </x:c>
      <x:c r="W629" s="8" t="str">
        <x:v>0.17211248227072135</x:v>
      </x:c>
      <x:c r="X629" s="6" t="str">
        <x:v>2.7228646228476663</x:v>
      </x:c>
      <x:c r="Y629" s="6" t="str">
        <x:v>2.934101752630794</x:v>
      </x:c>
      <x:c r="Z629" s="6" t="str">
        <x:v>2.8788935941297176</x:v>
      </x:c>
      <x:c r="AA629" s="6" t="str">
        <x:v>-0.8447193359052425</x:v>
      </x:c>
      <x:c r="AB629" s="6" t="str">
        <x:v>-1.0461384053296416</x:v>
      </x:c>
      <x:c r="AC629" s="6" t="str">
        <x:v>-0.6534697093797072</x:v>
      </x:c>
      <x:c r="AD629" s="6" t="str">
        <x:v>-0.16878232862680517</x:v>
      </x:c>
      <x:c r="AE629" s="6" t="str">
        <x:v>0.9305951611421127</x:v>
      </x:c>
      <x:c r="AF629" s="6" t="str">
        <x:v>0.31130843826200966</x:v>
      </x:c>
      <x:c r="AG629" s="6" t="str">
        <x:v>0</x:v>
      </x:c>
      <x:c r="AH629" s="6" t="str">
        <x:v>1</x:v>
      </x:c>
      <x:c r="AI629" s="6" t="str">
        <x:v>2024-04</x:v>
      </x:c>
      <x:c r="AJ629" s="9" t="str">
        <x:v>NASA POWER (MERRA-2 meteorology)</x:v>
      </x:c>
      <x:c r="AK629" s="9" t="str">
        <x:v>Badan Informasi Geospasial (BIG)</x:v>
      </x:c>
      <x:c r="AL629" s="9" t="str">
        <x:v>https://power.larc.nasa.gov/docs/services/api/temporal/monthly/</x:v>
      </x:c>
      <x:c r="AM629" s="9" t="str">
        <x:v>https://geoservices.big.go.id/rbi/rest/services/BATASWILAYAH/BATAS_WILAYAH/MapServer/12</x:v>
      </x:c>
    </x:row>
    <x:row r="630" ht="18" customHeight="1">
      <x:c r="A630" s="6" t="str">
        <x:v>73</x:v>
      </x:c>
      <x:c r="B630" s="6" t="str">
        <x:v>SULAWESI SELATAN</x:v>
      </x:c>
      <x:c r="C630" s="6" t="str">
        <x:v>2024</x:v>
      </x:c>
      <x:c r="D630" s="6" t="str">
        <x:v>5</x:v>
      </x:c>
      <x:c r="E630" s="6" t="str">
        <x:v>24.465826025849143</x:v>
      </x:c>
      <x:c r="F630" s="9" t="str">
        <x:v>grid_cells_within_BIG_polygon</x:v>
      </x:c>
      <x:c r="G630" s="6" t="str">
        <x:v>10</x:v>
      </x:c>
      <x:c r="H630" s="8" t="str">
        <x:v>88.2533659482025</x:v>
      </x:c>
      <x:c r="I630" s="6" t="str">
        <x:v>11.71067654383436</x:v>
      </x:c>
      <x:c r="J630" s="6" t="str">
        <x:v>31</x:v>
      </x:c>
      <x:c r="K630" s="6" t="str">
        <x:v>363.03097285886514</x:v>
      </x:c>
      <x:c r="L630" s="6" t="str">
        <x:v>23.57943881400384</x:v>
      </x:c>
      <x:c r="M630" s="6" t="str">
        <x:v>0.39825090513073097</x:v>
      </x:c>
      <x:c r="N630" s="6" t="str">
        <x:v>88.38701669066589</x:v>
      </x:c>
      <x:c r="O630" s="6" t="str">
        <x:v>0.8778243470085839</x:v>
      </x:c>
      <x:c r="P630" s="6" t="str">
        <x:v>240.73015338943864</x:v>
      </x:c>
      <x:c r="Q630" s="6" t="str">
        <x:v>72.26935544429254</x:v>
      </x:c>
      <x:c r="R630" s="6" t="str">
        <x:v>0.8863872118453031</x:v>
      </x:c>
      <x:c r="S630" s="8" t="str">
        <x:v>2.2257004326313714</x:v>
      </x:c>
      <x:c r="T630" s="6" t="str">
        <x:v>-0.13365074246338793</x:v>
      </x:c>
      <x:c r="U630" s="8" t="str">
        <x:v>-0.15225226199163625</x:v>
      </x:c>
      <x:c r="V630" s="6" t="str">
        <x:v>122.3008194694265</x:v>
      </x:c>
      <x:c r="W630" s="8" t="str">
        <x:v>1.6922915489913253</x:v>
      </x:c>
      <x:c r="X630" s="6" t="str">
        <x:v>2.9797144069106913</x:v>
      </x:c>
      <x:c r="Y630" s="6" t="str">
        <x:v>2.7228646228476663</x:v>
      </x:c>
      <x:c r="Z630" s="6" t="str">
        <x:v>2.642759820796577</x:v>
      </x:c>
      <x:c r="AA630" s="6" t="str">
        <x:v>-0.06955138690423508</x:v>
      </x:c>
      <x:c r="AB630" s="6" t="str">
        <x:v>-0.8447193359052425</x:v>
      </x:c>
      <x:c r="AC630" s="6" t="str">
        <x:v>-0.35550766160037206</x:v>
      </x:c>
      <x:c r="AD630" s="6" t="str">
        <x:v>0.17211248227072135</x:v>
      </x:c>
      <x:c r="AE630" s="6" t="str">
        <x:v>-0.16878232862680517</x:v>
      </x:c>
      <x:c r="AF630" s="6" t="str">
        <x:v>0.5652072342117472</x:v>
      </x:c>
      <x:c r="AG630" s="6" t="str">
        <x:v>1</x:v>
      </x:c>
      <x:c r="AH630" s="6" t="str">
        <x:v>1</x:v>
      </x:c>
      <x:c r="AI630" s="6" t="str">
        <x:v>2024-05</x:v>
      </x:c>
      <x:c r="AJ630" s="9" t="str">
        <x:v>NASA POWER (MERRA-2 meteorology)</x:v>
      </x:c>
      <x:c r="AK630" s="9" t="str">
        <x:v>Badan Informasi Geospasial (BIG)</x:v>
      </x:c>
      <x:c r="AL630" s="9" t="str">
        <x:v>https://power.larc.nasa.gov/docs/services/api/temporal/monthly/</x:v>
      </x:c>
      <x:c r="AM630" s="9" t="str">
        <x:v>https://geoservices.big.go.id/rbi/rest/services/BATASWILAYAH/BATAS_WILAYAH/MapServer/12</x:v>
      </x:c>
    </x:row>
    <x:row r="631" ht="18" customHeight="1">
      <x:c r="A631" s="6" t="str">
        <x:v>73</x:v>
      </x:c>
      <x:c r="B631" s="6" t="str">
        <x:v>SULAWESI SELATAN</x:v>
      </x:c>
      <x:c r="C631" s="6" t="str">
        <x:v>2024</x:v>
      </x:c>
      <x:c r="D631" s="6" t="str">
        <x:v>6</x:v>
      </x:c>
      <x:c r="E631" s="6" t="str">
        <x:v>23.681823246261644</x:v>
      </x:c>
      <x:c r="F631" s="9" t="str">
        <x:v>grid_cells_within_BIG_polygon</x:v>
      </x:c>
      <x:c r="G631" s="6" t="str">
        <x:v>10</x:v>
      </x:c>
      <x:c r="H631" s="8" t="str">
        <x:v>88.52870443345311</x:v>
      </x:c>
      <x:c r="I631" s="6" t="str">
        <x:v>8.006925416348231</x:v>
      </x:c>
      <x:c r="J631" s="6" t="str">
        <x:v>30</x:v>
      </x:c>
      <x:c r="K631" s="6" t="str">
        <x:v>240.20776249044695</x:v>
      </x:c>
      <x:c r="L631" s="6" t="str">
        <x:v>22.97161059639061</x:v>
      </x:c>
      <x:c r="M631" s="6" t="str">
        <x:v>0.30968593587708104</x:v>
      </x:c>
      <x:c r="N631" s="6" t="str">
        <x:v>88.6019604077274</x:v>
      </x:c>
      <x:c r="O631" s="6" t="str">
        <x:v>1.4117898864582152</x:v>
      </x:c>
      <x:c r="P631" s="6" t="str">
        <x:v>232.1559281611985</x:v>
      </x:c>
      <x:c r="Q631" s="6" t="str">
        <x:v>67.77165455557606</x:v>
      </x:c>
      <x:c r="R631" s="6" t="str">
        <x:v>0.7102126498710319</x:v>
      </x:c>
      <x:c r="S631" s="8" t="str">
        <x:v>2.2933319456680974</x:v>
      </x:c>
      <x:c r="T631" s="6" t="str">
        <x:v>-0.07325597427428931</x:v>
      </x:c>
      <x:c r="U631" s="8" t="str">
        <x:v>-0.05188872294450841</x:v>
      </x:c>
      <x:c r="V631" s="6" t="str">
        <x:v>8.051834329248464</x:v>
      </x:c>
      <x:c r="W631" s="8" t="str">
        <x:v>0.11880828912986871</x:v>
      </x:c>
      <x:c r="X631" s="6" t="str">
        <x:v>2.2257004326313714</x:v>
      </x:c>
      <x:c r="Y631" s="6" t="str">
        <x:v>2.9797144069106913</x:v>
      </x:c>
      <x:c r="Z631" s="6" t="str">
        <x:v>2.49958226173672</x:v>
      </x:c>
      <x:c r="AA631" s="6" t="str">
        <x:v>-0.15225226199163625</x:v>
      </x:c>
      <x:c r="AB631" s="6" t="str">
        <x:v>-0.06955138690423508</x:v>
      </x:c>
      <x:c r="AC631" s="6" t="str">
        <x:v>-0.09123079061346066</x:v>
      </x:c>
      <x:c r="AD631" s="6" t="str">
        <x:v>1.6922915489913253</x:v>
      </x:c>
      <x:c r="AE631" s="6" t="str">
        <x:v>0.17211248227072135</x:v>
      </x:c>
      <x:c r="AF631" s="6" t="str">
        <x:v>0.6610707734639718</x:v>
      </x:c>
      <x:c r="AG631" s="6" t="str">
        <x:v>0</x:v>
      </x:c>
      <x:c r="AH631" s="6" t="str">
        <x:v>1</x:v>
      </x:c>
      <x:c r="AI631" s="6" t="str">
        <x:v>2024-06</x:v>
      </x:c>
      <x:c r="AJ631" s="9" t="str">
        <x:v>NASA POWER (MERRA-2 meteorology)</x:v>
      </x:c>
      <x:c r="AK631" s="9" t="str">
        <x:v>Badan Informasi Geospasial (BIG)</x:v>
      </x:c>
      <x:c r="AL631" s="9" t="str">
        <x:v>https://power.larc.nasa.gov/docs/services/api/temporal/monthly/</x:v>
      </x:c>
      <x:c r="AM631" s="9" t="str">
        <x:v>https://geoservices.big.go.id/rbi/rest/services/BATASWILAYAH/BATAS_WILAYAH/MapServer/12</x:v>
      </x:c>
    </x:row>
    <x:row r="632" ht="18" customHeight="1">
      <x:c r="A632" s="6" t="str">
        <x:v>73</x:v>
      </x:c>
      <x:c r="B632" s="6" t="str">
        <x:v>SULAWESI SELATAN</x:v>
      </x:c>
      <x:c r="C632" s="6" t="str">
        <x:v>2024</x:v>
      </x:c>
      <x:c r="D632" s="6" t="str">
        <x:v>7</x:v>
      </x:c>
      <x:c r="E632" s="6" t="str">
        <x:v>23.137913965473643</x:v>
      </x:c>
      <x:c r="F632" s="9" t="str">
        <x:v>grid_cells_within_BIG_polygon</x:v>
      </x:c>
      <x:c r="G632" s="6" t="str">
        <x:v>10</x:v>
      </x:c>
      <x:c r="H632" s="8" t="str">
        <x:v>88.08172908126815</x:v>
      </x:c>
      <x:c r="I632" s="6" t="str">
        <x:v>12.387437233685604</x:v>
      </x:c>
      <x:c r="J632" s="6" t="str">
        <x:v>31</x:v>
      </x:c>
      <x:c r="K632" s="6" t="str">
        <x:v>384.01055424425374</x:v>
      </x:c>
      <x:c r="L632" s="6" t="str">
        <x:v>22.556206639103458</x:v>
      </x:c>
      <x:c r="M632" s="6" t="str">
        <x:v>0.3102852536901985</x:v>
      </x:c>
      <x:c r="N632" s="6" t="str">
        <x:v>86.9509870708272</x:v>
      </x:c>
      <x:c r="O632" s="6" t="str">
        <x:v>1.6915806653396337</x:v>
      </x:c>
      <x:c r="P632" s="6" t="str">
        <x:v>154.02195713823318</x:v>
      </x:c>
      <x:c r="Q632" s="6" t="str">
        <x:v>75.51947814709023</x:v>
      </x:c>
      <x:c r="R632" s="6" t="str">
        <x:v>0.5817073263701857</x:v>
      </x:c>
      <x:c r="S632" s="8" t="str">
        <x:v>1.8747501515202079</x:v>
      </x:c>
      <x:c r="T632" s="6" t="str">
        <x:v>1.1307420104409545</x:v>
      </x:c>
      <x:c r="U632" s="8" t="str">
        <x:v>0.6684529053859369</x:v>
      </x:c>
      <x:c r="V632" s="6" t="str">
        <x:v>229.98859710602056</x:v>
      </x:c>
      <x:c r="W632" s="8" t="str">
        <x:v>3.0454208999970698</x:v>
      </x:c>
      <x:c r="X632" s="6" t="str">
        <x:v>2.2933319456680974</x:v>
      </x:c>
      <x:c r="Y632" s="6" t="str">
        <x:v>2.2257004326313714</x:v>
      </x:c>
      <x:c r="Z632" s="6" t="str">
        <x:v>2.1312608432732256</x:v>
      </x:c>
      <x:c r="AA632" s="6" t="str">
        <x:v>-0.05188872294450841</x:v>
      </x:c>
      <x:c r="AB632" s="6" t="str">
        <x:v>-0.15225226199163625</x:v>
      </x:c>
      <x:c r="AC632" s="6" t="str">
        <x:v>0.15477064014993</x:v>
      </x:c>
      <x:c r="AD632" s="6" t="str">
        <x:v>0.11880828912986871</x:v>
      </x:c>
      <x:c r="AE632" s="6" t="str">
        <x:v>1.6922915489913253</x:v>
      </x:c>
      <x:c r="AF632" s="6" t="str">
        <x:v>1.6188402460394213</x:v>
      </x:c>
      <x:c r="AG632" s="6" t="str">
        <x:v>1</x:v>
      </x:c>
      <x:c r="AH632" s="6" t="str">
        <x:v>1</x:v>
      </x:c>
      <x:c r="AI632" s="6" t="str">
        <x:v>2024-07</x:v>
      </x:c>
      <x:c r="AJ632" s="9" t="str">
        <x:v>NASA POWER (MERRA-2 meteorology)</x:v>
      </x:c>
      <x:c r="AK632" s="9" t="str">
        <x:v>Badan Informasi Geospasial (BIG)</x:v>
      </x:c>
      <x:c r="AL632" s="9" t="str">
        <x:v>https://power.larc.nasa.gov/docs/services/api/temporal/monthly/</x:v>
      </x:c>
      <x:c r="AM632" s="9" t="str">
        <x:v>https://geoservices.big.go.id/rbi/rest/services/BATASWILAYAH/BATAS_WILAYAH/MapServer/12</x:v>
      </x:c>
    </x:row>
    <x:row r="633" ht="18" customHeight="1">
      <x:c r="A633" s="6" t="str">
        <x:v>73</x:v>
      </x:c>
      <x:c r="B633" s="6" t="str">
        <x:v>SULAWESI SELATAN</x:v>
      </x:c>
      <x:c r="C633" s="6" t="str">
        <x:v>2024</x:v>
      </x:c>
      <x:c r="D633" s="6" t="str">
        <x:v>8</x:v>
      </x:c>
      <x:c r="E633" s="6" t="str">
        <x:v>23.477711001861017</x:v>
      </x:c>
      <x:c r="F633" s="9" t="str">
        <x:v>grid_cells_within_BIG_polygon</x:v>
      </x:c>
      <x:c r="G633" s="6" t="str">
        <x:v>10</x:v>
      </x:c>
      <x:c r="H633" s="8" t="str">
        <x:v>84.30270749397441</x:v>
      </x:c>
      <x:c r="I633" s="6" t="str">
        <x:v>4.510891594687241</x:v>
      </x:c>
      <x:c r="J633" s="6" t="str">
        <x:v>31</x:v>
      </x:c>
      <x:c r="K633" s="6" t="str">
        <x:v>139.83763943530445</x:v>
      </x:c>
      <x:c r="L633" s="6" t="str">
        <x:v>22.73282186679334</x:v>
      </x:c>
      <x:c r="M633" s="6" t="str">
        <x:v>0.34316915029824396</x:v>
      </x:c>
      <x:c r="N633" s="6" t="str">
        <x:v>83.63157377403448</x:v>
      </x:c>
      <x:c r="O633" s="6" t="str">
        <x:v>2.3342107306257414</x:v>
      </x:c>
      <x:c r="P633" s="6" t="str">
        <x:v>107.65908820611823</x:v>
      </x:c>
      <x:c r="Q633" s="6" t="str">
        <x:v>81.82585959094686</x:v>
      </x:c>
      <x:c r="R633" s="6" t="str">
        <x:v>0.7448891350676767</x:v>
      </x:c>
      <x:c r="S633" s="8" t="str">
        <x:v>2.170618001123653</x:v>
      </x:c>
      <x:c r="T633" s="6" t="str">
        <x:v>0.671133719939931</x:v>
      </x:c>
      <x:c r="U633" s="8" t="str">
        <x:v>0.28752062148219903</x:v>
      </x:c>
      <x:c r="V633" s="6" t="str">
        <x:v>32.178551229186226</x:v>
      </x:c>
      <x:c r="W633" s="8" t="str">
        <x:v>0.3932565009405221</x:v>
      </x:c>
      <x:c r="X633" s="6" t="str">
        <x:v>1.8747501515202079</x:v>
      </x:c>
      <x:c r="Y633" s="6" t="str">
        <x:v>2.2933319456680974</x:v>
      </x:c>
      <x:c r="Z633" s="6" t="str">
        <x:v>2.112900032770653</x:v>
      </x:c>
      <x:c r="AA633" s="6" t="str">
        <x:v>0.6684529053859369</x:v>
      </x:c>
      <x:c r="AB633" s="6" t="str">
        <x:v>-0.05188872294450841</x:v>
      </x:c>
      <x:c r="AC633" s="6" t="str">
        <x:v>0.3013616013078751</x:v>
      </x:c>
      <x:c r="AD633" s="6" t="str">
        <x:v>3.0454208999970698</x:v>
      </x:c>
      <x:c r="AE633" s="6" t="str">
        <x:v>0.11880828912986871</x:v>
      </x:c>
      <x:c r="AF633" s="6" t="str">
        <x:v>1.1858285633558203</x:v>
      </x:c>
      <x:c r="AG633" s="6" t="str">
        <x:v>0</x:v>
      </x:c>
      <x:c r="AH633" s="6" t="str">
        <x:v>1</x:v>
      </x:c>
      <x:c r="AI633" s="6" t="str">
        <x:v>2024-08</x:v>
      </x:c>
      <x:c r="AJ633" s="9" t="str">
        <x:v>NASA POWER (MERRA-2 meteorology)</x:v>
      </x:c>
      <x:c r="AK633" s="9" t="str">
        <x:v>Badan Informasi Geospasial (BIG)</x:v>
      </x:c>
      <x:c r="AL633" s="9" t="str">
        <x:v>https://power.larc.nasa.gov/docs/services/api/temporal/monthly/</x:v>
      </x:c>
      <x:c r="AM633" s="9" t="str">
        <x:v>https://geoservices.big.go.id/rbi/rest/services/BATASWILAYAH/BATAS_WILAYAH/MapServer/12</x:v>
      </x:c>
    </x:row>
    <x:row r="634" ht="18" customHeight="1">
      <x:c r="A634" s="6" t="str">
        <x:v>73</x:v>
      </x:c>
      <x:c r="B634" s="6" t="str">
        <x:v>SULAWESI SELATAN</x:v>
      </x:c>
      <x:c r="C634" s="6" t="str">
        <x:v>2024</x:v>
      </x:c>
      <x:c r="D634" s="6" t="str">
        <x:v>9</x:v>
      </x:c>
      <x:c r="E634" s="6" t="str">
        <x:v>24.449266796218943</x:v>
      </x:c>
      <x:c r="F634" s="9" t="str">
        <x:v>grid_cells_within_BIG_polygon</x:v>
      </x:c>
      <x:c r="G634" s="6" t="str">
        <x:v>10</x:v>
      </x:c>
      <x:c r="H634" s="8" t="str">
        <x:v>80.74587336305596</x:v>
      </x:c>
      <x:c r="I634" s="6" t="str">
        <x:v>2.513632682213024</x:v>
      </x:c>
      <x:c r="J634" s="6" t="str">
        <x:v>30</x:v>
      </x:c>
      <x:c r="K634" s="6" t="str">
        <x:v>75.40898046639073</x:v>
      </x:c>
      <x:c r="L634" s="6" t="str">
        <x:v>23.41112563195373</x:v>
      </x:c>
      <x:c r="M634" s="6" t="str">
        <x:v>0.3360145221059775</x:v>
      </x:c>
      <x:c r="N634" s="6" t="str">
        <x:v>80.43774929560406</x:v>
      </x:c>
      <x:c r="O634" s="6" t="str">
        <x:v>3.000852658589662</x:v>
      </x:c>
      <x:c r="P634" s="6" t="str">
        <x:v>103.26619155834258</x:v>
      </x:c>
      <x:c r="Q634" s="6" t="str">
        <x:v>70.25769911903281</x:v>
      </x:c>
      <x:c r="R634" s="6" t="str">
        <x:v>1.0381411642652125</x:v>
      </x:c>
      <x:c r="S634" s="8" t="str">
        <x:v>3.089572313001958</x:v>
      </x:c>
      <x:c r="T634" s="6" t="str">
        <x:v>0.30812406745189946</x:v>
      </x:c>
      <x:c r="U634" s="8" t="str">
        <x:v>0.10267883915257317</x:v>
      </x:c>
      <x:c r="V634" s="6" t="str">
        <x:v>-27.857211091951854</x:v>
      </x:c>
      <x:c r="W634" s="8" t="str">
        <x:v>-0.3965004752682733</x:v>
      </x:c>
      <x:c r="X634" s="6" t="str">
        <x:v>2.170618001123653</x:v>
      </x:c>
      <x:c r="Y634" s="6" t="str">
        <x:v>1.8747501515202079</x:v>
      </x:c>
      <x:c r="Z634" s="6" t="str">
        <x:v>2.378313488548607</x:v>
      </x:c>
      <x:c r="AA634" s="6" t="str">
        <x:v>0.28752062148219903</x:v>
      </x:c>
      <x:c r="AB634" s="6" t="str">
        <x:v>0.6684529053859369</x:v>
      </x:c>
      <x:c r="AC634" s="6" t="str">
        <x:v>0.35288412200690233</x:v>
      </x:c>
      <x:c r="AD634" s="6" t="str">
        <x:v>0.3932565009405221</x:v>
      </x:c>
      <x:c r="AE634" s="6" t="str">
        <x:v>3.0454208999970698</x:v>
      </x:c>
      <x:c r="AF634" s="6" t="str">
        <x:v>1.0140589752231064</x:v>
      </x:c>
      <x:c r="AG634" s="6" t="str">
        <x:v>0</x:v>
      </x:c>
      <x:c r="AH634" s="6" t="str">
        <x:v>1</x:v>
      </x:c>
      <x:c r="AI634" s="6" t="str">
        <x:v>2024-09</x:v>
      </x:c>
      <x:c r="AJ634" s="9" t="str">
        <x:v>NASA POWER (MERRA-2 meteorology)</x:v>
      </x:c>
      <x:c r="AK634" s="9" t="str">
        <x:v>Badan Informasi Geospasial (BIG)</x:v>
      </x:c>
      <x:c r="AL634" s="9" t="str">
        <x:v>https://power.larc.nasa.gov/docs/services/api/temporal/monthly/</x:v>
      </x:c>
      <x:c r="AM634" s="9" t="str">
        <x:v>https://geoservices.big.go.id/rbi/rest/services/BATASWILAYAH/BATAS_WILAYAH/MapServer/12</x:v>
      </x:c>
    </x:row>
    <x:row r="635" ht="18" customHeight="1">
      <x:c r="A635" s="6" t="str">
        <x:v>73</x:v>
      </x:c>
      <x:c r="B635" s="6" t="str">
        <x:v>SULAWESI SELATAN</x:v>
      </x:c>
      <x:c r="C635" s="6" t="str">
        <x:v>2024</x:v>
      </x:c>
      <x:c r="D635" s="6" t="str">
        <x:v>10</x:v>
      </x:c>
      <x:c r="E635" s="6" t="str">
        <x:v>24.865041789840326</x:v>
      </x:c>
      <x:c r="F635" s="9" t="str">
        <x:v>grid_cells_within_BIG_polygon</x:v>
      </x:c>
      <x:c r="G635" s="6" t="str">
        <x:v>10</x:v>
      </x:c>
      <x:c r="H635" s="8" t="str">
        <x:v>80.47353484900735</x:v>
      </x:c>
      <x:c r="I635" s="6" t="str">
        <x:v>5.447132172359839</x:v>
      </x:c>
      <x:c r="J635" s="6" t="str">
        <x:v>31</x:v>
      </x:c>
      <x:c r="K635" s="6" t="str">
        <x:v>168.86109734315502</x:v>
      </x:c>
      <x:c r="L635" s="6" t="str">
        <x:v>24.177193852931225</x:v>
      </x:c>
      <x:c r="M635" s="6" t="str">
        <x:v>0.3183161766396557</x:v>
      </x:c>
      <x:c r="N635" s="6" t="str">
        <x:v>79.32238527058605</x:v>
      </x:c>
      <x:c r="O635" s="6" t="str">
        <x:v>4.655357329821051</x:v>
      </x:c>
      <x:c r="P635" s="6" t="str">
        <x:v>141.07946901870548</x:v>
      </x:c>
      <x:c r="Q635" s="6" t="str">
        <x:v>95.88134213359308</x:v>
      </x:c>
      <x:c r="R635" s="6" t="str">
        <x:v>0.6878479369091011</x:v>
      </x:c>
      <x:c r="S635" s="8" t="str">
        <x:v>2.16089532165928</x:v>
      </x:c>
      <x:c r="T635" s="6" t="str">
        <x:v>1.1511495784212968</x:v>
      </x:c>
      <x:c r="U635" s="8" t="str">
        <x:v>0.24727416111483463</x:v>
      </x:c>
      <x:c r="V635" s="6" t="str">
        <x:v>27.781628324449542</x:v>
      </x:c>
      <x:c r="W635" s="8" t="str">
        <x:v>0.2897500984679682</x:v>
      </x:c>
      <x:c r="X635" s="6" t="str">
        <x:v>3.089572313001958</x:v>
      </x:c>
      <x:c r="Y635" s="6" t="str">
        <x:v>2.170618001123653</x:v>
      </x:c>
      <x:c r="Z635" s="6" t="str">
        <x:v>2.4736952119282978</x:v>
      </x:c>
      <x:c r="AA635" s="6" t="str">
        <x:v>0.10267883915257317</x:v>
      </x:c>
      <x:c r="AB635" s="6" t="str">
        <x:v>0.28752062148219903</x:v>
      </x:c>
      <x:c r="AC635" s="6" t="str">
        <x:v>0.21249120724986822</x:v>
      </x:c>
      <x:c r="AD635" s="6" t="str">
        <x:v>-0.3965004752682733</x:v>
      </x:c>
      <x:c r="AE635" s="6" t="str">
        <x:v>0.3932565009405221</x:v>
      </x:c>
      <x:c r="AF635" s="6" t="str">
        <x:v>0.09550204138007247</x:v>
      </x:c>
      <x:c r="AG635" s="6" t="str">
        <x:v>0</x:v>
      </x:c>
      <x:c r="AH635" s="6" t="str">
        <x:v>1</x:v>
      </x:c>
      <x:c r="AI635" s="6" t="str">
        <x:v>2024-10</x:v>
      </x:c>
      <x:c r="AJ635" s="9" t="str">
        <x:v>NASA POWER (MERRA-2 meteorology)</x:v>
      </x:c>
      <x:c r="AK635" s="9" t="str">
        <x:v>Badan Informasi Geospasial (BIG)</x:v>
      </x:c>
      <x:c r="AL635" s="9" t="str">
        <x:v>https://power.larc.nasa.gov/docs/services/api/temporal/monthly/</x:v>
      </x:c>
      <x:c r="AM635" s="9" t="str">
        <x:v>https://geoservices.big.go.id/rbi/rest/services/BATASWILAYAH/BATAS_WILAYAH/MapServer/12</x:v>
      </x:c>
    </x:row>
    <x:row r="636" ht="18" customHeight="1">
      <x:c r="A636" s="6" t="str">
        <x:v>73</x:v>
      </x:c>
      <x:c r="B636" s="6" t="str">
        <x:v>SULAWESI SELATAN</x:v>
      </x:c>
      <x:c r="C636" s="6" t="str">
        <x:v>2024</x:v>
      </x:c>
      <x:c r="D636" s="6" t="str">
        <x:v>11</x:v>
      </x:c>
      <x:c r="E636" s="6" t="str">
        <x:v>24.78652672610615</x:v>
      </x:c>
      <x:c r="F636" s="9" t="str">
        <x:v>grid_cells_within_BIG_polygon</x:v>
      </x:c>
      <x:c r="G636" s="6" t="str">
        <x:v>10</x:v>
      </x:c>
      <x:c r="H636" s="8" t="str">
        <x:v>84.4455462376193</x:v>
      </x:c>
      <x:c r="I636" s="6" t="str">
        <x:v>8.972412450242508</x:v>
      </x:c>
      <x:c r="J636" s="6" t="str">
        <x:v>30</x:v>
      </x:c>
      <x:c r="K636" s="6" t="str">
        <x:v>269.17237350727527</x:v>
      </x:c>
      <x:c r="L636" s="6" t="str">
        <x:v>24.3948052684302</x:v>
      </x:c>
      <x:c r="M636" s="6" t="str">
        <x:v>0.5310242458703366</x:v>
      </x:c>
      <x:c r="N636" s="6" t="str">
        <x:v>82.00125289167055</x:v>
      </x:c>
      <x:c r="O636" s="6" t="str">
        <x:v>4.381141660388385</x:v>
      </x:c>
      <x:c r="P636" s="6" t="str">
        <x:v>196.11636537341954</x:v>
      </x:c>
      <x:c r="Q636" s="6" t="str">
        <x:v>98.79863662269601</x:v>
      </x:c>
      <x:c r="R636" s="6" t="str">
        <x:v>0.3917214576759491</x:v>
      </x:c>
      <x:c r="S636" s="8" t="str">
        <x:v>0.7376715107121458</x:v>
      </x:c>
      <x:c r="T636" s="6" t="str">
        <x:v>2.4442933459487506</x:v>
      </x:c>
      <x:c r="U636" s="8" t="str">
        <x:v>0.5579124199631713</x:v>
      </x:c>
      <x:c r="V636" s="6" t="str">
        <x:v>73.05600813385573</x:v>
      </x:c>
      <x:c r="W636" s="8" t="str">
        <x:v>0.7394434845578963</x:v>
      </x:c>
      <x:c r="X636" s="6" t="str">
        <x:v>2.16089532165928</x:v>
      </x:c>
      <x:c r="Y636" s="6" t="str">
        <x:v>3.089572313001958</x:v>
      </x:c>
      <x:c r="Z636" s="6" t="str">
        <x:v>1.9960463817911283</x:v>
      </x:c>
      <x:c r="AA636" s="6" t="str">
        <x:v>0.24727416111483463</x:v>
      </x:c>
      <x:c r="AB636" s="6" t="str">
        <x:v>0.10267883915257317</x:v>
      </x:c>
      <x:c r="AC636" s="6" t="str">
        <x:v>0.3026218067435256</x:v>
      </x:c>
      <x:c r="AD636" s="6" t="str">
        <x:v>0.2897500984679682</x:v>
      </x:c>
      <x:c r="AE636" s="6" t="str">
        <x:v>-0.3965004752682733</x:v>
      </x:c>
      <x:c r="AF636" s="6" t="str">
        <x:v>0.2108977025858639</x:v>
      </x:c>
      <x:c r="AG636" s="6" t="str">
        <x:v>0</x:v>
      </x:c>
      <x:c r="AH636" s="6" t="str">
        <x:v>0</x:v>
      </x:c>
      <x:c r="AI636" s="6" t="str">
        <x:v>2024-11</x:v>
      </x:c>
      <x:c r="AJ636" s="9" t="str">
        <x:v>NASA POWER (MERRA-2 meteorology)</x:v>
      </x:c>
      <x:c r="AK636" s="9" t="str">
        <x:v>Badan Informasi Geospasial (BIG)</x:v>
      </x:c>
      <x:c r="AL636" s="9" t="str">
        <x:v>https://power.larc.nasa.gov/docs/services/api/temporal/monthly/</x:v>
      </x:c>
      <x:c r="AM636" s="9" t="str">
        <x:v>https://geoservices.big.go.id/rbi/rest/services/BATASWILAYAH/BATAS_WILAYAH/MapServer/12</x:v>
      </x:c>
    </x:row>
    <x:row r="637" ht="18" customHeight="1">
      <x:c r="A637" s="6" t="str">
        <x:v>73</x:v>
      </x:c>
      <x:c r="B637" s="6" t="str">
        <x:v>SULAWESI SELATAN</x:v>
      </x:c>
      <x:c r="C637" s="6" t="str">
        <x:v>2024</x:v>
      </x:c>
      <x:c r="D637" s="6" t="str">
        <x:v>12</x:v>
      </x:c>
      <x:c r="E637" s="6" t="str">
        <x:v>24.038926247712435</x:v>
      </x:c>
      <x:c r="F637" s="9" t="str">
        <x:v>grid_cells_within_BIG_polygon</x:v>
      </x:c>
      <x:c r="G637" s="6" t="str">
        <x:v>10</x:v>
      </x:c>
      <x:c r="H637" s="8" t="str">
        <x:v>88.0175513867742</x:v>
      </x:c>
      <x:c r="I637" s="6" t="str">
        <x:v>14.086157831433862</x:v>
      </x:c>
      <x:c r="J637" s="6" t="str">
        <x:v>31</x:v>
      </x:c>
      <x:c r="K637" s="6" t="str">
        <x:v>436.6708927744497</x:v>
      </x:c>
      <x:c r="L637" s="6" t="str">
        <x:v>23.73982975004298</x:v>
      </x:c>
      <x:c r="M637" s="6" t="str">
        <x:v>0.5035808162370964</x:v>
      </x:c>
      <x:c r="N637" s="6" t="str">
        <x:v>86.68371371011186</x:v>
      </x:c>
      <x:c r="O637" s="6" t="str">
        <x:v>2.3377879045124033</x:v>
      </x:c>
      <x:c r="P637" s="6" t="str">
        <x:v>325.50667589609935</x:v>
      </x:c>
      <x:c r="Q637" s="6" t="str">
        <x:v>98.37387875567823</x:v>
      </x:c>
      <x:c r="R637" s="6" t="str">
        <x:v>0.29909649766945634</x:v>
      </x:c>
      <x:c r="S637" s="8" t="str">
        <x:v>0.5939394195044861</x:v>
      </x:c>
      <x:c r="T637" s="6" t="str">
        <x:v>1.3338376766623412</x:v>
      </x:c>
      <x:c r="U637" s="8" t="str">
        <x:v>0.5705554700183728</x:v>
      </x:c>
      <x:c r="V637" s="6" t="str">
        <x:v>111.16421687835037</x:v>
      </x:c>
      <x:c r="W637" s="8" t="str">
        <x:v>1.1300176254556178</x:v>
      </x:c>
      <x:c r="X637" s="6" t="str">
        <x:v>0.7376715107121458</x:v>
      </x:c>
      <x:c r="Y637" s="6" t="str">
        <x:v>2.16089532165928</x:v>
      </x:c>
      <x:c r="Z637" s="6" t="str">
        <x:v>1.1641687506253042</x:v>
      </x:c>
      <x:c r="AA637" s="6" t="str">
        <x:v>0.5579124199631713</x:v>
      </x:c>
      <x:c r="AB637" s="6" t="str">
        <x:v>0.24727416111483463</x:v>
      </x:c>
      <x:c r="AC637" s="6" t="str">
        <x:v>0.45858068369879224</x:v>
      </x:c>
      <x:c r="AD637" s="6" t="str">
        <x:v>0.7394434845578963</x:v>
      </x:c>
      <x:c r="AE637" s="6" t="str">
        <x:v>0.2897500984679682</x:v>
      </x:c>
      <x:c r="AF637" s="6" t="str">
        <x:v>0.7197370694938275</x:v>
      </x:c>
      <x:c r="AG637" s="6" t="str">
        <x:v>1</x:v>
      </x:c>
      <x:c r="AH637" s="6" t="str">
        <x:v>0</x:v>
      </x:c>
      <x:c r="AI637" s="6" t="str">
        <x:v>2024-12</x:v>
      </x:c>
      <x:c r="AJ637" s="9" t="str">
        <x:v>NASA POWER (MERRA-2 meteorology)</x:v>
      </x:c>
      <x:c r="AK637" s="9" t="str">
        <x:v>Badan Informasi Geospasial (BIG)</x:v>
      </x:c>
      <x:c r="AL637" s="9" t="str">
        <x:v>https://power.larc.nasa.gov/docs/services/api/temporal/monthly/</x:v>
      </x:c>
      <x:c r="AM637" s="9" t="str">
        <x:v>https://geoservices.big.go.id/rbi/rest/services/BATASWILAYAH/BATAS_WILAYAH/MapServer/12</x:v>
      </x:c>
    </x:row>
    <x:row r="638" ht="18" customHeight="1">
      <x:c r="A638" s="6" t="str">
        <x:v>73</x:v>
      </x:c>
      <x:c r="B638" s="6" t="str">
        <x:v>SULAWESI SELATAN</x:v>
      </x:c>
      <x:c r="C638" s="6" t="str">
        <x:v>2025</x:v>
      </x:c>
      <x:c r="D638" s="6" t="str">
        <x:v>1</x:v>
      </x:c>
      <x:c r="E638" s="6" t="str">
        <x:v>23.73796830124931</x:v>
      </x:c>
      <x:c r="F638" s="9" t="str">
        <x:v>grid_cells_within_BIG_polygon</x:v>
      </x:c>
      <x:c r="G638" s="6" t="str">
        <x:v>10</x:v>
      </x:c>
      <x:c r="H638" s="8" t="str">
        <x:v>88.6024384472565</x:v>
      </x:c>
      <x:c r="I638" s="6" t="str">
        <x:v>10.851265192463087</x:v>
      </x:c>
      <x:c r="J638" s="6" t="str">
        <x:v>31</x:v>
      </x:c>
      <x:c r="K638" s="6" t="str">
        <x:v>336.3892209663557</x:v>
      </x:c>
      <x:c r="L638" s="6" t="str">
        <x:v>23.377486508228973</x:v>
      </x:c>
      <x:c r="M638" s="6" t="str">
        <x:v>0.4587957143345602</x:v>
      </x:c>
      <x:c r="N638" s="6" t="str">
        <x:v>87.79509235693618</x:v>
      </x:c>
      <x:c r="O638" s="6" t="str">
        <x:v>1.6388264038186524</x:v>
      </x:c>
      <x:c r="P638" s="6" t="str">
        <x:v>334.51068427160334</x:v>
      </x:c>
      <x:c r="Q638" s="6" t="str">
        <x:v>107.94721479734235</x:v>
      </x:c>
      <x:c r="R638" s="6" t="str">
        <x:v>0.36048179302033745</x:v>
      </x:c>
      <x:c r="S638" s="8" t="str">
        <x:v>0.7857130782993085</x:v>
      </x:c>
      <x:c r="T638" s="6" t="str">
        <x:v>0.8073460903203227</x:v>
      </x:c>
      <x:c r="U638" s="8" t="str">
        <x:v>0.49263673592219054</x:v>
      </x:c>
      <x:c r="V638" s="6" t="str">
        <x:v>1.8785366947523698</x:v>
      </x:c>
      <x:c r="W638" s="8" t="str">
        <x:v>0.017402363722668453</x:v>
      </x:c>
      <x:c r="X638" s="6" t="str">
        <x:v>0.5939394195044861</x:v>
      </x:c>
      <x:c r="Y638" s="6" t="str">
        <x:v>0.7376715107121458</x:v>
      </x:c>
      <x:c r="Z638" s="6" t="str">
        <x:v>0.7057746695053138</x:v>
      </x:c>
      <x:c r="AA638" s="6" t="str">
        <x:v>0.5705554700183728</x:v>
      </x:c>
      <x:c r="AB638" s="6" t="str">
        <x:v>0.5579124199631713</x:v>
      </x:c>
      <x:c r="AC638" s="6" t="str">
        <x:v>0.5403682086345775</x:v>
      </x:c>
      <x:c r="AD638" s="6" t="str">
        <x:v>1.1300176254556178</x:v>
      </x:c>
      <x:c r="AE638" s="6" t="str">
        <x:v>0.7394434845578963</x:v>
      </x:c>
      <x:c r="AF638" s="6" t="str">
        <x:v>0.6289544912453943</x:v>
      </x:c>
      <x:c r="AG638" s="6" t="str">
        <x:v>0</x:v>
      </x:c>
      <x:c r="AH638" s="6" t="str">
        <x:v>0</x:v>
      </x:c>
      <x:c r="AI638" s="6" t="str">
        <x:v>2025-01</x:v>
      </x:c>
      <x:c r="AJ638" s="9" t="str">
        <x:v>NASA POWER (MERRA-2 meteorology)</x:v>
      </x:c>
      <x:c r="AK638" s="9" t="str">
        <x:v>Badan Informasi Geospasial (BIG)</x:v>
      </x:c>
      <x:c r="AL638" s="9" t="str">
        <x:v>https://power.larc.nasa.gov/docs/services/api/temporal/monthly/</x:v>
      </x:c>
      <x:c r="AM638" s="9" t="str">
        <x:v>https://geoservices.big.go.id/rbi/rest/services/BATASWILAYAH/BATAS_WILAYAH/MapServer/12</x:v>
      </x:c>
    </x:row>
    <x:row r="639" ht="18" customHeight="1">
      <x:c r="A639" s="6" t="str">
        <x:v>73</x:v>
      </x:c>
      <x:c r="B639" s="6" t="str">
        <x:v>SULAWESI SELATAN</x:v>
      </x:c>
      <x:c r="C639" s="6" t="str">
        <x:v>2025</x:v>
      </x:c>
      <x:c r="D639" s="6" t="str">
        <x:v>2</x:v>
      </x:c>
      <x:c r="E639" s="6" t="str">
        <x:v>23.676823170816373</x:v>
      </x:c>
      <x:c r="F639" s="9" t="str">
        <x:v>grid_cells_within_BIG_polygon</x:v>
      </x:c>
      <x:c r="G639" s="6" t="str">
        <x:v>10</x:v>
      </x:c>
      <x:c r="H639" s="8" t="str">
        <x:v>86.27745928158787</x:v>
      </x:c>
      <x:c r="I639" s="6" t="str">
        <x:v>8.795010392493822</x:v>
      </x:c>
      <x:c r="J639" s="6" t="str">
        <x:v>28</x:v>
      </x:c>
      <x:c r="K639" s="6" t="str">
        <x:v>246.260290989827</x:v>
      </x:c>
      <x:c r="L639" s="6" t="str">
        <x:v>23.443389234546235</x:v>
      </x:c>
      <x:c r="M639" s="6" t="str">
        <x:v>0.4244652869341489</x:v>
      </x:c>
      <x:c r="N639" s="6" t="str">
        <x:v>87.65695563298074</x:v>
      </x:c>
      <x:c r="O639" s="6" t="str">
        <x:v>1.2134891082432138</x:v>
      </x:c>
      <x:c r="P639" s="6" t="str">
        <x:v>282.81922976910533</x:v>
      </x:c>
      <x:c r="Q639" s="6" t="str">
        <x:v>100.07394017816652</x:v>
      </x:c>
      <x:c r="R639" s="6" t="str">
        <x:v>0.23343393627013853</x:v>
      </x:c>
      <x:c r="S639" s="8" t="str">
        <x:v>0.5499482371248728</x:v>
      </x:c>
      <x:c r="T639" s="6" t="str">
        <x:v>-1.3794963513928735</x:v>
      </x:c>
      <x:c r="U639" s="8" t="str">
        <x:v>-1.136801593044367</x:v>
      </x:c>
      <x:c r="V639" s="6" t="str">
        <x:v>-36.55893877927832</x:v>
      </x:c>
      <x:c r="W639" s="8" t="str">
        <x:v>-0.36531927007361414</x:v>
      </x:c>
      <x:c r="X639" s="6" t="str">
        <x:v>0.7857130782993085</x:v>
      </x:c>
      <x:c r="Y639" s="6" t="str">
        <x:v>0.5939394195044861</x:v>
      </x:c>
      <x:c r="Z639" s="6" t="str">
        <x:v>0.6432002449762227</x:v>
      </x:c>
      <x:c r="AA639" s="6" t="str">
        <x:v>0.49263673592219054</x:v>
      </x:c>
      <x:c r="AB639" s="6" t="str">
        <x:v>0.5705554700183728</x:v>
      </x:c>
      <x:c r="AC639" s="6" t="str">
        <x:v>-0.024536462367935313</x:v>
      </x:c>
      <x:c r="AD639" s="6" t="str">
        <x:v>0.017402363722668453</x:v>
      </x:c>
      <x:c r="AE639" s="6" t="str">
        <x:v>1.1300176254556178</x:v>
      </x:c>
      <x:c r="AF639" s="6" t="str">
        <x:v>0.2607002397015575</x:v>
      </x:c>
      <x:c r="AG639" s="6" t="str">
        <x:v>0</x:v>
      </x:c>
      <x:c r="AH639" s="6" t="str">
        <x:v>0</x:v>
      </x:c>
      <x:c r="AI639" s="6" t="str">
        <x:v>2025-02</x:v>
      </x:c>
      <x:c r="AJ639" s="9" t="str">
        <x:v>NASA POWER (MERRA-2 meteorology)</x:v>
      </x:c>
      <x:c r="AK639" s="9" t="str">
        <x:v>Badan Informasi Geospasial (BIG)</x:v>
      </x:c>
      <x:c r="AL639" s="9" t="str">
        <x:v>https://power.larc.nasa.gov/docs/services/api/temporal/monthly/</x:v>
      </x:c>
      <x:c r="AM639" s="9" t="str">
        <x:v>https://geoservices.big.go.id/rbi/rest/services/BATASWILAYAH/BATAS_WILAYAH/MapServer/12</x:v>
      </x:c>
    </x:row>
    <x:row r="640" ht="18" customHeight="1">
      <x:c r="A640" s="6" t="str">
        <x:v>73</x:v>
      </x:c>
      <x:c r="B640" s="6" t="str">
        <x:v>SULAWESI SELATAN</x:v>
      </x:c>
      <x:c r="C640" s="6" t="str">
        <x:v>2025</x:v>
      </x:c>
      <x:c r="D640" s="6" t="str">
        <x:v>3</x:v>
      </x:c>
      <x:c r="E640" s="6" t="str">
        <x:v>24.077766457252064</x:v>
      </x:c>
      <x:c r="F640" s="9" t="str">
        <x:v>grid_cells_within_BIG_polygon</x:v>
      </x:c>
      <x:c r="G640" s="6" t="str">
        <x:v>10</x:v>
      </x:c>
      <x:c r="H640" s="8" t="str">
        <x:v>86.80208923810865</x:v>
      </x:c>
      <x:c r="I640" s="6" t="str">
        <x:v>7.661454744853356</x:v>
      </x:c>
      <x:c r="J640" s="6" t="str">
        <x:v>31</x:v>
      </x:c>
      <x:c r="K640" s="6" t="str">
        <x:v>237.50509709045403</x:v>
      </x:c>
      <x:c r="L640" s="6" t="str">
        <x:v>23.615882190999812</x:v>
      </x:c>
      <x:c r="M640" s="6" t="str">
        <x:v>0.407250369626178</x:v>
      </x:c>
      <x:c r="N640" s="6" t="str">
        <x:v>87.44896170682168</x:v>
      </x:c>
      <x:c r="O640" s="6" t="str">
        <x:v>1.0485533416854247</x:v>
      </x:c>
      <x:c r="P640" s="6" t="str">
        <x:v>290.426222309978</x:v>
      </x:c>
      <x:c r="Q640" s="6" t="str">
        <x:v>83.9245978557448</x:v>
      </x:c>
      <x:c r="R640" s="6" t="str">
        <x:v>0.46188426625225176</x:v>
      </x:c>
      <x:c r="S640" s="8" t="str">
        <x:v>1.1341530927920904</x:v>
      </x:c>
      <x:c r="T640" s="6" t="str">
        <x:v>-0.6468724687130276</x:v>
      </x:c>
      <x:c r="U640" s="8" t="str">
        <x:v>-0.6169189901901005</x:v>
      </x:c>
      <x:c r="V640" s="6" t="str">
        <x:v>-52.92112521952399</x:v>
      </x:c>
      <x:c r="W640" s="8" t="str">
        <x:v>-0.630579431676138</x:v>
      </x:c>
      <x:c r="X640" s="6" t="str">
        <x:v>0.5499482371248728</x:v>
      </x:c>
      <x:c r="Y640" s="6" t="str">
        <x:v>0.7857130782993085</x:v>
      </x:c>
      <x:c r="Z640" s="6" t="str">
        <x:v>0.8232714694054243</x:v>
      </x:c>
      <x:c r="AA640" s="6" t="str">
        <x:v>-1.136801593044367</x:v>
      </x:c>
      <x:c r="AB640" s="6" t="str">
        <x:v>0.49263673592219054</x:v>
      </x:c>
      <x:c r="AC640" s="6" t="str">
        <x:v>-0.4203612824374264</x:v>
      </x:c>
      <x:c r="AD640" s="6" t="str">
        <x:v>-0.36531927007361414</x:v>
      </x:c>
      <x:c r="AE640" s="6" t="str">
        <x:v>0.017402363722668453</x:v>
      </x:c>
      <x:c r="AF640" s="6" t="str">
        <x:v>-0.32616544600902775</x:v>
      </x:c>
      <x:c r="AG640" s="6" t="str">
        <x:v>0</x:v>
      </x:c>
      <x:c r="AH640" s="6" t="str">
        <x:v>1</x:v>
      </x:c>
      <x:c r="AI640" s="6" t="str">
        <x:v>2025-03</x:v>
      </x:c>
      <x:c r="AJ640" s="9" t="str">
        <x:v>NASA POWER (MERRA-2 meteorology)</x:v>
      </x:c>
      <x:c r="AK640" s="9" t="str">
        <x:v>Badan Informasi Geospasial (BIG)</x:v>
      </x:c>
      <x:c r="AL640" s="9" t="str">
        <x:v>https://power.larc.nasa.gov/docs/services/api/temporal/monthly/</x:v>
      </x:c>
      <x:c r="AM640" s="9" t="str">
        <x:v>https://geoservices.big.go.id/rbi/rest/services/BATASWILAYAH/BATAS_WILAYAH/MapServer/12</x:v>
      </x:c>
    </x:row>
    <x:row r="641" ht="18" customHeight="1">
      <x:c r="A641" s="6" t="str">
        <x:v>73</x:v>
      </x:c>
      <x:c r="B641" s="6" t="str">
        <x:v>SULAWESI SELATAN</x:v>
      </x:c>
      <x:c r="C641" s="6" t="str">
        <x:v>2025</x:v>
      </x:c>
      <x:c r="D641" s="6" t="str">
        <x:v>4</x:v>
      </x:c>
      <x:c r="E641" s="6" t="str">
        <x:v>24.047572385487424</x:v>
      </x:c>
      <x:c r="F641" s="9" t="str">
        <x:v>grid_cells_within_BIG_polygon</x:v>
      </x:c>
      <x:c r="G641" s="6" t="str">
        <x:v>10</x:v>
      </x:c>
      <x:c r="H641" s="8" t="str">
        <x:v>86.0812727541459</x:v>
      </x:c>
      <x:c r="I641" s="6" t="str">
        <x:v>6.508452392680071</x:v>
      </x:c>
      <x:c r="J641" s="6" t="str">
        <x:v>30</x:v>
      </x:c>
      <x:c r="K641" s="6" t="str">
        <x:v>195.25357178040213</x:v>
      </x:c>
      <x:c r="L641" s="6" t="str">
        <x:v>23.71882590977397</x:v>
      </x:c>
      <x:c r="M641" s="6" t="str">
        <x:v>0.36409057176447107</x:v>
      </x:c>
      <x:c r="N641" s="6" t="str">
        <x:v>88.15434432450343</x:v>
      </x:c>
      <x:c r="O641" s="6" t="str">
        <x:v>1.040876384290327</x:v>
      </x:c>
      <x:c r="P641" s="6" t="str">
        <x:v>287.4011157940487</x:v>
      </x:c>
      <x:c r="Q641" s="6" t="str">
        <x:v>83.42475083859247</x:v>
      </x:c>
      <x:c r="R641" s="6" t="str">
        <x:v>0.32874647571345506</x:v>
      </x:c>
      <x:c r="S641" s="8" t="str">
        <x:v>0.9029249895713312</x:v>
      </x:c>
      <x:c r="T641" s="6" t="str">
        <x:v>-2.073071570357527</x:v>
      </x:c>
      <x:c r="U641" s="8" t="str">
        <x:v>-1.9916597221782049</x:v>
      </x:c>
      <x:c r="V641" s="6" t="str">
        <x:v>-92.14754401364655</x:v>
      </x:c>
      <x:c r="W641" s="8" t="str">
        <x:v>-1.1045588160272801</x:v>
      </x:c>
      <x:c r="X641" s="6" t="str">
        <x:v>1.1341530927920904</x:v>
      </x:c>
      <x:c r="Y641" s="6" t="str">
        <x:v>0.5499482371248728</x:v>
      </x:c>
      <x:c r="Z641" s="6" t="str">
        <x:v>0.8623421064960984</x:v>
      </x:c>
      <x:c r="AA641" s="6" t="str">
        <x:v>-0.6169189901901005</x:v>
      </x:c>
      <x:c r="AB641" s="6" t="str">
        <x:v>-1.136801593044367</x:v>
      </x:c>
      <x:c r="AC641" s="6" t="str">
        <x:v>-1.248460101804225</x:v>
      </x:c>
      <x:c r="AD641" s="6" t="str">
        <x:v>-0.630579431676138</x:v>
      </x:c>
      <x:c r="AE641" s="6" t="str">
        <x:v>-0.36531927007361414</x:v>
      </x:c>
      <x:c r="AF641" s="6" t="str">
        <x:v>-0.7001525059256773</x:v>
      </x:c>
      <x:c r="AG641" s="6" t="str">
        <x:v>0</x:v>
      </x:c>
      <x:c r="AH641" s="6" t="str">
        <x:v>0</x:v>
      </x:c>
      <x:c r="AI641" s="6" t="str">
        <x:v>2025-04</x:v>
      </x:c>
      <x:c r="AJ641" s="9" t="str">
        <x:v>NASA POWER (MERRA-2 meteorology)</x:v>
      </x:c>
      <x:c r="AK641" s="9" t="str">
        <x:v>Badan Informasi Geospasial (BIG)</x:v>
      </x:c>
      <x:c r="AL641" s="9" t="str">
        <x:v>https://power.larc.nasa.gov/docs/services/api/temporal/monthly/</x:v>
      </x:c>
      <x:c r="AM641" s="9" t="str">
        <x:v>https://geoservices.big.go.id/rbi/rest/services/BATASWILAYAH/BATAS_WILAYAH/MapServer/12</x:v>
      </x:c>
    </x:row>
    <x:row r="642" ht="18" customHeight="1">
      <x:c r="A642" s="6" t="str">
        <x:v>73</x:v>
      </x:c>
      <x:c r="B642" s="6" t="str">
        <x:v>SULAWESI SELATAN</x:v>
      </x:c>
      <x:c r="C642" s="6" t="str">
        <x:v>2025</x:v>
      </x:c>
      <x:c r="D642" s="6" t="str">
        <x:v>5</x:v>
      </x:c>
      <x:c r="E642" s="6" t="str">
        <x:v>24.200772667753355</x:v>
      </x:c>
      <x:c r="F642" s="9" t="str">
        <x:v>grid_cells_within_BIG_polygon</x:v>
      </x:c>
      <x:c r="G642" s="6" t="str">
        <x:v>10</x:v>
      </x:c>
      <x:c r="H642" s="8" t="str">
        <x:v>87.36429525160995</x:v>
      </x:c>
      <x:c r="I642" s="6" t="str">
        <x:v>6.232002733764175</x:v>
      </x:c>
      <x:c r="J642" s="6" t="str">
        <x:v>31</x:v>
      </x:c>
      <x:c r="K642" s="6" t="str">
        <x:v>193.19208474668943</x:v>
      </x:c>
      <x:c r="L642" s="6" t="str">
        <x:v>23.57943881400384</x:v>
      </x:c>
      <x:c r="M642" s="6" t="str">
        <x:v>0.39825090513073097</x:v>
      </x:c>
      <x:c r="N642" s="6" t="str">
        <x:v>88.38701669066589</x:v>
      </x:c>
      <x:c r="O642" s="6" t="str">
        <x:v>0.8778243470085839</x:v>
      </x:c>
      <x:c r="P642" s="6" t="str">
        <x:v>240.73015338943864</x:v>
      </x:c>
      <x:c r="Q642" s="6" t="str">
        <x:v>72.26935544429254</x:v>
      </x:c>
      <x:c r="R642" s="6" t="str">
        <x:v>0.6213338537495154</x:v>
      </x:c>
      <x:c r="S642" s="8" t="str">
        <x:v>1.5601567899652473</x:v>
      </x:c>
      <x:c r="T642" s="6" t="str">
        <x:v>-1.0227214390559425</x:v>
      </x:c>
      <x:c r="U642" s="8" t="str">
        <x:v>-1.1650638792842023</x:v>
      </x:c>
      <x:c r="V642" s="6" t="str">
        <x:v>-47.53806864274921</x:v>
      </x:c>
      <x:c r="W642" s="8" t="str">
        <x:v>-0.6577901290318415</x:v>
      </x:c>
      <x:c r="X642" s="6" t="str">
        <x:v>0.9029249895713312</x:v>
      </x:c>
      <x:c r="Y642" s="6" t="str">
        <x:v>1.1341530927920904</x:v>
      </x:c>
      <x:c r="Z642" s="6" t="str">
        <x:v>1.1990782907762234</x:v>
      </x:c>
      <x:c r="AA642" s="6" t="str">
        <x:v>-1.9916597221782049</x:v>
      </x:c>
      <x:c r="AB642" s="6" t="str">
        <x:v>-0.6169189901901005</x:v>
      </x:c>
      <x:c r="AC642" s="6" t="str">
        <x:v>-1.25788086388417</x:v>
      </x:c>
      <x:c r="AD642" s="6" t="str">
        <x:v>-1.1045588160272801</x:v>
      </x:c>
      <x:c r="AE642" s="6" t="str">
        <x:v>-0.630579431676138</x:v>
      </x:c>
      <x:c r="AF642" s="6" t="str">
        <x:v>-0.7976427922450865</x:v>
      </x:c>
      <x:c r="AG642" s="6" t="str">
        <x:v>0</x:v>
      </x:c>
      <x:c r="AH642" s="6" t="str">
        <x:v>1</x:v>
      </x:c>
      <x:c r="AI642" s="6" t="str">
        <x:v>2025-05</x:v>
      </x:c>
      <x:c r="AJ642" s="9" t="str">
        <x:v>NASA POWER (MERRA-2 meteorology)</x:v>
      </x:c>
      <x:c r="AK642" s="9" t="str">
        <x:v>Badan Informasi Geospasial (BIG)</x:v>
      </x:c>
      <x:c r="AL642" s="9" t="str">
        <x:v>https://power.larc.nasa.gov/docs/services/api/temporal/monthly/</x:v>
      </x:c>
      <x:c r="AM642" s="9" t="str">
        <x:v>https://geoservices.big.go.id/rbi/rest/services/BATASWILAYAH/BATAS_WILAYAH/MapServer/12</x:v>
      </x:c>
    </x:row>
    <x:row r="643" ht="18" customHeight="1">
      <x:c r="A643" s="6" t="str">
        <x:v>73</x:v>
      </x:c>
      <x:c r="B643" s="6" t="str">
        <x:v>SULAWESI SELATAN</x:v>
      </x:c>
      <x:c r="C643" s="6" t="str">
        <x:v>2025</x:v>
      </x:c>
      <x:c r="D643" s="6" t="str">
        <x:v>6</x:v>
      </x:c>
      <x:c r="E643" s="6" t="str">
        <x:v>23.23474202503348</x:v>
      </x:c>
      <x:c r="F643" s="9" t="str">
        <x:v>grid_cells_within_BIG_polygon</x:v>
      </x:c>
      <x:c r="G643" s="6" t="str">
        <x:v>10</x:v>
      </x:c>
      <x:c r="H643" s="8" t="str">
        <x:v>88.17693847343233</x:v>
      </x:c>
      <x:c r="I643" s="6" t="str">
        <x:v>5.1162289854345175</x:v>
      </x:c>
      <x:c r="J643" s="6" t="str">
        <x:v>30</x:v>
      </x:c>
      <x:c r="K643" s="6" t="str">
        <x:v>153.48686956303553</x:v>
      </x:c>
      <x:c r="L643" s="6" t="str">
        <x:v>22.97161059639061</x:v>
      </x:c>
      <x:c r="M643" s="6" t="str">
        <x:v>0.30968593587708104</x:v>
      </x:c>
      <x:c r="N643" s="6" t="str">
        <x:v>88.6019604077274</x:v>
      </x:c>
      <x:c r="O643" s="6" t="str">
        <x:v>1.4117898864582152</x:v>
      </x:c>
      <x:c r="P643" s="6" t="str">
        <x:v>232.1559281611985</x:v>
      </x:c>
      <x:c r="Q643" s="6" t="str">
        <x:v>67.77165455557606</x:v>
      </x:c>
      <x:c r="R643" s="6" t="str">
        <x:v>0.2631314286428683</x:v>
      </x:c>
      <x:c r="S643" s="8" t="str">
        <x:v>0.8496718712706058</x:v>
      </x:c>
      <x:c r="T643" s="6" t="str">
        <x:v>-0.4250219342950743</x:v>
      </x:c>
      <x:c r="U643" s="8" t="str">
        <x:v>-0.30105183382587836</x:v>
      </x:c>
      <x:c r="V643" s="6" t="str">
        <x:v>-78.66905859816296</x:v>
      </x:c>
      <x:c r="W643" s="8" t="str">
        <x:v>-1.1607958978432569</x:v>
      </x:c>
      <x:c r="X643" s="6" t="str">
        <x:v>1.5601567899652473</x:v>
      </x:c>
      <x:c r="Y643" s="6" t="str">
        <x:v>0.9029249895713312</x:v>
      </x:c>
      <x:c r="Z643" s="6" t="str">
        <x:v>1.1042512169357284</x:v>
      </x:c>
      <x:c r="AA643" s="6" t="str">
        <x:v>-1.1650638792842023</x:v>
      </x:c>
      <x:c r="AB643" s="6" t="str">
        <x:v>-1.9916597221782049</x:v>
      </x:c>
      <x:c r="AC643" s="6" t="str">
        <x:v>-1.1525918117627627</x:v>
      </x:c>
      <x:c r="AD643" s="6" t="str">
        <x:v>-0.6577901290318415</x:v>
      </x:c>
      <x:c r="AE643" s="6" t="str">
        <x:v>-1.1045588160272801</x:v>
      </x:c>
      <x:c r="AF643" s="6" t="str">
        <x:v>-0.9743816143007926</x:v>
      </x:c>
      <x:c r="AG643" s="6" t="str">
        <x:v>0</x:v>
      </x:c>
      <x:c r="AH643" s="6" t="str">
        <x:v>0</x:v>
      </x:c>
      <x:c r="AI643" s="6" t="str">
        <x:v>2025-06</x:v>
      </x:c>
      <x:c r="AJ643" s="9" t="str">
        <x:v>NASA POWER (MERRA-2 meteorology)</x:v>
      </x:c>
      <x:c r="AK643" s="9" t="str">
        <x:v>Badan Informasi Geospasial (BIG)</x:v>
      </x:c>
      <x:c r="AL643" s="9" t="str">
        <x:v>https://power.larc.nasa.gov/docs/services/api/temporal/monthly/</x:v>
      </x:c>
      <x:c r="AM643" s="9" t="str">
        <x:v>https://geoservices.big.go.id/rbi/rest/services/BATASWILAYAH/BATAS_WILAYAH/MapServer/12</x:v>
      </x:c>
    </x:row>
    <x:row r="644" ht="18" customHeight="1">
      <x:c r="A644" s="6" t="str">
        <x:v>73</x:v>
      </x:c>
      <x:c r="B644" s="6" t="str">
        <x:v>SULAWESI SELATAN</x:v>
      </x:c>
      <x:c r="C644" s="6" t="str">
        <x:v>2025</x:v>
      </x:c>
      <x:c r="D644" s="6" t="str">
        <x:v>7</x:v>
      </x:c>
      <x:c r="E644" s="6" t="str">
        <x:v>23.048972111241046</x:v>
      </x:c>
      <x:c r="F644" s="9" t="str">
        <x:v>grid_cells_within_BIG_polygon</x:v>
      </x:c>
      <x:c r="G644" s="6" t="str">
        <x:v>10</x:v>
      </x:c>
      <x:c r="H644" s="8" t="str">
        <x:v>87.26847565476714</x:v>
      </x:c>
      <x:c r="I644" s="6" t="str">
        <x:v>3.9360413080394423</x:v>
      </x:c>
      <x:c r="J644" s="6" t="str">
        <x:v>31</x:v>
      </x:c>
      <x:c r="K644" s="6" t="str">
        <x:v>122.0172805492227</x:v>
      </x:c>
      <x:c r="L644" s="6" t="str">
        <x:v>22.556206639103458</x:v>
      </x:c>
      <x:c r="M644" s="6" t="str">
        <x:v>0.3102852536901985</x:v>
      </x:c>
      <x:c r="N644" s="6" t="str">
        <x:v>86.9509870708272</x:v>
      </x:c>
      <x:c r="O644" s="6" t="str">
        <x:v>1.6915806653396337</x:v>
      </x:c>
      <x:c r="P644" s="6" t="str">
        <x:v>154.02195713823318</x:v>
      </x:c>
      <x:c r="Q644" s="6" t="str">
        <x:v>75.51947814709023</x:v>
      </x:c>
      <x:c r="R644" s="6" t="str">
        <x:v>0.49276547213758803</x:v>
      </x:c>
      <x:c r="S644" s="8" t="str">
        <x:v>1.5881047077718533</x:v>
      </x:c>
      <x:c r="T644" s="6" t="str">
        <x:v>0.31748858393994794</x:v>
      </x:c>
      <x:c r="U644" s="8" t="str">
        <x:v>0.18768752235424904</x:v>
      </x:c>
      <x:c r="V644" s="6" t="str">
        <x:v>-32.00467658901047</x:v>
      </x:c>
      <x:c r="W644" s="8" t="str">
        <x:v>-0.42379366720032896</x:v>
      </x:c>
      <x:c r="X644" s="6" t="str">
        <x:v>0.8496718712706058</x:v>
      </x:c>
      <x:c r="Y644" s="6" t="str">
        <x:v>1.5601567899652473</x:v>
      </x:c>
      <x:c r="Z644" s="6" t="str">
        <x:v>1.3326444563359023</x:v>
      </x:c>
      <x:c r="AA644" s="6" t="str">
        <x:v>-0.30105183382587836</x:v>
      </x:c>
      <x:c r="AB644" s="6" t="str">
        <x:v>-1.1650638792842023</x:v>
      </x:c>
      <x:c r="AC644" s="6" t="str">
        <x:v>-0.42614273025194466</x:v>
      </x:c>
      <x:c r="AD644" s="6" t="str">
        <x:v>-1.1607958978432569</x:v>
      </x:c>
      <x:c r="AE644" s="6" t="str">
        <x:v>-0.6577901290318415</x:v>
      </x:c>
      <x:c r="AF644" s="6" t="str">
        <x:v>-0.7474598980251423</x:v>
      </x:c>
      <x:c r="AG644" s="6" t="str">
        <x:v>0</x:v>
      </x:c>
      <x:c r="AH644" s="6" t="str">
        <x:v>1</x:v>
      </x:c>
      <x:c r="AI644" s="6" t="str">
        <x:v>2025-07</x:v>
      </x:c>
      <x:c r="AJ644" s="9" t="str">
        <x:v>NASA POWER (MERRA-2 meteorology)</x:v>
      </x:c>
      <x:c r="AK644" s="9" t="str">
        <x:v>Badan Informasi Geospasial (BIG)</x:v>
      </x:c>
      <x:c r="AL644" s="9" t="str">
        <x:v>https://power.larc.nasa.gov/docs/services/api/temporal/monthly/</x:v>
      </x:c>
      <x:c r="AM644" s="9" t="str">
        <x:v>https://geoservices.big.go.id/rbi/rest/services/BATASWILAYAH/BATAS_WILAYAH/MapServer/12</x:v>
      </x:c>
    </x:row>
    <x:row r="645" ht="18" customHeight="1">
      <x:c r="A645" s="6" t="str">
        <x:v>73</x:v>
      </x:c>
      <x:c r="B645" s="6" t="str">
        <x:v>SULAWESI SELATAN</x:v>
      </x:c>
      <x:c r="C645" s="6" t="str">
        <x:v>2025</x:v>
      </x:c>
      <x:c r="D645" s="6" t="str">
        <x:v>8</x:v>
      </x:c>
      <x:c r="E645" s="6" t="str">
        <x:v>23.15866673598781</x:v>
      </x:c>
      <x:c r="F645" s="9" t="str">
        <x:v>grid_cells_within_BIG_polygon</x:v>
      </x:c>
      <x:c r="G645" s="6" t="str">
        <x:v>10</x:v>
      </x:c>
      <x:c r="H645" s="8" t="str">
        <x:v>84.83449984573637</x:v>
      </x:c>
      <x:c r="I645" s="6" t="str">
        <x:v>3.295673290046921</x:v>
      </x:c>
      <x:c r="J645" s="6" t="str">
        <x:v>31</x:v>
      </x:c>
      <x:c r="K645" s="6" t="str">
        <x:v>102.16587199145455</x:v>
      </x:c>
      <x:c r="L645" s="6" t="str">
        <x:v>22.73282186679334</x:v>
      </x:c>
      <x:c r="M645" s="6" t="str">
        <x:v>0.34316915029824396</x:v>
      </x:c>
      <x:c r="N645" s="6" t="str">
        <x:v>83.63157377403448</x:v>
      </x:c>
      <x:c r="O645" s="6" t="str">
        <x:v>2.3342107306257414</x:v>
      </x:c>
      <x:c r="P645" s="6" t="str">
        <x:v>107.65908820611823</x:v>
      </x:c>
      <x:c r="Q645" s="6" t="str">
        <x:v>81.82585959094686</x:v>
      </x:c>
      <x:c r="R645" s="6" t="str">
        <x:v>0.42584486919447073</x:v>
      </x:c>
      <x:c r="S645" s="8" t="str">
        <x:v>1.2409182725905705</x:v>
      </x:c>
      <x:c r="T645" s="6" t="str">
        <x:v>1.2029260717018957</x:v>
      </x:c>
      <x:c r="U645" s="8" t="str">
        <x:v>0.5153459608076698</x:v>
      </x:c>
      <x:c r="V645" s="6" t="str">
        <x:v>-5.493216214663676</x:v>
      </x:c>
      <x:c r="W645" s="8" t="str">
        <x:v>-0.06713300956598127</x:v>
      </x:c>
      <x:c r="X645" s="6" t="str">
        <x:v>1.5881047077718533</x:v>
      </x:c>
      <x:c r="Y645" s="6" t="str">
        <x:v>0.8496718712706058</x:v>
      </x:c>
      <x:c r="Z645" s="6" t="str">
        <x:v>1.22623161721101</x:v>
      </x:c>
      <x:c r="AA645" s="6" t="str">
        <x:v>0.18768752235424904</x:v>
      </x:c>
      <x:c r="AB645" s="6" t="str">
        <x:v>-0.30105183382587836</x:v>
      </x:c>
      <x:c r="AC645" s="6" t="str">
        <x:v>0.13399388311201277</x:v>
      </x:c>
      <x:c r="AD645" s="6" t="str">
        <x:v>-0.42379366720032896</x:v>
      </x:c>
      <x:c r="AE645" s="6" t="str">
        <x:v>-1.1607958978432569</x:v>
      </x:c>
      <x:c r="AF645" s="6" t="str">
        <x:v>-0.5505741915365222</x:v>
      </x:c>
      <x:c r="AG645" s="6" t="str">
        <x:v>0</x:v>
      </x:c>
      <x:c r="AH645" s="6" t="str">
        <x:v>1</x:v>
      </x:c>
      <x:c r="AI645" s="6" t="str">
        <x:v>2025-08</x:v>
      </x:c>
      <x:c r="AJ645" s="9" t="str">
        <x:v>NASA POWER (MERRA-2 meteorology)</x:v>
      </x:c>
      <x:c r="AK645" s="9" t="str">
        <x:v>Badan Informasi Geospasial (BIG)</x:v>
      </x:c>
      <x:c r="AL645" s="9" t="str">
        <x:v>https://power.larc.nasa.gov/docs/services/api/temporal/monthly/</x:v>
      </x:c>
      <x:c r="AM645" s="9" t="str">
        <x:v>https://geoservices.big.go.id/rbi/rest/services/BATASWILAYAH/BATAS_WILAYAH/MapServer/12</x:v>
      </x:c>
    </x:row>
    <x:row r="646" ht="18" customHeight="1">
      <x:c r="A646" s="6" t="str">
        <x:v>73</x:v>
      </x:c>
      <x:c r="B646" s="6" t="str">
        <x:v>SULAWESI SELATAN</x:v>
      </x:c>
      <x:c r="C646" s="6" t="str">
        <x:v>2025</x:v>
      </x:c>
      <x:c r="D646" s="6" t="str">
        <x:v>9</x:v>
      </x:c>
      <x:c r="E646" s="6" t="str">
        <x:v>24.058338911288548</x:v>
      </x:c>
      <x:c r="F646" s="9" t="str">
        <x:v>grid_cells_within_BIG_polygon</x:v>
      </x:c>
      <x:c r="G646" s="6" t="str">
        <x:v>10</x:v>
      </x:c>
      <x:c r="H646" s="8" t="str">
        <x:v>81.2466518968113</x:v>
      </x:c>
      <x:c r="I646" s="6" t="str">
        <x:v>2.569725718377697</x:v>
      </x:c>
      <x:c r="J646" s="6" t="str">
        <x:v>30</x:v>
      </x:c>
      <x:c r="K646" s="6" t="str">
        <x:v>77.09177155133091</x:v>
      </x:c>
      <x:c r="L646" s="6" t="str">
        <x:v>23.41112563195373</x:v>
      </x:c>
      <x:c r="M646" s="6" t="str">
        <x:v>0.3360145221059775</x:v>
      </x:c>
      <x:c r="N646" s="6" t="str">
        <x:v>80.43774929560406</x:v>
      </x:c>
      <x:c r="O646" s="6" t="str">
        <x:v>3.000852658589662</x:v>
      </x:c>
      <x:c r="P646" s="6" t="str">
        <x:v>103.26619155834258</x:v>
      </x:c>
      <x:c r="Q646" s="6" t="str">
        <x:v>70.25769911903281</x:v>
      </x:c>
      <x:c r="R646" s="6" t="str">
        <x:v>0.6472132793348173</x:v>
      </x:c>
      <x:c r="S646" s="8" t="str">
        <x:v>1.9261467488916717</x:v>
      </x:c>
      <x:c r="T646" s="6" t="str">
        <x:v>0.8089026012072367</x:v>
      </x:c>
      <x:c r="U646" s="8" t="str">
        <x:v>0.269557586871794</x:v>
      </x:c>
      <x:c r="V646" s="6" t="str">
        <x:v>-26.174420007011676</x:v>
      </x:c>
      <x:c r="W646" s="8" t="str">
        <x:v>-0.37254877878460196</x:v>
      </x:c>
      <x:c r="X646" s="6" t="str">
        <x:v>1.2409182725905705</x:v>
      </x:c>
      <x:c r="Y646" s="6" t="str">
        <x:v>1.5881047077718533</x:v>
      </x:c>
      <x:c r="Z646" s="6" t="str">
        <x:v>1.585056576418032</x:v>
      </x:c>
      <x:c r="AA646" s="6" t="str">
        <x:v>0.5153459608076698</x:v>
      </x:c>
      <x:c r="AB646" s="6" t="str">
        <x:v>0.18768752235424904</x:v>
      </x:c>
      <x:c r="AC646" s="6" t="str">
        <x:v>0.32419702334457023</x:v>
      </x:c>
      <x:c r="AD646" s="6" t="str">
        <x:v>-0.06713300956598127</x:v>
      </x:c>
      <x:c r="AE646" s="6" t="str">
        <x:v>-0.42379366720032896</x:v>
      </x:c>
      <x:c r="AF646" s="6" t="str">
        <x:v>-0.28782515185030394</x:v>
      </x:c>
      <x:c r="AG646" s="6" t="str">
        <x:v>0</x:v>
      </x:c>
      <x:c r="AH646" s="6" t="str">
        <x:v>1</x:v>
      </x:c>
      <x:c r="AI646" s="6" t="str">
        <x:v>2025-09</x:v>
      </x:c>
      <x:c r="AJ646" s="9" t="str">
        <x:v>NASA POWER (MERRA-2 meteorology)</x:v>
      </x:c>
      <x:c r="AK646" s="9" t="str">
        <x:v>Badan Informasi Geospasial (BIG)</x:v>
      </x:c>
      <x:c r="AL646" s="9" t="str">
        <x:v>https://power.larc.nasa.gov/docs/services/api/temporal/monthly/</x:v>
      </x:c>
      <x:c r="AM646" s="9" t="str">
        <x:v>https://geoservices.big.go.id/rbi/rest/services/BATASWILAYAH/BATAS_WILAYAH/MapServer/12</x:v>
      </x:c>
    </x:row>
    <x:row r="647" ht="18" customHeight="1">
      <x:c r="A647" s="6" t="str">
        <x:v>73</x:v>
      </x:c>
      <x:c r="B647" s="6" t="str">
        <x:v>SULAWESI SELATAN</x:v>
      </x:c>
      <x:c r="C647" s="6" t="str">
        <x:v>2025</x:v>
      </x:c>
      <x:c r="D647" s="6" t="str">
        <x:v>10</x:v>
      </x:c>
      <x:c r="E647" s="6" t="str">
        <x:v>24.625162707710498</x:v>
      </x:c>
      <x:c r="F647" s="9" t="str">
        <x:v>grid_cells_within_BIG_polygon</x:v>
      </x:c>
      <x:c r="G647" s="6" t="str">
        <x:v>10</x:v>
      </x:c>
      <x:c r="H647" s="8" t="str">
        <x:v>80.79546866879588</x:v>
      </x:c>
      <x:c r="I647" s="6" t="str">
        <x:v>5.555690732882104</x:v>
      </x:c>
      <x:c r="J647" s="6" t="str">
        <x:v>31</x:v>
      </x:c>
      <x:c r="K647" s="6" t="str">
        <x:v>172.2264127193452</x:v>
      </x:c>
      <x:c r="L647" s="6" t="str">
        <x:v>24.177193852931225</x:v>
      </x:c>
      <x:c r="M647" s="6" t="str">
        <x:v>0.3183161766396557</x:v>
      </x:c>
      <x:c r="N647" s="6" t="str">
        <x:v>79.32238527058605</x:v>
      </x:c>
      <x:c r="O647" s="6" t="str">
        <x:v>4.655357329821051</x:v>
      </x:c>
      <x:c r="P647" s="6" t="str">
        <x:v>141.07946901870548</x:v>
      </x:c>
      <x:c r="Q647" s="6" t="str">
        <x:v>95.88134213359308</x:v>
      </x:c>
      <x:c r="R647" s="6" t="str">
        <x:v>0.4479688547792726</x:v>
      </x:c>
      <x:c r="S647" s="8" t="str">
        <x:v>1.4073078519235545</x:v>
      </x:c>
      <x:c r="T647" s="6" t="str">
        <x:v>1.4730833982098233</x:v>
      </x:c>
      <x:c r="U647" s="8" t="str">
        <x:v>0.3164275680351368</x:v>
      </x:c>
      <x:c r="V647" s="6" t="str">
        <x:v>31.146943700639724</x:v>
      </x:c>
      <x:c r="W647" s="8" t="str">
        <x:v>0.32484884970886374</x:v>
      </x:c>
      <x:c r="X647" s="6" t="str">
        <x:v>1.9261467488916717</x:v>
      </x:c>
      <x:c r="Y647" s="6" t="str">
        <x:v>1.2409182725905705</x:v>
      </x:c>
      <x:c r="Z647" s="6" t="str">
        <x:v>1.5247909578019325</x:v>
      </x:c>
      <x:c r="AA647" s="6" t="str">
        <x:v>0.269557586871794</x:v>
      </x:c>
      <x:c r="AB647" s="6" t="str">
        <x:v>0.5153459608076698</x:v>
      </x:c>
      <x:c r="AC647" s="6" t="str">
        <x:v>0.3671103719048661</x:v>
      </x:c>
      <x:c r="AD647" s="6" t="str">
        <x:v>-0.37254877878460196</x:v>
      </x:c>
      <x:c r="AE647" s="6" t="str">
        <x:v>-0.06713300956598127</x:v>
      </x:c>
      <x:c r="AF647" s="6" t="str">
        <x:v>-0.038277646213906356</x:v>
      </x:c>
      <x:c r="AG647" s="6" t="str">
        <x:v>0</x:v>
      </x:c>
      <x:c r="AH647" s="6" t="str">
        <x:v>1</x:v>
      </x:c>
      <x:c r="AI647" s="6" t="str">
        <x:v>2025-10</x:v>
      </x:c>
      <x:c r="AJ647" s="9" t="str">
        <x:v>NASA POWER (MERRA-2 meteorology)</x:v>
      </x:c>
      <x:c r="AK647" s="9" t="str">
        <x:v>Badan Informasi Geospasial (BIG)</x:v>
      </x:c>
      <x:c r="AL647" s="9" t="str">
        <x:v>https://power.larc.nasa.gov/docs/services/api/temporal/monthly/</x:v>
      </x:c>
      <x:c r="AM647" s="9" t="str">
        <x:v>https://geoservices.big.go.id/rbi/rest/services/BATASWILAYAH/BATAS_WILAYAH/MapServer/12</x:v>
      </x:c>
    </x:row>
    <x:row r="648" ht="18" customHeight="1">
      <x:c r="A648" s="6" t="str">
        <x:v>73</x:v>
      </x:c>
      <x:c r="B648" s="6" t="str">
        <x:v>SULAWESI SELATAN</x:v>
      </x:c>
      <x:c r="C648" s="6" t="str">
        <x:v>2025</x:v>
      </x:c>
      <x:c r="D648" s="6" t="str">
        <x:v>11</x:v>
      </x:c>
      <x:c r="E648" s="6" t="str">
        <x:v>24.247708165205093</x:v>
      </x:c>
      <x:c r="F648" s="9" t="str">
        <x:v>grid_cells_within_BIG_polygon</x:v>
      </x:c>
      <x:c r="G648" s="6" t="str">
        <x:v>10</x:v>
      </x:c>
      <x:c r="H648" s="8" t="str">
        <x:v>85.52978659858117</x:v>
      </x:c>
      <x:c r="I648" s="6" t="str">
        <x:v>7.23537511743767</x:v>
      </x:c>
      <x:c r="J648" s="6" t="str">
        <x:v>30</x:v>
      </x:c>
      <x:c r="K648" s="6" t="str">
        <x:v>217.0612535231301</x:v>
      </x:c>
      <x:c r="L648" s="6" t="str">
        <x:v>24.3948052684302</x:v>
      </x:c>
      <x:c r="M648" s="6" t="str">
        <x:v>0.5310242458703366</x:v>
      </x:c>
      <x:c r="N648" s="6" t="str">
        <x:v>82.00125289167055</x:v>
      </x:c>
      <x:c r="O648" s="6" t="str">
        <x:v>4.381141660388385</x:v>
      </x:c>
      <x:c r="P648" s="6" t="str">
        <x:v>196.11636537341954</x:v>
      </x:c>
      <x:c r="Q648" s="6" t="str">
        <x:v>98.79863662269601</x:v>
      </x:c>
      <x:c r="R648" s="6" t="str">
        <x:v>-0.14709710322510716</x:v>
      </x:c>
      <x:c r="S648" s="8" t="str">
        <x:v>-0.27700637846397835</x:v>
      </x:c>
      <x:c r="T648" s="6" t="str">
        <x:v>3.528533706910622</x:v>
      </x:c>
      <x:c r="U648" s="8" t="str">
        <x:v>0.8053913752238314</x:v>
      </x:c>
      <x:c r="V648" s="6" t="str">
        <x:v>20.94488814971055</x:v>
      </x:c>
      <x:c r="W648" s="8" t="str">
        <x:v>0.21199572044397114</x:v>
      </x:c>
      <x:c r="X648" s="6" t="str">
        <x:v>1.4073078519235545</x:v>
      </x:c>
      <x:c r="Y648" s="6" t="str">
        <x:v>1.9261467488916717</x:v>
      </x:c>
      <x:c r="Z648" s="6" t="str">
        <x:v>1.018816074117083</x:v>
      </x:c>
      <x:c r="AA648" s="6" t="str">
        <x:v>0.3164275680351368</x:v>
      </x:c>
      <x:c r="AB648" s="6" t="str">
        <x:v>0.269557586871794</x:v>
      </x:c>
      <x:c r="AC648" s="6" t="str">
        <x:v>0.4637921767102533</x:v>
      </x:c>
      <x:c r="AD648" s="6" t="str">
        <x:v>0.32484884970886374</x:v>
      </x:c>
      <x:c r="AE648" s="6" t="str">
        <x:v>-0.37254877878460196</x:v>
      </x:c>
      <x:c r="AF648" s="6" t="str">
        <x:v>0.05476526378941112</x:v>
      </x:c>
      <x:c r="AG648" s="6" t="str">
        <x:v>0</x:v>
      </x:c>
      <x:c r="AH648" s="6" t="str">
        <x:v>0</x:v>
      </x:c>
      <x:c r="AI648" s="6" t="str">
        <x:v>2025-11</x:v>
      </x:c>
      <x:c r="AJ648" s="9" t="str">
        <x:v>NASA POWER (MERRA-2 meteorology)</x:v>
      </x:c>
      <x:c r="AK648" s="9" t="str">
        <x:v>Badan Informasi Geospasial (BIG)</x:v>
      </x:c>
      <x:c r="AL648" s="9" t="str">
        <x:v>https://power.larc.nasa.gov/docs/services/api/temporal/monthly/</x:v>
      </x:c>
      <x:c r="AM648" s="9" t="str">
        <x:v>https://geoservices.big.go.id/rbi/rest/services/BATASWILAYAH/BATAS_WILAYAH/MapServer/12</x:v>
      </x:c>
    </x:row>
    <x:row r="649" ht="18" customHeight="1">
      <x:c r="A649" s="6" t="str">
        <x:v>73</x:v>
      </x:c>
      <x:c r="B649" s="6" t="str">
        <x:v>SULAWESI SELATAN</x:v>
      </x:c>
      <x:c r="C649" s="6" t="str">
        <x:v>2025</x:v>
      </x:c>
      <x:c r="D649" s="6" t="str">
        <x:v>12</x:v>
      </x:c>
      <x:c r="E649" s="6" t="str">
        <x:v>23.987933718872743</x:v>
      </x:c>
      <x:c r="F649" s="9" t="str">
        <x:v>grid_cells_within_BIG_polygon</x:v>
      </x:c>
      <x:c r="G649" s="6" t="str">
        <x:v>10</x:v>
      </x:c>
      <x:c r="H649" s="8" t="str">
        <x:v>86.89996726421732</x:v>
      </x:c>
      <x:c r="I649" s="6" t="str">
        <x:v>7.802822438954726</x:v>
      </x:c>
      <x:c r="J649" s="6" t="str">
        <x:v>31</x:v>
      </x:c>
      <x:c r="K649" s="6" t="str">
        <x:v>241.8874956075965</x:v>
      </x:c>
      <x:c r="L649" s="6" t="str">
        <x:v>23.73982975004298</x:v>
      </x:c>
      <x:c r="M649" s="6" t="str">
        <x:v>0.5035808162370964</x:v>
      </x:c>
      <x:c r="N649" s="6" t="str">
        <x:v>86.68371371011186</x:v>
      </x:c>
      <x:c r="O649" s="6" t="str">
        <x:v>2.3377879045124033</x:v>
      </x:c>
      <x:c r="P649" s="6" t="str">
        <x:v>325.50667589609935</x:v>
      </x:c>
      <x:c r="Q649" s="6" t="str">
        <x:v>98.37387875567823</x:v>
      </x:c>
      <x:c r="R649" s="6" t="str">
        <x:v>0.2481039688297635</x:v>
      </x:c>
      <x:c r="S649" s="8" t="str">
        <x:v>0.4926795478105563</x:v>
      </x:c>
      <x:c r="T649" s="6" t="str">
        <x:v>0.21625355410546376</x:v>
      </x:c>
      <x:c r="U649" s="8" t="str">
        <x:v>0.09250349601349664</x:v>
      </x:c>
      <x:c r="V649" s="6" t="str">
        <x:v>-83.61918028850286</x:v>
      </x:c>
      <x:c r="W649" s="8" t="str">
        <x:v>-0.8500140621290312</x:v>
      </x:c>
      <x:c r="X649" s="6" t="str">
        <x:v>-0.27700637846397835</x:v>
      </x:c>
      <x:c r="Y649" s="6" t="str">
        <x:v>1.4073078519235545</x:v>
      </x:c>
      <x:c r="Z649" s="6" t="str">
        <x:v>0.540993673756711</x:v>
      </x:c>
      <x:c r="AA649" s="6" t="str">
        <x:v>0.8053913752238314</x:v>
      </x:c>
      <x:c r="AB649" s="6" t="str">
        <x:v>0.3164275680351368</x:v>
      </x:c>
      <x:c r="AC649" s="6" t="str">
        <x:v>0.40477414642415416</x:v>
      </x:c>
      <x:c r="AD649" s="6" t="str">
        <x:v>0.21199572044397114</x:v>
      </x:c>
      <x:c r="AE649" s="6" t="str">
        <x:v>0.32484884970886374</x:v>
      </x:c>
      <x:c r="AF649" s="6" t="str">
        <x:v>-0.10438983065873197</x:v>
      </x:c>
      <x:c r="AG649" s="6" t="str">
        <x:v>0</x:v>
      </x:c>
      <x:c r="AH649" s="6" t="str">
        <x:v>0</x:v>
      </x:c>
      <x:c r="AI649" s="6" t="str">
        <x:v>2025-12</x:v>
      </x:c>
      <x:c r="AJ649" s="9" t="str">
        <x:v>NASA POWER (MERRA-2 meteorology)</x:v>
      </x:c>
      <x:c r="AK649" s="9" t="str">
        <x:v>Badan Informasi Geospasial (BIG)</x:v>
      </x:c>
      <x:c r="AL649" s="9" t="str">
        <x:v>https://power.larc.nasa.gov/docs/services/api/temporal/monthly/</x:v>
      </x:c>
      <x:c r="AM649" s="9" t="str">
        <x:v>https://geoservices.big.go.id/rbi/rest/services/BATASWILAYAH/BATAS_WILAYAH/MapServer/12</x:v>
      </x:c>
    </x:row>
    <x:row r="650" ht="18" customHeight="1">
      <x:c r="A650" s="6" t="str">
        <x:v>74</x:v>
      </x:c>
      <x:c r="B650" s="6" t="str">
        <x:v>SULAWESI TENGGARA</x:v>
      </x:c>
      <x:c r="C650" s="6" t="str">
        <x:v>2024</x:v>
      </x:c>
      <x:c r="D650" s="6" t="str">
        <x:v>1</x:v>
      </x:c>
      <x:c r="E650" s="6" t="str">
        <x:v>25.824815814402907</x:v>
      </x:c>
      <x:c r="F650" s="9" t="str">
        <x:v>grid_cells_within_BIG_polygon</x:v>
      </x:c>
      <x:c r="G650" s="6" t="str">
        <x:v>7</x:v>
      </x:c>
      <x:c r="H650" s="8" t="str">
        <x:v>87.0119719350893</x:v>
      </x:c>
      <x:c r="I650" s="6" t="str">
        <x:v>7.502408522420496</x:v>
      </x:c>
      <x:c r="J650" s="6" t="str">
        <x:v>31</x:v>
      </x:c>
      <x:c r="K650" s="6" t="str">
        <x:v>232.57466419503538</x:v>
      </x:c>
      <x:c r="L650" s="6" t="str">
        <x:v>24.926280949407932</x:v>
      </x:c>
      <x:c r="M650" s="6" t="str">
        <x:v>0.5019507958409949</x:v>
      </x:c>
      <x:c r="N650" s="6" t="str">
        <x:v>87.68449370434512</x:v>
      </x:c>
      <x:c r="O650" s="6" t="str">
        <x:v>2.5484765881363534</x:v>
      </x:c>
      <x:c r="P650" s="6" t="str">
        <x:v>222.1578520756729</x:v>
      </x:c>
      <x:c r="Q650" s="6" t="str">
        <x:v>95.07635729676002</x:v>
      </x:c>
      <x:c r="R650" s="6" t="str">
        <x:v>0.8985348649949749</x:v>
      </x:c>
      <x:c r="S650" s="8" t="str">
        <x:v>1.790085547109298</x:v>
      </x:c>
      <x:c r="T650" s="6" t="str">
        <x:v>-0.672521769255809</x:v>
      </x:c>
      <x:c r="U650" s="8" t="str">
        <x:v>-0.263891680381341</x:v>
      </x:c>
      <x:c r="V650" s="6" t="str">
        <x:v>10.416812119362476</x:v>
      </x:c>
      <x:c r="W650" s="8" t="str">
        <x:v>0.10956259174769052</x:v>
      </x:c>
      <x:c r="X650" s="6" t="str">
        <x:v>2.090022992022998</x:v>
      </x:c>
      <x:c r="Y650" s="6" t="str">
        <x:v>1.631312205270981</x:v>
      </x:c>
      <x:c r="Z650" s="6" t="str">
        <x:v>1.8371402481344254</x:v>
      </x:c>
      <x:c r="AA650" s="6" t="str">
        <x:v>-0.7745869117846266</x:v>
      </x:c>
      <x:c r="AB650" s="6" t="str">
        <x:v>-0.556788540942482</x:v>
      </x:c>
      <x:c r="AC650" s="6" t="str">
        <x:v>-0.53175571103615</x:v>
      </x:c>
      <x:c r="AD650" s="6" t="str">
        <x:v>-0.5353586788969765</x:v>
      </x:c>
      <x:c r="AE650" s="6" t="str">
        <x:v>-0.25743648680428394</x:v>
      </x:c>
      <x:c r="AF650" s="6" t="str">
        <x:v>-0.22774419131785706</x:v>
      </x:c>
      <x:c r="AG650" s="6" t="str">
        <x:v>0</x:v>
      </x:c>
      <x:c r="AH650" s="6" t="str">
        <x:v>1</x:v>
      </x:c>
      <x:c r="AI650" s="6" t="str">
        <x:v>2024-01</x:v>
      </x:c>
      <x:c r="AJ650" s="9" t="str">
        <x:v>NASA POWER (MERRA-2 meteorology)</x:v>
      </x:c>
      <x:c r="AK650" s="9" t="str">
        <x:v>Badan Informasi Geospasial (BIG)</x:v>
      </x:c>
      <x:c r="AL650" s="9" t="str">
        <x:v>https://power.larc.nasa.gov/docs/services/api/temporal/monthly/</x:v>
      </x:c>
      <x:c r="AM650" s="9" t="str">
        <x:v>https://geoservices.big.go.id/rbi/rest/services/BATASWILAYAH/BATAS_WILAYAH/MapServer/12</x:v>
      </x:c>
    </x:row>
    <x:row r="651" ht="18" customHeight="1">
      <x:c r="A651" s="6" t="str">
        <x:v>74</x:v>
      </x:c>
      <x:c r="B651" s="6" t="str">
        <x:v>SULAWESI TENGGARA</x:v>
      </x:c>
      <x:c r="C651" s="6" t="str">
        <x:v>2024</x:v>
      </x:c>
      <x:c r="D651" s="6" t="str">
        <x:v>2</x:v>
      </x:c>
      <x:c r="E651" s="6" t="str">
        <x:v>25.870529450250615</x:v>
      </x:c>
      <x:c r="F651" s="9" t="str">
        <x:v>grid_cells_within_BIG_polygon</x:v>
      </x:c>
      <x:c r="G651" s="6" t="str">
        <x:v>7</x:v>
      </x:c>
      <x:c r="H651" s="8" t="str">
        <x:v>88.45083245566805</x:v>
      </x:c>
      <x:c r="I651" s="6" t="str">
        <x:v>8.917050225829701</x:v>
      </x:c>
      <x:c r="J651" s="6" t="str">
        <x:v>29</x:v>
      </x:c>
      <x:c r="K651" s="6" t="str">
        <x:v>258.59445654906136</x:v>
      </x:c>
      <x:c r="L651" s="6" t="str">
        <x:v>24.860832493053255</x:v>
      </x:c>
      <x:c r="M651" s="6" t="str">
        <x:v>0.37173034177211944</x:v>
      </x:c>
      <x:c r="N651" s="6" t="str">
        <x:v>88.2703275924548</x:v>
      </x:c>
      <x:c r="O651" s="6" t="str">
        <x:v>1.476053874890999</x:v>
      </x:c>
      <x:c r="P651" s="6" t="str">
        <x:v>214.70218788535536</x:v>
      </x:c>
      <x:c r="Q651" s="6" t="str">
        <x:v>78.10715582394413</x:v>
      </x:c>
      <x:c r="R651" s="6" t="str">
        <x:v>1.0096969571973595</x:v>
      </x:c>
      <x:c r="S651" s="8" t="str">
        <x:v>2.7162080781028375</x:v>
      </x:c>
      <x:c r="T651" s="6" t="str">
        <x:v>0.180504863213244</x:v>
      </x:c>
      <x:c r="U651" s="8" t="str">
        <x:v>0.12228880414447853</x:v>
      </x:c>
      <x:c r="V651" s="6" t="str">
        <x:v>43.892268663706005</x:v>
      </x:c>
      <x:c r="W651" s="8" t="str">
        <x:v>0.5619493912009867</x:v>
      </x:c>
      <x:c r="X651" s="6" t="str">
        <x:v>1.790085547109298</x:v>
      </x:c>
      <x:c r="Y651" s="6" t="str">
        <x:v>2.090022992022998</x:v>
      </x:c>
      <x:c r="Z651" s="6" t="str">
        <x:v>2.198772205745044</x:v>
      </x:c>
      <x:c r="AA651" s="6" t="str">
        <x:v>-0.263891680381341</x:v>
      </x:c>
      <x:c r="AB651" s="6" t="str">
        <x:v>-0.7745869117846266</x:v>
      </x:c>
      <x:c r="AC651" s="6" t="str">
        <x:v>-0.30539659600716323</x:v>
      </x:c>
      <x:c r="AD651" s="6" t="str">
        <x:v>0.10956259174769052</x:v>
      </x:c>
      <x:c r="AE651" s="6" t="str">
        <x:v>-0.5353586788969765</x:v>
      </x:c>
      <x:c r="AF651" s="6" t="str">
        <x:v>0.045384434683899834</x:v>
      </x:c>
      <x:c r="AG651" s="6" t="str">
        <x:v>0</x:v>
      </x:c>
      <x:c r="AH651" s="6" t="str">
        <x:v>1</x:v>
      </x:c>
      <x:c r="AI651" s="6" t="str">
        <x:v>2024-02</x:v>
      </x:c>
      <x:c r="AJ651" s="9" t="str">
        <x:v>NASA POWER (MERRA-2 meteorology)</x:v>
      </x:c>
      <x:c r="AK651" s="9" t="str">
        <x:v>Badan Informasi Geospasial (BIG)</x:v>
      </x:c>
      <x:c r="AL651" s="9" t="str">
        <x:v>https://power.larc.nasa.gov/docs/services/api/temporal/monthly/</x:v>
      </x:c>
      <x:c r="AM651" s="9" t="str">
        <x:v>https://geoservices.big.go.id/rbi/rest/services/BATASWILAYAH/BATAS_WILAYAH/MapServer/12</x:v>
      </x:c>
    </x:row>
    <x:row r="652" ht="18" customHeight="1">
      <x:c r="A652" s="6" t="str">
        <x:v>74</x:v>
      </x:c>
      <x:c r="B652" s="6" t="str">
        <x:v>SULAWESI TENGGARA</x:v>
      </x:c>
      <x:c r="C652" s="6" t="str">
        <x:v>2024</x:v>
      </x:c>
      <x:c r="D652" s="6" t="str">
        <x:v>3</x:v>
      </x:c>
      <x:c r="E652" s="6" t="str">
        <x:v>25.756339580553174</x:v>
      </x:c>
      <x:c r="F652" s="9" t="str">
        <x:v>grid_cells_within_BIG_polygon</x:v>
      </x:c>
      <x:c r="G652" s="6" t="str">
        <x:v>7</x:v>
      </x:c>
      <x:c r="H652" s="8" t="str">
        <x:v>89.57006826566302</x:v>
      </x:c>
      <x:c r="I652" s="6" t="str">
        <x:v>10.04992833675124</x:v>
      </x:c>
      <x:c r="J652" s="6" t="str">
        <x:v>31</x:v>
      </x:c>
      <x:c r="K652" s="6" t="str">
        <x:v>311.54777843928844</x:v>
      </x:c>
      <x:c r="L652" s="6" t="str">
        <x:v>24.893907972445163</x:v>
      </x:c>
      <x:c r="M652" s="6" t="str">
        <x:v>0.35698158642878397</x:v>
      </x:c>
      <x:c r="N652" s="6" t="str">
        <x:v>88.64073494575146</x:v>
      </x:c>
      <x:c r="O652" s="6" t="str">
        <x:v>1.1295066458722458</x:v>
      </x:c>
      <x:c r="P652" s="6" t="str">
        <x:v>255.87437744090852</x:v>
      </x:c>
      <x:c r="Q652" s="6" t="str">
        <x:v>79.89593181994084</x:v>
      </x:c>
      <x:c r="R652" s="6" t="str">
        <x:v>0.862431608108011</x:v>
      </x:c>
      <x:c r="S652" s="8" t="str">
        <x:v>2.415899421411927</x:v>
      </x:c>
      <x:c r="T652" s="6" t="str">
        <x:v>0.9293333199115636</x:v>
      </x:c>
      <x:c r="U652" s="8" t="str">
        <x:v>0.8227780892726833</x:v>
      </x:c>
      <x:c r="V652" s="6" t="str">
        <x:v>55.67340099837992</x:v>
      </x:c>
      <x:c r="W652" s="8" t="str">
        <x:v>0.6968239775192742</x:v>
      </x:c>
      <x:c r="X652" s="6" t="str">
        <x:v>2.7162080781028375</x:v>
      </x:c>
      <x:c r="Y652" s="6" t="str">
        <x:v>1.790085547109298</x:v>
      </x:c>
      <x:c r="Z652" s="6" t="str">
        <x:v>2.30739768220802</x:v>
      </x:c>
      <x:c r="AA652" s="6" t="str">
        <x:v>0.12228880414447853</x:v>
      </x:c>
      <x:c r="AB652" s="6" t="str">
        <x:v>-0.263891680381341</x:v>
      </x:c>
      <x:c r="AC652" s="6" t="str">
        <x:v>0.22705840434527338</x:v>
      </x:c>
      <x:c r="AD652" s="6" t="str">
        <x:v>0.5619493912009867</x:v>
      </x:c>
      <x:c r="AE652" s="6" t="str">
        <x:v>0.10956259174769052</x:v>
      </x:c>
      <x:c r="AF652" s="6" t="str">
        <x:v>0.45611198682265003</x:v>
      </x:c>
      <x:c r="AG652" s="6" t="str">
        <x:v>0</x:v>
      </x:c>
      <x:c r="AH652" s="6" t="str">
        <x:v>1</x:v>
      </x:c>
      <x:c r="AI652" s="6" t="str">
        <x:v>2024-03</x:v>
      </x:c>
      <x:c r="AJ652" s="9" t="str">
        <x:v>NASA POWER (MERRA-2 meteorology)</x:v>
      </x:c>
      <x:c r="AK652" s="9" t="str">
        <x:v>Badan Informasi Geospasial (BIG)</x:v>
      </x:c>
      <x:c r="AL652" s="9" t="str">
        <x:v>https://power.larc.nasa.gov/docs/services/api/temporal/monthly/</x:v>
      </x:c>
      <x:c r="AM652" s="9" t="str">
        <x:v>https://geoservices.big.go.id/rbi/rest/services/BATASWILAYAH/BATAS_WILAYAH/MapServer/12</x:v>
      </x:c>
    </x:row>
    <x:row r="653" ht="18" customHeight="1">
      <x:c r="A653" s="6" t="str">
        <x:v>74</x:v>
      </x:c>
      <x:c r="B653" s="6" t="str">
        <x:v>SULAWESI TENGGARA</x:v>
      </x:c>
      <x:c r="C653" s="6" t="str">
        <x:v>2024</x:v>
      </x:c>
      <x:c r="D653" s="6" t="str">
        <x:v>4</x:v>
      </x:c>
      <x:c r="E653" s="6" t="str">
        <x:v>25.76632955268696</x:v>
      </x:c>
      <x:c r="F653" s="9" t="str">
        <x:v>grid_cells_within_BIG_polygon</x:v>
      </x:c>
      <x:c r="G653" s="6" t="str">
        <x:v>7</x:v>
      </x:c>
      <x:c r="H653" s="8" t="str">
        <x:v>90.55169054061243</x:v>
      </x:c>
      <x:c r="I653" s="6" t="str">
        <x:v>9.975374371113976</x:v>
      </x:c>
      <x:c r="J653" s="6" t="str">
        <x:v>30</x:v>
      </x:c>
      <x:c r="K653" s="6" t="str">
        <x:v>299.26123113341924</x:v>
      </x:c>
      <x:c r="L653" s="6" t="str">
        <x:v>24.86672600429669</x:v>
      </x:c>
      <x:c r="M653" s="6" t="str">
        <x:v>0.30750837522452984</x:v>
      </x:c>
      <x:c r="N653" s="6" t="str">
        <x:v>89.56442459098274</x:v>
      </x:c>
      <x:c r="O653" s="6" t="str">
        <x:v>0.9001842944907092</x:v>
      </x:c>
      <x:c r="P653" s="6" t="str">
        <x:v>262.09402065487694</x:v>
      </x:c>
      <x:c r="Q653" s="6" t="str">
        <x:v>67.28394015190051</x:v>
      </x:c>
      <x:c r="R653" s="6" t="str">
        <x:v>0.8996035483902673</x:v>
      </x:c>
      <x:c r="S653" s="8" t="str">
        <x:v>2.925460315457796</x:v>
      </x:c>
      <x:c r="T653" s="6" t="str">
        <x:v>0.9872659496296876</x:v>
      </x:c>
      <x:c r="U653" s="8" t="str">
        <x:v>1.0967375854832548</x:v>
      </x:c>
      <x:c r="V653" s="6" t="str">
        <x:v>37.1672104785423</x:v>
      </x:c>
      <x:c r="W653" s="8" t="str">
        <x:v>0.5523934893621487</x:v>
      </x:c>
      <x:c r="X653" s="6" t="str">
        <x:v>2.415899421411927</x:v>
      </x:c>
      <x:c r="Y653" s="6" t="str">
        <x:v>2.7162080781028375</x:v>
      </x:c>
      <x:c r="Z653" s="6" t="str">
        <x:v>2.6858559383241865</x:v>
      </x:c>
      <x:c r="AA653" s="6" t="str">
        <x:v>0.8227780892726833</x:v>
      </x:c>
      <x:c r="AB653" s="6" t="str">
        <x:v>0.12228880414447853</x:v>
      </x:c>
      <x:c r="AC653" s="6" t="str">
        <x:v>0.6806014929668054</x:v>
      </x:c>
      <x:c r="AD653" s="6" t="str">
        <x:v>0.6968239775192742</x:v>
      </x:c>
      <x:c r="AE653" s="6" t="str">
        <x:v>0.5619493912009867</x:v>
      </x:c>
      <x:c r="AF653" s="6" t="str">
        <x:v>0.6037222860274695</x:v>
      </x:c>
      <x:c r="AG653" s="6" t="str">
        <x:v>0</x:v>
      </x:c>
      <x:c r="AH653" s="6" t="str">
        <x:v>1</x:v>
      </x:c>
      <x:c r="AI653" s="6" t="str">
        <x:v>2024-04</x:v>
      </x:c>
      <x:c r="AJ653" s="9" t="str">
        <x:v>NASA POWER (MERRA-2 meteorology)</x:v>
      </x:c>
      <x:c r="AK653" s="9" t="str">
        <x:v>Badan Informasi Geospasial (BIG)</x:v>
      </x:c>
      <x:c r="AL653" s="9" t="str">
        <x:v>https://power.larc.nasa.gov/docs/services/api/temporal/monthly/</x:v>
      </x:c>
      <x:c r="AM653" s="9" t="str">
        <x:v>https://geoservices.big.go.id/rbi/rest/services/BATASWILAYAH/BATAS_WILAYAH/MapServer/12</x:v>
      </x:c>
    </x:row>
    <x:row r="654" ht="18" customHeight="1">
      <x:c r="A654" s="6" t="str">
        <x:v>74</x:v>
      </x:c>
      <x:c r="B654" s="6" t="str">
        <x:v>SULAWESI TENGGARA</x:v>
      </x:c>
      <x:c r="C654" s="6" t="str">
        <x:v>2024</x:v>
      </x:c>
      <x:c r="D654" s="6" t="str">
        <x:v>5</x:v>
      </x:c>
      <x:c r="E654" s="6" t="str">
        <x:v>25.404902545064388</x:v>
      </x:c>
      <x:c r="F654" s="9" t="str">
        <x:v>grid_cells_within_BIG_polygon</x:v>
      </x:c>
      <x:c r="G654" s="6" t="str">
        <x:v>7</x:v>
      </x:c>
      <x:c r="H654" s="8" t="str">
        <x:v>90.96145186559791</x:v>
      </x:c>
      <x:c r="I654" s="6" t="str">
        <x:v>10.414759507417683</x:v>
      </x:c>
      <x:c r="J654" s="6" t="str">
        <x:v>31</x:v>
      </x:c>
      <x:c r="K654" s="6" t="str">
        <x:v>322.8575447299482</x:v>
      </x:c>
      <x:c r="L654" s="6" t="str">
        <x:v>24.63720684489499</x:v>
      </x:c>
      <x:c r="M654" s="6" t="str">
        <x:v>0.3795381961233271</x:v>
      </x:c>
      <x:c r="N654" s="6" t="str">
        <x:v>89.61873460433794</x:v>
      </x:c>
      <x:c r="O654" s="6" t="str">
        <x:v>1.3322991633469676</x:v>
      </x:c>
      <x:c r="P654" s="6" t="str">
        <x:v>260.4521187902357</x:v>
      </x:c>
      <x:c r="Q654" s="6" t="str">
        <x:v>82.9825579566144</x:v>
      </x:c>
      <x:c r="R654" s="6" t="str">
        <x:v>0.7676957001693978</x:v>
      </x:c>
      <x:c r="S654" s="8" t="str">
        <x:v>2.022709988113931</x:v>
      </x:c>
      <x:c r="T654" s="6" t="str">
        <x:v>1.3427172612599634</x:v>
      </x:c>
      <x:c r="U654" s="8" t="str">
        <x:v>1.0078196385613751</x:v>
      </x:c>
      <x:c r="V654" s="6" t="str">
        <x:v>62.40542593971247</x:v>
      </x:c>
      <x:c r="W654" s="8" t="str">
        <x:v>0.7520306372375237</x:v>
      </x:c>
      <x:c r="X654" s="6" t="str">
        <x:v>2.925460315457796</x:v>
      </x:c>
      <x:c r="Y654" s="6" t="str">
        <x:v>2.415899421411927</x:v>
      </x:c>
      <x:c r="Z654" s="6" t="str">
        <x:v>2.4546899083278846</x:v>
      </x:c>
      <x:c r="AA654" s="6" t="str">
        <x:v>1.0967375854832548</x:v>
      </x:c>
      <x:c r="AB654" s="6" t="str">
        <x:v>0.8227780892726833</x:v>
      </x:c>
      <x:c r="AC654" s="6" t="str">
        <x:v>0.9757784377724376</x:v>
      </x:c>
      <x:c r="AD654" s="6" t="str">
        <x:v>0.5523934893621487</x:v>
      </x:c>
      <x:c r="AE654" s="6" t="str">
        <x:v>0.6968239775192742</x:v>
      </x:c>
      <x:c r="AF654" s="6" t="str">
        <x:v>0.6670827013729818</x:v>
      </x:c>
      <x:c r="AG654" s="6" t="str">
        <x:v>0</x:v>
      </x:c>
      <x:c r="AH654" s="6" t="str">
        <x:v>1</x:v>
      </x:c>
      <x:c r="AI654" s="6" t="str">
        <x:v>2024-05</x:v>
      </x:c>
      <x:c r="AJ654" s="9" t="str">
        <x:v>NASA POWER (MERRA-2 meteorology)</x:v>
      </x:c>
      <x:c r="AK654" s="9" t="str">
        <x:v>Badan Informasi Geospasial (BIG)</x:v>
      </x:c>
      <x:c r="AL654" s="9" t="str">
        <x:v>https://power.larc.nasa.gov/docs/services/api/temporal/monthly/</x:v>
      </x:c>
      <x:c r="AM654" s="9" t="str">
        <x:v>https://geoservices.big.go.id/rbi/rest/services/BATASWILAYAH/BATAS_WILAYAH/MapServer/12</x:v>
      </x:c>
    </x:row>
    <x:row r="655" ht="18" customHeight="1">
      <x:c r="A655" s="6" t="str">
        <x:v>74</x:v>
      </x:c>
      <x:c r="B655" s="6" t="str">
        <x:v>SULAWESI TENGGARA</x:v>
      </x:c>
      <x:c r="C655" s="6" t="str">
        <x:v>2024</x:v>
      </x:c>
      <x:c r="D655" s="6" t="str">
        <x:v>6</x:v>
      </x:c>
      <x:c r="E655" s="6" t="str">
        <x:v>24.604930550927968</x:v>
      </x:c>
      <x:c r="F655" s="9" t="str">
        <x:v>grid_cells_within_BIG_polygon</x:v>
      </x:c>
      <x:c r="G655" s="6" t="str">
        <x:v>7</x:v>
      </x:c>
      <x:c r="H655" s="8" t="str">
        <x:v>90.01436518510164</x:v>
      </x:c>
      <x:c r="I655" s="6" t="str">
        <x:v>6.6225271569502775</x:v>
      </x:c>
      <x:c r="J655" s="6" t="str">
        <x:v>30</x:v>
      </x:c>
      <x:c r="K655" s="6" t="str">
        <x:v>198.6758147085083</x:v>
      </x:c>
      <x:c r="L655" s="6" t="str">
        <x:v>24.013973006603752</x:v>
      </x:c>
      <x:c r="M655" s="6" t="str">
        <x:v>0.29894246643943084</x:v>
      </x:c>
      <x:c r="N655" s="6" t="str">
        <x:v>89.56512092095555</x:v>
      </x:c>
      <x:c r="O655" s="6" t="str">
        <x:v>2.2835741834158347</x:v>
      </x:c>
      <x:c r="P655" s="6" t="str">
        <x:v>241.4524615766177</x:v>
      </x:c>
      <x:c r="Q655" s="6" t="str">
        <x:v>98.25333643040582</x:v>
      </x:c>
      <x:c r="R655" s="6" t="str">
        <x:v>0.5909575443242154</x:v>
      </x:c>
      <x:c r="S655" s="8" t="str">
        <x:v>1.9768270174620715</x:v>
      </x:c>
      <x:c r="T655" s="6" t="str">
        <x:v>0.4492442641460883</x:v>
      </x:c>
      <x:c r="U655" s="8" t="str">
        <x:v>0.19672856148430268</x:v>
      </x:c>
      <x:c r="V655" s="6" t="str">
        <x:v>-42.776646868109395</x:v>
      </x:c>
      <x:c r="W655" s="8" t="str">
        <x:v>-0.43537093418103595</x:v>
      </x:c>
      <x:c r="X655" s="6" t="str">
        <x:v>2.022709988113931</x:v>
      </x:c>
      <x:c r="Y655" s="6" t="str">
        <x:v>2.925460315457796</x:v>
      </x:c>
      <x:c r="Z655" s="6" t="str">
        <x:v>2.3083324403445995</x:v>
      </x:c>
      <x:c r="AA655" s="6" t="str">
        <x:v>1.0078196385613751</x:v>
      </x:c>
      <x:c r="AB655" s="6" t="str">
        <x:v>1.0967375854832548</x:v>
      </x:c>
      <x:c r="AC655" s="6" t="str">
        <x:v>0.7670952618429774</x:v>
      </x:c>
      <x:c r="AD655" s="6" t="str">
        <x:v>0.7520306372375237</x:v>
      </x:c>
      <x:c r="AE655" s="6" t="str">
        <x:v>0.5523934893621487</x:v>
      </x:c>
      <x:c r="AF655" s="6" t="str">
        <x:v>0.28968439747287844</x:v>
      </x:c>
      <x:c r="AG655" s="6" t="str">
        <x:v>0</x:v>
      </x:c>
      <x:c r="AH655" s="6" t="str">
        <x:v>1</x:v>
      </x:c>
      <x:c r="AI655" s="6" t="str">
        <x:v>2024-06</x:v>
      </x:c>
      <x:c r="AJ655" s="9" t="str">
        <x:v>NASA POWER (MERRA-2 meteorology)</x:v>
      </x:c>
      <x:c r="AK655" s="9" t="str">
        <x:v>Badan Informasi Geospasial (BIG)</x:v>
      </x:c>
      <x:c r="AL655" s="9" t="str">
        <x:v>https://power.larc.nasa.gov/docs/services/api/temporal/monthly/</x:v>
      </x:c>
      <x:c r="AM655" s="9" t="str">
        <x:v>https://geoservices.big.go.id/rbi/rest/services/BATASWILAYAH/BATAS_WILAYAH/MapServer/12</x:v>
      </x:c>
    </x:row>
    <x:row r="656" ht="18" customHeight="1">
      <x:c r="A656" s="6" t="str">
        <x:v>74</x:v>
      </x:c>
      <x:c r="B656" s="6" t="str">
        <x:v>SULAWESI TENGGARA</x:v>
      </x:c>
      <x:c r="C656" s="6" t="str">
        <x:v>2024</x:v>
      </x:c>
      <x:c r="D656" s="6" t="str">
        <x:v>7</x:v>
      </x:c>
      <x:c r="E656" s="6" t="str">
        <x:v>23.94784830805248</x:v>
      </x:c>
      <x:c r="F656" s="9" t="str">
        <x:v>grid_cells_within_BIG_polygon</x:v>
      </x:c>
      <x:c r="G656" s="6" t="str">
        <x:v>7</x:v>
      </x:c>
      <x:c r="H656" s="8" t="str">
        <x:v>89.49764218275637</x:v>
      </x:c>
      <x:c r="I656" s="6" t="str">
        <x:v>9.00649348394208</x:v>
      </x:c>
      <x:c r="J656" s="6" t="str">
        <x:v>31</x:v>
      </x:c>
      <x:c r="K656" s="6" t="str">
        <x:v>279.20129800220445</x:v>
      </x:c>
      <x:c r="L656" s="6" t="str">
        <x:v>23.566503098310573</x:v>
      </x:c>
      <x:c r="M656" s="6" t="str">
        <x:v>0.3207475247455969</x:v>
      </x:c>
      <x:c r="N656" s="6" t="str">
        <x:v>87.4627749172761</x:v>
      </x:c>
      <x:c r="O656" s="6" t="str">
        <x:v>2.6802303413787056</x:v>
      </x:c>
      <x:c r="P656" s="6" t="str">
        <x:v>168.54805599352858</x:v>
      </x:c>
      <x:c r="Q656" s="6" t="str">
        <x:v>101.28475818509986</x:v>
      </x:c>
      <x:c r="R656" s="6" t="str">
        <x:v>0.3813452097419088</x:v>
      </x:c>
      <x:c r="S656" s="8" t="str">
        <x:v>1.188926430669653</x:v>
      </x:c>
      <x:c r="T656" s="6" t="str">
        <x:v>2.0348672654802584</x:v>
      </x:c>
      <x:c r="U656" s="8" t="str">
        <x:v>0.7592135773052724</x:v>
      </x:c>
      <x:c r="V656" s="6" t="str">
        <x:v>110.65324200867587</x:v>
      </x:c>
      <x:c r="W656" s="8" t="str">
        <x:v>1.0924964821109109</x:v>
      </x:c>
      <x:c r="X656" s="6" t="str">
        <x:v>1.9768270174620715</x:v>
      </x:c>
      <x:c r="Y656" s="6" t="str">
        <x:v>2.022709988113931</x:v>
      </x:c>
      <x:c r="Z656" s="6" t="str">
        <x:v>1.7294878120818848</x:v>
      </x:c>
      <x:c r="AA656" s="6" t="str">
        <x:v>0.19672856148430268</x:v>
      </x:c>
      <x:c r="AB656" s="6" t="str">
        <x:v>1.0078196385613751</x:v>
      </x:c>
      <x:c r="AC656" s="6" t="str">
        <x:v>0.6545872591169831</x:v>
      </x:c>
      <x:c r="AD656" s="6" t="str">
        <x:v>-0.43537093418103595</x:v>
      </x:c>
      <x:c r="AE656" s="6" t="str">
        <x:v>0.7520306372375237</x:v>
      </x:c>
      <x:c r="AF656" s="6" t="str">
        <x:v>0.4697187283891324</x:v>
      </x:c>
      <x:c r="AG656" s="6" t="str">
        <x:v>1</x:v>
      </x:c>
      <x:c r="AH656" s="6" t="str">
        <x:v>1</x:v>
      </x:c>
      <x:c r="AI656" s="6" t="str">
        <x:v>2024-07</x:v>
      </x:c>
      <x:c r="AJ656" s="9" t="str">
        <x:v>NASA POWER (MERRA-2 meteorology)</x:v>
      </x:c>
      <x:c r="AK656" s="9" t="str">
        <x:v>Badan Informasi Geospasial (BIG)</x:v>
      </x:c>
      <x:c r="AL656" s="9" t="str">
        <x:v>https://power.larc.nasa.gov/docs/services/api/temporal/monthly/</x:v>
      </x:c>
      <x:c r="AM656" s="9" t="str">
        <x:v>https://geoservices.big.go.id/rbi/rest/services/BATASWILAYAH/BATAS_WILAYAH/MapServer/12</x:v>
      </x:c>
    </x:row>
    <x:row r="657" ht="18" customHeight="1">
      <x:c r="A657" s="6" t="str">
        <x:v>74</x:v>
      </x:c>
      <x:c r="B657" s="6" t="str">
        <x:v>SULAWESI TENGGARA</x:v>
      </x:c>
      <x:c r="C657" s="6" t="str">
        <x:v>2024</x:v>
      </x:c>
      <x:c r="D657" s="6" t="str">
        <x:v>8</x:v>
      </x:c>
      <x:c r="E657" s="6" t="str">
        <x:v>24.17495627507248</x:v>
      </x:c>
      <x:c r="F657" s="9" t="str">
        <x:v>grid_cells_within_BIG_polygon</x:v>
      </x:c>
      <x:c r="G657" s="6" t="str">
        <x:v>7</x:v>
      </x:c>
      <x:c r="H657" s="8" t="str">
        <x:v>86.24378853109367</x:v>
      </x:c>
      <x:c r="I657" s="6" t="str">
        <x:v>2.8181440542832346</x:v>
      </x:c>
      <x:c r="J657" s="6" t="str">
        <x:v>31</x:v>
      </x:c>
      <x:c r="K657" s="6" t="str">
        <x:v>87.36246568278027</x:v>
      </x:c>
      <x:c r="L657" s="6" t="str">
        <x:v>23.66148459513446</x:v>
      </x:c>
      <x:c r="M657" s="6" t="str">
        <x:v>0.3964513538626113</x:v>
      </x:c>
      <x:c r="N657" s="6" t="str">
        <x:v>83.80352116678354</x:v>
      </x:c>
      <x:c r="O657" s="6" t="str">
        <x:v>3.94105647423705</x:v>
      </x:c>
      <x:c r="P657" s="6" t="str">
        <x:v>91.61441198057027</x:v>
      </x:c>
      <x:c r="Q657" s="6" t="str">
        <x:v>80.92319838103268</x:v>
      </x:c>
      <x:c r="R657" s="6" t="str">
        <x:v>0.5134716799380179</x:v>
      </x:c>
      <x:c r="S657" s="8" t="str">
        <x:v>1.2951694449653954</x:v>
      </x:c>
      <x:c r="T657" s="6" t="str">
        <x:v>2.440267364310131</x:v>
      </x:c>
      <x:c r="U657" s="8" t="str">
        <x:v>0.6191911687290761</x:v>
      </x:c>
      <x:c r="V657" s="6" t="str">
        <x:v>-4.251946297789999</x:v>
      </x:c>
      <x:c r="W657" s="8" t="str">
        <x:v>-0.05254298375318046</x:v>
      </x:c>
      <x:c r="X657" s="6" t="str">
        <x:v>1.188926430669653</x:v>
      </x:c>
      <x:c r="Y657" s="6" t="str">
        <x:v>1.9768270174620715</x:v>
      </x:c>
      <x:c r="Z657" s="6" t="str">
        <x:v>1.4869742976990397</x:v>
      </x:c>
      <x:c r="AA657" s="6" t="str">
        <x:v>0.7592135773052724</x:v>
      </x:c>
      <x:c r="AB657" s="6" t="str">
        <x:v>0.19672856148430268</x:v>
      </x:c>
      <x:c r="AC657" s="6" t="str">
        <x:v>0.5250444358395502</x:v>
      </x:c>
      <x:c r="AD657" s="6" t="str">
        <x:v>1.0924964821109109</x:v>
      </x:c>
      <x:c r="AE657" s="6" t="str">
        <x:v>-0.43537093418103595</x:v>
      </x:c>
      <x:c r="AF657" s="6" t="str">
        <x:v>0.20152752139223104</x:v>
      </x:c>
      <x:c r="AG657" s="6" t="str">
        <x:v>0</x:v>
      </x:c>
      <x:c r="AH657" s="6" t="str">
        <x:v>1</x:v>
      </x:c>
      <x:c r="AI657" s="6" t="str">
        <x:v>2024-08</x:v>
      </x:c>
      <x:c r="AJ657" s="9" t="str">
        <x:v>NASA POWER (MERRA-2 meteorology)</x:v>
      </x:c>
      <x:c r="AK657" s="9" t="str">
        <x:v>Badan Informasi Geospasial (BIG)</x:v>
      </x:c>
      <x:c r="AL657" s="9" t="str">
        <x:v>https://power.larc.nasa.gov/docs/services/api/temporal/monthly/</x:v>
      </x:c>
      <x:c r="AM657" s="9" t="str">
        <x:v>https://geoservices.big.go.id/rbi/rest/services/BATASWILAYAH/BATAS_WILAYAH/MapServer/12</x:v>
      </x:c>
    </x:row>
    <x:row r="658" ht="18" customHeight="1">
      <x:c r="A658" s="6" t="str">
        <x:v>74</x:v>
      </x:c>
      <x:c r="B658" s="6" t="str">
        <x:v>SULAWESI TENGGARA</x:v>
      </x:c>
      <x:c r="C658" s="6" t="str">
        <x:v>2024</x:v>
      </x:c>
      <x:c r="D658" s="6" t="str">
        <x:v>9</x:v>
      </x:c>
      <x:c r="E658" s="6" t="str">
        <x:v>25.251874597687877</x:v>
      </x:c>
      <x:c r="F658" s="9" t="str">
        <x:v>grid_cells_within_BIG_polygon</x:v>
      </x:c>
      <x:c r="G658" s="6" t="str">
        <x:v>7</x:v>
      </x:c>
      <x:c r="H658" s="8" t="str">
        <x:v>82.90447378532396</x:v>
      </x:c>
      <x:c r="I658" s="6" t="str">
        <x:v>2.5403507057844594</x:v>
      </x:c>
      <x:c r="J658" s="6" t="str">
        <x:v>30</x:v>
      </x:c>
      <x:c r="K658" s="6" t="str">
        <x:v>76.21052117353378</x:v>
      </x:c>
      <x:c r="L658" s="6" t="str">
        <x:v>24.533184784235818</x:v>
      </x:c>
      <x:c r="M658" s="6" t="str">
        <x:v>0.4837146247597585</x:v>
      </x:c>
      <x:c r="N658" s="6" t="str">
        <x:v>80.06166274323802</x:v>
      </x:c>
      <x:c r="O658" s="6" t="str">
        <x:v>4.952010913992455</x:v>
      </x:c>
      <x:c r="P658" s="6" t="str">
        <x:v>76.05865257188535</x:v>
      </x:c>
      <x:c r="Q658" s="6" t="str">
        <x:v>66.61368676134225</x:v>
      </x:c>
      <x:c r="R658" s="6" t="str">
        <x:v>0.718689813452059</x:v>
      </x:c>
      <x:c r="S658" s="8" t="str">
        <x:v>1.4857723472987883</x:v>
      </x:c>
      <x:c r="T658" s="6" t="str">
        <x:v>2.842811042085941</x:v>
      </x:c>
      <x:c r="U658" s="8" t="str">
        <x:v>0.574072046984643</x:v>
      </x:c>
      <x:c r="V658" s="6" t="str">
        <x:v>0.15186860164843097</x:v>
      </x:c>
      <x:c r="W658" s="8" t="str">
        <x:v>0.0022798408109812726</x:v>
      </x:c>
      <x:c r="X658" s="6" t="str">
        <x:v>1.2951694449653954</x:v>
      </x:c>
      <x:c r="Y658" s="6" t="str">
        <x:v>1.188926430669653</x:v>
      </x:c>
      <x:c r="Z658" s="6" t="str">
        <x:v>1.323289407644612</x:v>
      </x:c>
      <x:c r="AA658" s="6" t="str">
        <x:v>0.6191911687290761</x:v>
      </x:c>
      <x:c r="AB658" s="6" t="str">
        <x:v>0.7592135773052724</x:v>
      </x:c>
      <x:c r="AC658" s="6" t="str">
        <x:v>0.650825597672997</x:v>
      </x:c>
      <x:c r="AD658" s="6" t="str">
        <x:v>-0.05254298375318046</x:v>
      </x:c>
      <x:c r="AE658" s="6" t="str">
        <x:v>1.0924964821109109</x:v>
      </x:c>
      <x:c r="AF658" s="6" t="str">
        <x:v>0.34741111305623673</x:v>
      </x:c>
      <x:c r="AG658" s="6" t="str">
        <x:v>0</x:v>
      </x:c>
      <x:c r="AH658" s="6" t="str">
        <x:v>1</x:v>
      </x:c>
      <x:c r="AI658" s="6" t="str">
        <x:v>2024-09</x:v>
      </x:c>
      <x:c r="AJ658" s="9" t="str">
        <x:v>NASA POWER (MERRA-2 meteorology)</x:v>
      </x:c>
      <x:c r="AK658" s="9" t="str">
        <x:v>Badan Informasi Geospasial (BIG)</x:v>
      </x:c>
      <x:c r="AL658" s="9" t="str">
        <x:v>https://power.larc.nasa.gov/docs/services/api/temporal/monthly/</x:v>
      </x:c>
      <x:c r="AM658" s="9" t="str">
        <x:v>https://geoservices.big.go.id/rbi/rest/services/BATASWILAYAH/BATAS_WILAYAH/MapServer/12</x:v>
      </x:c>
    </x:row>
    <x:row r="659" ht="18" customHeight="1">
      <x:c r="A659" s="6" t="str">
        <x:v>74</x:v>
      </x:c>
      <x:c r="B659" s="6" t="str">
        <x:v>SULAWESI TENGGARA</x:v>
      </x:c>
      <x:c r="C659" s="6" t="str">
        <x:v>2024</x:v>
      </x:c>
      <x:c r="D659" s="6" t="str">
        <x:v>10</x:v>
      </x:c>
      <x:c r="E659" s="6" t="str">
        <x:v>26.071662604231573</x:v>
      </x:c>
      <x:c r="F659" s="9" t="str">
        <x:v>grid_cells_within_BIG_polygon</x:v>
      </x:c>
      <x:c r="G659" s="6" t="str">
        <x:v>7</x:v>
      </x:c>
      <x:c r="H659" s="8" t="str">
        <x:v>81.9910982811003</x:v>
      </x:c>
      <x:c r="I659" s="6" t="str">
        <x:v>4.080880519159002</x:v>
      </x:c>
      <x:c r="J659" s="6" t="str">
        <x:v>31</x:v>
      </x:c>
      <x:c r="K659" s="6" t="str">
        <x:v>126.50729609392906</x:v>
      </x:c>
      <x:c r="L659" s="6" t="str">
        <x:v>25.619857370740625</x:v>
      </x:c>
      <x:c r="M659" s="6" t="str">
        <x:v>0.5191753380664726</x:v>
      </x:c>
      <x:c r="N659" s="6" t="str">
        <x:v>77.87040574454768</x:v>
      </x:c>
      <x:c r="O659" s="6" t="str">
        <x:v>6.9899148544730565</x:v>
      </x:c>
      <x:c r="P659" s="6" t="str">
        <x:v>102.31603396041274</x:v>
      </x:c>
      <x:c r="Q659" s="6" t="str">
        <x:v>79.97133066465307</x:v>
      </x:c>
      <x:c r="R659" s="6" t="str">
        <x:v>0.4518052334909477</x:v>
      </x:c>
      <x:c r="S659" s="8" t="str">
        <x:v>0.8702363158727328</x:v>
      </x:c>
      <x:c r="T659" s="6" t="str">
        <x:v>4.120692536552625</x:v>
      </x:c>
      <x:c r="U659" s="8" t="str">
        <x:v>0.5895197040798958</x:v>
      </x:c>
      <x:c r="V659" s="6" t="str">
        <x:v>24.191262133516318</x:v>
      </x:c>
      <x:c r="W659" s="8" t="str">
        <x:v>0.3024991823001982</x:v>
      </x:c>
      <x:c r="X659" s="6" t="str">
        <x:v>1.4857723472987883</x:v>
      </x:c>
      <x:c r="Y659" s="6" t="str">
        <x:v>1.2951694449653954</x:v>
      </x:c>
      <x:c r="Z659" s="6" t="str">
        <x:v>1.2170593693789717</x:v>
      </x:c>
      <x:c r="AA659" s="6" t="str">
        <x:v>0.574072046984643</x:v>
      </x:c>
      <x:c r="AB659" s="6" t="str">
        <x:v>0.6191911687290761</x:v>
      </x:c>
      <x:c r="AC659" s="6" t="str">
        <x:v>0.5942609732645381</x:v>
      </x:c>
      <x:c r="AD659" s="6" t="str">
        <x:v>0.0022798408109812726</x:v>
      </x:c>
      <x:c r="AE659" s="6" t="str">
        <x:v>-0.05254298375318046</x:v>
      </x:c>
      <x:c r="AF659" s="6" t="str">
        <x:v>0.08407867978599919</x:v>
      </x:c>
      <x:c r="AG659" s="6" t="str">
        <x:v>0</x:v>
      </x:c>
      <x:c r="AH659" s="6" t="str">
        <x:v>0</x:v>
      </x:c>
      <x:c r="AI659" s="6" t="str">
        <x:v>2024-10</x:v>
      </x:c>
      <x:c r="AJ659" s="9" t="str">
        <x:v>NASA POWER (MERRA-2 meteorology)</x:v>
      </x:c>
      <x:c r="AK659" s="9" t="str">
        <x:v>Badan Informasi Geospasial (BIG)</x:v>
      </x:c>
      <x:c r="AL659" s="9" t="str">
        <x:v>https://power.larc.nasa.gov/docs/services/api/temporal/monthly/</x:v>
      </x:c>
      <x:c r="AM659" s="9" t="str">
        <x:v>https://geoservices.big.go.id/rbi/rest/services/BATASWILAYAH/BATAS_WILAYAH/MapServer/12</x:v>
      </x:c>
    </x:row>
    <x:row r="660" ht="18" customHeight="1">
      <x:c r="A660" s="6" t="str">
        <x:v>74</x:v>
      </x:c>
      <x:c r="B660" s="6" t="str">
        <x:v>SULAWESI TENGGARA</x:v>
      </x:c>
      <x:c r="C660" s="6" t="str">
        <x:v>2024</x:v>
      </x:c>
      <x:c r="D660" s="6" t="str">
        <x:v>11</x:v>
      </x:c>
      <x:c r="E660" s="6" t="str">
        <x:v>25.850389716668445</x:v>
      </x:c>
      <x:c r="F660" s="9" t="str">
        <x:v>grid_cells_within_BIG_polygon</x:v>
      </x:c>
      <x:c r="G660" s="6" t="str">
        <x:v>7</x:v>
      </x:c>
      <x:c r="H660" s="8" t="str">
        <x:v>86.37706815583394</x:v>
      </x:c>
      <x:c r="I660" s="6" t="str">
        <x:v>9.27384584118786</x:v>
      </x:c>
      <x:c r="J660" s="6" t="str">
        <x:v>30</x:v>
      </x:c>
      <x:c r="K660" s="6" t="str">
        <x:v>278.2153752356358</x:v>
      </x:c>
      <x:c r="L660" s="6" t="str">
        <x:v>25.983622372503515</x:v>
      </x:c>
      <x:c r="M660" s="6" t="str">
        <x:v>0.7728225135611855</x:v>
      </x:c>
      <x:c r="N660" s="6" t="str">
        <x:v>80.58824720281386</x:v>
      </x:c>
      <x:c r="O660" s="6" t="str">
        <x:v>6.7135676885824385</x:v>
      </x:c>
      <x:c r="P660" s="6" t="str">
        <x:v>162.44356200916326</x:v>
      </x:c>
      <x:c r="Q660" s="6" t="str">
        <x:v>84.84116295885872</x:v>
      </x:c>
      <x:c r="R660" s="6" t="str">
        <x:v>-0.13323265583506938</x:v>
      </x:c>
      <x:c r="S660" s="8" t="str">
        <x:v>-0.1723974826006685</x:v>
      </x:c>
      <x:c r="T660" s="6" t="str">
        <x:v>5.788820953020078</x:v>
      </x:c>
      <x:c r="U660" s="8" t="str">
        <x:v>0.862257032555872</x:v>
      </x:c>
      <x:c r="V660" s="6" t="str">
        <x:v>115.77181322647255</x:v>
      </x:c>
      <x:c r="W660" s="8" t="str">
        <x:v>1.3645712669286814</x:v>
      </x:c>
      <x:c r="X660" s="6" t="str">
        <x:v>0.8702363158727328</x:v>
      </x:c>
      <x:c r="Y660" s="6" t="str">
        <x:v>1.4857723472987883</x:v>
      </x:c>
      <x:c r="Z660" s="6" t="str">
        <x:v>0.7278703935236172</x:v>
      </x:c>
      <x:c r="AA660" s="6" t="str">
        <x:v>0.5895197040798958</x:v>
      </x:c>
      <x:c r="AB660" s="6" t="str">
        <x:v>0.574072046984643</x:v>
      </x:c>
      <x:c r="AC660" s="6" t="str">
        <x:v>0.6752829278734701</x:v>
      </x:c>
      <x:c r="AD660" s="6" t="str">
        <x:v>0.3024991823001982</x:v>
      </x:c>
      <x:c r="AE660" s="6" t="str">
        <x:v>0.0022798408109812726</x:v>
      </x:c>
      <x:c r="AF660" s="6" t="str">
        <x:v>0.5564500966799532</x:v>
      </x:c>
      <x:c r="AG660" s="6" t="str">
        <x:v>1</x:v>
      </x:c>
      <x:c r="AH660" s="6" t="str">
        <x:v>0</x:v>
      </x:c>
      <x:c r="AI660" s="6" t="str">
        <x:v>2024-11</x:v>
      </x:c>
      <x:c r="AJ660" s="9" t="str">
        <x:v>NASA POWER (MERRA-2 meteorology)</x:v>
      </x:c>
      <x:c r="AK660" s="9" t="str">
        <x:v>Badan Informasi Geospasial (BIG)</x:v>
      </x:c>
      <x:c r="AL660" s="9" t="str">
        <x:v>https://power.larc.nasa.gov/docs/services/api/temporal/monthly/</x:v>
      </x:c>
      <x:c r="AM660" s="9" t="str">
        <x:v>https://geoservices.big.go.id/rbi/rest/services/BATASWILAYAH/BATAS_WILAYAH/MapServer/12</x:v>
      </x:c>
    </x:row>
    <x:row r="661" ht="18" customHeight="1">
      <x:c r="A661" s="6" t="str">
        <x:v>74</x:v>
      </x:c>
      <x:c r="B661" s="6" t="str">
        <x:v>SULAWESI TENGGARA</x:v>
      </x:c>
      <x:c r="C661" s="6" t="str">
        <x:v>2024</x:v>
      </x:c>
      <x:c r="D661" s="6" t="str">
        <x:v>12</x:v>
      </x:c>
      <x:c r="E661" s="6" t="str">
        <x:v>25.460621303506468</x:v>
      </x:c>
      <x:c r="F661" s="9" t="str">
        <x:v>grid_cells_within_BIG_polygon</x:v>
      </x:c>
      <x:c r="G661" s="6" t="str">
        <x:v>7</x:v>
      </x:c>
      <x:c r="H661" s="8" t="str">
        <x:v>89.09431298663607</x:v>
      </x:c>
      <x:c r="I661" s="6" t="str">
        <x:v>8.874122572245069</x:v>
      </x:c>
      <x:c r="J661" s="6" t="str">
        <x:v>31</x:v>
      </x:c>
      <x:c r="K661" s="6" t="str">
        <x:v>275.0977997395971</x:v>
      </x:c>
      <x:c r="L661" s="6" t="str">
        <x:v>25.230749261257863</x:v>
      </x:c>
      <x:c r="M661" s="6" t="str">
        <x:v>0.5930451967968419</x:v>
      </x:c>
      <x:c r="N661" s="6" t="str">
        <x:v>86.73134654794116</x:v>
      </x:c>
      <x:c r="O661" s="6" t="str">
        <x:v>3.3474798931005774</x:v>
      </x:c>
      <x:c r="P661" s="6" t="str">
        <x:v>217.07366297458992</x:v>
      </x:c>
      <x:c r="Q661" s="6" t="str">
        <x:v>59.73933246927672</x:v>
      </x:c>
      <x:c r="R661" s="6" t="str">
        <x:v>0.2298720422486049</x:v>
      </x:c>
      <x:c r="S661" s="8" t="str">
        <x:v>0.3876130242520987</x:v>
      </x:c>
      <x:c r="T661" s="6" t="str">
        <x:v>2.3629664386949116</x:v>
      </x:c>
      <x:c r="U661" s="8" t="str">
        <x:v>0.7058941395182607</x:v>
      </x:c>
      <x:c r="V661" s="6" t="str">
        <x:v>58.0241367650072</x:v>
      </x:c>
      <x:c r="W661" s="8" t="str">
        <x:v>0.9712886697361136</x:v>
      </x:c>
      <x:c r="X661" s="6" t="str">
        <x:v>-0.1723974826006685</x:v>
      </x:c>
      <x:c r="Y661" s="6" t="str">
        <x:v>0.8702363158727328</x:v>
      </x:c>
      <x:c r="Z661" s="6" t="str">
        <x:v>0.36181728584138734</x:v>
      </x:c>
      <x:c r="AA661" s="6" t="str">
        <x:v>0.862257032555872</x:v>
      </x:c>
      <x:c r="AB661" s="6" t="str">
        <x:v>0.5895197040798958</x:v>
      </x:c>
      <x:c r="AC661" s="6" t="str">
        <x:v>0.719223625384676</x:v>
      </x:c>
      <x:c r="AD661" s="6" t="str">
        <x:v>1.3645712669286814</x:v>
      </x:c>
      <x:c r="AE661" s="6" t="str">
        <x:v>0.3024991823001982</x:v>
      </x:c>
      <x:c r="AF661" s="6" t="str">
        <x:v>0.8794530396549973</x:v>
      </x:c>
      <x:c r="AG661" s="6" t="str">
        <x:v>0</x:v>
      </x:c>
      <x:c r="AH661" s="6" t="str">
        <x:v>0</x:v>
      </x:c>
      <x:c r="AI661" s="6" t="str">
        <x:v>2024-12</x:v>
      </x:c>
      <x:c r="AJ661" s="9" t="str">
        <x:v>NASA POWER (MERRA-2 meteorology)</x:v>
      </x:c>
      <x:c r="AK661" s="9" t="str">
        <x:v>Badan Informasi Geospasial (BIG)</x:v>
      </x:c>
      <x:c r="AL661" s="9" t="str">
        <x:v>https://power.larc.nasa.gov/docs/services/api/temporal/monthly/</x:v>
      </x:c>
      <x:c r="AM661" s="9" t="str">
        <x:v>https://geoservices.big.go.id/rbi/rest/services/BATASWILAYAH/BATAS_WILAYAH/MapServer/12</x:v>
      </x:c>
    </x:row>
    <x:row r="662" ht="18" customHeight="1">
      <x:c r="A662" s="6" t="str">
        <x:v>74</x:v>
      </x:c>
      <x:c r="B662" s="6" t="str">
        <x:v>SULAWESI TENGGARA</x:v>
      </x:c>
      <x:c r="C662" s="6" t="str">
        <x:v>2025</x:v>
      </x:c>
      <x:c r="D662" s="6" t="str">
        <x:v>1</x:v>
      </x:c>
      <x:c r="E662" s="6" t="str">
        <x:v>25.143468013772154</x:v>
      </x:c>
      <x:c r="F662" s="9" t="str">
        <x:v>grid_cells_within_BIG_polygon</x:v>
      </x:c>
      <x:c r="G662" s="6" t="str">
        <x:v>7</x:v>
      </x:c>
      <x:c r="H662" s="8" t="str">
        <x:v>89.61184316068214</x:v>
      </x:c>
      <x:c r="I662" s="6" t="str">
        <x:v>7.680285987430963</x:v>
      </x:c>
      <x:c r="J662" s="6" t="str">
        <x:v>31</x:v>
      </x:c>
      <x:c r="K662" s="6" t="str">
        <x:v>238.08886561035985</x:v>
      </x:c>
      <x:c r="L662" s="6" t="str">
        <x:v>24.926280949407932</x:v>
      </x:c>
      <x:c r="M662" s="6" t="str">
        <x:v>0.5019507958409949</x:v>
      </x:c>
      <x:c r="N662" s="6" t="str">
        <x:v>87.68449370434512</x:v>
      </x:c>
      <x:c r="O662" s="6" t="str">
        <x:v>2.5484765881363534</x:v>
      </x:c>
      <x:c r="P662" s="6" t="str">
        <x:v>222.1578520756729</x:v>
      </x:c>
      <x:c r="Q662" s="6" t="str">
        <x:v>95.07635729676002</x:v>
      </x:c>
      <x:c r="R662" s="6" t="str">
        <x:v>0.21718706436422153</x:v>
      </x:c>
      <x:c r="S662" s="8" t="str">
        <x:v>0.43268596476739285</x:v>
      </x:c>
      <x:c r="T662" s="6" t="str">
        <x:v>1.9273494563370264</x:v>
      </x:c>
      <x:c r="U662" s="8" t="str">
        <x:v>0.7562751273875566</x:v>
      </x:c>
      <x:c r="V662" s="6" t="str">
        <x:v>15.93101353468694</x:v>
      </x:c>
      <x:c r="W662" s="8" t="str">
        <x:v>0.16756020095471025</x:v>
      </x:c>
      <x:c r="X662" s="6" t="str">
        <x:v>0.3876130242520987</x:v>
      </x:c>
      <x:c r="Y662" s="6" t="str">
        <x:v>-0.1723974826006685</x:v>
      </x:c>
      <x:c r="Z662" s="6" t="str">
        <x:v>0.21596716880627406</x:v>
      </x:c>
      <x:c r="AA662" s="6" t="str">
        <x:v>0.7058941395182607</x:v>
      </x:c>
      <x:c r="AB662" s="6" t="str">
        <x:v>0.862257032555872</x:v>
      </x:c>
      <x:c r="AC662" s="6" t="str">
        <x:v>0.7748087664872295</x:v>
      </x:c>
      <x:c r="AD662" s="6" t="str">
        <x:v>0.9712886697361136</x:v>
      </x:c>
      <x:c r="AE662" s="6" t="str">
        <x:v>1.3645712669286814</x:v>
      </x:c>
      <x:c r="AF662" s="6" t="str">
        <x:v>0.8344733792065013</x:v>
      </x:c>
      <x:c r="AG662" s="6" t="str">
        <x:v>0</x:v>
      </x:c>
      <x:c r="AH662" s="6" t="str">
        <x:v>0</x:v>
      </x:c>
      <x:c r="AI662" s="6" t="str">
        <x:v>2025-01</x:v>
      </x:c>
      <x:c r="AJ662" s="9" t="str">
        <x:v>NASA POWER (MERRA-2 meteorology)</x:v>
      </x:c>
      <x:c r="AK662" s="9" t="str">
        <x:v>Badan Informasi Geospasial (BIG)</x:v>
      </x:c>
      <x:c r="AL662" s="9" t="str">
        <x:v>https://power.larc.nasa.gov/docs/services/api/temporal/monthly/</x:v>
      </x:c>
      <x:c r="AM662" s="9" t="str">
        <x:v>https://geoservices.big.go.id/rbi/rest/services/BATASWILAYAH/BATAS_WILAYAH/MapServer/12</x:v>
      </x:c>
    </x:row>
    <x:row r="663" ht="18" customHeight="1">
      <x:c r="A663" s="6" t="str">
        <x:v>74</x:v>
      </x:c>
      <x:c r="B663" s="6" t="str">
        <x:v>SULAWESI TENGGARA</x:v>
      </x:c>
      <x:c r="C663" s="6" t="str">
        <x:v>2025</x:v>
      </x:c>
      <x:c r="D663" s="6" t="str">
        <x:v>2</x:v>
      </x:c>
      <x:c r="E663" s="6" t="str">
        <x:v>24.99917637721112</x:v>
      </x:c>
      <x:c r="F663" s="9" t="str">
        <x:v>grid_cells_within_BIG_polygon</x:v>
      </x:c>
      <x:c r="G663" s="6" t="str">
        <x:v>7</x:v>
      </x:c>
      <x:c r="H663" s="8" t="str">
        <x:v>87.50089817492646</x:v>
      </x:c>
      <x:c r="I663" s="6" t="str">
        <x:v>5.541748619716009</x:v>
      </x:c>
      <x:c r="J663" s="6" t="str">
        <x:v>28</x:v>
      </x:c>
      <x:c r="K663" s="6" t="str">
        <x:v>155.16896135204826</x:v>
      </x:c>
      <x:c r="L663" s="6" t="str">
        <x:v>24.860832493053255</x:v>
      </x:c>
      <x:c r="M663" s="6" t="str">
        <x:v>0.37173034177211944</x:v>
      </x:c>
      <x:c r="N663" s="6" t="str">
        <x:v>88.2703275924548</x:v>
      </x:c>
      <x:c r="O663" s="6" t="str">
        <x:v>1.476053874890999</x:v>
      </x:c>
      <x:c r="P663" s="6" t="str">
        <x:v>214.70218788535536</x:v>
      </x:c>
      <x:c r="Q663" s="6" t="str">
        <x:v>78.10715582394413</x:v>
      </x:c>
      <x:c r="R663" s="6" t="str">
        <x:v>0.13834388415786592</x:v>
      </x:c>
      <x:c r="S663" s="8" t="str">
        <x:v>0.3721619373289533</x:v>
      </x:c>
      <x:c r="T663" s="6" t="str">
        <x:v>-0.7694294175283432</x:v>
      </x:c>
      <x:c r="U663" s="8" t="str">
        <x:v>-0.5212746164737128</x:v>
      </x:c>
      <x:c r="V663" s="6" t="str">
        <x:v>-59.5332265333071</x:v>
      </x:c>
      <x:c r="W663" s="8" t="str">
        <x:v>-0.7621993901237011</x:v>
      </x:c>
      <x:c r="X663" s="6" t="str">
        <x:v>0.43268596476739285</x:v>
      </x:c>
      <x:c r="Y663" s="6" t="str">
        <x:v>0.3876130242520987</x:v>
      </x:c>
      <x:c r="Z663" s="6" t="str">
        <x:v>0.39748697544948136</x:v>
      </x:c>
      <x:c r="AA663" s="6" t="str">
        <x:v>0.7562751273875566</x:v>
      </x:c>
      <x:c r="AB663" s="6" t="str">
        <x:v>0.7058941395182607</x:v>
      </x:c>
      <x:c r="AC663" s="6" t="str">
        <x:v>0.31363155014403465</x:v>
      </x:c>
      <x:c r="AD663" s="6" t="str">
        <x:v>0.16756020095471025</x:v>
      </x:c>
      <x:c r="AE663" s="6" t="str">
        <x:v>0.9712886697361136</x:v>
      </x:c>
      <x:c r="AF663" s="6" t="str">
        <x:v>0.12554982685570706</x:v>
      </x:c>
      <x:c r="AG663" s="6" t="str">
        <x:v>0</x:v>
      </x:c>
      <x:c r="AH663" s="6" t="str">
        <x:v>0</x:v>
      </x:c>
      <x:c r="AI663" s="6" t="str">
        <x:v>2025-02</x:v>
      </x:c>
      <x:c r="AJ663" s="9" t="str">
        <x:v>NASA POWER (MERRA-2 meteorology)</x:v>
      </x:c>
      <x:c r="AK663" s="9" t="str">
        <x:v>Badan Informasi Geospasial (BIG)</x:v>
      </x:c>
      <x:c r="AL663" s="9" t="str">
        <x:v>https://power.larc.nasa.gov/docs/services/api/temporal/monthly/</x:v>
      </x:c>
      <x:c r="AM663" s="9" t="str">
        <x:v>https://geoservices.big.go.id/rbi/rest/services/BATASWILAYAH/BATAS_WILAYAH/MapServer/12</x:v>
      </x:c>
    </x:row>
    <x:row r="664" ht="18" customHeight="1">
      <x:c r="A664" s="6" t="str">
        <x:v>74</x:v>
      </x:c>
      <x:c r="B664" s="6" t="str">
        <x:v>SULAWESI TENGGARA</x:v>
      </x:c>
      <x:c r="C664" s="6" t="str">
        <x:v>2025</x:v>
      </x:c>
      <x:c r="D664" s="6" t="str">
        <x:v>3</x:v>
      </x:c>
      <x:c r="E664" s="6" t="str">
        <x:v>25.32056998359551</x:v>
      </x:c>
      <x:c r="F664" s="9" t="str">
        <x:v>grid_cells_within_BIG_polygon</x:v>
      </x:c>
      <x:c r="G664" s="6" t="str">
        <x:v>7</x:v>
      </x:c>
      <x:c r="H664" s="8" t="str">
        <x:v>88.36149438444424</x:v>
      </x:c>
      <x:c r="I664" s="6" t="str">
        <x:v>6.602105787143309</x:v>
      </x:c>
      <x:c r="J664" s="6" t="str">
        <x:v>31</x:v>
      </x:c>
      <x:c r="K664" s="6" t="str">
        <x:v>204.66527940144258</x:v>
      </x:c>
      <x:c r="L664" s="6" t="str">
        <x:v>24.893907972445163</x:v>
      </x:c>
      <x:c r="M664" s="6" t="str">
        <x:v>0.35698158642878397</x:v>
      </x:c>
      <x:c r="N664" s="6" t="str">
        <x:v>88.64073494575146</x:v>
      </x:c>
      <x:c r="O664" s="6" t="str">
        <x:v>1.1295066458722458</x:v>
      </x:c>
      <x:c r="P664" s="6" t="str">
        <x:v>255.87437744090852</x:v>
      </x:c>
      <x:c r="Q664" s="6" t="str">
        <x:v>79.89593181994084</x:v>
      </x:c>
      <x:c r="R664" s="6" t="str">
        <x:v>0.4266620111503485</x:v>
      </x:c>
      <x:c r="S664" s="8" t="str">
        <x:v>1.1951933303301219</x:v>
      </x:c>
      <x:c r="T664" s="6" t="str">
        <x:v>-0.2792405613072191</x:v>
      </x:c>
      <x:c r="U664" s="8" t="str">
        <x:v>-0.24722347790311533</x:v>
      </x:c>
      <x:c r="V664" s="6" t="str">
        <x:v>-51.20909803946594</x:v>
      </x:c>
      <x:c r="W664" s="8" t="str">
        <x:v>-0.6409475034958527</x:v>
      </x:c>
      <x:c r="X664" s="6" t="str">
        <x:v>0.3721619373289533</x:v>
      </x:c>
      <x:c r="Y664" s="6" t="str">
        <x:v>0.43268596476739285</x:v>
      </x:c>
      <x:c r="Z664" s="6" t="str">
        <x:v>0.6666804108088223</x:v>
      </x:c>
      <x:c r="AA664" s="6" t="str">
        <x:v>-0.5212746164737128</x:v>
      </x:c>
      <x:c r="AB664" s="6" t="str">
        <x:v>0.7562751273875566</x:v>
      </x:c>
      <x:c r="AC664" s="6" t="str">
        <x:v>-0.00407432232975737</x:v>
      </x:c>
      <x:c r="AD664" s="6" t="str">
        <x:v>-0.7621993901237011</x:v>
      </x:c>
      <x:c r="AE664" s="6" t="str">
        <x:v>0.16756020095471025</x:v>
      </x:c>
      <x:c r="AF664" s="6" t="str">
        <x:v>-0.4118622308882817</x:v>
      </x:c>
      <x:c r="AG664" s="6" t="str">
        <x:v>0</x:v>
      </x:c>
      <x:c r="AH664" s="6" t="str">
        <x:v>1</x:v>
      </x:c>
      <x:c r="AI664" s="6" t="str">
        <x:v>2025-03</x:v>
      </x:c>
      <x:c r="AJ664" s="9" t="str">
        <x:v>NASA POWER (MERRA-2 meteorology)</x:v>
      </x:c>
      <x:c r="AK664" s="9" t="str">
        <x:v>Badan Informasi Geospasial (BIG)</x:v>
      </x:c>
      <x:c r="AL664" s="9" t="str">
        <x:v>https://power.larc.nasa.gov/docs/services/api/temporal/monthly/</x:v>
      </x:c>
      <x:c r="AM664" s="9" t="str">
        <x:v>https://geoservices.big.go.id/rbi/rest/services/BATASWILAYAH/BATAS_WILAYAH/MapServer/12</x:v>
      </x:c>
    </x:row>
    <x:row r="665" ht="18" customHeight="1">
      <x:c r="A665" s="6" t="str">
        <x:v>74</x:v>
      </x:c>
      <x:c r="B665" s="6" t="str">
        <x:v>SULAWESI TENGGARA</x:v>
      </x:c>
      <x:c r="C665" s="6" t="str">
        <x:v>2025</x:v>
      </x:c>
      <x:c r="D665" s="6" t="str">
        <x:v>4</x:v>
      </x:c>
      <x:c r="E665" s="6" t="str">
        <x:v>25.100527871629392</x:v>
      </x:c>
      <x:c r="F665" s="9" t="str">
        <x:v>grid_cells_within_BIG_polygon</x:v>
      </x:c>
      <x:c r="G665" s="6" t="str">
        <x:v>7</x:v>
      </x:c>
      <x:c r="H665" s="8" t="str">
        <x:v>88.30224962122689</x:v>
      </x:c>
      <x:c r="I665" s="6" t="str">
        <x:v>5.839660313630955</x:v>
      </x:c>
      <x:c r="J665" s="6" t="str">
        <x:v>30</x:v>
      </x:c>
      <x:c r="K665" s="6" t="str">
        <x:v>175.18980940892865</x:v>
      </x:c>
      <x:c r="L665" s="6" t="str">
        <x:v>24.86672600429669</x:v>
      </x:c>
      <x:c r="M665" s="6" t="str">
        <x:v>0.30750837522452984</x:v>
      </x:c>
      <x:c r="N665" s="6" t="str">
        <x:v>89.56442459098274</x:v>
      </x:c>
      <x:c r="O665" s="6" t="str">
        <x:v>0.9001842944907092</x:v>
      </x:c>
      <x:c r="P665" s="6" t="str">
        <x:v>262.09402065487694</x:v>
      </x:c>
      <x:c r="Q665" s="6" t="str">
        <x:v>67.28394015190051</x:v>
      </x:c>
      <x:c r="R665" s="6" t="str">
        <x:v>0.23380186733270136</x:v>
      </x:c>
      <x:c r="S665" s="8" t="str">
        <x:v>0.7603105676779989</x:v>
      </x:c>
      <x:c r="T665" s="6" t="str">
        <x:v>-1.262174969755847</x:v>
      </x:c>
      <x:c r="U665" s="8" t="str">
        <x:v>-1.4021295166785137</x:v>
      </x:c>
      <x:c r="V665" s="6" t="str">
        <x:v>-86.90421124594829</x:v>
      </x:c>
      <x:c r="W665" s="8" t="str">
        <x:v>-1.2916040744604578</x:v>
      </x:c>
      <x:c r="X665" s="6" t="str">
        <x:v>1.1951933303301219</x:v>
      </x:c>
      <x:c r="Y665" s="6" t="str">
        <x:v>0.3721619373289533</x:v>
      </x:c>
      <x:c r="Z665" s="6" t="str">
        <x:v>0.7758886117790244</x:v>
      </x:c>
      <x:c r="AA665" s="6" t="str">
        <x:v>-0.24722347790311533</x:v>
      </x:c>
      <x:c r="AB665" s="6" t="str">
        <x:v>-0.5212746164737128</x:v>
      </x:c>
      <x:c r="AC665" s="6" t="str">
        <x:v>-0.7235425370184475</x:v>
      </x:c>
      <x:c r="AD665" s="6" t="str">
        <x:v>-0.6409475034958527</x:v>
      </x:c>
      <x:c r="AE665" s="6" t="str">
        <x:v>-0.7621993901237011</x:v>
      </x:c>
      <x:c r="AF665" s="6" t="str">
        <x:v>-0.8982503226933377</x:v>
      </x:c>
      <x:c r="AG665" s="6" t="str">
        <x:v>0</x:v>
      </x:c>
      <x:c r="AH665" s="6" t="str">
        <x:v>0</x:v>
      </x:c>
      <x:c r="AI665" s="6" t="str">
        <x:v>2025-04</x:v>
      </x:c>
      <x:c r="AJ665" s="9" t="str">
        <x:v>NASA POWER (MERRA-2 meteorology)</x:v>
      </x:c>
      <x:c r="AK665" s="9" t="str">
        <x:v>Badan Informasi Geospasial (BIG)</x:v>
      </x:c>
      <x:c r="AL665" s="9" t="str">
        <x:v>https://power.larc.nasa.gov/docs/services/api/temporal/monthly/</x:v>
      </x:c>
      <x:c r="AM665" s="9" t="str">
        <x:v>https://geoservices.big.go.id/rbi/rest/services/BATASWILAYAH/BATAS_WILAYAH/MapServer/12</x:v>
      </x:c>
    </x:row>
    <x:row r="666" ht="18" customHeight="1">
      <x:c r="A666" s="6" t="str">
        <x:v>74</x:v>
      </x:c>
      <x:c r="B666" s="6" t="str">
        <x:v>SULAWESI TENGGARA</x:v>
      </x:c>
      <x:c r="C666" s="6" t="str">
        <x:v>2025</x:v>
      </x:c>
      <x:c r="D666" s="6" t="str">
        <x:v>5</x:v>
      </x:c>
      <x:c r="E666" s="6" t="str">
        <x:v>25.104951686980947</x:v>
      </x:c>
      <x:c r="F666" s="9" t="str">
        <x:v>grid_cells_within_BIG_polygon</x:v>
      </x:c>
      <x:c r="G666" s="6" t="str">
        <x:v>7</x:v>
      </x:c>
      <x:c r="H666" s="8" t="str">
        <x:v>89.9511824540777</x:v>
      </x:c>
      <x:c r="I666" s="6" t="str">
        <x:v>6.649352886588074</x:v>
      </x:c>
      <x:c r="J666" s="6" t="str">
        <x:v>31</x:v>
      </x:c>
      <x:c r="K666" s="6" t="str">
        <x:v>206.1299394842303</x:v>
      </x:c>
      <x:c r="L666" s="6" t="str">
        <x:v>24.63720684489499</x:v>
      </x:c>
      <x:c r="M666" s="6" t="str">
        <x:v>0.3795381961233271</x:v>
      </x:c>
      <x:c r="N666" s="6" t="str">
        <x:v>89.61873460433794</x:v>
      </x:c>
      <x:c r="O666" s="6" t="str">
        <x:v>1.3322991633469676</x:v>
      </x:c>
      <x:c r="P666" s="6" t="str">
        <x:v>260.4521187902357</x:v>
      </x:c>
      <x:c r="Q666" s="6" t="str">
        <x:v>82.9825579566144</x:v>
      </x:c>
      <x:c r="R666" s="6" t="str">
        <x:v>0.46774484208595624</x:v>
      </x:c>
      <x:c r="S666" s="8" t="str">
        <x:v>1.2324051883673053</x:v>
      </x:c>
      <x:c r="T666" s="6" t="str">
        <x:v>0.3324478497397507</x:v>
      </x:c>
      <x:c r="U666" s="8" t="str">
        <x:v>0.2495294291896002</x:v>
      </x:c>
      <x:c r="V666" s="6" t="str">
        <x:v>-54.32217930600541</x:v>
      </x:c>
      <x:c r="W666" s="8" t="str">
        <x:v>-0.6546216535576858</x:v>
      </x:c>
      <x:c r="X666" s="6" t="str">
        <x:v>0.7603105676779989</x:v>
      </x:c>
      <x:c r="Y666" s="6" t="str">
        <x:v>1.1951933303301219</x:v>
      </x:c>
      <x:c r="Z666" s="6" t="str">
        <x:v>1.0626363621251418</x:v>
      </x:c>
      <x:c r="AA666" s="6" t="str">
        <x:v>-1.4021295166785137</x:v>
      </x:c>
      <x:c r="AB666" s="6" t="str">
        <x:v>-0.24722347790311533</x:v>
      </x:c>
      <x:c r="AC666" s="6" t="str">
        <x:v>-0.46660785513067654</x:v>
      </x:c>
      <x:c r="AD666" s="6" t="str">
        <x:v>-1.2916040744604578</x:v>
      </x:c>
      <x:c r="AE666" s="6" t="str">
        <x:v>-0.6409475034958527</x:v>
      </x:c>
      <x:c r="AF666" s="6" t="str">
        <x:v>-0.8623910771713326</x:v>
      </x:c>
      <x:c r="AG666" s="6" t="str">
        <x:v>0</x:v>
      </x:c>
      <x:c r="AH666" s="6" t="str">
        <x:v>1</x:v>
      </x:c>
      <x:c r="AI666" s="6" t="str">
        <x:v>2025-05</x:v>
      </x:c>
      <x:c r="AJ666" s="9" t="str">
        <x:v>NASA POWER (MERRA-2 meteorology)</x:v>
      </x:c>
      <x:c r="AK666" s="9" t="str">
        <x:v>Badan Informasi Geospasial (BIG)</x:v>
      </x:c>
      <x:c r="AL666" s="9" t="str">
        <x:v>https://power.larc.nasa.gov/docs/services/api/temporal/monthly/</x:v>
      </x:c>
      <x:c r="AM666" s="9" t="str">
        <x:v>https://geoservices.big.go.id/rbi/rest/services/BATASWILAYAH/BATAS_WILAYAH/MapServer/12</x:v>
      </x:c>
    </x:row>
    <x:row r="667" ht="18" customHeight="1">
      <x:c r="A667" s="6" t="str">
        <x:v>74</x:v>
      </x:c>
      <x:c r="B667" s="6" t="str">
        <x:v>SULAWESI TENGGARA</x:v>
      </x:c>
      <x:c r="C667" s="6" t="str">
        <x:v>2025</x:v>
      </x:c>
      <x:c r="D667" s="6" t="str">
        <x:v>6</x:v>
      </x:c>
      <x:c r="E667" s="6" t="str">
        <x:v>24.15490957755078</x:v>
      </x:c>
      <x:c r="F667" s="9" t="str">
        <x:v>grid_cells_within_BIG_polygon</x:v>
      </x:c>
      <x:c r="G667" s="6" t="str">
        <x:v>7</x:v>
      </x:c>
      <x:c r="H667" s="8" t="str">
        <x:v>91.10818729286841</x:v>
      </x:c>
      <x:c r="I667" s="6" t="str">
        <x:v>9.647554053137025</x:v>
      </x:c>
      <x:c r="J667" s="6" t="str">
        <x:v>30</x:v>
      </x:c>
      <x:c r="K667" s="6" t="str">
        <x:v>289.42662159411077</x:v>
      </x:c>
      <x:c r="L667" s="6" t="str">
        <x:v>24.013973006603752</x:v>
      </x:c>
      <x:c r="M667" s="6" t="str">
        <x:v>0.29894246643943084</x:v>
      </x:c>
      <x:c r="N667" s="6" t="str">
        <x:v>89.56512092095555</x:v>
      </x:c>
      <x:c r="O667" s="6" t="str">
        <x:v>2.2835741834158347</x:v>
      </x:c>
      <x:c r="P667" s="6" t="str">
        <x:v>241.4524615766177</x:v>
      </x:c>
      <x:c r="Q667" s="6" t="str">
        <x:v>98.25333643040582</x:v>
      </x:c>
      <x:c r="R667" s="6" t="str">
        <x:v>0.1409365709470265</x:v>
      </x:c>
      <x:c r="S667" s="8" t="str">
        <x:v>0.4714504855253874</x:v>
      </x:c>
      <x:c r="T667" s="6" t="str">
        <x:v>1.5430663719128574</x:v>
      </x:c>
      <x:c r="U667" s="8" t="str">
        <x:v>0.6757242147503592</x:v>
      </x:c>
      <x:c r="V667" s="6" t="str">
        <x:v>47.97416001749306</x:v>
      </x:c>
      <x:c r="W667" s="8" t="str">
        <x:v>0.4882700349974763</x:v>
      </x:c>
      <x:c r="X667" s="6" t="str">
        <x:v>1.2324051883673053</x:v>
      </x:c>
      <x:c r="Y667" s="6" t="str">
        <x:v>0.7603105676779989</x:v>
      </x:c>
      <x:c r="Z667" s="6" t="str">
        <x:v>0.8213887471902303</x:v>
      </x:c>
      <x:c r="AA667" s="6" t="str">
        <x:v>0.2495294291896002</x:v>
      </x:c>
      <x:c r="AB667" s="6" t="str">
        <x:v>-1.4021295166785137</x:v>
      </x:c>
      <x:c r="AC667" s="6" t="str">
        <x:v>-0.158958624246185</x:v>
      </x:c>
      <x:c r="AD667" s="6" t="str">
        <x:v>-0.6546216535576858</x:v>
      </x:c>
      <x:c r="AE667" s="6" t="str">
        <x:v>-1.2916040744604578</x:v>
      </x:c>
      <x:c r="AF667" s="6" t="str">
        <x:v>-0.48598523100688956</x:v>
      </x:c>
      <x:c r="AG667" s="6" t="str">
        <x:v>0</x:v>
      </x:c>
      <x:c r="AH667" s="6" t="str">
        <x:v>0</x:v>
      </x:c>
      <x:c r="AI667" s="6" t="str">
        <x:v>2025-06</x:v>
      </x:c>
      <x:c r="AJ667" s="9" t="str">
        <x:v>NASA POWER (MERRA-2 meteorology)</x:v>
      </x:c>
      <x:c r="AK667" s="9" t="str">
        <x:v>Badan Informasi Geospasial (BIG)</x:v>
      </x:c>
      <x:c r="AL667" s="9" t="str">
        <x:v>https://power.larc.nasa.gov/docs/services/api/temporal/monthly/</x:v>
      </x:c>
      <x:c r="AM667" s="9" t="str">
        <x:v>https://geoservices.big.go.id/rbi/rest/services/BATASWILAYAH/BATAS_WILAYAH/MapServer/12</x:v>
      </x:c>
    </x:row>
    <x:row r="668" ht="18" customHeight="1">
      <x:c r="A668" s="6" t="str">
        <x:v>74</x:v>
      </x:c>
      <x:c r="B668" s="6" t="str">
        <x:v>SULAWESI TENGGARA</x:v>
      </x:c>
      <x:c r="C668" s="6" t="str">
        <x:v>2025</x:v>
      </x:c>
      <x:c r="D668" s="6" t="str">
        <x:v>7</x:v>
      </x:c>
      <x:c r="E668" s="6" t="str">
        <x:v>24.14645153628674</x:v>
      </x:c>
      <x:c r="F668" s="9" t="str">
        <x:v>grid_cells_within_BIG_polygon</x:v>
      </x:c>
      <x:c r="G668" s="6" t="str">
        <x:v>7</x:v>
      </x:c>
      <x:c r="H668" s="8" t="str">
        <x:v>88.82264958779425</x:v>
      </x:c>
      <x:c r="I668" s="6" t="str">
        <x:v>3.810473205510302</x:v>
      </x:c>
      <x:c r="J668" s="6" t="str">
        <x:v>31</x:v>
      </x:c>
      <x:c r="K668" s="6" t="str">
        <x:v>118.12466937081936</x:v>
      </x:c>
      <x:c r="L668" s="6" t="str">
        <x:v>23.566503098310573</x:v>
      </x:c>
      <x:c r="M668" s="6" t="str">
        <x:v>0.3207475247455969</x:v>
      </x:c>
      <x:c r="N668" s="6" t="str">
        <x:v>87.4627749172761</x:v>
      </x:c>
      <x:c r="O668" s="6" t="str">
        <x:v>2.6802303413787056</x:v>
      </x:c>
      <x:c r="P668" s="6" t="str">
        <x:v>168.54805599352858</x:v>
      </x:c>
      <x:c r="Q668" s="6" t="str">
        <x:v>101.28475818509986</x:v>
      </x:c>
      <x:c r="R668" s="6" t="str">
        <x:v>0.5799484379761672</x:v>
      </x:c>
      <x:c r="S668" s="8" t="str">
        <x:v>1.8081150850225804</x:v>
      </x:c>
      <x:c r="T668" s="6" t="str">
        <x:v>1.3598746705181384</x:v>
      </x:c>
      <x:c r="U668" s="8" t="str">
        <x:v>0.5073723140596271</x:v>
      </x:c>
      <x:c r="V668" s="6" t="str">
        <x:v>-50.42338662270922</x:v>
      </x:c>
      <x:c r="W668" s="8" t="str">
        <x:v>-0.49783785365375016</x:v>
      </x:c>
      <x:c r="X668" s="6" t="str">
        <x:v>0.4714504855253874</x:v>
      </x:c>
      <x:c r="Y668" s="6" t="str">
        <x:v>1.2324051883673053</x:v>
      </x:c>
      <x:c r="Z668" s="6" t="str">
        <x:v>1.170656919638424</x:v>
      </x:c>
      <x:c r="AA668" s="6" t="str">
        <x:v>0.6757242147503592</x:v>
      </x:c>
      <x:c r="AB668" s="6" t="str">
        <x:v>0.2495294291896002</x:v>
      </x:c>
      <x:c r="AC668" s="6" t="str">
        <x:v>0.4775419859998619</x:v>
      </x:c>
      <x:c r="AD668" s="6" t="str">
        <x:v>0.4882700349974763</x:v>
      </x:c>
      <x:c r="AE668" s="6" t="str">
        <x:v>-0.6546216535576858</x:v>
      </x:c>
      <x:c r="AF668" s="6" t="str">
        <x:v>-0.22139649073798706</x:v>
      </x:c>
      <x:c r="AG668" s="6" t="str">
        <x:v>0</x:v>
      </x:c>
      <x:c r="AH668" s="6" t="str">
        <x:v>1</x:v>
      </x:c>
      <x:c r="AI668" s="6" t="str">
        <x:v>2025-07</x:v>
      </x:c>
      <x:c r="AJ668" s="9" t="str">
        <x:v>NASA POWER (MERRA-2 meteorology)</x:v>
      </x:c>
      <x:c r="AK668" s="9" t="str">
        <x:v>Badan Informasi Geospasial (BIG)</x:v>
      </x:c>
      <x:c r="AL668" s="9" t="str">
        <x:v>https://power.larc.nasa.gov/docs/services/api/temporal/monthly/</x:v>
      </x:c>
      <x:c r="AM668" s="9" t="str">
        <x:v>https://geoservices.big.go.id/rbi/rest/services/BATASWILAYAH/BATAS_WILAYAH/MapServer/12</x:v>
      </x:c>
    </x:row>
    <x:row r="669" ht="18" customHeight="1">
      <x:c r="A669" s="6" t="str">
        <x:v>74</x:v>
      </x:c>
      <x:c r="B669" s="6" t="str">
        <x:v>SULAWESI TENGGARA</x:v>
      </x:c>
      <x:c r="C669" s="6" t="str">
        <x:v>2025</x:v>
      </x:c>
      <x:c r="D669" s="6" t="str">
        <x:v>8</x:v>
      </x:c>
      <x:c r="E669" s="6" t="str">
        <x:v>23.942140228583117</x:v>
      </x:c>
      <x:c r="F669" s="9" t="str">
        <x:v>grid_cells_within_BIG_polygon</x:v>
      </x:c>
      <x:c r="G669" s="6" t="str">
        <x:v>7</x:v>
      </x:c>
      <x:c r="H669" s="8" t="str">
        <x:v>86.66180256427234</x:v>
      </x:c>
      <x:c r="I669" s="6" t="str">
        <x:v>2.29840041797951</x:v>
      </x:c>
      <x:c r="J669" s="6" t="str">
        <x:v>31</x:v>
      </x:c>
      <x:c r="K669" s="6" t="str">
        <x:v>71.25041295736482</x:v>
      </x:c>
      <x:c r="L669" s="6" t="str">
        <x:v>23.66148459513446</x:v>
      </x:c>
      <x:c r="M669" s="6" t="str">
        <x:v>0.3964513538626113</x:v>
      </x:c>
      <x:c r="N669" s="6" t="str">
        <x:v>83.80352116678354</x:v>
      </x:c>
      <x:c r="O669" s="6" t="str">
        <x:v>3.94105647423705</x:v>
      </x:c>
      <x:c r="P669" s="6" t="str">
        <x:v>91.61441198057027</x:v>
      </x:c>
      <x:c r="Q669" s="6" t="str">
        <x:v>80.92319838103268</x:v>
      </x:c>
      <x:c r="R669" s="6" t="str">
        <x:v>0.2806556334486565</x:v>
      </x:c>
      <x:c r="S669" s="8" t="str">
        <x:v>0.7079194728791786</x:v>
      </x:c>
      <x:c r="T669" s="6" t="str">
        <x:v>2.8582813974887955</x:v>
      </x:c>
      <x:c r="U669" s="8" t="str">
        <x:v>0.7252576602678932</x:v>
      </x:c>
      <x:c r="V669" s="6" t="str">
        <x:v>-20.36399902320545</x:v>
      </x:c>
      <x:c r="W669" s="8" t="str">
        <x:v>-0.25164599806498134</x:v>
      </x:c>
      <x:c r="X669" s="6" t="str">
        <x:v>1.8081150850225804</x:v>
      </x:c>
      <x:c r="Y669" s="6" t="str">
        <x:v>0.4714504855253874</x:v>
      </x:c>
      <x:c r="Z669" s="6" t="str">
        <x:v>0.9958283478090485</x:v>
      </x:c>
      <x:c r="AA669" s="6" t="str">
        <x:v>0.5073723140596271</x:v>
      </x:c>
      <x:c r="AB669" s="6" t="str">
        <x:v>0.6757242147503592</x:v>
      </x:c>
      <x:c r="AC669" s="6" t="str">
        <x:v>0.6361180630259596</x:v>
      </x:c>
      <x:c r="AD669" s="6" t="str">
        <x:v>-0.49783785365375016</x:v>
      </x:c>
      <x:c r="AE669" s="6" t="str">
        <x:v>0.4882700349974763</x:v>
      </x:c>
      <x:c r="AF669" s="6" t="str">
        <x:v>-0.08707127224041893</x:v>
      </x:c>
      <x:c r="AG669" s="6" t="str">
        <x:v>0</x:v>
      </x:c>
      <x:c r="AH669" s="6" t="str">
        <x:v>0</x:v>
      </x:c>
      <x:c r="AI669" s="6" t="str">
        <x:v>2025-08</x:v>
      </x:c>
      <x:c r="AJ669" s="9" t="str">
        <x:v>NASA POWER (MERRA-2 meteorology)</x:v>
      </x:c>
      <x:c r="AK669" s="9" t="str">
        <x:v>Badan Informasi Geospasial (BIG)</x:v>
      </x:c>
      <x:c r="AL669" s="9" t="str">
        <x:v>https://power.larc.nasa.gov/docs/services/api/temporal/monthly/</x:v>
      </x:c>
      <x:c r="AM669" s="9" t="str">
        <x:v>https://geoservices.big.go.id/rbi/rest/services/BATASWILAYAH/BATAS_WILAYAH/MapServer/12</x:v>
      </x:c>
    </x:row>
    <x:row r="670" ht="18" customHeight="1">
      <x:c r="A670" s="6" t="str">
        <x:v>74</x:v>
      </x:c>
      <x:c r="B670" s="6" t="str">
        <x:v>SULAWESI TENGGARA</x:v>
      </x:c>
      <x:c r="C670" s="6" t="str">
        <x:v>2025</x:v>
      </x:c>
      <x:c r="D670" s="6" t="str">
        <x:v>9</x:v>
      </x:c>
      <x:c r="E670" s="6" t="str">
        <x:v>25.0547331734668</x:v>
      </x:c>
      <x:c r="F670" s="9" t="str">
        <x:v>grid_cells_within_BIG_polygon</x:v>
      </x:c>
      <x:c r="G670" s="6" t="str">
        <x:v>7</x:v>
      </x:c>
      <x:c r="H670" s="8" t="str">
        <x:v>81.80320046850984</x:v>
      </x:c>
      <x:c r="I670" s="6" t="str">
        <x:v>1.396119758764179</x:v>
      </x:c>
      <x:c r="J670" s="6" t="str">
        <x:v>30</x:v>
      </x:c>
      <x:c r="K670" s="6" t="str">
        <x:v>41.88359276292537</x:v>
      </x:c>
      <x:c r="L670" s="6" t="str">
        <x:v>24.533184784235818</x:v>
      </x:c>
      <x:c r="M670" s="6" t="str">
        <x:v>0.4837146247597585</x:v>
      </x:c>
      <x:c r="N670" s="6" t="str">
        <x:v>80.06166274323802</x:v>
      </x:c>
      <x:c r="O670" s="6" t="str">
        <x:v>4.952010913992455</x:v>
      </x:c>
      <x:c r="P670" s="6" t="str">
        <x:v>76.05865257188535</x:v>
      </x:c>
      <x:c r="Q670" s="6" t="str">
        <x:v>66.61368676134225</x:v>
      </x:c>
      <x:c r="R670" s="6" t="str">
        <x:v>0.5215483892309827</x:v>
      </x:c>
      <x:c r="S670" s="8" t="str">
        <x:v>1.0782150518810851</x:v>
      </x:c>
      <x:c r="T670" s="6" t="str">
        <x:v>1.7415377252718258</x:v>
      </x:c>
      <x:c r="U670" s="8" t="str">
        <x:v>0.35168293356359903</x:v>
      </x:c>
      <x:c r="V670" s="6" t="str">
        <x:v>-34.17505980895998</x:v>
      </x:c>
      <x:c r="W670" s="8" t="str">
        <x:v>-0.5130336042110899</x:v>
      </x:c>
      <x:c r="X670" s="6" t="str">
        <x:v>0.7079194728791786</x:v>
      </x:c>
      <x:c r="Y670" s="6" t="str">
        <x:v>1.8081150850225804</x:v>
      </x:c>
      <x:c r="Z670" s="6" t="str">
        <x:v>1.1980832032609479</x:v>
      </x:c>
      <x:c r="AA670" s="6" t="str">
        <x:v>0.7252576602678932</x:v>
      </x:c>
      <x:c r="AB670" s="6" t="str">
        <x:v>0.5073723140596271</x:v>
      </x:c>
      <x:c r="AC670" s="6" t="str">
        <x:v>0.528104302630373</x:v>
      </x:c>
      <x:c r="AD670" s="6" t="str">
        <x:v>-0.25164599806498134</x:v>
      </x:c>
      <x:c r="AE670" s="6" t="str">
        <x:v>-0.49783785365375016</x:v>
      </x:c>
      <x:c r="AF670" s="6" t="str">
        <x:v>-0.42083915197660765</x:v>
      </x:c>
      <x:c r="AG670" s="6" t="str">
        <x:v>0</x:v>
      </x:c>
      <x:c r="AH670" s="6" t="str">
        <x:v>1</x:v>
      </x:c>
      <x:c r="AI670" s="6" t="str">
        <x:v>2025-09</x:v>
      </x:c>
      <x:c r="AJ670" s="9" t="str">
        <x:v>NASA POWER (MERRA-2 meteorology)</x:v>
      </x:c>
      <x:c r="AK670" s="9" t="str">
        <x:v>Badan Informasi Geospasial (BIG)</x:v>
      </x:c>
      <x:c r="AL670" s="9" t="str">
        <x:v>https://power.larc.nasa.gov/docs/services/api/temporal/monthly/</x:v>
      </x:c>
      <x:c r="AM670" s="9" t="str">
        <x:v>https://geoservices.big.go.id/rbi/rest/services/BATASWILAYAH/BATAS_WILAYAH/MapServer/12</x:v>
      </x:c>
    </x:row>
    <x:row r="671" ht="18" customHeight="1">
      <x:c r="A671" s="6" t="str">
        <x:v>74</x:v>
      </x:c>
      <x:c r="B671" s="6" t="str">
        <x:v>SULAWESI TENGGARA</x:v>
      </x:c>
      <x:c r="C671" s="6" t="str">
        <x:v>2025</x:v>
      </x:c>
      <x:c r="D671" s="6" t="str">
        <x:v>10</x:v>
      </x:c>
      <x:c r="E671" s="6" t="str">
        <x:v>25.86305974320979</x:v>
      </x:c>
      <x:c r="F671" s="9" t="str">
        <x:v>grid_cells_within_BIG_polygon</x:v>
      </x:c>
      <x:c r="G671" s="6" t="str">
        <x:v>7</x:v>
      </x:c>
      <x:c r="H671" s="8" t="str">
        <x:v>81.76020780725561</x:v>
      </x:c>
      <x:c r="I671" s="6" t="str">
        <x:v>3.6895009041663394</x:v>
      </x:c>
      <x:c r="J671" s="6" t="str">
        <x:v>31</x:v>
      </x:c>
      <x:c r="K671" s="6" t="str">
        <x:v>114.37452802915652</x:v>
      </x:c>
      <x:c r="L671" s="6" t="str">
        <x:v>25.619857370740625</x:v>
      </x:c>
      <x:c r="M671" s="6" t="str">
        <x:v>0.5191753380664726</x:v>
      </x:c>
      <x:c r="N671" s="6" t="str">
        <x:v>77.87040574454768</x:v>
      </x:c>
      <x:c r="O671" s="6" t="str">
        <x:v>6.9899148544730565</x:v>
      </x:c>
      <x:c r="P671" s="6" t="str">
        <x:v>102.31603396041274</x:v>
      </x:c>
      <x:c r="Q671" s="6" t="str">
        <x:v>79.97133066465307</x:v>
      </x:c>
      <x:c r="R671" s="6" t="str">
        <x:v>0.2432023724691632</x:v>
      </x:c>
      <x:c r="S671" s="8" t="str">
        <x:v>0.46843976328864984</x:v>
      </x:c>
      <x:c r="T671" s="6" t="str">
        <x:v>3.889802062707929</x:v>
      </x:c>
      <x:c r="U671" s="8" t="str">
        <x:v>0.5564877603936373</x:v>
      </x:c>
      <x:c r="V671" s="6" t="str">
        <x:v>12.058494068743784</x:v>
      </x:c>
      <x:c r="W671" s="8" t="str">
        <x:v>0.15078521225699174</x:v>
      </x:c>
      <x:c r="X671" s="6" t="str">
        <x:v>1.0782150518810851</x:v>
      </x:c>
      <x:c r="Y671" s="6" t="str">
        <x:v>0.7079194728791786</x:v>
      </x:c>
      <x:c r="Z671" s="6" t="str">
        <x:v>0.7515247626829709</x:v>
      </x:c>
      <x:c r="AA671" s="6" t="str">
        <x:v>0.35168293356359903</x:v>
      </x:c>
      <x:c r="AB671" s="6" t="str">
        <x:v>0.7252576602678932</x:v>
      </x:c>
      <x:c r="AC671" s="6" t="str">
        <x:v>0.5444761180750429</x:v>
      </x:c>
      <x:c r="AD671" s="6" t="str">
        <x:v>-0.5130336042110899</x:v>
      </x:c>
      <x:c r="AE671" s="6" t="str">
        <x:v>-0.25164599806498134</x:v>
      </x:c>
      <x:c r="AF671" s="6" t="str">
        <x:v>-0.2046314633396937</x:v>
      </x:c>
      <x:c r="AG671" s="6" t="str">
        <x:v>0</x:v>
      </x:c>
      <x:c r="AH671" s="6" t="str">
        <x:v>0</x:v>
      </x:c>
      <x:c r="AI671" s="6" t="str">
        <x:v>2025-10</x:v>
      </x:c>
      <x:c r="AJ671" s="9" t="str">
        <x:v>NASA POWER (MERRA-2 meteorology)</x:v>
      </x:c>
      <x:c r="AK671" s="9" t="str">
        <x:v>Badan Informasi Geospasial (BIG)</x:v>
      </x:c>
      <x:c r="AL671" s="9" t="str">
        <x:v>https://power.larc.nasa.gov/docs/services/api/temporal/monthly/</x:v>
      </x:c>
      <x:c r="AM671" s="9" t="str">
        <x:v>https://geoservices.big.go.id/rbi/rest/services/BATASWILAYAH/BATAS_WILAYAH/MapServer/12</x:v>
      </x:c>
    </x:row>
    <x:row r="672" ht="18" customHeight="1">
      <x:c r="A672" s="6" t="str">
        <x:v>74</x:v>
      </x:c>
      <x:c r="B672" s="6" t="str">
        <x:v>SULAWESI TENGGARA</x:v>
      </x:c>
      <x:c r="C672" s="6" t="str">
        <x:v>2025</x:v>
      </x:c>
      <x:c r="D672" s="6" t="str">
        <x:v>11</x:v>
      </x:c>
      <x:c r="E672" s="6" t="str">
        <x:v>25.72892941778261</x:v>
      </x:c>
      <x:c r="F672" s="9" t="str">
        <x:v>grid_cells_within_BIG_polygon</x:v>
      </x:c>
      <x:c r="G672" s="6" t="str">
        <x:v>7</x:v>
      </x:c>
      <x:c r="H672" s="8" t="str">
        <x:v>85.29890378750416</x:v>
      </x:c>
      <x:c r="I672" s="6" t="str">
        <x:v>5.023334600482985</x:v>
      </x:c>
      <x:c r="J672" s="6" t="str">
        <x:v>30</x:v>
      </x:c>
      <x:c r="K672" s="6" t="str">
        <x:v>150.70003801448956</x:v>
      </x:c>
      <x:c r="L672" s="6" t="str">
        <x:v>25.983622372503515</x:v>
      </x:c>
      <x:c r="M672" s="6" t="str">
        <x:v>0.7728225135611855</x:v>
      </x:c>
      <x:c r="N672" s="6" t="str">
        <x:v>80.58824720281386</x:v>
      </x:c>
      <x:c r="O672" s="6" t="str">
        <x:v>6.7135676885824385</x:v>
      </x:c>
      <x:c r="P672" s="6" t="str">
        <x:v>162.44356200916326</x:v>
      </x:c>
      <x:c r="Q672" s="6" t="str">
        <x:v>84.84116295885872</x:v>
      </x:c>
      <x:c r="R672" s="6" t="str">
        <x:v>-0.25469295472090536</x:v>
      </x:c>
      <x:c r="S672" s="8" t="str">
        <x:v>-0.32956202782871047</x:v>
      </x:c>
      <x:c r="T672" s="6" t="str">
        <x:v>4.710656584690298</x:v>
      </x:c>
      <x:c r="U672" s="8" t="str">
        <x:v>0.7016621866644124</x:v>
      </x:c>
      <x:c r="V672" s="6" t="str">
        <x:v>-11.743523994673694</x:v>
      </x:c>
      <x:c r="W672" s="8" t="str">
        <x:v>-0.1384177630894614</x:v>
      </x:c>
      <x:c r="X672" s="6" t="str">
        <x:v>0.46843976328864984</x:v>
      </x:c>
      <x:c r="Y672" s="6" t="str">
        <x:v>1.0782150518810851</x:v>
      </x:c>
      <x:c r="Z672" s="6" t="str">
        <x:v>0.40569759578034126</x:v>
      </x:c>
      <x:c r="AA672" s="6" t="str">
        <x:v>0.5564877603936373</x:v>
      </x:c>
      <x:c r="AB672" s="6" t="str">
        <x:v>0.35168293356359903</x:v>
      </x:c>
      <x:c r="AC672" s="6" t="str">
        <x:v>0.536610960207216</x:v>
      </x:c>
      <x:c r="AD672" s="6" t="str">
        <x:v>0.15078521225699174</x:v>
      </x:c>
      <x:c r="AE672" s="6" t="str">
        <x:v>-0.5130336042110899</x:v>
      </x:c>
      <x:c r="AF672" s="6" t="str">
        <x:v>-0.1668887183478537</x:v>
      </x:c>
      <x:c r="AG672" s="6" t="str">
        <x:v>0</x:v>
      </x:c>
      <x:c r="AH672" s="6" t="str">
        <x:v>0</x:v>
      </x:c>
      <x:c r="AI672" s="6" t="str">
        <x:v>2025-11</x:v>
      </x:c>
      <x:c r="AJ672" s="9" t="str">
        <x:v>NASA POWER (MERRA-2 meteorology)</x:v>
      </x:c>
      <x:c r="AK672" s="9" t="str">
        <x:v>Badan Informasi Geospasial (BIG)</x:v>
      </x:c>
      <x:c r="AL672" s="9" t="str">
        <x:v>https://power.larc.nasa.gov/docs/services/api/temporal/monthly/</x:v>
      </x:c>
      <x:c r="AM672" s="9" t="str">
        <x:v>https://geoservices.big.go.id/rbi/rest/services/BATASWILAYAH/BATAS_WILAYAH/MapServer/12</x:v>
      </x:c>
    </x:row>
    <x:row r="673" ht="18" customHeight="1">
      <x:c r="A673" s="6" t="str">
        <x:v>74</x:v>
      </x:c>
      <x:c r="B673" s="6" t="str">
        <x:v>SULAWESI TENGGARA</x:v>
      </x:c>
      <x:c r="C673" s="6" t="str">
        <x:v>2025</x:v>
      </x:c>
      <x:c r="D673" s="6" t="str">
        <x:v>12</x:v>
      </x:c>
      <x:c r="E673" s="6" t="str">
        <x:v>25.156313267693772</x:v>
      </x:c>
      <x:c r="F673" s="9" t="str">
        <x:v>grid_cells_within_BIG_polygon</x:v>
      </x:c>
      <x:c r="G673" s="6" t="str">
        <x:v>7</x:v>
      </x:c>
      <x:c r="H673" s="8" t="str">
        <x:v>88.68035151111889</x:v>
      </x:c>
      <x:c r="I673" s="6" t="str">
        <x:v>9.979302793476926</x:v>
      </x:c>
      <x:c r="J673" s="6" t="str">
        <x:v>31</x:v>
      </x:c>
      <x:c r="K673" s="6" t="str">
        <x:v>309.3583865977847</x:v>
      </x:c>
      <x:c r="L673" s="6" t="str">
        <x:v>25.230749261257863</x:v>
      </x:c>
      <x:c r="M673" s="6" t="str">
        <x:v>0.5930451967968419</x:v>
      </x:c>
      <x:c r="N673" s="6" t="str">
        <x:v>86.73134654794116</x:v>
      </x:c>
      <x:c r="O673" s="6" t="str">
        <x:v>3.3474798931005774</x:v>
      </x:c>
      <x:c r="P673" s="6" t="str">
        <x:v>217.07366297458992</x:v>
      </x:c>
      <x:c r="Q673" s="6" t="str">
        <x:v>59.73933246927672</x:v>
      </x:c>
      <x:c r="R673" s="6" t="str">
        <x:v>-0.07443599356409081</x:v>
      </x:c>
      <x:c r="S673" s="8" t="str">
        <x:v>-0.12551487469443273</x:v>
      </x:c>
      <x:c r="T673" s="6" t="str">
        <x:v>1.9490049631777282</x:v>
      </x:c>
      <x:c r="U673" s="8" t="str">
        <x:v>0.582230521292983</x:v>
      </x:c>
      <x:c r="V673" s="6" t="str">
        <x:v>92.2847236231948</x:v>
      </x:c>
      <x:c r="W673" s="8" t="str">
        <x:v>1.544790003648866</x:v>
      </x:c>
      <x:c r="X673" s="6" t="str">
        <x:v>-0.32956202782871047</x:v>
      </x:c>
      <x:c r="Y673" s="6" t="str">
        <x:v>0.46843976328864984</x:v>
      </x:c>
      <x:c r="Z673" s="6" t="str">
        <x:v>0.004454286921835249</x:v>
      </x:c>
      <x:c r="AA673" s="6" t="str">
        <x:v>0.7016621866644124</x:v>
      </x:c>
      <x:c r="AB673" s="6" t="str">
        <x:v>0.5564877603936373</x:v>
      </x:c>
      <x:c r="AC673" s="6" t="str">
        <x:v>0.6134601561170107</x:v>
      </x:c>
      <x:c r="AD673" s="6" t="str">
        <x:v>-0.1384177630894614</x:v>
      </x:c>
      <x:c r="AE673" s="6" t="str">
        <x:v>0.15078521225699174</x:v>
      </x:c>
      <x:c r="AF673" s="6" t="str">
        <x:v>0.5190524842721316</x:v>
      </x:c>
      <x:c r="AG673" s="6" t="str">
        <x:v>1</x:v>
      </x:c>
      <x:c r="AH673" s="6" t="str">
        <x:v>0</x:v>
      </x:c>
      <x:c r="AI673" s="6" t="str">
        <x:v>2025-12</x:v>
      </x:c>
      <x:c r="AJ673" s="9" t="str">
        <x:v>NASA POWER (MERRA-2 meteorology)</x:v>
      </x:c>
      <x:c r="AK673" s="9" t="str">
        <x:v>Badan Informasi Geospasial (BIG)</x:v>
      </x:c>
      <x:c r="AL673" s="9" t="str">
        <x:v>https://power.larc.nasa.gov/docs/services/api/temporal/monthly/</x:v>
      </x:c>
      <x:c r="AM673" s="9" t="str">
        <x:v>https://geoservices.big.go.id/rbi/rest/services/BATASWILAYAH/BATAS_WILAYAH/MapServer/12</x:v>
      </x:c>
    </x:row>
    <x:row r="674" ht="18" customHeight="1">
      <x:c r="A674" s="6" t="str">
        <x:v>75</x:v>
      </x:c>
      <x:c r="B674" s="6" t="str">
        <x:v>GORONTALO</x:v>
      </x:c>
      <x:c r="C674" s="6" t="str">
        <x:v>2024</x:v>
      </x:c>
      <x:c r="D674" s="6" t="str">
        <x:v>1</x:v>
      </x:c>
      <x:c r="E674" s="6" t="str">
        <x:v>26.89333333333333</x:v>
      </x:c>
      <x:c r="F674" s="9" t="str">
        <x:v>grid_cells_within_BIG_polygon</x:v>
      </x:c>
      <x:c r="G674" s="6" t="str">
        <x:v>3</x:v>
      </x:c>
      <x:c r="H674" s="8" t="str">
        <x:v>82.06666666666666</x:v>
      </x:c>
      <x:c r="I674" s="6" t="str">
        <x:v>5.15</x:v>
      </x:c>
      <x:c r="J674" s="6" t="str">
        <x:v>31</x:v>
      </x:c>
      <x:c r="K674" s="6" t="str">
        <x:v>159.65</x:v>
      </x:c>
      <x:c r="L674" s="6" t="str">
        <x:v>26.18411111111111</x:v>
      </x:c>
      <x:c r="M674" s="6" t="str">
        <x:v>0.5897643423993787</x:v>
      </x:c>
      <x:c r="N674" s="6" t="str">
        <x:v>82.51144444444444</x:v>
      </x:c>
      <x:c r="O674" s="6" t="str">
        <x:v>3.809431900540174</x:v>
      </x:c>
      <x:c r="P674" s="6" t="str">
        <x:v>170.46211111111108</x:v>
      </x:c>
      <x:c r="Q674" s="6" t="str">
        <x:v>54.78672783376027</x:v>
      </x:c>
      <x:c r="R674" s="6" t="str">
        <x:v>0.7092222222222198</x:v>
      </x:c>
      <x:c r="S674" s="8" t="str">
        <x:v>1.2025518859564184</x:v>
      </x:c>
      <x:c r="T674" s="6" t="str">
        <x:v>-0.44477777777777305</x:v>
      </x:c>
      <x:c r="U674" s="8" t="str">
        <x:v>-0.11675698355828436</x:v>
      </x:c>
      <x:c r="V674" s="6" t="str">
        <x:v>-10.81211111111108</x:v>
      </x:c>
      <x:c r="W674" s="8" t="str">
        <x:v>-0.1973490941805895</x:v>
      </x:c>
      <x:c r="X674" s="6" t="str">
        <x:v>1.713528074140808</x:v>
      </x:c>
      <x:c r="Y674" s="6" t="str">
        <x:v>2.1685345248536847</x:v>
      </x:c>
      <x:c r="Z674" s="6" t="str">
        <x:v>1.6948714949836372</x:v>
      </x:c>
      <x:c r="AA674" s="6" t="str">
        <x:v>-0.38380458631836073</x:v>
      </x:c>
      <x:c r="AB674" s="6" t="str">
        <x:v>-0.8280752649101869</x:v>
      </x:c>
      <x:c r="AC674" s="6" t="str">
        <x:v>-0.44287894492894436</x:v>
      </x:c>
      <x:c r="AD674" s="6" t="str">
        <x:v>0.9752316456329496</x:v>
      </x:c>
      <x:c r="AE674" s="6" t="str">
        <x:v>1.1189621603493438</x:v>
      </x:c>
      <x:c r="AF674" s="6" t="str">
        <x:v>0.6322815706005677</x:v>
      </x:c>
      <x:c r="AG674" s="6" t="str">
        <x:v>0</x:v>
      </x:c>
      <x:c r="AH674" s="6" t="str">
        <x:v>1</x:v>
      </x:c>
      <x:c r="AI674" s="6" t="str">
        <x:v>2024-01</x:v>
      </x:c>
      <x:c r="AJ674" s="9" t="str">
        <x:v>NASA POWER (MERRA-2 meteorology)</x:v>
      </x:c>
      <x:c r="AK674" s="9" t="str">
        <x:v>Badan Informasi Geospasial (BIG)</x:v>
      </x:c>
      <x:c r="AL674" s="9" t="str">
        <x:v>https://power.larc.nasa.gov/docs/services/api/temporal/monthly/</x:v>
      </x:c>
      <x:c r="AM674" s="9" t="str">
        <x:v>https://geoservices.big.go.id/rbi/rest/services/BATASWILAYAH/BATAS_WILAYAH/MapServer/12</x:v>
      </x:c>
    </x:row>
    <x:row r="675" ht="18" customHeight="1">
      <x:c r="A675" s="6" t="str">
        <x:v>75</x:v>
      </x:c>
      <x:c r="B675" s="6" t="str">
        <x:v>GORONTALO</x:v>
      </x:c>
      <x:c r="C675" s="6" t="str">
        <x:v>2024</x:v>
      </x:c>
      <x:c r="D675" s="6" t="str">
        <x:v>2</x:v>
      </x:c>
      <x:c r="E675" s="6" t="str">
        <x:v>26.943333333333335</x:v>
      </x:c>
      <x:c r="F675" s="9" t="str">
        <x:v>grid_cells_within_BIG_polygon</x:v>
      </x:c>
      <x:c r="G675" s="6" t="str">
        <x:v>3</x:v>
      </x:c>
      <x:c r="H675" s="8" t="str">
        <x:v>81.37999999999998</x:v>
      </x:c>
      <x:c r="I675" s="6" t="str">
        <x:v>3.36</x:v>
      </x:c>
      <x:c r="J675" s="6" t="str">
        <x:v>29</x:v>
      </x:c>
      <x:c r="K675" s="6" t="str">
        <x:v>97.44</x:v>
      </x:c>
      <x:c r="L675" s="6" t="str">
        <x:v>26.201555555555554</x:v>
      </x:c>
      <x:c r="M675" s="6" t="str">
        <x:v>0.6680248999267112</x:v>
      </x:c>
      <x:c r="N675" s="6" t="str">
        <x:v>81.89288888888888</x:v>
      </x:c>
      <x:c r="O675" s="6" t="str">
        <x:v>4.58040928530902</x:v>
      </x:c>
      <x:c r="P675" s="6" t="str">
        <x:v>136.43477777777778</x:v>
      </x:c>
      <x:c r="Q675" s="6" t="str">
        <x:v>64.17284566567187</x:v>
      </x:c>
      <x:c r="R675" s="6" t="str">
        <x:v>0.7417777777777808</x:v>
      </x:c>
      <x:c r="S675" s="8" t="str">
        <x:v>1.110404384416151</x:v>
      </x:c>
      <x:c r="T675" s="6" t="str">
        <x:v>-0.5128888888888952</x:v>
      </x:c>
      <x:c r="U675" s="8" t="str">
        <x:v>-0.11197446711452398</x:v>
      </x:c>
      <x:c r="V675" s="6" t="str">
        <x:v>-38.994777777777784</x:v>
      </x:c>
      <x:c r="W675" s="8" t="str">
        <x:v>-0.6076523079704622</x:v>
      </x:c>
      <x:c r="X675" s="6" t="str">
        <x:v>1.2025518859564184</x:v>
      </x:c>
      <x:c r="Y675" s="6" t="str">
        <x:v>1.713528074140808</x:v>
      </x:c>
      <x:c r="Z675" s="6" t="str">
        <x:v>1.3421614481711261</x:v>
      </x:c>
      <x:c r="AA675" s="6" t="str">
        <x:v>-0.11675698355828436</x:v>
      </x:c>
      <x:c r="AB675" s="6" t="str">
        <x:v>-0.38380458631836073</x:v>
      </x:c>
      <x:c r="AC675" s="6" t="str">
        <x:v>-0.20417867899705675</x:v>
      </x:c>
      <x:c r="AD675" s="6" t="str">
        <x:v>-0.1973490941805895</x:v>
      </x:c>
      <x:c r="AE675" s="6" t="str">
        <x:v>0.9752316456329496</x:v>
      </x:c>
      <x:c r="AF675" s="6" t="str">
        <x:v>0.05674341449396566</x:v>
      </x:c>
      <x:c r="AG675" s="6" t="str">
        <x:v>0</x:v>
      </x:c>
      <x:c r="AH675" s="6" t="str">
        <x:v>1</x:v>
      </x:c>
      <x:c r="AI675" s="6" t="str">
        <x:v>2024-02</x:v>
      </x:c>
      <x:c r="AJ675" s="9" t="str">
        <x:v>NASA POWER (MERRA-2 meteorology)</x:v>
      </x:c>
      <x:c r="AK675" s="9" t="str">
        <x:v>Badan Informasi Geospasial (BIG)</x:v>
      </x:c>
      <x:c r="AL675" s="9" t="str">
        <x:v>https://power.larc.nasa.gov/docs/services/api/temporal/monthly/</x:v>
      </x:c>
      <x:c r="AM675" s="9" t="str">
        <x:v>https://geoservices.big.go.id/rbi/rest/services/BATASWILAYAH/BATAS_WILAYAH/MapServer/12</x:v>
      </x:c>
    </x:row>
    <x:row r="676" ht="18" customHeight="1">
      <x:c r="A676" s="6" t="str">
        <x:v>75</x:v>
      </x:c>
      <x:c r="B676" s="6" t="str">
        <x:v>GORONTALO</x:v>
      </x:c>
      <x:c r="C676" s="6" t="str">
        <x:v>2024</x:v>
      </x:c>
      <x:c r="D676" s="6" t="str">
        <x:v>3</x:v>
      </x:c>
      <x:c r="E676" s="6" t="str">
        <x:v>27.303333333333335</x:v>
      </x:c>
      <x:c r="F676" s="9" t="str">
        <x:v>grid_cells_within_BIG_polygon</x:v>
      </x:c>
      <x:c r="G676" s="6" t="str">
        <x:v>3</x:v>
      </x:c>
      <x:c r="H676" s="8" t="str">
        <x:v>81.11666666666667</x:v>
      </x:c>
      <x:c r="I676" s="6" t="str">
        <x:v>3.8266666666666667</x:v>
      </x:c>
      <x:c r="J676" s="6" t="str">
        <x:v>31</x:v>
      </x:c>
      <x:c r="K676" s="6" t="str">
        <x:v>118.62666666666667</x:v>
      </x:c>
      <x:c r="L676" s="6" t="str">
        <x:v>26.519666666666662</x:v>
      </x:c>
      <x:c r="M676" s="6" t="str">
        <x:v>0.7348246852193129</x:v>
      </x:c>
      <x:c r="N676" s="6" t="str">
        <x:v>80.78</x:v>
      </x:c>
      <x:c r="O676" s="6" t="str">
        <x:v>5.076030820324961</x:v>
      </x:c>
      <x:c r="P676" s="6" t="str">
        <x:v>161.91644444444444</x:v>
      </x:c>
      <x:c r="Q676" s="6" t="str">
        <x:v>70.17664787137045</x:v>
      </x:c>
      <x:c r="R676" s="6" t="str">
        <x:v>0.7836666666666723</x:v>
      </x:c>
      <x:c r="S676" s="8" t="str">
        <x:v>1.0664675295070989</x:v>
      </x:c>
      <x:c r="T676" s="6" t="str">
        <x:v>0.3366666666666731</x:v>
      </x:c>
      <x:c r="U676" s="8" t="str">
        <x:v>0.06632478772954341</x:v>
      </x:c>
      <x:c r="V676" s="6" t="str">
        <x:v>-43.28977777777777</x:v>
      </x:c>
      <x:c r="W676" s="8" t="str">
        <x:v>-0.6168687033488023</x:v>
      </x:c>
      <x:c r="X676" s="6" t="str">
        <x:v>1.110404384416151</x:v>
      </x:c>
      <x:c r="Y676" s="6" t="str">
        <x:v>1.2025518859564184</x:v>
      </x:c>
      <x:c r="Z676" s="6" t="str">
        <x:v>1.1264745999598897</x:v>
      </x:c>
      <x:c r="AA676" s="6" t="str">
        <x:v>-0.11197446711452398</x:v>
      </x:c>
      <x:c r="AB676" s="6" t="str">
        <x:v>-0.11675698355828436</x:v>
      </x:c>
      <x:c r="AC676" s="6" t="str">
        <x:v>-0.05413555431442202</x:v>
      </x:c>
      <x:c r="AD676" s="6" t="str">
        <x:v>-0.6076523079704622</x:v>
      </x:c>
      <x:c r="AE676" s="6" t="str">
        <x:v>-0.1973490941805895</x:v>
      </x:c>
      <x:c r="AF676" s="6" t="str">
        <x:v>-0.4739567018332849</x:v>
      </x:c>
      <x:c r="AG676" s="6" t="str">
        <x:v>0</x:v>
      </x:c>
      <x:c r="AH676" s="6" t="str">
        <x:v>1</x:v>
      </x:c>
      <x:c r="AI676" s="6" t="str">
        <x:v>2024-03</x:v>
      </x:c>
      <x:c r="AJ676" s="9" t="str">
        <x:v>NASA POWER (MERRA-2 meteorology)</x:v>
      </x:c>
      <x:c r="AK676" s="9" t="str">
        <x:v>Badan Informasi Geospasial (BIG)</x:v>
      </x:c>
      <x:c r="AL676" s="9" t="str">
        <x:v>https://power.larc.nasa.gov/docs/services/api/temporal/monthly/</x:v>
      </x:c>
      <x:c r="AM676" s="9" t="str">
        <x:v>https://geoservices.big.go.id/rbi/rest/services/BATASWILAYAH/BATAS_WILAYAH/MapServer/12</x:v>
      </x:c>
    </x:row>
    <x:row r="677" ht="18" customHeight="1">
      <x:c r="A677" s="6" t="str">
        <x:v>75</x:v>
      </x:c>
      <x:c r="B677" s="6" t="str">
        <x:v>GORONTALO</x:v>
      </x:c>
      <x:c r="C677" s="6" t="str">
        <x:v>2024</x:v>
      </x:c>
      <x:c r="D677" s="6" t="str">
        <x:v>4</x:v>
      </x:c>
      <x:c r="E677" s="6" t="str">
        <x:v>27.54</x:v>
      </x:c>
      <x:c r="F677" s="9" t="str">
        <x:v>grid_cells_within_BIG_polygon</x:v>
      </x:c>
      <x:c r="G677" s="6" t="str">
        <x:v>3</x:v>
      </x:c>
      <x:c r="H677" s="8" t="str">
        <x:v>80.76666666666665</x:v>
      </x:c>
      <x:c r="I677" s="6" t="str">
        <x:v>6.66</x:v>
      </x:c>
      <x:c r="J677" s="6" t="str">
        <x:v>30</x:v>
      </x:c>
      <x:c r="K677" s="6" t="str">
        <x:v>199.8</x:v>
      </x:c>
      <x:c r="L677" s="6" t="str">
        <x:v>26.763555555555556</x:v>
      </x:c>
      <x:c r="M677" s="6" t="str">
        <x:v>0.6708426298111229</x:v>
      </x:c>
      <x:c r="N677" s="6" t="str">
        <x:v>81.47555555555554</x:v>
      </x:c>
      <x:c r="O677" s="6" t="str">
        <x:v>4.2139979591225645</x:v>
      </x:c>
      <x:c r="P677" s="6" t="str">
        <x:v>169.93333333333334</x:v>
      </x:c>
      <x:c r="Q677" s="6" t="str">
        <x:v>51.194688122441214</x:v>
      </x:c>
      <x:c r="R677" s="6" t="str">
        <x:v>0.7764444444444436</x:v>
      </x:c>
      <x:c r="S677" s="8" t="str">
        <x:v>1.1574166726152348</x:v>
      </x:c>
      <x:c r="T677" s="6" t="str">
        <x:v>-0.7088888888888931</x:v>
      </x:c>
      <x:c r="U677" s="8" t="str">
        <x:v>-0.16822240916236642</x:v>
      </x:c>
      <x:c r="V677" s="6" t="str">
        <x:v>29.866666666666674</x:v>
      </x:c>
      <x:c r="W677" s="8" t="str">
        <x:v>0.5833938590510644</x:v>
      </x:c>
      <x:c r="X677" s="6" t="str">
        <x:v>1.0664675295070989</x:v>
      </x:c>
      <x:c r="Y677" s="6" t="str">
        <x:v>1.110404384416151</x:v>
      </x:c>
      <x:c r="Z677" s="6" t="str">
        <x:v>1.111429528846162</x:v>
      </x:c>
      <x:c r="AA677" s="6" t="str">
        <x:v>0.06632478772954341</x:v>
      </x:c>
      <x:c r="AB677" s="6" t="str">
        <x:v>-0.11197446711452398</x:v>
      </x:c>
      <x:c r="AC677" s="6" t="str">
        <x:v>-0.07129069618244938</x:v>
      </x:c>
      <x:c r="AD677" s="6" t="str">
        <x:v>-0.6168687033488023</x:v>
      </x:c>
      <x:c r="AE677" s="6" t="str">
        <x:v>-0.6076523079704622</x:v>
      </x:c>
      <x:c r="AF677" s="6" t="str">
        <x:v>-0.21370905075606697</x:v>
      </x:c>
      <x:c r="AG677" s="6" t="str">
        <x:v>0</x:v>
      </x:c>
      <x:c r="AH677" s="6" t="str">
        <x:v>1</x:v>
      </x:c>
      <x:c r="AI677" s="6" t="str">
        <x:v>2024-04</x:v>
      </x:c>
      <x:c r="AJ677" s="9" t="str">
        <x:v>NASA POWER (MERRA-2 meteorology)</x:v>
      </x:c>
      <x:c r="AK677" s="9" t="str">
        <x:v>Badan Informasi Geospasial (BIG)</x:v>
      </x:c>
      <x:c r="AL677" s="9" t="str">
        <x:v>https://power.larc.nasa.gov/docs/services/api/temporal/monthly/</x:v>
      </x:c>
      <x:c r="AM677" s="9" t="str">
        <x:v>https://geoservices.big.go.id/rbi/rest/services/BATASWILAYAH/BATAS_WILAYAH/MapServer/12</x:v>
      </x:c>
    </x:row>
    <x:row r="678" ht="18" customHeight="1">
      <x:c r="A678" s="6" t="str">
        <x:v>75</x:v>
      </x:c>
      <x:c r="B678" s="6" t="str">
        <x:v>GORONTALO</x:v>
      </x:c>
      <x:c r="C678" s="6" t="str">
        <x:v>2024</x:v>
      </x:c>
      <x:c r="D678" s="6" t="str">
        <x:v>5</x:v>
      </x:c>
      <x:c r="E678" s="6" t="str">
        <x:v>27.596666666666664</x:v>
      </x:c>
      <x:c r="F678" s="9" t="str">
        <x:v>grid_cells_within_BIG_polygon</x:v>
      </x:c>
      <x:c r="G678" s="6" t="str">
        <x:v>3</x:v>
      </x:c>
      <x:c r="H678" s="8" t="str">
        <x:v>84.23</x:v>
      </x:c>
      <x:c r="I678" s="6" t="str">
        <x:v>7.76</x:v>
      </x:c>
      <x:c r="J678" s="6" t="str">
        <x:v>31</x:v>
      </x:c>
      <x:c r="K678" s="6" t="str">
        <x:v>240.56</x:v>
      </x:c>
      <x:c r="L678" s="6" t="str">
        <x:v>26.63244444444444</x:v>
      </x:c>
      <x:c r="M678" s="6" t="str">
        <x:v>0.509353081802056</x:v>
      </x:c>
      <x:c r="N678" s="6" t="str">
        <x:v>84.13244444444445</x:v>
      </x:c>
      <x:c r="O678" s="6" t="str">
        <x:v>2.0198725223106773</x:v>
      </x:c>
      <x:c r="P678" s="6" t="str">
        <x:v>176.77233333333334</x:v>
      </x:c>
      <x:c r="Q678" s="6" t="str">
        <x:v>38.78000161190245</x:v>
      </x:c>
      <x:c r="R678" s="6" t="str">
        <x:v>0.9642222222222223</x:v>
      </x:c>
      <x:c r="S678" s="8" t="str">
        <x:v>1.893033058347013</x:v>
      </x:c>
      <x:c r="T678" s="6" t="str">
        <x:v>0.09755555555555873</x:v>
      </x:c>
      <x:c r="U678" s="8" t="str">
        <x:v>0.048297877454146425</x:v>
      </x:c>
      <x:c r="V678" s="6" t="str">
        <x:v>63.78766666666667</x:v>
      </x:c>
      <x:c r="W678" s="8" t="str">
        <x:v>1.6448598250467532</x:v>
      </x:c>
      <x:c r="X678" s="6" t="str">
        <x:v>1.1574166726152348</x:v>
      </x:c>
      <x:c r="Y678" s="6" t="str">
        <x:v>1.0664675295070989</x:v>
      </x:c>
      <x:c r="Z678" s="6" t="str">
        <x:v>1.3723057534897827</x:v>
      </x:c>
      <x:c r="AA678" s="6" t="str">
        <x:v>-0.16822240916236642</x:v>
      </x:c>
      <x:c r="AB678" s="6" t="str">
        <x:v>0.06632478772954341</x:v>
      </x:c>
      <x:c r="AC678" s="6" t="str">
        <x:v>-0.017866581326225907</x:v>
      </x:c>
      <x:c r="AD678" s="6" t="str">
        <x:v>0.5833938590510644</x:v>
      </x:c>
      <x:c r="AE678" s="6" t="str">
        <x:v>-0.6168687033488023</x:v>
      </x:c>
      <x:c r="AF678" s="6" t="str">
        <x:v>0.5371283269163382</x:v>
      </x:c>
      <x:c r="AG678" s="6" t="str">
        <x:v>1</x:v>
      </x:c>
      <x:c r="AH678" s="6" t="str">
        <x:v>1</x:v>
      </x:c>
      <x:c r="AI678" s="6" t="str">
        <x:v>2024-05</x:v>
      </x:c>
      <x:c r="AJ678" s="9" t="str">
        <x:v>NASA POWER (MERRA-2 meteorology)</x:v>
      </x:c>
      <x:c r="AK678" s="9" t="str">
        <x:v>Badan Informasi Geospasial (BIG)</x:v>
      </x:c>
      <x:c r="AL678" s="9" t="str">
        <x:v>https://power.larc.nasa.gov/docs/services/api/temporal/monthly/</x:v>
      </x:c>
      <x:c r="AM678" s="9" t="str">
        <x:v>https://geoservices.big.go.id/rbi/rest/services/BATASWILAYAH/BATAS_WILAYAH/MapServer/12</x:v>
      </x:c>
    </x:row>
    <x:row r="679" ht="18" customHeight="1">
      <x:c r="A679" s="6" t="str">
        <x:v>75</x:v>
      </x:c>
      <x:c r="B679" s="6" t="str">
        <x:v>GORONTALO</x:v>
      </x:c>
      <x:c r="C679" s="6" t="str">
        <x:v>2024</x:v>
      </x:c>
      <x:c r="D679" s="6" t="str">
        <x:v>6</x:v>
      </x:c>
      <x:c r="E679" s="6" t="str">
        <x:v>26.486666666666665</x:v>
      </x:c>
      <x:c r="F679" s="9" t="str">
        <x:v>grid_cells_within_BIG_polygon</x:v>
      </x:c>
      <x:c r="G679" s="6" t="str">
        <x:v>3</x:v>
      </x:c>
      <x:c r="H679" s="8" t="str">
        <x:v>86.61</x:v>
      </x:c>
      <x:c r="I679" s="6" t="str">
        <x:v>10.943333333333335</x:v>
      </x:c>
      <x:c r="J679" s="6" t="str">
        <x:v>30</x:v>
      </x:c>
      <x:c r="K679" s="6" t="str">
        <x:v>328.30000000000007</x:v>
      </x:c>
      <x:c r="L679" s="6" t="str">
        <x:v>26.03511111111111</x:v>
      </x:c>
      <x:c r="M679" s="6" t="str">
        <x:v>0.3529174882492136</x:v>
      </x:c>
      <x:c r="N679" s="6" t="str">
        <x:v>85.31244444444445</x:v>
      </x:c>
      <x:c r="O679" s="6" t="str">
        <x:v>1.9956604133250964</x:v>
      </x:c>
      <x:c r="P679" s="6" t="str">
        <x:v>187.17999999999998</x:v>
      </x:c>
      <x:c r="Q679" s="6" t="str">
        <x:v>69.10575803146541</x:v>
      </x:c>
      <x:c r="R679" s="6" t="str">
        <x:v>0.4515555555555544</x:v>
      </x:c>
      <x:c r="S679" s="8" t="str">
        <x:v>1.2794932826810987</x:v>
      </x:c>
      <x:c r="T679" s="6" t="str">
        <x:v>1.2975555555555474</x:v>
      </x:c>
      <x:c r="U679" s="8" t="str">
        <x:v>0.6501885525672215</x:v>
      </x:c>
      <x:c r="V679" s="6" t="str">
        <x:v>141.1200000000001</x:v>
      </x:c>
      <x:c r="W679" s="8" t="str">
        <x:v>2.0420874326527896</x:v>
      </x:c>
      <x:c r="X679" s="6" t="str">
        <x:v>1.893033058347013</x:v>
      </x:c>
      <x:c r="Y679" s="6" t="str">
        <x:v>1.1574166726152348</x:v>
      </x:c>
      <x:c r="Z679" s="6" t="str">
        <x:v>1.443314337881116</x:v>
      </x:c>
      <x:c r="AA679" s="6" t="str">
        <x:v>0.048297877454146425</x:v>
      </x:c>
      <x:c r="AB679" s="6" t="str">
        <x:v>-0.16822240916236642</x:v>
      </x:c>
      <x:c r="AC679" s="6" t="str">
        <x:v>0.1767546736196668</x:v>
      </x:c>
      <x:c r="AD679" s="6" t="str">
        <x:v>1.6448598250467532</x:v>
      </x:c>
      <x:c r="AE679" s="6" t="str">
        <x:v>0.5833938590510644</x:v>
      </x:c>
      <x:c r="AF679" s="6" t="str">
        <x:v>1.4234470389168685</x:v>
      </x:c>
      <x:c r="AG679" s="6" t="str">
        <x:v>1</x:v>
      </x:c>
      <x:c r="AH679" s="6" t="str">
        <x:v>1</x:v>
      </x:c>
      <x:c r="AI679" s="6" t="str">
        <x:v>2024-06</x:v>
      </x:c>
      <x:c r="AJ679" s="9" t="str">
        <x:v>NASA POWER (MERRA-2 meteorology)</x:v>
      </x:c>
      <x:c r="AK679" s="9" t="str">
        <x:v>Badan Informasi Geospasial (BIG)</x:v>
      </x:c>
      <x:c r="AL679" s="9" t="str">
        <x:v>https://power.larc.nasa.gov/docs/services/api/temporal/monthly/</x:v>
      </x:c>
      <x:c r="AM679" s="9" t="str">
        <x:v>https://geoservices.big.go.id/rbi/rest/services/BATASWILAYAH/BATAS_WILAYAH/MapServer/12</x:v>
      </x:c>
    </x:row>
    <x:row r="680" ht="18" customHeight="1">
      <x:c r="A680" s="6" t="str">
        <x:v>75</x:v>
      </x:c>
      <x:c r="B680" s="6" t="str">
        <x:v>GORONTALO</x:v>
      </x:c>
      <x:c r="C680" s="6" t="str">
        <x:v>2024</x:v>
      </x:c>
      <x:c r="D680" s="6" t="str">
        <x:v>7</x:v>
      </x:c>
      <x:c r="E680" s="6" t="str">
        <x:v>25.959999999999997</x:v>
      </x:c>
      <x:c r="F680" s="9" t="str">
        <x:v>grid_cells_within_BIG_polygon</x:v>
      </x:c>
      <x:c r="G680" s="6" t="str">
        <x:v>3</x:v>
      </x:c>
      <x:c r="H680" s="8" t="str">
        <x:v>86.61666666666665</x:v>
      </x:c>
      <x:c r="I680" s="6" t="str">
        <x:v>10.416666666666666</x:v>
      </x:c>
      <x:c r="J680" s="6" t="str">
        <x:v>31</x:v>
      </x:c>
      <x:c r="K680" s="6" t="str">
        <x:v>322.91666666666663</x:v>
      </x:c>
      <x:c r="L680" s="6" t="str">
        <x:v>25.601555555555553</x:v>
      </x:c>
      <x:c r="M680" s="6" t="str">
        <x:v>0.3346327927782246</x:v>
      </x:c>
      <x:c r="N680" s="6" t="str">
        <x:v>84.958</x:v>
      </x:c>
      <x:c r="O680" s="6" t="str">
        <x:v>1.8708875923319765</x:v>
      </x:c>
      <x:c r="P680" s="6" t="str">
        <x:v>146.661</x:v>
      </x:c>
      <x:c r="Q680" s="6" t="str">
        <x:v>67.15211153522907</x:v>
      </x:c>
      <x:c r="R680" s="6" t="str">
        <x:v>0.35844444444444434</x:v>
      </x:c>
      <x:c r="S680" s="8" t="str">
        <x:v>1.0711575559242956</x:v>
      </x:c>
      <x:c r="T680" s="6" t="str">
        <x:v>1.6586666666666474</x:v>
      </x:c>
      <x:c r="U680" s="8" t="str">
        <x:v>0.8865667148923654</x:v>
      </x:c>
      <x:c r="V680" s="6" t="str">
        <x:v>176.25566666666663</x:v>
      </x:c>
      <x:c r="W680" s="8" t="str">
        <x:v>2.624722628032331</x:v>
      </x:c>
      <x:c r="X680" s="6" t="str">
        <x:v>1.2794932826810987</x:v>
      </x:c>
      <x:c r="Y680" s="6" t="str">
        <x:v>1.893033058347013</x:v>
      </x:c>
      <x:c r="Z680" s="6" t="str">
        <x:v>1.414561298984136</x:v>
      </x:c>
      <x:c r="AA680" s="6" t="str">
        <x:v>0.6501885525672215</x:v>
      </x:c>
      <x:c r="AB680" s="6" t="str">
        <x:v>0.048297877454146425</x:v>
      </x:c>
      <x:c r="AC680" s="6" t="str">
        <x:v>0.5283510483045774</x:v>
      </x:c>
      <x:c r="AD680" s="6" t="str">
        <x:v>2.0420874326527896</x:v>
      </x:c>
      <x:c r="AE680" s="6" t="str">
        <x:v>1.6448598250467532</x:v>
      </x:c>
      <x:c r="AF680" s="6" t="str">
        <x:v>2.103889961910624</x:v>
      </x:c>
      <x:c r="AG680" s="6" t="str">
        <x:v>1</x:v>
      </x:c>
      <x:c r="AH680" s="6" t="str">
        <x:v>1</x:v>
      </x:c>
      <x:c r="AI680" s="6" t="str">
        <x:v>2024-07</x:v>
      </x:c>
      <x:c r="AJ680" s="9" t="str">
        <x:v>NASA POWER (MERRA-2 meteorology)</x:v>
      </x:c>
      <x:c r="AK680" s="9" t="str">
        <x:v>Badan Informasi Geospasial (BIG)</x:v>
      </x:c>
      <x:c r="AL680" s="9" t="str">
        <x:v>https://power.larc.nasa.gov/docs/services/api/temporal/monthly/</x:v>
      </x:c>
      <x:c r="AM680" s="9" t="str">
        <x:v>https://geoservices.big.go.id/rbi/rest/services/BATASWILAYAH/BATAS_WILAYAH/MapServer/12</x:v>
      </x:c>
    </x:row>
    <x:row r="681" ht="18" customHeight="1">
      <x:c r="A681" s="6" t="str">
        <x:v>75</x:v>
      </x:c>
      <x:c r="B681" s="6" t="str">
        <x:v>GORONTALO</x:v>
      </x:c>
      <x:c r="C681" s="6" t="str">
        <x:v>2024</x:v>
      </x:c>
      <x:c r="D681" s="6" t="str">
        <x:v>8</x:v>
      </x:c>
      <x:c r="E681" s="6" t="str">
        <x:v>26.139999999999997</x:v>
      </x:c>
      <x:c r="F681" s="9" t="str">
        <x:v>grid_cells_within_BIG_polygon</x:v>
      </x:c>
      <x:c r="G681" s="6" t="str">
        <x:v>3</x:v>
      </x:c>
      <x:c r="H681" s="8" t="str">
        <x:v>85.79333333333332</x:v>
      </x:c>
      <x:c r="I681" s="6" t="str">
        <x:v>4.629999999999999</x:v>
      </x:c>
      <x:c r="J681" s="6" t="str">
        <x:v>31</x:v>
      </x:c>
      <x:c r="K681" s="6" t="str">
        <x:v>143.52999999999997</x:v>
      </x:c>
      <x:c r="L681" s="6" t="str">
        <x:v>25.711777777777776</x:v>
      </x:c>
      <x:c r="M681" s="6" t="str">
        <x:v>0.3548522258224359</x:v>
      </x:c>
      <x:c r="N681" s="6" t="str">
        <x:v>82.5698888888889</x:v>
      </x:c>
      <x:c r="O681" s="6" t="str">
        <x:v>3.62611002778305</x:v>
      </x:c>
      <x:c r="P681" s="6" t="str">
        <x:v>89.559</x:v>
      </x:c>
      <x:c r="Q681" s="6" t="str">
        <x:v>57.88263627137363</x:v>
      </x:c>
      <x:c r="R681" s="6" t="str">
        <x:v>0.42822222222222095</x:v>
      </x:c>
      <x:c r="S681" s="8" t="str">
        <x:v>1.2067621140877345</x:v>
      </x:c>
      <x:c r="T681" s="6" t="str">
        <x:v>3.223444444444425</x:v>
      </x:c>
      <x:c r="U681" s="8" t="str">
        <x:v>0.88895384302919</x:v>
      </x:c>
      <x:c r="V681" s="6" t="str">
        <x:v>53.970999999999975</x:v>
      </x:c>
      <x:c r="W681" s="8" t="str">
        <x:v>0.9324212488692712</x:v>
      </x:c>
      <x:c r="X681" s="6" t="str">
        <x:v>1.0711575559242956</x:v>
      </x:c>
      <x:c r="Y681" s="6" t="str">
        <x:v>1.2794932826810987</x:v>
      </x:c>
      <x:c r="Z681" s="6" t="str">
        <x:v>1.1858043175643767</x:v>
      </x:c>
      <x:c r="AA681" s="6" t="str">
        <x:v>0.8865667148923654</x:v>
      </x:c>
      <x:c r="AB681" s="6" t="str">
        <x:v>0.6501885525672215</x:v>
      </x:c>
      <x:c r="AC681" s="6" t="str">
        <x:v>0.8085697034962586</x:v>
      </x:c>
      <x:c r="AD681" s="6" t="str">
        <x:v>2.624722628032331</x:v>
      </x:c>
      <x:c r="AE681" s="6" t="str">
        <x:v>2.0420874326527896</x:v>
      </x:c>
      <x:c r="AF681" s="6" t="str">
        <x:v>1.8664104365181302</x:v>
      </x:c>
      <x:c r="AG681" s="6" t="str">
        <x:v>0</x:v>
      </x:c>
      <x:c r="AH681" s="6" t="str">
        <x:v>1</x:v>
      </x:c>
      <x:c r="AI681" s="6" t="str">
        <x:v>2024-08</x:v>
      </x:c>
      <x:c r="AJ681" s="9" t="str">
        <x:v>NASA POWER (MERRA-2 meteorology)</x:v>
      </x:c>
      <x:c r="AK681" s="9" t="str">
        <x:v>Badan Informasi Geospasial (BIG)</x:v>
      </x:c>
      <x:c r="AL681" s="9" t="str">
        <x:v>https://power.larc.nasa.gov/docs/services/api/temporal/monthly/</x:v>
      </x:c>
      <x:c r="AM681" s="9" t="str">
        <x:v>https://geoservices.big.go.id/rbi/rest/services/BATASWILAYAH/BATAS_WILAYAH/MapServer/12</x:v>
      </x:c>
    </x:row>
    <x:row r="682" ht="18" customHeight="1">
      <x:c r="A682" s="6" t="str">
        <x:v>75</x:v>
      </x:c>
      <x:c r="B682" s="6" t="str">
        <x:v>GORONTALO</x:v>
      </x:c>
      <x:c r="C682" s="6" t="str">
        <x:v>2024</x:v>
      </x:c>
      <x:c r="D682" s="6" t="str">
        <x:v>9</x:v>
      </x:c>
      <x:c r="E682" s="6" t="str">
        <x:v>26.919999999999998</x:v>
      </x:c>
      <x:c r="F682" s="9" t="str">
        <x:v>grid_cells_within_BIG_polygon</x:v>
      </x:c>
      <x:c r="G682" s="6" t="str">
        <x:v>3</x:v>
      </x:c>
      <x:c r="H682" s="8" t="str">
        <x:v>81.97666666666666</x:v>
      </x:c>
      <x:c r="I682" s="6" t="str">
        <x:v>2.466666666666667</x:v>
      </x:c>
      <x:c r="J682" s="6" t="str">
        <x:v>30</x:v>
      </x:c>
      <x:c r="K682" s="6" t="str">
        <x:v>74.0</x:v>
      </x:c>
      <x:c r="L682" s="6" t="str">
        <x:v>26.23288888888889</x:v>
      </x:c>
      <x:c r="M682" s="6" t="str">
        <x:v>0.42627742062638907</x:v>
      </x:c>
      <x:c r="N682" s="6" t="str">
        <x:v>79.58644444444444</x:v>
      </x:c>
      <x:c r="O682" s="6" t="str">
        <x:v>5.0065049588447845</x:v>
      </x:c>
      <x:c r="P682" s="6" t="str">
        <x:v>79.47</x:v>
      </x:c>
      <x:c r="Q682" s="6" t="str">
        <x:v>56.013896982556155</x:v>
      </x:c>
      <x:c r="R682" s="6" t="str">
        <x:v>0.6871111111111077</x:v>
      </x:c>
      <x:c r="S682" s="8" t="str">
        <x:v>1.61188718394101</x:v>
      </x:c>
      <x:c r="T682" s="6" t="str">
        <x:v>2.3902222222222207</x:v>
      </x:c>
      <x:c r="U682" s="8" t="str">
        <x:v>0.47742332063399123</x:v>
      </x:c>
      <x:c r="V682" s="6" t="str">
        <x:v>-5.469999999999999</x:v>
      </x:c>
      <x:c r="W682" s="8" t="str">
        <x:v>-0.09765433748884614</x:v>
      </x:c>
      <x:c r="X682" s="6" t="str">
        <x:v>1.2067621140877345</x:v>
      </x:c>
      <x:c r="Y682" s="6" t="str">
        <x:v>1.0711575559242956</x:v>
      </x:c>
      <x:c r="Z682" s="6" t="str">
        <x:v>1.296602284651014</x:v>
      </x:c>
      <x:c r="AA682" s="6" t="str">
        <x:v>0.88895384302919</x:v>
      </x:c>
      <x:c r="AB682" s="6" t="str">
        <x:v>0.8865667148923654</x:v>
      </x:c>
      <x:c r="AC682" s="6" t="str">
        <x:v>0.7509812928518486</x:v>
      </x:c>
      <x:c r="AD682" s="6" t="str">
        <x:v>0.9324212488692712</x:v>
      </x:c>
      <x:c r="AE682" s="6" t="str">
        <x:v>2.624722628032331</x:v>
      </x:c>
      <x:c r="AF682" s="6" t="str">
        <x:v>1.1531631798042516</x:v>
      </x:c>
      <x:c r="AG682" s="6" t="str">
        <x:v>0</x:v>
      </x:c>
      <x:c r="AH682" s="6" t="str">
        <x:v>1</x:v>
      </x:c>
      <x:c r="AI682" s="6" t="str">
        <x:v>2024-09</x:v>
      </x:c>
      <x:c r="AJ682" s="9" t="str">
        <x:v>NASA POWER (MERRA-2 meteorology)</x:v>
      </x:c>
      <x:c r="AK682" s="9" t="str">
        <x:v>Badan Informasi Geospasial (BIG)</x:v>
      </x:c>
      <x:c r="AL682" s="9" t="str">
        <x:v>https://power.larc.nasa.gov/docs/services/api/temporal/monthly/</x:v>
      </x:c>
      <x:c r="AM682" s="9" t="str">
        <x:v>https://geoservices.big.go.id/rbi/rest/services/BATASWILAYAH/BATAS_WILAYAH/MapServer/12</x:v>
      </x:c>
    </x:row>
    <x:row r="683" ht="18" customHeight="1">
      <x:c r="A683" s="6" t="str">
        <x:v>75</x:v>
      </x:c>
      <x:c r="B683" s="6" t="str">
        <x:v>GORONTALO</x:v>
      </x:c>
      <x:c r="C683" s="6" t="str">
        <x:v>2024</x:v>
      </x:c>
      <x:c r="D683" s="6" t="str">
        <x:v>10</x:v>
      </x:c>
      <x:c r="E683" s="6" t="str">
        <x:v>27.23</x:v>
      </x:c>
      <x:c r="F683" s="9" t="str">
        <x:v>grid_cells_within_BIG_polygon</x:v>
      </x:c>
      <x:c r="G683" s="6" t="str">
        <x:v>3</x:v>
      </x:c>
      <x:c r="H683" s="8" t="str">
        <x:v>81.91</x:v>
      </x:c>
      <x:c r="I683" s="6" t="str">
        <x:v>3.82</x:v>
      </x:c>
      <x:c r="J683" s="6" t="str">
        <x:v>31</x:v>
      </x:c>
      <x:c r="K683" s="6" t="str">
        <x:v>118.42</x:v>
      </x:c>
      <x:c r="L683" s="6" t="str">
        <x:v>26.842666666666666</x:v>
      </x:c>
      <x:c r="M683" s="6" t="str">
        <x:v>0.5453933867953956</x:v>
      </x:c>
      <x:c r="N683" s="6" t="str">
        <x:v>78.21900000000001</x:v>
      </x:c>
      <x:c r="O683" s="6" t="str">
        <x:v>5.758261507944019</x:v>
      </x:c>
      <x:c r="P683" s="6" t="str">
        <x:v>124.78877777777777</x:v>
      </x:c>
      <x:c r="Q683" s="6" t="str">
        <x:v>72.27209887270575</x:v>
      </x:c>
      <x:c r="R683" s="6" t="str">
        <x:v>0.3873333333333342</x:v>
      </x:c>
      <x:c r="S683" s="8" t="str">
        <x:v>0.7101907406857545</x:v>
      </x:c>
      <x:c r="T683" s="6" t="str">
        <x:v>3.6909999999999883</x:v>
      </x:c>
      <x:c r="U683" s="8" t="str">
        <x:v>0.6409920763251087</x:v>
      </x:c>
      <x:c r="V683" s="6" t="str">
        <x:v>-6.368777777777765</x:v>
      </x:c>
      <x:c r="W683" s="8" t="str">
        <x:v>-0.0881222197378717</x:v>
      </x:c>
      <x:c r="X683" s="6" t="str">
        <x:v>1.61188718394101</x:v>
      </x:c>
      <x:c r="Y683" s="6" t="str">
        <x:v>1.2067621140877345</x:v>
      </x:c>
      <x:c r="Z683" s="6" t="str">
        <x:v>1.1762800129048334</x:v>
      </x:c>
      <x:c r="AA683" s="6" t="str">
        <x:v>0.47742332063399123</x:v>
      </x:c>
      <x:c r="AB683" s="6" t="str">
        <x:v>0.88895384302919</x:v>
      </x:c>
      <x:c r="AC683" s="6" t="str">
        <x:v>0.6691230799960962</x:v>
      </x:c>
      <x:c r="AD683" s="6" t="str">
        <x:v>-0.09765433748884614</x:v>
      </x:c>
      <x:c r="AE683" s="6" t="str">
        <x:v>0.9324212488692712</x:v>
      </x:c>
      <x:c r="AF683" s="6" t="str">
        <x:v>0.24888156388085084</x:v>
      </x:c>
      <x:c r="AG683" s="6" t="str">
        <x:v>0</x:v>
      </x:c>
      <x:c r="AH683" s="6" t="str">
        <x:v>0</x:v>
      </x:c>
      <x:c r="AI683" s="6" t="str">
        <x:v>2024-10</x:v>
      </x:c>
      <x:c r="AJ683" s="9" t="str">
        <x:v>NASA POWER (MERRA-2 meteorology)</x:v>
      </x:c>
      <x:c r="AK683" s="9" t="str">
        <x:v>Badan Informasi Geospasial (BIG)</x:v>
      </x:c>
      <x:c r="AL683" s="9" t="str">
        <x:v>https://power.larc.nasa.gov/docs/services/api/temporal/monthly/</x:v>
      </x:c>
      <x:c r="AM683" s="9" t="str">
        <x:v>https://geoservices.big.go.id/rbi/rest/services/BATASWILAYAH/BATAS_WILAYAH/MapServer/12</x:v>
      </x:c>
    </x:row>
    <x:row r="684" ht="18" customHeight="1">
      <x:c r="A684" s="6" t="str">
        <x:v>75</x:v>
      </x:c>
      <x:c r="B684" s="6" t="str">
        <x:v>GORONTALO</x:v>
      </x:c>
      <x:c r="C684" s="6" t="str">
        <x:v>2024</x:v>
      </x:c>
      <x:c r="D684" s="6" t="str">
        <x:v>11</x:v>
      </x:c>
      <x:c r="E684" s="6" t="str">
        <x:v>27.37333333333333</x:v>
      </x:c>
      <x:c r="F684" s="9" t="str">
        <x:v>grid_cells_within_BIG_polygon</x:v>
      </x:c>
      <x:c r="G684" s="6" t="str">
        <x:v>3</x:v>
      </x:c>
      <x:c r="H684" s="8" t="str">
        <x:v>81.22333333333333</x:v>
      </x:c>
      <x:c r="I684" s="6" t="str">
        <x:v>4.76</x:v>
      </x:c>
      <x:c r="J684" s="6" t="str">
        <x:v>30</x:v>
      </x:c>
      <x:c r="K684" s="6" t="str">
        <x:v>142.79999999999998</x:v>
      </x:c>
      <x:c r="L684" s="6" t="str">
        <x:v>26.847666666666665</x:v>
      </x:c>
      <x:c r="M684" s="6" t="str">
        <x:v>0.5590565054135498</x:v>
      </x:c>
      <x:c r="N684" s="6" t="str">
        <x:v>80.31033333333333</x:v>
      </x:c>
      <x:c r="O684" s="6" t="str">
        <x:v>4.206944482328551</x:v>
      </x:c>
      <x:c r="P684" s="6" t="str">
        <x:v>158.11</x:v>
      </x:c>
      <x:c r="Q684" s="6" t="str">
        <x:v>53.522810799341144</x:v>
      </x:c>
      <x:c r="R684" s="6" t="str">
        <x:v>0.5256666666666661</x:v>
      </x:c>
      <x:c r="S684" s="8" t="str">
        <x:v>0.9402746620000704</x:v>
      </x:c>
      <x:c r="T684" s="6" t="str">
        <x:v>0.9129999999999967</x:v>
      </x:c>
      <x:c r="U684" s="8" t="str">
        <x:v>0.21702211755707543</x:v>
      </x:c>
      <x:c r="V684" s="6" t="str">
        <x:v>-15.31000000000003</x:v>
      </x:c>
      <x:c r="W684" s="8" t="str">
        <x:v>-0.28604626273081485</x:v>
      </x:c>
      <x:c r="X684" s="6" t="str">
        <x:v>0.7101907406857545</x:v>
      </x:c>
      <x:c r="Y684" s="6" t="str">
        <x:v>1.61188718394101</x:v>
      </x:c>
      <x:c r="Z684" s="6" t="str">
        <x:v>1.0874508622089454</x:v>
      </x:c>
      <x:c r="AA684" s="6" t="str">
        <x:v>0.6409920763251087</x:v>
      </x:c>
      <x:c r="AB684" s="6" t="str">
        <x:v>0.47742332063399123</x:v>
      </x:c>
      <x:c r="AC684" s="6" t="str">
        <x:v>0.4451458381720581</x:v>
      </x:c>
      <x:c r="AD684" s="6" t="str">
        <x:v>-0.0881222197378717</x:v>
      </x:c>
      <x:c r="AE684" s="6" t="str">
        <x:v>-0.09765433748884614</x:v>
      </x:c>
      <x:c r="AF684" s="6" t="str">
        <x:v>-0.15727427331917784</x:v>
      </x:c>
      <x:c r="AG684" s="6" t="str">
        <x:v>0</x:v>
      </x:c>
      <x:c r="AH684" s="6" t="str">
        <x:v>0</x:v>
      </x:c>
      <x:c r="AI684" s="6" t="str">
        <x:v>2024-11</x:v>
      </x:c>
      <x:c r="AJ684" s="9" t="str">
        <x:v>NASA POWER (MERRA-2 meteorology)</x:v>
      </x:c>
      <x:c r="AK684" s="9" t="str">
        <x:v>Badan Informasi Geospasial (BIG)</x:v>
      </x:c>
      <x:c r="AL684" s="9" t="str">
        <x:v>https://power.larc.nasa.gov/docs/services/api/temporal/monthly/</x:v>
      </x:c>
      <x:c r="AM684" s="9" t="str">
        <x:v>https://geoservices.big.go.id/rbi/rest/services/BATASWILAYAH/BATAS_WILAYAH/MapServer/12</x:v>
      </x:c>
    </x:row>
    <x:row r="685" ht="18" customHeight="1">
      <x:c r="A685" s="6" t="str">
        <x:v>75</x:v>
      </x:c>
      <x:c r="B685" s="6" t="str">
        <x:v>GORONTALO</x:v>
      </x:c>
      <x:c r="C685" s="6" t="str">
        <x:v>2024</x:v>
      </x:c>
      <x:c r="D685" s="6" t="str">
        <x:v>12</x:v>
      </x:c>
      <x:c r="E685" s="6" t="str">
        <x:v>27.07333333333333</x:v>
      </x:c>
      <x:c r="F685" s="9" t="str">
        <x:v>grid_cells_within_BIG_polygon</x:v>
      </x:c>
      <x:c r="G685" s="6" t="str">
        <x:v>3</x:v>
      </x:c>
      <x:c r="H685" s="8" t="str">
        <x:v>82.91666666666666</x:v>
      </x:c>
      <x:c r="I685" s="6" t="str">
        <x:v>6.346666666666665</x:v>
      </x:c>
      <x:c r="J685" s="6" t="str">
        <x:v>31</x:v>
      </x:c>
      <x:c r="K685" s="6" t="str">
        <x:v>196.7466666666666</x:v>
      </x:c>
      <x:c r="L685" s="6" t="str">
        <x:v>26.495444444444445</x:v>
      </x:c>
      <x:c r="M685" s="6" t="str">
        <x:v>0.5667967959668285</x:v>
      </x:c>
      <x:c r="N685" s="6" t="str">
        <x:v>82.288</x:v>
      </x:c>
      <x:c r="O685" s="6" t="str">
        <x:v>3.2603397091648376</x:v>
      </x:c>
      <x:c r="P685" s="6" t="str">
        <x:v>171.68833333333333</x:v>
      </x:c>
      <x:c r="Q685" s="6" t="str">
        <x:v>58.85952011884475</x:v>
      </x:c>
      <x:c r="R685" s="6" t="str">
        <x:v>0.5778888888888858</x:v>
      </x:c>
      <x:c r="S685" s="8" t="str">
        <x:v>1.0195697876222758</x:v>
      </x:c>
      <x:c r="T685" s="6" t="str">
        <x:v>0.6286666666666605</x:v>
      </x:c>
      <x:c r="U685" s="8" t="str">
        <x:v>0.19282244267352697</x:v>
      </x:c>
      <x:c r="V685" s="6" t="str">
        <x:v>25.05833333333328</x:v>
      </x:c>
      <x:c r="W685" s="8" t="str">
        <x:v>0.4257311864374253</x:v>
      </x:c>
      <x:c r="X685" s="6" t="str">
        <x:v>0.9402746620000704</x:v>
      </x:c>
      <x:c r="Y685" s="6" t="str">
        <x:v>0.7101907406857545</x:v>
      </x:c>
      <x:c r="Z685" s="6" t="str">
        <x:v>0.8900117301027007</x:v>
      </x:c>
      <x:c r="AA685" s="6" t="str">
        <x:v>0.21702211755707543</x:v>
      </x:c>
      <x:c r="AB685" s="6" t="str">
        <x:v>0.6409920763251087</x:v>
      </x:c>
      <x:c r="AC685" s="6" t="str">
        <x:v>0.35027887885190334</x:v>
      </x:c>
      <x:c r="AD685" s="6" t="str">
        <x:v>-0.28604626273081485</x:v>
      </x:c>
      <x:c r="AE685" s="6" t="str">
        <x:v>-0.0881222197378717</x:v>
      </x:c>
      <x:c r="AF685" s="6" t="str">
        <x:v>0.017187567989579305</x:v>
      </x:c>
      <x:c r="AG685" s="6" t="str">
        <x:v>0</x:v>
      </x:c>
      <x:c r="AH685" s="6" t="str">
        <x:v>1</x:v>
      </x:c>
      <x:c r="AI685" s="6" t="str">
        <x:v>2024-12</x:v>
      </x:c>
      <x:c r="AJ685" s="9" t="str">
        <x:v>NASA POWER (MERRA-2 meteorology)</x:v>
      </x:c>
      <x:c r="AK685" s="9" t="str">
        <x:v>Badan Informasi Geospasial (BIG)</x:v>
      </x:c>
      <x:c r="AL685" s="9" t="str">
        <x:v>https://power.larc.nasa.gov/docs/services/api/temporal/monthly/</x:v>
      </x:c>
      <x:c r="AM685" s="9" t="str">
        <x:v>https://geoservices.big.go.id/rbi/rest/services/BATASWILAYAH/BATAS_WILAYAH/MapServer/12</x:v>
      </x:c>
    </x:row>
    <x:row r="686" ht="18" customHeight="1">
      <x:c r="A686" s="6" t="str">
        <x:v>75</x:v>
      </x:c>
      <x:c r="B686" s="6" t="str">
        <x:v>GORONTALO</x:v>
      </x:c>
      <x:c r="C686" s="6" t="str">
        <x:v>2025</x:v>
      </x:c>
      <x:c r="D686" s="6" t="str">
        <x:v>1</x:v>
      </x:c>
      <x:c r="E686" s="6" t="str">
        <x:v>26.36666666666667</x:v>
      </x:c>
      <x:c r="F686" s="9" t="str">
        <x:v>grid_cells_within_BIG_polygon</x:v>
      </x:c>
      <x:c r="G686" s="6" t="str">
        <x:v>3</x:v>
      </x:c>
      <x:c r="H686" s="8" t="str">
        <x:v>84.73333333333333</x:v>
      </x:c>
      <x:c r="I686" s="6" t="str">
        <x:v>9.526666666666667</x:v>
      </x:c>
      <x:c r="J686" s="6" t="str">
        <x:v>31</x:v>
      </x:c>
      <x:c r="K686" s="6" t="str">
        <x:v>295.3266666666667</x:v>
      </x:c>
      <x:c r="L686" s="6" t="str">
        <x:v>26.18411111111111</x:v>
      </x:c>
      <x:c r="M686" s="6" t="str">
        <x:v>0.5897643423993787</x:v>
      </x:c>
      <x:c r="N686" s="6" t="str">
        <x:v>82.51144444444444</x:v>
      </x:c>
      <x:c r="O686" s="6" t="str">
        <x:v>3.809431900540174</x:v>
      </x:c>
      <x:c r="P686" s="6" t="str">
        <x:v>170.46211111111108</x:v>
      </x:c>
      <x:c r="Q686" s="6" t="str">
        <x:v>54.78672783376027</x:v>
      </x:c>
      <x:c r="R686" s="6" t="str">
        <x:v>0.18255555555555958</x:v>
      </x:c>
      <x:c r="S686" s="8" t="str">
        <x:v>0.309539832152036</x:v>
      </x:c>
      <x:c r="T686" s="6" t="str">
        <x:v>2.2218888888888984</x:v>
      </x:c>
      <x:c r="U686" s="8" t="str">
        <x:v>0.5832599051249181</x:v>
      </x:c>
      <x:c r="V686" s="6" t="str">
        <x:v>124.86455555555563</x:v>
      </x:c>
      <x:c r="W686" s="8" t="str">
        <x:v>2.279102266053066</x:v>
      </x:c>
      <x:c r="X686" s="6" t="str">
        <x:v>1.0195697876222758</x:v>
      </x:c>
      <x:c r="Y686" s="6" t="str">
        <x:v>0.9402746620000704</x:v>
      </x:c>
      <x:c r="Z686" s="6" t="str">
        <x:v>0.7564614272581279</x:v>
      </x:c>
      <x:c r="AA686" s="6" t="str">
        <x:v>0.19282244267352697</x:v>
      </x:c>
      <x:c r="AB686" s="6" t="str">
        <x:v>0.21702211755707543</x:v>
      </x:c>
      <x:c r="AC686" s="6" t="str">
        <x:v>0.33103482178517313</x:v>
      </x:c>
      <x:c r="AD686" s="6" t="str">
        <x:v>0.4257311864374253</x:v>
      </x:c>
      <x:c r="AE686" s="6" t="str">
        <x:v>-0.28604626273081485</x:v>
      </x:c>
      <x:c r="AF686" s="6" t="str">
        <x:v>0.8062623965865585</x:v>
      </x:c>
      <x:c r="AG686" s="6" t="str">
        <x:v>1</x:v>
      </x:c>
      <x:c r="AH686" s="6" t="str">
        <x:v>0</x:v>
      </x:c>
      <x:c r="AI686" s="6" t="str">
        <x:v>2025-01</x:v>
      </x:c>
      <x:c r="AJ686" s="9" t="str">
        <x:v>NASA POWER (MERRA-2 meteorology)</x:v>
      </x:c>
      <x:c r="AK686" s="9" t="str">
        <x:v>Badan Informasi Geospasial (BIG)</x:v>
      </x:c>
      <x:c r="AL686" s="9" t="str">
        <x:v>https://power.larc.nasa.gov/docs/services/api/temporal/monthly/</x:v>
      </x:c>
      <x:c r="AM686" s="9" t="str">
        <x:v>https://geoservices.big.go.id/rbi/rest/services/BATASWILAYAH/BATAS_WILAYAH/MapServer/12</x:v>
      </x:c>
    </x:row>
    <x:row r="687" ht="18" customHeight="1">
      <x:c r="A687" s="6" t="str">
        <x:v>75</x:v>
      </x:c>
      <x:c r="B687" s="6" t="str">
        <x:v>GORONTALO</x:v>
      </x:c>
      <x:c r="C687" s="6" t="str">
        <x:v>2025</x:v>
      </x:c>
      <x:c r="D687" s="6" t="str">
        <x:v>2</x:v>
      </x:c>
      <x:c r="E687" s="6" t="str">
        <x:v>26.179999999999993</x:v>
      </x:c>
      <x:c r="F687" s="9" t="str">
        <x:v>grid_cells_within_BIG_polygon</x:v>
      </x:c>
      <x:c r="G687" s="6" t="str">
        <x:v>3</x:v>
      </x:c>
      <x:c r="H687" s="8" t="str">
        <x:v>83.96000000000001</x:v>
      </x:c>
      <x:c r="I687" s="6" t="str">
        <x:v>8.379999999999999</x:v>
      </x:c>
      <x:c r="J687" s="6" t="str">
        <x:v>28</x:v>
      </x:c>
      <x:c r="K687" s="6" t="str">
        <x:v>234.64</x:v>
      </x:c>
      <x:c r="L687" s="6" t="str">
        <x:v>26.201555555555554</x:v>
      </x:c>
      <x:c r="M687" s="6" t="str">
        <x:v>0.6680248999267112</x:v>
      </x:c>
      <x:c r="N687" s="6" t="str">
        <x:v>81.89288888888888</x:v>
      </x:c>
      <x:c r="O687" s="6" t="str">
        <x:v>4.58040928530902</x:v>
      </x:c>
      <x:c r="P687" s="6" t="str">
        <x:v>136.43477777777778</x:v>
      </x:c>
      <x:c r="Q687" s="6" t="str">
        <x:v>64.17284566567187</x:v>
      </x:c>
      <x:c r="R687" s="6" t="str">
        <x:v>-0.021555555555561767</x:v>
      </x:c>
      <x:c r="S687" s="8" t="str">
        <x:v>-0.03226759295638025</x:v>
      </x:c>
      <x:c r="T687" s="6" t="str">
        <x:v>2.0671111111111315</x:v>
      </x:c>
      <x:c r="U687" s="8" t="str">
        <x:v>0.4512939744797658</x:v>
      </x:c>
      <x:c r="V687" s="6" t="str">
        <x:v>98.2052222222222</x:v>
      </x:c>
      <x:c r="W687" s="8" t="str">
        <x:v>1.5303236314913078</x:v>
      </x:c>
      <x:c r="X687" s="6" t="str">
        <x:v>0.309539832152036</x:v>
      </x:c>
      <x:c r="Y687" s="6" t="str">
        <x:v>1.0195697876222758</x:v>
      </x:c>
      <x:c r="Z687" s="6" t="str">
        <x:v>0.43228067560597766</x:v>
      </x:c>
      <x:c r="AA687" s="6" t="str">
        <x:v>0.5832599051249181</x:v>
      </x:c>
      <x:c r="AB687" s="6" t="str">
        <x:v>0.19282244267352697</x:v>
      </x:c>
      <x:c r="AC687" s="6" t="str">
        <x:v>0.4091254407594033</x:v>
      </x:c>
      <x:c r="AD687" s="6" t="str">
        <x:v>2.279102266053066</x:v>
      </x:c>
      <x:c r="AE687" s="6" t="str">
        <x:v>0.4257311864374253</x:v>
      </x:c>
      <x:c r="AF687" s="6" t="str">
        <x:v>1.411719027993933</x:v>
      </x:c>
      <x:c r="AG687" s="6" t="str">
        <x:v>1</x:v>
      </x:c>
      <x:c r="AH687" s="6" t="str">
        <x:v>0</x:v>
      </x:c>
      <x:c r="AI687" s="6" t="str">
        <x:v>2025-02</x:v>
      </x:c>
      <x:c r="AJ687" s="9" t="str">
        <x:v>NASA POWER (MERRA-2 meteorology)</x:v>
      </x:c>
      <x:c r="AK687" s="9" t="str">
        <x:v>Badan Informasi Geospasial (BIG)</x:v>
      </x:c>
      <x:c r="AL687" s="9" t="str">
        <x:v>https://power.larc.nasa.gov/docs/services/api/temporal/monthly/</x:v>
      </x:c>
      <x:c r="AM687" s="9" t="str">
        <x:v>https://geoservices.big.go.id/rbi/rest/services/BATASWILAYAH/BATAS_WILAYAH/MapServer/12</x:v>
      </x:c>
    </x:row>
    <x:row r="688" ht="18" customHeight="1">
      <x:c r="A688" s="6" t="str">
        <x:v>75</x:v>
      </x:c>
      <x:c r="B688" s="6" t="str">
        <x:v>GORONTALO</x:v>
      </x:c>
      <x:c r="C688" s="6" t="str">
        <x:v>2025</x:v>
      </x:c>
      <x:c r="D688" s="6" t="str">
        <x:v>3</x:v>
      </x:c>
      <x:c r="E688" s="6" t="str">
        <x:v>26.55</x:v>
      </x:c>
      <x:c r="F688" s="9" t="str">
        <x:v>grid_cells_within_BIG_polygon</x:v>
      </x:c>
      <x:c r="G688" s="6" t="str">
        <x:v>3</x:v>
      </x:c>
      <x:c r="H688" s="8" t="str">
        <x:v>84.00666666666666</x:v>
      </x:c>
      <x:c r="I688" s="6" t="str">
        <x:v>10.02</x:v>
      </x:c>
      <x:c r="J688" s="6" t="str">
        <x:v>31</x:v>
      </x:c>
      <x:c r="K688" s="6" t="str">
        <x:v>310.62</x:v>
      </x:c>
      <x:c r="L688" s="6" t="str">
        <x:v>26.519666666666662</x:v>
      </x:c>
      <x:c r="M688" s="6" t="str">
        <x:v>0.7348246852193129</x:v>
      </x:c>
      <x:c r="N688" s="6" t="str">
        <x:v>80.78</x:v>
      </x:c>
      <x:c r="O688" s="6" t="str">
        <x:v>5.076030820324961</x:v>
      </x:c>
      <x:c r="P688" s="6" t="str">
        <x:v>161.91644444444444</x:v>
      </x:c>
      <x:c r="Q688" s="6" t="str">
        <x:v>70.17664787137045</x:v>
      </x:c>
      <x:c r="R688" s="6" t="str">
        <x:v>0.03033333333333843</x:v>
      </x:c>
      <x:c r="S688" s="8" t="str">
        <x:v>0.0412796874458365</x:v>
      </x:c>
      <x:c r="T688" s="6" t="str">
        <x:v>3.2266666666666595</x:v>
      </x:c>
      <x:c r="U688" s="8" t="str">
        <x:v>0.6356672724969964</x:v>
      </x:c>
      <x:c r="V688" s="6" t="str">
        <x:v>148.70355555555557</x:v>
      </x:c>
      <x:c r="W688" s="8" t="str">
        <x:v>2.118989151891669</x:v>
      </x:c>
      <x:c r="X688" s="6" t="str">
        <x:v>-0.03226759295638025</x:v>
      </x:c>
      <x:c r="Y688" s="6" t="str">
        <x:v>0.309539832152036</x:v>
      </x:c>
      <x:c r="Z688" s="6" t="str">
        <x:v>0.10618397554716452</x:v>
      </x:c>
      <x:c r="AA688" s="6" t="str">
        <x:v>0.4512939744797658</x:v>
      </x:c>
      <x:c r="AB688" s="6" t="str">
        <x:v>0.5832599051249181</x:v>
      </x:c>
      <x:c r="AC688" s="6" t="str">
        <x:v>0.556740384033893</x:v>
      </x:c>
      <x:c r="AD688" s="6" t="str">
        <x:v>1.5303236314913078</x:v>
      </x:c>
      <x:c r="AE688" s="6" t="str">
        <x:v>2.279102266053066</x:v>
      </x:c>
      <x:c r="AF688" s="6" t="str">
        <x:v>1.976138349812014</x:v>
      </x:c>
      <x:c r="AG688" s="6" t="str">
        <x:v>1</x:v>
      </x:c>
      <x:c r="AH688" s="6" t="str">
        <x:v>0</x:v>
      </x:c>
      <x:c r="AI688" s="6" t="str">
        <x:v>2025-03</x:v>
      </x:c>
      <x:c r="AJ688" s="9" t="str">
        <x:v>NASA POWER (MERRA-2 meteorology)</x:v>
      </x:c>
      <x:c r="AK688" s="9" t="str">
        <x:v>Badan Informasi Geospasial (BIG)</x:v>
      </x:c>
      <x:c r="AL688" s="9" t="str">
        <x:v>https://power.larc.nasa.gov/docs/services/api/temporal/monthly/</x:v>
      </x:c>
      <x:c r="AM688" s="9" t="str">
        <x:v>https://geoservices.big.go.id/rbi/rest/services/BATASWILAYAH/BATAS_WILAYAH/MapServer/12</x:v>
      </x:c>
    </x:row>
    <x:row r="689" ht="18" customHeight="1">
      <x:c r="A689" s="6" t="str">
        <x:v>75</x:v>
      </x:c>
      <x:c r="B689" s="6" t="str">
        <x:v>GORONTALO</x:v>
      </x:c>
      <x:c r="C689" s="6" t="str">
        <x:v>2025</x:v>
      </x:c>
      <x:c r="D689" s="6" t="str">
        <x:v>4</x:v>
      </x:c>
      <x:c r="E689" s="6" t="str">
        <x:v>26.679999999999996</x:v>
      </x:c>
      <x:c r="F689" s="9" t="str">
        <x:v>grid_cells_within_BIG_polygon</x:v>
      </x:c>
      <x:c r="G689" s="6" t="str">
        <x:v>3</x:v>
      </x:c>
      <x:c r="H689" s="8" t="str">
        <x:v>82.34333333333332</x:v>
      </x:c>
      <x:c r="I689" s="6" t="str">
        <x:v>9.343333333333332</x:v>
      </x:c>
      <x:c r="J689" s="6" t="str">
        <x:v>30</x:v>
      </x:c>
      <x:c r="K689" s="6" t="str">
        <x:v>280.29999999999995</x:v>
      </x:c>
      <x:c r="L689" s="6" t="str">
        <x:v>26.763555555555556</x:v>
      </x:c>
      <x:c r="M689" s="6" t="str">
        <x:v>0.6708426298111229</x:v>
      </x:c>
      <x:c r="N689" s="6" t="str">
        <x:v>81.47555555555554</x:v>
      </x:c>
      <x:c r="O689" s="6" t="str">
        <x:v>4.2139979591225645</x:v>
      </x:c>
      <x:c r="P689" s="6" t="str">
        <x:v>169.93333333333334</x:v>
      </x:c>
      <x:c r="Q689" s="6" t="str">
        <x:v>51.194688122441214</x:v>
      </x:c>
      <x:c r="R689" s="6" t="str">
        <x:v>-0.08355555555555938</x:v>
      </x:c>
      <x:c r="S689" s="8" t="str">
        <x:v>-0.1245531393541353</x:v>
      </x:c>
      <x:c r="T689" s="6" t="str">
        <x:v>0.8677777777777749</x:v>
      </x:c>
      <x:c r="U689" s="8" t="str">
        <x:v>0.20592743190565355</x:v>
      </x:c>
      <x:c r="V689" s="6" t="str">
        <x:v>110.36666666666662</x:v>
      </x:c>
      <x:c r="W689" s="8" t="str">
        <x:v>2.1558226197746353</x:v>
      </x:c>
      <x:c r="X689" s="6" t="str">
        <x:v>0.0412796874458365</x:v>
      </x:c>
      <x:c r="Y689" s="6" t="str">
        <x:v>-0.03226759295638025</x:v>
      </x:c>
      <x:c r="Z689" s="6" t="str">
        <x:v>-0.038513681621559236</x:v>
      </x:c>
      <x:c r="AA689" s="6" t="str">
        <x:v>0.6356672724969964</x:v>
      </x:c>
      <x:c r="AB689" s="6" t="str">
        <x:v>0.4512939744797658</x:v>
      </x:c>
      <x:c r="AC689" s="6" t="str">
        <x:v>0.4309628929608049</x:v>
      </x:c>
      <x:c r="AD689" s="6" t="str">
        <x:v>2.118989151891669</x:v>
      </x:c>
      <x:c r="AE689" s="6" t="str">
        <x:v>1.5303236314913078</x:v>
      </x:c>
      <x:c r="AF689" s="6" t="str">
        <x:v>1.9350451343858708</x:v>
      </x:c>
      <x:c r="AG689" s="6" t="str">
        <x:v>1</x:v>
      </x:c>
      <x:c r="AH689" s="6" t="str">
        <x:v>0</x:v>
      </x:c>
      <x:c r="AI689" s="6" t="str">
        <x:v>2025-04</x:v>
      </x:c>
      <x:c r="AJ689" s="9" t="str">
        <x:v>NASA POWER (MERRA-2 meteorology)</x:v>
      </x:c>
      <x:c r="AK689" s="9" t="str">
        <x:v>Badan Informasi Geospasial (BIG)</x:v>
      </x:c>
      <x:c r="AL689" s="9" t="str">
        <x:v>https://power.larc.nasa.gov/docs/services/api/temporal/monthly/</x:v>
      </x:c>
      <x:c r="AM689" s="9" t="str">
        <x:v>https://geoservices.big.go.id/rbi/rest/services/BATASWILAYAH/BATAS_WILAYAH/MapServer/12</x:v>
      </x:c>
    </x:row>
    <x:row r="690" ht="18" customHeight="1">
      <x:c r="A690" s="6" t="str">
        <x:v>75</x:v>
      </x:c>
      <x:c r="B690" s="6" t="str">
        <x:v>GORONTALO</x:v>
      </x:c>
      <x:c r="C690" s="6" t="str">
        <x:v>2025</x:v>
      </x:c>
      <x:c r="D690" s="6" t="str">
        <x:v>5</x:v>
      </x:c>
      <x:c r="E690" s="6" t="str">
        <x:v>26.99333333333333</x:v>
      </x:c>
      <x:c r="F690" s="9" t="str">
        <x:v>grid_cells_within_BIG_polygon</x:v>
      </x:c>
      <x:c r="G690" s="6" t="str">
        <x:v>3</x:v>
      </x:c>
      <x:c r="H690" s="8" t="str">
        <x:v>83.7</x:v>
      </x:c>
      <x:c r="I690" s="6" t="str">
        <x:v>6.543333333333333</x:v>
      </x:c>
      <x:c r="J690" s="6" t="str">
        <x:v>31</x:v>
      </x:c>
      <x:c r="K690" s="6" t="str">
        <x:v>202.84333333333333</x:v>
      </x:c>
      <x:c r="L690" s="6" t="str">
        <x:v>26.63244444444444</x:v>
      </x:c>
      <x:c r="M690" s="6" t="str">
        <x:v>0.509353081802056</x:v>
      </x:c>
      <x:c r="N690" s="6" t="str">
        <x:v>84.13244444444445</x:v>
      </x:c>
      <x:c r="O690" s="6" t="str">
        <x:v>2.0198725223106773</x:v>
      </x:c>
      <x:c r="P690" s="6" t="str">
        <x:v>176.77233333333334</x:v>
      </x:c>
      <x:c r="Q690" s="6" t="str">
        <x:v>38.78000161190245</x:v>
      </x:c>
      <x:c r="R690" s="6" t="str">
        <x:v>0.36088888888888704</x:v>
      </x:c>
      <x:c r="S690" s="8" t="str">
        <x:v>0.7085240116975186</x:v>
      </x:c>
      <x:c r="T690" s="6" t="str">
        <x:v>-0.4324444444444424</x:v>
      </x:c>
      <x:c r="U690" s="8" t="str">
        <x:v>-0.21409491919308757</x:v>
      </x:c>
      <x:c r="V690" s="6" t="str">
        <x:v>26.070999999999998</x:v>
      </x:c>
      <x:c r="W690" s="8" t="str">
        <x:v>0.672279497585122</x:v>
      </x:c>
      <x:c r="X690" s="6" t="str">
        <x:v>-0.1245531393541353</x:v>
      </x:c>
      <x:c r="Y690" s="6" t="str">
        <x:v>0.0412796874458365</x:v>
      </x:c>
      <x:c r="Z690" s="6" t="str">
        <x:v>0.2084168532630737</x:v>
      </x:c>
      <x:c r="AA690" s="6" t="str">
        <x:v>0.20592743190565355</x:v>
      </x:c>
      <x:c r="AB690" s="6" t="str">
        <x:v>0.6356672724969964</x:v>
      </x:c>
      <x:c r="AC690" s="6" t="str">
        <x:v>0.20916659506985377</x:v>
      </x:c>
      <x:c r="AD690" s="6" t="str">
        <x:v>2.1558226197746353</x:v>
      </x:c>
      <x:c r="AE690" s="6" t="str">
        <x:v>2.118989151891669</x:v>
      </x:c>
      <x:c r="AF690" s="6" t="str">
        <x:v>1.6490304230838084</x:v>
      </x:c>
      <x:c r="AG690" s="6" t="str">
        <x:v>0</x:v>
      </x:c>
      <x:c r="AH690" s="6" t="str">
        <x:v>0</x:v>
      </x:c>
      <x:c r="AI690" s="6" t="str">
        <x:v>2025-05</x:v>
      </x:c>
      <x:c r="AJ690" s="9" t="str">
        <x:v>NASA POWER (MERRA-2 meteorology)</x:v>
      </x:c>
      <x:c r="AK690" s="9" t="str">
        <x:v>Badan Informasi Geospasial (BIG)</x:v>
      </x:c>
      <x:c r="AL690" s="9" t="str">
        <x:v>https://power.larc.nasa.gov/docs/services/api/temporal/monthly/</x:v>
      </x:c>
      <x:c r="AM690" s="9" t="str">
        <x:v>https://geoservices.big.go.id/rbi/rest/services/BATASWILAYAH/BATAS_WILAYAH/MapServer/12</x:v>
      </x:c>
    </x:row>
    <x:row r="691" ht="18" customHeight="1">
      <x:c r="A691" s="6" t="str">
        <x:v>75</x:v>
      </x:c>
      <x:c r="B691" s="6" t="str">
        <x:v>GORONTALO</x:v>
      </x:c>
      <x:c r="C691" s="6" t="str">
        <x:v>2025</x:v>
      </x:c>
      <x:c r="D691" s="6" t="str">
        <x:v>6</x:v>
      </x:c>
      <x:c r="E691" s="6" t="str">
        <x:v>26.196666666666665</x:v>
      </x:c>
      <x:c r="F691" s="9" t="str">
        <x:v>grid_cells_within_BIG_polygon</x:v>
      </x:c>
      <x:c r="G691" s="6" t="str">
        <x:v>3</x:v>
      </x:c>
      <x:c r="H691" s="8" t="str">
        <x:v>84.72666666666666</x:v>
      </x:c>
      <x:c r="I691" s="6" t="str">
        <x:v>7.286666666666665</x:v>
      </x:c>
      <x:c r="J691" s="6" t="str">
        <x:v>30</x:v>
      </x:c>
      <x:c r="K691" s="6" t="str">
        <x:v>218.59999999999997</x:v>
      </x:c>
      <x:c r="L691" s="6" t="str">
        <x:v>26.03511111111111</x:v>
      </x:c>
      <x:c r="M691" s="6" t="str">
        <x:v>0.3529174882492136</x:v>
      </x:c>
      <x:c r="N691" s="6" t="str">
        <x:v>85.31244444444445</x:v>
      </x:c>
      <x:c r="O691" s="6" t="str">
        <x:v>1.9956604133250964</x:v>
      </x:c>
      <x:c r="P691" s="6" t="str">
        <x:v>187.17999999999998</x:v>
      </x:c>
      <x:c r="Q691" s="6" t="str">
        <x:v>69.10575803146541</x:v>
      </x:c>
      <x:c r="R691" s="6" t="str">
        <x:v>0.16155555555555523</x:v>
      </x:c>
      <x:c r="S691" s="8" t="str">
        <x:v>0.45777146481749964</x:v>
      </x:c>
      <x:c r="T691" s="6" t="str">
        <x:v>-0.5857777777777926</x:v>
      </x:c>
      <x:c r="U691" s="8" t="str">
        <x:v>-0.2935257791689074</x:v>
      </x:c>
      <x:c r="V691" s="6" t="str">
        <x:v>31.419999999999987</x:v>
      </x:c>
      <x:c r="W691" s="8" t="str">
        <x:v>0.45466544170883344</x:v>
      </x:c>
      <x:c r="X691" s="6" t="str">
        <x:v>0.7085240116975186</x:v>
      </x:c>
      <x:c r="Y691" s="6" t="str">
        <x:v>-0.1245531393541353</x:v>
      </x:c>
      <x:c r="Z691" s="6" t="str">
        <x:v>0.34724744572029476</x:v>
      </x:c>
      <x:c r="AA691" s="6" t="str">
        <x:v>-0.21409491919308757</x:v>
      </x:c>
      <x:c r="AB691" s="6" t="str">
        <x:v>0.20592743190565355</x:v>
      </x:c>
      <x:c r="AC691" s="6" t="str">
        <x:v>-0.10056442215211418</x:v>
      </x:c>
      <x:c r="AD691" s="6" t="str">
        <x:v>0.672279497585122</x:v>
      </x:c>
      <x:c r="AE691" s="6" t="str">
        <x:v>2.1558226197746353</x:v>
      </x:c>
      <x:c r="AF691" s="6" t="str">
        <x:v>1.0942558530228634</x:v>
      </x:c>
      <x:c r="AG691" s="6" t="str">
        <x:v>0</x:v>
      </x:c>
      <x:c r="AH691" s="6" t="str">
        <x:v>0</x:v>
      </x:c>
      <x:c r="AI691" s="6" t="str">
        <x:v>2025-06</x:v>
      </x:c>
      <x:c r="AJ691" s="9" t="str">
        <x:v>NASA POWER (MERRA-2 meteorology)</x:v>
      </x:c>
      <x:c r="AK691" s="9" t="str">
        <x:v>Badan Informasi Geospasial (BIG)</x:v>
      </x:c>
      <x:c r="AL691" s="9" t="str">
        <x:v>https://power.larc.nasa.gov/docs/services/api/temporal/monthly/</x:v>
      </x:c>
      <x:c r="AM691" s="9" t="str">
        <x:v>https://geoservices.big.go.id/rbi/rest/services/BATASWILAYAH/BATAS_WILAYAH/MapServer/12</x:v>
      </x:c>
    </x:row>
    <x:row r="692" ht="18" customHeight="1">
      <x:c r="A692" s="6" t="str">
        <x:v>75</x:v>
      </x:c>
      <x:c r="B692" s="6" t="str">
        <x:v>GORONTALO</x:v>
      </x:c>
      <x:c r="C692" s="6" t="str">
        <x:v>2025</x:v>
      </x:c>
      <x:c r="D692" s="6" t="str">
        <x:v>7</x:v>
      </x:c>
      <x:c r="E692" s="6" t="str">
        <x:v>26.016666666666666</x:v>
      </x:c>
      <x:c r="F692" s="9" t="str">
        <x:v>grid_cells_within_BIG_polygon</x:v>
      </x:c>
      <x:c r="G692" s="6" t="str">
        <x:v>3</x:v>
      </x:c>
      <x:c r="H692" s="8" t="str">
        <x:v>85.71333333333332</x:v>
      </x:c>
      <x:c r="I692" s="6" t="str">
        <x:v>5.069999999999999</x:v>
      </x:c>
      <x:c r="J692" s="6" t="str">
        <x:v>31</x:v>
      </x:c>
      <x:c r="K692" s="6" t="str">
        <x:v>157.17</x:v>
      </x:c>
      <x:c r="L692" s="6" t="str">
        <x:v>25.601555555555553</x:v>
      </x:c>
      <x:c r="M692" s="6" t="str">
        <x:v>0.3346327927782246</x:v>
      </x:c>
      <x:c r="N692" s="6" t="str">
        <x:v>84.958</x:v>
      </x:c>
      <x:c r="O692" s="6" t="str">
        <x:v>1.8708875923319765</x:v>
      </x:c>
      <x:c r="P692" s="6" t="str">
        <x:v>146.661</x:v>
      </x:c>
      <x:c r="Q692" s="6" t="str">
        <x:v>67.15211153522907</x:v>
      </x:c>
      <x:c r="R692" s="6" t="str">
        <x:v>0.41511111111111276</x:v>
      </x:c>
      <x:c r="S692" s="8" t="str">
        <x:v>1.24049740512498</x:v>
      </x:c>
      <x:c r="T692" s="6" t="str">
        <x:v>0.7553333333333256</x:v>
      </x:c>
      <x:c r="U692" s="8" t="str">
        <x:v>0.403729938895921</x:v>
      </x:c>
      <x:c r="V692" s="6" t="str">
        <x:v>10.508999999999986</x:v>
      </x:c>
      <x:c r="W692" s="8" t="str">
        <x:v>0.15649545129324485</x:v>
      </x:c>
      <x:c r="X692" s="6" t="str">
        <x:v>0.45777146481749964</x:v>
      </x:c>
      <x:c r="Y692" s="6" t="str">
        <x:v>0.7085240116975186</x:v>
      </x:c>
      <x:c r="Z692" s="6" t="str">
        <x:v>0.8022642938799999</x:v>
      </x:c>
      <x:c r="AA692" s="6" t="str">
        <x:v>-0.2935257791689074</x:v>
      </x:c>
      <x:c r="AB692" s="6" t="str">
        <x:v>-0.21409491919308757</x:v>
      </x:c>
      <x:c r="AC692" s="6" t="str">
        <x:v>-0.03463025315535836</x:v>
      </x:c>
      <x:c r="AD692" s="6" t="str">
        <x:v>0.45466544170883344</x:v>
      </x:c>
      <x:c r="AE692" s="6" t="str">
        <x:v>0.672279497585122</x:v>
      </x:c>
      <x:c r="AF692" s="6" t="str">
        <x:v>0.42781346352906663</x:v>
      </x:c>
      <x:c r="AG692" s="6" t="str">
        <x:v>0</x:v>
      </x:c>
      <x:c r="AH692" s="6" t="str">
        <x:v>1</x:v>
      </x:c>
      <x:c r="AI692" s="6" t="str">
        <x:v>2025-07</x:v>
      </x:c>
      <x:c r="AJ692" s="9" t="str">
        <x:v>NASA POWER (MERRA-2 meteorology)</x:v>
      </x:c>
      <x:c r="AK692" s="9" t="str">
        <x:v>Badan Informasi Geospasial (BIG)</x:v>
      </x:c>
      <x:c r="AL692" s="9" t="str">
        <x:v>https://power.larc.nasa.gov/docs/services/api/temporal/monthly/</x:v>
      </x:c>
      <x:c r="AM692" s="9" t="str">
        <x:v>https://geoservices.big.go.id/rbi/rest/services/BATASWILAYAH/BATAS_WILAYAH/MapServer/12</x:v>
      </x:c>
    </x:row>
    <x:row r="693" ht="18" customHeight="1">
      <x:c r="A693" s="6" t="str">
        <x:v>75</x:v>
      </x:c>
      <x:c r="B693" s="6" t="str">
        <x:v>GORONTALO</x:v>
      </x:c>
      <x:c r="C693" s="6" t="str">
        <x:v>2025</x:v>
      </x:c>
      <x:c r="D693" s="6" t="str">
        <x:v>8</x:v>
      </x:c>
      <x:c r="E693" s="6" t="str">
        <x:v>25.613333333333333</x:v>
      </x:c>
      <x:c r="F693" s="9" t="str">
        <x:v>grid_cells_within_BIG_polygon</x:v>
      </x:c>
      <x:c r="G693" s="6" t="str">
        <x:v>3</x:v>
      </x:c>
      <x:c r="H693" s="8" t="str">
        <x:v>85.72333333333331</x:v>
      </x:c>
      <x:c r="I693" s="6" t="str">
        <x:v>6.593333333333333</x:v>
      </x:c>
      <x:c r="J693" s="6" t="str">
        <x:v>31</x:v>
      </x:c>
      <x:c r="K693" s="6" t="str">
        <x:v>204.39333333333332</x:v>
      </x:c>
      <x:c r="L693" s="6" t="str">
        <x:v>25.711777777777776</x:v>
      </x:c>
      <x:c r="M693" s="6" t="str">
        <x:v>0.3548522258224359</x:v>
      </x:c>
      <x:c r="N693" s="6" t="str">
        <x:v>82.5698888888889</x:v>
      </x:c>
      <x:c r="O693" s="6" t="str">
        <x:v>3.62611002778305</x:v>
      </x:c>
      <x:c r="P693" s="6" t="str">
        <x:v>89.559</x:v>
      </x:c>
      <x:c r="Q693" s="6" t="str">
        <x:v>57.88263627137363</x:v>
      </x:c>
      <x:c r="R693" s="6" t="str">
        <x:v>-0.09844444444444278</x:v>
      </x:c>
      <x:c r="S693" s="8" t="str">
        <x:v>-0.2774237760980067</x:v>
      </x:c>
      <x:c r="T693" s="6" t="str">
        <x:v>3.1534444444444176</x:v>
      </x:c>
      <x:c r="U693" s="8" t="str">
        <x:v>0.8696494095002371</x:v>
      </x:c>
      <x:c r="V693" s="6" t="str">
        <x:v>114.83433333333332</x:v>
      </x:c>
      <x:c r="W693" s="8" t="str">
        <x:v>1.9839167793766446</x:v>
      </x:c>
      <x:c r="X693" s="6" t="str">
        <x:v>1.24049740512498</x:v>
      </x:c>
      <x:c r="Y693" s="6" t="str">
        <x:v>0.45777146481749964</x:v>
      </x:c>
      <x:c r="Z693" s="6" t="str">
        <x:v>0.47361503128149135</x:v>
      </x:c>
      <x:c r="AA693" s="6" t="str">
        <x:v>0.403729938895921</x:v>
      </x:c>
      <x:c r="AB693" s="6" t="str">
        <x:v>-0.2935257791689074</x:v>
      </x:c>
      <x:c r="AC693" s="6" t="str">
        <x:v>0.3266178564090832</x:v>
      </x:c>
      <x:c r="AD693" s="6" t="str">
        <x:v>0.15649545129324485</x:v>
      </x:c>
      <x:c r="AE693" s="6" t="str">
        <x:v>0.45466544170883344</x:v>
      </x:c>
      <x:c r="AF693" s="6" t="str">
        <x:v>0.8650258907929075</x:v>
      </x:c>
      <x:c r="AG693" s="6" t="str">
        <x:v>1</x:v>
      </x:c>
      <x:c r="AH693" s="6" t="str">
        <x:v>0</x:v>
      </x:c>
      <x:c r="AI693" s="6" t="str">
        <x:v>2025-08</x:v>
      </x:c>
      <x:c r="AJ693" s="9" t="str">
        <x:v>NASA POWER (MERRA-2 meteorology)</x:v>
      </x:c>
      <x:c r="AK693" s="9" t="str">
        <x:v>Badan Informasi Geospasial (BIG)</x:v>
      </x:c>
      <x:c r="AL693" s="9" t="str">
        <x:v>https://power.larc.nasa.gov/docs/services/api/temporal/monthly/</x:v>
      </x:c>
      <x:c r="AM693" s="9" t="str">
        <x:v>https://geoservices.big.go.id/rbi/rest/services/BATASWILAYAH/BATAS_WILAYAH/MapServer/12</x:v>
      </x:c>
    </x:row>
    <x:row r="694" ht="18" customHeight="1">
      <x:c r="A694" s="6" t="str">
        <x:v>75</x:v>
      </x:c>
      <x:c r="B694" s="6" t="str">
        <x:v>GORONTALO</x:v>
      </x:c>
      <x:c r="C694" s="6" t="str">
        <x:v>2025</x:v>
      </x:c>
      <x:c r="D694" s="6" t="str">
        <x:v>9</x:v>
      </x:c>
      <x:c r="E694" s="6" t="str">
        <x:v>26.213333333333335</x:v>
      </x:c>
      <x:c r="F694" s="9" t="str">
        <x:v>grid_cells_within_BIG_polygon</x:v>
      </x:c>
      <x:c r="G694" s="6" t="str">
        <x:v>3</x:v>
      </x:c>
      <x:c r="H694" s="8" t="str">
        <x:v>84.78</x:v>
      </x:c>
      <x:c r="I694" s="6" t="str">
        <x:v>4.713333333333333</x:v>
      </x:c>
      <x:c r="J694" s="6" t="str">
        <x:v>30</x:v>
      </x:c>
      <x:c r="K694" s="6" t="str">
        <x:v>141.39999999999998</x:v>
      </x:c>
      <x:c r="L694" s="6" t="str">
        <x:v>26.23288888888889</x:v>
      </x:c>
      <x:c r="M694" s="6" t="str">
        <x:v>0.42627742062638907</x:v>
      </x:c>
      <x:c r="N694" s="6" t="str">
        <x:v>79.58644444444444</x:v>
      </x:c>
      <x:c r="O694" s="6" t="str">
        <x:v>5.0065049588447845</x:v>
      </x:c>
      <x:c r="P694" s="6" t="str">
        <x:v>79.47</x:v>
      </x:c>
      <x:c r="Q694" s="6" t="str">
        <x:v>56.013896982556155</x:v>
      </x:c>
      <x:c r="R694" s="6" t="str">
        <x:v>-0.01955555555555577</x:v>
      </x:c>
      <x:c r="S694" s="8" t="str">
        <x:v>-0.04587518505394927</x:v>
      </x:c>
      <x:c r="T694" s="6" t="str">
        <x:v>5.193555555555562</x:v>
      </x:c>
      <x:c r="U694" s="8" t="str">
        <x:v>1.0373615123221487</x:v>
      </x:c>
      <x:c r="V694" s="6" t="str">
        <x:v>61.92999999999998</x:v>
      </x:c>
      <x:c r="W694" s="8" t="str">
        <x:v>1.1056184864139378</x:v>
      </x:c>
      <x:c r="X694" s="6" t="str">
        <x:v>-0.2774237760980067</x:v>
      </x:c>
      <x:c r="Y694" s="6" t="str">
        <x:v>1.24049740512498</x:v>
      </x:c>
      <x:c r="Z694" s="6" t="str">
        <x:v>0.30573281465767504</x:v>
      </x:c>
      <x:c r="AA694" s="6" t="str">
        <x:v>0.8696494095002371</x:v>
      </x:c>
      <x:c r="AB694" s="6" t="str">
        <x:v>0.403729938895921</x:v>
      </x:c>
      <x:c r="AC694" s="6" t="str">
        <x:v>0.7702469535727685</x:v>
      </x:c>
      <x:c r="AD694" s="6" t="str">
        <x:v>1.9839167793766446</x:v>
      </x:c>
      <x:c r="AE694" s="6" t="str">
        <x:v>0.15649545129324485</x:v>
      </x:c>
      <x:c r="AF694" s="6" t="str">
        <x:v>1.0820102390279425</x:v>
      </x:c>
      <x:c r="AG694" s="6" t="str">
        <x:v>1</x:v>
      </x:c>
      <x:c r="AH694" s="6" t="str">
        <x:v>0</x:v>
      </x:c>
      <x:c r="AI694" s="6" t="str">
        <x:v>2025-09</x:v>
      </x:c>
      <x:c r="AJ694" s="9" t="str">
        <x:v>NASA POWER (MERRA-2 meteorology)</x:v>
      </x:c>
      <x:c r="AK694" s="9" t="str">
        <x:v>Badan Informasi Geospasial (BIG)</x:v>
      </x:c>
      <x:c r="AL694" s="9" t="str">
        <x:v>https://power.larc.nasa.gov/docs/services/api/temporal/monthly/</x:v>
      </x:c>
      <x:c r="AM694" s="9" t="str">
        <x:v>https://geoservices.big.go.id/rbi/rest/services/BATASWILAYAH/BATAS_WILAYAH/MapServer/12</x:v>
      </x:c>
    </x:row>
    <x:row r="695" ht="18" customHeight="1">
      <x:c r="A695" s="6" t="str">
        <x:v>75</x:v>
      </x:c>
      <x:c r="B695" s="6" t="str">
        <x:v>GORONTALO</x:v>
      </x:c>
      <x:c r="C695" s="6" t="str">
        <x:v>2025</x:v>
      </x:c>
      <x:c r="D695" s="6" t="str">
        <x:v>10</x:v>
      </x:c>
      <x:c r="E695" s="6" t="str">
        <x:v>26.703333333333333</x:v>
      </x:c>
      <x:c r="F695" s="9" t="str">
        <x:v>grid_cells_within_BIG_polygon</x:v>
      </x:c>
      <x:c r="G695" s="6" t="str">
        <x:v>3</x:v>
      </x:c>
      <x:c r="H695" s="8" t="str">
        <x:v>81.82666666666667</x:v>
      </x:c>
      <x:c r="I695" s="6" t="str">
        <x:v>6.383333333333333</x:v>
      </x:c>
      <x:c r="J695" s="6" t="str">
        <x:v>31</x:v>
      </x:c>
      <x:c r="K695" s="6" t="str">
        <x:v>197.88333333333333</x:v>
      </x:c>
      <x:c r="L695" s="6" t="str">
        <x:v>26.842666666666666</x:v>
      </x:c>
      <x:c r="M695" s="6" t="str">
        <x:v>0.5453933867953956</x:v>
      </x:c>
      <x:c r="N695" s="6" t="str">
        <x:v>78.21900000000001</x:v>
      </x:c>
      <x:c r="O695" s="6" t="str">
        <x:v>5.758261507944019</x:v>
      </x:c>
      <x:c r="P695" s="6" t="str">
        <x:v>124.78877777777777</x:v>
      </x:c>
      <x:c r="Q695" s="6" t="str">
        <x:v>72.27209887270575</x:v>
      </x:c>
      <x:c r="R695" s="6" t="str">
        <x:v>-0.1393333333333331</x:v>
      </x:c>
      <x:c r="S695" s="8" t="str">
        <x:v>-0.2554730891623444</x:v>
      </x:c>
      <x:c r="T695" s="6" t="str">
        <x:v>3.6076666666666597</x:v>
      </x:c>
      <x:c r="U695" s="8" t="str">
        <x:v>0.6265201157831356</x:v>
      </x:c>
      <x:c r="V695" s="6" t="str">
        <x:v>73.09455555555556</x:v>
      </x:c>
      <x:c r="W695" s="8" t="str">
        <x:v>1.0113800027351967</x:v>
      </x:c>
      <x:c r="X695" s="6" t="str">
        <x:v>-0.04587518505394927</x:v>
      </x:c>
      <x:c r="Y695" s="6" t="str">
        <x:v>-0.2774237760980067</x:v>
      </x:c>
      <x:c r="Z695" s="6" t="str">
        <x:v>-0.1929240167714331</x:v>
      </x:c>
      <x:c r="AA695" s="6" t="str">
        <x:v>1.0373615123221487</x:v>
      </x:c>
      <x:c r="AB695" s="6" t="str">
        <x:v>0.8696494095002371</x:v>
      </x:c>
      <x:c r="AC695" s="6" t="str">
        <x:v>0.8445103458685067</x:v>
      </x:c>
      <x:c r="AD695" s="6" t="str">
        <x:v>1.1056184864139378</x:v>
      </x:c>
      <x:c r="AE695" s="6" t="str">
        <x:v>1.9839167793766446</x:v>
      </x:c>
      <x:c r="AF695" s="6" t="str">
        <x:v>1.3669717561752595</x:v>
      </x:c>
      <x:c r="AG695" s="6" t="str">
        <x:v>1</x:v>
      </x:c>
      <x:c r="AH695" s="6" t="str">
        <x:v>0</x:v>
      </x:c>
      <x:c r="AI695" s="6" t="str">
        <x:v>2025-10</x:v>
      </x:c>
      <x:c r="AJ695" s="9" t="str">
        <x:v>NASA POWER (MERRA-2 meteorology)</x:v>
      </x:c>
      <x:c r="AK695" s="9" t="str">
        <x:v>Badan Informasi Geospasial (BIG)</x:v>
      </x:c>
      <x:c r="AL695" s="9" t="str">
        <x:v>https://power.larc.nasa.gov/docs/services/api/temporal/monthly/</x:v>
      </x:c>
      <x:c r="AM695" s="9" t="str">
        <x:v>https://geoservices.big.go.id/rbi/rest/services/BATASWILAYAH/BATAS_WILAYAH/MapServer/12</x:v>
      </x:c>
    </x:row>
    <x:row r="696" ht="18" customHeight="1">
      <x:c r="A696" s="6" t="str">
        <x:v>75</x:v>
      </x:c>
      <x:c r="B696" s="6" t="str">
        <x:v>GORONTALO</x:v>
      </x:c>
      <x:c r="C696" s="6" t="str">
        <x:v>2025</x:v>
      </x:c>
      <x:c r="D696" s="6" t="str">
        <x:v>11</x:v>
      </x:c>
      <x:c r="E696" s="6" t="str">
        <x:v>26.873333333333335</x:v>
      </x:c>
      <x:c r="F696" s="9" t="str">
        <x:v>grid_cells_within_BIG_polygon</x:v>
      </x:c>
      <x:c r="G696" s="6" t="str">
        <x:v>3</x:v>
      </x:c>
      <x:c r="H696" s="8" t="str">
        <x:v>82.94666666666667</x:v>
      </x:c>
      <x:c r="I696" s="6" t="str">
        <x:v>6.823333333333332</x:v>
      </x:c>
      <x:c r="J696" s="6" t="str">
        <x:v>30</x:v>
      </x:c>
      <x:c r="K696" s="6" t="str">
        <x:v>204.69999999999996</x:v>
      </x:c>
      <x:c r="L696" s="6" t="str">
        <x:v>26.847666666666665</x:v>
      </x:c>
      <x:c r="M696" s="6" t="str">
        <x:v>0.5590565054135498</x:v>
      </x:c>
      <x:c r="N696" s="6" t="str">
        <x:v>80.31033333333333</x:v>
      </x:c>
      <x:c r="O696" s="6" t="str">
        <x:v>4.206944482328551</x:v>
      </x:c>
      <x:c r="P696" s="6" t="str">
        <x:v>158.11</x:v>
      </x:c>
      <x:c r="Q696" s="6" t="str">
        <x:v>53.522810799341144</x:v>
      </x:c>
      <x:c r="R696" s="6" t="str">
        <x:v>0.025666666666669613</x:v>
      </x:c>
      <x:c r="S696" s="8" t="str">
        <x:v>0.045910684194048076</x:v>
      </x:c>
      <x:c r="T696" s="6" t="str">
        <x:v>2.63633333333334</x:v>
      </x:c>
      <x:c r="U696" s="8" t="str">
        <x:v>0.6266622591306755</x:v>
      </x:c>
      <x:c r="V696" s="6" t="str">
        <x:v>46.58999999999995</x:v>
      </x:c>
      <x:c r="W696" s="8" t="str">
        <x:v>0.8704699791396878</x:v>
      </x:c>
      <x:c r="X696" s="6" t="str">
        <x:v>-0.2554730891623444</x:v>
      </x:c>
      <x:c r="Y696" s="6" t="str">
        <x:v>-0.04587518505394927</x:v>
      </x:c>
      <x:c r="Z696" s="6" t="str">
        <x:v>-0.08514586334074813</x:v>
      </x:c>
      <x:c r="AA696" s="6" t="str">
        <x:v>0.6265201157831356</x:v>
      </x:c>
      <x:c r="AB696" s="6" t="str">
        <x:v>1.0373615123221487</x:v>
      </x:c>
      <x:c r="AC696" s="6" t="str">
        <x:v>0.763514629078653</x:v>
      </x:c>
      <x:c r="AD696" s="6" t="str">
        <x:v>1.0113800027351967</x:v>
      </x:c>
      <x:c r="AE696" s="6" t="str">
        <x:v>1.1056184864139378</x:v>
      </x:c>
      <x:c r="AF696" s="6" t="str">
        <x:v>0.9958228227629408</x:v>
      </x:c>
      <x:c r="AG696" s="6" t="str">
        <x:v>0</x:v>
      </x:c>
      <x:c r="AH696" s="6" t="str">
        <x:v>0</x:v>
      </x:c>
      <x:c r="AI696" s="6" t="str">
        <x:v>2025-11</x:v>
      </x:c>
      <x:c r="AJ696" s="9" t="str">
        <x:v>NASA POWER (MERRA-2 meteorology)</x:v>
      </x:c>
      <x:c r="AK696" s="9" t="str">
        <x:v>Badan Informasi Geospasial (BIG)</x:v>
      </x:c>
      <x:c r="AL696" s="9" t="str">
        <x:v>https://power.larc.nasa.gov/docs/services/api/temporal/monthly/</x:v>
      </x:c>
      <x:c r="AM696" s="9" t="str">
        <x:v>https://geoservices.big.go.id/rbi/rest/services/BATASWILAYAH/BATAS_WILAYAH/MapServer/12</x:v>
      </x:c>
    </x:row>
    <x:row r="697" ht="18" customHeight="1">
      <x:c r="A697" s="6" t="str">
        <x:v>75</x:v>
      </x:c>
      <x:c r="B697" s="6" t="str">
        <x:v>GORONTALO</x:v>
      </x:c>
      <x:c r="C697" s="6" t="str">
        <x:v>2025</x:v>
      </x:c>
      <x:c r="D697" s="6" t="str">
        <x:v>12</x:v>
      </x:c>
      <x:c r="E697" s="6" t="str">
        <x:v>26.419999999999998</x:v>
      </x:c>
      <x:c r="F697" s="9" t="str">
        <x:v>grid_cells_within_BIG_polygon</x:v>
      </x:c>
      <x:c r="G697" s="6" t="str">
        <x:v>3</x:v>
      </x:c>
      <x:c r="H697" s="8" t="str">
        <x:v>84.52999999999999</x:v>
      </x:c>
      <x:c r="I697" s="6" t="str">
        <x:v>6.666666666666666</x:v>
      </x:c>
      <x:c r="J697" s="6" t="str">
        <x:v>31</x:v>
      </x:c>
      <x:c r="K697" s="6" t="str">
        <x:v>206.66666666666666</x:v>
      </x:c>
      <x:c r="L697" s="6" t="str">
        <x:v>26.495444444444445</x:v>
      </x:c>
      <x:c r="M697" s="6" t="str">
        <x:v>0.5667967959668285</x:v>
      </x:c>
      <x:c r="N697" s="6" t="str">
        <x:v>82.288</x:v>
      </x:c>
      <x:c r="O697" s="6" t="str">
        <x:v>3.2603397091648376</x:v>
      </x:c>
      <x:c r="P697" s="6" t="str">
        <x:v>171.68833333333333</x:v>
      </x:c>
      <x:c r="Q697" s="6" t="str">
        <x:v>58.85952011884475</x:v>
      </x:c>
      <x:c r="R697" s="6" t="str">
        <x:v>-0.07544444444444665</x:v>
      </x:c>
      <x:c r="S697" s="8" t="str">
        <x:v>-0.13310668828985758</x:v>
      </x:c>
      <x:c r="T697" s="6" t="str">
        <x:v>2.2419999999999902</x:v>
      </x:c>
      <x:c r="U697" s="8" t="str">
        <x:v>0.687658403723303</x:v>
      </x:c>
      <x:c r="V697" s="6" t="str">
        <x:v>34.978333333333325</x:v>
      </x:c>
      <x:c r="W697" s="8" t="str">
        <x:v>0.5942680684910051</x:v>
      </x:c>
      <x:c r="X697" s="6" t="str">
        <x:v>0.045910684194048076</x:v>
      </x:c>
      <x:c r="Y697" s="6" t="str">
        <x:v>-0.2554730891623444</x:v>
      </x:c>
      <x:c r="Z697" s="6" t="str">
        <x:v>-0.1142230310860509</x:v>
      </x:c>
      <x:c r="AA697" s="6" t="str">
        <x:v>0.6266622591306755</x:v>
      </x:c>
      <x:c r="AB697" s="6" t="str">
        <x:v>0.6265201157831356</x:v>
      </x:c>
      <x:c r="AC697" s="6" t="str">
        <x:v>0.646946926212371</x:v>
      </x:c>
      <x:c r="AD697" s="6" t="str">
        <x:v>0.8704699791396878</x:v>
      </x:c>
      <x:c r="AE697" s="6" t="str">
        <x:v>1.0113800027351967</x:v>
      </x:c>
      <x:c r="AF697" s="6" t="str">
        <x:v>0.8253726834552965</x:v>
      </x:c>
      <x:c r="AG697" s="6" t="str">
        <x:v>0</x:v>
      </x:c>
      <x:c r="AH697" s="6" t="str">
        <x:v>0</x:v>
      </x:c>
      <x:c r="AI697" s="6" t="str">
        <x:v>2025-12</x:v>
      </x:c>
      <x:c r="AJ697" s="9" t="str">
        <x:v>NASA POWER (MERRA-2 meteorology)</x:v>
      </x:c>
      <x:c r="AK697" s="9" t="str">
        <x:v>Badan Informasi Geospasial (BIG)</x:v>
      </x:c>
      <x:c r="AL697" s="9" t="str">
        <x:v>https://power.larc.nasa.gov/docs/services/api/temporal/monthly/</x:v>
      </x:c>
      <x:c r="AM697" s="9" t="str">
        <x:v>https://geoservices.big.go.id/rbi/rest/services/BATASWILAYAH/BATAS_WILAYAH/MapServer/12</x:v>
      </x:c>
    </x:row>
    <x:row r="698" ht="18" customHeight="1">
      <x:c r="A698" s="6" t="str">
        <x:v>76</x:v>
      </x:c>
      <x:c r="B698" s="6" t="str">
        <x:v>SULAWESI BARAT</x:v>
      </x:c>
      <x:c r="C698" s="6" t="str">
        <x:v>2024</x:v>
      </x:c>
      <x:c r="D698" s="6" t="str">
        <x:v>1</x:v>
      </x:c>
      <x:c r="E698" s="6" t="str">
        <x:v>23.805796428795848</x:v>
      </x:c>
      <x:c r="F698" s="9" t="str">
        <x:v>grid_cells_within_BIG_polygon</x:v>
      </x:c>
      <x:c r="G698" s="6" t="str">
        <x:v>4</x:v>
      </x:c>
      <x:c r="H698" s="8" t="str">
        <x:v>86.24177599161102</x:v>
      </x:c>
      <x:c r="I698" s="6" t="str">
        <x:v>7.589488344740005</x:v>
      </x:c>
      <x:c r="J698" s="6" t="str">
        <x:v>31</x:v>
      </x:c>
      <x:c r="K698" s="6" t="str">
        <x:v>235.27413868694015</x:v>
      </x:c>
      <x:c r="L698" s="6" t="str">
        <x:v>22.837178823802148</x:v>
      </x:c>
      <x:c r="M698" s="6" t="str">
        <x:v>0.4310971699768446</x:v>
      </x:c>
      <x:c r="N698" s="6" t="str">
        <x:v>87.77495716393832</x:v>
      </x:c>
      <x:c r="O698" s="6" t="str">
        <x:v>1.7366436697636651</x:v>
      </x:c>
      <x:c r="P698" s="6" t="str">
        <x:v>235.06864969703219</x:v>
      </x:c>
      <x:c r="Q698" s="6" t="str">
        <x:v>106.5773344590272</x:v>
      </x:c>
      <x:c r="R698" s="6" t="str">
        <x:v>0.9686176049936996</x:v>
      </x:c>
      <x:c r="S698" s="8" t="str">
        <x:v>2.2468660720870117</x:v>
      </x:c>
      <x:c r="T698" s="6" t="str">
        <x:v>-1.5331811723273034</x:v>
      </x:c>
      <x:c r="U698" s="8" t="str">
        <x:v>-0.8828415402774881</x:v>
      </x:c>
      <x:c r="V698" s="6" t="str">
        <x:v>0.2054889899079626</x:v>
      </x:c>
      <x:c r="W698" s="8" t="str">
        <x:v>0.0019280740220329043</x:v>
      </x:c>
      <x:c r="X698" s="6" t="str">
        <x:v>3.221492330819568</x:v>
      </x:c>
      <x:c r="Y698" s="6" t="str">
        <x:v>3.157210470405541</x:v>
      </x:c>
      <x:c r="Z698" s="6" t="str">
        <x:v>2.8751896244373736</x:v>
      </x:c>
      <x:c r="AA698" s="6" t="str">
        <x:v>-1.1883696963883017</x:v>
      </x:c>
      <x:c r="AB698" s="6" t="str">
        <x:v>-1.3137055271122953</x:v>
      </x:c>
      <x:c r="AC698" s="6" t="str">
        <x:v>-1.1283055879260289</x:v>
      </x:c>
      <x:c r="AD698" s="6" t="str">
        <x:v>-0.6789004950001755</x:v>
      </x:c>
      <x:c r="AE698" s="6" t="str">
        <x:v>-0.5441686732065788</x:v>
      </x:c>
      <x:c r="AF698" s="6" t="str">
        <x:v>-0.4070470313949073</x:v>
      </x:c>
      <x:c r="AG698" s="6" t="str">
        <x:v>0</x:v>
      </x:c>
      <x:c r="AH698" s="6" t="str">
        <x:v>1</x:v>
      </x:c>
      <x:c r="AI698" s="6" t="str">
        <x:v>2024-01</x:v>
      </x:c>
      <x:c r="AJ698" s="9" t="str">
        <x:v>NASA POWER (MERRA-2 meteorology)</x:v>
      </x:c>
      <x:c r="AK698" s="9" t="str">
        <x:v>Badan Informasi Geospasial (BIG)</x:v>
      </x:c>
      <x:c r="AL698" s="9" t="str">
        <x:v>https://power.larc.nasa.gov/docs/services/api/temporal/monthly/</x:v>
      </x:c>
      <x:c r="AM698" s="9" t="str">
        <x:v>https://geoservices.big.go.id/rbi/rest/services/BATASWILAYAH/BATAS_WILAYAH/MapServer/12</x:v>
      </x:c>
    </x:row>
    <x:row r="699" ht="18" customHeight="1">
      <x:c r="A699" s="6" t="str">
        <x:v>76</x:v>
      </x:c>
      <x:c r="B699" s="6" t="str">
        <x:v>SULAWESI BARAT</x:v>
      </x:c>
      <x:c r="C699" s="6" t="str">
        <x:v>2024</x:v>
      </x:c>
      <x:c r="D699" s="6" t="str">
        <x:v>2</x:v>
      </x:c>
      <x:c r="E699" s="6" t="str">
        <x:v>24.140767284032457</x:v>
      </x:c>
      <x:c r="F699" s="9" t="str">
        <x:v>grid_cells_within_BIG_polygon</x:v>
      </x:c>
      <x:c r="G699" s="6" t="str">
        <x:v>4</x:v>
      </x:c>
      <x:c r="H699" s="8" t="str">
        <x:v>86.5942167019906</x:v>
      </x:c>
      <x:c r="I699" s="6" t="str">
        <x:v>7.716872952352568</x:v>
      </x:c>
      <x:c r="J699" s="6" t="str">
        <x:v>29</x:v>
      </x:c>
      <x:c r="K699" s="6" t="str">
        <x:v>223.78931561822446</x:v>
      </x:c>
      <x:c r="L699" s="6" t="str">
        <x:v>22.915672407730607</x:v>
      </x:c>
      <x:c r="M699" s="6" t="str">
        <x:v>0.4335269934029942</x:v>
      </x:c>
      <x:c r="N699" s="6" t="str">
        <x:v>87.2793448271154</x:v>
      </x:c>
      <x:c r="O699" s="6" t="str">
        <x:v>1.6072807188429457</x:v>
      </x:c>
      <x:c r="P699" s="6" t="str">
        <x:v>174.09026497107806</x:v>
      </x:c>
      <x:c r="Q699" s="6" t="str">
        <x:v>74.20905399036229</x:v>
      </x:c>
      <x:c r="R699" s="6" t="str">
        <x:v>1.2250948763018492</x:v>
      </x:c>
      <x:c r="S699" s="8" t="str">
        <x:v>2.8258791146668836</x:v>
      </x:c>
      <x:c r="T699" s="6" t="str">
        <x:v>-0.6851281251247912</x:v>
      </x:c>
      <x:c r="U699" s="8" t="str">
        <x:v>-0.42626537921639684</x:v>
      </x:c>
      <x:c r="V699" s="6" t="str">
        <x:v>49.69905064714641</x:v>
      </x:c>
      <x:c r="W699" s="8" t="str">
        <x:v>0.6697168064371356</x:v>
      </x:c>
      <x:c r="X699" s="6" t="str">
        <x:v>2.2468660720870117</x:v>
      </x:c>
      <x:c r="Y699" s="6" t="str">
        <x:v>3.221492330819568</x:v>
      </x:c>
      <x:c r="Z699" s="6" t="str">
        <x:v>2.764745839191155</x:v>
      </x:c>
      <x:c r="AA699" s="6" t="str">
        <x:v>-0.8828415402774881</x:v>
      </x:c>
      <x:c r="AB699" s="6" t="str">
        <x:v>-1.1883696963883017</x:v>
      </x:c>
      <x:c r="AC699" s="6" t="str">
        <x:v>-0.8324922052940629</x:v>
      </x:c>
      <x:c r="AD699" s="6" t="str">
        <x:v>0.0019280740220329043</x:v>
      </x:c>
      <x:c r="AE699" s="6" t="str">
        <x:v>-0.6789004950001755</x:v>
      </x:c>
      <x:c r="AF699" s="6" t="str">
        <x:v>-0.002418538180335809</x:v>
      </x:c>
      <x:c r="AG699" s="6" t="str">
        <x:v>0</x:v>
      </x:c>
      <x:c r="AH699" s="6" t="str">
        <x:v>1</x:v>
      </x:c>
      <x:c r="AI699" s="6" t="str">
        <x:v>2024-02</x:v>
      </x:c>
      <x:c r="AJ699" s="9" t="str">
        <x:v>NASA POWER (MERRA-2 meteorology)</x:v>
      </x:c>
      <x:c r="AK699" s="9" t="str">
        <x:v>Badan Informasi Geospasial (BIG)</x:v>
      </x:c>
      <x:c r="AL699" s="9" t="str">
        <x:v>https://power.larc.nasa.gov/docs/services/api/temporal/monthly/</x:v>
      </x:c>
      <x:c r="AM699" s="9" t="str">
        <x:v>https://geoservices.big.go.id/rbi/rest/services/BATASWILAYAH/BATAS_WILAYAH/MapServer/12</x:v>
      </x:c>
    </x:row>
    <x:row r="700" ht="18" customHeight="1">
      <x:c r="A700" s="6" t="str">
        <x:v>76</x:v>
      </x:c>
      <x:c r="B700" s="6" t="str">
        <x:v>SULAWESI BARAT</x:v>
      </x:c>
      <x:c r="C700" s="6" t="str">
        <x:v>2024</x:v>
      </x:c>
      <x:c r="D700" s="6" t="str">
        <x:v>3</x:v>
      </x:c>
      <x:c r="E700" s="6" t="str">
        <x:v>24.06573880612502</x:v>
      </x:c>
      <x:c r="F700" s="9" t="str">
        <x:v>grid_cells_within_BIG_polygon</x:v>
      </x:c>
      <x:c r="G700" s="6" t="str">
        <x:v>4</x:v>
      </x:c>
      <x:c r="H700" s="8" t="str">
        <x:v>87.74445215004569</x:v>
      </x:c>
      <x:c r="I700" s="6" t="str">
        <x:v>7.029831320065845</x:v>
      </x:c>
      <x:c r="J700" s="6" t="str">
        <x:v>31</x:v>
      </x:c>
      <x:c r="K700" s="6" t="str">
        <x:v>217.92477092204118</x:v>
      </x:c>
      <x:c r="L700" s="6" t="str">
        <x:v>23.107249603073754</x:v>
      </x:c>
      <x:c r="M700" s="6" t="str">
        <x:v>0.40701741393630897</x:v>
      </x:c>
      <x:c r="N700" s="6" t="str">
        <x:v>87.21245456869119</x:v>
      </x:c>
      <x:c r="O700" s="6" t="str">
        <x:v>1.5087953609048956</x:v>
      </x:c>
      <x:c r="P700" s="6" t="str">
        <x:v>209.0745784208916</x:v>
      </x:c>
      <x:c r="Q700" s="6" t="str">
        <x:v>81.51351930334414</x:v>
      </x:c>
      <x:c r="R700" s="6" t="str">
        <x:v>0.9584892030512648</x:v>
      </x:c>
      <x:c r="S700" s="8" t="str">
        <x:v>2.3549095695479294</x:v>
      </x:c>
      <x:c r="T700" s="6" t="str">
        <x:v>0.5319975813545028</x:v>
      </x:c>
      <x:c r="U700" s="8" t="str">
        <x:v>0.352597572301282</x:v>
      </x:c>
      <x:c r="V700" s="6" t="str">
        <x:v>8.850192501149564</x:v>
      </x:c>
      <x:c r="W700" s="8" t="str">
        <x:v>0.10857330878101935</x:v>
      </x:c>
      <x:c r="X700" s="6" t="str">
        <x:v>2.8258791146668836</x:v>
      </x:c>
      <x:c r="Y700" s="6" t="str">
        <x:v>2.2468660720870117</x:v>
      </x:c>
      <x:c r="Z700" s="6" t="str">
        <x:v>2.475884918767275</x:v>
      </x:c>
      <x:c r="AA700" s="6" t="str">
        <x:v>-0.42626537921639684</x:v>
      </x:c>
      <x:c r="AB700" s="6" t="str">
        <x:v>-0.8828415402774881</x:v>
      </x:c>
      <x:c r="AC700" s="6" t="str">
        <x:v>-0.31883644906420155</x:v>
      </x:c>
      <x:c r="AD700" s="6" t="str">
        <x:v>0.6697168064371356</x:v>
      </x:c>
      <x:c r="AE700" s="6" t="str">
        <x:v>0.0019280740220329043</x:v>
      </x:c>
      <x:c r="AF700" s="6" t="str">
        <x:v>0.2600727297467291</x:v>
      </x:c>
      <x:c r="AG700" s="6" t="str">
        <x:v>0</x:v>
      </x:c>
      <x:c r="AH700" s="6" t="str">
        <x:v>1</x:v>
      </x:c>
      <x:c r="AI700" s="6" t="str">
        <x:v>2024-03</x:v>
      </x:c>
      <x:c r="AJ700" s="9" t="str">
        <x:v>NASA POWER (MERRA-2 meteorology)</x:v>
      </x:c>
      <x:c r="AK700" s="9" t="str">
        <x:v>Badan Informasi Geospasial (BIG)</x:v>
      </x:c>
      <x:c r="AL700" s="9" t="str">
        <x:v>https://power.larc.nasa.gov/docs/services/api/temporal/monthly/</x:v>
      </x:c>
      <x:c r="AM700" s="9" t="str">
        <x:v>https://geoservices.big.go.id/rbi/rest/services/BATASWILAYAH/BATAS_WILAYAH/MapServer/12</x:v>
      </x:c>
    </x:row>
    <x:row r="701" ht="18" customHeight="1">
      <x:c r="A701" s="6" t="str">
        <x:v>76</x:v>
      </x:c>
      <x:c r="B701" s="6" t="str">
        <x:v>SULAWESI BARAT</x:v>
      </x:c>
      <x:c r="C701" s="6" t="str">
        <x:v>2024</x:v>
      </x:c>
      <x:c r="D701" s="6" t="str">
        <x:v>4</x:v>
      </x:c>
      <x:c r="E701" s="6" t="str">
        <x:v>24.44821523451748</x:v>
      </x:c>
      <x:c r="F701" s="9" t="str">
        <x:v>grid_cells_within_BIG_polygon</x:v>
      </x:c>
      <x:c r="G701" s="6" t="str">
        <x:v>4</x:v>
      </x:c>
      <x:c r="H701" s="8" t="str">
        <x:v>87.33891240284161</x:v>
      </x:c>
      <x:c r="I701" s="6" t="str">
        <x:v>6.4897855027609195</x:v>
      </x:c>
      <x:c r="J701" s="6" t="str">
        <x:v>30</x:v>
      </x:c>
      <x:c r="K701" s="6" t="str">
        <x:v>194.69356508282758</x:v>
      </x:c>
      <x:c r="L701" s="6" t="str">
        <x:v>23.33898664847989</x:v>
      </x:c>
      <x:c r="M701" s="6" t="str">
        <x:v>0.3080900480929791</x:v>
      </x:c>
      <x:c r="N701" s="6" t="str">
        <x:v>88.31688892896317</x:v>
      </x:c>
      <x:c r="O701" s="6" t="str">
        <x:v>1.5621815139473425</x:v>
      </x:c>
      <x:c r="P701" s="6" t="str">
        <x:v>219.0088377513873</x:v>
      </x:c>
      <x:c r="Q701" s="6" t="str">
        <x:v>79.489128111314</x:v>
      </x:c>
      <x:c r="R701" s="6" t="str">
        <x:v>1.1092285860375917</x:v>
      </x:c>
      <x:c r="S701" s="8" t="str">
        <x:v>3.600338903848123</x:v>
      </x:c>
      <x:c r="T701" s="6" t="str">
        <x:v>-0.9779765261215516</x:v>
      </x:c>
      <x:c r="U701" s="8" t="str">
        <x:v>-0.6260325816110744</x:v>
      </x:c>
      <x:c r="V701" s="6" t="str">
        <x:v>-24.315272668559714</x:v>
      </x:c>
      <x:c r="W701" s="8" t="str">
        <x:v>-0.3058943184596187</x:v>
      </x:c>
      <x:c r="X701" s="6" t="str">
        <x:v>2.3549095695479294</x:v>
      </x:c>
      <x:c r="Y701" s="6" t="str">
        <x:v>2.8258791146668836</x:v>
      </x:c>
      <x:c r="Z701" s="6" t="str">
        <x:v>2.927042529354312</x:v>
      </x:c>
      <x:c r="AA701" s="6" t="str">
        <x:v>0.352597572301282</x:v>
      </x:c>
      <x:c r="AB701" s="6" t="str">
        <x:v>-0.42626537921639684</x:v>
      </x:c>
      <x:c r="AC701" s="6" t="str">
        <x:v>-0.23323346284206367</x:v>
      </x:c>
      <x:c r="AD701" s="6" t="str">
        <x:v>0.10857330878101935</x:v>
      </x:c>
      <x:c r="AE701" s="6" t="str">
        <x:v>0.6697168064371356</x:v>
      </x:c>
      <x:c r="AF701" s="6" t="str">
        <x:v>0.1574652655861786</x:v>
      </x:c>
      <x:c r="AG701" s="6" t="str">
        <x:v>0</x:v>
      </x:c>
      <x:c r="AH701" s="6" t="str">
        <x:v>1</x:v>
      </x:c>
      <x:c r="AI701" s="6" t="str">
        <x:v>2024-04</x:v>
      </x:c>
      <x:c r="AJ701" s="9" t="str">
        <x:v>NASA POWER (MERRA-2 meteorology)</x:v>
      </x:c>
      <x:c r="AK701" s="9" t="str">
        <x:v>Badan Informasi Geospasial (BIG)</x:v>
      </x:c>
      <x:c r="AL701" s="9" t="str">
        <x:v>https://power.larc.nasa.gov/docs/services/api/temporal/monthly/</x:v>
      </x:c>
      <x:c r="AM701" s="9" t="str">
        <x:v>https://geoservices.big.go.id/rbi/rest/services/BATASWILAYAH/BATAS_WILAYAH/MapServer/12</x:v>
      </x:c>
    </x:row>
    <x:row r="702" ht="18" customHeight="1">
      <x:c r="A702" s="6" t="str">
        <x:v>76</x:v>
      </x:c>
      <x:c r="B702" s="6" t="str">
        <x:v>SULAWESI BARAT</x:v>
      </x:c>
      <x:c r="C702" s="6" t="str">
        <x:v>2024</x:v>
      </x:c>
      <x:c r="D702" s="6" t="str">
        <x:v>5</x:v>
      </x:c>
      <x:c r="E702" s="6" t="str">
        <x:v>24.560714327351207</x:v>
      </x:c>
      <x:c r="F702" s="9" t="str">
        <x:v>grid_cells_within_BIG_polygon</x:v>
      </x:c>
      <x:c r="G702" s="6" t="str">
        <x:v>4</x:v>
      </x:c>
      <x:c r="H702" s="8" t="str">
        <x:v>90.17949682148443</x:v>
      </x:c>
      <x:c r="I702" s="6" t="str">
        <x:v>12.442492792457674</x:v>
      </x:c>
      <x:c r="J702" s="6" t="str">
        <x:v>31</x:v>
      </x:c>
      <x:c r="K702" s="6" t="str">
        <x:v>385.7172765661879</x:v>
      </x:c>
      <x:c r="L702" s="6" t="str">
        <x:v>23.5418895471217</x:v>
      </x:c>
      <x:c r="M702" s="6" t="str">
        <x:v>0.31552795041327675</x:v>
      </x:c>
      <x:c r="N702" s="6" t="str">
        <x:v>89.15477147740485</x:v>
      </x:c>
      <x:c r="O702" s="6" t="str">
        <x:v>1.492291551129436</x:v>
      </x:c>
      <x:c r="P702" s="6" t="str">
        <x:v>210.68335492216818</x:v>
      </x:c>
      <x:c r="Q702" s="6" t="str">
        <x:v>74.1667501508133</x:v>
      </x:c>
      <x:c r="R702" s="6" t="str">
        <x:v>1.018824780229508</x:v>
      </x:c>
      <x:c r="S702" s="8" t="str">
        <x:v>3.2289525504636183</x:v>
      </x:c>
      <x:c r="T702" s="6" t="str">
        <x:v>1.0247253440795845</x:v>
      </x:c>
      <x:c r="U702" s="8" t="str">
        <x:v>0.6866790496160248</x:v>
      </x:c>
      <x:c r="V702" s="6" t="str">
        <x:v>175.0339216440197</x:v>
      </x:c>
      <x:c r="W702" s="8" t="str">
        <x:v>2.3600052757886725</x:v>
      </x:c>
      <x:c r="X702" s="6" t="str">
        <x:v>3.600338903848123</x:v>
      </x:c>
      <x:c r="Y702" s="6" t="str">
        <x:v>2.3549095695479294</x:v>
      </x:c>
      <x:c r="Z702" s="6" t="str">
        <x:v>3.061400341286557</x:v>
      </x:c>
      <x:c r="AA702" s="6" t="str">
        <x:v>-0.6260325816110744</x:v>
      </x:c>
      <x:c r="AB702" s="6" t="str">
        <x:v>0.352597572301282</x:v>
      </x:c>
      <x:c r="AC702" s="6" t="str">
        <x:v>0.1377480134354102</x:v>
      </x:c>
      <x:c r="AD702" s="6" t="str">
        <x:v>-0.3058943184596187</x:v>
      </x:c>
      <x:c r="AE702" s="6" t="str">
        <x:v>0.10857330878101935</x:v>
      </x:c>
      <x:c r="AF702" s="6" t="str">
        <x:v>0.7208947553700242</x:v>
      </x:c>
      <x:c r="AG702" s="6" t="str">
        <x:v>1</x:v>
      </x:c>
      <x:c r="AH702" s="6" t="str">
        <x:v>1</x:v>
      </x:c>
      <x:c r="AI702" s="6" t="str">
        <x:v>2024-05</x:v>
      </x:c>
      <x:c r="AJ702" s="9" t="str">
        <x:v>NASA POWER (MERRA-2 meteorology)</x:v>
      </x:c>
      <x:c r="AK702" s="9" t="str">
        <x:v>Badan Informasi Geospasial (BIG)</x:v>
      </x:c>
      <x:c r="AL702" s="9" t="str">
        <x:v>https://power.larc.nasa.gov/docs/services/api/temporal/monthly/</x:v>
      </x:c>
      <x:c r="AM702" s="9" t="str">
        <x:v>https://geoservices.big.go.id/rbi/rest/services/BATASWILAYAH/BATAS_WILAYAH/MapServer/12</x:v>
      </x:c>
    </x:row>
    <x:row r="703" ht="18" customHeight="1">
      <x:c r="A703" s="6" t="str">
        <x:v>76</x:v>
      </x:c>
      <x:c r="B703" s="6" t="str">
        <x:v>SULAWESI BARAT</x:v>
      </x:c>
      <x:c r="C703" s="6" t="str">
        <x:v>2024</x:v>
      </x:c>
      <x:c r="D703" s="6" t="str">
        <x:v>6</x:v>
      </x:c>
      <x:c r="E703" s="6" t="str">
        <x:v>23.743218470375055</x:v>
      </x:c>
      <x:c r="F703" s="9" t="str">
        <x:v>grid_cells_within_BIG_polygon</x:v>
      </x:c>
      <x:c r="G703" s="6" t="str">
        <x:v>4</x:v>
      </x:c>
      <x:c r="H703" s="8" t="str">
        <x:v>90.23440291225826</x:v>
      </x:c>
      <x:c r="I703" s="6" t="str">
        <x:v>9.90296320684822</x:v>
      </x:c>
      <x:c r="J703" s="6" t="str">
        <x:v>30</x:v>
      </x:c>
      <x:c r="K703" s="6" t="str">
        <x:v>297.0888962054466</x:v>
      </x:c>
      <x:c r="L703" s="6" t="str">
        <x:v>23.139491190612627</x:v>
      </x:c>
      <x:c r="M703" s="6" t="str">
        <x:v>0.2276277471324908</x:v>
      </x:c>
      <x:c r="N703" s="6" t="str">
        <x:v>89.49406515109382</x:v>
      </x:c>
      <x:c r="O703" s="6" t="str">
        <x:v>1.4783443592452998</x:v>
      </x:c>
      <x:c r="P703" s="6" t="str">
        <x:v>221.59531157733474</x:v>
      </x:c>
      <x:c r="Q703" s="6" t="str">
        <x:v>109.41496730080466</x:v>
      </x:c>
      <x:c r="R703" s="6" t="str">
        <x:v>0.6037272797624276</x:v>
      </x:c>
      <x:c r="S703" s="8" t="str">
        <x:v>2.6522569737995427</x:v>
      </x:c>
      <x:c r="T703" s="6" t="str">
        <x:v>0.7403377611644402</x:v>
      </x:c>
      <x:c r="U703" s="8" t="str">
        <x:v>0.5007884371016137</x:v>
      </x:c>
      <x:c r="V703" s="6" t="str">
        <x:v>75.49358462811185</x:v>
      </x:c>
      <x:c r="W703" s="8" t="str">
        <x:v>0.6899749320453039</x:v>
      </x:c>
      <x:c r="X703" s="6" t="str">
        <x:v>3.2289525504636183</x:v>
      </x:c>
      <x:c r="Y703" s="6" t="str">
        <x:v>3.600338903848123</x:v>
      </x:c>
      <x:c r="Z703" s="6" t="str">
        <x:v>3.1605161427037616</x:v>
      </x:c>
      <x:c r="AA703" s="6" t="str">
        <x:v>0.6866790496160248</x:v>
      </x:c>
      <x:c r="AB703" s="6" t="str">
        <x:v>-0.6260325816110744</x:v>
      </x:c>
      <x:c r="AC703" s="6" t="str">
        <x:v>0.1871449683688541</x:v>
      </x:c>
      <x:c r="AD703" s="6" t="str">
        <x:v>2.3600052757886725</x:v>
      </x:c>
      <x:c r="AE703" s="6" t="str">
        <x:v>-0.3058943184596187</x:v>
      </x:c>
      <x:c r="AF703" s="6" t="str">
        <x:v>0.9146952964581191</x:v>
      </x:c>
      <x:c r="AG703" s="6" t="str">
        <x:v>0</x:v>
      </x:c>
      <x:c r="AH703" s="6" t="str">
        <x:v>1</x:v>
      </x:c>
      <x:c r="AI703" s="6" t="str">
        <x:v>2024-06</x:v>
      </x:c>
      <x:c r="AJ703" s="9" t="str">
        <x:v>NASA POWER (MERRA-2 meteorology)</x:v>
      </x:c>
      <x:c r="AK703" s="9" t="str">
        <x:v>Badan Informasi Geospasial (BIG)</x:v>
      </x:c>
      <x:c r="AL703" s="9" t="str">
        <x:v>https://power.larc.nasa.gov/docs/services/api/temporal/monthly/</x:v>
      </x:c>
      <x:c r="AM703" s="9" t="str">
        <x:v>https://geoservices.big.go.id/rbi/rest/services/BATASWILAYAH/BATAS_WILAYAH/MapServer/12</x:v>
      </x:c>
    </x:row>
    <x:row r="704" ht="18" customHeight="1">
      <x:c r="A704" s="6" t="str">
        <x:v>76</x:v>
      </x:c>
      <x:c r="B704" s="6" t="str">
        <x:v>SULAWESI BARAT</x:v>
      </x:c>
      <x:c r="C704" s="6" t="str">
        <x:v>2024</x:v>
      </x:c>
      <x:c r="D704" s="6" t="str">
        <x:v>7</x:v>
      </x:c>
      <x:c r="E704" s="6" t="str">
        <x:v>23.623246852667606</x:v>
      </x:c>
      <x:c r="F704" s="9" t="str">
        <x:v>grid_cells_within_BIG_polygon</x:v>
      </x:c>
      <x:c r="G704" s="6" t="str">
        <x:v>4</x:v>
      </x:c>
      <x:c r="H704" s="8" t="str">
        <x:v>88.92675085516494</x:v>
      </x:c>
      <x:c r="I704" s="6" t="str">
        <x:v>9.712426883271132</x:v>
      </x:c>
      <x:c r="J704" s="6" t="str">
        <x:v>31</x:v>
      </x:c>
      <x:c r="K704" s="6" t="str">
        <x:v>301.0852333814051</x:v>
      </x:c>
      <x:c r="L704" s="6" t="str">
        <x:v>22.91559406589845</x:v>
      </x:c>
      <x:c r="M704" s="6" t="str">
        <x:v>0.27345596129378635</x:v>
      </x:c>
      <x:c r="N704" s="6" t="str">
        <x:v>88.2410140059806</x:v>
      </x:c>
      <x:c r="O704" s="6" t="str">
        <x:v>1.7367842473263966</x:v>
      </x:c>
      <x:c r="P704" s="6" t="str">
        <x:v>147.0078174642264</x:v>
      </x:c>
      <x:c r="Q704" s="6" t="str">
        <x:v>76.33785241675993</x:v>
      </x:c>
      <x:c r="R704" s="6" t="str">
        <x:v>0.707652786769156</x:v>
      </x:c>
      <x:c r="S704" s="8" t="str">
        <x:v>2.5878126167777777</x:v>
      </x:c>
      <x:c r="T704" s="6" t="str">
        <x:v>0.6857368491843374</x:v>
      </x:c>
      <x:c r="U704" s="8" t="str">
        <x:v>0.39483133857297464</x:v>
      </x:c>
      <x:c r="V704" s="6" t="str">
        <x:v>154.07741591717868</x:v>
      </x:c>
      <x:c r="W704" s="8" t="str">
        <x:v>2.018361940233874</x:v>
      </x:c>
      <x:c r="X704" s="6" t="str">
        <x:v>2.6522569737995427</x:v>
      </x:c>
      <x:c r="Y704" s="6" t="str">
        <x:v>3.2289525504636183</x:v>
      </x:c>
      <x:c r="Z704" s="6" t="str">
        <x:v>2.8230073803469797</x:v>
      </x:c>
      <x:c r="AA704" s="6" t="str">
        <x:v>0.5007884371016137</x:v>
      </x:c>
      <x:c r="AB704" s="6" t="str">
        <x:v>0.6866790496160248</x:v>
      </x:c>
      <x:c r="AC704" s="6" t="str">
        <x:v>0.527432941763537</x:v>
      </x:c>
      <x:c r="AD704" s="6" t="str">
        <x:v>0.6899749320453039</x:v>
      </x:c>
      <x:c r="AE704" s="6" t="str">
        <x:v>2.3600052757886725</x:v>
      </x:c>
      <x:c r="AF704" s="6" t="str">
        <x:v>1.6894473826892833</x:v>
      </x:c>
      <x:c r="AG704" s="6" t="str">
        <x:v>1</x:v>
      </x:c>
      <x:c r="AH704" s="6" t="str">
        <x:v>1</x:v>
      </x:c>
      <x:c r="AI704" s="6" t="str">
        <x:v>2024-07</x:v>
      </x:c>
      <x:c r="AJ704" s="9" t="str">
        <x:v>NASA POWER (MERRA-2 meteorology)</x:v>
      </x:c>
      <x:c r="AK704" s="9" t="str">
        <x:v>Badan Informasi Geospasial (BIG)</x:v>
      </x:c>
      <x:c r="AL704" s="9" t="str">
        <x:v>https://power.larc.nasa.gov/docs/services/api/temporal/monthly/</x:v>
      </x:c>
      <x:c r="AM704" s="9" t="str">
        <x:v>https://geoservices.big.go.id/rbi/rest/services/BATASWILAYAH/BATAS_WILAYAH/MapServer/12</x:v>
      </x:c>
    </x:row>
    <x:row r="705" ht="18" customHeight="1">
      <x:c r="A705" s="6" t="str">
        <x:v>76</x:v>
      </x:c>
      <x:c r="B705" s="6" t="str">
        <x:v>SULAWESI BARAT</x:v>
      </x:c>
      <x:c r="C705" s="6" t="str">
        <x:v>2024</x:v>
      </x:c>
      <x:c r="D705" s="6" t="str">
        <x:v>8</x:v>
      </x:c>
      <x:c r="E705" s="6" t="str">
        <x:v>23.718256186093992</x:v>
      </x:c>
      <x:c r="F705" s="9" t="str">
        <x:v>grid_cells_within_BIG_polygon</x:v>
      </x:c>
      <x:c r="G705" s="6" t="str">
        <x:v>4</x:v>
      </x:c>
      <x:c r="H705" s="8" t="str">
        <x:v>88.59219792212147</x:v>
      </x:c>
      <x:c r="I705" s="6" t="str">
        <x:v>5.3377953982421715</x:v>
      </x:c>
      <x:c r="J705" s="6" t="str">
        <x:v>31</x:v>
      </x:c>
      <x:c r="K705" s="6" t="str">
        <x:v>165.4716573455073</x:v>
      </x:c>
      <x:c r="L705" s="6" t="str">
        <x:v>23.083445501531532</x:v>
      </x:c>
      <x:c r="M705" s="6" t="str">
        <x:v>0.2972782271472227</x:v>
      </x:c>
      <x:c r="N705" s="6" t="str">
        <x:v>85.99672520323678</x:v>
      </x:c>
      <x:c r="O705" s="6" t="str">
        <x:v>2.5782748195205265</x:v>
      </x:c>
      <x:c r="P705" s="6" t="str">
        <x:v>104.24127374885778</x:v>
      </x:c>
      <x:c r="Q705" s="6" t="str">
        <x:v>80.92154797306671</x:v>
      </x:c>
      <x:c r="R705" s="6" t="str">
        <x:v>0.6348106845624599</x:v>
      </x:c>
      <x:c r="S705" s="8" t="str">
        <x:v>2.1354092785546626</x:v>
      </x:c>
      <x:c r="T705" s="6" t="str">
        <x:v>2.595472718884693</x:v>
      </x:c>
      <x:c r="U705" s="8" t="str">
        <x:v>1.0066703127354613</x:v>
      </x:c>
      <x:c r="V705" s="6" t="str">
        <x:v>61.23038359664953</x:v>
      </x:c>
      <x:c r="W705" s="8" t="str">
        <x:v>0.7566635232562403</x:v>
      </x:c>
      <x:c r="X705" s="6" t="str">
        <x:v>2.5878126167777777</x:v>
      </x:c>
      <x:c r="Y705" s="6" t="str">
        <x:v>2.6522569737995427</x:v>
      </x:c>
      <x:c r="Z705" s="6" t="str">
        <x:v>2.4584929563773277</x:v>
      </x:c>
      <x:c r="AA705" s="6" t="str">
        <x:v>0.39483133857297464</x:v>
      </x:c>
      <x:c r="AB705" s="6" t="str">
        <x:v>0.5007884371016137</x:v>
      </x:c>
      <x:c r="AC705" s="6" t="str">
        <x:v>0.6340966961366826</x:v>
      </x:c>
      <x:c r="AD705" s="6" t="str">
        <x:v>2.018361940233874</x:v>
      </x:c>
      <x:c r="AE705" s="6" t="str">
        <x:v>0.6899749320453039</x:v>
      </x:c>
      <x:c r="AF705" s="6" t="str">
        <x:v>1.1550001318451393</x:v>
      </x:c>
      <x:c r="AG705" s="6" t="str">
        <x:v>0</x:v>
      </x:c>
      <x:c r="AH705" s="6" t="str">
        <x:v>1</x:v>
      </x:c>
      <x:c r="AI705" s="6" t="str">
        <x:v>2024-08</x:v>
      </x:c>
      <x:c r="AJ705" s="9" t="str">
        <x:v>NASA POWER (MERRA-2 meteorology)</x:v>
      </x:c>
      <x:c r="AK705" s="9" t="str">
        <x:v>Badan Informasi Geospasial (BIG)</x:v>
      </x:c>
      <x:c r="AL705" s="9" t="str">
        <x:v>https://power.larc.nasa.gov/docs/services/api/temporal/monthly/</x:v>
      </x:c>
      <x:c r="AM705" s="9" t="str">
        <x:v>https://geoservices.big.go.id/rbi/rest/services/BATASWILAYAH/BATAS_WILAYAH/MapServer/12</x:v>
      </x:c>
    </x:row>
    <x:row r="706" ht="18" customHeight="1">
      <x:c r="A706" s="6" t="str">
        <x:v>76</x:v>
      </x:c>
      <x:c r="B706" s="6" t="str">
        <x:v>SULAWESI BARAT</x:v>
      </x:c>
      <x:c r="C706" s="6" t="str">
        <x:v>2024</x:v>
      </x:c>
      <x:c r="D706" s="6" t="str">
        <x:v>9</x:v>
      </x:c>
      <x:c r="E706" s="6" t="str">
        <x:v>24.04076966344736</x:v>
      </x:c>
      <x:c r="F706" s="9" t="str">
        <x:v>grid_cells_within_BIG_polygon</x:v>
      </x:c>
      <x:c r="G706" s="6" t="str">
        <x:v>4</x:v>
      </x:c>
      <x:c r="H706" s="8" t="str">
        <x:v>85.75216364313053</x:v>
      </x:c>
      <x:c r="I706" s="6" t="str">
        <x:v>3.4123515491783256</x:v>
      </x:c>
      <x:c r="J706" s="6" t="str">
        <x:v>30</x:v>
      </x:c>
      <x:c r="K706" s="6" t="str">
        <x:v>102.37054647534977</x:v>
      </x:c>
      <x:c r="L706" s="6" t="str">
        <x:v>23.287515496207494</x:v>
      </x:c>
      <x:c r="M706" s="6" t="str">
        <x:v>0.3007115493322249</x:v>
      </x:c>
      <x:c r="N706" s="6" t="str">
        <x:v>85.05106725032884</x:v>
      </x:c>
      <x:c r="O706" s="6" t="str">
        <x:v>3.072642414558429</x:v>
      </x:c>
      <x:c r="P706" s="6" t="str">
        <x:v>110.70213846562086</x:v>
      </x:c>
      <x:c r="Q706" s="6" t="str">
        <x:v>74.84046127139058</x:v>
      </x:c>
      <x:c r="R706" s="6" t="str">
        <x:v>0.7532541672398665</x:v>
      </x:c>
      <x:c r="S706" s="8" t="str">
        <x:v>2.504906010136892</x:v>
      </x:c>
      <x:c r="T706" s="6" t="str">
        <x:v>0.7010963928016878</x:v>
      </x:c>
      <x:c r="U706" s="8" t="str">
        <x:v>0.2281737664883607</x:v>
      </x:c>
      <x:c r="V706" s="6" t="str">
        <x:v>-8.331591990271093</x:v>
      </x:c>
      <x:c r="W706" s="8" t="str">
        <x:v>-0.11132470122088929</x:v>
      </x:c>
      <x:c r="X706" s="6" t="str">
        <x:v>2.1354092785546626</x:v>
      </x:c>
      <x:c r="Y706" s="6" t="str">
        <x:v>2.5878126167777777</x:v>
      </x:c>
      <x:c r="Z706" s="6" t="str">
        <x:v>2.409375968489778</x:v>
      </x:c>
      <x:c r="AA706" s="6" t="str">
        <x:v>1.0066703127354613</x:v>
      </x:c>
      <x:c r="AB706" s="6" t="str">
        <x:v>0.39483133857297464</x:v>
      </x:c>
      <x:c r="AC706" s="6" t="str">
        <x:v>0.5432251392655982</x:v>
      </x:c>
      <x:c r="AD706" s="6" t="str">
        <x:v>0.7566635232562403</x:v>
      </x:c>
      <x:c r="AE706" s="6" t="str">
        <x:v>2.018361940233874</x:v>
      </x:c>
      <x:c r="AF706" s="6" t="str">
        <x:v>0.8879002540897415</x:v>
      </x:c>
      <x:c r="AG706" s="6" t="str">
        <x:v>0</x:v>
      </x:c>
      <x:c r="AH706" s="6" t="str">
        <x:v>1</x:v>
      </x:c>
      <x:c r="AI706" s="6" t="str">
        <x:v>2024-09</x:v>
      </x:c>
      <x:c r="AJ706" s="9" t="str">
        <x:v>NASA POWER (MERRA-2 meteorology)</x:v>
      </x:c>
      <x:c r="AK706" s="9" t="str">
        <x:v>Badan Informasi Geospasial (BIG)</x:v>
      </x:c>
      <x:c r="AL706" s="9" t="str">
        <x:v>https://power.larc.nasa.gov/docs/services/api/temporal/monthly/</x:v>
      </x:c>
      <x:c r="AM706" s="9" t="str">
        <x:v>https://geoservices.big.go.id/rbi/rest/services/BATASWILAYAH/BATAS_WILAYAH/MapServer/12</x:v>
      </x:c>
    </x:row>
    <x:row r="707" ht="18" customHeight="1">
      <x:c r="A707" s="6" t="str">
        <x:v>76</x:v>
      </x:c>
      <x:c r="B707" s="6" t="str">
        <x:v>SULAWESI BARAT</x:v>
      </x:c>
      <x:c r="C707" s="6" t="str">
        <x:v>2024</x:v>
      </x:c>
      <x:c r="D707" s="6" t="str">
        <x:v>10</x:v>
      </x:c>
      <x:c r="E707" s="6" t="str">
        <x:v>23.940731756466004</x:v>
      </x:c>
      <x:c r="F707" s="9" t="str">
        <x:v>grid_cells_within_BIG_polygon</x:v>
      </x:c>
      <x:c r="G707" s="6" t="str">
        <x:v>4</x:v>
      </x:c>
      <x:c r="H707" s="8" t="str">
        <x:v>86.89217373854896</x:v>
      </x:c>
      <x:c r="I707" s="6" t="str">
        <x:v>5.862269836254018</x:v>
      </x:c>
      <x:c r="J707" s="6" t="str">
        <x:v>31</x:v>
      </x:c>
      <x:c r="K707" s="6" t="str">
        <x:v>181.73036492387456</x:v>
      </x:c>
      <x:c r="L707" s="6" t="str">
        <x:v>23.550726293091486</x:v>
      </x:c>
      <x:c r="M707" s="6" t="str">
        <x:v>0.3249474686243503</x:v>
      </x:c>
      <x:c r="N707" s="6" t="str">
        <x:v>85.36940572594388</x:v>
      </x:c>
      <x:c r="O707" s="6" t="str">
        <x:v>3.604072932088459</x:v>
      </x:c>
      <x:c r="P707" s="6" t="str">
        <x:v>157.42770462266856</x:v>
      </x:c>
      <x:c r="Q707" s="6" t="str">
        <x:v>100.8839972367564</x:v>
      </x:c>
      <x:c r="R707" s="6" t="str">
        <x:v>0.3900054633745178</x:v>
      </x:c>
      <x:c r="S707" s="8" t="str">
        <x:v>1.200210806459233</x:v>
      </x:c>
      <x:c r="T707" s="6" t="str">
        <x:v>1.5227680126050842</x:v>
      </x:c>
      <x:c r="U707" s="8" t="str">
        <x:v>0.4225130959607643</x:v>
      </x:c>
      <x:c r="V707" s="6" t="str">
        <x:v>24.302660301206004</x:v>
      </x:c>
      <x:c r="W707" s="8" t="str">
        <x:v>0.24089707948597713</x:v>
      </x:c>
      <x:c r="X707" s="6" t="str">
        <x:v>2.504906010136892</x:v>
      </x:c>
      <x:c r="Y707" s="6" t="str">
        <x:v>2.1354092785546626</x:v>
      </x:c>
      <x:c r="Z707" s="6" t="str">
        <x:v>1.946842031716929</x:v>
      </x:c>
      <x:c r="AA707" s="6" t="str">
        <x:v>0.2281737664883607</x:v>
      </x:c>
      <x:c r="AB707" s="6" t="str">
        <x:v>1.0066703127354613</x:v>
      </x:c>
      <x:c r="AC707" s="6" t="str">
        <x:v>0.5524523917281948</x:v>
      </x:c>
      <x:c r="AD707" s="6" t="str">
        <x:v>-0.11132470122088929</x:v>
      </x:c>
      <x:c r="AE707" s="6" t="str">
        <x:v>0.7566635232562403</x:v>
      </x:c>
      <x:c r="AF707" s="6" t="str">
        <x:v>0.2954119671737759</x:v>
      </x:c>
      <x:c r="AG707" s="6" t="str">
        <x:v>0</x:v>
      </x:c>
      <x:c r="AH707" s="6" t="str">
        <x:v>1</x:v>
      </x:c>
      <x:c r="AI707" s="6" t="str">
        <x:v>2024-10</x:v>
      </x:c>
      <x:c r="AJ707" s="9" t="str">
        <x:v>NASA POWER (MERRA-2 meteorology)</x:v>
      </x:c>
      <x:c r="AK707" s="9" t="str">
        <x:v>Badan Informasi Geospasial (BIG)</x:v>
      </x:c>
      <x:c r="AL707" s="9" t="str">
        <x:v>https://power.larc.nasa.gov/docs/services/api/temporal/monthly/</x:v>
      </x:c>
      <x:c r="AM707" s="9" t="str">
        <x:v>https://geoservices.big.go.id/rbi/rest/services/BATASWILAYAH/BATAS_WILAYAH/MapServer/12</x:v>
      </x:c>
    </x:row>
    <x:row r="708" ht="18" customHeight="1">
      <x:c r="A708" s="6" t="str">
        <x:v>76</x:v>
      </x:c>
      <x:c r="B708" s="6" t="str">
        <x:v>SULAWESI BARAT</x:v>
      </x:c>
      <x:c r="C708" s="6" t="str">
        <x:v>2024</x:v>
      </x:c>
      <x:c r="D708" s="6" t="str">
        <x:v>11</x:v>
      </x:c>
      <x:c r="E708" s="6" t="str">
        <x:v>24.135694897831748</x:v>
      </x:c>
      <x:c r="F708" s="9" t="str">
        <x:v>grid_cells_within_BIG_polygon</x:v>
      </x:c>
      <x:c r="G708" s="6" t="str">
        <x:v>4</x:v>
      </x:c>
      <x:c r="H708" s="8" t="str">
        <x:v>88.31197468204364</x:v>
      </x:c>
      <x:c r="I708" s="6" t="str">
        <x:v>6.569625786491884</x:v>
      </x:c>
      <x:c r="J708" s="6" t="str">
        <x:v>30</x:v>
      </x:c>
      <x:c r="K708" s="6" t="str">
        <x:v>197.08877359475653</x:v>
      </x:c>
      <x:c r="L708" s="6" t="str">
        <x:v>23.44219185670673</x:v>
      </x:c>
      <x:c r="M708" s="6" t="str">
        <x:v>0.32260262236464693</x:v>
      </x:c>
      <x:c r="N708" s="6" t="str">
        <x:v>87.22514205719693</x:v>
      </x:c>
      <x:c r="O708" s="6" t="str">
        <x:v>1.7267751609997748</x:v>
      </x:c>
      <x:c r="P708" s="6" t="str">
        <x:v>171.61384851148307</x:v>
      </x:c>
      <x:c r="Q708" s="6" t="str">
        <x:v>64.40486632827262</x:v>
      </x:c>
      <x:c r="R708" s="6" t="str">
        <x:v>0.693503041125016</x:v>
      </x:c>
      <x:c r="S708" s="8" t="str">
        <x:v>2.149712968982409</x:v>
      </x:c>
      <x:c r="T708" s="6" t="str">
        <x:v>1.086832624846707</x:v>
      </x:c>
      <x:c r="U708" s="8" t="str">
        <x:v>0.629400196037942</x:v>
      </x:c>
      <x:c r="V708" s="6" t="str">
        <x:v>25.47492508327346</x:v>
      </x:c>
      <x:c r="W708" s="8" t="str">
        <x:v>0.3955434819696289</x:v>
      </x:c>
      <x:c r="X708" s="6" t="str">
        <x:v>1.200210806459233</x:v>
      </x:c>
      <x:c r="Y708" s="6" t="str">
        <x:v>2.504906010136892</x:v>
      </x:c>
      <x:c r="Z708" s="6" t="str">
        <x:v>1.951609928526178</x:v>
      </x:c>
      <x:c r="AA708" s="6" t="str">
        <x:v>0.4225130959607643</x:v>
      </x:c>
      <x:c r="AB708" s="6" t="str">
        <x:v>0.2281737664883607</x:v>
      </x:c>
      <x:c r="AC708" s="6" t="str">
        <x:v>0.42669568616235504</x:v>
      </x:c>
      <x:c r="AD708" s="6" t="str">
        <x:v>0.24089707948597713</x:v>
      </x:c>
      <x:c r="AE708" s="6" t="str">
        <x:v>-0.11132470122088929</x:v>
      </x:c>
      <x:c r="AF708" s="6" t="str">
        <x:v>0.17503862007823878</x:v>
      </x:c>
      <x:c r="AG708" s="6" t="str">
        <x:v>0</x:v>
      </x:c>
      <x:c r="AH708" s="6" t="str">
        <x:v>1</x:v>
      </x:c>
      <x:c r="AI708" s="6" t="str">
        <x:v>2024-11</x:v>
      </x:c>
      <x:c r="AJ708" s="9" t="str">
        <x:v>NASA POWER (MERRA-2 meteorology)</x:v>
      </x:c>
      <x:c r="AK708" s="9" t="str">
        <x:v>Badan Informasi Geospasial (BIG)</x:v>
      </x:c>
      <x:c r="AL708" s="9" t="str">
        <x:v>https://power.larc.nasa.gov/docs/services/api/temporal/monthly/</x:v>
      </x:c>
      <x:c r="AM708" s="9" t="str">
        <x:v>https://geoservices.big.go.id/rbi/rest/services/BATASWILAYAH/BATAS_WILAYAH/MapServer/12</x:v>
      </x:c>
    </x:row>
    <x:row r="709" ht="18" customHeight="1">
      <x:c r="A709" s="6" t="str">
        <x:v>76</x:v>
      </x:c>
      <x:c r="B709" s="6" t="str">
        <x:v>SULAWESI BARAT</x:v>
      </x:c>
      <x:c r="C709" s="6" t="str">
        <x:v>2024</x:v>
      </x:c>
      <x:c r="D709" s="6" t="str">
        <x:v>12</x:v>
      </x:c>
      <x:c r="E709" s="6" t="str">
        <x:v>23.510804522612716</x:v>
      </x:c>
      <x:c r="F709" s="9" t="str">
        <x:v>grid_cells_within_BIG_polygon</x:v>
      </x:c>
      <x:c r="G709" s="6" t="str">
        <x:v>4</x:v>
      </x:c>
      <x:c r="H709" s="8" t="str">
        <x:v>86.96157189710243</x:v>
      </x:c>
      <x:c r="I709" s="6" t="str">
        <x:v>11.49897488214402</x:v>
      </x:c>
      <x:c r="J709" s="6" t="str">
        <x:v>31</x:v>
      </x:c>
      <x:c r="K709" s="6" t="str">
        <x:v>356.46822134646465</x:v>
      </x:c>
      <x:c r="L709" s="6" t="str">
        <x:v>23.101990825748626</x:v>
      </x:c>
      <x:c r="M709" s="6" t="str">
        <x:v>0.38684470907242624</x:v>
      </x:c>
      <x:c r="N709" s="6" t="str">
        <x:v>87.45438656082283</x:v>
      </x:c>
      <x:c r="O709" s="6" t="str">
        <x:v>1.5546731484680942</x:v>
      </x:c>
      <x:c r="P709" s="6" t="str">
        <x:v>242.5171811434823</x:v>
      </x:c>
      <x:c r="Q709" s="6" t="str">
        <x:v>88.7364057112987</x:v>
      </x:c>
      <x:c r="R709" s="6" t="str">
        <x:v>0.4088136968640903</x:v>
      </x:c>
      <x:c r="S709" s="8" t="str">
        <x:v>1.0567901984347703</x:v>
      </x:c>
      <x:c r="T709" s="6" t="str">
        <x:v>-0.4928146637203952</x:v>
      </x:c>
      <x:c r="U709" s="8" t="str">
        <x:v>-0.31698924253370736</x:v>
      </x:c>
      <x:c r="V709" s="6" t="str">
        <x:v>113.95104020298234</x:v>
      </x:c>
      <x:c r="W709" s="8" t="str">
        <x:v>1.2841520826718935</x:v>
      </x:c>
      <x:c r="X709" s="6" t="str">
        <x:v>2.149712968982409</x:v>
      </x:c>
      <x:c r="Y709" s="6" t="str">
        <x:v>1.200210806459233</x:v>
      </x:c>
      <x:c r="Z709" s="6" t="str">
        <x:v>1.4689046579588043</x:v>
      </x:c>
      <x:c r="AA709" s="6" t="str">
        <x:v>0.629400196037942</x:v>
      </x:c>
      <x:c r="AB709" s="6" t="str">
        <x:v>0.4225130959607643</x:v>
      </x:c>
      <x:c r="AC709" s="6" t="str">
        <x:v>0.24497468315499904</x:v>
      </x:c>
      <x:c r="AD709" s="6" t="str">
        <x:v>0.3955434819696289</x:v>
      </x:c>
      <x:c r="AE709" s="6" t="str">
        <x:v>0.24089707948597713</x:v>
      </x:c>
      <x:c r="AF709" s="6" t="str">
        <x:v>0.6401975480424997</x:v>
      </x:c>
      <x:c r="AG709" s="6" t="str">
        <x:v>1</x:v>
      </x:c>
      <x:c r="AH709" s="6" t="str">
        <x:v>1</x:v>
      </x:c>
      <x:c r="AI709" s="6" t="str">
        <x:v>2024-12</x:v>
      </x:c>
      <x:c r="AJ709" s="9" t="str">
        <x:v>NASA POWER (MERRA-2 meteorology)</x:v>
      </x:c>
      <x:c r="AK709" s="9" t="str">
        <x:v>Badan Informasi Geospasial (BIG)</x:v>
      </x:c>
      <x:c r="AL709" s="9" t="str">
        <x:v>https://power.larc.nasa.gov/docs/services/api/temporal/monthly/</x:v>
      </x:c>
      <x:c r="AM709" s="9" t="str">
        <x:v>https://geoservices.big.go.id/rbi/rest/services/BATASWILAYAH/BATAS_WILAYAH/MapServer/12</x:v>
      </x:c>
    </x:row>
    <x:row r="710" ht="18" customHeight="1">
      <x:c r="A710" s="6" t="str">
        <x:v>76</x:v>
      </x:c>
      <x:c r="B710" s="6" t="str">
        <x:v>SULAWESI BARAT</x:v>
      </x:c>
      <x:c r="C710" s="6" t="str">
        <x:v>2025</x:v>
      </x:c>
      <x:c r="D710" s="6" t="str">
        <x:v>1</x:v>
      </x:c>
      <x:c r="E710" s="6" t="str">
        <x:v>23.215748424785648</x:v>
      </x:c>
      <x:c r="F710" s="9" t="str">
        <x:v>grid_cells_within_BIG_polygon</x:v>
      </x:c>
      <x:c r="G710" s="6" t="str">
        <x:v>4</x:v>
      </x:c>
      <x:c r="H710" s="8" t="str">
        <x:v>87.95918375863761</x:v>
      </x:c>
      <x:c r="I710" s="6" t="str">
        <x:v>6.8372526047561815</x:v>
      </x:c>
      <x:c r="J710" s="6" t="str">
        <x:v>31</x:v>
      </x:c>
      <x:c r="K710" s="6" t="str">
        <x:v>211.95483074744163</x:v>
      </x:c>
      <x:c r="L710" s="6" t="str">
        <x:v>22.837178823802148</x:v>
      </x:c>
      <x:c r="M710" s="6" t="str">
        <x:v>0.4310971699768446</x:v>
      </x:c>
      <x:c r="N710" s="6" t="str">
        <x:v>87.77495716393832</x:v>
      </x:c>
      <x:c r="O710" s="6" t="str">
        <x:v>1.7366436697636651</x:v>
      </x:c>
      <x:c r="P710" s="6" t="str">
        <x:v>235.06864969703219</x:v>
      </x:c>
      <x:c r="Q710" s="6" t="str">
        <x:v>106.5773344590272</x:v>
      </x:c>
      <x:c r="R710" s="6" t="str">
        <x:v>0.3785696009835</x:v>
      </x:c>
      <x:c r="S710" s="8" t="str">
        <x:v>0.8781537605636196</x:v>
      </x:c>
      <x:c r="T710" s="6" t="str">
        <x:v>0.1842265946992825</x:v>
      </x:c>
      <x:c r="U710" s="8" t="str">
        <x:v>0.10608197749878844</x:v>
      </x:c>
      <x:c r="V710" s="6" t="str">
        <x:v>-23.113818949590552</x:v>
      </x:c>
      <x:c r="W710" s="8" t="str">
        <x:v>-0.21687368207239668</x:v>
      </x:c>
      <x:c r="X710" s="6" t="str">
        <x:v>1.0567901984347703</x:v>
      </x:c>
      <x:c r="Y710" s="6" t="str">
        <x:v>2.149712968982409</x:v>
      </x:c>
      <x:c r="Z710" s="6" t="str">
        <x:v>1.3615523093269333</x:v>
      </x:c>
      <x:c r="AA710" s="6" t="str">
        <x:v>-0.31698924253370736</x:v>
      </x:c>
      <x:c r="AB710" s="6" t="str">
        <x:v>0.629400196037942</x:v>
      </x:c>
      <x:c r="AC710" s="6" t="str">
        <x:v>0.13949764366767375</x:v>
      </x:c>
      <x:c r="AD710" s="6" t="str">
        <x:v>1.2841520826718935</x:v>
      </x:c>
      <x:c r="AE710" s="6" t="str">
        <x:v>0.3955434819696289</x:v>
      </x:c>
      <x:c r="AF710" s="6" t="str">
        <x:v>0.4876072941897085</x:v>
      </x:c>
      <x:c r="AG710" s="6" t="str">
        <x:v>0</x:v>
      </x:c>
      <x:c r="AH710" s="6" t="str">
        <x:v>0</x:v>
      </x:c>
      <x:c r="AI710" s="6" t="str">
        <x:v>2025-01</x:v>
      </x:c>
      <x:c r="AJ710" s="9" t="str">
        <x:v>NASA POWER (MERRA-2 meteorology)</x:v>
      </x:c>
      <x:c r="AK710" s="9" t="str">
        <x:v>Badan Informasi Geospasial (BIG)</x:v>
      </x:c>
      <x:c r="AL710" s="9" t="str">
        <x:v>https://power.larc.nasa.gov/docs/services/api/temporal/monthly/</x:v>
      </x:c>
      <x:c r="AM710" s="9" t="str">
        <x:v>https://geoservices.big.go.id/rbi/rest/services/BATASWILAYAH/BATAS_WILAYAH/MapServer/12</x:v>
      </x:c>
    </x:row>
    <x:row r="711" ht="18" customHeight="1">
      <x:c r="A711" s="6" t="str">
        <x:v>76</x:v>
      </x:c>
      <x:c r="B711" s="6" t="str">
        <x:v>SULAWESI BARAT</x:v>
      </x:c>
      <x:c r="C711" s="6" t="str">
        <x:v>2025</x:v>
      </x:c>
      <x:c r="D711" s="6" t="str">
        <x:v>2</x:v>
      </x:c>
      <x:c r="E711" s="6" t="str">
        <x:v>23.10331990388537</x:v>
      </x:c>
      <x:c r="F711" s="9" t="str">
        <x:v>grid_cells_within_BIG_polygon</x:v>
      </x:c>
      <x:c r="G711" s="6" t="str">
        <x:v>4</x:v>
      </x:c>
      <x:c r="H711" s="8" t="str">
        <x:v>85.39918271656899</x:v>
      </x:c>
      <x:c r="I711" s="6" t="str">
        <x:v>7.479460532981234</x:v>
      </x:c>
      <x:c r="J711" s="6" t="str">
        <x:v>28</x:v>
      </x:c>
      <x:c r="K711" s="6" t="str">
        <x:v>209.42489492347454</x:v>
      </x:c>
      <x:c r="L711" s="6" t="str">
        <x:v>22.915672407730607</x:v>
      </x:c>
      <x:c r="M711" s="6" t="str">
        <x:v>0.4335269934029942</x:v>
      </x:c>
      <x:c r="N711" s="6" t="str">
        <x:v>87.2793448271154</x:v>
      </x:c>
      <x:c r="O711" s="6" t="str">
        <x:v>1.6072807188429457</x:v>
      </x:c>
      <x:c r="P711" s="6" t="str">
        <x:v>174.09026497107806</x:v>
      </x:c>
      <x:c r="Q711" s="6" t="str">
        <x:v>74.20905399036229</x:v>
      </x:c>
      <x:c r="R711" s="6" t="str">
        <x:v>0.18764749615476362</x:v>
      </x:c>
      <x:c r="S711" s="8" t="str">
        <x:v>0.4328392441767332</x:v>
      </x:c>
      <x:c r="T711" s="6" t="str">
        <x:v>-1.880162110546408</x:v>
      </x:c>
      <x:c r="U711" s="8" t="str">
        <x:v>-1.1697783022619128</x:v>
      </x:c>
      <x:c r="V711" s="6" t="str">
        <x:v>35.33462995239648</x:v>
      </x:c>
      <x:c r="W711" s="8" t="str">
        <x:v>0.4761498503536439</x:v>
      </x:c>
      <x:c r="X711" s="6" t="str">
        <x:v>0.8781537605636196</x:v>
      </x:c>
      <x:c r="Y711" s="6" t="str">
        <x:v>1.0567901984347703</x:v>
      </x:c>
      <x:c r="Z711" s="6" t="str">
        <x:v>0.7892610677250413</x:v>
      </x:c>
      <x:c r="AA711" s="6" t="str">
        <x:v>0.10608197749878844</x:v>
      </x:c>
      <x:c r="AB711" s="6" t="str">
        <x:v>-0.31698924253370736</x:v>
      </x:c>
      <x:c r="AC711" s="6" t="str">
        <x:v>-0.4602285224322778</x:v>
      </x:c>
      <x:c r="AD711" s="6" t="str">
        <x:v>-0.21687368207239668</x:v>
      </x:c>
      <x:c r="AE711" s="6" t="str">
        <x:v>1.2841520826718935</x:v>
      </x:c>
      <x:c r="AF711" s="6" t="str">
        <x:v>0.5144760836510468</x:v>
      </x:c>
      <x:c r="AG711" s="6" t="str">
        <x:v>0</x:v>
      </x:c>
      <x:c r="AH711" s="6" t="str">
        <x:v>0</x:v>
      </x:c>
      <x:c r="AI711" s="6" t="str">
        <x:v>2025-02</x:v>
      </x:c>
      <x:c r="AJ711" s="9" t="str">
        <x:v>NASA POWER (MERRA-2 meteorology)</x:v>
      </x:c>
      <x:c r="AK711" s="9" t="str">
        <x:v>Badan Informasi Geospasial (BIG)</x:v>
      </x:c>
      <x:c r="AL711" s="9" t="str">
        <x:v>https://power.larc.nasa.gov/docs/services/api/temporal/monthly/</x:v>
      </x:c>
      <x:c r="AM711" s="9" t="str">
        <x:v>https://geoservices.big.go.id/rbi/rest/services/BATASWILAYAH/BATAS_WILAYAH/MapServer/12</x:v>
      </x:c>
    </x:row>
    <x:row r="712" ht="18" customHeight="1">
      <x:c r="A712" s="6" t="str">
        <x:v>76</x:v>
      </x:c>
      <x:c r="B712" s="6" t="str">
        <x:v>SULAWESI BARAT</x:v>
      </x:c>
      <x:c r="C712" s="6" t="str">
        <x:v>2025</x:v>
      </x:c>
      <x:c r="D712" s="6" t="str">
        <x:v>3</x:v>
      </x:c>
      <x:c r="E712" s="6" t="str">
        <x:v>23.47326018874222</x:v>
      </x:c>
      <x:c r="F712" s="9" t="str">
        <x:v>grid_cells_within_BIG_polygon</x:v>
      </x:c>
      <x:c r="G712" s="6" t="str">
        <x:v>4</x:v>
      </x:c>
      <x:c r="H712" s="8" t="str">
        <x:v>86.15909403451927</x:v>
      </x:c>
      <x:c r="I712" s="6" t="str">
        <x:v>5.862300796024599</x:v>
      </x:c>
      <x:c r="J712" s="6" t="str">
        <x:v>31</x:v>
      </x:c>
      <x:c r="K712" s="6" t="str">
        <x:v>181.73132467676257</x:v>
      </x:c>
      <x:c r="L712" s="6" t="str">
        <x:v>23.107249603073754</x:v>
      </x:c>
      <x:c r="M712" s="6" t="str">
        <x:v>0.40701741393630897</x:v>
      </x:c>
      <x:c r="N712" s="6" t="str">
        <x:v>87.21245456869119</x:v>
      </x:c>
      <x:c r="O712" s="6" t="str">
        <x:v>1.5087953609048956</x:v>
      </x:c>
      <x:c r="P712" s="6" t="str">
        <x:v>209.0745784208916</x:v>
      </x:c>
      <x:c r="Q712" s="6" t="str">
        <x:v>81.51351930334414</x:v>
      </x:c>
      <x:c r="R712" s="6" t="str">
        <x:v>0.3660105856684659</x:v>
      </x:c>
      <x:c r="S712" s="8" t="str">
        <x:v>0.8992504328715039</x:v>
      </x:c>
      <x:c r="T712" s="6" t="str">
        <x:v>-1.0533605341719152</x:v>
      </x:c>
      <x:c r="U712" s="8" t="str">
        <x:v>-0.698146721196283</x:v>
      </x:c>
      <x:c r="V712" s="6" t="str">
        <x:v>-27.343253744129044</x:v>
      </x:c>
      <x:c r="W712" s="8" t="str">
        <x:v>-0.335444402079782</x:v>
      </x:c>
      <x:c r="X712" s="6" t="str">
        <x:v>0.4328392441767332</x:v>
      </x:c>
      <x:c r="Y712" s="6" t="str">
        <x:v>0.8781537605636196</x:v>
      </x:c>
      <x:c r="Z712" s="6" t="str">
        <x:v>0.7367478125372858</x:v>
      </x:c>
      <x:c r="AA712" s="6" t="str">
        <x:v>-1.1697783022619128</x:v>
      </x:c>
      <x:c r="AB712" s="6" t="str">
        <x:v>0.10608197749878844</x:v>
      </x:c>
      <x:c r="AC712" s="6" t="str">
        <x:v>-0.587281015319803</x:v>
      </x:c>
      <x:c r="AD712" s="6" t="str">
        <x:v>0.4761498503536439</x:v>
      </x:c>
      <x:c r="AE712" s="6" t="str">
        <x:v>-0.21687368207239668</x:v>
      </x:c>
      <x:c r="AF712" s="6" t="str">
        <x:v>-0.025389411266178403</x:v>
      </x:c>
      <x:c r="AG712" s="6" t="str">
        <x:v>0</x:v>
      </x:c>
      <x:c r="AH712" s="6" t="str">
        <x:v>0</x:v>
      </x:c>
      <x:c r="AI712" s="6" t="str">
        <x:v>2025-03</x:v>
      </x:c>
      <x:c r="AJ712" s="9" t="str">
        <x:v>NASA POWER (MERRA-2 meteorology)</x:v>
      </x:c>
      <x:c r="AK712" s="9" t="str">
        <x:v>Badan Informasi Geospasial (BIG)</x:v>
      </x:c>
      <x:c r="AL712" s="9" t="str">
        <x:v>https://power.larc.nasa.gov/docs/services/api/temporal/monthly/</x:v>
      </x:c>
      <x:c r="AM712" s="9" t="str">
        <x:v>https://geoservices.big.go.id/rbi/rest/services/BATASWILAYAH/BATAS_WILAYAH/MapServer/12</x:v>
      </x:c>
    </x:row>
    <x:row r="713" ht="18" customHeight="1">
      <x:c r="A713" s="6" t="str">
        <x:v>76</x:v>
      </x:c>
      <x:c r="B713" s="6" t="str">
        <x:v>SULAWESI BARAT</x:v>
      </x:c>
      <x:c r="C713" s="6" t="str">
        <x:v>2025</x:v>
      </x:c>
      <x:c r="D713" s="6" t="str">
        <x:v>4</x:v>
      </x:c>
      <x:c r="E713" s="6" t="str">
        <x:v>23.40077366438725</x:v>
      </x:c>
      <x:c r="F713" s="9" t="str">
        <x:v>grid_cells_within_BIG_polygon</x:v>
      </x:c>
      <x:c r="G713" s="6" t="str">
        <x:v>4</x:v>
      </x:c>
      <x:c r="H713" s="8" t="str">
        <x:v>85.89902146334539</x:v>
      </x:c>
      <x:c r="I713" s="6" t="str">
        <x:v>3.6501225783633906</x:v>
      </x:c>
      <x:c r="J713" s="6" t="str">
        <x:v>30</x:v>
      </x:c>
      <x:c r="K713" s="6" t="str">
        <x:v>109.50367735090171</x:v>
      </x:c>
      <x:c r="L713" s="6" t="str">
        <x:v>23.33898664847989</x:v>
      </x:c>
      <x:c r="M713" s="6" t="str">
        <x:v>0.3080900480929791</x:v>
      </x:c>
      <x:c r="N713" s="6" t="str">
        <x:v>88.31688892896317</x:v>
      </x:c>
      <x:c r="O713" s="6" t="str">
        <x:v>1.5621815139473425</x:v>
      </x:c>
      <x:c r="P713" s="6" t="str">
        <x:v>219.0088377513873</x:v>
      </x:c>
      <x:c r="Q713" s="6" t="str">
        <x:v>79.489128111314</x:v>
      </x:c>
      <x:c r="R713" s="6" t="str">
        <x:v>0.06178701590735969</x:v>
      </x:c>
      <x:c r="S713" s="8" t="str">
        <x:v>0.2005485613372129</x:v>
      </x:c>
      <x:c r="T713" s="6" t="str">
        <x:v>-2.4178674656177748</x:v>
      </x:c>
      <x:c r="U713" s="8" t="str">
        <x:v>-1.5477506576737505</x:v>
      </x:c>
      <x:c r="V713" s="6" t="str">
        <x:v>-109.50516040048558</x:v>
      </x:c>
      <x:c r="W713" s="8" t="str">
        <x:v>-1.3776117942461024</x:v>
      </x:c>
      <x:c r="X713" s="6" t="str">
        <x:v>0.8992504328715039</x:v>
      </x:c>
      <x:c r="Y713" s="6" t="str">
        <x:v>0.4328392441767332</x:v>
      </x:c>
      <x:c r="Z713" s="6" t="str">
        <x:v>0.5108794127951503</x:v>
      </x:c>
      <x:c r="AA713" s="6" t="str">
        <x:v>-0.698146721196283</x:v>
      </x:c>
      <x:c r="AB713" s="6" t="str">
        <x:v>-1.1697783022619128</x:v>
      </x:c>
      <x:c r="AC713" s="6" t="str">
        <x:v>-1.138558560377316</x:v>
      </x:c>
      <x:c r="AD713" s="6" t="str">
        <x:v>-0.335444402079782</x:v>
      </x:c>
      <x:c r="AE713" s="6" t="str">
        <x:v>0.4761498503536439</x:v>
      </x:c>
      <x:c r="AF713" s="6" t="str">
        <x:v>-0.4123021153240803</x:v>
      </x:c>
      <x:c r="AG713" s="6" t="str">
        <x:v>0</x:v>
      </x:c>
      <x:c r="AH713" s="6" t="str">
        <x:v>0</x:v>
      </x:c>
      <x:c r="AI713" s="6" t="str">
        <x:v>2025-04</x:v>
      </x:c>
      <x:c r="AJ713" s="9" t="str">
        <x:v>NASA POWER (MERRA-2 meteorology)</x:v>
      </x:c>
      <x:c r="AK713" s="9" t="str">
        <x:v>Badan Informasi Geospasial (BIG)</x:v>
      </x:c>
      <x:c r="AL713" s="9" t="str">
        <x:v>https://power.larc.nasa.gov/docs/services/api/temporal/monthly/</x:v>
      </x:c>
      <x:c r="AM713" s="9" t="str">
        <x:v>https://geoservices.big.go.id/rbi/rest/services/BATASWILAYAH/BATAS_WILAYAH/MapServer/12</x:v>
      </x:c>
    </x:row>
    <x:row r="714" ht="18" customHeight="1">
      <x:c r="A714" s="6" t="str">
        <x:v>76</x:v>
      </x:c>
      <x:c r="B714" s="6" t="str">
        <x:v>SULAWESI BARAT</x:v>
      </x:c>
      <x:c r="C714" s="6" t="str">
        <x:v>2025</x:v>
      </x:c>
      <x:c r="D714" s="6" t="str">
        <x:v>5</x:v>
      </x:c>
      <x:c r="E714" s="6" t="str">
        <x:v>24.018237614692907</x:v>
      </x:c>
      <x:c r="F714" s="9" t="str">
        <x:v>grid_cells_within_BIG_polygon</x:v>
      </x:c>
      <x:c r="G714" s="6" t="str">
        <x:v>4</x:v>
      </x:c>
      <x:c r="H714" s="8" t="str">
        <x:v>87.55656369745329</x:v>
      </x:c>
      <x:c r="I714" s="6" t="str">
        <x:v>6.192452703449891</x:v>
      </x:c>
      <x:c r="J714" s="6" t="str">
        <x:v>31</x:v>
      </x:c>
      <x:c r="K714" s="6" t="str">
        <x:v>191.9660338069466</x:v>
      </x:c>
      <x:c r="L714" s="6" t="str">
        <x:v>23.5418895471217</x:v>
      </x:c>
      <x:c r="M714" s="6" t="str">
        <x:v>0.31552795041327675</x:v>
      </x:c>
      <x:c r="N714" s="6" t="str">
        <x:v>89.15477147740485</x:v>
      </x:c>
      <x:c r="O714" s="6" t="str">
        <x:v>1.492291551129436</x:v>
      </x:c>
      <x:c r="P714" s="6" t="str">
        <x:v>210.68335492216818</x:v>
      </x:c>
      <x:c r="Q714" s="6" t="str">
        <x:v>74.1667501508133</x:v>
      </x:c>
      <x:c r="R714" s="6" t="str">
        <x:v>0.47634806757120884</x:v>
      </x:c>
      <x:c r="S714" s="8" t="str">
        <x:v>1.5096858042125612</x:v>
      </x:c>
      <x:c r="T714" s="6" t="str">
        <x:v>-1.598207779951565</x:v>
      </x:c>
      <x:c r="U714" s="8" t="str">
        <x:v>-1.0709755601993236</x:v>
      </x:c>
      <x:c r="V714" s="6" t="str">
        <x:v>-18.71732111522158</x:v>
      </x:c>
      <x:c r="W714" s="8" t="str">
        <x:v>-0.2523680905144302</x:v>
      </x:c>
      <x:c r="X714" s="6" t="str">
        <x:v>0.2005485613372129</x:v>
      </x:c>
      <x:c r="Y714" s="6" t="str">
        <x:v>0.8992504328715039</x:v>
      </x:c>
      <x:c r="Z714" s="6" t="str">
        <x:v>0.8698282661404262</x:v>
      </x:c>
      <x:c r="AA714" s="6" t="str">
        <x:v>-1.5477506576737505</x:v>
      </x:c>
      <x:c r="AB714" s="6" t="str">
        <x:v>-0.698146721196283</x:v>
      </x:c>
      <x:c r="AC714" s="6" t="str">
        <x:v>-1.1056243130231198</x:v>
      </x:c>
      <x:c r="AD714" s="6" t="str">
        <x:v>-1.3776117942461024</x:v>
      </x:c>
      <x:c r="AE714" s="6" t="str">
        <x:v>-0.335444402079782</x:v>
      </x:c>
      <x:c r="AF714" s="6" t="str">
        <x:v>-0.6551414289467717</x:v>
      </x:c>
      <x:c r="AG714" s="6" t="str">
        <x:v>0</x:v>
      </x:c>
      <x:c r="AH714" s="6" t="str">
        <x:v>1</x:v>
      </x:c>
      <x:c r="AI714" s="6" t="str">
        <x:v>2025-05</x:v>
      </x:c>
      <x:c r="AJ714" s="9" t="str">
        <x:v>NASA POWER (MERRA-2 meteorology)</x:v>
      </x:c>
      <x:c r="AK714" s="9" t="str">
        <x:v>Badan Informasi Geospasial (BIG)</x:v>
      </x:c>
      <x:c r="AL714" s="9" t="str">
        <x:v>https://power.larc.nasa.gov/docs/services/api/temporal/monthly/</x:v>
      </x:c>
      <x:c r="AM714" s="9" t="str">
        <x:v>https://geoservices.big.go.id/rbi/rest/services/BATASWILAYAH/BATAS_WILAYAH/MapServer/12</x:v>
      </x:c>
    </x:row>
    <x:row r="715" ht="18" customHeight="1">
      <x:c r="A715" s="6" t="str">
        <x:v>76</x:v>
      </x:c>
      <x:c r="B715" s="6" t="str">
        <x:v>SULAWESI BARAT</x:v>
      </x:c>
      <x:c r="C715" s="6" t="str">
        <x:v>2025</x:v>
      </x:c>
      <x:c r="D715" s="6" t="str">
        <x:v>6</x:v>
      </x:c>
      <x:c r="E715" s="6" t="str">
        <x:v>23.29578547381184</x:v>
      </x:c>
      <x:c r="F715" s="9" t="str">
        <x:v>grid_cells_within_BIG_polygon</x:v>
      </x:c>
      <x:c r="G715" s="6" t="str">
        <x:v>4</x:v>
      </x:c>
      <x:c r="H715" s="8" t="str">
        <x:v>87.95162427661239</x:v>
      </x:c>
      <x:c r="I715" s="6" t="str">
        <x:v>3.307718251546754</x:v>
      </x:c>
      <x:c r="J715" s="6" t="str">
        <x:v>30</x:v>
      </x:c>
      <x:c r="K715" s="6" t="str">
        <x:v>99.23154754640262</x:v>
      </x:c>
      <x:c r="L715" s="6" t="str">
        <x:v>23.139491190612627</x:v>
      </x:c>
      <x:c r="M715" s="6" t="str">
        <x:v>0.2276277471324908</x:v>
      </x:c>
      <x:c r="N715" s="6" t="str">
        <x:v>89.49406515109382</x:v>
      </x:c>
      <x:c r="O715" s="6" t="str">
        <x:v>1.4783443592452998</x:v>
      </x:c>
      <x:c r="P715" s="6" t="str">
        <x:v>221.59531157733474</x:v>
      </x:c>
      <x:c r="Q715" s="6" t="str">
        <x:v>109.41496730080466</x:v>
      </x:c>
      <x:c r="R715" s="6" t="str">
        <x:v>0.15629428319921246</x:v>
      </x:c>
      <x:c r="S715" s="8" t="str">
        <x:v>0.68662228207285</x:v>
      </x:c>
      <x:c r="T715" s="6" t="str">
        <x:v>-1.5424408744814286</x:v>
      </x:c>
      <x:c r="U715" s="8" t="str">
        <x:v>-1.043356958637736</x:v>
      </x:c>
      <x:c r="V715" s="6" t="str">
        <x:v>-122.36376403093212</x:v>
      </x:c>
      <x:c r="W715" s="8" t="str">
        <x:v>-1.1183457533239352</x:v>
      </x:c>
      <x:c r="X715" s="6" t="str">
        <x:v>1.5096858042125612</x:v>
      </x:c>
      <x:c r="Y715" s="6" t="str">
        <x:v>0.2005485613372129</x:v>
      </x:c>
      <x:c r="Z715" s="6" t="str">
        <x:v>0.7989522158742083</x:v>
      </x:c>
      <x:c r="AA715" s="6" t="str">
        <x:v>-1.0709755601993236</x:v>
      </x:c>
      <x:c r="AB715" s="6" t="str">
        <x:v>-1.5477506576737505</x:v>
      </x:c>
      <x:c r="AC715" s="6" t="str">
        <x:v>-1.2206943921702706</x:v>
      </x:c>
      <x:c r="AD715" s="6" t="str">
        <x:v>-0.2523680905144302</x:v>
      </x:c>
      <x:c r="AE715" s="6" t="str">
        <x:v>-1.3776117942461024</x:v>
      </x:c>
      <x:c r="AF715" s="6" t="str">
        <x:v>-0.9161085460281561</x:v>
      </x:c>
      <x:c r="AG715" s="6" t="str">
        <x:v>0</x:v>
      </x:c>
      <x:c r="AH715" s="6" t="str">
        <x:v>0</x:v>
      </x:c>
      <x:c r="AI715" s="6" t="str">
        <x:v>2025-06</x:v>
      </x:c>
      <x:c r="AJ715" s="9" t="str">
        <x:v>NASA POWER (MERRA-2 meteorology)</x:v>
      </x:c>
      <x:c r="AK715" s="9" t="str">
        <x:v>Badan Informasi Geospasial (BIG)</x:v>
      </x:c>
      <x:c r="AL715" s="9" t="str">
        <x:v>https://power.larc.nasa.gov/docs/services/api/temporal/monthly/</x:v>
      </x:c>
      <x:c r="AM715" s="9" t="str">
        <x:v>https://geoservices.big.go.id/rbi/rest/services/BATASWILAYAH/BATAS_WILAYAH/MapServer/12</x:v>
      </x:c>
    </x:row>
    <x:row r="716" ht="18" customHeight="1">
      <x:c r="A716" s="6" t="str">
        <x:v>76</x:v>
      </x:c>
      <x:c r="B716" s="6" t="str">
        <x:v>SULAWESI BARAT</x:v>
      </x:c>
      <x:c r="C716" s="6" t="str">
        <x:v>2025</x:v>
      </x:c>
      <x:c r="D716" s="6" t="str">
        <x:v>7</x:v>
      </x:c>
      <x:c r="E716" s="6" t="str">
        <x:v>23.448289711547442</x:v>
      </x:c>
      <x:c r="F716" s="9" t="str">
        <x:v>grid_cells_within_BIG_polygon</x:v>
      </x:c>
      <x:c r="G716" s="6" t="str">
        <x:v>4</x:v>
      </x:c>
      <x:c r="H716" s="8" t="str">
        <x:v>86.6518496263546</x:v>
      </x:c>
      <x:c r="I716" s="6" t="str">
        <x:v>3.400018761760376</x:v>
      </x:c>
      <x:c r="J716" s="6" t="str">
        <x:v>31</x:v>
      </x:c>
      <x:c r="K716" s="6" t="str">
        <x:v>105.40058161457165</x:v>
      </x:c>
      <x:c r="L716" s="6" t="str">
        <x:v>22.91559406589845</x:v>
      </x:c>
      <x:c r="M716" s="6" t="str">
        <x:v>0.27345596129378635</x:v>
      </x:c>
      <x:c r="N716" s="6" t="str">
        <x:v>88.2410140059806</x:v>
      </x:c>
      <x:c r="O716" s="6" t="str">
        <x:v>1.7367842473263966</x:v>
      </x:c>
      <x:c r="P716" s="6" t="str">
        <x:v>147.0078174642264</x:v>
      </x:c>
      <x:c r="Q716" s="6" t="str">
        <x:v>76.33785241675993</x:v>
      </x:c>
      <x:c r="R716" s="6" t="str">
        <x:v>0.5326956456489924</x:v>
      </x:c>
      <x:c r="S716" s="8" t="str">
        <x:v>1.9480125543019078</x:v>
      </x:c>
      <x:c r="T716" s="6" t="str">
        <x:v>-1.5891643796259984</x:v>
      </x:c>
      <x:c r="U716" s="8" t="str">
        <x:v>-0.9150039114371034</x:v>
      </x:c>
      <x:c r="V716" s="6" t="str">
        <x:v>-41.60723584965476</x:v>
      </x:c>
      <x:c r="W716" s="8" t="str">
        <x:v>-0.5450406912484731</x:v>
      </x:c>
      <x:c r="X716" s="6" t="str">
        <x:v>0.68662228207285</x:v>
      </x:c>
      <x:c r="Y716" s="6" t="str">
        <x:v>1.5096858042125612</x:v>
      </x:c>
      <x:c r="Z716" s="6" t="str">
        <x:v>1.3814402135291066</x:v>
      </x:c>
      <x:c r="AA716" s="6" t="str">
        <x:v>-1.043356958637736</x:v>
      </x:c>
      <x:c r="AB716" s="6" t="str">
        <x:v>-1.0709755601993236</x:v>
      </x:c>
      <x:c r="AC716" s="6" t="str">
        <x:v>-1.0097788100913883</x:v>
      </x:c>
      <x:c r="AD716" s="6" t="str">
        <x:v>-1.1183457533239352</x:v>
      </x:c>
      <x:c r="AE716" s="6" t="str">
        <x:v>-0.2523680905144302</x:v>
      </x:c>
      <x:c r="AF716" s="6" t="str">
        <x:v>-0.6385848450289463</x:v>
      </x:c>
      <x:c r="AG716" s="6" t="str">
        <x:v>0</x:v>
      </x:c>
      <x:c r="AH716" s="6" t="str">
        <x:v>1</x:v>
      </x:c>
      <x:c r="AI716" s="6" t="str">
        <x:v>2025-07</x:v>
      </x:c>
      <x:c r="AJ716" s="9" t="str">
        <x:v>NASA POWER (MERRA-2 meteorology)</x:v>
      </x:c>
      <x:c r="AK716" s="9" t="str">
        <x:v>Badan Informasi Geospasial (BIG)</x:v>
      </x:c>
      <x:c r="AL716" s="9" t="str">
        <x:v>https://power.larc.nasa.gov/docs/services/api/temporal/monthly/</x:v>
      </x:c>
      <x:c r="AM716" s="9" t="str">
        <x:v>https://geoservices.big.go.id/rbi/rest/services/BATASWILAYAH/BATAS_WILAYAH/MapServer/12</x:v>
      </x:c>
    </x:row>
    <x:row r="717" ht="18" customHeight="1">
      <x:c r="A717" s="6" t="str">
        <x:v>76</x:v>
      </x:c>
      <x:c r="B717" s="6" t="str">
        <x:v>SULAWESI BARAT</x:v>
      </x:c>
      <x:c r="C717" s="6" t="str">
        <x:v>2025</x:v>
      </x:c>
      <x:c r="D717" s="6" t="str">
        <x:v>8</x:v>
      </x:c>
      <x:c r="E717" s="6" t="str">
        <x:v>23.10076471064575</x:v>
      </x:c>
      <x:c r="F717" s="9" t="str">
        <x:v>grid_cells_within_BIG_polygon</x:v>
      </x:c>
      <x:c r="G717" s="6" t="str">
        <x:v>4</x:v>
      </x:c>
      <x:c r="H717" s="8" t="str">
        <x:v>88.17450110398079</x:v>
      </x:c>
      <x:c r="I717" s="6" t="str">
        <x:v>3.9356316665804236</x:v>
      </x:c>
      <x:c r="J717" s="6" t="str">
        <x:v>31</x:v>
      </x:c>
      <x:c r="K717" s="6" t="str">
        <x:v>122.00458166399314</x:v>
      </x:c>
      <x:c r="L717" s="6" t="str">
        <x:v>23.083445501531532</x:v>
      </x:c>
      <x:c r="M717" s="6" t="str">
        <x:v>0.2972782271472227</x:v>
      </x:c>
      <x:c r="N717" s="6" t="str">
        <x:v>85.99672520323678</x:v>
      </x:c>
      <x:c r="O717" s="6" t="str">
        <x:v>2.5782748195205265</x:v>
      </x:c>
      <x:c r="P717" s="6" t="str">
        <x:v>104.24127374885778</x:v>
      </x:c>
      <x:c r="Q717" s="6" t="str">
        <x:v>80.92154797306671</x:v>
      </x:c>
      <x:c r="R717" s="6" t="str">
        <x:v>0.01731920911421625</x:v>
      </x:c>
      <x:c r="S717" s="8" t="str">
        <x:v>0.05825925860907118</x:v>
      </x:c>
      <x:c r="T717" s="6" t="str">
        <x:v>2.1777759007440096</x:v>
      </x:c>
      <x:c r="U717" s="8" t="str">
        <x:v>0.844663991695425</x:v>
      </x:c>
      <x:c r="V717" s="6" t="str">
        <x:v>17.763307915135357</x:v>
      </x:c>
      <x:c r="W717" s="8" t="str">
        <x:v>0.2195127053309405</x:v>
      </x:c>
      <x:c r="X717" s="6" t="str">
        <x:v>1.9480125543019078</x:v>
      </x:c>
      <x:c r="Y717" s="6" t="str">
        <x:v>0.68662228207285</x:v>
      </x:c>
      <x:c r="Z717" s="6" t="str">
        <x:v>0.89763136499461</x:v>
      </x:c>
      <x:c r="AA717" s="6" t="str">
        <x:v>-0.9150039114371034</x:v>
      </x:c>
      <x:c r="AB717" s="6" t="str">
        <x:v>-1.043356958637736</x:v>
      </x:c>
      <x:c r="AC717" s="6" t="str">
        <x:v>-0.3712322927931388</x:v>
      </x:c>
      <x:c r="AD717" s="6" t="str">
        <x:v>-0.5450406912484731</x:v>
      </x:c>
      <x:c r="AE717" s="6" t="str">
        <x:v>-1.1183457533239352</x:v>
      </x:c>
      <x:c r="AF717" s="6" t="str">
        <x:v>-0.48129124641382276</x:v>
      </x:c>
      <x:c r="AG717" s="6" t="str">
        <x:v>0</x:v>
      </x:c>
      <x:c r="AH717" s="6" t="str">
        <x:v>0</x:v>
      </x:c>
      <x:c r="AI717" s="6" t="str">
        <x:v>2025-08</x:v>
      </x:c>
      <x:c r="AJ717" s="9" t="str">
        <x:v>NASA POWER (MERRA-2 meteorology)</x:v>
      </x:c>
      <x:c r="AK717" s="9" t="str">
        <x:v>Badan Informasi Geospasial (BIG)</x:v>
      </x:c>
      <x:c r="AL717" s="9" t="str">
        <x:v>https://power.larc.nasa.gov/docs/services/api/temporal/monthly/</x:v>
      </x:c>
      <x:c r="AM717" s="9" t="str">
        <x:v>https://geoservices.big.go.id/rbi/rest/services/BATASWILAYAH/BATAS_WILAYAH/MapServer/12</x:v>
      </x:c>
    </x:row>
    <x:row r="718" ht="18" customHeight="1">
      <x:c r="A718" s="6" t="str">
        <x:v>76</x:v>
      </x:c>
      <x:c r="B718" s="6" t="str">
        <x:v>SULAWESI BARAT</x:v>
      </x:c>
      <x:c r="C718" s="6" t="str">
        <x:v>2025</x:v>
      </x:c>
      <x:c r="D718" s="6" t="str">
        <x:v>9</x:v>
      </x:c>
      <x:c r="E718" s="6" t="str">
        <x:v>23.580728518900088</x:v>
      </x:c>
      <x:c r="F718" s="9" t="str">
        <x:v>grid_cells_within_BIG_polygon</x:v>
      </x:c>
      <x:c r="G718" s="6" t="str">
        <x:v>4</x:v>
      </x:c>
      <x:c r="H718" s="8" t="str">
        <x:v>87.44471445464642</x:v>
      </x:c>
      <x:c r="I718" s="6" t="str">
        <x:v>5.487370132146091</x:v>
      </x:c>
      <x:c r="J718" s="6" t="str">
        <x:v>30</x:v>
      </x:c>
      <x:c r="K718" s="6" t="str">
        <x:v>164.6211039643827</x:v>
      </x:c>
      <x:c r="L718" s="6" t="str">
        <x:v>23.287515496207494</x:v>
      </x:c>
      <x:c r="M718" s="6" t="str">
        <x:v>0.3007115493322249</x:v>
      </x:c>
      <x:c r="N718" s="6" t="str">
        <x:v>85.05106725032884</x:v>
      </x:c>
      <x:c r="O718" s="6" t="str">
        <x:v>3.072642414558429</x:v>
      </x:c>
      <x:c r="P718" s="6" t="str">
        <x:v>110.70213846562086</x:v>
      </x:c>
      <x:c r="Q718" s="6" t="str">
        <x:v>74.84046127139058</x:v>
      </x:c>
      <x:c r="R718" s="6" t="str">
        <x:v>0.2932130226925942</x:v>
      </x:c>
      <x:c r="S718" s="8" t="str">
        <x:v>0.9750640550511536</x:v>
      </x:c>
      <x:c r="T718" s="6" t="str">
        <x:v>2.393647204317574</x:v>
      </x:c>
      <x:c r="U718" s="8" t="str">
        <x:v>0.7790191247039615</x:v>
      </x:c>
      <x:c r="V718" s="6" t="str">
        <x:v>53.91896549876185</x:v>
      </x:c>
      <x:c r="W718" s="8" t="str">
        <x:v>0.7204520734210595</x:v>
      </x:c>
      <x:c r="X718" s="6" t="str">
        <x:v>0.05825925860907118</x:v>
      </x:c>
      <x:c r="Y718" s="6" t="str">
        <x:v>1.9480125543019078</x:v>
      </x:c>
      <x:c r="Z718" s="6" t="str">
        <x:v>0.9937786226540445</x:v>
      </x:c>
      <x:c r="AA718" s="6" t="str">
        <x:v>0.844663991695425</x:v>
      </x:c>
      <x:c r="AB718" s="6" t="str">
        <x:v>-0.9150039114371034</x:v>
      </x:c>
      <x:c r="AC718" s="6" t="str">
        <x:v>0.23622640165409373</x:v>
      </x:c>
      <x:c r="AD718" s="6" t="str">
        <x:v>0.2195127053309405</x:v>
      </x:c>
      <x:c r="AE718" s="6" t="str">
        <x:v>-0.5450406912484731</x:v>
      </x:c>
      <x:c r="AF718" s="6" t="str">
        <x:v>0.13164136250117556</x:v>
      </x:c>
      <x:c r="AG718" s="6" t="str">
        <x:v>0</x:v>
      </x:c>
      <x:c r="AH718" s="6" t="str">
        <x:v>0</x:v>
      </x:c>
      <x:c r="AI718" s="6" t="str">
        <x:v>2025-09</x:v>
      </x:c>
      <x:c r="AJ718" s="9" t="str">
        <x:v>NASA POWER (MERRA-2 meteorology)</x:v>
      </x:c>
      <x:c r="AK718" s="9" t="str">
        <x:v>Badan Informasi Geospasial (BIG)</x:v>
      </x:c>
      <x:c r="AL718" s="9" t="str">
        <x:v>https://power.larc.nasa.gov/docs/services/api/temporal/monthly/</x:v>
      </x:c>
      <x:c r="AM718" s="9" t="str">
        <x:v>https://geoservices.big.go.id/rbi/rest/services/BATASWILAYAH/BATAS_WILAYAH/MapServer/12</x:v>
      </x:c>
    </x:row>
    <x:row r="719" ht="18" customHeight="1">
      <x:c r="A719" s="6" t="str">
        <x:v>76</x:v>
      </x:c>
      <x:c r="B719" s="6" t="str">
        <x:v>SULAWESI BARAT</x:v>
      </x:c>
      <x:c r="C719" s="6" t="str">
        <x:v>2025</x:v>
      </x:c>
      <x:c r="D719" s="6" t="str">
        <x:v>10</x:v>
      </x:c>
      <x:c r="E719" s="6" t="str">
        <x:v>23.810711851483568</x:v>
      </x:c>
      <x:c r="F719" s="9" t="str">
        <x:v>grid_cells_within_BIG_polygon</x:v>
      </x:c>
      <x:c r="G719" s="6" t="str">
        <x:v>4</x:v>
      </x:c>
      <x:c r="H719" s="8" t="str">
        <x:v>86.08450149340425</x:v>
      </x:c>
      <x:c r="I719" s="6" t="str">
        <x:v>4.5275766245456825</x:v>
      </x:c>
      <x:c r="J719" s="6" t="str">
        <x:v>31</x:v>
      </x:c>
      <x:c r="K719" s="6" t="str">
        <x:v>140.35487536091617</x:v>
      </x:c>
      <x:c r="L719" s="6" t="str">
        <x:v>23.550726293091486</x:v>
      </x:c>
      <x:c r="M719" s="6" t="str">
        <x:v>0.3249474686243503</x:v>
      </x:c>
      <x:c r="N719" s="6" t="str">
        <x:v>85.36940572594388</x:v>
      </x:c>
      <x:c r="O719" s="6" t="str">
        <x:v>3.604072932088459</x:v>
      </x:c>
      <x:c r="P719" s="6" t="str">
        <x:v>157.42770462266856</x:v>
      </x:c>
      <x:c r="Q719" s="6" t="str">
        <x:v>100.8839972367564</x:v>
      </x:c>
      <x:c r="R719" s="6" t="str">
        <x:v>0.2599855583920814</x:v>
      </x:c>
      <x:c r="S719" s="8" t="str">
        <x:v>0.8000848860054762</x:v>
      </x:c>
      <x:c r="T719" s="6" t="str">
        <x:v>0.7150957674603688</x:v>
      </x:c>
      <x:c r="U719" s="8" t="str">
        <x:v>0.19841323439756003</x:v>
      </x:c>
      <x:c r="V719" s="6" t="str">
        <x:v>-17.07282926175239</x:v>
      </x:c>
      <x:c r="W719" s="8" t="str">
        <x:v>-0.1692322839041118</x:v>
      </x:c>
      <x:c r="X719" s="6" t="str">
        <x:v>0.9750640550511536</x:v>
      </x:c>
      <x:c r="Y719" s="6" t="str">
        <x:v>0.05825925860907118</x:v>
      </x:c>
      <x:c r="Z719" s="6" t="str">
        <x:v>0.611136066555234</x:v>
      </x:c>
      <x:c r="AA719" s="6" t="str">
        <x:v>0.7790191247039615</x:v>
      </x:c>
      <x:c r="AB719" s="6" t="str">
        <x:v>0.844663991695425</x:v>
      </x:c>
      <x:c r="AC719" s="6" t="str">
        <x:v>0.6073654502656481</x:v>
      </x:c>
      <x:c r="AD719" s="6" t="str">
        <x:v>0.7204520734210595</x:v>
      </x:c>
      <x:c r="AE719" s="6" t="str">
        <x:v>0.2195127053309405</x:v>
      </x:c>
      <x:c r="AF719" s="6" t="str">
        <x:v>0.2569108316159627</x:v>
      </x:c>
      <x:c r="AG719" s="6" t="str">
        <x:v>0</x:v>
      </x:c>
      <x:c r="AH719" s="6" t="str">
        <x:v>0</x:v>
      </x:c>
      <x:c r="AI719" s="6" t="str">
        <x:v>2025-10</x:v>
      </x:c>
      <x:c r="AJ719" s="9" t="str">
        <x:v>NASA POWER (MERRA-2 meteorology)</x:v>
      </x:c>
      <x:c r="AK719" s="9" t="str">
        <x:v>Badan Informasi Geospasial (BIG)</x:v>
      </x:c>
      <x:c r="AL719" s="9" t="str">
        <x:v>https://power.larc.nasa.gov/docs/services/api/temporal/monthly/</x:v>
      </x:c>
      <x:c r="AM719" s="9" t="str">
        <x:v>https://geoservices.big.go.id/rbi/rest/services/BATASWILAYAH/BATAS_WILAYAH/MapServer/12</x:v>
      </x:c>
    </x:row>
    <x:row r="720" ht="18" customHeight="1">
      <x:c r="A720" s="6" t="str">
        <x:v>76</x:v>
      </x:c>
      <x:c r="B720" s="6" t="str">
        <x:v>SULAWESI BARAT</x:v>
      </x:c>
      <x:c r="C720" s="6" t="str">
        <x:v>2025</x:v>
      </x:c>
      <x:c r="D720" s="6" t="str">
        <x:v>11</x:v>
      </x:c>
      <x:c r="E720" s="6" t="str">
        <x:v>23.673265520586707</x:v>
      </x:c>
      <x:c r="F720" s="9" t="str">
        <x:v>grid_cells_within_BIG_polygon</x:v>
      </x:c>
      <x:c r="G720" s="6" t="str">
        <x:v>4</x:v>
      </x:c>
      <x:c r="H720" s="8" t="str">
        <x:v>85.51178600330762</x:v>
      </x:c>
      <x:c r="I720" s="6" t="str">
        <x:v>4.439781703083145</x:v>
      </x:c>
      <x:c r="J720" s="6" t="str">
        <x:v>30</x:v>
      </x:c>
      <x:c r="K720" s="6" t="str">
        <x:v>133.19345109249434</x:v>
      </x:c>
      <x:c r="L720" s="6" t="str">
        <x:v>23.44219185670673</x:v>
      </x:c>
      <x:c r="M720" s="6" t="str">
        <x:v>0.32260262236464693</x:v>
      </x:c>
      <x:c r="N720" s="6" t="str">
        <x:v>87.22514205719693</x:v>
      </x:c>
      <x:c r="O720" s="6" t="str">
        <x:v>1.7267751609997748</x:v>
      </x:c>
      <x:c r="P720" s="6" t="str">
        <x:v>171.61384851148307</x:v>
      </x:c>
      <x:c r="Q720" s="6" t="str">
        <x:v>64.40486632827262</x:v>
      </x:c>
      <x:c r="R720" s="6" t="str">
        <x:v>0.2310736638799753</x:v>
      </x:c>
      <x:c r="S720" s="8" t="str">
        <x:v>0.7162795583812278</x:v>
      </x:c>
      <x:c r="T720" s="6" t="str">
        <x:v>-1.7133560538893136</x:v>
      </x:c>
      <x:c r="U720" s="8" t="str">
        <x:v>-0.9922288046449013</x:v>
      </x:c>
      <x:c r="V720" s="6" t="str">
        <x:v>-38.42039741898873</x:v>
      </x:c>
      <x:c r="W720" s="8" t="str">
        <x:v>-0.5965449446499796</x:v>
      </x:c>
      <x:c r="X720" s="6" t="str">
        <x:v>0.8000848860054762</x:v>
      </x:c>
      <x:c r="Y720" s="6" t="str">
        <x:v>0.9750640550511536</x:v>
      </x:c>
      <x:c r="Z720" s="6" t="str">
        <x:v>0.8304761664792862</x:v>
      </x:c>
      <x:c r="AA720" s="6" t="str">
        <x:v>0.19841323439756003</x:v>
      </x:c>
      <x:c r="AB720" s="6" t="str">
        <x:v>0.7790191247039615</x:v>
      </x:c>
      <x:c r="AC720" s="6" t="str">
        <x:v>-0.004932148514460592</x:v>
      </x:c>
      <x:c r="AD720" s="6" t="str">
        <x:v>-0.1692322839041118</x:v>
      </x:c>
      <x:c r="AE720" s="6" t="str">
        <x:v>0.7204520734210595</x:v>
      </x:c>
      <x:c r="AF720" s="6" t="str">
        <x:v>-0.01510838504434405</x:v>
      </x:c>
      <x:c r="AG720" s="6" t="str">
        <x:v>0</x:v>
      </x:c>
      <x:c r="AH720" s="6" t="str">
        <x:v>0</x:v>
      </x:c>
      <x:c r="AI720" s="6" t="str">
        <x:v>2025-11</x:v>
      </x:c>
      <x:c r="AJ720" s="9" t="str">
        <x:v>NASA POWER (MERRA-2 meteorology)</x:v>
      </x:c>
      <x:c r="AK720" s="9" t="str">
        <x:v>Badan Informasi Geospasial (BIG)</x:v>
      </x:c>
      <x:c r="AL720" s="9" t="str">
        <x:v>https://power.larc.nasa.gov/docs/services/api/temporal/monthly/</x:v>
      </x:c>
      <x:c r="AM720" s="9" t="str">
        <x:v>https://geoservices.big.go.id/rbi/rest/services/BATASWILAYAH/BATAS_WILAYAH/MapServer/12</x:v>
      </x:c>
    </x:row>
    <x:row r="721" ht="18" customHeight="1">
      <x:c r="A721" s="6" t="str">
        <x:v>76</x:v>
      </x:c>
      <x:c r="B721" s="6" t="str">
        <x:v>SULAWESI BARAT</x:v>
      </x:c>
      <x:c r="C721" s="6" t="str">
        <x:v>2025</x:v>
      </x:c>
      <x:c r="D721" s="6" t="str">
        <x:v>12</x:v>
      </x:c>
      <x:c r="E721" s="6" t="str">
        <x:v>23.530772901949046</x:v>
      </x:c>
      <x:c r="F721" s="9" t="str">
        <x:v>grid_cells_within_BIG_polygon</x:v>
      </x:c>
      <x:c r="G721" s="6" t="str">
        <x:v>4</x:v>
      </x:c>
      <x:c r="H721" s="8" t="str">
        <x:v>86.03443081912047</x:v>
      </x:c>
      <x:c r="I721" s="6" t="str">
        <x:v>4.529963905773406</x:v>
      </x:c>
      <x:c r="J721" s="6" t="str">
        <x:v>31</x:v>
      </x:c>
      <x:c r="K721" s="6" t="str">
        <x:v>140.4288810789756</x:v>
      </x:c>
      <x:c r="L721" s="6" t="str">
        <x:v>23.101990825748626</x:v>
      </x:c>
      <x:c r="M721" s="6" t="str">
        <x:v>0.38684470907242624</x:v>
      </x:c>
      <x:c r="N721" s="6" t="str">
        <x:v>87.45438656082283</x:v>
      </x:c>
      <x:c r="O721" s="6" t="str">
        <x:v>1.5546731484680942</x:v>
      </x:c>
      <x:c r="P721" s="6" t="str">
        <x:v>242.5171811434823</x:v>
      </x:c>
      <x:c r="Q721" s="6" t="str">
        <x:v>88.7364057112987</x:v>
      </x:c>
      <x:c r="R721" s="6" t="str">
        <x:v>0.4287820762004202</x:v>
      </x:c>
      <x:c r="S721" s="8" t="str">
        <x:v>1.1084087907743423</x:v>
      </x:c>
      <x:c r="T721" s="6" t="str">
        <x:v>-1.4199557417023527</x:v>
      </x:c>
      <x:c r="U721" s="8" t="str">
        <x:v>-0.913346797750713</x:v>
      </x:c>
      <x:c r="V721" s="6" t="str">
        <x:v>-102.08830006450671</x:v>
      </x:c>
      <x:c r="W721" s="8" t="str">
        <x:v>-1.1504669278204485</x:v>
      </x:c>
      <x:c r="X721" s="6" t="str">
        <x:v>0.7162795583812278</x:v>
      </x:c>
      <x:c r="Y721" s="6" t="str">
        <x:v>0.8000848860054762</x:v>
      </x:c>
      <x:c r="Z721" s="6" t="str">
        <x:v>0.8749244117203491</x:v>
      </x:c>
      <x:c r="AA721" s="6" t="str">
        <x:v>-0.9922288046449013</x:v>
      </x:c>
      <x:c r="AB721" s="6" t="str">
        <x:v>0.19841323439756003</x:v>
      </x:c>
      <x:c r="AC721" s="6" t="str">
        <x:v>-0.5690541226660187</x:v>
      </x:c>
      <x:c r="AD721" s="6" t="str">
        <x:v>-0.5965449446499796</x:v>
      </x:c>
      <x:c r="AE721" s="6" t="str">
        <x:v>-0.1692322839041118</x:v>
      </x:c>
      <x:c r="AF721" s="6" t="str">
        <x:v>-0.6387480521248468</x:v>
      </x:c>
      <x:c r="AG721" s="6" t="str">
        <x:v>0</x:v>
      </x:c>
      <x:c r="AH721" s="6" t="str">
        <x:v>1</x:v>
      </x:c>
      <x:c r="AI721" s="6" t="str">
        <x:v>2025-12</x:v>
      </x:c>
      <x:c r="AJ721" s="9" t="str">
        <x:v>NASA POWER (MERRA-2 meteorology)</x:v>
      </x:c>
      <x:c r="AK721" s="9" t="str">
        <x:v>Badan Informasi Geospasial (BIG)</x:v>
      </x:c>
      <x:c r="AL721" s="9" t="str">
        <x:v>https://power.larc.nasa.gov/docs/services/api/temporal/monthly/</x:v>
      </x:c>
      <x:c r="AM721" s="9" t="str">
        <x:v>https://geoservices.big.go.id/rbi/rest/services/BATASWILAYAH/BATAS_WILAYAH/MapServer/12</x:v>
      </x:c>
    </x:row>
    <x:row r="722" ht="18" customHeight="1">
      <x:c r="A722" s="6" t="str">
        <x:v>81</x:v>
      </x:c>
      <x:c r="B722" s="6" t="str">
        <x:v>MALUKU</x:v>
      </x:c>
      <x:c r="C722" s="6" t="str">
        <x:v>2024</x:v>
      </x:c>
      <x:c r="D722" s="6" t="str">
        <x:v>1</x:v>
      </x:c>
      <x:c r="E722" s="6" t="str">
        <x:v>27.431093552763784</x:v>
      </x:c>
      <x:c r="F722" s="9" t="str">
        <x:v>grid_cells_within_BIG_polygon</x:v>
      </x:c>
      <x:c r="G722" s="6" t="str">
        <x:v>11</x:v>
      </x:c>
      <x:c r="H722" s="8" t="str">
        <x:v>82.9256554267107</x:v>
      </x:c>
      <x:c r="I722" s="6" t="str">
        <x:v>5.926103045273852</x:v>
      </x:c>
      <x:c r="J722" s="6" t="str">
        <x:v>31</x:v>
      </x:c>
      <x:c r="K722" s="6" t="str">
        <x:v>183.7091944034894</x:v>
      </x:c>
      <x:c r="L722" s="6" t="str">
        <x:v>26.425356053005697</x:v>
      </x:c>
      <x:c r="M722" s="6" t="str">
        <x:v>0.4900499590761179</x:v>
      </x:c>
      <x:c r="N722" s="6" t="str">
        <x:v>84.23678769449508</x:v>
      </x:c>
      <x:c r="O722" s="6" t="str">
        <x:v>2.6087856070645006</x:v>
      </x:c>
      <x:c r="P722" s="6" t="str">
        <x:v>213.29095570309605</x:v>
      </x:c>
      <x:c r="Q722" s="6" t="str">
        <x:v>58.120174969470185</x:v>
      </x:c>
      <x:c r="R722" s="6" t="str">
        <x:v>1.0057374997580872</x:v>
      </x:c>
      <x:c r="S722" s="8" t="str">
        <x:v>2.05231626108935</x:v>
      </x:c>
      <x:c r="T722" s="6" t="str">
        <x:v>-1.311132267784373</x:v>
      </x:c>
      <x:c r="U722" s="8" t="str">
        <x:v>-0.5025833722149772</x:v>
      </x:c>
      <x:c r="V722" s="6" t="str">
        <x:v>-29.581761299606654</x:v>
      </x:c>
      <x:c r="W722" s="8" t="str">
        <x:v>-0.5089757784649752</x:v>
      </x:c>
      <x:c r="X722" s="6" t="str">
        <x:v>1.6653024877247868</x:v>
      </x:c>
      <x:c r="Y722" s="6" t="str">
        <x:v>2.108613277335319</x:v>
      </x:c>
      <x:c r="Z722" s="6" t="str">
        <x:v>1.9420773420498183</x:v>
      </x:c>
      <x:c r="AA722" s="6" t="str">
        <x:v>-0.5145474069493676</x:v>
      </x:c>
      <x:c r="AB722" s="6" t="str">
        <x:v>-0.6940591447053942</x:v>
      </x:c>
      <x:c r="AC722" s="6" t="str">
        <x:v>-0.570396641289913</x:v>
      </x:c>
      <x:c r="AD722" s="6" t="str">
        <x:v>-0.9898946167266586</x:v>
      </x:c>
      <x:c r="AE722" s="6" t="str">
        <x:v>-0.9669456177469272</x:v>
      </x:c>
      <x:c r="AF722" s="6" t="str">
        <x:v>-0.8219386709795206</x:v>
      </x:c>
      <x:c r="AG722" s="6" t="str">
        <x:v>0</x:v>
      </x:c>
      <x:c r="AH722" s="6" t="str">
        <x:v>1</x:v>
      </x:c>
      <x:c r="AI722" s="6" t="str">
        <x:v>2024-01</x:v>
      </x:c>
      <x:c r="AJ722" s="9" t="str">
        <x:v>NASA POWER (MERRA-2 meteorology)</x:v>
      </x:c>
      <x:c r="AK722" s="9" t="str">
        <x:v>Badan Informasi Geospasial (BIG)</x:v>
      </x:c>
      <x:c r="AL722" s="9" t="str">
        <x:v>https://power.larc.nasa.gov/docs/services/api/temporal/monthly/</x:v>
      </x:c>
      <x:c r="AM722" s="9" t="str">
        <x:v>https://geoservices.big.go.id/rbi/rest/services/BATASWILAYAH/BATAS_WILAYAH/MapServer/12</x:v>
      </x:c>
    </x:row>
    <x:row r="723" ht="18" customHeight="1">
      <x:c r="A723" s="6" t="str">
        <x:v>81</x:v>
      </x:c>
      <x:c r="B723" s="6" t="str">
        <x:v>MALUKU</x:v>
      </x:c>
      <x:c r="C723" s="6" t="str">
        <x:v>2024</x:v>
      </x:c>
      <x:c r="D723" s="6" t="str">
        <x:v>2</x:v>
      </x:c>
      <x:c r="E723" s="6" t="str">
        <x:v>27.330586916176202</x:v>
      </x:c>
      <x:c r="F723" s="9" t="str">
        <x:v>grid_cells_within_BIG_polygon</x:v>
      </x:c>
      <x:c r="G723" s="6" t="str">
        <x:v>11</x:v>
      </x:c>
      <x:c r="H723" s="8" t="str">
        <x:v>84.1597456750204</x:v>
      </x:c>
      <x:c r="I723" s="6" t="str">
        <x:v>4.072301569178378</x:v>
      </x:c>
      <x:c r="J723" s="6" t="str">
        <x:v>29</x:v>
      </x:c>
      <x:c r="K723" s="6" t="str">
        <x:v>118.09674550617295</x:v>
      </x:c>
      <x:c r="L723" s="6" t="str">
        <x:v>26.255462514862064</x:v>
      </x:c>
      <x:c r="M723" s="6" t="str">
        <x:v>0.3718262776214196</x:v>
      </x:c>
      <x:c r="N723" s="6" t="str">
        <x:v>85.16197483011673</x:v>
      </x:c>
      <x:c r="O723" s="6" t="str">
        <x:v>1.57878882100469</x:v>
      </x:c>
      <x:c r="P723" s="6" t="str">
        <x:v>192.27719396504492</x:v>
      </x:c>
      <x:c r="Q723" s="6" t="str">
        <x:v>40.60854337852849</x:v>
      </x:c>
      <x:c r="R723" s="6" t="str">
        <x:v>1.0751244013141381</x:v>
      </x:c>
      <x:c r="S723" s="8" t="str">
        <x:v>2.8914696621006217</x:v>
      </x:c>
      <x:c r="T723" s="6" t="str">
        <x:v>-1.0022291550963303</x:v>
      </x:c>
      <x:c r="U723" s="8" t="str">
        <x:v>-0.6348088748554377</x:v>
      </x:c>
      <x:c r="V723" s="6" t="str">
        <x:v>-74.18044845887196</x:v>
      </x:c>
      <x:c r="W723" s="8" t="str">
        <x:v>-1.8267202486778782</x:v>
      </x:c>
      <x:c r="X723" s="6" t="str">
        <x:v>2.05231626108935</x:v>
      </x:c>
      <x:c r="Y723" s="6" t="str">
        <x:v>1.6653024877247868</x:v>
      </x:c>
      <x:c r="Z723" s="6" t="str">
        <x:v>2.2030294703049194</x:v>
      </x:c>
      <x:c r="AA723" s="6" t="str">
        <x:v>-0.5025833722149772</x:v>
      </x:c>
      <x:c r="AB723" s="6" t="str">
        <x:v>-0.5145474069493676</x:v>
      </x:c>
      <x:c r="AC723" s="6" t="str">
        <x:v>-0.5506465513399276</x:v>
      </x:c>
      <x:c r="AD723" s="6" t="str">
        <x:v>-0.5089757784649752</x:v>
      </x:c>
      <x:c r="AE723" s="6" t="str">
        <x:v>-0.9898946167266586</x:v>
      </x:c>
      <x:c r="AF723" s="6" t="str">
        <x:v>-1.1085302146231708</x:v>
      </x:c>
      <x:c r="AG723" s="6" t="str">
        <x:v>0</x:v>
      </x:c>
      <x:c r="AH723" s="6" t="str">
        <x:v>1</x:v>
      </x:c>
      <x:c r="AI723" s="6" t="str">
        <x:v>2024-02</x:v>
      </x:c>
      <x:c r="AJ723" s="9" t="str">
        <x:v>NASA POWER (MERRA-2 meteorology)</x:v>
      </x:c>
      <x:c r="AK723" s="9" t="str">
        <x:v>Badan Informasi Geospasial (BIG)</x:v>
      </x:c>
      <x:c r="AL723" s="9" t="str">
        <x:v>https://power.larc.nasa.gov/docs/services/api/temporal/monthly/</x:v>
      </x:c>
      <x:c r="AM723" s="9" t="str">
        <x:v>https://geoservices.big.go.id/rbi/rest/services/BATASWILAYAH/BATAS_WILAYAH/MapServer/12</x:v>
      </x:c>
    </x:row>
    <x:row r="724" ht="18" customHeight="1">
      <x:c r="A724" s="6" t="str">
        <x:v>81</x:v>
      </x:c>
      <x:c r="B724" s="6" t="str">
        <x:v>MALUKU</x:v>
      </x:c>
      <x:c r="C724" s="6" t="str">
        <x:v>2024</x:v>
      </x:c>
      <x:c r="D724" s="6" t="str">
        <x:v>3</x:v>
      </x:c>
      <x:c r="E724" s="6" t="str">
        <x:v>27.31048174414211</x:v>
      </x:c>
      <x:c r="F724" s="9" t="str">
        <x:v>grid_cells_within_BIG_polygon</x:v>
      </x:c>
      <x:c r="G724" s="6" t="str">
        <x:v>11</x:v>
      </x:c>
      <x:c r="H724" s="8" t="str">
        <x:v>84.69268480236407</x:v>
      </x:c>
      <x:c r="I724" s="6" t="str">
        <x:v>7.729904726023415</x:v>
      </x:c>
      <x:c r="J724" s="6" t="str">
        <x:v>31</x:v>
      </x:c>
      <x:c r="K724" s="6" t="str">
        <x:v>239.62704650672586</x:v>
      </x:c>
      <x:c r="L724" s="6" t="str">
        <x:v>26.314478990830384</x:v>
      </x:c>
      <x:c r="M724" s="6" t="str">
        <x:v>0.3447647926132496</x:v>
      </x:c>
      <x:c r="N724" s="6" t="str">
        <x:v>84.65839870936354</x:v>
      </x:c>
      <x:c r="O724" s="6" t="str">
        <x:v>1.2090206575584004</x:v>
      </x:c>
      <x:c r="P724" s="6" t="str">
        <x:v>207.6005273544689</x:v>
      </x:c>
      <x:c r="Q724" s="6" t="str">
        <x:v>47.88739695902183</x:v>
      </x:c>
      <x:c r="R724" s="6" t="str">
        <x:v>0.9960027533117248</x:v>
      </x:c>
      <x:c r="S724" s="8" t="str">
        <x:v>2.888934063603824</x:v>
      </x:c>
      <x:c r="T724" s="6" t="str">
        <x:v>0.03428609300053154</x:v>
      </x:c>
      <x:c r="U724" s="8" t="str">
        <x:v>0.028358566734311887</x:v>
      </x:c>
      <x:c r="V724" s="6" t="str">
        <x:v>32.02651915225695</x:v>
      </x:c>
      <x:c r="W724" s="8" t="str">
        <x:v>0.6687880566918821</x:v>
      </x:c>
      <x:c r="X724" s="6" t="str">
        <x:v>2.8914696621006217</x:v>
      </x:c>
      <x:c r="Y724" s="6" t="str">
        <x:v>2.05231626108935</x:v>
      </x:c>
      <x:c r="Z724" s="6" t="str">
        <x:v>2.610906662264598</x:v>
      </x:c>
      <x:c r="AA724" s="6" t="str">
        <x:v>-0.6348088748554377</x:v>
      </x:c>
      <x:c r="AB724" s="6" t="str">
        <x:v>-0.5025833722149772</x:v>
      </x:c>
      <x:c r="AC724" s="6" t="str">
        <x:v>-0.3696778934453677</x:v>
      </x:c>
      <x:c r="AD724" s="6" t="str">
        <x:v>-1.8267202486778782</x:v>
      </x:c>
      <x:c r="AE724" s="6" t="str">
        <x:v>-0.5089757784649752</x:v>
      </x:c>
      <x:c r="AF724" s="6" t="str">
        <x:v>-0.5556359901503239</x:v>
      </x:c>
      <x:c r="AG724" s="6" t="str">
        <x:v>0</x:v>
      </x:c>
      <x:c r="AH724" s="6" t="str">
        <x:v>1</x:v>
      </x:c>
      <x:c r="AI724" s="6" t="str">
        <x:v>2024-03</x:v>
      </x:c>
      <x:c r="AJ724" s="9" t="str">
        <x:v>NASA POWER (MERRA-2 meteorology)</x:v>
      </x:c>
      <x:c r="AK724" s="9" t="str">
        <x:v>Badan Informasi Geospasial (BIG)</x:v>
      </x:c>
      <x:c r="AL724" s="9" t="str">
        <x:v>https://power.larc.nasa.gov/docs/services/api/temporal/monthly/</x:v>
      </x:c>
      <x:c r="AM724" s="9" t="str">
        <x:v>https://geoservices.big.go.id/rbi/rest/services/BATASWILAYAH/BATAS_WILAYAH/MapServer/12</x:v>
      </x:c>
    </x:row>
    <x:row r="725" ht="18" customHeight="1">
      <x:c r="A725" s="6" t="str">
        <x:v>81</x:v>
      </x:c>
      <x:c r="B725" s="6" t="str">
        <x:v>MALUKU</x:v>
      </x:c>
      <x:c r="C725" s="6" t="str">
        <x:v>2024</x:v>
      </x:c>
      <x:c r="D725" s="6" t="str">
        <x:v>4</x:v>
      </x:c>
      <x:c r="E725" s="6" t="str">
        <x:v>27.2342131695244</x:v>
      </x:c>
      <x:c r="F725" s="9" t="str">
        <x:v>grid_cells_within_BIG_polygon</x:v>
      </x:c>
      <x:c r="G725" s="6" t="str">
        <x:v>11</x:v>
      </x:c>
      <x:c r="H725" s="8" t="str">
        <x:v>85.05943517671389</x:v>
      </x:c>
      <x:c r="I725" s="6" t="str">
        <x:v>9.755058134599738</x:v>
      </x:c>
      <x:c r="J725" s="6" t="str">
        <x:v>30</x:v>
      </x:c>
      <x:c r="K725" s="6" t="str">
        <x:v>292.6517440379921</x:v>
      </x:c>
      <x:c r="L725" s="6" t="str">
        <x:v>26.411102933006244</x:v>
      </x:c>
      <x:c r="M725" s="6" t="str">
        <x:v>0.3364587391251919</x:v>
      </x:c>
      <x:c r="N725" s="6" t="str">
        <x:v>84.62135724596753</x:v>
      </x:c>
      <x:c r="O725" s="6" t="str">
        <x:v>1.308509179809143</x:v>
      </x:c>
      <x:c r="P725" s="6" t="str">
        <x:v>220.48360811770266</x:v>
      </x:c>
      <x:c r="Q725" s="6" t="str">
        <x:v>40.54378762339457</x:v>
      </x:c>
      <x:c r="R725" s="6" t="str">
        <x:v>0.8231102365181542</x:v>
      </x:c>
      <x:c r="S725" s="8" t="str">
        <x:v>2.4463927988860634</x:v>
      </x:c>
      <x:c r="T725" s="6" t="str">
        <x:v>0.4380779307463598</x:v>
      </x:c>
      <x:c r="U725" s="8" t="str">
        <x:v>0.33479163731220984</x:v>
      </x:c>
      <x:c r="V725" s="6" t="str">
        <x:v>72.16813592028944</x:v>
      </x:c>
      <x:c r="W725" s="8" t="str">
        <x:v>1.7800047837328103</x:v>
      </x:c>
      <x:c r="X725" s="6" t="str">
        <x:v>2.888934063603824</x:v>
      </x:c>
      <x:c r="Y725" s="6" t="str">
        <x:v>2.8914696621006217</x:v>
      </x:c>
      <x:c r="Z725" s="6" t="str">
        <x:v>2.742265508196836</x:v>
      </x:c>
      <x:c r="AA725" s="6" t="str">
        <x:v>0.028358566734311887</x:v>
      </x:c>
      <x:c r="AB725" s="6" t="str">
        <x:v>-0.6348088748554377</x:v>
      </x:c>
      <x:c r="AC725" s="6" t="str">
        <x:v>-0.0905528902696387</x:v>
      </x:c>
      <x:c r="AD725" s="6" t="str">
        <x:v>0.6687880566918821</x:v>
      </x:c>
      <x:c r="AE725" s="6" t="str">
        <x:v>-1.8267202486778782</x:v>
      </x:c>
      <x:c r="AF725" s="6" t="str">
        <x:v>0.20735753058227133</x:v>
      </x:c>
      <x:c r="AG725" s="6" t="str">
        <x:v>1</x:v>
      </x:c>
      <x:c r="AH725" s="6" t="str">
        <x:v>1</x:v>
      </x:c>
      <x:c r="AI725" s="6" t="str">
        <x:v>2024-04</x:v>
      </x:c>
      <x:c r="AJ725" s="9" t="str">
        <x:v>NASA POWER (MERRA-2 meteorology)</x:v>
      </x:c>
      <x:c r="AK725" s="9" t="str">
        <x:v>Badan Informasi Geospasial (BIG)</x:v>
      </x:c>
      <x:c r="AL725" s="9" t="str">
        <x:v>https://power.larc.nasa.gov/docs/services/api/temporal/monthly/</x:v>
      </x:c>
      <x:c r="AM725" s="9" t="str">
        <x:v>https://geoservices.big.go.id/rbi/rest/services/BATASWILAYAH/BATAS_WILAYAH/MapServer/12</x:v>
      </x:c>
    </x:row>
    <x:row r="726" ht="18" customHeight="1">
      <x:c r="A726" s="6" t="str">
        <x:v>81</x:v>
      </x:c>
      <x:c r="B726" s="6" t="str">
        <x:v>MALUKU</x:v>
      </x:c>
      <x:c r="C726" s="6" t="str">
        <x:v>2024</x:v>
      </x:c>
      <x:c r="D726" s="6" t="str">
        <x:v>5</x:v>
      </x:c>
      <x:c r="E726" s="6" t="str">
        <x:v>26.994703588500247</x:v>
      </x:c>
      <x:c r="F726" s="9" t="str">
        <x:v>grid_cells_within_BIG_polygon</x:v>
      </x:c>
      <x:c r="G726" s="6" t="str">
        <x:v>11</x:v>
      </x:c>
      <x:c r="H726" s="8" t="str">
        <x:v>87.29223806894515</x:v>
      </x:c>
      <x:c r="I726" s="6" t="str">
        <x:v>10.487010513083547</x:v>
      </x:c>
      <x:c r="J726" s="6" t="str">
        <x:v>31</x:v>
      </x:c>
      <x:c r="K726" s="6" t="str">
        <x:v>325.09732590558997</x:v>
      </x:c>
      <x:c r="L726" s="6" t="str">
        <x:v>26.206288259477674</x:v>
      </x:c>
      <x:c r="M726" s="6" t="str">
        <x:v>0.40372206483730805</x:v>
      </x:c>
      <x:c r="N726" s="6" t="str">
        <x:v>85.24689658421242</x:v>
      </x:c>
      <x:c r="O726" s="6" t="str">
        <x:v>1.708018066948327</x:v>
      </x:c>
      <x:c r="P726" s="6" t="str">
        <x:v>228.332646260313</x:v>
      </x:c>
      <x:c r="Q726" s="6" t="str">
        <x:v>105.22441061285456</x:v>
      </x:c>
      <x:c r="R726" s="6" t="str">
        <x:v>0.7884153290225733</x:v>
      </x:c>
      <x:c r="S726" s="8" t="str">
        <x:v>1.9528665824601115</x:v>
      </x:c>
      <x:c r="T726" s="6" t="str">
        <x:v>2.045341484732731</x:v>
      </x:c>
      <x:c r="U726" s="8" t="str">
        <x:v>1.197494057183535</x:v>
      </x:c>
      <x:c r="V726" s="6" t="str">
        <x:v>96.76467964527697</x:v>
      </x:c>
      <x:c r="W726" s="8" t="str">
        <x:v>0.9196029617243195</x:v>
      </x:c>
      <x:c r="X726" s="6" t="str">
        <x:v>2.4463927988860634</x:v>
      </x:c>
      <x:c r="Y726" s="6" t="str">
        <x:v>2.888934063603824</x:v>
      </x:c>
      <x:c r="Z726" s="6" t="str">
        <x:v>2.4293978149833326</x:v>
      </x:c>
      <x:c r="AA726" s="6" t="str">
        <x:v>0.33479163731220984</x:v>
      </x:c>
      <x:c r="AB726" s="6" t="str">
        <x:v>0.028358566734311887</x:v>
      </x:c>
      <x:c r="AC726" s="6" t="str">
        <x:v>0.5202147537433522</x:v>
      </x:c>
      <x:c r="AD726" s="6" t="str">
        <x:v>1.7800047837328103</x:v>
      </x:c>
      <x:c r="AE726" s="6" t="str">
        <x:v>0.6687880566918821</x:v>
      </x:c>
      <x:c r="AF726" s="6" t="str">
        <x:v>1.1227986007163373</x:v>
      </x:c>
      <x:c r="AG726" s="6" t="str">
        <x:v>0</x:v>
      </x:c>
      <x:c r="AH726" s="6" t="str">
        <x:v>1</x:v>
      </x:c>
      <x:c r="AI726" s="6" t="str">
        <x:v>2024-05</x:v>
      </x:c>
      <x:c r="AJ726" s="9" t="str">
        <x:v>NASA POWER (MERRA-2 meteorology)</x:v>
      </x:c>
      <x:c r="AK726" s="9" t="str">
        <x:v>Badan Informasi Geospasial (BIG)</x:v>
      </x:c>
      <x:c r="AL726" s="9" t="str">
        <x:v>https://power.larc.nasa.gov/docs/services/api/temporal/monthly/</x:v>
      </x:c>
      <x:c r="AM726" s="9" t="str">
        <x:v>https://geoservices.big.go.id/rbi/rest/services/BATASWILAYAH/BATAS_WILAYAH/MapServer/12</x:v>
      </x:c>
    </x:row>
    <x:row r="727" ht="18" customHeight="1">
      <x:c r="A727" s="6" t="str">
        <x:v>81</x:v>
      </x:c>
      <x:c r="B727" s="6" t="str">
        <x:v>MALUKU</x:v>
      </x:c>
      <x:c r="C727" s="6" t="str">
        <x:v>2024</x:v>
      </x:c>
      <x:c r="D727" s="6" t="str">
        <x:v>6</x:v>
      </x:c>
      <x:c r="E727" s="6" t="str">
        <x:v>25.85951139627751</x:v>
      </x:c>
      <x:c r="F727" s="9" t="str">
        <x:v>grid_cells_within_BIG_polygon</x:v>
      </x:c>
      <x:c r="G727" s="6" t="str">
        <x:v>11</x:v>
      </x:c>
      <x:c r="H727" s="8" t="str">
        <x:v>86.99374369820504</x:v>
      </x:c>
      <x:c r="I727" s="6" t="str">
        <x:v>9.180485488269923</x:v>
      </x:c>
      <x:c r="J727" s="6" t="str">
        <x:v>30</x:v>
      </x:c>
      <x:c r="K727" s="6" t="str">
        <x:v>275.41456464809767</x:v>
      </x:c>
      <x:c r="L727" s="6" t="str">
        <x:v>25.441697727249792</x:v>
      </x:c>
      <x:c r="M727" s="6" t="str">
        <x:v>0.36593797508186365</x:v>
      </x:c>
      <x:c r="N727" s="6" t="str">
        <x:v>85.85526898692437</x:v>
      </x:c>
      <x:c r="O727" s="6" t="str">
        <x:v>2.721725382197568</x:v>
      </x:c>
      <x:c r="P727" s="6" t="str">
        <x:v>237.04780175612774</x:v>
      </x:c>
      <x:c r="Q727" s="6" t="str">
        <x:v>131.03571537903434</x:v>
      </x:c>
      <x:c r="R727" s="6" t="str">
        <x:v>0.4178136690277192</x:v>
      </x:c>
      <x:c r="S727" s="8" t="str">
        <x:v>1.1417608924961955</x:v>
      </x:c>
      <x:c r="T727" s="6" t="str">
        <x:v>1.138474711280665</x:v>
      </x:c>
      <x:c r="U727" s="8" t="str">
        <x:v>0.4182915435654426</x:v>
      </x:c>
      <x:c r="V727" s="6" t="str">
        <x:v>38.36676289196993</x:v>
      </x:c>
      <x:c r="W727" s="8" t="str">
        <x:v>0.2927962256777864</x:v>
      </x:c>
      <x:c r="X727" s="6" t="str">
        <x:v>1.9528665824601115</x:v>
      </x:c>
      <x:c r="Y727" s="6" t="str">
        <x:v>2.4463927988860634</x:v>
      </x:c>
      <x:c r="Z727" s="6" t="str">
        <x:v>1.8470067579474565</x:v>
      </x:c>
      <x:c r="AA727" s="6" t="str">
        <x:v>1.197494057183535</x:v>
      </x:c>
      <x:c r="AB727" s="6" t="str">
        <x:v>0.33479163731220984</x:v>
      </x:c>
      <x:c r="AC727" s="6" t="str">
        <x:v>0.6501924126870625</x:v>
      </x:c>
      <x:c r="AD727" s="6" t="str">
        <x:v>0.9196029617243195</x:v>
      </x:c>
      <x:c r="AE727" s="6" t="str">
        <x:v>1.7800047837328103</x:v>
      </x:c>
      <x:c r="AF727" s="6" t="str">
        <x:v>0.9974679903783054</x:v>
      </x:c>
      <x:c r="AG727" s="6" t="str">
        <x:v>0</x:v>
      </x:c>
      <x:c r="AH727" s="6" t="str">
        <x:v>1</x:v>
      </x:c>
      <x:c r="AI727" s="6" t="str">
        <x:v>2024-06</x:v>
      </x:c>
      <x:c r="AJ727" s="9" t="str">
        <x:v>NASA POWER (MERRA-2 meteorology)</x:v>
      </x:c>
      <x:c r="AK727" s="9" t="str">
        <x:v>Badan Informasi Geospasial (BIG)</x:v>
      </x:c>
      <x:c r="AL727" s="9" t="str">
        <x:v>https://power.larc.nasa.gov/docs/services/api/temporal/monthly/</x:v>
      </x:c>
      <x:c r="AM727" s="9" t="str">
        <x:v>https://geoservices.big.go.id/rbi/rest/services/BATASWILAYAH/BATAS_WILAYAH/MapServer/12</x:v>
      </x:c>
    </x:row>
    <x:row r="728" ht="18" customHeight="1">
      <x:c r="A728" s="6" t="str">
        <x:v>81</x:v>
      </x:c>
      <x:c r="B728" s="6" t="str">
        <x:v>MALUKU</x:v>
      </x:c>
      <x:c r="C728" s="6" t="str">
        <x:v>2024</x:v>
      </x:c>
      <x:c r="D728" s="6" t="str">
        <x:v>7</x:v>
      </x:c>
      <x:c r="E728" s="6" t="str">
        <x:v>25.203342355581615</x:v>
      </x:c>
      <x:c r="F728" s="9" t="str">
        <x:v>grid_cells_within_BIG_polygon</x:v>
      </x:c>
      <x:c r="G728" s="6" t="str">
        <x:v>11</x:v>
      </x:c>
      <x:c r="H728" s="8" t="str">
        <x:v>86.04561507637797</x:v>
      </x:c>
      <x:c r="I728" s="6" t="str">
        <x:v>7.823980025688922</x:v>
      </x:c>
      <x:c r="J728" s="6" t="str">
        <x:v>31</x:v>
      </x:c>
      <x:c r="K728" s="6" t="str">
        <x:v>242.5433807963566</x:v>
      </x:c>
      <x:c r="L728" s="6" t="str">
        <x:v>24.70974311110225</x:v>
      </x:c>
      <x:c r="M728" s="6" t="str">
        <x:v>0.39694351090303714</x:v>
      </x:c>
      <x:c r="N728" s="6" t="str">
        <x:v>85.363348355488</x:v>
      </x:c>
      <x:c r="O728" s="6" t="str">
        <x:v>2.034498413921775</x:v>
      </x:c>
      <x:c r="P728" s="6" t="str">
        <x:v>195.17272246765665</x:v>
      </x:c>
      <x:c r="Q728" s="6" t="str">
        <x:v>118.50892304050195</x:v>
      </x:c>
      <x:c r="R728" s="6" t="str">
        <x:v>0.4935992444793662</x:v>
      </x:c>
      <x:c r="S728" s="8" t="str">
        <x:v>1.2434999714605224</x:v>
      </x:c>
      <x:c r="T728" s="6" t="str">
        <x:v>0.6822667208899702</x:v>
      </x:c>
      <x:c r="U728" s="8" t="str">
        <x:v>0.3353488585792541</x:v>
      </x:c>
      <x:c r="V728" s="6" t="str">
        <x:v>47.37065832869993</x:v>
      </x:c>
      <x:c r="W728" s="8" t="str">
        <x:v>0.39972229190295144</x:v>
      </x:c>
      <x:c r="X728" s="6" t="str">
        <x:v>1.1417608924961955</x:v>
      </x:c>
      <x:c r="Y728" s="6" t="str">
        <x:v>1.9528665824601115</x:v>
      </x:c>
      <x:c r="Z728" s="6" t="str">
        <x:v>1.446042482138943</x:v>
      </x:c>
      <x:c r="AA728" s="6" t="str">
        <x:v>0.4182915435654426</x:v>
      </x:c>
      <x:c r="AB728" s="6" t="str">
        <x:v>1.197494057183535</x:v>
      </x:c>
      <x:c r="AC728" s="6" t="str">
        <x:v>0.6503781531094105</x:v>
      </x:c>
      <x:c r="AD728" s="6" t="str">
        <x:v>0.2927962256777864</x:v>
      </x:c>
      <x:c r="AE728" s="6" t="str">
        <x:v>0.9196029617243195</x:v>
      </x:c>
      <x:c r="AF728" s="6" t="str">
        <x:v>0.537373826435019</x:v>
      </x:c>
      <x:c r="AG728" s="6" t="str">
        <x:v>0</x:v>
      </x:c>
      <x:c r="AH728" s="6" t="str">
        <x:v>1</x:v>
      </x:c>
      <x:c r="AI728" s="6" t="str">
        <x:v>2024-07</x:v>
      </x:c>
      <x:c r="AJ728" s="9" t="str">
        <x:v>NASA POWER (MERRA-2 meteorology)</x:v>
      </x:c>
      <x:c r="AK728" s="9" t="str">
        <x:v>Badan Informasi Geospasial (BIG)</x:v>
      </x:c>
      <x:c r="AL728" s="9" t="str">
        <x:v>https://power.larc.nasa.gov/docs/services/api/temporal/monthly/</x:v>
      </x:c>
      <x:c r="AM728" s="9" t="str">
        <x:v>https://geoservices.big.go.id/rbi/rest/services/BATASWILAYAH/BATAS_WILAYAH/MapServer/12</x:v>
      </x:c>
    </x:row>
    <x:row r="729" ht="18" customHeight="1">
      <x:c r="A729" s="6" t="str">
        <x:v>81</x:v>
      </x:c>
      <x:c r="B729" s="6" t="str">
        <x:v>MALUKU</x:v>
      </x:c>
      <x:c r="C729" s="6" t="str">
        <x:v>2024</x:v>
      </x:c>
      <x:c r="D729" s="6" t="str">
        <x:v>8</x:v>
      </x:c>
      <x:c r="E729" s="6" t="str">
        <x:v>25.42564188774769</x:v>
      </x:c>
      <x:c r="F729" s="9" t="str">
        <x:v>grid_cells_within_BIG_polygon</x:v>
      </x:c>
      <x:c r="G729" s="6" t="str">
        <x:v>11</x:v>
      </x:c>
      <x:c r="H729" s="8" t="str">
        <x:v>85.74297485062176</x:v>
      </x:c>
      <x:c r="I729" s="6" t="str">
        <x:v>8.480183980646768</x:v>
      </x:c>
      <x:c r="J729" s="6" t="str">
        <x:v>31</x:v>
      </x:c>
      <x:c r="K729" s="6" t="str">
        <x:v>262.8857034000498</x:v>
      </x:c>
      <x:c r="L729" s="6" t="str">
        <x:v>24.6570718564701</x:v>
      </x:c>
      <x:c r="M729" s="6" t="str">
        <x:v>0.4307814159546984</x:v>
      </x:c>
      <x:c r="N729" s="6" t="str">
        <x:v>83.07998351442912</x:v>
      </x:c>
      <x:c r="O729" s="6" t="str">
        <x:v>3.0755514718162913</x:v>
      </x:c>
      <x:c r="P729" s="6" t="str">
        <x:v>131.63077251639513</x:v>
      </x:c>
      <x:c r="Q729" s="6" t="str">
        <x:v>110.65143278790069</x:v>
      </x:c>
      <x:c r="R729" s="6" t="str">
        <x:v>0.7685700312775907</x:v>
      </x:c>
      <x:c r="S729" s="8" t="str">
        <x:v>1.7841299620000661</x:v>
      </x:c>
      <x:c r="T729" s="6" t="str">
        <x:v>2.662991336192647</x:v>
      </x:c>
      <x:c r="U729" s="8" t="str">
        <x:v>0.8658581592913469</x:v>
      </x:c>
      <x:c r="V729" s="6" t="str">
        <x:v>131.25493088365468</x:v>
      </x:c>
      <x:c r="W729" s="8" t="str">
        <x:v>1.1862018193225503</x:v>
      </x:c>
      <x:c r="X729" s="6" t="str">
        <x:v>1.2434999714605224</x:v>
      </x:c>
      <x:c r="Y729" s="6" t="str">
        <x:v>1.1417608924961955</x:v>
      </x:c>
      <x:c r="Z729" s="6" t="str">
        <x:v>1.3897969419855947</x:v>
      </x:c>
      <x:c r="AA729" s="6" t="str">
        <x:v>0.3353488585792541</x:v>
      </x:c>
      <x:c r="AB729" s="6" t="str">
        <x:v>0.4182915435654426</x:v>
      </x:c>
      <x:c r="AC729" s="6" t="str">
        <x:v>0.5398328538120145</x:v>
      </x:c>
      <x:c r="AD729" s="6" t="str">
        <x:v>0.39972229190295144</x:v>
      </x:c>
      <x:c r="AE729" s="6" t="str">
        <x:v>0.2927962256777864</x:v>
      </x:c>
      <x:c r="AF729" s="6" t="str">
        <x:v>0.6262401123010959</x:v>
      </x:c>
      <x:c r="AG729" s="6" t="str">
        <x:v>1</x:v>
      </x:c>
      <x:c r="AH729" s="6" t="str">
        <x:v>1</x:v>
      </x:c>
      <x:c r="AI729" s="6" t="str">
        <x:v>2024-08</x:v>
      </x:c>
      <x:c r="AJ729" s="9" t="str">
        <x:v>NASA POWER (MERRA-2 meteorology)</x:v>
      </x:c>
      <x:c r="AK729" s="9" t="str">
        <x:v>Badan Informasi Geospasial (BIG)</x:v>
      </x:c>
      <x:c r="AL729" s="9" t="str">
        <x:v>https://power.larc.nasa.gov/docs/services/api/temporal/monthly/</x:v>
      </x:c>
      <x:c r="AM729" s="9" t="str">
        <x:v>https://geoservices.big.go.id/rbi/rest/services/BATASWILAYAH/BATAS_WILAYAH/MapServer/12</x:v>
      </x:c>
    </x:row>
    <x:row r="730" ht="18" customHeight="1">
      <x:c r="A730" s="6" t="str">
        <x:v>81</x:v>
      </x:c>
      <x:c r="B730" s="6" t="str">
        <x:v>MALUKU</x:v>
      </x:c>
      <x:c r="C730" s="6" t="str">
        <x:v>2024</x:v>
      </x:c>
      <x:c r="D730" s="6" t="str">
        <x:v>9</x:v>
      </x:c>
      <x:c r="E730" s="6" t="str">
        <x:v>26.274010877842887</x:v>
      </x:c>
      <x:c r="F730" s="9" t="str">
        <x:v>grid_cells_within_BIG_polygon</x:v>
      </x:c>
      <x:c r="G730" s="6" t="str">
        <x:v>11</x:v>
      </x:c>
      <x:c r="H730" s="8" t="str">
        <x:v>83.37184820893042</x:v>
      </x:c>
      <x:c r="I730" s="6" t="str">
        <x:v>3.4260884557744014</x:v>
      </x:c>
      <x:c r="J730" s="6" t="str">
        <x:v>30</x:v>
      </x:c>
      <x:c r="K730" s="6" t="str">
        <x:v>102.78265367323203</x:v>
      </x:c>
      <x:c r="L730" s="6" t="str">
        <x:v>25.43090450771787</x:v>
      </x:c>
      <x:c r="M730" s="6" t="str">
        <x:v>0.3793792704477408</x:v>
      </x:c>
      <x:c r="N730" s="6" t="str">
        <x:v>80.85678164462124</x:v>
      </x:c>
      <x:c r="O730" s="6" t="str">
        <x:v>3.5936638280924784</x:v>
      </x:c>
      <x:c r="P730" s="6" t="str">
        <x:v>108.17136409765115</x:v>
      </x:c>
      <x:c r="Q730" s="6" t="str">
        <x:v>61.25423996686667</x:v>
      </x:c>
      <x:c r="R730" s="6" t="str">
        <x:v>0.8431063701250174</x:v>
      </x:c>
      <x:c r="S730" s="8" t="str">
        <x:v>2.2223311493271343</x:v>
      </x:c>
      <x:c r="T730" s="6" t="str">
        <x:v>2.51506656430918</x:v>
      </x:c>
      <x:c r="U730" s="8" t="str">
        <x:v>0.6998613906644074</x:v>
      </x:c>
      <x:c r="V730" s="6" t="str">
        <x:v>-5.388710424419116</x:v>
      </x:c>
      <x:c r="W730" s="8" t="str">
        <x:v>-0.0879728558763271</x:v>
      </x:c>
      <x:c r="X730" s="6" t="str">
        <x:v>1.7841299620000661</x:v>
      </x:c>
      <x:c r="Y730" s="6" t="str">
        <x:v>1.2434999714605224</x:v>
      </x:c>
      <x:c r="Z730" s="6" t="str">
        <x:v>1.7499870275959075</x:v>
      </x:c>
      <x:c r="AA730" s="6" t="str">
        <x:v>0.8658581592913469</x:v>
      </x:c>
      <x:c r="AB730" s="6" t="str">
        <x:v>0.3353488585792541</x:v>
      </x:c>
      <x:c r="AC730" s="6" t="str">
        <x:v>0.6336894695116694</x:v>
      </x:c>
      <x:c r="AD730" s="6" t="str">
        <x:v>1.1862018193225503</x:v>
      </x:c>
      <x:c r="AE730" s="6" t="str">
        <x:v>0.39972229190295144</x:v>
      </x:c>
      <x:c r="AF730" s="6" t="str">
        <x:v>0.49931708511639133</x:v>
      </x:c>
      <x:c r="AG730" s="6" t="str">
        <x:v>0</x:v>
      </x:c>
      <x:c r="AH730" s="6" t="str">
        <x:v>1</x:v>
      </x:c>
      <x:c r="AI730" s="6" t="str">
        <x:v>2024-09</x:v>
      </x:c>
      <x:c r="AJ730" s="9" t="str">
        <x:v>NASA POWER (MERRA-2 meteorology)</x:v>
      </x:c>
      <x:c r="AK730" s="9" t="str">
        <x:v>Badan Informasi Geospasial (BIG)</x:v>
      </x:c>
      <x:c r="AL730" s="9" t="str">
        <x:v>https://power.larc.nasa.gov/docs/services/api/temporal/monthly/</x:v>
      </x:c>
      <x:c r="AM730" s="9" t="str">
        <x:v>https://geoservices.big.go.id/rbi/rest/services/BATASWILAYAH/BATAS_WILAYAH/MapServer/12</x:v>
      </x:c>
    </x:row>
    <x:row r="731" ht="18" customHeight="1">
      <x:c r="A731" s="6" t="str">
        <x:v>81</x:v>
      </x:c>
      <x:c r="B731" s="6" t="str">
        <x:v>MALUKU</x:v>
      </x:c>
      <x:c r="C731" s="6" t="str">
        <x:v>2024</x:v>
      </x:c>
      <x:c r="D731" s="6" t="str">
        <x:v>10</x:v>
      </x:c>
      <x:c r="E731" s="6" t="str">
        <x:v>27.0426984207678</x:v>
      </x:c>
      <x:c r="F731" s="9" t="str">
        <x:v>grid_cells_within_BIG_polygon</x:v>
      </x:c>
      <x:c r="G731" s="6" t="str">
        <x:v>11</x:v>
      </x:c>
      <x:c r="H731" s="8" t="str">
        <x:v>81.57991810667016</x:v>
      </x:c>
      <x:c r="I731" s="6" t="str">
        <x:v>4.431182090683519</x:v>
      </x:c>
      <x:c r="J731" s="6" t="str">
        <x:v>31</x:v>
      </x:c>
      <x:c r="K731" s="6" t="str">
        <x:v>137.3666448111891</x:v>
      </x:c>
      <x:c r="L731" s="6" t="str">
        <x:v>26.45662307137316</x:v>
      </x:c>
      <x:c r="M731" s="6" t="str">
        <x:v>0.3088163740119739</x:v>
      </x:c>
      <x:c r="N731" s="6" t="str">
        <x:v>78.743993610262</x:v>
      </x:c>
      <x:c r="O731" s="6" t="str">
        <x:v>3.984636979843724</x:v>
      </x:c>
      <x:c r="P731" s="6" t="str">
        <x:v>91.98450662977265</x:v>
      </x:c>
      <x:c r="Q731" s="6" t="str">
        <x:v>52.734226476063725</x:v>
      </x:c>
      <x:c r="R731" s="6" t="str">
        <x:v>0.5860753493946405</x:v>
      </x:c>
      <x:c r="S731" s="8" t="str">
        <x:v>1.8978117700841737</x:v>
      </x:c>
      <x:c r="T731" s="6" t="str">
        <x:v>2.8359244964081682</x:v>
      </x:c>
      <x:c r="U731" s="8" t="str">
        <x:v>0.7117146457139472</x:v>
      </x:c>
      <x:c r="V731" s="6" t="str">
        <x:v>45.38213818141645</x:v>
      </x:c>
      <x:c r="W731" s="8" t="str">
        <x:v>0.8605822293044458</x:v>
      </x:c>
      <x:c r="X731" s="6" t="str">
        <x:v>2.2223311493271343</x:v>
      </x:c>
      <x:c r="Y731" s="6" t="str">
        <x:v>1.7841299620000661</x:v>
      </x:c>
      <x:c r="Z731" s="6" t="str">
        <x:v>1.9680909604704577</x:v>
      </x:c>
      <x:c r="AA731" s="6" t="str">
        <x:v>0.6998613906644074</x:v>
      </x:c>
      <x:c r="AB731" s="6" t="str">
        <x:v>0.8658581592913469</x:v>
      </x:c>
      <x:c r="AC731" s="6" t="str">
        <x:v>0.7591447318899004</x:v>
      </x:c>
      <x:c r="AD731" s="6" t="str">
        <x:v>-0.0879728558763271</x:v>
      </x:c>
      <x:c r="AE731" s="6" t="str">
        <x:v>1.1862018193225503</x:v>
      </x:c>
      <x:c r="AF731" s="6" t="str">
        <x:v>0.6529370642502229</x:v>
      </x:c>
      <x:c r="AG731" s="6" t="str">
        <x:v>0</x:v>
      </x:c>
      <x:c r="AH731" s="6" t="str">
        <x:v>1</x:v>
      </x:c>
      <x:c r="AI731" s="6" t="str">
        <x:v>2024-10</x:v>
      </x:c>
      <x:c r="AJ731" s="9" t="str">
        <x:v>NASA POWER (MERRA-2 meteorology)</x:v>
      </x:c>
      <x:c r="AK731" s="9" t="str">
        <x:v>Badan Informasi Geospasial (BIG)</x:v>
      </x:c>
      <x:c r="AL731" s="9" t="str">
        <x:v>https://power.larc.nasa.gov/docs/services/api/temporal/monthly/</x:v>
      </x:c>
      <x:c r="AM731" s="9" t="str">
        <x:v>https://geoservices.big.go.id/rbi/rest/services/BATASWILAYAH/BATAS_WILAYAH/MapServer/12</x:v>
      </x:c>
    </x:row>
    <x:row r="732" ht="18" customHeight="1">
      <x:c r="A732" s="6" t="str">
        <x:v>81</x:v>
      </x:c>
      <x:c r="B732" s="6" t="str">
        <x:v>MALUKU</x:v>
      </x:c>
      <x:c r="C732" s="6" t="str">
        <x:v>2024</x:v>
      </x:c>
      <x:c r="D732" s="6" t="str">
        <x:v>11</x:v>
      </x:c>
      <x:c r="E732" s="6" t="str">
        <x:v>27.67875368697718</x:v>
      </x:c>
      <x:c r="F732" s="9" t="str">
        <x:v>grid_cells_within_BIG_polygon</x:v>
      </x:c>
      <x:c r="G732" s="6" t="str">
        <x:v>11</x:v>
      </x:c>
      <x:c r="H732" s="8" t="str">
        <x:v>80.32879646297336</x:v>
      </x:c>
      <x:c r="I732" s="6" t="str">
        <x:v>3.1633750914450034</x:v>
      </x:c>
      <x:c r="J732" s="6" t="str">
        <x:v>30</x:v>
      </x:c>
      <x:c r="K732" s="6" t="str">
        <x:v>94.9012527433501</x:v>
      </x:c>
      <x:c r="L732" s="6" t="str">
        <x:v>27.228531019762023</x:v>
      </x:c>
      <x:c r="M732" s="6" t="str">
        <x:v>0.48580799797885266</x:v>
      </x:c>
      <x:c r="N732" s="6" t="str">
        <x:v>77.53251941644712</x:v>
      </x:c>
      <x:c r="O732" s="6" t="str">
        <x:v>4.507018263015561</x:v>
      </x:c>
      <x:c r="P732" s="6" t="str">
        <x:v>109.14402474414969</x:v>
      </x:c>
      <x:c r="Q732" s="6" t="str">
        <x:v>52.92203081674131</x:v>
      </x:c>
      <x:c r="R732" s="6" t="str">
        <x:v>0.4502226672151579</x:v>
      </x:c>
      <x:c r="S732" s="8" t="str">
        <x:v>0.9267502163164391</x:v>
      </x:c>
      <x:c r="T732" s="6" t="str">
        <x:v>2.7962770465262423</x:v>
      </x:c>
      <x:c r="U732" s="8" t="str">
        <x:v>0.6204272721662561</x:v>
      </x:c>
      <x:c r="V732" s="6" t="str">
        <x:v>-14.24277200079959</x:v>
      </x:c>
      <x:c r="W732" s="8" t="str">
        <x:v>-0.2691274650838615</x:v>
      </x:c>
      <x:c r="X732" s="6" t="str">
        <x:v>1.8978117700841737</x:v>
      </x:c>
      <x:c r="Y732" s="6" t="str">
        <x:v>2.2223311493271343</x:v>
      </x:c>
      <x:c r="Z732" s="6" t="str">
        <x:v>1.682297711909249</x:v>
      </x:c>
      <x:c r="AA732" s="6" t="str">
        <x:v>0.7117146457139472</x:v>
      </x:c>
      <x:c r="AB732" s="6" t="str">
        <x:v>0.6998613906644074</x:v>
      </x:c>
      <x:c r="AC732" s="6" t="str">
        <x:v>0.6773344361815368</x:v>
      </x:c>
      <x:c r="AD732" s="6" t="str">
        <x:v>0.8605822293044458</x:v>
      </x:c>
      <x:c r="AE732" s="6" t="str">
        <x:v>-0.0879728558763271</x:v>
      </x:c>
      <x:c r="AF732" s="6" t="str">
        <x:v>0.1678273027814189</x:v>
      </x:c>
      <x:c r="AG732" s="6" t="str">
        <x:v>0</x:v>
      </x:c>
      <x:c r="AH732" s="6" t="str">
        <x:v>0</x:v>
      </x:c>
      <x:c r="AI732" s="6" t="str">
        <x:v>2024-11</x:v>
      </x:c>
      <x:c r="AJ732" s="9" t="str">
        <x:v>NASA POWER (MERRA-2 meteorology)</x:v>
      </x:c>
      <x:c r="AK732" s="9" t="str">
        <x:v>Badan Informasi Geospasial (BIG)</x:v>
      </x:c>
      <x:c r="AL732" s="9" t="str">
        <x:v>https://power.larc.nasa.gov/docs/services/api/temporal/monthly/</x:v>
      </x:c>
      <x:c r="AM732" s="9" t="str">
        <x:v>https://geoservices.big.go.id/rbi/rest/services/BATASWILAYAH/BATAS_WILAYAH/MapServer/12</x:v>
      </x:c>
    </x:row>
    <x:row r="733" ht="18" customHeight="1">
      <x:c r="A733" s="6" t="str">
        <x:v>81</x:v>
      </x:c>
      <x:c r="B733" s="6" t="str">
        <x:v>MALUKU</x:v>
      </x:c>
      <x:c r="C733" s="6" t="str">
        <x:v>2024</x:v>
      </x:c>
      <x:c r="D733" s="6" t="str">
        <x:v>12</x:v>
      </x:c>
      <x:c r="E733" s="6" t="str">
        <x:v>27.199515786451183</x:v>
      </x:c>
      <x:c r="F733" s="9" t="str">
        <x:v>grid_cells_within_BIG_polygon</x:v>
      </x:c>
      <x:c r="G733" s="6" t="str">
        <x:v>11</x:v>
      </x:c>
      <x:c r="H733" s="8" t="str">
        <x:v>84.70975556537681</x:v>
      </x:c>
      <x:c r="I733" s="6" t="str">
        <x:v>7.563500724592719</x:v>
      </x:c>
      <x:c r="J733" s="6" t="str">
        <x:v>31</x:v>
      </x:c>
      <x:c r="K733" s="6" t="str">
        <x:v>234.46852246237427</x:v>
      </x:c>
      <x:c r="L733" s="6" t="str">
        <x:v>26.864748329652855</x:v>
      </x:c>
      <x:c r="M733" s="6" t="str">
        <x:v>0.6096897338934507</x:v>
      </x:c>
      <x:c r="N733" s="6" t="str">
        <x:v>81.85005734860407</x:v>
      </x:c>
      <x:c r="O733" s="6" t="str">
        <x:v>3.6809299132507896</x:v>
      </x:c>
      <x:c r="P733" s="6" t="str">
        <x:v>201.40431862652028</x:v>
      </x:c>
      <x:c r="Q733" s="6" t="str">
        <x:v>64.09926418335408</x:v>
      </x:c>
      <x:c r="R733" s="6" t="str">
        <x:v>0.3347674567983283</x:v>
      </x:c>
      <x:c r="S733" s="8" t="str">
        <x:v>0.549078388872515</x:v>
      </x:c>
      <x:c r="T733" s="6" t="str">
        <x:v>2.859698216772742</x:v>
      </x:c>
      <x:c r="U733" s="8" t="str">
        <x:v>0.7768955900187781</x:v>
      </x:c>
      <x:c r="V733" s="6" t="str">
        <x:v>33.06420383585399</x:v>
      </x:c>
      <x:c r="W733" s="8" t="str">
        <x:v>0.5158281340215513</x:v>
      </x:c>
      <x:c r="X733" s="6" t="str">
        <x:v>0.9267502163164391</x:v>
      </x:c>
      <x:c r="Y733" s="6" t="str">
        <x:v>1.8978117700841737</x:v>
      </x:c>
      <x:c r="Z733" s="6" t="str">
        <x:v>1.1245467917577092</x:v>
      </x:c>
      <x:c r="AA733" s="6" t="str">
        <x:v>0.6204272721662561</x:v>
      </x:c>
      <x:c r="AB733" s="6" t="str">
        <x:v>0.7117146457139472</x:v>
      </x:c>
      <x:c r="AC733" s="6" t="str">
        <x:v>0.7030125026329938</x:v>
      </x:c>
      <x:c r="AD733" s="6" t="str">
        <x:v>-0.2691274650838615</x:v>
      </x:c>
      <x:c r="AE733" s="6" t="str">
        <x:v>0.8605822293044458</x:v>
      </x:c>
      <x:c r="AF733" s="6" t="str">
        <x:v>0.3690942994140451</x:v>
      </x:c>
      <x:c r="AG733" s="6" t="str">
        <x:v>0</x:v>
      </x:c>
      <x:c r="AH733" s="6" t="str">
        <x:v>0</x:v>
      </x:c>
      <x:c r="AI733" s="6" t="str">
        <x:v>2024-12</x:v>
      </x:c>
      <x:c r="AJ733" s="9" t="str">
        <x:v>NASA POWER (MERRA-2 meteorology)</x:v>
      </x:c>
      <x:c r="AK733" s="9" t="str">
        <x:v>Badan Informasi Geospasial (BIG)</x:v>
      </x:c>
      <x:c r="AL733" s="9" t="str">
        <x:v>https://power.larc.nasa.gov/docs/services/api/temporal/monthly/</x:v>
      </x:c>
      <x:c r="AM733" s="9" t="str">
        <x:v>https://geoservices.big.go.id/rbi/rest/services/BATASWILAYAH/BATAS_WILAYAH/MapServer/12</x:v>
      </x:c>
    </x:row>
    <x:row r="734" ht="18" customHeight="1">
      <x:c r="A734" s="6" t="str">
        <x:v>81</x:v>
      </x:c>
      <x:c r="B734" s="6" t="str">
        <x:v>MALUKU</x:v>
      </x:c>
      <x:c r="C734" s="6" t="str">
        <x:v>2025</x:v>
      </x:c>
      <x:c r="D734" s="6" t="str">
        <x:v>1</x:v>
      </x:c>
      <x:c r="E734" s="6" t="str">
        <x:v>26.81604057979079</x:v>
      </x:c>
      <x:c r="F734" s="9" t="str">
        <x:v>grid_cells_within_BIG_polygon</x:v>
      </x:c>
      <x:c r="G734" s="6" t="str">
        <x:v>11</x:v>
      </x:c>
      <x:c r="H734" s="8" t="str">
        <x:v>84.6043779367785</x:v>
      </x:c>
      <x:c r="I734" s="6" t="str">
        <x:v>7.456744312677563</x:v>
      </x:c>
      <x:c r="J734" s="6" t="str">
        <x:v>31</x:v>
      </x:c>
      <x:c r="K734" s="6" t="str">
        <x:v>231.15907369300447</x:v>
      </x:c>
      <x:c r="L734" s="6" t="str">
        <x:v>26.425356053005697</x:v>
      </x:c>
      <x:c r="M734" s="6" t="str">
        <x:v>0.4900499590761179</x:v>
      </x:c>
      <x:c r="N734" s="6" t="str">
        <x:v>84.23678769449508</x:v>
      </x:c>
      <x:c r="O734" s="6" t="str">
        <x:v>2.6087856070645006</x:v>
      </x:c>
      <x:c r="P734" s="6" t="str">
        <x:v>213.29095570309605</x:v>
      </x:c>
      <x:c r="Q734" s="6" t="str">
        <x:v>58.120174969470185</x:v>
      </x:c>
      <x:c r="R734" s="6" t="str">
        <x:v>0.390684526785094</x:v>
      </x:c>
      <x:c r="S734" s="8" t="str">
        <x:v>0.7972340769533871</x:v>
      </x:c>
      <x:c r="T734" s="6" t="str">
        <x:v>0.36759024228342696</x:v>
      </x:c>
      <x:c r="U734" s="8" t="str">
        <x:v>0.14090473409850368</x:v>
      </x:c>
      <x:c r="V734" s="6" t="str">
        <x:v>17.868117989908427</x:v>
      </x:c>
      <x:c r="W734" s="8" t="str">
        <x:v>0.3074340020362005</x:v>
      </x:c>
      <x:c r="X734" s="6" t="str">
        <x:v>0.549078388872515</x:v>
      </x:c>
      <x:c r="Y734" s="6" t="str">
        <x:v>0.9267502163164391</x:v>
      </x:c>
      <x:c r="Z734" s="6" t="str">
        <x:v>0.7576875607141137</x:v>
      </x:c>
      <x:c r="AA734" s="6" t="str">
        <x:v>0.7768955900187781</x:v>
      </x:c>
      <x:c r="AB734" s="6" t="str">
        <x:v>0.6204272721662561</x:v>
      </x:c>
      <x:c r="AC734" s="6" t="str">
        <x:v>0.5127425320945126</x:v>
      </x:c>
      <x:c r="AD734" s="6" t="str">
        <x:v>0.5158281340215513</x:v>
      </x:c>
      <x:c r="AE734" s="6" t="str">
        <x:v>-0.2691274650838615</x:v>
      </x:c>
      <x:c r="AF734" s="6" t="str">
        <x:v>0.18471155699129663</x:v>
      </x:c>
      <x:c r="AG734" s="6" t="str">
        <x:v>0</x:v>
      </x:c>
      <x:c r="AH734" s="6" t="str">
        <x:v>0</x:v>
      </x:c>
      <x:c r="AI734" s="6" t="str">
        <x:v>2025-01</x:v>
      </x:c>
      <x:c r="AJ734" s="9" t="str">
        <x:v>NASA POWER (MERRA-2 meteorology)</x:v>
      </x:c>
      <x:c r="AK734" s="9" t="str">
        <x:v>Badan Informasi Geospasial (BIG)</x:v>
      </x:c>
      <x:c r="AL734" s="9" t="str">
        <x:v>https://power.larc.nasa.gov/docs/services/api/temporal/monthly/</x:v>
      </x:c>
      <x:c r="AM734" s="9" t="str">
        <x:v>https://geoservices.big.go.id/rbi/rest/services/BATASWILAYAH/BATAS_WILAYAH/MapServer/12</x:v>
      </x:c>
    </x:row>
    <x:row r="735" ht="18" customHeight="1">
      <x:c r="A735" s="6" t="str">
        <x:v>81</x:v>
      </x:c>
      <x:c r="B735" s="6" t="str">
        <x:v>MALUKU</x:v>
      </x:c>
      <x:c r="C735" s="6" t="str">
        <x:v>2025</x:v>
      </x:c>
      <x:c r="D735" s="6" t="str">
        <x:v>2</x:v>
      </x:c>
      <x:c r="E735" s="6" t="str">
        <x:v>26.440688973634778</x:v>
      </x:c>
      <x:c r="F735" s="9" t="str">
        <x:v>grid_cells_within_BIG_polygon</x:v>
      </x:c>
      <x:c r="G735" s="6" t="str">
        <x:v>11</x:v>
      </x:c>
      <x:c r="H735" s="8" t="str">
        <x:v>85.61562553974376</x:v>
      </x:c>
      <x:c r="I735" s="6" t="str">
        <x:v>8.490383538253079</x:v>
      </x:c>
      <x:c r="J735" s="6" t="str">
        <x:v>28</x:v>
      </x:c>
      <x:c r="K735" s="6" t="str">
        <x:v>237.73073907108622</x:v>
      </x:c>
      <x:c r="L735" s="6" t="str">
        <x:v>26.255462514862064</x:v>
      </x:c>
      <x:c r="M735" s="6" t="str">
        <x:v>0.3718262776214196</x:v>
      </x:c>
      <x:c r="N735" s="6" t="str">
        <x:v>85.16197483011673</x:v>
      </x:c>
      <x:c r="O735" s="6" t="str">
        <x:v>1.57878882100469</x:v>
      </x:c>
      <x:c r="P735" s="6" t="str">
        <x:v>192.27719396504492</x:v>
      </x:c>
      <x:c r="Q735" s="6" t="str">
        <x:v>40.60854337852849</x:v>
      </x:c>
      <x:c r="R735" s="6" t="str">
        <x:v>0.18522645877271415</x:v>
      </x:c>
      <x:c r="S735" s="8" t="str">
        <x:v>0.49815322348278246</x:v>
      </x:c>
      <x:c r="T735" s="6" t="str">
        <x:v>0.453650709627027</x:v>
      </x:c>
      <x:c r="U735" s="8" t="str">
        <x:v>0.2873409689703392</x:v>
      </x:c>
      <x:c r="V735" s="6" t="str">
        <x:v>45.453545106041304</x:v>
      </x:c>
      <x:c r="W735" s="8" t="str">
        <x:v>1.119309911767842</x:v>
      </x:c>
      <x:c r="X735" s="6" t="str">
        <x:v>0.7972340769533871</x:v>
      </x:c>
      <x:c r="Y735" s="6" t="str">
        <x:v>0.549078388872515</x:v>
      </x:c>
      <x:c r="Z735" s="6" t="str">
        <x:v>0.6148218964362281</x:v>
      </x:c>
      <x:c r="AA735" s="6" t="str">
        <x:v>0.14090473409850368</x:v>
      </x:c>
      <x:c r="AB735" s="6" t="str">
        <x:v>0.7768955900187781</x:v>
      </x:c>
      <x:c r="AC735" s="6" t="str">
        <x:v>0.4017137643625402</x:v>
      </x:c>
      <x:c r="AD735" s="6" t="str">
        <x:v>0.3074340020362005</x:v>
      </x:c>
      <x:c r="AE735" s="6" t="str">
        <x:v>0.5158281340215513</x:v>
      </x:c>
      <x:c r="AF735" s="6" t="str">
        <x:v>0.6475240159418645</x:v>
      </x:c>
      <x:c r="AG735" s="6" t="str">
        <x:v>1</x:v>
      </x:c>
      <x:c r="AH735" s="6" t="str">
        <x:v>0</x:v>
      </x:c>
      <x:c r="AI735" s="6" t="str">
        <x:v>2025-02</x:v>
      </x:c>
      <x:c r="AJ735" s="9" t="str">
        <x:v>NASA POWER (MERRA-2 meteorology)</x:v>
      </x:c>
      <x:c r="AK735" s="9" t="str">
        <x:v>Badan Informasi Geospasial (BIG)</x:v>
      </x:c>
      <x:c r="AL735" s="9" t="str">
        <x:v>https://power.larc.nasa.gov/docs/services/api/temporal/monthly/</x:v>
      </x:c>
      <x:c r="AM735" s="9" t="str">
        <x:v>https://geoservices.big.go.id/rbi/rest/services/BATASWILAYAH/BATAS_WILAYAH/MapServer/12</x:v>
      </x:c>
    </x:row>
    <x:row r="736" ht="18" customHeight="1">
      <x:c r="A736" s="6" t="str">
        <x:v>81</x:v>
      </x:c>
      <x:c r="B736" s="6" t="str">
        <x:v>MALUKU</x:v>
      </x:c>
      <x:c r="C736" s="6" t="str">
        <x:v>2025</x:v>
      </x:c>
      <x:c r="D736" s="6" t="str">
        <x:v>3</x:v>
      </x:c>
      <x:c r="E736" s="6" t="str">
        <x:v>26.858909035602828</x:v>
      </x:c>
      <x:c r="F736" s="9" t="str">
        <x:v>grid_cells_within_BIG_polygon</x:v>
      </x:c>
      <x:c r="G736" s="6" t="str">
        <x:v>11</x:v>
      </x:c>
      <x:c r="H736" s="8" t="str">
        <x:v>84.2790698394286</x:v>
      </x:c>
      <x:c r="I736" s="6" t="str">
        <x:v>7.022093982189446</x:v>
      </x:c>
      <x:c r="J736" s="6" t="str">
        <x:v>31</x:v>
      </x:c>
      <x:c r="K736" s="6" t="str">
        <x:v>217.68491344787282</x:v>
      </x:c>
      <x:c r="L736" s="6" t="str">
        <x:v>26.314478990830384</x:v>
      </x:c>
      <x:c r="M736" s="6" t="str">
        <x:v>0.3447647926132496</x:v>
      </x:c>
      <x:c r="N736" s="6" t="str">
        <x:v>84.65839870936354</x:v>
      </x:c>
      <x:c r="O736" s="6" t="str">
        <x:v>1.2090206575584004</x:v>
      </x:c>
      <x:c r="P736" s="6" t="str">
        <x:v>207.6005273544689</x:v>
      </x:c>
      <x:c r="Q736" s="6" t="str">
        <x:v>47.88739695902183</x:v>
      </x:c>
      <x:c r="R736" s="6" t="str">
        <x:v>0.5444300447724437</x:v>
      </x:c>
      <x:c r="S736" s="8" t="str">
        <x:v>1.5791346925124534</x:v>
      </x:c>
      <x:c r="T736" s="6" t="str">
        <x:v>-0.37932886993493753</x:v>
      </x:c>
      <x:c r="U736" s="8" t="str">
        <x:v>-0.31374887398614565</x:v>
      </x:c>
      <x:c r="V736" s="6" t="str">
        <x:v>10.084386093403907</x:v>
      </x:c>
      <x:c r="W736" s="8" t="str">
        <x:v>0.2105853885111632</x:v>
      </x:c>
      <x:c r="X736" s="6" t="str">
        <x:v>0.49815322348278246</x:v>
      </x:c>
      <x:c r="Y736" s="6" t="str">
        <x:v>0.7972340769533871</x:v>
      </x:c>
      <x:c r="Z736" s="6" t="str">
        <x:v>0.958173997649541</x:v>
      </x:c>
      <x:c r="AA736" s="6" t="str">
        <x:v>0.2873409689703392</x:v>
      </x:c>
      <x:c r="AB736" s="6" t="str">
        <x:v>0.14090473409850368</x:v>
      </x:c>
      <x:c r="AC736" s="6" t="str">
        <x:v>0.03816560969423233</x:v>
      </x:c>
      <x:c r="AD736" s="6" t="str">
        <x:v>1.119309911767842</x:v>
      </x:c>
      <x:c r="AE736" s="6" t="str">
        <x:v>0.3074340020362005</x:v>
      </x:c>
      <x:c r="AF736" s="6" t="str">
        <x:v>0.5457764341050685</x:v>
      </x:c>
      <x:c r="AG736" s="6" t="str">
        <x:v>0</x:v>
      </x:c>
      <x:c r="AH736" s="6" t="str">
        <x:v>1</x:v>
      </x:c>
      <x:c r="AI736" s="6" t="str">
        <x:v>2025-03</x:v>
      </x:c>
      <x:c r="AJ736" s="9" t="str">
        <x:v>NASA POWER (MERRA-2 meteorology)</x:v>
      </x:c>
      <x:c r="AK736" s="9" t="str">
        <x:v>Badan Informasi Geospasial (BIG)</x:v>
      </x:c>
      <x:c r="AL736" s="9" t="str">
        <x:v>https://power.larc.nasa.gov/docs/services/api/temporal/monthly/</x:v>
      </x:c>
      <x:c r="AM736" s="9" t="str">
        <x:v>https://geoservices.big.go.id/rbi/rest/services/BATASWILAYAH/BATAS_WILAYAH/MapServer/12</x:v>
      </x:c>
    </x:row>
    <x:row r="737" ht="18" customHeight="1">
      <x:c r="A737" s="6" t="str">
        <x:v>81</x:v>
      </x:c>
      <x:c r="B737" s="6" t="str">
        <x:v>MALUKU</x:v>
      </x:c>
      <x:c r="C737" s="6" t="str">
        <x:v>2025</x:v>
      </x:c>
      <x:c r="D737" s="6" t="str">
        <x:v>4</x:v>
      </x:c>
      <x:c r="E737" s="6" t="str">
        <x:v>26.576145737353617</x:v>
      </x:c>
      <x:c r="F737" s="9" t="str">
        <x:v>grid_cells_within_BIG_polygon</x:v>
      </x:c>
      <x:c r="G737" s="6" t="str">
        <x:v>11</x:v>
      </x:c>
      <x:c r="H737" s="8" t="str">
        <x:v>84.46010747524295</x:v>
      </x:c>
      <x:c r="I737" s="6" t="str">
        <x:v>10.04894374606687</x:v>
      </x:c>
      <x:c r="J737" s="6" t="str">
        <x:v>30</x:v>
      </x:c>
      <x:c r="K737" s="6" t="str">
        <x:v>301.4683123820061</x:v>
      </x:c>
      <x:c r="L737" s="6" t="str">
        <x:v>26.411102933006244</x:v>
      </x:c>
      <x:c r="M737" s="6" t="str">
        <x:v>0.3364587391251919</x:v>
      </x:c>
      <x:c r="N737" s="6" t="str">
        <x:v>84.62135724596753</x:v>
      </x:c>
      <x:c r="O737" s="6" t="str">
        <x:v>1.308509179809143</x:v>
      </x:c>
      <x:c r="P737" s="6" t="str">
        <x:v>220.48360811770266</x:v>
      </x:c>
      <x:c r="Q737" s="6" t="str">
        <x:v>40.54378762339457</x:v>
      </x:c>
      <x:c r="R737" s="6" t="str">
        <x:v>0.1650428043473724</x:v>
      </x:c>
      <x:c r="S737" s="8" t="str">
        <x:v>0.49052910551971757</x:v>
      </x:c>
      <x:c r="T737" s="6" t="str">
        <x:v>-0.1612497707245808</x:v>
      </x:c>
      <x:c r="U737" s="8" t="str">
        <x:v>-0.12323166945462348</x:v>
      </x:c>
      <x:c r="V737" s="6" t="str">
        <x:v>80.98470426430345</x:v>
      </x:c>
      <x:c r="W737" s="8" t="str">
        <x:v>1.9974627189881407</x:v>
      </x:c>
      <x:c r="X737" s="6" t="str">
        <x:v>1.5791346925124534</x:v>
      </x:c>
      <x:c r="Y737" s="6" t="str">
        <x:v>0.49815322348278246</x:v>
      </x:c>
      <x:c r="Z737" s="6" t="str">
        <x:v>0.8559390071716511</x:v>
      </x:c>
      <x:c r="AA737" s="6" t="str">
        <x:v>-0.31374887398614565</x:v>
      </x:c>
      <x:c r="AB737" s="6" t="str">
        <x:v>0.2873409689703392</x:v>
      </x:c>
      <x:c r="AC737" s="6" t="str">
        <x:v>-0.049879858156810064</x:v>
      </x:c>
      <x:c r="AD737" s="6" t="str">
        <x:v>0.2105853885111632</x:v>
      </x:c>
      <x:c r="AE737" s="6" t="str">
        <x:v>1.119309911767842</x:v>
      </x:c>
      <x:c r="AF737" s="6" t="str">
        <x:v>1.109119339755715</x:v>
      </x:c>
      <x:c r="AG737" s="6" t="str">
        <x:v>1</x:v>
      </x:c>
      <x:c r="AH737" s="6" t="str">
        <x:v>0</x:v>
      </x:c>
      <x:c r="AI737" s="6" t="str">
        <x:v>2025-04</x:v>
      </x:c>
      <x:c r="AJ737" s="9" t="str">
        <x:v>NASA POWER (MERRA-2 meteorology)</x:v>
      </x:c>
      <x:c r="AK737" s="9" t="str">
        <x:v>Badan Informasi Geospasial (BIG)</x:v>
      </x:c>
      <x:c r="AL737" s="9" t="str">
        <x:v>https://power.larc.nasa.gov/docs/services/api/temporal/monthly/</x:v>
      </x:c>
      <x:c r="AM737" s="9" t="str">
        <x:v>https://geoservices.big.go.id/rbi/rest/services/BATASWILAYAH/BATAS_WILAYAH/MapServer/12</x:v>
      </x:c>
    </x:row>
    <x:row r="738" ht="18" customHeight="1">
      <x:c r="A738" s="6" t="str">
        <x:v>81</x:v>
      </x:c>
      <x:c r="B738" s="6" t="str">
        <x:v>MALUKU</x:v>
      </x:c>
      <x:c r="C738" s="6" t="str">
        <x:v>2025</x:v>
      </x:c>
      <x:c r="D738" s="6" t="str">
        <x:v>5</x:v>
      </x:c>
      <x:c r="E738" s="6" t="str">
        <x:v>26.662972740578684</x:v>
      </x:c>
      <x:c r="F738" s="9" t="str">
        <x:v>grid_cells_within_BIG_polygon</x:v>
      </x:c>
      <x:c r="G738" s="6" t="str">
        <x:v>11</x:v>
      </x:c>
      <x:c r="H738" s="8" t="str">
        <x:v>86.44197674478336</x:v>
      </x:c>
      <x:c r="I738" s="6" t="str">
        <x:v>12.608494563654578</x:v>
      </x:c>
      <x:c r="J738" s="6" t="str">
        <x:v>31</x:v>
      </x:c>
      <x:c r="K738" s="6" t="str">
        <x:v>390.8633314732919</x:v>
      </x:c>
      <x:c r="L738" s="6" t="str">
        <x:v>26.206288259477674</x:v>
      </x:c>
      <x:c r="M738" s="6" t="str">
        <x:v>0.40372206483730805</x:v>
      </x:c>
      <x:c r="N738" s="6" t="str">
        <x:v>85.24689658421242</x:v>
      </x:c>
      <x:c r="O738" s="6" t="str">
        <x:v>1.708018066948327</x:v>
      </x:c>
      <x:c r="P738" s="6" t="str">
        <x:v>228.332646260313</x:v>
      </x:c>
      <x:c r="Q738" s="6" t="str">
        <x:v>105.22441061285456</x:v>
      </x:c>
      <x:c r="R738" s="6" t="str">
        <x:v>0.4566844811010107</x:v>
      </x:c>
      <x:c r="S738" s="8" t="str">
        <x:v>1.1311853398080816</x:v>
      </x:c>
      <x:c r="T738" s="6" t="str">
        <x:v>1.1950801605709387</x:v>
      </x:c>
      <x:c r="U738" s="8" t="str">
        <x:v>0.6996882431730704</x:v>
      </x:c>
      <x:c r="V738" s="6" t="str">
        <x:v>162.5306852129789</x:v>
      </x:c>
      <x:c r="W738" s="8" t="str">
        <x:v>1.5446100792236097</x:v>
      </x:c>
      <x:c r="X738" s="6" t="str">
        <x:v>0.49052910551971757</x:v>
      </x:c>
      <x:c r="Y738" s="6" t="str">
        <x:v>1.5791346925124534</x:v>
      </x:c>
      <x:c r="Z738" s="6" t="str">
        <x:v>1.0669497126134175</x:v>
      </x:c>
      <x:c r="AA738" s="6" t="str">
        <x:v>-0.12323166945462348</x:v>
      </x:c>
      <x:c r="AB738" s="6" t="str">
        <x:v>-0.31374887398614565</x:v>
      </x:c>
      <x:c r="AC738" s="6" t="str">
        <x:v>0.08756923324410036</x:v>
      </x:c>
      <x:c r="AD738" s="6" t="str">
        <x:v>1.9974627189881407</x:v>
      </x:c>
      <x:c r="AE738" s="6" t="str">
        <x:v>0.2105853885111632</x:v>
      </x:c>
      <x:c r="AF738" s="6" t="str">
        <x:v>1.250886062240971</x:v>
      </x:c>
      <x:c r="AG738" s="6" t="str">
        <x:v>1</x:v>
      </x:c>
      <x:c r="AH738" s="6" t="str">
        <x:v>1</x:v>
      </x:c>
      <x:c r="AI738" s="6" t="str">
        <x:v>2025-05</x:v>
      </x:c>
      <x:c r="AJ738" s="9" t="str">
        <x:v>NASA POWER (MERRA-2 meteorology)</x:v>
      </x:c>
      <x:c r="AK738" s="9" t="str">
        <x:v>Badan Informasi Geospasial (BIG)</x:v>
      </x:c>
      <x:c r="AL738" s="9" t="str">
        <x:v>https://power.larc.nasa.gov/docs/services/api/temporal/monthly/</x:v>
      </x:c>
      <x:c r="AM738" s="9" t="str">
        <x:v>https://geoservices.big.go.id/rbi/rest/services/BATASWILAYAH/BATAS_WILAYAH/MapServer/12</x:v>
      </x:c>
    </x:row>
    <x:row r="739" ht="18" customHeight="1">
      <x:c r="A739" s="6" t="str">
        <x:v>81</x:v>
      </x:c>
      <x:c r="B739" s="6" t="str">
        <x:v>MALUKU</x:v>
      </x:c>
      <x:c r="C739" s="6" t="str">
        <x:v>2025</x:v>
      </x:c>
      <x:c r="D739" s="6" t="str">
        <x:v>6</x:v>
      </x:c>
      <x:c r="E739" s="6" t="str">
        <x:v>25.88677039146128</x:v>
      </x:c>
      <x:c r="F739" s="9" t="str">
        <x:v>grid_cells_within_BIG_polygon</x:v>
      </x:c>
      <x:c r="G739" s="6" t="str">
        <x:v>11</x:v>
      </x:c>
      <x:c r="H739" s="8" t="str">
        <x:v>88.90506430807069</x:v>
      </x:c>
      <x:c r="I739" s="6" t="str">
        <x:v>17.754187265714272</x:v>
      </x:c>
      <x:c r="J739" s="6" t="str">
        <x:v>30</x:v>
      </x:c>
      <x:c r="K739" s="6" t="str">
        <x:v>532.6256179714281</x:v>
      </x:c>
      <x:c r="L739" s="6" t="str">
        <x:v>25.441697727249792</x:v>
      </x:c>
      <x:c r="M739" s="6" t="str">
        <x:v>0.36593797508186365</x:v>
      </x:c>
      <x:c r="N739" s="6" t="str">
        <x:v>85.85526898692437</x:v>
      </x:c>
      <x:c r="O739" s="6" t="str">
        <x:v>2.721725382197568</x:v>
      </x:c>
      <x:c r="P739" s="6" t="str">
        <x:v>237.04780175612774</x:v>
      </x:c>
      <x:c r="Q739" s="6" t="str">
        <x:v>131.03571537903434</x:v>
      </x:c>
      <x:c r="R739" s="6" t="str">
        <x:v>0.4450726642114873</x:v>
      </x:c>
      <x:c r="S739" s="8" t="str">
        <x:v>1.216251645137186</x:v>
      </x:c>
      <x:c r="T739" s="6" t="str">
        <x:v>3.04979532114632</x:v>
      </x:c>
      <x:c r="U739" s="8" t="str">
        <x:v>1.120537487394802</x:v>
      </x:c>
      <x:c r="V739" s="6" t="str">
        <x:v>295.5778162153004</x:v>
      </x:c>
      <x:c r="W739" s="8" t="str">
        <x:v>2.255704220489132</x:v>
      </x:c>
      <x:c r="X739" s="6" t="str">
        <x:v>1.1311853398080816</x:v>
      </x:c>
      <x:c r="Y739" s="6" t="str">
        <x:v>0.49052910551971757</x:v>
      </x:c>
      <x:c r="Z739" s="6" t="str">
        <x:v>0.9459886968216619</x:v>
      </x:c>
      <x:c r="AA739" s="6" t="str">
        <x:v>0.6996882431730704</x:v>
      </x:c>
      <x:c r="AB739" s="6" t="str">
        <x:v>-0.12323166945462348</x:v>
      </x:c>
      <x:c r="AC739" s="6" t="str">
        <x:v>0.5656646870377496</x:v>
      </x:c>
      <x:c r="AD739" s="6" t="str">
        <x:v>1.5446100792236097</x:v>
      </x:c>
      <x:c r="AE739" s="6" t="str">
        <x:v>1.9974627189881407</x:v>
      </x:c>
      <x:c r="AF739" s="6" t="str">
        <x:v>1.9325923395669609</x:v>
      </x:c>
      <x:c r="AG739" s="6" t="str">
        <x:v>1</x:v>
      </x:c>
      <x:c r="AH739" s="6" t="str">
        <x:v>1</x:v>
      </x:c>
      <x:c r="AI739" s="6" t="str">
        <x:v>2025-06</x:v>
      </x:c>
      <x:c r="AJ739" s="9" t="str">
        <x:v>NASA POWER (MERRA-2 meteorology)</x:v>
      </x:c>
      <x:c r="AK739" s="9" t="str">
        <x:v>Badan Informasi Geospasial (BIG)</x:v>
      </x:c>
      <x:c r="AL739" s="9" t="str">
        <x:v>https://power.larc.nasa.gov/docs/services/api/temporal/monthly/</x:v>
      </x:c>
      <x:c r="AM739" s="9" t="str">
        <x:v>https://geoservices.big.go.id/rbi/rest/services/BATASWILAYAH/BATAS_WILAYAH/MapServer/12</x:v>
      </x:c>
    </x:row>
    <x:row r="740" ht="18" customHeight="1">
      <x:c r="A740" s="6" t="str">
        <x:v>81</x:v>
      </x:c>
      <x:c r="B740" s="6" t="str">
        <x:v>MALUKU</x:v>
      </x:c>
      <x:c r="C740" s="6" t="str">
        <x:v>2025</x:v>
      </x:c>
      <x:c r="D740" s="6" t="str">
        <x:v>7</x:v>
      </x:c>
      <x:c r="E740" s="6" t="str">
        <x:v>25.427837192978412</x:v>
      </x:c>
      <x:c r="F740" s="9" t="str">
        <x:v>grid_cells_within_BIG_polygon</x:v>
      </x:c>
      <x:c r="G740" s="6" t="str">
        <x:v>11</x:v>
      </x:c>
      <x:c r="H740" s="8" t="str">
        <x:v>88.24922875711685</x:v>
      </x:c>
      <x:c r="I740" s="6" t="str">
        <x:v>11.070347686624155</x:v>
      </x:c>
      <x:c r="J740" s="6" t="str">
        <x:v>31</x:v>
      </x:c>
      <x:c r="K740" s="6" t="str">
        <x:v>343.1807782853488</x:v>
      </x:c>
      <x:c r="L740" s="6" t="str">
        <x:v>24.70974311110225</x:v>
      </x:c>
      <x:c r="M740" s="6" t="str">
        <x:v>0.39694351090303714</x:v>
      </x:c>
      <x:c r="N740" s="6" t="str">
        <x:v>85.363348355488</x:v>
      </x:c>
      <x:c r="O740" s="6" t="str">
        <x:v>2.034498413921775</x:v>
      </x:c>
      <x:c r="P740" s="6" t="str">
        <x:v>195.17272246765665</x:v>
      </x:c>
      <x:c r="Q740" s="6" t="str">
        <x:v>118.50892304050195</x:v>
      </x:c>
      <x:c r="R740" s="6" t="str">
        <x:v>0.7180940818761634</x:v>
      </x:c>
      <x:c r="S740" s="8" t="str">
        <x:v>1.8090586245950118</x:v>
      </x:c>
      <x:c r="T740" s="6" t="str">
        <x:v>2.885880401628853</x:v>
      </x:c>
      <x:c r="U740" s="8" t="str">
        <x:v>1.4184726721245862</x:v>
      </x:c>
      <x:c r="V740" s="6" t="str">
        <x:v>148.00805581769217</x:v>
      </x:c>
      <x:c r="W740" s="8" t="str">
        <x:v>1.2489190857561714</x:v>
      </x:c>
      <x:c r="X740" s="6" t="str">
        <x:v>1.216251645137186</x:v>
      </x:c>
      <x:c r="Y740" s="6" t="str">
        <x:v>1.1311853398080816</x:v>
      </x:c>
      <x:c r="Z740" s="6" t="str">
        <x:v>1.3854985365134265</x:v>
      </x:c>
      <x:c r="AA740" s="6" t="str">
        <x:v>1.120537487394802</x:v>
      </x:c>
      <x:c r="AB740" s="6" t="str">
        <x:v>0.6996882431730704</x:v>
      </x:c>
      <x:c r="AC740" s="6" t="str">
        <x:v>1.0795661342308194</x:v>
      </x:c>
      <x:c r="AD740" s="6" t="str">
        <x:v>2.255704220489132</x:v>
      </x:c>
      <x:c r="AE740" s="6" t="str">
        <x:v>1.5446100792236097</x:v>
      </x:c>
      <x:c r="AF740" s="6" t="str">
        <x:v>1.6830777951563043</x:v>
      </x:c>
      <x:c r="AG740" s="6" t="str">
        <x:v>1</x:v>
      </x:c>
      <x:c r="AH740" s="6" t="str">
        <x:v>1</x:v>
      </x:c>
      <x:c r="AI740" s="6" t="str">
        <x:v>2025-07</x:v>
      </x:c>
      <x:c r="AJ740" s="9" t="str">
        <x:v>NASA POWER (MERRA-2 meteorology)</x:v>
      </x:c>
      <x:c r="AK740" s="9" t="str">
        <x:v>Badan Informasi Geospasial (BIG)</x:v>
      </x:c>
      <x:c r="AL740" s="9" t="str">
        <x:v>https://power.larc.nasa.gov/docs/services/api/temporal/monthly/</x:v>
      </x:c>
      <x:c r="AM740" s="9" t="str">
        <x:v>https://geoservices.big.go.id/rbi/rest/services/BATASWILAYAH/BATAS_WILAYAH/MapServer/12</x:v>
      </x:c>
    </x:row>
    <x:row r="741" ht="18" customHeight="1">
      <x:c r="A741" s="6" t="str">
        <x:v>81</x:v>
      </x:c>
      <x:c r="B741" s="6" t="str">
        <x:v>MALUKU</x:v>
      </x:c>
      <x:c r="C741" s="6" t="str">
        <x:v>2025</x:v>
      </x:c>
      <x:c r="D741" s="6" t="str">
        <x:v>8</x:v>
      </x:c>
      <x:c r="E741" s="6" t="str">
        <x:v>25.108638600830734</x:v>
      </x:c>
      <x:c r="F741" s="9" t="str">
        <x:v>grid_cells_within_BIG_polygon</x:v>
      </x:c>
      <x:c r="G741" s="6" t="str">
        <x:v>11</x:v>
      </x:c>
      <x:c r="H741" s="8" t="str">
        <x:v>87.32371358983048</x:v>
      </x:c>
      <x:c r="I741" s="6" t="str">
        <x:v>14.753144431251368</x:v>
      </x:c>
      <x:c r="J741" s="6" t="str">
        <x:v>31</x:v>
      </x:c>
      <x:c r="K741" s="6" t="str">
        <x:v>457.3474773687924</x:v>
      </x:c>
      <x:c r="L741" s="6" t="str">
        <x:v>24.6570718564701</x:v>
      </x:c>
      <x:c r="M741" s="6" t="str">
        <x:v>0.4307814159546984</x:v>
      </x:c>
      <x:c r="N741" s="6" t="str">
        <x:v>83.07998351442912</x:v>
      </x:c>
      <x:c r="O741" s="6" t="str">
        <x:v>3.0755514718162913</x:v>
      </x:c>
      <x:c r="P741" s="6" t="str">
        <x:v>131.63077251639513</x:v>
      </x:c>
      <x:c r="Q741" s="6" t="str">
        <x:v>110.65143278790069</x:v>
      </x:c>
      <x:c r="R741" s="6" t="str">
        <x:v>0.45156674436063327</x:v>
      </x:c>
      <x:c r="S741" s="8" t="str">
        <x:v>1.0482502903702808</x:v>
      </x:c>
      <x:c r="T741" s="6" t="str">
        <x:v>4.243730075401359</x:v>
      </x:c>
      <x:c r="U741" s="8" t="str">
        <x:v>1.379827362438903</x:v>
      </x:c>
      <x:c r="V741" s="6" t="str">
        <x:v>325.71670485239724</x:v>
      </x:c>
      <x:c r="W741" s="8" t="str">
        <x:v>2.9436284433545366</x:v>
      </x:c>
      <x:c r="X741" s="6" t="str">
        <x:v>1.8090586245950118</x:v>
      </x:c>
      <x:c r="Y741" s="6" t="str">
        <x:v>1.216251645137186</x:v>
      </x:c>
      <x:c r="Z741" s="6" t="str">
        <x:v>1.3578535200341595</x:v>
      </x:c>
      <x:c r="AA741" s="6" t="str">
        <x:v>1.4184726721245862</x:v>
      </x:c>
      <x:c r="AB741" s="6" t="str">
        <x:v>1.120537487394802</x:v>
      </x:c>
      <x:c r="AC741" s="6" t="str">
        <x:v>1.306279173986097</x:v>
      </x:c>
      <x:c r="AD741" s="6" t="str">
        <x:v>1.2489190857561714</x:v>
      </x:c>
      <x:c r="AE741" s="6" t="str">
        <x:v>2.255704220489132</x:v>
      </x:c>
      <x:c r="AF741" s="6" t="str">
        <x:v>2.1494172498666133</x:v>
      </x:c>
      <x:c r="AG741" s="6" t="str">
        <x:v>1</x:v>
      </x:c>
      <x:c r="AH741" s="6" t="str">
        <x:v>1</x:v>
      </x:c>
      <x:c r="AI741" s="6" t="str">
        <x:v>2025-08</x:v>
      </x:c>
      <x:c r="AJ741" s="9" t="str">
        <x:v>NASA POWER (MERRA-2 meteorology)</x:v>
      </x:c>
      <x:c r="AK741" s="9" t="str">
        <x:v>Badan Informasi Geospasial (BIG)</x:v>
      </x:c>
      <x:c r="AL741" s="9" t="str">
        <x:v>https://power.larc.nasa.gov/docs/services/api/temporal/monthly/</x:v>
      </x:c>
      <x:c r="AM741" s="9" t="str">
        <x:v>https://geoservices.big.go.id/rbi/rest/services/BATASWILAYAH/BATAS_WILAYAH/MapServer/12</x:v>
      </x:c>
    </x:row>
    <x:row r="742" ht="18" customHeight="1">
      <x:c r="A742" s="6" t="str">
        <x:v>81</x:v>
      </x:c>
      <x:c r="B742" s="6" t="str">
        <x:v>MALUKU</x:v>
      </x:c>
      <x:c r="C742" s="6" t="str">
        <x:v>2025</x:v>
      </x:c>
      <x:c r="D742" s="6" t="str">
        <x:v>9</x:v>
      </x:c>
      <x:c r="E742" s="6" t="str">
        <x:v>25.759017803967026</x:v>
      </x:c>
      <x:c r="F742" s="9" t="str">
        <x:v>grid_cells_within_BIG_polygon</x:v>
      </x:c>
      <x:c r="G742" s="6" t="str">
        <x:v>11</x:v>
      </x:c>
      <x:c r="H742" s="8" t="str">
        <x:v>84.99072738598124</x:v>
      </x:c>
      <x:c r="I742" s="6" t="str">
        <x:v>9.572076889535726</x:v>
      </x:c>
      <x:c r="J742" s="6" t="str">
        <x:v>30</x:v>
      </x:c>
      <x:c r="K742" s="6" t="str">
        <x:v>287.16230668607176</x:v>
      </x:c>
      <x:c r="L742" s="6" t="str">
        <x:v>25.43090450771787</x:v>
      </x:c>
      <x:c r="M742" s="6" t="str">
        <x:v>0.3793792704477408</x:v>
      </x:c>
      <x:c r="N742" s="6" t="str">
        <x:v>80.85678164462124</x:v>
      </x:c>
      <x:c r="O742" s="6" t="str">
        <x:v>3.5936638280924784</x:v>
      </x:c>
      <x:c r="P742" s="6" t="str">
        <x:v>108.17136409765115</x:v>
      </x:c>
      <x:c r="Q742" s="6" t="str">
        <x:v>61.25423996686667</x:v>
      </x:c>
      <x:c r="R742" s="6" t="str">
        <x:v>0.32811329624915686</x:v>
      </x:c>
      <x:c r="S742" s="8" t="str">
        <x:v>0.8648688049347552</x:v>
      </x:c>
      <x:c r="T742" s="6" t="str">
        <x:v>4.133945741360009</x:v>
      </x:c>
      <x:c r="U742" s="8" t="str">
        <x:v>1.1503429199592976</x:v>
      </x:c>
      <x:c r="V742" s="6" t="str">
        <x:v>178.9909425884206</x:v>
      </x:c>
      <x:c r="W742" s="8" t="str">
        <x:v>2.922098824264891</x:v>
      </x:c>
      <x:c r="X742" s="6" t="str">
        <x:v>1.0482502903702808</x:v>
      </x:c>
      <x:c r="Y742" s="6" t="str">
        <x:v>1.8090586245950118</x:v>
      </x:c>
      <x:c r="Z742" s="6" t="str">
        <x:v>1.2407259066333494</x:v>
      </x:c>
      <x:c r="AA742" s="6" t="str">
        <x:v>1.379827362438903</x:v>
      </x:c>
      <x:c r="AB742" s="6" t="str">
        <x:v>1.4184726721245862</x:v>
      </x:c>
      <x:c r="AC742" s="6" t="str">
        <x:v>1.3162143181742623</x:v>
      </x:c>
      <x:c r="AD742" s="6" t="str">
        <x:v>2.9436284433545366</x:v>
      </x:c>
      <x:c r="AE742" s="6" t="str">
        <x:v>1.2489190857561714</x:v>
      </x:c>
      <x:c r="AF742" s="6" t="str">
        <x:v>2.371548784458533</x:v>
      </x:c>
      <x:c r="AG742" s="6" t="str">
        <x:v>1</x:v>
      </x:c>
      <x:c r="AH742" s="6" t="str">
        <x:v>0</x:v>
      </x:c>
      <x:c r="AI742" s="6" t="str">
        <x:v>2025-09</x:v>
      </x:c>
      <x:c r="AJ742" s="9" t="str">
        <x:v>NASA POWER (MERRA-2 meteorology)</x:v>
      </x:c>
      <x:c r="AK742" s="9" t="str">
        <x:v>Badan Informasi Geospasial (BIG)</x:v>
      </x:c>
      <x:c r="AL742" s="9" t="str">
        <x:v>https://power.larc.nasa.gov/docs/services/api/temporal/monthly/</x:v>
      </x:c>
      <x:c r="AM742" s="9" t="str">
        <x:v>https://geoservices.big.go.id/rbi/rest/services/BATASWILAYAH/BATAS_WILAYAH/MapServer/12</x:v>
      </x:c>
    </x:row>
    <x:row r="743" ht="18" customHeight="1">
      <x:c r="A743" s="6" t="str">
        <x:v>81</x:v>
      </x:c>
      <x:c r="B743" s="6" t="str">
        <x:v>MALUKU</x:v>
      </x:c>
      <x:c r="C743" s="6" t="str">
        <x:v>2025</x:v>
      </x:c>
      <x:c r="D743" s="6" t="str">
        <x:v>10</x:v>
      </x:c>
      <x:c r="E743" s="6" t="str">
        <x:v>26.62556367830078</x:v>
      </x:c>
      <x:c r="F743" s="9" t="str">
        <x:v>grid_cells_within_BIG_polygon</x:v>
      </x:c>
      <x:c r="G743" s="6" t="str">
        <x:v>11</x:v>
      </x:c>
      <x:c r="H743" s="8" t="str">
        <x:v>83.3765255064854</x:v>
      </x:c>
      <x:c r="I743" s="6" t="str">
        <x:v>4.914586207011942</x:v>
      </x:c>
      <x:c r="J743" s="6" t="str">
        <x:v>31</x:v>
      </x:c>
      <x:c r="K743" s="6" t="str">
        <x:v>152.35217241737018</x:v>
      </x:c>
      <x:c r="L743" s="6" t="str">
        <x:v>26.45662307137316</x:v>
      </x:c>
      <x:c r="M743" s="6" t="str">
        <x:v>0.3088163740119739</x:v>
      </x:c>
      <x:c r="N743" s="6" t="str">
        <x:v>78.743993610262</x:v>
      </x:c>
      <x:c r="O743" s="6" t="str">
        <x:v>3.984636979843724</x:v>
      </x:c>
      <x:c r="P743" s="6" t="str">
        <x:v>91.98450662977265</x:v>
      </x:c>
      <x:c r="Q743" s="6" t="str">
        <x:v>52.734226476063725</x:v>
      </x:c>
      <x:c r="R743" s="6" t="str">
        <x:v>0.16894060692762025</x:v>
      </x:c>
      <x:c r="S743" s="8" t="str">
        <x:v>0.5470584500842233</x:v>
      </x:c>
      <x:c r="T743" s="6" t="str">
        <x:v>4.632531896223398</x:v>
      </x:c>
      <x:c r="U743" s="8" t="str">
        <x:v>1.162598229062534</x:v>
      </x:c>
      <x:c r="V743" s="6" t="str">
        <x:v>60.36766578759753</x:v>
      </x:c>
      <x:c r="W743" s="8" t="str">
        <x:v>1.1447530346348904</x:v>
      </x:c>
      <x:c r="X743" s="6" t="str">
        <x:v>0.8648688049347552</x:v>
      </x:c>
      <x:c r="Y743" s="6" t="str">
        <x:v>1.0482502903702808</x:v>
      </x:c>
      <x:c r="Z743" s="6" t="str">
        <x:v>0.8200591817964198</x:v>
      </x:c>
      <x:c r="AA743" s="6" t="str">
        <x:v>1.1503429199592976</x:v>
      </x:c>
      <x:c r="AB743" s="6" t="str">
        <x:v>1.379827362438903</x:v>
      </x:c>
      <x:c r="AC743" s="6" t="str">
        <x:v>1.2309228371535783</x:v>
      </x:c>
      <x:c r="AD743" s="6" t="str">
        <x:v>2.922098824264891</x:v>
      </x:c>
      <x:c r="AE743" s="6" t="str">
        <x:v>2.9436284433545366</x:v>
      </x:c>
      <x:c r="AF743" s="6" t="str">
        <x:v>2.336826767418106</x:v>
      </x:c>
      <x:c r="AG743" s="6" t="str">
        <x:v>1</x:v>
      </x:c>
      <x:c r="AH743" s="6" t="str">
        <x:v>0</x:v>
      </x:c>
      <x:c r="AI743" s="6" t="str">
        <x:v>2025-10</x:v>
      </x:c>
      <x:c r="AJ743" s="9" t="str">
        <x:v>NASA POWER (MERRA-2 meteorology)</x:v>
      </x:c>
      <x:c r="AK743" s="9" t="str">
        <x:v>Badan Informasi Geospasial (BIG)</x:v>
      </x:c>
      <x:c r="AL743" s="9" t="str">
        <x:v>https://power.larc.nasa.gov/docs/services/api/temporal/monthly/</x:v>
      </x:c>
      <x:c r="AM743" s="9" t="str">
        <x:v>https://geoservices.big.go.id/rbi/rest/services/BATASWILAYAH/BATAS_WILAYAH/MapServer/12</x:v>
      </x:c>
    </x:row>
    <x:row r="744" ht="18" customHeight="1">
      <x:c r="A744" s="6" t="str">
        <x:v>81</x:v>
      </x:c>
      <x:c r="B744" s="6" t="str">
        <x:v>MALUKU</x:v>
      </x:c>
      <x:c r="C744" s="6" t="str">
        <x:v>2025</x:v>
      </x:c>
      <x:c r="D744" s="6" t="str">
        <x:v>11</x:v>
      </x:c>
      <x:c r="E744" s="6" t="str">
        <x:v>27.057998755823938</x:v>
      </x:c>
      <x:c r="F744" s="9" t="str">
        <x:v>grid_cells_within_BIG_polygon</x:v>
      </x:c>
      <x:c r="G744" s="6" t="str">
        <x:v>11</x:v>
      </x:c>
      <x:c r="H744" s="8" t="str">
        <x:v>83.10918902527709</x:v>
      </x:c>
      <x:c r="I744" s="6" t="str">
        <x:v>6.24994350900033</x:v>
      </x:c>
      <x:c r="J744" s="6" t="str">
        <x:v>30</x:v>
      </x:c>
      <x:c r="K744" s="6" t="str">
        <x:v>187.4983052700099</x:v>
      </x:c>
      <x:c r="L744" s="6" t="str">
        <x:v>27.228531019762023</x:v>
      </x:c>
      <x:c r="M744" s="6" t="str">
        <x:v>0.48580799797885266</x:v>
      </x:c>
      <x:c r="N744" s="6" t="str">
        <x:v>77.53251941644712</x:v>
      </x:c>
      <x:c r="O744" s="6" t="str">
        <x:v>4.507018263015561</x:v>
      </x:c>
      <x:c r="P744" s="6" t="str">
        <x:v>109.14402474414969</x:v>
      </x:c>
      <x:c r="Q744" s="6" t="str">
        <x:v>52.92203081674131</x:v>
      </x:c>
      <x:c r="R744" s="6" t="str">
        <x:v>-0.1705322639380853</x:v>
      </x:c>
      <x:c r="S744" s="8" t="str">
        <x:v>-0.35102811120353067</x:v>
      </x:c>
      <x:c r="T744" s="6" t="str">
        <x:v>5.576669608829974</x:v>
      </x:c>
      <x:c r="U744" s="8" t="str">
        <x:v>1.2373301556356973</x:v>
      </x:c>
      <x:c r="V744" s="6" t="str">
        <x:v>78.3542805258602</x:v>
      </x:c>
      <x:c r="W744" s="8" t="str">
        <x:v>1.4805607289936742</x:v>
      </x:c>
      <x:c r="X744" s="6" t="str">
        <x:v>0.5470584500842233</x:v>
      </x:c>
      <x:c r="Y744" s="6" t="str">
        <x:v>0.8648688049347552</x:v>
      </x:c>
      <x:c r="Z744" s="6" t="str">
        <x:v>0.3536330479384826</x:v>
      </x:c>
      <x:c r="AA744" s="6" t="str">
        <x:v>1.162598229062534</x:v>
      </x:c>
      <x:c r="AB744" s="6" t="str">
        <x:v>1.1503429199592976</x:v>
      </x:c>
      <x:c r="AC744" s="6" t="str">
        <x:v>1.1834237682191764</x:v>
      </x:c>
      <x:c r="AD744" s="6" t="str">
        <x:v>1.1447530346348904</x:v>
      </x:c>
      <x:c r="AE744" s="6" t="str">
        <x:v>2.922098824264891</x:v>
      </x:c>
      <x:c r="AF744" s="6" t="str">
        <x:v>1.8491375292978187</x:v>
      </x:c>
      <x:c r="AG744" s="6" t="str">
        <x:v>1</x:v>
      </x:c>
      <x:c r="AH744" s="6" t="str">
        <x:v>0</x:v>
      </x:c>
      <x:c r="AI744" s="6" t="str">
        <x:v>2025-11</x:v>
      </x:c>
      <x:c r="AJ744" s="9" t="str">
        <x:v>NASA POWER (MERRA-2 meteorology)</x:v>
      </x:c>
      <x:c r="AK744" s="9" t="str">
        <x:v>Badan Informasi Geospasial (BIG)</x:v>
      </x:c>
      <x:c r="AL744" s="9" t="str">
        <x:v>https://power.larc.nasa.gov/docs/services/api/temporal/monthly/</x:v>
      </x:c>
      <x:c r="AM744" s="9" t="str">
        <x:v>https://geoservices.big.go.id/rbi/rest/services/BATASWILAYAH/BATAS_WILAYAH/MapServer/12</x:v>
      </x:c>
    </x:row>
    <x:row r="745" ht="18" customHeight="1">
      <x:c r="A745" s="6" t="str">
        <x:v>81</x:v>
      </x:c>
      <x:c r="B745" s="6" t="str">
        <x:v>MALUKU</x:v>
      </x:c>
      <x:c r="C745" s="6" t="str">
        <x:v>2025</x:v>
      </x:c>
      <x:c r="D745" s="6" t="str">
        <x:v>12</x:v>
      </x:c>
      <x:c r="E745" s="6" t="str">
        <x:v>26.72043111020622</x:v>
      </x:c>
      <x:c r="F745" s="9" t="str">
        <x:v>grid_cells_within_BIG_polygon</x:v>
      </x:c>
      <x:c r="G745" s="6" t="str">
        <x:v>11</x:v>
      </x:c>
      <x:c r="H745" s="8" t="str">
        <x:v>84.91651778002134</x:v>
      </x:c>
      <x:c r="I745" s="6" t="str">
        <x:v>7.126862195582746</x:v>
      </x:c>
      <x:c r="J745" s="6" t="str">
        <x:v>31</x:v>
      </x:c>
      <x:c r="K745" s="6" t="str">
        <x:v>220.9327280630651</x:v>
      </x:c>
      <x:c r="L745" s="6" t="str">
        <x:v>26.864748329652855</x:v>
      </x:c>
      <x:c r="M745" s="6" t="str">
        <x:v>0.6096897338934507</x:v>
      </x:c>
      <x:c r="N745" s="6" t="str">
        <x:v>81.85005734860407</x:v>
      </x:c>
      <x:c r="O745" s="6" t="str">
        <x:v>3.6809299132507896</x:v>
      </x:c>
      <x:c r="P745" s="6" t="str">
        <x:v>201.40431862652028</x:v>
      </x:c>
      <x:c r="Q745" s="6" t="str">
        <x:v>64.09926418335408</x:v>
      </x:c>
      <x:c r="R745" s="6" t="str">
        <x:v>-0.14431721944663423</x:v>
      </x:c>
      <x:c r="S745" s="8" t="str">
        <x:v>-0.23670600212509907</x:v>
      </x:c>
      <x:c r="T745" s="6" t="str">
        <x:v>3.066460431417269</x:v>
      </x:c>
      <x:c r="U745" s="8" t="str">
        <x:v>0.8330667803205045</x:v>
      </x:c>
      <x:c r="V745" s="6" t="str">
        <x:v>19.52840943654482</x:v>
      </x:c>
      <x:c r="W745" s="8" t="str">
        <x:v>0.30465887066479225</x:v>
      </x:c>
      <x:c r="X745" s="6" t="str">
        <x:v>-0.35102811120353067</x:v>
      </x:c>
      <x:c r="Y745" s="6" t="str">
        <x:v>0.5470584500842233</x:v>
      </x:c>
      <x:c r="Z745" s="6" t="str">
        <x:v>-0.013558554414802157</x:v>
      </x:c>
      <x:c r="AA745" s="6" t="str">
        <x:v>1.2373301556356973</x:v>
      </x:c>
      <x:c r="AB745" s="6" t="str">
        <x:v>1.162598229062534</x:v>
      </x:c>
      <x:c r="AC745" s="6" t="str">
        <x:v>1.0776650550062454</x:v>
      </x:c>
      <x:c r="AD745" s="6" t="str">
        <x:v>1.4805607289936742</x:v>
      </x:c>
      <x:c r="AE745" s="6" t="str">
        <x:v>1.1447530346348904</x:v>
      </x:c>
      <x:c r="AF745" s="6" t="str">
        <x:v>0.9766575447644521</x:v>
      </x:c>
      <x:c r="AG745" s="6" t="str">
        <x:v>0</x:v>
      </x:c>
      <x:c r="AH745" s="6" t="str">
        <x:v>0</x:v>
      </x:c>
      <x:c r="AI745" s="6" t="str">
        <x:v>2025-12</x:v>
      </x:c>
      <x:c r="AJ745" s="9" t="str">
        <x:v>NASA POWER (MERRA-2 meteorology)</x:v>
      </x:c>
      <x:c r="AK745" s="9" t="str">
        <x:v>Badan Informasi Geospasial (BIG)</x:v>
      </x:c>
      <x:c r="AL745" s="9" t="str">
        <x:v>https://power.larc.nasa.gov/docs/services/api/temporal/monthly/</x:v>
      </x:c>
      <x:c r="AM745" s="9" t="str">
        <x:v>https://geoservices.big.go.id/rbi/rest/services/BATASWILAYAH/BATAS_WILAYAH/MapServer/12</x:v>
      </x:c>
    </x:row>
    <x:row r="746" ht="18" customHeight="1">
      <x:c r="A746" s="6" t="str">
        <x:v>82</x:v>
      </x:c>
      <x:c r="B746" s="6" t="str">
        <x:v>MALUKU UTARA</x:v>
      </x:c>
      <x:c r="C746" s="6" t="str">
        <x:v>2024</x:v>
      </x:c>
      <x:c r="D746" s="6" t="str">
        <x:v>1</x:v>
      </x:c>
      <x:c r="E746" s="6" t="str">
        <x:v>27.737999558490714</x:v>
      </x:c>
      <x:c r="F746" s="9" t="str">
        <x:v>grid_cells_within_BIG_polygon</x:v>
      </x:c>
      <x:c r="G746" s="6" t="str">
        <x:v>5</x:v>
      </x:c>
      <x:c r="H746" s="8" t="str">
        <x:v>80.09395929984136</x:v>
      </x:c>
      <x:c r="I746" s="6" t="str">
        <x:v>6.988108998629761</x:v>
      </x:c>
      <x:c r="J746" s="6" t="str">
        <x:v>31</x:v>
      </x:c>
      <x:c r="K746" s="6" t="str">
        <x:v>216.63137895752257</x:v>
      </x:c>
      <x:c r="L746" s="6" t="str">
        <x:v>26.74806338145215</x:v>
      </x:c>
      <x:c r="M746" s="6" t="str">
        <x:v>0.5852655818151918</x:v>
      </x:c>
      <x:c r="N746" s="6" t="str">
        <x:v>81.35616668518506</x:v>
      </x:c>
      <x:c r="O746" s="6" t="str">
        <x:v>4.053480511330206</x:v>
      </x:c>
      <x:c r="P746" s="6" t="str">
        <x:v>181.85781947061477</x:v>
      </x:c>
      <x:c r="Q746" s="6" t="str">
        <x:v>79.92284998401182</x:v>
      </x:c>
      <x:c r="R746" s="6" t="str">
        <x:v>0.9899361770385653</x:v>
      </x:c>
      <x:c r="S746" s="8" t="str">
        <x:v>1.6914307073521975</x:v>
      </x:c>
      <x:c r="T746" s="6" t="str">
        <x:v>-1.2622073853437001</x:v>
      </x:c>
      <x:c r="U746" s="8" t="str">
        <x:v>-0.3113885417274374</x:v>
      </x:c>
      <x:c r="V746" s="6" t="str">
        <x:v>34.7735594869078</x:v>
      </x:c>
      <x:c r="W746" s="8" t="str">
        <x:v>0.435089082707437</x:v>
      </x:c>
      <x:c r="X746" s="6" t="str">
        <x:v>2.2833245397263298</x:v>
      </x:c>
      <x:c r="Y746" s="6" t="str">
        <x:v>1.6547411435941737</x:v>
      </x:c>
      <x:c r="Z746" s="6" t="str">
        <x:v>1.8764987968909006</x:v>
      </x:c>
      <x:c r="AA746" s="6" t="str">
        <x:v>-1.0022955888338976</x:v>
      </x:c>
      <x:c r="AB746" s="6" t="str">
        <x:v>-0.4767859460053456</x:v>
      </x:c>
      <x:c r="AC746" s="6" t="str">
        <x:v>-0.5968233588555603</x:v>
      </x:c>
      <x:c r="AD746" s="6" t="str">
        <x:v>-1.3231436986943927</x:v>
      </x:c>
      <x:c r="AE746" s="6" t="str">
        <x:v>-0.9774629087887495</x:v>
      </x:c>
      <x:c r="AF746" s="6" t="str">
        <x:v>-0.6218391749252355</x:v>
      </x:c>
      <x:c r="AG746" s="6" t="str">
        <x:v>0</x:v>
      </x:c>
      <x:c r="AH746" s="6" t="str">
        <x:v>1</x:v>
      </x:c>
      <x:c r="AI746" s="6" t="str">
        <x:v>2024-01</x:v>
      </x:c>
      <x:c r="AJ746" s="9" t="str">
        <x:v>NASA POWER (MERRA-2 meteorology)</x:v>
      </x:c>
      <x:c r="AK746" s="9" t="str">
        <x:v>Badan Informasi Geospasial (BIG)</x:v>
      </x:c>
      <x:c r="AL746" s="9" t="str">
        <x:v>https://power.larc.nasa.gov/docs/services/api/temporal/monthly/</x:v>
      </x:c>
      <x:c r="AM746" s="9" t="str">
        <x:v>https://geoservices.big.go.id/rbi/rest/services/BATASWILAYAH/BATAS_WILAYAH/MapServer/12</x:v>
      </x:c>
    </x:row>
    <x:row r="747" ht="18" customHeight="1">
      <x:c r="A747" s="6" t="str">
        <x:v>82</x:v>
      </x:c>
      <x:c r="B747" s="6" t="str">
        <x:v>MALUKU UTARA</x:v>
      </x:c>
      <x:c r="C747" s="6" t="str">
        <x:v>2024</x:v>
      </x:c>
      <x:c r="D747" s="6" t="str">
        <x:v>2</x:v>
      </x:c>
      <x:c r="E747" s="6" t="str">
        <x:v>27.729995507100806</x:v>
      </x:c>
      <x:c r="F747" s="9" t="str">
        <x:v>grid_cells_within_BIG_polygon</x:v>
      </x:c>
      <x:c r="G747" s="6" t="str">
        <x:v>5</x:v>
      </x:c>
      <x:c r="H747" s="8" t="str">
        <x:v>79.27996983883048</x:v>
      </x:c>
      <x:c r="I747" s="6" t="str">
        <x:v>2.559989718406629</x:v>
      </x:c>
      <x:c r="J747" s="6" t="str">
        <x:v>29</x:v>
      </x:c>
      <x:c r="K747" s="6" t="str">
        <x:v>74.23970183379224</x:v>
      </x:c>
      <x:c r="L747" s="6" t="str">
        <x:v>26.76026505292391</x:v>
      </x:c>
      <x:c r="M747" s="6" t="str">
        <x:v>0.5765782932161371</x:v>
      </x:c>
      <x:c r="N747" s="6" t="str">
        <x:v>80.83434554426644</x:v>
      </x:c>
      <x:c r="O747" s="6" t="str">
        <x:v>4.107773040274098</x:v>
      </x:c>
      <x:c r="P747" s="6" t="str">
        <x:v>155.8947059134629</x:v>
      </x:c>
      <x:c r="Q747" s="6" t="str">
        <x:v>77.41746186601307</x:v>
      </x:c>
      <x:c r="R747" s="6" t="str">
        <x:v>0.9697304541768972</x:v>
      </x:c>
      <x:c r="S747" s="8" t="str">
        <x:v>1.681871249033273</x:v>
      </x:c>
      <x:c r="T747" s="6" t="str">
        <x:v>-1.5543757054359588</x:v>
      </x:c>
      <x:c r="U747" s="8" t="str">
        <x:v>-0.37839863356526643</x:v>
      </x:c>
      <x:c r="V747" s="6" t="str">
        <x:v>-81.65500407967066</x:v>
      </x:c>
      <x:c r="W747" s="8" t="str">
        <x:v>-1.0547362586103834</x:v>
      </x:c>
      <x:c r="X747" s="6" t="str">
        <x:v>1.6914307073521975</x:v>
      </x:c>
      <x:c r="Y747" s="6" t="str">
        <x:v>2.2833245397263298</x:v>
      </x:c>
      <x:c r="Z747" s="6" t="str">
        <x:v>1.8855421653706006</x:v>
      </x:c>
      <x:c r="AA747" s="6" t="str">
        <x:v>-0.3113885417274374</x:v>
      </x:c>
      <x:c r="AB747" s="6" t="str">
        <x:v>-1.0022955888338976</x:v>
      </x:c>
      <x:c r="AC747" s="6" t="str">
        <x:v>-0.5640275880422005</x:v>
      </x:c>
      <x:c r="AD747" s="6" t="str">
        <x:v>0.435089082707437</x:v>
      </x:c>
      <x:c r="AE747" s="6" t="str">
        <x:v>-1.3231436986943927</x:v>
      </x:c>
      <x:c r="AF747" s="6" t="str">
        <x:v>-0.6475969581991134</x:v>
      </x:c>
      <x:c r="AG747" s="6" t="str">
        <x:v>0</x:v>
      </x:c>
      <x:c r="AH747" s="6" t="str">
        <x:v>1</x:v>
      </x:c>
      <x:c r="AI747" s="6" t="str">
        <x:v>2024-02</x:v>
      </x:c>
      <x:c r="AJ747" s="9" t="str">
        <x:v>NASA POWER (MERRA-2 meteorology)</x:v>
      </x:c>
      <x:c r="AK747" s="9" t="str">
        <x:v>Badan Informasi Geospasial (BIG)</x:v>
      </x:c>
      <x:c r="AL747" s="9" t="str">
        <x:v>https://power.larc.nasa.gov/docs/services/api/temporal/monthly/</x:v>
      </x:c>
      <x:c r="AM747" s="9" t="str">
        <x:v>https://geoservices.big.go.id/rbi/rest/services/BATASWILAYAH/BATAS_WILAYAH/MapServer/12</x:v>
      </x:c>
    </x:row>
    <x:row r="748" ht="18" customHeight="1">
      <x:c r="A748" s="6" t="str">
        <x:v>82</x:v>
      </x:c>
      <x:c r="B748" s="6" t="str">
        <x:v>MALUKU UTARA</x:v>
      </x:c>
      <x:c r="C748" s="6" t="str">
        <x:v>2024</x:v>
      </x:c>
      <x:c r="D748" s="6" t="str">
        <x:v>3</x:v>
      </x:c>
      <x:c r="E748" s="6" t="str">
        <x:v>28.084001873910378</x:v>
      </x:c>
      <x:c r="F748" s="9" t="str">
        <x:v>grid_cells_within_BIG_polygon</x:v>
      </x:c>
      <x:c r="G748" s="6" t="str">
        <x:v>5</x:v>
      </x:c>
      <x:c r="H748" s="8" t="str">
        <x:v>77.75193631423173</x:v>
      </x:c>
      <x:c r="I748" s="6" t="str">
        <x:v>3.821977746784399</x:v>
      </x:c>
      <x:c r="J748" s="6" t="str">
        <x:v>31</x:v>
      </x:c>
      <x:c r="K748" s="6" t="str">
        <x:v>118.48131015031638</x:v>
      </x:c>
      <x:c r="L748" s="6" t="str">
        <x:v>26.979603476227066</x:v>
      </x:c>
      <x:c r="M748" s="6" t="str">
        <x:v>0.5722054658766591</x:v>
      </x:c>
      <x:c r="N748" s="6" t="str">
        <x:v>79.91865722305847</x:v>
      </x:c>
      <x:c r="O748" s="6" t="str">
        <x:v>3.7185331460877182</x:v>
      </x:c>
      <x:c r="P748" s="6" t="str">
        <x:v>168.7932675782566</x:v>
      </x:c>
      <x:c r="Q748" s="6" t="str">
        <x:v>79.08176248311113</x:v>
      </x:c>
      <x:c r="R748" s="6" t="str">
        <x:v>1.1043983976833118</x:v>
      </x:c>
      <x:c r="S748" s="8" t="str">
        <x:v>1.9300731355148726</x:v>
      </x:c>
      <x:c r="T748" s="6" t="str">
        <x:v>-2.166720908826747</x:v>
      </x:c>
      <x:c r="U748" s="8" t="str">
        <x:v>-0.5826816176444095</x:v>
      </x:c>
      <x:c r="V748" s="6" t="str">
        <x:v>-50.31195742794023</x:v>
      </x:c>
      <x:c r="W748" s="8" t="str">
        <x:v>-0.6362017720417518</x:v>
      </x:c>
      <x:c r="X748" s="6" t="str">
        <x:v>1.681871249033273</x:v>
      </x:c>
      <x:c r="Y748" s="6" t="str">
        <x:v>1.6914307073521975</x:v>
      </x:c>
      <x:c r="Z748" s="6" t="str">
        <x:v>1.7677916973001147</x:v>
      </x:c>
      <x:c r="AA748" s="6" t="str">
        <x:v>-0.37839863356526643</x:v>
      </x:c>
      <x:c r="AB748" s="6" t="str">
        <x:v>-0.3113885417274374</x:v>
      </x:c>
      <x:c r="AC748" s="6" t="str">
        <x:v>-0.42415626431237125</x:v>
      </x:c>
      <x:c r="AD748" s="6" t="str">
        <x:v>-1.0547362586103834</x:v>
      </x:c>
      <x:c r="AE748" s="6" t="str">
        <x:v>0.435089082707437</x:v>
      </x:c>
      <x:c r="AF748" s="6" t="str">
        <x:v>-0.4186163159815665</x:v>
      </x:c>
      <x:c r="AG748" s="6" t="str">
        <x:v>0</x:v>
      </x:c>
      <x:c r="AH748" s="6" t="str">
        <x:v>1</x:v>
      </x:c>
      <x:c r="AI748" s="6" t="str">
        <x:v>2024-03</x:v>
      </x:c>
      <x:c r="AJ748" s="9" t="str">
        <x:v>NASA POWER (MERRA-2 meteorology)</x:v>
      </x:c>
      <x:c r="AK748" s="9" t="str">
        <x:v>Badan Informasi Geospasial (BIG)</x:v>
      </x:c>
      <x:c r="AL748" s="9" t="str">
        <x:v>https://power.larc.nasa.gov/docs/services/api/temporal/monthly/</x:v>
      </x:c>
      <x:c r="AM748" s="9" t="str">
        <x:v>https://geoservices.big.go.id/rbi/rest/services/BATASWILAYAH/BATAS_WILAYAH/MapServer/12</x:v>
      </x:c>
    </x:row>
    <x:row r="749" ht="18" customHeight="1">
      <x:c r="A749" s="6" t="str">
        <x:v>82</x:v>
      </x:c>
      <x:c r="B749" s="6" t="str">
        <x:v>MALUKU UTARA</x:v>
      </x:c>
      <x:c r="C749" s="6" t="str">
        <x:v>2024</x:v>
      </x:c>
      <x:c r="D749" s="6" t="str">
        <x:v>4</x:v>
      </x:c>
      <x:c r="E749" s="6" t="str">
        <x:v>28.128001995396044</x:v>
      </x:c>
      <x:c r="F749" s="9" t="str">
        <x:v>grid_cells_within_BIG_polygon</x:v>
      </x:c>
      <x:c r="G749" s="6" t="str">
        <x:v>5</x:v>
      </x:c>
      <x:c r="H749" s="8" t="str">
        <x:v>78.87998004754763</x:v>
      </x:c>
      <x:c r="I749" s="6" t="str">
        <x:v>7.241995870803765</x:v>
      </x:c>
      <x:c r="J749" s="6" t="str">
        <x:v>30</x:v>
      </x:c>
      <x:c r="K749" s="6" t="str">
        <x:v>217.25987612411296</x:v>
      </x:c>
      <x:c r="L749" s="6" t="str">
        <x:v>27.191935568015243</x:v>
      </x:c>
      <x:c r="M749" s="6" t="str">
        <x:v>0.5137017133358404</x:v>
      </x:c>
      <x:c r="N749" s="6" t="str">
        <x:v>80.08616656693287</x:v>
      </x:c>
      <x:c r="O749" s="6" t="str">
        <x:v>3.001486666470765</x:v>
      </x:c>
      <x:c r="P749" s="6" t="str">
        <x:v>182.5949277502418</x:v>
      </x:c>
      <x:c r="Q749" s="6" t="str">
        <x:v>68.42895269595915</x:v>
      </x:c>
      <x:c r="R749" s="6" t="str">
        <x:v>0.9360664273808013</x:v>
      </x:c>
      <x:c r="S749" s="8" t="str">
        <x:v>1.8221983752054054</x:v>
      </x:c>
      <x:c r="T749" s="6" t="str">
        <x:v>-1.2061865193852412</x:v>
      </x:c>
      <x:c r="U749" s="8" t="str">
        <x:v>-0.40186302769870713</x:v>
      </x:c>
      <x:c r="V749" s="6" t="str">
        <x:v>34.66494837387117</x:v>
      </x:c>
      <x:c r="W749" s="8" t="str">
        <x:v>0.5065830618202373</x:v>
      </x:c>
      <x:c r="X749" s="6" t="str">
        <x:v>1.9300731355148726</x:v>
      </x:c>
      <x:c r="Y749" s="6" t="str">
        <x:v>1.681871249033273</x:v>
      </x:c>
      <x:c r="Z749" s="6" t="str">
        <x:v>1.8113809199178508</x:v>
      </x:c>
      <x:c r="AA749" s="6" t="str">
        <x:v>-0.5826816176444095</x:v>
      </x:c>
      <x:c r="AB749" s="6" t="str">
        <x:v>-0.37839863356526643</x:v>
      </x:c>
      <x:c r="AC749" s="6" t="str">
        <x:v>-0.45431442630279445</x:v>
      </x:c>
      <x:c r="AD749" s="6" t="str">
        <x:v>-0.6362017720417518</x:v>
      </x:c>
      <x:c r="AE749" s="6" t="str">
        <x:v>-1.0547362586103834</x:v>
      </x:c>
      <x:c r="AF749" s="6" t="str">
        <x:v>-0.394784989610633</x:v>
      </x:c>
      <x:c r="AG749" s="6" t="str">
        <x:v>0</x:v>
      </x:c>
      <x:c r="AH749" s="6" t="str">
        <x:v>1</x:v>
      </x:c>
      <x:c r="AI749" s="6" t="str">
        <x:v>2024-04</x:v>
      </x:c>
      <x:c r="AJ749" s="9" t="str">
        <x:v>NASA POWER (MERRA-2 meteorology)</x:v>
      </x:c>
      <x:c r="AK749" s="9" t="str">
        <x:v>Badan Informasi Geospasial (BIG)</x:v>
      </x:c>
      <x:c r="AL749" s="9" t="str">
        <x:v>https://power.larc.nasa.gov/docs/services/api/temporal/monthly/</x:v>
      </x:c>
      <x:c r="AM749" s="9" t="str">
        <x:v>https://geoservices.big.go.id/rbi/rest/services/BATASWILAYAH/BATAS_WILAYAH/MapServer/12</x:v>
      </x:c>
    </x:row>
    <x:row r="750" ht="18" customHeight="1">
      <x:c r="A750" s="6" t="str">
        <x:v>82</x:v>
      </x:c>
      <x:c r="B750" s="6" t="str">
        <x:v>MALUKU UTARA</x:v>
      </x:c>
      <x:c r="C750" s="6" t="str">
        <x:v>2024</x:v>
      </x:c>
      <x:c r="D750" s="6" t="str">
        <x:v>5</x:v>
      </x:c>
      <x:c r="E750" s="6" t="str">
        <x:v>28.026001782201625</x:v>
      </x:c>
      <x:c r="F750" s="9" t="str">
        <x:v>grid_cells_within_BIG_polygon</x:v>
      </x:c>
      <x:c r="G750" s="6" t="str">
        <x:v>5</x:v>
      </x:c>
      <x:c r="H750" s="8" t="str">
        <x:v>81.4099673281209</x:v>
      </x:c>
      <x:c r="I750" s="6" t="str">
        <x:v>8.214071331222343</x:v>
      </x:c>
      <x:c r="J750" s="6" t="str">
        <x:v>31</x:v>
      </x:c>
      <x:c r="K750" s="6" t="str">
        <x:v>254.63621126789263</x:v>
      </x:c>
      <x:c r="L750" s="6" t="str">
        <x:v>27.162928657654042</x:v>
      </x:c>
      <x:c r="M750" s="6" t="str">
        <x:v>0.47205309671955886</x:v>
      </x:c>
      <x:c r="N750" s="6" t="str">
        <x:v>81.16816584308967</x:v>
      </x:c>
      <x:c r="O750" s="6" t="str">
        <x:v>2.3149800784869745</x:v>
      </x:c>
      <x:c r="P750" s="6" t="str">
        <x:v>205.1578426405544</x:v>
      </x:c>
      <x:c r="Q750" s="6" t="str">
        <x:v>72.26621464338342</x:v>
      </x:c>
      <x:c r="R750" s="6" t="str">
        <x:v>0.8630731245475829</x:v>
      </x:c>
      <x:c r="S750" s="8" t="str">
        <x:v>1.8283390799580421</x:v>
      </x:c>
      <x:c r="T750" s="6" t="str">
        <x:v>0.24180148503123178</x:v>
      </x:c>
      <x:c r="U750" s="8" t="str">
        <x:v>0.10445078438397123</x:v>
      </x:c>
      <x:c r="V750" s="6" t="str">
        <x:v>49.47836862733823</x:v>
      </x:c>
      <x:c r="W750" s="8" t="str">
        <x:v>0.6846680550725149</x:v>
      </x:c>
      <x:c r="X750" s="6" t="str">
        <x:v>1.8221983752054054</x:v>
      </x:c>
      <x:c r="Y750" s="6" t="str">
        <x:v>1.9300731355148726</x:v>
      </x:c>
      <x:c r="Z750" s="6" t="str">
        <x:v>1.8602035302261068</x:v>
      </x:c>
      <x:c r="AA750" s="6" t="str">
        <x:v>-0.40186302769870713</x:v>
      </x:c>
      <x:c r="AB750" s="6" t="str">
        <x:v>-0.5826816176444095</x:v>
      </x:c>
      <x:c r="AC750" s="6" t="str">
        <x:v>-0.2933646203197152</x:v>
      </x:c>
      <x:c r="AD750" s="6" t="str">
        <x:v>0.5065830618202373</x:v>
      </x:c>
      <x:c r="AE750" s="6" t="str">
        <x:v>-0.6362017720417518</x:v>
      </x:c>
      <x:c r="AF750" s="6" t="str">
        <x:v>0.18501644828366645</x:v>
      </x:c>
      <x:c r="AG750" s="6" t="str">
        <x:v>0</x:v>
      </x:c>
      <x:c r="AH750" s="6" t="str">
        <x:v>1</x:v>
      </x:c>
      <x:c r="AI750" s="6" t="str">
        <x:v>2024-05</x:v>
      </x:c>
      <x:c r="AJ750" s="9" t="str">
        <x:v>NASA POWER (MERRA-2 meteorology)</x:v>
      </x:c>
      <x:c r="AK750" s="9" t="str">
        <x:v>Badan Informasi Geospasial (BIG)</x:v>
      </x:c>
      <x:c r="AL750" s="9" t="str">
        <x:v>https://power.larc.nasa.gov/docs/services/api/temporal/monthly/</x:v>
      </x:c>
      <x:c r="AM750" s="9" t="str">
        <x:v>https://geoservices.big.go.id/rbi/rest/services/BATASWILAYAH/BATAS_WILAYAH/MapServer/12</x:v>
      </x:c>
    </x:row>
    <x:row r="751" ht="18" customHeight="1">
      <x:c r="A751" s="6" t="str">
        <x:v>82</x:v>
      </x:c>
      <x:c r="B751" s="6" t="str">
        <x:v>MALUKU UTARA</x:v>
      </x:c>
      <x:c r="C751" s="6" t="str">
        <x:v>2024</x:v>
      </x:c>
      <x:c r="D751" s="6" t="str">
        <x:v>6</x:v>
      </x:c>
      <x:c r="E751" s="6" t="str">
        <x:v>26.913996389945375</x:v>
      </x:c>
      <x:c r="F751" s="9" t="str">
        <x:v>grid_cells_within_BIG_polygon</x:v>
      </x:c>
      <x:c r="G751" s="6" t="str">
        <x:v>5</x:v>
      </x:c>
      <x:c r="H751" s="8" t="str">
        <x:v>83.9860213564106</x:v>
      </x:c>
      <x:c r="I751" s="6" t="str">
        <x:v>10.592064795999706</x:v>
      </x:c>
      <x:c r="J751" s="6" t="str">
        <x:v>30</x:v>
      </x:c>
      <x:c r="K751" s="6" t="str">
        <x:v>317.7619438799912</x:v>
      </x:c>
      <x:c r="L751" s="6" t="str">
        <x:v>26.534059664500642</x:v>
      </x:c>
      <x:c r="M751" s="6" t="str">
        <x:v>0.35184536244017084</x:v>
      </x:c>
      <x:c r="N751" s="6" t="str">
        <x:v>82.47297340244667</x:v>
      </x:c>
      <x:c r="O751" s="6" t="str">
        <x:v>2.070602809519117</x:v>
      </x:c>
      <x:c r="P751" s="6" t="str">
        <x:v>196.97038482279538</x:v>
      </x:c>
      <x:c r="Q751" s="6" t="str">
        <x:v>85.29757459741796</x:v>
      </x:c>
      <x:c r="R751" s="6" t="str">
        <x:v>0.37993672544473256</x:v>
      </x:c>
      <x:c r="S751" s="8" t="str">
        <x:v>1.0798400831823909</x:v>
      </x:c>
      <x:c r="T751" s="6" t="str">
        <x:v>1.5130479539639339</x:v>
      </x:c>
      <x:c r="U751" s="8" t="str">
        <x:v>0.7307282434893095</x:v>
      </x:c>
      <x:c r="V751" s="6" t="str">
        <x:v>120.7915590571958</x:v>
      </x:c>
      <x:c r="W751" s="8" t="str">
        <x:v>1.4161195043036108</x:v>
      </x:c>
      <x:c r="X751" s="6" t="str">
        <x:v>1.8283390799580421</x:v>
      </x:c>
      <x:c r="Y751" s="6" t="str">
        <x:v>1.8221983752054054</x:v>
      </x:c>
      <x:c r="Z751" s="6" t="str">
        <x:v>1.5767925127819467</x:v>
      </x:c>
      <x:c r="AA751" s="6" t="str">
        <x:v>0.10445078438397123</x:v>
      </x:c>
      <x:c r="AB751" s="6" t="str">
        <x:v>-0.40186302769870713</x:v>
      </x:c>
      <x:c r="AC751" s="6" t="str">
        <x:v>0.1444386667248578</x:v>
      </x:c>
      <x:c r="AD751" s="6" t="str">
        <x:v>0.6846680550725149</x:v>
      </x:c>
      <x:c r="AE751" s="6" t="str">
        <x:v>0.5065830618202373</x:v>
      </x:c>
      <x:c r="AF751" s="6" t="str">
        <x:v>0.8691235403987873</x:v>
      </x:c>
      <x:c r="AG751" s="6" t="str">
        <x:v>1</x:v>
      </x:c>
      <x:c r="AH751" s="6" t="str">
        <x:v>1</x:v>
      </x:c>
      <x:c r="AI751" s="6" t="str">
        <x:v>2024-06</x:v>
      </x:c>
      <x:c r="AJ751" s="9" t="str">
        <x:v>NASA POWER (MERRA-2 meteorology)</x:v>
      </x:c>
      <x:c r="AK751" s="9" t="str">
        <x:v>Badan Informasi Geospasial (BIG)</x:v>
      </x:c>
      <x:c r="AL751" s="9" t="str">
        <x:v>https://power.larc.nasa.gov/docs/services/api/temporal/monthly/</x:v>
      </x:c>
      <x:c r="AM751" s="9" t="str">
        <x:v>https://geoservices.big.go.id/rbi/rest/services/BATASWILAYAH/BATAS_WILAYAH/MapServer/12</x:v>
      </x:c>
    </x:row>
    <x:row r="752" ht="18" customHeight="1">
      <x:c r="A752" s="6" t="str">
        <x:v>82</x:v>
      </x:c>
      <x:c r="B752" s="6" t="str">
        <x:v>MALUKU UTARA</x:v>
      </x:c>
      <x:c r="C752" s="6" t="str">
        <x:v>2024</x:v>
      </x:c>
      <x:c r="D752" s="6" t="str">
        <x:v>7</x:v>
      </x:c>
      <x:c r="E752" s="6" t="str">
        <x:v>26.517992399153297</x:v>
      </x:c>
      <x:c r="F752" s="9" t="str">
        <x:v>grid_cells_within_BIG_polygon</x:v>
      </x:c>
      <x:c r="G752" s="6" t="str">
        <x:v>5</x:v>
      </x:c>
      <x:c r="H752" s="8" t="str">
        <x:v>83.59806490491697</x:v>
      </x:c>
      <x:c r="I752" s="6" t="str">
        <x:v>5.276028971275739</x:v>
      </x:c>
      <x:c r="J752" s="6" t="str">
        <x:v>31</x:v>
      </x:c>
      <x:c r="K752" s="6" t="str">
        <x:v>163.55689810954792</x:v>
      </x:c>
      <x:c r="L752" s="6" t="str">
        <x:v>26.018728885040154</x:v>
      </x:c>
      <x:c r="M752" s="6" t="str">
        <x:v>0.30208199017177173</x:v>
      </x:c>
      <x:c r="N752" s="6" t="str">
        <x:v>83.03504484635161</x:v>
      </x:c>
      <x:c r="O752" s="6" t="str">
        <x:v>1.7209943612356184</x:v>
      </x:c>
      <x:c r="P752" s="6" t="str">
        <x:v>150.26756399519942</x:v>
      </x:c>
      <x:c r="Q752" s="6" t="str">
        <x:v>91.80214072817067</x:v>
      </x:c>
      <x:c r="R752" s="6" t="str">
        <x:v>0.4992635141131423</x:v>
      </x:c>
      <x:c r="S752" s="8" t="str">
        <x:v>1.652741740178711</x:v>
      </x:c>
      <x:c r="T752" s="6" t="str">
        <x:v>0.5630200585653569</x:v>
      </x:c>
      <x:c r="U752" s="8" t="str">
        <x:v>0.3271481134668719</x:v>
      </x:c>
      <x:c r="V752" s="6" t="str">
        <x:v>13.289334114348492</x:v>
      </x:c>
      <x:c r="W752" s="8" t="str">
        <x:v>0.14476061243167163</x:v>
      </x:c>
      <x:c r="X752" s="6" t="str">
        <x:v>1.0798400831823909</x:v>
      </x:c>
      <x:c r="Y752" s="6" t="str">
        <x:v>1.8283390799580421</x:v>
      </x:c>
      <x:c r="Z752" s="6" t="str">
        <x:v>1.5203069677730483</x:v>
      </x:c>
      <x:c r="AA752" s="6" t="str">
        <x:v>0.7307282434893095</x:v>
      </x:c>
      <x:c r="AB752" s="6" t="str">
        <x:v>0.10445078438397123</x:v>
      </x:c>
      <x:c r="AC752" s="6" t="str">
        <x:v>0.38744238044671747</x:v>
      </x:c>
      <x:c r="AD752" s="6" t="str">
        <x:v>1.4161195043036108</x:v>
      </x:c>
      <x:c r="AE752" s="6" t="str">
        <x:v>0.6846680550725149</x:v>
      </x:c>
      <x:c r="AF752" s="6" t="str">
        <x:v>0.7485160572692654</x:v>
      </x:c>
      <x:c r="AG752" s="6" t="str">
        <x:v>0</x:v>
      </x:c>
      <x:c r="AH752" s="6" t="str">
        <x:v>1</x:v>
      </x:c>
      <x:c r="AI752" s="6" t="str">
        <x:v>2024-07</x:v>
      </x:c>
      <x:c r="AJ752" s="9" t="str">
        <x:v>NASA POWER (MERRA-2 meteorology)</x:v>
      </x:c>
      <x:c r="AK752" s="9" t="str">
        <x:v>Badan Informasi Geospasial (BIG)</x:v>
      </x:c>
      <x:c r="AL752" s="9" t="str">
        <x:v>https://power.larc.nasa.gov/docs/services/api/temporal/monthly/</x:v>
      </x:c>
      <x:c r="AM752" s="9" t="str">
        <x:v>https://geoservices.big.go.id/rbi/rest/services/BATASWILAYAH/BATAS_WILAYAH/MapServer/12</x:v>
      </x:c>
    </x:row>
    <x:row r="753" ht="18" customHeight="1">
      <x:c r="A753" s="6" t="str">
        <x:v>82</x:v>
      </x:c>
      <x:c r="B753" s="6" t="str">
        <x:v>MALUKU UTARA</x:v>
      </x:c>
      <x:c r="C753" s="6" t="str">
        <x:v>2024</x:v>
      </x:c>
      <x:c r="D753" s="6" t="str">
        <x:v>8</x:v>
      </x:c>
      <x:c r="E753" s="6" t="str">
        <x:v>26.531996481306127</x:v>
      </x:c>
      <x:c r="F753" s="9" t="str">
        <x:v>grid_cells_within_BIG_polygon</x:v>
      </x:c>
      <x:c r="G753" s="6" t="str">
        <x:v>5</x:v>
      </x:c>
      <x:c r="H753" s="8" t="str">
        <x:v>84.76003686260118</x:v>
      </x:c>
      <x:c r="I753" s="6" t="str">
        <x:v>8.170063288634344</x:v>
      </x:c>
      <x:c r="J753" s="6" t="str">
        <x:v>31</x:v>
      </x:c>
      <x:c r="K753" s="6" t="str">
        <x:v>253.27196194766466</x:v>
      </x:c>
      <x:c r="L753" s="6" t="str">
        <x:v>26.09313436297765</x:v>
      </x:c>
      <x:c r="M753" s="6" t="str">
        <x:v>0.31389611243969207</x:v>
      </x:c>
      <x:c r="N753" s="6" t="str">
        <x:v>81.11116185723141</x:v>
      </x:c>
      <x:c r="O753" s="6" t="str">
        <x:v>3.5266831226424116</x:v>
      </x:c>
      <x:c r="P753" s="6" t="str">
        <x:v>102.95160683113235</x:v>
      </x:c>
      <x:c r="Q753" s="6" t="str">
        <x:v>76.34739166736932</x:v>
      </x:c>
      <x:c r="R753" s="6" t="str">
        <x:v>0.4388621183284762</x:v>
      </x:c>
      <x:c r="S753" s="8" t="str">
        <x:v>1.3981126268736237</x:v>
      </x:c>
      <x:c r="T753" s="6" t="str">
        <x:v>3.6488750053697743</x:v>
      </x:c>
      <x:c r="U753" s="8" t="str">
        <x:v>1.034647820197639</x:v>
      </x:c>
      <x:c r="V753" s="6" t="str">
        <x:v>150.3203551165323</x:v>
      </x:c>
      <x:c r="W753" s="8" t="str">
        <x:v>1.9688996812287805</x:v>
      </x:c>
      <x:c r="X753" s="6" t="str">
        <x:v>1.652741740178711</x:v>
      </x:c>
      <x:c r="Y753" s="6" t="str">
        <x:v>1.0798400831823909</x:v>
      </x:c>
      <x:c r="Z753" s="6" t="str">
        <x:v>1.376898150078242</x:v>
      </x:c>
      <x:c r="AA753" s="6" t="str">
        <x:v>0.3271481134668719</x:v>
      </x:c>
      <x:c r="AB753" s="6" t="str">
        <x:v>0.7307282434893095</x:v>
      </x:c>
      <x:c r="AC753" s="6" t="str">
        <x:v>0.6975080590512733</x:v>
      </x:c>
      <x:c r="AD753" s="6" t="str">
        <x:v>0.14476061243167163</x:v>
      </x:c>
      <x:c r="AE753" s="6" t="str">
        <x:v>1.4161195043036108</x:v>
      </x:c>
      <x:c r="AF753" s="6" t="str">
        <x:v>1.1765932659880205</x:v>
      </x:c>
      <x:c r="AG753" s="6" t="str">
        <x:v>1</x:v>
      </x:c>
      <x:c r="AH753" s="6" t="str">
        <x:v>1</x:v>
      </x:c>
      <x:c r="AI753" s="6" t="str">
        <x:v>2024-08</x:v>
      </x:c>
      <x:c r="AJ753" s="9" t="str">
        <x:v>NASA POWER (MERRA-2 meteorology)</x:v>
      </x:c>
      <x:c r="AK753" s="9" t="str">
        <x:v>Badan Informasi Geospasial (BIG)</x:v>
      </x:c>
      <x:c r="AL753" s="9" t="str">
        <x:v>https://power.larc.nasa.gov/docs/services/api/temporal/monthly/</x:v>
      </x:c>
      <x:c r="AM753" s="9" t="str">
        <x:v>https://geoservices.big.go.id/rbi/rest/services/BATASWILAYAH/BATAS_WILAYAH/MapServer/12</x:v>
      </x:c>
    </x:row>
    <x:row r="754" ht="18" customHeight="1">
      <x:c r="A754" s="6" t="str">
        <x:v>82</x:v>
      </x:c>
      <x:c r="B754" s="6" t="str">
        <x:v>MALUKU UTARA</x:v>
      </x:c>
      <x:c r="C754" s="6" t="str">
        <x:v>2024</x:v>
      </x:c>
      <x:c r="D754" s="6" t="str">
        <x:v>9</x:v>
      </x:c>
      <x:c r="E754" s="6" t="str">
        <x:v>27.12799674038392</x:v>
      </x:c>
      <x:c r="F754" s="9" t="str">
        <x:v>grid_cells_within_BIG_polygon</x:v>
      </x:c>
      <x:c r="G754" s="6" t="str">
        <x:v>5</x:v>
      </x:c>
      <x:c r="H754" s="8" t="str">
        <x:v>81.10805218514224</x:v>
      </x:c>
      <x:c r="I754" s="6" t="str">
        <x:v>2.5280153987813536</x:v>
      </x:c>
      <x:c r="J754" s="6" t="str">
        <x:v>30</x:v>
      </x:c>
      <x:c r="K754" s="6" t="str">
        <x:v>75.8404619634406</x:v>
      </x:c>
      <x:c r="L754" s="6" t="str">
        <x:v>26.522002465061174</x:v>
      </x:c>
      <x:c r="M754" s="6" t="str">
        <x:v>0.46842847729882253</x:v>
      </x:c>
      <x:c r="N754" s="6" t="str">
        <x:v>79.1128095014815</x:v>
      </x:c>
      <x:c r="O754" s="6" t="str">
        <x:v>4.812819412075876</x:v>
      </x:c>
      <x:c r="P754" s="6" t="str">
        <x:v>96.44473573545828</x:v>
      </x:c>
      <x:c r="Q754" s="6" t="str">
        <x:v>74.30117301514498</x:v>
      </x:c>
      <x:c r="R754" s="6" t="str">
        <x:v>0.6059942753227467</x:v>
      </x:c>
      <x:c r="S754" s="8" t="str">
        <x:v>1.293675138661921</x:v>
      </x:c>
      <x:c r="T754" s="6" t="str">
        <x:v>1.9952426836607486</x:v>
      </x:c>
      <x:c r="U754" s="8" t="str">
        <x:v>0.4145683668609033</x:v>
      </x:c>
      <x:c r="V754" s="6" t="str">
        <x:v>-20.604273772017677</x:v>
      </x:c>
      <x:c r="W754" s="8" t="str">
        <x:v>-0.27730751663661973</x:v>
      </x:c>
      <x:c r="X754" s="6" t="str">
        <x:v>1.3981126268736237</x:v>
      </x:c>
      <x:c r="Y754" s="6" t="str">
        <x:v>1.652741740178711</x:v>
      </x:c>
      <x:c r="Z754" s="6" t="str">
        <x:v>1.4481765019047523</x:v>
      </x:c>
      <x:c r="AA754" s="6" t="str">
        <x:v>1.034647820197639</x:v>
      </x:c>
      <x:c r="AB754" s="6" t="str">
        <x:v>0.3271481134668719</x:v>
      </x:c>
      <x:c r="AC754" s="6" t="str">
        <x:v>0.5921214335084714</x:v>
      </x:c>
      <x:c r="AD754" s="6" t="str">
        <x:v>1.9688996812287805</x:v>
      </x:c>
      <x:c r="AE754" s="6" t="str">
        <x:v>0.14476061243167163</x:v>
      </x:c>
      <x:c r="AF754" s="6" t="str">
        <x:v>0.6121175923412772</x:v>
      </x:c>
      <x:c r="AG754" s="6" t="str">
        <x:v>0</x:v>
      </x:c>
      <x:c r="AH754" s="6" t="str">
        <x:v>1</x:v>
      </x:c>
      <x:c r="AI754" s="6" t="str">
        <x:v>2024-09</x:v>
      </x:c>
      <x:c r="AJ754" s="9" t="str">
        <x:v>NASA POWER (MERRA-2 meteorology)</x:v>
      </x:c>
      <x:c r="AK754" s="9" t="str">
        <x:v>Badan Informasi Geospasial (BIG)</x:v>
      </x:c>
      <x:c r="AL754" s="9" t="str">
        <x:v>https://power.larc.nasa.gov/docs/services/api/temporal/monthly/</x:v>
      </x:c>
      <x:c r="AM754" s="9" t="str">
        <x:v>https://geoservices.big.go.id/rbi/rest/services/BATASWILAYAH/BATAS_WILAYAH/MapServer/12</x:v>
      </x:c>
    </x:row>
    <x:row r="755" ht="18" customHeight="1">
      <x:c r="A755" s="6" t="str">
        <x:v>82</x:v>
      </x:c>
      <x:c r="B755" s="6" t="str">
        <x:v>MALUKU UTARA</x:v>
      </x:c>
      <x:c r="C755" s="6" t="str">
        <x:v>2024</x:v>
      </x:c>
      <x:c r="D755" s="6" t="str">
        <x:v>10</x:v>
      </x:c>
      <x:c r="E755" s="6" t="str">
        <x:v>27.625992033710297</x:v>
      </x:c>
      <x:c r="F755" s="9" t="str">
        <x:v>grid_cells_within_BIG_polygon</x:v>
      </x:c>
      <x:c r="G755" s="6" t="str">
        <x:v>5</x:v>
      </x:c>
      <x:c r="H755" s="8" t="str">
        <x:v>80.36406554397821</x:v>
      </x:c>
      <x:c r="I755" s="6" t="str">
        <x:v>5.070070675764625</x:v>
      </x:c>
      <x:c r="J755" s="6" t="str">
        <x:v>31</x:v>
      </x:c>
      <x:c r="K755" s="6" t="str">
        <x:v>157.1721909487034</x:v>
      </x:c>
      <x:c r="L755" s="6" t="str">
        <x:v>27.209133756426066</x:v>
      </x:c>
      <x:c r="M755" s="6" t="str">
        <x:v>0.5522519116659873</x:v>
      </x:c>
      <x:c r="N755" s="6" t="str">
        <x:v>76.85934831618702</x:v>
      </x:c>
      <x:c r="O755" s="6" t="str">
        <x:v>5.2690010996144085</x:v>
      </x:c>
      <x:c r="P755" s="6" t="str">
        <x:v>122.52227135090713</x:v>
      </x:c>
      <x:c r="Q755" s="6" t="str">
        <x:v>80.43299460921521</x:v>
      </x:c>
      <x:c r="R755" s="6" t="str">
        <x:v>0.41685827728423064</x:v>
      </x:c>
      <x:c r="S755" s="8" t="str">
        <x:v>0.7548335614207066</x:v>
      </x:c>
      <x:c r="T755" s="6" t="str">
        <x:v>3.5047172277911898</x:v>
      </x:c>
      <x:c r="U755" s="8" t="str">
        <x:v>0.6651578091429263</x:v>
      </x:c>
      <x:c r="V755" s="6" t="str">
        <x:v>34.649919597796256</x:v>
      </x:c>
      <x:c r="W755" s="8" t="str">
        <x:v>0.43079236035091517</x:v>
      </x:c>
      <x:c r="X755" s="6" t="str">
        <x:v>1.293675138661921</x:v>
      </x:c>
      <x:c r="Y755" s="6" t="str">
        <x:v>1.3981126268736237</x:v>
      </x:c>
      <x:c r="Z755" s="6" t="str">
        <x:v>1.1488737756520842</x:v>
      </x:c>
      <x:c r="AA755" s="6" t="str">
        <x:v>0.4145683668609033</x:v>
      </x:c>
      <x:c r="AB755" s="6" t="str">
        <x:v>1.034647820197639</x:v>
      </x:c>
      <x:c r="AC755" s="6" t="str">
        <x:v>0.7047913320671562</x:v>
      </x:c>
      <x:c r="AD755" s="6" t="str">
        <x:v>-0.27730751663661973</x:v>
      </x:c>
      <x:c r="AE755" s="6" t="str">
        <x:v>1.9688996812287805</x:v>
      </x:c>
      <x:c r="AF755" s="6" t="str">
        <x:v>0.7074615083143582</x:v>
      </x:c>
      <x:c r="AG755" s="6" t="str">
        <x:v>0</x:v>
      </x:c>
      <x:c r="AH755" s="6" t="str">
        <x:v>0</x:v>
      </x:c>
      <x:c r="AI755" s="6" t="str">
        <x:v>2024-10</x:v>
      </x:c>
      <x:c r="AJ755" s="9" t="str">
        <x:v>NASA POWER (MERRA-2 meteorology)</x:v>
      </x:c>
      <x:c r="AK755" s="9" t="str">
        <x:v>Badan Informasi Geospasial (BIG)</x:v>
      </x:c>
      <x:c r="AL755" s="9" t="str">
        <x:v>https://power.larc.nasa.gov/docs/services/api/temporal/monthly/</x:v>
      </x:c>
      <x:c r="AM755" s="9" t="str">
        <x:v>https://geoservices.big.go.id/rbi/rest/services/BATASWILAYAH/BATAS_WILAYAH/MapServer/12</x:v>
      </x:c>
    </x:row>
    <x:row r="756" ht="18" customHeight="1">
      <x:c r="A756" s="6" t="str">
        <x:v>82</x:v>
      </x:c>
      <x:c r="B756" s="6" t="str">
        <x:v>MALUKU UTARA</x:v>
      </x:c>
      <x:c r="C756" s="6" t="str">
        <x:v>2024</x:v>
      </x:c>
      <x:c r="D756" s="6" t="str">
        <x:v>11</x:v>
      </x:c>
      <x:c r="E756" s="6" t="str">
        <x:v>27.931988332410928</x:v>
      </x:c>
      <x:c r="F756" s="9" t="str">
        <x:v>grid_cells_within_BIG_polygon</x:v>
      </x:c>
      <x:c r="G756" s="6" t="str">
        <x:v>5</x:v>
      </x:c>
      <x:c r="H756" s="8" t="str">
        <x:v>79.59409212370997</x:v>
      </x:c>
      <x:c r="I756" s="6" t="str">
        <x:v>6.936190583350606</x:v>
      </x:c>
      <x:c r="J756" s="6" t="str">
        <x:v>30</x:v>
      </x:c>
      <x:c r="K756" s="6" t="str">
        <x:v>208.08571750051817</x:v>
      </x:c>
      <x:c r="L756" s="6" t="str">
        <x:v>27.428858650896473</x:v>
      </x:c>
      <x:c r="M756" s="6" t="str">
        <x:v>0.611056516811751</x:v>
      </x:c>
      <x:c r="N756" s="6" t="str">
        <x:v>77.67585427191078</x:v>
      </x:c>
      <x:c r="O756" s="6" t="str">
        <x:v>5.259875594998302</x:v>
      </x:c>
      <x:c r="P756" s="6" t="str">
        <x:v>163.8567027104582</x:v>
      </x:c>
      <x:c r="Q756" s="6" t="str">
        <x:v>88.01851362631477</x:v>
      </x:c>
      <x:c r="R756" s="6" t="str">
        <x:v>0.503129681514455</x:v>
      </x:c>
      <x:c r="S756" s="8" t="str">
        <x:v>0.8233766724878165</x:v>
      </x:c>
      <x:c r="T756" s="6" t="str">
        <x:v>1.9182378517991907</x:v>
      </x:c>
      <x:c r="U756" s="8" t="str">
        <x:v>0.36469262763995275</x:v>
      </x:c>
      <x:c r="V756" s="6" t="str">
        <x:v>44.22901479005998</x:v>
      </x:c>
      <x:c r="W756" s="8" t="str">
        <x:v>0.5024967244713491</x:v>
      </x:c>
      <x:c r="X756" s="6" t="str">
        <x:v>0.7548335614207066</x:v>
      </x:c>
      <x:c r="Y756" s="6" t="str">
        <x:v>1.293675138661921</x:v>
      </x:c>
      <x:c r="Z756" s="6" t="str">
        <x:v>0.9572951241901483</x:v>
      </x:c>
      <x:c r="AA756" s="6" t="str">
        <x:v>0.6651578091429263</x:v>
      </x:c>
      <x:c r="AB756" s="6" t="str">
        <x:v>0.4145683668609033</x:v>
      </x:c>
      <x:c r="AC756" s="6" t="str">
        <x:v>0.4814729345479274</x:v>
      </x:c>
      <x:c r="AD756" s="6" t="str">
        <x:v>0.43079236035091517</x:v>
      </x:c>
      <x:c r="AE756" s="6" t="str">
        <x:v>-0.27730751663661973</x:v>
      </x:c>
      <x:c r="AF756" s="6" t="str">
        <x:v>0.21866052272854777</x:v>
      </x:c>
      <x:c r="AG756" s="6" t="str">
        <x:v>0</x:v>
      </x:c>
      <x:c r="AH756" s="6" t="str">
        <x:v>0</x:v>
      </x:c>
      <x:c r="AI756" s="6" t="str">
        <x:v>2024-11</x:v>
      </x:c>
      <x:c r="AJ756" s="9" t="str">
        <x:v>NASA POWER (MERRA-2 meteorology)</x:v>
      </x:c>
      <x:c r="AK756" s="9" t="str">
        <x:v>Badan Informasi Geospasial (BIG)</x:v>
      </x:c>
      <x:c r="AL756" s="9" t="str">
        <x:v>https://power.larc.nasa.gov/docs/services/api/temporal/monthly/</x:v>
      </x:c>
      <x:c r="AM756" s="9" t="str">
        <x:v>https://geoservices.big.go.id/rbi/rest/services/BATASWILAYAH/BATAS_WILAYAH/MapServer/12</x:v>
      </x:c>
    </x:row>
    <x:row r="757" ht="18" customHeight="1">
      <x:c r="A757" s="6" t="str">
        <x:v>82</x:v>
      </x:c>
      <x:c r="B757" s="6" t="str">
        <x:v>MALUKU UTARA</x:v>
      </x:c>
      <x:c r="C757" s="6" t="str">
        <x:v>2024</x:v>
      </x:c>
      <x:c r="D757" s="6" t="str">
        <x:v>12</x:v>
      </x:c>
      <x:c r="E757" s="6" t="str">
        <x:v>27.29999124193647</x:v>
      </x:c>
      <x:c r="F757" s="9" t="str">
        <x:v>grid_cells_within_BIG_polygon</x:v>
      </x:c>
      <x:c r="G757" s="6" t="str">
        <x:v>5</x:v>
      </x:c>
      <x:c r="H757" s="8" t="str">
        <x:v>83.56203715006386</x:v>
      </x:c>
      <x:c r="I757" s="6" t="str">
        <x:v>10.946238718030951</x:v>
      </x:c>
      <x:c r="J757" s="6" t="str">
        <x:v>31</x:v>
      </x:c>
      <x:c r="K757" s="6" t="str">
        <x:v>339.3334002589595</x:v>
      </x:c>
      <x:c r="L757" s="6" t="str">
        <x:v>27.060863682529476</x:v>
      </x:c>
      <x:c r="M757" s="6" t="str">
        <x:v>0.592620483743739</x:v>
      </x:c>
      <x:c r="N757" s="6" t="str">
        <x:v>80.64751166568584</x:v>
      </x:c>
      <x:c r="O757" s="6" t="str">
        <x:v>3.83079942993005</x:v>
      </x:c>
      <x:c r="P757" s="6" t="str">
        <x:v>206.72896024921818</x:v>
      </x:c>
      <x:c r="Q757" s="6" t="str">
        <x:v>95.32560601149552</x:v>
      </x:c>
      <x:c r="R757" s="6" t="str">
        <x:v>0.23912755940699526</x:v>
      </x:c>
      <x:c r="S757" s="8" t="str">
        <x:v>0.4035087648276411</x:v>
      </x:c>
      <x:c r="T757" s="6" t="str">
        <x:v>2.914525484378018</x:v>
      </x:c>
      <x:c r="U757" s="8" t="str">
        <x:v>0.7608139078247792</x:v>
      </x:c>
      <x:c r="V757" s="6" t="str">
        <x:v>132.60444000974132</x:v>
      </x:c>
      <x:c r="W757" s="8" t="str">
        <x:v>1.3910684186340265</x:v>
      </x:c>
      <x:c r="X757" s="6" t="str">
        <x:v>0.8233766724878165</x:v>
      </x:c>
      <x:c r="Y757" s="6" t="str">
        <x:v>0.7548335614207066</x:v>
      </x:c>
      <x:c r="Z757" s="6" t="str">
        <x:v>0.6605729995787217</x:v>
      </x:c>
      <x:c r="AA757" s="6" t="str">
        <x:v>0.36469262763995275</x:v>
      </x:c>
      <x:c r="AB757" s="6" t="str">
        <x:v>0.6651578091429263</x:v>
      </x:c>
      <x:c r="AC757" s="6" t="str">
        <x:v>0.5968881148692194</x:v>
      </x:c>
      <x:c r="AD757" s="6" t="str">
        <x:v>0.5024967244713491</x:v>
      </x:c>
      <x:c r="AE757" s="6" t="str">
        <x:v>0.43079236035091517</x:v>
      </x:c>
      <x:c r="AF757" s="6" t="str">
        <x:v>0.7747858344854298</x:v>
      </x:c>
      <x:c r="AG757" s="6" t="str">
        <x:v>1</x:v>
      </x:c>
      <x:c r="AH757" s="6" t="str">
        <x:v>0</x:v>
      </x:c>
      <x:c r="AI757" s="6" t="str">
        <x:v>2024-12</x:v>
      </x:c>
      <x:c r="AJ757" s="9" t="str">
        <x:v>NASA POWER (MERRA-2 meteorology)</x:v>
      </x:c>
      <x:c r="AK757" s="9" t="str">
        <x:v>Badan Informasi Geospasial (BIG)</x:v>
      </x:c>
      <x:c r="AL757" s="9" t="str">
        <x:v>https://power.larc.nasa.gov/docs/services/api/temporal/monthly/</x:v>
      </x:c>
      <x:c r="AM757" s="9" t="str">
        <x:v>https://geoservices.big.go.id/rbi/rest/services/BATASWILAYAH/BATAS_WILAYAH/MapServer/12</x:v>
      </x:c>
    </x:row>
    <x:row r="758" ht="18" customHeight="1">
      <x:c r="A758" s="6" t="str">
        <x:v>82</x:v>
      </x:c>
      <x:c r="B758" s="6" t="str">
        <x:v>MALUKU UTARA</x:v>
      </x:c>
      <x:c r="C758" s="6" t="str">
        <x:v>2025</x:v>
      </x:c>
      <x:c r="D758" s="6" t="str">
        <x:v>1</x:v>
      </x:c>
      <x:c r="E758" s="6" t="str">
        <x:v>27.10199434918797</x:v>
      </x:c>
      <x:c r="F758" s="9" t="str">
        <x:v>grid_cells_within_BIG_polygon</x:v>
      </x:c>
      <x:c r="G758" s="6" t="str">
        <x:v>5</x:v>
      </x:c>
      <x:c r="H758" s="8" t="str">
        <x:v>82.00199830869512</x:v>
      </x:c>
      <x:c r="I758" s="6" t="str">
        <x:v>6.966042528301662</x:v>
      </x:c>
      <x:c r="J758" s="6" t="str">
        <x:v>31</x:v>
      </x:c>
      <x:c r="K758" s="6" t="str">
        <x:v>215.9473183773515</x:v>
      </x:c>
      <x:c r="L758" s="6" t="str">
        <x:v>26.74806338145215</x:v>
      </x:c>
      <x:c r="M758" s="6" t="str">
        <x:v>0.5852655818151918</x:v>
      </x:c>
      <x:c r="N758" s="6" t="str">
        <x:v>81.35616668518506</x:v>
      </x:c>
      <x:c r="O758" s="6" t="str">
        <x:v>4.053480511330206</x:v>
      </x:c>
      <x:c r="P758" s="6" t="str">
        <x:v>181.85781947061477</x:v>
      </x:c>
      <x:c r="Q758" s="6" t="str">
        <x:v>79.92284998401182</x:v>
      </x:c>
      <x:c r="R758" s="6" t="str">
        <x:v>0.35393096773582045</x:v>
      </x:c>
      <x:c r="S758" s="8" t="str">
        <x:v>0.6047356597292279</x:v>
      </x:c>
      <x:c r="T758" s="6" t="str">
        <x:v>0.6458316235100625</x:v>
      </x:c>
      <x:c r="U758" s="8" t="str">
        <x:v>0.1593276745021586</x:v>
      </x:c>
      <x:c r="V758" s="6" t="str">
        <x:v>34.089498906736736</x:v>
      </x:c>
      <x:c r="W758" s="8" t="str">
        <x:v>0.42653007135701715</x:v>
      </x:c>
      <x:c r="X758" s="6" t="str">
        <x:v>0.4035087648276411</x:v>
      </x:c>
      <x:c r="Y758" s="6" t="str">
        <x:v>0.8233766724878165</x:v>
      </x:c>
      <x:c r="Z758" s="6" t="str">
        <x:v>0.6105403656815622</x:v>
      </x:c>
      <x:c r="AA758" s="6" t="str">
        <x:v>0.7608139078247792</x:v>
      </x:c>
      <x:c r="AB758" s="6" t="str">
        <x:v>0.36469262763995275</x:v>
      </x:c>
      <x:c r="AC758" s="6" t="str">
        <x:v>0.42827806998896345</x:v>
      </x:c>
      <x:c r="AD758" s="6" t="str">
        <x:v>1.3910684186340265</x:v>
      </x:c>
      <x:c r="AE758" s="6" t="str">
        <x:v>0.5024967244713491</x:v>
      </x:c>
      <x:c r="AF758" s="6" t="str">
        <x:v>0.7733650714874639</x:v>
      </x:c>
      <x:c r="AG758" s="6" t="str">
        <x:v>0</x:v>
      </x:c>
      <x:c r="AH758" s="6" t="str">
        <x:v>0</x:v>
      </x:c>
      <x:c r="AI758" s="6" t="str">
        <x:v>2025-01</x:v>
      </x:c>
      <x:c r="AJ758" s="9" t="str">
        <x:v>NASA POWER (MERRA-2 meteorology)</x:v>
      </x:c>
      <x:c r="AK758" s="9" t="str">
        <x:v>Badan Informasi Geospasial (BIG)</x:v>
      </x:c>
      <x:c r="AL758" s="9" t="str">
        <x:v>https://power.larc.nasa.gov/docs/services/api/temporal/monthly/</x:v>
      </x:c>
      <x:c r="AM758" s="9" t="str">
        <x:v>https://geoservices.big.go.id/rbi/rest/services/BATASWILAYAH/BATAS_WILAYAH/MapServer/12</x:v>
      </x:c>
    </x:row>
    <x:row r="759" ht="18" customHeight="1">
      <x:c r="A759" s="6" t="str">
        <x:v>82</x:v>
      </x:c>
      <x:c r="B759" s="6" t="str">
        <x:v>MALUKU UTARA</x:v>
      </x:c>
      <x:c r="C759" s="6" t="str">
        <x:v>2025</x:v>
      </x:c>
      <x:c r="D759" s="6" t="str">
        <x:v>2</x:v>
      </x:c>
      <x:c r="E759" s="6" t="str">
        <x:v>26.725988149747433</x:v>
      </x:c>
      <x:c r="F759" s="9" t="str">
        <x:v>grid_cells_within_BIG_polygon</x:v>
      </x:c>
      <x:c r="G759" s="6" t="str">
        <x:v>5</x:v>
      </x:c>
      <x:c r="H759" s="8" t="str">
        <x:v>82.78400118786375</x:v>
      </x:c>
      <x:c r="I759" s="6" t="str">
        <x:v>7.618044035725026</x:v>
      </x:c>
      <x:c r="J759" s="6" t="str">
        <x:v>28</x:v>
      </x:c>
      <x:c r="K759" s="6" t="str">
        <x:v>213.30523300030072</x:v>
      </x:c>
      <x:c r="L759" s="6" t="str">
        <x:v>26.76026505292391</x:v>
      </x:c>
      <x:c r="M759" s="6" t="str">
        <x:v>0.5765782932161371</x:v>
      </x:c>
      <x:c r="N759" s="6" t="str">
        <x:v>80.83434554426644</x:v>
      </x:c>
      <x:c r="O759" s="6" t="str">
        <x:v>4.107773040274098</x:v>
      </x:c>
      <x:c r="P759" s="6" t="str">
        <x:v>155.8947059134629</x:v>
      </x:c>
      <x:c r="Q759" s="6" t="str">
        <x:v>77.41746186601307</x:v>
      </x:c>
      <x:c r="R759" s="6" t="str">
        <x:v>-0.034276903176476026</x:v>
      </x:c>
      <x:c r="S759" s="8" t="str">
        <x:v>-0.05944882694990207</x:v>
      </x:c>
      <x:c r="T759" s="6" t="str">
        <x:v>1.9496556435973105</x:v>
      </x:c>
      <x:c r="U759" s="8" t="str">
        <x:v>0.47462594074263087</x:v>
      </x:c>
      <x:c r="V759" s="6" t="str">
        <x:v>57.41052708683782</x:v>
      </x:c>
      <x:c r="W759" s="8" t="str">
        <x:v>0.7415707736091711</x:v>
      </x:c>
      <x:c r="X759" s="6" t="str">
        <x:v>0.6047356597292279</x:v>
      </x:c>
      <x:c r="Y759" s="6" t="str">
        <x:v>0.4035087648276411</x:v>
      </x:c>
      <x:c r="Z759" s="6" t="str">
        <x:v>0.3162651992023226</x:v>
      </x:c>
      <x:c r="AA759" s="6" t="str">
        <x:v>0.1593276745021586</x:v>
      </x:c>
      <x:c r="AB759" s="6" t="str">
        <x:v>0.7608139078247792</x:v>
      </x:c>
      <x:c r="AC759" s="6" t="str">
        <x:v>0.46492250768985616</x:v>
      </x:c>
      <x:c r="AD759" s="6" t="str">
        <x:v>0.42653007135701715</x:v>
      </x:c>
      <x:c r="AE759" s="6" t="str">
        <x:v>1.3910684186340265</x:v>
      </x:c>
      <x:c r="AF759" s="6" t="str">
        <x:v>0.8530564212000712</x:v>
      </x:c>
      <x:c r="AG759" s="6" t="str">
        <x:v>0</x:v>
      </x:c>
      <x:c r="AH759" s="6" t="str">
        <x:v>0</x:v>
      </x:c>
      <x:c r="AI759" s="6" t="str">
        <x:v>2025-02</x:v>
      </x:c>
      <x:c r="AJ759" s="9" t="str">
        <x:v>NASA POWER (MERRA-2 meteorology)</x:v>
      </x:c>
      <x:c r="AK759" s="9" t="str">
        <x:v>Badan Informasi Geospasial (BIG)</x:v>
      </x:c>
      <x:c r="AL759" s="9" t="str">
        <x:v>https://power.larc.nasa.gov/docs/services/api/temporal/monthly/</x:v>
      </x:c>
      <x:c r="AM759" s="9" t="str">
        <x:v>https://geoservices.big.go.id/rbi/rest/services/BATASWILAYAH/BATAS_WILAYAH/MapServer/12</x:v>
      </x:c>
    </x:row>
    <x:row r="760" ht="18" customHeight="1">
      <x:c r="A760" s="6" t="str">
        <x:v>82</x:v>
      </x:c>
      <x:c r="B760" s="6" t="str">
        <x:v>MALUKU UTARA</x:v>
      </x:c>
      <x:c r="C760" s="6" t="str">
        <x:v>2025</x:v>
      </x:c>
      <x:c r="D760" s="6" t="str">
        <x:v>3</x:v>
      </x:c>
      <x:c r="E760" s="6" t="str">
        <x:v>27.355988911164342</x:v>
      </x:c>
      <x:c r="F760" s="9" t="str">
        <x:v>grid_cells_within_BIG_polygon</x:v>
      </x:c>
      <x:c r="G760" s="6" t="str">
        <x:v>5</x:v>
      </x:c>
      <x:c r="H760" s="8" t="str">
        <x:v>81.05804784454963</x:v>
      </x:c>
      <x:c r="I760" s="6" t="str">
        <x:v>11.356152579813086</x:v>
      </x:c>
      <x:c r="J760" s="6" t="str">
        <x:v>31</x:v>
      </x:c>
      <x:c r="K760" s="6" t="str">
        <x:v>352.04072997420565</x:v>
      </x:c>
      <x:c r="L760" s="6" t="str">
        <x:v>26.979603476227066</x:v>
      </x:c>
      <x:c r="M760" s="6" t="str">
        <x:v>0.5722054658766591</x:v>
      </x:c>
      <x:c r="N760" s="6" t="str">
        <x:v>79.91865722305847</x:v>
      </x:c>
      <x:c r="O760" s="6" t="str">
        <x:v>3.7185331460877182</x:v>
      </x:c>
      <x:c r="P760" s="6" t="str">
        <x:v>168.7932675782566</x:v>
      </x:c>
      <x:c r="Q760" s="6" t="str">
        <x:v>79.08176248311113</x:v>
      </x:c>
      <x:c r="R760" s="6" t="str">
        <x:v>0.3763854349372764</x:v>
      </x:c>
      <x:c r="S760" s="8" t="str">
        <x:v>0.6577802159939653</x:v>
      </x:c>
      <x:c r="T760" s="6" t="str">
        <x:v>1.1393906214911595</x:v>
      </x:c>
      <x:c r="U760" s="8" t="str">
        <x:v>0.3064086231663462</x:v>
      </x:c>
      <x:c r="V760" s="6" t="str">
        <x:v>183.24746239594904</x:v>
      </x:c>
      <x:c r="W760" s="8" t="str">
        <x:v>2.3171899138576197</x:v>
      </x:c>
      <x:c r="X760" s="6" t="str">
        <x:v>-0.05944882694990207</x:v>
      </x:c>
      <x:c r="Y760" s="6" t="str">
        <x:v>0.6047356597292279</x:v>
      </x:c>
      <x:c r="Z760" s="6" t="str">
        <x:v>0.40102234959109734</x:v>
      </x:c>
      <x:c r="AA760" s="6" t="str">
        <x:v>0.47462594074263087</x:v>
      </x:c>
      <x:c r="AB760" s="6" t="str">
        <x:v>0.1593276745021586</x:v>
      </x:c>
      <x:c r="AC760" s="6" t="str">
        <x:v>0.31345407947037845</x:v>
      </x:c>
      <x:c r="AD760" s="6" t="str">
        <x:v>0.7415707736091711</x:v>
      </x:c>
      <x:c r="AE760" s="6" t="str">
        <x:v>0.42653007135701715</x:v>
      </x:c>
      <x:c r="AF760" s="6" t="str">
        <x:v>1.161763586274602</x:v>
      </x:c>
      <x:c r="AG760" s="6" t="str">
        <x:v>1</x:v>
      </x:c>
      <x:c r="AH760" s="6" t="str">
        <x:v>0</x:v>
      </x:c>
      <x:c r="AI760" s="6" t="str">
        <x:v>2025-03</x:v>
      </x:c>
      <x:c r="AJ760" s="9" t="str">
        <x:v>NASA POWER (MERRA-2 meteorology)</x:v>
      </x:c>
      <x:c r="AK760" s="9" t="str">
        <x:v>Badan Informasi Geospasial (BIG)</x:v>
      </x:c>
      <x:c r="AL760" s="9" t="str">
        <x:v>https://power.larc.nasa.gov/docs/services/api/temporal/monthly/</x:v>
      </x:c>
      <x:c r="AM760" s="9" t="str">
        <x:v>https://geoservices.big.go.id/rbi/rest/services/BATASWILAYAH/BATAS_WILAYAH/MapServer/12</x:v>
      </x:c>
    </x:row>
    <x:row r="761" ht="18" customHeight="1">
      <x:c r="A761" s="6" t="str">
        <x:v>82</x:v>
      </x:c>
      <x:c r="B761" s="6" t="str">
        <x:v>MALUKU UTARA</x:v>
      </x:c>
      <x:c r="C761" s="6" t="str">
        <x:v>2025</x:v>
      </x:c>
      <x:c r="D761" s="6" t="str">
        <x:v>4</x:v>
      </x:c>
      <x:c r="E761" s="6" t="str">
        <x:v>27.1139980657238</x:v>
      </x:c>
      <x:c r="F761" s="9" t="str">
        <x:v>grid_cells_within_BIG_polygon</x:v>
      </x:c>
      <x:c r="G761" s="6" t="str">
        <x:v>5</x:v>
      </x:c>
      <x:c r="H761" s="8" t="str">
        <x:v>81.15598974864757</x:v>
      </x:c>
      <x:c r="I761" s="6" t="str">
        <x:v>6.459985986518338</x:v>
      </x:c>
      <x:c r="J761" s="6" t="str">
        <x:v>30</x:v>
      </x:c>
      <x:c r="K761" s="6" t="str">
        <x:v>193.79957959555014</x:v>
      </x:c>
      <x:c r="L761" s="6" t="str">
        <x:v>27.191935568015243</x:v>
      </x:c>
      <x:c r="M761" s="6" t="str">
        <x:v>0.5137017133358404</x:v>
      </x:c>
      <x:c r="N761" s="6" t="str">
        <x:v>80.08616656693287</x:v>
      </x:c>
      <x:c r="O761" s="6" t="str">
        <x:v>3.001486666470765</x:v>
      </x:c>
      <x:c r="P761" s="6" t="str">
        <x:v>182.5949277502418</x:v>
      </x:c>
      <x:c r="Q761" s="6" t="str">
        <x:v>68.42895269595915</x:v>
      </x:c>
      <x:c r="R761" s="6" t="str">
        <x:v>-0.07793750229144436</x:v>
      </x:c>
      <x:c r="S761" s="8" t="str">
        <x:v>-0.15171742719201625</x:v>
      </x:c>
      <x:c r="T761" s="6" t="str">
        <x:v>1.0698231817146961</x:v>
      </x:c>
      <x:c r="U761" s="8" t="str">
        <x:v>0.35643109585178506</x:v>
      </x:c>
      <x:c r="V761" s="6" t="str">
        <x:v>11.204651845308348</x:v>
      </x:c>
      <x:c r="W761" s="8" t="str">
        <x:v>0.1637413902137655</x:v>
      </x:c>
      <x:c r="X761" s="6" t="str">
        <x:v>0.6577802159939653</x:v>
      </x:c>
      <x:c r="Y761" s="6" t="str">
        <x:v>-0.05944882694990207</x:v>
      </x:c>
      <x:c r="Z761" s="6" t="str">
        <x:v>0.14887132061734928</x:v>
      </x:c>
      <x:c r="AA761" s="6" t="str">
        <x:v>0.3064086231663462</x:v>
      </x:c>
      <x:c r="AB761" s="6" t="str">
        <x:v>0.47462594074263087</x:v>
      </x:c>
      <x:c r="AC761" s="6" t="str">
        <x:v>0.37915521992025397</x:v>
      </x:c>
      <x:c r="AD761" s="6" t="str">
        <x:v>2.3171899138576197</x:v>
      </x:c>
      <x:c r="AE761" s="6" t="str">
        <x:v>0.7415707736091711</x:v>
      </x:c>
      <x:c r="AF761" s="6" t="str">
        <x:v>1.0741673592268517</x:v>
      </x:c>
      <x:c r="AG761" s="6" t="str">
        <x:v>0</x:v>
      </x:c>
      <x:c r="AH761" s="6" t="str">
        <x:v>0</x:v>
      </x:c>
      <x:c r="AI761" s="6" t="str">
        <x:v>2025-04</x:v>
      </x:c>
      <x:c r="AJ761" s="9" t="str">
        <x:v>NASA POWER (MERRA-2 meteorology)</x:v>
      </x:c>
      <x:c r="AK761" s="9" t="str">
        <x:v>Badan Informasi Geospasial (BIG)</x:v>
      </x:c>
      <x:c r="AL761" s="9" t="str">
        <x:v>https://power.larc.nasa.gov/docs/services/api/temporal/monthly/</x:v>
      </x:c>
      <x:c r="AM761" s="9" t="str">
        <x:v>https://geoservices.big.go.id/rbi/rest/services/BATASWILAYAH/BATAS_WILAYAH/MapServer/12</x:v>
      </x:c>
    </x:row>
    <x:row r="762" ht="18" customHeight="1">
      <x:c r="A762" s="6" t="str">
        <x:v>82</x:v>
      </x:c>
      <x:c r="B762" s="6" t="str">
        <x:v>MALUKU UTARA</x:v>
      </x:c>
      <x:c r="C762" s="6" t="str">
        <x:v>2025</x:v>
      </x:c>
      <x:c r="D762" s="6" t="str">
        <x:v>5</x:v>
      </x:c>
      <x:c r="E762" s="6" t="str">
        <x:v>27.62399242980021</x:v>
      </x:c>
      <x:c r="F762" s="9" t="str">
        <x:v>grid_cells_within_BIG_polygon</x:v>
      </x:c>
      <x:c r="G762" s="6" t="str">
        <x:v>5</x:v>
      </x:c>
      <x:c r="H762" s="8" t="str">
        <x:v>80.49205086032438</x:v>
      </x:c>
      <x:c r="I762" s="6" t="str">
        <x:v>8.213958843037597</x:v>
      </x:c>
      <x:c r="J762" s="6" t="str">
        <x:v>31</x:v>
      </x:c>
      <x:c r="K762" s="6" t="str">
        <x:v>254.6327241341655</x:v>
      </x:c>
      <x:c r="L762" s="6" t="str">
        <x:v>27.162928657654042</x:v>
      </x:c>
      <x:c r="M762" s="6" t="str">
        <x:v>0.47205309671955886</x:v>
      </x:c>
      <x:c r="N762" s="6" t="str">
        <x:v>81.16816584308967</x:v>
      </x:c>
      <x:c r="O762" s="6" t="str">
        <x:v>2.3149800784869745</x:v>
      </x:c>
      <x:c r="P762" s="6" t="str">
        <x:v>205.1578426405544</x:v>
      </x:c>
      <x:c r="Q762" s="6" t="str">
        <x:v>72.26621464338342</x:v>
      </x:c>
      <x:c r="R762" s="6" t="str">
        <x:v>0.46106377214616856</x:v>
      </x:c>
      <x:c r="S762" s="8" t="str">
        <x:v>0.9767201515046539</x:v>
      </x:c>
      <x:c r="T762" s="6" t="str">
        <x:v>-0.6761149827652844</x:v>
      </x:c>
      <x:c r="U762" s="8" t="str">
        <x:v>-0.2920608211916795</x:v>
      </x:c>
      <x:c r="V762" s="6" t="str">
        <x:v>49.47488149361109</x:v>
      </x:c>
      <x:c r="W762" s="8" t="str">
        <x:v>0.6846198010752031</x:v>
      </x:c>
      <x:c r="X762" s="6" t="str">
        <x:v>-0.15171742719201625</x:v>
      </x:c>
      <x:c r="Y762" s="6" t="str">
        <x:v>0.6577802159939653</x:v>
      </x:c>
      <x:c r="Z762" s="6" t="str">
        <x:v>0.4942609801022013</x:v>
      </x:c>
      <x:c r="AA762" s="6" t="str">
        <x:v>0.35643109585178506</x:v>
      </x:c>
      <x:c r="AB762" s="6" t="str">
        <x:v>0.3064086231663462</x:v>
      </x:c>
      <x:c r="AC762" s="6" t="str">
        <x:v>0.12359296594215052</x:v>
      </x:c>
      <x:c r="AD762" s="6" t="str">
        <x:v>0.1637413902137655</x:v>
      </x:c>
      <x:c r="AE762" s="6" t="str">
        <x:v>2.3171899138576197</x:v>
      </x:c>
      <x:c r="AF762" s="6" t="str">
        <x:v>1.055183701715529</x:v>
      </x:c>
      <x:c r="AG762" s="6" t="str">
        <x:v>0</x:v>
      </x:c>
      <x:c r="AH762" s="6" t="str">
        <x:v>0</x:v>
      </x:c>
      <x:c r="AI762" s="6" t="str">
        <x:v>2025-05</x:v>
      </x:c>
      <x:c r="AJ762" s="9" t="str">
        <x:v>NASA POWER (MERRA-2 meteorology)</x:v>
      </x:c>
      <x:c r="AK762" s="9" t="str">
        <x:v>Badan Informasi Geospasial (BIG)</x:v>
      </x:c>
      <x:c r="AL762" s="9" t="str">
        <x:v>https://power.larc.nasa.gov/docs/services/api/temporal/monthly/</x:v>
      </x:c>
      <x:c r="AM762" s="9" t="str">
        <x:v>https://geoservices.big.go.id/rbi/rest/services/BATASWILAYAH/BATAS_WILAYAH/MapServer/12</x:v>
      </x:c>
    </x:row>
    <x:row r="763" ht="18" customHeight="1">
      <x:c r="A763" s="6" t="str">
        <x:v>82</x:v>
      </x:c>
      <x:c r="B763" s="6" t="str">
        <x:v>MALUKU UTARA</x:v>
      </x:c>
      <x:c r="C763" s="6" t="str">
        <x:v>2025</x:v>
      </x:c>
      <x:c r="D763" s="6" t="str">
        <x:v>6</x:v>
      </x:c>
      <x:c r="E763" s="6" t="str">
        <x:v>26.819994668921588</x:v>
      </x:c>
      <x:c r="F763" s="9" t="str">
        <x:v>grid_cells_within_BIG_polygon</x:v>
      </x:c>
      <x:c r="G763" s="6" t="str">
        <x:v>5</x:v>
      </x:c>
      <x:c r="H763" s="8" t="str">
        <x:v>83.05402068507841</x:v>
      </x:c>
      <x:c r="I763" s="6" t="str">
        <x:v>10.223925637302445</x:v>
      </x:c>
      <x:c r="J763" s="6" t="str">
        <x:v>30</x:v>
      </x:c>
      <x:c r="K763" s="6" t="str">
        <x:v>306.71776911907335</x:v>
      </x:c>
      <x:c r="L763" s="6" t="str">
        <x:v>26.534059664500642</x:v>
      </x:c>
      <x:c r="M763" s="6" t="str">
        <x:v>0.35184536244017084</x:v>
      </x:c>
      <x:c r="N763" s="6" t="str">
        <x:v>82.47297340244667</x:v>
      </x:c>
      <x:c r="O763" s="6" t="str">
        <x:v>2.070602809519117</x:v>
      </x:c>
      <x:c r="P763" s="6" t="str">
        <x:v>196.97038482279538</x:v>
      </x:c>
      <x:c r="Q763" s="6" t="str">
        <x:v>85.29757459741796</x:v>
      </x:c>
      <x:c r="R763" s="6" t="str">
        <x:v>0.28593500442094566</x:v>
      </x:c>
      <x:c r="S763" s="8" t="str">
        <x:v>0.812672369582723</x:v>
      </x:c>
      <x:c r="T763" s="6" t="str">
        <x:v>0.5810472826317437</x:v>
      </x:c>
      <x:c r="U763" s="8" t="str">
        <x:v>0.28061745109226804</x:v>
      </x:c>
      <x:c r="V763" s="6" t="str">
        <x:v>109.74738429627797</x:v>
      </x:c>
      <x:c r="W763" s="8" t="str">
        <x:v>1.2866413237921084</x:v>
      </x:c>
      <x:c r="X763" s="6" t="str">
        <x:v>0.9767201515046539</x:v>
      </x:c>
      <x:c r="Y763" s="6" t="str">
        <x:v>-0.15171742719201625</x:v>
      </x:c>
      <x:c r="Z763" s="6" t="str">
        <x:v>0.5458916979651205</x:v>
      </x:c>
      <x:c r="AA763" s="6" t="str">
        <x:v>-0.2920608211916795</x:v>
      </x:c>
      <x:c r="AB763" s="6" t="str">
        <x:v>0.35643109585178506</x:v>
      </x:c>
      <x:c r="AC763" s="6" t="str">
        <x:v>0.11499590858412446</x:v>
      </x:c>
      <x:c r="AD763" s="6" t="str">
        <x:v>0.6846198010752031</x:v>
      </x:c>
      <x:c r="AE763" s="6" t="str">
        <x:v>0.1637413902137655</x:v>
      </x:c>
      <x:c r="AF763" s="6" t="str">
        <x:v>0.7116675050270252</x:v>
      </x:c>
      <x:c r="AG763" s="6" t="str">
        <x:v>1</x:v>
      </x:c>
      <x:c r="AH763" s="6" t="str">
        <x:v>0</x:v>
      </x:c>
      <x:c r="AI763" s="6" t="str">
        <x:v>2025-06</x:v>
      </x:c>
      <x:c r="AJ763" s="9" t="str">
        <x:v>NASA POWER (MERRA-2 meteorology)</x:v>
      </x:c>
      <x:c r="AK763" s="9" t="str">
        <x:v>Badan Informasi Geospasial (BIG)</x:v>
      </x:c>
      <x:c r="AL763" s="9" t="str">
        <x:v>https://power.larc.nasa.gov/docs/services/api/temporal/monthly/</x:v>
      </x:c>
      <x:c r="AM763" s="9" t="str">
        <x:v>https://geoservices.big.go.id/rbi/rest/services/BATASWILAYAH/BATAS_WILAYAH/MapServer/12</x:v>
      </x:c>
    </x:row>
    <x:row r="764" ht="18" customHeight="1">
      <x:c r="A764" s="6" t="str">
        <x:v>82</x:v>
      </x:c>
      <x:c r="B764" s="6" t="str">
        <x:v>MALUKU UTARA</x:v>
      </x:c>
      <x:c r="C764" s="6" t="str">
        <x:v>2025</x:v>
      </x:c>
      <x:c r="D764" s="6" t="str">
        <x:v>7</x:v>
      </x:c>
      <x:c r="E764" s="6" t="str">
        <x:v>26.46799567412184</x:v>
      </x:c>
      <x:c r="F764" s="9" t="str">
        <x:v>grid_cells_within_BIG_polygon</x:v>
      </x:c>
      <x:c r="G764" s="6" t="str">
        <x:v>5</x:v>
      </x:c>
      <x:c r="H764" s="8" t="str">
        <x:v>84.19201445615099</x:v>
      </x:c>
      <x:c r="I764" s="6" t="str">
        <x:v>5.0058911222178875</x:v>
      </x:c>
      <x:c r="J764" s="6" t="str">
        <x:v>31</x:v>
      </x:c>
      <x:c r="K764" s="6" t="str">
        <x:v>155.1826247887545</x:v>
      </x:c>
      <x:c r="L764" s="6" t="str">
        <x:v>26.018728885040154</x:v>
      </x:c>
      <x:c r="M764" s="6" t="str">
        <x:v>0.30208199017177173</x:v>
      </x:c>
      <x:c r="N764" s="6" t="str">
        <x:v>83.03504484635161</x:v>
      </x:c>
      <x:c r="O764" s="6" t="str">
        <x:v>1.7209943612356184</x:v>
      </x:c>
      <x:c r="P764" s="6" t="str">
        <x:v>150.26756399519942</x:v>
      </x:c>
      <x:c r="Q764" s="6" t="str">
        <x:v>91.80214072817067</x:v>
      </x:c>
      <x:c r="R764" s="6" t="str">
        <x:v>0.4492667890816868</x:v>
      </x:c>
      <x:c r="S764" s="8" t="str">
        <x:v>1.4872346041755815</x:v>
      </x:c>
      <x:c r="T764" s="6" t="str">
        <x:v>1.1569696097993756</x:v>
      </x:c>
      <x:c r="U764" s="8" t="str">
        <x:v>0.672268100267748</x:v>
      </x:c>
      <x:c r="V764" s="6" t="str">
        <x:v>4.915060793555085</x:v>
      </x:c>
      <x:c r="W764" s="8" t="str">
        <x:v>0.05353971873170966</x:v>
      </x:c>
      <x:c r="X764" s="6" t="str">
        <x:v>0.812672369582723</x:v>
      </x:c>
      <x:c r="Y764" s="6" t="str">
        <x:v>0.9767201515046539</x:v>
      </x:c>
      <x:c r="Z764" s="6" t="str">
        <x:v>1.0922090417543198</x:v>
      </x:c>
      <x:c r="AA764" s="6" t="str">
        <x:v>0.28061745109226804</x:v>
      </x:c>
      <x:c r="AB764" s="6" t="str">
        <x:v>-0.2920608211916795</x:v>
      </x:c>
      <x:c r="AC764" s="6" t="str">
        <x:v>0.2202749100561121</x:v>
      </x:c>
      <x:c r="AD764" s="6" t="str">
        <x:v>1.2866413237921084</x:v>
      </x:c>
      <x:c r="AE764" s="6" t="str">
        <x:v>0.6846198010752031</x:v>
      </x:c>
      <x:c r="AF764" s="6" t="str">
        <x:v>0.6749336145330066</x:v>
      </x:c>
      <x:c r="AG764" s="6" t="str">
        <x:v>0</x:v>
      </x:c>
      <x:c r="AH764" s="6" t="str">
        <x:v>1</x:v>
      </x:c>
      <x:c r="AI764" s="6" t="str">
        <x:v>2025-07</x:v>
      </x:c>
      <x:c r="AJ764" s="9" t="str">
        <x:v>NASA POWER (MERRA-2 meteorology)</x:v>
      </x:c>
      <x:c r="AK764" s="9" t="str">
        <x:v>Badan Informasi Geospasial (BIG)</x:v>
      </x:c>
      <x:c r="AL764" s="9" t="str">
        <x:v>https://power.larc.nasa.gov/docs/services/api/temporal/monthly/</x:v>
      </x:c>
      <x:c r="AM764" s="9" t="str">
        <x:v>https://geoservices.big.go.id/rbi/rest/services/BATASWILAYAH/BATAS_WILAYAH/MapServer/12</x:v>
      </x:c>
    </x:row>
    <x:row r="765" ht="18" customHeight="1">
      <x:c r="A765" s="6" t="str">
        <x:v>82</x:v>
      </x:c>
      <x:c r="B765" s="6" t="str">
        <x:v>MALUKU UTARA</x:v>
      </x:c>
      <x:c r="C765" s="6" t="str">
        <x:v>2025</x:v>
      </x:c>
      <x:c r="D765" s="6" t="str">
        <x:v>8</x:v>
      </x:c>
      <x:c r="E765" s="6" t="str">
        <x:v>26.05999169856621</x:v>
      </x:c>
      <x:c r="F765" s="9" t="str">
        <x:v>grid_cells_within_BIG_polygon</x:v>
      </x:c>
      <x:c r="G765" s="6" t="str">
        <x:v>5</x:v>
      </x:c>
      <x:c r="H765" s="8" t="str">
        <x:v>85.18400880522294</x:v>
      </x:c>
      <x:c r="I765" s="6" t="str">
        <x:v>10.151854366445924</x:v>
      </x:c>
      <x:c r="J765" s="6" t="str">
        <x:v>31</x:v>
      </x:c>
      <x:c r="K765" s="6" t="str">
        <x:v>314.70748535982364</x:v>
      </x:c>
      <x:c r="L765" s="6" t="str">
        <x:v>26.09313436297765</x:v>
      </x:c>
      <x:c r="M765" s="6" t="str">
        <x:v>0.31389611243969207</x:v>
      </x:c>
      <x:c r="N765" s="6" t="str">
        <x:v>81.11116185723141</x:v>
      </x:c>
      <x:c r="O765" s="6" t="str">
        <x:v>3.5266831226424116</x:v>
      </x:c>
      <x:c r="P765" s="6" t="str">
        <x:v>102.95160683113235</x:v>
      </x:c>
      <x:c r="Q765" s="6" t="str">
        <x:v>76.34739166736932</x:v>
      </x:c>
      <x:c r="R765" s="6" t="str">
        <x:v>-0.033142664411439426</x:v>
      </x:c>
      <x:c r="S765" s="8" t="str">
        <x:v>-0.1055848196202399</x:v>
      </x:c>
      <x:c r="T765" s="6" t="str">
        <x:v>4.072846947991536</x:v>
      </x:c>
      <x:c r="U765" s="8" t="str">
        <x:v>1.1548661465620718</x:v>
      </x:c>
      <x:c r="V765" s="6" t="str">
        <x:v>211.75587852869128</x:v>
      </x:c>
      <x:c r="W765" s="8" t="str">
        <x:v>2.773583666764548</x:v>
      </x:c>
      <x:c r="X765" s="6" t="str">
        <x:v>1.4872346041755815</x:v>
      </x:c>
      <x:c r="Y765" s="6" t="str">
        <x:v>0.812672369582723</x:v>
      </x:c>
      <x:c r="Z765" s="6" t="str">
        <x:v>0.7314407180460218</x:v>
      </x:c>
      <x:c r="AA765" s="6" t="str">
        <x:v>0.672268100267748</x:v>
      </x:c>
      <x:c r="AB765" s="6" t="str">
        <x:v>0.28061745109226804</x:v>
      </x:c>
      <x:c r="AC765" s="6" t="str">
        <x:v>0.7025838993073625</x:v>
      </x:c>
      <x:c r="AD765" s="6" t="str">
        <x:v>0.05353971873170966</x:v>
      </x:c>
      <x:c r="AE765" s="6" t="str">
        <x:v>1.2866413237921084</x:v>
      </x:c>
      <x:c r="AF765" s="6" t="str">
        <x:v>1.3712549030961216</x:v>
      </x:c>
      <x:c r="AG765" s="6" t="str">
        <x:v>1</x:v>
      </x:c>
      <x:c r="AH765" s="6" t="str">
        <x:v>0</x:v>
      </x:c>
      <x:c r="AI765" s="6" t="str">
        <x:v>2025-08</x:v>
      </x:c>
      <x:c r="AJ765" s="9" t="str">
        <x:v>NASA POWER (MERRA-2 meteorology)</x:v>
      </x:c>
      <x:c r="AK765" s="9" t="str">
        <x:v>Badan Informasi Geospasial (BIG)</x:v>
      </x:c>
      <x:c r="AL765" s="9" t="str">
        <x:v>https://power.larc.nasa.gov/docs/services/api/temporal/monthly/</x:v>
      </x:c>
      <x:c r="AM765" s="9" t="str">
        <x:v>https://geoservices.big.go.id/rbi/rest/services/BATASWILAYAH/BATAS_WILAYAH/MapServer/12</x:v>
      </x:c>
    </x:row>
    <x:row r="766" ht="18" customHeight="1">
      <x:c r="A766" s="6" t="str">
        <x:v>82</x:v>
      </x:c>
      <x:c r="B766" s="6" t="str">
        <x:v>MALUKU UTARA</x:v>
      </x:c>
      <x:c r="C766" s="6" t="str">
        <x:v>2025</x:v>
      </x:c>
      <x:c r="D766" s="6" t="str">
        <x:v>9</x:v>
      </x:c>
      <x:c r="E766" s="6" t="str">
        <x:v>26.637990266629128</x:v>
      </x:c>
      <x:c r="F766" s="9" t="str">
        <x:v>grid_cells_within_BIG_polygon</x:v>
      </x:c>
      <x:c r="G766" s="6" t="str">
        <x:v>5</x:v>
      </x:c>
      <x:c r="H766" s="8" t="str">
        <x:v>82.9520500237112</x:v>
      </x:c>
      <x:c r="I766" s="6" t="str">
        <x:v>5.269894823111251</x:v>
      </x:c>
      <x:c r="J766" s="6" t="str">
        <x:v>30</x:v>
      </x:c>
      <x:c r="K766" s="6" t="str">
        <x:v>158.09684469333752</x:v>
      </x:c>
      <x:c r="L766" s="6" t="str">
        <x:v>26.522002465061174</x:v>
      </x:c>
      <x:c r="M766" s="6" t="str">
        <x:v>0.46842847729882253</x:v>
      </x:c>
      <x:c r="N766" s="6" t="str">
        <x:v>79.1128095014815</x:v>
      </x:c>
      <x:c r="O766" s="6" t="str">
        <x:v>4.812819412075876</x:v>
      </x:c>
      <x:c r="P766" s="6" t="str">
        <x:v>96.44473573545828</x:v>
      </x:c>
      <x:c r="Q766" s="6" t="str">
        <x:v>74.30117301514498</x:v>
      </x:c>
      <x:c r="R766" s="6" t="str">
        <x:v>0.11598780156795385</x:v>
      </x:c>
      <x:c r="S766" s="8" t="str">
        <x:v>0.24761048311322512</x:v>
      </x:c>
      <x:c r="T766" s="6" t="str">
        <x:v>3.8392405222297015</x:v>
      </x:c>
      <x:c r="U766" s="8" t="str">
        <x:v>0.7977113191898784</x:v>
      </x:c>
      <x:c r="V766" s="6" t="str">
        <x:v>61.652108957879236</x:v>
      </x:c>
      <x:c r="W766" s="8" t="str">
        <x:v>0.8297595644326172</x:v>
      </x:c>
      <x:c r="X766" s="6" t="str">
        <x:v>-0.1055848196202399</x:v>
      </x:c>
      <x:c r="Y766" s="6" t="str">
        <x:v>1.4872346041755815</x:v>
      </x:c>
      <x:c r="Z766" s="6" t="str">
        <x:v>0.5430867558895225</x:v>
      </x:c>
      <x:c r="AA766" s="6" t="str">
        <x:v>1.1548661465620718</x:v>
      </x:c>
      <x:c r="AB766" s="6" t="str">
        <x:v>0.672268100267748</x:v>
      </x:c>
      <x:c r="AC766" s="6" t="str">
        <x:v>0.8749485220065659</x:v>
      </x:c>
      <x:c r="AD766" s="6" t="str">
        <x:v>2.773583666764548</x:v>
      </x:c>
      <x:c r="AE766" s="6" t="str">
        <x:v>0.05353971873170966</x:v>
      </x:c>
      <x:c r="AF766" s="6" t="str">
        <x:v>1.2189609833096247</x:v>
      </x:c>
      <x:c r="AG766" s="6" t="str">
        <x:v>0</x:v>
      </x:c>
      <x:c r="AH766" s="6" t="str">
        <x:v>0</x:v>
      </x:c>
      <x:c r="AI766" s="6" t="str">
        <x:v>2025-09</x:v>
      </x:c>
      <x:c r="AJ766" s="9" t="str">
        <x:v>NASA POWER (MERRA-2 meteorology)</x:v>
      </x:c>
      <x:c r="AK766" s="9" t="str">
        <x:v>Badan Informasi Geospasial (BIG)</x:v>
      </x:c>
      <x:c r="AL766" s="9" t="str">
        <x:v>https://power.larc.nasa.gov/docs/services/api/temporal/monthly/</x:v>
      </x:c>
      <x:c r="AM766" s="9" t="str">
        <x:v>https://geoservices.big.go.id/rbi/rest/services/BATASWILAYAH/BATAS_WILAYAH/MapServer/12</x:v>
      </x:c>
    </x:row>
    <x:row r="767" ht="18" customHeight="1">
      <x:c r="A767" s="6" t="str">
        <x:v>82</x:v>
      </x:c>
      <x:c r="B767" s="6" t="str">
        <x:v>MALUKU UTARA</x:v>
      </x:c>
      <x:c r="C767" s="6" t="str">
        <x:v>2025</x:v>
      </x:c>
      <x:c r="D767" s="6" t="str">
        <x:v>10</x:v>
      </x:c>
      <x:c r="E767" s="6" t="str">
        <x:v>27.07999444037471</x:v>
      </x:c>
      <x:c r="F767" s="9" t="str">
        <x:v>grid_cells_within_BIG_polygon</x:v>
      </x:c>
      <x:c r="G767" s="6" t="str">
        <x:v>5</x:v>
      </x:c>
      <x:c r="H767" s="8" t="str">
        <x:v>81.34802781411693</x:v>
      </x:c>
      <x:c r="I767" s="6" t="str">
        <x:v>7.660039678155918</x:v>
      </x:c>
      <x:c r="J767" s="6" t="str">
        <x:v>31</x:v>
      </x:c>
      <x:c r="K767" s="6" t="str">
        <x:v>237.46123002283346</x:v>
      </x:c>
      <x:c r="L767" s="6" t="str">
        <x:v>27.209133756426066</x:v>
      </x:c>
      <x:c r="M767" s="6" t="str">
        <x:v>0.5522519116659873</x:v>
      </x:c>
      <x:c r="N767" s="6" t="str">
        <x:v>76.85934831618702</x:v>
      </x:c>
      <x:c r="O767" s="6" t="str">
        <x:v>5.2690010996144085</x:v>
      </x:c>
      <x:c r="P767" s="6" t="str">
        <x:v>122.52227135090713</x:v>
      </x:c>
      <x:c r="Q767" s="6" t="str">
        <x:v>80.43299460921521</x:v>
      </x:c>
      <x:c r="R767" s="6" t="str">
        <x:v>-0.12913931605135787</x:v>
      </x:c>
      <x:c r="S767" s="8" t="str">
        <x:v>-0.23384132009933872</x:v>
      </x:c>
      <x:c r="T767" s="6" t="str">
        <x:v>4.488679497929908</x:v>
      </x:c>
      <x:c r="U767" s="8" t="str">
        <x:v>0.8519033139428259</x:v>
      </x:c>
      <x:c r="V767" s="6" t="str">
        <x:v>114.93895867192633</x:v>
      </x:c>
      <x:c r="W767" s="8" t="str">
        <x:v>1.4290026031028535</x:v>
      </x:c>
      <x:c r="X767" s="6" t="str">
        <x:v>0.24761048311322512</x:v>
      </x:c>
      <x:c r="Y767" s="6" t="str">
        <x:v>-0.1055848196202399</x:v>
      </x:c>
      <x:c r="Z767" s="6" t="str">
        <x:v>-0.030605218868784274</x:v>
      </x:c>
      <x:c r="AA767" s="6" t="str">
        <x:v>0.7977113191898784</x:v>
      </x:c>
      <x:c r="AB767" s="6" t="str">
        <x:v>1.1548661465620718</x:v>
      </x:c>
      <x:c r="AC767" s="6" t="str">
        <x:v>0.9348269265649253</x:v>
      </x:c>
      <x:c r="AD767" s="6" t="str">
        <x:v>0.8297595644326172</x:v>
      </x:c>
      <x:c r="AE767" s="6" t="str">
        <x:v>2.773583666764548</x:v>
      </x:c>
      <x:c r="AF767" s="6" t="str">
        <x:v>1.677448611433339</x:v>
      </x:c>
      <x:c r="AG767" s="6" t="str">
        <x:v>1</x:v>
      </x:c>
      <x:c r="AH767" s="6" t="str">
        <x:v>0</x:v>
      </x:c>
      <x:c r="AI767" s="6" t="str">
        <x:v>2025-10</x:v>
      </x:c>
      <x:c r="AJ767" s="9" t="str">
        <x:v>NASA POWER (MERRA-2 meteorology)</x:v>
      </x:c>
      <x:c r="AK767" s="9" t="str">
        <x:v>Badan Informasi Geospasial (BIG)</x:v>
      </x:c>
      <x:c r="AL767" s="9" t="str">
        <x:v>https://power.larc.nasa.gov/docs/services/api/temporal/monthly/</x:v>
      </x:c>
      <x:c r="AM767" s="9" t="str">
        <x:v>https://geoservices.big.go.id/rbi/rest/services/BATASWILAYAH/BATAS_WILAYAH/MapServer/12</x:v>
      </x:c>
    </x:row>
    <x:row r="768" ht="18" customHeight="1">
      <x:c r="A768" s="6" t="str">
        <x:v>82</x:v>
      </x:c>
      <x:c r="B768" s="6" t="str">
        <x:v>MALUKU UTARA</x:v>
      </x:c>
      <x:c r="C768" s="6" t="str">
        <x:v>2025</x:v>
      </x:c>
      <x:c r="D768" s="6" t="str">
        <x:v>11</x:v>
      </x:c>
      <x:c r="E768" s="6" t="str">
        <x:v>27.221995263085464</x:v>
      </x:c>
      <x:c r="F768" s="9" t="str">
        <x:v>grid_cells_within_BIG_polygon</x:v>
      </x:c>
      <x:c r="G768" s="6" t="str">
        <x:v>5</x:v>
      </x:c>
      <x:c r="H768" s="8" t="str">
        <x:v>82.88597466855579</x:v>
      </x:c>
      <x:c r="I768" s="6" t="str">
        <x:v>8.406074591186433</x:v>
      </x:c>
      <x:c r="J768" s="6" t="str">
        <x:v>30</x:v>
      </x:c>
      <x:c r="K768" s="6" t="str">
        <x:v>252.182237735593</x:v>
      </x:c>
      <x:c r="L768" s="6" t="str">
        <x:v>27.428858650896473</x:v>
      </x:c>
      <x:c r="M768" s="6" t="str">
        <x:v>0.611056516811751</x:v>
      </x:c>
      <x:c r="N768" s="6" t="str">
        <x:v>77.67585427191078</x:v>
      </x:c>
      <x:c r="O768" s="6" t="str">
        <x:v>5.259875594998302</x:v>
      </x:c>
      <x:c r="P768" s="6" t="str">
        <x:v>163.8567027104582</x:v>
      </x:c>
      <x:c r="Q768" s="6" t="str">
        <x:v>88.01851362631477</x:v>
      </x:c>
      <x:c r="R768" s="6" t="str">
        <x:v>-0.20686338781100844</x:v>
      </x:c>
      <x:c r="S768" s="8" t="str">
        <x:v>-0.33853396882229325</x:v>
      </x:c>
      <x:c r="T768" s="6" t="str">
        <x:v>5.21012039664501</x:v>
      </x:c>
      <x:c r="U768" s="8" t="str">
        <x:v>0.9905406130896698</x:v>
      </x:c>
      <x:c r="V768" s="6" t="str">
        <x:v>88.3255350251348</x:v>
      </x:c>
      <x:c r="W768" s="8" t="str">
        <x:v>1.0034881456885707</x:v>
      </x:c>
      <x:c r="X768" s="6" t="str">
        <x:v>-0.23384132009933872</x:v>
      </x:c>
      <x:c r="Y768" s="6" t="str">
        <x:v>0.24761048311322512</x:v>
      </x:c>
      <x:c r="Z768" s="6" t="str">
        <x:v>-0.10825493526946872</x:v>
      </x:c>
      <x:c r="AA768" s="6" t="str">
        <x:v>0.8519033139428259</x:v>
      </x:c>
      <x:c r="AB768" s="6" t="str">
        <x:v>0.7977113191898784</x:v>
      </x:c>
      <x:c r="AC768" s="6" t="str">
        <x:v>0.8800517487407914</x:v>
      </x:c>
      <x:c r="AD768" s="6" t="str">
        <x:v>1.4290026031028535</x:v>
      </x:c>
      <x:c r="AE768" s="6" t="str">
        <x:v>0.8297595644326172</x:v>
      </x:c>
      <x:c r="AF768" s="6" t="str">
        <x:v>1.08741677107468</x:v>
      </x:c>
      <x:c r="AG768" s="6" t="str">
        <x:v>1</x:v>
      </x:c>
      <x:c r="AH768" s="6" t="str">
        <x:v>0</x:v>
      </x:c>
      <x:c r="AI768" s="6" t="str">
        <x:v>2025-11</x:v>
      </x:c>
      <x:c r="AJ768" s="9" t="str">
        <x:v>NASA POWER (MERRA-2 meteorology)</x:v>
      </x:c>
      <x:c r="AK768" s="9" t="str">
        <x:v>Badan Informasi Geospasial (BIG)</x:v>
      </x:c>
      <x:c r="AL768" s="9" t="str">
        <x:v>https://power.larc.nasa.gov/docs/services/api/temporal/monthly/</x:v>
      </x:c>
      <x:c r="AM768" s="9" t="str">
        <x:v>https://geoservices.big.go.id/rbi/rest/services/BATASWILAYAH/BATAS_WILAYAH/MapServer/12</x:v>
      </x:c>
    </x:row>
    <x:row r="769" ht="18" customHeight="1">
      <x:c r="A769" s="6" t="str">
        <x:v>82</x:v>
      </x:c>
      <x:c r="B769" s="6" t="str">
        <x:v>MALUKU UTARA</x:v>
      </x:c>
      <x:c r="C769" s="6" t="str">
        <x:v>2025</x:v>
      </x:c>
      <x:c r="D769" s="6" t="str">
        <x:v>12</x:v>
      </x:c>
      <x:c r="E769" s="6" t="str">
        <x:v>27.11399608556421</x:v>
      </x:c>
      <x:c r="F769" s="9" t="str">
        <x:v>grid_cells_within_BIG_polygon</x:v>
      </x:c>
      <x:c r="G769" s="6" t="str">
        <x:v>5</x:v>
      </x:c>
      <x:c r="H769" s="8" t="str">
        <x:v>83.3679860013488</x:v>
      </x:c>
      <x:c r="I769" s="6" t="str">
        <x:v>10.398146624213881</x:v>
      </x:c>
      <x:c r="J769" s="6" t="str">
        <x:v>31</x:v>
      </x:c>
      <x:c r="K769" s="6" t="str">
        <x:v>322.3425453506303</x:v>
      </x:c>
      <x:c r="L769" s="6" t="str">
        <x:v>27.060863682529476</x:v>
      </x:c>
      <x:c r="M769" s="6" t="str">
        <x:v>0.592620483743739</x:v>
      </x:c>
      <x:c r="N769" s="6" t="str">
        <x:v>80.64751166568584</x:v>
      </x:c>
      <x:c r="O769" s="6" t="str">
        <x:v>3.83079942993005</x:v>
      </x:c>
      <x:c r="P769" s="6" t="str">
        <x:v>206.72896024921818</x:v>
      </x:c>
      <x:c r="Q769" s="6" t="str">
        <x:v>95.32560601149552</x:v>
      </x:c>
      <x:c r="R769" s="6" t="str">
        <x:v>0.05313240303473421</x:v>
      </x:c>
      <x:c r="S769" s="8" t="str">
        <x:v>0.08965671030991519</x:v>
      </x:c>
      <x:c r="T769" s="6" t="str">
        <x:v>2.7204743356629564</x:v>
      </x:c>
      <x:c r="U769" s="8" t="str">
        <x:v>0.7101583848028901</x:v>
      </x:c>
      <x:c r="V769" s="6" t="str">
        <x:v>115.61358510141213</x:v>
      </x:c>
      <x:c r="W769" s="8" t="str">
        <x:v>1.2128282204413159</x:v>
      </x:c>
      <x:c r="X769" s="6" t="str">
        <x:v>-0.33853396882229325</x:v>
      </x:c>
      <x:c r="Y769" s="6" t="str">
        <x:v>-0.23384132009933872</x:v>
      </x:c>
      <x:c r="Z769" s="6" t="str">
        <x:v>-0.16090619287057203</x:v>
      </x:c>
      <x:c r="AA769" s="6" t="str">
        <x:v>0.9905406130896698</x:v>
      </x:c>
      <x:c r="AB769" s="6" t="str">
        <x:v>0.8519033139428259</x:v>
      </x:c>
      <x:c r="AC769" s="6" t="str">
        <x:v>0.8508674372784618</x:v>
      </x:c>
      <x:c r="AD769" s="6" t="str">
        <x:v>1.0034881456885707</x:v>
      </x:c>
      <x:c r="AE769" s="6" t="str">
        <x:v>1.4290026031028535</x:v>
      </x:c>
      <x:c r="AF769" s="6" t="str">
        <x:v>1.2151063230775796</x:v>
      </x:c>
      <x:c r="AG769" s="6" t="str">
        <x:v>1</x:v>
      </x:c>
      <x:c r="AH769" s="6" t="str">
        <x:v>0</x:v>
      </x:c>
      <x:c r="AI769" s="6" t="str">
        <x:v>2025-12</x:v>
      </x:c>
      <x:c r="AJ769" s="9" t="str">
        <x:v>NASA POWER (MERRA-2 meteorology)</x:v>
      </x:c>
      <x:c r="AK769" s="9" t="str">
        <x:v>Badan Informasi Geospasial (BIG)</x:v>
      </x:c>
      <x:c r="AL769" s="9" t="str">
        <x:v>https://power.larc.nasa.gov/docs/services/api/temporal/monthly/</x:v>
      </x:c>
      <x:c r="AM769" s="9" t="str">
        <x:v>https://geoservices.big.go.id/rbi/rest/services/BATASWILAYAH/BATAS_WILAYAH/MapServer/12</x:v>
      </x:c>
    </x:row>
    <x:row r="770" ht="18" customHeight="1">
      <x:c r="A770" s="6" t="str">
        <x:v>91</x:v>
      </x:c>
      <x:c r="B770" s="6" t="str">
        <x:v>PAPUA BARAT</x:v>
      </x:c>
      <x:c r="C770" s="6" t="str">
        <x:v>2024</x:v>
      </x:c>
      <x:c r="D770" s="6" t="str">
        <x:v>1</x:v>
      </x:c>
      <x:c r="E770" s="6" t="str">
        <x:v>25.555022495456615</x:v>
      </x:c>
      <x:c r="F770" s="9" t="str">
        <x:v>grid_cells_within_BIG_polygon</x:v>
      </x:c>
      <x:c r="G770" s="6" t="str">
        <x:v>16</x:v>
      </x:c>
      <x:c r="H770" s="8" t="str">
        <x:v>90.4178630417189</x:v>
      </x:c>
      <x:c r="I770" s="6" t="str">
        <x:v>5.625992217384346</x:v>
      </x:c>
      <x:c r="J770" s="6" t="str">
        <x:v>31</x:v>
      </x:c>
      <x:c r="K770" s="6" t="str">
        <x:v>174.40575873891473</x:v>
      </x:c>
      <x:c r="L770" s="6" t="str">
        <x:v>24.784384840544043</x:v>
      </x:c>
      <x:c r="M770" s="6" t="str">
        <x:v>0.3095032969376939</x:v>
      </x:c>
      <x:c r="N770" s="6" t="str">
        <x:v>90.11914223554957</x:v>
      </x:c>
      <x:c r="O770" s="6" t="str">
        <x:v>1.3147847566290758</x:v>
      </x:c>
      <x:c r="P770" s="6" t="str">
        <x:v>234.20027200114419</x:v>
      </x:c>
      <x:c r="Q770" s="6" t="str">
        <x:v>57.92177271451522</x:v>
      </x:c>
      <x:c r="R770" s="6" t="str">
        <x:v>0.7706376549125729</x:v>
      </x:c>
      <x:c r="S770" s="8" t="str">
        <x:v>2.489917433957771</x:v>
      </x:c>
      <x:c r="T770" s="6" t="str">
        <x:v>0.29872080616932806</x:v>
      </x:c>
      <x:c r="U770" s="8" t="str">
        <x:v>0.22720130018483514</x:v>
      </x:c>
      <x:c r="V770" s="6" t="str">
        <x:v>-59.79451326222946</x:v>
      </x:c>
      <x:c r="W770" s="8" t="str">
        <x:v>-1.0323322381195859</x:v>
      </x:c>
      <x:c r="X770" s="6" t="str">
        <x:v>2.574495397964345</x:v>
      </x:c>
      <x:c r="Y770" s="6" t="str">
        <x:v>2.5298523783727824</x:v>
      </x:c>
      <x:c r="Z770" s="6" t="str">
        <x:v>2.531421736764966</x:v>
      </x:c>
      <x:c r="AA770" s="6" t="str">
        <x:v>-0.009862683348712509</x:v>
      </x:c>
      <x:c r="AB770" s="6" t="str">
        <x:v>-0.23575067280796103</x:v>
      </x:c>
      <x:c r="AC770" s="6" t="str">
        <x:v>-0.006137351990612429</x:v>
      </x:c>
      <x:c r="AD770" s="6" t="str">
        <x:v>0.8743795323008914</x:v>
      </x:c>
      <x:c r="AE770" s="6" t="str">
        <x:v>-0.6237661342682396</x:v>
      </x:c>
      <x:c r="AF770" s="6" t="str">
        <x:v>-0.26057294669564396</x:v>
      </x:c>
      <x:c r="AG770" s="6" t="str">
        <x:v>0</x:v>
      </x:c>
      <x:c r="AH770" s="6" t="str">
        <x:v>1</x:v>
      </x:c>
      <x:c r="AI770" s="6" t="str">
        <x:v>2024-01</x:v>
      </x:c>
      <x:c r="AJ770" s="9" t="str">
        <x:v>NASA POWER (MERRA-2 meteorology)</x:v>
      </x:c>
      <x:c r="AK770" s="9" t="str">
        <x:v>Badan Informasi Geospasial (BIG)</x:v>
      </x:c>
      <x:c r="AL770" s="9" t="str">
        <x:v>https://power.larc.nasa.gov/docs/services/api/temporal/monthly/</x:v>
      </x:c>
      <x:c r="AM770" s="9" t="str">
        <x:v>https://geoservices.big.go.id/rbi/rest/services/BATASWILAYAH/BATAS_WILAYAH/MapServer/12</x:v>
      </x:c>
    </x:row>
    <x:row r="771" ht="18" customHeight="1">
      <x:c r="A771" s="6" t="str">
        <x:v>91</x:v>
      </x:c>
      <x:c r="B771" s="6" t="str">
        <x:v>PAPUA BARAT</x:v>
      </x:c>
      <x:c r="C771" s="6" t="str">
        <x:v>2024</x:v>
      </x:c>
      <x:c r="D771" s="6" t="str">
        <x:v>2</x:v>
      </x:c>
      <x:c r="E771" s="6" t="str">
        <x:v>25.79192775405182</x:v>
      </x:c>
      <x:c r="F771" s="9" t="str">
        <x:v>grid_cells_within_BIG_polygon</x:v>
      </x:c>
      <x:c r="G771" s="6" t="str">
        <x:v>16</x:v>
      </x:c>
      <x:c r="H771" s="8" t="str">
        <x:v>89.64003185477478</x:v>
      </x:c>
      <x:c r="I771" s="6" t="str">
        <x:v>5.469338324777984</x:v>
      </x:c>
      <x:c r="J771" s="6" t="str">
        <x:v>29</x:v>
      </x:c>
      <x:c r="K771" s="6" t="str">
        <x:v>158.61081141856152</x:v>
      </x:c>
      <x:c r="L771" s="6" t="str">
        <x:v>24.738848175598367</x:v>
      </x:c>
      <x:c r="M771" s="6" t="str">
        <x:v>0.30098115205058357</x:v>
      </x:c>
      <x:c r="N771" s="6" t="str">
        <x:v>90.11747559069825</x:v>
      </x:c>
      <x:c r="O771" s="6" t="str">
        <x:v>1.1904030016011844</x:v>
      </x:c>
      <x:c r="P771" s="6" t="str">
        <x:v>218.69293587227267</x:v>
      </x:c>
      <x:c r="Q771" s="6" t="str">
        <x:v>57.75309511562023</x:v>
      </x:c>
      <x:c r="R771" s="6" t="str">
        <x:v>1.0530795784534526</x:v>
      </x:c>
      <x:c r="S771" s="8" t="str">
        <x:v>3.498822339135939</x:v>
      </x:c>
      <x:c r="T771" s="6" t="str">
        <x:v>-0.47744373592347245</x:v>
      </x:c>
      <x:c r="U771" s="8" t="str">
        <x:v>-0.4010773958745682</x:v>
      </x:c>
      <x:c r="V771" s="6" t="str">
        <x:v>-60.082124453711145</x:v>
      </x:c>
      <x:c r="W771" s="8" t="str">
        <x:v>-1.040327351000466</x:v>
      </x:c>
      <x:c r="X771" s="6" t="str">
        <x:v>2.489917433957771</x:v>
      </x:c>
      <x:c r="Y771" s="6" t="str">
        <x:v>2.574495397964345</x:v>
      </x:c>
      <x:c r="Z771" s="6" t="str">
        <x:v>2.854411723686018</x:v>
      </x:c>
      <x:c r="AA771" s="6" t="str">
        <x:v>0.22720130018483514</x:v>
      </x:c>
      <x:c r="AB771" s="6" t="str">
        <x:v>-0.009862683348712509</x:v>
      </x:c>
      <x:c r="AC771" s="6" t="str">
        <x:v>-0.06124625967948149</x:v>
      </x:c>
      <x:c r="AD771" s="6" t="str">
        <x:v>-1.0323322381195859</x:v>
      </x:c>
      <x:c r="AE771" s="6" t="str">
        <x:v>0.8743795323008914</x:v>
      </x:c>
      <x:c r="AF771" s="6" t="str">
        <x:v>-0.3994266856063861</x:v>
      </x:c>
      <x:c r="AG771" s="6" t="str">
        <x:v>0</x:v>
      </x:c>
      <x:c r="AH771" s="6" t="str">
        <x:v>1</x:v>
      </x:c>
      <x:c r="AI771" s="6" t="str">
        <x:v>2024-02</x:v>
      </x:c>
      <x:c r="AJ771" s="9" t="str">
        <x:v>NASA POWER (MERRA-2 meteorology)</x:v>
      </x:c>
      <x:c r="AK771" s="9" t="str">
        <x:v>Badan Informasi Geospasial (BIG)</x:v>
      </x:c>
      <x:c r="AL771" s="9" t="str">
        <x:v>https://power.larc.nasa.gov/docs/services/api/temporal/monthly/</x:v>
      </x:c>
      <x:c r="AM771" s="9" t="str">
        <x:v>https://geoservices.big.go.id/rbi/rest/services/BATASWILAYAH/BATAS_WILAYAH/MapServer/12</x:v>
      </x:c>
    </x:row>
    <x:row r="772" ht="18" customHeight="1">
      <x:c r="A772" s="6" t="str">
        <x:v>91</x:v>
      </x:c>
      <x:c r="B772" s="6" t="str">
        <x:v>PAPUA BARAT</x:v>
      </x:c>
      <x:c r="C772" s="6" t="str">
        <x:v>2024</x:v>
      </x:c>
      <x:c r="D772" s="6" t="str">
        <x:v>3</x:v>
      </x:c>
      <x:c r="E772" s="6" t="str">
        <x:v>25.765719311359316</x:v>
      </x:c>
      <x:c r="F772" s="9" t="str">
        <x:v>grid_cells_within_BIG_polygon</x:v>
      </x:c>
      <x:c r="G772" s="6" t="str">
        <x:v>16</x:v>
      </x:c>
      <x:c r="H772" s="8" t="str">
        <x:v>90.5770977932192</x:v>
      </x:c>
      <x:c r="I772" s="6" t="str">
        <x:v>11.871255379004083</x:v>
      </x:c>
      <x:c r="J772" s="6" t="str">
        <x:v>31</x:v>
      </x:c>
      <x:c r="K772" s="6" t="str">
        <x:v>368.00891674912657</x:v>
      </x:c>
      <x:c r="L772" s="6" t="str">
        <x:v>24.752122299295504</x:v>
      </x:c>
      <x:c r="M772" s="6" t="str">
        <x:v>0.28364794949204963</x:v>
      </x:c>
      <x:c r="N772" s="6" t="str">
        <x:v>90.29475634616126</x:v>
      </x:c>
      <x:c r="O772" s="6" t="str">
        <x:v>0.72766708560744</x:v>
      </x:c>
      <x:c r="P772" s="6" t="str">
        <x:v>267.3699713129503</x:v>
      </x:c>
      <x:c r="Q772" s="6" t="str">
        <x:v>84.92352161540317</x:v>
      </x:c>
      <x:c r="R772" s="6" t="str">
        <x:v>1.013597012063812</x:v>
      </x:c>
      <x:c r="S772" s="8" t="str">
        <x:v>3.5734332431415026</x:v>
      </x:c>
      <x:c r="T772" s="6" t="str">
        <x:v>0.28234144705793085</x:v>
      </x:c>
      <x:c r="U772" s="8" t="str">
        <x:v>0.38800909460160427</x:v>
      </x:c>
      <x:c r="V772" s="6" t="str">
        <x:v>100.63894543617624</x:v>
      </x:c>
      <x:c r="W772" s="8" t="str">
        <x:v>1.1850538404653563</x:v>
      </x:c>
      <x:c r="X772" s="6" t="str">
        <x:v>3.498822339135939</x:v>
      </x:c>
      <x:c r="Y772" s="6" t="str">
        <x:v>2.489917433957771</x:v>
      </x:c>
      <x:c r="Z772" s="6" t="str">
        <x:v>3.187391005411737</x:v>
      </x:c>
      <x:c r="AA772" s="6" t="str">
        <x:v>-0.4010773958745682</x:v>
      </x:c>
      <x:c r="AB772" s="6" t="str">
        <x:v>0.22720130018483514</x:v>
      </x:c>
      <x:c r="AC772" s="6" t="str">
        <x:v>0.07137766630395743</x:v>
      </x:c>
      <x:c r="AD772" s="6" t="str">
        <x:v>-1.040327351000466</x:v>
      </x:c>
      <x:c r="AE772" s="6" t="str">
        <x:v>-1.0323322381195859</x:v>
      </x:c>
      <x:c r="AF772" s="6" t="str">
        <x:v>-0.2958685828848977</x:v>
      </x:c>
      <x:c r="AG772" s="6" t="str">
        <x:v>1</x:v>
      </x:c>
      <x:c r="AH772" s="6" t="str">
        <x:v>1</x:v>
      </x:c>
      <x:c r="AI772" s="6" t="str">
        <x:v>2024-03</x:v>
      </x:c>
      <x:c r="AJ772" s="9" t="str">
        <x:v>NASA POWER (MERRA-2 meteorology)</x:v>
      </x:c>
      <x:c r="AK772" s="9" t="str">
        <x:v>Badan Informasi Geospasial (BIG)</x:v>
      </x:c>
      <x:c r="AL772" s="9" t="str">
        <x:v>https://power.larc.nasa.gov/docs/services/api/temporal/monthly/</x:v>
      </x:c>
      <x:c r="AM772" s="9" t="str">
        <x:v>https://geoservices.big.go.id/rbi/rest/services/BATASWILAYAH/BATAS_WILAYAH/MapServer/12</x:v>
      </x:c>
    </x:row>
    <x:row r="773" ht="18" customHeight="1">
      <x:c r="A773" s="6" t="str">
        <x:v>91</x:v>
      </x:c>
      <x:c r="B773" s="6" t="str">
        <x:v>PAPUA BARAT</x:v>
      </x:c>
      <x:c r="C773" s="6" t="str">
        <x:v>2024</x:v>
      </x:c>
      <x:c r="D773" s="6" t="str">
        <x:v>4</x:v>
      </x:c>
      <x:c r="E773" s="6" t="str">
        <x:v>25.682022385215703</x:v>
      </x:c>
      <x:c r="F773" s="9" t="str">
        <x:v>grid_cells_within_BIG_polygon</x:v>
      </x:c>
      <x:c r="G773" s="6" t="str">
        <x:v>16</x:v>
      </x:c>
      <x:c r="H773" s="8" t="str">
        <x:v>91.1156737506504</x:v>
      </x:c>
      <x:c r="I773" s="6" t="str">
        <x:v>10.683384781938596</x:v>
      </x:c>
      <x:c r="J773" s="6" t="str">
        <x:v>30</x:v>
      </x:c>
      <x:c r="K773" s="6" t="str">
        <x:v>320.50154345815787</x:v>
      </x:c>
      <x:c r="L773" s="6" t="str">
        <x:v>24.83745548863588</x:v>
      </x:c>
      <x:c r="M773" s="6" t="str">
        <x:v>0.2677035456219857</x:v>
      </x:c>
      <x:c r="N773" s="6" t="str">
        <x:v>90.96043812346541</x:v>
      </x:c>
      <x:c r="O773" s="6" t="str">
        <x:v>0.7344971672449883</x:v>
      </x:c>
      <x:c r="P773" s="6" t="str">
        <x:v>267.6222248664591</x:v>
      </x:c>
      <x:c r="Q773" s="6" t="str">
        <x:v>81.16900099490717</x:v>
      </x:c>
      <x:c r="R773" s="6" t="str">
        <x:v>0.8445668965798241</x:v>
      </x:c>
      <x:c r="S773" s="8" t="str">
        <x:v>3.1548588369180806</x:v>
      </x:c>
      <x:c r="T773" s="6" t="str">
        <x:v>0.15523562718499306</x:v>
      </x:c>
      <x:c r="U773" s="8" t="str">
        <x:v>0.21134952469219656</x:v>
      </x:c>
      <x:c r="V773" s="6" t="str">
        <x:v>52.87931859169879</x:v>
      </x:c>
      <x:c r="W773" s="8" t="str">
        <x:v>0.6514718420030404</x:v>
      </x:c>
      <x:c r="X773" s="6" t="str">
        <x:v>3.5734332431415026</x:v>
      </x:c>
      <x:c r="Y773" s="6" t="str">
        <x:v>3.498822339135939</x:v>
      </x:c>
      <x:c r="Z773" s="6" t="str">
        <x:v>3.4090381397318406</x:v>
      </x:c>
      <x:c r="AA773" s="6" t="str">
        <x:v>0.38800909460160427</x:v>
      </x:c>
      <x:c r="AB773" s="6" t="str">
        <x:v>-0.4010773958745682</x:v>
      </x:c>
      <x:c r="AC773" s="6" t="str">
        <x:v>0.06609374113974457</x:v>
      </x:c>
      <x:c r="AD773" s="6" t="str">
        <x:v>1.1850538404653563</x:v>
      </x:c>
      <x:c r="AE773" s="6" t="str">
        <x:v>-1.040327351000466</x:v>
      </x:c>
      <x:c r="AF773" s="6" t="str">
        <x:v>0.2653994438226443</x:v>
      </x:c>
      <x:c r="AG773" s="6" t="str">
        <x:v>0</x:v>
      </x:c>
      <x:c r="AH773" s="6" t="str">
        <x:v>1</x:v>
      </x:c>
      <x:c r="AI773" s="6" t="str">
        <x:v>2024-04</x:v>
      </x:c>
      <x:c r="AJ773" s="9" t="str">
        <x:v>NASA POWER (MERRA-2 meteorology)</x:v>
      </x:c>
      <x:c r="AK773" s="9" t="str">
        <x:v>Badan Informasi Geospasial (BIG)</x:v>
      </x:c>
      <x:c r="AL773" s="9" t="str">
        <x:v>https://power.larc.nasa.gov/docs/services/api/temporal/monthly/</x:v>
      </x:c>
      <x:c r="AM773" s="9" t="str">
        <x:v>https://geoservices.big.go.id/rbi/rest/services/BATASWILAYAH/BATAS_WILAYAH/MapServer/12</x:v>
      </x:c>
    </x:row>
    <x:row r="774" ht="18" customHeight="1">
      <x:c r="A774" s="6" t="str">
        <x:v>91</x:v>
      </x:c>
      <x:c r="B774" s="6" t="str">
        <x:v>PAPUA BARAT</x:v>
      </x:c>
      <x:c r="C774" s="6" t="str">
        <x:v>2024</x:v>
      </x:c>
      <x:c r="D774" s="6" t="str">
        <x:v>5</x:v>
      </x:c>
      <x:c r="E774" s="6" t="str">
        <x:v>25.644570608906882</x:v>
      </x:c>
      <x:c r="F774" s="9" t="str">
        <x:v>grid_cells_within_BIG_polygon</x:v>
      </x:c>
      <x:c r="G774" s="6" t="str">
        <x:v>16</x:v>
      </x:c>
      <x:c r="H774" s="8" t="str">
        <x:v>92.39337055976942</x:v>
      </x:c>
      <x:c r="I774" s="6" t="str">
        <x:v>12.077091895051367</x:v>
      </x:c>
      <x:c r="J774" s="6" t="str">
        <x:v>31</x:v>
      </x:c>
      <x:c r="K774" s="6" t="str">
        <x:v>374.3898487465924</x:v>
      </x:c>
      <x:c r="L774" s="6" t="str">
        <x:v>24.835235551432493</x:v>
      </x:c>
      <x:c r="M774" s="6" t="str">
        <x:v>0.38167661949570403</x:v>
      </x:c>
      <x:c r="N774" s="6" t="str">
        <x:v>90.93336709111313</x:v>
      </x:c>
      <x:c r="O774" s="6" t="str">
        <x:v>1.0264766690628226</x:v>
      </x:c>
      <x:c r="P774" s="6" t="str">
        <x:v>249.95228209215577</x:v>
      </x:c>
      <x:c r="Q774" s="6" t="str">
        <x:v>100.85762144634582</x:v>
      </x:c>
      <x:c r="R774" s="6" t="str">
        <x:v>0.8093350574743887</x:v>
      </x:c>
      <x:c r="S774" s="8" t="str">
        <x:v>2.120473238690216</x:v>
      </x:c>
      <x:c r="T774" s="6" t="str">
        <x:v>1.4600034686562964</x:v>
      </x:c>
      <x:c r="U774" s="8" t="str">
        <x:v>1.42234452341648</x:v>
      </x:c>
      <x:c r="V774" s="6" t="str">
        <x:v>124.43756665443664</x:v>
      </x:c>
      <x:c r="W774" s="8" t="str">
        <x:v>1.2337943813263024</x:v>
      </x:c>
      <x:c r="X774" s="6" t="str">
        <x:v>3.1548588369180806</x:v>
      </x:c>
      <x:c r="Y774" s="6" t="str">
        <x:v>3.5734332431415026</x:v>
      </x:c>
      <x:c r="Z774" s="6" t="str">
        <x:v>2.949588439583266</x:v>
      </x:c>
      <x:c r="AA774" s="6" t="str">
        <x:v>0.21134952469219656</x:v>
      </x:c>
      <x:c r="AB774" s="6" t="str">
        <x:v>0.38800909460160427</x:v>
      </x:c>
      <x:c r="AC774" s="6" t="str">
        <x:v>0.673901047570094</x:v>
      </x:c>
      <x:c r="AD774" s="6" t="str">
        <x:v>0.6514718420030404</x:v>
      </x:c>
      <x:c r="AE774" s="6" t="str">
        <x:v>1.1850538404653563</x:v>
      </x:c>
      <x:c r="AF774" s="6" t="str">
        <x:v>1.0234400212649006</x:v>
      </x:c>
      <x:c r="AG774" s="6" t="str">
        <x:v>1</x:v>
      </x:c>
      <x:c r="AH774" s="6" t="str">
        <x:v>1</x:v>
      </x:c>
      <x:c r="AI774" s="6" t="str">
        <x:v>2024-05</x:v>
      </x:c>
      <x:c r="AJ774" s="9" t="str">
        <x:v>NASA POWER (MERRA-2 meteorology)</x:v>
      </x:c>
      <x:c r="AK774" s="9" t="str">
        <x:v>Badan Informasi Geospasial (BIG)</x:v>
      </x:c>
      <x:c r="AL774" s="9" t="str">
        <x:v>https://power.larc.nasa.gov/docs/services/api/temporal/monthly/</x:v>
      </x:c>
      <x:c r="AM774" s="9" t="str">
        <x:v>https://geoservices.big.go.id/rbi/rest/services/BATASWILAYAH/BATAS_WILAYAH/MapServer/12</x:v>
      </x:c>
    </x:row>
    <x:row r="775" ht="18" customHeight="1">
      <x:c r="A775" s="6" t="str">
        <x:v>91</x:v>
      </x:c>
      <x:c r="B775" s="6" t="str">
        <x:v>PAPUA BARAT</x:v>
      </x:c>
      <x:c r="C775" s="6" t="str">
        <x:v>2024</x:v>
      </x:c>
      <x:c r="D775" s="6" t="str">
        <x:v>6</x:v>
      </x:c>
      <x:c r="E775" s="6" t="str">
        <x:v>24.884103019961223</x:v>
      </x:c>
      <x:c r="F775" s="9" t="str">
        <x:v>grid_cells_within_BIG_polygon</x:v>
      </x:c>
      <x:c r="G775" s="6" t="str">
        <x:v>16</x:v>
      </x:c>
      <x:c r="H775" s="8" t="str">
        <x:v>92.46483614783436</x:v>
      </x:c>
      <x:c r="I775" s="6" t="str">
        <x:v>8.802812266095847</x:v>
      </x:c>
      <x:c r="J775" s="6" t="str">
        <x:v>30</x:v>
      </x:c>
      <x:c r="K775" s="6" t="str">
        <x:v>264.0843679828754</x:v>
      </x:c>
      <x:c r="L775" s="6" t="str">
        <x:v>24.171009751007137</x:v>
      </x:c>
      <x:c r="M775" s="6" t="str">
        <x:v>0.3549079105037552</x:v>
      </x:c>
      <x:c r="N775" s="6" t="str">
        <x:v>91.6920576037898</x:v>
      </x:c>
      <x:c r="O775" s="6" t="str">
        <x:v>1.2695833718284861</x:v>
      </x:c>
      <x:c r="P775" s="6" t="str">
        <x:v>249.63323537365443</x:v>
      </x:c>
      <x:c r="Q775" s="6" t="str">
        <x:v>103.02616570060401</x:v>
      </x:c>
      <x:c r="R775" s="6" t="str">
        <x:v>0.7130932689540863</x:v>
      </x:c>
      <x:c r="S775" s="8" t="str">
        <x:v>2.009234643268232</x:v>
      </x:c>
      <x:c r="T775" s="6" t="str">
        <x:v>0.7727785440445558</x:v>
      </x:c>
      <x:c r="U775" s="8" t="str">
        <x:v>0.6086867244736993</x:v>
      </x:c>
      <x:c r="V775" s="6" t="str">
        <x:v>14.451132609220963</x:v>
      </x:c>
      <x:c r="W775" s="8" t="str">
        <x:v>0.14026662557952732</x:v>
      </x:c>
      <x:c r="X775" s="6" t="str">
        <x:v>2.120473238690216</x:v>
      </x:c>
      <x:c r="Y775" s="6" t="str">
        <x:v>3.1548588369180806</x:v>
      </x:c>
      <x:c r="Z775" s="6" t="str">
        <x:v>2.428188906292176</x:v>
      </x:c>
      <x:c r="AA775" s="6" t="str">
        <x:v>1.42234452341648</x:v>
      </x:c>
      <x:c r="AB775" s="6" t="str">
        <x:v>0.21134952469219656</x:v>
      </x:c>
      <x:c r="AC775" s="6" t="str">
        <x:v>0.747460257527459</x:v>
      </x:c>
      <x:c r="AD775" s="6" t="str">
        <x:v>1.2337943813263024</x:v>
      </x:c>
      <x:c r="AE775" s="6" t="str">
        <x:v>0.6514718420030404</x:v>
      </x:c>
      <x:c r="AF775" s="6" t="str">
        <x:v>0.6751776163029576</x:v>
      </x:c>
      <x:c r="AG775" s="6" t="str">
        <x:v>0</x:v>
      </x:c>
      <x:c r="AH775" s="6" t="str">
        <x:v>1</x:v>
      </x:c>
      <x:c r="AI775" s="6" t="str">
        <x:v>2024-06</x:v>
      </x:c>
      <x:c r="AJ775" s="9" t="str">
        <x:v>NASA POWER (MERRA-2 meteorology)</x:v>
      </x:c>
      <x:c r="AK775" s="9" t="str">
        <x:v>Badan Informasi Geospasial (BIG)</x:v>
      </x:c>
      <x:c r="AL775" s="9" t="str">
        <x:v>https://power.larc.nasa.gov/docs/services/api/temporal/monthly/</x:v>
      </x:c>
      <x:c r="AM775" s="9" t="str">
        <x:v>https://geoservices.big.go.id/rbi/rest/services/BATASWILAYAH/BATAS_WILAYAH/MapServer/12</x:v>
      </x:c>
    </x:row>
    <x:row r="776" ht="18" customHeight="1">
      <x:c r="A776" s="6" t="str">
        <x:v>91</x:v>
      </x:c>
      <x:c r="B776" s="6" t="str">
        <x:v>PAPUA BARAT</x:v>
      </x:c>
      <x:c r="C776" s="6" t="str">
        <x:v>2024</x:v>
      </x:c>
      <x:c r="D776" s="6" t="str">
        <x:v>7</x:v>
      </x:c>
      <x:c r="E776" s="6" t="str">
        <x:v>24.135428799887208</x:v>
      </x:c>
      <x:c r="F776" s="9" t="str">
        <x:v>grid_cells_within_BIG_polygon</x:v>
      </x:c>
      <x:c r="G776" s="6" t="str">
        <x:v>16</x:v>
      </x:c>
      <x:c r="H776" s="8" t="str">
        <x:v>91.76881386149144</x:v>
      </x:c>
      <x:c r="I776" s="6" t="str">
        <x:v>6.744773574005527</x:v>
      </x:c>
      <x:c r="J776" s="6" t="str">
        <x:v>31</x:v>
      </x:c>
      <x:c r="K776" s="6" t="str">
        <x:v>209.08798079417133</x:v>
      </x:c>
      <x:c r="L776" s="6" t="str">
        <x:v>23.58682547146667</x:v>
      </x:c>
      <x:c r="M776" s="6" t="str">
        <x:v>0.37859127852433644</x:v>
      </x:c>
      <x:c r="N776" s="6" t="str">
        <x:v>91.23070023075817</x:v>
      </x:c>
      <x:c r="O776" s="6" t="str">
        <x:v>1.0409165949444605</x:v>
      </x:c>
      <x:c r="P776" s="6" t="str">
        <x:v>206.5955333601657</x:v>
      </x:c>
      <x:c r="Q776" s="6" t="str">
        <x:v>97.67516070089417</x:v>
      </x:c>
      <x:c r="R776" s="6" t="str">
        <x:v>0.5486033284205369</x:v>
      </x:c>
      <x:c r="S776" s="8" t="str">
        <x:v>1.449064887492573</x:v>
      </x:c>
      <x:c r="T776" s="6" t="str">
        <x:v>0.5381136307332639</x:v>
      </x:c>
      <x:c r="U776" s="8" t="str">
        <x:v>0.5169613332583824</x:v>
      </x:c>
      <x:c r="V776" s="6" t="str">
        <x:v>2.4924474340056406</x:v>
      </x:c>
      <x:c r="W776" s="8" t="str">
        <x:v>0.02551772033053664</x:v>
      </x:c>
      <x:c r="X776" s="6" t="str">
        <x:v>2.009234643268232</x:v>
      </x:c>
      <x:c r="Y776" s="6" t="str">
        <x:v>2.120473238690216</x:v>
      </x:c>
      <x:c r="Z776" s="6" t="str">
        <x:v>1.85959092315034</x:v>
      </x:c>
      <x:c r="AA776" s="6" t="str">
        <x:v>0.6086867244736993</x:v>
      </x:c>
      <x:c r="AB776" s="6" t="str">
        <x:v>1.42234452341648</x:v>
      </x:c>
      <x:c r="AC776" s="6" t="str">
        <x:v>0.8493308603828543</x:v>
      </x:c>
      <x:c r="AD776" s="6" t="str">
        <x:v>0.14026662557952732</x:v>
      </x:c>
      <x:c r="AE776" s="6" t="str">
        <x:v>1.2337943813263024</x:v>
      </x:c>
      <x:c r="AF776" s="6" t="str">
        <x:v>0.4665262424121228</x:v>
      </x:c>
      <x:c r="AG776" s="6" t="str">
        <x:v>0</x:v>
      </x:c>
      <x:c r="AH776" s="6" t="str">
        <x:v>1</x:v>
      </x:c>
      <x:c r="AI776" s="6" t="str">
        <x:v>2024-07</x:v>
      </x:c>
      <x:c r="AJ776" s="9" t="str">
        <x:v>NASA POWER (MERRA-2 meteorology)</x:v>
      </x:c>
      <x:c r="AK776" s="9" t="str">
        <x:v>Badan Informasi Geospasial (BIG)</x:v>
      </x:c>
      <x:c r="AL776" s="9" t="str">
        <x:v>https://power.larc.nasa.gov/docs/services/api/temporal/monthly/</x:v>
      </x:c>
      <x:c r="AM776" s="9" t="str">
        <x:v>https://geoservices.big.go.id/rbi/rest/services/BATASWILAYAH/BATAS_WILAYAH/MapServer/12</x:v>
      </x:c>
    </x:row>
    <x:row r="777" ht="18" customHeight="1">
      <x:c r="A777" s="6" t="str">
        <x:v>91</x:v>
      </x:c>
      <x:c r="B777" s="6" t="str">
        <x:v>PAPUA BARAT</x:v>
      </x:c>
      <x:c r="C777" s="6" t="str">
        <x:v>2024</x:v>
      </x:c>
      <x:c r="D777" s="6" t="str">
        <x:v>8</x:v>
      </x:c>
      <x:c r="E777" s="6" t="str">
        <x:v>24.54608621292287</x:v>
      </x:c>
      <x:c r="F777" s="9" t="str">
        <x:v>grid_cells_within_BIG_polygon</x:v>
      </x:c>
      <x:c r="G777" s="6" t="str">
        <x:v>16</x:v>
      </x:c>
      <x:c r="H777" s="8" t="str">
        <x:v>91.58199047396843</x:v>
      </x:c>
      <x:c r="I777" s="6" t="str">
        <x:v>8.75682955330542</x:v>
      </x:c>
      <x:c r="J777" s="6" t="str">
        <x:v>31</x:v>
      </x:c>
      <x:c r="K777" s="6" t="str">
        <x:v>271.46171615246806</x:v>
      </x:c>
      <x:c r="L777" s="6" t="str">
        <x:v>23.47092568339728</x:v>
      </x:c>
      <x:c r="M777" s="6" t="str">
        <x:v>0.41270526503471466</x:v>
      </x:c>
      <x:c r="N777" s="6" t="str">
        <x:v>90.1829339112899</x:v>
      </x:c>
      <x:c r="O777" s="6" t="str">
        <x:v>1.708644245453084</x:v>
      </x:c>
      <x:c r="P777" s="6" t="str">
        <x:v>185.71600938812568</x:v>
      </x:c>
      <x:c r="Q777" s="6" t="str">
        <x:v>86.70415664300346</x:v>
      </x:c>
      <x:c r="R777" s="6" t="str">
        <x:v>1.07516052952559</x:v>
      </x:c>
      <x:c r="S777" s="8" t="str">
        <x:v>2.60515341241201</x:v>
      </x:c>
      <x:c r="T777" s="6" t="str">
        <x:v>1.3990565626785383</x:v>
      </x:c>
      <x:c r="U777" s="8" t="str">
        <x:v>0.81881091772123</x:v>
      </x:c>
      <x:c r="V777" s="6" t="str">
        <x:v>85.74570676434237</x:v>
      </x:c>
      <x:c r="W777" s="8" t="str">
        <x:v>0.9889457447512301</x:v>
      </x:c>
      <x:c r="X777" s="6" t="str">
        <x:v>1.449064887492573</x:v>
      </x:c>
      <x:c r="Y777" s="6" t="str">
        <x:v>2.009234643268232</x:v>
      </x:c>
      <x:c r="Z777" s="6" t="str">
        <x:v>2.021150981057605</x:v>
      </x:c>
      <x:c r="AA777" s="6" t="str">
        <x:v>0.5169613332583824</x:v>
      </x:c>
      <x:c r="AB777" s="6" t="str">
        <x:v>0.6086867244736993</x:v>
      </x:c>
      <x:c r="AC777" s="6" t="str">
        <x:v>0.648152991817771</x:v>
      </x:c>
      <x:c r="AD777" s="6" t="str">
        <x:v>0.02551772033053664</x:v>
      </x:c>
      <x:c r="AE777" s="6" t="str">
        <x:v>0.14026662557952732</x:v>
      </x:c>
      <x:c r="AF777" s="6" t="str">
        <x:v>0.3849100302204322</x:v>
      </x:c>
      <x:c r="AG777" s="6" t="str">
        <x:v>0</x:v>
      </x:c>
      <x:c r="AH777" s="6" t="str">
        <x:v>1</x:v>
      </x:c>
      <x:c r="AI777" s="6" t="str">
        <x:v>2024-08</x:v>
      </x:c>
      <x:c r="AJ777" s="9" t="str">
        <x:v>NASA POWER (MERRA-2 meteorology)</x:v>
      </x:c>
      <x:c r="AK777" s="9" t="str">
        <x:v>Badan Informasi Geospasial (BIG)</x:v>
      </x:c>
      <x:c r="AL777" s="9" t="str">
        <x:v>https://power.larc.nasa.gov/docs/services/api/temporal/monthly/</x:v>
      </x:c>
      <x:c r="AM777" s="9" t="str">
        <x:v>https://geoservices.big.go.id/rbi/rest/services/BATASWILAYAH/BATAS_WILAYAH/MapServer/12</x:v>
      </x:c>
    </x:row>
    <x:row r="778" ht="18" customHeight="1">
      <x:c r="A778" s="6" t="str">
        <x:v>91</x:v>
      </x:c>
      <x:c r="B778" s="6" t="str">
        <x:v>PAPUA BARAT</x:v>
      </x:c>
      <x:c r="C778" s="6" t="str">
        <x:v>2024</x:v>
      </x:c>
      <x:c r="D778" s="6" t="str">
        <x:v>9</x:v>
      </x:c>
      <x:c r="E778" s="6" t="str">
        <x:v>25.119723877937354</x:v>
      </x:c>
      <x:c r="F778" s="9" t="str">
        <x:v>grid_cells_within_BIG_polygon</x:v>
      </x:c>
      <x:c r="G778" s="6" t="str">
        <x:v>16</x:v>
      </x:c>
      <x:c r="H778" s="8" t="str">
        <x:v>90.00178605390477</x:v>
      </x:c>
      <x:c r="I778" s="6" t="str">
        <x:v>5.3494364933587875</x:v>
      </x:c>
      <x:c r="J778" s="6" t="str">
        <x:v>30</x:v>
      </x:c>
      <x:c r="K778" s="6" t="str">
        <x:v>160.48309480076364</x:v>
      </x:c>
      <x:c r="L778" s="6" t="str">
        <x:v>23.974108693913383</x:v>
      </x:c>
      <x:c r="M778" s="6" t="str">
        <x:v>0.3458612964710787</x:v>
      </x:c>
      <x:c r="N778" s="6" t="str">
        <x:v>89.54896957713302</x:v>
      </x:c>
      <x:c r="O778" s="6" t="str">
        <x:v>2.094344778232455</x:v>
      </x:c>
      <x:c r="P778" s="6" t="str">
        <x:v>183.01402312594556</x:v>
      </x:c>
      <x:c r="Q778" s="6" t="str">
        <x:v>81.04786618519681</x:v>
      </x:c>
      <x:c r="R778" s="6" t="str">
        <x:v>1.1456151840239706</x:v>
      </x:c>
      <x:c r="S778" s="8" t="str">
        <x:v>3.3123543909451807</x:v>
      </x:c>
      <x:c r="T778" s="6" t="str">
        <x:v>0.4528164767717442</x:v>
      </x:c>
      <x:c r="U778" s="8" t="str">
        <x:v>0.21620913685181462</x:v>
      </x:c>
      <x:c r="V778" s="6" t="str">
        <x:v>-22.530928325181918</x:v>
      </x:c>
      <x:c r="W778" s="8" t="str">
        <x:v>-0.27799533023729545</x:v>
      </x:c>
      <x:c r="X778" s="6" t="str">
        <x:v>2.60515341241201</x:v>
      </x:c>
      <x:c r="Y778" s="6" t="str">
        <x:v>1.449064887492573</x:v>
      </x:c>
      <x:c r="Z778" s="6" t="str">
        <x:v>2.455524230283254</x:v>
      </x:c>
      <x:c r="AA778" s="6" t="str">
        <x:v>0.81881091772123</x:v>
      </x:c>
      <x:c r="AB778" s="6" t="str">
        <x:v>0.5169613332583824</x:v>
      </x:c>
      <x:c r="AC778" s="6" t="str">
        <x:v>0.5173271292771427</x:v>
      </x:c>
      <x:c r="AD778" s="6" t="str">
        <x:v>0.9889457447512301</x:v>
      </x:c>
      <x:c r="AE778" s="6" t="str">
        <x:v>0.02551772033053664</x:v>
      </x:c>
      <x:c r="AF778" s="6" t="str">
        <x:v>0.24548937828149123</x:v>
      </x:c>
      <x:c r="AG778" s="6" t="str">
        <x:v>0</x:v>
      </x:c>
      <x:c r="AH778" s="6" t="str">
        <x:v>1</x:v>
      </x:c>
      <x:c r="AI778" s="6" t="str">
        <x:v>2024-09</x:v>
      </x:c>
      <x:c r="AJ778" s="9" t="str">
        <x:v>NASA POWER (MERRA-2 meteorology)</x:v>
      </x:c>
      <x:c r="AK778" s="9" t="str">
        <x:v>Badan Informasi Geospasial (BIG)</x:v>
      </x:c>
      <x:c r="AL778" s="9" t="str">
        <x:v>https://power.larc.nasa.gov/docs/services/api/temporal/monthly/</x:v>
      </x:c>
      <x:c r="AM778" s="9" t="str">
        <x:v>https://geoservices.big.go.id/rbi/rest/services/BATASWILAYAH/BATAS_WILAYAH/MapServer/12</x:v>
      </x:c>
    </x:row>
    <x:row r="779" ht="18" customHeight="1">
      <x:c r="A779" s="6" t="str">
        <x:v>91</x:v>
      </x:c>
      <x:c r="B779" s="6" t="str">
        <x:v>PAPUA BARAT</x:v>
      </x:c>
      <x:c r="C779" s="6" t="str">
        <x:v>2024</x:v>
      </x:c>
      <x:c r="D779" s="6" t="str">
        <x:v>10</x:v>
      </x:c>
      <x:c r="E779" s="6" t="str">
        <x:v>25.292098390454843</x:v>
      </x:c>
      <x:c r="F779" s="9" t="str">
        <x:v>grid_cells_within_BIG_polygon</x:v>
      </x:c>
      <x:c r="G779" s="6" t="str">
        <x:v>16</x:v>
      </x:c>
      <x:c r="H779" s="8" t="str">
        <x:v>89.92654566299925</x:v>
      </x:c>
      <x:c r="I779" s="6" t="str">
        <x:v>8.56008451923238</x:v>
      </x:c>
      <x:c r="J779" s="6" t="str">
        <x:v>31</x:v>
      </x:c>
      <x:c r="K779" s="6" t="str">
        <x:v>265.3626200962038</x:v>
      </x:c>
      <x:c r="L779" s="6" t="str">
        <x:v>24.568622714774065</x:v>
      </x:c>
      <x:c r="M779" s="6" t="str">
        <x:v>0.30949324007153345</x:v>
      </x:c>
      <x:c r="N779" s="6" t="str">
        <x:v>88.92216346595949</x:v>
      </x:c>
      <x:c r="O779" s="6" t="str">
        <x:v>2.602288996600537</x:v>
      </x:c>
      <x:c r="P779" s="6" t="str">
        <x:v>178.8470275479024</x:v>
      </x:c>
      <x:c r="Q779" s="6" t="str">
        <x:v>70.07968046754945</x:v>
      </x:c>
      <x:c r="R779" s="6" t="str">
        <x:v>0.7234756756807776</x:v>
      </x:c>
      <x:c r="S779" s="8" t="str">
        <x:v>2.3376138215928726</x:v>
      </x:c>
      <x:c r="T779" s="6" t="str">
        <x:v>1.0043821970397602</x:v>
      </x:c>
      <x:c r="U779" s="8" t="str">
        <x:v>0.38596105134818637</x:v>
      </x:c>
      <x:c r="V779" s="6" t="str">
        <x:v>86.51559254830138</x:v>
      </x:c>
      <x:c r="W779" s="8" t="str">
        <x:v>1.2345317782714866</x:v>
      </x:c>
      <x:c r="X779" s="6" t="str">
        <x:v>3.3123543909451807</x:v>
      </x:c>
      <x:c r="Y779" s="6" t="str">
        <x:v>2.60515341241201</x:v>
      </x:c>
      <x:c r="Z779" s="6" t="str">
        <x:v>2.7517072083166876</x:v>
      </x:c>
      <x:c r="AA779" s="6" t="str">
        <x:v>0.21620913685181462</x:v>
      </x:c>
      <x:c r="AB779" s="6" t="str">
        <x:v>0.81881091772123</x:v>
      </x:c>
      <x:c r="AC779" s="6" t="str">
        <x:v>0.47366036864041067</x:v>
      </x:c>
      <x:c r="AD779" s="6" t="str">
        <x:v>-0.27799533023729545</x:v>
      </x:c>
      <x:c r="AE779" s="6" t="str">
        <x:v>0.9889457447512301</x:v>
      </x:c>
      <x:c r="AF779" s="6" t="str">
        <x:v>0.6484940642618079</x:v>
      </x:c>
      <x:c r="AG779" s="6" t="str">
        <x:v>1</x:v>
      </x:c>
      <x:c r="AH779" s="6" t="str">
        <x:v>1</x:v>
      </x:c>
      <x:c r="AI779" s="6" t="str">
        <x:v>2024-10</x:v>
      </x:c>
      <x:c r="AJ779" s="9" t="str">
        <x:v>NASA POWER (MERRA-2 meteorology)</x:v>
      </x:c>
      <x:c r="AK779" s="9" t="str">
        <x:v>Badan Informasi Geospasial (BIG)</x:v>
      </x:c>
      <x:c r="AL779" s="9" t="str">
        <x:v>https://power.larc.nasa.gov/docs/services/api/temporal/monthly/</x:v>
      </x:c>
      <x:c r="AM779" s="9" t="str">
        <x:v>https://geoservices.big.go.id/rbi/rest/services/BATASWILAYAH/BATAS_WILAYAH/MapServer/12</x:v>
      </x:c>
    </x:row>
    <x:row r="780" ht="18" customHeight="1">
      <x:c r="A780" s="6" t="str">
        <x:v>91</x:v>
      </x:c>
      <x:c r="B780" s="6" t="str">
        <x:v>PAPUA BARAT</x:v>
      </x:c>
      <x:c r="C780" s="6" t="str">
        <x:v>2024</x:v>
      </x:c>
      <x:c r="D780" s="6" t="str">
        <x:v>11</x:v>
      </x:c>
      <x:c r="E780" s="6" t="str">
        <x:v>25.72447142146993</x:v>
      </x:c>
      <x:c r="F780" s="9" t="str">
        <x:v>grid_cells_within_BIG_polygon</x:v>
      </x:c>
      <x:c r="G780" s="6" t="str">
        <x:v>16</x:v>
      </x:c>
      <x:c r="H780" s="8" t="str">
        <x:v>89.25380475461519</x:v>
      </x:c>
      <x:c r="I780" s="6" t="str">
        <x:v>6.4017072284394265</x:v>
      </x:c>
      <x:c r="J780" s="6" t="str">
        <x:v>30</x:v>
      </x:c>
      <x:c r="K780" s="6" t="str">
        <x:v>192.0512168531828</x:v>
      </x:c>
      <x:c r="L780" s="6" t="str">
        <x:v>24.934398198522832</x:v>
      </x:c>
      <x:c r="M780" s="6" t="str">
        <x:v>0.2683394068746017</x:v>
      </x:c>
      <x:c r="N780" s="6" t="str">
        <x:v>89.12346948831237</x:v>
      </x:c>
      <x:c r="O780" s="6" t="str">
        <x:v>1.9789615667732428</x:v>
      </x:c>
      <x:c r="P780" s="6" t="str">
        <x:v>185.8743544442883</x:v>
      </x:c>
      <x:c r="Q780" s="6" t="str">
        <x:v>57.581680495620844</x:v>
      </x:c>
      <x:c r="R780" s="6" t="str">
        <x:v>0.7900732229470968</x:v>
      </x:c>
      <x:c r="S780" s="8" t="str">
        <x:v>2.944305617088539</x:v>
      </x:c>
      <x:c r="T780" s="6" t="str">
        <x:v>0.1303352663028221</x:v>
      </x:c>
      <x:c r="U780" s="8" t="str">
        <x:v>0.06586043331570998</x:v>
      </x:c>
      <x:c r="V780" s="6" t="str">
        <x:v>6.176862408894522</x:v>
      </x:c>
      <x:c r="W780" s="8" t="str">
        <x:v>0.10727131191254968</x:v>
      </x:c>
      <x:c r="X780" s="6" t="str">
        <x:v>2.3376138215928726</x:v>
      </x:c>
      <x:c r="Y780" s="6" t="str">
        <x:v>3.3123543909451807</x:v>
      </x:c>
      <x:c r="Z780" s="6" t="str">
        <x:v>2.8647579432088635</x:v>
      </x:c>
      <x:c r="AA780" s="6" t="str">
        <x:v>0.38596105134818637</x:v>
      </x:c>
      <x:c r="AB780" s="6" t="str">
        <x:v>0.21620913685181462</x:v>
      </x:c>
      <x:c r="AC780" s="6" t="str">
        <x:v>0.2226768738385707</x:v>
      </x:c>
      <x:c r="AD780" s="6" t="str">
        <x:v>1.2345317782714866</x:v>
      </x:c>
      <x:c r="AE780" s="6" t="str">
        <x:v>-0.27799533023729545</x:v>
      </x:c>
      <x:c r="AF780" s="6" t="str">
        <x:v>0.35460258664891436</x:v>
      </x:c>
      <x:c r="AG780" s="6" t="str">
        <x:v>0</x:v>
      </x:c>
      <x:c r="AH780" s="6" t="str">
        <x:v>1</x:v>
      </x:c>
      <x:c r="AI780" s="6" t="str">
        <x:v>2024-11</x:v>
      </x:c>
      <x:c r="AJ780" s="9" t="str">
        <x:v>NASA POWER (MERRA-2 meteorology)</x:v>
      </x:c>
      <x:c r="AK780" s="9" t="str">
        <x:v>Badan Informasi Geospasial (BIG)</x:v>
      </x:c>
      <x:c r="AL780" s="9" t="str">
        <x:v>https://power.larc.nasa.gov/docs/services/api/temporal/monthly/</x:v>
      </x:c>
      <x:c r="AM780" s="9" t="str">
        <x:v>https://geoservices.big.go.id/rbi/rest/services/BATASWILAYAH/BATAS_WILAYAH/MapServer/12</x:v>
      </x:c>
    </x:row>
    <x:row r="781" ht="18" customHeight="1">
      <x:c r="A781" s="6" t="str">
        <x:v>91</x:v>
      </x:c>
      <x:c r="B781" s="6" t="str">
        <x:v>PAPUA BARAT</x:v>
      </x:c>
      <x:c r="C781" s="6" t="str">
        <x:v>2024</x:v>
      </x:c>
      <x:c r="D781" s="6" t="str">
        <x:v>12</x:v>
      </x:c>
      <x:c r="E781" s="6" t="str">
        <x:v>25.45010279174524</x:v>
      </x:c>
      <x:c r="F781" s="9" t="str">
        <x:v>grid_cells_within_BIG_polygon</x:v>
      </x:c>
      <x:c r="G781" s="6" t="str">
        <x:v>16</x:v>
      </x:c>
      <x:c r="H781" s="8" t="str">
        <x:v>90.98809751401365</x:v>
      </x:c>
      <x:c r="I781" s="6" t="str">
        <x:v>10.941336008079567</x:v>
      </x:c>
      <x:c r="J781" s="6" t="str">
        <x:v>31</x:v>
      </x:c>
      <x:c r="K781" s="6" t="str">
        <x:v>339.18141625046655</x:v>
      </x:c>
      <x:c r="L781" s="6" t="str">
        <x:v>24.92240318375759</x:v>
      </x:c>
      <x:c r="M781" s="6" t="str">
        <x:v>0.30254379852299523</x:v>
      </x:c>
      <x:c r="N781" s="6" t="str">
        <x:v>90.0931308083163</x:v>
      </x:c>
      <x:c r="O781" s="6" t="str">
        <x:v>1.2959456020665914</x:v>
      </x:c>
      <x:c r="P781" s="6" t="str">
        <x:v>222.20244594576903</x:v>
      </x:c>
      <x:c r="Q781" s="6" t="str">
        <x:v>58.50148571657308</x:v>
      </x:c>
      <x:c r="R781" s="6" t="str">
        <x:v>0.5276996079876497</x:v>
      </x:c>
      <x:c r="S781" s="8" t="str">
        <x:v>1.7442089725978673</x:v>
      </x:c>
      <x:c r="T781" s="6" t="str">
        <x:v>0.8949667056973425</x:v>
      </x:c>
      <x:c r="U781" s="8" t="str">
        <x:v>0.6905897163200182</x:v>
      </x:c>
      <x:c r="V781" s="6" t="str">
        <x:v>116.97897030469753</x:v>
      </x:c>
      <x:c r="W781" s="8" t="str">
        <x:v>1.999589734719475</x:v>
      </x:c>
      <x:c r="X781" s="6" t="str">
        <x:v>2.944305617088539</x:v>
      </x:c>
      <x:c r="Y781" s="6" t="str">
        <x:v>2.3376138215928726</x:v>
      </x:c>
      <x:c r="Z781" s="6" t="str">
        <x:v>2.342042803759759</x:v>
      </x:c>
      <x:c r="AA781" s="6" t="str">
        <x:v>0.06586043331570998</x:v>
      </x:c>
      <x:c r="AB781" s="6" t="str">
        <x:v>0.38596105134818637</x:v>
      </x:c>
      <x:c r="AC781" s="6" t="str">
        <x:v>0.38080373366130527</x:v>
      </x:c>
      <x:c r="AD781" s="6" t="str">
        <x:v>0.10727131191254968</x:v>
      </x:c>
      <x:c r="AE781" s="6" t="str">
        <x:v>1.2345317782714866</x:v>
      </x:c>
      <x:c r="AF781" s="6" t="str">
        <x:v>1.1137976083011714</x:v>
      </x:c>
      <x:c r="AG781" s="6" t="str">
        <x:v>1</x:v>
      </x:c>
      <x:c r="AH781" s="6" t="str">
        <x:v>1</x:v>
      </x:c>
      <x:c r="AI781" s="6" t="str">
        <x:v>2024-12</x:v>
      </x:c>
      <x:c r="AJ781" s="9" t="str">
        <x:v>NASA POWER (MERRA-2 meteorology)</x:v>
      </x:c>
      <x:c r="AK781" s="9" t="str">
        <x:v>Badan Informasi Geospasial (BIG)</x:v>
      </x:c>
      <x:c r="AL781" s="9" t="str">
        <x:v>https://power.larc.nasa.gov/docs/services/api/temporal/monthly/</x:v>
      </x:c>
      <x:c r="AM781" s="9" t="str">
        <x:v>https://geoservices.big.go.id/rbi/rest/services/BATASWILAYAH/BATAS_WILAYAH/MapServer/12</x:v>
      </x:c>
    </x:row>
    <x:row r="782" ht="18" customHeight="1">
      <x:c r="A782" s="6" t="str">
        <x:v>91</x:v>
      </x:c>
      <x:c r="B782" s="6" t="str">
        <x:v>PAPUA BARAT</x:v>
      </x:c>
      <x:c r="C782" s="6" t="str">
        <x:v>2025</x:v>
      </x:c>
      <x:c r="D782" s="6" t="str">
        <x:v>1</x:v>
      </x:c>
      <x:c r="E782" s="6" t="str">
        <x:v>25.35888093577654</x:v>
      </x:c>
      <x:c r="F782" s="9" t="str">
        <x:v>grid_cells_within_BIG_polygon</x:v>
      </x:c>
      <x:c r="G782" s="6" t="str">
        <x:v>16</x:v>
      </x:c>
      <x:c r="H782" s="8" t="str">
        <x:v>89.71486421943143</x:v>
      </x:c>
      <x:c r="I782" s="6" t="str">
        <x:v>7.571529033103062</x:v>
      </x:c>
      <x:c r="J782" s="6" t="str">
        <x:v>31</x:v>
      </x:c>
      <x:c r="K782" s="6" t="str">
        <x:v>234.71740002619492</x:v>
      </x:c>
      <x:c r="L782" s="6" t="str">
        <x:v>24.784384840544043</x:v>
      </x:c>
      <x:c r="M782" s="6" t="str">
        <x:v>0.3095032969376939</x:v>
      </x:c>
      <x:c r="N782" s="6" t="str">
        <x:v>90.11914223554957</x:v>
      </x:c>
      <x:c r="O782" s="6" t="str">
        <x:v>1.3147847566290758</x:v>
      </x:c>
      <x:c r="P782" s="6" t="str">
        <x:v>234.20027200114419</x:v>
      </x:c>
      <x:c r="Q782" s="6" t="str">
        <x:v>57.92177271451522</x:v>
      </x:c>
      <x:c r="R782" s="6" t="str">
        <x:v>0.5744960952324973</x:v>
      </x:c>
      <x:c r="S782" s="8" t="str">
        <x:v>1.856187319866092</x:v>
      </x:c>
      <x:c r="T782" s="6" t="str">
        <x:v>-0.4042780161181412</x:v>
      </x:c>
      <x:c r="U782" s="8" t="str">
        <x:v>-0.3074860839995236</x:v>
      </x:c>
      <x:c r="V782" s="6" t="str">
        <x:v>0.517128025050738</x:v>
      </x:c>
      <x:c r="W782" s="8" t="str">
        <x:v>0.008928042095665098</x:v>
      </x:c>
      <x:c r="X782" s="6" t="str">
        <x:v>1.7442089725978673</x:v>
      </x:c>
      <x:c r="Y782" s="6" t="str">
        <x:v>2.944305617088539</x:v>
      </x:c>
      <x:c r="Z782" s="6" t="str">
        <x:v>2.1815673031841656</x:v>
      </x:c>
      <x:c r="AA782" s="6" t="str">
        <x:v>0.6905897163200182</x:v>
      </x:c>
      <x:c r="AB782" s="6" t="str">
        <x:v>0.06586043331570998</x:v>
      </x:c>
      <x:c r="AC782" s="6" t="str">
        <x:v>0.1496546885454019</x:v>
      </x:c>
      <x:c r="AD782" s="6" t="str">
        <x:v>1.999589734719475</x:v>
      </x:c>
      <x:c r="AE782" s="6" t="str">
        <x:v>0.10727131191254968</x:v>
      </x:c>
      <x:c r="AF782" s="6" t="str">
        <x:v>0.7052630295758976</x:v>
      </x:c>
      <x:c r="AG782" s="6" t="str">
        <x:v>0</x:v>
      </x:c>
      <x:c r="AH782" s="6" t="str">
        <x:v>1</x:v>
      </x:c>
      <x:c r="AI782" s="6" t="str">
        <x:v>2025-01</x:v>
      </x:c>
      <x:c r="AJ782" s="9" t="str">
        <x:v>NASA POWER (MERRA-2 meteorology)</x:v>
      </x:c>
      <x:c r="AK782" s="9" t="str">
        <x:v>Badan Informasi Geospasial (BIG)</x:v>
      </x:c>
      <x:c r="AL782" s="9" t="str">
        <x:v>https://power.larc.nasa.gov/docs/services/api/temporal/monthly/</x:v>
      </x:c>
      <x:c r="AM782" s="9" t="str">
        <x:v>https://geoservices.big.go.id/rbi/rest/services/BATASWILAYAH/BATAS_WILAYAH/MapServer/12</x:v>
      </x:c>
    </x:row>
    <x:row r="783" ht="18" customHeight="1">
      <x:c r="A783" s="6" t="str">
        <x:v>91</x:v>
      </x:c>
      <x:c r="B783" s="6" t="str">
        <x:v>PAPUA BARAT</x:v>
      </x:c>
      <x:c r="C783" s="6" t="str">
        <x:v>2025</x:v>
      </x:c>
      <x:c r="D783" s="6" t="str">
        <x:v>2</x:v>
      </x:c>
      <x:c r="E783" s="6" t="str">
        <x:v>25.06944951449575</x:v>
      </x:c>
      <x:c r="F783" s="9" t="str">
        <x:v>grid_cells_within_BIG_polygon</x:v>
      </x:c>
      <x:c r="G783" s="6" t="str">
        <x:v>16</x:v>
      </x:c>
      <x:c r="H783" s="8" t="str">
        <x:v>89.96381843950056</x:v>
      </x:c>
      <x:c r="I783" s="6" t="str">
        <x:v>6.925335859518385</x:v>
      </x:c>
      <x:c r="J783" s="6" t="str">
        <x:v>28</x:v>
      </x:c>
      <x:c r="K783" s="6" t="str">
        <x:v>193.90940406651478</x:v>
      </x:c>
      <x:c r="L783" s="6" t="str">
        <x:v>24.738848175598367</x:v>
      </x:c>
      <x:c r="M783" s="6" t="str">
        <x:v>0.30098115205058357</x:v>
      </x:c>
      <x:c r="N783" s="6" t="str">
        <x:v>90.11747559069825</x:v>
      </x:c>
      <x:c r="O783" s="6" t="str">
        <x:v>1.1904030016011844</x:v>
      </x:c>
      <x:c r="P783" s="6" t="str">
        <x:v>218.69293587227267</x:v>
      </x:c>
      <x:c r="Q783" s="6" t="str">
        <x:v>57.75309511562023</x:v>
      </x:c>
      <x:c r="R783" s="6" t="str">
        <x:v>0.3306013388973845</x:v>
      </x:c>
      <x:c r="S783" s="8" t="str">
        <x:v>1.0984120987144834</x:v>
      </x:c>
      <x:c r="T783" s="6" t="str">
        <x:v>-0.15365715119769163</x:v>
      </x:c>
      <x:c r="U783" s="8" t="str">
        <x:v>-0.12907994266732428</x:v>
      </x:c>
      <x:c r="V783" s="6" t="str">
        <x:v>-24.78353180575789</x:v>
      </x:c>
      <x:c r="W783" s="8" t="str">
        <x:v>-0.42912906669576556</x:v>
      </x:c>
      <x:c r="X783" s="6" t="str">
        <x:v>1.856187319866092</x:v>
      </x:c>
      <x:c r="Y783" s="6" t="str">
        <x:v>1.7442089725978673</x:v>
      </x:c>
      <x:c r="Z783" s="6" t="str">
        <x:v>1.5662694637261472</x:v>
      </x:c>
      <x:c r="AA783" s="6" t="str">
        <x:v>-0.3074860839995236</x:v>
      </x:c>
      <x:c r="AB783" s="6" t="str">
        <x:v>0.6905897163200182</x:v>
      </x:c>
      <x:c r="AC783" s="6" t="str">
        <x:v>0.08467456321772382</x:v>
      </x:c>
      <x:c r="AD783" s="6" t="str">
        <x:v>0.008928042095665098</x:v>
      </x:c>
      <x:c r="AE783" s="6" t="str">
        <x:v>1.999589734719475</x:v>
      </x:c>
      <x:c r="AF783" s="6" t="str">
        <x:v>0.5264629033731257</x:v>
      </x:c>
      <x:c r="AG783" s="6" t="str">
        <x:v>0</x:v>
      </x:c>
      <x:c r="AH783" s="6" t="str">
        <x:v>1</x:v>
      </x:c>
      <x:c r="AI783" s="6" t="str">
        <x:v>2025-02</x:v>
      </x:c>
      <x:c r="AJ783" s="9" t="str">
        <x:v>NASA POWER (MERRA-2 meteorology)</x:v>
      </x:c>
      <x:c r="AK783" s="9" t="str">
        <x:v>Badan Informasi Geospasial (BIG)</x:v>
      </x:c>
      <x:c r="AL783" s="9" t="str">
        <x:v>https://power.larc.nasa.gov/docs/services/api/temporal/monthly/</x:v>
      </x:c>
      <x:c r="AM783" s="9" t="str">
        <x:v>https://geoservices.big.go.id/rbi/rest/services/BATASWILAYAH/BATAS_WILAYAH/MapServer/12</x:v>
      </x:c>
    </x:row>
    <x:row r="784" ht="18" customHeight="1">
      <x:c r="A784" s="6" t="str">
        <x:v>91</x:v>
      </x:c>
      <x:c r="B784" s="6" t="str">
        <x:v>PAPUA BARAT</x:v>
      </x:c>
      <x:c r="C784" s="6" t="str">
        <x:v>2025</x:v>
      </x:c>
      <x:c r="D784" s="6" t="str">
        <x:v>3</x:v>
      </x:c>
      <x:c r="E784" s="6" t="str">
        <x:v>25.348811625061355</x:v>
      </x:c>
      <x:c r="F784" s="9" t="str">
        <x:v>grid_cells_within_BIG_polygon</x:v>
      </x:c>
      <x:c r="G784" s="6" t="str">
        <x:v>16</x:v>
      </x:c>
      <x:c r="H784" s="8" t="str">
        <x:v>89.40226365042805</x:v>
      </x:c>
      <x:c r="I784" s="6" t="str">
        <x:v>9.670678017883345</x:v>
      </x:c>
      <x:c r="J784" s="6" t="str">
        <x:v>31</x:v>
      </x:c>
      <x:c r="K784" s="6" t="str">
        <x:v>299.7910185543837</x:v>
      </x:c>
      <x:c r="L784" s="6" t="str">
        <x:v>24.752122299295504</x:v>
      </x:c>
      <x:c r="M784" s="6" t="str">
        <x:v>0.28364794949204963</x:v>
      </x:c>
      <x:c r="N784" s="6" t="str">
        <x:v>90.29475634616126</x:v>
      </x:c>
      <x:c r="O784" s="6" t="str">
        <x:v>0.72766708560744</x:v>
      </x:c>
      <x:c r="P784" s="6" t="str">
        <x:v>267.3699713129503</x:v>
      </x:c>
      <x:c r="Q784" s="6" t="str">
        <x:v>84.92352161540317</x:v>
      </x:c>
      <x:c r="R784" s="6" t="str">
        <x:v>0.5966893257658512</x:v>
      </x:c>
      <x:c r="S784" s="8" t="str">
        <x:v>2.103626438457916</x:v>
      </x:c>
      <x:c r="T784" s="6" t="str">
        <x:v>-0.8924926957332104</x:v>
      </x:c>
      <x:c r="U784" s="8" t="str">
        <x:v>-1.226512389231097</x:v>
      </x:c>
      <x:c r="V784" s="6" t="str">
        <x:v>32.42104724143337</x:v>
      </x:c>
      <x:c r="W784" s="8" t="str">
        <x:v>0.3817675789313115</x:v>
      </x:c>
      <x:c r="X784" s="6" t="str">
        <x:v>1.0984120987144834</x:v>
      </x:c>
      <x:c r="Y784" s="6" t="str">
        <x:v>1.856187319866092</x:v>
      </x:c>
      <x:c r="Z784" s="6" t="str">
        <x:v>1.6860752856794967</x:v>
      </x:c>
      <x:c r="AA784" s="6" t="str">
        <x:v>-0.12907994266732428</x:v>
      </x:c>
      <x:c r="AB784" s="6" t="str">
        <x:v>-0.3074860839995236</x:v>
      </x:c>
      <x:c r="AC784" s="6" t="str">
        <x:v>-0.5543594719659812</x:v>
      </x:c>
      <x:c r="AD784" s="6" t="str">
        <x:v>-0.42912906669576556</x:v>
      </x:c>
      <x:c r="AE784" s="6" t="str">
        <x:v>0.008928042095665098</x:v>
      </x:c>
      <x:c r="AF784" s="6" t="str">
        <x:v>-0.012811148556262161</x:v>
      </x:c>
      <x:c r="AG784" s="6" t="str">
        <x:v>0</x:v>
      </x:c>
      <x:c r="AH784" s="6" t="str">
        <x:v>1</x:v>
      </x:c>
      <x:c r="AI784" s="6" t="str">
        <x:v>2025-03</x:v>
      </x:c>
      <x:c r="AJ784" s="9" t="str">
        <x:v>NASA POWER (MERRA-2 meteorology)</x:v>
      </x:c>
      <x:c r="AK784" s="9" t="str">
        <x:v>Badan Informasi Geospasial (BIG)</x:v>
      </x:c>
      <x:c r="AL784" s="9" t="str">
        <x:v>https://power.larc.nasa.gov/docs/services/api/temporal/monthly/</x:v>
      </x:c>
      <x:c r="AM784" s="9" t="str">
        <x:v>https://geoservices.big.go.id/rbi/rest/services/BATASWILAYAH/BATAS_WILAYAH/MapServer/12</x:v>
      </x:c>
    </x:row>
    <x:row r="785" ht="18" customHeight="1">
      <x:c r="A785" s="6" t="str">
        <x:v>91</x:v>
      </x:c>
      <x:c r="B785" s="6" t="str">
        <x:v>PAPUA BARAT</x:v>
      </x:c>
      <x:c r="C785" s="6" t="str">
        <x:v>2025</x:v>
      </x:c>
      <x:c r="D785" s="6" t="str">
        <x:v>4</x:v>
      </x:c>
      <x:c r="E785" s="6" t="str">
        <x:v>25.003234474547675</x:v>
      </x:c>
      <x:c r="F785" s="9" t="str">
        <x:v>grid_cells_within_BIG_polygon</x:v>
      </x:c>
      <x:c r="G785" s="6" t="str">
        <x:v>16</x:v>
      </x:c>
      <x:c r="H785" s="8" t="str">
        <x:v>90.05021449838414</x:v>
      </x:c>
      <x:c r="I785" s="6" t="str">
        <x:v>8.211342365301048</x:v>
      </x:c>
      <x:c r="J785" s="6" t="str">
        <x:v>30</x:v>
      </x:c>
      <x:c r="K785" s="6" t="str">
        <x:v>246.34027095903144</x:v>
      </x:c>
      <x:c r="L785" s="6" t="str">
        <x:v>24.83745548863588</x:v>
      </x:c>
      <x:c r="M785" s="6" t="str">
        <x:v>0.2677035456219857</x:v>
      </x:c>
      <x:c r="N785" s="6" t="str">
        <x:v>90.96043812346541</x:v>
      </x:c>
      <x:c r="O785" s="6" t="str">
        <x:v>0.7344971672449883</x:v>
      </x:c>
      <x:c r="P785" s="6" t="str">
        <x:v>267.6222248664591</x:v>
      </x:c>
      <x:c r="Q785" s="6" t="str">
        <x:v>81.16900099490717</x:v>
      </x:c>
      <x:c r="R785" s="6" t="str">
        <x:v>0.16577898591179618</x:v>
      </x:c>
      <x:c r="S785" s="8" t="str">
        <x:v>0.6192633180357148</x:v>
      </x:c>
      <x:c r="T785" s="6" t="str">
        <x:v>-0.9102236250812723</x:v>
      </x:c>
      <x:c r="U785" s="8" t="str">
        <x:v>-1.2392472914434962</x:v>
      </x:c>
      <x:c r="V785" s="6" t="str">
        <x:v>-21.281953907427635</x:v>
      </x:c>
      <x:c r="W785" s="8" t="str">
        <x:v>-0.2621931235640431</x:v>
      </x:c>
      <x:c r="X785" s="6" t="str">
        <x:v>2.103626438457916</x:v>
      </x:c>
      <x:c r="Y785" s="6" t="str">
        <x:v>1.0984120987144834</x:v>
      </x:c>
      <x:c r="Z785" s="6" t="str">
        <x:v>1.2737672850693709</x:v>
      </x:c>
      <x:c r="AA785" s="6" t="str">
        <x:v>-1.226512389231097</x:v>
      </x:c>
      <x:c r="AB785" s="6" t="str">
        <x:v>-0.12907994266732428</x:v>
      </x:c>
      <x:c r="AC785" s="6" t="str">
        <x:v>-0.8649465411139721</x:v>
      </x:c>
      <x:c r="AD785" s="6" t="str">
        <x:v>0.3817675789313115</x:v>
      </x:c>
      <x:c r="AE785" s="6" t="str">
        <x:v>-0.42912906669576556</x:v>
      </x:c>
      <x:c r="AF785" s="6" t="str">
        <x:v>-0.10318487044283157</x:v>
      </x:c>
      <x:c r="AG785" s="6" t="str">
        <x:v>0</x:v>
      </x:c>
      <x:c r="AH785" s="6" t="str">
        <x:v>0</x:v>
      </x:c>
      <x:c r="AI785" s="6" t="str">
        <x:v>2025-04</x:v>
      </x:c>
      <x:c r="AJ785" s="9" t="str">
        <x:v>NASA POWER (MERRA-2 meteorology)</x:v>
      </x:c>
      <x:c r="AK785" s="9" t="str">
        <x:v>Badan Informasi Geospasial (BIG)</x:v>
      </x:c>
      <x:c r="AL785" s="9" t="str">
        <x:v>https://power.larc.nasa.gov/docs/services/api/temporal/monthly/</x:v>
      </x:c>
      <x:c r="AM785" s="9" t="str">
        <x:v>https://geoservices.big.go.id/rbi/rest/services/BATASWILAYAH/BATAS_WILAYAH/MapServer/12</x:v>
      </x:c>
    </x:row>
    <x:row r="786" ht="18" customHeight="1">
      <x:c r="A786" s="6" t="str">
        <x:v>91</x:v>
      </x:c>
      <x:c r="B786" s="6" t="str">
        <x:v>PAPUA BARAT</x:v>
      </x:c>
      <x:c r="C786" s="6" t="str">
        <x:v>2025</x:v>
      </x:c>
      <x:c r="D786" s="6" t="str">
        <x:v>5</x:v>
      </x:c>
      <x:c r="E786" s="6" t="str">
        <x:v>25.286371682109376</x:v>
      </x:c>
      <x:c r="F786" s="9" t="str">
        <x:v>grid_cells_within_BIG_polygon</x:v>
      </x:c>
      <x:c r="G786" s="6" t="str">
        <x:v>16</x:v>
      </x:c>
      <x:c r="H786" s="8" t="str">
        <x:v>91.10757478205055</x:v>
      </x:c>
      <x:c r="I786" s="6" t="str">
        <x:v>9.36765314229587</x:v>
      </x:c>
      <x:c r="J786" s="6" t="str">
        <x:v>31</x:v>
      </x:c>
      <x:c r="K786" s="6" t="str">
        <x:v>290.397247411172</x:v>
      </x:c>
      <x:c r="L786" s="6" t="str">
        <x:v>24.835235551432493</x:v>
      </x:c>
      <x:c r="M786" s="6" t="str">
        <x:v>0.38167661949570403</x:v>
      </x:c>
      <x:c r="N786" s="6" t="str">
        <x:v>90.93336709111313</x:v>
      </x:c>
      <x:c r="O786" s="6" t="str">
        <x:v>1.0264766690628226</x:v>
      </x:c>
      <x:c r="P786" s="6" t="str">
        <x:v>249.95228209215577</x:v>
      </x:c>
      <x:c r="Q786" s="6" t="str">
        <x:v>100.85762144634582</x:v>
      </x:c>
      <x:c r="R786" s="6" t="str">
        <x:v>0.45113613067688263</x:v>
      </x:c>
      <x:c r="S786" s="8" t="str">
        <x:v>1.181985239947244</x:v>
      </x:c>
      <x:c r="T786" s="6" t="str">
        <x:v>0.17420769093742194</x:v>
      </x:c>
      <x:c r="U786" s="8" t="str">
        <x:v>0.16971422360380997</x:v>
      </x:c>
      <x:c r="V786" s="6" t="str">
        <x:v>40.444965319016205</x:v>
      </x:c>
      <x:c r="W786" s="8" t="str">
        <x:v>0.4010105011303692</x:v>
      </x:c>
      <x:c r="X786" s="6" t="str">
        <x:v>0.6192633180357148</x:v>
      </x:c>
      <x:c r="Y786" s="6" t="str">
        <x:v>2.103626438457916</x:v>
      </x:c>
      <x:c r="Z786" s="6" t="str">
        <x:v>1.3016249988136246</x:v>
      </x:c>
      <x:c r="AA786" s="6" t="str">
        <x:v>-1.2392472914434962</x:v>
      </x:c>
      <x:c r="AB786" s="6" t="str">
        <x:v>-1.226512389231097</x:v>
      </x:c>
      <x:c r="AC786" s="6" t="str">
        <x:v>-0.7653484856902607</x:v>
      </x:c>
      <x:c r="AD786" s="6" t="str">
        <x:v>-0.2621931235640431</x:v>
      </x:c>
      <x:c r="AE786" s="6" t="str">
        <x:v>0.3817675789313115</x:v>
      </x:c>
      <x:c r="AF786" s="6" t="str">
        <x:v>0.17352831883254669</x:v>
      </x:c>
      <x:c r="AG786" s="6" t="str">
        <x:v>0</x:v>
      </x:c>
      <x:c r="AH786" s="6" t="str">
        <x:v>1</x:v>
      </x:c>
      <x:c r="AI786" s="6" t="str">
        <x:v>2025-05</x:v>
      </x:c>
      <x:c r="AJ786" s="9" t="str">
        <x:v>NASA POWER (MERRA-2 meteorology)</x:v>
      </x:c>
      <x:c r="AK786" s="9" t="str">
        <x:v>Badan Informasi Geospasial (BIG)</x:v>
      </x:c>
      <x:c r="AL786" s="9" t="str">
        <x:v>https://power.larc.nasa.gov/docs/services/api/temporal/monthly/</x:v>
      </x:c>
      <x:c r="AM786" s="9" t="str">
        <x:v>https://geoservices.big.go.id/rbi/rest/services/BATASWILAYAH/BATAS_WILAYAH/MapServer/12</x:v>
      </x:c>
    </x:row>
    <x:row r="787" ht="18" customHeight="1">
      <x:c r="A787" s="6" t="str">
        <x:v>91</x:v>
      </x:c>
      <x:c r="B787" s="6" t="str">
        <x:v>PAPUA BARAT</x:v>
      </x:c>
      <x:c r="C787" s="6" t="str">
        <x:v>2025</x:v>
      </x:c>
      <x:c r="D787" s="6" t="str">
        <x:v>6</x:v>
      </x:c>
      <x:c r="E787" s="6" t="str">
        <x:v>24.79649389645637</x:v>
      </x:c>
      <x:c r="F787" s="9" t="str">
        <x:v>grid_cells_within_BIG_polygon</x:v>
      </x:c>
      <x:c r="G787" s="6" t="str">
        <x:v>16</x:v>
      </x:c>
      <x:c r="H787" s="8" t="str">
        <x:v>91.90223084515752</x:v>
      </x:c>
      <x:c r="I787" s="6" t="str">
        <x:v>10.361506923327743</x:v>
      </x:c>
      <x:c r="J787" s="6" t="str">
        <x:v>30</x:v>
      </x:c>
      <x:c r="K787" s="6" t="str">
        <x:v>310.8452076998323</x:v>
      </x:c>
      <x:c r="L787" s="6" t="str">
        <x:v>24.171009751007137</x:v>
      </x:c>
      <x:c r="M787" s="6" t="str">
        <x:v>0.3549079105037552</x:v>
      </x:c>
      <x:c r="N787" s="6" t="str">
        <x:v>91.6920576037898</x:v>
      </x:c>
      <x:c r="O787" s="6" t="str">
        <x:v>1.2695833718284861</x:v>
      </x:c>
      <x:c r="P787" s="6" t="str">
        <x:v>249.63323537365443</x:v>
      </x:c>
      <x:c r="Q787" s="6" t="str">
        <x:v>103.02616570060401</x:v>
      </x:c>
      <x:c r="R787" s="6" t="str">
        <x:v>0.6254841454492315</x:v>
      </x:c>
      <x:c r="S787" s="8" t="str">
        <x:v>1.7623843451711776</x:v>
      </x:c>
      <x:c r="T787" s="6" t="str">
        <x:v>0.21017324136771265</x:v>
      </x:c>
      <x:c r="U787" s="8" t="str">
        <x:v>0.16554504889664381</x:v>
      </x:c>
      <x:c r="V787" s="6" t="str">
        <x:v>61.211972326177886</x:v>
      </x:c>
      <x:c r="W787" s="8" t="str">
        <x:v>0.594140060536282</x:v>
      </x:c>
      <x:c r="X787" s="6" t="str">
        <x:v>1.181985239947244</x:v>
      </x:c>
      <x:c r="Y787" s="6" t="str">
        <x:v>0.6192633180357148</x:v>
      </x:c>
      <x:c r="Z787" s="6" t="str">
        <x:v>1.1878776343847115</x:v>
      </x:c>
      <x:c r="AA787" s="6" t="str">
        <x:v>0.16971422360380997</x:v>
      </x:c>
      <x:c r="AB787" s="6" t="str">
        <x:v>-1.2392472914434962</x:v>
      </x:c>
      <x:c r="AC787" s="6" t="str">
        <x:v>-0.30132933964768044</x:v>
      </x:c>
      <x:c r="AD787" s="6" t="str">
        <x:v>0.4010105011303692</x:v>
      </x:c>
      <x:c r="AE787" s="6" t="str">
        <x:v>-0.2621931235640431</x:v>
      </x:c>
      <x:c r="AF787" s="6" t="str">
        <x:v>0.2443191460342035</x:v>
      </x:c>
      <x:c r="AG787" s="6" t="str">
        <x:v>0</x:v>
      </x:c>
      <x:c r="AH787" s="6" t="str">
        <x:v>1</x:v>
      </x:c>
      <x:c r="AI787" s="6" t="str">
        <x:v>2025-06</x:v>
      </x:c>
      <x:c r="AJ787" s="9" t="str">
        <x:v>NASA POWER (MERRA-2 meteorology)</x:v>
      </x:c>
      <x:c r="AK787" s="9" t="str">
        <x:v>Badan Informasi Geospasial (BIG)</x:v>
      </x:c>
      <x:c r="AL787" s="9" t="str">
        <x:v>https://power.larc.nasa.gov/docs/services/api/temporal/monthly/</x:v>
      </x:c>
      <x:c r="AM787" s="9" t="str">
        <x:v>https://geoservices.big.go.id/rbi/rest/services/BATASWILAYAH/BATAS_WILAYAH/MapServer/12</x:v>
      </x:c>
    </x:row>
    <x:row r="788" ht="18" customHeight="1">
      <x:c r="A788" s="6" t="str">
        <x:v>91</x:v>
      </x:c>
      <x:c r="B788" s="6" t="str">
        <x:v>PAPUA BARAT</x:v>
      </x:c>
      <x:c r="C788" s="6" t="str">
        <x:v>2025</x:v>
      </x:c>
      <x:c r="D788" s="6" t="str">
        <x:v>7</x:v>
      </x:c>
      <x:c r="E788" s="6" t="str">
        <x:v>24.43650630387364</x:v>
      </x:c>
      <x:c r="F788" s="9" t="str">
        <x:v>grid_cells_within_BIG_polygon</x:v>
      </x:c>
      <x:c r="G788" s="6" t="str">
        <x:v>16</x:v>
      </x:c>
      <x:c r="H788" s="8" t="str">
        <x:v>91.45609281260822</x:v>
      </x:c>
      <x:c r="I788" s="6" t="str">
        <x:v>10.190546383726724</x:v>
      </x:c>
      <x:c r="J788" s="6" t="str">
        <x:v>31</x:v>
      </x:c>
      <x:c r="K788" s="6" t="str">
        <x:v>315.9069378955285</x:v>
      </x:c>
      <x:c r="L788" s="6" t="str">
        <x:v>23.58682547146667</x:v>
      </x:c>
      <x:c r="M788" s="6" t="str">
        <x:v>0.37859127852433644</x:v>
      </x:c>
      <x:c r="N788" s="6" t="str">
        <x:v>91.23070023075817</x:v>
      </x:c>
      <x:c r="O788" s="6" t="str">
        <x:v>1.0409165949444605</x:v>
      </x:c>
      <x:c r="P788" s="6" t="str">
        <x:v>206.5955333601657</x:v>
      </x:c>
      <x:c r="Q788" s="6" t="str">
        <x:v>97.67516070089417</x:v>
      </x:c>
      <x:c r="R788" s="6" t="str">
        <x:v>0.8496808324069676</x:v>
      </x:c>
      <x:c r="S788" s="8" t="str">
        <x:v>2.2443222562306033</x:v>
      </x:c>
      <x:c r="T788" s="6" t="str">
        <x:v>0.22539258185004485</x:v>
      </x:c>
      <x:c r="U788" s="8" t="str">
        <x:v>0.21653279709895581</x:v>
      </x:c>
      <x:c r="V788" s="6" t="str">
        <x:v>109.31140453536278</x:v>
      </x:c>
      <x:c r="W788" s="8" t="str">
        <x:v>1.1191320674669962</x:v>
      </x:c>
      <x:c r="X788" s="6" t="str">
        <x:v>1.7623843451711776</x:v>
      </x:c>
      <x:c r="Y788" s="6" t="str">
        <x:v>1.181985239947244</x:v>
      </x:c>
      <x:c r="Z788" s="6" t="str">
        <x:v>1.7295639471163409</x:v>
      </x:c>
      <x:c r="AA788" s="6" t="str">
        <x:v>0.16554504889664381</x:v>
      </x:c>
      <x:c r="AB788" s="6" t="str">
        <x:v>0.16971422360380997</x:v>
      </x:c>
      <x:c r="AC788" s="6" t="str">
        <x:v>0.18393068986647024</x:v>
      </x:c>
      <x:c r="AD788" s="6" t="str">
        <x:v>0.594140060536282</x:v>
      </x:c>
      <x:c r="AE788" s="6" t="str">
        <x:v>0.4010105011303692</x:v>
      </x:c>
      <x:c r="AF788" s="6" t="str">
        <x:v>0.7047608763778833</x:v>
      </x:c>
      <x:c r="AG788" s="6" t="str">
        <x:v>1</x:v>
      </x:c>
      <x:c r="AH788" s="6" t="str">
        <x:v>1</x:v>
      </x:c>
      <x:c r="AI788" s="6" t="str">
        <x:v>2025-07</x:v>
      </x:c>
      <x:c r="AJ788" s="9" t="str">
        <x:v>NASA POWER (MERRA-2 meteorology)</x:v>
      </x:c>
      <x:c r="AK788" s="9" t="str">
        <x:v>Badan Informasi Geospasial (BIG)</x:v>
      </x:c>
      <x:c r="AL788" s="9" t="str">
        <x:v>https://power.larc.nasa.gov/docs/services/api/temporal/monthly/</x:v>
      </x:c>
      <x:c r="AM788" s="9" t="str">
        <x:v>https://geoservices.big.go.id/rbi/rest/services/BATASWILAYAH/BATAS_WILAYAH/MapServer/12</x:v>
      </x:c>
    </x:row>
    <x:row r="789" ht="18" customHeight="1">
      <x:c r="A789" s="6" t="str">
        <x:v>91</x:v>
      </x:c>
      <x:c r="B789" s="6" t="str">
        <x:v>PAPUA BARAT</x:v>
      </x:c>
      <x:c r="C789" s="6" t="str">
        <x:v>2025</x:v>
      </x:c>
      <x:c r="D789" s="6" t="str">
        <x:v>8</x:v>
      </x:c>
      <x:c r="E789" s="6" t="str">
        <x:v>24.15911140399015</x:v>
      </x:c>
      <x:c r="F789" s="9" t="str">
        <x:v>grid_cells_within_BIG_polygon</x:v>
      </x:c>
      <x:c r="G789" s="6" t="str">
        <x:v>16</x:v>
      </x:c>
      <x:c r="H789" s="8" t="str">
        <x:v>91.97465193797612</x:v>
      </x:c>
      <x:c r="I789" s="6" t="str">
        <x:v>9.082823054009234</x:v>
      </x:c>
      <x:c r="J789" s="6" t="str">
        <x:v>31</x:v>
      </x:c>
      <x:c r="K789" s="6" t="str">
        <x:v>281.56751467428626</x:v>
      </x:c>
      <x:c r="L789" s="6" t="str">
        <x:v>23.47092568339728</x:v>
      </x:c>
      <x:c r="M789" s="6" t="str">
        <x:v>0.41270526503471466</x:v>
      </x:c>
      <x:c r="N789" s="6" t="str">
        <x:v>90.1829339112899</x:v>
      </x:c>
      <x:c r="O789" s="6" t="str">
        <x:v>1.708644245453084</x:v>
      </x:c>
      <x:c r="P789" s="6" t="str">
        <x:v>185.71600938812568</x:v>
      </x:c>
      <x:c r="Q789" s="6" t="str">
        <x:v>86.70415664300346</x:v>
      </x:c>
      <x:c r="R789" s="6" t="str">
        <x:v>0.6881857205928696</x:v>
      </x:c>
      <x:c r="S789" s="8" t="str">
        <x:v>1.6674992516390188</x:v>
      </x:c>
      <x:c r="T789" s="6" t="str">
        <x:v>1.791718026686226</x:v>
      </x:c>
      <x:c r="U789" s="8" t="str">
        <x:v>1.048619706211057</x:v>
      </x:c>
      <x:c r="V789" s="6" t="str">
        <x:v>95.85150528616057</x:v>
      </x:c>
      <x:c r="W789" s="8" t="str">
        <x:v>1.1055006933614555</x:v>
      </x:c>
      <x:c r="X789" s="6" t="str">
        <x:v>2.2443222562306033</x:v>
      </x:c>
      <x:c r="Y789" s="6" t="str">
        <x:v>1.7623843451711776</x:v>
      </x:c>
      <x:c r="Z789" s="6" t="str">
        <x:v>1.8914019510135995</x:v>
      </x:c>
      <x:c r="AA789" s="6" t="str">
        <x:v>0.21653279709895581</x:v>
      </x:c>
      <x:c r="AB789" s="6" t="str">
        <x:v>0.16554504889664381</x:v>
      </x:c>
      <x:c r="AC789" s="6" t="str">
        <x:v>0.4768991840688859</x:v>
      </x:c>
      <x:c r="AD789" s="6" t="str">
        <x:v>1.1191320674669962</x:v>
      </x:c>
      <x:c r="AE789" s="6" t="str">
        <x:v>0.594140060536282</x:v>
      </x:c>
      <x:c r="AF789" s="6" t="str">
        <x:v>0.9395909404549121</x:v>
      </x:c>
      <x:c r="AG789" s="6" t="str">
        <x:v>1</x:v>
      </x:c>
      <x:c r="AH789" s="6" t="str">
        <x:v>1</x:v>
      </x:c>
      <x:c r="AI789" s="6" t="str">
        <x:v>2025-08</x:v>
      </x:c>
      <x:c r="AJ789" s="9" t="str">
        <x:v>NASA POWER (MERRA-2 meteorology)</x:v>
      </x:c>
      <x:c r="AK789" s="9" t="str">
        <x:v>Badan Informasi Geospasial (BIG)</x:v>
      </x:c>
      <x:c r="AL789" s="9" t="str">
        <x:v>https://power.larc.nasa.gov/docs/services/api/temporal/monthly/</x:v>
      </x:c>
      <x:c r="AM789" s="9" t="str">
        <x:v>https://geoservices.big.go.id/rbi/rest/services/BATASWILAYAH/BATAS_WILAYAH/MapServer/12</x:v>
      </x:c>
    </x:row>
    <x:row r="790" ht="18" customHeight="1">
      <x:c r="A790" s="6" t="str">
        <x:v>91</x:v>
      </x:c>
      <x:c r="B790" s="6" t="str">
        <x:v>PAPUA BARAT</x:v>
      </x:c>
      <x:c r="C790" s="6" t="str">
        <x:v>2025</x:v>
      </x:c>
      <x:c r="D790" s="6" t="str">
        <x:v>9</x:v>
      </x:c>
      <x:c r="E790" s="6" t="str">
        <x:v>24.63029238045126</x:v>
      </x:c>
      <x:c r="F790" s="9" t="str">
        <x:v>grid_cells_within_BIG_polygon</x:v>
      </x:c>
      <x:c r="G790" s="6" t="str">
        <x:v>16</x:v>
      </x:c>
      <x:c r="H790" s="8" t="str">
        <x:v>90.03457380963229</x:v>
      </x:c>
      <x:c r="I790" s="6" t="str">
        <x:v>7.3793328356505725</x:v>
      </x:c>
      <x:c r="J790" s="6" t="str">
        <x:v>30</x:v>
      </x:c>
      <x:c r="K790" s="6" t="str">
        <x:v>221.37998506951718</x:v>
      </x:c>
      <x:c r="L790" s="6" t="str">
        <x:v>23.974108693913383</x:v>
      </x:c>
      <x:c r="M790" s="6" t="str">
        <x:v>0.3458612964710787</x:v>
      </x:c>
      <x:c r="N790" s="6" t="str">
        <x:v>89.54896957713302</x:v>
      </x:c>
      <x:c r="O790" s="6" t="str">
        <x:v>2.094344778232455</x:v>
      </x:c>
      <x:c r="P790" s="6" t="str">
        <x:v>183.01402312594556</x:v>
      </x:c>
      <x:c r="Q790" s="6" t="str">
        <x:v>81.04786618519681</x:v>
      </x:c>
      <x:c r="R790" s="6" t="str">
        <x:v>0.6561836865378758</x:v>
      </x:c>
      <x:c r="S790" s="8" t="str">
        <x:v>1.8972452056159645</x:v>
      </x:c>
      <x:c r="T790" s="6" t="str">
        <x:v>0.48560423249927</x:v>
      </x:c>
      <x:c r="U790" s="8" t="str">
        <x:v>0.23186451321023702</x:v>
      </x:c>
      <x:c r="V790" s="6" t="str">
        <x:v>38.36596194357162</x:v>
      </x:c>
      <x:c r="W790" s="8" t="str">
        <x:v>0.4733741151914381</x:v>
      </x:c>
      <x:c r="X790" s="6" t="str">
        <x:v>1.6674992516390188</x:v>
      </x:c>
      <x:c r="Y790" s="6" t="str">
        <x:v>2.2443222562306033</x:v>
      </x:c>
      <x:c r="Z790" s="6" t="str">
        <x:v>1.9363555711618616</x:v>
      </x:c>
      <x:c r="AA790" s="6" t="str">
        <x:v>1.048619706211057</x:v>
      </x:c>
      <x:c r="AB790" s="6" t="str">
        <x:v>0.21653279709895581</x:v>
      </x:c>
      <x:c r="AC790" s="6" t="str">
        <x:v>0.499005672173417</x:v>
      </x:c>
      <x:c r="AD790" s="6" t="str">
        <x:v>1.1055006933614555</x:v>
      </x:c>
      <x:c r="AE790" s="6" t="str">
        <x:v>1.1191320674669962</x:v>
      </x:c>
      <x:c r="AF790" s="6" t="str">
        <x:v>0.8993356253399641</x:v>
      </x:c>
      <x:c r="AG790" s="6" t="str">
        <x:v>0</x:v>
      </x:c>
      <x:c r="AH790" s="6" t="str">
        <x:v>1</x:v>
      </x:c>
      <x:c r="AI790" s="6" t="str">
        <x:v>2025-09</x:v>
      </x:c>
      <x:c r="AJ790" s="9" t="str">
        <x:v>NASA POWER (MERRA-2 meteorology)</x:v>
      </x:c>
      <x:c r="AK790" s="9" t="str">
        <x:v>Badan Informasi Geospasial (BIG)</x:v>
      </x:c>
      <x:c r="AL790" s="9" t="str">
        <x:v>https://power.larc.nasa.gov/docs/services/api/temporal/monthly/</x:v>
      </x:c>
      <x:c r="AM790" s="9" t="str">
        <x:v>https://geoservices.big.go.id/rbi/rest/services/BATASWILAYAH/BATAS_WILAYAH/MapServer/12</x:v>
      </x:c>
    </x:row>
    <x:row r="791" ht="18" customHeight="1">
      <x:c r="A791" s="6" t="str">
        <x:v>91</x:v>
      </x:c>
      <x:c r="B791" s="6" t="str">
        <x:v>PAPUA BARAT</x:v>
      </x:c>
      <x:c r="C791" s="6" t="str">
        <x:v>2025</x:v>
      </x:c>
      <x:c r="D791" s="6" t="str">
        <x:v>10</x:v>
      </x:c>
      <x:c r="E791" s="6" t="str">
        <x:v>25.1020103082681</x:v>
      </x:c>
      <x:c r="F791" s="9" t="str">
        <x:v>grid_cells_within_BIG_polygon</x:v>
      </x:c>
      <x:c r="G791" s="6" t="str">
        <x:v>16</x:v>
      </x:c>
      <x:c r="H791" s="8" t="str">
        <x:v>89.5756142324499</x:v>
      </x:c>
      <x:c r="I791" s="6" t="str">
        <x:v>7.1342055301845795</x:v>
      </x:c>
      <x:c r="J791" s="6" t="str">
        <x:v>31</x:v>
      </x:c>
      <x:c r="K791" s="6" t="str">
        <x:v>221.16037143572197</x:v>
      </x:c>
      <x:c r="L791" s="6" t="str">
        <x:v>24.568622714774065</x:v>
      </x:c>
      <x:c r="M791" s="6" t="str">
        <x:v>0.30949324007153345</x:v>
      </x:c>
      <x:c r="N791" s="6" t="str">
        <x:v>88.92216346595949</x:v>
      </x:c>
      <x:c r="O791" s="6" t="str">
        <x:v>2.602288996600537</x:v>
      </x:c>
      <x:c r="P791" s="6" t="str">
        <x:v>178.8470275479024</x:v>
      </x:c>
      <x:c r="Q791" s="6" t="str">
        <x:v>70.07968046754945</x:v>
      </x:c>
      <x:c r="R791" s="6" t="str">
        <x:v>0.5333875934940338</x:v>
      </x:c>
      <x:c r="S791" s="8" t="str">
        <x:v>1.723422435238816</x:v>
      </x:c>
      <x:c r="T791" s="6" t="str">
        <x:v>0.6534507664904083</x:v>
      </x:c>
      <x:c r="U791" s="8" t="str">
        <x:v>0.25110614821952304</x:v>
      </x:c>
      <x:c r="V791" s="6" t="str">
        <x:v>42.31334388781957</x:v>
      </x:c>
      <x:c r="W791" s="8" t="str">
        <x:v>0.6037890527684819</x:v>
      </x:c>
      <x:c r="X791" s="6" t="str">
        <x:v>1.8972452056159645</x:v>
      </x:c>
      <x:c r="Y791" s="6" t="str">
        <x:v>1.6674992516390188</x:v>
      </x:c>
      <x:c r="Z791" s="6" t="str">
        <x:v>1.7627222974979329</x:v>
      </x:c>
      <x:c r="AA791" s="6" t="str">
        <x:v>0.23186451321023702</x:v>
      </x:c>
      <x:c r="AB791" s="6" t="str">
        <x:v>1.048619706211057</x:v>
      </x:c>
      <x:c r="AC791" s="6" t="str">
        <x:v>0.5105301225469394</x:v>
      </x:c>
      <x:c r="AD791" s="6" t="str">
        <x:v>0.4733741151914381</x:v>
      </x:c>
      <x:c r="AE791" s="6" t="str">
        <x:v>1.1055006933614555</x:v>
      </x:c>
      <x:c r="AF791" s="6" t="str">
        <x:v>0.7275546204404594</x:v>
      </x:c>
      <x:c r="AG791" s="6" t="str">
        <x:v>0</x:v>
      </x:c>
      <x:c r="AH791" s="6" t="str">
        <x:v>1</x:v>
      </x:c>
      <x:c r="AI791" s="6" t="str">
        <x:v>2025-10</x:v>
      </x:c>
      <x:c r="AJ791" s="9" t="str">
        <x:v>NASA POWER (MERRA-2 meteorology)</x:v>
      </x:c>
      <x:c r="AK791" s="9" t="str">
        <x:v>Badan Informasi Geospasial (BIG)</x:v>
      </x:c>
      <x:c r="AL791" s="9" t="str">
        <x:v>https://power.larc.nasa.gov/docs/services/api/temporal/monthly/</x:v>
      </x:c>
      <x:c r="AM791" s="9" t="str">
        <x:v>https://geoservices.big.go.id/rbi/rest/services/BATASWILAYAH/BATAS_WILAYAH/MapServer/12</x:v>
      </x:c>
    </x:row>
    <x:row r="792" ht="18" customHeight="1">
      <x:c r="A792" s="6" t="str">
        <x:v>91</x:v>
      </x:c>
      <x:c r="B792" s="6" t="str">
        <x:v>PAPUA BARAT</x:v>
      </x:c>
      <x:c r="C792" s="6" t="str">
        <x:v>2025</x:v>
      </x:c>
      <x:c r="D792" s="6" t="str">
        <x:v>11</x:v>
      </x:c>
      <x:c r="E792" s="6" t="str">
        <x:v>25.163838137409254</x:v>
      </x:c>
      <x:c r="F792" s="9" t="str">
        <x:v>grid_cells_within_BIG_polygon</x:v>
      </x:c>
      <x:c r="G792" s="6" t="str">
        <x:v>16</x:v>
      </x:c>
      <x:c r="H792" s="8" t="str">
        <x:v>90.25827454583606</x:v>
      </x:c>
      <x:c r="I792" s="6" t="str">
        <x:v>7.5486768361403085</x:v>
      </x:c>
      <x:c r="J792" s="6" t="str">
        <x:v>30</x:v>
      </x:c>
      <x:c r="K792" s="6" t="str">
        <x:v>226.46030508420927</x:v>
      </x:c>
      <x:c r="L792" s="6" t="str">
        <x:v>24.934398198522832</x:v>
      </x:c>
      <x:c r="M792" s="6" t="str">
        <x:v>0.2683394068746017</x:v>
      </x:c>
      <x:c r="N792" s="6" t="str">
        <x:v>89.12346948831237</x:v>
      </x:c>
      <x:c r="O792" s="6" t="str">
        <x:v>1.9789615667732428</x:v>
      </x:c>
      <x:c r="P792" s="6" t="str">
        <x:v>185.8743544442883</x:v>
      </x:c>
      <x:c r="Q792" s="6" t="str">
        <x:v>57.581680495620844</x:v>
      </x:c>
      <x:c r="R792" s="6" t="str">
        <x:v>0.2294399388864221</x:v>
      </x:c>
      <x:c r="S792" s="8" t="str">
        <x:v>0.8550363197070127</x:v>
      </x:c>
      <x:c r="T792" s="6" t="str">
        <x:v>1.1348050575236925</x:v>
      </x:c>
      <x:c r="U792" s="8" t="str">
        <x:v>0.5734346116554587</x:v>
      </x:c>
      <x:c r="V792" s="6" t="str">
        <x:v>40.58595063992098</x:v>
      </x:c>
      <x:c r="W792" s="8" t="str">
        <x:v>0.7048413712588258</x:v>
      </x:c>
      <x:c r="X792" s="6" t="str">
        <x:v>1.723422435238816</x:v>
      </x:c>
      <x:c r="Y792" s="6" t="str">
        <x:v>1.8972452056159645</x:v>
      </x:c>
      <x:c r="Z792" s="6" t="str">
        <x:v>1.491901320187264</x:v>
      </x:c>
      <x:c r="AA792" s="6" t="str">
        <x:v>0.25110614821952304</x:v>
      </x:c>
      <x:c r="AB792" s="6" t="str">
        <x:v>0.23186451321023702</x:v>
      </x:c>
      <x:c r="AC792" s="6" t="str">
        <x:v>0.3521350910284067</x:v>
      </x:c>
      <x:c r="AD792" s="6" t="str">
        <x:v>0.6037890527684819</x:v>
      </x:c>
      <x:c r="AE792" s="6" t="str">
        <x:v>0.4733741151914381</x:v>
      </x:c>
      <x:c r="AF792" s="6" t="str">
        <x:v>0.5940015130729162</x:v>
      </x:c>
      <x:c r="AG792" s="6" t="str">
        <x:v>0</x:v>
      </x:c>
      <x:c r="AH792" s="6" t="str">
        <x:v>0</x:v>
      </x:c>
      <x:c r="AI792" s="6" t="str">
        <x:v>2025-11</x:v>
      </x:c>
      <x:c r="AJ792" s="9" t="str">
        <x:v>NASA POWER (MERRA-2 meteorology)</x:v>
      </x:c>
      <x:c r="AK792" s="9" t="str">
        <x:v>Badan Informasi Geospasial (BIG)</x:v>
      </x:c>
      <x:c r="AL792" s="9" t="str">
        <x:v>https://power.larc.nasa.gov/docs/services/api/temporal/monthly/</x:v>
      </x:c>
      <x:c r="AM792" s="9" t="str">
        <x:v>https://geoservices.big.go.id/rbi/rest/services/BATASWILAYAH/BATAS_WILAYAH/MapServer/12</x:v>
      </x:c>
    </x:row>
    <x:row r="793" ht="18" customHeight="1">
      <x:c r="A793" s="6" t="str">
        <x:v>91</x:v>
      </x:c>
      <x:c r="B793" s="6" t="str">
        <x:v>PAPUA BARAT</x:v>
      </x:c>
      <x:c r="C793" s="6" t="str">
        <x:v>2025</x:v>
      </x:c>
      <x:c r="D793" s="6" t="str">
        <x:v>12</x:v>
      </x:c>
      <x:c r="E793" s="6" t="str">
        <x:v>25.158230258897916</x:v>
      </x:c>
      <x:c r="F793" s="9" t="str">
        <x:v>grid_cells_within_BIG_polygon</x:v>
      </x:c>
      <x:c r="G793" s="6" t="str">
        <x:v>16</x:v>
      </x:c>
      <x:c r="H793" s="8" t="str">
        <x:v>90.48065302370051</x:v>
      </x:c>
      <x:c r="I793" s="6" t="str">
        <x:v>8.377806980560399</x:v>
      </x:c>
      <x:c r="J793" s="6" t="str">
        <x:v>31</x:v>
      </x:c>
      <x:c r="K793" s="6" t="str">
        <x:v>259.71201639737234</x:v>
      </x:c>
      <x:c r="L793" s="6" t="str">
        <x:v>24.92240318375759</x:v>
      </x:c>
      <x:c r="M793" s="6" t="str">
        <x:v>0.30254379852299523</x:v>
      </x:c>
      <x:c r="N793" s="6" t="str">
        <x:v>90.0931308083163</x:v>
      </x:c>
      <x:c r="O793" s="6" t="str">
        <x:v>1.2959456020665914</x:v>
      </x:c>
      <x:c r="P793" s="6" t="str">
        <x:v>222.20244594576903</x:v>
      </x:c>
      <x:c r="Q793" s="6" t="str">
        <x:v>58.50148571657308</x:v>
      </x:c>
      <x:c r="R793" s="6" t="str">
        <x:v>0.23582707514032464</x:v>
      </x:c>
      <x:c r="S793" s="8" t="str">
        <x:v>0.779480776970546</x:v>
      </x:c>
      <x:c r="T793" s="6" t="str">
        <x:v>0.38752221538420883</x:v>
      </x:c>
      <x:c r="U793" s="8" t="str">
        <x:v>0.29902660633767575</x:v>
      </x:c>
      <x:c r="V793" s="6" t="str">
        <x:v>37.50957045160331</x:v>
      </x:c>
      <x:c r="W793" s="8" t="str">
        <x:v>0.6411729547062957</x:v>
      </x:c>
      <x:c r="X793" s="6" t="str">
        <x:v>0.8550363197070127</x:v>
      </x:c>
      <x:c r="Y793" s="6" t="str">
        <x:v>1.723422435238816</x:v>
      </x:c>
      <x:c r="Z793" s="6" t="str">
        <x:v>1.1193131773054577</x:v>
      </x:c>
      <x:c r="AA793" s="6" t="str">
        <x:v>0.5734346116554587</x:v>
      </x:c>
      <x:c r="AB793" s="6" t="str">
        <x:v>0.25110614821952304</x:v>
      </x:c>
      <x:c r="AC793" s="6" t="str">
        <x:v>0.37452245540421963</x:v>
      </x:c>
      <x:c r="AD793" s="6" t="str">
        <x:v>0.7048413712588258</x:v>
      </x:c>
      <x:c r="AE793" s="6" t="str">
        <x:v>0.6037890527684819</x:v>
      </x:c>
      <x:c r="AF793" s="6" t="str">
        <x:v>0.6499344595778687</x:v>
      </x:c>
      <x:c r="AG793" s="6" t="str">
        <x:v>0</x:v>
      </x:c>
      <x:c r="AH793" s="6" t="str">
        <x:v>0</x:v>
      </x:c>
      <x:c r="AI793" s="6" t="str">
        <x:v>2025-12</x:v>
      </x:c>
      <x:c r="AJ793" s="9" t="str">
        <x:v>NASA POWER (MERRA-2 meteorology)</x:v>
      </x:c>
      <x:c r="AK793" s="9" t="str">
        <x:v>Badan Informasi Geospasial (BIG)</x:v>
      </x:c>
      <x:c r="AL793" s="9" t="str">
        <x:v>https://power.larc.nasa.gov/docs/services/api/temporal/monthly/</x:v>
      </x:c>
      <x:c r="AM793" s="9" t="str">
        <x:v>https://geoservices.big.go.id/rbi/rest/services/BATASWILAYAH/BATAS_WILAYAH/MapServer/12</x:v>
      </x:c>
    </x:row>
    <x:row r="794" ht="18" customHeight="1">
      <x:c r="A794" s="6" t="str">
        <x:v>92</x:v>
      </x:c>
      <x:c r="B794" s="6" t="str">
        <x:v>PAPUA BARAT DAYA</x:v>
      </x:c>
      <x:c r="C794" s="6" t="str">
        <x:v>2024</x:v>
      </x:c>
      <x:c r="D794" s="6" t="str">
        <x:v>1</x:v>
      </x:c>
      <x:c r="E794" s="6" t="str">
        <x:v>27.313772257370502</x:v>
      </x:c>
      <x:c r="F794" s="9" t="str">
        <x:v>grid_cells_within_BIG_polygon</x:v>
      </x:c>
      <x:c r="G794" s="6" t="str">
        <x:v>8</x:v>
      </x:c>
      <x:c r="H794" s="8" t="str">
        <x:v>85.66597018871752</x:v>
      </x:c>
      <x:c r="I794" s="6" t="str">
        <x:v>6.786425361605989</x:v>
      </x:c>
      <x:c r="J794" s="6" t="str">
        <x:v>31</x:v>
      </x:c>
      <x:c r="K794" s="6" t="str">
        <x:v>210.37918620978567</x:v>
      </x:c>
      <x:c r="L794" s="6" t="str">
        <x:v>26.67260137580113</x:v>
      </x:c>
      <x:c r="M794" s="6" t="str">
        <x:v>0.3751439491284579</x:v>
      </x:c>
      <x:c r="N794" s="6" t="str">
        <x:v>85.27543624772102</x:v>
      </x:c>
      <x:c r="O794" s="6" t="str">
        <x:v>2.158043656458683</x:v>
      </x:c>
      <x:c r="P794" s="6" t="str">
        <x:v>170.6570765899315</x:v>
      </x:c>
      <x:c r="Q794" s="6" t="str">
        <x:v>53.07870175826206</x:v>
      </x:c>
      <x:c r="R794" s="6" t="str">
        <x:v>0.6411708815693729</x:v>
      </x:c>
      <x:c r="S794" s="8" t="str">
        <x:v>1.709132942325084</x:v>
      </x:c>
      <x:c r="T794" s="6" t="str">
        <x:v>0.3905339409965052</x:v>
      </x:c>
      <x:c r="U794" s="8" t="str">
        <x:v>0.1809666546029775</x:v>
      </x:c>
      <x:c r="V794" s="6" t="str">
        <x:v>39.722109619854166</x:v>
      </x:c>
      <x:c r="W794" s="8" t="str">
        <x:v>0.7483624938824196</x:v>
      </x:c>
      <x:c r="X794" s="6" t="str">
        <x:v>2.597914461302827</x:v>
      </x:c>
      <x:c r="Y794" s="6" t="str">
        <x:v>2.7095186885137097</x:v>
      </x:c>
      <x:c r="Z794" s="6" t="str">
        <x:v>2.338855364047207</x:v>
      </x:c>
      <x:c r="AA794" s="6" t="str">
        <x:v>-0.7165090749908635</x:v>
      </x:c>
      <x:c r="AB794" s="6" t="str">
        <x:v>-0.8469054445869104</x:v>
      </x:c>
      <x:c r="AC794" s="6" t="str">
        <x:v>-0.4608159549915991</x:v>
      </x:c>
      <x:c r="AD794" s="6" t="str">
        <x:v>-0.2474521892975075</x:v>
      </x:c>
      <x:c r="AE794" s="6" t="str">
        <x:v>-0.5205546703597886</x:v>
      </x:c>
      <x:c r="AF794" s="6" t="str">
        <x:v>-0.006548121924959016</x:v>
      </x:c>
      <x:c r="AG794" s="6" t="str">
        <x:v>0</x:v>
      </x:c>
      <x:c r="AH794" s="6" t="str">
        <x:v>1</x:v>
      </x:c>
      <x:c r="AI794" s="6" t="str">
        <x:v>2024-01</x:v>
      </x:c>
      <x:c r="AJ794" s="9" t="str">
        <x:v>NASA POWER (MERRA-2 meteorology)</x:v>
      </x:c>
      <x:c r="AK794" s="9" t="str">
        <x:v>Badan Informasi Geospasial (BIG)</x:v>
      </x:c>
      <x:c r="AL794" s="9" t="str">
        <x:v>https://power.larc.nasa.gov/docs/services/api/temporal/monthly/</x:v>
      </x:c>
      <x:c r="AM794" s="9" t="str">
        <x:v>https://geoservices.big.go.id/rbi/rest/services/BATASWILAYAH/BATAS_WILAYAH/MapServer/12</x:v>
      </x:c>
    </x:row>
    <x:row r="795" ht="18" customHeight="1">
      <x:c r="A795" s="6" t="str">
        <x:v>92</x:v>
      </x:c>
      <x:c r="B795" s="6" t="str">
        <x:v>PAPUA BARAT DAYA</x:v>
      </x:c>
      <x:c r="C795" s="6" t="str">
        <x:v>2024</x:v>
      </x:c>
      <x:c r="D795" s="6" t="str">
        <x:v>2</x:v>
      </x:c>
      <x:c r="E795" s="6" t="str">
        <x:v>27.48499481185348</x:v>
      </x:c>
      <x:c r="F795" s="9" t="str">
        <x:v>grid_cells_within_BIG_polygon</x:v>
      </x:c>
      <x:c r="G795" s="6" t="str">
        <x:v>8</x:v>
      </x:c>
      <x:c r="H795" s="8" t="str">
        <x:v>85.08982090090139</x:v>
      </x:c>
      <x:c r="I795" s="6" t="str">
        <x:v>2.8824293030241424</x:v>
      </x:c>
      <x:c r="J795" s="6" t="str">
        <x:v>29</x:v>
      </x:c>
      <x:c r="K795" s="6" t="str">
        <x:v>83.59044978770012</x:v>
      </x:c>
      <x:c r="L795" s="6" t="str">
        <x:v>26.621265193962756</x:v>
      </x:c>
      <x:c r="M795" s="6" t="str">
        <x:v>0.41692741556160673</x:v>
      </x:c>
      <x:c r="N795" s="6" t="str">
        <x:v>85.07613923765385</x:v>
      </x:c>
      <x:c r="O795" s="6" t="str">
        <x:v>2.611886130356288</x:v>
      </x:c>
      <x:c r="P795" s="6" t="str">
        <x:v>175.78926264271954</x:v>
      </x:c>
      <x:c r="Q795" s="6" t="str">
        <x:v>65.39786819181093</x:v>
      </x:c>
      <x:c r="R795" s="6" t="str">
        <x:v>0.8637296178907228</x:v>
      </x:c>
      <x:c r="S795" s="8" t="str">
        <x:v>2.071654646953997</x:v>
      </x:c>
      <x:c r="T795" s="6" t="str">
        <x:v>0.013681663247538722</x:v>
      </x:c>
      <x:c r="U795" s="8" t="str">
        <x:v>0.00523823113439957</x:v>
      </x:c>
      <x:c r="V795" s="6" t="str">
        <x:v>-92.19881285501941</x:v>
      </x:c>
      <x:c r="W795" s="8" t="str">
        <x:v>-1.409813735588471</x:v>
      </x:c>
      <x:c r="X795" s="6" t="str">
        <x:v>1.709132942325084</x:v>
      </x:c>
      <x:c r="Y795" s="6" t="str">
        <x:v>2.597914461302827</x:v>
      </x:c>
      <x:c r="Z795" s="6" t="str">
        <x:v>2.126234016860636</x:v>
      </x:c>
      <x:c r="AA795" s="6" t="str">
        <x:v>0.1809666546029775</x:v>
      </x:c>
      <x:c r="AB795" s="6" t="str">
        <x:v>-0.7165090749908635</x:v>
      </x:c>
      <x:c r="AC795" s="6" t="str">
        <x:v>-0.17676806308449586</x:v>
      </x:c>
      <x:c r="AD795" s="6" t="str">
        <x:v>0.7483624938824196</x:v>
      </x:c>
      <x:c r="AE795" s="6" t="str">
        <x:v>-0.2474521892975075</x:v>
      </x:c>
      <x:c r="AF795" s="6" t="str">
        <x:v>-0.3029678103345198</x:v>
      </x:c>
      <x:c r="AG795" s="6" t="str">
        <x:v>0</x:v>
      </x:c>
      <x:c r="AH795" s="6" t="str">
        <x:v>1</x:v>
      </x:c>
      <x:c r="AI795" s="6" t="str">
        <x:v>2024-02</x:v>
      </x:c>
      <x:c r="AJ795" s="9" t="str">
        <x:v>NASA POWER (MERRA-2 meteorology)</x:v>
      </x:c>
      <x:c r="AK795" s="9" t="str">
        <x:v>Badan Informasi Geospasial (BIG)</x:v>
      </x:c>
      <x:c r="AL795" s="9" t="str">
        <x:v>https://power.larc.nasa.gov/docs/services/api/temporal/monthly/</x:v>
      </x:c>
      <x:c r="AM795" s="9" t="str">
        <x:v>https://geoservices.big.go.id/rbi/rest/services/BATASWILAYAH/BATAS_WILAYAH/MapServer/12</x:v>
      </x:c>
    </x:row>
    <x:row r="796" ht="18" customHeight="1">
      <x:c r="A796" s="6" t="str">
        <x:v>92</x:v>
      </x:c>
      <x:c r="B796" s="6" t="str">
        <x:v>PAPUA BARAT DAYA</x:v>
      </x:c>
      <x:c r="C796" s="6" t="str">
        <x:v>2024</x:v>
      </x:c>
      <x:c r="D796" s="6" t="str">
        <x:v>3</x:v>
      </x:c>
      <x:c r="E796" s="6" t="str">
        <x:v>27.732515854071863</x:v>
      </x:c>
      <x:c r="F796" s="9" t="str">
        <x:v>grid_cells_within_BIG_polygon</x:v>
      </x:c>
      <x:c r="G796" s="6" t="str">
        <x:v>8</x:v>
      </x:c>
      <x:c r="H796" s="8" t="str">
        <x:v>84.76595914391541</x:v>
      </x:c>
      <x:c r="I796" s="6" t="str">
        <x:v>7.101144049201008</x:v>
      </x:c>
      <x:c r="J796" s="6" t="str">
        <x:v>31</x:v>
      </x:c>
      <x:c r="K796" s="6" t="str">
        <x:v>220.13546552523127</x:v>
      </x:c>
      <x:c r="L796" s="6" t="str">
        <x:v>26.700813678770043</x:v>
      </x:c>
      <x:c r="M796" s="6" t="str">
        <x:v>0.4087082160212834</x:v>
      </x:c>
      <x:c r="N796" s="6" t="str">
        <x:v>85.04036815824269</x:v>
      </x:c>
      <x:c r="O796" s="6" t="str">
        <x:v>2.0674934816834574</x:v>
      </x:c>
      <x:c r="P796" s="6" t="str">
        <x:v>223.60486639021798</x:v>
      </x:c>
      <x:c r="Q796" s="6" t="str">
        <x:v>88.18571304043321</x:v>
      </x:c>
      <x:c r="R796" s="6" t="str">
        <x:v>1.0317021753018203</x:v>
      </x:c>
      <x:c r="S796" s="8" t="str">
        <x:v>2.5243000626346466</x:v>
      </x:c>
      <x:c r="T796" s="6" t="str">
        <x:v>-0.2744090143272757</x:v>
      </x:c>
      <x:c r="U796" s="8" t="str">
        <x:v>-0.13272545561006463</x:v>
      </x:c>
      <x:c r="V796" s="6" t="str">
        <x:v>-3.46940086498671</x:v>
      </x:c>
      <x:c r="W796" s="8" t="str">
        <x:v>-0.03934198347294632</x:v>
      </x:c>
      <x:c r="X796" s="6" t="str">
        <x:v>2.071654646953997</x:v>
      </x:c>
      <x:c r="Y796" s="6" t="str">
        <x:v>1.709132942325084</x:v>
      </x:c>
      <x:c r="Z796" s="6" t="str">
        <x:v>2.1016958839712427</x:v>
      </x:c>
      <x:c r="AA796" s="6" t="str">
        <x:v>0.00523823113439957</x:v>
      </x:c>
      <x:c r="AB796" s="6" t="str">
        <x:v>0.1809666546029775</x:v>
      </x:c>
      <x:c r="AC796" s="6" t="str">
        <x:v>0.017826476709103773</x:v>
      </x:c>
      <x:c r="AD796" s="6" t="str">
        <x:v>-1.409813735588471</x:v>
      </x:c>
      <x:c r="AE796" s="6" t="str">
        <x:v>0.7483624938824196</x:v>
      </x:c>
      <x:c r="AF796" s="6" t="str">
        <x:v>-0.2335977417263327</x:v>
      </x:c>
      <x:c r="AG796" s="6" t="str">
        <x:v>0</x:v>
      </x:c>
      <x:c r="AH796" s="6" t="str">
        <x:v>1</x:v>
      </x:c>
      <x:c r="AI796" s="6" t="str">
        <x:v>2024-03</x:v>
      </x:c>
      <x:c r="AJ796" s="9" t="str">
        <x:v>NASA POWER (MERRA-2 meteorology)</x:v>
      </x:c>
      <x:c r="AK796" s="9" t="str">
        <x:v>Badan Informasi Geospasial (BIG)</x:v>
      </x:c>
      <x:c r="AL796" s="9" t="str">
        <x:v>https://power.larc.nasa.gov/docs/services/api/temporal/monthly/</x:v>
      </x:c>
      <x:c r="AM796" s="9" t="str">
        <x:v>https://geoservices.big.go.id/rbi/rest/services/BATASWILAYAH/BATAS_WILAYAH/MapServer/12</x:v>
      </x:c>
    </x:row>
    <x:row r="797" ht="18" customHeight="1">
      <x:c r="A797" s="6" t="str">
        <x:v>92</x:v>
      </x:c>
      <x:c r="B797" s="6" t="str">
        <x:v>PAPUA BARAT DAYA</x:v>
      </x:c>
      <x:c r="C797" s="6" t="str">
        <x:v>2024</x:v>
      </x:c>
      <x:c r="D797" s="6" t="str">
        <x:v>4</x:v>
      </x:c>
      <x:c r="E797" s="6" t="str">
        <x:v>27.605017996955446</x:v>
      </x:c>
      <x:c r="F797" s="9" t="str">
        <x:v>grid_cells_within_BIG_polygon</x:v>
      </x:c>
      <x:c r="G797" s="6" t="str">
        <x:v>8</x:v>
      </x:c>
      <x:c r="H797" s="8" t="str">
        <x:v>85.71597789614088</x:v>
      </x:c>
      <x:c r="I797" s="6" t="str">
        <x:v>10.658953678313004</x:v>
      </x:c>
      <x:c r="J797" s="6" t="str">
        <x:v>30</x:v>
      </x:c>
      <x:c r="K797" s="6" t="str">
        <x:v>319.76861034939014</x:v>
      </x:c>
      <x:c r="L797" s="6" t="str">
        <x:v>26.809691407701386</x:v>
      </x:c>
      <x:c r="M797" s="6" t="str">
        <x:v>0.3483208877907603</x:v>
      </x:c>
      <x:c r="N797" s="6" t="str">
        <x:v>85.69888024639654</x:v>
      </x:c>
      <x:c r="O797" s="6" t="str">
        <x:v>1.4965453938668</x:v>
      </x:c>
      <x:c r="P797" s="6" t="str">
        <x:v>243.61716448061082</x:v>
      </x:c>
      <x:c r="Q797" s="6" t="str">
        <x:v>72.04733756682688</x:v>
      </x:c>
      <x:c r="R797" s="6" t="str">
        <x:v>0.79532658925406</x:v>
      </x:c>
      <x:c r="S797" s="8" t="str">
        <x:v>2.283315807726754</x:v>
      </x:c>
      <x:c r="T797" s="6" t="str">
        <x:v>0.017097649744343357</x:v>
      </x:c>
      <x:c r="U797" s="8" t="str">
        <x:v>0.011424745159360754</x:v>
      </x:c>
      <x:c r="V797" s="6" t="str">
        <x:v>76.15144586877932</x:v>
      </x:c>
      <x:c r="W797" s="8" t="str">
        <x:v>1.0569640522544737</x:v>
      </x:c>
      <x:c r="X797" s="6" t="str">
        <x:v>2.5243000626346466</x:v>
      </x:c>
      <x:c r="Y797" s="6" t="str">
        <x:v>2.071654646953997</x:v>
      </x:c>
      <x:c r="Z797" s="6" t="str">
        <x:v>2.293090172438466</x:v>
      </x:c>
      <x:c r="AA797" s="6" t="str">
        <x:v>-0.13272545561006463</x:v>
      </x:c>
      <x:c r="AB797" s="6" t="str">
        <x:v>0.00523823113439957</x:v>
      </x:c>
      <x:c r="AC797" s="6" t="str">
        <x:v>-0.03868749310543514</x:v>
      </x:c>
      <x:c r="AD797" s="6" t="str">
        <x:v>-0.03934198347294632</x:v>
      </x:c>
      <x:c r="AE797" s="6" t="str">
        <x:v>-1.409813735588471</x:v>
      </x:c>
      <x:c r="AF797" s="6" t="str">
        <x:v>-0.1307305556023147</x:v>
      </x:c>
      <x:c r="AG797" s="6" t="str">
        <x:v>1</x:v>
      </x:c>
      <x:c r="AH797" s="6" t="str">
        <x:v>1</x:v>
      </x:c>
      <x:c r="AI797" s="6" t="str">
        <x:v>2024-04</x:v>
      </x:c>
      <x:c r="AJ797" s="9" t="str">
        <x:v>NASA POWER (MERRA-2 meteorology)</x:v>
      </x:c>
      <x:c r="AK797" s="9" t="str">
        <x:v>Badan Informasi Geospasial (BIG)</x:v>
      </x:c>
      <x:c r="AL797" s="9" t="str">
        <x:v>https://power.larc.nasa.gov/docs/services/api/temporal/monthly/</x:v>
      </x:c>
      <x:c r="AM797" s="9" t="str">
        <x:v>https://geoservices.big.go.id/rbi/rest/services/BATASWILAYAH/BATAS_WILAYAH/MapServer/12</x:v>
      </x:c>
    </x:row>
    <x:row r="798" ht="18" customHeight="1">
      <x:c r="A798" s="6" t="str">
        <x:v>92</x:v>
      </x:c>
      <x:c r="B798" s="6" t="str">
        <x:v>PAPUA BARAT DAYA</x:v>
      </x:c>
      <x:c r="C798" s="6" t="str">
        <x:v>2024</x:v>
      </x:c>
      <x:c r="D798" s="6" t="str">
        <x:v>5</x:v>
      </x:c>
      <x:c r="E798" s="6" t="str">
        <x:v>27.610017520712763</x:v>
      </x:c>
      <x:c r="F798" s="9" t="str">
        <x:v>grid_cells_within_BIG_polygon</x:v>
      </x:c>
      <x:c r="G798" s="6" t="str">
        <x:v>8</x:v>
      </x:c>
      <x:c r="H798" s="8" t="str">
        <x:v>87.32972996862405</x:v>
      </x:c>
      <x:c r="I798" s="6" t="str">
        <x:v>9.540082266676404</x:v>
      </x:c>
      <x:c r="J798" s="6" t="str">
        <x:v>31</x:v>
      </x:c>
      <x:c r="K798" s="6" t="str">
        <x:v>295.7425502669685</x:v>
      </x:c>
      <x:c r="L798" s="6" t="str">
        <x:v>26.826729008188984</x:v>
      </x:c>
      <x:c r="M798" s="6" t="str">
        <x:v>0.3845384474429004</x:v>
      </x:c>
      <x:c r="N798" s="6" t="str">
        <x:v>86.34018703300794</x:v>
      </x:c>
      <x:c r="O798" s="6" t="str">
        <x:v>1.3928360235203343</x:v>
      </x:c>
      <x:c r="P798" s="6" t="str">
        <x:v>263.1425982258239</x:v>
      </x:c>
      <x:c r="Q798" s="6" t="str">
        <x:v>116.59774578270394</x:v>
      </x:c>
      <x:c r="R798" s="6" t="str">
        <x:v>0.7832885125237787</x:v>
      </x:c>
      <x:c r="S798" s="8" t="str">
        <x:v>2.0369575987329283</x:v>
      </x:c>
      <x:c r="T798" s="6" t="str">
        <x:v>0.9895429356161145</x:v>
      </x:c>
      <x:c r="U798" s="8" t="str">
        <x:v>0.710451854278644</x:v>
      </x:c>
      <x:c r="V798" s="6" t="str">
        <x:v>32.599952041144604</x:v>
      </x:c>
      <x:c r="W798" s="8" t="str">
        <x:v>0.27959333023383776</x:v>
      </x:c>
      <x:c r="X798" s="6" t="str">
        <x:v>2.283315807726754</x:v>
      </x:c>
      <x:c r="Y798" s="6" t="str">
        <x:v>2.5243000626346466</x:v>
      </x:c>
      <x:c r="Z798" s="6" t="str">
        <x:v>2.2815244896981097</x:v>
      </x:c>
      <x:c r="AA798" s="6" t="str">
        <x:v>0.011424745159360754</x:v>
      </x:c>
      <x:c r="AB798" s="6" t="str">
        <x:v>-0.13272545561006463</x:v>
      </x:c>
      <x:c r="AC798" s="6" t="str">
        <x:v>0.196383714609313</x:v>
      </x:c>
      <x:c r="AD798" s="6" t="str">
        <x:v>1.0569640522544737</x:v>
      </x:c>
      <x:c r="AE798" s="6" t="str">
        <x:v>-0.03934198347294632</x:v>
      </x:c>
      <x:c r="AF798" s="6" t="str">
        <x:v>0.43240513300512157</x:v>
      </x:c>
      <x:c r="AG798" s="6" t="str">
        <x:v>0</x:v>
      </x:c>
      <x:c r="AH798" s="6" t="str">
        <x:v>1</x:v>
      </x:c>
      <x:c r="AI798" s="6" t="str">
        <x:v>2024-05</x:v>
      </x:c>
      <x:c r="AJ798" s="9" t="str">
        <x:v>NASA POWER (MERRA-2 meteorology)</x:v>
      </x:c>
      <x:c r="AK798" s="9" t="str">
        <x:v>Badan Informasi Geospasial (BIG)</x:v>
      </x:c>
      <x:c r="AL798" s="9" t="str">
        <x:v>https://power.larc.nasa.gov/docs/services/api/temporal/monthly/</x:v>
      </x:c>
      <x:c r="AM798" s="9" t="str">
        <x:v>https://geoservices.big.go.id/rbi/rest/services/BATASWILAYAH/BATAS_WILAYAH/MapServer/12</x:v>
      </x:c>
    </x:row>
    <x:row r="799" ht="18" customHeight="1">
      <x:c r="A799" s="6" t="str">
        <x:v>92</x:v>
      </x:c>
      <x:c r="B799" s="6" t="str">
        <x:v>PAPUA BARAT DAYA</x:v>
      </x:c>
      <x:c r="C799" s="6" t="str">
        <x:v>2024</x:v>
      </x:c>
      <x:c r="D799" s="6" t="str">
        <x:v>6</x:v>
      </x:c>
      <x:c r="E799" s="6" t="str">
        <x:v>26.72501652107628</x:v>
      </x:c>
      <x:c r="F799" s="9" t="str">
        <x:v>grid_cells_within_BIG_polygon</x:v>
      </x:c>
      <x:c r="G799" s="6" t="str">
        <x:v>8</x:v>
      </x:c>
      <x:c r="H799" s="8" t="str">
        <x:v>89.33854178422956</x:v>
      </x:c>
      <x:c r="I799" s="6" t="str">
        <x:v>18.35228575115552</x:v>
      </x:c>
      <x:c r="J799" s="6" t="str">
        <x:v>30</x:v>
      </x:c>
      <x:c r="K799" s="6" t="str">
        <x:v>550.5685725346656</x:v>
      </x:c>
      <x:c r="L799" s="6" t="str">
        <x:v>26.17668785648687</x:v>
      </x:c>
      <x:c r="M799" s="6" t="str">
        <x:v>0.31349550687454475</x:v>
      </x:c>
      <x:c r="N799" s="6" t="str">
        <x:v>87.88050006826211</x:v>
      </x:c>
      <x:c r="O799" s="6" t="str">
        <x:v>1.5653663543658374</x:v>
      </x:c>
      <x:c r="P799" s="6" t="str">
        <x:v>307.70103830957976</x:v>
      </x:c>
      <x:c r="Q799" s="6" t="str">
        <x:v>121.03640857018233</x:v>
      </x:c>
      <x:c r="R799" s="6" t="str">
        <x:v>0.5483286645894125</x:v>
      </x:c>
      <x:c r="S799" s="8" t="str">
        <x:v>1.7490798195357988</x:v>
      </x:c>
      <x:c r="T799" s="6" t="str">
        <x:v>1.458041715967454</x:v>
      </x:c>
      <x:c r="U799" s="8" t="str">
        <x:v>0.9314380061261359</x:v>
      </x:c>
      <x:c r="V799" s="6" t="str">
        <x:v>242.86753422508582</x:v>
      </x:c>
      <x:c r="W799" s="8" t="str">
        <x:v>2.0065659341194046</x:v>
      </x:c>
      <x:c r="X799" s="6" t="str">
        <x:v>2.0369575987329283</x:v>
      </x:c>
      <x:c r="Y799" s="6" t="str">
        <x:v>2.283315807726754</x:v>
      </x:c>
      <x:c r="Z799" s="6" t="str">
        <x:v>2.023117741998494</x:v>
      </x:c>
      <x:c r="AA799" s="6" t="str">
        <x:v>0.710451854278644</x:v>
      </x:c>
      <x:c r="AB799" s="6" t="str">
        <x:v>0.011424745159360754</x:v>
      </x:c>
      <x:c r="AC799" s="6" t="str">
        <x:v>0.5511048685213799</x:v>
      </x:c>
      <x:c r="AD799" s="6" t="str">
        <x:v>0.27959333023383776</x:v>
      </x:c>
      <x:c r="AE799" s="6" t="str">
        <x:v>1.0569640522544737</x:v>
      </x:c>
      <x:c r="AF799" s="6" t="str">
        <x:v>1.1143744388692385</x:v>
      </x:c>
      <x:c r="AG799" s="6" t="str">
        <x:v>1</x:v>
      </x:c>
      <x:c r="AH799" s="6" t="str">
        <x:v>1</x:v>
      </x:c>
      <x:c r="AI799" s="6" t="str">
        <x:v>2024-06</x:v>
      </x:c>
      <x:c r="AJ799" s="9" t="str">
        <x:v>NASA POWER (MERRA-2 meteorology)</x:v>
      </x:c>
      <x:c r="AK799" s="9" t="str">
        <x:v>Badan Informasi Geospasial (BIG)</x:v>
      </x:c>
      <x:c r="AL799" s="9" t="str">
        <x:v>https://power.larc.nasa.gov/docs/services/api/temporal/monthly/</x:v>
      </x:c>
      <x:c r="AM799" s="9" t="str">
        <x:v>https://geoservices.big.go.id/rbi/rest/services/BATASWILAYAH/BATAS_WILAYAH/MapServer/12</x:v>
      </x:c>
    </x:row>
    <x:row r="800" ht="18" customHeight="1">
      <x:c r="A800" s="6" t="str">
        <x:v>92</x:v>
      </x:c>
      <x:c r="B800" s="6" t="str">
        <x:v>PAPUA BARAT DAYA</x:v>
      </x:c>
      <x:c r="C800" s="6" t="str">
        <x:v>2024</x:v>
      </x:c>
      <x:c r="D800" s="6" t="str">
        <x:v>7</x:v>
      </x:c>
      <x:c r="E800" s="6" t="str">
        <x:v>26.258772543540307</x:v>
      </x:c>
      <x:c r="F800" s="9" t="str">
        <x:v>grid_cells_within_BIG_polygon</x:v>
      </x:c>
      <x:c r="G800" s="6" t="str">
        <x:v>8</x:v>
      </x:c>
      <x:c r="H800" s="8" t="str">
        <x:v>88.09857796563915</x:v>
      </x:c>
      <x:c r="I800" s="6" t="str">
        <x:v>7.328813672047367</x:v>
      </x:c>
      <x:c r="J800" s="6" t="str">
        <x:v>31</x:v>
      </x:c>
      <x:c r="K800" s="6" t="str">
        <x:v>227.19322383346838</x:v>
      </x:c>
      <x:c r="L800" s="6" t="str">
        <x:v>25.645483967245582</x:v>
      </x:c>
      <x:c r="M800" s="6" t="str">
        <x:v>0.3631561055691137</x:v>
      </x:c>
      <x:c r="N800" s="6" t="str">
        <x:v>88.1146323064615</x:v>
      </x:c>
      <x:c r="O800" s="6" t="str">
        <x:v>1.1540324447668355</x:v>
      </x:c>
      <x:c r="P800" s="6" t="str">
        <x:v>284.98601464778216</x:v>
      </x:c>
      <x:c r="Q800" s="6" t="str">
        <x:v>157.85133349003922</x:v>
      </x:c>
      <x:c r="R800" s="6" t="str">
        <x:v>0.6132885762947247</x:v>
      </x:c>
      <x:c r="S800" s="8" t="str">
        <x:v>1.6887739649416613</x:v>
      </x:c>
      <x:c r="T800" s="6" t="str">
        <x:v>-0.016054340822350355</x:v>
      </x:c>
      <x:c r="U800" s="8" t="str">
        <x:v>-0.013911516002129408</x:v>
      </x:c>
      <x:c r="V800" s="6" t="str">
        <x:v>-57.792790814313776</x:v>
      </x:c>
      <x:c r="W800" s="8" t="str">
        <x:v>-0.36612165090110327</x:v>
      </x:c>
      <x:c r="X800" s="6" t="str">
        <x:v>1.7490798195357988</x:v>
      </x:c>
      <x:c r="Y800" s="6" t="str">
        <x:v>2.0369575987329283</x:v>
      </x:c>
      <x:c r="Z800" s="6" t="str">
        <x:v>1.8249371277367965</x:v>
      </x:c>
      <x:c r="AA800" s="6" t="str">
        <x:v>0.9314380061261359</x:v>
      </x:c>
      <x:c r="AB800" s="6" t="str">
        <x:v>0.710451854278644</x:v>
      </x:c>
      <x:c r="AC800" s="6" t="str">
        <x:v>0.5426594481342165</x:v>
      </x:c>
      <x:c r="AD800" s="6" t="str">
        <x:v>2.0065659341194046</x:v>
      </x:c>
      <x:c r="AE800" s="6" t="str">
        <x:v>0.27959333023383776</x:v>
      </x:c>
      <x:c r="AF800" s="6" t="str">
        <x:v>0.6400125378173797</x:v>
      </x:c>
      <x:c r="AG800" s="6" t="str">
        <x:v>0</x:v>
      </x:c>
      <x:c r="AH800" s="6" t="str">
        <x:v>1</x:v>
      </x:c>
      <x:c r="AI800" s="6" t="str">
        <x:v>2024-07</x:v>
      </x:c>
      <x:c r="AJ800" s="9" t="str">
        <x:v>NASA POWER (MERRA-2 meteorology)</x:v>
      </x:c>
      <x:c r="AK800" s="9" t="str">
        <x:v>Badan Informasi Geospasial (BIG)</x:v>
      </x:c>
      <x:c r="AL800" s="9" t="str">
        <x:v>https://power.larc.nasa.gov/docs/services/api/temporal/monthly/</x:v>
      </x:c>
      <x:c r="AM800" s="9" t="str">
        <x:v>https://geoservices.big.go.id/rbi/rest/services/BATASWILAYAH/BATAS_WILAYAH/MapServer/12</x:v>
      </x:c>
    </x:row>
    <x:row r="801" ht="18" customHeight="1">
      <x:c r="A801" s="6" t="str">
        <x:v>92</x:v>
      </x:c>
      <x:c r="B801" s="6" t="str">
        <x:v>PAPUA BARAT DAYA</x:v>
      </x:c>
      <x:c r="C801" s="6" t="str">
        <x:v>2024</x:v>
      </x:c>
      <x:c r="D801" s="6" t="str">
        <x:v>8</x:v>
      </x:c>
      <x:c r="E801" s="6" t="str">
        <x:v>26.403766449515707</x:v>
      </x:c>
      <x:c r="F801" s="9" t="str">
        <x:v>grid_cells_within_BIG_polygon</x:v>
      </x:c>
      <x:c r="G801" s="6" t="str">
        <x:v>8</x:v>
      </x:c>
      <x:c r="H801" s="8" t="str">
        <x:v>89.32238116594914</x:v>
      </x:c>
      <x:c r="I801" s="6" t="str">
        <x:v>18.378567910697342</x:v>
      </x:c>
      <x:c r="J801" s="6" t="str">
        <x:v>31</x:v>
      </x:c>
      <x:c r="K801" s="6" t="str">
        <x:v>569.7356052316176</x:v>
      </x:c>
      <x:c r="L801" s="6" t="str">
        <x:v>25.53873598118114</x:v>
      </x:c>
      <x:c r="M801" s="6" t="str">
        <x:v>0.3872809967618747</x:v>
      </x:c>
      <x:c r="N801" s="6" t="str">
        <x:v>87.04394421999446</x:v>
      </x:c>
      <x:c r="O801" s="6" t="str">
        <x:v>1.9944601864088392</x:v>
      </x:c>
      <x:c r="P801" s="6" t="str">
        <x:v>234.86325514823608</x:v>
      </x:c>
      <x:c r="Q801" s="6" t="str">
        <x:v>155.4579225802198</x:v>
      </x:c>
      <x:c r="R801" s="6" t="str">
        <x:v>0.8650304683345666</x:v>
      </x:c>
      <x:c r="S801" s="8" t="str">
        <x:v>2.233599054865176</x:v>
      </x:c>
      <x:c r="T801" s="6" t="str">
        <x:v>2.278436945954681</x:v>
      </x:c>
      <x:c r="U801" s="8" t="str">
        <x:v>1.1423827667661601</x:v>
      </x:c>
      <x:c r="V801" s="6" t="str">
        <x:v>334.8723500833815</x:v>
      </x:c>
      <x:c r="W801" s="8" t="str">
        <x:v>2.1541028242583122</x:v>
      </x:c>
      <x:c r="X801" s="6" t="str">
        <x:v>1.6887739649416613</x:v>
      </x:c>
      <x:c r="Y801" s="6" t="str">
        <x:v>1.7490798195357988</x:v>
      </x:c>
      <x:c r="Z801" s="6" t="str">
        <x:v>1.890484279780879</x:v>
      </x:c>
      <x:c r="AA801" s="6" t="str">
        <x:v>-0.013911516002129408</x:v>
      </x:c>
      <x:c r="AB801" s="6" t="str">
        <x:v>0.9314380061261359</x:v>
      </x:c>
      <x:c r="AC801" s="6" t="str">
        <x:v>0.6866364189633885</x:v>
      </x:c>
      <x:c r="AD801" s="6" t="str">
        <x:v>-0.36612165090110327</x:v>
      </x:c>
      <x:c r="AE801" s="6" t="str">
        <x:v>2.0065659341194046</x:v>
      </x:c>
      <x:c r="AF801" s="6" t="str">
        <x:v>1.2648490358255378</x:v>
      </x:c>
      <x:c r="AG801" s="6" t="str">
        <x:v>1</x:v>
      </x:c>
      <x:c r="AH801" s="6" t="str">
        <x:v>1</x:v>
      </x:c>
      <x:c r="AI801" s="6" t="str">
        <x:v>2024-08</x:v>
      </x:c>
      <x:c r="AJ801" s="9" t="str">
        <x:v>NASA POWER (MERRA-2 meteorology)</x:v>
      </x:c>
      <x:c r="AK801" s="9" t="str">
        <x:v>Badan Informasi Geospasial (BIG)</x:v>
      </x:c>
      <x:c r="AL801" s="9" t="str">
        <x:v>https://power.larc.nasa.gov/docs/services/api/temporal/monthly/</x:v>
      </x:c>
      <x:c r="AM801" s="9" t="str">
        <x:v>https://geoservices.big.go.id/rbi/rest/services/BATASWILAYAH/BATAS_WILAYAH/MapServer/12</x:v>
      </x:c>
    </x:row>
    <x:row r="802" ht="18" customHeight="1">
      <x:c r="A802" s="6" t="str">
        <x:v>92</x:v>
      </x:c>
      <x:c r="B802" s="6" t="str">
        <x:v>PAPUA BARAT DAYA</x:v>
      </x:c>
      <x:c r="C802" s="6" t="str">
        <x:v>2024</x:v>
      </x:c>
      <x:c r="D802" s="6" t="str">
        <x:v>9</x:v>
      </x:c>
      <x:c r="E802" s="6" t="str">
        <x:v>27.0287667353592</x:v>
      </x:c>
      <x:c r="F802" s="9" t="str">
        <x:v>grid_cells_within_BIG_polygon</x:v>
      </x:c>
      <x:c r="G802" s="6" t="str">
        <x:v>8</x:v>
      </x:c>
      <x:c r="H802" s="8" t="str">
        <x:v>85.7360505442959</x:v>
      </x:c>
      <x:c r="I802" s="6" t="str">
        <x:v>6.2638508058697715</x:v>
      </x:c>
      <x:c r="J802" s="6" t="str">
        <x:v>30</x:v>
      </x:c>
      <x:c r="K802" s="6" t="str">
        <x:v>187.91552417609316</x:v>
      </x:c>
      <x:c r="L802" s="6" t="str">
        <x:v>25.919894957893273</x:v>
      </x:c>
      <x:c r="M802" s="6" t="str">
        <x:v>0.34086147009531625</x:v>
      </x:c>
      <x:c r="N802" s="6" t="str">
        <x:v>86.20125504529736</x:v>
      </x:c>
      <x:c r="O802" s="6" t="str">
        <x:v>2.5228034400273285</x:v>
      </x:c>
      <x:c r="P802" s="6" t="str">
        <x:v>218.86810701770693</x:v>
      </x:c>
      <x:c r="Q802" s="6" t="str">
        <x:v>124.37706541773859</x:v>
      </x:c>
      <x:c r="R802" s="6" t="str">
        <x:v>1.1088717774659251</x:v>
      </x:c>
      <x:c r="S802" s="8" t="str">
        <x:v>3.253144971638618</x:v>
      </x:c>
      <x:c r="T802" s="6" t="str">
        <x:v>-0.46520450100145183</x:v>
      </x:c>
      <x:c r="U802" s="8" t="str">
        <x:v>-0.18439982030324664</x:v>
      </x:c>
      <x:c r="V802" s="6" t="str">
        <x:v>-30.952582841613776</x:v>
      </x:c>
      <x:c r="W802" s="8" t="str">
        <x:v>-0.24886085499488989</x:v>
      </x:c>
      <x:c r="X802" s="6" t="str">
        <x:v>2.233599054865176</x:v>
      </x:c>
      <x:c r="Y802" s="6" t="str">
        <x:v>1.6887739649416613</x:v>
      </x:c>
      <x:c r="Z802" s="6" t="str">
        <x:v>2.3918393304818184</x:v>
      </x:c>
      <x:c r="AA802" s="6" t="str">
        <x:v>1.1423827667661601</x:v>
      </x:c>
      <x:c r="AB802" s="6" t="str">
        <x:v>-0.013911516002129408</x:v>
      </x:c>
      <x:c r="AC802" s="6" t="str">
        <x:v>0.31469047682026097</x:v>
      </x:c>
      <x:c r="AD802" s="6" t="str">
        <x:v>2.1541028242583122</x:v>
      </x:c>
      <x:c r="AE802" s="6" t="str">
        <x:v>-0.36612165090110327</x:v>
      </x:c>
      <x:c r="AF802" s="6" t="str">
        <x:v>0.5130401061207729</x:v>
      </x:c>
      <x:c r="AG802" s="6" t="str">
        <x:v>0</x:v>
      </x:c>
      <x:c r="AH802" s="6" t="str">
        <x:v>1</x:v>
      </x:c>
      <x:c r="AI802" s="6" t="str">
        <x:v>2024-09</x:v>
      </x:c>
      <x:c r="AJ802" s="9" t="str">
        <x:v>NASA POWER (MERRA-2 meteorology)</x:v>
      </x:c>
      <x:c r="AK802" s="9" t="str">
        <x:v>Badan Informasi Geospasial (BIG)</x:v>
      </x:c>
      <x:c r="AL802" s="9" t="str">
        <x:v>https://power.larc.nasa.gov/docs/services/api/temporal/monthly/</x:v>
      </x:c>
      <x:c r="AM802" s="9" t="str">
        <x:v>https://geoservices.big.go.id/rbi/rest/services/BATASWILAYAH/BATAS_WILAYAH/MapServer/12</x:v>
      </x:c>
    </x:row>
    <x:row r="803" ht="18" customHeight="1">
      <x:c r="A803" s="6" t="str">
        <x:v>92</x:v>
      </x:c>
      <x:c r="B803" s="6" t="str">
        <x:v>PAPUA BARAT DAYA</x:v>
      </x:c>
      <x:c r="C803" s="6" t="str">
        <x:v>2024</x:v>
      </x:c>
      <x:c r="D803" s="6" t="str">
        <x:v>10</x:v>
      </x:c>
      <x:c r="E803" s="6" t="str">
        <x:v>27.400019568152032</x:v>
      </x:c>
      <x:c r="F803" s="9" t="str">
        <x:v>grid_cells_within_BIG_polygon</x:v>
      </x:c>
      <x:c r="G803" s="6" t="str">
        <x:v>8</x:v>
      </x:c>
      <x:c r="H803" s="8" t="str">
        <x:v>84.92602754859607</x:v>
      </x:c>
      <x:c r="I803" s="6" t="str">
        <x:v>10.287699046943128</x:v>
      </x:c>
      <x:c r="J803" s="6" t="str">
        <x:v>31</x:v>
      </x:c>
      <x:c r="K803" s="6" t="str">
        <x:v>318.91867045523696</x:v>
      </x:c>
      <x:c r="L803" s="6" t="str">
        <x:v>26.517105183751493</x:v>
      </x:c>
      <x:c r="M803" s="6" t="str">
        <x:v>0.343804075561874</x:v>
      </x:c>
      <x:c r="N803" s="6" t="str">
        <x:v>84.60611788546679</x:v>
      </x:c>
      <x:c r="O803" s="6" t="str">
        <x:v>2.7524101780559036</x:v>
      </x:c>
      <x:c r="P803" s="6" t="str">
        <x:v>176.89531433615096</x:v>
      </x:c>
      <x:c r="Q803" s="6" t="str">
        <x:v>86.36141466165702</x:v>
      </x:c>
      <x:c r="R803" s="6" t="str">
        <x:v>0.8829143844005394</x:v>
      </x:c>
      <x:c r="S803" s="8" t="str">
        <x:v>2.568074223546086</x:v>
      </x:c>
      <x:c r="T803" s="6" t="str">
        <x:v>0.3199096631292804</x:v>
      </x:c>
      <x:c r="U803" s="8" t="str">
        <x:v>0.11622892026770537</x:v>
      </x:c>
      <x:c r="V803" s="6" t="str">
        <x:v>142.023356119086</x:v>
      </x:c>
      <x:c r="W803" s="8" t="str">
        <x:v>1.6445232709016973</x:v>
      </x:c>
      <x:c r="X803" s="6" t="str">
        <x:v>3.253144971638618</x:v>
      </x:c>
      <x:c r="Y803" s="6" t="str">
        <x:v>2.233599054865176</x:v>
      </x:c>
      <x:c r="Z803" s="6" t="str">
        <x:v>2.6849394166832936</x:v>
      </x:c>
      <x:c r="AA803" s="6" t="str">
        <x:v>-0.18439982030324664</x:v>
      </x:c>
      <x:c r="AB803" s="6" t="str">
        <x:v>1.1423827667661601</x:v>
      </x:c>
      <x:c r="AC803" s="6" t="str">
        <x:v>0.35807062224353925</x:v>
      </x:c>
      <x:c r="AD803" s="6" t="str">
        <x:v>-0.24886085499488989</x:v>
      </x:c>
      <x:c r="AE803" s="6" t="str">
        <x:v>2.1541028242583122</x:v>
      </x:c>
      <x:c r="AF803" s="6" t="str">
        <x:v>1.1832550800550397</x:v>
      </x:c>
      <x:c r="AG803" s="6" t="str">
        <x:v>1</x:v>
      </x:c>
      <x:c r="AH803" s="6" t="str">
        <x:v>1</x:v>
      </x:c>
      <x:c r="AI803" s="6" t="str">
        <x:v>2024-10</x:v>
      </x:c>
      <x:c r="AJ803" s="9" t="str">
        <x:v>NASA POWER (MERRA-2 meteorology)</x:v>
      </x:c>
      <x:c r="AK803" s="9" t="str">
        <x:v>Badan Informasi Geospasial (BIG)</x:v>
      </x:c>
      <x:c r="AL803" s="9" t="str">
        <x:v>https://power.larc.nasa.gov/docs/services/api/temporal/monthly/</x:v>
      </x:c>
      <x:c r="AM803" s="9" t="str">
        <x:v>https://geoservices.big.go.id/rbi/rest/services/BATASWILAYAH/BATAS_WILAYAH/MapServer/12</x:v>
      </x:c>
    </x:row>
    <x:row r="804" ht="18" customHeight="1">
      <x:c r="A804" s="6" t="str">
        <x:v>92</x:v>
      </x:c>
      <x:c r="B804" s="6" t="str">
        <x:v>PAPUA BARAT DAYA</x:v>
      </x:c>
      <x:c r="C804" s="6" t="str">
        <x:v>2024</x:v>
      </x:c>
      <x:c r="D804" s="6" t="str">
        <x:v>11</x:v>
      </x:c>
      <x:c r="E804" s="6" t="str">
        <x:v>27.733769972616596</x:v>
      </x:c>
      <x:c r="F804" s="9" t="str">
        <x:v>grid_cells_within_BIG_polygon</x:v>
      </x:c>
      <x:c r="G804" s="6" t="str">
        <x:v>8</x:v>
      </x:c>
      <x:c r="H804" s="8" t="str">
        <x:v>84.34855792398177</x:v>
      </x:c>
      <x:c r="I804" s="6" t="str">
        <x:v>6.042683855543091</x:v>
      </x:c>
      <x:c r="J804" s="6" t="str">
        <x:v>30</x:v>
      </x:c>
      <x:c r="K804" s="6" t="str">
        <x:v>181.28051566629273</x:v>
      </x:c>
      <x:c r="L804" s="6" t="str">
        <x:v>26.929476213837344</x:v>
      </x:c>
      <x:c r="M804" s="6" t="str">
        <x:v>0.3374353297366802</x:v>
      </x:c>
      <x:c r="N804" s="6" t="str">
        <x:v>84.0778709185809</x:v>
      </x:c>
      <x:c r="O804" s="6" t="str">
        <x:v>2.4640134240680704</x:v>
      </x:c>
      <x:c r="P804" s="6" t="str">
        <x:v>166.7166779009608</x:v>
      </x:c>
      <x:c r="Q804" s="6" t="str">
        <x:v>63.30324892935525</x:v>
      </x:c>
      <x:c r="R804" s="6" t="str">
        <x:v>0.8042937587792522</x:v>
      </x:c>
      <x:c r="S804" s="8" t="str">
        <x:v>2.3835493438309734</x:v>
      </x:c>
      <x:c r="T804" s="6" t="str">
        <x:v>0.2706870054008732</x:v>
      </x:c>
      <x:c r="U804" s="8" t="str">
        <x:v>0.10985614069990361</x:v>
      </x:c>
      <x:c r="V804" s="6" t="str">
        <x:v>14.563837765331925</x:v>
      </x:c>
      <x:c r="W804" s="8" t="str">
        <x:v>0.2300646177194599</x:v>
      </x:c>
      <x:c r="X804" s="6" t="str">
        <x:v>2.568074223546086</x:v>
      </x:c>
      <x:c r="Y804" s="6" t="str">
        <x:v>3.253144971638618</x:v>
      </x:c>
      <x:c r="Z804" s="6" t="str">
        <x:v>2.7349228463385593</x:v>
      </x:c>
      <x:c r="AA804" s="6" t="str">
        <x:v>0.11622892026770537</x:v>
      </x:c>
      <x:c r="AB804" s="6" t="str">
        <x:v>-0.18439982030324664</x:v>
      </x:c>
      <x:c r="AC804" s="6" t="str">
        <x:v>0.013895080221453743</x:v>
      </x:c>
      <x:c r="AD804" s="6" t="str">
        <x:v>1.6445232709016973</x:v>
      </x:c>
      <x:c r="AE804" s="6" t="str">
        <x:v>-0.24886085499488989</x:v>
      </x:c>
      <x:c r="AF804" s="6" t="str">
        <x:v>0.5419090112087556</x:v>
      </x:c>
      <x:c r="AG804" s="6" t="str">
        <x:v>0</x:v>
      </x:c>
      <x:c r="AH804" s="6" t="str">
        <x:v>1</x:v>
      </x:c>
      <x:c r="AI804" s="6" t="str">
        <x:v>2024-11</x:v>
      </x:c>
      <x:c r="AJ804" s="9" t="str">
        <x:v>NASA POWER (MERRA-2 meteorology)</x:v>
      </x:c>
      <x:c r="AK804" s="9" t="str">
        <x:v>Badan Informasi Geospasial (BIG)</x:v>
      </x:c>
      <x:c r="AL804" s="9" t="str">
        <x:v>https://power.larc.nasa.gov/docs/services/api/temporal/monthly/</x:v>
      </x:c>
      <x:c r="AM804" s="9" t="str">
        <x:v>https://geoservices.big.go.id/rbi/rest/services/BATASWILAYAH/BATAS_WILAYAH/MapServer/12</x:v>
      </x:c>
    </x:row>
    <x:row r="805" ht="18" customHeight="1">
      <x:c r="A805" s="6" t="str">
        <x:v>92</x:v>
      </x:c>
      <x:c r="B805" s="6" t="str">
        <x:v>PAPUA BARAT DAYA</x:v>
      </x:c>
      <x:c r="C805" s="6" t="str">
        <x:v>2024</x:v>
      </x:c>
      <x:c r="D805" s="6" t="str">
        <x:v>12</x:v>
      </x:c>
      <x:c r="E805" s="6" t="str">
        <x:v>27.290016996974522</x:v>
      </x:c>
      <x:c r="F805" s="9" t="str">
        <x:v>grid_cells_within_BIG_polygon</x:v>
      </x:c>
      <x:c r="G805" s="6" t="str">
        <x:v>8</x:v>
      </x:c>
      <x:c r="H805" s="8" t="str">
        <x:v>86.37096328558249</x:v>
      </x:c>
      <x:c r="I805" s="6" t="str">
        <x:v>10.928864797880085</x:v>
      </x:c>
      <x:c r="J805" s="6" t="str">
        <x:v>31</x:v>
      </x:c>
      <x:c r="K805" s="6" t="str">
        <x:v>338.79480873428264</x:v>
      </x:c>
      <x:c r="L805" s="6" t="str">
        <x:v>26.821189550942286</x:v>
      </x:c>
      <x:c r="M805" s="6" t="str">
        <x:v>0.39025188421603074</x:v>
      </x:c>
      <x:c r="N805" s="6" t="str">
        <x:v>85.35559938865701</x:v>
      </x:c>
      <x:c r="O805" s="6" t="str">
        <x:v>2.049395072878738</x:v>
      </x:c>
      <x:c r="P805" s="6" t="str">
        <x:v>192.62869880017914</x:v>
      </x:c>
      <x:c r="Q805" s="6" t="str">
        <x:v>66.09924079038835</x:v>
      </x:c>
      <x:c r="R805" s="6" t="str">
        <x:v>0.46882744603223614</x:v>
      </x:c>
      <x:c r="S805" s="8" t="str">
        <x:v>1.2013457589680938</x:v>
      </x:c>
      <x:c r="T805" s="6" t="str">
        <x:v>1.0153638969254786</x:v>
      </x:c>
      <x:c r="U805" s="8" t="str">
        <x:v>0.49544566119172934</x:v>
      </x:c>
      <x:c r="V805" s="6" t="str">
        <x:v>146.1661099341035</x:v>
      </x:c>
      <x:c r="W805" s="8" t="str">
        <x:v>2.2113129921963925</x:v>
      </x:c>
      <x:c r="X805" s="6" t="str">
        <x:v>2.3835493438309734</x:v>
      </x:c>
      <x:c r="Y805" s="6" t="str">
        <x:v>2.568074223546086</x:v>
      </x:c>
      <x:c r="Z805" s="6" t="str">
        <x:v>2.0509897754483846</x:v>
      </x:c>
      <x:c r="AA805" s="6" t="str">
        <x:v>0.10985614069990361</x:v>
      </x:c>
      <x:c r="AB805" s="6" t="str">
        <x:v>0.11622892026770537</x:v>
      </x:c>
      <x:c r="AC805" s="6" t="str">
        <x:v>0.24051024071977908</x:v>
      </x:c>
      <x:c r="AD805" s="6" t="str">
        <x:v>0.2300646177194599</x:v>
      </x:c>
      <x:c r="AE805" s="6" t="str">
        <x:v>1.6445232709016973</x:v>
      </x:c>
      <x:c r="AF805" s="6" t="str">
        <x:v>1.3619669602725164</x:v>
      </x:c>
      <x:c r="AG805" s="6" t="str">
        <x:v>1</x:v>
      </x:c>
      <x:c r="AH805" s="6" t="str">
        <x:v>1</x:v>
      </x:c>
      <x:c r="AI805" s="6" t="str">
        <x:v>2024-12</x:v>
      </x:c>
      <x:c r="AJ805" s="9" t="str">
        <x:v>NASA POWER (MERRA-2 meteorology)</x:v>
      </x:c>
      <x:c r="AK805" s="9" t="str">
        <x:v>Badan Informasi Geospasial (BIG)</x:v>
      </x:c>
      <x:c r="AL805" s="9" t="str">
        <x:v>https://power.larc.nasa.gov/docs/services/api/temporal/monthly/</x:v>
      </x:c>
      <x:c r="AM805" s="9" t="str">
        <x:v>https://geoservices.big.go.id/rbi/rest/services/BATASWILAYAH/BATAS_WILAYAH/MapServer/12</x:v>
      </x:c>
    </x:row>
    <x:row r="806" ht="18" customHeight="1">
      <x:c r="A806" s="6" t="str">
        <x:v>92</x:v>
      </x:c>
      <x:c r="B806" s="6" t="str">
        <x:v>PAPUA BARAT DAYA</x:v>
      </x:c>
      <x:c r="C806" s="6" t="str">
        <x:v>2025</x:v>
      </x:c>
      <x:c r="D806" s="6" t="str">
        <x:v>1</x:v>
      </x:c>
      <x:c r="E806" s="6" t="str">
        <x:v>27.173770305538707</x:v>
      </x:c>
      <x:c r="F806" s="9" t="str">
        <x:v>grid_cells_within_BIG_polygon</x:v>
      </x:c>
      <x:c r="G806" s="6" t="str">
        <x:v>8</x:v>
      </x:c>
      <x:c r="H806" s="8" t="str">
        <x:v>85.53726543689325</x:v>
      </x:c>
      <x:c r="I806" s="6" t="str">
        <x:v>9.285323769971917</x:v>
      </x:c>
      <x:c r="J806" s="6" t="str">
        <x:v>31</x:v>
      </x:c>
      <x:c r="K806" s="6" t="str">
        <x:v>287.84503686912944</x:v>
      </x:c>
      <x:c r="L806" s="6" t="str">
        <x:v>26.67260137580113</x:v>
      </x:c>
      <x:c r="M806" s="6" t="str">
        <x:v>0.3751439491284579</x:v>
      </x:c>
      <x:c r="N806" s="6" t="str">
        <x:v>85.27543624772102</x:v>
      </x:c>
      <x:c r="O806" s="6" t="str">
        <x:v>2.158043656458683</x:v>
      </x:c>
      <x:c r="P806" s="6" t="str">
        <x:v>170.6570765899315</x:v>
      </x:c>
      <x:c r="Q806" s="6" t="str">
        <x:v>53.07870175826206</x:v>
      </x:c>
      <x:c r="R806" s="6" t="str">
        <x:v>0.5011689297375774</x:v>
      </x:c>
      <x:c r="S806" s="8" t="str">
        <x:v>1.3359376604684772</x:v>
      </x:c>
      <x:c r="T806" s="6" t="str">
        <x:v>0.2618291891722322</x:v>
      </x:c>
      <x:c r="U806" s="8" t="str">
        <x:v>0.12132710493998528</x:v>
      </x:c>
      <x:c r="V806" s="6" t="str">
        <x:v>117.18796027919794</x:v>
      </x:c>
      <x:c r="W806" s="8" t="str">
        <x:v>2.2078151197614178</x:v>
      </x:c>
      <x:c r="X806" s="6" t="str">
        <x:v>1.2013457589680938</x:v>
      </x:c>
      <x:c r="Y806" s="6" t="str">
        <x:v>2.3835493438309734</x:v>
      </x:c>
      <x:c r="Z806" s="6" t="str">
        <x:v>1.6402775877558484</x:v>
      </x:c>
      <x:c r="AA806" s="6" t="str">
        <x:v>0.49544566119172934</x:v>
      </x:c>
      <x:c r="AB806" s="6" t="str">
        <x:v>0.10985614069990361</x:v>
      </x:c>
      <x:c r="AC806" s="6" t="str">
        <x:v>0.24220963561053907</x:v>
      </x:c>
      <x:c r="AD806" s="6" t="str">
        <x:v>2.2113129921963925</x:v>
      </x:c>
      <x:c r="AE806" s="6" t="str">
        <x:v>0.2300646177194599</x:v>
      </x:c>
      <x:c r="AF806" s="6" t="str">
        <x:v>1.549730909892423</x:v>
      </x:c>
      <x:c r="AG806" s="6" t="str">
        <x:v>1</x:v>
      </x:c>
      <x:c r="AH806" s="6" t="str">
        <x:v>1</x:v>
      </x:c>
      <x:c r="AI806" s="6" t="str">
        <x:v>2025-01</x:v>
      </x:c>
      <x:c r="AJ806" s="9" t="str">
        <x:v>NASA POWER (MERRA-2 meteorology)</x:v>
      </x:c>
      <x:c r="AK806" s="9" t="str">
        <x:v>Badan Informasi Geospasial (BIG)</x:v>
      </x:c>
      <x:c r="AL806" s="9" t="str">
        <x:v>https://power.larc.nasa.gov/docs/services/api/temporal/monthly/</x:v>
      </x:c>
      <x:c r="AM806" s="9" t="str">
        <x:v>https://geoservices.big.go.id/rbi/rest/services/BATASWILAYAH/BATAS_WILAYAH/MapServer/12</x:v>
      </x:c>
    </x:row>
    <x:row r="807" ht="18" customHeight="1">
      <x:c r="A807" s="6" t="str">
        <x:v>92</x:v>
      </x:c>
      <x:c r="B807" s="6" t="str">
        <x:v>PAPUA BARAT DAYA</x:v>
      </x:c>
      <x:c r="C807" s="6" t="str">
        <x:v>2025</x:v>
      </x:c>
      <x:c r="D807" s="6" t="str">
        <x:v>2</x:v>
      </x:c>
      <x:c r="E807" s="6" t="str">
        <x:v>26.926268639133465</x:v>
      </x:c>
      <x:c r="F807" s="9" t="str">
        <x:v>grid_cells_within_BIG_polygon</x:v>
      </x:c>
      <x:c r="G807" s="6" t="str">
        <x:v>8</x:v>
      </x:c>
      <x:c r="H807" s="8" t="str">
        <x:v>85.14721245311408</x:v>
      </x:c>
      <x:c r="I807" s="6" t="str">
        <x:v>5.577375225686903</x:v>
      </x:c>
      <x:c r="J807" s="6" t="str">
        <x:v>28</x:v>
      </x:c>
      <x:c r="K807" s="6" t="str">
        <x:v>156.1665063192333</x:v>
      </x:c>
      <x:c r="L807" s="6" t="str">
        <x:v>26.621265193962756</x:v>
      </x:c>
      <x:c r="M807" s="6" t="str">
        <x:v>0.41692741556160673</x:v>
      </x:c>
      <x:c r="N807" s="6" t="str">
        <x:v>85.07613923765385</x:v>
      </x:c>
      <x:c r="O807" s="6" t="str">
        <x:v>2.611886130356288</x:v>
      </x:c>
      <x:c r="P807" s="6" t="str">
        <x:v>175.78926264271954</x:v>
      </x:c>
      <x:c r="Q807" s="6" t="str">
        <x:v>65.39786819181093</x:v>
      </x:c>
      <x:c r="R807" s="6" t="str">
        <x:v>0.30500344517070843</x:v>
      </x:c>
      <x:c r="S807" s="8" t="str">
        <x:v>0.7315504660682118</x:v>
      </x:c>
      <x:c r="T807" s="6" t="str">
        <x:v>0.07107321546023115</x:v>
      </x:c>
      <x:c r="U807" s="8" t="str">
        <x:v>0.02721145253393418</x:v>
      </x:c>
      <x:c r="V807" s="6" t="str">
        <x:v>-19.622756323486243</x:v>
      </x:c>
      <x:c r="W807" s="8" t="str">
        <x:v>-0.30005192624831445</x:v>
      </x:c>
      <x:c r="X807" s="6" t="str">
        <x:v>1.3359376604684772</x:v>
      </x:c>
      <x:c r="Y807" s="6" t="str">
        <x:v>1.2013457589680938</x:v>
      </x:c>
      <x:c r="Z807" s="6" t="str">
        <x:v>1.089611295168261</x:v>
      </x:c>
      <x:c r="AA807" s="6" t="str">
        <x:v>0.12132710493998528</x:v>
      </x:c>
      <x:c r="AB807" s="6" t="str">
        <x:v>0.49544566119172934</x:v>
      </x:c>
      <x:c r="AC807" s="6" t="str">
        <x:v>0.21466140622188257</x:v>
      </x:c>
      <x:c r="AD807" s="6" t="str">
        <x:v>2.2078151197614178</x:v>
      </x:c>
      <x:c r="AE807" s="6" t="str">
        <x:v>2.2113129921963925</x:v>
      </x:c>
      <x:c r="AF807" s="6" t="str">
        <x:v>1.3730253952364981</x:v>
      </x:c>
      <x:c r="AG807" s="6" t="str">
        <x:v>0</x:v>
      </x:c>
      <x:c r="AH807" s="6" t="str">
        <x:v>0</x:v>
      </x:c>
      <x:c r="AI807" s="6" t="str">
        <x:v>2025-02</x:v>
      </x:c>
      <x:c r="AJ807" s="9" t="str">
        <x:v>NASA POWER (MERRA-2 meteorology)</x:v>
      </x:c>
      <x:c r="AK807" s="9" t="str">
        <x:v>Badan Informasi Geospasial (BIG)</x:v>
      </x:c>
      <x:c r="AL807" s="9" t="str">
        <x:v>https://power.larc.nasa.gov/docs/services/api/temporal/monthly/</x:v>
      </x:c>
      <x:c r="AM807" s="9" t="str">
        <x:v>https://geoservices.big.go.id/rbi/rest/services/BATASWILAYAH/BATAS_WILAYAH/MapServer/12</x:v>
      </x:c>
    </x:row>
    <x:row r="808" ht="18" customHeight="1">
      <x:c r="A808" s="6" t="str">
        <x:v>92</x:v>
      </x:c>
      <x:c r="B808" s="6" t="str">
        <x:v>PAPUA BARAT DAYA</x:v>
      </x:c>
      <x:c r="C808" s="6" t="str">
        <x:v>2025</x:v>
      </x:c>
      <x:c r="D808" s="6" t="str">
        <x:v>3</x:v>
      </x:c>
      <x:c r="E808" s="6" t="str">
        <x:v>27.330023138204638</x:v>
      </x:c>
      <x:c r="F808" s="9" t="str">
        <x:v>grid_cells_within_BIG_polygon</x:v>
      </x:c>
      <x:c r="G808" s="6" t="str">
        <x:v>8</x:v>
      </x:c>
      <x:c r="H808" s="8" t="str">
        <x:v>84.36725153532394</x:v>
      </x:c>
      <x:c r="I808" s="6" t="str">
        <x:v>10.496537708162343</x:v>
      </x:c>
      <x:c r="J808" s="6" t="str">
        <x:v>31</x:v>
      </x:c>
      <x:c r="K808" s="6" t="str">
        <x:v>325.3926689530326</x:v>
      </x:c>
      <x:c r="L808" s="6" t="str">
        <x:v>26.700813678770043</x:v>
      </x:c>
      <x:c r="M808" s="6" t="str">
        <x:v>0.4087082160212834</x:v>
      </x:c>
      <x:c r="N808" s="6" t="str">
        <x:v>85.04036815824269</x:v>
      </x:c>
      <x:c r="O808" s="6" t="str">
        <x:v>2.0674934816834574</x:v>
      </x:c>
      <x:c r="P808" s="6" t="str">
        <x:v>223.60486639021798</x:v>
      </x:c>
      <x:c r="Q808" s="6" t="str">
        <x:v>88.18571304043321</x:v>
      </x:c>
      <x:c r="R808" s="6" t="str">
        <x:v>0.6292094594345947</x:v>
      </x:c>
      <x:c r="S808" s="8" t="str">
        <x:v>1.539507733805451</x:v>
      </x:c>
      <x:c r="T808" s="6" t="str">
        <x:v>-0.6731166229187409</x:v>
      </x:c>
      <x:c r="U808" s="8" t="str">
        <x:v>-0.32557133982867764</x:v>
      </x:c>
      <x:c r="V808" s="6" t="str">
        <x:v>101.78780256281465</x:v>
      </x:c>
      <x:c r="W808" s="8" t="str">
        <x:v>1.154243687026093</x:v>
      </x:c>
      <x:c r="X808" s="6" t="str">
        <x:v>0.7315504660682118</x:v>
      </x:c>
      <x:c r="Y808" s="6" t="str">
        <x:v>1.3359376604684772</x:v>
      </x:c>
      <x:c r="Z808" s="6" t="str">
        <x:v>1.2023319534473802</x:v>
      </x:c>
      <x:c r="AA808" s="6" t="str">
        <x:v>0.02721145253393418</x:v>
      </x:c>
      <x:c r="AB808" s="6" t="str">
        <x:v>0.12132710493998528</x:v>
      </x:c>
      <x:c r="AC808" s="6" t="str">
        <x:v>-0.059010927451586426</x:v>
      </x:c>
      <x:c r="AD808" s="6" t="str">
        <x:v>-0.30005192624831445</x:v>
      </x:c>
      <x:c r="AE808" s="6" t="str">
        <x:v>2.2078151197614178</x:v>
      </x:c>
      <x:c r="AF808" s="6" t="str">
        <x:v>1.0206689601797319</x:v>
      </x:c>
      <x:c r="AG808" s="6" t="str">
        <x:v>1</x:v>
      </x:c>
      <x:c r="AH808" s="6" t="str">
        <x:v>1</x:v>
      </x:c>
      <x:c r="AI808" s="6" t="str">
        <x:v>2025-03</x:v>
      </x:c>
      <x:c r="AJ808" s="9" t="str">
        <x:v>NASA POWER (MERRA-2 meteorology)</x:v>
      </x:c>
      <x:c r="AK808" s="9" t="str">
        <x:v>Badan Informasi Geospasial (BIG)</x:v>
      </x:c>
      <x:c r="AL808" s="9" t="str">
        <x:v>https://power.larc.nasa.gov/docs/services/api/temporal/monthly/</x:v>
      </x:c>
      <x:c r="AM808" s="9" t="str">
        <x:v>https://geoservices.big.go.id/rbi/rest/services/BATASWILAYAH/BATAS_WILAYAH/MapServer/12</x:v>
      </x:c>
    </x:row>
    <x:row r="809" ht="18" customHeight="1">
      <x:c r="A809" s="6" t="str">
        <x:v>92</x:v>
      </x:c>
      <x:c r="B809" s="6" t="str">
        <x:v>PAPUA BARAT DAYA</x:v>
      </x:c>
      <x:c r="C809" s="6" t="str">
        <x:v>2025</x:v>
      </x:c>
      <x:c r="D809" s="6" t="str">
        <x:v>4</x:v>
      </x:c>
      <x:c r="E809" s="6" t="str">
        <x:v>26.95127630388333</x:v>
      </x:c>
      <x:c r="F809" s="9" t="str">
        <x:v>grid_cells_within_BIG_polygon</x:v>
      </x:c>
      <x:c r="G809" s="6" t="str">
        <x:v>8</x:v>
      </x:c>
      <x:c r="H809" s="8" t="str">
        <x:v>85.39344619327244</x:v>
      </x:c>
      <x:c r="I809" s="6" t="str">
        <x:v>9.512663338458816</x:v>
      </x:c>
      <x:c r="J809" s="6" t="str">
        <x:v>30</x:v>
      </x:c>
      <x:c r="K809" s="6" t="str">
        <x:v>285.3799001537645</x:v>
      </x:c>
      <x:c r="L809" s="6" t="str">
        <x:v>26.809691407701386</x:v>
      </x:c>
      <x:c r="M809" s="6" t="str">
        <x:v>0.3483208877907603</x:v>
      </x:c>
      <x:c r="N809" s="6" t="str">
        <x:v>85.69888024639654</x:v>
      </x:c>
      <x:c r="O809" s="6" t="str">
        <x:v>1.4965453938668</x:v>
      </x:c>
      <x:c r="P809" s="6" t="str">
        <x:v>243.61716448061082</x:v>
      </x:c>
      <x:c r="Q809" s="6" t="str">
        <x:v>72.04733756682688</x:v>
      </x:c>
      <x:c r="R809" s="6" t="str">
        <x:v>0.1415848961819428</x:v>
      </x:c>
      <x:c r="S809" s="8" t="str">
        <x:v>0.4064783397859109</x:v>
      </x:c>
      <x:c r="T809" s="6" t="str">
        <x:v>-0.30543405312410243</x:v>
      </x:c>
      <x:c r="U809" s="8" t="str">
        <x:v>-0.20409274210848802</x:v>
      </x:c>
      <x:c r="V809" s="6" t="str">
        <x:v>41.76273567315366</x:v>
      </x:c>
      <x:c r="W809" s="8" t="str">
        <x:v>0.5796568906438353</x:v>
      </x:c>
      <x:c r="X809" s="6" t="str">
        <x:v>1.539507733805451</x:v>
      </x:c>
      <x:c r="Y809" s="6" t="str">
        <x:v>0.7315504660682118</x:v>
      </x:c>
      <x:c r="Z809" s="6" t="str">
        <x:v>0.8925121798865248</x:v>
      </x:c>
      <x:c r="AA809" s="6" t="str">
        <x:v>-0.32557133982867764</x:v>
      </x:c>
      <x:c r="AB809" s="6" t="str">
        <x:v>0.02721145253393418</x:v>
      </x:c>
      <x:c r="AC809" s="6" t="str">
        <x:v>-0.1674842098010775</x:v>
      </x:c>
      <x:c r="AD809" s="6" t="str">
        <x:v>1.154243687026093</x:v>
      </x:c>
      <x:c r="AE809" s="6" t="str">
        <x:v>-0.30005192624831445</x:v>
      </x:c>
      <x:c r="AF809" s="6" t="str">
        <x:v>0.47794955047387105</x:v>
      </x:c>
      <x:c r="AG809" s="6" t="str">
        <x:v>0</x:v>
      </x:c>
      <x:c r="AH809" s="6" t="str">
        <x:v>0</x:v>
      </x:c>
      <x:c r="AI809" s="6" t="str">
        <x:v>2025-04</x:v>
      </x:c>
      <x:c r="AJ809" s="9" t="str">
        <x:v>NASA POWER (MERRA-2 meteorology)</x:v>
      </x:c>
      <x:c r="AK809" s="9" t="str">
        <x:v>Badan Informasi Geospasial (BIG)</x:v>
      </x:c>
      <x:c r="AL809" s="9" t="str">
        <x:v>https://power.larc.nasa.gov/docs/services/api/temporal/monthly/</x:v>
      </x:c>
      <x:c r="AM809" s="9" t="str">
        <x:v>https://geoservices.big.go.id/rbi/rest/services/BATASWILAYAH/BATAS_WILAYAH/MapServer/12</x:v>
      </x:c>
    </x:row>
    <x:row r="810" ht="18" customHeight="1">
      <x:c r="A810" s="6" t="str">
        <x:v>92</x:v>
      </x:c>
      <x:c r="B810" s="6" t="str">
        <x:v>PAPUA BARAT DAYA</x:v>
      </x:c>
      <x:c r="C810" s="6" t="str">
        <x:v>2025</x:v>
      </x:c>
      <x:c r="D810" s="6" t="str">
        <x:v>5</x:v>
      </x:c>
      <x:c r="E810" s="6" t="str">
        <x:v>27.262534706853756</x:v>
      </x:c>
      <x:c r="F810" s="9" t="str">
        <x:v>grid_cells_within_BIG_polygon</x:v>
      </x:c>
      <x:c r="G810" s="6" t="str">
        <x:v>8</x:v>
      </x:c>
      <x:c r="H810" s="8" t="str">
        <x:v>85.43842548207272</x:v>
      </x:c>
      <x:c r="I810" s="6" t="str">
        <x:v>8.38754351075376</x:v>
      </x:c>
      <x:c r="J810" s="6" t="str">
        <x:v>31</x:v>
      </x:c>
      <x:c r="K810" s="6" t="str">
        <x:v>260.0138488333666</x:v>
      </x:c>
      <x:c r="L810" s="6" t="str">
        <x:v>26.826729008188984</x:v>
      </x:c>
      <x:c r="M810" s="6" t="str">
        <x:v>0.3845384474429004</x:v>
      </x:c>
      <x:c r="N810" s="6" t="str">
        <x:v>86.34018703300794</x:v>
      </x:c>
      <x:c r="O810" s="6" t="str">
        <x:v>1.3928360235203343</x:v>
      </x:c>
      <x:c r="P810" s="6" t="str">
        <x:v>263.1425982258239</x:v>
      </x:c>
      <x:c r="Q810" s="6" t="str">
        <x:v>116.59774578270394</x:v>
      </x:c>
      <x:c r="R810" s="6" t="str">
        <x:v>0.4358056986647725</x:v>
      </x:c>
      <x:c r="S810" s="8" t="str">
        <x:v>1.1333215223673692</x:v>
      </x:c>
      <x:c r="T810" s="6" t="str">
        <x:v>-0.9017615509352197</x:v>
      </x:c>
      <x:c r="U810" s="8" t="str">
        <x:v>-0.6474283660872407</x:v>
      </x:c>
      <x:c r="V810" s="6" t="str">
        <x:v>-3.128749392457337</x:v>
      </x:c>
      <x:c r="W810" s="8" t="str">
        <x:v>-0.02683370395760648</x:v>
      </x:c>
      <x:c r="X810" s="6" t="str">
        <x:v>0.4064783397859109</x:v>
      </x:c>
      <x:c r="Y810" s="6" t="str">
        <x:v>1.539507733805451</x:v>
      </x:c>
      <x:c r="Z810" s="6" t="str">
        <x:v>1.026435865319577</x:v>
      </x:c>
      <x:c r="AA810" s="6" t="str">
        <x:v>-0.20409274210848802</x:v>
      </x:c>
      <x:c r="AB810" s="6" t="str">
        <x:v>-0.32557133982867764</x:v>
      </x:c>
      <x:c r="AC810" s="6" t="str">
        <x:v>-0.3923641493414691</x:v>
      </x:c>
      <x:c r="AD810" s="6" t="str">
        <x:v>0.5796568906438353</x:v>
      </x:c>
      <x:c r="AE810" s="6" t="str">
        <x:v>1.154243687026093</x:v>
      </x:c>
      <x:c r="AF810" s="6" t="str">
        <x:v>0.5690222912374404</x:v>
      </x:c>
      <x:c r="AG810" s="6" t="str">
        <x:v>0</x:v>
      </x:c>
      <x:c r="AH810" s="6" t="str">
        <x:v>1</x:v>
      </x:c>
      <x:c r="AI810" s="6" t="str">
        <x:v>2025-05</x:v>
      </x:c>
      <x:c r="AJ810" s="9" t="str">
        <x:v>NASA POWER (MERRA-2 meteorology)</x:v>
      </x:c>
      <x:c r="AK810" s="9" t="str">
        <x:v>Badan Informasi Geospasial (BIG)</x:v>
      </x:c>
      <x:c r="AL810" s="9" t="str">
        <x:v>https://power.larc.nasa.gov/docs/services/api/temporal/monthly/</x:v>
      </x:c>
      <x:c r="AM810" s="9" t="str">
        <x:v>https://geoservices.big.go.id/rbi/rest/services/BATASWILAYAH/BATAS_WILAYAH/MapServer/12</x:v>
      </x:c>
    </x:row>
    <x:row r="811" ht="18" customHeight="1">
      <x:c r="A811" s="6" t="str">
        <x:v>92</x:v>
      </x:c>
      <x:c r="B811" s="6" t="str">
        <x:v>PAPUA BARAT DAYA</x:v>
      </x:c>
      <x:c r="C811" s="6" t="str">
        <x:v>2025</x:v>
      </x:c>
      <x:c r="D811" s="6" t="str">
        <x:v>6</x:v>
      </x:c>
      <x:c r="E811" s="6" t="str">
        <x:v>26.652528232538383</x:v>
      </x:c>
      <x:c r="F811" s="9" t="str">
        <x:v>grid_cells_within_BIG_polygon</x:v>
      </x:c>
      <x:c r="G811" s="6" t="str">
        <x:v>8</x:v>
      </x:c>
      <x:c r="H811" s="8" t="str">
        <x:v>86.82589577717201</x:v>
      </x:c>
      <x:c r="I811" s="6" t="str">
        <x:v>12.873826668572494</x:v>
      </x:c>
      <x:c r="J811" s="6" t="str">
        <x:v>30</x:v>
      </x:c>
      <x:c r="K811" s="6" t="str">
        <x:v>386.21480005717484</x:v>
      </x:c>
      <x:c r="L811" s="6" t="str">
        <x:v>26.17668785648687</x:v>
      </x:c>
      <x:c r="M811" s="6" t="str">
        <x:v>0.31349550687454475</x:v>
      </x:c>
      <x:c r="N811" s="6" t="str">
        <x:v>87.88050006826211</x:v>
      </x:c>
      <x:c r="O811" s="6" t="str">
        <x:v>1.5653663543658374</x:v>
      </x:c>
      <x:c r="P811" s="6" t="str">
        <x:v>307.70103830957976</x:v>
      </x:c>
      <x:c r="Q811" s="6" t="str">
        <x:v>121.03640857018233</x:v>
      </x:c>
      <x:c r="R811" s="6" t="str">
        <x:v>0.4758403760515151</x:v>
      </x:c>
      <x:c r="S811" s="8" t="str">
        <x:v>1.5178538946076119</x:v>
      </x:c>
      <x:c r="T811" s="6" t="str">
        <x:v>-1.0546042910901008</x:v>
      </x:c>
      <x:c r="U811" s="8" t="str">
        <x:v>-0.6737108461216053</x:v>
      </x:c>
      <x:c r="V811" s="6" t="str">
        <x:v>78.51376174759508</x:v>
      </x:c>
      <x:c r="W811" s="8" t="str">
        <x:v>0.6486788783233707</x:v>
      </x:c>
      <x:c r="X811" s="6" t="str">
        <x:v>1.1333215223673692</x:v>
      </x:c>
      <x:c r="Y811" s="6" t="str">
        <x:v>0.4064783397859109</x:v>
      </x:c>
      <x:c r="Z811" s="6" t="str">
        <x:v>1.0192179189202974</x:v>
      </x:c>
      <x:c r="AA811" s="6" t="str">
        <x:v>-0.6474283660872407</x:v>
      </x:c>
      <x:c r="AB811" s="6" t="str">
        <x:v>-0.20409274210848802</x:v>
      </x:c>
      <x:c r="AC811" s="6" t="str">
        <x:v>-0.5084106514391117</x:v>
      </x:c>
      <x:c r="AD811" s="6" t="str">
        <x:v>-0.02683370395760648</x:v>
      </x:c>
      <x:c r="AE811" s="6" t="str">
        <x:v>0.5796568906438353</x:v>
      </x:c>
      <x:c r="AF811" s="6" t="str">
        <x:v>0.40050068833653296</x:v>
      </x:c>
      <x:c r="AG811" s="6" t="str">
        <x:v>0</x:v>
      </x:c>
      <x:c r="AH811" s="6" t="str">
        <x:v>1</x:v>
      </x:c>
      <x:c r="AI811" s="6" t="str">
        <x:v>2025-06</x:v>
      </x:c>
      <x:c r="AJ811" s="9" t="str">
        <x:v>NASA POWER (MERRA-2 meteorology)</x:v>
      </x:c>
      <x:c r="AK811" s="9" t="str">
        <x:v>Badan Informasi Geospasial (BIG)</x:v>
      </x:c>
      <x:c r="AL811" s="9" t="str">
        <x:v>https://power.larc.nasa.gov/docs/services/api/temporal/monthly/</x:v>
      </x:c>
      <x:c r="AM811" s="9" t="str">
        <x:v>https://geoservices.big.go.id/rbi/rest/services/BATASWILAYAH/BATAS_WILAYAH/MapServer/12</x:v>
      </x:c>
    </x:row>
    <x:row r="812" ht="18" customHeight="1">
      <x:c r="A812" s="6" t="str">
        <x:v>92</x:v>
      </x:c>
      <x:c r="B812" s="6" t="str">
        <x:v>PAPUA BARAT DAYA</x:v>
      </x:c>
      <x:c r="C812" s="6" t="str">
        <x:v>2025</x:v>
      </x:c>
      <x:c r="D812" s="6" t="str">
        <x:v>7</x:v>
      </x:c>
      <x:c r="E812" s="6" t="str">
        <x:v>26.416286111226725</x:v>
      </x:c>
      <x:c r="F812" s="9" t="str">
        <x:v>grid_cells_within_BIG_polygon</x:v>
      </x:c>
      <x:c r="G812" s="6" t="str">
        <x:v>8</x:v>
      </x:c>
      <x:c r="H812" s="8" t="str">
        <x:v>87.30216308206097</x:v>
      </x:c>
      <x:c r="I812" s="6" t="str">
        <x:v>10.278754449490867</x:v>
      </x:c>
      <x:c r="J812" s="6" t="str">
        <x:v>31</x:v>
      </x:c>
      <x:c r="K812" s="6" t="str">
        <x:v>318.6413879342169</x:v>
      </x:c>
      <x:c r="L812" s="6" t="str">
        <x:v>25.645483967245582</x:v>
      </x:c>
      <x:c r="M812" s="6" t="str">
        <x:v>0.3631561055691137</x:v>
      </x:c>
      <x:c r="N812" s="6" t="str">
        <x:v>88.1146323064615</x:v>
      </x:c>
      <x:c r="O812" s="6" t="str">
        <x:v>1.1540324447668355</x:v>
      </x:c>
      <x:c r="P812" s="6" t="str">
        <x:v>284.98601464778216</x:v>
      </x:c>
      <x:c r="Q812" s="6" t="str">
        <x:v>157.85133349003922</x:v>
      </x:c>
      <x:c r="R812" s="6" t="str">
        <x:v>0.7708021439811432</x:v>
      </x:c>
      <x:c r="S812" s="8" t="str">
        <x:v>2.1225091142917565</x:v>
      </x:c>
      <x:c r="T812" s="6" t="str">
        <x:v>-0.8124692244005303</x:v>
      </x:c>
      <x:c r="U812" s="8" t="str">
        <x:v>-0.704026327929354</x:v>
      </x:c>
      <x:c r="V812" s="6" t="str">
        <x:v>33.655373286434724</x:v>
      </x:c>
      <x:c r="W812" s="8" t="str">
        <x:v>0.21320930613841443</x:v>
      </x:c>
      <x:c r="X812" s="6" t="str">
        <x:v>1.5178538946076119</x:v>
      </x:c>
      <x:c r="Y812" s="6" t="str">
        <x:v>1.1333215223673692</x:v>
      </x:c>
      <x:c r="Z812" s="6" t="str">
        <x:v>1.5912281770889127</x:v>
      </x:c>
      <x:c r="AA812" s="6" t="str">
        <x:v>-0.6737108461216053</x:v>
      </x:c>
      <x:c r="AB812" s="6" t="str">
        <x:v>-0.6474283660872407</x:v>
      </x:c>
      <x:c r="AC812" s="6" t="str">
        <x:v>-0.675055180046067</x:v>
      </x:c>
      <x:c r="AD812" s="6" t="str">
        <x:v>0.6486788783233707</x:v>
      </x:c>
      <x:c r="AE812" s="6" t="str">
        <x:v>-0.02683370395760648</x:v>
      </x:c>
      <x:c r="AF812" s="6" t="str">
        <x:v>0.27835149350139266</x:v>
      </x:c>
      <x:c r="AG812" s="6" t="str">
        <x:v>0</x:v>
      </x:c>
      <x:c r="AH812" s="6" t="str">
        <x:v>1</x:v>
      </x:c>
      <x:c r="AI812" s="6" t="str">
        <x:v>2025-07</x:v>
      </x:c>
      <x:c r="AJ812" s="9" t="str">
        <x:v>NASA POWER (MERRA-2 meteorology)</x:v>
      </x:c>
      <x:c r="AK812" s="9" t="str">
        <x:v>Badan Informasi Geospasial (BIG)</x:v>
      </x:c>
      <x:c r="AL812" s="9" t="str">
        <x:v>https://power.larc.nasa.gov/docs/services/api/temporal/monthly/</x:v>
      </x:c>
      <x:c r="AM812" s="9" t="str">
        <x:v>https://geoservices.big.go.id/rbi/rest/services/BATASWILAYAH/BATAS_WILAYAH/MapServer/12</x:v>
      </x:c>
    </x:row>
    <x:row r="813" ht="18" customHeight="1">
      <x:c r="A813" s="6" t="str">
        <x:v>92</x:v>
      </x:c>
      <x:c r="B813" s="6" t="str">
        <x:v>PAPUA BARAT DAYA</x:v>
      </x:c>
      <x:c r="C813" s="6" t="str">
        <x:v>2025</x:v>
      </x:c>
      <x:c r="D813" s="6" t="str">
        <x:v>8</x:v>
      </x:c>
      <x:c r="E813" s="6" t="str">
        <x:v>26.112519282272274</x:v>
      </x:c>
      <x:c r="F813" s="9" t="str">
        <x:v>grid_cells_within_BIG_polygon</x:v>
      </x:c>
      <x:c r="G813" s="6" t="str">
        <x:v>8</x:v>
      </x:c>
      <x:c r="H813" s="8" t="str">
        <x:v>88.5647151156752</x:v>
      </x:c>
      <x:c r="I813" s="6" t="str">
        <x:v>13.998027953777255</x:v>
      </x:c>
      <x:c r="J813" s="6" t="str">
        <x:v>31</x:v>
      </x:c>
      <x:c r="K813" s="6" t="str">
        <x:v>433.9388665670949</x:v>
      </x:c>
      <x:c r="L813" s="6" t="str">
        <x:v>25.53873598118114</x:v>
      </x:c>
      <x:c r="M813" s="6" t="str">
        <x:v>0.3872809967618747</x:v>
      </x:c>
      <x:c r="N813" s="6" t="str">
        <x:v>87.04394421999446</x:v>
      </x:c>
      <x:c r="O813" s="6" t="str">
        <x:v>1.9944601864088392</x:v>
      </x:c>
      <x:c r="P813" s="6" t="str">
        <x:v>234.86325514823608</x:v>
      </x:c>
      <x:c r="Q813" s="6" t="str">
        <x:v>155.4579225802198</x:v>
      </x:c>
      <x:c r="R813" s="6" t="str">
        <x:v>0.5737833010911331</x:v>
      </x:c>
      <x:c r="S813" s="8" t="str">
        <x:v>1.4815684371002897</x:v>
      </x:c>
      <x:c r="T813" s="6" t="str">
        <x:v>1.5207708956807409</x:v>
      </x:c>
      <x:c r="U813" s="8" t="str">
        <x:v>0.7624974948329212</x:v>
      </x:c>
      <x:c r="V813" s="6" t="str">
        <x:v>199.07561141885884</x:v>
      </x:c>
      <x:c r="W813" s="8" t="str">
        <x:v>1.2805755288292324</x:v>
      </x:c>
      <x:c r="X813" s="6" t="str">
        <x:v>2.1225091142917565</x:v>
      </x:c>
      <x:c r="Y813" s="6" t="str">
        <x:v>1.5178538946076119</x:v>
      </x:c>
      <x:c r="Z813" s="6" t="str">
        <x:v>1.707310481999886</x:v>
      </x:c>
      <x:c r="AA813" s="6" t="str">
        <x:v>-0.704026327929354</x:v>
      </x:c>
      <x:c r="AB813" s="6" t="str">
        <x:v>-0.6737108461216053</x:v>
      </x:c>
      <x:c r="AC813" s="6" t="str">
        <x:v>-0.2050798930726798</x:v>
      </x:c>
      <x:c r="AD813" s="6" t="str">
        <x:v>0.21320930613841443</x:v>
      </x:c>
      <x:c r="AE813" s="6" t="str">
        <x:v>0.6486788783233707</x:v>
      </x:c>
      <x:c r="AF813" s="6" t="str">
        <x:v>0.7141545710970055</x:v>
      </x:c>
      <x:c r="AG813" s="6" t="str">
        <x:v>1</x:v>
      </x:c>
      <x:c r="AH813" s="6" t="str">
        <x:v>1</x:v>
      </x:c>
      <x:c r="AI813" s="6" t="str">
        <x:v>2025-08</x:v>
      </x:c>
      <x:c r="AJ813" s="9" t="str">
        <x:v>NASA POWER (MERRA-2 meteorology)</x:v>
      </x:c>
      <x:c r="AK813" s="9" t="str">
        <x:v>Badan Informasi Geospasial (BIG)</x:v>
      </x:c>
      <x:c r="AL813" s="9" t="str">
        <x:v>https://power.larc.nasa.gov/docs/services/api/temporal/monthly/</x:v>
      </x:c>
      <x:c r="AM813" s="9" t="str">
        <x:v>https://geoservices.big.go.id/rbi/rest/services/BATASWILAYAH/BATAS_WILAYAH/MapServer/12</x:v>
      </x:c>
    </x:row>
    <x:row r="814" ht="18" customHeight="1">
      <x:c r="A814" s="6" t="str">
        <x:v>92</x:v>
      </x:c>
      <x:c r="B814" s="6" t="str">
        <x:v>PAPUA BARAT DAYA</x:v>
      </x:c>
      <x:c r="C814" s="6" t="str">
        <x:v>2025</x:v>
      </x:c>
      <x:c r="D814" s="6" t="str">
        <x:v>9</x:v>
      </x:c>
      <x:c r="E814" s="6" t="str">
        <x:v>26.646275827985086</x:v>
      </x:c>
      <x:c r="F814" s="9" t="str">
        <x:v>grid_cells_within_BIG_polygon</x:v>
      </x:c>
      <x:c r="G814" s="6" t="str">
        <x:v>8</x:v>
      </x:c>
      <x:c r="H814" s="8" t="str">
        <x:v>86.66596471030424</x:v>
      </x:c>
      <x:c r="I814" s="6" t="str">
        <x:v>12.256825775432764</x:v>
      </x:c>
      <x:c r="J814" s="6" t="str">
        <x:v>30</x:v>
      </x:c>
      <x:c r="K814" s="6" t="str">
        <x:v>367.70477326298294</x:v>
      </x:c>
      <x:c r="L814" s="6" t="str">
        <x:v>25.919894957893273</x:v>
      </x:c>
      <x:c r="M814" s="6" t="str">
        <x:v>0.34086147009531625</x:v>
      </x:c>
      <x:c r="N814" s="6" t="str">
        <x:v>86.20125504529736</x:v>
      </x:c>
      <x:c r="O814" s="6" t="str">
        <x:v>2.5228034400273285</x:v>
      </x:c>
      <x:c r="P814" s="6" t="str">
        <x:v>218.86810701770693</x:v>
      </x:c>
      <x:c r="Q814" s="6" t="str">
        <x:v>124.37706541773859</x:v>
      </x:c>
      <x:c r="R814" s="6" t="str">
        <x:v>0.7263808700918126</x:v>
      </x:c>
      <x:c r="S814" s="8" t="str">
        <x:v>2.1310148955488932</x:v>
      </x:c>
      <x:c r="T814" s="6" t="str">
        <x:v>0.46470966500687894</x:v>
      </x:c>
      <x:c r="U814" s="8" t="str">
        <x:v>0.18420367502029605</x:v>
      </x:c>
      <x:c r="V814" s="6" t="str">
        <x:v>148.836666245276</x:v>
      </x:c>
      <x:c r="W814" s="8" t="str">
        <x:v>1.1966568413990655</x:v>
      </x:c>
      <x:c r="X814" s="6" t="str">
        <x:v>1.4815684371002897</x:v>
      </x:c>
      <x:c r="Y814" s="6" t="str">
        <x:v>2.1225091142917565</x:v>
      </x:c>
      <x:c r="Z814" s="6" t="str">
        <x:v>1.9116974823136468</x:v>
      </x:c>
      <x:c r="AA814" s="6" t="str">
        <x:v>0.7624974948329212</x:v>
      </x:c>
      <x:c r="AB814" s="6" t="str">
        <x:v>-0.704026327929354</x:v>
      </x:c>
      <x:c r="AC814" s="6" t="str">
        <x:v>0.08089161397462069</x:v>
      </x:c>
      <x:c r="AD814" s="6" t="str">
        <x:v>1.2805755288292324</x:v>
      </x:c>
      <x:c r="AE814" s="6" t="str">
        <x:v>0.21320930613841443</x:v>
      </x:c>
      <x:c r="AF814" s="6" t="str">
        <x:v>0.8968138921222373</x:v>
      </x:c>
      <x:c r="AG814" s="6" t="str">
        <x:v>1</x:v>
      </x:c>
      <x:c r="AH814" s="6" t="str">
        <x:v>1</x:v>
      </x:c>
      <x:c r="AI814" s="6" t="str">
        <x:v>2025-09</x:v>
      </x:c>
      <x:c r="AJ814" s="9" t="str">
        <x:v>NASA POWER (MERRA-2 meteorology)</x:v>
      </x:c>
      <x:c r="AK814" s="9" t="str">
        <x:v>Badan Informasi Geospasial (BIG)</x:v>
      </x:c>
      <x:c r="AL814" s="9" t="str">
        <x:v>https://power.larc.nasa.gov/docs/services/api/temporal/monthly/</x:v>
      </x:c>
      <x:c r="AM814" s="9" t="str">
        <x:v>https://geoservices.big.go.id/rbi/rest/services/BATASWILAYAH/BATAS_WILAYAH/MapServer/12</x:v>
      </x:c>
    </x:row>
    <x:row r="815" ht="18" customHeight="1">
      <x:c r="A815" s="6" t="str">
        <x:v>92</x:v>
      </x:c>
      <x:c r="B815" s="6" t="str">
        <x:v>PAPUA BARAT DAYA</x:v>
      </x:c>
      <x:c r="C815" s="6" t="str">
        <x:v>2025</x:v>
      </x:c>
      <x:c r="D815" s="6" t="str">
        <x:v>10</x:v>
      </x:c>
      <x:c r="E815" s="6" t="str">
        <x:v>27.047524328584746</x:v>
      </x:c>
      <x:c r="F815" s="9" t="str">
        <x:v>grid_cells_within_BIG_polygon</x:v>
      </x:c>
      <x:c r="G815" s="6" t="str">
        <x:v>8</x:v>
      </x:c>
      <x:c r="H815" s="8" t="str">
        <x:v>84.83847056630721</x:v>
      </x:c>
      <x:c r="I815" s="6" t="str">
        <x:v>6.957598595377538</x:v>
      </x:c>
      <x:c r="J815" s="6" t="str">
        <x:v>31</x:v>
      </x:c>
      <x:c r="K815" s="6" t="str">
        <x:v>215.6855564567037</x:v>
      </x:c>
      <x:c r="L815" s="6" t="str">
        <x:v>26.517105183751493</x:v>
      </x:c>
      <x:c r="M815" s="6" t="str">
        <x:v>0.343804075561874</x:v>
      </x:c>
      <x:c r="N815" s="6" t="str">
        <x:v>84.60611788546679</x:v>
      </x:c>
      <x:c r="O815" s="6" t="str">
        <x:v>2.7524101780559036</x:v>
      </x:c>
      <x:c r="P815" s="6" t="str">
        <x:v>176.89531433615096</x:v>
      </x:c>
      <x:c r="Q815" s="6" t="str">
        <x:v>86.36141466165702</x:v>
      </x:c>
      <x:c r="R815" s="6" t="str">
        <x:v>0.5304191448332531</x:v>
      </x:c>
      <x:c r="S815" s="8" t="str">
        <x:v>1.5427948140707666</x:v>
      </x:c>
      <x:c r="T815" s="6" t="str">
        <x:v>0.23235268084042104</x:v>
      </x:c>
      <x:c r="U815" s="8" t="str">
        <x:v>0.08441789770031209</x:v>
      </x:c>
      <x:c r="V815" s="6" t="str">
        <x:v>38.79024212055273</x:v>
      </x:c>
      <x:c r="W815" s="8" t="str">
        <x:v>0.4491617265942603</x:v>
      </x:c>
      <x:c r="X815" s="6" t="str">
        <x:v>2.1310148955488932</x:v>
      </x:c>
      <x:c r="Y815" s="6" t="str">
        <x:v>1.4815684371002897</x:v>
      </x:c>
      <x:c r="Z815" s="6" t="str">
        <x:v>1.7184593822399836</x:v>
      </x:c>
      <x:c r="AA815" s="6" t="str">
        <x:v>0.18420367502029605</x:v>
      </x:c>
      <x:c r="AB815" s="6" t="str">
        <x:v>0.7624974948329212</x:v>
      </x:c>
      <x:c r="AC815" s="6" t="str">
        <x:v>0.3437063558511761</x:v>
      </x:c>
      <x:c r="AD815" s="6" t="str">
        <x:v>1.1966568413990655</x:v>
      </x:c>
      <x:c r="AE815" s="6" t="str">
        <x:v>1.2805755288292324</x:v>
      </x:c>
      <x:c r="AF815" s="6" t="str">
        <x:v>0.9754646989408524</x:v>
      </x:c>
      <x:c r="AG815" s="6" t="str">
        <x:v>0</x:v>
      </x:c>
      <x:c r="AH815" s="6" t="str">
        <x:v>1</x:v>
      </x:c>
      <x:c r="AI815" s="6" t="str">
        <x:v>2025-10</x:v>
      </x:c>
      <x:c r="AJ815" s="9" t="str">
        <x:v>NASA POWER (MERRA-2 meteorology)</x:v>
      </x:c>
      <x:c r="AK815" s="9" t="str">
        <x:v>Badan Informasi Geospasial (BIG)</x:v>
      </x:c>
      <x:c r="AL815" s="9" t="str">
        <x:v>https://power.larc.nasa.gov/docs/services/api/temporal/monthly/</x:v>
      </x:c>
      <x:c r="AM815" s="9" t="str">
        <x:v>https://geoservices.big.go.id/rbi/rest/services/BATASWILAYAH/BATAS_WILAYAH/MapServer/12</x:v>
      </x:c>
    </x:row>
    <x:row r="816" ht="18" customHeight="1">
      <x:c r="A816" s="6" t="str">
        <x:v>92</x:v>
      </x:c>
      <x:c r="B816" s="6" t="str">
        <x:v>PAPUA BARAT DAYA</x:v>
      </x:c>
      <x:c r="C816" s="6" t="str">
        <x:v>2025</x:v>
      </x:c>
      <x:c r="D816" s="6" t="str">
        <x:v>11</x:v>
      </x:c>
      <x:c r="E816" s="6" t="str">
        <x:v>27.108774352232814</x:v>
      </x:c>
      <x:c r="F816" s="9" t="str">
        <x:v>grid_cells_within_BIG_polygon</x:v>
      </x:c>
      <x:c r="G816" s="6" t="str">
        <x:v>8</x:v>
      </x:c>
      <x:c r="H816" s="8" t="str">
        <x:v>86.1797253066812</x:v>
      </x:c>
      <x:c r="I816" s="6" t="str">
        <x:v>6.650080262980187</x:v>
      </x:c>
      <x:c r="J816" s="6" t="str">
        <x:v>30</x:v>
      </x:c>
      <x:c r="K816" s="6" t="str">
        <x:v>199.50240788940562</x:v>
      </x:c>
      <x:c r="L816" s="6" t="str">
        <x:v>26.929476213837344</x:v>
      </x:c>
      <x:c r="M816" s="6" t="str">
        <x:v>0.3374353297366802</x:v>
      </x:c>
      <x:c r="N816" s="6" t="str">
        <x:v>84.0778709185809</x:v>
      </x:c>
      <x:c r="O816" s="6" t="str">
        <x:v>2.4640134240680704</x:v>
      </x:c>
      <x:c r="P816" s="6" t="str">
        <x:v>166.7166779009608</x:v>
      </x:c>
      <x:c r="Q816" s="6" t="str">
        <x:v>63.30324892935525</x:v>
      </x:c>
      <x:c r="R816" s="6" t="str">
        <x:v>0.17929813839547037</x:v>
      </x:c>
      <x:c r="S816" s="8" t="str">
        <x:v>0.5313555594056698</x:v>
      </x:c>
      <x:c r="T816" s="6" t="str">
        <x:v>2.101854388100307</x:v>
      </x:c>
      <x:c r="U816" s="8" t="str">
        <x:v>0.8530206725214016</x:v>
      </x:c>
      <x:c r="V816" s="6" t="str">
        <x:v>32.785729988444814</x:v>
      </x:c>
      <x:c r="W816" s="8" t="str">
        <x:v>0.517915439459242</x:v>
      </x:c>
      <x:c r="X816" s="6" t="str">
        <x:v>1.5427948140707666</x:v>
      </x:c>
      <x:c r="Y816" s="6" t="str">
        <x:v>2.1310148955488932</x:v>
      </x:c>
      <x:c r="Z816" s="6" t="str">
        <x:v>1.401721756341777</x:v>
      </x:c>
      <x:c r="AA816" s="6" t="str">
        <x:v>0.08441789770031209</x:v>
      </x:c>
      <x:c r="AB816" s="6" t="str">
        <x:v>0.18420367502029605</x:v>
      </x:c>
      <x:c r="AC816" s="6" t="str">
        <x:v>0.3738807484140028</x:v>
      </x:c>
      <x:c r="AD816" s="6" t="str">
        <x:v>0.4491617265942603</x:v>
      </x:c>
      <x:c r="AE816" s="6" t="str">
        <x:v>1.1966568413990655</x:v>
      </x:c>
      <x:c r="AF816" s="6" t="str">
        <x:v>0.7212446691508557</x:v>
      </x:c>
      <x:c r="AG816" s="6" t="str">
        <x:v>0</x:v>
      </x:c>
      <x:c r="AH816" s="6" t="str">
        <x:v>0</x:v>
      </x:c>
      <x:c r="AI816" s="6" t="str">
        <x:v>2025-11</x:v>
      </x:c>
      <x:c r="AJ816" s="9" t="str">
        <x:v>NASA POWER (MERRA-2 meteorology)</x:v>
      </x:c>
      <x:c r="AK816" s="9" t="str">
        <x:v>Badan Informasi Geospasial (BIG)</x:v>
      </x:c>
      <x:c r="AL816" s="9" t="str">
        <x:v>https://power.larc.nasa.gov/docs/services/api/temporal/monthly/</x:v>
      </x:c>
      <x:c r="AM816" s="9" t="str">
        <x:v>https://geoservices.big.go.id/rbi/rest/services/BATASWILAYAH/BATAS_WILAYAH/MapServer/12</x:v>
      </x:c>
    </x:row>
    <x:row r="817" ht="18" customHeight="1">
      <x:c r="A817" s="6" t="str">
        <x:v>92</x:v>
      </x:c>
      <x:c r="B817" s="6" t="str">
        <x:v>PAPUA BARAT DAYA</x:v>
      </x:c>
      <x:c r="C817" s="6" t="str">
        <x:v>2025</x:v>
      </x:c>
      <x:c r="D817" s="6" t="str">
        <x:v>12</x:v>
      </x:c>
      <x:c r="E817" s="6" t="str">
        <x:v>27.023774780399837</x:v>
      </x:c>
      <x:c r="F817" s="9" t="str">
        <x:v>grid_cells_within_BIG_polygon</x:v>
      </x:c>
      <x:c r="G817" s="6" t="str">
        <x:v>8</x:v>
      </x:c>
      <x:c r="H817" s="8" t="str">
        <x:v>86.62971216705304</x:v>
      </x:c>
      <x:c r="I817" s="6" t="str">
        <x:v>7.673661615197712</x:v>
      </x:c>
      <x:c r="J817" s="6" t="str">
        <x:v>31</x:v>
      </x:c>
      <x:c r="K817" s="6" t="str">
        <x:v>237.88351007112908</x:v>
      </x:c>
      <x:c r="L817" s="6" t="str">
        <x:v>26.821189550942286</x:v>
      </x:c>
      <x:c r="M817" s="6" t="str">
        <x:v>0.39025188421603074</x:v>
      </x:c>
      <x:c r="N817" s="6" t="str">
        <x:v>85.35559938865701</x:v>
      </x:c>
      <x:c r="O817" s="6" t="str">
        <x:v>2.049395072878738</x:v>
      </x:c>
      <x:c r="P817" s="6" t="str">
        <x:v>192.62869880017914</x:v>
      </x:c>
      <x:c r="Q817" s="6" t="str">
        <x:v>66.09924079038835</x:v>
      </x:c>
      <x:c r="R817" s="6" t="str">
        <x:v>0.20258522945755075</x:v>
      </x:c>
      <x:c r="S817" s="8" t="str">
        <x:v>0.5191140328880671</x:v>
      </x:c>
      <x:c r="T817" s="6" t="str">
        <x:v>1.2741127783960309</x:v>
      </x:c>
      <x:c r="U817" s="8" t="str">
        <x:v>0.6217018842571501</x:v>
      </x:c>
      <x:c r="V817" s="6" t="str">
        <x:v>45.25481127094994</x:v>
      </x:c>
      <x:c r="W817" s="8" t="str">
        <x:v>0.6846494865873036</x:v>
      </x:c>
      <x:c r="X817" s="6" t="str">
        <x:v>0.5313555594056698</x:v>
      </x:c>
      <x:c r="Y817" s="6" t="str">
        <x:v>1.5427948140707666</x:v>
      </x:c>
      <x:c r="Z817" s="6" t="str">
        <x:v>0.8644214687881681</x:v>
      </x:c>
      <x:c r="AA817" s="6" t="str">
        <x:v>0.8530206725214016</x:v>
      </x:c>
      <x:c r="AB817" s="6" t="str">
        <x:v>0.08441789770031209</x:v>
      </x:c>
      <x:c r="AC817" s="6" t="str">
        <x:v>0.5197134848262875</x:v>
      </x:c>
      <x:c r="AD817" s="6" t="str">
        <x:v>0.517915439459242</x:v>
      </x:c>
      <x:c r="AE817" s="6" t="str">
        <x:v>0.4491617265942603</x:v>
      </x:c>
      <x:c r="AF817" s="6" t="str">
        <x:v>0.5505755508802684</x:v>
      </x:c>
      <x:c r="AG817" s="6" t="str">
        <x:v>0</x:v>
      </x:c>
      <x:c r="AH817" s="6" t="str">
        <x:v>0</x:v>
      </x:c>
      <x:c r="AI817" s="6" t="str">
        <x:v>2025-12</x:v>
      </x:c>
      <x:c r="AJ817" s="9" t="str">
        <x:v>NASA POWER (MERRA-2 meteorology)</x:v>
      </x:c>
      <x:c r="AK817" s="9" t="str">
        <x:v>Badan Informasi Geospasial (BIG)</x:v>
      </x:c>
      <x:c r="AL817" s="9" t="str">
        <x:v>https://power.larc.nasa.gov/docs/services/api/temporal/monthly/</x:v>
      </x:c>
      <x:c r="AM817" s="9" t="str">
        <x:v>https://geoservices.big.go.id/rbi/rest/services/BATASWILAYAH/BATAS_WILAYAH/MapServer/12</x:v>
      </x:c>
    </x:row>
    <x:row r="818" ht="18" customHeight="1">
      <x:c r="A818" s="6" t="str">
        <x:v>94</x:v>
      </x:c>
      <x:c r="B818" s="6" t="str">
        <x:v>PAPUA</x:v>
      </x:c>
      <x:c r="C818" s="6" t="str">
        <x:v>2024</x:v>
      </x:c>
      <x:c r="D818" s="6" t="str">
        <x:v>1</x:v>
      </x:c>
      <x:c r="E818" s="6" t="str">
        <x:v>26.177406506010865</x:v>
      </x:c>
      <x:c r="F818" s="9" t="str">
        <x:v>grid_cells_within_BIG_polygon</x:v>
      </x:c>
      <x:c r="G818" s="6" t="str">
        <x:v>19</x:v>
      </x:c>
      <x:c r="H818" s="8" t="str">
        <x:v>87.12805489579702</x:v>
      </x:c>
      <x:c r="I818" s="6" t="str">
        <x:v>4.480082650077976</x:v>
      </x:c>
      <x:c r="J818" s="6" t="str">
        <x:v>31</x:v>
      </x:c>
      <x:c r="K818" s="6" t="str">
        <x:v>138.88256215241725</x:v>
      </x:c>
      <x:c r="L818" s="6" t="str">
        <x:v>25.145651625881623</x:v>
      </x:c>
      <x:c r="M818" s="6" t="str">
        <x:v>0.2764477633520955</x:v>
      </x:c>
      <x:c r="N818" s="6" t="str">
        <x:v>89.2287577337785</x:v>
      </x:c>
      <x:c r="O818" s="6" t="str">
        <x:v>2.012310565510204</x:v>
      </x:c>
      <x:c r="P818" s="6" t="str">
        <x:v>219.15940110841805</x:v>
      </x:c>
      <x:c r="Q818" s="6" t="str">
        <x:v>67.20702933258379</x:v>
      </x:c>
      <x:c r="R818" s="6" t="str">
        <x:v>1.0317548801292418</x:v>
      </x:c>
      <x:c r="S818" s="8" t="str">
        <x:v>3.7321874759216462</x:v>
      </x:c>
      <x:c r="T818" s="6" t="str">
        <x:v>-2.1007028379814727</x:v>
      </x:c>
      <x:c r="U818" s="8" t="str">
        <x:v>-1.0439257607579364</x:v>
      </x:c>
      <x:c r="V818" s="6" t="str">
        <x:v>-80.2768389560008</x:v>
      </x:c>
      <x:c r="W818" s="8" t="str">
        <x:v>-1.1944708723657336</x:v>
      </x:c>
      <x:c r="X818" s="6" t="str">
        <x:v>2.9521358786003598</x:v>
      </x:c>
      <x:c r="Y818" s="6" t="str">
        <x:v>2.6054650319331243</x:v>
      </x:c>
      <x:c r="Z818" s="6" t="str">
        <x:v>3.0965961288183776</x:v>
      </x:c>
      <x:c r="AA818" s="6" t="str">
        <x:v>-1.0876165333876904</x:v>
      </x:c>
      <x:c r="AB818" s="6" t="str">
        <x:v>-0.5014849708615553</x:v>
      </x:c>
      <x:c r="AC818" s="6" t="str">
        <x:v>-0.8776757550023939</x:v>
      </x:c>
      <x:c r="AD818" s="6" t="str">
        <x:v>-0.9654335140632228</x:v>
      </x:c>
      <x:c r="AE818" s="6" t="str">
        <x:v>-1.5000723205327002</x:v>
      </x:c>
      <x:c r="AF818" s="6" t="str">
        <x:v>-1.219992235653885</x:v>
      </x:c>
      <x:c r="AG818" s="6" t="str">
        <x:v>0</x:v>
      </x:c>
      <x:c r="AH818" s="6" t="str">
        <x:v>1</x:v>
      </x:c>
      <x:c r="AI818" s="6" t="str">
        <x:v>2024-01</x:v>
      </x:c>
      <x:c r="AJ818" s="9" t="str">
        <x:v>NASA POWER (MERRA-2 meteorology)</x:v>
      </x:c>
      <x:c r="AK818" s="9" t="str">
        <x:v>Badan Informasi Geospasial (BIG)</x:v>
      </x:c>
      <x:c r="AL818" s="9" t="str">
        <x:v>https://power.larc.nasa.gov/docs/services/api/temporal/monthly/</x:v>
      </x:c>
      <x:c r="AM818" s="9" t="str">
        <x:v>https://geoservices.big.go.id/rbi/rest/services/BATASWILAYAH/BATAS_WILAYAH/MapServer/12</x:v>
      </x:c>
    </x:row>
    <x:row r="819" ht="18" customHeight="1">
      <x:c r="A819" s="6" t="str">
        <x:v>94</x:v>
      </x:c>
      <x:c r="B819" s="6" t="str">
        <x:v>PAPUA</x:v>
      </x:c>
      <x:c r="C819" s="6" t="str">
        <x:v>2024</x:v>
      </x:c>
      <x:c r="D819" s="6" t="str">
        <x:v>2</x:v>
      </x:c>
      <x:c r="E819" s="6" t="str">
        <x:v>26.123175201845665</x:v>
      </x:c>
      <x:c r="F819" s="9" t="str">
        <x:v>grid_cells_within_BIG_polygon</x:v>
      </x:c>
      <x:c r="G819" s="6" t="str">
        <x:v>19</x:v>
      </x:c>
      <x:c r="H819" s="8" t="str">
        <x:v>86.85087245495858</x:v>
      </x:c>
      <x:c r="I819" s="6" t="str">
        <x:v>4.529545351464645</x:v>
      </x:c>
      <x:c r="J819" s="6" t="str">
        <x:v>29</x:v>
      </x:c>
      <x:c r="K819" s="6" t="str">
        <x:v>131.3568151924747</x:v>
      </x:c>
      <x:c r="L819" s="6" t="str">
        <x:v>25.008304574367358</x:v>
      </x:c>
      <x:c r="M819" s="6" t="str">
        <x:v>0.30113953938218296</x:v>
      </x:c>
      <x:c r="N819" s="6" t="str">
        <x:v>89.5232393423898</x:v>
      </x:c>
      <x:c r="O819" s="6" t="str">
        <x:v>2.188405001729861</x:v>
      </x:c>
      <x:c r="P819" s="6" t="str">
        <x:v>202.98153290961596</x:v>
      </x:c>
      <x:c r="Q819" s="6" t="str">
        <x:v>56.43362354949951</x:v>
      </x:c>
      <x:c r="R819" s="6" t="str">
        <x:v>1.1148706274783073</x:v>
      </x:c>
      <x:c r="S819" s="8" t="str">
        <x:v>3.7021728523779136</x:v>
      </x:c>
      <x:c r="T819" s="6" t="str">
        <x:v>-2.672366887431224</x:v>
      </x:c>
      <x:c r="U819" s="8" t="str">
        <x:v>-1.2211482268221865</x:v>
      </x:c>
      <x:c r="V819" s="6" t="str">
        <x:v>-71.62471771714127</x:v>
      </x:c>
      <x:c r="W819" s="8" t="str">
        <x:v>-1.2691851632443418</x:v>
      </x:c>
      <x:c r="X819" s="6" t="str">
        <x:v>3.7321874759216462</x:v>
      </x:c>
      <x:c r="Y819" s="6" t="str">
        <x:v>2.9521358786003598</x:v>
      </x:c>
      <x:c r="Z819" s="6" t="str">
        <x:v>3.4621654022999735</x:v>
      </x:c>
      <x:c r="AA819" s="6" t="str">
        <x:v>-1.0439257607579364</x:v>
      </x:c>
      <x:c r="AB819" s="6" t="str">
        <x:v>-1.0876165333876904</x:v>
      </x:c>
      <x:c r="AC819" s="6" t="str">
        <x:v>-1.117563506989271</x:v>
      </x:c>
      <x:c r="AD819" s="6" t="str">
        <x:v>-1.1944708723657336</x:v>
      </x:c>
      <x:c r="AE819" s="6" t="str">
        <x:v>-0.9654335140632228</x:v>
      </x:c>
      <x:c r="AF819" s="6" t="str">
        <x:v>-1.1430298498910991</x:v>
      </x:c>
      <x:c r="AG819" s="6" t="str">
        <x:v>0</x:v>
      </x:c>
      <x:c r="AH819" s="6" t="str">
        <x:v>1</x:v>
      </x:c>
      <x:c r="AI819" s="6" t="str">
        <x:v>2024-02</x:v>
      </x:c>
      <x:c r="AJ819" s="9" t="str">
        <x:v>NASA POWER (MERRA-2 meteorology)</x:v>
      </x:c>
      <x:c r="AK819" s="9" t="str">
        <x:v>Badan Informasi Geospasial (BIG)</x:v>
      </x:c>
      <x:c r="AL819" s="9" t="str">
        <x:v>https://power.larc.nasa.gov/docs/services/api/temporal/monthly/</x:v>
      </x:c>
      <x:c r="AM819" s="9" t="str">
        <x:v>https://geoservices.big.go.id/rbi/rest/services/BATASWILAYAH/BATAS_WILAYAH/MapServer/12</x:v>
      </x:c>
    </x:row>
    <x:row r="820" ht="18" customHeight="1">
      <x:c r="A820" s="6" t="str">
        <x:v>94</x:v>
      </x:c>
      <x:c r="B820" s="6" t="str">
        <x:v>PAPUA</x:v>
      </x:c>
      <x:c r="C820" s="6" t="str">
        <x:v>2024</x:v>
      </x:c>
      <x:c r="D820" s="6" t="str">
        <x:v>3</x:v>
      </x:c>
      <x:c r="E820" s="6" t="str">
        <x:v>26.025916568153086</x:v>
      </x:c>
      <x:c r="F820" s="9" t="str">
        <x:v>grid_cells_within_BIG_polygon</x:v>
      </x:c>
      <x:c r="G820" s="6" t="str">
        <x:v>19</x:v>
      </x:c>
      <x:c r="H820" s="8" t="str">
        <x:v>89.50787308373194</x:v>
      </x:c>
      <x:c r="I820" s="6" t="str">
        <x:v>8.561826360598838</x:v>
      </x:c>
      <x:c r="J820" s="6" t="str">
        <x:v>31</x:v>
      </x:c>
      <x:c r="K820" s="6" t="str">
        <x:v>265.41661717856397</x:v>
      </x:c>
      <x:c r="L820" s="6" t="str">
        <x:v>25.051838575206812</x:v>
      </x:c>
      <x:c r="M820" s="6" t="str">
        <x:v>0.23580506115935188</x:v>
      </x:c>
      <x:c r="N820" s="6" t="str">
        <x:v>89.75773612313152</x:v>
      </x:c>
      <x:c r="O820" s="6" t="str">
        <x:v>1.6477213182878354</x:v>
      </x:c>
      <x:c r="P820" s="6" t="str">
        <x:v>231.21157244873731</x:v>
      </x:c>
      <x:c r="Q820" s="6" t="str">
        <x:v>71.7913042839592</x:v>
      </x:c>
      <x:c r="R820" s="6" t="str">
        <x:v>0.974077992946274</x:v>
      </x:c>
      <x:c r="S820" s="8" t="str">
        <x:v>4.130861263779294</x:v>
      </x:c>
      <x:c r="T820" s="6" t="str">
        <x:v>-0.24986303939958532</x:v>
      </x:c>
      <x:c r="U820" s="8" t="str">
        <x:v>-0.15164156500640572</x:v>
      </x:c>
      <x:c r="V820" s="6" t="str">
        <x:v>34.20504472982665</x:v>
      </x:c>
      <x:c r="W820" s="8" t="str">
        <x:v>0.4764510837487223</x:v>
      </x:c>
      <x:c r="X820" s="6" t="str">
        <x:v>3.7021728523779136</x:v>
      </x:c>
      <x:c r="Y820" s="6" t="str">
        <x:v>3.7321874759216462</x:v>
      </x:c>
      <x:c r="Z820" s="6" t="str">
        <x:v>3.8550738640262856</x:v>
      </x:c>
      <x:c r="AA820" s="6" t="str">
        <x:v>-1.2211482268221865</x:v>
      </x:c>
      <x:c r="AB820" s="6" t="str">
        <x:v>-1.0439257607579364</x:v>
      </x:c>
      <x:c r="AC820" s="6" t="str">
        <x:v>-0.8055718508621762</x:v>
      </x:c>
      <x:c r="AD820" s="6" t="str">
        <x:v>-1.2691851632443418</x:v>
      </x:c>
      <x:c r="AE820" s="6" t="str">
        <x:v>-1.1944708723657336</x:v>
      </x:c>
      <x:c r="AF820" s="6" t="str">
        <x:v>-0.6624016506204506</x:v>
      </x:c>
      <x:c r="AG820" s="6" t="str">
        <x:v>0</x:v>
      </x:c>
      <x:c r="AH820" s="6" t="str">
        <x:v>1</x:v>
      </x:c>
      <x:c r="AI820" s="6" t="str">
        <x:v>2024-03</x:v>
      </x:c>
      <x:c r="AJ820" s="9" t="str">
        <x:v>NASA POWER (MERRA-2 meteorology)</x:v>
      </x:c>
      <x:c r="AK820" s="9" t="str">
        <x:v>Badan Informasi Geospasial (BIG)</x:v>
      </x:c>
      <x:c r="AL820" s="9" t="str">
        <x:v>https://power.larc.nasa.gov/docs/services/api/temporal/monthly/</x:v>
      </x:c>
      <x:c r="AM820" s="9" t="str">
        <x:v>https://geoservices.big.go.id/rbi/rest/services/BATASWILAYAH/BATAS_WILAYAH/MapServer/12</x:v>
      </x:c>
    </x:row>
    <x:row r="821" ht="18" customHeight="1">
      <x:c r="A821" s="6" t="str">
        <x:v>94</x:v>
      </x:c>
      <x:c r="B821" s="6" t="str">
        <x:v>PAPUA</x:v>
      </x:c>
      <x:c r="C821" s="6" t="str">
        <x:v>2024</x:v>
      </x:c>
      <x:c r="D821" s="6" t="str">
        <x:v>4</x:v>
      </x:c>
      <x:c r="E821" s="6" t="str">
        <x:v>26.030175750968123</x:v>
      </x:c>
      <x:c r="F821" s="9" t="str">
        <x:v>grid_cells_within_BIG_polygon</x:v>
      </x:c>
      <x:c r="G821" s="6" t="str">
        <x:v>19</x:v>
      </x:c>
      <x:c r="H821" s="8" t="str">
        <x:v>90.30345823124162</x:v>
      </x:c>
      <x:c r="I821" s="6" t="str">
        <x:v>7.2711314408264265</x:v>
      </x:c>
      <x:c r="J821" s="6" t="str">
        <x:v>30</x:v>
      </x:c>
      <x:c r="K821" s="6" t="str">
        <x:v>218.1339432247928</x:v>
      </x:c>
      <x:c r="L821" s="6" t="str">
        <x:v>25.17522797062363</x:v>
      </x:c>
      <x:c r="M821" s="6" t="str">
        <x:v>0.21540894463222482</x:v>
      </x:c>
      <x:c r="N821" s="6" t="str">
        <x:v>90.55652469546233</x:v>
      </x:c>
      <x:c r="O821" s="6" t="str">
        <x:v>1.0435477882697668</x:v>
      </x:c>
      <x:c r="P821" s="6" t="str">
        <x:v>221.48036224651665</x:v>
      </x:c>
      <x:c r="Q821" s="6" t="str">
        <x:v>69.98617125725318</x:v>
      </x:c>
      <x:c r="R821" s="6" t="str">
        <x:v>0.8549477803444923</x:v>
      </x:c>
      <x:c r="S821" s="8" t="str">
        <x:v>3.968952086944088</x:v>
      </x:c>
      <x:c r="T821" s="6" t="str">
        <x:v>-0.25306646422070855</x:v>
      </x:c>
      <x:c r="U821" s="8" t="str">
        <x:v>-0.24250586994228626</x:v>
      </x:c>
      <x:c r="V821" s="6" t="str">
        <x:v>-3.3464190217238468</x:v>
      </x:c>
      <x:c r="W821" s="8" t="str">
        <x:v>-0.047815432129058394</x:v>
      </x:c>
      <x:c r="X821" s="6" t="str">
        <x:v>4.130861263779294</x:v>
      </x:c>
      <x:c r="Y821" s="6" t="str">
        <x:v>3.7021728523779136</x:v>
      </x:c>
      <x:c r="Z821" s="6" t="str">
        <x:v>3.9339954010337657</x:v>
      </x:c>
      <x:c r="AA821" s="6" t="str">
        <x:v>-0.15164156500640572</x:v>
      </x:c>
      <x:c r="AB821" s="6" t="str">
        <x:v>-1.2211482268221865</x:v>
      </x:c>
      <x:c r="AC821" s="6" t="str">
        <x:v>-0.5384318872569595</x:v>
      </x:c>
      <x:c r="AD821" s="6" t="str">
        <x:v>0.4764510837487223</x:v>
      </x:c>
      <x:c r="AE821" s="6" t="str">
        <x:v>-1.2691851632443418</x:v>
      </x:c>
      <x:c r="AF821" s="6" t="str">
        <x:v>-0.280183170541559</x:v>
      </x:c>
      <x:c r="AG821" s="6" t="str">
        <x:v>0</x:v>
      </x:c>
      <x:c r="AH821" s="6" t="str">
        <x:v>1</x:v>
      </x:c>
      <x:c r="AI821" s="6" t="str">
        <x:v>2024-04</x:v>
      </x:c>
      <x:c r="AJ821" s="9" t="str">
        <x:v>NASA POWER (MERRA-2 meteorology)</x:v>
      </x:c>
      <x:c r="AK821" s="9" t="str">
        <x:v>Badan Informasi Geospasial (BIG)</x:v>
      </x:c>
      <x:c r="AL821" s="9" t="str">
        <x:v>https://power.larc.nasa.gov/docs/services/api/temporal/monthly/</x:v>
      </x:c>
      <x:c r="AM821" s="9" t="str">
        <x:v>https://geoservices.big.go.id/rbi/rest/services/BATASWILAYAH/BATAS_WILAYAH/MapServer/12</x:v>
      </x:c>
    </x:row>
    <x:row r="822" ht="18" customHeight="1">
      <x:c r="A822" s="6" t="str">
        <x:v>94</x:v>
      </x:c>
      <x:c r="B822" s="6" t="str">
        <x:v>PAPUA</x:v>
      </x:c>
      <x:c r="C822" s="6" t="str">
        <x:v>2024</x:v>
      </x:c>
      <x:c r="D822" s="6" t="str">
        <x:v>5</x:v>
      </x:c>
      <x:c r="E822" s="6" t="str">
        <x:v>25.907579307612124</x:v>
      </x:c>
      <x:c r="F822" s="9" t="str">
        <x:v>grid_cells_within_BIG_polygon</x:v>
      </x:c>
      <x:c r="G822" s="6" t="str">
        <x:v>19</x:v>
      </x:c>
      <x:c r="H822" s="8" t="str">
        <x:v>91.42135176409933</x:v>
      </x:c>
      <x:c r="I822" s="6" t="str">
        <x:v>8.30409579872443</x:v>
      </x:c>
      <x:c r="J822" s="6" t="str">
        <x:v>31</x:v>
      </x:c>
      <x:c r="K822" s="6" t="str">
        <x:v>257.4269697604574</x:v>
      </x:c>
      <x:c r="L822" s="6" t="str">
        <x:v>25.321903050815692</x:v>
      </x:c>
      <x:c r="M822" s="6" t="str">
        <x:v>0.3267230158356709</x:v>
      </x:c>
      <x:c r="N822" s="6" t="str">
        <x:v>89.77930746443832</x:v>
      </x:c>
      <x:c r="O822" s="6" t="str">
        <x:v>1.7679596978293797</x:v>
      </x:c>
      <x:c r="P822" s="6" t="str">
        <x:v>165.03412312681286</x:v>
      </x:c>
      <x:c r="Q822" s="6" t="str">
        <x:v>55.42398379170308</x:v>
      </x:c>
      <x:c r="R822" s="6" t="str">
        <x:v>0.5856762567964324</x:v>
      </x:c>
      <x:c r="S822" s="8" t="str">
        <x:v>1.7925772853755886</x:v>
      </x:c>
      <x:c r="T822" s="6" t="str">
        <x:v>1.6420442996610092</x:v>
      </x:c>
      <x:c r="U822" s="8" t="str">
        <x:v>0.928779259887562</x:v>
      </x:c>
      <x:c r="V822" s="6" t="str">
        <x:v>92.39284663364452</x:v>
      </x:c>
      <x:c r="W822" s="8" t="str">
        <x:v>1.6670192272875854</x:v>
      </x:c>
      <x:c r="X822" s="6" t="str">
        <x:v>3.968952086944088</x:v>
      </x:c>
      <x:c r="Y822" s="6" t="str">
        <x:v>4.130861263779294</x:v>
      </x:c>
      <x:c r="Z822" s="6" t="str">
        <x:v>3.2974635453663246</x:v>
      </x:c>
      <x:c r="AA822" s="6" t="str">
        <x:v>-0.24250586994228626</x:v>
      </x:c>
      <x:c r="AB822" s="6" t="str">
        <x:v>-0.15164156500640572</x:v>
      </x:c>
      <x:c r="AC822" s="6" t="str">
        <x:v>0.17821060831295676</x:v>
      </x:c>
      <x:c r="AD822" s="6" t="str">
        <x:v>-0.047815432129058394</x:v>
      </x:c>
      <x:c r="AE822" s="6" t="str">
        <x:v>0.4764510837487223</x:v>
      </x:c>
      <x:c r="AF822" s="6" t="str">
        <x:v>0.6985516263024167</x:v>
      </x:c>
      <x:c r="AG822" s="6" t="str">
        <x:v>1</x:v>
      </x:c>
      <x:c r="AH822" s="6" t="str">
        <x:v>1</x:v>
      </x:c>
      <x:c r="AI822" s="6" t="str">
        <x:v>2024-05</x:v>
      </x:c>
      <x:c r="AJ822" s="9" t="str">
        <x:v>NASA POWER (MERRA-2 meteorology)</x:v>
      </x:c>
      <x:c r="AK822" s="9" t="str">
        <x:v>Badan Informasi Geospasial (BIG)</x:v>
      </x:c>
      <x:c r="AL822" s="9" t="str">
        <x:v>https://power.larc.nasa.gov/docs/services/api/temporal/monthly/</x:v>
      </x:c>
      <x:c r="AM822" s="9" t="str">
        <x:v>https://geoservices.big.go.id/rbi/rest/services/BATASWILAYAH/BATAS_WILAYAH/MapServer/12</x:v>
      </x:c>
    </x:row>
    <x:row r="823" ht="18" customHeight="1">
      <x:c r="A823" s="6" t="str">
        <x:v>94</x:v>
      </x:c>
      <x:c r="B823" s="6" t="str">
        <x:v>PAPUA</x:v>
      </x:c>
      <x:c r="C823" s="6" t="str">
        <x:v>2024</x:v>
      </x:c>
      <x:c r="D823" s="6" t="str">
        <x:v>6</x:v>
      </x:c>
      <x:c r="E823" s="6" t="str">
        <x:v>25.574939963854035</x:v>
      </x:c>
      <x:c r="F823" s="9" t="str">
        <x:v>grid_cells_within_BIG_polygon</x:v>
      </x:c>
      <x:c r="G823" s="6" t="str">
        <x:v>19</x:v>
      </x:c>
      <x:c r="H823" s="8" t="str">
        <x:v>90.70457320678801</x:v>
      </x:c>
      <x:c r="I823" s="6" t="str">
        <x:v>8.048521116118291</x:v>
      </x:c>
      <x:c r="J823" s="6" t="str">
        <x:v>30</x:v>
      </x:c>
      <x:c r="K823" s="6" t="str">
        <x:v>241.45563348354872</x:v>
      </x:c>
      <x:c r="L823" s="6" t="str">
        <x:v>25.00456042416828</x:v>
      </x:c>
      <x:c r="M823" s="6" t="str">
        <x:v>0.32838098663589665</x:v>
      </x:c>
      <x:c r="N823" s="6" t="str">
        <x:v>89.71960815223845</x:v>
      </x:c>
      <x:c r="O823" s="6" t="str">
        <x:v>2.0206881560980645</x:v>
      </x:c>
      <x:c r="P823" s="6" t="str">
        <x:v>183.00931042861322</x:v>
      </x:c>
      <x:c r="Q823" s="6" t="str">
        <x:v>67.6878720473864</x:v>
      </x:c>
      <x:c r="R823" s="6" t="str">
        <x:v>0.5703795396857565</x:v>
      </x:c>
      <x:c r="S823" s="8" t="str">
        <x:v>1.7369444727266863</x:v>
      </x:c>
      <x:c r="T823" s="6" t="str">
        <x:v>0.9849650545495621</x:v>
      </x:c>
      <x:c r="U823" s="8" t="str">
        <x:v>0.4874404056742348</x:v>
      </x:c>
      <x:c r="V823" s="6" t="str">
        <x:v>58.446323054935505</x:v>
      </x:c>
      <x:c r="W823" s="8" t="str">
        <x:v>0.8634681706941363</x:v>
      </x:c>
      <x:c r="X823" s="6" t="str">
        <x:v>1.7925772853755886</x:v>
      </x:c>
      <x:c r="Y823" s="6" t="str">
        <x:v>3.968952086944088</x:v>
      </x:c>
      <x:c r="Z823" s="6" t="str">
        <x:v>2.4994912816821215</x:v>
      </x:c>
      <x:c r="AA823" s="6" t="str">
        <x:v>0.928779259887562</x:v>
      </x:c>
      <x:c r="AB823" s="6" t="str">
        <x:v>-0.24250586994228626</x:v>
      </x:c>
      <x:c r="AC823" s="6" t="str">
        <x:v>0.39123793187317024</x:v>
      </x:c>
      <x:c r="AD823" s="6" t="str">
        <x:v>1.6670192272875854</x:v>
      </x:c>
      <x:c r="AE823" s="6" t="str">
        <x:v>-0.047815432129058394</x:v>
      </x:c>
      <x:c r="AF823" s="6" t="str">
        <x:v>0.8275573219508882</x:v>
      </x:c>
      <x:c r="AG823" s="6" t="str">
        <x:v>0</x:v>
      </x:c>
      <x:c r="AH823" s="6" t="str">
        <x:v>1</x:v>
      </x:c>
      <x:c r="AI823" s="6" t="str">
        <x:v>2024-06</x:v>
      </x:c>
      <x:c r="AJ823" s="9" t="str">
        <x:v>NASA POWER (MERRA-2 meteorology)</x:v>
      </x:c>
      <x:c r="AK823" s="9" t="str">
        <x:v>Badan Informasi Geospasial (BIG)</x:v>
      </x:c>
      <x:c r="AL823" s="9" t="str">
        <x:v>https://power.larc.nasa.gov/docs/services/api/temporal/monthly/</x:v>
      </x:c>
      <x:c r="AM823" s="9" t="str">
        <x:v>https://geoservices.big.go.id/rbi/rest/services/BATASWILAYAH/BATAS_WILAYAH/MapServer/12</x:v>
      </x:c>
    </x:row>
    <x:row r="824" ht="18" customHeight="1">
      <x:c r="A824" s="6" t="str">
        <x:v>94</x:v>
      </x:c>
      <x:c r="B824" s="6" t="str">
        <x:v>PAPUA</x:v>
      </x:c>
      <x:c r="C824" s="6" t="str">
        <x:v>2024</x:v>
      </x:c>
      <x:c r="D824" s="6" t="str">
        <x:v>7</x:v>
      </x:c>
      <x:c r="E824" s="6" t="str">
        <x:v>25.168622277599596</x:v>
      </x:c>
      <x:c r="F824" s="9" t="str">
        <x:v>grid_cells_within_BIG_polygon</x:v>
      </x:c>
      <x:c r="G824" s="6" t="str">
        <x:v>19</x:v>
      </x:c>
      <x:c r="H824" s="8" t="str">
        <x:v>90.19617942701598</x:v>
      </x:c>
      <x:c r="I824" s="6" t="str">
        <x:v>3.7187579003208184</x:v>
      </x:c>
      <x:c r="J824" s="6" t="str">
        <x:v>31</x:v>
      </x:c>
      <x:c r="K824" s="6" t="str">
        <x:v>115.28149490994537</x:v>
      </x:c>
      <x:c r="L824" s="6" t="str">
        <x:v>24.681405481319626</x:v>
      </x:c>
      <x:c r="M824" s="6" t="str">
        <x:v>0.34095433383138574</x:v>
      </x:c>
      <x:c r="N824" s="6" t="str">
        <x:v>89.37161836787351</x:v>
      </x:c>
      <x:c r="O824" s="6" t="str">
        <x:v>2.0842194742233247</x:v>
      </x:c>
      <x:c r="P824" s="6" t="str">
        <x:v>172.06131657927415</x:v>
      </x:c>
      <x:c r="Q824" s="6" t="str">
        <x:v>52.90905953404209</x:v>
      </x:c>
      <x:c r="R824" s="6" t="str">
        <x:v>0.48721679627997005</x:v>
      </x:c>
      <x:c r="S824" s="8" t="str">
        <x:v>1.4289796255263802</x:v>
      </x:c>
      <x:c r="T824" s="6" t="str">
        <x:v>0.8245610591424679</x:v>
      </x:c>
      <x:c r="U824" s="8" t="str">
        <x:v>0.39562103192118814</x:v>
      </x:c>
      <x:c r="V824" s="6" t="str">
        <x:v>-56.77982166932878</x:v>
      </x:c>
      <x:c r="W824" s="8" t="str">
        <x:v>-1.073158777898825</x:v>
      </x:c>
      <x:c r="X824" s="6" t="str">
        <x:v>1.7369444727266863</x:v>
      </x:c>
      <x:c r="Y824" s="6" t="str">
        <x:v>1.7925772853755886</x:v>
      </x:c>
      <x:c r="Z824" s="6" t="str">
        <x:v>1.6528337945428857</x:v>
      </x:c>
      <x:c r="AA824" s="6" t="str">
        <x:v>0.4874404056742348</x:v>
      </x:c>
      <x:c r="AB824" s="6" t="str">
        <x:v>0.928779259887562</x:v>
      </x:c>
      <x:c r="AC824" s="6" t="str">
        <x:v>0.6039468991609951</x:v>
      </x:c>
      <x:c r="AD824" s="6" t="str">
        <x:v>0.8634681706941363</x:v>
      </x:c>
      <x:c r="AE824" s="6" t="str">
        <x:v>1.6670192272875854</x:v>
      </x:c>
      <x:c r="AF824" s="6" t="str">
        <x:v>0.48577620669429916</x:v>
      </x:c>
      <x:c r="AG824" s="6" t="str">
        <x:v>0</x:v>
      </x:c>
      <x:c r="AH824" s="6" t="str">
        <x:v>1</x:v>
      </x:c>
      <x:c r="AI824" s="6" t="str">
        <x:v>2024-07</x:v>
      </x:c>
      <x:c r="AJ824" s="9" t="str">
        <x:v>NASA POWER (MERRA-2 meteorology)</x:v>
      </x:c>
      <x:c r="AK824" s="9" t="str">
        <x:v>Badan Informasi Geospasial (BIG)</x:v>
      </x:c>
      <x:c r="AL824" s="9" t="str">
        <x:v>https://power.larc.nasa.gov/docs/services/api/temporal/monthly/</x:v>
      </x:c>
      <x:c r="AM824" s="9" t="str">
        <x:v>https://geoservices.big.go.id/rbi/rest/services/BATASWILAYAH/BATAS_WILAYAH/MapServer/12</x:v>
      </x:c>
    </x:row>
    <x:row r="825" ht="18" customHeight="1">
      <x:c r="A825" s="6" t="str">
        <x:v>94</x:v>
      </x:c>
      <x:c r="B825" s="6" t="str">
        <x:v>PAPUA</x:v>
      </x:c>
      <x:c r="C825" s="6" t="str">
        <x:v>2024</x:v>
      </x:c>
      <x:c r="D825" s="6" t="str">
        <x:v>8</x:v>
      </x:c>
      <x:c r="E825" s="6" t="str">
        <x:v>25.6475395148085</x:v>
      </x:c>
      <x:c r="F825" s="9" t="str">
        <x:v>grid_cells_within_BIG_polygon</x:v>
      </x:c>
      <x:c r="G825" s="6" t="str">
        <x:v>19</x:v>
      </x:c>
      <x:c r="H825" s="8" t="str">
        <x:v>88.42567576136679</x:v>
      </x:c>
      <x:c r="I825" s="6" t="str">
        <x:v>4.380272909962955</x:v>
      </x:c>
      <x:c r="J825" s="6" t="str">
        <x:v>31</x:v>
      </x:c>
      <x:c r="K825" s="6" t="str">
        <x:v>135.7884602088516</x:v>
      </x:c>
      <x:c r="L825" s="6" t="str">
        <x:v>24.814411697443994</x:v>
      </x:c>
      <x:c r="M825" s="6" t="str">
        <x:v>0.44284982633678643</x:v>
      </x:c>
      <x:c r="N825" s="6" t="str">
        <x:v>88.27565889782858</x:v>
      </x:c>
      <x:c r="O825" s="6" t="str">
        <x:v>2.977301241097981</x:v>
      </x:c>
      <x:c r="P825" s="6" t="str">
        <x:v>166.59831564721375</x:v>
      </x:c>
      <x:c r="Q825" s="6" t="str">
        <x:v>54.74218434249299</x:v>
      </x:c>
      <x:c r="R825" s="6" t="str">
        <x:v>0.833127817364506</x:v>
      </x:c>
      <x:c r="S825" s="8" t="str">
        <x:v>1.881287442869886</x:v>
      </x:c>
      <x:c r="T825" s="6" t="str">
        <x:v>0.15001686353821242</x:v>
      </x:c>
      <x:c r="U825" s="8" t="str">
        <x:v>0.05038686091531961</x:v>
      </x:c>
      <x:c r="V825" s="6" t="str">
        <x:v>-30.80985543836215</x:v>
      </x:c>
      <x:c r="W825" s="8" t="str">
        <x:v>-0.5628174287967963</x:v>
      </x:c>
      <x:c r="X825" s="6" t="str">
        <x:v>1.4289796255263802</x:v>
      </x:c>
      <x:c r="Y825" s="6" t="str">
        <x:v>1.7369444727266863</x:v>
      </x:c>
      <x:c r="Z825" s="6" t="str">
        <x:v>1.6824038470409848</x:v>
      </x:c>
      <x:c r="AA825" s="6" t="str">
        <x:v>0.39562103192118814</x:v>
      </x:c>
      <x:c r="AB825" s="6" t="str">
        <x:v>0.4874404056742348</x:v>
      </x:c>
      <x:c r="AC825" s="6" t="str">
        <x:v>0.31114943283691426</x:v>
      </x:c>
      <x:c r="AD825" s="6" t="str">
        <x:v>-1.073158777898825</x:v>
      </x:c>
      <x:c r="AE825" s="6" t="str">
        <x:v>0.8634681706941363</x:v>
      </x:c>
      <x:c r="AF825" s="6" t="str">
        <x:v>-0.25750267866716137</x:v>
      </x:c>
      <x:c r="AG825" s="6" t="str">
        <x:v>0</x:v>
      </x:c>
      <x:c r="AH825" s="6" t="str">
        <x:v>1</x:v>
      </x:c>
      <x:c r="AI825" s="6" t="str">
        <x:v>2024-08</x:v>
      </x:c>
      <x:c r="AJ825" s="9" t="str">
        <x:v>NASA POWER (MERRA-2 meteorology)</x:v>
      </x:c>
      <x:c r="AK825" s="9" t="str">
        <x:v>Badan Informasi Geospasial (BIG)</x:v>
      </x:c>
      <x:c r="AL825" s="9" t="str">
        <x:v>https://power.larc.nasa.gov/docs/services/api/temporal/monthly/</x:v>
      </x:c>
      <x:c r="AM825" s="9" t="str">
        <x:v>https://geoservices.big.go.id/rbi/rest/services/BATASWILAYAH/BATAS_WILAYAH/MapServer/12</x:v>
      </x:c>
    </x:row>
    <x:row r="826" ht="18" customHeight="1">
      <x:c r="A826" s="6" t="str">
        <x:v>94</x:v>
      </x:c>
      <x:c r="B826" s="6" t="str">
        <x:v>PAPUA</x:v>
      </x:c>
      <x:c r="C826" s="6" t="str">
        <x:v>2024</x:v>
      </x:c>
      <x:c r="D826" s="6" t="str">
        <x:v>9</x:v>
      </x:c>
      <x:c r="E826" s="6" t="str">
        <x:v>26.060072338861975</x:v>
      </x:c>
      <x:c r="F826" s="9" t="str">
        <x:v>grid_cells_within_BIG_polygon</x:v>
      </x:c>
      <x:c r="G826" s="6" t="str">
        <x:v>19</x:v>
      </x:c>
      <x:c r="H826" s="8" t="str">
        <x:v>84.99674902631949</x:v>
      </x:c>
      <x:c r="I826" s="6" t="str">
        <x:v>4.3628771432251305</x:v>
      </x:c>
      <x:c r="J826" s="6" t="str">
        <x:v>30</x:v>
      </x:c>
      <x:c r="K826" s="6" t="str">
        <x:v>130.8863142967539</x:v>
      </x:c>
      <x:c r="L826" s="6" t="str">
        <x:v>25.116540387031602</x:v>
      </x:c>
      <x:c r="M826" s="6" t="str">
        <x:v>0.4846372598318874</x:v>
      </x:c>
      <x:c r="N826" s="6" t="str">
        <x:v>87.1123081309513</x:v>
      </x:c>
      <x:c r="O826" s="6" t="str">
        <x:v>3.4900605906391546</x:v>
      </x:c>
      <x:c r="P826" s="6" t="str">
        <x:v>162.0344748373939</x:v>
      </x:c>
      <x:c r="Q826" s="6" t="str">
        <x:v>62.003993967739675</x:v>
      </x:c>
      <x:c r="R826" s="6" t="str">
        <x:v>0.9435319518303729</x:v>
      </x:c>
      <x:c r="S826" s="8" t="str">
        <x:v>1.9468828132563898</x:v>
      </x:c>
      <x:c r="T826" s="6" t="str">
        <x:v>-2.1155591046318136</x:v>
      </x:c>
      <x:c r="U826" s="8" t="str">
        <x:v>-0.6061668700841607</x:v>
      </x:c>
      <x:c r="V826" s="6" t="str">
        <x:v>-31.148160540639992</x:v>
      </x:c>
      <x:c r="W826" s="8" t="str">
        <x:v>-0.5023573248659788</x:v>
      </x:c>
      <x:c r="X826" s="6" t="str">
        <x:v>1.881287442869886</x:v>
      </x:c>
      <x:c r="Y826" s="6" t="str">
        <x:v>1.4289796255263802</x:v>
      </x:c>
      <x:c r="Z826" s="6" t="str">
        <x:v>1.7523832938842192</x:v>
      </x:c>
      <x:c r="AA826" s="6" t="str">
        <x:v>0.05038686091531961</x:v>
      </x:c>
      <x:c r="AB826" s="6" t="str">
        <x:v>0.39562103192118814</x:v>
      </x:c>
      <x:c r="AC826" s="6" t="str">
        <x:v>-0.05338632574921759</x:v>
      </x:c>
      <x:c r="AD826" s="6" t="str">
        <x:v>-0.5628174287967963</x:v>
      </x:c>
      <x:c r="AE826" s="6" t="str">
        <x:v>-1.073158777898825</x:v>
      </x:c>
      <x:c r="AF826" s="6" t="str">
        <x:v>-0.7127778438538664</x:v>
      </x:c>
      <x:c r="AG826" s="6" t="str">
        <x:v>0</x:v>
      </x:c>
      <x:c r="AH826" s="6" t="str">
        <x:v>1</x:v>
      </x:c>
      <x:c r="AI826" s="6" t="str">
        <x:v>2024-09</x:v>
      </x:c>
      <x:c r="AJ826" s="9" t="str">
        <x:v>NASA POWER (MERRA-2 meteorology)</x:v>
      </x:c>
      <x:c r="AK826" s="9" t="str">
        <x:v>Badan Informasi Geospasial (BIG)</x:v>
      </x:c>
      <x:c r="AL826" s="9" t="str">
        <x:v>https://power.larc.nasa.gov/docs/services/api/temporal/monthly/</x:v>
      </x:c>
      <x:c r="AM826" s="9" t="str">
        <x:v>https://geoservices.big.go.id/rbi/rest/services/BATASWILAYAH/BATAS_WILAYAH/MapServer/12</x:v>
      </x:c>
    </x:row>
    <x:row r="827" ht="18" customHeight="1">
      <x:c r="A827" s="6" t="str">
        <x:v>94</x:v>
      </x:c>
      <x:c r="B827" s="6" t="str">
        <x:v>PAPUA</x:v>
      </x:c>
      <x:c r="C827" s="6" t="str">
        <x:v>2024</x:v>
      </x:c>
      <x:c r="D827" s="6" t="str">
        <x:v>10</x:v>
      </x:c>
      <x:c r="E827" s="6" t="str">
        <x:v>25.91008782637677</x:v>
      </x:c>
      <x:c r="F827" s="9" t="str">
        <x:v>grid_cells_within_BIG_polygon</x:v>
      </x:c>
      <x:c r="G827" s="6" t="str">
        <x:v>19</x:v>
      </x:c>
      <x:c r="H827" s="8" t="str">
        <x:v>86.63431080064345</x:v>
      </x:c>
      <x:c r="I827" s="6" t="str">
        <x:v>8.713006456236323</x:v>
      </x:c>
      <x:c r="J827" s="6" t="str">
        <x:v>31</x:v>
      </x:c>
      <x:c r="K827" s="6" t="str">
        <x:v>270.10320014332603</x:v>
      </x:c>
      <x:c r="L827" s="6" t="str">
        <x:v>25.40412057881402</x:v>
      </x:c>
      <x:c r="M827" s="6" t="str">
        <x:v>0.4418215376249089</x:v>
      </x:c>
      <x:c r="N827" s="6" t="str">
        <x:v>86.68847380059712</x:v>
      </x:c>
      <x:c r="O827" s="6" t="str">
        <x:v>3.6305484302322646</x:v>
      </x:c>
      <x:c r="P827" s="6" t="str">
        <x:v>162.65905352842137</x:v>
      </x:c>
      <x:c r="Q827" s="6" t="str">
        <x:v>61.02331313648872</x:v>
      </x:c>
      <x:c r="R827" s="6" t="str">
        <x:v>0.5059672475627508</x:v>
      </x:c>
      <x:c r="S827" s="8" t="str">
        <x:v>1.1451846604913574</x:v>
      </x:c>
      <x:c r="T827" s="6" t="str">
        <x:v>-0.05416299995367524</x:v>
      </x:c>
      <x:c r="U827" s="8" t="str">
        <x:v>-0.01491868267136989</x:v>
      </x:c>
      <x:c r="V827" s="6" t="str">
        <x:v>107.44414661490467</x:v>
      </x:c>
      <x:c r="W827" s="8" t="str">
        <x:v>1.7607065413604812</x:v>
      </x:c>
      <x:c r="X827" s="6" t="str">
        <x:v>1.9468828132563898</x:v>
      </x:c>
      <x:c r="Y827" s="6" t="str">
        <x:v>1.881287442869886</x:v>
      </x:c>
      <x:c r="Z827" s="6" t="str">
        <x:v>1.6577849722058782</x:v>
      </x:c>
      <x:c r="AA827" s="6" t="str">
        <x:v>-0.6061668700841607</x:v>
      </x:c>
      <x:c r="AB827" s="6" t="str">
        <x:v>0.05038686091531961</x:v>
      </x:c>
      <x:c r="AC827" s="6" t="str">
        <x:v>-0.19023289728007028</x:v>
      </x:c>
      <x:c r="AD827" s="6" t="str">
        <x:v>-0.5023573248659788</x:v>
      </x:c>
      <x:c r="AE827" s="6" t="str">
        <x:v>-0.5628174287967963</x:v>
      </x:c>
      <x:c r="AF827" s="6" t="str">
        <x:v>0.231843929232569</x:v>
      </x:c>
      <x:c r="AG827" s="6" t="str">
        <x:v>1</x:v>
      </x:c>
      <x:c r="AH827" s="6" t="str">
        <x:v>1</x:v>
      </x:c>
      <x:c r="AI827" s="6" t="str">
        <x:v>2024-10</x:v>
      </x:c>
      <x:c r="AJ827" s="9" t="str">
        <x:v>NASA POWER (MERRA-2 meteorology)</x:v>
      </x:c>
      <x:c r="AK827" s="9" t="str">
        <x:v>Badan Informasi Geospasial (BIG)</x:v>
      </x:c>
      <x:c r="AL827" s="9" t="str">
        <x:v>https://power.larc.nasa.gov/docs/services/api/temporal/monthly/</x:v>
      </x:c>
      <x:c r="AM827" s="9" t="str">
        <x:v>https://geoservices.big.go.id/rbi/rest/services/BATASWILAYAH/BATAS_WILAYAH/MapServer/12</x:v>
      </x:c>
    </x:row>
    <x:row r="828" ht="18" customHeight="1">
      <x:c r="A828" s="6" t="str">
        <x:v>94</x:v>
      </x:c>
      <x:c r="B828" s="6" t="str">
        <x:v>PAPUA</x:v>
      </x:c>
      <x:c r="C828" s="6" t="str">
        <x:v>2024</x:v>
      </x:c>
      <x:c r="D828" s="6" t="str">
        <x:v>11</x:v>
      </x:c>
      <x:c r="E828" s="6" t="str">
        <x:v>26.08067480448401</x:v>
      </x:c>
      <x:c r="F828" s="9" t="str">
        <x:v>grid_cells_within_BIG_polygon</x:v>
      </x:c>
      <x:c r="G828" s="6" t="str">
        <x:v>19</x:v>
      </x:c>
      <x:c r="H828" s="8" t="str">
        <x:v>87.72189249820168</x:v>
      </x:c>
      <x:c r="I828" s="6" t="str">
        <x:v>4.654583872312654</x:v>
      </x:c>
      <x:c r="J828" s="6" t="str">
        <x:v>30</x:v>
      </x:c>
      <x:c r="K828" s="6" t="str">
        <x:v>139.6375161693796</x:v>
      </x:c>
      <x:c r="L828" s="6" t="str">
        <x:v>25.394826290180315</x:v>
      </x:c>
      <x:c r="M828" s="6" t="str">
        <x:v>0.3738986817279927</x:v>
      </x:c>
      <x:c r="N828" s="6" t="str">
        <x:v>88.21828318072703</x:v>
      </x:c>
      <x:c r="O828" s="6" t="str">
        <x:v>2.8211969869211577</x:v>
      </x:c>
      <x:c r="P828" s="6" t="str">
        <x:v>178.35393057777745</x:v>
      </x:c>
      <x:c r="Q828" s="6" t="str">
        <x:v>62.348433225619175</x:v>
      </x:c>
      <x:c r="R828" s="6" t="str">
        <x:v>0.685848514303693</x:v>
      </x:c>
      <x:c r="S828" s="8" t="str">
        <x:v>1.8343164814970931</x:v>
      </x:c>
      <x:c r="T828" s="6" t="str">
        <x:v>-0.4963906825253446</x:v>
      </x:c>
      <x:c r="U828" s="8" t="str">
        <x:v>-0.17595038022037165</x:v>
      </x:c>
      <x:c r="V828" s="6" t="str">
        <x:v>-38.71641440839784</x:v>
      </x:c>
      <x:c r="W828" s="8" t="str">
        <x:v>-0.6209685216675042</x:v>
      </x:c>
      <x:c r="X828" s="6" t="str">
        <x:v>1.1451846604913574</x:v>
      </x:c>
      <x:c r="Y828" s="6" t="str">
        <x:v>1.9468828132563898</x:v>
      </x:c>
      <x:c r="Z828" s="6" t="str">
        <x:v>1.642127985081614</x:v>
      </x:c>
      <x:c r="AA828" s="6" t="str">
        <x:v>-0.01491868267136989</x:v>
      </x:c>
      <x:c r="AB828" s="6" t="str">
        <x:v>-0.6061668700841607</x:v>
      </x:c>
      <x:c r="AC828" s="6" t="str">
        <x:v>-0.2656786443253007</x:v>
      </x:c>
      <x:c r="AD828" s="6" t="str">
        <x:v>1.7607065413604812</x:v>
      </x:c>
      <x:c r="AE828" s="6" t="str">
        <x:v>-0.5023573248659788</x:v>
      </x:c>
      <x:c r="AF828" s="6" t="str">
        <x:v>0.21246023160899966</x:v>
      </x:c>
      <x:c r="AG828" s="6" t="str">
        <x:v>0</x:v>
      </x:c>
      <x:c r="AH828" s="6" t="str">
        <x:v>1</x:v>
      </x:c>
      <x:c r="AI828" s="6" t="str">
        <x:v>2024-11</x:v>
      </x:c>
      <x:c r="AJ828" s="9" t="str">
        <x:v>NASA POWER (MERRA-2 meteorology)</x:v>
      </x:c>
      <x:c r="AK828" s="9" t="str">
        <x:v>Badan Informasi Geospasial (BIG)</x:v>
      </x:c>
      <x:c r="AL828" s="9" t="str">
        <x:v>https://power.larc.nasa.gov/docs/services/api/temporal/monthly/</x:v>
      </x:c>
      <x:c r="AM828" s="9" t="str">
        <x:v>https://geoservices.big.go.id/rbi/rest/services/BATASWILAYAH/BATAS_WILAYAH/MapServer/12</x:v>
      </x:c>
    </x:row>
    <x:row r="829" ht="18" customHeight="1">
      <x:c r="A829" s="6" t="str">
        <x:v>94</x:v>
      </x:c>
      <x:c r="B829" s="6" t="str">
        <x:v>PAPUA</x:v>
      </x:c>
      <x:c r="C829" s="6" t="str">
        <x:v>2024</x:v>
      </x:c>
      <x:c r="D829" s="6" t="str">
        <x:v>12</x:v>
      </x:c>
      <x:c r="E829" s="6" t="str">
        <x:v>25.78274921353766</x:v>
      </x:c>
      <x:c r="F829" s="9" t="str">
        <x:v>grid_cells_within_BIG_polygon</x:v>
      </x:c>
      <x:c r="G829" s="6" t="str">
        <x:v>19</x:v>
      </x:c>
      <x:c r="H829" s="8" t="str">
        <x:v>90.0584721157934</x:v>
      </x:c>
      <x:c r="I829" s="6" t="str">
        <x:v>9.628029050905514</x:v>
      </x:c>
      <x:c r="J829" s="6" t="str">
        <x:v>31</x:v>
      </x:c>
      <x:c r="K829" s="6" t="str">
        <x:v>298.46890057807093</x:v>
      </x:c>
      <x:c r="L829" s="6" t="str">
        <x:v>25.32330064798752</x:v>
      </x:c>
      <x:c r="M829" s="6" t="str">
        <x:v>0.27915894739735897</x:v>
      </x:c>
      <x:c r="N829" s="6" t="str">
        <x:v>89.38598295428105</x:v>
      </x:c>
      <x:c r="O829" s="6" t="str">
        <x:v>2.0328202170671035</x:v>
      </x:c>
      <x:c r="P829" s="6" t="str">
        <x:v>195.90362020902063</x:v>
      </x:c>
      <x:c r="Q829" s="6" t="str">
        <x:v>56.414736415452744</x:v>
      </x:c>
      <x:c r="R829" s="6" t="str">
        <x:v>0.45944856555014013</x:v>
      </x:c>
      <x:c r="S829" s="8" t="str">
        <x:v>1.6458314155202565</x:v>
      </x:c>
      <x:c r="T829" s="6" t="str">
        <x:v>0.6724891615123596</x:v>
      </x:c>
      <x:c r="U829" s="8" t="str">
        <x:v>0.33081585664403135</x:v>
      </x:c>
      <x:c r="V829" s="6" t="str">
        <x:v>102.5652803690503</x:v>
      </x:c>
      <x:c r="W829" s="8" t="str">
        <x:v>1.8180583103984211</x:v>
      </x:c>
      <x:c r="X829" s="6" t="str">
        <x:v>1.8343164814970931</x:v>
      </x:c>
      <x:c r="Y829" s="6" t="str">
        <x:v>1.1451846604913574</x:v>
      </x:c>
      <x:c r="Z829" s="6" t="str">
        <x:v>1.5417775191695695</x:v>
      </x:c>
      <x:c r="AA829" s="6" t="str">
        <x:v>-0.17595038022037165</x:v>
      </x:c>
      <x:c r="AB829" s="6" t="str">
        <x:v>-0.01491868267136989</x:v>
      </x:c>
      <x:c r="AC829" s="6" t="str">
        <x:v>0.04664893125076334</x:v>
      </x:c>
      <x:c r="AD829" s="6" t="str">
        <x:v>-0.6209685216675042</x:v>
      </x:c>
      <x:c r="AE829" s="6" t="str">
        <x:v>1.7607065413604812</x:v>
      </x:c>
      <x:c r="AF829" s="6" t="str">
        <x:v>0.9859321100304662</x:v>
      </x:c>
      <x:c r="AG829" s="6" t="str">
        <x:v>1</x:v>
      </x:c>
      <x:c r="AH829" s="6" t="str">
        <x:v>1</x:v>
      </x:c>
      <x:c r="AI829" s="6" t="str">
        <x:v>2024-12</x:v>
      </x:c>
      <x:c r="AJ829" s="9" t="str">
        <x:v>NASA POWER (MERRA-2 meteorology)</x:v>
      </x:c>
      <x:c r="AK829" s="9" t="str">
        <x:v>Badan Informasi Geospasial (BIG)</x:v>
      </x:c>
      <x:c r="AL829" s="9" t="str">
        <x:v>https://power.larc.nasa.gov/docs/services/api/temporal/monthly/</x:v>
      </x:c>
      <x:c r="AM829" s="9" t="str">
        <x:v>https://geoservices.big.go.id/rbi/rest/services/BATASWILAYAH/BATAS_WILAYAH/MapServer/12</x:v>
      </x:c>
    </x:row>
    <x:row r="830" ht="18" customHeight="1">
      <x:c r="A830" s="6" t="str">
        <x:v>94</x:v>
      </x:c>
      <x:c r="B830" s="6" t="str">
        <x:v>PAPUA</x:v>
      </x:c>
      <x:c r="C830" s="6" t="str">
        <x:v>2025</x:v>
      </x:c>
      <x:c r="D830" s="6" t="str">
        <x:v>1</x:v>
      </x:c>
      <x:c r="E830" s="6" t="str">
        <x:v>25.942736961486574</x:v>
      </x:c>
      <x:c r="F830" s="9" t="str">
        <x:v>grid_cells_within_BIG_polygon</x:v>
      </x:c>
      <x:c r="G830" s="6" t="str">
        <x:v>19</x:v>
      </x:c>
      <x:c r="H830" s="8" t="str">
        <x:v>87.69023324862442</x:v>
      </x:c>
      <x:c r="I830" s="6" t="str">
        <x:v>4.117729171181883</x:v>
      </x:c>
      <x:c r="J830" s="6" t="str">
        <x:v>31</x:v>
      </x:c>
      <x:c r="K830" s="6" t="str">
        <x:v>127.64960430663837</x:v>
      </x:c>
      <x:c r="L830" s="6" t="str">
        <x:v>25.145651625881623</x:v>
      </x:c>
      <x:c r="M830" s="6" t="str">
        <x:v>0.2764477633520955</x:v>
      </x:c>
      <x:c r="N830" s="6" t="str">
        <x:v>89.2287577337785</x:v>
      </x:c>
      <x:c r="O830" s="6" t="str">
        <x:v>2.012310565510204</x:v>
      </x:c>
      <x:c r="P830" s="6" t="str">
        <x:v>219.15940110841805</x:v>
      </x:c>
      <x:c r="Q830" s="6" t="str">
        <x:v>67.20702933258379</x:v>
      </x:c>
      <x:c r="R830" s="6" t="str">
        <x:v>0.797085335604951</x:v>
      </x:c>
      <x:c r="S830" s="8" t="str">
        <x:v>2.883312658926271</x:v>
      </x:c>
      <x:c r="T830" s="6" t="str">
        <x:v>-1.5385244851540705</x:v>
      </x:c>
      <x:c r="U830" s="8" t="str">
        <x:v>-0.7645561830879674</x:v>
      </x:c>
      <x:c r="V830" s="6" t="str">
        <x:v>-91.50979680177969</x:v>
      </x:c>
      <x:c r="W830" s="8" t="str">
        <x:v>-1.3616104998322438</x:v>
      </x:c>
      <x:c r="X830" s="6" t="str">
        <x:v>1.6458314155202565</x:v>
      </x:c>
      <x:c r="Y830" s="6" t="str">
        <x:v>1.8343164814970931</x:v>
      </x:c>
      <x:c r="Z830" s="6" t="str">
        <x:v>2.121153518647874</x:v>
      </x:c>
      <x:c r="AA830" s="6" t="str">
        <x:v>0.33081585664403135</x:v>
      </x:c>
      <x:c r="AB830" s="6" t="str">
        <x:v>-0.17595038022037165</x:v>
      </x:c>
      <x:c r="AC830" s="6" t="str">
        <x:v>-0.20323023555476916</x:v>
      </x:c>
      <x:c r="AD830" s="6" t="str">
        <x:v>1.8180583103984211</x:v>
      </x:c>
      <x:c r="AE830" s="6" t="str">
        <x:v>-0.6209685216675042</x:v>
      </x:c>
      <x:c r="AF830" s="6" t="str">
        <x:v>-0.05484023703377535</x:v>
      </x:c>
      <x:c r="AG830" s="6" t="str">
        <x:v>0</x:v>
      </x:c>
      <x:c r="AH830" s="6" t="str">
        <x:v>1</x:v>
      </x:c>
      <x:c r="AI830" s="6" t="str">
        <x:v>2025-01</x:v>
      </x:c>
      <x:c r="AJ830" s="9" t="str">
        <x:v>NASA POWER (MERRA-2 meteorology)</x:v>
      </x:c>
      <x:c r="AK830" s="9" t="str">
        <x:v>Badan Informasi Geospasial (BIG)</x:v>
      </x:c>
      <x:c r="AL830" s="9" t="str">
        <x:v>https://power.larc.nasa.gov/docs/services/api/temporal/monthly/</x:v>
      </x:c>
      <x:c r="AM830" s="9" t="str">
        <x:v>https://geoservices.big.go.id/rbi/rest/services/BATASWILAYAH/BATAS_WILAYAH/MapServer/12</x:v>
      </x:c>
    </x:row>
    <x:row r="831" ht="18" customHeight="1">
      <x:c r="A831" s="6" t="str">
        <x:v>94</x:v>
      </x:c>
      <x:c r="B831" s="6" t="str">
        <x:v>PAPUA</x:v>
      </x:c>
      <x:c r="C831" s="6" t="str">
        <x:v>2025</x:v>
      </x:c>
      <x:c r="D831" s="6" t="str">
        <x:v>2</x:v>
      </x:c>
      <x:c r="E831" s="6" t="str">
        <x:v>25.49698150344632</x:v>
      </x:c>
      <x:c r="F831" s="9" t="str">
        <x:v>grid_cells_within_BIG_polygon</x:v>
      </x:c>
      <x:c r="G831" s="6" t="str">
        <x:v>19</x:v>
      </x:c>
      <x:c r="H831" s="8" t="str">
        <x:v>89.21661496270569</x:v>
      </x:c>
      <x:c r="I831" s="6" t="str">
        <x:v>6.68681521881005</x:v>
      </x:c>
      <x:c r="J831" s="6" t="str">
        <x:v>28</x:v>
      </x:c>
      <x:c r="K831" s="6" t="str">
        <x:v>187.2308261266814</x:v>
      </x:c>
      <x:c r="L831" s="6" t="str">
        <x:v>25.008304574367358</x:v>
      </x:c>
      <x:c r="M831" s="6" t="str">
        <x:v>0.30113953938218296</x:v>
      </x:c>
      <x:c r="N831" s="6" t="str">
        <x:v>89.5232393423898</x:v>
      </x:c>
      <x:c r="O831" s="6" t="str">
        <x:v>2.188405001729861</x:v>
      </x:c>
      <x:c r="P831" s="6" t="str">
        <x:v>202.98153290961596</x:v>
      </x:c>
      <x:c r="Q831" s="6" t="str">
        <x:v>56.43362354949951</x:v>
      </x:c>
      <x:c r="R831" s="6" t="str">
        <x:v>0.488676929078963</x:v>
      </x:c>
      <x:c r="S831" s="8" t="str">
        <x:v>1.622759103907548</x:v>
      </x:c>
      <x:c r="T831" s="6" t="str">
        <x:v>-0.30662437968410927</x:v>
      </x:c>
      <x:c r="U831" s="8" t="str">
        <x:v>-0.14011317806426732</x:v>
      </x:c>
      <x:c r="V831" s="6" t="str">
        <x:v>-15.750706782934571</x:v>
      </x:c>
      <x:c r="W831" s="8" t="str">
        <x:v>-0.2791014610132058</x:v>
      </x:c>
      <x:c r="X831" s="6" t="str">
        <x:v>2.883312658926271</x:v>
      </x:c>
      <x:c r="Y831" s="6" t="str">
        <x:v>1.6458314155202565</x:v>
      </x:c>
      <x:c r="Z831" s="6" t="str">
        <x:v>2.0506343927846924</x:v>
      </x:c>
      <x:c r="AA831" s="6" t="str">
        <x:v>-0.7645561830879674</x:v>
      </x:c>
      <x:c r="AB831" s="6" t="str">
        <x:v>0.33081585664403135</x:v>
      </x:c>
      <x:c r="AC831" s="6" t="str">
        <x:v>-0.19128450150273438</x:v>
      </x:c>
      <x:c r="AD831" s="6" t="str">
        <x:v>-1.3616104998322438</x:v>
      </x:c>
      <x:c r="AE831" s="6" t="str">
        <x:v>1.8180583103984211</x:v>
      </x:c>
      <x:c r="AF831" s="6" t="str">
        <x:v>0.059115449850990764</x:v>
      </x:c>
      <x:c r="AG831" s="6" t="str">
        <x:v>0</x:v>
      </x:c>
      <x:c r="AH831" s="6" t="str">
        <x:v>1</x:v>
      </x:c>
      <x:c r="AI831" s="6" t="str">
        <x:v>2025-02</x:v>
      </x:c>
      <x:c r="AJ831" s="9" t="str">
        <x:v>NASA POWER (MERRA-2 meteorology)</x:v>
      </x:c>
      <x:c r="AK831" s="9" t="str">
        <x:v>Badan Informasi Geospasial (BIG)</x:v>
      </x:c>
      <x:c r="AL831" s="9" t="str">
        <x:v>https://power.larc.nasa.gov/docs/services/api/temporal/monthly/</x:v>
      </x:c>
      <x:c r="AM831" s="9" t="str">
        <x:v>https://geoservices.big.go.id/rbi/rest/services/BATASWILAYAH/BATAS_WILAYAH/MapServer/12</x:v>
      </x:c>
    </x:row>
    <x:row r="832" ht="18" customHeight="1">
      <x:c r="A832" s="6" t="str">
        <x:v>94</x:v>
      </x:c>
      <x:c r="B832" s="6" t="str">
        <x:v>PAPUA</x:v>
      </x:c>
      <x:c r="C832" s="6" t="str">
        <x:v>2025</x:v>
      </x:c>
      <x:c r="D832" s="6" t="str">
        <x:v>3</x:v>
      </x:c>
      <x:c r="E832" s="6" t="str">
        <x:v>25.748584290785754</x:v>
      </x:c>
      <x:c r="F832" s="9" t="str">
        <x:v>grid_cells_within_BIG_polygon</x:v>
      </x:c>
      <x:c r="G832" s="6" t="str">
        <x:v>19</x:v>
      </x:c>
      <x:c r="H832" s="8" t="str">
        <x:v>87.5300419299215</x:v>
      </x:c>
      <x:c r="I832" s="6" t="str">
        <x:v>7.493327622539739</x:v>
      </x:c>
      <x:c r="J832" s="6" t="str">
        <x:v>31</x:v>
      </x:c>
      <x:c r="K832" s="6" t="str">
        <x:v>232.2931562987319</x:v>
      </x:c>
      <x:c r="L832" s="6" t="str">
        <x:v>25.051838575206812</x:v>
      </x:c>
      <x:c r="M832" s="6" t="str">
        <x:v>0.23580506115935188</x:v>
      </x:c>
      <x:c r="N832" s="6" t="str">
        <x:v>89.75773612313152</x:v>
      </x:c>
      <x:c r="O832" s="6" t="str">
        <x:v>1.6477213182878354</x:v>
      </x:c>
      <x:c r="P832" s="6" t="str">
        <x:v>231.21157244873731</x:v>
      </x:c>
      <x:c r="Q832" s="6" t="str">
        <x:v>71.7913042839592</x:v>
      </x:c>
      <x:c r="R832" s="6" t="str">
        <x:v>0.6967457155789418</x:v>
      </x:c>
      <x:c r="S832" s="8" t="str">
        <x:v>2.9547530157043425</x:v>
      </x:c>
      <x:c r="T832" s="6" t="str">
        <x:v>-2.227694193210027</x:v>
      </x:c>
      <x:c r="U832" s="8" t="str">
        <x:v>-1.351984809861444</x:v>
      </x:c>
      <x:c r="V832" s="6" t="str">
        <x:v>1.081583849994587</x:v>
      </x:c>
      <x:c r="W832" s="8" t="str">
        <x:v>0.015065666528588924</x:v>
      </x:c>
      <x:c r="X832" s="6" t="str">
        <x:v>1.622759103907548</x:v>
      </x:c>
      <x:c r="Y832" s="6" t="str">
        <x:v>2.883312658926271</x:v>
      </x:c>
      <x:c r="Z832" s="6" t="str">
        <x:v>2.4869415928460543</x:v>
      </x:c>
      <x:c r="AA832" s="6" t="str">
        <x:v>-0.14011317806426732</x:v>
      </x:c>
      <x:c r="AB832" s="6" t="str">
        <x:v>-0.7645561830879674</x:v>
      </x:c>
      <x:c r="AC832" s="6" t="str">
        <x:v>-0.7522180570045595</x:v>
      </x:c>
      <x:c r="AD832" s="6" t="str">
        <x:v>-0.2791014610132058</x:v>
      </x:c>
      <x:c r="AE832" s="6" t="str">
        <x:v>-1.3616104998322438</x:v>
      </x:c>
      <x:c r="AF832" s="6" t="str">
        <x:v>-0.5418820981056199</x:v>
      </x:c>
      <x:c r="AG832" s="6" t="str">
        <x:v>0</x:v>
      </x:c>
      <x:c r="AH832" s="6" t="str">
        <x:v>1</x:v>
      </x:c>
      <x:c r="AI832" s="6" t="str">
        <x:v>2025-03</x:v>
      </x:c>
      <x:c r="AJ832" s="9" t="str">
        <x:v>NASA POWER (MERRA-2 meteorology)</x:v>
      </x:c>
      <x:c r="AK832" s="9" t="str">
        <x:v>Badan Informasi Geospasial (BIG)</x:v>
      </x:c>
      <x:c r="AL832" s="9" t="str">
        <x:v>https://power.larc.nasa.gov/docs/services/api/temporal/monthly/</x:v>
      </x:c>
      <x:c r="AM832" s="9" t="str">
        <x:v>https://geoservices.big.go.id/rbi/rest/services/BATASWILAYAH/BATAS_WILAYAH/MapServer/12</x:v>
      </x:c>
    </x:row>
    <x:row r="833" ht="18" customHeight="1">
      <x:c r="A833" s="6" t="str">
        <x:v>94</x:v>
      </x:c>
      <x:c r="B833" s="6" t="str">
        <x:v>PAPUA</x:v>
      </x:c>
      <x:c r="C833" s="6" t="str">
        <x:v>2025</x:v>
      </x:c>
      <x:c r="D833" s="6" t="str">
        <x:v>4</x:v>
      </x:c>
      <x:c r="E833" s="6" t="str">
        <x:v>25.305983657302427</x:v>
      </x:c>
      <x:c r="F833" s="9" t="str">
        <x:v>grid_cells_within_BIG_polygon</x:v>
      </x:c>
      <x:c r="G833" s="6" t="str">
        <x:v>19</x:v>
      </x:c>
      <x:c r="H833" s="8" t="str">
        <x:v>90.05641824005812</x:v>
      </x:c>
      <x:c r="I833" s="6" t="str">
        <x:v>12.516268683485306</x:v>
      </x:c>
      <x:c r="J833" s="6" t="str">
        <x:v>30</x:v>
      </x:c>
      <x:c r="K833" s="6" t="str">
        <x:v>375.4880605045592</x:v>
      </x:c>
      <x:c r="L833" s="6" t="str">
        <x:v>25.17522797062363</x:v>
      </x:c>
      <x:c r="M833" s="6" t="str">
        <x:v>0.21540894463222482</x:v>
      </x:c>
      <x:c r="N833" s="6" t="str">
        <x:v>90.55652469546233</x:v>
      </x:c>
      <x:c r="O833" s="6" t="str">
        <x:v>1.0435477882697668</x:v>
      </x:c>
      <x:c r="P833" s="6" t="str">
        <x:v>221.48036224651665</x:v>
      </x:c>
      <x:c r="Q833" s="6" t="str">
        <x:v>69.98617125725318</x:v>
      </x:c>
      <x:c r="R833" s="6" t="str">
        <x:v>0.13075568667879622</x:v>
      </x:c>
      <x:c r="S833" s="8" t="str">
        <x:v>0.6070114075441015</x:v>
      </x:c>
      <x:c r="T833" s="6" t="str">
        <x:v>-0.5001064554042074</x:v>
      </x:c>
      <x:c r="U833" s="8" t="str">
        <x:v>-0.4792367546802995</x:v>
      </x:c>
      <x:c r="V833" s="6" t="str">
        <x:v>154.00769825804255</x:v>
      </x:c>
      <x:c r="W833" s="8" t="str">
        <x:v>2.200544700351523</x:v>
      </x:c>
      <x:c r="X833" s="6" t="str">
        <x:v>2.9547530157043425</x:v>
      </x:c>
      <x:c r="Y833" s="6" t="str">
        <x:v>1.622759103907548</x:v>
      </x:c>
      <x:c r="Z833" s="6" t="str">
        <x:v>1.728174509051998</x:v>
      </x:c>
      <x:c r="AA833" s="6" t="str">
        <x:v>-1.351984809861444</x:v>
      </x:c>
      <x:c r="AB833" s="6" t="str">
        <x:v>-0.14011317806426732</x:v>
      </x:c>
      <x:c r="AC833" s="6" t="str">
        <x:v>-0.6571115808686703</x:v>
      </x:c>
      <x:c r="AD833" s="6" t="str">
        <x:v>0.015065666528588924</x:v>
      </x:c>
      <x:c r="AE833" s="6" t="str">
        <x:v>-0.2791014610132058</x:v>
      </x:c>
      <x:c r="AF833" s="6" t="str">
        <x:v>0.6455029686223023</x:v>
      </x:c>
      <x:c r="AG833" s="6" t="str">
        <x:v>1</x:v>
      </x:c>
      <x:c r="AH833" s="6" t="str">
        <x:v>0</x:v>
      </x:c>
      <x:c r="AI833" s="6" t="str">
        <x:v>2025-04</x:v>
      </x:c>
      <x:c r="AJ833" s="9" t="str">
        <x:v>NASA POWER (MERRA-2 meteorology)</x:v>
      </x:c>
      <x:c r="AK833" s="9" t="str">
        <x:v>Badan Informasi Geospasial (BIG)</x:v>
      </x:c>
      <x:c r="AL833" s="9" t="str">
        <x:v>https://power.larc.nasa.gov/docs/services/api/temporal/monthly/</x:v>
      </x:c>
      <x:c r="AM833" s="9" t="str">
        <x:v>https://geoservices.big.go.id/rbi/rest/services/BATASWILAYAH/BATAS_WILAYAH/MapServer/12</x:v>
      </x:c>
    </x:row>
    <x:row r="834" ht="18" customHeight="1">
      <x:c r="A834" s="6" t="str">
        <x:v>94</x:v>
      </x:c>
      <x:c r="B834" s="6" t="str">
        <x:v>PAPUA</x:v>
      </x:c>
      <x:c r="C834" s="6" t="str">
        <x:v>2025</x:v>
      </x:c>
      <x:c r="D834" s="6" t="str">
        <x:v>5</x:v>
      </x:c>
      <x:c r="E834" s="6" t="str">
        <x:v>25.497033123110747</x:v>
      </x:c>
      <x:c r="F834" s="9" t="str">
        <x:v>grid_cells_within_BIG_polygon</x:v>
      </x:c>
      <x:c r="G834" s="6" t="str">
        <x:v>19</x:v>
      </x:c>
      <x:c r="H834" s="8" t="str">
        <x:v>90.67666492748798</x:v>
      </x:c>
      <x:c r="I834" s="6" t="str">
        <x:v>6.660699091446269</x:v>
      </x:c>
      <x:c r="J834" s="6" t="str">
        <x:v>31</x:v>
      </x:c>
      <x:c r="K834" s="6" t="str">
        <x:v>206.48167183483434</x:v>
      </x:c>
      <x:c r="L834" s="6" t="str">
        <x:v>25.321903050815692</x:v>
      </x:c>
      <x:c r="M834" s="6" t="str">
        <x:v>0.3267230158356709</x:v>
      </x:c>
      <x:c r="N834" s="6" t="str">
        <x:v>89.77930746443832</x:v>
      </x:c>
      <x:c r="O834" s="6" t="str">
        <x:v>1.7679596978293797</x:v>
      </x:c>
      <x:c r="P834" s="6" t="str">
        <x:v>165.03412312681286</x:v>
      </x:c>
      <x:c r="Q834" s="6" t="str">
        <x:v>55.42398379170308</x:v>
      </x:c>
      <x:c r="R834" s="6" t="str">
        <x:v>0.17513007229505462</x:v>
      </x:c>
      <x:c r="S834" s="8" t="str">
        <x:v>0.5360200041222021</x:v>
      </x:c>
      <x:c r="T834" s="6" t="str">
        <x:v>0.8973574630496586</x:v>
      </x:c>
      <x:c r="U834" s="8" t="str">
        <x:v>0.5075666963174518</x:v>
      </x:c>
      <x:c r="V834" s="6" t="str">
        <x:v>41.447548708021486</x:v>
      </x:c>
      <x:c r="W834" s="8" t="str">
        <x:v>0.7478269491379678</x:v>
      </x:c>
      <x:c r="X834" s="6" t="str">
        <x:v>0.6070114075441015</x:v>
      </x:c>
      <x:c r="Y834" s="6" t="str">
        <x:v>2.9547530157043425</x:v>
      </x:c>
      <x:c r="Z834" s="6" t="str">
        <x:v>1.3659281424568828</x:v>
      </x:c>
      <x:c r="AA834" s="6" t="str">
        <x:v>-0.4792367546802995</x:v>
      </x:c>
      <x:c r="AB834" s="6" t="str">
        <x:v>-1.351984809861444</x:v>
      </x:c>
      <x:c r="AC834" s="6" t="str">
        <x:v>-0.44121828940809715</x:v>
      </x:c>
      <x:c r="AD834" s="6" t="str">
        <x:v>2.200544700351523</x:v>
      </x:c>
      <x:c r="AE834" s="6" t="str">
        <x:v>0.015065666528588924</x:v>
      </x:c>
      <x:c r="AF834" s="6" t="str">
        <x:v>0.9878124386726933</x:v>
      </x:c>
      <x:c r="AG834" s="6" t="str">
        <x:v>0</x:v>
      </x:c>
      <x:c r="AH834" s="6" t="str">
        <x:v>0</x:v>
      </x:c>
      <x:c r="AI834" s="6" t="str">
        <x:v>2025-05</x:v>
      </x:c>
      <x:c r="AJ834" s="9" t="str">
        <x:v>NASA POWER (MERRA-2 meteorology)</x:v>
      </x:c>
      <x:c r="AK834" s="9" t="str">
        <x:v>Badan Informasi Geospasial (BIG)</x:v>
      </x:c>
      <x:c r="AL834" s="9" t="str">
        <x:v>https://power.larc.nasa.gov/docs/services/api/temporal/monthly/</x:v>
      </x:c>
      <x:c r="AM834" s="9" t="str">
        <x:v>https://geoservices.big.go.id/rbi/rest/services/BATASWILAYAH/BATAS_WILAYAH/MapServer/12</x:v>
      </x:c>
    </x:row>
    <x:row r="835" ht="18" customHeight="1">
      <x:c r="A835" s="6" t="str">
        <x:v>94</x:v>
      </x:c>
      <x:c r="B835" s="6" t="str">
        <x:v>PAPUA</x:v>
      </x:c>
      <x:c r="C835" s="6" t="str">
        <x:v>2025</x:v>
      </x:c>
      <x:c r="D835" s="6" t="str">
        <x:v>6</x:v>
      </x:c>
      <x:c r="E835" s="6" t="str">
        <x:v>25.188137644519628</x:v>
      </x:c>
      <x:c r="F835" s="9" t="str">
        <x:v>grid_cells_within_BIG_polygon</x:v>
      </x:c>
      <x:c r="G835" s="6" t="str">
        <x:v>19</x:v>
      </x:c>
      <x:c r="H835" s="8" t="str">
        <x:v>90.66180005212767</x:v>
      </x:c>
      <x:c r="I835" s="6" t="str">
        <x:v>9.081973181869065</x:v>
      </x:c>
      <x:c r="J835" s="6" t="str">
        <x:v>30</x:v>
      </x:c>
      <x:c r="K835" s="6" t="str">
        <x:v>272.45919545607194</x:v>
      </x:c>
      <x:c r="L835" s="6" t="str">
        <x:v>25.00456042416828</x:v>
      </x:c>
      <x:c r="M835" s="6" t="str">
        <x:v>0.32838098663589665</x:v>
      </x:c>
      <x:c r="N835" s="6" t="str">
        <x:v>89.71960815223845</x:v>
      </x:c>
      <x:c r="O835" s="6" t="str">
        <x:v>2.0206881560980645</x:v>
      </x:c>
      <x:c r="P835" s="6" t="str">
        <x:v>183.00931042861322</x:v>
      </x:c>
      <x:c r="Q835" s="6" t="str">
        <x:v>67.6878720473864</x:v>
      </x:c>
      <x:c r="R835" s="6" t="str">
        <x:v>0.18357722035134927</x:v>
      </x:c>
      <x:c r="S835" s="8" t="str">
        <x:v>0.5590373006427946</x:v>
      </x:c>
      <x:c r="T835" s="6" t="str">
        <x:v>0.9421918998892238</x:v>
      </x:c>
      <x:c r="U835" s="8" t="str">
        <x:v>0.46627278783510573</x:v>
      </x:c>
      <x:c r="V835" s="6" t="str">
        <x:v>89.44988502745872</x:v>
      </x:c>
      <x:c r="W835" s="8" t="str">
        <x:v>1.3215053498038367</x:v>
      </x:c>
      <x:c r="X835" s="6" t="str">
        <x:v>0.5360200041222021</x:v>
      </x:c>
      <x:c r="Y835" s="6" t="str">
        <x:v>0.6070114075441015</x:v>
      </x:c>
      <x:c r="Z835" s="6" t="str">
        <x:v>0.5673562374363667</x:v>
      </x:c>
      <x:c r="AA835" s="6" t="str">
        <x:v>0.5075666963174518</x:v>
      </x:c>
      <x:c r="AB835" s="6" t="str">
        <x:v>-0.4792367546802995</x:v>
      </x:c>
      <x:c r="AC835" s="6" t="str">
        <x:v>0.16486757649075276</x:v>
      </x:c>
      <x:c r="AD835" s="6" t="str">
        <x:v>0.7478269491379678</x:v>
      </x:c>
      <x:c r="AE835" s="6" t="str">
        <x:v>2.200544700351523</x:v>
      </x:c>
      <x:c r="AF835" s="6" t="str">
        <x:v>1.423292333097776</x:v>
      </x:c>
      <x:c r="AG835" s="6" t="str">
        <x:v>1</x:v>
      </x:c>
      <x:c r="AH835" s="6" t="str">
        <x:v>0</x:v>
      </x:c>
      <x:c r="AI835" s="6" t="str">
        <x:v>2025-06</x:v>
      </x:c>
      <x:c r="AJ835" s="9" t="str">
        <x:v>NASA POWER (MERRA-2 meteorology)</x:v>
      </x:c>
      <x:c r="AK835" s="9" t="str">
        <x:v>Badan Informasi Geospasial (BIG)</x:v>
      </x:c>
      <x:c r="AL835" s="9" t="str">
        <x:v>https://power.larc.nasa.gov/docs/services/api/temporal/monthly/</x:v>
      </x:c>
      <x:c r="AM835" s="9" t="str">
        <x:v>https://geoservices.big.go.id/rbi/rest/services/BATASWILAYAH/BATAS_WILAYAH/MapServer/12</x:v>
      </x:c>
    </x:row>
    <x:row r="836" ht="18" customHeight="1">
      <x:c r="A836" s="6" t="str">
        <x:v>94</x:v>
      </x:c>
      <x:c r="B836" s="6" t="str">
        <x:v>PAPUA</x:v>
      </x:c>
      <x:c r="C836" s="6" t="str">
        <x:v>2025</x:v>
      </x:c>
      <x:c r="D836" s="6" t="str">
        <x:v>7</x:v>
      </x:c>
      <x:c r="E836" s="6" t="str">
        <x:v>24.80862121516438</x:v>
      </x:c>
      <x:c r="F836" s="9" t="str">
        <x:v>grid_cells_within_BIG_polygon</x:v>
      </x:c>
      <x:c r="G836" s="6" t="str">
        <x:v>19</x:v>
      </x:c>
      <x:c r="H836" s="8" t="str">
        <x:v>91.01759492185015</x:v>
      </x:c>
      <x:c r="I836" s="6" t="str">
        <x:v>9.895584952580444</x:v>
      </x:c>
      <x:c r="J836" s="6" t="str">
        <x:v>31</x:v>
      </x:c>
      <x:c r="K836" s="6" t="str">
        <x:v>306.76313352999375</x:v>
      </x:c>
      <x:c r="L836" s="6" t="str">
        <x:v>24.681405481319626</x:v>
      </x:c>
      <x:c r="M836" s="6" t="str">
        <x:v>0.34095433383138574</x:v>
      </x:c>
      <x:c r="N836" s="6" t="str">
        <x:v>89.37161836787351</x:v>
      </x:c>
      <x:c r="O836" s="6" t="str">
        <x:v>2.0842194742233247</x:v>
      </x:c>
      <x:c r="P836" s="6" t="str">
        <x:v>172.06131657927415</x:v>
      </x:c>
      <x:c r="Q836" s="6" t="str">
        <x:v>52.90905953404209</x:v>
      </x:c>
      <x:c r="R836" s="6" t="str">
        <x:v>0.1272157338447535</x:v>
      </x:c>
      <x:c r="S836" s="8" t="str">
        <x:v>0.3731166353429204</x:v>
      </x:c>
      <x:c r="T836" s="6" t="str">
        <x:v>1.645976553976638</x:v>
      </x:c>
      <x:c r="U836" s="8" t="str">
        <x:v>0.7897328349213338</x:v>
      </x:c>
      <x:c r="V836" s="6" t="str">
        <x:v>134.7018169507196</x:v>
      </x:c>
      <x:c r="W836" s="8" t="str">
        <x:v>2.5459121393766493</x:v>
      </x:c>
      <x:c r="X836" s="6" t="str">
        <x:v>0.5590373006427946</x:v>
      </x:c>
      <x:c r="Y836" s="6" t="str">
        <x:v>0.5360200041222021</x:v>
      </x:c>
      <x:c r="Z836" s="6" t="str">
        <x:v>0.48939131336930625</x:v>
      </x:c>
      <x:c r="AA836" s="6" t="str">
        <x:v>0.46627278783510573</x:v>
      </x:c>
      <x:c r="AB836" s="6" t="str">
        <x:v>0.5075666963174518</x:v>
      </x:c>
      <x:c r="AC836" s="6" t="str">
        <x:v>0.5878574396912972</x:v>
      </x:c>
      <x:c r="AD836" s="6" t="str">
        <x:v>1.3215053498038367</x:v>
      </x:c>
      <x:c r="AE836" s="6" t="str">
        <x:v>0.7478269491379678</x:v>
      </x:c>
      <x:c r="AF836" s="6" t="str">
        <x:v>1.538414812772818</x:v>
      </x:c>
      <x:c r="AG836" s="6" t="str">
        <x:v>1</x:v>
      </x:c>
      <x:c r="AH836" s="6" t="str">
        <x:v>0</x:v>
      </x:c>
      <x:c r="AI836" s="6" t="str">
        <x:v>2025-07</x:v>
      </x:c>
      <x:c r="AJ836" s="9" t="str">
        <x:v>NASA POWER (MERRA-2 meteorology)</x:v>
      </x:c>
      <x:c r="AK836" s="9" t="str">
        <x:v>Badan Informasi Geospasial (BIG)</x:v>
      </x:c>
      <x:c r="AL836" s="9" t="str">
        <x:v>https://power.larc.nasa.gov/docs/services/api/temporal/monthly/</x:v>
      </x:c>
      <x:c r="AM836" s="9" t="str">
        <x:v>https://geoservices.big.go.id/rbi/rest/services/BATASWILAYAH/BATAS_WILAYAH/MapServer/12</x:v>
      </x:c>
    </x:row>
    <x:row r="837" ht="18" customHeight="1">
      <x:c r="A837" s="6" t="str">
        <x:v>94</x:v>
      </x:c>
      <x:c r="B837" s="6" t="str">
        <x:v>PAPUA</x:v>
      </x:c>
      <x:c r="C837" s="6" t="str">
        <x:v>2025</x:v>
      </x:c>
      <x:c r="D837" s="6" t="str">
        <x:v>8</x:v>
      </x:c>
      <x:c r="E837" s="6" t="str">
        <x:v>24.990722276357797</x:v>
      </x:c>
      <x:c r="F837" s="9" t="str">
        <x:v>grid_cells_within_BIG_polygon</x:v>
      </x:c>
      <x:c r="G837" s="6" t="str">
        <x:v>19</x:v>
      </x:c>
      <x:c r="H837" s="8" t="str">
        <x:v>90.31416955278173</x:v>
      </x:c>
      <x:c r="I837" s="6" t="str">
        <x:v>7.860911431282703</x:v>
      </x:c>
      <x:c r="J837" s="6" t="str">
        <x:v>31</x:v>
      </x:c>
      <x:c r="K837" s="6" t="str">
        <x:v>243.68825436976377</x:v>
      </x:c>
      <x:c r="L837" s="6" t="str">
        <x:v>24.814411697443994</x:v>
      </x:c>
      <x:c r="M837" s="6" t="str">
        <x:v>0.44284982633678643</x:v>
      </x:c>
      <x:c r="N837" s="6" t="str">
        <x:v>88.27565889782858</x:v>
      </x:c>
      <x:c r="O837" s="6" t="str">
        <x:v>2.977301241097981</x:v>
      </x:c>
      <x:c r="P837" s="6" t="str">
        <x:v>166.59831564721375</x:v>
      </x:c>
      <x:c r="Q837" s="6" t="str">
        <x:v>54.74218434249299</x:v>
      </x:c>
      <x:c r="R837" s="6" t="str">
        <x:v>0.17631057891380308</x:v>
      </x:c>
      <x:c r="S837" s="8" t="str">
        <x:v>0.39812723959322327</x:v>
      </x:c>
      <x:c r="T837" s="6" t="str">
        <x:v>2.038510654953157</x:v>
      </x:c>
      <x:c r="U837" s="8" t="str">
        <x:v>0.6846840443331784</x:v>
      </x:c>
      <x:c r="V837" s="6" t="str">
        <x:v>77.08993872255002</x:v>
      </x:c>
      <x:c r="W837" s="8" t="str">
        <x:v>1.4082364386528479</x:v>
      </x:c>
      <x:c r="X837" s="6" t="str">
        <x:v>0.3731166353429204</x:v>
      </x:c>
      <x:c r="Y837" s="6" t="str">
        <x:v>0.5590373006427946</x:v>
      </x:c>
      <x:c r="Z837" s="6" t="str">
        <x:v>0.44342705852631337</x:v>
      </x:c>
      <x:c r="AA837" s="6" t="str">
        <x:v>0.7897328349213338</x:v>
      </x:c>
      <x:c r="AB837" s="6" t="str">
        <x:v>0.46627278783510573</x:v>
      </x:c>
      <x:c r="AC837" s="6" t="str">
        <x:v>0.6468965556965395</x:v>
      </x:c>
      <x:c r="AD837" s="6" t="str">
        <x:v>2.5459121393766493</x:v>
      </x:c>
      <x:c r="AE837" s="6" t="str">
        <x:v>1.3215053498038367</x:v>
      </x:c>
      <x:c r="AF837" s="6" t="str">
        <x:v>1.7585513092777783</x:v>
      </x:c>
      <x:c r="AG837" s="6" t="str">
        <x:v>1</x:v>
      </x:c>
      <x:c r="AH837" s="6" t="str">
        <x:v>0</x:v>
      </x:c>
      <x:c r="AI837" s="6" t="str">
        <x:v>2025-08</x:v>
      </x:c>
      <x:c r="AJ837" s="9" t="str">
        <x:v>NASA POWER (MERRA-2 meteorology)</x:v>
      </x:c>
      <x:c r="AK837" s="9" t="str">
        <x:v>Badan Informasi Geospasial (BIG)</x:v>
      </x:c>
      <x:c r="AL837" s="9" t="str">
        <x:v>https://power.larc.nasa.gov/docs/services/api/temporal/monthly/</x:v>
      </x:c>
      <x:c r="AM837" s="9" t="str">
        <x:v>https://geoservices.big.go.id/rbi/rest/services/BATASWILAYAH/BATAS_WILAYAH/MapServer/12</x:v>
      </x:c>
    </x:row>
    <x:row r="838" ht="18" customHeight="1">
      <x:c r="A838" s="6" t="str">
        <x:v>94</x:v>
      </x:c>
      <x:c r="B838" s="6" t="str">
        <x:v>PAPUA</x:v>
      </x:c>
      <x:c r="C838" s="6" t="str">
        <x:v>2025</x:v>
      </x:c>
      <x:c r="D838" s="6" t="str">
        <x:v>9</x:v>
      </x:c>
      <x:c r="E838" s="6" t="str">
        <x:v>25.233351691893674</x:v>
      </x:c>
      <x:c r="F838" s="9" t="str">
        <x:v>grid_cells_within_BIG_polygon</x:v>
      </x:c>
      <x:c r="G838" s="6" t="str">
        <x:v>19</x:v>
      </x:c>
      <x:c r="H838" s="8" t="str">
        <x:v>89.51937487034105</x:v>
      </x:c>
      <x:c r="I838" s="6" t="str">
        <x:v>7.1219042253273965</x:v>
      </x:c>
      <x:c r="J838" s="6" t="str">
        <x:v>30</x:v>
      </x:c>
      <x:c r="K838" s="6" t="str">
        <x:v>213.6571267598219</x:v>
      </x:c>
      <x:c r="L838" s="6" t="str">
        <x:v>25.116540387031602</x:v>
      </x:c>
      <x:c r="M838" s="6" t="str">
        <x:v>0.4846372598318874</x:v>
      </x:c>
      <x:c r="N838" s="6" t="str">
        <x:v>87.1123081309513</x:v>
      </x:c>
      <x:c r="O838" s="6" t="str">
        <x:v>3.4900605906391546</x:v>
      </x:c>
      <x:c r="P838" s="6" t="str">
        <x:v>162.0344748373939</x:v>
      </x:c>
      <x:c r="Q838" s="6" t="str">
        <x:v>62.003993967739675</x:v>
      </x:c>
      <x:c r="R838" s="6" t="str">
        <x:v>0.11681130486207181</x:v>
      </x:c>
      <x:c r="S838" s="8" t="str">
        <x:v>0.24102832065077232</x:v>
      </x:c>
      <x:c r="T838" s="6" t="str">
        <x:v>2.407066739389748</x:v>
      </x:c>
      <x:c r="U838" s="8" t="str">
        <x:v>0.689691962897678</x:v>
      </x:c>
      <x:c r="V838" s="6" t="str">
        <x:v>51.62265192242799</x:v>
      </x:c>
      <x:c r="W838" s="8" t="str">
        <x:v>0.8325697849284832</x:v>
      </x:c>
      <x:c r="X838" s="6" t="str">
        <x:v>0.39812723959322327</x:v>
      </x:c>
      <x:c r="Y838" s="6" t="str">
        <x:v>0.3731166353429204</x:v>
      </x:c>
      <x:c r="Z838" s="6" t="str">
        <x:v>0.3374240651956393</x:v>
      </x:c>
      <x:c r="AA838" s="6" t="str">
        <x:v>0.6846840443331784</x:v>
      </x:c>
      <x:c r="AB838" s="6" t="str">
        <x:v>0.7897328349213338</x:v>
      </x:c>
      <x:c r="AC838" s="6" t="str">
        <x:v>0.7213696140507301</x:v>
      </x:c>
      <x:c r="AD838" s="6" t="str">
        <x:v>1.4082364386528479</x:v>
      </x:c>
      <x:c r="AE838" s="6" t="str">
        <x:v>2.5459121393766493</x:v>
      </x:c>
      <x:c r="AF838" s="6" t="str">
        <x:v>1.5955727876526604</x:v>
      </x:c>
      <x:c r="AG838" s="6" t="str">
        <x:v>0</x:v>
      </x:c>
      <x:c r="AH838" s="6" t="str">
        <x:v>0</x:v>
      </x:c>
      <x:c r="AI838" s="6" t="str">
        <x:v>2025-09</x:v>
      </x:c>
      <x:c r="AJ838" s="9" t="str">
        <x:v>NASA POWER (MERRA-2 meteorology)</x:v>
      </x:c>
      <x:c r="AK838" s="9" t="str">
        <x:v>Badan Informasi Geospasial (BIG)</x:v>
      </x:c>
      <x:c r="AL838" s="9" t="str">
        <x:v>https://power.larc.nasa.gov/docs/services/api/temporal/monthly/</x:v>
      </x:c>
      <x:c r="AM838" s="9" t="str">
        <x:v>https://geoservices.big.go.id/rbi/rest/services/BATASWILAYAH/BATAS_WILAYAH/MapServer/12</x:v>
      </x:c>
    </x:row>
    <x:row r="839" ht="18" customHeight="1">
      <x:c r="A839" s="6" t="str">
        <x:v>94</x:v>
      </x:c>
      <x:c r="B839" s="6" t="str">
        <x:v>PAPUA</x:v>
      </x:c>
      <x:c r="C839" s="6" t="str">
        <x:v>2025</x:v>
      </x:c>
      <x:c r="D839" s="6" t="str">
        <x:v>10</x:v>
      </x:c>
      <x:c r="E839" s="6" t="str">
        <x:v>25.34546103807154</x:v>
      </x:c>
      <x:c r="F839" s="9" t="str">
        <x:v>grid_cells_within_BIG_polygon</x:v>
      </x:c>
      <x:c r="G839" s="6" t="str">
        <x:v>19</x:v>
      </x:c>
      <x:c r="H839" s="8" t="str">
        <x:v>89.59308982405179</x:v>
      </x:c>
      <x:c r="I839" s="6" t="str">
        <x:v>10.528170354181805</x:v>
      </x:c>
      <x:c r="J839" s="6" t="str">
        <x:v>31</x:v>
      </x:c>
      <x:c r="K839" s="6" t="str">
        <x:v>326.373280979636</x:v>
      </x:c>
      <x:c r="L839" s="6" t="str">
        <x:v>25.40412057881402</x:v>
      </x:c>
      <x:c r="M839" s="6" t="str">
        <x:v>0.4418215376249089</x:v>
      </x:c>
      <x:c r="N839" s="6" t="str">
        <x:v>86.68847380059712</x:v>
      </x:c>
      <x:c r="O839" s="6" t="str">
        <x:v>3.6305484302322646</x:v>
      </x:c>
      <x:c r="P839" s="6" t="str">
        <x:v>162.65905352842137</x:v>
      </x:c>
      <x:c r="Q839" s="6" t="str">
        <x:v>61.02331313648872</x:v>
      </x:c>
      <x:c r="R839" s="6" t="str">
        <x:v>-0.05865954074247881</x:v>
      </x:c>
      <x:c r="S839" s="8" t="str">
        <x:v>-0.1327674994247988</x:v>
      </x:c>
      <x:c r="T839" s="6" t="str">
        <x:v>2.9046160234546647</x:v>
      </x:c>
      <x:c r="U839" s="8" t="str">
        <x:v>0.8000488298867953</x:v>
      </x:c>
      <x:c r="V839" s="6" t="str">
        <x:v>163.7142274512146</x:v>
      </x:c>
      <x:c r="W839" s="8" t="str">
        <x:v>2.6828144693658422</x:v>
      </x:c>
      <x:c r="X839" s="6" t="str">
        <x:v>0.24102832065077232</x:v>
      </x:c>
      <x:c r="Y839" s="6" t="str">
        <x:v>0.39812723959322327</x:v>
      </x:c>
      <x:c r="Z839" s="6" t="str">
        <x:v>0.1687960202730662</x:v>
      </x:c>
      <x:c r="AA839" s="6" t="str">
        <x:v>0.689691962897678</x:v>
      </x:c>
      <x:c r="AB839" s="6" t="str">
        <x:v>0.6846840443331784</x:v>
      </x:c>
      <x:c r="AC839" s="6" t="str">
        <x:v>0.7248082790392173</x:v>
      </x:c>
      <x:c r="AD839" s="6" t="str">
        <x:v>0.8325697849284832</x:v>
      </x:c>
      <x:c r="AE839" s="6" t="str">
        <x:v>1.4082364386528479</x:v>
      </x:c>
      <x:c r="AF839" s="6" t="str">
        <x:v>1.641206897649058</x:v>
      </x:c>
      <x:c r="AG839" s="6" t="str">
        <x:v>1</x:v>
      </x:c>
      <x:c r="AH839" s="6" t="str">
        <x:v>0</x:v>
      </x:c>
      <x:c r="AI839" s="6" t="str">
        <x:v>2025-10</x:v>
      </x:c>
      <x:c r="AJ839" s="9" t="str">
        <x:v>NASA POWER (MERRA-2 meteorology)</x:v>
      </x:c>
      <x:c r="AK839" s="9" t="str">
        <x:v>Badan Informasi Geospasial (BIG)</x:v>
      </x:c>
      <x:c r="AL839" s="9" t="str">
        <x:v>https://power.larc.nasa.gov/docs/services/api/temporal/monthly/</x:v>
      </x:c>
      <x:c r="AM839" s="9" t="str">
        <x:v>https://geoservices.big.go.id/rbi/rest/services/BATASWILAYAH/BATAS_WILAYAH/MapServer/12</x:v>
      </x:c>
    </x:row>
    <x:row r="840" ht="18" customHeight="1">
      <x:c r="A840" s="6" t="str">
        <x:v>94</x:v>
      </x:c>
      <x:c r="B840" s="6" t="str">
        <x:v>PAPUA</x:v>
      </x:c>
      <x:c r="C840" s="6" t="str">
        <x:v>2025</x:v>
      </x:c>
      <x:c r="D840" s="6" t="str">
        <x:v>11</x:v>
      </x:c>
      <x:c r="E840" s="6" t="str">
        <x:v>25.371216518547207</x:v>
      </x:c>
      <x:c r="F840" s="9" t="str">
        <x:v>grid_cells_within_BIG_polygon</x:v>
      </x:c>
      <x:c r="G840" s="6" t="str">
        <x:v>19</x:v>
      </x:c>
      <x:c r="H840" s="8" t="str">
        <x:v>90.88989004021194</x:v>
      </x:c>
      <x:c r="I840" s="6" t="str">
        <x:v>9.574650983469565</x:v>
      </x:c>
      <x:c r="J840" s="6" t="str">
        <x:v>30</x:v>
      </x:c>
      <x:c r="K840" s="6" t="str">
        <x:v>287.239529504087</x:v>
      </x:c>
      <x:c r="L840" s="6" t="str">
        <x:v>25.394826290180315</x:v>
      </x:c>
      <x:c r="M840" s="6" t="str">
        <x:v>0.3738986817279927</x:v>
      </x:c>
      <x:c r="N840" s="6" t="str">
        <x:v>88.21828318072703</x:v>
      </x:c>
      <x:c r="O840" s="6" t="str">
        <x:v>2.8211969869211577</x:v>
      </x:c>
      <x:c r="P840" s="6" t="str">
        <x:v>178.35393057777745</x:v>
      </x:c>
      <x:c r="Q840" s="6" t="str">
        <x:v>62.348433225619175</x:v>
      </x:c>
      <x:c r="R840" s="6" t="str">
        <x:v>-0.023609771633108068</x:v>
      </x:c>
      <x:c r="S840" s="8" t="str">
        <x:v>-0.06314483785819798</x:v>
      </x:c>
      <x:c r="T840" s="6" t="str">
        <x:v>2.6716068594849105</x:v>
      </x:c>
      <x:c r="U840" s="8" t="str">
        <x:v>0.946976362115182</x:v>
      </x:c>
      <x:c r="V840" s="6" t="str">
        <x:v>108.88559892630954</x:v>
      </x:c>
      <x:c r="W840" s="8" t="str">
        <x:v>1.7464047337370474</x:v>
      </x:c>
      <x:c r="X840" s="6" t="str">
        <x:v>-0.1327674994247988</x:v>
      </x:c>
      <x:c r="Y840" s="6" t="str">
        <x:v>0.24102832065077232</x:v>
      </x:c>
      <x:c r="Z840" s="6" t="str">
        <x:v>0.01503866112259244</x:v>
      </x:c>
      <x:c r="AA840" s="6" t="str">
        <x:v>0.8000488298867953</x:v>
      </x:c>
      <x:c r="AB840" s="6" t="str">
        <x:v>0.689691962897678</x:v>
      </x:c>
      <x:c r="AC840" s="6" t="str">
        <x:v>0.8122390516332185</x:v>
      </x:c>
      <x:c r="AD840" s="6" t="str">
        <x:v>2.6828144693658422</x:v>
      </x:c>
      <x:c r="AE840" s="6" t="str">
        <x:v>0.8325697849284832</x:v>
      </x:c>
      <x:c r="AF840" s="6" t="str">
        <x:v>1.7539296626771244</x:v>
      </x:c>
      <x:c r="AG840" s="6" t="str">
        <x:v>1</x:v>
      </x:c>
      <x:c r="AH840" s="6" t="str">
        <x:v>0</x:v>
      </x:c>
      <x:c r="AI840" s="6" t="str">
        <x:v>2025-11</x:v>
      </x:c>
      <x:c r="AJ840" s="9" t="str">
        <x:v>NASA POWER (MERRA-2 meteorology)</x:v>
      </x:c>
      <x:c r="AK840" s="9" t="str">
        <x:v>Badan Informasi Geospasial (BIG)</x:v>
      </x:c>
      <x:c r="AL840" s="9" t="str">
        <x:v>https://power.larc.nasa.gov/docs/services/api/temporal/monthly/</x:v>
      </x:c>
      <x:c r="AM840" s="9" t="str">
        <x:v>https://geoservices.big.go.id/rbi/rest/services/BATASWILAYAH/BATAS_WILAYAH/MapServer/12</x:v>
      </x:c>
    </x:row>
    <x:row r="841" ht="18" customHeight="1">
      <x:c r="A841" s="6" t="str">
        <x:v>94</x:v>
      </x:c>
      <x:c r="B841" s="6" t="str">
        <x:v>PAPUA</x:v>
      </x:c>
      <x:c r="C841" s="6" t="str">
        <x:v>2025</x:v>
      </x:c>
      <x:c r="D841" s="6" t="str">
        <x:v>12</x:v>
      </x:c>
      <x:c r="E841" s="6" t="str">
        <x:v>25.46172190626987</x:v>
      </x:c>
      <x:c r="F841" s="9" t="str">
        <x:v>grid_cells_within_BIG_polygon</x:v>
      </x:c>
      <x:c r="G841" s="6" t="str">
        <x:v>19</x:v>
      </x:c>
      <x:c r="H841" s="8" t="str">
        <x:v>90.05573607711206</x:v>
      </x:c>
      <x:c r="I841" s="6" t="str">
        <x:v>5.20794463158787</x:v>
      </x:c>
      <x:c r="J841" s="6" t="str">
        <x:v>31</x:v>
      </x:c>
      <x:c r="K841" s="6" t="str">
        <x:v>161.44628357922397</x:v>
      </x:c>
      <x:c r="L841" s="6" t="str">
        <x:v>25.32330064798752</x:v>
      </x:c>
      <x:c r="M841" s="6" t="str">
        <x:v>0.27915894739735897</x:v>
      </x:c>
      <x:c r="N841" s="6" t="str">
        <x:v>89.38598295428105</x:v>
      </x:c>
      <x:c r="O841" s="6" t="str">
        <x:v>2.0328202170671035</x:v>
      </x:c>
      <x:c r="P841" s="6" t="str">
        <x:v>195.90362020902063</x:v>
      </x:c>
      <x:c r="Q841" s="6" t="str">
        <x:v>56.414736415452744</x:v>
      </x:c>
      <x:c r="R841" s="6" t="str">
        <x:v>0.1384212582823494</x:v>
      </x:c>
      <x:c r="S841" s="8" t="str">
        <x:v>0.4958510539349418</x:v>
      </x:c>
      <x:c r="T841" s="6" t="str">
        <x:v>0.6697531228310112</x:v>
      </x:c>
      <x:c r="U841" s="8" t="str">
        <x:v>0.32946992420082893</x:v>
      </x:c>
      <x:c r="V841" s="6" t="str">
        <x:v>-34.45733662979666</x:v>
      </x:c>
      <x:c r="W841" s="8" t="str">
        <x:v>-0.610786096314337</x:v>
      </x:c>
      <x:c r="X841" s="6" t="str">
        <x:v>-0.06314483785819798</x:v>
      </x:c>
      <x:c r="Y841" s="6" t="str">
        <x:v>-0.1327674994247988</x:v>
      </x:c>
      <x:c r="Z841" s="6" t="str">
        <x:v>0.09997957221731558</x:v>
      </x:c>
      <x:c r="AA841" s="6" t="str">
        <x:v>0.946976362115182</x:v>
      </x:c>
      <x:c r="AB841" s="6" t="str">
        <x:v>0.8000488298867953</x:v>
      </x:c>
      <x:c r="AC841" s="6" t="str">
        <x:v>0.6921650387342688</x:v>
      </x:c>
      <x:c r="AD841" s="6" t="str">
        <x:v>1.7464047337370474</x:v>
      </x:c>
      <x:c r="AE841" s="6" t="str">
        <x:v>2.6828144693658422</x:v>
      </x:c>
      <x:c r="AF841" s="6" t="str">
        <x:v>1.2728110355961844</x:v>
      </x:c>
      <x:c r="AG841" s="6" t="str">
        <x:v>0</x:v>
      </x:c>
      <x:c r="AH841" s="6" t="str">
        <x:v>0</x:v>
      </x:c>
      <x:c r="AI841" s="6" t="str">
        <x:v>2025-12</x:v>
      </x:c>
      <x:c r="AJ841" s="9" t="str">
        <x:v>NASA POWER (MERRA-2 meteorology)</x:v>
      </x:c>
      <x:c r="AK841" s="9" t="str">
        <x:v>Badan Informasi Geospasial (BIG)</x:v>
      </x:c>
      <x:c r="AL841" s="9" t="str">
        <x:v>https://power.larc.nasa.gov/docs/services/api/temporal/monthly/</x:v>
      </x:c>
      <x:c r="AM841" s="9" t="str">
        <x:v>https://geoservices.big.go.id/rbi/rest/services/BATASWILAYAH/BATAS_WILAYAH/MapServer/12</x:v>
      </x:c>
    </x:row>
    <x:row r="842" ht="18" customHeight="1">
      <x:c r="A842" s="6" t="str">
        <x:v>95</x:v>
      </x:c>
      <x:c r="B842" s="6" t="str">
        <x:v>PAPUA SELATAN</x:v>
      </x:c>
      <x:c r="C842" s="6" t="str">
        <x:v>2024</x:v>
      </x:c>
      <x:c r="D842" s="6" t="str">
        <x:v>1</x:v>
      </x:c>
      <x:c r="E842" s="6" t="str">
        <x:v>27.197702537415633</x:v>
      </x:c>
      <x:c r="F842" s="9" t="str">
        <x:v>grid_cells_within_BIG_polygon</x:v>
      </x:c>
      <x:c r="G842" s="6" t="str">
        <x:v>29</x:v>
      </x:c>
      <x:c r="H842" s="8" t="str">
        <x:v>89.62725448063769</x:v>
      </x:c>
      <x:c r="I842" s="6" t="str">
        <x:v>8.342558672612942</x:v>
      </x:c>
      <x:c r="J842" s="6" t="str">
        <x:v>31</x:v>
      </x:c>
      <x:c r="K842" s="6" t="str">
        <x:v>258.6193188510012</x:v>
      </x:c>
      <x:c r="L842" s="6" t="str">
        <x:v>26.497310195512398</x:v>
      </x:c>
      <x:c r="M842" s="6" t="str">
        <x:v>0.4484686480827327</x:v>
      </x:c>
      <x:c r="N842" s="6" t="str">
        <x:v>89.19213258154299</x:v>
      </x:c>
      <x:c r="O842" s="6" t="str">
        <x:v>3.1194179328955696</x:v>
      </x:c>
      <x:c r="P842" s="6" t="str">
        <x:v>296.00190293443046</x:v>
      </x:c>
      <x:c r="Q842" s="6" t="str">
        <x:v>86.97367624512437</x:v>
      </x:c>
      <x:c r="R842" s="6" t="str">
        <x:v>0.7003923419032354</x:v>
      </x:c>
      <x:c r="S842" s="8" t="str">
        <x:v>1.5617420412720318</x:v>
      </x:c>
      <x:c r="T842" s="6" t="str">
        <x:v>0.4351218990946961</x:v>
      </x:c>
      <x:c r="U842" s="8" t="str">
        <x:v>0.1394881700544686</x:v>
      </x:c>
      <x:c r="V842" s="6" t="str">
        <x:v>-37.382584083429265</x:v>
      </x:c>
      <x:c r="W842" s="8" t="str">
        <x:v>-0.4298149244384146</x:v>
      </x:c>
      <x:c r="X842" s="6" t="str">
        <x:v>1.168292620836285</x:v>
      </x:c>
      <x:c r="Y842" s="6" t="str">
        <x:v>0.19875317006138157</x:v>
      </x:c>
      <x:c r="Z842" s="6" t="str">
        <x:v>0.9762626107232331</x:v>
      </x:c>
      <x:c r="AA842" s="6" t="str">
        <x:v>0.40930232068148575</x:v>
      </x:c>
      <x:c r="AB842" s="6" t="str">
        <x:v>0.3649230004058856</x:v>
      </x:c>
      <x:c r="AC842" s="6" t="str">
        <x:v>0.3045711637139464</x:v>
      </x:c>
      <x:c r="AD842" s="6" t="str">
        <x:v>-0.31724939241140865</x:v>
      </x:c>
      <x:c r="AE842" s="6" t="str">
        <x:v>-1.0657974609127934</x:v>
      </x:c>
      <x:c r="AF842" s="6" t="str">
        <x:v>-0.6042872592542058</x:v>
      </x:c>
      <x:c r="AG842" s="6" t="str">
        <x:v>0</x:v>
      </x:c>
      <x:c r="AH842" s="6" t="str">
        <x:v>1</x:v>
      </x:c>
      <x:c r="AI842" s="6" t="str">
        <x:v>2024-01</x:v>
      </x:c>
      <x:c r="AJ842" s="9" t="str">
        <x:v>NASA POWER (MERRA-2 meteorology)</x:v>
      </x:c>
      <x:c r="AK842" s="9" t="str">
        <x:v>Badan Informasi Geospasial (BIG)</x:v>
      </x:c>
      <x:c r="AL842" s="9" t="str">
        <x:v>https://power.larc.nasa.gov/docs/services/api/temporal/monthly/</x:v>
      </x:c>
      <x:c r="AM842" s="9" t="str">
        <x:v>https://geoservices.big.go.id/rbi/rest/services/BATASWILAYAH/BATAS_WILAYAH/MapServer/12</x:v>
      </x:c>
    </x:row>
    <x:row r="843" ht="18" customHeight="1">
      <x:c r="A843" s="6" t="str">
        <x:v>95</x:v>
      </x:c>
      <x:c r="B843" s="6" t="str">
        <x:v>PAPUA SELATAN</x:v>
      </x:c>
      <x:c r="C843" s="6" t="str">
        <x:v>2024</x:v>
      </x:c>
      <x:c r="D843" s="6" t="str">
        <x:v>2</x:v>
      </x:c>
      <x:c r="E843" s="6" t="str">
        <x:v>27.35585417541577</x:v>
      </x:c>
      <x:c r="F843" s="9" t="str">
        <x:v>grid_cells_within_BIG_polygon</x:v>
      </x:c>
      <x:c r="G843" s="6" t="str">
        <x:v>29</x:v>
      </x:c>
      <x:c r="H843" s="8" t="str">
        <x:v>89.4894007337968</x:v>
      </x:c>
      <x:c r="I843" s="6" t="str">
        <x:v>9.410524016845411</x:v>
      </x:c>
      <x:c r="J843" s="6" t="str">
        <x:v>29</x:v>
      </x:c>
      <x:c r="K843" s="6" t="str">
        <x:v>272.90519648851694</x:v>
      </x:c>
      <x:c r="L843" s="6" t="str">
        <x:v>26.27913571673438</x:v>
      </x:c>
      <x:c r="M843" s="6" t="str">
        <x:v>0.3033032366064911</x:v>
      </x:c>
      <x:c r="N843" s="6" t="str">
        <x:v>90.39268168924937</x:v>
      </x:c>
      <x:c r="O843" s="6" t="str">
        <x:v>1.1919577040316256</x:v>
      </x:c>
      <x:c r="P843" s="6" t="str">
        <x:v>285.11829986368355</x:v>
      </x:c>
      <x:c r="Q843" s="6" t="str">
        <x:v>88.54773217466449</x:v>
      </x:c>
      <x:c r="R843" s="6" t="str">
        <x:v>1.0767184586813912</x:v>
      </x:c>
      <x:c r="S843" s="8" t="str">
        <x:v>3.549973520652987</x:v>
      </x:c>
      <x:c r="T843" s="6" t="str">
        <x:v>-0.9032809554525727</x:v>
      </x:c>
      <x:c r="U843" s="8" t="str">
        <x:v>-0.7578129260772885</x:v>
      </x:c>
      <x:c r="V843" s="6" t="str">
        <x:v>-12.213103375166611</x:v>
      </x:c>
      <x:c r="W843" s="8" t="str">
        <x:v>-0.13792677774147508</x:v>
      </x:c>
      <x:c r="X843" s="6" t="str">
        <x:v>1.5617420412720318</x:v>
      </x:c>
      <x:c r="Y843" s="6" t="str">
        <x:v>1.168292620836285</x:v>
      </x:c>
      <x:c r="Z843" s="6" t="str">
        <x:v>2.0933360609204352</x:v>
      </x:c>
      <x:c r="AA843" s="6" t="str">
        <x:v>0.1394881700544686</x:v>
      </x:c>
      <x:c r="AB843" s="6" t="str">
        <x:v>0.40930232068148575</x:v>
      </x:c>
      <x:c r="AC843" s="6" t="str">
        <x:v>-0.0696741451137783</x:v>
      </x:c>
      <x:c r="AD843" s="6" t="str">
        <x:v>-0.4298149244384146</x:v>
      </x:c>
      <x:c r="AE843" s="6" t="str">
        <x:v>-0.31724939241140865</x:v>
      </x:c>
      <x:c r="AF843" s="6" t="str">
        <x:v>-0.29499703153043305</x:v>
      </x:c>
      <x:c r="AG843" s="6" t="str">
        <x:v>0</x:v>
      </x:c>
      <x:c r="AH843" s="6" t="str">
        <x:v>1</x:v>
      </x:c>
      <x:c r="AI843" s="6" t="str">
        <x:v>2024-02</x:v>
      </x:c>
      <x:c r="AJ843" s="9" t="str">
        <x:v>NASA POWER (MERRA-2 meteorology)</x:v>
      </x:c>
      <x:c r="AK843" s="9" t="str">
        <x:v>Badan Informasi Geospasial (BIG)</x:v>
      </x:c>
      <x:c r="AL843" s="9" t="str">
        <x:v>https://power.larc.nasa.gov/docs/services/api/temporal/monthly/</x:v>
      </x:c>
      <x:c r="AM843" s="9" t="str">
        <x:v>https://geoservices.big.go.id/rbi/rest/services/BATASWILAYAH/BATAS_WILAYAH/MapServer/12</x:v>
      </x:c>
    </x:row>
    <x:row r="844" ht="18" customHeight="1">
      <x:c r="A844" s="6" t="str">
        <x:v>95</x:v>
      </x:c>
      <x:c r="B844" s="6" t="str">
        <x:v>PAPUA SELATAN</x:v>
      </x:c>
      <x:c r="C844" s="6" t="str">
        <x:v>2024</x:v>
      </x:c>
      <x:c r="D844" s="6" t="str">
        <x:v>3</x:v>
      </x:c>
      <x:c r="E844" s="6" t="str">
        <x:v>27.0619117077727</x:v>
      </x:c>
      <x:c r="F844" s="9" t="str">
        <x:v>grid_cells_within_BIG_polygon</x:v>
      </x:c>
      <x:c r="G844" s="6" t="str">
        <x:v>29</x:v>
      </x:c>
      <x:c r="H844" s="8" t="str">
        <x:v>91.90004233414217</x:v>
      </x:c>
      <x:c r="I844" s="6" t="str">
        <x:v>15.927248862845724</x:v>
      </x:c>
      <x:c r="J844" s="6" t="str">
        <x:v>31</x:v>
      </x:c>
      <x:c r="K844" s="6" t="str">
        <x:v>493.74471474821746</x:v>
      </x:c>
      <x:c r="L844" s="6" t="str">
        <x:v>26.25894227373965</x:v>
      </x:c>
      <x:c r="M844" s="6" t="str">
        <x:v>0.25545666145263074</x:v>
      </x:c>
      <x:c r="N844" s="6" t="str">
        <x:v>90.35933418240379</x:v>
      </x:c>
      <x:c r="O844" s="6" t="str">
        <x:v>1.5042587778330998</x:v>
      </x:c>
      <x:c r="P844" s="6" t="str">
        <x:v>341.4104663323953</x:v>
      </x:c>
      <x:c r="Q844" s="6" t="str">
        <x:v>137.4083330376706</x:v>
      </x:c>
      <x:c r="R844" s="6" t="str">
        <x:v>0.8029694340330522</x:v>
      </x:c>
      <x:c r="S844" s="8" t="str">
        <x:v>3.143270680306556</x:v>
      </x:c>
      <x:c r="T844" s="6" t="str">
        <x:v>1.5407081517383858</x:v>
      </x:c>
      <x:c r="U844" s="8" t="str">
        <x:v>1.024230786911406</x:v>
      </x:c>
      <x:c r="V844" s="6" t="str">
        <x:v>152.33424841582217</x:v>
      </x:c>
      <x:c r="W844" s="8" t="str">
        <x:v>1.1086245284269596</x:v>
      </x:c>
      <x:c r="X844" s="6" t="str">
        <x:v>3.549973520652987</x:v>
      </x:c>
      <x:c r="Y844" s="6" t="str">
        <x:v>1.5617420412720318</x:v>
      </x:c>
      <x:c r="Z844" s="6" t="str">
        <x:v>2.7516620807438588</x:v>
      </x:c>
      <x:c r="AA844" s="6" t="str">
        <x:v>-0.7578129260772885</x:v>
      </x:c>
      <x:c r="AB844" s="6" t="str">
        <x:v>0.1394881700544686</x:v>
      </x:c>
      <x:c r="AC844" s="6" t="str">
        <x:v>0.13530201029619512</x:v>
      </x:c>
      <x:c r="AD844" s="6" t="str">
        <x:v>-0.13792677774147508</x:v>
      </x:c>
      <x:c r="AE844" s="6" t="str">
        <x:v>-0.4298149244384146</x:v>
      </x:c>
      <x:c r="AF844" s="6" t="str">
        <x:v>0.18029427541568968</x:v>
      </x:c>
      <x:c r="AG844" s="6" t="str">
        <x:v>1</x:v>
      </x:c>
      <x:c r="AH844" s="6" t="str">
        <x:v>1</x:v>
      </x:c>
      <x:c r="AI844" s="6" t="str">
        <x:v>2024-03</x:v>
      </x:c>
      <x:c r="AJ844" s="9" t="str">
        <x:v>NASA POWER (MERRA-2 meteorology)</x:v>
      </x:c>
      <x:c r="AK844" s="9" t="str">
        <x:v>Badan Informasi Geospasial (BIG)</x:v>
      </x:c>
      <x:c r="AL844" s="9" t="str">
        <x:v>https://power.larc.nasa.gov/docs/services/api/temporal/monthly/</x:v>
      </x:c>
      <x:c r="AM844" s="9" t="str">
        <x:v>https://geoservices.big.go.id/rbi/rest/services/BATASWILAYAH/BATAS_WILAYAH/MapServer/12</x:v>
      </x:c>
    </x:row>
    <x:row r="845" ht="18" customHeight="1">
      <x:c r="A845" s="6" t="str">
        <x:v>95</x:v>
      </x:c>
      <x:c r="B845" s="6" t="str">
        <x:v>PAPUA SELATAN</x:v>
      </x:c>
      <x:c r="C845" s="6" t="str">
        <x:v>2024</x:v>
      </x:c>
      <x:c r="D845" s="6" t="str">
        <x:v>4</x:v>
      </x:c>
      <x:c r="E845" s="6" t="str">
        <x:v>27.12577724893466</x:v>
      </x:c>
      <x:c r="F845" s="9" t="str">
        <x:v>grid_cells_within_BIG_polygon</x:v>
      </x:c>
      <x:c r="G845" s="6" t="str">
        <x:v>29</x:v>
      </x:c>
      <x:c r="H845" s="8" t="str">
        <x:v>92.54077443281219</x:v>
      </x:c>
      <x:c r="I845" s="6" t="str">
        <x:v>14.059678598476285</x:v>
      </x:c>
      <x:c r="J845" s="6" t="str">
        <x:v>30</x:v>
      </x:c>
      <x:c r="K845" s="6" t="str">
        <x:v>421.79035795428854</x:v>
      </x:c>
      <x:c r="L845" s="6" t="str">
        <x:v>26.19215288170596</x:v>
      </x:c>
      <x:c r="M845" s="6" t="str">
        <x:v>0.3192771715271607</x:v>
      </x:c>
      <x:c r="N845" s="6" t="str">
        <x:v>90.69160092165872</x:v>
      </x:c>
      <x:c r="O845" s="6" t="str">
        <x:v>1.4633400589525853</x:v>
      </x:c>
      <x:c r="P845" s="6" t="str">
        <x:v>314.1743938465166</x:v>
      </x:c>
      <x:c r="Q845" s="6" t="str">
        <x:v>99.0131599682983</x:v>
      </x:c>
      <x:c r="R845" s="6" t="str">
        <x:v>0.933624367228699</x:v>
      </x:c>
      <x:c r="S845" s="8" t="str">
        <x:v>2.924181402519335</x:v>
      </x:c>
      <x:c r="T845" s="6" t="str">
        <x:v>1.8491735111534666</x:v>
      </x:c>
      <x:c r="U845" s="8" t="str">
        <x:v>1.2636662953633957</x:v>
      </x:c>
      <x:c r="V845" s="6" t="str">
        <x:v>107.61596410777196</x:v>
      </x:c>
      <x:c r="W845" s="8" t="str">
        <x:v>1.0868854619146393</x:v>
      </x:c>
      <x:c r="X845" s="6" t="str">
        <x:v>3.143270680306556</x:v>
      </x:c>
      <x:c r="Y845" s="6" t="str">
        <x:v>3.549973520652987</x:v>
      </x:c>
      <x:c r="Z845" s="6" t="str">
        <x:v>3.20580853449296</x:v>
      </x:c>
      <x:c r="AA845" s="6" t="str">
        <x:v>1.024230786911406</x:v>
      </x:c>
      <x:c r="AB845" s="6" t="str">
        <x:v>-0.7578129260772885</x:v>
      </x:c>
      <x:c r="AC845" s="6" t="str">
        <x:v>0.5100280520658375</x:v>
      </x:c>
      <x:c r="AD845" s="6" t="str">
        <x:v>1.1086245284269596</x:v>
      </x:c>
      <x:c r="AE845" s="6" t="str">
        <x:v>-0.13792677774147508</x:v>
      </x:c>
      <x:c r="AF845" s="6" t="str">
        <x:v>0.6858610708667077</x:v>
      </x:c>
      <x:c r="AG845" s="6" t="str">
        <x:v>1</x:v>
      </x:c>
      <x:c r="AH845" s="6" t="str">
        <x:v>1</x:v>
      </x:c>
      <x:c r="AI845" s="6" t="str">
        <x:v>2024-04</x:v>
      </x:c>
      <x:c r="AJ845" s="9" t="str">
        <x:v>NASA POWER (MERRA-2 meteorology)</x:v>
      </x:c>
      <x:c r="AK845" s="9" t="str">
        <x:v>Badan Informasi Geospasial (BIG)</x:v>
      </x:c>
      <x:c r="AL845" s="9" t="str">
        <x:v>https://power.larc.nasa.gov/docs/services/api/temporal/monthly/</x:v>
      </x:c>
      <x:c r="AM845" s="9" t="str">
        <x:v>https://geoservices.big.go.id/rbi/rest/services/BATASWILAYAH/BATAS_WILAYAH/MapServer/12</x:v>
      </x:c>
    </x:row>
    <x:row r="846" ht="18" customHeight="1">
      <x:c r="A846" s="6" t="str">
        <x:v>95</x:v>
      </x:c>
      <x:c r="B846" s="6" t="str">
        <x:v>PAPUA SELATAN</x:v>
      </x:c>
      <x:c r="C846" s="6" t="str">
        <x:v>2024</x:v>
      </x:c>
      <x:c r="D846" s="6" t="str">
        <x:v>5</x:v>
      </x:c>
      <x:c r="E846" s="6" t="str">
        <x:v>26.744709376273068</x:v>
      </x:c>
      <x:c r="F846" s="9" t="str">
        <x:v>grid_cells_within_BIG_polygon</x:v>
      </x:c>
      <x:c r="G846" s="6" t="str">
        <x:v>29</x:v>
      </x:c>
      <x:c r="H846" s="8" t="str">
        <x:v>92.66684280400446</x:v>
      </x:c>
      <x:c r="I846" s="6" t="str">
        <x:v>9.306309340069927</x:v>
      </x:c>
      <x:c r="J846" s="6" t="str">
        <x:v>31</x:v>
      </x:c>
      <x:c r="K846" s="6" t="str">
        <x:v>288.49558954216775</x:v>
      </x:c>
      <x:c r="L846" s="6" t="str">
        <x:v>25.9329053574782</x:v>
      </x:c>
      <x:c r="M846" s="6" t="str">
        <x:v>0.504826559561624</x:v>
      </x:c>
      <x:c r="N846" s="6" t="str">
        <x:v>90.037200972908</x:v>
      </x:c>
      <x:c r="O846" s="6" t="str">
        <x:v>3.427851160252319</x:v>
      </x:c>
      <x:c r="P846" s="6" t="str">
        <x:v>243.804533384961</x:v>
      </x:c>
      <x:c r="Q846" s="6" t="str">
        <x:v>108.6593483012425</x:v>
      </x:c>
      <x:c r="R846" s="6" t="str">
        <x:v>0.8118040187948665</x:v>
      </x:c>
      <x:c r="S846" s="8" t="str">
        <x:v>1.60808500150985</x:v>
      </x:c>
      <x:c r="T846" s="6" t="str">
        <x:v>2.629641831096464</x:v>
      </x:c>
      <x:c r="U846" s="8" t="str">
        <x:v>0.7671400268449521</x:v>
      </x:c>
      <x:c r="V846" s="6" t="str">
        <x:v>44.69105615720676</x:v>
      </x:c>
      <x:c r="W846" s="8" t="str">
        <x:v>0.4112950874075482</x:v>
      </x:c>
      <x:c r="X846" s="6" t="str">
        <x:v>2.924181402519335</x:v>
      </x:c>
      <x:c r="Y846" s="6" t="str">
        <x:v>3.143270680306556</x:v>
      </x:c>
      <x:c r="Z846" s="6" t="str">
        <x:v>2.5585123614452474</x:v>
      </x:c>
      <x:c r="AA846" s="6" t="str">
        <x:v>1.2636662953633957</x:v>
      </x:c>
      <x:c r="AB846" s="6" t="str">
        <x:v>1.024230786911406</x:v>
      </x:c>
      <x:c r="AC846" s="6" t="str">
        <x:v>1.0183457030399177</x:v>
      </x:c>
      <x:c r="AD846" s="6" t="str">
        <x:v>1.0868854619146393</x:v>
      </x:c>
      <x:c r="AE846" s="6" t="str">
        <x:v>1.1086245284269596</x:v>
      </x:c>
      <x:c r="AF846" s="6" t="str">
        <x:v>0.868935025916382</x:v>
      </x:c>
      <x:c r="AG846" s="6" t="str">
        <x:v>0</x:v>
      </x:c>
      <x:c r="AH846" s="6" t="str">
        <x:v>1</x:v>
      </x:c>
      <x:c r="AI846" s="6" t="str">
        <x:v>2024-05</x:v>
      </x:c>
      <x:c r="AJ846" s="9" t="str">
        <x:v>NASA POWER (MERRA-2 meteorology)</x:v>
      </x:c>
      <x:c r="AK846" s="9" t="str">
        <x:v>Badan Informasi Geospasial (BIG)</x:v>
      </x:c>
      <x:c r="AL846" s="9" t="str">
        <x:v>https://power.larc.nasa.gov/docs/services/api/temporal/monthly/</x:v>
      </x:c>
      <x:c r="AM846" s="9" t="str">
        <x:v>https://geoservices.big.go.id/rbi/rest/services/BATASWILAYAH/BATAS_WILAYAH/MapServer/12</x:v>
      </x:c>
    </x:row>
    <x:row r="847" ht="18" customHeight="1">
      <x:c r="A847" s="6" t="str">
        <x:v>95</x:v>
      </x:c>
      <x:c r="B847" s="6" t="str">
        <x:v>PAPUA SELATAN</x:v>
      </x:c>
      <x:c r="C847" s="6" t="str">
        <x:v>2024</x:v>
      </x:c>
      <x:c r="D847" s="6" t="str">
        <x:v>6</x:v>
      </x:c>
      <x:c r="E847" s="6" t="str">
        <x:v>25.499748517501573</x:v>
      </x:c>
      <x:c r="F847" s="9" t="str">
        <x:v>grid_cells_within_BIG_polygon</x:v>
      </x:c>
      <x:c r="G847" s="6" t="str">
        <x:v>29</x:v>
      </x:c>
      <x:c r="H847" s="8" t="str">
        <x:v>92.0856656242085</x:v>
      </x:c>
      <x:c r="I847" s="6" t="str">
        <x:v>13.115362485919386</x:v>
      </x:c>
      <x:c r="J847" s="6" t="str">
        <x:v>30</x:v>
      </x:c>
      <x:c r="K847" s="6" t="str">
        <x:v>393.4608745775816</x:v>
      </x:c>
      <x:c r="L847" s="6" t="str">
        <x:v>25.280360484566177</x:v>
      </x:c>
      <x:c r="M847" s="6" t="str">
        <x:v>0.5330249455225492</x:v>
      </x:c>
      <x:c r="N847" s="6" t="str">
        <x:v>89.38351585292767</x:v>
      </x:c>
      <x:c r="O847" s="6" t="str">
        <x:v>4.310690527734972</x:v>
      </x:c>
      <x:c r="P847" s="6" t="str">
        <x:v>199.6187909230378</x:v>
      </x:c>
      <x:c r="Q847" s="6" t="str">
        <x:v>108.80146670053517</x:v>
      </x:c>
      <x:c r="R847" s="6" t="str">
        <x:v>0.21938803293539522</x:v>
      </x:c>
      <x:c r="S847" s="8" t="str">
        <x:v>0.41159055458524346</x:v>
      </x:c>
      <x:c r="T847" s="6" t="str">
        <x:v>2.70214977128083</x:v>
      </x:c>
      <x:c r="U847" s="8" t="str">
        <x:v>0.6268484721636138</x:v>
      </x:c>
      <x:c r="V847" s="6" t="str">
        <x:v>193.84208365454379</x:v>
      </x:c>
      <x:c r="W847" s="8" t="str">
        <x:v>1.7816127809018802</x:v>
      </x:c>
      <x:c r="X847" s="6" t="str">
        <x:v>1.60808500150985</x:v>
      </x:c>
      <x:c r="Y847" s="6" t="str">
        <x:v>2.924181402519335</x:v>
      </x:c>
      <x:c r="Z847" s="6" t="str">
        <x:v>1.647952319538143</x:v>
      </x:c>
      <x:c r="AA847" s="6" t="str">
        <x:v>0.7671400268449521</x:v>
      </x:c>
      <x:c r="AB847" s="6" t="str">
        <x:v>1.2636662953633957</x:v>
      </x:c>
      <x:c r="AC847" s="6" t="str">
        <x:v>0.8858849314573202</x:v>
      </x:c>
      <x:c r="AD847" s="6" t="str">
        <x:v>0.4112950874075482</x:v>
      </x:c>
      <x:c r="AE847" s="6" t="str">
        <x:v>1.0868854619146393</x:v>
      </x:c>
      <x:c r="AF847" s="6" t="str">
        <x:v>1.0932644434080223</x:v>
      </x:c>
      <x:c r="AG847" s="6" t="str">
        <x:v>1</x:v>
      </x:c>
      <x:c r="AH847" s="6" t="str">
        <x:v>0</x:v>
      </x:c>
      <x:c r="AI847" s="6" t="str">
        <x:v>2024-06</x:v>
      </x:c>
      <x:c r="AJ847" s="9" t="str">
        <x:v>NASA POWER (MERRA-2 meteorology)</x:v>
      </x:c>
      <x:c r="AK847" s="9" t="str">
        <x:v>Badan Informasi Geospasial (BIG)</x:v>
      </x:c>
      <x:c r="AL847" s="9" t="str">
        <x:v>https://power.larc.nasa.gov/docs/services/api/temporal/monthly/</x:v>
      </x:c>
      <x:c r="AM847" s="9" t="str">
        <x:v>https://geoservices.big.go.id/rbi/rest/services/BATASWILAYAH/BATAS_WILAYAH/MapServer/12</x:v>
      </x:c>
    </x:row>
    <x:row r="848" ht="18" customHeight="1">
      <x:c r="A848" s="6" t="str">
        <x:v>95</x:v>
      </x:c>
      <x:c r="B848" s="6" t="str">
        <x:v>PAPUA SELATAN</x:v>
      </x:c>
      <x:c r="C848" s="6" t="str">
        <x:v>2024</x:v>
      </x:c>
      <x:c r="D848" s="6" t="str">
        <x:v>7</x:v>
      </x:c>
      <x:c r="E848" s="6" t="str">
        <x:v>24.93187786974107</x:v>
      </x:c>
      <x:c r="F848" s="9" t="str">
        <x:v>grid_cells_within_BIG_polygon</x:v>
      </x:c>
      <x:c r="G848" s="6" t="str">
        <x:v>29</x:v>
      </x:c>
      <x:c r="H848" s="8" t="str">
        <x:v>90.70262908893501</x:v>
      </x:c>
      <x:c r="I848" s="6" t="str">
        <x:v>7.508176261736577</x:v>
      </x:c>
      <x:c r="J848" s="6" t="str">
        <x:v>31</x:v>
      </x:c>
      <x:c r="K848" s="6" t="str">
        <x:v>232.7534641138339</x:v>
      </x:c>
      <x:c r="L848" s="6" t="str">
        <x:v>24.70623720107191</x:v>
      </x:c>
      <x:c r="M848" s="6" t="str">
        <x:v>0.6054989853655233</x:v>
      </x:c>
      <x:c r="N848" s="6" t="str">
        <x:v>87.96567044513999</x:v>
      </x:c>
      <x:c r="O848" s="6" t="str">
        <x:v>4.0793009354973275</x:v>
      </x:c>
      <x:c r="P848" s="6" t="str">
        <x:v>144.88093400561246</x:v>
      </x:c>
      <x:c r="Q848" s="6" t="str">
        <x:v>65.10716615018184</x:v>
      </x:c>
      <x:c r="R848" s="6" t="str">
        <x:v>0.22564066866915766</x:v>
      </x:c>
      <x:c r="S848" s="8" t="str">
        <x:v>0.37265243067739334</x:v>
      </x:c>
      <x:c r="T848" s="6" t="str">
        <x:v>2.7369586437950204</x:v>
      </x:c>
      <x:c r="U848" s="8" t="str">
        <x:v>0.6709381551085161</x:v>
      </x:c>
      <x:c r="V848" s="6" t="str">
        <x:v>87.87253010822144</x:v>
      </x:c>
      <x:c r="W848" s="8" t="str">
        <x:v>1.3496598808421032</x:v>
      </x:c>
      <x:c r="X848" s="6" t="str">
        <x:v>0.41159055458524346</x:v>
      </x:c>
      <x:c r="Y848" s="6" t="str">
        <x:v>1.60808500150985</x:v>
      </x:c>
      <x:c r="Z848" s="6" t="str">
        <x:v>0.7974426622574958</x:v>
      </x:c>
      <x:c r="AA848" s="6" t="str">
        <x:v>0.6268484721636138</x:v>
      </x:c>
      <x:c r="AB848" s="6" t="str">
        <x:v>0.7671400268449521</x:v>
      </x:c>
      <x:c r="AC848" s="6" t="str">
        <x:v>0.6883088847056937</x:v>
      </x:c>
      <x:c r="AD848" s="6" t="str">
        <x:v>1.7816127809018802</x:v>
      </x:c>
      <x:c r="AE848" s="6" t="str">
        <x:v>0.4112950874075482</x:v>
      </x:c>
      <x:c r="AF848" s="6" t="str">
        <x:v>1.1808559163838437</x:v>
      </x:c>
      <x:c r="AG848" s="6" t="str">
        <x:v>1</x:v>
      </x:c>
      <x:c r="AH848" s="6" t="str">
        <x:v>0</x:v>
      </x:c>
      <x:c r="AI848" s="6" t="str">
        <x:v>2024-07</x:v>
      </x:c>
      <x:c r="AJ848" s="9" t="str">
        <x:v>NASA POWER (MERRA-2 meteorology)</x:v>
      </x:c>
      <x:c r="AK848" s="9" t="str">
        <x:v>Badan Informasi Geospasial (BIG)</x:v>
      </x:c>
      <x:c r="AL848" s="9" t="str">
        <x:v>https://power.larc.nasa.gov/docs/services/api/temporal/monthly/</x:v>
      </x:c>
      <x:c r="AM848" s="9" t="str">
        <x:v>https://geoservices.big.go.id/rbi/rest/services/BATASWILAYAH/BATAS_WILAYAH/MapServer/12</x:v>
      </x:c>
    </x:row>
    <x:row r="849" ht="18" customHeight="1">
      <x:c r="A849" s="6" t="str">
        <x:v>95</x:v>
      </x:c>
      <x:c r="B849" s="6" t="str">
        <x:v>PAPUA SELATAN</x:v>
      </x:c>
      <x:c r="C849" s="6" t="str">
        <x:v>2024</x:v>
      </x:c>
      <x:c r="D849" s="6" t="str">
        <x:v>8</x:v>
      </x:c>
      <x:c r="E849" s="6" t="str">
        <x:v>25.721175334891633</x:v>
      </x:c>
      <x:c r="F849" s="9" t="str">
        <x:v>grid_cells_within_BIG_polygon</x:v>
      </x:c>
      <x:c r="G849" s="6" t="str">
        <x:v>29</x:v>
      </x:c>
      <x:c r="H849" s="8" t="str">
        <x:v>89.61008272380377</x:v>
      </x:c>
      <x:c r="I849" s="6" t="str">
        <x:v>4.369531578696403</x:v>
      </x:c>
      <x:c r="J849" s="6" t="str">
        <x:v>31</x:v>
      </x:c>
      <x:c r="K849" s="6" t="str">
        <x:v>135.4554789395885</x:v>
      </x:c>
      <x:c r="L849" s="6" t="str">
        <x:v>24.777537758451444</x:v>
      </x:c>
      <x:c r="M849" s="6" t="str">
        <x:v>0.6233158865342048</x:v>
      </x:c>
      <x:c r="N849" s="6" t="str">
        <x:v>85.8816147701758</x:v>
      </x:c>
      <x:c r="O849" s="6" t="str">
        <x:v>5.439449647622684</x:v>
      </x:c>
      <x:c r="P849" s="6" t="str">
        <x:v>153.30058452486375</x:v>
      </x:c>
      <x:c r="Q849" s="6" t="str">
        <x:v>98.1837026804124</x:v>
      </x:c>
      <x:c r="R849" s="6" t="str">
        <x:v>0.9436375764401888</x:v>
      </x:c>
      <x:c r="S849" s="8" t="str">
        <x:v>1.5138994478177898</x:v>
      </x:c>
      <x:c r="T849" s="6" t="str">
        <x:v>3.7284679536279697</x:v>
      </x:c>
      <x:c r="U849" s="8" t="str">
        <x:v>0.6854494838935589</x:v>
      </x:c>
      <x:c r="V849" s="6" t="str">
        <x:v>-17.845105585275263</x:v>
      </x:c>
      <x:c r="W849" s="8" t="str">
        <x:v>-0.18175221648913586</x:v>
      </x:c>
      <x:c r="X849" s="6" t="str">
        <x:v>0.37265243067739334</x:v>
      </x:c>
      <x:c r="Y849" s="6" t="str">
        <x:v>0.41159055458524346</x:v>
      </x:c>
      <x:c r="Z849" s="6" t="str">
        <x:v>0.7660474776934758</x:v>
      </x:c>
      <x:c r="AA849" s="6" t="str">
        <x:v>0.6709381551085161</x:v>
      </x:c>
      <x:c r="AB849" s="6" t="str">
        <x:v>0.6268484721636138</x:v>
      </x:c>
      <x:c r="AC849" s="6" t="str">
        <x:v>0.661078703721896</x:v>
      </x:c>
      <x:c r="AD849" s="6" t="str">
        <x:v>1.3496598808421032</x:v>
      </x:c>
      <x:c r="AE849" s="6" t="str">
        <x:v>1.7816127809018802</x:v>
      </x:c>
      <x:c r="AF849" s="6" t="str">
        <x:v>0.9831734817516157</x:v>
      </x:c>
      <x:c r="AG849" s="6" t="str">
        <x:v>0</x:v>
      </x:c>
      <x:c r="AH849" s="6" t="str">
        <x:v>1</x:v>
      </x:c>
      <x:c r="AI849" s="6" t="str">
        <x:v>2024-08</x:v>
      </x:c>
      <x:c r="AJ849" s="9" t="str">
        <x:v>NASA POWER (MERRA-2 meteorology)</x:v>
      </x:c>
      <x:c r="AK849" s="9" t="str">
        <x:v>Badan Informasi Geospasial (BIG)</x:v>
      </x:c>
      <x:c r="AL849" s="9" t="str">
        <x:v>https://power.larc.nasa.gov/docs/services/api/temporal/monthly/</x:v>
      </x:c>
      <x:c r="AM849" s="9" t="str">
        <x:v>https://geoservices.big.go.id/rbi/rest/services/BATASWILAYAH/BATAS_WILAYAH/MapServer/12</x:v>
      </x:c>
    </x:row>
    <x:row r="850" ht="18" customHeight="1">
      <x:c r="A850" s="6" t="str">
        <x:v>95</x:v>
      </x:c>
      <x:c r="B850" s="6" t="str">
        <x:v>PAPUA SELATAN</x:v>
      </x:c>
      <x:c r="C850" s="6" t="str">
        <x:v>2024</x:v>
      </x:c>
      <x:c r="D850" s="6" t="str">
        <x:v>9</x:v>
      </x:c>
      <x:c r="E850" s="6" t="str">
        <x:v>26.152480536199633</x:v>
      </x:c>
      <x:c r="F850" s="9" t="str">
        <x:v>grid_cells_within_BIG_polygon</x:v>
      </x:c>
      <x:c r="G850" s="6" t="str">
        <x:v>29</x:v>
      </x:c>
      <x:c r="H850" s="8" t="str">
        <x:v>89.75404375929719</x:v>
      </x:c>
      <x:c r="I850" s="6" t="str">
        <x:v>7.9146119294938035</x:v>
      </x:c>
      <x:c r="J850" s="6" t="str">
        <x:v>30</x:v>
      </x:c>
      <x:c r="K850" s="6" t="str">
        <x:v>237.4383578848141</x:v>
      </x:c>
      <x:c r="L850" s="6" t="str">
        <x:v>25.614569698198974</x:v>
      </x:c>
      <x:c r="M850" s="6" t="str">
        <x:v>0.7337116483061711</x:v>
      </x:c>
      <x:c r="N850" s="6" t="str">
        <x:v>84.09711656868825</x:v>
      </x:c>
      <x:c r="O850" s="6" t="str">
        <x:v>7.059472043600043</x:v>
      </x:c>
      <x:c r="P850" s="6" t="str">
        <x:v>175.7147890118773</x:v>
      </x:c>
      <x:c r="Q850" s="6" t="str">
        <x:v>100.51909007454125</x:v>
      </x:c>
      <x:c r="R850" s="6" t="str">
        <x:v>0.5379108380006592</x:v>
      </x:c>
      <x:c r="S850" s="8" t="str">
        <x:v>0.7331365656282915</x:v>
      </x:c>
      <x:c r="T850" s="6" t="str">
        <x:v>5.65692719060894</x:v>
      </x:c>
      <x:c r="U850" s="8" t="str">
        <x:v>0.8013243987186522</x:v>
      </x:c>
      <x:c r="V850" s="6" t="str">
        <x:v>61.72356887293682</x:v>
      </x:c>
      <x:c r="W850" s="8" t="str">
        <x:v>0.6140482253387382</x:v>
      </x:c>
      <x:c r="X850" s="6" t="str">
        <x:v>1.5138994478177898</x:v>
      </x:c>
      <x:c r="Y850" s="6" t="str">
        <x:v>0.37265243067739334</x:v>
      </x:c>
      <x:c r="Z850" s="6" t="str">
        <x:v>0.873229481374492</x:v>
      </x:c>
      <x:c r="AA850" s="6" t="str">
        <x:v>0.6854494838935589</x:v>
      </x:c>
      <x:c r="AB850" s="6" t="str">
        <x:v>0.6709381551085161</x:v>
      </x:c>
      <x:c r="AC850" s="6" t="str">
        <x:v>0.7192373459069087</x:v>
      </x:c>
      <x:c r="AD850" s="6" t="str">
        <x:v>-0.18175221648913586</x:v>
      </x:c>
      <x:c r="AE850" s="6" t="str">
        <x:v>1.3496598808421032</x:v>
      </x:c>
      <x:c r="AF850" s="6" t="str">
        <x:v>0.5939852965639015</x:v>
      </x:c>
      <x:c r="AG850" s="6" t="str">
        <x:v>0</x:v>
      </x:c>
      <x:c r="AH850" s="6" t="str">
        <x:v>0</x:v>
      </x:c>
      <x:c r="AI850" s="6" t="str">
        <x:v>2024-09</x:v>
      </x:c>
      <x:c r="AJ850" s="9" t="str">
        <x:v>NASA POWER (MERRA-2 meteorology)</x:v>
      </x:c>
      <x:c r="AK850" s="9" t="str">
        <x:v>Badan Informasi Geospasial (BIG)</x:v>
      </x:c>
      <x:c r="AL850" s="9" t="str">
        <x:v>https://power.larc.nasa.gov/docs/services/api/temporal/monthly/</x:v>
      </x:c>
      <x:c r="AM850" s="9" t="str">
        <x:v>https://geoservices.big.go.id/rbi/rest/services/BATASWILAYAH/BATAS_WILAYAH/MapServer/12</x:v>
      </x:c>
    </x:row>
    <x:row r="851" ht="18" customHeight="1">
      <x:c r="A851" s="6" t="str">
        <x:v>95</x:v>
      </x:c>
      <x:c r="B851" s="6" t="str">
        <x:v>PAPUA SELATAN</x:v>
      </x:c>
      <x:c r="C851" s="6" t="str">
        <x:v>2024</x:v>
      </x:c>
      <x:c r="D851" s="6" t="str">
        <x:v>10</x:v>
      </x:c>
      <x:c r="E851" s="6" t="str">
        <x:v>26.68213395265244</x:v>
      </x:c>
      <x:c r="F851" s="9" t="str">
        <x:v>grid_cells_within_BIG_polygon</x:v>
      </x:c>
      <x:c r="G851" s="6" t="str">
        <x:v>29</x:v>
      </x:c>
      <x:c r="H851" s="8" t="str">
        <x:v>88.89222458405689</x:v>
      </x:c>
      <x:c r="I851" s="6" t="str">
        <x:v>8.526800240879048</x:v>
      </x:c>
      <x:c r="J851" s="6" t="str">
        <x:v>31</x:v>
      </x:c>
      <x:c r="K851" s="6" t="str">
        <x:v>264.3308074672505</x:v>
      </x:c>
      <x:c r="L851" s="6" t="str">
        <x:v>26.521351139229484</x:v>
      </x:c>
      <x:c r="M851" s="6" t="str">
        <x:v>0.6809600346018743</x:v>
      </x:c>
      <x:c r="N851" s="6" t="str">
        <x:v>82.98339699157967</x:v>
      </x:c>
      <x:c r="O851" s="6" t="str">
        <x:v>7.96023100519265</x:v>
      </x:c>
      <x:c r="P851" s="6" t="str">
        <x:v>191.606872492026</x:v>
      </x:c>
      <x:c r="Q851" s="6" t="str">
        <x:v>123.66417592736147</x:v>
      </x:c>
      <x:c r="R851" s="6" t="str">
        <x:v>0.16078281342295497</x:v>
      </x:c>
      <x:c r="S851" s="8" t="str">
        <x:v>0.236111967300632</x:v>
      </x:c>
      <x:c r="T851" s="6" t="str">
        <x:v>5.908827592477223</x:v>
      </x:c>
      <x:c r="U851" s="8" t="str">
        <x:v>0.742293482264868</x:v>
      </x:c>
      <x:c r="V851" s="6" t="str">
        <x:v>72.7239349752245</x:v>
      </x:c>
      <x:c r="W851" s="8" t="str">
        <x:v>0.5880760085114826</x:v>
      </x:c>
      <x:c r="X851" s="6" t="str">
        <x:v>0.7331365656282915</x:v>
      </x:c>
      <x:c r="Y851" s="6" t="str">
        <x:v>1.5138994478177898</x:v>
      </x:c>
      <x:c r="Z851" s="6" t="str">
        <x:v>0.8277159935822381</x:v>
      </x:c>
      <x:c r="AA851" s="6" t="str">
        <x:v>0.8013243987186522</x:v>
      </x:c>
      <x:c r="AB851" s="6" t="str">
        <x:v>0.6854494838935589</x:v>
      </x:c>
      <x:c r="AC851" s="6" t="str">
        <x:v>0.743022454959026</x:v>
      </x:c>
      <x:c r="AD851" s="6" t="str">
        <x:v>0.6140482253387382</x:v>
      </x:c>
      <x:c r="AE851" s="6" t="str">
        <x:v>-0.18175221648913586</x:v>
      </x:c>
      <x:c r="AF851" s="6" t="str">
        <x:v>0.340124005787028</x:v>
      </x:c>
      <x:c r="AG851" s="6" t="str">
        <x:v>0</x:v>
      </x:c>
      <x:c r="AH851" s="6" t="str">
        <x:v>0</x:v>
      </x:c>
      <x:c r="AI851" s="6" t="str">
        <x:v>2024-10</x:v>
      </x:c>
      <x:c r="AJ851" s="9" t="str">
        <x:v>NASA POWER (MERRA-2 meteorology)</x:v>
      </x:c>
      <x:c r="AK851" s="9" t="str">
        <x:v>Badan Informasi Geospasial (BIG)</x:v>
      </x:c>
      <x:c r="AL851" s="9" t="str">
        <x:v>https://power.larc.nasa.gov/docs/services/api/temporal/monthly/</x:v>
      </x:c>
      <x:c r="AM851" s="9" t="str">
        <x:v>https://geoservices.big.go.id/rbi/rest/services/BATASWILAYAH/BATAS_WILAYAH/MapServer/12</x:v>
      </x:c>
    </x:row>
    <x:row r="852" ht="18" customHeight="1">
      <x:c r="A852" s="6" t="str">
        <x:v>95</x:v>
      </x:c>
      <x:c r="B852" s="6" t="str">
        <x:v>PAPUA SELATAN</x:v>
      </x:c>
      <x:c r="C852" s="6" t="str">
        <x:v>2024</x:v>
      </x:c>
      <x:c r="D852" s="6" t="str">
        <x:v>11</x:v>
      </x:c>
      <x:c r="E852" s="6" t="str">
        <x:v>27.181467007805388</x:v>
      </x:c>
      <x:c r="F852" s="9" t="str">
        <x:v>grid_cells_within_BIG_polygon</x:v>
      </x:c>
      <x:c r="G852" s="6" t="str">
        <x:v>29</x:v>
      </x:c>
      <x:c r="H852" s="8" t="str">
        <x:v>89.83480838727212</x:v>
      </x:c>
      <x:c r="I852" s="6" t="str">
        <x:v>8.671814065558985</x:v>
      </x:c>
      <x:c r="J852" s="6" t="str">
        <x:v>30</x:v>
      </x:c>
      <x:c r="K852" s="6" t="str">
        <x:v>260.1544219667696</x:v>
      </x:c>
      <x:c r="L852" s="6" t="str">
        <x:v>27.029321955009994</x:v>
      </x:c>
      <x:c r="M852" s="6" t="str">
        <x:v>0.778710849736572</x:v>
      </x:c>
      <x:c r="N852" s="6" t="str">
        <x:v>84.12436959615789</x:v>
      </x:c>
      <x:c r="O852" s="6" t="str">
        <x:v>7.083322752194464</x:v>
      </x:c>
      <x:c r="P852" s="6" t="str">
        <x:v>225.79973786595434</x:v>
      </x:c>
      <x:c r="Q852" s="6" t="str">
        <x:v>97.85084935763773</x:v>
      </x:c>
      <x:c r="R852" s="6" t="str">
        <x:v>0.1521450527953938</x:v>
      </x:c>
      <x:c r="S852" s="8" t="str">
        <x:v>0.19538067672597928</x:v>
      </x:c>
      <x:c r="T852" s="6" t="str">
        <x:v>5.710438791114228</x:v>
      </x:c>
      <x:c r="U852" s="8" t="str">
        <x:v>0.806180798318853</x:v>
      </x:c>
      <x:c r="V852" s="6" t="str">
        <x:v>34.354684100815234</x:v>
      </x:c>
      <x:c r="W852" s="8" t="str">
        <x:v>0.35109234438273873</x:v>
      </x:c>
      <x:c r="X852" s="6" t="str">
        <x:v>0.236111967300632</x:v>
      </x:c>
      <x:c r="Y852" s="6" t="str">
        <x:v>0.7331365656282915</x:v>
      </x:c>
      <x:c r="Z852" s="6" t="str">
        <x:v>0.3882097365516346</x:v>
      </x:c>
      <x:c r="AA852" s="6" t="str">
        <x:v>0.742293482264868</x:v>
      </x:c>
      <x:c r="AB852" s="6" t="str">
        <x:v>0.8013243987186522</x:v>
      </x:c>
      <x:c r="AC852" s="6" t="str">
        <x:v>0.7832662264341241</x:v>
      </x:c>
      <x:c r="AD852" s="6" t="str">
        <x:v>0.5880760085114826</x:v>
      </x:c>
      <x:c r="AE852" s="6" t="str">
        <x:v>0.6140482253387382</x:v>
      </x:c>
      <x:c r="AF852" s="6" t="str">
        <x:v>0.5177388594109862</x:v>
      </x:c>
      <x:c r="AG852" s="6" t="str">
        <x:v>0</x:v>
      </x:c>
      <x:c r="AH852" s="6" t="str">
        <x:v>0</x:v>
      </x:c>
      <x:c r="AI852" s="6" t="str">
        <x:v>2024-11</x:v>
      </x:c>
      <x:c r="AJ852" s="9" t="str">
        <x:v>NASA POWER (MERRA-2 meteorology)</x:v>
      </x:c>
      <x:c r="AK852" s="9" t="str">
        <x:v>Badan Informasi Geospasial (BIG)</x:v>
      </x:c>
      <x:c r="AL852" s="9" t="str">
        <x:v>https://power.larc.nasa.gov/docs/services/api/temporal/monthly/</x:v>
      </x:c>
      <x:c r="AM852" s="9" t="str">
        <x:v>https://geoservices.big.go.id/rbi/rest/services/BATASWILAYAH/BATAS_WILAYAH/MapServer/12</x:v>
      </x:c>
    </x:row>
    <x:row r="853" ht="18" customHeight="1">
      <x:c r="A853" s="6" t="str">
        <x:v>95</x:v>
      </x:c>
      <x:c r="B853" s="6" t="str">
        <x:v>PAPUA SELATAN</x:v>
      </x:c>
      <x:c r="C853" s="6" t="str">
        <x:v>2024</x:v>
      </x:c>
      <x:c r="D853" s="6" t="str">
        <x:v>12</x:v>
      </x:c>
      <x:c r="E853" s="6" t="str">
        <x:v>27.07474249165914</x:v>
      </x:c>
      <x:c r="F853" s="9" t="str">
        <x:v>grid_cells_within_BIG_polygon</x:v>
      </x:c>
      <x:c r="G853" s="6" t="str">
        <x:v>29</x:v>
      </x:c>
      <x:c r="H853" s="8" t="str">
        <x:v>91.37571183504888</x:v>
      </x:c>
      <x:c r="I853" s="6" t="str">
        <x:v>13.818062896518093</x:v>
      </x:c>
      <x:c r="J853" s="6" t="str">
        <x:v>31</x:v>
      </x:c>
      <x:c r="K853" s="6" t="str">
        <x:v>428.3599497920609</x:v>
      </x:c>
      <x:c r="L853" s="6" t="str">
        <x:v>26.84873270064524</x:v>
      </x:c>
      <x:c r="M853" s="6" t="str">
        <x:v>0.4922195269703783</x:v>
      </x:c>
      <x:c r="N853" s="6" t="str">
        <x:v>87.42122827590241</x:v>
      </x:c>
      <x:c r="O853" s="6" t="str">
        <x:v>3.917476158523689</x:v>
      </x:c>
      <x:c r="P853" s="6" t="str">
        <x:v>296.0927429178771</x:v>
      </x:c>
      <x:c r="Q853" s="6" t="str">
        <x:v>114.14467590576089</x:v>
      </x:c>
      <x:c r="R853" s="6" t="str">
        <x:v>0.22600979101390095</x:v>
      </x:c>
      <x:c r="S853" s="8" t="str">
        <x:v>0.45916461787892904</x:v>
      </x:c>
      <x:c r="T853" s="6" t="str">
        <x:v>3.9544835591464675</x:v>
      </x:c>
      <x:c r="U853" s="8" t="str">
        <x:v>1.0094467455895697</x:v>
      </x:c>
      <x:c r="V853" s="6" t="str">
        <x:v>132.26720687418378</x:v>
      </x:c>
      <x:c r="W853" s="8" t="str">
        <x:v>1.1587680794098978</x:v>
      </x:c>
      <x:c r="X853" s="6" t="str">
        <x:v>0.19538067672597928</x:v>
      </x:c>
      <x:c r="Y853" s="6" t="str">
        <x:v>0.236111967300632</x:v>
      </x:c>
      <x:c r="Z853" s="6" t="str">
        <x:v>0.29688575396851374</x:v>
      </x:c>
      <x:c r="AA853" s="6" t="str">
        <x:v>0.806180798318853</x:v>
      </x:c>
      <x:c r="AB853" s="6" t="str">
        <x:v>0.742293482264868</x:v>
      </x:c>
      <x:c r="AC853" s="6" t="str">
        <x:v>0.8526403420577632</x:v>
      </x:c>
      <x:c r="AD853" s="6" t="str">
        <x:v>0.35109234438273873</x:v>
      </x:c>
      <x:c r="AE853" s="6" t="str">
        <x:v>0.5880760085114826</x:v>
      </x:c>
      <x:c r="AF853" s="6" t="str">
        <x:v>0.6993121441013727</x:v>
      </x:c>
      <x:c r="AG853" s="6" t="str">
        <x:v>1</x:v>
      </x:c>
      <x:c r="AH853" s="6" t="str">
        <x:v>0</x:v>
      </x:c>
      <x:c r="AI853" s="6" t="str">
        <x:v>2024-12</x:v>
      </x:c>
      <x:c r="AJ853" s="9" t="str">
        <x:v>NASA POWER (MERRA-2 meteorology)</x:v>
      </x:c>
      <x:c r="AK853" s="9" t="str">
        <x:v>Badan Informasi Geospasial (BIG)</x:v>
      </x:c>
      <x:c r="AL853" s="9" t="str">
        <x:v>https://power.larc.nasa.gov/docs/services/api/temporal/monthly/</x:v>
      </x:c>
      <x:c r="AM853" s="9" t="str">
        <x:v>https://geoservices.big.go.id/rbi/rest/services/BATASWILAYAH/BATAS_WILAYAH/MapServer/12</x:v>
      </x:c>
    </x:row>
    <x:row r="854" ht="18" customHeight="1">
      <x:c r="A854" s="6" t="str">
        <x:v>95</x:v>
      </x:c>
      <x:c r="B854" s="6" t="str">
        <x:v>PAPUA SELATAN</x:v>
      </x:c>
      <x:c r="C854" s="6" t="str">
        <x:v>2025</x:v>
      </x:c>
      <x:c r="D854" s="6" t="str">
        <x:v>1</x:v>
      </x:c>
      <x:c r="E854" s="6" t="str">
        <x:v>26.83363531594672</x:v>
      </x:c>
      <x:c r="F854" s="9" t="str">
        <x:v>grid_cells_within_BIG_polygon</x:v>
      </x:c>
      <x:c r="G854" s="6" t="str">
        <x:v>29</x:v>
      </x:c>
      <x:c r="H854" s="8" t="str">
        <x:v>90.89183199969234</x:v>
      </x:c>
      <x:c r="I854" s="6" t="str">
        <x:v>12.4898625507124</x:v>
      </x:c>
      <x:c r="J854" s="6" t="str">
        <x:v>31</x:v>
      </x:c>
      <x:c r="K854" s="6" t="str">
        <x:v>387.1857390720844</x:v>
      </x:c>
      <x:c r="L854" s="6" t="str">
        <x:v>26.497310195512398</x:v>
      </x:c>
      <x:c r="M854" s="6" t="str">
        <x:v>0.4484686480827327</x:v>
      </x:c>
      <x:c r="N854" s="6" t="str">
        <x:v>89.19213258154299</x:v>
      </x:c>
      <x:c r="O854" s="6" t="str">
        <x:v>3.1194179328955696</x:v>
      </x:c>
      <x:c r="P854" s="6" t="str">
        <x:v>296.00190293443046</x:v>
      </x:c>
      <x:c r="Q854" s="6" t="str">
        <x:v>86.97367624512437</x:v>
      </x:c>
      <x:c r="R854" s="6" t="str">
        <x:v>0.3363251204343207</x:v>
      </x:c>
      <x:c r="S854" s="8" t="str">
        <x:v>0.7499412096523548</x:v>
      </x:c>
      <x:c r="T854" s="6" t="str">
        <x:v>1.6996994181493505</x:v>
      </x:c>
      <x:c r="U854" s="8" t="str">
        <x:v>0.544877106791401</x:v>
      </x:c>
      <x:c r="V854" s="6" t="str">
        <x:v>91.18383613765394</x:v>
      </x:c>
      <x:c r="W854" s="8" t="str">
        <x:v>1.0484072891280778</x:v>
      </x:c>
      <x:c r="X854" s="6" t="str">
        <x:v>0.45916461787892904</x:v>
      </x:c>
      <x:c r="Y854" s="6" t="str">
        <x:v>0.19538067672597928</x:v>
      </x:c>
      <x:c r="Z854" s="6" t="str">
        <x:v>0.4681621680857546</x:v>
      </x:c>
      <x:c r="AA854" s="6" t="str">
        <x:v>1.0094467455895697</x:v>
      </x:c>
      <x:c r="AB854" s="6" t="str">
        <x:v>0.806180798318853</x:v>
      </x:c>
      <x:c r="AC854" s="6" t="str">
        <x:v>0.7868348835666076</x:v>
      </x:c>
      <x:c r="AD854" s="6" t="str">
        <x:v>1.1587680794098978</x:v>
      </x:c>
      <x:c r="AE854" s="6" t="str">
        <x:v>0.35109234438273873</x:v>
      </x:c>
      <x:c r="AF854" s="6" t="str">
        <x:v>0.8527559043069045</x:v>
      </x:c>
      <x:c r="AG854" s="6" t="str">
        <x:v>1</x:v>
      </x:c>
      <x:c r="AH854" s="6" t="str">
        <x:v>0</x:v>
      </x:c>
      <x:c r="AI854" s="6" t="str">
        <x:v>2025-01</x:v>
      </x:c>
      <x:c r="AJ854" s="9" t="str">
        <x:v>NASA POWER (MERRA-2 meteorology)</x:v>
      </x:c>
      <x:c r="AK854" s="9" t="str">
        <x:v>Badan Informasi Geospasial (BIG)</x:v>
      </x:c>
      <x:c r="AL854" s="9" t="str">
        <x:v>https://power.larc.nasa.gov/docs/services/api/temporal/monthly/</x:v>
      </x:c>
      <x:c r="AM854" s="9" t="str">
        <x:v>https://geoservices.big.go.id/rbi/rest/services/BATASWILAYAH/BATAS_WILAYAH/MapServer/12</x:v>
      </x:c>
    </x:row>
    <x:row r="855" ht="18" customHeight="1">
      <x:c r="A855" s="6" t="str">
        <x:v>95</x:v>
      </x:c>
      <x:c r="B855" s="6" t="str">
        <x:v>PAPUA SELATAN</x:v>
      </x:c>
      <x:c r="C855" s="6" t="str">
        <x:v>2025</x:v>
      </x:c>
      <x:c r="D855" s="6" t="str">
        <x:v>2</x:v>
      </x:c>
      <x:c r="E855" s="6" t="str">
        <x:v>26.604782208645616</x:v>
      </x:c>
      <x:c r="F855" s="9" t="str">
        <x:v>grid_cells_within_BIG_polygon</x:v>
      </x:c>
      <x:c r="G855" s="6" t="str">
        <x:v>29</x:v>
      </x:c>
      <x:c r="H855" s="8" t="str">
        <x:v>90.49666640376311</x:v>
      </x:c>
      <x:c r="I855" s="6" t="str">
        <x:v>6.588955331091905</x:v>
      </x:c>
      <x:c r="J855" s="6" t="str">
        <x:v>28</x:v>
      </x:c>
      <x:c r="K855" s="6" t="str">
        <x:v>184.49074927057336</x:v>
      </x:c>
      <x:c r="L855" s="6" t="str">
        <x:v>26.27913571673438</x:v>
      </x:c>
      <x:c r="M855" s="6" t="str">
        <x:v>0.3033032366064911</x:v>
      </x:c>
      <x:c r="N855" s="6" t="str">
        <x:v>90.39268168924937</x:v>
      </x:c>
      <x:c r="O855" s="6" t="str">
        <x:v>1.1919577040316256</x:v>
      </x:c>
      <x:c r="P855" s="6" t="str">
        <x:v>285.11829986368355</x:v>
      </x:c>
      <x:c r="Q855" s="6" t="str">
        <x:v>88.54773217466449</x:v>
      </x:c>
      <x:c r="R855" s="6" t="str">
        <x:v>0.32564649191123607</x:v>
      </x:c>
      <x:c r="S855" s="8" t="str">
        <x:v>1.0736663926001335</x:v>
      </x:c>
      <x:c r="T855" s="6" t="str">
        <x:v>0.10398471451374292</x:v>
      </x:c>
      <x:c r="U855" s="8" t="str">
        <x:v>0.08723859425718679</x:v>
      </x:c>
      <x:c r="V855" s="6" t="str">
        <x:v>-100.62755059311019</x:v>
      </x:c>
      <x:c r="W855" s="8" t="str">
        <x:v>-1.1364215448750026</x:v>
      </x:c>
      <x:c r="X855" s="6" t="str">
        <x:v>0.7499412096523548</x:v>
      </x:c>
      <x:c r="Y855" s="6" t="str">
        <x:v>0.45916461787892904</x:v>
      </x:c>
      <x:c r="Z855" s="6" t="str">
        <x:v>0.7609240733771393</x:v>
      </x:c>
      <x:c r="AA855" s="6" t="str">
        <x:v>0.544877106791401</x:v>
      </x:c>
      <x:c r="AB855" s="6" t="str">
        <x:v>1.0094467455895697</x:v>
      </x:c>
      <x:c r="AC855" s="6" t="str">
        <x:v>0.5471874822127188</x:v>
      </x:c>
      <x:c r="AD855" s="6" t="str">
        <x:v>1.0484072891280778</x:v>
      </x:c>
      <x:c r="AE855" s="6" t="str">
        <x:v>1.1587680794098978</x:v>
      </x:c>
      <x:c r="AF855" s="6" t="str">
        <x:v>0.3569179412209907</x:v>
      </x:c>
      <x:c r="AG855" s="6" t="str">
        <x:v>0</x:v>
      </x:c>
      <x:c r="AH855" s="6" t="str">
        <x:v>1</x:v>
      </x:c>
      <x:c r="AI855" s="6" t="str">
        <x:v>2025-02</x:v>
      </x:c>
      <x:c r="AJ855" s="9" t="str">
        <x:v>NASA POWER (MERRA-2 meteorology)</x:v>
      </x:c>
      <x:c r="AK855" s="9" t="str">
        <x:v>Badan Informasi Geospasial (BIG)</x:v>
      </x:c>
      <x:c r="AL855" s="9" t="str">
        <x:v>https://power.larc.nasa.gov/docs/services/api/temporal/monthly/</x:v>
      </x:c>
      <x:c r="AM855" s="9" t="str">
        <x:v>https://geoservices.big.go.id/rbi/rest/services/BATASWILAYAH/BATAS_WILAYAH/MapServer/12</x:v>
      </x:c>
    </x:row>
    <x:row r="856" ht="18" customHeight="1">
      <x:c r="A856" s="6" t="str">
        <x:v>95</x:v>
      </x:c>
      <x:c r="B856" s="6" t="str">
        <x:v>PAPUA SELATAN</x:v>
      </x:c>
      <x:c r="C856" s="6" t="str">
        <x:v>2025</x:v>
      </x:c>
      <x:c r="D856" s="6" t="str">
        <x:v>3</x:v>
      </x:c>
      <x:c r="E856" s="6" t="str">
        <x:v>26.672266566978717</x:v>
      </x:c>
      <x:c r="F856" s="9" t="str">
        <x:v>grid_cells_within_BIG_polygon</x:v>
      </x:c>
      <x:c r="G856" s="6" t="str">
        <x:v>29</x:v>
      </x:c>
      <x:c r="H856" s="8" t="str">
        <x:v>91.354377687392</x:v>
      </x:c>
      <x:c r="I856" s="6" t="str">
        <x:v>14.227553547861783</x:v>
      </x:c>
      <x:c r="J856" s="6" t="str">
        <x:v>31</x:v>
      </x:c>
      <x:c r="K856" s="6" t="str">
        <x:v>441.0541599837153</x:v>
      </x:c>
      <x:c r="L856" s="6" t="str">
        <x:v>26.25894227373965</x:v>
      </x:c>
      <x:c r="M856" s="6" t="str">
        <x:v>0.25545666145263074</x:v>
      </x:c>
      <x:c r="N856" s="6" t="str">
        <x:v>90.35933418240379</x:v>
      </x:c>
      <x:c r="O856" s="6" t="str">
        <x:v>1.5042587778330998</x:v>
      </x:c>
      <x:c r="P856" s="6" t="str">
        <x:v>341.4104663323953</x:v>
      </x:c>
      <x:c r="Q856" s="6" t="str">
        <x:v>137.4083330376706</x:v>
      </x:c>
      <x:c r="R856" s="6" t="str">
        <x:v>0.41332429323906794</x:v>
      </x:c>
      <x:c r="S856" s="8" t="str">
        <x:v>1.617982051784195</x:v>
      </x:c>
      <x:c r="T856" s="6" t="str">
        <x:v>0.9950435049882174</x:v>
      </x:c>
      <x:c r="U856" s="8" t="str">
        <x:v>0.6614842603222749</x:v>
      </x:c>
      <x:c r="V856" s="6" t="str">
        <x:v>99.64369365132</x:v>
      </x:c>
      <x:c r="W856" s="8" t="str">
        <x:v>0.7251648531679853</x:v>
      </x:c>
      <x:c r="X856" s="6" t="str">
        <x:v>1.0736663926001335</x:v>
      </x:c>
      <x:c r="Y856" s="6" t="str">
        <x:v>0.7499412096523548</x:v>
      </x:c>
      <x:c r="Z856" s="6" t="str">
        <x:v>1.1471965513455613</x:v>
      </x:c>
      <x:c r="AA856" s="6" t="str">
        <x:v>0.08723859425718679</x:v>
      </x:c>
      <x:c r="AB856" s="6" t="str">
        <x:v>0.544877106791401</x:v>
      </x:c>
      <x:c r="AC856" s="6" t="str">
        <x:v>0.4311999871236207</x:v>
      </x:c>
      <x:c r="AD856" s="6" t="str">
        <x:v>-1.1364215448750026</x:v>
      </x:c>
      <x:c r="AE856" s="6" t="str">
        <x:v>1.0484072891280778</x:v>
      </x:c>
      <x:c r="AF856" s="6" t="str">
        <x:v>0.2123835324736866</x:v>
      </x:c>
      <x:c r="AG856" s="6" t="str">
        <x:v>0</x:v>
      </x:c>
      <x:c r="AH856" s="6" t="str">
        <x:v>1</x:v>
      </x:c>
      <x:c r="AI856" s="6" t="str">
        <x:v>2025-03</x:v>
      </x:c>
      <x:c r="AJ856" s="9" t="str">
        <x:v>NASA POWER (MERRA-2 meteorology)</x:v>
      </x:c>
      <x:c r="AK856" s="9" t="str">
        <x:v>Badan Informasi Geospasial (BIG)</x:v>
      </x:c>
      <x:c r="AL856" s="9" t="str">
        <x:v>https://power.larc.nasa.gov/docs/services/api/temporal/monthly/</x:v>
      </x:c>
      <x:c r="AM856" s="9" t="str">
        <x:v>https://geoservices.big.go.id/rbi/rest/services/BATASWILAYAH/BATAS_WILAYAH/MapServer/12</x:v>
      </x:c>
    </x:row>
    <x:row r="857" ht="18" customHeight="1">
      <x:c r="A857" s="6" t="str">
        <x:v>95</x:v>
      </x:c>
      <x:c r="B857" s="6" t="str">
        <x:v>PAPUA SELATAN</x:v>
      </x:c>
      <x:c r="C857" s="6" t="str">
        <x:v>2025</x:v>
      </x:c>
      <x:c r="D857" s="6" t="str">
        <x:v>4</x:v>
      </x:c>
      <x:c r="E857" s="6" t="str">
        <x:v>26.370955933500674</x:v>
      </x:c>
      <x:c r="F857" s="9" t="str">
        <x:v>grid_cells_within_BIG_polygon</x:v>
      </x:c>
      <x:c r="G857" s="6" t="str">
        <x:v>29</x:v>
      </x:c>
      <x:c r="H857" s="8" t="str">
        <x:v>91.69256126191551</x:v>
      </x:c>
      <x:c r="I857" s="6" t="str">
        <x:v>13.23010593132327</x:v>
      </x:c>
      <x:c r="J857" s="6" t="str">
        <x:v>30</x:v>
      </x:c>
      <x:c r="K857" s="6" t="str">
        <x:v>396.9031779396981</x:v>
      </x:c>
      <x:c r="L857" s="6" t="str">
        <x:v>26.19215288170596</x:v>
      </x:c>
      <x:c r="M857" s="6" t="str">
        <x:v>0.3192771715271607</x:v>
      </x:c>
      <x:c r="N857" s="6" t="str">
        <x:v>90.69160092165872</x:v>
      </x:c>
      <x:c r="O857" s="6" t="str">
        <x:v>1.4633400589525853</x:v>
      </x:c>
      <x:c r="P857" s="6" t="str">
        <x:v>314.1743938465166</x:v>
      </x:c>
      <x:c r="Q857" s="6" t="str">
        <x:v>99.0131599682983</x:v>
      </x:c>
      <x:c r="R857" s="6" t="str">
        <x:v>0.1788030517947128</x:v>
      </x:c>
      <x:c r="S857" s="8" t="str">
        <x:v>0.5600245421226495</x:v>
      </x:c>
      <x:c r="T857" s="6" t="str">
        <x:v>1.0009603402567961</x:v>
      </x:c>
      <x:c r="U857" s="8" t="str">
        <x:v>0.684024423532322</x:v>
      </x:c>
      <x:c r="V857" s="6" t="str">
        <x:v>82.7287840931815</x:v>
      </x:c>
      <x:c r="W857" s="8" t="str">
        <x:v>0.8355332171972829</x:v>
      </x:c>
      <x:c r="X857" s="6" t="str">
        <x:v>1.617982051784195</x:v>
      </x:c>
      <x:c r="Y857" s="6" t="str">
        <x:v>1.0736663926001335</x:v>
      </x:c>
      <x:c r="Z857" s="6" t="str">
        <x:v>1.0838909955023264</x:v>
      </x:c>
      <x:c r="AA857" s="6" t="str">
        <x:v>0.6614842603222749</x:v>
      </x:c>
      <x:c r="AB857" s="6" t="str">
        <x:v>0.08723859425718679</x:v>
      </x:c>
      <x:c r="AC857" s="6" t="str">
        <x:v>0.477582426037261</x:v>
      </x:c>
      <x:c r="AD857" s="6" t="str">
        <x:v>0.7251648531679853</x:v>
      </x:c>
      <x:c r="AE857" s="6" t="str">
        <x:v>-1.1364215448750026</x:v>
      </x:c>
      <x:c r="AF857" s="6" t="str">
        <x:v>0.14142550849675498</x:v>
      </x:c>
      <x:c r="AG857" s="6" t="str">
        <x:v>0</x:v>
      </x:c>
      <x:c r="AH857" s="6" t="str">
        <x:v>0</x:v>
      </x:c>
      <x:c r="AI857" s="6" t="str">
        <x:v>2025-04</x:v>
      </x:c>
      <x:c r="AJ857" s="9" t="str">
        <x:v>NASA POWER (MERRA-2 meteorology)</x:v>
      </x:c>
      <x:c r="AK857" s="9" t="str">
        <x:v>Badan Informasi Geospasial (BIG)</x:v>
      </x:c>
      <x:c r="AL857" s="9" t="str">
        <x:v>https://power.larc.nasa.gov/docs/services/api/temporal/monthly/</x:v>
      </x:c>
      <x:c r="AM857" s="9" t="str">
        <x:v>https://geoservices.big.go.id/rbi/rest/services/BATASWILAYAH/BATAS_WILAYAH/MapServer/12</x:v>
      </x:c>
    </x:row>
    <x:row r="858" ht="18" customHeight="1">
      <x:c r="A858" s="6" t="str">
        <x:v>95</x:v>
      </x:c>
      <x:c r="B858" s="6" t="str">
        <x:v>PAPUA SELATAN</x:v>
      </x:c>
      <x:c r="C858" s="6" t="str">
        <x:v>2025</x:v>
      </x:c>
      <x:c r="D858" s="6" t="str">
        <x:v>5</x:v>
      </x:c>
      <x:c r="E858" s="6" t="str">
        <x:v>26.476244865282254</x:v>
      </x:c>
      <x:c r="F858" s="9" t="str">
        <x:v>grid_cells_within_BIG_polygon</x:v>
      </x:c>
      <x:c r="G858" s="6" t="str">
        <x:v>29</x:v>
      </x:c>
      <x:c r="H858" s="8" t="str">
        <x:v>93.01850509759561</x:v>
      </x:c>
      <x:c r="I858" s="6" t="str">
        <x:v>12.122594524390593</x:v>
      </x:c>
      <x:c r="J858" s="6" t="str">
        <x:v>31</x:v>
      </x:c>
      <x:c r="K858" s="6" t="str">
        <x:v>375.80043025610837</x:v>
      </x:c>
      <x:c r="L858" s="6" t="str">
        <x:v>25.9329053574782</x:v>
      </x:c>
      <x:c r="M858" s="6" t="str">
        <x:v>0.504826559561624</x:v>
      </x:c>
      <x:c r="N858" s="6" t="str">
        <x:v>90.037200972908</x:v>
      </x:c>
      <x:c r="O858" s="6" t="str">
        <x:v>3.427851160252319</x:v>
      </x:c>
      <x:c r="P858" s="6" t="str">
        <x:v>243.804533384961</x:v>
      </x:c>
      <x:c r="Q858" s="6" t="str">
        <x:v>108.6593483012425</x:v>
      </x:c>
      <x:c r="R858" s="6" t="str">
        <x:v>0.5433395078040526</x:v>
      </x:c>
      <x:c r="S858" s="8" t="str">
        <x:v>1.0762894651895336</x:v>
      </x:c>
      <x:c r="T858" s="6" t="str">
        <x:v>2.981304124687611</x:v>
      </x:c>
      <x:c r="U858" s="8" t="str">
        <x:v>0.8697297476790566</x:v>
      </x:c>
      <x:c r="V858" s="6" t="str">
        <x:v>131.99589687114738</x:v>
      </x:c>
      <x:c r="W858" s="8" t="str">
        <x:v>1.2147679784090701</x:v>
      </x:c>
      <x:c r="X858" s="6" t="str">
        <x:v>0.5600245421226495</x:v>
      </x:c>
      <x:c r="Y858" s="6" t="str">
        <x:v>1.617982051784195</x:v>
      </x:c>
      <x:c r="Z858" s="6" t="str">
        <x:v>1.0847653530321264</x:v>
      </x:c>
      <x:c r="AA858" s="6" t="str">
        <x:v>0.684024423532322</x:v>
      </x:c>
      <x:c r="AB858" s="6" t="str">
        <x:v>0.6614842603222749</x:v>
      </x:c>
      <x:c r="AC858" s="6" t="str">
        <x:v>0.7384128105112175</x:v>
      </x:c>
      <x:c r="AD858" s="6" t="str">
        <x:v>0.8355332171972829</x:v>
      </x:c>
      <x:c r="AE858" s="6" t="str">
        <x:v>0.7251648531679853</x:v>
      </x:c>
      <x:c r="AF858" s="6" t="str">
        <x:v>0.9251553495914459</x:v>
      </x:c>
      <x:c r="AG858" s="6" t="str">
        <x:v>1</x:v>
      </x:c>
      <x:c r="AH858" s="6" t="str">
        <x:v>1</x:v>
      </x:c>
      <x:c r="AI858" s="6" t="str">
        <x:v>2025-05</x:v>
      </x:c>
      <x:c r="AJ858" s="9" t="str">
        <x:v>NASA POWER (MERRA-2 meteorology)</x:v>
      </x:c>
      <x:c r="AK858" s="9" t="str">
        <x:v>Badan Informasi Geospasial (BIG)</x:v>
      </x:c>
      <x:c r="AL858" s="9" t="str">
        <x:v>https://power.larc.nasa.gov/docs/services/api/temporal/monthly/</x:v>
      </x:c>
      <x:c r="AM858" s="9" t="str">
        <x:v>https://geoservices.big.go.id/rbi/rest/services/BATASWILAYAH/BATAS_WILAYAH/MapServer/12</x:v>
      </x:c>
    </x:row>
    <x:row r="859" ht="18" customHeight="1">
      <x:c r="A859" s="6" t="str">
        <x:v>95</x:v>
      </x:c>
      <x:c r="B859" s="6" t="str">
        <x:v>PAPUA SELATAN</x:v>
      </x:c>
      <x:c r="C859" s="6" t="str">
        <x:v>2025</x:v>
      </x:c>
      <x:c r="D859" s="6" t="str">
        <x:v>6</x:v>
      </x:c>
      <x:c r="E859" s="6" t="str">
        <x:v>25.954300557282032</x:v>
      </x:c>
      <x:c r="F859" s="9" t="str">
        <x:v>grid_cells_within_BIG_polygon</x:v>
      </x:c>
      <x:c r="G859" s="6" t="str">
        <x:v>29</x:v>
      </x:c>
      <x:c r="H859" s="8" t="str">
        <x:v>93.38523609415728</x:v>
      </x:c>
      <x:c r="I859" s="6" t="str">
        <x:v>17.873545738493288</x:v>
      </x:c>
      <x:c r="J859" s="6" t="str">
        <x:v>30</x:v>
      </x:c>
      <x:c r="K859" s="6" t="str">
        <x:v>536.2063721547986</x:v>
      </x:c>
      <x:c r="L859" s="6" t="str">
        <x:v>25.280360484566177</x:v>
      </x:c>
      <x:c r="M859" s="6" t="str">
        <x:v>0.5330249455225492</x:v>
      </x:c>
      <x:c r="N859" s="6" t="str">
        <x:v>89.38351585292767</x:v>
      </x:c>
      <x:c r="O859" s="6" t="str">
        <x:v>4.310690527734972</x:v>
      </x:c>
      <x:c r="P859" s="6" t="str">
        <x:v>199.6187909230378</x:v>
      </x:c>
      <x:c r="Q859" s="6" t="str">
        <x:v>108.80146670053517</x:v>
      </x:c>
      <x:c r="R859" s="6" t="str">
        <x:v>0.6739400727158547</x:v>
      </x:c>
      <x:c r="S859" s="8" t="str">
        <x:v>1.2643687286627079</x:v>
      </x:c>
      <x:c r="T859" s="6" t="str">
        <x:v>4.001720241229606</x:v>
      </x:c>
      <x:c r="U859" s="8" t="str">
        <x:v>0.9283246420689557</x:v>
      </x:c>
      <x:c r="V859" s="6" t="str">
        <x:v>336.5875812317608</x:v>
      </x:c>
      <x:c r="W859" s="8" t="str">
        <x:v>3.093594153084199</x:v>
      </x:c>
      <x:c r="X859" s="6" t="str">
        <x:v>1.0762894651895336</x:v>
      </x:c>
      <x:c r="Y859" s="6" t="str">
        <x:v>0.5600245421226495</x:v>
      </x:c>
      <x:c r="Z859" s="6" t="str">
        <x:v>0.9668942453249639</x:v>
      </x:c>
      <x:c r="AA859" s="6" t="str">
        <x:v>0.8697297476790566</x:v>
      </x:c>
      <x:c r="AB859" s="6" t="str">
        <x:v>0.684024423532322</x:v>
      </x:c>
      <x:c r="AC859" s="6" t="str">
        <x:v>0.8273596044267778</x:v>
      </x:c>
      <x:c r="AD859" s="6" t="str">
        <x:v>1.2147679784090701</x:v>
      </x:c>
      <x:c r="AE859" s="6" t="str">
        <x:v>0.8355332171972829</x:v>
      </x:c>
      <x:c r="AF859" s="6" t="str">
        <x:v>1.7146317828968505</x:v>
      </x:c>
      <x:c r="AG859" s="6" t="str">
        <x:v>1</x:v>
      </x:c>
      <x:c r="AH859" s="6" t="str">
        <x:v>1</x:v>
      </x:c>
      <x:c r="AI859" s="6" t="str">
        <x:v>2025-06</x:v>
      </x:c>
      <x:c r="AJ859" s="9" t="str">
        <x:v>NASA POWER (MERRA-2 meteorology)</x:v>
      </x:c>
      <x:c r="AK859" s="9" t="str">
        <x:v>Badan Informasi Geospasial (BIG)</x:v>
      </x:c>
      <x:c r="AL859" s="9" t="str">
        <x:v>https://power.larc.nasa.gov/docs/services/api/temporal/monthly/</x:v>
      </x:c>
      <x:c r="AM859" s="9" t="str">
        <x:v>https://geoservices.big.go.id/rbi/rest/services/BATASWILAYAH/BATAS_WILAYAH/MapServer/12</x:v>
      </x:c>
    </x:row>
    <x:row r="860" ht="18" customHeight="1">
      <x:c r="A860" s="6" t="str">
        <x:v>95</x:v>
      </x:c>
      <x:c r="B860" s="6" t="str">
        <x:v>PAPUA SELATAN</x:v>
      </x:c>
      <x:c r="C860" s="6" t="str">
        <x:v>2025</x:v>
      </x:c>
      <x:c r="D860" s="6" t="str">
        <x:v>7</x:v>
      </x:c>
      <x:c r="E860" s="6" t="str">
        <x:v>25.82422701670213</x:v>
      </x:c>
      <x:c r="F860" s="9" t="str">
        <x:v>grid_cells_within_BIG_polygon</x:v>
      </x:c>
      <x:c r="G860" s="6" t="str">
        <x:v>29</x:v>
      </x:c>
      <x:c r="H860" s="8" t="str">
        <x:v>92.57832036896136</x:v>
      </x:c>
      <x:c r="I860" s="6" t="str">
        <x:v>13.553109203108587</x:v>
      </x:c>
      <x:c r="J860" s="6" t="str">
        <x:v>31</x:v>
      </x:c>
      <x:c r="K860" s="6" t="str">
        <x:v>420.1463852963662</x:v>
      </x:c>
      <x:c r="L860" s="6" t="str">
        <x:v>24.70623720107191</x:v>
      </x:c>
      <x:c r="M860" s="6" t="str">
        <x:v>0.6054989853655233</x:v>
      </x:c>
      <x:c r="N860" s="6" t="str">
        <x:v>87.96567044513999</x:v>
      </x:c>
      <x:c r="O860" s="6" t="str">
        <x:v>4.0793009354973275</x:v>
      </x:c>
      <x:c r="P860" s="6" t="str">
        <x:v>144.88093400561246</x:v>
      </x:c>
      <x:c r="Q860" s="6" t="str">
        <x:v>65.10716615018184</x:v>
      </x:c>
      <x:c r="R860" s="6" t="str">
        <x:v>1.1179898156302208</x:v>
      </x:c>
      <x:c r="S860" s="8" t="str">
        <x:v>1.8463942015614125</x:v>
      </x:c>
      <x:c r="T860" s="6" t="str">
        <x:v>4.612649923821365</x:v>
      </x:c>
      <x:c r="U860" s="8" t="str">
        <x:v>1.130745193050832</x:v>
      </x:c>
      <x:c r="V860" s="6" t="str">
        <x:v>275.26545129075373</x:v>
      </x:c>
      <x:c r="W860" s="8" t="str">
        <x:v>4.227882544538992</x:v>
      </x:c>
      <x:c r="X860" s="6" t="str">
        <x:v>1.2643687286627079</x:v>
      </x:c>
      <x:c r="Y860" s="6" t="str">
        <x:v>1.0762894651895336</x:v>
      </x:c>
      <x:c r="Z860" s="6" t="str">
        <x:v>1.3956841318045516</x:v>
      </x:c>
      <x:c r="AA860" s="6" t="str">
        <x:v>0.9283246420689557</x:v>
      </x:c>
      <x:c r="AB860" s="6" t="str">
        <x:v>0.8697297476790566</x:v>
      </x:c>
      <x:c r="AC860" s="6" t="str">
        <x:v>0.9762665275996145</x:v>
      </x:c>
      <x:c r="AD860" s="6" t="str">
        <x:v>3.093594153084199</x:v>
      </x:c>
      <x:c r="AE860" s="6" t="str">
        <x:v>1.2147679784090701</x:v>
      </x:c>
      <x:c r="AF860" s="6" t="str">
        <x:v>2.8454148920107536</x:v>
      </x:c>
      <x:c r="AG860" s="6" t="str">
        <x:v>1</x:v>
      </x:c>
      <x:c r="AH860" s="6" t="str">
        <x:v>1</x:v>
      </x:c>
      <x:c r="AI860" s="6" t="str">
        <x:v>2025-07</x:v>
      </x:c>
      <x:c r="AJ860" s="9" t="str">
        <x:v>NASA POWER (MERRA-2 meteorology)</x:v>
      </x:c>
      <x:c r="AK860" s="9" t="str">
        <x:v>Badan Informasi Geospasial (BIG)</x:v>
      </x:c>
      <x:c r="AL860" s="9" t="str">
        <x:v>https://power.larc.nasa.gov/docs/services/api/temporal/monthly/</x:v>
      </x:c>
      <x:c r="AM860" s="9" t="str">
        <x:v>https://geoservices.big.go.id/rbi/rest/services/BATASWILAYAH/BATAS_WILAYAH/MapServer/12</x:v>
      </x:c>
    </x:row>
    <x:row r="861" ht="18" customHeight="1">
      <x:c r="A861" s="6" t="str">
        <x:v>95</x:v>
      </x:c>
      <x:c r="B861" s="6" t="str">
        <x:v>PAPUA SELATAN</x:v>
      </x:c>
      <x:c r="C861" s="6" t="str">
        <x:v>2025</x:v>
      </x:c>
      <x:c r="D861" s="6" t="str">
        <x:v>8</x:v>
      </x:c>
      <x:c r="E861" s="6" t="str">
        <x:v>25.399807610356703</x:v>
      </x:c>
      <x:c r="F861" s="9" t="str">
        <x:v>grid_cells_within_BIG_polygon</x:v>
      </x:c>
      <x:c r="G861" s="6" t="str">
        <x:v>29</x:v>
      </x:c>
      <x:c r="H861" s="8" t="str">
        <x:v>89.97165296521915</x:v>
      </x:c>
      <x:c r="I861" s="6" t="str">
        <x:v>7.025396039001211</x:v>
      </x:c>
      <x:c r="J861" s="6" t="str">
        <x:v>31</x:v>
      </x:c>
      <x:c r="K861" s="6" t="str">
        <x:v>217.78727720903754</x:v>
      </x:c>
      <x:c r="L861" s="6" t="str">
        <x:v>24.777537758451444</x:v>
      </x:c>
      <x:c r="M861" s="6" t="str">
        <x:v>0.6233158865342048</x:v>
      </x:c>
      <x:c r="N861" s="6" t="str">
        <x:v>85.8816147701758</x:v>
      </x:c>
      <x:c r="O861" s="6" t="str">
        <x:v>5.439449647622684</x:v>
      </x:c>
      <x:c r="P861" s="6" t="str">
        <x:v>153.30058452486375</x:v>
      </x:c>
      <x:c r="Q861" s="6" t="str">
        <x:v>98.1837026804124</x:v>
      </x:c>
      <x:c r="R861" s="6" t="str">
        <x:v>0.6222698519052585</x:v>
      </x:c>
      <x:c r="S861" s="8" t="str">
        <x:v>0.9983218226078554</x:v>
      </x:c>
      <x:c r="T861" s="6" t="str">
        <x:v>4.090038195043348</x:v>
      </x:c>
      <x:c r="U861" s="8" t="str">
        <x:v>0.751921326605331</x:v>
      </x:c>
      <x:c r="V861" s="6" t="str">
        <x:v>64.48669268417379</x:v>
      </x:c>
      <x:c r="W861" s="8" t="str">
        <x:v>0.6567963004418131</x:v>
      </x:c>
      <x:c r="X861" s="6" t="str">
        <x:v>1.8463942015614125</x:v>
      </x:c>
      <x:c r="Y861" s="6" t="str">
        <x:v>1.2643687286627079</x:v>
      </x:c>
      <x:c r="Z861" s="6" t="str">
        <x:v>1.3696949176106592</x:v>
      </x:c>
      <x:c r="AA861" s="6" t="str">
        <x:v>1.130745193050832</x:v>
      </x:c>
      <x:c r="AB861" s="6" t="str">
        <x:v>0.9283246420689557</x:v>
      </x:c>
      <x:c r="AC861" s="6" t="str">
        <x:v>0.9369970539083727</x:v>
      </x:c>
      <x:c r="AD861" s="6" t="str">
        <x:v>4.227882544538992</x:v>
      </x:c>
      <x:c r="AE861" s="6" t="str">
        <x:v>3.093594153084199</x:v>
      </x:c>
      <x:c r="AF861" s="6" t="str">
        <x:v>2.6594243326883347</x:v>
      </x:c>
      <x:c r="AG861" s="6" t="str">
        <x:v>0</x:v>
      </x:c>
      <x:c r="AH861" s="6" t="str">
        <x:v>0</x:v>
      </x:c>
      <x:c r="AI861" s="6" t="str">
        <x:v>2025-08</x:v>
      </x:c>
      <x:c r="AJ861" s="9" t="str">
        <x:v>NASA POWER (MERRA-2 meteorology)</x:v>
      </x:c>
      <x:c r="AK861" s="9" t="str">
        <x:v>Badan Informasi Geospasial (BIG)</x:v>
      </x:c>
      <x:c r="AL861" s="9" t="str">
        <x:v>https://power.larc.nasa.gov/docs/services/api/temporal/monthly/</x:v>
      </x:c>
      <x:c r="AM861" s="9" t="str">
        <x:v>https://geoservices.big.go.id/rbi/rest/services/BATASWILAYAH/BATAS_WILAYAH/MapServer/12</x:v>
      </x:c>
    </x:row>
    <x:row r="862" ht="18" customHeight="1">
      <x:c r="A862" s="6" t="str">
        <x:v>95</x:v>
      </x:c>
      <x:c r="B862" s="6" t="str">
        <x:v>PAPUA SELATAN</x:v>
      </x:c>
      <x:c r="C862" s="6" t="str">
        <x:v>2025</x:v>
      </x:c>
      <x:c r="D862" s="6" t="str">
        <x:v>9</x:v>
      </x:c>
      <x:c r="E862" s="6" t="str">
        <x:v>25.902797574549947</x:v>
      </x:c>
      <x:c r="F862" s="9" t="str">
        <x:v>grid_cells_within_BIG_polygon</x:v>
      </x:c>
      <x:c r="G862" s="6" t="str">
        <x:v>29</x:v>
      </x:c>
      <x:c r="H862" s="8" t="str">
        <x:v>89.99671324801643</x:v>
      </x:c>
      <x:c r="I862" s="6" t="str">
        <x:v>6.765744569295308</x:v>
      </x:c>
      <x:c r="J862" s="6" t="str">
        <x:v>30</x:v>
      </x:c>
      <x:c r="K862" s="6" t="str">
        <x:v>202.97233707885925</x:v>
      </x:c>
      <x:c r="L862" s="6" t="str">
        <x:v>25.614569698198974</x:v>
      </x:c>
      <x:c r="M862" s="6" t="str">
        <x:v>0.7337116483061711</x:v>
      </x:c>
      <x:c r="N862" s="6" t="str">
        <x:v>84.09711656868825</x:v>
      </x:c>
      <x:c r="O862" s="6" t="str">
        <x:v>7.059472043600043</x:v>
      </x:c>
      <x:c r="P862" s="6" t="str">
        <x:v>175.7147890118773</x:v>
      </x:c>
      <x:c r="Q862" s="6" t="str">
        <x:v>100.51909007454125</x:v>
      </x:c>
      <x:c r="R862" s="6" t="str">
        <x:v>0.28822787635097313</x:v>
      </x:c>
      <x:c r="S862" s="8" t="str">
        <x:v>0.3928353557100654</x:v>
      </x:c>
      <x:c r="T862" s="6" t="str">
        <x:v>5.899596679328184</x:v>
      </x:c>
      <x:c r="U862" s="8" t="str">
        <x:v>0.8356994181564362</x:v>
      </x:c>
      <x:c r="V862" s="6" t="str">
        <x:v>27.25754806698197</x:v>
      </x:c>
      <x:c r="W862" s="8" t="str">
        <x:v>0.27116787514459967</x:v>
      </x:c>
      <x:c r="X862" s="6" t="str">
        <x:v>0.9983218226078554</x:v>
      </x:c>
      <x:c r="Y862" s="6" t="str">
        <x:v>1.8463942015614125</x:v>
      </x:c>
      <x:c r="Z862" s="6" t="str">
        <x:v>1.0791837932931114</x:v>
      </x:c>
      <x:c r="AA862" s="6" t="str">
        <x:v>0.751921326605331</x:v>
      </x:c>
      <x:c r="AB862" s="6" t="str">
        <x:v>1.130745193050832</x:v>
      </x:c>
      <x:c r="AC862" s="6" t="str">
        <x:v>0.9061219792708662</x:v>
      </x:c>
      <x:c r="AD862" s="6" t="str">
        <x:v>0.6567963004418131</x:v>
      </x:c>
      <x:c r="AE862" s="6" t="str">
        <x:v>4.227882544538992</x:v>
      </x:c>
      <x:c r="AF862" s="6" t="str">
        <x:v>1.7186155733751347</x:v>
      </x:c>
      <x:c r="AG862" s="6" t="str">
        <x:v>0</x:v>
      </x:c>
      <x:c r="AH862" s="6" t="str">
        <x:v>0</x:v>
      </x:c>
      <x:c r="AI862" s="6" t="str">
        <x:v>2025-09</x:v>
      </x:c>
      <x:c r="AJ862" s="9" t="str">
        <x:v>NASA POWER (MERRA-2 meteorology)</x:v>
      </x:c>
      <x:c r="AK862" s="9" t="str">
        <x:v>Badan Informasi Geospasial (BIG)</x:v>
      </x:c>
      <x:c r="AL862" s="9" t="str">
        <x:v>https://power.larc.nasa.gov/docs/services/api/temporal/monthly/</x:v>
      </x:c>
      <x:c r="AM862" s="9" t="str">
        <x:v>https://geoservices.big.go.id/rbi/rest/services/BATASWILAYAH/BATAS_WILAYAH/MapServer/12</x:v>
      </x:c>
    </x:row>
    <x:row r="863" ht="18" customHeight="1">
      <x:c r="A863" s="6" t="str">
        <x:v>95</x:v>
      </x:c>
      <x:c r="B863" s="6" t="str">
        <x:v>PAPUA SELATAN</x:v>
      </x:c>
      <x:c r="C863" s="6" t="str">
        <x:v>2025</x:v>
      </x:c>
      <x:c r="D863" s="6" t="str">
        <x:v>10</x:v>
      </x:c>
      <x:c r="E863" s="6" t="str">
        <x:v>26.612300049933843</x:v>
      </x:c>
      <x:c r="F863" s="9" t="str">
        <x:v>grid_cells_within_BIG_polygon</x:v>
      </x:c>
      <x:c r="G863" s="6" t="str">
        <x:v>29</x:v>
      </x:c>
      <x:c r="H863" s="8" t="str">
        <x:v>90.62194549923852</x:v>
      </x:c>
      <x:c r="I863" s="6" t="str">
        <x:v>9.787406405112645</x:v>
      </x:c>
      <x:c r="J863" s="6" t="str">
        <x:v>31</x:v>
      </x:c>
      <x:c r="K863" s="6" t="str">
        <x:v>303.409598558492</x:v>
      </x:c>
      <x:c r="L863" s="6" t="str">
        <x:v>26.521351139229484</x:v>
      </x:c>
      <x:c r="M863" s="6" t="str">
        <x:v>0.6809600346018743</x:v>
      </x:c>
      <x:c r="N863" s="6" t="str">
        <x:v>82.98339699157967</x:v>
      </x:c>
      <x:c r="O863" s="6" t="str">
        <x:v>7.96023100519265</x:v>
      </x:c>
      <x:c r="P863" s="6" t="str">
        <x:v>191.606872492026</x:v>
      </x:c>
      <x:c r="Q863" s="6" t="str">
        <x:v>123.66417592736147</x:v>
      </x:c>
      <x:c r="R863" s="6" t="str">
        <x:v>0.09094891070435906</x:v>
      </x:c>
      <x:c r="S863" s="8" t="str">
        <x:v>0.1335598362355181</x:v>
      </x:c>
      <x:c r="T863" s="6" t="str">
        <x:v>7.638548507658854</x:v>
      </x:c>
      <x:c r="U863" s="8" t="str">
        <x:v>0.9595887987014503</x:v>
      </x:c>
      <x:c r="V863" s="6" t="str">
        <x:v>111.802726066466</x:v>
      </x:c>
      <x:c r="W863" s="8" t="str">
        <x:v>0.9040833792652876</x:v>
      </x:c>
      <x:c r="X863" s="6" t="str">
        <x:v>0.3928353557100654</x:v>
      </x:c>
      <x:c r="Y863" s="6" t="str">
        <x:v>0.9983218226078554</x:v>
      </x:c>
      <x:c r="Z863" s="6" t="str">
        <x:v>0.5082390048511466</x:v>
      </x:c>
      <x:c r="AA863" s="6" t="str">
        <x:v>0.8356994181564362</x:v>
      </x:c>
      <x:c r="AB863" s="6" t="str">
        <x:v>0.751921326605331</x:v>
      </x:c>
      <x:c r="AC863" s="6" t="str">
        <x:v>0.8490698478210722</x:v>
      </x:c>
      <x:c r="AD863" s="6" t="str">
        <x:v>0.27116787514459967</x:v>
      </x:c>
      <x:c r="AE863" s="6" t="str">
        <x:v>0.6567963004418131</x:v>
      </x:c>
      <x:c r="AF863" s="6" t="str">
        <x:v>0.6106825182838999</x:v>
      </x:c>
      <x:c r="AG863" s="6" t="str">
        <x:v>0</x:v>
      </x:c>
      <x:c r="AH863" s="6" t="str">
        <x:v>0</x:v>
      </x:c>
      <x:c r="AI863" s="6" t="str">
        <x:v>2025-10</x:v>
      </x:c>
      <x:c r="AJ863" s="9" t="str">
        <x:v>NASA POWER (MERRA-2 meteorology)</x:v>
      </x:c>
      <x:c r="AK863" s="9" t="str">
        <x:v>Badan Informasi Geospasial (BIG)</x:v>
      </x:c>
      <x:c r="AL863" s="9" t="str">
        <x:v>https://power.larc.nasa.gov/docs/services/api/temporal/monthly/</x:v>
      </x:c>
      <x:c r="AM863" s="9" t="str">
        <x:v>https://geoservices.big.go.id/rbi/rest/services/BATASWILAYAH/BATAS_WILAYAH/MapServer/12</x:v>
      </x:c>
    </x:row>
    <x:row r="864" ht="18" customHeight="1">
      <x:c r="A864" s="6" t="str">
        <x:v>95</x:v>
      </x:c>
      <x:c r="B864" s="6" t="str">
        <x:v>PAPUA SELATAN</x:v>
      </x:c>
      <x:c r="C864" s="6" t="str">
        <x:v>2025</x:v>
      </x:c>
      <x:c r="D864" s="6" t="str">
        <x:v>11</x:v>
      </x:c>
      <x:c r="E864" s="6" t="str">
        <x:v>26.829334624464508</x:v>
      </x:c>
      <x:c r="F864" s="9" t="str">
        <x:v>grid_cells_within_BIG_polygon</x:v>
      </x:c>
      <x:c r="G864" s="6" t="str">
        <x:v>29</x:v>
      </x:c>
      <x:c r="H864" s="8" t="str">
        <x:v>89.39477563007748</x:v>
      </x:c>
      <x:c r="I864" s="6" t="str">
        <x:v>10.853295901415924</x:v>
      </x:c>
      <x:c r="J864" s="6" t="str">
        <x:v>30</x:v>
      </x:c>
      <x:c r="K864" s="6" t="str">
        <x:v>325.59887704247774</x:v>
      </x:c>
      <x:c r="L864" s="6" t="str">
        <x:v>27.029321955009994</x:v>
      </x:c>
      <x:c r="M864" s="6" t="str">
        <x:v>0.778710849736572</x:v>
      </x:c>
      <x:c r="N864" s="6" t="str">
        <x:v>84.12436959615789</x:v>
      </x:c>
      <x:c r="O864" s="6" t="str">
        <x:v>7.083322752194464</x:v>
      </x:c>
      <x:c r="P864" s="6" t="str">
        <x:v>225.79973786595434</x:v>
      </x:c>
      <x:c r="Q864" s="6" t="str">
        <x:v>97.85084935763773</x:v>
      </x:c>
      <x:c r="R864" s="6" t="str">
        <x:v>-0.19998733054548623</x:v>
      </x:c>
      <x:c r="S864" s="8" t="str">
        <x:v>-0.2568184719824302</x:v>
      </x:c>
      <x:c r="T864" s="6" t="str">
        <x:v>5.270406033919585</x:v>
      </x:c>
      <x:c r="U864" s="8" t="str">
        <x:v>0.7440584339160283</x:v>
      </x:c>
      <x:c r="V864" s="6" t="str">
        <x:v>99.7991391765234</x:v>
      </x:c>
      <x:c r="W864" s="8" t="str">
        <x:v>1.019910811522594</x:v>
      </x:c>
      <x:c r="X864" s="6" t="str">
        <x:v>0.1335598362355181</x:v>
      </x:c>
      <x:c r="Y864" s="6" t="str">
        <x:v>0.3928353557100654</x:v>
      </x:c>
      <x:c r="Z864" s="6" t="str">
        <x:v>0.08985890665438473</x:v>
      </x:c>
      <x:c r="AA864" s="6" t="str">
        <x:v>0.9595887987014503</x:v>
      </x:c>
      <x:c r="AB864" s="6" t="str">
        <x:v>0.8356994181564362</x:v>
      </x:c>
      <x:c r="AC864" s="6" t="str">
        <x:v>0.8464488835913047</x:v>
      </x:c>
      <x:c r="AD864" s="6" t="str">
        <x:v>0.9040833792652876</x:v>
      </x:c>
      <x:c r="AE864" s="6" t="str">
        <x:v>0.27116787514459967</x:v>
      </x:c>
      <x:c r="AF864" s="6" t="str">
        <x:v>0.7317206886441602</x:v>
      </x:c>
      <x:c r="AG864" s="6" t="str">
        <x:v>1</x:v>
      </x:c>
      <x:c r="AH864" s="6" t="str">
        <x:v>0</x:v>
      </x:c>
      <x:c r="AI864" s="6" t="str">
        <x:v>2025-11</x:v>
      </x:c>
      <x:c r="AJ864" s="9" t="str">
        <x:v>NASA POWER (MERRA-2 meteorology)</x:v>
      </x:c>
      <x:c r="AK864" s="9" t="str">
        <x:v>Badan Informasi Geospasial (BIG)</x:v>
      </x:c>
      <x:c r="AL864" s="9" t="str">
        <x:v>https://power.larc.nasa.gov/docs/services/api/temporal/monthly/</x:v>
      </x:c>
      <x:c r="AM864" s="9" t="str">
        <x:v>https://geoservices.big.go.id/rbi/rest/services/BATASWILAYAH/BATAS_WILAYAH/MapServer/12</x:v>
      </x:c>
    </x:row>
    <x:row r="865" ht="18" customHeight="1">
      <x:c r="A865" s="6" t="str">
        <x:v>95</x:v>
      </x:c>
      <x:c r="B865" s="6" t="str">
        <x:v>PAPUA SELATAN</x:v>
      </x:c>
      <x:c r="C865" s="6" t="str">
        <x:v>2025</x:v>
      </x:c>
      <x:c r="D865" s="6" t="str">
        <x:v>12</x:v>
      </x:c>
      <x:c r="E865" s="6" t="str">
        <x:v>26.783115004134473</x:v>
      </x:c>
      <x:c r="F865" s="9" t="str">
        <x:v>grid_cells_within_BIG_polygon</x:v>
      </x:c>
      <x:c r="G865" s="6" t="str">
        <x:v>29</x:v>
      </x:c>
      <x:c r="H865" s="8" t="str">
        <x:v>89.77210555154785</x:v>
      </x:c>
      <x:c r="I865" s="6" t="str">
        <x:v>13.606327164517817</x:v>
      </x:c>
      <x:c r="J865" s="6" t="str">
        <x:v>31</x:v>
      </x:c>
      <x:c r="K865" s="6" t="str">
        <x:v>421.7961421000523</x:v>
      </x:c>
      <x:c r="L865" s="6" t="str">
        <x:v>26.84873270064524</x:v>
      </x:c>
      <x:c r="M865" s="6" t="str">
        <x:v>0.4922195269703783</x:v>
      </x:c>
      <x:c r="N865" s="6" t="str">
        <x:v>87.42122827590241</x:v>
      </x:c>
      <x:c r="O865" s="6" t="str">
        <x:v>3.917476158523689</x:v>
      </x:c>
      <x:c r="P865" s="6" t="str">
        <x:v>296.0927429178771</x:v>
      </x:c>
      <x:c r="Q865" s="6" t="str">
        <x:v>114.14467590576089</x:v>
      </x:c>
      <x:c r="R865" s="6" t="str">
        <x:v>-0.06561769651076688</x:v>
      </x:c>
      <x:c r="S865" s="8" t="str">
        <x:v>-0.1333098199387684</x:v>
      </x:c>
      <x:c r="T865" s="6" t="str">
        <x:v>2.350877275645445</x:v>
      </x:c>
      <x:c r="U865" s="8" t="str">
        <x:v>0.6000999573489119</x:v>
      </x:c>
      <x:c r="V865" s="6" t="str">
        <x:v>125.70339918217519</x:v>
      </x:c>
      <x:c r="W865" s="8" t="str">
        <x:v>1.101263796884905</x:v>
      </x:c>
      <x:c r="X865" s="6" t="str">
        <x:v>-0.2568184719824302</x:v>
      </x:c>
      <x:c r="Y865" s="6" t="str">
        <x:v>0.1335598362355181</x:v>
      </x:c>
      <x:c r="Z865" s="6" t="str">
        <x:v>-0.0855228185618932</x:v>
      </x:c>
      <x:c r="AA865" s="6" t="str">
        <x:v>0.7440584339160283</x:v>
      </x:c>
      <x:c r="AB865" s="6" t="str">
        <x:v>0.9595887987014503</x:v>
      </x:c>
      <x:c r="AC865" s="6" t="str">
        <x:v>0.7679157299887965</x:v>
      </x:c>
      <x:c r="AD865" s="6" t="str">
        <x:v>1.019910811522594</x:v>
      </x:c>
      <x:c r="AE865" s="6" t="str">
        <x:v>0.9040833792652876</x:v>
      </x:c>
      <x:c r="AF865" s="6" t="str">
        <x:v>1.008419329224262</x:v>
      </x:c>
      <x:c r="AG865" s="6" t="str">
        <x:v>1</x:v>
      </x:c>
      <x:c r="AH865" s="6" t="str">
        <x:v>0</x:v>
      </x:c>
      <x:c r="AI865" s="6" t="str">
        <x:v>2025-12</x:v>
      </x:c>
      <x:c r="AJ865" s="9" t="str">
        <x:v>NASA POWER (MERRA-2 meteorology)</x:v>
      </x:c>
      <x:c r="AK865" s="9" t="str">
        <x:v>Badan Informasi Geospasial (BIG)</x:v>
      </x:c>
      <x:c r="AL865" s="9" t="str">
        <x:v>https://power.larc.nasa.gov/docs/services/api/temporal/monthly/</x:v>
      </x:c>
      <x:c r="AM865" s="9" t="str">
        <x:v>https://geoservices.big.go.id/rbi/rest/services/BATASWILAYAH/BATAS_WILAYAH/MapServer/12</x:v>
      </x:c>
    </x:row>
    <x:row r="866" ht="18" customHeight="1">
      <x:c r="A866" s="6" t="str">
        <x:v>96</x:v>
      </x:c>
      <x:c r="B866" s="6" t="str">
        <x:v>PAPUA TENGAH</x:v>
      </x:c>
      <x:c r="C866" s="6" t="str">
        <x:v>2024</x:v>
      </x:c>
      <x:c r="D866" s="6" t="str">
        <x:v>1</x:v>
      </x:c>
      <x:c r="E866" s="6" t="str">
        <x:v>22.440365667292568</x:v>
      </x:c>
      <x:c r="F866" s="9" t="str">
        <x:v>grid_cells_within_BIG_polygon</x:v>
      </x:c>
      <x:c r="G866" s="6" t="str">
        <x:v>15</x:v>
      </x:c>
      <x:c r="H866" s="8" t="str">
        <x:v>90.03889168347236</x:v>
      </x:c>
      <x:c r="I866" s="6" t="str">
        <x:v>7.615206546144171</x:v>
      </x:c>
      <x:c r="J866" s="6" t="str">
        <x:v>31</x:v>
      </x:c>
      <x:c r="K866" s="6" t="str">
        <x:v>236.0714029304693</x:v>
      </x:c>
      <x:c r="L866" s="6" t="str">
        <x:v>21.56711710979706</x:v>
      </x:c>
      <x:c r="M866" s="6" t="str">
        <x:v>0.27045150090035514</x:v>
      </x:c>
      <x:c r="N866" s="6" t="str">
        <x:v>90.51102140140988</x:v>
      </x:c>
      <x:c r="O866" s="6" t="str">
        <x:v>0.8527267519123546</x:v>
      </x:c>
      <x:c r="P866" s="6" t="str">
        <x:v>282.9522623131337</x:v>
      </x:c>
      <x:c r="Q866" s="6" t="str">
        <x:v>82.34849211689617</x:v>
      </x:c>
      <x:c r="R866" s="6" t="str">
        <x:v>0.8732485574955078</x:v>
      </x:c>
      <x:c r="S866" s="8" t="str">
        <x:v>3.228854543562864</x:v>
      </x:c>
      <x:c r="T866" s="6" t="str">
        <x:v>-0.4721297179375199</x:v>
      </x:c>
      <x:c r="U866" s="8" t="str">
        <x:v>-0.5536705830779971</x:v>
      </x:c>
      <x:c r="V866" s="6" t="str">
        <x:v>-46.8808593826644</x:v>
      </x:c>
      <x:c r="W866" s="8" t="str">
        <x:v>-0.5692983341591198</x:v>
      </x:c>
      <x:c r="X866" s="6" t="str">
        <x:v>3.5018252689137275</x:v>
      </x:c>
      <x:c r="Y866" s="6" t="str">
        <x:v>4.013398925397185</x:v>
      </x:c>
      <x:c r="Z866" s="6" t="str">
        <x:v>3.5813595792912594</x:v>
      </x:c>
      <x:c r="AA866" s="6" t="str">
        <x:v>-1.0252894943614954</x:v>
      </x:c>
      <x:c r="AB866" s="6" t="str">
        <x:v>-0.5894581082554798</x:v>
      </x:c>
      <x:c r="AC866" s="6" t="str">
        <x:v>-0.722806061898325</x:v>
      </x:c>
      <x:c r="AD866" s="6" t="str">
        <x:v>0.0545240448526342</x:v>
      </x:c>
      <x:c r="AE866" s="6" t="str">
        <x:v>-1.3881316091067892</x:v>
      </x:c>
      <x:c r="AF866" s="6" t="str">
        <x:v>-0.634301966137758</x:v>
      </x:c>
      <x:c r="AG866" s="6" t="str">
        <x:v>0</x:v>
      </x:c>
      <x:c r="AH866" s="6" t="str">
        <x:v>1</x:v>
      </x:c>
      <x:c r="AI866" s="6" t="str">
        <x:v>2024-01</x:v>
      </x:c>
      <x:c r="AJ866" s="9" t="str">
        <x:v>NASA POWER (MERRA-2 meteorology)</x:v>
      </x:c>
      <x:c r="AK866" s="9" t="str">
        <x:v>Badan Informasi Geospasial (BIG)</x:v>
      </x:c>
      <x:c r="AL866" s="9" t="str">
        <x:v>https://power.larc.nasa.gov/docs/services/api/temporal/monthly/</x:v>
      </x:c>
      <x:c r="AM866" s="9" t="str">
        <x:v>https://geoservices.big.go.id/rbi/rest/services/BATASWILAYAH/BATAS_WILAYAH/MapServer/12</x:v>
      </x:c>
    </x:row>
    <x:row r="867" ht="18" customHeight="1">
      <x:c r="A867" s="6" t="str">
        <x:v>96</x:v>
      </x:c>
      <x:c r="B867" s="6" t="str">
        <x:v>PAPUA TENGAH</x:v>
      </x:c>
      <x:c r="C867" s="6" t="str">
        <x:v>2024</x:v>
      </x:c>
      <x:c r="D867" s="6" t="str">
        <x:v>2</x:v>
      </x:c>
      <x:c r="E867" s="6" t="str">
        <x:v>22.62689331897829</x:v>
      </x:c>
      <x:c r="F867" s="9" t="str">
        <x:v>grid_cells_within_BIG_polygon</x:v>
      </x:c>
      <x:c r="G867" s="6" t="str">
        <x:v>15</x:v>
      </x:c>
      <x:c r="H867" s="8" t="str">
        <x:v>89.11559905231894</x:v>
      </x:c>
      <x:c r="I867" s="6" t="str">
        <x:v>8.076283577248416</x:v>
      </x:c>
      <x:c r="J867" s="6" t="str">
        <x:v>29</x:v>
      </x:c>
      <x:c r="K867" s="6" t="str">
        <x:v>234.21222374020408</x:v>
      </x:c>
      <x:c r="L867" s="6" t="str">
        <x:v>21.502489215799987</x:v>
      </x:c>
      <x:c r="M867" s="6" t="str">
        <x:v>0.2726807982503265</x:v>
      </x:c>
      <x:c r="N867" s="6" t="str">
        <x:v>90.56530028210308</x:v>
      </x:c>
      <x:c r="O867" s="6" t="str">
        <x:v>0.9761341978371144</x:v>
      </x:c>
      <x:c r="P867" s="6" t="str">
        <x:v>258.43727988401884</x:v>
      </x:c>
      <x:c r="Q867" s="6" t="str">
        <x:v>74.42871507572096</x:v>
      </x:c>
      <x:c r="R867" s="6" t="str">
        <x:v>1.1244041031783034</x:v>
      </x:c>
      <x:c r="S867" s="8" t="str">
        <x:v>4.123517718860708</x:v>
      </x:c>
      <x:c r="T867" s="6" t="str">
        <x:v>-1.4497012297841394</x:v>
      </x:c>
      <x:c r="U867" s="8" t="str">
        <x:v>-1.4851454164768934</x:v>
      </x:c>
      <x:c r="V867" s="6" t="str">
        <x:v>-24.225056143814754</x:v>
      </x:c>
      <x:c r="W867" s="8" t="str">
        <x:v>-0.3254799726042442</x:v>
      </x:c>
      <x:c r="X867" s="6" t="str">
        <x:v>3.228854543562864</x:v>
      </x:c>
      <x:c r="Y867" s="6" t="str">
        <x:v>3.5018252689137275</x:v>
      </x:c>
      <x:c r="Z867" s="6" t="str">
        <x:v>3.6180658437791</x:v>
      </x:c>
      <x:c r="AA867" s="6" t="str">
        <x:v>-0.5536705830779971</x:v>
      </x:c>
      <x:c r="AB867" s="6" t="str">
        <x:v>-1.0252894943614954</x:v>
      </x:c>
      <x:c r="AC867" s="6" t="str">
        <x:v>-1.0213684979721294</x:v>
      </x:c>
      <x:c r="AD867" s="6" t="str">
        <x:v>-0.5692983341591198</x:v>
      </x:c>
      <x:c r="AE867" s="6" t="str">
        <x:v>0.0545240448526342</x:v>
      </x:c>
      <x:c r="AF867" s="6" t="str">
        <x:v>-0.28008475397024296</x:v>
      </x:c>
      <x:c r="AG867" s="6" t="str">
        <x:v>0</x:v>
      </x:c>
      <x:c r="AH867" s="6" t="str">
        <x:v>1</x:v>
      </x:c>
      <x:c r="AI867" s="6" t="str">
        <x:v>2024-02</x:v>
      </x:c>
      <x:c r="AJ867" s="9" t="str">
        <x:v>NASA POWER (MERRA-2 meteorology)</x:v>
      </x:c>
      <x:c r="AK867" s="9" t="str">
        <x:v>Badan Informasi Geospasial (BIG)</x:v>
      </x:c>
      <x:c r="AL867" s="9" t="str">
        <x:v>https://power.larc.nasa.gov/docs/services/api/temporal/monthly/</x:v>
      </x:c>
      <x:c r="AM867" s="9" t="str">
        <x:v>https://geoservices.big.go.id/rbi/rest/services/BATASWILAYAH/BATAS_WILAYAH/MapServer/12</x:v>
      </x:c>
    </x:row>
    <x:row r="868" ht="18" customHeight="1">
      <x:c r="A868" s="6" t="str">
        <x:v>96</x:v>
      </x:c>
      <x:c r="B868" s="6" t="str">
        <x:v>PAPUA TENGAH</x:v>
      </x:c>
      <x:c r="C868" s="6" t="str">
        <x:v>2024</x:v>
      </x:c>
      <x:c r="D868" s="6" t="str">
        <x:v>3</x:v>
      </x:c>
      <x:c r="E868" s="6" t="str">
        <x:v>22.474312236882923</x:v>
      </x:c>
      <x:c r="F868" s="9" t="str">
        <x:v>grid_cells_within_BIG_polygon</x:v>
      </x:c>
      <x:c r="G868" s="6" t="str">
        <x:v>15</x:v>
      </x:c>
      <x:c r="H868" s="8" t="str">
        <x:v>90.87236371475302</x:v>
      </x:c>
      <x:c r="I868" s="6" t="str">
        <x:v>11.723379894031988</x:v>
      </x:c>
      <x:c r="J868" s="6" t="str">
        <x:v>31</x:v>
      </x:c>
      <x:c r="K868" s="6" t="str">
        <x:v>363.4247767149916</x:v>
      </x:c>
      <x:c r="L868" s="6" t="str">
        <x:v>21.52803968522069</x:v>
      </x:c>
      <x:c r="M868" s="6" t="str">
        <x:v>0.23973861467229754</x:v>
      </x:c>
      <x:c r="N868" s="6" t="str">
        <x:v>90.81856889668366</x:v>
      </x:c>
      <x:c r="O868" s="6" t="str">
        <x:v>1.0351224008247195</x:v>
      </x:c>
      <x:c r="P868" s="6" t="str">
        <x:v>308.015753839899</x:v>
      </x:c>
      <x:c r="Q868" s="6" t="str">
        <x:v>93.5677349176601</x:v>
      </x:c>
      <x:c r="R868" s="6" t="str">
        <x:v>0.9462725516622328</x:v>
      </x:c>
      <x:c r="S868" s="8" t="str">
        <x:v>3.9471011082453593</x:v>
      </x:c>
      <x:c r="T868" s="6" t="str">
        <x:v>0.05379481806936326</x:v>
      </x:c>
      <x:c r="U868" s="8" t="str">
        <x:v>0.05196952362976879</x:v>
      </x:c>
      <x:c r="V868" s="6" t="str">
        <x:v>55.4090228750926</x:v>
      </x:c>
      <x:c r="W868" s="8" t="str">
        <x:v>0.5921808722189622</x:v>
      </x:c>
      <x:c r="X868" s="6" t="str">
        <x:v>4.123517718860708</x:v>
      </x:c>
      <x:c r="Y868" s="6" t="str">
        <x:v>3.228854543562864</x:v>
      </x:c>
      <x:c r="Z868" s="6" t="str">
        <x:v>3.7664911235563108</x:v>
      </x:c>
      <x:c r="AA868" s="6" t="str">
        <x:v>-1.4851454164768934</x:v>
      </x:c>
      <x:c r="AB868" s="6" t="str">
        <x:v>-0.5536705830779971</x:v>
      </x:c>
      <x:c r="AC868" s="6" t="str">
        <x:v>-0.662282158641708</x:v>
      </x:c>
      <x:c r="AD868" s="6" t="str">
        <x:v>-0.3254799726042442</x:v>
      </x:c>
      <x:c r="AE868" s="6" t="str">
        <x:v>-0.5692983341591198</x:v>
      </x:c>
      <x:c r="AF868" s="6" t="str">
        <x:v>-0.1008658115148003</x:v>
      </x:c>
      <x:c r="AG868" s="6" t="str">
        <x:v>0</x:v>
      </x:c>
      <x:c r="AH868" s="6" t="str">
        <x:v>1</x:v>
      </x:c>
      <x:c r="AI868" s="6" t="str">
        <x:v>2024-03</x:v>
      </x:c>
      <x:c r="AJ868" s="9" t="str">
        <x:v>NASA POWER (MERRA-2 meteorology)</x:v>
      </x:c>
      <x:c r="AK868" s="9" t="str">
        <x:v>Badan Informasi Geospasial (BIG)</x:v>
      </x:c>
      <x:c r="AL868" s="9" t="str">
        <x:v>https://power.larc.nasa.gov/docs/services/api/temporal/monthly/</x:v>
      </x:c>
      <x:c r="AM868" s="9" t="str">
        <x:v>https://geoservices.big.go.id/rbi/rest/services/BATASWILAYAH/BATAS_WILAYAH/MapServer/12</x:v>
      </x:c>
    </x:row>
    <x:row r="869" ht="18" customHeight="1">
      <x:c r="A869" s="6" t="str">
        <x:v>96</x:v>
      </x:c>
      <x:c r="B869" s="6" t="str">
        <x:v>PAPUA TENGAH</x:v>
      </x:c>
      <x:c r="C869" s="6" t="str">
        <x:v>2024</x:v>
      </x:c>
      <x:c r="D869" s="6" t="str">
        <x:v>4</x:v>
      </x:c>
      <x:c r="E869" s="6" t="str">
        <x:v>22.527015210920652</x:v>
      </x:c>
      <x:c r="F869" s="9" t="str">
        <x:v>grid_cells_within_BIG_polygon</x:v>
      </x:c>
      <x:c r="G869" s="6" t="str">
        <x:v>15</x:v>
      </x:c>
      <x:c r="H869" s="8" t="str">
        <x:v>92.1029067439675</x:v>
      </x:c>
      <x:c r="I869" s="6" t="str">
        <x:v>11.447553315182217</x:v>
      </x:c>
      <x:c r="J869" s="6" t="str">
        <x:v>30</x:v>
      </x:c>
      <x:c r="K869" s="6" t="str">
        <x:v>343.42659945546654</x:v>
      </x:c>
      <x:c r="L869" s="6" t="str">
        <x:v>21.58644666063303</x:v>
      </x:c>
      <x:c r="M869" s="6" t="str">
        <x:v>0.27047277211743975</x:v>
      </x:c>
      <x:c r="N869" s="6" t="str">
        <x:v>91.84592288557297</x:v>
      </x:c>
      <x:c r="O869" s="6" t="str">
        <x:v>0.7921470805854338</x:v>
      </x:c>
      <x:c r="P869" s="6" t="str">
        <x:v>316.72524297954175</x:v>
      </x:c>
      <x:c r="Q869" s="6" t="str">
        <x:v>81.25798852644381</x:v>
      </x:c>
      <x:c r="R869" s="6" t="str">
        <x:v>0.9405685502876224</x:v>
      </x:c>
      <x:c r="S869" s="8" t="str">
        <x:v>3.4774980968480844</x:v>
      </x:c>
      <x:c r="T869" s="6" t="str">
        <x:v>0.25698385839451987</x:v>
      </x:c>
      <x:c r="U869" s="8" t="str">
        <x:v>0.32441432240663787</x:v>
      </x:c>
      <x:c r="V869" s="6" t="str">
        <x:v>26.701356475924797</x:v>
      </x:c>
      <x:c r="W869" s="8" t="str">
        <x:v>0.3285997716671927</x:v>
      </x:c>
      <x:c r="X869" s="6" t="str">
        <x:v>3.9471011082453593</x:v>
      </x:c>
      <x:c r="Y869" s="6" t="str">
        <x:v>4.123517718860708</x:v>
      </x:c>
      <x:c r="Z869" s="6" t="str">
        <x:v>3.8493723079847175</x:v>
      </x:c>
      <x:c r="AA869" s="6" t="str">
        <x:v>0.05196952362976879</x:v>
      </x:c>
      <x:c r="AB869" s="6" t="str">
        <x:v>-1.4851454164768934</x:v>
      </x:c>
      <x:c r="AC869" s="6" t="str">
        <x:v>-0.3695871901468298</x:v>
      </x:c>
      <x:c r="AD869" s="6" t="str">
        <x:v>0.5921808722189622</x:v>
      </x:c>
      <x:c r="AE869" s="6" t="str">
        <x:v>-0.3254799726042442</x:v>
      </x:c>
      <x:c r="AF869" s="6" t="str">
        <x:v>0.1984335570939705</x:v>
      </x:c>
      <x:c r="AG869" s="6" t="str">
        <x:v>0</x:v>
      </x:c>
      <x:c r="AH869" s="6" t="str">
        <x:v>1</x:v>
      </x:c>
      <x:c r="AI869" s="6" t="str">
        <x:v>2024-04</x:v>
      </x:c>
      <x:c r="AJ869" s="9" t="str">
        <x:v>NASA POWER (MERRA-2 meteorology)</x:v>
      </x:c>
      <x:c r="AK869" s="9" t="str">
        <x:v>Badan Informasi Geospasial (BIG)</x:v>
      </x:c>
      <x:c r="AL869" s="9" t="str">
        <x:v>https://power.larc.nasa.gov/docs/services/api/temporal/monthly/</x:v>
      </x:c>
      <x:c r="AM869" s="9" t="str">
        <x:v>https://geoservices.big.go.id/rbi/rest/services/BATASWILAYAH/BATAS_WILAYAH/MapServer/12</x:v>
      </x:c>
    </x:row>
    <x:row r="870" ht="18" customHeight="1">
      <x:c r="A870" s="6" t="str">
        <x:v>96</x:v>
      </x:c>
      <x:c r="B870" s="6" t="str">
        <x:v>PAPUA TENGAH</x:v>
      </x:c>
      <x:c r="C870" s="6" t="str">
        <x:v>2024</x:v>
      </x:c>
      <x:c r="D870" s="6" t="str">
        <x:v>5</x:v>
      </x:c>
      <x:c r="E870" s="6" t="str">
        <x:v>22.421726731582698</x:v>
      </x:c>
      <x:c r="F870" s="9" t="str">
        <x:v>grid_cells_within_BIG_polygon</x:v>
      </x:c>
      <x:c r="G870" s="6" t="str">
        <x:v>15</x:v>
      </x:c>
      <x:c r="H870" s="8" t="str">
        <x:v>92.45314108540217</x:v>
      </x:c>
      <x:c r="I870" s="6" t="str">
        <x:v>8.27567656216898</x:v>
      </x:c>
      <x:c r="J870" s="6" t="str">
        <x:v>31</x:v>
      </x:c>
      <x:c r="K870" s="6" t="str">
        <x:v>256.5459734272384</x:v>
      </x:c>
      <x:c r="L870" s="6" t="str">
        <x:v>21.550171745811678</x:v>
      </x:c>
      <x:c r="M870" s="6" t="str">
        <x:v>0.31925365970125724</x:v>
      </x:c>
      <x:c r="N870" s="6" t="str">
        <x:v>92.24851430695588</x:v>
      </x:c>
      <x:c r="O870" s="6" t="str">
        <x:v>0.805001368653133</x:v>
      </x:c>
      <x:c r="P870" s="6" t="str">
        <x:v>268.9288680499223</x:v>
      </x:c>
      <x:c r="Q870" s="6" t="str">
        <x:v>81.06580526730212</x:v>
      </x:c>
      <x:c r="R870" s="6" t="str">
        <x:v>0.8715549857710201</x:v>
      </x:c>
      <x:c r="S870" s="8" t="str">
        <x:v>2.7299764913786135</x:v>
      </x:c>
      <x:c r="T870" s="6" t="str">
        <x:v>0.20462677844628274</x:v>
      </x:c>
      <x:c r="U870" s="8" t="str">
        <x:v>0.2541943236551867</x:v>
      </x:c>
      <x:c r="V870" s="6" t="str">
        <x:v>-12.38289462268392</x:v>
      </x:c>
      <x:c r="W870" s="8" t="str">
        <x:v>-0.1527511455891077</x:v>
      </x:c>
      <x:c r="X870" s="6" t="str">
        <x:v>3.4774980968480844</x:v>
      </x:c>
      <x:c r="Y870" s="6" t="str">
        <x:v>3.9471011082453593</x:v>
      </x:c>
      <x:c r="Z870" s="6" t="str">
        <x:v>3.384858565490686</x:v>
      </x:c>
      <x:c r="AA870" s="6" t="str">
        <x:v>0.32441432240663787</x:v>
      </x:c>
      <x:c r="AB870" s="6" t="str">
        <x:v>0.05196952362976879</x:v>
      </x:c>
      <x:c r="AC870" s="6" t="str">
        <x:v>0.2101927232305302</x:v>
      </x:c>
      <x:c r="AD870" s="6" t="str">
        <x:v>0.3285997716671927</x:v>
      </x:c>
      <x:c r="AE870" s="6" t="str">
        <x:v>0.5921808722189622</x:v>
      </x:c>
      <x:c r="AF870" s="6" t="str">
        <x:v>0.2560098327656827</x:v>
      </x:c>
      <x:c r="AG870" s="6" t="str">
        <x:v>0</x:v>
      </x:c>
      <x:c r="AH870" s="6" t="str">
        <x:v>1</x:v>
      </x:c>
      <x:c r="AI870" s="6" t="str">
        <x:v>2024-05</x:v>
      </x:c>
      <x:c r="AJ870" s="9" t="str">
        <x:v>NASA POWER (MERRA-2 meteorology)</x:v>
      </x:c>
      <x:c r="AK870" s="9" t="str">
        <x:v>Badan Informasi Geospasial (BIG)</x:v>
      </x:c>
      <x:c r="AL870" s="9" t="str">
        <x:v>https://power.larc.nasa.gov/docs/services/api/temporal/monthly/</x:v>
      </x:c>
      <x:c r="AM870" s="9" t="str">
        <x:v>https://geoservices.big.go.id/rbi/rest/services/BATASWILAYAH/BATAS_WILAYAH/MapServer/12</x:v>
      </x:c>
    </x:row>
    <x:row r="871" ht="18" customHeight="1">
      <x:c r="A871" s="6" t="str">
        <x:v>96</x:v>
      </x:c>
      <x:c r="B871" s="6" t="str">
        <x:v>PAPUA TENGAH</x:v>
      </x:c>
      <x:c r="C871" s="6" t="str">
        <x:v>2024</x:v>
      </x:c>
      <x:c r="D871" s="6" t="str">
        <x:v>6</x:v>
      </x:c>
      <x:c r="E871" s="6" t="str">
        <x:v>21.77055827836742</x:v>
      </x:c>
      <x:c r="F871" s="9" t="str">
        <x:v>grid_cells_within_BIG_polygon</x:v>
      </x:c>
      <x:c r="G871" s="6" t="str">
        <x:v>15</x:v>
      </x:c>
      <x:c r="H871" s="8" t="str">
        <x:v>93.25625456995313</x:v>
      </x:c>
      <x:c r="I871" s="6" t="str">
        <x:v>11.231270031077447</x:v>
      </x:c>
      <x:c r="J871" s="6" t="str">
        <x:v>30</x:v>
      </x:c>
      <x:c r="K871" s="6" t="str">
        <x:v>336.9381009323234</x:v>
      </x:c>
      <x:c r="L871" s="6" t="str">
        <x:v>21.058032924856942</x:v>
      </x:c>
      <x:c r="M871" s="6" t="str">
        <x:v>0.29671551786466177</x:v>
      </x:c>
      <x:c r="N871" s="6" t="str">
        <x:v>92.89043855289381</x:v>
      </x:c>
      <x:c r="O871" s="6" t="str">
        <x:v>0.9518445381793154</x:v>
      </x:c>
      <x:c r="P871" s="6" t="str">
        <x:v>301.8266728994343</x:v>
      </x:c>
      <x:c r="Q871" s="6" t="str">
        <x:v>99.05317570020745</x:v>
      </x:c>
      <x:c r="R871" s="6" t="str">
        <x:v>0.712525353510479</x:v>
      </x:c>
      <x:c r="S871" s="8" t="str">
        <x:v>2.4013754273393846</x:v>
      </x:c>
      <x:c r="T871" s="6" t="str">
        <x:v>0.3658160170593163</x:v>
      </x:c>
      <x:c r="U871" s="8" t="str">
        <x:v>0.3843232822022048</x:v>
      </x:c>
      <x:c r="V871" s="6" t="str">
        <x:v>35.11142803288908</x:v>
      </x:c>
      <x:c r="W871" s="8" t="str">
        <x:v>0.35447049309309064</x:v>
      </x:c>
      <x:c r="X871" s="6" t="str">
        <x:v>2.7299764913786135</x:v>
      </x:c>
      <x:c r="Y871" s="6" t="str">
        <x:v>3.4774980968480844</x:v>
      </x:c>
      <x:c r="Z871" s="6" t="str">
        <x:v>2.869616671855361</x:v>
      </x:c>
      <x:c r="AA871" s="6" t="str">
        <x:v>0.2541943236551867</x:v>
      </x:c>
      <x:c r="AB871" s="6" t="str">
        <x:v>0.32441432240663787</x:v>
      </x:c>
      <x:c r="AC871" s="6" t="str">
        <x:v>0.3209773094213422</x:v>
      </x:c>
      <x:c r="AD871" s="6" t="str">
        <x:v>-0.1527511455891077</x:v>
      </x:c>
      <x:c r="AE871" s="6" t="str">
        <x:v>0.3285997716671927</x:v>
      </x:c>
      <x:c r="AF871" s="6" t="str">
        <x:v>0.1767730397237255</x:v>
      </x:c>
      <x:c r="AG871" s="6" t="str">
        <x:v>0</x:v>
      </x:c>
      <x:c r="AH871" s="6" t="str">
        <x:v>1</x:v>
      </x:c>
      <x:c r="AI871" s="6" t="str">
        <x:v>2024-06</x:v>
      </x:c>
      <x:c r="AJ871" s="9" t="str">
        <x:v>NASA POWER (MERRA-2 meteorology)</x:v>
      </x:c>
      <x:c r="AK871" s="9" t="str">
        <x:v>Badan Informasi Geospasial (BIG)</x:v>
      </x:c>
      <x:c r="AL871" s="9" t="str">
        <x:v>https://power.larc.nasa.gov/docs/services/api/temporal/monthly/</x:v>
      </x:c>
      <x:c r="AM871" s="9" t="str">
        <x:v>https://geoservices.big.go.id/rbi/rest/services/BATASWILAYAH/BATAS_WILAYAH/MapServer/12</x:v>
      </x:c>
    </x:row>
    <x:row r="872" ht="18" customHeight="1">
      <x:c r="A872" s="6" t="str">
        <x:v>96</x:v>
      </x:c>
      <x:c r="B872" s="6" t="str">
        <x:v>PAPUA TENGAH</x:v>
      </x:c>
      <x:c r="C872" s="6" t="str">
        <x:v>2024</x:v>
      </x:c>
      <x:c r="D872" s="6" t="str">
        <x:v>7</x:v>
      </x:c>
      <x:c r="E872" s="6" t="str">
        <x:v>21.21336497663755</x:v>
      </x:c>
      <x:c r="F872" s="9" t="str">
        <x:v>grid_cells_within_BIG_polygon</x:v>
      </x:c>
      <x:c r="G872" s="6" t="str">
        <x:v>15</x:v>
      </x:c>
      <x:c r="H872" s="8" t="str">
        <x:v>93.16690058995594</x:v>
      </x:c>
      <x:c r="I872" s="6" t="str">
        <x:v>10.187835479773405</x:v>
      </x:c>
      <x:c r="J872" s="6" t="str">
        <x:v>31</x:v>
      </x:c>
      <x:c r="K872" s="6" t="str">
        <x:v>315.82289987297554</x:v>
      </x:c>
      <x:c r="L872" s="6" t="str">
        <x:v>20.64315016649199</x:v>
      </x:c>
      <x:c r="M872" s="6" t="str">
        <x:v>0.2958078845415153</x:v>
      </x:c>
      <x:c r="N872" s="6" t="str">
        <x:v>92.49810268266432</x:v>
      </x:c>
      <x:c r="O872" s="6" t="str">
        <x:v>0.989423197070035</x:v>
      </x:c>
      <x:c r="P872" s="6" t="str">
        <x:v>325.096696295408</x:v>
      </x:c>
      <x:c r="Q872" s="6" t="str">
        <x:v>141.15633535016258</x:v>
      </x:c>
      <x:c r="R872" s="6" t="str">
        <x:v>0.5702148101455613</x:v>
      </x:c>
      <x:c r="S872" s="8" t="str">
        <x:v>1.927652506725304</x:v>
      </x:c>
      <x:c r="T872" s="6" t="str">
        <x:v>0.6687979072916193</x:v>
      </x:c>
      <x:c r="U872" s="8" t="str">
        <x:v>0.6759472683398985</x:v>
      </x:c>
      <x:c r="V872" s="6" t="str">
        <x:v>-9.27379642243244</x:v>
      </x:c>
      <x:c r="W872" s="8" t="str">
        <x:v>-0.06569876158535282</x:v>
      </x:c>
      <x:c r="X872" s="6" t="str">
        <x:v>2.4013754273393846</x:v>
      </x:c>
      <x:c r="Y872" s="6" t="str">
        <x:v>2.7299764913786135</x:v>
      </x:c>
      <x:c r="Z872" s="6" t="str">
        <x:v>2.3530014751477677</x:v>
      </x:c>
      <x:c r="AA872" s="6" t="str">
        <x:v>0.3843232822022048</x:v>
      </x:c>
      <x:c r="AB872" s="6" t="str">
        <x:v>0.2541943236551867</x:v>
      </x:c>
      <x:c r="AC872" s="6" t="str">
        <x:v>0.43815495806576243</x:v>
      </x:c>
      <x:c r="AD872" s="6" t="str">
        <x:v>0.35447049309309064</x:v>
      </x:c>
      <x:c r="AE872" s="6" t="str">
        <x:v>-0.1527511455891077</x:v>
      </x:c>
      <x:c r="AF872" s="6" t="str">
        <x:v>0.04534019530621033</x:v>
      </x:c>
      <x:c r="AG872" s="6" t="str">
        <x:v>0</x:v>
      </x:c>
      <x:c r="AH872" s="6" t="str">
        <x:v>1</x:v>
      </x:c>
      <x:c r="AI872" s="6" t="str">
        <x:v>2024-07</x:v>
      </x:c>
      <x:c r="AJ872" s="9" t="str">
        <x:v>NASA POWER (MERRA-2 meteorology)</x:v>
      </x:c>
      <x:c r="AK872" s="9" t="str">
        <x:v>Badan Informasi Geospasial (BIG)</x:v>
      </x:c>
      <x:c r="AL872" s="9" t="str">
        <x:v>https://power.larc.nasa.gov/docs/services/api/temporal/monthly/</x:v>
      </x:c>
      <x:c r="AM872" s="9" t="str">
        <x:v>https://geoservices.big.go.id/rbi/rest/services/BATASWILAYAH/BATAS_WILAYAH/MapServer/12</x:v>
      </x:c>
    </x:row>
    <x:row r="873" ht="18" customHeight="1">
      <x:c r="A873" s="6" t="str">
        <x:v>96</x:v>
      </x:c>
      <x:c r="B873" s="6" t="str">
        <x:v>PAPUA TENGAH</x:v>
      </x:c>
      <x:c r="C873" s="6" t="str">
        <x:v>2024</x:v>
      </x:c>
      <x:c r="D873" s="6" t="str">
        <x:v>8</x:v>
      </x:c>
      <x:c r="E873" s="6" t="str">
        <x:v>21.59932488330433</x:v>
      </x:c>
      <x:c r="F873" s="9" t="str">
        <x:v>grid_cells_within_BIG_polygon</x:v>
      </x:c>
      <x:c r="G873" s="6" t="str">
        <x:v>15</x:v>
      </x:c>
      <x:c r="H873" s="8" t="str">
        <x:v>92.76645423276618</x:v>
      </x:c>
      <x:c r="I873" s="6" t="str">
        <x:v>14.195663288604619</x:v>
      </x:c>
      <x:c r="J873" s="6" t="str">
        <x:v>31</x:v>
      </x:c>
      <x:c r="K873" s="6" t="str">
        <x:v>440.0655619467432</x:v>
      </x:c>
      <x:c r="L873" s="6" t="str">
        <x:v>20.625588723623867</x:v>
      </x:c>
      <x:c r="M873" s="6" t="str">
        <x:v>0.30430897088595044</x:v>
      </x:c>
      <x:c r="N873" s="6" t="str">
        <x:v>91.55265020279263</x:v>
      </x:c>
      <x:c r="O873" s="6" t="str">
        <x:v>1.5851464649725617</x:v>
      </x:c>
      <x:c r="P873" s="6" t="str">
        <x:v>295.130706610629</x:v>
      </x:c>
      <x:c r="Q873" s="6" t="str">
        <x:v>124.79108273674044</x:v>
      </x:c>
      <x:c r="R873" s="6" t="str">
        <x:v>0.9737361596804632</x:v>
      </x:c>
      <x:c r="S873" s="8" t="str">
        <x:v>3.1998273230183614</x:v>
      </x:c>
      <x:c r="T873" s="6" t="str">
        <x:v>1.213804029973545</x:v>
      </x:c>
      <x:c r="U873" s="8" t="str">
        <x:v>0.7657361996479963</x:v>
      </x:c>
      <x:c r="V873" s="6" t="str">
        <x:v>144.9348553361142</x:v>
      </x:c>
      <x:c r="W873" s="8" t="str">
        <x:v>1.1614199681388222</x:v>
      </x:c>
      <x:c r="X873" s="6" t="str">
        <x:v>1.927652506725304</x:v>
      </x:c>
      <x:c r="Y873" s="6" t="str">
        <x:v>2.4013754273393846</x:v>
      </x:c>
      <x:c r="Z873" s="6" t="str">
        <x:v>2.5096184190276833</x:v>
      </x:c>
      <x:c r="AA873" s="6" t="str">
        <x:v>0.6759472683398985</x:v>
      </x:c>
      <x:c r="AB873" s="6" t="str">
        <x:v>0.3843232822022048</x:v>
      </x:c>
      <x:c r="AC873" s="6" t="str">
        <x:v>0.6086689167300323</x:v>
      </x:c>
      <x:c r="AD873" s="6" t="str">
        <x:v>-0.06569876158535282</x:v>
      </x:c>
      <x:c r="AE873" s="6" t="str">
        <x:v>0.35447049309309064</x:v>
      </x:c>
      <x:c r="AF873" s="6" t="str">
        <x:v>0.4833972332155203</x:v>
      </x:c>
      <x:c r="AG873" s="6" t="str">
        <x:v>1</x:v>
      </x:c>
      <x:c r="AH873" s="6" t="str">
        <x:v>1</x:v>
      </x:c>
      <x:c r="AI873" s="6" t="str">
        <x:v>2024-08</x:v>
      </x:c>
      <x:c r="AJ873" s="9" t="str">
        <x:v>NASA POWER (MERRA-2 meteorology)</x:v>
      </x:c>
      <x:c r="AK873" s="9" t="str">
        <x:v>Badan Informasi Geospasial (BIG)</x:v>
      </x:c>
      <x:c r="AL873" s="9" t="str">
        <x:v>https://power.larc.nasa.gov/docs/services/api/temporal/monthly/</x:v>
      </x:c>
      <x:c r="AM873" s="9" t="str">
        <x:v>https://geoservices.big.go.id/rbi/rest/services/BATASWILAYAH/BATAS_WILAYAH/MapServer/12</x:v>
      </x:c>
    </x:row>
    <x:row r="874" ht="18" customHeight="1">
      <x:c r="A874" s="6" t="str">
        <x:v>96</x:v>
      </x:c>
      <x:c r="B874" s="6" t="str">
        <x:v>PAPUA TENGAH</x:v>
      </x:c>
      <x:c r="C874" s="6" t="str">
        <x:v>2024</x:v>
      </x:c>
      <x:c r="D874" s="6" t="str">
        <x:v>9</x:v>
      </x:c>
      <x:c r="E874" s="6" t="str">
        <x:v>21.981910435366704</x:v>
      </x:c>
      <x:c r="F874" s="9" t="str">
        <x:v>grid_cells_within_BIG_polygon</x:v>
      </x:c>
      <x:c r="G874" s="6" t="str">
        <x:v>15</x:v>
      </x:c>
      <x:c r="H874" s="8" t="str">
        <x:v>90.89196611300649</x:v>
      </x:c>
      <x:c r="I874" s="6" t="str">
        <x:v>10.108486412050585</x:v>
      </x:c>
      <x:c r="J874" s="6" t="str">
        <x:v>30</x:v>
      </x:c>
      <x:c r="K874" s="6" t="str">
        <x:v>303.25459236151755</x:v>
      </x:c>
      <x:c r="L874" s="6" t="str">
        <x:v>20.94863227834611</x:v>
      </x:c>
      <x:c r="M874" s="6" t="str">
        <x:v>0.247475056489041</x:v>
      </x:c>
      <x:c r="N874" s="6" t="str">
        <x:v>91.20392412449517</x:v>
      </x:c>
      <x:c r="O874" s="6" t="str">
        <x:v>1.7266935436867044</x:v>
      </x:c>
      <x:c r="P874" s="6" t="str">
        <x:v>259.54453707022486</x:v>
      </x:c>
      <x:c r="Q874" s="6" t="str">
        <x:v>102.87180455239503</x:v>
      </x:c>
      <x:c r="R874" s="6" t="str">
        <x:v>1.0332781570205931</x:v>
      </x:c>
      <x:c r="S874" s="8" t="str">
        <x:v>4.175282033186848</x:v>
      </x:c>
      <x:c r="T874" s="6" t="str">
        <x:v>-0.3119580114886844</x:v>
      </x:c>
      <x:c r="U874" s="8" t="str">
        <x:v>-0.18066785077716538</x:v>
      </x:c>
      <x:c r="V874" s="6" t="str">
        <x:v>43.71005529129269</x:v>
      </x:c>
      <x:c r="W874" s="8" t="str">
        <x:v>0.424898304073495</x:v>
      </x:c>
      <x:c r="X874" s="6" t="str">
        <x:v>3.1998273230183614</x:v>
      </x:c>
      <x:c r="Y874" s="6" t="str">
        <x:v>1.927652506725304</x:v>
      </x:c>
      <x:c r="Z874" s="6" t="str">
        <x:v>3.100920620976838</x:v>
      </x:c>
      <x:c r="AA874" s="6" t="str">
        <x:v>0.7657361996479963</x:v>
      </x:c>
      <x:c r="AB874" s="6" t="str">
        <x:v>0.6759472683398985</x:v>
      </x:c>
      <x:c r="AC874" s="6" t="str">
        <x:v>0.42033853907024227</x:v>
      </x:c>
      <x:c r="AD874" s="6" t="str">
        <x:v>1.1614199681388222</x:v>
      </x:c>
      <x:c r="AE874" s="6" t="str">
        <x:v>-0.06569876158535282</x:v>
      </x:c>
      <x:c r="AF874" s="6" t="str">
        <x:v>0.5068731702089885</x:v>
      </x:c>
      <x:c r="AG874" s="6" t="str">
        <x:v>0</x:v>
      </x:c>
      <x:c r="AH874" s="6" t="str">
        <x:v>1</x:v>
      </x:c>
      <x:c r="AI874" s="6" t="str">
        <x:v>2024-09</x:v>
      </x:c>
      <x:c r="AJ874" s="9" t="str">
        <x:v>NASA POWER (MERRA-2 meteorology)</x:v>
      </x:c>
      <x:c r="AK874" s="9" t="str">
        <x:v>Badan Informasi Geospasial (BIG)</x:v>
      </x:c>
      <x:c r="AL874" s="9" t="str">
        <x:v>https://power.larc.nasa.gov/docs/services/api/temporal/monthly/</x:v>
      </x:c>
      <x:c r="AM874" s="9" t="str">
        <x:v>https://geoservices.big.go.id/rbi/rest/services/BATASWILAYAH/BATAS_WILAYAH/MapServer/12</x:v>
      </x:c>
    </x:row>
    <x:row r="875" ht="18" customHeight="1">
      <x:c r="A875" s="6" t="str">
        <x:v>96</x:v>
      </x:c>
      <x:c r="B875" s="6" t="str">
        <x:v>PAPUA TENGAH</x:v>
      </x:c>
      <x:c r="C875" s="6" t="str">
        <x:v>2024</x:v>
      </x:c>
      <x:c r="D875" s="6" t="str">
        <x:v>10</x:v>
      </x:c>
      <x:c r="E875" s="6" t="str">
        <x:v>22.044408587649396</x:v>
      </x:c>
      <x:c r="F875" s="9" t="str">
        <x:v>grid_cells_within_BIG_polygon</x:v>
      </x:c>
      <x:c r="G875" s="6" t="str">
        <x:v>15</x:v>
      </x:c>
      <x:c r="H875" s="8" t="str">
        <x:v>90.32441711869923</x:v>
      </x:c>
      <x:c r="I875" s="6" t="str">
        <x:v>7.620298244251088</x:v>
      </x:c>
      <x:c r="J875" s="6" t="str">
        <x:v>31</x:v>
      </x:c>
      <x:c r="K875" s="6" t="str">
        <x:v>236.22924557178374</x:v>
      </x:c>
      <x:c r="L875" s="6" t="str">
        <x:v>21.384388611347823</x:v>
      </x:c>
      <x:c r="M875" s="6" t="str">
        <x:v>0.2203281983057804</x:v>
      </x:c>
      <x:c r="N875" s="6" t="str">
        <x:v>90.41261724723437</x:v>
      </x:c>
      <x:c r="O875" s="6" t="str">
        <x:v>1.8148856773207556</x:v>
      </x:c>
      <x:c r="P875" s="6" t="str">
        <x:v>238.48716037268758</x:v>
      </x:c>
      <x:c r="Q875" s="6" t="str">
        <x:v>99.74628469849041</x:v>
      </x:c>
      <x:c r="R875" s="6" t="str">
        <x:v>0.660019976301573</x:v>
      </x:c>
      <x:c r="S875" s="8" t="str">
        <x:v>2.99562190122197</x:v>
      </x:c>
      <x:c r="T875" s="6" t="str">
        <x:v>-0.08820012853513504</x:v>
      </x:c>
      <x:c r="U875" s="8" t="str">
        <x:v>-0.04859817322782635</x:v>
      </x:c>
      <x:c r="V875" s="6" t="str">
        <x:v>-2.2579148009038477</x:v>
      </x:c>
      <x:c r="W875" s="8" t="str">
        <x:v>-0.022636580477448296</x:v>
      </x:c>
      <x:c r="X875" s="6" t="str">
        <x:v>4.175282033186848</x:v>
      </x:c>
      <x:c r="Y875" s="6" t="str">
        <x:v>3.1998273230183614</x:v>
      </x:c>
      <x:c r="Z875" s="6" t="str">
        <x:v>3.456910419142393</x:v>
      </x:c>
      <x:c r="AA875" s="6" t="str">
        <x:v>-0.18066785077716538</x:v>
      </x:c>
      <x:c r="AB875" s="6" t="str">
        <x:v>0.7657361996479963</x:v>
      </x:c>
      <x:c r="AC875" s="6" t="str">
        <x:v>0.17882339188100063</x:v>
      </x:c>
      <x:c r="AD875" s="6" t="str">
        <x:v>0.424898304073495</x:v>
      </x:c>
      <x:c r="AE875" s="6" t="str">
        <x:v>1.1614199681388222</x:v>
      </x:c>
      <x:c r="AF875" s="6" t="str">
        <x:v>0.5212272305782899</x:v>
      </x:c>
      <x:c r="AG875" s="6" t="str">
        <x:v>0</x:v>
      </x:c>
      <x:c r="AH875" s="6" t="str">
        <x:v>1</x:v>
      </x:c>
      <x:c r="AI875" s="6" t="str">
        <x:v>2024-10</x:v>
      </x:c>
      <x:c r="AJ875" s="9" t="str">
        <x:v>NASA POWER (MERRA-2 meteorology)</x:v>
      </x:c>
      <x:c r="AK875" s="9" t="str">
        <x:v>Badan Informasi Geospasial (BIG)</x:v>
      </x:c>
      <x:c r="AL875" s="9" t="str">
        <x:v>https://power.larc.nasa.gov/docs/services/api/temporal/monthly/</x:v>
      </x:c>
      <x:c r="AM875" s="9" t="str">
        <x:v>https://geoservices.big.go.id/rbi/rest/services/BATASWILAYAH/BATAS_WILAYAH/MapServer/12</x:v>
      </x:c>
    </x:row>
    <x:row r="876" ht="18" customHeight="1">
      <x:c r="A876" s="6" t="str">
        <x:v>96</x:v>
      </x:c>
      <x:c r="B876" s="6" t="str">
        <x:v>PAPUA TENGAH</x:v>
      </x:c>
      <x:c r="C876" s="6" t="str">
        <x:v>2024</x:v>
      </x:c>
      <x:c r="D876" s="6" t="str">
        <x:v>11</x:v>
      </x:c>
      <x:c r="E876" s="6" t="str">
        <x:v>22.43036449958529</x:v>
      </x:c>
      <x:c r="F876" s="9" t="str">
        <x:v>grid_cells_within_BIG_polygon</x:v>
      </x:c>
      <x:c r="G876" s="6" t="str">
        <x:v>15</x:v>
      </x:c>
      <x:c r="H876" s="8" t="str">
        <x:v>90.06990555128942</x:v>
      </x:c>
      <x:c r="I876" s="6" t="str">
        <x:v>8.135483628564787</x:v>
      </x:c>
      <x:c r="J876" s="6" t="str">
        <x:v>30</x:v>
      </x:c>
      <x:c r="K876" s="6" t="str">
        <x:v>244.0645088569436</x:v>
      </x:c>
      <x:c r="L876" s="6" t="str">
        <x:v>21.66789007293211</x:v>
      </x:c>
      <x:c r="M876" s="6" t="str">
        <x:v>0.20146291215790216</x:v>
      </x:c>
      <x:c r="N876" s="6" t="str">
        <x:v>90.42637716261792</x:v>
      </x:c>
      <x:c r="O876" s="6" t="str">
        <x:v>1.4206847621101886</x:v>
      </x:c>
      <x:c r="P876" s="6" t="str">
        <x:v>228.45916021269113</x:v>
      </x:c>
      <x:c r="Q876" s="6" t="str">
        <x:v>77.4832507710188</x:v>
      </x:c>
      <x:c r="R876" s="6" t="str">
        <x:v>0.7624744266531813</x:v>
      </x:c>
      <x:c r="S876" s="8" t="str">
        <x:v>3.784688796990936</x:v>
      </x:c>
      <x:c r="T876" s="6" t="str">
        <x:v>-0.3564716113285016</x:v>
      </x:c>
      <x:c r="U876" s="8" t="str">
        <x:v>-0.2509153478911274</x:v>
      </x:c>
      <x:c r="V876" s="6" t="str">
        <x:v>15.605348644252473</x:v>
      </x:c>
      <x:c r="W876" s="8" t="str">
        <x:v>0.20140286434767615</x:v>
      </x:c>
      <x:c r="X876" s="6" t="str">
        <x:v>2.99562190122197</x:v>
      </x:c>
      <x:c r="Y876" s="6" t="str">
        <x:v>4.175282033186848</x:v>
      </x:c>
      <x:c r="Z876" s="6" t="str">
        <x:v>3.6518642437999183</x:v>
      </x:c>
      <x:c r="AA876" s="6" t="str">
        <x:v>-0.04859817322782635</x:v>
      </x:c>
      <x:c r="AB876" s="6" t="str">
        <x:v>-0.18066785077716538</x:v>
      </x:c>
      <x:c r="AC876" s="6" t="str">
        <x:v>-0.16006045729870727</x:v>
      </x:c>
      <x:c r="AD876" s="6" t="str">
        <x:v>-0.022636580477448296</x:v>
      </x:c>
      <x:c r="AE876" s="6" t="str">
        <x:v>0.424898304073495</x:v>
      </x:c>
      <x:c r="AF876" s="6" t="str">
        <x:v>0.20122152931457457</x:v>
      </x:c>
      <x:c r="AG876" s="6" t="str">
        <x:v>0</x:v>
      </x:c>
      <x:c r="AH876" s="6" t="str">
        <x:v>1</x:v>
      </x:c>
      <x:c r="AI876" s="6" t="str">
        <x:v>2024-11</x:v>
      </x:c>
      <x:c r="AJ876" s="9" t="str">
        <x:v>NASA POWER (MERRA-2 meteorology)</x:v>
      </x:c>
      <x:c r="AK876" s="9" t="str">
        <x:v>Badan Informasi Geospasial (BIG)</x:v>
      </x:c>
      <x:c r="AL876" s="9" t="str">
        <x:v>https://power.larc.nasa.gov/docs/services/api/temporal/monthly/</x:v>
      </x:c>
      <x:c r="AM876" s="9" t="str">
        <x:v>https://geoservices.big.go.id/rbi/rest/services/BATASWILAYAH/BATAS_WILAYAH/MapServer/12</x:v>
      </x:c>
    </x:row>
    <x:row r="877" ht="18" customHeight="1">
      <x:c r="A877" s="6" t="str">
        <x:v>96</x:v>
      </x:c>
      <x:c r="B877" s="6" t="str">
        <x:v>PAPUA TENGAH</x:v>
      </x:c>
      <x:c r="C877" s="6" t="str">
        <x:v>2024</x:v>
      </x:c>
      <x:c r="D877" s="6" t="str">
        <x:v>12</x:v>
      </x:c>
      <x:c r="E877" s="6" t="str">
        <x:v>22.343626728682057</x:v>
      </x:c>
      <x:c r="F877" s="9" t="str">
        <x:v>grid_cells_within_BIG_polygon</x:v>
      </x:c>
      <x:c r="G877" s="6" t="str">
        <x:v>15</x:v>
      </x:c>
      <x:c r="H877" s="8" t="str">
        <x:v>91.50208101716511</x:v>
      </x:c>
      <x:c r="I877" s="6" t="str">
        <x:v>12.677330674515613</x:v>
      </x:c>
      <x:c r="J877" s="6" t="str">
        <x:v>31</x:v>
      </x:c>
      <x:c r="K877" s="6" t="str">
        <x:v>392.997250909984</x:v>
      </x:c>
      <x:c r="L877" s="6" t="str">
        <x:v>21.723098666755813</x:v>
      </x:c>
      <x:c r="M877" s="6" t="str">
        <x:v>0.24534714281523445</x:v>
      </x:c>
      <x:c r="N877" s="6" t="str">
        <x:v>90.67764934645896</x:v>
      </x:c>
      <x:c r="O877" s="6" t="str">
        <x:v>0.9539382686572686</x:v>
      </x:c>
      <x:c r="P877" s="6" t="str">
        <x:v>284.0064074677846</x:v>
      </x:c>
      <x:c r="Q877" s="6" t="str">
        <x:v>73.70165682883166</x:v>
      </x:c>
      <x:c r="R877" s="6" t="str">
        <x:v>0.6205280619262439</x:v>
      </x:c>
      <x:c r="S877" s="8" t="str">
        <x:v>2.529183975024115</x:v>
      </x:c>
      <x:c r="T877" s="6" t="str">
        <x:v>0.8244316707061472</x:v>
      </x:c>
      <x:c r="U877" s="8" t="str">
        <x:v>0.8642400643666277</x:v>
      </x:c>
      <x:c r="V877" s="6" t="str">
        <x:v>108.99084344219943</x:v>
      </x:c>
      <x:c r="W877" s="8" t="str">
        <x:v>1.4788113067162807</x:v>
      </x:c>
      <x:c r="X877" s="6" t="str">
        <x:v>3.784688796990936</x:v>
      </x:c>
      <x:c r="Y877" s="6" t="str">
        <x:v>2.99562190122197</x:v>
      </x:c>
      <x:c r="Z877" s="6" t="str">
        <x:v>3.103164891079007</x:v>
      </x:c>
      <x:c r="AA877" s="6" t="str">
        <x:v>-0.2509153478911274</x:v>
      </x:c>
      <x:c r="AB877" s="6" t="str">
        <x:v>-0.04859817322782635</x:v>
      </x:c>
      <x:c r="AC877" s="6" t="str">
        <x:v>0.18824218108255708</x:v>
      </x:c>
      <x:c r="AD877" s="6" t="str">
        <x:v>0.20140286434767615</x:v>
      </x:c>
      <x:c r="AE877" s="6" t="str">
        <x:v>-0.022636580477448296</x:v>
      </x:c>
      <x:c r="AF877" s="6" t="str">
        <x:v>0.5525258635288365</x:v>
      </x:c>
      <x:c r="AG877" s="6" t="str">
        <x:v>1</x:v>
      </x:c>
      <x:c r="AH877" s="6" t="str">
        <x:v>1</x:v>
      </x:c>
      <x:c r="AI877" s="6" t="str">
        <x:v>2024-12</x:v>
      </x:c>
      <x:c r="AJ877" s="9" t="str">
        <x:v>NASA POWER (MERRA-2 meteorology)</x:v>
      </x:c>
      <x:c r="AK877" s="9" t="str">
        <x:v>Badan Informasi Geospasial (BIG)</x:v>
      </x:c>
      <x:c r="AL877" s="9" t="str">
        <x:v>https://power.larc.nasa.gov/docs/services/api/temporal/monthly/</x:v>
      </x:c>
      <x:c r="AM877" s="9" t="str">
        <x:v>https://geoservices.big.go.id/rbi/rest/services/BATASWILAYAH/BATAS_WILAYAH/MapServer/12</x:v>
      </x:c>
    </x:row>
    <x:row r="878" ht="18" customHeight="1">
      <x:c r="A878" s="6" t="str">
        <x:v>96</x:v>
      </x:c>
      <x:c r="B878" s="6" t="str">
        <x:v>PAPUA TENGAH</x:v>
      </x:c>
      <x:c r="C878" s="6" t="str">
        <x:v>2025</x:v>
      </x:c>
      <x:c r="D878" s="6" t="str">
        <x:v>1</x:v>
      </x:c>
      <x:c r="E878" s="6" t="str">
        <x:v>22.143072424913488</x:v>
      </x:c>
      <x:c r="F878" s="9" t="str">
        <x:v>grid_cells_within_BIG_polygon</x:v>
      </x:c>
      <x:c r="G878" s="6" t="str">
        <x:v>15</x:v>
      </x:c>
      <x:c r="H878" s="8" t="str">
        <x:v>91.09407437398991</x:v>
      </x:c>
      <x:c r="I878" s="6" t="str">
        <x:v>12.980745150704116</x:v>
      </x:c>
      <x:c r="J878" s="6" t="str">
        <x:v>31</x:v>
      </x:c>
      <x:c r="K878" s="6" t="str">
        <x:v>402.4030996718276</x:v>
      </x:c>
      <x:c r="L878" s="6" t="str">
        <x:v>21.56711710979706</x:v>
      </x:c>
      <x:c r="M878" s="6" t="str">
        <x:v>0.27045150090035514</x:v>
      </x:c>
      <x:c r="N878" s="6" t="str">
        <x:v>90.51102140140988</x:v>
      </x:c>
      <x:c r="O878" s="6" t="str">
        <x:v>0.8527267519123546</x:v>
      </x:c>
      <x:c r="P878" s="6" t="str">
        <x:v>282.9522623131337</x:v>
      </x:c>
      <x:c r="Q878" s="6" t="str">
        <x:v>82.34849211689617</x:v>
      </x:c>
      <x:c r="R878" s="6" t="str">
        <x:v>0.5759553151164276</x:v>
      </x:c>
      <x:c r="S878" s="8" t="str">
        <x:v>2.129606651096501</x:v>
      </x:c>
      <x:c r="T878" s="6" t="str">
        <x:v>0.5830529725800346</x:v>
      </x:c>
      <x:c r="U878" s="8" t="str">
        <x:v>0.6837512383333346</x:v>
      </x:c>
      <x:c r="V878" s="6" t="str">
        <x:v>119.45083735869389</x:v>
      </x:c>
      <x:c r="W878" s="8" t="str">
        <x:v>1.450552818734432</x:v>
      </x:c>
      <x:c r="X878" s="6" t="str">
        <x:v>2.529183975024115</x:v>
      </x:c>
      <x:c r="Y878" s="6" t="str">
        <x:v>3.784688796990936</x:v>
      </x:c>
      <x:c r="Z878" s="6" t="str">
        <x:v>2.814493141037184</x:v>
      </x:c>
      <x:c r="AA878" s="6" t="str">
        <x:v>0.8642400643666277</x:v>
      </x:c>
      <x:c r="AB878" s="6" t="str">
        <x:v>-0.2509153478911274</x:v>
      </x:c>
      <x:c r="AC878" s="6" t="str">
        <x:v>0.43235865160294407</x:v>
      </x:c>
      <x:c r="AD878" s="6" t="str">
        <x:v>1.4788113067162807</x:v>
      </x:c>
      <x:c r="AE878" s="6" t="str">
        <x:v>0.20140286434767615</x:v>
      </x:c>
      <x:c r="AF878" s="6" t="str">
        <x:v>1.0435889965994631</x:v>
      </x:c>
      <x:c r="AG878" s="6" t="str">
        <x:v>1</x:v>
      </x:c>
      <x:c r="AH878" s="6" t="str">
        <x:v>1</x:v>
      </x:c>
      <x:c r="AI878" s="6" t="str">
        <x:v>2025-01</x:v>
      </x:c>
      <x:c r="AJ878" s="9" t="str">
        <x:v>NASA POWER (MERRA-2 meteorology)</x:v>
      </x:c>
      <x:c r="AK878" s="9" t="str">
        <x:v>Badan Informasi Geospasial (BIG)</x:v>
      </x:c>
      <x:c r="AL878" s="9" t="str">
        <x:v>https://power.larc.nasa.gov/docs/services/api/temporal/monthly/</x:v>
      </x:c>
      <x:c r="AM878" s="9" t="str">
        <x:v>https://geoservices.big.go.id/rbi/rest/services/BATASWILAYAH/BATAS_WILAYAH/MapServer/12</x:v>
      </x:c>
    </x:row>
    <x:row r="879" ht="18" customHeight="1">
      <x:c r="A879" s="6" t="str">
        <x:v>96</x:v>
      </x:c>
      <x:c r="B879" s="6" t="str">
        <x:v>PAPUA TENGAH</x:v>
      </x:c>
      <x:c r="C879" s="6" t="str">
        <x:v>2025</x:v>
      </x:c>
      <x:c r="D879" s="6" t="str">
        <x:v>2</x:v>
      </x:c>
      <x:c r="E879" s="6" t="str">
        <x:v>21.852263861151574</x:v>
      </x:c>
      <x:c r="F879" s="9" t="str">
        <x:v>grid_cells_within_BIG_polygon</x:v>
      </x:c>
      <x:c r="G879" s="6" t="str">
        <x:v>15</x:v>
      </x:c>
      <x:c r="H879" s="8" t="str">
        <x:v>89.59483707572986</x:v>
      </x:c>
      <x:c r="I879" s="6" t="str">
        <x:v>11.18813053981834</x:v>
      </x:c>
      <x:c r="J879" s="6" t="str">
        <x:v>28</x:v>
      </x:c>
      <x:c r="K879" s="6" t="str">
        <x:v>313.2676551149135</x:v>
      </x:c>
      <x:c r="L879" s="6" t="str">
        <x:v>21.502489215799987</x:v>
      </x:c>
      <x:c r="M879" s="6" t="str">
        <x:v>0.2726807982503265</x:v>
      </x:c>
      <x:c r="N879" s="6" t="str">
        <x:v>90.56530028210308</x:v>
      </x:c>
      <x:c r="O879" s="6" t="str">
        <x:v>0.9761341978371144</x:v>
      </x:c>
      <x:c r="P879" s="6" t="str">
        <x:v>258.43727988401884</x:v>
      </x:c>
      <x:c r="Q879" s="6" t="str">
        <x:v>74.42871507572096</x:v>
      </x:c>
      <x:c r="R879" s="6" t="str">
        <x:v>0.3497746453515873</x:v>
      </x:c>
      <x:c r="S879" s="8" t="str">
        <x:v>1.2827256176303514</x:v>
      </x:c>
      <x:c r="T879" s="6" t="str">
        <x:v>-0.9704632063732248</x:v>
      </x:c>
      <x:c r="U879" s="8" t="str">
        <x:v>-0.9941903567394164</x:v>
      </x:c>
      <x:c r="V879" s="6" t="str">
        <x:v>54.830375230894674</x:v>
      </x:c>
      <x:c r="W879" s="8" t="str">
        <x:v>0.7366830822635098</x:v>
      </x:c>
      <x:c r="X879" s="6" t="str">
        <x:v>2.129606651096501</x:v>
      </x:c>
      <x:c r="Y879" s="6" t="str">
        <x:v>2.529183975024115</x:v>
      </x:c>
      <x:c r="Z879" s="6" t="str">
        <x:v>1.9805054145836556</x:v>
      </x:c>
      <x:c r="AA879" s="6" t="str">
        <x:v>0.6837512383333346</x:v>
      </x:c>
      <x:c r="AB879" s="6" t="str">
        <x:v>0.8642400643666277</x:v>
      </x:c>
      <x:c r="AC879" s="6" t="str">
        <x:v>0.1846003153201811</x:v>
      </x:c>
      <x:c r="AD879" s="6" t="str">
        <x:v>1.450552818734432</x:v>
      </x:c>
      <x:c r="AE879" s="6" t="str">
        <x:v>1.4788113067162807</x:v>
      </x:c>
      <x:c r="AF879" s="6" t="str">
        <x:v>1.2220157359047412</x:v>
      </x:c>
      <x:c r="AG879" s="6" t="str">
        <x:v>0</x:v>
      </x:c>
      <x:c r="AH879" s="6" t="str">
        <x:v>1</x:v>
      </x:c>
      <x:c r="AI879" s="6" t="str">
        <x:v>2025-02</x:v>
      </x:c>
      <x:c r="AJ879" s="9" t="str">
        <x:v>NASA POWER (MERRA-2 meteorology)</x:v>
      </x:c>
      <x:c r="AK879" s="9" t="str">
        <x:v>Badan Informasi Geospasial (BIG)</x:v>
      </x:c>
      <x:c r="AL879" s="9" t="str">
        <x:v>https://power.larc.nasa.gov/docs/services/api/temporal/monthly/</x:v>
      </x:c>
      <x:c r="AM879" s="9" t="str">
        <x:v>https://geoservices.big.go.id/rbi/rest/services/BATASWILAYAH/BATAS_WILAYAH/MapServer/12</x:v>
      </x:c>
    </x:row>
    <x:row r="880" ht="18" customHeight="1">
      <x:c r="A880" s="6" t="str">
        <x:v>96</x:v>
      </x:c>
      <x:c r="B880" s="6" t="str">
        <x:v>PAPUA TENGAH</x:v>
      </x:c>
      <x:c r="C880" s="6" t="str">
        <x:v>2025</x:v>
      </x:c>
      <x:c r="D880" s="6" t="str">
        <x:v>3</x:v>
      </x:c>
      <x:c r="E880" s="6" t="str">
        <x:v>22.01100764559521</x:v>
      </x:c>
      <x:c r="F880" s="9" t="str">
        <x:v>grid_cells_within_BIG_polygon</x:v>
      </x:c>
      <x:c r="G880" s="6" t="str">
        <x:v>15</x:v>
      </x:c>
      <x:c r="H880" s="8" t="str">
        <x:v>91.04034925971163</x:v>
      </x:c>
      <x:c r="I880" s="6" t="str">
        <x:v>12.0458755456899</x:v>
      </x:c>
      <x:c r="J880" s="6" t="str">
        <x:v>31</x:v>
      </x:c>
      <x:c r="K880" s="6" t="str">
        <x:v>373.42214191638686</x:v>
      </x:c>
      <x:c r="L880" s="6" t="str">
        <x:v>21.52803968522069</x:v>
      </x:c>
      <x:c r="M880" s="6" t="str">
        <x:v>0.23973861467229754</x:v>
      </x:c>
      <x:c r="N880" s="6" t="str">
        <x:v>90.81856889668366</x:v>
      </x:c>
      <x:c r="O880" s="6" t="str">
        <x:v>1.0351224008247195</x:v>
      </x:c>
      <x:c r="P880" s="6" t="str">
        <x:v>308.015753839899</x:v>
      </x:c>
      <x:c r="Q880" s="6" t="str">
        <x:v>93.5677349176601</x:v>
      </x:c>
      <x:c r="R880" s="6" t="str">
        <x:v>0.48296796037451983</x:v>
      </x:c>
      <x:c r="S880" s="8" t="str">
        <x:v>2.014560570622702</x:v>
      </x:c>
      <x:c r="T880" s="6" t="str">
        <x:v>0.22178036302797466</x:v>
      </x:c>
      <x:c r="U880" s="8" t="str">
        <x:v>0.2142552058107082</x:v>
      </x:c>
      <x:c r="V880" s="6" t="str">
        <x:v>65.40638807648787</x:v>
      </x:c>
      <x:c r="W880" s="8" t="str">
        <x:v>0.6990271607413142</x:v>
      </x:c>
      <x:c r="X880" s="6" t="str">
        <x:v>1.2827256176303514</x:v>
      </x:c>
      <x:c r="Y880" s="6" t="str">
        <x:v>2.129606651096501</x:v>
      </x:c>
      <x:c r="Z880" s="6" t="str">
        <x:v>1.8089642797831846</x:v>
      </x:c>
      <x:c r="AA880" s="6" t="str">
        <x:v>-0.9941903567394164</x:v>
      </x:c>
      <x:c r="AB880" s="6" t="str">
        <x:v>0.6837512383333346</x:v>
      </x:c>
      <x:c r="AC880" s="6" t="str">
        <x:v>-0.032061304198458734</x:v>
      </x:c>
      <x:c r="AD880" s="6" t="str">
        <x:v>0.7366830822635098</x:v>
      </x:c>
      <x:c r="AE880" s="6" t="str">
        <x:v>1.450552818734432</x:v>
      </x:c>
      <x:c r="AF880" s="6" t="str">
        <x:v>0.9620876872464189</x:v>
      </x:c>
      <x:c r="AG880" s="6" t="str">
        <x:v>0</x:v>
      </x:c>
      <x:c r="AH880" s="6" t="str">
        <x:v>1</x:v>
      </x:c>
      <x:c r="AI880" s="6" t="str">
        <x:v>2025-03</x:v>
      </x:c>
      <x:c r="AJ880" s="9" t="str">
        <x:v>NASA POWER (MERRA-2 meteorology)</x:v>
      </x:c>
      <x:c r="AK880" s="9" t="str">
        <x:v>Badan Informasi Geospasial (BIG)</x:v>
      </x:c>
      <x:c r="AL880" s="9" t="str">
        <x:v>https://power.larc.nasa.gov/docs/services/api/temporal/monthly/</x:v>
      </x:c>
      <x:c r="AM880" s="9" t="str">
        <x:v>https://geoservices.big.go.id/rbi/rest/services/BATASWILAYAH/BATAS_WILAYAH/MapServer/12</x:v>
      </x:c>
    </x:row>
    <x:row r="881" ht="18" customHeight="1">
      <x:c r="A881" s="6" t="str">
        <x:v>96</x:v>
      </x:c>
      <x:c r="B881" s="6" t="str">
        <x:v>PAPUA TENGAH</x:v>
      </x:c>
      <x:c r="C881" s="6" t="str">
        <x:v>2025</x:v>
      </x:c>
      <x:c r="D881" s="6" t="str">
        <x:v>4</x:v>
      </x:c>
      <x:c r="E881" s="6" t="str">
        <x:v>21.687649772937863</x:v>
      </x:c>
      <x:c r="F881" s="9" t="str">
        <x:v>grid_cells_within_BIG_polygon</x:v>
      </x:c>
      <x:c r="G881" s="6" t="str">
        <x:v>15</x:v>
      </x:c>
      <x:c r="H881" s="8" t="str">
        <x:v>90.83418220782404</x:v>
      </x:c>
      <x:c r="I881" s="6" t="str">
        <x:v>18.097783836893452</x:v>
      </x:c>
      <x:c r="J881" s="6" t="str">
        <x:v>30</x:v>
      </x:c>
      <x:c r="K881" s="6" t="str">
        <x:v>542.9335151068036</x:v>
      </x:c>
      <x:c r="L881" s="6" t="str">
        <x:v>21.58644666063303</x:v>
      </x:c>
      <x:c r="M881" s="6" t="str">
        <x:v>0.27047277211743975</x:v>
      </x:c>
      <x:c r="N881" s="6" t="str">
        <x:v>91.84592288557297</x:v>
      </x:c>
      <x:c r="O881" s="6" t="str">
        <x:v>0.7921470805854338</x:v>
      </x:c>
      <x:c r="P881" s="6" t="str">
        <x:v>316.72524297954175</x:v>
      </x:c>
      <x:c r="Q881" s="6" t="str">
        <x:v>81.25798852644381</x:v>
      </x:c>
      <x:c r="R881" s="6" t="str">
        <x:v>0.10120311230483381</x:v>
      </x:c>
      <x:c r="S881" s="8" t="str">
        <x:v>0.3741711652250573</x:v>
      </x:c>
      <x:c r="T881" s="6" t="str">
        <x:v>-1.0117406777489322</x:v>
      </x:c>
      <x:c r="U881" s="8" t="str">
        <x:v>-1.2772131622339735</x:v>
      </x:c>
      <x:c r="V881" s="6" t="str">
        <x:v>226.20827212726186</x:v>
      </x:c>
      <x:c r="W881" s="8" t="str">
        <x:v>2.7838281039118615</x:v>
      </x:c>
      <x:c r="X881" s="6" t="str">
        <x:v>2.014560570622702</x:v>
      </x:c>
      <x:c r="Y881" s="6" t="str">
        <x:v>1.2827256176303514</x:v>
      </x:c>
      <x:c r="Z881" s="6" t="str">
        <x:v>1.223819117826037</x:v>
      </x:c>
      <x:c r="AA881" s="6" t="str">
        <x:v>0.2142552058107082</x:v>
      </x:c>
      <x:c r="AB881" s="6" t="str">
        <x:v>-0.9941903567394164</x:v>
      </x:c>
      <x:c r="AC881" s="6" t="str">
        <x:v>-0.6857161043875615</x:v>
      </x:c>
      <x:c r="AD881" s="6" t="str">
        <x:v>0.6990271607413142</x:v>
      </x:c>
      <x:c r="AE881" s="6" t="str">
        <x:v>0.7366830822635098</x:v>
      </x:c>
      <x:c r="AF881" s="6" t="str">
        <x:v>1.406512782305562</x:v>
      </x:c>
      <x:c r="AG881" s="6" t="str">
        <x:v>1</x:v>
      </x:c>
      <x:c r="AH881" s="6" t="str">
        <x:v>0</x:v>
      </x:c>
      <x:c r="AI881" s="6" t="str">
        <x:v>2025-04</x:v>
      </x:c>
      <x:c r="AJ881" s="9" t="str">
        <x:v>NASA POWER (MERRA-2 meteorology)</x:v>
      </x:c>
      <x:c r="AK881" s="9" t="str">
        <x:v>Badan Informasi Geospasial (BIG)</x:v>
      </x:c>
      <x:c r="AL881" s="9" t="str">
        <x:v>https://power.larc.nasa.gov/docs/services/api/temporal/monthly/</x:v>
      </x:c>
      <x:c r="AM881" s="9" t="str">
        <x:v>https://geoservices.big.go.id/rbi/rest/services/BATASWILAYAH/BATAS_WILAYAH/MapServer/12</x:v>
      </x:c>
    </x:row>
    <x:row r="882" ht="18" customHeight="1">
      <x:c r="A882" s="6" t="str">
        <x:v>96</x:v>
      </x:c>
      <x:c r="B882" s="6" t="str">
        <x:v>PAPUA TENGAH</x:v>
      </x:c>
      <x:c r="C882" s="6" t="str">
        <x:v>2025</x:v>
      </x:c>
      <x:c r="D882" s="6" t="str">
        <x:v>5</x:v>
      </x:c>
      <x:c r="E882" s="6" t="str">
        <x:v>21.994974987483378</x:v>
      </x:c>
      <x:c r="F882" s="9" t="str">
        <x:v>grid_cells_within_BIG_polygon</x:v>
      </x:c>
      <x:c r="G882" s="6" t="str">
        <x:v>15</x:v>
      </x:c>
      <x:c r="H882" s="8" t="str">
        <x:v>91.97683302607825</x:v>
      </x:c>
      <x:c r="I882" s="6" t="str">
        <x:v>9.63999556949229</x:v>
      </x:c>
      <x:c r="J882" s="6" t="str">
        <x:v>31</x:v>
      </x:c>
      <x:c r="K882" s="6" t="str">
        <x:v>298.839862654261</x:v>
      </x:c>
      <x:c r="L882" s="6" t="str">
        <x:v>21.550171745811678</x:v>
      </x:c>
      <x:c r="M882" s="6" t="str">
        <x:v>0.31925365970125724</x:v>
      </x:c>
      <x:c r="N882" s="6" t="str">
        <x:v>92.24851430695588</x:v>
      </x:c>
      <x:c r="O882" s="6" t="str">
        <x:v>0.805001368653133</x:v>
      </x:c>
      <x:c r="P882" s="6" t="str">
        <x:v>268.9288680499223</x:v>
      </x:c>
      <x:c r="Q882" s="6" t="str">
        <x:v>81.06580526730212</x:v>
      </x:c>
      <x:c r="R882" s="6" t="str">
        <x:v>0.4448032416716998</x:v>
      </x:c>
      <x:c r="S882" s="8" t="str">
        <x:v>1.3932596484185211</x:v>
      </x:c>
      <x:c r="T882" s="6" t="str">
        <x:v>-0.27168128087762966</x:v>
      </x:c>
      <x:c r="U882" s="8" t="str">
        <x:v>-0.3374917005820575</x:v>
      </x:c>
      <x:c r="V882" s="6" t="str">
        <x:v>29.910994604338725</x:v>
      </x:c>
      <x:c r="W882" s="8" t="str">
        <x:v>0.3689717816989763</x:v>
      </x:c>
      <x:c r="X882" s="6" t="str">
        <x:v>0.3741711652250573</x:v>
      </x:c>
      <x:c r="Y882" s="6" t="str">
        <x:v>2.014560570622702</x:v>
      </x:c>
      <x:c r="Z882" s="6" t="str">
        <x:v>1.2606637947554267</x:v>
      </x:c>
      <x:c r="AA882" s="6" t="str">
        <x:v>-1.2772131622339735</x:v>
      </x:c>
      <x:c r="AB882" s="6" t="str">
        <x:v>0.2142552058107082</x:v>
      </x:c>
      <x:c r="AC882" s="6" t="str">
        <x:v>-0.4668165523351085</x:v>
      </x:c>
      <x:c r="AD882" s="6" t="str">
        <x:v>2.7838281039118615</x:v>
      </x:c>
      <x:c r="AE882" s="6" t="str">
        <x:v>0.6990271607413142</x:v>
      </x:c>
      <x:c r="AF882" s="6" t="str">
        <x:v>1.283942348784051</x:v>
      </x:c>
      <x:c r="AG882" s="6" t="str">
        <x:v>0</x:v>
      </x:c>
      <x:c r="AH882" s="6" t="str">
        <x:v>1</x:v>
      </x:c>
      <x:c r="AI882" s="6" t="str">
        <x:v>2025-05</x:v>
      </x:c>
      <x:c r="AJ882" s="9" t="str">
        <x:v>NASA POWER (MERRA-2 meteorology)</x:v>
      </x:c>
      <x:c r="AK882" s="9" t="str">
        <x:v>Badan Informasi Geospasial (BIG)</x:v>
      </x:c>
      <x:c r="AL882" s="9" t="str">
        <x:v>https://power.larc.nasa.gov/docs/services/api/temporal/monthly/</x:v>
      </x:c>
      <x:c r="AM882" s="9" t="str">
        <x:v>https://geoservices.big.go.id/rbi/rest/services/BATASWILAYAH/BATAS_WILAYAH/MapServer/12</x:v>
      </x:c>
    </x:row>
    <x:row r="883" ht="18" customHeight="1">
      <x:c r="A883" s="6" t="str">
        <x:v>96</x:v>
      </x:c>
      <x:c r="B883" s="6" t="str">
        <x:v>PAPUA TENGAH</x:v>
      </x:c>
      <x:c r="C883" s="6" t="str">
        <x:v>2025</x:v>
      </x:c>
      <x:c r="D883" s="6" t="str">
        <x:v>6</x:v>
      </x:c>
      <x:c r="E883" s="6" t="str">
        <x:v>21.498992337684943</x:v>
      </x:c>
      <x:c r="F883" s="9" t="str">
        <x:v>grid_cells_within_BIG_polygon</x:v>
      </x:c>
      <x:c r="G883" s="6" t="str">
        <x:v>15</x:v>
      </x:c>
      <x:c r="H883" s="8" t="str">
        <x:v>93.10233430510274</x:v>
      </x:c>
      <x:c r="I883" s="6" t="str">
        <x:v>21.84517809937034</x:v>
      </x:c>
      <x:c r="J883" s="6" t="str">
        <x:v>30</x:v>
      </x:c>
      <x:c r="K883" s="6" t="str">
        <x:v>655.3553429811102</x:v>
      </x:c>
      <x:c r="L883" s="6" t="str">
        <x:v>21.058032924856942</x:v>
      </x:c>
      <x:c r="M883" s="6" t="str">
        <x:v>0.29671551786466177</x:v>
      </x:c>
      <x:c r="N883" s="6" t="str">
        <x:v>92.89043855289381</x:v>
      </x:c>
      <x:c r="O883" s="6" t="str">
        <x:v>0.9518445381793154</x:v>
      </x:c>
      <x:c r="P883" s="6" t="str">
        <x:v>301.8266728994343</x:v>
      </x:c>
      <x:c r="Q883" s="6" t="str">
        <x:v>99.05317570020745</x:v>
      </x:c>
      <x:c r="R883" s="6" t="str">
        <x:v>0.44095941282800055</x:v>
      </x:c>
      <x:c r="S883" s="8" t="str">
        <x:v>1.4861353258548866</x:v>
      </x:c>
      <x:c r="T883" s="6" t="str">
        <x:v>0.21189575220893175</x:v>
      </x:c>
      <x:c r="U883" s="8" t="str">
        <x:v>0.22261592488017545</x:v>
      </x:c>
      <x:c r="V883" s="6" t="str">
        <x:v>353.5286700816759</x:v>
      </x:c>
      <x:c r="W883" s="8" t="str">
        <x:v>3.569079613879916</x:v>
      </x:c>
      <x:c r="X883" s="6" t="str">
        <x:v>1.3932596484185211</x:v>
      </x:c>
      <x:c r="Y883" s="6" t="str">
        <x:v>0.3741711652250573</x:v>
      </x:c>
      <x:c r="Z883" s="6" t="str">
        <x:v>1.0845220464994882</x:v>
      </x:c>
      <x:c r="AA883" s="6" t="str">
        <x:v>-0.3374917005820575</x:v>
      </x:c>
      <x:c r="AB883" s="6" t="str">
        <x:v>-1.2772131622339735</x:v>
      </x:c>
      <x:c r="AC883" s="6" t="str">
        <x:v>-0.46402964597861945</x:v>
      </x:c>
      <x:c r="AD883" s="6" t="str">
        <x:v>0.3689717816989763</x:v>
      </x:c>
      <x:c r="AE883" s="6" t="str">
        <x:v>2.7838281039118615</x:v>
      </x:c>
      <x:c r="AF883" s="6" t="str">
        <x:v>2.240626499830251</x:v>
      </x:c>
      <x:c r="AG883" s="6" t="str">
        <x:v>1</x:v>
      </x:c>
      <x:c r="AH883" s="6" t="str">
        <x:v>1</x:v>
      </x:c>
      <x:c r="AI883" s="6" t="str">
        <x:v>2025-06</x:v>
      </x:c>
      <x:c r="AJ883" s="9" t="str">
        <x:v>NASA POWER (MERRA-2 meteorology)</x:v>
      </x:c>
      <x:c r="AK883" s="9" t="str">
        <x:v>Badan Informasi Geospasial (BIG)</x:v>
      </x:c>
      <x:c r="AL883" s="9" t="str">
        <x:v>https://power.larc.nasa.gov/docs/services/api/temporal/monthly/</x:v>
      </x:c>
      <x:c r="AM883" s="9" t="str">
        <x:v>https://geoservices.big.go.id/rbi/rest/services/BATASWILAYAH/BATAS_WILAYAH/MapServer/12</x:v>
      </x:c>
    </x:row>
    <x:row r="884" ht="18" customHeight="1">
      <x:c r="A884" s="6" t="str">
        <x:v>96</x:v>
      </x:c>
      <x:c r="B884" s="6" t="str">
        <x:v>PAPUA TENGAH</x:v>
      </x:c>
      <x:c r="C884" s="6" t="str">
        <x:v>2025</x:v>
      </x:c>
      <x:c r="D884" s="6" t="str">
        <x:v>7</x:v>
      </x:c>
      <x:c r="E884" s="6" t="str">
        <x:v>21.317690291939954</x:v>
      </x:c>
      <x:c r="F884" s="9" t="str">
        <x:v>grid_cells_within_BIG_polygon</x:v>
      </x:c>
      <x:c r="G884" s="6" t="str">
        <x:v>15</x:v>
      </x:c>
      <x:c r="H884" s="8" t="str">
        <x:v>92.04621325505562</x:v>
      </x:c>
      <x:c r="I884" s="6" t="str">
        <x:v>14.959902510289218</x:v>
      </x:c>
      <x:c r="J884" s="6" t="str">
        <x:v>31</x:v>
      </x:c>
      <x:c r="K884" s="6" t="str">
        <x:v>463.75697781896577</x:v>
      </x:c>
      <x:c r="L884" s="6" t="str">
        <x:v>20.64315016649199</x:v>
      </x:c>
      <x:c r="M884" s="6" t="str">
        <x:v>0.2958078845415153</x:v>
      </x:c>
      <x:c r="N884" s="6" t="str">
        <x:v>92.49810268266432</x:v>
      </x:c>
      <x:c r="O884" s="6" t="str">
        <x:v>0.989423197070035</x:v>
      </x:c>
      <x:c r="P884" s="6" t="str">
        <x:v>325.096696295408</x:v>
      </x:c>
      <x:c r="Q884" s="6" t="str">
        <x:v>141.15633535016258</x:v>
      </x:c>
      <x:c r="R884" s="6" t="str">
        <x:v>0.6745401254479653</x:v>
      </x:c>
      <x:c r="S884" s="8" t="str">
        <x:v>2.2803317987735943</x:v>
      </x:c>
      <x:c r="T884" s="6" t="str">
        <x:v>-0.4518894276087053</x:v>
      </x:c>
      <x:c r="U884" s="8" t="str">
        <x:v>-0.4567200657381787</x:v>
      </x:c>
      <x:c r="V884" s="6" t="str">
        <x:v>138.66028152355779</x:v>
      </x:c>
      <x:c r="W884" s="8" t="str">
        <x:v>0.9823170967111543</x:v>
      </x:c>
      <x:c r="X884" s="6" t="str">
        <x:v>1.4861353258548866</x:v>
      </x:c>
      <x:c r="Y884" s="6" t="str">
        <x:v>1.3932596484185211</x:v>
      </x:c>
      <x:c r="Z884" s="6" t="str">
        <x:v>1.7199089243490004</x:v>
      </x:c>
      <x:c r="AA884" s="6" t="str">
        <x:v>0.22261592488017545</x:v>
      </x:c>
      <x:c r="AB884" s="6" t="str">
        <x:v>-0.3374917005820575</x:v>
      </x:c>
      <x:c r="AC884" s="6" t="str">
        <x:v>-0.19053194714668784</x:v>
      </x:c>
      <x:c r="AD884" s="6" t="str">
        <x:v>3.569079613879916</x:v>
      </x:c>
      <x:c r="AE884" s="6" t="str">
        <x:v>0.3689717816989763</x:v>
      </x:c>
      <x:c r="AF884" s="6" t="str">
        <x:v>1.6401228307633489</x:v>
      </x:c>
      <x:c r="AG884" s="6" t="str">
        <x:v>0</x:v>
      </x:c>
      <x:c r="AH884" s="6" t="str">
        <x:v>1</x:v>
      </x:c>
      <x:c r="AI884" s="6" t="str">
        <x:v>2025-07</x:v>
      </x:c>
      <x:c r="AJ884" s="9" t="str">
        <x:v>NASA POWER (MERRA-2 meteorology)</x:v>
      </x:c>
      <x:c r="AK884" s="9" t="str">
        <x:v>Badan Informasi Geospasial (BIG)</x:v>
      </x:c>
      <x:c r="AL884" s="9" t="str">
        <x:v>https://power.larc.nasa.gov/docs/services/api/temporal/monthly/</x:v>
      </x:c>
      <x:c r="AM884" s="9" t="str">
        <x:v>https://geoservices.big.go.id/rbi/rest/services/BATASWILAYAH/BATAS_WILAYAH/MapServer/12</x:v>
      </x:c>
    </x:row>
    <x:row r="885" ht="18" customHeight="1">
      <x:c r="A885" s="6" t="str">
        <x:v>96</x:v>
      </x:c>
      <x:c r="B885" s="6" t="str">
        <x:v>PAPUA TENGAH</x:v>
      </x:c>
      <x:c r="C885" s="6" t="str">
        <x:v>2025</x:v>
      </x:c>
      <x:c r="D885" s="6" t="str">
        <x:v>8</x:v>
      </x:c>
      <x:c r="E885" s="6" t="str">
        <x:v>21.155159423151023</x:v>
      </x:c>
      <x:c r="F885" s="9" t="str">
        <x:v>grid_cells_within_BIG_polygon</x:v>
      </x:c>
      <x:c r="G885" s="6" t="str">
        <x:v>15</x:v>
      </x:c>
      <x:c r="H885" s="8" t="str">
        <x:v>93.22570067762537</x:v>
      </x:c>
      <x:c r="I885" s="6" t="str">
        <x:v>25.644136564829342</x:v>
      </x:c>
      <x:c r="J885" s="6" t="str">
        <x:v>31</x:v>
      </x:c>
      <x:c r="K885" s="6" t="str">
        <x:v>794.9682335097096</x:v>
      </x:c>
      <x:c r="L885" s="6" t="str">
        <x:v>20.625588723623867</x:v>
      </x:c>
      <x:c r="M885" s="6" t="str">
        <x:v>0.30430897088595044</x:v>
      </x:c>
      <x:c r="N885" s="6" t="str">
        <x:v>91.55265020279263</x:v>
      </x:c>
      <x:c r="O885" s="6" t="str">
        <x:v>1.5851464649725617</x:v>
      </x:c>
      <x:c r="P885" s="6" t="str">
        <x:v>295.130706610629</x:v>
      </x:c>
      <x:c r="Q885" s="6" t="str">
        <x:v>124.79108273674044</x:v>
      </x:c>
      <x:c r="R885" s="6" t="str">
        <x:v>0.5295706995271559</x:v>
      </x:c>
      <x:c r="S885" s="8" t="str">
        <x:v>1.740240184130587</x:v>
      </x:c>
      <x:c r="T885" s="6" t="str">
        <x:v>1.6730504748327348</x:v>
      </x:c>
      <x:c r="U885" s="8" t="str">
        <x:v>1.055454818720297</x:v>
      </x:c>
      <x:c r="V885" s="6" t="str">
        <x:v>499.8375268990807</x:v>
      </x:c>
      <x:c r="W885" s="8" t="str">
        <x:v>4.005394583790407</x:v>
      </x:c>
      <x:c r="X885" s="6" t="str">
        <x:v>2.2803317987735943</x:v>
      </x:c>
      <x:c r="Y885" s="6" t="str">
        <x:v>1.4861353258548866</x:v>
      </x:c>
      <x:c r="Z885" s="6" t="str">
        <x:v>1.8355691029196892</x:v>
      </x:c>
      <x:c r="AA885" s="6" t="str">
        <x:v>-0.4567200657381787</x:v>
      </x:c>
      <x:c r="AB885" s="6" t="str">
        <x:v>0.22261592488017545</x:v>
      </x:c>
      <x:c r="AC885" s="6" t="str">
        <x:v>0.2737835592874303</x:v>
      </x:c>
      <x:c r="AD885" s="6" t="str">
        <x:v>0.9823170967111543</x:v>
      </x:c>
      <x:c r="AE885" s="6" t="str">
        <x:v>3.569079613879916</x:v>
      </x:c>
      <x:c r="AF885" s="6" t="str">
        <x:v>2.852263764793826</x:v>
      </x:c>
      <x:c r="AG885" s="6" t="str">
        <x:v>1</x:v>
      </x:c>
      <x:c r="AH885" s="6" t="str">
        <x:v>1</x:v>
      </x:c>
      <x:c r="AI885" s="6" t="str">
        <x:v>2025-08</x:v>
      </x:c>
      <x:c r="AJ885" s="9" t="str">
        <x:v>NASA POWER (MERRA-2 meteorology)</x:v>
      </x:c>
      <x:c r="AK885" s="9" t="str">
        <x:v>Badan Informasi Geospasial (BIG)</x:v>
      </x:c>
      <x:c r="AL885" s="9" t="str">
        <x:v>https://power.larc.nasa.gov/docs/services/api/temporal/monthly/</x:v>
      </x:c>
      <x:c r="AM885" s="9" t="str">
        <x:v>https://geoservices.big.go.id/rbi/rest/services/BATASWILAYAH/BATAS_WILAYAH/MapServer/12</x:v>
      </x:c>
    </x:row>
    <x:row r="886" ht="18" customHeight="1">
      <x:c r="A886" s="6" t="str">
        <x:v>96</x:v>
      </x:c>
      <x:c r="B886" s="6" t="str">
        <x:v>PAPUA TENGAH</x:v>
      </x:c>
      <x:c r="C886" s="6" t="str">
        <x:v>2025</x:v>
      </x:c>
      <x:c r="D886" s="6" t="str">
        <x:v>9</x:v>
      </x:c>
      <x:c r="E886" s="6" t="str">
        <x:v>21.44119035287888</x:v>
      </x:c>
      <x:c r="F886" s="9" t="str">
        <x:v>grid_cells_within_BIG_polygon</x:v>
      </x:c>
      <x:c r="G886" s="6" t="str">
        <x:v>15</x:v>
      </x:c>
      <x:c r="H886" s="8" t="str">
        <x:v>91.58960502940427</x:v>
      </x:c>
      <x:c r="I886" s="6" t="str">
        <x:v>15.114352005487182</x:v>
      </x:c>
      <x:c r="J886" s="6" t="str">
        <x:v>30</x:v>
      </x:c>
      <x:c r="K886" s="6" t="str">
        <x:v>453.4305601646155</x:v>
      </x:c>
      <x:c r="L886" s="6" t="str">
        <x:v>20.94863227834611</x:v>
      </x:c>
      <x:c r="M886" s="6" t="str">
        <x:v>0.247475056489041</x:v>
      </x:c>
      <x:c r="N886" s="6" t="str">
        <x:v>91.20392412449517</x:v>
      </x:c>
      <x:c r="O886" s="6" t="str">
        <x:v>1.7266935436867044</x:v>
      </x:c>
      <x:c r="P886" s="6" t="str">
        <x:v>259.54453707022486</x:v>
      </x:c>
      <x:c r="Q886" s="6" t="str">
        <x:v>102.87180455239503</x:v>
      </x:c>
      <x:c r="R886" s="6" t="str">
        <x:v>0.49255807453277</x:v>
      </x:c>
      <x:c r="S886" s="8" t="str">
        <x:v>1.9903342240658588</x:v>
      </x:c>
      <x:c r="T886" s="6" t="str">
        <x:v>0.3856809049090941</x:v>
      </x:c>
      <x:c r="U886" s="8" t="str">
        <x:v>0.22336384259920128</x:v>
      </x:c>
      <x:c r="V886" s="6" t="str">
        <x:v>193.88602309439062</x:v>
      </x:c>
      <x:c r="W886" s="8" t="str">
        <x:v>1.8847343442453166</x:v>
      </x:c>
      <x:c r="X886" s="6" t="str">
        <x:v>1.740240184130587</x:v>
      </x:c>
      <x:c r="Y886" s="6" t="str">
        <x:v>2.2803317987735943</x:v>
      </x:c>
      <x:c r="Z886" s="6" t="str">
        <x:v>2.0036354023233467</x:v>
      </x:c>
      <x:c r="AA886" s="6" t="str">
        <x:v>1.055454818720297</x:v>
      </x:c>
      <x:c r="AB886" s="6" t="str">
        <x:v>-0.4567200657381787</x:v>
      </x:c>
      <x:c r="AC886" s="6" t="str">
        <x:v>0.2740328651937723</x:v>
      </x:c>
      <x:c r="AD886" s="6" t="str">
        <x:v>4.005394583790407</x:v>
      </x:c>
      <x:c r="AE886" s="6" t="str">
        <x:v>0.9823170967111543</x:v>
      </x:c>
      <x:c r="AF886" s="6" t="str">
        <x:v>2.290815341582293</x:v>
      </x:c>
      <x:c r="AG886" s="6" t="str">
        <x:v>1</x:v>
      </x:c>
      <x:c r="AH886" s="6" t="str">
        <x:v>1</x:v>
      </x:c>
      <x:c r="AI886" s="6" t="str">
        <x:v>2025-09</x:v>
      </x:c>
      <x:c r="AJ886" s="9" t="str">
        <x:v>NASA POWER (MERRA-2 meteorology)</x:v>
      </x:c>
      <x:c r="AK886" s="9" t="str">
        <x:v>Badan Informasi Geospasial (BIG)</x:v>
      </x:c>
      <x:c r="AL886" s="9" t="str">
        <x:v>https://power.larc.nasa.gov/docs/services/api/temporal/monthly/</x:v>
      </x:c>
      <x:c r="AM886" s="9" t="str">
        <x:v>https://geoservices.big.go.id/rbi/rest/services/BATASWILAYAH/BATAS_WILAYAH/MapServer/12</x:v>
      </x:c>
    </x:row>
    <x:row r="887" ht="18" customHeight="1">
      <x:c r="A887" s="6" t="str">
        <x:v>96</x:v>
      </x:c>
      <x:c r="B887" s="6" t="str">
        <x:v>PAPUA TENGAH</x:v>
      </x:c>
      <x:c r="C887" s="6" t="str">
        <x:v>2025</x:v>
      </x:c>
      <x:c r="D887" s="6" t="str">
        <x:v>10</x:v>
      </x:c>
      <x:c r="E887" s="6" t="str">
        <x:v>21.789650008278247</x:v>
      </x:c>
      <x:c r="F887" s="9" t="str">
        <x:v>grid_cells_within_BIG_polygon</x:v>
      </x:c>
      <x:c r="G887" s="6" t="str">
        <x:v>15</x:v>
      </x:c>
      <x:c r="H887" s="8" t="str">
        <x:v>90.96002265463086</x:v>
      </x:c>
      <x:c r="I887" s="6" t="str">
        <x:v>13.253451005666784</x:v>
      </x:c>
      <x:c r="J887" s="6" t="str">
        <x:v>31</x:v>
      </x:c>
      <x:c r="K887" s="6" t="str">
        <x:v>410.85698117567034</x:v>
      </x:c>
      <x:c r="L887" s="6" t="str">
        <x:v>21.384388611347823</x:v>
      </x:c>
      <x:c r="M887" s="6" t="str">
        <x:v>0.2203281983057804</x:v>
      </x:c>
      <x:c r="N887" s="6" t="str">
        <x:v>90.41261724723437</x:v>
      </x:c>
      <x:c r="O887" s="6" t="str">
        <x:v>1.8148856773207556</x:v>
      </x:c>
      <x:c r="P887" s="6" t="str">
        <x:v>238.48716037268758</x:v>
      </x:c>
      <x:c r="Q887" s="6" t="str">
        <x:v>99.74628469849041</x:v>
      </x:c>
      <x:c r="R887" s="6" t="str">
        <x:v>0.40526139693042396</x:v>
      </x:c>
      <x:c r="S887" s="8" t="str">
        <x:v>1.839353292255337</x:v>
      </x:c>
      <x:c r="T887" s="6" t="str">
        <x:v>0.5474054073964965</x:v>
      </x:c>
      <x:c r="U887" s="8" t="str">
        <x:v>0.30161977376151294</x:v>
      </x:c>
      <x:c r="V887" s="6" t="str">
        <x:v>172.36982080298276</x:v>
      </x:c>
      <x:c r="W887" s="8" t="str">
        <x:v>1.7280826180545594</x:v>
      </x:c>
      <x:c r="X887" s="6" t="str">
        <x:v>1.9903342240658588</x:v>
      </x:c>
      <x:c r="Y887" s="6" t="str">
        <x:v>1.740240184130587</x:v>
      </x:c>
      <x:c r="Z887" s="6" t="str">
        <x:v>1.8566425668172608</x:v>
      </x:c>
      <x:c r="AA887" s="6" t="str">
        <x:v>0.22336384259920128</x:v>
      </x:c>
      <x:c r="AB887" s="6" t="str">
        <x:v>1.055454818720297</x:v>
      </x:c>
      <x:c r="AC887" s="6" t="str">
        <x:v>0.5268128116936694</x:v>
      </x:c>
      <x:c r="AD887" s="6" t="str">
        <x:v>1.8847343442453166</x:v>
      </x:c>
      <x:c r="AE887" s="6" t="str">
        <x:v>4.005394583790407</x:v>
      </x:c>
      <x:c r="AF887" s="6" t="str">
        <x:v>2.539403848696761</x:v>
      </x:c>
      <x:c r="AG887" s="6" t="str">
        <x:v>1</x:v>
      </x:c>
      <x:c r="AH887" s="6" t="str">
        <x:v>1</x:v>
      </x:c>
      <x:c r="AI887" s="6" t="str">
        <x:v>2025-10</x:v>
      </x:c>
      <x:c r="AJ887" s="9" t="str">
        <x:v>NASA POWER (MERRA-2 meteorology)</x:v>
      </x:c>
      <x:c r="AK887" s="9" t="str">
        <x:v>Badan Informasi Geospasial (BIG)</x:v>
      </x:c>
      <x:c r="AL887" s="9" t="str">
        <x:v>https://power.larc.nasa.gov/docs/services/api/temporal/monthly/</x:v>
      </x:c>
      <x:c r="AM887" s="9" t="str">
        <x:v>https://geoservices.big.go.id/rbi/rest/services/BATASWILAYAH/BATAS_WILAYAH/MapServer/12</x:v>
      </x:c>
    </x:row>
    <x:row r="888" ht="18" customHeight="1">
      <x:c r="A888" s="6" t="str">
        <x:v>96</x:v>
      </x:c>
      <x:c r="B888" s="6" t="str">
        <x:v>PAPUA TENGAH</x:v>
      </x:c>
      <x:c r="C888" s="6" t="str">
        <x:v>2025</x:v>
      </x:c>
      <x:c r="D888" s="6" t="str">
        <x:v>11</x:v>
      </x:c>
      <x:c r="E888" s="6" t="str">
        <x:v>21.984263910238983</x:v>
      </x:c>
      <x:c r="F888" s="9" t="str">
        <x:v>grid_cells_within_BIG_polygon</x:v>
      </x:c>
      <x:c r="G888" s="6" t="str">
        <x:v>15</x:v>
      </x:c>
      <x:c r="H888" s="8" t="str">
        <x:v>89.51508934776176</x:v>
      </x:c>
      <x:c r="I888" s="6" t="str">
        <x:v>14.499206408687533</x:v>
      </x:c>
      <x:c r="J888" s="6" t="str">
        <x:v>30</x:v>
      </x:c>
      <x:c r="K888" s="6" t="str">
        <x:v>434.97619226062596</x:v>
      </x:c>
      <x:c r="L888" s="6" t="str">
        <x:v>21.66789007293211</x:v>
      </x:c>
      <x:c r="M888" s="6" t="str">
        <x:v>0.20146291215790216</x:v>
      </x:c>
      <x:c r="N888" s="6" t="str">
        <x:v>90.42637716261792</x:v>
      </x:c>
      <x:c r="O888" s="6" t="str">
        <x:v>1.4206847621101886</x:v>
      </x:c>
      <x:c r="P888" s="6" t="str">
        <x:v>228.45916021269113</x:v>
      </x:c>
      <x:c r="Q888" s="6" t="str">
        <x:v>77.4832507710188</x:v>
      </x:c>
      <x:c r="R888" s="6" t="str">
        <x:v>0.3163738373068732</x:v>
      </x:c>
      <x:c r="S888" s="8" t="str">
        <x:v>1.570382528070012</x:v>
      </x:c>
      <x:c r="T888" s="6" t="str">
        <x:v>-0.9112878148561663</x:v>
      </x:c>
      <x:c r="U888" s="8" t="str">
        <x:v>-0.6414426614265936</x:v>
      </x:c>
      <x:c r="V888" s="6" t="str">
        <x:v>206.51703204793483</x:v>
      </x:c>
      <x:c r="W888" s="8" t="str">
        <x:v>2.665311922162909</x:v>
      </x:c>
      <x:c r="X888" s="6" t="str">
        <x:v>1.839353292255337</x:v>
      </x:c>
      <x:c r="Y888" s="6" t="str">
        <x:v>1.9903342240658588</x:v>
      </x:c>
      <x:c r="Z888" s="6" t="str">
        <x:v>1.8000233481304024</x:v>
      </x:c>
      <x:c r="AA888" s="6" t="str">
        <x:v>0.30161977376151294</x:v>
      </x:c>
      <x:c r="AB888" s="6" t="str">
        <x:v>0.22336384259920128</x:v>
      </x:c>
      <x:c r="AC888" s="6" t="str">
        <x:v>-0.03881968168862741</x:v>
      </x:c>
      <x:c r="AD888" s="6" t="str">
        <x:v>1.7280826180545594</x:v>
      </x:c>
      <x:c r="AE888" s="6" t="str">
        <x:v>1.8847343442453166</x:v>
      </x:c>
      <x:c r="AF888" s="6" t="str">
        <x:v>2.0927096281542616</x:v>
      </x:c>
      <x:c r="AG888" s="6" t="str">
        <x:v>1</x:v>
      </x:c>
      <x:c r="AH888" s="6" t="str">
        <x:v>1</x:v>
      </x:c>
      <x:c r="AI888" s="6" t="str">
        <x:v>2025-11</x:v>
      </x:c>
      <x:c r="AJ888" s="9" t="str">
        <x:v>NASA POWER (MERRA-2 meteorology)</x:v>
      </x:c>
      <x:c r="AK888" s="9" t="str">
        <x:v>Badan Informasi Geospasial (BIG)</x:v>
      </x:c>
      <x:c r="AL888" s="9" t="str">
        <x:v>https://power.larc.nasa.gov/docs/services/api/temporal/monthly/</x:v>
      </x:c>
      <x:c r="AM888" s="9" t="str">
        <x:v>https://geoservices.big.go.id/rbi/rest/services/BATASWILAYAH/BATAS_WILAYAH/MapServer/12</x:v>
      </x:c>
    </x:row>
    <x:row r="889" ht="18" customHeight="1">
      <x:c r="A889" s="6" t="str">
        <x:v>96</x:v>
      </x:c>
      <x:c r="B889" s="6" t="str">
        <x:v>PAPUA TENGAH</x:v>
      </x:c>
      <x:c r="C889" s="6" t="str">
        <x:v>2025</x:v>
      </x:c>
      <x:c r="D889" s="6" t="str">
        <x:v>12</x:v>
      </x:c>
      <x:c r="E889" s="6" t="str">
        <x:v>21.982961767293457</x:v>
      </x:c>
      <x:c r="F889" s="9" t="str">
        <x:v>grid_cells_within_BIG_polygon</x:v>
      </x:c>
      <x:c r="G889" s="6" t="str">
        <x:v>15</x:v>
      </x:c>
      <x:c r="H889" s="8" t="str">
        <x:v>90.07688247553668</x:v>
      </x:c>
      <x:c r="I889" s="6" t="str">
        <x:v>10.472719847426132</x:v>
      </x:c>
      <x:c r="J889" s="6" t="str">
        <x:v>31</x:v>
      </x:c>
      <x:c r="K889" s="6" t="str">
        <x:v>324.65431527021013</x:v>
      </x:c>
      <x:c r="L889" s="6" t="str">
        <x:v>21.723098666755813</x:v>
      </x:c>
      <x:c r="M889" s="6" t="str">
        <x:v>0.24534714281523445</x:v>
      </x:c>
      <x:c r="N889" s="6" t="str">
        <x:v>90.67764934645896</x:v>
      </x:c>
      <x:c r="O889" s="6" t="str">
        <x:v>0.9539382686572686</x:v>
      </x:c>
      <x:c r="P889" s="6" t="str">
        <x:v>284.0064074677846</x:v>
      </x:c>
      <x:c r="Q889" s="6" t="str">
        <x:v>73.70165682883166</x:v>
      </x:c>
      <x:c r="R889" s="6" t="str">
        <x:v>0.2598631005376433</x:v>
      </x:c>
      <x:c r="S889" s="8" t="str">
        <x:v>1.0591649756171828</x:v>
      </x:c>
      <x:c r="T889" s="6" t="str">
        <x:v>-0.6007668709222855</x:v>
      </x:c>
      <x:c r="U889" s="8" t="str">
        <x:v>-0.6297754169857392</x:v>
      </x:c>
      <x:c r="V889" s="6" t="str">
        <x:v>40.64790780242555</x:v>
      </x:c>
      <x:c r="W889" s="8" t="str">
        <x:v>0.5515195933359849</x:v>
      </x:c>
      <x:c r="X889" s="6" t="str">
        <x:v>1.570382528070012</x:v>
      </x:c>
      <x:c r="Y889" s="6" t="str">
        <x:v>1.839353292255337</x:v>
      </x:c>
      <x:c r="Z889" s="6" t="str">
        <x:v>1.4896335986475107</x:v>
      </x:c>
      <x:c r="AA889" s="6" t="str">
        <x:v>-0.6414426614265936</x:v>
      </x:c>
      <x:c r="AB889" s="6" t="str">
        <x:v>0.30161977376151294</x:v>
      </x:c>
      <x:c r="AC889" s="6" t="str">
        <x:v>-0.3231994348836076</x:v>
      </x:c>
      <x:c r="AD889" s="6" t="str">
        <x:v>2.665311922162909</x:v>
      </x:c>
      <x:c r="AE889" s="6" t="str">
        <x:v>1.7280826180545594</x:v>
      </x:c>
      <x:c r="AF889" s="6" t="str">
        <x:v>1.6483047111844844</x:v>
      </x:c>
      <x:c r="AG889" s="6" t="str">
        <x:v>0</x:v>
      </x:c>
      <x:c r="AH889" s="6" t="str">
        <x:v>1</x:v>
      </x:c>
      <x:c r="AI889" s="6" t="str">
        <x:v>2025-12</x:v>
      </x:c>
      <x:c r="AJ889" s="9" t="str">
        <x:v>NASA POWER (MERRA-2 meteorology)</x:v>
      </x:c>
      <x:c r="AK889" s="9" t="str">
        <x:v>Badan Informasi Geospasial (BIG)</x:v>
      </x:c>
      <x:c r="AL889" s="9" t="str">
        <x:v>https://power.larc.nasa.gov/docs/services/api/temporal/monthly/</x:v>
      </x:c>
      <x:c r="AM889" s="9" t="str">
        <x:v>https://geoservices.big.go.id/rbi/rest/services/BATASWILAYAH/BATAS_WILAYAH/MapServer/12</x:v>
      </x:c>
    </x:row>
    <x:row r="890" ht="18" customHeight="1">
      <x:c r="A890" s="6" t="str">
        <x:v>97</x:v>
      </x:c>
      <x:c r="B890" s="6" t="str">
        <x:v>PAPUA PEGUNUNGAN</x:v>
      </x:c>
      <x:c r="C890" s="6" t="str">
        <x:v>2024</x:v>
      </x:c>
      <x:c r="D890" s="6" t="str">
        <x:v>1</x:v>
      </x:c>
      <x:c r="E890" s="6" t="str">
        <x:v>20.517057542094246</x:v>
      </x:c>
      <x:c r="F890" s="9" t="str">
        <x:v>grid_cells_within_BIG_polygon</x:v>
      </x:c>
      <x:c r="G890" s="6" t="str">
        <x:v>13</x:v>
      </x:c>
      <x:c r="H890" s="8" t="str">
        <x:v>88.9806892350753</x:v>
      </x:c>
      <x:c r="I890" s="6" t="str">
        <x:v>4.22306696287322</x:v>
      </x:c>
      <x:c r="J890" s="6" t="str">
        <x:v>31</x:v>
      </x:c>
      <x:c r="K890" s="6" t="str">
        <x:v>130.9150758490698</x:v>
      </x:c>
      <x:c r="L890" s="6" t="str">
        <x:v>19.737033162089467</x:v>
      </x:c>
      <x:c r="M890" s="6" t="str">
        <x:v>0.24085904852083082</x:v>
      </x:c>
      <x:c r="N890" s="6" t="str">
        <x:v>90.20537720212697</x:v>
      </x:c>
      <x:c r="O890" s="6" t="str">
        <x:v>1.1436399489504037</x:v>
      </x:c>
      <x:c r="P890" s="6" t="str">
        <x:v>235.52936175436648</x:v>
      </x:c>
      <x:c r="Q890" s="6" t="str">
        <x:v>65.10887375421855</x:v>
      </x:c>
      <x:c r="R890" s="6" t="str">
        <x:v>0.7800243800047788</x:v>
      </x:c>
      <x:c r="S890" s="8" t="str">
        <x:v>3.2385097624319394</x:v>
      </x:c>
      <x:c r="T890" s="6" t="str">
        <x:v>-1.2246879670516648</x:v>
      </x:c>
      <x:c r="U890" s="8" t="str">
        <x:v>-1.0708684740994265</x:v>
      </x:c>
      <x:c r="V890" s="6" t="str">
        <x:v>-104.61428590529667</x:v>
      </x:c>
      <x:c r="W890" s="8" t="str">
        <x:v>-1.6067592614212356</x:v>
      </x:c>
      <x:c r="X890" s="6" t="str">
        <x:v>3.299713390160666</x:v>
      </x:c>
      <x:c r="Y890" s="6" t="str">
        <x:v>2.577374379300057</x:v>
      </x:c>
      <x:c r="Z890" s="6" t="str">
        <x:v>3.0385325106308874</x:v>
      </x:c>
      <x:c r="AA890" s="6" t="str">
        <x:v>-1.014150163108757</x:v>
      </x:c>
      <x:c r="AB890" s="6" t="str">
        <x:v>-0.12098897614946212</x:v>
      </x:c>
      <x:c r="AC890" s="6" t="str">
        <x:v>-0.7353358711192151</x:v>
      </x:c>
      <x:c r="AD890" s="6" t="str">
        <x:v>-0.9438288419411887</x:v>
      </x:c>
      <x:c r="AE890" s="6" t="str">
        <x:v>-1.7832571162126745</x:v>
      </x:c>
      <x:c r="AF890" s="6" t="str">
        <x:v>-1.4446150731916998</x:v>
      </x:c>
      <x:c r="AG890" s="6" t="str">
        <x:v>0</x:v>
      </x:c>
      <x:c r="AH890" s="6" t="str">
        <x:v>1</x:v>
      </x:c>
      <x:c r="AI890" s="6" t="str">
        <x:v>2024-01</x:v>
      </x:c>
      <x:c r="AJ890" s="9" t="str">
        <x:v>NASA POWER (MERRA-2 meteorology)</x:v>
      </x:c>
      <x:c r="AK890" s="9" t="str">
        <x:v>Badan Informasi Geospasial (BIG)</x:v>
      </x:c>
      <x:c r="AL890" s="9" t="str">
        <x:v>https://power.larc.nasa.gov/docs/services/api/temporal/monthly/</x:v>
      </x:c>
      <x:c r="AM890" s="9" t="str">
        <x:v>https://geoservices.big.go.id/rbi/rest/services/BATASWILAYAH/BATAS_WILAYAH/MapServer/12</x:v>
      </x:c>
    </x:row>
    <x:row r="891" ht="18" customHeight="1">
      <x:c r="A891" s="6" t="str">
        <x:v>97</x:v>
      </x:c>
      <x:c r="B891" s="6" t="str">
        <x:v>PAPUA PEGUNUNGAN</x:v>
      </x:c>
      <x:c r="C891" s="6" t="str">
        <x:v>2024</x:v>
      </x:c>
      <x:c r="D891" s="6" t="str">
        <x:v>2</x:v>
      </x:c>
      <x:c r="E891" s="6" t="str">
        <x:v>20.69624171567178</x:v>
      </x:c>
      <x:c r="F891" s="9" t="str">
        <x:v>grid_cells_within_BIG_polygon</x:v>
      </x:c>
      <x:c r="G891" s="6" t="str">
        <x:v>13</x:v>
      </x:c>
      <x:c r="H891" s="8" t="str">
        <x:v>88.31679058479614</x:v>
      </x:c>
      <x:c r="I891" s="6" t="str">
        <x:v>6.1899054351398854</x:v>
      </x:c>
      <x:c r="J891" s="6" t="str">
        <x:v>29</x:v>
      </x:c>
      <x:c r="K891" s="6" t="str">
        <x:v>179.50725761905667</x:v>
      </x:c>
      <x:c r="L891" s="6" t="str">
        <x:v>19.6601737711908</x:v>
      </x:c>
      <x:c r="M891" s="6" t="str">
        <x:v>0.2854254902197325</x:v>
      </x:c>
      <x:c r="N891" s="6" t="str">
        <x:v>90.55174547615749</x:v>
      </x:c>
      <x:c r="O891" s="6" t="str">
        <x:v>1.0783027527573241</x:v>
      </x:c>
      <x:c r="P891" s="6" t="str">
        <x:v>226.72731212848146</x:v>
      </x:c>
      <x:c r="Q891" s="6" t="str">
        <x:v>64.30859415067269</x:v>
      </x:c>
      <x:c r="R891" s="6" t="str">
        <x:v>1.0360679444809797</x:v>
      </x:c>
      <x:c r="S891" s="8" t="str">
        <x:v>3.6299068582955614</x:v>
      </x:c>
      <x:c r="T891" s="6" t="str">
        <x:v>-2.2349548913613546</x:v>
      </x:c>
      <x:c r="U891" s="8" t="str">
        <x:v>-2.0726599145243387</x:v>
      </x:c>
      <x:c r="V891" s="6" t="str">
        <x:v>-47.220054509424784</x:v>
      </x:c>
      <x:c r="W891" s="8" t="str">
        <x:v>-0.7342728469353554</x:v>
      </x:c>
      <x:c r="X891" s="6" t="str">
        <x:v>3.2385097624319394</x:v>
      </x:c>
      <x:c r="Y891" s="6" t="str">
        <x:v>3.299713390160666</x:v>
      </x:c>
      <x:c r="Z891" s="6" t="str">
        <x:v>3.3893766702960555</x:v>
      </x:c>
      <x:c r="AA891" s="6" t="str">
        <x:v>-1.0708684740994265</x:v>
      </x:c>
      <x:c r="AB891" s="6" t="str">
        <x:v>-1.014150163108757</x:v>
      </x:c>
      <x:c r="AC891" s="6" t="str">
        <x:v>-1.3858928505775072</x:v>
      </x:c>
      <x:c r="AD891" s="6" t="str">
        <x:v>-1.6067592614212356</x:v>
      </x:c>
      <x:c r="AE891" s="6" t="str">
        <x:v>-0.9438288419411887</x:v>
      </x:c>
      <x:c r="AF891" s="6" t="str">
        <x:v>-1.0949536500992603</x:v>
      </x:c>
      <x:c r="AG891" s="6" t="str">
        <x:v>0</x:v>
      </x:c>
      <x:c r="AH891" s="6" t="str">
        <x:v>1</x:v>
      </x:c>
      <x:c r="AI891" s="6" t="str">
        <x:v>2024-02</x:v>
      </x:c>
      <x:c r="AJ891" s="9" t="str">
        <x:v>NASA POWER (MERRA-2 meteorology)</x:v>
      </x:c>
      <x:c r="AK891" s="9" t="str">
        <x:v>Badan Informasi Geospasial (BIG)</x:v>
      </x:c>
      <x:c r="AL891" s="9" t="str">
        <x:v>https://power.larc.nasa.gov/docs/services/api/temporal/monthly/</x:v>
      </x:c>
      <x:c r="AM891" s="9" t="str">
        <x:v>https://geoservices.big.go.id/rbi/rest/services/BATASWILAYAH/BATAS_WILAYAH/MapServer/12</x:v>
      </x:c>
    </x:row>
    <x:row r="892" ht="18" customHeight="1">
      <x:c r="A892" s="6" t="str">
        <x:v>97</x:v>
      </x:c>
      <x:c r="B892" s="6" t="str">
        <x:v>PAPUA PEGUNUNGAN</x:v>
      </x:c>
      <x:c r="C892" s="6" t="str">
        <x:v>2024</x:v>
      </x:c>
      <x:c r="D892" s="6" t="str">
        <x:v>3</x:v>
      </x:c>
      <x:c r="E892" s="6" t="str">
        <x:v>20.678563743369207</x:v>
      </x:c>
      <x:c r="F892" s="9" t="str">
        <x:v>grid_cells_within_BIG_polygon</x:v>
      </x:c>
      <x:c r="G892" s="6" t="str">
        <x:v>13</x:v>
      </x:c>
      <x:c r="H892" s="8" t="str">
        <x:v>91.34824390047199</x:v>
      </x:c>
      <x:c r="I892" s="6" t="str">
        <x:v>10.174299107101671</x:v>
      </x:c>
      <x:c r="J892" s="6" t="str">
        <x:v>31</x:v>
      </x:c>
      <x:c r="K892" s="6" t="str">
        <x:v>315.4032723201518</x:v>
      </x:c>
      <x:c r="L892" s="6" t="str">
        <x:v>19.654846729185824</x:v>
      </x:c>
      <x:c r="M892" s="6" t="str">
        <x:v>0.24636522177655149</x:v>
      </x:c>
      <x:c r="N892" s="6" t="str">
        <x:v>90.87936784123623</x:v>
      </x:c>
      <x:c r="O892" s="6" t="str">
        <x:v>1.0647841448100732</x:v>
      </x:c>
      <x:c r="P892" s="6" t="str">
        <x:v>261.4835640493424</x:v>
      </x:c>
      <x:c r="Q892" s="6" t="str">
        <x:v>82.13076916585811</x:v>
      </x:c>
      <x:c r="R892" s="6" t="str">
        <x:v>1.023717014183383</x:v>
      </x:c>
      <x:c r="S892" s="8" t="str">
        <x:v>4.155282173357547</x:v>
      </x:c>
      <x:c r="T892" s="6" t="str">
        <x:v>0.46887605923575393</x:v>
      </x:c>
      <x:c r="U892" s="8" t="str">
        <x:v>0.4403484607853434</x:v>
      </x:c>
      <x:c r="V892" s="6" t="str">
        <x:v>53.919708270809394</x:v>
      </x:c>
      <x:c r="W892" s="8" t="str">
        <x:v>0.6565104505708672</x:v>
      </x:c>
      <x:c r="X892" s="6" t="str">
        <x:v>3.6299068582955614</x:v>
      </x:c>
      <x:c r="Y892" s="6" t="str">
        <x:v>3.2385097624319394</x:v>
      </x:c>
      <x:c r="Z892" s="6" t="str">
        <x:v>3.6745662646950152</x:v>
      </x:c>
      <x:c r="AA892" s="6" t="str">
        <x:v>-2.0726599145243387</x:v>
      </x:c>
      <x:c r="AB892" s="6" t="str">
        <x:v>-1.0708684740994265</x:v>
      </x:c>
      <x:c r="AC892" s="6" t="str">
        <x:v>-0.9010599759461404</x:v>
      </x:c>
      <x:c r="AD892" s="6" t="str">
        <x:v>-0.7342728469353554</x:v>
      </x:c>
      <x:c r="AE892" s="6" t="str">
        <x:v>-1.6067592614212356</x:v>
      </x:c>
      <x:c r="AF892" s="6" t="str">
        <x:v>-0.561507219261908</x:v>
      </x:c>
      <x:c r="AG892" s="6" t="str">
        <x:v>0</x:v>
      </x:c>
      <x:c r="AH892" s="6" t="str">
        <x:v>1</x:v>
      </x:c>
      <x:c r="AI892" s="6" t="str">
        <x:v>2024-03</x:v>
      </x:c>
      <x:c r="AJ892" s="9" t="str">
        <x:v>NASA POWER (MERRA-2 meteorology)</x:v>
      </x:c>
      <x:c r="AK892" s="9" t="str">
        <x:v>Badan Informasi Geospasial (BIG)</x:v>
      </x:c>
      <x:c r="AL892" s="9" t="str">
        <x:v>https://power.larc.nasa.gov/docs/services/api/temporal/monthly/</x:v>
      </x:c>
      <x:c r="AM892" s="9" t="str">
        <x:v>https://geoservices.big.go.id/rbi/rest/services/BATASWILAYAH/BATAS_WILAYAH/MapServer/12</x:v>
      </x:c>
    </x:row>
    <x:row r="893" ht="18" customHeight="1">
      <x:c r="A893" s="6" t="str">
        <x:v>97</x:v>
      </x:c>
      <x:c r="B893" s="6" t="str">
        <x:v>PAPUA PEGUNUNGAN</x:v>
      </x:c>
      <x:c r="C893" s="6" t="str">
        <x:v>2024</x:v>
      </x:c>
      <x:c r="D893" s="6" t="str">
        <x:v>4</x:v>
      </x:c>
      <x:c r="E893" s="6" t="str">
        <x:v>20.640050265492235</x:v>
      </x:c>
      <x:c r="F893" s="9" t="str">
        <x:v>grid_cells_within_BIG_polygon</x:v>
      </x:c>
      <x:c r="G893" s="6" t="str">
        <x:v>13</x:v>
      </x:c>
      <x:c r="H893" s="8" t="str">
        <x:v>91.6686127600545</x:v>
      </x:c>
      <x:c r="I893" s="6" t="str">
        <x:v>8.241984298795929</x:v>
      </x:c>
      <x:c r="J893" s="6" t="str">
        <x:v>30</x:v>
      </x:c>
      <x:c r="K893" s="6" t="str">
        <x:v>247.25952896387787</x:v>
      </x:c>
      <x:c r="L893" s="6" t="str">
        <x:v>19.7302390864073</x:v>
      </x:c>
      <x:c r="M893" s="6" t="str">
        <x:v>0.23862636011511162</x:v>
      </x:c>
      <x:c r="N893" s="6" t="str">
        <x:v>91.77185036947685</x:v>
      </x:c>
      <x:c r="O893" s="6" t="str">
        <x:v>0.7503938431595888</x:v>
      </x:c>
      <x:c r="P893" s="6" t="str">
        <x:v>261.5252977430699</x:v>
      </x:c>
      <x:c r="Q893" s="6" t="str">
        <x:v>71.48061816818583</x:v>
      </x:c>
      <x:c r="R893" s="6" t="str">
        <x:v>0.9098111790849366</x:v>
      </x:c>
      <x:c r="S893" s="8" t="str">
        <x:v>3.8127019104094377</x:v>
      </x:c>
      <x:c r="T893" s="6" t="str">
        <x:v>-0.10323760942235083</x:v>
      </x:c>
      <x:c r="U893" s="8" t="str">
        <x:v>-0.13757790040981843</x:v>
      </x:c>
      <x:c r="V893" s="6" t="str">
        <x:v>-14.265768779192058</x:v>
      </x:c>
      <x:c r="W893" s="8" t="str">
        <x:v>-0.19957534146705774</x:v>
      </x:c>
      <x:c r="X893" s="6" t="str">
        <x:v>4.155282173357547</x:v>
      </x:c>
      <x:c r="Y893" s="6" t="str">
        <x:v>3.6299068582955614</x:v>
      </x:c>
      <x:c r="Z893" s="6" t="str">
        <x:v>3.8659636473541816</x:v>
      </x:c>
      <x:c r="AA893" s="6" t="str">
        <x:v>0.4403484607853434</x:v>
      </x:c>
      <x:c r="AB893" s="6" t="str">
        <x:v>-2.0726599145243387</x:v>
      </x:c>
      <x:c r="AC893" s="6" t="str">
        <x:v>-0.5899631180496044</x:v>
      </x:c>
      <x:c r="AD893" s="6" t="str">
        <x:v>0.6565104505708672</x:v>
      </x:c>
      <x:c r="AE893" s="6" t="str">
        <x:v>-0.7342728469353554</x:v>
      </x:c>
      <x:c r="AF893" s="6" t="str">
        <x:v>-0.09244591261051555</x:v>
      </x:c>
      <x:c r="AG893" s="6" t="str">
        <x:v>0</x:v>
      </x:c>
      <x:c r="AH893" s="6" t="str">
        <x:v>1</x:v>
      </x:c>
      <x:c r="AI893" s="6" t="str">
        <x:v>2024-04</x:v>
      </x:c>
      <x:c r="AJ893" s="9" t="str">
        <x:v>NASA POWER (MERRA-2 meteorology)</x:v>
      </x:c>
      <x:c r="AK893" s="9" t="str">
        <x:v>Badan Informasi Geospasial (BIG)</x:v>
      </x:c>
      <x:c r="AL893" s="9" t="str">
        <x:v>https://power.larc.nasa.gov/docs/services/api/temporal/monthly/</x:v>
      </x:c>
      <x:c r="AM893" s="9" t="str">
        <x:v>https://geoservices.big.go.id/rbi/rest/services/BATASWILAYAH/BATAS_WILAYAH/MapServer/12</x:v>
      </x:c>
    </x:row>
    <x:row r="894" ht="18" customHeight="1">
      <x:c r="A894" s="6" t="str">
        <x:v>97</x:v>
      </x:c>
      <x:c r="B894" s="6" t="str">
        <x:v>PAPUA PEGUNUNGAN</x:v>
      </x:c>
      <x:c r="C894" s="6" t="str">
        <x:v>2024</x:v>
      </x:c>
      <x:c r="D894" s="6" t="str">
        <x:v>5</x:v>
      </x:c>
      <x:c r="E894" s="6" t="str">
        <x:v>20.54847655388504</x:v>
      </x:c>
      <x:c r="F894" s="9" t="str">
        <x:v>grid_cells_within_BIG_polygon</x:v>
      </x:c>
      <x:c r="G894" s="6" t="str">
        <x:v>13</x:v>
      </x:c>
      <x:c r="H894" s="8" t="str">
        <x:v>91.73914884857827</x:v>
      </x:c>
      <x:c r="I894" s="6" t="str">
        <x:v>6.8370369805861495</x:v>
      </x:c>
      <x:c r="J894" s="6" t="str">
        <x:v>31</x:v>
      </x:c>
      <x:c r="K894" s="6" t="str">
        <x:v>211.94814639817062</x:v>
      </x:c>
      <x:c r="L894" s="6" t="str">
        <x:v>19.717641706841814</x:v>
      </x:c>
      <x:c r="M894" s="6" t="str">
        <x:v>0.31601159908859167</x:v>
      </x:c>
      <x:c r="N894" s="6" t="str">
        <x:v>90.85978965521373</x:v>
      </x:c>
      <x:c r="O894" s="6" t="str">
        <x:v>0.9634218863986496</x:v>
      </x:c>
      <x:c r="P894" s="6" t="str">
        <x:v>192.94043787743715</x:v>
      </x:c>
      <x:c r="Q894" s="6" t="str">
        <x:v>64.8290947401089</x:v>
      </x:c>
      <x:c r="R894" s="6" t="str">
        <x:v>0.8308348470432243</x:v>
      </x:c>
      <x:c r="S894" s="8" t="str">
        <x:v>2.6291276948043465</x:v>
      </x:c>
      <x:c r="T894" s="6" t="str">
        <x:v>0.8793591933645359</x:v>
      </x:c>
      <x:c r="U894" s="8" t="str">
        <x:v>0.9127457096201677</x:v>
      </x:c>
      <x:c r="V894" s="6" t="str">
        <x:v>19.007708520733473</x:v>
      </x:c>
      <x:c r="W894" s="8" t="str">
        <x:v>0.2931971917382591</x:v>
      </x:c>
      <x:c r="X894" s="6" t="str">
        <x:v>3.8127019104094377</x:v>
      </x:c>
      <x:c r="Y894" s="6" t="str">
        <x:v>4.155282173357547</x:v>
      </x:c>
      <x:c r="Z894" s="6" t="str">
        <x:v>3.5323705928571107</x:v>
      </x:c>
      <x:c r="AA894" s="6" t="str">
        <x:v>-0.13757790040981843</x:v>
      </x:c>
      <x:c r="AB894" s="6" t="str">
        <x:v>0.4403484607853434</x:v>
      </x:c>
      <x:c r="AC894" s="6" t="str">
        <x:v>0.4051720899985643</x:v>
      </x:c>
      <x:c r="AD894" s="6" t="str">
        <x:v>-0.19957534146705774</x:v>
      </x:c>
      <x:c r="AE894" s="6" t="str">
        <x:v>0.6565104505708672</x:v>
      </x:c>
      <x:c r="AF894" s="6" t="str">
        <x:v>0.2500441002806893</x:v>
      </x:c>
      <x:c r="AG894" s="6" t="str">
        <x:v>0</x:v>
      </x:c>
      <x:c r="AH894" s="6" t="str">
        <x:v>1</x:v>
      </x:c>
      <x:c r="AI894" s="6" t="str">
        <x:v>2024-05</x:v>
      </x:c>
      <x:c r="AJ894" s="9" t="str">
        <x:v>NASA POWER (MERRA-2 meteorology)</x:v>
      </x:c>
      <x:c r="AK894" s="9" t="str">
        <x:v>Badan Informasi Geospasial (BIG)</x:v>
      </x:c>
      <x:c r="AL894" s="9" t="str">
        <x:v>https://power.larc.nasa.gov/docs/services/api/temporal/monthly/</x:v>
      </x:c>
      <x:c r="AM894" s="9" t="str">
        <x:v>https://geoservices.big.go.id/rbi/rest/services/BATASWILAYAH/BATAS_WILAYAH/MapServer/12</x:v>
      </x:c>
    </x:row>
    <x:row r="895" ht="18" customHeight="1">
      <x:c r="A895" s="6" t="str">
        <x:v>97</x:v>
      </x:c>
      <x:c r="B895" s="6" t="str">
        <x:v>PAPUA PEGUNUNGAN</x:v>
      </x:c>
      <x:c r="C895" s="6" t="str">
        <x:v>2024</x:v>
      </x:c>
      <x:c r="D895" s="6" t="str">
        <x:v>6</x:v>
      </x:c>
      <x:c r="E895" s="6" t="str">
        <x:v>20.007796580685767</x:v>
      </x:c>
      <x:c r="F895" s="9" t="str">
        <x:v>grid_cells_within_BIG_polygon</x:v>
      </x:c>
      <x:c r="G895" s="6" t="str">
        <x:v>13</x:v>
      </x:c>
      <x:c r="H895" s="8" t="str">
        <x:v>91.19494168196593</x:v>
      </x:c>
      <x:c r="I895" s="6" t="str">
        <x:v>8.72920707073179</x:v>
      </x:c>
      <x:c r="J895" s="6" t="str">
        <x:v>30</x:v>
      </x:c>
      <x:c r="K895" s="6" t="str">
        <x:v>261.8762121219537</x:v>
      </x:c>
      <x:c r="L895" s="6" t="str">
        <x:v>19.298215647037726</x:v>
      </x:c>
      <x:c r="M895" s="6" t="str">
        <x:v>0.301182207787394</x:v>
      </x:c>
      <x:c r="N895" s="6" t="str">
        <x:v>90.4498947709871</x:v>
      </x:c>
      <x:c r="O895" s="6" t="str">
        <x:v>1.4043406381753707</x:v>
      </x:c>
      <x:c r="P895" s="6" t="str">
        <x:v>187.18010297527744</x:v>
      </x:c>
      <x:c r="Q895" s="6" t="str">
        <x:v>72.49949632145643</x:v>
      </x:c>
      <x:c r="R895" s="6" t="str">
        <x:v>0.7095809336480414</x:v>
      </x:c>
      <x:c r="S895" s="8" t="str">
        <x:v>2.355985563891404</x:v>
      </x:c>
      <x:c r="T895" s="6" t="str">
        <x:v>0.7450469109788287</x:v>
      </x:c>
      <x:c r="U895" s="8" t="str">
        <x:v>0.5305314755733709</x:v>
      </x:c>
      <x:c r="V895" s="6" t="str">
        <x:v>74.69610914667626</x:v>
      </x:c>
      <x:c r="W895" s="8" t="str">
        <x:v>1.030298318425279</x:v>
      </x:c>
      <x:c r="X895" s="6" t="str">
        <x:v>2.6291276948043465</x:v>
      </x:c>
      <x:c r="Y895" s="6" t="str">
        <x:v>3.8127019104094377</x:v>
      </x:c>
      <x:c r="Z895" s="6" t="str">
        <x:v>2.9326050563683963</x:v>
      </x:c>
      <x:c r="AA895" s="6" t="str">
        <x:v>0.9127457096201677</x:v>
      </x:c>
      <x:c r="AB895" s="6" t="str">
        <x:v>-0.13757790040981843</x:v>
      </x:c>
      <x:c r="AC895" s="6" t="str">
        <x:v>0.43523309492790685</x:v>
      </x:c>
      <x:c r="AD895" s="6" t="str">
        <x:v>0.2931971917382591</x:v>
      </x:c>
      <x:c r="AE895" s="6" t="str">
        <x:v>-0.19957534146705774</x:v>
      </x:c>
      <x:c r="AF895" s="6" t="str">
        <x:v>0.3746400562321599</x:v>
      </x:c>
      <x:c r="AG895" s="6" t="str">
        <x:v>1</x:v>
      </x:c>
      <x:c r="AH895" s="6" t="str">
        <x:v>1</x:v>
      </x:c>
      <x:c r="AI895" s="6" t="str">
        <x:v>2024-06</x:v>
      </x:c>
      <x:c r="AJ895" s="9" t="str">
        <x:v>NASA POWER (MERRA-2 meteorology)</x:v>
      </x:c>
      <x:c r="AK895" s="9" t="str">
        <x:v>Badan Informasi Geospasial (BIG)</x:v>
      </x:c>
      <x:c r="AL895" s="9" t="str">
        <x:v>https://power.larc.nasa.gov/docs/services/api/temporal/monthly/</x:v>
      </x:c>
      <x:c r="AM895" s="9" t="str">
        <x:v>https://geoservices.big.go.id/rbi/rest/services/BATASWILAYAH/BATAS_WILAYAH/MapServer/12</x:v>
      </x:c>
    </x:row>
    <x:row r="896" ht="18" customHeight="1">
      <x:c r="A896" s="6" t="str">
        <x:v>97</x:v>
      </x:c>
      <x:c r="B896" s="6" t="str">
        <x:v>PAPUA PEGUNUNGAN</x:v>
      </x:c>
      <x:c r="C896" s="6" t="str">
        <x:v>2024</x:v>
      </x:c>
      <x:c r="D896" s="6" t="str">
        <x:v>7</x:v>
      </x:c>
      <x:c r="E896" s="6" t="str">
        <x:v>19.528678963293817</x:v>
      </x:c>
      <x:c r="F896" s="9" t="str">
        <x:v>grid_cells_within_BIG_polygon</x:v>
      </x:c>
      <x:c r="G896" s="6" t="str">
        <x:v>13</x:v>
      </x:c>
      <x:c r="H896" s="8" t="str">
        <x:v>91.57782790806226</x:v>
      </x:c>
      <x:c r="I896" s="6" t="str">
        <x:v>7.705980111447396</x:v>
      </x:c>
      <x:c r="J896" s="6" t="str">
        <x:v>31</x:v>
      </x:c>
      <x:c r="K896" s="6" t="str">
        <x:v>238.88538345486927</x:v>
      </x:c>
      <x:c r="L896" s="6" t="str">
        <x:v>18.901262536537956</x:v>
      </x:c>
      <x:c r="M896" s="6" t="str">
        <x:v>0.2757319384596875</x:v>
      </x:c>
      <x:c r="N896" s="6" t="str">
        <x:v>90.18779530391188</x:v>
      </x:c>
      <x:c r="O896" s="6" t="str">
        <x:v>1.5154195801893164</x:v>
      </x:c>
      <x:c r="P896" s="6" t="str">
        <x:v>171.97331323385907</x:v>
      </x:c>
      <x:c r="Q896" s="6" t="str">
        <x:v>57.719254234247096</x:v>
      </x:c>
      <x:c r="R896" s="6" t="str">
        <x:v>0.6274164267558611</x:v>
      </x:c>
      <x:c r="S896" s="8" t="str">
        <x:v>2.2754579330228384</x:v>
      </x:c>
      <x:c r="T896" s="6" t="str">
        <x:v>1.3900326041503774</x:v>
      </x:c>
      <x:c r="U896" s="8" t="str">
        <x:v>0.9172592345525358</x:v>
      </x:c>
      <x:c r="V896" s="6" t="str">
        <x:v>66.9120702210102</x:v>
      </x:c>
      <x:c r="W896" s="8" t="str">
        <x:v>1.1592677540401872</x:v>
      </x:c>
      <x:c r="X896" s="6" t="str">
        <x:v>2.355985563891404</x:v>
      </x:c>
      <x:c r="Y896" s="6" t="str">
        <x:v>2.6291276948043465</x:v>
      </x:c>
      <x:c r="Z896" s="6" t="str">
        <x:v>2.4201903972395296</x:v>
      </x:c>
      <x:c r="AA896" s="6" t="str">
        <x:v>0.5305314755733709</x:v>
      </x:c>
      <x:c r="AB896" s="6" t="str">
        <x:v>0.9127457096201677</x:v>
      </x:c>
      <x:c r="AC896" s="6" t="str">
        <x:v>0.7868454732486915</x:v>
      </x:c>
      <x:c r="AD896" s="6" t="str">
        <x:v>1.030298318425279</x:v>
      </x:c>
      <x:c r="AE896" s="6" t="str">
        <x:v>0.2931971917382591</x:v>
      </x:c>
      <x:c r="AF896" s="6" t="str">
        <x:v>0.827587754734575</x:v>
      </x:c>
      <x:c r="AG896" s="6" t="str">
        <x:v>1</x:v>
      </x:c>
      <x:c r="AH896" s="6" t="str">
        <x:v>1</x:v>
      </x:c>
      <x:c r="AI896" s="6" t="str">
        <x:v>2024-07</x:v>
      </x:c>
      <x:c r="AJ896" s="9" t="str">
        <x:v>NASA POWER (MERRA-2 meteorology)</x:v>
      </x:c>
      <x:c r="AK896" s="9" t="str">
        <x:v>Badan Informasi Geospasial (BIG)</x:v>
      </x:c>
      <x:c r="AL896" s="9" t="str">
        <x:v>https://power.larc.nasa.gov/docs/services/api/temporal/monthly/</x:v>
      </x:c>
      <x:c r="AM896" s="9" t="str">
        <x:v>https://geoservices.big.go.id/rbi/rest/services/BATASWILAYAH/BATAS_WILAYAH/MapServer/12</x:v>
      </x:c>
    </x:row>
    <x:row r="897" ht="18" customHeight="1">
      <x:c r="A897" s="6" t="str">
        <x:v>97</x:v>
      </x:c>
      <x:c r="B897" s="6" t="str">
        <x:v>PAPUA PEGUNUNGAN</x:v>
      </x:c>
      <x:c r="C897" s="6" t="str">
        <x:v>2024</x:v>
      </x:c>
      <x:c r="D897" s="6" t="str">
        <x:v>8</x:v>
      </x:c>
      <x:c r="E897" s="6" t="str">
        <x:v>20.09319038738264</x:v>
      </x:c>
      <x:c r="F897" s="9" t="str">
        <x:v>grid_cells_within_BIG_polygon</x:v>
      </x:c>
      <x:c r="G897" s="6" t="str">
        <x:v>13</x:v>
      </x:c>
      <x:c r="H897" s="8" t="str">
        <x:v>88.80535287717392</x:v>
      </x:c>
      <x:c r="I897" s="6" t="str">
        <x:v>4.819643623145544</x:v>
      </x:c>
      <x:c r="J897" s="6" t="str">
        <x:v>31</x:v>
      </x:c>
      <x:c r="K897" s="6" t="str">
        <x:v>149.40895231751188</x:v>
      </x:c>
      <x:c r="L897" s="6" t="str">
        <x:v>18.94582311211279</x:v>
      </x:c>
      <x:c r="M897" s="6" t="str">
        <x:v>0.3285172707813886</x:v>
      </x:c>
      <x:c r="N897" s="6" t="str">
        <x:v>89.5279896403493</x:v>
      </x:c>
      <x:c r="O897" s="6" t="str">
        <x:v>1.7918733331099599</x:v>
      </x:c>
      <x:c r="P897" s="6" t="str">
        <x:v>164.9573945792764</x:v>
      </x:c>
      <x:c r="Q897" s="6" t="str">
        <x:v>67.83049987203712</x:v>
      </x:c>
      <x:c r="R897" s="6" t="str">
        <x:v>1.1473672752698505</x:v>
      </x:c>
      <x:c r="S897" s="8" t="str">
        <x:v>3.492563031894188</x:v>
      </x:c>
      <x:c r="T897" s="6" t="str">
        <x:v>-0.7226367631753874</x:v>
      </x:c>
      <x:c r="U897" s="8" t="str">
        <x:v>-0.403285628410567</x:v>
      </x:c>
      <x:c r="V897" s="6" t="str">
        <x:v>-15.548442261764535</x:v>
      </x:c>
      <x:c r="W897" s="8" t="str">
        <x:v>-0.22922493997680715</x:v>
      </x:c>
      <x:c r="X897" s="6" t="str">
        <x:v>2.2754579330228384</x:v>
      </x:c>
      <x:c r="Y897" s="6" t="str">
        <x:v>2.355985563891404</x:v>
      </x:c>
      <x:c r="Z897" s="6" t="str">
        <x:v>2.7080021762694764</x:v>
      </x:c>
      <x:c r="AA897" s="6" t="str">
        <x:v>0.9172592345525358</x:v>
      </x:c>
      <x:c r="AB897" s="6" t="str">
        <x:v>0.5305314755733709</x:v>
      </x:c>
      <x:c r="AC897" s="6" t="str">
        <x:v>0.34816836057178</x:v>
      </x:c>
      <x:c r="AD897" s="6" t="str">
        <x:v>1.1592677540401872</x:v>
      </x:c>
      <x:c r="AE897" s="6" t="str">
        <x:v>1.030298318425279</x:v>
      </x:c>
      <x:c r="AF897" s="6" t="str">
        <x:v>0.6534470441628861</x:v>
      </x:c>
      <x:c r="AG897" s="6" t="str">
        <x:v>0</x:v>
      </x:c>
      <x:c r="AH897" s="6" t="str">
        <x:v>1</x:v>
      </x:c>
      <x:c r="AI897" s="6" t="str">
        <x:v>2024-08</x:v>
      </x:c>
      <x:c r="AJ897" s="9" t="str">
        <x:v>NASA POWER (MERRA-2 meteorology)</x:v>
      </x:c>
      <x:c r="AK897" s="9" t="str">
        <x:v>Badan Informasi Geospasial (BIG)</x:v>
      </x:c>
      <x:c r="AL897" s="9" t="str">
        <x:v>https://power.larc.nasa.gov/docs/services/api/temporal/monthly/</x:v>
      </x:c>
      <x:c r="AM897" s="9" t="str">
        <x:v>https://geoservices.big.go.id/rbi/rest/services/BATASWILAYAH/BATAS_WILAYAH/MapServer/12</x:v>
      </x:c>
    </x:row>
    <x:row r="898" ht="18" customHeight="1">
      <x:c r="A898" s="6" t="str">
        <x:v>97</x:v>
      </x:c>
      <x:c r="B898" s="6" t="str">
        <x:v>PAPUA PEGUNUNGAN</x:v>
      </x:c>
      <x:c r="C898" s="6" t="str">
        <x:v>2024</x:v>
      </x:c>
      <x:c r="D898" s="6" t="str">
        <x:v>9</x:v>
      </x:c>
      <x:c r="E898" s="6" t="str">
        <x:v>20.190159160815988</x:v>
      </x:c>
      <x:c r="F898" s="9" t="str">
        <x:v>grid_cells_within_BIG_polygon</x:v>
      </x:c>
      <x:c r="G898" s="6" t="str">
        <x:v>13</x:v>
      </x:c>
      <x:c r="H898" s="8" t="str">
        <x:v>88.84044520147744</x:v>
      </x:c>
      <x:c r="I898" s="6" t="str">
        <x:v>8.399998925050674</x:v>
      </x:c>
      <x:c r="J898" s="6" t="str">
        <x:v>30</x:v>
      </x:c>
      <x:c r="K898" s="6" t="str">
        <x:v>251.99996775152022</x:v>
      </x:c>
      <x:c r="L898" s="6" t="str">
        <x:v>19.323913625106403</x:v>
      </x:c>
      <x:c r="M898" s="6" t="str">
        <x:v>0.3007237706103132</x:v>
      </x:c>
      <x:c r="N898" s="6" t="str">
        <x:v>88.63753215021386</x:v>
      </x:c>
      <x:c r="O898" s="6" t="str">
        <x:v>2.726209079954581</x:v>
      </x:c>
      <x:c r="P898" s="6" t="str">
        <x:v>179.46386519872388</x:v>
      </x:c>
      <x:c r="Q898" s="6" t="str">
        <x:v>71.75752979187948</x:v>
      </x:c>
      <x:c r="R898" s="6" t="str">
        <x:v>0.8662455357095844</x:v>
      </x:c>
      <x:c r="S898" s="8" t="str">
        <x:v>2.880535628931346</x:v>
      </x:c>
      <x:c r="T898" s="6" t="str">
        <x:v>0.20291305126357884</x:v>
      </x:c>
      <x:c r="U898" s="8" t="str">
        <x:v>0.0744304803162637</x:v>
      </x:c>
      <x:c r="V898" s="6" t="str">
        <x:v>72.53610255279634</x:v>
      </x:c>
      <x:c r="W898" s="8" t="str">
        <x:v>1.0108500496487962</x:v>
      </x:c>
      <x:c r="X898" s="6" t="str">
        <x:v>3.492563031894188</x:v>
      </x:c>
      <x:c r="Y898" s="6" t="str">
        <x:v>2.2754579330228384</x:v>
      </x:c>
      <x:c r="Z898" s="6" t="str">
        <x:v>2.8828521979494575</x:v>
      </x:c>
      <x:c r="AA898" s="6" t="str">
        <x:v>-0.403285628410567</x:v>
      </x:c>
      <x:c r="AB898" s="6" t="str">
        <x:v>0.9172592345525358</x:v>
      </x:c>
      <x:c r="AC898" s="6" t="str">
        <x:v>0.19613469548607765</x:v>
      </x:c>
      <x:c r="AD898" s="6" t="str">
        <x:v>-0.22922493997680715</x:v>
      </x:c>
      <x:c r="AE898" s="6" t="str">
        <x:v>1.1592677540401872</x:v>
      </x:c>
      <x:c r="AF898" s="6" t="str">
        <x:v>0.6469642879040586</x:v>
      </x:c>
      <x:c r="AG898" s="6" t="str">
        <x:v>1</x:v>
      </x:c>
      <x:c r="AH898" s="6" t="str">
        <x:v>1</x:v>
      </x:c>
      <x:c r="AI898" s="6" t="str">
        <x:v>2024-09</x:v>
      </x:c>
      <x:c r="AJ898" s="9" t="str">
        <x:v>NASA POWER (MERRA-2 meteorology)</x:v>
      </x:c>
      <x:c r="AK898" s="9" t="str">
        <x:v>Badan Informasi Geospasial (BIG)</x:v>
      </x:c>
      <x:c r="AL898" s="9" t="str">
        <x:v>https://power.larc.nasa.gov/docs/services/api/temporal/monthly/</x:v>
      </x:c>
      <x:c r="AM898" s="9" t="str">
        <x:v>https://geoservices.big.go.id/rbi/rest/services/BATASWILAYAH/BATAS_WILAYAH/MapServer/12</x:v>
      </x:c>
    </x:row>
    <x:row r="899" ht="18" customHeight="1">
      <x:c r="A899" s="6" t="str">
        <x:v>97</x:v>
      </x:c>
      <x:c r="B899" s="6" t="str">
        <x:v>PAPUA PEGUNUNGAN</x:v>
      </x:c>
      <x:c r="C899" s="6" t="str">
        <x:v>2024</x:v>
      </x:c>
      <x:c r="D899" s="6" t="str">
        <x:v>10</x:v>
      </x:c>
      <x:c r="E899" s="6" t="str">
        <x:v>20.273129551513637</x:v>
      </x:c>
      <x:c r="F899" s="9" t="str">
        <x:v>grid_cells_within_BIG_polygon</x:v>
      </x:c>
      <x:c r="G899" s="6" t="str">
        <x:v>13</x:v>
      </x:c>
      <x:c r="H899" s="8" t="str">
        <x:v>89.0777697200011</x:v>
      </x:c>
      <x:c r="I899" s="6" t="str">
        <x:v>8.123084119262822</x:v>
      </x:c>
      <x:c r="J899" s="6" t="str">
        <x:v>31</x:v>
      </x:c>
      <x:c r="K899" s="6" t="str">
        <x:v>251.8156076971475</x:v>
      </x:c>
      <x:c r="L899" s="6" t="str">
        <x:v>19.653854797999582</x:v>
      </x:c>
      <x:c r="M899" s="6" t="str">
        <x:v>0.285525408990329</x:v>
      </x:c>
      <x:c r="N899" s="6" t="str">
        <x:v>88.34675431856463</x:v>
      </x:c>
      <x:c r="O899" s="6" t="str">
        <x:v>2.921539732113678</x:v>
      </x:c>
      <x:c r="P899" s="6" t="str">
        <x:v>191.04559736701626</x:v>
      </x:c>
      <x:c r="Q899" s="6" t="str">
        <x:v>90.98587984709187</x:v>
      </x:c>
      <x:c r="R899" s="6" t="str">
        <x:v>0.6192747535140555</x:v>
      </x:c>
      <x:c r="S899" s="8" t="str">
        <x:v>2.1688954258184103</x:v>
      </x:c>
      <x:c r="T899" s="6" t="str">
        <x:v>0.7310154014364656</x:v>
      </x:c>
      <x:c r="U899" s="8" t="str">
        <x:v>0.25021580004581695</x:v>
      </x:c>
      <x:c r="V899" s="6" t="str">
        <x:v>60.77001033013124</x:v>
      </x:c>
      <x:c r="W899" s="8" t="str">
        <x:v>0.6679059479587327</x:v>
      </x:c>
      <x:c r="X899" s="6" t="str">
        <x:v>2.880535628931346</x:v>
      </x:c>
      <x:c r="Y899" s="6" t="str">
        <x:v>3.492563031894188</x:v>
      </x:c>
      <x:c r="Z899" s="6" t="str">
        <x:v>2.847331362214648</x:v>
      </x:c>
      <x:c r="AA899" s="6" t="str">
        <x:v>0.0744304803162637</x:v>
      </x:c>
      <x:c r="AB899" s="6" t="str">
        <x:v>-0.403285628410567</x:v>
      </x:c>
      <x:c r="AC899" s="6" t="str">
        <x:v>-0.02621311601616196</x:v>
      </x:c>
      <x:c r="AD899" s="6" t="str">
        <x:v>1.0108500496487962</x:v>
      </x:c>
      <x:c r="AE899" s="6" t="str">
        <x:v>-0.22922493997680715</x:v>
      </x:c>
      <x:c r="AF899" s="6" t="str">
        <x:v>0.4831770192102403</x:v>
      </x:c>
      <x:c r="AG899" s="6" t="str">
        <x:v>0</x:v>
      </x:c>
      <x:c r="AH899" s="6" t="str">
        <x:v>1</x:v>
      </x:c>
      <x:c r="AI899" s="6" t="str">
        <x:v>2024-10</x:v>
      </x:c>
      <x:c r="AJ899" s="9" t="str">
        <x:v>NASA POWER (MERRA-2 meteorology)</x:v>
      </x:c>
      <x:c r="AK899" s="9" t="str">
        <x:v>Badan Informasi Geospasial (BIG)</x:v>
      </x:c>
      <x:c r="AL899" s="9" t="str">
        <x:v>https://power.larc.nasa.gov/docs/services/api/temporal/monthly/</x:v>
      </x:c>
      <x:c r="AM899" s="9" t="str">
        <x:v>https://geoservices.big.go.id/rbi/rest/services/BATASWILAYAH/BATAS_WILAYAH/MapServer/12</x:v>
      </x:c>
    </x:row>
    <x:row r="900" ht="18" customHeight="1">
      <x:c r="A900" s="6" t="str">
        <x:v>97</x:v>
      </x:c>
      <x:c r="B900" s="6" t="str">
        <x:v>PAPUA PEGUNUNGAN</x:v>
      </x:c>
      <x:c r="C900" s="6" t="str">
        <x:v>2024</x:v>
      </x:c>
      <x:c r="D900" s="6" t="str">
        <x:v>11</x:v>
      </x:c>
      <x:c r="E900" s="6" t="str">
        <x:v>20.443853280056683</x:v>
      </x:c>
      <x:c r="F900" s="9" t="str">
        <x:v>grid_cells_within_BIG_polygon</x:v>
      </x:c>
      <x:c r="G900" s="6" t="str">
        <x:v>13</x:v>
      </x:c>
      <x:c r="H900" s="8" t="str">
        <x:v>88.78913528714938</x:v>
      </x:c>
      <x:c r="I900" s="6" t="str">
        <x:v>6.747113610037848</x:v>
      </x:c>
      <x:c r="J900" s="6" t="str">
        <x:v>30</x:v>
      </x:c>
      <x:c r="K900" s="6" t="str">
        <x:v>202.41340830113546</x:v>
      </x:c>
      <x:c r="L900" s="6" t="str">
        <x:v>19.856648189384302</x:v>
      </x:c>
      <x:c r="M900" s="6" t="str">
        <x:v>0.27684242758277783</x:v>
      </x:c>
      <x:c r="N900" s="6" t="str">
        <x:v>89.25404032555358</x:v>
      </x:c>
      <x:c r="O900" s="6" t="str">
        <x:v>2.439482689806451</x:v>
      </x:c>
      <x:c r="P900" s="6" t="str">
        <x:v>204.89905400761646</x:v>
      </x:c>
      <x:c r="Q900" s="6" t="str">
        <x:v>65.8152719783898</x:v>
      </x:c>
      <x:c r="R900" s="6" t="str">
        <x:v>0.5872050906723807</x:v>
      </x:c>
      <x:c r="S900" s="8" t="str">
        <x:v>2.1210805576280474</x:v>
      </x:c>
      <x:c r="T900" s="6" t="str">
        <x:v>-0.46490503840419706</x:v>
      </x:c>
      <x:c r="U900" s="8" t="str">
        <x:v>-0.1905752561175512</x:v>
      </x:c>
      <x:c r="V900" s="6" t="str">
        <x:v>-2.4856457064809945</x:v>
      </x:c>
      <x:c r="W900" s="8" t="str">
        <x:v>-0.03776700500906761</x:v>
      </x:c>
      <x:c r="X900" s="6" t="str">
        <x:v>2.1688954258184103</x:v>
      </x:c>
      <x:c r="Y900" s="6" t="str">
        <x:v>2.880535628931346</x:v>
      </x:c>
      <x:c r="Z900" s="6" t="str">
        <x:v>2.390170537459268</x:v>
      </x:c>
      <x:c r="AA900" s="6" t="str">
        <x:v>0.25021580004581695</x:v>
      </x:c>
      <x:c r="AB900" s="6" t="str">
        <x:v>0.0744304803162637</x:v>
      </x:c>
      <x:c r="AC900" s="6" t="str">
        <x:v>0.0446903414148433</x:v>
      </x:c>
      <x:c r="AD900" s="6" t="str">
        <x:v>0.6679059479587327</x:v>
      </x:c>
      <x:c r="AE900" s="6" t="str">
        <x:v>1.0108500496487962</x:v>
      </x:c>
      <x:c r="AF900" s="6" t="str">
        <x:v>0.5469963308661535</x:v>
      </x:c>
      <x:c r="AG900" s="6" t="str">
        <x:v>0</x:v>
      </x:c>
      <x:c r="AH900" s="6" t="str">
        <x:v>1</x:v>
      </x:c>
      <x:c r="AI900" s="6" t="str">
        <x:v>2024-11</x:v>
      </x:c>
      <x:c r="AJ900" s="9" t="str">
        <x:v>NASA POWER (MERRA-2 meteorology)</x:v>
      </x:c>
      <x:c r="AK900" s="9" t="str">
        <x:v>Badan Informasi Geospasial (BIG)</x:v>
      </x:c>
      <x:c r="AL900" s="9" t="str">
        <x:v>https://power.larc.nasa.gov/docs/services/api/temporal/monthly/</x:v>
      </x:c>
      <x:c r="AM900" s="9" t="str">
        <x:v>https://geoservices.big.go.id/rbi/rest/services/BATASWILAYAH/BATAS_WILAYAH/MapServer/12</x:v>
      </x:c>
    </x:row>
    <x:row r="901" ht="18" customHeight="1">
      <x:c r="A901" s="6" t="str">
        <x:v>97</x:v>
      </x:c>
      <x:c r="B901" s="6" t="str">
        <x:v>PAPUA PEGUNUNGAN</x:v>
      </x:c>
      <x:c r="C901" s="6" t="str">
        <x:v>2024</x:v>
      </x:c>
      <x:c r="D901" s="6" t="str">
        <x:v>12</x:v>
      </x:c>
      <x:c r="E901" s="6" t="str">
        <x:v>20.64389696607391</x:v>
      </x:c>
      <x:c r="F901" s="9" t="str">
        <x:v>grid_cells_within_BIG_polygon</x:v>
      </x:c>
      <x:c r="G901" s="6" t="str">
        <x:v>13</x:v>
      </x:c>
      <x:c r="H901" s="8" t="str">
        <x:v>91.03691394472465</x:v>
      </x:c>
      <x:c r="I901" s="6" t="str">
        <x:v>8.658240291587026</x:v>
      </x:c>
      <x:c r="J901" s="6" t="str">
        <x:v>31</x:v>
      </x:c>
      <x:c r="K901" s="6" t="str">
        <x:v>268.4054490391978</x:v>
      </x:c>
      <x:c r="L901" s="6" t="str">
        <x:v>19.880321736505877</x:v>
      </x:c>
      <x:c r="M901" s="6" t="str">
        <x:v>0.2398050990476437</x:v>
      </x:c>
      <x:c r="N901" s="6" t="str">
        <x:v>90.24002746744219</x:v>
      </x:c>
      <x:c r="O901" s="6" t="str">
        <x:v>1.2796269459154739</x:v>
      </x:c>
      <x:c r="P901" s="6" t="str">
        <x:v>238.19018507011043</x:v>
      </x:c>
      <x:c r="Q901" s="6" t="str">
        <x:v>62.330710397315066</x:v>
      </x:c>
      <x:c r="R901" s="6" t="str">
        <x:v>0.7635752295680334</x:v>
      </x:c>
      <x:c r="S901" s="8" t="str">
        <x:v>3.1841492637165683</x:v>
      </x:c>
      <x:c r="T901" s="6" t="str">
        <x:v>0.796886477282456</x:v>
      </x:c>
      <x:c r="U901" s="8" t="str">
        <x:v>0.6227490596584346</x:v>
      </x:c>
      <x:c r="V901" s="6" t="str">
        <x:v>30.215263969087346</x:v>
      </x:c>
      <x:c r="W901" s="8" t="str">
        <x:v>0.4847572533103824</x:v>
      </x:c>
      <x:c r="X901" s="6" t="str">
        <x:v>2.1210805576280474</x:v>
      </x:c>
      <x:c r="Y901" s="6" t="str">
        <x:v>2.1688954258184103</x:v>
      </x:c>
      <x:c r="Z901" s="6" t="str">
        <x:v>2.4913750823876755</x:v>
      </x:c>
      <x:c r="AA901" s="6" t="str">
        <x:v>-0.1905752561175512</x:v>
      </x:c>
      <x:c r="AB901" s="6" t="str">
        <x:v>0.25021580004581695</x:v>
      </x:c>
      <x:c r="AC901" s="6" t="str">
        <x:v>0.22746320119556696</x:v>
      </x:c>
      <x:c r="AD901" s="6" t="str">
        <x:v>-0.03776700500906761</x:v>
      </x:c>
      <x:c r="AE901" s="6" t="str">
        <x:v>0.6679059479587327</x:v>
      </x:c>
      <x:c r="AF901" s="6" t="str">
        <x:v>0.3716320654200156</x:v>
      </x:c>
      <x:c r="AG901" s="6" t="str">
        <x:v>0</x:v>
      </x:c>
      <x:c r="AH901" s="6" t="str">
        <x:v>1</x:v>
      </x:c>
      <x:c r="AI901" s="6" t="str">
        <x:v>2024-12</x:v>
      </x:c>
      <x:c r="AJ901" s="9" t="str">
        <x:v>NASA POWER (MERRA-2 meteorology)</x:v>
      </x:c>
      <x:c r="AK901" s="9" t="str">
        <x:v>Badan Informasi Geospasial (BIG)</x:v>
      </x:c>
      <x:c r="AL901" s="9" t="str">
        <x:v>https://power.larc.nasa.gov/docs/services/api/temporal/monthly/</x:v>
      </x:c>
      <x:c r="AM901" s="9" t="str">
        <x:v>https://geoservices.big.go.id/rbi/rest/services/BATASWILAYAH/BATAS_WILAYAH/MapServer/12</x:v>
      </x:c>
    </x:row>
    <x:row r="902" ht="18" customHeight="1">
      <x:c r="A902" s="6" t="str">
        <x:v>97</x:v>
      </x:c>
      <x:c r="B902" s="6" t="str">
        <x:v>PAPUA PEGUNUNGAN</x:v>
      </x:c>
      <x:c r="C902" s="6" t="str">
        <x:v>2025</x:v>
      </x:c>
      <x:c r="D902" s="6" t="str">
        <x:v>1</x:v>
      </x:c>
      <x:c r="E902" s="6" t="str">
        <x:v>20.453937380423532</x:v>
      </x:c>
      <x:c r="F902" s="9" t="str">
        <x:v>grid_cells_within_BIG_polygon</x:v>
      </x:c>
      <x:c r="G902" s="6" t="str">
        <x:v>13</x:v>
      </x:c>
      <x:c r="H902" s="8" t="str">
        <x:v>90.14184727551608</x:v>
      </x:c>
      <x:c r="I902" s="6" t="str">
        <x:v>7.03675312762655</x:v>
      </x:c>
      <x:c r="J902" s="6" t="str">
        <x:v>31</x:v>
      </x:c>
      <x:c r="K902" s="6" t="str">
        <x:v>218.13934695642305</x:v>
      </x:c>
      <x:c r="L902" s="6" t="str">
        <x:v>19.737033162089467</x:v>
      </x:c>
      <x:c r="M902" s="6" t="str">
        <x:v>0.24085904852083082</x:v>
      </x:c>
      <x:c r="N902" s="6" t="str">
        <x:v>90.20537720212697</x:v>
      </x:c>
      <x:c r="O902" s="6" t="str">
        <x:v>1.1436399489504037</x:v>
      </x:c>
      <x:c r="P902" s="6" t="str">
        <x:v>235.52936175436648</x:v>
      </x:c>
      <x:c r="Q902" s="6" t="str">
        <x:v>65.10887375421855</x:v>
      </x:c>
      <x:c r="R902" s="6" t="str">
        <x:v>0.716904218334065</x:v>
      </x:c>
      <x:c r="S902" s="8" t="str">
        <x:v>2.976447107703588</x:v>
      </x:c>
      <x:c r="T902" s="6" t="str">
        <x:v>-0.06352992661088308</x:v>
      </x:c>
      <x:c r="U902" s="8" t="str">
        <x:v>-0.05555063608016564</x:v>
      </x:c>
      <x:c r="V902" s="6" t="str">
        <x:v>-17.390014797943422</x:v>
      </x:c>
      <x:c r="W902" s="8" t="str">
        <x:v>-0.26709131636325817</x:v>
      </x:c>
      <x:c r="X902" s="6" t="str">
        <x:v>3.1841492637165683</x:v>
      </x:c>
      <x:c r="Y902" s="6" t="str">
        <x:v>2.1210805576280474</x:v>
      </x:c>
      <x:c r="Z902" s="6" t="str">
        <x:v>2.760558976349401</x:v>
      </x:c>
      <x:c r="AA902" s="6" t="str">
        <x:v>0.6227490596584346</x:v>
      </x:c>
      <x:c r="AB902" s="6" t="str">
        <x:v>-0.1905752561175512</x:v>
      </x:c>
      <x:c r="AC902" s="6" t="str">
        <x:v>0.12554105582023942</x:v>
      </x:c>
      <x:c r="AD902" s="6" t="str">
        <x:v>0.4847572533103824</x:v>
      </x:c>
      <x:c r="AE902" s="6" t="str">
        <x:v>-0.03776700500906761</x:v>
      </x:c>
      <x:c r="AF902" s="6" t="str">
        <x:v>0.05996631064601865</x:v>
      </x:c>
      <x:c r="AG902" s="6" t="str">
        <x:v>0</x:v>
      </x:c>
      <x:c r="AH902" s="6" t="str">
        <x:v>1</x:v>
      </x:c>
      <x:c r="AI902" s="6" t="str">
        <x:v>2025-01</x:v>
      </x:c>
      <x:c r="AJ902" s="9" t="str">
        <x:v>NASA POWER (MERRA-2 meteorology)</x:v>
      </x:c>
      <x:c r="AK902" s="9" t="str">
        <x:v>Badan Informasi Geospasial (BIG)</x:v>
      </x:c>
      <x:c r="AL902" s="9" t="str">
        <x:v>https://power.larc.nasa.gov/docs/services/api/temporal/monthly/</x:v>
      </x:c>
      <x:c r="AM902" s="9" t="str">
        <x:v>https://geoservices.big.go.id/rbi/rest/services/BATASWILAYAH/BATAS_WILAYAH/MapServer/12</x:v>
      </x:c>
    </x:row>
    <x:row r="903" ht="18" customHeight="1">
      <x:c r="A903" s="6" t="str">
        <x:v>97</x:v>
      </x:c>
      <x:c r="B903" s="6" t="str">
        <x:v>PAPUA PEGUNUNGAN</x:v>
      </x:c>
      <x:c r="C903" s="6" t="str">
        <x:v>2025</x:v>
      </x:c>
      <x:c r="D903" s="6" t="str">
        <x:v>2</x:v>
      </x:c>
      <x:c r="E903" s="6" t="str">
        <x:v>20.110823909939285</x:v>
      </x:c>
      <x:c r="F903" s="9" t="str">
        <x:v>grid_cells_within_BIG_polygon</x:v>
      </x:c>
      <x:c r="G903" s="6" t="str">
        <x:v>13</x:v>
      </x:c>
      <x:c r="H903" s="8" t="str">
        <x:v>90.70080032975625</x:v>
      </x:c>
      <x:c r="I903" s="6" t="str">
        <x:v>8.817287939418472</x:v>
      </x:c>
      <x:c r="J903" s="6" t="str">
        <x:v>28</x:v>
      </x:c>
      <x:c r="K903" s="6" t="str">
        <x:v>246.88406230371723</x:v>
      </x:c>
      <x:c r="L903" s="6" t="str">
        <x:v>19.6601737711908</x:v>
      </x:c>
      <x:c r="M903" s="6" t="str">
        <x:v>0.2854254902197325</x:v>
      </x:c>
      <x:c r="N903" s="6" t="str">
        <x:v>90.55174547615749</x:v>
      </x:c>
      <x:c r="O903" s="6" t="str">
        <x:v>1.0783027527573241</x:v>
      </x:c>
      <x:c r="P903" s="6" t="str">
        <x:v>226.72731212848146</x:v>
      </x:c>
      <x:c r="Q903" s="6" t="str">
        <x:v>64.30859415067269</x:v>
      </x:c>
      <x:c r="R903" s="6" t="str">
        <x:v>0.45065013874848603</x:v>
      </x:c>
      <x:c r="S903" s="8" t="str">
        <x:v>1.578871383917241</x:v>
      </x:c>
      <x:c r="T903" s="6" t="str">
        <x:v>0.1490548535987557</x:v>
      </x:c>
      <x:c r="U903" s="8" t="str">
        <x:v>0.13823098681479581</x:v>
      </x:c>
      <x:c r="V903" s="6" t="str">
        <x:v>20.15675017523577</x:v>
      </x:c>
      <x:c r="W903" s="8" t="str">
        <x:v>0.3134378918004216</x:v>
      </x:c>
      <x:c r="X903" s="6" t="str">
        <x:v>2.976447107703588</x:v>
      </x:c>
      <x:c r="Y903" s="6" t="str">
        <x:v>3.1841492637165683</x:v>
      </x:c>
      <x:c r="Z903" s="6" t="str">
        <x:v>2.5798225851124656</x:v>
      </x:c>
      <x:c r="AA903" s="6" t="str">
        <x:v>-0.05555063608016564</x:v>
      </x:c>
      <x:c r="AB903" s="6" t="str">
        <x:v>0.6227490596584346</x:v>
      </x:c>
      <x:c r="AC903" s="6" t="str">
        <x:v>0.23514313679768842</x:v>
      </x:c>
      <x:c r="AD903" s="6" t="str">
        <x:v>-0.26709131636325817</x:v>
      </x:c>
      <x:c r="AE903" s="6" t="str">
        <x:v>0.4847572533103824</x:v>
      </x:c>
      <x:c r="AF903" s="6" t="str">
        <x:v>0.17703460958251505</x:v>
      </x:c>
      <x:c r="AG903" s="6" t="str">
        <x:v>0</x:v>
      </x:c>
      <x:c r="AH903" s="6" t="str">
        <x:v>1</x:v>
      </x:c>
      <x:c r="AI903" s="6" t="str">
        <x:v>2025-02</x:v>
      </x:c>
      <x:c r="AJ903" s="9" t="str">
        <x:v>NASA POWER (MERRA-2 meteorology)</x:v>
      </x:c>
      <x:c r="AK903" s="9" t="str">
        <x:v>Badan Informasi Geospasial (BIG)</x:v>
      </x:c>
      <x:c r="AL903" s="9" t="str">
        <x:v>https://power.larc.nasa.gov/docs/services/api/temporal/monthly/</x:v>
      </x:c>
      <x:c r="AM903" s="9" t="str">
        <x:v>https://geoservices.big.go.id/rbi/rest/services/BATASWILAYAH/BATAS_WILAYAH/MapServer/12</x:v>
      </x:c>
    </x:row>
    <x:row r="904" ht="18" customHeight="1">
      <x:c r="A904" s="6" t="str">
        <x:v>97</x:v>
      </x:c>
      <x:c r="B904" s="6" t="str">
        <x:v>PAPUA PEGUNUNGAN</x:v>
      </x:c>
      <x:c r="C904" s="6" t="str">
        <x:v>2025</x:v>
      </x:c>
      <x:c r="D904" s="6" t="str">
        <x:v>3</x:v>
      </x:c>
      <x:c r="E904" s="6" t="str">
        <x:v>20.247718638256153</x:v>
      </x:c>
      <x:c r="F904" s="9" t="str">
        <x:v>grid_cells_within_BIG_polygon</x:v>
      </x:c>
      <x:c r="G904" s="6" t="str">
        <x:v>13</x:v>
      </x:c>
      <x:c r="H904" s="8" t="str">
        <x:v>90.90832506800913</x:v>
      </x:c>
      <x:c r="I904" s="6" t="str">
        <x:v>14.516387936739452</x:v>
      </x:c>
      <x:c r="J904" s="6" t="str">
        <x:v>31</x:v>
      </x:c>
      <x:c r="K904" s="6" t="str">
        <x:v>450.008026038923</x:v>
      </x:c>
      <x:c r="L904" s="6" t="str">
        <x:v>19.654846729185824</x:v>
      </x:c>
      <x:c r="M904" s="6" t="str">
        <x:v>0.24636522177655149</x:v>
      </x:c>
      <x:c r="N904" s="6" t="str">
        <x:v>90.87936784123623</x:v>
      </x:c>
      <x:c r="O904" s="6" t="str">
        <x:v>1.0647841448100732</x:v>
      </x:c>
      <x:c r="P904" s="6" t="str">
        <x:v>261.4835640493424</x:v>
      </x:c>
      <x:c r="Q904" s="6" t="str">
        <x:v>82.13076916585811</x:v>
      </x:c>
      <x:c r="R904" s="6" t="str">
        <x:v>0.5928719090703289</x:v>
      </x:c>
      <x:c r="S904" s="8" t="str">
        <x:v>2.4064756575424933</x:v>
      </x:c>
      <x:c r="T904" s="6" t="str">
        <x:v>0.0289572267729028</x:v>
      </x:c>
      <x:c r="U904" s="8" t="str">
        <x:v>0.02719539628200224</x:v>
      </x:c>
      <x:c r="V904" s="6" t="str">
        <x:v>188.52446198958057</x:v>
      </x:c>
      <x:c r="W904" s="8" t="str">
        <x:v>2.2954181959366147</x:v>
      </x:c>
      <x:c r="X904" s="6" t="str">
        <x:v>1.578871383917241</x:v>
      </x:c>
      <x:c r="Y904" s="6" t="str">
        <x:v>2.976447107703588</x:v>
      </x:c>
      <x:c r="Z904" s="6" t="str">
        <x:v>2.320598049721107</x:v>
      </x:c>
      <x:c r="AA904" s="6" t="str">
        <x:v>0.13823098681479581</x:v>
      </x:c>
      <x:c r="AB904" s="6" t="str">
        <x:v>-0.05555063608016564</x:v>
      </x:c>
      <x:c r="AC904" s="6" t="str">
        <x:v>0.036625249005544286</x:v>
      </x:c>
      <x:c r="AD904" s="6" t="str">
        <x:v>0.3134378918004216</x:v>
      </x:c>
      <x:c r="AE904" s="6" t="str">
        <x:v>-0.26709131636325817</x:v>
      </x:c>
      <x:c r="AF904" s="6" t="str">
        <x:v>0.7805882571245925</x:v>
      </x:c>
      <x:c r="AG904" s="6" t="str">
        <x:v>1</x:v>
      </x:c>
      <x:c r="AH904" s="6" t="str">
        <x:v>1</x:v>
      </x:c>
      <x:c r="AI904" s="6" t="str">
        <x:v>2025-03</x:v>
      </x:c>
      <x:c r="AJ904" s="9" t="str">
        <x:v>NASA POWER (MERRA-2 meteorology)</x:v>
      </x:c>
      <x:c r="AK904" s="9" t="str">
        <x:v>Badan Informasi Geospasial (BIG)</x:v>
      </x:c>
      <x:c r="AL904" s="9" t="str">
        <x:v>https://power.larc.nasa.gov/docs/services/api/temporal/monthly/</x:v>
      </x:c>
      <x:c r="AM904" s="9" t="str">
        <x:v>https://geoservices.big.go.id/rbi/rest/services/BATASWILAYAH/BATAS_WILAYAH/MapServer/12</x:v>
      </x:c>
    </x:row>
    <x:row r="905" ht="18" customHeight="1">
      <x:c r="A905" s="6" t="str">
        <x:v>97</x:v>
      </x:c>
      <x:c r="B905" s="6" t="str">
        <x:v>PAPUA PEGUNUNGAN</x:v>
      </x:c>
      <x:c r="C905" s="6" t="str">
        <x:v>2025</x:v>
      </x:c>
      <x:c r="D905" s="6" t="str">
        <x:v>4</x:v>
      </x:c>
      <x:c r="E905" s="6" t="str">
        <x:v>19.89920920238802</x:v>
      </x:c>
      <x:c r="F905" s="9" t="str">
        <x:v>grid_cells_within_BIG_polygon</x:v>
      </x:c>
      <x:c r="G905" s="6" t="str">
        <x:v>13</x:v>
      </x:c>
      <x:c r="H905" s="8" t="str">
        <x:v>91.58305481348502</x:v>
      </x:c>
      <x:c r="I905" s="6" t="str">
        <x:v>14.915462504235755</x:v>
      </x:c>
      <x:c r="J905" s="6" t="str">
        <x:v>30</x:v>
      </x:c>
      <x:c r="K905" s="6" t="str">
        <x:v>447.46387512707264</x:v>
      </x:c>
      <x:c r="L905" s="6" t="str">
        <x:v>19.7302390864073</x:v>
      </x:c>
      <x:c r="M905" s="6" t="str">
        <x:v>0.23862636011511162</x:v>
      </x:c>
      <x:c r="N905" s="6" t="str">
        <x:v>91.77185036947685</x:v>
      </x:c>
      <x:c r="O905" s="6" t="str">
        <x:v>0.7503938431595888</x:v>
      </x:c>
      <x:c r="P905" s="6" t="str">
        <x:v>261.5252977430699</x:v>
      </x:c>
      <x:c r="Q905" s="6" t="str">
        <x:v>71.48061816818583</x:v>
      </x:c>
      <x:c r="R905" s="6" t="str">
        <x:v>0.16897011598071998</x:v>
      </x:c>
      <x:c r="S905" s="8" t="str">
        <x:v>0.708094930917146</x:v>
      </x:c>
      <x:c r="T905" s="6" t="str">
        <x:v>-0.18879555599183107</x:v>
      </x:c>
      <x:c r="U905" s="8" t="str">
        <x:v>-0.2515952892109208</x:v>
      </x:c>
      <x:c r="V905" s="6" t="str">
        <x:v>185.9385773840027</x:v>
      </x:c>
      <x:c r="W905" s="8" t="str">
        <x:v>2.6012446751161304</x:v>
      </x:c>
      <x:c r="X905" s="6" t="str">
        <x:v>2.4064756575424933</x:v>
      </x:c>
      <x:c r="Y905" s="6" t="str">
        <x:v>1.578871383917241</x:v>
      </x:c>
      <x:c r="Z905" s="6" t="str">
        <x:v>1.56448065745896</x:v>
      </x:c>
      <x:c r="AA905" s="6" t="str">
        <x:v>0.02719539628200224</x:v>
      </x:c>
      <x:c r="AB905" s="6" t="str">
        <x:v>0.13823098681479581</x:v>
      </x:c>
      <x:c r="AC905" s="6" t="str">
        <x:v>-0.02872296870470743</x:v>
      </x:c>
      <x:c r="AD905" s="6" t="str">
        <x:v>2.2954181959366147</x:v>
      </x:c>
      <x:c r="AE905" s="6" t="str">
        <x:v>0.3134378918004216</x:v>
      </x:c>
      <x:c r="AF905" s="6" t="str">
        <x:v>1.7367002542843888</x:v>
      </x:c>
      <x:c r="AG905" s="6" t="str">
        <x:v>1</x:v>
      </x:c>
      <x:c r="AH905" s="6" t="str">
        <x:v>0</x:v>
      </x:c>
      <x:c r="AI905" s="6" t="str">
        <x:v>2025-04</x:v>
      </x:c>
      <x:c r="AJ905" s="9" t="str">
        <x:v>NASA POWER (MERRA-2 meteorology)</x:v>
      </x:c>
      <x:c r="AK905" s="9" t="str">
        <x:v>Badan Informasi Geospasial (BIG)</x:v>
      </x:c>
      <x:c r="AL905" s="9" t="str">
        <x:v>https://power.larc.nasa.gov/docs/services/api/temporal/monthly/</x:v>
      </x:c>
      <x:c r="AM905" s="9" t="str">
        <x:v>https://geoservices.big.go.id/rbi/rest/services/BATASWILAYAH/BATAS_WILAYAH/MapServer/12</x:v>
      </x:c>
    </x:row>
    <x:row r="906" ht="18" customHeight="1">
      <x:c r="A906" s="6" t="str">
        <x:v>97</x:v>
      </x:c>
      <x:c r="B906" s="6" t="str">
        <x:v>PAPUA PEGUNUNGAN</x:v>
      </x:c>
      <x:c r="C906" s="6" t="str">
        <x:v>2025</x:v>
      </x:c>
      <x:c r="D906" s="6" t="str">
        <x:v>5</x:v>
      </x:c>
      <x:c r="E906" s="6" t="str">
        <x:v>20.166071765174728</x:v>
      </x:c>
      <x:c r="F906" s="9" t="str">
        <x:v>grid_cells_within_BIG_polygon</x:v>
      </x:c>
      <x:c r="G906" s="6" t="str">
        <x:v>13</x:v>
      </x:c>
      <x:c r="H906" s="8" t="str">
        <x:v>91.12852430232873</x:v>
      </x:c>
      <x:c r="I906" s="6" t="str">
        <x:v>9.532476815589444</x:v>
      </x:c>
      <x:c r="J906" s="6" t="str">
        <x:v>31</x:v>
      </x:c>
      <x:c r="K906" s="6" t="str">
        <x:v>295.50678128327274</x:v>
      </x:c>
      <x:c r="L906" s="6" t="str">
        <x:v>19.717641706841814</x:v>
      </x:c>
      <x:c r="M906" s="6" t="str">
        <x:v>0.31601159908859167</x:v>
      </x:c>
      <x:c r="N906" s="6" t="str">
        <x:v>90.85978965521373</x:v>
      </x:c>
      <x:c r="O906" s="6" t="str">
        <x:v>0.9634218863986496</x:v>
      </x:c>
      <x:c r="P906" s="6" t="str">
        <x:v>192.94043787743715</x:v>
      </x:c>
      <x:c r="Q906" s="6" t="str">
        <x:v>64.8290947401089</x:v>
      </x:c>
      <x:c r="R906" s="6" t="str">
        <x:v>0.4484300583329137</x:v>
      </x:c>
      <x:c r="S906" s="8" t="str">
        <x:v>1.4190303761831207</x:v>
      </x:c>
      <x:c r="T906" s="6" t="str">
        <x:v>0.2687346471149965</x:v>
      </x:c>
      <x:c r="U906" s="8" t="str">
        <x:v>0.27893766055030034</x:v>
      </x:c>
      <x:c r="V906" s="6" t="str">
        <x:v>102.5663434058356</x:v>
      </x:c>
      <x:c r="W906" s="8" t="str">
        <x:v>1.5821035881653174</x:v>
      </x:c>
      <x:c r="X906" s="6" t="str">
        <x:v>0.708094930917146</x:v>
      </x:c>
      <x:c r="Y906" s="6" t="str">
        <x:v>2.4064756575424933</x:v>
      </x:c>
      <x:c r="Z906" s="6" t="str">
        <x:v>1.5112003215475867</x:v>
      </x:c>
      <x:c r="AA906" s="6" t="str">
        <x:v>-0.2515952892109208</x:v>
      </x:c>
      <x:c r="AB906" s="6" t="str">
        <x:v>0.02719539628200224</x:v>
      </x:c>
      <x:c r="AC906" s="6" t="str">
        <x:v>0.01817925587379408</x:v>
      </x:c>
      <x:c r="AD906" s="6" t="str">
        <x:v>2.6012446751161304</x:v>
      </x:c>
      <x:c r="AE906" s="6" t="str">
        <x:v>2.2954181959366147</x:v>
      </x:c>
      <x:c r="AF906" s="6" t="str">
        <x:v>2.1595888197393536</x:v>
      </x:c>
      <x:c r="AG906" s="6" t="str">
        <x:v>1</x:v>
      </x:c>
      <x:c r="AH906" s="6" t="str">
        <x:v>1</x:v>
      </x:c>
      <x:c r="AI906" s="6" t="str">
        <x:v>2025-05</x:v>
      </x:c>
      <x:c r="AJ906" s="9" t="str">
        <x:v>NASA POWER (MERRA-2 meteorology)</x:v>
      </x:c>
      <x:c r="AK906" s="9" t="str">
        <x:v>Badan Informasi Geospasial (BIG)</x:v>
      </x:c>
      <x:c r="AL906" s="9" t="str">
        <x:v>https://power.larc.nasa.gov/docs/services/api/temporal/monthly/</x:v>
      </x:c>
      <x:c r="AM906" s="9" t="str">
        <x:v>https://geoservices.big.go.id/rbi/rest/services/BATASWILAYAH/BATAS_WILAYAH/MapServer/12</x:v>
      </x:c>
    </x:row>
    <x:row r="907" ht="18" customHeight="1">
      <x:c r="A907" s="6" t="str">
        <x:v>97</x:v>
      </x:c>
      <x:c r="B907" s="6" t="str">
        <x:v>PAPUA PEGUNUNGAN</x:v>
      </x:c>
      <x:c r="C907" s="6" t="str">
        <x:v>2025</x:v>
      </x:c>
      <x:c r="D907" s="6" t="str">
        <x:v>6</x:v>
      </x:c>
      <x:c r="E907" s="6" t="str">
        <x:v>19.68299820847808</x:v>
      </x:c>
      <x:c r="F907" s="9" t="str">
        <x:v>grid_cells_within_BIG_polygon</x:v>
      </x:c>
      <x:c r="G907" s="6" t="str">
        <x:v>13</x:v>
      </x:c>
      <x:c r="H907" s="8" t="str">
        <x:v>90.85764544315174</x:v>
      </x:c>
      <x:c r="I907" s="6" t="str">
        <x:v>15.850674150815129</x:v>
      </x:c>
      <x:c r="J907" s="6" t="str">
        <x:v>30</x:v>
      </x:c>
      <x:c r="K907" s="6" t="str">
        <x:v>475.52022452445385</x:v>
      </x:c>
      <x:c r="L907" s="6" t="str">
        <x:v>19.298215647037726</x:v>
      </x:c>
      <x:c r="M907" s="6" t="str">
        <x:v>0.301182207787394</x:v>
      </x:c>
      <x:c r="N907" s="6" t="str">
        <x:v>90.4498947709871</x:v>
      </x:c>
      <x:c r="O907" s="6" t="str">
        <x:v>1.4043406381753707</x:v>
      </x:c>
      <x:c r="P907" s="6" t="str">
        <x:v>187.18010297527744</x:v>
      </x:c>
      <x:c r="Q907" s="6" t="str">
        <x:v>72.49949632145643</x:v>
      </x:c>
      <x:c r="R907" s="6" t="str">
        <x:v>0.3847825614403533</x:v>
      </x:c>
      <x:c r="S907" s="8" t="str">
        <x:v>1.277574011649364</x:v>
      </x:c>
      <x:c r="T907" s="6" t="str">
        <x:v>0.4077506721646387</x:v>
      </x:c>
      <x:c r="U907" s="8" t="str">
        <x:v>0.2903502619524137</x:v>
      </x:c>
      <x:c r="V907" s="6" t="str">
        <x:v>288.3401215491764</x:v>
      </x:c>
      <x:c r="W907" s="8" t="str">
        <x:v>3.977132755111863</x:v>
      </x:c>
      <x:c r="X907" s="6" t="str">
        <x:v>1.4190303761831207</x:v>
      </x:c>
      <x:c r="Y907" s="6" t="str">
        <x:v>0.708094930917146</x:v>
      </x:c>
      <x:c r="Z907" s="6" t="str">
        <x:v>1.1348997729165435</x:v>
      </x:c>
      <x:c r="AA907" s="6" t="str">
        <x:v>0.27893766055030034</x:v>
      </x:c>
      <x:c r="AB907" s="6" t="str">
        <x:v>-0.2515952892109208</x:v>
      </x:c>
      <x:c r="AC907" s="6" t="str">
        <x:v>0.1058975444305979</x:v>
      </x:c>
      <x:c r="AD907" s="6" t="str">
        <x:v>1.5821035881653174</x:v>
      </x:c>
      <x:c r="AE907" s="6" t="str">
        <x:v>2.6012446751161304</x:v>
      </x:c>
      <x:c r="AF907" s="6" t="str">
        <x:v>2.720160339464437</x:v>
      </x:c>
      <x:c r="AG907" s="6" t="str">
        <x:v>1</x:v>
      </x:c>
      <x:c r="AH907" s="6" t="str">
        <x:v>1</x:v>
      </x:c>
      <x:c r="AI907" s="6" t="str">
        <x:v>2025-06</x:v>
      </x:c>
      <x:c r="AJ907" s="9" t="str">
        <x:v>NASA POWER (MERRA-2 meteorology)</x:v>
      </x:c>
      <x:c r="AK907" s="9" t="str">
        <x:v>Badan Informasi Geospasial (BIG)</x:v>
      </x:c>
      <x:c r="AL907" s="9" t="str">
        <x:v>https://power.larc.nasa.gov/docs/services/api/temporal/monthly/</x:v>
      </x:c>
      <x:c r="AM907" s="9" t="str">
        <x:v>https://geoservices.big.go.id/rbi/rest/services/BATASWILAYAH/BATAS_WILAYAH/MapServer/12</x:v>
      </x:c>
    </x:row>
    <x:row r="908" ht="18" customHeight="1">
      <x:c r="A908" s="6" t="str">
        <x:v>97</x:v>
      </x:c>
      <x:c r="B908" s="6" t="str">
        <x:v>PAPUA PEGUNUNGAN</x:v>
      </x:c>
      <x:c r="C908" s="6" t="str">
        <x:v>2025</x:v>
      </x:c>
      <x:c r="D908" s="6" t="str">
        <x:v>7</x:v>
      </x:c>
      <x:c r="E908" s="6" t="str">
        <x:v>19.525251894843002</x:v>
      </x:c>
      <x:c r="F908" s="9" t="str">
        <x:v>grid_cells_within_BIG_polygon</x:v>
      </x:c>
      <x:c r="G908" s="6" t="str">
        <x:v>13</x:v>
      </x:c>
      <x:c r="H908" s="8" t="str">
        <x:v>90.65323402072809</x:v>
      </x:c>
      <x:c r="I908" s="6" t="str">
        <x:v>12.46744623131934</x:v>
      </x:c>
      <x:c r="J908" s="6" t="str">
        <x:v>31</x:v>
      </x:c>
      <x:c r="K908" s="6" t="str">
        <x:v>386.4908331708995</x:v>
      </x:c>
      <x:c r="L908" s="6" t="str">
        <x:v>18.901262536537956</x:v>
      </x:c>
      <x:c r="M908" s="6" t="str">
        <x:v>0.2757319384596875</x:v>
      </x:c>
      <x:c r="N908" s="6" t="str">
        <x:v>90.18779530391188</x:v>
      </x:c>
      <x:c r="O908" s="6" t="str">
        <x:v>1.5154195801893164</x:v>
      </x:c>
      <x:c r="P908" s="6" t="str">
        <x:v>171.97331323385907</x:v>
      </x:c>
      <x:c r="Q908" s="6" t="str">
        <x:v>57.719254234247096</x:v>
      </x:c>
      <x:c r="R908" s="6" t="str">
        <x:v>0.623989358305046</x:v>
      </x:c>
      <x:c r="S908" s="8" t="str">
        <x:v>2.2630289468489493</x:v>
      </x:c>
      <x:c r="T908" s="6" t="str">
        <x:v>0.46543871681620885</x:v>
      </x:c>
      <x:c r="U908" s="8" t="str">
        <x:v>0.30713521383831077</x:v>
      </x:c>
      <x:c r="V908" s="6" t="str">
        <x:v>214.51751993704045</x:v>
      </x:c>
      <x:c r="W908" s="8" t="str">
        <x:v>3.716567768988235</x:v>
      </x:c>
      <x:c r="X908" s="6" t="str">
        <x:v>1.277574011649364</x:v>
      </x:c>
      <x:c r="Y908" s="6" t="str">
        <x:v>1.4190303761831207</x:v>
      </x:c>
      <x:c r="Z908" s="6" t="str">
        <x:v>1.653211111560478</x:v>
      </x:c>
      <x:c r="AA908" s="6" t="str">
        <x:v>0.2903502619524137</x:v>
      </x:c>
      <x:c r="AB908" s="6" t="str">
        <x:v>0.27893766055030034</x:v>
      </x:c>
      <x:c r="AC908" s="6" t="str">
        <x:v>0.2921410454470084</x:v>
      </x:c>
      <x:c r="AD908" s="6" t="str">
        <x:v>3.977132755111863</x:v>
      </x:c>
      <x:c r="AE908" s="6" t="str">
        <x:v>1.5821035881653174</x:v>
      </x:c>
      <x:c r="AF908" s="6" t="str">
        <x:v>3.0919347040884713</x:v>
      </x:c>
      <x:c r="AG908" s="6" t="str">
        <x:v>1</x:v>
      </x:c>
      <x:c r="AH908" s="6" t="str">
        <x:v>1</x:v>
      </x:c>
      <x:c r="AI908" s="6" t="str">
        <x:v>2025-07</x:v>
      </x:c>
      <x:c r="AJ908" s="9" t="str">
        <x:v>NASA POWER (MERRA-2 meteorology)</x:v>
      </x:c>
      <x:c r="AK908" s="9" t="str">
        <x:v>Badan Informasi Geospasial (BIG)</x:v>
      </x:c>
      <x:c r="AL908" s="9" t="str">
        <x:v>https://power.larc.nasa.gov/docs/services/api/temporal/monthly/</x:v>
      </x:c>
      <x:c r="AM908" s="9" t="str">
        <x:v>https://geoservices.big.go.id/rbi/rest/services/BATASWILAYAH/BATAS_WILAYAH/MapServer/12</x:v>
      </x:c>
    </x:row>
    <x:row r="909" ht="18" customHeight="1">
      <x:c r="A909" s="6" t="str">
        <x:v>97</x:v>
      </x:c>
      <x:c r="B909" s="6" t="str">
        <x:v>PAPUA PEGUNUNGAN</x:v>
      </x:c>
      <x:c r="C909" s="6" t="str">
        <x:v>2025</x:v>
      </x:c>
      <x:c r="D909" s="6" t="str">
        <x:v>8</x:v>
      </x:c>
      <x:c r="E909" s="6" t="str">
        <x:v>19.486855921117762</x:v>
      </x:c>
      <x:c r="F909" s="9" t="str">
        <x:v>grid_cells_within_BIG_polygon</x:v>
      </x:c>
      <x:c r="G909" s="6" t="str">
        <x:v>13</x:v>
      </x:c>
      <x:c r="H909" s="8" t="str">
        <x:v>89.99373811338758</x:v>
      </x:c>
      <x:c r="I909" s="6" t="str">
        <x:v>11.672238548688224</x:v>
      </x:c>
      <x:c r="J909" s="6" t="str">
        <x:v>31</x:v>
      </x:c>
      <x:c r="K909" s="6" t="str">
        <x:v>361.83939500933496</x:v>
      </x:c>
      <x:c r="L909" s="6" t="str">
        <x:v>18.94582311211279</x:v>
      </x:c>
      <x:c r="M909" s="6" t="str">
        <x:v>0.3285172707813886</x:v>
      </x:c>
      <x:c r="N909" s="6" t="str">
        <x:v>89.5279896403493</x:v>
      </x:c>
      <x:c r="O909" s="6" t="str">
        <x:v>1.7918733331099599</x:v>
      </x:c>
      <x:c r="P909" s="6" t="str">
        <x:v>164.9573945792764</x:v>
      </x:c>
      <x:c r="Q909" s="6" t="str">
        <x:v>67.83049987203712</x:v>
      </x:c>
      <x:c r="R909" s="6" t="str">
        <x:v>0.541032809004971</x:v>
      </x:c>
      <x:c r="S909" s="8" t="str">
        <x:v>1.6468930468042289</x:v>
      </x:c>
      <x:c r="T909" s="6" t="str">
        <x:v>0.4657484730382748</x:v>
      </x:c>
      <x:c r="U909" s="8" t="str">
        <x:v>0.2599226543708454</x:v>
      </x:c>
      <x:c r="V909" s="6" t="str">
        <x:v>196.88200043005855</x:v>
      </x:c>
      <x:c r="W909" s="8" t="str">
        <x:v>2.902558595343957</x:v>
      </x:c>
      <x:c r="X909" s="6" t="str">
        <x:v>2.2630289468489493</x:v>
      </x:c>
      <x:c r="Y909" s="6" t="str">
        <x:v>1.277574011649364</x:v>
      </x:c>
      <x:c r="Z909" s="6" t="str">
        <x:v>1.7291653351008474</x:v>
      </x:c>
      <x:c r="AA909" s="6" t="str">
        <x:v>0.30713521383831077</x:v>
      </x:c>
      <x:c r="AB909" s="6" t="str">
        <x:v>0.2903502619524137</x:v>
      </x:c>
      <x:c r="AC909" s="6" t="str">
        <x:v>0.28580271005385677</x:v>
      </x:c>
      <x:c r="AD909" s="6" t="str">
        <x:v>3.716567768988235</x:v>
      </x:c>
      <x:c r="AE909" s="6" t="str">
        <x:v>3.977132755111863</x:v>
      </x:c>
      <x:c r="AF909" s="6" t="str">
        <x:v>3.5320863731480174</x:v>
      </x:c>
      <x:c r="AG909" s="6" t="str">
        <x:v>1</x:v>
      </x:c>
      <x:c r="AH909" s="6" t="str">
        <x:v>1</x:v>
      </x:c>
      <x:c r="AI909" s="6" t="str">
        <x:v>2025-08</x:v>
      </x:c>
      <x:c r="AJ909" s="9" t="str">
        <x:v>NASA POWER (MERRA-2 meteorology)</x:v>
      </x:c>
      <x:c r="AK909" s="9" t="str">
        <x:v>Badan Informasi Geospasial (BIG)</x:v>
      </x:c>
      <x:c r="AL909" s="9" t="str">
        <x:v>https://power.larc.nasa.gov/docs/services/api/temporal/monthly/</x:v>
      </x:c>
      <x:c r="AM909" s="9" t="str">
        <x:v>https://geoservices.big.go.id/rbi/rest/services/BATASWILAYAH/BATAS_WILAYAH/MapServer/12</x:v>
      </x:c>
    </x:row>
    <x:row r="910" ht="18" customHeight="1">
      <x:c r="A910" s="6" t="str">
        <x:v>97</x:v>
      </x:c>
      <x:c r="B910" s="6" t="str">
        <x:v>PAPUA PEGUNUNGAN</x:v>
      </x:c>
      <x:c r="C910" s="6" t="str">
        <x:v>2025</x:v>
      </x:c>
      <x:c r="D910" s="6" t="str">
        <x:v>9</x:v>
      </x:c>
      <x:c r="E910" s="6" t="str">
        <x:v>19.745345222348924</x:v>
      </x:c>
      <x:c r="F910" s="9" t="str">
        <x:v>grid_cells_within_BIG_polygon</x:v>
      </x:c>
      <x:c r="G910" s="6" t="str">
        <x:v>13</x:v>
      </x:c>
      <x:c r="H910" s="8" t="str">
        <x:v>89.91128960315926</x:v>
      </x:c>
      <x:c r="I910" s="6" t="str">
        <x:v>8.920315943611362</x:v>
      </x:c>
      <x:c r="J910" s="6" t="str">
        <x:v>30</x:v>
      </x:c>
      <x:c r="K910" s="6" t="str">
        <x:v>267.60947830834084</x:v>
      </x:c>
      <x:c r="L910" s="6" t="str">
        <x:v>19.323913625106403</x:v>
      </x:c>
      <x:c r="M910" s="6" t="str">
        <x:v>0.3007237706103132</x:v>
      </x:c>
      <x:c r="N910" s="6" t="str">
        <x:v>88.63753215021386</x:v>
      </x:c>
      <x:c r="O910" s="6" t="str">
        <x:v>2.726209079954581</x:v>
      </x:c>
      <x:c r="P910" s="6" t="str">
        <x:v>179.46386519872388</x:v>
      </x:c>
      <x:c r="Q910" s="6" t="str">
        <x:v>71.75752979187948</x:v>
      </x:c>
      <x:c r="R910" s="6" t="str">
        <x:v>0.42143159724252044</x:v>
      </x:c>
      <x:c r="S910" s="8" t="str">
        <x:v>1.4013910386506294</x:v>
      </x:c>
      <x:c r="T910" s="6" t="str">
        <x:v>1.2737574529454037</x:v>
      </x:c>
      <x:c r="U910" s="8" t="str">
        <x:v>0.4672266196716741</x:v>
      </x:c>
      <x:c r="V910" s="6" t="str">
        <x:v>88.14561310961696</x:v>
      </x:c>
      <x:c r="W910" s="8" t="str">
        <x:v>1.2283813749618797</x:v>
      </x:c>
      <x:c r="X910" s="6" t="str">
        <x:v>1.6468930468042289</x:v>
      </x:c>
      <x:c r="Y910" s="6" t="str">
        <x:v>2.2630289468489493</x:v>
      </x:c>
      <x:c r="Z910" s="6" t="str">
        <x:v>1.7704376774346027</x:v>
      </x:c>
      <x:c r="AA910" s="6" t="str">
        <x:v>0.2599226543708454</x:v>
      </x:c>
      <x:c r="AB910" s="6" t="str">
        <x:v>0.30713521383831077</x:v>
      </x:c>
      <x:c r="AC910" s="6" t="str">
        <x:v>0.34476149596027694</x:v>
      </x:c>
      <x:c r="AD910" s="6" t="str">
        <x:v>2.902558595343957</x:v>
      </x:c>
      <x:c r="AE910" s="6" t="str">
        <x:v>3.716567768988235</x:v>
      </x:c>
      <x:c r="AF910" s="6" t="str">
        <x:v>2.615835913098024</x:v>
      </x:c>
      <x:c r="AG910" s="6" t="str">
        <x:v>1</x:v>
      </x:c>
      <x:c r="AH910" s="6" t="str">
        <x:v>1</x:v>
      </x:c>
      <x:c r="AI910" s="6" t="str">
        <x:v>2025-09</x:v>
      </x:c>
      <x:c r="AJ910" s="9" t="str">
        <x:v>NASA POWER (MERRA-2 meteorology)</x:v>
      </x:c>
      <x:c r="AK910" s="9" t="str">
        <x:v>Badan Informasi Geospasial (BIG)</x:v>
      </x:c>
      <x:c r="AL910" s="9" t="str">
        <x:v>https://power.larc.nasa.gov/docs/services/api/temporal/monthly/</x:v>
      </x:c>
      <x:c r="AM910" s="9" t="str">
        <x:v>https://geoservices.big.go.id/rbi/rest/services/BATASWILAYAH/BATAS_WILAYAH/MapServer/12</x:v>
      </x:c>
    </x:row>
    <x:row r="911" ht="18" customHeight="1">
      <x:c r="A911" s="6" t="str">
        <x:v>97</x:v>
      </x:c>
      <x:c r="B911" s="6" t="str">
        <x:v>PAPUA PEGUNUNGAN</x:v>
      </x:c>
      <x:c r="C911" s="6" t="str">
        <x:v>2025</x:v>
      </x:c>
      <x:c r="D911" s="6" t="str">
        <x:v>10</x:v>
      </x:c>
      <x:c r="E911" s="6" t="str">
        <x:v>19.952199386565766</x:v>
      </x:c>
      <x:c r="F911" s="9" t="str">
        <x:v>grid_cells_within_BIG_polygon</x:v>
      </x:c>
      <x:c r="G911" s="6" t="str">
        <x:v>13</x:v>
      </x:c>
      <x:c r="H911" s="8" t="str">
        <x:v>89.47461494937374</x:v>
      </x:c>
      <x:c r="I911" s="6" t="str">
        <x:v>10.52378877393747</x:v>
      </x:c>
      <x:c r="J911" s="6" t="str">
        <x:v>31</x:v>
      </x:c>
      <x:c r="K911" s="6" t="str">
        <x:v>326.23745199206155</x:v>
      </x:c>
      <x:c r="L911" s="6" t="str">
        <x:v>19.653854797999582</x:v>
      </x:c>
      <x:c r="M911" s="6" t="str">
        <x:v>0.285525408990329</x:v>
      </x:c>
      <x:c r="N911" s="6" t="str">
        <x:v>88.34675431856463</x:v>
      </x:c>
      <x:c r="O911" s="6" t="str">
        <x:v>2.921539732113678</x:v>
      </x:c>
      <x:c r="P911" s="6" t="str">
        <x:v>191.04559736701626</x:v>
      </x:c>
      <x:c r="Q911" s="6" t="str">
        <x:v>90.98587984709187</x:v>
      </x:c>
      <x:c r="R911" s="6" t="str">
        <x:v>0.2983445885661844</x:v>
      </x:c>
      <x:c r="S911" s="8" t="str">
        <x:v>1.0448968083827859</x:v>
      </x:c>
      <x:c r="T911" s="6" t="str">
        <x:v>1.12786063080911</x:v>
      </x:c>
      <x:c r="U911" s="8" t="str">
        <x:v>0.38605007435347266</x:v>
      </x:c>
      <x:c r="V911" s="6" t="str">
        <x:v>135.1918546250453</x:v>
      </x:c>
      <x:c r="W911" s="8" t="str">
        <x:v>1.485855331093623</x:v>
      </x:c>
      <x:c r="X911" s="6" t="str">
        <x:v>1.4013910386506294</x:v>
      </x:c>
      <x:c r="Y911" s="6" t="str">
        <x:v>1.6468930468042289</x:v>
      </x:c>
      <x:c r="Z911" s="6" t="str">
        <x:v>1.3643936312792146</x:v>
      </x:c>
      <x:c r="AA911" s="6" t="str">
        <x:v>0.4672266196716741</x:v>
      </x:c>
      <x:c r="AB911" s="6" t="str">
        <x:v>0.2599226543708454</x:v>
      </x:c>
      <x:c r="AC911" s="6" t="str">
        <x:v>0.37106644946533085</x:v>
      </x:c>
      <x:c r="AD911" s="6" t="str">
        <x:v>1.2283813749618797</x:v>
      </x:c>
      <x:c r="AE911" s="6" t="str">
        <x:v>2.902558595343957</x:v>
      </x:c>
      <x:c r="AF911" s="6" t="str">
        <x:v>1.8722651004664863</x:v>
      </x:c>
      <x:c r="AG911" s="6" t="str">
        <x:v>1</x:v>
      </x:c>
      <x:c r="AH911" s="6" t="str">
        <x:v>1</x:v>
      </x:c>
      <x:c r="AI911" s="6" t="str">
        <x:v>2025-10</x:v>
      </x:c>
      <x:c r="AJ911" s="9" t="str">
        <x:v>NASA POWER (MERRA-2 meteorology)</x:v>
      </x:c>
      <x:c r="AK911" s="9" t="str">
        <x:v>Badan Informasi Geospasial (BIG)</x:v>
      </x:c>
      <x:c r="AL911" s="9" t="str">
        <x:v>https://power.larc.nasa.gov/docs/services/api/temporal/monthly/</x:v>
      </x:c>
      <x:c r="AM911" s="9" t="str">
        <x:v>https://geoservices.big.go.id/rbi/rest/services/BATASWILAYAH/BATAS_WILAYAH/MapServer/12</x:v>
      </x:c>
    </x:row>
    <x:row r="912" ht="18" customHeight="1">
      <x:c r="A912" s="6" t="str">
        <x:v>97</x:v>
      </x:c>
      <x:c r="B912" s="6" t="str">
        <x:v>PAPUA PEGUNUNGAN</x:v>
      </x:c>
      <x:c r="C912" s="6" t="str">
        <x:v>2025</x:v>
      </x:c>
      <x:c r="D912" s="6" t="str">
        <x:v>11</x:v>
      </x:c>
      <x:c r="E912" s="6" t="str">
        <x:v>19.929263562917242</x:v>
      </x:c>
      <x:c r="F912" s="9" t="str">
        <x:v>grid_cells_within_BIG_polygon</x:v>
      </x:c>
      <x:c r="G912" s="6" t="str">
        <x:v>13</x:v>
      </x:c>
      <x:c r="H912" s="8" t="str">
        <x:v>89.82952067067474</x:v>
      </x:c>
      <x:c r="I912" s="6" t="str">
        <x:v>11.777455072958467</x:v>
      </x:c>
      <x:c r="J912" s="6" t="str">
        <x:v>30</x:v>
      </x:c>
      <x:c r="K912" s="6" t="str">
        <x:v>353.323652188754</x:v>
      </x:c>
      <x:c r="L912" s="6" t="str">
        <x:v>19.856648189384302</x:v>
      </x:c>
      <x:c r="M912" s="6" t="str">
        <x:v>0.27684242758277783</x:v>
      </x:c>
      <x:c r="N912" s="6" t="str">
        <x:v>89.25404032555358</x:v>
      </x:c>
      <x:c r="O912" s="6" t="str">
        <x:v>2.439482689806451</x:v>
      </x:c>
      <x:c r="P912" s="6" t="str">
        <x:v>204.89905400761646</x:v>
      </x:c>
      <x:c r="Q912" s="6" t="str">
        <x:v>65.8152719783898</x:v>
      </x:c>
      <x:c r="R912" s="6" t="str">
        <x:v>0.07261537353294045</x:v>
      </x:c>
      <x:c r="S912" s="8" t="str">
        <x:v>0.2622985723935972</x:v>
      </x:c>
      <x:c r="T912" s="6" t="str">
        <x:v>0.5754803451211643</x:v>
      </x:c>
      <x:c r="U912" s="8" t="str">
        <x:v>0.23590261473297153</x:v>
      </x:c>
      <x:c r="V912" s="6" t="str">
        <x:v>148.42459818113755</x:v>
      </x:c>
      <x:c r="W912" s="8" t="str">
        <x:v>2.2551695635303646</x:v>
      </x:c>
      <x:c r="X912" s="6" t="str">
        <x:v>1.0448968083827859</x:v>
      </x:c>
      <x:c r="Y912" s="6" t="str">
        <x:v>1.4013910386506294</x:v>
      </x:c>
      <x:c r="Z912" s="6" t="str">
        <x:v>0.9028621398090042</x:v>
      </x:c>
      <x:c r="AA912" s="6" t="str">
        <x:v>0.38605007435347266</x:v>
      </x:c>
      <x:c r="AB912" s="6" t="str">
        <x:v>0.4672266196716741</x:v>
      </x:c>
      <x:c r="AC912" s="6" t="str">
        <x:v>0.3630597695860396</x:v>
      </x:c>
      <x:c r="AD912" s="6" t="str">
        <x:v>1.485855331093623</x:v>
      </x:c>
      <x:c r="AE912" s="6" t="str">
        <x:v>1.2283813749618797</x:v>
      </x:c>
      <x:c r="AF912" s="6" t="str">
        <x:v>1.6564687565286222</x:v>
      </x:c>
      <x:c r="AG912" s="6" t="str">
        <x:v>1</x:v>
      </x:c>
      <x:c r="AH912" s="6" t="str">
        <x:v>0</x:v>
      </x:c>
      <x:c r="AI912" s="6" t="str">
        <x:v>2025-11</x:v>
      </x:c>
      <x:c r="AJ912" s="9" t="str">
        <x:v>NASA POWER (MERRA-2 meteorology)</x:v>
      </x:c>
      <x:c r="AK912" s="9" t="str">
        <x:v>Badan Informasi Geospasial (BIG)</x:v>
      </x:c>
      <x:c r="AL912" s="9" t="str">
        <x:v>https://power.larc.nasa.gov/docs/services/api/temporal/monthly/</x:v>
      </x:c>
      <x:c r="AM912" s="9" t="str">
        <x:v>https://geoservices.big.go.id/rbi/rest/services/BATASWILAYAH/BATAS_WILAYAH/MapServer/12</x:v>
      </x:c>
    </x:row>
    <x:row r="913" ht="18" customHeight="1">
      <x:c r="A913" s="6" t="str">
        <x:v>97</x:v>
      </x:c>
      <x:c r="B913" s="6" t="str">
        <x:v>PAPUA PEGUNUNGAN</x:v>
      </x:c>
      <x:c r="C913" s="6" t="str">
        <x:v>2025</x:v>
      </x:c>
      <x:c r="D913" s="6" t="str">
        <x:v>12</x:v>
      </x:c>
      <x:c r="E913" s="6" t="str">
        <x:v>20.111544444502254</x:v>
      </x:c>
      <x:c r="F913" s="9" t="str">
        <x:v>grid_cells_within_BIG_polygon</x:v>
      </x:c>
      <x:c r="G913" s="6" t="str">
        <x:v>13</x:v>
      </x:c>
      <x:c r="H913" s="8" t="str">
        <x:v>89.94321711420218</x:v>
      </x:c>
      <x:c r="I913" s="6" t="str">
        <x:v>9.714812802312219</x:v>
      </x:c>
      <x:c r="J913" s="6" t="str">
        <x:v>31</x:v>
      </x:c>
      <x:c r="K913" s="6" t="str">
        <x:v>301.1591968716788</x:v>
      </x:c>
      <x:c r="L913" s="6" t="str">
        <x:v>19.880321736505877</x:v>
      </x:c>
      <x:c r="M913" s="6" t="str">
        <x:v>0.2398050990476437</x:v>
      </x:c>
      <x:c r="N913" s="6" t="str">
        <x:v>90.24002746744219</x:v>
      </x:c>
      <x:c r="O913" s="6" t="str">
        <x:v>1.2796269459154739</x:v>
      </x:c>
      <x:c r="P913" s="6" t="str">
        <x:v>238.19018507011043</x:v>
      </x:c>
      <x:c r="Q913" s="6" t="str">
        <x:v>62.330710397315066</x:v>
      </x:c>
      <x:c r="R913" s="6" t="str">
        <x:v>0.2312227079963769</x:v>
      </x:c>
      <x:c r="S913" s="8" t="str">
        <x:v>0.9642109734724128</x:v>
      </x:c>
      <x:c r="T913" s="6" t="str">
        <x:v>-0.29681035324000504</x:v>
      </x:c>
      <x:c r="U913" s="8" t="str">
        <x:v>-0.2319506901502924</x:v>
      </x:c>
      <x:c r="V913" s="6" t="str">
        <x:v>62.96901180156834</x:v>
      </x:c>
      <x:c r="W913" s="8" t="str">
        <x:v>1.0102405603944595</x:v>
      </x:c>
      <x:c r="X913" s="6" t="str">
        <x:v>0.2622985723935972</x:v>
      </x:c>
      <x:c r="Y913" s="6" t="str">
        <x:v>1.0448968083827859</x:v>
      </x:c>
      <x:c r="Z913" s="6" t="str">
        <x:v>0.7571354514162653</x:v>
      </x:c>
      <x:c r="AA913" s="6" t="str">
        <x:v>0.23590261473297153</x:v>
      </x:c>
      <x:c r="AB913" s="6" t="str">
        <x:v>0.38605007435347266</x:v>
      </x:c>
      <x:c r="AC913" s="6" t="str">
        <x:v>0.13000066631205073</x:v>
      </x:c>
      <x:c r="AD913" s="6" t="str">
        <x:v>2.2551695635303646</x:v>
      </x:c>
      <x:c r="AE913" s="6" t="str">
        <x:v>1.485855331093623</x:v>
      </x:c>
      <x:c r="AF913" s="6" t="str">
        <x:v>1.5837551516728154</x:v>
      </x:c>
      <x:c r="AG913" s="6" t="str">
        <x:v>1</x:v>
      </x:c>
      <x:c r="AH913" s="6" t="str">
        <x:v>0</x:v>
      </x:c>
      <x:c r="AI913" s="6" t="str">
        <x:v>2025-12</x:v>
      </x:c>
      <x:c r="AJ913" s="9" t="str">
        <x:v>NASA POWER (MERRA-2 meteorology)</x:v>
      </x:c>
      <x:c r="AK913" s="9" t="str">
        <x:v>Badan Informasi Geospasial (BIG)</x:v>
      </x:c>
      <x:c r="AL913" s="9" t="str">
        <x:v>https://power.larc.nasa.gov/docs/services/api/temporal/monthly/</x:v>
      </x:c>
      <x:c r="AM913" s="9" t="str">
        <x:v>https://geoservices.big.go.id/rbi/rest/services/BATASWILAYAH/BATAS_WILAYAH/MapServer/12</x:v>
      </x:c>
    </x:row>
  </x:sheetData>
  <x:pageMargins left="0.7" right="0.7" top="0.75" bottom="0.75" header="0.3" footer="0.3"/>
  <x:tableParts count="1">
    <x:tablePart xmlns:r="http://schemas.openxmlformats.org/officeDocument/2006/relationships" r:id="R6d02d966507b4b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1" hidden="0" customWidth="1"/>
    <x:col min="4" max="4" width="12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  <x:col min="9" max="9" width="18" hidden="0" customWidth="1"/>
    <x:col min="10" max="10" width="30" hidden="0" customWidth="1"/>
    <x:col min="11" max="11" width="30" hidden="0" customWidth="1"/>
    <x:col min="12" max="12" width="30" hidden="0" customWidth="1"/>
    <x:col min="13" max="13" width="13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</x:cols>
  <x:sheetData>
    <x:row r="1" ht="34" customHeight="1">
      <x:c r="A1" s="5" t="str">
        <x:v>province_code</x:v>
      </x:c>
      <x:c r="B1" s="5" t="str">
        <x:v>province</x:v>
      </x:c>
      <x:c r="C1" s="5" t="str">
        <x:v>year</x:v>
      </x:c>
      <x:c r="D1" s="5" t="str">
        <x:v>population</x:v>
      </x:c>
      <x:c r="E1" s="5" t="str">
        <x:v>population_density_per_km2</x:v>
      </x:c>
      <x:c r="F1" s="5" t="str">
        <x:v>population_reference_date</x:v>
      </x:c>
      <x:c r="G1" s="5" t="str">
        <x:v>population_source_file</x:v>
      </x:c>
      <x:c r="H1" s="5" t="str">
        <x:v>population_source_table</x:v>
      </x:c>
      <x:c r="I1" s="7" t="str">
        <x:v>sanitation_access_pct</x:v>
      </x:c>
      <x:c r="J1" s="5" t="str">
        <x:v>sanitation_reference_period</x:v>
      </x:c>
      <x:c r="K1" s="5" t="str">
        <x:v>sanitation_source_file</x:v>
      </x:c>
      <x:c r="L1" s="5" t="str">
        <x:v>sanitation_source_table</x:v>
      </x:c>
      <x:c r="M1" s="7" t="str">
        <x:v>poverty_pct</x:v>
      </x:c>
      <x:c r="N1" s="5" t="str">
        <x:v>poverty_reference_period</x:v>
      </x:c>
      <x:c r="O1" s="5" t="str">
        <x:v>poverty_source_file</x:v>
      </x:c>
      <x:c r="P1" s="5" t="str">
        <x:v>poverty_source_table</x:v>
      </x:c>
      <x:c r="Q1" s="5" t="str">
        <x:v>source_publisher</x:v>
      </x:c>
      <x:c r="R1" s="5" t="str">
        <x:v>extraction_method</x:v>
      </x:c>
    </x:row>
    <x:row r="2" ht="18" customHeight="1">
      <x:c r="A2" s="6" t="str">
        <x:v>11</x:v>
      </x:c>
      <x:c r="B2" s="6" t="str">
        <x:v>ACEH</x:v>
      </x:c>
      <x:c r="C2" s="6" t="str">
        <x:v>2023</x:v>
      </x:c>
      <x:c r="D2" s="6" t="str">
        <x:v>5482500</x:v>
      </x:c>
      <x:c r="E2" s="6" t="str">
        <x:v>96.0</x:v>
      </x:c>
      <x:c r="F2" s="9" t="str">
        <x:v>2023-06-30</x:v>
      </x:c>
      <x:c r="G2" s="9" t="str">
        <x:v>Statistik_Indonesia_2024.pdf</x:v>
      </x:c>
      <x:c r="H2" s="9" t="str">
        <x:v>Tabel 3.1.1</x:v>
      </x:c>
      <x:c r="I2" s="8" t="str">
        <x:v>78.85</x:v>
      </x:c>
      <x:c r="J2" s="9" t="str">
        <x:v>2023 (Susenas)</x:v>
      </x:c>
      <x:c r="K2" s="9" t="str">
        <x:v>Indikator_SDGS_Kesejahteraan_Rakyat_2025.pdf</x:v>
      </x:c>
      <x:c r="L2" s="9" t="str">
        <x:v>Tabel 5.4</x:v>
      </x:c>
      <x:c r="M2" s="8" t="str"/>
      <x:c r="N2" s="9" t="str"/>
      <x:c r="O2" s="9" t="str"/>
      <x:c r="P2" s="9" t="str"/>
      <x:c r="Q2" s="9" t="str">
        <x:v>Badan Pusat Statistik</x:v>
      </x:c>
      <x:c r="R2" s="9" t="str">
        <x:v>Machine extraction from official PDF table; row-count and national-total QA</x:v>
      </x:c>
    </x:row>
    <x:row r="3" ht="18" customHeight="1">
      <x:c r="A3" s="6" t="str">
        <x:v>11</x:v>
      </x:c>
      <x:c r="B3" s="6" t="str">
        <x:v>ACEH</x:v>
      </x:c>
      <x:c r="C3" s="6" t="str">
        <x:v>2024</x:v>
      </x:c>
      <x:c r="D3" s="6" t="str">
        <x:v>5554800</x:v>
      </x:c>
      <x:c r="E3" s="6" t="str">
        <x:v>98.0</x:v>
      </x:c>
      <x:c r="F3" s="9" t="str">
        <x:v>2024-06-30</x:v>
      </x:c>
      <x:c r="G3" s="9" t="str">
        <x:v>Statistik_Indonesia_2025.pdf</x:v>
      </x:c>
      <x:c r="H3" s="9" t="str">
        <x:v>Tabel 3.1.1</x:v>
      </x:c>
      <x:c r="I3" s="8" t="str">
        <x:v>81.1</x:v>
      </x:c>
      <x:c r="J3" s="9" t="str">
        <x:v>2024 (Susenas)</x:v>
      </x:c>
      <x:c r="K3" s="9" t="str">
        <x:v>Indikator_SDGS_Kesejahteraan_Rakyat_2025.pdf</x:v>
      </x:c>
      <x:c r="L3" s="9" t="str">
        <x:v>Tabel 5.4</x:v>
      </x:c>
      <x:c r="M3" s="8" t="str">
        <x:v>14.23</x:v>
      </x:c>
      <x:c r="N3" s="9" t="str">
        <x:v>Maret 2024 (Susenas)</x:v>
      </x:c>
      <x:c r="O3" s="9" t="str">
        <x:v>Statistik_Indonesia_2025.pdf</x:v>
      </x:c>
      <x:c r="P3" s="9" t="str">
        <x:v>Tabel 4.6.2</x:v>
      </x:c>
      <x:c r="Q3" s="9" t="str">
        <x:v>Badan Pusat Statistik</x:v>
      </x:c>
      <x:c r="R3" s="9" t="str">
        <x:v>Machine extraction from official PDF table; row-count and national-total QA</x:v>
      </x:c>
    </x:row>
    <x:row r="4" ht="18" customHeight="1">
      <x:c r="A4" s="6" t="str">
        <x:v>11</x:v>
      </x:c>
      <x:c r="B4" s="6" t="str">
        <x:v>ACEH</x:v>
      </x:c>
      <x:c r="C4" s="6" t="str">
        <x:v>2025</x:v>
      </x:c>
      <x:c r="D4" s="6" t="str">
        <x:v>5626000</x:v>
      </x:c>
      <x:c r="E4" s="6" t="str">
        <x:v>99.0</x:v>
      </x:c>
      <x:c r="F4" s="9" t="str">
        <x:v>2025-06-30</x:v>
      </x:c>
      <x:c r="G4" s="9" t="str">
        <x:v>Statistik_Indonesia_2025.pdf</x:v>
      </x:c>
      <x:c r="H4" s="9" t="str">
        <x:v>Tabel 3.1.1</x:v>
      </x:c>
      <x:c r="I4" s="8" t="str">
        <x:v>82.2</x:v>
      </x:c>
      <x:c r="J4" s="9" t="str">
        <x:v>2025 (Susenas)</x:v>
      </x:c>
      <x:c r="K4" s="9" t="str">
        <x:v>Indikator_SDGS_Kesejahteraan_Rakyat_2025.pdf</x:v>
      </x:c>
      <x:c r="L4" s="9" t="str">
        <x:v>Tabel 5.4</x:v>
      </x:c>
      <x:c r="M4" s="8" t="str">
        <x:v>12.33</x:v>
      </x:c>
      <x:c r="N4" s="9" t="str">
        <x:v>Maret 2025 (Susenas)</x:v>
      </x:c>
      <x:c r="O4" s="9" t="str">
        <x:v>Penghitungan_dan_Analisis_Kemiskinan_Makro_2025.pdf</x:v>
      </x:c>
      <x:c r="P4" s="9" t="str">
        <x:v>Tabel 2.5</x:v>
      </x:c>
      <x:c r="Q4" s="9" t="str">
        <x:v>Badan Pusat Statistik</x:v>
      </x:c>
      <x:c r="R4" s="9" t="str">
        <x:v>Machine extraction from official PDF table; row-count and national-total QA</x:v>
      </x:c>
    </x:row>
    <x:row r="5" ht="18" customHeight="1">
      <x:c r="A5" s="6" t="str">
        <x:v>11</x:v>
      </x:c>
      <x:c r="B5" s="6" t="str">
        <x:v>ACEH</x:v>
      </x:c>
      <x:c r="C5" s="6" t="str">
        <x:v>2026</x:v>
      </x:c>
      <x:c r="D5" s="6" t="str">
        <x:v>5695900</x:v>
      </x:c>
      <x:c r="E5" s="6" t="str">
        <x:v>100.0</x:v>
      </x:c>
      <x:c r="F5" s="9" t="str">
        <x:v>2026-06-30</x:v>
      </x:c>
      <x:c r="G5" s="9" t="str">
        <x:v>Statistik_Indonesia_2026.pdf</x:v>
      </x:c>
      <x:c r="H5" s="9" t="str">
        <x:v>Tabel 3.1.1</x:v>
      </x:c>
      <x:c r="I5" s="8" t="str"/>
      <x:c r="J5" s="9" t="str"/>
      <x:c r="K5" s="9" t="str"/>
      <x:c r="L5" s="9" t="str"/>
      <x:c r="M5" s="8" t="str"/>
      <x:c r="N5" s="9" t="str"/>
      <x:c r="O5" s="9" t="str"/>
      <x:c r="P5" s="9" t="str"/>
      <x:c r="Q5" s="9" t="str">
        <x:v>Badan Pusat Statistik</x:v>
      </x:c>
      <x:c r="R5" s="9" t="str">
        <x:v>Machine extraction from official PDF table; row-count and national-total QA</x:v>
      </x:c>
    </x:row>
    <x:row r="6" ht="18" customHeight="1">
      <x:c r="A6" s="6" t="str">
        <x:v>12</x:v>
      </x:c>
      <x:c r="B6" s="6" t="str">
        <x:v>SUMATERA UTARA</x:v>
      </x:c>
      <x:c r="C6" s="6" t="str">
        <x:v>2023</x:v>
      </x:c>
      <x:c r="D6" s="6" t="str">
        <x:v>15386600</x:v>
      </x:c>
      <x:c r="E6" s="6" t="str">
        <x:v>212.0</x:v>
      </x:c>
      <x:c r="F6" s="9" t="str">
        <x:v>2023-06-30</x:v>
      </x:c>
      <x:c r="G6" s="9" t="str">
        <x:v>Statistik_Indonesia_2024.pdf</x:v>
      </x:c>
      <x:c r="H6" s="9" t="str">
        <x:v>Tabel 3.1.1</x:v>
      </x:c>
      <x:c r="I6" s="8" t="str">
        <x:v>84.18</x:v>
      </x:c>
      <x:c r="J6" s="9" t="str">
        <x:v>2023 (Susenas)</x:v>
      </x:c>
      <x:c r="K6" s="9" t="str">
        <x:v>Indikator_SDGS_Kesejahteraan_Rakyat_2025.pdf</x:v>
      </x:c>
      <x:c r="L6" s="9" t="str">
        <x:v>Tabel 5.4</x:v>
      </x:c>
      <x:c r="M6" s="8" t="str"/>
      <x:c r="N6" s="9" t="str"/>
      <x:c r="O6" s="9" t="str"/>
      <x:c r="P6" s="9" t="str"/>
      <x:c r="Q6" s="9" t="str">
        <x:v>Badan Pusat Statistik</x:v>
      </x:c>
      <x:c r="R6" s="9" t="str">
        <x:v>Machine extraction from official PDF table; row-count and national-total QA</x:v>
      </x:c>
    </x:row>
    <x:row r="7" ht="18" customHeight="1">
      <x:c r="A7" s="6" t="str">
        <x:v>12</x:v>
      </x:c>
      <x:c r="B7" s="6" t="str">
        <x:v>SUMATERA UTARA</x:v>
      </x:c>
      <x:c r="C7" s="6" t="str">
        <x:v>2024</x:v>
      </x:c>
      <x:c r="D7" s="6" t="str">
        <x:v>15588500</x:v>
      </x:c>
      <x:c r="E7" s="6" t="str">
        <x:v>215.0</x:v>
      </x:c>
      <x:c r="F7" s="9" t="str">
        <x:v>2024-06-30</x:v>
      </x:c>
      <x:c r="G7" s="9" t="str">
        <x:v>Statistik_Indonesia_2025.pdf</x:v>
      </x:c>
      <x:c r="H7" s="9" t="str">
        <x:v>Tabel 3.1.1</x:v>
      </x:c>
      <x:c r="I7" s="8" t="str">
        <x:v>85.73</x:v>
      </x:c>
      <x:c r="J7" s="9" t="str">
        <x:v>2024 (Susenas)</x:v>
      </x:c>
      <x:c r="K7" s="9" t="str">
        <x:v>Indikator_SDGS_Kesejahteraan_Rakyat_2025.pdf</x:v>
      </x:c>
      <x:c r="L7" s="9" t="str">
        <x:v>Tabel 5.4</x:v>
      </x:c>
      <x:c r="M7" s="8" t="str">
        <x:v>7.99</x:v>
      </x:c>
      <x:c r="N7" s="9" t="str">
        <x:v>Maret 2024 (Susenas)</x:v>
      </x:c>
      <x:c r="O7" s="9" t="str">
        <x:v>Statistik_Indonesia_2025.pdf</x:v>
      </x:c>
      <x:c r="P7" s="9" t="str">
        <x:v>Tabel 4.6.2</x:v>
      </x:c>
      <x:c r="Q7" s="9" t="str">
        <x:v>Badan Pusat Statistik</x:v>
      </x:c>
      <x:c r="R7" s="9" t="str">
        <x:v>Machine extraction from official PDF table; row-count and national-total QA</x:v>
      </x:c>
    </x:row>
    <x:row r="8" ht="18" customHeight="1">
      <x:c r="A8" s="6" t="str">
        <x:v>12</x:v>
      </x:c>
      <x:c r="B8" s="6" t="str">
        <x:v>SUMATERA UTARA</x:v>
      </x:c>
      <x:c r="C8" s="6" t="str">
        <x:v>2025</x:v>
      </x:c>
      <x:c r="D8" s="6" t="str">
        <x:v>15785800</x:v>
      </x:c>
      <x:c r="E8" s="6" t="str">
        <x:v>218.0</x:v>
      </x:c>
      <x:c r="F8" s="9" t="str">
        <x:v>2025-06-30</x:v>
      </x:c>
      <x:c r="G8" s="9" t="str">
        <x:v>Statistik_Indonesia_2025.pdf</x:v>
      </x:c>
      <x:c r="H8" s="9" t="str">
        <x:v>Tabel 3.1.1</x:v>
      </x:c>
      <x:c r="I8" s="8" t="str">
        <x:v>87.47</x:v>
      </x:c>
      <x:c r="J8" s="9" t="str">
        <x:v>2025 (Susenas)</x:v>
      </x:c>
      <x:c r="K8" s="9" t="str">
        <x:v>Indikator_SDGS_Kesejahteraan_Rakyat_2025.pdf</x:v>
      </x:c>
      <x:c r="L8" s="9" t="str">
        <x:v>Tabel 5.4</x:v>
      </x:c>
      <x:c r="M8" s="8" t="str">
        <x:v>7.36</x:v>
      </x:c>
      <x:c r="N8" s="9" t="str">
        <x:v>Maret 2025 (Susenas)</x:v>
      </x:c>
      <x:c r="O8" s="9" t="str">
        <x:v>Penghitungan_dan_Analisis_Kemiskinan_Makro_2025.pdf</x:v>
      </x:c>
      <x:c r="P8" s="9" t="str">
        <x:v>Tabel 2.5</x:v>
      </x:c>
      <x:c r="Q8" s="9" t="str">
        <x:v>Badan Pusat Statistik</x:v>
      </x:c>
      <x:c r="R8" s="9" t="str">
        <x:v>Machine extraction from official PDF table; row-count and national-total QA</x:v>
      </x:c>
    </x:row>
    <x:row r="9" ht="18" customHeight="1">
      <x:c r="A9" s="6" t="str">
        <x:v>12</x:v>
      </x:c>
      <x:c r="B9" s="6" t="str">
        <x:v>SUMATERA UTARA</x:v>
      </x:c>
      <x:c r="C9" s="6" t="str">
        <x:v>2026</x:v>
      </x:c>
      <x:c r="D9" s="6" t="str">
        <x:v>15978600</x:v>
      </x:c>
      <x:c r="E9" s="6" t="str">
        <x:v>221.0</x:v>
      </x:c>
      <x:c r="F9" s="9" t="str">
        <x:v>2026-06-30</x:v>
      </x:c>
      <x:c r="G9" s="9" t="str">
        <x:v>Statistik_Indonesia_2026.pdf</x:v>
      </x:c>
      <x:c r="H9" s="9" t="str">
        <x:v>Tabel 3.1.1</x:v>
      </x:c>
      <x:c r="I9" s="8" t="str"/>
      <x:c r="J9" s="9" t="str"/>
      <x:c r="K9" s="9" t="str"/>
      <x:c r="L9" s="9" t="str"/>
      <x:c r="M9" s="8" t="str"/>
      <x:c r="N9" s="9" t="str"/>
      <x:c r="O9" s="9" t="str"/>
      <x:c r="P9" s="9" t="str"/>
      <x:c r="Q9" s="9" t="str">
        <x:v>Badan Pusat Statistik</x:v>
      </x:c>
      <x:c r="R9" s="9" t="str">
        <x:v>Machine extraction from official PDF table; row-count and national-total QA</x:v>
      </x:c>
    </x:row>
    <x:row r="10" ht="18" customHeight="1">
      <x:c r="A10" s="6" t="str">
        <x:v>13</x:v>
      </x:c>
      <x:c r="B10" s="6" t="str">
        <x:v>SUMATERA BARAT</x:v>
      </x:c>
      <x:c r="C10" s="6" t="str">
        <x:v>2023</x:v>
      </x:c>
      <x:c r="D10" s="6" t="str">
        <x:v>5757200</x:v>
      </x:c>
      <x:c r="E10" s="6" t="str">
        <x:v>137.0</x:v>
      </x:c>
      <x:c r="F10" s="9" t="str">
        <x:v>2023-06-30</x:v>
      </x:c>
      <x:c r="G10" s="9" t="str">
        <x:v>Statistik_Indonesia_2024.pdf</x:v>
      </x:c>
      <x:c r="H10" s="9" t="str">
        <x:v>Tabel 3.1.1</x:v>
      </x:c>
      <x:c r="I10" s="8" t="str">
        <x:v>70.97</x:v>
      </x:c>
      <x:c r="J10" s="9" t="str">
        <x:v>2023 (Susenas)</x:v>
      </x:c>
      <x:c r="K10" s="9" t="str">
        <x:v>Indikator_SDGS_Kesejahteraan_Rakyat_2025.pdf</x:v>
      </x:c>
      <x:c r="L10" s="9" t="str">
        <x:v>Tabel 5.4</x:v>
      </x:c>
      <x:c r="M10" s="8" t="str"/>
      <x:c r="N10" s="9" t="str"/>
      <x:c r="O10" s="9" t="str"/>
      <x:c r="P10" s="9" t="str"/>
      <x:c r="Q10" s="9" t="str">
        <x:v>Badan Pusat Statistik</x:v>
      </x:c>
      <x:c r="R10" s="9" t="str">
        <x:v>Machine extraction from official PDF table; row-count and national-total QA</x:v>
      </x:c>
    </x:row>
    <x:row r="11" ht="18" customHeight="1">
      <x:c r="A11" s="6" t="str">
        <x:v>13</x:v>
      </x:c>
      <x:c r="B11" s="6" t="str">
        <x:v>SUMATERA BARAT</x:v>
      </x:c>
      <x:c r="C11" s="6" t="str">
        <x:v>2024</x:v>
      </x:c>
      <x:c r="D11" s="6" t="str">
        <x:v>5836200</x:v>
      </x:c>
      <x:c r="E11" s="6" t="str">
        <x:v>139.0</x:v>
      </x:c>
      <x:c r="F11" s="9" t="str">
        <x:v>2024-06-30</x:v>
      </x:c>
      <x:c r="G11" s="9" t="str">
        <x:v>Statistik_Indonesia_2025.pdf</x:v>
      </x:c>
      <x:c r="H11" s="9" t="str">
        <x:v>Tabel 3.1.1</x:v>
      </x:c>
      <x:c r="I11" s="8" t="str">
        <x:v>72.8</x:v>
      </x:c>
      <x:c r="J11" s="9" t="str">
        <x:v>2024 (Susenas)</x:v>
      </x:c>
      <x:c r="K11" s="9" t="str">
        <x:v>Indikator_SDGS_Kesejahteraan_Rakyat_2025.pdf</x:v>
      </x:c>
      <x:c r="L11" s="9" t="str">
        <x:v>Tabel 5.4</x:v>
      </x:c>
      <x:c r="M11" s="8" t="str">
        <x:v>5.97</x:v>
      </x:c>
      <x:c r="N11" s="9" t="str">
        <x:v>Maret 2024 (Susenas)</x:v>
      </x:c>
      <x:c r="O11" s="9" t="str">
        <x:v>Statistik_Indonesia_2025.pdf</x:v>
      </x:c>
      <x:c r="P11" s="9" t="str">
        <x:v>Tabel 4.6.2</x:v>
      </x:c>
      <x:c r="Q11" s="9" t="str">
        <x:v>Badan Pusat Statistik</x:v>
      </x:c>
      <x:c r="R11" s="9" t="str">
        <x:v>Machine extraction from official PDF table; row-count and national-total QA</x:v>
      </x:c>
    </x:row>
    <x:row r="12" ht="18" customHeight="1">
      <x:c r="A12" s="6" t="str">
        <x:v>13</x:v>
      </x:c>
      <x:c r="B12" s="6" t="str">
        <x:v>SUMATERA BARAT</x:v>
      </x:c>
      <x:c r="C12" s="6" t="str">
        <x:v>2025</x:v>
      </x:c>
      <x:c r="D12" s="6" t="str">
        <x:v>5914300</x:v>
      </x:c>
      <x:c r="E12" s="6" t="str">
        <x:v>140.0</x:v>
      </x:c>
      <x:c r="F12" s="9" t="str">
        <x:v>2025-06-30</x:v>
      </x:c>
      <x:c r="G12" s="9" t="str">
        <x:v>Statistik_Indonesia_2025.pdf</x:v>
      </x:c>
      <x:c r="H12" s="9" t="str">
        <x:v>Tabel 3.1.1</x:v>
      </x:c>
      <x:c r="I12" s="8" t="str">
        <x:v>74.59</x:v>
      </x:c>
      <x:c r="J12" s="9" t="str">
        <x:v>2025 (Susenas)</x:v>
      </x:c>
      <x:c r="K12" s="9" t="str">
        <x:v>Indikator_SDGS_Kesejahteraan_Rakyat_2025.pdf</x:v>
      </x:c>
      <x:c r="L12" s="9" t="str">
        <x:v>Tabel 5.4</x:v>
      </x:c>
      <x:c r="M12" s="8" t="str">
        <x:v>5.35</x:v>
      </x:c>
      <x:c r="N12" s="9" t="str">
        <x:v>Maret 2025 (Susenas)</x:v>
      </x:c>
      <x:c r="O12" s="9" t="str">
        <x:v>Penghitungan_dan_Analisis_Kemiskinan_Makro_2025.pdf</x:v>
      </x:c>
      <x:c r="P12" s="9" t="str">
        <x:v>Tabel 2.5</x:v>
      </x:c>
      <x:c r="Q12" s="9" t="str">
        <x:v>Badan Pusat Statistik</x:v>
      </x:c>
      <x:c r="R12" s="9" t="str">
        <x:v>Machine extraction from official PDF table; row-count and national-total QA</x:v>
      </x:c>
    </x:row>
    <x:row r="13" ht="18" customHeight="1">
      <x:c r="A13" s="6" t="str">
        <x:v>13</x:v>
      </x:c>
      <x:c r="B13" s="6" t="str">
        <x:v>SUMATERA BARAT</x:v>
      </x:c>
      <x:c r="C13" s="6" t="str">
        <x:v>2026</x:v>
      </x:c>
      <x:c r="D13" s="6" t="str">
        <x:v>5991600</x:v>
      </x:c>
      <x:c r="E13" s="6" t="str">
        <x:v>142.0</x:v>
      </x:c>
      <x:c r="F13" s="9" t="str">
        <x:v>2026-06-30</x:v>
      </x:c>
      <x:c r="G13" s="9" t="str">
        <x:v>Statistik_Indonesia_2026.pdf</x:v>
      </x:c>
      <x:c r="H13" s="9" t="str">
        <x:v>Tabel 3.1.1</x:v>
      </x:c>
      <x:c r="I13" s="8" t="str"/>
      <x:c r="J13" s="9" t="str"/>
      <x:c r="K13" s="9" t="str"/>
      <x:c r="L13" s="9" t="str"/>
      <x:c r="M13" s="8" t="str"/>
      <x:c r="N13" s="9" t="str"/>
      <x:c r="O13" s="9" t="str"/>
      <x:c r="P13" s="9" t="str"/>
      <x:c r="Q13" s="9" t="str">
        <x:v>Badan Pusat Statistik</x:v>
      </x:c>
      <x:c r="R13" s="9" t="str">
        <x:v>Machine extraction from official PDF table; row-count and national-total QA</x:v>
      </x:c>
    </x:row>
    <x:row r="14" ht="18" customHeight="1">
      <x:c r="A14" s="6" t="str">
        <x:v>14</x:v>
      </x:c>
      <x:c r="B14" s="6" t="str">
        <x:v>RIAU</x:v>
      </x:c>
      <x:c r="C14" s="6" t="str">
        <x:v>2023</x:v>
      </x:c>
      <x:c r="D14" s="6" t="str">
        <x:v>6642900</x:v>
      </x:c>
      <x:c r="E14" s="6" t="str">
        <x:v>74.0</x:v>
      </x:c>
      <x:c r="F14" s="9" t="str">
        <x:v>2023-06-30</x:v>
      </x:c>
      <x:c r="G14" s="9" t="str">
        <x:v>Statistik_Indonesia_2024.pdf</x:v>
      </x:c>
      <x:c r="H14" s="9" t="str">
        <x:v>Tabel 3.1.1</x:v>
      </x:c>
      <x:c r="I14" s="8" t="str">
        <x:v>84.58</x:v>
      </x:c>
      <x:c r="J14" s="9" t="str">
        <x:v>2023 (Susenas)</x:v>
      </x:c>
      <x:c r="K14" s="9" t="str">
        <x:v>Indikator_SDGS_Kesejahteraan_Rakyat_2025.pdf</x:v>
      </x:c>
      <x:c r="L14" s="9" t="str">
        <x:v>Tabel 5.4</x:v>
      </x:c>
      <x:c r="M14" s="8" t="str"/>
      <x:c r="N14" s="9" t="str"/>
      <x:c r="O14" s="9" t="str"/>
      <x:c r="P14" s="9" t="str"/>
      <x:c r="Q14" s="9" t="str">
        <x:v>Badan Pusat Statistik</x:v>
      </x:c>
      <x:c r="R14" s="9" t="str">
        <x:v>Machine extraction from official PDF table; row-count and national-total QA</x:v>
      </x:c>
    </x:row>
    <x:row r="15" ht="18" customHeight="1">
      <x:c r="A15" s="6" t="str">
        <x:v>14</x:v>
      </x:c>
      <x:c r="B15" s="6" t="str">
        <x:v>RIAU</x:v>
      </x:c>
      <x:c r="C15" s="6" t="str">
        <x:v>2024</x:v>
      </x:c>
      <x:c r="D15" s="6" t="str">
        <x:v>6728100</x:v>
      </x:c>
      <x:c r="E15" s="6" t="str">
        <x:v>75.0</x:v>
      </x:c>
      <x:c r="F15" s="9" t="str">
        <x:v>2024-06-30</x:v>
      </x:c>
      <x:c r="G15" s="9" t="str">
        <x:v>Statistik_Indonesia_2025.pdf</x:v>
      </x:c>
      <x:c r="H15" s="9" t="str">
        <x:v>Tabel 3.1.1</x:v>
      </x:c>
      <x:c r="I15" s="8" t="str">
        <x:v>86.3</x:v>
      </x:c>
      <x:c r="J15" s="9" t="str">
        <x:v>2024 (Susenas)</x:v>
      </x:c>
      <x:c r="K15" s="9" t="str">
        <x:v>Indikator_SDGS_Kesejahteraan_Rakyat_2025.pdf</x:v>
      </x:c>
      <x:c r="L15" s="9" t="str">
        <x:v>Tabel 5.4</x:v>
      </x:c>
      <x:c r="M15" s="8" t="str">
        <x:v>6.67</x:v>
      </x:c>
      <x:c r="N15" s="9" t="str">
        <x:v>Maret 2024 (Susenas)</x:v>
      </x:c>
      <x:c r="O15" s="9" t="str">
        <x:v>Statistik_Indonesia_2025.pdf</x:v>
      </x:c>
      <x:c r="P15" s="9" t="str">
        <x:v>Tabel 4.6.2</x:v>
      </x:c>
      <x:c r="Q15" s="9" t="str">
        <x:v>Badan Pusat Statistik</x:v>
      </x:c>
      <x:c r="R15" s="9" t="str">
        <x:v>Machine extraction from official PDF table; row-count and national-total QA</x:v>
      </x:c>
    </x:row>
    <x:row r="16" ht="18" customHeight="1">
      <x:c r="A16" s="6" t="str">
        <x:v>14</x:v>
      </x:c>
      <x:c r="B16" s="6" t="str">
        <x:v>RIAU</x:v>
      </x:c>
      <x:c r="C16" s="6" t="str">
        <x:v>2025</x:v>
      </x:c>
      <x:c r="D16" s="6" t="str">
        <x:v>6811200</x:v>
      </x:c>
      <x:c r="E16" s="6" t="str">
        <x:v>76.0</x:v>
      </x:c>
      <x:c r="F16" s="9" t="str">
        <x:v>2025-06-30</x:v>
      </x:c>
      <x:c r="G16" s="9" t="str">
        <x:v>Statistik_Indonesia_2025.pdf</x:v>
      </x:c>
      <x:c r="H16" s="9" t="str">
        <x:v>Tabel 3.1.1</x:v>
      </x:c>
      <x:c r="I16" s="8" t="str">
        <x:v>91.2</x:v>
      </x:c>
      <x:c r="J16" s="9" t="str">
        <x:v>2025 (Susenas)</x:v>
      </x:c>
      <x:c r="K16" s="9" t="str">
        <x:v>Indikator_SDGS_Kesejahteraan_Rakyat_2025.pdf</x:v>
      </x:c>
      <x:c r="L16" s="9" t="str">
        <x:v>Tabel 5.4</x:v>
      </x:c>
      <x:c r="M16" s="8" t="str">
        <x:v>6.16</x:v>
      </x:c>
      <x:c r="N16" s="9" t="str">
        <x:v>Maret 2025 (Susenas)</x:v>
      </x:c>
      <x:c r="O16" s="9" t="str">
        <x:v>Penghitungan_dan_Analisis_Kemiskinan_Makro_2025.pdf</x:v>
      </x:c>
      <x:c r="P16" s="9" t="str">
        <x:v>Tabel 2.5</x:v>
      </x:c>
      <x:c r="Q16" s="9" t="str">
        <x:v>Badan Pusat Statistik</x:v>
      </x:c>
      <x:c r="R16" s="9" t="str">
        <x:v>Machine extraction from official PDF table; row-count and national-total QA</x:v>
      </x:c>
    </x:row>
    <x:row r="17" ht="18" customHeight="1">
      <x:c r="A17" s="6" t="str">
        <x:v>14</x:v>
      </x:c>
      <x:c r="B17" s="6" t="str">
        <x:v>RIAU</x:v>
      </x:c>
      <x:c r="C17" s="6" t="str">
        <x:v>2026</x:v>
      </x:c>
      <x:c r="D17" s="6" t="str">
        <x:v>6892400</x:v>
      </x:c>
      <x:c r="E17" s="6" t="str">
        <x:v>77.0</x:v>
      </x:c>
      <x:c r="F17" s="9" t="str">
        <x:v>2026-06-30</x:v>
      </x:c>
      <x:c r="G17" s="9" t="str">
        <x:v>Statistik_Indonesia_2026.pdf</x:v>
      </x:c>
      <x:c r="H17" s="9" t="str">
        <x:v>Tabel 3.1.1</x:v>
      </x:c>
      <x:c r="I17" s="8" t="str"/>
      <x:c r="J17" s="9" t="str"/>
      <x:c r="K17" s="9" t="str"/>
      <x:c r="L17" s="9" t="str"/>
      <x:c r="M17" s="8" t="str"/>
      <x:c r="N17" s="9" t="str"/>
      <x:c r="O17" s="9" t="str"/>
      <x:c r="P17" s="9" t="str"/>
      <x:c r="Q17" s="9" t="str">
        <x:v>Badan Pusat Statistik</x:v>
      </x:c>
      <x:c r="R17" s="9" t="str">
        <x:v>Machine extraction from official PDF table; row-count and national-total QA</x:v>
      </x:c>
    </x:row>
    <x:row r="18" ht="18" customHeight="1">
      <x:c r="A18" s="6" t="str">
        <x:v>15</x:v>
      </x:c>
      <x:c r="B18" s="6" t="str">
        <x:v>JAMBI</x:v>
      </x:c>
      <x:c r="C18" s="6" t="str">
        <x:v>2023</x:v>
      </x:c>
      <x:c r="D18" s="6" t="str">
        <x:v>3679200</x:v>
      </x:c>
      <x:c r="E18" s="6" t="str">
        <x:v>75.0</x:v>
      </x:c>
      <x:c r="F18" s="9" t="str">
        <x:v>2023-06-30</x:v>
      </x:c>
      <x:c r="G18" s="9" t="str">
        <x:v>Statistik_Indonesia_2024.pdf</x:v>
      </x:c>
      <x:c r="H18" s="9" t="str">
        <x:v>Tabel 3.1.1</x:v>
      </x:c>
      <x:c r="I18" s="8" t="str">
        <x:v>83.04</x:v>
      </x:c>
      <x:c r="J18" s="9" t="str">
        <x:v>2023 (Susenas)</x:v>
      </x:c>
      <x:c r="K18" s="9" t="str">
        <x:v>Indikator_SDGS_Kesejahteraan_Rakyat_2025.pdf</x:v>
      </x:c>
      <x:c r="L18" s="9" t="str">
        <x:v>Tabel 5.4</x:v>
      </x:c>
      <x:c r="M18" s="8" t="str"/>
      <x:c r="N18" s="9" t="str"/>
      <x:c r="O18" s="9" t="str"/>
      <x:c r="P18" s="9" t="str"/>
      <x:c r="Q18" s="9" t="str">
        <x:v>Badan Pusat Statistik</x:v>
      </x:c>
      <x:c r="R18" s="9" t="str">
        <x:v>Machine extraction from official PDF table; row-count and national-total QA</x:v>
      </x:c>
    </x:row>
    <x:row r="19" ht="18" customHeight="1">
      <x:c r="A19" s="6" t="str">
        <x:v>15</x:v>
      </x:c>
      <x:c r="B19" s="6" t="str">
        <x:v>JAMBI</x:v>
      </x:c>
      <x:c r="C19" s="6" t="str">
        <x:v>2024</x:v>
      </x:c>
      <x:c r="D19" s="6" t="str">
        <x:v>3724300</x:v>
      </x:c>
      <x:c r="E19" s="6" t="str">
        <x:v>76.0</x:v>
      </x:c>
      <x:c r="F19" s="9" t="str">
        <x:v>2024-06-30</x:v>
      </x:c>
      <x:c r="G19" s="9" t="str">
        <x:v>Statistik_Indonesia_2025.pdf</x:v>
      </x:c>
      <x:c r="H19" s="9" t="str">
        <x:v>Tabel 3.1.1</x:v>
      </x:c>
      <x:c r="I19" s="8" t="str">
        <x:v>83.97</x:v>
      </x:c>
      <x:c r="J19" s="9" t="str">
        <x:v>2024 (Susenas)</x:v>
      </x:c>
      <x:c r="K19" s="9" t="str">
        <x:v>Indikator_SDGS_Kesejahteraan_Rakyat_2025.pdf</x:v>
      </x:c>
      <x:c r="L19" s="9" t="str">
        <x:v>Tabel 5.4</x:v>
      </x:c>
      <x:c r="M19" s="8" t="str">
        <x:v>7.1</x:v>
      </x:c>
      <x:c r="N19" s="9" t="str">
        <x:v>Maret 2024 (Susenas)</x:v>
      </x:c>
      <x:c r="O19" s="9" t="str">
        <x:v>Statistik_Indonesia_2025.pdf</x:v>
      </x:c>
      <x:c r="P19" s="9" t="str">
        <x:v>Tabel 4.6.2</x:v>
      </x:c>
      <x:c r="Q19" s="9" t="str">
        <x:v>Badan Pusat Statistik</x:v>
      </x:c>
      <x:c r="R19" s="9" t="str">
        <x:v>Machine extraction from official PDF table; row-count and national-total QA</x:v>
      </x:c>
    </x:row>
    <x:row r="20" ht="18" customHeight="1">
      <x:c r="A20" s="6" t="str">
        <x:v>15</x:v>
      </x:c>
      <x:c r="B20" s="6" t="str">
        <x:v>JAMBI</x:v>
      </x:c>
      <x:c r="C20" s="6" t="str">
        <x:v>2025</x:v>
      </x:c>
      <x:c r="D20" s="6" t="str">
        <x:v>3768500</x:v>
      </x:c>
      <x:c r="E20" s="6" t="str">
        <x:v>77.0</x:v>
      </x:c>
      <x:c r="F20" s="9" t="str">
        <x:v>2025-06-30</x:v>
      </x:c>
      <x:c r="G20" s="9" t="str">
        <x:v>Statistik_Indonesia_2025.pdf</x:v>
      </x:c>
      <x:c r="H20" s="9" t="str">
        <x:v>Tabel 3.1.1</x:v>
      </x:c>
      <x:c r="I20" s="8" t="str">
        <x:v>85.88</x:v>
      </x:c>
      <x:c r="J20" s="9" t="str">
        <x:v>2025 (Susenas)</x:v>
      </x:c>
      <x:c r="K20" s="9" t="str">
        <x:v>Indikator_SDGS_Kesejahteraan_Rakyat_2025.pdf</x:v>
      </x:c>
      <x:c r="L20" s="9" t="str">
        <x:v>Tabel 5.4</x:v>
      </x:c>
      <x:c r="M20" s="8" t="str">
        <x:v>7.19</x:v>
      </x:c>
      <x:c r="N20" s="9" t="str">
        <x:v>Maret 2025 (Susenas)</x:v>
      </x:c>
      <x:c r="O20" s="9" t="str">
        <x:v>Penghitungan_dan_Analisis_Kemiskinan_Makro_2025.pdf</x:v>
      </x:c>
      <x:c r="P20" s="9" t="str">
        <x:v>Tabel 2.5</x:v>
      </x:c>
      <x:c r="Q20" s="9" t="str">
        <x:v>Badan Pusat Statistik</x:v>
      </x:c>
      <x:c r="R20" s="9" t="str">
        <x:v>Machine extraction from official PDF table; row-count and national-total QA</x:v>
      </x:c>
    </x:row>
    <x:row r="21" ht="18" customHeight="1">
      <x:c r="A21" s="6" t="str">
        <x:v>15</x:v>
      </x:c>
      <x:c r="B21" s="6" t="str">
        <x:v>JAMBI</x:v>
      </x:c>
      <x:c r="C21" s="6" t="str">
        <x:v>2026</x:v>
      </x:c>
      <x:c r="D21" s="6" t="str">
        <x:v>3811700</x:v>
      </x:c>
      <x:c r="E21" s="6" t="str">
        <x:v>78.0</x:v>
      </x:c>
      <x:c r="F21" s="9" t="str">
        <x:v>2026-06-30</x:v>
      </x:c>
      <x:c r="G21" s="9" t="str">
        <x:v>Statistik_Indonesia_2026.pdf</x:v>
      </x:c>
      <x:c r="H21" s="9" t="str">
        <x:v>Tabel 3.1.1</x:v>
      </x:c>
      <x:c r="I21" s="8" t="str"/>
      <x:c r="J21" s="9" t="str"/>
      <x:c r="K21" s="9" t="str"/>
      <x:c r="L21" s="9" t="str"/>
      <x:c r="M21" s="8" t="str"/>
      <x:c r="N21" s="9" t="str"/>
      <x:c r="O21" s="9" t="str"/>
      <x:c r="P21" s="9" t="str"/>
      <x:c r="Q21" s="9" t="str">
        <x:v>Badan Pusat Statistik</x:v>
      </x:c>
      <x:c r="R21" s="9" t="str">
        <x:v>Machine extraction from official PDF table; row-count and national-total QA</x:v>
      </x:c>
    </x:row>
    <x:row r="22" ht="18" customHeight="1">
      <x:c r="A22" s="6" t="str">
        <x:v>16</x:v>
      </x:c>
      <x:c r="B22" s="6" t="str">
        <x:v>SUMATERA SELATAN</x:v>
      </x:c>
      <x:c r="C22" s="6" t="str">
        <x:v>2023</x:v>
      </x:c>
      <x:c r="D22" s="6" t="str">
        <x:v>8743500</x:v>
      </x:c>
      <x:c r="E22" s="6" t="str">
        <x:v>101.0</x:v>
      </x:c>
      <x:c r="F22" s="9" t="str">
        <x:v>2023-06-30</x:v>
      </x:c>
      <x:c r="G22" s="9" t="str">
        <x:v>Statistik_Indonesia_2024.pdf</x:v>
      </x:c>
      <x:c r="H22" s="9" t="str">
        <x:v>Tabel 3.1.1</x:v>
      </x:c>
      <x:c r="I22" s="8" t="str">
        <x:v>80.54</x:v>
      </x:c>
      <x:c r="J22" s="9" t="str">
        <x:v>2023 (Susenas)</x:v>
      </x:c>
      <x:c r="K22" s="9" t="str">
        <x:v>Indikator_SDGS_Kesejahteraan_Rakyat_2025.pdf</x:v>
      </x:c>
      <x:c r="L22" s="9" t="str">
        <x:v>Tabel 5.4</x:v>
      </x:c>
      <x:c r="M22" s="8" t="str"/>
      <x:c r="N22" s="9" t="str"/>
      <x:c r="O22" s="9" t="str"/>
      <x:c r="P22" s="9" t="str"/>
      <x:c r="Q22" s="9" t="str">
        <x:v>Badan Pusat Statistik</x:v>
      </x:c>
      <x:c r="R22" s="9" t="str">
        <x:v>Machine extraction from official PDF table; row-count and national-total QA</x:v>
      </x:c>
    </x:row>
    <x:row r="23" ht="18" customHeight="1">
      <x:c r="A23" s="6" t="str">
        <x:v>16</x:v>
      </x:c>
      <x:c r="B23" s="6" t="str">
        <x:v>SUMATERA SELATAN</x:v>
      </x:c>
      <x:c r="C23" s="6" t="str">
        <x:v>2024</x:v>
      </x:c>
      <x:c r="D23" s="6" t="str">
        <x:v>8837300</x:v>
      </x:c>
      <x:c r="E23" s="6" t="str">
        <x:v>102.0</x:v>
      </x:c>
      <x:c r="F23" s="9" t="str">
        <x:v>2024-06-30</x:v>
      </x:c>
      <x:c r="G23" s="9" t="str">
        <x:v>Statistik_Indonesia_2025.pdf</x:v>
      </x:c>
      <x:c r="H23" s="9" t="str">
        <x:v>Tabel 3.1.1</x:v>
      </x:c>
      <x:c r="I23" s="8" t="str">
        <x:v>82.36</x:v>
      </x:c>
      <x:c r="J23" s="9" t="str">
        <x:v>2024 (Susenas)</x:v>
      </x:c>
      <x:c r="K23" s="9" t="str">
        <x:v>Indikator_SDGS_Kesejahteraan_Rakyat_2025.pdf</x:v>
      </x:c>
      <x:c r="L23" s="9" t="str">
        <x:v>Tabel 5.4</x:v>
      </x:c>
      <x:c r="M23" s="8" t="str">
        <x:v>10.97</x:v>
      </x:c>
      <x:c r="N23" s="9" t="str">
        <x:v>Maret 2024 (Susenas)</x:v>
      </x:c>
      <x:c r="O23" s="9" t="str">
        <x:v>Statistik_Indonesia_2025.pdf</x:v>
      </x:c>
      <x:c r="P23" s="9" t="str">
        <x:v>Tabel 4.6.2</x:v>
      </x:c>
      <x:c r="Q23" s="9" t="str">
        <x:v>Badan Pusat Statistik</x:v>
      </x:c>
      <x:c r="R23" s="9" t="str">
        <x:v>Machine extraction from official PDF table; row-count and national-total QA</x:v>
      </x:c>
    </x:row>
    <x:row r="24" ht="18" customHeight="1">
      <x:c r="A24" s="6" t="str">
        <x:v>16</x:v>
      </x:c>
      <x:c r="B24" s="6" t="str">
        <x:v>SUMATERA SELATAN</x:v>
      </x:c>
      <x:c r="C24" s="6" t="str">
        <x:v>2025</x:v>
      </x:c>
      <x:c r="D24" s="6" t="str">
        <x:v>8928500</x:v>
      </x:c>
      <x:c r="E24" s="6" t="str">
        <x:v>103.0</x:v>
      </x:c>
      <x:c r="F24" s="9" t="str">
        <x:v>2025-06-30</x:v>
      </x:c>
      <x:c r="G24" s="9" t="str">
        <x:v>Statistik_Indonesia_2025.pdf</x:v>
      </x:c>
      <x:c r="H24" s="9" t="str">
        <x:v>Tabel 3.1.1</x:v>
      </x:c>
      <x:c r="I24" s="8" t="str">
        <x:v>85.5</x:v>
      </x:c>
      <x:c r="J24" s="9" t="str">
        <x:v>2025 (Susenas)</x:v>
      </x:c>
      <x:c r="K24" s="9" t="str">
        <x:v>Indikator_SDGS_Kesejahteraan_Rakyat_2025.pdf</x:v>
      </x:c>
      <x:c r="L24" s="9" t="str">
        <x:v>Tabel 5.4</x:v>
      </x:c>
      <x:c r="M24" s="8" t="str">
        <x:v>10.15</x:v>
      </x:c>
      <x:c r="N24" s="9" t="str">
        <x:v>Maret 2025 (Susenas)</x:v>
      </x:c>
      <x:c r="O24" s="9" t="str">
        <x:v>Penghitungan_dan_Analisis_Kemiskinan_Makro_2025.pdf</x:v>
      </x:c>
      <x:c r="P24" s="9" t="str">
        <x:v>Tabel 2.5</x:v>
      </x:c>
      <x:c r="Q24" s="9" t="str">
        <x:v>Badan Pusat Statistik</x:v>
      </x:c>
      <x:c r="R24" s="9" t="str">
        <x:v>Machine extraction from official PDF table; row-count and national-total QA</x:v>
      </x:c>
    </x:row>
    <x:row r="25" ht="18" customHeight="1">
      <x:c r="A25" s="6" t="str">
        <x:v>16</x:v>
      </x:c>
      <x:c r="B25" s="6" t="str">
        <x:v>SUMATERA SELATAN</x:v>
      </x:c>
      <x:c r="C25" s="6" t="str">
        <x:v>2026</x:v>
      </x:c>
      <x:c r="D25" s="6" t="str">
        <x:v>9017100</x:v>
      </x:c>
      <x:c r="E25" s="6" t="str">
        <x:v>104.0</x:v>
      </x:c>
      <x:c r="F25" s="9" t="str">
        <x:v>2026-06-30</x:v>
      </x:c>
      <x:c r="G25" s="9" t="str">
        <x:v>Statistik_Indonesia_2026.pdf</x:v>
      </x:c>
      <x:c r="H25" s="9" t="str">
        <x:v>Tabel 3.1.1</x:v>
      </x:c>
      <x:c r="I25" s="8" t="str"/>
      <x:c r="J25" s="9" t="str"/>
      <x:c r="K25" s="9" t="str"/>
      <x:c r="L25" s="9" t="str"/>
      <x:c r="M25" s="8" t="str"/>
      <x:c r="N25" s="9" t="str"/>
      <x:c r="O25" s="9" t="str"/>
      <x:c r="P25" s="9" t="str"/>
      <x:c r="Q25" s="9" t="str">
        <x:v>Badan Pusat Statistik</x:v>
      </x:c>
      <x:c r="R25" s="9" t="str">
        <x:v>Machine extraction from official PDF table; row-count and national-total QA</x:v>
      </x:c>
    </x:row>
    <x:row r="26" ht="18" customHeight="1">
      <x:c r="A26" s="6" t="str">
        <x:v>17</x:v>
      </x:c>
      <x:c r="B26" s="6" t="str">
        <x:v>BENGKULU</x:v>
      </x:c>
      <x:c r="C26" s="6" t="str">
        <x:v>2023</x:v>
      </x:c>
      <x:c r="D26" s="6" t="str">
        <x:v>2086000</x:v>
      </x:c>
      <x:c r="E26" s="6" t="str">
        <x:v>104.0</x:v>
      </x:c>
      <x:c r="F26" s="9" t="str">
        <x:v>2023-06-30</x:v>
      </x:c>
      <x:c r="G26" s="9" t="str">
        <x:v>Statistik_Indonesia_2024.pdf</x:v>
      </x:c>
      <x:c r="H26" s="9" t="str">
        <x:v>Tabel 3.1.1</x:v>
      </x:c>
      <x:c r="I26" s="8" t="str">
        <x:v>80.28</x:v>
      </x:c>
      <x:c r="J26" s="9" t="str">
        <x:v>2023 (Susenas)</x:v>
      </x:c>
      <x:c r="K26" s="9" t="str">
        <x:v>Indikator_SDGS_Kesejahteraan_Rakyat_2025.pdf</x:v>
      </x:c>
      <x:c r="L26" s="9" t="str">
        <x:v>Tabel 5.4</x:v>
      </x:c>
      <x:c r="M26" s="8" t="str"/>
      <x:c r="N26" s="9" t="str"/>
      <x:c r="O26" s="9" t="str"/>
      <x:c r="P26" s="9" t="str"/>
      <x:c r="Q26" s="9" t="str">
        <x:v>Badan Pusat Statistik</x:v>
      </x:c>
      <x:c r="R26" s="9" t="str">
        <x:v>Machine extraction from official PDF table; row-count and national-total QA</x:v>
      </x:c>
    </x:row>
    <x:row r="27" ht="18" customHeight="1">
      <x:c r="A27" s="6" t="str">
        <x:v>17</x:v>
      </x:c>
      <x:c r="B27" s="6" t="str">
        <x:v>BENGKULU</x:v>
      </x:c>
      <x:c r="C27" s="6" t="str">
        <x:v>2024</x:v>
      </x:c>
      <x:c r="D27" s="6" t="str">
        <x:v>2112200</x:v>
      </x:c>
      <x:c r="E27" s="6" t="str">
        <x:v>105.0</x:v>
      </x:c>
      <x:c r="F27" s="9" t="str">
        <x:v>2024-06-30</x:v>
      </x:c>
      <x:c r="G27" s="9" t="str">
        <x:v>Statistik_Indonesia_2025.pdf</x:v>
      </x:c>
      <x:c r="H27" s="9" t="str">
        <x:v>Tabel 3.1.1</x:v>
      </x:c>
      <x:c r="I27" s="8" t="str">
        <x:v>83.0</x:v>
      </x:c>
      <x:c r="J27" s="9" t="str">
        <x:v>2024 (Susenas)</x:v>
      </x:c>
      <x:c r="K27" s="9" t="str">
        <x:v>Indikator_SDGS_Kesejahteraan_Rakyat_2025.pdf</x:v>
      </x:c>
      <x:c r="L27" s="9" t="str">
        <x:v>Tabel 5.4</x:v>
      </x:c>
      <x:c r="M27" s="8" t="str">
        <x:v>13.56</x:v>
      </x:c>
      <x:c r="N27" s="9" t="str">
        <x:v>Maret 2024 (Susenas)</x:v>
      </x:c>
      <x:c r="O27" s="9" t="str">
        <x:v>Statistik_Indonesia_2025.pdf</x:v>
      </x:c>
      <x:c r="P27" s="9" t="str">
        <x:v>Tabel 4.6.2</x:v>
      </x:c>
      <x:c r="Q27" s="9" t="str">
        <x:v>Badan Pusat Statistik</x:v>
      </x:c>
      <x:c r="R27" s="9" t="str">
        <x:v>Machine extraction from official PDF table; row-count and national-total QA</x:v>
      </x:c>
    </x:row>
    <x:row r="28" ht="18" customHeight="1">
      <x:c r="A28" s="6" t="str">
        <x:v>17</x:v>
      </x:c>
      <x:c r="B28" s="6" t="str">
        <x:v>BENGKULU</x:v>
      </x:c>
      <x:c r="C28" s="6" t="str">
        <x:v>2025</x:v>
      </x:c>
      <x:c r="D28" s="6" t="str">
        <x:v>2138000</x:v>
      </x:c>
      <x:c r="E28" s="6" t="str">
        <x:v>106.0</x:v>
      </x:c>
      <x:c r="F28" s="9" t="str">
        <x:v>2025-06-30</x:v>
      </x:c>
      <x:c r="G28" s="9" t="str">
        <x:v>Statistik_Indonesia_2025.pdf</x:v>
      </x:c>
      <x:c r="H28" s="9" t="str">
        <x:v>Tabel 3.1.1</x:v>
      </x:c>
      <x:c r="I28" s="8" t="str">
        <x:v>85.75</x:v>
      </x:c>
      <x:c r="J28" s="9" t="str">
        <x:v>2025 (Susenas)</x:v>
      </x:c>
      <x:c r="K28" s="9" t="str">
        <x:v>Indikator_SDGS_Kesejahteraan_Rakyat_2025.pdf</x:v>
      </x:c>
      <x:c r="L28" s="9" t="str">
        <x:v>Tabel 5.4</x:v>
      </x:c>
      <x:c r="M28" s="8" t="str">
        <x:v>12.08</x:v>
      </x:c>
      <x:c r="N28" s="9" t="str">
        <x:v>Maret 2025 (Susenas)</x:v>
      </x:c>
      <x:c r="O28" s="9" t="str">
        <x:v>Penghitungan_dan_Analisis_Kemiskinan_Makro_2025.pdf</x:v>
      </x:c>
      <x:c r="P28" s="9" t="str">
        <x:v>Tabel 2.5</x:v>
      </x:c>
      <x:c r="Q28" s="9" t="str">
        <x:v>Badan Pusat Statistik</x:v>
      </x:c>
      <x:c r="R28" s="9" t="str">
        <x:v>Machine extraction from official PDF table; row-count and national-total QA</x:v>
      </x:c>
    </x:row>
    <x:row r="29" ht="18" customHeight="1">
      <x:c r="A29" s="6" t="str">
        <x:v>17</x:v>
      </x:c>
      <x:c r="B29" s="6" t="str">
        <x:v>BENGKULU</x:v>
      </x:c>
      <x:c r="C29" s="6" t="str">
        <x:v>2026</x:v>
      </x:c>
      <x:c r="D29" s="6" t="str">
        <x:v>2163300</x:v>
      </x:c>
      <x:c r="E29" s="6" t="str">
        <x:v>108.0</x:v>
      </x:c>
      <x:c r="F29" s="9" t="str">
        <x:v>2026-06-30</x:v>
      </x:c>
      <x:c r="G29" s="9" t="str">
        <x:v>Statistik_Indonesia_2026.pdf</x:v>
      </x:c>
      <x:c r="H29" s="9" t="str">
        <x:v>Tabel 3.1.1</x:v>
      </x:c>
      <x:c r="I29" s="8" t="str"/>
      <x:c r="J29" s="9" t="str"/>
      <x:c r="K29" s="9" t="str"/>
      <x:c r="L29" s="9" t="str"/>
      <x:c r="M29" s="8" t="str"/>
      <x:c r="N29" s="9" t="str"/>
      <x:c r="O29" s="9" t="str"/>
      <x:c r="P29" s="9" t="str"/>
      <x:c r="Q29" s="9" t="str">
        <x:v>Badan Pusat Statistik</x:v>
      </x:c>
      <x:c r="R29" s="9" t="str">
        <x:v>Machine extraction from official PDF table; row-count and national-total QA</x:v>
      </x:c>
    </x:row>
    <x:row r="30" ht="18" customHeight="1">
      <x:c r="A30" s="6" t="str">
        <x:v>18</x:v>
      </x:c>
      <x:c r="B30" s="6" t="str">
        <x:v>LAMPUNG</x:v>
      </x:c>
      <x:c r="C30" s="6" t="str">
        <x:v>2023</x:v>
      </x:c>
      <x:c r="D30" s="6" t="str">
        <x:v>9314000</x:v>
      </x:c>
      <x:c r="E30" s="6" t="str">
        <x:v>277.0</x:v>
      </x:c>
      <x:c r="F30" s="9" t="str">
        <x:v>2023-06-30</x:v>
      </x:c>
      <x:c r="G30" s="9" t="str">
        <x:v>Statistik_Indonesia_2024.pdf</x:v>
      </x:c>
      <x:c r="H30" s="9" t="str">
        <x:v>Tabel 3.1.1</x:v>
      </x:c>
      <x:c r="I30" s="8" t="str">
        <x:v>84.58</x:v>
      </x:c>
      <x:c r="J30" s="9" t="str">
        <x:v>2023 (Susenas)</x:v>
      </x:c>
      <x:c r="K30" s="9" t="str">
        <x:v>Indikator_SDGS_Kesejahteraan_Rakyat_2025.pdf</x:v>
      </x:c>
      <x:c r="L30" s="9" t="str">
        <x:v>Tabel 5.4</x:v>
      </x:c>
      <x:c r="M30" s="8" t="str"/>
      <x:c r="N30" s="9" t="str"/>
      <x:c r="O30" s="9" t="str"/>
      <x:c r="P30" s="9" t="str"/>
      <x:c r="Q30" s="9" t="str">
        <x:v>Badan Pusat Statistik</x:v>
      </x:c>
      <x:c r="R30" s="9" t="str">
        <x:v>Machine extraction from official PDF table; row-count and national-total QA</x:v>
      </x:c>
    </x:row>
    <x:row r="31" ht="18" customHeight="1">
      <x:c r="A31" s="6" t="str">
        <x:v>18</x:v>
      </x:c>
      <x:c r="B31" s="6" t="str">
        <x:v>LAMPUNG</x:v>
      </x:c>
      <x:c r="C31" s="6" t="str">
        <x:v>2024</x:v>
      </x:c>
      <x:c r="D31" s="6" t="str">
        <x:v>9419600</x:v>
      </x:c>
      <x:c r="E31" s="6" t="str">
        <x:v>281.0</x:v>
      </x:c>
      <x:c r="F31" s="9" t="str">
        <x:v>2024-06-30</x:v>
      </x:c>
      <x:c r="G31" s="9" t="str">
        <x:v>Statistik_Indonesia_2025.pdf</x:v>
      </x:c>
      <x:c r="H31" s="9" t="str">
        <x:v>Tabel 3.1.1</x:v>
      </x:c>
      <x:c r="I31" s="8" t="str">
        <x:v>85.44</x:v>
      </x:c>
      <x:c r="J31" s="9" t="str">
        <x:v>2024 (Susenas)</x:v>
      </x:c>
      <x:c r="K31" s="9" t="str">
        <x:v>Indikator_SDGS_Kesejahteraan_Rakyat_2025.pdf</x:v>
      </x:c>
      <x:c r="L31" s="9" t="str">
        <x:v>Tabel 5.4</x:v>
      </x:c>
      <x:c r="M31" s="8" t="str">
        <x:v>10.69</x:v>
      </x:c>
      <x:c r="N31" s="9" t="str">
        <x:v>Maret 2024 (Susenas)</x:v>
      </x:c>
      <x:c r="O31" s="9" t="str">
        <x:v>Statistik_Indonesia_2025.pdf</x:v>
      </x:c>
      <x:c r="P31" s="9" t="str">
        <x:v>Tabel 4.6.2</x:v>
      </x:c>
      <x:c r="Q31" s="9" t="str">
        <x:v>Badan Pusat Statistik</x:v>
      </x:c>
      <x:c r="R31" s="9" t="str">
        <x:v>Machine extraction from official PDF table; row-count and national-total QA</x:v>
      </x:c>
    </x:row>
    <x:row r="32" ht="18" customHeight="1">
      <x:c r="A32" s="6" t="str">
        <x:v>18</x:v>
      </x:c>
      <x:c r="B32" s="6" t="str">
        <x:v>LAMPUNG</x:v>
      </x:c>
      <x:c r="C32" s="6" t="str">
        <x:v>2025</x:v>
      </x:c>
      <x:c r="D32" s="6" t="str">
        <x:v>9522900</x:v>
      </x:c>
      <x:c r="E32" s="6" t="str">
        <x:v>284.0</x:v>
      </x:c>
      <x:c r="F32" s="9" t="str">
        <x:v>2025-06-30</x:v>
      </x:c>
      <x:c r="G32" s="9" t="str">
        <x:v>Statistik_Indonesia_2025.pdf</x:v>
      </x:c>
      <x:c r="H32" s="9" t="str">
        <x:v>Tabel 3.1.1</x:v>
      </x:c>
      <x:c r="I32" s="8" t="str">
        <x:v>87.29</x:v>
      </x:c>
      <x:c r="J32" s="9" t="str">
        <x:v>2025 (Susenas)</x:v>
      </x:c>
      <x:c r="K32" s="9" t="str">
        <x:v>Indikator_SDGS_Kesejahteraan_Rakyat_2025.pdf</x:v>
      </x:c>
      <x:c r="L32" s="9" t="str">
        <x:v>Tabel 5.4</x:v>
      </x:c>
      <x:c r="M32" s="8" t="str">
        <x:v>10.0</x:v>
      </x:c>
      <x:c r="N32" s="9" t="str">
        <x:v>Maret 2025 (Susenas)</x:v>
      </x:c>
      <x:c r="O32" s="9" t="str">
        <x:v>Penghitungan_dan_Analisis_Kemiskinan_Makro_2025.pdf</x:v>
      </x:c>
      <x:c r="P32" s="9" t="str">
        <x:v>Tabel 2.5</x:v>
      </x:c>
      <x:c r="Q32" s="9" t="str">
        <x:v>Badan Pusat Statistik</x:v>
      </x:c>
      <x:c r="R32" s="9" t="str">
        <x:v>Machine extraction from official PDF table; row-count and national-total QA</x:v>
      </x:c>
    </x:row>
    <x:row r="33" ht="18" customHeight="1">
      <x:c r="A33" s="6" t="str">
        <x:v>18</x:v>
      </x:c>
      <x:c r="B33" s="6" t="str">
        <x:v>LAMPUNG</x:v>
      </x:c>
      <x:c r="C33" s="6" t="str">
        <x:v>2026</x:v>
      </x:c>
      <x:c r="D33" s="6" t="str">
        <x:v>9623800</x:v>
      </x:c>
      <x:c r="E33" s="6" t="str">
        <x:v>287.0</x:v>
      </x:c>
      <x:c r="F33" s="9" t="str">
        <x:v>2026-06-30</x:v>
      </x:c>
      <x:c r="G33" s="9" t="str">
        <x:v>Statistik_Indonesia_2026.pdf</x:v>
      </x:c>
      <x:c r="H33" s="9" t="str">
        <x:v>Tabel 3.1.1</x:v>
      </x:c>
      <x:c r="I33" s="8" t="str"/>
      <x:c r="J33" s="9" t="str"/>
      <x:c r="K33" s="9" t="str"/>
      <x:c r="L33" s="9" t="str"/>
      <x:c r="M33" s="8" t="str"/>
      <x:c r="N33" s="9" t="str"/>
      <x:c r="O33" s="9" t="str"/>
      <x:c r="P33" s="9" t="str"/>
      <x:c r="Q33" s="9" t="str">
        <x:v>Badan Pusat Statistik</x:v>
      </x:c>
      <x:c r="R33" s="9" t="str">
        <x:v>Machine extraction from official PDF table; row-count and national-total QA</x:v>
      </x:c>
    </x:row>
    <x:row r="34" ht="18" customHeight="1">
      <x:c r="A34" s="6" t="str">
        <x:v>19</x:v>
      </x:c>
      <x:c r="B34" s="6" t="str">
        <x:v>KEPULAUAN BANGKA BELITUNG</x:v>
      </x:c>
      <x:c r="C34" s="6" t="str">
        <x:v>2023</x:v>
      </x:c>
      <x:c r="D34" s="6" t="str">
        <x:v>1511900</x:v>
      </x:c>
      <x:c r="E34" s="6" t="str">
        <x:v>91.0</x:v>
      </x:c>
      <x:c r="F34" s="9" t="str">
        <x:v>2023-06-30</x:v>
      </x:c>
      <x:c r="G34" s="9" t="str">
        <x:v>Statistik_Indonesia_2024.pdf</x:v>
      </x:c>
      <x:c r="H34" s="9" t="str">
        <x:v>Tabel 3.1.1</x:v>
      </x:c>
      <x:c r="I34" s="8" t="str">
        <x:v>93.2</x:v>
      </x:c>
      <x:c r="J34" s="9" t="str">
        <x:v>2023 (Susenas)</x:v>
      </x:c>
      <x:c r="K34" s="9" t="str">
        <x:v>Indikator_SDGS_Kesejahteraan_Rakyat_2025.pdf</x:v>
      </x:c>
      <x:c r="L34" s="9" t="str">
        <x:v>Tabel 5.4</x:v>
      </x:c>
      <x:c r="M34" s="8" t="str"/>
      <x:c r="N34" s="9" t="str"/>
      <x:c r="O34" s="9" t="str"/>
      <x:c r="P34" s="9" t="str"/>
      <x:c r="Q34" s="9" t="str">
        <x:v>Badan Pusat Statistik</x:v>
      </x:c>
      <x:c r="R34" s="9" t="str">
        <x:v>Machine extraction from official PDF table; row-count and national-total QA</x:v>
      </x:c>
    </x:row>
    <x:row r="35" ht="18" customHeight="1">
      <x:c r="A35" s="6" t="str">
        <x:v>19</x:v>
      </x:c>
      <x:c r="B35" s="6" t="str">
        <x:v>KEPULAUAN BANGKA BELITUNG</x:v>
      </x:c>
      <x:c r="C35" s="6" t="str">
        <x:v>2024</x:v>
      </x:c>
      <x:c r="D35" s="6" t="str">
        <x:v>1531500</x:v>
      </x:c>
      <x:c r="E35" s="6" t="str">
        <x:v>92.0</x:v>
      </x:c>
      <x:c r="F35" s="9" t="str">
        <x:v>2024-06-30</x:v>
      </x:c>
      <x:c r="G35" s="9" t="str">
        <x:v>Statistik_Indonesia_2025.pdf</x:v>
      </x:c>
      <x:c r="H35" s="9" t="str">
        <x:v>Tabel 3.1.1</x:v>
      </x:c>
      <x:c r="I35" s="8" t="str">
        <x:v>94.16</x:v>
      </x:c>
      <x:c r="J35" s="9" t="str">
        <x:v>2024 (Susenas)</x:v>
      </x:c>
      <x:c r="K35" s="9" t="str">
        <x:v>Indikator_SDGS_Kesejahteraan_Rakyat_2025.pdf</x:v>
      </x:c>
      <x:c r="L35" s="9" t="str">
        <x:v>Tabel 5.4</x:v>
      </x:c>
      <x:c r="M35" s="8" t="str">
        <x:v>4.55</x:v>
      </x:c>
      <x:c r="N35" s="9" t="str">
        <x:v>Maret 2024 (Susenas)</x:v>
      </x:c>
      <x:c r="O35" s="9" t="str">
        <x:v>Statistik_Indonesia_2025.pdf</x:v>
      </x:c>
      <x:c r="P35" s="9" t="str">
        <x:v>Tabel 4.6.2</x:v>
      </x:c>
      <x:c r="Q35" s="9" t="str">
        <x:v>Badan Pusat Statistik</x:v>
      </x:c>
      <x:c r="R35" s="9" t="str">
        <x:v>Machine extraction from official PDF table; row-count and national-total QA</x:v>
      </x:c>
    </x:row>
    <x:row r="36" ht="18" customHeight="1">
      <x:c r="A36" s="6" t="str">
        <x:v>19</x:v>
      </x:c>
      <x:c r="B36" s="6" t="str">
        <x:v>KEPULAUAN BANGKA BELITUNG</x:v>
      </x:c>
      <x:c r="C36" s="6" t="str">
        <x:v>2025</x:v>
      </x:c>
      <x:c r="D36" s="6" t="str">
        <x:v>1550800</x:v>
      </x:c>
      <x:c r="E36" s="6" t="str">
        <x:v>93.0</x:v>
      </x:c>
      <x:c r="F36" s="9" t="str">
        <x:v>2025-06-30</x:v>
      </x:c>
      <x:c r="G36" s="9" t="str">
        <x:v>Statistik_Indonesia_2025.pdf</x:v>
      </x:c>
      <x:c r="H36" s="9" t="str">
        <x:v>Tabel 3.1.1</x:v>
      </x:c>
      <x:c r="I36" s="8" t="str">
        <x:v>96.45</x:v>
      </x:c>
      <x:c r="J36" s="9" t="str">
        <x:v>2025 (Susenas)</x:v>
      </x:c>
      <x:c r="K36" s="9" t="str">
        <x:v>Indikator_SDGS_Kesejahteraan_Rakyat_2025.pdf</x:v>
      </x:c>
      <x:c r="L36" s="9" t="str">
        <x:v>Tabel 5.4</x:v>
      </x:c>
      <x:c r="M36" s="8" t="str">
        <x:v>5.0</x:v>
      </x:c>
      <x:c r="N36" s="9" t="str">
        <x:v>Maret 2025 (Susenas)</x:v>
      </x:c>
      <x:c r="O36" s="9" t="str">
        <x:v>Penghitungan_dan_Analisis_Kemiskinan_Makro_2025.pdf</x:v>
      </x:c>
      <x:c r="P36" s="9" t="str">
        <x:v>Tabel 2.5</x:v>
      </x:c>
      <x:c r="Q36" s="9" t="str">
        <x:v>Badan Pusat Statistik</x:v>
      </x:c>
      <x:c r="R36" s="9" t="str">
        <x:v>Machine extraction from official PDF table; row-count and national-total QA</x:v>
      </x:c>
    </x:row>
    <x:row r="37" ht="18" customHeight="1">
      <x:c r="A37" s="6" t="str">
        <x:v>19</x:v>
      </x:c>
      <x:c r="B37" s="6" t="str">
        <x:v>KEPULAUAN BANGKA BELITUNG</x:v>
      </x:c>
      <x:c r="C37" s="6" t="str">
        <x:v>2026</x:v>
      </x:c>
      <x:c r="D37" s="6" t="str">
        <x:v>1569700</x:v>
      </x:c>
      <x:c r="E37" s="6" t="str">
        <x:v>94.0</x:v>
      </x:c>
      <x:c r="F37" s="9" t="str">
        <x:v>2026-06-30</x:v>
      </x:c>
      <x:c r="G37" s="9" t="str">
        <x:v>Statistik_Indonesia_2026.pdf</x:v>
      </x:c>
      <x:c r="H37" s="9" t="str">
        <x:v>Tabel 3.1.1</x:v>
      </x:c>
      <x:c r="I37" s="8" t="str"/>
      <x:c r="J37" s="9" t="str"/>
      <x:c r="K37" s="9" t="str"/>
      <x:c r="L37" s="9" t="str"/>
      <x:c r="M37" s="8" t="str"/>
      <x:c r="N37" s="9" t="str"/>
      <x:c r="O37" s="9" t="str"/>
      <x:c r="P37" s="9" t="str"/>
      <x:c r="Q37" s="9" t="str">
        <x:v>Badan Pusat Statistik</x:v>
      </x:c>
      <x:c r="R37" s="9" t="str">
        <x:v>Machine extraction from official PDF table; row-count and national-total QA</x:v>
      </x:c>
    </x:row>
    <x:row r="38" ht="18" customHeight="1">
      <x:c r="A38" s="6" t="str">
        <x:v>21</x:v>
      </x:c>
      <x:c r="B38" s="6" t="str">
        <x:v>KEPULAUAN RIAU</x:v>
      </x:c>
      <x:c r="C38" s="6" t="str">
        <x:v>2023</x:v>
      </x:c>
      <x:c r="D38" s="6" t="str">
        <x:v>2152600</x:v>
      </x:c>
      <x:c r="E38" s="6" t="str">
        <x:v>260.0</x:v>
      </x:c>
      <x:c r="F38" s="9" t="str">
        <x:v>2023-06-30</x:v>
      </x:c>
      <x:c r="G38" s="9" t="str">
        <x:v>Statistik_Indonesia_2024.pdf</x:v>
      </x:c>
      <x:c r="H38" s="9" t="str">
        <x:v>Tabel 3.1.1</x:v>
      </x:c>
      <x:c r="I38" s="8" t="str">
        <x:v>91.1</x:v>
      </x:c>
      <x:c r="J38" s="9" t="str">
        <x:v>2023 (Susenas)</x:v>
      </x:c>
      <x:c r="K38" s="9" t="str">
        <x:v>Indikator_SDGS_Kesejahteraan_Rakyat_2025.pdf</x:v>
      </x:c>
      <x:c r="L38" s="9" t="str">
        <x:v>Tabel 5.4</x:v>
      </x:c>
      <x:c r="M38" s="8" t="str"/>
      <x:c r="N38" s="9" t="str"/>
      <x:c r="O38" s="9" t="str"/>
      <x:c r="P38" s="9" t="str"/>
      <x:c r="Q38" s="9" t="str">
        <x:v>Badan Pusat Statistik</x:v>
      </x:c>
      <x:c r="R38" s="9" t="str">
        <x:v>Machine extraction from official PDF table; row-count and national-total QA</x:v>
      </x:c>
    </x:row>
    <x:row r="39" ht="18" customHeight="1">
      <x:c r="A39" s="6" t="str">
        <x:v>21</x:v>
      </x:c>
      <x:c r="B39" s="6" t="str">
        <x:v>KEPULAUAN RIAU</x:v>
      </x:c>
      <x:c r="C39" s="6" t="str">
        <x:v>2024</x:v>
      </x:c>
      <x:c r="D39" s="6" t="str">
        <x:v>2183300</x:v>
      </x:c>
      <x:c r="E39" s="6" t="str">
        <x:v>264.0</x:v>
      </x:c>
      <x:c r="F39" s="9" t="str">
        <x:v>2024-06-30</x:v>
      </x:c>
      <x:c r="G39" s="9" t="str">
        <x:v>Statistik_Indonesia_2025.pdf</x:v>
      </x:c>
      <x:c r="H39" s="9" t="str">
        <x:v>Tabel 3.1.1</x:v>
      </x:c>
      <x:c r="I39" s="8" t="str">
        <x:v>91.23</x:v>
      </x:c>
      <x:c r="J39" s="9" t="str">
        <x:v>2024 (Susenas)</x:v>
      </x:c>
      <x:c r="K39" s="9" t="str">
        <x:v>Indikator_SDGS_Kesejahteraan_Rakyat_2025.pdf</x:v>
      </x:c>
      <x:c r="L39" s="9" t="str">
        <x:v>Tabel 5.4</x:v>
      </x:c>
      <x:c r="M39" s="8" t="str">
        <x:v>5.37</x:v>
      </x:c>
      <x:c r="N39" s="9" t="str">
        <x:v>Maret 2024 (Susenas)</x:v>
      </x:c>
      <x:c r="O39" s="9" t="str">
        <x:v>Statistik_Indonesia_2025.pdf</x:v>
      </x:c>
      <x:c r="P39" s="9" t="str">
        <x:v>Tabel 4.6.2</x:v>
      </x:c>
      <x:c r="Q39" s="9" t="str">
        <x:v>Badan Pusat Statistik</x:v>
      </x:c>
      <x:c r="R39" s="9" t="str">
        <x:v>Machine extraction from official PDF table; row-count and national-total QA</x:v>
      </x:c>
    </x:row>
    <x:row r="40" ht="18" customHeight="1">
      <x:c r="A40" s="6" t="str">
        <x:v>21</x:v>
      </x:c>
      <x:c r="B40" s="6" t="str">
        <x:v>KEPULAUAN RIAU</x:v>
      </x:c>
      <x:c r="C40" s="6" t="str">
        <x:v>2025</x:v>
      </x:c>
      <x:c r="D40" s="6" t="str">
        <x:v>2213500</x:v>
      </x:c>
      <x:c r="E40" s="6" t="str">
        <x:v>268.0</x:v>
      </x:c>
      <x:c r="F40" s="9" t="str">
        <x:v>2025-06-30</x:v>
      </x:c>
      <x:c r="G40" s="9" t="str">
        <x:v>Statistik_Indonesia_2025.pdf</x:v>
      </x:c>
      <x:c r="H40" s="9" t="str">
        <x:v>Tabel 3.1.1</x:v>
      </x:c>
      <x:c r="I40" s="8" t="str">
        <x:v>90.96</x:v>
      </x:c>
      <x:c r="J40" s="9" t="str">
        <x:v>2025 (Susenas)</x:v>
      </x:c>
      <x:c r="K40" s="9" t="str">
        <x:v>Indikator_SDGS_Kesejahteraan_Rakyat_2025.pdf</x:v>
      </x:c>
      <x:c r="L40" s="9" t="str">
        <x:v>Tabel 5.4</x:v>
      </x:c>
      <x:c r="M40" s="8" t="str">
        <x:v>4.44</x:v>
      </x:c>
      <x:c r="N40" s="9" t="str">
        <x:v>Maret 2025 (Susenas)</x:v>
      </x:c>
      <x:c r="O40" s="9" t="str">
        <x:v>Penghitungan_dan_Analisis_Kemiskinan_Makro_2025.pdf</x:v>
      </x:c>
      <x:c r="P40" s="9" t="str">
        <x:v>Tabel 2.5</x:v>
      </x:c>
      <x:c r="Q40" s="9" t="str">
        <x:v>Badan Pusat Statistik</x:v>
      </x:c>
      <x:c r="R40" s="9" t="str">
        <x:v>Machine extraction from official PDF table; row-count and national-total QA</x:v>
      </x:c>
    </x:row>
    <x:row r="41" ht="18" customHeight="1">
      <x:c r="A41" s="6" t="str">
        <x:v>21</x:v>
      </x:c>
      <x:c r="B41" s="6" t="str">
        <x:v>KEPULAUAN RIAU</x:v>
      </x:c>
      <x:c r="C41" s="6" t="str">
        <x:v>2026</x:v>
      </x:c>
      <x:c r="D41" s="6" t="str">
        <x:v>2243100</x:v>
      </x:c>
      <x:c r="E41" s="6" t="str">
        <x:v>275.0</x:v>
      </x:c>
      <x:c r="F41" s="9" t="str">
        <x:v>2026-06-30</x:v>
      </x:c>
      <x:c r="G41" s="9" t="str">
        <x:v>Statistik_Indonesia_2026.pdf</x:v>
      </x:c>
      <x:c r="H41" s="9" t="str">
        <x:v>Tabel 3.1.1</x:v>
      </x:c>
      <x:c r="I41" s="8" t="str"/>
      <x:c r="J41" s="9" t="str"/>
      <x:c r="K41" s="9" t="str"/>
      <x:c r="L41" s="9" t="str"/>
      <x:c r="M41" s="8" t="str"/>
      <x:c r="N41" s="9" t="str"/>
      <x:c r="O41" s="9" t="str"/>
      <x:c r="P41" s="9" t="str"/>
      <x:c r="Q41" s="9" t="str">
        <x:v>Badan Pusat Statistik</x:v>
      </x:c>
      <x:c r="R41" s="9" t="str">
        <x:v>Machine extraction from official PDF table; row-count and national-total QA</x:v>
      </x:c>
    </x:row>
    <x:row r="42" ht="18" customHeight="1">
      <x:c r="A42" s="6" t="str">
        <x:v>31</x:v>
      </x:c>
      <x:c r="B42" s="6" t="str">
        <x:v>DKI JAKARTA</x:v>
      </x:c>
      <x:c r="C42" s="6" t="str">
        <x:v>2023</x:v>
      </x:c>
      <x:c r="D42" s="6" t="str">
        <x:v>10672100</x:v>
      </x:c>
      <x:c r="E42" s="6" t="str">
        <x:v>16146.0</x:v>
      </x:c>
      <x:c r="F42" s="9" t="str">
        <x:v>2023-06-30</x:v>
      </x:c>
      <x:c r="G42" s="9" t="str">
        <x:v>Statistik_Indonesia_2024.pdf</x:v>
      </x:c>
      <x:c r="H42" s="9" t="str">
        <x:v>Tabel 3.1.1</x:v>
      </x:c>
      <x:c r="I42" s="8" t="str">
        <x:v>93.5</x:v>
      </x:c>
      <x:c r="J42" s="9" t="str">
        <x:v>2023 (Susenas)</x:v>
      </x:c>
      <x:c r="K42" s="9" t="str">
        <x:v>Indikator_SDGS_Kesejahteraan_Rakyat_2025.pdf</x:v>
      </x:c>
      <x:c r="L42" s="9" t="str">
        <x:v>Tabel 5.4</x:v>
      </x:c>
      <x:c r="M42" s="8" t="str"/>
      <x:c r="N42" s="9" t="str"/>
      <x:c r="O42" s="9" t="str"/>
      <x:c r="P42" s="9" t="str"/>
      <x:c r="Q42" s="9" t="str">
        <x:v>Badan Pusat Statistik</x:v>
      </x:c>
      <x:c r="R42" s="9" t="str">
        <x:v>Machine extraction from official PDF table; row-count and national-total QA</x:v>
      </x:c>
    </x:row>
    <x:row r="43" ht="18" customHeight="1">
      <x:c r="A43" s="6" t="str">
        <x:v>31</x:v>
      </x:c>
      <x:c r="B43" s="6" t="str">
        <x:v>DKI JAKARTA</x:v>
      </x:c>
      <x:c r="C43" s="6" t="str">
        <x:v>2024</x:v>
      </x:c>
      <x:c r="D43" s="6" t="str">
        <x:v>10684900</x:v>
      </x:c>
      <x:c r="E43" s="6" t="str">
        <x:v>16165.0</x:v>
      </x:c>
      <x:c r="F43" s="9" t="str">
        <x:v>2024-06-30</x:v>
      </x:c>
      <x:c r="G43" s="9" t="str">
        <x:v>Statistik_Indonesia_2025.pdf</x:v>
      </x:c>
      <x:c r="H43" s="9" t="str">
        <x:v>Tabel 3.1.1</x:v>
      </x:c>
      <x:c r="I43" s="8" t="str">
        <x:v>94.0</x:v>
      </x:c>
      <x:c r="J43" s="9" t="str">
        <x:v>2024 (Susenas)</x:v>
      </x:c>
      <x:c r="K43" s="9" t="str">
        <x:v>Indikator_SDGS_Kesejahteraan_Rakyat_2025.pdf</x:v>
      </x:c>
      <x:c r="L43" s="9" t="str">
        <x:v>Tabel 5.4</x:v>
      </x:c>
      <x:c r="M43" s="8" t="str">
        <x:v>4.3</x:v>
      </x:c>
      <x:c r="N43" s="9" t="str">
        <x:v>Maret 2024 (Susenas)</x:v>
      </x:c>
      <x:c r="O43" s="9" t="str">
        <x:v>Statistik_Indonesia_2025.pdf</x:v>
      </x:c>
      <x:c r="P43" s="9" t="str">
        <x:v>Tabel 4.6.2</x:v>
      </x:c>
      <x:c r="Q43" s="9" t="str">
        <x:v>Badan Pusat Statistik</x:v>
      </x:c>
      <x:c r="R43" s="9" t="str">
        <x:v>Machine extraction from official PDF table; row-count and national-total QA</x:v>
      </x:c>
    </x:row>
    <x:row r="44" ht="18" customHeight="1">
      <x:c r="A44" s="6" t="str">
        <x:v>31</x:v>
      </x:c>
      <x:c r="B44" s="6" t="str">
        <x:v>DKI JAKARTA</x:v>
      </x:c>
      <x:c r="C44" s="6" t="str">
        <x:v>2025</x:v>
      </x:c>
      <x:c r="D44" s="6" t="str">
        <x:v>10678000</x:v>
      </x:c>
      <x:c r="E44" s="6" t="str">
        <x:v>16155.0</x:v>
      </x:c>
      <x:c r="F44" s="9" t="str">
        <x:v>2025-06-30</x:v>
      </x:c>
      <x:c r="G44" s="9" t="str">
        <x:v>Statistik_Indonesia_2025.pdf</x:v>
      </x:c>
      <x:c r="H44" s="9" t="str">
        <x:v>Tabel 3.1.1</x:v>
      </x:c>
      <x:c r="I44" s="8" t="str">
        <x:v>93.98</x:v>
      </x:c>
      <x:c r="J44" s="9" t="str">
        <x:v>2025 (Susenas)</x:v>
      </x:c>
      <x:c r="K44" s="9" t="str">
        <x:v>Indikator_SDGS_Kesejahteraan_Rakyat_2025.pdf</x:v>
      </x:c>
      <x:c r="L44" s="9" t="str">
        <x:v>Tabel 5.4</x:v>
      </x:c>
      <x:c r="M44" s="8" t="str">
        <x:v>808.26</x:v>
      </x:c>
      <x:c r="N44" s="9" t="str">
        <x:v>Maret 2025 (Susenas)</x:v>
      </x:c>
      <x:c r="O44" s="9" t="str">
        <x:v>Penghitungan_dan_Analisis_Kemiskinan_Makro_2025.pdf</x:v>
      </x:c>
      <x:c r="P44" s="9" t="str">
        <x:v>Tabel 2.5</x:v>
      </x:c>
      <x:c r="Q44" s="9" t="str">
        <x:v>Badan Pusat Statistik</x:v>
      </x:c>
      <x:c r="R44" s="9" t="str">
        <x:v>Machine extraction from official PDF table; row-count and national-total QA</x:v>
      </x:c>
    </x:row>
    <x:row r="45" ht="18" customHeight="1">
      <x:c r="A45" s="6" t="str">
        <x:v>31</x:v>
      </x:c>
      <x:c r="B45" s="6" t="str">
        <x:v>DKI JAKARTA</x:v>
      </x:c>
      <x:c r="C45" s="6" t="str">
        <x:v>2026</x:v>
      </x:c>
      <x:c r="D45" s="6" t="str">
        <x:v>10669700</x:v>
      </x:c>
      <x:c r="E45" s="6" t="str">
        <x:v>16129.0</x:v>
      </x:c>
      <x:c r="F45" s="9" t="str">
        <x:v>2026-06-30</x:v>
      </x:c>
      <x:c r="G45" s="9" t="str">
        <x:v>Statistik_Indonesia_2026.pdf</x:v>
      </x:c>
      <x:c r="H45" s="9" t="str">
        <x:v>Tabel 3.1.1</x:v>
      </x:c>
      <x:c r="I45" s="8" t="str"/>
      <x:c r="J45" s="9" t="str"/>
      <x:c r="K45" s="9" t="str"/>
      <x:c r="L45" s="9" t="str"/>
      <x:c r="M45" s="8" t="str"/>
      <x:c r="N45" s="9" t="str"/>
      <x:c r="O45" s="9" t="str"/>
      <x:c r="P45" s="9" t="str"/>
      <x:c r="Q45" s="9" t="str">
        <x:v>Badan Pusat Statistik</x:v>
      </x:c>
      <x:c r="R45" s="9" t="str">
        <x:v>Machine extraction from official PDF table; row-count and national-total QA</x:v>
      </x:c>
    </x:row>
    <x:row r="46" ht="18" customHeight="1">
      <x:c r="A46" s="6" t="str">
        <x:v>32</x:v>
      </x:c>
      <x:c r="B46" s="6" t="str">
        <x:v>JAWA BARAT</x:v>
      </x:c>
      <x:c r="C46" s="6" t="str">
        <x:v>2023</x:v>
      </x:c>
      <x:c r="D46" s="6" t="str">
        <x:v>49860300</x:v>
      </x:c>
      <x:c r="E46" s="6" t="str">
        <x:v>1346.0</x:v>
      </x:c>
      <x:c r="F46" s="9" t="str">
        <x:v>2023-06-30</x:v>
      </x:c>
      <x:c r="G46" s="9" t="str">
        <x:v>Statistik_Indonesia_2024.pdf</x:v>
      </x:c>
      <x:c r="H46" s="9" t="str">
        <x:v>Tabel 3.1.1</x:v>
      </x:c>
      <x:c r="I46" s="8" t="str">
        <x:v>74.88</x:v>
      </x:c>
      <x:c r="J46" s="9" t="str">
        <x:v>2023 (Susenas)</x:v>
      </x:c>
      <x:c r="K46" s="9" t="str">
        <x:v>Indikator_SDGS_Kesejahteraan_Rakyat_2025.pdf</x:v>
      </x:c>
      <x:c r="L46" s="9" t="str">
        <x:v>Tabel 5.4</x:v>
      </x:c>
      <x:c r="M46" s="8" t="str"/>
      <x:c r="N46" s="9" t="str"/>
      <x:c r="O46" s="9" t="str"/>
      <x:c r="P46" s="9" t="str"/>
      <x:c r="Q46" s="9" t="str">
        <x:v>Badan Pusat Statistik</x:v>
      </x:c>
      <x:c r="R46" s="9" t="str">
        <x:v>Machine extraction from official PDF table; row-count and national-total QA</x:v>
      </x:c>
    </x:row>
    <x:row r="47" ht="18" customHeight="1">
      <x:c r="A47" s="6" t="str">
        <x:v>32</x:v>
      </x:c>
      <x:c r="B47" s="6" t="str">
        <x:v>JAWA BARAT</x:v>
      </x:c>
      <x:c r="C47" s="6" t="str">
        <x:v>2024</x:v>
      </x:c>
      <x:c r="D47" s="6" t="str">
        <x:v>50345200</x:v>
      </x:c>
      <x:c r="E47" s="6" t="str">
        <x:v>1359.0</x:v>
      </x:c>
      <x:c r="F47" s="9" t="str">
        <x:v>2024-06-30</x:v>
      </x:c>
      <x:c r="G47" s="9" t="str">
        <x:v>Statistik_Indonesia_2025.pdf</x:v>
      </x:c>
      <x:c r="H47" s="9" t="str">
        <x:v>Tabel 3.1.1</x:v>
      </x:c>
      <x:c r="I47" s="8" t="str">
        <x:v>75.1</x:v>
      </x:c>
      <x:c r="J47" s="9" t="str">
        <x:v>2024 (Susenas)</x:v>
      </x:c>
      <x:c r="K47" s="9" t="str">
        <x:v>Indikator_SDGS_Kesejahteraan_Rakyat_2025.pdf</x:v>
      </x:c>
      <x:c r="L47" s="9" t="str">
        <x:v>Tabel 5.4</x:v>
      </x:c>
      <x:c r="M47" s="8" t="str">
        <x:v>7.46</x:v>
      </x:c>
      <x:c r="N47" s="9" t="str">
        <x:v>Maret 2024 (Susenas)</x:v>
      </x:c>
      <x:c r="O47" s="9" t="str">
        <x:v>Statistik_Indonesia_2025.pdf</x:v>
      </x:c>
      <x:c r="P47" s="9" t="str">
        <x:v>Tabel 4.6.2</x:v>
      </x:c>
      <x:c r="Q47" s="9" t="str">
        <x:v>Badan Pusat Statistik</x:v>
      </x:c>
      <x:c r="R47" s="9" t="str">
        <x:v>Machine extraction from official PDF table; row-count and national-total QA</x:v>
      </x:c>
    </x:row>
    <x:row r="48" ht="18" customHeight="1">
      <x:c r="A48" s="6" t="str">
        <x:v>32</x:v>
      </x:c>
      <x:c r="B48" s="6" t="str">
        <x:v>JAWA BARAT</x:v>
      </x:c>
      <x:c r="C48" s="6" t="str">
        <x:v>2025</x:v>
      </x:c>
      <x:c r="D48" s="6" t="str">
        <x:v>50759000</x:v>
      </x:c>
      <x:c r="E48" s="6" t="str">
        <x:v>1370.0</x:v>
      </x:c>
      <x:c r="F48" s="9" t="str">
        <x:v>2025-06-30</x:v>
      </x:c>
      <x:c r="G48" s="9" t="str">
        <x:v>Statistik_Indonesia_2025.pdf</x:v>
      </x:c>
      <x:c r="H48" s="9" t="str">
        <x:v>Tabel 3.1.1</x:v>
      </x:c>
      <x:c r="I48" s="8" t="str">
        <x:v>76.2</x:v>
      </x:c>
      <x:c r="J48" s="9" t="str">
        <x:v>2025 (Susenas)</x:v>
      </x:c>
      <x:c r="K48" s="9" t="str">
        <x:v>Indikator_SDGS_Kesejahteraan_Rakyat_2025.pdf</x:v>
      </x:c>
      <x:c r="L48" s="9" t="str">
        <x:v>Tabel 5.4</x:v>
      </x:c>
      <x:c r="M48" s="8" t="str">
        <x:v>7.02</x:v>
      </x:c>
      <x:c r="N48" s="9" t="str">
        <x:v>Maret 2025 (Susenas)</x:v>
      </x:c>
      <x:c r="O48" s="9" t="str">
        <x:v>Penghitungan_dan_Analisis_Kemiskinan_Makro_2025.pdf</x:v>
      </x:c>
      <x:c r="P48" s="9" t="str">
        <x:v>Tabel 2.5</x:v>
      </x:c>
      <x:c r="Q48" s="9" t="str">
        <x:v>Badan Pusat Statistik</x:v>
      </x:c>
      <x:c r="R48" s="9" t="str">
        <x:v>Machine extraction from official PDF table; row-count and national-total QA</x:v>
      </x:c>
    </x:row>
    <x:row r="49" ht="18" customHeight="1">
      <x:c r="A49" s="6" t="str">
        <x:v>32</x:v>
      </x:c>
      <x:c r="B49" s="6" t="str">
        <x:v>JAWA BARAT</x:v>
      </x:c>
      <x:c r="C49" s="6" t="str">
        <x:v>2026</x:v>
      </x:c>
      <x:c r="D49" s="6" t="str">
        <x:v>51163900</x:v>
      </x:c>
      <x:c r="E49" s="6" t="str">
        <x:v>1381.0</x:v>
      </x:c>
      <x:c r="F49" s="9" t="str">
        <x:v>2026-06-30</x:v>
      </x:c>
      <x:c r="G49" s="9" t="str">
        <x:v>Statistik_Indonesia_2026.pdf</x:v>
      </x:c>
      <x:c r="H49" s="9" t="str">
        <x:v>Tabel 3.1.1</x:v>
      </x:c>
      <x:c r="I49" s="8" t="str"/>
      <x:c r="J49" s="9" t="str"/>
      <x:c r="K49" s="9" t="str"/>
      <x:c r="L49" s="9" t="str"/>
      <x:c r="M49" s="8" t="str"/>
      <x:c r="N49" s="9" t="str"/>
      <x:c r="O49" s="9" t="str"/>
      <x:c r="P49" s="9" t="str"/>
      <x:c r="Q49" s="9" t="str">
        <x:v>Badan Pusat Statistik</x:v>
      </x:c>
      <x:c r="R49" s="9" t="str">
        <x:v>Machine extraction from official PDF table; row-count and national-total QA</x:v>
      </x:c>
    </x:row>
    <x:row r="50" ht="18" customHeight="1">
      <x:c r="A50" s="6" t="str">
        <x:v>33</x:v>
      </x:c>
      <x:c r="B50" s="6" t="str">
        <x:v>JAWA TENGAH</x:v>
      </x:c>
      <x:c r="C50" s="6" t="str">
        <x:v>2023</x:v>
      </x:c>
      <x:c r="D50" s="6" t="str">
        <x:v>37541000</x:v>
      </x:c>
      <x:c r="E50" s="6" t="str">
        <x:v>1093.0</x:v>
      </x:c>
      <x:c r="F50" s="9" t="str">
        <x:v>2023-06-30</x:v>
      </x:c>
      <x:c r="G50" s="9" t="str">
        <x:v>Statistik_Indonesia_2024.pdf</x:v>
      </x:c>
      <x:c r="H50" s="9" t="str">
        <x:v>Tabel 3.1.1</x:v>
      </x:c>
      <x:c r="I50" s="8" t="str">
        <x:v>85.2</x:v>
      </x:c>
      <x:c r="J50" s="9" t="str">
        <x:v>2023 (Susenas)</x:v>
      </x:c>
      <x:c r="K50" s="9" t="str">
        <x:v>Indikator_SDGS_Kesejahteraan_Rakyat_2025.pdf</x:v>
      </x:c>
      <x:c r="L50" s="9" t="str">
        <x:v>Tabel 5.4</x:v>
      </x:c>
      <x:c r="M50" s="8" t="str"/>
      <x:c r="N50" s="9" t="str"/>
      <x:c r="O50" s="9" t="str"/>
      <x:c r="P50" s="9" t="str"/>
      <x:c r="Q50" s="9" t="str">
        <x:v>Badan Pusat Statistik</x:v>
      </x:c>
      <x:c r="R50" s="9" t="str">
        <x:v>Machine extraction from official PDF table; row-count and national-total QA</x:v>
      </x:c>
    </x:row>
    <x:row r="51" ht="18" customHeight="1">
      <x:c r="A51" s="6" t="str">
        <x:v>33</x:v>
      </x:c>
      <x:c r="B51" s="6" t="str">
        <x:v>JAWA TENGAH</x:v>
      </x:c>
      <x:c r="C51" s="6" t="str">
        <x:v>2024</x:v>
      </x:c>
      <x:c r="D51" s="6" t="str">
        <x:v>37892300</x:v>
      </x:c>
      <x:c r="E51" s="6" t="str">
        <x:v>1104.0</x:v>
      </x:c>
      <x:c r="F51" s="9" t="str">
        <x:v>2024-06-30</x:v>
      </x:c>
      <x:c r="G51" s="9" t="str">
        <x:v>Statistik_Indonesia_2025.pdf</x:v>
      </x:c>
      <x:c r="H51" s="9" t="str">
        <x:v>Tabel 3.1.1</x:v>
      </x:c>
      <x:c r="I51" s="8" t="str">
        <x:v>86.7</x:v>
      </x:c>
      <x:c r="J51" s="9" t="str">
        <x:v>2024 (Susenas)</x:v>
      </x:c>
      <x:c r="K51" s="9" t="str">
        <x:v>Indikator_SDGS_Kesejahteraan_Rakyat_2025.pdf</x:v>
      </x:c>
      <x:c r="L51" s="9" t="str">
        <x:v>Tabel 5.4</x:v>
      </x:c>
      <x:c r="M51" s="8" t="str">
        <x:v>10.47</x:v>
      </x:c>
      <x:c r="N51" s="9" t="str">
        <x:v>Maret 2024 (Susenas)</x:v>
      </x:c>
      <x:c r="O51" s="9" t="str">
        <x:v>Statistik_Indonesia_2025.pdf</x:v>
      </x:c>
      <x:c r="P51" s="9" t="str">
        <x:v>Tabel 4.6.2</x:v>
      </x:c>
      <x:c r="Q51" s="9" t="str">
        <x:v>Badan Pusat Statistik</x:v>
      </x:c>
      <x:c r="R51" s="9" t="str">
        <x:v>Machine extraction from official PDF table; row-count and national-total QA</x:v>
      </x:c>
    </x:row>
    <x:row r="52" ht="18" customHeight="1">
      <x:c r="A52" s="6" t="str">
        <x:v>33</x:v>
      </x:c>
      <x:c r="B52" s="6" t="str">
        <x:v>JAWA TENGAH</x:v>
      </x:c>
      <x:c r="C52" s="6" t="str">
        <x:v>2025</x:v>
      </x:c>
      <x:c r="D52" s="6" t="str">
        <x:v>38233900</x:v>
      </x:c>
      <x:c r="E52" s="6" t="str">
        <x:v>1113.0</x:v>
      </x:c>
      <x:c r="F52" s="9" t="str">
        <x:v>2025-06-30</x:v>
      </x:c>
      <x:c r="G52" s="9" t="str">
        <x:v>Statistik_Indonesia_2025.pdf</x:v>
      </x:c>
      <x:c r="H52" s="9" t="str">
        <x:v>Tabel 3.1.1</x:v>
      </x:c>
      <x:c r="I52" s="8" t="str">
        <x:v>87.5</x:v>
      </x:c>
      <x:c r="J52" s="9" t="str">
        <x:v>2025 (Susenas)</x:v>
      </x:c>
      <x:c r="K52" s="9" t="str">
        <x:v>Indikator_SDGS_Kesejahteraan_Rakyat_2025.pdf</x:v>
      </x:c>
      <x:c r="L52" s="9" t="str">
        <x:v>Tabel 5.4</x:v>
      </x:c>
      <x:c r="M52" s="8" t="str">
        <x:v>9.48</x:v>
      </x:c>
      <x:c r="N52" s="9" t="str">
        <x:v>Maret 2025 (Susenas)</x:v>
      </x:c>
      <x:c r="O52" s="9" t="str">
        <x:v>Penghitungan_dan_Analisis_Kemiskinan_Makro_2025.pdf</x:v>
      </x:c>
      <x:c r="P52" s="9" t="str">
        <x:v>Tabel 2.5</x:v>
      </x:c>
      <x:c r="Q52" s="9" t="str">
        <x:v>Badan Pusat Statistik</x:v>
      </x:c>
      <x:c r="R52" s="9" t="str">
        <x:v>Machine extraction from official PDF table; row-count and national-total QA</x:v>
      </x:c>
    </x:row>
    <x:row r="53" ht="18" customHeight="1">
      <x:c r="A53" s="6" t="str">
        <x:v>33</x:v>
      </x:c>
      <x:c r="B53" s="6" t="str">
        <x:v>JAWA TENGAH</x:v>
      </x:c>
      <x:c r="C53" s="6" t="str">
        <x:v>2026</x:v>
      </x:c>
      <x:c r="D53" s="6" t="str">
        <x:v>38565000</x:v>
      </x:c>
      <x:c r="E53" s="6" t="str">
        <x:v>1123.0</x:v>
      </x:c>
      <x:c r="F53" s="9" t="str">
        <x:v>2026-06-30</x:v>
      </x:c>
      <x:c r="G53" s="9" t="str">
        <x:v>Statistik_Indonesia_2026.pdf</x:v>
      </x:c>
      <x:c r="H53" s="9" t="str">
        <x:v>Tabel 3.1.1</x:v>
      </x:c>
      <x:c r="I53" s="8" t="str"/>
      <x:c r="J53" s="9" t="str"/>
      <x:c r="K53" s="9" t="str"/>
      <x:c r="L53" s="9" t="str"/>
      <x:c r="M53" s="8" t="str"/>
      <x:c r="N53" s="9" t="str"/>
      <x:c r="O53" s="9" t="str"/>
      <x:c r="P53" s="9" t="str"/>
      <x:c r="Q53" s="9" t="str">
        <x:v>Badan Pusat Statistik</x:v>
      </x:c>
      <x:c r="R53" s="9" t="str">
        <x:v>Machine extraction from official PDF table; row-count and national-total QA</x:v>
      </x:c>
    </x:row>
    <x:row r="54" ht="18" customHeight="1">
      <x:c r="A54" s="6" t="str">
        <x:v>34</x:v>
      </x:c>
      <x:c r="B54" s="6" t="str">
        <x:v>DI YOGYAKARTA</x:v>
      </x:c>
      <x:c r="C54" s="6" t="str">
        <x:v>2023</x:v>
      </x:c>
      <x:c r="D54" s="6" t="str">
        <x:v>3736500</x:v>
      </x:c>
      <x:c r="E54" s="6" t="str">
        <x:v>1178.0</x:v>
      </x:c>
      <x:c r="F54" s="9" t="str">
        <x:v>2023-06-30</x:v>
      </x:c>
      <x:c r="G54" s="9" t="str">
        <x:v>Statistik_Indonesia_2024.pdf</x:v>
      </x:c>
      <x:c r="H54" s="9" t="str">
        <x:v>Tabel 3.1.1</x:v>
      </x:c>
      <x:c r="I54" s="8" t="str">
        <x:v>96.4</x:v>
      </x:c>
      <x:c r="J54" s="9" t="str">
        <x:v>2023 (Susenas)</x:v>
      </x:c>
      <x:c r="K54" s="9" t="str">
        <x:v>Indikator_SDGS_Kesejahteraan_Rakyat_2025.pdf</x:v>
      </x:c>
      <x:c r="L54" s="9" t="str">
        <x:v>Tabel 5.4</x:v>
      </x:c>
      <x:c r="M54" s="8" t="str"/>
      <x:c r="N54" s="9" t="str"/>
      <x:c r="O54" s="9" t="str"/>
      <x:c r="P54" s="9" t="str"/>
      <x:c r="Q54" s="9" t="str">
        <x:v>Badan Pusat Statistik</x:v>
      </x:c>
      <x:c r="R54" s="9" t="str">
        <x:v>Machine extraction from official PDF table; row-count and national-total QA</x:v>
      </x:c>
    </x:row>
    <x:row r="55" ht="18" customHeight="1">
      <x:c r="A55" s="6" t="str">
        <x:v>34</x:v>
      </x:c>
      <x:c r="B55" s="6" t="str">
        <x:v>DI YOGYAKARTA</x:v>
      </x:c>
      <x:c r="C55" s="6" t="str">
        <x:v>2024</x:v>
      </x:c>
      <x:c r="D55" s="6" t="str">
        <x:v>3759500</x:v>
      </x:c>
      <x:c r="E55" s="6" t="str">
        <x:v>1186.0</x:v>
      </x:c>
      <x:c r="F55" s="9" t="str">
        <x:v>2024-06-30</x:v>
      </x:c>
      <x:c r="G55" s="9" t="str">
        <x:v>Statistik_Indonesia_2025.pdf</x:v>
      </x:c>
      <x:c r="H55" s="9" t="str">
        <x:v>Tabel 3.1.1</x:v>
      </x:c>
      <x:c r="I55" s="8" t="str">
        <x:v>96.7</x:v>
      </x:c>
      <x:c r="J55" s="9" t="str">
        <x:v>2024 (Susenas)</x:v>
      </x:c>
      <x:c r="K55" s="9" t="str">
        <x:v>Indikator_SDGS_Kesejahteraan_Rakyat_2025.pdf</x:v>
      </x:c>
      <x:c r="L55" s="9" t="str">
        <x:v>Tabel 5.4</x:v>
      </x:c>
      <x:c r="M55" s="8" t="str">
        <x:v>10.83</x:v>
      </x:c>
      <x:c r="N55" s="9" t="str">
        <x:v>Maret 2024 (Susenas)</x:v>
      </x:c>
      <x:c r="O55" s="9" t="str">
        <x:v>Statistik_Indonesia_2025.pdf</x:v>
      </x:c>
      <x:c r="P55" s="9" t="str">
        <x:v>Tabel 4.6.2</x:v>
      </x:c>
      <x:c r="Q55" s="9" t="str">
        <x:v>Badan Pusat Statistik</x:v>
      </x:c>
      <x:c r="R55" s="9" t="str">
        <x:v>Machine extraction from official PDF table; row-count and national-total QA</x:v>
      </x:c>
    </x:row>
    <x:row r="56" ht="18" customHeight="1">
      <x:c r="A56" s="6" t="str">
        <x:v>34</x:v>
      </x:c>
      <x:c r="B56" s="6" t="str">
        <x:v>DI YOGYAKARTA</x:v>
      </x:c>
      <x:c r="C56" s="6" t="str">
        <x:v>2025</x:v>
      </x:c>
      <x:c r="D56" s="6" t="str">
        <x:v>3781500</x:v>
      </x:c>
      <x:c r="E56" s="6" t="str">
        <x:v>1193.0</x:v>
      </x:c>
      <x:c r="F56" s="9" t="str">
        <x:v>2025-06-30</x:v>
      </x:c>
      <x:c r="G56" s="9" t="str">
        <x:v>Statistik_Indonesia_2025.pdf</x:v>
      </x:c>
      <x:c r="H56" s="9" t="str">
        <x:v>Tabel 3.1.1</x:v>
      </x:c>
      <x:c r="I56" s="8" t="str">
        <x:v>96.94</x:v>
      </x:c>
      <x:c r="J56" s="9" t="str">
        <x:v>2025 (Susenas)</x:v>
      </x:c>
      <x:c r="K56" s="9" t="str">
        <x:v>Indikator_SDGS_Kesejahteraan_Rakyat_2025.pdf</x:v>
      </x:c>
      <x:c r="L56" s="9" t="str">
        <x:v>Tabel 5.4</x:v>
      </x:c>
      <x:c r="M56" s="8" t="str">
        <x:v>10.23</x:v>
      </x:c>
      <x:c r="N56" s="9" t="str">
        <x:v>Maret 2025 (Susenas)</x:v>
      </x:c>
      <x:c r="O56" s="9" t="str">
        <x:v>Penghitungan_dan_Analisis_Kemiskinan_Makro_2025.pdf</x:v>
      </x:c>
      <x:c r="P56" s="9" t="str">
        <x:v>Tabel 2.5</x:v>
      </x:c>
      <x:c r="Q56" s="9" t="str">
        <x:v>Badan Pusat Statistik</x:v>
      </x:c>
      <x:c r="R56" s="9" t="str">
        <x:v>Machine extraction from official PDF table; row-count and national-total QA</x:v>
      </x:c>
    </x:row>
    <x:row r="57" ht="18" customHeight="1">
      <x:c r="A57" s="6" t="str">
        <x:v>34</x:v>
      </x:c>
      <x:c r="B57" s="6" t="str">
        <x:v>DI YOGYAKARTA</x:v>
      </x:c>
      <x:c r="C57" s="6" t="str">
        <x:v>2026</x:v>
      </x:c>
      <x:c r="D57" s="6" t="str">
        <x:v>3802700</x:v>
      </x:c>
      <x:c r="E57" s="6" t="str">
        <x:v>1199.0</x:v>
      </x:c>
      <x:c r="F57" s="9" t="str">
        <x:v>2026-06-30</x:v>
      </x:c>
      <x:c r="G57" s="9" t="str">
        <x:v>Statistik_Indonesia_2026.pdf</x:v>
      </x:c>
      <x:c r="H57" s="9" t="str">
        <x:v>Tabel 3.1.1</x:v>
      </x:c>
      <x:c r="I57" s="8" t="str"/>
      <x:c r="J57" s="9" t="str"/>
      <x:c r="K57" s="9" t="str"/>
      <x:c r="L57" s="9" t="str"/>
      <x:c r="M57" s="8" t="str"/>
      <x:c r="N57" s="9" t="str"/>
      <x:c r="O57" s="9" t="str"/>
      <x:c r="P57" s="9" t="str"/>
      <x:c r="Q57" s="9" t="str">
        <x:v>Badan Pusat Statistik</x:v>
      </x:c>
      <x:c r="R57" s="9" t="str">
        <x:v>Machine extraction from official PDF table; row-count and national-total QA</x:v>
      </x:c>
    </x:row>
    <x:row r="58" ht="18" customHeight="1">
      <x:c r="A58" s="6" t="str">
        <x:v>35</x:v>
      </x:c>
      <x:c r="B58" s="6" t="str">
        <x:v>JAWA TIMUR</x:v>
      </x:c>
      <x:c r="C58" s="6" t="str">
        <x:v>2023</x:v>
      </x:c>
      <x:c r="D58" s="6" t="str">
        <x:v>41527900</x:v>
      </x:c>
      <x:c r="E58" s="6" t="str">
        <x:v>865.0</x:v>
      </x:c>
      <x:c r="F58" s="9" t="str">
        <x:v>2023-06-30</x:v>
      </x:c>
      <x:c r="G58" s="9" t="str">
        <x:v>Statistik_Indonesia_2024.pdf</x:v>
      </x:c>
      <x:c r="H58" s="9" t="str">
        <x:v>Tabel 3.1.1</x:v>
      </x:c>
      <x:c r="I58" s="8" t="str">
        <x:v>83.7</x:v>
      </x:c>
      <x:c r="J58" s="9" t="str">
        <x:v>2023 (Susenas)</x:v>
      </x:c>
      <x:c r="K58" s="9" t="str">
        <x:v>Indikator_SDGS_Kesejahteraan_Rakyat_2025.pdf</x:v>
      </x:c>
      <x:c r="L58" s="9" t="str">
        <x:v>Tabel 5.4</x:v>
      </x:c>
      <x:c r="M58" s="8" t="str"/>
      <x:c r="N58" s="9" t="str"/>
      <x:c r="O58" s="9" t="str"/>
      <x:c r="P58" s="9" t="str"/>
      <x:c r="Q58" s="9" t="str">
        <x:v>Badan Pusat Statistik</x:v>
      </x:c>
      <x:c r="R58" s="9" t="str">
        <x:v>Machine extraction from official PDF table; row-count and national-total QA</x:v>
      </x:c>
    </x:row>
    <x:row r="59" ht="18" customHeight="1">
      <x:c r="A59" s="6" t="str">
        <x:v>35</x:v>
      </x:c>
      <x:c r="B59" s="6" t="str">
        <x:v>JAWA TIMUR</x:v>
      </x:c>
      <x:c r="C59" s="6" t="str">
        <x:v>2024</x:v>
      </x:c>
      <x:c r="D59" s="6" t="str">
        <x:v>41814500</x:v>
      </x:c>
      <x:c r="E59" s="6" t="str">
        <x:v>870.0</x:v>
      </x:c>
      <x:c r="F59" s="9" t="str">
        <x:v>2024-06-30</x:v>
      </x:c>
      <x:c r="G59" s="9" t="str">
        <x:v>Statistik_Indonesia_2025.pdf</x:v>
      </x:c>
      <x:c r="H59" s="9" t="str">
        <x:v>Tabel 3.1.1</x:v>
      </x:c>
      <x:c r="I59" s="8" t="str">
        <x:v>85.56</x:v>
      </x:c>
      <x:c r="J59" s="9" t="str">
        <x:v>2024 (Susenas)</x:v>
      </x:c>
      <x:c r="K59" s="9" t="str">
        <x:v>Indikator_SDGS_Kesejahteraan_Rakyat_2025.pdf</x:v>
      </x:c>
      <x:c r="L59" s="9" t="str">
        <x:v>Tabel 5.4</x:v>
      </x:c>
      <x:c r="M59" s="8" t="str">
        <x:v>9.79</x:v>
      </x:c>
      <x:c r="N59" s="9" t="str">
        <x:v>Maret 2024 (Susenas)</x:v>
      </x:c>
      <x:c r="O59" s="9" t="str">
        <x:v>Statistik_Indonesia_2025.pdf</x:v>
      </x:c>
      <x:c r="P59" s="9" t="str">
        <x:v>Tabel 4.6.2</x:v>
      </x:c>
      <x:c r="Q59" s="9" t="str">
        <x:v>Badan Pusat Statistik</x:v>
      </x:c>
      <x:c r="R59" s="9" t="str">
        <x:v>Machine extraction from official PDF table; row-count and national-total QA</x:v>
      </x:c>
    </x:row>
    <x:row r="60" ht="18" customHeight="1">
      <x:c r="A60" s="6" t="str">
        <x:v>35</x:v>
      </x:c>
      <x:c r="B60" s="6" t="str">
        <x:v>JAWA TIMUR</x:v>
      </x:c>
      <x:c r="C60" s="6" t="str">
        <x:v>2025</x:v>
      </x:c>
      <x:c r="D60" s="6" t="str">
        <x:v>42089300</x:v>
      </x:c>
      <x:c r="E60" s="6" t="str">
        <x:v>876.0</x:v>
      </x:c>
      <x:c r="F60" s="9" t="str">
        <x:v>2025-06-30</x:v>
      </x:c>
      <x:c r="G60" s="9" t="str">
        <x:v>Statistik_Indonesia_2025.pdf</x:v>
      </x:c>
      <x:c r="H60" s="9" t="str">
        <x:v>Tabel 3.1.1</x:v>
      </x:c>
      <x:c r="I60" s="8" t="str">
        <x:v>88.26</x:v>
      </x:c>
      <x:c r="J60" s="9" t="str">
        <x:v>2025 (Susenas)</x:v>
      </x:c>
      <x:c r="K60" s="9" t="str">
        <x:v>Indikator_SDGS_Kesejahteraan_Rakyat_2025.pdf</x:v>
      </x:c>
      <x:c r="L60" s="9" t="str">
        <x:v>Tabel 5.4</x:v>
      </x:c>
      <x:c r="M60" s="8" t="str">
        <x:v>9.5</x:v>
      </x:c>
      <x:c r="N60" s="9" t="str">
        <x:v>Maret 2025 (Susenas)</x:v>
      </x:c>
      <x:c r="O60" s="9" t="str">
        <x:v>Penghitungan_dan_Analisis_Kemiskinan_Makro_2025.pdf</x:v>
      </x:c>
      <x:c r="P60" s="9" t="str">
        <x:v>Tabel 2.5</x:v>
      </x:c>
      <x:c r="Q60" s="9" t="str">
        <x:v>Badan Pusat Statistik</x:v>
      </x:c>
      <x:c r="R60" s="9" t="str">
        <x:v>Machine extraction from official PDF table; row-count and national-total QA</x:v>
      </x:c>
    </x:row>
    <x:row r="61" ht="18" customHeight="1">
      <x:c r="A61" s="6" t="str">
        <x:v>35</x:v>
      </x:c>
      <x:c r="B61" s="6" t="str">
        <x:v>JAWA TIMUR</x:v>
      </x:c>
      <x:c r="C61" s="6" t="str">
        <x:v>2026</x:v>
      </x:c>
      <x:c r="D61" s="6" t="str">
        <x:v>42352000</x:v>
      </x:c>
      <x:c r="E61" s="6" t="str">
        <x:v>881.0</x:v>
      </x:c>
      <x:c r="F61" s="9" t="str">
        <x:v>2026-06-30</x:v>
      </x:c>
      <x:c r="G61" s="9" t="str">
        <x:v>Statistik_Indonesia_2026.pdf</x:v>
      </x:c>
      <x:c r="H61" s="9" t="str">
        <x:v>Tabel 3.1.1</x:v>
      </x:c>
      <x:c r="I61" s="8" t="str"/>
      <x:c r="J61" s="9" t="str"/>
      <x:c r="K61" s="9" t="str"/>
      <x:c r="L61" s="9" t="str"/>
      <x:c r="M61" s="8" t="str"/>
      <x:c r="N61" s="9" t="str"/>
      <x:c r="O61" s="9" t="str"/>
      <x:c r="P61" s="9" t="str"/>
      <x:c r="Q61" s="9" t="str">
        <x:v>Badan Pusat Statistik</x:v>
      </x:c>
      <x:c r="R61" s="9" t="str">
        <x:v>Machine extraction from official PDF table; row-count and national-total QA</x:v>
      </x:c>
    </x:row>
    <x:row r="62" ht="18" customHeight="1">
      <x:c r="A62" s="6" t="str">
        <x:v>36</x:v>
      </x:c>
      <x:c r="B62" s="6" t="str">
        <x:v>BANTEN</x:v>
      </x:c>
      <x:c r="C62" s="6" t="str">
        <x:v>2023</x:v>
      </x:c>
      <x:c r="D62" s="6" t="str">
        <x:v>12307700</x:v>
      </x:c>
      <x:c r="E62" s="6" t="str">
        <x:v>1316.0</x:v>
      </x:c>
      <x:c r="F62" s="9" t="str">
        <x:v>2023-06-30</x:v>
      </x:c>
      <x:c r="G62" s="9" t="str">
        <x:v>Statistik_Indonesia_2024.pdf</x:v>
      </x:c>
      <x:c r="H62" s="9" t="str">
        <x:v>Tabel 3.1.1</x:v>
      </x:c>
      <x:c r="I62" s="8" t="str">
        <x:v>86.4</x:v>
      </x:c>
      <x:c r="J62" s="9" t="str">
        <x:v>2023 (Susenas)</x:v>
      </x:c>
      <x:c r="K62" s="9" t="str">
        <x:v>Indikator_SDGS_Kesejahteraan_Rakyat_2025.pdf</x:v>
      </x:c>
      <x:c r="L62" s="9" t="str">
        <x:v>Tabel 5.4</x:v>
      </x:c>
      <x:c r="M62" s="8" t="str"/>
      <x:c r="N62" s="9" t="str"/>
      <x:c r="O62" s="9" t="str"/>
      <x:c r="P62" s="9" t="str"/>
      <x:c r="Q62" s="9" t="str">
        <x:v>Badan Pusat Statistik</x:v>
      </x:c>
      <x:c r="R62" s="9" t="str">
        <x:v>Machine extraction from official PDF table; row-count and national-total QA</x:v>
      </x:c>
    </x:row>
    <x:row r="63" ht="18" customHeight="1">
      <x:c r="A63" s="6" t="str">
        <x:v>36</x:v>
      </x:c>
      <x:c r="B63" s="6" t="str">
        <x:v>BANTEN</x:v>
      </x:c>
      <x:c r="C63" s="6" t="str">
        <x:v>2024</x:v>
      </x:c>
      <x:c r="D63" s="6" t="str">
        <x:v>12431400</x:v>
      </x:c>
      <x:c r="E63" s="6" t="str">
        <x:v>1329.0</x:v>
      </x:c>
      <x:c r="F63" s="9" t="str">
        <x:v>2024-06-30</x:v>
      </x:c>
      <x:c r="G63" s="9" t="str">
        <x:v>Statistik_Indonesia_2025.pdf</x:v>
      </x:c>
      <x:c r="H63" s="9" t="str">
        <x:v>Tabel 3.1.1</x:v>
      </x:c>
      <x:c r="I63" s="8" t="str">
        <x:v>87.93</x:v>
      </x:c>
      <x:c r="J63" s="9" t="str">
        <x:v>2024 (Susenas)</x:v>
      </x:c>
      <x:c r="K63" s="9" t="str">
        <x:v>Indikator_SDGS_Kesejahteraan_Rakyat_2025.pdf</x:v>
      </x:c>
      <x:c r="L63" s="9" t="str">
        <x:v>Tabel 5.4</x:v>
      </x:c>
      <x:c r="M63" s="8" t="str">
        <x:v>5.84</x:v>
      </x:c>
      <x:c r="N63" s="9" t="str">
        <x:v>Maret 2024 (Susenas)</x:v>
      </x:c>
      <x:c r="O63" s="9" t="str">
        <x:v>Statistik_Indonesia_2025.pdf</x:v>
      </x:c>
      <x:c r="P63" s="9" t="str">
        <x:v>Tabel 4.6.2</x:v>
      </x:c>
      <x:c r="Q63" s="9" t="str">
        <x:v>Badan Pusat Statistik</x:v>
      </x:c>
      <x:c r="R63" s="9" t="str">
        <x:v>Machine extraction from official PDF table; row-count and national-total QA</x:v>
      </x:c>
    </x:row>
    <x:row r="64" ht="18" customHeight="1">
      <x:c r="A64" s="6" t="str">
        <x:v>36</x:v>
      </x:c>
      <x:c r="B64" s="6" t="str">
        <x:v>BANTEN</x:v>
      </x:c>
      <x:c r="C64" s="6" t="str">
        <x:v>2025</x:v>
      </x:c>
      <x:c r="D64" s="6" t="str">
        <x:v>12537400</x:v>
      </x:c>
      <x:c r="E64" s="6" t="str">
        <x:v>1341.0</x:v>
      </x:c>
      <x:c r="F64" s="9" t="str">
        <x:v>2025-06-30</x:v>
      </x:c>
      <x:c r="G64" s="9" t="str">
        <x:v>Statistik_Indonesia_2025.pdf</x:v>
      </x:c>
      <x:c r="H64" s="9" t="str">
        <x:v>Tabel 3.1.1</x:v>
      </x:c>
      <x:c r="I64" s="8" t="str">
        <x:v>90.7</x:v>
      </x:c>
      <x:c r="J64" s="9" t="str">
        <x:v>2025 (Susenas)</x:v>
      </x:c>
      <x:c r="K64" s="9" t="str">
        <x:v>Indikator_SDGS_Kesejahteraan_Rakyat_2025.pdf</x:v>
      </x:c>
      <x:c r="L64" s="9" t="str">
        <x:v>Tabel 5.4</x:v>
      </x:c>
      <x:c r="M64" s="8" t="str">
        <x:v>5.63</x:v>
      </x:c>
      <x:c r="N64" s="9" t="str">
        <x:v>Maret 2025 (Susenas)</x:v>
      </x:c>
      <x:c r="O64" s="9" t="str">
        <x:v>Penghitungan_dan_Analisis_Kemiskinan_Makro_2025.pdf</x:v>
      </x:c>
      <x:c r="P64" s="9" t="str">
        <x:v>Tabel 2.5</x:v>
      </x:c>
      <x:c r="Q64" s="9" t="str">
        <x:v>Badan Pusat Statistik</x:v>
      </x:c>
      <x:c r="R64" s="9" t="str">
        <x:v>Machine extraction from official PDF table; row-count and national-total QA</x:v>
      </x:c>
    </x:row>
    <x:row r="65" ht="18" customHeight="1">
      <x:c r="A65" s="6" t="str">
        <x:v>36</x:v>
      </x:c>
      <x:c r="B65" s="6" t="str">
        <x:v>BANTEN</x:v>
      </x:c>
      <x:c r="C65" s="6" t="str">
        <x:v>2026</x:v>
      </x:c>
      <x:c r="D65" s="6" t="str">
        <x:v>12641300</x:v>
      </x:c>
      <x:c r="E65" s="6" t="str">
        <x:v>1351.0</x:v>
      </x:c>
      <x:c r="F65" s="9" t="str">
        <x:v>2026-06-30</x:v>
      </x:c>
      <x:c r="G65" s="9" t="str">
        <x:v>Statistik_Indonesia_2026.pdf</x:v>
      </x:c>
      <x:c r="H65" s="9" t="str">
        <x:v>Tabel 3.1.1</x:v>
      </x:c>
      <x:c r="I65" s="8" t="str"/>
      <x:c r="J65" s="9" t="str"/>
      <x:c r="K65" s="9" t="str"/>
      <x:c r="L65" s="9" t="str"/>
      <x:c r="M65" s="8" t="str"/>
      <x:c r="N65" s="9" t="str"/>
      <x:c r="O65" s="9" t="str"/>
      <x:c r="P65" s="9" t="str"/>
      <x:c r="Q65" s="9" t="str">
        <x:v>Badan Pusat Statistik</x:v>
      </x:c>
      <x:c r="R65" s="9" t="str">
        <x:v>Machine extraction from official PDF table; row-count and national-total QA</x:v>
      </x:c>
    </x:row>
    <x:row r="66" ht="18" customHeight="1">
      <x:c r="A66" s="6" t="str">
        <x:v>51</x:v>
      </x:c>
      <x:c r="B66" s="6" t="str">
        <x:v>BALI</x:v>
      </x:c>
      <x:c r="C66" s="6" t="str">
        <x:v>2023</x:v>
      </x:c>
      <x:c r="D66" s="6" t="str">
        <x:v>4404300</x:v>
      </x:c>
      <x:c r="E66" s="6" t="str">
        <x:v>788.0</x:v>
      </x:c>
      <x:c r="F66" s="9" t="str">
        <x:v>2023-06-30</x:v>
      </x:c>
      <x:c r="G66" s="9" t="str">
        <x:v>Statistik_Indonesia_2024.pdf</x:v>
      </x:c>
      <x:c r="H66" s="9" t="str">
        <x:v>Tabel 3.1.1</x:v>
      </x:c>
      <x:c r="I66" s="8" t="str">
        <x:v>95.7</x:v>
      </x:c>
      <x:c r="J66" s="9" t="str">
        <x:v>2023 (Susenas)</x:v>
      </x:c>
      <x:c r="K66" s="9" t="str">
        <x:v>Indikator_SDGS_Kesejahteraan_Rakyat_2025.pdf</x:v>
      </x:c>
      <x:c r="L66" s="9" t="str">
        <x:v>Tabel 5.4</x:v>
      </x:c>
      <x:c r="M66" s="8" t="str"/>
      <x:c r="N66" s="9" t="str"/>
      <x:c r="O66" s="9" t="str"/>
      <x:c r="P66" s="9" t="str"/>
      <x:c r="Q66" s="9" t="str">
        <x:v>Badan Pusat Statistik</x:v>
      </x:c>
      <x:c r="R66" s="9" t="str">
        <x:v>Machine extraction from official PDF table; row-count and national-total QA</x:v>
      </x:c>
    </x:row>
    <x:row r="67" ht="18" customHeight="1">
      <x:c r="A67" s="6" t="str">
        <x:v>51</x:v>
      </x:c>
      <x:c r="B67" s="6" t="str">
        <x:v>BALI</x:v>
      </x:c>
      <x:c r="C67" s="6" t="str">
        <x:v>2024</x:v>
      </x:c>
      <x:c r="D67" s="6" t="str">
        <x:v>4433300</x:v>
      </x:c>
      <x:c r="E67" s="6" t="str">
        <x:v>793.0</x:v>
      </x:c>
      <x:c r="F67" s="9" t="str">
        <x:v>2024-06-30</x:v>
      </x:c>
      <x:c r="G67" s="9" t="str">
        <x:v>Statistik_Indonesia_2025.pdf</x:v>
      </x:c>
      <x:c r="H67" s="9" t="str">
        <x:v>Tabel 3.1.1</x:v>
      </x:c>
      <x:c r="I67" s="8" t="str">
        <x:v>96.83</x:v>
      </x:c>
      <x:c r="J67" s="9" t="str">
        <x:v>2024 (Susenas)</x:v>
      </x:c>
      <x:c r="K67" s="9" t="str">
        <x:v>Indikator_SDGS_Kesejahteraan_Rakyat_2025.pdf</x:v>
      </x:c>
      <x:c r="L67" s="9" t="str">
        <x:v>Tabel 5.4</x:v>
      </x:c>
      <x:c r="M67" s="8" t="str">
        <x:v>4.0</x:v>
      </x:c>
      <x:c r="N67" s="9" t="str">
        <x:v>Maret 2024 (Susenas)</x:v>
      </x:c>
      <x:c r="O67" s="9" t="str">
        <x:v>Statistik_Indonesia_2025.pdf</x:v>
      </x:c>
      <x:c r="P67" s="9" t="str">
        <x:v>Tabel 4.6.2</x:v>
      </x:c>
      <x:c r="Q67" s="9" t="str">
        <x:v>Badan Pusat Statistik</x:v>
      </x:c>
      <x:c r="R67" s="9" t="str">
        <x:v>Machine extraction from official PDF table; row-count and national-total QA</x:v>
      </x:c>
    </x:row>
    <x:row r="68" ht="18" customHeight="1">
      <x:c r="A68" s="6" t="str">
        <x:v>51</x:v>
      </x:c>
      <x:c r="B68" s="6" t="str">
        <x:v>BALI</x:v>
      </x:c>
      <x:c r="C68" s="6" t="str">
        <x:v>2025</x:v>
      </x:c>
      <x:c r="D68" s="6" t="str">
        <x:v>4461300</x:v>
      </x:c>
      <x:c r="E68" s="6" t="str">
        <x:v>798.0</x:v>
      </x:c>
      <x:c r="F68" s="9" t="str">
        <x:v>2025-06-30</x:v>
      </x:c>
      <x:c r="G68" s="9" t="str">
        <x:v>Statistik_Indonesia_2025.pdf</x:v>
      </x:c>
      <x:c r="H68" s="9" t="str">
        <x:v>Tabel 3.1.1</x:v>
      </x:c>
      <x:c r="I68" s="8" t="str">
        <x:v>98.2</x:v>
      </x:c>
      <x:c r="J68" s="9" t="str">
        <x:v>2025 (Susenas)</x:v>
      </x:c>
      <x:c r="K68" s="9" t="str">
        <x:v>Indikator_SDGS_Kesejahteraan_Rakyat_2025.pdf</x:v>
      </x:c>
      <x:c r="L68" s="9" t="str">
        <x:v>Tabel 5.4</x:v>
      </x:c>
      <x:c r="M68" s="8" t="str">
        <x:v>3.72</x:v>
      </x:c>
      <x:c r="N68" s="9" t="str">
        <x:v>Maret 2025 (Susenas)</x:v>
      </x:c>
      <x:c r="O68" s="9" t="str">
        <x:v>Penghitungan_dan_Analisis_Kemiskinan_Makro_2025.pdf</x:v>
      </x:c>
      <x:c r="P68" s="9" t="str">
        <x:v>Tabel 2.5</x:v>
      </x:c>
      <x:c r="Q68" s="9" t="str">
        <x:v>Badan Pusat Statistik</x:v>
      </x:c>
      <x:c r="R68" s="9" t="str">
        <x:v>Machine extraction from official PDF table; row-count and national-total QA</x:v>
      </x:c>
    </x:row>
    <x:row r="69" ht="18" customHeight="1">
      <x:c r="A69" s="6" t="str">
        <x:v>51</x:v>
      </x:c>
      <x:c r="B69" s="6" t="str">
        <x:v>BALI</x:v>
      </x:c>
      <x:c r="C69" s="6" t="str">
        <x:v>2026</x:v>
      </x:c>
      <x:c r="D69" s="6" t="str">
        <x:v>4488200</x:v>
      </x:c>
      <x:c r="E69" s="6" t="str">
        <x:v>804.0</x:v>
      </x:c>
      <x:c r="F69" s="9" t="str">
        <x:v>2026-06-30</x:v>
      </x:c>
      <x:c r="G69" s="9" t="str">
        <x:v>Statistik_Indonesia_2026.pdf</x:v>
      </x:c>
      <x:c r="H69" s="9" t="str">
        <x:v>Tabel 3.1.1</x:v>
      </x:c>
      <x:c r="I69" s="8" t="str"/>
      <x:c r="J69" s="9" t="str"/>
      <x:c r="K69" s="9" t="str"/>
      <x:c r="L69" s="9" t="str"/>
      <x:c r="M69" s="8" t="str"/>
      <x:c r="N69" s="9" t="str"/>
      <x:c r="O69" s="9" t="str"/>
      <x:c r="P69" s="9" t="str"/>
      <x:c r="Q69" s="9" t="str">
        <x:v>Badan Pusat Statistik</x:v>
      </x:c>
      <x:c r="R69" s="9" t="str">
        <x:v>Machine extraction from official PDF table; row-count and national-total QA</x:v>
      </x:c>
    </x:row>
    <x:row r="70" ht="18" customHeight="1">
      <x:c r="A70" s="6" t="str">
        <x:v>52</x:v>
      </x:c>
      <x:c r="B70" s="6" t="str">
        <x:v>NUSA TENGGARA BARAT</x:v>
      </x:c>
      <x:c r="C70" s="6" t="str">
        <x:v>2023</x:v>
      </x:c>
      <x:c r="D70" s="6" t="str">
        <x:v>5560300</x:v>
      </x:c>
      <x:c r="E70" s="6" t="str">
        <x:v>283.0</x:v>
      </x:c>
      <x:c r="F70" s="9" t="str">
        <x:v>2023-06-30</x:v>
      </x:c>
      <x:c r="G70" s="9" t="str">
        <x:v>Statistik_Indonesia_2024.pdf</x:v>
      </x:c>
      <x:c r="H70" s="9" t="str">
        <x:v>Tabel 3.1.1</x:v>
      </x:c>
      <x:c r="I70" s="8" t="str">
        <x:v>85.1</x:v>
      </x:c>
      <x:c r="J70" s="9" t="str">
        <x:v>2023 (Susenas)</x:v>
      </x:c>
      <x:c r="K70" s="9" t="str">
        <x:v>Indikator_SDGS_Kesejahteraan_Rakyat_2025.pdf</x:v>
      </x:c>
      <x:c r="L70" s="9" t="str">
        <x:v>Tabel 5.4</x:v>
      </x:c>
      <x:c r="M70" s="8" t="str"/>
      <x:c r="N70" s="9" t="str"/>
      <x:c r="O70" s="9" t="str"/>
      <x:c r="P70" s="9" t="str"/>
      <x:c r="Q70" s="9" t="str">
        <x:v>Badan Pusat Statistik</x:v>
      </x:c>
      <x:c r="R70" s="9" t="str">
        <x:v>Machine extraction from official PDF table; row-count and national-total QA</x:v>
      </x:c>
    </x:row>
    <x:row r="71" ht="18" customHeight="1">
      <x:c r="A71" s="6" t="str">
        <x:v>52</x:v>
      </x:c>
      <x:c r="B71" s="6" t="str">
        <x:v>NUSA TENGGARA BARAT</x:v>
      </x:c>
      <x:c r="C71" s="6" t="str">
        <x:v>2024</x:v>
      </x:c>
      <x:c r="D71" s="6" t="str">
        <x:v>5646000</x:v>
      </x:c>
      <x:c r="E71" s="6" t="str">
        <x:v>287.0</x:v>
      </x:c>
      <x:c r="F71" s="9" t="str">
        <x:v>2024-06-30</x:v>
      </x:c>
      <x:c r="G71" s="9" t="str">
        <x:v>Statistik_Indonesia_2025.pdf</x:v>
      </x:c>
      <x:c r="H71" s="9" t="str">
        <x:v>Tabel 3.1.1</x:v>
      </x:c>
      <x:c r="I71" s="8" t="str">
        <x:v>86.8</x:v>
      </x:c>
      <x:c r="J71" s="9" t="str">
        <x:v>2024 (Susenas)</x:v>
      </x:c>
      <x:c r="K71" s="9" t="str">
        <x:v>Indikator_SDGS_Kesejahteraan_Rakyat_2025.pdf</x:v>
      </x:c>
      <x:c r="L71" s="9" t="str">
        <x:v>Tabel 5.4</x:v>
      </x:c>
      <x:c r="M71" s="8" t="str">
        <x:v>12.91</x:v>
      </x:c>
      <x:c r="N71" s="9" t="str">
        <x:v>Maret 2024 (Susenas)</x:v>
      </x:c>
      <x:c r="O71" s="9" t="str">
        <x:v>Statistik_Indonesia_2025.pdf</x:v>
      </x:c>
      <x:c r="P71" s="9" t="str">
        <x:v>Tabel 4.6.2</x:v>
      </x:c>
      <x:c r="Q71" s="9" t="str">
        <x:v>Badan Pusat Statistik</x:v>
      </x:c>
      <x:c r="R71" s="9" t="str">
        <x:v>Machine extraction from official PDF table; row-count and national-total QA</x:v>
      </x:c>
    </x:row>
    <x:row r="72" ht="18" customHeight="1">
      <x:c r="A72" s="6" t="str">
        <x:v>52</x:v>
      </x:c>
      <x:c r="B72" s="6" t="str">
        <x:v>NUSA TENGGARA BARAT</x:v>
      </x:c>
      <x:c r="C72" s="6" t="str">
        <x:v>2025</x:v>
      </x:c>
      <x:c r="D72" s="6" t="str">
        <x:v>5731100</x:v>
      </x:c>
      <x:c r="E72" s="6" t="str">
        <x:v>291.0</x:v>
      </x:c>
      <x:c r="F72" s="9" t="str">
        <x:v>2025-06-30</x:v>
      </x:c>
      <x:c r="G72" s="9" t="str">
        <x:v>Statistik_Indonesia_2025.pdf</x:v>
      </x:c>
      <x:c r="H72" s="9" t="str">
        <x:v>Tabel 3.1.1</x:v>
      </x:c>
      <x:c r="I72" s="8" t="str">
        <x:v>88.29</x:v>
      </x:c>
      <x:c r="J72" s="9" t="str">
        <x:v>2025 (Susenas)</x:v>
      </x:c>
      <x:c r="K72" s="9" t="str">
        <x:v>Indikator_SDGS_Kesejahteraan_Rakyat_2025.pdf</x:v>
      </x:c>
      <x:c r="L72" s="9" t="str">
        <x:v>Tabel 5.4</x:v>
      </x:c>
      <x:c r="M72" s="8" t="str">
        <x:v>11.78</x:v>
      </x:c>
      <x:c r="N72" s="9" t="str">
        <x:v>Maret 2025 (Susenas)</x:v>
      </x:c>
      <x:c r="O72" s="9" t="str">
        <x:v>Penghitungan_dan_Analisis_Kemiskinan_Makro_2025.pdf</x:v>
      </x:c>
      <x:c r="P72" s="9" t="str">
        <x:v>Tabel 2.5</x:v>
      </x:c>
      <x:c r="Q72" s="9" t="str">
        <x:v>Badan Pusat Statistik</x:v>
      </x:c>
      <x:c r="R72" s="9" t="str">
        <x:v>Machine extraction from official PDF table; row-count and national-total QA</x:v>
      </x:c>
    </x:row>
    <x:row r="73" ht="18" customHeight="1">
      <x:c r="A73" s="6" t="str">
        <x:v>52</x:v>
      </x:c>
      <x:c r="B73" s="6" t="str">
        <x:v>NUSA TENGGARA BARAT</x:v>
      </x:c>
      <x:c r="C73" s="6" t="str">
        <x:v>2026</x:v>
      </x:c>
      <x:c r="D73" s="6" t="str">
        <x:v>5815300</x:v>
      </x:c>
      <x:c r="E73" s="6" t="str">
        <x:v>296.0</x:v>
      </x:c>
      <x:c r="F73" s="9" t="str">
        <x:v>2026-06-30</x:v>
      </x:c>
      <x:c r="G73" s="9" t="str">
        <x:v>Statistik_Indonesia_2026.pdf</x:v>
      </x:c>
      <x:c r="H73" s="9" t="str">
        <x:v>Tabel 3.1.1</x:v>
      </x:c>
      <x:c r="I73" s="8" t="str"/>
      <x:c r="J73" s="9" t="str"/>
      <x:c r="K73" s="9" t="str"/>
      <x:c r="L73" s="9" t="str"/>
      <x:c r="M73" s="8" t="str"/>
      <x:c r="N73" s="9" t="str"/>
      <x:c r="O73" s="9" t="str"/>
      <x:c r="P73" s="9" t="str"/>
      <x:c r="Q73" s="9" t="str">
        <x:v>Badan Pusat Statistik</x:v>
      </x:c>
      <x:c r="R73" s="9" t="str">
        <x:v>Machine extraction from official PDF table; row-count and national-total QA</x:v>
      </x:c>
    </x:row>
    <x:row r="74" ht="18" customHeight="1">
      <x:c r="A74" s="6" t="str">
        <x:v>53</x:v>
      </x:c>
      <x:c r="B74" s="6" t="str">
        <x:v>NUSA TENGGARA TIMUR</x:v>
      </x:c>
      <x:c r="C74" s="6" t="str">
        <x:v>2023</x:v>
      </x:c>
      <x:c r="D74" s="6" t="str">
        <x:v>5569100</x:v>
      </x:c>
      <x:c r="E74" s="6" t="str">
        <x:v>120.0</x:v>
      </x:c>
      <x:c r="F74" s="9" t="str">
        <x:v>2023-06-30</x:v>
      </x:c>
      <x:c r="G74" s="9" t="str">
        <x:v>Statistik_Indonesia_2024.pdf</x:v>
      </x:c>
      <x:c r="H74" s="9" t="str">
        <x:v>Tabel 3.1.1</x:v>
      </x:c>
      <x:c r="I74" s="8" t="str">
        <x:v>75.67</x:v>
      </x:c>
      <x:c r="J74" s="9" t="str">
        <x:v>2023 (Susenas)</x:v>
      </x:c>
      <x:c r="K74" s="9" t="str">
        <x:v>Indikator_SDGS_Kesejahteraan_Rakyat_2025.pdf</x:v>
      </x:c>
      <x:c r="L74" s="9" t="str">
        <x:v>Tabel 5.4</x:v>
      </x:c>
      <x:c r="M74" s="8" t="str"/>
      <x:c r="N74" s="9" t="str"/>
      <x:c r="O74" s="9" t="str"/>
      <x:c r="P74" s="9" t="str"/>
      <x:c r="Q74" s="9" t="str">
        <x:v>Badan Pusat Statistik</x:v>
      </x:c>
      <x:c r="R74" s="9" t="str">
        <x:v>Machine extraction from official PDF table; row-count and national-total QA</x:v>
      </x:c>
    </x:row>
    <x:row r="75" ht="18" customHeight="1">
      <x:c r="A75" s="6" t="str">
        <x:v>53</x:v>
      </x:c>
      <x:c r="B75" s="6" t="str">
        <x:v>NUSA TENGGARA TIMUR</x:v>
      </x:c>
      <x:c r="C75" s="6" t="str">
        <x:v>2024</x:v>
      </x:c>
      <x:c r="D75" s="6" t="str">
        <x:v>5656000</x:v>
      </x:c>
      <x:c r="E75" s="6" t="str">
        <x:v>122.0</x:v>
      </x:c>
      <x:c r="F75" s="9" t="str">
        <x:v>2024-06-30</x:v>
      </x:c>
      <x:c r="G75" s="9" t="str">
        <x:v>Statistik_Indonesia_2025.pdf</x:v>
      </x:c>
      <x:c r="H75" s="9" t="str">
        <x:v>Tabel 3.1.1</x:v>
      </x:c>
      <x:c r="I75" s="8" t="str">
        <x:v>77.66</x:v>
      </x:c>
      <x:c r="J75" s="9" t="str">
        <x:v>2024 (Susenas)</x:v>
      </x:c>
      <x:c r="K75" s="9" t="str">
        <x:v>Indikator_SDGS_Kesejahteraan_Rakyat_2025.pdf</x:v>
      </x:c>
      <x:c r="L75" s="9" t="str">
        <x:v>Tabel 5.4</x:v>
      </x:c>
      <x:c r="M75" s="8" t="str">
        <x:v>19.48</x:v>
      </x:c>
      <x:c r="N75" s="9" t="str">
        <x:v>Maret 2024 (Susenas)</x:v>
      </x:c>
      <x:c r="O75" s="9" t="str">
        <x:v>Statistik_Indonesia_2025.pdf</x:v>
      </x:c>
      <x:c r="P75" s="9" t="str">
        <x:v>Tabel 4.6.2</x:v>
      </x:c>
      <x:c r="Q75" s="9" t="str">
        <x:v>Badan Pusat Statistik</x:v>
      </x:c>
      <x:c r="R75" s="9" t="str">
        <x:v>Machine extraction from official PDF table; row-count and national-total QA</x:v>
      </x:c>
    </x:row>
    <x:row r="76" ht="18" customHeight="1">
      <x:c r="A76" s="6" t="str">
        <x:v>53</x:v>
      </x:c>
      <x:c r="B76" s="6" t="str">
        <x:v>NUSA TENGGARA TIMUR</x:v>
      </x:c>
      <x:c r="C76" s="6" t="str">
        <x:v>2025</x:v>
      </x:c>
      <x:c r="D76" s="6" t="str">
        <x:v>5742600</x:v>
      </x:c>
      <x:c r="E76" s="6" t="str">
        <x:v>124.0</x:v>
      </x:c>
      <x:c r="F76" s="9" t="str">
        <x:v>2025-06-30</x:v>
      </x:c>
      <x:c r="G76" s="9" t="str">
        <x:v>Statistik_Indonesia_2025.pdf</x:v>
      </x:c>
      <x:c r="H76" s="9" t="str">
        <x:v>Tabel 3.1.1</x:v>
      </x:c>
      <x:c r="I76" s="8" t="str">
        <x:v>80.8</x:v>
      </x:c>
      <x:c r="J76" s="9" t="str">
        <x:v>2025 (Susenas)</x:v>
      </x:c>
      <x:c r="K76" s="9" t="str">
        <x:v>Indikator_SDGS_Kesejahteraan_Rakyat_2025.pdf</x:v>
      </x:c>
      <x:c r="L76" s="9" t="str">
        <x:v>Tabel 5.4</x:v>
      </x:c>
      <x:c r="M76" s="8" t="str">
        <x:v>18.6</x:v>
      </x:c>
      <x:c r="N76" s="9" t="str">
        <x:v>Maret 2025 (Susenas)</x:v>
      </x:c>
      <x:c r="O76" s="9" t="str">
        <x:v>Penghitungan_dan_Analisis_Kemiskinan_Makro_2025.pdf</x:v>
      </x:c>
      <x:c r="P76" s="9" t="str">
        <x:v>Tabel 2.5</x:v>
      </x:c>
      <x:c r="Q76" s="9" t="str">
        <x:v>Badan Pusat Statistik</x:v>
      </x:c>
      <x:c r="R76" s="9" t="str">
        <x:v>Machine extraction from official PDF table; row-count and national-total QA</x:v>
      </x:c>
    </x:row>
    <x:row r="77" ht="18" customHeight="1">
      <x:c r="A77" s="6" t="str">
        <x:v>53</x:v>
      </x:c>
      <x:c r="B77" s="6" t="str">
        <x:v>NUSA TENGGARA TIMUR</x:v>
      </x:c>
      <x:c r="C77" s="6" t="str">
        <x:v>2026</x:v>
      </x:c>
      <x:c r="D77" s="6" t="str">
        <x:v>5828600</x:v>
      </x:c>
      <x:c r="E77" s="6" t="str">
        <x:v>126.0</x:v>
      </x:c>
      <x:c r="F77" s="9" t="str">
        <x:v>2026-06-30</x:v>
      </x:c>
      <x:c r="G77" s="9" t="str">
        <x:v>Statistik_Indonesia_2026.pdf</x:v>
      </x:c>
      <x:c r="H77" s="9" t="str">
        <x:v>Tabel 3.1.1</x:v>
      </x:c>
      <x:c r="I77" s="8" t="str"/>
      <x:c r="J77" s="9" t="str"/>
      <x:c r="K77" s="9" t="str"/>
      <x:c r="L77" s="9" t="str"/>
      <x:c r="M77" s="8" t="str"/>
      <x:c r="N77" s="9" t="str"/>
      <x:c r="O77" s="9" t="str"/>
      <x:c r="P77" s="9" t="str"/>
      <x:c r="Q77" s="9" t="str">
        <x:v>Badan Pusat Statistik</x:v>
      </x:c>
      <x:c r="R77" s="9" t="str">
        <x:v>Machine extraction from official PDF table; row-count and national-total QA</x:v>
      </x:c>
    </x:row>
    <x:row r="78" ht="18" customHeight="1">
      <x:c r="A78" s="6" t="str">
        <x:v>61</x:v>
      </x:c>
      <x:c r="B78" s="6" t="str">
        <x:v>KALIMANTAN BARAT</x:v>
      </x:c>
      <x:c r="C78" s="6" t="str">
        <x:v>2023</x:v>
      </x:c>
      <x:c r="D78" s="6" t="str">
        <x:v>5623300</x:v>
      </x:c>
      <x:c r="E78" s="6" t="str">
        <x:v>38.0</x:v>
      </x:c>
      <x:c r="F78" s="9" t="str">
        <x:v>2023-06-30</x:v>
      </x:c>
      <x:c r="G78" s="9" t="str">
        <x:v>Statistik_Indonesia_2024.pdf</x:v>
      </x:c>
      <x:c r="H78" s="9" t="str">
        <x:v>Tabel 3.1.1</x:v>
      </x:c>
      <x:c r="I78" s="8" t="str">
        <x:v>79.89</x:v>
      </x:c>
      <x:c r="J78" s="9" t="str">
        <x:v>2023 (Susenas)</x:v>
      </x:c>
      <x:c r="K78" s="9" t="str">
        <x:v>Indikator_SDGS_Kesejahteraan_Rakyat_2025.pdf</x:v>
      </x:c>
      <x:c r="L78" s="9" t="str">
        <x:v>Tabel 5.4</x:v>
      </x:c>
      <x:c r="M78" s="8" t="str"/>
      <x:c r="N78" s="9" t="str"/>
      <x:c r="O78" s="9" t="str"/>
      <x:c r="P78" s="9" t="str"/>
      <x:c r="Q78" s="9" t="str">
        <x:v>Badan Pusat Statistik</x:v>
      </x:c>
      <x:c r="R78" s="9" t="str">
        <x:v>Machine extraction from official PDF table; row-count and national-total QA</x:v>
      </x:c>
    </x:row>
    <x:row r="79" ht="18" customHeight="1">
      <x:c r="A79" s="6" t="str">
        <x:v>61</x:v>
      </x:c>
      <x:c r="B79" s="6" t="str">
        <x:v>KALIMANTAN BARAT</x:v>
      </x:c>
      <x:c r="C79" s="6" t="str">
        <x:v>2024</x:v>
      </x:c>
      <x:c r="D79" s="6" t="str">
        <x:v>5695500</x:v>
      </x:c>
      <x:c r="E79" s="6" t="str">
        <x:v>39.0</x:v>
      </x:c>
      <x:c r="F79" s="9" t="str">
        <x:v>2024-06-30</x:v>
      </x:c>
      <x:c r="G79" s="9" t="str">
        <x:v>Statistik_Indonesia_2025.pdf</x:v>
      </x:c>
      <x:c r="H79" s="9" t="str">
        <x:v>Tabel 3.1.1</x:v>
      </x:c>
      <x:c r="I79" s="8" t="str">
        <x:v>81.56</x:v>
      </x:c>
      <x:c r="J79" s="9" t="str">
        <x:v>2024 (Susenas)</x:v>
      </x:c>
      <x:c r="K79" s="9" t="str">
        <x:v>Indikator_SDGS_Kesejahteraan_Rakyat_2025.pdf</x:v>
      </x:c>
      <x:c r="L79" s="9" t="str">
        <x:v>Tabel 5.4</x:v>
      </x:c>
      <x:c r="M79" s="8" t="str">
        <x:v>6.32</x:v>
      </x:c>
      <x:c r="N79" s="9" t="str">
        <x:v>Maret 2024 (Susenas)</x:v>
      </x:c>
      <x:c r="O79" s="9" t="str">
        <x:v>Statistik_Indonesia_2025.pdf</x:v>
      </x:c>
      <x:c r="P79" s="9" t="str">
        <x:v>Tabel 4.6.2</x:v>
      </x:c>
      <x:c r="Q79" s="9" t="str">
        <x:v>Badan Pusat Statistik</x:v>
      </x:c>
      <x:c r="R79" s="9" t="str">
        <x:v>Machine extraction from official PDF table; row-count and national-total QA</x:v>
      </x:c>
    </x:row>
    <x:row r="80" ht="18" customHeight="1">
      <x:c r="A80" s="6" t="str">
        <x:v>61</x:v>
      </x:c>
      <x:c r="B80" s="6" t="str">
        <x:v>KALIMANTAN BARAT</x:v>
      </x:c>
      <x:c r="C80" s="6" t="str">
        <x:v>2025</x:v>
      </x:c>
      <x:c r="D80" s="6" t="str">
        <x:v>5766000</x:v>
      </x:c>
      <x:c r="E80" s="6" t="str">
        <x:v>39.0</x:v>
      </x:c>
      <x:c r="F80" s="9" t="str">
        <x:v>2025-06-30</x:v>
      </x:c>
      <x:c r="G80" s="9" t="str">
        <x:v>Statistik_Indonesia_2025.pdf</x:v>
      </x:c>
      <x:c r="H80" s="9" t="str">
        <x:v>Tabel 3.1.1</x:v>
      </x:c>
      <x:c r="I80" s="8" t="str">
        <x:v>88.37</x:v>
      </x:c>
      <x:c r="J80" s="9" t="str">
        <x:v>2025 (Susenas)</x:v>
      </x:c>
      <x:c r="K80" s="9" t="str">
        <x:v>Indikator_SDGS_Kesejahteraan_Rakyat_2025.pdf</x:v>
      </x:c>
      <x:c r="L80" s="9" t="str">
        <x:v>Tabel 5.4</x:v>
      </x:c>
      <x:c r="M80" s="8" t="str">
        <x:v>6.16</x:v>
      </x:c>
      <x:c r="N80" s="9" t="str">
        <x:v>Maret 2025 (Susenas)</x:v>
      </x:c>
      <x:c r="O80" s="9" t="str">
        <x:v>Penghitungan_dan_Analisis_Kemiskinan_Makro_2025.pdf</x:v>
      </x:c>
      <x:c r="P80" s="9" t="str">
        <x:v>Tabel 2.5</x:v>
      </x:c>
      <x:c r="Q80" s="9" t="str">
        <x:v>Badan Pusat Statistik</x:v>
      </x:c>
      <x:c r="R80" s="9" t="str">
        <x:v>Machine extraction from official PDF table; row-count and national-total QA</x:v>
      </x:c>
    </x:row>
    <x:row r="81" ht="18" customHeight="1">
      <x:c r="A81" s="6" t="str">
        <x:v>61</x:v>
      </x:c>
      <x:c r="B81" s="6" t="str">
        <x:v>KALIMANTAN BARAT</x:v>
      </x:c>
      <x:c r="C81" s="6" t="str">
        <x:v>2026</x:v>
      </x:c>
      <x:c r="D81" s="6" t="str">
        <x:v>5835000</x:v>
      </x:c>
      <x:c r="E81" s="6" t="str">
        <x:v>40.0</x:v>
      </x:c>
      <x:c r="F81" s="9" t="str">
        <x:v>2026-06-30</x:v>
      </x:c>
      <x:c r="G81" s="9" t="str">
        <x:v>Statistik_Indonesia_2026.pdf</x:v>
      </x:c>
      <x:c r="H81" s="9" t="str">
        <x:v>Tabel 3.1.1</x:v>
      </x:c>
      <x:c r="I81" s="8" t="str"/>
      <x:c r="J81" s="9" t="str"/>
      <x:c r="K81" s="9" t="str"/>
      <x:c r="L81" s="9" t="str"/>
      <x:c r="M81" s="8" t="str"/>
      <x:c r="N81" s="9" t="str"/>
      <x:c r="O81" s="9" t="str"/>
      <x:c r="P81" s="9" t="str"/>
      <x:c r="Q81" s="9" t="str">
        <x:v>Badan Pusat Statistik</x:v>
      </x:c>
      <x:c r="R81" s="9" t="str">
        <x:v>Machine extraction from official PDF table; row-count and national-total QA</x:v>
      </x:c>
    </x:row>
    <x:row r="82" ht="18" customHeight="1">
      <x:c r="A82" s="6" t="str">
        <x:v>62</x:v>
      </x:c>
      <x:c r="B82" s="6" t="str">
        <x:v>KALIMANTAN TENGAH</x:v>
      </x:c>
      <x:c r="C82" s="6" t="str">
        <x:v>2023</x:v>
      </x:c>
      <x:c r="D82" s="6" t="str">
        <x:v>2773700</x:v>
      </x:c>
      <x:c r="E82" s="6" t="str">
        <x:v>18.0</x:v>
      </x:c>
      <x:c r="F82" s="9" t="str">
        <x:v>2023-06-30</x:v>
      </x:c>
      <x:c r="G82" s="9" t="str">
        <x:v>Statistik_Indonesia_2024.pdf</x:v>
      </x:c>
      <x:c r="H82" s="9" t="str">
        <x:v>Tabel 3.1.1</x:v>
      </x:c>
      <x:c r="I82" s="8" t="str">
        <x:v>76.3</x:v>
      </x:c>
      <x:c r="J82" s="9" t="str">
        <x:v>2023 (Susenas)</x:v>
      </x:c>
      <x:c r="K82" s="9" t="str">
        <x:v>Indikator_SDGS_Kesejahteraan_Rakyat_2025.pdf</x:v>
      </x:c>
      <x:c r="L82" s="9" t="str">
        <x:v>Tabel 5.4</x:v>
      </x:c>
      <x:c r="M82" s="8" t="str"/>
      <x:c r="N82" s="9" t="str"/>
      <x:c r="O82" s="9" t="str"/>
      <x:c r="P82" s="9" t="str"/>
      <x:c r="Q82" s="9" t="str">
        <x:v>Badan Pusat Statistik</x:v>
      </x:c>
      <x:c r="R82" s="9" t="str">
        <x:v>Machine extraction from official PDF table; row-count and national-total QA</x:v>
      </x:c>
    </x:row>
    <x:row r="83" ht="18" customHeight="1">
      <x:c r="A83" s="6" t="str">
        <x:v>62</x:v>
      </x:c>
      <x:c r="B83" s="6" t="str">
        <x:v>KALIMANTAN TENGAH</x:v>
      </x:c>
      <x:c r="C83" s="6" t="str">
        <x:v>2024</x:v>
      </x:c>
      <x:c r="D83" s="6" t="str">
        <x:v>2809700</x:v>
      </x:c>
      <x:c r="E83" s="6" t="str">
        <x:v>18.0</x:v>
      </x:c>
      <x:c r="F83" s="9" t="str">
        <x:v>2024-06-30</x:v>
      </x:c>
      <x:c r="G83" s="9" t="str">
        <x:v>Statistik_Indonesia_2025.pdf</x:v>
      </x:c>
      <x:c r="H83" s="9" t="str">
        <x:v>Tabel 3.1.1</x:v>
      </x:c>
      <x:c r="I83" s="8" t="str">
        <x:v>78.15</x:v>
      </x:c>
      <x:c r="J83" s="9" t="str">
        <x:v>2024 (Susenas)</x:v>
      </x:c>
      <x:c r="K83" s="9" t="str">
        <x:v>Indikator_SDGS_Kesejahteraan_Rakyat_2025.pdf</x:v>
      </x:c>
      <x:c r="L83" s="9" t="str">
        <x:v>Tabel 5.4</x:v>
      </x:c>
      <x:c r="M83" s="8" t="str">
        <x:v>5.17</x:v>
      </x:c>
      <x:c r="N83" s="9" t="str">
        <x:v>Maret 2024 (Susenas)</x:v>
      </x:c>
      <x:c r="O83" s="9" t="str">
        <x:v>Statistik_Indonesia_2025.pdf</x:v>
      </x:c>
      <x:c r="P83" s="9" t="str">
        <x:v>Tabel 4.6.2</x:v>
      </x:c>
      <x:c r="Q83" s="9" t="str">
        <x:v>Badan Pusat Statistik</x:v>
      </x:c>
      <x:c r="R83" s="9" t="str">
        <x:v>Machine extraction from official PDF table; row-count and national-total QA</x:v>
      </x:c>
    </x:row>
    <x:row r="84" ht="18" customHeight="1">
      <x:c r="A84" s="6" t="str">
        <x:v>62</x:v>
      </x:c>
      <x:c r="B84" s="6" t="str">
        <x:v>KALIMANTAN TENGAH</x:v>
      </x:c>
      <x:c r="C84" s="6" t="str">
        <x:v>2025</x:v>
      </x:c>
      <x:c r="D84" s="6" t="str">
        <x:v>2845000</x:v>
      </x:c>
      <x:c r="E84" s="6" t="str">
        <x:v>19.0</x:v>
      </x:c>
      <x:c r="F84" s="9" t="str">
        <x:v>2025-06-30</x:v>
      </x:c>
      <x:c r="G84" s="9" t="str">
        <x:v>Statistik_Indonesia_2025.pdf</x:v>
      </x:c>
      <x:c r="H84" s="9" t="str">
        <x:v>Tabel 3.1.1</x:v>
      </x:c>
      <x:c r="I84" s="8" t="str">
        <x:v>83.14</x:v>
      </x:c>
      <x:c r="J84" s="9" t="str">
        <x:v>2025 (Susenas)</x:v>
      </x:c>
      <x:c r="K84" s="9" t="str">
        <x:v>Indikator_SDGS_Kesejahteraan_Rakyat_2025.pdf</x:v>
      </x:c>
      <x:c r="L84" s="9" t="str">
        <x:v>Tabel 5.4</x:v>
      </x:c>
      <x:c r="M84" s="8" t="str">
        <x:v>5.19</x:v>
      </x:c>
      <x:c r="N84" s="9" t="str">
        <x:v>Maret 2025 (Susenas)</x:v>
      </x:c>
      <x:c r="O84" s="9" t="str">
        <x:v>Penghitungan_dan_Analisis_Kemiskinan_Makro_2025.pdf</x:v>
      </x:c>
      <x:c r="P84" s="9" t="str">
        <x:v>Tabel 2.5</x:v>
      </x:c>
      <x:c r="Q84" s="9" t="str">
        <x:v>Badan Pusat Statistik</x:v>
      </x:c>
      <x:c r="R84" s="9" t="str">
        <x:v>Machine extraction from official PDF table; row-count and national-total QA</x:v>
      </x:c>
    </x:row>
    <x:row r="85" ht="18" customHeight="1">
      <x:c r="A85" s="6" t="str">
        <x:v>62</x:v>
      </x:c>
      <x:c r="B85" s="6" t="str">
        <x:v>KALIMANTAN TENGAH</x:v>
      </x:c>
      <x:c r="C85" s="6" t="str">
        <x:v>2026</x:v>
      </x:c>
      <x:c r="D85" s="6" t="str">
        <x:v>2879500</x:v>
      </x:c>
      <x:c r="E85" s="6" t="str">
        <x:v>19.0</x:v>
      </x:c>
      <x:c r="F85" s="9" t="str">
        <x:v>2026-06-30</x:v>
      </x:c>
      <x:c r="G85" s="9" t="str">
        <x:v>Statistik_Indonesia_2026.pdf</x:v>
      </x:c>
      <x:c r="H85" s="9" t="str">
        <x:v>Tabel 3.1.1</x:v>
      </x:c>
      <x:c r="I85" s="8" t="str"/>
      <x:c r="J85" s="9" t="str"/>
      <x:c r="K85" s="9" t="str"/>
      <x:c r="L85" s="9" t="str"/>
      <x:c r="M85" s="8" t="str"/>
      <x:c r="N85" s="9" t="str"/>
      <x:c r="O85" s="9" t="str"/>
      <x:c r="P85" s="9" t="str"/>
      <x:c r="Q85" s="9" t="str">
        <x:v>Badan Pusat Statistik</x:v>
      </x:c>
      <x:c r="R85" s="9" t="str">
        <x:v>Machine extraction from official PDF table; row-count and national-total QA</x:v>
      </x:c>
    </x:row>
    <x:row r="86" ht="18" customHeight="1">
      <x:c r="A86" s="6" t="str">
        <x:v>63</x:v>
      </x:c>
      <x:c r="B86" s="6" t="str">
        <x:v>KALIMANTAN SELATAN</x:v>
      </x:c>
      <x:c r="C86" s="6" t="str">
        <x:v>2023</x:v>
      </x:c>
      <x:c r="D86" s="6" t="str">
        <x:v>4222300</x:v>
      </x:c>
      <x:c r="E86" s="6" t="str">
        <x:v>114.0</x:v>
      </x:c>
      <x:c r="F86" s="9" t="str">
        <x:v>2023-06-30</x:v>
      </x:c>
      <x:c r="G86" s="9" t="str">
        <x:v>Statistik_Indonesia_2024.pdf</x:v>
      </x:c>
      <x:c r="H86" s="9" t="str">
        <x:v>Tabel 3.1.1</x:v>
      </x:c>
      <x:c r="I86" s="8" t="str">
        <x:v>82.89</x:v>
      </x:c>
      <x:c r="J86" s="9" t="str">
        <x:v>2023 (Susenas)</x:v>
      </x:c>
      <x:c r="K86" s="9" t="str">
        <x:v>Indikator_SDGS_Kesejahteraan_Rakyat_2025.pdf</x:v>
      </x:c>
      <x:c r="L86" s="9" t="str">
        <x:v>Tabel 5.4</x:v>
      </x:c>
      <x:c r="M86" s="8" t="str"/>
      <x:c r="N86" s="9" t="str"/>
      <x:c r="O86" s="9" t="str"/>
      <x:c r="P86" s="9" t="str"/>
      <x:c r="Q86" s="9" t="str">
        <x:v>Badan Pusat Statistik</x:v>
      </x:c>
      <x:c r="R86" s="9" t="str">
        <x:v>Machine extraction from official PDF table; row-count and national-total QA</x:v>
      </x:c>
    </x:row>
    <x:row r="87" ht="18" customHeight="1">
      <x:c r="A87" s="6" t="str">
        <x:v>63</x:v>
      </x:c>
      <x:c r="B87" s="6" t="str">
        <x:v>KALIMANTAN SELATAN</x:v>
      </x:c>
      <x:c r="C87" s="6" t="str">
        <x:v>2024</x:v>
      </x:c>
      <x:c r="D87" s="6" t="str">
        <x:v>4273400</x:v>
      </x:c>
      <x:c r="E87" s="6" t="str">
        <x:v>115.0</x:v>
      </x:c>
      <x:c r="F87" s="9" t="str">
        <x:v>2024-06-30</x:v>
      </x:c>
      <x:c r="G87" s="9" t="str">
        <x:v>Statistik_Indonesia_2025.pdf</x:v>
      </x:c>
      <x:c r="H87" s="9" t="str">
        <x:v>Tabel 3.1.1</x:v>
      </x:c>
      <x:c r="I87" s="8" t="str">
        <x:v>83.7</x:v>
      </x:c>
      <x:c r="J87" s="9" t="str">
        <x:v>2024 (Susenas)</x:v>
      </x:c>
      <x:c r="K87" s="9" t="str">
        <x:v>Indikator_SDGS_Kesejahteraan_Rakyat_2025.pdf</x:v>
      </x:c>
      <x:c r="L87" s="9" t="str">
        <x:v>Tabel 5.4</x:v>
      </x:c>
      <x:c r="M87" s="8" t="str">
        <x:v>4.11</x:v>
      </x:c>
      <x:c r="N87" s="9" t="str">
        <x:v>Maret 2024 (Susenas)</x:v>
      </x:c>
      <x:c r="O87" s="9" t="str">
        <x:v>Statistik_Indonesia_2025.pdf</x:v>
      </x:c>
      <x:c r="P87" s="9" t="str">
        <x:v>Tabel 4.6.2</x:v>
      </x:c>
      <x:c r="Q87" s="9" t="str">
        <x:v>Badan Pusat Statistik</x:v>
      </x:c>
      <x:c r="R87" s="9" t="str">
        <x:v>Machine extraction from official PDF table; row-count and national-total QA</x:v>
      </x:c>
    </x:row>
    <x:row r="88" ht="18" customHeight="1">
      <x:c r="A88" s="6" t="str">
        <x:v>63</x:v>
      </x:c>
      <x:c r="B88" s="6" t="str">
        <x:v>KALIMANTAN SELATAN</x:v>
      </x:c>
      <x:c r="C88" s="6" t="str">
        <x:v>2025</x:v>
      </x:c>
      <x:c r="D88" s="6" t="str">
        <x:v>4323300</x:v>
      </x:c>
      <x:c r="E88" s="6" t="str">
        <x:v>116.0</x:v>
      </x:c>
      <x:c r="F88" s="9" t="str">
        <x:v>2025-06-30</x:v>
      </x:c>
      <x:c r="G88" s="9" t="str">
        <x:v>Statistik_Indonesia_2025.pdf</x:v>
      </x:c>
      <x:c r="H88" s="9" t="str">
        <x:v>Tabel 3.1.1</x:v>
      </x:c>
      <x:c r="I88" s="8" t="str">
        <x:v>86.8</x:v>
      </x:c>
      <x:c r="J88" s="9" t="str">
        <x:v>2025 (Susenas)</x:v>
      </x:c>
      <x:c r="K88" s="9" t="str">
        <x:v>Indikator_SDGS_Kesejahteraan_Rakyat_2025.pdf</x:v>
      </x:c>
      <x:c r="L88" s="9" t="str">
        <x:v>Tabel 5.4</x:v>
      </x:c>
      <x:c r="M88" s="8" t="str">
        <x:v>3.84</x:v>
      </x:c>
      <x:c r="N88" s="9" t="str">
        <x:v>Maret 2025 (Susenas)</x:v>
      </x:c>
      <x:c r="O88" s="9" t="str">
        <x:v>Penghitungan_dan_Analisis_Kemiskinan_Makro_2025.pdf</x:v>
      </x:c>
      <x:c r="P88" s="9" t="str">
        <x:v>Tabel 2.5</x:v>
      </x:c>
      <x:c r="Q88" s="9" t="str">
        <x:v>Badan Pusat Statistik</x:v>
      </x:c>
      <x:c r="R88" s="9" t="str">
        <x:v>Machine extraction from official PDF table; row-count and national-total QA</x:v>
      </x:c>
    </x:row>
    <x:row r="89" ht="18" customHeight="1">
      <x:c r="A89" s="6" t="str">
        <x:v>63</x:v>
      </x:c>
      <x:c r="B89" s="6" t="str">
        <x:v>KALIMANTAN SELATAN</x:v>
      </x:c>
      <x:c r="C89" s="6" t="str">
        <x:v>2026</x:v>
      </x:c>
      <x:c r="D89" s="6" t="str">
        <x:v>4372100</x:v>
      </x:c>
      <x:c r="E89" s="6" t="str">
        <x:v>118.0</x:v>
      </x:c>
      <x:c r="F89" s="9" t="str">
        <x:v>2026-06-30</x:v>
      </x:c>
      <x:c r="G89" s="9" t="str">
        <x:v>Statistik_Indonesia_2026.pdf</x:v>
      </x:c>
      <x:c r="H89" s="9" t="str">
        <x:v>Tabel 3.1.1</x:v>
      </x:c>
      <x:c r="I89" s="8" t="str"/>
      <x:c r="J89" s="9" t="str"/>
      <x:c r="K89" s="9" t="str"/>
      <x:c r="L89" s="9" t="str"/>
      <x:c r="M89" s="8" t="str"/>
      <x:c r="N89" s="9" t="str"/>
      <x:c r="O89" s="9" t="str"/>
      <x:c r="P89" s="9" t="str"/>
      <x:c r="Q89" s="9" t="str">
        <x:v>Badan Pusat Statistik</x:v>
      </x:c>
      <x:c r="R89" s="9" t="str">
        <x:v>Machine extraction from official PDF table; row-count and national-total QA</x:v>
      </x:c>
    </x:row>
    <x:row r="90" ht="18" customHeight="1">
      <x:c r="A90" s="6" t="str">
        <x:v>64</x:v>
      </x:c>
      <x:c r="B90" s="6" t="str">
        <x:v>KALIMANTAN TIMUR</x:v>
      </x:c>
      <x:c r="C90" s="6" t="str">
        <x:v>2023</x:v>
      </x:c>
      <x:c r="D90" s="6" t="str">
        <x:v>3909700</x:v>
      </x:c>
      <x:c r="E90" s="6" t="str">
        <x:v>31.0</x:v>
      </x:c>
      <x:c r="F90" s="9" t="str">
        <x:v>2023-06-30</x:v>
      </x:c>
      <x:c r="G90" s="9" t="str">
        <x:v>Statistik_Indonesia_2024.pdf</x:v>
      </x:c>
      <x:c r="H90" s="9" t="str">
        <x:v>Tabel 3.1.1</x:v>
      </x:c>
      <x:c r="I90" s="8" t="str">
        <x:v>91.2</x:v>
      </x:c>
      <x:c r="J90" s="9" t="str">
        <x:v>2023 (Susenas)</x:v>
      </x:c>
      <x:c r="K90" s="9" t="str">
        <x:v>Indikator_SDGS_Kesejahteraan_Rakyat_2025.pdf</x:v>
      </x:c>
      <x:c r="L90" s="9" t="str">
        <x:v>Tabel 5.4</x:v>
      </x:c>
      <x:c r="M90" s="8" t="str"/>
      <x:c r="N90" s="9" t="str"/>
      <x:c r="O90" s="9" t="str"/>
      <x:c r="P90" s="9" t="str"/>
      <x:c r="Q90" s="9" t="str">
        <x:v>Badan Pusat Statistik</x:v>
      </x:c>
      <x:c r="R90" s="9" t="str">
        <x:v>Machine extraction from official PDF table; row-count and national-total QA</x:v>
      </x:c>
    </x:row>
    <x:row r="91" ht="18" customHeight="1">
      <x:c r="A91" s="6" t="str">
        <x:v>64</x:v>
      </x:c>
      <x:c r="B91" s="6" t="str">
        <x:v>KALIMANTAN TIMUR</x:v>
      </x:c>
      <x:c r="C91" s="6" t="str">
        <x:v>2024</x:v>
      </x:c>
      <x:c r="D91" s="6" t="str">
        <x:v>4045900</x:v>
      </x:c>
      <x:c r="E91" s="6" t="str">
        <x:v>32.0</x:v>
      </x:c>
      <x:c r="F91" s="9" t="str">
        <x:v>2024-06-30</x:v>
      </x:c>
      <x:c r="G91" s="9" t="str">
        <x:v>Statistik_Indonesia_2025.pdf</x:v>
      </x:c>
      <x:c r="H91" s="9" t="str">
        <x:v>Tabel 3.1.1</x:v>
      </x:c>
      <x:c r="I91" s="8" t="str">
        <x:v>91.65</x:v>
      </x:c>
      <x:c r="J91" s="9" t="str">
        <x:v>2024 (Susenas)</x:v>
      </x:c>
      <x:c r="K91" s="9" t="str">
        <x:v>Indikator_SDGS_Kesejahteraan_Rakyat_2025.pdf</x:v>
      </x:c>
      <x:c r="L91" s="9" t="str">
        <x:v>Tabel 5.4</x:v>
      </x:c>
      <x:c r="M91" s="8" t="str">
        <x:v>5.78</x:v>
      </x:c>
      <x:c r="N91" s="9" t="str">
        <x:v>Maret 2024 (Susenas)</x:v>
      </x:c>
      <x:c r="O91" s="9" t="str">
        <x:v>Statistik_Indonesia_2025.pdf</x:v>
      </x:c>
      <x:c r="P91" s="9" t="str">
        <x:v>Tabel 4.6.2</x:v>
      </x:c>
      <x:c r="Q91" s="9" t="str">
        <x:v>Badan Pusat Statistik</x:v>
      </x:c>
      <x:c r="R91" s="9" t="str">
        <x:v>Machine extraction from official PDF table; row-count and national-total QA</x:v>
      </x:c>
    </x:row>
    <x:row r="92" ht="18" customHeight="1">
      <x:c r="A92" s="6" t="str">
        <x:v>64</x:v>
      </x:c>
      <x:c r="B92" s="6" t="str">
        <x:v>KALIMANTAN TIMUR</x:v>
      </x:c>
      <x:c r="C92" s="6" t="str">
        <x:v>2025</x:v>
      </x:c>
      <x:c r="D92" s="6" t="str">
        <x:v>4267600</x:v>
      </x:c>
      <x:c r="E92" s="6" t="str">
        <x:v>34.0</x:v>
      </x:c>
      <x:c r="F92" s="9" t="str">
        <x:v>2025-06-30</x:v>
      </x:c>
      <x:c r="G92" s="9" t="str">
        <x:v>Statistik_Indonesia_2025.pdf</x:v>
      </x:c>
      <x:c r="H92" s="9" t="str">
        <x:v>Tabel 3.1.1</x:v>
      </x:c>
      <x:c r="I92" s="8" t="str">
        <x:v>92.57</x:v>
      </x:c>
      <x:c r="J92" s="9" t="str">
        <x:v>2025 (Susenas)</x:v>
      </x:c>
      <x:c r="K92" s="9" t="str">
        <x:v>Indikator_SDGS_Kesejahteraan_Rakyat_2025.pdf</x:v>
      </x:c>
      <x:c r="L92" s="9" t="str">
        <x:v>Tabel 5.4</x:v>
      </x:c>
      <x:c r="M92" s="8" t="str">
        <x:v>5.17</x:v>
      </x:c>
      <x:c r="N92" s="9" t="str">
        <x:v>Maret 2025 (Susenas)</x:v>
      </x:c>
      <x:c r="O92" s="9" t="str">
        <x:v>Penghitungan_dan_Analisis_Kemiskinan_Makro_2025.pdf</x:v>
      </x:c>
      <x:c r="P92" s="9" t="str">
        <x:v>Tabel 2.5</x:v>
      </x:c>
      <x:c r="Q92" s="9" t="str">
        <x:v>Badan Pusat Statistik</x:v>
      </x:c>
      <x:c r="R92" s="9" t="str">
        <x:v>Machine extraction from official PDF table; row-count and national-total QA</x:v>
      </x:c>
    </x:row>
    <x:row r="93" ht="18" customHeight="1">
      <x:c r="A93" s="6" t="str">
        <x:v>64</x:v>
      </x:c>
      <x:c r="B93" s="6" t="str">
        <x:v>KALIMANTAN TIMUR</x:v>
      </x:c>
      <x:c r="C93" s="6" t="str">
        <x:v>2026</x:v>
      </x:c>
      <x:c r="D93" s="6" t="str">
        <x:v>4478400</x:v>
      </x:c>
      <x:c r="E93" s="6" t="str">
        <x:v>35.0</x:v>
      </x:c>
      <x:c r="F93" s="9" t="str">
        <x:v>2026-06-30</x:v>
      </x:c>
      <x:c r="G93" s="9" t="str">
        <x:v>Statistik_Indonesia_2026.pdf</x:v>
      </x:c>
      <x:c r="H93" s="9" t="str">
        <x:v>Tabel 3.1.1</x:v>
      </x:c>
      <x:c r="I93" s="8" t="str"/>
      <x:c r="J93" s="9" t="str"/>
      <x:c r="K93" s="9" t="str"/>
      <x:c r="L93" s="9" t="str"/>
      <x:c r="M93" s="8" t="str"/>
      <x:c r="N93" s="9" t="str"/>
      <x:c r="O93" s="9" t="str"/>
      <x:c r="P93" s="9" t="str"/>
      <x:c r="Q93" s="9" t="str">
        <x:v>Badan Pusat Statistik</x:v>
      </x:c>
      <x:c r="R93" s="9" t="str">
        <x:v>Machine extraction from official PDF table; row-count and national-total QA</x:v>
      </x:c>
    </x:row>
    <x:row r="94" ht="18" customHeight="1">
      <x:c r="A94" s="6" t="str">
        <x:v>65</x:v>
      </x:c>
      <x:c r="B94" s="6" t="str">
        <x:v>KALIMANTAN UTARA</x:v>
      </x:c>
      <x:c r="C94" s="6" t="str">
        <x:v>2023</x:v>
      </x:c>
      <x:c r="D94" s="6" t="str">
        <x:v>730000</x:v>
      </x:c>
      <x:c r="E94" s="6" t="str">
        <x:v>10.0</x:v>
      </x:c>
      <x:c r="F94" s="9" t="str">
        <x:v>2023-06-30</x:v>
      </x:c>
      <x:c r="G94" s="9" t="str">
        <x:v>Statistik_Indonesia_2024.pdf</x:v>
      </x:c>
      <x:c r="H94" s="9" t="str">
        <x:v>Tabel 3.1.1</x:v>
      </x:c>
      <x:c r="I94" s="8" t="str">
        <x:v>84.2</x:v>
      </x:c>
      <x:c r="J94" s="9" t="str">
        <x:v>2023 (Susenas)</x:v>
      </x:c>
      <x:c r="K94" s="9" t="str">
        <x:v>Indikator_SDGS_Kesejahteraan_Rakyat_2025.pdf</x:v>
      </x:c>
      <x:c r="L94" s="9" t="str">
        <x:v>Tabel 5.4</x:v>
      </x:c>
      <x:c r="M94" s="8" t="str"/>
      <x:c r="N94" s="9" t="str"/>
      <x:c r="O94" s="9" t="str"/>
      <x:c r="P94" s="9" t="str"/>
      <x:c r="Q94" s="9" t="str">
        <x:v>Badan Pusat Statistik</x:v>
      </x:c>
      <x:c r="R94" s="9" t="str">
        <x:v>Machine extraction from official PDF table; row-count and national-total QA</x:v>
      </x:c>
    </x:row>
    <x:row r="95" ht="18" customHeight="1">
      <x:c r="A95" s="6" t="str">
        <x:v>65</x:v>
      </x:c>
      <x:c r="B95" s="6" t="str">
        <x:v>KALIMANTAN UTARA</x:v>
      </x:c>
      <x:c r="C95" s="6" t="str">
        <x:v>2024</x:v>
      </x:c>
      <x:c r="D95" s="6" t="str">
        <x:v>739800</x:v>
      </x:c>
      <x:c r="E95" s="6" t="str">
        <x:v>11.0</x:v>
      </x:c>
      <x:c r="F95" s="9" t="str">
        <x:v>2024-06-30</x:v>
      </x:c>
      <x:c r="G95" s="9" t="str">
        <x:v>Statistik_Indonesia_2025.pdf</x:v>
      </x:c>
      <x:c r="H95" s="9" t="str">
        <x:v>Tabel 3.1.1</x:v>
      </x:c>
      <x:c r="I95" s="8" t="str">
        <x:v>85.17</x:v>
      </x:c>
      <x:c r="J95" s="9" t="str">
        <x:v>2024 (Susenas)</x:v>
      </x:c>
      <x:c r="K95" s="9" t="str">
        <x:v>Indikator_SDGS_Kesejahteraan_Rakyat_2025.pdf</x:v>
      </x:c>
      <x:c r="L95" s="9" t="str">
        <x:v>Tabel 5.4</x:v>
      </x:c>
      <x:c r="M95" s="8" t="str">
        <x:v>6.32</x:v>
      </x:c>
      <x:c r="N95" s="9" t="str">
        <x:v>Maret 2024 (Susenas)</x:v>
      </x:c>
      <x:c r="O95" s="9" t="str">
        <x:v>Statistik_Indonesia_2025.pdf</x:v>
      </x:c>
      <x:c r="P95" s="9" t="str">
        <x:v>Tabel 4.6.2</x:v>
      </x:c>
      <x:c r="Q95" s="9" t="str">
        <x:v>Badan Pusat Statistik</x:v>
      </x:c>
      <x:c r="R95" s="9" t="str">
        <x:v>Machine extraction from official PDF table; row-count and national-total QA</x:v>
      </x:c>
    </x:row>
    <x:row r="96" ht="18" customHeight="1">
      <x:c r="A96" s="6" t="str">
        <x:v>65</x:v>
      </x:c>
      <x:c r="B96" s="6" t="str">
        <x:v>KALIMANTAN UTARA</x:v>
      </x:c>
      <x:c r="C96" s="6" t="str">
        <x:v>2025</x:v>
      </x:c>
      <x:c r="D96" s="6" t="str">
        <x:v>749400</x:v>
      </x:c>
      <x:c r="E96" s="6" t="str">
        <x:v>11.0</x:v>
      </x:c>
      <x:c r="F96" s="9" t="str">
        <x:v>2025-06-30</x:v>
      </x:c>
      <x:c r="G96" s="9" t="str">
        <x:v>Statistik_Indonesia_2025.pdf</x:v>
      </x:c>
      <x:c r="H96" s="9" t="str">
        <x:v>Tabel 3.1.1</x:v>
      </x:c>
      <x:c r="I96" s="8" t="str">
        <x:v>86.0</x:v>
      </x:c>
      <x:c r="J96" s="9" t="str">
        <x:v>2025 (Susenas)</x:v>
      </x:c>
      <x:c r="K96" s="9" t="str">
        <x:v>Indikator_SDGS_Kesejahteraan_Rakyat_2025.pdf</x:v>
      </x:c>
      <x:c r="L96" s="9" t="str">
        <x:v>Tabel 5.4</x:v>
      </x:c>
      <x:c r="M96" s="8" t="str">
        <x:v>5.54</x:v>
      </x:c>
      <x:c r="N96" s="9" t="str">
        <x:v>Maret 2025 (Susenas)</x:v>
      </x:c>
      <x:c r="O96" s="9" t="str">
        <x:v>Penghitungan_dan_Analisis_Kemiskinan_Makro_2025.pdf</x:v>
      </x:c>
      <x:c r="P96" s="9" t="str">
        <x:v>Tabel 2.5</x:v>
      </x:c>
      <x:c r="Q96" s="9" t="str">
        <x:v>Badan Pusat Statistik</x:v>
      </x:c>
      <x:c r="R96" s="9" t="str">
        <x:v>Machine extraction from official PDF table; row-count and national-total QA</x:v>
      </x:c>
    </x:row>
    <x:row r="97" ht="18" customHeight="1">
      <x:c r="A97" s="6" t="str">
        <x:v>65</x:v>
      </x:c>
      <x:c r="B97" s="6" t="str">
        <x:v>KALIMANTAN UTARA</x:v>
      </x:c>
      <x:c r="C97" s="6" t="str">
        <x:v>2026</x:v>
      </x:c>
      <x:c r="D97" s="6" t="str">
        <x:v>758800</x:v>
      </x:c>
      <x:c r="E97" s="6" t="str">
        <x:v>11.0</x:v>
      </x:c>
      <x:c r="F97" s="9" t="str">
        <x:v>2026-06-30</x:v>
      </x:c>
      <x:c r="G97" s="9" t="str">
        <x:v>Statistik_Indonesia_2026.pdf</x:v>
      </x:c>
      <x:c r="H97" s="9" t="str">
        <x:v>Tabel 3.1.1</x:v>
      </x:c>
      <x:c r="I97" s="8" t="str"/>
      <x:c r="J97" s="9" t="str"/>
      <x:c r="K97" s="9" t="str"/>
      <x:c r="L97" s="9" t="str"/>
      <x:c r="M97" s="8" t="str"/>
      <x:c r="N97" s="9" t="str"/>
      <x:c r="O97" s="9" t="str"/>
      <x:c r="P97" s="9" t="str"/>
      <x:c r="Q97" s="9" t="str">
        <x:v>Badan Pusat Statistik</x:v>
      </x:c>
      <x:c r="R97" s="9" t="str">
        <x:v>Machine extraction from official PDF table; row-count and national-total QA</x:v>
      </x:c>
    </x:row>
    <x:row r="98" ht="18" customHeight="1">
      <x:c r="A98" s="6" t="str">
        <x:v>71</x:v>
      </x:c>
      <x:c r="B98" s="6" t="str">
        <x:v>SULAWESI UTARA</x:v>
      </x:c>
      <x:c r="C98" s="6" t="str">
        <x:v>2023</x:v>
      </x:c>
      <x:c r="D98" s="6" t="str">
        <x:v>2681500</x:v>
      </x:c>
      <x:c r="E98" s="6" t="str">
        <x:v>185.0</x:v>
      </x:c>
      <x:c r="F98" s="9" t="str">
        <x:v>2023-06-30</x:v>
      </x:c>
      <x:c r="G98" s="9" t="str">
        <x:v>Statistik_Indonesia_2024.pdf</x:v>
      </x:c>
      <x:c r="H98" s="9" t="str">
        <x:v>Tabel 3.1.1</x:v>
      </x:c>
      <x:c r="I98" s="8" t="str">
        <x:v>85.9</x:v>
      </x:c>
      <x:c r="J98" s="9" t="str">
        <x:v>2023 (Susenas)</x:v>
      </x:c>
      <x:c r="K98" s="9" t="str">
        <x:v>Indikator_SDGS_Kesejahteraan_Rakyat_2025.pdf</x:v>
      </x:c>
      <x:c r="L98" s="9" t="str">
        <x:v>Tabel 5.4</x:v>
      </x:c>
      <x:c r="M98" s="8" t="str"/>
      <x:c r="N98" s="9" t="str"/>
      <x:c r="O98" s="9" t="str"/>
      <x:c r="P98" s="9" t="str"/>
      <x:c r="Q98" s="9" t="str">
        <x:v>Badan Pusat Statistik</x:v>
      </x:c>
      <x:c r="R98" s="9" t="str">
        <x:v>Machine extraction from official PDF table; row-count and national-total QA</x:v>
      </x:c>
    </x:row>
    <x:row r="99" ht="18" customHeight="1">
      <x:c r="A99" s="6" t="str">
        <x:v>71</x:v>
      </x:c>
      <x:c r="B99" s="6" t="str">
        <x:v>SULAWESI UTARA</x:v>
      </x:c>
      <x:c r="C99" s="6" t="str">
        <x:v>2024</x:v>
      </x:c>
      <x:c r="D99" s="6" t="str">
        <x:v>2701800</x:v>
      </x:c>
      <x:c r="E99" s="6" t="str">
        <x:v>186.0</x:v>
      </x:c>
      <x:c r="F99" s="9" t="str">
        <x:v>2024-06-30</x:v>
      </x:c>
      <x:c r="G99" s="9" t="str">
        <x:v>Statistik_Indonesia_2025.pdf</x:v>
      </x:c>
      <x:c r="H99" s="9" t="str">
        <x:v>Tabel 3.1.1</x:v>
      </x:c>
      <x:c r="I99" s="8" t="str">
        <x:v>87.3</x:v>
      </x:c>
      <x:c r="J99" s="9" t="str">
        <x:v>2024 (Susenas)</x:v>
      </x:c>
      <x:c r="K99" s="9" t="str">
        <x:v>Indikator_SDGS_Kesejahteraan_Rakyat_2025.pdf</x:v>
      </x:c>
      <x:c r="L99" s="9" t="str">
        <x:v>Tabel 5.4</x:v>
      </x:c>
      <x:c r="M99" s="8" t="str">
        <x:v>7.25</x:v>
      </x:c>
      <x:c r="N99" s="9" t="str">
        <x:v>Maret 2024 (Susenas)</x:v>
      </x:c>
      <x:c r="O99" s="9" t="str">
        <x:v>Statistik_Indonesia_2025.pdf</x:v>
      </x:c>
      <x:c r="P99" s="9" t="str">
        <x:v>Tabel 4.6.2</x:v>
      </x:c>
      <x:c r="Q99" s="9" t="str">
        <x:v>Badan Pusat Statistik</x:v>
      </x:c>
      <x:c r="R99" s="9" t="str">
        <x:v>Machine extraction from official PDF table; row-count and national-total QA</x:v>
      </x:c>
    </x:row>
    <x:row r="100" ht="18" customHeight="1">
      <x:c r="A100" s="6" t="str">
        <x:v>71</x:v>
      </x:c>
      <x:c r="B100" s="6" t="str">
        <x:v>SULAWESI UTARA</x:v>
      </x:c>
      <x:c r="C100" s="6" t="str">
        <x:v>2025</x:v>
      </x:c>
      <x:c r="D100" s="6" t="str">
        <x:v>2721400</x:v>
      </x:c>
      <x:c r="E100" s="6" t="str">
        <x:v>188.0</x:v>
      </x:c>
      <x:c r="F100" s="9" t="str">
        <x:v>2025-06-30</x:v>
      </x:c>
      <x:c r="G100" s="9" t="str">
        <x:v>Statistik_Indonesia_2025.pdf</x:v>
      </x:c>
      <x:c r="H100" s="9" t="str">
        <x:v>Tabel 3.1.1</x:v>
      </x:c>
      <x:c r="I100" s="8" t="str">
        <x:v>87.7</x:v>
      </x:c>
      <x:c r="J100" s="9" t="str">
        <x:v>2025 (Susenas)</x:v>
      </x:c>
      <x:c r="K100" s="9" t="str">
        <x:v>Indikator_SDGS_Kesejahteraan_Rakyat_2025.pdf</x:v>
      </x:c>
      <x:c r="L100" s="9" t="str">
        <x:v>Tabel 5.4</x:v>
      </x:c>
      <x:c r="M100" s="8" t="str">
        <x:v>6.71</x:v>
      </x:c>
      <x:c r="N100" s="9" t="str">
        <x:v>Maret 2025 (Susenas)</x:v>
      </x:c>
      <x:c r="O100" s="9" t="str">
        <x:v>Penghitungan_dan_Analisis_Kemiskinan_Makro_2025.pdf</x:v>
      </x:c>
      <x:c r="P100" s="9" t="str">
        <x:v>Tabel 2.5</x:v>
      </x:c>
      <x:c r="Q100" s="9" t="str">
        <x:v>Badan Pusat Statistik</x:v>
      </x:c>
      <x:c r="R100" s="9" t="str">
        <x:v>Machine extraction from official PDF table; row-count and national-total QA</x:v>
      </x:c>
    </x:row>
    <x:row r="101" ht="18" customHeight="1">
      <x:c r="A101" s="6" t="str">
        <x:v>71</x:v>
      </x:c>
      <x:c r="B101" s="6" t="str">
        <x:v>SULAWESI UTARA</x:v>
      </x:c>
      <x:c r="C101" s="6" t="str">
        <x:v>2026</x:v>
      </x:c>
      <x:c r="D101" s="6" t="str">
        <x:v>2740500</x:v>
      </x:c>
      <x:c r="E101" s="6" t="str">
        <x:v>189.0</x:v>
      </x:c>
      <x:c r="F101" s="9" t="str">
        <x:v>2026-06-30</x:v>
      </x:c>
      <x:c r="G101" s="9" t="str">
        <x:v>Statistik_Indonesia_2026.pdf</x:v>
      </x:c>
      <x:c r="H101" s="9" t="str">
        <x:v>Tabel 3.1.1</x:v>
      </x:c>
      <x:c r="I101" s="8" t="str"/>
      <x:c r="J101" s="9" t="str"/>
      <x:c r="K101" s="9" t="str"/>
      <x:c r="L101" s="9" t="str"/>
      <x:c r="M101" s="8" t="str"/>
      <x:c r="N101" s="9" t="str"/>
      <x:c r="O101" s="9" t="str"/>
      <x:c r="P101" s="9" t="str"/>
      <x:c r="Q101" s="9" t="str">
        <x:v>Badan Pusat Statistik</x:v>
      </x:c>
      <x:c r="R101" s="9" t="str">
        <x:v>Machine extraction from official PDF table; row-count and national-total QA</x:v>
      </x:c>
    </x:row>
    <x:row r="102" ht="18" customHeight="1">
      <x:c r="A102" s="6" t="str">
        <x:v>72</x:v>
      </x:c>
      <x:c r="B102" s="6" t="str">
        <x:v>SULAWESI TENGAH</x:v>
      </x:c>
      <x:c r="C102" s="6" t="str">
        <x:v>2023</x:v>
      </x:c>
      <x:c r="D102" s="6" t="str">
        <x:v>3086800</x:v>
      </x:c>
      <x:c r="E102" s="6" t="str">
        <x:v>50.0</x:v>
      </x:c>
      <x:c r="F102" s="9" t="str">
        <x:v>2023-06-30</x:v>
      </x:c>
      <x:c r="G102" s="9" t="str">
        <x:v>Statistik_Indonesia_2024.pdf</x:v>
      </x:c>
      <x:c r="H102" s="9" t="str">
        <x:v>Tabel 3.1.1</x:v>
      </x:c>
      <x:c r="I102" s="8" t="str">
        <x:v>75.8</x:v>
      </x:c>
      <x:c r="J102" s="9" t="str">
        <x:v>2023 (Susenas)</x:v>
      </x:c>
      <x:c r="K102" s="9" t="str">
        <x:v>Indikator_SDGS_Kesejahteraan_Rakyat_2025.pdf</x:v>
      </x:c>
      <x:c r="L102" s="9" t="str">
        <x:v>Tabel 5.4</x:v>
      </x:c>
      <x:c r="M102" s="8" t="str"/>
      <x:c r="N102" s="9" t="str"/>
      <x:c r="O102" s="9" t="str"/>
      <x:c r="P102" s="9" t="str"/>
      <x:c r="Q102" s="9" t="str">
        <x:v>Badan Pusat Statistik</x:v>
      </x:c>
      <x:c r="R102" s="9" t="str">
        <x:v>Machine extraction from official PDF table; row-count and national-total QA</x:v>
      </x:c>
    </x:row>
    <x:row r="103" ht="18" customHeight="1">
      <x:c r="A103" s="6" t="str">
        <x:v>72</x:v>
      </x:c>
      <x:c r="B103" s="6" t="str">
        <x:v>SULAWESI TENGAH</x:v>
      </x:c>
      <x:c r="C103" s="6" t="str">
        <x:v>2024</x:v>
      </x:c>
      <x:c r="D103" s="6" t="str">
        <x:v>3121800</x:v>
      </x:c>
      <x:c r="E103" s="6" t="str">
        <x:v>51.0</x:v>
      </x:c>
      <x:c r="F103" s="9" t="str">
        <x:v>2024-06-30</x:v>
      </x:c>
      <x:c r="G103" s="9" t="str">
        <x:v>Statistik_Indonesia_2025.pdf</x:v>
      </x:c>
      <x:c r="H103" s="9" t="str">
        <x:v>Tabel 3.1.1</x:v>
      </x:c>
      <x:c r="I103" s="8" t="str">
        <x:v>77.4</x:v>
      </x:c>
      <x:c r="J103" s="9" t="str">
        <x:v>2024 (Susenas)</x:v>
      </x:c>
      <x:c r="K103" s="9" t="str">
        <x:v>Indikator_SDGS_Kesejahteraan_Rakyat_2025.pdf</x:v>
      </x:c>
      <x:c r="L103" s="9" t="str">
        <x:v>Tabel 5.4</x:v>
      </x:c>
      <x:c r="M103" s="8" t="str">
        <x:v>11.77</x:v>
      </x:c>
      <x:c r="N103" s="9" t="str">
        <x:v>Maret 2024 (Susenas)</x:v>
      </x:c>
      <x:c r="O103" s="9" t="str">
        <x:v>Statistik_Indonesia_2025.pdf</x:v>
      </x:c>
      <x:c r="P103" s="9" t="str">
        <x:v>Tabel 4.6.2</x:v>
      </x:c>
      <x:c r="Q103" s="9" t="str">
        <x:v>Badan Pusat Statistik</x:v>
      </x:c>
      <x:c r="R103" s="9" t="str">
        <x:v>Machine extraction from official PDF table; row-count and national-total QA</x:v>
      </x:c>
    </x:row>
    <x:row r="104" ht="18" customHeight="1">
      <x:c r="A104" s="6" t="str">
        <x:v>72</x:v>
      </x:c>
      <x:c r="B104" s="6" t="str">
        <x:v>SULAWESI TENGAH</x:v>
      </x:c>
      <x:c r="C104" s="6" t="str">
        <x:v>2025</x:v>
      </x:c>
      <x:c r="D104" s="6" t="str">
        <x:v>3156100</x:v>
      </x:c>
      <x:c r="E104" s="6" t="str">
        <x:v>51.0</x:v>
      </x:c>
      <x:c r="F104" s="9" t="str">
        <x:v>2025-06-30</x:v>
      </x:c>
      <x:c r="G104" s="9" t="str">
        <x:v>Statistik_Indonesia_2025.pdf</x:v>
      </x:c>
      <x:c r="H104" s="9" t="str">
        <x:v>Tabel 3.1.1</x:v>
      </x:c>
      <x:c r="I104" s="8" t="str">
        <x:v>79.6</x:v>
      </x:c>
      <x:c r="J104" s="9" t="str">
        <x:v>2025 (Susenas)</x:v>
      </x:c>
      <x:c r="K104" s="9" t="str">
        <x:v>Indikator_SDGS_Kesejahteraan_Rakyat_2025.pdf</x:v>
      </x:c>
      <x:c r="L104" s="9" t="str">
        <x:v>Tabel 5.4</x:v>
      </x:c>
      <x:c r="M104" s="8" t="str">
        <x:v>10.92</x:v>
      </x:c>
      <x:c r="N104" s="9" t="str">
        <x:v>Maret 2025 (Susenas)</x:v>
      </x:c>
      <x:c r="O104" s="9" t="str">
        <x:v>Penghitungan_dan_Analisis_Kemiskinan_Makro_2025.pdf</x:v>
      </x:c>
      <x:c r="P104" s="9" t="str">
        <x:v>Tabel 2.5</x:v>
      </x:c>
      <x:c r="Q104" s="9" t="str">
        <x:v>Badan Pusat Statistik</x:v>
      </x:c>
      <x:c r="R104" s="9" t="str">
        <x:v>Machine extraction from official PDF table; row-count and national-total QA</x:v>
      </x:c>
    </x:row>
    <x:row r="105" ht="18" customHeight="1">
      <x:c r="A105" s="6" t="str">
        <x:v>72</x:v>
      </x:c>
      <x:c r="B105" s="6" t="str">
        <x:v>SULAWESI TENGAH</x:v>
      </x:c>
      <x:c r="C105" s="6" t="str">
        <x:v>2026</x:v>
      </x:c>
      <x:c r="D105" s="6" t="str">
        <x:v>3189800</x:v>
      </x:c>
      <x:c r="E105" s="6" t="str">
        <x:v>52.0</x:v>
      </x:c>
      <x:c r="F105" s="9" t="str">
        <x:v>2026-06-30</x:v>
      </x:c>
      <x:c r="G105" s="9" t="str">
        <x:v>Statistik_Indonesia_2026.pdf</x:v>
      </x:c>
      <x:c r="H105" s="9" t="str">
        <x:v>Tabel 3.1.1</x:v>
      </x:c>
      <x:c r="I105" s="8" t="str"/>
      <x:c r="J105" s="9" t="str"/>
      <x:c r="K105" s="9" t="str"/>
      <x:c r="L105" s="9" t="str"/>
      <x:c r="M105" s="8" t="str"/>
      <x:c r="N105" s="9" t="str"/>
      <x:c r="O105" s="9" t="str"/>
      <x:c r="P105" s="9" t="str"/>
      <x:c r="Q105" s="9" t="str">
        <x:v>Badan Pusat Statistik</x:v>
      </x:c>
      <x:c r="R105" s="9" t="str">
        <x:v>Machine extraction from official PDF table; row-count and national-total QA</x:v>
      </x:c>
    </x:row>
    <x:row r="106" ht="18" customHeight="1">
      <x:c r="A106" s="6" t="str">
        <x:v>73</x:v>
      </x:c>
      <x:c r="B106" s="6" t="str">
        <x:v>SULAWESI SELATAN</x:v>
      </x:c>
      <x:c r="C106" s="6" t="str">
        <x:v>2023</x:v>
      </x:c>
      <x:c r="D106" s="6" t="str">
        <x:v>9362300</x:v>
      </x:c>
      <x:c r="E106" s="6" t="str">
        <x:v>207.0</x:v>
      </x:c>
      <x:c r="F106" s="9" t="str">
        <x:v>2023-06-30</x:v>
      </x:c>
      <x:c r="G106" s="9" t="str">
        <x:v>Statistik_Indonesia_2024.pdf</x:v>
      </x:c>
      <x:c r="H106" s="9" t="str">
        <x:v>Tabel 3.1.1</x:v>
      </x:c>
      <x:c r="I106" s="8" t="str">
        <x:v>93.69</x:v>
      </x:c>
      <x:c r="J106" s="9" t="str">
        <x:v>2023 (Susenas)</x:v>
      </x:c>
      <x:c r="K106" s="9" t="str">
        <x:v>Indikator_SDGS_Kesejahteraan_Rakyat_2025.pdf</x:v>
      </x:c>
      <x:c r="L106" s="9" t="str">
        <x:v>Tabel 5.4</x:v>
      </x:c>
      <x:c r="M106" s="8" t="str"/>
      <x:c r="N106" s="9" t="str"/>
      <x:c r="O106" s="9" t="str"/>
      <x:c r="P106" s="9" t="str"/>
      <x:c r="Q106" s="9" t="str">
        <x:v>Badan Pusat Statistik</x:v>
      </x:c>
      <x:c r="R106" s="9" t="str">
        <x:v>Machine extraction from official PDF table; row-count and national-total QA</x:v>
      </x:c>
    </x:row>
    <x:row r="107" ht="18" customHeight="1">
      <x:c r="A107" s="6" t="str">
        <x:v>73</x:v>
      </x:c>
      <x:c r="B107" s="6" t="str">
        <x:v>SULAWESI SELATAN</x:v>
      </x:c>
      <x:c r="C107" s="6" t="str">
        <x:v>2024</x:v>
      </x:c>
      <x:c r="D107" s="6" t="str">
        <x:v>9463400</x:v>
      </x:c>
      <x:c r="E107" s="6" t="str">
        <x:v>209.0</x:v>
      </x:c>
      <x:c r="F107" s="9" t="str">
        <x:v>2024-06-30</x:v>
      </x:c>
      <x:c r="G107" s="9" t="str">
        <x:v>Statistik_Indonesia_2025.pdf</x:v>
      </x:c>
      <x:c r="H107" s="9" t="str">
        <x:v>Tabel 3.1.1</x:v>
      </x:c>
      <x:c r="I107" s="8" t="str">
        <x:v>93.83</x:v>
      </x:c>
      <x:c r="J107" s="9" t="str">
        <x:v>2024 (Susenas)</x:v>
      </x:c>
      <x:c r="K107" s="9" t="str">
        <x:v>Indikator_SDGS_Kesejahteraan_Rakyat_2025.pdf</x:v>
      </x:c>
      <x:c r="L107" s="9" t="str">
        <x:v>Tabel 5.4</x:v>
      </x:c>
      <x:c r="M107" s="8" t="str">
        <x:v>8.06</x:v>
      </x:c>
      <x:c r="N107" s="9" t="str">
        <x:v>Maret 2024 (Susenas)</x:v>
      </x:c>
      <x:c r="O107" s="9" t="str">
        <x:v>Statistik_Indonesia_2025.pdf</x:v>
      </x:c>
      <x:c r="P107" s="9" t="str">
        <x:v>Tabel 4.6.2</x:v>
      </x:c>
      <x:c r="Q107" s="9" t="str">
        <x:v>Badan Pusat Statistik</x:v>
      </x:c>
      <x:c r="R107" s="9" t="str">
        <x:v>Machine extraction from official PDF table; row-count and national-total QA</x:v>
      </x:c>
    </x:row>
    <x:row r="108" ht="18" customHeight="1">
      <x:c r="A108" s="6" t="str">
        <x:v>73</x:v>
      </x:c>
      <x:c r="B108" s="6" t="str">
        <x:v>SULAWESI SELATAN</x:v>
      </x:c>
      <x:c r="C108" s="6" t="str">
        <x:v>2025</x:v>
      </x:c>
      <x:c r="D108" s="6" t="str">
        <x:v>9563100</x:v>
      </x:c>
      <x:c r="E108" s="6" t="str">
        <x:v>211.0</x:v>
      </x:c>
      <x:c r="F108" s="9" t="str">
        <x:v>2025-06-30</x:v>
      </x:c>
      <x:c r="G108" s="9" t="str">
        <x:v>Statistik_Indonesia_2025.pdf</x:v>
      </x:c>
      <x:c r="H108" s="9" t="str">
        <x:v>Tabel 3.1.1</x:v>
      </x:c>
      <x:c r="I108" s="8" t="str">
        <x:v>94.19</x:v>
      </x:c>
      <x:c r="J108" s="9" t="str">
        <x:v>2025 (Susenas)</x:v>
      </x:c>
      <x:c r="K108" s="9" t="str">
        <x:v>Indikator_SDGS_Kesejahteraan_Rakyat_2025.pdf</x:v>
      </x:c>
      <x:c r="L108" s="9" t="str">
        <x:v>Tabel 5.4</x:v>
      </x:c>
      <x:c r="M108" s="8" t="str">
        <x:v>7.6</x:v>
      </x:c>
      <x:c r="N108" s="9" t="str">
        <x:v>Maret 2025 (Susenas)</x:v>
      </x:c>
      <x:c r="O108" s="9" t="str">
        <x:v>Penghitungan_dan_Analisis_Kemiskinan_Makro_2025.pdf</x:v>
      </x:c>
      <x:c r="P108" s="9" t="str">
        <x:v>Tabel 2.5</x:v>
      </x:c>
      <x:c r="Q108" s="9" t="str">
        <x:v>Badan Pusat Statistik</x:v>
      </x:c>
      <x:c r="R108" s="9" t="str">
        <x:v>Machine extraction from official PDF table; row-count and national-total QA</x:v>
      </x:c>
    </x:row>
    <x:row r="109" ht="18" customHeight="1">
      <x:c r="A109" s="6" t="str">
        <x:v>73</x:v>
      </x:c>
      <x:c r="B109" s="6" t="str">
        <x:v>SULAWESI SELATAN</x:v>
      </x:c>
      <x:c r="C109" s="6" t="str">
        <x:v>2026</x:v>
      </x:c>
      <x:c r="D109" s="6" t="str">
        <x:v>9661300</x:v>
      </x:c>
      <x:c r="E109" s="6" t="str">
        <x:v>213.0</x:v>
      </x:c>
      <x:c r="F109" s="9" t="str">
        <x:v>2026-06-30</x:v>
      </x:c>
      <x:c r="G109" s="9" t="str">
        <x:v>Statistik_Indonesia_2026.pdf</x:v>
      </x:c>
      <x:c r="H109" s="9" t="str">
        <x:v>Tabel 3.1.1</x:v>
      </x:c>
      <x:c r="I109" s="8" t="str"/>
      <x:c r="J109" s="9" t="str"/>
      <x:c r="K109" s="9" t="str"/>
      <x:c r="L109" s="9" t="str"/>
      <x:c r="M109" s="8" t="str"/>
      <x:c r="N109" s="9" t="str"/>
      <x:c r="O109" s="9" t="str"/>
      <x:c r="P109" s="9" t="str"/>
      <x:c r="Q109" s="9" t="str">
        <x:v>Badan Pusat Statistik</x:v>
      </x:c>
      <x:c r="R109" s="9" t="str">
        <x:v>Machine extraction from official PDF table; row-count and national-total QA</x:v>
      </x:c>
    </x:row>
    <x:row r="110" ht="18" customHeight="1">
      <x:c r="A110" s="6" t="str">
        <x:v>74</x:v>
      </x:c>
      <x:c r="B110" s="6" t="str">
        <x:v>SULAWESI TENGGARA</x:v>
      </x:c>
      <x:c r="C110" s="6" t="str">
        <x:v>2023</x:v>
      </x:c>
      <x:c r="D110" s="6" t="str">
        <x:v>2749000</x:v>
      </x:c>
      <x:c r="E110" s="6" t="str">
        <x:v>76.0</x:v>
      </x:c>
      <x:c r="F110" s="9" t="str">
        <x:v>2023-06-30</x:v>
      </x:c>
      <x:c r="G110" s="9" t="str">
        <x:v>Statistik_Indonesia_2024.pdf</x:v>
      </x:c>
      <x:c r="H110" s="9" t="str">
        <x:v>Tabel 3.1.1</x:v>
      </x:c>
      <x:c r="I110" s="8" t="str">
        <x:v>88.99</x:v>
      </x:c>
      <x:c r="J110" s="9" t="str">
        <x:v>2023 (Susenas)</x:v>
      </x:c>
      <x:c r="K110" s="9" t="str">
        <x:v>Indikator_SDGS_Kesejahteraan_Rakyat_2025.pdf</x:v>
      </x:c>
      <x:c r="L110" s="9" t="str">
        <x:v>Tabel 5.4</x:v>
      </x:c>
      <x:c r="M110" s="8" t="str"/>
      <x:c r="N110" s="9" t="str"/>
      <x:c r="O110" s="9" t="str"/>
      <x:c r="P110" s="9" t="str"/>
      <x:c r="Q110" s="9" t="str">
        <x:v>Badan Pusat Statistik</x:v>
      </x:c>
      <x:c r="R110" s="9" t="str">
        <x:v>Machine extraction from official PDF table; row-count and national-total QA</x:v>
      </x:c>
    </x:row>
    <x:row r="111" ht="18" customHeight="1">
      <x:c r="A111" s="6" t="str">
        <x:v>74</x:v>
      </x:c>
      <x:c r="B111" s="6" t="str">
        <x:v>SULAWESI TENGGARA</x:v>
      </x:c>
      <x:c r="C111" s="6" t="str">
        <x:v>2024</x:v>
      </x:c>
      <x:c r="D111" s="6" t="str">
        <x:v>2793100</x:v>
      </x:c>
      <x:c r="E111" s="6" t="str">
        <x:v>77.0</x:v>
      </x:c>
      <x:c r="F111" s="9" t="str">
        <x:v>2024-06-30</x:v>
      </x:c>
      <x:c r="G111" s="9" t="str">
        <x:v>Statistik_Indonesia_2025.pdf</x:v>
      </x:c>
      <x:c r="H111" s="9" t="str">
        <x:v>Tabel 3.1.1</x:v>
      </x:c>
      <x:c r="I111" s="8" t="str">
        <x:v>90.6</x:v>
      </x:c>
      <x:c r="J111" s="9" t="str">
        <x:v>2024 (Susenas)</x:v>
      </x:c>
      <x:c r="K111" s="9" t="str">
        <x:v>Indikator_SDGS_Kesejahteraan_Rakyat_2025.pdf</x:v>
      </x:c>
      <x:c r="L111" s="9" t="str">
        <x:v>Tabel 5.4</x:v>
      </x:c>
      <x:c r="M111" s="8" t="str">
        <x:v>11.21</x:v>
      </x:c>
      <x:c r="N111" s="9" t="str">
        <x:v>Maret 2024 (Susenas)</x:v>
      </x:c>
      <x:c r="O111" s="9" t="str">
        <x:v>Statistik_Indonesia_2025.pdf</x:v>
      </x:c>
      <x:c r="P111" s="9" t="str">
        <x:v>Tabel 4.6.2</x:v>
      </x:c>
      <x:c r="Q111" s="9" t="str">
        <x:v>Badan Pusat Statistik</x:v>
      </x:c>
      <x:c r="R111" s="9" t="str">
        <x:v>Machine extraction from official PDF table; row-count and national-total QA</x:v>
      </x:c>
    </x:row>
    <x:row r="112" ht="18" customHeight="1">
      <x:c r="A112" s="6" t="str">
        <x:v>74</x:v>
      </x:c>
      <x:c r="B112" s="6" t="str">
        <x:v>SULAWESI TENGGARA</x:v>
      </x:c>
      <x:c r="C112" s="6" t="str">
        <x:v>2025</x:v>
      </x:c>
      <x:c r="D112" s="6" t="str">
        <x:v>2836700</x:v>
      </x:c>
      <x:c r="E112" s="6" t="str">
        <x:v>78.0</x:v>
      </x:c>
      <x:c r="F112" s="9" t="str">
        <x:v>2025-06-30</x:v>
      </x:c>
      <x:c r="G112" s="9" t="str">
        <x:v>Statistik_Indonesia_2025.pdf</x:v>
      </x:c>
      <x:c r="H112" s="9" t="str">
        <x:v>Tabel 3.1.1</x:v>
      </x:c>
      <x:c r="I112" s="8" t="str">
        <x:v>91.96</x:v>
      </x:c>
      <x:c r="J112" s="9" t="str">
        <x:v>2025 (Susenas)</x:v>
      </x:c>
      <x:c r="K112" s="9" t="str">
        <x:v>Indikator_SDGS_Kesejahteraan_Rakyat_2025.pdf</x:v>
      </x:c>
      <x:c r="L112" s="9" t="str">
        <x:v>Tabel 5.4</x:v>
      </x:c>
      <x:c r="M112" s="8" t="str">
        <x:v>10.54</x:v>
      </x:c>
      <x:c r="N112" s="9" t="str">
        <x:v>Maret 2025 (Susenas)</x:v>
      </x:c>
      <x:c r="O112" s="9" t="str">
        <x:v>Penghitungan_dan_Analisis_Kemiskinan_Makro_2025.pdf</x:v>
      </x:c>
      <x:c r="P112" s="9" t="str">
        <x:v>Tabel 2.5</x:v>
      </x:c>
      <x:c r="Q112" s="9" t="str">
        <x:v>Badan Pusat Statistik</x:v>
      </x:c>
      <x:c r="R112" s="9" t="str">
        <x:v>Machine extraction from official PDF table; row-count and national-total QA</x:v>
      </x:c>
    </x:row>
    <x:row r="113" ht="18" customHeight="1">
      <x:c r="A113" s="6" t="str">
        <x:v>74</x:v>
      </x:c>
      <x:c r="B113" s="6" t="str">
        <x:v>SULAWESI TENGGARA</x:v>
      </x:c>
      <x:c r="C113" s="6" t="str">
        <x:v>2026</x:v>
      </x:c>
      <x:c r="D113" s="6" t="str">
        <x:v>2880000</x:v>
      </x:c>
      <x:c r="E113" s="6" t="str">
        <x:v>80.0</x:v>
      </x:c>
      <x:c r="F113" s="9" t="str">
        <x:v>2026-06-30</x:v>
      </x:c>
      <x:c r="G113" s="9" t="str">
        <x:v>Statistik_Indonesia_2026.pdf</x:v>
      </x:c>
      <x:c r="H113" s="9" t="str">
        <x:v>Tabel 3.1.1</x:v>
      </x:c>
      <x:c r="I113" s="8" t="str"/>
      <x:c r="J113" s="9" t="str"/>
      <x:c r="K113" s="9" t="str"/>
      <x:c r="L113" s="9" t="str"/>
      <x:c r="M113" s="8" t="str"/>
      <x:c r="N113" s="9" t="str"/>
      <x:c r="O113" s="9" t="str"/>
      <x:c r="P113" s="9" t="str"/>
      <x:c r="Q113" s="9" t="str">
        <x:v>Badan Pusat Statistik</x:v>
      </x:c>
      <x:c r="R113" s="9" t="str">
        <x:v>Machine extraction from official PDF table; row-count and national-total QA</x:v>
      </x:c>
    </x:row>
    <x:row r="114" ht="18" customHeight="1">
      <x:c r="A114" s="6" t="str">
        <x:v>75</x:v>
      </x:c>
      <x:c r="B114" s="6" t="str">
        <x:v>GORONTALO</x:v>
      </x:c>
      <x:c r="C114" s="6" t="str">
        <x:v>2023</x:v>
      </x:c>
      <x:c r="D114" s="6" t="str">
        <x:v>1213200</x:v>
      </x:c>
      <x:c r="E114" s="6" t="str">
        <x:v>101.0</x:v>
      </x:c>
      <x:c r="F114" s="9" t="str">
        <x:v>2023-06-30</x:v>
      </x:c>
      <x:c r="G114" s="9" t="str">
        <x:v>Statistik_Indonesia_2024.pdf</x:v>
      </x:c>
      <x:c r="H114" s="9" t="str">
        <x:v>Tabel 3.1.1</x:v>
      </x:c>
      <x:c r="I114" s="8" t="str">
        <x:v>81.7</x:v>
      </x:c>
      <x:c r="J114" s="9" t="str">
        <x:v>2023 (Susenas)</x:v>
      </x:c>
      <x:c r="K114" s="9" t="str">
        <x:v>Indikator_SDGS_Kesejahteraan_Rakyat_2025.pdf</x:v>
      </x:c>
      <x:c r="L114" s="9" t="str">
        <x:v>Tabel 5.4</x:v>
      </x:c>
      <x:c r="M114" s="8" t="str"/>
      <x:c r="N114" s="9" t="str"/>
      <x:c r="O114" s="9" t="str"/>
      <x:c r="P114" s="9" t="str"/>
      <x:c r="Q114" s="9" t="str">
        <x:v>Badan Pusat Statistik</x:v>
      </x:c>
      <x:c r="R114" s="9" t="str">
        <x:v>Machine extraction from official PDF table; row-count and national-total QA</x:v>
      </x:c>
    </x:row>
    <x:row r="115" ht="18" customHeight="1">
      <x:c r="A115" s="6" t="str">
        <x:v>75</x:v>
      </x:c>
      <x:c r="B115" s="6" t="str">
        <x:v>GORONTALO</x:v>
      </x:c>
      <x:c r="C115" s="6" t="str">
        <x:v>2024</x:v>
      </x:c>
      <x:c r="D115" s="6" t="str">
        <x:v>1227800</x:v>
      </x:c>
      <x:c r="E115" s="6" t="str">
        <x:v>102.0</x:v>
      </x:c>
      <x:c r="F115" s="9" t="str">
        <x:v>2024-06-30</x:v>
      </x:c>
      <x:c r="G115" s="9" t="str">
        <x:v>Statistik_Indonesia_2025.pdf</x:v>
      </x:c>
      <x:c r="H115" s="9" t="str">
        <x:v>Tabel 3.1.1</x:v>
      </x:c>
      <x:c r="I115" s="8" t="str">
        <x:v>82.99</x:v>
      </x:c>
      <x:c r="J115" s="9" t="str">
        <x:v>2024 (Susenas)</x:v>
      </x:c>
      <x:c r="K115" s="9" t="str">
        <x:v>Indikator_SDGS_Kesejahteraan_Rakyat_2025.pdf</x:v>
      </x:c>
      <x:c r="L115" s="9" t="str">
        <x:v>Tabel 5.4</x:v>
      </x:c>
      <x:c r="M115" s="8" t="str">
        <x:v>14.57</x:v>
      </x:c>
      <x:c r="N115" s="9" t="str">
        <x:v>Maret 2024 (Susenas)</x:v>
      </x:c>
      <x:c r="O115" s="9" t="str">
        <x:v>Statistik_Indonesia_2025.pdf</x:v>
      </x:c>
      <x:c r="P115" s="9" t="str">
        <x:v>Tabel 4.6.2</x:v>
      </x:c>
      <x:c r="Q115" s="9" t="str">
        <x:v>Badan Pusat Statistik</x:v>
      </x:c>
      <x:c r="R115" s="9" t="str">
        <x:v>Machine extraction from official PDF table; row-count and national-total QA</x:v>
      </x:c>
    </x:row>
    <x:row r="116" ht="18" customHeight="1">
      <x:c r="A116" s="6" t="str">
        <x:v>75</x:v>
      </x:c>
      <x:c r="B116" s="6" t="str">
        <x:v>GORONTALO</x:v>
      </x:c>
      <x:c r="C116" s="6" t="str">
        <x:v>2025</x:v>
      </x:c>
      <x:c r="D116" s="6" t="str">
        <x:v>1242200</x:v>
      </x:c>
      <x:c r="E116" s="6" t="str">
        <x:v>103.0</x:v>
      </x:c>
      <x:c r="F116" s="9" t="str">
        <x:v>2025-06-30</x:v>
      </x:c>
      <x:c r="G116" s="9" t="str">
        <x:v>Statistik_Indonesia_2025.pdf</x:v>
      </x:c>
      <x:c r="H116" s="9" t="str">
        <x:v>Tabel 3.1.1</x:v>
      </x:c>
      <x:c r="I116" s="8" t="str">
        <x:v>84.7</x:v>
      </x:c>
      <x:c r="J116" s="9" t="str">
        <x:v>2025 (Susenas)</x:v>
      </x:c>
      <x:c r="K116" s="9" t="str">
        <x:v>Indikator_SDGS_Kesejahteraan_Rakyat_2025.pdf</x:v>
      </x:c>
      <x:c r="L116" s="9" t="str">
        <x:v>Tabel 5.4</x:v>
      </x:c>
      <x:c r="M116" s="8" t="str">
        <x:v>13.24</x:v>
      </x:c>
      <x:c r="N116" s="9" t="str">
        <x:v>Maret 2025 (Susenas)</x:v>
      </x:c>
      <x:c r="O116" s="9" t="str">
        <x:v>Penghitungan_dan_Analisis_Kemiskinan_Makro_2025.pdf</x:v>
      </x:c>
      <x:c r="P116" s="9" t="str">
        <x:v>Tabel 2.5</x:v>
      </x:c>
      <x:c r="Q116" s="9" t="str">
        <x:v>Badan Pusat Statistik</x:v>
      </x:c>
      <x:c r="R116" s="9" t="str">
        <x:v>Machine extraction from official PDF table; row-count and national-total QA</x:v>
      </x:c>
    </x:row>
    <x:row r="117" ht="18" customHeight="1">
      <x:c r="A117" s="6" t="str">
        <x:v>75</x:v>
      </x:c>
      <x:c r="B117" s="6" t="str">
        <x:v>GORONTALO</x:v>
      </x:c>
      <x:c r="C117" s="6" t="str">
        <x:v>2026</x:v>
      </x:c>
      <x:c r="D117" s="6" t="str">
        <x:v>1256400</x:v>
      </x:c>
      <x:c r="E117" s="6" t="str">
        <x:v>104.0</x:v>
      </x:c>
      <x:c r="F117" s="9" t="str">
        <x:v>2026-06-30</x:v>
      </x:c>
      <x:c r="G117" s="9" t="str">
        <x:v>Statistik_Indonesia_2026.pdf</x:v>
      </x:c>
      <x:c r="H117" s="9" t="str">
        <x:v>Tabel 3.1.1</x:v>
      </x:c>
      <x:c r="I117" s="8" t="str"/>
      <x:c r="J117" s="9" t="str"/>
      <x:c r="K117" s="9" t="str"/>
      <x:c r="L117" s="9" t="str"/>
      <x:c r="M117" s="8" t="str"/>
      <x:c r="N117" s="9" t="str"/>
      <x:c r="O117" s="9" t="str"/>
      <x:c r="P117" s="9" t="str"/>
      <x:c r="Q117" s="9" t="str">
        <x:v>Badan Pusat Statistik</x:v>
      </x:c>
      <x:c r="R117" s="9" t="str">
        <x:v>Machine extraction from official PDF table; row-count and national-total QA</x:v>
      </x:c>
    </x:row>
    <x:row r="118" ht="18" customHeight="1">
      <x:c r="A118" s="6" t="str">
        <x:v>76</x:v>
      </x:c>
      <x:c r="B118" s="6" t="str">
        <x:v>SULAWESI BARAT</x:v>
      </x:c>
      <x:c r="C118" s="6" t="str">
        <x:v>2023</x:v>
      </x:c>
      <x:c r="D118" s="6" t="str">
        <x:v>1481100</x:v>
      </x:c>
      <x:c r="E118" s="6" t="str">
        <x:v>89.0</x:v>
      </x:c>
      <x:c r="F118" s="9" t="str">
        <x:v>2023-06-30</x:v>
      </x:c>
      <x:c r="G118" s="9" t="str">
        <x:v>Statistik_Indonesia_2024.pdf</x:v>
      </x:c>
      <x:c r="H118" s="9" t="str">
        <x:v>Tabel 3.1.1</x:v>
      </x:c>
      <x:c r="I118" s="8" t="str">
        <x:v>80.73</x:v>
      </x:c>
      <x:c r="J118" s="9" t="str">
        <x:v>2023 (Susenas)</x:v>
      </x:c>
      <x:c r="K118" s="9" t="str">
        <x:v>Indikator_SDGS_Kesejahteraan_Rakyat_2025.pdf</x:v>
      </x:c>
      <x:c r="L118" s="9" t="str">
        <x:v>Tabel 5.4</x:v>
      </x:c>
      <x:c r="M118" s="8" t="str"/>
      <x:c r="N118" s="9" t="str"/>
      <x:c r="O118" s="9" t="str"/>
      <x:c r="P118" s="9" t="str"/>
      <x:c r="Q118" s="9" t="str">
        <x:v>Badan Pusat Statistik</x:v>
      </x:c>
      <x:c r="R118" s="9" t="str">
        <x:v>Machine extraction from official PDF table; row-count and national-total QA</x:v>
      </x:c>
    </x:row>
    <x:row r="119" ht="18" customHeight="1">
      <x:c r="A119" s="6" t="str">
        <x:v>76</x:v>
      </x:c>
      <x:c r="B119" s="6" t="str">
        <x:v>SULAWESI BARAT</x:v>
      </x:c>
      <x:c r="C119" s="6" t="str">
        <x:v>2024</x:v>
      </x:c>
      <x:c r="D119" s="6" t="str">
        <x:v>1503200</x:v>
      </x:c>
      <x:c r="E119" s="6" t="str">
        <x:v>91.0</x:v>
      </x:c>
      <x:c r="F119" s="9" t="str">
        <x:v>2024-06-30</x:v>
      </x:c>
      <x:c r="G119" s="9" t="str">
        <x:v>Statistik_Indonesia_2025.pdf</x:v>
      </x:c>
      <x:c r="H119" s="9" t="str">
        <x:v>Tabel 3.1.1</x:v>
      </x:c>
      <x:c r="I119" s="8" t="str">
        <x:v>82.5</x:v>
      </x:c>
      <x:c r="J119" s="9" t="str">
        <x:v>2024 (Susenas)</x:v>
      </x:c>
      <x:c r="K119" s="9" t="str">
        <x:v>Indikator_SDGS_Kesejahteraan_Rakyat_2025.pdf</x:v>
      </x:c>
      <x:c r="L119" s="9" t="str">
        <x:v>Tabel 5.4</x:v>
      </x:c>
      <x:c r="M119" s="8" t="str">
        <x:v>11.21</x:v>
      </x:c>
      <x:c r="N119" s="9" t="str">
        <x:v>Maret 2024 (Susenas)</x:v>
      </x:c>
      <x:c r="O119" s="9" t="str">
        <x:v>Statistik_Indonesia_2025.pdf</x:v>
      </x:c>
      <x:c r="P119" s="9" t="str">
        <x:v>Tabel 4.6.2</x:v>
      </x:c>
      <x:c r="Q119" s="9" t="str">
        <x:v>Badan Pusat Statistik</x:v>
      </x:c>
      <x:c r="R119" s="9" t="str">
        <x:v>Machine extraction from official PDF table; row-count and national-total QA</x:v>
      </x:c>
    </x:row>
    <x:row r="120" ht="18" customHeight="1">
      <x:c r="A120" s="6" t="str">
        <x:v>76</x:v>
      </x:c>
      <x:c r="B120" s="6" t="str">
        <x:v>SULAWESI BARAT</x:v>
      </x:c>
      <x:c r="C120" s="6" t="str">
        <x:v>2025</x:v>
      </x:c>
      <x:c r="D120" s="6" t="str">
        <x:v>1525300</x:v>
      </x:c>
      <x:c r="E120" s="6" t="str">
        <x:v>92.0</x:v>
      </x:c>
      <x:c r="F120" s="9" t="str">
        <x:v>2025-06-30</x:v>
      </x:c>
      <x:c r="G120" s="9" t="str">
        <x:v>Statistik_Indonesia_2025.pdf</x:v>
      </x:c>
      <x:c r="H120" s="9" t="str">
        <x:v>Tabel 3.1.1</x:v>
      </x:c>
      <x:c r="I120" s="8" t="str">
        <x:v>85.98</x:v>
      </x:c>
      <x:c r="J120" s="9" t="str">
        <x:v>2025 (Susenas)</x:v>
      </x:c>
      <x:c r="K120" s="9" t="str">
        <x:v>Indikator_SDGS_Kesejahteraan_Rakyat_2025.pdf</x:v>
      </x:c>
      <x:c r="L120" s="9" t="str">
        <x:v>Tabel 5.4</x:v>
      </x:c>
      <x:c r="M120" s="8" t="str">
        <x:v>10.41</x:v>
      </x:c>
      <x:c r="N120" s="9" t="str">
        <x:v>Maret 2025 (Susenas)</x:v>
      </x:c>
      <x:c r="O120" s="9" t="str">
        <x:v>Penghitungan_dan_Analisis_Kemiskinan_Makro_2025.pdf</x:v>
      </x:c>
      <x:c r="P120" s="9" t="str">
        <x:v>Tabel 2.5</x:v>
      </x:c>
      <x:c r="Q120" s="9" t="str">
        <x:v>Badan Pusat Statistik</x:v>
      </x:c>
      <x:c r="R120" s="9" t="str">
        <x:v>Machine extraction from official PDF table; row-count and national-total QA</x:v>
      </x:c>
    </x:row>
    <x:row r="121" ht="18" customHeight="1">
      <x:c r="A121" s="6" t="str">
        <x:v>76</x:v>
      </x:c>
      <x:c r="B121" s="6" t="str">
        <x:v>SULAWESI BARAT</x:v>
      </x:c>
      <x:c r="C121" s="6" t="str">
        <x:v>2026</x:v>
      </x:c>
      <x:c r="D121" s="6" t="str">
        <x:v>1547400</x:v>
      </x:c>
      <x:c r="E121" s="6" t="str">
        <x:v>93.0</x:v>
      </x:c>
      <x:c r="F121" s="9" t="str">
        <x:v>2026-06-30</x:v>
      </x:c>
      <x:c r="G121" s="9" t="str">
        <x:v>Statistik_Indonesia_2026.pdf</x:v>
      </x:c>
      <x:c r="H121" s="9" t="str">
        <x:v>Tabel 3.1.1</x:v>
      </x:c>
      <x:c r="I121" s="8" t="str"/>
      <x:c r="J121" s="9" t="str"/>
      <x:c r="K121" s="9" t="str"/>
      <x:c r="L121" s="9" t="str"/>
      <x:c r="M121" s="8" t="str"/>
      <x:c r="N121" s="9" t="str"/>
      <x:c r="O121" s="9" t="str"/>
      <x:c r="P121" s="9" t="str"/>
      <x:c r="Q121" s="9" t="str">
        <x:v>Badan Pusat Statistik</x:v>
      </x:c>
      <x:c r="R121" s="9" t="str">
        <x:v>Machine extraction from official PDF table; row-count and national-total QA</x:v>
      </x:c>
    </x:row>
    <x:row r="122" ht="18" customHeight="1">
      <x:c r="A122" s="6" t="str">
        <x:v>81</x:v>
      </x:c>
      <x:c r="B122" s="6" t="str">
        <x:v>MALUKU</x:v>
      </x:c>
      <x:c r="C122" s="6" t="str">
        <x:v>2023</x:v>
      </x:c>
      <x:c r="D122" s="6" t="str">
        <x:v>1920500</x:v>
      </x:c>
      <x:c r="E122" s="6" t="str">
        <x:v>42.0</x:v>
      </x:c>
      <x:c r="F122" s="9" t="str">
        <x:v>2023-06-30</x:v>
      </x:c>
      <x:c r="G122" s="9" t="str">
        <x:v>Statistik_Indonesia_2024.pdf</x:v>
      </x:c>
      <x:c r="H122" s="9" t="str">
        <x:v>Tabel 3.1.1</x:v>
      </x:c>
      <x:c r="I122" s="8" t="str">
        <x:v>78.17</x:v>
      </x:c>
      <x:c r="J122" s="9" t="str">
        <x:v>2023 (Susenas)</x:v>
      </x:c>
      <x:c r="K122" s="9" t="str">
        <x:v>Indikator_SDGS_Kesejahteraan_Rakyat_2025.pdf</x:v>
      </x:c>
      <x:c r="L122" s="9" t="str">
        <x:v>Tabel 5.4</x:v>
      </x:c>
      <x:c r="M122" s="8" t="str"/>
      <x:c r="N122" s="9" t="str"/>
      <x:c r="O122" s="9" t="str"/>
      <x:c r="P122" s="9" t="str"/>
      <x:c r="Q122" s="9" t="str">
        <x:v>Badan Pusat Statistik</x:v>
      </x:c>
      <x:c r="R122" s="9" t="str">
        <x:v>Machine extraction from official PDF table; row-count and national-total QA</x:v>
      </x:c>
    </x:row>
    <x:row r="123" ht="18" customHeight="1">
      <x:c r="A123" s="6" t="str">
        <x:v>81</x:v>
      </x:c>
      <x:c r="B123" s="6" t="str">
        <x:v>MALUKU</x:v>
      </x:c>
      <x:c r="C123" s="6" t="str">
        <x:v>2024</x:v>
      </x:c>
      <x:c r="D123" s="6" t="str">
        <x:v>1945600</x:v>
      </x:c>
      <x:c r="E123" s="6" t="str">
        <x:v>42.0</x:v>
      </x:c>
      <x:c r="F123" s="9" t="str">
        <x:v>2024-06-30</x:v>
      </x:c>
      <x:c r="G123" s="9" t="str">
        <x:v>Statistik_Indonesia_2025.pdf</x:v>
      </x:c>
      <x:c r="H123" s="9" t="str">
        <x:v>Tabel 3.1.1</x:v>
      </x:c>
      <x:c r="I123" s="8" t="str">
        <x:v>80.5</x:v>
      </x:c>
      <x:c r="J123" s="9" t="str">
        <x:v>2024 (Susenas)</x:v>
      </x:c>
      <x:c r="K123" s="9" t="str">
        <x:v>Indikator_SDGS_Kesejahteraan_Rakyat_2025.pdf</x:v>
      </x:c>
      <x:c r="L123" s="9" t="str">
        <x:v>Tabel 5.4</x:v>
      </x:c>
      <x:c r="M123" s="8" t="str">
        <x:v>16.05</x:v>
      </x:c>
      <x:c r="N123" s="9" t="str">
        <x:v>Maret 2024 (Susenas)</x:v>
      </x:c>
      <x:c r="O123" s="9" t="str">
        <x:v>Statistik_Indonesia_2025.pdf</x:v>
      </x:c>
      <x:c r="P123" s="9" t="str">
        <x:v>Tabel 4.6.2</x:v>
      </x:c>
      <x:c r="Q123" s="9" t="str">
        <x:v>Badan Pusat Statistik</x:v>
      </x:c>
      <x:c r="R123" s="9" t="str">
        <x:v>Machine extraction from official PDF table; row-count and national-total QA</x:v>
      </x:c>
    </x:row>
    <x:row r="124" ht="18" customHeight="1">
      <x:c r="A124" s="6" t="str">
        <x:v>81</x:v>
      </x:c>
      <x:c r="B124" s="6" t="str">
        <x:v>MALUKU</x:v>
      </x:c>
      <x:c r="C124" s="6" t="str">
        <x:v>2025</x:v>
      </x:c>
      <x:c r="D124" s="6" t="str">
        <x:v>1970600</x:v>
      </x:c>
      <x:c r="E124" s="6" t="str">
        <x:v>43.0</x:v>
      </x:c>
      <x:c r="F124" s="9" t="str">
        <x:v>2025-06-30</x:v>
      </x:c>
      <x:c r="G124" s="9" t="str">
        <x:v>Statistik_Indonesia_2025.pdf</x:v>
      </x:c>
      <x:c r="H124" s="9" t="str">
        <x:v>Tabel 3.1.1</x:v>
      </x:c>
      <x:c r="I124" s="8" t="str">
        <x:v>83.09</x:v>
      </x:c>
      <x:c r="J124" s="9" t="str">
        <x:v>2025 (Susenas)</x:v>
      </x:c>
      <x:c r="K124" s="9" t="str">
        <x:v>Indikator_SDGS_Kesejahteraan_Rakyat_2025.pdf</x:v>
      </x:c>
      <x:c r="L124" s="9" t="str">
        <x:v>Tabel 5.4</x:v>
      </x:c>
      <x:c r="M124" s="8" t="str">
        <x:v>15.38</x:v>
      </x:c>
      <x:c r="N124" s="9" t="str">
        <x:v>Maret 2025 (Susenas)</x:v>
      </x:c>
      <x:c r="O124" s="9" t="str">
        <x:v>Penghitungan_dan_Analisis_Kemiskinan_Makro_2025.pdf</x:v>
      </x:c>
      <x:c r="P124" s="9" t="str">
        <x:v>Tabel 2.5</x:v>
      </x:c>
      <x:c r="Q124" s="9" t="str">
        <x:v>Badan Pusat Statistik</x:v>
      </x:c>
      <x:c r="R124" s="9" t="str">
        <x:v>Machine extraction from official PDF table; row-count and national-total QA</x:v>
      </x:c>
    </x:row>
    <x:row r="125" ht="18" customHeight="1">
      <x:c r="A125" s="6" t="str">
        <x:v>81</x:v>
      </x:c>
      <x:c r="B125" s="6" t="str">
        <x:v>MALUKU</x:v>
      </x:c>
      <x:c r="C125" s="6" t="str">
        <x:v>2026</x:v>
      </x:c>
      <x:c r="D125" s="6" t="str">
        <x:v>1995200</x:v>
      </x:c>
      <x:c r="E125" s="6" t="str">
        <x:v>43.0</x:v>
      </x:c>
      <x:c r="F125" s="9" t="str">
        <x:v>2026-06-30</x:v>
      </x:c>
      <x:c r="G125" s="9" t="str">
        <x:v>Statistik_Indonesia_2026.pdf</x:v>
      </x:c>
      <x:c r="H125" s="9" t="str">
        <x:v>Tabel 3.1.1</x:v>
      </x:c>
      <x:c r="I125" s="8" t="str"/>
      <x:c r="J125" s="9" t="str"/>
      <x:c r="K125" s="9" t="str"/>
      <x:c r="L125" s="9" t="str"/>
      <x:c r="M125" s="8" t="str"/>
      <x:c r="N125" s="9" t="str"/>
      <x:c r="O125" s="9" t="str"/>
      <x:c r="P125" s="9" t="str"/>
      <x:c r="Q125" s="9" t="str">
        <x:v>Badan Pusat Statistik</x:v>
      </x:c>
      <x:c r="R125" s="9" t="str">
        <x:v>Machine extraction from official PDF table; row-count and national-total QA</x:v>
      </x:c>
    </x:row>
    <x:row r="126" ht="18" customHeight="1">
      <x:c r="A126" s="6" t="str">
        <x:v>82</x:v>
      </x:c>
      <x:c r="B126" s="6" t="str">
        <x:v>MALUKU UTARA</x:v>
      </x:c>
      <x:c r="C126" s="6" t="str">
        <x:v>2023</x:v>
      </x:c>
      <x:c r="D126" s="6" t="str">
        <x:v>1337100</x:v>
      </x:c>
      <x:c r="E126" s="6" t="str">
        <x:v>41.0</x:v>
      </x:c>
      <x:c r="F126" s="9" t="str">
        <x:v>2023-06-30</x:v>
      </x:c>
      <x:c r="G126" s="9" t="str">
        <x:v>Statistik_Indonesia_2024.pdf</x:v>
      </x:c>
      <x:c r="H126" s="9" t="str">
        <x:v>Tabel 3.1.1</x:v>
      </x:c>
      <x:c r="I126" s="8" t="str">
        <x:v>80.64</x:v>
      </x:c>
      <x:c r="J126" s="9" t="str">
        <x:v>2023 (Susenas)</x:v>
      </x:c>
      <x:c r="K126" s="9" t="str">
        <x:v>Indikator_SDGS_Kesejahteraan_Rakyat_2025.pdf</x:v>
      </x:c>
      <x:c r="L126" s="9" t="str">
        <x:v>Tabel 5.4</x:v>
      </x:c>
      <x:c r="M126" s="8" t="str"/>
      <x:c r="N126" s="9" t="str"/>
      <x:c r="O126" s="9" t="str"/>
      <x:c r="P126" s="9" t="str"/>
      <x:c r="Q126" s="9" t="str">
        <x:v>Badan Pusat Statistik</x:v>
      </x:c>
      <x:c r="R126" s="9" t="str">
        <x:v>Machine extraction from official PDF table; row-count and national-total QA</x:v>
      </x:c>
    </x:row>
    <x:row r="127" ht="18" customHeight="1">
      <x:c r="A127" s="6" t="str">
        <x:v>82</x:v>
      </x:c>
      <x:c r="B127" s="6" t="str">
        <x:v>MALUKU UTARA</x:v>
      </x:c>
      <x:c r="C127" s="6" t="str">
        <x:v>2024</x:v>
      </x:c>
      <x:c r="D127" s="6" t="str">
        <x:v>1355600</x:v>
      </x:c>
      <x:c r="E127" s="6" t="str">
        <x:v>41.0</x:v>
      </x:c>
      <x:c r="F127" s="9" t="str">
        <x:v>2024-06-30</x:v>
      </x:c>
      <x:c r="G127" s="9" t="str">
        <x:v>Statistik_Indonesia_2025.pdf</x:v>
      </x:c>
      <x:c r="H127" s="9" t="str">
        <x:v>Tabel 3.1.1</x:v>
      </x:c>
      <x:c r="I127" s="8" t="str">
        <x:v>82.3</x:v>
      </x:c>
      <x:c r="J127" s="9" t="str">
        <x:v>2024 (Susenas)</x:v>
      </x:c>
      <x:c r="K127" s="9" t="str">
        <x:v>Indikator_SDGS_Kesejahteraan_Rakyat_2025.pdf</x:v>
      </x:c>
      <x:c r="L127" s="9" t="str">
        <x:v>Tabel 5.4</x:v>
      </x:c>
      <x:c r="M127" s="8" t="str">
        <x:v>6.32</x:v>
      </x:c>
      <x:c r="N127" s="9" t="str">
        <x:v>Maret 2024 (Susenas)</x:v>
      </x:c>
      <x:c r="O127" s="9" t="str">
        <x:v>Statistik_Indonesia_2025.pdf</x:v>
      </x:c>
      <x:c r="P127" s="9" t="str">
        <x:v>Tabel 4.6.2</x:v>
      </x:c>
      <x:c r="Q127" s="9" t="str">
        <x:v>Badan Pusat Statistik</x:v>
      </x:c>
      <x:c r="R127" s="9" t="str">
        <x:v>Machine extraction from official PDF table; row-count and national-total QA</x:v>
      </x:c>
    </x:row>
    <x:row r="128" ht="18" customHeight="1">
      <x:c r="A128" s="6" t="str">
        <x:v>82</x:v>
      </x:c>
      <x:c r="B128" s="6" t="str">
        <x:v>MALUKU UTARA</x:v>
      </x:c>
      <x:c r="C128" s="6" t="str">
        <x:v>2025</x:v>
      </x:c>
      <x:c r="D128" s="6" t="str">
        <x:v>1373800</x:v>
      </x:c>
      <x:c r="E128" s="6" t="str">
        <x:v>42.0</x:v>
      </x:c>
      <x:c r="F128" s="9" t="str">
        <x:v>2025-06-30</x:v>
      </x:c>
      <x:c r="G128" s="9" t="str">
        <x:v>Statistik_Indonesia_2025.pdf</x:v>
      </x:c>
      <x:c r="H128" s="9" t="str">
        <x:v>Tabel 3.1.1</x:v>
      </x:c>
      <x:c r="I128" s="8" t="str">
        <x:v>84.1</x:v>
      </x:c>
      <x:c r="J128" s="9" t="str">
        <x:v>2025 (Susenas)</x:v>
      </x:c>
      <x:c r="K128" s="9" t="str">
        <x:v>Indikator_SDGS_Kesejahteraan_Rakyat_2025.pdf</x:v>
      </x:c>
      <x:c r="L128" s="9" t="str">
        <x:v>Tabel 5.4</x:v>
      </x:c>
      <x:c r="M128" s="8" t="str">
        <x:v>5.81</x:v>
      </x:c>
      <x:c r="N128" s="9" t="str">
        <x:v>Maret 2025 (Susenas)</x:v>
      </x:c>
      <x:c r="O128" s="9" t="str">
        <x:v>Penghitungan_dan_Analisis_Kemiskinan_Makro_2025.pdf</x:v>
      </x:c>
      <x:c r="P128" s="9" t="str">
        <x:v>Tabel 2.5</x:v>
      </x:c>
      <x:c r="Q128" s="9" t="str">
        <x:v>Badan Pusat Statistik</x:v>
      </x:c>
      <x:c r="R128" s="9" t="str">
        <x:v>Machine extraction from official PDF table; row-count and national-total QA</x:v>
      </x:c>
    </x:row>
    <x:row r="129" ht="18" customHeight="1">
      <x:c r="A129" s="6" t="str">
        <x:v>82</x:v>
      </x:c>
      <x:c r="B129" s="6" t="str">
        <x:v>MALUKU UTARA</x:v>
      </x:c>
      <x:c r="C129" s="6" t="str">
        <x:v>2026</x:v>
      </x:c>
      <x:c r="D129" s="6" t="str">
        <x:v>1391700</x:v>
      </x:c>
      <x:c r="E129" s="6" t="str">
        <x:v>44.0</x:v>
      </x:c>
      <x:c r="F129" s="9" t="str">
        <x:v>2026-06-30</x:v>
      </x:c>
      <x:c r="G129" s="9" t="str">
        <x:v>Statistik_Indonesia_2026.pdf</x:v>
      </x:c>
      <x:c r="H129" s="9" t="str">
        <x:v>Tabel 3.1.1</x:v>
      </x:c>
      <x:c r="I129" s="8" t="str"/>
      <x:c r="J129" s="9" t="str"/>
      <x:c r="K129" s="9" t="str"/>
      <x:c r="L129" s="9" t="str"/>
      <x:c r="M129" s="8" t="str"/>
      <x:c r="N129" s="9" t="str"/>
      <x:c r="O129" s="9" t="str"/>
      <x:c r="P129" s="9" t="str"/>
      <x:c r="Q129" s="9" t="str">
        <x:v>Badan Pusat Statistik</x:v>
      </x:c>
      <x:c r="R129" s="9" t="str">
        <x:v>Machine extraction from official PDF table; row-count and national-total QA</x:v>
      </x:c>
    </x:row>
    <x:row r="130" ht="18" customHeight="1">
      <x:c r="A130" s="6" t="str">
        <x:v>91</x:v>
      </x:c>
      <x:c r="B130" s="6" t="str">
        <x:v>PAPUA BARAT</x:v>
      </x:c>
      <x:c r="C130" s="6" t="str">
        <x:v>2023</x:v>
      </x:c>
      <x:c r="D130" s="6" t="str">
        <x:v>569600</x:v>
      </x:c>
      <x:c r="E130" s="6" t="str">
        <x:v>9.0</x:v>
      </x:c>
      <x:c r="F130" s="9" t="str">
        <x:v>2023-06-30</x:v>
      </x:c>
      <x:c r="G130" s="9" t="str">
        <x:v>Statistik_Indonesia_2024.pdf</x:v>
      </x:c>
      <x:c r="H130" s="9" t="str">
        <x:v>Tabel 3.1.1</x:v>
      </x:c>
      <x:c r="I130" s="8" t="str">
        <x:v>76.3</x:v>
      </x:c>
      <x:c r="J130" s="9" t="str">
        <x:v>2023 (Susenas)</x:v>
      </x:c>
      <x:c r="K130" s="9" t="str">
        <x:v>Indikator_SDGS_Kesejahteraan_Rakyat_2025.pdf</x:v>
      </x:c>
      <x:c r="L130" s="9" t="str">
        <x:v>Tabel 5.4</x:v>
      </x:c>
      <x:c r="M130" s="8" t="str"/>
      <x:c r="N130" s="9" t="str"/>
      <x:c r="O130" s="9" t="str"/>
      <x:c r="P130" s="9" t="str"/>
      <x:c r="Q130" s="9" t="str">
        <x:v>Badan Pusat Statistik</x:v>
      </x:c>
      <x:c r="R130" s="9" t="str">
        <x:v>Machine extraction from official PDF table; row-count and national-total QA</x:v>
      </x:c>
    </x:row>
    <x:row r="131" ht="18" customHeight="1">
      <x:c r="A131" s="6" t="str">
        <x:v>91</x:v>
      </x:c>
      <x:c r="B131" s="6" t="str">
        <x:v>PAPUA BARAT</x:v>
      </x:c>
      <x:c r="C131" s="6" t="str">
        <x:v>2024</x:v>
      </x:c>
      <x:c r="D131" s="6" t="str">
        <x:v>578700</x:v>
      </x:c>
      <x:c r="E131" s="6" t="str">
        <x:v>10.0</x:v>
      </x:c>
      <x:c r="F131" s="9" t="str">
        <x:v>2024-06-30</x:v>
      </x:c>
      <x:c r="G131" s="9" t="str">
        <x:v>Statistik_Indonesia_2025.pdf</x:v>
      </x:c>
      <x:c r="H131" s="9" t="str">
        <x:v>Tabel 3.1.1</x:v>
      </x:c>
      <x:c r="I131" s="8" t="str">
        <x:v>79.0</x:v>
      </x:c>
      <x:c r="J131" s="9" t="str">
        <x:v>2024 (Susenas)</x:v>
      </x:c>
      <x:c r="K131" s="9" t="str">
        <x:v>Indikator_SDGS_Kesejahteraan_Rakyat_2025.pdf</x:v>
      </x:c>
      <x:c r="L131" s="9" t="str">
        <x:v>Tabel 5.4</x:v>
      </x:c>
      <x:c r="M131" s="8" t="str">
        <x:v>21.66</x:v>
      </x:c>
      <x:c r="N131" s="9" t="str">
        <x:v>Maret 2024 (Susenas)</x:v>
      </x:c>
      <x:c r="O131" s="9" t="str">
        <x:v>Statistik_Indonesia_2025.pdf</x:v>
      </x:c>
      <x:c r="P131" s="9" t="str">
        <x:v>Tabel 4.6.2</x:v>
      </x:c>
      <x:c r="Q131" s="9" t="str">
        <x:v>Badan Pusat Statistik</x:v>
      </x:c>
      <x:c r="R131" s="9" t="str">
        <x:v>Machine extraction from official PDF table; row-count and national-total QA</x:v>
      </x:c>
    </x:row>
    <x:row r="132" ht="18" customHeight="1">
      <x:c r="A132" s="6" t="str">
        <x:v>91</x:v>
      </x:c>
      <x:c r="B132" s="6" t="str">
        <x:v>PAPUA BARAT</x:v>
      </x:c>
      <x:c r="C132" s="6" t="str">
        <x:v>2025</x:v>
      </x:c>
      <x:c r="D132" s="6" t="str">
        <x:v>587600</x:v>
      </x:c>
      <x:c r="E132" s="6" t="str">
        <x:v>10.0</x:v>
      </x:c>
      <x:c r="F132" s="9" t="str">
        <x:v>2025-06-30</x:v>
      </x:c>
      <x:c r="G132" s="9" t="str">
        <x:v>Statistik_Indonesia_2025.pdf</x:v>
      </x:c>
      <x:c r="H132" s="9" t="str">
        <x:v>Tabel 3.1.1</x:v>
      </x:c>
      <x:c r="I132" s="8" t="str">
        <x:v>78.55</x:v>
      </x:c>
      <x:c r="J132" s="9" t="str">
        <x:v>2025 (Susenas)</x:v>
      </x:c>
      <x:c r="K132" s="9" t="str">
        <x:v>Indikator_SDGS_Kesejahteraan_Rakyat_2025.pdf</x:v>
      </x:c>
      <x:c r="L132" s="9" t="str">
        <x:v>Tabel 5.4</x:v>
      </x:c>
      <x:c r="M132" s="8" t="str">
        <x:v>20.66</x:v>
      </x:c>
      <x:c r="N132" s="9" t="str">
        <x:v>Maret 2025 (Susenas)</x:v>
      </x:c>
      <x:c r="O132" s="9" t="str">
        <x:v>Penghitungan_dan_Analisis_Kemiskinan_Makro_2025.pdf</x:v>
      </x:c>
      <x:c r="P132" s="9" t="str">
        <x:v>Tabel 2.5</x:v>
      </x:c>
      <x:c r="Q132" s="9" t="str">
        <x:v>Badan Pusat Statistik</x:v>
      </x:c>
      <x:c r="R132" s="9" t="str">
        <x:v>Machine extraction from official PDF table; row-count and national-total QA</x:v>
      </x:c>
    </x:row>
    <x:row r="133" ht="18" customHeight="1">
      <x:c r="A133" s="6" t="str">
        <x:v>91</x:v>
      </x:c>
      <x:c r="B133" s="6" t="str">
        <x:v>PAPUA BARAT</x:v>
      </x:c>
      <x:c r="C133" s="6" t="str">
        <x:v>2026</x:v>
      </x:c>
      <x:c r="D133" s="6" t="str">
        <x:v>596500</x:v>
      </x:c>
      <x:c r="E133" s="6" t="str">
        <x:v>10.0</x:v>
      </x:c>
      <x:c r="F133" s="9" t="str">
        <x:v>2026-06-30</x:v>
      </x:c>
      <x:c r="G133" s="9" t="str">
        <x:v>Statistik_Indonesia_2026.pdf</x:v>
      </x:c>
      <x:c r="H133" s="9" t="str">
        <x:v>Tabel 3.1.1</x:v>
      </x:c>
      <x:c r="I133" s="8" t="str"/>
      <x:c r="J133" s="9" t="str"/>
      <x:c r="K133" s="9" t="str"/>
      <x:c r="L133" s="9" t="str"/>
      <x:c r="M133" s="8" t="str"/>
      <x:c r="N133" s="9" t="str"/>
      <x:c r="O133" s="9" t="str"/>
      <x:c r="P133" s="9" t="str"/>
      <x:c r="Q133" s="9" t="str">
        <x:v>Badan Pusat Statistik</x:v>
      </x:c>
      <x:c r="R133" s="9" t="str">
        <x:v>Machine extraction from official PDF table; row-count and national-total QA</x:v>
      </x:c>
    </x:row>
    <x:row r="134" ht="18" customHeight="1">
      <x:c r="A134" s="6" t="str">
        <x:v>92</x:v>
      </x:c>
      <x:c r="B134" s="6" t="str">
        <x:v>PAPUA BARAT DAYA</x:v>
      </x:c>
      <x:c r="C134" s="6" t="str">
        <x:v>2023</x:v>
      </x:c>
      <x:c r="D134" s="6" t="str">
        <x:v>617700</x:v>
      </x:c>
      <x:c r="E134" s="6" t="str">
        <x:v>16.0</x:v>
      </x:c>
      <x:c r="F134" s="9" t="str">
        <x:v>2023-06-30</x:v>
      </x:c>
      <x:c r="G134" s="9" t="str">
        <x:v>Statistik_Indonesia_2024.pdf</x:v>
      </x:c>
      <x:c r="H134" s="9" t="str">
        <x:v>Tabel 3.1.1</x:v>
      </x:c>
      <x:c r="I134" s="8" t="str">
        <x:v>77.84</x:v>
      </x:c>
      <x:c r="J134" s="9" t="str">
        <x:v>2023 (Susenas)</x:v>
      </x:c>
      <x:c r="K134" s="9" t="str">
        <x:v>Indikator_SDGS_Kesejahteraan_Rakyat_2025.pdf</x:v>
      </x:c>
      <x:c r="L134" s="9" t="str">
        <x:v>Tabel 5.4</x:v>
      </x:c>
      <x:c r="M134" s="8" t="str"/>
      <x:c r="N134" s="9" t="str"/>
      <x:c r="O134" s="9" t="str"/>
      <x:c r="P134" s="9" t="str"/>
      <x:c r="Q134" s="9" t="str">
        <x:v>Badan Pusat Statistik</x:v>
      </x:c>
      <x:c r="R134" s="9" t="str">
        <x:v>Machine extraction from official PDF table; row-count and national-total QA</x:v>
      </x:c>
    </x:row>
    <x:row r="135" ht="18" customHeight="1">
      <x:c r="A135" s="6" t="str">
        <x:v>92</x:v>
      </x:c>
      <x:c r="B135" s="6" t="str">
        <x:v>PAPUA BARAT DAYA</x:v>
      </x:c>
      <x:c r="C135" s="6" t="str">
        <x:v>2024</x:v>
      </x:c>
      <x:c r="D135" s="6" t="str">
        <x:v>627100</x:v>
      </x:c>
      <x:c r="E135" s="6" t="str">
        <x:v>16.0</x:v>
      </x:c>
      <x:c r="F135" s="9" t="str">
        <x:v>2024-06-30</x:v>
      </x:c>
      <x:c r="G135" s="9" t="str">
        <x:v>Statistik_Indonesia_2025.pdf</x:v>
      </x:c>
      <x:c r="H135" s="9" t="str">
        <x:v>Tabel 3.1.1</x:v>
      </x:c>
      <x:c r="I135" s="8" t="str">
        <x:v>79.56</x:v>
      </x:c>
      <x:c r="J135" s="9" t="str">
        <x:v>2024 (Susenas)</x:v>
      </x:c>
      <x:c r="K135" s="9" t="str">
        <x:v>Indikator_SDGS_Kesejahteraan_Rakyat_2025.pdf</x:v>
      </x:c>
      <x:c r="L135" s="9" t="str">
        <x:v>Tabel 5.4</x:v>
      </x:c>
      <x:c r="M135" s="8" t="str">
        <x:v>915.153</x:v>
      </x:c>
      <x:c r="N135" s="9" t="str">
        <x:v>Maret 2024 (Susenas)</x:v>
      </x:c>
      <x:c r="O135" s="9" t="str">
        <x:v>Statistik_Indonesia_2025.pdf</x:v>
      </x:c>
      <x:c r="P135" s="9" t="str">
        <x:v>Tabel 4.6.2</x:v>
      </x:c>
      <x:c r="Q135" s="9" t="str">
        <x:v>Badan Pusat Statistik</x:v>
      </x:c>
      <x:c r="R135" s="9" t="str">
        <x:v>Machine extraction from official PDF table; row-count and national-total QA</x:v>
      </x:c>
    </x:row>
    <x:row r="136" ht="18" customHeight="1">
      <x:c r="A136" s="6" t="str">
        <x:v>92</x:v>
      </x:c>
      <x:c r="B136" s="6" t="str">
        <x:v>PAPUA BARAT DAYA</x:v>
      </x:c>
      <x:c r="C136" s="6" t="str">
        <x:v>2025</x:v>
      </x:c>
      <x:c r="D136" s="6" t="str">
        <x:v>636400</x:v>
      </x:c>
      <x:c r="E136" s="6" t="str">
        <x:v>16.0</x:v>
      </x:c>
      <x:c r="F136" s="9" t="str">
        <x:v>2025-06-30</x:v>
      </x:c>
      <x:c r="G136" s="9" t="str">
        <x:v>Statistik_Indonesia_2025.pdf</x:v>
      </x:c>
      <x:c r="H136" s="9" t="str">
        <x:v>Tabel 3.1.1</x:v>
      </x:c>
      <x:c r="I136" s="8" t="str">
        <x:v>43.0</x:v>
      </x:c>
      <x:c r="J136" s="9" t="str">
        <x:v>2025 (Susenas)</x:v>
      </x:c>
      <x:c r="K136" s="9" t="str">
        <x:v>Indikator_SDGS_Kesejahteraan_Rakyat_2025.pdf</x:v>
      </x:c>
      <x:c r="L136" s="9" t="str">
        <x:v>Tabel 5.4</x:v>
      </x:c>
      <x:c r="M136" s="8" t="str">
        <x:v>17.95</x:v>
      </x:c>
      <x:c r="N136" s="9" t="str">
        <x:v>Maret 2025 (Susenas)</x:v>
      </x:c>
      <x:c r="O136" s="9" t="str">
        <x:v>Penghitungan_dan_Analisis_Kemiskinan_Makro_2025.pdf</x:v>
      </x:c>
      <x:c r="P136" s="9" t="str">
        <x:v>Tabel 2.5</x:v>
      </x:c>
      <x:c r="Q136" s="9" t="str">
        <x:v>Badan Pusat Statistik</x:v>
      </x:c>
      <x:c r="R136" s="9" t="str">
        <x:v>Machine extraction from official PDF table; row-count and national-total QA</x:v>
      </x:c>
    </x:row>
    <x:row r="137" ht="18" customHeight="1">
      <x:c r="A137" s="6" t="str">
        <x:v>92</x:v>
      </x:c>
      <x:c r="B137" s="6" t="str">
        <x:v>PAPUA BARAT DAYA</x:v>
      </x:c>
      <x:c r="C137" s="6" t="str">
        <x:v>2026</x:v>
      </x:c>
      <x:c r="D137" s="6" t="str">
        <x:v>645500</x:v>
      </x:c>
      <x:c r="E137" s="6" t="str">
        <x:v>17.0</x:v>
      </x:c>
      <x:c r="F137" s="9" t="str">
        <x:v>2026-06-30</x:v>
      </x:c>
      <x:c r="G137" s="9" t="str">
        <x:v>Statistik_Indonesia_2026.pdf</x:v>
      </x:c>
      <x:c r="H137" s="9" t="str">
        <x:v>Tabel 3.1.1</x:v>
      </x:c>
      <x:c r="I137" s="8" t="str"/>
      <x:c r="J137" s="9" t="str"/>
      <x:c r="K137" s="9" t="str"/>
      <x:c r="L137" s="9" t="str"/>
      <x:c r="M137" s="8" t="str"/>
      <x:c r="N137" s="9" t="str"/>
      <x:c r="O137" s="9" t="str"/>
      <x:c r="P137" s="9" t="str"/>
      <x:c r="Q137" s="9" t="str">
        <x:v>Badan Pusat Statistik</x:v>
      </x:c>
      <x:c r="R137" s="9" t="str">
        <x:v>Machine extraction from official PDF table; row-count and national-total QA</x:v>
      </x:c>
    </x:row>
    <x:row r="138" ht="18" customHeight="1">
      <x:c r="A138" s="6" t="str">
        <x:v>94</x:v>
      </x:c>
      <x:c r="B138" s="6" t="str">
        <x:v>PAPUA</x:v>
      </x:c>
      <x:c r="C138" s="6" t="str">
        <x:v>2023</x:v>
      </x:c>
      <x:c r="D138" s="6" t="str">
        <x:v>1047100</x:v>
      </x:c>
      <x:c r="E138" s="6" t="str">
        <x:v>13.0</x:v>
      </x:c>
      <x:c r="F138" s="9" t="str">
        <x:v>2023-06-30</x:v>
      </x:c>
      <x:c r="G138" s="9" t="str">
        <x:v>Statistik_Indonesia_2024.pdf</x:v>
      </x:c>
      <x:c r="H138" s="9" t="str">
        <x:v>Tabel 3.1.1</x:v>
      </x:c>
      <x:c r="I138" s="8" t="str">
        <x:v>43.0</x:v>
      </x:c>
      <x:c r="J138" s="9" t="str">
        <x:v>2023 (Susenas)</x:v>
      </x:c>
      <x:c r="K138" s="9" t="str">
        <x:v>Indikator_SDGS_Kesejahteraan_Rakyat_2025.pdf</x:v>
      </x:c>
      <x:c r="L138" s="9" t="str">
        <x:v>Tabel 5.4</x:v>
      </x:c>
      <x:c r="M138" s="8" t="str"/>
      <x:c r="N138" s="9" t="str"/>
      <x:c r="O138" s="9" t="str"/>
      <x:c r="P138" s="9" t="str"/>
      <x:c r="Q138" s="9" t="str">
        <x:v>Badan Pusat Statistik</x:v>
      </x:c>
      <x:c r="R138" s="9" t="str">
        <x:v>Machine extraction from official PDF table; row-count and national-total QA</x:v>
      </x:c>
    </x:row>
    <x:row r="139" ht="18" customHeight="1">
      <x:c r="A139" s="6" t="str">
        <x:v>94</x:v>
      </x:c>
      <x:c r="B139" s="6" t="str">
        <x:v>PAPUA</x:v>
      </x:c>
      <x:c r="C139" s="6" t="str">
        <x:v>2024</x:v>
      </x:c>
      <x:c r="D139" s="6" t="str">
        <x:v>1060600</x:v>
      </x:c>
      <x:c r="E139" s="6" t="str">
        <x:v>13.0</x:v>
      </x:c>
      <x:c r="F139" s="9" t="str">
        <x:v>2024-06-30</x:v>
      </x:c>
      <x:c r="G139" s="9" t="str">
        <x:v>Statistik_Indonesia_2025.pdf</x:v>
      </x:c>
      <x:c r="H139" s="9" t="str">
        <x:v>Tabel 3.1.1</x:v>
      </x:c>
      <x:c r="I139" s="8" t="str">
        <x:v>80.57</x:v>
      </x:c>
      <x:c r="J139" s="9" t="str">
        <x:v>2024 (Susenas)</x:v>
      </x:c>
      <x:c r="K139" s="9" t="str">
        <x:v>Indikator_SDGS_Kesejahteraan_Rakyat_2025.pdf</x:v>
      </x:c>
      <x:c r="L139" s="9" t="str">
        <x:v>Tabel 5.4</x:v>
      </x:c>
      <x:c r="M139" s="8" t="str">
        <x:v>17.26</x:v>
      </x:c>
      <x:c r="N139" s="9" t="str">
        <x:v>Maret 2024 (Susenas)</x:v>
      </x:c>
      <x:c r="O139" s="9" t="str">
        <x:v>Statistik_Indonesia_2025.pdf</x:v>
      </x:c>
      <x:c r="P139" s="9" t="str">
        <x:v>Tabel 4.6.2</x:v>
      </x:c>
      <x:c r="Q139" s="9" t="str">
        <x:v>Badan Pusat Statistik</x:v>
      </x:c>
      <x:c r="R139" s="9" t="str">
        <x:v>Machine extraction from official PDF table; row-count and national-total QA</x:v>
      </x:c>
    </x:row>
    <x:row r="140" ht="18" customHeight="1">
      <x:c r="A140" s="6" t="str">
        <x:v>94</x:v>
      </x:c>
      <x:c r="B140" s="6" t="str">
        <x:v>PAPUA</x:v>
      </x:c>
      <x:c r="C140" s="6" t="str">
        <x:v>2025</x:v>
      </x:c>
      <x:c r="D140" s="6" t="str">
        <x:v>1073600</x:v>
      </x:c>
      <x:c r="E140" s="6" t="str">
        <x:v>13.0</x:v>
      </x:c>
      <x:c r="F140" s="9" t="str">
        <x:v>2025-06-30</x:v>
      </x:c>
      <x:c r="G140" s="9" t="str">
        <x:v>Statistik_Indonesia_2025.pdf</x:v>
      </x:c>
      <x:c r="H140" s="9" t="str">
        <x:v>Tabel 3.1.1</x:v>
      </x:c>
      <x:c r="I140" s="8" t="str">
        <x:v>76.7</x:v>
      </x:c>
      <x:c r="J140" s="9" t="str">
        <x:v>2025 (Susenas)</x:v>
      </x:c>
      <x:c r="K140" s="9" t="str">
        <x:v>Indikator_SDGS_Kesejahteraan_Rakyat_2025.pdf</x:v>
      </x:c>
      <x:c r="L140" s="9" t="str">
        <x:v>Tabel 5.4</x:v>
      </x:c>
      <x:c r="M140" s="8" t="str">
        <x:v>19.16</x:v>
      </x:c>
      <x:c r="N140" s="9" t="str">
        <x:v>Maret 2025 (Susenas)</x:v>
      </x:c>
      <x:c r="O140" s="9" t="str">
        <x:v>Penghitungan_dan_Analisis_Kemiskinan_Makro_2025.pdf</x:v>
      </x:c>
      <x:c r="P140" s="9" t="str">
        <x:v>Tabel 2.5</x:v>
      </x:c>
      <x:c r="Q140" s="9" t="str">
        <x:v>Badan Pusat Statistik</x:v>
      </x:c>
      <x:c r="R140" s="9" t="str">
        <x:v>Machine extraction from official PDF table; row-count and national-total QA</x:v>
      </x:c>
    </x:row>
    <x:row r="141" ht="18" customHeight="1">
      <x:c r="A141" s="6" t="str">
        <x:v>94</x:v>
      </x:c>
      <x:c r="B141" s="6" t="str">
        <x:v>PAPUA</x:v>
      </x:c>
      <x:c r="C141" s="6" t="str">
        <x:v>2026</x:v>
      </x:c>
      <x:c r="D141" s="6" t="str">
        <x:v>1086500</x:v>
      </x:c>
      <x:c r="E141" s="6" t="str">
        <x:v>13.0</x:v>
      </x:c>
      <x:c r="F141" s="9" t="str">
        <x:v>2026-06-30</x:v>
      </x:c>
      <x:c r="G141" s="9" t="str">
        <x:v>Statistik_Indonesia_2026.pdf</x:v>
      </x:c>
      <x:c r="H141" s="9" t="str">
        <x:v>Tabel 3.1.1</x:v>
      </x:c>
      <x:c r="I141" s="8" t="str"/>
      <x:c r="J141" s="9" t="str"/>
      <x:c r="K141" s="9" t="str"/>
      <x:c r="L141" s="9" t="str"/>
      <x:c r="M141" s="8" t="str"/>
      <x:c r="N141" s="9" t="str"/>
      <x:c r="O141" s="9" t="str"/>
      <x:c r="P141" s="9" t="str"/>
      <x:c r="Q141" s="9" t="str">
        <x:v>Badan Pusat Statistik</x:v>
      </x:c>
      <x:c r="R141" s="9" t="str">
        <x:v>Machine extraction from official PDF table; row-count and national-total QA</x:v>
      </x:c>
    </x:row>
    <x:row r="142" ht="18" customHeight="1">
      <x:c r="A142" s="6" t="str">
        <x:v>95</x:v>
      </x:c>
      <x:c r="B142" s="6" t="str">
        <x:v>PAPUA SELATAN</x:v>
      </x:c>
      <x:c r="C142" s="6" t="str">
        <x:v>2023</x:v>
      </x:c>
      <x:c r="D142" s="6" t="str">
        <x:v>534400</x:v>
      </x:c>
      <x:c r="E142" s="6" t="str">
        <x:v>5.0</x:v>
      </x:c>
      <x:c r="F142" s="9" t="str">
        <x:v>2023-06-30</x:v>
      </x:c>
      <x:c r="G142" s="9" t="str">
        <x:v>Statistik_Indonesia_2024.pdf</x:v>
      </x:c>
      <x:c r="H142" s="9" t="str">
        <x:v>Tabel 3.1.1</x:v>
      </x:c>
      <x:c r="I142" s="8" t="str">
        <x:v>60.85</x:v>
      </x:c>
      <x:c r="J142" s="9" t="str">
        <x:v>2023 (Susenas)</x:v>
      </x:c>
      <x:c r="K142" s="9" t="str">
        <x:v>Indikator_SDGS_Kesejahteraan_Rakyat_2025.pdf</x:v>
      </x:c>
      <x:c r="L142" s="9" t="str">
        <x:v>Tabel 5.4</x:v>
      </x:c>
      <x:c r="M142" s="8" t="str"/>
      <x:c r="N142" s="9" t="str"/>
      <x:c r="O142" s="9" t="str"/>
      <x:c r="P142" s="9" t="str"/>
      <x:c r="Q142" s="9" t="str">
        <x:v>Badan Pusat Statistik</x:v>
      </x:c>
      <x:c r="R142" s="9" t="str">
        <x:v>Machine extraction from official PDF table; row-count and national-total QA</x:v>
      </x:c>
    </x:row>
    <x:row r="143" ht="18" customHeight="1">
      <x:c r="A143" s="6" t="str">
        <x:v>95</x:v>
      </x:c>
      <x:c r="B143" s="6" t="str">
        <x:v>PAPUA SELATAN</x:v>
      </x:c>
      <x:c r="C143" s="6" t="str">
        <x:v>2024</x:v>
      </x:c>
      <x:c r="D143" s="6" t="str">
        <x:v>542100</x:v>
      </x:c>
      <x:c r="E143" s="6" t="str">
        <x:v>5.0</x:v>
      </x:c>
      <x:c r="F143" s="9" t="str">
        <x:v>2024-06-30</x:v>
      </x:c>
      <x:c r="G143" s="9" t="str">
        <x:v>Statistik_Indonesia_2025.pdf</x:v>
      </x:c>
      <x:c r="H143" s="9" t="str">
        <x:v>Tabel 3.1.1</x:v>
      </x:c>
      <x:c r="I143" s="8" t="str">
        <x:v>65.06</x:v>
      </x:c>
      <x:c r="J143" s="9" t="str">
        <x:v>2024 (Susenas)</x:v>
      </x:c>
      <x:c r="K143" s="9" t="str">
        <x:v>Indikator_SDGS_Kesejahteraan_Rakyat_2025.pdf</x:v>
      </x:c>
      <x:c r="L143" s="9" t="str">
        <x:v>Tabel 5.4</x:v>
      </x:c>
      <x:c r="M143" s="8" t="str">
        <x:v>308.48</x:v>
      </x:c>
      <x:c r="N143" s="9" t="str">
        <x:v>Maret 2024 (Susenas)</x:v>
      </x:c>
      <x:c r="O143" s="9" t="str">
        <x:v>Statistik_Indonesia_2025.pdf</x:v>
      </x:c>
      <x:c r="P143" s="9" t="str">
        <x:v>Tabel 4.6.2</x:v>
      </x:c>
      <x:c r="Q143" s="9" t="str">
        <x:v>Badan Pusat Statistik</x:v>
      </x:c>
      <x:c r="R143" s="9" t="str">
        <x:v>Machine extraction from official PDF table; row-count and national-total QA</x:v>
      </x:c>
    </x:row>
    <x:row r="144" ht="18" customHeight="1">
      <x:c r="A144" s="6" t="str">
        <x:v>95</x:v>
      </x:c>
      <x:c r="B144" s="6" t="str">
        <x:v>PAPUA SELATAN</x:v>
      </x:c>
      <x:c r="C144" s="6" t="str">
        <x:v>2025</x:v>
      </x:c>
      <x:c r="D144" s="6" t="str">
        <x:v>549700</x:v>
      </x:c>
      <x:c r="E144" s="6" t="str">
        <x:v>5.0</x:v>
      </x:c>
      <x:c r="F144" s="9" t="str">
        <x:v>2025-06-30</x:v>
      </x:c>
      <x:c r="G144" s="9" t="str">
        <x:v>Statistik_Indonesia_2025.pdf</x:v>
      </x:c>
      <x:c r="H144" s="9" t="str">
        <x:v>Tabel 3.1.1</x:v>
      </x:c>
      <x:c r="I144" s="8" t="str">
        <x:v>41.44</x:v>
      </x:c>
      <x:c r="J144" s="9" t="str">
        <x:v>2025 (Susenas)</x:v>
      </x:c>
      <x:c r="K144" s="9" t="str">
        <x:v>Indikator_SDGS_Kesejahteraan_Rakyat_2025.pdf</x:v>
      </x:c>
      <x:c r="L144" s="9" t="str">
        <x:v>Tabel 5.4</x:v>
      </x:c>
      <x:c r="M144" s="8" t="str">
        <x:v>19.71</x:v>
      </x:c>
      <x:c r="N144" s="9" t="str">
        <x:v>Maret 2025 (Susenas)</x:v>
      </x:c>
      <x:c r="O144" s="9" t="str">
        <x:v>Penghitungan_dan_Analisis_Kemiskinan_Makro_2025.pdf</x:v>
      </x:c>
      <x:c r="P144" s="9" t="str">
        <x:v>Tabel 2.5</x:v>
      </x:c>
      <x:c r="Q144" s="9" t="str">
        <x:v>Badan Pusat Statistik</x:v>
      </x:c>
      <x:c r="R144" s="9" t="str">
        <x:v>Machine extraction from official PDF table; row-count and national-total QA</x:v>
      </x:c>
    </x:row>
    <x:row r="145" ht="18" customHeight="1">
      <x:c r="A145" s="6" t="str">
        <x:v>95</x:v>
      </x:c>
      <x:c r="B145" s="6" t="str">
        <x:v>PAPUA SELATAN</x:v>
      </x:c>
      <x:c r="C145" s="6" t="str">
        <x:v>2026</x:v>
      </x:c>
      <x:c r="D145" s="6" t="str">
        <x:v>557200</x:v>
      </x:c>
      <x:c r="E145" s="6" t="str">
        <x:v>5.0</x:v>
      </x:c>
      <x:c r="F145" s="9" t="str">
        <x:v>2026-06-30</x:v>
      </x:c>
      <x:c r="G145" s="9" t="str">
        <x:v>Statistik_Indonesia_2026.pdf</x:v>
      </x:c>
      <x:c r="H145" s="9" t="str">
        <x:v>Tabel 3.1.1</x:v>
      </x:c>
      <x:c r="I145" s="8" t="str"/>
      <x:c r="J145" s="9" t="str"/>
      <x:c r="K145" s="9" t="str"/>
      <x:c r="L145" s="9" t="str"/>
      <x:c r="M145" s="8" t="str"/>
      <x:c r="N145" s="9" t="str"/>
      <x:c r="O145" s="9" t="str"/>
      <x:c r="P145" s="9" t="str"/>
      <x:c r="Q145" s="9" t="str">
        <x:v>Badan Pusat Statistik</x:v>
      </x:c>
      <x:c r="R145" s="9" t="str">
        <x:v>Machine extraction from official PDF table; row-count and national-total QA</x:v>
      </x:c>
    </x:row>
    <x:row r="146" ht="18" customHeight="1">
      <x:c r="A146" s="6" t="str">
        <x:v>96</x:v>
      </x:c>
      <x:c r="B146" s="6" t="str">
        <x:v>PAPUA TENGAH</x:v>
      </x:c>
      <x:c r="C146" s="6" t="str">
        <x:v>2023</x:v>
      </x:c>
      <x:c r="D146" s="6" t="str">
        <x:v>1452800</x:v>
      </x:c>
      <x:c r="E146" s="6" t="str">
        <x:v>24.0</x:v>
      </x:c>
      <x:c r="F146" s="9" t="str">
        <x:v>2023-06-30</x:v>
      </x:c>
      <x:c r="G146" s="9" t="str">
        <x:v>Statistik_Indonesia_2024.pdf</x:v>
      </x:c>
      <x:c r="H146" s="9" t="str">
        <x:v>Tabel 3.1.1</x:v>
      </x:c>
      <x:c r="I146" s="8" t="str">
        <x:v>41.44</x:v>
      </x:c>
      <x:c r="J146" s="9" t="str">
        <x:v>2023 (Susenas)</x:v>
      </x:c>
      <x:c r="K146" s="9" t="str">
        <x:v>Indikator_SDGS_Kesejahteraan_Rakyat_2025.pdf</x:v>
      </x:c>
      <x:c r="L146" s="9" t="str">
        <x:v>Tabel 5.4</x:v>
      </x:c>
      <x:c r="M146" s="8" t="str"/>
      <x:c r="N146" s="9" t="str"/>
      <x:c r="O146" s="9" t="str"/>
      <x:c r="P146" s="9" t="str"/>
      <x:c r="Q146" s="9" t="str">
        <x:v>Badan Pusat Statistik</x:v>
      </x:c>
      <x:c r="R146" s="9" t="str">
        <x:v>Machine extraction from official PDF table; row-count and national-total QA</x:v>
      </x:c>
    </x:row>
    <x:row r="147" ht="18" customHeight="1">
      <x:c r="A147" s="6" t="str">
        <x:v>96</x:v>
      </x:c>
      <x:c r="B147" s="6" t="str">
        <x:v>PAPUA TENGAH</x:v>
      </x:c>
      <x:c r="C147" s="6" t="str">
        <x:v>2024</x:v>
      </x:c>
      <x:c r="D147" s="6" t="str">
        <x:v>1472900</x:v>
      </x:c>
      <x:c r="E147" s="6" t="str">
        <x:v>24.0</x:v>
      </x:c>
      <x:c r="F147" s="9" t="str">
        <x:v>2024-06-30</x:v>
      </x:c>
      <x:c r="G147" s="9" t="str">
        <x:v>Statistik_Indonesia_2025.pdf</x:v>
      </x:c>
      <x:c r="H147" s="9" t="str">
        <x:v>Tabel 3.1.1</x:v>
      </x:c>
      <x:c r="I147" s="8" t="str">
        <x:v>39.73</x:v>
      </x:c>
      <x:c r="J147" s="9" t="str">
        <x:v>2024 (Susenas)</x:v>
      </x:c>
      <x:c r="K147" s="9" t="str">
        <x:v>Indikator_SDGS_Kesejahteraan_Rakyat_2025.pdf</x:v>
      </x:c>
      <x:c r="L147" s="9" t="str">
        <x:v>Tabel 5.4</x:v>
      </x:c>
      <x:c r="M147" s="8" t="str">
        <x:v>365.43</x:v>
      </x:c>
      <x:c r="N147" s="9" t="str">
        <x:v>Maret 2024 (Susenas)</x:v>
      </x:c>
      <x:c r="O147" s="9" t="str">
        <x:v>Statistik_Indonesia_2025.pdf</x:v>
      </x:c>
      <x:c r="P147" s="9" t="str">
        <x:v>Tabel 4.6.2</x:v>
      </x:c>
      <x:c r="Q147" s="9" t="str">
        <x:v>Badan Pusat Statistik</x:v>
      </x:c>
      <x:c r="R147" s="9" t="str">
        <x:v>Machine extraction from official PDF table; row-count and national-total QA</x:v>
      </x:c>
    </x:row>
    <x:row r="148" ht="18" customHeight="1">
      <x:c r="A148" s="6" t="str">
        <x:v>96</x:v>
      </x:c>
      <x:c r="B148" s="6" t="str">
        <x:v>PAPUA TENGAH</x:v>
      </x:c>
      <x:c r="C148" s="6" t="str">
        <x:v>2025</x:v>
      </x:c>
      <x:c r="D148" s="6" t="str">
        <x:v>1492300</x:v>
      </x:c>
      <x:c r="E148" s="6" t="str">
        <x:v>24.0</x:v>
      </x:c>
      <x:c r="F148" s="9" t="str">
        <x:v>2025-06-30</x:v>
      </x:c>
      <x:c r="G148" s="9" t="str">
        <x:v>Statistik_Indonesia_2025.pdf</x:v>
      </x:c>
      <x:c r="H148" s="9" t="str">
        <x:v>Tabel 3.1.1</x:v>
      </x:c>
      <x:c r="I148" s="8" t="str">
        <x:v>12.6</x:v>
      </x:c>
      <x:c r="J148" s="9" t="str">
        <x:v>2025 (Susenas)</x:v>
      </x:c>
      <x:c r="K148" s="9" t="str">
        <x:v>Indikator_SDGS_Kesejahteraan_Rakyat_2025.pdf</x:v>
      </x:c>
      <x:c r="L148" s="9" t="str">
        <x:v>Tabel 5.4</x:v>
      </x:c>
      <x:c r="M148" s="8" t="str">
        <x:v>28.9</x:v>
      </x:c>
      <x:c r="N148" s="9" t="str">
        <x:v>Maret 2025 (Susenas)</x:v>
      </x:c>
      <x:c r="O148" s="9" t="str">
        <x:v>Penghitungan_dan_Analisis_Kemiskinan_Makro_2025.pdf</x:v>
      </x:c>
      <x:c r="P148" s="9" t="str">
        <x:v>Tabel 2.5</x:v>
      </x:c>
      <x:c r="Q148" s="9" t="str">
        <x:v>Badan Pusat Statistik</x:v>
      </x:c>
      <x:c r="R148" s="9" t="str">
        <x:v>Machine extraction from official PDF table; row-count and national-total QA</x:v>
      </x:c>
    </x:row>
    <x:row r="149" ht="18" customHeight="1">
      <x:c r="A149" s="6" t="str">
        <x:v>96</x:v>
      </x:c>
      <x:c r="B149" s="6" t="str">
        <x:v>PAPUA TENGAH</x:v>
      </x:c>
      <x:c r="C149" s="6" t="str">
        <x:v>2026</x:v>
      </x:c>
      <x:c r="D149" s="6" t="str">
        <x:v>1510800</x:v>
      </x:c>
      <x:c r="E149" s="6" t="str">
        <x:v>25.0</x:v>
      </x:c>
      <x:c r="F149" s="9" t="str">
        <x:v>2026-06-30</x:v>
      </x:c>
      <x:c r="G149" s="9" t="str">
        <x:v>Statistik_Indonesia_2026.pdf</x:v>
      </x:c>
      <x:c r="H149" s="9" t="str">
        <x:v>Tabel 3.1.1</x:v>
      </x:c>
      <x:c r="I149" s="8" t="str"/>
      <x:c r="J149" s="9" t="str"/>
      <x:c r="K149" s="9" t="str"/>
      <x:c r="L149" s="9" t="str"/>
      <x:c r="M149" s="8" t="str"/>
      <x:c r="N149" s="9" t="str"/>
      <x:c r="O149" s="9" t="str"/>
      <x:c r="P149" s="9" t="str"/>
      <x:c r="Q149" s="9" t="str">
        <x:v>Badan Pusat Statistik</x:v>
      </x:c>
      <x:c r="R149" s="9" t="str">
        <x:v>Machine extraction from official PDF table; row-count and national-total QA</x:v>
      </x:c>
    </x:row>
    <x:row r="150" ht="18" customHeight="1">
      <x:c r="A150" s="6" t="str">
        <x:v>97</x:v>
      </x:c>
      <x:c r="B150" s="6" t="str">
        <x:v>PAPUA PEGUNUNGAN</x:v>
      </x:c>
      <x:c r="C150" s="6" t="str">
        <x:v>2023</x:v>
      </x:c>
      <x:c r="D150" s="6" t="str">
        <x:v>1448400</x:v>
      </x:c>
      <x:c r="E150" s="6" t="str">
        <x:v>28.0</x:v>
      </x:c>
      <x:c r="F150" s="9" t="str">
        <x:v>2023-06-30</x:v>
      </x:c>
      <x:c r="G150" s="9" t="str">
        <x:v>Statistik_Indonesia_2024.pdf</x:v>
      </x:c>
      <x:c r="H150" s="9" t="str">
        <x:v>Tabel 3.1.1</x:v>
      </x:c>
      <x:c r="I150" s="8" t="str">
        <x:v>12.6</x:v>
      </x:c>
      <x:c r="J150" s="9" t="str">
        <x:v>2023 (Susenas)</x:v>
      </x:c>
      <x:c r="K150" s="9" t="str">
        <x:v>Indikator_SDGS_Kesejahteraan_Rakyat_2025.pdf</x:v>
      </x:c>
      <x:c r="L150" s="9" t="str">
        <x:v>Tabel 5.4</x:v>
      </x:c>
      <x:c r="M150" s="8" t="str"/>
      <x:c r="N150" s="9" t="str"/>
      <x:c r="O150" s="9" t="str"/>
      <x:c r="P150" s="9" t="str"/>
      <x:c r="Q150" s="9" t="str">
        <x:v>Badan Pusat Statistik</x:v>
      </x:c>
      <x:c r="R150" s="9" t="str">
        <x:v>Machine extraction from official PDF table; row-count and national-total QA</x:v>
      </x:c>
    </x:row>
    <x:row r="151" ht="18" customHeight="1">
      <x:c r="A151" s="6" t="str">
        <x:v>97</x:v>
      </x:c>
      <x:c r="B151" s="6" t="str">
        <x:v>PAPUA PEGUNUNGAN</x:v>
      </x:c>
      <x:c r="C151" s="6" t="str">
        <x:v>2024</x:v>
      </x:c>
      <x:c r="D151" s="6" t="str">
        <x:v>1467000</x:v>
      </x:c>
      <x:c r="E151" s="6" t="str">
        <x:v>29.0</x:v>
      </x:c>
      <x:c r="F151" s="9" t="str">
        <x:v>2024-06-30</x:v>
      </x:c>
      <x:c r="G151" s="9" t="str">
        <x:v>Statistik_Indonesia_2025.pdf</x:v>
      </x:c>
      <x:c r="H151" s="9" t="str">
        <x:v>Tabel 3.1.1</x:v>
      </x:c>
      <x:c r="I151" s="8" t="str">
        <x:v>16.34</x:v>
      </x:c>
      <x:c r="J151" s="9" t="str">
        <x:v>2024 (Susenas)</x:v>
      </x:c>
      <x:c r="K151" s="9" t="str">
        <x:v>Indikator_SDGS_Kesejahteraan_Rakyat_2025.pdf</x:v>
      </x:c>
      <x:c r="L151" s="9" t="str">
        <x:v>Tabel 5.4</x:v>
      </x:c>
      <x:c r="M151" s="8" t="str">
        <x:v>25898.55</x:v>
      </x:c>
      <x:c r="N151" s="9" t="str">
        <x:v>Maret 2024 (Susenas)</x:v>
      </x:c>
      <x:c r="O151" s="9" t="str">
        <x:v>Statistik_Indonesia_2025.pdf</x:v>
      </x:c>
      <x:c r="P151" s="9" t="str">
        <x:v>Tabel 4.6.2</x:v>
      </x:c>
      <x:c r="Q151" s="9" t="str">
        <x:v>Badan Pusat Statistik</x:v>
      </x:c>
      <x:c r="R151" s="9" t="str">
        <x:v>Machine extraction from official PDF table; row-count and national-total QA</x:v>
      </x:c>
    </x:row>
    <x:row r="152" ht="18" customHeight="1">
      <x:c r="A152" s="6" t="str">
        <x:v>97</x:v>
      </x:c>
      <x:c r="B152" s="6" t="str">
        <x:v>PAPUA PEGUNUNGAN</x:v>
      </x:c>
      <x:c r="C152" s="6" t="str">
        <x:v>2025</x:v>
      </x:c>
      <x:c r="D152" s="6" t="str">
        <x:v>1484900</x:v>
      </x:c>
      <x:c r="E152" s="6" t="str">
        <x:v>29.0</x:v>
      </x:c>
      <x:c r="F152" s="9" t="str">
        <x:v>2025-06-30</x:v>
      </x:c>
      <x:c r="G152" s="9" t="str">
        <x:v>Statistik_Indonesia_2025.pdf</x:v>
      </x:c>
      <x:c r="H152" s="9" t="str">
        <x:v>Tabel 3.1.1</x:v>
      </x:c>
      <x:c r="I152" s="8" t="str">
        <x:v>82.36</x:v>
      </x:c>
      <x:c r="J152" s="9" t="str">
        <x:v>2025 (Susenas)</x:v>
      </x:c>
      <x:c r="K152" s="9" t="str">
        <x:v>Indikator_SDGS_Kesejahteraan_Rakyat_2025.pdf</x:v>
      </x:c>
      <x:c r="L152" s="9" t="str">
        <x:v>Tabel 5.4</x:v>
      </x:c>
      <x:c r="M152" s="8" t="str">
        <x:v>30.03</x:v>
      </x:c>
      <x:c r="N152" s="9" t="str">
        <x:v>Maret 2025 (Susenas)</x:v>
      </x:c>
      <x:c r="O152" s="9" t="str">
        <x:v>Penghitungan_dan_Analisis_Kemiskinan_Makro_2025.pdf</x:v>
      </x:c>
      <x:c r="P152" s="9" t="str">
        <x:v>Tabel 2.5</x:v>
      </x:c>
      <x:c r="Q152" s="9" t="str">
        <x:v>Badan Pusat Statistik</x:v>
      </x:c>
      <x:c r="R152" s="9" t="str">
        <x:v>Machine extraction from official PDF table; row-count and national-total QA</x:v>
      </x:c>
    </x:row>
    <x:row r="153" ht="18" customHeight="1">
      <x:c r="A153" s="6" t="str">
        <x:v>97</x:v>
      </x:c>
      <x:c r="B153" s="6" t="str">
        <x:v>PAPUA PEGUNUNGAN</x:v>
      </x:c>
      <x:c r="C153" s="6" t="str">
        <x:v>2026</x:v>
      </x:c>
      <x:c r="D153" s="6" t="str">
        <x:v>1501900</x:v>
      </x:c>
      <x:c r="E153" s="6" t="str">
        <x:v>29.0</x:v>
      </x:c>
      <x:c r="F153" s="9" t="str">
        <x:v>2026-06-30</x:v>
      </x:c>
      <x:c r="G153" s="9" t="str">
        <x:v>Statistik_Indonesia_2026.pdf</x:v>
      </x:c>
      <x:c r="H153" s="9" t="str">
        <x:v>Tabel 3.1.1</x:v>
      </x:c>
      <x:c r="I153" s="8" t="str"/>
      <x:c r="J153" s="9" t="str"/>
      <x:c r="K153" s="9" t="str"/>
      <x:c r="L153" s="9" t="str"/>
      <x:c r="M153" s="8" t="str"/>
      <x:c r="N153" s="9" t="str"/>
      <x:c r="O153" s="9" t="str"/>
      <x:c r="P153" s="9" t="str"/>
      <x:c r="Q153" s="9" t="str">
        <x:v>Badan Pusat Statistik</x:v>
      </x:c>
      <x:c r="R153" s="9" t="str">
        <x:v>Machine extraction from official PDF table; row-count and national-total QA</x:v>
      </x:c>
    </x:row>
  </x:sheetData>
  <x:pageMargins left="0.7" right="0.7" top="0.75" bottom="0.75" header="0.3" footer="0.3"/>
  <x:tableParts count="1">
    <x:tablePart xmlns:r="http://schemas.openxmlformats.org/officeDocument/2006/relationships" r:id="R17338c3c3309407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1" hidden="0" customWidth="1"/>
    <x:col min="4" max="4" width="11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8" hidden="0" customWidth="1"/>
    <x:col min="10" max="10" width="16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16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1" hidden="0" customWidth="1"/>
    <x:col min="30" max="30" width="30" hidden="0" customWidth="1"/>
    <x:col min="31" max="31" width="30" hidden="0" customWidth="1"/>
    <x:col min="32" max="32" width="30" hidden="0" customWidth="1"/>
  </x:cols>
  <x:sheetData>
    <x:row r="1" ht="34" customHeight="1">
      <x:c r="A1" s="5" t="str">
        <x:v>province_code</x:v>
      </x:c>
      <x:c r="B1" s="5" t="str">
        <x:v>province</x:v>
      </x:c>
      <x:c r="C1" s="5" t="str">
        <x:v>year</x:v>
      </x:c>
      <x:c r="D1" s="5" t="str">
        <x:v>month</x:v>
      </x:c>
      <x:c r="E1" s="5" t="str">
        <x:v>event_record_count</x:v>
      </x:c>
      <x:c r="F1" s="5" t="str">
        <x:v>has_any_impact_field</x:v>
      </x:c>
      <x:c r="G1" s="5" t="str">
        <x:v>flood_events</x:v>
      </x:c>
      <x:c r="H1" s="5" t="str">
        <x:v>landslide_events</x:v>
      </x:c>
      <x:c r="I1" s="5" t="str">
        <x:v>extreme_weather_events</x:v>
      </x:c>
      <x:c r="J1" s="5" t="str">
        <x:v>drought_events</x:v>
      </x:c>
      <x:c r="K1" s="5" t="str">
        <x:v>wildfire_events</x:v>
      </x:c>
      <x:c r="L1" s="5" t="str">
        <x:v>coastal_wave_events</x:v>
      </x:c>
      <x:c r="M1" s="5" t="str">
        <x:v>earthquake_events</x:v>
      </x:c>
      <x:c r="N1" s="5" t="str">
        <x:v>volcanic_eruption_events</x:v>
      </x:c>
      <x:c r="O1" s="5" t="str">
        <x:v>tsunami_events</x:v>
      </x:c>
      <x:c r="P1" s="5" t="str">
        <x:v>hydrometeorological_events</x:v>
      </x:c>
      <x:c r="Q1" s="5" t="str">
        <x:v>deaths_reported_sum</x:v>
      </x:c>
      <x:c r="R1" s="5" t="str">
        <x:v>deaths_reported_records</x:v>
      </x:c>
      <x:c r="S1" s="5" t="str">
        <x:v>missing_reported_sum</x:v>
      </x:c>
      <x:c r="T1" s="5" t="str">
        <x:v>missing_reported_records</x:v>
      </x:c>
      <x:c r="U1" s="5" t="str">
        <x:v>injured_reported_sum</x:v>
      </x:c>
      <x:c r="V1" s="5" t="str">
        <x:v>injured_reported_records</x:v>
      </x:c>
      <x:c r="W1" s="5" t="str">
        <x:v>houses_damaged_reported_sum</x:v>
      </x:c>
      <x:c r="X1" s="5" t="str">
        <x:v>houses_damaged_reported_records</x:v>
      </x:c>
      <x:c r="Y1" s="5" t="str">
        <x:v>houses_flooded_reported_sum</x:v>
      </x:c>
      <x:c r="Z1" s="5" t="str">
        <x:v>houses_flooded_reported_records</x:v>
      </x:c>
      <x:c r="AA1" s="5" t="str">
        <x:v>public_facilities_damaged_reported_sum</x:v>
      </x:c>
      <x:c r="AB1" s="5" t="str">
        <x:v>public_facilities_damaged_reported_records</x:v>
      </x:c>
      <x:c r="AC1" s="5" t="str">
        <x:v>period</x:v>
      </x:c>
      <x:c r="AD1" s="5" t="str">
        <x:v>disaster_source</x:v>
      </x:c>
      <x:c r="AE1" s="5" t="str">
        <x:v>source_url</x:v>
      </x:c>
      <x:c r="AF1" s="5" t="str">
        <x:v>quality_flag</x:v>
      </x:c>
    </x:row>
    <x:row r="2" ht="18" customHeight="1">
      <x:c r="A2" s="6" t="str">
        <x:v>11</x:v>
      </x:c>
      <x:c r="B2" s="6" t="str">
        <x:v>ACEH</x:v>
      </x:c>
      <x:c r="C2" s="6" t="str">
        <x:v>2024</x:v>
      </x:c>
      <x:c r="D2" s="6" t="str">
        <x:v>1</x:v>
      </x:c>
      <x:c r="E2" s="6" t="str">
        <x:v>2</x:v>
      </x:c>
      <x:c r="F2" s="6" t="str">
        <x:v>2</x:v>
      </x:c>
      <x:c r="G2" s="6" t="str">
        <x:v>2</x:v>
      </x:c>
      <x:c r="H2" s="6" t="str">
        <x:v>0</x:v>
      </x:c>
      <x:c r="I2" s="6" t="str">
        <x:v>0</x:v>
      </x:c>
      <x:c r="J2" s="6" t="str">
        <x:v>0</x:v>
      </x:c>
      <x:c r="K2" s="6" t="str">
        <x:v>0</x:v>
      </x:c>
      <x:c r="L2" s="6" t="str">
        <x:v>0</x:v>
      </x:c>
      <x:c r="M2" s="6" t="str">
        <x:v>0</x:v>
      </x:c>
      <x:c r="N2" s="6" t="str">
        <x:v>0</x:v>
      </x:c>
      <x:c r="O2" s="6" t="str">
        <x:v>0</x:v>
      </x:c>
      <x:c r="P2" s="6" t="str">
        <x:v>2</x:v>
      </x:c>
      <x:c r="Q2" s="6" t="str">
        <x:v>0.0</x:v>
      </x:c>
      <x:c r="R2" s="6" t="str">
        <x:v>2</x:v>
      </x:c>
      <x:c r="S2" s="6" t="str">
        <x:v>0.0</x:v>
      </x:c>
      <x:c r="T2" s="6" t="str">
        <x:v>2</x:v>
      </x:c>
      <x:c r="U2" s="6" t="str">
        <x:v>0.0</x:v>
      </x:c>
      <x:c r="V2" s="6" t="str">
        <x:v>2</x:v>
      </x:c>
      <x:c r="W2" s="6" t="str">
        <x:v>0.0</x:v>
      </x:c>
      <x:c r="X2" s="6" t="str">
        <x:v>2</x:v>
      </x:c>
      <x:c r="Y2" s="6" t="str">
        <x:v>5834.0</x:v>
      </x:c>
      <x:c r="Z2" s="6" t="str">
        <x:v>2</x:v>
      </x:c>
      <x:c r="AA2" s="6" t="str">
        <x:v>1.0</x:v>
      </x:c>
      <x:c r="AB2" s="6" t="str">
        <x:v>2</x:v>
      </x:c>
      <x:c r="AC2" s="6" t="str">
        <x:v>2024-01</x:v>
      </x:c>
      <x:c r="AD2" s="9" t="str">
        <x:v>BNPB operational disaster search table</x:v>
      </x:c>
      <x:c r="AE2" s="9" t="str">
        <x:v>https://gis.bnpb.go.id/databencana/tabel/pencarian.php</x:v>
      </x:c>
      <x:c r="AF2" s="9" t="str">
        <x:v>operational_snapshot_annual_totals_may_differ</x:v>
      </x:c>
    </x:row>
    <x:row r="3" ht="18" customHeight="1">
      <x:c r="A3" s="6" t="str">
        <x:v>11</x:v>
      </x:c>
      <x:c r="B3" s="6" t="str">
        <x:v>ACEH</x:v>
      </x:c>
      <x:c r="C3" s="6" t="str">
        <x:v>2024</x:v>
      </x:c>
      <x:c r="D3" s="6" t="str">
        <x:v>2</x:v>
      </x:c>
      <x:c r="E3" s="6" t="str">
        <x:v>4</x:v>
      </x:c>
      <x:c r="F3" s="6" t="str">
        <x:v>4</x:v>
      </x:c>
      <x:c r="G3" s="6" t="str">
        <x:v>1</x:v>
      </x:c>
      <x:c r="H3" s="6" t="str">
        <x:v>0</x:v>
      </x:c>
      <x:c r="I3" s="6" t="str">
        <x:v>0</x:v>
      </x:c>
      <x:c r="J3" s="6" t="str">
        <x:v>0</x:v>
      </x:c>
      <x:c r="K3" s="6" t="str">
        <x:v>3</x:v>
      </x:c>
      <x:c r="L3" s="6" t="str">
        <x:v>0</x:v>
      </x:c>
      <x:c r="M3" s="6" t="str">
        <x:v>0</x:v>
      </x:c>
      <x:c r="N3" s="6" t="str">
        <x:v>0</x:v>
      </x:c>
      <x:c r="O3" s="6" t="str">
        <x:v>0</x:v>
      </x:c>
      <x:c r="P3" s="6" t="str">
        <x:v>4</x:v>
      </x:c>
      <x:c r="Q3" s="6" t="str">
        <x:v>0.0</x:v>
      </x:c>
      <x:c r="R3" s="6" t="str">
        <x:v>4</x:v>
      </x:c>
      <x:c r="S3" s="6" t="str">
        <x:v>0.0</x:v>
      </x:c>
      <x:c r="T3" s="6" t="str">
        <x:v>4</x:v>
      </x:c>
      <x:c r="U3" s="6" t="str">
        <x:v>0.0</x:v>
      </x:c>
      <x:c r="V3" s="6" t="str">
        <x:v>4</x:v>
      </x:c>
      <x:c r="W3" s="6" t="str">
        <x:v>0.0</x:v>
      </x:c>
      <x:c r="X3" s="6" t="str">
        <x:v>4</x:v>
      </x:c>
      <x:c r="Y3" s="6" t="str">
        <x:v>26.0</x:v>
      </x:c>
      <x:c r="Z3" s="6" t="str">
        <x:v>1</x:v>
      </x:c>
      <x:c r="AA3" s="6" t="str">
        <x:v>0.0</x:v>
      </x:c>
      <x:c r="AB3" s="6" t="str">
        <x:v>4</x:v>
      </x:c>
      <x:c r="AC3" s="6" t="str">
        <x:v>2024-02</x:v>
      </x:c>
      <x:c r="AD3" s="9" t="str">
        <x:v>BNPB operational disaster search table</x:v>
      </x:c>
      <x:c r="AE3" s="9" t="str">
        <x:v>https://gis.bnpb.go.id/databencana/tabel/pencarian.php</x:v>
      </x:c>
      <x:c r="AF3" s="9" t="str">
        <x:v>operational_snapshot_annual_totals_may_differ</x:v>
      </x:c>
    </x:row>
    <x:row r="4" ht="18" customHeight="1">
      <x:c r="A4" s="6" t="str">
        <x:v>11</x:v>
      </x:c>
      <x:c r="B4" s="6" t="str">
        <x:v>ACEH</x:v>
      </x:c>
      <x:c r="C4" s="6" t="str">
        <x:v>2024</x:v>
      </x:c>
      <x:c r="D4" s="6" t="str">
        <x:v>3</x:v>
      </x:c>
      <x:c r="E4" s="6" t="str">
        <x:v>4</x:v>
      </x:c>
      <x:c r="F4" s="6" t="str">
        <x:v>4</x:v>
      </x:c>
      <x:c r="G4" s="6" t="str">
        <x:v>1</x:v>
      </x:c>
      <x:c r="H4" s="6" t="str">
        <x:v>0</x:v>
      </x:c>
      <x:c r="I4" s="6" t="str">
        <x:v>1</x:v>
      </x:c>
      <x:c r="J4" s="6" t="str">
        <x:v>0</x:v>
      </x:c>
      <x:c r="K4" s="6" t="str">
        <x:v>2</x:v>
      </x:c>
      <x:c r="L4" s="6" t="str">
        <x:v>0</x:v>
      </x:c>
      <x:c r="M4" s="6" t="str">
        <x:v>0</x:v>
      </x:c>
      <x:c r="N4" s="6" t="str">
        <x:v>0</x:v>
      </x:c>
      <x:c r="O4" s="6" t="str">
        <x:v>0</x:v>
      </x:c>
      <x:c r="P4" s="6" t="str">
        <x:v>4</x:v>
      </x:c>
      <x:c r="Q4" s="6" t="str">
        <x:v>0.0</x:v>
      </x:c>
      <x:c r="R4" s="6" t="str">
        <x:v>4</x:v>
      </x:c>
      <x:c r="S4" s="6" t="str">
        <x:v>0.0</x:v>
      </x:c>
      <x:c r="T4" s="6" t="str">
        <x:v>4</x:v>
      </x:c>
      <x:c r="U4" s="6" t="str">
        <x:v>0.0</x:v>
      </x:c>
      <x:c r="V4" s="6" t="str">
        <x:v>4</x:v>
      </x:c>
      <x:c r="W4" s="6" t="str">
        <x:v>13.0</x:v>
      </x:c>
      <x:c r="X4" s="6" t="str">
        <x:v>4</x:v>
      </x:c>
      <x:c r="Y4" s="6" t="str">
        <x:v>831.0</x:v>
      </x:c>
      <x:c r="Z4" s="6" t="str">
        <x:v>1</x:v>
      </x:c>
      <x:c r="AA4" s="6" t="str">
        <x:v>0.0</x:v>
      </x:c>
      <x:c r="AB4" s="6" t="str">
        <x:v>4</x:v>
      </x:c>
      <x:c r="AC4" s="6" t="str">
        <x:v>2024-03</x:v>
      </x:c>
      <x:c r="AD4" s="9" t="str">
        <x:v>BNPB operational disaster search table</x:v>
      </x:c>
      <x:c r="AE4" s="9" t="str">
        <x:v>https://gis.bnpb.go.id/databencana/tabel/pencarian.php</x:v>
      </x:c>
      <x:c r="AF4" s="9" t="str">
        <x:v>operational_snapshot_annual_totals_may_differ</x:v>
      </x:c>
    </x:row>
    <x:row r="5" ht="18" customHeight="1">
      <x:c r="A5" s="6" t="str">
        <x:v>11</x:v>
      </x:c>
      <x:c r="B5" s="6" t="str">
        <x:v>ACEH</x:v>
      </x:c>
      <x:c r="C5" s="6" t="str">
        <x:v>2024</x:v>
      </x:c>
      <x:c r="D5" s="6" t="str">
        <x:v>4</x:v>
      </x:c>
      <x:c r="E5" s="6" t="str">
        <x:v>7</x:v>
      </x:c>
      <x:c r="F5" s="6" t="str">
        <x:v>7</x:v>
      </x:c>
      <x:c r="G5" s="6" t="str">
        <x:v>3</x:v>
      </x:c>
      <x:c r="H5" s="6" t="str">
        <x:v>0</x:v>
      </x:c>
      <x:c r="I5" s="6" t="str">
        <x:v>0</x:v>
      </x:c>
      <x:c r="J5" s="6" t="str">
        <x:v>0</x:v>
      </x:c>
      <x:c r="K5" s="6" t="str">
        <x:v>4</x:v>
      </x:c>
      <x:c r="L5" s="6" t="str">
        <x:v>0</x:v>
      </x:c>
      <x:c r="M5" s="6" t="str">
        <x:v>0</x:v>
      </x:c>
      <x:c r="N5" s="6" t="str">
        <x:v>0</x:v>
      </x:c>
      <x:c r="O5" s="6" t="str">
        <x:v>0</x:v>
      </x:c>
      <x:c r="P5" s="6" t="str">
        <x:v>7</x:v>
      </x:c>
      <x:c r="Q5" s="6" t="str">
        <x:v>0.0</x:v>
      </x:c>
      <x:c r="R5" s="6" t="str">
        <x:v>7</x:v>
      </x:c>
      <x:c r="S5" s="6" t="str">
        <x:v>0.0</x:v>
      </x:c>
      <x:c r="T5" s="6" t="str">
        <x:v>7</x:v>
      </x:c>
      <x:c r="U5" s="6" t="str">
        <x:v>0.0</x:v>
      </x:c>
      <x:c r="V5" s="6" t="str">
        <x:v>7</x:v>
      </x:c>
      <x:c r="W5" s="6" t="str">
        <x:v>32.0</x:v>
      </x:c>
      <x:c r="X5" s="6" t="str">
        <x:v>7</x:v>
      </x:c>
      <x:c r="Y5" s="6" t="str">
        <x:v>53.0</x:v>
      </x:c>
      <x:c r="Z5" s="6" t="str">
        <x:v>1</x:v>
      </x:c>
      <x:c r="AA5" s="6" t="str">
        <x:v>0.0</x:v>
      </x:c>
      <x:c r="AB5" s="6" t="str">
        <x:v>7</x:v>
      </x:c>
      <x:c r="AC5" s="6" t="str">
        <x:v>2024-04</x:v>
      </x:c>
      <x:c r="AD5" s="9" t="str">
        <x:v>BNPB operational disaster search table</x:v>
      </x:c>
      <x:c r="AE5" s="9" t="str">
        <x:v>https://gis.bnpb.go.id/databencana/tabel/pencarian.php</x:v>
      </x:c>
      <x:c r="AF5" s="9" t="str">
        <x:v>operational_snapshot_annual_totals_may_differ</x:v>
      </x:c>
    </x:row>
    <x:row r="6" ht="18" customHeight="1">
      <x:c r="A6" s="6" t="str">
        <x:v>11</x:v>
      </x:c>
      <x:c r="B6" s="6" t="str">
        <x:v>ACEH</x:v>
      </x:c>
      <x:c r="C6" s="6" t="str">
        <x:v>2024</x:v>
      </x:c>
      <x:c r="D6" s="6" t="str">
        <x:v>5</x:v>
      </x:c>
      <x:c r="E6" s="6" t="str">
        <x:v>10</x:v>
      </x:c>
      <x:c r="F6" s="6" t="str">
        <x:v>10</x:v>
      </x:c>
      <x:c r="G6" s="6" t="str">
        <x:v>6</x:v>
      </x:c>
      <x:c r="H6" s="6" t="str">
        <x:v>0</x:v>
      </x:c>
      <x:c r="I6" s="6" t="str">
        <x:v>1</x:v>
      </x:c>
      <x:c r="J6" s="6" t="str">
        <x:v>1</x:v>
      </x:c>
      <x:c r="K6" s="6" t="str">
        <x:v>2</x:v>
      </x:c>
      <x:c r="L6" s="6" t="str">
        <x:v>0</x:v>
      </x:c>
      <x:c r="M6" s="6" t="str">
        <x:v>0</x:v>
      </x:c>
      <x:c r="N6" s="6" t="str">
        <x:v>0</x:v>
      </x:c>
      <x:c r="O6" s="6" t="str">
        <x:v>0</x:v>
      </x:c>
      <x:c r="P6" s="6" t="str">
        <x:v>10</x:v>
      </x:c>
      <x:c r="Q6" s="6" t="str">
        <x:v>1.0</x:v>
      </x:c>
      <x:c r="R6" s="6" t="str">
        <x:v>10</x:v>
      </x:c>
      <x:c r="S6" s="6" t="str">
        <x:v>0.0</x:v>
      </x:c>
      <x:c r="T6" s="6" t="str">
        <x:v>10</x:v>
      </x:c>
      <x:c r="U6" s="6" t="str">
        <x:v>0.0</x:v>
      </x:c>
      <x:c r="V6" s="6" t="str">
        <x:v>10</x:v>
      </x:c>
      <x:c r="W6" s="6" t="str">
        <x:v>14.0</x:v>
      </x:c>
      <x:c r="X6" s="6" t="str">
        <x:v>10</x:v>
      </x:c>
      <x:c r="Y6" s="6" t="str">
        <x:v>4272.0</x:v>
      </x:c>
      <x:c r="Z6" s="6" t="str">
        <x:v>5</x:v>
      </x:c>
      <x:c r="AA6" s="6" t="str">
        <x:v>1.0</x:v>
      </x:c>
      <x:c r="AB6" s="6" t="str">
        <x:v>10</x:v>
      </x:c>
      <x:c r="AC6" s="6" t="str">
        <x:v>2024-05</x:v>
      </x:c>
      <x:c r="AD6" s="9" t="str">
        <x:v>BNPB operational disaster search table</x:v>
      </x:c>
      <x:c r="AE6" s="9" t="str">
        <x:v>https://gis.bnpb.go.id/databencana/tabel/pencarian.php</x:v>
      </x:c>
      <x:c r="AF6" s="9" t="str">
        <x:v>operational_snapshot_annual_totals_may_differ</x:v>
      </x:c>
    </x:row>
    <x:row r="7" ht="18" customHeight="1">
      <x:c r="A7" s="6" t="str">
        <x:v>11</x:v>
      </x:c>
      <x:c r="B7" s="6" t="str">
        <x:v>ACEH</x:v>
      </x:c>
      <x:c r="C7" s="6" t="str">
        <x:v>2024</x:v>
      </x:c>
      <x:c r="D7" s="6" t="str">
        <x:v>6</x:v>
      </x:c>
      <x:c r="E7" s="6" t="str">
        <x:v>3</x:v>
      </x:c>
      <x:c r="F7" s="6" t="str">
        <x:v>3</x:v>
      </x:c>
      <x:c r="G7" s="6" t="str">
        <x:v>1</x:v>
      </x:c>
      <x:c r="H7" s="6" t="str">
        <x:v>0</x:v>
      </x:c>
      <x:c r="I7" s="6" t="str">
        <x:v>1</x:v>
      </x:c>
      <x:c r="J7" s="6" t="str">
        <x:v>0</x:v>
      </x:c>
      <x:c r="K7" s="6" t="str">
        <x:v>1</x:v>
      </x:c>
      <x:c r="L7" s="6" t="str">
        <x:v>0</x:v>
      </x:c>
      <x:c r="M7" s="6" t="str">
        <x:v>0</x:v>
      </x:c>
      <x:c r="N7" s="6" t="str">
        <x:v>0</x:v>
      </x:c>
      <x:c r="O7" s="6" t="str">
        <x:v>0</x:v>
      </x:c>
      <x:c r="P7" s="6" t="str">
        <x:v>3</x:v>
      </x:c>
      <x:c r="Q7" s="6" t="str">
        <x:v>0.0</x:v>
      </x:c>
      <x:c r="R7" s="6" t="str">
        <x:v>3</x:v>
      </x:c>
      <x:c r="S7" s="6" t="str">
        <x:v>0.0</x:v>
      </x:c>
      <x:c r="T7" s="6" t="str">
        <x:v>3</x:v>
      </x:c>
      <x:c r="U7" s="6" t="str">
        <x:v>0.0</x:v>
      </x:c>
      <x:c r="V7" s="6" t="str">
        <x:v>3</x:v>
      </x:c>
      <x:c r="W7" s="6" t="str">
        <x:v>4.0</x:v>
      </x:c>
      <x:c r="X7" s="6" t="str">
        <x:v>3</x:v>
      </x:c>
      <x:c r="Y7" s="6" t="str">
        <x:v>143.0</x:v>
      </x:c>
      <x:c r="Z7" s="6" t="str">
        <x:v>1</x:v>
      </x:c>
      <x:c r="AA7" s="6" t="str">
        <x:v>1.0</x:v>
      </x:c>
      <x:c r="AB7" s="6" t="str">
        <x:v>3</x:v>
      </x:c>
      <x:c r="AC7" s="6" t="str">
        <x:v>2024-06</x:v>
      </x:c>
      <x:c r="AD7" s="9" t="str">
        <x:v>BNPB operational disaster search table</x:v>
      </x:c>
      <x:c r="AE7" s="9" t="str">
        <x:v>https://gis.bnpb.go.id/databencana/tabel/pencarian.php</x:v>
      </x:c>
      <x:c r="AF7" s="9" t="str">
        <x:v>operational_snapshot_annual_totals_may_differ</x:v>
      </x:c>
    </x:row>
    <x:row r="8" ht="18" customHeight="1">
      <x:c r="A8" s="6" t="str">
        <x:v>11</x:v>
      </x:c>
      <x:c r="B8" s="6" t="str">
        <x:v>ACEH</x:v>
      </x:c>
      <x:c r="C8" s="6" t="str">
        <x:v>2024</x:v>
      </x:c>
      <x:c r="D8" s="6" t="str">
        <x:v>7</x:v>
      </x:c>
      <x:c r="E8" s="6" t="str">
        <x:v>18</x:v>
      </x:c>
      <x:c r="F8" s="6" t="str">
        <x:v>18</x:v>
      </x:c>
      <x:c r="G8" s="6" t="str">
        <x:v>0</x:v>
      </x:c>
      <x:c r="H8" s="6" t="str">
        <x:v>0</x:v>
      </x:c>
      <x:c r="I8" s="6" t="str">
        <x:v>4</x:v>
      </x:c>
      <x:c r="J8" s="6" t="str">
        <x:v>0</x:v>
      </x:c>
      <x:c r="K8" s="6" t="str">
        <x:v>14</x:v>
      </x:c>
      <x:c r="L8" s="6" t="str">
        <x:v>0</x:v>
      </x:c>
      <x:c r="M8" s="6" t="str">
        <x:v>0</x:v>
      </x:c>
      <x:c r="N8" s="6" t="str">
        <x:v>0</x:v>
      </x:c>
      <x:c r="O8" s="6" t="str">
        <x:v>0</x:v>
      </x:c>
      <x:c r="P8" s="6" t="str">
        <x:v>18</x:v>
      </x:c>
      <x:c r="Q8" s="6" t="str">
        <x:v>0.0</x:v>
      </x:c>
      <x:c r="R8" s="6" t="str">
        <x:v>18</x:v>
      </x:c>
      <x:c r="S8" s="6" t="str">
        <x:v>0.0</x:v>
      </x:c>
      <x:c r="T8" s="6" t="str">
        <x:v>18</x:v>
      </x:c>
      <x:c r="U8" s="6" t="str">
        <x:v>0.0</x:v>
      </x:c>
      <x:c r="V8" s="6" t="str">
        <x:v>18</x:v>
      </x:c>
      <x:c r="W8" s="6" t="str">
        <x:v>70.0</x:v>
      </x:c>
      <x:c r="X8" s="6" t="str">
        <x:v>18</x:v>
      </x:c>
      <x:c r="Y8" s="6" t="str"/>
      <x:c r="Z8" s="6" t="str">
        <x:v>0</x:v>
      </x:c>
      <x:c r="AA8" s="6" t="str">
        <x:v>0.0</x:v>
      </x:c>
      <x:c r="AB8" s="6" t="str">
        <x:v>18</x:v>
      </x:c>
      <x:c r="AC8" s="6" t="str">
        <x:v>2024-07</x:v>
      </x:c>
      <x:c r="AD8" s="9" t="str">
        <x:v>BNPB operational disaster search table</x:v>
      </x:c>
      <x:c r="AE8" s="9" t="str">
        <x:v>https://gis.bnpb.go.id/databencana/tabel/pencarian.php</x:v>
      </x:c>
      <x:c r="AF8" s="9" t="str">
        <x:v>operational_snapshot_annual_totals_may_differ</x:v>
      </x:c>
    </x:row>
    <x:row r="9" ht="18" customHeight="1">
      <x:c r="A9" s="6" t="str">
        <x:v>11</x:v>
      </x:c>
      <x:c r="B9" s="6" t="str">
        <x:v>ACEH</x:v>
      </x:c>
      <x:c r="C9" s="6" t="str">
        <x:v>2024</x:v>
      </x:c>
      <x:c r="D9" s="6" t="str">
        <x:v>8</x:v>
      </x:c>
      <x:c r="E9" s="6" t="str">
        <x:v>12</x:v>
      </x:c>
      <x:c r="F9" s="6" t="str">
        <x:v>12</x:v>
      </x:c>
      <x:c r="G9" s="6" t="str">
        <x:v>8</x:v>
      </x:c>
      <x:c r="H9" s="6" t="str">
        <x:v>0</x:v>
      </x:c>
      <x:c r="I9" s="6" t="str">
        <x:v>1</x:v>
      </x:c>
      <x:c r="J9" s="6" t="str">
        <x:v>0</x:v>
      </x:c>
      <x:c r="K9" s="6" t="str">
        <x:v>3</x:v>
      </x:c>
      <x:c r="L9" s="6" t="str">
        <x:v>0</x:v>
      </x:c>
      <x:c r="M9" s="6" t="str">
        <x:v>0</x:v>
      </x:c>
      <x:c r="N9" s="6" t="str">
        <x:v>0</x:v>
      </x:c>
      <x:c r="O9" s="6" t="str">
        <x:v>0</x:v>
      </x:c>
      <x:c r="P9" s="6" t="str">
        <x:v>12</x:v>
      </x:c>
      <x:c r="Q9" s="6" t="str">
        <x:v>0.0</x:v>
      </x:c>
      <x:c r="R9" s="6" t="str">
        <x:v>12</x:v>
      </x:c>
      <x:c r="S9" s="6" t="str">
        <x:v>0.0</x:v>
      </x:c>
      <x:c r="T9" s="6" t="str">
        <x:v>12</x:v>
      </x:c>
      <x:c r="U9" s="6" t="str">
        <x:v>0.0</x:v>
      </x:c>
      <x:c r="V9" s="6" t="str">
        <x:v>12</x:v>
      </x:c>
      <x:c r="W9" s="6" t="str">
        <x:v>6.0</x:v>
      </x:c>
      <x:c r="X9" s="6" t="str">
        <x:v>12</x:v>
      </x:c>
      <x:c r="Y9" s="6" t="str">
        <x:v>2162.0</x:v>
      </x:c>
      <x:c r="Z9" s="6" t="str">
        <x:v>8</x:v>
      </x:c>
      <x:c r="AA9" s="6" t="str">
        <x:v>0.0</x:v>
      </x:c>
      <x:c r="AB9" s="6" t="str">
        <x:v>12</x:v>
      </x:c>
      <x:c r="AC9" s="6" t="str">
        <x:v>2024-08</x:v>
      </x:c>
      <x:c r="AD9" s="9" t="str">
        <x:v>BNPB operational disaster search table</x:v>
      </x:c>
      <x:c r="AE9" s="9" t="str">
        <x:v>https://gis.bnpb.go.id/databencana/tabel/pencarian.php</x:v>
      </x:c>
      <x:c r="AF9" s="9" t="str">
        <x:v>operational_snapshot_annual_totals_may_differ</x:v>
      </x:c>
    </x:row>
    <x:row r="10" ht="18" customHeight="1">
      <x:c r="A10" s="6" t="str">
        <x:v>11</x:v>
      </x:c>
      <x:c r="B10" s="6" t="str">
        <x:v>ACEH</x:v>
      </x:c>
      <x:c r="C10" s="6" t="str">
        <x:v>2024</x:v>
      </x:c>
      <x:c r="D10" s="6" t="str">
        <x:v>9</x:v>
      </x:c>
      <x:c r="E10" s="6" t="str">
        <x:v>12</x:v>
      </x:c>
      <x:c r="F10" s="6" t="str">
        <x:v>12</x:v>
      </x:c>
      <x:c r="G10" s="6" t="str">
        <x:v>2</x:v>
      </x:c>
      <x:c r="H10" s="6" t="str">
        <x:v>0</x:v>
      </x:c>
      <x:c r="I10" s="6" t="str">
        <x:v>6</x:v>
      </x:c>
      <x:c r="J10" s="6" t="str">
        <x:v>0</x:v>
      </x:c>
      <x:c r="K10" s="6" t="str">
        <x:v>4</x:v>
      </x:c>
      <x:c r="L10" s="6" t="str">
        <x:v>0</x:v>
      </x:c>
      <x:c r="M10" s="6" t="str">
        <x:v>0</x:v>
      </x:c>
      <x:c r="N10" s="6" t="str">
        <x:v>0</x:v>
      </x:c>
      <x:c r="O10" s="6" t="str">
        <x:v>0</x:v>
      </x:c>
      <x:c r="P10" s="6" t="str">
        <x:v>12</x:v>
      </x:c>
      <x:c r="Q10" s="6" t="str">
        <x:v>3.0</x:v>
      </x:c>
      <x:c r="R10" s="6" t="str">
        <x:v>12</x:v>
      </x:c>
      <x:c r="S10" s="6" t="str">
        <x:v>0.0</x:v>
      </x:c>
      <x:c r="T10" s="6" t="str">
        <x:v>12</x:v>
      </x:c>
      <x:c r="U10" s="6" t="str">
        <x:v>1.0</x:v>
      </x:c>
      <x:c r="V10" s="6" t="str">
        <x:v>12</x:v>
      </x:c>
      <x:c r="W10" s="6" t="str">
        <x:v>120.0</x:v>
      </x:c>
      <x:c r="X10" s="6" t="str">
        <x:v>12</x:v>
      </x:c>
      <x:c r="Y10" s="6" t="str">
        <x:v>1987.0</x:v>
      </x:c>
      <x:c r="Z10" s="6" t="str">
        <x:v>2</x:v>
      </x:c>
      <x:c r="AA10" s="6" t="str">
        <x:v>1.0</x:v>
      </x:c>
      <x:c r="AB10" s="6" t="str">
        <x:v>12</x:v>
      </x:c>
      <x:c r="AC10" s="6" t="str">
        <x:v>2024-09</x:v>
      </x:c>
      <x:c r="AD10" s="9" t="str">
        <x:v>BNPB operational disaster search table</x:v>
      </x:c>
      <x:c r="AE10" s="9" t="str">
        <x:v>https://gis.bnpb.go.id/databencana/tabel/pencarian.php</x:v>
      </x:c>
      <x:c r="AF10" s="9" t="str">
        <x:v>operational_snapshot_annual_totals_may_differ</x:v>
      </x:c>
    </x:row>
    <x:row r="11" ht="18" customHeight="1">
      <x:c r="A11" s="6" t="str">
        <x:v>11</x:v>
      </x:c>
      <x:c r="B11" s="6" t="str">
        <x:v>ACEH</x:v>
      </x:c>
      <x:c r="C11" s="6" t="str">
        <x:v>2024</x:v>
      </x:c>
      <x:c r="D11" s="6" t="str">
        <x:v>10</x:v>
      </x:c>
      <x:c r="E11" s="6" t="str">
        <x:v>14</x:v>
      </x:c>
      <x:c r="F11" s="6" t="str">
        <x:v>14</x:v>
      </x:c>
      <x:c r="G11" s="6" t="str">
        <x:v>11</x:v>
      </x:c>
      <x:c r="H11" s="6" t="str">
        <x:v>1</x:v>
      </x:c>
      <x:c r="I11" s="6" t="str">
        <x:v>0</x:v>
      </x:c>
      <x:c r="J11" s="6" t="str">
        <x:v>0</x:v>
      </x:c>
      <x:c r="K11" s="6" t="str">
        <x:v>2</x:v>
      </x:c>
      <x:c r="L11" s="6" t="str">
        <x:v>0</x:v>
      </x:c>
      <x:c r="M11" s="6" t="str">
        <x:v>0</x:v>
      </x:c>
      <x:c r="N11" s="6" t="str">
        <x:v>0</x:v>
      </x:c>
      <x:c r="O11" s="6" t="str">
        <x:v>0</x:v>
      </x:c>
      <x:c r="P11" s="6" t="str">
        <x:v>14</x:v>
      </x:c>
      <x:c r="Q11" s="6" t="str">
        <x:v>5.0</x:v>
      </x:c>
      <x:c r="R11" s="6" t="str">
        <x:v>14</x:v>
      </x:c>
      <x:c r="S11" s="6" t="str">
        <x:v>0.0</x:v>
      </x:c>
      <x:c r="T11" s="6" t="str">
        <x:v>14</x:v>
      </x:c>
      <x:c r="U11" s="6" t="str">
        <x:v>0.0</x:v>
      </x:c>
      <x:c r="V11" s="6" t="str">
        <x:v>14</x:v>
      </x:c>
      <x:c r="W11" s="6" t="str">
        <x:v>60.0</x:v>
      </x:c>
      <x:c r="X11" s="6" t="str">
        <x:v>14</x:v>
      </x:c>
      <x:c r="Y11" s="6" t="str">
        <x:v>6382.0</x:v>
      </x:c>
      <x:c r="Z11" s="6" t="str">
        <x:v>8</x:v>
      </x:c>
      <x:c r="AA11" s="6" t="str">
        <x:v>1.0</x:v>
      </x:c>
      <x:c r="AB11" s="6" t="str">
        <x:v>14</x:v>
      </x:c>
      <x:c r="AC11" s="6" t="str">
        <x:v>2024-10</x:v>
      </x:c>
      <x:c r="AD11" s="9" t="str">
        <x:v>BNPB operational disaster search table</x:v>
      </x:c>
      <x:c r="AE11" s="9" t="str">
        <x:v>https://gis.bnpb.go.id/databencana/tabel/pencarian.php</x:v>
      </x:c>
      <x:c r="AF11" s="9" t="str">
        <x:v>operational_snapshot_annual_totals_may_differ</x:v>
      </x:c>
    </x:row>
    <x:row r="12" ht="18" customHeight="1">
      <x:c r="A12" s="6" t="str">
        <x:v>11</x:v>
      </x:c>
      <x:c r="B12" s="6" t="str">
        <x:v>ACEH</x:v>
      </x:c>
      <x:c r="C12" s="6" t="str">
        <x:v>2024</x:v>
      </x:c>
      <x:c r="D12" s="6" t="str">
        <x:v>11</x:v>
      </x:c>
      <x:c r="E12" s="6" t="str">
        <x:v>6</x:v>
      </x:c>
      <x:c r="F12" s="6" t="str">
        <x:v>6</x:v>
      </x:c>
      <x:c r="G12" s="6" t="str">
        <x:v>6</x:v>
      </x:c>
      <x:c r="H12" s="6" t="str">
        <x:v>0</x:v>
      </x:c>
      <x:c r="I12" s="6" t="str">
        <x:v>0</x:v>
      </x:c>
      <x:c r="J12" s="6" t="str">
        <x:v>0</x:v>
      </x:c>
      <x:c r="K12" s="6" t="str">
        <x:v>0</x:v>
      </x:c>
      <x:c r="L12" s="6" t="str">
        <x:v>0</x:v>
      </x:c>
      <x:c r="M12" s="6" t="str">
        <x:v>0</x:v>
      </x:c>
      <x:c r="N12" s="6" t="str">
        <x:v>0</x:v>
      </x:c>
      <x:c r="O12" s="6" t="str">
        <x:v>0</x:v>
      </x:c>
      <x:c r="P12" s="6" t="str">
        <x:v>6</x:v>
      </x:c>
      <x:c r="Q12" s="6" t="str">
        <x:v>0.0</x:v>
      </x:c>
      <x:c r="R12" s="6" t="str">
        <x:v>6</x:v>
      </x:c>
      <x:c r="S12" s="6" t="str">
        <x:v>0.0</x:v>
      </x:c>
      <x:c r="T12" s="6" t="str">
        <x:v>6</x:v>
      </x:c>
      <x:c r="U12" s="6" t="str">
        <x:v>0.0</x:v>
      </x:c>
      <x:c r="V12" s="6" t="str">
        <x:v>6</x:v>
      </x:c>
      <x:c r="W12" s="6" t="str">
        <x:v>18.0</x:v>
      </x:c>
      <x:c r="X12" s="6" t="str">
        <x:v>6</x:v>
      </x:c>
      <x:c r="Y12" s="6" t="str">
        <x:v>6142.0</x:v>
      </x:c>
      <x:c r="Z12" s="6" t="str">
        <x:v>4</x:v>
      </x:c>
      <x:c r="AA12" s="6" t="str">
        <x:v>4.0</x:v>
      </x:c>
      <x:c r="AB12" s="6" t="str">
        <x:v>6</x:v>
      </x:c>
      <x:c r="AC12" s="6" t="str">
        <x:v>2024-11</x:v>
      </x:c>
      <x:c r="AD12" s="9" t="str">
        <x:v>BNPB operational disaster search table</x:v>
      </x:c>
      <x:c r="AE12" s="9" t="str">
        <x:v>https://gis.bnpb.go.id/databencana/tabel/pencarian.php</x:v>
      </x:c>
      <x:c r="AF12" s="9" t="str">
        <x:v>operational_snapshot_annual_totals_may_differ</x:v>
      </x:c>
    </x:row>
    <x:row r="13" ht="18" customHeight="1">
      <x:c r="A13" s="6" t="str">
        <x:v>11</x:v>
      </x:c>
      <x:c r="B13" s="6" t="str">
        <x:v>ACEH</x:v>
      </x:c>
      <x:c r="C13" s="6" t="str">
        <x:v>2024</x:v>
      </x:c>
      <x:c r="D13" s="6" t="str">
        <x:v>12</x:v>
      </x:c>
      <x:c r="E13" s="6" t="str">
        <x:v>7</x:v>
      </x:c>
      <x:c r="F13" s="6" t="str">
        <x:v>7</x:v>
      </x:c>
      <x:c r="G13" s="6" t="str">
        <x:v>6</x:v>
      </x:c>
      <x:c r="H13" s="6" t="str">
        <x:v>1</x:v>
      </x:c>
      <x:c r="I13" s="6" t="str">
        <x:v>0</x:v>
      </x:c>
      <x:c r="J13" s="6" t="str">
        <x:v>0</x:v>
      </x:c>
      <x:c r="K13" s="6" t="str">
        <x:v>0</x:v>
      </x:c>
      <x:c r="L13" s="6" t="str">
        <x:v>0</x:v>
      </x:c>
      <x:c r="M13" s="6" t="str">
        <x:v>0</x:v>
      </x:c>
      <x:c r="N13" s="6" t="str">
        <x:v>0</x:v>
      </x:c>
      <x:c r="O13" s="6" t="str">
        <x:v>0</x:v>
      </x:c>
      <x:c r="P13" s="6" t="str">
        <x:v>7</x:v>
      </x:c>
      <x:c r="Q13" s="6" t="str">
        <x:v>0.0</x:v>
      </x:c>
      <x:c r="R13" s="6" t="str">
        <x:v>7</x:v>
      </x:c>
      <x:c r="S13" s="6" t="str">
        <x:v>0.0</x:v>
      </x:c>
      <x:c r="T13" s="6" t="str">
        <x:v>7</x:v>
      </x:c>
      <x:c r="U13" s="6" t="str">
        <x:v>1.0</x:v>
      </x:c>
      <x:c r="V13" s="6" t="str">
        <x:v>7</x:v>
      </x:c>
      <x:c r="W13" s="6" t="str">
        <x:v>6.0</x:v>
      </x:c>
      <x:c r="X13" s="6" t="str">
        <x:v>7</x:v>
      </x:c>
      <x:c r="Y13" s="6" t="str">
        <x:v>2002.0</x:v>
      </x:c>
      <x:c r="Z13" s="6" t="str">
        <x:v>5</x:v>
      </x:c>
      <x:c r="AA13" s="6" t="str">
        <x:v>0.0</x:v>
      </x:c>
      <x:c r="AB13" s="6" t="str">
        <x:v>7</x:v>
      </x:c>
      <x:c r="AC13" s="6" t="str">
        <x:v>2024-12</x:v>
      </x:c>
      <x:c r="AD13" s="9" t="str">
        <x:v>BNPB operational disaster search table</x:v>
      </x:c>
      <x:c r="AE13" s="9" t="str">
        <x:v>https://gis.bnpb.go.id/databencana/tabel/pencarian.php</x:v>
      </x:c>
      <x:c r="AF13" s="9" t="str">
        <x:v>operational_snapshot_annual_totals_may_differ</x:v>
      </x:c>
    </x:row>
    <x:row r="14" ht="18" customHeight="1">
      <x:c r="A14" s="6" t="str">
        <x:v>11</x:v>
      </x:c>
      <x:c r="B14" s="6" t="str">
        <x:v>ACEH</x:v>
      </x:c>
      <x:c r="C14" s="6" t="str">
        <x:v>2025</x:v>
      </x:c>
      <x:c r="D14" s="6" t="str">
        <x:v>1</x:v>
      </x:c>
      <x:c r="E14" s="6" t="str">
        <x:v>7</x:v>
      </x:c>
      <x:c r="F14" s="6" t="str">
        <x:v>7</x:v>
      </x:c>
      <x:c r="G14" s="6" t="str">
        <x:v>7</x:v>
      </x:c>
      <x:c r="H14" s="6" t="str">
        <x:v>0</x:v>
      </x:c>
      <x:c r="I14" s="6" t="str">
        <x:v>0</x:v>
      </x:c>
      <x:c r="J14" s="6" t="str">
        <x:v>0</x:v>
      </x:c>
      <x:c r="K14" s="6" t="str">
        <x:v>0</x:v>
      </x:c>
      <x:c r="L14" s="6" t="str">
        <x:v>0</x:v>
      </x:c>
      <x:c r="M14" s="6" t="str">
        <x:v>0</x:v>
      </x:c>
      <x:c r="N14" s="6" t="str">
        <x:v>0</x:v>
      </x:c>
      <x:c r="O14" s="6" t="str">
        <x:v>0</x:v>
      </x:c>
      <x:c r="P14" s="6" t="str">
        <x:v>7</x:v>
      </x:c>
      <x:c r="Q14" s="6" t="str">
        <x:v>2.0</x:v>
      </x:c>
      <x:c r="R14" s="6" t="str">
        <x:v>7</x:v>
      </x:c>
      <x:c r="S14" s="6" t="str">
        <x:v>0.0</x:v>
      </x:c>
      <x:c r="T14" s="6" t="str">
        <x:v>7</x:v>
      </x:c>
      <x:c r="U14" s="6" t="str">
        <x:v>5.0</x:v>
      </x:c>
      <x:c r="V14" s="6" t="str">
        <x:v>7</x:v>
      </x:c>
      <x:c r="W14" s="6" t="str">
        <x:v>2.0</x:v>
      </x:c>
      <x:c r="X14" s="6" t="str">
        <x:v>7</x:v>
      </x:c>
      <x:c r="Y14" s="6" t="str">
        <x:v>1174.0</x:v>
      </x:c>
      <x:c r="Z14" s="6" t="str">
        <x:v>5</x:v>
      </x:c>
      <x:c r="AA14" s="6" t="str">
        <x:v>3.0</x:v>
      </x:c>
      <x:c r="AB14" s="6" t="str">
        <x:v>7</x:v>
      </x:c>
      <x:c r="AC14" s="6" t="str">
        <x:v>2025-01</x:v>
      </x:c>
      <x:c r="AD14" s="9" t="str">
        <x:v>BNPB operational disaster search table</x:v>
      </x:c>
      <x:c r="AE14" s="9" t="str">
        <x:v>https://gis.bnpb.go.id/databencana/tabel/pencarian.php</x:v>
      </x:c>
      <x:c r="AF14" s="9" t="str">
        <x:v>operational_snapshot_annual_totals_may_differ</x:v>
      </x:c>
    </x:row>
    <x:row r="15" ht="18" customHeight="1">
      <x:c r="A15" s="6" t="str">
        <x:v>11</x:v>
      </x:c>
      <x:c r="B15" s="6" t="str">
        <x:v>ACEH</x:v>
      </x:c>
      <x:c r="C15" s="6" t="str">
        <x:v>2025</x:v>
      </x:c>
      <x:c r="D15" s="6" t="str">
        <x:v>2</x:v>
      </x:c>
      <x:c r="E15" s="6" t="str">
        <x:v>8</x:v>
      </x:c>
      <x:c r="F15" s="6" t="str">
        <x:v>8</x:v>
      </x:c>
      <x:c r="G15" s="6" t="str">
        <x:v>4</x:v>
      </x:c>
      <x:c r="H15" s="6" t="str">
        <x:v>1</x:v>
      </x:c>
      <x:c r="I15" s="6" t="str">
        <x:v>0</x:v>
      </x:c>
      <x:c r="J15" s="6" t="str">
        <x:v>0</x:v>
      </x:c>
      <x:c r="K15" s="6" t="str">
        <x:v>2</x:v>
      </x:c>
      <x:c r="L15" s="6" t="str">
        <x:v>1</x:v>
      </x:c>
      <x:c r="M15" s="6" t="str">
        <x:v>0</x:v>
      </x:c>
      <x:c r="N15" s="6" t="str">
        <x:v>0</x:v>
      </x:c>
      <x:c r="O15" s="6" t="str">
        <x:v>0</x:v>
      </x:c>
      <x:c r="P15" s="6" t="str">
        <x:v>8</x:v>
      </x:c>
      <x:c r="Q15" s="6" t="str">
        <x:v>0.0</x:v>
      </x:c>
      <x:c r="R15" s="6" t="str">
        <x:v>8</x:v>
      </x:c>
      <x:c r="S15" s="6" t="str">
        <x:v>0.0</x:v>
      </x:c>
      <x:c r="T15" s="6" t="str">
        <x:v>8</x:v>
      </x:c>
      <x:c r="U15" s="6" t="str">
        <x:v>0.0</x:v>
      </x:c>
      <x:c r="V15" s="6" t="str">
        <x:v>8</x:v>
      </x:c>
      <x:c r="W15" s="6" t="str">
        <x:v>13.0</x:v>
      </x:c>
      <x:c r="X15" s="6" t="str">
        <x:v>8</x:v>
      </x:c>
      <x:c r="Y15" s="6" t="str">
        <x:v>161.0</x:v>
      </x:c>
      <x:c r="Z15" s="6" t="str">
        <x:v>4</x:v>
      </x:c>
      <x:c r="AA15" s="6" t="str">
        <x:v>0.0</x:v>
      </x:c>
      <x:c r="AB15" s="6" t="str">
        <x:v>8</x:v>
      </x:c>
      <x:c r="AC15" s="6" t="str">
        <x:v>2025-02</x:v>
      </x:c>
      <x:c r="AD15" s="9" t="str">
        <x:v>BNPB operational disaster search table</x:v>
      </x:c>
      <x:c r="AE15" s="9" t="str">
        <x:v>https://gis.bnpb.go.id/databencana/tabel/pencarian.php</x:v>
      </x:c>
      <x:c r="AF15" s="9" t="str">
        <x:v>operational_snapshot_annual_totals_may_differ</x:v>
      </x:c>
    </x:row>
    <x:row r="16" ht="18" customHeight="1">
      <x:c r="A16" s="6" t="str">
        <x:v>11</x:v>
      </x:c>
      <x:c r="B16" s="6" t="str">
        <x:v>ACEH</x:v>
      </x:c>
      <x:c r="C16" s="6" t="str">
        <x:v>2025</x:v>
      </x:c>
      <x:c r="D16" s="6" t="str">
        <x:v>3</x:v>
      </x:c>
      <x:c r="E16" s="6" t="str">
        <x:v>10</x:v>
      </x:c>
      <x:c r="F16" s="6" t="str">
        <x:v>10</x:v>
      </x:c>
      <x:c r="G16" s="6" t="str">
        <x:v>6</x:v>
      </x:c>
      <x:c r="H16" s="6" t="str">
        <x:v>0</x:v>
      </x:c>
      <x:c r="I16" s="6" t="str">
        <x:v>1</x:v>
      </x:c>
      <x:c r="J16" s="6" t="str">
        <x:v>0</x:v>
      </x:c>
      <x:c r="K16" s="6" t="str">
        <x:v>3</x:v>
      </x:c>
      <x:c r="L16" s="6" t="str">
        <x:v>0</x:v>
      </x:c>
      <x:c r="M16" s="6" t="str">
        <x:v>0</x:v>
      </x:c>
      <x:c r="N16" s="6" t="str">
        <x:v>0</x:v>
      </x:c>
      <x:c r="O16" s="6" t="str">
        <x:v>0</x:v>
      </x:c>
      <x:c r="P16" s="6" t="str">
        <x:v>10</x:v>
      </x:c>
      <x:c r="Q16" s="6" t="str">
        <x:v>1.0</x:v>
      </x:c>
      <x:c r="R16" s="6" t="str">
        <x:v>10</x:v>
      </x:c>
      <x:c r="S16" s="6" t="str">
        <x:v>1.0</x:v>
      </x:c>
      <x:c r="T16" s="6" t="str">
        <x:v>10</x:v>
      </x:c>
      <x:c r="U16" s="6" t="str">
        <x:v>0.0</x:v>
      </x:c>
      <x:c r="V16" s="6" t="str">
        <x:v>10</x:v>
      </x:c>
      <x:c r="W16" s="6" t="str">
        <x:v>8.0</x:v>
      </x:c>
      <x:c r="X16" s="6" t="str">
        <x:v>10</x:v>
      </x:c>
      <x:c r="Y16" s="6" t="str">
        <x:v>1309.0</x:v>
      </x:c>
      <x:c r="Z16" s="6" t="str">
        <x:v>5</x:v>
      </x:c>
      <x:c r="AA16" s="6" t="str">
        <x:v>0.0</x:v>
      </x:c>
      <x:c r="AB16" s="6" t="str">
        <x:v>10</x:v>
      </x:c>
      <x:c r="AC16" s="6" t="str">
        <x:v>2025-03</x:v>
      </x:c>
      <x:c r="AD16" s="9" t="str">
        <x:v>BNPB operational disaster search table</x:v>
      </x:c>
      <x:c r="AE16" s="9" t="str">
        <x:v>https://gis.bnpb.go.id/databencana/tabel/pencarian.php</x:v>
      </x:c>
      <x:c r="AF16" s="9" t="str">
        <x:v>operational_snapshot_annual_totals_may_differ</x:v>
      </x:c>
    </x:row>
    <x:row r="17" ht="18" customHeight="1">
      <x:c r="A17" s="6" t="str">
        <x:v>11</x:v>
      </x:c>
      <x:c r="B17" s="6" t="str">
        <x:v>ACEH</x:v>
      </x:c>
      <x:c r="C17" s="6" t="str">
        <x:v>2025</x:v>
      </x:c>
      <x:c r="D17" s="6" t="str">
        <x:v>4</x:v>
      </x:c>
      <x:c r="E17" s="6" t="str">
        <x:v>2</x:v>
      </x:c>
      <x:c r="F17" s="6" t="str">
        <x:v>2</x:v>
      </x:c>
      <x:c r="G17" s="6" t="str">
        <x:v>1</x:v>
      </x:c>
      <x:c r="H17" s="6" t="str">
        <x:v>0</x:v>
      </x:c>
      <x:c r="I17" s="6" t="str">
        <x:v>0</x:v>
      </x:c>
      <x:c r="J17" s="6" t="str">
        <x:v>0</x:v>
      </x:c>
      <x:c r="K17" s="6" t="str">
        <x:v>1</x:v>
      </x:c>
      <x:c r="L17" s="6" t="str">
        <x:v>0</x:v>
      </x:c>
      <x:c r="M17" s="6" t="str">
        <x:v>0</x:v>
      </x:c>
      <x:c r="N17" s="6" t="str">
        <x:v>0</x:v>
      </x:c>
      <x:c r="O17" s="6" t="str">
        <x:v>0</x:v>
      </x:c>
      <x:c r="P17" s="6" t="str">
        <x:v>2</x:v>
      </x:c>
      <x:c r="Q17" s="6" t="str">
        <x:v>0.0</x:v>
      </x:c>
      <x:c r="R17" s="6" t="str">
        <x:v>2</x:v>
      </x:c>
      <x:c r="S17" s="6" t="str">
        <x:v>0.0</x:v>
      </x:c>
      <x:c r="T17" s="6" t="str">
        <x:v>2</x:v>
      </x:c>
      <x:c r="U17" s="6" t="str">
        <x:v>0.0</x:v>
      </x:c>
      <x:c r="V17" s="6" t="str">
        <x:v>2</x:v>
      </x:c>
      <x:c r="W17" s="6" t="str">
        <x:v>0.0</x:v>
      </x:c>
      <x:c r="X17" s="6" t="str">
        <x:v>2</x:v>
      </x:c>
      <x:c r="Y17" s="6" t="str">
        <x:v>167.0</x:v>
      </x:c>
      <x:c r="Z17" s="6" t="str">
        <x:v>1</x:v>
      </x:c>
      <x:c r="AA17" s="6" t="str">
        <x:v>0.0</x:v>
      </x:c>
      <x:c r="AB17" s="6" t="str">
        <x:v>2</x:v>
      </x:c>
      <x:c r="AC17" s="6" t="str">
        <x:v>2025-04</x:v>
      </x:c>
      <x:c r="AD17" s="9" t="str">
        <x:v>BNPB operational disaster search table</x:v>
      </x:c>
      <x:c r="AE17" s="9" t="str">
        <x:v>https://gis.bnpb.go.id/databencana/tabel/pencarian.php</x:v>
      </x:c>
      <x:c r="AF17" s="9" t="str">
        <x:v>operational_snapshot_annual_totals_may_differ</x:v>
      </x:c>
    </x:row>
    <x:row r="18" ht="18" customHeight="1">
      <x:c r="A18" s="6" t="str">
        <x:v>11</x:v>
      </x:c>
      <x:c r="B18" s="6" t="str">
        <x:v>ACEH</x:v>
      </x:c>
      <x:c r="C18" s="6" t="str">
        <x:v>2025</x:v>
      </x:c>
      <x:c r="D18" s="6" t="str">
        <x:v>5</x:v>
      </x:c>
      <x:c r="E18" s="6" t="str">
        <x:v>8</x:v>
      </x:c>
      <x:c r="F18" s="6" t="str">
        <x:v>8</x:v>
      </x:c>
      <x:c r="G18" s="6" t="str">
        <x:v>1</x:v>
      </x:c>
      <x:c r="H18" s="6" t="str">
        <x:v>0</x:v>
      </x:c>
      <x:c r="I18" s="6" t="str">
        <x:v>4</x:v>
      </x:c>
      <x:c r="J18" s="6" t="str">
        <x:v>0</x:v>
      </x:c>
      <x:c r="K18" s="6" t="str">
        <x:v>1</x:v>
      </x:c>
      <x:c r="L18" s="6" t="str">
        <x:v>0</x:v>
      </x:c>
      <x:c r="M18" s="6" t="str">
        <x:v>2</x:v>
      </x:c>
      <x:c r="N18" s="6" t="str">
        <x:v>0</x:v>
      </x:c>
      <x:c r="O18" s="6" t="str">
        <x:v>0</x:v>
      </x:c>
      <x:c r="P18" s="6" t="str">
        <x:v>6</x:v>
      </x:c>
      <x:c r="Q18" s="6" t="str">
        <x:v>0.0</x:v>
      </x:c>
      <x:c r="R18" s="6" t="str">
        <x:v>8</x:v>
      </x:c>
      <x:c r="S18" s="6" t="str">
        <x:v>0.0</x:v>
      </x:c>
      <x:c r="T18" s="6" t="str">
        <x:v>8</x:v>
      </x:c>
      <x:c r="U18" s="6" t="str">
        <x:v>0.0</x:v>
      </x:c>
      <x:c r="V18" s="6" t="str">
        <x:v>8</x:v>
      </x:c>
      <x:c r="W18" s="6" t="str">
        <x:v>86.0</x:v>
      </x:c>
      <x:c r="X18" s="6" t="str">
        <x:v>8</x:v>
      </x:c>
      <x:c r="Y18" s="6" t="str">
        <x:v>50.0</x:v>
      </x:c>
      <x:c r="Z18" s="6" t="str">
        <x:v>1</x:v>
      </x:c>
      <x:c r="AA18" s="6" t="str">
        <x:v>4.0</x:v>
      </x:c>
      <x:c r="AB18" s="6" t="str">
        <x:v>8</x:v>
      </x:c>
      <x:c r="AC18" s="6" t="str">
        <x:v>2025-05</x:v>
      </x:c>
      <x:c r="AD18" s="9" t="str">
        <x:v>BNPB operational disaster search table</x:v>
      </x:c>
      <x:c r="AE18" s="9" t="str">
        <x:v>https://gis.bnpb.go.id/databencana/tabel/pencarian.php</x:v>
      </x:c>
      <x:c r="AF18" s="9" t="str">
        <x:v>operational_snapshot_annual_totals_may_differ</x:v>
      </x:c>
    </x:row>
    <x:row r="19" ht="18" customHeight="1">
      <x:c r="A19" s="6" t="str">
        <x:v>11</x:v>
      </x:c>
      <x:c r="B19" s="6" t="str">
        <x:v>ACEH</x:v>
      </x:c>
      <x:c r="C19" s="6" t="str">
        <x:v>2025</x:v>
      </x:c>
      <x:c r="D19" s="6" t="str">
        <x:v>6</x:v>
      </x:c>
      <x:c r="E19" s="6" t="str">
        <x:v>21</x:v>
      </x:c>
      <x:c r="F19" s="6" t="str">
        <x:v>21</x:v>
      </x:c>
      <x:c r="G19" s="6" t="str">
        <x:v>0</x:v>
      </x:c>
      <x:c r="H19" s="6" t="str">
        <x:v>0</x:v>
      </x:c>
      <x:c r="I19" s="6" t="str">
        <x:v>6</x:v>
      </x:c>
      <x:c r="J19" s="6" t="str">
        <x:v>0</x:v>
      </x:c>
      <x:c r="K19" s="6" t="str">
        <x:v>15</x:v>
      </x:c>
      <x:c r="L19" s="6" t="str">
        <x:v>0</x:v>
      </x:c>
      <x:c r="M19" s="6" t="str">
        <x:v>0</x:v>
      </x:c>
      <x:c r="N19" s="6" t="str">
        <x:v>0</x:v>
      </x:c>
      <x:c r="O19" s="6" t="str">
        <x:v>0</x:v>
      </x:c>
      <x:c r="P19" s="6" t="str">
        <x:v>21</x:v>
      </x:c>
      <x:c r="Q19" s="6" t="str">
        <x:v>0.0</x:v>
      </x:c>
      <x:c r="R19" s="6" t="str">
        <x:v>1</x:v>
      </x:c>
      <x:c r="S19" s="6" t="str">
        <x:v>0.0</x:v>
      </x:c>
      <x:c r="T19" s="6" t="str">
        <x:v>1</x:v>
      </x:c>
      <x:c r="U19" s="6" t="str">
        <x:v>0.0</x:v>
      </x:c>
      <x:c r="V19" s="6" t="str">
        <x:v>1</x:v>
      </x:c>
      <x:c r="W19" s="6" t="str">
        <x:v>121.0</x:v>
      </x:c>
      <x:c r="X19" s="6" t="str">
        <x:v>21</x:v>
      </x:c>
      <x:c r="Y19" s="6" t="str"/>
      <x:c r="Z19" s="6" t="str">
        <x:v>0</x:v>
      </x:c>
      <x:c r="AA19" s="6" t="str">
        <x:v>7.0</x:v>
      </x:c>
      <x:c r="AB19" s="6" t="str">
        <x:v>21</x:v>
      </x:c>
      <x:c r="AC19" s="6" t="str">
        <x:v>2025-06</x:v>
      </x:c>
      <x:c r="AD19" s="9" t="str">
        <x:v>BNPB operational disaster search table</x:v>
      </x:c>
      <x:c r="AE19" s="9" t="str">
        <x:v>https://gis.bnpb.go.id/databencana/tabel/pencarian.php</x:v>
      </x:c>
      <x:c r="AF19" s="9" t="str">
        <x:v>operational_snapshot_annual_totals_may_differ</x:v>
      </x:c>
    </x:row>
    <x:row r="20" ht="18" customHeight="1">
      <x:c r="A20" s="6" t="str">
        <x:v>11</x:v>
      </x:c>
      <x:c r="B20" s="6" t="str">
        <x:v>ACEH</x:v>
      </x:c>
      <x:c r="C20" s="6" t="str">
        <x:v>2025</x:v>
      </x:c>
      <x:c r="D20" s="6" t="str">
        <x:v>7</x:v>
      </x:c>
      <x:c r="E20" s="6" t="str">
        <x:v>15</x:v>
      </x:c>
      <x:c r="F20" s="6" t="str">
        <x:v>15</x:v>
      </x:c>
      <x:c r="G20" s="6" t="str">
        <x:v>1</x:v>
      </x:c>
      <x:c r="H20" s="6" t="str">
        <x:v>0</x:v>
      </x:c>
      <x:c r="I20" s="6" t="str">
        <x:v>6</x:v>
      </x:c>
      <x:c r="J20" s="6" t="str">
        <x:v>0</x:v>
      </x:c>
      <x:c r="K20" s="6" t="str">
        <x:v>8</x:v>
      </x:c>
      <x:c r="L20" s="6" t="str">
        <x:v>0</x:v>
      </x:c>
      <x:c r="M20" s="6" t="str">
        <x:v>0</x:v>
      </x:c>
      <x:c r="N20" s="6" t="str">
        <x:v>0</x:v>
      </x:c>
      <x:c r="O20" s="6" t="str">
        <x:v>0</x:v>
      </x:c>
      <x:c r="P20" s="6" t="str">
        <x:v>15</x:v>
      </x:c>
      <x:c r="Q20" s="6" t="str"/>
      <x:c r="R20" s="6" t="str">
        <x:v>0</x:v>
      </x:c>
      <x:c r="S20" s="6" t="str"/>
      <x:c r="T20" s="6" t="str">
        <x:v>0</x:v>
      </x:c>
      <x:c r="U20" s="6" t="str"/>
      <x:c r="V20" s="6" t="str">
        <x:v>0</x:v>
      </x:c>
      <x:c r="W20" s="6" t="str">
        <x:v>140.0</x:v>
      </x:c>
      <x:c r="X20" s="6" t="str">
        <x:v>15</x:v>
      </x:c>
      <x:c r="Y20" s="6" t="str">
        <x:v>15.0</x:v>
      </x:c>
      <x:c r="Z20" s="6" t="str">
        <x:v>1</x:v>
      </x:c>
      <x:c r="AA20" s="6" t="str">
        <x:v>24.0</x:v>
      </x:c>
      <x:c r="AB20" s="6" t="str">
        <x:v>15</x:v>
      </x:c>
      <x:c r="AC20" s="6" t="str">
        <x:v>2025-07</x:v>
      </x:c>
      <x:c r="AD20" s="9" t="str">
        <x:v>BNPB operational disaster search table</x:v>
      </x:c>
      <x:c r="AE20" s="9" t="str">
        <x:v>https://gis.bnpb.go.id/databencana/tabel/pencarian.php</x:v>
      </x:c>
      <x:c r="AF20" s="9" t="str">
        <x:v>operational_snapshot_annual_totals_may_differ</x:v>
      </x:c>
    </x:row>
    <x:row r="21" ht="18" customHeight="1">
      <x:c r="A21" s="6" t="str">
        <x:v>11</x:v>
      </x:c>
      <x:c r="B21" s="6" t="str">
        <x:v>ACEH</x:v>
      </x:c>
      <x:c r="C21" s="6" t="str">
        <x:v>2025</x:v>
      </x:c>
      <x:c r="D21" s="6" t="str">
        <x:v>8</x:v>
      </x:c>
      <x:c r="E21" s="6" t="str">
        <x:v>17</x:v>
      </x:c>
      <x:c r="F21" s="6" t="str">
        <x:v>17</x:v>
      </x:c>
      <x:c r="G21" s="6" t="str">
        <x:v>1</x:v>
      </x:c>
      <x:c r="H21" s="6" t="str">
        <x:v>0</x:v>
      </x:c>
      <x:c r="I21" s="6" t="str">
        <x:v>1</x:v>
      </x:c>
      <x:c r="J21" s="6" t="str">
        <x:v>0</x:v>
      </x:c>
      <x:c r="K21" s="6" t="str">
        <x:v>15</x:v>
      </x:c>
      <x:c r="L21" s="6" t="str">
        <x:v>0</x:v>
      </x:c>
      <x:c r="M21" s="6" t="str">
        <x:v>0</x:v>
      </x:c>
      <x:c r="N21" s="6" t="str">
        <x:v>0</x:v>
      </x:c>
      <x:c r="O21" s="6" t="str">
        <x:v>0</x:v>
      </x:c>
      <x:c r="P21" s="6" t="str">
        <x:v>17</x:v>
      </x:c>
      <x:c r="Q21" s="6" t="str"/>
      <x:c r="R21" s="6" t="str">
        <x:v>0</x:v>
      </x:c>
      <x:c r="S21" s="6" t="str"/>
      <x:c r="T21" s="6" t="str">
        <x:v>0</x:v>
      </x:c>
      <x:c r="U21" s="6" t="str"/>
      <x:c r="V21" s="6" t="str">
        <x:v>0</x:v>
      </x:c>
      <x:c r="W21" s="6" t="str">
        <x:v>17.0</x:v>
      </x:c>
      <x:c r="X21" s="6" t="str">
        <x:v>17</x:v>
      </x:c>
      <x:c r="Y21" s="6" t="str">
        <x:v>40.0</x:v>
      </x:c>
      <x:c r="Z21" s="6" t="str">
        <x:v>1</x:v>
      </x:c>
      <x:c r="AA21" s="6" t="str">
        <x:v>0.0</x:v>
      </x:c>
      <x:c r="AB21" s="6" t="str">
        <x:v>17</x:v>
      </x:c>
      <x:c r="AC21" s="6" t="str">
        <x:v>2025-08</x:v>
      </x:c>
      <x:c r="AD21" s="9" t="str">
        <x:v>BNPB operational disaster search table</x:v>
      </x:c>
      <x:c r="AE21" s="9" t="str">
        <x:v>https://gis.bnpb.go.id/databencana/tabel/pencarian.php</x:v>
      </x:c>
      <x:c r="AF21" s="9" t="str">
        <x:v>operational_snapshot_annual_totals_may_differ</x:v>
      </x:c>
    </x:row>
    <x:row r="22" ht="18" customHeight="1">
      <x:c r="A22" s="6" t="str">
        <x:v>11</x:v>
      </x:c>
      <x:c r="B22" s="6" t="str">
        <x:v>ACEH</x:v>
      </x:c>
      <x:c r="C22" s="6" t="str">
        <x:v>2025</x:v>
      </x:c>
      <x:c r="D22" s="6" t="str">
        <x:v>9</x:v>
      </x:c>
      <x:c r="E22" s="6" t="str">
        <x:v>15</x:v>
      </x:c>
      <x:c r="F22" s="6" t="str">
        <x:v>15</x:v>
      </x:c>
      <x:c r="G22" s="6" t="str">
        <x:v>0</x:v>
      </x:c>
      <x:c r="H22" s="6" t="str">
        <x:v>0</x:v>
      </x:c>
      <x:c r="I22" s="6" t="str">
        <x:v>0</x:v>
      </x:c>
      <x:c r="J22" s="6" t="str">
        <x:v>0</x:v>
      </x:c>
      <x:c r="K22" s="6" t="str">
        <x:v>15</x:v>
      </x:c>
      <x:c r="L22" s="6" t="str">
        <x:v>0</x:v>
      </x:c>
      <x:c r="M22" s="6" t="str">
        <x:v>0</x:v>
      </x:c>
      <x:c r="N22" s="6" t="str">
        <x:v>0</x:v>
      </x:c>
      <x:c r="O22" s="6" t="str">
        <x:v>0</x:v>
      </x:c>
      <x:c r="P22" s="6" t="str">
        <x:v>15</x:v>
      </x:c>
      <x:c r="Q22" s="6" t="str"/>
      <x:c r="R22" s="6" t="str">
        <x:v>0</x:v>
      </x:c>
      <x:c r="S22" s="6" t="str"/>
      <x:c r="T22" s="6" t="str">
        <x:v>0</x:v>
      </x:c>
      <x:c r="U22" s="6" t="str">
        <x:v>1.0</x:v>
      </x:c>
      <x:c r="V22" s="6" t="str">
        <x:v>1</x:v>
      </x:c>
      <x:c r="W22" s="6" t="str">
        <x:v>0.0</x:v>
      </x:c>
      <x:c r="X22" s="6" t="str">
        <x:v>15</x:v>
      </x:c>
      <x:c r="Y22" s="6" t="str"/>
      <x:c r="Z22" s="6" t="str">
        <x:v>0</x:v>
      </x:c>
      <x:c r="AA22" s="6" t="str">
        <x:v>0.0</x:v>
      </x:c>
      <x:c r="AB22" s="6" t="str">
        <x:v>15</x:v>
      </x:c>
      <x:c r="AC22" s="6" t="str">
        <x:v>2025-09</x:v>
      </x:c>
      <x:c r="AD22" s="9" t="str">
        <x:v>BNPB operational disaster search table</x:v>
      </x:c>
      <x:c r="AE22" s="9" t="str">
        <x:v>https://gis.bnpb.go.id/databencana/tabel/pencarian.php</x:v>
      </x:c>
      <x:c r="AF22" s="9" t="str">
        <x:v>operational_snapshot_annual_totals_may_differ</x:v>
      </x:c>
    </x:row>
    <x:row r="23" ht="18" customHeight="1">
      <x:c r="A23" s="6" t="str">
        <x:v>11</x:v>
      </x:c>
      <x:c r="B23" s="6" t="str">
        <x:v>ACEH</x:v>
      </x:c>
      <x:c r="C23" s="6" t="str">
        <x:v>2025</x:v>
      </x:c>
      <x:c r="D23" s="6" t="str">
        <x:v>10</x:v>
      </x:c>
      <x:c r="E23" s="6" t="str">
        <x:v>9</x:v>
      </x:c>
      <x:c r="F23" s="6" t="str">
        <x:v>9</x:v>
      </x:c>
      <x:c r="G23" s="6" t="str">
        <x:v>2</x:v>
      </x:c>
      <x:c r="H23" s="6" t="str">
        <x:v>0</x:v>
      </x:c>
      <x:c r="I23" s="6" t="str">
        <x:v>0</x:v>
      </x:c>
      <x:c r="J23" s="6" t="str">
        <x:v>0</x:v>
      </x:c>
      <x:c r="K23" s="6" t="str">
        <x:v>7</x:v>
      </x:c>
      <x:c r="L23" s="6" t="str">
        <x:v>0</x:v>
      </x:c>
      <x:c r="M23" s="6" t="str">
        <x:v>0</x:v>
      </x:c>
      <x:c r="N23" s="6" t="str">
        <x:v>0</x:v>
      </x:c>
      <x:c r="O23" s="6" t="str">
        <x:v>0</x:v>
      </x:c>
      <x:c r="P23" s="6" t="str">
        <x:v>9</x:v>
      </x:c>
      <x:c r="Q23" s="6" t="str">
        <x:v>1.0</x:v>
      </x:c>
      <x:c r="R23" s="6" t="str">
        <x:v>1</x:v>
      </x:c>
      <x:c r="S23" s="6" t="str"/>
      <x:c r="T23" s="6" t="str">
        <x:v>0</x:v>
      </x:c>
      <x:c r="U23" s="6" t="str"/>
      <x:c r="V23" s="6" t="str">
        <x:v>0</x:v>
      </x:c>
      <x:c r="W23" s="6" t="str">
        <x:v>0.0</x:v>
      </x:c>
      <x:c r="X23" s="6" t="str">
        <x:v>9</x:v>
      </x:c>
      <x:c r="Y23" s="6" t="str">
        <x:v>2081.0</x:v>
      </x:c>
      <x:c r="Z23" s="6" t="str">
        <x:v>2</x:v>
      </x:c>
      <x:c r="AA23" s="6" t="str">
        <x:v>0.0</x:v>
      </x:c>
      <x:c r="AB23" s="6" t="str">
        <x:v>9</x:v>
      </x:c>
      <x:c r="AC23" s="6" t="str">
        <x:v>2025-10</x:v>
      </x:c>
      <x:c r="AD23" s="9" t="str">
        <x:v>BNPB operational disaster search table</x:v>
      </x:c>
      <x:c r="AE23" s="9" t="str">
        <x:v>https://gis.bnpb.go.id/databencana/tabel/pencarian.php</x:v>
      </x:c>
      <x:c r="AF23" s="9" t="str">
        <x:v>operational_snapshot_annual_totals_may_differ</x:v>
      </x:c>
    </x:row>
    <x:row r="24" ht="18" customHeight="1">
      <x:c r="A24" s="6" t="str">
        <x:v>11</x:v>
      </x:c>
      <x:c r="B24" s="6" t="str">
        <x:v>ACEH</x:v>
      </x:c>
      <x:c r="C24" s="6" t="str">
        <x:v>2025</x:v>
      </x:c>
      <x:c r="D24" s="6" t="str">
        <x:v>11</x:v>
      </x:c>
      <x:c r="E24" s="6" t="str">
        <x:v>28</x:v>
      </x:c>
      <x:c r="F24" s="6" t="str">
        <x:v>28</x:v>
      </x:c>
      <x:c r="G24" s="6" t="str">
        <x:v>25</x:v>
      </x:c>
      <x:c r="H24" s="6" t="str">
        <x:v>1</x:v>
      </x:c>
      <x:c r="I24" s="6" t="str">
        <x:v>0</x:v>
      </x:c>
      <x:c r="J24" s="6" t="str">
        <x:v>0</x:v>
      </x:c>
      <x:c r="K24" s="6" t="str">
        <x:v>2</x:v>
      </x:c>
      <x:c r="L24" s="6" t="str">
        <x:v>0</x:v>
      </x:c>
      <x:c r="M24" s="6" t="str">
        <x:v>0</x:v>
      </x:c>
      <x:c r="N24" s="6" t="str">
        <x:v>0</x:v>
      </x:c>
      <x:c r="O24" s="6" t="str">
        <x:v>0</x:v>
      </x:c>
      <x:c r="P24" s="6" t="str">
        <x:v>28</x:v>
      </x:c>
      <x:c r="Q24" s="6" t="str">
        <x:v>544.0</x:v>
      </x:c>
      <x:c r="R24" s="6" t="str">
        <x:v>14</x:v>
      </x:c>
      <x:c r="S24" s="6" t="str">
        <x:v>31.0</x:v>
      </x:c>
      <x:c r="T24" s="6" t="str">
        <x:v>7</x:v>
      </x:c>
      <x:c r="U24" s="6" t="str">
        <x:v>4318.0</x:v>
      </x:c>
      <x:c r="V24" s="6" t="str">
        <x:v>9</x:v>
      </x:c>
      <x:c r="W24" s="6" t="str">
        <x:v>144940.0</x:v>
      </x:c>
      <x:c r="X24" s="6" t="str">
        <x:v>28</x:v>
      </x:c>
      <x:c r="Y24" s="6" t="str">
        <x:v>644.0</x:v>
      </x:c>
      <x:c r="Z24" s="6" t="str">
        <x:v>5</x:v>
      </x:c>
      <x:c r="AA24" s="6" t="str">
        <x:v>3247.0</x:v>
      </x:c>
      <x:c r="AB24" s="6" t="str">
        <x:v>28</x:v>
      </x:c>
      <x:c r="AC24" s="6" t="str">
        <x:v>2025-11</x:v>
      </x:c>
      <x:c r="AD24" s="9" t="str">
        <x:v>BNPB operational disaster search table</x:v>
      </x:c>
      <x:c r="AE24" s="9" t="str">
        <x:v>https://gis.bnpb.go.id/databencana/tabel/pencarian.php</x:v>
      </x:c>
      <x:c r="AF24" s="9" t="str">
        <x:v>operational_snapshot_annual_totals_may_differ</x:v>
      </x:c>
    </x:row>
    <x:row r="25" ht="18" customHeight="1">
      <x:c r="A25" s="6" t="str">
        <x:v>11</x:v>
      </x:c>
      <x:c r="B25" s="6" t="str">
        <x:v>ACEH</x:v>
      </x:c>
      <x:c r="C25" s="6" t="str">
        <x:v>2025</x:v>
      </x:c>
      <x:c r="D25" s="6" t="str">
        <x:v>12</x:v>
      </x:c>
      <x:c r="E25" s="6" t="str">
        <x:v>0</x:v>
      </x:c>
      <x:c r="F25" s="6" t="str">
        <x:v>0</x:v>
      </x:c>
      <x:c r="G25" s="6" t="str">
        <x:v>0</x:v>
      </x:c>
      <x:c r="H25" s="6" t="str">
        <x:v>0</x:v>
      </x:c>
      <x:c r="I25" s="6" t="str">
        <x:v>0</x:v>
      </x:c>
      <x:c r="J25" s="6" t="str">
        <x:v>0</x:v>
      </x:c>
      <x:c r="K25" s="6" t="str">
        <x:v>0</x:v>
      </x:c>
      <x:c r="L25" s="6" t="str">
        <x:v>0</x:v>
      </x:c>
      <x:c r="M25" s="6" t="str">
        <x:v>0</x:v>
      </x:c>
      <x:c r="N25" s="6" t="str">
        <x:v>0</x:v>
      </x:c>
      <x:c r="O25" s="6" t="str">
        <x:v>0</x:v>
      </x:c>
      <x:c r="P25" s="6" t="str">
        <x:v>0</x:v>
      </x:c>
      <x:c r="Q25" s="6" t="str"/>
      <x:c r="R25" s="6" t="str">
        <x:v>0</x:v>
      </x:c>
      <x:c r="S25" s="6" t="str"/>
      <x:c r="T25" s="6" t="str">
        <x:v>0</x:v>
      </x:c>
      <x:c r="U25" s="6" t="str"/>
      <x:c r="V25" s="6" t="str">
        <x:v>0</x:v>
      </x:c>
      <x:c r="W25" s="6" t="str"/>
      <x:c r="X25" s="6" t="str">
        <x:v>0</x:v>
      </x:c>
      <x:c r="Y25" s="6" t="str"/>
      <x:c r="Z25" s="6" t="str">
        <x:v>0</x:v>
      </x:c>
      <x:c r="AA25" s="6" t="str"/>
      <x:c r="AB25" s="6" t="str">
        <x:v>0</x:v>
      </x:c>
      <x:c r="AC25" s="6" t="str">
        <x:v>2025-12</x:v>
      </x:c>
      <x:c r="AD25" s="9" t="str">
        <x:v>BNPB operational disaster search table</x:v>
      </x:c>
      <x:c r="AE25" s="9" t="str">
        <x:v>https://gis.bnpb.go.id/databencana/tabel/pencarian.php</x:v>
      </x:c>
      <x:c r="AF25" s="9" t="str">
        <x:v>operational_snapshot_annual_totals_may_differ</x:v>
      </x:c>
    </x:row>
    <x:row r="26" ht="18" customHeight="1">
      <x:c r="A26" s="6" t="str">
        <x:v>12</x:v>
      </x:c>
      <x:c r="B26" s="6" t="str">
        <x:v>SUMATERA UTARA</x:v>
      </x:c>
      <x:c r="C26" s="6" t="str">
        <x:v>2024</x:v>
      </x:c>
      <x:c r="D26" s="6" t="str">
        <x:v>1</x:v>
      </x:c>
      <x:c r="E26" s="6" t="str">
        <x:v>10</x:v>
      </x:c>
      <x:c r="F26" s="6" t="str">
        <x:v>10</x:v>
      </x:c>
      <x:c r="G26" s="6" t="str">
        <x:v>7</x:v>
      </x:c>
      <x:c r="H26" s="6" t="str">
        <x:v>0</x:v>
      </x:c>
      <x:c r="I26" s="6" t="str">
        <x:v>0</x:v>
      </x:c>
      <x:c r="J26" s="6" t="str">
        <x:v>0</x:v>
      </x:c>
      <x:c r="K26" s="6" t="str">
        <x:v>3</x:v>
      </x:c>
      <x:c r="L26" s="6" t="str">
        <x:v>0</x:v>
      </x:c>
      <x:c r="M26" s="6" t="str">
        <x:v>0</x:v>
      </x:c>
      <x:c r="N26" s="6" t="str">
        <x:v>0</x:v>
      </x:c>
      <x:c r="O26" s="6" t="str">
        <x:v>0</x:v>
      </x:c>
      <x:c r="P26" s="6" t="str">
        <x:v>10</x:v>
      </x:c>
      <x:c r="Q26" s="6" t="str">
        <x:v>0.0</x:v>
      </x:c>
      <x:c r="R26" s="6" t="str">
        <x:v>2</x:v>
      </x:c>
      <x:c r="S26" s="6" t="str">
        <x:v>0.0</x:v>
      </x:c>
      <x:c r="T26" s="6" t="str">
        <x:v>2</x:v>
      </x:c>
      <x:c r="U26" s="6" t="str">
        <x:v>0.0</x:v>
      </x:c>
      <x:c r="V26" s="6" t="str">
        <x:v>2</x:v>
      </x:c>
      <x:c r="W26" s="6" t="str">
        <x:v>4.0</x:v>
      </x:c>
      <x:c r="X26" s="6" t="str">
        <x:v>10</x:v>
      </x:c>
      <x:c r="Y26" s="6" t="str">
        <x:v>532.0</x:v>
      </x:c>
      <x:c r="Z26" s="6" t="str">
        <x:v>6</x:v>
      </x:c>
      <x:c r="AA26" s="6" t="str">
        <x:v>1.0</x:v>
      </x:c>
      <x:c r="AB26" s="6" t="str">
        <x:v>10</x:v>
      </x:c>
      <x:c r="AC26" s="6" t="str">
        <x:v>2024-01</x:v>
      </x:c>
      <x:c r="AD26" s="9" t="str">
        <x:v>BNPB operational disaster search table</x:v>
      </x:c>
      <x:c r="AE26" s="9" t="str">
        <x:v>https://gis.bnpb.go.id/databencana/tabel/pencarian.php</x:v>
      </x:c>
      <x:c r="AF26" s="9" t="str">
        <x:v>operational_snapshot_annual_totals_may_differ</x:v>
      </x:c>
    </x:row>
    <x:row r="27" ht="18" customHeight="1">
      <x:c r="A27" s="6" t="str">
        <x:v>12</x:v>
      </x:c>
      <x:c r="B27" s="6" t="str">
        <x:v>SUMATERA UTARA</x:v>
      </x:c>
      <x:c r="C27" s="6" t="str">
        <x:v>2024</x:v>
      </x:c>
      <x:c r="D27" s="6" t="str">
        <x:v>2</x:v>
      </x:c>
      <x:c r="E27" s="6" t="str">
        <x:v>18</x:v>
      </x:c>
      <x:c r="F27" s="6" t="str">
        <x:v>18</x:v>
      </x:c>
      <x:c r="G27" s="6" t="str">
        <x:v>6</x:v>
      </x:c>
      <x:c r="H27" s="6" t="str">
        <x:v>1</x:v>
      </x:c>
      <x:c r="I27" s="6" t="str">
        <x:v>0</x:v>
      </x:c>
      <x:c r="J27" s="6" t="str">
        <x:v>0</x:v>
      </x:c>
      <x:c r="K27" s="6" t="str">
        <x:v>11</x:v>
      </x:c>
      <x:c r="L27" s="6" t="str">
        <x:v>0</x:v>
      </x:c>
      <x:c r="M27" s="6" t="str">
        <x:v>0</x:v>
      </x:c>
      <x:c r="N27" s="6" t="str">
        <x:v>0</x:v>
      </x:c>
      <x:c r="O27" s="6" t="str">
        <x:v>0</x:v>
      </x:c>
      <x:c r="P27" s="6" t="str">
        <x:v>18</x:v>
      </x:c>
      <x:c r="Q27" s="6" t="str">
        <x:v>3.0</x:v>
      </x:c>
      <x:c r="R27" s="6" t="str">
        <x:v>1</x:v>
      </x:c>
      <x:c r="S27" s="6" t="str"/>
      <x:c r="T27" s="6" t="str">
        <x:v>0</x:v>
      </x:c>
      <x:c r="U27" s="6" t="str">
        <x:v>14.0</x:v>
      </x:c>
      <x:c r="V27" s="6" t="str">
        <x:v>1</x:v>
      </x:c>
      <x:c r="W27" s="6" t="str">
        <x:v>6.0</x:v>
      </x:c>
      <x:c r="X27" s="6" t="str">
        <x:v>18</x:v>
      </x:c>
      <x:c r="Y27" s="6" t="str">
        <x:v>1170.0</x:v>
      </x:c>
      <x:c r="Z27" s="6" t="str">
        <x:v>6</x:v>
      </x:c>
      <x:c r="AA27" s="6" t="str">
        <x:v>1.0</x:v>
      </x:c>
      <x:c r="AB27" s="6" t="str">
        <x:v>18</x:v>
      </x:c>
      <x:c r="AC27" s="6" t="str">
        <x:v>2024-02</x:v>
      </x:c>
      <x:c r="AD27" s="9" t="str">
        <x:v>BNPB operational disaster search table</x:v>
      </x:c>
      <x:c r="AE27" s="9" t="str">
        <x:v>https://gis.bnpb.go.id/databencana/tabel/pencarian.php</x:v>
      </x:c>
      <x:c r="AF27" s="9" t="str">
        <x:v>operational_snapshot_annual_totals_may_differ</x:v>
      </x:c>
    </x:row>
    <x:row r="28" ht="18" customHeight="1">
      <x:c r="A28" s="6" t="str">
        <x:v>12</x:v>
      </x:c>
      <x:c r="B28" s="6" t="str">
        <x:v>SUMATERA UTARA</x:v>
      </x:c>
      <x:c r="C28" s="6" t="str">
        <x:v>2024</x:v>
      </x:c>
      <x:c r="D28" s="6" t="str">
        <x:v>3</x:v>
      </x:c>
      <x:c r="E28" s="6" t="str">
        <x:v>38</x:v>
      </x:c>
      <x:c r="F28" s="6" t="str">
        <x:v>38</x:v>
      </x:c>
      <x:c r="G28" s="6" t="str">
        <x:v>5</x:v>
      </x:c>
      <x:c r="H28" s="6" t="str">
        <x:v>1</x:v>
      </x:c>
      <x:c r="I28" s="6" t="str">
        <x:v>3</x:v>
      </x:c>
      <x:c r="J28" s="6" t="str">
        <x:v>0</x:v>
      </x:c>
      <x:c r="K28" s="6" t="str">
        <x:v>29</x:v>
      </x:c>
      <x:c r="L28" s="6" t="str">
        <x:v>0</x:v>
      </x:c>
      <x:c r="M28" s="6" t="str">
        <x:v>0</x:v>
      </x:c>
      <x:c r="N28" s="6" t="str">
        <x:v>0</x:v>
      </x:c>
      <x:c r="O28" s="6" t="str">
        <x:v>0</x:v>
      </x:c>
      <x:c r="P28" s="6" t="str">
        <x:v>38</x:v>
      </x:c>
      <x:c r="Q28" s="6" t="str">
        <x:v>0.0</x:v>
      </x:c>
      <x:c r="R28" s="6" t="str">
        <x:v>1</x:v>
      </x:c>
      <x:c r="S28" s="6" t="str">
        <x:v>0.0</x:v>
      </x:c>
      <x:c r="T28" s="6" t="str">
        <x:v>1</x:v>
      </x:c>
      <x:c r="U28" s="6" t="str">
        <x:v>0.0</x:v>
      </x:c>
      <x:c r="V28" s="6" t="str">
        <x:v>1</x:v>
      </x:c>
      <x:c r="W28" s="6" t="str">
        <x:v>30.0</x:v>
      </x:c>
      <x:c r="X28" s="6" t="str">
        <x:v>38</x:v>
      </x:c>
      <x:c r="Y28" s="6" t="str">
        <x:v>1267.0</x:v>
      </x:c>
      <x:c r="Z28" s="6" t="str">
        <x:v>4</x:v>
      </x:c>
      <x:c r="AA28" s="6" t="str">
        <x:v>5.0</x:v>
      </x:c>
      <x:c r="AB28" s="6" t="str">
        <x:v>38</x:v>
      </x:c>
      <x:c r="AC28" s="6" t="str">
        <x:v>2024-03</x:v>
      </x:c>
      <x:c r="AD28" s="9" t="str">
        <x:v>BNPB operational disaster search table</x:v>
      </x:c>
      <x:c r="AE28" s="9" t="str">
        <x:v>https://gis.bnpb.go.id/databencana/tabel/pencarian.php</x:v>
      </x:c>
      <x:c r="AF28" s="9" t="str">
        <x:v>operational_snapshot_annual_totals_may_differ</x:v>
      </x:c>
    </x:row>
    <x:row r="29" ht="18" customHeight="1">
      <x:c r="A29" s="6" t="str">
        <x:v>12</x:v>
      </x:c>
      <x:c r="B29" s="6" t="str">
        <x:v>SUMATERA UTARA</x:v>
      </x:c>
      <x:c r="C29" s="6" t="str">
        <x:v>2024</x:v>
      </x:c>
      <x:c r="D29" s="6" t="str">
        <x:v>4</x:v>
      </x:c>
      <x:c r="E29" s="6" t="str">
        <x:v>19</x:v>
      </x:c>
      <x:c r="F29" s="6" t="str">
        <x:v>19</x:v>
      </x:c>
      <x:c r="G29" s="6" t="str">
        <x:v>9</x:v>
      </x:c>
      <x:c r="H29" s="6" t="str">
        <x:v>1</x:v>
      </x:c>
      <x:c r="I29" s="6" t="str">
        <x:v>1</x:v>
      </x:c>
      <x:c r="J29" s="6" t="str">
        <x:v>0</x:v>
      </x:c>
      <x:c r="K29" s="6" t="str">
        <x:v>8</x:v>
      </x:c>
      <x:c r="L29" s="6" t="str">
        <x:v>0</x:v>
      </x:c>
      <x:c r="M29" s="6" t="str">
        <x:v>0</x:v>
      </x:c>
      <x:c r="N29" s="6" t="str">
        <x:v>0</x:v>
      </x:c>
      <x:c r="O29" s="6" t="str">
        <x:v>0</x:v>
      </x:c>
      <x:c r="P29" s="6" t="str">
        <x:v>19</x:v>
      </x:c>
      <x:c r="Q29" s="6" t="str">
        <x:v>2.0</x:v>
      </x:c>
      <x:c r="R29" s="6" t="str">
        <x:v>2</x:v>
      </x:c>
      <x:c r="S29" s="6" t="str"/>
      <x:c r="T29" s="6" t="str">
        <x:v>0</x:v>
      </x:c>
      <x:c r="U29" s="6" t="str">
        <x:v>11.0</x:v>
      </x:c>
      <x:c r="V29" s="6" t="str">
        <x:v>1</x:v>
      </x:c>
      <x:c r="W29" s="6" t="str">
        <x:v>18.0</x:v>
      </x:c>
      <x:c r="X29" s="6" t="str">
        <x:v>19</x:v>
      </x:c>
      <x:c r="Y29" s="6" t="str">
        <x:v>551.0</x:v>
      </x:c>
      <x:c r="Z29" s="6" t="str">
        <x:v>6</x:v>
      </x:c>
      <x:c r="AA29" s="6" t="str">
        <x:v>0.0</x:v>
      </x:c>
      <x:c r="AB29" s="6" t="str">
        <x:v>19</x:v>
      </x:c>
      <x:c r="AC29" s="6" t="str">
        <x:v>2024-04</x:v>
      </x:c>
      <x:c r="AD29" s="9" t="str">
        <x:v>BNPB operational disaster search table</x:v>
      </x:c>
      <x:c r="AE29" s="9" t="str">
        <x:v>https://gis.bnpb.go.id/databencana/tabel/pencarian.php</x:v>
      </x:c>
      <x:c r="AF29" s="9" t="str">
        <x:v>operational_snapshot_annual_totals_may_differ</x:v>
      </x:c>
    </x:row>
    <x:row r="30" ht="18" customHeight="1">
      <x:c r="A30" s="6" t="str">
        <x:v>12</x:v>
      </x:c>
      <x:c r="B30" s="6" t="str">
        <x:v>SUMATERA UTARA</x:v>
      </x:c>
      <x:c r="C30" s="6" t="str">
        <x:v>2024</x:v>
      </x:c>
      <x:c r="D30" s="6" t="str">
        <x:v>5</x:v>
      </x:c>
      <x:c r="E30" s="6" t="str">
        <x:v>15</x:v>
      </x:c>
      <x:c r="F30" s="6" t="str">
        <x:v>15</x:v>
      </x:c>
      <x:c r="G30" s="6" t="str">
        <x:v>3</x:v>
      </x:c>
      <x:c r="H30" s="6" t="str">
        <x:v>2</x:v>
      </x:c>
      <x:c r="I30" s="6" t="str">
        <x:v>5</x:v>
      </x:c>
      <x:c r="J30" s="6" t="str">
        <x:v>0</x:v>
      </x:c>
      <x:c r="K30" s="6" t="str">
        <x:v>5</x:v>
      </x:c>
      <x:c r="L30" s="6" t="str">
        <x:v>0</x:v>
      </x:c>
      <x:c r="M30" s="6" t="str">
        <x:v>0</x:v>
      </x:c>
      <x:c r="N30" s="6" t="str">
        <x:v>0</x:v>
      </x:c>
      <x:c r="O30" s="6" t="str">
        <x:v>0</x:v>
      </x:c>
      <x:c r="P30" s="6" t="str">
        <x:v>15</x:v>
      </x:c>
      <x:c r="Q30" s="6" t="str">
        <x:v>3.0</x:v>
      </x:c>
      <x:c r="R30" s="6" t="str">
        <x:v>3</x:v>
      </x:c>
      <x:c r="S30" s="6" t="str"/>
      <x:c r="T30" s="6" t="str">
        <x:v>0</x:v>
      </x:c>
      <x:c r="U30" s="6" t="str">
        <x:v>2.0</x:v>
      </x:c>
      <x:c r="V30" s="6" t="str">
        <x:v>1</x:v>
      </x:c>
      <x:c r="W30" s="6" t="str">
        <x:v>40.0</x:v>
      </x:c>
      <x:c r="X30" s="6" t="str">
        <x:v>15</x:v>
      </x:c>
      <x:c r="Y30" s="6" t="str">
        <x:v>109.0</x:v>
      </x:c>
      <x:c r="Z30" s="6" t="str">
        <x:v>3</x:v>
      </x:c>
      <x:c r="AA30" s="6" t="str">
        <x:v>4.0</x:v>
      </x:c>
      <x:c r="AB30" s="6" t="str">
        <x:v>15</x:v>
      </x:c>
      <x:c r="AC30" s="6" t="str">
        <x:v>2024-05</x:v>
      </x:c>
      <x:c r="AD30" s="9" t="str">
        <x:v>BNPB operational disaster search table</x:v>
      </x:c>
      <x:c r="AE30" s="9" t="str">
        <x:v>https://gis.bnpb.go.id/databencana/tabel/pencarian.php</x:v>
      </x:c>
      <x:c r="AF30" s="9" t="str">
        <x:v>operational_snapshot_annual_totals_may_differ</x:v>
      </x:c>
    </x:row>
    <x:row r="31" ht="18" customHeight="1">
      <x:c r="A31" s="6" t="str">
        <x:v>12</x:v>
      </x:c>
      <x:c r="B31" s="6" t="str">
        <x:v>SUMATERA UTARA</x:v>
      </x:c>
      <x:c r="C31" s="6" t="str">
        <x:v>2024</x:v>
      </x:c>
      <x:c r="D31" s="6" t="str">
        <x:v>6</x:v>
      </x:c>
      <x:c r="E31" s="6" t="str">
        <x:v>21</x:v>
      </x:c>
      <x:c r="F31" s="6" t="str">
        <x:v>21</x:v>
      </x:c>
      <x:c r="G31" s="6" t="str">
        <x:v>5</x:v>
      </x:c>
      <x:c r="H31" s="6" t="str">
        <x:v>1</x:v>
      </x:c>
      <x:c r="I31" s="6" t="str">
        <x:v>8</x:v>
      </x:c>
      <x:c r="J31" s="6" t="str">
        <x:v>1</x:v>
      </x:c>
      <x:c r="K31" s="6" t="str">
        <x:v>6</x:v>
      </x:c>
      <x:c r="L31" s="6" t="str">
        <x:v>0</x:v>
      </x:c>
      <x:c r="M31" s="6" t="str">
        <x:v>0</x:v>
      </x:c>
      <x:c r="N31" s="6" t="str">
        <x:v>0</x:v>
      </x:c>
      <x:c r="O31" s="6" t="str">
        <x:v>0</x:v>
      </x:c>
      <x:c r="P31" s="6" t="str">
        <x:v>21</x:v>
      </x:c>
      <x:c r="Q31" s="6" t="str">
        <x:v>2.0</x:v>
      </x:c>
      <x:c r="R31" s="6" t="str">
        <x:v>2</x:v>
      </x:c>
      <x:c r="S31" s="6" t="str">
        <x:v>0.0</x:v>
      </x:c>
      <x:c r="T31" s="6" t="str">
        <x:v>1</x:v>
      </x:c>
      <x:c r="U31" s="6" t="str">
        <x:v>1.0</x:v>
      </x:c>
      <x:c r="V31" s="6" t="str">
        <x:v>2</x:v>
      </x:c>
      <x:c r="W31" s="6" t="str">
        <x:v>270.0</x:v>
      </x:c>
      <x:c r="X31" s="6" t="str">
        <x:v>21</x:v>
      </x:c>
      <x:c r="Y31" s="6" t="str">
        <x:v>1516.0</x:v>
      </x:c>
      <x:c r="Z31" s="6" t="str">
        <x:v>4</x:v>
      </x:c>
      <x:c r="AA31" s="6" t="str">
        <x:v>6.0</x:v>
      </x:c>
      <x:c r="AB31" s="6" t="str">
        <x:v>21</x:v>
      </x:c>
      <x:c r="AC31" s="6" t="str">
        <x:v>2024-06</x:v>
      </x:c>
      <x:c r="AD31" s="9" t="str">
        <x:v>BNPB operational disaster search table</x:v>
      </x:c>
      <x:c r="AE31" s="9" t="str">
        <x:v>https://gis.bnpb.go.id/databencana/tabel/pencarian.php</x:v>
      </x:c>
      <x:c r="AF31" s="9" t="str">
        <x:v>operational_snapshot_annual_totals_may_differ</x:v>
      </x:c>
    </x:row>
    <x:row r="32" ht="18" customHeight="1">
      <x:c r="A32" s="6" t="str">
        <x:v>12</x:v>
      </x:c>
      <x:c r="B32" s="6" t="str">
        <x:v>SUMATERA UTARA</x:v>
      </x:c>
      <x:c r="C32" s="6" t="str">
        <x:v>2024</x:v>
      </x:c>
      <x:c r="D32" s="6" t="str">
        <x:v>7</x:v>
      </x:c>
      <x:c r="E32" s="6" t="str">
        <x:v>78</x:v>
      </x:c>
      <x:c r="F32" s="6" t="str">
        <x:v>78</x:v>
      </x:c>
      <x:c r="G32" s="6" t="str">
        <x:v>1</x:v>
      </x:c>
      <x:c r="H32" s="6" t="str">
        <x:v>0</x:v>
      </x:c>
      <x:c r="I32" s="6" t="str">
        <x:v>7</x:v>
      </x:c>
      <x:c r="J32" s="6" t="str">
        <x:v>0</x:v>
      </x:c>
      <x:c r="K32" s="6" t="str">
        <x:v>70</x:v>
      </x:c>
      <x:c r="L32" s="6" t="str">
        <x:v>0</x:v>
      </x:c>
      <x:c r="M32" s="6" t="str">
        <x:v>0</x:v>
      </x:c>
      <x:c r="N32" s="6" t="str">
        <x:v>0</x:v>
      </x:c>
      <x:c r="O32" s="6" t="str">
        <x:v>0</x:v>
      </x:c>
      <x:c r="P32" s="6" t="str">
        <x:v>78</x:v>
      </x:c>
      <x:c r="Q32" s="6" t="str">
        <x:v>0.0</x:v>
      </x:c>
      <x:c r="R32" s="6" t="str">
        <x:v>9</x:v>
      </x:c>
      <x:c r="S32" s="6" t="str">
        <x:v>0.0</x:v>
      </x:c>
      <x:c r="T32" s="6" t="str">
        <x:v>9</x:v>
      </x:c>
      <x:c r="U32" s="6" t="str">
        <x:v>0.0</x:v>
      </x:c>
      <x:c r="V32" s="6" t="str">
        <x:v>9</x:v>
      </x:c>
      <x:c r="W32" s="6" t="str">
        <x:v>66.0</x:v>
      </x:c>
      <x:c r="X32" s="6" t="str">
        <x:v>78</x:v>
      </x:c>
      <x:c r="Y32" s="6" t="str">
        <x:v>31.0</x:v>
      </x:c>
      <x:c r="Z32" s="6" t="str">
        <x:v>1</x:v>
      </x:c>
      <x:c r="AA32" s="6" t="str">
        <x:v>0.0</x:v>
      </x:c>
      <x:c r="AB32" s="6" t="str">
        <x:v>78</x:v>
      </x:c>
      <x:c r="AC32" s="6" t="str">
        <x:v>2024-07</x:v>
      </x:c>
      <x:c r="AD32" s="9" t="str">
        <x:v>BNPB operational disaster search table</x:v>
      </x:c>
      <x:c r="AE32" s="9" t="str">
        <x:v>https://gis.bnpb.go.id/databencana/tabel/pencarian.php</x:v>
      </x:c>
      <x:c r="AF32" s="9" t="str">
        <x:v>operational_snapshot_annual_totals_may_differ</x:v>
      </x:c>
    </x:row>
    <x:row r="33" ht="18" customHeight="1">
      <x:c r="A33" s="6" t="str">
        <x:v>12</x:v>
      </x:c>
      <x:c r="B33" s="6" t="str">
        <x:v>SUMATERA UTARA</x:v>
      </x:c>
      <x:c r="C33" s="6" t="str">
        <x:v>2024</x:v>
      </x:c>
      <x:c r="D33" s="6" t="str">
        <x:v>8</x:v>
      </x:c>
      <x:c r="E33" s="6" t="str">
        <x:v>26</x:v>
      </x:c>
      <x:c r="F33" s="6" t="str">
        <x:v>26</x:v>
      </x:c>
      <x:c r="G33" s="6" t="str">
        <x:v>4</x:v>
      </x:c>
      <x:c r="H33" s="6" t="str">
        <x:v>0</x:v>
      </x:c>
      <x:c r="I33" s="6" t="str">
        <x:v>5</x:v>
      </x:c>
      <x:c r="J33" s="6" t="str">
        <x:v>1</x:v>
      </x:c>
      <x:c r="K33" s="6" t="str">
        <x:v>16</x:v>
      </x:c>
      <x:c r="L33" s="6" t="str">
        <x:v>0</x:v>
      </x:c>
      <x:c r="M33" s="6" t="str">
        <x:v>0</x:v>
      </x:c>
      <x:c r="N33" s="6" t="str">
        <x:v>0</x:v>
      </x:c>
      <x:c r="O33" s="6" t="str">
        <x:v>0</x:v>
      </x:c>
      <x:c r="P33" s="6" t="str">
        <x:v>26</x:v>
      </x:c>
      <x:c r="Q33" s="6" t="str">
        <x:v>0.0</x:v>
      </x:c>
      <x:c r="R33" s="6" t="str">
        <x:v>5</x:v>
      </x:c>
      <x:c r="S33" s="6" t="str">
        <x:v>0.0</x:v>
      </x:c>
      <x:c r="T33" s="6" t="str">
        <x:v>5</x:v>
      </x:c>
      <x:c r="U33" s="6" t="str">
        <x:v>0.0</x:v>
      </x:c>
      <x:c r="V33" s="6" t="str">
        <x:v>5</x:v>
      </x:c>
      <x:c r="W33" s="6" t="str">
        <x:v>44.0</x:v>
      </x:c>
      <x:c r="X33" s="6" t="str">
        <x:v>26</x:v>
      </x:c>
      <x:c r="Y33" s="6" t="str">
        <x:v>833.0</x:v>
      </x:c>
      <x:c r="Z33" s="6" t="str">
        <x:v>3</x:v>
      </x:c>
      <x:c r="AA33" s="6" t="str">
        <x:v>0.0</x:v>
      </x:c>
      <x:c r="AB33" s="6" t="str">
        <x:v>26</x:v>
      </x:c>
      <x:c r="AC33" s="6" t="str">
        <x:v>2024-08</x:v>
      </x:c>
      <x:c r="AD33" s="9" t="str">
        <x:v>BNPB operational disaster search table</x:v>
      </x:c>
      <x:c r="AE33" s="9" t="str">
        <x:v>https://gis.bnpb.go.id/databencana/tabel/pencarian.php</x:v>
      </x:c>
      <x:c r="AF33" s="9" t="str">
        <x:v>operational_snapshot_annual_totals_may_differ</x:v>
      </x:c>
    </x:row>
    <x:row r="34" ht="18" customHeight="1">
      <x:c r="A34" s="6" t="str">
        <x:v>12</x:v>
      </x:c>
      <x:c r="B34" s="6" t="str">
        <x:v>SUMATERA UTARA</x:v>
      </x:c>
      <x:c r="C34" s="6" t="str">
        <x:v>2024</x:v>
      </x:c>
      <x:c r="D34" s="6" t="str">
        <x:v>9</x:v>
      </x:c>
      <x:c r="E34" s="6" t="str">
        <x:v>29</x:v>
      </x:c>
      <x:c r="F34" s="6" t="str">
        <x:v>29</x:v>
      </x:c>
      <x:c r="G34" s="6" t="str">
        <x:v>14</x:v>
      </x:c>
      <x:c r="H34" s="6" t="str">
        <x:v>0</x:v>
      </x:c>
      <x:c r="I34" s="6" t="str">
        <x:v>9</x:v>
      </x:c>
      <x:c r="J34" s="6" t="str">
        <x:v>0</x:v>
      </x:c>
      <x:c r="K34" s="6" t="str">
        <x:v>6</x:v>
      </x:c>
      <x:c r="L34" s="6" t="str">
        <x:v>0</x:v>
      </x:c>
      <x:c r="M34" s="6" t="str">
        <x:v>0</x:v>
      </x:c>
      <x:c r="N34" s="6" t="str">
        <x:v>0</x:v>
      </x:c>
      <x:c r="O34" s="6" t="str">
        <x:v>0</x:v>
      </x:c>
      <x:c r="P34" s="6" t="str">
        <x:v>29</x:v>
      </x:c>
      <x:c r="Q34" s="6" t="str">
        <x:v>2.0</x:v>
      </x:c>
      <x:c r="R34" s="6" t="str">
        <x:v>10</x:v>
      </x:c>
      <x:c r="S34" s="6" t="str">
        <x:v>0.0</x:v>
      </x:c>
      <x:c r="T34" s="6" t="str">
        <x:v>8</x:v>
      </x:c>
      <x:c r="U34" s="6" t="str">
        <x:v>19.0</x:v>
      </x:c>
      <x:c r="V34" s="6" t="str">
        <x:v>14</x:v>
      </x:c>
      <x:c r="W34" s="6" t="str">
        <x:v>228.0</x:v>
      </x:c>
      <x:c r="X34" s="6" t="str">
        <x:v>29</x:v>
      </x:c>
      <x:c r="Y34" s="6" t="str">
        <x:v>3435.0</x:v>
      </x:c>
      <x:c r="Z34" s="6" t="str">
        <x:v>7</x:v>
      </x:c>
      <x:c r="AA34" s="6" t="str">
        <x:v>4.0</x:v>
      </x:c>
      <x:c r="AB34" s="6" t="str">
        <x:v>29</x:v>
      </x:c>
      <x:c r="AC34" s="6" t="str">
        <x:v>2024-09</x:v>
      </x:c>
      <x:c r="AD34" s="9" t="str">
        <x:v>BNPB operational disaster search table</x:v>
      </x:c>
      <x:c r="AE34" s="9" t="str">
        <x:v>https://gis.bnpb.go.id/databencana/tabel/pencarian.php</x:v>
      </x:c>
      <x:c r="AF34" s="9" t="str">
        <x:v>operational_snapshot_annual_totals_may_differ</x:v>
      </x:c>
    </x:row>
    <x:row r="35" ht="18" customHeight="1">
      <x:c r="A35" s="6" t="str">
        <x:v>12</x:v>
      </x:c>
      <x:c r="B35" s="6" t="str">
        <x:v>SUMATERA UTARA</x:v>
      </x:c>
      <x:c r="C35" s="6" t="str">
        <x:v>2024</x:v>
      </x:c>
      <x:c r="D35" s="6" t="str">
        <x:v>10</x:v>
      </x:c>
      <x:c r="E35" s="6" t="str">
        <x:v>60</x:v>
      </x:c>
      <x:c r="F35" s="6" t="str">
        <x:v>60</x:v>
      </x:c>
      <x:c r="G35" s="6" t="str">
        <x:v>31</x:v>
      </x:c>
      <x:c r="H35" s="6" t="str">
        <x:v>3</x:v>
      </x:c>
      <x:c r="I35" s="6" t="str">
        <x:v>7</x:v>
      </x:c>
      <x:c r="J35" s="6" t="str">
        <x:v>0</x:v>
      </x:c>
      <x:c r="K35" s="6" t="str">
        <x:v>19</x:v>
      </x:c>
      <x:c r="L35" s="6" t="str">
        <x:v>0</x:v>
      </x:c>
      <x:c r="M35" s="6" t="str">
        <x:v>0</x:v>
      </x:c>
      <x:c r="N35" s="6" t="str">
        <x:v>0</x:v>
      </x:c>
      <x:c r="O35" s="6" t="str">
        <x:v>0</x:v>
      </x:c>
      <x:c r="P35" s="6" t="str">
        <x:v>60</x:v>
      </x:c>
      <x:c r="Q35" s="6" t="str">
        <x:v>4.0</x:v>
      </x:c>
      <x:c r="R35" s="6" t="str">
        <x:v>13</x:v>
      </x:c>
      <x:c r="S35" s="6" t="str">
        <x:v>0.0</x:v>
      </x:c>
      <x:c r="T35" s="6" t="str">
        <x:v>11</x:v>
      </x:c>
      <x:c r="U35" s="6" t="str">
        <x:v>1.0</x:v>
      </x:c>
      <x:c r="V35" s="6" t="str">
        <x:v>12</x:v>
      </x:c>
      <x:c r="W35" s="6" t="str">
        <x:v>161.0</x:v>
      </x:c>
      <x:c r="X35" s="6" t="str">
        <x:v>60</x:v>
      </x:c>
      <x:c r="Y35" s="6" t="str">
        <x:v>18000.0</x:v>
      </x:c>
      <x:c r="Z35" s="6" t="str">
        <x:v>22</x:v>
      </x:c>
      <x:c r="AA35" s="6" t="str">
        <x:v>20.0</x:v>
      </x:c>
      <x:c r="AB35" s="6" t="str">
        <x:v>60</x:v>
      </x:c>
      <x:c r="AC35" s="6" t="str">
        <x:v>2024-10</x:v>
      </x:c>
      <x:c r="AD35" s="9" t="str">
        <x:v>BNPB operational disaster search table</x:v>
      </x:c>
      <x:c r="AE35" s="9" t="str">
        <x:v>https://gis.bnpb.go.id/databencana/tabel/pencarian.php</x:v>
      </x:c>
      <x:c r="AF35" s="9" t="str">
        <x:v>operational_snapshot_annual_totals_may_differ</x:v>
      </x:c>
    </x:row>
    <x:row r="36" ht="18" customHeight="1">
      <x:c r="A36" s="6" t="str">
        <x:v>12</x:v>
      </x:c>
      <x:c r="B36" s="6" t="str">
        <x:v>SUMATERA UTARA</x:v>
      </x:c>
      <x:c r="C36" s="6" t="str">
        <x:v>2024</x:v>
      </x:c>
      <x:c r="D36" s="6" t="str">
        <x:v>11</x:v>
      </x:c>
      <x:c r="E36" s="6" t="str">
        <x:v>32</x:v>
      </x:c>
      <x:c r="F36" s="6" t="str">
        <x:v>32</x:v>
      </x:c>
      <x:c r="G36" s="6" t="str">
        <x:v>23</x:v>
      </x:c>
      <x:c r="H36" s="6" t="str">
        <x:v>5</x:v>
      </x:c>
      <x:c r="I36" s="6" t="str">
        <x:v>0</x:v>
      </x:c>
      <x:c r="J36" s="6" t="str">
        <x:v>0</x:v>
      </x:c>
      <x:c r="K36" s="6" t="str">
        <x:v>4</x:v>
      </x:c>
      <x:c r="L36" s="6" t="str">
        <x:v>0</x:v>
      </x:c>
      <x:c r="M36" s="6" t="str">
        <x:v>0</x:v>
      </x:c>
      <x:c r="N36" s="6" t="str">
        <x:v>0</x:v>
      </x:c>
      <x:c r="O36" s="6" t="str">
        <x:v>0</x:v>
      </x:c>
      <x:c r="P36" s="6" t="str">
        <x:v>32</x:v>
      </x:c>
      <x:c r="Q36" s="6" t="str">
        <x:v>32.0</x:v>
      </x:c>
      <x:c r="R36" s="6" t="str">
        <x:v>16</x:v>
      </x:c>
      <x:c r="S36" s="6" t="str">
        <x:v>0.0</x:v>
      </x:c>
      <x:c r="T36" s="6" t="str">
        <x:v>11</x:v>
      </x:c>
      <x:c r="U36" s="6" t="str">
        <x:v>117.0</x:v>
      </x:c>
      <x:c r="V36" s="6" t="str">
        <x:v>15</x:v>
      </x:c>
      <x:c r="W36" s="6" t="str">
        <x:v>377.0</x:v>
      </x:c>
      <x:c r="X36" s="6" t="str">
        <x:v>32</x:v>
      </x:c>
      <x:c r="Y36" s="6" t="str">
        <x:v>36005.0</x:v>
      </x:c>
      <x:c r="Z36" s="6" t="str">
        <x:v>19</x:v>
      </x:c>
      <x:c r="AA36" s="6" t="str">
        <x:v>24.0</x:v>
      </x:c>
      <x:c r="AB36" s="6" t="str">
        <x:v>32</x:v>
      </x:c>
      <x:c r="AC36" s="6" t="str">
        <x:v>2024-11</x:v>
      </x:c>
      <x:c r="AD36" s="9" t="str">
        <x:v>BNPB operational disaster search table</x:v>
      </x:c>
      <x:c r="AE36" s="9" t="str">
        <x:v>https://gis.bnpb.go.id/databencana/tabel/pencarian.php</x:v>
      </x:c>
      <x:c r="AF36" s="9" t="str">
        <x:v>operational_snapshot_annual_totals_may_differ</x:v>
      </x:c>
    </x:row>
    <x:row r="37" ht="18" customHeight="1">
      <x:c r="A37" s="6" t="str">
        <x:v>12</x:v>
      </x:c>
      <x:c r="B37" s="6" t="str">
        <x:v>SUMATERA UTARA</x:v>
      </x:c>
      <x:c r="C37" s="6" t="str">
        <x:v>2024</x:v>
      </x:c>
      <x:c r="D37" s="6" t="str">
        <x:v>12</x:v>
      </x:c>
      <x:c r="E37" s="6" t="str">
        <x:v>15</x:v>
      </x:c>
      <x:c r="F37" s="6" t="str">
        <x:v>15</x:v>
      </x:c>
      <x:c r="G37" s="6" t="str">
        <x:v>13</x:v>
      </x:c>
      <x:c r="H37" s="6" t="str">
        <x:v>2</x:v>
      </x:c>
      <x:c r="I37" s="6" t="str">
        <x:v>0</x:v>
      </x:c>
      <x:c r="J37" s="6" t="str">
        <x:v>0</x:v>
      </x:c>
      <x:c r="K37" s="6" t="str">
        <x:v>0</x:v>
      </x:c>
      <x:c r="L37" s="6" t="str">
        <x:v>0</x:v>
      </x:c>
      <x:c r="M37" s="6" t="str">
        <x:v>0</x:v>
      </x:c>
      <x:c r="N37" s="6" t="str">
        <x:v>0</x:v>
      </x:c>
      <x:c r="O37" s="6" t="str">
        <x:v>0</x:v>
      </x:c>
      <x:c r="P37" s="6" t="str">
        <x:v>15</x:v>
      </x:c>
      <x:c r="Q37" s="6" t="str">
        <x:v>3.0</x:v>
      </x:c>
      <x:c r="R37" s="6" t="str">
        <x:v>6</x:v>
      </x:c>
      <x:c r="S37" s="6" t="str">
        <x:v>0.0</x:v>
      </x:c>
      <x:c r="T37" s="6" t="str">
        <x:v>5</x:v>
      </x:c>
      <x:c r="U37" s="6" t="str">
        <x:v>2.0</x:v>
      </x:c>
      <x:c r="V37" s="6" t="str">
        <x:v>6</x:v>
      </x:c>
      <x:c r="W37" s="6" t="str">
        <x:v>94.0</x:v>
      </x:c>
      <x:c r="X37" s="6" t="str">
        <x:v>15</x:v>
      </x:c>
      <x:c r="Y37" s="6" t="str">
        <x:v>5668.0</x:v>
      </x:c>
      <x:c r="Z37" s="6" t="str">
        <x:v>12</x:v>
      </x:c>
      <x:c r="AA37" s="6" t="str">
        <x:v>3.0</x:v>
      </x:c>
      <x:c r="AB37" s="6" t="str">
        <x:v>15</x:v>
      </x:c>
      <x:c r="AC37" s="6" t="str">
        <x:v>2024-12</x:v>
      </x:c>
      <x:c r="AD37" s="9" t="str">
        <x:v>BNPB operational disaster search table</x:v>
      </x:c>
      <x:c r="AE37" s="9" t="str">
        <x:v>https://gis.bnpb.go.id/databencana/tabel/pencarian.php</x:v>
      </x:c>
      <x:c r="AF37" s="9" t="str">
        <x:v>operational_snapshot_annual_totals_may_differ</x:v>
      </x:c>
    </x:row>
    <x:row r="38" ht="18" customHeight="1">
      <x:c r="A38" s="6" t="str">
        <x:v>12</x:v>
      </x:c>
      <x:c r="B38" s="6" t="str">
        <x:v>SUMATERA UTARA</x:v>
      </x:c>
      <x:c r="C38" s="6" t="str">
        <x:v>2025</x:v>
      </x:c>
      <x:c r="D38" s="6" t="str">
        <x:v>1</x:v>
      </x:c>
      <x:c r="E38" s="6" t="str">
        <x:v>20</x:v>
      </x:c>
      <x:c r="F38" s="6" t="str">
        <x:v>20</x:v>
      </x:c>
      <x:c r="G38" s="6" t="str">
        <x:v>20</x:v>
      </x:c>
      <x:c r="H38" s="6" t="str">
        <x:v>0</x:v>
      </x:c>
      <x:c r="I38" s="6" t="str">
        <x:v>0</x:v>
      </x:c>
      <x:c r="J38" s="6" t="str">
        <x:v>0</x:v>
      </x:c>
      <x:c r="K38" s="6" t="str">
        <x:v>0</x:v>
      </x:c>
      <x:c r="L38" s="6" t="str">
        <x:v>0</x:v>
      </x:c>
      <x:c r="M38" s="6" t="str">
        <x:v>0</x:v>
      </x:c>
      <x:c r="N38" s="6" t="str">
        <x:v>0</x:v>
      </x:c>
      <x:c r="O38" s="6" t="str">
        <x:v>0</x:v>
      </x:c>
      <x:c r="P38" s="6" t="str">
        <x:v>20</x:v>
      </x:c>
      <x:c r="Q38" s="6" t="str">
        <x:v>0.0</x:v>
      </x:c>
      <x:c r="R38" s="6" t="str">
        <x:v>20</x:v>
      </x:c>
      <x:c r="S38" s="6" t="str">
        <x:v>0.0</x:v>
      </x:c>
      <x:c r="T38" s="6" t="str">
        <x:v>20</x:v>
      </x:c>
      <x:c r="U38" s="6" t="str">
        <x:v>0.0</x:v>
      </x:c>
      <x:c r="V38" s="6" t="str">
        <x:v>20</x:v>
      </x:c>
      <x:c r="W38" s="6" t="str">
        <x:v>1.0</x:v>
      </x:c>
      <x:c r="X38" s="6" t="str">
        <x:v>20</x:v>
      </x:c>
      <x:c r="Y38" s="6" t="str">
        <x:v>29924.0</x:v>
      </x:c>
      <x:c r="Z38" s="6" t="str">
        <x:v>19</x:v>
      </x:c>
      <x:c r="AA38" s="6" t="str">
        <x:v>2.0</x:v>
      </x:c>
      <x:c r="AB38" s="6" t="str">
        <x:v>20</x:v>
      </x:c>
      <x:c r="AC38" s="6" t="str">
        <x:v>2025-01</x:v>
      </x:c>
      <x:c r="AD38" s="9" t="str">
        <x:v>BNPB operational disaster search table</x:v>
      </x:c>
      <x:c r="AE38" s="9" t="str">
        <x:v>https://gis.bnpb.go.id/databencana/tabel/pencarian.php</x:v>
      </x:c>
      <x:c r="AF38" s="9" t="str">
        <x:v>operational_snapshot_annual_totals_may_differ</x:v>
      </x:c>
    </x:row>
    <x:row r="39" ht="18" customHeight="1">
      <x:c r="A39" s="6" t="str">
        <x:v>12</x:v>
      </x:c>
      <x:c r="B39" s="6" t="str">
        <x:v>SUMATERA UTARA</x:v>
      </x:c>
      <x:c r="C39" s="6" t="str">
        <x:v>2025</x:v>
      </x:c>
      <x:c r="D39" s="6" t="str">
        <x:v>2</x:v>
      </x:c>
      <x:c r="E39" s="6" t="str">
        <x:v>10</x:v>
      </x:c>
      <x:c r="F39" s="6" t="str">
        <x:v>10</x:v>
      </x:c>
      <x:c r="G39" s="6" t="str">
        <x:v>6</x:v>
      </x:c>
      <x:c r="H39" s="6" t="str">
        <x:v>2</x:v>
      </x:c>
      <x:c r="I39" s="6" t="str">
        <x:v>1</x:v>
      </x:c>
      <x:c r="J39" s="6" t="str">
        <x:v>0</x:v>
      </x:c>
      <x:c r="K39" s="6" t="str">
        <x:v>1</x:v>
      </x:c>
      <x:c r="L39" s="6" t="str">
        <x:v>0</x:v>
      </x:c>
      <x:c r="M39" s="6" t="str">
        <x:v>0</x:v>
      </x:c>
      <x:c r="N39" s="6" t="str">
        <x:v>0</x:v>
      </x:c>
      <x:c r="O39" s="6" t="str">
        <x:v>0</x:v>
      </x:c>
      <x:c r="P39" s="6" t="str">
        <x:v>10</x:v>
      </x:c>
      <x:c r="Q39" s="6" t="str">
        <x:v>2.0</x:v>
      </x:c>
      <x:c r="R39" s="6" t="str">
        <x:v>10</x:v>
      </x:c>
      <x:c r="S39" s="6" t="str">
        <x:v>0.0</x:v>
      </x:c>
      <x:c r="T39" s="6" t="str">
        <x:v>10</x:v>
      </x:c>
      <x:c r="U39" s="6" t="str">
        <x:v>0.0</x:v>
      </x:c>
      <x:c r="V39" s="6" t="str">
        <x:v>10</x:v>
      </x:c>
      <x:c r="W39" s="6" t="str">
        <x:v>49.0</x:v>
      </x:c>
      <x:c r="X39" s="6" t="str">
        <x:v>10</x:v>
      </x:c>
      <x:c r="Y39" s="6" t="str">
        <x:v>255.0</x:v>
      </x:c>
      <x:c r="Z39" s="6" t="str">
        <x:v>5</x:v>
      </x:c>
      <x:c r="AA39" s="6" t="str">
        <x:v>2.0</x:v>
      </x:c>
      <x:c r="AB39" s="6" t="str">
        <x:v>10</x:v>
      </x:c>
      <x:c r="AC39" s="6" t="str">
        <x:v>2025-02</x:v>
      </x:c>
      <x:c r="AD39" s="9" t="str">
        <x:v>BNPB operational disaster search table</x:v>
      </x:c>
      <x:c r="AE39" s="9" t="str">
        <x:v>https://gis.bnpb.go.id/databencana/tabel/pencarian.php</x:v>
      </x:c>
      <x:c r="AF39" s="9" t="str">
        <x:v>operational_snapshot_annual_totals_may_differ</x:v>
      </x:c>
    </x:row>
    <x:row r="40" ht="18" customHeight="1">
      <x:c r="A40" s="6" t="str">
        <x:v>12</x:v>
      </x:c>
      <x:c r="B40" s="6" t="str">
        <x:v>SUMATERA UTARA</x:v>
      </x:c>
      <x:c r="C40" s="6" t="str">
        <x:v>2025</x:v>
      </x:c>
      <x:c r="D40" s="6" t="str">
        <x:v>3</x:v>
      </x:c>
      <x:c r="E40" s="6" t="str">
        <x:v>17</x:v>
      </x:c>
      <x:c r="F40" s="6" t="str">
        <x:v>17</x:v>
      </x:c>
      <x:c r="G40" s="6" t="str">
        <x:v>15</x:v>
      </x:c>
      <x:c r="H40" s="6" t="str">
        <x:v>0</x:v>
      </x:c>
      <x:c r="I40" s="6" t="str">
        <x:v>0</x:v>
      </x:c>
      <x:c r="J40" s="6" t="str">
        <x:v>0</x:v>
      </x:c>
      <x:c r="K40" s="6" t="str">
        <x:v>1</x:v>
      </x:c>
      <x:c r="L40" s="6" t="str">
        <x:v>0</x:v>
      </x:c>
      <x:c r="M40" s="6" t="str">
        <x:v>1</x:v>
      </x:c>
      <x:c r="N40" s="6" t="str">
        <x:v>0</x:v>
      </x:c>
      <x:c r="O40" s="6" t="str">
        <x:v>0</x:v>
      </x:c>
      <x:c r="P40" s="6" t="str">
        <x:v>16</x:v>
      </x:c>
      <x:c r="Q40" s="6" t="str">
        <x:v>3.0</x:v>
      </x:c>
      <x:c r="R40" s="6" t="str">
        <x:v>17</x:v>
      </x:c>
      <x:c r="S40" s="6" t="str">
        <x:v>1.0</x:v>
      </x:c>
      <x:c r="T40" s="6" t="str">
        <x:v>17</x:v>
      </x:c>
      <x:c r="U40" s="6" t="str">
        <x:v>3.0</x:v>
      </x:c>
      <x:c r="V40" s="6" t="str">
        <x:v>17</x:v>
      </x:c>
      <x:c r="W40" s="6" t="str">
        <x:v>660.0</x:v>
      </x:c>
      <x:c r="X40" s="6" t="str">
        <x:v>17</x:v>
      </x:c>
      <x:c r="Y40" s="6" t="str">
        <x:v>1252.0</x:v>
      </x:c>
      <x:c r="Z40" s="6" t="str">
        <x:v>13</x:v>
      </x:c>
      <x:c r="AA40" s="6" t="str">
        <x:v>51.0</x:v>
      </x:c>
      <x:c r="AB40" s="6" t="str">
        <x:v>17</x:v>
      </x:c>
      <x:c r="AC40" s="6" t="str">
        <x:v>2025-03</x:v>
      </x:c>
      <x:c r="AD40" s="9" t="str">
        <x:v>BNPB operational disaster search table</x:v>
      </x:c>
      <x:c r="AE40" s="9" t="str">
        <x:v>https://gis.bnpb.go.id/databencana/tabel/pencarian.php</x:v>
      </x:c>
      <x:c r="AF40" s="9" t="str">
        <x:v>operational_snapshot_annual_totals_may_differ</x:v>
      </x:c>
    </x:row>
    <x:row r="41" ht="18" customHeight="1">
      <x:c r="A41" s="6" t="str">
        <x:v>12</x:v>
      </x:c>
      <x:c r="B41" s="6" t="str">
        <x:v>SUMATERA UTARA</x:v>
      </x:c>
      <x:c r="C41" s="6" t="str">
        <x:v>2025</x:v>
      </x:c>
      <x:c r="D41" s="6" t="str">
        <x:v>4</x:v>
      </x:c>
      <x:c r="E41" s="6" t="str">
        <x:v>11</x:v>
      </x:c>
      <x:c r="F41" s="6" t="str">
        <x:v>11</x:v>
      </x:c>
      <x:c r="G41" s="6" t="str">
        <x:v>9</x:v>
      </x:c>
      <x:c r="H41" s="6" t="str">
        <x:v>0</x:v>
      </x:c>
      <x:c r="I41" s="6" t="str">
        <x:v>2</x:v>
      </x:c>
      <x:c r="J41" s="6" t="str">
        <x:v>0</x:v>
      </x:c>
      <x:c r="K41" s="6" t="str">
        <x:v>0</x:v>
      </x:c>
      <x:c r="L41" s="6" t="str">
        <x:v>0</x:v>
      </x:c>
      <x:c r="M41" s="6" t="str">
        <x:v>0</x:v>
      </x:c>
      <x:c r="N41" s="6" t="str">
        <x:v>0</x:v>
      </x:c>
      <x:c r="O41" s="6" t="str">
        <x:v>0</x:v>
      </x:c>
      <x:c r="P41" s="6" t="str">
        <x:v>11</x:v>
      </x:c>
      <x:c r="Q41" s="6" t="str">
        <x:v>0.0</x:v>
      </x:c>
      <x:c r="R41" s="6" t="str">
        <x:v>11</x:v>
      </x:c>
      <x:c r="S41" s="6" t="str">
        <x:v>0.0</x:v>
      </x:c>
      <x:c r="T41" s="6" t="str">
        <x:v>11</x:v>
      </x:c>
      <x:c r="U41" s="6" t="str">
        <x:v>0.0</x:v>
      </x:c>
      <x:c r="V41" s="6" t="str">
        <x:v>11</x:v>
      </x:c>
      <x:c r="W41" s="6" t="str">
        <x:v>60.0</x:v>
      </x:c>
      <x:c r="X41" s="6" t="str">
        <x:v>11</x:v>
      </x:c>
      <x:c r="Y41" s="6" t="str">
        <x:v>3066.0</x:v>
      </x:c>
      <x:c r="Z41" s="6" t="str">
        <x:v>9</x:v>
      </x:c>
      <x:c r="AA41" s="6" t="str">
        <x:v>0.0</x:v>
      </x:c>
      <x:c r="AB41" s="6" t="str">
        <x:v>11</x:v>
      </x:c>
      <x:c r="AC41" s="6" t="str">
        <x:v>2025-04</x:v>
      </x:c>
      <x:c r="AD41" s="9" t="str">
        <x:v>BNPB operational disaster search table</x:v>
      </x:c>
      <x:c r="AE41" s="9" t="str">
        <x:v>https://gis.bnpb.go.id/databencana/tabel/pencarian.php</x:v>
      </x:c>
      <x:c r="AF41" s="9" t="str">
        <x:v>operational_snapshot_annual_totals_may_differ</x:v>
      </x:c>
    </x:row>
    <x:row r="42" ht="18" customHeight="1">
      <x:c r="A42" s="6" t="str">
        <x:v>12</x:v>
      </x:c>
      <x:c r="B42" s="6" t="str">
        <x:v>SUMATERA UTARA</x:v>
      </x:c>
      <x:c r="C42" s="6" t="str">
        <x:v>2025</x:v>
      </x:c>
      <x:c r="D42" s="6" t="str">
        <x:v>5</x:v>
      </x:c>
      <x:c r="E42" s="6" t="str">
        <x:v>18</x:v>
      </x:c>
      <x:c r="F42" s="6" t="str">
        <x:v>18</x:v>
      </x:c>
      <x:c r="G42" s="6" t="str">
        <x:v>2</x:v>
      </x:c>
      <x:c r="H42" s="6" t="str">
        <x:v>0</x:v>
      </x:c>
      <x:c r="I42" s="6" t="str">
        <x:v>13</x:v>
      </x:c>
      <x:c r="J42" s="6" t="str">
        <x:v>0</x:v>
      </x:c>
      <x:c r="K42" s="6" t="str">
        <x:v>3</x:v>
      </x:c>
      <x:c r="L42" s="6" t="str">
        <x:v>0</x:v>
      </x:c>
      <x:c r="M42" s="6" t="str">
        <x:v>0</x:v>
      </x:c>
      <x:c r="N42" s="6" t="str">
        <x:v>0</x:v>
      </x:c>
      <x:c r="O42" s="6" t="str">
        <x:v>0</x:v>
      </x:c>
      <x:c r="P42" s="6" t="str">
        <x:v>18</x:v>
      </x:c>
      <x:c r="Q42" s="6" t="str">
        <x:v>1.0</x:v>
      </x:c>
      <x:c r="R42" s="6" t="str">
        <x:v>18</x:v>
      </x:c>
      <x:c r="S42" s="6" t="str">
        <x:v>0.0</x:v>
      </x:c>
      <x:c r="T42" s="6" t="str">
        <x:v>18</x:v>
      </x:c>
      <x:c r="U42" s="6" t="str">
        <x:v>4.0</x:v>
      </x:c>
      <x:c r="V42" s="6" t="str">
        <x:v>18</x:v>
      </x:c>
      <x:c r="W42" s="6" t="str">
        <x:v>278.0</x:v>
      </x:c>
      <x:c r="X42" s="6" t="str">
        <x:v>18</x:v>
      </x:c>
      <x:c r="Y42" s="6" t="str">
        <x:v>123.0</x:v>
      </x:c>
      <x:c r="Z42" s="6" t="str">
        <x:v>2</x:v>
      </x:c>
      <x:c r="AA42" s="6" t="str">
        <x:v>8.0</x:v>
      </x:c>
      <x:c r="AB42" s="6" t="str">
        <x:v>18</x:v>
      </x:c>
      <x:c r="AC42" s="6" t="str">
        <x:v>2025-05</x:v>
      </x:c>
      <x:c r="AD42" s="9" t="str">
        <x:v>BNPB operational disaster search table</x:v>
      </x:c>
      <x:c r="AE42" s="9" t="str">
        <x:v>https://gis.bnpb.go.id/databencana/tabel/pencarian.php</x:v>
      </x:c>
      <x:c r="AF42" s="9" t="str">
        <x:v>operational_snapshot_annual_totals_may_differ</x:v>
      </x:c>
    </x:row>
    <x:row r="43" ht="18" customHeight="1">
      <x:c r="A43" s="6" t="str">
        <x:v>12</x:v>
      </x:c>
      <x:c r="B43" s="6" t="str">
        <x:v>SUMATERA UTARA</x:v>
      </x:c>
      <x:c r="C43" s="6" t="str">
        <x:v>2025</x:v>
      </x:c>
      <x:c r="D43" s="6" t="str">
        <x:v>6</x:v>
      </x:c>
      <x:c r="E43" s="6" t="str">
        <x:v>18</x:v>
      </x:c>
      <x:c r="F43" s="6" t="str">
        <x:v>18</x:v>
      </x:c>
      <x:c r="G43" s="6" t="str">
        <x:v>1</x:v>
      </x:c>
      <x:c r="H43" s="6" t="str">
        <x:v>0</x:v>
      </x:c>
      <x:c r="I43" s="6" t="str">
        <x:v>7</x:v>
      </x:c>
      <x:c r="J43" s="6" t="str">
        <x:v>0</x:v>
      </x:c>
      <x:c r="K43" s="6" t="str">
        <x:v>10</x:v>
      </x:c>
      <x:c r="L43" s="6" t="str">
        <x:v>0</x:v>
      </x:c>
      <x:c r="M43" s="6" t="str">
        <x:v>0</x:v>
      </x:c>
      <x:c r="N43" s="6" t="str">
        <x:v>0</x:v>
      </x:c>
      <x:c r="O43" s="6" t="str">
        <x:v>0</x:v>
      </x:c>
      <x:c r="P43" s="6" t="str">
        <x:v>18</x:v>
      </x:c>
      <x:c r="Q43" s="6" t="str">
        <x:v>0.0</x:v>
      </x:c>
      <x:c r="R43" s="6" t="str">
        <x:v>1</x:v>
      </x:c>
      <x:c r="S43" s="6" t="str">
        <x:v>0.0</x:v>
      </x:c>
      <x:c r="T43" s="6" t="str">
        <x:v>1</x:v>
      </x:c>
      <x:c r="U43" s="6" t="str">
        <x:v>1.0</x:v>
      </x:c>
      <x:c r="V43" s="6" t="str">
        <x:v>2</x:v>
      </x:c>
      <x:c r="W43" s="6" t="str">
        <x:v>505.0</x:v>
      </x:c>
      <x:c r="X43" s="6" t="str">
        <x:v>18</x:v>
      </x:c>
      <x:c r="Y43" s="6" t="str">
        <x:v>50.0</x:v>
      </x:c>
      <x:c r="Z43" s="6" t="str">
        <x:v>1</x:v>
      </x:c>
      <x:c r="AA43" s="6" t="str">
        <x:v>4.0</x:v>
      </x:c>
      <x:c r="AB43" s="6" t="str">
        <x:v>18</x:v>
      </x:c>
      <x:c r="AC43" s="6" t="str">
        <x:v>2025-06</x:v>
      </x:c>
      <x:c r="AD43" s="9" t="str">
        <x:v>BNPB operational disaster search table</x:v>
      </x:c>
      <x:c r="AE43" s="9" t="str">
        <x:v>https://gis.bnpb.go.id/databencana/tabel/pencarian.php</x:v>
      </x:c>
      <x:c r="AF43" s="9" t="str">
        <x:v>operational_snapshot_annual_totals_may_differ</x:v>
      </x:c>
    </x:row>
    <x:row r="44" ht="18" customHeight="1">
      <x:c r="A44" s="6" t="str">
        <x:v>12</x:v>
      </x:c>
      <x:c r="B44" s="6" t="str">
        <x:v>SUMATERA UTARA</x:v>
      </x:c>
      <x:c r="C44" s="6" t="str">
        <x:v>2025</x:v>
      </x:c>
      <x:c r="D44" s="6" t="str">
        <x:v>7</x:v>
      </x:c>
      <x:c r="E44" s="6" t="str">
        <x:v>36</x:v>
      </x:c>
      <x:c r="F44" s="6" t="str">
        <x:v>36</x:v>
      </x:c>
      <x:c r="G44" s="6" t="str">
        <x:v>0</x:v>
      </x:c>
      <x:c r="H44" s="6" t="str">
        <x:v>0</x:v>
      </x:c>
      <x:c r="I44" s="6" t="str">
        <x:v>4</x:v>
      </x:c>
      <x:c r="J44" s="6" t="str">
        <x:v>1</x:v>
      </x:c>
      <x:c r="K44" s="6" t="str">
        <x:v>31</x:v>
      </x:c>
      <x:c r="L44" s="6" t="str">
        <x:v>0</x:v>
      </x:c>
      <x:c r="M44" s="6" t="str">
        <x:v>0</x:v>
      </x:c>
      <x:c r="N44" s="6" t="str">
        <x:v>0</x:v>
      </x:c>
      <x:c r="O44" s="6" t="str">
        <x:v>0</x:v>
      </x:c>
      <x:c r="P44" s="6" t="str">
        <x:v>36</x:v>
      </x:c>
      <x:c r="Q44" s="6" t="str"/>
      <x:c r="R44" s="6" t="str">
        <x:v>0</x:v>
      </x:c>
      <x:c r="S44" s="6" t="str"/>
      <x:c r="T44" s="6" t="str">
        <x:v>0</x:v>
      </x:c>
      <x:c r="U44" s="6" t="str">
        <x:v>4.0</x:v>
      </x:c>
      <x:c r="V44" s="6" t="str">
        <x:v>1</x:v>
      </x:c>
      <x:c r="W44" s="6" t="str">
        <x:v>162.0</x:v>
      </x:c>
      <x:c r="X44" s="6" t="str">
        <x:v>36</x:v>
      </x:c>
      <x:c r="Y44" s="6" t="str"/>
      <x:c r="Z44" s="6" t="str">
        <x:v>0</x:v>
      </x:c>
      <x:c r="AA44" s="6" t="str">
        <x:v>1.0</x:v>
      </x:c>
      <x:c r="AB44" s="6" t="str">
        <x:v>36</x:v>
      </x:c>
      <x:c r="AC44" s="6" t="str">
        <x:v>2025-07</x:v>
      </x:c>
      <x:c r="AD44" s="9" t="str">
        <x:v>BNPB operational disaster search table</x:v>
      </x:c>
      <x:c r="AE44" s="9" t="str">
        <x:v>https://gis.bnpb.go.id/databencana/tabel/pencarian.php</x:v>
      </x:c>
      <x:c r="AF44" s="9" t="str">
        <x:v>operational_snapshot_annual_totals_may_differ</x:v>
      </x:c>
    </x:row>
    <x:row r="45" ht="18" customHeight="1">
      <x:c r="A45" s="6" t="str">
        <x:v>12</x:v>
      </x:c>
      <x:c r="B45" s="6" t="str">
        <x:v>SUMATERA UTARA</x:v>
      </x:c>
      <x:c r="C45" s="6" t="str">
        <x:v>2025</x:v>
      </x:c>
      <x:c r="D45" s="6" t="str">
        <x:v>8</x:v>
      </x:c>
      <x:c r="E45" s="6" t="str">
        <x:v>33</x:v>
      </x:c>
      <x:c r="F45" s="6" t="str">
        <x:v>33</x:v>
      </x:c>
      <x:c r="G45" s="6" t="str">
        <x:v>1</x:v>
      </x:c>
      <x:c r="H45" s="6" t="str">
        <x:v>0</x:v>
      </x:c>
      <x:c r="I45" s="6" t="str">
        <x:v>12</x:v>
      </x:c>
      <x:c r="J45" s="6" t="str">
        <x:v>1</x:v>
      </x:c>
      <x:c r="K45" s="6" t="str">
        <x:v>19</x:v>
      </x:c>
      <x:c r="L45" s="6" t="str">
        <x:v>0</x:v>
      </x:c>
      <x:c r="M45" s="6" t="str">
        <x:v>0</x:v>
      </x:c>
      <x:c r="N45" s="6" t="str">
        <x:v>0</x:v>
      </x:c>
      <x:c r="O45" s="6" t="str">
        <x:v>0</x:v>
      </x:c>
      <x:c r="P45" s="6" t="str">
        <x:v>33</x:v>
      </x:c>
      <x:c r="Q45" s="6" t="str"/>
      <x:c r="R45" s="6" t="str">
        <x:v>0</x:v>
      </x:c>
      <x:c r="S45" s="6" t="str"/>
      <x:c r="T45" s="6" t="str">
        <x:v>0</x:v>
      </x:c>
      <x:c r="U45" s="6" t="str"/>
      <x:c r="V45" s="6" t="str">
        <x:v>0</x:v>
      </x:c>
      <x:c r="W45" s="6" t="str">
        <x:v>276.0</x:v>
      </x:c>
      <x:c r="X45" s="6" t="str">
        <x:v>33</x:v>
      </x:c>
      <x:c r="Y45" s="6" t="str">
        <x:v>20.0</x:v>
      </x:c>
      <x:c r="Z45" s="6" t="str">
        <x:v>1</x:v>
      </x:c>
      <x:c r="AA45" s="6" t="str">
        <x:v>4.0</x:v>
      </x:c>
      <x:c r="AB45" s="6" t="str">
        <x:v>33</x:v>
      </x:c>
      <x:c r="AC45" s="6" t="str">
        <x:v>2025-08</x:v>
      </x:c>
      <x:c r="AD45" s="9" t="str">
        <x:v>BNPB operational disaster search table</x:v>
      </x:c>
      <x:c r="AE45" s="9" t="str">
        <x:v>https://gis.bnpb.go.id/databencana/tabel/pencarian.php</x:v>
      </x:c>
      <x:c r="AF45" s="9" t="str">
        <x:v>operational_snapshot_annual_totals_may_differ</x:v>
      </x:c>
    </x:row>
    <x:row r="46" ht="18" customHeight="1">
      <x:c r="A46" s="6" t="str">
        <x:v>12</x:v>
      </x:c>
      <x:c r="B46" s="6" t="str">
        <x:v>SUMATERA UTARA</x:v>
      </x:c>
      <x:c r="C46" s="6" t="str">
        <x:v>2025</x:v>
      </x:c>
      <x:c r="D46" s="6" t="str">
        <x:v>9</x:v>
      </x:c>
      <x:c r="E46" s="6" t="str">
        <x:v>14</x:v>
      </x:c>
      <x:c r="F46" s="6" t="str">
        <x:v>14</x:v>
      </x:c>
      <x:c r="G46" s="6" t="str">
        <x:v>2</x:v>
      </x:c>
      <x:c r="H46" s="6" t="str">
        <x:v>1</x:v>
      </x:c>
      <x:c r="I46" s="6" t="str">
        <x:v>7</x:v>
      </x:c>
      <x:c r="J46" s="6" t="str">
        <x:v>0</x:v>
      </x:c>
      <x:c r="K46" s="6" t="str">
        <x:v>4</x:v>
      </x:c>
      <x:c r="L46" s="6" t="str">
        <x:v>0</x:v>
      </x:c>
      <x:c r="M46" s="6" t="str">
        <x:v>0</x:v>
      </x:c>
      <x:c r="N46" s="6" t="str">
        <x:v>0</x:v>
      </x:c>
      <x:c r="O46" s="6" t="str">
        <x:v>0</x:v>
      </x:c>
      <x:c r="P46" s="6" t="str">
        <x:v>14</x:v>
      </x:c>
      <x:c r="Q46" s="6" t="str">
        <x:v>3.0</x:v>
      </x:c>
      <x:c r="R46" s="6" t="str">
        <x:v>1</x:v>
      </x:c>
      <x:c r="S46" s="6" t="str"/>
      <x:c r="T46" s="6" t="str">
        <x:v>0</x:v>
      </x:c>
      <x:c r="U46" s="6" t="str">
        <x:v>4.0</x:v>
      </x:c>
      <x:c r="V46" s="6" t="str">
        <x:v>2</x:v>
      </x:c>
      <x:c r="W46" s="6" t="str">
        <x:v>176.0</x:v>
      </x:c>
      <x:c r="X46" s="6" t="str">
        <x:v>14</x:v>
      </x:c>
      <x:c r="Y46" s="6" t="str">
        <x:v>464.0</x:v>
      </x:c>
      <x:c r="Z46" s="6" t="str">
        <x:v>2</x:v>
      </x:c>
      <x:c r="AA46" s="6" t="str">
        <x:v>10.0</x:v>
      </x:c>
      <x:c r="AB46" s="6" t="str">
        <x:v>14</x:v>
      </x:c>
      <x:c r="AC46" s="6" t="str">
        <x:v>2025-09</x:v>
      </x:c>
      <x:c r="AD46" s="9" t="str">
        <x:v>BNPB operational disaster search table</x:v>
      </x:c>
      <x:c r="AE46" s="9" t="str">
        <x:v>https://gis.bnpb.go.id/databencana/tabel/pencarian.php</x:v>
      </x:c>
      <x:c r="AF46" s="9" t="str">
        <x:v>operational_snapshot_annual_totals_may_differ</x:v>
      </x:c>
    </x:row>
    <x:row r="47" ht="18" customHeight="1">
      <x:c r="A47" s="6" t="str">
        <x:v>12</x:v>
      </x:c>
      <x:c r="B47" s="6" t="str">
        <x:v>SUMATERA UTARA</x:v>
      </x:c>
      <x:c r="C47" s="6" t="str">
        <x:v>2025</x:v>
      </x:c>
      <x:c r="D47" s="6" t="str">
        <x:v>10</x:v>
      </x:c>
      <x:c r="E47" s="6" t="str">
        <x:v>16</x:v>
      </x:c>
      <x:c r="F47" s="6" t="str">
        <x:v>16</x:v>
      </x:c>
      <x:c r="G47" s="6" t="str">
        <x:v>11</x:v>
      </x:c>
      <x:c r="H47" s="6" t="str">
        <x:v>0</x:v>
      </x:c>
      <x:c r="I47" s="6" t="str">
        <x:v>2</x:v>
      </x:c>
      <x:c r="J47" s="6" t="str">
        <x:v>0</x:v>
      </x:c>
      <x:c r="K47" s="6" t="str">
        <x:v>2</x:v>
      </x:c>
      <x:c r="L47" s="6" t="str">
        <x:v>1</x:v>
      </x:c>
      <x:c r="M47" s="6" t="str">
        <x:v>0</x:v>
      </x:c>
      <x:c r="N47" s="6" t="str">
        <x:v>0</x:v>
      </x:c>
      <x:c r="O47" s="6" t="str">
        <x:v>0</x:v>
      </x:c>
      <x:c r="P47" s="6" t="str">
        <x:v>16</x:v>
      </x:c>
      <x:c r="Q47" s="6" t="str"/>
      <x:c r="R47" s="6" t="str">
        <x:v>0</x:v>
      </x:c>
      <x:c r="S47" s="6" t="str"/>
      <x:c r="T47" s="6" t="str">
        <x:v>0</x:v>
      </x:c>
      <x:c r="U47" s="6" t="str"/>
      <x:c r="V47" s="6" t="str">
        <x:v>0</x:v>
      </x:c>
      <x:c r="W47" s="6" t="str">
        <x:v>40.0</x:v>
      </x:c>
      <x:c r="X47" s="6" t="str">
        <x:v>16</x:v>
      </x:c>
      <x:c r="Y47" s="6" t="str">
        <x:v>7279.0</x:v>
      </x:c>
      <x:c r="Z47" s="6" t="str">
        <x:v>12</x:v>
      </x:c>
      <x:c r="AA47" s="6" t="str">
        <x:v>5.0</x:v>
      </x:c>
      <x:c r="AB47" s="6" t="str">
        <x:v>16</x:v>
      </x:c>
      <x:c r="AC47" s="6" t="str">
        <x:v>2025-10</x:v>
      </x:c>
      <x:c r="AD47" s="9" t="str">
        <x:v>BNPB operational disaster search table</x:v>
      </x:c>
      <x:c r="AE47" s="9" t="str">
        <x:v>https://gis.bnpb.go.id/databencana/tabel/pencarian.php</x:v>
      </x:c>
      <x:c r="AF47" s="9" t="str">
        <x:v>operational_snapshot_annual_totals_may_differ</x:v>
      </x:c>
    </x:row>
    <x:row r="48" ht="18" customHeight="1">
      <x:c r="A48" s="6" t="str">
        <x:v>12</x:v>
      </x:c>
      <x:c r="B48" s="6" t="str">
        <x:v>SUMATERA UTARA</x:v>
      </x:c>
      <x:c r="C48" s="6" t="str">
        <x:v>2025</x:v>
      </x:c>
      <x:c r="D48" s="6" t="str">
        <x:v>11</x:v>
      </x:c>
      <x:c r="E48" s="6" t="str">
        <x:v>29</x:v>
      </x:c>
      <x:c r="F48" s="6" t="str">
        <x:v>29</x:v>
      </x:c>
      <x:c r="G48" s="6" t="str">
        <x:v>22</x:v>
      </x:c>
      <x:c r="H48" s="6" t="str">
        <x:v>0</x:v>
      </x:c>
      <x:c r="I48" s="6" t="str">
        <x:v>2</x:v>
      </x:c>
      <x:c r="J48" s="6" t="str">
        <x:v>3</x:v>
      </x:c>
      <x:c r="K48" s="6" t="str">
        <x:v>2</x:v>
      </x:c>
      <x:c r="L48" s="6" t="str">
        <x:v>0</x:v>
      </x:c>
      <x:c r="M48" s="6" t="str">
        <x:v>0</x:v>
      </x:c>
      <x:c r="N48" s="6" t="str">
        <x:v>0</x:v>
      </x:c>
      <x:c r="O48" s="6" t="str">
        <x:v>0</x:v>
      </x:c>
      <x:c r="P48" s="6" t="str">
        <x:v>29</x:v>
      </x:c>
      <x:c r="Q48" s="6" t="str">
        <x:v>372.0</x:v>
      </x:c>
      <x:c r="R48" s="6" t="str">
        <x:v>12</x:v>
      </x:c>
      <x:c r="S48" s="6" t="str">
        <x:v>42.0</x:v>
      </x:c>
      <x:c r="T48" s="6" t="str">
        <x:v>4</x:v>
      </x:c>
      <x:c r="U48" s="6" t="str">
        <x:v>242.0</x:v>
      </x:c>
      <x:c r="V48" s="6" t="str">
        <x:v>4</x:v>
      </x:c>
      <x:c r="W48" s="6" t="str">
        <x:v>17806.0</x:v>
      </x:c>
      <x:c r="X48" s="6" t="str">
        <x:v>29</x:v>
      </x:c>
      <x:c r="Y48" s="6" t="str">
        <x:v>113579.0</x:v>
      </x:c>
      <x:c r="Z48" s="6" t="str">
        <x:v>12</x:v>
      </x:c>
      <x:c r="AA48" s="6" t="str">
        <x:v>261.0</x:v>
      </x:c>
      <x:c r="AB48" s="6" t="str">
        <x:v>29</x:v>
      </x:c>
      <x:c r="AC48" s="6" t="str">
        <x:v>2025-11</x:v>
      </x:c>
      <x:c r="AD48" s="9" t="str">
        <x:v>BNPB operational disaster search table</x:v>
      </x:c>
      <x:c r="AE48" s="9" t="str">
        <x:v>https://gis.bnpb.go.id/databencana/tabel/pencarian.php</x:v>
      </x:c>
      <x:c r="AF48" s="9" t="str">
        <x:v>operational_snapshot_annual_totals_may_differ</x:v>
      </x:c>
    </x:row>
    <x:row r="49" ht="18" customHeight="1">
      <x:c r="A49" s="6" t="str">
        <x:v>12</x:v>
      </x:c>
      <x:c r="B49" s="6" t="str">
        <x:v>SUMATERA UTARA</x:v>
      </x:c>
      <x:c r="C49" s="6" t="str">
        <x:v>2025</x:v>
      </x:c>
      <x:c r="D49" s="6" t="str">
        <x:v>12</x:v>
      </x:c>
      <x:c r="E49" s="6" t="str">
        <x:v>3</x:v>
      </x:c>
      <x:c r="F49" s="6" t="str">
        <x:v>3</x:v>
      </x:c>
      <x:c r="G49" s="6" t="str">
        <x:v>3</x:v>
      </x:c>
      <x:c r="H49" s="6" t="str">
        <x:v>0</x:v>
      </x:c>
      <x:c r="I49" s="6" t="str">
        <x:v>0</x:v>
      </x:c>
      <x:c r="J49" s="6" t="str">
        <x:v>0</x:v>
      </x:c>
      <x:c r="K49" s="6" t="str">
        <x:v>0</x:v>
      </x:c>
      <x:c r="L49" s="6" t="str">
        <x:v>0</x:v>
      </x:c>
      <x:c r="M49" s="6" t="str">
        <x:v>0</x:v>
      </x:c>
      <x:c r="N49" s="6" t="str">
        <x:v>0</x:v>
      </x:c>
      <x:c r="O49" s="6" t="str">
        <x:v>0</x:v>
      </x:c>
      <x:c r="P49" s="6" t="str">
        <x:v>3</x:v>
      </x:c>
      <x:c r="Q49" s="6" t="str"/>
      <x:c r="R49" s="6" t="str">
        <x:v>0</x:v>
      </x:c>
      <x:c r="S49" s="6" t="str"/>
      <x:c r="T49" s="6" t="str">
        <x:v>0</x:v>
      </x:c>
      <x:c r="U49" s="6" t="str"/>
      <x:c r="V49" s="6" t="str">
        <x:v>0</x:v>
      </x:c>
      <x:c r="W49" s="6" t="str">
        <x:v>1.0</x:v>
      </x:c>
      <x:c r="X49" s="6" t="str">
        <x:v>3</x:v>
      </x:c>
      <x:c r="Y49" s="6" t="str">
        <x:v>100.0</x:v>
      </x:c>
      <x:c r="Z49" s="6" t="str">
        <x:v>2</x:v>
      </x:c>
      <x:c r="AA49" s="6" t="str">
        <x:v>0.0</x:v>
      </x:c>
      <x:c r="AB49" s="6" t="str">
        <x:v>3</x:v>
      </x:c>
      <x:c r="AC49" s="6" t="str">
        <x:v>2025-12</x:v>
      </x:c>
      <x:c r="AD49" s="9" t="str">
        <x:v>BNPB operational disaster search table</x:v>
      </x:c>
      <x:c r="AE49" s="9" t="str">
        <x:v>https://gis.bnpb.go.id/databencana/tabel/pencarian.php</x:v>
      </x:c>
      <x:c r="AF49" s="9" t="str">
        <x:v>operational_snapshot_annual_totals_may_differ</x:v>
      </x:c>
    </x:row>
    <x:row r="50" ht="18" customHeight="1">
      <x:c r="A50" s="6" t="str">
        <x:v>13</x:v>
      </x:c>
      <x:c r="B50" s="6" t="str">
        <x:v>SUMATERA BARAT</x:v>
      </x:c>
      <x:c r="C50" s="6" t="str">
        <x:v>2024</x:v>
      </x:c>
      <x:c r="D50" s="6" t="str">
        <x:v>1</x:v>
      </x:c>
      <x:c r="E50" s="6" t="str">
        <x:v>12</x:v>
      </x:c>
      <x:c r="F50" s="6" t="str">
        <x:v>12</x:v>
      </x:c>
      <x:c r="G50" s="6" t="str">
        <x:v>12</x:v>
      </x:c>
      <x:c r="H50" s="6" t="str">
        <x:v>0</x:v>
      </x:c>
      <x:c r="I50" s="6" t="str">
        <x:v>0</x:v>
      </x:c>
      <x:c r="J50" s="6" t="str">
        <x:v>0</x:v>
      </x:c>
      <x:c r="K50" s="6" t="str">
        <x:v>0</x:v>
      </x:c>
      <x:c r="L50" s="6" t="str">
        <x:v>0</x:v>
      </x:c>
      <x:c r="M50" s="6" t="str">
        <x:v>0</x:v>
      </x:c>
      <x:c r="N50" s="6" t="str">
        <x:v>0</x:v>
      </x:c>
      <x:c r="O50" s="6" t="str">
        <x:v>0</x:v>
      </x:c>
      <x:c r="P50" s="6" t="str">
        <x:v>12</x:v>
      </x:c>
      <x:c r="Q50" s="6" t="str">
        <x:v>0.0</x:v>
      </x:c>
      <x:c r="R50" s="6" t="str">
        <x:v>6</x:v>
      </x:c>
      <x:c r="S50" s="6" t="str">
        <x:v>0.0</x:v>
      </x:c>
      <x:c r="T50" s="6" t="str">
        <x:v>6</x:v>
      </x:c>
      <x:c r="U50" s="6" t="str">
        <x:v>0.0</x:v>
      </x:c>
      <x:c r="V50" s="6" t="str">
        <x:v>6</x:v>
      </x:c>
      <x:c r="W50" s="6" t="str">
        <x:v>512.0</x:v>
      </x:c>
      <x:c r="X50" s="6" t="str">
        <x:v>12</x:v>
      </x:c>
      <x:c r="Y50" s="6" t="str">
        <x:v>2599.0</x:v>
      </x:c>
      <x:c r="Z50" s="6" t="str">
        <x:v>11</x:v>
      </x:c>
      <x:c r="AA50" s="6" t="str">
        <x:v>1.0</x:v>
      </x:c>
      <x:c r="AB50" s="6" t="str">
        <x:v>12</x:v>
      </x:c>
      <x:c r="AC50" s="6" t="str">
        <x:v>2024-01</x:v>
      </x:c>
      <x:c r="AD50" s="9" t="str">
        <x:v>BNPB operational disaster search table</x:v>
      </x:c>
      <x:c r="AE50" s="9" t="str">
        <x:v>https://gis.bnpb.go.id/databencana/tabel/pencarian.php</x:v>
      </x:c>
      <x:c r="AF50" s="9" t="str">
        <x:v>operational_snapshot_annual_totals_may_differ</x:v>
      </x:c>
    </x:row>
    <x:row r="51" ht="18" customHeight="1">
      <x:c r="A51" s="6" t="str">
        <x:v>13</x:v>
      </x:c>
      <x:c r="B51" s="6" t="str">
        <x:v>SUMATERA BARAT</x:v>
      </x:c>
      <x:c r="C51" s="6" t="str">
        <x:v>2024</x:v>
      </x:c>
      <x:c r="D51" s="6" t="str">
        <x:v>2</x:v>
      </x:c>
      <x:c r="E51" s="6" t="str">
        <x:v>6</x:v>
      </x:c>
      <x:c r="F51" s="6" t="str">
        <x:v>6</x:v>
      </x:c>
      <x:c r="G51" s="6" t="str">
        <x:v>4</x:v>
      </x:c>
      <x:c r="H51" s="6" t="str">
        <x:v>0</x:v>
      </x:c>
      <x:c r="I51" s="6" t="str">
        <x:v>2</x:v>
      </x:c>
      <x:c r="J51" s="6" t="str">
        <x:v>0</x:v>
      </x:c>
      <x:c r="K51" s="6" t="str">
        <x:v>0</x:v>
      </x:c>
      <x:c r="L51" s="6" t="str">
        <x:v>0</x:v>
      </x:c>
      <x:c r="M51" s="6" t="str">
        <x:v>0</x:v>
      </x:c>
      <x:c r="N51" s="6" t="str">
        <x:v>0</x:v>
      </x:c>
      <x:c r="O51" s="6" t="str">
        <x:v>0</x:v>
      </x:c>
      <x:c r="P51" s="6" t="str">
        <x:v>6</x:v>
      </x:c>
      <x:c r="Q51" s="6" t="str">
        <x:v>2.0</x:v>
      </x:c>
      <x:c r="R51" s="6" t="str">
        <x:v>5</x:v>
      </x:c>
      <x:c r="S51" s="6" t="str">
        <x:v>0.0</x:v>
      </x:c>
      <x:c r="T51" s="6" t="str">
        <x:v>3</x:v>
      </x:c>
      <x:c r="U51" s="6" t="str">
        <x:v>0.0</x:v>
      </x:c>
      <x:c r="V51" s="6" t="str">
        <x:v>3</x:v>
      </x:c>
      <x:c r="W51" s="6" t="str">
        <x:v>255.0</x:v>
      </x:c>
      <x:c r="X51" s="6" t="str">
        <x:v>6</x:v>
      </x:c>
      <x:c r="Y51" s="6" t="str">
        <x:v>320.0</x:v>
      </x:c>
      <x:c r="Z51" s="6" t="str">
        <x:v>4</x:v>
      </x:c>
      <x:c r="AA51" s="6" t="str">
        <x:v>10.0</x:v>
      </x:c>
      <x:c r="AB51" s="6" t="str">
        <x:v>6</x:v>
      </x:c>
      <x:c r="AC51" s="6" t="str">
        <x:v>2024-02</x:v>
      </x:c>
      <x:c r="AD51" s="9" t="str">
        <x:v>BNPB operational disaster search table</x:v>
      </x:c>
      <x:c r="AE51" s="9" t="str">
        <x:v>https://gis.bnpb.go.id/databencana/tabel/pencarian.php</x:v>
      </x:c>
      <x:c r="AF51" s="9" t="str">
        <x:v>operational_snapshot_annual_totals_may_differ</x:v>
      </x:c>
    </x:row>
    <x:row r="52" ht="18" customHeight="1">
      <x:c r="A52" s="6" t="str">
        <x:v>13</x:v>
      </x:c>
      <x:c r="B52" s="6" t="str">
        <x:v>SUMATERA BARAT</x:v>
      </x:c>
      <x:c r="C52" s="6" t="str">
        <x:v>2024</x:v>
      </x:c>
      <x:c r="D52" s="6" t="str">
        <x:v>3</x:v>
      </x:c>
      <x:c r="E52" s="6" t="str">
        <x:v>14</x:v>
      </x:c>
      <x:c r="F52" s="6" t="str">
        <x:v>14</x:v>
      </x:c>
      <x:c r="G52" s="6" t="str">
        <x:v>13</x:v>
      </x:c>
      <x:c r="H52" s="6" t="str">
        <x:v>0</x:v>
      </x:c>
      <x:c r="I52" s="6" t="str">
        <x:v>1</x:v>
      </x:c>
      <x:c r="J52" s="6" t="str">
        <x:v>0</x:v>
      </x:c>
      <x:c r="K52" s="6" t="str">
        <x:v>0</x:v>
      </x:c>
      <x:c r="L52" s="6" t="str">
        <x:v>0</x:v>
      </x:c>
      <x:c r="M52" s="6" t="str">
        <x:v>0</x:v>
      </x:c>
      <x:c r="N52" s="6" t="str">
        <x:v>0</x:v>
      </x:c>
      <x:c r="O52" s="6" t="str">
        <x:v>0</x:v>
      </x:c>
      <x:c r="P52" s="6" t="str">
        <x:v>14</x:v>
      </x:c>
      <x:c r="Q52" s="6" t="str">
        <x:v>29.0</x:v>
      </x:c>
      <x:c r="R52" s="6" t="str">
        <x:v>13</x:v>
      </x:c>
      <x:c r="S52" s="6" t="str">
        <x:v>5.0</x:v>
      </x:c>
      <x:c r="T52" s="6" t="str">
        <x:v>12</x:v>
      </x:c>
      <x:c r="U52" s="6" t="str">
        <x:v>8.0</x:v>
      </x:c>
      <x:c r="V52" s="6" t="str">
        <x:v>12</x:v>
      </x:c>
      <x:c r="W52" s="6" t="str">
        <x:v>10411.0</x:v>
      </x:c>
      <x:c r="X52" s="6" t="str">
        <x:v>14</x:v>
      </x:c>
      <x:c r="Y52" s="6" t="str">
        <x:v>55226.0</x:v>
      </x:c>
      <x:c r="Z52" s="6" t="str">
        <x:v>13</x:v>
      </x:c>
      <x:c r="AA52" s="6" t="str">
        <x:v>137.0</x:v>
      </x:c>
      <x:c r="AB52" s="6" t="str">
        <x:v>14</x:v>
      </x:c>
      <x:c r="AC52" s="6" t="str">
        <x:v>2024-03</x:v>
      </x:c>
      <x:c r="AD52" s="9" t="str">
        <x:v>BNPB operational disaster search table</x:v>
      </x:c>
      <x:c r="AE52" s="9" t="str">
        <x:v>https://gis.bnpb.go.id/databencana/tabel/pencarian.php</x:v>
      </x:c>
      <x:c r="AF52" s="9" t="str">
        <x:v>operational_snapshot_annual_totals_may_differ</x:v>
      </x:c>
    </x:row>
    <x:row r="53" ht="18" customHeight="1">
      <x:c r="A53" s="6" t="str">
        <x:v>13</x:v>
      </x:c>
      <x:c r="B53" s="6" t="str">
        <x:v>SUMATERA BARAT</x:v>
      </x:c>
      <x:c r="C53" s="6" t="str">
        <x:v>2024</x:v>
      </x:c>
      <x:c r="D53" s="6" t="str">
        <x:v>4</x:v>
      </x:c>
      <x:c r="E53" s="6" t="str">
        <x:v>8</x:v>
      </x:c>
      <x:c r="F53" s="6" t="str">
        <x:v>8</x:v>
      </x:c>
      <x:c r="G53" s="6" t="str">
        <x:v>6</x:v>
      </x:c>
      <x:c r="H53" s="6" t="str">
        <x:v>0</x:v>
      </x:c>
      <x:c r="I53" s="6" t="str">
        <x:v>0</x:v>
      </x:c>
      <x:c r="J53" s="6" t="str">
        <x:v>0</x:v>
      </x:c>
      <x:c r="K53" s="6" t="str">
        <x:v>0</x:v>
      </x:c>
      <x:c r="L53" s="6" t="str">
        <x:v>0</x:v>
      </x:c>
      <x:c r="M53" s="6" t="str">
        <x:v>0</x:v>
      </x:c>
      <x:c r="N53" s="6" t="str">
        <x:v>2</x:v>
      </x:c>
      <x:c r="O53" s="6" t="str">
        <x:v>0</x:v>
      </x:c>
      <x:c r="P53" s="6" t="str">
        <x:v>6</x:v>
      </x:c>
      <x:c r="Q53" s="6" t="str">
        <x:v>1.0</x:v>
      </x:c>
      <x:c r="R53" s="6" t="str">
        <x:v>7</x:v>
      </x:c>
      <x:c r="S53" s="6" t="str">
        <x:v>0.0</x:v>
      </x:c>
      <x:c r="T53" s="6" t="str">
        <x:v>7</x:v>
      </x:c>
      <x:c r="U53" s="6" t="str">
        <x:v>0.0</x:v>
      </x:c>
      <x:c r="V53" s="6" t="str">
        <x:v>7</x:v>
      </x:c>
      <x:c r="W53" s="6" t="str">
        <x:v>127.0</x:v>
      </x:c>
      <x:c r="X53" s="6" t="str">
        <x:v>8</x:v>
      </x:c>
      <x:c r="Y53" s="6" t="str">
        <x:v>791.0</x:v>
      </x:c>
      <x:c r="Z53" s="6" t="str">
        <x:v>6</x:v>
      </x:c>
      <x:c r="AA53" s="6" t="str">
        <x:v>2.0</x:v>
      </x:c>
      <x:c r="AB53" s="6" t="str">
        <x:v>8</x:v>
      </x:c>
      <x:c r="AC53" s="6" t="str">
        <x:v>2024-04</x:v>
      </x:c>
      <x:c r="AD53" s="9" t="str">
        <x:v>BNPB operational disaster search table</x:v>
      </x:c>
      <x:c r="AE53" s="9" t="str">
        <x:v>https://gis.bnpb.go.id/databencana/tabel/pencarian.php</x:v>
      </x:c>
      <x:c r="AF53" s="9" t="str">
        <x:v>operational_snapshot_annual_totals_may_differ</x:v>
      </x:c>
    </x:row>
    <x:row r="54" ht="18" customHeight="1">
      <x:c r="A54" s="6" t="str">
        <x:v>13</x:v>
      </x:c>
      <x:c r="B54" s="6" t="str">
        <x:v>SUMATERA BARAT</x:v>
      </x:c>
      <x:c r="C54" s="6" t="str">
        <x:v>2024</x:v>
      </x:c>
      <x:c r="D54" s="6" t="str">
        <x:v>5</x:v>
      </x:c>
      <x:c r="E54" s="6" t="str">
        <x:v>18</x:v>
      </x:c>
      <x:c r="F54" s="6" t="str">
        <x:v>18</x:v>
      </x:c>
      <x:c r="G54" s="6" t="str">
        <x:v>12</x:v>
      </x:c>
      <x:c r="H54" s="6" t="str">
        <x:v>3</x:v>
      </x:c>
      <x:c r="I54" s="6" t="str">
        <x:v>1</x:v>
      </x:c>
      <x:c r="J54" s="6" t="str">
        <x:v>0</x:v>
      </x:c>
      <x:c r="K54" s="6" t="str">
        <x:v>0</x:v>
      </x:c>
      <x:c r="L54" s="6" t="str">
        <x:v>1</x:v>
      </x:c>
      <x:c r="M54" s="6" t="str">
        <x:v>0</x:v>
      </x:c>
      <x:c r="N54" s="6" t="str">
        <x:v>1</x:v>
      </x:c>
      <x:c r="O54" s="6" t="str">
        <x:v>0</x:v>
      </x:c>
      <x:c r="P54" s="6" t="str">
        <x:v>17</x:v>
      </x:c>
      <x:c r="Q54" s="6" t="str">
        <x:v>62.0</x:v>
      </x:c>
      <x:c r="R54" s="6" t="str">
        <x:v>15</x:v>
      </x:c>
      <x:c r="S54" s="6" t="str">
        <x:v>14.0</x:v>
      </x:c>
      <x:c r="T54" s="6" t="str">
        <x:v>14</x:v>
      </x:c>
      <x:c r="U54" s="6" t="str">
        <x:v>66.0</x:v>
      </x:c>
      <x:c r="V54" s="6" t="str">
        <x:v>14</x:v>
      </x:c>
      <x:c r="W54" s="6" t="str">
        <x:v>1440.0</x:v>
      </x:c>
      <x:c r="X54" s="6" t="str">
        <x:v>18</x:v>
      </x:c>
      <x:c r="Y54" s="6" t="str">
        <x:v>1962.0</x:v>
      </x:c>
      <x:c r="Z54" s="6" t="str">
        <x:v>12</x:v>
      </x:c>
      <x:c r="AA54" s="6" t="str">
        <x:v>65.0</x:v>
      </x:c>
      <x:c r="AB54" s="6" t="str">
        <x:v>18</x:v>
      </x:c>
      <x:c r="AC54" s="6" t="str">
        <x:v>2024-05</x:v>
      </x:c>
      <x:c r="AD54" s="9" t="str">
        <x:v>BNPB operational disaster search table</x:v>
      </x:c>
      <x:c r="AE54" s="9" t="str">
        <x:v>https://gis.bnpb.go.id/databencana/tabel/pencarian.php</x:v>
      </x:c>
      <x:c r="AF54" s="9" t="str">
        <x:v>operational_snapshot_annual_totals_may_differ</x:v>
      </x:c>
    </x:row>
    <x:row r="55" ht="18" customHeight="1">
      <x:c r="A55" s="6" t="str">
        <x:v>13</x:v>
      </x:c>
      <x:c r="B55" s="6" t="str">
        <x:v>SUMATERA BARAT</x:v>
      </x:c>
      <x:c r="C55" s="6" t="str">
        <x:v>2024</x:v>
      </x:c>
      <x:c r="D55" s="6" t="str">
        <x:v>6</x:v>
      </x:c>
      <x:c r="E55" s="6" t="str">
        <x:v>2</x:v>
      </x:c>
      <x:c r="F55" s="6" t="str">
        <x:v>2</x:v>
      </x:c>
      <x:c r="G55" s="6" t="str">
        <x:v>1</x:v>
      </x:c>
      <x:c r="H55" s="6" t="str">
        <x:v>1</x:v>
      </x:c>
      <x:c r="I55" s="6" t="str">
        <x:v>0</x:v>
      </x:c>
      <x:c r="J55" s="6" t="str">
        <x:v>0</x:v>
      </x:c>
      <x:c r="K55" s="6" t="str">
        <x:v>0</x:v>
      </x:c>
      <x:c r="L55" s="6" t="str">
        <x:v>0</x:v>
      </x:c>
      <x:c r="M55" s="6" t="str">
        <x:v>0</x:v>
      </x:c>
      <x:c r="N55" s="6" t="str">
        <x:v>0</x:v>
      </x:c>
      <x:c r="O55" s="6" t="str">
        <x:v>0</x:v>
      </x:c>
      <x:c r="P55" s="6" t="str">
        <x:v>2</x:v>
      </x:c>
      <x:c r="Q55" s="6" t="str">
        <x:v>1.0</x:v>
      </x:c>
      <x:c r="R55" s="6" t="str">
        <x:v>2</x:v>
      </x:c>
      <x:c r="S55" s="6" t="str">
        <x:v>0.0</x:v>
      </x:c>
      <x:c r="T55" s="6" t="str">
        <x:v>1</x:v>
      </x:c>
      <x:c r="U55" s="6" t="str">
        <x:v>0.0</x:v>
      </x:c>
      <x:c r="V55" s="6" t="str">
        <x:v>1</x:v>
      </x:c>
      <x:c r="W55" s="6" t="str">
        <x:v>0.0</x:v>
      </x:c>
      <x:c r="X55" s="6" t="str">
        <x:v>2</x:v>
      </x:c>
      <x:c r="Y55" s="6" t="str">
        <x:v>18.0</x:v>
      </x:c>
      <x:c r="Z55" s="6" t="str">
        <x:v>1</x:v>
      </x:c>
      <x:c r="AA55" s="6" t="str">
        <x:v>0.0</x:v>
      </x:c>
      <x:c r="AB55" s="6" t="str">
        <x:v>2</x:v>
      </x:c>
      <x:c r="AC55" s="6" t="str">
        <x:v>2024-06</x:v>
      </x:c>
      <x:c r="AD55" s="9" t="str">
        <x:v>BNPB operational disaster search table</x:v>
      </x:c>
      <x:c r="AE55" s="9" t="str">
        <x:v>https://gis.bnpb.go.id/databencana/tabel/pencarian.php</x:v>
      </x:c>
      <x:c r="AF55" s="9" t="str">
        <x:v>operational_snapshot_annual_totals_may_differ</x:v>
      </x:c>
    </x:row>
    <x:row r="56" ht="18" customHeight="1">
      <x:c r="A56" s="6" t="str">
        <x:v>13</x:v>
      </x:c>
      <x:c r="B56" s="6" t="str">
        <x:v>SUMATERA BARAT</x:v>
      </x:c>
      <x:c r="C56" s="6" t="str">
        <x:v>2024</x:v>
      </x:c>
      <x:c r="D56" s="6" t="str">
        <x:v>7</x:v>
      </x:c>
      <x:c r="E56" s="6" t="str">
        <x:v>8</x:v>
      </x:c>
      <x:c r="F56" s="6" t="str">
        <x:v>8</x:v>
      </x:c>
      <x:c r="G56" s="6" t="str">
        <x:v>2</x:v>
      </x:c>
      <x:c r="H56" s="6" t="str">
        <x:v>2</x:v>
      </x:c>
      <x:c r="I56" s="6" t="str">
        <x:v>0</x:v>
      </x:c>
      <x:c r="J56" s="6" t="str">
        <x:v>1</x:v>
      </x:c>
      <x:c r="K56" s="6" t="str">
        <x:v>3</x:v>
      </x:c>
      <x:c r="L56" s="6" t="str">
        <x:v>0</x:v>
      </x:c>
      <x:c r="M56" s="6" t="str">
        <x:v>0</x:v>
      </x:c>
      <x:c r="N56" s="6" t="str">
        <x:v>0</x:v>
      </x:c>
      <x:c r="O56" s="6" t="str">
        <x:v>0</x:v>
      </x:c>
      <x:c r="P56" s="6" t="str">
        <x:v>8</x:v>
      </x:c>
      <x:c r="Q56" s="6" t="str">
        <x:v>5.0</x:v>
      </x:c>
      <x:c r="R56" s="6" t="str">
        <x:v>5</x:v>
      </x:c>
      <x:c r="S56" s="6" t="str">
        <x:v>0.0</x:v>
      </x:c>
      <x:c r="T56" s="6" t="str">
        <x:v>5</x:v>
      </x:c>
      <x:c r="U56" s="6" t="str">
        <x:v>1.0</x:v>
      </x:c>
      <x:c r="V56" s="6" t="str">
        <x:v>5</x:v>
      </x:c>
      <x:c r="W56" s="6" t="str">
        <x:v>40.0</x:v>
      </x:c>
      <x:c r="X56" s="6" t="str">
        <x:v>8</x:v>
      </x:c>
      <x:c r="Y56" s="6" t="str">
        <x:v>36.0</x:v>
      </x:c>
      <x:c r="Z56" s="6" t="str">
        <x:v>1</x:v>
      </x:c>
      <x:c r="AA56" s="6" t="str">
        <x:v>0.0</x:v>
      </x:c>
      <x:c r="AB56" s="6" t="str">
        <x:v>8</x:v>
      </x:c>
      <x:c r="AC56" s="6" t="str">
        <x:v>2024-07</x:v>
      </x:c>
      <x:c r="AD56" s="9" t="str">
        <x:v>BNPB operational disaster search table</x:v>
      </x:c>
      <x:c r="AE56" s="9" t="str">
        <x:v>https://gis.bnpb.go.id/databencana/tabel/pencarian.php</x:v>
      </x:c>
      <x:c r="AF56" s="9" t="str">
        <x:v>operational_snapshot_annual_totals_may_differ</x:v>
      </x:c>
    </x:row>
    <x:row r="57" ht="18" customHeight="1">
      <x:c r="A57" s="6" t="str">
        <x:v>13</x:v>
      </x:c>
      <x:c r="B57" s="6" t="str">
        <x:v>SUMATERA BARAT</x:v>
      </x:c>
      <x:c r="C57" s="6" t="str">
        <x:v>2024</x:v>
      </x:c>
      <x:c r="D57" s="6" t="str">
        <x:v>8</x:v>
      </x:c>
      <x:c r="E57" s="6" t="str">
        <x:v>5</x:v>
      </x:c>
      <x:c r="F57" s="6" t="str">
        <x:v>5</x:v>
      </x:c>
      <x:c r="G57" s="6" t="str">
        <x:v>3</x:v>
      </x:c>
      <x:c r="H57" s="6" t="str">
        <x:v>1</x:v>
      </x:c>
      <x:c r="I57" s="6" t="str">
        <x:v>1</x:v>
      </x:c>
      <x:c r="J57" s="6" t="str">
        <x:v>0</x:v>
      </x:c>
      <x:c r="K57" s="6" t="str">
        <x:v>0</x:v>
      </x:c>
      <x:c r="L57" s="6" t="str">
        <x:v>0</x:v>
      </x:c>
      <x:c r="M57" s="6" t="str">
        <x:v>0</x:v>
      </x:c>
      <x:c r="N57" s="6" t="str">
        <x:v>0</x:v>
      </x:c>
      <x:c r="O57" s="6" t="str">
        <x:v>0</x:v>
      </x:c>
      <x:c r="P57" s="6" t="str">
        <x:v>5</x:v>
      </x:c>
      <x:c r="Q57" s="6" t="str">
        <x:v>2.0</x:v>
      </x:c>
      <x:c r="R57" s="6" t="str">
        <x:v>4</x:v>
      </x:c>
      <x:c r="S57" s="6" t="str">
        <x:v>0.0</x:v>
      </x:c>
      <x:c r="T57" s="6" t="str">
        <x:v>3</x:v>
      </x:c>
      <x:c r="U57" s="6" t="str">
        <x:v>1.0</x:v>
      </x:c>
      <x:c r="V57" s="6" t="str">
        <x:v>3</x:v>
      </x:c>
      <x:c r="W57" s="6" t="str">
        <x:v>104.0</x:v>
      </x:c>
      <x:c r="X57" s="6" t="str">
        <x:v>5</x:v>
      </x:c>
      <x:c r="Y57" s="6" t="str">
        <x:v>198.0</x:v>
      </x:c>
      <x:c r="Z57" s="6" t="str">
        <x:v>2</x:v>
      </x:c>
      <x:c r="AA57" s="6" t="str">
        <x:v>0.0</x:v>
      </x:c>
      <x:c r="AB57" s="6" t="str">
        <x:v>5</x:v>
      </x:c>
      <x:c r="AC57" s="6" t="str">
        <x:v>2024-08</x:v>
      </x:c>
      <x:c r="AD57" s="9" t="str">
        <x:v>BNPB operational disaster search table</x:v>
      </x:c>
      <x:c r="AE57" s="9" t="str">
        <x:v>https://gis.bnpb.go.id/databencana/tabel/pencarian.php</x:v>
      </x:c>
      <x:c r="AF57" s="9" t="str">
        <x:v>operational_snapshot_annual_totals_may_differ</x:v>
      </x:c>
    </x:row>
    <x:row r="58" ht="18" customHeight="1">
      <x:c r="A58" s="6" t="str">
        <x:v>13</x:v>
      </x:c>
      <x:c r="B58" s="6" t="str">
        <x:v>SUMATERA BARAT</x:v>
      </x:c>
      <x:c r="C58" s="6" t="str">
        <x:v>2024</x:v>
      </x:c>
      <x:c r="D58" s="6" t="str">
        <x:v>9</x:v>
      </x:c>
      <x:c r="E58" s="6" t="str">
        <x:v>5</x:v>
      </x:c>
      <x:c r="F58" s="6" t="str">
        <x:v>5</x:v>
      </x:c>
      <x:c r="G58" s="6" t="str">
        <x:v>1</x:v>
      </x:c>
      <x:c r="H58" s="6" t="str">
        <x:v>1</x:v>
      </x:c>
      <x:c r="I58" s="6" t="str">
        <x:v>3</x:v>
      </x:c>
      <x:c r="J58" s="6" t="str">
        <x:v>0</x:v>
      </x:c>
      <x:c r="K58" s="6" t="str">
        <x:v>0</x:v>
      </x:c>
      <x:c r="L58" s="6" t="str">
        <x:v>0</x:v>
      </x:c>
      <x:c r="M58" s="6" t="str">
        <x:v>0</x:v>
      </x:c>
      <x:c r="N58" s="6" t="str">
        <x:v>0</x:v>
      </x:c>
      <x:c r="O58" s="6" t="str">
        <x:v>0</x:v>
      </x:c>
      <x:c r="P58" s="6" t="str">
        <x:v>5</x:v>
      </x:c>
      <x:c r="Q58" s="6" t="str">
        <x:v>14.0</x:v>
      </x:c>
      <x:c r="R58" s="6" t="str">
        <x:v>3</x:v>
      </x:c>
      <x:c r="S58" s="6" t="str">
        <x:v>0.0</x:v>
      </x:c>
      <x:c r="T58" s="6" t="str">
        <x:v>2</x:v>
      </x:c>
      <x:c r="U58" s="6" t="str">
        <x:v>12.0</x:v>
      </x:c>
      <x:c r="V58" s="6" t="str">
        <x:v>2</x:v>
      </x:c>
      <x:c r="W58" s="6" t="str">
        <x:v>25.0</x:v>
      </x:c>
      <x:c r="X58" s="6" t="str">
        <x:v>5</x:v>
      </x:c>
      <x:c r="Y58" s="6" t="str">
        <x:v>120.0</x:v>
      </x:c>
      <x:c r="Z58" s="6" t="str">
        <x:v>1</x:v>
      </x:c>
      <x:c r="AA58" s="6" t="str">
        <x:v>0.0</x:v>
      </x:c>
      <x:c r="AB58" s="6" t="str">
        <x:v>5</x:v>
      </x:c>
      <x:c r="AC58" s="6" t="str">
        <x:v>2024-09</x:v>
      </x:c>
      <x:c r="AD58" s="9" t="str">
        <x:v>BNPB operational disaster search table</x:v>
      </x:c>
      <x:c r="AE58" s="9" t="str">
        <x:v>https://gis.bnpb.go.id/databencana/tabel/pencarian.php</x:v>
      </x:c>
      <x:c r="AF58" s="9" t="str">
        <x:v>operational_snapshot_annual_totals_may_differ</x:v>
      </x:c>
    </x:row>
    <x:row r="59" ht="18" customHeight="1">
      <x:c r="A59" s="6" t="str">
        <x:v>13</x:v>
      </x:c>
      <x:c r="B59" s="6" t="str">
        <x:v>SUMATERA BARAT</x:v>
      </x:c>
      <x:c r="C59" s="6" t="str">
        <x:v>2024</x:v>
      </x:c>
      <x:c r="D59" s="6" t="str">
        <x:v>10</x:v>
      </x:c>
      <x:c r="E59" s="6" t="str">
        <x:v>13</x:v>
      </x:c>
      <x:c r="F59" s="6" t="str">
        <x:v>13</x:v>
      </x:c>
      <x:c r="G59" s="6" t="str">
        <x:v>4</x:v>
      </x:c>
      <x:c r="H59" s="6" t="str">
        <x:v>2</x:v>
      </x:c>
      <x:c r="I59" s="6" t="str">
        <x:v>1</x:v>
      </x:c>
      <x:c r="J59" s="6" t="str">
        <x:v>0</x:v>
      </x:c>
      <x:c r="K59" s="6" t="str">
        <x:v>4</x:v>
      </x:c>
      <x:c r="L59" s="6" t="str">
        <x:v>2</x:v>
      </x:c>
      <x:c r="M59" s="6" t="str">
        <x:v>0</x:v>
      </x:c>
      <x:c r="N59" s="6" t="str">
        <x:v>0</x:v>
      </x:c>
      <x:c r="O59" s="6" t="str">
        <x:v>0</x:v>
      </x:c>
      <x:c r="P59" s="6" t="str">
        <x:v>13</x:v>
      </x:c>
      <x:c r="Q59" s="6" t="str">
        <x:v>1.0</x:v>
      </x:c>
      <x:c r="R59" s="6" t="str">
        <x:v>7</x:v>
      </x:c>
      <x:c r="S59" s="6" t="str">
        <x:v>0.0</x:v>
      </x:c>
      <x:c r="T59" s="6" t="str">
        <x:v>6</x:v>
      </x:c>
      <x:c r="U59" s="6" t="str">
        <x:v>0.0</x:v>
      </x:c>
      <x:c r="V59" s="6" t="str">
        <x:v>6</x:v>
      </x:c>
      <x:c r="W59" s="6" t="str">
        <x:v>48.0</x:v>
      </x:c>
      <x:c r="X59" s="6" t="str">
        <x:v>13</x:v>
      </x:c>
      <x:c r="Y59" s="6" t="str">
        <x:v>3061.0</x:v>
      </x:c>
      <x:c r="Z59" s="6" t="str">
        <x:v>4</x:v>
      </x:c>
      <x:c r="AA59" s="6" t="str">
        <x:v>1.0</x:v>
      </x:c>
      <x:c r="AB59" s="6" t="str">
        <x:v>13</x:v>
      </x:c>
      <x:c r="AC59" s="6" t="str">
        <x:v>2024-10</x:v>
      </x:c>
      <x:c r="AD59" s="9" t="str">
        <x:v>BNPB operational disaster search table</x:v>
      </x:c>
      <x:c r="AE59" s="9" t="str">
        <x:v>https://gis.bnpb.go.id/databencana/tabel/pencarian.php</x:v>
      </x:c>
      <x:c r="AF59" s="9" t="str">
        <x:v>operational_snapshot_annual_totals_may_differ</x:v>
      </x:c>
    </x:row>
    <x:row r="60" ht="18" customHeight="1">
      <x:c r="A60" s="6" t="str">
        <x:v>13</x:v>
      </x:c>
      <x:c r="B60" s="6" t="str">
        <x:v>SUMATERA BARAT</x:v>
      </x:c>
      <x:c r="C60" s="6" t="str">
        <x:v>2024</x:v>
      </x:c>
      <x:c r="D60" s="6" t="str">
        <x:v>11</x:v>
      </x:c>
      <x:c r="E60" s="6" t="str">
        <x:v>6</x:v>
      </x:c>
      <x:c r="F60" s="6" t="str">
        <x:v>6</x:v>
      </x:c>
      <x:c r="G60" s="6" t="str">
        <x:v>6</x:v>
      </x:c>
      <x:c r="H60" s="6" t="str">
        <x:v>0</x:v>
      </x:c>
      <x:c r="I60" s="6" t="str">
        <x:v>0</x:v>
      </x:c>
      <x:c r="J60" s="6" t="str">
        <x:v>0</x:v>
      </x:c>
      <x:c r="K60" s="6" t="str">
        <x:v>0</x:v>
      </x:c>
      <x:c r="L60" s="6" t="str">
        <x:v>0</x:v>
      </x:c>
      <x:c r="M60" s="6" t="str">
        <x:v>0</x:v>
      </x:c>
      <x:c r="N60" s="6" t="str">
        <x:v>0</x:v>
      </x:c>
      <x:c r="O60" s="6" t="str">
        <x:v>0</x:v>
      </x:c>
      <x:c r="P60" s="6" t="str">
        <x:v>6</x:v>
      </x:c>
      <x:c r="Q60" s="6" t="str">
        <x:v>2.0</x:v>
      </x:c>
      <x:c r="R60" s="6" t="str">
        <x:v>5</x:v>
      </x:c>
      <x:c r="S60" s="6" t="str">
        <x:v>2.0</x:v>
      </x:c>
      <x:c r="T60" s="6" t="str">
        <x:v>5</x:v>
      </x:c>
      <x:c r="U60" s="6" t="str">
        <x:v>0.0</x:v>
      </x:c>
      <x:c r="V60" s="6" t="str">
        <x:v>5</x:v>
      </x:c>
      <x:c r="W60" s="6" t="str">
        <x:v>31.0</x:v>
      </x:c>
      <x:c r="X60" s="6" t="str">
        <x:v>6</x:v>
      </x:c>
      <x:c r="Y60" s="6" t="str">
        <x:v>2256.0</x:v>
      </x:c>
      <x:c r="Z60" s="6" t="str">
        <x:v>6</x:v>
      </x:c>
      <x:c r="AA60" s="6" t="str">
        <x:v>9.0</x:v>
      </x:c>
      <x:c r="AB60" s="6" t="str">
        <x:v>6</x:v>
      </x:c>
      <x:c r="AC60" s="6" t="str">
        <x:v>2024-11</x:v>
      </x:c>
      <x:c r="AD60" s="9" t="str">
        <x:v>BNPB operational disaster search table</x:v>
      </x:c>
      <x:c r="AE60" s="9" t="str">
        <x:v>https://gis.bnpb.go.id/databencana/tabel/pencarian.php</x:v>
      </x:c>
      <x:c r="AF60" s="9" t="str">
        <x:v>operational_snapshot_annual_totals_may_differ</x:v>
      </x:c>
    </x:row>
    <x:row r="61" ht="18" customHeight="1">
      <x:c r="A61" s="6" t="str">
        <x:v>13</x:v>
      </x:c>
      <x:c r="B61" s="6" t="str">
        <x:v>SUMATERA BARAT</x:v>
      </x:c>
      <x:c r="C61" s="6" t="str">
        <x:v>2024</x:v>
      </x:c>
      <x:c r="D61" s="6" t="str">
        <x:v>12</x:v>
      </x:c>
      <x:c r="E61" s="6" t="str">
        <x:v>3</x:v>
      </x:c>
      <x:c r="F61" s="6" t="str">
        <x:v>3</x:v>
      </x:c>
      <x:c r="G61" s="6" t="str">
        <x:v>2</x:v>
      </x:c>
      <x:c r="H61" s="6" t="str">
        <x:v>0</x:v>
      </x:c>
      <x:c r="I61" s="6" t="str">
        <x:v>1</x:v>
      </x:c>
      <x:c r="J61" s="6" t="str">
        <x:v>0</x:v>
      </x:c>
      <x:c r="K61" s="6" t="str">
        <x:v>0</x:v>
      </x:c>
      <x:c r="L61" s="6" t="str">
        <x:v>0</x:v>
      </x:c>
      <x:c r="M61" s="6" t="str">
        <x:v>0</x:v>
      </x:c>
      <x:c r="N61" s="6" t="str">
        <x:v>0</x:v>
      </x:c>
      <x:c r="O61" s="6" t="str">
        <x:v>0</x:v>
      </x:c>
      <x:c r="P61" s="6" t="str">
        <x:v>3</x:v>
      </x:c>
      <x:c r="Q61" s="6" t="str">
        <x:v>0.0</x:v>
      </x:c>
      <x:c r="R61" s="6" t="str">
        <x:v>2</x:v>
      </x:c>
      <x:c r="S61" s="6" t="str">
        <x:v>0.0</x:v>
      </x:c>
      <x:c r="T61" s="6" t="str">
        <x:v>2</x:v>
      </x:c>
      <x:c r="U61" s="6" t="str">
        <x:v>0.0</x:v>
      </x:c>
      <x:c r="V61" s="6" t="str">
        <x:v>2</x:v>
      </x:c>
      <x:c r="W61" s="6" t="str">
        <x:v>17.0</x:v>
      </x:c>
      <x:c r="X61" s="6" t="str">
        <x:v>3</x:v>
      </x:c>
      <x:c r="Y61" s="6" t="str">
        <x:v>2257.0</x:v>
      </x:c>
      <x:c r="Z61" s="6" t="str">
        <x:v>2</x:v>
      </x:c>
      <x:c r="AA61" s="6" t="str">
        <x:v>0.0</x:v>
      </x:c>
      <x:c r="AB61" s="6" t="str">
        <x:v>3</x:v>
      </x:c>
      <x:c r="AC61" s="6" t="str">
        <x:v>2024-12</x:v>
      </x:c>
      <x:c r="AD61" s="9" t="str">
        <x:v>BNPB operational disaster search table</x:v>
      </x:c>
      <x:c r="AE61" s="9" t="str">
        <x:v>https://gis.bnpb.go.id/databencana/tabel/pencarian.php</x:v>
      </x:c>
      <x:c r="AF61" s="9" t="str">
        <x:v>operational_snapshot_annual_totals_may_differ</x:v>
      </x:c>
    </x:row>
    <x:row r="62" ht="18" customHeight="1">
      <x:c r="A62" s="6" t="str">
        <x:v>13</x:v>
      </x:c>
      <x:c r="B62" s="6" t="str">
        <x:v>SUMATERA BARAT</x:v>
      </x:c>
      <x:c r="C62" s="6" t="str">
        <x:v>2025</x:v>
      </x:c>
      <x:c r="D62" s="6" t="str">
        <x:v>1</x:v>
      </x:c>
      <x:c r="E62" s="6" t="str">
        <x:v>3</x:v>
      </x:c>
      <x:c r="F62" s="6" t="str">
        <x:v>3</x:v>
      </x:c>
      <x:c r="G62" s="6" t="str">
        <x:v>2</x:v>
      </x:c>
      <x:c r="H62" s="6" t="str">
        <x:v>0</x:v>
      </x:c>
      <x:c r="I62" s="6" t="str">
        <x:v>1</x:v>
      </x:c>
      <x:c r="J62" s="6" t="str">
        <x:v>0</x:v>
      </x:c>
      <x:c r="K62" s="6" t="str">
        <x:v>0</x:v>
      </x:c>
      <x:c r="L62" s="6" t="str">
        <x:v>0</x:v>
      </x:c>
      <x:c r="M62" s="6" t="str">
        <x:v>0</x:v>
      </x:c>
      <x:c r="N62" s="6" t="str">
        <x:v>0</x:v>
      </x:c>
      <x:c r="O62" s="6" t="str">
        <x:v>0</x:v>
      </x:c>
      <x:c r="P62" s="6" t="str">
        <x:v>3</x:v>
      </x:c>
      <x:c r="Q62" s="6" t="str">
        <x:v>1.0</x:v>
      </x:c>
      <x:c r="R62" s="6" t="str">
        <x:v>3</x:v>
      </x:c>
      <x:c r="S62" s="6" t="str">
        <x:v>0.0</x:v>
      </x:c>
      <x:c r="T62" s="6" t="str">
        <x:v>3</x:v>
      </x:c>
      <x:c r="U62" s="6" t="str">
        <x:v>1.0</x:v>
      </x:c>
      <x:c r="V62" s="6" t="str">
        <x:v>3</x:v>
      </x:c>
      <x:c r="W62" s="6" t="str">
        <x:v>0.0</x:v>
      </x:c>
      <x:c r="X62" s="6" t="str">
        <x:v>3</x:v>
      </x:c>
      <x:c r="Y62" s="6" t="str">
        <x:v>3100.0</x:v>
      </x:c>
      <x:c r="Z62" s="6" t="str">
        <x:v>2</x:v>
      </x:c>
      <x:c r="AA62" s="6" t="str">
        <x:v>0.0</x:v>
      </x:c>
      <x:c r="AB62" s="6" t="str">
        <x:v>3</x:v>
      </x:c>
      <x:c r="AC62" s="6" t="str">
        <x:v>2025-01</x:v>
      </x:c>
      <x:c r="AD62" s="9" t="str">
        <x:v>BNPB operational disaster search table</x:v>
      </x:c>
      <x:c r="AE62" s="9" t="str">
        <x:v>https://gis.bnpb.go.id/databencana/tabel/pencarian.php</x:v>
      </x:c>
      <x:c r="AF62" s="9" t="str">
        <x:v>operational_snapshot_annual_totals_may_differ</x:v>
      </x:c>
    </x:row>
    <x:row r="63" ht="18" customHeight="1">
      <x:c r="A63" s="6" t="str">
        <x:v>13</x:v>
      </x:c>
      <x:c r="B63" s="6" t="str">
        <x:v>SUMATERA BARAT</x:v>
      </x:c>
      <x:c r="C63" s="6" t="str">
        <x:v>2025</x:v>
      </x:c>
      <x:c r="D63" s="6" t="str">
        <x:v>2</x:v>
      </x:c>
      <x:c r="E63" s="6" t="str">
        <x:v>10</x:v>
      </x:c>
      <x:c r="F63" s="6" t="str">
        <x:v>10</x:v>
      </x:c>
      <x:c r="G63" s="6" t="str">
        <x:v>9</x:v>
      </x:c>
      <x:c r="H63" s="6" t="str">
        <x:v>0</x:v>
      </x:c>
      <x:c r="I63" s="6" t="str">
        <x:v>0</x:v>
      </x:c>
      <x:c r="J63" s="6" t="str">
        <x:v>0</x:v>
      </x:c>
      <x:c r="K63" s="6" t="str">
        <x:v>1</x:v>
      </x:c>
      <x:c r="L63" s="6" t="str">
        <x:v>0</x:v>
      </x:c>
      <x:c r="M63" s="6" t="str">
        <x:v>0</x:v>
      </x:c>
      <x:c r="N63" s="6" t="str">
        <x:v>0</x:v>
      </x:c>
      <x:c r="O63" s="6" t="str">
        <x:v>0</x:v>
      </x:c>
      <x:c r="P63" s="6" t="str">
        <x:v>10</x:v>
      </x:c>
      <x:c r="Q63" s="6" t="str">
        <x:v>0.0</x:v>
      </x:c>
      <x:c r="R63" s="6" t="str">
        <x:v>10</x:v>
      </x:c>
      <x:c r="S63" s="6" t="str">
        <x:v>0.0</x:v>
      </x:c>
      <x:c r="T63" s="6" t="str">
        <x:v>10</x:v>
      </x:c>
      <x:c r="U63" s="6" t="str">
        <x:v>0.0</x:v>
      </x:c>
      <x:c r="V63" s="6" t="str">
        <x:v>10</x:v>
      </x:c>
      <x:c r="W63" s="6" t="str">
        <x:v>10.0</x:v>
      </x:c>
      <x:c r="X63" s="6" t="str">
        <x:v>10</x:v>
      </x:c>
      <x:c r="Y63" s="6" t="str">
        <x:v>1574.0</x:v>
      </x:c>
      <x:c r="Z63" s="6" t="str">
        <x:v>8</x:v>
      </x:c>
      <x:c r="AA63" s="6" t="str">
        <x:v>1.0</x:v>
      </x:c>
      <x:c r="AB63" s="6" t="str">
        <x:v>10</x:v>
      </x:c>
      <x:c r="AC63" s="6" t="str">
        <x:v>2025-02</x:v>
      </x:c>
      <x:c r="AD63" s="9" t="str">
        <x:v>BNPB operational disaster search table</x:v>
      </x:c>
      <x:c r="AE63" s="9" t="str">
        <x:v>https://gis.bnpb.go.id/databencana/tabel/pencarian.php</x:v>
      </x:c>
      <x:c r="AF63" s="9" t="str">
        <x:v>operational_snapshot_annual_totals_may_differ</x:v>
      </x:c>
    </x:row>
    <x:row r="64" ht="18" customHeight="1">
      <x:c r="A64" s="6" t="str">
        <x:v>13</x:v>
      </x:c>
      <x:c r="B64" s="6" t="str">
        <x:v>SUMATERA BARAT</x:v>
      </x:c>
      <x:c r="C64" s="6" t="str">
        <x:v>2025</x:v>
      </x:c>
      <x:c r="D64" s="6" t="str">
        <x:v>3</x:v>
      </x:c>
      <x:c r="E64" s="6" t="str">
        <x:v>5</x:v>
      </x:c>
      <x:c r="F64" s="6" t="str">
        <x:v>5</x:v>
      </x:c>
      <x:c r="G64" s="6" t="str">
        <x:v>3</x:v>
      </x:c>
      <x:c r="H64" s="6" t="str">
        <x:v>0</x:v>
      </x:c>
      <x:c r="I64" s="6" t="str">
        <x:v>2</x:v>
      </x:c>
      <x:c r="J64" s="6" t="str">
        <x:v>0</x:v>
      </x:c>
      <x:c r="K64" s="6" t="str">
        <x:v>0</x:v>
      </x:c>
      <x:c r="L64" s="6" t="str">
        <x:v>0</x:v>
      </x:c>
      <x:c r="M64" s="6" t="str">
        <x:v>0</x:v>
      </x:c>
      <x:c r="N64" s="6" t="str">
        <x:v>0</x:v>
      </x:c>
      <x:c r="O64" s="6" t="str">
        <x:v>0</x:v>
      </x:c>
      <x:c r="P64" s="6" t="str">
        <x:v>5</x:v>
      </x:c>
      <x:c r="Q64" s="6" t="str">
        <x:v>0.0</x:v>
      </x:c>
      <x:c r="R64" s="6" t="str">
        <x:v>5</x:v>
      </x:c>
      <x:c r="S64" s="6" t="str">
        <x:v>0.0</x:v>
      </x:c>
      <x:c r="T64" s="6" t="str">
        <x:v>5</x:v>
      </x:c>
      <x:c r="U64" s="6" t="str">
        <x:v>1.0</x:v>
      </x:c>
      <x:c r="V64" s="6" t="str">
        <x:v>5</x:v>
      </x:c>
      <x:c r="W64" s="6" t="str">
        <x:v>22.0</x:v>
      </x:c>
      <x:c r="X64" s="6" t="str">
        <x:v>5</x:v>
      </x:c>
      <x:c r="Y64" s="6" t="str">
        <x:v>903.0</x:v>
      </x:c>
      <x:c r="Z64" s="6" t="str">
        <x:v>3</x:v>
      </x:c>
      <x:c r="AA64" s="6" t="str">
        <x:v>1.0</x:v>
      </x:c>
      <x:c r="AB64" s="6" t="str">
        <x:v>5</x:v>
      </x:c>
      <x:c r="AC64" s="6" t="str">
        <x:v>2025-03</x:v>
      </x:c>
      <x:c r="AD64" s="9" t="str">
        <x:v>BNPB operational disaster search table</x:v>
      </x:c>
      <x:c r="AE64" s="9" t="str">
        <x:v>https://gis.bnpb.go.id/databencana/tabel/pencarian.php</x:v>
      </x:c>
      <x:c r="AF64" s="9" t="str">
        <x:v>operational_snapshot_annual_totals_may_differ</x:v>
      </x:c>
    </x:row>
    <x:row r="65" ht="18" customHeight="1">
      <x:c r="A65" s="6" t="str">
        <x:v>13</x:v>
      </x:c>
      <x:c r="B65" s="6" t="str">
        <x:v>SUMATERA BARAT</x:v>
      </x:c>
      <x:c r="C65" s="6" t="str">
        <x:v>2025</x:v>
      </x:c>
      <x:c r="D65" s="6" t="str">
        <x:v>4</x:v>
      </x:c>
      <x:c r="E65" s="6" t="str">
        <x:v>0</x:v>
      </x:c>
      <x:c r="F65" s="6" t="str">
        <x:v>0</x:v>
      </x:c>
      <x:c r="G65" s="6" t="str">
        <x:v>0</x:v>
      </x:c>
      <x:c r="H65" s="6" t="str">
        <x:v>0</x:v>
      </x:c>
      <x:c r="I65" s="6" t="str">
        <x:v>0</x:v>
      </x:c>
      <x:c r="J65" s="6" t="str">
        <x:v>0</x:v>
      </x:c>
      <x:c r="K65" s="6" t="str">
        <x:v>0</x:v>
      </x:c>
      <x:c r="L65" s="6" t="str">
        <x:v>0</x:v>
      </x:c>
      <x:c r="M65" s="6" t="str">
        <x:v>0</x:v>
      </x:c>
      <x:c r="N65" s="6" t="str">
        <x:v>0</x:v>
      </x:c>
      <x:c r="O65" s="6" t="str">
        <x:v>0</x:v>
      </x:c>
      <x:c r="P65" s="6" t="str">
        <x:v>0</x:v>
      </x:c>
      <x:c r="Q65" s="6" t="str"/>
      <x:c r="R65" s="6" t="str">
        <x:v>0</x:v>
      </x:c>
      <x:c r="S65" s="6" t="str"/>
      <x:c r="T65" s="6" t="str">
        <x:v>0</x:v>
      </x:c>
      <x:c r="U65" s="6" t="str"/>
      <x:c r="V65" s="6" t="str">
        <x:v>0</x:v>
      </x:c>
      <x:c r="W65" s="6" t="str"/>
      <x:c r="X65" s="6" t="str">
        <x:v>0</x:v>
      </x:c>
      <x:c r="Y65" s="6" t="str"/>
      <x:c r="Z65" s="6" t="str">
        <x:v>0</x:v>
      </x:c>
      <x:c r="AA65" s="6" t="str"/>
      <x:c r="AB65" s="6" t="str">
        <x:v>0</x:v>
      </x:c>
      <x:c r="AC65" s="6" t="str">
        <x:v>2025-04</x:v>
      </x:c>
      <x:c r="AD65" s="9" t="str">
        <x:v>BNPB operational disaster search table</x:v>
      </x:c>
      <x:c r="AE65" s="9" t="str">
        <x:v>https://gis.bnpb.go.id/databencana/tabel/pencarian.php</x:v>
      </x:c>
      <x:c r="AF65" s="9" t="str">
        <x:v>operational_snapshot_annual_totals_may_differ</x:v>
      </x:c>
    </x:row>
    <x:row r="66" ht="18" customHeight="1">
      <x:c r="A66" s="6" t="str">
        <x:v>13</x:v>
      </x:c>
      <x:c r="B66" s="6" t="str">
        <x:v>SUMATERA BARAT</x:v>
      </x:c>
      <x:c r="C66" s="6" t="str">
        <x:v>2025</x:v>
      </x:c>
      <x:c r="D66" s="6" t="str">
        <x:v>5</x:v>
      </x:c>
      <x:c r="E66" s="6" t="str">
        <x:v>1</x:v>
      </x:c>
      <x:c r="F66" s="6" t="str">
        <x:v>1</x:v>
      </x:c>
      <x:c r="G66" s="6" t="str">
        <x:v>0</x:v>
      </x:c>
      <x:c r="H66" s="6" t="str">
        <x:v>0</x:v>
      </x:c>
      <x:c r="I66" s="6" t="str">
        <x:v>0</x:v>
      </x:c>
      <x:c r="J66" s="6" t="str">
        <x:v>0</x:v>
      </x:c>
      <x:c r="K66" s="6" t="str">
        <x:v>1</x:v>
      </x:c>
      <x:c r="L66" s="6" t="str">
        <x:v>0</x:v>
      </x:c>
      <x:c r="M66" s="6" t="str">
        <x:v>0</x:v>
      </x:c>
      <x:c r="N66" s="6" t="str">
        <x:v>0</x:v>
      </x:c>
      <x:c r="O66" s="6" t="str">
        <x:v>0</x:v>
      </x:c>
      <x:c r="P66" s="6" t="str">
        <x:v>1</x:v>
      </x:c>
      <x:c r="Q66" s="6" t="str">
        <x:v>0.0</x:v>
      </x:c>
      <x:c r="R66" s="6" t="str">
        <x:v>1</x:v>
      </x:c>
      <x:c r="S66" s="6" t="str">
        <x:v>0.0</x:v>
      </x:c>
      <x:c r="T66" s="6" t="str">
        <x:v>1</x:v>
      </x:c>
      <x:c r="U66" s="6" t="str">
        <x:v>0.0</x:v>
      </x:c>
      <x:c r="V66" s="6" t="str">
        <x:v>1</x:v>
      </x:c>
      <x:c r="W66" s="6" t="str">
        <x:v>0.0</x:v>
      </x:c>
      <x:c r="X66" s="6" t="str">
        <x:v>1</x:v>
      </x:c>
      <x:c r="Y66" s="6" t="str"/>
      <x:c r="Z66" s="6" t="str">
        <x:v>0</x:v>
      </x:c>
      <x:c r="AA66" s="6" t="str">
        <x:v>0.0</x:v>
      </x:c>
      <x:c r="AB66" s="6" t="str">
        <x:v>1</x:v>
      </x:c>
      <x:c r="AC66" s="6" t="str">
        <x:v>2025-05</x:v>
      </x:c>
      <x:c r="AD66" s="9" t="str">
        <x:v>BNPB operational disaster search table</x:v>
      </x:c>
      <x:c r="AE66" s="9" t="str">
        <x:v>https://gis.bnpb.go.id/databencana/tabel/pencarian.php</x:v>
      </x:c>
      <x:c r="AF66" s="9" t="str">
        <x:v>operational_snapshot_annual_totals_may_differ</x:v>
      </x:c>
    </x:row>
    <x:row r="67" ht="18" customHeight="1">
      <x:c r="A67" s="6" t="str">
        <x:v>13</x:v>
      </x:c>
      <x:c r="B67" s="6" t="str">
        <x:v>SUMATERA BARAT</x:v>
      </x:c>
      <x:c r="C67" s="6" t="str">
        <x:v>2025</x:v>
      </x:c>
      <x:c r="D67" s="6" t="str">
        <x:v>6</x:v>
      </x:c>
      <x:c r="E67" s="6" t="str">
        <x:v>6</x:v>
      </x:c>
      <x:c r="F67" s="6" t="str">
        <x:v>6</x:v>
      </x:c>
      <x:c r="G67" s="6" t="str">
        <x:v>1</x:v>
      </x:c>
      <x:c r="H67" s="6" t="str">
        <x:v>0</x:v>
      </x:c>
      <x:c r="I67" s="6" t="str">
        <x:v>0</x:v>
      </x:c>
      <x:c r="J67" s="6" t="str">
        <x:v>0</x:v>
      </x:c>
      <x:c r="K67" s="6" t="str">
        <x:v>5</x:v>
      </x:c>
      <x:c r="L67" s="6" t="str">
        <x:v>0</x:v>
      </x:c>
      <x:c r="M67" s="6" t="str">
        <x:v>0</x:v>
      </x:c>
      <x:c r="N67" s="6" t="str">
        <x:v>0</x:v>
      </x:c>
      <x:c r="O67" s="6" t="str">
        <x:v>0</x:v>
      </x:c>
      <x:c r="P67" s="6" t="str">
        <x:v>6</x:v>
      </x:c>
      <x:c r="Q67" s="6" t="str"/>
      <x:c r="R67" s="6" t="str">
        <x:v>0</x:v>
      </x:c>
      <x:c r="S67" s="6" t="str"/>
      <x:c r="T67" s="6" t="str">
        <x:v>0</x:v>
      </x:c>
      <x:c r="U67" s="6" t="str"/>
      <x:c r="V67" s="6" t="str">
        <x:v>0</x:v>
      </x:c>
      <x:c r="W67" s="6" t="str">
        <x:v>0.0</x:v>
      </x:c>
      <x:c r="X67" s="6" t="str">
        <x:v>6</x:v>
      </x:c>
      <x:c r="Y67" s="6" t="str">
        <x:v>817.0</x:v>
      </x:c>
      <x:c r="Z67" s="6" t="str">
        <x:v>1</x:v>
      </x:c>
      <x:c r="AA67" s="6" t="str">
        <x:v>0.0</x:v>
      </x:c>
      <x:c r="AB67" s="6" t="str">
        <x:v>6</x:v>
      </x:c>
      <x:c r="AC67" s="6" t="str">
        <x:v>2025-06</x:v>
      </x:c>
      <x:c r="AD67" s="9" t="str">
        <x:v>BNPB operational disaster search table</x:v>
      </x:c>
      <x:c r="AE67" s="9" t="str">
        <x:v>https://gis.bnpb.go.id/databencana/tabel/pencarian.php</x:v>
      </x:c>
      <x:c r="AF67" s="9" t="str">
        <x:v>operational_snapshot_annual_totals_may_differ</x:v>
      </x:c>
    </x:row>
    <x:row r="68" ht="18" customHeight="1">
      <x:c r="A68" s="6" t="str">
        <x:v>13</x:v>
      </x:c>
      <x:c r="B68" s="6" t="str">
        <x:v>SUMATERA BARAT</x:v>
      </x:c>
      <x:c r="C68" s="6" t="str">
        <x:v>2025</x:v>
      </x:c>
      <x:c r="D68" s="6" t="str">
        <x:v>7</x:v>
      </x:c>
      <x:c r="E68" s="6" t="str">
        <x:v>16</x:v>
      </x:c>
      <x:c r="F68" s="6" t="str">
        <x:v>16</x:v>
      </x:c>
      <x:c r="G68" s="6" t="str">
        <x:v>0</x:v>
      </x:c>
      <x:c r="H68" s="6" t="str">
        <x:v>0</x:v>
      </x:c>
      <x:c r="I68" s="6" t="str">
        <x:v>1</x:v>
      </x:c>
      <x:c r="J68" s="6" t="str">
        <x:v>0</x:v>
      </x:c>
      <x:c r="K68" s="6" t="str">
        <x:v>15</x:v>
      </x:c>
      <x:c r="L68" s="6" t="str">
        <x:v>0</x:v>
      </x:c>
      <x:c r="M68" s="6" t="str">
        <x:v>0</x:v>
      </x:c>
      <x:c r="N68" s="6" t="str">
        <x:v>0</x:v>
      </x:c>
      <x:c r="O68" s="6" t="str">
        <x:v>0</x:v>
      </x:c>
      <x:c r="P68" s="6" t="str">
        <x:v>16</x:v>
      </x:c>
      <x:c r="Q68" s="6" t="str"/>
      <x:c r="R68" s="6" t="str">
        <x:v>0</x:v>
      </x:c>
      <x:c r="S68" s="6" t="str"/>
      <x:c r="T68" s="6" t="str">
        <x:v>0</x:v>
      </x:c>
      <x:c r="U68" s="6" t="str">
        <x:v>1.0</x:v>
      </x:c>
      <x:c r="V68" s="6" t="str">
        <x:v>1</x:v>
      </x:c>
      <x:c r="W68" s="6" t="str">
        <x:v>12.0</x:v>
      </x:c>
      <x:c r="X68" s="6" t="str">
        <x:v>16</x:v>
      </x:c>
      <x:c r="Y68" s="6" t="str"/>
      <x:c r="Z68" s="6" t="str">
        <x:v>0</x:v>
      </x:c>
      <x:c r="AA68" s="6" t="str">
        <x:v>0.0</x:v>
      </x:c>
      <x:c r="AB68" s="6" t="str">
        <x:v>16</x:v>
      </x:c>
      <x:c r="AC68" s="6" t="str">
        <x:v>2025-07</x:v>
      </x:c>
      <x:c r="AD68" s="9" t="str">
        <x:v>BNPB operational disaster search table</x:v>
      </x:c>
      <x:c r="AE68" s="9" t="str">
        <x:v>https://gis.bnpb.go.id/databencana/tabel/pencarian.php</x:v>
      </x:c>
      <x:c r="AF68" s="9" t="str">
        <x:v>operational_snapshot_annual_totals_may_differ</x:v>
      </x:c>
    </x:row>
    <x:row r="69" ht="18" customHeight="1">
      <x:c r="A69" s="6" t="str">
        <x:v>13</x:v>
      </x:c>
      <x:c r="B69" s="6" t="str">
        <x:v>SUMATERA BARAT</x:v>
      </x:c>
      <x:c r="C69" s="6" t="str">
        <x:v>2025</x:v>
      </x:c>
      <x:c r="D69" s="6" t="str">
        <x:v>8</x:v>
      </x:c>
      <x:c r="E69" s="6" t="str">
        <x:v>18</x:v>
      </x:c>
      <x:c r="F69" s="6" t="str">
        <x:v>18</x:v>
      </x:c>
      <x:c r="G69" s="6" t="str">
        <x:v>0</x:v>
      </x:c>
      <x:c r="H69" s="6" t="str">
        <x:v>0</x:v>
      </x:c>
      <x:c r="I69" s="6" t="str">
        <x:v>3</x:v>
      </x:c>
      <x:c r="J69" s="6" t="str">
        <x:v>1</x:v>
      </x:c>
      <x:c r="K69" s="6" t="str">
        <x:v>14</x:v>
      </x:c>
      <x:c r="L69" s="6" t="str">
        <x:v>0</x:v>
      </x:c>
      <x:c r="M69" s="6" t="str">
        <x:v>0</x:v>
      </x:c>
      <x:c r="N69" s="6" t="str">
        <x:v>0</x:v>
      </x:c>
      <x:c r="O69" s="6" t="str">
        <x:v>0</x:v>
      </x:c>
      <x:c r="P69" s="6" t="str">
        <x:v>18</x:v>
      </x:c>
      <x:c r="Q69" s="6" t="str"/>
      <x:c r="R69" s="6" t="str">
        <x:v>0</x:v>
      </x:c>
      <x:c r="S69" s="6" t="str"/>
      <x:c r="T69" s="6" t="str">
        <x:v>0</x:v>
      </x:c>
      <x:c r="U69" s="6" t="str"/>
      <x:c r="V69" s="6" t="str">
        <x:v>0</x:v>
      </x:c>
      <x:c r="W69" s="6" t="str">
        <x:v>47.0</x:v>
      </x:c>
      <x:c r="X69" s="6" t="str">
        <x:v>18</x:v>
      </x:c>
      <x:c r="Y69" s="6" t="str"/>
      <x:c r="Z69" s="6" t="str">
        <x:v>0</x:v>
      </x:c>
      <x:c r="AA69" s="6" t="str">
        <x:v>5.0</x:v>
      </x:c>
      <x:c r="AB69" s="6" t="str">
        <x:v>18</x:v>
      </x:c>
      <x:c r="AC69" s="6" t="str">
        <x:v>2025-08</x:v>
      </x:c>
      <x:c r="AD69" s="9" t="str">
        <x:v>BNPB operational disaster search table</x:v>
      </x:c>
      <x:c r="AE69" s="9" t="str">
        <x:v>https://gis.bnpb.go.id/databencana/tabel/pencarian.php</x:v>
      </x:c>
      <x:c r="AF69" s="9" t="str">
        <x:v>operational_snapshot_annual_totals_may_differ</x:v>
      </x:c>
    </x:row>
    <x:row r="70" ht="18" customHeight="1">
      <x:c r="A70" s="6" t="str">
        <x:v>13</x:v>
      </x:c>
      <x:c r="B70" s="6" t="str">
        <x:v>SUMATERA BARAT</x:v>
      </x:c>
      <x:c r="C70" s="6" t="str">
        <x:v>2025</x:v>
      </x:c>
      <x:c r="D70" s="6" t="str">
        <x:v>9</x:v>
      </x:c>
      <x:c r="E70" s="6" t="str">
        <x:v>2</x:v>
      </x:c>
      <x:c r="F70" s="6" t="str">
        <x:v>2</x:v>
      </x:c>
      <x:c r="G70" s="6" t="str">
        <x:v>1</x:v>
      </x:c>
      <x:c r="H70" s="6" t="str">
        <x:v>0</x:v>
      </x:c>
      <x:c r="I70" s="6" t="str">
        <x:v>1</x:v>
      </x:c>
      <x:c r="J70" s="6" t="str">
        <x:v>0</x:v>
      </x:c>
      <x:c r="K70" s="6" t="str">
        <x:v>0</x:v>
      </x:c>
      <x:c r="L70" s="6" t="str">
        <x:v>0</x:v>
      </x:c>
      <x:c r="M70" s="6" t="str">
        <x:v>0</x:v>
      </x:c>
      <x:c r="N70" s="6" t="str">
        <x:v>0</x:v>
      </x:c>
      <x:c r="O70" s="6" t="str">
        <x:v>0</x:v>
      </x:c>
      <x:c r="P70" s="6" t="str">
        <x:v>2</x:v>
      </x:c>
      <x:c r="Q70" s="6" t="str"/>
      <x:c r="R70" s="6" t="str">
        <x:v>0</x:v>
      </x:c>
      <x:c r="S70" s="6" t="str"/>
      <x:c r="T70" s="6" t="str">
        <x:v>0</x:v>
      </x:c>
      <x:c r="U70" s="6" t="str"/>
      <x:c r="V70" s="6" t="str">
        <x:v>0</x:v>
      </x:c>
      <x:c r="W70" s="6" t="str">
        <x:v>8.0</x:v>
      </x:c>
      <x:c r="X70" s="6" t="str">
        <x:v>2</x:v>
      </x:c>
      <x:c r="Y70" s="6" t="str">
        <x:v>16310.0</x:v>
      </x:c>
      <x:c r="Z70" s="6" t="str">
        <x:v>1</x:v>
      </x:c>
      <x:c r="AA70" s="6" t="str">
        <x:v>2.0</x:v>
      </x:c>
      <x:c r="AB70" s="6" t="str">
        <x:v>2</x:v>
      </x:c>
      <x:c r="AC70" s="6" t="str">
        <x:v>2025-09</x:v>
      </x:c>
      <x:c r="AD70" s="9" t="str">
        <x:v>BNPB operational disaster search table</x:v>
      </x:c>
      <x:c r="AE70" s="9" t="str">
        <x:v>https://gis.bnpb.go.id/databencana/tabel/pencarian.php</x:v>
      </x:c>
      <x:c r="AF70" s="9" t="str">
        <x:v>operational_snapshot_annual_totals_may_differ</x:v>
      </x:c>
    </x:row>
    <x:row r="71" ht="18" customHeight="1">
      <x:c r="A71" s="6" t="str">
        <x:v>13</x:v>
      </x:c>
      <x:c r="B71" s="6" t="str">
        <x:v>SUMATERA BARAT</x:v>
      </x:c>
      <x:c r="C71" s="6" t="str">
        <x:v>2025</x:v>
      </x:c>
      <x:c r="D71" s="6" t="str">
        <x:v>10</x:v>
      </x:c>
      <x:c r="E71" s="6" t="str">
        <x:v>2</x:v>
      </x:c>
      <x:c r="F71" s="6" t="str">
        <x:v>2</x:v>
      </x:c>
      <x:c r="G71" s="6" t="str">
        <x:v>0</x:v>
      </x:c>
      <x:c r="H71" s="6" t="str">
        <x:v>0</x:v>
      </x:c>
      <x:c r="I71" s="6" t="str">
        <x:v>2</x:v>
      </x:c>
      <x:c r="J71" s="6" t="str">
        <x:v>0</x:v>
      </x:c>
      <x:c r="K71" s="6" t="str">
        <x:v>0</x:v>
      </x:c>
      <x:c r="L71" s="6" t="str">
        <x:v>0</x:v>
      </x:c>
      <x:c r="M71" s="6" t="str">
        <x:v>0</x:v>
      </x:c>
      <x:c r="N71" s="6" t="str">
        <x:v>0</x:v>
      </x:c>
      <x:c r="O71" s="6" t="str">
        <x:v>0</x:v>
      </x:c>
      <x:c r="P71" s="6" t="str">
        <x:v>2</x:v>
      </x:c>
      <x:c r="Q71" s="6" t="str"/>
      <x:c r="R71" s="6" t="str">
        <x:v>0</x:v>
      </x:c>
      <x:c r="S71" s="6" t="str"/>
      <x:c r="T71" s="6" t="str">
        <x:v>0</x:v>
      </x:c>
      <x:c r="U71" s="6" t="str"/>
      <x:c r="V71" s="6" t="str">
        <x:v>0</x:v>
      </x:c>
      <x:c r="W71" s="6" t="str">
        <x:v>236.0</x:v>
      </x:c>
      <x:c r="X71" s="6" t="str">
        <x:v>2</x:v>
      </x:c>
      <x:c r="Y71" s="6" t="str"/>
      <x:c r="Z71" s="6" t="str">
        <x:v>0</x:v>
      </x:c>
      <x:c r="AA71" s="6" t="str">
        <x:v>19.0</x:v>
      </x:c>
      <x:c r="AB71" s="6" t="str">
        <x:v>2</x:v>
      </x:c>
      <x:c r="AC71" s="6" t="str">
        <x:v>2025-10</x:v>
      </x:c>
      <x:c r="AD71" s="9" t="str">
        <x:v>BNPB operational disaster search table</x:v>
      </x:c>
      <x:c r="AE71" s="9" t="str">
        <x:v>https://gis.bnpb.go.id/databencana/tabel/pencarian.php</x:v>
      </x:c>
      <x:c r="AF71" s="9" t="str">
        <x:v>operational_snapshot_annual_totals_may_differ</x:v>
      </x:c>
    </x:row>
    <x:row r="72" ht="18" customHeight="1">
      <x:c r="A72" s="6" t="str">
        <x:v>13</x:v>
      </x:c>
      <x:c r="B72" s="6" t="str">
        <x:v>SUMATERA BARAT</x:v>
      </x:c>
      <x:c r="C72" s="6" t="str">
        <x:v>2025</x:v>
      </x:c>
      <x:c r="D72" s="6" t="str">
        <x:v>11</x:v>
      </x:c>
      <x:c r="E72" s="6" t="str">
        <x:v>18</x:v>
      </x:c>
      <x:c r="F72" s="6" t="str">
        <x:v>18</x:v>
      </x:c>
      <x:c r="G72" s="6" t="str">
        <x:v>14</x:v>
      </x:c>
      <x:c r="H72" s="6" t="str">
        <x:v>1</x:v>
      </x:c>
      <x:c r="I72" s="6" t="str">
        <x:v>1</x:v>
      </x:c>
      <x:c r="J72" s="6" t="str">
        <x:v>0</x:v>
      </x:c>
      <x:c r="K72" s="6" t="str">
        <x:v>0</x:v>
      </x:c>
      <x:c r="L72" s="6" t="str">
        <x:v>2</x:v>
      </x:c>
      <x:c r="M72" s="6" t="str">
        <x:v>0</x:v>
      </x:c>
      <x:c r="N72" s="6" t="str">
        <x:v>0</x:v>
      </x:c>
      <x:c r="O72" s="6" t="str">
        <x:v>0</x:v>
      </x:c>
      <x:c r="P72" s="6" t="str">
        <x:v>18</x:v>
      </x:c>
      <x:c r="Q72" s="6" t="str">
        <x:v>264.0</x:v>
      </x:c>
      <x:c r="R72" s="6" t="str">
        <x:v>7</x:v>
      </x:c>
      <x:c r="S72" s="6" t="str">
        <x:v>72.0</x:v>
      </x:c>
      <x:c r="T72" s="6" t="str">
        <x:v>4</x:v>
      </x:c>
      <x:c r="U72" s="6" t="str">
        <x:v>382.0</x:v>
      </x:c>
      <x:c r="V72" s="6" t="str">
        <x:v>5</x:v>
      </x:c>
      <x:c r="W72" s="6" t="str">
        <x:v>12674.0</x:v>
      </x:c>
      <x:c r="X72" s="6" t="str">
        <x:v>18</x:v>
      </x:c>
      <x:c r="Y72" s="6" t="str">
        <x:v>41046.0</x:v>
      </x:c>
      <x:c r="Z72" s="6" t="str">
        <x:v>13</x:v>
      </x:c>
      <x:c r="AA72" s="6" t="str">
        <x:v>1276.0</x:v>
      </x:c>
      <x:c r="AB72" s="6" t="str">
        <x:v>18</x:v>
      </x:c>
      <x:c r="AC72" s="6" t="str">
        <x:v>2025-11</x:v>
      </x:c>
      <x:c r="AD72" s="9" t="str">
        <x:v>BNPB operational disaster search table</x:v>
      </x:c>
      <x:c r="AE72" s="9" t="str">
        <x:v>https://gis.bnpb.go.id/databencana/tabel/pencarian.php</x:v>
      </x:c>
      <x:c r="AF72" s="9" t="str">
        <x:v>operational_snapshot_annual_totals_may_differ</x:v>
      </x:c>
    </x:row>
    <x:row r="73" ht="18" customHeight="1">
      <x:c r="A73" s="6" t="str">
        <x:v>13</x:v>
      </x:c>
      <x:c r="B73" s="6" t="str">
        <x:v>SUMATERA BARAT</x:v>
      </x:c>
      <x:c r="C73" s="6" t="str">
        <x:v>2025</x:v>
      </x:c>
      <x:c r="D73" s="6" t="str">
        <x:v>12</x:v>
      </x:c>
      <x:c r="E73" s="6" t="str">
        <x:v>1</x:v>
      </x:c>
      <x:c r="F73" s="6" t="str">
        <x:v>1</x:v>
      </x:c>
      <x:c r="G73" s="6" t="str">
        <x:v>0</x:v>
      </x:c>
      <x:c r="H73" s="6" t="str">
        <x:v>1</x:v>
      </x:c>
      <x:c r="I73" s="6" t="str">
        <x:v>0</x:v>
      </x:c>
      <x:c r="J73" s="6" t="str">
        <x:v>0</x:v>
      </x:c>
      <x:c r="K73" s="6" t="str">
        <x:v>0</x:v>
      </x:c>
      <x:c r="L73" s="6" t="str">
        <x:v>0</x:v>
      </x:c>
      <x:c r="M73" s="6" t="str">
        <x:v>0</x:v>
      </x:c>
      <x:c r="N73" s="6" t="str">
        <x:v>0</x:v>
      </x:c>
      <x:c r="O73" s="6" t="str">
        <x:v>0</x:v>
      </x:c>
      <x:c r="P73" s="6" t="str">
        <x:v>1</x:v>
      </x:c>
      <x:c r="Q73" s="6" t="str"/>
      <x:c r="R73" s="6" t="str">
        <x:v>0</x:v>
      </x:c>
      <x:c r="S73" s="6" t="str"/>
      <x:c r="T73" s="6" t="str">
        <x:v>0</x:v>
      </x:c>
      <x:c r="U73" s="6" t="str"/>
      <x:c r="V73" s="6" t="str">
        <x:v>0</x:v>
      </x:c>
      <x:c r="W73" s="6" t="str">
        <x:v>0.0</x:v>
      </x:c>
      <x:c r="X73" s="6" t="str">
        <x:v>1</x:v>
      </x:c>
      <x:c r="Y73" s="6" t="str">
        <x:v>40.0</x:v>
      </x:c>
      <x:c r="Z73" s="6" t="str">
        <x:v>1</x:v>
      </x:c>
      <x:c r="AA73" s="6" t="str">
        <x:v>0.0</x:v>
      </x:c>
      <x:c r="AB73" s="6" t="str">
        <x:v>1</x:v>
      </x:c>
      <x:c r="AC73" s="6" t="str">
        <x:v>2025-12</x:v>
      </x:c>
      <x:c r="AD73" s="9" t="str">
        <x:v>BNPB operational disaster search table</x:v>
      </x:c>
      <x:c r="AE73" s="9" t="str">
        <x:v>https://gis.bnpb.go.id/databencana/tabel/pencarian.php</x:v>
      </x:c>
      <x:c r="AF73" s="9" t="str">
        <x:v>operational_snapshot_annual_totals_may_differ</x:v>
      </x:c>
    </x:row>
    <x:row r="74" ht="18" customHeight="1">
      <x:c r="A74" s="6" t="str">
        <x:v>14</x:v>
      </x:c>
      <x:c r="B74" s="6" t="str">
        <x:v>RIAU</x:v>
      </x:c>
      <x:c r="C74" s="6" t="str">
        <x:v>2024</x:v>
      </x:c>
      <x:c r="D74" s="6" t="str">
        <x:v>1</x:v>
      </x:c>
      <x:c r="E74" s="6" t="str">
        <x:v>23</x:v>
      </x:c>
      <x:c r="F74" s="6" t="str">
        <x:v>23</x:v>
      </x:c>
      <x:c r="G74" s="6" t="str">
        <x:v>19</x:v>
      </x:c>
      <x:c r="H74" s="6" t="str">
        <x:v>0</x:v>
      </x:c>
      <x:c r="I74" s="6" t="str">
        <x:v>0</x:v>
      </x:c>
      <x:c r="J74" s="6" t="str">
        <x:v>0</x:v>
      </x:c>
      <x:c r="K74" s="6" t="str">
        <x:v>4</x:v>
      </x:c>
      <x:c r="L74" s="6" t="str">
        <x:v>0</x:v>
      </x:c>
      <x:c r="M74" s="6" t="str">
        <x:v>0</x:v>
      </x:c>
      <x:c r="N74" s="6" t="str">
        <x:v>0</x:v>
      </x:c>
      <x:c r="O74" s="6" t="str">
        <x:v>0</x:v>
      </x:c>
      <x:c r="P74" s="6" t="str">
        <x:v>23</x:v>
      </x:c>
      <x:c r="Q74" s="6" t="str">
        <x:v>0.0</x:v>
      </x:c>
      <x:c r="R74" s="6" t="str">
        <x:v>23</x:v>
      </x:c>
      <x:c r="S74" s="6" t="str">
        <x:v>0.0</x:v>
      </x:c>
      <x:c r="T74" s="6" t="str">
        <x:v>23</x:v>
      </x:c>
      <x:c r="U74" s="6" t="str">
        <x:v>0.0</x:v>
      </x:c>
      <x:c r="V74" s="6" t="str">
        <x:v>23</x:v>
      </x:c>
      <x:c r="W74" s="6" t="str">
        <x:v>0.0</x:v>
      </x:c>
      <x:c r="X74" s="6" t="str">
        <x:v>23</x:v>
      </x:c>
      <x:c r="Y74" s="6" t="str">
        <x:v>45440.0</x:v>
      </x:c>
      <x:c r="Z74" s="6" t="str">
        <x:v>19</x:v>
      </x:c>
      <x:c r="AA74" s="6" t="str">
        <x:v>16.0</x:v>
      </x:c>
      <x:c r="AB74" s="6" t="str">
        <x:v>23</x:v>
      </x:c>
      <x:c r="AC74" s="6" t="str">
        <x:v>2024-01</x:v>
      </x:c>
      <x:c r="AD74" s="9" t="str">
        <x:v>BNPB operational disaster search table</x:v>
      </x:c>
      <x:c r="AE74" s="9" t="str">
        <x:v>https://gis.bnpb.go.id/databencana/tabel/pencarian.php</x:v>
      </x:c>
      <x:c r="AF74" s="9" t="str">
        <x:v>operational_snapshot_annual_totals_may_differ</x:v>
      </x:c>
    </x:row>
    <x:row r="75" ht="18" customHeight="1">
      <x:c r="A75" s="6" t="str">
        <x:v>14</x:v>
      </x:c>
      <x:c r="B75" s="6" t="str">
        <x:v>RIAU</x:v>
      </x:c>
      <x:c r="C75" s="6" t="str">
        <x:v>2024</x:v>
      </x:c>
      <x:c r="D75" s="6" t="str">
        <x:v>2</x:v>
      </x:c>
      <x:c r="E75" s="6" t="str">
        <x:v>7</x:v>
      </x:c>
      <x:c r="F75" s="6" t="str">
        <x:v>7</x:v>
      </x:c>
      <x:c r="G75" s="6" t="str">
        <x:v>6</x:v>
      </x:c>
      <x:c r="H75" s="6" t="str">
        <x:v>0</x:v>
      </x:c>
      <x:c r="I75" s="6" t="str">
        <x:v>0</x:v>
      </x:c>
      <x:c r="J75" s="6" t="str">
        <x:v>0</x:v>
      </x:c>
      <x:c r="K75" s="6" t="str">
        <x:v>1</x:v>
      </x:c>
      <x:c r="L75" s="6" t="str">
        <x:v>0</x:v>
      </x:c>
      <x:c r="M75" s="6" t="str">
        <x:v>0</x:v>
      </x:c>
      <x:c r="N75" s="6" t="str">
        <x:v>0</x:v>
      </x:c>
      <x:c r="O75" s="6" t="str">
        <x:v>0</x:v>
      </x:c>
      <x:c r="P75" s="6" t="str">
        <x:v>7</x:v>
      </x:c>
      <x:c r="Q75" s="6" t="str">
        <x:v>0.0</x:v>
      </x:c>
      <x:c r="R75" s="6" t="str">
        <x:v>7</x:v>
      </x:c>
      <x:c r="S75" s="6" t="str">
        <x:v>0.0</x:v>
      </x:c>
      <x:c r="T75" s="6" t="str">
        <x:v>7</x:v>
      </x:c>
      <x:c r="U75" s="6" t="str">
        <x:v>0.0</x:v>
      </x:c>
      <x:c r="V75" s="6" t="str">
        <x:v>7</x:v>
      </x:c>
      <x:c r="W75" s="6" t="str">
        <x:v>0.0</x:v>
      </x:c>
      <x:c r="X75" s="6" t="str">
        <x:v>7</x:v>
      </x:c>
      <x:c r="Y75" s="6" t="str">
        <x:v>405.0</x:v>
      </x:c>
      <x:c r="Z75" s="6" t="str">
        <x:v>6</x:v>
      </x:c>
      <x:c r="AA75" s="6" t="str">
        <x:v>0.0</x:v>
      </x:c>
      <x:c r="AB75" s="6" t="str">
        <x:v>7</x:v>
      </x:c>
      <x:c r="AC75" s="6" t="str">
        <x:v>2024-02</x:v>
      </x:c>
      <x:c r="AD75" s="9" t="str">
        <x:v>BNPB operational disaster search table</x:v>
      </x:c>
      <x:c r="AE75" s="9" t="str">
        <x:v>https://gis.bnpb.go.id/databencana/tabel/pencarian.php</x:v>
      </x:c>
      <x:c r="AF75" s="9" t="str">
        <x:v>operational_snapshot_annual_totals_may_differ</x:v>
      </x:c>
    </x:row>
    <x:row r="76" ht="18" customHeight="1">
      <x:c r="A76" s="6" t="str">
        <x:v>14</x:v>
      </x:c>
      <x:c r="B76" s="6" t="str">
        <x:v>RIAU</x:v>
      </x:c>
      <x:c r="C76" s="6" t="str">
        <x:v>2024</x:v>
      </x:c>
      <x:c r="D76" s="6" t="str">
        <x:v>3</x:v>
      </x:c>
      <x:c r="E76" s="6" t="str">
        <x:v>3</x:v>
      </x:c>
      <x:c r="F76" s="6" t="str">
        <x:v>3</x:v>
      </x:c>
      <x:c r="G76" s="6" t="str">
        <x:v>2</x:v>
      </x:c>
      <x:c r="H76" s="6" t="str">
        <x:v>0</x:v>
      </x:c>
      <x:c r="I76" s="6" t="str">
        <x:v>0</x:v>
      </x:c>
      <x:c r="J76" s="6" t="str">
        <x:v>0</x:v>
      </x:c>
      <x:c r="K76" s="6" t="str">
        <x:v>1</x:v>
      </x:c>
      <x:c r="L76" s="6" t="str">
        <x:v>0</x:v>
      </x:c>
      <x:c r="M76" s="6" t="str">
        <x:v>0</x:v>
      </x:c>
      <x:c r="N76" s="6" t="str">
        <x:v>0</x:v>
      </x:c>
      <x:c r="O76" s="6" t="str">
        <x:v>0</x:v>
      </x:c>
      <x:c r="P76" s="6" t="str">
        <x:v>3</x:v>
      </x:c>
      <x:c r="Q76" s="6" t="str">
        <x:v>0.0</x:v>
      </x:c>
      <x:c r="R76" s="6" t="str">
        <x:v>3</x:v>
      </x:c>
      <x:c r="S76" s="6" t="str">
        <x:v>0.0</x:v>
      </x:c>
      <x:c r="T76" s="6" t="str">
        <x:v>3</x:v>
      </x:c>
      <x:c r="U76" s="6" t="str">
        <x:v>0.0</x:v>
      </x:c>
      <x:c r="V76" s="6" t="str">
        <x:v>3</x:v>
      </x:c>
      <x:c r="W76" s="6" t="str">
        <x:v>0.0</x:v>
      </x:c>
      <x:c r="X76" s="6" t="str">
        <x:v>3</x:v>
      </x:c>
      <x:c r="Y76" s="6" t="str">
        <x:v>626.0</x:v>
      </x:c>
      <x:c r="Z76" s="6" t="str">
        <x:v>2</x:v>
      </x:c>
      <x:c r="AA76" s="6" t="str">
        <x:v>0.0</x:v>
      </x:c>
      <x:c r="AB76" s="6" t="str">
        <x:v>3</x:v>
      </x:c>
      <x:c r="AC76" s="6" t="str">
        <x:v>2024-03</x:v>
      </x:c>
      <x:c r="AD76" s="9" t="str">
        <x:v>BNPB operational disaster search table</x:v>
      </x:c>
      <x:c r="AE76" s="9" t="str">
        <x:v>https://gis.bnpb.go.id/databencana/tabel/pencarian.php</x:v>
      </x:c>
      <x:c r="AF76" s="9" t="str">
        <x:v>operational_snapshot_annual_totals_may_differ</x:v>
      </x:c>
    </x:row>
    <x:row r="77" ht="18" customHeight="1">
      <x:c r="A77" s="6" t="str">
        <x:v>14</x:v>
      </x:c>
      <x:c r="B77" s="6" t="str">
        <x:v>RIAU</x:v>
      </x:c>
      <x:c r="C77" s="6" t="str">
        <x:v>2024</x:v>
      </x:c>
      <x:c r="D77" s="6" t="str">
        <x:v>4</x:v>
      </x:c>
      <x:c r="E77" s="6" t="str">
        <x:v>0</x:v>
      </x:c>
      <x:c r="F77" s="6" t="str">
        <x:v>0</x:v>
      </x:c>
      <x:c r="G77" s="6" t="str">
        <x:v>0</x:v>
      </x:c>
      <x:c r="H77" s="6" t="str">
        <x:v>0</x:v>
      </x:c>
      <x:c r="I77" s="6" t="str">
        <x:v>0</x:v>
      </x:c>
      <x:c r="J77" s="6" t="str">
        <x:v>0</x:v>
      </x:c>
      <x:c r="K77" s="6" t="str">
        <x:v>0</x:v>
      </x:c>
      <x:c r="L77" s="6" t="str">
        <x:v>0</x:v>
      </x:c>
      <x:c r="M77" s="6" t="str">
        <x:v>0</x:v>
      </x:c>
      <x:c r="N77" s="6" t="str">
        <x:v>0</x:v>
      </x:c>
      <x:c r="O77" s="6" t="str">
        <x:v>0</x:v>
      </x:c>
      <x:c r="P77" s="6" t="str">
        <x:v>0</x:v>
      </x:c>
      <x:c r="Q77" s="6" t="str"/>
      <x:c r="R77" s="6" t="str">
        <x:v>0</x:v>
      </x:c>
      <x:c r="S77" s="6" t="str"/>
      <x:c r="T77" s="6" t="str">
        <x:v>0</x:v>
      </x:c>
      <x:c r="U77" s="6" t="str"/>
      <x:c r="V77" s="6" t="str">
        <x:v>0</x:v>
      </x:c>
      <x:c r="W77" s="6" t="str"/>
      <x:c r="X77" s="6" t="str">
        <x:v>0</x:v>
      </x:c>
      <x:c r="Y77" s="6" t="str"/>
      <x:c r="Z77" s="6" t="str">
        <x:v>0</x:v>
      </x:c>
      <x:c r="AA77" s="6" t="str"/>
      <x:c r="AB77" s="6" t="str">
        <x:v>0</x:v>
      </x:c>
      <x:c r="AC77" s="6" t="str">
        <x:v>2024-04</x:v>
      </x:c>
      <x:c r="AD77" s="9" t="str">
        <x:v>BNPB operational disaster search table</x:v>
      </x:c>
      <x:c r="AE77" s="9" t="str">
        <x:v>https://gis.bnpb.go.id/databencana/tabel/pencarian.php</x:v>
      </x:c>
      <x:c r="AF77" s="9" t="str">
        <x:v>operational_snapshot_annual_totals_may_differ</x:v>
      </x:c>
    </x:row>
    <x:row r="78" ht="18" customHeight="1">
      <x:c r="A78" s="6" t="str">
        <x:v>14</x:v>
      </x:c>
      <x:c r="B78" s="6" t="str">
        <x:v>RIAU</x:v>
      </x:c>
      <x:c r="C78" s="6" t="str">
        <x:v>2024</x:v>
      </x:c>
      <x:c r="D78" s="6" t="str">
        <x:v>5</x:v>
      </x:c>
      <x:c r="E78" s="6" t="str">
        <x:v>9</x:v>
      </x:c>
      <x:c r="F78" s="6" t="str">
        <x:v>9</x:v>
      </x:c>
      <x:c r="G78" s="6" t="str">
        <x:v>8</x:v>
      </x:c>
      <x:c r="H78" s="6" t="str">
        <x:v>0</x:v>
      </x:c>
      <x:c r="I78" s="6" t="str">
        <x:v>0</x:v>
      </x:c>
      <x:c r="J78" s="6" t="str">
        <x:v>0</x:v>
      </x:c>
      <x:c r="K78" s="6" t="str">
        <x:v>1</x:v>
      </x:c>
      <x:c r="L78" s="6" t="str">
        <x:v>0</x:v>
      </x:c>
      <x:c r="M78" s="6" t="str">
        <x:v>0</x:v>
      </x:c>
      <x:c r="N78" s="6" t="str">
        <x:v>0</x:v>
      </x:c>
      <x:c r="O78" s="6" t="str">
        <x:v>0</x:v>
      </x:c>
      <x:c r="P78" s="6" t="str">
        <x:v>9</x:v>
      </x:c>
      <x:c r="Q78" s="6" t="str">
        <x:v>0.0</x:v>
      </x:c>
      <x:c r="R78" s="6" t="str">
        <x:v>9</x:v>
      </x:c>
      <x:c r="S78" s="6" t="str">
        <x:v>0.0</x:v>
      </x:c>
      <x:c r="T78" s="6" t="str">
        <x:v>9</x:v>
      </x:c>
      <x:c r="U78" s="6" t="str">
        <x:v>0.0</x:v>
      </x:c>
      <x:c r="V78" s="6" t="str">
        <x:v>9</x:v>
      </x:c>
      <x:c r="W78" s="6" t="str">
        <x:v>0.0</x:v>
      </x:c>
      <x:c r="X78" s="6" t="str">
        <x:v>9</x:v>
      </x:c>
      <x:c r="Y78" s="6" t="str">
        <x:v>1946.0</x:v>
      </x:c>
      <x:c r="Z78" s="6" t="str">
        <x:v>8</x:v>
      </x:c>
      <x:c r="AA78" s="6" t="str">
        <x:v>0.0</x:v>
      </x:c>
      <x:c r="AB78" s="6" t="str">
        <x:v>9</x:v>
      </x:c>
      <x:c r="AC78" s="6" t="str">
        <x:v>2024-05</x:v>
      </x:c>
      <x:c r="AD78" s="9" t="str">
        <x:v>BNPB operational disaster search table</x:v>
      </x:c>
      <x:c r="AE78" s="9" t="str">
        <x:v>https://gis.bnpb.go.id/databencana/tabel/pencarian.php</x:v>
      </x:c>
      <x:c r="AF78" s="9" t="str">
        <x:v>operational_snapshot_annual_totals_may_differ</x:v>
      </x:c>
    </x:row>
    <x:row r="79" ht="18" customHeight="1">
      <x:c r="A79" s="6" t="str">
        <x:v>14</x:v>
      </x:c>
      <x:c r="B79" s="6" t="str">
        <x:v>RIAU</x:v>
      </x:c>
      <x:c r="C79" s="6" t="str">
        <x:v>2024</x:v>
      </x:c>
      <x:c r="D79" s="6" t="str">
        <x:v>6</x:v>
      </x:c>
      <x:c r="E79" s="6" t="str">
        <x:v>1</x:v>
      </x:c>
      <x:c r="F79" s="6" t="str">
        <x:v>1</x:v>
      </x:c>
      <x:c r="G79" s="6" t="str">
        <x:v>1</x:v>
      </x:c>
      <x:c r="H79" s="6" t="str">
        <x:v>0</x:v>
      </x:c>
      <x:c r="I79" s="6" t="str">
        <x:v>0</x:v>
      </x:c>
      <x:c r="J79" s="6" t="str">
        <x:v>0</x:v>
      </x:c>
      <x:c r="K79" s="6" t="str">
        <x:v>0</x:v>
      </x:c>
      <x:c r="L79" s="6" t="str">
        <x:v>0</x:v>
      </x:c>
      <x:c r="M79" s="6" t="str">
        <x:v>0</x:v>
      </x:c>
      <x:c r="N79" s="6" t="str">
        <x:v>0</x:v>
      </x:c>
      <x:c r="O79" s="6" t="str">
        <x:v>0</x:v>
      </x:c>
      <x:c r="P79" s="6" t="str">
        <x:v>1</x:v>
      </x:c>
      <x:c r="Q79" s="6" t="str">
        <x:v>0.0</x:v>
      </x:c>
      <x:c r="R79" s="6" t="str">
        <x:v>1</x:v>
      </x:c>
      <x:c r="S79" s="6" t="str">
        <x:v>0.0</x:v>
      </x:c>
      <x:c r="T79" s="6" t="str">
        <x:v>1</x:v>
      </x:c>
      <x:c r="U79" s="6" t="str">
        <x:v>0.0</x:v>
      </x:c>
      <x:c r="V79" s="6" t="str">
        <x:v>1</x:v>
      </x:c>
      <x:c r="W79" s="6" t="str">
        <x:v>0.0</x:v>
      </x:c>
      <x:c r="X79" s="6" t="str">
        <x:v>1</x:v>
      </x:c>
      <x:c r="Y79" s="6" t="str">
        <x:v>20.0</x:v>
      </x:c>
      <x:c r="Z79" s="6" t="str">
        <x:v>1</x:v>
      </x:c>
      <x:c r="AA79" s="6" t="str">
        <x:v>0.0</x:v>
      </x:c>
      <x:c r="AB79" s="6" t="str">
        <x:v>1</x:v>
      </x:c>
      <x:c r="AC79" s="6" t="str">
        <x:v>2024-06</x:v>
      </x:c>
      <x:c r="AD79" s="9" t="str">
        <x:v>BNPB operational disaster search table</x:v>
      </x:c>
      <x:c r="AE79" s="9" t="str">
        <x:v>https://gis.bnpb.go.id/databencana/tabel/pencarian.php</x:v>
      </x:c>
      <x:c r="AF79" s="9" t="str">
        <x:v>operational_snapshot_annual_totals_may_differ</x:v>
      </x:c>
    </x:row>
    <x:row r="80" ht="18" customHeight="1">
      <x:c r="A80" s="6" t="str">
        <x:v>14</x:v>
      </x:c>
      <x:c r="B80" s="6" t="str">
        <x:v>RIAU</x:v>
      </x:c>
      <x:c r="C80" s="6" t="str">
        <x:v>2024</x:v>
      </x:c>
      <x:c r="D80" s="6" t="str">
        <x:v>7</x:v>
      </x:c>
      <x:c r="E80" s="6" t="str">
        <x:v>5</x:v>
      </x:c>
      <x:c r="F80" s="6" t="str">
        <x:v>5</x:v>
      </x:c>
      <x:c r="G80" s="6" t="str">
        <x:v>0</x:v>
      </x:c>
      <x:c r="H80" s="6" t="str">
        <x:v>0</x:v>
      </x:c>
      <x:c r="I80" s="6" t="str">
        <x:v>0</x:v>
      </x:c>
      <x:c r="J80" s="6" t="str">
        <x:v>0</x:v>
      </x:c>
      <x:c r="K80" s="6" t="str">
        <x:v>3</x:v>
      </x:c>
      <x:c r="L80" s="6" t="str">
        <x:v>2</x:v>
      </x:c>
      <x:c r="M80" s="6" t="str">
        <x:v>0</x:v>
      </x:c>
      <x:c r="N80" s="6" t="str">
        <x:v>0</x:v>
      </x:c>
      <x:c r="O80" s="6" t="str">
        <x:v>0</x:v>
      </x:c>
      <x:c r="P80" s="6" t="str">
        <x:v>5</x:v>
      </x:c>
      <x:c r="Q80" s="6" t="str">
        <x:v>0.0</x:v>
      </x:c>
      <x:c r="R80" s="6" t="str">
        <x:v>5</x:v>
      </x:c>
      <x:c r="S80" s="6" t="str">
        <x:v>0.0</x:v>
      </x:c>
      <x:c r="T80" s="6" t="str">
        <x:v>5</x:v>
      </x:c>
      <x:c r="U80" s="6" t="str">
        <x:v>0.0</x:v>
      </x:c>
      <x:c r="V80" s="6" t="str">
        <x:v>5</x:v>
      </x:c>
      <x:c r="W80" s="6" t="str">
        <x:v>16.0</x:v>
      </x:c>
      <x:c r="X80" s="6" t="str">
        <x:v>5</x:v>
      </x:c>
      <x:c r="Y80" s="6" t="str">
        <x:v>6.0</x:v>
      </x:c>
      <x:c r="Z80" s="6" t="str">
        <x:v>1</x:v>
      </x:c>
      <x:c r="AA80" s="6" t="str">
        <x:v>0.0</x:v>
      </x:c>
      <x:c r="AB80" s="6" t="str">
        <x:v>5</x:v>
      </x:c>
      <x:c r="AC80" s="6" t="str">
        <x:v>2024-07</x:v>
      </x:c>
      <x:c r="AD80" s="9" t="str">
        <x:v>BNPB operational disaster search table</x:v>
      </x:c>
      <x:c r="AE80" s="9" t="str">
        <x:v>https://gis.bnpb.go.id/databencana/tabel/pencarian.php</x:v>
      </x:c>
      <x:c r="AF80" s="9" t="str">
        <x:v>operational_snapshot_annual_totals_may_differ</x:v>
      </x:c>
    </x:row>
    <x:row r="81" ht="18" customHeight="1">
      <x:c r="A81" s="6" t="str">
        <x:v>14</x:v>
      </x:c>
      <x:c r="B81" s="6" t="str">
        <x:v>RIAU</x:v>
      </x:c>
      <x:c r="C81" s="6" t="str">
        <x:v>2024</x:v>
      </x:c>
      <x:c r="D81" s="6" t="str">
        <x:v>8</x:v>
      </x:c>
      <x:c r="E81" s="6" t="str">
        <x:v>0</x:v>
      </x:c>
      <x:c r="F81" s="6" t="str">
        <x:v>0</x:v>
      </x:c>
      <x:c r="G81" s="6" t="str">
        <x:v>0</x:v>
      </x:c>
      <x:c r="H81" s="6" t="str">
        <x:v>0</x:v>
      </x:c>
      <x:c r="I81" s="6" t="str">
        <x:v>0</x:v>
      </x:c>
      <x:c r="J81" s="6" t="str">
        <x:v>0</x:v>
      </x:c>
      <x:c r="K81" s="6" t="str">
        <x:v>0</x:v>
      </x:c>
      <x:c r="L81" s="6" t="str">
        <x:v>0</x:v>
      </x:c>
      <x:c r="M81" s="6" t="str">
        <x:v>0</x:v>
      </x:c>
      <x:c r="N81" s="6" t="str">
        <x:v>0</x:v>
      </x:c>
      <x:c r="O81" s="6" t="str">
        <x:v>0</x:v>
      </x:c>
      <x:c r="P81" s="6" t="str">
        <x:v>0</x:v>
      </x:c>
      <x:c r="Q81" s="6" t="str"/>
      <x:c r="R81" s="6" t="str">
        <x:v>0</x:v>
      </x:c>
      <x:c r="S81" s="6" t="str"/>
      <x:c r="T81" s="6" t="str">
        <x:v>0</x:v>
      </x:c>
      <x:c r="U81" s="6" t="str"/>
      <x:c r="V81" s="6" t="str">
        <x:v>0</x:v>
      </x:c>
      <x:c r="W81" s="6" t="str"/>
      <x:c r="X81" s="6" t="str">
        <x:v>0</x:v>
      </x:c>
      <x:c r="Y81" s="6" t="str"/>
      <x:c r="Z81" s="6" t="str">
        <x:v>0</x:v>
      </x:c>
      <x:c r="AA81" s="6" t="str"/>
      <x:c r="AB81" s="6" t="str">
        <x:v>0</x:v>
      </x:c>
      <x:c r="AC81" s="6" t="str">
        <x:v>2024-08</x:v>
      </x:c>
      <x:c r="AD81" s="9" t="str">
        <x:v>BNPB operational disaster search table</x:v>
      </x:c>
      <x:c r="AE81" s="9" t="str">
        <x:v>https://gis.bnpb.go.id/databencana/tabel/pencarian.php</x:v>
      </x:c>
      <x:c r="AF81" s="9" t="str">
        <x:v>operational_snapshot_annual_totals_may_differ</x:v>
      </x:c>
    </x:row>
    <x:row r="82" ht="18" customHeight="1">
      <x:c r="A82" s="6" t="str">
        <x:v>14</x:v>
      </x:c>
      <x:c r="B82" s="6" t="str">
        <x:v>RIAU</x:v>
      </x:c>
      <x:c r="C82" s="6" t="str">
        <x:v>2024</x:v>
      </x:c>
      <x:c r="D82" s="6" t="str">
        <x:v>9</x:v>
      </x:c>
      <x:c r="E82" s="6" t="str">
        <x:v>0</x:v>
      </x:c>
      <x:c r="F82" s="6" t="str">
        <x:v>0</x:v>
      </x:c>
      <x:c r="G82" s="6" t="str">
        <x:v>0</x:v>
      </x:c>
      <x:c r="H82" s="6" t="str">
        <x:v>0</x:v>
      </x:c>
      <x:c r="I82" s="6" t="str">
        <x:v>0</x:v>
      </x:c>
      <x:c r="J82" s="6" t="str">
        <x:v>0</x:v>
      </x:c>
      <x:c r="K82" s="6" t="str">
        <x:v>0</x:v>
      </x:c>
      <x:c r="L82" s="6" t="str">
        <x:v>0</x:v>
      </x:c>
      <x:c r="M82" s="6" t="str">
        <x:v>0</x:v>
      </x:c>
      <x:c r="N82" s="6" t="str">
        <x:v>0</x:v>
      </x:c>
      <x:c r="O82" s="6" t="str">
        <x:v>0</x:v>
      </x:c>
      <x:c r="P82" s="6" t="str">
        <x:v>0</x:v>
      </x:c>
      <x:c r="Q82" s="6" t="str"/>
      <x:c r="R82" s="6" t="str">
        <x:v>0</x:v>
      </x:c>
      <x:c r="S82" s="6" t="str"/>
      <x:c r="T82" s="6" t="str">
        <x:v>0</x:v>
      </x:c>
      <x:c r="U82" s="6" t="str"/>
      <x:c r="V82" s="6" t="str">
        <x:v>0</x:v>
      </x:c>
      <x:c r="W82" s="6" t="str"/>
      <x:c r="X82" s="6" t="str">
        <x:v>0</x:v>
      </x:c>
      <x:c r="Y82" s="6" t="str"/>
      <x:c r="Z82" s="6" t="str">
        <x:v>0</x:v>
      </x:c>
      <x:c r="AA82" s="6" t="str"/>
      <x:c r="AB82" s="6" t="str">
        <x:v>0</x:v>
      </x:c>
      <x:c r="AC82" s="6" t="str">
        <x:v>2024-09</x:v>
      </x:c>
      <x:c r="AD82" s="9" t="str">
        <x:v>BNPB operational disaster search table</x:v>
      </x:c>
      <x:c r="AE82" s="9" t="str">
        <x:v>https://gis.bnpb.go.id/databencana/tabel/pencarian.php</x:v>
      </x:c>
      <x:c r="AF82" s="9" t="str">
        <x:v>operational_snapshot_annual_totals_may_differ</x:v>
      </x:c>
    </x:row>
    <x:row r="83" ht="18" customHeight="1">
      <x:c r="A83" s="6" t="str">
        <x:v>14</x:v>
      </x:c>
      <x:c r="B83" s="6" t="str">
        <x:v>RIAU</x:v>
      </x:c>
      <x:c r="C83" s="6" t="str">
        <x:v>2024</x:v>
      </x:c>
      <x:c r="D83" s="6" t="str">
        <x:v>10</x:v>
      </x:c>
      <x:c r="E83" s="6" t="str">
        <x:v>5</x:v>
      </x:c>
      <x:c r="F83" s="6" t="str">
        <x:v>5</x:v>
      </x:c>
      <x:c r="G83" s="6" t="str">
        <x:v>4</x:v>
      </x:c>
      <x:c r="H83" s="6" t="str">
        <x:v>0</x:v>
      </x:c>
      <x:c r="I83" s="6" t="str">
        <x:v>1</x:v>
      </x:c>
      <x:c r="J83" s="6" t="str">
        <x:v>0</x:v>
      </x:c>
      <x:c r="K83" s="6" t="str">
        <x:v>0</x:v>
      </x:c>
      <x:c r="L83" s="6" t="str">
        <x:v>0</x:v>
      </x:c>
      <x:c r="M83" s="6" t="str">
        <x:v>0</x:v>
      </x:c>
      <x:c r="N83" s="6" t="str">
        <x:v>0</x:v>
      </x:c>
      <x:c r="O83" s="6" t="str">
        <x:v>0</x:v>
      </x:c>
      <x:c r="P83" s="6" t="str">
        <x:v>5</x:v>
      </x:c>
      <x:c r="Q83" s="6" t="str">
        <x:v>0.0</x:v>
      </x:c>
      <x:c r="R83" s="6" t="str">
        <x:v>5</x:v>
      </x:c>
      <x:c r="S83" s="6" t="str">
        <x:v>0.0</x:v>
      </x:c>
      <x:c r="T83" s="6" t="str">
        <x:v>5</x:v>
      </x:c>
      <x:c r="U83" s="6" t="str">
        <x:v>0.0</x:v>
      </x:c>
      <x:c r="V83" s="6" t="str">
        <x:v>5</x:v>
      </x:c>
      <x:c r="W83" s="6" t="str">
        <x:v>60.0</x:v>
      </x:c>
      <x:c r="X83" s="6" t="str">
        <x:v>5</x:v>
      </x:c>
      <x:c r="Y83" s="6" t="str">
        <x:v>7826.0</x:v>
      </x:c>
      <x:c r="Z83" s="6" t="str">
        <x:v>4</x:v>
      </x:c>
      <x:c r="AA83" s="6" t="str">
        <x:v>7.0</x:v>
      </x:c>
      <x:c r="AB83" s="6" t="str">
        <x:v>5</x:v>
      </x:c>
      <x:c r="AC83" s="6" t="str">
        <x:v>2024-10</x:v>
      </x:c>
      <x:c r="AD83" s="9" t="str">
        <x:v>BNPB operational disaster search table</x:v>
      </x:c>
      <x:c r="AE83" s="9" t="str">
        <x:v>https://gis.bnpb.go.id/databencana/tabel/pencarian.php</x:v>
      </x:c>
      <x:c r="AF83" s="9" t="str">
        <x:v>operational_snapshot_annual_totals_may_differ</x:v>
      </x:c>
    </x:row>
    <x:row r="84" ht="18" customHeight="1">
      <x:c r="A84" s="6" t="str">
        <x:v>14</x:v>
      </x:c>
      <x:c r="B84" s="6" t="str">
        <x:v>RIAU</x:v>
      </x:c>
      <x:c r="C84" s="6" t="str">
        <x:v>2024</x:v>
      </x:c>
      <x:c r="D84" s="6" t="str">
        <x:v>11</x:v>
      </x:c>
      <x:c r="E84" s="6" t="str">
        <x:v>6</x:v>
      </x:c>
      <x:c r="F84" s="6" t="str">
        <x:v>6</x:v>
      </x:c>
      <x:c r="G84" s="6" t="str">
        <x:v>6</x:v>
      </x:c>
      <x:c r="H84" s="6" t="str">
        <x:v>0</x:v>
      </x:c>
      <x:c r="I84" s="6" t="str">
        <x:v>0</x:v>
      </x:c>
      <x:c r="J84" s="6" t="str">
        <x:v>0</x:v>
      </x:c>
      <x:c r="K84" s="6" t="str">
        <x:v>0</x:v>
      </x:c>
      <x:c r="L84" s="6" t="str">
        <x:v>0</x:v>
      </x:c>
      <x:c r="M84" s="6" t="str">
        <x:v>0</x:v>
      </x:c>
      <x:c r="N84" s="6" t="str">
        <x:v>0</x:v>
      </x:c>
      <x:c r="O84" s="6" t="str">
        <x:v>0</x:v>
      </x:c>
      <x:c r="P84" s="6" t="str">
        <x:v>6</x:v>
      </x:c>
      <x:c r="Q84" s="6" t="str">
        <x:v>0.0</x:v>
      </x:c>
      <x:c r="R84" s="6" t="str">
        <x:v>6</x:v>
      </x:c>
      <x:c r="S84" s="6" t="str">
        <x:v>0.0</x:v>
      </x:c>
      <x:c r="T84" s="6" t="str">
        <x:v>6</x:v>
      </x:c>
      <x:c r="U84" s="6" t="str">
        <x:v>0.0</x:v>
      </x:c>
      <x:c r="V84" s="6" t="str">
        <x:v>6</x:v>
      </x:c>
      <x:c r="W84" s="6" t="str">
        <x:v>0.0</x:v>
      </x:c>
      <x:c r="X84" s="6" t="str">
        <x:v>6</x:v>
      </x:c>
      <x:c r="Y84" s="6" t="str">
        <x:v>843.0</x:v>
      </x:c>
      <x:c r="Z84" s="6" t="str">
        <x:v>5</x:v>
      </x:c>
      <x:c r="AA84" s="6" t="str">
        <x:v>0.0</x:v>
      </x:c>
      <x:c r="AB84" s="6" t="str">
        <x:v>6</x:v>
      </x:c>
      <x:c r="AC84" s="6" t="str">
        <x:v>2024-11</x:v>
      </x:c>
      <x:c r="AD84" s="9" t="str">
        <x:v>BNPB operational disaster search table</x:v>
      </x:c>
      <x:c r="AE84" s="9" t="str">
        <x:v>https://gis.bnpb.go.id/databencana/tabel/pencarian.php</x:v>
      </x:c>
      <x:c r="AF84" s="9" t="str">
        <x:v>operational_snapshot_annual_totals_may_differ</x:v>
      </x:c>
    </x:row>
    <x:row r="85" ht="18" customHeight="1">
      <x:c r="A85" s="6" t="str">
        <x:v>14</x:v>
      </x:c>
      <x:c r="B85" s="6" t="str">
        <x:v>RIAU</x:v>
      </x:c>
      <x:c r="C85" s="6" t="str">
        <x:v>2024</x:v>
      </x:c>
      <x:c r="D85" s="6" t="str">
        <x:v>12</x:v>
      </x:c>
      <x:c r="E85" s="6" t="str">
        <x:v>9</x:v>
      </x:c>
      <x:c r="F85" s="6" t="str">
        <x:v>9</x:v>
      </x:c>
      <x:c r="G85" s="6" t="str">
        <x:v>7</x:v>
      </x:c>
      <x:c r="H85" s="6" t="str">
        <x:v>1</x:v>
      </x:c>
      <x:c r="I85" s="6" t="str">
        <x:v>1</x:v>
      </x:c>
      <x:c r="J85" s="6" t="str">
        <x:v>0</x:v>
      </x:c>
      <x:c r="K85" s="6" t="str">
        <x:v>0</x:v>
      </x:c>
      <x:c r="L85" s="6" t="str">
        <x:v>0</x:v>
      </x:c>
      <x:c r="M85" s="6" t="str">
        <x:v>0</x:v>
      </x:c>
      <x:c r="N85" s="6" t="str">
        <x:v>0</x:v>
      </x:c>
      <x:c r="O85" s="6" t="str">
        <x:v>0</x:v>
      </x:c>
      <x:c r="P85" s="6" t="str">
        <x:v>9</x:v>
      </x:c>
      <x:c r="Q85" s="6" t="str">
        <x:v>0.0</x:v>
      </x:c>
      <x:c r="R85" s="6" t="str">
        <x:v>9</x:v>
      </x:c>
      <x:c r="S85" s="6" t="str">
        <x:v>0.0</x:v>
      </x:c>
      <x:c r="T85" s="6" t="str">
        <x:v>9</x:v>
      </x:c>
      <x:c r="U85" s="6" t="str">
        <x:v>0.0</x:v>
      </x:c>
      <x:c r="V85" s="6" t="str">
        <x:v>9</x:v>
      </x:c>
      <x:c r="W85" s="6" t="str">
        <x:v>135.0</x:v>
      </x:c>
      <x:c r="X85" s="6" t="str">
        <x:v>9</x:v>
      </x:c>
      <x:c r="Y85" s="6" t="str">
        <x:v>952.0</x:v>
      </x:c>
      <x:c r="Z85" s="6" t="str">
        <x:v>5</x:v>
      </x:c>
      <x:c r="AA85" s="6" t="str">
        <x:v>1.0</x:v>
      </x:c>
      <x:c r="AB85" s="6" t="str">
        <x:v>9</x:v>
      </x:c>
      <x:c r="AC85" s="6" t="str">
        <x:v>2024-12</x:v>
      </x:c>
      <x:c r="AD85" s="9" t="str">
        <x:v>BNPB operational disaster search table</x:v>
      </x:c>
      <x:c r="AE85" s="9" t="str">
        <x:v>https://gis.bnpb.go.id/databencana/tabel/pencarian.php</x:v>
      </x:c>
      <x:c r="AF85" s="9" t="str">
        <x:v>operational_snapshot_annual_totals_may_differ</x:v>
      </x:c>
    </x:row>
    <x:row r="86" ht="18" customHeight="1">
      <x:c r="A86" s="6" t="str">
        <x:v>14</x:v>
      </x:c>
      <x:c r="B86" s="6" t="str">
        <x:v>RIAU</x:v>
      </x:c>
      <x:c r="C86" s="6" t="str">
        <x:v>2025</x:v>
      </x:c>
      <x:c r="D86" s="6" t="str">
        <x:v>1</x:v>
      </x:c>
      <x:c r="E86" s="6" t="str">
        <x:v>26</x:v>
      </x:c>
      <x:c r="F86" s="6" t="str">
        <x:v>26</x:v>
      </x:c>
      <x:c r="G86" s="6" t="str">
        <x:v>26</x:v>
      </x:c>
      <x:c r="H86" s="6" t="str">
        <x:v>0</x:v>
      </x:c>
      <x:c r="I86" s="6" t="str">
        <x:v>0</x:v>
      </x:c>
      <x:c r="J86" s="6" t="str">
        <x:v>0</x:v>
      </x:c>
      <x:c r="K86" s="6" t="str">
        <x:v>0</x:v>
      </x:c>
      <x:c r="L86" s="6" t="str">
        <x:v>0</x:v>
      </x:c>
      <x:c r="M86" s="6" t="str">
        <x:v>0</x:v>
      </x:c>
      <x:c r="N86" s="6" t="str">
        <x:v>0</x:v>
      </x:c>
      <x:c r="O86" s="6" t="str">
        <x:v>0</x:v>
      </x:c>
      <x:c r="P86" s="6" t="str">
        <x:v>26</x:v>
      </x:c>
      <x:c r="Q86" s="6" t="str">
        <x:v>0.0</x:v>
      </x:c>
      <x:c r="R86" s="6" t="str">
        <x:v>26</x:v>
      </x:c>
      <x:c r="S86" s="6" t="str">
        <x:v>0.0</x:v>
      </x:c>
      <x:c r="T86" s="6" t="str">
        <x:v>26</x:v>
      </x:c>
      <x:c r="U86" s="6" t="str">
        <x:v>0.0</x:v>
      </x:c>
      <x:c r="V86" s="6" t="str">
        <x:v>26</x:v>
      </x:c>
      <x:c r="W86" s="6" t="str">
        <x:v>14.0</x:v>
      </x:c>
      <x:c r="X86" s="6" t="str">
        <x:v>26</x:v>
      </x:c>
      <x:c r="Y86" s="6" t="str">
        <x:v>13570.0</x:v>
      </x:c>
      <x:c r="Z86" s="6" t="str">
        <x:v>26</x:v>
      </x:c>
      <x:c r="AA86" s="6" t="str">
        <x:v>0.0</x:v>
      </x:c>
      <x:c r="AB86" s="6" t="str">
        <x:v>26</x:v>
      </x:c>
      <x:c r="AC86" s="6" t="str">
        <x:v>2025-01</x:v>
      </x:c>
      <x:c r="AD86" s="9" t="str">
        <x:v>BNPB operational disaster search table</x:v>
      </x:c>
      <x:c r="AE86" s="9" t="str">
        <x:v>https://gis.bnpb.go.id/databencana/tabel/pencarian.php</x:v>
      </x:c>
      <x:c r="AF86" s="9" t="str">
        <x:v>operational_snapshot_annual_totals_may_differ</x:v>
      </x:c>
    </x:row>
    <x:row r="87" ht="18" customHeight="1">
      <x:c r="A87" s="6" t="str">
        <x:v>14</x:v>
      </x:c>
      <x:c r="B87" s="6" t="str">
        <x:v>RIAU</x:v>
      </x:c>
      <x:c r="C87" s="6" t="str">
        <x:v>2025</x:v>
      </x:c>
      <x:c r="D87" s="6" t="str">
        <x:v>2</x:v>
      </x:c>
      <x:c r="E87" s="6" t="str">
        <x:v>35</x:v>
      </x:c>
      <x:c r="F87" s="6" t="str">
        <x:v>35</x:v>
      </x:c>
      <x:c r="G87" s="6" t="str">
        <x:v>8</x:v>
      </x:c>
      <x:c r="H87" s="6" t="str">
        <x:v>0</x:v>
      </x:c>
      <x:c r="I87" s="6" t="str">
        <x:v>0</x:v>
      </x:c>
      <x:c r="J87" s="6" t="str">
        <x:v>0</x:v>
      </x:c>
      <x:c r="K87" s="6" t="str">
        <x:v>27</x:v>
      </x:c>
      <x:c r="L87" s="6" t="str">
        <x:v>0</x:v>
      </x:c>
      <x:c r="M87" s="6" t="str">
        <x:v>0</x:v>
      </x:c>
      <x:c r="N87" s="6" t="str">
        <x:v>0</x:v>
      </x:c>
      <x:c r="O87" s="6" t="str">
        <x:v>0</x:v>
      </x:c>
      <x:c r="P87" s="6" t="str">
        <x:v>35</x:v>
      </x:c>
      <x:c r="Q87" s="6" t="str">
        <x:v>0.0</x:v>
      </x:c>
      <x:c r="R87" s="6" t="str">
        <x:v>35</x:v>
      </x:c>
      <x:c r="S87" s="6" t="str">
        <x:v>0.0</x:v>
      </x:c>
      <x:c r="T87" s="6" t="str">
        <x:v>35</x:v>
      </x:c>
      <x:c r="U87" s="6" t="str">
        <x:v>1.0</x:v>
      </x:c>
      <x:c r="V87" s="6" t="str">
        <x:v>35</x:v>
      </x:c>
      <x:c r="W87" s="6" t="str">
        <x:v>0.0</x:v>
      </x:c>
      <x:c r="X87" s="6" t="str">
        <x:v>35</x:v>
      </x:c>
      <x:c r="Y87" s="6" t="str">
        <x:v>8482.0</x:v>
      </x:c>
      <x:c r="Z87" s="6" t="str">
        <x:v>8</x:v>
      </x:c>
      <x:c r="AA87" s="6" t="str">
        <x:v>0.0</x:v>
      </x:c>
      <x:c r="AB87" s="6" t="str">
        <x:v>35</x:v>
      </x:c>
      <x:c r="AC87" s="6" t="str">
        <x:v>2025-02</x:v>
      </x:c>
      <x:c r="AD87" s="9" t="str">
        <x:v>BNPB operational disaster search table</x:v>
      </x:c>
      <x:c r="AE87" s="9" t="str">
        <x:v>https://gis.bnpb.go.id/databencana/tabel/pencarian.php</x:v>
      </x:c>
      <x:c r="AF87" s="9" t="str">
        <x:v>operational_snapshot_annual_totals_may_differ</x:v>
      </x:c>
    </x:row>
    <x:row r="88" ht="18" customHeight="1">
      <x:c r="A88" s="6" t="str">
        <x:v>14</x:v>
      </x:c>
      <x:c r="B88" s="6" t="str">
        <x:v>RIAU</x:v>
      </x:c>
      <x:c r="C88" s="6" t="str">
        <x:v>2025</x:v>
      </x:c>
      <x:c r="D88" s="6" t="str">
        <x:v>3</x:v>
      </x:c>
      <x:c r="E88" s="6" t="str">
        <x:v>32</x:v>
      </x:c>
      <x:c r="F88" s="6" t="str">
        <x:v>32</x:v>
      </x:c>
      <x:c r="G88" s="6" t="str">
        <x:v>30</x:v>
      </x:c>
      <x:c r="H88" s="6" t="str">
        <x:v>0</x:v>
      </x:c>
      <x:c r="I88" s="6" t="str">
        <x:v>0</x:v>
      </x:c>
      <x:c r="J88" s="6" t="str">
        <x:v>0</x:v>
      </x:c>
      <x:c r="K88" s="6" t="str">
        <x:v>2</x:v>
      </x:c>
      <x:c r="L88" s="6" t="str">
        <x:v>0</x:v>
      </x:c>
      <x:c r="M88" s="6" t="str">
        <x:v>0</x:v>
      </x:c>
      <x:c r="N88" s="6" t="str">
        <x:v>0</x:v>
      </x:c>
      <x:c r="O88" s="6" t="str">
        <x:v>0</x:v>
      </x:c>
      <x:c r="P88" s="6" t="str">
        <x:v>32</x:v>
      </x:c>
      <x:c r="Q88" s="6" t="str">
        <x:v>0.0</x:v>
      </x:c>
      <x:c r="R88" s="6" t="str">
        <x:v>32</x:v>
      </x:c>
      <x:c r="S88" s="6" t="str">
        <x:v>0.0</x:v>
      </x:c>
      <x:c r="T88" s="6" t="str">
        <x:v>32</x:v>
      </x:c>
      <x:c r="U88" s="6" t="str">
        <x:v>0.0</x:v>
      </x:c>
      <x:c r="V88" s="6" t="str">
        <x:v>32</x:v>
      </x:c>
      <x:c r="W88" s="6" t="str">
        <x:v>0.0</x:v>
      </x:c>
      <x:c r="X88" s="6" t="str">
        <x:v>32</x:v>
      </x:c>
      <x:c r="Y88" s="6" t="str">
        <x:v>23876.0</x:v>
      </x:c>
      <x:c r="Z88" s="6" t="str">
        <x:v>30</x:v>
      </x:c>
      <x:c r="AA88" s="6" t="str">
        <x:v>0.0</x:v>
      </x:c>
      <x:c r="AB88" s="6" t="str">
        <x:v>32</x:v>
      </x:c>
      <x:c r="AC88" s="6" t="str">
        <x:v>2025-03</x:v>
      </x:c>
      <x:c r="AD88" s="9" t="str">
        <x:v>BNPB operational disaster search table</x:v>
      </x:c>
      <x:c r="AE88" s="9" t="str">
        <x:v>https://gis.bnpb.go.id/databencana/tabel/pencarian.php</x:v>
      </x:c>
      <x:c r="AF88" s="9" t="str">
        <x:v>operational_snapshot_annual_totals_may_differ</x:v>
      </x:c>
    </x:row>
    <x:row r="89" ht="18" customHeight="1">
      <x:c r="A89" s="6" t="str">
        <x:v>14</x:v>
      </x:c>
      <x:c r="B89" s="6" t="str">
        <x:v>RIAU</x:v>
      </x:c>
      <x:c r="C89" s="6" t="str">
        <x:v>2025</x:v>
      </x:c>
      <x:c r="D89" s="6" t="str">
        <x:v>4</x:v>
      </x:c>
      <x:c r="E89" s="6" t="str">
        <x:v>5</x:v>
      </x:c>
      <x:c r="F89" s="6" t="str">
        <x:v>5</x:v>
      </x:c>
      <x:c r="G89" s="6" t="str">
        <x:v>4</x:v>
      </x:c>
      <x:c r="H89" s="6" t="str">
        <x:v>0</x:v>
      </x:c>
      <x:c r="I89" s="6" t="str">
        <x:v>0</x:v>
      </x:c>
      <x:c r="J89" s="6" t="str">
        <x:v>0</x:v>
      </x:c>
      <x:c r="K89" s="6" t="str">
        <x:v>1</x:v>
      </x:c>
      <x:c r="L89" s="6" t="str">
        <x:v>0</x:v>
      </x:c>
      <x:c r="M89" s="6" t="str">
        <x:v>0</x:v>
      </x:c>
      <x:c r="N89" s="6" t="str">
        <x:v>0</x:v>
      </x:c>
      <x:c r="O89" s="6" t="str">
        <x:v>0</x:v>
      </x:c>
      <x:c r="P89" s="6" t="str">
        <x:v>5</x:v>
      </x:c>
      <x:c r="Q89" s="6" t="str">
        <x:v>0.0</x:v>
      </x:c>
      <x:c r="R89" s="6" t="str">
        <x:v>5</x:v>
      </x:c>
      <x:c r="S89" s="6" t="str">
        <x:v>0.0</x:v>
      </x:c>
      <x:c r="T89" s="6" t="str">
        <x:v>5</x:v>
      </x:c>
      <x:c r="U89" s="6" t="str">
        <x:v>0.0</x:v>
      </x:c>
      <x:c r="V89" s="6" t="str">
        <x:v>5</x:v>
      </x:c>
      <x:c r="W89" s="6" t="str">
        <x:v>0.0</x:v>
      </x:c>
      <x:c r="X89" s="6" t="str">
        <x:v>5</x:v>
      </x:c>
      <x:c r="Y89" s="6" t="str">
        <x:v>868.0</x:v>
      </x:c>
      <x:c r="Z89" s="6" t="str">
        <x:v>4</x:v>
      </x:c>
      <x:c r="AA89" s="6" t="str">
        <x:v>0.0</x:v>
      </x:c>
      <x:c r="AB89" s="6" t="str">
        <x:v>5</x:v>
      </x:c>
      <x:c r="AC89" s="6" t="str">
        <x:v>2025-04</x:v>
      </x:c>
      <x:c r="AD89" s="9" t="str">
        <x:v>BNPB operational disaster search table</x:v>
      </x:c>
      <x:c r="AE89" s="9" t="str">
        <x:v>https://gis.bnpb.go.id/databencana/tabel/pencarian.php</x:v>
      </x:c>
      <x:c r="AF89" s="9" t="str">
        <x:v>operational_snapshot_annual_totals_may_differ</x:v>
      </x:c>
    </x:row>
    <x:row r="90" ht="18" customHeight="1">
      <x:c r="A90" s="6" t="str">
        <x:v>14</x:v>
      </x:c>
      <x:c r="B90" s="6" t="str">
        <x:v>RIAU</x:v>
      </x:c>
      <x:c r="C90" s="6" t="str">
        <x:v>2025</x:v>
      </x:c>
      <x:c r="D90" s="6" t="str">
        <x:v>5</x:v>
      </x:c>
      <x:c r="E90" s="6" t="str">
        <x:v>4</x:v>
      </x:c>
      <x:c r="F90" s="6" t="str">
        <x:v>4</x:v>
      </x:c>
      <x:c r="G90" s="6" t="str">
        <x:v>2</x:v>
      </x:c>
      <x:c r="H90" s="6" t="str">
        <x:v>0</x:v>
      </x:c>
      <x:c r="I90" s="6" t="str">
        <x:v>1</x:v>
      </x:c>
      <x:c r="J90" s="6" t="str">
        <x:v>0</x:v>
      </x:c>
      <x:c r="K90" s="6" t="str">
        <x:v>1</x:v>
      </x:c>
      <x:c r="L90" s="6" t="str">
        <x:v>0</x:v>
      </x:c>
      <x:c r="M90" s="6" t="str">
        <x:v>0</x:v>
      </x:c>
      <x:c r="N90" s="6" t="str">
        <x:v>0</x:v>
      </x:c>
      <x:c r="O90" s="6" t="str">
        <x:v>0</x:v>
      </x:c>
      <x:c r="P90" s="6" t="str">
        <x:v>4</x:v>
      </x:c>
      <x:c r="Q90" s="6" t="str">
        <x:v>0.0</x:v>
      </x:c>
      <x:c r="R90" s="6" t="str">
        <x:v>4</x:v>
      </x:c>
      <x:c r="S90" s="6" t="str">
        <x:v>0.0</x:v>
      </x:c>
      <x:c r="T90" s="6" t="str">
        <x:v>4</x:v>
      </x:c>
      <x:c r="U90" s="6" t="str">
        <x:v>0.0</x:v>
      </x:c>
      <x:c r="V90" s="6" t="str">
        <x:v>4</x:v>
      </x:c>
      <x:c r="W90" s="6" t="str">
        <x:v>18.0</x:v>
      </x:c>
      <x:c r="X90" s="6" t="str">
        <x:v>4</x:v>
      </x:c>
      <x:c r="Y90" s="6" t="str">
        <x:v>209.0</x:v>
      </x:c>
      <x:c r="Z90" s="6" t="str">
        <x:v>2</x:v>
      </x:c>
      <x:c r="AA90" s="6" t="str">
        <x:v>0.0</x:v>
      </x:c>
      <x:c r="AB90" s="6" t="str">
        <x:v>4</x:v>
      </x:c>
      <x:c r="AC90" s="6" t="str">
        <x:v>2025-05</x:v>
      </x:c>
      <x:c r="AD90" s="9" t="str">
        <x:v>BNPB operational disaster search table</x:v>
      </x:c>
      <x:c r="AE90" s="9" t="str">
        <x:v>https://gis.bnpb.go.id/databencana/tabel/pencarian.php</x:v>
      </x:c>
      <x:c r="AF90" s="9" t="str">
        <x:v>operational_snapshot_annual_totals_may_differ</x:v>
      </x:c>
    </x:row>
    <x:row r="91" ht="18" customHeight="1">
      <x:c r="A91" s="6" t="str">
        <x:v>14</x:v>
      </x:c>
      <x:c r="B91" s="6" t="str">
        <x:v>RIAU</x:v>
      </x:c>
      <x:c r="C91" s="6" t="str">
        <x:v>2025</x:v>
      </x:c>
      <x:c r="D91" s="6" t="str">
        <x:v>6</x:v>
      </x:c>
      <x:c r="E91" s="6" t="str">
        <x:v>21</x:v>
      </x:c>
      <x:c r="F91" s="6" t="str">
        <x:v>21</x:v>
      </x:c>
      <x:c r="G91" s="6" t="str">
        <x:v>0</x:v>
      </x:c>
      <x:c r="H91" s="6" t="str">
        <x:v>0</x:v>
      </x:c>
      <x:c r="I91" s="6" t="str">
        <x:v>0</x:v>
      </x:c>
      <x:c r="J91" s="6" t="str">
        <x:v>0</x:v>
      </x:c>
      <x:c r="K91" s="6" t="str">
        <x:v>21</x:v>
      </x:c>
      <x:c r="L91" s="6" t="str">
        <x:v>0</x:v>
      </x:c>
      <x:c r="M91" s="6" t="str">
        <x:v>0</x:v>
      </x:c>
      <x:c r="N91" s="6" t="str">
        <x:v>0</x:v>
      </x:c>
      <x:c r="O91" s="6" t="str">
        <x:v>0</x:v>
      </x:c>
      <x:c r="P91" s="6" t="str">
        <x:v>21</x:v>
      </x:c>
      <x:c r="Q91" s="6" t="str"/>
      <x:c r="R91" s="6" t="str">
        <x:v>0</x:v>
      </x:c>
      <x:c r="S91" s="6" t="str"/>
      <x:c r="T91" s="6" t="str">
        <x:v>0</x:v>
      </x:c>
      <x:c r="U91" s="6" t="str"/>
      <x:c r="V91" s="6" t="str">
        <x:v>0</x:v>
      </x:c>
      <x:c r="W91" s="6" t="str">
        <x:v>0.0</x:v>
      </x:c>
      <x:c r="X91" s="6" t="str">
        <x:v>21</x:v>
      </x:c>
      <x:c r="Y91" s="6" t="str"/>
      <x:c r="Z91" s="6" t="str">
        <x:v>0</x:v>
      </x:c>
      <x:c r="AA91" s="6" t="str">
        <x:v>0.0</x:v>
      </x:c>
      <x:c r="AB91" s="6" t="str">
        <x:v>21</x:v>
      </x:c>
      <x:c r="AC91" s="6" t="str">
        <x:v>2025-06</x:v>
      </x:c>
      <x:c r="AD91" s="9" t="str">
        <x:v>BNPB operational disaster search table</x:v>
      </x:c>
      <x:c r="AE91" s="9" t="str">
        <x:v>https://gis.bnpb.go.id/databencana/tabel/pencarian.php</x:v>
      </x:c>
      <x:c r="AF91" s="9" t="str">
        <x:v>operational_snapshot_annual_totals_may_differ</x:v>
      </x:c>
    </x:row>
    <x:row r="92" ht="18" customHeight="1">
      <x:c r="A92" s="6" t="str">
        <x:v>14</x:v>
      </x:c>
      <x:c r="B92" s="6" t="str">
        <x:v>RIAU</x:v>
      </x:c>
      <x:c r="C92" s="6" t="str">
        <x:v>2025</x:v>
      </x:c>
      <x:c r="D92" s="6" t="str">
        <x:v>7</x:v>
      </x:c>
      <x:c r="E92" s="6" t="str">
        <x:v>83</x:v>
      </x:c>
      <x:c r="F92" s="6" t="str">
        <x:v>83</x:v>
      </x:c>
      <x:c r="G92" s="6" t="str">
        <x:v>0</x:v>
      </x:c>
      <x:c r="H92" s="6" t="str">
        <x:v>0</x:v>
      </x:c>
      <x:c r="I92" s="6" t="str">
        <x:v>1</x:v>
      </x:c>
      <x:c r="J92" s="6" t="str">
        <x:v>0</x:v>
      </x:c>
      <x:c r="K92" s="6" t="str">
        <x:v>82</x:v>
      </x:c>
      <x:c r="L92" s="6" t="str">
        <x:v>0</x:v>
      </x:c>
      <x:c r="M92" s="6" t="str">
        <x:v>0</x:v>
      </x:c>
      <x:c r="N92" s="6" t="str">
        <x:v>0</x:v>
      </x:c>
      <x:c r="O92" s="6" t="str">
        <x:v>0</x:v>
      </x:c>
      <x:c r="P92" s="6" t="str">
        <x:v>83</x:v>
      </x:c>
      <x:c r="Q92" s="6" t="str"/>
      <x:c r="R92" s="6" t="str">
        <x:v>0</x:v>
      </x:c>
      <x:c r="S92" s="6" t="str"/>
      <x:c r="T92" s="6" t="str">
        <x:v>0</x:v>
      </x:c>
      <x:c r="U92" s="6" t="str"/>
      <x:c r="V92" s="6" t="str">
        <x:v>0</x:v>
      </x:c>
      <x:c r="W92" s="6" t="str">
        <x:v>64.0</x:v>
      </x:c>
      <x:c r="X92" s="6" t="str">
        <x:v>83</x:v>
      </x:c>
      <x:c r="Y92" s="6" t="str"/>
      <x:c r="Z92" s="6" t="str">
        <x:v>0</x:v>
      </x:c>
      <x:c r="AA92" s="6" t="str">
        <x:v>9.0</x:v>
      </x:c>
      <x:c r="AB92" s="6" t="str">
        <x:v>83</x:v>
      </x:c>
      <x:c r="AC92" s="6" t="str">
        <x:v>2025-07</x:v>
      </x:c>
      <x:c r="AD92" s="9" t="str">
        <x:v>BNPB operational disaster search table</x:v>
      </x:c>
      <x:c r="AE92" s="9" t="str">
        <x:v>https://gis.bnpb.go.id/databencana/tabel/pencarian.php</x:v>
      </x:c>
      <x:c r="AF92" s="9" t="str">
        <x:v>operational_snapshot_annual_totals_may_differ</x:v>
      </x:c>
    </x:row>
    <x:row r="93" ht="18" customHeight="1">
      <x:c r="A93" s="6" t="str">
        <x:v>14</x:v>
      </x:c>
      <x:c r="B93" s="6" t="str">
        <x:v>RIAU</x:v>
      </x:c>
      <x:c r="C93" s="6" t="str">
        <x:v>2025</x:v>
      </x:c>
      <x:c r="D93" s="6" t="str">
        <x:v>8</x:v>
      </x:c>
      <x:c r="E93" s="6" t="str">
        <x:v>37</x:v>
      </x:c>
      <x:c r="F93" s="6" t="str">
        <x:v>37</x:v>
      </x:c>
      <x:c r="G93" s="6" t="str">
        <x:v>0</x:v>
      </x:c>
      <x:c r="H93" s="6" t="str">
        <x:v>0</x:v>
      </x:c>
      <x:c r="I93" s="6" t="str">
        <x:v>0</x:v>
      </x:c>
      <x:c r="J93" s="6" t="str">
        <x:v>0</x:v>
      </x:c>
      <x:c r="K93" s="6" t="str">
        <x:v>37</x:v>
      </x:c>
      <x:c r="L93" s="6" t="str">
        <x:v>0</x:v>
      </x:c>
      <x:c r="M93" s="6" t="str">
        <x:v>0</x:v>
      </x:c>
      <x:c r="N93" s="6" t="str">
        <x:v>0</x:v>
      </x:c>
      <x:c r="O93" s="6" t="str">
        <x:v>0</x:v>
      </x:c>
      <x:c r="P93" s="6" t="str">
        <x:v>37</x:v>
      </x:c>
      <x:c r="Q93" s="6" t="str"/>
      <x:c r="R93" s="6" t="str">
        <x:v>0</x:v>
      </x:c>
      <x:c r="S93" s="6" t="str"/>
      <x:c r="T93" s="6" t="str">
        <x:v>0</x:v>
      </x:c>
      <x:c r="U93" s="6" t="str"/>
      <x:c r="V93" s="6" t="str">
        <x:v>0</x:v>
      </x:c>
      <x:c r="W93" s="6" t="str">
        <x:v>0.0</x:v>
      </x:c>
      <x:c r="X93" s="6" t="str">
        <x:v>37</x:v>
      </x:c>
      <x:c r="Y93" s="6" t="str"/>
      <x:c r="Z93" s="6" t="str">
        <x:v>0</x:v>
      </x:c>
      <x:c r="AA93" s="6" t="str">
        <x:v>0.0</x:v>
      </x:c>
      <x:c r="AB93" s="6" t="str">
        <x:v>37</x:v>
      </x:c>
      <x:c r="AC93" s="6" t="str">
        <x:v>2025-08</x:v>
      </x:c>
      <x:c r="AD93" s="9" t="str">
        <x:v>BNPB operational disaster search table</x:v>
      </x:c>
      <x:c r="AE93" s="9" t="str">
        <x:v>https://gis.bnpb.go.id/databencana/tabel/pencarian.php</x:v>
      </x:c>
      <x:c r="AF93" s="9" t="str">
        <x:v>operational_snapshot_annual_totals_may_differ</x:v>
      </x:c>
    </x:row>
    <x:row r="94" ht="18" customHeight="1">
      <x:c r="A94" s="6" t="str">
        <x:v>14</x:v>
      </x:c>
      <x:c r="B94" s="6" t="str">
        <x:v>RIAU</x:v>
      </x:c>
      <x:c r="C94" s="6" t="str">
        <x:v>2025</x:v>
      </x:c>
      <x:c r="D94" s="6" t="str">
        <x:v>9</x:v>
      </x:c>
      <x:c r="E94" s="6" t="str">
        <x:v>6</x:v>
      </x:c>
      <x:c r="F94" s="6" t="str">
        <x:v>6</x:v>
      </x:c>
      <x:c r="G94" s="6" t="str">
        <x:v>1</x:v>
      </x:c>
      <x:c r="H94" s="6" t="str">
        <x:v>0</x:v>
      </x:c>
      <x:c r="I94" s="6" t="str">
        <x:v>0</x:v>
      </x:c>
      <x:c r="J94" s="6" t="str">
        <x:v>0</x:v>
      </x:c>
      <x:c r="K94" s="6" t="str">
        <x:v>5</x:v>
      </x:c>
      <x:c r="L94" s="6" t="str">
        <x:v>0</x:v>
      </x:c>
      <x:c r="M94" s="6" t="str">
        <x:v>0</x:v>
      </x:c>
      <x:c r="N94" s="6" t="str">
        <x:v>0</x:v>
      </x:c>
      <x:c r="O94" s="6" t="str">
        <x:v>0</x:v>
      </x:c>
      <x:c r="P94" s="6" t="str">
        <x:v>6</x:v>
      </x:c>
      <x:c r="Q94" s="6" t="str"/>
      <x:c r="R94" s="6" t="str">
        <x:v>0</x:v>
      </x:c>
      <x:c r="S94" s="6" t="str"/>
      <x:c r="T94" s="6" t="str">
        <x:v>0</x:v>
      </x:c>
      <x:c r="U94" s="6" t="str"/>
      <x:c r="V94" s="6" t="str">
        <x:v>0</x:v>
      </x:c>
      <x:c r="W94" s="6" t="str">
        <x:v>0.0</x:v>
      </x:c>
      <x:c r="X94" s="6" t="str">
        <x:v>6</x:v>
      </x:c>
      <x:c r="Y94" s="6" t="str">
        <x:v>15.0</x:v>
      </x:c>
      <x:c r="Z94" s="6" t="str">
        <x:v>1</x:v>
      </x:c>
      <x:c r="AA94" s="6" t="str">
        <x:v>0.0</x:v>
      </x:c>
      <x:c r="AB94" s="6" t="str">
        <x:v>6</x:v>
      </x:c>
      <x:c r="AC94" s="6" t="str">
        <x:v>2025-09</x:v>
      </x:c>
      <x:c r="AD94" s="9" t="str">
        <x:v>BNPB operational disaster search table</x:v>
      </x:c>
      <x:c r="AE94" s="9" t="str">
        <x:v>https://gis.bnpb.go.id/databencana/tabel/pencarian.php</x:v>
      </x:c>
      <x:c r="AF94" s="9" t="str">
        <x:v>operational_snapshot_annual_totals_may_differ</x:v>
      </x:c>
    </x:row>
    <x:row r="95" ht="18" customHeight="1">
      <x:c r="A95" s="6" t="str">
        <x:v>14</x:v>
      </x:c>
      <x:c r="B95" s="6" t="str">
        <x:v>RIAU</x:v>
      </x:c>
      <x:c r="C95" s="6" t="str">
        <x:v>2025</x:v>
      </x:c>
      <x:c r="D95" s="6" t="str">
        <x:v>10</x:v>
      </x:c>
      <x:c r="E95" s="6" t="str">
        <x:v>11</x:v>
      </x:c>
      <x:c r="F95" s="6" t="str">
        <x:v>11</x:v>
      </x:c>
      <x:c r="G95" s="6" t="str">
        <x:v>3</x:v>
      </x:c>
      <x:c r="H95" s="6" t="str">
        <x:v>0</x:v>
      </x:c>
      <x:c r="I95" s="6" t="str">
        <x:v>0</x:v>
      </x:c>
      <x:c r="J95" s="6" t="str">
        <x:v>0</x:v>
      </x:c>
      <x:c r="K95" s="6" t="str">
        <x:v>8</x:v>
      </x:c>
      <x:c r="L95" s="6" t="str">
        <x:v>0</x:v>
      </x:c>
      <x:c r="M95" s="6" t="str">
        <x:v>0</x:v>
      </x:c>
      <x:c r="N95" s="6" t="str">
        <x:v>0</x:v>
      </x:c>
      <x:c r="O95" s="6" t="str">
        <x:v>0</x:v>
      </x:c>
      <x:c r="P95" s="6" t="str">
        <x:v>11</x:v>
      </x:c>
      <x:c r="Q95" s="6" t="str"/>
      <x:c r="R95" s="6" t="str">
        <x:v>0</x:v>
      </x:c>
      <x:c r="S95" s="6" t="str"/>
      <x:c r="T95" s="6" t="str">
        <x:v>0</x:v>
      </x:c>
      <x:c r="U95" s="6" t="str"/>
      <x:c r="V95" s="6" t="str">
        <x:v>0</x:v>
      </x:c>
      <x:c r="W95" s="6" t="str">
        <x:v>0.0</x:v>
      </x:c>
      <x:c r="X95" s="6" t="str">
        <x:v>11</x:v>
      </x:c>
      <x:c r="Y95" s="6" t="str">
        <x:v>1726.0</x:v>
      </x:c>
      <x:c r="Z95" s="6" t="str">
        <x:v>3</x:v>
      </x:c>
      <x:c r="AA95" s="6" t="str">
        <x:v>0.0</x:v>
      </x:c>
      <x:c r="AB95" s="6" t="str">
        <x:v>11</x:v>
      </x:c>
      <x:c r="AC95" s="6" t="str">
        <x:v>2025-10</x:v>
      </x:c>
      <x:c r="AD95" s="9" t="str">
        <x:v>BNPB operational disaster search table</x:v>
      </x:c>
      <x:c r="AE95" s="9" t="str">
        <x:v>https://gis.bnpb.go.id/databencana/tabel/pencarian.php</x:v>
      </x:c>
      <x:c r="AF95" s="9" t="str">
        <x:v>operational_snapshot_annual_totals_may_differ</x:v>
      </x:c>
    </x:row>
    <x:row r="96" ht="18" customHeight="1">
      <x:c r="A96" s="6" t="str">
        <x:v>14</x:v>
      </x:c>
      <x:c r="B96" s="6" t="str">
        <x:v>RIAU</x:v>
      </x:c>
      <x:c r="C96" s="6" t="str">
        <x:v>2025</x:v>
      </x:c>
      <x:c r="D96" s="6" t="str">
        <x:v>11</x:v>
      </x:c>
      <x:c r="E96" s="6" t="str">
        <x:v>18</x:v>
      </x:c>
      <x:c r="F96" s="6" t="str">
        <x:v>18</x:v>
      </x:c>
      <x:c r="G96" s="6" t="str">
        <x:v>0</x:v>
      </x:c>
      <x:c r="H96" s="6" t="str">
        <x:v>0</x:v>
      </x:c>
      <x:c r="I96" s="6" t="str">
        <x:v>1</x:v>
      </x:c>
      <x:c r="J96" s="6" t="str">
        <x:v>0</x:v>
      </x:c>
      <x:c r="K96" s="6" t="str">
        <x:v>17</x:v>
      </x:c>
      <x:c r="L96" s="6" t="str">
        <x:v>0</x:v>
      </x:c>
      <x:c r="M96" s="6" t="str">
        <x:v>0</x:v>
      </x:c>
      <x:c r="N96" s="6" t="str">
        <x:v>0</x:v>
      </x:c>
      <x:c r="O96" s="6" t="str">
        <x:v>0</x:v>
      </x:c>
      <x:c r="P96" s="6" t="str">
        <x:v>18</x:v>
      </x:c>
      <x:c r="Q96" s="6" t="str"/>
      <x:c r="R96" s="6" t="str">
        <x:v>0</x:v>
      </x:c>
      <x:c r="S96" s="6" t="str"/>
      <x:c r="T96" s="6" t="str">
        <x:v>0</x:v>
      </x:c>
      <x:c r="U96" s="6" t="str"/>
      <x:c r="V96" s="6" t="str">
        <x:v>0</x:v>
      </x:c>
      <x:c r="W96" s="6" t="str">
        <x:v>13.0</x:v>
      </x:c>
      <x:c r="X96" s="6" t="str">
        <x:v>18</x:v>
      </x:c>
      <x:c r="Y96" s="6" t="str"/>
      <x:c r="Z96" s="6" t="str">
        <x:v>0</x:v>
      </x:c>
      <x:c r="AA96" s="6" t="str">
        <x:v>0.0</x:v>
      </x:c>
      <x:c r="AB96" s="6" t="str">
        <x:v>18</x:v>
      </x:c>
      <x:c r="AC96" s="6" t="str">
        <x:v>2025-11</x:v>
      </x:c>
      <x:c r="AD96" s="9" t="str">
        <x:v>BNPB operational disaster search table</x:v>
      </x:c>
      <x:c r="AE96" s="9" t="str">
        <x:v>https://gis.bnpb.go.id/databencana/tabel/pencarian.php</x:v>
      </x:c>
      <x:c r="AF96" s="9" t="str">
        <x:v>operational_snapshot_annual_totals_may_differ</x:v>
      </x:c>
    </x:row>
    <x:row r="97" ht="18" customHeight="1">
      <x:c r="A97" s="6" t="str">
        <x:v>14</x:v>
      </x:c>
      <x:c r="B97" s="6" t="str">
        <x:v>RIAU</x:v>
      </x:c>
      <x:c r="C97" s="6" t="str">
        <x:v>2025</x:v>
      </x:c>
      <x:c r="D97" s="6" t="str">
        <x:v>12</x:v>
      </x:c>
      <x:c r="E97" s="6" t="str">
        <x:v>8</x:v>
      </x:c>
      <x:c r="F97" s="6" t="str">
        <x:v>8</x:v>
      </x:c>
      <x:c r="G97" s="6" t="str">
        <x:v>8</x:v>
      </x:c>
      <x:c r="H97" s="6" t="str">
        <x:v>0</x:v>
      </x:c>
      <x:c r="I97" s="6" t="str">
        <x:v>0</x:v>
      </x:c>
      <x:c r="J97" s="6" t="str">
        <x:v>0</x:v>
      </x:c>
      <x:c r="K97" s="6" t="str">
        <x:v>0</x:v>
      </x:c>
      <x:c r="L97" s="6" t="str">
        <x:v>0</x:v>
      </x:c>
      <x:c r="M97" s="6" t="str">
        <x:v>0</x:v>
      </x:c>
      <x:c r="N97" s="6" t="str">
        <x:v>0</x:v>
      </x:c>
      <x:c r="O97" s="6" t="str">
        <x:v>0</x:v>
      </x:c>
      <x:c r="P97" s="6" t="str">
        <x:v>8</x:v>
      </x:c>
      <x:c r="Q97" s="6" t="str"/>
      <x:c r="R97" s="6" t="str">
        <x:v>0</x:v>
      </x:c>
      <x:c r="S97" s="6" t="str"/>
      <x:c r="T97" s="6" t="str">
        <x:v>0</x:v>
      </x:c>
      <x:c r="U97" s="6" t="str"/>
      <x:c r="V97" s="6" t="str">
        <x:v>0</x:v>
      </x:c>
      <x:c r="W97" s="6" t="str">
        <x:v>0.0</x:v>
      </x:c>
      <x:c r="X97" s="6" t="str">
        <x:v>8</x:v>
      </x:c>
      <x:c r="Y97" s="6" t="str">
        <x:v>869.0</x:v>
      </x:c>
      <x:c r="Z97" s="6" t="str">
        <x:v>8</x:v>
      </x:c>
      <x:c r="AA97" s="6" t="str">
        <x:v>0.0</x:v>
      </x:c>
      <x:c r="AB97" s="6" t="str">
        <x:v>8</x:v>
      </x:c>
      <x:c r="AC97" s="6" t="str">
        <x:v>2025-12</x:v>
      </x:c>
      <x:c r="AD97" s="9" t="str">
        <x:v>BNPB operational disaster search table</x:v>
      </x:c>
      <x:c r="AE97" s="9" t="str">
        <x:v>https://gis.bnpb.go.id/databencana/tabel/pencarian.php</x:v>
      </x:c>
      <x:c r="AF97" s="9" t="str">
        <x:v>operational_snapshot_annual_totals_may_differ</x:v>
      </x:c>
    </x:row>
    <x:row r="98" ht="18" customHeight="1">
      <x:c r="A98" s="6" t="str">
        <x:v>15</x:v>
      </x:c>
      <x:c r="B98" s="6" t="str">
        <x:v>JAMBI</x:v>
      </x:c>
      <x:c r="C98" s="6" t="str">
        <x:v>2024</x:v>
      </x:c>
      <x:c r="D98" s="6" t="str">
        <x:v>1</x:v>
      </x:c>
      <x:c r="E98" s="6" t="str">
        <x:v>23</x:v>
      </x:c>
      <x:c r="F98" s="6" t="str">
        <x:v>23</x:v>
      </x:c>
      <x:c r="G98" s="6" t="str">
        <x:v>23</x:v>
      </x:c>
      <x:c r="H98" s="6" t="str">
        <x:v>0</x:v>
      </x:c>
      <x:c r="I98" s="6" t="str">
        <x:v>0</x:v>
      </x:c>
      <x:c r="J98" s="6" t="str">
        <x:v>0</x:v>
      </x:c>
      <x:c r="K98" s="6" t="str">
        <x:v>0</x:v>
      </x:c>
      <x:c r="L98" s="6" t="str">
        <x:v>0</x:v>
      </x:c>
      <x:c r="M98" s="6" t="str">
        <x:v>0</x:v>
      </x:c>
      <x:c r="N98" s="6" t="str">
        <x:v>0</x:v>
      </x:c>
      <x:c r="O98" s="6" t="str">
        <x:v>0</x:v>
      </x:c>
      <x:c r="P98" s="6" t="str">
        <x:v>23</x:v>
      </x:c>
      <x:c r="Q98" s="6" t="str">
        <x:v>2.0</x:v>
      </x:c>
      <x:c r="R98" s="6" t="str">
        <x:v>23</x:v>
      </x:c>
      <x:c r="S98" s="6" t="str">
        <x:v>2.0</x:v>
      </x:c>
      <x:c r="T98" s="6" t="str">
        <x:v>23</x:v>
      </x:c>
      <x:c r="U98" s="6" t="str">
        <x:v>0.0</x:v>
      </x:c>
      <x:c r="V98" s="6" t="str">
        <x:v>23</x:v>
      </x:c>
      <x:c r="W98" s="6" t="str">
        <x:v>187.0</x:v>
      </x:c>
      <x:c r="X98" s="6" t="str">
        <x:v>23</x:v>
      </x:c>
      <x:c r="Y98" s="6" t="str">
        <x:v>54859.0</x:v>
      </x:c>
      <x:c r="Z98" s="6" t="str">
        <x:v>20</x:v>
      </x:c>
      <x:c r="AA98" s="6" t="str">
        <x:v>0.0</x:v>
      </x:c>
      <x:c r="AB98" s="6" t="str">
        <x:v>23</x:v>
      </x:c>
      <x:c r="AC98" s="6" t="str">
        <x:v>2024-01</x:v>
      </x:c>
      <x:c r="AD98" s="9" t="str">
        <x:v>BNPB operational disaster search table</x:v>
      </x:c>
      <x:c r="AE98" s="9" t="str">
        <x:v>https://gis.bnpb.go.id/databencana/tabel/pencarian.php</x:v>
      </x:c>
      <x:c r="AF98" s="9" t="str">
        <x:v>operational_snapshot_annual_totals_may_differ</x:v>
      </x:c>
    </x:row>
    <x:row r="99" ht="18" customHeight="1">
      <x:c r="A99" s="6" t="str">
        <x:v>15</x:v>
      </x:c>
      <x:c r="B99" s="6" t="str">
        <x:v>JAMBI</x:v>
      </x:c>
      <x:c r="C99" s="6" t="str">
        <x:v>2024</x:v>
      </x:c>
      <x:c r="D99" s="6" t="str">
        <x:v>2</x:v>
      </x:c>
      <x:c r="E99" s="6" t="str">
        <x:v>9</x:v>
      </x:c>
      <x:c r="F99" s="6" t="str">
        <x:v>9</x:v>
      </x:c>
      <x:c r="G99" s="6" t="str">
        <x:v>8</x:v>
      </x:c>
      <x:c r="H99" s="6" t="str">
        <x:v>1</x:v>
      </x:c>
      <x:c r="I99" s="6" t="str">
        <x:v>0</x:v>
      </x:c>
      <x:c r="J99" s="6" t="str">
        <x:v>0</x:v>
      </x:c>
      <x:c r="K99" s="6" t="str">
        <x:v>0</x:v>
      </x:c>
      <x:c r="L99" s="6" t="str">
        <x:v>0</x:v>
      </x:c>
      <x:c r="M99" s="6" t="str">
        <x:v>0</x:v>
      </x:c>
      <x:c r="N99" s="6" t="str">
        <x:v>0</x:v>
      </x:c>
      <x:c r="O99" s="6" t="str">
        <x:v>0</x:v>
      </x:c>
      <x:c r="P99" s="6" t="str">
        <x:v>9</x:v>
      </x:c>
      <x:c r="Q99" s="6" t="str">
        <x:v>0.0</x:v>
      </x:c>
      <x:c r="R99" s="6" t="str">
        <x:v>9</x:v>
      </x:c>
      <x:c r="S99" s="6" t="str">
        <x:v>0.0</x:v>
      </x:c>
      <x:c r="T99" s="6" t="str">
        <x:v>9</x:v>
      </x:c>
      <x:c r="U99" s="6" t="str">
        <x:v>0.0</x:v>
      </x:c>
      <x:c r="V99" s="6" t="str">
        <x:v>9</x:v>
      </x:c>
      <x:c r="W99" s="6" t="str">
        <x:v>16.0</x:v>
      </x:c>
      <x:c r="X99" s="6" t="str">
        <x:v>9</x:v>
      </x:c>
      <x:c r="Y99" s="6" t="str">
        <x:v>26053.0</x:v>
      </x:c>
      <x:c r="Z99" s="6" t="str">
        <x:v>7</x:v>
      </x:c>
      <x:c r="AA99" s="6" t="str">
        <x:v>0.0</x:v>
      </x:c>
      <x:c r="AB99" s="6" t="str">
        <x:v>9</x:v>
      </x:c>
      <x:c r="AC99" s="6" t="str">
        <x:v>2024-02</x:v>
      </x:c>
      <x:c r="AD99" s="9" t="str">
        <x:v>BNPB operational disaster search table</x:v>
      </x:c>
      <x:c r="AE99" s="9" t="str">
        <x:v>https://gis.bnpb.go.id/databencana/tabel/pencarian.php</x:v>
      </x:c>
      <x:c r="AF99" s="9" t="str">
        <x:v>operational_snapshot_annual_totals_may_differ</x:v>
      </x:c>
    </x:row>
    <x:row r="100" ht="18" customHeight="1">
      <x:c r="A100" s="6" t="str">
        <x:v>15</x:v>
      </x:c>
      <x:c r="B100" s="6" t="str">
        <x:v>JAMBI</x:v>
      </x:c>
      <x:c r="C100" s="6" t="str">
        <x:v>2024</x:v>
      </x:c>
      <x:c r="D100" s="6" t="str">
        <x:v>3</x:v>
      </x:c>
      <x:c r="E100" s="6" t="str">
        <x:v>3</x:v>
      </x:c>
      <x:c r="F100" s="6" t="str">
        <x:v>3</x:v>
      </x:c>
      <x:c r="G100" s="6" t="str">
        <x:v>3</x:v>
      </x:c>
      <x:c r="H100" s="6" t="str">
        <x:v>0</x:v>
      </x:c>
      <x:c r="I100" s="6" t="str">
        <x:v>0</x:v>
      </x:c>
      <x:c r="J100" s="6" t="str">
        <x:v>0</x:v>
      </x:c>
      <x:c r="K100" s="6" t="str">
        <x:v>0</x:v>
      </x:c>
      <x:c r="L100" s="6" t="str">
        <x:v>0</x:v>
      </x:c>
      <x:c r="M100" s="6" t="str">
        <x:v>0</x:v>
      </x:c>
      <x:c r="N100" s="6" t="str">
        <x:v>0</x:v>
      </x:c>
      <x:c r="O100" s="6" t="str">
        <x:v>0</x:v>
      </x:c>
      <x:c r="P100" s="6" t="str">
        <x:v>3</x:v>
      </x:c>
      <x:c r="Q100" s="6" t="str">
        <x:v>0.0</x:v>
      </x:c>
      <x:c r="R100" s="6" t="str">
        <x:v>3</x:v>
      </x:c>
      <x:c r="S100" s="6" t="str">
        <x:v>0.0</x:v>
      </x:c>
      <x:c r="T100" s="6" t="str">
        <x:v>3</x:v>
      </x:c>
      <x:c r="U100" s="6" t="str">
        <x:v>0.0</x:v>
      </x:c>
      <x:c r="V100" s="6" t="str">
        <x:v>3</x:v>
      </x:c>
      <x:c r="W100" s="6" t="str">
        <x:v>3.0</x:v>
      </x:c>
      <x:c r="X100" s="6" t="str">
        <x:v>3</x:v>
      </x:c>
      <x:c r="Y100" s="6" t="str">
        <x:v>675.0</x:v>
      </x:c>
      <x:c r="Z100" s="6" t="str">
        <x:v>3</x:v>
      </x:c>
      <x:c r="AA100" s="6" t="str">
        <x:v>0.0</x:v>
      </x:c>
      <x:c r="AB100" s="6" t="str">
        <x:v>3</x:v>
      </x:c>
      <x:c r="AC100" s="6" t="str">
        <x:v>2024-03</x:v>
      </x:c>
      <x:c r="AD100" s="9" t="str">
        <x:v>BNPB operational disaster search table</x:v>
      </x:c>
      <x:c r="AE100" s="9" t="str">
        <x:v>https://gis.bnpb.go.id/databencana/tabel/pencarian.php</x:v>
      </x:c>
      <x:c r="AF100" s="9" t="str">
        <x:v>operational_snapshot_annual_totals_may_differ</x:v>
      </x:c>
    </x:row>
    <x:row r="101" ht="18" customHeight="1">
      <x:c r="A101" s="6" t="str">
        <x:v>15</x:v>
      </x:c>
      <x:c r="B101" s="6" t="str">
        <x:v>JAMBI</x:v>
      </x:c>
      <x:c r="C101" s="6" t="str">
        <x:v>2024</x:v>
      </x:c>
      <x:c r="D101" s="6" t="str">
        <x:v>4</x:v>
      </x:c>
      <x:c r="E101" s="6" t="str">
        <x:v>3</x:v>
      </x:c>
      <x:c r="F101" s="6" t="str">
        <x:v>3</x:v>
      </x:c>
      <x:c r="G101" s="6" t="str">
        <x:v>3</x:v>
      </x:c>
      <x:c r="H101" s="6" t="str">
        <x:v>0</x:v>
      </x:c>
      <x:c r="I101" s="6" t="str">
        <x:v>0</x:v>
      </x:c>
      <x:c r="J101" s="6" t="str">
        <x:v>0</x:v>
      </x:c>
      <x:c r="K101" s="6" t="str">
        <x:v>0</x:v>
      </x:c>
      <x:c r="L101" s="6" t="str">
        <x:v>0</x:v>
      </x:c>
      <x:c r="M101" s="6" t="str">
        <x:v>0</x:v>
      </x:c>
      <x:c r="N101" s="6" t="str">
        <x:v>0</x:v>
      </x:c>
      <x:c r="O101" s="6" t="str">
        <x:v>0</x:v>
      </x:c>
      <x:c r="P101" s="6" t="str">
        <x:v>3</x:v>
      </x:c>
      <x:c r="Q101" s="6" t="str">
        <x:v>0.0</x:v>
      </x:c>
      <x:c r="R101" s="6" t="str">
        <x:v>3</x:v>
      </x:c>
      <x:c r="S101" s="6" t="str">
        <x:v>0.0</x:v>
      </x:c>
      <x:c r="T101" s="6" t="str">
        <x:v>3</x:v>
      </x:c>
      <x:c r="U101" s="6" t="str">
        <x:v>0.0</x:v>
      </x:c>
      <x:c r="V101" s="6" t="str">
        <x:v>3</x:v>
      </x:c>
      <x:c r="W101" s="6" t="str">
        <x:v>12.0</x:v>
      </x:c>
      <x:c r="X101" s="6" t="str">
        <x:v>3</x:v>
      </x:c>
      <x:c r="Y101" s="6" t="str">
        <x:v>194.0</x:v>
      </x:c>
      <x:c r="Z101" s="6" t="str">
        <x:v>2</x:v>
      </x:c>
      <x:c r="AA101" s="6" t="str">
        <x:v>0.0</x:v>
      </x:c>
      <x:c r="AB101" s="6" t="str">
        <x:v>3</x:v>
      </x:c>
      <x:c r="AC101" s="6" t="str">
        <x:v>2024-04</x:v>
      </x:c>
      <x:c r="AD101" s="9" t="str">
        <x:v>BNPB operational disaster search table</x:v>
      </x:c>
      <x:c r="AE101" s="9" t="str">
        <x:v>https://gis.bnpb.go.id/databencana/tabel/pencarian.php</x:v>
      </x:c>
      <x:c r="AF101" s="9" t="str">
        <x:v>operational_snapshot_annual_totals_may_differ</x:v>
      </x:c>
    </x:row>
    <x:row r="102" ht="18" customHeight="1">
      <x:c r="A102" s="6" t="str">
        <x:v>15</x:v>
      </x:c>
      <x:c r="B102" s="6" t="str">
        <x:v>JAMBI</x:v>
      </x:c>
      <x:c r="C102" s="6" t="str">
        <x:v>2024</x:v>
      </x:c>
      <x:c r="D102" s="6" t="str">
        <x:v>5</x:v>
      </x:c>
      <x:c r="E102" s="6" t="str">
        <x:v>4</x:v>
      </x:c>
      <x:c r="F102" s="6" t="str">
        <x:v>4</x:v>
      </x:c>
      <x:c r="G102" s="6" t="str">
        <x:v>2</x:v>
      </x:c>
      <x:c r="H102" s="6" t="str">
        <x:v>0</x:v>
      </x:c>
      <x:c r="I102" s="6" t="str">
        <x:v>0</x:v>
      </x:c>
      <x:c r="J102" s="6" t="str">
        <x:v>0</x:v>
      </x:c>
      <x:c r="K102" s="6" t="str">
        <x:v>2</x:v>
      </x:c>
      <x:c r="L102" s="6" t="str">
        <x:v>0</x:v>
      </x:c>
      <x:c r="M102" s="6" t="str">
        <x:v>0</x:v>
      </x:c>
      <x:c r="N102" s="6" t="str">
        <x:v>0</x:v>
      </x:c>
      <x:c r="O102" s="6" t="str">
        <x:v>0</x:v>
      </x:c>
      <x:c r="P102" s="6" t="str">
        <x:v>4</x:v>
      </x:c>
      <x:c r="Q102" s="6" t="str">
        <x:v>0.0</x:v>
      </x:c>
      <x:c r="R102" s="6" t="str">
        <x:v>4</x:v>
      </x:c>
      <x:c r="S102" s="6" t="str">
        <x:v>0.0</x:v>
      </x:c>
      <x:c r="T102" s="6" t="str">
        <x:v>4</x:v>
      </x:c>
      <x:c r="U102" s="6" t="str">
        <x:v>0.0</x:v>
      </x:c>
      <x:c r="V102" s="6" t="str">
        <x:v>4</x:v>
      </x:c>
      <x:c r="W102" s="6" t="str">
        <x:v>30.0</x:v>
      </x:c>
      <x:c r="X102" s="6" t="str">
        <x:v>4</x:v>
      </x:c>
      <x:c r="Y102" s="6" t="str">
        <x:v>186.0</x:v>
      </x:c>
      <x:c r="Z102" s="6" t="str">
        <x:v>1</x:v>
      </x:c>
      <x:c r="AA102" s="6" t="str">
        <x:v>0.0</x:v>
      </x:c>
      <x:c r="AB102" s="6" t="str">
        <x:v>4</x:v>
      </x:c>
      <x:c r="AC102" s="6" t="str">
        <x:v>2024-05</x:v>
      </x:c>
      <x:c r="AD102" s="9" t="str">
        <x:v>BNPB operational disaster search table</x:v>
      </x:c>
      <x:c r="AE102" s="9" t="str">
        <x:v>https://gis.bnpb.go.id/databencana/tabel/pencarian.php</x:v>
      </x:c>
      <x:c r="AF102" s="9" t="str">
        <x:v>operational_snapshot_annual_totals_may_differ</x:v>
      </x:c>
    </x:row>
    <x:row r="103" ht="18" customHeight="1">
      <x:c r="A103" s="6" t="str">
        <x:v>15</x:v>
      </x:c>
      <x:c r="B103" s="6" t="str">
        <x:v>JAMBI</x:v>
      </x:c>
      <x:c r="C103" s="6" t="str">
        <x:v>2024</x:v>
      </x:c>
      <x:c r="D103" s="6" t="str">
        <x:v>6</x:v>
      </x:c>
      <x:c r="E103" s="6" t="str">
        <x:v>3</x:v>
      </x:c>
      <x:c r="F103" s="6" t="str">
        <x:v>3</x:v>
      </x:c>
      <x:c r="G103" s="6" t="str">
        <x:v>2</x:v>
      </x:c>
      <x:c r="H103" s="6" t="str">
        <x:v>1</x:v>
      </x:c>
      <x:c r="I103" s="6" t="str">
        <x:v>0</x:v>
      </x:c>
      <x:c r="J103" s="6" t="str">
        <x:v>0</x:v>
      </x:c>
      <x:c r="K103" s="6" t="str">
        <x:v>0</x:v>
      </x:c>
      <x:c r="L103" s="6" t="str">
        <x:v>0</x:v>
      </x:c>
      <x:c r="M103" s="6" t="str">
        <x:v>0</x:v>
      </x:c>
      <x:c r="N103" s="6" t="str">
        <x:v>0</x:v>
      </x:c>
      <x:c r="O103" s="6" t="str">
        <x:v>0</x:v>
      </x:c>
      <x:c r="P103" s="6" t="str">
        <x:v>3</x:v>
      </x:c>
      <x:c r="Q103" s="6" t="str">
        <x:v>0.0</x:v>
      </x:c>
      <x:c r="R103" s="6" t="str">
        <x:v>3</x:v>
      </x:c>
      <x:c r="S103" s="6" t="str">
        <x:v>0.0</x:v>
      </x:c>
      <x:c r="T103" s="6" t="str">
        <x:v>3</x:v>
      </x:c>
      <x:c r="U103" s="6" t="str">
        <x:v>0.0</x:v>
      </x:c>
      <x:c r="V103" s="6" t="str">
        <x:v>3</x:v>
      </x:c>
      <x:c r="W103" s="6" t="str">
        <x:v>15.0</x:v>
      </x:c>
      <x:c r="X103" s="6" t="str">
        <x:v>3</x:v>
      </x:c>
      <x:c r="Y103" s="6" t="str">
        <x:v>1812.0</x:v>
      </x:c>
      <x:c r="Z103" s="6" t="str">
        <x:v>2</x:v>
      </x:c>
      <x:c r="AA103" s="6" t="str">
        <x:v>7.0</x:v>
      </x:c>
      <x:c r="AB103" s="6" t="str">
        <x:v>3</x:v>
      </x:c>
      <x:c r="AC103" s="6" t="str">
        <x:v>2024-06</x:v>
      </x:c>
      <x:c r="AD103" s="9" t="str">
        <x:v>BNPB operational disaster search table</x:v>
      </x:c>
      <x:c r="AE103" s="9" t="str">
        <x:v>https://gis.bnpb.go.id/databencana/tabel/pencarian.php</x:v>
      </x:c>
      <x:c r="AF103" s="9" t="str">
        <x:v>operational_snapshot_annual_totals_may_differ</x:v>
      </x:c>
    </x:row>
    <x:row r="104" ht="18" customHeight="1">
      <x:c r="A104" s="6" t="str">
        <x:v>15</x:v>
      </x:c>
      <x:c r="B104" s="6" t="str">
        <x:v>JAMBI</x:v>
      </x:c>
      <x:c r="C104" s="6" t="str">
        <x:v>2024</x:v>
      </x:c>
      <x:c r="D104" s="6" t="str">
        <x:v>7</x:v>
      </x:c>
      <x:c r="E104" s="6" t="str">
        <x:v>19</x:v>
      </x:c>
      <x:c r="F104" s="6" t="str">
        <x:v>19</x:v>
      </x:c>
      <x:c r="G104" s="6" t="str">
        <x:v>2</x:v>
      </x:c>
      <x:c r="H104" s="6" t="str">
        <x:v>0</x:v>
      </x:c>
      <x:c r="I104" s="6" t="str">
        <x:v>0</x:v>
      </x:c>
      <x:c r="J104" s="6" t="str">
        <x:v>0</x:v>
      </x:c>
      <x:c r="K104" s="6" t="str">
        <x:v>17</x:v>
      </x:c>
      <x:c r="L104" s="6" t="str">
        <x:v>0</x:v>
      </x:c>
      <x:c r="M104" s="6" t="str">
        <x:v>0</x:v>
      </x:c>
      <x:c r="N104" s="6" t="str">
        <x:v>0</x:v>
      </x:c>
      <x:c r="O104" s="6" t="str">
        <x:v>0</x:v>
      </x:c>
      <x:c r="P104" s="6" t="str">
        <x:v>19</x:v>
      </x:c>
      <x:c r="Q104" s="6" t="str">
        <x:v>0.0</x:v>
      </x:c>
      <x:c r="R104" s="6" t="str">
        <x:v>19</x:v>
      </x:c>
      <x:c r="S104" s="6" t="str">
        <x:v>0.0</x:v>
      </x:c>
      <x:c r="T104" s="6" t="str">
        <x:v>19</x:v>
      </x:c>
      <x:c r="U104" s="6" t="str">
        <x:v>0.0</x:v>
      </x:c>
      <x:c r="V104" s="6" t="str">
        <x:v>19</x:v>
      </x:c>
      <x:c r="W104" s="6" t="str">
        <x:v>0.0</x:v>
      </x:c>
      <x:c r="X104" s="6" t="str">
        <x:v>19</x:v>
      </x:c>
      <x:c r="Y104" s="6" t="str">
        <x:v>515.0</x:v>
      </x:c>
      <x:c r="Z104" s="6" t="str">
        <x:v>2</x:v>
      </x:c>
      <x:c r="AA104" s="6" t="str">
        <x:v>0.0</x:v>
      </x:c>
      <x:c r="AB104" s="6" t="str">
        <x:v>19</x:v>
      </x:c>
      <x:c r="AC104" s="6" t="str">
        <x:v>2024-07</x:v>
      </x:c>
      <x:c r="AD104" s="9" t="str">
        <x:v>BNPB operational disaster search table</x:v>
      </x:c>
      <x:c r="AE104" s="9" t="str">
        <x:v>https://gis.bnpb.go.id/databencana/tabel/pencarian.php</x:v>
      </x:c>
      <x:c r="AF104" s="9" t="str">
        <x:v>operational_snapshot_annual_totals_may_differ</x:v>
      </x:c>
    </x:row>
    <x:row r="105" ht="18" customHeight="1">
      <x:c r="A105" s="6" t="str">
        <x:v>15</x:v>
      </x:c>
      <x:c r="B105" s="6" t="str">
        <x:v>JAMBI</x:v>
      </x:c>
      <x:c r="C105" s="6" t="str">
        <x:v>2024</x:v>
      </x:c>
      <x:c r="D105" s="6" t="str">
        <x:v>8</x:v>
      </x:c>
      <x:c r="E105" s="6" t="str">
        <x:v>35</x:v>
      </x:c>
      <x:c r="F105" s="6" t="str">
        <x:v>35</x:v>
      </x:c>
      <x:c r="G105" s="6" t="str">
        <x:v>0</x:v>
      </x:c>
      <x:c r="H105" s="6" t="str">
        <x:v>0</x:v>
      </x:c>
      <x:c r="I105" s="6" t="str">
        <x:v>1</x:v>
      </x:c>
      <x:c r="J105" s="6" t="str">
        <x:v>0</x:v>
      </x:c>
      <x:c r="K105" s="6" t="str">
        <x:v>34</x:v>
      </x:c>
      <x:c r="L105" s="6" t="str">
        <x:v>0</x:v>
      </x:c>
      <x:c r="M105" s="6" t="str">
        <x:v>0</x:v>
      </x:c>
      <x:c r="N105" s="6" t="str">
        <x:v>0</x:v>
      </x:c>
      <x:c r="O105" s="6" t="str">
        <x:v>0</x:v>
      </x:c>
      <x:c r="P105" s="6" t="str">
        <x:v>35</x:v>
      </x:c>
      <x:c r="Q105" s="6" t="str">
        <x:v>0.0</x:v>
      </x:c>
      <x:c r="R105" s="6" t="str">
        <x:v>35</x:v>
      </x:c>
      <x:c r="S105" s="6" t="str">
        <x:v>0.0</x:v>
      </x:c>
      <x:c r="T105" s="6" t="str">
        <x:v>35</x:v>
      </x:c>
      <x:c r="U105" s="6" t="str">
        <x:v>0.0</x:v>
      </x:c>
      <x:c r="V105" s="6" t="str">
        <x:v>35</x:v>
      </x:c>
      <x:c r="W105" s="6" t="str">
        <x:v>43.0</x:v>
      </x:c>
      <x:c r="X105" s="6" t="str">
        <x:v>35</x:v>
      </x:c>
      <x:c r="Y105" s="6" t="str"/>
      <x:c r="Z105" s="6" t="str">
        <x:v>0</x:v>
      </x:c>
      <x:c r="AA105" s="6" t="str">
        <x:v>0.0</x:v>
      </x:c>
      <x:c r="AB105" s="6" t="str">
        <x:v>35</x:v>
      </x:c>
      <x:c r="AC105" s="6" t="str">
        <x:v>2024-08</x:v>
      </x:c>
      <x:c r="AD105" s="9" t="str">
        <x:v>BNPB operational disaster search table</x:v>
      </x:c>
      <x:c r="AE105" s="9" t="str">
        <x:v>https://gis.bnpb.go.id/databencana/tabel/pencarian.php</x:v>
      </x:c>
      <x:c r="AF105" s="9" t="str">
        <x:v>operational_snapshot_annual_totals_may_differ</x:v>
      </x:c>
    </x:row>
    <x:row r="106" ht="18" customHeight="1">
      <x:c r="A106" s="6" t="str">
        <x:v>15</x:v>
      </x:c>
      <x:c r="B106" s="6" t="str">
        <x:v>JAMBI</x:v>
      </x:c>
      <x:c r="C106" s="6" t="str">
        <x:v>2024</x:v>
      </x:c>
      <x:c r="D106" s="6" t="str">
        <x:v>9</x:v>
      </x:c>
      <x:c r="E106" s="6" t="str">
        <x:v>15</x:v>
      </x:c>
      <x:c r="F106" s="6" t="str">
        <x:v>15</x:v>
      </x:c>
      <x:c r="G106" s="6" t="str">
        <x:v>1</x:v>
      </x:c>
      <x:c r="H106" s="6" t="str">
        <x:v>0</x:v>
      </x:c>
      <x:c r="I106" s="6" t="str">
        <x:v>3</x:v>
      </x:c>
      <x:c r="J106" s="6" t="str">
        <x:v>0</x:v>
      </x:c>
      <x:c r="K106" s="6" t="str">
        <x:v>11</x:v>
      </x:c>
      <x:c r="L106" s="6" t="str">
        <x:v>0</x:v>
      </x:c>
      <x:c r="M106" s="6" t="str">
        <x:v>0</x:v>
      </x:c>
      <x:c r="N106" s="6" t="str">
        <x:v>0</x:v>
      </x:c>
      <x:c r="O106" s="6" t="str">
        <x:v>0</x:v>
      </x:c>
      <x:c r="P106" s="6" t="str">
        <x:v>15</x:v>
      </x:c>
      <x:c r="Q106" s="6" t="str">
        <x:v>0.0</x:v>
      </x:c>
      <x:c r="R106" s="6" t="str">
        <x:v>15</x:v>
      </x:c>
      <x:c r="S106" s="6" t="str">
        <x:v>0.0</x:v>
      </x:c>
      <x:c r="T106" s="6" t="str">
        <x:v>15</x:v>
      </x:c>
      <x:c r="U106" s="6" t="str">
        <x:v>5.0</x:v>
      </x:c>
      <x:c r="V106" s="6" t="str">
        <x:v>15</x:v>
      </x:c>
      <x:c r="W106" s="6" t="str">
        <x:v>212.0</x:v>
      </x:c>
      <x:c r="X106" s="6" t="str">
        <x:v>15</x:v>
      </x:c>
      <x:c r="Y106" s="6" t="str">
        <x:v>39.0</x:v>
      </x:c>
      <x:c r="Z106" s="6" t="str">
        <x:v>1</x:v>
      </x:c>
      <x:c r="AA106" s="6" t="str">
        <x:v>3.0</x:v>
      </x:c>
      <x:c r="AB106" s="6" t="str">
        <x:v>15</x:v>
      </x:c>
      <x:c r="AC106" s="6" t="str">
        <x:v>2024-09</x:v>
      </x:c>
      <x:c r="AD106" s="9" t="str">
        <x:v>BNPB operational disaster search table</x:v>
      </x:c>
      <x:c r="AE106" s="9" t="str">
        <x:v>https://gis.bnpb.go.id/databencana/tabel/pencarian.php</x:v>
      </x:c>
      <x:c r="AF106" s="9" t="str">
        <x:v>operational_snapshot_annual_totals_may_differ</x:v>
      </x:c>
    </x:row>
    <x:row r="107" ht="18" customHeight="1">
      <x:c r="A107" s="6" t="str">
        <x:v>15</x:v>
      </x:c>
      <x:c r="B107" s="6" t="str">
        <x:v>JAMBI</x:v>
      </x:c>
      <x:c r="C107" s="6" t="str">
        <x:v>2024</x:v>
      </x:c>
      <x:c r="D107" s="6" t="str">
        <x:v>10</x:v>
      </x:c>
      <x:c r="E107" s="6" t="str">
        <x:v>13</x:v>
      </x:c>
      <x:c r="F107" s="6" t="str">
        <x:v>13</x:v>
      </x:c>
      <x:c r="G107" s="6" t="str">
        <x:v>0</x:v>
      </x:c>
      <x:c r="H107" s="6" t="str">
        <x:v>0</x:v>
      </x:c>
      <x:c r="I107" s="6" t="str">
        <x:v>2</x:v>
      </x:c>
      <x:c r="J107" s="6" t="str">
        <x:v>0</x:v>
      </x:c>
      <x:c r="K107" s="6" t="str">
        <x:v>11</x:v>
      </x:c>
      <x:c r="L107" s="6" t="str">
        <x:v>0</x:v>
      </x:c>
      <x:c r="M107" s="6" t="str">
        <x:v>0</x:v>
      </x:c>
      <x:c r="N107" s="6" t="str">
        <x:v>0</x:v>
      </x:c>
      <x:c r="O107" s="6" t="str">
        <x:v>0</x:v>
      </x:c>
      <x:c r="P107" s="6" t="str">
        <x:v>13</x:v>
      </x:c>
      <x:c r="Q107" s="6" t="str">
        <x:v>0.0</x:v>
      </x:c>
      <x:c r="R107" s="6" t="str">
        <x:v>13</x:v>
      </x:c>
      <x:c r="S107" s="6" t="str">
        <x:v>0.0</x:v>
      </x:c>
      <x:c r="T107" s="6" t="str">
        <x:v>13</x:v>
      </x:c>
      <x:c r="U107" s="6" t="str">
        <x:v>0.0</x:v>
      </x:c>
      <x:c r="V107" s="6" t="str">
        <x:v>13</x:v>
      </x:c>
      <x:c r="W107" s="6" t="str">
        <x:v>17.0</x:v>
      </x:c>
      <x:c r="X107" s="6" t="str">
        <x:v>13</x:v>
      </x:c>
      <x:c r="Y107" s="6" t="str"/>
      <x:c r="Z107" s="6" t="str">
        <x:v>0</x:v>
      </x:c>
      <x:c r="AA107" s="6" t="str">
        <x:v>0.0</x:v>
      </x:c>
      <x:c r="AB107" s="6" t="str">
        <x:v>13</x:v>
      </x:c>
      <x:c r="AC107" s="6" t="str">
        <x:v>2024-10</x:v>
      </x:c>
      <x:c r="AD107" s="9" t="str">
        <x:v>BNPB operational disaster search table</x:v>
      </x:c>
      <x:c r="AE107" s="9" t="str">
        <x:v>https://gis.bnpb.go.id/databencana/tabel/pencarian.php</x:v>
      </x:c>
      <x:c r="AF107" s="9" t="str">
        <x:v>operational_snapshot_annual_totals_may_differ</x:v>
      </x:c>
    </x:row>
    <x:row r="108" ht="18" customHeight="1">
      <x:c r="A108" s="6" t="str">
        <x:v>15</x:v>
      </x:c>
      <x:c r="B108" s="6" t="str">
        <x:v>JAMBI</x:v>
      </x:c>
      <x:c r="C108" s="6" t="str">
        <x:v>2024</x:v>
      </x:c>
      <x:c r="D108" s="6" t="str">
        <x:v>11</x:v>
      </x:c>
      <x:c r="E108" s="6" t="str">
        <x:v>4</x:v>
      </x:c>
      <x:c r="F108" s="6" t="str">
        <x:v>4</x:v>
      </x:c>
      <x:c r="G108" s="6" t="str">
        <x:v>1</x:v>
      </x:c>
      <x:c r="H108" s="6" t="str">
        <x:v>0</x:v>
      </x:c>
      <x:c r="I108" s="6" t="str">
        <x:v>0</x:v>
      </x:c>
      <x:c r="J108" s="6" t="str">
        <x:v>0</x:v>
      </x:c>
      <x:c r="K108" s="6" t="str">
        <x:v>3</x:v>
      </x:c>
      <x:c r="L108" s="6" t="str">
        <x:v>0</x:v>
      </x:c>
      <x:c r="M108" s="6" t="str">
        <x:v>0</x:v>
      </x:c>
      <x:c r="N108" s="6" t="str">
        <x:v>0</x:v>
      </x:c>
      <x:c r="O108" s="6" t="str">
        <x:v>0</x:v>
      </x:c>
      <x:c r="P108" s="6" t="str">
        <x:v>4</x:v>
      </x:c>
      <x:c r="Q108" s="6" t="str">
        <x:v>0.0</x:v>
      </x:c>
      <x:c r="R108" s="6" t="str">
        <x:v>4</x:v>
      </x:c>
      <x:c r="S108" s="6" t="str">
        <x:v>0.0</x:v>
      </x:c>
      <x:c r="T108" s="6" t="str">
        <x:v>4</x:v>
      </x:c>
      <x:c r="U108" s="6" t="str">
        <x:v>0.0</x:v>
      </x:c>
      <x:c r="V108" s="6" t="str">
        <x:v>4</x:v>
      </x:c>
      <x:c r="W108" s="6" t="str">
        <x:v>0.0</x:v>
      </x:c>
      <x:c r="X108" s="6" t="str">
        <x:v>4</x:v>
      </x:c>
      <x:c r="Y108" s="6" t="str">
        <x:v>1814.0</x:v>
      </x:c>
      <x:c r="Z108" s="6" t="str">
        <x:v>1</x:v>
      </x:c>
      <x:c r="AA108" s="6" t="str">
        <x:v>0.0</x:v>
      </x:c>
      <x:c r="AB108" s="6" t="str">
        <x:v>4</x:v>
      </x:c>
      <x:c r="AC108" s="6" t="str">
        <x:v>2024-11</x:v>
      </x:c>
      <x:c r="AD108" s="9" t="str">
        <x:v>BNPB operational disaster search table</x:v>
      </x:c>
      <x:c r="AE108" s="9" t="str">
        <x:v>https://gis.bnpb.go.id/databencana/tabel/pencarian.php</x:v>
      </x:c>
      <x:c r="AF108" s="9" t="str">
        <x:v>operational_snapshot_annual_totals_may_differ</x:v>
      </x:c>
    </x:row>
    <x:row r="109" ht="18" customHeight="1">
      <x:c r="A109" s="6" t="str">
        <x:v>15</x:v>
      </x:c>
      <x:c r="B109" s="6" t="str">
        <x:v>JAMBI</x:v>
      </x:c>
      <x:c r="C109" s="6" t="str">
        <x:v>2024</x:v>
      </x:c>
      <x:c r="D109" s="6" t="str">
        <x:v>12</x:v>
      </x:c>
      <x:c r="E109" s="6" t="str">
        <x:v>2</x:v>
      </x:c>
      <x:c r="F109" s="6" t="str">
        <x:v>2</x:v>
      </x:c>
      <x:c r="G109" s="6" t="str">
        <x:v>0</x:v>
      </x:c>
      <x:c r="H109" s="6" t="str">
        <x:v>0</x:v>
      </x:c>
      <x:c r="I109" s="6" t="str">
        <x:v>1</x:v>
      </x:c>
      <x:c r="J109" s="6" t="str">
        <x:v>0</x:v>
      </x:c>
      <x:c r="K109" s="6" t="str">
        <x:v>1</x:v>
      </x:c>
      <x:c r="L109" s="6" t="str">
        <x:v>0</x:v>
      </x:c>
      <x:c r="M109" s="6" t="str">
        <x:v>0</x:v>
      </x:c>
      <x:c r="N109" s="6" t="str">
        <x:v>0</x:v>
      </x:c>
      <x:c r="O109" s="6" t="str">
        <x:v>0</x:v>
      </x:c>
      <x:c r="P109" s="6" t="str">
        <x:v>2</x:v>
      </x:c>
      <x:c r="Q109" s="6" t="str">
        <x:v>0.0</x:v>
      </x:c>
      <x:c r="R109" s="6" t="str">
        <x:v>2</x:v>
      </x:c>
      <x:c r="S109" s="6" t="str">
        <x:v>0.0</x:v>
      </x:c>
      <x:c r="T109" s="6" t="str">
        <x:v>2</x:v>
      </x:c>
      <x:c r="U109" s="6" t="str">
        <x:v>0.0</x:v>
      </x:c>
      <x:c r="V109" s="6" t="str">
        <x:v>2</x:v>
      </x:c>
      <x:c r="W109" s="6" t="str">
        <x:v>26.0</x:v>
      </x:c>
      <x:c r="X109" s="6" t="str">
        <x:v>2</x:v>
      </x:c>
      <x:c r="Y109" s="6" t="str"/>
      <x:c r="Z109" s="6" t="str">
        <x:v>0</x:v>
      </x:c>
      <x:c r="AA109" s="6" t="str">
        <x:v>1.0</x:v>
      </x:c>
      <x:c r="AB109" s="6" t="str">
        <x:v>2</x:v>
      </x:c>
      <x:c r="AC109" s="6" t="str">
        <x:v>2024-12</x:v>
      </x:c>
      <x:c r="AD109" s="9" t="str">
        <x:v>BNPB operational disaster search table</x:v>
      </x:c>
      <x:c r="AE109" s="9" t="str">
        <x:v>https://gis.bnpb.go.id/databencana/tabel/pencarian.php</x:v>
      </x:c>
      <x:c r="AF109" s="9" t="str">
        <x:v>operational_snapshot_annual_totals_may_differ</x:v>
      </x:c>
    </x:row>
    <x:row r="110" ht="18" customHeight="1">
      <x:c r="A110" s="6" t="str">
        <x:v>15</x:v>
      </x:c>
      <x:c r="B110" s="6" t="str">
        <x:v>JAMBI</x:v>
      </x:c>
      <x:c r="C110" s="6" t="str">
        <x:v>2025</x:v>
      </x:c>
      <x:c r="D110" s="6" t="str">
        <x:v>1</x:v>
      </x:c>
      <x:c r="E110" s="6" t="str">
        <x:v>12</x:v>
      </x:c>
      <x:c r="F110" s="6" t="str">
        <x:v>12</x:v>
      </x:c>
      <x:c r="G110" s="6" t="str">
        <x:v>8</x:v>
      </x:c>
      <x:c r="H110" s="6" t="str">
        <x:v>0</x:v>
      </x:c>
      <x:c r="I110" s="6" t="str">
        <x:v>1</x:v>
      </x:c>
      <x:c r="J110" s="6" t="str">
        <x:v>0</x:v>
      </x:c>
      <x:c r="K110" s="6" t="str">
        <x:v>3</x:v>
      </x:c>
      <x:c r="L110" s="6" t="str">
        <x:v>0</x:v>
      </x:c>
      <x:c r="M110" s="6" t="str">
        <x:v>0</x:v>
      </x:c>
      <x:c r="N110" s="6" t="str">
        <x:v>0</x:v>
      </x:c>
      <x:c r="O110" s="6" t="str">
        <x:v>0</x:v>
      </x:c>
      <x:c r="P110" s="6" t="str">
        <x:v>12</x:v>
      </x:c>
      <x:c r="Q110" s="6" t="str">
        <x:v>0.0</x:v>
      </x:c>
      <x:c r="R110" s="6" t="str">
        <x:v>12</x:v>
      </x:c>
      <x:c r="S110" s="6" t="str">
        <x:v>0.0</x:v>
      </x:c>
      <x:c r="T110" s="6" t="str">
        <x:v>12</x:v>
      </x:c>
      <x:c r="U110" s="6" t="str">
        <x:v>0.0</x:v>
      </x:c>
      <x:c r="V110" s="6" t="str">
        <x:v>12</x:v>
      </x:c>
      <x:c r="W110" s="6" t="str">
        <x:v>174.0</x:v>
      </x:c>
      <x:c r="X110" s="6" t="str">
        <x:v>12</x:v>
      </x:c>
      <x:c r="Y110" s="6" t="str">
        <x:v>194.0</x:v>
      </x:c>
      <x:c r="Z110" s="6" t="str">
        <x:v>3</x:v>
      </x:c>
      <x:c r="AA110" s="6" t="str">
        <x:v>5.0</x:v>
      </x:c>
      <x:c r="AB110" s="6" t="str">
        <x:v>12</x:v>
      </x:c>
      <x:c r="AC110" s="6" t="str">
        <x:v>2025-01</x:v>
      </x:c>
      <x:c r="AD110" s="9" t="str">
        <x:v>BNPB operational disaster search table</x:v>
      </x:c>
      <x:c r="AE110" s="9" t="str">
        <x:v>https://gis.bnpb.go.id/databencana/tabel/pencarian.php</x:v>
      </x:c>
      <x:c r="AF110" s="9" t="str">
        <x:v>operational_snapshot_annual_totals_may_differ</x:v>
      </x:c>
    </x:row>
    <x:row r="111" ht="18" customHeight="1">
      <x:c r="A111" s="6" t="str">
        <x:v>15</x:v>
      </x:c>
      <x:c r="B111" s="6" t="str">
        <x:v>JAMBI</x:v>
      </x:c>
      <x:c r="C111" s="6" t="str">
        <x:v>2025</x:v>
      </x:c>
      <x:c r="D111" s="6" t="str">
        <x:v>2</x:v>
      </x:c>
      <x:c r="E111" s="6" t="str">
        <x:v>6</x:v>
      </x:c>
      <x:c r="F111" s="6" t="str">
        <x:v>6</x:v>
      </x:c>
      <x:c r="G111" s="6" t="str">
        <x:v>5</x:v>
      </x:c>
      <x:c r="H111" s="6" t="str">
        <x:v>0</x:v>
      </x:c>
      <x:c r="I111" s="6" t="str">
        <x:v>0</x:v>
      </x:c>
      <x:c r="J111" s="6" t="str">
        <x:v>0</x:v>
      </x:c>
      <x:c r="K111" s="6" t="str">
        <x:v>1</x:v>
      </x:c>
      <x:c r="L111" s="6" t="str">
        <x:v>0</x:v>
      </x:c>
      <x:c r="M111" s="6" t="str">
        <x:v>0</x:v>
      </x:c>
      <x:c r="N111" s="6" t="str">
        <x:v>0</x:v>
      </x:c>
      <x:c r="O111" s="6" t="str">
        <x:v>0</x:v>
      </x:c>
      <x:c r="P111" s="6" t="str">
        <x:v>6</x:v>
      </x:c>
      <x:c r="Q111" s="6" t="str">
        <x:v>0.0</x:v>
      </x:c>
      <x:c r="R111" s="6" t="str">
        <x:v>6</x:v>
      </x:c>
      <x:c r="S111" s="6" t="str">
        <x:v>0.0</x:v>
      </x:c>
      <x:c r="T111" s="6" t="str">
        <x:v>6</x:v>
      </x:c>
      <x:c r="U111" s="6" t="str">
        <x:v>0.0</x:v>
      </x:c>
      <x:c r="V111" s="6" t="str">
        <x:v>6</x:v>
      </x:c>
      <x:c r="W111" s="6" t="str">
        <x:v>0.0</x:v>
      </x:c>
      <x:c r="X111" s="6" t="str">
        <x:v>6</x:v>
      </x:c>
      <x:c r="Y111" s="6" t="str">
        <x:v>5744.0</x:v>
      </x:c>
      <x:c r="Z111" s="6" t="str">
        <x:v>5</x:v>
      </x:c>
      <x:c r="AA111" s="6" t="str">
        <x:v>3.0</x:v>
      </x:c>
      <x:c r="AB111" s="6" t="str">
        <x:v>6</x:v>
      </x:c>
      <x:c r="AC111" s="6" t="str">
        <x:v>2025-02</x:v>
      </x:c>
      <x:c r="AD111" s="9" t="str">
        <x:v>BNPB operational disaster search table</x:v>
      </x:c>
      <x:c r="AE111" s="9" t="str">
        <x:v>https://gis.bnpb.go.id/databencana/tabel/pencarian.php</x:v>
      </x:c>
      <x:c r="AF111" s="9" t="str">
        <x:v>operational_snapshot_annual_totals_may_differ</x:v>
      </x:c>
    </x:row>
    <x:row r="112" ht="18" customHeight="1">
      <x:c r="A112" s="6" t="str">
        <x:v>15</x:v>
      </x:c>
      <x:c r="B112" s="6" t="str">
        <x:v>JAMBI</x:v>
      </x:c>
      <x:c r="C112" s="6" t="str">
        <x:v>2025</x:v>
      </x:c>
      <x:c r="D112" s="6" t="str">
        <x:v>3</x:v>
      </x:c>
      <x:c r="E112" s="6" t="str">
        <x:v>10</x:v>
      </x:c>
      <x:c r="F112" s="6" t="str">
        <x:v>10</x:v>
      </x:c>
      <x:c r="G112" s="6" t="str">
        <x:v>10</x:v>
      </x:c>
      <x:c r="H112" s="6" t="str">
        <x:v>0</x:v>
      </x:c>
      <x:c r="I112" s="6" t="str">
        <x:v>0</x:v>
      </x:c>
      <x:c r="J112" s="6" t="str">
        <x:v>0</x:v>
      </x:c>
      <x:c r="K112" s="6" t="str">
        <x:v>0</x:v>
      </x:c>
      <x:c r="L112" s="6" t="str">
        <x:v>0</x:v>
      </x:c>
      <x:c r="M112" s="6" t="str">
        <x:v>0</x:v>
      </x:c>
      <x:c r="N112" s="6" t="str">
        <x:v>0</x:v>
      </x:c>
      <x:c r="O112" s="6" t="str">
        <x:v>0</x:v>
      </x:c>
      <x:c r="P112" s="6" t="str">
        <x:v>10</x:v>
      </x:c>
      <x:c r="Q112" s="6" t="str">
        <x:v>0.0</x:v>
      </x:c>
      <x:c r="R112" s="6" t="str">
        <x:v>10</x:v>
      </x:c>
      <x:c r="S112" s="6" t="str">
        <x:v>0.0</x:v>
      </x:c>
      <x:c r="T112" s="6" t="str">
        <x:v>10</x:v>
      </x:c>
      <x:c r="U112" s="6" t="str">
        <x:v>0.0</x:v>
      </x:c>
      <x:c r="V112" s="6" t="str">
        <x:v>10</x:v>
      </x:c>
      <x:c r="W112" s="6" t="str">
        <x:v>128.0</x:v>
      </x:c>
      <x:c r="X112" s="6" t="str">
        <x:v>10</x:v>
      </x:c>
      <x:c r="Y112" s="6" t="str">
        <x:v>11268.0</x:v>
      </x:c>
      <x:c r="Z112" s="6" t="str">
        <x:v>5</x:v>
      </x:c>
      <x:c r="AA112" s="6" t="str">
        <x:v>419.0</x:v>
      </x:c>
      <x:c r="AB112" s="6" t="str">
        <x:v>10</x:v>
      </x:c>
      <x:c r="AC112" s="6" t="str">
        <x:v>2025-03</x:v>
      </x:c>
      <x:c r="AD112" s="9" t="str">
        <x:v>BNPB operational disaster search table</x:v>
      </x:c>
      <x:c r="AE112" s="9" t="str">
        <x:v>https://gis.bnpb.go.id/databencana/tabel/pencarian.php</x:v>
      </x:c>
      <x:c r="AF112" s="9" t="str">
        <x:v>operational_snapshot_annual_totals_may_differ</x:v>
      </x:c>
    </x:row>
    <x:row r="113" ht="18" customHeight="1">
      <x:c r="A113" s="6" t="str">
        <x:v>15</x:v>
      </x:c>
      <x:c r="B113" s="6" t="str">
        <x:v>JAMBI</x:v>
      </x:c>
      <x:c r="C113" s="6" t="str">
        <x:v>2025</x:v>
      </x:c>
      <x:c r="D113" s="6" t="str">
        <x:v>4</x:v>
      </x:c>
      <x:c r="E113" s="6" t="str">
        <x:v>1</x:v>
      </x:c>
      <x:c r="F113" s="6" t="str">
        <x:v>1</x:v>
      </x:c>
      <x:c r="G113" s="6" t="str">
        <x:v>1</x:v>
      </x:c>
      <x:c r="H113" s="6" t="str">
        <x:v>0</x:v>
      </x:c>
      <x:c r="I113" s="6" t="str">
        <x:v>0</x:v>
      </x:c>
      <x:c r="J113" s="6" t="str">
        <x:v>0</x:v>
      </x:c>
      <x:c r="K113" s="6" t="str">
        <x:v>0</x:v>
      </x:c>
      <x:c r="L113" s="6" t="str">
        <x:v>0</x:v>
      </x:c>
      <x:c r="M113" s="6" t="str">
        <x:v>0</x:v>
      </x:c>
      <x:c r="N113" s="6" t="str">
        <x:v>0</x:v>
      </x:c>
      <x:c r="O113" s="6" t="str">
        <x:v>0</x:v>
      </x:c>
      <x:c r="P113" s="6" t="str">
        <x:v>1</x:v>
      </x:c>
      <x:c r="Q113" s="6" t="str">
        <x:v>0.0</x:v>
      </x:c>
      <x:c r="R113" s="6" t="str">
        <x:v>1</x:v>
      </x:c>
      <x:c r="S113" s="6" t="str">
        <x:v>0.0</x:v>
      </x:c>
      <x:c r="T113" s="6" t="str">
        <x:v>1</x:v>
      </x:c>
      <x:c r="U113" s="6" t="str">
        <x:v>0.0</x:v>
      </x:c>
      <x:c r="V113" s="6" t="str">
        <x:v>1</x:v>
      </x:c>
      <x:c r="W113" s="6" t="str">
        <x:v>0.0</x:v>
      </x:c>
      <x:c r="X113" s="6" t="str">
        <x:v>1</x:v>
      </x:c>
      <x:c r="Y113" s="6" t="str">
        <x:v>65.0</x:v>
      </x:c>
      <x:c r="Z113" s="6" t="str">
        <x:v>1</x:v>
      </x:c>
      <x:c r="AA113" s="6" t="str">
        <x:v>0.0</x:v>
      </x:c>
      <x:c r="AB113" s="6" t="str">
        <x:v>1</x:v>
      </x:c>
      <x:c r="AC113" s="6" t="str">
        <x:v>2025-04</x:v>
      </x:c>
      <x:c r="AD113" s="9" t="str">
        <x:v>BNPB operational disaster search table</x:v>
      </x:c>
      <x:c r="AE113" s="9" t="str">
        <x:v>https://gis.bnpb.go.id/databencana/tabel/pencarian.php</x:v>
      </x:c>
      <x:c r="AF113" s="9" t="str">
        <x:v>operational_snapshot_annual_totals_may_differ</x:v>
      </x:c>
    </x:row>
    <x:row r="114" ht="18" customHeight="1">
      <x:c r="A114" s="6" t="str">
        <x:v>15</x:v>
      </x:c>
      <x:c r="B114" s="6" t="str">
        <x:v>JAMBI</x:v>
      </x:c>
      <x:c r="C114" s="6" t="str">
        <x:v>2025</x:v>
      </x:c>
      <x:c r="D114" s="6" t="str">
        <x:v>5</x:v>
      </x:c>
      <x:c r="E114" s="6" t="str">
        <x:v>0</x:v>
      </x:c>
      <x:c r="F114" s="6" t="str">
        <x:v>0</x:v>
      </x:c>
      <x:c r="G114" s="6" t="str">
        <x:v>0</x:v>
      </x:c>
      <x:c r="H114" s="6" t="str">
        <x:v>0</x:v>
      </x:c>
      <x:c r="I114" s="6" t="str">
        <x:v>0</x:v>
      </x:c>
      <x:c r="J114" s="6" t="str">
        <x:v>0</x:v>
      </x:c>
      <x:c r="K114" s="6" t="str">
        <x:v>0</x:v>
      </x:c>
      <x:c r="L114" s="6" t="str">
        <x:v>0</x:v>
      </x:c>
      <x:c r="M114" s="6" t="str">
        <x:v>0</x:v>
      </x:c>
      <x:c r="N114" s="6" t="str">
        <x:v>0</x:v>
      </x:c>
      <x:c r="O114" s="6" t="str">
        <x:v>0</x:v>
      </x:c>
      <x:c r="P114" s="6" t="str">
        <x:v>0</x:v>
      </x:c>
      <x:c r="Q114" s="6" t="str"/>
      <x:c r="R114" s="6" t="str">
        <x:v>0</x:v>
      </x:c>
      <x:c r="S114" s="6" t="str"/>
      <x:c r="T114" s="6" t="str">
        <x:v>0</x:v>
      </x:c>
      <x:c r="U114" s="6" t="str"/>
      <x:c r="V114" s="6" t="str">
        <x:v>0</x:v>
      </x:c>
      <x:c r="W114" s="6" t="str"/>
      <x:c r="X114" s="6" t="str">
        <x:v>0</x:v>
      </x:c>
      <x:c r="Y114" s="6" t="str"/>
      <x:c r="Z114" s="6" t="str">
        <x:v>0</x:v>
      </x:c>
      <x:c r="AA114" s="6" t="str"/>
      <x:c r="AB114" s="6" t="str">
        <x:v>0</x:v>
      </x:c>
      <x:c r="AC114" s="6" t="str">
        <x:v>2025-05</x:v>
      </x:c>
      <x:c r="AD114" s="9" t="str">
        <x:v>BNPB operational disaster search table</x:v>
      </x:c>
      <x:c r="AE114" s="9" t="str">
        <x:v>https://gis.bnpb.go.id/databencana/tabel/pencarian.php</x:v>
      </x:c>
      <x:c r="AF114" s="9" t="str">
        <x:v>operational_snapshot_annual_totals_may_differ</x:v>
      </x:c>
    </x:row>
    <x:row r="115" ht="18" customHeight="1">
      <x:c r="A115" s="6" t="str">
        <x:v>15</x:v>
      </x:c>
      <x:c r="B115" s="6" t="str">
        <x:v>JAMBI</x:v>
      </x:c>
      <x:c r="C115" s="6" t="str">
        <x:v>2025</x:v>
      </x:c>
      <x:c r="D115" s="6" t="str">
        <x:v>6</x:v>
      </x:c>
      <x:c r="E115" s="6" t="str">
        <x:v>1</x:v>
      </x:c>
      <x:c r="F115" s="6" t="str">
        <x:v>1</x:v>
      </x:c>
      <x:c r="G115" s="6" t="str">
        <x:v>0</x:v>
      </x:c>
      <x:c r="H115" s="6" t="str">
        <x:v>0</x:v>
      </x:c>
      <x:c r="I115" s="6" t="str">
        <x:v>1</x:v>
      </x:c>
      <x:c r="J115" s="6" t="str">
        <x:v>0</x:v>
      </x:c>
      <x:c r="K115" s="6" t="str">
        <x:v>0</x:v>
      </x:c>
      <x:c r="L115" s="6" t="str">
        <x:v>0</x:v>
      </x:c>
      <x:c r="M115" s="6" t="str">
        <x:v>0</x:v>
      </x:c>
      <x:c r="N115" s="6" t="str">
        <x:v>0</x:v>
      </x:c>
      <x:c r="O115" s="6" t="str">
        <x:v>0</x:v>
      </x:c>
      <x:c r="P115" s="6" t="str">
        <x:v>1</x:v>
      </x:c>
      <x:c r="Q115" s="6" t="str"/>
      <x:c r="R115" s="6" t="str">
        <x:v>0</x:v>
      </x:c>
      <x:c r="S115" s="6" t="str"/>
      <x:c r="T115" s="6" t="str">
        <x:v>0</x:v>
      </x:c>
      <x:c r="U115" s="6" t="str"/>
      <x:c r="V115" s="6" t="str">
        <x:v>0</x:v>
      </x:c>
      <x:c r="W115" s="6" t="str">
        <x:v>32.0</x:v>
      </x:c>
      <x:c r="X115" s="6" t="str">
        <x:v>1</x:v>
      </x:c>
      <x:c r="Y115" s="6" t="str"/>
      <x:c r="Z115" s="6" t="str">
        <x:v>0</x:v>
      </x:c>
      <x:c r="AA115" s="6" t="str">
        <x:v>0.0</x:v>
      </x:c>
      <x:c r="AB115" s="6" t="str">
        <x:v>1</x:v>
      </x:c>
      <x:c r="AC115" s="6" t="str">
        <x:v>2025-06</x:v>
      </x:c>
      <x:c r="AD115" s="9" t="str">
        <x:v>BNPB operational disaster search table</x:v>
      </x:c>
      <x:c r="AE115" s="9" t="str">
        <x:v>https://gis.bnpb.go.id/databencana/tabel/pencarian.php</x:v>
      </x:c>
      <x:c r="AF115" s="9" t="str">
        <x:v>operational_snapshot_annual_totals_may_differ</x:v>
      </x:c>
    </x:row>
    <x:row r="116" ht="18" customHeight="1">
      <x:c r="A116" s="6" t="str">
        <x:v>15</x:v>
      </x:c>
      <x:c r="B116" s="6" t="str">
        <x:v>JAMBI</x:v>
      </x:c>
      <x:c r="C116" s="6" t="str">
        <x:v>2025</x:v>
      </x:c>
      <x:c r="D116" s="6" t="str">
        <x:v>7</x:v>
      </x:c>
      <x:c r="E116" s="6" t="str">
        <x:v>8</x:v>
      </x:c>
      <x:c r="F116" s="6" t="str">
        <x:v>8</x:v>
      </x:c>
      <x:c r="G116" s="6" t="str">
        <x:v>0</x:v>
      </x:c>
      <x:c r="H116" s="6" t="str">
        <x:v>1</x:v>
      </x:c>
      <x:c r="I116" s="6" t="str">
        <x:v>0</x:v>
      </x:c>
      <x:c r="J116" s="6" t="str">
        <x:v>0</x:v>
      </x:c>
      <x:c r="K116" s="6" t="str">
        <x:v>7</x:v>
      </x:c>
      <x:c r="L116" s="6" t="str">
        <x:v>0</x:v>
      </x:c>
      <x:c r="M116" s="6" t="str">
        <x:v>0</x:v>
      </x:c>
      <x:c r="N116" s="6" t="str">
        <x:v>0</x:v>
      </x:c>
      <x:c r="O116" s="6" t="str">
        <x:v>0</x:v>
      </x:c>
      <x:c r="P116" s="6" t="str">
        <x:v>8</x:v>
      </x:c>
      <x:c r="Q116" s="6" t="str">
        <x:v>2.0</x:v>
      </x:c>
      <x:c r="R116" s="6" t="str">
        <x:v>1</x:v>
      </x:c>
      <x:c r="S116" s="6" t="str"/>
      <x:c r="T116" s="6" t="str">
        <x:v>0</x:v>
      </x:c>
      <x:c r="U116" s="6" t="str"/>
      <x:c r="V116" s="6" t="str">
        <x:v>0</x:v>
      </x:c>
      <x:c r="W116" s="6" t="str">
        <x:v>2.0</x:v>
      </x:c>
      <x:c r="X116" s="6" t="str">
        <x:v>8</x:v>
      </x:c>
      <x:c r="Y116" s="6" t="str"/>
      <x:c r="Z116" s="6" t="str">
        <x:v>0</x:v>
      </x:c>
      <x:c r="AA116" s="6" t="str">
        <x:v>0.0</x:v>
      </x:c>
      <x:c r="AB116" s="6" t="str">
        <x:v>8</x:v>
      </x:c>
      <x:c r="AC116" s="6" t="str">
        <x:v>2025-07</x:v>
      </x:c>
      <x:c r="AD116" s="9" t="str">
        <x:v>BNPB operational disaster search table</x:v>
      </x:c>
      <x:c r="AE116" s="9" t="str">
        <x:v>https://gis.bnpb.go.id/databencana/tabel/pencarian.php</x:v>
      </x:c>
      <x:c r="AF116" s="9" t="str">
        <x:v>operational_snapshot_annual_totals_may_differ</x:v>
      </x:c>
    </x:row>
    <x:row r="117" ht="18" customHeight="1">
      <x:c r="A117" s="6" t="str">
        <x:v>15</x:v>
      </x:c>
      <x:c r="B117" s="6" t="str">
        <x:v>JAMBI</x:v>
      </x:c>
      <x:c r="C117" s="6" t="str">
        <x:v>2025</x:v>
      </x:c>
      <x:c r="D117" s="6" t="str">
        <x:v>8</x:v>
      </x:c>
      <x:c r="E117" s="6" t="str">
        <x:v>4</x:v>
      </x:c>
      <x:c r="F117" s="6" t="str">
        <x:v>4</x:v>
      </x:c>
      <x:c r="G117" s="6" t="str">
        <x:v>0</x:v>
      </x:c>
      <x:c r="H117" s="6" t="str">
        <x:v>0</x:v>
      </x:c>
      <x:c r="I117" s="6" t="str">
        <x:v>2</x:v>
      </x:c>
      <x:c r="J117" s="6" t="str">
        <x:v>0</x:v>
      </x:c>
      <x:c r="K117" s="6" t="str">
        <x:v>2</x:v>
      </x:c>
      <x:c r="L117" s="6" t="str">
        <x:v>0</x:v>
      </x:c>
      <x:c r="M117" s="6" t="str">
        <x:v>0</x:v>
      </x:c>
      <x:c r="N117" s="6" t="str">
        <x:v>0</x:v>
      </x:c>
      <x:c r="O117" s="6" t="str">
        <x:v>0</x:v>
      </x:c>
      <x:c r="P117" s="6" t="str">
        <x:v>4</x:v>
      </x:c>
      <x:c r="Q117" s="6" t="str"/>
      <x:c r="R117" s="6" t="str">
        <x:v>0</x:v>
      </x:c>
      <x:c r="S117" s="6" t="str"/>
      <x:c r="T117" s="6" t="str">
        <x:v>0</x:v>
      </x:c>
      <x:c r="U117" s="6" t="str">
        <x:v>1.0</x:v>
      </x:c>
      <x:c r="V117" s="6" t="str">
        <x:v>1</x:v>
      </x:c>
      <x:c r="W117" s="6" t="str">
        <x:v>169.0</x:v>
      </x:c>
      <x:c r="X117" s="6" t="str">
        <x:v>4</x:v>
      </x:c>
      <x:c r="Y117" s="6" t="str"/>
      <x:c r="Z117" s="6" t="str">
        <x:v>0</x:v>
      </x:c>
      <x:c r="AA117" s="6" t="str">
        <x:v>0.0</x:v>
      </x:c>
      <x:c r="AB117" s="6" t="str">
        <x:v>4</x:v>
      </x:c>
      <x:c r="AC117" s="6" t="str">
        <x:v>2025-08</x:v>
      </x:c>
      <x:c r="AD117" s="9" t="str">
        <x:v>BNPB operational disaster search table</x:v>
      </x:c>
      <x:c r="AE117" s="9" t="str">
        <x:v>https://gis.bnpb.go.id/databencana/tabel/pencarian.php</x:v>
      </x:c>
      <x:c r="AF117" s="9" t="str">
        <x:v>operational_snapshot_annual_totals_may_differ</x:v>
      </x:c>
    </x:row>
    <x:row r="118" ht="18" customHeight="1">
      <x:c r="A118" s="6" t="str">
        <x:v>15</x:v>
      </x:c>
      <x:c r="B118" s="6" t="str">
        <x:v>JAMBI</x:v>
      </x:c>
      <x:c r="C118" s="6" t="str">
        <x:v>2025</x:v>
      </x:c>
      <x:c r="D118" s="6" t="str">
        <x:v>9</x:v>
      </x:c>
      <x:c r="E118" s="6" t="str">
        <x:v>0</x:v>
      </x:c>
      <x:c r="F118" s="6" t="str">
        <x:v>0</x:v>
      </x:c>
      <x:c r="G118" s="6" t="str">
        <x:v>0</x:v>
      </x:c>
      <x:c r="H118" s="6" t="str">
        <x:v>0</x:v>
      </x:c>
      <x:c r="I118" s="6" t="str">
        <x:v>0</x:v>
      </x:c>
      <x:c r="J118" s="6" t="str">
        <x:v>0</x:v>
      </x:c>
      <x:c r="K118" s="6" t="str">
        <x:v>0</x:v>
      </x:c>
      <x:c r="L118" s="6" t="str">
        <x:v>0</x:v>
      </x:c>
      <x:c r="M118" s="6" t="str">
        <x:v>0</x:v>
      </x:c>
      <x:c r="N118" s="6" t="str">
        <x:v>0</x:v>
      </x:c>
      <x:c r="O118" s="6" t="str">
        <x:v>0</x:v>
      </x:c>
      <x:c r="P118" s="6" t="str">
        <x:v>0</x:v>
      </x:c>
      <x:c r="Q118" s="6" t="str"/>
      <x:c r="R118" s="6" t="str">
        <x:v>0</x:v>
      </x:c>
      <x:c r="S118" s="6" t="str"/>
      <x:c r="T118" s="6" t="str">
        <x:v>0</x:v>
      </x:c>
      <x:c r="U118" s="6" t="str"/>
      <x:c r="V118" s="6" t="str">
        <x:v>0</x:v>
      </x:c>
      <x:c r="W118" s="6" t="str"/>
      <x:c r="X118" s="6" t="str">
        <x:v>0</x:v>
      </x:c>
      <x:c r="Y118" s="6" t="str"/>
      <x:c r="Z118" s="6" t="str">
        <x:v>0</x:v>
      </x:c>
      <x:c r="AA118" s="6" t="str"/>
      <x:c r="AB118" s="6" t="str">
        <x:v>0</x:v>
      </x:c>
      <x:c r="AC118" s="6" t="str">
        <x:v>2025-09</x:v>
      </x:c>
      <x:c r="AD118" s="9" t="str">
        <x:v>BNPB operational disaster search table</x:v>
      </x:c>
      <x:c r="AE118" s="9" t="str">
        <x:v>https://gis.bnpb.go.id/databencana/tabel/pencarian.php</x:v>
      </x:c>
      <x:c r="AF118" s="9" t="str">
        <x:v>operational_snapshot_annual_totals_may_differ</x:v>
      </x:c>
    </x:row>
    <x:row r="119" ht="18" customHeight="1">
      <x:c r="A119" s="6" t="str">
        <x:v>15</x:v>
      </x:c>
      <x:c r="B119" s="6" t="str">
        <x:v>JAMBI</x:v>
      </x:c>
      <x:c r="C119" s="6" t="str">
        <x:v>2025</x:v>
      </x:c>
      <x:c r="D119" s="6" t="str">
        <x:v>10</x:v>
      </x:c>
      <x:c r="E119" s="6" t="str">
        <x:v>1</x:v>
      </x:c>
      <x:c r="F119" s="6" t="str">
        <x:v>1</x:v>
      </x:c>
      <x:c r="G119" s="6" t="str">
        <x:v>1</x:v>
      </x:c>
      <x:c r="H119" s="6" t="str">
        <x:v>0</x:v>
      </x:c>
      <x:c r="I119" s="6" t="str">
        <x:v>0</x:v>
      </x:c>
      <x:c r="J119" s="6" t="str">
        <x:v>0</x:v>
      </x:c>
      <x:c r="K119" s="6" t="str">
        <x:v>0</x:v>
      </x:c>
      <x:c r="L119" s="6" t="str">
        <x:v>0</x:v>
      </x:c>
      <x:c r="M119" s="6" t="str">
        <x:v>0</x:v>
      </x:c>
      <x:c r="N119" s="6" t="str">
        <x:v>0</x:v>
      </x:c>
      <x:c r="O119" s="6" t="str">
        <x:v>0</x:v>
      </x:c>
      <x:c r="P119" s="6" t="str">
        <x:v>1</x:v>
      </x:c>
      <x:c r="Q119" s="6" t="str"/>
      <x:c r="R119" s="6" t="str">
        <x:v>0</x:v>
      </x:c>
      <x:c r="S119" s="6" t="str"/>
      <x:c r="T119" s="6" t="str">
        <x:v>0</x:v>
      </x:c>
      <x:c r="U119" s="6" t="str"/>
      <x:c r="V119" s="6" t="str">
        <x:v>0</x:v>
      </x:c>
      <x:c r="W119" s="6" t="str">
        <x:v>7.0</x:v>
      </x:c>
      <x:c r="X119" s="6" t="str">
        <x:v>1</x:v>
      </x:c>
      <x:c r="Y119" s="6" t="str">
        <x:v>43.0</x:v>
      </x:c>
      <x:c r="Z119" s="6" t="str">
        <x:v>1</x:v>
      </x:c>
      <x:c r="AA119" s="6" t="str">
        <x:v>0.0</x:v>
      </x:c>
      <x:c r="AB119" s="6" t="str">
        <x:v>1</x:v>
      </x:c>
      <x:c r="AC119" s="6" t="str">
        <x:v>2025-10</x:v>
      </x:c>
      <x:c r="AD119" s="9" t="str">
        <x:v>BNPB operational disaster search table</x:v>
      </x:c>
      <x:c r="AE119" s="9" t="str">
        <x:v>https://gis.bnpb.go.id/databencana/tabel/pencarian.php</x:v>
      </x:c>
      <x:c r="AF119" s="9" t="str">
        <x:v>operational_snapshot_annual_totals_may_differ</x:v>
      </x:c>
    </x:row>
    <x:row r="120" ht="18" customHeight="1">
      <x:c r="A120" s="6" t="str">
        <x:v>15</x:v>
      </x:c>
      <x:c r="B120" s="6" t="str">
        <x:v>JAMBI</x:v>
      </x:c>
      <x:c r="C120" s="6" t="str">
        <x:v>2025</x:v>
      </x:c>
      <x:c r="D120" s="6" t="str">
        <x:v>11</x:v>
      </x:c>
      <x:c r="E120" s="6" t="str">
        <x:v>0</x:v>
      </x:c>
      <x:c r="F120" s="6" t="str">
        <x:v>0</x:v>
      </x:c>
      <x:c r="G120" s="6" t="str">
        <x:v>0</x:v>
      </x:c>
      <x:c r="H120" s="6" t="str">
        <x:v>0</x:v>
      </x:c>
      <x:c r="I120" s="6" t="str">
        <x:v>0</x:v>
      </x:c>
      <x:c r="J120" s="6" t="str">
        <x:v>0</x:v>
      </x:c>
      <x:c r="K120" s="6" t="str">
        <x:v>0</x:v>
      </x:c>
      <x:c r="L120" s="6" t="str">
        <x:v>0</x:v>
      </x:c>
      <x:c r="M120" s="6" t="str">
        <x:v>0</x:v>
      </x:c>
      <x:c r="N120" s="6" t="str">
        <x:v>0</x:v>
      </x:c>
      <x:c r="O120" s="6" t="str">
        <x:v>0</x:v>
      </x:c>
      <x:c r="P120" s="6" t="str">
        <x:v>0</x:v>
      </x:c>
      <x:c r="Q120" s="6" t="str"/>
      <x:c r="R120" s="6" t="str">
        <x:v>0</x:v>
      </x:c>
      <x:c r="S120" s="6" t="str"/>
      <x:c r="T120" s="6" t="str">
        <x:v>0</x:v>
      </x:c>
      <x:c r="U120" s="6" t="str"/>
      <x:c r="V120" s="6" t="str">
        <x:v>0</x:v>
      </x:c>
      <x:c r="W120" s="6" t="str"/>
      <x:c r="X120" s="6" t="str">
        <x:v>0</x:v>
      </x:c>
      <x:c r="Y120" s="6" t="str"/>
      <x:c r="Z120" s="6" t="str">
        <x:v>0</x:v>
      </x:c>
      <x:c r="AA120" s="6" t="str"/>
      <x:c r="AB120" s="6" t="str">
        <x:v>0</x:v>
      </x:c>
      <x:c r="AC120" s="6" t="str">
        <x:v>2025-11</x:v>
      </x:c>
      <x:c r="AD120" s="9" t="str">
        <x:v>BNPB operational disaster search table</x:v>
      </x:c>
      <x:c r="AE120" s="9" t="str">
        <x:v>https://gis.bnpb.go.id/databencana/tabel/pencarian.php</x:v>
      </x:c>
      <x:c r="AF120" s="9" t="str">
        <x:v>operational_snapshot_annual_totals_may_differ</x:v>
      </x:c>
    </x:row>
    <x:row r="121" ht="18" customHeight="1">
      <x:c r="A121" s="6" t="str">
        <x:v>15</x:v>
      </x:c>
      <x:c r="B121" s="6" t="str">
        <x:v>JAMBI</x:v>
      </x:c>
      <x:c r="C121" s="6" t="str">
        <x:v>2025</x:v>
      </x:c>
      <x:c r="D121" s="6" t="str">
        <x:v>12</x:v>
      </x:c>
      <x:c r="E121" s="6" t="str">
        <x:v>2</x:v>
      </x:c>
      <x:c r="F121" s="6" t="str">
        <x:v>2</x:v>
      </x:c>
      <x:c r="G121" s="6" t="str">
        <x:v>2</x:v>
      </x:c>
      <x:c r="H121" s="6" t="str">
        <x:v>0</x:v>
      </x:c>
      <x:c r="I121" s="6" t="str">
        <x:v>0</x:v>
      </x:c>
      <x:c r="J121" s="6" t="str">
        <x:v>0</x:v>
      </x:c>
      <x:c r="K121" s="6" t="str">
        <x:v>0</x:v>
      </x:c>
      <x:c r="L121" s="6" t="str">
        <x:v>0</x:v>
      </x:c>
      <x:c r="M121" s="6" t="str">
        <x:v>0</x:v>
      </x:c>
      <x:c r="N121" s="6" t="str">
        <x:v>0</x:v>
      </x:c>
      <x:c r="O121" s="6" t="str">
        <x:v>0</x:v>
      </x:c>
      <x:c r="P121" s="6" t="str">
        <x:v>2</x:v>
      </x:c>
      <x:c r="Q121" s="6" t="str">
        <x:v>1.0</x:v>
      </x:c>
      <x:c r="R121" s="6" t="str">
        <x:v>1</x:v>
      </x:c>
      <x:c r="S121" s="6" t="str"/>
      <x:c r="T121" s="6" t="str">
        <x:v>0</x:v>
      </x:c>
      <x:c r="U121" s="6" t="str">
        <x:v>1.0</x:v>
      </x:c>
      <x:c r="V121" s="6" t="str">
        <x:v>1</x:v>
      </x:c>
      <x:c r="W121" s="6" t="str">
        <x:v>0.0</x:v>
      </x:c>
      <x:c r="X121" s="6" t="str">
        <x:v>2</x:v>
      </x:c>
      <x:c r="Y121" s="6" t="str">
        <x:v>860.0</x:v>
      </x:c>
      <x:c r="Z121" s="6" t="str">
        <x:v>2</x:v>
      </x:c>
      <x:c r="AA121" s="6" t="str">
        <x:v>0.0</x:v>
      </x:c>
      <x:c r="AB121" s="6" t="str">
        <x:v>2</x:v>
      </x:c>
      <x:c r="AC121" s="6" t="str">
        <x:v>2025-12</x:v>
      </x:c>
      <x:c r="AD121" s="9" t="str">
        <x:v>BNPB operational disaster search table</x:v>
      </x:c>
      <x:c r="AE121" s="9" t="str">
        <x:v>https://gis.bnpb.go.id/databencana/tabel/pencarian.php</x:v>
      </x:c>
      <x:c r="AF121" s="9" t="str">
        <x:v>operational_snapshot_annual_totals_may_differ</x:v>
      </x:c>
    </x:row>
    <x:row r="122" ht="18" customHeight="1">
      <x:c r="A122" s="6" t="str">
        <x:v>16</x:v>
      </x:c>
      <x:c r="B122" s="6" t="str">
        <x:v>SUMATERA SELATAN</x:v>
      </x:c>
      <x:c r="C122" s="6" t="str">
        <x:v>2024</x:v>
      </x:c>
      <x:c r="D122" s="6" t="str">
        <x:v>1</x:v>
      </x:c>
      <x:c r="E122" s="6" t="str">
        <x:v>29</x:v>
      </x:c>
      <x:c r="F122" s="6" t="str">
        <x:v>29</x:v>
      </x:c>
      <x:c r="G122" s="6" t="str">
        <x:v>29</x:v>
      </x:c>
      <x:c r="H122" s="6" t="str">
        <x:v>0</x:v>
      </x:c>
      <x:c r="I122" s="6" t="str">
        <x:v>0</x:v>
      </x:c>
      <x:c r="J122" s="6" t="str">
        <x:v>0</x:v>
      </x:c>
      <x:c r="K122" s="6" t="str">
        <x:v>0</x:v>
      </x:c>
      <x:c r="L122" s="6" t="str">
        <x:v>0</x:v>
      </x:c>
      <x:c r="M122" s="6" t="str">
        <x:v>0</x:v>
      </x:c>
      <x:c r="N122" s="6" t="str">
        <x:v>0</x:v>
      </x:c>
      <x:c r="O122" s="6" t="str">
        <x:v>0</x:v>
      </x:c>
      <x:c r="P122" s="6" t="str">
        <x:v>29</x:v>
      </x:c>
      <x:c r="Q122" s="6" t="str">
        <x:v>0.0</x:v>
      </x:c>
      <x:c r="R122" s="6" t="str">
        <x:v>14</x:v>
      </x:c>
      <x:c r="S122" s="6" t="str">
        <x:v>0.0</x:v>
      </x:c>
      <x:c r="T122" s="6" t="str">
        <x:v>14</x:v>
      </x:c>
      <x:c r="U122" s="6" t="str">
        <x:v>0.0</x:v>
      </x:c>
      <x:c r="V122" s="6" t="str">
        <x:v>14</x:v>
      </x:c>
      <x:c r="W122" s="6" t="str">
        <x:v>401.0</x:v>
      </x:c>
      <x:c r="X122" s="6" t="str">
        <x:v>29</x:v>
      </x:c>
      <x:c r="Y122" s="6" t="str">
        <x:v>44906.0</x:v>
      </x:c>
      <x:c r="Z122" s="6" t="str">
        <x:v>28</x:v>
      </x:c>
      <x:c r="AA122" s="6" t="str">
        <x:v>18.0</x:v>
      </x:c>
      <x:c r="AB122" s="6" t="str">
        <x:v>29</x:v>
      </x:c>
      <x:c r="AC122" s="6" t="str">
        <x:v>2024-01</x:v>
      </x:c>
      <x:c r="AD122" s="9" t="str">
        <x:v>BNPB operational disaster search table</x:v>
      </x:c>
      <x:c r="AE122" s="9" t="str">
        <x:v>https://gis.bnpb.go.id/databencana/tabel/pencarian.php</x:v>
      </x:c>
      <x:c r="AF122" s="9" t="str">
        <x:v>operational_snapshot_annual_totals_may_differ</x:v>
      </x:c>
    </x:row>
    <x:row r="123" ht="18" customHeight="1">
      <x:c r="A123" s="6" t="str">
        <x:v>16</x:v>
      </x:c>
      <x:c r="B123" s="6" t="str">
        <x:v>SUMATERA SELATAN</x:v>
      </x:c>
      <x:c r="C123" s="6" t="str">
        <x:v>2024</x:v>
      </x:c>
      <x:c r="D123" s="6" t="str">
        <x:v>2</x:v>
      </x:c>
      <x:c r="E123" s="6" t="str">
        <x:v>13</x:v>
      </x:c>
      <x:c r="F123" s="6" t="str">
        <x:v>13</x:v>
      </x:c>
      <x:c r="G123" s="6" t="str">
        <x:v>12</x:v>
      </x:c>
      <x:c r="H123" s="6" t="str">
        <x:v>1</x:v>
      </x:c>
      <x:c r="I123" s="6" t="str">
        <x:v>0</x:v>
      </x:c>
      <x:c r="J123" s="6" t="str">
        <x:v>0</x:v>
      </x:c>
      <x:c r="K123" s="6" t="str">
        <x:v>0</x:v>
      </x:c>
      <x:c r="L123" s="6" t="str">
        <x:v>0</x:v>
      </x:c>
      <x:c r="M123" s="6" t="str">
        <x:v>0</x:v>
      </x:c>
      <x:c r="N123" s="6" t="str">
        <x:v>0</x:v>
      </x:c>
      <x:c r="O123" s="6" t="str">
        <x:v>0</x:v>
      </x:c>
      <x:c r="P123" s="6" t="str">
        <x:v>13</x:v>
      </x:c>
      <x:c r="Q123" s="6" t="str">
        <x:v>0.0</x:v>
      </x:c>
      <x:c r="R123" s="6" t="str">
        <x:v>7</x:v>
      </x:c>
      <x:c r="S123" s="6" t="str">
        <x:v>0.0</x:v>
      </x:c>
      <x:c r="T123" s="6" t="str">
        <x:v>7</x:v>
      </x:c>
      <x:c r="U123" s="6" t="str">
        <x:v>8.0</x:v>
      </x:c>
      <x:c r="V123" s="6" t="str">
        <x:v>7</x:v>
      </x:c>
      <x:c r="W123" s="6" t="str">
        <x:v>0.0</x:v>
      </x:c>
      <x:c r="X123" s="6" t="str">
        <x:v>13</x:v>
      </x:c>
      <x:c r="Y123" s="6" t="str">
        <x:v>4402.0</x:v>
      </x:c>
      <x:c r="Z123" s="6" t="str">
        <x:v>12</x:v>
      </x:c>
      <x:c r="AA123" s="6" t="str">
        <x:v>2.0</x:v>
      </x:c>
      <x:c r="AB123" s="6" t="str">
        <x:v>13</x:v>
      </x:c>
      <x:c r="AC123" s="6" t="str">
        <x:v>2024-02</x:v>
      </x:c>
      <x:c r="AD123" s="9" t="str">
        <x:v>BNPB operational disaster search table</x:v>
      </x:c>
      <x:c r="AE123" s="9" t="str">
        <x:v>https://gis.bnpb.go.id/databencana/tabel/pencarian.php</x:v>
      </x:c>
      <x:c r="AF123" s="9" t="str">
        <x:v>operational_snapshot_annual_totals_may_differ</x:v>
      </x:c>
    </x:row>
    <x:row r="124" ht="18" customHeight="1">
      <x:c r="A124" s="6" t="str">
        <x:v>16</x:v>
      </x:c>
      <x:c r="B124" s="6" t="str">
        <x:v>SUMATERA SELATAN</x:v>
      </x:c>
      <x:c r="C124" s="6" t="str">
        <x:v>2024</x:v>
      </x:c>
      <x:c r="D124" s="6" t="str">
        <x:v>3</x:v>
      </x:c>
      <x:c r="E124" s="6" t="str">
        <x:v>6</x:v>
      </x:c>
      <x:c r="F124" s="6" t="str">
        <x:v>6</x:v>
      </x:c>
      <x:c r="G124" s="6" t="str">
        <x:v>5</x:v>
      </x:c>
      <x:c r="H124" s="6" t="str">
        <x:v>0</x:v>
      </x:c>
      <x:c r="I124" s="6" t="str">
        <x:v>1</x:v>
      </x:c>
      <x:c r="J124" s="6" t="str">
        <x:v>0</x:v>
      </x:c>
      <x:c r="K124" s="6" t="str">
        <x:v>0</x:v>
      </x:c>
      <x:c r="L124" s="6" t="str">
        <x:v>0</x:v>
      </x:c>
      <x:c r="M124" s="6" t="str">
        <x:v>0</x:v>
      </x:c>
      <x:c r="N124" s="6" t="str">
        <x:v>0</x:v>
      </x:c>
      <x:c r="O124" s="6" t="str">
        <x:v>0</x:v>
      </x:c>
      <x:c r="P124" s="6" t="str">
        <x:v>6</x:v>
      </x:c>
      <x:c r="Q124" s="6" t="str">
        <x:v>0.0</x:v>
      </x:c>
      <x:c r="R124" s="6" t="str">
        <x:v>4</x:v>
      </x:c>
      <x:c r="S124" s="6" t="str">
        <x:v>0.0</x:v>
      </x:c>
      <x:c r="T124" s="6" t="str">
        <x:v>4</x:v>
      </x:c>
      <x:c r="U124" s="6" t="str">
        <x:v>0.0</x:v>
      </x:c>
      <x:c r="V124" s="6" t="str">
        <x:v>4</x:v>
      </x:c>
      <x:c r="W124" s="6" t="str">
        <x:v>26.0</x:v>
      </x:c>
      <x:c r="X124" s="6" t="str">
        <x:v>6</x:v>
      </x:c>
      <x:c r="Y124" s="6" t="str">
        <x:v>3736.0</x:v>
      </x:c>
      <x:c r="Z124" s="6" t="str">
        <x:v>5</x:v>
      </x:c>
      <x:c r="AA124" s="6" t="str">
        <x:v>0.0</x:v>
      </x:c>
      <x:c r="AB124" s="6" t="str">
        <x:v>6</x:v>
      </x:c>
      <x:c r="AC124" s="6" t="str">
        <x:v>2024-03</x:v>
      </x:c>
      <x:c r="AD124" s="9" t="str">
        <x:v>BNPB operational disaster search table</x:v>
      </x:c>
      <x:c r="AE124" s="9" t="str">
        <x:v>https://gis.bnpb.go.id/databencana/tabel/pencarian.php</x:v>
      </x:c>
      <x:c r="AF124" s="9" t="str">
        <x:v>operational_snapshot_annual_totals_may_differ</x:v>
      </x:c>
    </x:row>
    <x:row r="125" ht="18" customHeight="1">
      <x:c r="A125" s="6" t="str">
        <x:v>16</x:v>
      </x:c>
      <x:c r="B125" s="6" t="str">
        <x:v>SUMATERA SELATAN</x:v>
      </x:c>
      <x:c r="C125" s="6" t="str">
        <x:v>2024</x:v>
      </x:c>
      <x:c r="D125" s="6" t="str">
        <x:v>4</x:v>
      </x:c>
      <x:c r="E125" s="6" t="str">
        <x:v>3</x:v>
      </x:c>
      <x:c r="F125" s="6" t="str">
        <x:v>3</x:v>
      </x:c>
      <x:c r="G125" s="6" t="str">
        <x:v>3</x:v>
      </x:c>
      <x:c r="H125" s="6" t="str">
        <x:v>0</x:v>
      </x:c>
      <x:c r="I125" s="6" t="str">
        <x:v>0</x:v>
      </x:c>
      <x:c r="J125" s="6" t="str">
        <x:v>0</x:v>
      </x:c>
      <x:c r="K125" s="6" t="str">
        <x:v>0</x:v>
      </x:c>
      <x:c r="L125" s="6" t="str">
        <x:v>0</x:v>
      </x:c>
      <x:c r="M125" s="6" t="str">
        <x:v>0</x:v>
      </x:c>
      <x:c r="N125" s="6" t="str">
        <x:v>0</x:v>
      </x:c>
      <x:c r="O125" s="6" t="str">
        <x:v>0</x:v>
      </x:c>
      <x:c r="P125" s="6" t="str">
        <x:v>3</x:v>
      </x:c>
      <x:c r="Q125" s="6" t="str">
        <x:v>4.0</x:v>
      </x:c>
      <x:c r="R125" s="6" t="str">
        <x:v>3</x:v>
      </x:c>
      <x:c r="S125" s="6" t="str">
        <x:v>2.0</x:v>
      </x:c>
      <x:c r="T125" s="6" t="str">
        <x:v>3</x:v>
      </x:c>
      <x:c r="U125" s="6" t="str">
        <x:v>0.0</x:v>
      </x:c>
      <x:c r="V125" s="6" t="str">
        <x:v>3</x:v>
      </x:c>
      <x:c r="W125" s="6" t="str">
        <x:v>670.0</x:v>
      </x:c>
      <x:c r="X125" s="6" t="str">
        <x:v>3</x:v>
      </x:c>
      <x:c r="Y125" s="6" t="str">
        <x:v>12555.0</x:v>
      </x:c>
      <x:c r="Z125" s="6" t="str">
        <x:v>3</x:v>
      </x:c>
      <x:c r="AA125" s="6" t="str">
        <x:v>10.0</x:v>
      </x:c>
      <x:c r="AB125" s="6" t="str">
        <x:v>3</x:v>
      </x:c>
      <x:c r="AC125" s="6" t="str">
        <x:v>2024-04</x:v>
      </x:c>
      <x:c r="AD125" s="9" t="str">
        <x:v>BNPB operational disaster search table</x:v>
      </x:c>
      <x:c r="AE125" s="9" t="str">
        <x:v>https://gis.bnpb.go.id/databencana/tabel/pencarian.php</x:v>
      </x:c>
      <x:c r="AF125" s="9" t="str">
        <x:v>operational_snapshot_annual_totals_may_differ</x:v>
      </x:c>
    </x:row>
    <x:row r="126" ht="18" customHeight="1">
      <x:c r="A126" s="6" t="str">
        <x:v>16</x:v>
      </x:c>
      <x:c r="B126" s="6" t="str">
        <x:v>SUMATERA SELATAN</x:v>
      </x:c>
      <x:c r="C126" s="6" t="str">
        <x:v>2024</x:v>
      </x:c>
      <x:c r="D126" s="6" t="str">
        <x:v>5</x:v>
      </x:c>
      <x:c r="E126" s="6" t="str">
        <x:v>9</x:v>
      </x:c>
      <x:c r="F126" s="6" t="str">
        <x:v>9</x:v>
      </x:c>
      <x:c r="G126" s="6" t="str">
        <x:v>9</x:v>
      </x:c>
      <x:c r="H126" s="6" t="str">
        <x:v>0</x:v>
      </x:c>
      <x:c r="I126" s="6" t="str">
        <x:v>0</x:v>
      </x:c>
      <x:c r="J126" s="6" t="str">
        <x:v>0</x:v>
      </x:c>
      <x:c r="K126" s="6" t="str">
        <x:v>0</x:v>
      </x:c>
      <x:c r="L126" s="6" t="str">
        <x:v>0</x:v>
      </x:c>
      <x:c r="M126" s="6" t="str">
        <x:v>0</x:v>
      </x:c>
      <x:c r="N126" s="6" t="str">
        <x:v>0</x:v>
      </x:c>
      <x:c r="O126" s="6" t="str">
        <x:v>0</x:v>
      </x:c>
      <x:c r="P126" s="6" t="str">
        <x:v>9</x:v>
      </x:c>
      <x:c r="Q126" s="6" t="str">
        <x:v>8.0</x:v>
      </x:c>
      <x:c r="R126" s="6" t="str">
        <x:v>8</x:v>
      </x:c>
      <x:c r="S126" s="6" t="str">
        <x:v>1.0</x:v>
      </x:c>
      <x:c r="T126" s="6" t="str">
        <x:v>8</x:v>
      </x:c>
      <x:c r="U126" s="6" t="str">
        <x:v>6.0</x:v>
      </x:c>
      <x:c r="V126" s="6" t="str">
        <x:v>8</x:v>
      </x:c>
      <x:c r="W126" s="6" t="str">
        <x:v>136.0</x:v>
      </x:c>
      <x:c r="X126" s="6" t="str">
        <x:v>9</x:v>
      </x:c>
      <x:c r="Y126" s="6" t="str">
        <x:v>34525.0</x:v>
      </x:c>
      <x:c r="Z126" s="6" t="str">
        <x:v>9</x:v>
      </x:c>
      <x:c r="AA126" s="6" t="str">
        <x:v>14.0</x:v>
      </x:c>
      <x:c r="AB126" s="6" t="str">
        <x:v>9</x:v>
      </x:c>
      <x:c r="AC126" s="6" t="str">
        <x:v>2024-05</x:v>
      </x:c>
      <x:c r="AD126" s="9" t="str">
        <x:v>BNPB operational disaster search table</x:v>
      </x:c>
      <x:c r="AE126" s="9" t="str">
        <x:v>https://gis.bnpb.go.id/databencana/tabel/pencarian.php</x:v>
      </x:c>
      <x:c r="AF126" s="9" t="str">
        <x:v>operational_snapshot_annual_totals_may_differ</x:v>
      </x:c>
    </x:row>
    <x:row r="127" ht="18" customHeight="1">
      <x:c r="A127" s="6" t="str">
        <x:v>16</x:v>
      </x:c>
      <x:c r="B127" s="6" t="str">
        <x:v>SUMATERA SELATAN</x:v>
      </x:c>
      <x:c r="C127" s="6" t="str">
        <x:v>2024</x:v>
      </x:c>
      <x:c r="D127" s="6" t="str">
        <x:v>6</x:v>
      </x:c>
      <x:c r="E127" s="6" t="str">
        <x:v>10</x:v>
      </x:c>
      <x:c r="F127" s="6" t="str">
        <x:v>10</x:v>
      </x:c>
      <x:c r="G127" s="6" t="str">
        <x:v>6</x:v>
      </x:c>
      <x:c r="H127" s="6" t="str">
        <x:v>0</x:v>
      </x:c>
      <x:c r="I127" s="6" t="str">
        <x:v>1</x:v>
      </x:c>
      <x:c r="J127" s="6" t="str">
        <x:v>0</x:v>
      </x:c>
      <x:c r="K127" s="6" t="str">
        <x:v>3</x:v>
      </x:c>
      <x:c r="L127" s="6" t="str">
        <x:v>0</x:v>
      </x:c>
      <x:c r="M127" s="6" t="str">
        <x:v>0</x:v>
      </x:c>
      <x:c r="N127" s="6" t="str">
        <x:v>0</x:v>
      </x:c>
      <x:c r="O127" s="6" t="str">
        <x:v>0</x:v>
      </x:c>
      <x:c r="P127" s="6" t="str">
        <x:v>10</x:v>
      </x:c>
      <x:c r="Q127" s="6" t="str">
        <x:v>0.0</x:v>
      </x:c>
      <x:c r="R127" s="6" t="str">
        <x:v>9</x:v>
      </x:c>
      <x:c r="S127" s="6" t="str">
        <x:v>0.0</x:v>
      </x:c>
      <x:c r="T127" s="6" t="str">
        <x:v>9</x:v>
      </x:c>
      <x:c r="U127" s="6" t="str">
        <x:v>0.0</x:v>
      </x:c>
      <x:c r="V127" s="6" t="str">
        <x:v>9</x:v>
      </x:c>
      <x:c r="W127" s="6" t="str">
        <x:v>15.0</x:v>
      </x:c>
      <x:c r="X127" s="6" t="str">
        <x:v>10</x:v>
      </x:c>
      <x:c r="Y127" s="6" t="str">
        <x:v>3238.0</x:v>
      </x:c>
      <x:c r="Z127" s="6" t="str">
        <x:v>6</x:v>
      </x:c>
      <x:c r="AA127" s="6" t="str">
        <x:v>1.0</x:v>
      </x:c>
      <x:c r="AB127" s="6" t="str">
        <x:v>10</x:v>
      </x:c>
      <x:c r="AC127" s="6" t="str">
        <x:v>2024-06</x:v>
      </x:c>
      <x:c r="AD127" s="9" t="str">
        <x:v>BNPB operational disaster search table</x:v>
      </x:c>
      <x:c r="AE127" s="9" t="str">
        <x:v>https://gis.bnpb.go.id/databencana/tabel/pencarian.php</x:v>
      </x:c>
      <x:c r="AF127" s="9" t="str">
        <x:v>operational_snapshot_annual_totals_may_differ</x:v>
      </x:c>
    </x:row>
    <x:row r="128" ht="18" customHeight="1">
      <x:c r="A128" s="6" t="str">
        <x:v>16</x:v>
      </x:c>
      <x:c r="B128" s="6" t="str">
        <x:v>SUMATERA SELATAN</x:v>
      </x:c>
      <x:c r="C128" s="6" t="str">
        <x:v>2024</x:v>
      </x:c>
      <x:c r="D128" s="6" t="str">
        <x:v>7</x:v>
      </x:c>
      <x:c r="E128" s="6" t="str">
        <x:v>37</x:v>
      </x:c>
      <x:c r="F128" s="6" t="str">
        <x:v>37</x:v>
      </x:c>
      <x:c r="G128" s="6" t="str">
        <x:v>1</x:v>
      </x:c>
      <x:c r="H128" s="6" t="str">
        <x:v>0</x:v>
      </x:c>
      <x:c r="I128" s="6" t="str">
        <x:v>0</x:v>
      </x:c>
      <x:c r="J128" s="6" t="str">
        <x:v>0</x:v>
      </x:c>
      <x:c r="K128" s="6" t="str">
        <x:v>36</x:v>
      </x:c>
      <x:c r="L128" s="6" t="str">
        <x:v>0</x:v>
      </x:c>
      <x:c r="M128" s="6" t="str">
        <x:v>0</x:v>
      </x:c>
      <x:c r="N128" s="6" t="str">
        <x:v>0</x:v>
      </x:c>
      <x:c r="O128" s="6" t="str">
        <x:v>0</x:v>
      </x:c>
      <x:c r="P128" s="6" t="str">
        <x:v>37</x:v>
      </x:c>
      <x:c r="Q128" s="6" t="str">
        <x:v>0.0</x:v>
      </x:c>
      <x:c r="R128" s="6" t="str">
        <x:v>8</x:v>
      </x:c>
      <x:c r="S128" s="6" t="str">
        <x:v>0.0</x:v>
      </x:c>
      <x:c r="T128" s="6" t="str">
        <x:v>8</x:v>
      </x:c>
      <x:c r="U128" s="6" t="str">
        <x:v>0.0</x:v>
      </x:c>
      <x:c r="V128" s="6" t="str">
        <x:v>8</x:v>
      </x:c>
      <x:c r="W128" s="6" t="str">
        <x:v>0.0</x:v>
      </x:c>
      <x:c r="X128" s="6" t="str">
        <x:v>37</x:v>
      </x:c>
      <x:c r="Y128" s="6" t="str">
        <x:v>187.0</x:v>
      </x:c>
      <x:c r="Z128" s="6" t="str">
        <x:v>1</x:v>
      </x:c>
      <x:c r="AA128" s="6" t="str">
        <x:v>0.0</x:v>
      </x:c>
      <x:c r="AB128" s="6" t="str">
        <x:v>37</x:v>
      </x:c>
      <x:c r="AC128" s="6" t="str">
        <x:v>2024-07</x:v>
      </x:c>
      <x:c r="AD128" s="9" t="str">
        <x:v>BNPB operational disaster search table</x:v>
      </x:c>
      <x:c r="AE128" s="9" t="str">
        <x:v>https://gis.bnpb.go.id/databencana/tabel/pencarian.php</x:v>
      </x:c>
      <x:c r="AF128" s="9" t="str">
        <x:v>operational_snapshot_annual_totals_may_differ</x:v>
      </x:c>
    </x:row>
    <x:row r="129" ht="18" customHeight="1">
      <x:c r="A129" s="6" t="str">
        <x:v>16</x:v>
      </x:c>
      <x:c r="B129" s="6" t="str">
        <x:v>SUMATERA SELATAN</x:v>
      </x:c>
      <x:c r="C129" s="6" t="str">
        <x:v>2024</x:v>
      </x:c>
      <x:c r="D129" s="6" t="str">
        <x:v>8</x:v>
      </x:c>
      <x:c r="E129" s="6" t="str">
        <x:v>77</x:v>
      </x:c>
      <x:c r="F129" s="6" t="str">
        <x:v>77</x:v>
      </x:c>
      <x:c r="G129" s="6" t="str">
        <x:v>0</x:v>
      </x:c>
      <x:c r="H129" s="6" t="str">
        <x:v>0</x:v>
      </x:c>
      <x:c r="I129" s="6" t="str">
        <x:v>0</x:v>
      </x:c>
      <x:c r="J129" s="6" t="str">
        <x:v>0</x:v>
      </x:c>
      <x:c r="K129" s="6" t="str">
        <x:v>77</x:v>
      </x:c>
      <x:c r="L129" s="6" t="str">
        <x:v>0</x:v>
      </x:c>
      <x:c r="M129" s="6" t="str">
        <x:v>0</x:v>
      </x:c>
      <x:c r="N129" s="6" t="str">
        <x:v>0</x:v>
      </x:c>
      <x:c r="O129" s="6" t="str">
        <x:v>0</x:v>
      </x:c>
      <x:c r="P129" s="6" t="str">
        <x:v>77</x:v>
      </x:c>
      <x:c r="Q129" s="6" t="str">
        <x:v>0.0</x:v>
      </x:c>
      <x:c r="R129" s="6" t="str">
        <x:v>3</x:v>
      </x:c>
      <x:c r="S129" s="6" t="str">
        <x:v>0.0</x:v>
      </x:c>
      <x:c r="T129" s="6" t="str">
        <x:v>3</x:v>
      </x:c>
      <x:c r="U129" s="6" t="str">
        <x:v>0.0</x:v>
      </x:c>
      <x:c r="V129" s="6" t="str">
        <x:v>3</x:v>
      </x:c>
      <x:c r="W129" s="6" t="str">
        <x:v>0.0</x:v>
      </x:c>
      <x:c r="X129" s="6" t="str">
        <x:v>77</x:v>
      </x:c>
      <x:c r="Y129" s="6" t="str"/>
      <x:c r="Z129" s="6" t="str">
        <x:v>0</x:v>
      </x:c>
      <x:c r="AA129" s="6" t="str">
        <x:v>0.0</x:v>
      </x:c>
      <x:c r="AB129" s="6" t="str">
        <x:v>77</x:v>
      </x:c>
      <x:c r="AC129" s="6" t="str">
        <x:v>2024-08</x:v>
      </x:c>
      <x:c r="AD129" s="9" t="str">
        <x:v>BNPB operational disaster search table</x:v>
      </x:c>
      <x:c r="AE129" s="9" t="str">
        <x:v>https://gis.bnpb.go.id/databencana/tabel/pencarian.php</x:v>
      </x:c>
      <x:c r="AF129" s="9" t="str">
        <x:v>operational_snapshot_annual_totals_may_differ</x:v>
      </x:c>
    </x:row>
    <x:row r="130" ht="18" customHeight="1">
      <x:c r="A130" s="6" t="str">
        <x:v>16</x:v>
      </x:c>
      <x:c r="B130" s="6" t="str">
        <x:v>SUMATERA SELATAN</x:v>
      </x:c>
      <x:c r="C130" s="6" t="str">
        <x:v>2024</x:v>
      </x:c>
      <x:c r="D130" s="6" t="str">
        <x:v>9</x:v>
      </x:c>
      <x:c r="E130" s="6" t="str">
        <x:v>51</x:v>
      </x:c>
      <x:c r="F130" s="6" t="str">
        <x:v>51</x:v>
      </x:c>
      <x:c r="G130" s="6" t="str">
        <x:v>0</x:v>
      </x:c>
      <x:c r="H130" s="6" t="str">
        <x:v>0</x:v>
      </x:c>
      <x:c r="I130" s="6" t="str">
        <x:v>2</x:v>
      </x:c>
      <x:c r="J130" s="6" t="str">
        <x:v>0</x:v>
      </x:c>
      <x:c r="K130" s="6" t="str">
        <x:v>49</x:v>
      </x:c>
      <x:c r="L130" s="6" t="str">
        <x:v>0</x:v>
      </x:c>
      <x:c r="M130" s="6" t="str">
        <x:v>0</x:v>
      </x:c>
      <x:c r="N130" s="6" t="str">
        <x:v>0</x:v>
      </x:c>
      <x:c r="O130" s="6" t="str">
        <x:v>0</x:v>
      </x:c>
      <x:c r="P130" s="6" t="str">
        <x:v>51</x:v>
      </x:c>
      <x:c r="Q130" s="6" t="str">
        <x:v>0.0</x:v>
      </x:c>
      <x:c r="R130" s="6" t="str">
        <x:v>2</x:v>
      </x:c>
      <x:c r="S130" s="6" t="str">
        <x:v>0.0</x:v>
      </x:c>
      <x:c r="T130" s="6" t="str">
        <x:v>2</x:v>
      </x:c>
      <x:c r="U130" s="6" t="str">
        <x:v>0.0</x:v>
      </x:c>
      <x:c r="V130" s="6" t="str">
        <x:v>2</x:v>
      </x:c>
      <x:c r="W130" s="6" t="str">
        <x:v>23.0</x:v>
      </x:c>
      <x:c r="X130" s="6" t="str">
        <x:v>51</x:v>
      </x:c>
      <x:c r="Y130" s="6" t="str"/>
      <x:c r="Z130" s="6" t="str">
        <x:v>0</x:v>
      </x:c>
      <x:c r="AA130" s="6" t="str">
        <x:v>0.0</x:v>
      </x:c>
      <x:c r="AB130" s="6" t="str">
        <x:v>51</x:v>
      </x:c>
      <x:c r="AC130" s="6" t="str">
        <x:v>2024-09</x:v>
      </x:c>
      <x:c r="AD130" s="9" t="str">
        <x:v>BNPB operational disaster search table</x:v>
      </x:c>
      <x:c r="AE130" s="9" t="str">
        <x:v>https://gis.bnpb.go.id/databencana/tabel/pencarian.php</x:v>
      </x:c>
      <x:c r="AF130" s="9" t="str">
        <x:v>operational_snapshot_annual_totals_may_differ</x:v>
      </x:c>
    </x:row>
    <x:row r="131" ht="18" customHeight="1">
      <x:c r="A131" s="6" t="str">
        <x:v>16</x:v>
      </x:c>
      <x:c r="B131" s="6" t="str">
        <x:v>SUMATERA SELATAN</x:v>
      </x:c>
      <x:c r="C131" s="6" t="str">
        <x:v>2024</x:v>
      </x:c>
      <x:c r="D131" s="6" t="str">
        <x:v>10</x:v>
      </x:c>
      <x:c r="E131" s="6" t="str">
        <x:v>27</x:v>
      </x:c>
      <x:c r="F131" s="6" t="str">
        <x:v>27</x:v>
      </x:c>
      <x:c r="G131" s="6" t="str">
        <x:v>0</x:v>
      </x:c>
      <x:c r="H131" s="6" t="str">
        <x:v>0</x:v>
      </x:c>
      <x:c r="I131" s="6" t="str">
        <x:v>2</x:v>
      </x:c>
      <x:c r="J131" s="6" t="str">
        <x:v>0</x:v>
      </x:c>
      <x:c r="K131" s="6" t="str">
        <x:v>25</x:v>
      </x:c>
      <x:c r="L131" s="6" t="str">
        <x:v>0</x:v>
      </x:c>
      <x:c r="M131" s="6" t="str">
        <x:v>0</x:v>
      </x:c>
      <x:c r="N131" s="6" t="str">
        <x:v>0</x:v>
      </x:c>
      <x:c r="O131" s="6" t="str">
        <x:v>0</x:v>
      </x:c>
      <x:c r="P131" s="6" t="str">
        <x:v>27</x:v>
      </x:c>
      <x:c r="Q131" s="6" t="str">
        <x:v>0.0</x:v>
      </x:c>
      <x:c r="R131" s="6" t="str">
        <x:v>2</x:v>
      </x:c>
      <x:c r="S131" s="6" t="str">
        <x:v>0.0</x:v>
      </x:c>
      <x:c r="T131" s="6" t="str">
        <x:v>2</x:v>
      </x:c>
      <x:c r="U131" s="6" t="str">
        <x:v>3.0</x:v>
      </x:c>
      <x:c r="V131" s="6" t="str">
        <x:v>2</x:v>
      </x:c>
      <x:c r="W131" s="6" t="str">
        <x:v>57.0</x:v>
      </x:c>
      <x:c r="X131" s="6" t="str">
        <x:v>27</x:v>
      </x:c>
      <x:c r="Y131" s="6" t="str"/>
      <x:c r="Z131" s="6" t="str">
        <x:v>0</x:v>
      </x:c>
      <x:c r="AA131" s="6" t="str">
        <x:v>0.0</x:v>
      </x:c>
      <x:c r="AB131" s="6" t="str">
        <x:v>27</x:v>
      </x:c>
      <x:c r="AC131" s="6" t="str">
        <x:v>2024-10</x:v>
      </x:c>
      <x:c r="AD131" s="9" t="str">
        <x:v>BNPB operational disaster search table</x:v>
      </x:c>
      <x:c r="AE131" s="9" t="str">
        <x:v>https://gis.bnpb.go.id/databencana/tabel/pencarian.php</x:v>
      </x:c>
      <x:c r="AF131" s="9" t="str">
        <x:v>operational_snapshot_annual_totals_may_differ</x:v>
      </x:c>
    </x:row>
    <x:row r="132" ht="18" customHeight="1">
      <x:c r="A132" s="6" t="str">
        <x:v>16</x:v>
      </x:c>
      <x:c r="B132" s="6" t="str">
        <x:v>SUMATERA SELATAN</x:v>
      </x:c>
      <x:c r="C132" s="6" t="str">
        <x:v>2024</x:v>
      </x:c>
      <x:c r="D132" s="6" t="str">
        <x:v>11</x:v>
      </x:c>
      <x:c r="E132" s="6" t="str">
        <x:v>13</x:v>
      </x:c>
      <x:c r="F132" s="6" t="str">
        <x:v>13</x:v>
      </x:c>
      <x:c r="G132" s="6" t="str">
        <x:v>4</x:v>
      </x:c>
      <x:c r="H132" s="6" t="str">
        <x:v>0</x:v>
      </x:c>
      <x:c r="I132" s="6" t="str">
        <x:v>3</x:v>
      </x:c>
      <x:c r="J132" s="6" t="str">
        <x:v>0</x:v>
      </x:c>
      <x:c r="K132" s="6" t="str">
        <x:v>6</x:v>
      </x:c>
      <x:c r="L132" s="6" t="str">
        <x:v>0</x:v>
      </x:c>
      <x:c r="M132" s="6" t="str">
        <x:v>0</x:v>
      </x:c>
      <x:c r="N132" s="6" t="str">
        <x:v>0</x:v>
      </x:c>
      <x:c r="O132" s="6" t="str">
        <x:v>0</x:v>
      </x:c>
      <x:c r="P132" s="6" t="str">
        <x:v>13</x:v>
      </x:c>
      <x:c r="Q132" s="6" t="str">
        <x:v>0.0</x:v>
      </x:c>
      <x:c r="R132" s="6" t="str">
        <x:v>4</x:v>
      </x:c>
      <x:c r="S132" s="6" t="str">
        <x:v>0.0</x:v>
      </x:c>
      <x:c r="T132" s="6" t="str">
        <x:v>4</x:v>
      </x:c>
      <x:c r="U132" s="6" t="str">
        <x:v>0.0</x:v>
      </x:c>
      <x:c r="V132" s="6" t="str">
        <x:v>4</x:v>
      </x:c>
      <x:c r="W132" s="6" t="str">
        <x:v>94.0</x:v>
      </x:c>
      <x:c r="X132" s="6" t="str">
        <x:v>13</x:v>
      </x:c>
      <x:c r="Y132" s="6" t="str">
        <x:v>330.0</x:v>
      </x:c>
      <x:c r="Z132" s="6" t="str">
        <x:v>4</x:v>
      </x:c>
      <x:c r="AA132" s="6" t="str">
        <x:v>0.0</x:v>
      </x:c>
      <x:c r="AB132" s="6" t="str">
        <x:v>13</x:v>
      </x:c>
      <x:c r="AC132" s="6" t="str">
        <x:v>2024-11</x:v>
      </x:c>
      <x:c r="AD132" s="9" t="str">
        <x:v>BNPB operational disaster search table</x:v>
      </x:c>
      <x:c r="AE132" s="9" t="str">
        <x:v>https://gis.bnpb.go.id/databencana/tabel/pencarian.php</x:v>
      </x:c>
      <x:c r="AF132" s="9" t="str">
        <x:v>operational_snapshot_annual_totals_may_differ</x:v>
      </x:c>
    </x:row>
    <x:row r="133" ht="18" customHeight="1">
      <x:c r="A133" s="6" t="str">
        <x:v>16</x:v>
      </x:c>
      <x:c r="B133" s="6" t="str">
        <x:v>SUMATERA SELATAN</x:v>
      </x:c>
      <x:c r="C133" s="6" t="str">
        <x:v>2024</x:v>
      </x:c>
      <x:c r="D133" s="6" t="str">
        <x:v>12</x:v>
      </x:c>
      <x:c r="E133" s="6" t="str">
        <x:v>2</x:v>
      </x:c>
      <x:c r="F133" s="6" t="str">
        <x:v>2</x:v>
      </x:c>
      <x:c r="G133" s="6" t="str">
        <x:v>2</x:v>
      </x:c>
      <x:c r="H133" s="6" t="str">
        <x:v>0</x:v>
      </x:c>
      <x:c r="I133" s="6" t="str">
        <x:v>0</x:v>
      </x:c>
      <x:c r="J133" s="6" t="str">
        <x:v>0</x:v>
      </x:c>
      <x:c r="K133" s="6" t="str">
        <x:v>0</x:v>
      </x:c>
      <x:c r="L133" s="6" t="str">
        <x:v>0</x:v>
      </x:c>
      <x:c r="M133" s="6" t="str">
        <x:v>0</x:v>
      </x:c>
      <x:c r="N133" s="6" t="str">
        <x:v>0</x:v>
      </x:c>
      <x:c r="O133" s="6" t="str">
        <x:v>0</x:v>
      </x:c>
      <x:c r="P133" s="6" t="str">
        <x:v>2</x:v>
      </x:c>
      <x:c r="Q133" s="6" t="str">
        <x:v>0.0</x:v>
      </x:c>
      <x:c r="R133" s="6" t="str">
        <x:v>1</x:v>
      </x:c>
      <x:c r="S133" s="6" t="str">
        <x:v>0.0</x:v>
      </x:c>
      <x:c r="T133" s="6" t="str">
        <x:v>1</x:v>
      </x:c>
      <x:c r="U133" s="6" t="str">
        <x:v>0.0</x:v>
      </x:c>
      <x:c r="V133" s="6" t="str">
        <x:v>1</x:v>
      </x:c>
      <x:c r="W133" s="6" t="str">
        <x:v>0.0</x:v>
      </x:c>
      <x:c r="X133" s="6" t="str">
        <x:v>2</x:v>
      </x:c>
      <x:c r="Y133" s="6" t="str">
        <x:v>15.0</x:v>
      </x:c>
      <x:c r="Z133" s="6" t="str">
        <x:v>1</x:v>
      </x:c>
      <x:c r="AA133" s="6" t="str">
        <x:v>0.0</x:v>
      </x:c>
      <x:c r="AB133" s="6" t="str">
        <x:v>2</x:v>
      </x:c>
      <x:c r="AC133" s="6" t="str">
        <x:v>2024-12</x:v>
      </x:c>
      <x:c r="AD133" s="9" t="str">
        <x:v>BNPB operational disaster search table</x:v>
      </x:c>
      <x:c r="AE133" s="9" t="str">
        <x:v>https://gis.bnpb.go.id/databencana/tabel/pencarian.php</x:v>
      </x:c>
      <x:c r="AF133" s="9" t="str">
        <x:v>operational_snapshot_annual_totals_may_differ</x:v>
      </x:c>
    </x:row>
    <x:row r="134" ht="18" customHeight="1">
      <x:c r="A134" s="6" t="str">
        <x:v>16</x:v>
      </x:c>
      <x:c r="B134" s="6" t="str">
        <x:v>SUMATERA SELATAN</x:v>
      </x:c>
      <x:c r="C134" s="6" t="str">
        <x:v>2025</x:v>
      </x:c>
      <x:c r="D134" s="6" t="str">
        <x:v>1</x:v>
      </x:c>
      <x:c r="E134" s="6" t="str">
        <x:v>13</x:v>
      </x:c>
      <x:c r="F134" s="6" t="str">
        <x:v>13</x:v>
      </x:c>
      <x:c r="G134" s="6" t="str">
        <x:v>10</x:v>
      </x:c>
      <x:c r="H134" s="6" t="str">
        <x:v>3</x:v>
      </x:c>
      <x:c r="I134" s="6" t="str">
        <x:v>0</x:v>
      </x:c>
      <x:c r="J134" s="6" t="str">
        <x:v>0</x:v>
      </x:c>
      <x:c r="K134" s="6" t="str">
        <x:v>0</x:v>
      </x:c>
      <x:c r="L134" s="6" t="str">
        <x:v>0</x:v>
      </x:c>
      <x:c r="M134" s="6" t="str">
        <x:v>0</x:v>
      </x:c>
      <x:c r="N134" s="6" t="str">
        <x:v>0</x:v>
      </x:c>
      <x:c r="O134" s="6" t="str">
        <x:v>0</x:v>
      </x:c>
      <x:c r="P134" s="6" t="str">
        <x:v>13</x:v>
      </x:c>
      <x:c r="Q134" s="6" t="str">
        <x:v>2.0</x:v>
      </x:c>
      <x:c r="R134" s="6" t="str">
        <x:v>13</x:v>
      </x:c>
      <x:c r="S134" s="6" t="str">
        <x:v>0.0</x:v>
      </x:c>
      <x:c r="T134" s="6" t="str">
        <x:v>13</x:v>
      </x:c>
      <x:c r="U134" s="6" t="str">
        <x:v>0.0</x:v>
      </x:c>
      <x:c r="V134" s="6" t="str">
        <x:v>13</x:v>
      </x:c>
      <x:c r="W134" s="6" t="str">
        <x:v>26.0</x:v>
      </x:c>
      <x:c r="X134" s="6" t="str">
        <x:v>13</x:v>
      </x:c>
      <x:c r="Y134" s="6" t="str">
        <x:v>5255.0</x:v>
      </x:c>
      <x:c r="Z134" s="6" t="str">
        <x:v>10</x:v>
      </x:c>
      <x:c r="AA134" s="6" t="str">
        <x:v>0.0</x:v>
      </x:c>
      <x:c r="AB134" s="6" t="str">
        <x:v>13</x:v>
      </x:c>
      <x:c r="AC134" s="6" t="str">
        <x:v>2025-01</x:v>
      </x:c>
      <x:c r="AD134" s="9" t="str">
        <x:v>BNPB operational disaster search table</x:v>
      </x:c>
      <x:c r="AE134" s="9" t="str">
        <x:v>https://gis.bnpb.go.id/databencana/tabel/pencarian.php</x:v>
      </x:c>
      <x:c r="AF134" s="9" t="str">
        <x:v>operational_snapshot_annual_totals_may_differ</x:v>
      </x:c>
    </x:row>
    <x:row r="135" ht="18" customHeight="1">
      <x:c r="A135" s="6" t="str">
        <x:v>16</x:v>
      </x:c>
      <x:c r="B135" s="6" t="str">
        <x:v>SUMATERA SELATAN</x:v>
      </x:c>
      <x:c r="C135" s="6" t="str">
        <x:v>2025</x:v>
      </x:c>
      <x:c r="D135" s="6" t="str">
        <x:v>2</x:v>
      </x:c>
      <x:c r="E135" s="6" t="str">
        <x:v>12</x:v>
      </x:c>
      <x:c r="F135" s="6" t="str">
        <x:v>12</x:v>
      </x:c>
      <x:c r="G135" s="6" t="str">
        <x:v>12</x:v>
      </x:c>
      <x:c r="H135" s="6" t="str">
        <x:v>0</x:v>
      </x:c>
      <x:c r="I135" s="6" t="str">
        <x:v>0</x:v>
      </x:c>
      <x:c r="J135" s="6" t="str">
        <x:v>0</x:v>
      </x:c>
      <x:c r="K135" s="6" t="str">
        <x:v>0</x:v>
      </x:c>
      <x:c r="L135" s="6" t="str">
        <x:v>0</x:v>
      </x:c>
      <x:c r="M135" s="6" t="str">
        <x:v>0</x:v>
      </x:c>
      <x:c r="N135" s="6" t="str">
        <x:v>0</x:v>
      </x:c>
      <x:c r="O135" s="6" t="str">
        <x:v>0</x:v>
      </x:c>
      <x:c r="P135" s="6" t="str">
        <x:v>12</x:v>
      </x:c>
      <x:c r="Q135" s="6" t="str">
        <x:v>0.0</x:v>
      </x:c>
      <x:c r="R135" s="6" t="str">
        <x:v>12</x:v>
      </x:c>
      <x:c r="S135" s="6" t="str">
        <x:v>0.0</x:v>
      </x:c>
      <x:c r="T135" s="6" t="str">
        <x:v>12</x:v>
      </x:c>
      <x:c r="U135" s="6" t="str">
        <x:v>0.0</x:v>
      </x:c>
      <x:c r="V135" s="6" t="str">
        <x:v>12</x:v>
      </x:c>
      <x:c r="W135" s="6" t="str">
        <x:v>0.0</x:v>
      </x:c>
      <x:c r="X135" s="6" t="str">
        <x:v>12</x:v>
      </x:c>
      <x:c r="Y135" s="6" t="str">
        <x:v>6159.0</x:v>
      </x:c>
      <x:c r="Z135" s="6" t="str">
        <x:v>11</x:v>
      </x:c>
      <x:c r="AA135" s="6" t="str">
        <x:v>0.0</x:v>
      </x:c>
      <x:c r="AB135" s="6" t="str">
        <x:v>12</x:v>
      </x:c>
      <x:c r="AC135" s="6" t="str">
        <x:v>2025-02</x:v>
      </x:c>
      <x:c r="AD135" s="9" t="str">
        <x:v>BNPB operational disaster search table</x:v>
      </x:c>
      <x:c r="AE135" s="9" t="str">
        <x:v>https://gis.bnpb.go.id/databencana/tabel/pencarian.php</x:v>
      </x:c>
      <x:c r="AF135" s="9" t="str">
        <x:v>operational_snapshot_annual_totals_may_differ</x:v>
      </x:c>
    </x:row>
    <x:row r="136" ht="18" customHeight="1">
      <x:c r="A136" s="6" t="str">
        <x:v>16</x:v>
      </x:c>
      <x:c r="B136" s="6" t="str">
        <x:v>SUMATERA SELATAN</x:v>
      </x:c>
      <x:c r="C136" s="6" t="str">
        <x:v>2025</x:v>
      </x:c>
      <x:c r="D136" s="6" t="str">
        <x:v>3</x:v>
      </x:c>
      <x:c r="E136" s="6" t="str">
        <x:v>23</x:v>
      </x:c>
      <x:c r="F136" s="6" t="str">
        <x:v>23</x:v>
      </x:c>
      <x:c r="G136" s="6" t="str">
        <x:v>22</x:v>
      </x:c>
      <x:c r="H136" s="6" t="str">
        <x:v>0</x:v>
      </x:c>
      <x:c r="I136" s="6" t="str">
        <x:v>0</x:v>
      </x:c>
      <x:c r="J136" s="6" t="str">
        <x:v>0</x:v>
      </x:c>
      <x:c r="K136" s="6" t="str">
        <x:v>1</x:v>
      </x:c>
      <x:c r="L136" s="6" t="str">
        <x:v>0</x:v>
      </x:c>
      <x:c r="M136" s="6" t="str">
        <x:v>0</x:v>
      </x:c>
      <x:c r="N136" s="6" t="str">
        <x:v>0</x:v>
      </x:c>
      <x:c r="O136" s="6" t="str">
        <x:v>0</x:v>
      </x:c>
      <x:c r="P136" s="6" t="str">
        <x:v>23</x:v>
      </x:c>
      <x:c r="Q136" s="6" t="str">
        <x:v>0.0</x:v>
      </x:c>
      <x:c r="R136" s="6" t="str">
        <x:v>23</x:v>
      </x:c>
      <x:c r="S136" s="6" t="str">
        <x:v>0.0</x:v>
      </x:c>
      <x:c r="T136" s="6" t="str">
        <x:v>23</x:v>
      </x:c>
      <x:c r="U136" s="6" t="str">
        <x:v>0.0</x:v>
      </x:c>
      <x:c r="V136" s="6" t="str">
        <x:v>23</x:v>
      </x:c>
      <x:c r="W136" s="6" t="str">
        <x:v>0.0</x:v>
      </x:c>
      <x:c r="X136" s="6" t="str">
        <x:v>23</x:v>
      </x:c>
      <x:c r="Y136" s="6" t="str">
        <x:v>15392.0</x:v>
      </x:c>
      <x:c r="Z136" s="6" t="str">
        <x:v>21</x:v>
      </x:c>
      <x:c r="AA136" s="6" t="str">
        <x:v>0.0</x:v>
      </x:c>
      <x:c r="AB136" s="6" t="str">
        <x:v>23</x:v>
      </x:c>
      <x:c r="AC136" s="6" t="str">
        <x:v>2025-03</x:v>
      </x:c>
      <x:c r="AD136" s="9" t="str">
        <x:v>BNPB operational disaster search table</x:v>
      </x:c>
      <x:c r="AE136" s="9" t="str">
        <x:v>https://gis.bnpb.go.id/databencana/tabel/pencarian.php</x:v>
      </x:c>
      <x:c r="AF136" s="9" t="str">
        <x:v>operational_snapshot_annual_totals_may_differ</x:v>
      </x:c>
    </x:row>
    <x:row r="137" ht="18" customHeight="1">
      <x:c r="A137" s="6" t="str">
        <x:v>16</x:v>
      </x:c>
      <x:c r="B137" s="6" t="str">
        <x:v>SUMATERA SELATAN</x:v>
      </x:c>
      <x:c r="C137" s="6" t="str">
        <x:v>2025</x:v>
      </x:c>
      <x:c r="D137" s="6" t="str">
        <x:v>4</x:v>
      </x:c>
      <x:c r="E137" s="6" t="str">
        <x:v>4</x:v>
      </x:c>
      <x:c r="F137" s="6" t="str">
        <x:v>4</x:v>
      </x:c>
      <x:c r="G137" s="6" t="str">
        <x:v>2</x:v>
      </x:c>
      <x:c r="H137" s="6" t="str">
        <x:v>0</x:v>
      </x:c>
      <x:c r="I137" s="6" t="str">
        <x:v>2</x:v>
      </x:c>
      <x:c r="J137" s="6" t="str">
        <x:v>0</x:v>
      </x:c>
      <x:c r="K137" s="6" t="str">
        <x:v>0</x:v>
      </x:c>
      <x:c r="L137" s="6" t="str">
        <x:v>0</x:v>
      </x:c>
      <x:c r="M137" s="6" t="str">
        <x:v>0</x:v>
      </x:c>
      <x:c r="N137" s="6" t="str">
        <x:v>0</x:v>
      </x:c>
      <x:c r="O137" s="6" t="str">
        <x:v>0</x:v>
      </x:c>
      <x:c r="P137" s="6" t="str">
        <x:v>4</x:v>
      </x:c>
      <x:c r="Q137" s="6" t="str">
        <x:v>0.0</x:v>
      </x:c>
      <x:c r="R137" s="6" t="str">
        <x:v>4</x:v>
      </x:c>
      <x:c r="S137" s="6" t="str">
        <x:v>0.0</x:v>
      </x:c>
      <x:c r="T137" s="6" t="str">
        <x:v>4</x:v>
      </x:c>
      <x:c r="U137" s="6" t="str">
        <x:v>0.0</x:v>
      </x:c>
      <x:c r="V137" s="6" t="str">
        <x:v>4</x:v>
      </x:c>
      <x:c r="W137" s="6" t="str">
        <x:v>15.0</x:v>
      </x:c>
      <x:c r="X137" s="6" t="str">
        <x:v>4</x:v>
      </x:c>
      <x:c r="Y137" s="6" t="str">
        <x:v>945.0</x:v>
      </x:c>
      <x:c r="Z137" s="6" t="str">
        <x:v>2</x:v>
      </x:c>
      <x:c r="AA137" s="6" t="str">
        <x:v>3.0</x:v>
      </x:c>
      <x:c r="AB137" s="6" t="str">
        <x:v>4</x:v>
      </x:c>
      <x:c r="AC137" s="6" t="str">
        <x:v>2025-04</x:v>
      </x:c>
      <x:c r="AD137" s="9" t="str">
        <x:v>BNPB operational disaster search table</x:v>
      </x:c>
      <x:c r="AE137" s="9" t="str">
        <x:v>https://gis.bnpb.go.id/databencana/tabel/pencarian.php</x:v>
      </x:c>
      <x:c r="AF137" s="9" t="str">
        <x:v>operational_snapshot_annual_totals_may_differ</x:v>
      </x:c>
    </x:row>
    <x:row r="138" ht="18" customHeight="1">
      <x:c r="A138" s="6" t="str">
        <x:v>16</x:v>
      </x:c>
      <x:c r="B138" s="6" t="str">
        <x:v>SUMATERA SELATAN</x:v>
      </x:c>
      <x:c r="C138" s="6" t="str">
        <x:v>2025</x:v>
      </x:c>
      <x:c r="D138" s="6" t="str">
        <x:v>5</x:v>
      </x:c>
      <x:c r="E138" s="6" t="str">
        <x:v>4</x:v>
      </x:c>
      <x:c r="F138" s="6" t="str">
        <x:v>4</x:v>
      </x:c>
      <x:c r="G138" s="6" t="str">
        <x:v>1</x:v>
      </x:c>
      <x:c r="H138" s="6" t="str">
        <x:v>0</x:v>
      </x:c>
      <x:c r="I138" s="6" t="str">
        <x:v>1</x:v>
      </x:c>
      <x:c r="J138" s="6" t="str">
        <x:v>0</x:v>
      </x:c>
      <x:c r="K138" s="6" t="str">
        <x:v>2</x:v>
      </x:c>
      <x:c r="L138" s="6" t="str">
        <x:v>0</x:v>
      </x:c>
      <x:c r="M138" s="6" t="str">
        <x:v>0</x:v>
      </x:c>
      <x:c r="N138" s="6" t="str">
        <x:v>0</x:v>
      </x:c>
      <x:c r="O138" s="6" t="str">
        <x:v>0</x:v>
      </x:c>
      <x:c r="P138" s="6" t="str">
        <x:v>4</x:v>
      </x:c>
      <x:c r="Q138" s="6" t="str">
        <x:v>0.0</x:v>
      </x:c>
      <x:c r="R138" s="6" t="str">
        <x:v>4</x:v>
      </x:c>
      <x:c r="S138" s="6" t="str">
        <x:v>0.0</x:v>
      </x:c>
      <x:c r="T138" s="6" t="str">
        <x:v>4</x:v>
      </x:c>
      <x:c r="U138" s="6" t="str">
        <x:v>0.0</x:v>
      </x:c>
      <x:c r="V138" s="6" t="str">
        <x:v>4</x:v>
      </x:c>
      <x:c r="W138" s="6" t="str">
        <x:v>31.0</x:v>
      </x:c>
      <x:c r="X138" s="6" t="str">
        <x:v>4</x:v>
      </x:c>
      <x:c r="Y138" s="6" t="str">
        <x:v>57.0</x:v>
      </x:c>
      <x:c r="Z138" s="6" t="str">
        <x:v>1</x:v>
      </x:c>
      <x:c r="AA138" s="6" t="str">
        <x:v>0.0</x:v>
      </x:c>
      <x:c r="AB138" s="6" t="str">
        <x:v>4</x:v>
      </x:c>
      <x:c r="AC138" s="6" t="str">
        <x:v>2025-05</x:v>
      </x:c>
      <x:c r="AD138" s="9" t="str">
        <x:v>BNPB operational disaster search table</x:v>
      </x:c>
      <x:c r="AE138" s="9" t="str">
        <x:v>https://gis.bnpb.go.id/databencana/tabel/pencarian.php</x:v>
      </x:c>
      <x:c r="AF138" s="9" t="str">
        <x:v>operational_snapshot_annual_totals_may_differ</x:v>
      </x:c>
    </x:row>
    <x:row r="139" ht="18" customHeight="1">
      <x:c r="A139" s="6" t="str">
        <x:v>16</x:v>
      </x:c>
      <x:c r="B139" s="6" t="str">
        <x:v>SUMATERA SELATAN</x:v>
      </x:c>
      <x:c r="C139" s="6" t="str">
        <x:v>2025</x:v>
      </x:c>
      <x:c r="D139" s="6" t="str">
        <x:v>6</x:v>
      </x:c>
      <x:c r="E139" s="6" t="str">
        <x:v>4</x:v>
      </x:c>
      <x:c r="F139" s="6" t="str">
        <x:v>4</x:v>
      </x:c>
      <x:c r="G139" s="6" t="str">
        <x:v>2</x:v>
      </x:c>
      <x:c r="H139" s="6" t="str">
        <x:v>0</x:v>
      </x:c>
      <x:c r="I139" s="6" t="str">
        <x:v>0</x:v>
      </x:c>
      <x:c r="J139" s="6" t="str">
        <x:v>0</x:v>
      </x:c>
      <x:c r="K139" s="6" t="str">
        <x:v>2</x:v>
      </x:c>
      <x:c r="L139" s="6" t="str">
        <x:v>0</x:v>
      </x:c>
      <x:c r="M139" s="6" t="str">
        <x:v>0</x:v>
      </x:c>
      <x:c r="N139" s="6" t="str">
        <x:v>0</x:v>
      </x:c>
      <x:c r="O139" s="6" t="str">
        <x:v>0</x:v>
      </x:c>
      <x:c r="P139" s="6" t="str">
        <x:v>4</x:v>
      </x:c>
      <x:c r="Q139" s="6" t="str"/>
      <x:c r="R139" s="6" t="str">
        <x:v>0</x:v>
      </x:c>
      <x:c r="S139" s="6" t="str"/>
      <x:c r="T139" s="6" t="str">
        <x:v>0</x:v>
      </x:c>
      <x:c r="U139" s="6" t="str"/>
      <x:c r="V139" s="6" t="str">
        <x:v>0</x:v>
      </x:c>
      <x:c r="W139" s="6" t="str">
        <x:v>0.0</x:v>
      </x:c>
      <x:c r="X139" s="6" t="str">
        <x:v>4</x:v>
      </x:c>
      <x:c r="Y139" s="6" t="str">
        <x:v>95.0</x:v>
      </x:c>
      <x:c r="Z139" s="6" t="str">
        <x:v>2</x:v>
      </x:c>
      <x:c r="AA139" s="6" t="str">
        <x:v>0.0</x:v>
      </x:c>
      <x:c r="AB139" s="6" t="str">
        <x:v>4</x:v>
      </x:c>
      <x:c r="AC139" s="6" t="str">
        <x:v>2025-06</x:v>
      </x:c>
      <x:c r="AD139" s="9" t="str">
        <x:v>BNPB operational disaster search table</x:v>
      </x:c>
      <x:c r="AE139" s="9" t="str">
        <x:v>https://gis.bnpb.go.id/databencana/tabel/pencarian.php</x:v>
      </x:c>
      <x:c r="AF139" s="9" t="str">
        <x:v>operational_snapshot_annual_totals_may_differ</x:v>
      </x:c>
    </x:row>
    <x:row r="140" ht="18" customHeight="1">
      <x:c r="A140" s="6" t="str">
        <x:v>16</x:v>
      </x:c>
      <x:c r="B140" s="6" t="str">
        <x:v>SUMATERA SELATAN</x:v>
      </x:c>
      <x:c r="C140" s="6" t="str">
        <x:v>2025</x:v>
      </x:c>
      <x:c r="D140" s="6" t="str">
        <x:v>7</x:v>
      </x:c>
      <x:c r="E140" s="6" t="str">
        <x:v>20</x:v>
      </x:c>
      <x:c r="F140" s="6" t="str">
        <x:v>20</x:v>
      </x:c>
      <x:c r="G140" s="6" t="str">
        <x:v>0</x:v>
      </x:c>
      <x:c r="H140" s="6" t="str">
        <x:v>0</x:v>
      </x:c>
      <x:c r="I140" s="6" t="str">
        <x:v>0</x:v>
      </x:c>
      <x:c r="J140" s="6" t="str">
        <x:v>0</x:v>
      </x:c>
      <x:c r="K140" s="6" t="str">
        <x:v>20</x:v>
      </x:c>
      <x:c r="L140" s="6" t="str">
        <x:v>0</x:v>
      </x:c>
      <x:c r="M140" s="6" t="str">
        <x:v>0</x:v>
      </x:c>
      <x:c r="N140" s="6" t="str">
        <x:v>0</x:v>
      </x:c>
      <x:c r="O140" s="6" t="str">
        <x:v>0</x:v>
      </x:c>
      <x:c r="P140" s="6" t="str">
        <x:v>20</x:v>
      </x:c>
      <x:c r="Q140" s="6" t="str"/>
      <x:c r="R140" s="6" t="str">
        <x:v>0</x:v>
      </x:c>
      <x:c r="S140" s="6" t="str"/>
      <x:c r="T140" s="6" t="str">
        <x:v>0</x:v>
      </x:c>
      <x:c r="U140" s="6" t="str"/>
      <x:c r="V140" s="6" t="str">
        <x:v>0</x:v>
      </x:c>
      <x:c r="W140" s="6" t="str">
        <x:v>0.0</x:v>
      </x:c>
      <x:c r="X140" s="6" t="str">
        <x:v>20</x:v>
      </x:c>
      <x:c r="Y140" s="6" t="str"/>
      <x:c r="Z140" s="6" t="str">
        <x:v>0</x:v>
      </x:c>
      <x:c r="AA140" s="6" t="str">
        <x:v>0.0</x:v>
      </x:c>
      <x:c r="AB140" s="6" t="str">
        <x:v>20</x:v>
      </x:c>
      <x:c r="AC140" s="6" t="str">
        <x:v>2025-07</x:v>
      </x:c>
      <x:c r="AD140" s="9" t="str">
        <x:v>BNPB operational disaster search table</x:v>
      </x:c>
      <x:c r="AE140" s="9" t="str">
        <x:v>https://gis.bnpb.go.id/databencana/tabel/pencarian.php</x:v>
      </x:c>
      <x:c r="AF140" s="9" t="str">
        <x:v>operational_snapshot_annual_totals_may_differ</x:v>
      </x:c>
    </x:row>
    <x:row r="141" ht="18" customHeight="1">
      <x:c r="A141" s="6" t="str">
        <x:v>16</x:v>
      </x:c>
      <x:c r="B141" s="6" t="str">
        <x:v>SUMATERA SELATAN</x:v>
      </x:c>
      <x:c r="C141" s="6" t="str">
        <x:v>2025</x:v>
      </x:c>
      <x:c r="D141" s="6" t="str">
        <x:v>8</x:v>
      </x:c>
      <x:c r="E141" s="6" t="str">
        <x:v>12</x:v>
      </x:c>
      <x:c r="F141" s="6" t="str">
        <x:v>12</x:v>
      </x:c>
      <x:c r="G141" s="6" t="str">
        <x:v>1</x:v>
      </x:c>
      <x:c r="H141" s="6" t="str">
        <x:v>0</x:v>
      </x:c>
      <x:c r="I141" s="6" t="str">
        <x:v>1</x:v>
      </x:c>
      <x:c r="J141" s="6" t="str">
        <x:v>0</x:v>
      </x:c>
      <x:c r="K141" s="6" t="str">
        <x:v>10</x:v>
      </x:c>
      <x:c r="L141" s="6" t="str">
        <x:v>0</x:v>
      </x:c>
      <x:c r="M141" s="6" t="str">
        <x:v>0</x:v>
      </x:c>
      <x:c r="N141" s="6" t="str">
        <x:v>0</x:v>
      </x:c>
      <x:c r="O141" s="6" t="str">
        <x:v>0</x:v>
      </x:c>
      <x:c r="P141" s="6" t="str">
        <x:v>12</x:v>
      </x:c>
      <x:c r="Q141" s="6" t="str"/>
      <x:c r="R141" s="6" t="str">
        <x:v>0</x:v>
      </x:c>
      <x:c r="S141" s="6" t="str"/>
      <x:c r="T141" s="6" t="str">
        <x:v>0</x:v>
      </x:c>
      <x:c r="U141" s="6" t="str"/>
      <x:c r="V141" s="6" t="str">
        <x:v>0</x:v>
      </x:c>
      <x:c r="W141" s="6" t="str">
        <x:v>11.0</x:v>
      </x:c>
      <x:c r="X141" s="6" t="str">
        <x:v>12</x:v>
      </x:c>
      <x:c r="Y141" s="6" t="str">
        <x:v>82.0</x:v>
      </x:c>
      <x:c r="Z141" s="6" t="str">
        <x:v>1</x:v>
      </x:c>
      <x:c r="AA141" s="6" t="str">
        <x:v>0.0</x:v>
      </x:c>
      <x:c r="AB141" s="6" t="str">
        <x:v>12</x:v>
      </x:c>
      <x:c r="AC141" s="6" t="str">
        <x:v>2025-08</x:v>
      </x:c>
      <x:c r="AD141" s="9" t="str">
        <x:v>BNPB operational disaster search table</x:v>
      </x:c>
      <x:c r="AE141" s="9" t="str">
        <x:v>https://gis.bnpb.go.id/databencana/tabel/pencarian.php</x:v>
      </x:c>
      <x:c r="AF141" s="9" t="str">
        <x:v>operational_snapshot_annual_totals_may_differ</x:v>
      </x:c>
    </x:row>
    <x:row r="142" ht="18" customHeight="1">
      <x:c r="A142" s="6" t="str">
        <x:v>16</x:v>
      </x:c>
      <x:c r="B142" s="6" t="str">
        <x:v>SUMATERA SELATAN</x:v>
      </x:c>
      <x:c r="C142" s="6" t="str">
        <x:v>2025</x:v>
      </x:c>
      <x:c r="D142" s="6" t="str">
        <x:v>9</x:v>
      </x:c>
      <x:c r="E142" s="6" t="str">
        <x:v>16</x:v>
      </x:c>
      <x:c r="F142" s="6" t="str">
        <x:v>16</x:v>
      </x:c>
      <x:c r="G142" s="6" t="str">
        <x:v>2</x:v>
      </x:c>
      <x:c r="H142" s="6" t="str">
        <x:v>0</x:v>
      </x:c>
      <x:c r="I142" s="6" t="str">
        <x:v>1</x:v>
      </x:c>
      <x:c r="J142" s="6" t="str">
        <x:v>0</x:v>
      </x:c>
      <x:c r="K142" s="6" t="str">
        <x:v>13</x:v>
      </x:c>
      <x:c r="L142" s="6" t="str">
        <x:v>0</x:v>
      </x:c>
      <x:c r="M142" s="6" t="str">
        <x:v>0</x:v>
      </x:c>
      <x:c r="N142" s="6" t="str">
        <x:v>0</x:v>
      </x:c>
      <x:c r="O142" s="6" t="str">
        <x:v>0</x:v>
      </x:c>
      <x:c r="P142" s="6" t="str">
        <x:v>16</x:v>
      </x:c>
      <x:c r="Q142" s="6" t="str">
        <x:v>2.0</x:v>
      </x:c>
      <x:c r="R142" s="6" t="str">
        <x:v>1</x:v>
      </x:c>
      <x:c r="S142" s="6" t="str">
        <x:v>1.0</x:v>
      </x:c>
      <x:c r="T142" s="6" t="str">
        <x:v>1</x:v>
      </x:c>
      <x:c r="U142" s="6" t="str">
        <x:v>5.0</x:v>
      </x:c>
      <x:c r="V142" s="6" t="str">
        <x:v>1</x:v>
      </x:c>
      <x:c r="W142" s="6" t="str">
        <x:v>16.0</x:v>
      </x:c>
      <x:c r="X142" s="6" t="str">
        <x:v>16</x:v>
      </x:c>
      <x:c r="Y142" s="6" t="str">
        <x:v>60.0</x:v>
      </x:c>
      <x:c r="Z142" s="6" t="str">
        <x:v>1</x:v>
      </x:c>
      <x:c r="AA142" s="6" t="str">
        <x:v>0.0</x:v>
      </x:c>
      <x:c r="AB142" s="6" t="str">
        <x:v>16</x:v>
      </x:c>
      <x:c r="AC142" s="6" t="str">
        <x:v>2025-09</x:v>
      </x:c>
      <x:c r="AD142" s="9" t="str">
        <x:v>BNPB operational disaster search table</x:v>
      </x:c>
      <x:c r="AE142" s="9" t="str">
        <x:v>https://gis.bnpb.go.id/databencana/tabel/pencarian.php</x:v>
      </x:c>
      <x:c r="AF142" s="9" t="str">
        <x:v>operational_snapshot_annual_totals_may_differ</x:v>
      </x:c>
    </x:row>
    <x:row r="143" ht="18" customHeight="1">
      <x:c r="A143" s="6" t="str">
        <x:v>16</x:v>
      </x:c>
      <x:c r="B143" s="6" t="str">
        <x:v>SUMATERA SELATAN</x:v>
      </x:c>
      <x:c r="C143" s="6" t="str">
        <x:v>2025</x:v>
      </x:c>
      <x:c r="D143" s="6" t="str">
        <x:v>10</x:v>
      </x:c>
      <x:c r="E143" s="6" t="str">
        <x:v>4</x:v>
      </x:c>
      <x:c r="F143" s="6" t="str">
        <x:v>4</x:v>
      </x:c>
      <x:c r="G143" s="6" t="str">
        <x:v>1</x:v>
      </x:c>
      <x:c r="H143" s="6" t="str">
        <x:v>0</x:v>
      </x:c>
      <x:c r="I143" s="6" t="str">
        <x:v>1</x:v>
      </x:c>
      <x:c r="J143" s="6" t="str">
        <x:v>0</x:v>
      </x:c>
      <x:c r="K143" s="6" t="str">
        <x:v>2</x:v>
      </x:c>
      <x:c r="L143" s="6" t="str">
        <x:v>0</x:v>
      </x:c>
      <x:c r="M143" s="6" t="str">
        <x:v>0</x:v>
      </x:c>
      <x:c r="N143" s="6" t="str">
        <x:v>0</x:v>
      </x:c>
      <x:c r="O143" s="6" t="str">
        <x:v>0</x:v>
      </x:c>
      <x:c r="P143" s="6" t="str">
        <x:v>4</x:v>
      </x:c>
      <x:c r="Q143" s="6" t="str"/>
      <x:c r="R143" s="6" t="str">
        <x:v>0</x:v>
      </x:c>
      <x:c r="S143" s="6" t="str"/>
      <x:c r="T143" s="6" t="str">
        <x:v>0</x:v>
      </x:c>
      <x:c r="U143" s="6" t="str"/>
      <x:c r="V143" s="6" t="str">
        <x:v>0</x:v>
      </x:c>
      <x:c r="W143" s="6" t="str">
        <x:v>37.0</x:v>
      </x:c>
      <x:c r="X143" s="6" t="str">
        <x:v>4</x:v>
      </x:c>
      <x:c r="Y143" s="6" t="str">
        <x:v>343.0</x:v>
      </x:c>
      <x:c r="Z143" s="6" t="str">
        <x:v>1</x:v>
      </x:c>
      <x:c r="AA143" s="6" t="str">
        <x:v>0.0</x:v>
      </x:c>
      <x:c r="AB143" s="6" t="str">
        <x:v>4</x:v>
      </x:c>
      <x:c r="AC143" s="6" t="str">
        <x:v>2025-10</x:v>
      </x:c>
      <x:c r="AD143" s="9" t="str">
        <x:v>BNPB operational disaster search table</x:v>
      </x:c>
      <x:c r="AE143" s="9" t="str">
        <x:v>https://gis.bnpb.go.id/databencana/tabel/pencarian.php</x:v>
      </x:c>
      <x:c r="AF143" s="9" t="str">
        <x:v>operational_snapshot_annual_totals_may_differ</x:v>
      </x:c>
    </x:row>
    <x:row r="144" ht="18" customHeight="1">
      <x:c r="A144" s="6" t="str">
        <x:v>16</x:v>
      </x:c>
      <x:c r="B144" s="6" t="str">
        <x:v>SUMATERA SELATAN</x:v>
      </x:c>
      <x:c r="C144" s="6" t="str">
        <x:v>2025</x:v>
      </x:c>
      <x:c r="D144" s="6" t="str">
        <x:v>11</x:v>
      </x:c>
      <x:c r="E144" s="6" t="str">
        <x:v>1</x:v>
      </x:c>
      <x:c r="F144" s="6" t="str">
        <x:v>1</x:v>
      </x:c>
      <x:c r="G144" s="6" t="str">
        <x:v>0</x:v>
      </x:c>
      <x:c r="H144" s="6" t="str">
        <x:v>0</x:v>
      </x:c>
      <x:c r="I144" s="6" t="str">
        <x:v>1</x:v>
      </x:c>
      <x:c r="J144" s="6" t="str">
        <x:v>0</x:v>
      </x:c>
      <x:c r="K144" s="6" t="str">
        <x:v>0</x:v>
      </x:c>
      <x:c r="L144" s="6" t="str">
        <x:v>0</x:v>
      </x:c>
      <x:c r="M144" s="6" t="str">
        <x:v>0</x:v>
      </x:c>
      <x:c r="N144" s="6" t="str">
        <x:v>0</x:v>
      </x:c>
      <x:c r="O144" s="6" t="str">
        <x:v>0</x:v>
      </x:c>
      <x:c r="P144" s="6" t="str">
        <x:v>1</x:v>
      </x:c>
      <x:c r="Q144" s="6" t="str"/>
      <x:c r="R144" s="6" t="str">
        <x:v>0</x:v>
      </x:c>
      <x:c r="S144" s="6" t="str"/>
      <x:c r="T144" s="6" t="str">
        <x:v>0</x:v>
      </x:c>
      <x:c r="U144" s="6" t="str"/>
      <x:c r="V144" s="6" t="str">
        <x:v>0</x:v>
      </x:c>
      <x:c r="W144" s="6" t="str">
        <x:v>15.0</x:v>
      </x:c>
      <x:c r="X144" s="6" t="str">
        <x:v>1</x:v>
      </x:c>
      <x:c r="Y144" s="6" t="str"/>
      <x:c r="Z144" s="6" t="str">
        <x:v>0</x:v>
      </x:c>
      <x:c r="AA144" s="6" t="str">
        <x:v>0.0</x:v>
      </x:c>
      <x:c r="AB144" s="6" t="str">
        <x:v>1</x:v>
      </x:c>
      <x:c r="AC144" s="6" t="str">
        <x:v>2025-11</x:v>
      </x:c>
      <x:c r="AD144" s="9" t="str">
        <x:v>BNPB operational disaster search table</x:v>
      </x:c>
      <x:c r="AE144" s="9" t="str">
        <x:v>https://gis.bnpb.go.id/databencana/tabel/pencarian.php</x:v>
      </x:c>
      <x:c r="AF144" s="9" t="str">
        <x:v>operational_snapshot_annual_totals_may_differ</x:v>
      </x:c>
    </x:row>
    <x:row r="145" ht="18" customHeight="1">
      <x:c r="A145" s="6" t="str">
        <x:v>16</x:v>
      </x:c>
      <x:c r="B145" s="6" t="str">
        <x:v>SUMATERA SELATAN</x:v>
      </x:c>
      <x:c r="C145" s="6" t="str">
        <x:v>2025</x:v>
      </x:c>
      <x:c r="D145" s="6" t="str">
        <x:v>12</x:v>
      </x:c>
      <x:c r="E145" s="6" t="str">
        <x:v>5</x:v>
      </x:c>
      <x:c r="F145" s="6" t="str">
        <x:v>5</x:v>
      </x:c>
      <x:c r="G145" s="6" t="str">
        <x:v>5</x:v>
      </x:c>
      <x:c r="H145" s="6" t="str">
        <x:v>0</x:v>
      </x:c>
      <x:c r="I145" s="6" t="str">
        <x:v>0</x:v>
      </x:c>
      <x:c r="J145" s="6" t="str">
        <x:v>0</x:v>
      </x:c>
      <x:c r="K145" s="6" t="str">
        <x:v>0</x:v>
      </x:c>
      <x:c r="L145" s="6" t="str">
        <x:v>0</x:v>
      </x:c>
      <x:c r="M145" s="6" t="str">
        <x:v>0</x:v>
      </x:c>
      <x:c r="N145" s="6" t="str">
        <x:v>0</x:v>
      </x:c>
      <x:c r="O145" s="6" t="str">
        <x:v>0</x:v>
      </x:c>
      <x:c r="P145" s="6" t="str">
        <x:v>5</x:v>
      </x:c>
      <x:c r="Q145" s="6" t="str"/>
      <x:c r="R145" s="6" t="str">
        <x:v>0</x:v>
      </x:c>
      <x:c r="S145" s="6" t="str"/>
      <x:c r="T145" s="6" t="str">
        <x:v>0</x:v>
      </x:c>
      <x:c r="U145" s="6" t="str"/>
      <x:c r="V145" s="6" t="str">
        <x:v>0</x:v>
      </x:c>
      <x:c r="W145" s="6" t="str">
        <x:v>0.0</x:v>
      </x:c>
      <x:c r="X145" s="6" t="str">
        <x:v>5</x:v>
      </x:c>
      <x:c r="Y145" s="6" t="str">
        <x:v>792.0</x:v>
      </x:c>
      <x:c r="Z145" s="6" t="str">
        <x:v>4</x:v>
      </x:c>
      <x:c r="AA145" s="6" t="str">
        <x:v>0.0</x:v>
      </x:c>
      <x:c r="AB145" s="6" t="str">
        <x:v>5</x:v>
      </x:c>
      <x:c r="AC145" s="6" t="str">
        <x:v>2025-12</x:v>
      </x:c>
      <x:c r="AD145" s="9" t="str">
        <x:v>BNPB operational disaster search table</x:v>
      </x:c>
      <x:c r="AE145" s="9" t="str">
        <x:v>https://gis.bnpb.go.id/databencana/tabel/pencarian.php</x:v>
      </x:c>
      <x:c r="AF145" s="9" t="str">
        <x:v>operational_snapshot_annual_totals_may_differ</x:v>
      </x:c>
    </x:row>
    <x:row r="146" ht="18" customHeight="1">
      <x:c r="A146" s="6" t="str">
        <x:v>17</x:v>
      </x:c>
      <x:c r="B146" s="6" t="str">
        <x:v>BENGKULU</x:v>
      </x:c>
      <x:c r="C146" s="6" t="str">
        <x:v>2024</x:v>
      </x:c>
      <x:c r="D146" s="6" t="str">
        <x:v>1</x:v>
      </x:c>
      <x:c r="E146" s="6" t="str">
        <x:v>2</x:v>
      </x:c>
      <x:c r="F146" s="6" t="str">
        <x:v>2</x:v>
      </x:c>
      <x:c r="G146" s="6" t="str">
        <x:v>1</x:v>
      </x:c>
      <x:c r="H146" s="6" t="str">
        <x:v>1</x:v>
      </x:c>
      <x:c r="I146" s="6" t="str">
        <x:v>0</x:v>
      </x:c>
      <x:c r="J146" s="6" t="str">
        <x:v>0</x:v>
      </x:c>
      <x:c r="K146" s="6" t="str">
        <x:v>0</x:v>
      </x:c>
      <x:c r="L146" s="6" t="str">
        <x:v>0</x:v>
      </x:c>
      <x:c r="M146" s="6" t="str">
        <x:v>0</x:v>
      </x:c>
      <x:c r="N146" s="6" t="str">
        <x:v>0</x:v>
      </x:c>
      <x:c r="O146" s="6" t="str">
        <x:v>0</x:v>
      </x:c>
      <x:c r="P146" s="6" t="str">
        <x:v>2</x:v>
      </x:c>
      <x:c r="Q146" s="6" t="str">
        <x:v>0.0</x:v>
      </x:c>
      <x:c r="R146" s="6" t="str">
        <x:v>2</x:v>
      </x:c>
      <x:c r="S146" s="6" t="str">
        <x:v>0.0</x:v>
      </x:c>
      <x:c r="T146" s="6" t="str">
        <x:v>2</x:v>
      </x:c>
      <x:c r="U146" s="6" t="str">
        <x:v>0.0</x:v>
      </x:c>
      <x:c r="V146" s="6" t="str">
        <x:v>2</x:v>
      </x:c>
      <x:c r="W146" s="6" t="str">
        <x:v>5.0</x:v>
      </x:c>
      <x:c r="X146" s="6" t="str">
        <x:v>2</x:v>
      </x:c>
      <x:c r="Y146" s="6" t="str">
        <x:v>128.0</x:v>
      </x:c>
      <x:c r="Z146" s="6" t="str">
        <x:v>1</x:v>
      </x:c>
      <x:c r="AA146" s="6" t="str">
        <x:v>0.0</x:v>
      </x:c>
      <x:c r="AB146" s="6" t="str">
        <x:v>2</x:v>
      </x:c>
      <x:c r="AC146" s="6" t="str">
        <x:v>2024-01</x:v>
      </x:c>
      <x:c r="AD146" s="9" t="str">
        <x:v>BNPB operational disaster search table</x:v>
      </x:c>
      <x:c r="AE146" s="9" t="str">
        <x:v>https://gis.bnpb.go.id/databencana/tabel/pencarian.php</x:v>
      </x:c>
      <x:c r="AF146" s="9" t="str">
        <x:v>operational_snapshot_annual_totals_may_differ</x:v>
      </x:c>
    </x:row>
    <x:row r="147" ht="18" customHeight="1">
      <x:c r="A147" s="6" t="str">
        <x:v>17</x:v>
      </x:c>
      <x:c r="B147" s="6" t="str">
        <x:v>BENGKULU</x:v>
      </x:c>
      <x:c r="C147" s="6" t="str">
        <x:v>2024</x:v>
      </x:c>
      <x:c r="D147" s="6" t="str">
        <x:v>2</x:v>
      </x:c>
      <x:c r="E147" s="6" t="str">
        <x:v>3</x:v>
      </x:c>
      <x:c r="F147" s="6" t="str">
        <x:v>3</x:v>
      </x:c>
      <x:c r="G147" s="6" t="str">
        <x:v>1</x:v>
      </x:c>
      <x:c r="H147" s="6" t="str">
        <x:v>1</x:v>
      </x:c>
      <x:c r="I147" s="6" t="str">
        <x:v>1</x:v>
      </x:c>
      <x:c r="J147" s="6" t="str">
        <x:v>0</x:v>
      </x:c>
      <x:c r="K147" s="6" t="str">
        <x:v>0</x:v>
      </x:c>
      <x:c r="L147" s="6" t="str">
        <x:v>0</x:v>
      </x:c>
      <x:c r="M147" s="6" t="str">
        <x:v>0</x:v>
      </x:c>
      <x:c r="N147" s="6" t="str">
        <x:v>0</x:v>
      </x:c>
      <x:c r="O147" s="6" t="str">
        <x:v>0</x:v>
      </x:c>
      <x:c r="P147" s="6" t="str">
        <x:v>3</x:v>
      </x:c>
      <x:c r="Q147" s="6" t="str">
        <x:v>1.0</x:v>
      </x:c>
      <x:c r="R147" s="6" t="str">
        <x:v>3</x:v>
      </x:c>
      <x:c r="S147" s="6" t="str">
        <x:v>0.0</x:v>
      </x:c>
      <x:c r="T147" s="6" t="str">
        <x:v>3</x:v>
      </x:c>
      <x:c r="U147" s="6" t="str">
        <x:v>0.0</x:v>
      </x:c>
      <x:c r="V147" s="6" t="str">
        <x:v>3</x:v>
      </x:c>
      <x:c r="W147" s="6" t="str">
        <x:v>0.0</x:v>
      </x:c>
      <x:c r="X147" s="6" t="str">
        <x:v>3</x:v>
      </x:c>
      <x:c r="Y147" s="6" t="str">
        <x:v>66.0</x:v>
      </x:c>
      <x:c r="Z147" s="6" t="str">
        <x:v>1</x:v>
      </x:c>
      <x:c r="AA147" s="6" t="str">
        <x:v>0.0</x:v>
      </x:c>
      <x:c r="AB147" s="6" t="str">
        <x:v>3</x:v>
      </x:c>
      <x:c r="AC147" s="6" t="str">
        <x:v>2024-02</x:v>
      </x:c>
      <x:c r="AD147" s="9" t="str">
        <x:v>BNPB operational disaster search table</x:v>
      </x:c>
      <x:c r="AE147" s="9" t="str">
        <x:v>https://gis.bnpb.go.id/databencana/tabel/pencarian.php</x:v>
      </x:c>
      <x:c r="AF147" s="9" t="str">
        <x:v>operational_snapshot_annual_totals_may_differ</x:v>
      </x:c>
    </x:row>
    <x:row r="148" ht="18" customHeight="1">
      <x:c r="A148" s="6" t="str">
        <x:v>17</x:v>
      </x:c>
      <x:c r="B148" s="6" t="str">
        <x:v>BENGKULU</x:v>
      </x:c>
      <x:c r="C148" s="6" t="str">
        <x:v>2024</x:v>
      </x:c>
      <x:c r="D148" s="6" t="str">
        <x:v>3</x:v>
      </x:c>
      <x:c r="E148" s="6" t="str">
        <x:v>1</x:v>
      </x:c>
      <x:c r="F148" s="6" t="str">
        <x:v>1</x:v>
      </x:c>
      <x:c r="G148" s="6" t="str">
        <x:v>0</x:v>
      </x:c>
      <x:c r="H148" s="6" t="str">
        <x:v>0</x:v>
      </x:c>
      <x:c r="I148" s="6" t="str">
        <x:v>0</x:v>
      </x:c>
      <x:c r="J148" s="6" t="str">
        <x:v>0</x:v>
      </x:c>
      <x:c r="K148" s="6" t="str">
        <x:v>0</x:v>
      </x:c>
      <x:c r="L148" s="6" t="str">
        <x:v>0</x:v>
      </x:c>
      <x:c r="M148" s="6" t="str">
        <x:v>1</x:v>
      </x:c>
      <x:c r="N148" s="6" t="str">
        <x:v>0</x:v>
      </x:c>
      <x:c r="O148" s="6" t="str">
        <x:v>0</x:v>
      </x:c>
      <x:c r="P148" s="6" t="str">
        <x:v>0</x:v>
      </x:c>
      <x:c r="Q148" s="6" t="str">
        <x:v>0.0</x:v>
      </x:c>
      <x:c r="R148" s="6" t="str">
        <x:v>1</x:v>
      </x:c>
      <x:c r="S148" s="6" t="str">
        <x:v>0.0</x:v>
      </x:c>
      <x:c r="T148" s="6" t="str">
        <x:v>1</x:v>
      </x:c>
      <x:c r="U148" s="6" t="str">
        <x:v>0.0</x:v>
      </x:c>
      <x:c r="V148" s="6" t="str">
        <x:v>1</x:v>
      </x:c>
      <x:c r="W148" s="6" t="str">
        <x:v>115.0</x:v>
      </x:c>
      <x:c r="X148" s="6" t="str">
        <x:v>1</x:v>
      </x:c>
      <x:c r="Y148" s="6" t="str"/>
      <x:c r="Z148" s="6" t="str">
        <x:v>0</x:v>
      </x:c>
      <x:c r="AA148" s="6" t="str">
        <x:v>3.0</x:v>
      </x:c>
      <x:c r="AB148" s="6" t="str">
        <x:v>1</x:v>
      </x:c>
      <x:c r="AC148" s="6" t="str">
        <x:v>2024-03</x:v>
      </x:c>
      <x:c r="AD148" s="9" t="str">
        <x:v>BNPB operational disaster search table</x:v>
      </x:c>
      <x:c r="AE148" s="9" t="str">
        <x:v>https://gis.bnpb.go.id/databencana/tabel/pencarian.php</x:v>
      </x:c>
      <x:c r="AF148" s="9" t="str">
        <x:v>operational_snapshot_annual_totals_may_differ</x:v>
      </x:c>
    </x:row>
    <x:row r="149" ht="18" customHeight="1">
      <x:c r="A149" s="6" t="str">
        <x:v>17</x:v>
      </x:c>
      <x:c r="B149" s="6" t="str">
        <x:v>BENGKULU</x:v>
      </x:c>
      <x:c r="C149" s="6" t="str">
        <x:v>2024</x:v>
      </x:c>
      <x:c r="D149" s="6" t="str">
        <x:v>4</x:v>
      </x:c>
      <x:c r="E149" s="6" t="str">
        <x:v>3</x:v>
      </x:c>
      <x:c r="F149" s="6" t="str">
        <x:v>3</x:v>
      </x:c>
      <x:c r="G149" s="6" t="str">
        <x:v>3</x:v>
      </x:c>
      <x:c r="H149" s="6" t="str">
        <x:v>0</x:v>
      </x:c>
      <x:c r="I149" s="6" t="str">
        <x:v>0</x:v>
      </x:c>
      <x:c r="J149" s="6" t="str">
        <x:v>0</x:v>
      </x:c>
      <x:c r="K149" s="6" t="str">
        <x:v>0</x:v>
      </x:c>
      <x:c r="L149" s="6" t="str">
        <x:v>0</x:v>
      </x:c>
      <x:c r="M149" s="6" t="str">
        <x:v>0</x:v>
      </x:c>
      <x:c r="N149" s="6" t="str">
        <x:v>0</x:v>
      </x:c>
      <x:c r="O149" s="6" t="str">
        <x:v>0</x:v>
      </x:c>
      <x:c r="P149" s="6" t="str">
        <x:v>3</x:v>
      </x:c>
      <x:c r="Q149" s="6" t="str">
        <x:v>0.0</x:v>
      </x:c>
      <x:c r="R149" s="6" t="str">
        <x:v>3</x:v>
      </x:c>
      <x:c r="S149" s="6" t="str">
        <x:v>0.0</x:v>
      </x:c>
      <x:c r="T149" s="6" t="str">
        <x:v>3</x:v>
      </x:c>
      <x:c r="U149" s="6" t="str">
        <x:v>1.0</x:v>
      </x:c>
      <x:c r="V149" s="6" t="str">
        <x:v>3</x:v>
      </x:c>
      <x:c r="W149" s="6" t="str">
        <x:v>344.0</x:v>
      </x:c>
      <x:c r="X149" s="6" t="str">
        <x:v>3</x:v>
      </x:c>
      <x:c r="Y149" s="6" t="str">
        <x:v>3182.0</x:v>
      </x:c>
      <x:c r="Z149" s="6" t="str">
        <x:v>3</x:v>
      </x:c>
      <x:c r="AA149" s="6" t="str">
        <x:v>20.0</x:v>
      </x:c>
      <x:c r="AB149" s="6" t="str">
        <x:v>3</x:v>
      </x:c>
      <x:c r="AC149" s="6" t="str">
        <x:v>2024-04</x:v>
      </x:c>
      <x:c r="AD149" s="9" t="str">
        <x:v>BNPB operational disaster search table</x:v>
      </x:c>
      <x:c r="AE149" s="9" t="str">
        <x:v>https://gis.bnpb.go.id/databencana/tabel/pencarian.php</x:v>
      </x:c>
      <x:c r="AF149" s="9" t="str">
        <x:v>operational_snapshot_annual_totals_may_differ</x:v>
      </x:c>
    </x:row>
    <x:row r="150" ht="18" customHeight="1">
      <x:c r="A150" s="6" t="str">
        <x:v>17</x:v>
      </x:c>
      <x:c r="B150" s="6" t="str">
        <x:v>BENGKULU</x:v>
      </x:c>
      <x:c r="C150" s="6" t="str">
        <x:v>2024</x:v>
      </x:c>
      <x:c r="D150" s="6" t="str">
        <x:v>5</x:v>
      </x:c>
      <x:c r="E150" s="6" t="str">
        <x:v>0</x:v>
      </x:c>
      <x:c r="F150" s="6" t="str">
        <x:v>0</x:v>
      </x:c>
      <x:c r="G150" s="6" t="str">
        <x:v>0</x:v>
      </x:c>
      <x:c r="H150" s="6" t="str">
        <x:v>0</x:v>
      </x:c>
      <x:c r="I150" s="6" t="str">
        <x:v>0</x:v>
      </x:c>
      <x:c r="J150" s="6" t="str">
        <x:v>0</x:v>
      </x:c>
      <x:c r="K150" s="6" t="str">
        <x:v>0</x:v>
      </x:c>
      <x:c r="L150" s="6" t="str">
        <x:v>0</x:v>
      </x:c>
      <x:c r="M150" s="6" t="str">
        <x:v>0</x:v>
      </x:c>
      <x:c r="N150" s="6" t="str">
        <x:v>0</x:v>
      </x:c>
      <x:c r="O150" s="6" t="str">
        <x:v>0</x:v>
      </x:c>
      <x:c r="P150" s="6" t="str">
        <x:v>0</x:v>
      </x:c>
      <x:c r="Q150" s="6" t="str"/>
      <x:c r="R150" s="6" t="str">
        <x:v>0</x:v>
      </x:c>
      <x:c r="S150" s="6" t="str"/>
      <x:c r="T150" s="6" t="str">
        <x:v>0</x:v>
      </x:c>
      <x:c r="U150" s="6" t="str"/>
      <x:c r="V150" s="6" t="str">
        <x:v>0</x:v>
      </x:c>
      <x:c r="W150" s="6" t="str"/>
      <x:c r="X150" s="6" t="str">
        <x:v>0</x:v>
      </x:c>
      <x:c r="Y150" s="6" t="str"/>
      <x:c r="Z150" s="6" t="str">
        <x:v>0</x:v>
      </x:c>
      <x:c r="AA150" s="6" t="str"/>
      <x:c r="AB150" s="6" t="str">
        <x:v>0</x:v>
      </x:c>
      <x:c r="AC150" s="6" t="str">
        <x:v>2024-05</x:v>
      </x:c>
      <x:c r="AD150" s="9" t="str">
        <x:v>BNPB operational disaster search table</x:v>
      </x:c>
      <x:c r="AE150" s="9" t="str">
        <x:v>https://gis.bnpb.go.id/databencana/tabel/pencarian.php</x:v>
      </x:c>
      <x:c r="AF150" s="9" t="str">
        <x:v>operational_snapshot_annual_totals_may_differ</x:v>
      </x:c>
    </x:row>
    <x:row r="151" ht="18" customHeight="1">
      <x:c r="A151" s="6" t="str">
        <x:v>17</x:v>
      </x:c>
      <x:c r="B151" s="6" t="str">
        <x:v>BENGKULU</x:v>
      </x:c>
      <x:c r="C151" s="6" t="str">
        <x:v>2024</x:v>
      </x:c>
      <x:c r="D151" s="6" t="str">
        <x:v>6</x:v>
      </x:c>
      <x:c r="E151" s="6" t="str">
        <x:v>0</x:v>
      </x:c>
      <x:c r="F151" s="6" t="str">
        <x:v>0</x:v>
      </x:c>
      <x:c r="G151" s="6" t="str">
        <x:v>0</x:v>
      </x:c>
      <x:c r="H151" s="6" t="str">
        <x:v>0</x:v>
      </x:c>
      <x:c r="I151" s="6" t="str">
        <x:v>0</x:v>
      </x:c>
      <x:c r="J151" s="6" t="str">
        <x:v>0</x:v>
      </x:c>
      <x:c r="K151" s="6" t="str">
        <x:v>0</x:v>
      </x:c>
      <x:c r="L151" s="6" t="str">
        <x:v>0</x:v>
      </x:c>
      <x:c r="M151" s="6" t="str">
        <x:v>0</x:v>
      </x:c>
      <x:c r="N151" s="6" t="str">
        <x:v>0</x:v>
      </x:c>
      <x:c r="O151" s="6" t="str">
        <x:v>0</x:v>
      </x:c>
      <x:c r="P151" s="6" t="str">
        <x:v>0</x:v>
      </x:c>
      <x:c r="Q151" s="6" t="str"/>
      <x:c r="R151" s="6" t="str">
        <x:v>0</x:v>
      </x:c>
      <x:c r="S151" s="6" t="str"/>
      <x:c r="T151" s="6" t="str">
        <x:v>0</x:v>
      </x:c>
      <x:c r="U151" s="6" t="str"/>
      <x:c r="V151" s="6" t="str">
        <x:v>0</x:v>
      </x:c>
      <x:c r="W151" s="6" t="str"/>
      <x:c r="X151" s="6" t="str">
        <x:v>0</x:v>
      </x:c>
      <x:c r="Y151" s="6" t="str"/>
      <x:c r="Z151" s="6" t="str">
        <x:v>0</x:v>
      </x:c>
      <x:c r="AA151" s="6" t="str"/>
      <x:c r="AB151" s="6" t="str">
        <x:v>0</x:v>
      </x:c>
      <x:c r="AC151" s="6" t="str">
        <x:v>2024-06</x:v>
      </x:c>
      <x:c r="AD151" s="9" t="str">
        <x:v>BNPB operational disaster search table</x:v>
      </x:c>
      <x:c r="AE151" s="9" t="str">
        <x:v>https://gis.bnpb.go.id/databencana/tabel/pencarian.php</x:v>
      </x:c>
      <x:c r="AF151" s="9" t="str">
        <x:v>operational_snapshot_annual_totals_may_differ</x:v>
      </x:c>
    </x:row>
    <x:row r="152" ht="18" customHeight="1">
      <x:c r="A152" s="6" t="str">
        <x:v>17</x:v>
      </x:c>
      <x:c r="B152" s="6" t="str">
        <x:v>BENGKULU</x:v>
      </x:c>
      <x:c r="C152" s="6" t="str">
        <x:v>2024</x:v>
      </x:c>
      <x:c r="D152" s="6" t="str">
        <x:v>7</x:v>
      </x:c>
      <x:c r="E152" s="6" t="str">
        <x:v>3</x:v>
      </x:c>
      <x:c r="F152" s="6" t="str">
        <x:v>3</x:v>
      </x:c>
      <x:c r="G152" s="6" t="str">
        <x:v>2</x:v>
      </x:c>
      <x:c r="H152" s="6" t="str">
        <x:v>0</x:v>
      </x:c>
      <x:c r="I152" s="6" t="str">
        <x:v>0</x:v>
      </x:c>
      <x:c r="J152" s="6" t="str">
        <x:v>0</x:v>
      </x:c>
      <x:c r="K152" s="6" t="str">
        <x:v>1</x:v>
      </x:c>
      <x:c r="L152" s="6" t="str">
        <x:v>0</x:v>
      </x:c>
      <x:c r="M152" s="6" t="str">
        <x:v>0</x:v>
      </x:c>
      <x:c r="N152" s="6" t="str">
        <x:v>0</x:v>
      </x:c>
      <x:c r="O152" s="6" t="str">
        <x:v>0</x:v>
      </x:c>
      <x:c r="P152" s="6" t="str">
        <x:v>3</x:v>
      </x:c>
      <x:c r="Q152" s="6" t="str">
        <x:v>0.0</x:v>
      </x:c>
      <x:c r="R152" s="6" t="str">
        <x:v>3</x:v>
      </x:c>
      <x:c r="S152" s="6" t="str">
        <x:v>0.0</x:v>
      </x:c>
      <x:c r="T152" s="6" t="str">
        <x:v>3</x:v>
      </x:c>
      <x:c r="U152" s="6" t="str">
        <x:v>0.0</x:v>
      </x:c>
      <x:c r="V152" s="6" t="str">
        <x:v>3</x:v>
      </x:c>
      <x:c r="W152" s="6" t="str">
        <x:v>0.0</x:v>
      </x:c>
      <x:c r="X152" s="6" t="str">
        <x:v>3</x:v>
      </x:c>
      <x:c r="Y152" s="6" t="str">
        <x:v>464.0</x:v>
      </x:c>
      <x:c r="Z152" s="6" t="str">
        <x:v>2</x:v>
      </x:c>
      <x:c r="AA152" s="6" t="str">
        <x:v>1.0</x:v>
      </x:c>
      <x:c r="AB152" s="6" t="str">
        <x:v>3</x:v>
      </x:c>
      <x:c r="AC152" s="6" t="str">
        <x:v>2024-07</x:v>
      </x:c>
      <x:c r="AD152" s="9" t="str">
        <x:v>BNPB operational disaster search table</x:v>
      </x:c>
      <x:c r="AE152" s="9" t="str">
        <x:v>https://gis.bnpb.go.id/databencana/tabel/pencarian.php</x:v>
      </x:c>
      <x:c r="AF152" s="9" t="str">
        <x:v>operational_snapshot_annual_totals_may_differ</x:v>
      </x:c>
    </x:row>
    <x:row r="153" ht="18" customHeight="1">
      <x:c r="A153" s="6" t="str">
        <x:v>17</x:v>
      </x:c>
      <x:c r="B153" s="6" t="str">
        <x:v>BENGKULU</x:v>
      </x:c>
      <x:c r="C153" s="6" t="str">
        <x:v>2024</x:v>
      </x:c>
      <x:c r="D153" s="6" t="str">
        <x:v>8</x:v>
      </x:c>
      <x:c r="E153" s="6" t="str">
        <x:v>1</x:v>
      </x:c>
      <x:c r="F153" s="6" t="str">
        <x:v>1</x:v>
      </x:c>
      <x:c r="G153" s="6" t="str">
        <x:v>0</x:v>
      </x:c>
      <x:c r="H153" s="6" t="str">
        <x:v>0</x:v>
      </x:c>
      <x:c r="I153" s="6" t="str">
        <x:v>1</x:v>
      </x:c>
      <x:c r="J153" s="6" t="str">
        <x:v>0</x:v>
      </x:c>
      <x:c r="K153" s="6" t="str">
        <x:v>0</x:v>
      </x:c>
      <x:c r="L153" s="6" t="str">
        <x:v>0</x:v>
      </x:c>
      <x:c r="M153" s="6" t="str">
        <x:v>0</x:v>
      </x:c>
      <x:c r="N153" s="6" t="str">
        <x:v>0</x:v>
      </x:c>
      <x:c r="O153" s="6" t="str">
        <x:v>0</x:v>
      </x:c>
      <x:c r="P153" s="6" t="str">
        <x:v>1</x:v>
      </x:c>
      <x:c r="Q153" s="6" t="str">
        <x:v>0.0</x:v>
      </x:c>
      <x:c r="R153" s="6" t="str">
        <x:v>1</x:v>
      </x:c>
      <x:c r="S153" s="6" t="str">
        <x:v>0.0</x:v>
      </x:c>
      <x:c r="T153" s="6" t="str">
        <x:v>1</x:v>
      </x:c>
      <x:c r="U153" s="6" t="str">
        <x:v>0.0</x:v>
      </x:c>
      <x:c r="V153" s="6" t="str">
        <x:v>1</x:v>
      </x:c>
      <x:c r="W153" s="6" t="str">
        <x:v>13.0</x:v>
      </x:c>
      <x:c r="X153" s="6" t="str">
        <x:v>1</x:v>
      </x:c>
      <x:c r="Y153" s="6" t="str"/>
      <x:c r="Z153" s="6" t="str">
        <x:v>0</x:v>
      </x:c>
      <x:c r="AA153" s="6" t="str">
        <x:v>0.0</x:v>
      </x:c>
      <x:c r="AB153" s="6" t="str">
        <x:v>1</x:v>
      </x:c>
      <x:c r="AC153" s="6" t="str">
        <x:v>2024-08</x:v>
      </x:c>
      <x:c r="AD153" s="9" t="str">
        <x:v>BNPB operational disaster search table</x:v>
      </x:c>
      <x:c r="AE153" s="9" t="str">
        <x:v>https://gis.bnpb.go.id/databencana/tabel/pencarian.php</x:v>
      </x:c>
      <x:c r="AF153" s="9" t="str">
        <x:v>operational_snapshot_annual_totals_may_differ</x:v>
      </x:c>
    </x:row>
    <x:row r="154" ht="18" customHeight="1">
      <x:c r="A154" s="6" t="str">
        <x:v>17</x:v>
      </x:c>
      <x:c r="B154" s="6" t="str">
        <x:v>BENGKULU</x:v>
      </x:c>
      <x:c r="C154" s="6" t="str">
        <x:v>2024</x:v>
      </x:c>
      <x:c r="D154" s="6" t="str">
        <x:v>9</x:v>
      </x:c>
      <x:c r="E154" s="6" t="str">
        <x:v>2</x:v>
      </x:c>
      <x:c r="F154" s="6" t="str">
        <x:v>2</x:v>
      </x:c>
      <x:c r="G154" s="6" t="str">
        <x:v>0</x:v>
      </x:c>
      <x:c r="H154" s="6" t="str">
        <x:v>1</x:v>
      </x:c>
      <x:c r="I154" s="6" t="str">
        <x:v>1</x:v>
      </x:c>
      <x:c r="J154" s="6" t="str">
        <x:v>0</x:v>
      </x:c>
      <x:c r="K154" s="6" t="str">
        <x:v>0</x:v>
      </x:c>
      <x:c r="L154" s="6" t="str">
        <x:v>0</x:v>
      </x:c>
      <x:c r="M154" s="6" t="str">
        <x:v>0</x:v>
      </x:c>
      <x:c r="N154" s="6" t="str">
        <x:v>0</x:v>
      </x:c>
      <x:c r="O154" s="6" t="str">
        <x:v>0</x:v>
      </x:c>
      <x:c r="P154" s="6" t="str">
        <x:v>2</x:v>
      </x:c>
      <x:c r="Q154" s="6" t="str">
        <x:v>0.0</x:v>
      </x:c>
      <x:c r="R154" s="6" t="str">
        <x:v>2</x:v>
      </x:c>
      <x:c r="S154" s="6" t="str">
        <x:v>0.0</x:v>
      </x:c>
      <x:c r="T154" s="6" t="str">
        <x:v>2</x:v>
      </x:c>
      <x:c r="U154" s="6" t="str">
        <x:v>0.0</x:v>
      </x:c>
      <x:c r="V154" s="6" t="str">
        <x:v>2</x:v>
      </x:c>
      <x:c r="W154" s="6" t="str">
        <x:v>15.0</x:v>
      </x:c>
      <x:c r="X154" s="6" t="str">
        <x:v>2</x:v>
      </x:c>
      <x:c r="Y154" s="6" t="str"/>
      <x:c r="Z154" s="6" t="str">
        <x:v>0</x:v>
      </x:c>
      <x:c r="AA154" s="6" t="str">
        <x:v>0.0</x:v>
      </x:c>
      <x:c r="AB154" s="6" t="str">
        <x:v>2</x:v>
      </x:c>
      <x:c r="AC154" s="6" t="str">
        <x:v>2024-09</x:v>
      </x:c>
      <x:c r="AD154" s="9" t="str">
        <x:v>BNPB operational disaster search table</x:v>
      </x:c>
      <x:c r="AE154" s="9" t="str">
        <x:v>https://gis.bnpb.go.id/databencana/tabel/pencarian.php</x:v>
      </x:c>
      <x:c r="AF154" s="9" t="str">
        <x:v>operational_snapshot_annual_totals_may_differ</x:v>
      </x:c>
    </x:row>
    <x:row r="155" ht="18" customHeight="1">
      <x:c r="A155" s="6" t="str">
        <x:v>17</x:v>
      </x:c>
      <x:c r="B155" s="6" t="str">
        <x:v>BENGKULU</x:v>
      </x:c>
      <x:c r="C155" s="6" t="str">
        <x:v>2024</x:v>
      </x:c>
      <x:c r="D155" s="6" t="str">
        <x:v>10</x:v>
      </x:c>
      <x:c r="E155" s="6" t="str">
        <x:v>1</x:v>
      </x:c>
      <x:c r="F155" s="6" t="str">
        <x:v>1</x:v>
      </x:c>
      <x:c r="G155" s="6" t="str">
        <x:v>1</x:v>
      </x:c>
      <x:c r="H155" s="6" t="str">
        <x:v>0</x:v>
      </x:c>
      <x:c r="I155" s="6" t="str">
        <x:v>0</x:v>
      </x:c>
      <x:c r="J155" s="6" t="str">
        <x:v>0</x:v>
      </x:c>
      <x:c r="K155" s="6" t="str">
        <x:v>0</x:v>
      </x:c>
      <x:c r="L155" s="6" t="str">
        <x:v>0</x:v>
      </x:c>
      <x:c r="M155" s="6" t="str">
        <x:v>0</x:v>
      </x:c>
      <x:c r="N155" s="6" t="str">
        <x:v>0</x:v>
      </x:c>
      <x:c r="O155" s="6" t="str">
        <x:v>0</x:v>
      </x:c>
      <x:c r="P155" s="6" t="str">
        <x:v>1</x:v>
      </x:c>
      <x:c r="Q155" s="6" t="str">
        <x:v>0.0</x:v>
      </x:c>
      <x:c r="R155" s="6" t="str">
        <x:v>1</x:v>
      </x:c>
      <x:c r="S155" s="6" t="str">
        <x:v>0.0</x:v>
      </x:c>
      <x:c r="T155" s="6" t="str">
        <x:v>1</x:v>
      </x:c>
      <x:c r="U155" s="6" t="str">
        <x:v>0.0</x:v>
      </x:c>
      <x:c r="V155" s="6" t="str">
        <x:v>1</x:v>
      </x:c>
      <x:c r="W155" s="6" t="str">
        <x:v>25.0</x:v>
      </x:c>
      <x:c r="X155" s="6" t="str">
        <x:v>1</x:v>
      </x:c>
      <x:c r="Y155" s="6" t="str"/>
      <x:c r="Z155" s="6" t="str">
        <x:v>0</x:v>
      </x:c>
      <x:c r="AA155" s="6" t="str">
        <x:v>0.0</x:v>
      </x:c>
      <x:c r="AB155" s="6" t="str">
        <x:v>1</x:v>
      </x:c>
      <x:c r="AC155" s="6" t="str">
        <x:v>2024-10</x:v>
      </x:c>
      <x:c r="AD155" s="9" t="str">
        <x:v>BNPB operational disaster search table</x:v>
      </x:c>
      <x:c r="AE155" s="9" t="str">
        <x:v>https://gis.bnpb.go.id/databencana/tabel/pencarian.php</x:v>
      </x:c>
      <x:c r="AF155" s="9" t="str">
        <x:v>operational_snapshot_annual_totals_may_differ</x:v>
      </x:c>
    </x:row>
    <x:row r="156" ht="18" customHeight="1">
      <x:c r="A156" s="6" t="str">
        <x:v>17</x:v>
      </x:c>
      <x:c r="B156" s="6" t="str">
        <x:v>BENGKULU</x:v>
      </x:c>
      <x:c r="C156" s="6" t="str">
        <x:v>2024</x:v>
      </x:c>
      <x:c r="D156" s="6" t="str">
        <x:v>11</x:v>
      </x:c>
      <x:c r="E156" s="6" t="str">
        <x:v>1</x:v>
      </x:c>
      <x:c r="F156" s="6" t="str">
        <x:v>1</x:v>
      </x:c>
      <x:c r="G156" s="6" t="str">
        <x:v>0</x:v>
      </x:c>
      <x:c r="H156" s="6" t="str">
        <x:v>1</x:v>
      </x:c>
      <x:c r="I156" s="6" t="str">
        <x:v>0</x:v>
      </x:c>
      <x:c r="J156" s="6" t="str">
        <x:v>0</x:v>
      </x:c>
      <x:c r="K156" s="6" t="str">
        <x:v>0</x:v>
      </x:c>
      <x:c r="L156" s="6" t="str">
        <x:v>0</x:v>
      </x:c>
      <x:c r="M156" s="6" t="str">
        <x:v>0</x:v>
      </x:c>
      <x:c r="N156" s="6" t="str">
        <x:v>0</x:v>
      </x:c>
      <x:c r="O156" s="6" t="str">
        <x:v>0</x:v>
      </x:c>
      <x:c r="P156" s="6" t="str">
        <x:v>1</x:v>
      </x:c>
      <x:c r="Q156" s="6" t="str">
        <x:v>1.0</x:v>
      </x:c>
      <x:c r="R156" s="6" t="str">
        <x:v>1</x:v>
      </x:c>
      <x:c r="S156" s="6" t="str">
        <x:v>0.0</x:v>
      </x:c>
      <x:c r="T156" s="6" t="str">
        <x:v>1</x:v>
      </x:c>
      <x:c r="U156" s="6" t="str">
        <x:v>0.0</x:v>
      </x:c>
      <x:c r="V156" s="6" t="str">
        <x:v>1</x:v>
      </x:c>
      <x:c r="W156" s="6" t="str">
        <x:v>0.0</x:v>
      </x:c>
      <x:c r="X156" s="6" t="str">
        <x:v>1</x:v>
      </x:c>
      <x:c r="Y156" s="6" t="str"/>
      <x:c r="Z156" s="6" t="str">
        <x:v>0</x:v>
      </x:c>
      <x:c r="AA156" s="6" t="str">
        <x:v>0.0</x:v>
      </x:c>
      <x:c r="AB156" s="6" t="str">
        <x:v>1</x:v>
      </x:c>
      <x:c r="AC156" s="6" t="str">
        <x:v>2024-11</x:v>
      </x:c>
      <x:c r="AD156" s="9" t="str">
        <x:v>BNPB operational disaster search table</x:v>
      </x:c>
      <x:c r="AE156" s="9" t="str">
        <x:v>https://gis.bnpb.go.id/databencana/tabel/pencarian.php</x:v>
      </x:c>
      <x:c r="AF156" s="9" t="str">
        <x:v>operational_snapshot_annual_totals_may_differ</x:v>
      </x:c>
    </x:row>
    <x:row r="157" ht="18" customHeight="1">
      <x:c r="A157" s="6" t="str">
        <x:v>17</x:v>
      </x:c>
      <x:c r="B157" s="6" t="str">
        <x:v>BENGKULU</x:v>
      </x:c>
      <x:c r="C157" s="6" t="str">
        <x:v>2024</x:v>
      </x:c>
      <x:c r="D157" s="6" t="str">
        <x:v>12</x:v>
      </x:c>
      <x:c r="E157" s="6" t="str">
        <x:v>1</x:v>
      </x:c>
      <x:c r="F157" s="6" t="str">
        <x:v>1</x:v>
      </x:c>
      <x:c r="G157" s="6" t="str">
        <x:v>1</x:v>
      </x:c>
      <x:c r="H157" s="6" t="str">
        <x:v>0</x:v>
      </x:c>
      <x:c r="I157" s="6" t="str">
        <x:v>0</x:v>
      </x:c>
      <x:c r="J157" s="6" t="str">
        <x:v>0</x:v>
      </x:c>
      <x:c r="K157" s="6" t="str">
        <x:v>0</x:v>
      </x:c>
      <x:c r="L157" s="6" t="str">
        <x:v>0</x:v>
      </x:c>
      <x:c r="M157" s="6" t="str">
        <x:v>0</x:v>
      </x:c>
      <x:c r="N157" s="6" t="str">
        <x:v>0</x:v>
      </x:c>
      <x:c r="O157" s="6" t="str">
        <x:v>0</x:v>
      </x:c>
      <x:c r="P157" s="6" t="str">
        <x:v>1</x:v>
      </x:c>
      <x:c r="Q157" s="6" t="str">
        <x:v>0.0</x:v>
      </x:c>
      <x:c r="R157" s="6" t="str">
        <x:v>1</x:v>
      </x:c>
      <x:c r="S157" s="6" t="str">
        <x:v>0.0</x:v>
      </x:c>
      <x:c r="T157" s="6" t="str">
        <x:v>1</x:v>
      </x:c>
      <x:c r="U157" s="6" t="str">
        <x:v>0.0</x:v>
      </x:c>
      <x:c r="V157" s="6" t="str">
        <x:v>1</x:v>
      </x:c>
      <x:c r="W157" s="6" t="str">
        <x:v>0.0</x:v>
      </x:c>
      <x:c r="X157" s="6" t="str">
        <x:v>1</x:v>
      </x:c>
      <x:c r="Y157" s="6" t="str">
        <x:v>46.0</x:v>
      </x:c>
      <x:c r="Z157" s="6" t="str">
        <x:v>1</x:v>
      </x:c>
      <x:c r="AA157" s="6" t="str">
        <x:v>0.0</x:v>
      </x:c>
      <x:c r="AB157" s="6" t="str">
        <x:v>1</x:v>
      </x:c>
      <x:c r="AC157" s="6" t="str">
        <x:v>2024-12</x:v>
      </x:c>
      <x:c r="AD157" s="9" t="str">
        <x:v>BNPB operational disaster search table</x:v>
      </x:c>
      <x:c r="AE157" s="9" t="str">
        <x:v>https://gis.bnpb.go.id/databencana/tabel/pencarian.php</x:v>
      </x:c>
      <x:c r="AF157" s="9" t="str">
        <x:v>operational_snapshot_annual_totals_may_differ</x:v>
      </x:c>
    </x:row>
    <x:row r="158" ht="18" customHeight="1">
      <x:c r="A158" s="6" t="str">
        <x:v>17</x:v>
      </x:c>
      <x:c r="B158" s="6" t="str">
        <x:v>BENGKULU</x:v>
      </x:c>
      <x:c r="C158" s="6" t="str">
        <x:v>2025</x:v>
      </x:c>
      <x:c r="D158" s="6" t="str">
        <x:v>1</x:v>
      </x:c>
      <x:c r="E158" s="6" t="str">
        <x:v>0</x:v>
      </x:c>
      <x:c r="F158" s="6" t="str">
        <x:v>0</x:v>
      </x:c>
      <x:c r="G158" s="6" t="str">
        <x:v>0</x:v>
      </x:c>
      <x:c r="H158" s="6" t="str">
        <x:v>0</x:v>
      </x:c>
      <x:c r="I158" s="6" t="str">
        <x:v>0</x:v>
      </x:c>
      <x:c r="J158" s="6" t="str">
        <x:v>0</x:v>
      </x:c>
      <x:c r="K158" s="6" t="str">
        <x:v>0</x:v>
      </x:c>
      <x:c r="L158" s="6" t="str">
        <x:v>0</x:v>
      </x:c>
      <x:c r="M158" s="6" t="str">
        <x:v>0</x:v>
      </x:c>
      <x:c r="N158" s="6" t="str">
        <x:v>0</x:v>
      </x:c>
      <x:c r="O158" s="6" t="str">
        <x:v>0</x:v>
      </x:c>
      <x:c r="P158" s="6" t="str">
        <x:v>0</x:v>
      </x:c>
      <x:c r="Q158" s="6" t="str"/>
      <x:c r="R158" s="6" t="str">
        <x:v>0</x:v>
      </x:c>
      <x:c r="S158" s="6" t="str"/>
      <x:c r="T158" s="6" t="str">
        <x:v>0</x:v>
      </x:c>
      <x:c r="U158" s="6" t="str"/>
      <x:c r="V158" s="6" t="str">
        <x:v>0</x:v>
      </x:c>
      <x:c r="W158" s="6" t="str"/>
      <x:c r="X158" s="6" t="str">
        <x:v>0</x:v>
      </x:c>
      <x:c r="Y158" s="6" t="str"/>
      <x:c r="Z158" s="6" t="str">
        <x:v>0</x:v>
      </x:c>
      <x:c r="AA158" s="6" t="str"/>
      <x:c r="AB158" s="6" t="str">
        <x:v>0</x:v>
      </x:c>
      <x:c r="AC158" s="6" t="str">
        <x:v>2025-01</x:v>
      </x:c>
      <x:c r="AD158" s="9" t="str">
        <x:v>BNPB operational disaster search table</x:v>
      </x:c>
      <x:c r="AE158" s="9" t="str">
        <x:v>https://gis.bnpb.go.id/databencana/tabel/pencarian.php</x:v>
      </x:c>
      <x:c r="AF158" s="9" t="str">
        <x:v>operational_snapshot_annual_totals_may_differ</x:v>
      </x:c>
    </x:row>
    <x:row r="159" ht="18" customHeight="1">
      <x:c r="A159" s="6" t="str">
        <x:v>17</x:v>
      </x:c>
      <x:c r="B159" s="6" t="str">
        <x:v>BENGKULU</x:v>
      </x:c>
      <x:c r="C159" s="6" t="str">
        <x:v>2025</x:v>
      </x:c>
      <x:c r="D159" s="6" t="str">
        <x:v>2</x:v>
      </x:c>
      <x:c r="E159" s="6" t="str">
        <x:v>1</x:v>
      </x:c>
      <x:c r="F159" s="6" t="str">
        <x:v>1</x:v>
      </x:c>
      <x:c r="G159" s="6" t="str">
        <x:v>1</x:v>
      </x:c>
      <x:c r="H159" s="6" t="str">
        <x:v>0</x:v>
      </x:c>
      <x:c r="I159" s="6" t="str">
        <x:v>0</x:v>
      </x:c>
      <x:c r="J159" s="6" t="str">
        <x:v>0</x:v>
      </x:c>
      <x:c r="K159" s="6" t="str">
        <x:v>0</x:v>
      </x:c>
      <x:c r="L159" s="6" t="str">
        <x:v>0</x:v>
      </x:c>
      <x:c r="M159" s="6" t="str">
        <x:v>0</x:v>
      </x:c>
      <x:c r="N159" s="6" t="str">
        <x:v>0</x:v>
      </x:c>
      <x:c r="O159" s="6" t="str">
        <x:v>0</x:v>
      </x:c>
      <x:c r="P159" s="6" t="str">
        <x:v>1</x:v>
      </x:c>
      <x:c r="Q159" s="6" t="str">
        <x:v>0.0</x:v>
      </x:c>
      <x:c r="R159" s="6" t="str">
        <x:v>1</x:v>
      </x:c>
      <x:c r="S159" s="6" t="str">
        <x:v>0.0</x:v>
      </x:c>
      <x:c r="T159" s="6" t="str">
        <x:v>1</x:v>
      </x:c>
      <x:c r="U159" s="6" t="str">
        <x:v>0.0</x:v>
      </x:c>
      <x:c r="V159" s="6" t="str">
        <x:v>1</x:v>
      </x:c>
      <x:c r="W159" s="6" t="str">
        <x:v>0.0</x:v>
      </x:c>
      <x:c r="X159" s="6" t="str">
        <x:v>1</x:v>
      </x:c>
      <x:c r="Y159" s="6" t="str">
        <x:v>20.0</x:v>
      </x:c>
      <x:c r="Z159" s="6" t="str">
        <x:v>1</x:v>
      </x:c>
      <x:c r="AA159" s="6" t="str">
        <x:v>0.0</x:v>
      </x:c>
      <x:c r="AB159" s="6" t="str">
        <x:v>1</x:v>
      </x:c>
      <x:c r="AC159" s="6" t="str">
        <x:v>2025-02</x:v>
      </x:c>
      <x:c r="AD159" s="9" t="str">
        <x:v>BNPB operational disaster search table</x:v>
      </x:c>
      <x:c r="AE159" s="9" t="str">
        <x:v>https://gis.bnpb.go.id/databencana/tabel/pencarian.php</x:v>
      </x:c>
      <x:c r="AF159" s="9" t="str">
        <x:v>operational_snapshot_annual_totals_may_differ</x:v>
      </x:c>
    </x:row>
    <x:row r="160" ht="18" customHeight="1">
      <x:c r="A160" s="6" t="str">
        <x:v>17</x:v>
      </x:c>
      <x:c r="B160" s="6" t="str">
        <x:v>BENGKULU</x:v>
      </x:c>
      <x:c r="C160" s="6" t="str">
        <x:v>2025</x:v>
      </x:c>
      <x:c r="D160" s="6" t="str">
        <x:v>3</x:v>
      </x:c>
      <x:c r="E160" s="6" t="str">
        <x:v>0</x:v>
      </x:c>
      <x:c r="F160" s="6" t="str">
        <x:v>0</x:v>
      </x:c>
      <x:c r="G160" s="6" t="str">
        <x:v>0</x:v>
      </x:c>
      <x:c r="H160" s="6" t="str">
        <x:v>0</x:v>
      </x:c>
      <x:c r="I160" s="6" t="str">
        <x:v>0</x:v>
      </x:c>
      <x:c r="J160" s="6" t="str">
        <x:v>0</x:v>
      </x:c>
      <x:c r="K160" s="6" t="str">
        <x:v>0</x:v>
      </x:c>
      <x:c r="L160" s="6" t="str">
        <x:v>0</x:v>
      </x:c>
      <x:c r="M160" s="6" t="str">
        <x:v>0</x:v>
      </x:c>
      <x:c r="N160" s="6" t="str">
        <x:v>0</x:v>
      </x:c>
      <x:c r="O160" s="6" t="str">
        <x:v>0</x:v>
      </x:c>
      <x:c r="P160" s="6" t="str">
        <x:v>0</x:v>
      </x:c>
      <x:c r="Q160" s="6" t="str"/>
      <x:c r="R160" s="6" t="str">
        <x:v>0</x:v>
      </x:c>
      <x:c r="S160" s="6" t="str"/>
      <x:c r="T160" s="6" t="str">
        <x:v>0</x:v>
      </x:c>
      <x:c r="U160" s="6" t="str"/>
      <x:c r="V160" s="6" t="str">
        <x:v>0</x:v>
      </x:c>
      <x:c r="W160" s="6" t="str"/>
      <x:c r="X160" s="6" t="str">
        <x:v>0</x:v>
      </x:c>
      <x:c r="Y160" s="6" t="str"/>
      <x:c r="Z160" s="6" t="str">
        <x:v>0</x:v>
      </x:c>
      <x:c r="AA160" s="6" t="str"/>
      <x:c r="AB160" s="6" t="str">
        <x:v>0</x:v>
      </x:c>
      <x:c r="AC160" s="6" t="str">
        <x:v>2025-03</x:v>
      </x:c>
      <x:c r="AD160" s="9" t="str">
        <x:v>BNPB operational disaster search table</x:v>
      </x:c>
      <x:c r="AE160" s="9" t="str">
        <x:v>https://gis.bnpb.go.id/databencana/tabel/pencarian.php</x:v>
      </x:c>
      <x:c r="AF160" s="9" t="str">
        <x:v>operational_snapshot_annual_totals_may_differ</x:v>
      </x:c>
    </x:row>
    <x:row r="161" ht="18" customHeight="1">
      <x:c r="A161" s="6" t="str">
        <x:v>17</x:v>
      </x:c>
      <x:c r="B161" s="6" t="str">
        <x:v>BENGKULU</x:v>
      </x:c>
      <x:c r="C161" s="6" t="str">
        <x:v>2025</x:v>
      </x:c>
      <x:c r="D161" s="6" t="str">
        <x:v>4</x:v>
      </x:c>
      <x:c r="E161" s="6" t="str">
        <x:v>0</x:v>
      </x:c>
      <x:c r="F161" s="6" t="str">
        <x:v>0</x:v>
      </x:c>
      <x:c r="G161" s="6" t="str">
        <x:v>0</x:v>
      </x:c>
      <x:c r="H161" s="6" t="str">
        <x:v>0</x:v>
      </x:c>
      <x:c r="I161" s="6" t="str">
        <x:v>0</x:v>
      </x:c>
      <x:c r="J161" s="6" t="str">
        <x:v>0</x:v>
      </x:c>
      <x:c r="K161" s="6" t="str">
        <x:v>0</x:v>
      </x:c>
      <x:c r="L161" s="6" t="str">
        <x:v>0</x:v>
      </x:c>
      <x:c r="M161" s="6" t="str">
        <x:v>0</x:v>
      </x:c>
      <x:c r="N161" s="6" t="str">
        <x:v>0</x:v>
      </x:c>
      <x:c r="O161" s="6" t="str">
        <x:v>0</x:v>
      </x:c>
      <x:c r="P161" s="6" t="str">
        <x:v>0</x:v>
      </x:c>
      <x:c r="Q161" s="6" t="str"/>
      <x:c r="R161" s="6" t="str">
        <x:v>0</x:v>
      </x:c>
      <x:c r="S161" s="6" t="str"/>
      <x:c r="T161" s="6" t="str">
        <x:v>0</x:v>
      </x:c>
      <x:c r="U161" s="6" t="str"/>
      <x:c r="V161" s="6" t="str">
        <x:v>0</x:v>
      </x:c>
      <x:c r="W161" s="6" t="str"/>
      <x:c r="X161" s="6" t="str">
        <x:v>0</x:v>
      </x:c>
      <x:c r="Y161" s="6" t="str"/>
      <x:c r="Z161" s="6" t="str">
        <x:v>0</x:v>
      </x:c>
      <x:c r="AA161" s="6" t="str"/>
      <x:c r="AB161" s="6" t="str">
        <x:v>0</x:v>
      </x:c>
      <x:c r="AC161" s="6" t="str">
        <x:v>2025-04</x:v>
      </x:c>
      <x:c r="AD161" s="9" t="str">
        <x:v>BNPB operational disaster search table</x:v>
      </x:c>
      <x:c r="AE161" s="9" t="str">
        <x:v>https://gis.bnpb.go.id/databencana/tabel/pencarian.php</x:v>
      </x:c>
      <x:c r="AF161" s="9" t="str">
        <x:v>operational_snapshot_annual_totals_may_differ</x:v>
      </x:c>
    </x:row>
    <x:row r="162" ht="18" customHeight="1">
      <x:c r="A162" s="6" t="str">
        <x:v>17</x:v>
      </x:c>
      <x:c r="B162" s="6" t="str">
        <x:v>BENGKULU</x:v>
      </x:c>
      <x:c r="C162" s="6" t="str">
        <x:v>2025</x:v>
      </x:c>
      <x:c r="D162" s="6" t="str">
        <x:v>5</x:v>
      </x:c>
      <x:c r="E162" s="6" t="str">
        <x:v>5</x:v>
      </x:c>
      <x:c r="F162" s="6" t="str">
        <x:v>5</x:v>
      </x:c>
      <x:c r="G162" s="6" t="str">
        <x:v>0</x:v>
      </x:c>
      <x:c r="H162" s="6" t="str">
        <x:v>0</x:v>
      </x:c>
      <x:c r="I162" s="6" t="str">
        <x:v>0</x:v>
      </x:c>
      <x:c r="J162" s="6" t="str">
        <x:v>0</x:v>
      </x:c>
      <x:c r="K162" s="6" t="str">
        <x:v>1</x:v>
      </x:c>
      <x:c r="L162" s="6" t="str">
        <x:v>0</x:v>
      </x:c>
      <x:c r="M162" s="6" t="str">
        <x:v>4</x:v>
      </x:c>
      <x:c r="N162" s="6" t="str">
        <x:v>0</x:v>
      </x:c>
      <x:c r="O162" s="6" t="str">
        <x:v>0</x:v>
      </x:c>
      <x:c r="P162" s="6" t="str">
        <x:v>1</x:v>
      </x:c>
      <x:c r="Q162" s="6" t="str">
        <x:v>0.0</x:v>
      </x:c>
      <x:c r="R162" s="6" t="str">
        <x:v>5</x:v>
      </x:c>
      <x:c r="S162" s="6" t="str">
        <x:v>0.0</x:v>
      </x:c>
      <x:c r="T162" s="6" t="str">
        <x:v>5</x:v>
      </x:c>
      <x:c r="U162" s="6" t="str">
        <x:v>2.0</x:v>
      </x:c>
      <x:c r="V162" s="6" t="str">
        <x:v>5</x:v>
      </x:c>
      <x:c r="W162" s="6" t="str">
        <x:v>193.0</x:v>
      </x:c>
      <x:c r="X162" s="6" t="str">
        <x:v>5</x:v>
      </x:c>
      <x:c r="Y162" s="6" t="str"/>
      <x:c r="Z162" s="6" t="str">
        <x:v>0</x:v>
      </x:c>
      <x:c r="AA162" s="6" t="str">
        <x:v>0.0</x:v>
      </x:c>
      <x:c r="AB162" s="6" t="str">
        <x:v>5</x:v>
      </x:c>
      <x:c r="AC162" s="6" t="str">
        <x:v>2025-05</x:v>
      </x:c>
      <x:c r="AD162" s="9" t="str">
        <x:v>BNPB operational disaster search table</x:v>
      </x:c>
      <x:c r="AE162" s="9" t="str">
        <x:v>https://gis.bnpb.go.id/databencana/tabel/pencarian.php</x:v>
      </x:c>
      <x:c r="AF162" s="9" t="str">
        <x:v>operational_snapshot_annual_totals_may_differ</x:v>
      </x:c>
    </x:row>
    <x:row r="163" ht="18" customHeight="1">
      <x:c r="A163" s="6" t="str">
        <x:v>17</x:v>
      </x:c>
      <x:c r="B163" s="6" t="str">
        <x:v>BENGKULU</x:v>
      </x:c>
      <x:c r="C163" s="6" t="str">
        <x:v>2025</x:v>
      </x:c>
      <x:c r="D163" s="6" t="str">
        <x:v>6</x:v>
      </x:c>
      <x:c r="E163" s="6" t="str">
        <x:v>0</x:v>
      </x:c>
      <x:c r="F163" s="6" t="str">
        <x:v>0</x:v>
      </x:c>
      <x:c r="G163" s="6" t="str">
        <x:v>0</x:v>
      </x:c>
      <x:c r="H163" s="6" t="str">
        <x:v>0</x:v>
      </x:c>
      <x:c r="I163" s="6" t="str">
        <x:v>0</x:v>
      </x:c>
      <x:c r="J163" s="6" t="str">
        <x:v>0</x:v>
      </x:c>
      <x:c r="K163" s="6" t="str">
        <x:v>0</x:v>
      </x:c>
      <x:c r="L163" s="6" t="str">
        <x:v>0</x:v>
      </x:c>
      <x:c r="M163" s="6" t="str">
        <x:v>0</x:v>
      </x:c>
      <x:c r="N163" s="6" t="str">
        <x:v>0</x:v>
      </x:c>
      <x:c r="O163" s="6" t="str">
        <x:v>0</x:v>
      </x:c>
      <x:c r="P163" s="6" t="str">
        <x:v>0</x:v>
      </x:c>
      <x:c r="Q163" s="6" t="str"/>
      <x:c r="R163" s="6" t="str">
        <x:v>0</x:v>
      </x:c>
      <x:c r="S163" s="6" t="str"/>
      <x:c r="T163" s="6" t="str">
        <x:v>0</x:v>
      </x:c>
      <x:c r="U163" s="6" t="str"/>
      <x:c r="V163" s="6" t="str">
        <x:v>0</x:v>
      </x:c>
      <x:c r="W163" s="6" t="str"/>
      <x:c r="X163" s="6" t="str">
        <x:v>0</x:v>
      </x:c>
      <x:c r="Y163" s="6" t="str"/>
      <x:c r="Z163" s="6" t="str">
        <x:v>0</x:v>
      </x:c>
      <x:c r="AA163" s="6" t="str"/>
      <x:c r="AB163" s="6" t="str">
        <x:v>0</x:v>
      </x:c>
      <x:c r="AC163" s="6" t="str">
        <x:v>2025-06</x:v>
      </x:c>
      <x:c r="AD163" s="9" t="str">
        <x:v>BNPB operational disaster search table</x:v>
      </x:c>
      <x:c r="AE163" s="9" t="str">
        <x:v>https://gis.bnpb.go.id/databencana/tabel/pencarian.php</x:v>
      </x:c>
      <x:c r="AF163" s="9" t="str">
        <x:v>operational_snapshot_annual_totals_may_differ</x:v>
      </x:c>
    </x:row>
    <x:row r="164" ht="18" customHeight="1">
      <x:c r="A164" s="6" t="str">
        <x:v>17</x:v>
      </x:c>
      <x:c r="B164" s="6" t="str">
        <x:v>BENGKULU</x:v>
      </x:c>
      <x:c r="C164" s="6" t="str">
        <x:v>2025</x:v>
      </x:c>
      <x:c r="D164" s="6" t="str">
        <x:v>7</x:v>
      </x:c>
      <x:c r="E164" s="6" t="str">
        <x:v>2</x:v>
      </x:c>
      <x:c r="F164" s="6" t="str">
        <x:v>2</x:v>
      </x:c>
      <x:c r="G164" s="6" t="str">
        <x:v>1</x:v>
      </x:c>
      <x:c r="H164" s="6" t="str">
        <x:v>0</x:v>
      </x:c>
      <x:c r="I164" s="6" t="str">
        <x:v>0</x:v>
      </x:c>
      <x:c r="J164" s="6" t="str">
        <x:v>0</x:v>
      </x:c>
      <x:c r="K164" s="6" t="str">
        <x:v>1</x:v>
      </x:c>
      <x:c r="L164" s="6" t="str">
        <x:v>0</x:v>
      </x:c>
      <x:c r="M164" s="6" t="str">
        <x:v>0</x:v>
      </x:c>
      <x:c r="N164" s="6" t="str">
        <x:v>0</x:v>
      </x:c>
      <x:c r="O164" s="6" t="str">
        <x:v>0</x:v>
      </x:c>
      <x:c r="P164" s="6" t="str">
        <x:v>2</x:v>
      </x:c>
      <x:c r="Q164" s="6" t="str"/>
      <x:c r="R164" s="6" t="str">
        <x:v>0</x:v>
      </x:c>
      <x:c r="S164" s="6" t="str"/>
      <x:c r="T164" s="6" t="str">
        <x:v>0</x:v>
      </x:c>
      <x:c r="U164" s="6" t="str"/>
      <x:c r="V164" s="6" t="str">
        <x:v>0</x:v>
      </x:c>
      <x:c r="W164" s="6" t="str">
        <x:v>0.0</x:v>
      </x:c>
      <x:c r="X164" s="6" t="str">
        <x:v>2</x:v>
      </x:c>
      <x:c r="Y164" s="6" t="str">
        <x:v>385.0</x:v>
      </x:c>
      <x:c r="Z164" s="6" t="str">
        <x:v>1</x:v>
      </x:c>
      <x:c r="AA164" s="6" t="str">
        <x:v>1.0</x:v>
      </x:c>
      <x:c r="AB164" s="6" t="str">
        <x:v>2</x:v>
      </x:c>
      <x:c r="AC164" s="6" t="str">
        <x:v>2025-07</x:v>
      </x:c>
      <x:c r="AD164" s="9" t="str">
        <x:v>BNPB operational disaster search table</x:v>
      </x:c>
      <x:c r="AE164" s="9" t="str">
        <x:v>https://gis.bnpb.go.id/databencana/tabel/pencarian.php</x:v>
      </x:c>
      <x:c r="AF164" s="9" t="str">
        <x:v>operational_snapshot_annual_totals_may_differ</x:v>
      </x:c>
    </x:row>
    <x:row r="165" ht="18" customHeight="1">
      <x:c r="A165" s="6" t="str">
        <x:v>17</x:v>
      </x:c>
      <x:c r="B165" s="6" t="str">
        <x:v>BENGKULU</x:v>
      </x:c>
      <x:c r="C165" s="6" t="str">
        <x:v>2025</x:v>
      </x:c>
      <x:c r="D165" s="6" t="str">
        <x:v>8</x:v>
      </x:c>
      <x:c r="E165" s="6" t="str">
        <x:v>5</x:v>
      </x:c>
      <x:c r="F165" s="6" t="str">
        <x:v>5</x:v>
      </x:c>
      <x:c r="G165" s="6" t="str">
        <x:v>4</x:v>
      </x:c>
      <x:c r="H165" s="6" t="str">
        <x:v>1</x:v>
      </x:c>
      <x:c r="I165" s="6" t="str">
        <x:v>0</x:v>
      </x:c>
      <x:c r="J165" s="6" t="str">
        <x:v>0</x:v>
      </x:c>
      <x:c r="K165" s="6" t="str">
        <x:v>0</x:v>
      </x:c>
      <x:c r="L165" s="6" t="str">
        <x:v>0</x:v>
      </x:c>
      <x:c r="M165" s="6" t="str">
        <x:v>0</x:v>
      </x:c>
      <x:c r="N165" s="6" t="str">
        <x:v>0</x:v>
      </x:c>
      <x:c r="O165" s="6" t="str">
        <x:v>0</x:v>
      </x:c>
      <x:c r="P165" s="6" t="str">
        <x:v>5</x:v>
      </x:c>
      <x:c r="Q165" s="6" t="str"/>
      <x:c r="R165" s="6" t="str">
        <x:v>0</x:v>
      </x:c>
      <x:c r="S165" s="6" t="str"/>
      <x:c r="T165" s="6" t="str">
        <x:v>0</x:v>
      </x:c>
      <x:c r="U165" s="6" t="str"/>
      <x:c r="V165" s="6" t="str">
        <x:v>0</x:v>
      </x:c>
      <x:c r="W165" s="6" t="str">
        <x:v>0.0</x:v>
      </x:c>
      <x:c r="X165" s="6" t="str">
        <x:v>5</x:v>
      </x:c>
      <x:c r="Y165" s="6" t="str">
        <x:v>621.0</x:v>
      </x:c>
      <x:c r="Z165" s="6" t="str">
        <x:v>4</x:v>
      </x:c>
      <x:c r="AA165" s="6" t="str">
        <x:v>0.0</x:v>
      </x:c>
      <x:c r="AB165" s="6" t="str">
        <x:v>5</x:v>
      </x:c>
      <x:c r="AC165" s="6" t="str">
        <x:v>2025-08</x:v>
      </x:c>
      <x:c r="AD165" s="9" t="str">
        <x:v>BNPB operational disaster search table</x:v>
      </x:c>
      <x:c r="AE165" s="9" t="str">
        <x:v>https://gis.bnpb.go.id/databencana/tabel/pencarian.php</x:v>
      </x:c>
      <x:c r="AF165" s="9" t="str">
        <x:v>operational_snapshot_annual_totals_may_differ</x:v>
      </x:c>
    </x:row>
    <x:row r="166" ht="18" customHeight="1">
      <x:c r="A166" s="6" t="str">
        <x:v>17</x:v>
      </x:c>
      <x:c r="B166" s="6" t="str">
        <x:v>BENGKULU</x:v>
      </x:c>
      <x:c r="C166" s="6" t="str">
        <x:v>2025</x:v>
      </x:c>
      <x:c r="D166" s="6" t="str">
        <x:v>9</x:v>
      </x:c>
      <x:c r="E166" s="6" t="str">
        <x:v>2</x:v>
      </x:c>
      <x:c r="F166" s="6" t="str">
        <x:v>2</x:v>
      </x:c>
      <x:c r="G166" s="6" t="str">
        <x:v>2</x:v>
      </x:c>
      <x:c r="H166" s="6" t="str">
        <x:v>0</x:v>
      </x:c>
      <x:c r="I166" s="6" t="str">
        <x:v>0</x:v>
      </x:c>
      <x:c r="J166" s="6" t="str">
        <x:v>0</x:v>
      </x:c>
      <x:c r="K166" s="6" t="str">
        <x:v>0</x:v>
      </x:c>
      <x:c r="L166" s="6" t="str">
        <x:v>0</x:v>
      </x:c>
      <x:c r="M166" s="6" t="str">
        <x:v>0</x:v>
      </x:c>
      <x:c r="N166" s="6" t="str">
        <x:v>0</x:v>
      </x:c>
      <x:c r="O166" s="6" t="str">
        <x:v>0</x:v>
      </x:c>
      <x:c r="P166" s="6" t="str">
        <x:v>2</x:v>
      </x:c>
      <x:c r="Q166" s="6" t="str"/>
      <x:c r="R166" s="6" t="str">
        <x:v>0</x:v>
      </x:c>
      <x:c r="S166" s="6" t="str"/>
      <x:c r="T166" s="6" t="str">
        <x:v>0</x:v>
      </x:c>
      <x:c r="U166" s="6" t="str"/>
      <x:c r="V166" s="6" t="str">
        <x:v>0</x:v>
      </x:c>
      <x:c r="W166" s="6" t="str">
        <x:v>0.0</x:v>
      </x:c>
      <x:c r="X166" s="6" t="str">
        <x:v>2</x:v>
      </x:c>
      <x:c r="Y166" s="6" t="str">
        <x:v>597.0</x:v>
      </x:c>
      <x:c r="Z166" s="6" t="str">
        <x:v>2</x:v>
      </x:c>
      <x:c r="AA166" s="6" t="str">
        <x:v>0.0</x:v>
      </x:c>
      <x:c r="AB166" s="6" t="str">
        <x:v>2</x:v>
      </x:c>
      <x:c r="AC166" s="6" t="str">
        <x:v>2025-09</x:v>
      </x:c>
      <x:c r="AD166" s="9" t="str">
        <x:v>BNPB operational disaster search table</x:v>
      </x:c>
      <x:c r="AE166" s="9" t="str">
        <x:v>https://gis.bnpb.go.id/databencana/tabel/pencarian.php</x:v>
      </x:c>
      <x:c r="AF166" s="9" t="str">
        <x:v>operational_snapshot_annual_totals_may_differ</x:v>
      </x:c>
    </x:row>
    <x:row r="167" ht="18" customHeight="1">
      <x:c r="A167" s="6" t="str">
        <x:v>17</x:v>
      </x:c>
      <x:c r="B167" s="6" t="str">
        <x:v>BENGKULU</x:v>
      </x:c>
      <x:c r="C167" s="6" t="str">
        <x:v>2025</x:v>
      </x:c>
      <x:c r="D167" s="6" t="str">
        <x:v>10</x:v>
      </x:c>
      <x:c r="E167" s="6" t="str">
        <x:v>4</x:v>
      </x:c>
      <x:c r="F167" s="6" t="str">
        <x:v>4</x:v>
      </x:c>
      <x:c r="G167" s="6" t="str">
        <x:v>2</x:v>
      </x:c>
      <x:c r="H167" s="6" t="str">
        <x:v>1</x:v>
      </x:c>
      <x:c r="I167" s="6" t="str">
        <x:v>0</x:v>
      </x:c>
      <x:c r="J167" s="6" t="str">
        <x:v>0</x:v>
      </x:c>
      <x:c r="K167" s="6" t="str">
        <x:v>0</x:v>
      </x:c>
      <x:c r="L167" s="6" t="str">
        <x:v>1</x:v>
      </x:c>
      <x:c r="M167" s="6" t="str">
        <x:v>0</x:v>
      </x:c>
      <x:c r="N167" s="6" t="str">
        <x:v>0</x:v>
      </x:c>
      <x:c r="O167" s="6" t="str">
        <x:v>0</x:v>
      </x:c>
      <x:c r="P167" s="6" t="str">
        <x:v>4</x:v>
      </x:c>
      <x:c r="Q167" s="6" t="str">
        <x:v>1.0</x:v>
      </x:c>
      <x:c r="R167" s="6" t="str">
        <x:v>1</x:v>
      </x:c>
      <x:c r="S167" s="6" t="str"/>
      <x:c r="T167" s="6" t="str">
        <x:v>0</x:v>
      </x:c>
      <x:c r="U167" s="6" t="str"/>
      <x:c r="V167" s="6" t="str">
        <x:v>0</x:v>
      </x:c>
      <x:c r="W167" s="6" t="str">
        <x:v>3.0</x:v>
      </x:c>
      <x:c r="X167" s="6" t="str">
        <x:v>4</x:v>
      </x:c>
      <x:c r="Y167" s="6" t="str">
        <x:v>95.0</x:v>
      </x:c>
      <x:c r="Z167" s="6" t="str">
        <x:v>1</x:v>
      </x:c>
      <x:c r="AA167" s="6" t="str">
        <x:v>0.0</x:v>
      </x:c>
      <x:c r="AB167" s="6" t="str">
        <x:v>4</x:v>
      </x:c>
      <x:c r="AC167" s="6" t="str">
        <x:v>2025-10</x:v>
      </x:c>
      <x:c r="AD167" s="9" t="str">
        <x:v>BNPB operational disaster search table</x:v>
      </x:c>
      <x:c r="AE167" s="9" t="str">
        <x:v>https://gis.bnpb.go.id/databencana/tabel/pencarian.php</x:v>
      </x:c>
      <x:c r="AF167" s="9" t="str">
        <x:v>operational_snapshot_annual_totals_may_differ</x:v>
      </x:c>
    </x:row>
    <x:row r="168" ht="18" customHeight="1">
      <x:c r="A168" s="6" t="str">
        <x:v>17</x:v>
      </x:c>
      <x:c r="B168" s="6" t="str">
        <x:v>BENGKULU</x:v>
      </x:c>
      <x:c r="C168" s="6" t="str">
        <x:v>2025</x:v>
      </x:c>
      <x:c r="D168" s="6" t="str">
        <x:v>11</x:v>
      </x:c>
      <x:c r="E168" s="6" t="str">
        <x:v>0</x:v>
      </x:c>
      <x:c r="F168" s="6" t="str">
        <x:v>0</x:v>
      </x:c>
      <x:c r="G168" s="6" t="str">
        <x:v>0</x:v>
      </x:c>
      <x:c r="H168" s="6" t="str">
        <x:v>0</x:v>
      </x:c>
      <x:c r="I168" s="6" t="str">
        <x:v>0</x:v>
      </x:c>
      <x:c r="J168" s="6" t="str">
        <x:v>0</x:v>
      </x:c>
      <x:c r="K168" s="6" t="str">
        <x:v>0</x:v>
      </x:c>
      <x:c r="L168" s="6" t="str">
        <x:v>0</x:v>
      </x:c>
      <x:c r="M168" s="6" t="str">
        <x:v>0</x:v>
      </x:c>
      <x:c r="N168" s="6" t="str">
        <x:v>0</x:v>
      </x:c>
      <x:c r="O168" s="6" t="str">
        <x:v>0</x:v>
      </x:c>
      <x:c r="P168" s="6" t="str">
        <x:v>0</x:v>
      </x:c>
      <x:c r="Q168" s="6" t="str"/>
      <x:c r="R168" s="6" t="str">
        <x:v>0</x:v>
      </x:c>
      <x:c r="S168" s="6" t="str"/>
      <x:c r="T168" s="6" t="str">
        <x:v>0</x:v>
      </x:c>
      <x:c r="U168" s="6" t="str"/>
      <x:c r="V168" s="6" t="str">
        <x:v>0</x:v>
      </x:c>
      <x:c r="W168" s="6" t="str"/>
      <x:c r="X168" s="6" t="str">
        <x:v>0</x:v>
      </x:c>
      <x:c r="Y168" s="6" t="str"/>
      <x:c r="Z168" s="6" t="str">
        <x:v>0</x:v>
      </x:c>
      <x:c r="AA168" s="6" t="str"/>
      <x:c r="AB168" s="6" t="str">
        <x:v>0</x:v>
      </x:c>
      <x:c r="AC168" s="6" t="str">
        <x:v>2025-11</x:v>
      </x:c>
      <x:c r="AD168" s="9" t="str">
        <x:v>BNPB operational disaster search table</x:v>
      </x:c>
      <x:c r="AE168" s="9" t="str">
        <x:v>https://gis.bnpb.go.id/databencana/tabel/pencarian.php</x:v>
      </x:c>
      <x:c r="AF168" s="9" t="str">
        <x:v>operational_snapshot_annual_totals_may_differ</x:v>
      </x:c>
    </x:row>
    <x:row r="169" ht="18" customHeight="1">
      <x:c r="A169" s="6" t="str">
        <x:v>17</x:v>
      </x:c>
      <x:c r="B169" s="6" t="str">
        <x:v>BENGKULU</x:v>
      </x:c>
      <x:c r="C169" s="6" t="str">
        <x:v>2025</x:v>
      </x:c>
      <x:c r="D169" s="6" t="str">
        <x:v>12</x:v>
      </x:c>
      <x:c r="E169" s="6" t="str">
        <x:v>1</x:v>
      </x:c>
      <x:c r="F169" s="6" t="str">
        <x:v>1</x:v>
      </x:c>
      <x:c r="G169" s="6" t="str">
        <x:v>1</x:v>
      </x:c>
      <x:c r="H169" s="6" t="str">
        <x:v>0</x:v>
      </x:c>
      <x:c r="I169" s="6" t="str">
        <x:v>0</x:v>
      </x:c>
      <x:c r="J169" s="6" t="str">
        <x:v>0</x:v>
      </x:c>
      <x:c r="K169" s="6" t="str">
        <x:v>0</x:v>
      </x:c>
      <x:c r="L169" s="6" t="str">
        <x:v>0</x:v>
      </x:c>
      <x:c r="M169" s="6" t="str">
        <x:v>0</x:v>
      </x:c>
      <x:c r="N169" s="6" t="str">
        <x:v>0</x:v>
      </x:c>
      <x:c r="O169" s="6" t="str">
        <x:v>0</x:v>
      </x:c>
      <x:c r="P169" s="6" t="str">
        <x:v>1</x:v>
      </x:c>
      <x:c r="Q169" s="6" t="str"/>
      <x:c r="R169" s="6" t="str">
        <x:v>0</x:v>
      </x:c>
      <x:c r="S169" s="6" t="str"/>
      <x:c r="T169" s="6" t="str">
        <x:v>0</x:v>
      </x:c>
      <x:c r="U169" s="6" t="str"/>
      <x:c r="V169" s="6" t="str">
        <x:v>0</x:v>
      </x:c>
      <x:c r="W169" s="6" t="str">
        <x:v>0.0</x:v>
      </x:c>
      <x:c r="X169" s="6" t="str">
        <x:v>1</x:v>
      </x:c>
      <x:c r="Y169" s="6" t="str">
        <x:v>81.0</x:v>
      </x:c>
      <x:c r="Z169" s="6" t="str">
        <x:v>1</x:v>
      </x:c>
      <x:c r="AA169" s="6" t="str">
        <x:v>0.0</x:v>
      </x:c>
      <x:c r="AB169" s="6" t="str">
        <x:v>1</x:v>
      </x:c>
      <x:c r="AC169" s="6" t="str">
        <x:v>2025-12</x:v>
      </x:c>
      <x:c r="AD169" s="9" t="str">
        <x:v>BNPB operational disaster search table</x:v>
      </x:c>
      <x:c r="AE169" s="9" t="str">
        <x:v>https://gis.bnpb.go.id/databencana/tabel/pencarian.php</x:v>
      </x:c>
      <x:c r="AF169" s="9" t="str">
        <x:v>operational_snapshot_annual_totals_may_differ</x:v>
      </x:c>
    </x:row>
    <x:row r="170" ht="18" customHeight="1">
      <x:c r="A170" s="6" t="str">
        <x:v>18</x:v>
      </x:c>
      <x:c r="B170" s="6" t="str">
        <x:v>LAMPUNG</x:v>
      </x:c>
      <x:c r="C170" s="6" t="str">
        <x:v>2024</x:v>
      </x:c>
      <x:c r="D170" s="6" t="str">
        <x:v>1</x:v>
      </x:c>
      <x:c r="E170" s="6" t="str">
        <x:v>2</x:v>
      </x:c>
      <x:c r="F170" s="6" t="str">
        <x:v>2</x:v>
      </x:c>
      <x:c r="G170" s="6" t="str">
        <x:v>1</x:v>
      </x:c>
      <x:c r="H170" s="6" t="str">
        <x:v>0</x:v>
      </x:c>
      <x:c r="I170" s="6" t="str">
        <x:v>1</x:v>
      </x:c>
      <x:c r="J170" s="6" t="str">
        <x:v>0</x:v>
      </x:c>
      <x:c r="K170" s="6" t="str">
        <x:v>0</x:v>
      </x:c>
      <x:c r="L170" s="6" t="str">
        <x:v>0</x:v>
      </x:c>
      <x:c r="M170" s="6" t="str">
        <x:v>0</x:v>
      </x:c>
      <x:c r="N170" s="6" t="str">
        <x:v>0</x:v>
      </x:c>
      <x:c r="O170" s="6" t="str">
        <x:v>0</x:v>
      </x:c>
      <x:c r="P170" s="6" t="str">
        <x:v>2</x:v>
      </x:c>
      <x:c r="Q170" s="6" t="str">
        <x:v>0.0</x:v>
      </x:c>
      <x:c r="R170" s="6" t="str">
        <x:v>2</x:v>
      </x:c>
      <x:c r="S170" s="6" t="str">
        <x:v>0.0</x:v>
      </x:c>
      <x:c r="T170" s="6" t="str">
        <x:v>2</x:v>
      </x:c>
      <x:c r="U170" s="6" t="str">
        <x:v>0.0</x:v>
      </x:c>
      <x:c r="V170" s="6" t="str">
        <x:v>2</x:v>
      </x:c>
      <x:c r="W170" s="6" t="str">
        <x:v>12.0</x:v>
      </x:c>
      <x:c r="X170" s="6" t="str">
        <x:v>2</x:v>
      </x:c>
      <x:c r="Y170" s="6" t="str">
        <x:v>48.0</x:v>
      </x:c>
      <x:c r="Z170" s="6" t="str">
        <x:v>1</x:v>
      </x:c>
      <x:c r="AA170" s="6" t="str">
        <x:v>0.0</x:v>
      </x:c>
      <x:c r="AB170" s="6" t="str">
        <x:v>2</x:v>
      </x:c>
      <x:c r="AC170" s="6" t="str">
        <x:v>2024-01</x:v>
      </x:c>
      <x:c r="AD170" s="9" t="str">
        <x:v>BNPB operational disaster search table</x:v>
      </x:c>
      <x:c r="AE170" s="9" t="str">
        <x:v>https://gis.bnpb.go.id/databencana/tabel/pencarian.php</x:v>
      </x:c>
      <x:c r="AF170" s="9" t="str">
        <x:v>operational_snapshot_annual_totals_may_differ</x:v>
      </x:c>
    </x:row>
    <x:row r="171" ht="18" customHeight="1">
      <x:c r="A171" s="6" t="str">
        <x:v>18</x:v>
      </x:c>
      <x:c r="B171" s="6" t="str">
        <x:v>LAMPUNG</x:v>
      </x:c>
      <x:c r="C171" s="6" t="str">
        <x:v>2024</x:v>
      </x:c>
      <x:c r="D171" s="6" t="str">
        <x:v>2</x:v>
      </x:c>
      <x:c r="E171" s="6" t="str">
        <x:v>10</x:v>
      </x:c>
      <x:c r="F171" s="6" t="str">
        <x:v>10</x:v>
      </x:c>
      <x:c r="G171" s="6" t="str">
        <x:v>9</x:v>
      </x:c>
      <x:c r="H171" s="6" t="str">
        <x:v>0</x:v>
      </x:c>
      <x:c r="I171" s="6" t="str">
        <x:v>1</x:v>
      </x:c>
      <x:c r="J171" s="6" t="str">
        <x:v>0</x:v>
      </x:c>
      <x:c r="K171" s="6" t="str">
        <x:v>0</x:v>
      </x:c>
      <x:c r="L171" s="6" t="str">
        <x:v>0</x:v>
      </x:c>
      <x:c r="M171" s="6" t="str">
        <x:v>0</x:v>
      </x:c>
      <x:c r="N171" s="6" t="str">
        <x:v>0</x:v>
      </x:c>
      <x:c r="O171" s="6" t="str">
        <x:v>0</x:v>
      </x:c>
      <x:c r="P171" s="6" t="str">
        <x:v>10</x:v>
      </x:c>
      <x:c r="Q171" s="6" t="str">
        <x:v>0.0</x:v>
      </x:c>
      <x:c r="R171" s="6" t="str">
        <x:v>10</x:v>
      </x:c>
      <x:c r="S171" s="6" t="str">
        <x:v>0.0</x:v>
      </x:c>
      <x:c r="T171" s="6" t="str">
        <x:v>10</x:v>
      </x:c>
      <x:c r="U171" s="6" t="str">
        <x:v>0.0</x:v>
      </x:c>
      <x:c r="V171" s="6" t="str">
        <x:v>10</x:v>
      </x:c>
      <x:c r="W171" s="6" t="str">
        <x:v>25.0</x:v>
      </x:c>
      <x:c r="X171" s="6" t="str">
        <x:v>10</x:v>
      </x:c>
      <x:c r="Y171" s="6" t="str">
        <x:v>5674.0</x:v>
      </x:c>
      <x:c r="Z171" s="6" t="str">
        <x:v>8</x:v>
      </x:c>
      <x:c r="AA171" s="6" t="str">
        <x:v>1.0</x:v>
      </x:c>
      <x:c r="AB171" s="6" t="str">
        <x:v>10</x:v>
      </x:c>
      <x:c r="AC171" s="6" t="str">
        <x:v>2024-02</x:v>
      </x:c>
      <x:c r="AD171" s="9" t="str">
        <x:v>BNPB operational disaster search table</x:v>
      </x:c>
      <x:c r="AE171" s="9" t="str">
        <x:v>https://gis.bnpb.go.id/databencana/tabel/pencarian.php</x:v>
      </x:c>
      <x:c r="AF171" s="9" t="str">
        <x:v>operational_snapshot_annual_totals_may_differ</x:v>
      </x:c>
    </x:row>
    <x:row r="172" ht="18" customHeight="1">
      <x:c r="A172" s="6" t="str">
        <x:v>18</x:v>
      </x:c>
      <x:c r="B172" s="6" t="str">
        <x:v>LAMPUNG</x:v>
      </x:c>
      <x:c r="C172" s="6" t="str">
        <x:v>2024</x:v>
      </x:c>
      <x:c r="D172" s="6" t="str">
        <x:v>3</x:v>
      </x:c>
      <x:c r="E172" s="6" t="str">
        <x:v>6</x:v>
      </x:c>
      <x:c r="F172" s="6" t="str">
        <x:v>6</x:v>
      </x:c>
      <x:c r="G172" s="6" t="str">
        <x:v>3</x:v>
      </x:c>
      <x:c r="H172" s="6" t="str">
        <x:v>0</x:v>
      </x:c>
      <x:c r="I172" s="6" t="str">
        <x:v>3</x:v>
      </x:c>
      <x:c r="J172" s="6" t="str">
        <x:v>0</x:v>
      </x:c>
      <x:c r="K172" s="6" t="str">
        <x:v>0</x:v>
      </x:c>
      <x:c r="L172" s="6" t="str">
        <x:v>0</x:v>
      </x:c>
      <x:c r="M172" s="6" t="str">
        <x:v>0</x:v>
      </x:c>
      <x:c r="N172" s="6" t="str">
        <x:v>0</x:v>
      </x:c>
      <x:c r="O172" s="6" t="str">
        <x:v>0</x:v>
      </x:c>
      <x:c r="P172" s="6" t="str">
        <x:v>6</x:v>
      </x:c>
      <x:c r="Q172" s="6" t="str">
        <x:v>0.0</x:v>
      </x:c>
      <x:c r="R172" s="6" t="str">
        <x:v>6</x:v>
      </x:c>
      <x:c r="S172" s="6" t="str">
        <x:v>0.0</x:v>
      </x:c>
      <x:c r="T172" s="6" t="str">
        <x:v>6</x:v>
      </x:c>
      <x:c r="U172" s="6" t="str">
        <x:v>8.0</x:v>
      </x:c>
      <x:c r="V172" s="6" t="str">
        <x:v>6</x:v>
      </x:c>
      <x:c r="W172" s="6" t="str">
        <x:v>156.0</x:v>
      </x:c>
      <x:c r="X172" s="6" t="str">
        <x:v>6</x:v>
      </x:c>
      <x:c r="Y172" s="6" t="str">
        <x:v>254.0</x:v>
      </x:c>
      <x:c r="Z172" s="6" t="str">
        <x:v>3</x:v>
      </x:c>
      <x:c r="AA172" s="6" t="str">
        <x:v>2.0</x:v>
      </x:c>
      <x:c r="AB172" s="6" t="str">
        <x:v>6</x:v>
      </x:c>
      <x:c r="AC172" s="6" t="str">
        <x:v>2024-03</x:v>
      </x:c>
      <x:c r="AD172" s="9" t="str">
        <x:v>BNPB operational disaster search table</x:v>
      </x:c>
      <x:c r="AE172" s="9" t="str">
        <x:v>https://gis.bnpb.go.id/databencana/tabel/pencarian.php</x:v>
      </x:c>
      <x:c r="AF172" s="9" t="str">
        <x:v>operational_snapshot_annual_totals_may_differ</x:v>
      </x:c>
    </x:row>
    <x:row r="173" ht="18" customHeight="1">
      <x:c r="A173" s="6" t="str">
        <x:v>18</x:v>
      </x:c>
      <x:c r="B173" s="6" t="str">
        <x:v>LAMPUNG</x:v>
      </x:c>
      <x:c r="C173" s="6" t="str">
        <x:v>2024</x:v>
      </x:c>
      <x:c r="D173" s="6" t="str">
        <x:v>4</x:v>
      </x:c>
      <x:c r="E173" s="6" t="str">
        <x:v>5</x:v>
      </x:c>
      <x:c r="F173" s="6" t="str">
        <x:v>5</x:v>
      </x:c>
      <x:c r="G173" s="6" t="str">
        <x:v>3</x:v>
      </x:c>
      <x:c r="H173" s="6" t="str">
        <x:v>0</x:v>
      </x:c>
      <x:c r="I173" s="6" t="str">
        <x:v>2</x:v>
      </x:c>
      <x:c r="J173" s="6" t="str">
        <x:v>0</x:v>
      </x:c>
      <x:c r="K173" s="6" t="str">
        <x:v>0</x:v>
      </x:c>
      <x:c r="L173" s="6" t="str">
        <x:v>0</x:v>
      </x:c>
      <x:c r="M173" s="6" t="str">
        <x:v>0</x:v>
      </x:c>
      <x:c r="N173" s="6" t="str">
        <x:v>0</x:v>
      </x:c>
      <x:c r="O173" s="6" t="str">
        <x:v>0</x:v>
      </x:c>
      <x:c r="P173" s="6" t="str">
        <x:v>5</x:v>
      </x:c>
      <x:c r="Q173" s="6" t="str">
        <x:v>0.0</x:v>
      </x:c>
      <x:c r="R173" s="6" t="str">
        <x:v>5</x:v>
      </x:c>
      <x:c r="S173" s="6" t="str">
        <x:v>0.0</x:v>
      </x:c>
      <x:c r="T173" s="6" t="str">
        <x:v>5</x:v>
      </x:c>
      <x:c r="U173" s="6" t="str">
        <x:v>0.0</x:v>
      </x:c>
      <x:c r="V173" s="6" t="str">
        <x:v>5</x:v>
      </x:c>
      <x:c r="W173" s="6" t="str">
        <x:v>5.0</x:v>
      </x:c>
      <x:c r="X173" s="6" t="str">
        <x:v>5</x:v>
      </x:c>
      <x:c r="Y173" s="6" t="str">
        <x:v>1242.0</x:v>
      </x:c>
      <x:c r="Z173" s="6" t="str">
        <x:v>3</x:v>
      </x:c>
      <x:c r="AA173" s="6" t="str">
        <x:v>0.0</x:v>
      </x:c>
      <x:c r="AB173" s="6" t="str">
        <x:v>5</x:v>
      </x:c>
      <x:c r="AC173" s="6" t="str">
        <x:v>2024-04</x:v>
      </x:c>
      <x:c r="AD173" s="9" t="str">
        <x:v>BNPB operational disaster search table</x:v>
      </x:c>
      <x:c r="AE173" s="9" t="str">
        <x:v>https://gis.bnpb.go.id/databencana/tabel/pencarian.php</x:v>
      </x:c>
      <x:c r="AF173" s="9" t="str">
        <x:v>operational_snapshot_annual_totals_may_differ</x:v>
      </x:c>
    </x:row>
    <x:row r="174" ht="18" customHeight="1">
      <x:c r="A174" s="6" t="str">
        <x:v>18</x:v>
      </x:c>
      <x:c r="B174" s="6" t="str">
        <x:v>LAMPUNG</x:v>
      </x:c>
      <x:c r="C174" s="6" t="str">
        <x:v>2024</x:v>
      </x:c>
      <x:c r="D174" s="6" t="str">
        <x:v>5</x:v>
      </x:c>
      <x:c r="E174" s="6" t="str">
        <x:v>6</x:v>
      </x:c>
      <x:c r="F174" s="6" t="str">
        <x:v>6</x:v>
      </x:c>
      <x:c r="G174" s="6" t="str">
        <x:v>6</x:v>
      </x:c>
      <x:c r="H174" s="6" t="str">
        <x:v>0</x:v>
      </x:c>
      <x:c r="I174" s="6" t="str">
        <x:v>0</x:v>
      </x:c>
      <x:c r="J174" s="6" t="str">
        <x:v>0</x:v>
      </x:c>
      <x:c r="K174" s="6" t="str">
        <x:v>0</x:v>
      </x:c>
      <x:c r="L174" s="6" t="str">
        <x:v>0</x:v>
      </x:c>
      <x:c r="M174" s="6" t="str">
        <x:v>0</x:v>
      </x:c>
      <x:c r="N174" s="6" t="str">
        <x:v>0</x:v>
      </x:c>
      <x:c r="O174" s="6" t="str">
        <x:v>0</x:v>
      </x:c>
      <x:c r="P174" s="6" t="str">
        <x:v>6</x:v>
      </x:c>
      <x:c r="Q174" s="6" t="str">
        <x:v>4.0</x:v>
      </x:c>
      <x:c r="R174" s="6" t="str">
        <x:v>6</x:v>
      </x:c>
      <x:c r="S174" s="6" t="str">
        <x:v>1.0</x:v>
      </x:c>
      <x:c r="T174" s="6" t="str">
        <x:v>6</x:v>
      </x:c>
      <x:c r="U174" s="6" t="str">
        <x:v>0.0</x:v>
      </x:c>
      <x:c r="V174" s="6" t="str">
        <x:v>6</x:v>
      </x:c>
      <x:c r="W174" s="6" t="str">
        <x:v>0.0</x:v>
      </x:c>
      <x:c r="X174" s="6" t="str">
        <x:v>6</x:v>
      </x:c>
      <x:c r="Y174" s="6" t="str">
        <x:v>1351.0</x:v>
      </x:c>
      <x:c r="Z174" s="6" t="str">
        <x:v>6</x:v>
      </x:c>
      <x:c r="AA174" s="6" t="str">
        <x:v>0.0</x:v>
      </x:c>
      <x:c r="AB174" s="6" t="str">
        <x:v>6</x:v>
      </x:c>
      <x:c r="AC174" s="6" t="str">
        <x:v>2024-05</x:v>
      </x:c>
      <x:c r="AD174" s="9" t="str">
        <x:v>BNPB operational disaster search table</x:v>
      </x:c>
      <x:c r="AE174" s="9" t="str">
        <x:v>https://gis.bnpb.go.id/databencana/tabel/pencarian.php</x:v>
      </x:c>
      <x:c r="AF174" s="9" t="str">
        <x:v>operational_snapshot_annual_totals_may_differ</x:v>
      </x:c>
    </x:row>
    <x:row r="175" ht="18" customHeight="1">
      <x:c r="A175" s="6" t="str">
        <x:v>18</x:v>
      </x:c>
      <x:c r="B175" s="6" t="str">
        <x:v>LAMPUNG</x:v>
      </x:c>
      <x:c r="C175" s="6" t="str">
        <x:v>2024</x:v>
      </x:c>
      <x:c r="D175" s="6" t="str">
        <x:v>6</x:v>
      </x:c>
      <x:c r="E175" s="6" t="str">
        <x:v>2</x:v>
      </x:c>
      <x:c r="F175" s="6" t="str">
        <x:v>2</x:v>
      </x:c>
      <x:c r="G175" s="6" t="str">
        <x:v>1</x:v>
      </x:c>
      <x:c r="H175" s="6" t="str">
        <x:v>0</x:v>
      </x:c>
      <x:c r="I175" s="6" t="str">
        <x:v>1</x:v>
      </x:c>
      <x:c r="J175" s="6" t="str">
        <x:v>0</x:v>
      </x:c>
      <x:c r="K175" s="6" t="str">
        <x:v>0</x:v>
      </x:c>
      <x:c r="L175" s="6" t="str">
        <x:v>0</x:v>
      </x:c>
      <x:c r="M175" s="6" t="str">
        <x:v>0</x:v>
      </x:c>
      <x:c r="N175" s="6" t="str">
        <x:v>0</x:v>
      </x:c>
      <x:c r="O175" s="6" t="str">
        <x:v>0</x:v>
      </x:c>
      <x:c r="P175" s="6" t="str">
        <x:v>2</x:v>
      </x:c>
      <x:c r="Q175" s="6" t="str">
        <x:v>0.0</x:v>
      </x:c>
      <x:c r="R175" s="6" t="str">
        <x:v>2</x:v>
      </x:c>
      <x:c r="S175" s="6" t="str">
        <x:v>0.0</x:v>
      </x:c>
      <x:c r="T175" s="6" t="str">
        <x:v>2</x:v>
      </x:c>
      <x:c r="U175" s="6" t="str">
        <x:v>0.0</x:v>
      </x:c>
      <x:c r="V175" s="6" t="str">
        <x:v>2</x:v>
      </x:c>
      <x:c r="W175" s="6" t="str">
        <x:v>8.0</x:v>
      </x:c>
      <x:c r="X175" s="6" t="str">
        <x:v>2</x:v>
      </x:c>
      <x:c r="Y175" s="6" t="str">
        <x:v>112.0</x:v>
      </x:c>
      <x:c r="Z175" s="6" t="str">
        <x:v>1</x:v>
      </x:c>
      <x:c r="AA175" s="6" t="str">
        <x:v>0.0</x:v>
      </x:c>
      <x:c r="AB175" s="6" t="str">
        <x:v>2</x:v>
      </x:c>
      <x:c r="AC175" s="6" t="str">
        <x:v>2024-06</x:v>
      </x:c>
      <x:c r="AD175" s="9" t="str">
        <x:v>BNPB operational disaster search table</x:v>
      </x:c>
      <x:c r="AE175" s="9" t="str">
        <x:v>https://gis.bnpb.go.id/databencana/tabel/pencarian.php</x:v>
      </x:c>
      <x:c r="AF175" s="9" t="str">
        <x:v>operational_snapshot_annual_totals_may_differ</x:v>
      </x:c>
    </x:row>
    <x:row r="176" ht="18" customHeight="1">
      <x:c r="A176" s="6" t="str">
        <x:v>18</x:v>
      </x:c>
      <x:c r="B176" s="6" t="str">
        <x:v>LAMPUNG</x:v>
      </x:c>
      <x:c r="C176" s="6" t="str">
        <x:v>2024</x:v>
      </x:c>
      <x:c r="D176" s="6" t="str">
        <x:v>7</x:v>
      </x:c>
      <x:c r="E176" s="6" t="str">
        <x:v>3</x:v>
      </x:c>
      <x:c r="F176" s="6" t="str">
        <x:v>3</x:v>
      </x:c>
      <x:c r="G176" s="6" t="str">
        <x:v>0</x:v>
      </x:c>
      <x:c r="H176" s="6" t="str">
        <x:v>0</x:v>
      </x:c>
      <x:c r="I176" s="6" t="str">
        <x:v>3</x:v>
      </x:c>
      <x:c r="J176" s="6" t="str">
        <x:v>0</x:v>
      </x:c>
      <x:c r="K176" s="6" t="str">
        <x:v>0</x:v>
      </x:c>
      <x:c r="L176" s="6" t="str">
        <x:v>0</x:v>
      </x:c>
      <x:c r="M176" s="6" t="str">
        <x:v>0</x:v>
      </x:c>
      <x:c r="N176" s="6" t="str">
        <x:v>0</x:v>
      </x:c>
      <x:c r="O176" s="6" t="str">
        <x:v>0</x:v>
      </x:c>
      <x:c r="P176" s="6" t="str">
        <x:v>3</x:v>
      </x:c>
      <x:c r="Q176" s="6" t="str">
        <x:v>0.0</x:v>
      </x:c>
      <x:c r="R176" s="6" t="str">
        <x:v>3</x:v>
      </x:c>
      <x:c r="S176" s="6" t="str">
        <x:v>0.0</x:v>
      </x:c>
      <x:c r="T176" s="6" t="str">
        <x:v>3</x:v>
      </x:c>
      <x:c r="U176" s="6" t="str">
        <x:v>1.0</x:v>
      </x:c>
      <x:c r="V176" s="6" t="str">
        <x:v>3</x:v>
      </x:c>
      <x:c r="W176" s="6" t="str">
        <x:v>156.0</x:v>
      </x:c>
      <x:c r="X176" s="6" t="str">
        <x:v>3</x:v>
      </x:c>
      <x:c r="Y176" s="6" t="str"/>
      <x:c r="Z176" s="6" t="str">
        <x:v>0</x:v>
      </x:c>
      <x:c r="AA176" s="6" t="str">
        <x:v>0.0</x:v>
      </x:c>
      <x:c r="AB176" s="6" t="str">
        <x:v>3</x:v>
      </x:c>
      <x:c r="AC176" s="6" t="str">
        <x:v>2024-07</x:v>
      </x:c>
      <x:c r="AD176" s="9" t="str">
        <x:v>BNPB operational disaster search table</x:v>
      </x:c>
      <x:c r="AE176" s="9" t="str">
        <x:v>https://gis.bnpb.go.id/databencana/tabel/pencarian.php</x:v>
      </x:c>
      <x:c r="AF176" s="9" t="str">
        <x:v>operational_snapshot_annual_totals_may_differ</x:v>
      </x:c>
    </x:row>
    <x:row r="177" ht="18" customHeight="1">
      <x:c r="A177" s="6" t="str">
        <x:v>18</x:v>
      </x:c>
      <x:c r="B177" s="6" t="str">
        <x:v>LAMPUNG</x:v>
      </x:c>
      <x:c r="C177" s="6" t="str">
        <x:v>2024</x:v>
      </x:c>
      <x:c r="D177" s="6" t="str">
        <x:v>8</x:v>
      </x:c>
      <x:c r="E177" s="6" t="str">
        <x:v>6</x:v>
      </x:c>
      <x:c r="F177" s="6" t="str">
        <x:v>6</x:v>
      </x:c>
      <x:c r="G177" s="6" t="str">
        <x:v>0</x:v>
      </x:c>
      <x:c r="H177" s="6" t="str">
        <x:v>0</x:v>
      </x:c>
      <x:c r="I177" s="6" t="str">
        <x:v>2</x:v>
      </x:c>
      <x:c r="J177" s="6" t="str">
        <x:v>0</x:v>
      </x:c>
      <x:c r="K177" s="6" t="str">
        <x:v>4</x:v>
      </x:c>
      <x:c r="L177" s="6" t="str">
        <x:v>0</x:v>
      </x:c>
      <x:c r="M177" s="6" t="str">
        <x:v>0</x:v>
      </x:c>
      <x:c r="N177" s="6" t="str">
        <x:v>0</x:v>
      </x:c>
      <x:c r="O177" s="6" t="str">
        <x:v>0</x:v>
      </x:c>
      <x:c r="P177" s="6" t="str">
        <x:v>6</x:v>
      </x:c>
      <x:c r="Q177" s="6" t="str">
        <x:v>0.0</x:v>
      </x:c>
      <x:c r="R177" s="6" t="str">
        <x:v>6</x:v>
      </x:c>
      <x:c r="S177" s="6" t="str">
        <x:v>0.0</x:v>
      </x:c>
      <x:c r="T177" s="6" t="str">
        <x:v>6</x:v>
      </x:c>
      <x:c r="U177" s="6" t="str">
        <x:v>0.0</x:v>
      </x:c>
      <x:c r="V177" s="6" t="str">
        <x:v>6</x:v>
      </x:c>
      <x:c r="W177" s="6" t="str">
        <x:v>10.0</x:v>
      </x:c>
      <x:c r="X177" s="6" t="str">
        <x:v>6</x:v>
      </x:c>
      <x:c r="Y177" s="6" t="str"/>
      <x:c r="Z177" s="6" t="str">
        <x:v>0</x:v>
      </x:c>
      <x:c r="AA177" s="6" t="str">
        <x:v>1.0</x:v>
      </x:c>
      <x:c r="AB177" s="6" t="str">
        <x:v>6</x:v>
      </x:c>
      <x:c r="AC177" s="6" t="str">
        <x:v>2024-08</x:v>
      </x:c>
      <x:c r="AD177" s="9" t="str">
        <x:v>BNPB operational disaster search table</x:v>
      </x:c>
      <x:c r="AE177" s="9" t="str">
        <x:v>https://gis.bnpb.go.id/databencana/tabel/pencarian.php</x:v>
      </x:c>
      <x:c r="AF177" s="9" t="str">
        <x:v>operational_snapshot_annual_totals_may_differ</x:v>
      </x:c>
    </x:row>
    <x:row r="178" ht="18" customHeight="1">
      <x:c r="A178" s="6" t="str">
        <x:v>18</x:v>
      </x:c>
      <x:c r="B178" s="6" t="str">
        <x:v>LAMPUNG</x:v>
      </x:c>
      <x:c r="C178" s="6" t="str">
        <x:v>2024</x:v>
      </x:c>
      <x:c r="D178" s="6" t="str">
        <x:v>9</x:v>
      </x:c>
      <x:c r="E178" s="6" t="str">
        <x:v>7</x:v>
      </x:c>
      <x:c r="F178" s="6" t="str">
        <x:v>7</x:v>
      </x:c>
      <x:c r="G178" s="6" t="str">
        <x:v>0</x:v>
      </x:c>
      <x:c r="H178" s="6" t="str">
        <x:v>0</x:v>
      </x:c>
      <x:c r="I178" s="6" t="str">
        <x:v>4</x:v>
      </x:c>
      <x:c r="J178" s="6" t="str">
        <x:v>0</x:v>
      </x:c>
      <x:c r="K178" s="6" t="str">
        <x:v>3</x:v>
      </x:c>
      <x:c r="L178" s="6" t="str">
        <x:v>0</x:v>
      </x:c>
      <x:c r="M178" s="6" t="str">
        <x:v>0</x:v>
      </x:c>
      <x:c r="N178" s="6" t="str">
        <x:v>0</x:v>
      </x:c>
      <x:c r="O178" s="6" t="str">
        <x:v>0</x:v>
      </x:c>
      <x:c r="P178" s="6" t="str">
        <x:v>7</x:v>
      </x:c>
      <x:c r="Q178" s="6" t="str">
        <x:v>0.0</x:v>
      </x:c>
      <x:c r="R178" s="6" t="str">
        <x:v>7</x:v>
      </x:c>
      <x:c r="S178" s="6" t="str">
        <x:v>0.0</x:v>
      </x:c>
      <x:c r="T178" s="6" t="str">
        <x:v>7</x:v>
      </x:c>
      <x:c r="U178" s="6" t="str">
        <x:v>0.0</x:v>
      </x:c>
      <x:c r="V178" s="6" t="str">
        <x:v>7</x:v>
      </x:c>
      <x:c r="W178" s="6" t="str">
        <x:v>51.0</x:v>
      </x:c>
      <x:c r="X178" s="6" t="str">
        <x:v>7</x:v>
      </x:c>
      <x:c r="Y178" s="6" t="str"/>
      <x:c r="Z178" s="6" t="str">
        <x:v>0</x:v>
      </x:c>
      <x:c r="AA178" s="6" t="str">
        <x:v>0.0</x:v>
      </x:c>
      <x:c r="AB178" s="6" t="str">
        <x:v>7</x:v>
      </x:c>
      <x:c r="AC178" s="6" t="str">
        <x:v>2024-09</x:v>
      </x:c>
      <x:c r="AD178" s="9" t="str">
        <x:v>BNPB operational disaster search table</x:v>
      </x:c>
      <x:c r="AE178" s="9" t="str">
        <x:v>https://gis.bnpb.go.id/databencana/tabel/pencarian.php</x:v>
      </x:c>
      <x:c r="AF178" s="9" t="str">
        <x:v>operational_snapshot_annual_totals_may_differ</x:v>
      </x:c>
    </x:row>
    <x:row r="179" ht="18" customHeight="1">
      <x:c r="A179" s="6" t="str">
        <x:v>18</x:v>
      </x:c>
      <x:c r="B179" s="6" t="str">
        <x:v>LAMPUNG</x:v>
      </x:c>
      <x:c r="C179" s="6" t="str">
        <x:v>2024</x:v>
      </x:c>
      <x:c r="D179" s="6" t="str">
        <x:v>10</x:v>
      </x:c>
      <x:c r="E179" s="6" t="str">
        <x:v>2</x:v>
      </x:c>
      <x:c r="F179" s="6" t="str">
        <x:v>2</x:v>
      </x:c>
      <x:c r="G179" s="6" t="str">
        <x:v>1</x:v>
      </x:c>
      <x:c r="H179" s="6" t="str">
        <x:v>0</x:v>
      </x:c>
      <x:c r="I179" s="6" t="str">
        <x:v>1</x:v>
      </x:c>
      <x:c r="J179" s="6" t="str">
        <x:v>0</x:v>
      </x:c>
      <x:c r="K179" s="6" t="str">
        <x:v>0</x:v>
      </x:c>
      <x:c r="L179" s="6" t="str">
        <x:v>0</x:v>
      </x:c>
      <x:c r="M179" s="6" t="str">
        <x:v>0</x:v>
      </x:c>
      <x:c r="N179" s="6" t="str">
        <x:v>0</x:v>
      </x:c>
      <x:c r="O179" s="6" t="str">
        <x:v>0</x:v>
      </x:c>
      <x:c r="P179" s="6" t="str">
        <x:v>2</x:v>
      </x:c>
      <x:c r="Q179" s="6" t="str">
        <x:v>0.0</x:v>
      </x:c>
      <x:c r="R179" s="6" t="str">
        <x:v>2</x:v>
      </x:c>
      <x:c r="S179" s="6" t="str">
        <x:v>0.0</x:v>
      </x:c>
      <x:c r="T179" s="6" t="str">
        <x:v>2</x:v>
      </x:c>
      <x:c r="U179" s="6" t="str">
        <x:v>0.0</x:v>
      </x:c>
      <x:c r="V179" s="6" t="str">
        <x:v>2</x:v>
      </x:c>
      <x:c r="W179" s="6" t="str">
        <x:v>0.0</x:v>
      </x:c>
      <x:c r="X179" s="6" t="str">
        <x:v>2</x:v>
      </x:c>
      <x:c r="Y179" s="6" t="str">
        <x:v>20.0</x:v>
      </x:c>
      <x:c r="Z179" s="6" t="str">
        <x:v>1</x:v>
      </x:c>
      <x:c r="AA179" s="6" t="str">
        <x:v>0.0</x:v>
      </x:c>
      <x:c r="AB179" s="6" t="str">
        <x:v>2</x:v>
      </x:c>
      <x:c r="AC179" s="6" t="str">
        <x:v>2024-10</x:v>
      </x:c>
      <x:c r="AD179" s="9" t="str">
        <x:v>BNPB operational disaster search table</x:v>
      </x:c>
      <x:c r="AE179" s="9" t="str">
        <x:v>https://gis.bnpb.go.id/databencana/tabel/pencarian.php</x:v>
      </x:c>
      <x:c r="AF179" s="9" t="str">
        <x:v>operational_snapshot_annual_totals_may_differ</x:v>
      </x:c>
    </x:row>
    <x:row r="180" ht="18" customHeight="1">
      <x:c r="A180" s="6" t="str">
        <x:v>18</x:v>
      </x:c>
      <x:c r="B180" s="6" t="str">
        <x:v>LAMPUNG</x:v>
      </x:c>
      <x:c r="C180" s="6" t="str">
        <x:v>2024</x:v>
      </x:c>
      <x:c r="D180" s="6" t="str">
        <x:v>11</x:v>
      </x:c>
      <x:c r="E180" s="6" t="str">
        <x:v>5</x:v>
      </x:c>
      <x:c r="F180" s="6" t="str">
        <x:v>5</x:v>
      </x:c>
      <x:c r="G180" s="6" t="str">
        <x:v>0</x:v>
      </x:c>
      <x:c r="H180" s="6" t="str">
        <x:v>0</x:v>
      </x:c>
      <x:c r="I180" s="6" t="str">
        <x:v>4</x:v>
      </x:c>
      <x:c r="J180" s="6" t="str">
        <x:v>1</x:v>
      </x:c>
      <x:c r="K180" s="6" t="str">
        <x:v>0</x:v>
      </x:c>
      <x:c r="L180" s="6" t="str">
        <x:v>0</x:v>
      </x:c>
      <x:c r="M180" s="6" t="str">
        <x:v>0</x:v>
      </x:c>
      <x:c r="N180" s="6" t="str">
        <x:v>0</x:v>
      </x:c>
      <x:c r="O180" s="6" t="str">
        <x:v>0</x:v>
      </x:c>
      <x:c r="P180" s="6" t="str">
        <x:v>5</x:v>
      </x:c>
      <x:c r="Q180" s="6" t="str">
        <x:v>0.0</x:v>
      </x:c>
      <x:c r="R180" s="6" t="str">
        <x:v>5</x:v>
      </x:c>
      <x:c r="S180" s="6" t="str">
        <x:v>0.0</x:v>
      </x:c>
      <x:c r="T180" s="6" t="str">
        <x:v>5</x:v>
      </x:c>
      <x:c r="U180" s="6" t="str">
        <x:v>0.0</x:v>
      </x:c>
      <x:c r="V180" s="6" t="str">
        <x:v>5</x:v>
      </x:c>
      <x:c r="W180" s="6" t="str">
        <x:v>106.0</x:v>
      </x:c>
      <x:c r="X180" s="6" t="str">
        <x:v>5</x:v>
      </x:c>
      <x:c r="Y180" s="6" t="str"/>
      <x:c r="Z180" s="6" t="str">
        <x:v>0</x:v>
      </x:c>
      <x:c r="AA180" s="6" t="str">
        <x:v>0.0</x:v>
      </x:c>
      <x:c r="AB180" s="6" t="str">
        <x:v>5</x:v>
      </x:c>
      <x:c r="AC180" s="6" t="str">
        <x:v>2024-11</x:v>
      </x:c>
      <x:c r="AD180" s="9" t="str">
        <x:v>BNPB operational disaster search table</x:v>
      </x:c>
      <x:c r="AE180" s="9" t="str">
        <x:v>https://gis.bnpb.go.id/databencana/tabel/pencarian.php</x:v>
      </x:c>
      <x:c r="AF180" s="9" t="str">
        <x:v>operational_snapshot_annual_totals_may_differ</x:v>
      </x:c>
    </x:row>
    <x:row r="181" ht="18" customHeight="1">
      <x:c r="A181" s="6" t="str">
        <x:v>18</x:v>
      </x:c>
      <x:c r="B181" s="6" t="str">
        <x:v>LAMPUNG</x:v>
      </x:c>
      <x:c r="C181" s="6" t="str">
        <x:v>2024</x:v>
      </x:c>
      <x:c r="D181" s="6" t="str">
        <x:v>12</x:v>
      </x:c>
      <x:c r="E181" s="6" t="str">
        <x:v>6</x:v>
      </x:c>
      <x:c r="F181" s="6" t="str">
        <x:v>6</x:v>
      </x:c>
      <x:c r="G181" s="6" t="str">
        <x:v>4</x:v>
      </x:c>
      <x:c r="H181" s="6" t="str">
        <x:v>0</x:v>
      </x:c>
      <x:c r="I181" s="6" t="str">
        <x:v>2</x:v>
      </x:c>
      <x:c r="J181" s="6" t="str">
        <x:v>0</x:v>
      </x:c>
      <x:c r="K181" s="6" t="str">
        <x:v>0</x:v>
      </x:c>
      <x:c r="L181" s="6" t="str">
        <x:v>0</x:v>
      </x:c>
      <x:c r="M181" s="6" t="str">
        <x:v>0</x:v>
      </x:c>
      <x:c r="N181" s="6" t="str">
        <x:v>0</x:v>
      </x:c>
      <x:c r="O181" s="6" t="str">
        <x:v>0</x:v>
      </x:c>
      <x:c r="P181" s="6" t="str">
        <x:v>6</x:v>
      </x:c>
      <x:c r="Q181" s="6" t="str">
        <x:v>0.0</x:v>
      </x:c>
      <x:c r="R181" s="6" t="str">
        <x:v>6</x:v>
      </x:c>
      <x:c r="S181" s="6" t="str">
        <x:v>0.0</x:v>
      </x:c>
      <x:c r="T181" s="6" t="str">
        <x:v>6</x:v>
      </x:c>
      <x:c r="U181" s="6" t="str">
        <x:v>0.0</x:v>
      </x:c>
      <x:c r="V181" s="6" t="str">
        <x:v>6</x:v>
      </x:c>
      <x:c r="W181" s="6" t="str">
        <x:v>84.0</x:v>
      </x:c>
      <x:c r="X181" s="6" t="str">
        <x:v>6</x:v>
      </x:c>
      <x:c r="Y181" s="6" t="str">
        <x:v>1967.0</x:v>
      </x:c>
      <x:c r="Z181" s="6" t="str">
        <x:v>4</x:v>
      </x:c>
      <x:c r="AA181" s="6" t="str">
        <x:v>0.0</x:v>
      </x:c>
      <x:c r="AB181" s="6" t="str">
        <x:v>6</x:v>
      </x:c>
      <x:c r="AC181" s="6" t="str">
        <x:v>2024-12</x:v>
      </x:c>
      <x:c r="AD181" s="9" t="str">
        <x:v>BNPB operational disaster search table</x:v>
      </x:c>
      <x:c r="AE181" s="9" t="str">
        <x:v>https://gis.bnpb.go.id/databencana/tabel/pencarian.php</x:v>
      </x:c>
      <x:c r="AF181" s="9" t="str">
        <x:v>operational_snapshot_annual_totals_may_differ</x:v>
      </x:c>
    </x:row>
    <x:row r="182" ht="18" customHeight="1">
      <x:c r="A182" s="6" t="str">
        <x:v>18</x:v>
      </x:c>
      <x:c r="B182" s="6" t="str">
        <x:v>LAMPUNG</x:v>
      </x:c>
      <x:c r="C182" s="6" t="str">
        <x:v>2025</x:v>
      </x:c>
      <x:c r="D182" s="6" t="str">
        <x:v>1</x:v>
      </x:c>
      <x:c r="E182" s="6" t="str">
        <x:v>31</x:v>
      </x:c>
      <x:c r="F182" s="6" t="str">
        <x:v>31</x:v>
      </x:c>
      <x:c r="G182" s="6" t="str">
        <x:v>29</x:v>
      </x:c>
      <x:c r="H182" s="6" t="str">
        <x:v>1</x:v>
      </x:c>
      <x:c r="I182" s="6" t="str">
        <x:v>1</x:v>
      </x:c>
      <x:c r="J182" s="6" t="str">
        <x:v>0</x:v>
      </x:c>
      <x:c r="K182" s="6" t="str">
        <x:v>0</x:v>
      </x:c>
      <x:c r="L182" s="6" t="str">
        <x:v>0</x:v>
      </x:c>
      <x:c r="M182" s="6" t="str">
        <x:v>0</x:v>
      </x:c>
      <x:c r="N182" s="6" t="str">
        <x:v>0</x:v>
      </x:c>
      <x:c r="O182" s="6" t="str">
        <x:v>0</x:v>
      </x:c>
      <x:c r="P182" s="6" t="str">
        <x:v>31</x:v>
      </x:c>
      <x:c r="Q182" s="6" t="str">
        <x:v>3.0</x:v>
      </x:c>
      <x:c r="R182" s="6" t="str">
        <x:v>31</x:v>
      </x:c>
      <x:c r="S182" s="6" t="str">
        <x:v>0.0</x:v>
      </x:c>
      <x:c r="T182" s="6" t="str">
        <x:v>31</x:v>
      </x:c>
      <x:c r="U182" s="6" t="str">
        <x:v>0.0</x:v>
      </x:c>
      <x:c r="V182" s="6" t="str">
        <x:v>31</x:v>
      </x:c>
      <x:c r="W182" s="6" t="str">
        <x:v>56.0</x:v>
      </x:c>
      <x:c r="X182" s="6" t="str">
        <x:v>31</x:v>
      </x:c>
      <x:c r="Y182" s="6" t="str">
        <x:v>25167.0</x:v>
      </x:c>
      <x:c r="Z182" s="6" t="str">
        <x:v>28</x:v>
      </x:c>
      <x:c r="AA182" s="6" t="str">
        <x:v>4.0</x:v>
      </x:c>
      <x:c r="AB182" s="6" t="str">
        <x:v>31</x:v>
      </x:c>
      <x:c r="AC182" s="6" t="str">
        <x:v>2025-01</x:v>
      </x:c>
      <x:c r="AD182" s="9" t="str">
        <x:v>BNPB operational disaster search table</x:v>
      </x:c>
      <x:c r="AE182" s="9" t="str">
        <x:v>https://gis.bnpb.go.id/databencana/tabel/pencarian.php</x:v>
      </x:c>
      <x:c r="AF182" s="9" t="str">
        <x:v>operational_snapshot_annual_totals_may_differ</x:v>
      </x:c>
    </x:row>
    <x:row r="183" ht="18" customHeight="1">
      <x:c r="A183" s="6" t="str">
        <x:v>18</x:v>
      </x:c>
      <x:c r="B183" s="6" t="str">
        <x:v>LAMPUNG</x:v>
      </x:c>
      <x:c r="C183" s="6" t="str">
        <x:v>2025</x:v>
      </x:c>
      <x:c r="D183" s="6" t="str">
        <x:v>2</x:v>
      </x:c>
      <x:c r="E183" s="6" t="str">
        <x:v>22</x:v>
      </x:c>
      <x:c r="F183" s="6" t="str">
        <x:v>22</x:v>
      </x:c>
      <x:c r="G183" s="6" t="str">
        <x:v>16</x:v>
      </x:c>
      <x:c r="H183" s="6" t="str">
        <x:v>2</x:v>
      </x:c>
      <x:c r="I183" s="6" t="str">
        <x:v>4</x:v>
      </x:c>
      <x:c r="J183" s="6" t="str">
        <x:v>0</x:v>
      </x:c>
      <x:c r="K183" s="6" t="str">
        <x:v>0</x:v>
      </x:c>
      <x:c r="L183" s="6" t="str">
        <x:v>0</x:v>
      </x:c>
      <x:c r="M183" s="6" t="str">
        <x:v>0</x:v>
      </x:c>
      <x:c r="N183" s="6" t="str">
        <x:v>0</x:v>
      </x:c>
      <x:c r="O183" s="6" t="str">
        <x:v>0</x:v>
      </x:c>
      <x:c r="P183" s="6" t="str">
        <x:v>22</x:v>
      </x:c>
      <x:c r="Q183" s="6" t="str">
        <x:v>5.0</x:v>
      </x:c>
      <x:c r="R183" s="6" t="str">
        <x:v>22</x:v>
      </x:c>
      <x:c r="S183" s="6" t="str">
        <x:v>0.0</x:v>
      </x:c>
      <x:c r="T183" s="6" t="str">
        <x:v>22</x:v>
      </x:c>
      <x:c r="U183" s="6" t="str">
        <x:v>0.0</x:v>
      </x:c>
      <x:c r="V183" s="6" t="str">
        <x:v>22</x:v>
      </x:c>
      <x:c r="W183" s="6" t="str">
        <x:v>757.0</x:v>
      </x:c>
      <x:c r="X183" s="6" t="str">
        <x:v>22</x:v>
      </x:c>
      <x:c r="Y183" s="6" t="str">
        <x:v>20118.0</x:v>
      </x:c>
      <x:c r="Z183" s="6" t="str">
        <x:v>15</x:v>
      </x:c>
      <x:c r="AA183" s="6" t="str">
        <x:v>10.0</x:v>
      </x:c>
      <x:c r="AB183" s="6" t="str">
        <x:v>22</x:v>
      </x:c>
      <x:c r="AC183" s="6" t="str">
        <x:v>2025-02</x:v>
      </x:c>
      <x:c r="AD183" s="9" t="str">
        <x:v>BNPB operational disaster search table</x:v>
      </x:c>
      <x:c r="AE183" s="9" t="str">
        <x:v>https://gis.bnpb.go.id/databencana/tabel/pencarian.php</x:v>
      </x:c>
      <x:c r="AF183" s="9" t="str">
        <x:v>operational_snapshot_annual_totals_may_differ</x:v>
      </x:c>
    </x:row>
    <x:row r="184" ht="18" customHeight="1">
      <x:c r="A184" s="6" t="str">
        <x:v>18</x:v>
      </x:c>
      <x:c r="B184" s="6" t="str">
        <x:v>LAMPUNG</x:v>
      </x:c>
      <x:c r="C184" s="6" t="str">
        <x:v>2025</x:v>
      </x:c>
      <x:c r="D184" s="6" t="str">
        <x:v>3</x:v>
      </x:c>
      <x:c r="E184" s="6" t="str">
        <x:v>14</x:v>
      </x:c>
      <x:c r="F184" s="6" t="str">
        <x:v>14</x:v>
      </x:c>
      <x:c r="G184" s="6" t="str">
        <x:v>11</x:v>
      </x:c>
      <x:c r="H184" s="6" t="str">
        <x:v>0</x:v>
      </x:c>
      <x:c r="I184" s="6" t="str">
        <x:v>3</x:v>
      </x:c>
      <x:c r="J184" s="6" t="str">
        <x:v>0</x:v>
      </x:c>
      <x:c r="K184" s="6" t="str">
        <x:v>0</x:v>
      </x:c>
      <x:c r="L184" s="6" t="str">
        <x:v>0</x:v>
      </x:c>
      <x:c r="M184" s="6" t="str">
        <x:v>0</x:v>
      </x:c>
      <x:c r="N184" s="6" t="str">
        <x:v>0</x:v>
      </x:c>
      <x:c r="O184" s="6" t="str">
        <x:v>0</x:v>
      </x:c>
      <x:c r="P184" s="6" t="str">
        <x:v>14</x:v>
      </x:c>
      <x:c r="Q184" s="6" t="str">
        <x:v>3.0</x:v>
      </x:c>
      <x:c r="R184" s="6" t="str">
        <x:v>14</x:v>
      </x:c>
      <x:c r="S184" s="6" t="str">
        <x:v>0.0</x:v>
      </x:c>
      <x:c r="T184" s="6" t="str">
        <x:v>14</x:v>
      </x:c>
      <x:c r="U184" s="6" t="str">
        <x:v>0.0</x:v>
      </x:c>
      <x:c r="V184" s="6" t="str">
        <x:v>14</x:v>
      </x:c>
      <x:c r="W184" s="6" t="str">
        <x:v>21.0</x:v>
      </x:c>
      <x:c r="X184" s="6" t="str">
        <x:v>14</x:v>
      </x:c>
      <x:c r="Y184" s="6" t="str">
        <x:v>5741.0</x:v>
      </x:c>
      <x:c r="Z184" s="6" t="str">
        <x:v>10</x:v>
      </x:c>
      <x:c r="AA184" s="6" t="str">
        <x:v>1.0</x:v>
      </x:c>
      <x:c r="AB184" s="6" t="str">
        <x:v>14</x:v>
      </x:c>
      <x:c r="AC184" s="6" t="str">
        <x:v>2025-03</x:v>
      </x:c>
      <x:c r="AD184" s="9" t="str">
        <x:v>BNPB operational disaster search table</x:v>
      </x:c>
      <x:c r="AE184" s="9" t="str">
        <x:v>https://gis.bnpb.go.id/databencana/tabel/pencarian.php</x:v>
      </x:c>
      <x:c r="AF184" s="9" t="str">
        <x:v>operational_snapshot_annual_totals_may_differ</x:v>
      </x:c>
    </x:row>
    <x:row r="185" ht="18" customHeight="1">
      <x:c r="A185" s="6" t="str">
        <x:v>18</x:v>
      </x:c>
      <x:c r="B185" s="6" t="str">
        <x:v>LAMPUNG</x:v>
      </x:c>
      <x:c r="C185" s="6" t="str">
        <x:v>2025</x:v>
      </x:c>
      <x:c r="D185" s="6" t="str">
        <x:v>4</x:v>
      </x:c>
      <x:c r="E185" s="6" t="str">
        <x:v>5</x:v>
      </x:c>
      <x:c r="F185" s="6" t="str">
        <x:v>5</x:v>
      </x:c>
      <x:c r="G185" s="6" t="str">
        <x:v>3</x:v>
      </x:c>
      <x:c r="H185" s="6" t="str">
        <x:v>0</x:v>
      </x:c>
      <x:c r="I185" s="6" t="str">
        <x:v>2</x:v>
      </x:c>
      <x:c r="J185" s="6" t="str">
        <x:v>0</x:v>
      </x:c>
      <x:c r="K185" s="6" t="str">
        <x:v>0</x:v>
      </x:c>
      <x:c r="L185" s="6" t="str">
        <x:v>0</x:v>
      </x:c>
      <x:c r="M185" s="6" t="str">
        <x:v>0</x:v>
      </x:c>
      <x:c r="N185" s="6" t="str">
        <x:v>0</x:v>
      </x:c>
      <x:c r="O185" s="6" t="str">
        <x:v>0</x:v>
      </x:c>
      <x:c r="P185" s="6" t="str">
        <x:v>5</x:v>
      </x:c>
      <x:c r="Q185" s="6" t="str">
        <x:v>3.0</x:v>
      </x:c>
      <x:c r="R185" s="6" t="str">
        <x:v>5</x:v>
      </x:c>
      <x:c r="S185" s="6" t="str">
        <x:v>0.0</x:v>
      </x:c>
      <x:c r="T185" s="6" t="str">
        <x:v>5</x:v>
      </x:c>
      <x:c r="U185" s="6" t="str">
        <x:v>0.0</x:v>
      </x:c>
      <x:c r="V185" s="6" t="str">
        <x:v>5</x:v>
      </x:c>
      <x:c r="W185" s="6" t="str">
        <x:v>854.0</x:v>
      </x:c>
      <x:c r="X185" s="6" t="str">
        <x:v>5</x:v>
      </x:c>
      <x:c r="Y185" s="6" t="str">
        <x:v>2407.0</x:v>
      </x:c>
      <x:c r="Z185" s="6" t="str">
        <x:v>2</x:v>
      </x:c>
      <x:c r="AA185" s="6" t="str">
        <x:v>1.0</x:v>
      </x:c>
      <x:c r="AB185" s="6" t="str">
        <x:v>5</x:v>
      </x:c>
      <x:c r="AC185" s="6" t="str">
        <x:v>2025-04</x:v>
      </x:c>
      <x:c r="AD185" s="9" t="str">
        <x:v>BNPB operational disaster search table</x:v>
      </x:c>
      <x:c r="AE185" s="9" t="str">
        <x:v>https://gis.bnpb.go.id/databencana/tabel/pencarian.php</x:v>
      </x:c>
      <x:c r="AF185" s="9" t="str">
        <x:v>operational_snapshot_annual_totals_may_differ</x:v>
      </x:c>
    </x:row>
    <x:row r="186" ht="18" customHeight="1">
      <x:c r="A186" s="6" t="str">
        <x:v>18</x:v>
      </x:c>
      <x:c r="B186" s="6" t="str">
        <x:v>LAMPUNG</x:v>
      </x:c>
      <x:c r="C186" s="6" t="str">
        <x:v>2025</x:v>
      </x:c>
      <x:c r="D186" s="6" t="str">
        <x:v>5</x:v>
      </x:c>
      <x:c r="E186" s="6" t="str">
        <x:v>1</x:v>
      </x:c>
      <x:c r="F186" s="6" t="str">
        <x:v>1</x:v>
      </x:c>
      <x:c r="G186" s="6" t="str">
        <x:v>0</x:v>
      </x:c>
      <x:c r="H186" s="6" t="str">
        <x:v>0</x:v>
      </x:c>
      <x:c r="I186" s="6" t="str">
        <x:v>1</x:v>
      </x:c>
      <x:c r="J186" s="6" t="str">
        <x:v>0</x:v>
      </x:c>
      <x:c r="K186" s="6" t="str">
        <x:v>0</x:v>
      </x:c>
      <x:c r="L186" s="6" t="str">
        <x:v>0</x:v>
      </x:c>
      <x:c r="M186" s="6" t="str">
        <x:v>0</x:v>
      </x:c>
      <x:c r="N186" s="6" t="str">
        <x:v>0</x:v>
      </x:c>
      <x:c r="O186" s="6" t="str">
        <x:v>0</x:v>
      </x:c>
      <x:c r="P186" s="6" t="str">
        <x:v>1</x:v>
      </x:c>
      <x:c r="Q186" s="6" t="str">
        <x:v>0.0</x:v>
      </x:c>
      <x:c r="R186" s="6" t="str">
        <x:v>1</x:v>
      </x:c>
      <x:c r="S186" s="6" t="str">
        <x:v>0.0</x:v>
      </x:c>
      <x:c r="T186" s="6" t="str">
        <x:v>1</x:v>
      </x:c>
      <x:c r="U186" s="6" t="str">
        <x:v>0.0</x:v>
      </x:c>
      <x:c r="V186" s="6" t="str">
        <x:v>1</x:v>
      </x:c>
      <x:c r="W186" s="6" t="str">
        <x:v>6.0</x:v>
      </x:c>
      <x:c r="X186" s="6" t="str">
        <x:v>1</x:v>
      </x:c>
      <x:c r="Y186" s="6" t="str"/>
      <x:c r="Z186" s="6" t="str">
        <x:v>0</x:v>
      </x:c>
      <x:c r="AA186" s="6" t="str">
        <x:v>0.0</x:v>
      </x:c>
      <x:c r="AB186" s="6" t="str">
        <x:v>1</x:v>
      </x:c>
      <x:c r="AC186" s="6" t="str">
        <x:v>2025-05</x:v>
      </x:c>
      <x:c r="AD186" s="9" t="str">
        <x:v>BNPB operational disaster search table</x:v>
      </x:c>
      <x:c r="AE186" s="9" t="str">
        <x:v>https://gis.bnpb.go.id/databencana/tabel/pencarian.php</x:v>
      </x:c>
      <x:c r="AF186" s="9" t="str">
        <x:v>operational_snapshot_annual_totals_may_differ</x:v>
      </x:c>
    </x:row>
    <x:row r="187" ht="18" customHeight="1">
      <x:c r="A187" s="6" t="str">
        <x:v>18</x:v>
      </x:c>
      <x:c r="B187" s="6" t="str">
        <x:v>LAMPUNG</x:v>
      </x:c>
      <x:c r="C187" s="6" t="str">
        <x:v>2025</x:v>
      </x:c>
      <x:c r="D187" s="6" t="str">
        <x:v>6</x:v>
      </x:c>
      <x:c r="E187" s="6" t="str">
        <x:v>5</x:v>
      </x:c>
      <x:c r="F187" s="6" t="str">
        <x:v>5</x:v>
      </x:c>
      <x:c r="G187" s="6" t="str">
        <x:v>2</x:v>
      </x:c>
      <x:c r="H187" s="6" t="str">
        <x:v>0</x:v>
      </x:c>
      <x:c r="I187" s="6" t="str">
        <x:v>3</x:v>
      </x:c>
      <x:c r="J187" s="6" t="str">
        <x:v>0</x:v>
      </x:c>
      <x:c r="K187" s="6" t="str">
        <x:v>0</x:v>
      </x:c>
      <x:c r="L187" s="6" t="str">
        <x:v>0</x:v>
      </x:c>
      <x:c r="M187" s="6" t="str">
        <x:v>0</x:v>
      </x:c>
      <x:c r="N187" s="6" t="str">
        <x:v>0</x:v>
      </x:c>
      <x:c r="O187" s="6" t="str">
        <x:v>0</x:v>
      </x:c>
      <x:c r="P187" s="6" t="str">
        <x:v>5</x:v>
      </x:c>
      <x:c r="Q187" s="6" t="str"/>
      <x:c r="R187" s="6" t="str">
        <x:v>0</x:v>
      </x:c>
      <x:c r="S187" s="6" t="str"/>
      <x:c r="T187" s="6" t="str">
        <x:v>0</x:v>
      </x:c>
      <x:c r="U187" s="6" t="str"/>
      <x:c r="V187" s="6" t="str">
        <x:v>0</x:v>
      </x:c>
      <x:c r="W187" s="6" t="str">
        <x:v>22.0</x:v>
      </x:c>
      <x:c r="X187" s="6" t="str">
        <x:v>5</x:v>
      </x:c>
      <x:c r="Y187" s="6" t="str">
        <x:v>6756.0</x:v>
      </x:c>
      <x:c r="Z187" s="6" t="str">
        <x:v>2</x:v>
      </x:c>
      <x:c r="AA187" s="6" t="str">
        <x:v>0.0</x:v>
      </x:c>
      <x:c r="AB187" s="6" t="str">
        <x:v>5</x:v>
      </x:c>
      <x:c r="AC187" s="6" t="str">
        <x:v>2025-06</x:v>
      </x:c>
      <x:c r="AD187" s="9" t="str">
        <x:v>BNPB operational disaster search table</x:v>
      </x:c>
      <x:c r="AE187" s="9" t="str">
        <x:v>https://gis.bnpb.go.id/databencana/tabel/pencarian.php</x:v>
      </x:c>
      <x:c r="AF187" s="9" t="str">
        <x:v>operational_snapshot_annual_totals_may_differ</x:v>
      </x:c>
    </x:row>
    <x:row r="188" ht="18" customHeight="1">
      <x:c r="A188" s="6" t="str">
        <x:v>18</x:v>
      </x:c>
      <x:c r="B188" s="6" t="str">
        <x:v>LAMPUNG</x:v>
      </x:c>
      <x:c r="C188" s="6" t="str">
        <x:v>2025</x:v>
      </x:c>
      <x:c r="D188" s="6" t="str">
        <x:v>7</x:v>
      </x:c>
      <x:c r="E188" s="6" t="str">
        <x:v>6</x:v>
      </x:c>
      <x:c r="F188" s="6" t="str">
        <x:v>6</x:v>
      </x:c>
      <x:c r="G188" s="6" t="str">
        <x:v>6</x:v>
      </x:c>
      <x:c r="H188" s="6" t="str">
        <x:v>0</x:v>
      </x:c>
      <x:c r="I188" s="6" t="str">
        <x:v>0</x:v>
      </x:c>
      <x:c r="J188" s="6" t="str">
        <x:v>0</x:v>
      </x:c>
      <x:c r="K188" s="6" t="str">
        <x:v>0</x:v>
      </x:c>
      <x:c r="L188" s="6" t="str">
        <x:v>0</x:v>
      </x:c>
      <x:c r="M188" s="6" t="str">
        <x:v>0</x:v>
      </x:c>
      <x:c r="N188" s="6" t="str">
        <x:v>0</x:v>
      </x:c>
      <x:c r="O188" s="6" t="str">
        <x:v>0</x:v>
      </x:c>
      <x:c r="P188" s="6" t="str">
        <x:v>6</x:v>
      </x:c>
      <x:c r="Q188" s="6" t="str"/>
      <x:c r="R188" s="6" t="str">
        <x:v>0</x:v>
      </x:c>
      <x:c r="S188" s="6" t="str"/>
      <x:c r="T188" s="6" t="str">
        <x:v>0</x:v>
      </x:c>
      <x:c r="U188" s="6" t="str"/>
      <x:c r="V188" s="6" t="str">
        <x:v>0</x:v>
      </x:c>
      <x:c r="W188" s="6" t="str">
        <x:v>6.0</x:v>
      </x:c>
      <x:c r="X188" s="6" t="str">
        <x:v>6</x:v>
      </x:c>
      <x:c r="Y188" s="6" t="str">
        <x:v>1793.0</x:v>
      </x:c>
      <x:c r="Z188" s="6" t="str">
        <x:v>6</x:v>
      </x:c>
      <x:c r="AA188" s="6" t="str">
        <x:v>6.0</x:v>
      </x:c>
      <x:c r="AB188" s="6" t="str">
        <x:v>6</x:v>
      </x:c>
      <x:c r="AC188" s="6" t="str">
        <x:v>2025-07</x:v>
      </x:c>
      <x:c r="AD188" s="9" t="str">
        <x:v>BNPB operational disaster search table</x:v>
      </x:c>
      <x:c r="AE188" s="9" t="str">
        <x:v>https://gis.bnpb.go.id/databencana/tabel/pencarian.php</x:v>
      </x:c>
      <x:c r="AF188" s="9" t="str">
        <x:v>operational_snapshot_annual_totals_may_differ</x:v>
      </x:c>
    </x:row>
    <x:row r="189" ht="18" customHeight="1">
      <x:c r="A189" s="6" t="str">
        <x:v>18</x:v>
      </x:c>
      <x:c r="B189" s="6" t="str">
        <x:v>LAMPUNG</x:v>
      </x:c>
      <x:c r="C189" s="6" t="str">
        <x:v>2025</x:v>
      </x:c>
      <x:c r="D189" s="6" t="str">
        <x:v>8</x:v>
      </x:c>
      <x:c r="E189" s="6" t="str">
        <x:v>4</x:v>
      </x:c>
      <x:c r="F189" s="6" t="str">
        <x:v>4</x:v>
      </x:c>
      <x:c r="G189" s="6" t="str">
        <x:v>3</x:v>
      </x:c>
      <x:c r="H189" s="6" t="str">
        <x:v>0</x:v>
      </x:c>
      <x:c r="I189" s="6" t="str">
        <x:v>1</x:v>
      </x:c>
      <x:c r="J189" s="6" t="str">
        <x:v>0</x:v>
      </x:c>
      <x:c r="K189" s="6" t="str">
        <x:v>0</x:v>
      </x:c>
      <x:c r="L189" s="6" t="str">
        <x:v>0</x:v>
      </x:c>
      <x:c r="M189" s="6" t="str">
        <x:v>0</x:v>
      </x:c>
      <x:c r="N189" s="6" t="str">
        <x:v>0</x:v>
      </x:c>
      <x:c r="O189" s="6" t="str">
        <x:v>0</x:v>
      </x:c>
      <x:c r="P189" s="6" t="str">
        <x:v>4</x:v>
      </x:c>
      <x:c r="Q189" s="6" t="str"/>
      <x:c r="R189" s="6" t="str">
        <x:v>0</x:v>
      </x:c>
      <x:c r="S189" s="6" t="str"/>
      <x:c r="T189" s="6" t="str">
        <x:v>0</x:v>
      </x:c>
      <x:c r="U189" s="6" t="str"/>
      <x:c r="V189" s="6" t="str">
        <x:v>0</x:v>
      </x:c>
      <x:c r="W189" s="6" t="str">
        <x:v>35.0</x:v>
      </x:c>
      <x:c r="X189" s="6" t="str">
        <x:v>4</x:v>
      </x:c>
      <x:c r="Y189" s="6" t="str">
        <x:v>1720.0</x:v>
      </x:c>
      <x:c r="Z189" s="6" t="str">
        <x:v>3</x:v>
      </x:c>
      <x:c r="AA189" s="6" t="str">
        <x:v>0.0</x:v>
      </x:c>
      <x:c r="AB189" s="6" t="str">
        <x:v>4</x:v>
      </x:c>
      <x:c r="AC189" s="6" t="str">
        <x:v>2025-08</x:v>
      </x:c>
      <x:c r="AD189" s="9" t="str">
        <x:v>BNPB operational disaster search table</x:v>
      </x:c>
      <x:c r="AE189" s="9" t="str">
        <x:v>https://gis.bnpb.go.id/databencana/tabel/pencarian.php</x:v>
      </x:c>
      <x:c r="AF189" s="9" t="str">
        <x:v>operational_snapshot_annual_totals_may_differ</x:v>
      </x:c>
    </x:row>
    <x:row r="190" ht="18" customHeight="1">
      <x:c r="A190" s="6" t="str">
        <x:v>18</x:v>
      </x:c>
      <x:c r="B190" s="6" t="str">
        <x:v>LAMPUNG</x:v>
      </x:c>
      <x:c r="C190" s="6" t="str">
        <x:v>2025</x:v>
      </x:c>
      <x:c r="D190" s="6" t="str">
        <x:v>9</x:v>
      </x:c>
      <x:c r="E190" s="6" t="str">
        <x:v>5</x:v>
      </x:c>
      <x:c r="F190" s="6" t="str">
        <x:v>5</x:v>
      </x:c>
      <x:c r="G190" s="6" t="str">
        <x:v>3</x:v>
      </x:c>
      <x:c r="H190" s="6" t="str">
        <x:v>0</x:v>
      </x:c>
      <x:c r="I190" s="6" t="str">
        <x:v>1</x:v>
      </x:c>
      <x:c r="J190" s="6" t="str">
        <x:v>0</x:v>
      </x:c>
      <x:c r="K190" s="6" t="str">
        <x:v>0</x:v>
      </x:c>
      <x:c r="L190" s="6" t="str">
        <x:v>0</x:v>
      </x:c>
      <x:c r="M190" s="6" t="str">
        <x:v>1</x:v>
      </x:c>
      <x:c r="N190" s="6" t="str">
        <x:v>0</x:v>
      </x:c>
      <x:c r="O190" s="6" t="str">
        <x:v>0</x:v>
      </x:c>
      <x:c r="P190" s="6" t="str">
        <x:v>4</x:v>
      </x:c>
      <x:c r="Q190" s="6" t="str"/>
      <x:c r="R190" s="6" t="str">
        <x:v>0</x:v>
      </x:c>
      <x:c r="S190" s="6" t="str"/>
      <x:c r="T190" s="6" t="str">
        <x:v>0</x:v>
      </x:c>
      <x:c r="U190" s="6" t="str"/>
      <x:c r="V190" s="6" t="str">
        <x:v>0</x:v>
      </x:c>
      <x:c r="W190" s="6" t="str">
        <x:v>49.0</x:v>
      </x:c>
      <x:c r="X190" s="6" t="str">
        <x:v>5</x:v>
      </x:c>
      <x:c r="Y190" s="6" t="str">
        <x:v>354.0</x:v>
      </x:c>
      <x:c r="Z190" s="6" t="str">
        <x:v>3</x:v>
      </x:c>
      <x:c r="AA190" s="6" t="str">
        <x:v>0.0</x:v>
      </x:c>
      <x:c r="AB190" s="6" t="str">
        <x:v>5</x:v>
      </x:c>
      <x:c r="AC190" s="6" t="str">
        <x:v>2025-09</x:v>
      </x:c>
      <x:c r="AD190" s="9" t="str">
        <x:v>BNPB operational disaster search table</x:v>
      </x:c>
      <x:c r="AE190" s="9" t="str">
        <x:v>https://gis.bnpb.go.id/databencana/tabel/pencarian.php</x:v>
      </x:c>
      <x:c r="AF190" s="9" t="str">
        <x:v>operational_snapshot_annual_totals_may_differ</x:v>
      </x:c>
    </x:row>
    <x:row r="191" ht="18" customHeight="1">
      <x:c r="A191" s="6" t="str">
        <x:v>18</x:v>
      </x:c>
      <x:c r="B191" s="6" t="str">
        <x:v>LAMPUNG</x:v>
      </x:c>
      <x:c r="C191" s="6" t="str">
        <x:v>2025</x:v>
      </x:c>
      <x:c r="D191" s="6" t="str">
        <x:v>10</x:v>
      </x:c>
      <x:c r="E191" s="6" t="str">
        <x:v>6</x:v>
      </x:c>
      <x:c r="F191" s="6" t="str">
        <x:v>6</x:v>
      </x:c>
      <x:c r="G191" s="6" t="str">
        <x:v>4</x:v>
      </x:c>
      <x:c r="H191" s="6" t="str">
        <x:v>0</x:v>
      </x:c>
      <x:c r="I191" s="6" t="str">
        <x:v>2</x:v>
      </x:c>
      <x:c r="J191" s="6" t="str">
        <x:v>0</x:v>
      </x:c>
      <x:c r="K191" s="6" t="str">
        <x:v>0</x:v>
      </x:c>
      <x:c r="L191" s="6" t="str">
        <x:v>0</x:v>
      </x:c>
      <x:c r="M191" s="6" t="str">
        <x:v>0</x:v>
      </x:c>
      <x:c r="N191" s="6" t="str">
        <x:v>0</x:v>
      </x:c>
      <x:c r="O191" s="6" t="str">
        <x:v>0</x:v>
      </x:c>
      <x:c r="P191" s="6" t="str">
        <x:v>6</x:v>
      </x:c>
      <x:c r="Q191" s="6" t="str"/>
      <x:c r="R191" s="6" t="str">
        <x:v>0</x:v>
      </x:c>
      <x:c r="S191" s="6" t="str"/>
      <x:c r="T191" s="6" t="str">
        <x:v>0</x:v>
      </x:c>
      <x:c r="U191" s="6" t="str"/>
      <x:c r="V191" s="6" t="str">
        <x:v>0</x:v>
      </x:c>
      <x:c r="W191" s="6" t="str">
        <x:v>95.0</x:v>
      </x:c>
      <x:c r="X191" s="6" t="str">
        <x:v>6</x:v>
      </x:c>
      <x:c r="Y191" s="6" t="str">
        <x:v>423.0</x:v>
      </x:c>
      <x:c r="Z191" s="6" t="str">
        <x:v>4</x:v>
      </x:c>
      <x:c r="AA191" s="6" t="str">
        <x:v>4.0</x:v>
      </x:c>
      <x:c r="AB191" s="6" t="str">
        <x:v>6</x:v>
      </x:c>
      <x:c r="AC191" s="6" t="str">
        <x:v>2025-10</x:v>
      </x:c>
      <x:c r="AD191" s="9" t="str">
        <x:v>BNPB operational disaster search table</x:v>
      </x:c>
      <x:c r="AE191" s="9" t="str">
        <x:v>https://gis.bnpb.go.id/databencana/tabel/pencarian.php</x:v>
      </x:c>
      <x:c r="AF191" s="9" t="str">
        <x:v>operational_snapshot_annual_totals_may_differ</x:v>
      </x:c>
    </x:row>
    <x:row r="192" ht="18" customHeight="1">
      <x:c r="A192" s="6" t="str">
        <x:v>18</x:v>
      </x:c>
      <x:c r="B192" s="6" t="str">
        <x:v>LAMPUNG</x:v>
      </x:c>
      <x:c r="C192" s="6" t="str">
        <x:v>2025</x:v>
      </x:c>
      <x:c r="D192" s="6" t="str">
        <x:v>11</x:v>
      </x:c>
      <x:c r="E192" s="6" t="str">
        <x:v>8</x:v>
      </x:c>
      <x:c r="F192" s="6" t="str">
        <x:v>8</x:v>
      </x:c>
      <x:c r="G192" s="6" t="str">
        <x:v>3</x:v>
      </x:c>
      <x:c r="H192" s="6" t="str">
        <x:v>0</x:v>
      </x:c>
      <x:c r="I192" s="6" t="str">
        <x:v>5</x:v>
      </x:c>
      <x:c r="J192" s="6" t="str">
        <x:v>0</x:v>
      </x:c>
      <x:c r="K192" s="6" t="str">
        <x:v>0</x:v>
      </x:c>
      <x:c r="L192" s="6" t="str">
        <x:v>0</x:v>
      </x:c>
      <x:c r="M192" s="6" t="str">
        <x:v>0</x:v>
      </x:c>
      <x:c r="N192" s="6" t="str">
        <x:v>0</x:v>
      </x:c>
      <x:c r="O192" s="6" t="str">
        <x:v>0</x:v>
      </x:c>
      <x:c r="P192" s="6" t="str">
        <x:v>8</x:v>
      </x:c>
      <x:c r="Q192" s="6" t="str"/>
      <x:c r="R192" s="6" t="str">
        <x:v>0</x:v>
      </x:c>
      <x:c r="S192" s="6" t="str"/>
      <x:c r="T192" s="6" t="str">
        <x:v>0</x:v>
      </x:c>
      <x:c r="U192" s="6" t="str"/>
      <x:c r="V192" s="6" t="str">
        <x:v>0</x:v>
      </x:c>
      <x:c r="W192" s="6" t="str">
        <x:v>252.0</x:v>
      </x:c>
      <x:c r="X192" s="6" t="str">
        <x:v>8</x:v>
      </x:c>
      <x:c r="Y192" s="6" t="str">
        <x:v>628.0</x:v>
      </x:c>
      <x:c r="Z192" s="6" t="str">
        <x:v>3</x:v>
      </x:c>
      <x:c r="AA192" s="6" t="str">
        <x:v>6.0</x:v>
      </x:c>
      <x:c r="AB192" s="6" t="str">
        <x:v>8</x:v>
      </x:c>
      <x:c r="AC192" s="6" t="str">
        <x:v>2025-11</x:v>
      </x:c>
      <x:c r="AD192" s="9" t="str">
        <x:v>BNPB operational disaster search table</x:v>
      </x:c>
      <x:c r="AE192" s="9" t="str">
        <x:v>https://gis.bnpb.go.id/databencana/tabel/pencarian.php</x:v>
      </x:c>
      <x:c r="AF192" s="9" t="str">
        <x:v>operational_snapshot_annual_totals_may_differ</x:v>
      </x:c>
    </x:row>
    <x:row r="193" ht="18" customHeight="1">
      <x:c r="A193" s="6" t="str">
        <x:v>18</x:v>
      </x:c>
      <x:c r="B193" s="6" t="str">
        <x:v>LAMPUNG</x:v>
      </x:c>
      <x:c r="C193" s="6" t="str">
        <x:v>2025</x:v>
      </x:c>
      <x:c r="D193" s="6" t="str">
        <x:v>12</x:v>
      </x:c>
      <x:c r="E193" s="6" t="str">
        <x:v>16</x:v>
      </x:c>
      <x:c r="F193" s="6" t="str">
        <x:v>16</x:v>
      </x:c>
      <x:c r="G193" s="6" t="str">
        <x:v>8</x:v>
      </x:c>
      <x:c r="H193" s="6" t="str">
        <x:v>0</x:v>
      </x:c>
      <x:c r="I193" s="6" t="str">
        <x:v>8</x:v>
      </x:c>
      <x:c r="J193" s="6" t="str">
        <x:v>0</x:v>
      </x:c>
      <x:c r="K193" s="6" t="str">
        <x:v>0</x:v>
      </x:c>
      <x:c r="L193" s="6" t="str">
        <x:v>0</x:v>
      </x:c>
      <x:c r="M193" s="6" t="str">
        <x:v>0</x:v>
      </x:c>
      <x:c r="N193" s="6" t="str">
        <x:v>0</x:v>
      </x:c>
      <x:c r="O193" s="6" t="str">
        <x:v>0</x:v>
      </x:c>
      <x:c r="P193" s="6" t="str">
        <x:v>16</x:v>
      </x:c>
      <x:c r="Q193" s="6" t="str"/>
      <x:c r="R193" s="6" t="str">
        <x:v>0</x:v>
      </x:c>
      <x:c r="S193" s="6" t="str"/>
      <x:c r="T193" s="6" t="str">
        <x:v>0</x:v>
      </x:c>
      <x:c r="U193" s="6" t="str"/>
      <x:c r="V193" s="6" t="str">
        <x:v>0</x:v>
      </x:c>
      <x:c r="W193" s="6" t="str">
        <x:v>293.0</x:v>
      </x:c>
      <x:c r="X193" s="6" t="str">
        <x:v>16</x:v>
      </x:c>
      <x:c r="Y193" s="6" t="str">
        <x:v>203.0</x:v>
      </x:c>
      <x:c r="Z193" s="6" t="str">
        <x:v>7</x:v>
      </x:c>
      <x:c r="AA193" s="6" t="str">
        <x:v>1.0</x:v>
      </x:c>
      <x:c r="AB193" s="6" t="str">
        <x:v>16</x:v>
      </x:c>
      <x:c r="AC193" s="6" t="str">
        <x:v>2025-12</x:v>
      </x:c>
      <x:c r="AD193" s="9" t="str">
        <x:v>BNPB operational disaster search table</x:v>
      </x:c>
      <x:c r="AE193" s="9" t="str">
        <x:v>https://gis.bnpb.go.id/databencana/tabel/pencarian.php</x:v>
      </x:c>
      <x:c r="AF193" s="9" t="str">
        <x:v>operational_snapshot_annual_totals_may_differ</x:v>
      </x:c>
    </x:row>
    <x:row r="194" ht="18" customHeight="1">
      <x:c r="A194" s="6" t="str">
        <x:v>19</x:v>
      </x:c>
      <x:c r="B194" s="6" t="str">
        <x:v>KEP. BANGKA BELITUNG</x:v>
      </x:c>
      <x:c r="C194" s="6" t="str">
        <x:v>2024</x:v>
      </x:c>
      <x:c r="D194" s="6" t="str">
        <x:v>1</x:v>
      </x:c>
      <x:c r="E194" s="6" t="str">
        <x:v>1</x:v>
      </x:c>
      <x:c r="F194" s="6" t="str">
        <x:v>1</x:v>
      </x:c>
      <x:c r="G194" s="6" t="str">
        <x:v>1</x:v>
      </x:c>
      <x:c r="H194" s="6" t="str">
        <x:v>0</x:v>
      </x:c>
      <x:c r="I194" s="6" t="str">
        <x:v>0</x:v>
      </x:c>
      <x:c r="J194" s="6" t="str">
        <x:v>0</x:v>
      </x:c>
      <x:c r="K194" s="6" t="str">
        <x:v>0</x:v>
      </x:c>
      <x:c r="L194" s="6" t="str">
        <x:v>0</x:v>
      </x:c>
      <x:c r="M194" s="6" t="str">
        <x:v>0</x:v>
      </x:c>
      <x:c r="N194" s="6" t="str">
        <x:v>0</x:v>
      </x:c>
      <x:c r="O194" s="6" t="str">
        <x:v>0</x:v>
      </x:c>
      <x:c r="P194" s="6" t="str">
        <x:v>1</x:v>
      </x:c>
      <x:c r="Q194" s="6" t="str">
        <x:v>0.0</x:v>
      </x:c>
      <x:c r="R194" s="6" t="str">
        <x:v>1</x:v>
      </x:c>
      <x:c r="S194" s="6" t="str">
        <x:v>0.0</x:v>
      </x:c>
      <x:c r="T194" s="6" t="str">
        <x:v>1</x:v>
      </x:c>
      <x:c r="U194" s="6" t="str">
        <x:v>0.0</x:v>
      </x:c>
      <x:c r="V194" s="6" t="str">
        <x:v>1</x:v>
      </x:c>
      <x:c r="W194" s="6" t="str">
        <x:v>0.0</x:v>
      </x:c>
      <x:c r="X194" s="6" t="str">
        <x:v>1</x:v>
      </x:c>
      <x:c r="Y194" s="6" t="str">
        <x:v>458.0</x:v>
      </x:c>
      <x:c r="Z194" s="6" t="str">
        <x:v>1</x:v>
      </x:c>
      <x:c r="AA194" s="6" t="str">
        <x:v>0.0</x:v>
      </x:c>
      <x:c r="AB194" s="6" t="str">
        <x:v>1</x:v>
      </x:c>
      <x:c r="AC194" s="6" t="str">
        <x:v>2024-01</x:v>
      </x:c>
      <x:c r="AD194" s="9" t="str">
        <x:v>BNPB operational disaster search table</x:v>
      </x:c>
      <x:c r="AE194" s="9" t="str">
        <x:v>https://gis.bnpb.go.id/databencana/tabel/pencarian.php</x:v>
      </x:c>
      <x:c r="AF194" s="9" t="str">
        <x:v>operational_snapshot_annual_totals_may_differ</x:v>
      </x:c>
    </x:row>
    <x:row r="195" ht="18" customHeight="1">
      <x:c r="A195" s="6" t="str">
        <x:v>19</x:v>
      </x:c>
      <x:c r="B195" s="6" t="str">
        <x:v>KEP. BANGKA BELITUNG</x:v>
      </x:c>
      <x:c r="C195" s="6" t="str">
        <x:v>2024</x:v>
      </x:c>
      <x:c r="D195" s="6" t="str">
        <x:v>2</x:v>
      </x:c>
      <x:c r="E195" s="6" t="str">
        <x:v>0</x:v>
      </x:c>
      <x:c r="F195" s="6" t="str">
        <x:v>0</x:v>
      </x:c>
      <x:c r="G195" s="6" t="str">
        <x:v>0</x:v>
      </x:c>
      <x:c r="H195" s="6" t="str">
        <x:v>0</x:v>
      </x:c>
      <x:c r="I195" s="6" t="str">
        <x:v>0</x:v>
      </x:c>
      <x:c r="J195" s="6" t="str">
        <x:v>0</x:v>
      </x:c>
      <x:c r="K195" s="6" t="str">
        <x:v>0</x:v>
      </x:c>
      <x:c r="L195" s="6" t="str">
        <x:v>0</x:v>
      </x:c>
      <x:c r="M195" s="6" t="str">
        <x:v>0</x:v>
      </x:c>
      <x:c r="N195" s="6" t="str">
        <x:v>0</x:v>
      </x:c>
      <x:c r="O195" s="6" t="str">
        <x:v>0</x:v>
      </x:c>
      <x:c r="P195" s="6" t="str">
        <x:v>0</x:v>
      </x:c>
      <x:c r="Q195" s="6" t="str"/>
      <x:c r="R195" s="6" t="str">
        <x:v>0</x:v>
      </x:c>
      <x:c r="S195" s="6" t="str"/>
      <x:c r="T195" s="6" t="str">
        <x:v>0</x:v>
      </x:c>
      <x:c r="U195" s="6" t="str"/>
      <x:c r="V195" s="6" t="str">
        <x:v>0</x:v>
      </x:c>
      <x:c r="W195" s="6" t="str"/>
      <x:c r="X195" s="6" t="str">
        <x:v>0</x:v>
      </x:c>
      <x:c r="Y195" s="6" t="str"/>
      <x:c r="Z195" s="6" t="str">
        <x:v>0</x:v>
      </x:c>
      <x:c r="AA195" s="6" t="str"/>
      <x:c r="AB195" s="6" t="str">
        <x:v>0</x:v>
      </x:c>
      <x:c r="AC195" s="6" t="str">
        <x:v>2024-02</x:v>
      </x:c>
      <x:c r="AD195" s="9" t="str">
        <x:v>BNPB operational disaster search table</x:v>
      </x:c>
      <x:c r="AE195" s="9" t="str">
        <x:v>https://gis.bnpb.go.id/databencana/tabel/pencarian.php</x:v>
      </x:c>
      <x:c r="AF195" s="9" t="str">
        <x:v>operational_snapshot_annual_totals_may_differ</x:v>
      </x:c>
    </x:row>
    <x:row r="196" ht="18" customHeight="1">
      <x:c r="A196" s="6" t="str">
        <x:v>19</x:v>
      </x:c>
      <x:c r="B196" s="6" t="str">
        <x:v>KEP. BANGKA BELITUNG</x:v>
      </x:c>
      <x:c r="C196" s="6" t="str">
        <x:v>2024</x:v>
      </x:c>
      <x:c r="D196" s="6" t="str">
        <x:v>3</x:v>
      </x:c>
      <x:c r="E196" s="6" t="str">
        <x:v>0</x:v>
      </x:c>
      <x:c r="F196" s="6" t="str">
        <x:v>0</x:v>
      </x:c>
      <x:c r="G196" s="6" t="str">
        <x:v>0</x:v>
      </x:c>
      <x:c r="H196" s="6" t="str">
        <x:v>0</x:v>
      </x:c>
      <x:c r="I196" s="6" t="str">
        <x:v>0</x:v>
      </x:c>
      <x:c r="J196" s="6" t="str">
        <x:v>0</x:v>
      </x:c>
      <x:c r="K196" s="6" t="str">
        <x:v>0</x:v>
      </x:c>
      <x:c r="L196" s="6" t="str">
        <x:v>0</x:v>
      </x:c>
      <x:c r="M196" s="6" t="str">
        <x:v>0</x:v>
      </x:c>
      <x:c r="N196" s="6" t="str">
        <x:v>0</x:v>
      </x:c>
      <x:c r="O196" s="6" t="str">
        <x:v>0</x:v>
      </x:c>
      <x:c r="P196" s="6" t="str">
        <x:v>0</x:v>
      </x:c>
      <x:c r="Q196" s="6" t="str"/>
      <x:c r="R196" s="6" t="str">
        <x:v>0</x:v>
      </x:c>
      <x:c r="S196" s="6" t="str"/>
      <x:c r="T196" s="6" t="str">
        <x:v>0</x:v>
      </x:c>
      <x:c r="U196" s="6" t="str"/>
      <x:c r="V196" s="6" t="str">
        <x:v>0</x:v>
      </x:c>
      <x:c r="W196" s="6" t="str"/>
      <x:c r="X196" s="6" t="str">
        <x:v>0</x:v>
      </x:c>
      <x:c r="Y196" s="6" t="str"/>
      <x:c r="Z196" s="6" t="str">
        <x:v>0</x:v>
      </x:c>
      <x:c r="AA196" s="6" t="str"/>
      <x:c r="AB196" s="6" t="str">
        <x:v>0</x:v>
      </x:c>
      <x:c r="AC196" s="6" t="str">
        <x:v>2024-03</x:v>
      </x:c>
      <x:c r="AD196" s="9" t="str">
        <x:v>BNPB operational disaster search table</x:v>
      </x:c>
      <x:c r="AE196" s="9" t="str">
        <x:v>https://gis.bnpb.go.id/databencana/tabel/pencarian.php</x:v>
      </x:c>
      <x:c r="AF196" s="9" t="str">
        <x:v>operational_snapshot_annual_totals_may_differ</x:v>
      </x:c>
    </x:row>
    <x:row r="197" ht="18" customHeight="1">
      <x:c r="A197" s="6" t="str">
        <x:v>19</x:v>
      </x:c>
      <x:c r="B197" s="6" t="str">
        <x:v>KEP. BANGKA BELITUNG</x:v>
      </x:c>
      <x:c r="C197" s="6" t="str">
        <x:v>2024</x:v>
      </x:c>
      <x:c r="D197" s="6" t="str">
        <x:v>4</x:v>
      </x:c>
      <x:c r="E197" s="6" t="str">
        <x:v>0</x:v>
      </x:c>
      <x:c r="F197" s="6" t="str">
        <x:v>0</x:v>
      </x:c>
      <x:c r="G197" s="6" t="str">
        <x:v>0</x:v>
      </x:c>
      <x:c r="H197" s="6" t="str">
        <x:v>0</x:v>
      </x:c>
      <x:c r="I197" s="6" t="str">
        <x:v>0</x:v>
      </x:c>
      <x:c r="J197" s="6" t="str">
        <x:v>0</x:v>
      </x:c>
      <x:c r="K197" s="6" t="str">
        <x:v>0</x:v>
      </x:c>
      <x:c r="L197" s="6" t="str">
        <x:v>0</x:v>
      </x:c>
      <x:c r="M197" s="6" t="str">
        <x:v>0</x:v>
      </x:c>
      <x:c r="N197" s="6" t="str">
        <x:v>0</x:v>
      </x:c>
      <x:c r="O197" s="6" t="str">
        <x:v>0</x:v>
      </x:c>
      <x:c r="P197" s="6" t="str">
        <x:v>0</x:v>
      </x:c>
      <x:c r="Q197" s="6" t="str"/>
      <x:c r="R197" s="6" t="str">
        <x:v>0</x:v>
      </x:c>
      <x:c r="S197" s="6" t="str"/>
      <x:c r="T197" s="6" t="str">
        <x:v>0</x:v>
      </x:c>
      <x:c r="U197" s="6" t="str"/>
      <x:c r="V197" s="6" t="str">
        <x:v>0</x:v>
      </x:c>
      <x:c r="W197" s="6" t="str"/>
      <x:c r="X197" s="6" t="str">
        <x:v>0</x:v>
      </x:c>
      <x:c r="Y197" s="6" t="str"/>
      <x:c r="Z197" s="6" t="str">
        <x:v>0</x:v>
      </x:c>
      <x:c r="AA197" s="6" t="str"/>
      <x:c r="AB197" s="6" t="str">
        <x:v>0</x:v>
      </x:c>
      <x:c r="AC197" s="6" t="str">
        <x:v>2024-04</x:v>
      </x:c>
      <x:c r="AD197" s="9" t="str">
        <x:v>BNPB operational disaster search table</x:v>
      </x:c>
      <x:c r="AE197" s="9" t="str">
        <x:v>https://gis.bnpb.go.id/databencana/tabel/pencarian.php</x:v>
      </x:c>
      <x:c r="AF197" s="9" t="str">
        <x:v>operational_snapshot_annual_totals_may_differ</x:v>
      </x:c>
    </x:row>
    <x:row r="198" ht="18" customHeight="1">
      <x:c r="A198" s="6" t="str">
        <x:v>19</x:v>
      </x:c>
      <x:c r="B198" s="6" t="str">
        <x:v>KEP. BANGKA BELITUNG</x:v>
      </x:c>
      <x:c r="C198" s="6" t="str">
        <x:v>2024</x:v>
      </x:c>
      <x:c r="D198" s="6" t="str">
        <x:v>5</x:v>
      </x:c>
      <x:c r="E198" s="6" t="str">
        <x:v>2</x:v>
      </x:c>
      <x:c r="F198" s="6" t="str">
        <x:v>2</x:v>
      </x:c>
      <x:c r="G198" s="6" t="str">
        <x:v>1</x:v>
      </x:c>
      <x:c r="H198" s="6" t="str">
        <x:v>0</x:v>
      </x:c>
      <x:c r="I198" s="6" t="str">
        <x:v>1</x:v>
      </x:c>
      <x:c r="J198" s="6" t="str">
        <x:v>0</x:v>
      </x:c>
      <x:c r="K198" s="6" t="str">
        <x:v>0</x:v>
      </x:c>
      <x:c r="L198" s="6" t="str">
        <x:v>0</x:v>
      </x:c>
      <x:c r="M198" s="6" t="str">
        <x:v>0</x:v>
      </x:c>
      <x:c r="N198" s="6" t="str">
        <x:v>0</x:v>
      </x:c>
      <x:c r="O198" s="6" t="str">
        <x:v>0</x:v>
      </x:c>
      <x:c r="P198" s="6" t="str">
        <x:v>2</x:v>
      </x:c>
      <x:c r="Q198" s="6" t="str">
        <x:v>0.0</x:v>
      </x:c>
      <x:c r="R198" s="6" t="str">
        <x:v>2</x:v>
      </x:c>
      <x:c r="S198" s="6" t="str">
        <x:v>0.0</x:v>
      </x:c>
      <x:c r="T198" s="6" t="str">
        <x:v>2</x:v>
      </x:c>
      <x:c r="U198" s="6" t="str">
        <x:v>0.0</x:v>
      </x:c>
      <x:c r="V198" s="6" t="str">
        <x:v>2</x:v>
      </x:c>
      <x:c r="W198" s="6" t="str">
        <x:v>0.0</x:v>
      </x:c>
      <x:c r="X198" s="6" t="str">
        <x:v>2</x:v>
      </x:c>
      <x:c r="Y198" s="6" t="str">
        <x:v>105.0</x:v>
      </x:c>
      <x:c r="Z198" s="6" t="str">
        <x:v>1</x:v>
      </x:c>
      <x:c r="AA198" s="6" t="str">
        <x:v>0.0</x:v>
      </x:c>
      <x:c r="AB198" s="6" t="str">
        <x:v>2</x:v>
      </x:c>
      <x:c r="AC198" s="6" t="str">
        <x:v>2024-05</x:v>
      </x:c>
      <x:c r="AD198" s="9" t="str">
        <x:v>BNPB operational disaster search table</x:v>
      </x:c>
      <x:c r="AE198" s="9" t="str">
        <x:v>https://gis.bnpb.go.id/databencana/tabel/pencarian.php</x:v>
      </x:c>
      <x:c r="AF198" s="9" t="str">
        <x:v>operational_snapshot_annual_totals_may_differ</x:v>
      </x:c>
    </x:row>
    <x:row r="199" ht="18" customHeight="1">
      <x:c r="A199" s="6" t="str">
        <x:v>19</x:v>
      </x:c>
      <x:c r="B199" s="6" t="str">
        <x:v>KEP. BANGKA BELITUNG</x:v>
      </x:c>
      <x:c r="C199" s="6" t="str">
        <x:v>2024</x:v>
      </x:c>
      <x:c r="D199" s="6" t="str">
        <x:v>6</x:v>
      </x:c>
      <x:c r="E199" s="6" t="str">
        <x:v>0</x:v>
      </x:c>
      <x:c r="F199" s="6" t="str">
        <x:v>0</x:v>
      </x:c>
      <x:c r="G199" s="6" t="str">
        <x:v>0</x:v>
      </x:c>
      <x:c r="H199" s="6" t="str">
        <x:v>0</x:v>
      </x:c>
      <x:c r="I199" s="6" t="str">
        <x:v>0</x:v>
      </x:c>
      <x:c r="J199" s="6" t="str">
        <x:v>0</x:v>
      </x:c>
      <x:c r="K199" s="6" t="str">
        <x:v>0</x:v>
      </x:c>
      <x:c r="L199" s="6" t="str">
        <x:v>0</x:v>
      </x:c>
      <x:c r="M199" s="6" t="str">
        <x:v>0</x:v>
      </x:c>
      <x:c r="N199" s="6" t="str">
        <x:v>0</x:v>
      </x:c>
      <x:c r="O199" s="6" t="str">
        <x:v>0</x:v>
      </x:c>
      <x:c r="P199" s="6" t="str">
        <x:v>0</x:v>
      </x:c>
      <x:c r="Q199" s="6" t="str"/>
      <x:c r="R199" s="6" t="str">
        <x:v>0</x:v>
      </x:c>
      <x:c r="S199" s="6" t="str"/>
      <x:c r="T199" s="6" t="str">
        <x:v>0</x:v>
      </x:c>
      <x:c r="U199" s="6" t="str"/>
      <x:c r="V199" s="6" t="str">
        <x:v>0</x:v>
      </x:c>
      <x:c r="W199" s="6" t="str"/>
      <x:c r="X199" s="6" t="str">
        <x:v>0</x:v>
      </x:c>
      <x:c r="Y199" s="6" t="str"/>
      <x:c r="Z199" s="6" t="str">
        <x:v>0</x:v>
      </x:c>
      <x:c r="AA199" s="6" t="str"/>
      <x:c r="AB199" s="6" t="str">
        <x:v>0</x:v>
      </x:c>
      <x:c r="AC199" s="6" t="str">
        <x:v>2024-06</x:v>
      </x:c>
      <x:c r="AD199" s="9" t="str">
        <x:v>BNPB operational disaster search table</x:v>
      </x:c>
      <x:c r="AE199" s="9" t="str">
        <x:v>https://gis.bnpb.go.id/databencana/tabel/pencarian.php</x:v>
      </x:c>
      <x:c r="AF199" s="9" t="str">
        <x:v>operational_snapshot_annual_totals_may_differ</x:v>
      </x:c>
    </x:row>
    <x:row r="200" ht="18" customHeight="1">
      <x:c r="A200" s="6" t="str">
        <x:v>19</x:v>
      </x:c>
      <x:c r="B200" s="6" t="str">
        <x:v>KEP. BANGKA BELITUNG</x:v>
      </x:c>
      <x:c r="C200" s="6" t="str">
        <x:v>2024</x:v>
      </x:c>
      <x:c r="D200" s="6" t="str">
        <x:v>7</x:v>
      </x:c>
      <x:c r="E200" s="6" t="str">
        <x:v>1</x:v>
      </x:c>
      <x:c r="F200" s="6" t="str">
        <x:v>1</x:v>
      </x:c>
      <x:c r="G200" s="6" t="str">
        <x:v>0</x:v>
      </x:c>
      <x:c r="H200" s="6" t="str">
        <x:v>0</x:v>
      </x:c>
      <x:c r="I200" s="6" t="str">
        <x:v>0</x:v>
      </x:c>
      <x:c r="J200" s="6" t="str">
        <x:v>0</x:v>
      </x:c>
      <x:c r="K200" s="6" t="str">
        <x:v>1</x:v>
      </x:c>
      <x:c r="L200" s="6" t="str">
        <x:v>0</x:v>
      </x:c>
      <x:c r="M200" s="6" t="str">
        <x:v>0</x:v>
      </x:c>
      <x:c r="N200" s="6" t="str">
        <x:v>0</x:v>
      </x:c>
      <x:c r="O200" s="6" t="str">
        <x:v>0</x:v>
      </x:c>
      <x:c r="P200" s="6" t="str">
        <x:v>1</x:v>
      </x:c>
      <x:c r="Q200" s="6" t="str">
        <x:v>0.0</x:v>
      </x:c>
      <x:c r="R200" s="6" t="str">
        <x:v>1</x:v>
      </x:c>
      <x:c r="S200" s="6" t="str">
        <x:v>0.0</x:v>
      </x:c>
      <x:c r="T200" s="6" t="str">
        <x:v>1</x:v>
      </x:c>
      <x:c r="U200" s="6" t="str">
        <x:v>0.0</x:v>
      </x:c>
      <x:c r="V200" s="6" t="str">
        <x:v>1</x:v>
      </x:c>
      <x:c r="W200" s="6" t="str">
        <x:v>0.0</x:v>
      </x:c>
      <x:c r="X200" s="6" t="str">
        <x:v>1</x:v>
      </x:c>
      <x:c r="Y200" s="6" t="str"/>
      <x:c r="Z200" s="6" t="str">
        <x:v>0</x:v>
      </x:c>
      <x:c r="AA200" s="6" t="str">
        <x:v>0.0</x:v>
      </x:c>
      <x:c r="AB200" s="6" t="str">
        <x:v>1</x:v>
      </x:c>
      <x:c r="AC200" s="6" t="str">
        <x:v>2024-07</x:v>
      </x:c>
      <x:c r="AD200" s="9" t="str">
        <x:v>BNPB operational disaster search table</x:v>
      </x:c>
      <x:c r="AE200" s="9" t="str">
        <x:v>https://gis.bnpb.go.id/databencana/tabel/pencarian.php</x:v>
      </x:c>
      <x:c r="AF200" s="9" t="str">
        <x:v>operational_snapshot_annual_totals_may_differ</x:v>
      </x:c>
    </x:row>
    <x:row r="201" ht="18" customHeight="1">
      <x:c r="A201" s="6" t="str">
        <x:v>19</x:v>
      </x:c>
      <x:c r="B201" s="6" t="str">
        <x:v>KEP. BANGKA BELITUNG</x:v>
      </x:c>
      <x:c r="C201" s="6" t="str">
        <x:v>2024</x:v>
      </x:c>
      <x:c r="D201" s="6" t="str">
        <x:v>8</x:v>
      </x:c>
      <x:c r="E201" s="6" t="str">
        <x:v>7</x:v>
      </x:c>
      <x:c r="F201" s="6" t="str">
        <x:v>7</x:v>
      </x:c>
      <x:c r="G201" s="6" t="str">
        <x:v>0</x:v>
      </x:c>
      <x:c r="H201" s="6" t="str">
        <x:v>0</x:v>
      </x:c>
      <x:c r="I201" s="6" t="str">
        <x:v>0</x:v>
      </x:c>
      <x:c r="J201" s="6" t="str">
        <x:v>0</x:v>
      </x:c>
      <x:c r="K201" s="6" t="str">
        <x:v>7</x:v>
      </x:c>
      <x:c r="L201" s="6" t="str">
        <x:v>0</x:v>
      </x:c>
      <x:c r="M201" s="6" t="str">
        <x:v>0</x:v>
      </x:c>
      <x:c r="N201" s="6" t="str">
        <x:v>0</x:v>
      </x:c>
      <x:c r="O201" s="6" t="str">
        <x:v>0</x:v>
      </x:c>
      <x:c r="P201" s="6" t="str">
        <x:v>7</x:v>
      </x:c>
      <x:c r="Q201" s="6" t="str">
        <x:v>0.0</x:v>
      </x:c>
      <x:c r="R201" s="6" t="str">
        <x:v>7</x:v>
      </x:c>
      <x:c r="S201" s="6" t="str">
        <x:v>0.0</x:v>
      </x:c>
      <x:c r="T201" s="6" t="str">
        <x:v>7</x:v>
      </x:c>
      <x:c r="U201" s="6" t="str">
        <x:v>0.0</x:v>
      </x:c>
      <x:c r="V201" s="6" t="str">
        <x:v>7</x:v>
      </x:c>
      <x:c r="W201" s="6" t="str">
        <x:v>0.0</x:v>
      </x:c>
      <x:c r="X201" s="6" t="str">
        <x:v>7</x:v>
      </x:c>
      <x:c r="Y201" s="6" t="str"/>
      <x:c r="Z201" s="6" t="str">
        <x:v>0</x:v>
      </x:c>
      <x:c r="AA201" s="6" t="str">
        <x:v>0.0</x:v>
      </x:c>
      <x:c r="AB201" s="6" t="str">
        <x:v>7</x:v>
      </x:c>
      <x:c r="AC201" s="6" t="str">
        <x:v>2024-08</x:v>
      </x:c>
      <x:c r="AD201" s="9" t="str">
        <x:v>BNPB operational disaster search table</x:v>
      </x:c>
      <x:c r="AE201" s="9" t="str">
        <x:v>https://gis.bnpb.go.id/databencana/tabel/pencarian.php</x:v>
      </x:c>
      <x:c r="AF201" s="9" t="str">
        <x:v>operational_snapshot_annual_totals_may_differ</x:v>
      </x:c>
    </x:row>
    <x:row r="202" ht="18" customHeight="1">
      <x:c r="A202" s="6" t="str">
        <x:v>19</x:v>
      </x:c>
      <x:c r="B202" s="6" t="str">
        <x:v>KEP. BANGKA BELITUNG</x:v>
      </x:c>
      <x:c r="C202" s="6" t="str">
        <x:v>2024</x:v>
      </x:c>
      <x:c r="D202" s="6" t="str">
        <x:v>9</x:v>
      </x:c>
      <x:c r="E202" s="6" t="str">
        <x:v>7</x:v>
      </x:c>
      <x:c r="F202" s="6" t="str">
        <x:v>7</x:v>
      </x:c>
      <x:c r="G202" s="6" t="str">
        <x:v>0</x:v>
      </x:c>
      <x:c r="H202" s="6" t="str">
        <x:v>0</x:v>
      </x:c>
      <x:c r="I202" s="6" t="str">
        <x:v>0</x:v>
      </x:c>
      <x:c r="J202" s="6" t="str">
        <x:v>0</x:v>
      </x:c>
      <x:c r="K202" s="6" t="str">
        <x:v>7</x:v>
      </x:c>
      <x:c r="L202" s="6" t="str">
        <x:v>0</x:v>
      </x:c>
      <x:c r="M202" s="6" t="str">
        <x:v>0</x:v>
      </x:c>
      <x:c r="N202" s="6" t="str">
        <x:v>0</x:v>
      </x:c>
      <x:c r="O202" s="6" t="str">
        <x:v>0</x:v>
      </x:c>
      <x:c r="P202" s="6" t="str">
        <x:v>7</x:v>
      </x:c>
      <x:c r="Q202" s="6" t="str">
        <x:v>0.0</x:v>
      </x:c>
      <x:c r="R202" s="6" t="str">
        <x:v>7</x:v>
      </x:c>
      <x:c r="S202" s="6" t="str">
        <x:v>0.0</x:v>
      </x:c>
      <x:c r="T202" s="6" t="str">
        <x:v>7</x:v>
      </x:c>
      <x:c r="U202" s="6" t="str">
        <x:v>0.0</x:v>
      </x:c>
      <x:c r="V202" s="6" t="str">
        <x:v>7</x:v>
      </x:c>
      <x:c r="W202" s="6" t="str">
        <x:v>0.0</x:v>
      </x:c>
      <x:c r="X202" s="6" t="str">
        <x:v>7</x:v>
      </x:c>
      <x:c r="Y202" s="6" t="str"/>
      <x:c r="Z202" s="6" t="str">
        <x:v>0</x:v>
      </x:c>
      <x:c r="AA202" s="6" t="str">
        <x:v>0.0</x:v>
      </x:c>
      <x:c r="AB202" s="6" t="str">
        <x:v>7</x:v>
      </x:c>
      <x:c r="AC202" s="6" t="str">
        <x:v>2024-09</x:v>
      </x:c>
      <x:c r="AD202" s="9" t="str">
        <x:v>BNPB operational disaster search table</x:v>
      </x:c>
      <x:c r="AE202" s="9" t="str">
        <x:v>https://gis.bnpb.go.id/databencana/tabel/pencarian.php</x:v>
      </x:c>
      <x:c r="AF202" s="9" t="str">
        <x:v>operational_snapshot_annual_totals_may_differ</x:v>
      </x:c>
    </x:row>
    <x:row r="203" ht="18" customHeight="1">
      <x:c r="A203" s="6" t="str">
        <x:v>19</x:v>
      </x:c>
      <x:c r="B203" s="6" t="str">
        <x:v>KEP. BANGKA BELITUNG</x:v>
      </x:c>
      <x:c r="C203" s="6" t="str">
        <x:v>2024</x:v>
      </x:c>
      <x:c r="D203" s="6" t="str">
        <x:v>10</x:v>
      </x:c>
      <x:c r="E203" s="6" t="str">
        <x:v>5</x:v>
      </x:c>
      <x:c r="F203" s="6" t="str">
        <x:v>5</x:v>
      </x:c>
      <x:c r="G203" s="6" t="str">
        <x:v>0</x:v>
      </x:c>
      <x:c r="H203" s="6" t="str">
        <x:v>0</x:v>
      </x:c>
      <x:c r="I203" s="6" t="str">
        <x:v>1</x:v>
      </x:c>
      <x:c r="J203" s="6" t="str">
        <x:v>0</x:v>
      </x:c>
      <x:c r="K203" s="6" t="str">
        <x:v>4</x:v>
      </x:c>
      <x:c r="L203" s="6" t="str">
        <x:v>0</x:v>
      </x:c>
      <x:c r="M203" s="6" t="str">
        <x:v>0</x:v>
      </x:c>
      <x:c r="N203" s="6" t="str">
        <x:v>0</x:v>
      </x:c>
      <x:c r="O203" s="6" t="str">
        <x:v>0</x:v>
      </x:c>
      <x:c r="P203" s="6" t="str">
        <x:v>5</x:v>
      </x:c>
      <x:c r="Q203" s="6" t="str">
        <x:v>0.0</x:v>
      </x:c>
      <x:c r="R203" s="6" t="str">
        <x:v>5</x:v>
      </x:c>
      <x:c r="S203" s="6" t="str">
        <x:v>0.0</x:v>
      </x:c>
      <x:c r="T203" s="6" t="str">
        <x:v>5</x:v>
      </x:c>
      <x:c r="U203" s="6" t="str">
        <x:v>2.0</x:v>
      </x:c>
      <x:c r="V203" s="6" t="str">
        <x:v>5</x:v>
      </x:c>
      <x:c r="W203" s="6" t="str">
        <x:v>0.0</x:v>
      </x:c>
      <x:c r="X203" s="6" t="str">
        <x:v>5</x:v>
      </x:c>
      <x:c r="Y203" s="6" t="str"/>
      <x:c r="Z203" s="6" t="str">
        <x:v>0</x:v>
      </x:c>
      <x:c r="AA203" s="6" t="str">
        <x:v>0.0</x:v>
      </x:c>
      <x:c r="AB203" s="6" t="str">
        <x:v>5</x:v>
      </x:c>
      <x:c r="AC203" s="6" t="str">
        <x:v>2024-10</x:v>
      </x:c>
      <x:c r="AD203" s="9" t="str">
        <x:v>BNPB operational disaster search table</x:v>
      </x:c>
      <x:c r="AE203" s="9" t="str">
        <x:v>https://gis.bnpb.go.id/databencana/tabel/pencarian.php</x:v>
      </x:c>
      <x:c r="AF203" s="9" t="str">
        <x:v>operational_snapshot_annual_totals_may_differ</x:v>
      </x:c>
    </x:row>
    <x:row r="204" ht="18" customHeight="1">
      <x:c r="A204" s="6" t="str">
        <x:v>19</x:v>
      </x:c>
      <x:c r="B204" s="6" t="str">
        <x:v>KEP. BANGKA BELITUNG</x:v>
      </x:c>
      <x:c r="C204" s="6" t="str">
        <x:v>2024</x:v>
      </x:c>
      <x:c r="D204" s="6" t="str">
        <x:v>11</x:v>
      </x:c>
      <x:c r="E204" s="6" t="str">
        <x:v>1</x:v>
      </x:c>
      <x:c r="F204" s="6" t="str">
        <x:v>1</x:v>
      </x:c>
      <x:c r="G204" s="6" t="str">
        <x:v>0</x:v>
      </x:c>
      <x:c r="H204" s="6" t="str">
        <x:v>0</x:v>
      </x:c>
      <x:c r="I204" s="6" t="str">
        <x:v>1</x:v>
      </x:c>
      <x:c r="J204" s="6" t="str">
        <x:v>0</x:v>
      </x:c>
      <x:c r="K204" s="6" t="str">
        <x:v>0</x:v>
      </x:c>
      <x:c r="L204" s="6" t="str">
        <x:v>0</x:v>
      </x:c>
      <x:c r="M204" s="6" t="str">
        <x:v>0</x:v>
      </x:c>
      <x:c r="N204" s="6" t="str">
        <x:v>0</x:v>
      </x:c>
      <x:c r="O204" s="6" t="str">
        <x:v>0</x:v>
      </x:c>
      <x:c r="P204" s="6" t="str">
        <x:v>1</x:v>
      </x:c>
      <x:c r="Q204" s="6" t="str">
        <x:v>0.0</x:v>
      </x:c>
      <x:c r="R204" s="6" t="str">
        <x:v>1</x:v>
      </x:c>
      <x:c r="S204" s="6" t="str">
        <x:v>0.0</x:v>
      </x:c>
      <x:c r="T204" s="6" t="str">
        <x:v>1</x:v>
      </x:c>
      <x:c r="U204" s="6" t="str">
        <x:v>0.0</x:v>
      </x:c>
      <x:c r="V204" s="6" t="str">
        <x:v>1</x:v>
      </x:c>
      <x:c r="W204" s="6" t="str">
        <x:v>39.0</x:v>
      </x:c>
      <x:c r="X204" s="6" t="str">
        <x:v>1</x:v>
      </x:c>
      <x:c r="Y204" s="6" t="str"/>
      <x:c r="Z204" s="6" t="str">
        <x:v>0</x:v>
      </x:c>
      <x:c r="AA204" s="6" t="str">
        <x:v>0.0</x:v>
      </x:c>
      <x:c r="AB204" s="6" t="str">
        <x:v>1</x:v>
      </x:c>
      <x:c r="AC204" s="6" t="str">
        <x:v>2024-11</x:v>
      </x:c>
      <x:c r="AD204" s="9" t="str">
        <x:v>BNPB operational disaster search table</x:v>
      </x:c>
      <x:c r="AE204" s="9" t="str">
        <x:v>https://gis.bnpb.go.id/databencana/tabel/pencarian.php</x:v>
      </x:c>
      <x:c r="AF204" s="9" t="str">
        <x:v>operational_snapshot_annual_totals_may_differ</x:v>
      </x:c>
    </x:row>
    <x:row r="205" ht="18" customHeight="1">
      <x:c r="A205" s="6" t="str">
        <x:v>19</x:v>
      </x:c>
      <x:c r="B205" s="6" t="str">
        <x:v>KEP. BANGKA BELITUNG</x:v>
      </x:c>
      <x:c r="C205" s="6" t="str">
        <x:v>2024</x:v>
      </x:c>
      <x:c r="D205" s="6" t="str">
        <x:v>12</x:v>
      </x:c>
      <x:c r="E205" s="6" t="str">
        <x:v>0</x:v>
      </x:c>
      <x:c r="F205" s="6" t="str">
        <x:v>0</x:v>
      </x:c>
      <x:c r="G205" s="6" t="str">
        <x:v>0</x:v>
      </x:c>
      <x:c r="H205" s="6" t="str">
        <x:v>0</x:v>
      </x:c>
      <x:c r="I205" s="6" t="str">
        <x:v>0</x:v>
      </x:c>
      <x:c r="J205" s="6" t="str">
        <x:v>0</x:v>
      </x:c>
      <x:c r="K205" s="6" t="str">
        <x:v>0</x:v>
      </x:c>
      <x:c r="L205" s="6" t="str">
        <x:v>0</x:v>
      </x:c>
      <x:c r="M205" s="6" t="str">
        <x:v>0</x:v>
      </x:c>
      <x:c r="N205" s="6" t="str">
        <x:v>0</x:v>
      </x:c>
      <x:c r="O205" s="6" t="str">
        <x:v>0</x:v>
      </x:c>
      <x:c r="P205" s="6" t="str">
        <x:v>0</x:v>
      </x:c>
      <x:c r="Q205" s="6" t="str"/>
      <x:c r="R205" s="6" t="str">
        <x:v>0</x:v>
      </x:c>
      <x:c r="S205" s="6" t="str"/>
      <x:c r="T205" s="6" t="str">
        <x:v>0</x:v>
      </x:c>
      <x:c r="U205" s="6" t="str"/>
      <x:c r="V205" s="6" t="str">
        <x:v>0</x:v>
      </x:c>
      <x:c r="W205" s="6" t="str"/>
      <x:c r="X205" s="6" t="str">
        <x:v>0</x:v>
      </x:c>
      <x:c r="Y205" s="6" t="str"/>
      <x:c r="Z205" s="6" t="str">
        <x:v>0</x:v>
      </x:c>
      <x:c r="AA205" s="6" t="str"/>
      <x:c r="AB205" s="6" t="str">
        <x:v>0</x:v>
      </x:c>
      <x:c r="AC205" s="6" t="str">
        <x:v>2024-12</x:v>
      </x:c>
      <x:c r="AD205" s="9" t="str">
        <x:v>BNPB operational disaster search table</x:v>
      </x:c>
      <x:c r="AE205" s="9" t="str">
        <x:v>https://gis.bnpb.go.id/databencana/tabel/pencarian.php</x:v>
      </x:c>
      <x:c r="AF205" s="9" t="str">
        <x:v>operational_snapshot_annual_totals_may_differ</x:v>
      </x:c>
    </x:row>
    <x:row r="206" ht="18" customHeight="1">
      <x:c r="A206" s="6" t="str">
        <x:v>19</x:v>
      </x:c>
      <x:c r="B206" s="6" t="str">
        <x:v>KEP. BANGKA BELITUNG</x:v>
      </x:c>
      <x:c r="C206" s="6" t="str">
        <x:v>2025</x:v>
      </x:c>
      <x:c r="D206" s="6" t="str">
        <x:v>1</x:v>
      </x:c>
      <x:c r="E206" s="6" t="str">
        <x:v>3</x:v>
      </x:c>
      <x:c r="F206" s="6" t="str">
        <x:v>3</x:v>
      </x:c>
      <x:c r="G206" s="6" t="str">
        <x:v>2</x:v>
      </x:c>
      <x:c r="H206" s="6" t="str">
        <x:v>0</x:v>
      </x:c>
      <x:c r="I206" s="6" t="str">
        <x:v>1</x:v>
      </x:c>
      <x:c r="J206" s="6" t="str">
        <x:v>0</x:v>
      </x:c>
      <x:c r="K206" s="6" t="str">
        <x:v>0</x:v>
      </x:c>
      <x:c r="L206" s="6" t="str">
        <x:v>0</x:v>
      </x:c>
      <x:c r="M206" s="6" t="str">
        <x:v>0</x:v>
      </x:c>
      <x:c r="N206" s="6" t="str">
        <x:v>0</x:v>
      </x:c>
      <x:c r="O206" s="6" t="str">
        <x:v>0</x:v>
      </x:c>
      <x:c r="P206" s="6" t="str">
        <x:v>3</x:v>
      </x:c>
      <x:c r="Q206" s="6" t="str">
        <x:v>0.0</x:v>
      </x:c>
      <x:c r="R206" s="6" t="str">
        <x:v>3</x:v>
      </x:c>
      <x:c r="S206" s="6" t="str">
        <x:v>0.0</x:v>
      </x:c>
      <x:c r="T206" s="6" t="str">
        <x:v>3</x:v>
      </x:c>
      <x:c r="U206" s="6" t="str">
        <x:v>0.0</x:v>
      </x:c>
      <x:c r="V206" s="6" t="str">
        <x:v>3</x:v>
      </x:c>
      <x:c r="W206" s="6" t="str">
        <x:v>115.0</x:v>
      </x:c>
      <x:c r="X206" s="6" t="str">
        <x:v>3</x:v>
      </x:c>
      <x:c r="Y206" s="6" t="str"/>
      <x:c r="Z206" s="6" t="str">
        <x:v>0</x:v>
      </x:c>
      <x:c r="AA206" s="6" t="str">
        <x:v>0.0</x:v>
      </x:c>
      <x:c r="AB206" s="6" t="str">
        <x:v>3</x:v>
      </x:c>
      <x:c r="AC206" s="6" t="str">
        <x:v>2025-01</x:v>
      </x:c>
      <x:c r="AD206" s="9" t="str">
        <x:v>BNPB operational disaster search table</x:v>
      </x:c>
      <x:c r="AE206" s="9" t="str">
        <x:v>https://gis.bnpb.go.id/databencana/tabel/pencarian.php</x:v>
      </x:c>
      <x:c r="AF206" s="9" t="str">
        <x:v>operational_snapshot_annual_totals_may_differ</x:v>
      </x:c>
    </x:row>
    <x:row r="207" ht="18" customHeight="1">
      <x:c r="A207" s="6" t="str">
        <x:v>19</x:v>
      </x:c>
      <x:c r="B207" s="6" t="str">
        <x:v>KEP. BANGKA BELITUNG</x:v>
      </x:c>
      <x:c r="C207" s="6" t="str">
        <x:v>2025</x:v>
      </x:c>
      <x:c r="D207" s="6" t="str">
        <x:v>2</x:v>
      </x:c>
      <x:c r="E207" s="6" t="str">
        <x:v>4</x:v>
      </x:c>
      <x:c r="F207" s="6" t="str">
        <x:v>4</x:v>
      </x:c>
      <x:c r="G207" s="6" t="str">
        <x:v>0</x:v>
      </x:c>
      <x:c r="H207" s="6" t="str">
        <x:v>0</x:v>
      </x:c>
      <x:c r="I207" s="6" t="str">
        <x:v>0</x:v>
      </x:c>
      <x:c r="J207" s="6" t="str">
        <x:v>0</x:v>
      </x:c>
      <x:c r="K207" s="6" t="str">
        <x:v>4</x:v>
      </x:c>
      <x:c r="L207" s="6" t="str">
        <x:v>0</x:v>
      </x:c>
      <x:c r="M207" s="6" t="str">
        <x:v>0</x:v>
      </x:c>
      <x:c r="N207" s="6" t="str">
        <x:v>0</x:v>
      </x:c>
      <x:c r="O207" s="6" t="str">
        <x:v>0</x:v>
      </x:c>
      <x:c r="P207" s="6" t="str">
        <x:v>4</x:v>
      </x:c>
      <x:c r="Q207" s="6" t="str">
        <x:v>0.0</x:v>
      </x:c>
      <x:c r="R207" s="6" t="str">
        <x:v>4</x:v>
      </x:c>
      <x:c r="S207" s="6" t="str">
        <x:v>0.0</x:v>
      </x:c>
      <x:c r="T207" s="6" t="str">
        <x:v>4</x:v>
      </x:c>
      <x:c r="U207" s="6" t="str">
        <x:v>0.0</x:v>
      </x:c>
      <x:c r="V207" s="6" t="str">
        <x:v>4</x:v>
      </x:c>
      <x:c r="W207" s="6" t="str">
        <x:v>0.0</x:v>
      </x:c>
      <x:c r="X207" s="6" t="str">
        <x:v>4</x:v>
      </x:c>
      <x:c r="Y207" s="6" t="str"/>
      <x:c r="Z207" s="6" t="str">
        <x:v>0</x:v>
      </x:c>
      <x:c r="AA207" s="6" t="str">
        <x:v>0.0</x:v>
      </x:c>
      <x:c r="AB207" s="6" t="str">
        <x:v>4</x:v>
      </x:c>
      <x:c r="AC207" s="6" t="str">
        <x:v>2025-02</x:v>
      </x:c>
      <x:c r="AD207" s="9" t="str">
        <x:v>BNPB operational disaster search table</x:v>
      </x:c>
      <x:c r="AE207" s="9" t="str">
        <x:v>https://gis.bnpb.go.id/databencana/tabel/pencarian.php</x:v>
      </x:c>
      <x:c r="AF207" s="9" t="str">
        <x:v>operational_snapshot_annual_totals_may_differ</x:v>
      </x:c>
    </x:row>
    <x:row r="208" ht="18" customHeight="1">
      <x:c r="A208" s="6" t="str">
        <x:v>19</x:v>
      </x:c>
      <x:c r="B208" s="6" t="str">
        <x:v>KEP. BANGKA BELITUNG</x:v>
      </x:c>
      <x:c r="C208" s="6" t="str">
        <x:v>2025</x:v>
      </x:c>
      <x:c r="D208" s="6" t="str">
        <x:v>3</x:v>
      </x:c>
      <x:c r="E208" s="6" t="str">
        <x:v>3</x:v>
      </x:c>
      <x:c r="F208" s="6" t="str">
        <x:v>3</x:v>
      </x:c>
      <x:c r="G208" s="6" t="str">
        <x:v>1</x:v>
      </x:c>
      <x:c r="H208" s="6" t="str">
        <x:v>0</x:v>
      </x:c>
      <x:c r="I208" s="6" t="str">
        <x:v>2</x:v>
      </x:c>
      <x:c r="J208" s="6" t="str">
        <x:v>0</x:v>
      </x:c>
      <x:c r="K208" s="6" t="str">
        <x:v>0</x:v>
      </x:c>
      <x:c r="L208" s="6" t="str">
        <x:v>0</x:v>
      </x:c>
      <x:c r="M208" s="6" t="str">
        <x:v>0</x:v>
      </x:c>
      <x:c r="N208" s="6" t="str">
        <x:v>0</x:v>
      </x:c>
      <x:c r="O208" s="6" t="str">
        <x:v>0</x:v>
      </x:c>
      <x:c r="P208" s="6" t="str">
        <x:v>3</x:v>
      </x:c>
      <x:c r="Q208" s="6" t="str">
        <x:v>0.0</x:v>
      </x:c>
      <x:c r="R208" s="6" t="str">
        <x:v>3</x:v>
      </x:c>
      <x:c r="S208" s="6" t="str">
        <x:v>0.0</x:v>
      </x:c>
      <x:c r="T208" s="6" t="str">
        <x:v>3</x:v>
      </x:c>
      <x:c r="U208" s="6" t="str">
        <x:v>2.0</x:v>
      </x:c>
      <x:c r="V208" s="6" t="str">
        <x:v>3</x:v>
      </x:c>
      <x:c r="W208" s="6" t="str">
        <x:v>319.0</x:v>
      </x:c>
      <x:c r="X208" s="6" t="str">
        <x:v>3</x:v>
      </x:c>
      <x:c r="Y208" s="6" t="str"/>
      <x:c r="Z208" s="6" t="str">
        <x:v>0</x:v>
      </x:c>
      <x:c r="AA208" s="6" t="str">
        <x:v>0.0</x:v>
      </x:c>
      <x:c r="AB208" s="6" t="str">
        <x:v>3</x:v>
      </x:c>
      <x:c r="AC208" s="6" t="str">
        <x:v>2025-03</x:v>
      </x:c>
      <x:c r="AD208" s="9" t="str">
        <x:v>BNPB operational disaster search table</x:v>
      </x:c>
      <x:c r="AE208" s="9" t="str">
        <x:v>https://gis.bnpb.go.id/databencana/tabel/pencarian.php</x:v>
      </x:c>
      <x:c r="AF208" s="9" t="str">
        <x:v>operational_snapshot_annual_totals_may_differ</x:v>
      </x:c>
    </x:row>
    <x:row r="209" ht="18" customHeight="1">
      <x:c r="A209" s="6" t="str">
        <x:v>19</x:v>
      </x:c>
      <x:c r="B209" s="6" t="str">
        <x:v>KEP. BANGKA BELITUNG</x:v>
      </x:c>
      <x:c r="C209" s="6" t="str">
        <x:v>2025</x:v>
      </x:c>
      <x:c r="D209" s="6" t="str">
        <x:v>4</x:v>
      </x:c>
      <x:c r="E209" s="6" t="str">
        <x:v>1</x:v>
      </x:c>
      <x:c r="F209" s="6" t="str">
        <x:v>1</x:v>
      </x:c>
      <x:c r="G209" s="6" t="str">
        <x:v>1</x:v>
      </x:c>
      <x:c r="H209" s="6" t="str">
        <x:v>0</x:v>
      </x:c>
      <x:c r="I209" s="6" t="str">
        <x:v>0</x:v>
      </x:c>
      <x:c r="J209" s="6" t="str">
        <x:v>0</x:v>
      </x:c>
      <x:c r="K209" s="6" t="str">
        <x:v>0</x:v>
      </x:c>
      <x:c r="L209" s="6" t="str">
        <x:v>0</x:v>
      </x:c>
      <x:c r="M209" s="6" t="str">
        <x:v>0</x:v>
      </x:c>
      <x:c r="N209" s="6" t="str">
        <x:v>0</x:v>
      </x:c>
      <x:c r="O209" s="6" t="str">
        <x:v>0</x:v>
      </x:c>
      <x:c r="P209" s="6" t="str">
        <x:v>1</x:v>
      </x:c>
      <x:c r="Q209" s="6" t="str">
        <x:v>0.0</x:v>
      </x:c>
      <x:c r="R209" s="6" t="str">
        <x:v>1</x:v>
      </x:c>
      <x:c r="S209" s="6" t="str">
        <x:v>0.0</x:v>
      </x:c>
      <x:c r="T209" s="6" t="str">
        <x:v>1</x:v>
      </x:c>
      <x:c r="U209" s="6" t="str">
        <x:v>0.0</x:v>
      </x:c>
      <x:c r="V209" s="6" t="str">
        <x:v>1</x:v>
      </x:c>
      <x:c r="W209" s="6" t="str">
        <x:v>0.0</x:v>
      </x:c>
      <x:c r="X209" s="6" t="str">
        <x:v>1</x:v>
      </x:c>
      <x:c r="Y209" s="6" t="str">
        <x:v>447.0</x:v>
      </x:c>
      <x:c r="Z209" s="6" t="str">
        <x:v>1</x:v>
      </x:c>
      <x:c r="AA209" s="6" t="str">
        <x:v>0.0</x:v>
      </x:c>
      <x:c r="AB209" s="6" t="str">
        <x:v>1</x:v>
      </x:c>
      <x:c r="AC209" s="6" t="str">
        <x:v>2025-04</x:v>
      </x:c>
      <x:c r="AD209" s="9" t="str">
        <x:v>BNPB operational disaster search table</x:v>
      </x:c>
      <x:c r="AE209" s="9" t="str">
        <x:v>https://gis.bnpb.go.id/databencana/tabel/pencarian.php</x:v>
      </x:c>
      <x:c r="AF209" s="9" t="str">
        <x:v>operational_snapshot_annual_totals_may_differ</x:v>
      </x:c>
    </x:row>
    <x:row r="210" ht="18" customHeight="1">
      <x:c r="A210" s="6" t="str">
        <x:v>19</x:v>
      </x:c>
      <x:c r="B210" s="6" t="str">
        <x:v>KEP. BANGKA BELITUNG</x:v>
      </x:c>
      <x:c r="C210" s="6" t="str">
        <x:v>2025</x:v>
      </x:c>
      <x:c r="D210" s="6" t="str">
        <x:v>5</x:v>
      </x:c>
      <x:c r="E210" s="6" t="str">
        <x:v>1</x:v>
      </x:c>
      <x:c r="F210" s="6" t="str">
        <x:v>1</x:v>
      </x:c>
      <x:c r="G210" s="6" t="str">
        <x:v>0</x:v>
      </x:c>
      <x:c r="H210" s="6" t="str">
        <x:v>0</x:v>
      </x:c>
      <x:c r="I210" s="6" t="str">
        <x:v>1</x:v>
      </x:c>
      <x:c r="J210" s="6" t="str">
        <x:v>0</x:v>
      </x:c>
      <x:c r="K210" s="6" t="str">
        <x:v>0</x:v>
      </x:c>
      <x:c r="L210" s="6" t="str">
        <x:v>0</x:v>
      </x:c>
      <x:c r="M210" s="6" t="str">
        <x:v>0</x:v>
      </x:c>
      <x:c r="N210" s="6" t="str">
        <x:v>0</x:v>
      </x:c>
      <x:c r="O210" s="6" t="str">
        <x:v>0</x:v>
      </x:c>
      <x:c r="P210" s="6" t="str">
        <x:v>1</x:v>
      </x:c>
      <x:c r="Q210" s="6" t="str">
        <x:v>0.0</x:v>
      </x:c>
      <x:c r="R210" s="6" t="str">
        <x:v>1</x:v>
      </x:c>
      <x:c r="S210" s="6" t="str">
        <x:v>0.0</x:v>
      </x:c>
      <x:c r="T210" s="6" t="str">
        <x:v>1</x:v>
      </x:c>
      <x:c r="U210" s="6" t="str">
        <x:v>0.0</x:v>
      </x:c>
      <x:c r="V210" s="6" t="str">
        <x:v>1</x:v>
      </x:c>
      <x:c r="W210" s="6" t="str">
        <x:v>0.0</x:v>
      </x:c>
      <x:c r="X210" s="6" t="str">
        <x:v>1</x:v>
      </x:c>
      <x:c r="Y210" s="6" t="str"/>
      <x:c r="Z210" s="6" t="str">
        <x:v>0</x:v>
      </x:c>
      <x:c r="AA210" s="6" t="str">
        <x:v>0.0</x:v>
      </x:c>
      <x:c r="AB210" s="6" t="str">
        <x:v>1</x:v>
      </x:c>
      <x:c r="AC210" s="6" t="str">
        <x:v>2025-05</x:v>
      </x:c>
      <x:c r="AD210" s="9" t="str">
        <x:v>BNPB operational disaster search table</x:v>
      </x:c>
      <x:c r="AE210" s="9" t="str">
        <x:v>https://gis.bnpb.go.id/databencana/tabel/pencarian.php</x:v>
      </x:c>
      <x:c r="AF210" s="9" t="str">
        <x:v>operational_snapshot_annual_totals_may_differ</x:v>
      </x:c>
    </x:row>
    <x:row r="211" ht="18" customHeight="1">
      <x:c r="A211" s="6" t="str">
        <x:v>19</x:v>
      </x:c>
      <x:c r="B211" s="6" t="str">
        <x:v>KEP. BANGKA BELITUNG</x:v>
      </x:c>
      <x:c r="C211" s="6" t="str">
        <x:v>2025</x:v>
      </x:c>
      <x:c r="D211" s="6" t="str">
        <x:v>6</x:v>
      </x:c>
      <x:c r="E211" s="6" t="str">
        <x:v>1</x:v>
      </x:c>
      <x:c r="F211" s="6" t="str">
        <x:v>1</x:v>
      </x:c>
      <x:c r="G211" s="6" t="str">
        <x:v>0</x:v>
      </x:c>
      <x:c r="H211" s="6" t="str">
        <x:v>0</x:v>
      </x:c>
      <x:c r="I211" s="6" t="str">
        <x:v>1</x:v>
      </x:c>
      <x:c r="J211" s="6" t="str">
        <x:v>0</x:v>
      </x:c>
      <x:c r="K211" s="6" t="str">
        <x:v>0</x:v>
      </x:c>
      <x:c r="L211" s="6" t="str">
        <x:v>0</x:v>
      </x:c>
      <x:c r="M211" s="6" t="str">
        <x:v>0</x:v>
      </x:c>
      <x:c r="N211" s="6" t="str">
        <x:v>0</x:v>
      </x:c>
      <x:c r="O211" s="6" t="str">
        <x:v>0</x:v>
      </x:c>
      <x:c r="P211" s="6" t="str">
        <x:v>1</x:v>
      </x:c>
      <x:c r="Q211" s="6" t="str"/>
      <x:c r="R211" s="6" t="str">
        <x:v>0</x:v>
      </x:c>
      <x:c r="S211" s="6" t="str"/>
      <x:c r="T211" s="6" t="str">
        <x:v>0</x:v>
      </x:c>
      <x:c r="U211" s="6" t="str"/>
      <x:c r="V211" s="6" t="str">
        <x:v>0</x:v>
      </x:c>
      <x:c r="W211" s="6" t="str">
        <x:v>20.0</x:v>
      </x:c>
      <x:c r="X211" s="6" t="str">
        <x:v>1</x:v>
      </x:c>
      <x:c r="Y211" s="6" t="str"/>
      <x:c r="Z211" s="6" t="str">
        <x:v>0</x:v>
      </x:c>
      <x:c r="AA211" s="6" t="str">
        <x:v>0.0</x:v>
      </x:c>
      <x:c r="AB211" s="6" t="str">
        <x:v>1</x:v>
      </x:c>
      <x:c r="AC211" s="6" t="str">
        <x:v>2025-06</x:v>
      </x:c>
      <x:c r="AD211" s="9" t="str">
        <x:v>BNPB operational disaster search table</x:v>
      </x:c>
      <x:c r="AE211" s="9" t="str">
        <x:v>https://gis.bnpb.go.id/databencana/tabel/pencarian.php</x:v>
      </x:c>
      <x:c r="AF211" s="9" t="str">
        <x:v>operational_snapshot_annual_totals_may_differ</x:v>
      </x:c>
    </x:row>
    <x:row r="212" ht="18" customHeight="1">
      <x:c r="A212" s="6" t="str">
        <x:v>19</x:v>
      </x:c>
      <x:c r="B212" s="6" t="str">
        <x:v>KEP. BANGKA BELITUNG</x:v>
      </x:c>
      <x:c r="C212" s="6" t="str">
        <x:v>2025</x:v>
      </x:c>
      <x:c r="D212" s="6" t="str">
        <x:v>7</x:v>
      </x:c>
      <x:c r="E212" s="6" t="str">
        <x:v>2</x:v>
      </x:c>
      <x:c r="F212" s="6" t="str">
        <x:v>2</x:v>
      </x:c>
      <x:c r="G212" s="6" t="str">
        <x:v>0</x:v>
      </x:c>
      <x:c r="H212" s="6" t="str">
        <x:v>1</x:v>
      </x:c>
      <x:c r="I212" s="6" t="str">
        <x:v>0</x:v>
      </x:c>
      <x:c r="J212" s="6" t="str">
        <x:v>0</x:v>
      </x:c>
      <x:c r="K212" s="6" t="str">
        <x:v>1</x:v>
      </x:c>
      <x:c r="L212" s="6" t="str">
        <x:v>0</x:v>
      </x:c>
      <x:c r="M212" s="6" t="str">
        <x:v>0</x:v>
      </x:c>
      <x:c r="N212" s="6" t="str">
        <x:v>0</x:v>
      </x:c>
      <x:c r="O212" s="6" t="str">
        <x:v>0</x:v>
      </x:c>
      <x:c r="P212" s="6" t="str">
        <x:v>2</x:v>
      </x:c>
      <x:c r="Q212" s="6" t="str">
        <x:v>3.0</x:v>
      </x:c>
      <x:c r="R212" s="6" t="str">
        <x:v>1</x:v>
      </x:c>
      <x:c r="S212" s="6" t="str"/>
      <x:c r="T212" s="6" t="str">
        <x:v>0</x:v>
      </x:c>
      <x:c r="U212" s="6" t="str"/>
      <x:c r="V212" s="6" t="str">
        <x:v>0</x:v>
      </x:c>
      <x:c r="W212" s="6" t="str">
        <x:v>0.0</x:v>
      </x:c>
      <x:c r="X212" s="6" t="str">
        <x:v>2</x:v>
      </x:c>
      <x:c r="Y212" s="6" t="str"/>
      <x:c r="Z212" s="6" t="str">
        <x:v>0</x:v>
      </x:c>
      <x:c r="AA212" s="6" t="str">
        <x:v>0.0</x:v>
      </x:c>
      <x:c r="AB212" s="6" t="str">
        <x:v>2</x:v>
      </x:c>
      <x:c r="AC212" s="6" t="str">
        <x:v>2025-07</x:v>
      </x:c>
      <x:c r="AD212" s="9" t="str">
        <x:v>BNPB operational disaster search table</x:v>
      </x:c>
      <x:c r="AE212" s="9" t="str">
        <x:v>https://gis.bnpb.go.id/databencana/tabel/pencarian.php</x:v>
      </x:c>
      <x:c r="AF212" s="9" t="str">
        <x:v>operational_snapshot_annual_totals_may_differ</x:v>
      </x:c>
    </x:row>
    <x:row r="213" ht="18" customHeight="1">
      <x:c r="A213" s="6" t="str">
        <x:v>19</x:v>
      </x:c>
      <x:c r="B213" s="6" t="str">
        <x:v>KEP. BANGKA BELITUNG</x:v>
      </x:c>
      <x:c r="C213" s="6" t="str">
        <x:v>2025</x:v>
      </x:c>
      <x:c r="D213" s="6" t="str">
        <x:v>8</x:v>
      </x:c>
      <x:c r="E213" s="6" t="str">
        <x:v>0</x:v>
      </x:c>
      <x:c r="F213" s="6" t="str">
        <x:v>0</x:v>
      </x:c>
      <x:c r="G213" s="6" t="str">
        <x:v>0</x:v>
      </x:c>
      <x:c r="H213" s="6" t="str">
        <x:v>0</x:v>
      </x:c>
      <x:c r="I213" s="6" t="str">
        <x:v>0</x:v>
      </x:c>
      <x:c r="J213" s="6" t="str">
        <x:v>0</x:v>
      </x:c>
      <x:c r="K213" s="6" t="str">
        <x:v>0</x:v>
      </x:c>
      <x:c r="L213" s="6" t="str">
        <x:v>0</x:v>
      </x:c>
      <x:c r="M213" s="6" t="str">
        <x:v>0</x:v>
      </x:c>
      <x:c r="N213" s="6" t="str">
        <x:v>0</x:v>
      </x:c>
      <x:c r="O213" s="6" t="str">
        <x:v>0</x:v>
      </x:c>
      <x:c r="P213" s="6" t="str">
        <x:v>0</x:v>
      </x:c>
      <x:c r="Q213" s="6" t="str"/>
      <x:c r="R213" s="6" t="str">
        <x:v>0</x:v>
      </x:c>
      <x:c r="S213" s="6" t="str"/>
      <x:c r="T213" s="6" t="str">
        <x:v>0</x:v>
      </x:c>
      <x:c r="U213" s="6" t="str"/>
      <x:c r="V213" s="6" t="str">
        <x:v>0</x:v>
      </x:c>
      <x:c r="W213" s="6" t="str"/>
      <x:c r="X213" s="6" t="str">
        <x:v>0</x:v>
      </x:c>
      <x:c r="Y213" s="6" t="str"/>
      <x:c r="Z213" s="6" t="str">
        <x:v>0</x:v>
      </x:c>
      <x:c r="AA213" s="6" t="str"/>
      <x:c r="AB213" s="6" t="str">
        <x:v>0</x:v>
      </x:c>
      <x:c r="AC213" s="6" t="str">
        <x:v>2025-08</x:v>
      </x:c>
      <x:c r="AD213" s="9" t="str">
        <x:v>BNPB operational disaster search table</x:v>
      </x:c>
      <x:c r="AE213" s="9" t="str">
        <x:v>https://gis.bnpb.go.id/databencana/tabel/pencarian.php</x:v>
      </x:c>
      <x:c r="AF213" s="9" t="str">
        <x:v>operational_snapshot_annual_totals_may_differ</x:v>
      </x:c>
    </x:row>
    <x:row r="214" ht="18" customHeight="1">
      <x:c r="A214" s="6" t="str">
        <x:v>19</x:v>
      </x:c>
      <x:c r="B214" s="6" t="str">
        <x:v>KEP. BANGKA BELITUNG</x:v>
      </x:c>
      <x:c r="C214" s="6" t="str">
        <x:v>2025</x:v>
      </x:c>
      <x:c r="D214" s="6" t="str">
        <x:v>9</x:v>
      </x:c>
      <x:c r="E214" s="6" t="str">
        <x:v>0</x:v>
      </x:c>
      <x:c r="F214" s="6" t="str">
        <x:v>0</x:v>
      </x:c>
      <x:c r="G214" s="6" t="str">
        <x:v>0</x:v>
      </x:c>
      <x:c r="H214" s="6" t="str">
        <x:v>0</x:v>
      </x:c>
      <x:c r="I214" s="6" t="str">
        <x:v>0</x:v>
      </x:c>
      <x:c r="J214" s="6" t="str">
        <x:v>0</x:v>
      </x:c>
      <x:c r="K214" s="6" t="str">
        <x:v>0</x:v>
      </x:c>
      <x:c r="L214" s="6" t="str">
        <x:v>0</x:v>
      </x:c>
      <x:c r="M214" s="6" t="str">
        <x:v>0</x:v>
      </x:c>
      <x:c r="N214" s="6" t="str">
        <x:v>0</x:v>
      </x:c>
      <x:c r="O214" s="6" t="str">
        <x:v>0</x:v>
      </x:c>
      <x:c r="P214" s="6" t="str">
        <x:v>0</x:v>
      </x:c>
      <x:c r="Q214" s="6" t="str"/>
      <x:c r="R214" s="6" t="str">
        <x:v>0</x:v>
      </x:c>
      <x:c r="S214" s="6" t="str"/>
      <x:c r="T214" s="6" t="str">
        <x:v>0</x:v>
      </x:c>
      <x:c r="U214" s="6" t="str"/>
      <x:c r="V214" s="6" t="str">
        <x:v>0</x:v>
      </x:c>
      <x:c r="W214" s="6" t="str"/>
      <x:c r="X214" s="6" t="str">
        <x:v>0</x:v>
      </x:c>
      <x:c r="Y214" s="6" t="str"/>
      <x:c r="Z214" s="6" t="str">
        <x:v>0</x:v>
      </x:c>
      <x:c r="AA214" s="6" t="str"/>
      <x:c r="AB214" s="6" t="str">
        <x:v>0</x:v>
      </x:c>
      <x:c r="AC214" s="6" t="str">
        <x:v>2025-09</x:v>
      </x:c>
      <x:c r="AD214" s="9" t="str">
        <x:v>BNPB operational disaster search table</x:v>
      </x:c>
      <x:c r="AE214" s="9" t="str">
        <x:v>https://gis.bnpb.go.id/databencana/tabel/pencarian.php</x:v>
      </x:c>
      <x:c r="AF214" s="9" t="str">
        <x:v>operational_snapshot_annual_totals_may_differ</x:v>
      </x:c>
    </x:row>
    <x:row r="215" ht="18" customHeight="1">
      <x:c r="A215" s="6" t="str">
        <x:v>19</x:v>
      </x:c>
      <x:c r="B215" s="6" t="str">
        <x:v>KEP. BANGKA BELITUNG</x:v>
      </x:c>
      <x:c r="C215" s="6" t="str">
        <x:v>2025</x:v>
      </x:c>
      <x:c r="D215" s="6" t="str">
        <x:v>10</x:v>
      </x:c>
      <x:c r="E215" s="6" t="str">
        <x:v>0</x:v>
      </x:c>
      <x:c r="F215" s="6" t="str">
        <x:v>0</x:v>
      </x:c>
      <x:c r="G215" s="6" t="str">
        <x:v>0</x:v>
      </x:c>
      <x:c r="H215" s="6" t="str">
        <x:v>0</x:v>
      </x:c>
      <x:c r="I215" s="6" t="str">
        <x:v>0</x:v>
      </x:c>
      <x:c r="J215" s="6" t="str">
        <x:v>0</x:v>
      </x:c>
      <x:c r="K215" s="6" t="str">
        <x:v>0</x:v>
      </x:c>
      <x:c r="L215" s="6" t="str">
        <x:v>0</x:v>
      </x:c>
      <x:c r="M215" s="6" t="str">
        <x:v>0</x:v>
      </x:c>
      <x:c r="N215" s="6" t="str">
        <x:v>0</x:v>
      </x:c>
      <x:c r="O215" s="6" t="str">
        <x:v>0</x:v>
      </x:c>
      <x:c r="P215" s="6" t="str">
        <x:v>0</x:v>
      </x:c>
      <x:c r="Q215" s="6" t="str"/>
      <x:c r="R215" s="6" t="str">
        <x:v>0</x:v>
      </x:c>
      <x:c r="S215" s="6" t="str"/>
      <x:c r="T215" s="6" t="str">
        <x:v>0</x:v>
      </x:c>
      <x:c r="U215" s="6" t="str"/>
      <x:c r="V215" s="6" t="str">
        <x:v>0</x:v>
      </x:c>
      <x:c r="W215" s="6" t="str"/>
      <x:c r="X215" s="6" t="str">
        <x:v>0</x:v>
      </x:c>
      <x:c r="Y215" s="6" t="str"/>
      <x:c r="Z215" s="6" t="str">
        <x:v>0</x:v>
      </x:c>
      <x:c r="AA215" s="6" t="str"/>
      <x:c r="AB215" s="6" t="str">
        <x:v>0</x:v>
      </x:c>
      <x:c r="AC215" s="6" t="str">
        <x:v>2025-10</x:v>
      </x:c>
      <x:c r="AD215" s="9" t="str">
        <x:v>BNPB operational disaster search table</x:v>
      </x:c>
      <x:c r="AE215" s="9" t="str">
        <x:v>https://gis.bnpb.go.id/databencana/tabel/pencarian.php</x:v>
      </x:c>
      <x:c r="AF215" s="9" t="str">
        <x:v>operational_snapshot_annual_totals_may_differ</x:v>
      </x:c>
    </x:row>
    <x:row r="216" ht="18" customHeight="1">
      <x:c r="A216" s="6" t="str">
        <x:v>19</x:v>
      </x:c>
      <x:c r="B216" s="6" t="str">
        <x:v>KEP. BANGKA BELITUNG</x:v>
      </x:c>
      <x:c r="C216" s="6" t="str">
        <x:v>2025</x:v>
      </x:c>
      <x:c r="D216" s="6" t="str">
        <x:v>11</x:v>
      </x:c>
      <x:c r="E216" s="6" t="str">
        <x:v>0</x:v>
      </x:c>
      <x:c r="F216" s="6" t="str">
        <x:v>0</x:v>
      </x:c>
      <x:c r="G216" s="6" t="str">
        <x:v>0</x:v>
      </x:c>
      <x:c r="H216" s="6" t="str">
        <x:v>0</x:v>
      </x:c>
      <x:c r="I216" s="6" t="str">
        <x:v>0</x:v>
      </x:c>
      <x:c r="J216" s="6" t="str">
        <x:v>0</x:v>
      </x:c>
      <x:c r="K216" s="6" t="str">
        <x:v>0</x:v>
      </x:c>
      <x:c r="L216" s="6" t="str">
        <x:v>0</x:v>
      </x:c>
      <x:c r="M216" s="6" t="str">
        <x:v>0</x:v>
      </x:c>
      <x:c r="N216" s="6" t="str">
        <x:v>0</x:v>
      </x:c>
      <x:c r="O216" s="6" t="str">
        <x:v>0</x:v>
      </x:c>
      <x:c r="P216" s="6" t="str">
        <x:v>0</x:v>
      </x:c>
      <x:c r="Q216" s="6" t="str"/>
      <x:c r="R216" s="6" t="str">
        <x:v>0</x:v>
      </x:c>
      <x:c r="S216" s="6" t="str"/>
      <x:c r="T216" s="6" t="str">
        <x:v>0</x:v>
      </x:c>
      <x:c r="U216" s="6" t="str"/>
      <x:c r="V216" s="6" t="str">
        <x:v>0</x:v>
      </x:c>
      <x:c r="W216" s="6" t="str"/>
      <x:c r="X216" s="6" t="str">
        <x:v>0</x:v>
      </x:c>
      <x:c r="Y216" s="6" t="str"/>
      <x:c r="Z216" s="6" t="str">
        <x:v>0</x:v>
      </x:c>
      <x:c r="AA216" s="6" t="str"/>
      <x:c r="AB216" s="6" t="str">
        <x:v>0</x:v>
      </x:c>
      <x:c r="AC216" s="6" t="str">
        <x:v>2025-11</x:v>
      </x:c>
      <x:c r="AD216" s="9" t="str">
        <x:v>BNPB operational disaster search table</x:v>
      </x:c>
      <x:c r="AE216" s="9" t="str">
        <x:v>https://gis.bnpb.go.id/databencana/tabel/pencarian.php</x:v>
      </x:c>
      <x:c r="AF216" s="9" t="str">
        <x:v>operational_snapshot_annual_totals_may_differ</x:v>
      </x:c>
    </x:row>
    <x:row r="217" ht="18" customHeight="1">
      <x:c r="A217" s="6" t="str">
        <x:v>19</x:v>
      </x:c>
      <x:c r="B217" s="6" t="str">
        <x:v>KEP. BANGKA BELITUNG</x:v>
      </x:c>
      <x:c r="C217" s="6" t="str">
        <x:v>2025</x:v>
      </x:c>
      <x:c r="D217" s="6" t="str">
        <x:v>12</x:v>
      </x:c>
      <x:c r="E217" s="6" t="str">
        <x:v>3</x:v>
      </x:c>
      <x:c r="F217" s="6" t="str">
        <x:v>3</x:v>
      </x:c>
      <x:c r="G217" s="6" t="str">
        <x:v>3</x:v>
      </x:c>
      <x:c r="H217" s="6" t="str">
        <x:v>0</x:v>
      </x:c>
      <x:c r="I217" s="6" t="str">
        <x:v>0</x:v>
      </x:c>
      <x:c r="J217" s="6" t="str">
        <x:v>0</x:v>
      </x:c>
      <x:c r="K217" s="6" t="str">
        <x:v>0</x:v>
      </x:c>
      <x:c r="L217" s="6" t="str">
        <x:v>0</x:v>
      </x:c>
      <x:c r="M217" s="6" t="str">
        <x:v>0</x:v>
      </x:c>
      <x:c r="N217" s="6" t="str">
        <x:v>0</x:v>
      </x:c>
      <x:c r="O217" s="6" t="str">
        <x:v>0</x:v>
      </x:c>
      <x:c r="P217" s="6" t="str">
        <x:v>3</x:v>
      </x:c>
      <x:c r="Q217" s="6" t="str"/>
      <x:c r="R217" s="6" t="str">
        <x:v>0</x:v>
      </x:c>
      <x:c r="S217" s="6" t="str"/>
      <x:c r="T217" s="6" t="str">
        <x:v>0</x:v>
      </x:c>
      <x:c r="U217" s="6" t="str"/>
      <x:c r="V217" s="6" t="str">
        <x:v>0</x:v>
      </x:c>
      <x:c r="W217" s="6" t="str">
        <x:v>0.0</x:v>
      </x:c>
      <x:c r="X217" s="6" t="str">
        <x:v>3</x:v>
      </x:c>
      <x:c r="Y217" s="6" t="str">
        <x:v>744.0</x:v>
      </x:c>
      <x:c r="Z217" s="6" t="str">
        <x:v>3</x:v>
      </x:c>
      <x:c r="AA217" s="6" t="str">
        <x:v>0.0</x:v>
      </x:c>
      <x:c r="AB217" s="6" t="str">
        <x:v>3</x:v>
      </x:c>
      <x:c r="AC217" s="6" t="str">
        <x:v>2025-12</x:v>
      </x:c>
      <x:c r="AD217" s="9" t="str">
        <x:v>BNPB operational disaster search table</x:v>
      </x:c>
      <x:c r="AE217" s="9" t="str">
        <x:v>https://gis.bnpb.go.id/databencana/tabel/pencarian.php</x:v>
      </x:c>
      <x:c r="AF217" s="9" t="str">
        <x:v>operational_snapshot_annual_totals_may_differ</x:v>
      </x:c>
    </x:row>
    <x:row r="218" ht="18" customHeight="1">
      <x:c r="A218" s="6" t="str">
        <x:v>21</x:v>
      </x:c>
      <x:c r="B218" s="6" t="str">
        <x:v>KEPULAUAN RIAU</x:v>
      </x:c>
      <x:c r="C218" s="6" t="str">
        <x:v>2024</x:v>
      </x:c>
      <x:c r="D218" s="6" t="str">
        <x:v>1</x:v>
      </x:c>
      <x:c r="E218" s="6" t="str">
        <x:v>5</x:v>
      </x:c>
      <x:c r="F218" s="6" t="str">
        <x:v>5</x:v>
      </x:c>
      <x:c r="G218" s="6" t="str">
        <x:v>1</x:v>
      </x:c>
      <x:c r="H218" s="6" t="str">
        <x:v>1</x:v>
      </x:c>
      <x:c r="I218" s="6" t="str">
        <x:v>2</x:v>
      </x:c>
      <x:c r="J218" s="6" t="str">
        <x:v>0</x:v>
      </x:c>
      <x:c r="K218" s="6" t="str">
        <x:v>1</x:v>
      </x:c>
      <x:c r="L218" s="6" t="str">
        <x:v>0</x:v>
      </x:c>
      <x:c r="M218" s="6" t="str">
        <x:v>0</x:v>
      </x:c>
      <x:c r="N218" s="6" t="str">
        <x:v>0</x:v>
      </x:c>
      <x:c r="O218" s="6" t="str">
        <x:v>0</x:v>
      </x:c>
      <x:c r="P218" s="6" t="str">
        <x:v>5</x:v>
      </x:c>
      <x:c r="Q218" s="6" t="str">
        <x:v>2.0</x:v>
      </x:c>
      <x:c r="R218" s="6" t="str">
        <x:v>5</x:v>
      </x:c>
      <x:c r="S218" s="6" t="str">
        <x:v>0.0</x:v>
      </x:c>
      <x:c r="T218" s="6" t="str">
        <x:v>5</x:v>
      </x:c>
      <x:c r="U218" s="6" t="str">
        <x:v>2.0</x:v>
      </x:c>
      <x:c r="V218" s="6" t="str">
        <x:v>5</x:v>
      </x:c>
      <x:c r="W218" s="6" t="str">
        <x:v>0.0</x:v>
      </x:c>
      <x:c r="X218" s="6" t="str">
        <x:v>5</x:v>
      </x:c>
      <x:c r="Y218" s="6" t="str"/>
      <x:c r="Z218" s="6" t="str">
        <x:v>0</x:v>
      </x:c>
      <x:c r="AA218" s="6" t="str">
        <x:v>0.0</x:v>
      </x:c>
      <x:c r="AB218" s="6" t="str">
        <x:v>5</x:v>
      </x:c>
      <x:c r="AC218" s="6" t="str">
        <x:v>2024-01</x:v>
      </x:c>
      <x:c r="AD218" s="9" t="str">
        <x:v>BNPB operational disaster search table</x:v>
      </x:c>
      <x:c r="AE218" s="9" t="str">
        <x:v>https://gis.bnpb.go.id/databencana/tabel/pencarian.php</x:v>
      </x:c>
      <x:c r="AF218" s="9" t="str">
        <x:v>operational_snapshot_annual_totals_may_differ</x:v>
      </x:c>
    </x:row>
    <x:row r="219" ht="18" customHeight="1">
      <x:c r="A219" s="6" t="str">
        <x:v>21</x:v>
      </x:c>
      <x:c r="B219" s="6" t="str">
        <x:v>KEPULAUAN RIAU</x:v>
      </x:c>
      <x:c r="C219" s="6" t="str">
        <x:v>2024</x:v>
      </x:c>
      <x:c r="D219" s="6" t="str">
        <x:v>2</x:v>
      </x:c>
      <x:c r="E219" s="6" t="str">
        <x:v>17</x:v>
      </x:c>
      <x:c r="F219" s="6" t="str">
        <x:v>17</x:v>
      </x:c>
      <x:c r="G219" s="6" t="str">
        <x:v>1</x:v>
      </x:c>
      <x:c r="H219" s="6" t="str">
        <x:v>0</x:v>
      </x:c>
      <x:c r="I219" s="6" t="str">
        <x:v>0</x:v>
      </x:c>
      <x:c r="J219" s="6" t="str">
        <x:v>0</x:v>
      </x:c>
      <x:c r="K219" s="6" t="str">
        <x:v>16</x:v>
      </x:c>
      <x:c r="L219" s="6" t="str">
        <x:v>0</x:v>
      </x:c>
      <x:c r="M219" s="6" t="str">
        <x:v>0</x:v>
      </x:c>
      <x:c r="N219" s="6" t="str">
        <x:v>0</x:v>
      </x:c>
      <x:c r="O219" s="6" t="str">
        <x:v>0</x:v>
      </x:c>
      <x:c r="P219" s="6" t="str">
        <x:v>17</x:v>
      </x:c>
      <x:c r="Q219" s="6" t="str">
        <x:v>0.0</x:v>
      </x:c>
      <x:c r="R219" s="6" t="str">
        <x:v>17</x:v>
      </x:c>
      <x:c r="S219" s="6" t="str">
        <x:v>0.0</x:v>
      </x:c>
      <x:c r="T219" s="6" t="str">
        <x:v>17</x:v>
      </x:c>
      <x:c r="U219" s="6" t="str">
        <x:v>0.0</x:v>
      </x:c>
      <x:c r="V219" s="6" t="str">
        <x:v>17</x:v>
      </x:c>
      <x:c r="W219" s="6" t="str">
        <x:v>0.0</x:v>
      </x:c>
      <x:c r="X219" s="6" t="str">
        <x:v>17</x:v>
      </x:c>
      <x:c r="Y219" s="6" t="str">
        <x:v>172.0</x:v>
      </x:c>
      <x:c r="Z219" s="6" t="str">
        <x:v>1</x:v>
      </x:c>
      <x:c r="AA219" s="6" t="str">
        <x:v>0.0</x:v>
      </x:c>
      <x:c r="AB219" s="6" t="str">
        <x:v>17</x:v>
      </x:c>
      <x:c r="AC219" s="6" t="str">
        <x:v>2024-02</x:v>
      </x:c>
      <x:c r="AD219" s="9" t="str">
        <x:v>BNPB operational disaster search table</x:v>
      </x:c>
      <x:c r="AE219" s="9" t="str">
        <x:v>https://gis.bnpb.go.id/databencana/tabel/pencarian.php</x:v>
      </x:c>
      <x:c r="AF219" s="9" t="str">
        <x:v>operational_snapshot_annual_totals_may_differ</x:v>
      </x:c>
    </x:row>
    <x:row r="220" ht="18" customHeight="1">
      <x:c r="A220" s="6" t="str">
        <x:v>21</x:v>
      </x:c>
      <x:c r="B220" s="6" t="str">
        <x:v>KEPULAUAN RIAU</x:v>
      </x:c>
      <x:c r="C220" s="6" t="str">
        <x:v>2024</x:v>
      </x:c>
      <x:c r="D220" s="6" t="str">
        <x:v>3</x:v>
      </x:c>
      <x:c r="E220" s="6" t="str">
        <x:v>25</x:v>
      </x:c>
      <x:c r="F220" s="6" t="str">
        <x:v>25</x:v>
      </x:c>
      <x:c r="G220" s="6" t="str">
        <x:v>0</x:v>
      </x:c>
      <x:c r="H220" s="6" t="str">
        <x:v>0</x:v>
      </x:c>
      <x:c r="I220" s="6" t="str">
        <x:v>1</x:v>
      </x:c>
      <x:c r="J220" s="6" t="str">
        <x:v>0</x:v>
      </x:c>
      <x:c r="K220" s="6" t="str">
        <x:v>24</x:v>
      </x:c>
      <x:c r="L220" s="6" t="str">
        <x:v>0</x:v>
      </x:c>
      <x:c r="M220" s="6" t="str">
        <x:v>0</x:v>
      </x:c>
      <x:c r="N220" s="6" t="str">
        <x:v>0</x:v>
      </x:c>
      <x:c r="O220" s="6" t="str">
        <x:v>0</x:v>
      </x:c>
      <x:c r="P220" s="6" t="str">
        <x:v>25</x:v>
      </x:c>
      <x:c r="Q220" s="6" t="str">
        <x:v>0.0</x:v>
      </x:c>
      <x:c r="R220" s="6" t="str">
        <x:v>25</x:v>
      </x:c>
      <x:c r="S220" s="6" t="str">
        <x:v>0.0</x:v>
      </x:c>
      <x:c r="T220" s="6" t="str">
        <x:v>25</x:v>
      </x:c>
      <x:c r="U220" s="6" t="str">
        <x:v>0.0</x:v>
      </x:c>
      <x:c r="V220" s="6" t="str">
        <x:v>25</x:v>
      </x:c>
      <x:c r="W220" s="6" t="str">
        <x:v>15.0</x:v>
      </x:c>
      <x:c r="X220" s="6" t="str">
        <x:v>25</x:v>
      </x:c>
      <x:c r="Y220" s="6" t="str"/>
      <x:c r="Z220" s="6" t="str">
        <x:v>0</x:v>
      </x:c>
      <x:c r="AA220" s="6" t="str">
        <x:v>0.0</x:v>
      </x:c>
      <x:c r="AB220" s="6" t="str">
        <x:v>25</x:v>
      </x:c>
      <x:c r="AC220" s="6" t="str">
        <x:v>2024-03</x:v>
      </x:c>
      <x:c r="AD220" s="9" t="str">
        <x:v>BNPB operational disaster search table</x:v>
      </x:c>
      <x:c r="AE220" s="9" t="str">
        <x:v>https://gis.bnpb.go.id/databencana/tabel/pencarian.php</x:v>
      </x:c>
      <x:c r="AF220" s="9" t="str">
        <x:v>operational_snapshot_annual_totals_may_differ</x:v>
      </x:c>
    </x:row>
    <x:row r="221" ht="18" customHeight="1">
      <x:c r="A221" s="6" t="str">
        <x:v>21</x:v>
      </x:c>
      <x:c r="B221" s="6" t="str">
        <x:v>KEPULAUAN RIAU</x:v>
      </x:c>
      <x:c r="C221" s="6" t="str">
        <x:v>2024</x:v>
      </x:c>
      <x:c r="D221" s="6" t="str">
        <x:v>4</x:v>
      </x:c>
      <x:c r="E221" s="6" t="str">
        <x:v>4</x:v>
      </x:c>
      <x:c r="F221" s="6" t="str">
        <x:v>4</x:v>
      </x:c>
      <x:c r="G221" s="6" t="str">
        <x:v>0</x:v>
      </x:c>
      <x:c r="H221" s="6" t="str">
        <x:v>0</x:v>
      </x:c>
      <x:c r="I221" s="6" t="str">
        <x:v>0</x:v>
      </x:c>
      <x:c r="J221" s="6" t="str">
        <x:v>0</x:v>
      </x:c>
      <x:c r="K221" s="6" t="str">
        <x:v>4</x:v>
      </x:c>
      <x:c r="L221" s="6" t="str">
        <x:v>0</x:v>
      </x:c>
      <x:c r="M221" s="6" t="str">
        <x:v>0</x:v>
      </x:c>
      <x:c r="N221" s="6" t="str">
        <x:v>0</x:v>
      </x:c>
      <x:c r="O221" s="6" t="str">
        <x:v>0</x:v>
      </x:c>
      <x:c r="P221" s="6" t="str">
        <x:v>4</x:v>
      </x:c>
      <x:c r="Q221" s="6" t="str">
        <x:v>0.0</x:v>
      </x:c>
      <x:c r="R221" s="6" t="str">
        <x:v>4</x:v>
      </x:c>
      <x:c r="S221" s="6" t="str">
        <x:v>0.0</x:v>
      </x:c>
      <x:c r="T221" s="6" t="str">
        <x:v>4</x:v>
      </x:c>
      <x:c r="U221" s="6" t="str">
        <x:v>0.0</x:v>
      </x:c>
      <x:c r="V221" s="6" t="str">
        <x:v>4</x:v>
      </x:c>
      <x:c r="W221" s="6" t="str">
        <x:v>0.0</x:v>
      </x:c>
      <x:c r="X221" s="6" t="str">
        <x:v>4</x:v>
      </x:c>
      <x:c r="Y221" s="6" t="str"/>
      <x:c r="Z221" s="6" t="str">
        <x:v>0</x:v>
      </x:c>
      <x:c r="AA221" s="6" t="str">
        <x:v>0.0</x:v>
      </x:c>
      <x:c r="AB221" s="6" t="str">
        <x:v>4</x:v>
      </x:c>
      <x:c r="AC221" s="6" t="str">
        <x:v>2024-04</x:v>
      </x:c>
      <x:c r="AD221" s="9" t="str">
        <x:v>BNPB operational disaster search table</x:v>
      </x:c>
      <x:c r="AE221" s="9" t="str">
        <x:v>https://gis.bnpb.go.id/databencana/tabel/pencarian.php</x:v>
      </x:c>
      <x:c r="AF221" s="9" t="str">
        <x:v>operational_snapshot_annual_totals_may_differ</x:v>
      </x:c>
    </x:row>
    <x:row r="222" ht="18" customHeight="1">
      <x:c r="A222" s="6" t="str">
        <x:v>21</x:v>
      </x:c>
      <x:c r="B222" s="6" t="str">
        <x:v>KEPULAUAN RIAU</x:v>
      </x:c>
      <x:c r="C222" s="6" t="str">
        <x:v>2024</x:v>
      </x:c>
      <x:c r="D222" s="6" t="str">
        <x:v>5</x:v>
      </x:c>
      <x:c r="E222" s="6" t="str">
        <x:v>3</x:v>
      </x:c>
      <x:c r="F222" s="6" t="str">
        <x:v>3</x:v>
      </x:c>
      <x:c r="G222" s="6" t="str">
        <x:v>1</x:v>
      </x:c>
      <x:c r="H222" s="6" t="str">
        <x:v>0</x:v>
      </x:c>
      <x:c r="I222" s="6" t="str">
        <x:v>2</x:v>
      </x:c>
      <x:c r="J222" s="6" t="str">
        <x:v>0</x:v>
      </x:c>
      <x:c r="K222" s="6" t="str">
        <x:v>0</x:v>
      </x:c>
      <x:c r="L222" s="6" t="str">
        <x:v>0</x:v>
      </x:c>
      <x:c r="M222" s="6" t="str">
        <x:v>0</x:v>
      </x:c>
      <x:c r="N222" s="6" t="str">
        <x:v>0</x:v>
      </x:c>
      <x:c r="O222" s="6" t="str">
        <x:v>0</x:v>
      </x:c>
      <x:c r="P222" s="6" t="str">
        <x:v>3</x:v>
      </x:c>
      <x:c r="Q222" s="6" t="str">
        <x:v>0.0</x:v>
      </x:c>
      <x:c r="R222" s="6" t="str">
        <x:v>3</x:v>
      </x:c>
      <x:c r="S222" s="6" t="str">
        <x:v>0.0</x:v>
      </x:c>
      <x:c r="T222" s="6" t="str">
        <x:v>3</x:v>
      </x:c>
      <x:c r="U222" s="6" t="str">
        <x:v>0.0</x:v>
      </x:c>
      <x:c r="V222" s="6" t="str">
        <x:v>3</x:v>
      </x:c>
      <x:c r="W222" s="6" t="str">
        <x:v>206.0</x:v>
      </x:c>
      <x:c r="X222" s="6" t="str">
        <x:v>3</x:v>
      </x:c>
      <x:c r="Y222" s="6" t="str">
        <x:v>25.0</x:v>
      </x:c>
      <x:c r="Z222" s="6" t="str">
        <x:v>1</x:v>
      </x:c>
      <x:c r="AA222" s="6" t="str">
        <x:v>0.0</x:v>
      </x:c>
      <x:c r="AB222" s="6" t="str">
        <x:v>3</x:v>
      </x:c>
      <x:c r="AC222" s="6" t="str">
        <x:v>2024-05</x:v>
      </x:c>
      <x:c r="AD222" s="9" t="str">
        <x:v>BNPB operational disaster search table</x:v>
      </x:c>
      <x:c r="AE222" s="9" t="str">
        <x:v>https://gis.bnpb.go.id/databencana/tabel/pencarian.php</x:v>
      </x:c>
      <x:c r="AF222" s="9" t="str">
        <x:v>operational_snapshot_annual_totals_may_differ</x:v>
      </x:c>
    </x:row>
    <x:row r="223" ht="18" customHeight="1">
      <x:c r="A223" s="6" t="str">
        <x:v>21</x:v>
      </x:c>
      <x:c r="B223" s="6" t="str">
        <x:v>KEPULAUAN RIAU</x:v>
      </x:c>
      <x:c r="C223" s="6" t="str">
        <x:v>2024</x:v>
      </x:c>
      <x:c r="D223" s="6" t="str">
        <x:v>6</x:v>
      </x:c>
      <x:c r="E223" s="6" t="str">
        <x:v>3</x:v>
      </x:c>
      <x:c r="F223" s="6" t="str">
        <x:v>3</x:v>
      </x:c>
      <x:c r="G223" s="6" t="str">
        <x:v>0</x:v>
      </x:c>
      <x:c r="H223" s="6" t="str">
        <x:v>0</x:v>
      </x:c>
      <x:c r="I223" s="6" t="str">
        <x:v>3</x:v>
      </x:c>
      <x:c r="J223" s="6" t="str">
        <x:v>0</x:v>
      </x:c>
      <x:c r="K223" s="6" t="str">
        <x:v>0</x:v>
      </x:c>
      <x:c r="L223" s="6" t="str">
        <x:v>0</x:v>
      </x:c>
      <x:c r="M223" s="6" t="str">
        <x:v>0</x:v>
      </x:c>
      <x:c r="N223" s="6" t="str">
        <x:v>0</x:v>
      </x:c>
      <x:c r="O223" s="6" t="str">
        <x:v>0</x:v>
      </x:c>
      <x:c r="P223" s="6" t="str">
        <x:v>3</x:v>
      </x:c>
      <x:c r="Q223" s="6" t="str">
        <x:v>0.0</x:v>
      </x:c>
      <x:c r="R223" s="6" t="str">
        <x:v>3</x:v>
      </x:c>
      <x:c r="S223" s="6" t="str">
        <x:v>0.0</x:v>
      </x:c>
      <x:c r="T223" s="6" t="str">
        <x:v>3</x:v>
      </x:c>
      <x:c r="U223" s="6" t="str">
        <x:v>0.0</x:v>
      </x:c>
      <x:c r="V223" s="6" t="str">
        <x:v>3</x:v>
      </x:c>
      <x:c r="W223" s="6" t="str">
        <x:v>34.0</x:v>
      </x:c>
      <x:c r="X223" s="6" t="str">
        <x:v>3</x:v>
      </x:c>
      <x:c r="Y223" s="6" t="str"/>
      <x:c r="Z223" s="6" t="str">
        <x:v>0</x:v>
      </x:c>
      <x:c r="AA223" s="6" t="str">
        <x:v>0.0</x:v>
      </x:c>
      <x:c r="AB223" s="6" t="str">
        <x:v>3</x:v>
      </x:c>
      <x:c r="AC223" s="6" t="str">
        <x:v>2024-06</x:v>
      </x:c>
      <x:c r="AD223" s="9" t="str">
        <x:v>BNPB operational disaster search table</x:v>
      </x:c>
      <x:c r="AE223" s="9" t="str">
        <x:v>https://gis.bnpb.go.id/databencana/tabel/pencarian.php</x:v>
      </x:c>
      <x:c r="AF223" s="9" t="str">
        <x:v>operational_snapshot_annual_totals_may_differ</x:v>
      </x:c>
    </x:row>
    <x:row r="224" ht="18" customHeight="1">
      <x:c r="A224" s="6" t="str">
        <x:v>21</x:v>
      </x:c>
      <x:c r="B224" s="6" t="str">
        <x:v>KEPULAUAN RIAU</x:v>
      </x:c>
      <x:c r="C224" s="6" t="str">
        <x:v>2024</x:v>
      </x:c>
      <x:c r="D224" s="6" t="str">
        <x:v>7</x:v>
      </x:c>
      <x:c r="E224" s="6" t="str">
        <x:v>5</x:v>
      </x:c>
      <x:c r="F224" s="6" t="str">
        <x:v>5</x:v>
      </x:c>
      <x:c r="G224" s="6" t="str">
        <x:v>0</x:v>
      </x:c>
      <x:c r="H224" s="6" t="str">
        <x:v>0</x:v>
      </x:c>
      <x:c r="I224" s="6" t="str">
        <x:v>0</x:v>
      </x:c>
      <x:c r="J224" s="6" t="str">
        <x:v>0</x:v>
      </x:c>
      <x:c r="K224" s="6" t="str">
        <x:v>5</x:v>
      </x:c>
      <x:c r="L224" s="6" t="str">
        <x:v>0</x:v>
      </x:c>
      <x:c r="M224" s="6" t="str">
        <x:v>0</x:v>
      </x:c>
      <x:c r="N224" s="6" t="str">
        <x:v>0</x:v>
      </x:c>
      <x:c r="O224" s="6" t="str">
        <x:v>0</x:v>
      </x:c>
      <x:c r="P224" s="6" t="str">
        <x:v>5</x:v>
      </x:c>
      <x:c r="Q224" s="6" t="str">
        <x:v>0.0</x:v>
      </x:c>
      <x:c r="R224" s="6" t="str">
        <x:v>5</x:v>
      </x:c>
      <x:c r="S224" s="6" t="str">
        <x:v>0.0</x:v>
      </x:c>
      <x:c r="T224" s="6" t="str">
        <x:v>5</x:v>
      </x:c>
      <x:c r="U224" s="6" t="str">
        <x:v>0.0</x:v>
      </x:c>
      <x:c r="V224" s="6" t="str">
        <x:v>5</x:v>
      </x:c>
      <x:c r="W224" s="6" t="str">
        <x:v>0.0</x:v>
      </x:c>
      <x:c r="X224" s="6" t="str">
        <x:v>5</x:v>
      </x:c>
      <x:c r="Y224" s="6" t="str"/>
      <x:c r="Z224" s="6" t="str">
        <x:v>0</x:v>
      </x:c>
      <x:c r="AA224" s="6" t="str">
        <x:v>0.0</x:v>
      </x:c>
      <x:c r="AB224" s="6" t="str">
        <x:v>5</x:v>
      </x:c>
      <x:c r="AC224" s="6" t="str">
        <x:v>2024-07</x:v>
      </x:c>
      <x:c r="AD224" s="9" t="str">
        <x:v>BNPB operational disaster search table</x:v>
      </x:c>
      <x:c r="AE224" s="9" t="str">
        <x:v>https://gis.bnpb.go.id/databencana/tabel/pencarian.php</x:v>
      </x:c>
      <x:c r="AF224" s="9" t="str">
        <x:v>operational_snapshot_annual_totals_may_differ</x:v>
      </x:c>
    </x:row>
    <x:row r="225" ht="18" customHeight="1">
      <x:c r="A225" s="6" t="str">
        <x:v>21</x:v>
      </x:c>
      <x:c r="B225" s="6" t="str">
        <x:v>KEPULAUAN RIAU</x:v>
      </x:c>
      <x:c r="C225" s="6" t="str">
        <x:v>2024</x:v>
      </x:c>
      <x:c r="D225" s="6" t="str">
        <x:v>8</x:v>
      </x:c>
      <x:c r="E225" s="6" t="str">
        <x:v>6</x:v>
      </x:c>
      <x:c r="F225" s="6" t="str">
        <x:v>6</x:v>
      </x:c>
      <x:c r="G225" s="6" t="str">
        <x:v>0</x:v>
      </x:c>
      <x:c r="H225" s="6" t="str">
        <x:v>0</x:v>
      </x:c>
      <x:c r="I225" s="6" t="str">
        <x:v>2</x:v>
      </x:c>
      <x:c r="J225" s="6" t="str">
        <x:v>0</x:v>
      </x:c>
      <x:c r="K225" s="6" t="str">
        <x:v>4</x:v>
      </x:c>
      <x:c r="L225" s="6" t="str">
        <x:v>0</x:v>
      </x:c>
      <x:c r="M225" s="6" t="str">
        <x:v>0</x:v>
      </x:c>
      <x:c r="N225" s="6" t="str">
        <x:v>0</x:v>
      </x:c>
      <x:c r="O225" s="6" t="str">
        <x:v>0</x:v>
      </x:c>
      <x:c r="P225" s="6" t="str">
        <x:v>6</x:v>
      </x:c>
      <x:c r="Q225" s="6" t="str">
        <x:v>0.0</x:v>
      </x:c>
      <x:c r="R225" s="6" t="str">
        <x:v>6</x:v>
      </x:c>
      <x:c r="S225" s="6" t="str">
        <x:v>0.0</x:v>
      </x:c>
      <x:c r="T225" s="6" t="str">
        <x:v>6</x:v>
      </x:c>
      <x:c r="U225" s="6" t="str">
        <x:v>3.0</x:v>
      </x:c>
      <x:c r="V225" s="6" t="str">
        <x:v>6</x:v>
      </x:c>
      <x:c r="W225" s="6" t="str">
        <x:v>15.0</x:v>
      </x:c>
      <x:c r="X225" s="6" t="str">
        <x:v>6</x:v>
      </x:c>
      <x:c r="Y225" s="6" t="str"/>
      <x:c r="Z225" s="6" t="str">
        <x:v>0</x:v>
      </x:c>
      <x:c r="AA225" s="6" t="str">
        <x:v>0.0</x:v>
      </x:c>
      <x:c r="AB225" s="6" t="str">
        <x:v>6</x:v>
      </x:c>
      <x:c r="AC225" s="6" t="str">
        <x:v>2024-08</x:v>
      </x:c>
      <x:c r="AD225" s="9" t="str">
        <x:v>BNPB operational disaster search table</x:v>
      </x:c>
      <x:c r="AE225" s="9" t="str">
        <x:v>https://gis.bnpb.go.id/databencana/tabel/pencarian.php</x:v>
      </x:c>
      <x:c r="AF225" s="9" t="str">
        <x:v>operational_snapshot_annual_totals_may_differ</x:v>
      </x:c>
    </x:row>
    <x:row r="226" ht="18" customHeight="1">
      <x:c r="A226" s="6" t="str">
        <x:v>21</x:v>
      </x:c>
      <x:c r="B226" s="6" t="str">
        <x:v>KEPULAUAN RIAU</x:v>
      </x:c>
      <x:c r="C226" s="6" t="str">
        <x:v>2024</x:v>
      </x:c>
      <x:c r="D226" s="6" t="str">
        <x:v>9</x:v>
      </x:c>
      <x:c r="E226" s="6" t="str">
        <x:v>6</x:v>
      </x:c>
      <x:c r="F226" s="6" t="str">
        <x:v>6</x:v>
      </x:c>
      <x:c r="G226" s="6" t="str">
        <x:v>0</x:v>
      </x:c>
      <x:c r="H226" s="6" t="str">
        <x:v>0</x:v>
      </x:c>
      <x:c r="I226" s="6" t="str">
        <x:v>5</x:v>
      </x:c>
      <x:c r="J226" s="6" t="str">
        <x:v>0</x:v>
      </x:c>
      <x:c r="K226" s="6" t="str">
        <x:v>1</x:v>
      </x:c>
      <x:c r="L226" s="6" t="str">
        <x:v>0</x:v>
      </x:c>
      <x:c r="M226" s="6" t="str">
        <x:v>0</x:v>
      </x:c>
      <x:c r="N226" s="6" t="str">
        <x:v>0</x:v>
      </x:c>
      <x:c r="O226" s="6" t="str">
        <x:v>0</x:v>
      </x:c>
      <x:c r="P226" s="6" t="str">
        <x:v>6</x:v>
      </x:c>
      <x:c r="Q226" s="6" t="str">
        <x:v>2.0</x:v>
      </x:c>
      <x:c r="R226" s="6" t="str">
        <x:v>6</x:v>
      </x:c>
      <x:c r="S226" s="6" t="str">
        <x:v>1.0</x:v>
      </x:c>
      <x:c r="T226" s="6" t="str">
        <x:v>6</x:v>
      </x:c>
      <x:c r="U226" s="6" t="str">
        <x:v>0.0</x:v>
      </x:c>
      <x:c r="V226" s="6" t="str">
        <x:v>6</x:v>
      </x:c>
      <x:c r="W226" s="6" t="str">
        <x:v>532.0</x:v>
      </x:c>
      <x:c r="X226" s="6" t="str">
        <x:v>6</x:v>
      </x:c>
      <x:c r="Y226" s="6" t="str"/>
      <x:c r="Z226" s="6" t="str">
        <x:v>0</x:v>
      </x:c>
      <x:c r="AA226" s="6" t="str">
        <x:v>0.0</x:v>
      </x:c>
      <x:c r="AB226" s="6" t="str">
        <x:v>6</x:v>
      </x:c>
      <x:c r="AC226" s="6" t="str">
        <x:v>2024-09</x:v>
      </x:c>
      <x:c r="AD226" s="9" t="str">
        <x:v>BNPB operational disaster search table</x:v>
      </x:c>
      <x:c r="AE226" s="9" t="str">
        <x:v>https://gis.bnpb.go.id/databencana/tabel/pencarian.php</x:v>
      </x:c>
      <x:c r="AF226" s="9" t="str">
        <x:v>operational_snapshot_annual_totals_may_differ</x:v>
      </x:c>
    </x:row>
    <x:row r="227" ht="18" customHeight="1">
      <x:c r="A227" s="6" t="str">
        <x:v>21</x:v>
      </x:c>
      <x:c r="B227" s="6" t="str">
        <x:v>KEPULAUAN RIAU</x:v>
      </x:c>
      <x:c r="C227" s="6" t="str">
        <x:v>2024</x:v>
      </x:c>
      <x:c r="D227" s="6" t="str">
        <x:v>10</x:v>
      </x:c>
      <x:c r="E227" s="6" t="str">
        <x:v>2</x:v>
      </x:c>
      <x:c r="F227" s="6" t="str">
        <x:v>2</x:v>
      </x:c>
      <x:c r="G227" s="6" t="str">
        <x:v>0</x:v>
      </x:c>
      <x:c r="H227" s="6" t="str">
        <x:v>0</x:v>
      </x:c>
      <x:c r="I227" s="6" t="str">
        <x:v>1</x:v>
      </x:c>
      <x:c r="J227" s="6" t="str">
        <x:v>0</x:v>
      </x:c>
      <x:c r="K227" s="6" t="str">
        <x:v>1</x:v>
      </x:c>
      <x:c r="L227" s="6" t="str">
        <x:v>0</x:v>
      </x:c>
      <x:c r="M227" s="6" t="str">
        <x:v>0</x:v>
      </x:c>
      <x:c r="N227" s="6" t="str">
        <x:v>0</x:v>
      </x:c>
      <x:c r="O227" s="6" t="str">
        <x:v>0</x:v>
      </x:c>
      <x:c r="P227" s="6" t="str">
        <x:v>2</x:v>
      </x:c>
      <x:c r="Q227" s="6" t="str">
        <x:v>0.0</x:v>
      </x:c>
      <x:c r="R227" s="6" t="str">
        <x:v>2</x:v>
      </x:c>
      <x:c r="S227" s="6" t="str">
        <x:v>0.0</x:v>
      </x:c>
      <x:c r="T227" s="6" t="str">
        <x:v>2</x:v>
      </x:c>
      <x:c r="U227" s="6" t="str">
        <x:v>0.0</x:v>
      </x:c>
      <x:c r="V227" s="6" t="str">
        <x:v>2</x:v>
      </x:c>
      <x:c r="W227" s="6" t="str">
        <x:v>57.0</x:v>
      </x:c>
      <x:c r="X227" s="6" t="str">
        <x:v>2</x:v>
      </x:c>
      <x:c r="Y227" s="6" t="str"/>
      <x:c r="Z227" s="6" t="str">
        <x:v>0</x:v>
      </x:c>
      <x:c r="AA227" s="6" t="str">
        <x:v>0.0</x:v>
      </x:c>
      <x:c r="AB227" s="6" t="str">
        <x:v>2</x:v>
      </x:c>
      <x:c r="AC227" s="6" t="str">
        <x:v>2024-10</x:v>
      </x:c>
      <x:c r="AD227" s="9" t="str">
        <x:v>BNPB operational disaster search table</x:v>
      </x:c>
      <x:c r="AE227" s="9" t="str">
        <x:v>https://gis.bnpb.go.id/databencana/tabel/pencarian.php</x:v>
      </x:c>
      <x:c r="AF227" s="9" t="str">
        <x:v>operational_snapshot_annual_totals_may_differ</x:v>
      </x:c>
    </x:row>
    <x:row r="228" ht="18" customHeight="1">
      <x:c r="A228" s="6" t="str">
        <x:v>21</x:v>
      </x:c>
      <x:c r="B228" s="6" t="str">
        <x:v>KEPULAUAN RIAU</x:v>
      </x:c>
      <x:c r="C228" s="6" t="str">
        <x:v>2024</x:v>
      </x:c>
      <x:c r="D228" s="6" t="str">
        <x:v>11</x:v>
      </x:c>
      <x:c r="E228" s="6" t="str">
        <x:v>1</x:v>
      </x:c>
      <x:c r="F228" s="6" t="str">
        <x:v>1</x:v>
      </x:c>
      <x:c r="G228" s="6" t="str">
        <x:v>0</x:v>
      </x:c>
      <x:c r="H228" s="6" t="str">
        <x:v>0</x:v>
      </x:c>
      <x:c r="I228" s="6" t="str">
        <x:v>0</x:v>
      </x:c>
      <x:c r="J228" s="6" t="str">
        <x:v>0</x:v>
      </x:c>
      <x:c r="K228" s="6" t="str">
        <x:v>1</x:v>
      </x:c>
      <x:c r="L228" s="6" t="str">
        <x:v>0</x:v>
      </x:c>
      <x:c r="M228" s="6" t="str">
        <x:v>0</x:v>
      </x:c>
      <x:c r="N228" s="6" t="str">
        <x:v>0</x:v>
      </x:c>
      <x:c r="O228" s="6" t="str">
        <x:v>0</x:v>
      </x:c>
      <x:c r="P228" s="6" t="str">
        <x:v>1</x:v>
      </x:c>
      <x:c r="Q228" s="6" t="str">
        <x:v>0.0</x:v>
      </x:c>
      <x:c r="R228" s="6" t="str">
        <x:v>1</x:v>
      </x:c>
      <x:c r="S228" s="6" t="str">
        <x:v>0.0</x:v>
      </x:c>
      <x:c r="T228" s="6" t="str">
        <x:v>1</x:v>
      </x:c>
      <x:c r="U228" s="6" t="str">
        <x:v>0.0</x:v>
      </x:c>
      <x:c r="V228" s="6" t="str">
        <x:v>1</x:v>
      </x:c>
      <x:c r="W228" s="6" t="str">
        <x:v>0.0</x:v>
      </x:c>
      <x:c r="X228" s="6" t="str">
        <x:v>1</x:v>
      </x:c>
      <x:c r="Y228" s="6" t="str"/>
      <x:c r="Z228" s="6" t="str">
        <x:v>0</x:v>
      </x:c>
      <x:c r="AA228" s="6" t="str">
        <x:v>0.0</x:v>
      </x:c>
      <x:c r="AB228" s="6" t="str">
        <x:v>1</x:v>
      </x:c>
      <x:c r="AC228" s="6" t="str">
        <x:v>2024-11</x:v>
      </x:c>
      <x:c r="AD228" s="9" t="str">
        <x:v>BNPB operational disaster search table</x:v>
      </x:c>
      <x:c r="AE228" s="9" t="str">
        <x:v>https://gis.bnpb.go.id/databencana/tabel/pencarian.php</x:v>
      </x:c>
      <x:c r="AF228" s="9" t="str">
        <x:v>operational_snapshot_annual_totals_may_differ</x:v>
      </x:c>
    </x:row>
    <x:row r="229" ht="18" customHeight="1">
      <x:c r="A229" s="6" t="str">
        <x:v>21</x:v>
      </x:c>
      <x:c r="B229" s="6" t="str">
        <x:v>KEPULAUAN RIAU</x:v>
      </x:c>
      <x:c r="C229" s="6" t="str">
        <x:v>2024</x:v>
      </x:c>
      <x:c r="D229" s="6" t="str">
        <x:v>12</x:v>
      </x:c>
      <x:c r="E229" s="6" t="str">
        <x:v>2</x:v>
      </x:c>
      <x:c r="F229" s="6" t="str">
        <x:v>2</x:v>
      </x:c>
      <x:c r="G229" s="6" t="str">
        <x:v>1</x:v>
      </x:c>
      <x:c r="H229" s="6" t="str">
        <x:v>0</x:v>
      </x:c>
      <x:c r="I229" s="6" t="str">
        <x:v>0</x:v>
      </x:c>
      <x:c r="J229" s="6" t="str">
        <x:v>0</x:v>
      </x:c>
      <x:c r="K229" s="6" t="str">
        <x:v>1</x:v>
      </x:c>
      <x:c r="L229" s="6" t="str">
        <x:v>0</x:v>
      </x:c>
      <x:c r="M229" s="6" t="str">
        <x:v>0</x:v>
      </x:c>
      <x:c r="N229" s="6" t="str">
        <x:v>0</x:v>
      </x:c>
      <x:c r="O229" s="6" t="str">
        <x:v>0</x:v>
      </x:c>
      <x:c r="P229" s="6" t="str">
        <x:v>2</x:v>
      </x:c>
      <x:c r="Q229" s="6" t="str">
        <x:v>0.0</x:v>
      </x:c>
      <x:c r="R229" s="6" t="str">
        <x:v>2</x:v>
      </x:c>
      <x:c r="S229" s="6" t="str">
        <x:v>0.0</x:v>
      </x:c>
      <x:c r="T229" s="6" t="str">
        <x:v>2</x:v>
      </x:c>
      <x:c r="U229" s="6" t="str">
        <x:v>0.0</x:v>
      </x:c>
      <x:c r="V229" s="6" t="str">
        <x:v>2</x:v>
      </x:c>
      <x:c r="W229" s="6" t="str">
        <x:v>0.0</x:v>
      </x:c>
      <x:c r="X229" s="6" t="str">
        <x:v>2</x:v>
      </x:c>
      <x:c r="Y229" s="6" t="str">
        <x:v>7.0</x:v>
      </x:c>
      <x:c r="Z229" s="6" t="str">
        <x:v>1</x:v>
      </x:c>
      <x:c r="AA229" s="6" t="str">
        <x:v>0.0</x:v>
      </x:c>
      <x:c r="AB229" s="6" t="str">
        <x:v>2</x:v>
      </x:c>
      <x:c r="AC229" s="6" t="str">
        <x:v>2024-12</x:v>
      </x:c>
      <x:c r="AD229" s="9" t="str">
        <x:v>BNPB operational disaster search table</x:v>
      </x:c>
      <x:c r="AE229" s="9" t="str">
        <x:v>https://gis.bnpb.go.id/databencana/tabel/pencarian.php</x:v>
      </x:c>
      <x:c r="AF229" s="9" t="str">
        <x:v>operational_snapshot_annual_totals_may_differ</x:v>
      </x:c>
    </x:row>
    <x:row r="230" ht="18" customHeight="1">
      <x:c r="A230" s="6" t="str">
        <x:v>21</x:v>
      </x:c>
      <x:c r="B230" s="6" t="str">
        <x:v>KEPULAUAN RIAU</x:v>
      </x:c>
      <x:c r="C230" s="6" t="str">
        <x:v>2025</x:v>
      </x:c>
      <x:c r="D230" s="6" t="str">
        <x:v>1</x:v>
      </x:c>
      <x:c r="E230" s="6" t="str">
        <x:v>3</x:v>
      </x:c>
      <x:c r="F230" s="6" t="str">
        <x:v>3</x:v>
      </x:c>
      <x:c r="G230" s="6" t="str">
        <x:v>0</x:v>
      </x:c>
      <x:c r="H230" s="6" t="str">
        <x:v>1</x:v>
      </x:c>
      <x:c r="I230" s="6" t="str">
        <x:v>0</x:v>
      </x:c>
      <x:c r="J230" s="6" t="str">
        <x:v>0</x:v>
      </x:c>
      <x:c r="K230" s="6" t="str">
        <x:v>2</x:v>
      </x:c>
      <x:c r="L230" s="6" t="str">
        <x:v>0</x:v>
      </x:c>
      <x:c r="M230" s="6" t="str">
        <x:v>0</x:v>
      </x:c>
      <x:c r="N230" s="6" t="str">
        <x:v>0</x:v>
      </x:c>
      <x:c r="O230" s="6" t="str">
        <x:v>0</x:v>
      </x:c>
      <x:c r="P230" s="6" t="str">
        <x:v>3</x:v>
      </x:c>
      <x:c r="Q230" s="6" t="str">
        <x:v>4.0</x:v>
      </x:c>
      <x:c r="R230" s="6" t="str">
        <x:v>3</x:v>
      </x:c>
      <x:c r="S230" s="6" t="str">
        <x:v>0.0</x:v>
      </x:c>
      <x:c r="T230" s="6" t="str">
        <x:v>3</x:v>
      </x:c>
      <x:c r="U230" s="6" t="str">
        <x:v>5.0</x:v>
      </x:c>
      <x:c r="V230" s="6" t="str">
        <x:v>3</x:v>
      </x:c>
      <x:c r="W230" s="6" t="str">
        <x:v>5.0</x:v>
      </x:c>
      <x:c r="X230" s="6" t="str">
        <x:v>3</x:v>
      </x:c>
      <x:c r="Y230" s="6" t="str">
        <x:v>0.0</x:v>
      </x:c>
      <x:c r="Z230" s="6" t="str">
        <x:v>1</x:v>
      </x:c>
      <x:c r="AA230" s="6" t="str">
        <x:v>0.0</x:v>
      </x:c>
      <x:c r="AB230" s="6" t="str">
        <x:v>3</x:v>
      </x:c>
      <x:c r="AC230" s="6" t="str">
        <x:v>2025-01</x:v>
      </x:c>
      <x:c r="AD230" s="9" t="str">
        <x:v>BNPB operational disaster search table</x:v>
      </x:c>
      <x:c r="AE230" s="9" t="str">
        <x:v>https://gis.bnpb.go.id/databencana/tabel/pencarian.php</x:v>
      </x:c>
      <x:c r="AF230" s="9" t="str">
        <x:v>operational_snapshot_annual_totals_may_differ</x:v>
      </x:c>
    </x:row>
    <x:row r="231" ht="18" customHeight="1">
      <x:c r="A231" s="6" t="str">
        <x:v>21</x:v>
      </x:c>
      <x:c r="B231" s="6" t="str">
        <x:v>KEPULAUAN RIAU</x:v>
      </x:c>
      <x:c r="C231" s="6" t="str">
        <x:v>2025</x:v>
      </x:c>
      <x:c r="D231" s="6" t="str">
        <x:v>2</x:v>
      </x:c>
      <x:c r="E231" s="6" t="str">
        <x:v>2</x:v>
      </x:c>
      <x:c r="F231" s="6" t="str">
        <x:v>2</x:v>
      </x:c>
      <x:c r="G231" s="6" t="str">
        <x:v>0</x:v>
      </x:c>
      <x:c r="H231" s="6" t="str">
        <x:v>0</x:v>
      </x:c>
      <x:c r="I231" s="6" t="str">
        <x:v>0</x:v>
      </x:c>
      <x:c r="J231" s="6" t="str">
        <x:v>0</x:v>
      </x:c>
      <x:c r="K231" s="6" t="str">
        <x:v>2</x:v>
      </x:c>
      <x:c r="L231" s="6" t="str">
        <x:v>0</x:v>
      </x:c>
      <x:c r="M231" s="6" t="str">
        <x:v>0</x:v>
      </x:c>
      <x:c r="N231" s="6" t="str">
        <x:v>0</x:v>
      </x:c>
      <x:c r="O231" s="6" t="str">
        <x:v>0</x:v>
      </x:c>
      <x:c r="P231" s="6" t="str">
        <x:v>2</x:v>
      </x:c>
      <x:c r="Q231" s="6" t="str">
        <x:v>0.0</x:v>
      </x:c>
      <x:c r="R231" s="6" t="str">
        <x:v>2</x:v>
      </x:c>
      <x:c r="S231" s="6" t="str">
        <x:v>0.0</x:v>
      </x:c>
      <x:c r="T231" s="6" t="str">
        <x:v>2</x:v>
      </x:c>
      <x:c r="U231" s="6" t="str">
        <x:v>0.0</x:v>
      </x:c>
      <x:c r="V231" s="6" t="str">
        <x:v>2</x:v>
      </x:c>
      <x:c r="W231" s="6" t="str">
        <x:v>0.0</x:v>
      </x:c>
      <x:c r="X231" s="6" t="str">
        <x:v>2</x:v>
      </x:c>
      <x:c r="Y231" s="6" t="str"/>
      <x:c r="Z231" s="6" t="str">
        <x:v>0</x:v>
      </x:c>
      <x:c r="AA231" s="6" t="str">
        <x:v>0.0</x:v>
      </x:c>
      <x:c r="AB231" s="6" t="str">
        <x:v>2</x:v>
      </x:c>
      <x:c r="AC231" s="6" t="str">
        <x:v>2025-02</x:v>
      </x:c>
      <x:c r="AD231" s="9" t="str">
        <x:v>BNPB operational disaster search table</x:v>
      </x:c>
      <x:c r="AE231" s="9" t="str">
        <x:v>https://gis.bnpb.go.id/databencana/tabel/pencarian.php</x:v>
      </x:c>
      <x:c r="AF231" s="9" t="str">
        <x:v>operational_snapshot_annual_totals_may_differ</x:v>
      </x:c>
    </x:row>
    <x:row r="232" ht="18" customHeight="1">
      <x:c r="A232" s="6" t="str">
        <x:v>21</x:v>
      </x:c>
      <x:c r="B232" s="6" t="str">
        <x:v>KEPULAUAN RIAU</x:v>
      </x:c>
      <x:c r="C232" s="6" t="str">
        <x:v>2025</x:v>
      </x:c>
      <x:c r="D232" s="6" t="str">
        <x:v>3</x:v>
      </x:c>
      <x:c r="E232" s="6" t="str">
        <x:v>1</x:v>
      </x:c>
      <x:c r="F232" s="6" t="str">
        <x:v>1</x:v>
      </x:c>
      <x:c r="G232" s="6" t="str">
        <x:v>0</x:v>
      </x:c>
      <x:c r="H232" s="6" t="str">
        <x:v>0</x:v>
      </x:c>
      <x:c r="I232" s="6" t="str">
        <x:v>0</x:v>
      </x:c>
      <x:c r="J232" s="6" t="str">
        <x:v>0</x:v>
      </x:c>
      <x:c r="K232" s="6" t="str">
        <x:v>1</x:v>
      </x:c>
      <x:c r="L232" s="6" t="str">
        <x:v>0</x:v>
      </x:c>
      <x:c r="M232" s="6" t="str">
        <x:v>0</x:v>
      </x:c>
      <x:c r="N232" s="6" t="str">
        <x:v>0</x:v>
      </x:c>
      <x:c r="O232" s="6" t="str">
        <x:v>0</x:v>
      </x:c>
      <x:c r="P232" s="6" t="str">
        <x:v>1</x:v>
      </x:c>
      <x:c r="Q232" s="6" t="str">
        <x:v>0.0</x:v>
      </x:c>
      <x:c r="R232" s="6" t="str">
        <x:v>1</x:v>
      </x:c>
      <x:c r="S232" s="6" t="str">
        <x:v>0.0</x:v>
      </x:c>
      <x:c r="T232" s="6" t="str">
        <x:v>1</x:v>
      </x:c>
      <x:c r="U232" s="6" t="str">
        <x:v>0.0</x:v>
      </x:c>
      <x:c r="V232" s="6" t="str">
        <x:v>1</x:v>
      </x:c>
      <x:c r="W232" s="6" t="str">
        <x:v>0.0</x:v>
      </x:c>
      <x:c r="X232" s="6" t="str">
        <x:v>1</x:v>
      </x:c>
      <x:c r="Y232" s="6" t="str"/>
      <x:c r="Z232" s="6" t="str">
        <x:v>0</x:v>
      </x:c>
      <x:c r="AA232" s="6" t="str">
        <x:v>0.0</x:v>
      </x:c>
      <x:c r="AB232" s="6" t="str">
        <x:v>1</x:v>
      </x:c>
      <x:c r="AC232" s="6" t="str">
        <x:v>2025-03</x:v>
      </x:c>
      <x:c r="AD232" s="9" t="str">
        <x:v>BNPB operational disaster search table</x:v>
      </x:c>
      <x:c r="AE232" s="9" t="str">
        <x:v>https://gis.bnpb.go.id/databencana/tabel/pencarian.php</x:v>
      </x:c>
      <x:c r="AF232" s="9" t="str">
        <x:v>operational_snapshot_annual_totals_may_differ</x:v>
      </x:c>
    </x:row>
    <x:row r="233" ht="18" customHeight="1">
      <x:c r="A233" s="6" t="str">
        <x:v>21</x:v>
      </x:c>
      <x:c r="B233" s="6" t="str">
        <x:v>KEPULAUAN RIAU</x:v>
      </x:c>
      <x:c r="C233" s="6" t="str">
        <x:v>2025</x:v>
      </x:c>
      <x:c r="D233" s="6" t="str">
        <x:v>4</x:v>
      </x:c>
      <x:c r="E233" s="6" t="str">
        <x:v>0</x:v>
      </x:c>
      <x:c r="F233" s="6" t="str">
        <x:v>0</x:v>
      </x:c>
      <x:c r="G233" s="6" t="str">
        <x:v>0</x:v>
      </x:c>
      <x:c r="H233" s="6" t="str">
        <x:v>0</x:v>
      </x:c>
      <x:c r="I233" s="6" t="str">
        <x:v>0</x:v>
      </x:c>
      <x:c r="J233" s="6" t="str">
        <x:v>0</x:v>
      </x:c>
      <x:c r="K233" s="6" t="str">
        <x:v>0</x:v>
      </x:c>
      <x:c r="L233" s="6" t="str">
        <x:v>0</x:v>
      </x:c>
      <x:c r="M233" s="6" t="str">
        <x:v>0</x:v>
      </x:c>
      <x:c r="N233" s="6" t="str">
        <x:v>0</x:v>
      </x:c>
      <x:c r="O233" s="6" t="str">
        <x:v>0</x:v>
      </x:c>
      <x:c r="P233" s="6" t="str">
        <x:v>0</x:v>
      </x:c>
      <x:c r="Q233" s="6" t="str"/>
      <x:c r="R233" s="6" t="str">
        <x:v>0</x:v>
      </x:c>
      <x:c r="S233" s="6" t="str"/>
      <x:c r="T233" s="6" t="str">
        <x:v>0</x:v>
      </x:c>
      <x:c r="U233" s="6" t="str"/>
      <x:c r="V233" s="6" t="str">
        <x:v>0</x:v>
      </x:c>
      <x:c r="W233" s="6" t="str"/>
      <x:c r="X233" s="6" t="str">
        <x:v>0</x:v>
      </x:c>
      <x:c r="Y233" s="6" t="str"/>
      <x:c r="Z233" s="6" t="str">
        <x:v>0</x:v>
      </x:c>
      <x:c r="AA233" s="6" t="str"/>
      <x:c r="AB233" s="6" t="str">
        <x:v>0</x:v>
      </x:c>
      <x:c r="AC233" s="6" t="str">
        <x:v>2025-04</x:v>
      </x:c>
      <x:c r="AD233" s="9" t="str">
        <x:v>BNPB operational disaster search table</x:v>
      </x:c>
      <x:c r="AE233" s="9" t="str">
        <x:v>https://gis.bnpb.go.id/databencana/tabel/pencarian.php</x:v>
      </x:c>
      <x:c r="AF233" s="9" t="str">
        <x:v>operational_snapshot_annual_totals_may_differ</x:v>
      </x:c>
    </x:row>
    <x:row r="234" ht="18" customHeight="1">
      <x:c r="A234" s="6" t="str">
        <x:v>21</x:v>
      </x:c>
      <x:c r="B234" s="6" t="str">
        <x:v>KEPULAUAN RIAU</x:v>
      </x:c>
      <x:c r="C234" s="6" t="str">
        <x:v>2025</x:v>
      </x:c>
      <x:c r="D234" s="6" t="str">
        <x:v>5</x:v>
      </x:c>
      <x:c r="E234" s="6" t="str">
        <x:v>0</x:v>
      </x:c>
      <x:c r="F234" s="6" t="str">
        <x:v>0</x:v>
      </x:c>
      <x:c r="G234" s="6" t="str">
        <x:v>0</x:v>
      </x:c>
      <x:c r="H234" s="6" t="str">
        <x:v>0</x:v>
      </x:c>
      <x:c r="I234" s="6" t="str">
        <x:v>0</x:v>
      </x:c>
      <x:c r="J234" s="6" t="str">
        <x:v>0</x:v>
      </x:c>
      <x:c r="K234" s="6" t="str">
        <x:v>0</x:v>
      </x:c>
      <x:c r="L234" s="6" t="str">
        <x:v>0</x:v>
      </x:c>
      <x:c r="M234" s="6" t="str">
        <x:v>0</x:v>
      </x:c>
      <x:c r="N234" s="6" t="str">
        <x:v>0</x:v>
      </x:c>
      <x:c r="O234" s="6" t="str">
        <x:v>0</x:v>
      </x:c>
      <x:c r="P234" s="6" t="str">
        <x:v>0</x:v>
      </x:c>
      <x:c r="Q234" s="6" t="str"/>
      <x:c r="R234" s="6" t="str">
        <x:v>0</x:v>
      </x:c>
      <x:c r="S234" s="6" t="str"/>
      <x:c r="T234" s="6" t="str">
        <x:v>0</x:v>
      </x:c>
      <x:c r="U234" s="6" t="str"/>
      <x:c r="V234" s="6" t="str">
        <x:v>0</x:v>
      </x:c>
      <x:c r="W234" s="6" t="str"/>
      <x:c r="X234" s="6" t="str">
        <x:v>0</x:v>
      </x:c>
      <x:c r="Y234" s="6" t="str"/>
      <x:c r="Z234" s="6" t="str">
        <x:v>0</x:v>
      </x:c>
      <x:c r="AA234" s="6" t="str"/>
      <x:c r="AB234" s="6" t="str">
        <x:v>0</x:v>
      </x:c>
      <x:c r="AC234" s="6" t="str">
        <x:v>2025-05</x:v>
      </x:c>
      <x:c r="AD234" s="9" t="str">
        <x:v>BNPB operational disaster search table</x:v>
      </x:c>
      <x:c r="AE234" s="9" t="str">
        <x:v>https://gis.bnpb.go.id/databencana/tabel/pencarian.php</x:v>
      </x:c>
      <x:c r="AF234" s="9" t="str">
        <x:v>operational_snapshot_annual_totals_may_differ</x:v>
      </x:c>
    </x:row>
    <x:row r="235" ht="18" customHeight="1">
      <x:c r="A235" s="6" t="str">
        <x:v>21</x:v>
      </x:c>
      <x:c r="B235" s="6" t="str">
        <x:v>KEPULAUAN RIAU</x:v>
      </x:c>
      <x:c r="C235" s="6" t="str">
        <x:v>2025</x:v>
      </x:c>
      <x:c r="D235" s="6" t="str">
        <x:v>6</x:v>
      </x:c>
      <x:c r="E235" s="6" t="str">
        <x:v>0</x:v>
      </x:c>
      <x:c r="F235" s="6" t="str">
        <x:v>0</x:v>
      </x:c>
      <x:c r="G235" s="6" t="str">
        <x:v>0</x:v>
      </x:c>
      <x:c r="H235" s="6" t="str">
        <x:v>0</x:v>
      </x:c>
      <x:c r="I235" s="6" t="str">
        <x:v>0</x:v>
      </x:c>
      <x:c r="J235" s="6" t="str">
        <x:v>0</x:v>
      </x:c>
      <x:c r="K235" s="6" t="str">
        <x:v>0</x:v>
      </x:c>
      <x:c r="L235" s="6" t="str">
        <x:v>0</x:v>
      </x:c>
      <x:c r="M235" s="6" t="str">
        <x:v>0</x:v>
      </x:c>
      <x:c r="N235" s="6" t="str">
        <x:v>0</x:v>
      </x:c>
      <x:c r="O235" s="6" t="str">
        <x:v>0</x:v>
      </x:c>
      <x:c r="P235" s="6" t="str">
        <x:v>0</x:v>
      </x:c>
      <x:c r="Q235" s="6" t="str"/>
      <x:c r="R235" s="6" t="str">
        <x:v>0</x:v>
      </x:c>
      <x:c r="S235" s="6" t="str"/>
      <x:c r="T235" s="6" t="str">
        <x:v>0</x:v>
      </x:c>
      <x:c r="U235" s="6" t="str"/>
      <x:c r="V235" s="6" t="str">
        <x:v>0</x:v>
      </x:c>
      <x:c r="W235" s="6" t="str"/>
      <x:c r="X235" s="6" t="str">
        <x:v>0</x:v>
      </x:c>
      <x:c r="Y235" s="6" t="str"/>
      <x:c r="Z235" s="6" t="str">
        <x:v>0</x:v>
      </x:c>
      <x:c r="AA235" s="6" t="str"/>
      <x:c r="AB235" s="6" t="str">
        <x:v>0</x:v>
      </x:c>
      <x:c r="AC235" s="6" t="str">
        <x:v>2025-06</x:v>
      </x:c>
      <x:c r="AD235" s="9" t="str">
        <x:v>BNPB operational disaster search table</x:v>
      </x:c>
      <x:c r="AE235" s="9" t="str">
        <x:v>https://gis.bnpb.go.id/databencana/tabel/pencarian.php</x:v>
      </x:c>
      <x:c r="AF235" s="9" t="str">
        <x:v>operational_snapshot_annual_totals_may_differ</x:v>
      </x:c>
    </x:row>
    <x:row r="236" ht="18" customHeight="1">
      <x:c r="A236" s="6" t="str">
        <x:v>21</x:v>
      </x:c>
      <x:c r="B236" s="6" t="str">
        <x:v>KEPULAUAN RIAU</x:v>
      </x:c>
      <x:c r="C236" s="6" t="str">
        <x:v>2025</x:v>
      </x:c>
      <x:c r="D236" s="6" t="str">
        <x:v>7</x:v>
      </x:c>
      <x:c r="E236" s="6" t="str">
        <x:v>0</x:v>
      </x:c>
      <x:c r="F236" s="6" t="str">
        <x:v>0</x:v>
      </x:c>
      <x:c r="G236" s="6" t="str">
        <x:v>0</x:v>
      </x:c>
      <x:c r="H236" s="6" t="str">
        <x:v>0</x:v>
      </x:c>
      <x:c r="I236" s="6" t="str">
        <x:v>0</x:v>
      </x:c>
      <x:c r="J236" s="6" t="str">
        <x:v>0</x:v>
      </x:c>
      <x:c r="K236" s="6" t="str">
        <x:v>0</x:v>
      </x:c>
      <x:c r="L236" s="6" t="str">
        <x:v>0</x:v>
      </x:c>
      <x:c r="M236" s="6" t="str">
        <x:v>0</x:v>
      </x:c>
      <x:c r="N236" s="6" t="str">
        <x:v>0</x:v>
      </x:c>
      <x:c r="O236" s="6" t="str">
        <x:v>0</x:v>
      </x:c>
      <x:c r="P236" s="6" t="str">
        <x:v>0</x:v>
      </x:c>
      <x:c r="Q236" s="6" t="str"/>
      <x:c r="R236" s="6" t="str">
        <x:v>0</x:v>
      </x:c>
      <x:c r="S236" s="6" t="str"/>
      <x:c r="T236" s="6" t="str">
        <x:v>0</x:v>
      </x:c>
      <x:c r="U236" s="6" t="str"/>
      <x:c r="V236" s="6" t="str">
        <x:v>0</x:v>
      </x:c>
      <x:c r="W236" s="6" t="str"/>
      <x:c r="X236" s="6" t="str">
        <x:v>0</x:v>
      </x:c>
      <x:c r="Y236" s="6" t="str"/>
      <x:c r="Z236" s="6" t="str">
        <x:v>0</x:v>
      </x:c>
      <x:c r="AA236" s="6" t="str"/>
      <x:c r="AB236" s="6" t="str">
        <x:v>0</x:v>
      </x:c>
      <x:c r="AC236" s="6" t="str">
        <x:v>2025-07</x:v>
      </x:c>
      <x:c r="AD236" s="9" t="str">
        <x:v>BNPB operational disaster search table</x:v>
      </x:c>
      <x:c r="AE236" s="9" t="str">
        <x:v>https://gis.bnpb.go.id/databencana/tabel/pencarian.php</x:v>
      </x:c>
      <x:c r="AF236" s="9" t="str">
        <x:v>operational_snapshot_annual_totals_may_differ</x:v>
      </x:c>
    </x:row>
    <x:row r="237" ht="18" customHeight="1">
      <x:c r="A237" s="6" t="str">
        <x:v>21</x:v>
      </x:c>
      <x:c r="B237" s="6" t="str">
        <x:v>KEPULAUAN RIAU</x:v>
      </x:c>
      <x:c r="C237" s="6" t="str">
        <x:v>2025</x:v>
      </x:c>
      <x:c r="D237" s="6" t="str">
        <x:v>8</x:v>
      </x:c>
      <x:c r="E237" s="6" t="str">
        <x:v>1</x:v>
      </x:c>
      <x:c r="F237" s="6" t="str">
        <x:v>1</x:v>
      </x:c>
      <x:c r="G237" s="6" t="str">
        <x:v>1</x:v>
      </x:c>
      <x:c r="H237" s="6" t="str">
        <x:v>0</x:v>
      </x:c>
      <x:c r="I237" s="6" t="str">
        <x:v>0</x:v>
      </x:c>
      <x:c r="J237" s="6" t="str">
        <x:v>0</x:v>
      </x:c>
      <x:c r="K237" s="6" t="str">
        <x:v>0</x:v>
      </x:c>
      <x:c r="L237" s="6" t="str">
        <x:v>0</x:v>
      </x:c>
      <x:c r="M237" s="6" t="str">
        <x:v>0</x:v>
      </x:c>
      <x:c r="N237" s="6" t="str">
        <x:v>0</x:v>
      </x:c>
      <x:c r="O237" s="6" t="str">
        <x:v>0</x:v>
      </x:c>
      <x:c r="P237" s="6" t="str">
        <x:v>1</x:v>
      </x:c>
      <x:c r="Q237" s="6" t="str"/>
      <x:c r="R237" s="6" t="str">
        <x:v>0</x:v>
      </x:c>
      <x:c r="S237" s="6" t="str"/>
      <x:c r="T237" s="6" t="str">
        <x:v>0</x:v>
      </x:c>
      <x:c r="U237" s="6" t="str"/>
      <x:c r="V237" s="6" t="str">
        <x:v>0</x:v>
      </x:c>
      <x:c r="W237" s="6" t="str">
        <x:v>0.0</x:v>
      </x:c>
      <x:c r="X237" s="6" t="str">
        <x:v>1</x:v>
      </x:c>
      <x:c r="Y237" s="6" t="str">
        <x:v>25.0</x:v>
      </x:c>
      <x:c r="Z237" s="6" t="str">
        <x:v>1</x:v>
      </x:c>
      <x:c r="AA237" s="6" t="str">
        <x:v>0.0</x:v>
      </x:c>
      <x:c r="AB237" s="6" t="str">
        <x:v>1</x:v>
      </x:c>
      <x:c r="AC237" s="6" t="str">
        <x:v>2025-08</x:v>
      </x:c>
      <x:c r="AD237" s="9" t="str">
        <x:v>BNPB operational disaster search table</x:v>
      </x:c>
      <x:c r="AE237" s="9" t="str">
        <x:v>https://gis.bnpb.go.id/databencana/tabel/pencarian.php</x:v>
      </x:c>
      <x:c r="AF237" s="9" t="str">
        <x:v>operational_snapshot_annual_totals_may_differ</x:v>
      </x:c>
    </x:row>
    <x:row r="238" ht="18" customHeight="1">
      <x:c r="A238" s="6" t="str">
        <x:v>21</x:v>
      </x:c>
      <x:c r="B238" s="6" t="str">
        <x:v>KEPULAUAN RIAU</x:v>
      </x:c>
      <x:c r="C238" s="6" t="str">
        <x:v>2025</x:v>
      </x:c>
      <x:c r="D238" s="6" t="str">
        <x:v>9</x:v>
      </x:c>
      <x:c r="E238" s="6" t="str">
        <x:v>0</x:v>
      </x:c>
      <x:c r="F238" s="6" t="str">
        <x:v>0</x:v>
      </x:c>
      <x:c r="G238" s="6" t="str">
        <x:v>0</x:v>
      </x:c>
      <x:c r="H238" s="6" t="str">
        <x:v>0</x:v>
      </x:c>
      <x:c r="I238" s="6" t="str">
        <x:v>0</x:v>
      </x:c>
      <x:c r="J238" s="6" t="str">
        <x:v>0</x:v>
      </x:c>
      <x:c r="K238" s="6" t="str">
        <x:v>0</x:v>
      </x:c>
      <x:c r="L238" s="6" t="str">
        <x:v>0</x:v>
      </x:c>
      <x:c r="M238" s="6" t="str">
        <x:v>0</x:v>
      </x:c>
      <x:c r="N238" s="6" t="str">
        <x:v>0</x:v>
      </x:c>
      <x:c r="O238" s="6" t="str">
        <x:v>0</x:v>
      </x:c>
      <x:c r="P238" s="6" t="str">
        <x:v>0</x:v>
      </x:c>
      <x:c r="Q238" s="6" t="str"/>
      <x:c r="R238" s="6" t="str">
        <x:v>0</x:v>
      </x:c>
      <x:c r="S238" s="6" t="str"/>
      <x:c r="T238" s="6" t="str">
        <x:v>0</x:v>
      </x:c>
      <x:c r="U238" s="6" t="str"/>
      <x:c r="V238" s="6" t="str">
        <x:v>0</x:v>
      </x:c>
      <x:c r="W238" s="6" t="str"/>
      <x:c r="X238" s="6" t="str">
        <x:v>0</x:v>
      </x:c>
      <x:c r="Y238" s="6" t="str"/>
      <x:c r="Z238" s="6" t="str">
        <x:v>0</x:v>
      </x:c>
      <x:c r="AA238" s="6" t="str"/>
      <x:c r="AB238" s="6" t="str">
        <x:v>0</x:v>
      </x:c>
      <x:c r="AC238" s="6" t="str">
        <x:v>2025-09</x:v>
      </x:c>
      <x:c r="AD238" s="9" t="str">
        <x:v>BNPB operational disaster search table</x:v>
      </x:c>
      <x:c r="AE238" s="9" t="str">
        <x:v>https://gis.bnpb.go.id/databencana/tabel/pencarian.php</x:v>
      </x:c>
      <x:c r="AF238" s="9" t="str">
        <x:v>operational_snapshot_annual_totals_may_differ</x:v>
      </x:c>
    </x:row>
    <x:row r="239" ht="18" customHeight="1">
      <x:c r="A239" s="6" t="str">
        <x:v>21</x:v>
      </x:c>
      <x:c r="B239" s="6" t="str">
        <x:v>KEPULAUAN RIAU</x:v>
      </x:c>
      <x:c r="C239" s="6" t="str">
        <x:v>2025</x:v>
      </x:c>
      <x:c r="D239" s="6" t="str">
        <x:v>10</x:v>
      </x:c>
      <x:c r="E239" s="6" t="str">
        <x:v>1</x:v>
      </x:c>
      <x:c r="F239" s="6" t="str">
        <x:v>1</x:v>
      </x:c>
      <x:c r="G239" s="6" t="str">
        <x:v>0</x:v>
      </x:c>
      <x:c r="H239" s="6" t="str">
        <x:v>0</x:v>
      </x:c>
      <x:c r="I239" s="6" t="str">
        <x:v>1</x:v>
      </x:c>
      <x:c r="J239" s="6" t="str">
        <x:v>0</x:v>
      </x:c>
      <x:c r="K239" s="6" t="str">
        <x:v>0</x:v>
      </x:c>
      <x:c r="L239" s="6" t="str">
        <x:v>0</x:v>
      </x:c>
      <x:c r="M239" s="6" t="str">
        <x:v>0</x:v>
      </x:c>
      <x:c r="N239" s="6" t="str">
        <x:v>0</x:v>
      </x:c>
      <x:c r="O239" s="6" t="str">
        <x:v>0</x:v>
      </x:c>
      <x:c r="P239" s="6" t="str">
        <x:v>1</x:v>
      </x:c>
      <x:c r="Q239" s="6" t="str"/>
      <x:c r="R239" s="6" t="str">
        <x:v>0</x:v>
      </x:c>
      <x:c r="S239" s="6" t="str"/>
      <x:c r="T239" s="6" t="str">
        <x:v>0</x:v>
      </x:c>
      <x:c r="U239" s="6" t="str"/>
      <x:c r="V239" s="6" t="str">
        <x:v>0</x:v>
      </x:c>
      <x:c r="W239" s="6" t="str">
        <x:v>10.0</x:v>
      </x:c>
      <x:c r="X239" s="6" t="str">
        <x:v>1</x:v>
      </x:c>
      <x:c r="Y239" s="6" t="str"/>
      <x:c r="Z239" s="6" t="str">
        <x:v>0</x:v>
      </x:c>
      <x:c r="AA239" s="6" t="str">
        <x:v>0.0</x:v>
      </x:c>
      <x:c r="AB239" s="6" t="str">
        <x:v>1</x:v>
      </x:c>
      <x:c r="AC239" s="6" t="str">
        <x:v>2025-10</x:v>
      </x:c>
      <x:c r="AD239" s="9" t="str">
        <x:v>BNPB operational disaster search table</x:v>
      </x:c>
      <x:c r="AE239" s="9" t="str">
        <x:v>https://gis.bnpb.go.id/databencana/tabel/pencarian.php</x:v>
      </x:c>
      <x:c r="AF239" s="9" t="str">
        <x:v>operational_snapshot_annual_totals_may_differ</x:v>
      </x:c>
    </x:row>
    <x:row r="240" ht="18" customHeight="1">
      <x:c r="A240" s="6" t="str">
        <x:v>21</x:v>
      </x:c>
      <x:c r="B240" s="6" t="str">
        <x:v>KEPULAUAN RIAU</x:v>
      </x:c>
      <x:c r="C240" s="6" t="str">
        <x:v>2025</x:v>
      </x:c>
      <x:c r="D240" s="6" t="str">
        <x:v>11</x:v>
      </x:c>
      <x:c r="E240" s="6" t="str">
        <x:v>0</x:v>
      </x:c>
      <x:c r="F240" s="6" t="str">
        <x:v>0</x:v>
      </x:c>
      <x:c r="G240" s="6" t="str">
        <x:v>0</x:v>
      </x:c>
      <x:c r="H240" s="6" t="str">
        <x:v>0</x:v>
      </x:c>
      <x:c r="I240" s="6" t="str">
        <x:v>0</x:v>
      </x:c>
      <x:c r="J240" s="6" t="str">
        <x:v>0</x:v>
      </x:c>
      <x:c r="K240" s="6" t="str">
        <x:v>0</x:v>
      </x:c>
      <x:c r="L240" s="6" t="str">
        <x:v>0</x:v>
      </x:c>
      <x:c r="M240" s="6" t="str">
        <x:v>0</x:v>
      </x:c>
      <x:c r="N240" s="6" t="str">
        <x:v>0</x:v>
      </x:c>
      <x:c r="O240" s="6" t="str">
        <x:v>0</x:v>
      </x:c>
      <x:c r="P240" s="6" t="str">
        <x:v>0</x:v>
      </x:c>
      <x:c r="Q240" s="6" t="str"/>
      <x:c r="R240" s="6" t="str">
        <x:v>0</x:v>
      </x:c>
      <x:c r="S240" s="6" t="str"/>
      <x:c r="T240" s="6" t="str">
        <x:v>0</x:v>
      </x:c>
      <x:c r="U240" s="6" t="str"/>
      <x:c r="V240" s="6" t="str">
        <x:v>0</x:v>
      </x:c>
      <x:c r="W240" s="6" t="str"/>
      <x:c r="X240" s="6" t="str">
        <x:v>0</x:v>
      </x:c>
      <x:c r="Y240" s="6" t="str"/>
      <x:c r="Z240" s="6" t="str">
        <x:v>0</x:v>
      </x:c>
      <x:c r="AA240" s="6" t="str"/>
      <x:c r="AB240" s="6" t="str">
        <x:v>0</x:v>
      </x:c>
      <x:c r="AC240" s="6" t="str">
        <x:v>2025-11</x:v>
      </x:c>
      <x:c r="AD240" s="9" t="str">
        <x:v>BNPB operational disaster search table</x:v>
      </x:c>
      <x:c r="AE240" s="9" t="str">
        <x:v>https://gis.bnpb.go.id/databencana/tabel/pencarian.php</x:v>
      </x:c>
      <x:c r="AF240" s="9" t="str">
        <x:v>operational_snapshot_annual_totals_may_differ</x:v>
      </x:c>
    </x:row>
    <x:row r="241" ht="18" customHeight="1">
      <x:c r="A241" s="6" t="str">
        <x:v>21</x:v>
      </x:c>
      <x:c r="B241" s="6" t="str">
        <x:v>KEPULAUAN RIAU</x:v>
      </x:c>
      <x:c r="C241" s="6" t="str">
        <x:v>2025</x:v>
      </x:c>
      <x:c r="D241" s="6" t="str">
        <x:v>12</x:v>
      </x:c>
      <x:c r="E241" s="6" t="str">
        <x:v>1</x:v>
      </x:c>
      <x:c r="F241" s="6" t="str">
        <x:v>1</x:v>
      </x:c>
      <x:c r="G241" s="6" t="str">
        <x:v>1</x:v>
      </x:c>
      <x:c r="H241" s="6" t="str">
        <x:v>0</x:v>
      </x:c>
      <x:c r="I241" s="6" t="str">
        <x:v>0</x:v>
      </x:c>
      <x:c r="J241" s="6" t="str">
        <x:v>0</x:v>
      </x:c>
      <x:c r="K241" s="6" t="str">
        <x:v>0</x:v>
      </x:c>
      <x:c r="L241" s="6" t="str">
        <x:v>0</x:v>
      </x:c>
      <x:c r="M241" s="6" t="str">
        <x:v>0</x:v>
      </x:c>
      <x:c r="N241" s="6" t="str">
        <x:v>0</x:v>
      </x:c>
      <x:c r="O241" s="6" t="str">
        <x:v>0</x:v>
      </x:c>
      <x:c r="P241" s="6" t="str">
        <x:v>1</x:v>
      </x:c>
      <x:c r="Q241" s="6" t="str"/>
      <x:c r="R241" s="6" t="str">
        <x:v>0</x:v>
      </x:c>
      <x:c r="S241" s="6" t="str"/>
      <x:c r="T241" s="6" t="str">
        <x:v>0</x:v>
      </x:c>
      <x:c r="U241" s="6" t="str"/>
      <x:c r="V241" s="6" t="str">
        <x:v>0</x:v>
      </x:c>
      <x:c r="W241" s="6" t="str">
        <x:v>0.0</x:v>
      </x:c>
      <x:c r="X241" s="6" t="str">
        <x:v>1</x:v>
      </x:c>
      <x:c r="Y241" s="6" t="str">
        <x:v>12.0</x:v>
      </x:c>
      <x:c r="Z241" s="6" t="str">
        <x:v>1</x:v>
      </x:c>
      <x:c r="AA241" s="6" t="str">
        <x:v>0.0</x:v>
      </x:c>
      <x:c r="AB241" s="6" t="str">
        <x:v>1</x:v>
      </x:c>
      <x:c r="AC241" s="6" t="str">
        <x:v>2025-12</x:v>
      </x:c>
      <x:c r="AD241" s="9" t="str">
        <x:v>BNPB operational disaster search table</x:v>
      </x:c>
      <x:c r="AE241" s="9" t="str">
        <x:v>https://gis.bnpb.go.id/databencana/tabel/pencarian.php</x:v>
      </x:c>
      <x:c r="AF241" s="9" t="str">
        <x:v>operational_snapshot_annual_totals_may_differ</x:v>
      </x:c>
    </x:row>
    <x:row r="242" ht="18" customHeight="1">
      <x:c r="A242" s="6" t="str">
        <x:v>31</x:v>
      </x:c>
      <x:c r="B242" s="6" t="str">
        <x:v>DKI JAKARTA</x:v>
      </x:c>
      <x:c r="C242" s="6" t="str">
        <x:v>2024</x:v>
      </x:c>
      <x:c r="D242" s="6" t="str">
        <x:v>1</x:v>
      </x:c>
      <x:c r="E242" s="6" t="str">
        <x:v>8</x:v>
      </x:c>
      <x:c r="F242" s="6" t="str">
        <x:v>8</x:v>
      </x:c>
      <x:c r="G242" s="6" t="str">
        <x:v>7</x:v>
      </x:c>
      <x:c r="H242" s="6" t="str">
        <x:v>0</x:v>
      </x:c>
      <x:c r="I242" s="6" t="str">
        <x:v>1</x:v>
      </x:c>
      <x:c r="J242" s="6" t="str">
        <x:v>0</x:v>
      </x:c>
      <x:c r="K242" s="6" t="str">
        <x:v>0</x:v>
      </x:c>
      <x:c r="L242" s="6" t="str">
        <x:v>0</x:v>
      </x:c>
      <x:c r="M242" s="6" t="str">
        <x:v>0</x:v>
      </x:c>
      <x:c r="N242" s="6" t="str">
        <x:v>0</x:v>
      </x:c>
      <x:c r="O242" s="6" t="str">
        <x:v>0</x:v>
      </x:c>
      <x:c r="P242" s="6" t="str">
        <x:v>8</x:v>
      </x:c>
      <x:c r="Q242" s="6" t="str">
        <x:v>3.0</x:v>
      </x:c>
      <x:c r="R242" s="6" t="str">
        <x:v>8</x:v>
      </x:c>
      <x:c r="S242" s="6" t="str">
        <x:v>0.0</x:v>
      </x:c>
      <x:c r="T242" s="6" t="str">
        <x:v>8</x:v>
      </x:c>
      <x:c r="U242" s="6" t="str">
        <x:v>1.0</x:v>
      </x:c>
      <x:c r="V242" s="6" t="str">
        <x:v>8</x:v>
      </x:c>
      <x:c r="W242" s="6" t="str">
        <x:v>0.0</x:v>
      </x:c>
      <x:c r="X242" s="6" t="str">
        <x:v>8</x:v>
      </x:c>
      <x:c r="Y242" s="6" t="str">
        <x:v>992.0</x:v>
      </x:c>
      <x:c r="Z242" s="6" t="str">
        <x:v>3</x:v>
      </x:c>
      <x:c r="AA242" s="6" t="str">
        <x:v>0.0</x:v>
      </x:c>
      <x:c r="AB242" s="6" t="str">
        <x:v>8</x:v>
      </x:c>
      <x:c r="AC242" s="6" t="str">
        <x:v>2024-01</x:v>
      </x:c>
      <x:c r="AD242" s="9" t="str">
        <x:v>BNPB operational disaster search table</x:v>
      </x:c>
      <x:c r="AE242" s="9" t="str">
        <x:v>https://gis.bnpb.go.id/databencana/tabel/pencarian.php</x:v>
      </x:c>
      <x:c r="AF242" s="9" t="str">
        <x:v>operational_snapshot_annual_totals_may_differ</x:v>
      </x:c>
    </x:row>
    <x:row r="243" ht="18" customHeight="1">
      <x:c r="A243" s="6" t="str">
        <x:v>31</x:v>
      </x:c>
      <x:c r="B243" s="6" t="str">
        <x:v>DKI JAKARTA</x:v>
      </x:c>
      <x:c r="C243" s="6" t="str">
        <x:v>2024</x:v>
      </x:c>
      <x:c r="D243" s="6" t="str">
        <x:v>2</x:v>
      </x:c>
      <x:c r="E243" s="6" t="str">
        <x:v>2</x:v>
      </x:c>
      <x:c r="F243" s="6" t="str">
        <x:v>2</x:v>
      </x:c>
      <x:c r="G243" s="6" t="str">
        <x:v>2</x:v>
      </x:c>
      <x:c r="H243" s="6" t="str">
        <x:v>0</x:v>
      </x:c>
      <x:c r="I243" s="6" t="str">
        <x:v>0</x:v>
      </x:c>
      <x:c r="J243" s="6" t="str">
        <x:v>0</x:v>
      </x:c>
      <x:c r="K243" s="6" t="str">
        <x:v>0</x:v>
      </x:c>
      <x:c r="L243" s="6" t="str">
        <x:v>0</x:v>
      </x:c>
      <x:c r="M243" s="6" t="str">
        <x:v>0</x:v>
      </x:c>
      <x:c r="N243" s="6" t="str">
        <x:v>0</x:v>
      </x:c>
      <x:c r="O243" s="6" t="str">
        <x:v>0</x:v>
      </x:c>
      <x:c r="P243" s="6" t="str">
        <x:v>2</x:v>
      </x:c>
      <x:c r="Q243" s="6" t="str">
        <x:v>0.0</x:v>
      </x:c>
      <x:c r="R243" s="6" t="str">
        <x:v>2</x:v>
      </x:c>
      <x:c r="S243" s="6" t="str">
        <x:v>0.0</x:v>
      </x:c>
      <x:c r="T243" s="6" t="str">
        <x:v>2</x:v>
      </x:c>
      <x:c r="U243" s="6" t="str">
        <x:v>0.0</x:v>
      </x:c>
      <x:c r="V243" s="6" t="str">
        <x:v>2</x:v>
      </x:c>
      <x:c r="W243" s="6" t="str">
        <x:v>0.0</x:v>
      </x:c>
      <x:c r="X243" s="6" t="str">
        <x:v>2</x:v>
      </x:c>
      <x:c r="Y243" s="6" t="str">
        <x:v>76.0</x:v>
      </x:c>
      <x:c r="Z243" s="6" t="str">
        <x:v>2</x:v>
      </x:c>
      <x:c r="AA243" s="6" t="str">
        <x:v>0.0</x:v>
      </x:c>
      <x:c r="AB243" s="6" t="str">
        <x:v>2</x:v>
      </x:c>
      <x:c r="AC243" s="6" t="str">
        <x:v>2024-02</x:v>
      </x:c>
      <x:c r="AD243" s="9" t="str">
        <x:v>BNPB operational disaster search table</x:v>
      </x:c>
      <x:c r="AE243" s="9" t="str">
        <x:v>https://gis.bnpb.go.id/databencana/tabel/pencarian.php</x:v>
      </x:c>
      <x:c r="AF243" s="9" t="str">
        <x:v>operational_snapshot_annual_totals_may_differ</x:v>
      </x:c>
    </x:row>
    <x:row r="244" ht="18" customHeight="1">
      <x:c r="A244" s="6" t="str">
        <x:v>31</x:v>
      </x:c>
      <x:c r="B244" s="6" t="str">
        <x:v>DKI JAKARTA</x:v>
      </x:c>
      <x:c r="C244" s="6" t="str">
        <x:v>2024</x:v>
      </x:c>
      <x:c r="D244" s="6" t="str">
        <x:v>3</x:v>
      </x:c>
      <x:c r="E244" s="6" t="str">
        <x:v>4</x:v>
      </x:c>
      <x:c r="F244" s="6" t="str">
        <x:v>4</x:v>
      </x:c>
      <x:c r="G244" s="6" t="str">
        <x:v>4</x:v>
      </x:c>
      <x:c r="H244" s="6" t="str">
        <x:v>0</x:v>
      </x:c>
      <x:c r="I244" s="6" t="str">
        <x:v>0</x:v>
      </x:c>
      <x:c r="J244" s="6" t="str">
        <x:v>0</x:v>
      </x:c>
      <x:c r="K244" s="6" t="str">
        <x:v>0</x:v>
      </x:c>
      <x:c r="L244" s="6" t="str">
        <x:v>0</x:v>
      </x:c>
      <x:c r="M244" s="6" t="str">
        <x:v>0</x:v>
      </x:c>
      <x:c r="N244" s="6" t="str">
        <x:v>0</x:v>
      </x:c>
      <x:c r="O244" s="6" t="str">
        <x:v>0</x:v>
      </x:c>
      <x:c r="P244" s="6" t="str">
        <x:v>4</x:v>
      </x:c>
      <x:c r="Q244" s="6" t="str">
        <x:v>0.0</x:v>
      </x:c>
      <x:c r="R244" s="6" t="str">
        <x:v>4</x:v>
      </x:c>
      <x:c r="S244" s="6" t="str">
        <x:v>0.0</x:v>
      </x:c>
      <x:c r="T244" s="6" t="str">
        <x:v>4</x:v>
      </x:c>
      <x:c r="U244" s="6" t="str">
        <x:v>0.0</x:v>
      </x:c>
      <x:c r="V244" s="6" t="str">
        <x:v>4</x:v>
      </x:c>
      <x:c r="W244" s="6" t="str">
        <x:v>0.0</x:v>
      </x:c>
      <x:c r="X244" s="6" t="str">
        <x:v>4</x:v>
      </x:c>
      <x:c r="Y244" s="6" t="str">
        <x:v>245.0</x:v>
      </x:c>
      <x:c r="Z244" s="6" t="str">
        <x:v>1</x:v>
      </x:c>
      <x:c r="AA244" s="6" t="str">
        <x:v>0.0</x:v>
      </x:c>
      <x:c r="AB244" s="6" t="str">
        <x:v>4</x:v>
      </x:c>
      <x:c r="AC244" s="6" t="str">
        <x:v>2024-03</x:v>
      </x:c>
      <x:c r="AD244" s="9" t="str">
        <x:v>BNPB operational disaster search table</x:v>
      </x:c>
      <x:c r="AE244" s="9" t="str">
        <x:v>https://gis.bnpb.go.id/databencana/tabel/pencarian.php</x:v>
      </x:c>
      <x:c r="AF244" s="9" t="str">
        <x:v>operational_snapshot_annual_totals_may_differ</x:v>
      </x:c>
    </x:row>
    <x:row r="245" ht="18" customHeight="1">
      <x:c r="A245" s="6" t="str">
        <x:v>31</x:v>
      </x:c>
      <x:c r="B245" s="6" t="str">
        <x:v>DKI JAKARTA</x:v>
      </x:c>
      <x:c r="C245" s="6" t="str">
        <x:v>2024</x:v>
      </x:c>
      <x:c r="D245" s="6" t="str">
        <x:v>4</x:v>
      </x:c>
      <x:c r="E245" s="6" t="str">
        <x:v>3</x:v>
      </x:c>
      <x:c r="F245" s="6" t="str">
        <x:v>3</x:v>
      </x:c>
      <x:c r="G245" s="6" t="str">
        <x:v>3</x:v>
      </x:c>
      <x:c r="H245" s="6" t="str">
        <x:v>0</x:v>
      </x:c>
      <x:c r="I245" s="6" t="str">
        <x:v>0</x:v>
      </x:c>
      <x:c r="J245" s="6" t="str">
        <x:v>0</x:v>
      </x:c>
      <x:c r="K245" s="6" t="str">
        <x:v>0</x:v>
      </x:c>
      <x:c r="L245" s="6" t="str">
        <x:v>0</x:v>
      </x:c>
      <x:c r="M245" s="6" t="str">
        <x:v>0</x:v>
      </x:c>
      <x:c r="N245" s="6" t="str">
        <x:v>0</x:v>
      </x:c>
      <x:c r="O245" s="6" t="str">
        <x:v>0</x:v>
      </x:c>
      <x:c r="P245" s="6" t="str">
        <x:v>3</x:v>
      </x:c>
      <x:c r="Q245" s="6" t="str">
        <x:v>0.0</x:v>
      </x:c>
      <x:c r="R245" s="6" t="str">
        <x:v>3</x:v>
      </x:c>
      <x:c r="S245" s="6" t="str">
        <x:v>0.0</x:v>
      </x:c>
      <x:c r="T245" s="6" t="str">
        <x:v>3</x:v>
      </x:c>
      <x:c r="U245" s="6" t="str">
        <x:v>0.0</x:v>
      </x:c>
      <x:c r="V245" s="6" t="str">
        <x:v>3</x:v>
      </x:c>
      <x:c r="W245" s="6" t="str">
        <x:v>0.0</x:v>
      </x:c>
      <x:c r="X245" s="6" t="str">
        <x:v>3</x:v>
      </x:c>
      <x:c r="Y245" s="6" t="str">
        <x:v>320.0</x:v>
      </x:c>
      <x:c r="Z245" s="6" t="str">
        <x:v>1</x:v>
      </x:c>
      <x:c r="AA245" s="6" t="str">
        <x:v>0.0</x:v>
      </x:c>
      <x:c r="AB245" s="6" t="str">
        <x:v>3</x:v>
      </x:c>
      <x:c r="AC245" s="6" t="str">
        <x:v>2024-04</x:v>
      </x:c>
      <x:c r="AD245" s="9" t="str">
        <x:v>BNPB operational disaster search table</x:v>
      </x:c>
      <x:c r="AE245" s="9" t="str">
        <x:v>https://gis.bnpb.go.id/databencana/tabel/pencarian.php</x:v>
      </x:c>
      <x:c r="AF245" s="9" t="str">
        <x:v>operational_snapshot_annual_totals_may_differ</x:v>
      </x:c>
    </x:row>
    <x:row r="246" ht="18" customHeight="1">
      <x:c r="A246" s="6" t="str">
        <x:v>31</x:v>
      </x:c>
      <x:c r="B246" s="6" t="str">
        <x:v>DKI JAKARTA</x:v>
      </x:c>
      <x:c r="C246" s="6" t="str">
        <x:v>2024</x:v>
      </x:c>
      <x:c r="D246" s="6" t="str">
        <x:v>5</x:v>
      </x:c>
      <x:c r="E246" s="6" t="str">
        <x:v>2</x:v>
      </x:c>
      <x:c r="F246" s="6" t="str">
        <x:v>2</x:v>
      </x:c>
      <x:c r="G246" s="6" t="str">
        <x:v>1</x:v>
      </x:c>
      <x:c r="H246" s="6" t="str">
        <x:v>0</x:v>
      </x:c>
      <x:c r="I246" s="6" t="str">
        <x:v>1</x:v>
      </x:c>
      <x:c r="J246" s="6" t="str">
        <x:v>0</x:v>
      </x:c>
      <x:c r="K246" s="6" t="str">
        <x:v>0</x:v>
      </x:c>
      <x:c r="L246" s="6" t="str">
        <x:v>0</x:v>
      </x:c>
      <x:c r="M246" s="6" t="str">
        <x:v>0</x:v>
      </x:c>
      <x:c r="N246" s="6" t="str">
        <x:v>0</x:v>
      </x:c>
      <x:c r="O246" s="6" t="str">
        <x:v>0</x:v>
      </x:c>
      <x:c r="P246" s="6" t="str">
        <x:v>2</x:v>
      </x:c>
      <x:c r="Q246" s="6" t="str">
        <x:v>0.0</x:v>
      </x:c>
      <x:c r="R246" s="6" t="str">
        <x:v>2</x:v>
      </x:c>
      <x:c r="S246" s="6" t="str">
        <x:v>0.0</x:v>
      </x:c>
      <x:c r="T246" s="6" t="str">
        <x:v>2</x:v>
      </x:c>
      <x:c r="U246" s="6" t="str">
        <x:v>1.0</x:v>
      </x:c>
      <x:c r="V246" s="6" t="str">
        <x:v>2</x:v>
      </x:c>
      <x:c r="W246" s="6" t="str">
        <x:v>7.0</x:v>
      </x:c>
      <x:c r="X246" s="6" t="str">
        <x:v>2</x:v>
      </x:c>
      <x:c r="Y246" s="6" t="str">
        <x:v>146.0</x:v>
      </x:c>
      <x:c r="Z246" s="6" t="str">
        <x:v>1</x:v>
      </x:c>
      <x:c r="AA246" s="6" t="str">
        <x:v>0.0</x:v>
      </x:c>
      <x:c r="AB246" s="6" t="str">
        <x:v>2</x:v>
      </x:c>
      <x:c r="AC246" s="6" t="str">
        <x:v>2024-05</x:v>
      </x:c>
      <x:c r="AD246" s="9" t="str">
        <x:v>BNPB operational disaster search table</x:v>
      </x:c>
      <x:c r="AE246" s="9" t="str">
        <x:v>https://gis.bnpb.go.id/databencana/tabel/pencarian.php</x:v>
      </x:c>
      <x:c r="AF246" s="9" t="str">
        <x:v>operational_snapshot_annual_totals_may_differ</x:v>
      </x:c>
    </x:row>
    <x:row r="247" ht="18" customHeight="1">
      <x:c r="A247" s="6" t="str">
        <x:v>31</x:v>
      </x:c>
      <x:c r="B247" s="6" t="str">
        <x:v>DKI JAKARTA</x:v>
      </x:c>
      <x:c r="C247" s="6" t="str">
        <x:v>2024</x:v>
      </x:c>
      <x:c r="D247" s="6" t="str">
        <x:v>6</x:v>
      </x:c>
      <x:c r="E247" s="6" t="str">
        <x:v>1</x:v>
      </x:c>
      <x:c r="F247" s="6" t="str">
        <x:v>1</x:v>
      </x:c>
      <x:c r="G247" s="6" t="str">
        <x:v>0</x:v>
      </x:c>
      <x:c r="H247" s="6" t="str">
        <x:v>0</x:v>
      </x:c>
      <x:c r="I247" s="6" t="str">
        <x:v>1</x:v>
      </x:c>
      <x:c r="J247" s="6" t="str">
        <x:v>0</x:v>
      </x:c>
      <x:c r="K247" s="6" t="str">
        <x:v>0</x:v>
      </x:c>
      <x:c r="L247" s="6" t="str">
        <x:v>0</x:v>
      </x:c>
      <x:c r="M247" s="6" t="str">
        <x:v>0</x:v>
      </x:c>
      <x:c r="N247" s="6" t="str">
        <x:v>0</x:v>
      </x:c>
      <x:c r="O247" s="6" t="str">
        <x:v>0</x:v>
      </x:c>
      <x:c r="P247" s="6" t="str">
        <x:v>1</x:v>
      </x:c>
      <x:c r="Q247" s="6" t="str">
        <x:v>0.0</x:v>
      </x:c>
      <x:c r="R247" s="6" t="str">
        <x:v>1</x:v>
      </x:c>
      <x:c r="S247" s="6" t="str">
        <x:v>0.0</x:v>
      </x:c>
      <x:c r="T247" s="6" t="str">
        <x:v>1</x:v>
      </x:c>
      <x:c r="U247" s="6" t="str">
        <x:v>0.0</x:v>
      </x:c>
      <x:c r="V247" s="6" t="str">
        <x:v>1</x:v>
      </x:c>
      <x:c r="W247" s="6" t="str">
        <x:v>5.0</x:v>
      </x:c>
      <x:c r="X247" s="6" t="str">
        <x:v>1</x:v>
      </x:c>
      <x:c r="Y247" s="6" t="str"/>
      <x:c r="Z247" s="6" t="str">
        <x:v>0</x:v>
      </x:c>
      <x:c r="AA247" s="6" t="str">
        <x:v>0.0</x:v>
      </x:c>
      <x:c r="AB247" s="6" t="str">
        <x:v>1</x:v>
      </x:c>
      <x:c r="AC247" s="6" t="str">
        <x:v>2024-06</x:v>
      </x:c>
      <x:c r="AD247" s="9" t="str">
        <x:v>BNPB operational disaster search table</x:v>
      </x:c>
      <x:c r="AE247" s="9" t="str">
        <x:v>https://gis.bnpb.go.id/databencana/tabel/pencarian.php</x:v>
      </x:c>
      <x:c r="AF247" s="9" t="str">
        <x:v>operational_snapshot_annual_totals_may_differ</x:v>
      </x:c>
    </x:row>
    <x:row r="248" ht="18" customHeight="1">
      <x:c r="A248" s="6" t="str">
        <x:v>31</x:v>
      </x:c>
      <x:c r="B248" s="6" t="str">
        <x:v>DKI JAKARTA</x:v>
      </x:c>
      <x:c r="C248" s="6" t="str">
        <x:v>2024</x:v>
      </x:c>
      <x:c r="D248" s="6" t="str">
        <x:v>7</x:v>
      </x:c>
      <x:c r="E248" s="6" t="str">
        <x:v>2</x:v>
      </x:c>
      <x:c r="F248" s="6" t="str">
        <x:v>2</x:v>
      </x:c>
      <x:c r="G248" s="6" t="str">
        <x:v>0</x:v>
      </x:c>
      <x:c r="H248" s="6" t="str">
        <x:v>0</x:v>
      </x:c>
      <x:c r="I248" s="6" t="str">
        <x:v>2</x:v>
      </x:c>
      <x:c r="J248" s="6" t="str">
        <x:v>0</x:v>
      </x:c>
      <x:c r="K248" s="6" t="str">
        <x:v>0</x:v>
      </x:c>
      <x:c r="L248" s="6" t="str">
        <x:v>0</x:v>
      </x:c>
      <x:c r="M248" s="6" t="str">
        <x:v>0</x:v>
      </x:c>
      <x:c r="N248" s="6" t="str">
        <x:v>0</x:v>
      </x:c>
      <x:c r="O248" s="6" t="str">
        <x:v>0</x:v>
      </x:c>
      <x:c r="P248" s="6" t="str">
        <x:v>2</x:v>
      </x:c>
      <x:c r="Q248" s="6" t="str">
        <x:v>0.0</x:v>
      </x:c>
      <x:c r="R248" s="6" t="str">
        <x:v>2</x:v>
      </x:c>
      <x:c r="S248" s="6" t="str">
        <x:v>0.0</x:v>
      </x:c>
      <x:c r="T248" s="6" t="str">
        <x:v>2</x:v>
      </x:c>
      <x:c r="U248" s="6" t="str">
        <x:v>0.0</x:v>
      </x:c>
      <x:c r="V248" s="6" t="str">
        <x:v>2</x:v>
      </x:c>
      <x:c r="W248" s="6" t="str">
        <x:v>15.0</x:v>
      </x:c>
      <x:c r="X248" s="6" t="str">
        <x:v>2</x:v>
      </x:c>
      <x:c r="Y248" s="6" t="str"/>
      <x:c r="Z248" s="6" t="str">
        <x:v>0</x:v>
      </x:c>
      <x:c r="AA248" s="6" t="str">
        <x:v>0.0</x:v>
      </x:c>
      <x:c r="AB248" s="6" t="str">
        <x:v>2</x:v>
      </x:c>
      <x:c r="AC248" s="6" t="str">
        <x:v>2024-07</x:v>
      </x:c>
      <x:c r="AD248" s="9" t="str">
        <x:v>BNPB operational disaster search table</x:v>
      </x:c>
      <x:c r="AE248" s="9" t="str">
        <x:v>https://gis.bnpb.go.id/databencana/tabel/pencarian.php</x:v>
      </x:c>
      <x:c r="AF248" s="9" t="str">
        <x:v>operational_snapshot_annual_totals_may_differ</x:v>
      </x:c>
    </x:row>
    <x:row r="249" ht="18" customHeight="1">
      <x:c r="A249" s="6" t="str">
        <x:v>31</x:v>
      </x:c>
      <x:c r="B249" s="6" t="str">
        <x:v>DKI JAKARTA</x:v>
      </x:c>
      <x:c r="C249" s="6" t="str">
        <x:v>2024</x:v>
      </x:c>
      <x:c r="D249" s="6" t="str">
        <x:v>8</x:v>
      </x:c>
      <x:c r="E249" s="6" t="str">
        <x:v>0</x:v>
      </x:c>
      <x:c r="F249" s="6" t="str">
        <x:v>0</x:v>
      </x:c>
      <x:c r="G249" s="6" t="str">
        <x:v>0</x:v>
      </x:c>
      <x:c r="H249" s="6" t="str">
        <x:v>0</x:v>
      </x:c>
      <x:c r="I249" s="6" t="str">
        <x:v>0</x:v>
      </x:c>
      <x:c r="J249" s="6" t="str">
        <x:v>0</x:v>
      </x:c>
      <x:c r="K249" s="6" t="str">
        <x:v>0</x:v>
      </x:c>
      <x:c r="L249" s="6" t="str">
        <x:v>0</x:v>
      </x:c>
      <x:c r="M249" s="6" t="str">
        <x:v>0</x:v>
      </x:c>
      <x:c r="N249" s="6" t="str">
        <x:v>0</x:v>
      </x:c>
      <x:c r="O249" s="6" t="str">
        <x:v>0</x:v>
      </x:c>
      <x:c r="P249" s="6" t="str">
        <x:v>0</x:v>
      </x:c>
      <x:c r="Q249" s="6" t="str"/>
      <x:c r="R249" s="6" t="str">
        <x:v>0</x:v>
      </x:c>
      <x:c r="S249" s="6" t="str"/>
      <x:c r="T249" s="6" t="str">
        <x:v>0</x:v>
      </x:c>
      <x:c r="U249" s="6" t="str"/>
      <x:c r="V249" s="6" t="str">
        <x:v>0</x:v>
      </x:c>
      <x:c r="W249" s="6" t="str"/>
      <x:c r="X249" s="6" t="str">
        <x:v>0</x:v>
      </x:c>
      <x:c r="Y249" s="6" t="str"/>
      <x:c r="Z249" s="6" t="str">
        <x:v>0</x:v>
      </x:c>
      <x:c r="AA249" s="6" t="str"/>
      <x:c r="AB249" s="6" t="str">
        <x:v>0</x:v>
      </x:c>
      <x:c r="AC249" s="6" t="str">
        <x:v>2024-08</x:v>
      </x:c>
      <x:c r="AD249" s="9" t="str">
        <x:v>BNPB operational disaster search table</x:v>
      </x:c>
      <x:c r="AE249" s="9" t="str">
        <x:v>https://gis.bnpb.go.id/databencana/tabel/pencarian.php</x:v>
      </x:c>
      <x:c r="AF249" s="9" t="str">
        <x:v>operational_snapshot_annual_totals_may_differ</x:v>
      </x:c>
    </x:row>
    <x:row r="250" ht="18" customHeight="1">
      <x:c r="A250" s="6" t="str">
        <x:v>31</x:v>
      </x:c>
      <x:c r="B250" s="6" t="str">
        <x:v>DKI JAKARTA</x:v>
      </x:c>
      <x:c r="C250" s="6" t="str">
        <x:v>2024</x:v>
      </x:c>
      <x:c r="D250" s="6" t="str">
        <x:v>9</x:v>
      </x:c>
      <x:c r="E250" s="6" t="str">
        <x:v>1</x:v>
      </x:c>
      <x:c r="F250" s="6" t="str">
        <x:v>1</x:v>
      </x:c>
      <x:c r="G250" s="6" t="str">
        <x:v>1</x:v>
      </x:c>
      <x:c r="H250" s="6" t="str">
        <x:v>0</x:v>
      </x:c>
      <x:c r="I250" s="6" t="str">
        <x:v>0</x:v>
      </x:c>
      <x:c r="J250" s="6" t="str">
        <x:v>0</x:v>
      </x:c>
      <x:c r="K250" s="6" t="str">
        <x:v>0</x:v>
      </x:c>
      <x:c r="L250" s="6" t="str">
        <x:v>0</x:v>
      </x:c>
      <x:c r="M250" s="6" t="str">
        <x:v>0</x:v>
      </x:c>
      <x:c r="N250" s="6" t="str">
        <x:v>0</x:v>
      </x:c>
      <x:c r="O250" s="6" t="str">
        <x:v>0</x:v>
      </x:c>
      <x:c r="P250" s="6" t="str">
        <x:v>1</x:v>
      </x:c>
      <x:c r="Q250" s="6" t="str">
        <x:v>0.0</x:v>
      </x:c>
      <x:c r="R250" s="6" t="str">
        <x:v>1</x:v>
      </x:c>
      <x:c r="S250" s="6" t="str">
        <x:v>0.0</x:v>
      </x:c>
      <x:c r="T250" s="6" t="str">
        <x:v>1</x:v>
      </x:c>
      <x:c r="U250" s="6" t="str">
        <x:v>0.0</x:v>
      </x:c>
      <x:c r="V250" s="6" t="str">
        <x:v>1</x:v>
      </x:c>
      <x:c r="W250" s="6" t="str">
        <x:v>0.0</x:v>
      </x:c>
      <x:c r="X250" s="6" t="str">
        <x:v>1</x:v>
      </x:c>
      <x:c r="Y250" s="6" t="str"/>
      <x:c r="Z250" s="6" t="str">
        <x:v>0</x:v>
      </x:c>
      <x:c r="AA250" s="6" t="str">
        <x:v>0.0</x:v>
      </x:c>
      <x:c r="AB250" s="6" t="str">
        <x:v>1</x:v>
      </x:c>
      <x:c r="AC250" s="6" t="str">
        <x:v>2024-09</x:v>
      </x:c>
      <x:c r="AD250" s="9" t="str">
        <x:v>BNPB operational disaster search table</x:v>
      </x:c>
      <x:c r="AE250" s="9" t="str">
        <x:v>https://gis.bnpb.go.id/databencana/tabel/pencarian.php</x:v>
      </x:c>
      <x:c r="AF250" s="9" t="str">
        <x:v>operational_snapshot_annual_totals_may_differ</x:v>
      </x:c>
    </x:row>
    <x:row r="251" ht="18" customHeight="1">
      <x:c r="A251" s="6" t="str">
        <x:v>31</x:v>
      </x:c>
      <x:c r="B251" s="6" t="str">
        <x:v>DKI JAKARTA</x:v>
      </x:c>
      <x:c r="C251" s="6" t="str">
        <x:v>2024</x:v>
      </x:c>
      <x:c r="D251" s="6" t="str">
        <x:v>10</x:v>
      </x:c>
      <x:c r="E251" s="6" t="str">
        <x:v>1</x:v>
      </x:c>
      <x:c r="F251" s="6" t="str">
        <x:v>1</x:v>
      </x:c>
      <x:c r="G251" s="6" t="str">
        <x:v>0</x:v>
      </x:c>
      <x:c r="H251" s="6" t="str">
        <x:v>0</x:v>
      </x:c>
      <x:c r="I251" s="6" t="str">
        <x:v>1</x:v>
      </x:c>
      <x:c r="J251" s="6" t="str">
        <x:v>0</x:v>
      </x:c>
      <x:c r="K251" s="6" t="str">
        <x:v>0</x:v>
      </x:c>
      <x:c r="L251" s="6" t="str">
        <x:v>0</x:v>
      </x:c>
      <x:c r="M251" s="6" t="str">
        <x:v>0</x:v>
      </x:c>
      <x:c r="N251" s="6" t="str">
        <x:v>0</x:v>
      </x:c>
      <x:c r="O251" s="6" t="str">
        <x:v>0</x:v>
      </x:c>
      <x:c r="P251" s="6" t="str">
        <x:v>1</x:v>
      </x:c>
      <x:c r="Q251" s="6" t="str">
        <x:v>0.0</x:v>
      </x:c>
      <x:c r="R251" s="6" t="str">
        <x:v>1</x:v>
      </x:c>
      <x:c r="S251" s="6" t="str">
        <x:v>0.0</x:v>
      </x:c>
      <x:c r="T251" s="6" t="str">
        <x:v>1</x:v>
      </x:c>
      <x:c r="U251" s="6" t="str">
        <x:v>0.0</x:v>
      </x:c>
      <x:c r="V251" s="6" t="str">
        <x:v>1</x:v>
      </x:c>
      <x:c r="W251" s="6" t="str">
        <x:v>9.0</x:v>
      </x:c>
      <x:c r="X251" s="6" t="str">
        <x:v>1</x:v>
      </x:c>
      <x:c r="Y251" s="6" t="str"/>
      <x:c r="Z251" s="6" t="str">
        <x:v>0</x:v>
      </x:c>
      <x:c r="AA251" s="6" t="str">
        <x:v>0.0</x:v>
      </x:c>
      <x:c r="AB251" s="6" t="str">
        <x:v>1</x:v>
      </x:c>
      <x:c r="AC251" s="6" t="str">
        <x:v>2024-10</x:v>
      </x:c>
      <x:c r="AD251" s="9" t="str">
        <x:v>BNPB operational disaster search table</x:v>
      </x:c>
      <x:c r="AE251" s="9" t="str">
        <x:v>https://gis.bnpb.go.id/databencana/tabel/pencarian.php</x:v>
      </x:c>
      <x:c r="AF251" s="9" t="str">
        <x:v>operational_snapshot_annual_totals_may_differ</x:v>
      </x:c>
    </x:row>
    <x:row r="252" ht="18" customHeight="1">
      <x:c r="A252" s="6" t="str">
        <x:v>31</x:v>
      </x:c>
      <x:c r="B252" s="6" t="str">
        <x:v>DKI JAKARTA</x:v>
      </x:c>
      <x:c r="C252" s="6" t="str">
        <x:v>2024</x:v>
      </x:c>
      <x:c r="D252" s="6" t="str">
        <x:v>11</x:v>
      </x:c>
      <x:c r="E252" s="6" t="str">
        <x:v>4</x:v>
      </x:c>
      <x:c r="F252" s="6" t="str">
        <x:v>4</x:v>
      </x:c>
      <x:c r="G252" s="6" t="str">
        <x:v>4</x:v>
      </x:c>
      <x:c r="H252" s="6" t="str">
        <x:v>0</x:v>
      </x:c>
      <x:c r="I252" s="6" t="str">
        <x:v>0</x:v>
      </x:c>
      <x:c r="J252" s="6" t="str">
        <x:v>0</x:v>
      </x:c>
      <x:c r="K252" s="6" t="str">
        <x:v>0</x:v>
      </x:c>
      <x:c r="L252" s="6" t="str">
        <x:v>0</x:v>
      </x:c>
      <x:c r="M252" s="6" t="str">
        <x:v>0</x:v>
      </x:c>
      <x:c r="N252" s="6" t="str">
        <x:v>0</x:v>
      </x:c>
      <x:c r="O252" s="6" t="str">
        <x:v>0</x:v>
      </x:c>
      <x:c r="P252" s="6" t="str">
        <x:v>4</x:v>
      </x:c>
      <x:c r="Q252" s="6" t="str">
        <x:v>0.0</x:v>
      </x:c>
      <x:c r="R252" s="6" t="str">
        <x:v>4</x:v>
      </x:c>
      <x:c r="S252" s="6" t="str">
        <x:v>0.0</x:v>
      </x:c>
      <x:c r="T252" s="6" t="str">
        <x:v>4</x:v>
      </x:c>
      <x:c r="U252" s="6" t="str">
        <x:v>0.0</x:v>
      </x:c>
      <x:c r="V252" s="6" t="str">
        <x:v>4</x:v>
      </x:c>
      <x:c r="W252" s="6" t="str">
        <x:v>0.0</x:v>
      </x:c>
      <x:c r="X252" s="6" t="str">
        <x:v>4</x:v>
      </x:c>
      <x:c r="Y252" s="6" t="str">
        <x:v>950.0</x:v>
      </x:c>
      <x:c r="Z252" s="6" t="str">
        <x:v>1</x:v>
      </x:c>
      <x:c r="AA252" s="6" t="str">
        <x:v>0.0</x:v>
      </x:c>
      <x:c r="AB252" s="6" t="str">
        <x:v>4</x:v>
      </x:c>
      <x:c r="AC252" s="6" t="str">
        <x:v>2024-11</x:v>
      </x:c>
      <x:c r="AD252" s="9" t="str">
        <x:v>BNPB operational disaster search table</x:v>
      </x:c>
      <x:c r="AE252" s="9" t="str">
        <x:v>https://gis.bnpb.go.id/databencana/tabel/pencarian.php</x:v>
      </x:c>
      <x:c r="AF252" s="9" t="str">
        <x:v>operational_snapshot_annual_totals_may_differ</x:v>
      </x:c>
    </x:row>
    <x:row r="253" ht="18" customHeight="1">
      <x:c r="A253" s="6" t="str">
        <x:v>31</x:v>
      </x:c>
      <x:c r="B253" s="6" t="str">
        <x:v>DKI JAKARTA</x:v>
      </x:c>
      <x:c r="C253" s="6" t="str">
        <x:v>2024</x:v>
      </x:c>
      <x:c r="D253" s="6" t="str">
        <x:v>12</x:v>
      </x:c>
      <x:c r="E253" s="6" t="str">
        <x:v>0</x:v>
      </x:c>
      <x:c r="F253" s="6" t="str">
        <x:v>0</x:v>
      </x:c>
      <x:c r="G253" s="6" t="str">
        <x:v>0</x:v>
      </x:c>
      <x:c r="H253" s="6" t="str">
        <x:v>0</x:v>
      </x:c>
      <x:c r="I253" s="6" t="str">
        <x:v>0</x:v>
      </x:c>
      <x:c r="J253" s="6" t="str">
        <x:v>0</x:v>
      </x:c>
      <x:c r="K253" s="6" t="str">
        <x:v>0</x:v>
      </x:c>
      <x:c r="L253" s="6" t="str">
        <x:v>0</x:v>
      </x:c>
      <x:c r="M253" s="6" t="str">
        <x:v>0</x:v>
      </x:c>
      <x:c r="N253" s="6" t="str">
        <x:v>0</x:v>
      </x:c>
      <x:c r="O253" s="6" t="str">
        <x:v>0</x:v>
      </x:c>
      <x:c r="P253" s="6" t="str">
        <x:v>0</x:v>
      </x:c>
      <x:c r="Q253" s="6" t="str"/>
      <x:c r="R253" s="6" t="str">
        <x:v>0</x:v>
      </x:c>
      <x:c r="S253" s="6" t="str"/>
      <x:c r="T253" s="6" t="str">
        <x:v>0</x:v>
      </x:c>
      <x:c r="U253" s="6" t="str"/>
      <x:c r="V253" s="6" t="str">
        <x:v>0</x:v>
      </x:c>
      <x:c r="W253" s="6" t="str"/>
      <x:c r="X253" s="6" t="str">
        <x:v>0</x:v>
      </x:c>
      <x:c r="Y253" s="6" t="str"/>
      <x:c r="Z253" s="6" t="str">
        <x:v>0</x:v>
      </x:c>
      <x:c r="AA253" s="6" t="str"/>
      <x:c r="AB253" s="6" t="str">
        <x:v>0</x:v>
      </x:c>
      <x:c r="AC253" s="6" t="str">
        <x:v>2024-12</x:v>
      </x:c>
      <x:c r="AD253" s="9" t="str">
        <x:v>BNPB operational disaster search table</x:v>
      </x:c>
      <x:c r="AE253" s="9" t="str">
        <x:v>https://gis.bnpb.go.id/databencana/tabel/pencarian.php</x:v>
      </x:c>
      <x:c r="AF253" s="9" t="str">
        <x:v>operational_snapshot_annual_totals_may_differ</x:v>
      </x:c>
    </x:row>
    <x:row r="254" ht="18" customHeight="1">
      <x:c r="A254" s="6" t="str">
        <x:v>31</x:v>
      </x:c>
      <x:c r="B254" s="6" t="str">
        <x:v>DKI JAKARTA</x:v>
      </x:c>
      <x:c r="C254" s="6" t="str">
        <x:v>2025</x:v>
      </x:c>
      <x:c r="D254" s="6" t="str">
        <x:v>1</x:v>
      </x:c>
      <x:c r="E254" s="6" t="str">
        <x:v>4</x:v>
      </x:c>
      <x:c r="F254" s="6" t="str">
        <x:v>4</x:v>
      </x:c>
      <x:c r="G254" s="6" t="str">
        <x:v>4</x:v>
      </x:c>
      <x:c r="H254" s="6" t="str">
        <x:v>0</x:v>
      </x:c>
      <x:c r="I254" s="6" t="str">
        <x:v>0</x:v>
      </x:c>
      <x:c r="J254" s="6" t="str">
        <x:v>0</x:v>
      </x:c>
      <x:c r="K254" s="6" t="str">
        <x:v>0</x:v>
      </x:c>
      <x:c r="L254" s="6" t="str">
        <x:v>0</x:v>
      </x:c>
      <x:c r="M254" s="6" t="str">
        <x:v>0</x:v>
      </x:c>
      <x:c r="N254" s="6" t="str">
        <x:v>0</x:v>
      </x:c>
      <x:c r="O254" s="6" t="str">
        <x:v>0</x:v>
      </x:c>
      <x:c r="P254" s="6" t="str">
        <x:v>4</x:v>
      </x:c>
      <x:c r="Q254" s="6" t="str">
        <x:v>0.0</x:v>
      </x:c>
      <x:c r="R254" s="6" t="str">
        <x:v>4</x:v>
      </x:c>
      <x:c r="S254" s="6" t="str">
        <x:v>0.0</x:v>
      </x:c>
      <x:c r="T254" s="6" t="str">
        <x:v>4</x:v>
      </x:c>
      <x:c r="U254" s="6" t="str">
        <x:v>0.0</x:v>
      </x:c>
      <x:c r="V254" s="6" t="str">
        <x:v>4</x:v>
      </x:c>
      <x:c r="W254" s="6" t="str">
        <x:v>0.0</x:v>
      </x:c>
      <x:c r="X254" s="6" t="str">
        <x:v>4</x:v>
      </x:c>
      <x:c r="Y254" s="6" t="str">
        <x:v>700.0</x:v>
      </x:c>
      <x:c r="Z254" s="6" t="str">
        <x:v>1</x:v>
      </x:c>
      <x:c r="AA254" s="6" t="str">
        <x:v>0.0</x:v>
      </x:c>
      <x:c r="AB254" s="6" t="str">
        <x:v>4</x:v>
      </x:c>
      <x:c r="AC254" s="6" t="str">
        <x:v>2025-01</x:v>
      </x:c>
      <x:c r="AD254" s="9" t="str">
        <x:v>BNPB operational disaster search table</x:v>
      </x:c>
      <x:c r="AE254" s="9" t="str">
        <x:v>https://gis.bnpb.go.id/databencana/tabel/pencarian.php</x:v>
      </x:c>
      <x:c r="AF254" s="9" t="str">
        <x:v>operational_snapshot_annual_totals_may_differ</x:v>
      </x:c>
    </x:row>
    <x:row r="255" ht="18" customHeight="1">
      <x:c r="A255" s="6" t="str">
        <x:v>31</x:v>
      </x:c>
      <x:c r="B255" s="6" t="str">
        <x:v>DKI JAKARTA</x:v>
      </x:c>
      <x:c r="C255" s="6" t="str">
        <x:v>2025</x:v>
      </x:c>
      <x:c r="D255" s="6" t="str">
        <x:v>2</x:v>
      </x:c>
      <x:c r="E255" s="6" t="str">
        <x:v>2</x:v>
      </x:c>
      <x:c r="F255" s="6" t="str">
        <x:v>2</x:v>
      </x:c>
      <x:c r="G255" s="6" t="str">
        <x:v>2</x:v>
      </x:c>
      <x:c r="H255" s="6" t="str">
        <x:v>0</x:v>
      </x:c>
      <x:c r="I255" s="6" t="str">
        <x:v>0</x:v>
      </x:c>
      <x:c r="J255" s="6" t="str">
        <x:v>0</x:v>
      </x:c>
      <x:c r="K255" s="6" t="str">
        <x:v>0</x:v>
      </x:c>
      <x:c r="L255" s="6" t="str">
        <x:v>0</x:v>
      </x:c>
      <x:c r="M255" s="6" t="str">
        <x:v>0</x:v>
      </x:c>
      <x:c r="N255" s="6" t="str">
        <x:v>0</x:v>
      </x:c>
      <x:c r="O255" s="6" t="str">
        <x:v>0</x:v>
      </x:c>
      <x:c r="P255" s="6" t="str">
        <x:v>2</x:v>
      </x:c>
      <x:c r="Q255" s="6" t="str">
        <x:v>0.0</x:v>
      </x:c>
      <x:c r="R255" s="6" t="str">
        <x:v>2</x:v>
      </x:c>
      <x:c r="S255" s="6" t="str">
        <x:v>0.0</x:v>
      </x:c>
      <x:c r="T255" s="6" t="str">
        <x:v>2</x:v>
      </x:c>
      <x:c r="U255" s="6" t="str">
        <x:v>0.0</x:v>
      </x:c>
      <x:c r="V255" s="6" t="str">
        <x:v>2</x:v>
      </x:c>
      <x:c r="W255" s="6" t="str">
        <x:v>0.0</x:v>
      </x:c>
      <x:c r="X255" s="6" t="str">
        <x:v>2</x:v>
      </x:c>
      <x:c r="Y255" s="6" t="str">
        <x:v>86.0</x:v>
      </x:c>
      <x:c r="Z255" s="6" t="str">
        <x:v>1</x:v>
      </x:c>
      <x:c r="AA255" s="6" t="str">
        <x:v>0.0</x:v>
      </x:c>
      <x:c r="AB255" s="6" t="str">
        <x:v>2</x:v>
      </x:c>
      <x:c r="AC255" s="6" t="str">
        <x:v>2025-02</x:v>
      </x:c>
      <x:c r="AD255" s="9" t="str">
        <x:v>BNPB operational disaster search table</x:v>
      </x:c>
      <x:c r="AE255" s="9" t="str">
        <x:v>https://gis.bnpb.go.id/databencana/tabel/pencarian.php</x:v>
      </x:c>
      <x:c r="AF255" s="9" t="str">
        <x:v>operational_snapshot_annual_totals_may_differ</x:v>
      </x:c>
    </x:row>
    <x:row r="256" ht="18" customHeight="1">
      <x:c r="A256" s="6" t="str">
        <x:v>31</x:v>
      </x:c>
      <x:c r="B256" s="6" t="str">
        <x:v>DKI JAKARTA</x:v>
      </x:c>
      <x:c r="C256" s="6" t="str">
        <x:v>2025</x:v>
      </x:c>
      <x:c r="D256" s="6" t="str">
        <x:v>3</x:v>
      </x:c>
      <x:c r="E256" s="6" t="str">
        <x:v>7</x:v>
      </x:c>
      <x:c r="F256" s="6" t="str">
        <x:v>7</x:v>
      </x:c>
      <x:c r="G256" s="6" t="str">
        <x:v>7</x:v>
      </x:c>
      <x:c r="H256" s="6" t="str">
        <x:v>0</x:v>
      </x:c>
      <x:c r="I256" s="6" t="str">
        <x:v>0</x:v>
      </x:c>
      <x:c r="J256" s="6" t="str">
        <x:v>0</x:v>
      </x:c>
      <x:c r="K256" s="6" t="str">
        <x:v>0</x:v>
      </x:c>
      <x:c r="L256" s="6" t="str">
        <x:v>0</x:v>
      </x:c>
      <x:c r="M256" s="6" t="str">
        <x:v>0</x:v>
      </x:c>
      <x:c r="N256" s="6" t="str">
        <x:v>0</x:v>
      </x:c>
      <x:c r="O256" s="6" t="str">
        <x:v>0</x:v>
      </x:c>
      <x:c r="P256" s="6" t="str">
        <x:v>7</x:v>
      </x:c>
      <x:c r="Q256" s="6" t="str">
        <x:v>2.0</x:v>
      </x:c>
      <x:c r="R256" s="6" t="str">
        <x:v>7</x:v>
      </x:c>
      <x:c r="S256" s="6" t="str">
        <x:v>0.0</x:v>
      </x:c>
      <x:c r="T256" s="6" t="str">
        <x:v>7</x:v>
      </x:c>
      <x:c r="U256" s="6" t="str">
        <x:v>0.0</x:v>
      </x:c>
      <x:c r="V256" s="6" t="str">
        <x:v>7</x:v>
      </x:c>
      <x:c r="W256" s="6" t="str">
        <x:v>0.0</x:v>
      </x:c>
      <x:c r="X256" s="6" t="str">
        <x:v>7</x:v>
      </x:c>
      <x:c r="Y256" s="6" t="str">
        <x:v>1601.0</x:v>
      </x:c>
      <x:c r="Z256" s="6" t="str">
        <x:v>2</x:v>
      </x:c>
      <x:c r="AA256" s="6" t="str">
        <x:v>0.0</x:v>
      </x:c>
      <x:c r="AB256" s="6" t="str">
        <x:v>7</x:v>
      </x:c>
      <x:c r="AC256" s="6" t="str">
        <x:v>2025-03</x:v>
      </x:c>
      <x:c r="AD256" s="9" t="str">
        <x:v>BNPB operational disaster search table</x:v>
      </x:c>
      <x:c r="AE256" s="9" t="str">
        <x:v>https://gis.bnpb.go.id/databencana/tabel/pencarian.php</x:v>
      </x:c>
      <x:c r="AF256" s="9" t="str">
        <x:v>operational_snapshot_annual_totals_may_differ</x:v>
      </x:c>
    </x:row>
    <x:row r="257" ht="18" customHeight="1">
      <x:c r="A257" s="6" t="str">
        <x:v>31</x:v>
      </x:c>
      <x:c r="B257" s="6" t="str">
        <x:v>DKI JAKARTA</x:v>
      </x:c>
      <x:c r="C257" s="6" t="str">
        <x:v>2025</x:v>
      </x:c>
      <x:c r="D257" s="6" t="str">
        <x:v>4</x:v>
      </x:c>
      <x:c r="E257" s="6" t="str">
        <x:v>1</x:v>
      </x:c>
      <x:c r="F257" s="6" t="str">
        <x:v>1</x:v>
      </x:c>
      <x:c r="G257" s="6" t="str">
        <x:v>1</x:v>
      </x:c>
      <x:c r="H257" s="6" t="str">
        <x:v>0</x:v>
      </x:c>
      <x:c r="I257" s="6" t="str">
        <x:v>0</x:v>
      </x:c>
      <x:c r="J257" s="6" t="str">
        <x:v>0</x:v>
      </x:c>
      <x:c r="K257" s="6" t="str">
        <x:v>0</x:v>
      </x:c>
      <x:c r="L257" s="6" t="str">
        <x:v>0</x:v>
      </x:c>
      <x:c r="M257" s="6" t="str">
        <x:v>0</x:v>
      </x:c>
      <x:c r="N257" s="6" t="str">
        <x:v>0</x:v>
      </x:c>
      <x:c r="O257" s="6" t="str">
        <x:v>0</x:v>
      </x:c>
      <x:c r="P257" s="6" t="str">
        <x:v>1</x:v>
      </x:c>
      <x:c r="Q257" s="6" t="str">
        <x:v>0.0</x:v>
      </x:c>
      <x:c r="R257" s="6" t="str">
        <x:v>1</x:v>
      </x:c>
      <x:c r="S257" s="6" t="str">
        <x:v>0.0</x:v>
      </x:c>
      <x:c r="T257" s="6" t="str">
        <x:v>1</x:v>
      </x:c>
      <x:c r="U257" s="6" t="str">
        <x:v>0.0</x:v>
      </x:c>
      <x:c r="V257" s="6" t="str">
        <x:v>1</x:v>
      </x:c>
      <x:c r="W257" s="6" t="str">
        <x:v>0.0</x:v>
      </x:c>
      <x:c r="X257" s="6" t="str">
        <x:v>1</x:v>
      </x:c>
      <x:c r="Y257" s="6" t="str">
        <x:v>44.0</x:v>
      </x:c>
      <x:c r="Z257" s="6" t="str">
        <x:v>1</x:v>
      </x:c>
      <x:c r="AA257" s="6" t="str">
        <x:v>0.0</x:v>
      </x:c>
      <x:c r="AB257" s="6" t="str">
        <x:v>1</x:v>
      </x:c>
      <x:c r="AC257" s="6" t="str">
        <x:v>2025-04</x:v>
      </x:c>
      <x:c r="AD257" s="9" t="str">
        <x:v>BNPB operational disaster search table</x:v>
      </x:c>
      <x:c r="AE257" s="9" t="str">
        <x:v>https://gis.bnpb.go.id/databencana/tabel/pencarian.php</x:v>
      </x:c>
      <x:c r="AF257" s="9" t="str">
        <x:v>operational_snapshot_annual_totals_may_differ</x:v>
      </x:c>
    </x:row>
    <x:row r="258" ht="18" customHeight="1">
      <x:c r="A258" s="6" t="str">
        <x:v>31</x:v>
      </x:c>
      <x:c r="B258" s="6" t="str">
        <x:v>DKI JAKARTA</x:v>
      </x:c>
      <x:c r="C258" s="6" t="str">
        <x:v>2025</x:v>
      </x:c>
      <x:c r="D258" s="6" t="str">
        <x:v>5</x:v>
      </x:c>
      <x:c r="E258" s="6" t="str">
        <x:v>4</x:v>
      </x:c>
      <x:c r="F258" s="6" t="str">
        <x:v>4</x:v>
      </x:c>
      <x:c r="G258" s="6" t="str">
        <x:v>3</x:v>
      </x:c>
      <x:c r="H258" s="6" t="str">
        <x:v>0</x:v>
      </x:c>
      <x:c r="I258" s="6" t="str">
        <x:v>1</x:v>
      </x:c>
      <x:c r="J258" s="6" t="str">
        <x:v>0</x:v>
      </x:c>
      <x:c r="K258" s="6" t="str">
        <x:v>0</x:v>
      </x:c>
      <x:c r="L258" s="6" t="str">
        <x:v>0</x:v>
      </x:c>
      <x:c r="M258" s="6" t="str">
        <x:v>0</x:v>
      </x:c>
      <x:c r="N258" s="6" t="str">
        <x:v>0</x:v>
      </x:c>
      <x:c r="O258" s="6" t="str">
        <x:v>0</x:v>
      </x:c>
      <x:c r="P258" s="6" t="str">
        <x:v>4</x:v>
      </x:c>
      <x:c r="Q258" s="6" t="str">
        <x:v>0.0</x:v>
      </x:c>
      <x:c r="R258" s="6" t="str">
        <x:v>4</x:v>
      </x:c>
      <x:c r="S258" s="6" t="str">
        <x:v>0.0</x:v>
      </x:c>
      <x:c r="T258" s="6" t="str">
        <x:v>4</x:v>
      </x:c>
      <x:c r="U258" s="6" t="str">
        <x:v>2.0</x:v>
      </x:c>
      <x:c r="V258" s="6" t="str">
        <x:v>4</x:v>
      </x:c>
      <x:c r="W258" s="6" t="str">
        <x:v>20.0</x:v>
      </x:c>
      <x:c r="X258" s="6" t="str">
        <x:v>4</x:v>
      </x:c>
      <x:c r="Y258" s="6" t="str">
        <x:v>414.0</x:v>
      </x:c>
      <x:c r="Z258" s="6" t="str">
        <x:v>3</x:v>
      </x:c>
      <x:c r="AA258" s="6" t="str">
        <x:v>0.0</x:v>
      </x:c>
      <x:c r="AB258" s="6" t="str">
        <x:v>4</x:v>
      </x:c>
      <x:c r="AC258" s="6" t="str">
        <x:v>2025-05</x:v>
      </x:c>
      <x:c r="AD258" s="9" t="str">
        <x:v>BNPB operational disaster search table</x:v>
      </x:c>
      <x:c r="AE258" s="9" t="str">
        <x:v>https://gis.bnpb.go.id/databencana/tabel/pencarian.php</x:v>
      </x:c>
      <x:c r="AF258" s="9" t="str">
        <x:v>operational_snapshot_annual_totals_may_differ</x:v>
      </x:c>
    </x:row>
    <x:row r="259" ht="18" customHeight="1">
      <x:c r="A259" s="6" t="str">
        <x:v>31</x:v>
      </x:c>
      <x:c r="B259" s="6" t="str">
        <x:v>DKI JAKARTA</x:v>
      </x:c>
      <x:c r="C259" s="6" t="str">
        <x:v>2025</x:v>
      </x:c>
      <x:c r="D259" s="6" t="str">
        <x:v>6</x:v>
      </x:c>
      <x:c r="E259" s="6" t="str">
        <x:v>0</x:v>
      </x:c>
      <x:c r="F259" s="6" t="str">
        <x:v>0</x:v>
      </x:c>
      <x:c r="G259" s="6" t="str">
        <x:v>0</x:v>
      </x:c>
      <x:c r="H259" s="6" t="str">
        <x:v>0</x:v>
      </x:c>
      <x:c r="I259" s="6" t="str">
        <x:v>0</x:v>
      </x:c>
      <x:c r="J259" s="6" t="str">
        <x:v>0</x:v>
      </x:c>
      <x:c r="K259" s="6" t="str">
        <x:v>0</x:v>
      </x:c>
      <x:c r="L259" s="6" t="str">
        <x:v>0</x:v>
      </x:c>
      <x:c r="M259" s="6" t="str">
        <x:v>0</x:v>
      </x:c>
      <x:c r="N259" s="6" t="str">
        <x:v>0</x:v>
      </x:c>
      <x:c r="O259" s="6" t="str">
        <x:v>0</x:v>
      </x:c>
      <x:c r="P259" s="6" t="str">
        <x:v>0</x:v>
      </x:c>
      <x:c r="Q259" s="6" t="str"/>
      <x:c r="R259" s="6" t="str">
        <x:v>0</x:v>
      </x:c>
      <x:c r="S259" s="6" t="str"/>
      <x:c r="T259" s="6" t="str">
        <x:v>0</x:v>
      </x:c>
      <x:c r="U259" s="6" t="str"/>
      <x:c r="V259" s="6" t="str">
        <x:v>0</x:v>
      </x:c>
      <x:c r="W259" s="6" t="str"/>
      <x:c r="X259" s="6" t="str">
        <x:v>0</x:v>
      </x:c>
      <x:c r="Y259" s="6" t="str"/>
      <x:c r="Z259" s="6" t="str">
        <x:v>0</x:v>
      </x:c>
      <x:c r="AA259" s="6" t="str"/>
      <x:c r="AB259" s="6" t="str">
        <x:v>0</x:v>
      </x:c>
      <x:c r="AC259" s="6" t="str">
        <x:v>2025-06</x:v>
      </x:c>
      <x:c r="AD259" s="9" t="str">
        <x:v>BNPB operational disaster search table</x:v>
      </x:c>
      <x:c r="AE259" s="9" t="str">
        <x:v>https://gis.bnpb.go.id/databencana/tabel/pencarian.php</x:v>
      </x:c>
      <x:c r="AF259" s="9" t="str">
        <x:v>operational_snapshot_annual_totals_may_differ</x:v>
      </x:c>
    </x:row>
    <x:row r="260" ht="18" customHeight="1">
      <x:c r="A260" s="6" t="str">
        <x:v>31</x:v>
      </x:c>
      <x:c r="B260" s="6" t="str">
        <x:v>DKI JAKARTA</x:v>
      </x:c>
      <x:c r="C260" s="6" t="str">
        <x:v>2025</x:v>
      </x:c>
      <x:c r="D260" s="6" t="str">
        <x:v>7</x:v>
      </x:c>
      <x:c r="E260" s="6" t="str">
        <x:v>8</x:v>
      </x:c>
      <x:c r="F260" s="6" t="str">
        <x:v>8</x:v>
      </x:c>
      <x:c r="G260" s="6" t="str">
        <x:v>8</x:v>
      </x:c>
      <x:c r="H260" s="6" t="str">
        <x:v>0</x:v>
      </x:c>
      <x:c r="I260" s="6" t="str">
        <x:v>0</x:v>
      </x:c>
      <x:c r="J260" s="6" t="str">
        <x:v>0</x:v>
      </x:c>
      <x:c r="K260" s="6" t="str">
        <x:v>0</x:v>
      </x:c>
      <x:c r="L260" s="6" t="str">
        <x:v>0</x:v>
      </x:c>
      <x:c r="M260" s="6" t="str">
        <x:v>0</x:v>
      </x:c>
      <x:c r="N260" s="6" t="str">
        <x:v>0</x:v>
      </x:c>
      <x:c r="O260" s="6" t="str">
        <x:v>0</x:v>
      </x:c>
      <x:c r="P260" s="6" t="str">
        <x:v>8</x:v>
      </x:c>
      <x:c r="Q260" s="6" t="str"/>
      <x:c r="R260" s="6" t="str">
        <x:v>0</x:v>
      </x:c>
      <x:c r="S260" s="6" t="str"/>
      <x:c r="T260" s="6" t="str">
        <x:v>0</x:v>
      </x:c>
      <x:c r="U260" s="6" t="str"/>
      <x:c r="V260" s="6" t="str">
        <x:v>0</x:v>
      </x:c>
      <x:c r="W260" s="6" t="str">
        <x:v>0.0</x:v>
      </x:c>
      <x:c r="X260" s="6" t="str">
        <x:v>8</x:v>
      </x:c>
      <x:c r="Y260" s="6" t="str">
        <x:v>1862.0</x:v>
      </x:c>
      <x:c r="Z260" s="6" t="str">
        <x:v>4</x:v>
      </x:c>
      <x:c r="AA260" s="6" t="str">
        <x:v>0.0</x:v>
      </x:c>
      <x:c r="AB260" s="6" t="str">
        <x:v>8</x:v>
      </x:c>
      <x:c r="AC260" s="6" t="str">
        <x:v>2025-07</x:v>
      </x:c>
      <x:c r="AD260" s="9" t="str">
        <x:v>BNPB operational disaster search table</x:v>
      </x:c>
      <x:c r="AE260" s="9" t="str">
        <x:v>https://gis.bnpb.go.id/databencana/tabel/pencarian.php</x:v>
      </x:c>
      <x:c r="AF260" s="9" t="str">
        <x:v>operational_snapshot_annual_totals_may_differ</x:v>
      </x:c>
    </x:row>
    <x:row r="261" ht="18" customHeight="1">
      <x:c r="A261" s="6" t="str">
        <x:v>31</x:v>
      </x:c>
      <x:c r="B261" s="6" t="str">
        <x:v>DKI JAKARTA</x:v>
      </x:c>
      <x:c r="C261" s="6" t="str">
        <x:v>2025</x:v>
      </x:c>
      <x:c r="D261" s="6" t="str">
        <x:v>8</x:v>
      </x:c>
      <x:c r="E261" s="6" t="str">
        <x:v>4</x:v>
      </x:c>
      <x:c r="F261" s="6" t="str">
        <x:v>4</x:v>
      </x:c>
      <x:c r="G261" s="6" t="str">
        <x:v>3</x:v>
      </x:c>
      <x:c r="H261" s="6" t="str">
        <x:v>0</x:v>
      </x:c>
      <x:c r="I261" s="6" t="str">
        <x:v>1</x:v>
      </x:c>
      <x:c r="J261" s="6" t="str">
        <x:v>0</x:v>
      </x:c>
      <x:c r="K261" s="6" t="str">
        <x:v>0</x:v>
      </x:c>
      <x:c r="L261" s="6" t="str">
        <x:v>0</x:v>
      </x:c>
      <x:c r="M261" s="6" t="str">
        <x:v>0</x:v>
      </x:c>
      <x:c r="N261" s="6" t="str">
        <x:v>0</x:v>
      </x:c>
      <x:c r="O261" s="6" t="str">
        <x:v>0</x:v>
      </x:c>
      <x:c r="P261" s="6" t="str">
        <x:v>4</x:v>
      </x:c>
      <x:c r="Q261" s="6" t="str"/>
      <x:c r="R261" s="6" t="str">
        <x:v>0</x:v>
      </x:c>
      <x:c r="S261" s="6" t="str"/>
      <x:c r="T261" s="6" t="str">
        <x:v>0</x:v>
      </x:c>
      <x:c r="U261" s="6" t="str"/>
      <x:c r="V261" s="6" t="str">
        <x:v>0</x:v>
      </x:c>
      <x:c r="W261" s="6" t="str">
        <x:v>5.0</x:v>
      </x:c>
      <x:c r="X261" s="6" t="str">
        <x:v>4</x:v>
      </x:c>
      <x:c r="Y261" s="6" t="str">
        <x:v>779.0</x:v>
      </x:c>
      <x:c r="Z261" s="6" t="str">
        <x:v>3</x:v>
      </x:c>
      <x:c r="AA261" s="6" t="str">
        <x:v>0.0</x:v>
      </x:c>
      <x:c r="AB261" s="6" t="str">
        <x:v>4</x:v>
      </x:c>
      <x:c r="AC261" s="6" t="str">
        <x:v>2025-08</x:v>
      </x:c>
      <x:c r="AD261" s="9" t="str">
        <x:v>BNPB operational disaster search table</x:v>
      </x:c>
      <x:c r="AE261" s="9" t="str">
        <x:v>https://gis.bnpb.go.id/databencana/tabel/pencarian.php</x:v>
      </x:c>
      <x:c r="AF261" s="9" t="str">
        <x:v>operational_snapshot_annual_totals_may_differ</x:v>
      </x:c>
    </x:row>
    <x:row r="262" ht="18" customHeight="1">
      <x:c r="A262" s="6" t="str">
        <x:v>31</x:v>
      </x:c>
      <x:c r="B262" s="6" t="str">
        <x:v>DKI JAKARTA</x:v>
      </x:c>
      <x:c r="C262" s="6" t="str">
        <x:v>2025</x:v>
      </x:c>
      <x:c r="D262" s="6" t="str">
        <x:v>9</x:v>
      </x:c>
      <x:c r="E262" s="6" t="str">
        <x:v>2</x:v>
      </x:c>
      <x:c r="F262" s="6" t="str">
        <x:v>2</x:v>
      </x:c>
      <x:c r="G262" s="6" t="str">
        <x:v>2</x:v>
      </x:c>
      <x:c r="H262" s="6" t="str">
        <x:v>0</x:v>
      </x:c>
      <x:c r="I262" s="6" t="str">
        <x:v>0</x:v>
      </x:c>
      <x:c r="J262" s="6" t="str">
        <x:v>0</x:v>
      </x:c>
      <x:c r="K262" s="6" t="str">
        <x:v>0</x:v>
      </x:c>
      <x:c r="L262" s="6" t="str">
        <x:v>0</x:v>
      </x:c>
      <x:c r="M262" s="6" t="str">
        <x:v>0</x:v>
      </x:c>
      <x:c r="N262" s="6" t="str">
        <x:v>0</x:v>
      </x:c>
      <x:c r="O262" s="6" t="str">
        <x:v>0</x:v>
      </x:c>
      <x:c r="P262" s="6" t="str">
        <x:v>2</x:v>
      </x:c>
      <x:c r="Q262" s="6" t="str"/>
      <x:c r="R262" s="6" t="str">
        <x:v>0</x:v>
      </x:c>
      <x:c r="S262" s="6" t="str"/>
      <x:c r="T262" s="6" t="str">
        <x:v>0</x:v>
      </x:c>
      <x:c r="U262" s="6" t="str"/>
      <x:c r="V262" s="6" t="str">
        <x:v>0</x:v>
      </x:c>
      <x:c r="W262" s="6" t="str">
        <x:v>0.0</x:v>
      </x:c>
      <x:c r="X262" s="6" t="str">
        <x:v>2</x:v>
      </x:c>
      <x:c r="Y262" s="6" t="str">
        <x:v>688.0</x:v>
      </x:c>
      <x:c r="Z262" s="6" t="str">
        <x:v>1</x:v>
      </x:c>
      <x:c r="AA262" s="6" t="str">
        <x:v>0.0</x:v>
      </x:c>
      <x:c r="AB262" s="6" t="str">
        <x:v>2</x:v>
      </x:c>
      <x:c r="AC262" s="6" t="str">
        <x:v>2025-09</x:v>
      </x:c>
      <x:c r="AD262" s="9" t="str">
        <x:v>BNPB operational disaster search table</x:v>
      </x:c>
      <x:c r="AE262" s="9" t="str">
        <x:v>https://gis.bnpb.go.id/databencana/tabel/pencarian.php</x:v>
      </x:c>
      <x:c r="AF262" s="9" t="str">
        <x:v>operational_snapshot_annual_totals_may_differ</x:v>
      </x:c>
    </x:row>
    <x:row r="263" ht="18" customHeight="1">
      <x:c r="A263" s="6" t="str">
        <x:v>31</x:v>
      </x:c>
      <x:c r="B263" s="6" t="str">
        <x:v>DKI JAKARTA</x:v>
      </x:c>
      <x:c r="C263" s="6" t="str">
        <x:v>2025</x:v>
      </x:c>
      <x:c r="D263" s="6" t="str">
        <x:v>10</x:v>
      </x:c>
      <x:c r="E263" s="6" t="str">
        <x:v>5</x:v>
      </x:c>
      <x:c r="F263" s="6" t="str">
        <x:v>5</x:v>
      </x:c>
      <x:c r="G263" s="6" t="str">
        <x:v>4</x:v>
      </x:c>
      <x:c r="H263" s="6" t="str">
        <x:v>0</x:v>
      </x:c>
      <x:c r="I263" s="6" t="str">
        <x:v>1</x:v>
      </x:c>
      <x:c r="J263" s="6" t="str">
        <x:v>0</x:v>
      </x:c>
      <x:c r="K263" s="6" t="str">
        <x:v>0</x:v>
      </x:c>
      <x:c r="L263" s="6" t="str">
        <x:v>0</x:v>
      </x:c>
      <x:c r="M263" s="6" t="str">
        <x:v>0</x:v>
      </x:c>
      <x:c r="N263" s="6" t="str">
        <x:v>0</x:v>
      </x:c>
      <x:c r="O263" s="6" t="str">
        <x:v>0</x:v>
      </x:c>
      <x:c r="P263" s="6" t="str">
        <x:v>5</x:v>
      </x:c>
      <x:c r="Q263" s="6" t="str">
        <x:v>1.0</x:v>
      </x:c>
      <x:c r="R263" s="6" t="str">
        <x:v>1</x:v>
      </x:c>
      <x:c r="S263" s="6" t="str"/>
      <x:c r="T263" s="6" t="str">
        <x:v>0</x:v>
      </x:c>
      <x:c r="U263" s="6" t="str">
        <x:v>1.0</x:v>
      </x:c>
      <x:c r="V263" s="6" t="str">
        <x:v>1</x:v>
      </x:c>
      <x:c r="W263" s="6" t="str">
        <x:v>0.0</x:v>
      </x:c>
      <x:c r="X263" s="6" t="str">
        <x:v>5</x:v>
      </x:c>
      <x:c r="Y263" s="6" t="str">
        <x:v>916.0</x:v>
      </x:c>
      <x:c r="Z263" s="6" t="str">
        <x:v>2</x:v>
      </x:c>
      <x:c r="AA263" s="6" t="str">
        <x:v>0.0</x:v>
      </x:c>
      <x:c r="AB263" s="6" t="str">
        <x:v>5</x:v>
      </x:c>
      <x:c r="AC263" s="6" t="str">
        <x:v>2025-10</x:v>
      </x:c>
      <x:c r="AD263" s="9" t="str">
        <x:v>BNPB operational disaster search table</x:v>
      </x:c>
      <x:c r="AE263" s="9" t="str">
        <x:v>https://gis.bnpb.go.id/databencana/tabel/pencarian.php</x:v>
      </x:c>
      <x:c r="AF263" s="9" t="str">
        <x:v>operational_snapshot_annual_totals_may_differ</x:v>
      </x:c>
    </x:row>
    <x:row r="264" ht="18" customHeight="1">
      <x:c r="A264" s="6" t="str">
        <x:v>31</x:v>
      </x:c>
      <x:c r="B264" s="6" t="str">
        <x:v>DKI JAKARTA</x:v>
      </x:c>
      <x:c r="C264" s="6" t="str">
        <x:v>2025</x:v>
      </x:c>
      <x:c r="D264" s="6" t="str">
        <x:v>11</x:v>
      </x:c>
      <x:c r="E264" s="6" t="str">
        <x:v>0</x:v>
      </x:c>
      <x:c r="F264" s="6" t="str">
        <x:v>0</x:v>
      </x:c>
      <x:c r="G264" s="6" t="str">
        <x:v>0</x:v>
      </x:c>
      <x:c r="H264" s="6" t="str">
        <x:v>0</x:v>
      </x:c>
      <x:c r="I264" s="6" t="str">
        <x:v>0</x:v>
      </x:c>
      <x:c r="J264" s="6" t="str">
        <x:v>0</x:v>
      </x:c>
      <x:c r="K264" s="6" t="str">
        <x:v>0</x:v>
      </x:c>
      <x:c r="L264" s="6" t="str">
        <x:v>0</x:v>
      </x:c>
      <x:c r="M264" s="6" t="str">
        <x:v>0</x:v>
      </x:c>
      <x:c r="N264" s="6" t="str">
        <x:v>0</x:v>
      </x:c>
      <x:c r="O264" s="6" t="str">
        <x:v>0</x:v>
      </x:c>
      <x:c r="P264" s="6" t="str">
        <x:v>0</x:v>
      </x:c>
      <x:c r="Q264" s="6" t="str"/>
      <x:c r="R264" s="6" t="str">
        <x:v>0</x:v>
      </x:c>
      <x:c r="S264" s="6" t="str"/>
      <x:c r="T264" s="6" t="str">
        <x:v>0</x:v>
      </x:c>
      <x:c r="U264" s="6" t="str"/>
      <x:c r="V264" s="6" t="str">
        <x:v>0</x:v>
      </x:c>
      <x:c r="W264" s="6" t="str"/>
      <x:c r="X264" s="6" t="str">
        <x:v>0</x:v>
      </x:c>
      <x:c r="Y264" s="6" t="str"/>
      <x:c r="Z264" s="6" t="str">
        <x:v>0</x:v>
      </x:c>
      <x:c r="AA264" s="6" t="str"/>
      <x:c r="AB264" s="6" t="str">
        <x:v>0</x:v>
      </x:c>
      <x:c r="AC264" s="6" t="str">
        <x:v>2025-11</x:v>
      </x:c>
      <x:c r="AD264" s="9" t="str">
        <x:v>BNPB operational disaster search table</x:v>
      </x:c>
      <x:c r="AE264" s="9" t="str">
        <x:v>https://gis.bnpb.go.id/databencana/tabel/pencarian.php</x:v>
      </x:c>
      <x:c r="AF264" s="9" t="str">
        <x:v>operational_snapshot_annual_totals_may_differ</x:v>
      </x:c>
    </x:row>
    <x:row r="265" ht="18" customHeight="1">
      <x:c r="A265" s="6" t="str">
        <x:v>31</x:v>
      </x:c>
      <x:c r="B265" s="6" t="str">
        <x:v>DKI JAKARTA</x:v>
      </x:c>
      <x:c r="C265" s="6" t="str">
        <x:v>2025</x:v>
      </x:c>
      <x:c r="D265" s="6" t="str">
        <x:v>12</x:v>
      </x:c>
      <x:c r="E265" s="6" t="str">
        <x:v>2</x:v>
      </x:c>
      <x:c r="F265" s="6" t="str">
        <x:v>2</x:v>
      </x:c>
      <x:c r="G265" s="6" t="str">
        <x:v>2</x:v>
      </x:c>
      <x:c r="H265" s="6" t="str">
        <x:v>0</x:v>
      </x:c>
      <x:c r="I265" s="6" t="str">
        <x:v>0</x:v>
      </x:c>
      <x:c r="J265" s="6" t="str">
        <x:v>0</x:v>
      </x:c>
      <x:c r="K265" s="6" t="str">
        <x:v>0</x:v>
      </x:c>
      <x:c r="L265" s="6" t="str">
        <x:v>0</x:v>
      </x:c>
      <x:c r="M265" s="6" t="str">
        <x:v>0</x:v>
      </x:c>
      <x:c r="N265" s="6" t="str">
        <x:v>0</x:v>
      </x:c>
      <x:c r="O265" s="6" t="str">
        <x:v>0</x:v>
      </x:c>
      <x:c r="P265" s="6" t="str">
        <x:v>2</x:v>
      </x:c>
      <x:c r="Q265" s="6" t="str"/>
      <x:c r="R265" s="6" t="str">
        <x:v>0</x:v>
      </x:c>
      <x:c r="S265" s="6" t="str"/>
      <x:c r="T265" s="6" t="str">
        <x:v>0</x:v>
      </x:c>
      <x:c r="U265" s="6" t="str"/>
      <x:c r="V265" s="6" t="str">
        <x:v>0</x:v>
      </x:c>
      <x:c r="W265" s="6" t="str">
        <x:v>0.0</x:v>
      </x:c>
      <x:c r="X265" s="6" t="str">
        <x:v>2</x:v>
      </x:c>
      <x:c r="Y265" s="6" t="str">
        <x:v>616.0</x:v>
      </x:c>
      <x:c r="Z265" s="6" t="str">
        <x:v>2</x:v>
      </x:c>
      <x:c r="AA265" s="6" t="str">
        <x:v>0.0</x:v>
      </x:c>
      <x:c r="AB265" s="6" t="str">
        <x:v>2</x:v>
      </x:c>
      <x:c r="AC265" s="6" t="str">
        <x:v>2025-12</x:v>
      </x:c>
      <x:c r="AD265" s="9" t="str">
        <x:v>BNPB operational disaster search table</x:v>
      </x:c>
      <x:c r="AE265" s="9" t="str">
        <x:v>https://gis.bnpb.go.id/databencana/tabel/pencarian.php</x:v>
      </x:c>
      <x:c r="AF265" s="9" t="str">
        <x:v>operational_snapshot_annual_totals_may_differ</x:v>
      </x:c>
    </x:row>
    <x:row r="266" ht="18" customHeight="1">
      <x:c r="A266" s="6" t="str">
        <x:v>32</x:v>
      </x:c>
      <x:c r="B266" s="6" t="str">
        <x:v>JAWA BARAT</x:v>
      </x:c>
      <x:c r="C266" s="6" t="str">
        <x:v>2024</x:v>
      </x:c>
      <x:c r="D266" s="6" t="str">
        <x:v>1</x:v>
      </x:c>
      <x:c r="E266" s="6" t="str">
        <x:v>65</x:v>
      </x:c>
      <x:c r="F266" s="6" t="str">
        <x:v>65</x:v>
      </x:c>
      <x:c r="G266" s="6" t="str">
        <x:v>21</x:v>
      </x:c>
      <x:c r="H266" s="6" t="str">
        <x:v>12</x:v>
      </x:c>
      <x:c r="I266" s="6" t="str">
        <x:v>30</x:v>
      </x:c>
      <x:c r="J266" s="6" t="str">
        <x:v>0</x:v>
      </x:c>
      <x:c r="K266" s="6" t="str">
        <x:v>0</x:v>
      </x:c>
      <x:c r="L266" s="6" t="str">
        <x:v>0</x:v>
      </x:c>
      <x:c r="M266" s="6" t="str">
        <x:v>2</x:v>
      </x:c>
      <x:c r="N266" s="6" t="str">
        <x:v>0</x:v>
      </x:c>
      <x:c r="O266" s="6" t="str">
        <x:v>0</x:v>
      </x:c>
      <x:c r="P266" s="6" t="str">
        <x:v>63</x:v>
      </x:c>
      <x:c r="Q266" s="6" t="str">
        <x:v>2.0</x:v>
      </x:c>
      <x:c r="R266" s="6" t="str">
        <x:v>38</x:v>
      </x:c>
      <x:c r="S266" s="6" t="str">
        <x:v>0.0</x:v>
      </x:c>
      <x:c r="T266" s="6" t="str">
        <x:v>40</x:v>
      </x:c>
      <x:c r="U266" s="6" t="str">
        <x:v>15.0</x:v>
      </x:c>
      <x:c r="V266" s="6" t="str">
        <x:v>41</x:v>
      </x:c>
      <x:c r="W266" s="6" t="str">
        <x:v>10276.0</x:v>
      </x:c>
      <x:c r="X266" s="6" t="str">
        <x:v>65</x:v>
      </x:c>
      <x:c r="Y266" s="6" t="str">
        <x:v>13342.0</x:v>
      </x:c>
      <x:c r="Z266" s="6" t="str">
        <x:v>19</x:v>
      </x:c>
      <x:c r="AA266" s="6" t="str">
        <x:v>4.0</x:v>
      </x:c>
      <x:c r="AB266" s="6" t="str">
        <x:v>65</x:v>
      </x:c>
      <x:c r="AC266" s="6" t="str">
        <x:v>2024-01</x:v>
      </x:c>
      <x:c r="AD266" s="9" t="str">
        <x:v>BNPB operational disaster search table</x:v>
      </x:c>
      <x:c r="AE266" s="9" t="str">
        <x:v>https://gis.bnpb.go.id/databencana/tabel/pencarian.php</x:v>
      </x:c>
      <x:c r="AF266" s="9" t="str">
        <x:v>operational_snapshot_annual_totals_may_differ</x:v>
      </x:c>
    </x:row>
    <x:row r="267" ht="18" customHeight="1">
      <x:c r="A267" s="6" t="str">
        <x:v>32</x:v>
      </x:c>
      <x:c r="B267" s="6" t="str">
        <x:v>JAWA BARAT</x:v>
      </x:c>
      <x:c r="C267" s="6" t="str">
        <x:v>2024</x:v>
      </x:c>
      <x:c r="D267" s="6" t="str">
        <x:v>2</x:v>
      </x:c>
      <x:c r="E267" s="6" t="str">
        <x:v>48</x:v>
      </x:c>
      <x:c r="F267" s="6" t="str">
        <x:v>48</x:v>
      </x:c>
      <x:c r="G267" s="6" t="str">
        <x:v>17</x:v>
      </x:c>
      <x:c r="H267" s="6" t="str">
        <x:v>10</x:v>
      </x:c>
      <x:c r="I267" s="6" t="str">
        <x:v>21</x:v>
      </x:c>
      <x:c r="J267" s="6" t="str">
        <x:v>0</x:v>
      </x:c>
      <x:c r="K267" s="6" t="str">
        <x:v>0</x:v>
      </x:c>
      <x:c r="L267" s="6" t="str">
        <x:v>0</x:v>
      </x:c>
      <x:c r="M267" s="6" t="str">
        <x:v>0</x:v>
      </x:c>
      <x:c r="N267" s="6" t="str">
        <x:v>0</x:v>
      </x:c>
      <x:c r="O267" s="6" t="str">
        <x:v>0</x:v>
      </x:c>
      <x:c r="P267" s="6" t="str">
        <x:v>48</x:v>
      </x:c>
      <x:c r="Q267" s="6" t="str">
        <x:v>7.0</x:v>
      </x:c>
      <x:c r="R267" s="6" t="str">
        <x:v>29</x:v>
      </x:c>
      <x:c r="S267" s="6" t="str">
        <x:v>0.0</x:v>
      </x:c>
      <x:c r="T267" s="6" t="str">
        <x:v>29</x:v>
      </x:c>
      <x:c r="U267" s="6" t="str">
        <x:v>49.0</x:v>
      </x:c>
      <x:c r="V267" s="6" t="str">
        <x:v>29</x:v>
      </x:c>
      <x:c r="W267" s="6" t="str">
        <x:v>1984.0</x:v>
      </x:c>
      <x:c r="X267" s="6" t="str">
        <x:v>48</x:v>
      </x:c>
      <x:c r="Y267" s="6" t="str">
        <x:v>4616.0</x:v>
      </x:c>
      <x:c r="Z267" s="6" t="str">
        <x:v>15</x:v>
      </x:c>
      <x:c r="AA267" s="6" t="str">
        <x:v>4.0</x:v>
      </x:c>
      <x:c r="AB267" s="6" t="str">
        <x:v>48</x:v>
      </x:c>
      <x:c r="AC267" s="6" t="str">
        <x:v>2024-02</x:v>
      </x:c>
      <x:c r="AD267" s="9" t="str">
        <x:v>BNPB operational disaster search table</x:v>
      </x:c>
      <x:c r="AE267" s="9" t="str">
        <x:v>https://gis.bnpb.go.id/databencana/tabel/pencarian.php</x:v>
      </x:c>
      <x:c r="AF267" s="9" t="str">
        <x:v>operational_snapshot_annual_totals_may_differ</x:v>
      </x:c>
    </x:row>
    <x:row r="268" ht="18" customHeight="1">
      <x:c r="A268" s="6" t="str">
        <x:v>32</x:v>
      </x:c>
      <x:c r="B268" s="6" t="str">
        <x:v>JAWA BARAT</x:v>
      </x:c>
      <x:c r="C268" s="6" t="str">
        <x:v>2024</x:v>
      </x:c>
      <x:c r="D268" s="6" t="str">
        <x:v>3</x:v>
      </x:c>
      <x:c r="E268" s="6" t="str">
        <x:v>42</x:v>
      </x:c>
      <x:c r="F268" s="6" t="str">
        <x:v>42</x:v>
      </x:c>
      <x:c r="G268" s="6" t="str">
        <x:v>17</x:v>
      </x:c>
      <x:c r="H268" s="6" t="str">
        <x:v>10</x:v>
      </x:c>
      <x:c r="I268" s="6" t="str">
        <x:v>15</x:v>
      </x:c>
      <x:c r="J268" s="6" t="str">
        <x:v>0</x:v>
      </x:c>
      <x:c r="K268" s="6" t="str">
        <x:v>0</x:v>
      </x:c>
      <x:c r="L268" s="6" t="str">
        <x:v>0</x:v>
      </x:c>
      <x:c r="M268" s="6" t="str">
        <x:v>0</x:v>
      </x:c>
      <x:c r="N268" s="6" t="str">
        <x:v>0</x:v>
      </x:c>
      <x:c r="O268" s="6" t="str">
        <x:v>0</x:v>
      </x:c>
      <x:c r="P268" s="6" t="str">
        <x:v>42</x:v>
      </x:c>
      <x:c r="Q268" s="6" t="str">
        <x:v>12.0</x:v>
      </x:c>
      <x:c r="R268" s="6" t="str">
        <x:v>24</x:v>
      </x:c>
      <x:c r="S268" s="6" t="str">
        <x:v>3.0</x:v>
      </x:c>
      <x:c r="T268" s="6" t="str">
        <x:v>24</x:v>
      </x:c>
      <x:c r="U268" s="6" t="str">
        <x:v>46.0</x:v>
      </x:c>
      <x:c r="V268" s="6" t="str">
        <x:v>24</x:v>
      </x:c>
      <x:c r="W268" s="6" t="str">
        <x:v>746.0</x:v>
      </x:c>
      <x:c r="X268" s="6" t="str">
        <x:v>42</x:v>
      </x:c>
      <x:c r="Y268" s="6" t="str">
        <x:v>46848.0</x:v>
      </x:c>
      <x:c r="Z268" s="6" t="str">
        <x:v>14</x:v>
      </x:c>
      <x:c r="AA268" s="6" t="str">
        <x:v>12.0</x:v>
      </x:c>
      <x:c r="AB268" s="6" t="str">
        <x:v>42</x:v>
      </x:c>
      <x:c r="AC268" s="6" t="str">
        <x:v>2024-03</x:v>
      </x:c>
      <x:c r="AD268" s="9" t="str">
        <x:v>BNPB operational disaster search table</x:v>
      </x:c>
      <x:c r="AE268" s="9" t="str">
        <x:v>https://gis.bnpb.go.id/databencana/tabel/pencarian.php</x:v>
      </x:c>
      <x:c r="AF268" s="9" t="str">
        <x:v>operational_snapshot_annual_totals_may_differ</x:v>
      </x:c>
    </x:row>
    <x:row r="269" ht="18" customHeight="1">
      <x:c r="A269" s="6" t="str">
        <x:v>32</x:v>
      </x:c>
      <x:c r="B269" s="6" t="str">
        <x:v>JAWA BARAT</x:v>
      </x:c>
      <x:c r="C269" s="6" t="str">
        <x:v>2024</x:v>
      </x:c>
      <x:c r="D269" s="6" t="str">
        <x:v>4</x:v>
      </x:c>
      <x:c r="E269" s="6" t="str">
        <x:v>45</x:v>
      </x:c>
      <x:c r="F269" s="6" t="str">
        <x:v>45</x:v>
      </x:c>
      <x:c r="G269" s="6" t="str">
        <x:v>12</x:v>
      </x:c>
      <x:c r="H269" s="6" t="str">
        <x:v>10</x:v>
      </x:c>
      <x:c r="I269" s="6" t="str">
        <x:v>5</x:v>
      </x:c>
      <x:c r="J269" s="6" t="str">
        <x:v>0</x:v>
      </x:c>
      <x:c r="K269" s="6" t="str">
        <x:v>0</x:v>
      </x:c>
      <x:c r="L269" s="6" t="str">
        <x:v>0</x:v>
      </x:c>
      <x:c r="M269" s="6" t="str">
        <x:v>18</x:v>
      </x:c>
      <x:c r="N269" s="6" t="str">
        <x:v>0</x:v>
      </x:c>
      <x:c r="O269" s="6" t="str">
        <x:v>0</x:v>
      </x:c>
      <x:c r="P269" s="6" t="str">
        <x:v>27</x:v>
      </x:c>
      <x:c r="Q269" s="6" t="str">
        <x:v>5.0</x:v>
      </x:c>
      <x:c r="R269" s="6" t="str">
        <x:v>34</x:v>
      </x:c>
      <x:c r="S269" s="6" t="str">
        <x:v>0.0</x:v>
      </x:c>
      <x:c r="T269" s="6" t="str">
        <x:v>34</x:v>
      </x:c>
      <x:c r="U269" s="6" t="str">
        <x:v>15.0</x:v>
      </x:c>
      <x:c r="V269" s="6" t="str">
        <x:v>34</x:v>
      </x:c>
      <x:c r="W269" s="6" t="str">
        <x:v>1937.0</x:v>
      </x:c>
      <x:c r="X269" s="6" t="str">
        <x:v>45</x:v>
      </x:c>
      <x:c r="Y269" s="6" t="str">
        <x:v>4427.0</x:v>
      </x:c>
      <x:c r="Z269" s="6" t="str">
        <x:v>11</x:v>
      </x:c>
      <x:c r="AA269" s="6" t="str">
        <x:v>90.0</x:v>
      </x:c>
      <x:c r="AB269" s="6" t="str">
        <x:v>45</x:v>
      </x:c>
      <x:c r="AC269" s="6" t="str">
        <x:v>2024-04</x:v>
      </x:c>
      <x:c r="AD269" s="9" t="str">
        <x:v>BNPB operational disaster search table</x:v>
      </x:c>
      <x:c r="AE269" s="9" t="str">
        <x:v>https://gis.bnpb.go.id/databencana/tabel/pencarian.php</x:v>
      </x:c>
      <x:c r="AF269" s="9" t="str">
        <x:v>operational_snapshot_annual_totals_may_differ</x:v>
      </x:c>
    </x:row>
    <x:row r="270" ht="18" customHeight="1">
      <x:c r="A270" s="6" t="str">
        <x:v>32</x:v>
      </x:c>
      <x:c r="B270" s="6" t="str">
        <x:v>JAWA BARAT</x:v>
      </x:c>
      <x:c r="C270" s="6" t="str">
        <x:v>2024</x:v>
      </x:c>
      <x:c r="D270" s="6" t="str">
        <x:v>5</x:v>
      </x:c>
      <x:c r="E270" s="6" t="str">
        <x:v>29</x:v>
      </x:c>
      <x:c r="F270" s="6" t="str">
        <x:v>29</x:v>
      </x:c>
      <x:c r="G270" s="6" t="str">
        <x:v>10</x:v>
      </x:c>
      <x:c r="H270" s="6" t="str">
        <x:v>8</x:v>
      </x:c>
      <x:c r="I270" s="6" t="str">
        <x:v>9</x:v>
      </x:c>
      <x:c r="J270" s="6" t="str">
        <x:v>2</x:v>
      </x:c>
      <x:c r="K270" s="6" t="str">
        <x:v>0</x:v>
      </x:c>
      <x:c r="L270" s="6" t="str">
        <x:v>0</x:v>
      </x:c>
      <x:c r="M270" s="6" t="str">
        <x:v>0</x:v>
      </x:c>
      <x:c r="N270" s="6" t="str">
        <x:v>0</x:v>
      </x:c>
      <x:c r="O270" s="6" t="str">
        <x:v>0</x:v>
      </x:c>
      <x:c r="P270" s="6" t="str">
        <x:v>29</x:v>
      </x:c>
      <x:c r="Q270" s="6" t="str">
        <x:v>1.0</x:v>
      </x:c>
      <x:c r="R270" s="6" t="str">
        <x:v>21</x:v>
      </x:c>
      <x:c r="S270" s="6" t="str">
        <x:v>0.0</x:v>
      </x:c>
      <x:c r="T270" s="6" t="str">
        <x:v>21</x:v>
      </x:c>
      <x:c r="U270" s="6" t="str">
        <x:v>1.0</x:v>
      </x:c>
      <x:c r="V270" s="6" t="str">
        <x:v>21</x:v>
      </x:c>
      <x:c r="W270" s="6" t="str">
        <x:v>292.0</x:v>
      </x:c>
      <x:c r="X270" s="6" t="str">
        <x:v>29</x:v>
      </x:c>
      <x:c r="Y270" s="6" t="str">
        <x:v>2915.0</x:v>
      </x:c>
      <x:c r="Z270" s="6" t="str">
        <x:v>8</x:v>
      </x:c>
      <x:c r="AA270" s="6" t="str">
        <x:v>2.0</x:v>
      </x:c>
      <x:c r="AB270" s="6" t="str">
        <x:v>29</x:v>
      </x:c>
      <x:c r="AC270" s="6" t="str">
        <x:v>2024-05</x:v>
      </x:c>
      <x:c r="AD270" s="9" t="str">
        <x:v>BNPB operational disaster search table</x:v>
      </x:c>
      <x:c r="AE270" s="9" t="str">
        <x:v>https://gis.bnpb.go.id/databencana/tabel/pencarian.php</x:v>
      </x:c>
      <x:c r="AF270" s="9" t="str">
        <x:v>operational_snapshot_annual_totals_may_differ</x:v>
      </x:c>
    </x:row>
    <x:row r="271" ht="18" customHeight="1">
      <x:c r="A271" s="6" t="str">
        <x:v>32</x:v>
      </x:c>
      <x:c r="B271" s="6" t="str">
        <x:v>JAWA BARAT</x:v>
      </x:c>
      <x:c r="C271" s="6" t="str">
        <x:v>2024</x:v>
      </x:c>
      <x:c r="D271" s="6" t="str">
        <x:v>6</x:v>
      </x:c>
      <x:c r="E271" s="6" t="str">
        <x:v>21</x:v>
      </x:c>
      <x:c r="F271" s="6" t="str">
        <x:v>21</x:v>
      </x:c>
      <x:c r="G271" s="6" t="str">
        <x:v>5</x:v>
      </x:c>
      <x:c r="H271" s="6" t="str">
        <x:v>6</x:v>
      </x:c>
      <x:c r="I271" s="6" t="str">
        <x:v>7</x:v>
      </x:c>
      <x:c r="J271" s="6" t="str">
        <x:v>3</x:v>
      </x:c>
      <x:c r="K271" s="6" t="str">
        <x:v>0</x:v>
      </x:c>
      <x:c r="L271" s="6" t="str">
        <x:v>0</x:v>
      </x:c>
      <x:c r="M271" s="6" t="str">
        <x:v>0</x:v>
      </x:c>
      <x:c r="N271" s="6" t="str">
        <x:v>0</x:v>
      </x:c>
      <x:c r="O271" s="6" t="str">
        <x:v>0</x:v>
      </x:c>
      <x:c r="P271" s="6" t="str">
        <x:v>21</x:v>
      </x:c>
      <x:c r="Q271" s="6" t="str">
        <x:v>0.0</x:v>
      </x:c>
      <x:c r="R271" s="6" t="str">
        <x:v>14</x:v>
      </x:c>
      <x:c r="S271" s="6" t="str">
        <x:v>0.0</x:v>
      </x:c>
      <x:c r="T271" s="6" t="str">
        <x:v>14</x:v>
      </x:c>
      <x:c r="U271" s="6" t="str">
        <x:v>0.0</x:v>
      </x:c>
      <x:c r="V271" s="6" t="str">
        <x:v>14</x:v>
      </x:c>
      <x:c r="W271" s="6" t="str">
        <x:v>218.0</x:v>
      </x:c>
      <x:c r="X271" s="6" t="str">
        <x:v>21</x:v>
      </x:c>
      <x:c r="Y271" s="6" t="str">
        <x:v>1077.0</x:v>
      </x:c>
      <x:c r="Z271" s="6" t="str">
        <x:v>5</x:v>
      </x:c>
      <x:c r="AA271" s="6" t="str">
        <x:v>0.0</x:v>
      </x:c>
      <x:c r="AB271" s="6" t="str">
        <x:v>21</x:v>
      </x:c>
      <x:c r="AC271" s="6" t="str">
        <x:v>2024-06</x:v>
      </x:c>
      <x:c r="AD271" s="9" t="str">
        <x:v>BNPB operational disaster search table</x:v>
      </x:c>
      <x:c r="AE271" s="9" t="str">
        <x:v>https://gis.bnpb.go.id/databencana/tabel/pencarian.php</x:v>
      </x:c>
      <x:c r="AF271" s="9" t="str">
        <x:v>operational_snapshot_annual_totals_may_differ</x:v>
      </x:c>
    </x:row>
    <x:row r="272" ht="18" customHeight="1">
      <x:c r="A272" s="6" t="str">
        <x:v>32</x:v>
      </x:c>
      <x:c r="B272" s="6" t="str">
        <x:v>JAWA BARAT</x:v>
      </x:c>
      <x:c r="C272" s="6" t="str">
        <x:v>2024</x:v>
      </x:c>
      <x:c r="D272" s="6" t="str">
        <x:v>7</x:v>
      </x:c>
      <x:c r="E272" s="6" t="str">
        <x:v>21</x:v>
      </x:c>
      <x:c r="F272" s="6" t="str">
        <x:v>21</x:v>
      </x:c>
      <x:c r="G272" s="6" t="str">
        <x:v>6</x:v>
      </x:c>
      <x:c r="H272" s="6" t="str">
        <x:v>0</x:v>
      </x:c>
      <x:c r="I272" s="6" t="str">
        <x:v>9</x:v>
      </x:c>
      <x:c r="J272" s="6" t="str">
        <x:v>3</x:v>
      </x:c>
      <x:c r="K272" s="6" t="str">
        <x:v>2</x:v>
      </x:c>
      <x:c r="L272" s="6" t="str">
        <x:v>0</x:v>
      </x:c>
      <x:c r="M272" s="6" t="str">
        <x:v>1</x:v>
      </x:c>
      <x:c r="N272" s="6" t="str">
        <x:v>0</x:v>
      </x:c>
      <x:c r="O272" s="6" t="str">
        <x:v>0</x:v>
      </x:c>
      <x:c r="P272" s="6" t="str">
        <x:v>20</x:v>
      </x:c>
      <x:c r="Q272" s="6" t="str">
        <x:v>0.0</x:v>
      </x:c>
      <x:c r="R272" s="6" t="str">
        <x:v>18</x:v>
      </x:c>
      <x:c r="S272" s="6" t="str">
        <x:v>0.0</x:v>
      </x:c>
      <x:c r="T272" s="6" t="str">
        <x:v>18</x:v>
      </x:c>
      <x:c r="U272" s="6" t="str">
        <x:v>0.0</x:v>
      </x:c>
      <x:c r="V272" s="6" t="str">
        <x:v>18</x:v>
      </x:c>
      <x:c r="W272" s="6" t="str">
        <x:v>128.0</x:v>
      </x:c>
      <x:c r="X272" s="6" t="str">
        <x:v>21</x:v>
      </x:c>
      <x:c r="Y272" s="6" t="str">
        <x:v>7767.0</x:v>
      </x:c>
      <x:c r="Z272" s="6" t="str">
        <x:v>5</x:v>
      </x:c>
      <x:c r="AA272" s="6" t="str">
        <x:v>4.0</x:v>
      </x:c>
      <x:c r="AB272" s="6" t="str">
        <x:v>21</x:v>
      </x:c>
      <x:c r="AC272" s="6" t="str">
        <x:v>2024-07</x:v>
      </x:c>
      <x:c r="AD272" s="9" t="str">
        <x:v>BNPB operational disaster search table</x:v>
      </x:c>
      <x:c r="AE272" s="9" t="str">
        <x:v>https://gis.bnpb.go.id/databencana/tabel/pencarian.php</x:v>
      </x:c>
      <x:c r="AF272" s="9" t="str">
        <x:v>operational_snapshot_annual_totals_may_differ</x:v>
      </x:c>
    </x:row>
    <x:row r="273" ht="18" customHeight="1">
      <x:c r="A273" s="6" t="str">
        <x:v>32</x:v>
      </x:c>
      <x:c r="B273" s="6" t="str">
        <x:v>JAWA BARAT</x:v>
      </x:c>
      <x:c r="C273" s="6" t="str">
        <x:v>2024</x:v>
      </x:c>
      <x:c r="D273" s="6" t="str">
        <x:v>8</x:v>
      </x:c>
      <x:c r="E273" s="6" t="str">
        <x:v>22</x:v>
      </x:c>
      <x:c r="F273" s="6" t="str">
        <x:v>22</x:v>
      </x:c>
      <x:c r="G273" s="6" t="str">
        <x:v>2</x:v>
      </x:c>
      <x:c r="H273" s="6" t="str">
        <x:v>1</x:v>
      </x:c>
      <x:c r="I273" s="6" t="str">
        <x:v>3</x:v>
      </x:c>
      <x:c r="J273" s="6" t="str">
        <x:v>9</x:v>
      </x:c>
      <x:c r="K273" s="6" t="str">
        <x:v>7</x:v>
      </x:c>
      <x:c r="L273" s="6" t="str">
        <x:v>0</x:v>
      </x:c>
      <x:c r="M273" s="6" t="str">
        <x:v>0</x:v>
      </x:c>
      <x:c r="N273" s="6" t="str">
        <x:v>0</x:v>
      </x:c>
      <x:c r="O273" s="6" t="str">
        <x:v>0</x:v>
      </x:c>
      <x:c r="P273" s="6" t="str">
        <x:v>22</x:v>
      </x:c>
      <x:c r="Q273" s="6" t="str">
        <x:v>0.0</x:v>
      </x:c>
      <x:c r="R273" s="6" t="str">
        <x:v>18</x:v>
      </x:c>
      <x:c r="S273" s="6" t="str">
        <x:v>0.0</x:v>
      </x:c>
      <x:c r="T273" s="6" t="str">
        <x:v>18</x:v>
      </x:c>
      <x:c r="U273" s="6" t="str">
        <x:v>0.0</x:v>
      </x:c>
      <x:c r="V273" s="6" t="str">
        <x:v>18</x:v>
      </x:c>
      <x:c r="W273" s="6" t="str">
        <x:v>54.0</x:v>
      </x:c>
      <x:c r="X273" s="6" t="str">
        <x:v>22</x:v>
      </x:c>
      <x:c r="Y273" s="6" t="str"/>
      <x:c r="Z273" s="6" t="str">
        <x:v>0</x:v>
      </x:c>
      <x:c r="AA273" s="6" t="str">
        <x:v>0.0</x:v>
      </x:c>
      <x:c r="AB273" s="6" t="str">
        <x:v>22</x:v>
      </x:c>
      <x:c r="AC273" s="6" t="str">
        <x:v>2024-08</x:v>
      </x:c>
      <x:c r="AD273" s="9" t="str">
        <x:v>BNPB operational disaster search table</x:v>
      </x:c>
      <x:c r="AE273" s="9" t="str">
        <x:v>https://gis.bnpb.go.id/databencana/tabel/pencarian.php</x:v>
      </x:c>
      <x:c r="AF273" s="9" t="str">
        <x:v>operational_snapshot_annual_totals_may_differ</x:v>
      </x:c>
    </x:row>
    <x:row r="274" ht="18" customHeight="1">
      <x:c r="A274" s="6" t="str">
        <x:v>32</x:v>
      </x:c>
      <x:c r="B274" s="6" t="str">
        <x:v>JAWA BARAT</x:v>
      </x:c>
      <x:c r="C274" s="6" t="str">
        <x:v>2024</x:v>
      </x:c>
      <x:c r="D274" s="6" t="str">
        <x:v>9</x:v>
      </x:c>
      <x:c r="E274" s="6" t="str">
        <x:v>34</x:v>
      </x:c>
      <x:c r="F274" s="6" t="str">
        <x:v>34</x:v>
      </x:c>
      <x:c r="G274" s="6" t="str">
        <x:v>2</x:v>
      </x:c>
      <x:c r="H274" s="6" t="str">
        <x:v>0</x:v>
      </x:c>
      <x:c r="I274" s="6" t="str">
        <x:v>16</x:v>
      </x:c>
      <x:c r="J274" s="6" t="str">
        <x:v>6</x:v>
      </x:c>
      <x:c r="K274" s="6" t="str">
        <x:v>4</x:v>
      </x:c>
      <x:c r="L274" s="6" t="str">
        <x:v>0</x:v>
      </x:c>
      <x:c r="M274" s="6" t="str">
        <x:v>6</x:v>
      </x:c>
      <x:c r="N274" s="6" t="str">
        <x:v>0</x:v>
      </x:c>
      <x:c r="O274" s="6" t="str">
        <x:v>0</x:v>
      </x:c>
      <x:c r="P274" s="6" t="str">
        <x:v>28</x:v>
      </x:c>
      <x:c r="Q274" s="6" t="str">
        <x:v>3.0</x:v>
      </x:c>
      <x:c r="R274" s="6" t="str">
        <x:v>22</x:v>
      </x:c>
      <x:c r="S274" s="6" t="str">
        <x:v>0.0</x:v>
      </x:c>
      <x:c r="T274" s="6" t="str">
        <x:v>22</x:v>
      </x:c>
      <x:c r="U274" s="6" t="str">
        <x:v>152.0</x:v>
      </x:c>
      <x:c r="V274" s="6" t="str">
        <x:v>23</x:v>
      </x:c>
      <x:c r="W274" s="6" t="str">
        <x:v>6789.0</x:v>
      </x:c>
      <x:c r="X274" s="6" t="str">
        <x:v>34</x:v>
      </x:c>
      <x:c r="Y274" s="6" t="str">
        <x:v>397.0</x:v>
      </x:c>
      <x:c r="Z274" s="6" t="str">
        <x:v>2</x:v>
      </x:c>
      <x:c r="AA274" s="6" t="str">
        <x:v>46.0</x:v>
      </x:c>
      <x:c r="AB274" s="6" t="str">
        <x:v>34</x:v>
      </x:c>
      <x:c r="AC274" s="6" t="str">
        <x:v>2024-09</x:v>
      </x:c>
      <x:c r="AD274" s="9" t="str">
        <x:v>BNPB operational disaster search table</x:v>
      </x:c>
      <x:c r="AE274" s="9" t="str">
        <x:v>https://gis.bnpb.go.id/databencana/tabel/pencarian.php</x:v>
      </x:c>
      <x:c r="AF274" s="9" t="str">
        <x:v>operational_snapshot_annual_totals_may_differ</x:v>
      </x:c>
    </x:row>
    <x:row r="275" ht="18" customHeight="1">
      <x:c r="A275" s="6" t="str">
        <x:v>32</x:v>
      </x:c>
      <x:c r="B275" s="6" t="str">
        <x:v>JAWA BARAT</x:v>
      </x:c>
      <x:c r="C275" s="6" t="str">
        <x:v>2024</x:v>
      </x:c>
      <x:c r="D275" s="6" t="str">
        <x:v>10</x:v>
      </x:c>
      <x:c r="E275" s="6" t="str">
        <x:v>35</x:v>
      </x:c>
      <x:c r="F275" s="6" t="str">
        <x:v>35</x:v>
      </x:c>
      <x:c r="G275" s="6" t="str">
        <x:v>2</x:v>
      </x:c>
      <x:c r="H275" s="6" t="str">
        <x:v>0</x:v>
      </x:c>
      <x:c r="I275" s="6" t="str">
        <x:v>29</x:v>
      </x:c>
      <x:c r="J275" s="6" t="str">
        <x:v>0</x:v>
      </x:c>
      <x:c r="K275" s="6" t="str">
        <x:v>3</x:v>
      </x:c>
      <x:c r="L275" s="6" t="str">
        <x:v>1</x:v>
      </x:c>
      <x:c r="M275" s="6" t="str">
        <x:v>0</x:v>
      </x:c>
      <x:c r="N275" s="6" t="str">
        <x:v>0</x:v>
      </x:c>
      <x:c r="O275" s="6" t="str">
        <x:v>0</x:v>
      </x:c>
      <x:c r="P275" s="6" t="str">
        <x:v>35</x:v>
      </x:c>
      <x:c r="Q275" s="6" t="str">
        <x:v>3.0</x:v>
      </x:c>
      <x:c r="R275" s="6" t="str">
        <x:v>26</x:v>
      </x:c>
      <x:c r="S275" s="6" t="str">
        <x:v>0.0</x:v>
      </x:c>
      <x:c r="T275" s="6" t="str">
        <x:v>26</x:v>
      </x:c>
      <x:c r="U275" s="6" t="str">
        <x:v>2.0</x:v>
      </x:c>
      <x:c r="V275" s="6" t="str">
        <x:v>26</x:v>
      </x:c>
      <x:c r="W275" s="6" t="str">
        <x:v>1096.0</x:v>
      </x:c>
      <x:c r="X275" s="6" t="str">
        <x:v>35</x:v>
      </x:c>
      <x:c r="Y275" s="6" t="str">
        <x:v>106.0</x:v>
      </x:c>
      <x:c r="Z275" s="6" t="str">
        <x:v>2</x:v>
      </x:c>
      <x:c r="AA275" s="6" t="str">
        <x:v>8.0</x:v>
      </x:c>
      <x:c r="AB275" s="6" t="str">
        <x:v>35</x:v>
      </x:c>
      <x:c r="AC275" s="6" t="str">
        <x:v>2024-10</x:v>
      </x:c>
      <x:c r="AD275" s="9" t="str">
        <x:v>BNPB operational disaster search table</x:v>
      </x:c>
      <x:c r="AE275" s="9" t="str">
        <x:v>https://gis.bnpb.go.id/databencana/tabel/pencarian.php</x:v>
      </x:c>
      <x:c r="AF275" s="9" t="str">
        <x:v>operational_snapshot_annual_totals_may_differ</x:v>
      </x:c>
    </x:row>
    <x:row r="276" ht="18" customHeight="1">
      <x:c r="A276" s="6" t="str">
        <x:v>32</x:v>
      </x:c>
      <x:c r="B276" s="6" t="str">
        <x:v>JAWA BARAT</x:v>
      </x:c>
      <x:c r="C276" s="6" t="str">
        <x:v>2024</x:v>
      </x:c>
      <x:c r="D276" s="6" t="str">
        <x:v>11</x:v>
      </x:c>
      <x:c r="E276" s="6" t="str">
        <x:v>97</x:v>
      </x:c>
      <x:c r="F276" s="6" t="str">
        <x:v>97</x:v>
      </x:c>
      <x:c r="G276" s="6" t="str">
        <x:v>34</x:v>
      </x:c>
      <x:c r="H276" s="6" t="str">
        <x:v>15</x:v>
      </x:c>
      <x:c r="I276" s="6" t="str">
        <x:v>46</x:v>
      </x:c>
      <x:c r="J276" s="6" t="str">
        <x:v>2</x:v>
      </x:c>
      <x:c r="K276" s="6" t="str">
        <x:v>0</x:v>
      </x:c>
      <x:c r="L276" s="6" t="str">
        <x:v>0</x:v>
      </x:c>
      <x:c r="M276" s="6" t="str">
        <x:v>0</x:v>
      </x:c>
      <x:c r="N276" s="6" t="str">
        <x:v>0</x:v>
      </x:c>
      <x:c r="O276" s="6" t="str">
        <x:v>0</x:v>
      </x:c>
      <x:c r="P276" s="6" t="str">
        <x:v>97</x:v>
      </x:c>
      <x:c r="Q276" s="6" t="str">
        <x:v>0.0</x:v>
      </x:c>
      <x:c r="R276" s="6" t="str">
        <x:v>61</x:v>
      </x:c>
      <x:c r="S276" s="6" t="str">
        <x:v>4.0</x:v>
      </x:c>
      <x:c r="T276" s="6" t="str">
        <x:v>61</x:v>
      </x:c>
      <x:c r="U276" s="6" t="str">
        <x:v>6.0</x:v>
      </x:c>
      <x:c r="V276" s="6" t="str">
        <x:v>61</x:v>
      </x:c>
      <x:c r="W276" s="6" t="str">
        <x:v>1683.0</x:v>
      </x:c>
      <x:c r="X276" s="6" t="str">
        <x:v>97</x:v>
      </x:c>
      <x:c r="Y276" s="6" t="str">
        <x:v>9874.0</x:v>
      </x:c>
      <x:c r="Z276" s="6" t="str">
        <x:v>31</x:v>
      </x:c>
      <x:c r="AA276" s="6" t="str">
        <x:v>8.0</x:v>
      </x:c>
      <x:c r="AB276" s="6" t="str">
        <x:v>97</x:v>
      </x:c>
      <x:c r="AC276" s="6" t="str">
        <x:v>2024-11</x:v>
      </x:c>
      <x:c r="AD276" s="9" t="str">
        <x:v>BNPB operational disaster search table</x:v>
      </x:c>
      <x:c r="AE276" s="9" t="str">
        <x:v>https://gis.bnpb.go.id/databencana/tabel/pencarian.php</x:v>
      </x:c>
      <x:c r="AF276" s="9" t="str">
        <x:v>operational_snapshot_annual_totals_may_differ</x:v>
      </x:c>
    </x:row>
    <x:row r="277" ht="18" customHeight="1">
      <x:c r="A277" s="6" t="str">
        <x:v>32</x:v>
      </x:c>
      <x:c r="B277" s="6" t="str">
        <x:v>JAWA BARAT</x:v>
      </x:c>
      <x:c r="C277" s="6" t="str">
        <x:v>2024</x:v>
      </x:c>
      <x:c r="D277" s="6" t="str">
        <x:v>12</x:v>
      </x:c>
      <x:c r="E277" s="6" t="str">
        <x:v>44</x:v>
      </x:c>
      <x:c r="F277" s="6" t="str">
        <x:v>44</x:v>
      </x:c>
      <x:c r="G277" s="6" t="str">
        <x:v>17</x:v>
      </x:c>
      <x:c r="H277" s="6" t="str">
        <x:v>9</x:v>
      </x:c>
      <x:c r="I277" s="6" t="str">
        <x:v>17</x:v>
      </x:c>
      <x:c r="J277" s="6" t="str">
        <x:v>0</x:v>
      </x:c>
      <x:c r="K277" s="6" t="str">
        <x:v>0</x:v>
      </x:c>
      <x:c r="L277" s="6" t="str">
        <x:v>0</x:v>
      </x:c>
      <x:c r="M277" s="6" t="str">
        <x:v>1</x:v>
      </x:c>
      <x:c r="N277" s="6" t="str">
        <x:v>0</x:v>
      </x:c>
      <x:c r="O277" s="6" t="str">
        <x:v>0</x:v>
      </x:c>
      <x:c r="P277" s="6" t="str">
        <x:v>43</x:v>
      </x:c>
      <x:c r="Q277" s="6" t="str">
        <x:v>18.0</x:v>
      </x:c>
      <x:c r="R277" s="6" t="str">
        <x:v>24</x:v>
      </x:c>
      <x:c r="S277" s="6" t="str">
        <x:v>2.0</x:v>
      </x:c>
      <x:c r="T277" s="6" t="str">
        <x:v>24</x:v>
      </x:c>
      <x:c r="U277" s="6" t="str">
        <x:v>10359.0</x:v>
      </x:c>
      <x:c r="V277" s="6" t="str">
        <x:v>24</x:v>
      </x:c>
      <x:c r="W277" s="6" t="str">
        <x:v>5075.0</x:v>
      </x:c>
      <x:c r="X277" s="6" t="str">
        <x:v>44</x:v>
      </x:c>
      <x:c r="Y277" s="6" t="str">
        <x:v>24451.0</x:v>
      </x:c>
      <x:c r="Z277" s="6" t="str">
        <x:v>16</x:v>
      </x:c>
      <x:c r="AA277" s="6" t="str">
        <x:v>0.0</x:v>
      </x:c>
      <x:c r="AB277" s="6" t="str">
        <x:v>44</x:v>
      </x:c>
      <x:c r="AC277" s="6" t="str">
        <x:v>2024-12</x:v>
      </x:c>
      <x:c r="AD277" s="9" t="str">
        <x:v>BNPB operational disaster search table</x:v>
      </x:c>
      <x:c r="AE277" s="9" t="str">
        <x:v>https://gis.bnpb.go.id/databencana/tabel/pencarian.php</x:v>
      </x:c>
      <x:c r="AF277" s="9" t="str">
        <x:v>operational_snapshot_annual_totals_may_differ</x:v>
      </x:c>
    </x:row>
    <x:row r="278" ht="18" customHeight="1">
      <x:c r="A278" s="6" t="str">
        <x:v>32</x:v>
      </x:c>
      <x:c r="B278" s="6" t="str">
        <x:v>JAWA BARAT</x:v>
      </x:c>
      <x:c r="C278" s="6" t="str">
        <x:v>2025</x:v>
      </x:c>
      <x:c r="D278" s="6" t="str">
        <x:v>1</x:v>
      </x:c>
      <x:c r="E278" s="6" t="str">
        <x:v>58</x:v>
      </x:c>
      <x:c r="F278" s="6" t="str">
        <x:v>58</x:v>
      </x:c>
      <x:c r="G278" s="6" t="str">
        <x:v>25</x:v>
      </x:c>
      <x:c r="H278" s="6" t="str">
        <x:v>4</x:v>
      </x:c>
      <x:c r="I278" s="6" t="str">
        <x:v>29</x:v>
      </x:c>
      <x:c r="J278" s="6" t="str">
        <x:v>0</x:v>
      </x:c>
      <x:c r="K278" s="6" t="str">
        <x:v>0</x:v>
      </x:c>
      <x:c r="L278" s="6" t="str">
        <x:v>0</x:v>
      </x:c>
      <x:c r="M278" s="6" t="str">
        <x:v>0</x:v>
      </x:c>
      <x:c r="N278" s="6" t="str">
        <x:v>0</x:v>
      </x:c>
      <x:c r="O278" s="6" t="str">
        <x:v>0</x:v>
      </x:c>
      <x:c r="P278" s="6" t="str">
        <x:v>58</x:v>
      </x:c>
      <x:c r="Q278" s="6" t="str">
        <x:v>2.0</x:v>
      </x:c>
      <x:c r="R278" s="6" t="str">
        <x:v>58</x:v>
      </x:c>
      <x:c r="S278" s="6" t="str">
        <x:v>0.0</x:v>
      </x:c>
      <x:c r="T278" s="6" t="str">
        <x:v>58</x:v>
      </x:c>
      <x:c r="U278" s="6" t="str">
        <x:v>11.0</x:v>
      </x:c>
      <x:c r="V278" s="6" t="str">
        <x:v>58</x:v>
      </x:c>
      <x:c r="W278" s="6" t="str">
        <x:v>369.0</x:v>
      </x:c>
      <x:c r="X278" s="6" t="str">
        <x:v>58</x:v>
      </x:c>
      <x:c r="Y278" s="6" t="str">
        <x:v>26269.0</x:v>
      </x:c>
      <x:c r="Z278" s="6" t="str">
        <x:v>23</x:v>
      </x:c>
      <x:c r="AA278" s="6" t="str">
        <x:v>2.0</x:v>
      </x:c>
      <x:c r="AB278" s="6" t="str">
        <x:v>58</x:v>
      </x:c>
      <x:c r="AC278" s="6" t="str">
        <x:v>2025-01</x:v>
      </x:c>
      <x:c r="AD278" s="9" t="str">
        <x:v>BNPB operational disaster search table</x:v>
      </x:c>
      <x:c r="AE278" s="9" t="str">
        <x:v>https://gis.bnpb.go.id/databencana/tabel/pencarian.php</x:v>
      </x:c>
      <x:c r="AF278" s="9" t="str">
        <x:v>operational_snapshot_annual_totals_may_differ</x:v>
      </x:c>
    </x:row>
    <x:row r="279" ht="18" customHeight="1">
      <x:c r="A279" s="6" t="str">
        <x:v>32</x:v>
      </x:c>
      <x:c r="B279" s="6" t="str">
        <x:v>JAWA BARAT</x:v>
      </x:c>
      <x:c r="C279" s="6" t="str">
        <x:v>2025</x:v>
      </x:c>
      <x:c r="D279" s="6" t="str">
        <x:v>2</x:v>
      </x:c>
      <x:c r="E279" s="6" t="str">
        <x:v>58</x:v>
      </x:c>
      <x:c r="F279" s="6" t="str">
        <x:v>58</x:v>
      </x:c>
      <x:c r="G279" s="6" t="str">
        <x:v>21</x:v>
      </x:c>
      <x:c r="H279" s="6" t="str">
        <x:v>4</x:v>
      </x:c>
      <x:c r="I279" s="6" t="str">
        <x:v>33</x:v>
      </x:c>
      <x:c r="J279" s="6" t="str">
        <x:v>0</x:v>
      </x:c>
      <x:c r="K279" s="6" t="str">
        <x:v>0</x:v>
      </x:c>
      <x:c r="L279" s="6" t="str">
        <x:v>0</x:v>
      </x:c>
      <x:c r="M279" s="6" t="str">
        <x:v>0</x:v>
      </x:c>
      <x:c r="N279" s="6" t="str">
        <x:v>0</x:v>
      </x:c>
      <x:c r="O279" s="6" t="str">
        <x:v>0</x:v>
      </x:c>
      <x:c r="P279" s="6" t="str">
        <x:v>58</x:v>
      </x:c>
      <x:c r="Q279" s="6" t="str">
        <x:v>1.0</x:v>
      </x:c>
      <x:c r="R279" s="6" t="str">
        <x:v>58</x:v>
      </x:c>
      <x:c r="S279" s="6" t="str">
        <x:v>0.0</x:v>
      </x:c>
      <x:c r="T279" s="6" t="str">
        <x:v>58</x:v>
      </x:c>
      <x:c r="U279" s="6" t="str">
        <x:v>5.0</x:v>
      </x:c>
      <x:c r="V279" s="6" t="str">
        <x:v>58</x:v>
      </x:c>
      <x:c r="W279" s="6" t="str">
        <x:v>1186.0</x:v>
      </x:c>
      <x:c r="X279" s="6" t="str">
        <x:v>58</x:v>
      </x:c>
      <x:c r="Y279" s="6" t="str">
        <x:v>6645.0</x:v>
      </x:c>
      <x:c r="Z279" s="6" t="str">
        <x:v>19</x:v>
      </x:c>
      <x:c r="AA279" s="6" t="str">
        <x:v>5.0</x:v>
      </x:c>
      <x:c r="AB279" s="6" t="str">
        <x:v>58</x:v>
      </x:c>
      <x:c r="AC279" s="6" t="str">
        <x:v>2025-02</x:v>
      </x:c>
      <x:c r="AD279" s="9" t="str">
        <x:v>BNPB operational disaster search table</x:v>
      </x:c>
      <x:c r="AE279" s="9" t="str">
        <x:v>https://gis.bnpb.go.id/databencana/tabel/pencarian.php</x:v>
      </x:c>
      <x:c r="AF279" s="9" t="str">
        <x:v>operational_snapshot_annual_totals_may_differ</x:v>
      </x:c>
    </x:row>
    <x:row r="280" ht="18" customHeight="1">
      <x:c r="A280" s="6" t="str">
        <x:v>32</x:v>
      </x:c>
      <x:c r="B280" s="6" t="str">
        <x:v>JAWA BARAT</x:v>
      </x:c>
      <x:c r="C280" s="6" t="str">
        <x:v>2025</x:v>
      </x:c>
      <x:c r="D280" s="6" t="str">
        <x:v>3</x:v>
      </x:c>
      <x:c r="E280" s="6" t="str">
        <x:v>65</x:v>
      </x:c>
      <x:c r="F280" s="6" t="str">
        <x:v>65</x:v>
      </x:c>
      <x:c r="G280" s="6" t="str">
        <x:v>32</x:v>
      </x:c>
      <x:c r="H280" s="6" t="str">
        <x:v>19</x:v>
      </x:c>
      <x:c r="I280" s="6" t="str">
        <x:v>14</x:v>
      </x:c>
      <x:c r="J280" s="6" t="str">
        <x:v>0</x:v>
      </x:c>
      <x:c r="K280" s="6" t="str">
        <x:v>0</x:v>
      </x:c>
      <x:c r="L280" s="6" t="str">
        <x:v>0</x:v>
      </x:c>
      <x:c r="M280" s="6" t="str">
        <x:v>0</x:v>
      </x:c>
      <x:c r="N280" s="6" t="str">
        <x:v>0</x:v>
      </x:c>
      <x:c r="O280" s="6" t="str">
        <x:v>0</x:v>
      </x:c>
      <x:c r="P280" s="6" t="str">
        <x:v>65</x:v>
      </x:c>
      <x:c r="Q280" s="6" t="str">
        <x:v>9.0</x:v>
      </x:c>
      <x:c r="R280" s="6" t="str">
        <x:v>65</x:v>
      </x:c>
      <x:c r="S280" s="6" t="str">
        <x:v>3.0</x:v>
      </x:c>
      <x:c r="T280" s="6" t="str">
        <x:v>65</x:v>
      </x:c>
      <x:c r="U280" s="6" t="str">
        <x:v>22.0</x:v>
      </x:c>
      <x:c r="V280" s="6" t="str">
        <x:v>65</x:v>
      </x:c>
      <x:c r="W280" s="6" t="str">
        <x:v>4286.0</x:v>
      </x:c>
      <x:c r="X280" s="6" t="str">
        <x:v>65</x:v>
      </x:c>
      <x:c r="Y280" s="6" t="str">
        <x:v>81688.0</x:v>
      </x:c>
      <x:c r="Z280" s="6" t="str">
        <x:v>27</x:v>
      </x:c>
      <x:c r="AA280" s="6" t="str">
        <x:v>109.0</x:v>
      </x:c>
      <x:c r="AB280" s="6" t="str">
        <x:v>65</x:v>
      </x:c>
      <x:c r="AC280" s="6" t="str">
        <x:v>2025-03</x:v>
      </x:c>
      <x:c r="AD280" s="9" t="str">
        <x:v>BNPB operational disaster search table</x:v>
      </x:c>
      <x:c r="AE280" s="9" t="str">
        <x:v>https://gis.bnpb.go.id/databencana/tabel/pencarian.php</x:v>
      </x:c>
      <x:c r="AF280" s="9" t="str">
        <x:v>operational_snapshot_annual_totals_may_differ</x:v>
      </x:c>
    </x:row>
    <x:row r="281" ht="18" customHeight="1">
      <x:c r="A281" s="6" t="str">
        <x:v>32</x:v>
      </x:c>
      <x:c r="B281" s="6" t="str">
        <x:v>JAWA BARAT</x:v>
      </x:c>
      <x:c r="C281" s="6" t="str">
        <x:v>2025</x:v>
      </x:c>
      <x:c r="D281" s="6" t="str">
        <x:v>4</x:v>
      </x:c>
      <x:c r="E281" s="6" t="str">
        <x:v>41</x:v>
      </x:c>
      <x:c r="F281" s="6" t="str">
        <x:v>41</x:v>
      </x:c>
      <x:c r="G281" s="6" t="str">
        <x:v>13</x:v>
      </x:c>
      <x:c r="H281" s="6" t="str">
        <x:v>11</x:v>
      </x:c>
      <x:c r="I281" s="6" t="str">
        <x:v>15</x:v>
      </x:c>
      <x:c r="J281" s="6" t="str">
        <x:v>1</x:v>
      </x:c>
      <x:c r="K281" s="6" t="str">
        <x:v>0</x:v>
      </x:c>
      <x:c r="L281" s="6" t="str">
        <x:v>0</x:v>
      </x:c>
      <x:c r="M281" s="6" t="str">
        <x:v>1</x:v>
      </x:c>
      <x:c r="N281" s="6" t="str">
        <x:v>0</x:v>
      </x:c>
      <x:c r="O281" s="6" t="str">
        <x:v>0</x:v>
      </x:c>
      <x:c r="P281" s="6" t="str">
        <x:v>40</x:v>
      </x:c>
      <x:c r="Q281" s="6" t="str">
        <x:v>1.0</x:v>
      </x:c>
      <x:c r="R281" s="6" t="str">
        <x:v>40</x:v>
      </x:c>
      <x:c r="S281" s="6" t="str">
        <x:v>0.0</x:v>
      </x:c>
      <x:c r="T281" s="6" t="str">
        <x:v>40</x:v>
      </x:c>
      <x:c r="U281" s="6" t="str">
        <x:v>7.0</x:v>
      </x:c>
      <x:c r="V281" s="6" t="str">
        <x:v>40</x:v>
      </x:c>
      <x:c r="W281" s="6" t="str">
        <x:v>334.0</x:v>
      </x:c>
      <x:c r="X281" s="6" t="str">
        <x:v>41</x:v>
      </x:c>
      <x:c r="Y281" s="6" t="str">
        <x:v>3743.0</x:v>
      </x:c>
      <x:c r="Z281" s="6" t="str">
        <x:v>13</x:v>
      </x:c>
      <x:c r="AA281" s="6" t="str">
        <x:v>17.0</x:v>
      </x:c>
      <x:c r="AB281" s="6" t="str">
        <x:v>41</x:v>
      </x:c>
      <x:c r="AC281" s="6" t="str">
        <x:v>2025-04</x:v>
      </x:c>
      <x:c r="AD281" s="9" t="str">
        <x:v>BNPB operational disaster search table</x:v>
      </x:c>
      <x:c r="AE281" s="9" t="str">
        <x:v>https://gis.bnpb.go.id/databencana/tabel/pencarian.php</x:v>
      </x:c>
      <x:c r="AF281" s="9" t="str">
        <x:v>operational_snapshot_annual_totals_may_differ</x:v>
      </x:c>
    </x:row>
    <x:row r="282" ht="18" customHeight="1">
      <x:c r="A282" s="6" t="str">
        <x:v>32</x:v>
      </x:c>
      <x:c r="B282" s="6" t="str">
        <x:v>JAWA BARAT</x:v>
      </x:c>
      <x:c r="C282" s="6" t="str">
        <x:v>2025</x:v>
      </x:c>
      <x:c r="D282" s="6" t="str">
        <x:v>5</x:v>
      </x:c>
      <x:c r="E282" s="6" t="str">
        <x:v>49</x:v>
      </x:c>
      <x:c r="F282" s="6" t="str">
        <x:v>49</x:v>
      </x:c>
      <x:c r="G282" s="6" t="str">
        <x:v>20</x:v>
      </x:c>
      <x:c r="H282" s="6" t="str">
        <x:v>14</x:v>
      </x:c>
      <x:c r="I282" s="6" t="str">
        <x:v>15</x:v>
      </x:c>
      <x:c r="J282" s="6" t="str">
        <x:v>0</x:v>
      </x:c>
      <x:c r="K282" s="6" t="str">
        <x:v>0</x:v>
      </x:c>
      <x:c r="L282" s="6" t="str">
        <x:v>0</x:v>
      </x:c>
      <x:c r="M282" s="6" t="str">
        <x:v>0</x:v>
      </x:c>
      <x:c r="N282" s="6" t="str">
        <x:v>0</x:v>
      </x:c>
      <x:c r="O282" s="6" t="str">
        <x:v>0</x:v>
      </x:c>
      <x:c r="P282" s="6" t="str">
        <x:v>49</x:v>
      </x:c>
      <x:c r="Q282" s="6" t="str">
        <x:v>23.0</x:v>
      </x:c>
      <x:c r="R282" s="6" t="str">
        <x:v>49</x:v>
      </x:c>
      <x:c r="S282" s="6" t="str">
        <x:v>4.0</x:v>
      </x:c>
      <x:c r="T282" s="6" t="str">
        <x:v>49</x:v>
      </x:c>
      <x:c r="U282" s="6" t="str">
        <x:v>25.0</x:v>
      </x:c>
      <x:c r="V282" s="6" t="str">
        <x:v>49</x:v>
      </x:c>
      <x:c r="W282" s="6" t="str">
        <x:v>645.0</x:v>
      </x:c>
      <x:c r="X282" s="6" t="str">
        <x:v>49</x:v>
      </x:c>
      <x:c r="Y282" s="6" t="str">
        <x:v>10027.0</x:v>
      </x:c>
      <x:c r="Z282" s="6" t="str">
        <x:v>17</x:v>
      </x:c>
      <x:c r="AA282" s="6" t="str">
        <x:v>8.0</x:v>
      </x:c>
      <x:c r="AB282" s="6" t="str">
        <x:v>49</x:v>
      </x:c>
      <x:c r="AC282" s="6" t="str">
        <x:v>2025-05</x:v>
      </x:c>
      <x:c r="AD282" s="9" t="str">
        <x:v>BNPB operational disaster search table</x:v>
      </x:c>
      <x:c r="AE282" s="9" t="str">
        <x:v>https://gis.bnpb.go.id/databencana/tabel/pencarian.php</x:v>
      </x:c>
      <x:c r="AF282" s="9" t="str">
        <x:v>operational_snapshot_annual_totals_may_differ</x:v>
      </x:c>
    </x:row>
    <x:row r="283" ht="18" customHeight="1">
      <x:c r="A283" s="6" t="str">
        <x:v>32</x:v>
      </x:c>
      <x:c r="B283" s="6" t="str">
        <x:v>JAWA BARAT</x:v>
      </x:c>
      <x:c r="C283" s="6" t="str">
        <x:v>2025</x:v>
      </x:c>
      <x:c r="D283" s="6" t="str">
        <x:v>6</x:v>
      </x:c>
      <x:c r="E283" s="6" t="str">
        <x:v>22</x:v>
      </x:c>
      <x:c r="F283" s="6" t="str">
        <x:v>22</x:v>
      </x:c>
      <x:c r="G283" s="6" t="str">
        <x:v>6</x:v>
      </x:c>
      <x:c r="H283" s="6" t="str">
        <x:v>4</x:v>
      </x:c>
      <x:c r="I283" s="6" t="str">
        <x:v>10</x:v>
      </x:c>
      <x:c r="J283" s="6" t="str">
        <x:v>2</x:v>
      </x:c>
      <x:c r="K283" s="6" t="str">
        <x:v>0</x:v>
      </x:c>
      <x:c r="L283" s="6" t="str">
        <x:v>0</x:v>
      </x:c>
      <x:c r="M283" s="6" t="str">
        <x:v>0</x:v>
      </x:c>
      <x:c r="N283" s="6" t="str">
        <x:v>0</x:v>
      </x:c>
      <x:c r="O283" s="6" t="str">
        <x:v>0</x:v>
      </x:c>
      <x:c r="P283" s="6" t="str">
        <x:v>22</x:v>
      </x:c>
      <x:c r="Q283" s="6" t="str">
        <x:v>9.0</x:v>
      </x:c>
      <x:c r="R283" s="6" t="str">
        <x:v>6</x:v>
      </x:c>
      <x:c r="S283" s="6" t="str">
        <x:v>2.0</x:v>
      </x:c>
      <x:c r="T283" s="6" t="str">
        <x:v>2</x:v>
      </x:c>
      <x:c r="U283" s="6" t="str">
        <x:v>1.0</x:v>
      </x:c>
      <x:c r="V283" s="6" t="str">
        <x:v>2</x:v>
      </x:c>
      <x:c r="W283" s="6" t="str">
        <x:v>294.0</x:v>
      </x:c>
      <x:c r="X283" s="6" t="str">
        <x:v>22</x:v>
      </x:c>
      <x:c r="Y283" s="6" t="str">
        <x:v>3635.0</x:v>
      </x:c>
      <x:c r="Z283" s="6" t="str">
        <x:v>6</x:v>
      </x:c>
      <x:c r="AA283" s="6" t="str">
        <x:v>16.0</x:v>
      </x:c>
      <x:c r="AB283" s="6" t="str">
        <x:v>22</x:v>
      </x:c>
      <x:c r="AC283" s="6" t="str">
        <x:v>2025-06</x:v>
      </x:c>
      <x:c r="AD283" s="9" t="str">
        <x:v>BNPB operational disaster search table</x:v>
      </x:c>
      <x:c r="AE283" s="9" t="str">
        <x:v>https://gis.bnpb.go.id/databencana/tabel/pencarian.php</x:v>
      </x:c>
      <x:c r="AF283" s="9" t="str">
        <x:v>operational_snapshot_annual_totals_may_differ</x:v>
      </x:c>
    </x:row>
    <x:row r="284" ht="18" customHeight="1">
      <x:c r="A284" s="6" t="str">
        <x:v>32</x:v>
      </x:c>
      <x:c r="B284" s="6" t="str">
        <x:v>JAWA BARAT</x:v>
      </x:c>
      <x:c r="C284" s="6" t="str">
        <x:v>2025</x:v>
      </x:c>
      <x:c r="D284" s="6" t="str">
        <x:v>7</x:v>
      </x:c>
      <x:c r="E284" s="6" t="str">
        <x:v>25</x:v>
      </x:c>
      <x:c r="F284" s="6" t="str">
        <x:v>25</x:v>
      </x:c>
      <x:c r="G284" s="6" t="str">
        <x:v>14</x:v>
      </x:c>
      <x:c r="H284" s="6" t="str">
        <x:v>4</x:v>
      </x:c>
      <x:c r="I284" s="6" t="str">
        <x:v>5</x:v>
      </x:c>
      <x:c r="J284" s="6" t="str">
        <x:v>1</x:v>
      </x:c>
      <x:c r="K284" s="6" t="str">
        <x:v>1</x:v>
      </x:c>
      <x:c r="L284" s="6" t="str">
        <x:v>0</x:v>
      </x:c>
      <x:c r="M284" s="6" t="str">
        <x:v>0</x:v>
      </x:c>
      <x:c r="N284" s="6" t="str">
        <x:v>0</x:v>
      </x:c>
      <x:c r="O284" s="6" t="str">
        <x:v>0</x:v>
      </x:c>
      <x:c r="P284" s="6" t="str">
        <x:v>25</x:v>
      </x:c>
      <x:c r="Q284" s="6" t="str">
        <x:v>6.0</x:v>
      </x:c>
      <x:c r="R284" s="6" t="str">
        <x:v>4</x:v>
      </x:c>
      <x:c r="S284" s="6" t="str">
        <x:v>1.0</x:v>
      </x:c>
      <x:c r="T284" s="6" t="str">
        <x:v>1</x:v>
      </x:c>
      <x:c r="U284" s="6" t="str">
        <x:v>6.0</x:v>
      </x:c>
      <x:c r="V284" s="6" t="str">
        <x:v>3</x:v>
      </x:c>
      <x:c r="W284" s="6" t="str">
        <x:v>83.0</x:v>
      </x:c>
      <x:c r="X284" s="6" t="str">
        <x:v>25</x:v>
      </x:c>
      <x:c r="Y284" s="6" t="str">
        <x:v>7677.0</x:v>
      </x:c>
      <x:c r="Z284" s="6" t="str">
        <x:v>14</x:v>
      </x:c>
      <x:c r="AA284" s="6" t="str">
        <x:v>3.0</x:v>
      </x:c>
      <x:c r="AB284" s="6" t="str">
        <x:v>25</x:v>
      </x:c>
      <x:c r="AC284" s="6" t="str">
        <x:v>2025-07</x:v>
      </x:c>
      <x:c r="AD284" s="9" t="str">
        <x:v>BNPB operational disaster search table</x:v>
      </x:c>
      <x:c r="AE284" s="9" t="str">
        <x:v>https://gis.bnpb.go.id/databencana/tabel/pencarian.php</x:v>
      </x:c>
      <x:c r="AF284" s="9" t="str">
        <x:v>operational_snapshot_annual_totals_may_differ</x:v>
      </x:c>
    </x:row>
    <x:row r="285" ht="18" customHeight="1">
      <x:c r="A285" s="6" t="str">
        <x:v>32</x:v>
      </x:c>
      <x:c r="B285" s="6" t="str">
        <x:v>JAWA BARAT</x:v>
      </x:c>
      <x:c r="C285" s="6" t="str">
        <x:v>2025</x:v>
      </x:c>
      <x:c r="D285" s="6" t="str">
        <x:v>8</x:v>
      </x:c>
      <x:c r="E285" s="6" t="str">
        <x:v>40</x:v>
      </x:c>
      <x:c r="F285" s="6" t="str">
        <x:v>40</x:v>
      </x:c>
      <x:c r="G285" s="6" t="str">
        <x:v>12</x:v>
      </x:c>
      <x:c r="H285" s="6" t="str">
        <x:v>8</x:v>
      </x:c>
      <x:c r="I285" s="6" t="str">
        <x:v>17</x:v>
      </x:c>
      <x:c r="J285" s="6" t="str">
        <x:v>0</x:v>
      </x:c>
      <x:c r="K285" s="6" t="str">
        <x:v>0</x:v>
      </x:c>
      <x:c r="L285" s="6" t="str">
        <x:v>0</x:v>
      </x:c>
      <x:c r="M285" s="6" t="str">
        <x:v>3</x:v>
      </x:c>
      <x:c r="N285" s="6" t="str">
        <x:v>0</x:v>
      </x:c>
      <x:c r="O285" s="6" t="str">
        <x:v>0</x:v>
      </x:c>
      <x:c r="P285" s="6" t="str">
        <x:v>37</x:v>
      </x:c>
      <x:c r="Q285" s="6" t="str">
        <x:v>4.0</x:v>
      </x:c>
      <x:c r="R285" s="6" t="str">
        <x:v>4</x:v>
      </x:c>
      <x:c r="S285" s="6" t="str"/>
      <x:c r="T285" s="6" t="str">
        <x:v>0</x:v>
      </x:c>
      <x:c r="U285" s="6" t="str">
        <x:v>5.0</x:v>
      </x:c>
      <x:c r="V285" s="6" t="str">
        <x:v>2</x:v>
      </x:c>
      <x:c r="W285" s="6" t="str">
        <x:v>631.0</x:v>
      </x:c>
      <x:c r="X285" s="6" t="str">
        <x:v>40</x:v>
      </x:c>
      <x:c r="Y285" s="6" t="str">
        <x:v>2534.0</x:v>
      </x:c>
      <x:c r="Z285" s="6" t="str">
        <x:v>10</x:v>
      </x:c>
      <x:c r="AA285" s="6" t="str">
        <x:v>22.0</x:v>
      </x:c>
      <x:c r="AB285" s="6" t="str">
        <x:v>40</x:v>
      </x:c>
      <x:c r="AC285" s="6" t="str">
        <x:v>2025-08</x:v>
      </x:c>
      <x:c r="AD285" s="9" t="str">
        <x:v>BNPB operational disaster search table</x:v>
      </x:c>
      <x:c r="AE285" s="9" t="str">
        <x:v>https://gis.bnpb.go.id/databencana/tabel/pencarian.php</x:v>
      </x:c>
      <x:c r="AF285" s="9" t="str">
        <x:v>operational_snapshot_annual_totals_may_differ</x:v>
      </x:c>
    </x:row>
    <x:row r="286" ht="18" customHeight="1">
      <x:c r="A286" s="6" t="str">
        <x:v>32</x:v>
      </x:c>
      <x:c r="B286" s="6" t="str">
        <x:v>JAWA BARAT</x:v>
      </x:c>
      <x:c r="C286" s="6" t="str">
        <x:v>2025</x:v>
      </x:c>
      <x:c r="D286" s="6" t="str">
        <x:v>9</x:v>
      </x:c>
      <x:c r="E286" s="6" t="str">
        <x:v>17</x:v>
      </x:c>
      <x:c r="F286" s="6" t="str">
        <x:v>17</x:v>
      </x:c>
      <x:c r="G286" s="6" t="str">
        <x:v>3</x:v>
      </x:c>
      <x:c r="H286" s="6" t="str">
        <x:v>1</x:v>
      </x:c>
      <x:c r="I286" s="6" t="str">
        <x:v>11</x:v>
      </x:c>
      <x:c r="J286" s="6" t="str">
        <x:v>0</x:v>
      </x:c>
      <x:c r="K286" s="6" t="str">
        <x:v>0</x:v>
      </x:c>
      <x:c r="L286" s="6" t="str">
        <x:v>0</x:v>
      </x:c>
      <x:c r="M286" s="6" t="str">
        <x:v>2</x:v>
      </x:c>
      <x:c r="N286" s="6" t="str">
        <x:v>0</x:v>
      </x:c>
      <x:c r="O286" s="6" t="str">
        <x:v>0</x:v>
      </x:c>
      <x:c r="P286" s="6" t="str">
        <x:v>15</x:v>
      </x:c>
      <x:c r="Q286" s="6" t="str"/>
      <x:c r="R286" s="6" t="str">
        <x:v>0</x:v>
      </x:c>
      <x:c r="S286" s="6" t="str"/>
      <x:c r="T286" s="6" t="str">
        <x:v>0</x:v>
      </x:c>
      <x:c r="U286" s="6" t="str">
        <x:v>1.0</x:v>
      </x:c>
      <x:c r="V286" s="6" t="str">
        <x:v>1</x:v>
      </x:c>
      <x:c r="W286" s="6" t="str">
        <x:v>388.0</x:v>
      </x:c>
      <x:c r="X286" s="6" t="str">
        <x:v>17</x:v>
      </x:c>
      <x:c r="Y286" s="6" t="str">
        <x:v>105.0</x:v>
      </x:c>
      <x:c r="Z286" s="6" t="str">
        <x:v>3</x:v>
      </x:c>
      <x:c r="AA286" s="6" t="str">
        <x:v>10.0</x:v>
      </x:c>
      <x:c r="AB286" s="6" t="str">
        <x:v>17</x:v>
      </x:c>
      <x:c r="AC286" s="6" t="str">
        <x:v>2025-09</x:v>
      </x:c>
      <x:c r="AD286" s="9" t="str">
        <x:v>BNPB operational disaster search table</x:v>
      </x:c>
      <x:c r="AE286" s="9" t="str">
        <x:v>https://gis.bnpb.go.id/databencana/tabel/pencarian.php</x:v>
      </x:c>
      <x:c r="AF286" s="9" t="str">
        <x:v>operational_snapshot_annual_totals_may_differ</x:v>
      </x:c>
    </x:row>
    <x:row r="287" ht="18" customHeight="1">
      <x:c r="A287" s="6" t="str">
        <x:v>32</x:v>
      </x:c>
      <x:c r="B287" s="6" t="str">
        <x:v>JAWA BARAT</x:v>
      </x:c>
      <x:c r="C287" s="6" t="str">
        <x:v>2025</x:v>
      </x:c>
      <x:c r="D287" s="6" t="str">
        <x:v>10</x:v>
      </x:c>
      <x:c r="E287" s="6" t="str">
        <x:v>39</x:v>
      </x:c>
      <x:c r="F287" s="6" t="str">
        <x:v>39</x:v>
      </x:c>
      <x:c r="G287" s="6" t="str">
        <x:v>10</x:v>
      </x:c>
      <x:c r="H287" s="6" t="str">
        <x:v>5</x:v>
      </x:c>
      <x:c r="I287" s="6" t="str">
        <x:v>24</x:v>
      </x:c>
      <x:c r="J287" s="6" t="str">
        <x:v>0</x:v>
      </x:c>
      <x:c r="K287" s="6" t="str">
        <x:v>0</x:v>
      </x:c>
      <x:c r="L287" s="6" t="str">
        <x:v>0</x:v>
      </x:c>
      <x:c r="M287" s="6" t="str">
        <x:v>0</x:v>
      </x:c>
      <x:c r="N287" s="6" t="str">
        <x:v>0</x:v>
      </x:c>
      <x:c r="O287" s="6" t="str">
        <x:v>0</x:v>
      </x:c>
      <x:c r="P287" s="6" t="str">
        <x:v>39</x:v>
      </x:c>
      <x:c r="Q287" s="6" t="str">
        <x:v>3.0</x:v>
      </x:c>
      <x:c r="R287" s="6" t="str">
        <x:v>2</x:v>
      </x:c>
      <x:c r="S287" s="6" t="str"/>
      <x:c r="T287" s="6" t="str">
        <x:v>0</x:v>
      </x:c>
      <x:c r="U287" s="6" t="str">
        <x:v>2.0</x:v>
      </x:c>
      <x:c r="V287" s="6" t="str">
        <x:v>2</x:v>
      </x:c>
      <x:c r="W287" s="6" t="str">
        <x:v>1710.0</x:v>
      </x:c>
      <x:c r="X287" s="6" t="str">
        <x:v>39</x:v>
      </x:c>
      <x:c r="Y287" s="6" t="str">
        <x:v>3543.0</x:v>
      </x:c>
      <x:c r="Z287" s="6" t="str">
        <x:v>9</x:v>
      </x:c>
      <x:c r="AA287" s="6" t="str">
        <x:v>18.0</x:v>
      </x:c>
      <x:c r="AB287" s="6" t="str">
        <x:v>39</x:v>
      </x:c>
      <x:c r="AC287" s="6" t="str">
        <x:v>2025-10</x:v>
      </x:c>
      <x:c r="AD287" s="9" t="str">
        <x:v>BNPB operational disaster search table</x:v>
      </x:c>
      <x:c r="AE287" s="9" t="str">
        <x:v>https://gis.bnpb.go.id/databencana/tabel/pencarian.php</x:v>
      </x:c>
      <x:c r="AF287" s="9" t="str">
        <x:v>operational_snapshot_annual_totals_may_differ</x:v>
      </x:c>
    </x:row>
    <x:row r="288" ht="18" customHeight="1">
      <x:c r="A288" s="6" t="str">
        <x:v>32</x:v>
      </x:c>
      <x:c r="B288" s="6" t="str">
        <x:v>JAWA BARAT</x:v>
      </x:c>
      <x:c r="C288" s="6" t="str">
        <x:v>2025</x:v>
      </x:c>
      <x:c r="D288" s="6" t="str">
        <x:v>11</x:v>
      </x:c>
      <x:c r="E288" s="6" t="str">
        <x:v>28</x:v>
      </x:c>
      <x:c r="F288" s="6" t="str">
        <x:v>28</x:v>
      </x:c>
      <x:c r="G288" s="6" t="str">
        <x:v>12</x:v>
      </x:c>
      <x:c r="H288" s="6" t="str">
        <x:v>4</x:v>
      </x:c>
      <x:c r="I288" s="6" t="str">
        <x:v>12</x:v>
      </x:c>
      <x:c r="J288" s="6" t="str">
        <x:v>0</x:v>
      </x:c>
      <x:c r="K288" s="6" t="str">
        <x:v>0</x:v>
      </x:c>
      <x:c r="L288" s="6" t="str">
        <x:v>0</x:v>
      </x:c>
      <x:c r="M288" s="6" t="str">
        <x:v>0</x:v>
      </x:c>
      <x:c r="N288" s="6" t="str">
        <x:v>0</x:v>
      </x:c>
      <x:c r="O288" s="6" t="str">
        <x:v>0</x:v>
      </x:c>
      <x:c r="P288" s="6" t="str">
        <x:v>28</x:v>
      </x:c>
      <x:c r="Q288" s="6" t="str"/>
      <x:c r="R288" s="6" t="str">
        <x:v>0</x:v>
      </x:c>
      <x:c r="S288" s="6" t="str"/>
      <x:c r="T288" s="6" t="str">
        <x:v>0</x:v>
      </x:c>
      <x:c r="U288" s="6" t="str">
        <x:v>48.0</x:v>
      </x:c>
      <x:c r="V288" s="6" t="str">
        <x:v>2</x:v>
      </x:c>
      <x:c r="W288" s="6" t="str">
        <x:v>643.0</x:v>
      </x:c>
      <x:c r="X288" s="6" t="str">
        <x:v>28</x:v>
      </x:c>
      <x:c r="Y288" s="6" t="str">
        <x:v>2945.0</x:v>
      </x:c>
      <x:c r="Z288" s="6" t="str">
        <x:v>10</x:v>
      </x:c>
      <x:c r="AA288" s="6" t="str">
        <x:v>22.0</x:v>
      </x:c>
      <x:c r="AB288" s="6" t="str">
        <x:v>28</x:v>
      </x:c>
      <x:c r="AC288" s="6" t="str">
        <x:v>2025-11</x:v>
      </x:c>
      <x:c r="AD288" s="9" t="str">
        <x:v>BNPB operational disaster search table</x:v>
      </x:c>
      <x:c r="AE288" s="9" t="str">
        <x:v>https://gis.bnpb.go.id/databencana/tabel/pencarian.php</x:v>
      </x:c>
      <x:c r="AF288" s="9" t="str">
        <x:v>operational_snapshot_annual_totals_may_differ</x:v>
      </x:c>
    </x:row>
    <x:row r="289" ht="18" customHeight="1">
      <x:c r="A289" s="6" t="str">
        <x:v>32</x:v>
      </x:c>
      <x:c r="B289" s="6" t="str">
        <x:v>JAWA BARAT</x:v>
      </x:c>
      <x:c r="C289" s="6" t="str">
        <x:v>2025</x:v>
      </x:c>
      <x:c r="D289" s="6" t="str">
        <x:v>12</x:v>
      </x:c>
      <x:c r="E289" s="6" t="str">
        <x:v>49</x:v>
      </x:c>
      <x:c r="F289" s="6" t="str">
        <x:v>49</x:v>
      </x:c>
      <x:c r="G289" s="6" t="str">
        <x:v>26</x:v>
      </x:c>
      <x:c r="H289" s="6" t="str">
        <x:v>8</x:v>
      </x:c>
      <x:c r="I289" s="6" t="str">
        <x:v>15</x:v>
      </x:c>
      <x:c r="J289" s="6" t="str">
        <x:v>0</x:v>
      </x:c>
      <x:c r="K289" s="6" t="str">
        <x:v>0</x:v>
      </x:c>
      <x:c r="L289" s="6" t="str">
        <x:v>0</x:v>
      </x:c>
      <x:c r="M289" s="6" t="str">
        <x:v>0</x:v>
      </x:c>
      <x:c r="N289" s="6" t="str">
        <x:v>0</x:v>
      </x:c>
      <x:c r="O289" s="6" t="str">
        <x:v>0</x:v>
      </x:c>
      <x:c r="P289" s="6" t="str">
        <x:v>49</x:v>
      </x:c>
      <x:c r="Q289" s="6" t="str"/>
      <x:c r="R289" s="6" t="str">
        <x:v>0</x:v>
      </x:c>
      <x:c r="S289" s="6" t="str">
        <x:v>3.0</x:v>
      </x:c>
      <x:c r="T289" s="6" t="str">
        <x:v>1</x:v>
      </x:c>
      <x:c r="U289" s="6" t="str">
        <x:v>1.0</x:v>
      </x:c>
      <x:c r="V289" s="6" t="str">
        <x:v>1</x:v>
      </x:c>
      <x:c r="W289" s="6" t="str">
        <x:v>451.0</x:v>
      </x:c>
      <x:c r="X289" s="6" t="str">
        <x:v>49</x:v>
      </x:c>
      <x:c r="Y289" s="6" t="str">
        <x:v>30406.0</x:v>
      </x:c>
      <x:c r="Z289" s="6" t="str">
        <x:v>24</x:v>
      </x:c>
      <x:c r="AA289" s="6" t="str">
        <x:v>6.0</x:v>
      </x:c>
      <x:c r="AB289" s="6" t="str">
        <x:v>49</x:v>
      </x:c>
      <x:c r="AC289" s="6" t="str">
        <x:v>2025-12</x:v>
      </x:c>
      <x:c r="AD289" s="9" t="str">
        <x:v>BNPB operational disaster search table</x:v>
      </x:c>
      <x:c r="AE289" s="9" t="str">
        <x:v>https://gis.bnpb.go.id/databencana/tabel/pencarian.php</x:v>
      </x:c>
      <x:c r="AF289" s="9" t="str">
        <x:v>operational_snapshot_annual_totals_may_differ</x:v>
      </x:c>
    </x:row>
    <x:row r="290" ht="18" customHeight="1">
      <x:c r="A290" s="6" t="str">
        <x:v>33</x:v>
      </x:c>
      <x:c r="B290" s="6" t="str">
        <x:v>JAWA TENGAH</x:v>
      </x:c>
      <x:c r="C290" s="6" t="str">
        <x:v>2024</x:v>
      </x:c>
      <x:c r="D290" s="6" t="str">
        <x:v>1</x:v>
      </x:c>
      <x:c r="E290" s="6" t="str">
        <x:v>28</x:v>
      </x:c>
      <x:c r="F290" s="6" t="str">
        <x:v>28</x:v>
      </x:c>
      <x:c r="G290" s="6" t="str">
        <x:v>11</x:v>
      </x:c>
      <x:c r="H290" s="6" t="str">
        <x:v>3</x:v>
      </x:c>
      <x:c r="I290" s="6" t="str">
        <x:v>14</x:v>
      </x:c>
      <x:c r="J290" s="6" t="str">
        <x:v>0</x:v>
      </x:c>
      <x:c r="K290" s="6" t="str">
        <x:v>0</x:v>
      </x:c>
      <x:c r="L290" s="6" t="str">
        <x:v>0</x:v>
      </x:c>
      <x:c r="M290" s="6" t="str">
        <x:v>0</x:v>
      </x:c>
      <x:c r="N290" s="6" t="str">
        <x:v>0</x:v>
      </x:c>
      <x:c r="O290" s="6" t="str">
        <x:v>0</x:v>
      </x:c>
      <x:c r="P290" s="6" t="str">
        <x:v>28</x:v>
      </x:c>
      <x:c r="Q290" s="6" t="str">
        <x:v>2.0</x:v>
      </x:c>
      <x:c r="R290" s="6" t="str">
        <x:v>28</x:v>
      </x:c>
      <x:c r="S290" s="6" t="str">
        <x:v>0.0</x:v>
      </x:c>
      <x:c r="T290" s="6" t="str">
        <x:v>28</x:v>
      </x:c>
      <x:c r="U290" s="6" t="str">
        <x:v>0.0</x:v>
      </x:c>
      <x:c r="V290" s="6" t="str">
        <x:v>28</x:v>
      </x:c>
      <x:c r="W290" s="6" t="str">
        <x:v>2785.0</x:v>
      </x:c>
      <x:c r="X290" s="6" t="str">
        <x:v>28</x:v>
      </x:c>
      <x:c r="Y290" s="6" t="str">
        <x:v>2893.0</x:v>
      </x:c>
      <x:c r="Z290" s="6" t="str">
        <x:v>7</x:v>
      </x:c>
      <x:c r="AA290" s="6" t="str">
        <x:v>1.0</x:v>
      </x:c>
      <x:c r="AB290" s="6" t="str">
        <x:v>28</x:v>
      </x:c>
      <x:c r="AC290" s="6" t="str">
        <x:v>2024-01</x:v>
      </x:c>
      <x:c r="AD290" s="9" t="str">
        <x:v>BNPB operational disaster search table</x:v>
      </x:c>
      <x:c r="AE290" s="9" t="str">
        <x:v>https://gis.bnpb.go.id/databencana/tabel/pencarian.php</x:v>
      </x:c>
      <x:c r="AF290" s="9" t="str">
        <x:v>operational_snapshot_annual_totals_may_differ</x:v>
      </x:c>
    </x:row>
    <x:row r="291" ht="18" customHeight="1">
      <x:c r="A291" s="6" t="str">
        <x:v>33</x:v>
      </x:c>
      <x:c r="B291" s="6" t="str">
        <x:v>JAWA TENGAH</x:v>
      </x:c>
      <x:c r="C291" s="6" t="str">
        <x:v>2024</x:v>
      </x:c>
      <x:c r="D291" s="6" t="str">
        <x:v>2</x:v>
      </x:c>
      <x:c r="E291" s="6" t="str">
        <x:v>34</x:v>
      </x:c>
      <x:c r="F291" s="6" t="str">
        <x:v>34</x:v>
      </x:c>
      <x:c r="G291" s="6" t="str">
        <x:v>18</x:v>
      </x:c>
      <x:c r="H291" s="6" t="str">
        <x:v>6</x:v>
      </x:c>
      <x:c r="I291" s="6" t="str">
        <x:v>10</x:v>
      </x:c>
      <x:c r="J291" s="6" t="str">
        <x:v>0</x:v>
      </x:c>
      <x:c r="K291" s="6" t="str">
        <x:v>0</x:v>
      </x:c>
      <x:c r="L291" s="6" t="str">
        <x:v>0</x:v>
      </x:c>
      <x:c r="M291" s="6" t="str">
        <x:v>0</x:v>
      </x:c>
      <x:c r="N291" s="6" t="str">
        <x:v>0</x:v>
      </x:c>
      <x:c r="O291" s="6" t="str">
        <x:v>0</x:v>
      </x:c>
      <x:c r="P291" s="6" t="str">
        <x:v>34</x:v>
      </x:c>
      <x:c r="Q291" s="6" t="str">
        <x:v>6.0</x:v>
      </x:c>
      <x:c r="R291" s="6" t="str">
        <x:v>34</x:v>
      </x:c>
      <x:c r="S291" s="6" t="str">
        <x:v>0.0</x:v>
      </x:c>
      <x:c r="T291" s="6" t="str">
        <x:v>34</x:v>
      </x:c>
      <x:c r="U291" s="6" t="str">
        <x:v>5.0</x:v>
      </x:c>
      <x:c r="V291" s="6" t="str">
        <x:v>34</x:v>
      </x:c>
      <x:c r="W291" s="6" t="str">
        <x:v>624.0</x:v>
      </x:c>
      <x:c r="X291" s="6" t="str">
        <x:v>34</x:v>
      </x:c>
      <x:c r="Y291" s="6" t="str">
        <x:v>70135.0</x:v>
      </x:c>
      <x:c r="Z291" s="6" t="str">
        <x:v>18</x:v>
      </x:c>
      <x:c r="AA291" s="6" t="str">
        <x:v>207.0</x:v>
      </x:c>
      <x:c r="AB291" s="6" t="str">
        <x:v>34</x:v>
      </x:c>
      <x:c r="AC291" s="6" t="str">
        <x:v>2024-02</x:v>
      </x:c>
      <x:c r="AD291" s="9" t="str">
        <x:v>BNPB operational disaster search table</x:v>
      </x:c>
      <x:c r="AE291" s="9" t="str">
        <x:v>https://gis.bnpb.go.id/databencana/tabel/pencarian.php</x:v>
      </x:c>
      <x:c r="AF291" s="9" t="str">
        <x:v>operational_snapshot_annual_totals_may_differ</x:v>
      </x:c>
    </x:row>
    <x:row r="292" ht="18" customHeight="1">
      <x:c r="A292" s="6" t="str">
        <x:v>33</x:v>
      </x:c>
      <x:c r="B292" s="6" t="str">
        <x:v>JAWA TENGAH</x:v>
      </x:c>
      <x:c r="C292" s="6" t="str">
        <x:v>2024</x:v>
      </x:c>
      <x:c r="D292" s="6" t="str">
        <x:v>3</x:v>
      </x:c>
      <x:c r="E292" s="6" t="str">
        <x:v>31</x:v>
      </x:c>
      <x:c r="F292" s="6" t="str">
        <x:v>31</x:v>
      </x:c>
      <x:c r="G292" s="6" t="str">
        <x:v>22</x:v>
      </x:c>
      <x:c r="H292" s="6" t="str">
        <x:v>3</x:v>
      </x:c>
      <x:c r="I292" s="6" t="str">
        <x:v>5</x:v>
      </x:c>
      <x:c r="J292" s="6" t="str">
        <x:v>0</x:v>
      </x:c>
      <x:c r="K292" s="6" t="str">
        <x:v>0</x:v>
      </x:c>
      <x:c r="L292" s="6" t="str">
        <x:v>0</x:v>
      </x:c>
      <x:c r="M292" s="6" t="str">
        <x:v>1</x:v>
      </x:c>
      <x:c r="N292" s="6" t="str">
        <x:v>0</x:v>
      </x:c>
      <x:c r="O292" s="6" t="str">
        <x:v>0</x:v>
      </x:c>
      <x:c r="P292" s="6" t="str">
        <x:v>30</x:v>
      </x:c>
      <x:c r="Q292" s="6" t="str">
        <x:v>16.0</x:v>
      </x:c>
      <x:c r="R292" s="6" t="str">
        <x:v>31</x:v>
      </x:c>
      <x:c r="S292" s="6" t="str">
        <x:v>2.0</x:v>
      </x:c>
      <x:c r="T292" s="6" t="str">
        <x:v>31</x:v>
      </x:c>
      <x:c r="U292" s="6" t="str">
        <x:v>0.0</x:v>
      </x:c>
      <x:c r="V292" s="6" t="str">
        <x:v>31</x:v>
      </x:c>
      <x:c r="W292" s="6" t="str">
        <x:v>278.0</x:v>
      </x:c>
      <x:c r="X292" s="6" t="str">
        <x:v>31</x:v>
      </x:c>
      <x:c r="Y292" s="6" t="str">
        <x:v>144460.0</x:v>
      </x:c>
      <x:c r="Z292" s="6" t="str">
        <x:v>19</x:v>
      </x:c>
      <x:c r="AA292" s="6" t="str">
        <x:v>10.0</x:v>
      </x:c>
      <x:c r="AB292" s="6" t="str">
        <x:v>31</x:v>
      </x:c>
      <x:c r="AC292" s="6" t="str">
        <x:v>2024-03</x:v>
      </x:c>
      <x:c r="AD292" s="9" t="str">
        <x:v>BNPB operational disaster search table</x:v>
      </x:c>
      <x:c r="AE292" s="9" t="str">
        <x:v>https://gis.bnpb.go.id/databencana/tabel/pencarian.php</x:v>
      </x:c>
      <x:c r="AF292" s="9" t="str">
        <x:v>operational_snapshot_annual_totals_may_differ</x:v>
      </x:c>
    </x:row>
    <x:row r="293" ht="18" customHeight="1">
      <x:c r="A293" s="6" t="str">
        <x:v>33</x:v>
      </x:c>
      <x:c r="B293" s="6" t="str">
        <x:v>JAWA TENGAH</x:v>
      </x:c>
      <x:c r="C293" s="6" t="str">
        <x:v>2024</x:v>
      </x:c>
      <x:c r="D293" s="6" t="str">
        <x:v>4</x:v>
      </x:c>
      <x:c r="E293" s="6" t="str">
        <x:v>9</x:v>
      </x:c>
      <x:c r="F293" s="6" t="str">
        <x:v>9</x:v>
      </x:c>
      <x:c r="G293" s="6" t="str">
        <x:v>5</x:v>
      </x:c>
      <x:c r="H293" s="6" t="str">
        <x:v>1</x:v>
      </x:c>
      <x:c r="I293" s="6" t="str">
        <x:v>3</x:v>
      </x:c>
      <x:c r="J293" s="6" t="str">
        <x:v>0</x:v>
      </x:c>
      <x:c r="K293" s="6" t="str">
        <x:v>0</x:v>
      </x:c>
      <x:c r="L293" s="6" t="str">
        <x:v>0</x:v>
      </x:c>
      <x:c r="M293" s="6" t="str">
        <x:v>0</x:v>
      </x:c>
      <x:c r="N293" s="6" t="str">
        <x:v>0</x:v>
      </x:c>
      <x:c r="O293" s="6" t="str">
        <x:v>0</x:v>
      </x:c>
      <x:c r="P293" s="6" t="str">
        <x:v>9</x:v>
      </x:c>
      <x:c r="Q293" s="6" t="str">
        <x:v>2.0</x:v>
      </x:c>
      <x:c r="R293" s="6" t="str">
        <x:v>9</x:v>
      </x:c>
      <x:c r="S293" s="6" t="str">
        <x:v>0.0</x:v>
      </x:c>
      <x:c r="T293" s="6" t="str">
        <x:v>9</x:v>
      </x:c>
      <x:c r="U293" s="6" t="str">
        <x:v>0.0</x:v>
      </x:c>
      <x:c r="V293" s="6" t="str">
        <x:v>9</x:v>
      </x:c>
      <x:c r="W293" s="6" t="str">
        <x:v>193.0</x:v>
      </x:c>
      <x:c r="X293" s="6" t="str">
        <x:v>9</x:v>
      </x:c>
      <x:c r="Y293" s="6" t="str">
        <x:v>402.0</x:v>
      </x:c>
      <x:c r="Z293" s="6" t="str">
        <x:v>5</x:v>
      </x:c>
      <x:c r="AA293" s="6" t="str">
        <x:v>0.0</x:v>
      </x:c>
      <x:c r="AB293" s="6" t="str">
        <x:v>9</x:v>
      </x:c>
      <x:c r="AC293" s="6" t="str">
        <x:v>2024-04</x:v>
      </x:c>
      <x:c r="AD293" s="9" t="str">
        <x:v>BNPB operational disaster search table</x:v>
      </x:c>
      <x:c r="AE293" s="9" t="str">
        <x:v>https://gis.bnpb.go.id/databencana/tabel/pencarian.php</x:v>
      </x:c>
      <x:c r="AF293" s="9" t="str">
        <x:v>operational_snapshot_annual_totals_may_differ</x:v>
      </x:c>
    </x:row>
    <x:row r="294" ht="18" customHeight="1">
      <x:c r="A294" s="6" t="str">
        <x:v>33</x:v>
      </x:c>
      <x:c r="B294" s="6" t="str">
        <x:v>JAWA TENGAH</x:v>
      </x:c>
      <x:c r="C294" s="6" t="str">
        <x:v>2024</x:v>
      </x:c>
      <x:c r="D294" s="6" t="str">
        <x:v>5</x:v>
      </x:c>
      <x:c r="E294" s="6" t="str">
        <x:v>4</x:v>
      </x:c>
      <x:c r="F294" s="6" t="str">
        <x:v>4</x:v>
      </x:c>
      <x:c r="G294" s="6" t="str">
        <x:v>1</x:v>
      </x:c>
      <x:c r="H294" s="6" t="str">
        <x:v>0</x:v>
      </x:c>
      <x:c r="I294" s="6" t="str">
        <x:v>0</x:v>
      </x:c>
      <x:c r="J294" s="6" t="str">
        <x:v>3</x:v>
      </x:c>
      <x:c r="K294" s="6" t="str">
        <x:v>0</x:v>
      </x:c>
      <x:c r="L294" s="6" t="str">
        <x:v>0</x:v>
      </x:c>
      <x:c r="M294" s="6" t="str">
        <x:v>0</x:v>
      </x:c>
      <x:c r="N294" s="6" t="str">
        <x:v>0</x:v>
      </x:c>
      <x:c r="O294" s="6" t="str">
        <x:v>0</x:v>
      </x:c>
      <x:c r="P294" s="6" t="str">
        <x:v>4</x:v>
      </x:c>
      <x:c r="Q294" s="6" t="str">
        <x:v>0.0</x:v>
      </x:c>
      <x:c r="R294" s="6" t="str">
        <x:v>4</x:v>
      </x:c>
      <x:c r="S294" s="6" t="str">
        <x:v>0.0</x:v>
      </x:c>
      <x:c r="T294" s="6" t="str">
        <x:v>4</x:v>
      </x:c>
      <x:c r="U294" s="6" t="str">
        <x:v>0.0</x:v>
      </x:c>
      <x:c r="V294" s="6" t="str">
        <x:v>4</x:v>
      </x:c>
      <x:c r="W294" s="6" t="str">
        <x:v>0.0</x:v>
      </x:c>
      <x:c r="X294" s="6" t="str">
        <x:v>4</x:v>
      </x:c>
      <x:c r="Y294" s="6" t="str">
        <x:v>61.0</x:v>
      </x:c>
      <x:c r="Z294" s="6" t="str">
        <x:v>1</x:v>
      </x:c>
      <x:c r="AA294" s="6" t="str">
        <x:v>0.0</x:v>
      </x:c>
      <x:c r="AB294" s="6" t="str">
        <x:v>4</x:v>
      </x:c>
      <x:c r="AC294" s="6" t="str">
        <x:v>2024-05</x:v>
      </x:c>
      <x:c r="AD294" s="9" t="str">
        <x:v>BNPB operational disaster search table</x:v>
      </x:c>
      <x:c r="AE294" s="9" t="str">
        <x:v>https://gis.bnpb.go.id/databencana/tabel/pencarian.php</x:v>
      </x:c>
      <x:c r="AF294" s="9" t="str">
        <x:v>operational_snapshot_annual_totals_may_differ</x:v>
      </x:c>
    </x:row>
    <x:row r="295" ht="18" customHeight="1">
      <x:c r="A295" s="6" t="str">
        <x:v>33</x:v>
      </x:c>
      <x:c r="B295" s="6" t="str">
        <x:v>JAWA TENGAH</x:v>
      </x:c>
      <x:c r="C295" s="6" t="str">
        <x:v>2024</x:v>
      </x:c>
      <x:c r="D295" s="6" t="str">
        <x:v>6</x:v>
      </x:c>
      <x:c r="E295" s="6" t="str">
        <x:v>10</x:v>
      </x:c>
      <x:c r="F295" s="6" t="str">
        <x:v>10</x:v>
      </x:c>
      <x:c r="G295" s="6" t="str">
        <x:v>0</x:v>
      </x:c>
      <x:c r="H295" s="6" t="str">
        <x:v>0</x:v>
      </x:c>
      <x:c r="I295" s="6" t="str">
        <x:v>0</x:v>
      </x:c>
      <x:c r="J295" s="6" t="str">
        <x:v>10</x:v>
      </x:c>
      <x:c r="K295" s="6" t="str">
        <x:v>0</x:v>
      </x:c>
      <x:c r="L295" s="6" t="str">
        <x:v>0</x:v>
      </x:c>
      <x:c r="M295" s="6" t="str">
        <x:v>0</x:v>
      </x:c>
      <x:c r="N295" s="6" t="str">
        <x:v>0</x:v>
      </x:c>
      <x:c r="O295" s="6" t="str">
        <x:v>0</x:v>
      </x:c>
      <x:c r="P295" s="6" t="str">
        <x:v>10</x:v>
      </x:c>
      <x:c r="Q295" s="6" t="str">
        <x:v>0.0</x:v>
      </x:c>
      <x:c r="R295" s="6" t="str">
        <x:v>10</x:v>
      </x:c>
      <x:c r="S295" s="6" t="str">
        <x:v>0.0</x:v>
      </x:c>
      <x:c r="T295" s="6" t="str">
        <x:v>10</x:v>
      </x:c>
      <x:c r="U295" s="6" t="str">
        <x:v>0.0</x:v>
      </x:c>
      <x:c r="V295" s="6" t="str">
        <x:v>10</x:v>
      </x:c>
      <x:c r="W295" s="6" t="str">
        <x:v>0.0</x:v>
      </x:c>
      <x:c r="X295" s="6" t="str">
        <x:v>10</x:v>
      </x:c>
      <x:c r="Y295" s="6" t="str"/>
      <x:c r="Z295" s="6" t="str">
        <x:v>0</x:v>
      </x:c>
      <x:c r="AA295" s="6" t="str">
        <x:v>0.0</x:v>
      </x:c>
      <x:c r="AB295" s="6" t="str">
        <x:v>10</x:v>
      </x:c>
      <x:c r="AC295" s="6" t="str">
        <x:v>2024-06</x:v>
      </x:c>
      <x:c r="AD295" s="9" t="str">
        <x:v>BNPB operational disaster search table</x:v>
      </x:c>
      <x:c r="AE295" s="9" t="str">
        <x:v>https://gis.bnpb.go.id/databencana/tabel/pencarian.php</x:v>
      </x:c>
      <x:c r="AF295" s="9" t="str">
        <x:v>operational_snapshot_annual_totals_may_differ</x:v>
      </x:c>
    </x:row>
    <x:row r="296" ht="18" customHeight="1">
      <x:c r="A296" s="6" t="str">
        <x:v>33</x:v>
      </x:c>
      <x:c r="B296" s="6" t="str">
        <x:v>JAWA TENGAH</x:v>
      </x:c>
      <x:c r="C296" s="6" t="str">
        <x:v>2024</x:v>
      </x:c>
      <x:c r="D296" s="6" t="str">
        <x:v>7</x:v>
      </x:c>
      <x:c r="E296" s="6" t="str">
        <x:v>11</x:v>
      </x:c>
      <x:c r="F296" s="6" t="str">
        <x:v>11</x:v>
      </x:c>
      <x:c r="G296" s="6" t="str">
        <x:v>0</x:v>
      </x:c>
      <x:c r="H296" s="6" t="str">
        <x:v>1</x:v>
      </x:c>
      <x:c r="I296" s="6" t="str">
        <x:v>0</x:v>
      </x:c>
      <x:c r="J296" s="6" t="str">
        <x:v>5</x:v>
      </x:c>
      <x:c r="K296" s="6" t="str">
        <x:v>3</x:v>
      </x:c>
      <x:c r="L296" s="6" t="str">
        <x:v>0</x:v>
      </x:c>
      <x:c r="M296" s="6" t="str">
        <x:v>2</x:v>
      </x:c>
      <x:c r="N296" s="6" t="str">
        <x:v>0</x:v>
      </x:c>
      <x:c r="O296" s="6" t="str">
        <x:v>0</x:v>
      </x:c>
      <x:c r="P296" s="6" t="str">
        <x:v>9</x:v>
      </x:c>
      <x:c r="Q296" s="6" t="str">
        <x:v>2.0</x:v>
      </x:c>
      <x:c r="R296" s="6" t="str">
        <x:v>11</x:v>
      </x:c>
      <x:c r="S296" s="6" t="str">
        <x:v>0.0</x:v>
      </x:c>
      <x:c r="T296" s="6" t="str">
        <x:v>11</x:v>
      </x:c>
      <x:c r="U296" s="6" t="str">
        <x:v>14.0</x:v>
      </x:c>
      <x:c r="V296" s="6" t="str">
        <x:v>11</x:v>
      </x:c>
      <x:c r="W296" s="6" t="str">
        <x:v>275.0</x:v>
      </x:c>
      <x:c r="X296" s="6" t="str">
        <x:v>11</x:v>
      </x:c>
      <x:c r="Y296" s="6" t="str"/>
      <x:c r="Z296" s="6" t="str">
        <x:v>0</x:v>
      </x:c>
      <x:c r="AA296" s="6" t="str">
        <x:v>29.0</x:v>
      </x:c>
      <x:c r="AB296" s="6" t="str">
        <x:v>11</x:v>
      </x:c>
      <x:c r="AC296" s="6" t="str">
        <x:v>2024-07</x:v>
      </x:c>
      <x:c r="AD296" s="9" t="str">
        <x:v>BNPB operational disaster search table</x:v>
      </x:c>
      <x:c r="AE296" s="9" t="str">
        <x:v>https://gis.bnpb.go.id/databencana/tabel/pencarian.php</x:v>
      </x:c>
      <x:c r="AF296" s="9" t="str">
        <x:v>operational_snapshot_annual_totals_may_differ</x:v>
      </x:c>
    </x:row>
    <x:row r="297" ht="18" customHeight="1">
      <x:c r="A297" s="6" t="str">
        <x:v>33</x:v>
      </x:c>
      <x:c r="B297" s="6" t="str">
        <x:v>JAWA TENGAH</x:v>
      </x:c>
      <x:c r="C297" s="6" t="str">
        <x:v>2024</x:v>
      </x:c>
      <x:c r="D297" s="6" t="str">
        <x:v>8</x:v>
      </x:c>
      <x:c r="E297" s="6" t="str">
        <x:v>27</x:v>
      </x:c>
      <x:c r="F297" s="6" t="str">
        <x:v>27</x:v>
      </x:c>
      <x:c r="G297" s="6" t="str">
        <x:v>0</x:v>
      </x:c>
      <x:c r="H297" s="6" t="str">
        <x:v>0</x:v>
      </x:c>
      <x:c r="I297" s="6" t="str">
        <x:v>1</x:v>
      </x:c>
      <x:c r="J297" s="6" t="str">
        <x:v>3</x:v>
      </x:c>
      <x:c r="K297" s="6" t="str">
        <x:v>21</x:v>
      </x:c>
      <x:c r="L297" s="6" t="str">
        <x:v>0</x:v>
      </x:c>
      <x:c r="M297" s="6" t="str">
        <x:v>2</x:v>
      </x:c>
      <x:c r="N297" s="6" t="str">
        <x:v>0</x:v>
      </x:c>
      <x:c r="O297" s="6" t="str">
        <x:v>0</x:v>
      </x:c>
      <x:c r="P297" s="6" t="str">
        <x:v>25</x:v>
      </x:c>
      <x:c r="Q297" s="6" t="str">
        <x:v>0.0</x:v>
      </x:c>
      <x:c r="R297" s="6" t="str">
        <x:v>27</x:v>
      </x:c>
      <x:c r="S297" s="6" t="str">
        <x:v>0.0</x:v>
      </x:c>
      <x:c r="T297" s="6" t="str">
        <x:v>27</x:v>
      </x:c>
      <x:c r="U297" s="6" t="str">
        <x:v>4.0</x:v>
      </x:c>
      <x:c r="V297" s="6" t="str">
        <x:v>27</x:v>
      </x:c>
      <x:c r="W297" s="6" t="str">
        <x:v>65.0</x:v>
      </x:c>
      <x:c r="X297" s="6" t="str">
        <x:v>27</x:v>
      </x:c>
      <x:c r="Y297" s="6" t="str"/>
      <x:c r="Z297" s="6" t="str">
        <x:v>0</x:v>
      </x:c>
      <x:c r="AA297" s="6" t="str">
        <x:v>0.0</x:v>
      </x:c>
      <x:c r="AB297" s="6" t="str">
        <x:v>27</x:v>
      </x:c>
      <x:c r="AC297" s="6" t="str">
        <x:v>2024-08</x:v>
      </x:c>
      <x:c r="AD297" s="9" t="str">
        <x:v>BNPB operational disaster search table</x:v>
      </x:c>
      <x:c r="AE297" s="9" t="str">
        <x:v>https://gis.bnpb.go.id/databencana/tabel/pencarian.php</x:v>
      </x:c>
      <x:c r="AF297" s="9" t="str">
        <x:v>operational_snapshot_annual_totals_may_differ</x:v>
      </x:c>
    </x:row>
    <x:row r="298" ht="18" customHeight="1">
      <x:c r="A298" s="6" t="str">
        <x:v>33</x:v>
      </x:c>
      <x:c r="B298" s="6" t="str">
        <x:v>JAWA TENGAH</x:v>
      </x:c>
      <x:c r="C298" s="6" t="str">
        <x:v>2024</x:v>
      </x:c>
      <x:c r="D298" s="6" t="str">
        <x:v>9</x:v>
      </x:c>
      <x:c r="E298" s="6" t="str">
        <x:v>17</x:v>
      </x:c>
      <x:c r="F298" s="6" t="str">
        <x:v>17</x:v>
      </x:c>
      <x:c r="G298" s="6" t="str">
        <x:v>2</x:v>
      </x:c>
      <x:c r="H298" s="6" t="str">
        <x:v>0</x:v>
      </x:c>
      <x:c r="I298" s="6" t="str">
        <x:v>2</x:v>
      </x:c>
      <x:c r="J298" s="6" t="str">
        <x:v>1</x:v>
      </x:c>
      <x:c r="K298" s="6" t="str">
        <x:v>12</x:v>
      </x:c>
      <x:c r="L298" s="6" t="str">
        <x:v>0</x:v>
      </x:c>
      <x:c r="M298" s="6" t="str">
        <x:v>0</x:v>
      </x:c>
      <x:c r="N298" s="6" t="str">
        <x:v>0</x:v>
      </x:c>
      <x:c r="O298" s="6" t="str">
        <x:v>0</x:v>
      </x:c>
      <x:c r="P298" s="6" t="str">
        <x:v>17</x:v>
      </x:c>
      <x:c r="Q298" s="6" t="str">
        <x:v>0.0</x:v>
      </x:c>
      <x:c r="R298" s="6" t="str">
        <x:v>17</x:v>
      </x:c>
      <x:c r="S298" s="6" t="str">
        <x:v>0.0</x:v>
      </x:c>
      <x:c r="T298" s="6" t="str">
        <x:v>17</x:v>
      </x:c>
      <x:c r="U298" s="6" t="str">
        <x:v>0.0</x:v>
      </x:c>
      <x:c r="V298" s="6" t="str">
        <x:v>17</x:v>
      </x:c>
      <x:c r="W298" s="6" t="str">
        <x:v>381.0</x:v>
      </x:c>
      <x:c r="X298" s="6" t="str">
        <x:v>17</x:v>
      </x:c>
      <x:c r="Y298" s="6" t="str">
        <x:v>229.0</x:v>
      </x:c>
      <x:c r="Z298" s="6" t="str">
        <x:v>2</x:v>
      </x:c>
      <x:c r="AA298" s="6" t="str">
        <x:v>1.0</x:v>
      </x:c>
      <x:c r="AB298" s="6" t="str">
        <x:v>17</x:v>
      </x:c>
      <x:c r="AC298" s="6" t="str">
        <x:v>2024-09</x:v>
      </x:c>
      <x:c r="AD298" s="9" t="str">
        <x:v>BNPB operational disaster search table</x:v>
      </x:c>
      <x:c r="AE298" s="9" t="str">
        <x:v>https://gis.bnpb.go.id/databencana/tabel/pencarian.php</x:v>
      </x:c>
      <x:c r="AF298" s="9" t="str">
        <x:v>operational_snapshot_annual_totals_may_differ</x:v>
      </x:c>
    </x:row>
    <x:row r="299" ht="18" customHeight="1">
      <x:c r="A299" s="6" t="str">
        <x:v>33</x:v>
      </x:c>
      <x:c r="B299" s="6" t="str">
        <x:v>JAWA TENGAH</x:v>
      </x:c>
      <x:c r="C299" s="6" t="str">
        <x:v>2024</x:v>
      </x:c>
      <x:c r="D299" s="6" t="str">
        <x:v>10</x:v>
      </x:c>
      <x:c r="E299" s="6" t="str">
        <x:v>9</x:v>
      </x:c>
      <x:c r="F299" s="6" t="str">
        <x:v>9</x:v>
      </x:c>
      <x:c r="G299" s="6" t="str">
        <x:v>1</x:v>
      </x:c>
      <x:c r="H299" s="6" t="str">
        <x:v>0</x:v>
      </x:c>
      <x:c r="I299" s="6" t="str">
        <x:v>6</x:v>
      </x:c>
      <x:c r="J299" s="6" t="str">
        <x:v>0</x:v>
      </x:c>
      <x:c r="K299" s="6" t="str">
        <x:v>2</x:v>
      </x:c>
      <x:c r="L299" s="6" t="str">
        <x:v>0</x:v>
      </x:c>
      <x:c r="M299" s="6" t="str">
        <x:v>0</x:v>
      </x:c>
      <x:c r="N299" s="6" t="str">
        <x:v>0</x:v>
      </x:c>
      <x:c r="O299" s="6" t="str">
        <x:v>0</x:v>
      </x:c>
      <x:c r="P299" s="6" t="str">
        <x:v>9</x:v>
      </x:c>
      <x:c r="Q299" s="6" t="str">
        <x:v>0.0</x:v>
      </x:c>
      <x:c r="R299" s="6" t="str">
        <x:v>9</x:v>
      </x:c>
      <x:c r="S299" s="6" t="str">
        <x:v>0.0</x:v>
      </x:c>
      <x:c r="T299" s="6" t="str">
        <x:v>9</x:v>
      </x:c>
      <x:c r="U299" s="6" t="str">
        <x:v>2.0</x:v>
      </x:c>
      <x:c r="V299" s="6" t="str">
        <x:v>9</x:v>
      </x:c>
      <x:c r="W299" s="6" t="str">
        <x:v>82.0</x:v>
      </x:c>
      <x:c r="X299" s="6" t="str">
        <x:v>9</x:v>
      </x:c>
      <x:c r="Y299" s="6" t="str">
        <x:v>32.0</x:v>
      </x:c>
      <x:c r="Z299" s="6" t="str">
        <x:v>1</x:v>
      </x:c>
      <x:c r="AA299" s="6" t="str">
        <x:v>0.0</x:v>
      </x:c>
      <x:c r="AB299" s="6" t="str">
        <x:v>9</x:v>
      </x:c>
      <x:c r="AC299" s="6" t="str">
        <x:v>2024-10</x:v>
      </x:c>
      <x:c r="AD299" s="9" t="str">
        <x:v>BNPB operational disaster search table</x:v>
      </x:c>
      <x:c r="AE299" s="9" t="str">
        <x:v>https://gis.bnpb.go.id/databencana/tabel/pencarian.php</x:v>
      </x:c>
      <x:c r="AF299" s="9" t="str">
        <x:v>operational_snapshot_annual_totals_may_differ</x:v>
      </x:c>
    </x:row>
    <x:row r="300" ht="18" customHeight="1">
      <x:c r="A300" s="6" t="str">
        <x:v>33</x:v>
      </x:c>
      <x:c r="B300" s="6" t="str">
        <x:v>JAWA TENGAH</x:v>
      </x:c>
      <x:c r="C300" s="6" t="str">
        <x:v>2024</x:v>
      </x:c>
      <x:c r="D300" s="6" t="str">
        <x:v>11</x:v>
      </x:c>
      <x:c r="E300" s="6" t="str">
        <x:v>26</x:v>
      </x:c>
      <x:c r="F300" s="6" t="str">
        <x:v>26</x:v>
      </x:c>
      <x:c r="G300" s="6" t="str">
        <x:v>9</x:v>
      </x:c>
      <x:c r="H300" s="6" t="str">
        <x:v>3</x:v>
      </x:c>
      <x:c r="I300" s="6" t="str">
        <x:v>14</x:v>
      </x:c>
      <x:c r="J300" s="6" t="str">
        <x:v>0</x:v>
      </x:c>
      <x:c r="K300" s="6" t="str">
        <x:v>0</x:v>
      </x:c>
      <x:c r="L300" s="6" t="str">
        <x:v>0</x:v>
      </x:c>
      <x:c r="M300" s="6" t="str">
        <x:v>0</x:v>
      </x:c>
      <x:c r="N300" s="6" t="str">
        <x:v>0</x:v>
      </x:c>
      <x:c r="O300" s="6" t="str">
        <x:v>0</x:v>
      </x:c>
      <x:c r="P300" s="6" t="str">
        <x:v>26</x:v>
      </x:c>
      <x:c r="Q300" s="6" t="str">
        <x:v>6.0</x:v>
      </x:c>
      <x:c r="R300" s="6" t="str">
        <x:v>26</x:v>
      </x:c>
      <x:c r="S300" s="6" t="str">
        <x:v>0.0</x:v>
      </x:c>
      <x:c r="T300" s="6" t="str">
        <x:v>26</x:v>
      </x:c>
      <x:c r="U300" s="6" t="str">
        <x:v>10.0</x:v>
      </x:c>
      <x:c r="V300" s="6" t="str">
        <x:v>26</x:v>
      </x:c>
      <x:c r="W300" s="6" t="str">
        <x:v>511.0</x:v>
      </x:c>
      <x:c r="X300" s="6" t="str">
        <x:v>26</x:v>
      </x:c>
      <x:c r="Y300" s="6" t="str">
        <x:v>10569.0</x:v>
      </x:c>
      <x:c r="Z300" s="6" t="str">
        <x:v>6</x:v>
      </x:c>
      <x:c r="AA300" s="6" t="str">
        <x:v>18.0</x:v>
      </x:c>
      <x:c r="AB300" s="6" t="str">
        <x:v>26</x:v>
      </x:c>
      <x:c r="AC300" s="6" t="str">
        <x:v>2024-11</x:v>
      </x:c>
      <x:c r="AD300" s="9" t="str">
        <x:v>BNPB operational disaster search table</x:v>
      </x:c>
      <x:c r="AE300" s="9" t="str">
        <x:v>https://gis.bnpb.go.id/databencana/tabel/pencarian.php</x:v>
      </x:c>
      <x:c r="AF300" s="9" t="str">
        <x:v>operational_snapshot_annual_totals_may_differ</x:v>
      </x:c>
    </x:row>
    <x:row r="301" ht="18" customHeight="1">
      <x:c r="A301" s="6" t="str">
        <x:v>33</x:v>
      </x:c>
      <x:c r="B301" s="6" t="str">
        <x:v>JAWA TENGAH</x:v>
      </x:c>
      <x:c r="C301" s="6" t="str">
        <x:v>2024</x:v>
      </x:c>
      <x:c r="D301" s="6" t="str">
        <x:v>12</x:v>
      </x:c>
      <x:c r="E301" s="6" t="str">
        <x:v>29</x:v>
      </x:c>
      <x:c r="F301" s="6" t="str">
        <x:v>29</x:v>
      </x:c>
      <x:c r="G301" s="6" t="str">
        <x:v>11</x:v>
      </x:c>
      <x:c r="H301" s="6" t="str">
        <x:v>2</x:v>
      </x:c>
      <x:c r="I301" s="6" t="str">
        <x:v>16</x:v>
      </x:c>
      <x:c r="J301" s="6" t="str">
        <x:v>0</x:v>
      </x:c>
      <x:c r="K301" s="6" t="str">
        <x:v>0</x:v>
      </x:c>
      <x:c r="L301" s="6" t="str">
        <x:v>0</x:v>
      </x:c>
      <x:c r="M301" s="6" t="str">
        <x:v>0</x:v>
      </x:c>
      <x:c r="N301" s="6" t="str">
        <x:v>0</x:v>
      </x:c>
      <x:c r="O301" s="6" t="str">
        <x:v>0</x:v>
      </x:c>
      <x:c r="P301" s="6" t="str">
        <x:v>29</x:v>
      </x:c>
      <x:c r="Q301" s="6" t="str">
        <x:v>2.0</x:v>
      </x:c>
      <x:c r="R301" s="6" t="str">
        <x:v>29</x:v>
      </x:c>
      <x:c r="S301" s="6" t="str">
        <x:v>0.0</x:v>
      </x:c>
      <x:c r="T301" s="6" t="str">
        <x:v>29</x:v>
      </x:c>
      <x:c r="U301" s="6" t="str">
        <x:v>11.0</x:v>
      </x:c>
      <x:c r="V301" s="6" t="str">
        <x:v>29</x:v>
      </x:c>
      <x:c r="W301" s="6" t="str">
        <x:v>353.0</x:v>
      </x:c>
      <x:c r="X301" s="6" t="str">
        <x:v>29</x:v>
      </x:c>
      <x:c r="Y301" s="6" t="str">
        <x:v>2864.0</x:v>
      </x:c>
      <x:c r="Z301" s="6" t="str">
        <x:v>11</x:v>
      </x:c>
      <x:c r="AA301" s="6" t="str">
        <x:v>6.0</x:v>
      </x:c>
      <x:c r="AB301" s="6" t="str">
        <x:v>29</x:v>
      </x:c>
      <x:c r="AC301" s="6" t="str">
        <x:v>2024-12</x:v>
      </x:c>
      <x:c r="AD301" s="9" t="str">
        <x:v>BNPB operational disaster search table</x:v>
      </x:c>
      <x:c r="AE301" s="9" t="str">
        <x:v>https://gis.bnpb.go.id/databencana/tabel/pencarian.php</x:v>
      </x:c>
      <x:c r="AF301" s="9" t="str">
        <x:v>operational_snapshot_annual_totals_may_differ</x:v>
      </x:c>
    </x:row>
    <x:row r="302" ht="18" customHeight="1">
      <x:c r="A302" s="6" t="str">
        <x:v>33</x:v>
      </x:c>
      <x:c r="B302" s="6" t="str">
        <x:v>JAWA TENGAH</x:v>
      </x:c>
      <x:c r="C302" s="6" t="str">
        <x:v>2025</x:v>
      </x:c>
      <x:c r="D302" s="6" t="str">
        <x:v>1</x:v>
      </x:c>
      <x:c r="E302" s="6" t="str">
        <x:v>54</x:v>
      </x:c>
      <x:c r="F302" s="6" t="str">
        <x:v>54</x:v>
      </x:c>
      <x:c r="G302" s="6" t="str">
        <x:v>41</x:v>
      </x:c>
      <x:c r="H302" s="6" t="str">
        <x:v>8</x:v>
      </x:c>
      <x:c r="I302" s="6" t="str">
        <x:v>5</x:v>
      </x:c>
      <x:c r="J302" s="6" t="str">
        <x:v>0</x:v>
      </x:c>
      <x:c r="K302" s="6" t="str">
        <x:v>0</x:v>
      </x:c>
      <x:c r="L302" s="6" t="str">
        <x:v>0</x:v>
      </x:c>
      <x:c r="M302" s="6" t="str">
        <x:v>0</x:v>
      </x:c>
      <x:c r="N302" s="6" t="str">
        <x:v>0</x:v>
      </x:c>
      <x:c r="O302" s="6" t="str">
        <x:v>0</x:v>
      </x:c>
      <x:c r="P302" s="6" t="str">
        <x:v>54</x:v>
      </x:c>
      <x:c r="Q302" s="6" t="str">
        <x:v>31.0</x:v>
      </x:c>
      <x:c r="R302" s="6" t="str">
        <x:v>54</x:v>
      </x:c>
      <x:c r="S302" s="6" t="str">
        <x:v>1.0</x:v>
      </x:c>
      <x:c r="T302" s="6" t="str">
        <x:v>54</x:v>
      </x:c>
      <x:c r="U302" s="6" t="str">
        <x:v>24.0</x:v>
      </x:c>
      <x:c r="V302" s="6" t="str">
        <x:v>54</x:v>
      </x:c>
      <x:c r="W302" s="6" t="str">
        <x:v>420.0</x:v>
      </x:c>
      <x:c r="X302" s="6" t="str">
        <x:v>54</x:v>
      </x:c>
      <x:c r="Y302" s="6" t="str">
        <x:v>60176.0</x:v>
      </x:c>
      <x:c r="Z302" s="6" t="str">
        <x:v>36</x:v>
      </x:c>
      <x:c r="AA302" s="6" t="str">
        <x:v>59.0</x:v>
      </x:c>
      <x:c r="AB302" s="6" t="str">
        <x:v>54</x:v>
      </x:c>
      <x:c r="AC302" s="6" t="str">
        <x:v>2025-01</x:v>
      </x:c>
      <x:c r="AD302" s="9" t="str">
        <x:v>BNPB operational disaster search table</x:v>
      </x:c>
      <x:c r="AE302" s="9" t="str">
        <x:v>https://gis.bnpb.go.id/databencana/tabel/pencarian.php</x:v>
      </x:c>
      <x:c r="AF302" s="9" t="str">
        <x:v>operational_snapshot_annual_totals_may_differ</x:v>
      </x:c>
    </x:row>
    <x:row r="303" ht="18" customHeight="1">
      <x:c r="A303" s="6" t="str">
        <x:v>33</x:v>
      </x:c>
      <x:c r="B303" s="6" t="str">
        <x:v>JAWA TENGAH</x:v>
      </x:c>
      <x:c r="C303" s="6" t="str">
        <x:v>2025</x:v>
      </x:c>
      <x:c r="D303" s="6" t="str">
        <x:v>2</x:v>
      </x:c>
      <x:c r="E303" s="6" t="str">
        <x:v>31</x:v>
      </x:c>
      <x:c r="F303" s="6" t="str">
        <x:v>31</x:v>
      </x:c>
      <x:c r="G303" s="6" t="str">
        <x:v>10</x:v>
      </x:c>
      <x:c r="H303" s="6" t="str">
        <x:v>2</x:v>
      </x:c>
      <x:c r="I303" s="6" t="str">
        <x:v>18</x:v>
      </x:c>
      <x:c r="J303" s="6" t="str">
        <x:v>0</x:v>
      </x:c>
      <x:c r="K303" s="6" t="str">
        <x:v>1</x:v>
      </x:c>
      <x:c r="L303" s="6" t="str">
        <x:v>0</x:v>
      </x:c>
      <x:c r="M303" s="6" t="str">
        <x:v>0</x:v>
      </x:c>
      <x:c r="N303" s="6" t="str">
        <x:v>0</x:v>
      </x:c>
      <x:c r="O303" s="6" t="str">
        <x:v>0</x:v>
      </x:c>
      <x:c r="P303" s="6" t="str">
        <x:v>31</x:v>
      </x:c>
      <x:c r="Q303" s="6" t="str">
        <x:v>0.0</x:v>
      </x:c>
      <x:c r="R303" s="6" t="str">
        <x:v>31</x:v>
      </x:c>
      <x:c r="S303" s="6" t="str">
        <x:v>0.0</x:v>
      </x:c>
      <x:c r="T303" s="6" t="str">
        <x:v>31</x:v>
      </x:c>
      <x:c r="U303" s="6" t="str">
        <x:v>4.0</x:v>
      </x:c>
      <x:c r="V303" s="6" t="str">
        <x:v>31</x:v>
      </x:c>
      <x:c r="W303" s="6" t="str">
        <x:v>402.0</x:v>
      </x:c>
      <x:c r="X303" s="6" t="str">
        <x:v>31</x:v>
      </x:c>
      <x:c r="Y303" s="6" t="str">
        <x:v>1622.0</x:v>
      </x:c>
      <x:c r="Z303" s="6" t="str">
        <x:v>7</x:v>
      </x:c>
      <x:c r="AA303" s="6" t="str">
        <x:v>16.0</x:v>
      </x:c>
      <x:c r="AB303" s="6" t="str">
        <x:v>31</x:v>
      </x:c>
      <x:c r="AC303" s="6" t="str">
        <x:v>2025-02</x:v>
      </x:c>
      <x:c r="AD303" s="9" t="str">
        <x:v>BNPB operational disaster search table</x:v>
      </x:c>
      <x:c r="AE303" s="9" t="str">
        <x:v>https://gis.bnpb.go.id/databencana/tabel/pencarian.php</x:v>
      </x:c>
      <x:c r="AF303" s="9" t="str">
        <x:v>operational_snapshot_annual_totals_may_differ</x:v>
      </x:c>
    </x:row>
    <x:row r="304" ht="18" customHeight="1">
      <x:c r="A304" s="6" t="str">
        <x:v>33</x:v>
      </x:c>
      <x:c r="B304" s="6" t="str">
        <x:v>JAWA TENGAH</x:v>
      </x:c>
      <x:c r="C304" s="6" t="str">
        <x:v>2025</x:v>
      </x:c>
      <x:c r="D304" s="6" t="str">
        <x:v>3</x:v>
      </x:c>
      <x:c r="E304" s="6" t="str">
        <x:v>26</x:v>
      </x:c>
      <x:c r="F304" s="6" t="str">
        <x:v>26</x:v>
      </x:c>
      <x:c r="G304" s="6" t="str">
        <x:v>14</x:v>
      </x:c>
      <x:c r="H304" s="6" t="str">
        <x:v>4</x:v>
      </x:c>
      <x:c r="I304" s="6" t="str">
        <x:v>8</x:v>
      </x:c>
      <x:c r="J304" s="6" t="str">
        <x:v>0</x:v>
      </x:c>
      <x:c r="K304" s="6" t="str">
        <x:v>0</x:v>
      </x:c>
      <x:c r="L304" s="6" t="str">
        <x:v>0</x:v>
      </x:c>
      <x:c r="M304" s="6" t="str">
        <x:v>0</x:v>
      </x:c>
      <x:c r="N304" s="6" t="str">
        <x:v>0</x:v>
      </x:c>
      <x:c r="O304" s="6" t="str">
        <x:v>0</x:v>
      </x:c>
      <x:c r="P304" s="6" t="str">
        <x:v>26</x:v>
      </x:c>
      <x:c r="Q304" s="6" t="str">
        <x:v>2.0</x:v>
      </x:c>
      <x:c r="R304" s="6" t="str">
        <x:v>26</x:v>
      </x:c>
      <x:c r="S304" s="6" t="str">
        <x:v>0.0</x:v>
      </x:c>
      <x:c r="T304" s="6" t="str">
        <x:v>26</x:v>
      </x:c>
      <x:c r="U304" s="6" t="str">
        <x:v>3.0</x:v>
      </x:c>
      <x:c r="V304" s="6" t="str">
        <x:v>26</x:v>
      </x:c>
      <x:c r="W304" s="6" t="str">
        <x:v>211.0</x:v>
      </x:c>
      <x:c r="X304" s="6" t="str">
        <x:v>26</x:v>
      </x:c>
      <x:c r="Y304" s="6" t="str">
        <x:v>9840.0</x:v>
      </x:c>
      <x:c r="Z304" s="6" t="str">
        <x:v>13</x:v>
      </x:c>
      <x:c r="AA304" s="6" t="str">
        <x:v>27.0</x:v>
      </x:c>
      <x:c r="AB304" s="6" t="str">
        <x:v>26</x:v>
      </x:c>
      <x:c r="AC304" s="6" t="str">
        <x:v>2025-03</x:v>
      </x:c>
      <x:c r="AD304" s="9" t="str">
        <x:v>BNPB operational disaster search table</x:v>
      </x:c>
      <x:c r="AE304" s="9" t="str">
        <x:v>https://gis.bnpb.go.id/databencana/tabel/pencarian.php</x:v>
      </x:c>
      <x:c r="AF304" s="9" t="str">
        <x:v>operational_snapshot_annual_totals_may_differ</x:v>
      </x:c>
    </x:row>
    <x:row r="305" ht="18" customHeight="1">
      <x:c r="A305" s="6" t="str">
        <x:v>33</x:v>
      </x:c>
      <x:c r="B305" s="6" t="str">
        <x:v>JAWA TENGAH</x:v>
      </x:c>
      <x:c r="C305" s="6" t="str">
        <x:v>2025</x:v>
      </x:c>
      <x:c r="D305" s="6" t="str">
        <x:v>4</x:v>
      </x:c>
      <x:c r="E305" s="6" t="str">
        <x:v>19</x:v>
      </x:c>
      <x:c r="F305" s="6" t="str">
        <x:v>19</x:v>
      </x:c>
      <x:c r="G305" s="6" t="str">
        <x:v>11</x:v>
      </x:c>
      <x:c r="H305" s="6" t="str">
        <x:v>3</x:v>
      </x:c>
      <x:c r="I305" s="6" t="str">
        <x:v>5</x:v>
      </x:c>
      <x:c r="J305" s="6" t="str">
        <x:v>0</x:v>
      </x:c>
      <x:c r="K305" s="6" t="str">
        <x:v>0</x:v>
      </x:c>
      <x:c r="L305" s="6" t="str">
        <x:v>0</x:v>
      </x:c>
      <x:c r="M305" s="6" t="str">
        <x:v>0</x:v>
      </x:c>
      <x:c r="N305" s="6" t="str">
        <x:v>0</x:v>
      </x:c>
      <x:c r="O305" s="6" t="str">
        <x:v>0</x:v>
      </x:c>
      <x:c r="P305" s="6" t="str">
        <x:v>19</x:v>
      </x:c>
      <x:c r="Q305" s="6" t="str">
        <x:v>1.0</x:v>
      </x:c>
      <x:c r="R305" s="6" t="str">
        <x:v>19</x:v>
      </x:c>
      <x:c r="S305" s="6" t="str">
        <x:v>0.0</x:v>
      </x:c>
      <x:c r="T305" s="6" t="str">
        <x:v>19</x:v>
      </x:c>
      <x:c r="U305" s="6" t="str">
        <x:v>0.0</x:v>
      </x:c>
      <x:c r="V305" s="6" t="str">
        <x:v>19</x:v>
      </x:c>
      <x:c r="W305" s="6" t="str">
        <x:v>334.0</x:v>
      </x:c>
      <x:c r="X305" s="6" t="str">
        <x:v>19</x:v>
      </x:c>
      <x:c r="Y305" s="6" t="str">
        <x:v>1149.0</x:v>
      </x:c>
      <x:c r="Z305" s="6" t="str">
        <x:v>9</x:v>
      </x:c>
      <x:c r="AA305" s="6" t="str">
        <x:v>10.0</x:v>
      </x:c>
      <x:c r="AB305" s="6" t="str">
        <x:v>19</x:v>
      </x:c>
      <x:c r="AC305" s="6" t="str">
        <x:v>2025-04</x:v>
      </x:c>
      <x:c r="AD305" s="9" t="str">
        <x:v>BNPB operational disaster search table</x:v>
      </x:c>
      <x:c r="AE305" s="9" t="str">
        <x:v>https://gis.bnpb.go.id/databencana/tabel/pencarian.php</x:v>
      </x:c>
      <x:c r="AF305" s="9" t="str">
        <x:v>operational_snapshot_annual_totals_may_differ</x:v>
      </x:c>
    </x:row>
    <x:row r="306" ht="18" customHeight="1">
      <x:c r="A306" s="6" t="str">
        <x:v>33</x:v>
      </x:c>
      <x:c r="B306" s="6" t="str">
        <x:v>JAWA TENGAH</x:v>
      </x:c>
      <x:c r="C306" s="6" t="str">
        <x:v>2025</x:v>
      </x:c>
      <x:c r="D306" s="6" t="str">
        <x:v>5</x:v>
      </x:c>
      <x:c r="E306" s="6" t="str">
        <x:v>30</x:v>
      </x:c>
      <x:c r="F306" s="6" t="str">
        <x:v>30</x:v>
      </x:c>
      <x:c r="G306" s="6" t="str">
        <x:v>19</x:v>
      </x:c>
      <x:c r="H306" s="6" t="str">
        <x:v>5</x:v>
      </x:c>
      <x:c r="I306" s="6" t="str">
        <x:v>6</x:v>
      </x:c>
      <x:c r="J306" s="6" t="str">
        <x:v>0</x:v>
      </x:c>
      <x:c r="K306" s="6" t="str">
        <x:v>0</x:v>
      </x:c>
      <x:c r="L306" s="6" t="str">
        <x:v>0</x:v>
      </x:c>
      <x:c r="M306" s="6" t="str">
        <x:v>0</x:v>
      </x:c>
      <x:c r="N306" s="6" t="str">
        <x:v>0</x:v>
      </x:c>
      <x:c r="O306" s="6" t="str">
        <x:v>0</x:v>
      </x:c>
      <x:c r="P306" s="6" t="str">
        <x:v>30</x:v>
      </x:c>
      <x:c r="Q306" s="6" t="str">
        <x:v>3.0</x:v>
      </x:c>
      <x:c r="R306" s="6" t="str">
        <x:v>30</x:v>
      </x:c>
      <x:c r="S306" s="6" t="str">
        <x:v>0.0</x:v>
      </x:c>
      <x:c r="T306" s="6" t="str">
        <x:v>30</x:v>
      </x:c>
      <x:c r="U306" s="6" t="str">
        <x:v>2.0</x:v>
      </x:c>
      <x:c r="V306" s="6" t="str">
        <x:v>30</x:v>
      </x:c>
      <x:c r="W306" s="6" t="str">
        <x:v>73.0</x:v>
      </x:c>
      <x:c r="X306" s="6" t="str">
        <x:v>30</x:v>
      </x:c>
      <x:c r="Y306" s="6" t="str">
        <x:v>29512.0</x:v>
      </x:c>
      <x:c r="Z306" s="6" t="str">
        <x:v>18</x:v>
      </x:c>
      <x:c r="AA306" s="6" t="str">
        <x:v>12.0</x:v>
      </x:c>
      <x:c r="AB306" s="6" t="str">
        <x:v>30</x:v>
      </x:c>
      <x:c r="AC306" s="6" t="str">
        <x:v>2025-05</x:v>
      </x:c>
      <x:c r="AD306" s="9" t="str">
        <x:v>BNPB operational disaster search table</x:v>
      </x:c>
      <x:c r="AE306" s="9" t="str">
        <x:v>https://gis.bnpb.go.id/databencana/tabel/pencarian.php</x:v>
      </x:c>
      <x:c r="AF306" s="9" t="str">
        <x:v>operational_snapshot_annual_totals_may_differ</x:v>
      </x:c>
    </x:row>
    <x:row r="307" ht="18" customHeight="1">
      <x:c r="A307" s="6" t="str">
        <x:v>33</x:v>
      </x:c>
      <x:c r="B307" s="6" t="str">
        <x:v>JAWA TENGAH</x:v>
      </x:c>
      <x:c r="C307" s="6" t="str">
        <x:v>2025</x:v>
      </x:c>
      <x:c r="D307" s="6" t="str">
        <x:v>6</x:v>
      </x:c>
      <x:c r="E307" s="6" t="str">
        <x:v>11</x:v>
      </x:c>
      <x:c r="F307" s="6" t="str">
        <x:v>11</x:v>
      </x:c>
      <x:c r="G307" s="6" t="str">
        <x:v>4</x:v>
      </x:c>
      <x:c r="H307" s="6" t="str">
        <x:v>1</x:v>
      </x:c>
      <x:c r="I307" s="6" t="str">
        <x:v>5</x:v>
      </x:c>
      <x:c r="J307" s="6" t="str">
        <x:v>0</x:v>
      </x:c>
      <x:c r="K307" s="6" t="str">
        <x:v>1</x:v>
      </x:c>
      <x:c r="L307" s="6" t="str">
        <x:v>0</x:v>
      </x:c>
      <x:c r="M307" s="6" t="str">
        <x:v>0</x:v>
      </x:c>
      <x:c r="N307" s="6" t="str">
        <x:v>0</x:v>
      </x:c>
      <x:c r="O307" s="6" t="str">
        <x:v>0</x:v>
      </x:c>
      <x:c r="P307" s="6" t="str">
        <x:v>11</x:v>
      </x:c>
      <x:c r="Q307" s="6" t="str"/>
      <x:c r="R307" s="6" t="str">
        <x:v>0</x:v>
      </x:c>
      <x:c r="S307" s="6" t="str"/>
      <x:c r="T307" s="6" t="str">
        <x:v>0</x:v>
      </x:c>
      <x:c r="U307" s="6" t="str"/>
      <x:c r="V307" s="6" t="str">
        <x:v>0</x:v>
      </x:c>
      <x:c r="W307" s="6" t="str">
        <x:v>79.0</x:v>
      </x:c>
      <x:c r="X307" s="6" t="str">
        <x:v>11</x:v>
      </x:c>
      <x:c r="Y307" s="6" t="str">
        <x:v>537.0</x:v>
      </x:c>
      <x:c r="Z307" s="6" t="str">
        <x:v>3</x:v>
      </x:c>
      <x:c r="AA307" s="6" t="str">
        <x:v>0.0</x:v>
      </x:c>
      <x:c r="AB307" s="6" t="str">
        <x:v>11</x:v>
      </x:c>
      <x:c r="AC307" s="6" t="str">
        <x:v>2025-06</x:v>
      </x:c>
      <x:c r="AD307" s="9" t="str">
        <x:v>BNPB operational disaster search table</x:v>
      </x:c>
      <x:c r="AE307" s="9" t="str">
        <x:v>https://gis.bnpb.go.id/databencana/tabel/pencarian.php</x:v>
      </x:c>
      <x:c r="AF307" s="9" t="str">
        <x:v>operational_snapshot_annual_totals_may_differ</x:v>
      </x:c>
    </x:row>
    <x:row r="308" ht="18" customHeight="1">
      <x:c r="A308" s="6" t="str">
        <x:v>33</x:v>
      </x:c>
      <x:c r="B308" s="6" t="str">
        <x:v>JAWA TENGAH</x:v>
      </x:c>
      <x:c r="C308" s="6" t="str">
        <x:v>2025</x:v>
      </x:c>
      <x:c r="D308" s="6" t="str">
        <x:v>7</x:v>
      </x:c>
      <x:c r="E308" s="6" t="str">
        <x:v>8</x:v>
      </x:c>
      <x:c r="F308" s="6" t="str">
        <x:v>8</x:v>
      </x:c>
      <x:c r="G308" s="6" t="str">
        <x:v>0</x:v>
      </x:c>
      <x:c r="H308" s="6" t="str">
        <x:v>2</x:v>
      </x:c>
      <x:c r="I308" s="6" t="str">
        <x:v>2</x:v>
      </x:c>
      <x:c r="J308" s="6" t="str">
        <x:v>3</x:v>
      </x:c>
      <x:c r="K308" s="6" t="str">
        <x:v>1</x:v>
      </x:c>
      <x:c r="L308" s="6" t="str">
        <x:v>0</x:v>
      </x:c>
      <x:c r="M308" s="6" t="str">
        <x:v>0</x:v>
      </x:c>
      <x:c r="N308" s="6" t="str">
        <x:v>0</x:v>
      </x:c>
      <x:c r="O308" s="6" t="str">
        <x:v>0</x:v>
      </x:c>
      <x:c r="P308" s="6" t="str">
        <x:v>8</x:v>
      </x:c>
      <x:c r="Q308" s="6" t="str">
        <x:v>1.0</x:v>
      </x:c>
      <x:c r="R308" s="6" t="str">
        <x:v>1</x:v>
      </x:c>
      <x:c r="S308" s="6" t="str"/>
      <x:c r="T308" s="6" t="str">
        <x:v>0</x:v>
      </x:c>
      <x:c r="U308" s="6" t="str"/>
      <x:c r="V308" s="6" t="str">
        <x:v>0</x:v>
      </x:c>
      <x:c r="W308" s="6" t="str">
        <x:v>137.0</x:v>
      </x:c>
      <x:c r="X308" s="6" t="str">
        <x:v>8</x:v>
      </x:c>
      <x:c r="Y308" s="6" t="str"/>
      <x:c r="Z308" s="6" t="str">
        <x:v>0</x:v>
      </x:c>
      <x:c r="AA308" s="6" t="str">
        <x:v>9.0</x:v>
      </x:c>
      <x:c r="AB308" s="6" t="str">
        <x:v>8</x:v>
      </x:c>
      <x:c r="AC308" s="6" t="str">
        <x:v>2025-07</x:v>
      </x:c>
      <x:c r="AD308" s="9" t="str">
        <x:v>BNPB operational disaster search table</x:v>
      </x:c>
      <x:c r="AE308" s="9" t="str">
        <x:v>https://gis.bnpb.go.id/databencana/tabel/pencarian.php</x:v>
      </x:c>
      <x:c r="AF308" s="9" t="str">
        <x:v>operational_snapshot_annual_totals_may_differ</x:v>
      </x:c>
    </x:row>
    <x:row r="309" ht="18" customHeight="1">
      <x:c r="A309" s="6" t="str">
        <x:v>33</x:v>
      </x:c>
      <x:c r="B309" s="6" t="str">
        <x:v>JAWA TENGAH</x:v>
      </x:c>
      <x:c r="C309" s="6" t="str">
        <x:v>2025</x:v>
      </x:c>
      <x:c r="D309" s="6" t="str">
        <x:v>8</x:v>
      </x:c>
      <x:c r="E309" s="6" t="str">
        <x:v>25</x:v>
      </x:c>
      <x:c r="F309" s="6" t="str">
        <x:v>25</x:v>
      </x:c>
      <x:c r="G309" s="6" t="str">
        <x:v>2</x:v>
      </x:c>
      <x:c r="H309" s="6" t="str">
        <x:v>1</x:v>
      </x:c>
      <x:c r="I309" s="6" t="str">
        <x:v>5</x:v>
      </x:c>
      <x:c r="J309" s="6" t="str">
        <x:v>10</x:v>
      </x:c>
      <x:c r="K309" s="6" t="str">
        <x:v>6</x:v>
      </x:c>
      <x:c r="L309" s="6" t="str">
        <x:v>1</x:v>
      </x:c>
      <x:c r="M309" s="6" t="str">
        <x:v>0</x:v>
      </x:c>
      <x:c r="N309" s="6" t="str">
        <x:v>0</x:v>
      </x:c>
      <x:c r="O309" s="6" t="str">
        <x:v>0</x:v>
      </x:c>
      <x:c r="P309" s="6" t="str">
        <x:v>25</x:v>
      </x:c>
      <x:c r="Q309" s="6" t="str">
        <x:v>8.0</x:v>
      </x:c>
      <x:c r="R309" s="6" t="str">
        <x:v>3</x:v>
      </x:c>
      <x:c r="S309" s="6" t="str">
        <x:v>1.0</x:v>
      </x:c>
      <x:c r="T309" s="6" t="str">
        <x:v>1</x:v>
      </x:c>
      <x:c r="U309" s="6" t="str">
        <x:v>1.0</x:v>
      </x:c>
      <x:c r="V309" s="6" t="str">
        <x:v>1</x:v>
      </x:c>
      <x:c r="W309" s="6" t="str">
        <x:v>47.0</x:v>
      </x:c>
      <x:c r="X309" s="6" t="str">
        <x:v>25</x:v>
      </x:c>
      <x:c r="Y309" s="6" t="str">
        <x:v>122.0</x:v>
      </x:c>
      <x:c r="Z309" s="6" t="str">
        <x:v>1</x:v>
      </x:c>
      <x:c r="AA309" s="6" t="str">
        <x:v>0.0</x:v>
      </x:c>
      <x:c r="AB309" s="6" t="str">
        <x:v>25</x:v>
      </x:c>
      <x:c r="AC309" s="6" t="str">
        <x:v>2025-08</x:v>
      </x:c>
      <x:c r="AD309" s="9" t="str">
        <x:v>BNPB operational disaster search table</x:v>
      </x:c>
      <x:c r="AE309" s="9" t="str">
        <x:v>https://gis.bnpb.go.id/databencana/tabel/pencarian.php</x:v>
      </x:c>
      <x:c r="AF309" s="9" t="str">
        <x:v>operational_snapshot_annual_totals_may_differ</x:v>
      </x:c>
    </x:row>
    <x:row r="310" ht="18" customHeight="1">
      <x:c r="A310" s="6" t="str">
        <x:v>33</x:v>
      </x:c>
      <x:c r="B310" s="6" t="str">
        <x:v>JAWA TENGAH</x:v>
      </x:c>
      <x:c r="C310" s="6" t="str">
        <x:v>2025</x:v>
      </x:c>
      <x:c r="D310" s="6" t="str">
        <x:v>9</x:v>
      </x:c>
      <x:c r="E310" s="6" t="str">
        <x:v>25</x:v>
      </x:c>
      <x:c r="F310" s="6" t="str">
        <x:v>25</x:v>
      </x:c>
      <x:c r="G310" s="6" t="str">
        <x:v>2</x:v>
      </x:c>
      <x:c r="H310" s="6" t="str">
        <x:v>2</x:v>
      </x:c>
      <x:c r="I310" s="6" t="str">
        <x:v>13</x:v>
      </x:c>
      <x:c r="J310" s="6" t="str">
        <x:v>1</x:v>
      </x:c>
      <x:c r="K310" s="6" t="str">
        <x:v>7</x:v>
      </x:c>
      <x:c r="L310" s="6" t="str">
        <x:v>0</x:v>
      </x:c>
      <x:c r="M310" s="6" t="str">
        <x:v>0</x:v>
      </x:c>
      <x:c r="N310" s="6" t="str">
        <x:v>0</x:v>
      </x:c>
      <x:c r="O310" s="6" t="str">
        <x:v>0</x:v>
      </x:c>
      <x:c r="P310" s="6" t="str">
        <x:v>25</x:v>
      </x:c>
      <x:c r="Q310" s="6" t="str">
        <x:v>1.0</x:v>
      </x:c>
      <x:c r="R310" s="6" t="str">
        <x:v>1</x:v>
      </x:c>
      <x:c r="S310" s="6" t="str"/>
      <x:c r="T310" s="6" t="str">
        <x:v>0</x:v>
      </x:c>
      <x:c r="U310" s="6" t="str"/>
      <x:c r="V310" s="6" t="str">
        <x:v>0</x:v>
      </x:c>
      <x:c r="W310" s="6" t="str">
        <x:v>246.0</x:v>
      </x:c>
      <x:c r="X310" s="6" t="str">
        <x:v>25</x:v>
      </x:c>
      <x:c r="Y310" s="6" t="str">
        <x:v>3.0</x:v>
      </x:c>
      <x:c r="Z310" s="6" t="str">
        <x:v>1</x:v>
      </x:c>
      <x:c r="AA310" s="6" t="str">
        <x:v>11.0</x:v>
      </x:c>
      <x:c r="AB310" s="6" t="str">
        <x:v>25</x:v>
      </x:c>
      <x:c r="AC310" s="6" t="str">
        <x:v>2025-09</x:v>
      </x:c>
      <x:c r="AD310" s="9" t="str">
        <x:v>BNPB operational disaster search table</x:v>
      </x:c>
      <x:c r="AE310" s="9" t="str">
        <x:v>https://gis.bnpb.go.id/databencana/tabel/pencarian.php</x:v>
      </x:c>
      <x:c r="AF310" s="9" t="str">
        <x:v>operational_snapshot_annual_totals_may_differ</x:v>
      </x:c>
    </x:row>
    <x:row r="311" ht="18" customHeight="1">
      <x:c r="A311" s="6" t="str">
        <x:v>33</x:v>
      </x:c>
      <x:c r="B311" s="6" t="str">
        <x:v>JAWA TENGAH</x:v>
      </x:c>
      <x:c r="C311" s="6" t="str">
        <x:v>2025</x:v>
      </x:c>
      <x:c r="D311" s="6" t="str">
        <x:v>10</x:v>
      </x:c>
      <x:c r="E311" s="6" t="str">
        <x:v>41</x:v>
      </x:c>
      <x:c r="F311" s="6" t="str">
        <x:v>41</x:v>
      </x:c>
      <x:c r="G311" s="6" t="str">
        <x:v>11</x:v>
      </x:c>
      <x:c r="H311" s="6" t="str">
        <x:v>4</x:v>
      </x:c>
      <x:c r="I311" s="6" t="str">
        <x:v>23</x:v>
      </x:c>
      <x:c r="J311" s="6" t="str">
        <x:v>0</x:v>
      </x:c>
      <x:c r="K311" s="6" t="str">
        <x:v>3</x:v>
      </x:c>
      <x:c r="L311" s="6" t="str">
        <x:v>0</x:v>
      </x:c>
      <x:c r="M311" s="6" t="str">
        <x:v>0</x:v>
      </x:c>
      <x:c r="N311" s="6" t="str">
        <x:v>0</x:v>
      </x:c>
      <x:c r="O311" s="6" t="str">
        <x:v>0</x:v>
      </x:c>
      <x:c r="P311" s="6" t="str">
        <x:v>41</x:v>
      </x:c>
      <x:c r="Q311" s="6" t="str">
        <x:v>5.0</x:v>
      </x:c>
      <x:c r="R311" s="6" t="str">
        <x:v>2</x:v>
      </x:c>
      <x:c r="S311" s="6" t="str">
        <x:v>1.0</x:v>
      </x:c>
      <x:c r="T311" s="6" t="str">
        <x:v>1</x:v>
      </x:c>
      <x:c r="U311" s="6" t="str">
        <x:v>4.0</x:v>
      </x:c>
      <x:c r="V311" s="6" t="str">
        <x:v>4</x:v>
      </x:c>
      <x:c r="W311" s="6" t="str">
        <x:v>827.0</x:v>
      </x:c>
      <x:c r="X311" s="6" t="str">
        <x:v>41</x:v>
      </x:c>
      <x:c r="Y311" s="6" t="str">
        <x:v>100370.0</x:v>
      </x:c>
      <x:c r="Z311" s="6" t="str">
        <x:v>8</x:v>
      </x:c>
      <x:c r="AA311" s="6" t="str">
        <x:v>64.0</x:v>
      </x:c>
      <x:c r="AB311" s="6" t="str">
        <x:v>41</x:v>
      </x:c>
      <x:c r="AC311" s="6" t="str">
        <x:v>2025-10</x:v>
      </x:c>
      <x:c r="AD311" s="9" t="str">
        <x:v>BNPB operational disaster search table</x:v>
      </x:c>
      <x:c r="AE311" s="9" t="str">
        <x:v>https://gis.bnpb.go.id/databencana/tabel/pencarian.php</x:v>
      </x:c>
      <x:c r="AF311" s="9" t="str">
        <x:v>operational_snapshot_annual_totals_may_differ</x:v>
      </x:c>
    </x:row>
    <x:row r="312" ht="18" customHeight="1">
      <x:c r="A312" s="6" t="str">
        <x:v>33</x:v>
      </x:c>
      <x:c r="B312" s="6" t="str">
        <x:v>JAWA TENGAH</x:v>
      </x:c>
      <x:c r="C312" s="6" t="str">
        <x:v>2025</x:v>
      </x:c>
      <x:c r="D312" s="6" t="str">
        <x:v>11</x:v>
      </x:c>
      <x:c r="E312" s="6" t="str">
        <x:v>37</x:v>
      </x:c>
      <x:c r="F312" s="6" t="str">
        <x:v>37</x:v>
      </x:c>
      <x:c r="G312" s="6" t="str">
        <x:v>19</x:v>
      </x:c>
      <x:c r="H312" s="6" t="str">
        <x:v>9</x:v>
      </x:c>
      <x:c r="I312" s="6" t="str">
        <x:v>9</x:v>
      </x:c>
      <x:c r="J312" s="6" t="str">
        <x:v>0</x:v>
      </x:c>
      <x:c r="K312" s="6" t="str">
        <x:v>0</x:v>
      </x:c>
      <x:c r="L312" s="6" t="str">
        <x:v>0</x:v>
      </x:c>
      <x:c r="M312" s="6" t="str">
        <x:v>0</x:v>
      </x:c>
      <x:c r="N312" s="6" t="str">
        <x:v>0</x:v>
      </x:c>
      <x:c r="O312" s="6" t="str">
        <x:v>0</x:v>
      </x:c>
      <x:c r="P312" s="6" t="str">
        <x:v>37</x:v>
      </x:c>
      <x:c r="Q312" s="6" t="str">
        <x:v>41.0</x:v>
      </x:c>
      <x:c r="R312" s="6" t="str">
        <x:v>3</x:v>
      </x:c>
      <x:c r="S312" s="6" t="str">
        <x:v>13.0</x:v>
      </x:c>
      <x:c r="T312" s="6" t="str">
        <x:v>2</x:v>
      </x:c>
      <x:c r="U312" s="6" t="str">
        <x:v>82.0</x:v>
      </x:c>
      <x:c r="V312" s="6" t="str">
        <x:v>4</x:v>
      </x:c>
      <x:c r="W312" s="6" t="str">
        <x:v>502.0</x:v>
      </x:c>
      <x:c r="X312" s="6" t="str">
        <x:v>37</x:v>
      </x:c>
      <x:c r="Y312" s="6" t="str">
        <x:v>9058.0</x:v>
      </x:c>
      <x:c r="Z312" s="6" t="str">
        <x:v>17</x:v>
      </x:c>
      <x:c r="AA312" s="6" t="str">
        <x:v>17.0</x:v>
      </x:c>
      <x:c r="AB312" s="6" t="str">
        <x:v>37</x:v>
      </x:c>
      <x:c r="AC312" s="6" t="str">
        <x:v>2025-11</x:v>
      </x:c>
      <x:c r="AD312" s="9" t="str">
        <x:v>BNPB operational disaster search table</x:v>
      </x:c>
      <x:c r="AE312" s="9" t="str">
        <x:v>https://gis.bnpb.go.id/databencana/tabel/pencarian.php</x:v>
      </x:c>
      <x:c r="AF312" s="9" t="str">
        <x:v>operational_snapshot_annual_totals_may_differ</x:v>
      </x:c>
    </x:row>
    <x:row r="313" ht="18" customHeight="1">
      <x:c r="A313" s="6" t="str">
        <x:v>33</x:v>
      </x:c>
      <x:c r="B313" s="6" t="str">
        <x:v>JAWA TENGAH</x:v>
      </x:c>
      <x:c r="C313" s="6" t="str">
        <x:v>2025</x:v>
      </x:c>
      <x:c r="D313" s="6" t="str">
        <x:v>12</x:v>
      </x:c>
      <x:c r="E313" s="6" t="str">
        <x:v>36</x:v>
      </x:c>
      <x:c r="F313" s="6" t="str">
        <x:v>36</x:v>
      </x:c>
      <x:c r="G313" s="6" t="str">
        <x:v>18</x:v>
      </x:c>
      <x:c r="H313" s="6" t="str">
        <x:v>4</x:v>
      </x:c>
      <x:c r="I313" s="6" t="str">
        <x:v>14</x:v>
      </x:c>
      <x:c r="J313" s="6" t="str">
        <x:v>0</x:v>
      </x:c>
      <x:c r="K313" s="6" t="str">
        <x:v>0</x:v>
      </x:c>
      <x:c r="L313" s="6" t="str">
        <x:v>0</x:v>
      </x:c>
      <x:c r="M313" s="6" t="str">
        <x:v>0</x:v>
      </x:c>
      <x:c r="N313" s="6" t="str">
        <x:v>0</x:v>
      </x:c>
      <x:c r="O313" s="6" t="str">
        <x:v>0</x:v>
      </x:c>
      <x:c r="P313" s="6" t="str">
        <x:v>36</x:v>
      </x:c>
      <x:c r="Q313" s="6" t="str"/>
      <x:c r="R313" s="6" t="str">
        <x:v>0</x:v>
      </x:c>
      <x:c r="S313" s="6" t="str"/>
      <x:c r="T313" s="6" t="str">
        <x:v>0</x:v>
      </x:c>
      <x:c r="U313" s="6" t="str">
        <x:v>1.0</x:v>
      </x:c>
      <x:c r="V313" s="6" t="str">
        <x:v>1</x:v>
      </x:c>
      <x:c r="W313" s="6" t="str">
        <x:v>290.0</x:v>
      </x:c>
      <x:c r="X313" s="6" t="str">
        <x:v>36</x:v>
      </x:c>
      <x:c r="Y313" s="6" t="str">
        <x:v>2197.0</x:v>
      </x:c>
      <x:c r="Z313" s="6" t="str">
        <x:v>20</x:v>
      </x:c>
      <x:c r="AA313" s="6" t="str">
        <x:v>13.0</x:v>
      </x:c>
      <x:c r="AB313" s="6" t="str">
        <x:v>36</x:v>
      </x:c>
      <x:c r="AC313" s="6" t="str">
        <x:v>2025-12</x:v>
      </x:c>
      <x:c r="AD313" s="9" t="str">
        <x:v>BNPB operational disaster search table</x:v>
      </x:c>
      <x:c r="AE313" s="9" t="str">
        <x:v>https://gis.bnpb.go.id/databencana/tabel/pencarian.php</x:v>
      </x:c>
      <x:c r="AF313" s="9" t="str">
        <x:v>operational_snapshot_annual_totals_may_differ</x:v>
      </x:c>
    </x:row>
    <x:row r="314" ht="18" customHeight="1">
      <x:c r="A314" s="6" t="str">
        <x:v>34</x:v>
      </x:c>
      <x:c r="B314" s="6" t="str">
        <x:v>DI YOGYAKARTA</x:v>
      </x:c>
      <x:c r="C314" s="6" t="str">
        <x:v>2024</x:v>
      </x:c>
      <x:c r="D314" s="6" t="str">
        <x:v>1</x:v>
      </x:c>
      <x:c r="E314" s="6" t="str">
        <x:v>26</x:v>
      </x:c>
      <x:c r="F314" s="6" t="str">
        <x:v>26</x:v>
      </x:c>
      <x:c r="G314" s="6" t="str">
        <x:v>0</x:v>
      </x:c>
      <x:c r="H314" s="6" t="str">
        <x:v>0</x:v>
      </x:c>
      <x:c r="I314" s="6" t="str">
        <x:v>26</x:v>
      </x:c>
      <x:c r="J314" s="6" t="str">
        <x:v>0</x:v>
      </x:c>
      <x:c r="K314" s="6" t="str">
        <x:v>0</x:v>
      </x:c>
      <x:c r="L314" s="6" t="str">
        <x:v>0</x:v>
      </x:c>
      <x:c r="M314" s="6" t="str">
        <x:v>0</x:v>
      </x:c>
      <x:c r="N314" s="6" t="str">
        <x:v>0</x:v>
      </x:c>
      <x:c r="O314" s="6" t="str">
        <x:v>0</x:v>
      </x:c>
      <x:c r="P314" s="6" t="str">
        <x:v>26</x:v>
      </x:c>
      <x:c r="Q314" s="6" t="str">
        <x:v>2.0</x:v>
      </x:c>
      <x:c r="R314" s="6" t="str">
        <x:v>4</x:v>
      </x:c>
      <x:c r="S314" s="6" t="str">
        <x:v>0.0</x:v>
      </x:c>
      <x:c r="T314" s="6" t="str">
        <x:v>3</x:v>
      </x:c>
      <x:c r="U314" s="6" t="str">
        <x:v>3.0</x:v>
      </x:c>
      <x:c r="V314" s="6" t="str">
        <x:v>6</x:v>
      </x:c>
      <x:c r="W314" s="6" t="str">
        <x:v>633.0</x:v>
      </x:c>
      <x:c r="X314" s="6" t="str">
        <x:v>26</x:v>
      </x:c>
      <x:c r="Y314" s="6" t="str"/>
      <x:c r="Z314" s="6" t="str">
        <x:v>0</x:v>
      </x:c>
      <x:c r="AA314" s="6" t="str">
        <x:v>11.0</x:v>
      </x:c>
      <x:c r="AB314" s="6" t="str">
        <x:v>26</x:v>
      </x:c>
      <x:c r="AC314" s="6" t="str">
        <x:v>2024-01</x:v>
      </x:c>
      <x:c r="AD314" s="9" t="str">
        <x:v>BNPB operational disaster search table</x:v>
      </x:c>
      <x:c r="AE314" s="9" t="str">
        <x:v>https://gis.bnpb.go.id/databencana/tabel/pencarian.php</x:v>
      </x:c>
      <x:c r="AF314" s="9" t="str">
        <x:v>operational_snapshot_annual_totals_may_differ</x:v>
      </x:c>
    </x:row>
    <x:row r="315" ht="18" customHeight="1">
      <x:c r="A315" s="6" t="str">
        <x:v>34</x:v>
      </x:c>
      <x:c r="B315" s="6" t="str">
        <x:v>DI YOGYAKARTA</x:v>
      </x:c>
      <x:c r="C315" s="6" t="str">
        <x:v>2024</x:v>
      </x:c>
      <x:c r="D315" s="6" t="str">
        <x:v>2</x:v>
      </x:c>
      <x:c r="E315" s="6" t="str">
        <x:v>4</x:v>
      </x:c>
      <x:c r="F315" s="6" t="str">
        <x:v>4</x:v>
      </x:c>
      <x:c r="G315" s="6" t="str">
        <x:v>0</x:v>
      </x:c>
      <x:c r="H315" s="6" t="str">
        <x:v>0</x:v>
      </x:c>
      <x:c r="I315" s="6" t="str">
        <x:v>3</x:v>
      </x:c>
      <x:c r="J315" s="6" t="str">
        <x:v>0</x:v>
      </x:c>
      <x:c r="K315" s="6" t="str">
        <x:v>1</x:v>
      </x:c>
      <x:c r="L315" s="6" t="str">
        <x:v>0</x:v>
      </x:c>
      <x:c r="M315" s="6" t="str">
        <x:v>0</x:v>
      </x:c>
      <x:c r="N315" s="6" t="str">
        <x:v>0</x:v>
      </x:c>
      <x:c r="O315" s="6" t="str">
        <x:v>0</x:v>
      </x:c>
      <x:c r="P315" s="6" t="str">
        <x:v>4</x:v>
      </x:c>
      <x:c r="Q315" s="6" t="str"/>
      <x:c r="R315" s="6" t="str">
        <x:v>0</x:v>
      </x:c>
      <x:c r="S315" s="6" t="str"/>
      <x:c r="T315" s="6" t="str">
        <x:v>0</x:v>
      </x:c>
      <x:c r="U315" s="6" t="str"/>
      <x:c r="V315" s="6" t="str">
        <x:v>0</x:v>
      </x:c>
      <x:c r="W315" s="6" t="str">
        <x:v>42.0</x:v>
      </x:c>
      <x:c r="X315" s="6" t="str">
        <x:v>4</x:v>
      </x:c>
      <x:c r="Y315" s="6" t="str"/>
      <x:c r="Z315" s="6" t="str">
        <x:v>0</x:v>
      </x:c>
      <x:c r="AA315" s="6" t="str">
        <x:v>3.0</x:v>
      </x:c>
      <x:c r="AB315" s="6" t="str">
        <x:v>4</x:v>
      </x:c>
      <x:c r="AC315" s="6" t="str">
        <x:v>2024-02</x:v>
      </x:c>
      <x:c r="AD315" s="9" t="str">
        <x:v>BNPB operational disaster search table</x:v>
      </x:c>
      <x:c r="AE315" s="9" t="str">
        <x:v>https://gis.bnpb.go.id/databencana/tabel/pencarian.php</x:v>
      </x:c>
      <x:c r="AF315" s="9" t="str">
        <x:v>operational_snapshot_annual_totals_may_differ</x:v>
      </x:c>
    </x:row>
    <x:row r="316" ht="18" customHeight="1">
      <x:c r="A316" s="6" t="str">
        <x:v>34</x:v>
      </x:c>
      <x:c r="B316" s="6" t="str">
        <x:v>DI YOGYAKARTA</x:v>
      </x:c>
      <x:c r="C316" s="6" t="str">
        <x:v>2024</x:v>
      </x:c>
      <x:c r="D316" s="6" t="str">
        <x:v>3</x:v>
      </x:c>
      <x:c r="E316" s="6" t="str">
        <x:v>34</x:v>
      </x:c>
      <x:c r="F316" s="6" t="str">
        <x:v>34</x:v>
      </x:c>
      <x:c r="G316" s="6" t="str">
        <x:v>0</x:v>
      </x:c>
      <x:c r="H316" s="6" t="str">
        <x:v>1</x:v>
      </x:c>
      <x:c r="I316" s="6" t="str">
        <x:v>33</x:v>
      </x:c>
      <x:c r="J316" s="6" t="str">
        <x:v>0</x:v>
      </x:c>
      <x:c r="K316" s="6" t="str">
        <x:v>0</x:v>
      </x:c>
      <x:c r="L316" s="6" t="str">
        <x:v>0</x:v>
      </x:c>
      <x:c r="M316" s="6" t="str">
        <x:v>0</x:v>
      </x:c>
      <x:c r="N316" s="6" t="str">
        <x:v>0</x:v>
      </x:c>
      <x:c r="O316" s="6" t="str">
        <x:v>0</x:v>
      </x:c>
      <x:c r="P316" s="6" t="str">
        <x:v>34</x:v>
      </x:c>
      <x:c r="Q316" s="6" t="str"/>
      <x:c r="R316" s="6" t="str">
        <x:v>0</x:v>
      </x:c>
      <x:c r="S316" s="6" t="str"/>
      <x:c r="T316" s="6" t="str">
        <x:v>0</x:v>
      </x:c>
      <x:c r="U316" s="6" t="str"/>
      <x:c r="V316" s="6" t="str">
        <x:v>0</x:v>
      </x:c>
      <x:c r="W316" s="6" t="str">
        <x:v>617.0</x:v>
      </x:c>
      <x:c r="X316" s="6" t="str">
        <x:v>34</x:v>
      </x:c>
      <x:c r="Y316" s="6" t="str"/>
      <x:c r="Z316" s="6" t="str">
        <x:v>0</x:v>
      </x:c>
      <x:c r="AA316" s="6" t="str">
        <x:v>11.0</x:v>
      </x:c>
      <x:c r="AB316" s="6" t="str">
        <x:v>34</x:v>
      </x:c>
      <x:c r="AC316" s="6" t="str">
        <x:v>2024-03</x:v>
      </x:c>
      <x:c r="AD316" s="9" t="str">
        <x:v>BNPB operational disaster search table</x:v>
      </x:c>
      <x:c r="AE316" s="9" t="str">
        <x:v>https://gis.bnpb.go.id/databencana/tabel/pencarian.php</x:v>
      </x:c>
      <x:c r="AF316" s="9" t="str">
        <x:v>operational_snapshot_annual_totals_may_differ</x:v>
      </x:c>
    </x:row>
    <x:row r="317" ht="18" customHeight="1">
      <x:c r="A317" s="6" t="str">
        <x:v>34</x:v>
      </x:c>
      <x:c r="B317" s="6" t="str">
        <x:v>DI YOGYAKARTA</x:v>
      </x:c>
      <x:c r="C317" s="6" t="str">
        <x:v>2024</x:v>
      </x:c>
      <x:c r="D317" s="6" t="str">
        <x:v>4</x:v>
      </x:c>
      <x:c r="E317" s="6" t="str">
        <x:v>0</x:v>
      </x:c>
      <x:c r="F317" s="6" t="str">
        <x:v>0</x:v>
      </x:c>
      <x:c r="G317" s="6" t="str">
        <x:v>0</x:v>
      </x:c>
      <x:c r="H317" s="6" t="str">
        <x:v>0</x:v>
      </x:c>
      <x:c r="I317" s="6" t="str">
        <x:v>0</x:v>
      </x:c>
      <x:c r="J317" s="6" t="str">
        <x:v>0</x:v>
      </x:c>
      <x:c r="K317" s="6" t="str">
        <x:v>0</x:v>
      </x:c>
      <x:c r="L317" s="6" t="str">
        <x:v>0</x:v>
      </x:c>
      <x:c r="M317" s="6" t="str">
        <x:v>0</x:v>
      </x:c>
      <x:c r="N317" s="6" t="str">
        <x:v>0</x:v>
      </x:c>
      <x:c r="O317" s="6" t="str">
        <x:v>0</x:v>
      </x:c>
      <x:c r="P317" s="6" t="str">
        <x:v>0</x:v>
      </x:c>
      <x:c r="Q317" s="6" t="str"/>
      <x:c r="R317" s="6" t="str">
        <x:v>0</x:v>
      </x:c>
      <x:c r="S317" s="6" t="str"/>
      <x:c r="T317" s="6" t="str">
        <x:v>0</x:v>
      </x:c>
      <x:c r="U317" s="6" t="str"/>
      <x:c r="V317" s="6" t="str">
        <x:v>0</x:v>
      </x:c>
      <x:c r="W317" s="6" t="str"/>
      <x:c r="X317" s="6" t="str">
        <x:v>0</x:v>
      </x:c>
      <x:c r="Y317" s="6" t="str"/>
      <x:c r="Z317" s="6" t="str">
        <x:v>0</x:v>
      </x:c>
      <x:c r="AA317" s="6" t="str"/>
      <x:c r="AB317" s="6" t="str">
        <x:v>0</x:v>
      </x:c>
      <x:c r="AC317" s="6" t="str">
        <x:v>2024-04</x:v>
      </x:c>
      <x:c r="AD317" s="9" t="str">
        <x:v>BNPB operational disaster search table</x:v>
      </x:c>
      <x:c r="AE317" s="9" t="str">
        <x:v>https://gis.bnpb.go.id/databencana/tabel/pencarian.php</x:v>
      </x:c>
      <x:c r="AF317" s="9" t="str">
        <x:v>operational_snapshot_annual_totals_may_differ</x:v>
      </x:c>
    </x:row>
    <x:row r="318" ht="18" customHeight="1">
      <x:c r="A318" s="6" t="str">
        <x:v>34</x:v>
      </x:c>
      <x:c r="B318" s="6" t="str">
        <x:v>DI YOGYAKARTA</x:v>
      </x:c>
      <x:c r="C318" s="6" t="str">
        <x:v>2024</x:v>
      </x:c>
      <x:c r="D318" s="6" t="str">
        <x:v>5</x:v>
      </x:c>
      <x:c r="E318" s="6" t="str">
        <x:v>0</x:v>
      </x:c>
      <x:c r="F318" s="6" t="str">
        <x:v>0</x:v>
      </x:c>
      <x:c r="G318" s="6" t="str">
        <x:v>0</x:v>
      </x:c>
      <x:c r="H318" s="6" t="str">
        <x:v>0</x:v>
      </x:c>
      <x:c r="I318" s="6" t="str">
        <x:v>0</x:v>
      </x:c>
      <x:c r="J318" s="6" t="str">
        <x:v>0</x:v>
      </x:c>
      <x:c r="K318" s="6" t="str">
        <x:v>0</x:v>
      </x:c>
      <x:c r="L318" s="6" t="str">
        <x:v>0</x:v>
      </x:c>
      <x:c r="M318" s="6" t="str">
        <x:v>0</x:v>
      </x:c>
      <x:c r="N318" s="6" t="str">
        <x:v>0</x:v>
      </x:c>
      <x:c r="O318" s="6" t="str">
        <x:v>0</x:v>
      </x:c>
      <x:c r="P318" s="6" t="str">
        <x:v>0</x:v>
      </x:c>
      <x:c r="Q318" s="6" t="str"/>
      <x:c r="R318" s="6" t="str">
        <x:v>0</x:v>
      </x:c>
      <x:c r="S318" s="6" t="str"/>
      <x:c r="T318" s="6" t="str">
        <x:v>0</x:v>
      </x:c>
      <x:c r="U318" s="6" t="str"/>
      <x:c r="V318" s="6" t="str">
        <x:v>0</x:v>
      </x:c>
      <x:c r="W318" s="6" t="str"/>
      <x:c r="X318" s="6" t="str">
        <x:v>0</x:v>
      </x:c>
      <x:c r="Y318" s="6" t="str"/>
      <x:c r="Z318" s="6" t="str">
        <x:v>0</x:v>
      </x:c>
      <x:c r="AA318" s="6" t="str"/>
      <x:c r="AB318" s="6" t="str">
        <x:v>0</x:v>
      </x:c>
      <x:c r="AC318" s="6" t="str">
        <x:v>2024-05</x:v>
      </x:c>
      <x:c r="AD318" s="9" t="str">
        <x:v>BNPB operational disaster search table</x:v>
      </x:c>
      <x:c r="AE318" s="9" t="str">
        <x:v>https://gis.bnpb.go.id/databencana/tabel/pencarian.php</x:v>
      </x:c>
      <x:c r="AF318" s="9" t="str">
        <x:v>operational_snapshot_annual_totals_may_differ</x:v>
      </x:c>
    </x:row>
    <x:row r="319" ht="18" customHeight="1">
      <x:c r="A319" s="6" t="str">
        <x:v>34</x:v>
      </x:c>
      <x:c r="B319" s="6" t="str">
        <x:v>DI YOGYAKARTA</x:v>
      </x:c>
      <x:c r="C319" s="6" t="str">
        <x:v>2024</x:v>
      </x:c>
      <x:c r="D319" s="6" t="str">
        <x:v>6</x:v>
      </x:c>
      <x:c r="E319" s="6" t="str">
        <x:v>1</x:v>
      </x:c>
      <x:c r="F319" s="6" t="str">
        <x:v>1</x:v>
      </x:c>
      <x:c r="G319" s="6" t="str">
        <x:v>0</x:v>
      </x:c>
      <x:c r="H319" s="6" t="str">
        <x:v>0</x:v>
      </x:c>
      <x:c r="I319" s="6" t="str">
        <x:v>0</x:v>
      </x:c>
      <x:c r="J319" s="6" t="str">
        <x:v>0</x:v>
      </x:c>
      <x:c r="K319" s="6" t="str">
        <x:v>1</x:v>
      </x:c>
      <x:c r="L319" s="6" t="str">
        <x:v>0</x:v>
      </x:c>
      <x:c r="M319" s="6" t="str">
        <x:v>0</x:v>
      </x:c>
      <x:c r="N319" s="6" t="str">
        <x:v>0</x:v>
      </x:c>
      <x:c r="O319" s="6" t="str">
        <x:v>0</x:v>
      </x:c>
      <x:c r="P319" s="6" t="str">
        <x:v>1</x:v>
      </x:c>
      <x:c r="Q319" s="6" t="str"/>
      <x:c r="R319" s="6" t="str">
        <x:v>0</x:v>
      </x:c>
      <x:c r="S319" s="6" t="str"/>
      <x:c r="T319" s="6" t="str">
        <x:v>0</x:v>
      </x:c>
      <x:c r="U319" s="6" t="str"/>
      <x:c r="V319" s="6" t="str">
        <x:v>0</x:v>
      </x:c>
      <x:c r="W319" s="6" t="str">
        <x:v>0.0</x:v>
      </x:c>
      <x:c r="X319" s="6" t="str">
        <x:v>1</x:v>
      </x:c>
      <x:c r="Y319" s="6" t="str"/>
      <x:c r="Z319" s="6" t="str">
        <x:v>0</x:v>
      </x:c>
      <x:c r="AA319" s="6" t="str">
        <x:v>0.0</x:v>
      </x:c>
      <x:c r="AB319" s="6" t="str">
        <x:v>1</x:v>
      </x:c>
      <x:c r="AC319" s="6" t="str">
        <x:v>2024-06</x:v>
      </x:c>
      <x:c r="AD319" s="9" t="str">
        <x:v>BNPB operational disaster search table</x:v>
      </x:c>
      <x:c r="AE319" s="9" t="str">
        <x:v>https://gis.bnpb.go.id/databencana/tabel/pencarian.php</x:v>
      </x:c>
      <x:c r="AF319" s="9" t="str">
        <x:v>operational_snapshot_annual_totals_may_differ</x:v>
      </x:c>
    </x:row>
    <x:row r="320" ht="18" customHeight="1">
      <x:c r="A320" s="6" t="str">
        <x:v>34</x:v>
      </x:c>
      <x:c r="B320" s="6" t="str">
        <x:v>DI YOGYAKARTA</x:v>
      </x:c>
      <x:c r="C320" s="6" t="str">
        <x:v>2024</x:v>
      </x:c>
      <x:c r="D320" s="6" t="str">
        <x:v>7</x:v>
      </x:c>
      <x:c r="E320" s="6" t="str">
        <x:v>1</x:v>
      </x:c>
      <x:c r="F320" s="6" t="str">
        <x:v>1</x:v>
      </x:c>
      <x:c r="G320" s="6" t="str">
        <x:v>0</x:v>
      </x:c>
      <x:c r="H320" s="6" t="str">
        <x:v>0</x:v>
      </x:c>
      <x:c r="I320" s="6" t="str">
        <x:v>0</x:v>
      </x:c>
      <x:c r="J320" s="6" t="str">
        <x:v>1</x:v>
      </x:c>
      <x:c r="K320" s="6" t="str">
        <x:v>0</x:v>
      </x:c>
      <x:c r="L320" s="6" t="str">
        <x:v>0</x:v>
      </x:c>
      <x:c r="M320" s="6" t="str">
        <x:v>0</x:v>
      </x:c>
      <x:c r="N320" s="6" t="str">
        <x:v>0</x:v>
      </x:c>
      <x:c r="O320" s="6" t="str">
        <x:v>0</x:v>
      </x:c>
      <x:c r="P320" s="6" t="str">
        <x:v>1</x:v>
      </x:c>
      <x:c r="Q320" s="6" t="str">
        <x:v>0.0</x:v>
      </x:c>
      <x:c r="R320" s="6" t="str">
        <x:v>1</x:v>
      </x:c>
      <x:c r="S320" s="6" t="str">
        <x:v>0.0</x:v>
      </x:c>
      <x:c r="T320" s="6" t="str">
        <x:v>1</x:v>
      </x:c>
      <x:c r="U320" s="6" t="str">
        <x:v>0.0</x:v>
      </x:c>
      <x:c r="V320" s="6" t="str">
        <x:v>1</x:v>
      </x:c>
      <x:c r="W320" s="6" t="str">
        <x:v>0.0</x:v>
      </x:c>
      <x:c r="X320" s="6" t="str">
        <x:v>1</x:v>
      </x:c>
      <x:c r="Y320" s="6" t="str"/>
      <x:c r="Z320" s="6" t="str">
        <x:v>0</x:v>
      </x:c>
      <x:c r="AA320" s="6" t="str">
        <x:v>0.0</x:v>
      </x:c>
      <x:c r="AB320" s="6" t="str">
        <x:v>1</x:v>
      </x:c>
      <x:c r="AC320" s="6" t="str">
        <x:v>2024-07</x:v>
      </x:c>
      <x:c r="AD320" s="9" t="str">
        <x:v>BNPB operational disaster search table</x:v>
      </x:c>
      <x:c r="AE320" s="9" t="str">
        <x:v>https://gis.bnpb.go.id/databencana/tabel/pencarian.php</x:v>
      </x:c>
      <x:c r="AF320" s="9" t="str">
        <x:v>operational_snapshot_annual_totals_may_differ</x:v>
      </x:c>
    </x:row>
    <x:row r="321" ht="18" customHeight="1">
      <x:c r="A321" s="6" t="str">
        <x:v>34</x:v>
      </x:c>
      <x:c r="B321" s="6" t="str">
        <x:v>DI YOGYAKARTA</x:v>
      </x:c>
      <x:c r="C321" s="6" t="str">
        <x:v>2024</x:v>
      </x:c>
      <x:c r="D321" s="6" t="str">
        <x:v>8</x:v>
      </x:c>
      <x:c r="E321" s="6" t="str">
        <x:v>14</x:v>
      </x:c>
      <x:c r="F321" s="6" t="str">
        <x:v>14</x:v>
      </x:c>
      <x:c r="G321" s="6" t="str">
        <x:v>0</x:v>
      </x:c>
      <x:c r="H321" s="6" t="str">
        <x:v>0</x:v>
      </x:c>
      <x:c r="I321" s="6" t="str">
        <x:v>0</x:v>
      </x:c>
      <x:c r="J321" s="6" t="str">
        <x:v>0</x:v>
      </x:c>
      <x:c r="K321" s="6" t="str">
        <x:v>10</x:v>
      </x:c>
      <x:c r="L321" s="6" t="str">
        <x:v>0</x:v>
      </x:c>
      <x:c r="M321" s="6" t="str">
        <x:v>4</x:v>
      </x:c>
      <x:c r="N321" s="6" t="str">
        <x:v>0</x:v>
      </x:c>
      <x:c r="O321" s="6" t="str">
        <x:v>0</x:v>
      </x:c>
      <x:c r="P321" s="6" t="str">
        <x:v>10</x:v>
      </x:c>
      <x:c r="Q321" s="6" t="str">
        <x:v>0.0</x:v>
      </x:c>
      <x:c r="R321" s="6" t="str">
        <x:v>3</x:v>
      </x:c>
      <x:c r="S321" s="6" t="str">
        <x:v>0.0</x:v>
      </x:c>
      <x:c r="T321" s="6" t="str">
        <x:v>3</x:v>
      </x:c>
      <x:c r="U321" s="6" t="str">
        <x:v>0.0</x:v>
      </x:c>
      <x:c r="V321" s="6" t="str">
        <x:v>3</x:v>
      </x:c>
      <x:c r="W321" s="6" t="str">
        <x:v>77.0</x:v>
      </x:c>
      <x:c r="X321" s="6" t="str">
        <x:v>14</x:v>
      </x:c>
      <x:c r="Y321" s="6" t="str"/>
      <x:c r="Z321" s="6" t="str">
        <x:v>0</x:v>
      </x:c>
      <x:c r="AA321" s="6" t="str">
        <x:v>1.0</x:v>
      </x:c>
      <x:c r="AB321" s="6" t="str">
        <x:v>14</x:v>
      </x:c>
      <x:c r="AC321" s="6" t="str">
        <x:v>2024-08</x:v>
      </x:c>
      <x:c r="AD321" s="9" t="str">
        <x:v>BNPB operational disaster search table</x:v>
      </x:c>
      <x:c r="AE321" s="9" t="str">
        <x:v>https://gis.bnpb.go.id/databencana/tabel/pencarian.php</x:v>
      </x:c>
      <x:c r="AF321" s="9" t="str">
        <x:v>operational_snapshot_annual_totals_may_differ</x:v>
      </x:c>
    </x:row>
    <x:row r="322" ht="18" customHeight="1">
      <x:c r="A322" s="6" t="str">
        <x:v>34</x:v>
      </x:c>
      <x:c r="B322" s="6" t="str">
        <x:v>DI YOGYAKARTA</x:v>
      </x:c>
      <x:c r="C322" s="6" t="str">
        <x:v>2024</x:v>
      </x:c>
      <x:c r="D322" s="6" t="str">
        <x:v>9</x:v>
      </x:c>
      <x:c r="E322" s="6" t="str">
        <x:v>6</x:v>
      </x:c>
      <x:c r="F322" s="6" t="str">
        <x:v>6</x:v>
      </x:c>
      <x:c r="G322" s="6" t="str">
        <x:v>0</x:v>
      </x:c>
      <x:c r="H322" s="6" t="str">
        <x:v>0</x:v>
      </x:c>
      <x:c r="I322" s="6" t="str">
        <x:v>0</x:v>
      </x:c>
      <x:c r="J322" s="6" t="str">
        <x:v>2</x:v>
      </x:c>
      <x:c r="K322" s="6" t="str">
        <x:v>4</x:v>
      </x:c>
      <x:c r="L322" s="6" t="str">
        <x:v>0</x:v>
      </x:c>
      <x:c r="M322" s="6" t="str">
        <x:v>0</x:v>
      </x:c>
      <x:c r="N322" s="6" t="str">
        <x:v>0</x:v>
      </x:c>
      <x:c r="O322" s="6" t="str">
        <x:v>0</x:v>
      </x:c>
      <x:c r="P322" s="6" t="str">
        <x:v>6</x:v>
      </x:c>
      <x:c r="Q322" s="6" t="str">
        <x:v>0.0</x:v>
      </x:c>
      <x:c r="R322" s="6" t="str">
        <x:v>2</x:v>
      </x:c>
      <x:c r="S322" s="6" t="str">
        <x:v>0.0</x:v>
      </x:c>
      <x:c r="T322" s="6" t="str">
        <x:v>2</x:v>
      </x:c>
      <x:c r="U322" s="6" t="str">
        <x:v>0.0</x:v>
      </x:c>
      <x:c r="V322" s="6" t="str">
        <x:v>2</x:v>
      </x:c>
      <x:c r="W322" s="6" t="str">
        <x:v>0.0</x:v>
      </x:c>
      <x:c r="X322" s="6" t="str">
        <x:v>6</x:v>
      </x:c>
      <x:c r="Y322" s="6" t="str"/>
      <x:c r="Z322" s="6" t="str">
        <x:v>0</x:v>
      </x:c>
      <x:c r="AA322" s="6" t="str">
        <x:v>0.0</x:v>
      </x:c>
      <x:c r="AB322" s="6" t="str">
        <x:v>6</x:v>
      </x:c>
      <x:c r="AC322" s="6" t="str">
        <x:v>2024-09</x:v>
      </x:c>
      <x:c r="AD322" s="9" t="str">
        <x:v>BNPB operational disaster search table</x:v>
      </x:c>
      <x:c r="AE322" s="9" t="str">
        <x:v>https://gis.bnpb.go.id/databencana/tabel/pencarian.php</x:v>
      </x:c>
      <x:c r="AF322" s="9" t="str">
        <x:v>operational_snapshot_annual_totals_may_differ</x:v>
      </x:c>
    </x:row>
    <x:row r="323" ht="18" customHeight="1">
      <x:c r="A323" s="6" t="str">
        <x:v>34</x:v>
      </x:c>
      <x:c r="B323" s="6" t="str">
        <x:v>DI YOGYAKARTA</x:v>
      </x:c>
      <x:c r="C323" s="6" t="str">
        <x:v>2024</x:v>
      </x:c>
      <x:c r="D323" s="6" t="str">
        <x:v>10</x:v>
      </x:c>
      <x:c r="E323" s="6" t="str">
        <x:v>4</x:v>
      </x:c>
      <x:c r="F323" s="6" t="str">
        <x:v>4</x:v>
      </x:c>
      <x:c r="G323" s="6" t="str">
        <x:v>0</x:v>
      </x:c>
      <x:c r="H323" s="6" t="str">
        <x:v>0</x:v>
      </x:c>
      <x:c r="I323" s="6" t="str">
        <x:v>4</x:v>
      </x:c>
      <x:c r="J323" s="6" t="str">
        <x:v>0</x:v>
      </x:c>
      <x:c r="K323" s="6" t="str">
        <x:v>0</x:v>
      </x:c>
      <x:c r="L323" s="6" t="str">
        <x:v>0</x:v>
      </x:c>
      <x:c r="M323" s="6" t="str">
        <x:v>0</x:v>
      </x:c>
      <x:c r="N323" s="6" t="str">
        <x:v>0</x:v>
      </x:c>
      <x:c r="O323" s="6" t="str">
        <x:v>0</x:v>
      </x:c>
      <x:c r="P323" s="6" t="str">
        <x:v>4</x:v>
      </x:c>
      <x:c r="Q323" s="6" t="str"/>
      <x:c r="R323" s="6" t="str">
        <x:v>0</x:v>
      </x:c>
      <x:c r="S323" s="6" t="str"/>
      <x:c r="T323" s="6" t="str">
        <x:v>0</x:v>
      </x:c>
      <x:c r="U323" s="6" t="str">
        <x:v>3.0</x:v>
      </x:c>
      <x:c r="V323" s="6" t="str">
        <x:v>1</x:v>
      </x:c>
      <x:c r="W323" s="6" t="str">
        <x:v>149.0</x:v>
      </x:c>
      <x:c r="X323" s="6" t="str">
        <x:v>4</x:v>
      </x:c>
      <x:c r="Y323" s="6" t="str"/>
      <x:c r="Z323" s="6" t="str">
        <x:v>0</x:v>
      </x:c>
      <x:c r="AA323" s="6" t="str">
        <x:v>8.0</x:v>
      </x:c>
      <x:c r="AB323" s="6" t="str">
        <x:v>4</x:v>
      </x:c>
      <x:c r="AC323" s="6" t="str">
        <x:v>2024-10</x:v>
      </x:c>
      <x:c r="AD323" s="9" t="str">
        <x:v>BNPB operational disaster search table</x:v>
      </x:c>
      <x:c r="AE323" s="9" t="str">
        <x:v>https://gis.bnpb.go.id/databencana/tabel/pencarian.php</x:v>
      </x:c>
      <x:c r="AF323" s="9" t="str">
        <x:v>operational_snapshot_annual_totals_may_differ</x:v>
      </x:c>
    </x:row>
    <x:row r="324" ht="18" customHeight="1">
      <x:c r="A324" s="6" t="str">
        <x:v>34</x:v>
      </x:c>
      <x:c r="B324" s="6" t="str">
        <x:v>DI YOGYAKARTA</x:v>
      </x:c>
      <x:c r="C324" s="6" t="str">
        <x:v>2024</x:v>
      </x:c>
      <x:c r="D324" s="6" t="str">
        <x:v>11</x:v>
      </x:c>
      <x:c r="E324" s="6" t="str">
        <x:v>20</x:v>
      </x:c>
      <x:c r="F324" s="6" t="str">
        <x:v>20</x:v>
      </x:c>
      <x:c r="G324" s="6" t="str">
        <x:v>0</x:v>
      </x:c>
      <x:c r="H324" s="6" t="str">
        <x:v>3</x:v>
      </x:c>
      <x:c r="I324" s="6" t="str">
        <x:v>17</x:v>
      </x:c>
      <x:c r="J324" s="6" t="str">
        <x:v>0</x:v>
      </x:c>
      <x:c r="K324" s="6" t="str">
        <x:v>0</x:v>
      </x:c>
      <x:c r="L324" s="6" t="str">
        <x:v>0</x:v>
      </x:c>
      <x:c r="M324" s="6" t="str">
        <x:v>0</x:v>
      </x:c>
      <x:c r="N324" s="6" t="str">
        <x:v>0</x:v>
      </x:c>
      <x:c r="O324" s="6" t="str">
        <x:v>0</x:v>
      </x:c>
      <x:c r="P324" s="6" t="str">
        <x:v>20</x:v>
      </x:c>
      <x:c r="Q324" s="6" t="str">
        <x:v>1.0</x:v>
      </x:c>
      <x:c r="R324" s="6" t="str">
        <x:v>1</x:v>
      </x:c>
      <x:c r="S324" s="6" t="str">
        <x:v>0.0</x:v>
      </x:c>
      <x:c r="T324" s="6" t="str">
        <x:v>1</x:v>
      </x:c>
      <x:c r="U324" s="6" t="str">
        <x:v>1.0</x:v>
      </x:c>
      <x:c r="V324" s="6" t="str">
        <x:v>1</x:v>
      </x:c>
      <x:c r="W324" s="6" t="str">
        <x:v>268.0</x:v>
      </x:c>
      <x:c r="X324" s="6" t="str">
        <x:v>20</x:v>
      </x:c>
      <x:c r="Y324" s="6" t="str"/>
      <x:c r="Z324" s="6" t="str">
        <x:v>0</x:v>
      </x:c>
      <x:c r="AA324" s="6" t="str">
        <x:v>6.0</x:v>
      </x:c>
      <x:c r="AB324" s="6" t="str">
        <x:v>20</x:v>
      </x:c>
      <x:c r="AC324" s="6" t="str">
        <x:v>2024-11</x:v>
      </x:c>
      <x:c r="AD324" s="9" t="str">
        <x:v>BNPB operational disaster search table</x:v>
      </x:c>
      <x:c r="AE324" s="9" t="str">
        <x:v>https://gis.bnpb.go.id/databencana/tabel/pencarian.php</x:v>
      </x:c>
      <x:c r="AF324" s="9" t="str">
        <x:v>operational_snapshot_annual_totals_may_differ</x:v>
      </x:c>
    </x:row>
    <x:row r="325" ht="18" customHeight="1">
      <x:c r="A325" s="6" t="str">
        <x:v>34</x:v>
      </x:c>
      <x:c r="B325" s="6" t="str">
        <x:v>DI YOGYAKARTA</x:v>
      </x:c>
      <x:c r="C325" s="6" t="str">
        <x:v>2024</x:v>
      </x:c>
      <x:c r="D325" s="6" t="str">
        <x:v>12</x:v>
      </x:c>
      <x:c r="E325" s="6" t="str">
        <x:v>4</x:v>
      </x:c>
      <x:c r="F325" s="6" t="str">
        <x:v>4</x:v>
      </x:c>
      <x:c r="G325" s="6" t="str">
        <x:v>0</x:v>
      </x:c>
      <x:c r="H325" s="6" t="str">
        <x:v>1</x:v>
      </x:c>
      <x:c r="I325" s="6" t="str">
        <x:v>3</x:v>
      </x:c>
      <x:c r="J325" s="6" t="str">
        <x:v>0</x:v>
      </x:c>
      <x:c r="K325" s="6" t="str">
        <x:v>0</x:v>
      </x:c>
      <x:c r="L325" s="6" t="str">
        <x:v>0</x:v>
      </x:c>
      <x:c r="M325" s="6" t="str">
        <x:v>0</x:v>
      </x:c>
      <x:c r="N325" s="6" t="str">
        <x:v>0</x:v>
      </x:c>
      <x:c r="O325" s="6" t="str">
        <x:v>0</x:v>
      </x:c>
      <x:c r="P325" s="6" t="str">
        <x:v>4</x:v>
      </x:c>
      <x:c r="Q325" s="6" t="str">
        <x:v>0.0</x:v>
      </x:c>
      <x:c r="R325" s="6" t="str">
        <x:v>1</x:v>
      </x:c>
      <x:c r="S325" s="6" t="str">
        <x:v>0.0</x:v>
      </x:c>
      <x:c r="T325" s="6" t="str">
        <x:v>1</x:v>
      </x:c>
      <x:c r="U325" s="6" t="str">
        <x:v>1.0</x:v>
      </x:c>
      <x:c r="V325" s="6" t="str">
        <x:v>1</x:v>
      </x:c>
      <x:c r="W325" s="6" t="str">
        <x:v>19.0</x:v>
      </x:c>
      <x:c r="X325" s="6" t="str">
        <x:v>4</x:v>
      </x:c>
      <x:c r="Y325" s="6" t="str"/>
      <x:c r="Z325" s="6" t="str">
        <x:v>0</x:v>
      </x:c>
      <x:c r="AA325" s="6" t="str">
        <x:v>1.0</x:v>
      </x:c>
      <x:c r="AB325" s="6" t="str">
        <x:v>4</x:v>
      </x:c>
      <x:c r="AC325" s="6" t="str">
        <x:v>2024-12</x:v>
      </x:c>
      <x:c r="AD325" s="9" t="str">
        <x:v>BNPB operational disaster search table</x:v>
      </x:c>
      <x:c r="AE325" s="9" t="str">
        <x:v>https://gis.bnpb.go.id/databencana/tabel/pencarian.php</x:v>
      </x:c>
      <x:c r="AF325" s="9" t="str">
        <x:v>operational_snapshot_annual_totals_may_differ</x:v>
      </x:c>
    </x:row>
    <x:row r="326" ht="18" customHeight="1">
      <x:c r="A326" s="6" t="str">
        <x:v>34</x:v>
      </x:c>
      <x:c r="B326" s="6" t="str">
        <x:v>DI YOGYAKARTA</x:v>
      </x:c>
      <x:c r="C326" s="6" t="str">
        <x:v>2025</x:v>
      </x:c>
      <x:c r="D326" s="6" t="str">
        <x:v>1</x:v>
      </x:c>
      <x:c r="E326" s="6" t="str">
        <x:v>8</x:v>
      </x:c>
      <x:c r="F326" s="6" t="str">
        <x:v>8</x:v>
      </x:c>
      <x:c r="G326" s="6" t="str">
        <x:v>0</x:v>
      </x:c>
      <x:c r="H326" s="6" t="str">
        <x:v>3</x:v>
      </x:c>
      <x:c r="I326" s="6" t="str">
        <x:v>5</x:v>
      </x:c>
      <x:c r="J326" s="6" t="str">
        <x:v>0</x:v>
      </x:c>
      <x:c r="K326" s="6" t="str">
        <x:v>0</x:v>
      </x:c>
      <x:c r="L326" s="6" t="str">
        <x:v>0</x:v>
      </x:c>
      <x:c r="M326" s="6" t="str">
        <x:v>0</x:v>
      </x:c>
      <x:c r="N326" s="6" t="str">
        <x:v>0</x:v>
      </x:c>
      <x:c r="O326" s="6" t="str">
        <x:v>0</x:v>
      </x:c>
      <x:c r="P326" s="6" t="str">
        <x:v>8</x:v>
      </x:c>
      <x:c r="Q326" s="6" t="str">
        <x:v>1.0</x:v>
      </x:c>
      <x:c r="R326" s="6" t="str">
        <x:v>8</x:v>
      </x:c>
      <x:c r="S326" s="6" t="str">
        <x:v>0.0</x:v>
      </x:c>
      <x:c r="T326" s="6" t="str">
        <x:v>8</x:v>
      </x:c>
      <x:c r="U326" s="6" t="str">
        <x:v>0.0</x:v>
      </x:c>
      <x:c r="V326" s="6" t="str">
        <x:v>8</x:v>
      </x:c>
      <x:c r="W326" s="6" t="str">
        <x:v>113.0</x:v>
      </x:c>
      <x:c r="X326" s="6" t="str">
        <x:v>8</x:v>
      </x:c>
      <x:c r="Y326" s="6" t="str"/>
      <x:c r="Z326" s="6" t="str">
        <x:v>0</x:v>
      </x:c>
      <x:c r="AA326" s="6" t="str">
        <x:v>2.0</x:v>
      </x:c>
      <x:c r="AB326" s="6" t="str">
        <x:v>8</x:v>
      </x:c>
      <x:c r="AC326" s="6" t="str">
        <x:v>2025-01</x:v>
      </x:c>
      <x:c r="AD326" s="9" t="str">
        <x:v>BNPB operational disaster search table</x:v>
      </x:c>
      <x:c r="AE326" s="9" t="str">
        <x:v>https://gis.bnpb.go.id/databencana/tabel/pencarian.php</x:v>
      </x:c>
      <x:c r="AF326" s="9" t="str">
        <x:v>operational_snapshot_annual_totals_may_differ</x:v>
      </x:c>
    </x:row>
    <x:row r="327" ht="18" customHeight="1">
      <x:c r="A327" s="6" t="str">
        <x:v>34</x:v>
      </x:c>
      <x:c r="B327" s="6" t="str">
        <x:v>DI YOGYAKARTA</x:v>
      </x:c>
      <x:c r="C327" s="6" t="str">
        <x:v>2025</x:v>
      </x:c>
      <x:c r="D327" s="6" t="str">
        <x:v>2</x:v>
      </x:c>
      <x:c r="E327" s="6" t="str">
        <x:v>5</x:v>
      </x:c>
      <x:c r="F327" s="6" t="str">
        <x:v>5</x:v>
      </x:c>
      <x:c r="G327" s="6" t="str">
        <x:v>1</x:v>
      </x:c>
      <x:c r="H327" s="6" t="str">
        <x:v>0</x:v>
      </x:c>
      <x:c r="I327" s="6" t="str">
        <x:v>4</x:v>
      </x:c>
      <x:c r="J327" s="6" t="str">
        <x:v>0</x:v>
      </x:c>
      <x:c r="K327" s="6" t="str">
        <x:v>0</x:v>
      </x:c>
      <x:c r="L327" s="6" t="str">
        <x:v>0</x:v>
      </x:c>
      <x:c r="M327" s="6" t="str">
        <x:v>0</x:v>
      </x:c>
      <x:c r="N327" s="6" t="str">
        <x:v>0</x:v>
      </x:c>
      <x:c r="O327" s="6" t="str">
        <x:v>0</x:v>
      </x:c>
      <x:c r="P327" s="6" t="str">
        <x:v>5</x:v>
      </x:c>
      <x:c r="Q327" s="6" t="str">
        <x:v>0.0</x:v>
      </x:c>
      <x:c r="R327" s="6" t="str">
        <x:v>5</x:v>
      </x:c>
      <x:c r="S327" s="6" t="str">
        <x:v>0.0</x:v>
      </x:c>
      <x:c r="T327" s="6" t="str">
        <x:v>5</x:v>
      </x:c>
      <x:c r="U327" s="6" t="str">
        <x:v>0.0</x:v>
      </x:c>
      <x:c r="V327" s="6" t="str">
        <x:v>5</x:v>
      </x:c>
      <x:c r="W327" s="6" t="str">
        <x:v>71.0</x:v>
      </x:c>
      <x:c r="X327" s="6" t="str">
        <x:v>5</x:v>
      </x:c>
      <x:c r="Y327" s="6" t="str">
        <x:v>6.0</x:v>
      </x:c>
      <x:c r="Z327" s="6" t="str">
        <x:v>1</x:v>
      </x:c>
      <x:c r="AA327" s="6" t="str">
        <x:v>6.0</x:v>
      </x:c>
      <x:c r="AB327" s="6" t="str">
        <x:v>5</x:v>
      </x:c>
      <x:c r="AC327" s="6" t="str">
        <x:v>2025-02</x:v>
      </x:c>
      <x:c r="AD327" s="9" t="str">
        <x:v>BNPB operational disaster search table</x:v>
      </x:c>
      <x:c r="AE327" s="9" t="str">
        <x:v>https://gis.bnpb.go.id/databencana/tabel/pencarian.php</x:v>
      </x:c>
      <x:c r="AF327" s="9" t="str">
        <x:v>operational_snapshot_annual_totals_may_differ</x:v>
      </x:c>
    </x:row>
    <x:row r="328" ht="18" customHeight="1">
      <x:c r="A328" s="6" t="str">
        <x:v>34</x:v>
      </x:c>
      <x:c r="B328" s="6" t="str">
        <x:v>DI YOGYAKARTA</x:v>
      </x:c>
      <x:c r="C328" s="6" t="str">
        <x:v>2025</x:v>
      </x:c>
      <x:c r="D328" s="6" t="str">
        <x:v>3</x:v>
      </x:c>
      <x:c r="E328" s="6" t="str">
        <x:v>7</x:v>
      </x:c>
      <x:c r="F328" s="6" t="str">
        <x:v>7</x:v>
      </x:c>
      <x:c r="G328" s="6" t="str">
        <x:v>3</x:v>
      </x:c>
      <x:c r="H328" s="6" t="str">
        <x:v>2</x:v>
      </x:c>
      <x:c r="I328" s="6" t="str">
        <x:v>2</x:v>
      </x:c>
      <x:c r="J328" s="6" t="str">
        <x:v>0</x:v>
      </x:c>
      <x:c r="K328" s="6" t="str">
        <x:v>0</x:v>
      </x:c>
      <x:c r="L328" s="6" t="str">
        <x:v>0</x:v>
      </x:c>
      <x:c r="M328" s="6" t="str">
        <x:v>0</x:v>
      </x:c>
      <x:c r="N328" s="6" t="str">
        <x:v>0</x:v>
      </x:c>
      <x:c r="O328" s="6" t="str">
        <x:v>0</x:v>
      </x:c>
      <x:c r="P328" s="6" t="str">
        <x:v>7</x:v>
      </x:c>
      <x:c r="Q328" s="6" t="str">
        <x:v>0.0</x:v>
      </x:c>
      <x:c r="R328" s="6" t="str">
        <x:v>7</x:v>
      </x:c>
      <x:c r="S328" s="6" t="str">
        <x:v>0.0</x:v>
      </x:c>
      <x:c r="T328" s="6" t="str">
        <x:v>7</x:v>
      </x:c>
      <x:c r="U328" s="6" t="str">
        <x:v>0.0</x:v>
      </x:c>
      <x:c r="V328" s="6" t="str">
        <x:v>7</x:v>
      </x:c>
      <x:c r="W328" s="6" t="str">
        <x:v>37.0</x:v>
      </x:c>
      <x:c r="X328" s="6" t="str">
        <x:v>7</x:v>
      </x:c>
      <x:c r="Y328" s="6" t="str">
        <x:v>831.0</x:v>
      </x:c>
      <x:c r="Z328" s="6" t="str">
        <x:v>3</x:v>
      </x:c>
      <x:c r="AA328" s="6" t="str">
        <x:v>1.0</x:v>
      </x:c>
      <x:c r="AB328" s="6" t="str">
        <x:v>7</x:v>
      </x:c>
      <x:c r="AC328" s="6" t="str">
        <x:v>2025-03</x:v>
      </x:c>
      <x:c r="AD328" s="9" t="str">
        <x:v>BNPB operational disaster search table</x:v>
      </x:c>
      <x:c r="AE328" s="9" t="str">
        <x:v>https://gis.bnpb.go.id/databencana/tabel/pencarian.php</x:v>
      </x:c>
      <x:c r="AF328" s="9" t="str">
        <x:v>operational_snapshot_annual_totals_may_differ</x:v>
      </x:c>
    </x:row>
    <x:row r="329" ht="18" customHeight="1">
      <x:c r="A329" s="6" t="str">
        <x:v>34</x:v>
      </x:c>
      <x:c r="B329" s="6" t="str">
        <x:v>DI YOGYAKARTA</x:v>
      </x:c>
      <x:c r="C329" s="6" t="str">
        <x:v>2025</x:v>
      </x:c>
      <x:c r="D329" s="6" t="str">
        <x:v>4</x:v>
      </x:c>
      <x:c r="E329" s="6" t="str">
        <x:v>0</x:v>
      </x:c>
      <x:c r="F329" s="6" t="str">
        <x:v>0</x:v>
      </x:c>
      <x:c r="G329" s="6" t="str">
        <x:v>0</x:v>
      </x:c>
      <x:c r="H329" s="6" t="str">
        <x:v>0</x:v>
      </x:c>
      <x:c r="I329" s="6" t="str">
        <x:v>0</x:v>
      </x:c>
      <x:c r="J329" s="6" t="str">
        <x:v>0</x:v>
      </x:c>
      <x:c r="K329" s="6" t="str">
        <x:v>0</x:v>
      </x:c>
      <x:c r="L329" s="6" t="str">
        <x:v>0</x:v>
      </x:c>
      <x:c r="M329" s="6" t="str">
        <x:v>0</x:v>
      </x:c>
      <x:c r="N329" s="6" t="str">
        <x:v>0</x:v>
      </x:c>
      <x:c r="O329" s="6" t="str">
        <x:v>0</x:v>
      </x:c>
      <x:c r="P329" s="6" t="str">
        <x:v>0</x:v>
      </x:c>
      <x:c r="Q329" s="6" t="str"/>
      <x:c r="R329" s="6" t="str">
        <x:v>0</x:v>
      </x:c>
      <x:c r="S329" s="6" t="str"/>
      <x:c r="T329" s="6" t="str">
        <x:v>0</x:v>
      </x:c>
      <x:c r="U329" s="6" t="str"/>
      <x:c r="V329" s="6" t="str">
        <x:v>0</x:v>
      </x:c>
      <x:c r="W329" s="6" t="str"/>
      <x:c r="X329" s="6" t="str">
        <x:v>0</x:v>
      </x:c>
      <x:c r="Y329" s="6" t="str"/>
      <x:c r="Z329" s="6" t="str">
        <x:v>0</x:v>
      </x:c>
      <x:c r="AA329" s="6" t="str"/>
      <x:c r="AB329" s="6" t="str">
        <x:v>0</x:v>
      </x:c>
      <x:c r="AC329" s="6" t="str">
        <x:v>2025-04</x:v>
      </x:c>
      <x:c r="AD329" s="9" t="str">
        <x:v>BNPB operational disaster search table</x:v>
      </x:c>
      <x:c r="AE329" s="9" t="str">
        <x:v>https://gis.bnpb.go.id/databencana/tabel/pencarian.php</x:v>
      </x:c>
      <x:c r="AF329" s="9" t="str">
        <x:v>operational_snapshot_annual_totals_may_differ</x:v>
      </x:c>
    </x:row>
    <x:row r="330" ht="18" customHeight="1">
      <x:c r="A330" s="6" t="str">
        <x:v>34</x:v>
      </x:c>
      <x:c r="B330" s="6" t="str">
        <x:v>DI YOGYAKARTA</x:v>
      </x:c>
      <x:c r="C330" s="6" t="str">
        <x:v>2025</x:v>
      </x:c>
      <x:c r="D330" s="6" t="str">
        <x:v>5</x:v>
      </x:c>
      <x:c r="E330" s="6" t="str">
        <x:v>3</x:v>
      </x:c>
      <x:c r="F330" s="6" t="str">
        <x:v>3</x:v>
      </x:c>
      <x:c r="G330" s="6" t="str">
        <x:v>0</x:v>
      </x:c>
      <x:c r="H330" s="6" t="str">
        <x:v>0</x:v>
      </x:c>
      <x:c r="I330" s="6" t="str">
        <x:v>3</x:v>
      </x:c>
      <x:c r="J330" s="6" t="str">
        <x:v>0</x:v>
      </x:c>
      <x:c r="K330" s="6" t="str">
        <x:v>0</x:v>
      </x:c>
      <x:c r="L330" s="6" t="str">
        <x:v>0</x:v>
      </x:c>
      <x:c r="M330" s="6" t="str">
        <x:v>0</x:v>
      </x:c>
      <x:c r="N330" s="6" t="str">
        <x:v>0</x:v>
      </x:c>
      <x:c r="O330" s="6" t="str">
        <x:v>0</x:v>
      </x:c>
      <x:c r="P330" s="6" t="str">
        <x:v>3</x:v>
      </x:c>
      <x:c r="Q330" s="6" t="str">
        <x:v>1.0</x:v>
      </x:c>
      <x:c r="R330" s="6" t="str">
        <x:v>3</x:v>
      </x:c>
      <x:c r="S330" s="6" t="str">
        <x:v>0.0</x:v>
      </x:c>
      <x:c r="T330" s="6" t="str">
        <x:v>3</x:v>
      </x:c>
      <x:c r="U330" s="6" t="str">
        <x:v>0.0</x:v>
      </x:c>
      <x:c r="V330" s="6" t="str">
        <x:v>3</x:v>
      </x:c>
      <x:c r="W330" s="6" t="str">
        <x:v>68.0</x:v>
      </x:c>
      <x:c r="X330" s="6" t="str">
        <x:v>3</x:v>
      </x:c>
      <x:c r="Y330" s="6" t="str"/>
      <x:c r="Z330" s="6" t="str">
        <x:v>0</x:v>
      </x:c>
      <x:c r="AA330" s="6" t="str">
        <x:v>6.0</x:v>
      </x:c>
      <x:c r="AB330" s="6" t="str">
        <x:v>3</x:v>
      </x:c>
      <x:c r="AC330" s="6" t="str">
        <x:v>2025-05</x:v>
      </x:c>
      <x:c r="AD330" s="9" t="str">
        <x:v>BNPB operational disaster search table</x:v>
      </x:c>
      <x:c r="AE330" s="9" t="str">
        <x:v>https://gis.bnpb.go.id/databencana/tabel/pencarian.php</x:v>
      </x:c>
      <x:c r="AF330" s="9" t="str">
        <x:v>operational_snapshot_annual_totals_may_differ</x:v>
      </x:c>
    </x:row>
    <x:row r="331" ht="18" customHeight="1">
      <x:c r="A331" s="6" t="str">
        <x:v>34</x:v>
      </x:c>
      <x:c r="B331" s="6" t="str">
        <x:v>DI YOGYAKARTA</x:v>
      </x:c>
      <x:c r="C331" s="6" t="str">
        <x:v>2025</x:v>
      </x:c>
      <x:c r="D331" s="6" t="str">
        <x:v>6</x:v>
      </x:c>
      <x:c r="E331" s="6" t="str">
        <x:v>0</x:v>
      </x:c>
      <x:c r="F331" s="6" t="str">
        <x:v>0</x:v>
      </x:c>
      <x:c r="G331" s="6" t="str">
        <x:v>0</x:v>
      </x:c>
      <x:c r="H331" s="6" t="str">
        <x:v>0</x:v>
      </x:c>
      <x:c r="I331" s="6" t="str">
        <x:v>0</x:v>
      </x:c>
      <x:c r="J331" s="6" t="str">
        <x:v>0</x:v>
      </x:c>
      <x:c r="K331" s="6" t="str">
        <x:v>0</x:v>
      </x:c>
      <x:c r="L331" s="6" t="str">
        <x:v>0</x:v>
      </x:c>
      <x:c r="M331" s="6" t="str">
        <x:v>0</x:v>
      </x:c>
      <x:c r="N331" s="6" t="str">
        <x:v>0</x:v>
      </x:c>
      <x:c r="O331" s="6" t="str">
        <x:v>0</x:v>
      </x:c>
      <x:c r="P331" s="6" t="str">
        <x:v>0</x:v>
      </x:c>
      <x:c r="Q331" s="6" t="str"/>
      <x:c r="R331" s="6" t="str">
        <x:v>0</x:v>
      </x:c>
      <x:c r="S331" s="6" t="str"/>
      <x:c r="T331" s="6" t="str">
        <x:v>0</x:v>
      </x:c>
      <x:c r="U331" s="6" t="str"/>
      <x:c r="V331" s="6" t="str">
        <x:v>0</x:v>
      </x:c>
      <x:c r="W331" s="6" t="str"/>
      <x:c r="X331" s="6" t="str">
        <x:v>0</x:v>
      </x:c>
      <x:c r="Y331" s="6" t="str"/>
      <x:c r="Z331" s="6" t="str">
        <x:v>0</x:v>
      </x:c>
      <x:c r="AA331" s="6" t="str"/>
      <x:c r="AB331" s="6" t="str">
        <x:v>0</x:v>
      </x:c>
      <x:c r="AC331" s="6" t="str">
        <x:v>2025-06</x:v>
      </x:c>
      <x:c r="AD331" s="9" t="str">
        <x:v>BNPB operational disaster search table</x:v>
      </x:c>
      <x:c r="AE331" s="9" t="str">
        <x:v>https://gis.bnpb.go.id/databencana/tabel/pencarian.php</x:v>
      </x:c>
      <x:c r="AF331" s="9" t="str">
        <x:v>operational_snapshot_annual_totals_may_differ</x:v>
      </x:c>
    </x:row>
    <x:row r="332" ht="18" customHeight="1">
      <x:c r="A332" s="6" t="str">
        <x:v>34</x:v>
      </x:c>
      <x:c r="B332" s="6" t="str">
        <x:v>DI YOGYAKARTA</x:v>
      </x:c>
      <x:c r="C332" s="6" t="str">
        <x:v>2025</x:v>
      </x:c>
      <x:c r="D332" s="6" t="str">
        <x:v>7</x:v>
      </x:c>
      <x:c r="E332" s="6" t="str">
        <x:v>0</x:v>
      </x:c>
      <x:c r="F332" s="6" t="str">
        <x:v>0</x:v>
      </x:c>
      <x:c r="G332" s="6" t="str">
        <x:v>0</x:v>
      </x:c>
      <x:c r="H332" s="6" t="str">
        <x:v>0</x:v>
      </x:c>
      <x:c r="I332" s="6" t="str">
        <x:v>0</x:v>
      </x:c>
      <x:c r="J332" s="6" t="str">
        <x:v>0</x:v>
      </x:c>
      <x:c r="K332" s="6" t="str">
        <x:v>0</x:v>
      </x:c>
      <x:c r="L332" s="6" t="str">
        <x:v>0</x:v>
      </x:c>
      <x:c r="M332" s="6" t="str">
        <x:v>0</x:v>
      </x:c>
      <x:c r="N332" s="6" t="str">
        <x:v>0</x:v>
      </x:c>
      <x:c r="O332" s="6" t="str">
        <x:v>0</x:v>
      </x:c>
      <x:c r="P332" s="6" t="str">
        <x:v>0</x:v>
      </x:c>
      <x:c r="Q332" s="6" t="str"/>
      <x:c r="R332" s="6" t="str">
        <x:v>0</x:v>
      </x:c>
      <x:c r="S332" s="6" t="str"/>
      <x:c r="T332" s="6" t="str">
        <x:v>0</x:v>
      </x:c>
      <x:c r="U332" s="6" t="str"/>
      <x:c r="V332" s="6" t="str">
        <x:v>0</x:v>
      </x:c>
      <x:c r="W332" s="6" t="str"/>
      <x:c r="X332" s="6" t="str">
        <x:v>0</x:v>
      </x:c>
      <x:c r="Y332" s="6" t="str"/>
      <x:c r="Z332" s="6" t="str">
        <x:v>0</x:v>
      </x:c>
      <x:c r="AA332" s="6" t="str"/>
      <x:c r="AB332" s="6" t="str">
        <x:v>0</x:v>
      </x:c>
      <x:c r="AC332" s="6" t="str">
        <x:v>2025-07</x:v>
      </x:c>
      <x:c r="AD332" s="9" t="str">
        <x:v>BNPB operational disaster search table</x:v>
      </x:c>
      <x:c r="AE332" s="9" t="str">
        <x:v>https://gis.bnpb.go.id/databencana/tabel/pencarian.php</x:v>
      </x:c>
      <x:c r="AF332" s="9" t="str">
        <x:v>operational_snapshot_annual_totals_may_differ</x:v>
      </x:c>
    </x:row>
    <x:row r="333" ht="18" customHeight="1">
      <x:c r="A333" s="6" t="str">
        <x:v>34</x:v>
      </x:c>
      <x:c r="B333" s="6" t="str">
        <x:v>DI YOGYAKARTA</x:v>
      </x:c>
      <x:c r="C333" s="6" t="str">
        <x:v>2025</x:v>
      </x:c>
      <x:c r="D333" s="6" t="str">
        <x:v>8</x:v>
      </x:c>
      <x:c r="E333" s="6" t="str">
        <x:v>1</x:v>
      </x:c>
      <x:c r="F333" s="6" t="str">
        <x:v>1</x:v>
      </x:c>
      <x:c r="G333" s="6" t="str">
        <x:v>1</x:v>
      </x:c>
      <x:c r="H333" s="6" t="str">
        <x:v>0</x:v>
      </x:c>
      <x:c r="I333" s="6" t="str">
        <x:v>0</x:v>
      </x:c>
      <x:c r="J333" s="6" t="str">
        <x:v>0</x:v>
      </x:c>
      <x:c r="K333" s="6" t="str">
        <x:v>0</x:v>
      </x:c>
      <x:c r="L333" s="6" t="str">
        <x:v>0</x:v>
      </x:c>
      <x:c r="M333" s="6" t="str">
        <x:v>0</x:v>
      </x:c>
      <x:c r="N333" s="6" t="str">
        <x:v>0</x:v>
      </x:c>
      <x:c r="O333" s="6" t="str">
        <x:v>0</x:v>
      </x:c>
      <x:c r="P333" s="6" t="str">
        <x:v>1</x:v>
      </x:c>
      <x:c r="Q333" s="6" t="str"/>
      <x:c r="R333" s="6" t="str">
        <x:v>0</x:v>
      </x:c>
      <x:c r="S333" s="6" t="str"/>
      <x:c r="T333" s="6" t="str">
        <x:v>0</x:v>
      </x:c>
      <x:c r="U333" s="6" t="str"/>
      <x:c r="V333" s="6" t="str">
        <x:v>0</x:v>
      </x:c>
      <x:c r="W333" s="6" t="str">
        <x:v>0.0</x:v>
      </x:c>
      <x:c r="X333" s="6" t="str">
        <x:v>1</x:v>
      </x:c>
      <x:c r="Y333" s="6" t="str">
        <x:v>90.0</x:v>
      </x:c>
      <x:c r="Z333" s="6" t="str">
        <x:v>1</x:v>
      </x:c>
      <x:c r="AA333" s="6" t="str">
        <x:v>0.0</x:v>
      </x:c>
      <x:c r="AB333" s="6" t="str">
        <x:v>1</x:v>
      </x:c>
      <x:c r="AC333" s="6" t="str">
        <x:v>2025-08</x:v>
      </x:c>
      <x:c r="AD333" s="9" t="str">
        <x:v>BNPB operational disaster search table</x:v>
      </x:c>
      <x:c r="AE333" s="9" t="str">
        <x:v>https://gis.bnpb.go.id/databencana/tabel/pencarian.php</x:v>
      </x:c>
      <x:c r="AF333" s="9" t="str">
        <x:v>operational_snapshot_annual_totals_may_differ</x:v>
      </x:c>
    </x:row>
    <x:row r="334" ht="18" customHeight="1">
      <x:c r="A334" s="6" t="str">
        <x:v>34</x:v>
      </x:c>
      <x:c r="B334" s="6" t="str">
        <x:v>DI YOGYAKARTA</x:v>
      </x:c>
      <x:c r="C334" s="6" t="str">
        <x:v>2025</x:v>
      </x:c>
      <x:c r="D334" s="6" t="str">
        <x:v>9</x:v>
      </x:c>
      <x:c r="E334" s="6" t="str">
        <x:v>0</x:v>
      </x:c>
      <x:c r="F334" s="6" t="str">
        <x:v>0</x:v>
      </x:c>
      <x:c r="G334" s="6" t="str">
        <x:v>0</x:v>
      </x:c>
      <x:c r="H334" s="6" t="str">
        <x:v>0</x:v>
      </x:c>
      <x:c r="I334" s="6" t="str">
        <x:v>0</x:v>
      </x:c>
      <x:c r="J334" s="6" t="str">
        <x:v>0</x:v>
      </x:c>
      <x:c r="K334" s="6" t="str">
        <x:v>0</x:v>
      </x:c>
      <x:c r="L334" s="6" t="str">
        <x:v>0</x:v>
      </x:c>
      <x:c r="M334" s="6" t="str">
        <x:v>0</x:v>
      </x:c>
      <x:c r="N334" s="6" t="str">
        <x:v>0</x:v>
      </x:c>
      <x:c r="O334" s="6" t="str">
        <x:v>0</x:v>
      </x:c>
      <x:c r="P334" s="6" t="str">
        <x:v>0</x:v>
      </x:c>
      <x:c r="Q334" s="6" t="str"/>
      <x:c r="R334" s="6" t="str">
        <x:v>0</x:v>
      </x:c>
      <x:c r="S334" s="6" t="str"/>
      <x:c r="T334" s="6" t="str">
        <x:v>0</x:v>
      </x:c>
      <x:c r="U334" s="6" t="str"/>
      <x:c r="V334" s="6" t="str">
        <x:v>0</x:v>
      </x:c>
      <x:c r="W334" s="6" t="str"/>
      <x:c r="X334" s="6" t="str">
        <x:v>0</x:v>
      </x:c>
      <x:c r="Y334" s="6" t="str"/>
      <x:c r="Z334" s="6" t="str">
        <x:v>0</x:v>
      </x:c>
      <x:c r="AA334" s="6" t="str"/>
      <x:c r="AB334" s="6" t="str">
        <x:v>0</x:v>
      </x:c>
      <x:c r="AC334" s="6" t="str">
        <x:v>2025-09</x:v>
      </x:c>
      <x:c r="AD334" s="9" t="str">
        <x:v>BNPB operational disaster search table</x:v>
      </x:c>
      <x:c r="AE334" s="9" t="str">
        <x:v>https://gis.bnpb.go.id/databencana/tabel/pencarian.php</x:v>
      </x:c>
      <x:c r="AF334" s="9" t="str">
        <x:v>operational_snapshot_annual_totals_may_differ</x:v>
      </x:c>
    </x:row>
    <x:row r="335" ht="18" customHeight="1">
      <x:c r="A335" s="6" t="str">
        <x:v>34</x:v>
      </x:c>
      <x:c r="B335" s="6" t="str">
        <x:v>DI YOGYAKARTA</x:v>
      </x:c>
      <x:c r="C335" s="6" t="str">
        <x:v>2025</x:v>
      </x:c>
      <x:c r="D335" s="6" t="str">
        <x:v>10</x:v>
      </x:c>
      <x:c r="E335" s="6" t="str">
        <x:v>3</x:v>
      </x:c>
      <x:c r="F335" s="6" t="str">
        <x:v>3</x:v>
      </x:c>
      <x:c r="G335" s="6" t="str">
        <x:v>0</x:v>
      </x:c>
      <x:c r="H335" s="6" t="str">
        <x:v>0</x:v>
      </x:c>
      <x:c r="I335" s="6" t="str">
        <x:v>3</x:v>
      </x:c>
      <x:c r="J335" s="6" t="str">
        <x:v>0</x:v>
      </x:c>
      <x:c r="K335" s="6" t="str">
        <x:v>0</x:v>
      </x:c>
      <x:c r="L335" s="6" t="str">
        <x:v>0</x:v>
      </x:c>
      <x:c r="M335" s="6" t="str">
        <x:v>0</x:v>
      </x:c>
      <x:c r="N335" s="6" t="str">
        <x:v>0</x:v>
      </x:c>
      <x:c r="O335" s="6" t="str">
        <x:v>0</x:v>
      </x:c>
      <x:c r="P335" s="6" t="str">
        <x:v>3</x:v>
      </x:c>
      <x:c r="Q335" s="6" t="str"/>
      <x:c r="R335" s="6" t="str">
        <x:v>0</x:v>
      </x:c>
      <x:c r="S335" s="6" t="str"/>
      <x:c r="T335" s="6" t="str">
        <x:v>0</x:v>
      </x:c>
      <x:c r="U335" s="6" t="str">
        <x:v>9.0</x:v>
      </x:c>
      <x:c r="V335" s="6" t="str">
        <x:v>1</x:v>
      </x:c>
      <x:c r="W335" s="6" t="str">
        <x:v>6.0</x:v>
      </x:c>
      <x:c r="X335" s="6" t="str">
        <x:v>3</x:v>
      </x:c>
      <x:c r="Y335" s="6" t="str"/>
      <x:c r="Z335" s="6" t="str">
        <x:v>0</x:v>
      </x:c>
      <x:c r="AA335" s="6" t="str">
        <x:v>4.0</x:v>
      </x:c>
      <x:c r="AB335" s="6" t="str">
        <x:v>3</x:v>
      </x:c>
      <x:c r="AC335" s="6" t="str">
        <x:v>2025-10</x:v>
      </x:c>
      <x:c r="AD335" s="9" t="str">
        <x:v>BNPB operational disaster search table</x:v>
      </x:c>
      <x:c r="AE335" s="9" t="str">
        <x:v>https://gis.bnpb.go.id/databencana/tabel/pencarian.php</x:v>
      </x:c>
      <x:c r="AF335" s="9" t="str">
        <x:v>operational_snapshot_annual_totals_may_differ</x:v>
      </x:c>
    </x:row>
    <x:row r="336" ht="18" customHeight="1">
      <x:c r="A336" s="6" t="str">
        <x:v>34</x:v>
      </x:c>
      <x:c r="B336" s="6" t="str">
        <x:v>DI YOGYAKARTA</x:v>
      </x:c>
      <x:c r="C336" s="6" t="str">
        <x:v>2025</x:v>
      </x:c>
      <x:c r="D336" s="6" t="str">
        <x:v>11</x:v>
      </x:c>
      <x:c r="E336" s="6" t="str">
        <x:v>1</x:v>
      </x:c>
      <x:c r="F336" s="6" t="str">
        <x:v>1</x:v>
      </x:c>
      <x:c r="G336" s="6" t="str">
        <x:v>0</x:v>
      </x:c>
      <x:c r="H336" s="6" t="str">
        <x:v>0</x:v>
      </x:c>
      <x:c r="I336" s="6" t="str">
        <x:v>1</x:v>
      </x:c>
      <x:c r="J336" s="6" t="str">
        <x:v>0</x:v>
      </x:c>
      <x:c r="K336" s="6" t="str">
        <x:v>0</x:v>
      </x:c>
      <x:c r="L336" s="6" t="str">
        <x:v>0</x:v>
      </x:c>
      <x:c r="M336" s="6" t="str">
        <x:v>0</x:v>
      </x:c>
      <x:c r="N336" s="6" t="str">
        <x:v>0</x:v>
      </x:c>
      <x:c r="O336" s="6" t="str">
        <x:v>0</x:v>
      </x:c>
      <x:c r="P336" s="6" t="str">
        <x:v>1</x:v>
      </x:c>
      <x:c r="Q336" s="6" t="str">
        <x:v>2.0</x:v>
      </x:c>
      <x:c r="R336" s="6" t="str">
        <x:v>1</x:v>
      </x:c>
      <x:c r="S336" s="6" t="str"/>
      <x:c r="T336" s="6" t="str">
        <x:v>0</x:v>
      </x:c>
      <x:c r="U336" s="6" t="str"/>
      <x:c r="V336" s="6" t="str">
        <x:v>0</x:v>
      </x:c>
      <x:c r="W336" s="6" t="str">
        <x:v>0.0</x:v>
      </x:c>
      <x:c r="X336" s="6" t="str">
        <x:v>1</x:v>
      </x:c>
      <x:c r="Y336" s="6" t="str"/>
      <x:c r="Z336" s="6" t="str">
        <x:v>0</x:v>
      </x:c>
      <x:c r="AA336" s="6" t="str">
        <x:v>0.0</x:v>
      </x:c>
      <x:c r="AB336" s="6" t="str">
        <x:v>1</x:v>
      </x:c>
      <x:c r="AC336" s="6" t="str">
        <x:v>2025-11</x:v>
      </x:c>
      <x:c r="AD336" s="9" t="str">
        <x:v>BNPB operational disaster search table</x:v>
      </x:c>
      <x:c r="AE336" s="9" t="str">
        <x:v>https://gis.bnpb.go.id/databencana/tabel/pencarian.php</x:v>
      </x:c>
      <x:c r="AF336" s="9" t="str">
        <x:v>operational_snapshot_annual_totals_may_differ</x:v>
      </x:c>
    </x:row>
    <x:row r="337" ht="18" customHeight="1">
      <x:c r="A337" s="6" t="str">
        <x:v>34</x:v>
      </x:c>
      <x:c r="B337" s="6" t="str">
        <x:v>DI YOGYAKARTA</x:v>
      </x:c>
      <x:c r="C337" s="6" t="str">
        <x:v>2025</x:v>
      </x:c>
      <x:c r="D337" s="6" t="str">
        <x:v>12</x:v>
      </x:c>
      <x:c r="E337" s="6" t="str">
        <x:v>1</x:v>
      </x:c>
      <x:c r="F337" s="6" t="str">
        <x:v>1</x:v>
      </x:c>
      <x:c r="G337" s="6" t="str">
        <x:v>0</x:v>
      </x:c>
      <x:c r="H337" s="6" t="str">
        <x:v>0</x:v>
      </x:c>
      <x:c r="I337" s="6" t="str">
        <x:v>1</x:v>
      </x:c>
      <x:c r="J337" s="6" t="str">
        <x:v>0</x:v>
      </x:c>
      <x:c r="K337" s="6" t="str">
        <x:v>0</x:v>
      </x:c>
      <x:c r="L337" s="6" t="str">
        <x:v>0</x:v>
      </x:c>
      <x:c r="M337" s="6" t="str">
        <x:v>0</x:v>
      </x:c>
      <x:c r="N337" s="6" t="str">
        <x:v>0</x:v>
      </x:c>
      <x:c r="O337" s="6" t="str">
        <x:v>0</x:v>
      </x:c>
      <x:c r="P337" s="6" t="str">
        <x:v>1</x:v>
      </x:c>
      <x:c r="Q337" s="6" t="str"/>
      <x:c r="R337" s="6" t="str">
        <x:v>0</x:v>
      </x:c>
      <x:c r="S337" s="6" t="str"/>
      <x:c r="T337" s="6" t="str">
        <x:v>0</x:v>
      </x:c>
      <x:c r="U337" s="6" t="str"/>
      <x:c r="V337" s="6" t="str">
        <x:v>0</x:v>
      </x:c>
      <x:c r="W337" s="6" t="str">
        <x:v>0.0</x:v>
      </x:c>
      <x:c r="X337" s="6" t="str">
        <x:v>1</x:v>
      </x:c>
      <x:c r="Y337" s="6" t="str"/>
      <x:c r="Z337" s="6" t="str">
        <x:v>0</x:v>
      </x:c>
      <x:c r="AA337" s="6" t="str">
        <x:v>0.0</x:v>
      </x:c>
      <x:c r="AB337" s="6" t="str">
        <x:v>1</x:v>
      </x:c>
      <x:c r="AC337" s="6" t="str">
        <x:v>2025-12</x:v>
      </x:c>
      <x:c r="AD337" s="9" t="str">
        <x:v>BNPB operational disaster search table</x:v>
      </x:c>
      <x:c r="AE337" s="9" t="str">
        <x:v>https://gis.bnpb.go.id/databencana/tabel/pencarian.php</x:v>
      </x:c>
      <x:c r="AF337" s="9" t="str">
        <x:v>operational_snapshot_annual_totals_may_differ</x:v>
      </x:c>
    </x:row>
    <x:row r="338" ht="18" customHeight="1">
      <x:c r="A338" s="6" t="str">
        <x:v>35</x:v>
      </x:c>
      <x:c r="B338" s="6" t="str">
        <x:v>JAWA TIMUR</x:v>
      </x:c>
      <x:c r="C338" s="6" t="str">
        <x:v>2024</x:v>
      </x:c>
      <x:c r="D338" s="6" t="str">
        <x:v>1</x:v>
      </x:c>
      <x:c r="E338" s="6" t="str">
        <x:v>45</x:v>
      </x:c>
      <x:c r="F338" s="6" t="str">
        <x:v>45</x:v>
      </x:c>
      <x:c r="G338" s="6" t="str">
        <x:v>9</x:v>
      </x:c>
      <x:c r="H338" s="6" t="str">
        <x:v>1</x:v>
      </x:c>
      <x:c r="I338" s="6" t="str">
        <x:v>35</x:v>
      </x:c>
      <x:c r="J338" s="6" t="str">
        <x:v>0</x:v>
      </x:c>
      <x:c r="K338" s="6" t="str">
        <x:v>0</x:v>
      </x:c>
      <x:c r="L338" s="6" t="str">
        <x:v>0</x:v>
      </x:c>
      <x:c r="M338" s="6" t="str">
        <x:v>0</x:v>
      </x:c>
      <x:c r="N338" s="6" t="str">
        <x:v>0</x:v>
      </x:c>
      <x:c r="O338" s="6" t="str">
        <x:v>0</x:v>
      </x:c>
      <x:c r="P338" s="6" t="str">
        <x:v>45</x:v>
      </x:c>
      <x:c r="Q338" s="6" t="str">
        <x:v>3.0</x:v>
      </x:c>
      <x:c r="R338" s="6" t="str">
        <x:v>45</x:v>
      </x:c>
      <x:c r="S338" s="6" t="str">
        <x:v>0.0</x:v>
      </x:c>
      <x:c r="T338" s="6" t="str">
        <x:v>45</x:v>
      </x:c>
      <x:c r="U338" s="6" t="str">
        <x:v>23.0</x:v>
      </x:c>
      <x:c r="V338" s="6" t="str">
        <x:v>45</x:v>
      </x:c>
      <x:c r="W338" s="6" t="str">
        <x:v>1132.0</x:v>
      </x:c>
      <x:c r="X338" s="6" t="str">
        <x:v>45</x:v>
      </x:c>
      <x:c r="Y338" s="6" t="str">
        <x:v>997.0</x:v>
      </x:c>
      <x:c r="Z338" s="6" t="str">
        <x:v>6</x:v>
      </x:c>
      <x:c r="AA338" s="6" t="str">
        <x:v>10.0</x:v>
      </x:c>
      <x:c r="AB338" s="6" t="str">
        <x:v>45</x:v>
      </x:c>
      <x:c r="AC338" s="6" t="str">
        <x:v>2024-01</x:v>
      </x:c>
      <x:c r="AD338" s="9" t="str">
        <x:v>BNPB operational disaster search table</x:v>
      </x:c>
      <x:c r="AE338" s="9" t="str">
        <x:v>https://gis.bnpb.go.id/databencana/tabel/pencarian.php</x:v>
      </x:c>
      <x:c r="AF338" s="9" t="str">
        <x:v>operational_snapshot_annual_totals_may_differ</x:v>
      </x:c>
    </x:row>
    <x:row r="339" ht="18" customHeight="1">
      <x:c r="A339" s="6" t="str">
        <x:v>35</x:v>
      </x:c>
      <x:c r="B339" s="6" t="str">
        <x:v>JAWA TIMUR</x:v>
      </x:c>
      <x:c r="C339" s="6" t="str">
        <x:v>2024</x:v>
      </x:c>
      <x:c r="D339" s="6" t="str">
        <x:v>2</x:v>
      </x:c>
      <x:c r="E339" s="6" t="str">
        <x:v>44</x:v>
      </x:c>
      <x:c r="F339" s="6" t="str">
        <x:v>44</x:v>
      </x:c>
      <x:c r="G339" s="6" t="str">
        <x:v>26</x:v>
      </x:c>
      <x:c r="H339" s="6" t="str">
        <x:v>0</x:v>
      </x:c>
      <x:c r="I339" s="6" t="str">
        <x:v>17</x:v>
      </x:c>
      <x:c r="J339" s="6" t="str">
        <x:v>0</x:v>
      </x:c>
      <x:c r="K339" s="6" t="str">
        <x:v>1</x:v>
      </x:c>
      <x:c r="L339" s="6" t="str">
        <x:v>0</x:v>
      </x:c>
      <x:c r="M339" s="6" t="str">
        <x:v>0</x:v>
      </x:c>
      <x:c r="N339" s="6" t="str">
        <x:v>0</x:v>
      </x:c>
      <x:c r="O339" s="6" t="str">
        <x:v>0</x:v>
      </x:c>
      <x:c r="P339" s="6" t="str">
        <x:v>44</x:v>
      </x:c>
      <x:c r="Q339" s="6" t="str">
        <x:v>1.0</x:v>
      </x:c>
      <x:c r="R339" s="6" t="str">
        <x:v>44</x:v>
      </x:c>
      <x:c r="S339" s="6" t="str">
        <x:v>0.0</x:v>
      </x:c>
      <x:c r="T339" s="6" t="str">
        <x:v>44</x:v>
      </x:c>
      <x:c r="U339" s="6" t="str">
        <x:v>4.0</x:v>
      </x:c>
      <x:c r="V339" s="6" t="str">
        <x:v>44</x:v>
      </x:c>
      <x:c r="W339" s="6" t="str">
        <x:v>1048.0</x:v>
      </x:c>
      <x:c r="X339" s="6" t="str">
        <x:v>44</x:v>
      </x:c>
      <x:c r="Y339" s="6" t="str">
        <x:v>10681.0</x:v>
      </x:c>
      <x:c r="Z339" s="6" t="str">
        <x:v>18</x:v>
      </x:c>
      <x:c r="AA339" s="6" t="str">
        <x:v>13.0</x:v>
      </x:c>
      <x:c r="AB339" s="6" t="str">
        <x:v>44</x:v>
      </x:c>
      <x:c r="AC339" s="6" t="str">
        <x:v>2024-02</x:v>
      </x:c>
      <x:c r="AD339" s="9" t="str">
        <x:v>BNPB operational disaster search table</x:v>
      </x:c>
      <x:c r="AE339" s="9" t="str">
        <x:v>https://gis.bnpb.go.id/databencana/tabel/pencarian.php</x:v>
      </x:c>
      <x:c r="AF339" s="9" t="str">
        <x:v>operational_snapshot_annual_totals_may_differ</x:v>
      </x:c>
    </x:row>
    <x:row r="340" ht="18" customHeight="1">
      <x:c r="A340" s="6" t="str">
        <x:v>35</x:v>
      </x:c>
      <x:c r="B340" s="6" t="str">
        <x:v>JAWA TIMUR</x:v>
      </x:c>
      <x:c r="C340" s="6" t="str">
        <x:v>2024</x:v>
      </x:c>
      <x:c r="D340" s="6" t="str">
        <x:v>3</x:v>
      </x:c>
      <x:c r="E340" s="6" t="str">
        <x:v>45</x:v>
      </x:c>
      <x:c r="F340" s="6" t="str">
        <x:v>45</x:v>
      </x:c>
      <x:c r="G340" s="6" t="str">
        <x:v>28</x:v>
      </x:c>
      <x:c r="H340" s="6" t="str">
        <x:v>3</x:v>
      </x:c>
      <x:c r="I340" s="6" t="str">
        <x:v>7</x:v>
      </x:c>
      <x:c r="J340" s="6" t="str">
        <x:v>0</x:v>
      </x:c>
      <x:c r="K340" s="6" t="str">
        <x:v>0</x:v>
      </x:c>
      <x:c r="L340" s="6" t="str">
        <x:v>0</x:v>
      </x:c>
      <x:c r="M340" s="6" t="str">
        <x:v>7</x:v>
      </x:c>
      <x:c r="N340" s="6" t="str">
        <x:v>0</x:v>
      </x:c>
      <x:c r="O340" s="6" t="str">
        <x:v>0</x:v>
      </x:c>
      <x:c r="P340" s="6" t="str">
        <x:v>38</x:v>
      </x:c>
      <x:c r="Q340" s="6" t="str">
        <x:v>2.0</x:v>
      </x:c>
      <x:c r="R340" s="6" t="str">
        <x:v>45</x:v>
      </x:c>
      <x:c r="S340" s="6" t="str">
        <x:v>0.0</x:v>
      </x:c>
      <x:c r="T340" s="6" t="str">
        <x:v>45</x:v>
      </x:c>
      <x:c r="U340" s="6" t="str">
        <x:v>9.0</x:v>
      </x:c>
      <x:c r="V340" s="6" t="str">
        <x:v>45</x:v>
      </x:c>
      <x:c r="W340" s="6" t="str">
        <x:v>6584.0</x:v>
      </x:c>
      <x:c r="X340" s="6" t="str">
        <x:v>45</x:v>
      </x:c>
      <x:c r="Y340" s="6" t="str">
        <x:v>18576.0</x:v>
      </x:c>
      <x:c r="Z340" s="6" t="str">
        <x:v>23</x:v>
      </x:c>
      <x:c r="AA340" s="6" t="str">
        <x:v>339.0</x:v>
      </x:c>
      <x:c r="AB340" s="6" t="str">
        <x:v>45</x:v>
      </x:c>
      <x:c r="AC340" s="6" t="str">
        <x:v>2024-03</x:v>
      </x:c>
      <x:c r="AD340" s="9" t="str">
        <x:v>BNPB operational disaster search table</x:v>
      </x:c>
      <x:c r="AE340" s="9" t="str">
        <x:v>https://gis.bnpb.go.id/databencana/tabel/pencarian.php</x:v>
      </x:c>
      <x:c r="AF340" s="9" t="str">
        <x:v>operational_snapshot_annual_totals_may_differ</x:v>
      </x:c>
    </x:row>
    <x:row r="341" ht="18" customHeight="1">
      <x:c r="A341" s="6" t="str">
        <x:v>35</x:v>
      </x:c>
      <x:c r="B341" s="6" t="str">
        <x:v>JAWA TIMUR</x:v>
      </x:c>
      <x:c r="C341" s="6" t="str">
        <x:v>2024</x:v>
      </x:c>
      <x:c r="D341" s="6" t="str">
        <x:v>4</x:v>
      </x:c>
      <x:c r="E341" s="6" t="str">
        <x:v>17</x:v>
      </x:c>
      <x:c r="F341" s="6" t="str">
        <x:v>17</x:v>
      </x:c>
      <x:c r="G341" s="6" t="str">
        <x:v>10</x:v>
      </x:c>
      <x:c r="H341" s="6" t="str">
        <x:v>2</x:v>
      </x:c>
      <x:c r="I341" s="6" t="str">
        <x:v>5</x:v>
      </x:c>
      <x:c r="J341" s="6" t="str">
        <x:v>0</x:v>
      </x:c>
      <x:c r="K341" s="6" t="str">
        <x:v>0</x:v>
      </x:c>
      <x:c r="L341" s="6" t="str">
        <x:v>0</x:v>
      </x:c>
      <x:c r="M341" s="6" t="str">
        <x:v>0</x:v>
      </x:c>
      <x:c r="N341" s="6" t="str">
        <x:v>0</x:v>
      </x:c>
      <x:c r="O341" s="6" t="str">
        <x:v>0</x:v>
      </x:c>
      <x:c r="P341" s="6" t="str">
        <x:v>17</x:v>
      </x:c>
      <x:c r="Q341" s="6" t="str">
        <x:v>7.0</x:v>
      </x:c>
      <x:c r="R341" s="6" t="str">
        <x:v>17</x:v>
      </x:c>
      <x:c r="S341" s="6" t="str">
        <x:v>0.0</x:v>
      </x:c>
      <x:c r="T341" s="6" t="str">
        <x:v>17</x:v>
      </x:c>
      <x:c r="U341" s="6" t="str">
        <x:v>2.0</x:v>
      </x:c>
      <x:c r="V341" s="6" t="str">
        <x:v>17</x:v>
      </x:c>
      <x:c r="W341" s="6" t="str">
        <x:v>139.0</x:v>
      </x:c>
      <x:c r="X341" s="6" t="str">
        <x:v>17</x:v>
      </x:c>
      <x:c r="Y341" s="6" t="str">
        <x:v>2447.0</x:v>
      </x:c>
      <x:c r="Z341" s="6" t="str">
        <x:v>9</x:v>
      </x:c>
      <x:c r="AA341" s="6" t="str">
        <x:v>24.0</x:v>
      </x:c>
      <x:c r="AB341" s="6" t="str">
        <x:v>17</x:v>
      </x:c>
      <x:c r="AC341" s="6" t="str">
        <x:v>2024-04</x:v>
      </x:c>
      <x:c r="AD341" s="9" t="str">
        <x:v>BNPB operational disaster search table</x:v>
      </x:c>
      <x:c r="AE341" s="9" t="str">
        <x:v>https://gis.bnpb.go.id/databencana/tabel/pencarian.php</x:v>
      </x:c>
      <x:c r="AF341" s="9" t="str">
        <x:v>operational_snapshot_annual_totals_may_differ</x:v>
      </x:c>
    </x:row>
    <x:row r="342" ht="18" customHeight="1">
      <x:c r="A342" s="6" t="str">
        <x:v>35</x:v>
      </x:c>
      <x:c r="B342" s="6" t="str">
        <x:v>JAWA TIMUR</x:v>
      </x:c>
      <x:c r="C342" s="6" t="str">
        <x:v>2024</x:v>
      </x:c>
      <x:c r="D342" s="6" t="str">
        <x:v>5</x:v>
      </x:c>
      <x:c r="E342" s="6" t="str">
        <x:v>2</x:v>
      </x:c>
      <x:c r="F342" s="6" t="str">
        <x:v>2</x:v>
      </x:c>
      <x:c r="G342" s="6" t="str">
        <x:v>0</x:v>
      </x:c>
      <x:c r="H342" s="6" t="str">
        <x:v>0</x:v>
      </x:c>
      <x:c r="I342" s="6" t="str">
        <x:v>0</x:v>
      </x:c>
      <x:c r="J342" s="6" t="str">
        <x:v>1</x:v>
      </x:c>
      <x:c r="K342" s="6" t="str">
        <x:v>1</x:v>
      </x:c>
      <x:c r="L342" s="6" t="str">
        <x:v>0</x:v>
      </x:c>
      <x:c r="M342" s="6" t="str">
        <x:v>0</x:v>
      </x:c>
      <x:c r="N342" s="6" t="str">
        <x:v>0</x:v>
      </x:c>
      <x:c r="O342" s="6" t="str">
        <x:v>0</x:v>
      </x:c>
      <x:c r="P342" s="6" t="str">
        <x:v>2</x:v>
      </x:c>
      <x:c r="Q342" s="6" t="str">
        <x:v>0.0</x:v>
      </x:c>
      <x:c r="R342" s="6" t="str">
        <x:v>2</x:v>
      </x:c>
      <x:c r="S342" s="6" t="str">
        <x:v>0.0</x:v>
      </x:c>
      <x:c r="T342" s="6" t="str">
        <x:v>2</x:v>
      </x:c>
      <x:c r="U342" s="6" t="str">
        <x:v>0.0</x:v>
      </x:c>
      <x:c r="V342" s="6" t="str">
        <x:v>2</x:v>
      </x:c>
      <x:c r="W342" s="6" t="str">
        <x:v>0.0</x:v>
      </x:c>
      <x:c r="X342" s="6" t="str">
        <x:v>2</x:v>
      </x:c>
      <x:c r="Y342" s="6" t="str"/>
      <x:c r="Z342" s="6" t="str">
        <x:v>0</x:v>
      </x:c>
      <x:c r="AA342" s="6" t="str">
        <x:v>0.0</x:v>
      </x:c>
      <x:c r="AB342" s="6" t="str">
        <x:v>2</x:v>
      </x:c>
      <x:c r="AC342" s="6" t="str">
        <x:v>2024-05</x:v>
      </x:c>
      <x:c r="AD342" s="9" t="str">
        <x:v>BNPB operational disaster search table</x:v>
      </x:c>
      <x:c r="AE342" s="9" t="str">
        <x:v>https://gis.bnpb.go.id/databencana/tabel/pencarian.php</x:v>
      </x:c>
      <x:c r="AF342" s="9" t="str">
        <x:v>operational_snapshot_annual_totals_may_differ</x:v>
      </x:c>
    </x:row>
    <x:row r="343" ht="18" customHeight="1">
      <x:c r="A343" s="6" t="str">
        <x:v>35</x:v>
      </x:c>
      <x:c r="B343" s="6" t="str">
        <x:v>JAWA TIMUR</x:v>
      </x:c>
      <x:c r="C343" s="6" t="str">
        <x:v>2024</x:v>
      </x:c>
      <x:c r="D343" s="6" t="str">
        <x:v>6</x:v>
      </x:c>
      <x:c r="E343" s="6" t="str">
        <x:v>10</x:v>
      </x:c>
      <x:c r="F343" s="6" t="str">
        <x:v>10</x:v>
      </x:c>
      <x:c r="G343" s="6" t="str">
        <x:v>1</x:v>
      </x:c>
      <x:c r="H343" s="6" t="str">
        <x:v>2</x:v>
      </x:c>
      <x:c r="I343" s="6" t="str">
        <x:v>4</x:v>
      </x:c>
      <x:c r="J343" s="6" t="str">
        <x:v>1</x:v>
      </x:c>
      <x:c r="K343" s="6" t="str">
        <x:v>2</x:v>
      </x:c>
      <x:c r="L343" s="6" t="str">
        <x:v>0</x:v>
      </x:c>
      <x:c r="M343" s="6" t="str">
        <x:v>0</x:v>
      </x:c>
      <x:c r="N343" s="6" t="str">
        <x:v>0</x:v>
      </x:c>
      <x:c r="O343" s="6" t="str">
        <x:v>0</x:v>
      </x:c>
      <x:c r="P343" s="6" t="str">
        <x:v>10</x:v>
      </x:c>
      <x:c r="Q343" s="6" t="str">
        <x:v>8.0</x:v>
      </x:c>
      <x:c r="R343" s="6" t="str">
        <x:v>10</x:v>
      </x:c>
      <x:c r="S343" s="6" t="str">
        <x:v>0.0</x:v>
      </x:c>
      <x:c r="T343" s="6" t="str">
        <x:v>10</x:v>
      </x:c>
      <x:c r="U343" s="6" t="str">
        <x:v>1.0</x:v>
      </x:c>
      <x:c r="V343" s="6" t="str">
        <x:v>10</x:v>
      </x:c>
      <x:c r="W343" s="6" t="str">
        <x:v>120.0</x:v>
      </x:c>
      <x:c r="X343" s="6" t="str">
        <x:v>10</x:v>
      </x:c>
      <x:c r="Y343" s="6" t="str">
        <x:v>22.0</x:v>
      </x:c>
      <x:c r="Z343" s="6" t="str">
        <x:v>1</x:v>
      </x:c>
      <x:c r="AA343" s="6" t="str">
        <x:v>2.0</x:v>
      </x:c>
      <x:c r="AB343" s="6" t="str">
        <x:v>10</x:v>
      </x:c>
      <x:c r="AC343" s="6" t="str">
        <x:v>2024-06</x:v>
      </x:c>
      <x:c r="AD343" s="9" t="str">
        <x:v>BNPB operational disaster search table</x:v>
      </x:c>
      <x:c r="AE343" s="9" t="str">
        <x:v>https://gis.bnpb.go.id/databencana/tabel/pencarian.php</x:v>
      </x:c>
      <x:c r="AF343" s="9" t="str">
        <x:v>operational_snapshot_annual_totals_may_differ</x:v>
      </x:c>
    </x:row>
    <x:row r="344" ht="18" customHeight="1">
      <x:c r="A344" s="6" t="str">
        <x:v>35</x:v>
      </x:c>
      <x:c r="B344" s="6" t="str">
        <x:v>JAWA TIMUR</x:v>
      </x:c>
      <x:c r="C344" s="6" t="str">
        <x:v>2024</x:v>
      </x:c>
      <x:c r="D344" s="6" t="str">
        <x:v>7</x:v>
      </x:c>
      <x:c r="E344" s="6" t="str">
        <x:v>15</x:v>
      </x:c>
      <x:c r="F344" s="6" t="str">
        <x:v>15</x:v>
      </x:c>
      <x:c r="G344" s="6" t="str">
        <x:v>0</x:v>
      </x:c>
      <x:c r="H344" s="6" t="str">
        <x:v>0</x:v>
      </x:c>
      <x:c r="I344" s="6" t="str">
        <x:v>0</x:v>
      </x:c>
      <x:c r="J344" s="6" t="str">
        <x:v>2</x:v>
      </x:c>
      <x:c r="K344" s="6" t="str">
        <x:v>13</x:v>
      </x:c>
      <x:c r="L344" s="6" t="str">
        <x:v>0</x:v>
      </x:c>
      <x:c r="M344" s="6" t="str">
        <x:v>0</x:v>
      </x:c>
      <x:c r="N344" s="6" t="str">
        <x:v>0</x:v>
      </x:c>
      <x:c r="O344" s="6" t="str">
        <x:v>0</x:v>
      </x:c>
      <x:c r="P344" s="6" t="str">
        <x:v>15</x:v>
      </x:c>
      <x:c r="Q344" s="6" t="str">
        <x:v>0.0</x:v>
      </x:c>
      <x:c r="R344" s="6" t="str">
        <x:v>15</x:v>
      </x:c>
      <x:c r="S344" s="6" t="str">
        <x:v>0.0</x:v>
      </x:c>
      <x:c r="T344" s="6" t="str">
        <x:v>15</x:v>
      </x:c>
      <x:c r="U344" s="6" t="str">
        <x:v>0.0</x:v>
      </x:c>
      <x:c r="V344" s="6" t="str">
        <x:v>15</x:v>
      </x:c>
      <x:c r="W344" s="6" t="str">
        <x:v>0.0</x:v>
      </x:c>
      <x:c r="X344" s="6" t="str">
        <x:v>15</x:v>
      </x:c>
      <x:c r="Y344" s="6" t="str"/>
      <x:c r="Z344" s="6" t="str">
        <x:v>0</x:v>
      </x:c>
      <x:c r="AA344" s="6" t="str">
        <x:v>0.0</x:v>
      </x:c>
      <x:c r="AB344" s="6" t="str">
        <x:v>15</x:v>
      </x:c>
      <x:c r="AC344" s="6" t="str">
        <x:v>2024-07</x:v>
      </x:c>
      <x:c r="AD344" s="9" t="str">
        <x:v>BNPB operational disaster search table</x:v>
      </x:c>
      <x:c r="AE344" s="9" t="str">
        <x:v>https://gis.bnpb.go.id/databencana/tabel/pencarian.php</x:v>
      </x:c>
      <x:c r="AF344" s="9" t="str">
        <x:v>operational_snapshot_annual_totals_may_differ</x:v>
      </x:c>
    </x:row>
    <x:row r="345" ht="18" customHeight="1">
      <x:c r="A345" s="6" t="str">
        <x:v>35</x:v>
      </x:c>
      <x:c r="B345" s="6" t="str">
        <x:v>JAWA TIMUR</x:v>
      </x:c>
      <x:c r="C345" s="6" t="str">
        <x:v>2024</x:v>
      </x:c>
      <x:c r="D345" s="6" t="str">
        <x:v>8</x:v>
      </x:c>
      <x:c r="E345" s="6" t="str">
        <x:v>61</x:v>
      </x:c>
      <x:c r="F345" s="6" t="str">
        <x:v>61</x:v>
      </x:c>
      <x:c r="G345" s="6" t="str">
        <x:v>0</x:v>
      </x:c>
      <x:c r="H345" s="6" t="str">
        <x:v>0</x:v>
      </x:c>
      <x:c r="I345" s="6" t="str">
        <x:v>0</x:v>
      </x:c>
      <x:c r="J345" s="6" t="str">
        <x:v>1</x:v>
      </x:c>
      <x:c r="K345" s="6" t="str">
        <x:v>60</x:v>
      </x:c>
      <x:c r="L345" s="6" t="str">
        <x:v>0</x:v>
      </x:c>
      <x:c r="M345" s="6" t="str">
        <x:v>0</x:v>
      </x:c>
      <x:c r="N345" s="6" t="str">
        <x:v>0</x:v>
      </x:c>
      <x:c r="O345" s="6" t="str">
        <x:v>0</x:v>
      </x:c>
      <x:c r="P345" s="6" t="str">
        <x:v>61</x:v>
      </x:c>
      <x:c r="Q345" s="6" t="str">
        <x:v>0.0</x:v>
      </x:c>
      <x:c r="R345" s="6" t="str">
        <x:v>61</x:v>
      </x:c>
      <x:c r="S345" s="6" t="str">
        <x:v>0.0</x:v>
      </x:c>
      <x:c r="T345" s="6" t="str">
        <x:v>61</x:v>
      </x:c>
      <x:c r="U345" s="6" t="str">
        <x:v>0.0</x:v>
      </x:c>
      <x:c r="V345" s="6" t="str">
        <x:v>61</x:v>
      </x:c>
      <x:c r="W345" s="6" t="str">
        <x:v>0.0</x:v>
      </x:c>
      <x:c r="X345" s="6" t="str">
        <x:v>61</x:v>
      </x:c>
      <x:c r="Y345" s="6" t="str"/>
      <x:c r="Z345" s="6" t="str">
        <x:v>0</x:v>
      </x:c>
      <x:c r="AA345" s="6" t="str">
        <x:v>0.0</x:v>
      </x:c>
      <x:c r="AB345" s="6" t="str">
        <x:v>61</x:v>
      </x:c>
      <x:c r="AC345" s="6" t="str">
        <x:v>2024-08</x:v>
      </x:c>
      <x:c r="AD345" s="9" t="str">
        <x:v>BNPB operational disaster search table</x:v>
      </x:c>
      <x:c r="AE345" s="9" t="str">
        <x:v>https://gis.bnpb.go.id/databencana/tabel/pencarian.php</x:v>
      </x:c>
      <x:c r="AF345" s="9" t="str">
        <x:v>operational_snapshot_annual_totals_may_differ</x:v>
      </x:c>
    </x:row>
    <x:row r="346" ht="18" customHeight="1">
      <x:c r="A346" s="6" t="str">
        <x:v>35</x:v>
      </x:c>
      <x:c r="B346" s="6" t="str">
        <x:v>JAWA TIMUR</x:v>
      </x:c>
      <x:c r="C346" s="6" t="str">
        <x:v>2024</x:v>
      </x:c>
      <x:c r="D346" s="6" t="str">
        <x:v>9</x:v>
      </x:c>
      <x:c r="E346" s="6" t="str">
        <x:v>70</x:v>
      </x:c>
      <x:c r="F346" s="6" t="str">
        <x:v>70</x:v>
      </x:c>
      <x:c r="G346" s="6" t="str">
        <x:v>0</x:v>
      </x:c>
      <x:c r="H346" s="6" t="str">
        <x:v>0</x:v>
      </x:c>
      <x:c r="I346" s="6" t="str">
        <x:v>15</x:v>
      </x:c>
      <x:c r="J346" s="6" t="str">
        <x:v>5</x:v>
      </x:c>
      <x:c r="K346" s="6" t="str">
        <x:v>50</x:v>
      </x:c>
      <x:c r="L346" s="6" t="str">
        <x:v>0</x:v>
      </x:c>
      <x:c r="M346" s="6" t="str">
        <x:v>0</x:v>
      </x:c>
      <x:c r="N346" s="6" t="str">
        <x:v>0</x:v>
      </x:c>
      <x:c r="O346" s="6" t="str">
        <x:v>0</x:v>
      </x:c>
      <x:c r="P346" s="6" t="str">
        <x:v>70</x:v>
      </x:c>
      <x:c r="Q346" s="6" t="str">
        <x:v>2.0</x:v>
      </x:c>
      <x:c r="R346" s="6" t="str">
        <x:v>70</x:v>
      </x:c>
      <x:c r="S346" s="6" t="str">
        <x:v>0.0</x:v>
      </x:c>
      <x:c r="T346" s="6" t="str">
        <x:v>70</x:v>
      </x:c>
      <x:c r="U346" s="6" t="str">
        <x:v>8.0</x:v>
      </x:c>
      <x:c r="V346" s="6" t="str">
        <x:v>70</x:v>
      </x:c>
      <x:c r="W346" s="6" t="str">
        <x:v>324.0</x:v>
      </x:c>
      <x:c r="X346" s="6" t="str">
        <x:v>70</x:v>
      </x:c>
      <x:c r="Y346" s="6" t="str"/>
      <x:c r="Z346" s="6" t="str">
        <x:v>0</x:v>
      </x:c>
      <x:c r="AA346" s="6" t="str">
        <x:v>2.0</x:v>
      </x:c>
      <x:c r="AB346" s="6" t="str">
        <x:v>70</x:v>
      </x:c>
      <x:c r="AC346" s="6" t="str">
        <x:v>2024-09</x:v>
      </x:c>
      <x:c r="AD346" s="9" t="str">
        <x:v>BNPB operational disaster search table</x:v>
      </x:c>
      <x:c r="AE346" s="9" t="str">
        <x:v>https://gis.bnpb.go.id/databencana/tabel/pencarian.php</x:v>
      </x:c>
      <x:c r="AF346" s="9" t="str">
        <x:v>operational_snapshot_annual_totals_may_differ</x:v>
      </x:c>
    </x:row>
    <x:row r="347" ht="18" customHeight="1">
      <x:c r="A347" s="6" t="str">
        <x:v>35</x:v>
      </x:c>
      <x:c r="B347" s="6" t="str">
        <x:v>JAWA TIMUR</x:v>
      </x:c>
      <x:c r="C347" s="6" t="str">
        <x:v>2024</x:v>
      </x:c>
      <x:c r="D347" s="6" t="str">
        <x:v>10</x:v>
      </x:c>
      <x:c r="E347" s="6" t="str">
        <x:v>46</x:v>
      </x:c>
      <x:c r="F347" s="6" t="str">
        <x:v>46</x:v>
      </x:c>
      <x:c r="G347" s="6" t="str">
        <x:v>0</x:v>
      </x:c>
      <x:c r="H347" s="6" t="str">
        <x:v>0</x:v>
      </x:c>
      <x:c r="I347" s="6" t="str">
        <x:v>19</x:v>
      </x:c>
      <x:c r="J347" s="6" t="str">
        <x:v>1</x:v>
      </x:c>
      <x:c r="K347" s="6" t="str">
        <x:v>26</x:v>
      </x:c>
      <x:c r="L347" s="6" t="str">
        <x:v>0</x:v>
      </x:c>
      <x:c r="M347" s="6" t="str">
        <x:v>0</x:v>
      </x:c>
      <x:c r="N347" s="6" t="str">
        <x:v>0</x:v>
      </x:c>
      <x:c r="O347" s="6" t="str">
        <x:v>0</x:v>
      </x:c>
      <x:c r="P347" s="6" t="str">
        <x:v>46</x:v>
      </x:c>
      <x:c r="Q347" s="6" t="str">
        <x:v>0.0</x:v>
      </x:c>
      <x:c r="R347" s="6" t="str">
        <x:v>46</x:v>
      </x:c>
      <x:c r="S347" s="6" t="str">
        <x:v>0.0</x:v>
      </x:c>
      <x:c r="T347" s="6" t="str">
        <x:v>46</x:v>
      </x:c>
      <x:c r="U347" s="6" t="str">
        <x:v>5.0</x:v>
      </x:c>
      <x:c r="V347" s="6" t="str">
        <x:v>46</x:v>
      </x:c>
      <x:c r="W347" s="6" t="str">
        <x:v>603.0</x:v>
      </x:c>
      <x:c r="X347" s="6" t="str">
        <x:v>46</x:v>
      </x:c>
      <x:c r="Y347" s="6" t="str"/>
      <x:c r="Z347" s="6" t="str">
        <x:v>0</x:v>
      </x:c>
      <x:c r="AA347" s="6" t="str">
        <x:v>20.0</x:v>
      </x:c>
      <x:c r="AB347" s="6" t="str">
        <x:v>46</x:v>
      </x:c>
      <x:c r="AC347" s="6" t="str">
        <x:v>2024-10</x:v>
      </x:c>
      <x:c r="AD347" s="9" t="str">
        <x:v>BNPB operational disaster search table</x:v>
      </x:c>
      <x:c r="AE347" s="9" t="str">
        <x:v>https://gis.bnpb.go.id/databencana/tabel/pencarian.php</x:v>
      </x:c>
      <x:c r="AF347" s="9" t="str">
        <x:v>operational_snapshot_annual_totals_may_differ</x:v>
      </x:c>
    </x:row>
    <x:row r="348" ht="18" customHeight="1">
      <x:c r="A348" s="6" t="str">
        <x:v>35</x:v>
      </x:c>
      <x:c r="B348" s="6" t="str">
        <x:v>JAWA TIMUR</x:v>
      </x:c>
      <x:c r="C348" s="6" t="str">
        <x:v>2024</x:v>
      </x:c>
      <x:c r="D348" s="6" t="str">
        <x:v>11</x:v>
      </x:c>
      <x:c r="E348" s="6" t="str">
        <x:v>44</x:v>
      </x:c>
      <x:c r="F348" s="6" t="str">
        <x:v>44</x:v>
      </x:c>
      <x:c r="G348" s="6" t="str">
        <x:v>12</x:v>
      </x:c>
      <x:c r="H348" s="6" t="str">
        <x:v>2</x:v>
      </x:c>
      <x:c r="I348" s="6" t="str">
        <x:v>28</x:v>
      </x:c>
      <x:c r="J348" s="6" t="str">
        <x:v>0</x:v>
      </x:c>
      <x:c r="K348" s="6" t="str">
        <x:v>1</x:v>
      </x:c>
      <x:c r="L348" s="6" t="str">
        <x:v>0</x:v>
      </x:c>
      <x:c r="M348" s="6" t="str">
        <x:v>1</x:v>
      </x:c>
      <x:c r="N348" s="6" t="str">
        <x:v>0</x:v>
      </x:c>
      <x:c r="O348" s="6" t="str">
        <x:v>0</x:v>
      </x:c>
      <x:c r="P348" s="6" t="str">
        <x:v>43</x:v>
      </x:c>
      <x:c r="Q348" s="6" t="str">
        <x:v>3.0</x:v>
      </x:c>
      <x:c r="R348" s="6" t="str">
        <x:v>44</x:v>
      </x:c>
      <x:c r="S348" s="6" t="str">
        <x:v>0.0</x:v>
      </x:c>
      <x:c r="T348" s="6" t="str">
        <x:v>44</x:v>
      </x:c>
      <x:c r="U348" s="6" t="str">
        <x:v>2.0</x:v>
      </x:c>
      <x:c r="V348" s="6" t="str">
        <x:v>44</x:v>
      </x:c>
      <x:c r="W348" s="6" t="str">
        <x:v>872.0</x:v>
      </x:c>
      <x:c r="X348" s="6" t="str">
        <x:v>44</x:v>
      </x:c>
      <x:c r="Y348" s="6" t="str">
        <x:v>1189.0</x:v>
      </x:c>
      <x:c r="Z348" s="6" t="str">
        <x:v>10</x:v>
      </x:c>
      <x:c r="AA348" s="6" t="str">
        <x:v>18.0</x:v>
      </x:c>
      <x:c r="AB348" s="6" t="str">
        <x:v>44</x:v>
      </x:c>
      <x:c r="AC348" s="6" t="str">
        <x:v>2024-11</x:v>
      </x:c>
      <x:c r="AD348" s="9" t="str">
        <x:v>BNPB operational disaster search table</x:v>
      </x:c>
      <x:c r="AE348" s="9" t="str">
        <x:v>https://gis.bnpb.go.id/databencana/tabel/pencarian.php</x:v>
      </x:c>
      <x:c r="AF348" s="9" t="str">
        <x:v>operational_snapshot_annual_totals_may_differ</x:v>
      </x:c>
    </x:row>
    <x:row r="349" ht="18" customHeight="1">
      <x:c r="A349" s="6" t="str">
        <x:v>35</x:v>
      </x:c>
      <x:c r="B349" s="6" t="str">
        <x:v>JAWA TIMUR</x:v>
      </x:c>
      <x:c r="C349" s="6" t="str">
        <x:v>2024</x:v>
      </x:c>
      <x:c r="D349" s="6" t="str">
        <x:v>12</x:v>
      </x:c>
      <x:c r="E349" s="6" t="str">
        <x:v>62</x:v>
      </x:c>
      <x:c r="F349" s="6" t="str">
        <x:v>62</x:v>
      </x:c>
      <x:c r="G349" s="6" t="str">
        <x:v>41</x:v>
      </x:c>
      <x:c r="H349" s="6" t="str">
        <x:v>5</x:v>
      </x:c>
      <x:c r="I349" s="6" t="str">
        <x:v>16</x:v>
      </x:c>
      <x:c r="J349" s="6" t="str">
        <x:v>0</x:v>
      </x:c>
      <x:c r="K349" s="6" t="str">
        <x:v>0</x:v>
      </x:c>
      <x:c r="L349" s="6" t="str">
        <x:v>0</x:v>
      </x:c>
      <x:c r="M349" s="6" t="str">
        <x:v>0</x:v>
      </x:c>
      <x:c r="N349" s="6" t="str">
        <x:v>0</x:v>
      </x:c>
      <x:c r="O349" s="6" t="str">
        <x:v>0</x:v>
      </x:c>
      <x:c r="P349" s="6" t="str">
        <x:v>62</x:v>
      </x:c>
      <x:c r="Q349" s="6" t="str">
        <x:v>4.0</x:v>
      </x:c>
      <x:c r="R349" s="6" t="str">
        <x:v>62</x:v>
      </x:c>
      <x:c r="S349" s="6" t="str">
        <x:v>0.0</x:v>
      </x:c>
      <x:c r="T349" s="6" t="str">
        <x:v>62</x:v>
      </x:c>
      <x:c r="U349" s="6" t="str">
        <x:v>2.0</x:v>
      </x:c>
      <x:c r="V349" s="6" t="str">
        <x:v>62</x:v>
      </x:c>
      <x:c r="W349" s="6" t="str">
        <x:v>326.0</x:v>
      </x:c>
      <x:c r="X349" s="6" t="str">
        <x:v>62</x:v>
      </x:c>
      <x:c r="Y349" s="6" t="str">
        <x:v>20774.0</x:v>
      </x:c>
      <x:c r="Z349" s="6" t="str">
        <x:v>28</x:v>
      </x:c>
      <x:c r="AA349" s="6" t="str">
        <x:v>16.0</x:v>
      </x:c>
      <x:c r="AB349" s="6" t="str">
        <x:v>62</x:v>
      </x:c>
      <x:c r="AC349" s="6" t="str">
        <x:v>2024-12</x:v>
      </x:c>
      <x:c r="AD349" s="9" t="str">
        <x:v>BNPB operational disaster search table</x:v>
      </x:c>
      <x:c r="AE349" s="9" t="str">
        <x:v>https://gis.bnpb.go.id/databencana/tabel/pencarian.php</x:v>
      </x:c>
      <x:c r="AF349" s="9" t="str">
        <x:v>operational_snapshot_annual_totals_may_differ</x:v>
      </x:c>
    </x:row>
    <x:row r="350" ht="18" customHeight="1">
      <x:c r="A350" s="6" t="str">
        <x:v>35</x:v>
      </x:c>
      <x:c r="B350" s="6" t="str">
        <x:v>JAWA TIMUR</x:v>
      </x:c>
      <x:c r="C350" s="6" t="str">
        <x:v>2025</x:v>
      </x:c>
      <x:c r="D350" s="6" t="str">
        <x:v>1</x:v>
      </x:c>
      <x:c r="E350" s="6" t="str">
        <x:v>58</x:v>
      </x:c>
      <x:c r="F350" s="6" t="str">
        <x:v>58</x:v>
      </x:c>
      <x:c r="G350" s="6" t="str">
        <x:v>42</x:v>
      </x:c>
      <x:c r="H350" s="6" t="str">
        <x:v>3</x:v>
      </x:c>
      <x:c r="I350" s="6" t="str">
        <x:v>13</x:v>
      </x:c>
      <x:c r="J350" s="6" t="str">
        <x:v>0</x:v>
      </x:c>
      <x:c r="K350" s="6" t="str">
        <x:v>0</x:v>
      </x:c>
      <x:c r="L350" s="6" t="str">
        <x:v>0</x:v>
      </x:c>
      <x:c r="M350" s="6" t="str">
        <x:v>0</x:v>
      </x:c>
      <x:c r="N350" s="6" t="str">
        <x:v>0</x:v>
      </x:c>
      <x:c r="O350" s="6" t="str">
        <x:v>0</x:v>
      </x:c>
      <x:c r="P350" s="6" t="str">
        <x:v>58</x:v>
      </x:c>
      <x:c r="Q350" s="6" t="str">
        <x:v>6.0</x:v>
      </x:c>
      <x:c r="R350" s="6" t="str">
        <x:v>58</x:v>
      </x:c>
      <x:c r="S350" s="6" t="str">
        <x:v>1.0</x:v>
      </x:c>
      <x:c r="T350" s="6" t="str">
        <x:v>58</x:v>
      </x:c>
      <x:c r="U350" s="6" t="str">
        <x:v>5.0</x:v>
      </x:c>
      <x:c r="V350" s="6" t="str">
        <x:v>58</x:v>
      </x:c>
      <x:c r="W350" s="6" t="str">
        <x:v>265.0</x:v>
      </x:c>
      <x:c r="X350" s="6" t="str">
        <x:v>58</x:v>
      </x:c>
      <x:c r="Y350" s="6" t="str">
        <x:v>18246.0</x:v>
      </x:c>
      <x:c r="Z350" s="6" t="str">
        <x:v>33</x:v>
      </x:c>
      <x:c r="AA350" s="6" t="str">
        <x:v>23.0</x:v>
      </x:c>
      <x:c r="AB350" s="6" t="str">
        <x:v>58</x:v>
      </x:c>
      <x:c r="AC350" s="6" t="str">
        <x:v>2025-01</x:v>
      </x:c>
      <x:c r="AD350" s="9" t="str">
        <x:v>BNPB operational disaster search table</x:v>
      </x:c>
      <x:c r="AE350" s="9" t="str">
        <x:v>https://gis.bnpb.go.id/databencana/tabel/pencarian.php</x:v>
      </x:c>
      <x:c r="AF350" s="9" t="str">
        <x:v>operational_snapshot_annual_totals_may_differ</x:v>
      </x:c>
    </x:row>
    <x:row r="351" ht="18" customHeight="1">
      <x:c r="A351" s="6" t="str">
        <x:v>35</x:v>
      </x:c>
      <x:c r="B351" s="6" t="str">
        <x:v>JAWA TIMUR</x:v>
      </x:c>
      <x:c r="C351" s="6" t="str">
        <x:v>2025</x:v>
      </x:c>
      <x:c r="D351" s="6" t="str">
        <x:v>2</x:v>
      </x:c>
      <x:c r="E351" s="6" t="str">
        <x:v>45</x:v>
      </x:c>
      <x:c r="F351" s="6" t="str">
        <x:v>45</x:v>
      </x:c>
      <x:c r="G351" s="6" t="str">
        <x:v>21</x:v>
      </x:c>
      <x:c r="H351" s="6" t="str">
        <x:v>3</x:v>
      </x:c>
      <x:c r="I351" s="6" t="str">
        <x:v>21</x:v>
      </x:c>
      <x:c r="J351" s="6" t="str">
        <x:v>0</x:v>
      </x:c>
      <x:c r="K351" s="6" t="str">
        <x:v>0</x:v>
      </x:c>
      <x:c r="L351" s="6" t="str">
        <x:v>0</x:v>
      </x:c>
      <x:c r="M351" s="6" t="str">
        <x:v>0</x:v>
      </x:c>
      <x:c r="N351" s="6" t="str">
        <x:v>0</x:v>
      </x:c>
      <x:c r="O351" s="6" t="str">
        <x:v>0</x:v>
      </x:c>
      <x:c r="P351" s="6" t="str">
        <x:v>45</x:v>
      </x:c>
      <x:c r="Q351" s="6" t="str">
        <x:v>4.0</x:v>
      </x:c>
      <x:c r="R351" s="6" t="str">
        <x:v>45</x:v>
      </x:c>
      <x:c r="S351" s="6" t="str">
        <x:v>0.0</x:v>
      </x:c>
      <x:c r="T351" s="6" t="str">
        <x:v>45</x:v>
      </x:c>
      <x:c r="U351" s="6" t="str">
        <x:v>11.0</x:v>
      </x:c>
      <x:c r="V351" s="6" t="str">
        <x:v>45</x:v>
      </x:c>
      <x:c r="W351" s="6" t="str">
        <x:v>747.0</x:v>
      </x:c>
      <x:c r="X351" s="6" t="str">
        <x:v>45</x:v>
      </x:c>
      <x:c r="Y351" s="6" t="str">
        <x:v>16463.0</x:v>
      </x:c>
      <x:c r="Z351" s="6" t="str">
        <x:v>15</x:v>
      </x:c>
      <x:c r="AA351" s="6" t="str">
        <x:v>47.0</x:v>
      </x:c>
      <x:c r="AB351" s="6" t="str">
        <x:v>45</x:v>
      </x:c>
      <x:c r="AC351" s="6" t="str">
        <x:v>2025-02</x:v>
      </x:c>
      <x:c r="AD351" s="9" t="str">
        <x:v>BNPB operational disaster search table</x:v>
      </x:c>
      <x:c r="AE351" s="9" t="str">
        <x:v>https://gis.bnpb.go.id/databencana/tabel/pencarian.php</x:v>
      </x:c>
      <x:c r="AF351" s="9" t="str">
        <x:v>operational_snapshot_annual_totals_may_differ</x:v>
      </x:c>
    </x:row>
    <x:row r="352" ht="18" customHeight="1">
      <x:c r="A352" s="6" t="str">
        <x:v>35</x:v>
      </x:c>
      <x:c r="B352" s="6" t="str">
        <x:v>JAWA TIMUR</x:v>
      </x:c>
      <x:c r="C352" s="6" t="str">
        <x:v>2025</x:v>
      </x:c>
      <x:c r="D352" s="6" t="str">
        <x:v>3</x:v>
      </x:c>
      <x:c r="E352" s="6" t="str">
        <x:v>51</x:v>
      </x:c>
      <x:c r="F352" s="6" t="str">
        <x:v>51</x:v>
      </x:c>
      <x:c r="G352" s="6" t="str">
        <x:v>22</x:v>
      </x:c>
      <x:c r="H352" s="6" t="str">
        <x:v>1</x:v>
      </x:c>
      <x:c r="I352" s="6" t="str">
        <x:v>28</x:v>
      </x:c>
      <x:c r="J352" s="6" t="str">
        <x:v>0</x:v>
      </x:c>
      <x:c r="K352" s="6" t="str">
        <x:v>0</x:v>
      </x:c>
      <x:c r="L352" s="6" t="str">
        <x:v>0</x:v>
      </x:c>
      <x:c r="M352" s="6" t="str">
        <x:v>0</x:v>
      </x:c>
      <x:c r="N352" s="6" t="str">
        <x:v>0</x:v>
      </x:c>
      <x:c r="O352" s="6" t="str">
        <x:v>0</x:v>
      </x:c>
      <x:c r="P352" s="6" t="str">
        <x:v>51</x:v>
      </x:c>
      <x:c r="Q352" s="6" t="str">
        <x:v>6.0</x:v>
      </x:c>
      <x:c r="R352" s="6" t="str">
        <x:v>51</x:v>
      </x:c>
      <x:c r="S352" s="6" t="str">
        <x:v>0.0</x:v>
      </x:c>
      <x:c r="T352" s="6" t="str">
        <x:v>51</x:v>
      </x:c>
      <x:c r="U352" s="6" t="str">
        <x:v>7.0</x:v>
      </x:c>
      <x:c r="V352" s="6" t="str">
        <x:v>51</x:v>
      </x:c>
      <x:c r="W352" s="6" t="str">
        <x:v>399.0</x:v>
      </x:c>
      <x:c r="X352" s="6" t="str">
        <x:v>51</x:v>
      </x:c>
      <x:c r="Y352" s="6" t="str">
        <x:v>5873.0</x:v>
      </x:c>
      <x:c r="Z352" s="6" t="str">
        <x:v>16</x:v>
      </x:c>
      <x:c r="AA352" s="6" t="str">
        <x:v>14.0</x:v>
      </x:c>
      <x:c r="AB352" s="6" t="str">
        <x:v>51</x:v>
      </x:c>
      <x:c r="AC352" s="6" t="str">
        <x:v>2025-03</x:v>
      </x:c>
      <x:c r="AD352" s="9" t="str">
        <x:v>BNPB operational disaster search table</x:v>
      </x:c>
      <x:c r="AE352" s="9" t="str">
        <x:v>https://gis.bnpb.go.id/databencana/tabel/pencarian.php</x:v>
      </x:c>
      <x:c r="AF352" s="9" t="str">
        <x:v>operational_snapshot_annual_totals_may_differ</x:v>
      </x:c>
    </x:row>
    <x:row r="353" ht="18" customHeight="1">
      <x:c r="A353" s="6" t="str">
        <x:v>35</x:v>
      </x:c>
      <x:c r="B353" s="6" t="str">
        <x:v>JAWA TIMUR</x:v>
      </x:c>
      <x:c r="C353" s="6" t="str">
        <x:v>2025</x:v>
      </x:c>
      <x:c r="D353" s="6" t="str">
        <x:v>4</x:v>
      </x:c>
      <x:c r="E353" s="6" t="str">
        <x:v>10</x:v>
      </x:c>
      <x:c r="F353" s="6" t="str">
        <x:v>10</x:v>
      </x:c>
      <x:c r="G353" s="6" t="str">
        <x:v>5</x:v>
      </x:c>
      <x:c r="H353" s="6" t="str">
        <x:v>2</x:v>
      </x:c>
      <x:c r="I353" s="6" t="str">
        <x:v>3</x:v>
      </x:c>
      <x:c r="J353" s="6" t="str">
        <x:v>0</x:v>
      </x:c>
      <x:c r="K353" s="6" t="str">
        <x:v>0</x:v>
      </x:c>
      <x:c r="L353" s="6" t="str">
        <x:v>0</x:v>
      </x:c>
      <x:c r="M353" s="6" t="str">
        <x:v>0</x:v>
      </x:c>
      <x:c r="N353" s="6" t="str">
        <x:v>0</x:v>
      </x:c>
      <x:c r="O353" s="6" t="str">
        <x:v>0</x:v>
      </x:c>
      <x:c r="P353" s="6" t="str">
        <x:v>10</x:v>
      </x:c>
      <x:c r="Q353" s="6" t="str">
        <x:v>10.0</x:v>
      </x:c>
      <x:c r="R353" s="6" t="str">
        <x:v>10</x:v>
      </x:c>
      <x:c r="S353" s="6" t="str">
        <x:v>0.0</x:v>
      </x:c>
      <x:c r="T353" s="6" t="str">
        <x:v>10</x:v>
      </x:c>
      <x:c r="U353" s="6" t="str">
        <x:v>4.0</x:v>
      </x:c>
      <x:c r="V353" s="6" t="str">
        <x:v>10</x:v>
      </x:c>
      <x:c r="W353" s="6" t="str">
        <x:v>57.0</x:v>
      </x:c>
      <x:c r="X353" s="6" t="str">
        <x:v>10</x:v>
      </x:c>
      <x:c r="Y353" s="6" t="str">
        <x:v>1596.0</x:v>
      </x:c>
      <x:c r="Z353" s="6" t="str">
        <x:v>4</x:v>
      </x:c>
      <x:c r="AA353" s="6" t="str">
        <x:v>2.0</x:v>
      </x:c>
      <x:c r="AB353" s="6" t="str">
        <x:v>10</x:v>
      </x:c>
      <x:c r="AC353" s="6" t="str">
        <x:v>2025-04</x:v>
      </x:c>
      <x:c r="AD353" s="9" t="str">
        <x:v>BNPB operational disaster search table</x:v>
      </x:c>
      <x:c r="AE353" s="9" t="str">
        <x:v>https://gis.bnpb.go.id/databencana/tabel/pencarian.php</x:v>
      </x:c>
      <x:c r="AF353" s="9" t="str">
        <x:v>operational_snapshot_annual_totals_may_differ</x:v>
      </x:c>
    </x:row>
    <x:row r="354" ht="18" customHeight="1">
      <x:c r="A354" s="6" t="str">
        <x:v>35</x:v>
      </x:c>
      <x:c r="B354" s="6" t="str">
        <x:v>JAWA TIMUR</x:v>
      </x:c>
      <x:c r="C354" s="6" t="str">
        <x:v>2025</x:v>
      </x:c>
      <x:c r="D354" s="6" t="str">
        <x:v>5</x:v>
      </x:c>
      <x:c r="E354" s="6" t="str">
        <x:v>34</x:v>
      </x:c>
      <x:c r="F354" s="6" t="str">
        <x:v>34</x:v>
      </x:c>
      <x:c r="G354" s="6" t="str">
        <x:v>29</x:v>
      </x:c>
      <x:c r="H354" s="6" t="str">
        <x:v>2</x:v>
      </x:c>
      <x:c r="I354" s="6" t="str">
        <x:v>3</x:v>
      </x:c>
      <x:c r="J354" s="6" t="str">
        <x:v>0</x:v>
      </x:c>
      <x:c r="K354" s="6" t="str">
        <x:v>0</x:v>
      </x:c>
      <x:c r="L354" s="6" t="str">
        <x:v>0</x:v>
      </x:c>
      <x:c r="M354" s="6" t="str">
        <x:v>0</x:v>
      </x:c>
      <x:c r="N354" s="6" t="str">
        <x:v>0</x:v>
      </x:c>
      <x:c r="O354" s="6" t="str">
        <x:v>0</x:v>
      </x:c>
      <x:c r="P354" s="6" t="str">
        <x:v>34</x:v>
      </x:c>
      <x:c r="Q354" s="6" t="str">
        <x:v>10.0</x:v>
      </x:c>
      <x:c r="R354" s="6" t="str">
        <x:v>34</x:v>
      </x:c>
      <x:c r="S354" s="6" t="str">
        <x:v>0.0</x:v>
      </x:c>
      <x:c r="T354" s="6" t="str">
        <x:v>34</x:v>
      </x:c>
      <x:c r="U354" s="6" t="str">
        <x:v>1.0</x:v>
      </x:c>
      <x:c r="V354" s="6" t="str">
        <x:v>34</x:v>
      </x:c>
      <x:c r="W354" s="6" t="str">
        <x:v>108.0</x:v>
      </x:c>
      <x:c r="X354" s="6" t="str">
        <x:v>34</x:v>
      </x:c>
      <x:c r="Y354" s="6" t="str">
        <x:v>8344.0</x:v>
      </x:c>
      <x:c r="Z354" s="6" t="str">
        <x:v>25</x:v>
      </x:c>
      <x:c r="AA354" s="6" t="str">
        <x:v>1.0</x:v>
      </x:c>
      <x:c r="AB354" s="6" t="str">
        <x:v>34</x:v>
      </x:c>
      <x:c r="AC354" s="6" t="str">
        <x:v>2025-05</x:v>
      </x:c>
      <x:c r="AD354" s="9" t="str">
        <x:v>BNPB operational disaster search table</x:v>
      </x:c>
      <x:c r="AE354" s="9" t="str">
        <x:v>https://gis.bnpb.go.id/databencana/tabel/pencarian.php</x:v>
      </x:c>
      <x:c r="AF354" s="9" t="str">
        <x:v>operational_snapshot_annual_totals_may_differ</x:v>
      </x:c>
    </x:row>
    <x:row r="355" ht="18" customHeight="1">
      <x:c r="A355" s="6" t="str">
        <x:v>35</x:v>
      </x:c>
      <x:c r="B355" s="6" t="str">
        <x:v>JAWA TIMUR</x:v>
      </x:c>
      <x:c r="C355" s="6" t="str">
        <x:v>2025</x:v>
      </x:c>
      <x:c r="D355" s="6" t="str">
        <x:v>6</x:v>
      </x:c>
      <x:c r="E355" s="6" t="str">
        <x:v>9</x:v>
      </x:c>
      <x:c r="F355" s="6" t="str">
        <x:v>9</x:v>
      </x:c>
      <x:c r="G355" s="6" t="str">
        <x:v>5</x:v>
      </x:c>
      <x:c r="H355" s="6" t="str">
        <x:v>1</x:v>
      </x:c>
      <x:c r="I355" s="6" t="str">
        <x:v>3</x:v>
      </x:c>
      <x:c r="J355" s="6" t="str">
        <x:v>0</x:v>
      </x:c>
      <x:c r="K355" s="6" t="str">
        <x:v>0</x:v>
      </x:c>
      <x:c r="L355" s="6" t="str">
        <x:v>0</x:v>
      </x:c>
      <x:c r="M355" s="6" t="str">
        <x:v>0</x:v>
      </x:c>
      <x:c r="N355" s="6" t="str">
        <x:v>0</x:v>
      </x:c>
      <x:c r="O355" s="6" t="str">
        <x:v>0</x:v>
      </x:c>
      <x:c r="P355" s="6" t="str">
        <x:v>9</x:v>
      </x:c>
      <x:c r="Q355" s="6" t="str">
        <x:v>1.0</x:v>
      </x:c>
      <x:c r="R355" s="6" t="str">
        <x:v>1</x:v>
      </x:c>
      <x:c r="S355" s="6" t="str"/>
      <x:c r="T355" s="6" t="str">
        <x:v>0</x:v>
      </x:c>
      <x:c r="U355" s="6" t="str"/>
      <x:c r="V355" s="6" t="str">
        <x:v>0</x:v>
      </x:c>
      <x:c r="W355" s="6" t="str">
        <x:v>26.0</x:v>
      </x:c>
      <x:c r="X355" s="6" t="str">
        <x:v>9</x:v>
      </x:c>
      <x:c r="Y355" s="6" t="str">
        <x:v>6663.0</x:v>
      </x:c>
      <x:c r="Z355" s="6" t="str">
        <x:v>5</x:v>
      </x:c>
      <x:c r="AA355" s="6" t="str">
        <x:v>2.0</x:v>
      </x:c>
      <x:c r="AB355" s="6" t="str">
        <x:v>9</x:v>
      </x:c>
      <x:c r="AC355" s="6" t="str">
        <x:v>2025-06</x:v>
      </x:c>
      <x:c r="AD355" s="9" t="str">
        <x:v>BNPB operational disaster search table</x:v>
      </x:c>
      <x:c r="AE355" s="9" t="str">
        <x:v>https://gis.bnpb.go.id/databencana/tabel/pencarian.php</x:v>
      </x:c>
      <x:c r="AF355" s="9" t="str">
        <x:v>operational_snapshot_annual_totals_may_differ</x:v>
      </x:c>
    </x:row>
    <x:row r="356" ht="18" customHeight="1">
      <x:c r="A356" s="6" t="str">
        <x:v>35</x:v>
      </x:c>
      <x:c r="B356" s="6" t="str">
        <x:v>JAWA TIMUR</x:v>
      </x:c>
      <x:c r="C356" s="6" t="str">
        <x:v>2025</x:v>
      </x:c>
      <x:c r="D356" s="6" t="str">
        <x:v>7</x:v>
      </x:c>
      <x:c r="E356" s="6" t="str">
        <x:v>5</x:v>
      </x:c>
      <x:c r="F356" s="6" t="str">
        <x:v>5</x:v>
      </x:c>
      <x:c r="G356" s="6" t="str">
        <x:v>0</x:v>
      </x:c>
      <x:c r="H356" s="6" t="str">
        <x:v>0</x:v>
      </x:c>
      <x:c r="I356" s="6" t="str">
        <x:v>0</x:v>
      </x:c>
      <x:c r="J356" s="6" t="str">
        <x:v>0</x:v>
      </x:c>
      <x:c r="K356" s="6" t="str">
        <x:v>4</x:v>
      </x:c>
      <x:c r="L356" s="6" t="str">
        <x:v>0</x:v>
      </x:c>
      <x:c r="M356" s="6" t="str">
        <x:v>1</x:v>
      </x:c>
      <x:c r="N356" s="6" t="str">
        <x:v>0</x:v>
      </x:c>
      <x:c r="O356" s="6" t="str">
        <x:v>0</x:v>
      </x:c>
      <x:c r="P356" s="6" t="str">
        <x:v>4</x:v>
      </x:c>
      <x:c r="Q356" s="6" t="str"/>
      <x:c r="R356" s="6" t="str">
        <x:v>0</x:v>
      </x:c>
      <x:c r="S356" s="6" t="str"/>
      <x:c r="T356" s="6" t="str">
        <x:v>0</x:v>
      </x:c>
      <x:c r="U356" s="6" t="str"/>
      <x:c r="V356" s="6" t="str">
        <x:v>0</x:v>
      </x:c>
      <x:c r="W356" s="6" t="str">
        <x:v>16.0</x:v>
      </x:c>
      <x:c r="X356" s="6" t="str">
        <x:v>5</x:v>
      </x:c>
      <x:c r="Y356" s="6" t="str"/>
      <x:c r="Z356" s="6" t="str">
        <x:v>0</x:v>
      </x:c>
      <x:c r="AA356" s="6" t="str">
        <x:v>0.0</x:v>
      </x:c>
      <x:c r="AB356" s="6" t="str">
        <x:v>5</x:v>
      </x:c>
      <x:c r="AC356" s="6" t="str">
        <x:v>2025-07</x:v>
      </x:c>
      <x:c r="AD356" s="9" t="str">
        <x:v>BNPB operational disaster search table</x:v>
      </x:c>
      <x:c r="AE356" s="9" t="str">
        <x:v>https://gis.bnpb.go.id/databencana/tabel/pencarian.php</x:v>
      </x:c>
      <x:c r="AF356" s="9" t="str">
        <x:v>operational_snapshot_annual_totals_may_differ</x:v>
      </x:c>
    </x:row>
    <x:row r="357" ht="18" customHeight="1">
      <x:c r="A357" s="6" t="str">
        <x:v>35</x:v>
      </x:c>
      <x:c r="B357" s="6" t="str">
        <x:v>JAWA TIMUR</x:v>
      </x:c>
      <x:c r="C357" s="6" t="str">
        <x:v>2025</x:v>
      </x:c>
      <x:c r="D357" s="6" t="str">
        <x:v>8</x:v>
      </x:c>
      <x:c r="E357" s="6" t="str">
        <x:v>11</x:v>
      </x:c>
      <x:c r="F357" s="6" t="str">
        <x:v>11</x:v>
      </x:c>
      <x:c r="G357" s="6" t="str">
        <x:v>2</x:v>
      </x:c>
      <x:c r="H357" s="6" t="str">
        <x:v>1</x:v>
      </x:c>
      <x:c r="I357" s="6" t="str">
        <x:v>2</x:v>
      </x:c>
      <x:c r="J357" s="6" t="str">
        <x:v>2</x:v>
      </x:c>
      <x:c r="K357" s="6" t="str">
        <x:v>4</x:v>
      </x:c>
      <x:c r="L357" s="6" t="str">
        <x:v>0</x:v>
      </x:c>
      <x:c r="M357" s="6" t="str">
        <x:v>0</x:v>
      </x:c>
      <x:c r="N357" s="6" t="str">
        <x:v>0</x:v>
      </x:c>
      <x:c r="O357" s="6" t="str">
        <x:v>0</x:v>
      </x:c>
      <x:c r="P357" s="6" t="str">
        <x:v>11</x:v>
      </x:c>
      <x:c r="Q357" s="6" t="str"/>
      <x:c r="R357" s="6" t="str">
        <x:v>0</x:v>
      </x:c>
      <x:c r="S357" s="6" t="str"/>
      <x:c r="T357" s="6" t="str">
        <x:v>0</x:v>
      </x:c>
      <x:c r="U357" s="6" t="str"/>
      <x:c r="V357" s="6" t="str">
        <x:v>0</x:v>
      </x:c>
      <x:c r="W357" s="6" t="str">
        <x:v>29.0</x:v>
      </x:c>
      <x:c r="X357" s="6" t="str">
        <x:v>11</x:v>
      </x:c>
      <x:c r="Y357" s="6" t="str">
        <x:v>130.0</x:v>
      </x:c>
      <x:c r="Z357" s="6" t="str">
        <x:v>2</x:v>
      </x:c>
      <x:c r="AA357" s="6" t="str">
        <x:v>0.0</x:v>
      </x:c>
      <x:c r="AB357" s="6" t="str">
        <x:v>11</x:v>
      </x:c>
      <x:c r="AC357" s="6" t="str">
        <x:v>2025-08</x:v>
      </x:c>
      <x:c r="AD357" s="9" t="str">
        <x:v>BNPB operational disaster search table</x:v>
      </x:c>
      <x:c r="AE357" s="9" t="str">
        <x:v>https://gis.bnpb.go.id/databencana/tabel/pencarian.php</x:v>
      </x:c>
      <x:c r="AF357" s="9" t="str">
        <x:v>operational_snapshot_annual_totals_may_differ</x:v>
      </x:c>
    </x:row>
    <x:row r="358" ht="18" customHeight="1">
      <x:c r="A358" s="6" t="str">
        <x:v>35</x:v>
      </x:c>
      <x:c r="B358" s="6" t="str">
        <x:v>JAWA TIMUR</x:v>
      </x:c>
      <x:c r="C358" s="6" t="str">
        <x:v>2025</x:v>
      </x:c>
      <x:c r="D358" s="6" t="str">
        <x:v>9</x:v>
      </x:c>
      <x:c r="E358" s="6" t="str">
        <x:v>23</x:v>
      </x:c>
      <x:c r="F358" s="6" t="str">
        <x:v>23</x:v>
      </x:c>
      <x:c r="G358" s="6" t="str">
        <x:v>1</x:v>
      </x:c>
      <x:c r="H358" s="6" t="str">
        <x:v>1</x:v>
      </x:c>
      <x:c r="I358" s="6" t="str">
        <x:v>7</x:v>
      </x:c>
      <x:c r="J358" s="6" t="str">
        <x:v>0</x:v>
      </x:c>
      <x:c r="K358" s="6" t="str">
        <x:v>7</x:v>
      </x:c>
      <x:c r="L358" s="6" t="str">
        <x:v>0</x:v>
      </x:c>
      <x:c r="M358" s="6" t="str">
        <x:v>7</x:v>
      </x:c>
      <x:c r="N358" s="6" t="str">
        <x:v>0</x:v>
      </x:c>
      <x:c r="O358" s="6" t="str">
        <x:v>0</x:v>
      </x:c>
      <x:c r="P358" s="6" t="str">
        <x:v>16</x:v>
      </x:c>
      <x:c r="Q358" s="6" t="str">
        <x:v>1.0</x:v>
      </x:c>
      <x:c r="R358" s="6" t="str">
        <x:v>1</x:v>
      </x:c>
      <x:c r="S358" s="6" t="str"/>
      <x:c r="T358" s="6" t="str">
        <x:v>0</x:v>
      </x:c>
      <x:c r="U358" s="6" t="str">
        <x:v>5.0</x:v>
      </x:c>
      <x:c r="V358" s="6" t="str">
        <x:v>3</x:v>
      </x:c>
      <x:c r="W358" s="6" t="str">
        <x:v>837.0</x:v>
      </x:c>
      <x:c r="X358" s="6" t="str">
        <x:v>23</x:v>
      </x:c>
      <x:c r="Y358" s="6" t="str">
        <x:v>953.0</x:v>
      </x:c>
      <x:c r="Z358" s="6" t="str">
        <x:v>2</x:v>
      </x:c>
      <x:c r="AA358" s="6" t="str">
        <x:v>20.0</x:v>
      </x:c>
      <x:c r="AB358" s="6" t="str">
        <x:v>23</x:v>
      </x:c>
      <x:c r="AC358" s="6" t="str">
        <x:v>2025-09</x:v>
      </x:c>
      <x:c r="AD358" s="9" t="str">
        <x:v>BNPB operational disaster search table</x:v>
      </x:c>
      <x:c r="AE358" s="9" t="str">
        <x:v>https://gis.bnpb.go.id/databencana/tabel/pencarian.php</x:v>
      </x:c>
      <x:c r="AF358" s="9" t="str">
        <x:v>operational_snapshot_annual_totals_may_differ</x:v>
      </x:c>
    </x:row>
    <x:row r="359" ht="18" customHeight="1">
      <x:c r="A359" s="6" t="str">
        <x:v>35</x:v>
      </x:c>
      <x:c r="B359" s="6" t="str">
        <x:v>JAWA TIMUR</x:v>
      </x:c>
      <x:c r="C359" s="6" t="str">
        <x:v>2025</x:v>
      </x:c>
      <x:c r="D359" s="6" t="str">
        <x:v>10</x:v>
      </x:c>
      <x:c r="E359" s="6" t="str">
        <x:v>23</x:v>
      </x:c>
      <x:c r="F359" s="6" t="str">
        <x:v>23</x:v>
      </x:c>
      <x:c r="G359" s="6" t="str">
        <x:v>6</x:v>
      </x:c>
      <x:c r="H359" s="6" t="str">
        <x:v>0</x:v>
      </x:c>
      <x:c r="I359" s="6" t="str">
        <x:v>13</x:v>
      </x:c>
      <x:c r="J359" s="6" t="str">
        <x:v>1</x:v>
      </x:c>
      <x:c r="K359" s="6" t="str">
        <x:v>3</x:v>
      </x:c>
      <x:c r="L359" s="6" t="str">
        <x:v>0</x:v>
      </x:c>
      <x:c r="M359" s="6" t="str">
        <x:v>0</x:v>
      </x:c>
      <x:c r="N359" s="6" t="str">
        <x:v>0</x:v>
      </x:c>
      <x:c r="O359" s="6" t="str">
        <x:v>0</x:v>
      </x:c>
      <x:c r="P359" s="6" t="str">
        <x:v>23</x:v>
      </x:c>
      <x:c r="Q359" s="6" t="str">
        <x:v>2.0</x:v>
      </x:c>
      <x:c r="R359" s="6" t="str">
        <x:v>1</x:v>
      </x:c>
      <x:c r="S359" s="6" t="str"/>
      <x:c r="T359" s="6" t="str">
        <x:v>0</x:v>
      </x:c>
      <x:c r="U359" s="6" t="str">
        <x:v>7.0</x:v>
      </x:c>
      <x:c r="V359" s="6" t="str">
        <x:v>2</x:v>
      </x:c>
      <x:c r="W359" s="6" t="str">
        <x:v>766.0</x:v>
      </x:c>
      <x:c r="X359" s="6" t="str">
        <x:v>23</x:v>
      </x:c>
      <x:c r="Y359" s="6" t="str">
        <x:v>2429.0</x:v>
      </x:c>
      <x:c r="Z359" s="6" t="str">
        <x:v>6</x:v>
      </x:c>
      <x:c r="AA359" s="6" t="str">
        <x:v>8.0</x:v>
      </x:c>
      <x:c r="AB359" s="6" t="str">
        <x:v>23</x:v>
      </x:c>
      <x:c r="AC359" s="6" t="str">
        <x:v>2025-10</x:v>
      </x:c>
      <x:c r="AD359" s="9" t="str">
        <x:v>BNPB operational disaster search table</x:v>
      </x:c>
      <x:c r="AE359" s="9" t="str">
        <x:v>https://gis.bnpb.go.id/databencana/tabel/pencarian.php</x:v>
      </x:c>
      <x:c r="AF359" s="9" t="str">
        <x:v>operational_snapshot_annual_totals_may_differ</x:v>
      </x:c>
    </x:row>
    <x:row r="360" ht="18" customHeight="1">
      <x:c r="A360" s="6" t="str">
        <x:v>35</x:v>
      </x:c>
      <x:c r="B360" s="6" t="str">
        <x:v>JAWA TIMUR</x:v>
      </x:c>
      <x:c r="C360" s="6" t="str">
        <x:v>2025</x:v>
      </x:c>
      <x:c r="D360" s="6" t="str">
        <x:v>11</x:v>
      </x:c>
      <x:c r="E360" s="6" t="str">
        <x:v>36</x:v>
      </x:c>
      <x:c r="F360" s="6" t="str">
        <x:v>36</x:v>
      </x:c>
      <x:c r="G360" s="6" t="str">
        <x:v>21</x:v>
      </x:c>
      <x:c r="H360" s="6" t="str">
        <x:v>4</x:v>
      </x:c>
      <x:c r="I360" s="6" t="str">
        <x:v>9</x:v>
      </x:c>
      <x:c r="J360" s="6" t="str">
        <x:v>0</x:v>
      </x:c>
      <x:c r="K360" s="6" t="str">
        <x:v>0</x:v>
      </x:c>
      <x:c r="L360" s="6" t="str">
        <x:v>0</x:v>
      </x:c>
      <x:c r="M360" s="6" t="str">
        <x:v>0</x:v>
      </x:c>
      <x:c r="N360" s="6" t="str">
        <x:v>2</x:v>
      </x:c>
      <x:c r="O360" s="6" t="str">
        <x:v>0</x:v>
      </x:c>
      <x:c r="P360" s="6" t="str">
        <x:v>34</x:v>
      </x:c>
      <x:c r="Q360" s="6" t="str">
        <x:v>5.0</x:v>
      </x:c>
      <x:c r="R360" s="6" t="str">
        <x:v>2</x:v>
      </x:c>
      <x:c r="S360" s="6" t="str"/>
      <x:c r="T360" s="6" t="str">
        <x:v>0</x:v>
      </x:c>
      <x:c r="U360" s="6" t="str">
        <x:v>5.0</x:v>
      </x:c>
      <x:c r="V360" s="6" t="str">
        <x:v>3</x:v>
      </x:c>
      <x:c r="W360" s="6" t="str">
        <x:v>317.0</x:v>
      </x:c>
      <x:c r="X360" s="6" t="str">
        <x:v>36</x:v>
      </x:c>
      <x:c r="Y360" s="6" t="str">
        <x:v>21750.0</x:v>
      </x:c>
      <x:c r="Z360" s="6" t="str">
        <x:v>19</x:v>
      </x:c>
      <x:c r="AA360" s="6" t="str">
        <x:v>7.0</x:v>
      </x:c>
      <x:c r="AB360" s="6" t="str">
        <x:v>36</x:v>
      </x:c>
      <x:c r="AC360" s="6" t="str">
        <x:v>2025-11</x:v>
      </x:c>
      <x:c r="AD360" s="9" t="str">
        <x:v>BNPB operational disaster search table</x:v>
      </x:c>
      <x:c r="AE360" s="9" t="str">
        <x:v>https://gis.bnpb.go.id/databencana/tabel/pencarian.php</x:v>
      </x:c>
      <x:c r="AF360" s="9" t="str">
        <x:v>operational_snapshot_annual_totals_may_differ</x:v>
      </x:c>
    </x:row>
    <x:row r="361" ht="18" customHeight="1">
      <x:c r="A361" s="6" t="str">
        <x:v>35</x:v>
      </x:c>
      <x:c r="B361" s="6" t="str">
        <x:v>JAWA TIMUR</x:v>
      </x:c>
      <x:c r="C361" s="6" t="str">
        <x:v>2025</x:v>
      </x:c>
      <x:c r="D361" s="6" t="str">
        <x:v>12</x:v>
      </x:c>
      <x:c r="E361" s="6" t="str">
        <x:v>44</x:v>
      </x:c>
      <x:c r="F361" s="6" t="str">
        <x:v>44</x:v>
      </x:c>
      <x:c r="G361" s="6" t="str">
        <x:v>21</x:v>
      </x:c>
      <x:c r="H361" s="6" t="str">
        <x:v>1</x:v>
      </x:c>
      <x:c r="I361" s="6" t="str">
        <x:v>21</x:v>
      </x:c>
      <x:c r="J361" s="6" t="str">
        <x:v>0</x:v>
      </x:c>
      <x:c r="K361" s="6" t="str">
        <x:v>0</x:v>
      </x:c>
      <x:c r="L361" s="6" t="str">
        <x:v>0</x:v>
      </x:c>
      <x:c r="M361" s="6" t="str">
        <x:v>0</x:v>
      </x:c>
      <x:c r="N361" s="6" t="str">
        <x:v>1</x:v>
      </x:c>
      <x:c r="O361" s="6" t="str">
        <x:v>0</x:v>
      </x:c>
      <x:c r="P361" s="6" t="str">
        <x:v>43</x:v>
      </x:c>
      <x:c r="Q361" s="6" t="str">
        <x:v>5.0</x:v>
      </x:c>
      <x:c r="R361" s="6" t="str">
        <x:v>5</x:v>
      </x:c>
      <x:c r="S361" s="6" t="str"/>
      <x:c r="T361" s="6" t="str">
        <x:v>0</x:v>
      </x:c>
      <x:c r="U361" s="6" t="str">
        <x:v>4.0</x:v>
      </x:c>
      <x:c r="V361" s="6" t="str">
        <x:v>2</x:v>
      </x:c>
      <x:c r="W361" s="6" t="str">
        <x:v>550.0</x:v>
      </x:c>
      <x:c r="X361" s="6" t="str">
        <x:v>44</x:v>
      </x:c>
      <x:c r="Y361" s="6" t="str">
        <x:v>9718.0</x:v>
      </x:c>
      <x:c r="Z361" s="6" t="str">
        <x:v>20</x:v>
      </x:c>
      <x:c r="AA361" s="6" t="str">
        <x:v>10.0</x:v>
      </x:c>
      <x:c r="AB361" s="6" t="str">
        <x:v>44</x:v>
      </x:c>
      <x:c r="AC361" s="6" t="str">
        <x:v>2025-12</x:v>
      </x:c>
      <x:c r="AD361" s="9" t="str">
        <x:v>BNPB operational disaster search table</x:v>
      </x:c>
      <x:c r="AE361" s="9" t="str">
        <x:v>https://gis.bnpb.go.id/databencana/tabel/pencarian.php</x:v>
      </x:c>
      <x:c r="AF361" s="9" t="str">
        <x:v>operational_snapshot_annual_totals_may_differ</x:v>
      </x:c>
    </x:row>
    <x:row r="362" ht="18" customHeight="1">
      <x:c r="A362" s="6" t="str">
        <x:v>36</x:v>
      </x:c>
      <x:c r="B362" s="6" t="str">
        <x:v>BANTEN</x:v>
      </x:c>
      <x:c r="C362" s="6" t="str">
        <x:v>2024</x:v>
      </x:c>
      <x:c r="D362" s="6" t="str">
        <x:v>1</x:v>
      </x:c>
      <x:c r="E362" s="6" t="str">
        <x:v>13</x:v>
      </x:c>
      <x:c r="F362" s="6" t="str">
        <x:v>13</x:v>
      </x:c>
      <x:c r="G362" s="6" t="str">
        <x:v>7</x:v>
      </x:c>
      <x:c r="H362" s="6" t="str">
        <x:v>2</x:v>
      </x:c>
      <x:c r="I362" s="6" t="str">
        <x:v>3</x:v>
      </x:c>
      <x:c r="J362" s="6" t="str">
        <x:v>0</x:v>
      </x:c>
      <x:c r="K362" s="6" t="str">
        <x:v>0</x:v>
      </x:c>
      <x:c r="L362" s="6" t="str">
        <x:v>0</x:v>
      </x:c>
      <x:c r="M362" s="6" t="str">
        <x:v>1</x:v>
      </x:c>
      <x:c r="N362" s="6" t="str">
        <x:v>0</x:v>
      </x:c>
      <x:c r="O362" s="6" t="str">
        <x:v>0</x:v>
      </x:c>
      <x:c r="P362" s="6" t="str">
        <x:v>12</x:v>
      </x:c>
      <x:c r="Q362" s="6" t="str">
        <x:v>0.0</x:v>
      </x:c>
      <x:c r="R362" s="6" t="str">
        <x:v>13</x:v>
      </x:c>
      <x:c r="S362" s="6" t="str">
        <x:v>0.0</x:v>
      </x:c>
      <x:c r="T362" s="6" t="str">
        <x:v>13</x:v>
      </x:c>
      <x:c r="U362" s="6" t="str">
        <x:v>0.0</x:v>
      </x:c>
      <x:c r="V362" s="6" t="str">
        <x:v>13</x:v>
      </x:c>
      <x:c r="W362" s="6" t="str">
        <x:v>47.0</x:v>
      </x:c>
      <x:c r="X362" s="6" t="str">
        <x:v>13</x:v>
      </x:c>
      <x:c r="Y362" s="6" t="str">
        <x:v>1421.0</x:v>
      </x:c>
      <x:c r="Z362" s="6" t="str">
        <x:v>3</x:v>
      </x:c>
      <x:c r="AA362" s="6" t="str">
        <x:v>2.0</x:v>
      </x:c>
      <x:c r="AB362" s="6" t="str">
        <x:v>13</x:v>
      </x:c>
      <x:c r="AC362" s="6" t="str">
        <x:v>2024-01</x:v>
      </x:c>
      <x:c r="AD362" s="9" t="str">
        <x:v>BNPB operational disaster search table</x:v>
      </x:c>
      <x:c r="AE362" s="9" t="str">
        <x:v>https://gis.bnpb.go.id/databencana/tabel/pencarian.php</x:v>
      </x:c>
      <x:c r="AF362" s="9" t="str">
        <x:v>operational_snapshot_annual_totals_may_differ</x:v>
      </x:c>
    </x:row>
    <x:row r="363" ht="18" customHeight="1">
      <x:c r="A363" s="6" t="str">
        <x:v>36</x:v>
      </x:c>
      <x:c r="B363" s="6" t="str">
        <x:v>BANTEN</x:v>
      </x:c>
      <x:c r="C363" s="6" t="str">
        <x:v>2024</x:v>
      </x:c>
      <x:c r="D363" s="6" t="str">
        <x:v>2</x:v>
      </x:c>
      <x:c r="E363" s="6" t="str">
        <x:v>10</x:v>
      </x:c>
      <x:c r="F363" s="6" t="str">
        <x:v>10</x:v>
      </x:c>
      <x:c r="G363" s="6" t="str">
        <x:v>10</x:v>
      </x:c>
      <x:c r="H363" s="6" t="str">
        <x:v>0</x:v>
      </x:c>
      <x:c r="I363" s="6" t="str">
        <x:v>0</x:v>
      </x:c>
      <x:c r="J363" s="6" t="str">
        <x:v>0</x:v>
      </x:c>
      <x:c r="K363" s="6" t="str">
        <x:v>0</x:v>
      </x:c>
      <x:c r="L363" s="6" t="str">
        <x:v>0</x:v>
      </x:c>
      <x:c r="M363" s="6" t="str">
        <x:v>0</x:v>
      </x:c>
      <x:c r="N363" s="6" t="str">
        <x:v>0</x:v>
      </x:c>
      <x:c r="O363" s="6" t="str">
        <x:v>0</x:v>
      </x:c>
      <x:c r="P363" s="6" t="str">
        <x:v>10</x:v>
      </x:c>
      <x:c r="Q363" s="6" t="str">
        <x:v>0.0</x:v>
      </x:c>
      <x:c r="R363" s="6" t="str">
        <x:v>10</x:v>
      </x:c>
      <x:c r="S363" s="6" t="str">
        <x:v>0.0</x:v>
      </x:c>
      <x:c r="T363" s="6" t="str">
        <x:v>10</x:v>
      </x:c>
      <x:c r="U363" s="6" t="str">
        <x:v>0.0</x:v>
      </x:c>
      <x:c r="V363" s="6" t="str">
        <x:v>10</x:v>
      </x:c>
      <x:c r="W363" s="6" t="str">
        <x:v>0.0</x:v>
      </x:c>
      <x:c r="X363" s="6" t="str">
        <x:v>10</x:v>
      </x:c>
      <x:c r="Y363" s="6" t="str">
        <x:v>3123.0</x:v>
      </x:c>
      <x:c r="Z363" s="6" t="str">
        <x:v>7</x:v>
      </x:c>
      <x:c r="AA363" s="6" t="str">
        <x:v>0.0</x:v>
      </x:c>
      <x:c r="AB363" s="6" t="str">
        <x:v>10</x:v>
      </x:c>
      <x:c r="AC363" s="6" t="str">
        <x:v>2024-02</x:v>
      </x:c>
      <x:c r="AD363" s="9" t="str">
        <x:v>BNPB operational disaster search table</x:v>
      </x:c>
      <x:c r="AE363" s="9" t="str">
        <x:v>https://gis.bnpb.go.id/databencana/tabel/pencarian.php</x:v>
      </x:c>
      <x:c r="AF363" s="9" t="str">
        <x:v>operational_snapshot_annual_totals_may_differ</x:v>
      </x:c>
    </x:row>
    <x:row r="364" ht="18" customHeight="1">
      <x:c r="A364" s="6" t="str">
        <x:v>36</x:v>
      </x:c>
      <x:c r="B364" s="6" t="str">
        <x:v>BANTEN</x:v>
      </x:c>
      <x:c r="C364" s="6" t="str">
        <x:v>2024</x:v>
      </x:c>
      <x:c r="D364" s="6" t="str">
        <x:v>3</x:v>
      </x:c>
      <x:c r="E364" s="6" t="str">
        <x:v>10</x:v>
      </x:c>
      <x:c r="F364" s="6" t="str">
        <x:v>10</x:v>
      </x:c>
      <x:c r="G364" s="6" t="str">
        <x:v>7</x:v>
      </x:c>
      <x:c r="H364" s="6" t="str">
        <x:v>2</x:v>
      </x:c>
      <x:c r="I364" s="6" t="str">
        <x:v>1</x:v>
      </x:c>
      <x:c r="J364" s="6" t="str">
        <x:v>0</x:v>
      </x:c>
      <x:c r="K364" s="6" t="str">
        <x:v>0</x:v>
      </x:c>
      <x:c r="L364" s="6" t="str">
        <x:v>0</x:v>
      </x:c>
      <x:c r="M364" s="6" t="str">
        <x:v>0</x:v>
      </x:c>
      <x:c r="N364" s="6" t="str">
        <x:v>0</x:v>
      </x:c>
      <x:c r="O364" s="6" t="str">
        <x:v>0</x:v>
      </x:c>
      <x:c r="P364" s="6" t="str">
        <x:v>10</x:v>
      </x:c>
      <x:c r="Q364" s="6" t="str">
        <x:v>0.0</x:v>
      </x:c>
      <x:c r="R364" s="6" t="str">
        <x:v>10</x:v>
      </x:c>
      <x:c r="S364" s="6" t="str">
        <x:v>0.0</x:v>
      </x:c>
      <x:c r="T364" s="6" t="str">
        <x:v>10</x:v>
      </x:c>
      <x:c r="U364" s="6" t="str">
        <x:v>0.0</x:v>
      </x:c>
      <x:c r="V364" s="6" t="str">
        <x:v>10</x:v>
      </x:c>
      <x:c r="W364" s="6" t="str">
        <x:v>13.0</x:v>
      </x:c>
      <x:c r="X364" s="6" t="str">
        <x:v>10</x:v>
      </x:c>
      <x:c r="Y364" s="6" t="str">
        <x:v>269.0</x:v>
      </x:c>
      <x:c r="Z364" s="6" t="str">
        <x:v>3</x:v>
      </x:c>
      <x:c r="AA364" s="6" t="str">
        <x:v>0.0</x:v>
      </x:c>
      <x:c r="AB364" s="6" t="str">
        <x:v>10</x:v>
      </x:c>
      <x:c r="AC364" s="6" t="str">
        <x:v>2024-03</x:v>
      </x:c>
      <x:c r="AD364" s="9" t="str">
        <x:v>BNPB operational disaster search table</x:v>
      </x:c>
      <x:c r="AE364" s="9" t="str">
        <x:v>https://gis.bnpb.go.id/databencana/tabel/pencarian.php</x:v>
      </x:c>
      <x:c r="AF364" s="9" t="str">
        <x:v>operational_snapshot_annual_totals_may_differ</x:v>
      </x:c>
    </x:row>
    <x:row r="365" ht="18" customHeight="1">
      <x:c r="A365" s="6" t="str">
        <x:v>36</x:v>
      </x:c>
      <x:c r="B365" s="6" t="str">
        <x:v>BANTEN</x:v>
      </x:c>
      <x:c r="C365" s="6" t="str">
        <x:v>2024</x:v>
      </x:c>
      <x:c r="D365" s="6" t="str">
        <x:v>4</x:v>
      </x:c>
      <x:c r="E365" s="6" t="str">
        <x:v>13</x:v>
      </x:c>
      <x:c r="F365" s="6" t="str">
        <x:v>13</x:v>
      </x:c>
      <x:c r="G365" s="6" t="str">
        <x:v>12</x:v>
      </x:c>
      <x:c r="H365" s="6" t="str">
        <x:v>0</x:v>
      </x:c>
      <x:c r="I365" s="6" t="str">
        <x:v>1</x:v>
      </x:c>
      <x:c r="J365" s="6" t="str">
        <x:v>0</x:v>
      </x:c>
      <x:c r="K365" s="6" t="str">
        <x:v>0</x:v>
      </x:c>
      <x:c r="L365" s="6" t="str">
        <x:v>0</x:v>
      </x:c>
      <x:c r="M365" s="6" t="str">
        <x:v>0</x:v>
      </x:c>
      <x:c r="N365" s="6" t="str">
        <x:v>0</x:v>
      </x:c>
      <x:c r="O365" s="6" t="str">
        <x:v>0</x:v>
      </x:c>
      <x:c r="P365" s="6" t="str">
        <x:v>13</x:v>
      </x:c>
      <x:c r="Q365" s="6" t="str">
        <x:v>0.0</x:v>
      </x:c>
      <x:c r="R365" s="6" t="str">
        <x:v>13</x:v>
      </x:c>
      <x:c r="S365" s="6" t="str">
        <x:v>0.0</x:v>
      </x:c>
      <x:c r="T365" s="6" t="str">
        <x:v>13</x:v>
      </x:c>
      <x:c r="U365" s="6" t="str">
        <x:v>3.0</x:v>
      </x:c>
      <x:c r="V365" s="6" t="str">
        <x:v>13</x:v>
      </x:c>
      <x:c r="W365" s="6" t="str">
        <x:v>10.0</x:v>
      </x:c>
      <x:c r="X365" s="6" t="str">
        <x:v>13</x:v>
      </x:c>
      <x:c r="Y365" s="6" t="str">
        <x:v>442.0</x:v>
      </x:c>
      <x:c r="Z365" s="6" t="str">
        <x:v>5</x:v>
      </x:c>
      <x:c r="AA365" s="6" t="str">
        <x:v>0.0</x:v>
      </x:c>
      <x:c r="AB365" s="6" t="str">
        <x:v>13</x:v>
      </x:c>
      <x:c r="AC365" s="6" t="str">
        <x:v>2024-04</x:v>
      </x:c>
      <x:c r="AD365" s="9" t="str">
        <x:v>BNPB operational disaster search table</x:v>
      </x:c>
      <x:c r="AE365" s="9" t="str">
        <x:v>https://gis.bnpb.go.id/databencana/tabel/pencarian.php</x:v>
      </x:c>
      <x:c r="AF365" s="9" t="str">
        <x:v>operational_snapshot_annual_totals_may_differ</x:v>
      </x:c>
    </x:row>
    <x:row r="366" ht="18" customHeight="1">
      <x:c r="A366" s="6" t="str">
        <x:v>36</x:v>
      </x:c>
      <x:c r="B366" s="6" t="str">
        <x:v>BANTEN</x:v>
      </x:c>
      <x:c r="C366" s="6" t="str">
        <x:v>2024</x:v>
      </x:c>
      <x:c r="D366" s="6" t="str">
        <x:v>5</x:v>
      </x:c>
      <x:c r="E366" s="6" t="str">
        <x:v>6</x:v>
      </x:c>
      <x:c r="F366" s="6" t="str">
        <x:v>6</x:v>
      </x:c>
      <x:c r="G366" s="6" t="str">
        <x:v>5</x:v>
      </x:c>
      <x:c r="H366" s="6" t="str">
        <x:v>1</x:v>
      </x:c>
      <x:c r="I366" s="6" t="str">
        <x:v>0</x:v>
      </x:c>
      <x:c r="J366" s="6" t="str">
        <x:v>0</x:v>
      </x:c>
      <x:c r="K366" s="6" t="str">
        <x:v>0</x:v>
      </x:c>
      <x:c r="L366" s="6" t="str">
        <x:v>0</x:v>
      </x:c>
      <x:c r="M366" s="6" t="str">
        <x:v>0</x:v>
      </x:c>
      <x:c r="N366" s="6" t="str">
        <x:v>0</x:v>
      </x:c>
      <x:c r="O366" s="6" t="str">
        <x:v>0</x:v>
      </x:c>
      <x:c r="P366" s="6" t="str">
        <x:v>6</x:v>
      </x:c>
      <x:c r="Q366" s="6" t="str">
        <x:v>0.0</x:v>
      </x:c>
      <x:c r="R366" s="6" t="str">
        <x:v>6</x:v>
      </x:c>
      <x:c r="S366" s="6" t="str">
        <x:v>0.0</x:v>
      </x:c>
      <x:c r="T366" s="6" t="str">
        <x:v>6</x:v>
      </x:c>
      <x:c r="U366" s="6" t="str">
        <x:v>0.0</x:v>
      </x:c>
      <x:c r="V366" s="6" t="str">
        <x:v>6</x:v>
      </x:c>
      <x:c r="W366" s="6" t="str">
        <x:v>5.0</x:v>
      </x:c>
      <x:c r="X366" s="6" t="str">
        <x:v>6</x:v>
      </x:c>
      <x:c r="Y366" s="6" t="str">
        <x:v>908.0</x:v>
      </x:c>
      <x:c r="Z366" s="6" t="str">
        <x:v>3</x:v>
      </x:c>
      <x:c r="AA366" s="6" t="str">
        <x:v>0.0</x:v>
      </x:c>
      <x:c r="AB366" s="6" t="str">
        <x:v>6</x:v>
      </x:c>
      <x:c r="AC366" s="6" t="str">
        <x:v>2024-05</x:v>
      </x:c>
      <x:c r="AD366" s="9" t="str">
        <x:v>BNPB operational disaster search table</x:v>
      </x:c>
      <x:c r="AE366" s="9" t="str">
        <x:v>https://gis.bnpb.go.id/databencana/tabel/pencarian.php</x:v>
      </x:c>
      <x:c r="AF366" s="9" t="str">
        <x:v>operational_snapshot_annual_totals_may_differ</x:v>
      </x:c>
    </x:row>
    <x:row r="367" ht="18" customHeight="1">
      <x:c r="A367" s="6" t="str">
        <x:v>36</x:v>
      </x:c>
      <x:c r="B367" s="6" t="str">
        <x:v>BANTEN</x:v>
      </x:c>
      <x:c r="C367" s="6" t="str">
        <x:v>2024</x:v>
      </x:c>
      <x:c r="D367" s="6" t="str">
        <x:v>6</x:v>
      </x:c>
      <x:c r="E367" s="6" t="str">
        <x:v>2</x:v>
      </x:c>
      <x:c r="F367" s="6" t="str">
        <x:v>2</x:v>
      </x:c>
      <x:c r="G367" s="6" t="str">
        <x:v>2</x:v>
      </x:c>
      <x:c r="H367" s="6" t="str">
        <x:v>0</x:v>
      </x:c>
      <x:c r="I367" s="6" t="str">
        <x:v>0</x:v>
      </x:c>
      <x:c r="J367" s="6" t="str">
        <x:v>0</x:v>
      </x:c>
      <x:c r="K367" s="6" t="str">
        <x:v>0</x:v>
      </x:c>
      <x:c r="L367" s="6" t="str">
        <x:v>0</x:v>
      </x:c>
      <x:c r="M367" s="6" t="str">
        <x:v>0</x:v>
      </x:c>
      <x:c r="N367" s="6" t="str">
        <x:v>0</x:v>
      </x:c>
      <x:c r="O367" s="6" t="str">
        <x:v>0</x:v>
      </x:c>
      <x:c r="P367" s="6" t="str">
        <x:v>2</x:v>
      </x:c>
      <x:c r="Q367" s="6" t="str">
        <x:v>0.0</x:v>
      </x:c>
      <x:c r="R367" s="6" t="str">
        <x:v>2</x:v>
      </x:c>
      <x:c r="S367" s="6" t="str">
        <x:v>0.0</x:v>
      </x:c>
      <x:c r="T367" s="6" t="str">
        <x:v>2</x:v>
      </x:c>
      <x:c r="U367" s="6" t="str">
        <x:v>0.0</x:v>
      </x:c>
      <x:c r="V367" s="6" t="str">
        <x:v>2</x:v>
      </x:c>
      <x:c r="W367" s="6" t="str">
        <x:v>10.0</x:v>
      </x:c>
      <x:c r="X367" s="6" t="str">
        <x:v>2</x:v>
      </x:c>
      <x:c r="Y367" s="6" t="str"/>
      <x:c r="Z367" s="6" t="str">
        <x:v>0</x:v>
      </x:c>
      <x:c r="AA367" s="6" t="str">
        <x:v>0.0</x:v>
      </x:c>
      <x:c r="AB367" s="6" t="str">
        <x:v>2</x:v>
      </x:c>
      <x:c r="AC367" s="6" t="str">
        <x:v>2024-06</x:v>
      </x:c>
      <x:c r="AD367" s="9" t="str">
        <x:v>BNPB operational disaster search table</x:v>
      </x:c>
      <x:c r="AE367" s="9" t="str">
        <x:v>https://gis.bnpb.go.id/databencana/tabel/pencarian.php</x:v>
      </x:c>
      <x:c r="AF367" s="9" t="str">
        <x:v>operational_snapshot_annual_totals_may_differ</x:v>
      </x:c>
    </x:row>
    <x:row r="368" ht="18" customHeight="1">
      <x:c r="A368" s="6" t="str">
        <x:v>36</x:v>
      </x:c>
      <x:c r="B368" s="6" t="str">
        <x:v>BANTEN</x:v>
      </x:c>
      <x:c r="C368" s="6" t="str">
        <x:v>2024</x:v>
      </x:c>
      <x:c r="D368" s="6" t="str">
        <x:v>7</x:v>
      </x:c>
      <x:c r="E368" s="6" t="str">
        <x:v>4</x:v>
      </x:c>
      <x:c r="F368" s="6" t="str">
        <x:v>4</x:v>
      </x:c>
      <x:c r="G368" s="6" t="str">
        <x:v>4</x:v>
      </x:c>
      <x:c r="H368" s="6" t="str">
        <x:v>0</x:v>
      </x:c>
      <x:c r="I368" s="6" t="str">
        <x:v>0</x:v>
      </x:c>
      <x:c r="J368" s="6" t="str">
        <x:v>0</x:v>
      </x:c>
      <x:c r="K368" s="6" t="str">
        <x:v>0</x:v>
      </x:c>
      <x:c r="L368" s="6" t="str">
        <x:v>0</x:v>
      </x:c>
      <x:c r="M368" s="6" t="str">
        <x:v>0</x:v>
      </x:c>
      <x:c r="N368" s="6" t="str">
        <x:v>0</x:v>
      </x:c>
      <x:c r="O368" s="6" t="str">
        <x:v>0</x:v>
      </x:c>
      <x:c r="P368" s="6" t="str">
        <x:v>4</x:v>
      </x:c>
      <x:c r="Q368" s="6" t="str">
        <x:v>0.0</x:v>
      </x:c>
      <x:c r="R368" s="6" t="str">
        <x:v>4</x:v>
      </x:c>
      <x:c r="S368" s="6" t="str">
        <x:v>0.0</x:v>
      </x:c>
      <x:c r="T368" s="6" t="str">
        <x:v>4</x:v>
      </x:c>
      <x:c r="U368" s="6" t="str">
        <x:v>0.0</x:v>
      </x:c>
      <x:c r="V368" s="6" t="str">
        <x:v>4</x:v>
      </x:c>
      <x:c r="W368" s="6" t="str">
        <x:v>0.0</x:v>
      </x:c>
      <x:c r="X368" s="6" t="str">
        <x:v>4</x:v>
      </x:c>
      <x:c r="Y368" s="6" t="str">
        <x:v>363.0</x:v>
      </x:c>
      <x:c r="Z368" s="6" t="str">
        <x:v>3</x:v>
      </x:c>
      <x:c r="AA368" s="6" t="str">
        <x:v>0.0</x:v>
      </x:c>
      <x:c r="AB368" s="6" t="str">
        <x:v>4</x:v>
      </x:c>
      <x:c r="AC368" s="6" t="str">
        <x:v>2024-07</x:v>
      </x:c>
      <x:c r="AD368" s="9" t="str">
        <x:v>BNPB operational disaster search table</x:v>
      </x:c>
      <x:c r="AE368" s="9" t="str">
        <x:v>https://gis.bnpb.go.id/databencana/tabel/pencarian.php</x:v>
      </x:c>
      <x:c r="AF368" s="9" t="str">
        <x:v>operational_snapshot_annual_totals_may_differ</x:v>
      </x:c>
    </x:row>
    <x:row r="369" ht="18" customHeight="1">
      <x:c r="A369" s="6" t="str">
        <x:v>36</x:v>
      </x:c>
      <x:c r="B369" s="6" t="str">
        <x:v>BANTEN</x:v>
      </x:c>
      <x:c r="C369" s="6" t="str">
        <x:v>2024</x:v>
      </x:c>
      <x:c r="D369" s="6" t="str">
        <x:v>8</x:v>
      </x:c>
      <x:c r="E369" s="6" t="str">
        <x:v>2</x:v>
      </x:c>
      <x:c r="F369" s="6" t="str">
        <x:v>2</x:v>
      </x:c>
      <x:c r="G369" s="6" t="str">
        <x:v>0</x:v>
      </x:c>
      <x:c r="H369" s="6" t="str">
        <x:v>0</x:v>
      </x:c>
      <x:c r="I369" s="6" t="str">
        <x:v>0</x:v>
      </x:c>
      <x:c r="J369" s="6" t="str">
        <x:v>0</x:v>
      </x:c>
      <x:c r="K369" s="6" t="str">
        <x:v>2</x:v>
      </x:c>
      <x:c r="L369" s="6" t="str">
        <x:v>0</x:v>
      </x:c>
      <x:c r="M369" s="6" t="str">
        <x:v>0</x:v>
      </x:c>
      <x:c r="N369" s="6" t="str">
        <x:v>0</x:v>
      </x:c>
      <x:c r="O369" s="6" t="str">
        <x:v>0</x:v>
      </x:c>
      <x:c r="P369" s="6" t="str">
        <x:v>2</x:v>
      </x:c>
      <x:c r="Q369" s="6" t="str">
        <x:v>0.0</x:v>
      </x:c>
      <x:c r="R369" s="6" t="str">
        <x:v>2</x:v>
      </x:c>
      <x:c r="S369" s="6" t="str">
        <x:v>0.0</x:v>
      </x:c>
      <x:c r="T369" s="6" t="str">
        <x:v>2</x:v>
      </x:c>
      <x:c r="U369" s="6" t="str">
        <x:v>0.0</x:v>
      </x:c>
      <x:c r="V369" s="6" t="str">
        <x:v>2</x:v>
      </x:c>
      <x:c r="W369" s="6" t="str">
        <x:v>0.0</x:v>
      </x:c>
      <x:c r="X369" s="6" t="str">
        <x:v>2</x:v>
      </x:c>
      <x:c r="Y369" s="6" t="str"/>
      <x:c r="Z369" s="6" t="str">
        <x:v>0</x:v>
      </x:c>
      <x:c r="AA369" s="6" t="str">
        <x:v>0.0</x:v>
      </x:c>
      <x:c r="AB369" s="6" t="str">
        <x:v>2</x:v>
      </x:c>
      <x:c r="AC369" s="6" t="str">
        <x:v>2024-08</x:v>
      </x:c>
      <x:c r="AD369" s="9" t="str">
        <x:v>BNPB operational disaster search table</x:v>
      </x:c>
      <x:c r="AE369" s="9" t="str">
        <x:v>https://gis.bnpb.go.id/databencana/tabel/pencarian.php</x:v>
      </x:c>
      <x:c r="AF369" s="9" t="str">
        <x:v>operational_snapshot_annual_totals_may_differ</x:v>
      </x:c>
    </x:row>
    <x:row r="370" ht="18" customHeight="1">
      <x:c r="A370" s="6" t="str">
        <x:v>36</x:v>
      </x:c>
      <x:c r="B370" s="6" t="str">
        <x:v>BANTEN</x:v>
      </x:c>
      <x:c r="C370" s="6" t="str">
        <x:v>2024</x:v>
      </x:c>
      <x:c r="D370" s="6" t="str">
        <x:v>9</x:v>
      </x:c>
      <x:c r="E370" s="6" t="str">
        <x:v>4</x:v>
      </x:c>
      <x:c r="F370" s="6" t="str">
        <x:v>4</x:v>
      </x:c>
      <x:c r="G370" s="6" t="str">
        <x:v>0</x:v>
      </x:c>
      <x:c r="H370" s="6" t="str">
        <x:v>0</x:v>
      </x:c>
      <x:c r="I370" s="6" t="str">
        <x:v>2</x:v>
      </x:c>
      <x:c r="J370" s="6" t="str">
        <x:v>1</x:v>
      </x:c>
      <x:c r="K370" s="6" t="str">
        <x:v>1</x:v>
      </x:c>
      <x:c r="L370" s="6" t="str">
        <x:v>0</x:v>
      </x:c>
      <x:c r="M370" s="6" t="str">
        <x:v>0</x:v>
      </x:c>
      <x:c r="N370" s="6" t="str">
        <x:v>0</x:v>
      </x:c>
      <x:c r="O370" s="6" t="str">
        <x:v>0</x:v>
      </x:c>
      <x:c r="P370" s="6" t="str">
        <x:v>4</x:v>
      </x:c>
      <x:c r="Q370" s="6" t="str">
        <x:v>0.0</x:v>
      </x:c>
      <x:c r="R370" s="6" t="str">
        <x:v>4</x:v>
      </x:c>
      <x:c r="S370" s="6" t="str">
        <x:v>0.0</x:v>
      </x:c>
      <x:c r="T370" s="6" t="str">
        <x:v>4</x:v>
      </x:c>
      <x:c r="U370" s="6" t="str">
        <x:v>0.0</x:v>
      </x:c>
      <x:c r="V370" s="6" t="str">
        <x:v>4</x:v>
      </x:c>
      <x:c r="W370" s="6" t="str">
        <x:v>30.0</x:v>
      </x:c>
      <x:c r="X370" s="6" t="str">
        <x:v>4</x:v>
      </x:c>
      <x:c r="Y370" s="6" t="str"/>
      <x:c r="Z370" s="6" t="str">
        <x:v>0</x:v>
      </x:c>
      <x:c r="AA370" s="6" t="str">
        <x:v>0.0</x:v>
      </x:c>
      <x:c r="AB370" s="6" t="str">
        <x:v>4</x:v>
      </x:c>
      <x:c r="AC370" s="6" t="str">
        <x:v>2024-09</x:v>
      </x:c>
      <x:c r="AD370" s="9" t="str">
        <x:v>BNPB operational disaster search table</x:v>
      </x:c>
      <x:c r="AE370" s="9" t="str">
        <x:v>https://gis.bnpb.go.id/databencana/tabel/pencarian.php</x:v>
      </x:c>
      <x:c r="AF370" s="9" t="str">
        <x:v>operational_snapshot_annual_totals_may_differ</x:v>
      </x:c>
    </x:row>
    <x:row r="371" ht="18" customHeight="1">
      <x:c r="A371" s="6" t="str">
        <x:v>36</x:v>
      </x:c>
      <x:c r="B371" s="6" t="str">
        <x:v>BANTEN</x:v>
      </x:c>
      <x:c r="C371" s="6" t="str">
        <x:v>2024</x:v>
      </x:c>
      <x:c r="D371" s="6" t="str">
        <x:v>10</x:v>
      </x:c>
      <x:c r="E371" s="6" t="str">
        <x:v>3</x:v>
      </x:c>
      <x:c r="F371" s="6" t="str">
        <x:v>3</x:v>
      </x:c>
      <x:c r="G371" s="6" t="str">
        <x:v>0</x:v>
      </x:c>
      <x:c r="H371" s="6" t="str">
        <x:v>0</x:v>
      </x:c>
      <x:c r="I371" s="6" t="str">
        <x:v>2</x:v>
      </x:c>
      <x:c r="J371" s="6" t="str">
        <x:v>0</x:v>
      </x:c>
      <x:c r="K371" s="6" t="str">
        <x:v>1</x:v>
      </x:c>
      <x:c r="L371" s="6" t="str">
        <x:v>0</x:v>
      </x:c>
      <x:c r="M371" s="6" t="str">
        <x:v>0</x:v>
      </x:c>
      <x:c r="N371" s="6" t="str">
        <x:v>0</x:v>
      </x:c>
      <x:c r="O371" s="6" t="str">
        <x:v>0</x:v>
      </x:c>
      <x:c r="P371" s="6" t="str">
        <x:v>3</x:v>
      </x:c>
      <x:c r="Q371" s="6" t="str">
        <x:v>0.0</x:v>
      </x:c>
      <x:c r="R371" s="6" t="str">
        <x:v>3</x:v>
      </x:c>
      <x:c r="S371" s="6" t="str">
        <x:v>0.0</x:v>
      </x:c>
      <x:c r="T371" s="6" t="str">
        <x:v>3</x:v>
      </x:c>
      <x:c r="U371" s="6" t="str">
        <x:v>0.0</x:v>
      </x:c>
      <x:c r="V371" s="6" t="str">
        <x:v>3</x:v>
      </x:c>
      <x:c r="W371" s="6" t="str">
        <x:v>184.0</x:v>
      </x:c>
      <x:c r="X371" s="6" t="str">
        <x:v>3</x:v>
      </x:c>
      <x:c r="Y371" s="6" t="str"/>
      <x:c r="Z371" s="6" t="str">
        <x:v>0</x:v>
      </x:c>
      <x:c r="AA371" s="6" t="str">
        <x:v>0.0</x:v>
      </x:c>
      <x:c r="AB371" s="6" t="str">
        <x:v>3</x:v>
      </x:c>
      <x:c r="AC371" s="6" t="str">
        <x:v>2024-10</x:v>
      </x:c>
      <x:c r="AD371" s="9" t="str">
        <x:v>BNPB operational disaster search table</x:v>
      </x:c>
      <x:c r="AE371" s="9" t="str">
        <x:v>https://gis.bnpb.go.id/databencana/tabel/pencarian.php</x:v>
      </x:c>
      <x:c r="AF371" s="9" t="str">
        <x:v>operational_snapshot_annual_totals_may_differ</x:v>
      </x:c>
    </x:row>
    <x:row r="372" ht="18" customHeight="1">
      <x:c r="A372" s="6" t="str">
        <x:v>36</x:v>
      </x:c>
      <x:c r="B372" s="6" t="str">
        <x:v>BANTEN</x:v>
      </x:c>
      <x:c r="C372" s="6" t="str">
        <x:v>2024</x:v>
      </x:c>
      <x:c r="D372" s="6" t="str">
        <x:v>11</x:v>
      </x:c>
      <x:c r="E372" s="6" t="str">
        <x:v>12</x:v>
      </x:c>
      <x:c r="F372" s="6" t="str">
        <x:v>12</x:v>
      </x:c>
      <x:c r="G372" s="6" t="str">
        <x:v>7</x:v>
      </x:c>
      <x:c r="H372" s="6" t="str">
        <x:v>0</x:v>
      </x:c>
      <x:c r="I372" s="6" t="str">
        <x:v>4</x:v>
      </x:c>
      <x:c r="J372" s="6" t="str">
        <x:v>1</x:v>
      </x:c>
      <x:c r="K372" s="6" t="str">
        <x:v>0</x:v>
      </x:c>
      <x:c r="L372" s="6" t="str">
        <x:v>0</x:v>
      </x:c>
      <x:c r="M372" s="6" t="str">
        <x:v>0</x:v>
      </x:c>
      <x:c r="N372" s="6" t="str">
        <x:v>0</x:v>
      </x:c>
      <x:c r="O372" s="6" t="str">
        <x:v>0</x:v>
      </x:c>
      <x:c r="P372" s="6" t="str">
        <x:v>12</x:v>
      </x:c>
      <x:c r="Q372" s="6" t="str">
        <x:v>0.0</x:v>
      </x:c>
      <x:c r="R372" s="6" t="str">
        <x:v>12</x:v>
      </x:c>
      <x:c r="S372" s="6" t="str">
        <x:v>0.0</x:v>
      </x:c>
      <x:c r="T372" s="6" t="str">
        <x:v>12</x:v>
      </x:c>
      <x:c r="U372" s="6" t="str">
        <x:v>0.0</x:v>
      </x:c>
      <x:c r="V372" s="6" t="str">
        <x:v>12</x:v>
      </x:c>
      <x:c r="W372" s="6" t="str">
        <x:v>165.0</x:v>
      </x:c>
      <x:c r="X372" s="6" t="str">
        <x:v>12</x:v>
      </x:c>
      <x:c r="Y372" s="6" t="str">
        <x:v>668.0</x:v>
      </x:c>
      <x:c r="Z372" s="6" t="str">
        <x:v>1</x:v>
      </x:c>
      <x:c r="AA372" s="6" t="str">
        <x:v>1.0</x:v>
      </x:c>
      <x:c r="AB372" s="6" t="str">
        <x:v>12</x:v>
      </x:c>
      <x:c r="AC372" s="6" t="str">
        <x:v>2024-11</x:v>
      </x:c>
      <x:c r="AD372" s="9" t="str">
        <x:v>BNPB operational disaster search table</x:v>
      </x:c>
      <x:c r="AE372" s="9" t="str">
        <x:v>https://gis.bnpb.go.id/databencana/tabel/pencarian.php</x:v>
      </x:c>
      <x:c r="AF372" s="9" t="str">
        <x:v>operational_snapshot_annual_totals_may_differ</x:v>
      </x:c>
    </x:row>
    <x:row r="373" ht="18" customHeight="1">
      <x:c r="A373" s="6" t="str">
        <x:v>36</x:v>
      </x:c>
      <x:c r="B373" s="6" t="str">
        <x:v>BANTEN</x:v>
      </x:c>
      <x:c r="C373" s="6" t="str">
        <x:v>2024</x:v>
      </x:c>
      <x:c r="D373" s="6" t="str">
        <x:v>12</x:v>
      </x:c>
      <x:c r="E373" s="6" t="str">
        <x:v>18</x:v>
      </x:c>
      <x:c r="F373" s="6" t="str">
        <x:v>18</x:v>
      </x:c>
      <x:c r="G373" s="6" t="str">
        <x:v>12</x:v>
      </x:c>
      <x:c r="H373" s="6" t="str">
        <x:v>2</x:v>
      </x:c>
      <x:c r="I373" s="6" t="str">
        <x:v>4</x:v>
      </x:c>
      <x:c r="J373" s="6" t="str">
        <x:v>0</x:v>
      </x:c>
      <x:c r="K373" s="6" t="str">
        <x:v>0</x:v>
      </x:c>
      <x:c r="L373" s="6" t="str">
        <x:v>0</x:v>
      </x:c>
      <x:c r="M373" s="6" t="str">
        <x:v>0</x:v>
      </x:c>
      <x:c r="N373" s="6" t="str">
        <x:v>0</x:v>
      </x:c>
      <x:c r="O373" s="6" t="str">
        <x:v>0</x:v>
      </x:c>
      <x:c r="P373" s="6" t="str">
        <x:v>18</x:v>
      </x:c>
      <x:c r="Q373" s="6" t="str">
        <x:v>9.0</x:v>
      </x:c>
      <x:c r="R373" s="6" t="str">
        <x:v>18</x:v>
      </x:c>
      <x:c r="S373" s="6" t="str">
        <x:v>0.0</x:v>
      </x:c>
      <x:c r="T373" s="6" t="str">
        <x:v>18</x:v>
      </x:c>
      <x:c r="U373" s="6" t="str">
        <x:v>3.0</x:v>
      </x:c>
      <x:c r="V373" s="6" t="str">
        <x:v>18</x:v>
      </x:c>
      <x:c r="W373" s="6" t="str">
        <x:v>445.0</x:v>
      </x:c>
      <x:c r="X373" s="6" t="str">
        <x:v>18</x:v>
      </x:c>
      <x:c r="Y373" s="6" t="str">
        <x:v>6705.0</x:v>
      </x:c>
      <x:c r="Z373" s="6" t="str">
        <x:v>10</x:v>
      </x:c>
      <x:c r="AA373" s="6" t="str">
        <x:v>1.0</x:v>
      </x:c>
      <x:c r="AB373" s="6" t="str">
        <x:v>18</x:v>
      </x:c>
      <x:c r="AC373" s="6" t="str">
        <x:v>2024-12</x:v>
      </x:c>
      <x:c r="AD373" s="9" t="str">
        <x:v>BNPB operational disaster search table</x:v>
      </x:c>
      <x:c r="AE373" s="9" t="str">
        <x:v>https://gis.bnpb.go.id/databencana/tabel/pencarian.php</x:v>
      </x:c>
      <x:c r="AF373" s="9" t="str">
        <x:v>operational_snapshot_annual_totals_may_differ</x:v>
      </x:c>
    </x:row>
    <x:row r="374" ht="18" customHeight="1">
      <x:c r="A374" s="6" t="str">
        <x:v>36</x:v>
      </x:c>
      <x:c r="B374" s="6" t="str">
        <x:v>BANTEN</x:v>
      </x:c>
      <x:c r="C374" s="6" t="str">
        <x:v>2025</x:v>
      </x:c>
      <x:c r="D374" s="6" t="str">
        <x:v>1</x:v>
      </x:c>
      <x:c r="E374" s="6" t="str">
        <x:v>10</x:v>
      </x:c>
      <x:c r="F374" s="6" t="str">
        <x:v>10</x:v>
      </x:c>
      <x:c r="G374" s="6" t="str">
        <x:v>9</x:v>
      </x:c>
      <x:c r="H374" s="6" t="str">
        <x:v>0</x:v>
      </x:c>
      <x:c r="I374" s="6" t="str">
        <x:v>1</x:v>
      </x:c>
      <x:c r="J374" s="6" t="str">
        <x:v>0</x:v>
      </x:c>
      <x:c r="K374" s="6" t="str">
        <x:v>0</x:v>
      </x:c>
      <x:c r="L374" s="6" t="str">
        <x:v>0</x:v>
      </x:c>
      <x:c r="M374" s="6" t="str">
        <x:v>0</x:v>
      </x:c>
      <x:c r="N374" s="6" t="str">
        <x:v>0</x:v>
      </x:c>
      <x:c r="O374" s="6" t="str">
        <x:v>0</x:v>
      </x:c>
      <x:c r="P374" s="6" t="str">
        <x:v>10</x:v>
      </x:c>
      <x:c r="Q374" s="6" t="str">
        <x:v>0.0</x:v>
      </x:c>
      <x:c r="R374" s="6" t="str">
        <x:v>10</x:v>
      </x:c>
      <x:c r="S374" s="6" t="str">
        <x:v>0.0</x:v>
      </x:c>
      <x:c r="T374" s="6" t="str">
        <x:v>10</x:v>
      </x:c>
      <x:c r="U374" s="6" t="str">
        <x:v>0.0</x:v>
      </x:c>
      <x:c r="V374" s="6" t="str">
        <x:v>10</x:v>
      </x:c>
      <x:c r="W374" s="6" t="str">
        <x:v>19.0</x:v>
      </x:c>
      <x:c r="X374" s="6" t="str">
        <x:v>10</x:v>
      </x:c>
      <x:c r="Y374" s="6" t="str">
        <x:v>1437.0</x:v>
      </x:c>
      <x:c r="Z374" s="6" t="str">
        <x:v>5</x:v>
      </x:c>
      <x:c r="AA374" s="6" t="str">
        <x:v>0.0</x:v>
      </x:c>
      <x:c r="AB374" s="6" t="str">
        <x:v>10</x:v>
      </x:c>
      <x:c r="AC374" s="6" t="str">
        <x:v>2025-01</x:v>
      </x:c>
      <x:c r="AD374" s="9" t="str">
        <x:v>BNPB operational disaster search table</x:v>
      </x:c>
      <x:c r="AE374" s="9" t="str">
        <x:v>https://gis.bnpb.go.id/databencana/tabel/pencarian.php</x:v>
      </x:c>
      <x:c r="AF374" s="9" t="str">
        <x:v>operational_snapshot_annual_totals_may_differ</x:v>
      </x:c>
    </x:row>
    <x:row r="375" ht="18" customHeight="1">
      <x:c r="A375" s="6" t="str">
        <x:v>36</x:v>
      </x:c>
      <x:c r="B375" s="6" t="str">
        <x:v>BANTEN</x:v>
      </x:c>
      <x:c r="C375" s="6" t="str">
        <x:v>2025</x:v>
      </x:c>
      <x:c r="D375" s="6" t="str">
        <x:v>2</x:v>
      </x:c>
      <x:c r="E375" s="6" t="str">
        <x:v>8</x:v>
      </x:c>
      <x:c r="F375" s="6" t="str">
        <x:v>8</x:v>
      </x:c>
      <x:c r="G375" s="6" t="str">
        <x:v>5</x:v>
      </x:c>
      <x:c r="H375" s="6" t="str">
        <x:v>1</x:v>
      </x:c>
      <x:c r="I375" s="6" t="str">
        <x:v>2</x:v>
      </x:c>
      <x:c r="J375" s="6" t="str">
        <x:v>0</x:v>
      </x:c>
      <x:c r="K375" s="6" t="str">
        <x:v>0</x:v>
      </x:c>
      <x:c r="L375" s="6" t="str">
        <x:v>0</x:v>
      </x:c>
      <x:c r="M375" s="6" t="str">
        <x:v>0</x:v>
      </x:c>
      <x:c r="N375" s="6" t="str">
        <x:v>0</x:v>
      </x:c>
      <x:c r="O375" s="6" t="str">
        <x:v>0</x:v>
      </x:c>
      <x:c r="P375" s="6" t="str">
        <x:v>8</x:v>
      </x:c>
      <x:c r="Q375" s="6" t="str">
        <x:v>1.0</x:v>
      </x:c>
      <x:c r="R375" s="6" t="str">
        <x:v>8</x:v>
      </x:c>
      <x:c r="S375" s="6" t="str">
        <x:v>0.0</x:v>
      </x:c>
      <x:c r="T375" s="6" t="str">
        <x:v>8</x:v>
      </x:c>
      <x:c r="U375" s="6" t="str">
        <x:v>1.0</x:v>
      </x:c>
      <x:c r="V375" s="6" t="str">
        <x:v>8</x:v>
      </x:c>
      <x:c r="W375" s="6" t="str">
        <x:v>12.0</x:v>
      </x:c>
      <x:c r="X375" s="6" t="str">
        <x:v>8</x:v>
      </x:c>
      <x:c r="Y375" s="6" t="str">
        <x:v>769.0</x:v>
      </x:c>
      <x:c r="Z375" s="6" t="str">
        <x:v>4</x:v>
      </x:c>
      <x:c r="AA375" s="6" t="str">
        <x:v>0.0</x:v>
      </x:c>
      <x:c r="AB375" s="6" t="str">
        <x:v>8</x:v>
      </x:c>
      <x:c r="AC375" s="6" t="str">
        <x:v>2025-02</x:v>
      </x:c>
      <x:c r="AD375" s="9" t="str">
        <x:v>BNPB operational disaster search table</x:v>
      </x:c>
      <x:c r="AE375" s="9" t="str">
        <x:v>https://gis.bnpb.go.id/databencana/tabel/pencarian.php</x:v>
      </x:c>
      <x:c r="AF375" s="9" t="str">
        <x:v>operational_snapshot_annual_totals_may_differ</x:v>
      </x:c>
    </x:row>
    <x:row r="376" ht="18" customHeight="1">
      <x:c r="A376" s="6" t="str">
        <x:v>36</x:v>
      </x:c>
      <x:c r="B376" s="6" t="str">
        <x:v>BANTEN</x:v>
      </x:c>
      <x:c r="C376" s="6" t="str">
        <x:v>2025</x:v>
      </x:c>
      <x:c r="D376" s="6" t="str">
        <x:v>3</x:v>
      </x:c>
      <x:c r="E376" s="6" t="str">
        <x:v>7</x:v>
      </x:c>
      <x:c r="F376" s="6" t="str">
        <x:v>7</x:v>
      </x:c>
      <x:c r="G376" s="6" t="str">
        <x:v>7</x:v>
      </x:c>
      <x:c r="H376" s="6" t="str">
        <x:v>0</x:v>
      </x:c>
      <x:c r="I376" s="6" t="str">
        <x:v>0</x:v>
      </x:c>
      <x:c r="J376" s="6" t="str">
        <x:v>0</x:v>
      </x:c>
      <x:c r="K376" s="6" t="str">
        <x:v>0</x:v>
      </x:c>
      <x:c r="L376" s="6" t="str">
        <x:v>0</x:v>
      </x:c>
      <x:c r="M376" s="6" t="str">
        <x:v>0</x:v>
      </x:c>
      <x:c r="N376" s="6" t="str">
        <x:v>0</x:v>
      </x:c>
      <x:c r="O376" s="6" t="str">
        <x:v>0</x:v>
      </x:c>
      <x:c r="P376" s="6" t="str">
        <x:v>7</x:v>
      </x:c>
      <x:c r="Q376" s="6" t="str">
        <x:v>0.0</x:v>
      </x:c>
      <x:c r="R376" s="6" t="str">
        <x:v>7</x:v>
      </x:c>
      <x:c r="S376" s="6" t="str">
        <x:v>0.0</x:v>
      </x:c>
      <x:c r="T376" s="6" t="str">
        <x:v>7</x:v>
      </x:c>
      <x:c r="U376" s="6" t="str">
        <x:v>0.0</x:v>
      </x:c>
      <x:c r="V376" s="6" t="str">
        <x:v>7</x:v>
      </x:c>
      <x:c r="W376" s="6" t="str">
        <x:v>0.0</x:v>
      </x:c>
      <x:c r="X376" s="6" t="str">
        <x:v>7</x:v>
      </x:c>
      <x:c r="Y376" s="6" t="str">
        <x:v>11101.0</x:v>
      </x:c>
      <x:c r="Z376" s="6" t="str">
        <x:v>5</x:v>
      </x:c>
      <x:c r="AA376" s="6" t="str">
        <x:v>1.0</x:v>
      </x:c>
      <x:c r="AB376" s="6" t="str">
        <x:v>7</x:v>
      </x:c>
      <x:c r="AC376" s="6" t="str">
        <x:v>2025-03</x:v>
      </x:c>
      <x:c r="AD376" s="9" t="str">
        <x:v>BNPB operational disaster search table</x:v>
      </x:c>
      <x:c r="AE376" s="9" t="str">
        <x:v>https://gis.bnpb.go.id/databencana/tabel/pencarian.php</x:v>
      </x:c>
      <x:c r="AF376" s="9" t="str">
        <x:v>operational_snapshot_annual_totals_may_differ</x:v>
      </x:c>
    </x:row>
    <x:row r="377" ht="18" customHeight="1">
      <x:c r="A377" s="6" t="str">
        <x:v>36</x:v>
      </x:c>
      <x:c r="B377" s="6" t="str">
        <x:v>BANTEN</x:v>
      </x:c>
      <x:c r="C377" s="6" t="str">
        <x:v>2025</x:v>
      </x:c>
      <x:c r="D377" s="6" t="str">
        <x:v>4</x:v>
      </x:c>
      <x:c r="E377" s="6" t="str">
        <x:v>5</x:v>
      </x:c>
      <x:c r="F377" s="6" t="str">
        <x:v>5</x:v>
      </x:c>
      <x:c r="G377" s="6" t="str">
        <x:v>5</x:v>
      </x:c>
      <x:c r="H377" s="6" t="str">
        <x:v>0</x:v>
      </x:c>
      <x:c r="I377" s="6" t="str">
        <x:v>0</x:v>
      </x:c>
      <x:c r="J377" s="6" t="str">
        <x:v>0</x:v>
      </x:c>
      <x:c r="K377" s="6" t="str">
        <x:v>0</x:v>
      </x:c>
      <x:c r="L377" s="6" t="str">
        <x:v>0</x:v>
      </x:c>
      <x:c r="M377" s="6" t="str">
        <x:v>0</x:v>
      </x:c>
      <x:c r="N377" s="6" t="str">
        <x:v>0</x:v>
      </x:c>
      <x:c r="O377" s="6" t="str">
        <x:v>0</x:v>
      </x:c>
      <x:c r="P377" s="6" t="str">
        <x:v>5</x:v>
      </x:c>
      <x:c r="Q377" s="6" t="str">
        <x:v>1.0</x:v>
      </x:c>
      <x:c r="R377" s="6" t="str">
        <x:v>5</x:v>
      </x:c>
      <x:c r="S377" s="6" t="str">
        <x:v>0.0</x:v>
      </x:c>
      <x:c r="T377" s="6" t="str">
        <x:v>5</x:v>
      </x:c>
      <x:c r="U377" s="6" t="str">
        <x:v>0.0</x:v>
      </x:c>
      <x:c r="V377" s="6" t="str">
        <x:v>5</x:v>
      </x:c>
      <x:c r="W377" s="6" t="str">
        <x:v>0.0</x:v>
      </x:c>
      <x:c r="X377" s="6" t="str">
        <x:v>5</x:v>
      </x:c>
      <x:c r="Y377" s="6" t="str">
        <x:v>1801.0</x:v>
      </x:c>
      <x:c r="Z377" s="6" t="str">
        <x:v>5</x:v>
      </x:c>
      <x:c r="AA377" s="6" t="str">
        <x:v>0.0</x:v>
      </x:c>
      <x:c r="AB377" s="6" t="str">
        <x:v>5</x:v>
      </x:c>
      <x:c r="AC377" s="6" t="str">
        <x:v>2025-04</x:v>
      </x:c>
      <x:c r="AD377" s="9" t="str">
        <x:v>BNPB operational disaster search table</x:v>
      </x:c>
      <x:c r="AE377" s="9" t="str">
        <x:v>https://gis.bnpb.go.id/databencana/tabel/pencarian.php</x:v>
      </x:c>
      <x:c r="AF377" s="9" t="str">
        <x:v>operational_snapshot_annual_totals_may_differ</x:v>
      </x:c>
    </x:row>
    <x:row r="378" ht="18" customHeight="1">
      <x:c r="A378" s="6" t="str">
        <x:v>36</x:v>
      </x:c>
      <x:c r="B378" s="6" t="str">
        <x:v>BANTEN</x:v>
      </x:c>
      <x:c r="C378" s="6" t="str">
        <x:v>2025</x:v>
      </x:c>
      <x:c r="D378" s="6" t="str">
        <x:v>5</x:v>
      </x:c>
      <x:c r="E378" s="6" t="str">
        <x:v>4</x:v>
      </x:c>
      <x:c r="F378" s="6" t="str">
        <x:v>4</x:v>
      </x:c>
      <x:c r="G378" s="6" t="str">
        <x:v>4</x:v>
      </x:c>
      <x:c r="H378" s="6" t="str">
        <x:v>0</x:v>
      </x:c>
      <x:c r="I378" s="6" t="str">
        <x:v>0</x:v>
      </x:c>
      <x:c r="J378" s="6" t="str">
        <x:v>0</x:v>
      </x:c>
      <x:c r="K378" s="6" t="str">
        <x:v>0</x:v>
      </x:c>
      <x:c r="L378" s="6" t="str">
        <x:v>0</x:v>
      </x:c>
      <x:c r="M378" s="6" t="str">
        <x:v>0</x:v>
      </x:c>
      <x:c r="N378" s="6" t="str">
        <x:v>0</x:v>
      </x:c>
      <x:c r="O378" s="6" t="str">
        <x:v>0</x:v>
      </x:c>
      <x:c r="P378" s="6" t="str">
        <x:v>4</x:v>
      </x:c>
      <x:c r="Q378" s="6" t="str">
        <x:v>0.0</x:v>
      </x:c>
      <x:c r="R378" s="6" t="str">
        <x:v>4</x:v>
      </x:c>
      <x:c r="S378" s="6" t="str">
        <x:v>0.0</x:v>
      </x:c>
      <x:c r="T378" s="6" t="str">
        <x:v>4</x:v>
      </x:c>
      <x:c r="U378" s="6" t="str">
        <x:v>0.0</x:v>
      </x:c>
      <x:c r="V378" s="6" t="str">
        <x:v>4</x:v>
      </x:c>
      <x:c r="W378" s="6" t="str">
        <x:v>0.0</x:v>
      </x:c>
      <x:c r="X378" s="6" t="str">
        <x:v>4</x:v>
      </x:c>
      <x:c r="Y378" s="6" t="str">
        <x:v>4730.0</x:v>
      </x:c>
      <x:c r="Z378" s="6" t="str">
        <x:v>4</x:v>
      </x:c>
      <x:c r="AA378" s="6" t="str">
        <x:v>0.0</x:v>
      </x:c>
      <x:c r="AB378" s="6" t="str">
        <x:v>4</x:v>
      </x:c>
      <x:c r="AC378" s="6" t="str">
        <x:v>2025-05</x:v>
      </x:c>
      <x:c r="AD378" s="9" t="str">
        <x:v>BNPB operational disaster search table</x:v>
      </x:c>
      <x:c r="AE378" s="9" t="str">
        <x:v>https://gis.bnpb.go.id/databencana/tabel/pencarian.php</x:v>
      </x:c>
      <x:c r="AF378" s="9" t="str">
        <x:v>operational_snapshot_annual_totals_may_differ</x:v>
      </x:c>
    </x:row>
    <x:row r="379" ht="18" customHeight="1">
      <x:c r="A379" s="6" t="str">
        <x:v>36</x:v>
      </x:c>
      <x:c r="B379" s="6" t="str">
        <x:v>BANTEN</x:v>
      </x:c>
      <x:c r="C379" s="6" t="str">
        <x:v>2025</x:v>
      </x:c>
      <x:c r="D379" s="6" t="str">
        <x:v>6</x:v>
      </x:c>
      <x:c r="E379" s="6" t="str">
        <x:v>6</x:v>
      </x:c>
      <x:c r="F379" s="6" t="str">
        <x:v>6</x:v>
      </x:c>
      <x:c r="G379" s="6" t="str">
        <x:v>6</x:v>
      </x:c>
      <x:c r="H379" s="6" t="str">
        <x:v>0</x:v>
      </x:c>
      <x:c r="I379" s="6" t="str">
        <x:v>0</x:v>
      </x:c>
      <x:c r="J379" s="6" t="str">
        <x:v>0</x:v>
      </x:c>
      <x:c r="K379" s="6" t="str">
        <x:v>0</x:v>
      </x:c>
      <x:c r="L379" s="6" t="str">
        <x:v>0</x:v>
      </x:c>
      <x:c r="M379" s="6" t="str">
        <x:v>0</x:v>
      </x:c>
      <x:c r="N379" s="6" t="str">
        <x:v>0</x:v>
      </x:c>
      <x:c r="O379" s="6" t="str">
        <x:v>0</x:v>
      </x:c>
      <x:c r="P379" s="6" t="str">
        <x:v>6</x:v>
      </x:c>
      <x:c r="Q379" s="6" t="str"/>
      <x:c r="R379" s="6" t="str">
        <x:v>0</x:v>
      </x:c>
      <x:c r="S379" s="6" t="str"/>
      <x:c r="T379" s="6" t="str">
        <x:v>0</x:v>
      </x:c>
      <x:c r="U379" s="6" t="str"/>
      <x:c r="V379" s="6" t="str">
        <x:v>0</x:v>
      </x:c>
      <x:c r="W379" s="6" t="str">
        <x:v>0.0</x:v>
      </x:c>
      <x:c r="X379" s="6" t="str">
        <x:v>6</x:v>
      </x:c>
      <x:c r="Y379" s="6" t="str">
        <x:v>2560.0</x:v>
      </x:c>
      <x:c r="Z379" s="6" t="str">
        <x:v>6</x:v>
      </x:c>
      <x:c r="AA379" s="6" t="str">
        <x:v>0.0</x:v>
      </x:c>
      <x:c r="AB379" s="6" t="str">
        <x:v>6</x:v>
      </x:c>
      <x:c r="AC379" s="6" t="str">
        <x:v>2025-06</x:v>
      </x:c>
      <x:c r="AD379" s="9" t="str">
        <x:v>BNPB operational disaster search table</x:v>
      </x:c>
      <x:c r="AE379" s="9" t="str">
        <x:v>https://gis.bnpb.go.id/databencana/tabel/pencarian.php</x:v>
      </x:c>
      <x:c r="AF379" s="9" t="str">
        <x:v>operational_snapshot_annual_totals_may_differ</x:v>
      </x:c>
    </x:row>
    <x:row r="380" ht="18" customHeight="1">
      <x:c r="A380" s="6" t="str">
        <x:v>36</x:v>
      </x:c>
      <x:c r="B380" s="6" t="str">
        <x:v>BANTEN</x:v>
      </x:c>
      <x:c r="C380" s="6" t="str">
        <x:v>2025</x:v>
      </x:c>
      <x:c r="D380" s="6" t="str">
        <x:v>7</x:v>
      </x:c>
      <x:c r="E380" s="6" t="str">
        <x:v>7</x:v>
      </x:c>
      <x:c r="F380" s="6" t="str">
        <x:v>7</x:v>
      </x:c>
      <x:c r="G380" s="6" t="str">
        <x:v>5</x:v>
      </x:c>
      <x:c r="H380" s="6" t="str">
        <x:v>1</x:v>
      </x:c>
      <x:c r="I380" s="6" t="str">
        <x:v>0</x:v>
      </x:c>
      <x:c r="J380" s="6" t="str">
        <x:v>1</x:v>
      </x:c>
      <x:c r="K380" s="6" t="str">
        <x:v>0</x:v>
      </x:c>
      <x:c r="L380" s="6" t="str">
        <x:v>0</x:v>
      </x:c>
      <x:c r="M380" s="6" t="str">
        <x:v>0</x:v>
      </x:c>
      <x:c r="N380" s="6" t="str">
        <x:v>0</x:v>
      </x:c>
      <x:c r="O380" s="6" t="str">
        <x:v>0</x:v>
      </x:c>
      <x:c r="P380" s="6" t="str">
        <x:v>7</x:v>
      </x:c>
      <x:c r="Q380" s="6" t="str"/>
      <x:c r="R380" s="6" t="str">
        <x:v>0</x:v>
      </x:c>
      <x:c r="S380" s="6" t="str"/>
      <x:c r="T380" s="6" t="str">
        <x:v>0</x:v>
      </x:c>
      <x:c r="U380" s="6" t="str"/>
      <x:c r="V380" s="6" t="str">
        <x:v>0</x:v>
      </x:c>
      <x:c r="W380" s="6" t="str">
        <x:v>0.0</x:v>
      </x:c>
      <x:c r="X380" s="6" t="str">
        <x:v>7</x:v>
      </x:c>
      <x:c r="Y380" s="6" t="str">
        <x:v>9262.0</x:v>
      </x:c>
      <x:c r="Z380" s="6" t="str">
        <x:v>6</x:v>
      </x:c>
      <x:c r="AA380" s="6" t="str">
        <x:v>0.0</x:v>
      </x:c>
      <x:c r="AB380" s="6" t="str">
        <x:v>7</x:v>
      </x:c>
      <x:c r="AC380" s="6" t="str">
        <x:v>2025-07</x:v>
      </x:c>
      <x:c r="AD380" s="9" t="str">
        <x:v>BNPB operational disaster search table</x:v>
      </x:c>
      <x:c r="AE380" s="9" t="str">
        <x:v>https://gis.bnpb.go.id/databencana/tabel/pencarian.php</x:v>
      </x:c>
      <x:c r="AF380" s="9" t="str">
        <x:v>operational_snapshot_annual_totals_may_differ</x:v>
      </x:c>
    </x:row>
    <x:row r="381" ht="18" customHeight="1">
      <x:c r="A381" s="6" t="str">
        <x:v>36</x:v>
      </x:c>
      <x:c r="B381" s="6" t="str">
        <x:v>BANTEN</x:v>
      </x:c>
      <x:c r="C381" s="6" t="str">
        <x:v>2025</x:v>
      </x:c>
      <x:c r="D381" s="6" t="str">
        <x:v>8</x:v>
      </x:c>
      <x:c r="E381" s="6" t="str">
        <x:v>7</x:v>
      </x:c>
      <x:c r="F381" s="6" t="str">
        <x:v>7</x:v>
      </x:c>
      <x:c r="G381" s="6" t="str">
        <x:v>5</x:v>
      </x:c>
      <x:c r="H381" s="6" t="str">
        <x:v>0</x:v>
      </x:c>
      <x:c r="I381" s="6" t="str">
        <x:v>2</x:v>
      </x:c>
      <x:c r="J381" s="6" t="str">
        <x:v>0</x:v>
      </x:c>
      <x:c r="K381" s="6" t="str">
        <x:v>0</x:v>
      </x:c>
      <x:c r="L381" s="6" t="str">
        <x:v>0</x:v>
      </x:c>
      <x:c r="M381" s="6" t="str">
        <x:v>0</x:v>
      </x:c>
      <x:c r="N381" s="6" t="str">
        <x:v>0</x:v>
      </x:c>
      <x:c r="O381" s="6" t="str">
        <x:v>0</x:v>
      </x:c>
      <x:c r="P381" s="6" t="str">
        <x:v>7</x:v>
      </x:c>
      <x:c r="Q381" s="6" t="str"/>
      <x:c r="R381" s="6" t="str">
        <x:v>0</x:v>
      </x:c>
      <x:c r="S381" s="6" t="str"/>
      <x:c r="T381" s="6" t="str">
        <x:v>0</x:v>
      </x:c>
      <x:c r="U381" s="6" t="str"/>
      <x:c r="V381" s="6" t="str">
        <x:v>0</x:v>
      </x:c>
      <x:c r="W381" s="6" t="str">
        <x:v>59.0</x:v>
      </x:c>
      <x:c r="X381" s="6" t="str">
        <x:v>7</x:v>
      </x:c>
      <x:c r="Y381" s="6" t="str">
        <x:v>2922.0</x:v>
      </x:c>
      <x:c r="Z381" s="6" t="str">
        <x:v>5</x:v>
      </x:c>
      <x:c r="AA381" s="6" t="str">
        <x:v>4.0</x:v>
      </x:c>
      <x:c r="AB381" s="6" t="str">
        <x:v>7</x:v>
      </x:c>
      <x:c r="AC381" s="6" t="str">
        <x:v>2025-08</x:v>
      </x:c>
      <x:c r="AD381" s="9" t="str">
        <x:v>BNPB operational disaster search table</x:v>
      </x:c>
      <x:c r="AE381" s="9" t="str">
        <x:v>https://gis.bnpb.go.id/databencana/tabel/pencarian.php</x:v>
      </x:c>
      <x:c r="AF381" s="9" t="str">
        <x:v>operational_snapshot_annual_totals_may_differ</x:v>
      </x:c>
    </x:row>
    <x:row r="382" ht="18" customHeight="1">
      <x:c r="A382" s="6" t="str">
        <x:v>36</x:v>
      </x:c>
      <x:c r="B382" s="6" t="str">
        <x:v>BANTEN</x:v>
      </x:c>
      <x:c r="C382" s="6" t="str">
        <x:v>2025</x:v>
      </x:c>
      <x:c r="D382" s="6" t="str">
        <x:v>9</x:v>
      </x:c>
      <x:c r="E382" s="6" t="str">
        <x:v>2</x:v>
      </x:c>
      <x:c r="F382" s="6" t="str">
        <x:v>2</x:v>
      </x:c>
      <x:c r="G382" s="6" t="str">
        <x:v>1</x:v>
      </x:c>
      <x:c r="H382" s="6" t="str">
        <x:v>0</x:v>
      </x:c>
      <x:c r="I382" s="6" t="str">
        <x:v>0</x:v>
      </x:c>
      <x:c r="J382" s="6" t="str">
        <x:v>0</x:v>
      </x:c>
      <x:c r="K382" s="6" t="str">
        <x:v>1</x:v>
      </x:c>
      <x:c r="L382" s="6" t="str">
        <x:v>0</x:v>
      </x:c>
      <x:c r="M382" s="6" t="str">
        <x:v>0</x:v>
      </x:c>
      <x:c r="N382" s="6" t="str">
        <x:v>0</x:v>
      </x:c>
      <x:c r="O382" s="6" t="str">
        <x:v>0</x:v>
      </x:c>
      <x:c r="P382" s="6" t="str">
        <x:v>2</x:v>
      </x:c>
      <x:c r="Q382" s="6" t="str"/>
      <x:c r="R382" s="6" t="str">
        <x:v>0</x:v>
      </x:c>
      <x:c r="S382" s="6" t="str"/>
      <x:c r="T382" s="6" t="str">
        <x:v>0</x:v>
      </x:c>
      <x:c r="U382" s="6" t="str"/>
      <x:c r="V382" s="6" t="str">
        <x:v>0</x:v>
      </x:c>
      <x:c r="W382" s="6" t="str">
        <x:v>0.0</x:v>
      </x:c>
      <x:c r="X382" s="6" t="str">
        <x:v>2</x:v>
      </x:c>
      <x:c r="Y382" s="6" t="str">
        <x:v>1500.0</x:v>
      </x:c>
      <x:c r="Z382" s="6" t="str">
        <x:v>1</x:v>
      </x:c>
      <x:c r="AA382" s="6" t="str">
        <x:v>0.0</x:v>
      </x:c>
      <x:c r="AB382" s="6" t="str">
        <x:v>2</x:v>
      </x:c>
      <x:c r="AC382" s="6" t="str">
        <x:v>2025-09</x:v>
      </x:c>
      <x:c r="AD382" s="9" t="str">
        <x:v>BNPB operational disaster search table</x:v>
      </x:c>
      <x:c r="AE382" s="9" t="str">
        <x:v>https://gis.bnpb.go.id/databencana/tabel/pencarian.php</x:v>
      </x:c>
      <x:c r="AF382" s="9" t="str">
        <x:v>operational_snapshot_annual_totals_may_differ</x:v>
      </x:c>
    </x:row>
    <x:row r="383" ht="18" customHeight="1">
      <x:c r="A383" s="6" t="str">
        <x:v>36</x:v>
      </x:c>
      <x:c r="B383" s="6" t="str">
        <x:v>BANTEN</x:v>
      </x:c>
      <x:c r="C383" s="6" t="str">
        <x:v>2025</x:v>
      </x:c>
      <x:c r="D383" s="6" t="str">
        <x:v>10</x:v>
      </x:c>
      <x:c r="E383" s="6" t="str">
        <x:v>3</x:v>
      </x:c>
      <x:c r="F383" s="6" t="str">
        <x:v>3</x:v>
      </x:c>
      <x:c r="G383" s="6" t="str">
        <x:v>2</x:v>
      </x:c>
      <x:c r="H383" s="6" t="str">
        <x:v>0</x:v>
      </x:c>
      <x:c r="I383" s="6" t="str">
        <x:v>1</x:v>
      </x:c>
      <x:c r="J383" s="6" t="str">
        <x:v>0</x:v>
      </x:c>
      <x:c r="K383" s="6" t="str">
        <x:v>0</x:v>
      </x:c>
      <x:c r="L383" s="6" t="str">
        <x:v>0</x:v>
      </x:c>
      <x:c r="M383" s="6" t="str">
        <x:v>0</x:v>
      </x:c>
      <x:c r="N383" s="6" t="str">
        <x:v>0</x:v>
      </x:c>
      <x:c r="O383" s="6" t="str">
        <x:v>0</x:v>
      </x:c>
      <x:c r="P383" s="6" t="str">
        <x:v>3</x:v>
      </x:c>
      <x:c r="Q383" s="6" t="str"/>
      <x:c r="R383" s="6" t="str">
        <x:v>0</x:v>
      </x:c>
      <x:c r="S383" s="6" t="str"/>
      <x:c r="T383" s="6" t="str">
        <x:v>0</x:v>
      </x:c>
      <x:c r="U383" s="6" t="str"/>
      <x:c r="V383" s="6" t="str">
        <x:v>0</x:v>
      </x:c>
      <x:c r="W383" s="6" t="str">
        <x:v>4.0</x:v>
      </x:c>
      <x:c r="X383" s="6" t="str">
        <x:v>3</x:v>
      </x:c>
      <x:c r="Y383" s="6" t="str">
        <x:v>465.0</x:v>
      </x:c>
      <x:c r="Z383" s="6" t="str">
        <x:v>2</x:v>
      </x:c>
      <x:c r="AA383" s="6" t="str">
        <x:v>2.0</x:v>
      </x:c>
      <x:c r="AB383" s="6" t="str">
        <x:v>3</x:v>
      </x:c>
      <x:c r="AC383" s="6" t="str">
        <x:v>2025-10</x:v>
      </x:c>
      <x:c r="AD383" s="9" t="str">
        <x:v>BNPB operational disaster search table</x:v>
      </x:c>
      <x:c r="AE383" s="9" t="str">
        <x:v>https://gis.bnpb.go.id/databencana/tabel/pencarian.php</x:v>
      </x:c>
      <x:c r="AF383" s="9" t="str">
        <x:v>operational_snapshot_annual_totals_may_differ</x:v>
      </x:c>
    </x:row>
    <x:row r="384" ht="18" customHeight="1">
      <x:c r="A384" s="6" t="str">
        <x:v>36</x:v>
      </x:c>
      <x:c r="B384" s="6" t="str">
        <x:v>BANTEN</x:v>
      </x:c>
      <x:c r="C384" s="6" t="str">
        <x:v>2025</x:v>
      </x:c>
      <x:c r="D384" s="6" t="str">
        <x:v>11</x:v>
      </x:c>
      <x:c r="E384" s="6" t="str">
        <x:v>6</x:v>
      </x:c>
      <x:c r="F384" s="6" t="str">
        <x:v>6</x:v>
      </x:c>
      <x:c r="G384" s="6" t="str">
        <x:v>6</x:v>
      </x:c>
      <x:c r="H384" s="6" t="str">
        <x:v>0</x:v>
      </x:c>
      <x:c r="I384" s="6" t="str">
        <x:v>0</x:v>
      </x:c>
      <x:c r="J384" s="6" t="str">
        <x:v>0</x:v>
      </x:c>
      <x:c r="K384" s="6" t="str">
        <x:v>0</x:v>
      </x:c>
      <x:c r="L384" s="6" t="str">
        <x:v>0</x:v>
      </x:c>
      <x:c r="M384" s="6" t="str">
        <x:v>0</x:v>
      </x:c>
      <x:c r="N384" s="6" t="str">
        <x:v>0</x:v>
      </x:c>
      <x:c r="O384" s="6" t="str">
        <x:v>0</x:v>
      </x:c>
      <x:c r="P384" s="6" t="str">
        <x:v>6</x:v>
      </x:c>
      <x:c r="Q384" s="6" t="str"/>
      <x:c r="R384" s="6" t="str">
        <x:v>0</x:v>
      </x:c>
      <x:c r="S384" s="6" t="str"/>
      <x:c r="T384" s="6" t="str">
        <x:v>0</x:v>
      </x:c>
      <x:c r="U384" s="6" t="str"/>
      <x:c r="V384" s="6" t="str">
        <x:v>0</x:v>
      </x:c>
      <x:c r="W384" s="6" t="str">
        <x:v>0.0</x:v>
      </x:c>
      <x:c r="X384" s="6" t="str">
        <x:v>6</x:v>
      </x:c>
      <x:c r="Y384" s="6" t="str">
        <x:v>3302.0</x:v>
      </x:c>
      <x:c r="Z384" s="6" t="str">
        <x:v>6</x:v>
      </x:c>
      <x:c r="AA384" s="6" t="str">
        <x:v>0.0</x:v>
      </x:c>
      <x:c r="AB384" s="6" t="str">
        <x:v>6</x:v>
      </x:c>
      <x:c r="AC384" s="6" t="str">
        <x:v>2025-11</x:v>
      </x:c>
      <x:c r="AD384" s="9" t="str">
        <x:v>BNPB operational disaster search table</x:v>
      </x:c>
      <x:c r="AE384" s="9" t="str">
        <x:v>https://gis.bnpb.go.id/databencana/tabel/pencarian.php</x:v>
      </x:c>
      <x:c r="AF384" s="9" t="str">
        <x:v>operational_snapshot_annual_totals_may_differ</x:v>
      </x:c>
    </x:row>
    <x:row r="385" ht="18" customHeight="1">
      <x:c r="A385" s="6" t="str">
        <x:v>36</x:v>
      </x:c>
      <x:c r="B385" s="6" t="str">
        <x:v>BANTEN</x:v>
      </x:c>
      <x:c r="C385" s="6" t="str">
        <x:v>2025</x:v>
      </x:c>
      <x:c r="D385" s="6" t="str">
        <x:v>12</x:v>
      </x:c>
      <x:c r="E385" s="6" t="str">
        <x:v>6</x:v>
      </x:c>
      <x:c r="F385" s="6" t="str">
        <x:v>6</x:v>
      </x:c>
      <x:c r="G385" s="6" t="str">
        <x:v>4</x:v>
      </x:c>
      <x:c r="H385" s="6" t="str">
        <x:v>0</x:v>
      </x:c>
      <x:c r="I385" s="6" t="str">
        <x:v>2</x:v>
      </x:c>
      <x:c r="J385" s="6" t="str">
        <x:v>0</x:v>
      </x:c>
      <x:c r="K385" s="6" t="str">
        <x:v>0</x:v>
      </x:c>
      <x:c r="L385" s="6" t="str">
        <x:v>0</x:v>
      </x:c>
      <x:c r="M385" s="6" t="str">
        <x:v>0</x:v>
      </x:c>
      <x:c r="N385" s="6" t="str">
        <x:v>0</x:v>
      </x:c>
      <x:c r="O385" s="6" t="str">
        <x:v>0</x:v>
      </x:c>
      <x:c r="P385" s="6" t="str">
        <x:v>6</x:v>
      </x:c>
      <x:c r="Q385" s="6" t="str">
        <x:v>1.0</x:v>
      </x:c>
      <x:c r="R385" s="6" t="str">
        <x:v>1</x:v>
      </x:c>
      <x:c r="S385" s="6" t="str"/>
      <x:c r="T385" s="6" t="str">
        <x:v>0</x:v>
      </x:c>
      <x:c r="U385" s="6" t="str"/>
      <x:c r="V385" s="6" t="str">
        <x:v>0</x:v>
      </x:c>
      <x:c r="W385" s="6" t="str">
        <x:v>15.0</x:v>
      </x:c>
      <x:c r="X385" s="6" t="str">
        <x:v>6</x:v>
      </x:c>
      <x:c r="Y385" s="6" t="str">
        <x:v>1557.0</x:v>
      </x:c>
      <x:c r="Z385" s="6" t="str">
        <x:v>4</x:v>
      </x:c>
      <x:c r="AA385" s="6" t="str">
        <x:v>0.0</x:v>
      </x:c>
      <x:c r="AB385" s="6" t="str">
        <x:v>6</x:v>
      </x:c>
      <x:c r="AC385" s="6" t="str">
        <x:v>2025-12</x:v>
      </x:c>
      <x:c r="AD385" s="9" t="str">
        <x:v>BNPB operational disaster search table</x:v>
      </x:c>
      <x:c r="AE385" s="9" t="str">
        <x:v>https://gis.bnpb.go.id/databencana/tabel/pencarian.php</x:v>
      </x:c>
      <x:c r="AF385" s="9" t="str">
        <x:v>operational_snapshot_annual_totals_may_differ</x:v>
      </x:c>
    </x:row>
    <x:row r="386" ht="18" customHeight="1">
      <x:c r="A386" s="6" t="str">
        <x:v>51</x:v>
      </x:c>
      <x:c r="B386" s="6" t="str">
        <x:v>BALI</x:v>
      </x:c>
      <x:c r="C386" s="6" t="str">
        <x:v>2024</x:v>
      </x:c>
      <x:c r="D386" s="6" t="str">
        <x:v>1</x:v>
      </x:c>
      <x:c r="E386" s="6" t="str">
        <x:v>1</x:v>
      </x:c>
      <x:c r="F386" s="6" t="str">
        <x:v>1</x:v>
      </x:c>
      <x:c r="G386" s="6" t="str">
        <x:v>0</x:v>
      </x:c>
      <x:c r="H386" s="6" t="str">
        <x:v>0</x:v>
      </x:c>
      <x:c r="I386" s="6" t="str">
        <x:v>1</x:v>
      </x:c>
      <x:c r="J386" s="6" t="str">
        <x:v>0</x:v>
      </x:c>
      <x:c r="K386" s="6" t="str">
        <x:v>0</x:v>
      </x:c>
      <x:c r="L386" s="6" t="str">
        <x:v>0</x:v>
      </x:c>
      <x:c r="M386" s="6" t="str">
        <x:v>0</x:v>
      </x:c>
      <x:c r="N386" s="6" t="str">
        <x:v>0</x:v>
      </x:c>
      <x:c r="O386" s="6" t="str">
        <x:v>0</x:v>
      </x:c>
      <x:c r="P386" s="6" t="str">
        <x:v>1</x:v>
      </x:c>
      <x:c r="Q386" s="6" t="str">
        <x:v>1.0</x:v>
      </x:c>
      <x:c r="R386" s="6" t="str">
        <x:v>1</x:v>
      </x:c>
      <x:c r="S386" s="6" t="str">
        <x:v>0.0</x:v>
      </x:c>
      <x:c r="T386" s="6" t="str">
        <x:v>1</x:v>
      </x:c>
      <x:c r="U386" s="6" t="str">
        <x:v>11.0</x:v>
      </x:c>
      <x:c r="V386" s="6" t="str">
        <x:v>1</x:v>
      </x:c>
      <x:c r="W386" s="6" t="str">
        <x:v>10.0</x:v>
      </x:c>
      <x:c r="X386" s="6" t="str">
        <x:v>1</x:v>
      </x:c>
      <x:c r="Y386" s="6" t="str"/>
      <x:c r="Z386" s="6" t="str">
        <x:v>0</x:v>
      </x:c>
      <x:c r="AA386" s="6" t="str">
        <x:v>0.0</x:v>
      </x:c>
      <x:c r="AB386" s="6" t="str">
        <x:v>1</x:v>
      </x:c>
      <x:c r="AC386" s="6" t="str">
        <x:v>2024-01</x:v>
      </x:c>
      <x:c r="AD386" s="9" t="str">
        <x:v>BNPB operational disaster search table</x:v>
      </x:c>
      <x:c r="AE386" s="9" t="str">
        <x:v>https://gis.bnpb.go.id/databencana/tabel/pencarian.php</x:v>
      </x:c>
      <x:c r="AF386" s="9" t="str">
        <x:v>operational_snapshot_annual_totals_may_differ</x:v>
      </x:c>
    </x:row>
    <x:row r="387" ht="18" customHeight="1">
      <x:c r="A387" s="6" t="str">
        <x:v>51</x:v>
      </x:c>
      <x:c r="B387" s="6" t="str">
        <x:v>BALI</x:v>
      </x:c>
      <x:c r="C387" s="6" t="str">
        <x:v>2024</x:v>
      </x:c>
      <x:c r="D387" s="6" t="str">
        <x:v>2</x:v>
      </x:c>
      <x:c r="E387" s="6" t="str">
        <x:v>3</x:v>
      </x:c>
      <x:c r="F387" s="6" t="str">
        <x:v>3</x:v>
      </x:c>
      <x:c r="G387" s="6" t="str">
        <x:v>1</x:v>
      </x:c>
      <x:c r="H387" s="6" t="str">
        <x:v>0</x:v>
      </x:c>
      <x:c r="I387" s="6" t="str">
        <x:v>2</x:v>
      </x:c>
      <x:c r="J387" s="6" t="str">
        <x:v>0</x:v>
      </x:c>
      <x:c r="K387" s="6" t="str">
        <x:v>0</x:v>
      </x:c>
      <x:c r="L387" s="6" t="str">
        <x:v>0</x:v>
      </x:c>
      <x:c r="M387" s="6" t="str">
        <x:v>0</x:v>
      </x:c>
      <x:c r="N387" s="6" t="str">
        <x:v>0</x:v>
      </x:c>
      <x:c r="O387" s="6" t="str">
        <x:v>0</x:v>
      </x:c>
      <x:c r="P387" s="6" t="str">
        <x:v>3</x:v>
      </x:c>
      <x:c r="Q387" s="6" t="str">
        <x:v>0.0</x:v>
      </x:c>
      <x:c r="R387" s="6" t="str">
        <x:v>3</x:v>
      </x:c>
      <x:c r="S387" s="6" t="str">
        <x:v>0.0</x:v>
      </x:c>
      <x:c r="T387" s="6" t="str">
        <x:v>3</x:v>
      </x:c>
      <x:c r="U387" s="6" t="str">
        <x:v>0.0</x:v>
      </x:c>
      <x:c r="V387" s="6" t="str">
        <x:v>3</x:v>
      </x:c>
      <x:c r="W387" s="6" t="str">
        <x:v>33.0</x:v>
      </x:c>
      <x:c r="X387" s="6" t="str">
        <x:v>3</x:v>
      </x:c>
      <x:c r="Y387" s="6" t="str"/>
      <x:c r="Z387" s="6" t="str">
        <x:v>0</x:v>
      </x:c>
      <x:c r="AA387" s="6" t="str">
        <x:v>1.0</x:v>
      </x:c>
      <x:c r="AB387" s="6" t="str">
        <x:v>3</x:v>
      </x:c>
      <x:c r="AC387" s="6" t="str">
        <x:v>2024-02</x:v>
      </x:c>
      <x:c r="AD387" s="9" t="str">
        <x:v>BNPB operational disaster search table</x:v>
      </x:c>
      <x:c r="AE387" s="9" t="str">
        <x:v>https://gis.bnpb.go.id/databencana/tabel/pencarian.php</x:v>
      </x:c>
      <x:c r="AF387" s="9" t="str">
        <x:v>operational_snapshot_annual_totals_may_differ</x:v>
      </x:c>
    </x:row>
    <x:row r="388" ht="18" customHeight="1">
      <x:c r="A388" s="6" t="str">
        <x:v>51</x:v>
      </x:c>
      <x:c r="B388" s="6" t="str">
        <x:v>BALI</x:v>
      </x:c>
      <x:c r="C388" s="6" t="str">
        <x:v>2024</x:v>
      </x:c>
      <x:c r="D388" s="6" t="str">
        <x:v>3</x:v>
      </x:c>
      <x:c r="E388" s="6" t="str">
        <x:v>3</x:v>
      </x:c>
      <x:c r="F388" s="6" t="str">
        <x:v>3</x:v>
      </x:c>
      <x:c r="G388" s="6" t="str">
        <x:v>0</x:v>
      </x:c>
      <x:c r="H388" s="6" t="str">
        <x:v>1</x:v>
      </x:c>
      <x:c r="I388" s="6" t="str">
        <x:v>2</x:v>
      </x:c>
      <x:c r="J388" s="6" t="str">
        <x:v>0</x:v>
      </x:c>
      <x:c r="K388" s="6" t="str">
        <x:v>0</x:v>
      </x:c>
      <x:c r="L388" s="6" t="str">
        <x:v>0</x:v>
      </x:c>
      <x:c r="M388" s="6" t="str">
        <x:v>0</x:v>
      </x:c>
      <x:c r="N388" s="6" t="str">
        <x:v>0</x:v>
      </x:c>
      <x:c r="O388" s="6" t="str">
        <x:v>0</x:v>
      </x:c>
      <x:c r="P388" s="6" t="str">
        <x:v>3</x:v>
      </x:c>
      <x:c r="Q388" s="6" t="str">
        <x:v>4.0</x:v>
      </x:c>
      <x:c r="R388" s="6" t="str">
        <x:v>3</x:v>
      </x:c>
      <x:c r="S388" s="6" t="str">
        <x:v>0.0</x:v>
      </x:c>
      <x:c r="T388" s="6" t="str">
        <x:v>3</x:v>
      </x:c>
      <x:c r="U388" s="6" t="str">
        <x:v>0.0</x:v>
      </x:c>
      <x:c r="V388" s="6" t="str">
        <x:v>3</x:v>
      </x:c>
      <x:c r="W388" s="6" t="str">
        <x:v>5.0</x:v>
      </x:c>
      <x:c r="X388" s="6" t="str">
        <x:v>3</x:v>
      </x:c>
      <x:c r="Y388" s="6" t="str"/>
      <x:c r="Z388" s="6" t="str">
        <x:v>0</x:v>
      </x:c>
      <x:c r="AA388" s="6" t="str">
        <x:v>4.0</x:v>
      </x:c>
      <x:c r="AB388" s="6" t="str">
        <x:v>3</x:v>
      </x:c>
      <x:c r="AC388" s="6" t="str">
        <x:v>2024-03</x:v>
      </x:c>
      <x:c r="AD388" s="9" t="str">
        <x:v>BNPB operational disaster search table</x:v>
      </x:c>
      <x:c r="AE388" s="9" t="str">
        <x:v>https://gis.bnpb.go.id/databencana/tabel/pencarian.php</x:v>
      </x:c>
      <x:c r="AF388" s="9" t="str">
        <x:v>operational_snapshot_annual_totals_may_differ</x:v>
      </x:c>
    </x:row>
    <x:row r="389" ht="18" customHeight="1">
      <x:c r="A389" s="6" t="str">
        <x:v>51</x:v>
      </x:c>
      <x:c r="B389" s="6" t="str">
        <x:v>BALI</x:v>
      </x:c>
      <x:c r="C389" s="6" t="str">
        <x:v>2024</x:v>
      </x:c>
      <x:c r="D389" s="6" t="str">
        <x:v>4</x:v>
      </x:c>
      <x:c r="E389" s="6" t="str">
        <x:v>0</x:v>
      </x:c>
      <x:c r="F389" s="6" t="str">
        <x:v>0</x:v>
      </x:c>
      <x:c r="G389" s="6" t="str">
        <x:v>0</x:v>
      </x:c>
      <x:c r="H389" s="6" t="str">
        <x:v>0</x:v>
      </x:c>
      <x:c r="I389" s="6" t="str">
        <x:v>0</x:v>
      </x:c>
      <x:c r="J389" s="6" t="str">
        <x:v>0</x:v>
      </x:c>
      <x:c r="K389" s="6" t="str">
        <x:v>0</x:v>
      </x:c>
      <x:c r="L389" s="6" t="str">
        <x:v>0</x:v>
      </x:c>
      <x:c r="M389" s="6" t="str">
        <x:v>0</x:v>
      </x:c>
      <x:c r="N389" s="6" t="str">
        <x:v>0</x:v>
      </x:c>
      <x:c r="O389" s="6" t="str">
        <x:v>0</x:v>
      </x:c>
      <x:c r="P389" s="6" t="str">
        <x:v>0</x:v>
      </x:c>
      <x:c r="Q389" s="6" t="str"/>
      <x:c r="R389" s="6" t="str">
        <x:v>0</x:v>
      </x:c>
      <x:c r="S389" s="6" t="str"/>
      <x:c r="T389" s="6" t="str">
        <x:v>0</x:v>
      </x:c>
      <x:c r="U389" s="6" t="str"/>
      <x:c r="V389" s="6" t="str">
        <x:v>0</x:v>
      </x:c>
      <x:c r="W389" s="6" t="str"/>
      <x:c r="X389" s="6" t="str">
        <x:v>0</x:v>
      </x:c>
      <x:c r="Y389" s="6" t="str"/>
      <x:c r="Z389" s="6" t="str">
        <x:v>0</x:v>
      </x:c>
      <x:c r="AA389" s="6" t="str"/>
      <x:c r="AB389" s="6" t="str">
        <x:v>0</x:v>
      </x:c>
      <x:c r="AC389" s="6" t="str">
        <x:v>2024-04</x:v>
      </x:c>
      <x:c r="AD389" s="9" t="str">
        <x:v>BNPB operational disaster search table</x:v>
      </x:c>
      <x:c r="AE389" s="9" t="str">
        <x:v>https://gis.bnpb.go.id/databencana/tabel/pencarian.php</x:v>
      </x:c>
      <x:c r="AF389" s="9" t="str">
        <x:v>operational_snapshot_annual_totals_may_differ</x:v>
      </x:c>
    </x:row>
    <x:row r="390" ht="18" customHeight="1">
      <x:c r="A390" s="6" t="str">
        <x:v>51</x:v>
      </x:c>
      <x:c r="B390" s="6" t="str">
        <x:v>BALI</x:v>
      </x:c>
      <x:c r="C390" s="6" t="str">
        <x:v>2024</x:v>
      </x:c>
      <x:c r="D390" s="6" t="str">
        <x:v>5</x:v>
      </x:c>
      <x:c r="E390" s="6" t="str">
        <x:v>0</x:v>
      </x:c>
      <x:c r="F390" s="6" t="str">
        <x:v>0</x:v>
      </x:c>
      <x:c r="G390" s="6" t="str">
        <x:v>0</x:v>
      </x:c>
      <x:c r="H390" s="6" t="str">
        <x:v>0</x:v>
      </x:c>
      <x:c r="I390" s="6" t="str">
        <x:v>0</x:v>
      </x:c>
      <x:c r="J390" s="6" t="str">
        <x:v>0</x:v>
      </x:c>
      <x:c r="K390" s="6" t="str">
        <x:v>0</x:v>
      </x:c>
      <x:c r="L390" s="6" t="str">
        <x:v>0</x:v>
      </x:c>
      <x:c r="M390" s="6" t="str">
        <x:v>0</x:v>
      </x:c>
      <x:c r="N390" s="6" t="str">
        <x:v>0</x:v>
      </x:c>
      <x:c r="O390" s="6" t="str">
        <x:v>0</x:v>
      </x:c>
      <x:c r="P390" s="6" t="str">
        <x:v>0</x:v>
      </x:c>
      <x:c r="Q390" s="6" t="str"/>
      <x:c r="R390" s="6" t="str">
        <x:v>0</x:v>
      </x:c>
      <x:c r="S390" s="6" t="str"/>
      <x:c r="T390" s="6" t="str">
        <x:v>0</x:v>
      </x:c>
      <x:c r="U390" s="6" t="str"/>
      <x:c r="V390" s="6" t="str">
        <x:v>0</x:v>
      </x:c>
      <x:c r="W390" s="6" t="str"/>
      <x:c r="X390" s="6" t="str">
        <x:v>0</x:v>
      </x:c>
      <x:c r="Y390" s="6" t="str"/>
      <x:c r="Z390" s="6" t="str">
        <x:v>0</x:v>
      </x:c>
      <x:c r="AA390" s="6" t="str"/>
      <x:c r="AB390" s="6" t="str">
        <x:v>0</x:v>
      </x:c>
      <x:c r="AC390" s="6" t="str">
        <x:v>2024-05</x:v>
      </x:c>
      <x:c r="AD390" s="9" t="str">
        <x:v>BNPB operational disaster search table</x:v>
      </x:c>
      <x:c r="AE390" s="9" t="str">
        <x:v>https://gis.bnpb.go.id/databencana/tabel/pencarian.php</x:v>
      </x:c>
      <x:c r="AF390" s="9" t="str">
        <x:v>operational_snapshot_annual_totals_may_differ</x:v>
      </x:c>
    </x:row>
    <x:row r="391" ht="18" customHeight="1">
      <x:c r="A391" s="6" t="str">
        <x:v>51</x:v>
      </x:c>
      <x:c r="B391" s="6" t="str">
        <x:v>BALI</x:v>
      </x:c>
      <x:c r="C391" s="6" t="str">
        <x:v>2024</x:v>
      </x:c>
      <x:c r="D391" s="6" t="str">
        <x:v>6</x:v>
      </x:c>
      <x:c r="E391" s="6" t="str">
        <x:v>0</x:v>
      </x:c>
      <x:c r="F391" s="6" t="str">
        <x:v>0</x:v>
      </x:c>
      <x:c r="G391" s="6" t="str">
        <x:v>0</x:v>
      </x:c>
      <x:c r="H391" s="6" t="str">
        <x:v>0</x:v>
      </x:c>
      <x:c r="I391" s="6" t="str">
        <x:v>0</x:v>
      </x:c>
      <x:c r="J391" s="6" t="str">
        <x:v>0</x:v>
      </x:c>
      <x:c r="K391" s="6" t="str">
        <x:v>0</x:v>
      </x:c>
      <x:c r="L391" s="6" t="str">
        <x:v>0</x:v>
      </x:c>
      <x:c r="M391" s="6" t="str">
        <x:v>0</x:v>
      </x:c>
      <x:c r="N391" s="6" t="str">
        <x:v>0</x:v>
      </x:c>
      <x:c r="O391" s="6" t="str">
        <x:v>0</x:v>
      </x:c>
      <x:c r="P391" s="6" t="str">
        <x:v>0</x:v>
      </x:c>
      <x:c r="Q391" s="6" t="str"/>
      <x:c r="R391" s="6" t="str">
        <x:v>0</x:v>
      </x:c>
      <x:c r="S391" s="6" t="str"/>
      <x:c r="T391" s="6" t="str">
        <x:v>0</x:v>
      </x:c>
      <x:c r="U391" s="6" t="str"/>
      <x:c r="V391" s="6" t="str">
        <x:v>0</x:v>
      </x:c>
      <x:c r="W391" s="6" t="str"/>
      <x:c r="X391" s="6" t="str">
        <x:v>0</x:v>
      </x:c>
      <x:c r="Y391" s="6" t="str"/>
      <x:c r="Z391" s="6" t="str">
        <x:v>0</x:v>
      </x:c>
      <x:c r="AA391" s="6" t="str"/>
      <x:c r="AB391" s="6" t="str">
        <x:v>0</x:v>
      </x:c>
      <x:c r="AC391" s="6" t="str">
        <x:v>2024-06</x:v>
      </x:c>
      <x:c r="AD391" s="9" t="str">
        <x:v>BNPB operational disaster search table</x:v>
      </x:c>
      <x:c r="AE391" s="9" t="str">
        <x:v>https://gis.bnpb.go.id/databencana/tabel/pencarian.php</x:v>
      </x:c>
      <x:c r="AF391" s="9" t="str">
        <x:v>operational_snapshot_annual_totals_may_differ</x:v>
      </x:c>
    </x:row>
    <x:row r="392" ht="18" customHeight="1">
      <x:c r="A392" s="6" t="str">
        <x:v>51</x:v>
      </x:c>
      <x:c r="B392" s="6" t="str">
        <x:v>BALI</x:v>
      </x:c>
      <x:c r="C392" s="6" t="str">
        <x:v>2024</x:v>
      </x:c>
      <x:c r="D392" s="6" t="str">
        <x:v>7</x:v>
      </x:c>
      <x:c r="E392" s="6" t="str">
        <x:v>0</x:v>
      </x:c>
      <x:c r="F392" s="6" t="str">
        <x:v>0</x:v>
      </x:c>
      <x:c r="G392" s="6" t="str">
        <x:v>0</x:v>
      </x:c>
      <x:c r="H392" s="6" t="str">
        <x:v>0</x:v>
      </x:c>
      <x:c r="I392" s="6" t="str">
        <x:v>0</x:v>
      </x:c>
      <x:c r="J392" s="6" t="str">
        <x:v>0</x:v>
      </x:c>
      <x:c r="K392" s="6" t="str">
        <x:v>0</x:v>
      </x:c>
      <x:c r="L392" s="6" t="str">
        <x:v>0</x:v>
      </x:c>
      <x:c r="M392" s="6" t="str">
        <x:v>0</x:v>
      </x:c>
      <x:c r="N392" s="6" t="str">
        <x:v>0</x:v>
      </x:c>
      <x:c r="O392" s="6" t="str">
        <x:v>0</x:v>
      </x:c>
      <x:c r="P392" s="6" t="str">
        <x:v>0</x:v>
      </x:c>
      <x:c r="Q392" s="6" t="str"/>
      <x:c r="R392" s="6" t="str">
        <x:v>0</x:v>
      </x:c>
      <x:c r="S392" s="6" t="str"/>
      <x:c r="T392" s="6" t="str">
        <x:v>0</x:v>
      </x:c>
      <x:c r="U392" s="6" t="str"/>
      <x:c r="V392" s="6" t="str">
        <x:v>0</x:v>
      </x:c>
      <x:c r="W392" s="6" t="str"/>
      <x:c r="X392" s="6" t="str">
        <x:v>0</x:v>
      </x:c>
      <x:c r="Y392" s="6" t="str"/>
      <x:c r="Z392" s="6" t="str">
        <x:v>0</x:v>
      </x:c>
      <x:c r="AA392" s="6" t="str"/>
      <x:c r="AB392" s="6" t="str">
        <x:v>0</x:v>
      </x:c>
      <x:c r="AC392" s="6" t="str">
        <x:v>2024-07</x:v>
      </x:c>
      <x:c r="AD392" s="9" t="str">
        <x:v>BNPB operational disaster search table</x:v>
      </x:c>
      <x:c r="AE392" s="9" t="str">
        <x:v>https://gis.bnpb.go.id/databencana/tabel/pencarian.php</x:v>
      </x:c>
      <x:c r="AF392" s="9" t="str">
        <x:v>operational_snapshot_annual_totals_may_differ</x:v>
      </x:c>
    </x:row>
    <x:row r="393" ht="18" customHeight="1">
      <x:c r="A393" s="6" t="str">
        <x:v>51</x:v>
      </x:c>
      <x:c r="B393" s="6" t="str">
        <x:v>BALI</x:v>
      </x:c>
      <x:c r="C393" s="6" t="str">
        <x:v>2024</x:v>
      </x:c>
      <x:c r="D393" s="6" t="str">
        <x:v>8</x:v>
      </x:c>
      <x:c r="E393" s="6" t="str">
        <x:v>4</x:v>
      </x:c>
      <x:c r="F393" s="6" t="str">
        <x:v>4</x:v>
      </x:c>
      <x:c r="G393" s="6" t="str">
        <x:v>0</x:v>
      </x:c>
      <x:c r="H393" s="6" t="str">
        <x:v>0</x:v>
      </x:c>
      <x:c r="I393" s="6" t="str">
        <x:v>0</x:v>
      </x:c>
      <x:c r="J393" s="6" t="str">
        <x:v>0</x:v>
      </x:c>
      <x:c r="K393" s="6" t="str">
        <x:v>4</x:v>
      </x:c>
      <x:c r="L393" s="6" t="str">
        <x:v>0</x:v>
      </x:c>
      <x:c r="M393" s="6" t="str">
        <x:v>0</x:v>
      </x:c>
      <x:c r="N393" s="6" t="str">
        <x:v>0</x:v>
      </x:c>
      <x:c r="O393" s="6" t="str">
        <x:v>0</x:v>
      </x:c>
      <x:c r="P393" s="6" t="str">
        <x:v>4</x:v>
      </x:c>
      <x:c r="Q393" s="6" t="str">
        <x:v>0.0</x:v>
      </x:c>
      <x:c r="R393" s="6" t="str">
        <x:v>4</x:v>
      </x:c>
      <x:c r="S393" s="6" t="str">
        <x:v>0.0</x:v>
      </x:c>
      <x:c r="T393" s="6" t="str">
        <x:v>4</x:v>
      </x:c>
      <x:c r="U393" s="6" t="str">
        <x:v>0.0</x:v>
      </x:c>
      <x:c r="V393" s="6" t="str">
        <x:v>4</x:v>
      </x:c>
      <x:c r="W393" s="6" t="str">
        <x:v>0.0</x:v>
      </x:c>
      <x:c r="X393" s="6" t="str">
        <x:v>4</x:v>
      </x:c>
      <x:c r="Y393" s="6" t="str"/>
      <x:c r="Z393" s="6" t="str">
        <x:v>0</x:v>
      </x:c>
      <x:c r="AA393" s="6" t="str">
        <x:v>0.0</x:v>
      </x:c>
      <x:c r="AB393" s="6" t="str">
        <x:v>4</x:v>
      </x:c>
      <x:c r="AC393" s="6" t="str">
        <x:v>2024-08</x:v>
      </x:c>
      <x:c r="AD393" s="9" t="str">
        <x:v>BNPB operational disaster search table</x:v>
      </x:c>
      <x:c r="AE393" s="9" t="str">
        <x:v>https://gis.bnpb.go.id/databencana/tabel/pencarian.php</x:v>
      </x:c>
      <x:c r="AF393" s="9" t="str">
        <x:v>operational_snapshot_annual_totals_may_differ</x:v>
      </x:c>
    </x:row>
    <x:row r="394" ht="18" customHeight="1">
      <x:c r="A394" s="6" t="str">
        <x:v>51</x:v>
      </x:c>
      <x:c r="B394" s="6" t="str">
        <x:v>BALI</x:v>
      </x:c>
      <x:c r="C394" s="6" t="str">
        <x:v>2024</x:v>
      </x:c>
      <x:c r="D394" s="6" t="str">
        <x:v>9</x:v>
      </x:c>
      <x:c r="E394" s="6" t="str">
        <x:v>7</x:v>
      </x:c>
      <x:c r="F394" s="6" t="str">
        <x:v>7</x:v>
      </x:c>
      <x:c r="G394" s="6" t="str">
        <x:v>0</x:v>
      </x:c>
      <x:c r="H394" s="6" t="str">
        <x:v>1</x:v>
      </x:c>
      <x:c r="I394" s="6" t="str">
        <x:v>0</x:v>
      </x:c>
      <x:c r="J394" s="6" t="str">
        <x:v>0</x:v>
      </x:c>
      <x:c r="K394" s="6" t="str">
        <x:v>3</x:v>
      </x:c>
      <x:c r="L394" s="6" t="str">
        <x:v>0</x:v>
      </x:c>
      <x:c r="M394" s="6" t="str">
        <x:v>3</x:v>
      </x:c>
      <x:c r="N394" s="6" t="str">
        <x:v>0</x:v>
      </x:c>
      <x:c r="O394" s="6" t="str">
        <x:v>0</x:v>
      </x:c>
      <x:c r="P394" s="6" t="str">
        <x:v>4</x:v>
      </x:c>
      <x:c r="Q394" s="6" t="str">
        <x:v>1.0</x:v>
      </x:c>
      <x:c r="R394" s="6" t="str">
        <x:v>7</x:v>
      </x:c>
      <x:c r="S394" s="6" t="str">
        <x:v>0.0</x:v>
      </x:c>
      <x:c r="T394" s="6" t="str">
        <x:v>7</x:v>
      </x:c>
      <x:c r="U394" s="6" t="str">
        <x:v>3.0</x:v>
      </x:c>
      <x:c r="V394" s="6" t="str">
        <x:v>7</x:v>
      </x:c>
      <x:c r="W394" s="6" t="str">
        <x:v>25.0</x:v>
      </x:c>
      <x:c r="X394" s="6" t="str">
        <x:v>7</x:v>
      </x:c>
      <x:c r="Y394" s="6" t="str"/>
      <x:c r="Z394" s="6" t="str">
        <x:v>0</x:v>
      </x:c>
      <x:c r="AA394" s="6" t="str">
        <x:v>10.0</x:v>
      </x:c>
      <x:c r="AB394" s="6" t="str">
        <x:v>7</x:v>
      </x:c>
      <x:c r="AC394" s="6" t="str">
        <x:v>2024-09</x:v>
      </x:c>
      <x:c r="AD394" s="9" t="str">
        <x:v>BNPB operational disaster search table</x:v>
      </x:c>
      <x:c r="AE394" s="9" t="str">
        <x:v>https://gis.bnpb.go.id/databencana/tabel/pencarian.php</x:v>
      </x:c>
      <x:c r="AF394" s="9" t="str">
        <x:v>operational_snapshot_annual_totals_may_differ</x:v>
      </x:c>
    </x:row>
    <x:row r="395" ht="18" customHeight="1">
      <x:c r="A395" s="6" t="str">
        <x:v>51</x:v>
      </x:c>
      <x:c r="B395" s="6" t="str">
        <x:v>BALI</x:v>
      </x:c>
      <x:c r="C395" s="6" t="str">
        <x:v>2024</x:v>
      </x:c>
      <x:c r="D395" s="6" t="str">
        <x:v>10</x:v>
      </x:c>
      <x:c r="E395" s="6" t="str">
        <x:v>7</x:v>
      </x:c>
      <x:c r="F395" s="6" t="str">
        <x:v>7</x:v>
      </x:c>
      <x:c r="G395" s="6" t="str">
        <x:v>0</x:v>
      </x:c>
      <x:c r="H395" s="6" t="str">
        <x:v>0</x:v>
      </x:c>
      <x:c r="I395" s="6" t="str">
        <x:v>3</x:v>
      </x:c>
      <x:c r="J395" s="6" t="str">
        <x:v>0</x:v>
      </x:c>
      <x:c r="K395" s="6" t="str">
        <x:v>4</x:v>
      </x:c>
      <x:c r="L395" s="6" t="str">
        <x:v>0</x:v>
      </x:c>
      <x:c r="M395" s="6" t="str">
        <x:v>0</x:v>
      </x:c>
      <x:c r="N395" s="6" t="str">
        <x:v>0</x:v>
      </x:c>
      <x:c r="O395" s="6" t="str">
        <x:v>0</x:v>
      </x:c>
      <x:c r="P395" s="6" t="str">
        <x:v>7</x:v>
      </x:c>
      <x:c r="Q395" s="6" t="str">
        <x:v>1.0</x:v>
      </x:c>
      <x:c r="R395" s="6" t="str">
        <x:v>7</x:v>
      </x:c>
      <x:c r="S395" s="6" t="str">
        <x:v>0.0</x:v>
      </x:c>
      <x:c r="T395" s="6" t="str">
        <x:v>7</x:v>
      </x:c>
      <x:c r="U395" s="6" t="str">
        <x:v>0.0</x:v>
      </x:c>
      <x:c r="V395" s="6" t="str">
        <x:v>7</x:v>
      </x:c>
      <x:c r="W395" s="6" t="str">
        <x:v>148.0</x:v>
      </x:c>
      <x:c r="X395" s="6" t="str">
        <x:v>7</x:v>
      </x:c>
      <x:c r="Y395" s="6" t="str"/>
      <x:c r="Z395" s="6" t="str">
        <x:v>0</x:v>
      </x:c>
      <x:c r="AA395" s="6" t="str">
        <x:v>0.0</x:v>
      </x:c>
      <x:c r="AB395" s="6" t="str">
        <x:v>7</x:v>
      </x:c>
      <x:c r="AC395" s="6" t="str">
        <x:v>2024-10</x:v>
      </x:c>
      <x:c r="AD395" s="9" t="str">
        <x:v>BNPB operational disaster search table</x:v>
      </x:c>
      <x:c r="AE395" s="9" t="str">
        <x:v>https://gis.bnpb.go.id/databencana/tabel/pencarian.php</x:v>
      </x:c>
      <x:c r="AF395" s="9" t="str">
        <x:v>operational_snapshot_annual_totals_may_differ</x:v>
      </x:c>
    </x:row>
    <x:row r="396" ht="18" customHeight="1">
      <x:c r="A396" s="6" t="str">
        <x:v>51</x:v>
      </x:c>
      <x:c r="B396" s="6" t="str">
        <x:v>BALI</x:v>
      </x:c>
      <x:c r="C396" s="6" t="str">
        <x:v>2024</x:v>
      </x:c>
      <x:c r="D396" s="6" t="str">
        <x:v>11</x:v>
      </x:c>
      <x:c r="E396" s="6" t="str">
        <x:v>3</x:v>
      </x:c>
      <x:c r="F396" s="6" t="str">
        <x:v>3</x:v>
      </x:c>
      <x:c r="G396" s="6" t="str">
        <x:v>0</x:v>
      </x:c>
      <x:c r="H396" s="6" t="str">
        <x:v>0</x:v>
      </x:c>
      <x:c r="I396" s="6" t="str">
        <x:v>3</x:v>
      </x:c>
      <x:c r="J396" s="6" t="str">
        <x:v>0</x:v>
      </x:c>
      <x:c r="K396" s="6" t="str">
        <x:v>0</x:v>
      </x:c>
      <x:c r="L396" s="6" t="str">
        <x:v>0</x:v>
      </x:c>
      <x:c r="M396" s="6" t="str">
        <x:v>0</x:v>
      </x:c>
      <x:c r="N396" s="6" t="str">
        <x:v>0</x:v>
      </x:c>
      <x:c r="O396" s="6" t="str">
        <x:v>0</x:v>
      </x:c>
      <x:c r="P396" s="6" t="str">
        <x:v>3</x:v>
      </x:c>
      <x:c r="Q396" s="6" t="str">
        <x:v>0.0</x:v>
      </x:c>
      <x:c r="R396" s="6" t="str">
        <x:v>3</x:v>
      </x:c>
      <x:c r="S396" s="6" t="str">
        <x:v>0.0</x:v>
      </x:c>
      <x:c r="T396" s="6" t="str">
        <x:v>3</x:v>
      </x:c>
      <x:c r="U396" s="6" t="str">
        <x:v>0.0</x:v>
      </x:c>
      <x:c r="V396" s="6" t="str">
        <x:v>3</x:v>
      </x:c>
      <x:c r="W396" s="6" t="str">
        <x:v>23.0</x:v>
      </x:c>
      <x:c r="X396" s="6" t="str">
        <x:v>3</x:v>
      </x:c>
      <x:c r="Y396" s="6" t="str"/>
      <x:c r="Z396" s="6" t="str">
        <x:v>0</x:v>
      </x:c>
      <x:c r="AA396" s="6" t="str">
        <x:v>0.0</x:v>
      </x:c>
      <x:c r="AB396" s="6" t="str">
        <x:v>3</x:v>
      </x:c>
      <x:c r="AC396" s="6" t="str">
        <x:v>2024-11</x:v>
      </x:c>
      <x:c r="AD396" s="9" t="str">
        <x:v>BNPB operational disaster search table</x:v>
      </x:c>
      <x:c r="AE396" s="9" t="str">
        <x:v>https://gis.bnpb.go.id/databencana/tabel/pencarian.php</x:v>
      </x:c>
      <x:c r="AF396" s="9" t="str">
        <x:v>operational_snapshot_annual_totals_may_differ</x:v>
      </x:c>
    </x:row>
    <x:row r="397" ht="18" customHeight="1">
      <x:c r="A397" s="6" t="str">
        <x:v>51</x:v>
      </x:c>
      <x:c r="B397" s="6" t="str">
        <x:v>BALI</x:v>
      </x:c>
      <x:c r="C397" s="6" t="str">
        <x:v>2024</x:v>
      </x:c>
      <x:c r="D397" s="6" t="str">
        <x:v>12</x:v>
      </x:c>
      <x:c r="E397" s="6" t="str">
        <x:v>9</x:v>
      </x:c>
      <x:c r="F397" s="6" t="str">
        <x:v>9</x:v>
      </x:c>
      <x:c r="G397" s="6" t="str">
        <x:v>1</x:v>
      </x:c>
      <x:c r="H397" s="6" t="str">
        <x:v>2</x:v>
      </x:c>
      <x:c r="I397" s="6" t="str">
        <x:v>6</x:v>
      </x:c>
      <x:c r="J397" s="6" t="str">
        <x:v>0</x:v>
      </x:c>
      <x:c r="K397" s="6" t="str">
        <x:v>0</x:v>
      </x:c>
      <x:c r="L397" s="6" t="str">
        <x:v>0</x:v>
      </x:c>
      <x:c r="M397" s="6" t="str">
        <x:v>0</x:v>
      </x:c>
      <x:c r="N397" s="6" t="str">
        <x:v>0</x:v>
      </x:c>
      <x:c r="O397" s="6" t="str">
        <x:v>0</x:v>
      </x:c>
      <x:c r="P397" s="6" t="str">
        <x:v>9</x:v>
      </x:c>
      <x:c r="Q397" s="6" t="str">
        <x:v>7.0</x:v>
      </x:c>
      <x:c r="R397" s="6" t="str">
        <x:v>9</x:v>
      </x:c>
      <x:c r="S397" s="6" t="str">
        <x:v>0.0</x:v>
      </x:c>
      <x:c r="T397" s="6" t="str">
        <x:v>9</x:v>
      </x:c>
      <x:c r="U397" s="6" t="str">
        <x:v>4.0</x:v>
      </x:c>
      <x:c r="V397" s="6" t="str">
        <x:v>9</x:v>
      </x:c>
      <x:c r="W397" s="6" t="str">
        <x:v>67.0</x:v>
      </x:c>
      <x:c r="X397" s="6" t="str">
        <x:v>9</x:v>
      </x:c>
      <x:c r="Y397" s="6" t="str"/>
      <x:c r="Z397" s="6" t="str">
        <x:v>0</x:v>
      </x:c>
      <x:c r="AA397" s="6" t="str">
        <x:v>0.0</x:v>
      </x:c>
      <x:c r="AB397" s="6" t="str">
        <x:v>9</x:v>
      </x:c>
      <x:c r="AC397" s="6" t="str">
        <x:v>2024-12</x:v>
      </x:c>
      <x:c r="AD397" s="9" t="str">
        <x:v>BNPB operational disaster search table</x:v>
      </x:c>
      <x:c r="AE397" s="9" t="str">
        <x:v>https://gis.bnpb.go.id/databencana/tabel/pencarian.php</x:v>
      </x:c>
      <x:c r="AF397" s="9" t="str">
        <x:v>operational_snapshot_annual_totals_may_differ</x:v>
      </x:c>
    </x:row>
    <x:row r="398" ht="18" customHeight="1">
      <x:c r="A398" s="6" t="str">
        <x:v>51</x:v>
      </x:c>
      <x:c r="B398" s="6" t="str">
        <x:v>BALI</x:v>
      </x:c>
      <x:c r="C398" s="6" t="str">
        <x:v>2025</x:v>
      </x:c>
      <x:c r="D398" s="6" t="str">
        <x:v>1</x:v>
      </x:c>
      <x:c r="E398" s="6" t="str">
        <x:v>6</x:v>
      </x:c>
      <x:c r="F398" s="6" t="str">
        <x:v>6</x:v>
      </x:c>
      <x:c r="G398" s="6" t="str">
        <x:v>0</x:v>
      </x:c>
      <x:c r="H398" s="6" t="str">
        <x:v>4</x:v>
      </x:c>
      <x:c r="I398" s="6" t="str">
        <x:v>2</x:v>
      </x:c>
      <x:c r="J398" s="6" t="str">
        <x:v>0</x:v>
      </x:c>
      <x:c r="K398" s="6" t="str">
        <x:v>0</x:v>
      </x:c>
      <x:c r="L398" s="6" t="str">
        <x:v>0</x:v>
      </x:c>
      <x:c r="M398" s="6" t="str">
        <x:v>0</x:v>
      </x:c>
      <x:c r="N398" s="6" t="str">
        <x:v>0</x:v>
      </x:c>
      <x:c r="O398" s="6" t="str">
        <x:v>0</x:v>
      </x:c>
      <x:c r="P398" s="6" t="str">
        <x:v>6</x:v>
      </x:c>
      <x:c r="Q398" s="6" t="str">
        <x:v>9.0</x:v>
      </x:c>
      <x:c r="R398" s="6" t="str">
        <x:v>6</x:v>
      </x:c>
      <x:c r="S398" s="6" t="str">
        <x:v>0.0</x:v>
      </x:c>
      <x:c r="T398" s="6" t="str">
        <x:v>6</x:v>
      </x:c>
      <x:c r="U398" s="6" t="str">
        <x:v>7.0</x:v>
      </x:c>
      <x:c r="V398" s="6" t="str">
        <x:v>6</x:v>
      </x:c>
      <x:c r="W398" s="6" t="str">
        <x:v>50.0</x:v>
      </x:c>
      <x:c r="X398" s="6" t="str">
        <x:v>6</x:v>
      </x:c>
      <x:c r="Y398" s="6" t="str"/>
      <x:c r="Z398" s="6" t="str">
        <x:v>0</x:v>
      </x:c>
      <x:c r="AA398" s="6" t="str">
        <x:v>9.0</x:v>
      </x:c>
      <x:c r="AB398" s="6" t="str">
        <x:v>6</x:v>
      </x:c>
      <x:c r="AC398" s="6" t="str">
        <x:v>2025-01</x:v>
      </x:c>
      <x:c r="AD398" s="9" t="str">
        <x:v>BNPB operational disaster search table</x:v>
      </x:c>
      <x:c r="AE398" s="9" t="str">
        <x:v>https://gis.bnpb.go.id/databencana/tabel/pencarian.php</x:v>
      </x:c>
      <x:c r="AF398" s="9" t="str">
        <x:v>operational_snapshot_annual_totals_may_differ</x:v>
      </x:c>
    </x:row>
    <x:row r="399" ht="18" customHeight="1">
      <x:c r="A399" s="6" t="str">
        <x:v>51</x:v>
      </x:c>
      <x:c r="B399" s="6" t="str">
        <x:v>BALI</x:v>
      </x:c>
      <x:c r="C399" s="6" t="str">
        <x:v>2025</x:v>
      </x:c>
      <x:c r="D399" s="6" t="str">
        <x:v>2</x:v>
      </x:c>
      <x:c r="E399" s="6" t="str">
        <x:v>7</x:v>
      </x:c>
      <x:c r="F399" s="6" t="str">
        <x:v>7</x:v>
      </x:c>
      <x:c r="G399" s="6" t="str">
        <x:v>0</x:v>
      </x:c>
      <x:c r="H399" s="6" t="str">
        <x:v>0</x:v>
      </x:c>
      <x:c r="I399" s="6" t="str">
        <x:v>7</x:v>
      </x:c>
      <x:c r="J399" s="6" t="str">
        <x:v>0</x:v>
      </x:c>
      <x:c r="K399" s="6" t="str">
        <x:v>0</x:v>
      </x:c>
      <x:c r="L399" s="6" t="str">
        <x:v>0</x:v>
      </x:c>
      <x:c r="M399" s="6" t="str">
        <x:v>0</x:v>
      </x:c>
      <x:c r="N399" s="6" t="str">
        <x:v>0</x:v>
      </x:c>
      <x:c r="O399" s="6" t="str">
        <x:v>0</x:v>
      </x:c>
      <x:c r="P399" s="6" t="str">
        <x:v>7</x:v>
      </x:c>
      <x:c r="Q399" s="6" t="str">
        <x:v>5.0</x:v>
      </x:c>
      <x:c r="R399" s="6" t="str">
        <x:v>7</x:v>
      </x:c>
      <x:c r="S399" s="6" t="str">
        <x:v>0.0</x:v>
      </x:c>
      <x:c r="T399" s="6" t="str">
        <x:v>7</x:v>
      </x:c>
      <x:c r="U399" s="6" t="str">
        <x:v>6.0</x:v>
      </x:c>
      <x:c r="V399" s="6" t="str">
        <x:v>7</x:v>
      </x:c>
      <x:c r="W399" s="6" t="str">
        <x:v>61.0</x:v>
      </x:c>
      <x:c r="X399" s="6" t="str">
        <x:v>7</x:v>
      </x:c>
      <x:c r="Y399" s="6" t="str"/>
      <x:c r="Z399" s="6" t="str">
        <x:v>0</x:v>
      </x:c>
      <x:c r="AA399" s="6" t="str">
        <x:v>6.0</x:v>
      </x:c>
      <x:c r="AB399" s="6" t="str">
        <x:v>7</x:v>
      </x:c>
      <x:c r="AC399" s="6" t="str">
        <x:v>2025-02</x:v>
      </x:c>
      <x:c r="AD399" s="9" t="str">
        <x:v>BNPB operational disaster search table</x:v>
      </x:c>
      <x:c r="AE399" s="9" t="str">
        <x:v>https://gis.bnpb.go.id/databencana/tabel/pencarian.php</x:v>
      </x:c>
      <x:c r="AF399" s="9" t="str">
        <x:v>operational_snapshot_annual_totals_may_differ</x:v>
      </x:c>
    </x:row>
    <x:row r="400" ht="18" customHeight="1">
      <x:c r="A400" s="6" t="str">
        <x:v>51</x:v>
      </x:c>
      <x:c r="B400" s="6" t="str">
        <x:v>BALI</x:v>
      </x:c>
      <x:c r="C400" s="6" t="str">
        <x:v>2025</x:v>
      </x:c>
      <x:c r="D400" s="6" t="str">
        <x:v>3</x:v>
      </x:c>
      <x:c r="E400" s="6" t="str">
        <x:v>11</x:v>
      </x:c>
      <x:c r="F400" s="6" t="str">
        <x:v>11</x:v>
      </x:c>
      <x:c r="G400" s="6" t="str">
        <x:v>1</x:v>
      </x:c>
      <x:c r="H400" s="6" t="str">
        <x:v>0</x:v>
      </x:c>
      <x:c r="I400" s="6" t="str">
        <x:v>10</x:v>
      </x:c>
      <x:c r="J400" s="6" t="str">
        <x:v>0</x:v>
      </x:c>
      <x:c r="K400" s="6" t="str">
        <x:v>0</x:v>
      </x:c>
      <x:c r="L400" s="6" t="str">
        <x:v>0</x:v>
      </x:c>
      <x:c r="M400" s="6" t="str">
        <x:v>0</x:v>
      </x:c>
      <x:c r="N400" s="6" t="str">
        <x:v>0</x:v>
      </x:c>
      <x:c r="O400" s="6" t="str">
        <x:v>0</x:v>
      </x:c>
      <x:c r="P400" s="6" t="str">
        <x:v>11</x:v>
      </x:c>
      <x:c r="Q400" s="6" t="str">
        <x:v>7.0</x:v>
      </x:c>
      <x:c r="R400" s="6" t="str">
        <x:v>11</x:v>
      </x:c>
      <x:c r="S400" s="6" t="str">
        <x:v>0.0</x:v>
      </x:c>
      <x:c r="T400" s="6" t="str">
        <x:v>11</x:v>
      </x:c>
      <x:c r="U400" s="6" t="str">
        <x:v>4.0</x:v>
      </x:c>
      <x:c r="V400" s="6" t="str">
        <x:v>11</x:v>
      </x:c>
      <x:c r="W400" s="6" t="str">
        <x:v>45.0</x:v>
      </x:c>
      <x:c r="X400" s="6" t="str">
        <x:v>11</x:v>
      </x:c>
      <x:c r="Y400" s="6" t="str"/>
      <x:c r="Z400" s="6" t="str">
        <x:v>0</x:v>
      </x:c>
      <x:c r="AA400" s="6" t="str">
        <x:v>21.0</x:v>
      </x:c>
      <x:c r="AB400" s="6" t="str">
        <x:v>11</x:v>
      </x:c>
      <x:c r="AC400" s="6" t="str">
        <x:v>2025-03</x:v>
      </x:c>
      <x:c r="AD400" s="9" t="str">
        <x:v>BNPB operational disaster search table</x:v>
      </x:c>
      <x:c r="AE400" s="9" t="str">
        <x:v>https://gis.bnpb.go.id/databencana/tabel/pencarian.php</x:v>
      </x:c>
      <x:c r="AF400" s="9" t="str">
        <x:v>operational_snapshot_annual_totals_may_differ</x:v>
      </x:c>
    </x:row>
    <x:row r="401" ht="18" customHeight="1">
      <x:c r="A401" s="6" t="str">
        <x:v>51</x:v>
      </x:c>
      <x:c r="B401" s="6" t="str">
        <x:v>BALI</x:v>
      </x:c>
      <x:c r="C401" s="6" t="str">
        <x:v>2025</x:v>
      </x:c>
      <x:c r="D401" s="6" t="str">
        <x:v>4</x:v>
      </x:c>
      <x:c r="E401" s="6" t="str">
        <x:v>0</x:v>
      </x:c>
      <x:c r="F401" s="6" t="str">
        <x:v>0</x:v>
      </x:c>
      <x:c r="G401" s="6" t="str">
        <x:v>0</x:v>
      </x:c>
      <x:c r="H401" s="6" t="str">
        <x:v>0</x:v>
      </x:c>
      <x:c r="I401" s="6" t="str">
        <x:v>0</x:v>
      </x:c>
      <x:c r="J401" s="6" t="str">
        <x:v>0</x:v>
      </x:c>
      <x:c r="K401" s="6" t="str">
        <x:v>0</x:v>
      </x:c>
      <x:c r="L401" s="6" t="str">
        <x:v>0</x:v>
      </x:c>
      <x:c r="M401" s="6" t="str">
        <x:v>0</x:v>
      </x:c>
      <x:c r="N401" s="6" t="str">
        <x:v>0</x:v>
      </x:c>
      <x:c r="O401" s="6" t="str">
        <x:v>0</x:v>
      </x:c>
      <x:c r="P401" s="6" t="str">
        <x:v>0</x:v>
      </x:c>
      <x:c r="Q401" s="6" t="str"/>
      <x:c r="R401" s="6" t="str">
        <x:v>0</x:v>
      </x:c>
      <x:c r="S401" s="6" t="str"/>
      <x:c r="T401" s="6" t="str">
        <x:v>0</x:v>
      </x:c>
      <x:c r="U401" s="6" t="str"/>
      <x:c r="V401" s="6" t="str">
        <x:v>0</x:v>
      </x:c>
      <x:c r="W401" s="6" t="str"/>
      <x:c r="X401" s="6" t="str">
        <x:v>0</x:v>
      </x:c>
      <x:c r="Y401" s="6" t="str"/>
      <x:c r="Z401" s="6" t="str">
        <x:v>0</x:v>
      </x:c>
      <x:c r="AA401" s="6" t="str"/>
      <x:c r="AB401" s="6" t="str">
        <x:v>0</x:v>
      </x:c>
      <x:c r="AC401" s="6" t="str">
        <x:v>2025-04</x:v>
      </x:c>
      <x:c r="AD401" s="9" t="str">
        <x:v>BNPB operational disaster search table</x:v>
      </x:c>
      <x:c r="AE401" s="9" t="str">
        <x:v>https://gis.bnpb.go.id/databencana/tabel/pencarian.php</x:v>
      </x:c>
      <x:c r="AF401" s="9" t="str">
        <x:v>operational_snapshot_annual_totals_may_differ</x:v>
      </x:c>
    </x:row>
    <x:row r="402" ht="18" customHeight="1">
      <x:c r="A402" s="6" t="str">
        <x:v>51</x:v>
      </x:c>
      <x:c r="B402" s="6" t="str">
        <x:v>BALI</x:v>
      </x:c>
      <x:c r="C402" s="6" t="str">
        <x:v>2025</x:v>
      </x:c>
      <x:c r="D402" s="6" t="str">
        <x:v>5</x:v>
      </x:c>
      <x:c r="E402" s="6" t="str">
        <x:v>1</x:v>
      </x:c>
      <x:c r="F402" s="6" t="str">
        <x:v>1</x:v>
      </x:c>
      <x:c r="G402" s="6" t="str">
        <x:v>0</x:v>
      </x:c>
      <x:c r="H402" s="6" t="str">
        <x:v>0</x:v>
      </x:c>
      <x:c r="I402" s="6" t="str">
        <x:v>0</x:v>
      </x:c>
      <x:c r="J402" s="6" t="str">
        <x:v>0</x:v>
      </x:c>
      <x:c r="K402" s="6" t="str">
        <x:v>1</x:v>
      </x:c>
      <x:c r="L402" s="6" t="str">
        <x:v>0</x:v>
      </x:c>
      <x:c r="M402" s="6" t="str">
        <x:v>0</x:v>
      </x:c>
      <x:c r="N402" s="6" t="str">
        <x:v>0</x:v>
      </x:c>
      <x:c r="O402" s="6" t="str">
        <x:v>0</x:v>
      </x:c>
      <x:c r="P402" s="6" t="str">
        <x:v>1</x:v>
      </x:c>
      <x:c r="Q402" s="6" t="str">
        <x:v>0.0</x:v>
      </x:c>
      <x:c r="R402" s="6" t="str">
        <x:v>1</x:v>
      </x:c>
      <x:c r="S402" s="6" t="str">
        <x:v>0.0</x:v>
      </x:c>
      <x:c r="T402" s="6" t="str">
        <x:v>1</x:v>
      </x:c>
      <x:c r="U402" s="6" t="str">
        <x:v>0.0</x:v>
      </x:c>
      <x:c r="V402" s="6" t="str">
        <x:v>1</x:v>
      </x:c>
      <x:c r="W402" s="6" t="str">
        <x:v>31.0</x:v>
      </x:c>
      <x:c r="X402" s="6" t="str">
        <x:v>1</x:v>
      </x:c>
      <x:c r="Y402" s="6" t="str"/>
      <x:c r="Z402" s="6" t="str">
        <x:v>0</x:v>
      </x:c>
      <x:c r="AA402" s="6" t="str">
        <x:v>2.0</x:v>
      </x:c>
      <x:c r="AB402" s="6" t="str">
        <x:v>1</x:v>
      </x:c>
      <x:c r="AC402" s="6" t="str">
        <x:v>2025-05</x:v>
      </x:c>
      <x:c r="AD402" s="9" t="str">
        <x:v>BNPB operational disaster search table</x:v>
      </x:c>
      <x:c r="AE402" s="9" t="str">
        <x:v>https://gis.bnpb.go.id/databencana/tabel/pencarian.php</x:v>
      </x:c>
      <x:c r="AF402" s="9" t="str">
        <x:v>operational_snapshot_annual_totals_may_differ</x:v>
      </x:c>
    </x:row>
    <x:row r="403" ht="18" customHeight="1">
      <x:c r="A403" s="6" t="str">
        <x:v>51</x:v>
      </x:c>
      <x:c r="B403" s="6" t="str">
        <x:v>BALI</x:v>
      </x:c>
      <x:c r="C403" s="6" t="str">
        <x:v>2025</x:v>
      </x:c>
      <x:c r="D403" s="6" t="str">
        <x:v>6</x:v>
      </x:c>
      <x:c r="E403" s="6" t="str">
        <x:v>1</x:v>
      </x:c>
      <x:c r="F403" s="6" t="str">
        <x:v>1</x:v>
      </x:c>
      <x:c r="G403" s="6" t="str">
        <x:v>1</x:v>
      </x:c>
      <x:c r="H403" s="6" t="str">
        <x:v>0</x:v>
      </x:c>
      <x:c r="I403" s="6" t="str">
        <x:v>0</x:v>
      </x:c>
      <x:c r="J403" s="6" t="str">
        <x:v>0</x:v>
      </x:c>
      <x:c r="K403" s="6" t="str">
        <x:v>0</x:v>
      </x:c>
      <x:c r="L403" s="6" t="str">
        <x:v>0</x:v>
      </x:c>
      <x:c r="M403" s="6" t="str">
        <x:v>0</x:v>
      </x:c>
      <x:c r="N403" s="6" t="str">
        <x:v>0</x:v>
      </x:c>
      <x:c r="O403" s="6" t="str">
        <x:v>0</x:v>
      </x:c>
      <x:c r="P403" s="6" t="str">
        <x:v>1</x:v>
      </x:c>
      <x:c r="Q403" s="6" t="str">
        <x:v>0.0</x:v>
      </x:c>
      <x:c r="R403" s="6" t="str">
        <x:v>1</x:v>
      </x:c>
      <x:c r="S403" s="6" t="str">
        <x:v>0.0</x:v>
      </x:c>
      <x:c r="T403" s="6" t="str">
        <x:v>1</x:v>
      </x:c>
      <x:c r="U403" s="6" t="str">
        <x:v>0.0</x:v>
      </x:c>
      <x:c r="V403" s="6" t="str">
        <x:v>1</x:v>
      </x:c>
      <x:c r="W403" s="6" t="str">
        <x:v>0.0</x:v>
      </x:c>
      <x:c r="X403" s="6" t="str">
        <x:v>1</x:v>
      </x:c>
      <x:c r="Y403" s="6" t="str">
        <x:v>45.0</x:v>
      </x:c>
      <x:c r="Z403" s="6" t="str">
        <x:v>1</x:v>
      </x:c>
      <x:c r="AA403" s="6" t="str">
        <x:v>0.0</x:v>
      </x:c>
      <x:c r="AB403" s="6" t="str">
        <x:v>1</x:v>
      </x:c>
      <x:c r="AC403" s="6" t="str">
        <x:v>2025-06</x:v>
      </x:c>
      <x:c r="AD403" s="9" t="str">
        <x:v>BNPB operational disaster search table</x:v>
      </x:c>
      <x:c r="AE403" s="9" t="str">
        <x:v>https://gis.bnpb.go.id/databencana/tabel/pencarian.php</x:v>
      </x:c>
      <x:c r="AF403" s="9" t="str">
        <x:v>operational_snapshot_annual_totals_may_differ</x:v>
      </x:c>
    </x:row>
    <x:row r="404" ht="18" customHeight="1">
      <x:c r="A404" s="6" t="str">
        <x:v>51</x:v>
      </x:c>
      <x:c r="B404" s="6" t="str">
        <x:v>BALI</x:v>
      </x:c>
      <x:c r="C404" s="6" t="str">
        <x:v>2025</x:v>
      </x:c>
      <x:c r="D404" s="6" t="str">
        <x:v>7</x:v>
      </x:c>
      <x:c r="E404" s="6" t="str">
        <x:v>3</x:v>
      </x:c>
      <x:c r="F404" s="6" t="str">
        <x:v>3</x:v>
      </x:c>
      <x:c r="G404" s="6" t="str">
        <x:v>2</x:v>
      </x:c>
      <x:c r="H404" s="6" t="str">
        <x:v>0</x:v>
      </x:c>
      <x:c r="I404" s="6" t="str">
        <x:v>1</x:v>
      </x:c>
      <x:c r="J404" s="6" t="str">
        <x:v>0</x:v>
      </x:c>
      <x:c r="K404" s="6" t="str">
        <x:v>0</x:v>
      </x:c>
      <x:c r="L404" s="6" t="str">
        <x:v>0</x:v>
      </x:c>
      <x:c r="M404" s="6" t="str">
        <x:v>0</x:v>
      </x:c>
      <x:c r="N404" s="6" t="str">
        <x:v>0</x:v>
      </x:c>
      <x:c r="O404" s="6" t="str">
        <x:v>0</x:v>
      </x:c>
      <x:c r="P404" s="6" t="str">
        <x:v>3</x:v>
      </x:c>
      <x:c r="Q404" s="6" t="str">
        <x:v>2.0</x:v>
      </x:c>
      <x:c r="R404" s="6" t="str">
        <x:v>1</x:v>
      </x:c>
      <x:c r="S404" s="6" t="str"/>
      <x:c r="T404" s="6" t="str">
        <x:v>0</x:v>
      </x:c>
      <x:c r="U404" s="6" t="str"/>
      <x:c r="V404" s="6" t="str">
        <x:v>0</x:v>
      </x:c>
      <x:c r="W404" s="6" t="str">
        <x:v>0.0</x:v>
      </x:c>
      <x:c r="X404" s="6" t="str">
        <x:v>3</x:v>
      </x:c>
      <x:c r="Y404" s="6" t="str">
        <x:v>159.0</x:v>
      </x:c>
      <x:c r="Z404" s="6" t="str">
        <x:v>2</x:v>
      </x:c>
      <x:c r="AA404" s="6" t="str">
        <x:v>0.0</x:v>
      </x:c>
      <x:c r="AB404" s="6" t="str">
        <x:v>3</x:v>
      </x:c>
      <x:c r="AC404" s="6" t="str">
        <x:v>2025-07</x:v>
      </x:c>
      <x:c r="AD404" s="9" t="str">
        <x:v>BNPB operational disaster search table</x:v>
      </x:c>
      <x:c r="AE404" s="9" t="str">
        <x:v>https://gis.bnpb.go.id/databencana/tabel/pencarian.php</x:v>
      </x:c>
      <x:c r="AF404" s="9" t="str">
        <x:v>operational_snapshot_annual_totals_may_differ</x:v>
      </x:c>
    </x:row>
    <x:row r="405" ht="18" customHeight="1">
      <x:c r="A405" s="6" t="str">
        <x:v>51</x:v>
      </x:c>
      <x:c r="B405" s="6" t="str">
        <x:v>BALI</x:v>
      </x:c>
      <x:c r="C405" s="6" t="str">
        <x:v>2025</x:v>
      </x:c>
      <x:c r="D405" s="6" t="str">
        <x:v>8</x:v>
      </x:c>
      <x:c r="E405" s="6" t="str">
        <x:v>1</x:v>
      </x:c>
      <x:c r="F405" s="6" t="str">
        <x:v>1</x:v>
      </x:c>
      <x:c r="G405" s="6" t="str">
        <x:v>0</x:v>
      </x:c>
      <x:c r="H405" s="6" t="str">
        <x:v>0</x:v>
      </x:c>
      <x:c r="I405" s="6" t="str">
        <x:v>0</x:v>
      </x:c>
      <x:c r="J405" s="6" t="str">
        <x:v>0</x:v>
      </x:c>
      <x:c r="K405" s="6" t="str">
        <x:v>0</x:v>
      </x:c>
      <x:c r="L405" s="6" t="str">
        <x:v>1</x:v>
      </x:c>
      <x:c r="M405" s="6" t="str">
        <x:v>0</x:v>
      </x:c>
      <x:c r="N405" s="6" t="str">
        <x:v>0</x:v>
      </x:c>
      <x:c r="O405" s="6" t="str">
        <x:v>0</x:v>
      </x:c>
      <x:c r="P405" s="6" t="str">
        <x:v>1</x:v>
      </x:c>
      <x:c r="Q405" s="6" t="str">
        <x:v>3.0</x:v>
      </x:c>
      <x:c r="R405" s="6" t="str">
        <x:v>1</x:v>
      </x:c>
      <x:c r="S405" s="6" t="str"/>
      <x:c r="T405" s="6" t="str">
        <x:v>0</x:v>
      </x:c>
      <x:c r="U405" s="6" t="str"/>
      <x:c r="V405" s="6" t="str">
        <x:v>0</x:v>
      </x:c>
      <x:c r="W405" s="6" t="str">
        <x:v>0.0</x:v>
      </x:c>
      <x:c r="X405" s="6" t="str">
        <x:v>1</x:v>
      </x:c>
      <x:c r="Y405" s="6" t="str"/>
      <x:c r="Z405" s="6" t="str">
        <x:v>0</x:v>
      </x:c>
      <x:c r="AA405" s="6" t="str">
        <x:v>0.0</x:v>
      </x:c>
      <x:c r="AB405" s="6" t="str">
        <x:v>1</x:v>
      </x:c>
      <x:c r="AC405" s="6" t="str">
        <x:v>2025-08</x:v>
      </x:c>
      <x:c r="AD405" s="9" t="str">
        <x:v>BNPB operational disaster search table</x:v>
      </x:c>
      <x:c r="AE405" s="9" t="str">
        <x:v>https://gis.bnpb.go.id/databencana/tabel/pencarian.php</x:v>
      </x:c>
      <x:c r="AF405" s="9" t="str">
        <x:v>operational_snapshot_annual_totals_may_differ</x:v>
      </x:c>
    </x:row>
    <x:row r="406" ht="18" customHeight="1">
      <x:c r="A406" s="6" t="str">
        <x:v>51</x:v>
      </x:c>
      <x:c r="B406" s="6" t="str">
        <x:v>BALI</x:v>
      </x:c>
      <x:c r="C406" s="6" t="str">
        <x:v>2025</x:v>
      </x:c>
      <x:c r="D406" s="6" t="str">
        <x:v>9</x:v>
      </x:c>
      <x:c r="E406" s="6" t="str">
        <x:v>9</x:v>
      </x:c>
      <x:c r="F406" s="6" t="str">
        <x:v>9</x:v>
      </x:c>
      <x:c r="G406" s="6" t="str">
        <x:v>8</x:v>
      </x:c>
      <x:c r="H406" s="6" t="str">
        <x:v>0</x:v>
      </x:c>
      <x:c r="I406" s="6" t="str">
        <x:v>0</x:v>
      </x:c>
      <x:c r="J406" s="6" t="str">
        <x:v>0</x:v>
      </x:c>
      <x:c r="K406" s="6" t="str">
        <x:v>0</x:v>
      </x:c>
      <x:c r="L406" s="6" t="str">
        <x:v>0</x:v>
      </x:c>
      <x:c r="M406" s="6" t="str">
        <x:v>1</x:v>
      </x:c>
      <x:c r="N406" s="6" t="str">
        <x:v>0</x:v>
      </x:c>
      <x:c r="O406" s="6" t="str">
        <x:v>0</x:v>
      </x:c>
      <x:c r="P406" s="6" t="str">
        <x:v>8</x:v>
      </x:c>
      <x:c r="Q406" s="6" t="str">
        <x:v>18.0</x:v>
      </x:c>
      <x:c r="R406" s="6" t="str">
        <x:v>4</x:v>
      </x:c>
      <x:c r="S406" s="6" t="str">
        <x:v>4.0</x:v>
      </x:c>
      <x:c r="T406" s="6" t="str">
        <x:v>2</x:v>
      </x:c>
      <x:c r="U406" s="6" t="str"/>
      <x:c r="V406" s="6" t="str">
        <x:v>0</x:v>
      </x:c>
      <x:c r="W406" s="6" t="str">
        <x:v>2381.0</x:v>
      </x:c>
      <x:c r="X406" s="6" t="str">
        <x:v>9</x:v>
      </x:c>
      <x:c r="Y406" s="6" t="str">
        <x:v>51.0</x:v>
      </x:c>
      <x:c r="Z406" s="6" t="str">
        <x:v>3</x:v>
      </x:c>
      <x:c r="AA406" s="6" t="str">
        <x:v>6.0</x:v>
      </x:c>
      <x:c r="AB406" s="6" t="str">
        <x:v>9</x:v>
      </x:c>
      <x:c r="AC406" s="6" t="str">
        <x:v>2025-09</x:v>
      </x:c>
      <x:c r="AD406" s="9" t="str">
        <x:v>BNPB operational disaster search table</x:v>
      </x:c>
      <x:c r="AE406" s="9" t="str">
        <x:v>https://gis.bnpb.go.id/databencana/tabel/pencarian.php</x:v>
      </x:c>
      <x:c r="AF406" s="9" t="str">
        <x:v>operational_snapshot_annual_totals_may_differ</x:v>
      </x:c>
    </x:row>
    <x:row r="407" ht="18" customHeight="1">
      <x:c r="A407" s="6" t="str">
        <x:v>51</x:v>
      </x:c>
      <x:c r="B407" s="6" t="str">
        <x:v>BALI</x:v>
      </x:c>
      <x:c r="C407" s="6" t="str">
        <x:v>2025</x:v>
      </x:c>
      <x:c r="D407" s="6" t="str">
        <x:v>10</x:v>
      </x:c>
      <x:c r="E407" s="6" t="str">
        <x:v>0</x:v>
      </x:c>
      <x:c r="F407" s="6" t="str">
        <x:v>0</x:v>
      </x:c>
      <x:c r="G407" s="6" t="str">
        <x:v>0</x:v>
      </x:c>
      <x:c r="H407" s="6" t="str">
        <x:v>0</x:v>
      </x:c>
      <x:c r="I407" s="6" t="str">
        <x:v>0</x:v>
      </x:c>
      <x:c r="J407" s="6" t="str">
        <x:v>0</x:v>
      </x:c>
      <x:c r="K407" s="6" t="str">
        <x:v>0</x:v>
      </x:c>
      <x:c r="L407" s="6" t="str">
        <x:v>0</x:v>
      </x:c>
      <x:c r="M407" s="6" t="str">
        <x:v>0</x:v>
      </x:c>
      <x:c r="N407" s="6" t="str">
        <x:v>0</x:v>
      </x:c>
      <x:c r="O407" s="6" t="str">
        <x:v>0</x:v>
      </x:c>
      <x:c r="P407" s="6" t="str">
        <x:v>0</x:v>
      </x:c>
      <x:c r="Q407" s="6" t="str"/>
      <x:c r="R407" s="6" t="str">
        <x:v>0</x:v>
      </x:c>
      <x:c r="S407" s="6" t="str"/>
      <x:c r="T407" s="6" t="str">
        <x:v>0</x:v>
      </x:c>
      <x:c r="U407" s="6" t="str"/>
      <x:c r="V407" s="6" t="str">
        <x:v>0</x:v>
      </x:c>
      <x:c r="W407" s="6" t="str"/>
      <x:c r="X407" s="6" t="str">
        <x:v>0</x:v>
      </x:c>
      <x:c r="Y407" s="6" t="str"/>
      <x:c r="Z407" s="6" t="str">
        <x:v>0</x:v>
      </x:c>
      <x:c r="AA407" s="6" t="str"/>
      <x:c r="AB407" s="6" t="str">
        <x:v>0</x:v>
      </x:c>
      <x:c r="AC407" s="6" t="str">
        <x:v>2025-10</x:v>
      </x:c>
      <x:c r="AD407" s="9" t="str">
        <x:v>BNPB operational disaster search table</x:v>
      </x:c>
      <x:c r="AE407" s="9" t="str">
        <x:v>https://gis.bnpb.go.id/databencana/tabel/pencarian.php</x:v>
      </x:c>
      <x:c r="AF407" s="9" t="str">
        <x:v>operational_snapshot_annual_totals_may_differ</x:v>
      </x:c>
    </x:row>
    <x:row r="408" ht="18" customHeight="1">
      <x:c r="A408" s="6" t="str">
        <x:v>51</x:v>
      </x:c>
      <x:c r="B408" s="6" t="str">
        <x:v>BALI</x:v>
      </x:c>
      <x:c r="C408" s="6" t="str">
        <x:v>2025</x:v>
      </x:c>
      <x:c r="D408" s="6" t="str">
        <x:v>11</x:v>
      </x:c>
      <x:c r="E408" s="6" t="str">
        <x:v>0</x:v>
      </x:c>
      <x:c r="F408" s="6" t="str">
        <x:v>0</x:v>
      </x:c>
      <x:c r="G408" s="6" t="str">
        <x:v>0</x:v>
      </x:c>
      <x:c r="H408" s="6" t="str">
        <x:v>0</x:v>
      </x:c>
      <x:c r="I408" s="6" t="str">
        <x:v>0</x:v>
      </x:c>
      <x:c r="J408" s="6" t="str">
        <x:v>0</x:v>
      </x:c>
      <x:c r="K408" s="6" t="str">
        <x:v>0</x:v>
      </x:c>
      <x:c r="L408" s="6" t="str">
        <x:v>0</x:v>
      </x:c>
      <x:c r="M408" s="6" t="str">
        <x:v>0</x:v>
      </x:c>
      <x:c r="N408" s="6" t="str">
        <x:v>0</x:v>
      </x:c>
      <x:c r="O408" s="6" t="str">
        <x:v>0</x:v>
      </x:c>
      <x:c r="P408" s="6" t="str">
        <x:v>0</x:v>
      </x:c>
      <x:c r="Q408" s="6" t="str"/>
      <x:c r="R408" s="6" t="str">
        <x:v>0</x:v>
      </x:c>
      <x:c r="S408" s="6" t="str"/>
      <x:c r="T408" s="6" t="str">
        <x:v>0</x:v>
      </x:c>
      <x:c r="U408" s="6" t="str"/>
      <x:c r="V408" s="6" t="str">
        <x:v>0</x:v>
      </x:c>
      <x:c r="W408" s="6" t="str"/>
      <x:c r="X408" s="6" t="str">
        <x:v>0</x:v>
      </x:c>
      <x:c r="Y408" s="6" t="str"/>
      <x:c r="Z408" s="6" t="str">
        <x:v>0</x:v>
      </x:c>
      <x:c r="AA408" s="6" t="str"/>
      <x:c r="AB408" s="6" t="str">
        <x:v>0</x:v>
      </x:c>
      <x:c r="AC408" s="6" t="str">
        <x:v>2025-11</x:v>
      </x:c>
      <x:c r="AD408" s="9" t="str">
        <x:v>BNPB operational disaster search table</x:v>
      </x:c>
      <x:c r="AE408" s="9" t="str">
        <x:v>https://gis.bnpb.go.id/databencana/tabel/pencarian.php</x:v>
      </x:c>
      <x:c r="AF408" s="9" t="str">
        <x:v>operational_snapshot_annual_totals_may_differ</x:v>
      </x:c>
    </x:row>
    <x:row r="409" ht="18" customHeight="1">
      <x:c r="A409" s="6" t="str">
        <x:v>51</x:v>
      </x:c>
      <x:c r="B409" s="6" t="str">
        <x:v>BALI</x:v>
      </x:c>
      <x:c r="C409" s="6" t="str">
        <x:v>2025</x:v>
      </x:c>
      <x:c r="D409" s="6" t="str">
        <x:v>12</x:v>
      </x:c>
      <x:c r="E409" s="6" t="str">
        <x:v>2</x:v>
      </x:c>
      <x:c r="F409" s="6" t="str">
        <x:v>2</x:v>
      </x:c>
      <x:c r="G409" s="6" t="str">
        <x:v>2</x:v>
      </x:c>
      <x:c r="H409" s="6" t="str">
        <x:v>0</x:v>
      </x:c>
      <x:c r="I409" s="6" t="str">
        <x:v>0</x:v>
      </x:c>
      <x:c r="J409" s="6" t="str">
        <x:v>0</x:v>
      </x:c>
      <x:c r="K409" s="6" t="str">
        <x:v>0</x:v>
      </x:c>
      <x:c r="L409" s="6" t="str">
        <x:v>0</x:v>
      </x:c>
      <x:c r="M409" s="6" t="str">
        <x:v>0</x:v>
      </x:c>
      <x:c r="N409" s="6" t="str">
        <x:v>0</x:v>
      </x:c>
      <x:c r="O409" s="6" t="str">
        <x:v>0</x:v>
      </x:c>
      <x:c r="P409" s="6" t="str">
        <x:v>2</x:v>
      </x:c>
      <x:c r="Q409" s="6" t="str">
        <x:v>1.0</x:v>
      </x:c>
      <x:c r="R409" s="6" t="str">
        <x:v>1</x:v>
      </x:c>
      <x:c r="S409" s="6" t="str"/>
      <x:c r="T409" s="6" t="str">
        <x:v>0</x:v>
      </x:c>
      <x:c r="U409" s="6" t="str"/>
      <x:c r="V409" s="6" t="str">
        <x:v>0</x:v>
      </x:c>
      <x:c r="W409" s="6" t="str">
        <x:v>0.0</x:v>
      </x:c>
      <x:c r="X409" s="6" t="str">
        <x:v>2</x:v>
      </x:c>
      <x:c r="Y409" s="6" t="str">
        <x:v>191.0</x:v>
      </x:c>
      <x:c r="Z409" s="6" t="str">
        <x:v>1</x:v>
      </x:c>
      <x:c r="AA409" s="6" t="str">
        <x:v>0.0</x:v>
      </x:c>
      <x:c r="AB409" s="6" t="str">
        <x:v>2</x:v>
      </x:c>
      <x:c r="AC409" s="6" t="str">
        <x:v>2025-12</x:v>
      </x:c>
      <x:c r="AD409" s="9" t="str">
        <x:v>BNPB operational disaster search table</x:v>
      </x:c>
      <x:c r="AE409" s="9" t="str">
        <x:v>https://gis.bnpb.go.id/databencana/tabel/pencarian.php</x:v>
      </x:c>
      <x:c r="AF409" s="9" t="str">
        <x:v>operational_snapshot_annual_totals_may_differ</x:v>
      </x:c>
    </x:row>
    <x:row r="410" ht="18" customHeight="1">
      <x:c r="A410" s="6" t="str">
        <x:v>52</x:v>
      </x:c>
      <x:c r="B410" s="6" t="str">
        <x:v>NUSA TENGGARA BARAT</x:v>
      </x:c>
      <x:c r="C410" s="6" t="str">
        <x:v>2024</x:v>
      </x:c>
      <x:c r="D410" s="6" t="str">
        <x:v>1</x:v>
      </x:c>
      <x:c r="E410" s="6" t="str">
        <x:v>2</x:v>
      </x:c>
      <x:c r="F410" s="6" t="str">
        <x:v>2</x:v>
      </x:c>
      <x:c r="G410" s="6" t="str">
        <x:v>2</x:v>
      </x:c>
      <x:c r="H410" s="6" t="str">
        <x:v>0</x:v>
      </x:c>
      <x:c r="I410" s="6" t="str">
        <x:v>0</x:v>
      </x:c>
      <x:c r="J410" s="6" t="str">
        <x:v>0</x:v>
      </x:c>
      <x:c r="K410" s="6" t="str">
        <x:v>0</x:v>
      </x:c>
      <x:c r="L410" s="6" t="str">
        <x:v>0</x:v>
      </x:c>
      <x:c r="M410" s="6" t="str">
        <x:v>0</x:v>
      </x:c>
      <x:c r="N410" s="6" t="str">
        <x:v>0</x:v>
      </x:c>
      <x:c r="O410" s="6" t="str">
        <x:v>0</x:v>
      </x:c>
      <x:c r="P410" s="6" t="str">
        <x:v>2</x:v>
      </x:c>
      <x:c r="Q410" s="6" t="str">
        <x:v>0.0</x:v>
      </x:c>
      <x:c r="R410" s="6" t="str">
        <x:v>2</x:v>
      </x:c>
      <x:c r="S410" s="6" t="str">
        <x:v>0.0</x:v>
      </x:c>
      <x:c r="T410" s="6" t="str">
        <x:v>2</x:v>
      </x:c>
      <x:c r="U410" s="6" t="str">
        <x:v>0.0</x:v>
      </x:c>
      <x:c r="V410" s="6" t="str">
        <x:v>2</x:v>
      </x:c>
      <x:c r="W410" s="6" t="str">
        <x:v>0.0</x:v>
      </x:c>
      <x:c r="X410" s="6" t="str">
        <x:v>2</x:v>
      </x:c>
      <x:c r="Y410" s="6" t="str">
        <x:v>20.0</x:v>
      </x:c>
      <x:c r="Z410" s="6" t="str">
        <x:v>1</x:v>
      </x:c>
      <x:c r="AA410" s="6" t="str">
        <x:v>0.0</x:v>
      </x:c>
      <x:c r="AB410" s="6" t="str">
        <x:v>2</x:v>
      </x:c>
      <x:c r="AC410" s="6" t="str">
        <x:v>2024-01</x:v>
      </x:c>
      <x:c r="AD410" s="9" t="str">
        <x:v>BNPB operational disaster search table</x:v>
      </x:c>
      <x:c r="AE410" s="9" t="str">
        <x:v>https://gis.bnpb.go.id/databencana/tabel/pencarian.php</x:v>
      </x:c>
      <x:c r="AF410" s="9" t="str">
        <x:v>operational_snapshot_annual_totals_may_differ</x:v>
      </x:c>
    </x:row>
    <x:row r="411" ht="18" customHeight="1">
      <x:c r="A411" s="6" t="str">
        <x:v>52</x:v>
      </x:c>
      <x:c r="B411" s="6" t="str">
        <x:v>NUSA TENGGARA BARAT</x:v>
      </x:c>
      <x:c r="C411" s="6" t="str">
        <x:v>2024</x:v>
      </x:c>
      <x:c r="D411" s="6" t="str">
        <x:v>2</x:v>
      </x:c>
      <x:c r="E411" s="6" t="str">
        <x:v>10</x:v>
      </x:c>
      <x:c r="F411" s="6" t="str">
        <x:v>10</x:v>
      </x:c>
      <x:c r="G411" s="6" t="str">
        <x:v>8</x:v>
      </x:c>
      <x:c r="H411" s="6" t="str">
        <x:v>0</x:v>
      </x:c>
      <x:c r="I411" s="6" t="str">
        <x:v>2</x:v>
      </x:c>
      <x:c r="J411" s="6" t="str">
        <x:v>0</x:v>
      </x:c>
      <x:c r="K411" s="6" t="str">
        <x:v>0</x:v>
      </x:c>
      <x:c r="L411" s="6" t="str">
        <x:v>0</x:v>
      </x:c>
      <x:c r="M411" s="6" t="str">
        <x:v>0</x:v>
      </x:c>
      <x:c r="N411" s="6" t="str">
        <x:v>0</x:v>
      </x:c>
      <x:c r="O411" s="6" t="str">
        <x:v>0</x:v>
      </x:c>
      <x:c r="P411" s="6" t="str">
        <x:v>10</x:v>
      </x:c>
      <x:c r="Q411" s="6" t="str">
        <x:v>1.0</x:v>
      </x:c>
      <x:c r="R411" s="6" t="str">
        <x:v>10</x:v>
      </x:c>
      <x:c r="S411" s="6" t="str">
        <x:v>0.0</x:v>
      </x:c>
      <x:c r="T411" s="6" t="str">
        <x:v>10</x:v>
      </x:c>
      <x:c r="U411" s="6" t="str">
        <x:v>7.0</x:v>
      </x:c>
      <x:c r="V411" s="6" t="str">
        <x:v>10</x:v>
      </x:c>
      <x:c r="W411" s="6" t="str">
        <x:v>29.0</x:v>
      </x:c>
      <x:c r="X411" s="6" t="str">
        <x:v>10</x:v>
      </x:c>
      <x:c r="Y411" s="6" t="str">
        <x:v>30.0</x:v>
      </x:c>
      <x:c r="Z411" s="6" t="str">
        <x:v>1</x:v>
      </x:c>
      <x:c r="AA411" s="6" t="str">
        <x:v>3.0</x:v>
      </x:c>
      <x:c r="AB411" s="6" t="str">
        <x:v>10</x:v>
      </x:c>
      <x:c r="AC411" s="6" t="str">
        <x:v>2024-02</x:v>
      </x:c>
      <x:c r="AD411" s="9" t="str">
        <x:v>BNPB operational disaster search table</x:v>
      </x:c>
      <x:c r="AE411" s="9" t="str">
        <x:v>https://gis.bnpb.go.id/databencana/tabel/pencarian.php</x:v>
      </x:c>
      <x:c r="AF411" s="9" t="str">
        <x:v>operational_snapshot_annual_totals_may_differ</x:v>
      </x:c>
    </x:row>
    <x:row r="412" ht="18" customHeight="1">
      <x:c r="A412" s="6" t="str">
        <x:v>52</x:v>
      </x:c>
      <x:c r="B412" s="6" t="str">
        <x:v>NUSA TENGGARA BARAT</x:v>
      </x:c>
      <x:c r="C412" s="6" t="str">
        <x:v>2024</x:v>
      </x:c>
      <x:c r="D412" s="6" t="str">
        <x:v>3</x:v>
      </x:c>
      <x:c r="E412" s="6" t="str">
        <x:v>10</x:v>
      </x:c>
      <x:c r="F412" s="6" t="str">
        <x:v>10</x:v>
      </x:c>
      <x:c r="G412" s="6" t="str">
        <x:v>5</x:v>
      </x:c>
      <x:c r="H412" s="6" t="str">
        <x:v>1</x:v>
      </x:c>
      <x:c r="I412" s="6" t="str">
        <x:v>3</x:v>
      </x:c>
      <x:c r="J412" s="6" t="str">
        <x:v>0</x:v>
      </x:c>
      <x:c r="K412" s="6" t="str">
        <x:v>0</x:v>
      </x:c>
      <x:c r="L412" s="6" t="str">
        <x:v>1</x:v>
      </x:c>
      <x:c r="M412" s="6" t="str">
        <x:v>0</x:v>
      </x:c>
      <x:c r="N412" s="6" t="str">
        <x:v>0</x:v>
      </x:c>
      <x:c r="O412" s="6" t="str">
        <x:v>0</x:v>
      </x:c>
      <x:c r="P412" s="6" t="str">
        <x:v>10</x:v>
      </x:c>
      <x:c r="Q412" s="6" t="str">
        <x:v>0.0</x:v>
      </x:c>
      <x:c r="R412" s="6" t="str">
        <x:v>10</x:v>
      </x:c>
      <x:c r="S412" s="6" t="str">
        <x:v>0.0</x:v>
      </x:c>
      <x:c r="T412" s="6" t="str">
        <x:v>10</x:v>
      </x:c>
      <x:c r="U412" s="6" t="str">
        <x:v>0.0</x:v>
      </x:c>
      <x:c r="V412" s="6" t="str">
        <x:v>10</x:v>
      </x:c>
      <x:c r="W412" s="6" t="str">
        <x:v>79.0</x:v>
      </x:c>
      <x:c r="X412" s="6" t="str">
        <x:v>10</x:v>
      </x:c>
      <x:c r="Y412" s="6" t="str">
        <x:v>245.0</x:v>
      </x:c>
      <x:c r="Z412" s="6" t="str">
        <x:v>2</x:v>
      </x:c>
      <x:c r="AA412" s="6" t="str">
        <x:v>0.0</x:v>
      </x:c>
      <x:c r="AB412" s="6" t="str">
        <x:v>10</x:v>
      </x:c>
      <x:c r="AC412" s="6" t="str">
        <x:v>2024-03</x:v>
      </x:c>
      <x:c r="AD412" s="9" t="str">
        <x:v>BNPB operational disaster search table</x:v>
      </x:c>
      <x:c r="AE412" s="9" t="str">
        <x:v>https://gis.bnpb.go.id/databencana/tabel/pencarian.php</x:v>
      </x:c>
      <x:c r="AF412" s="9" t="str">
        <x:v>operational_snapshot_annual_totals_may_differ</x:v>
      </x:c>
    </x:row>
    <x:row r="413" ht="18" customHeight="1">
      <x:c r="A413" s="6" t="str">
        <x:v>52</x:v>
      </x:c>
      <x:c r="B413" s="6" t="str">
        <x:v>NUSA TENGGARA BARAT</x:v>
      </x:c>
      <x:c r="C413" s="6" t="str">
        <x:v>2024</x:v>
      </x:c>
      <x:c r="D413" s="6" t="str">
        <x:v>4</x:v>
      </x:c>
      <x:c r="E413" s="6" t="str">
        <x:v>2</x:v>
      </x:c>
      <x:c r="F413" s="6" t="str">
        <x:v>2</x:v>
      </x:c>
      <x:c r="G413" s="6" t="str">
        <x:v>2</x:v>
      </x:c>
      <x:c r="H413" s="6" t="str">
        <x:v>0</x:v>
      </x:c>
      <x:c r="I413" s="6" t="str">
        <x:v>0</x:v>
      </x:c>
      <x:c r="J413" s="6" t="str">
        <x:v>0</x:v>
      </x:c>
      <x:c r="K413" s="6" t="str">
        <x:v>0</x:v>
      </x:c>
      <x:c r="L413" s="6" t="str">
        <x:v>0</x:v>
      </x:c>
      <x:c r="M413" s="6" t="str">
        <x:v>0</x:v>
      </x:c>
      <x:c r="N413" s="6" t="str">
        <x:v>0</x:v>
      </x:c>
      <x:c r="O413" s="6" t="str">
        <x:v>0</x:v>
      </x:c>
      <x:c r="P413" s="6" t="str">
        <x:v>2</x:v>
      </x:c>
      <x:c r="Q413" s="6" t="str">
        <x:v>0.0</x:v>
      </x:c>
      <x:c r="R413" s="6" t="str">
        <x:v>2</x:v>
      </x:c>
      <x:c r="S413" s="6" t="str">
        <x:v>0.0</x:v>
      </x:c>
      <x:c r="T413" s="6" t="str">
        <x:v>2</x:v>
      </x:c>
      <x:c r="U413" s="6" t="str">
        <x:v>0.0</x:v>
      </x:c>
      <x:c r="V413" s="6" t="str">
        <x:v>2</x:v>
      </x:c>
      <x:c r="W413" s="6" t="str">
        <x:v>0.0</x:v>
      </x:c>
      <x:c r="X413" s="6" t="str">
        <x:v>2</x:v>
      </x:c>
      <x:c r="Y413" s="6" t="str">
        <x:v>145.0</x:v>
      </x:c>
      <x:c r="Z413" s="6" t="str">
        <x:v>1</x:v>
      </x:c>
      <x:c r="AA413" s="6" t="str">
        <x:v>0.0</x:v>
      </x:c>
      <x:c r="AB413" s="6" t="str">
        <x:v>2</x:v>
      </x:c>
      <x:c r="AC413" s="6" t="str">
        <x:v>2024-04</x:v>
      </x:c>
      <x:c r="AD413" s="9" t="str">
        <x:v>BNPB operational disaster search table</x:v>
      </x:c>
      <x:c r="AE413" s="9" t="str">
        <x:v>https://gis.bnpb.go.id/databencana/tabel/pencarian.php</x:v>
      </x:c>
      <x:c r="AF413" s="9" t="str">
        <x:v>operational_snapshot_annual_totals_may_differ</x:v>
      </x:c>
    </x:row>
    <x:row r="414" ht="18" customHeight="1">
      <x:c r="A414" s="6" t="str">
        <x:v>52</x:v>
      </x:c>
      <x:c r="B414" s="6" t="str">
        <x:v>NUSA TENGGARA BARAT</x:v>
      </x:c>
      <x:c r="C414" s="6" t="str">
        <x:v>2024</x:v>
      </x:c>
      <x:c r="D414" s="6" t="str">
        <x:v>5</x:v>
      </x:c>
      <x:c r="E414" s="6" t="str">
        <x:v>0</x:v>
      </x:c>
      <x:c r="F414" s="6" t="str">
        <x:v>0</x:v>
      </x:c>
      <x:c r="G414" s="6" t="str">
        <x:v>0</x:v>
      </x:c>
      <x:c r="H414" s="6" t="str">
        <x:v>0</x:v>
      </x:c>
      <x:c r="I414" s="6" t="str">
        <x:v>0</x:v>
      </x:c>
      <x:c r="J414" s="6" t="str">
        <x:v>0</x:v>
      </x:c>
      <x:c r="K414" s="6" t="str">
        <x:v>0</x:v>
      </x:c>
      <x:c r="L414" s="6" t="str">
        <x:v>0</x:v>
      </x:c>
      <x:c r="M414" s="6" t="str">
        <x:v>0</x:v>
      </x:c>
      <x:c r="N414" s="6" t="str">
        <x:v>0</x:v>
      </x:c>
      <x:c r="O414" s="6" t="str">
        <x:v>0</x:v>
      </x:c>
      <x:c r="P414" s="6" t="str">
        <x:v>0</x:v>
      </x:c>
      <x:c r="Q414" s="6" t="str"/>
      <x:c r="R414" s="6" t="str">
        <x:v>0</x:v>
      </x:c>
      <x:c r="S414" s="6" t="str"/>
      <x:c r="T414" s="6" t="str">
        <x:v>0</x:v>
      </x:c>
      <x:c r="U414" s="6" t="str"/>
      <x:c r="V414" s="6" t="str">
        <x:v>0</x:v>
      </x:c>
      <x:c r="W414" s="6" t="str"/>
      <x:c r="X414" s="6" t="str">
        <x:v>0</x:v>
      </x:c>
      <x:c r="Y414" s="6" t="str"/>
      <x:c r="Z414" s="6" t="str">
        <x:v>0</x:v>
      </x:c>
      <x:c r="AA414" s="6" t="str"/>
      <x:c r="AB414" s="6" t="str">
        <x:v>0</x:v>
      </x:c>
      <x:c r="AC414" s="6" t="str">
        <x:v>2024-05</x:v>
      </x:c>
      <x:c r="AD414" s="9" t="str">
        <x:v>BNPB operational disaster search table</x:v>
      </x:c>
      <x:c r="AE414" s="9" t="str">
        <x:v>https://gis.bnpb.go.id/databencana/tabel/pencarian.php</x:v>
      </x:c>
      <x:c r="AF414" s="9" t="str">
        <x:v>operational_snapshot_annual_totals_may_differ</x:v>
      </x:c>
    </x:row>
    <x:row r="415" ht="18" customHeight="1">
      <x:c r="A415" s="6" t="str">
        <x:v>52</x:v>
      </x:c>
      <x:c r="B415" s="6" t="str">
        <x:v>NUSA TENGGARA BARAT</x:v>
      </x:c>
      <x:c r="C415" s="6" t="str">
        <x:v>2024</x:v>
      </x:c>
      <x:c r="D415" s="6" t="str">
        <x:v>6</x:v>
      </x:c>
      <x:c r="E415" s="6" t="str">
        <x:v>7</x:v>
      </x:c>
      <x:c r="F415" s="6" t="str">
        <x:v>7</x:v>
      </x:c>
      <x:c r="G415" s="6" t="str">
        <x:v>0</x:v>
      </x:c>
      <x:c r="H415" s="6" t="str">
        <x:v>0</x:v>
      </x:c>
      <x:c r="I415" s="6" t="str">
        <x:v>0</x:v>
      </x:c>
      <x:c r="J415" s="6" t="str">
        <x:v>5</x:v>
      </x:c>
      <x:c r="K415" s="6" t="str">
        <x:v>2</x:v>
      </x:c>
      <x:c r="L415" s="6" t="str">
        <x:v>0</x:v>
      </x:c>
      <x:c r="M415" s="6" t="str">
        <x:v>0</x:v>
      </x:c>
      <x:c r="N415" s="6" t="str">
        <x:v>0</x:v>
      </x:c>
      <x:c r="O415" s="6" t="str">
        <x:v>0</x:v>
      </x:c>
      <x:c r="P415" s="6" t="str">
        <x:v>7</x:v>
      </x:c>
      <x:c r="Q415" s="6" t="str">
        <x:v>0.0</x:v>
      </x:c>
      <x:c r="R415" s="6" t="str">
        <x:v>7</x:v>
      </x:c>
      <x:c r="S415" s="6" t="str">
        <x:v>0.0</x:v>
      </x:c>
      <x:c r="T415" s="6" t="str">
        <x:v>7</x:v>
      </x:c>
      <x:c r="U415" s="6" t="str">
        <x:v>0.0</x:v>
      </x:c>
      <x:c r="V415" s="6" t="str">
        <x:v>7</x:v>
      </x:c>
      <x:c r="W415" s="6" t="str">
        <x:v>0.0</x:v>
      </x:c>
      <x:c r="X415" s="6" t="str">
        <x:v>7</x:v>
      </x:c>
      <x:c r="Y415" s="6" t="str"/>
      <x:c r="Z415" s="6" t="str">
        <x:v>0</x:v>
      </x:c>
      <x:c r="AA415" s="6" t="str">
        <x:v>0.0</x:v>
      </x:c>
      <x:c r="AB415" s="6" t="str">
        <x:v>7</x:v>
      </x:c>
      <x:c r="AC415" s="6" t="str">
        <x:v>2024-06</x:v>
      </x:c>
      <x:c r="AD415" s="9" t="str">
        <x:v>BNPB operational disaster search table</x:v>
      </x:c>
      <x:c r="AE415" s="9" t="str">
        <x:v>https://gis.bnpb.go.id/databencana/tabel/pencarian.php</x:v>
      </x:c>
      <x:c r="AF415" s="9" t="str">
        <x:v>operational_snapshot_annual_totals_may_differ</x:v>
      </x:c>
    </x:row>
    <x:row r="416" ht="18" customHeight="1">
      <x:c r="A416" s="6" t="str">
        <x:v>52</x:v>
      </x:c>
      <x:c r="B416" s="6" t="str">
        <x:v>NUSA TENGGARA BARAT</x:v>
      </x:c>
      <x:c r="C416" s="6" t="str">
        <x:v>2024</x:v>
      </x:c>
      <x:c r="D416" s="6" t="str">
        <x:v>7</x:v>
      </x:c>
      <x:c r="E416" s="6" t="str">
        <x:v>4</x:v>
      </x:c>
      <x:c r="F416" s="6" t="str">
        <x:v>4</x:v>
      </x:c>
      <x:c r="G416" s="6" t="str">
        <x:v>0</x:v>
      </x:c>
      <x:c r="H416" s="6" t="str">
        <x:v>0</x:v>
      </x:c>
      <x:c r="I416" s="6" t="str">
        <x:v>0</x:v>
      </x:c>
      <x:c r="J416" s="6" t="str">
        <x:v>4</x:v>
      </x:c>
      <x:c r="K416" s="6" t="str">
        <x:v>0</x:v>
      </x:c>
      <x:c r="L416" s="6" t="str">
        <x:v>0</x:v>
      </x:c>
      <x:c r="M416" s="6" t="str">
        <x:v>0</x:v>
      </x:c>
      <x:c r="N416" s="6" t="str">
        <x:v>0</x:v>
      </x:c>
      <x:c r="O416" s="6" t="str">
        <x:v>0</x:v>
      </x:c>
      <x:c r="P416" s="6" t="str">
        <x:v>4</x:v>
      </x:c>
      <x:c r="Q416" s="6" t="str">
        <x:v>0.0</x:v>
      </x:c>
      <x:c r="R416" s="6" t="str">
        <x:v>4</x:v>
      </x:c>
      <x:c r="S416" s="6" t="str">
        <x:v>0.0</x:v>
      </x:c>
      <x:c r="T416" s="6" t="str">
        <x:v>4</x:v>
      </x:c>
      <x:c r="U416" s="6" t="str">
        <x:v>0.0</x:v>
      </x:c>
      <x:c r="V416" s="6" t="str">
        <x:v>4</x:v>
      </x:c>
      <x:c r="W416" s="6" t="str">
        <x:v>0.0</x:v>
      </x:c>
      <x:c r="X416" s="6" t="str">
        <x:v>4</x:v>
      </x:c>
      <x:c r="Y416" s="6" t="str"/>
      <x:c r="Z416" s="6" t="str">
        <x:v>0</x:v>
      </x:c>
      <x:c r="AA416" s="6" t="str">
        <x:v>0.0</x:v>
      </x:c>
      <x:c r="AB416" s="6" t="str">
        <x:v>4</x:v>
      </x:c>
      <x:c r="AC416" s="6" t="str">
        <x:v>2024-07</x:v>
      </x:c>
      <x:c r="AD416" s="9" t="str">
        <x:v>BNPB operational disaster search table</x:v>
      </x:c>
      <x:c r="AE416" s="9" t="str">
        <x:v>https://gis.bnpb.go.id/databencana/tabel/pencarian.php</x:v>
      </x:c>
      <x:c r="AF416" s="9" t="str">
        <x:v>operational_snapshot_annual_totals_may_differ</x:v>
      </x:c>
    </x:row>
    <x:row r="417" ht="18" customHeight="1">
      <x:c r="A417" s="6" t="str">
        <x:v>52</x:v>
      </x:c>
      <x:c r="B417" s="6" t="str">
        <x:v>NUSA TENGGARA BARAT</x:v>
      </x:c>
      <x:c r="C417" s="6" t="str">
        <x:v>2024</x:v>
      </x:c>
      <x:c r="D417" s="6" t="str">
        <x:v>8</x:v>
      </x:c>
      <x:c r="E417" s="6" t="str">
        <x:v>1</x:v>
      </x:c>
      <x:c r="F417" s="6" t="str">
        <x:v>1</x:v>
      </x:c>
      <x:c r="G417" s="6" t="str">
        <x:v>1</x:v>
      </x:c>
      <x:c r="H417" s="6" t="str">
        <x:v>0</x:v>
      </x:c>
      <x:c r="I417" s="6" t="str">
        <x:v>0</x:v>
      </x:c>
      <x:c r="J417" s="6" t="str">
        <x:v>0</x:v>
      </x:c>
      <x:c r="K417" s="6" t="str">
        <x:v>0</x:v>
      </x:c>
      <x:c r="L417" s="6" t="str">
        <x:v>0</x:v>
      </x:c>
      <x:c r="M417" s="6" t="str">
        <x:v>0</x:v>
      </x:c>
      <x:c r="N417" s="6" t="str">
        <x:v>0</x:v>
      </x:c>
      <x:c r="O417" s="6" t="str">
        <x:v>0</x:v>
      </x:c>
      <x:c r="P417" s="6" t="str">
        <x:v>1</x:v>
      </x:c>
      <x:c r="Q417" s="6" t="str">
        <x:v>0.0</x:v>
      </x:c>
      <x:c r="R417" s="6" t="str">
        <x:v>1</x:v>
      </x:c>
      <x:c r="S417" s="6" t="str">
        <x:v>0.0</x:v>
      </x:c>
      <x:c r="T417" s="6" t="str">
        <x:v>1</x:v>
      </x:c>
      <x:c r="U417" s="6" t="str">
        <x:v>0.0</x:v>
      </x:c>
      <x:c r="V417" s="6" t="str">
        <x:v>1</x:v>
      </x:c>
      <x:c r="W417" s="6" t="str">
        <x:v>0.0</x:v>
      </x:c>
      <x:c r="X417" s="6" t="str">
        <x:v>1</x:v>
      </x:c>
      <x:c r="Y417" s="6" t="str">
        <x:v>150.0</x:v>
      </x:c>
      <x:c r="Z417" s="6" t="str">
        <x:v>1</x:v>
      </x:c>
      <x:c r="AA417" s="6" t="str">
        <x:v>0.0</x:v>
      </x:c>
      <x:c r="AB417" s="6" t="str">
        <x:v>1</x:v>
      </x:c>
      <x:c r="AC417" s="6" t="str">
        <x:v>2024-08</x:v>
      </x:c>
      <x:c r="AD417" s="9" t="str">
        <x:v>BNPB operational disaster search table</x:v>
      </x:c>
      <x:c r="AE417" s="9" t="str">
        <x:v>https://gis.bnpb.go.id/databencana/tabel/pencarian.php</x:v>
      </x:c>
      <x:c r="AF417" s="9" t="str">
        <x:v>operational_snapshot_annual_totals_may_differ</x:v>
      </x:c>
    </x:row>
    <x:row r="418" ht="18" customHeight="1">
      <x:c r="A418" s="6" t="str">
        <x:v>52</x:v>
      </x:c>
      <x:c r="B418" s="6" t="str">
        <x:v>NUSA TENGGARA BARAT</x:v>
      </x:c>
      <x:c r="C418" s="6" t="str">
        <x:v>2024</x:v>
      </x:c>
      <x:c r="D418" s="6" t="str">
        <x:v>9</x:v>
      </x:c>
      <x:c r="E418" s="6" t="str">
        <x:v>0</x:v>
      </x:c>
      <x:c r="F418" s="6" t="str">
        <x:v>0</x:v>
      </x:c>
      <x:c r="G418" s="6" t="str">
        <x:v>0</x:v>
      </x:c>
      <x:c r="H418" s="6" t="str">
        <x:v>0</x:v>
      </x:c>
      <x:c r="I418" s="6" t="str">
        <x:v>0</x:v>
      </x:c>
      <x:c r="J418" s="6" t="str">
        <x:v>0</x:v>
      </x:c>
      <x:c r="K418" s="6" t="str">
        <x:v>0</x:v>
      </x:c>
      <x:c r="L418" s="6" t="str">
        <x:v>0</x:v>
      </x:c>
      <x:c r="M418" s="6" t="str">
        <x:v>0</x:v>
      </x:c>
      <x:c r="N418" s="6" t="str">
        <x:v>0</x:v>
      </x:c>
      <x:c r="O418" s="6" t="str">
        <x:v>0</x:v>
      </x:c>
      <x:c r="P418" s="6" t="str">
        <x:v>0</x:v>
      </x:c>
      <x:c r="Q418" s="6" t="str"/>
      <x:c r="R418" s="6" t="str">
        <x:v>0</x:v>
      </x:c>
      <x:c r="S418" s="6" t="str"/>
      <x:c r="T418" s="6" t="str">
        <x:v>0</x:v>
      </x:c>
      <x:c r="U418" s="6" t="str"/>
      <x:c r="V418" s="6" t="str">
        <x:v>0</x:v>
      </x:c>
      <x:c r="W418" s="6" t="str"/>
      <x:c r="X418" s="6" t="str">
        <x:v>0</x:v>
      </x:c>
      <x:c r="Y418" s="6" t="str"/>
      <x:c r="Z418" s="6" t="str">
        <x:v>0</x:v>
      </x:c>
      <x:c r="AA418" s="6" t="str"/>
      <x:c r="AB418" s="6" t="str">
        <x:v>0</x:v>
      </x:c>
      <x:c r="AC418" s="6" t="str">
        <x:v>2024-09</x:v>
      </x:c>
      <x:c r="AD418" s="9" t="str">
        <x:v>BNPB operational disaster search table</x:v>
      </x:c>
      <x:c r="AE418" s="9" t="str">
        <x:v>https://gis.bnpb.go.id/databencana/tabel/pencarian.php</x:v>
      </x:c>
      <x:c r="AF418" s="9" t="str">
        <x:v>operational_snapshot_annual_totals_may_differ</x:v>
      </x:c>
    </x:row>
    <x:row r="419" ht="18" customHeight="1">
      <x:c r="A419" s="6" t="str">
        <x:v>52</x:v>
      </x:c>
      <x:c r="B419" s="6" t="str">
        <x:v>NUSA TENGGARA BARAT</x:v>
      </x:c>
      <x:c r="C419" s="6" t="str">
        <x:v>2024</x:v>
      </x:c>
      <x:c r="D419" s="6" t="str">
        <x:v>10</x:v>
      </x:c>
      <x:c r="E419" s="6" t="str">
        <x:v>0</x:v>
      </x:c>
      <x:c r="F419" s="6" t="str">
        <x:v>0</x:v>
      </x:c>
      <x:c r="G419" s="6" t="str">
        <x:v>0</x:v>
      </x:c>
      <x:c r="H419" s="6" t="str">
        <x:v>0</x:v>
      </x:c>
      <x:c r="I419" s="6" t="str">
        <x:v>0</x:v>
      </x:c>
      <x:c r="J419" s="6" t="str">
        <x:v>0</x:v>
      </x:c>
      <x:c r="K419" s="6" t="str">
        <x:v>0</x:v>
      </x:c>
      <x:c r="L419" s="6" t="str">
        <x:v>0</x:v>
      </x:c>
      <x:c r="M419" s="6" t="str">
        <x:v>0</x:v>
      </x:c>
      <x:c r="N419" s="6" t="str">
        <x:v>0</x:v>
      </x:c>
      <x:c r="O419" s="6" t="str">
        <x:v>0</x:v>
      </x:c>
      <x:c r="P419" s="6" t="str">
        <x:v>0</x:v>
      </x:c>
      <x:c r="Q419" s="6" t="str"/>
      <x:c r="R419" s="6" t="str">
        <x:v>0</x:v>
      </x:c>
      <x:c r="S419" s="6" t="str"/>
      <x:c r="T419" s="6" t="str">
        <x:v>0</x:v>
      </x:c>
      <x:c r="U419" s="6" t="str"/>
      <x:c r="V419" s="6" t="str">
        <x:v>0</x:v>
      </x:c>
      <x:c r="W419" s="6" t="str"/>
      <x:c r="X419" s="6" t="str">
        <x:v>0</x:v>
      </x:c>
      <x:c r="Y419" s="6" t="str"/>
      <x:c r="Z419" s="6" t="str">
        <x:v>0</x:v>
      </x:c>
      <x:c r="AA419" s="6" t="str"/>
      <x:c r="AB419" s="6" t="str">
        <x:v>0</x:v>
      </x:c>
      <x:c r="AC419" s="6" t="str">
        <x:v>2024-10</x:v>
      </x:c>
      <x:c r="AD419" s="9" t="str">
        <x:v>BNPB operational disaster search table</x:v>
      </x:c>
      <x:c r="AE419" s="9" t="str">
        <x:v>https://gis.bnpb.go.id/databencana/tabel/pencarian.php</x:v>
      </x:c>
      <x:c r="AF419" s="9" t="str">
        <x:v>operational_snapshot_annual_totals_may_differ</x:v>
      </x:c>
    </x:row>
    <x:row r="420" ht="18" customHeight="1">
      <x:c r="A420" s="6" t="str">
        <x:v>52</x:v>
      </x:c>
      <x:c r="B420" s="6" t="str">
        <x:v>NUSA TENGGARA BARAT</x:v>
      </x:c>
      <x:c r="C420" s="6" t="str">
        <x:v>2024</x:v>
      </x:c>
      <x:c r="D420" s="6" t="str">
        <x:v>11</x:v>
      </x:c>
      <x:c r="E420" s="6" t="str">
        <x:v>12</x:v>
      </x:c>
      <x:c r="F420" s="6" t="str">
        <x:v>12</x:v>
      </x:c>
      <x:c r="G420" s="6" t="str">
        <x:v>2</x:v>
      </x:c>
      <x:c r="H420" s="6" t="str">
        <x:v>0</x:v>
      </x:c>
      <x:c r="I420" s="6" t="str">
        <x:v>9</x:v>
      </x:c>
      <x:c r="J420" s="6" t="str">
        <x:v>0</x:v>
      </x:c>
      <x:c r="K420" s="6" t="str">
        <x:v>1</x:v>
      </x:c>
      <x:c r="L420" s="6" t="str">
        <x:v>0</x:v>
      </x:c>
      <x:c r="M420" s="6" t="str">
        <x:v>0</x:v>
      </x:c>
      <x:c r="N420" s="6" t="str">
        <x:v>0</x:v>
      </x:c>
      <x:c r="O420" s="6" t="str">
        <x:v>0</x:v>
      </x:c>
      <x:c r="P420" s="6" t="str">
        <x:v>12</x:v>
      </x:c>
      <x:c r="Q420" s="6" t="str">
        <x:v>1.0</x:v>
      </x:c>
      <x:c r="R420" s="6" t="str">
        <x:v>12</x:v>
      </x:c>
      <x:c r="S420" s="6" t="str">
        <x:v>0.0</x:v>
      </x:c>
      <x:c r="T420" s="6" t="str">
        <x:v>12</x:v>
      </x:c>
      <x:c r="U420" s="6" t="str">
        <x:v>1.0</x:v>
      </x:c>
      <x:c r="V420" s="6" t="str">
        <x:v>12</x:v>
      </x:c>
      <x:c r="W420" s="6" t="str">
        <x:v>563.0</x:v>
      </x:c>
      <x:c r="X420" s="6" t="str">
        <x:v>12</x:v>
      </x:c>
      <x:c r="Y420" s="6" t="str">
        <x:v>68.0</x:v>
      </x:c>
      <x:c r="Z420" s="6" t="str">
        <x:v>1</x:v>
      </x:c>
      <x:c r="AA420" s="6" t="str">
        <x:v>4.0</x:v>
      </x:c>
      <x:c r="AB420" s="6" t="str">
        <x:v>12</x:v>
      </x:c>
      <x:c r="AC420" s="6" t="str">
        <x:v>2024-11</x:v>
      </x:c>
      <x:c r="AD420" s="9" t="str">
        <x:v>BNPB operational disaster search table</x:v>
      </x:c>
      <x:c r="AE420" s="9" t="str">
        <x:v>https://gis.bnpb.go.id/databencana/tabel/pencarian.php</x:v>
      </x:c>
      <x:c r="AF420" s="9" t="str">
        <x:v>operational_snapshot_annual_totals_may_differ</x:v>
      </x:c>
    </x:row>
    <x:row r="421" ht="18" customHeight="1">
      <x:c r="A421" s="6" t="str">
        <x:v>52</x:v>
      </x:c>
      <x:c r="B421" s="6" t="str">
        <x:v>NUSA TENGGARA BARAT</x:v>
      </x:c>
      <x:c r="C421" s="6" t="str">
        <x:v>2024</x:v>
      </x:c>
      <x:c r="D421" s="6" t="str">
        <x:v>12</x:v>
      </x:c>
      <x:c r="E421" s="6" t="str">
        <x:v>29</x:v>
      </x:c>
      <x:c r="F421" s="6" t="str">
        <x:v>29</x:v>
      </x:c>
      <x:c r="G421" s="6" t="str">
        <x:v>24</x:v>
      </x:c>
      <x:c r="H421" s="6" t="str">
        <x:v>0</x:v>
      </x:c>
      <x:c r="I421" s="6" t="str">
        <x:v>3</x:v>
      </x:c>
      <x:c r="J421" s="6" t="str">
        <x:v>0</x:v>
      </x:c>
      <x:c r="K421" s="6" t="str">
        <x:v>0</x:v>
      </x:c>
      <x:c r="L421" s="6" t="str">
        <x:v>1</x:v>
      </x:c>
      <x:c r="M421" s="6" t="str">
        <x:v>1</x:v>
      </x:c>
      <x:c r="N421" s="6" t="str">
        <x:v>0</x:v>
      </x:c>
      <x:c r="O421" s="6" t="str">
        <x:v>0</x:v>
      </x:c>
      <x:c r="P421" s="6" t="str">
        <x:v>28</x:v>
      </x:c>
      <x:c r="Q421" s="6" t="str">
        <x:v>0.0</x:v>
      </x:c>
      <x:c r="R421" s="6" t="str">
        <x:v>29</x:v>
      </x:c>
      <x:c r="S421" s="6" t="str">
        <x:v>0.0</x:v>
      </x:c>
      <x:c r="T421" s="6" t="str">
        <x:v>29</x:v>
      </x:c>
      <x:c r="U421" s="6" t="str">
        <x:v>2.0</x:v>
      </x:c>
      <x:c r="V421" s="6" t="str">
        <x:v>29</x:v>
      </x:c>
      <x:c r="W421" s="6" t="str">
        <x:v>82.0</x:v>
      </x:c>
      <x:c r="X421" s="6" t="str">
        <x:v>29</x:v>
      </x:c>
      <x:c r="Y421" s="6" t="str">
        <x:v>6585.0</x:v>
      </x:c>
      <x:c r="Z421" s="6" t="str">
        <x:v>16</x:v>
      </x:c>
      <x:c r="AA421" s="6" t="str">
        <x:v>5.0</x:v>
      </x:c>
      <x:c r="AB421" s="6" t="str">
        <x:v>29</x:v>
      </x:c>
      <x:c r="AC421" s="6" t="str">
        <x:v>2024-12</x:v>
      </x:c>
      <x:c r="AD421" s="9" t="str">
        <x:v>BNPB operational disaster search table</x:v>
      </x:c>
      <x:c r="AE421" s="9" t="str">
        <x:v>https://gis.bnpb.go.id/databencana/tabel/pencarian.php</x:v>
      </x:c>
      <x:c r="AF421" s="9" t="str">
        <x:v>operational_snapshot_annual_totals_may_differ</x:v>
      </x:c>
    </x:row>
    <x:row r="422" ht="18" customHeight="1">
      <x:c r="A422" s="6" t="str">
        <x:v>52</x:v>
      </x:c>
      <x:c r="B422" s="6" t="str">
        <x:v>NUSA TENGGARA BARAT</x:v>
      </x:c>
      <x:c r="C422" s="6" t="str">
        <x:v>2025</x:v>
      </x:c>
      <x:c r="D422" s="6" t="str">
        <x:v>1</x:v>
      </x:c>
      <x:c r="E422" s="6" t="str">
        <x:v>26</x:v>
      </x:c>
      <x:c r="F422" s="6" t="str">
        <x:v>26</x:v>
      </x:c>
      <x:c r="G422" s="6" t="str">
        <x:v>26</x:v>
      </x:c>
      <x:c r="H422" s="6" t="str">
        <x:v>0</x:v>
      </x:c>
      <x:c r="I422" s="6" t="str">
        <x:v>0</x:v>
      </x:c>
      <x:c r="J422" s="6" t="str">
        <x:v>0</x:v>
      </x:c>
      <x:c r="K422" s="6" t="str">
        <x:v>0</x:v>
      </x:c>
      <x:c r="L422" s="6" t="str">
        <x:v>0</x:v>
      </x:c>
      <x:c r="M422" s="6" t="str">
        <x:v>0</x:v>
      </x:c>
      <x:c r="N422" s="6" t="str">
        <x:v>0</x:v>
      </x:c>
      <x:c r="O422" s="6" t="str">
        <x:v>0</x:v>
      </x:c>
      <x:c r="P422" s="6" t="str">
        <x:v>26</x:v>
      </x:c>
      <x:c r="Q422" s="6" t="str">
        <x:v>3.0</x:v>
      </x:c>
      <x:c r="R422" s="6" t="str">
        <x:v>26</x:v>
      </x:c>
      <x:c r="S422" s="6" t="str">
        <x:v>0.0</x:v>
      </x:c>
      <x:c r="T422" s="6" t="str">
        <x:v>26</x:v>
      </x:c>
      <x:c r="U422" s="6" t="str">
        <x:v>0.0</x:v>
      </x:c>
      <x:c r="V422" s="6" t="str">
        <x:v>26</x:v>
      </x:c>
      <x:c r="W422" s="6" t="str">
        <x:v>11.0</x:v>
      </x:c>
      <x:c r="X422" s="6" t="str">
        <x:v>26</x:v>
      </x:c>
      <x:c r="Y422" s="6" t="str">
        <x:v>11342.0</x:v>
      </x:c>
      <x:c r="Z422" s="6" t="str">
        <x:v>22</x:v>
      </x:c>
      <x:c r="AA422" s="6" t="str">
        <x:v>1.0</x:v>
      </x:c>
      <x:c r="AB422" s="6" t="str">
        <x:v>26</x:v>
      </x:c>
      <x:c r="AC422" s="6" t="str">
        <x:v>2025-01</x:v>
      </x:c>
      <x:c r="AD422" s="9" t="str">
        <x:v>BNPB operational disaster search table</x:v>
      </x:c>
      <x:c r="AE422" s="9" t="str">
        <x:v>https://gis.bnpb.go.id/databencana/tabel/pencarian.php</x:v>
      </x:c>
      <x:c r="AF422" s="9" t="str">
        <x:v>operational_snapshot_annual_totals_may_differ</x:v>
      </x:c>
    </x:row>
    <x:row r="423" ht="18" customHeight="1">
      <x:c r="A423" s="6" t="str">
        <x:v>52</x:v>
      </x:c>
      <x:c r="B423" s="6" t="str">
        <x:v>NUSA TENGGARA BARAT</x:v>
      </x:c>
      <x:c r="C423" s="6" t="str">
        <x:v>2025</x:v>
      </x:c>
      <x:c r="D423" s="6" t="str">
        <x:v>2</x:v>
      </x:c>
      <x:c r="E423" s="6" t="str">
        <x:v>26</x:v>
      </x:c>
      <x:c r="F423" s="6" t="str">
        <x:v>26</x:v>
      </x:c>
      <x:c r="G423" s="6" t="str">
        <x:v>13</x:v>
      </x:c>
      <x:c r="H423" s="6" t="str">
        <x:v>2</x:v>
      </x:c>
      <x:c r="I423" s="6" t="str">
        <x:v>11</x:v>
      </x:c>
      <x:c r="J423" s="6" t="str">
        <x:v>0</x:v>
      </x:c>
      <x:c r="K423" s="6" t="str">
        <x:v>0</x:v>
      </x:c>
      <x:c r="L423" s="6" t="str">
        <x:v>0</x:v>
      </x:c>
      <x:c r="M423" s="6" t="str">
        <x:v>0</x:v>
      </x:c>
      <x:c r="N423" s="6" t="str">
        <x:v>0</x:v>
      </x:c>
      <x:c r="O423" s="6" t="str">
        <x:v>0</x:v>
      </x:c>
      <x:c r="P423" s="6" t="str">
        <x:v>26</x:v>
      </x:c>
      <x:c r="Q423" s="6" t="str">
        <x:v>7.0</x:v>
      </x:c>
      <x:c r="R423" s="6" t="str">
        <x:v>26</x:v>
      </x:c>
      <x:c r="S423" s="6" t="str">
        <x:v>4.0</x:v>
      </x:c>
      <x:c r="T423" s="6" t="str">
        <x:v>26</x:v>
      </x:c>
      <x:c r="U423" s="6" t="str">
        <x:v>3.0</x:v>
      </x:c>
      <x:c r="V423" s="6" t="str">
        <x:v>26</x:v>
      </x:c>
      <x:c r="W423" s="6" t="str">
        <x:v>164.0</x:v>
      </x:c>
      <x:c r="X423" s="6" t="str">
        <x:v>26</x:v>
      </x:c>
      <x:c r="Y423" s="6" t="str">
        <x:v>10281.0</x:v>
      </x:c>
      <x:c r="Z423" s="6" t="str">
        <x:v>11</x:v>
      </x:c>
      <x:c r="AA423" s="6" t="str">
        <x:v>25.0</x:v>
      </x:c>
      <x:c r="AB423" s="6" t="str">
        <x:v>26</x:v>
      </x:c>
      <x:c r="AC423" s="6" t="str">
        <x:v>2025-02</x:v>
      </x:c>
      <x:c r="AD423" s="9" t="str">
        <x:v>BNPB operational disaster search table</x:v>
      </x:c>
      <x:c r="AE423" s="9" t="str">
        <x:v>https://gis.bnpb.go.id/databencana/tabel/pencarian.php</x:v>
      </x:c>
      <x:c r="AF423" s="9" t="str">
        <x:v>operational_snapshot_annual_totals_may_differ</x:v>
      </x:c>
    </x:row>
    <x:row r="424" ht="18" customHeight="1">
      <x:c r="A424" s="6" t="str">
        <x:v>52</x:v>
      </x:c>
      <x:c r="B424" s="6" t="str">
        <x:v>NUSA TENGGARA BARAT</x:v>
      </x:c>
      <x:c r="C424" s="6" t="str">
        <x:v>2025</x:v>
      </x:c>
      <x:c r="D424" s="6" t="str">
        <x:v>3</x:v>
      </x:c>
      <x:c r="E424" s="6" t="str">
        <x:v>10</x:v>
      </x:c>
      <x:c r="F424" s="6" t="str">
        <x:v>10</x:v>
      </x:c>
      <x:c r="G424" s="6" t="str">
        <x:v>5</x:v>
      </x:c>
      <x:c r="H424" s="6" t="str">
        <x:v>0</x:v>
      </x:c>
      <x:c r="I424" s="6" t="str">
        <x:v>5</x:v>
      </x:c>
      <x:c r="J424" s="6" t="str">
        <x:v>0</x:v>
      </x:c>
      <x:c r="K424" s="6" t="str">
        <x:v>0</x:v>
      </x:c>
      <x:c r="L424" s="6" t="str">
        <x:v>0</x:v>
      </x:c>
      <x:c r="M424" s="6" t="str">
        <x:v>0</x:v>
      </x:c>
      <x:c r="N424" s="6" t="str">
        <x:v>0</x:v>
      </x:c>
      <x:c r="O424" s="6" t="str">
        <x:v>0</x:v>
      </x:c>
      <x:c r="P424" s="6" t="str">
        <x:v>10</x:v>
      </x:c>
      <x:c r="Q424" s="6" t="str">
        <x:v>0.0</x:v>
      </x:c>
      <x:c r="R424" s="6" t="str">
        <x:v>10</x:v>
      </x:c>
      <x:c r="S424" s="6" t="str">
        <x:v>0.0</x:v>
      </x:c>
      <x:c r="T424" s="6" t="str">
        <x:v>10</x:v>
      </x:c>
      <x:c r="U424" s="6" t="str">
        <x:v>0.0</x:v>
      </x:c>
      <x:c r="V424" s="6" t="str">
        <x:v>10</x:v>
      </x:c>
      <x:c r="W424" s="6" t="str">
        <x:v>187.0</x:v>
      </x:c>
      <x:c r="X424" s="6" t="str">
        <x:v>10</x:v>
      </x:c>
      <x:c r="Y424" s="6" t="str">
        <x:v>699.0</x:v>
      </x:c>
      <x:c r="Z424" s="6" t="str">
        <x:v>4</x:v>
      </x:c>
      <x:c r="AA424" s="6" t="str">
        <x:v>7.0</x:v>
      </x:c>
      <x:c r="AB424" s="6" t="str">
        <x:v>10</x:v>
      </x:c>
      <x:c r="AC424" s="6" t="str">
        <x:v>2025-03</x:v>
      </x:c>
      <x:c r="AD424" s="9" t="str">
        <x:v>BNPB operational disaster search table</x:v>
      </x:c>
      <x:c r="AE424" s="9" t="str">
        <x:v>https://gis.bnpb.go.id/databencana/tabel/pencarian.php</x:v>
      </x:c>
      <x:c r="AF424" s="9" t="str">
        <x:v>operational_snapshot_annual_totals_may_differ</x:v>
      </x:c>
    </x:row>
    <x:row r="425" ht="18" customHeight="1">
      <x:c r="A425" s="6" t="str">
        <x:v>52</x:v>
      </x:c>
      <x:c r="B425" s="6" t="str">
        <x:v>NUSA TENGGARA BARAT</x:v>
      </x:c>
      <x:c r="C425" s="6" t="str">
        <x:v>2025</x:v>
      </x:c>
      <x:c r="D425" s="6" t="str">
        <x:v>4</x:v>
      </x:c>
      <x:c r="E425" s="6" t="str">
        <x:v>4</x:v>
      </x:c>
      <x:c r="F425" s="6" t="str">
        <x:v>4</x:v>
      </x:c>
      <x:c r="G425" s="6" t="str">
        <x:v>3</x:v>
      </x:c>
      <x:c r="H425" s="6" t="str">
        <x:v>0</x:v>
      </x:c>
      <x:c r="I425" s="6" t="str">
        <x:v>0</x:v>
      </x:c>
      <x:c r="J425" s="6" t="str">
        <x:v>1</x:v>
      </x:c>
      <x:c r="K425" s="6" t="str">
        <x:v>0</x:v>
      </x:c>
      <x:c r="L425" s="6" t="str">
        <x:v>0</x:v>
      </x:c>
      <x:c r="M425" s="6" t="str">
        <x:v>0</x:v>
      </x:c>
      <x:c r="N425" s="6" t="str">
        <x:v>0</x:v>
      </x:c>
      <x:c r="O425" s="6" t="str">
        <x:v>0</x:v>
      </x:c>
      <x:c r="P425" s="6" t="str">
        <x:v>4</x:v>
      </x:c>
      <x:c r="Q425" s="6" t="str">
        <x:v>0.0</x:v>
      </x:c>
      <x:c r="R425" s="6" t="str">
        <x:v>4</x:v>
      </x:c>
      <x:c r="S425" s="6" t="str">
        <x:v>0.0</x:v>
      </x:c>
      <x:c r="T425" s="6" t="str">
        <x:v>4</x:v>
      </x:c>
      <x:c r="U425" s="6" t="str">
        <x:v>0.0</x:v>
      </x:c>
      <x:c r="V425" s="6" t="str">
        <x:v>4</x:v>
      </x:c>
      <x:c r="W425" s="6" t="str">
        <x:v>0.0</x:v>
      </x:c>
      <x:c r="X425" s="6" t="str">
        <x:v>4</x:v>
      </x:c>
      <x:c r="Y425" s="6" t="str">
        <x:v>104.0</x:v>
      </x:c>
      <x:c r="Z425" s="6" t="str">
        <x:v>2</x:v>
      </x:c>
      <x:c r="AA425" s="6" t="str">
        <x:v>0.0</x:v>
      </x:c>
      <x:c r="AB425" s="6" t="str">
        <x:v>4</x:v>
      </x:c>
      <x:c r="AC425" s="6" t="str">
        <x:v>2025-04</x:v>
      </x:c>
      <x:c r="AD425" s="9" t="str">
        <x:v>BNPB operational disaster search table</x:v>
      </x:c>
      <x:c r="AE425" s="9" t="str">
        <x:v>https://gis.bnpb.go.id/databencana/tabel/pencarian.php</x:v>
      </x:c>
      <x:c r="AF425" s="9" t="str">
        <x:v>operational_snapshot_annual_totals_may_differ</x:v>
      </x:c>
    </x:row>
    <x:row r="426" ht="18" customHeight="1">
      <x:c r="A426" s="6" t="str">
        <x:v>52</x:v>
      </x:c>
      <x:c r="B426" s="6" t="str">
        <x:v>NUSA TENGGARA BARAT</x:v>
      </x:c>
      <x:c r="C426" s="6" t="str">
        <x:v>2025</x:v>
      </x:c>
      <x:c r="D426" s="6" t="str">
        <x:v>5</x:v>
      </x:c>
      <x:c r="E426" s="6" t="str">
        <x:v>4</x:v>
      </x:c>
      <x:c r="F426" s="6" t="str">
        <x:v>4</x:v>
      </x:c>
      <x:c r="G426" s="6" t="str">
        <x:v>3</x:v>
      </x:c>
      <x:c r="H426" s="6" t="str">
        <x:v>0</x:v>
      </x:c>
      <x:c r="I426" s="6" t="str">
        <x:v>1</x:v>
      </x:c>
      <x:c r="J426" s="6" t="str">
        <x:v>0</x:v>
      </x:c>
      <x:c r="K426" s="6" t="str">
        <x:v>0</x:v>
      </x:c>
      <x:c r="L426" s="6" t="str">
        <x:v>0</x:v>
      </x:c>
      <x:c r="M426" s="6" t="str">
        <x:v>0</x:v>
      </x:c>
      <x:c r="N426" s="6" t="str">
        <x:v>0</x:v>
      </x:c>
      <x:c r="O426" s="6" t="str">
        <x:v>0</x:v>
      </x:c>
      <x:c r="P426" s="6" t="str">
        <x:v>4</x:v>
      </x:c>
      <x:c r="Q426" s="6" t="str">
        <x:v>0.0</x:v>
      </x:c>
      <x:c r="R426" s="6" t="str">
        <x:v>4</x:v>
      </x:c>
      <x:c r="S426" s="6" t="str">
        <x:v>0.0</x:v>
      </x:c>
      <x:c r="T426" s="6" t="str">
        <x:v>4</x:v>
      </x:c>
      <x:c r="U426" s="6" t="str">
        <x:v>0.0</x:v>
      </x:c>
      <x:c r="V426" s="6" t="str">
        <x:v>4</x:v>
      </x:c>
      <x:c r="W426" s="6" t="str">
        <x:v>9.0</x:v>
      </x:c>
      <x:c r="X426" s="6" t="str">
        <x:v>4</x:v>
      </x:c>
      <x:c r="Y426" s="6" t="str">
        <x:v>275.0</x:v>
      </x:c>
      <x:c r="Z426" s="6" t="str">
        <x:v>2</x:v>
      </x:c>
      <x:c r="AA426" s="6" t="str">
        <x:v>2.0</x:v>
      </x:c>
      <x:c r="AB426" s="6" t="str">
        <x:v>4</x:v>
      </x:c>
      <x:c r="AC426" s="6" t="str">
        <x:v>2025-05</x:v>
      </x:c>
      <x:c r="AD426" s="9" t="str">
        <x:v>BNPB operational disaster search table</x:v>
      </x:c>
      <x:c r="AE426" s="9" t="str">
        <x:v>https://gis.bnpb.go.id/databencana/tabel/pencarian.php</x:v>
      </x:c>
      <x:c r="AF426" s="9" t="str">
        <x:v>operational_snapshot_annual_totals_may_differ</x:v>
      </x:c>
    </x:row>
    <x:row r="427" ht="18" customHeight="1">
      <x:c r="A427" s="6" t="str">
        <x:v>52</x:v>
      </x:c>
      <x:c r="B427" s="6" t="str">
        <x:v>NUSA TENGGARA BARAT</x:v>
      </x:c>
      <x:c r="C427" s="6" t="str">
        <x:v>2025</x:v>
      </x:c>
      <x:c r="D427" s="6" t="str">
        <x:v>6</x:v>
      </x:c>
      <x:c r="E427" s="6" t="str">
        <x:v>3</x:v>
      </x:c>
      <x:c r="F427" s="6" t="str">
        <x:v>3</x:v>
      </x:c>
      <x:c r="G427" s="6" t="str">
        <x:v>1</x:v>
      </x:c>
      <x:c r="H427" s="6" t="str">
        <x:v>0</x:v>
      </x:c>
      <x:c r="I427" s="6" t="str">
        <x:v>0</x:v>
      </x:c>
      <x:c r="J427" s="6" t="str">
        <x:v>2</x:v>
      </x:c>
      <x:c r="K427" s="6" t="str">
        <x:v>0</x:v>
      </x:c>
      <x:c r="L427" s="6" t="str">
        <x:v>0</x:v>
      </x:c>
      <x:c r="M427" s="6" t="str">
        <x:v>0</x:v>
      </x:c>
      <x:c r="N427" s="6" t="str">
        <x:v>0</x:v>
      </x:c>
      <x:c r="O427" s="6" t="str">
        <x:v>0</x:v>
      </x:c>
      <x:c r="P427" s="6" t="str">
        <x:v>3</x:v>
      </x:c>
      <x:c r="Q427" s="6" t="str"/>
      <x:c r="R427" s="6" t="str">
        <x:v>0</x:v>
      </x:c>
      <x:c r="S427" s="6" t="str"/>
      <x:c r="T427" s="6" t="str">
        <x:v>0</x:v>
      </x:c>
      <x:c r="U427" s="6" t="str"/>
      <x:c r="V427" s="6" t="str">
        <x:v>0</x:v>
      </x:c>
      <x:c r="W427" s="6" t="str">
        <x:v>0.0</x:v>
      </x:c>
      <x:c r="X427" s="6" t="str">
        <x:v>3</x:v>
      </x:c>
      <x:c r="Y427" s="6" t="str">
        <x:v>300.0</x:v>
      </x:c>
      <x:c r="Z427" s="6" t="str">
        <x:v>1</x:v>
      </x:c>
      <x:c r="AA427" s="6" t="str">
        <x:v>0.0</x:v>
      </x:c>
      <x:c r="AB427" s="6" t="str">
        <x:v>3</x:v>
      </x:c>
      <x:c r="AC427" s="6" t="str">
        <x:v>2025-06</x:v>
      </x:c>
      <x:c r="AD427" s="9" t="str">
        <x:v>BNPB operational disaster search table</x:v>
      </x:c>
      <x:c r="AE427" s="9" t="str">
        <x:v>https://gis.bnpb.go.id/databencana/tabel/pencarian.php</x:v>
      </x:c>
      <x:c r="AF427" s="9" t="str">
        <x:v>operational_snapshot_annual_totals_may_differ</x:v>
      </x:c>
    </x:row>
    <x:row r="428" ht="18" customHeight="1">
      <x:c r="A428" s="6" t="str">
        <x:v>52</x:v>
      </x:c>
      <x:c r="B428" s="6" t="str">
        <x:v>NUSA TENGGARA BARAT</x:v>
      </x:c>
      <x:c r="C428" s="6" t="str">
        <x:v>2025</x:v>
      </x:c>
      <x:c r="D428" s="6" t="str">
        <x:v>7</x:v>
      </x:c>
      <x:c r="E428" s="6" t="str">
        <x:v>3</x:v>
      </x:c>
      <x:c r="F428" s="6" t="str">
        <x:v>3</x:v>
      </x:c>
      <x:c r="G428" s="6" t="str">
        <x:v>2</x:v>
      </x:c>
      <x:c r="H428" s="6" t="str">
        <x:v>0</x:v>
      </x:c>
      <x:c r="I428" s="6" t="str">
        <x:v>0</x:v>
      </x:c>
      <x:c r="J428" s="6" t="str">
        <x:v>1</x:v>
      </x:c>
      <x:c r="K428" s="6" t="str">
        <x:v>0</x:v>
      </x:c>
      <x:c r="L428" s="6" t="str">
        <x:v>0</x:v>
      </x:c>
      <x:c r="M428" s="6" t="str">
        <x:v>0</x:v>
      </x:c>
      <x:c r="N428" s="6" t="str">
        <x:v>0</x:v>
      </x:c>
      <x:c r="O428" s="6" t="str">
        <x:v>0</x:v>
      </x:c>
      <x:c r="P428" s="6" t="str">
        <x:v>3</x:v>
      </x:c>
      <x:c r="Q428" s="6" t="str">
        <x:v>2.0</x:v>
      </x:c>
      <x:c r="R428" s="6" t="str">
        <x:v>2</x:v>
      </x:c>
      <x:c r="S428" s="6" t="str"/>
      <x:c r="T428" s="6" t="str">
        <x:v>0</x:v>
      </x:c>
      <x:c r="U428" s="6" t="str">
        <x:v>16.0</x:v>
      </x:c>
      <x:c r="V428" s="6" t="str">
        <x:v>1</x:v>
      </x:c>
      <x:c r="W428" s="6" t="str">
        <x:v>82.0</x:v>
      </x:c>
      <x:c r="X428" s="6" t="str">
        <x:v>3</x:v>
      </x:c>
      <x:c r="Y428" s="6" t="str">
        <x:v>10187.0</x:v>
      </x:c>
      <x:c r="Z428" s="6" t="str">
        <x:v>2</x:v>
      </x:c>
      <x:c r="AA428" s="6" t="str">
        <x:v>0.0</x:v>
      </x:c>
      <x:c r="AB428" s="6" t="str">
        <x:v>3</x:v>
      </x:c>
      <x:c r="AC428" s="6" t="str">
        <x:v>2025-07</x:v>
      </x:c>
      <x:c r="AD428" s="9" t="str">
        <x:v>BNPB operational disaster search table</x:v>
      </x:c>
      <x:c r="AE428" s="9" t="str">
        <x:v>https://gis.bnpb.go.id/databencana/tabel/pencarian.php</x:v>
      </x:c>
      <x:c r="AF428" s="9" t="str">
        <x:v>operational_snapshot_annual_totals_may_differ</x:v>
      </x:c>
    </x:row>
    <x:row r="429" ht="18" customHeight="1">
      <x:c r="A429" s="6" t="str">
        <x:v>52</x:v>
      </x:c>
      <x:c r="B429" s="6" t="str">
        <x:v>NUSA TENGGARA BARAT</x:v>
      </x:c>
      <x:c r="C429" s="6" t="str">
        <x:v>2025</x:v>
      </x:c>
      <x:c r="D429" s="6" t="str">
        <x:v>8</x:v>
      </x:c>
      <x:c r="E429" s="6" t="str">
        <x:v>1</x:v>
      </x:c>
      <x:c r="F429" s="6" t="str">
        <x:v>1</x:v>
      </x:c>
      <x:c r="G429" s="6" t="str">
        <x:v>0</x:v>
      </x:c>
      <x:c r="H429" s="6" t="str">
        <x:v>0</x:v>
      </x:c>
      <x:c r="I429" s="6" t="str">
        <x:v>0</x:v>
      </x:c>
      <x:c r="J429" s="6" t="str">
        <x:v>1</x:v>
      </x:c>
      <x:c r="K429" s="6" t="str">
        <x:v>0</x:v>
      </x:c>
      <x:c r="L429" s="6" t="str">
        <x:v>0</x:v>
      </x:c>
      <x:c r="M429" s="6" t="str">
        <x:v>0</x:v>
      </x:c>
      <x:c r="N429" s="6" t="str">
        <x:v>0</x:v>
      </x:c>
      <x:c r="O429" s="6" t="str">
        <x:v>0</x:v>
      </x:c>
      <x:c r="P429" s="6" t="str">
        <x:v>1</x:v>
      </x:c>
      <x:c r="Q429" s="6" t="str"/>
      <x:c r="R429" s="6" t="str">
        <x:v>0</x:v>
      </x:c>
      <x:c r="S429" s="6" t="str"/>
      <x:c r="T429" s="6" t="str">
        <x:v>0</x:v>
      </x:c>
      <x:c r="U429" s="6" t="str"/>
      <x:c r="V429" s="6" t="str">
        <x:v>0</x:v>
      </x:c>
      <x:c r="W429" s="6" t="str">
        <x:v>0.0</x:v>
      </x:c>
      <x:c r="X429" s="6" t="str">
        <x:v>1</x:v>
      </x:c>
      <x:c r="Y429" s="6" t="str"/>
      <x:c r="Z429" s="6" t="str">
        <x:v>0</x:v>
      </x:c>
      <x:c r="AA429" s="6" t="str">
        <x:v>0.0</x:v>
      </x:c>
      <x:c r="AB429" s="6" t="str">
        <x:v>1</x:v>
      </x:c>
      <x:c r="AC429" s="6" t="str">
        <x:v>2025-08</x:v>
      </x:c>
      <x:c r="AD429" s="9" t="str">
        <x:v>BNPB operational disaster search table</x:v>
      </x:c>
      <x:c r="AE429" s="9" t="str">
        <x:v>https://gis.bnpb.go.id/databencana/tabel/pencarian.php</x:v>
      </x:c>
      <x:c r="AF429" s="9" t="str">
        <x:v>operational_snapshot_annual_totals_may_differ</x:v>
      </x:c>
    </x:row>
    <x:row r="430" ht="18" customHeight="1">
      <x:c r="A430" s="6" t="str">
        <x:v>52</x:v>
      </x:c>
      <x:c r="B430" s="6" t="str">
        <x:v>NUSA TENGGARA BARAT</x:v>
      </x:c>
      <x:c r="C430" s="6" t="str">
        <x:v>2025</x:v>
      </x:c>
      <x:c r="D430" s="6" t="str">
        <x:v>9</x:v>
      </x:c>
      <x:c r="E430" s="6" t="str">
        <x:v>4</x:v>
      </x:c>
      <x:c r="F430" s="6" t="str">
        <x:v>4</x:v>
      </x:c>
      <x:c r="G430" s="6" t="str">
        <x:v>2</x:v>
      </x:c>
      <x:c r="H430" s="6" t="str">
        <x:v>0</x:v>
      </x:c>
      <x:c r="I430" s="6" t="str">
        <x:v>0</x:v>
      </x:c>
      <x:c r="J430" s="6" t="str">
        <x:v>1</x:v>
      </x:c>
      <x:c r="K430" s="6" t="str">
        <x:v>1</x:v>
      </x:c>
      <x:c r="L430" s="6" t="str">
        <x:v>0</x:v>
      </x:c>
      <x:c r="M430" s="6" t="str">
        <x:v>0</x:v>
      </x:c>
      <x:c r="N430" s="6" t="str">
        <x:v>0</x:v>
      </x:c>
      <x:c r="O430" s="6" t="str">
        <x:v>0</x:v>
      </x:c>
      <x:c r="P430" s="6" t="str">
        <x:v>4</x:v>
      </x:c>
      <x:c r="Q430" s="6" t="str"/>
      <x:c r="R430" s="6" t="str">
        <x:v>0</x:v>
      </x:c>
      <x:c r="S430" s="6" t="str"/>
      <x:c r="T430" s="6" t="str">
        <x:v>0</x:v>
      </x:c>
      <x:c r="U430" s="6" t="str"/>
      <x:c r="V430" s="6" t="str">
        <x:v>0</x:v>
      </x:c>
      <x:c r="W430" s="6" t="str">
        <x:v>0.0</x:v>
      </x:c>
      <x:c r="X430" s="6" t="str">
        <x:v>4</x:v>
      </x:c>
      <x:c r="Y430" s="6" t="str">
        <x:v>297.0</x:v>
      </x:c>
      <x:c r="Z430" s="6" t="str">
        <x:v>2</x:v>
      </x:c>
      <x:c r="AA430" s="6" t="str">
        <x:v>0.0</x:v>
      </x:c>
      <x:c r="AB430" s="6" t="str">
        <x:v>4</x:v>
      </x:c>
      <x:c r="AC430" s="6" t="str">
        <x:v>2025-09</x:v>
      </x:c>
      <x:c r="AD430" s="9" t="str">
        <x:v>BNPB operational disaster search table</x:v>
      </x:c>
      <x:c r="AE430" s="9" t="str">
        <x:v>https://gis.bnpb.go.id/databencana/tabel/pencarian.php</x:v>
      </x:c>
      <x:c r="AF430" s="9" t="str">
        <x:v>operational_snapshot_annual_totals_may_differ</x:v>
      </x:c>
    </x:row>
    <x:row r="431" ht="18" customHeight="1">
      <x:c r="A431" s="6" t="str">
        <x:v>52</x:v>
      </x:c>
      <x:c r="B431" s="6" t="str">
        <x:v>NUSA TENGGARA BARAT</x:v>
      </x:c>
      <x:c r="C431" s="6" t="str">
        <x:v>2025</x:v>
      </x:c>
      <x:c r="D431" s="6" t="str">
        <x:v>10</x:v>
      </x:c>
      <x:c r="E431" s="6" t="str">
        <x:v>3</x:v>
      </x:c>
      <x:c r="F431" s="6" t="str">
        <x:v>3</x:v>
      </x:c>
      <x:c r="G431" s="6" t="str">
        <x:v>0</x:v>
      </x:c>
      <x:c r="H431" s="6" t="str">
        <x:v>0</x:v>
      </x:c>
      <x:c r="I431" s="6" t="str">
        <x:v>2</x:v>
      </x:c>
      <x:c r="J431" s="6" t="str">
        <x:v>1</x:v>
      </x:c>
      <x:c r="K431" s="6" t="str">
        <x:v>0</x:v>
      </x:c>
      <x:c r="L431" s="6" t="str">
        <x:v>0</x:v>
      </x:c>
      <x:c r="M431" s="6" t="str">
        <x:v>0</x:v>
      </x:c>
      <x:c r="N431" s="6" t="str">
        <x:v>0</x:v>
      </x:c>
      <x:c r="O431" s="6" t="str">
        <x:v>0</x:v>
      </x:c>
      <x:c r="P431" s="6" t="str">
        <x:v>3</x:v>
      </x:c>
      <x:c r="Q431" s="6" t="str"/>
      <x:c r="R431" s="6" t="str">
        <x:v>0</x:v>
      </x:c>
      <x:c r="S431" s="6" t="str"/>
      <x:c r="T431" s="6" t="str">
        <x:v>0</x:v>
      </x:c>
      <x:c r="U431" s="6" t="str"/>
      <x:c r="V431" s="6" t="str">
        <x:v>0</x:v>
      </x:c>
      <x:c r="W431" s="6" t="str">
        <x:v>5.0</x:v>
      </x:c>
      <x:c r="X431" s="6" t="str">
        <x:v>3</x:v>
      </x:c>
      <x:c r="Y431" s="6" t="str"/>
      <x:c r="Z431" s="6" t="str">
        <x:v>0</x:v>
      </x:c>
      <x:c r="AA431" s="6" t="str">
        <x:v>0.0</x:v>
      </x:c>
      <x:c r="AB431" s="6" t="str">
        <x:v>3</x:v>
      </x:c>
      <x:c r="AC431" s="6" t="str">
        <x:v>2025-10</x:v>
      </x:c>
      <x:c r="AD431" s="9" t="str">
        <x:v>BNPB operational disaster search table</x:v>
      </x:c>
      <x:c r="AE431" s="9" t="str">
        <x:v>https://gis.bnpb.go.id/databencana/tabel/pencarian.php</x:v>
      </x:c>
      <x:c r="AF431" s="9" t="str">
        <x:v>operational_snapshot_annual_totals_may_differ</x:v>
      </x:c>
    </x:row>
    <x:row r="432" ht="18" customHeight="1">
      <x:c r="A432" s="6" t="str">
        <x:v>52</x:v>
      </x:c>
      <x:c r="B432" s="6" t="str">
        <x:v>NUSA TENGGARA BARAT</x:v>
      </x:c>
      <x:c r="C432" s="6" t="str">
        <x:v>2025</x:v>
      </x:c>
      <x:c r="D432" s="6" t="str">
        <x:v>11</x:v>
      </x:c>
      <x:c r="E432" s="6" t="str">
        <x:v>21</x:v>
      </x:c>
      <x:c r="F432" s="6" t="str">
        <x:v>21</x:v>
      </x:c>
      <x:c r="G432" s="6" t="str">
        <x:v>18</x:v>
      </x:c>
      <x:c r="H432" s="6" t="str">
        <x:v>0</x:v>
      </x:c>
      <x:c r="I432" s="6" t="str">
        <x:v>3</x:v>
      </x:c>
      <x:c r="J432" s="6" t="str">
        <x:v>0</x:v>
      </x:c>
      <x:c r="K432" s="6" t="str">
        <x:v>0</x:v>
      </x:c>
      <x:c r="L432" s="6" t="str">
        <x:v>0</x:v>
      </x:c>
      <x:c r="M432" s="6" t="str">
        <x:v>0</x:v>
      </x:c>
      <x:c r="N432" s="6" t="str">
        <x:v>0</x:v>
      </x:c>
      <x:c r="O432" s="6" t="str">
        <x:v>0</x:v>
      </x:c>
      <x:c r="P432" s="6" t="str">
        <x:v>21</x:v>
      </x:c>
      <x:c r="Q432" s="6" t="str">
        <x:v>3.0</x:v>
      </x:c>
      <x:c r="R432" s="6" t="str">
        <x:v>2</x:v>
      </x:c>
      <x:c r="S432" s="6" t="str"/>
      <x:c r="T432" s="6" t="str">
        <x:v>0</x:v>
      </x:c>
      <x:c r="U432" s="6" t="str">
        <x:v>3.0</x:v>
      </x:c>
      <x:c r="V432" s="6" t="str">
        <x:v>1</x:v>
      </x:c>
      <x:c r="W432" s="6" t="str">
        <x:v>57.0</x:v>
      </x:c>
      <x:c r="X432" s="6" t="str">
        <x:v>21</x:v>
      </x:c>
      <x:c r="Y432" s="6" t="str">
        <x:v>6164.0</x:v>
      </x:c>
      <x:c r="Z432" s="6" t="str">
        <x:v>17</x:v>
      </x:c>
      <x:c r="AA432" s="6" t="str">
        <x:v>3.0</x:v>
      </x:c>
      <x:c r="AB432" s="6" t="str">
        <x:v>21</x:v>
      </x:c>
      <x:c r="AC432" s="6" t="str">
        <x:v>2025-11</x:v>
      </x:c>
      <x:c r="AD432" s="9" t="str">
        <x:v>BNPB operational disaster search table</x:v>
      </x:c>
      <x:c r="AE432" s="9" t="str">
        <x:v>https://gis.bnpb.go.id/databencana/tabel/pencarian.php</x:v>
      </x:c>
      <x:c r="AF432" s="9" t="str">
        <x:v>operational_snapshot_annual_totals_may_differ</x:v>
      </x:c>
    </x:row>
    <x:row r="433" ht="18" customHeight="1">
      <x:c r="A433" s="6" t="str">
        <x:v>52</x:v>
      </x:c>
      <x:c r="B433" s="6" t="str">
        <x:v>NUSA TENGGARA BARAT</x:v>
      </x:c>
      <x:c r="C433" s="6" t="str">
        <x:v>2025</x:v>
      </x:c>
      <x:c r="D433" s="6" t="str">
        <x:v>12</x:v>
      </x:c>
      <x:c r="E433" s="6" t="str">
        <x:v>13</x:v>
      </x:c>
      <x:c r="F433" s="6" t="str">
        <x:v>13</x:v>
      </x:c>
      <x:c r="G433" s="6" t="str">
        <x:v>13</x:v>
      </x:c>
      <x:c r="H433" s="6" t="str">
        <x:v>0</x:v>
      </x:c>
      <x:c r="I433" s="6" t="str">
        <x:v>0</x:v>
      </x:c>
      <x:c r="J433" s="6" t="str">
        <x:v>0</x:v>
      </x:c>
      <x:c r="K433" s="6" t="str">
        <x:v>0</x:v>
      </x:c>
      <x:c r="L433" s="6" t="str">
        <x:v>0</x:v>
      </x:c>
      <x:c r="M433" s="6" t="str">
        <x:v>0</x:v>
      </x:c>
      <x:c r="N433" s="6" t="str">
        <x:v>0</x:v>
      </x:c>
      <x:c r="O433" s="6" t="str">
        <x:v>0</x:v>
      </x:c>
      <x:c r="P433" s="6" t="str">
        <x:v>13</x:v>
      </x:c>
      <x:c r="Q433" s="6" t="str">
        <x:v>1.0</x:v>
      </x:c>
      <x:c r="R433" s="6" t="str">
        <x:v>1</x:v>
      </x:c>
      <x:c r="S433" s="6" t="str">
        <x:v>1.0</x:v>
      </x:c>
      <x:c r="T433" s="6" t="str">
        <x:v>1</x:v>
      </x:c>
      <x:c r="U433" s="6" t="str"/>
      <x:c r="V433" s="6" t="str">
        <x:v>0</x:v>
      </x:c>
      <x:c r="W433" s="6" t="str">
        <x:v>0.0</x:v>
      </x:c>
      <x:c r="X433" s="6" t="str">
        <x:v>13</x:v>
      </x:c>
      <x:c r="Y433" s="6" t="str">
        <x:v>2107.0</x:v>
      </x:c>
      <x:c r="Z433" s="6" t="str">
        <x:v>10</x:v>
      </x:c>
      <x:c r="AA433" s="6" t="str">
        <x:v>0.0</x:v>
      </x:c>
      <x:c r="AB433" s="6" t="str">
        <x:v>13</x:v>
      </x:c>
      <x:c r="AC433" s="6" t="str">
        <x:v>2025-12</x:v>
      </x:c>
      <x:c r="AD433" s="9" t="str">
        <x:v>BNPB operational disaster search table</x:v>
      </x:c>
      <x:c r="AE433" s="9" t="str">
        <x:v>https://gis.bnpb.go.id/databencana/tabel/pencarian.php</x:v>
      </x:c>
      <x:c r="AF433" s="9" t="str">
        <x:v>operational_snapshot_annual_totals_may_differ</x:v>
      </x:c>
    </x:row>
    <x:row r="434" ht="18" customHeight="1">
      <x:c r="A434" s="6" t="str">
        <x:v>53</x:v>
      </x:c>
      <x:c r="B434" s="6" t="str">
        <x:v>NUSA TENGGARA TIMUR</x:v>
      </x:c>
      <x:c r="C434" s="6" t="str">
        <x:v>2024</x:v>
      </x:c>
      <x:c r="D434" s="6" t="str">
        <x:v>1</x:v>
      </x:c>
      <x:c r="E434" s="6" t="str">
        <x:v>8</x:v>
      </x:c>
      <x:c r="F434" s="6" t="str">
        <x:v>8</x:v>
      </x:c>
      <x:c r="G434" s="6" t="str">
        <x:v>0</x:v>
      </x:c>
      <x:c r="H434" s="6" t="str">
        <x:v>0</x:v>
      </x:c>
      <x:c r="I434" s="6" t="str">
        <x:v>7</x:v>
      </x:c>
      <x:c r="J434" s="6" t="str">
        <x:v>0</x:v>
      </x:c>
      <x:c r="K434" s="6" t="str">
        <x:v>0</x:v>
      </x:c>
      <x:c r="L434" s="6" t="str">
        <x:v>0</x:v>
      </x:c>
      <x:c r="M434" s="6" t="str">
        <x:v>0</x:v>
      </x:c>
      <x:c r="N434" s="6" t="str">
        <x:v>1</x:v>
      </x:c>
      <x:c r="O434" s="6" t="str">
        <x:v>0</x:v>
      </x:c>
      <x:c r="P434" s="6" t="str">
        <x:v>7</x:v>
      </x:c>
      <x:c r="Q434" s="6" t="str">
        <x:v>4.0</x:v>
      </x:c>
      <x:c r="R434" s="6" t="str">
        <x:v>8</x:v>
      </x:c>
      <x:c r="S434" s="6" t="str">
        <x:v>0.0</x:v>
      </x:c>
      <x:c r="T434" s="6" t="str">
        <x:v>8</x:v>
      </x:c>
      <x:c r="U434" s="6" t="str">
        <x:v>6.0</x:v>
      </x:c>
      <x:c r="V434" s="6" t="str">
        <x:v>8</x:v>
      </x:c>
      <x:c r="W434" s="6" t="str">
        <x:v>301.0</x:v>
      </x:c>
      <x:c r="X434" s="6" t="str">
        <x:v>8</x:v>
      </x:c>
      <x:c r="Y434" s="6" t="str"/>
      <x:c r="Z434" s="6" t="str">
        <x:v>0</x:v>
      </x:c>
      <x:c r="AA434" s="6" t="str">
        <x:v>12.0</x:v>
      </x:c>
      <x:c r="AB434" s="6" t="str">
        <x:v>8</x:v>
      </x:c>
      <x:c r="AC434" s="6" t="str">
        <x:v>2024-01</x:v>
      </x:c>
      <x:c r="AD434" s="9" t="str">
        <x:v>BNPB operational disaster search table</x:v>
      </x:c>
      <x:c r="AE434" s="9" t="str">
        <x:v>https://gis.bnpb.go.id/databencana/tabel/pencarian.php</x:v>
      </x:c>
      <x:c r="AF434" s="9" t="str">
        <x:v>operational_snapshot_annual_totals_may_differ</x:v>
      </x:c>
    </x:row>
    <x:row r="435" ht="18" customHeight="1">
      <x:c r="A435" s="6" t="str">
        <x:v>53</x:v>
      </x:c>
      <x:c r="B435" s="6" t="str">
        <x:v>NUSA TENGGARA TIMUR</x:v>
      </x:c>
      <x:c r="C435" s="6" t="str">
        <x:v>2024</x:v>
      </x:c>
      <x:c r="D435" s="6" t="str">
        <x:v>2</x:v>
      </x:c>
      <x:c r="E435" s="6" t="str">
        <x:v>1</x:v>
      </x:c>
      <x:c r="F435" s="6" t="str">
        <x:v>1</x:v>
      </x:c>
      <x:c r="G435" s="6" t="str">
        <x:v>1</x:v>
      </x:c>
      <x:c r="H435" s="6" t="str">
        <x:v>0</x:v>
      </x:c>
      <x:c r="I435" s="6" t="str">
        <x:v>0</x:v>
      </x:c>
      <x:c r="J435" s="6" t="str">
        <x:v>0</x:v>
      </x:c>
      <x:c r="K435" s="6" t="str">
        <x:v>0</x:v>
      </x:c>
      <x:c r="L435" s="6" t="str">
        <x:v>0</x:v>
      </x:c>
      <x:c r="M435" s="6" t="str">
        <x:v>0</x:v>
      </x:c>
      <x:c r="N435" s="6" t="str">
        <x:v>0</x:v>
      </x:c>
      <x:c r="O435" s="6" t="str">
        <x:v>0</x:v>
      </x:c>
      <x:c r="P435" s="6" t="str">
        <x:v>1</x:v>
      </x:c>
      <x:c r="Q435" s="6" t="str">
        <x:v>0.0</x:v>
      </x:c>
      <x:c r="R435" s="6" t="str">
        <x:v>1</x:v>
      </x:c>
      <x:c r="S435" s="6" t="str">
        <x:v>0.0</x:v>
      </x:c>
      <x:c r="T435" s="6" t="str">
        <x:v>1</x:v>
      </x:c>
      <x:c r="U435" s="6" t="str">
        <x:v>0.0</x:v>
      </x:c>
      <x:c r="V435" s="6" t="str">
        <x:v>1</x:v>
      </x:c>
      <x:c r="W435" s="6" t="str">
        <x:v>8.0</x:v>
      </x:c>
      <x:c r="X435" s="6" t="str">
        <x:v>1</x:v>
      </x:c>
      <x:c r="Y435" s="6" t="str">
        <x:v>14.0</x:v>
      </x:c>
      <x:c r="Z435" s="6" t="str">
        <x:v>1</x:v>
      </x:c>
      <x:c r="AA435" s="6" t="str">
        <x:v>3.0</x:v>
      </x:c>
      <x:c r="AB435" s="6" t="str">
        <x:v>1</x:v>
      </x:c>
      <x:c r="AC435" s="6" t="str">
        <x:v>2024-02</x:v>
      </x:c>
      <x:c r="AD435" s="9" t="str">
        <x:v>BNPB operational disaster search table</x:v>
      </x:c>
      <x:c r="AE435" s="9" t="str">
        <x:v>https://gis.bnpb.go.id/databencana/tabel/pencarian.php</x:v>
      </x:c>
      <x:c r="AF435" s="9" t="str">
        <x:v>operational_snapshot_annual_totals_may_differ</x:v>
      </x:c>
    </x:row>
    <x:row r="436" ht="18" customHeight="1">
      <x:c r="A436" s="6" t="str">
        <x:v>53</x:v>
      </x:c>
      <x:c r="B436" s="6" t="str">
        <x:v>NUSA TENGGARA TIMUR</x:v>
      </x:c>
      <x:c r="C436" s="6" t="str">
        <x:v>2024</x:v>
      </x:c>
      <x:c r="D436" s="6" t="str">
        <x:v>3</x:v>
      </x:c>
      <x:c r="E436" s="6" t="str">
        <x:v>16</x:v>
      </x:c>
      <x:c r="F436" s="6" t="str">
        <x:v>16</x:v>
      </x:c>
      <x:c r="G436" s="6" t="str">
        <x:v>9</x:v>
      </x:c>
      <x:c r="H436" s="6" t="str">
        <x:v>1</x:v>
      </x:c>
      <x:c r="I436" s="6" t="str">
        <x:v>4</x:v>
      </x:c>
      <x:c r="J436" s="6" t="str">
        <x:v>0</x:v>
      </x:c>
      <x:c r="K436" s="6" t="str">
        <x:v>0</x:v>
      </x:c>
      <x:c r="L436" s="6" t="str">
        <x:v>2</x:v>
      </x:c>
      <x:c r="M436" s="6" t="str">
        <x:v>0</x:v>
      </x:c>
      <x:c r="N436" s="6" t="str">
        <x:v>0</x:v>
      </x:c>
      <x:c r="O436" s="6" t="str">
        <x:v>0</x:v>
      </x:c>
      <x:c r="P436" s="6" t="str">
        <x:v>16</x:v>
      </x:c>
      <x:c r="Q436" s="6" t="str">
        <x:v>5.0</x:v>
      </x:c>
      <x:c r="R436" s="6" t="str">
        <x:v>16</x:v>
      </x:c>
      <x:c r="S436" s="6" t="str">
        <x:v>0.0</x:v>
      </x:c>
      <x:c r="T436" s="6" t="str">
        <x:v>16</x:v>
      </x:c>
      <x:c r="U436" s="6" t="str">
        <x:v>0.0</x:v>
      </x:c>
      <x:c r="V436" s="6" t="str">
        <x:v>16</x:v>
      </x:c>
      <x:c r="W436" s="6" t="str">
        <x:v>77.0</x:v>
      </x:c>
      <x:c r="X436" s="6" t="str">
        <x:v>16</x:v>
      </x:c>
      <x:c r="Y436" s="6" t="str">
        <x:v>2501.0</x:v>
      </x:c>
      <x:c r="Z436" s="6" t="str">
        <x:v>5</x:v>
      </x:c>
      <x:c r="AA436" s="6" t="str">
        <x:v>4.0</x:v>
      </x:c>
      <x:c r="AB436" s="6" t="str">
        <x:v>16</x:v>
      </x:c>
      <x:c r="AC436" s="6" t="str">
        <x:v>2024-03</x:v>
      </x:c>
      <x:c r="AD436" s="9" t="str">
        <x:v>BNPB operational disaster search table</x:v>
      </x:c>
      <x:c r="AE436" s="9" t="str">
        <x:v>https://gis.bnpb.go.id/databencana/tabel/pencarian.php</x:v>
      </x:c>
      <x:c r="AF436" s="9" t="str">
        <x:v>operational_snapshot_annual_totals_may_differ</x:v>
      </x:c>
    </x:row>
    <x:row r="437" ht="18" customHeight="1">
      <x:c r="A437" s="6" t="str">
        <x:v>53</x:v>
      </x:c>
      <x:c r="B437" s="6" t="str">
        <x:v>NUSA TENGGARA TIMUR</x:v>
      </x:c>
      <x:c r="C437" s="6" t="str">
        <x:v>2024</x:v>
      </x:c>
      <x:c r="D437" s="6" t="str">
        <x:v>4</x:v>
      </x:c>
      <x:c r="E437" s="6" t="str">
        <x:v>1</x:v>
      </x:c>
      <x:c r="F437" s="6" t="str">
        <x:v>1</x:v>
      </x:c>
      <x:c r="G437" s="6" t="str">
        <x:v>0</x:v>
      </x:c>
      <x:c r="H437" s="6" t="str">
        <x:v>1</x:v>
      </x:c>
      <x:c r="I437" s="6" t="str">
        <x:v>0</x:v>
      </x:c>
      <x:c r="J437" s="6" t="str">
        <x:v>0</x:v>
      </x:c>
      <x:c r="K437" s="6" t="str">
        <x:v>0</x:v>
      </x:c>
      <x:c r="L437" s="6" t="str">
        <x:v>0</x:v>
      </x:c>
      <x:c r="M437" s="6" t="str">
        <x:v>0</x:v>
      </x:c>
      <x:c r="N437" s="6" t="str">
        <x:v>0</x:v>
      </x:c>
      <x:c r="O437" s="6" t="str">
        <x:v>0</x:v>
      </x:c>
      <x:c r="P437" s="6" t="str">
        <x:v>1</x:v>
      </x:c>
      <x:c r="Q437" s="6" t="str">
        <x:v>0.0</x:v>
      </x:c>
      <x:c r="R437" s="6" t="str">
        <x:v>1</x:v>
      </x:c>
      <x:c r="S437" s="6" t="str">
        <x:v>0.0</x:v>
      </x:c>
      <x:c r="T437" s="6" t="str">
        <x:v>1</x:v>
      </x:c>
      <x:c r="U437" s="6" t="str">
        <x:v>0.0</x:v>
      </x:c>
      <x:c r="V437" s="6" t="str">
        <x:v>1</x:v>
      </x:c>
      <x:c r="W437" s="6" t="str">
        <x:v>0.0</x:v>
      </x:c>
      <x:c r="X437" s="6" t="str">
        <x:v>1</x:v>
      </x:c>
      <x:c r="Y437" s="6" t="str"/>
      <x:c r="Z437" s="6" t="str">
        <x:v>0</x:v>
      </x:c>
      <x:c r="AA437" s="6" t="str">
        <x:v>0.0</x:v>
      </x:c>
      <x:c r="AB437" s="6" t="str">
        <x:v>1</x:v>
      </x:c>
      <x:c r="AC437" s="6" t="str">
        <x:v>2024-04</x:v>
      </x:c>
      <x:c r="AD437" s="9" t="str">
        <x:v>BNPB operational disaster search table</x:v>
      </x:c>
      <x:c r="AE437" s="9" t="str">
        <x:v>https://gis.bnpb.go.id/databencana/tabel/pencarian.php</x:v>
      </x:c>
      <x:c r="AF437" s="9" t="str">
        <x:v>operational_snapshot_annual_totals_may_differ</x:v>
      </x:c>
    </x:row>
    <x:row r="438" ht="18" customHeight="1">
      <x:c r="A438" s="6" t="str">
        <x:v>53</x:v>
      </x:c>
      <x:c r="B438" s="6" t="str">
        <x:v>NUSA TENGGARA TIMUR</x:v>
      </x:c>
      <x:c r="C438" s="6" t="str">
        <x:v>2024</x:v>
      </x:c>
      <x:c r="D438" s="6" t="str">
        <x:v>5</x:v>
      </x:c>
      <x:c r="E438" s="6" t="str">
        <x:v>3</x:v>
      </x:c>
      <x:c r="F438" s="6" t="str">
        <x:v>3</x:v>
      </x:c>
      <x:c r="G438" s="6" t="str">
        <x:v>0</x:v>
      </x:c>
      <x:c r="H438" s="6" t="str">
        <x:v>2</x:v>
      </x:c>
      <x:c r="I438" s="6" t="str">
        <x:v>0</x:v>
      </x:c>
      <x:c r="J438" s="6" t="str">
        <x:v>0</x:v>
      </x:c>
      <x:c r="K438" s="6" t="str">
        <x:v>0</x:v>
      </x:c>
      <x:c r="L438" s="6" t="str">
        <x:v>0</x:v>
      </x:c>
      <x:c r="M438" s="6" t="str">
        <x:v>0</x:v>
      </x:c>
      <x:c r="N438" s="6" t="str">
        <x:v>1</x:v>
      </x:c>
      <x:c r="O438" s="6" t="str">
        <x:v>0</x:v>
      </x:c>
      <x:c r="P438" s="6" t="str">
        <x:v>2</x:v>
      </x:c>
      <x:c r="Q438" s="6" t="str">
        <x:v>5.0</x:v>
      </x:c>
      <x:c r="R438" s="6" t="str">
        <x:v>3</x:v>
      </x:c>
      <x:c r="S438" s="6" t="str">
        <x:v>0.0</x:v>
      </x:c>
      <x:c r="T438" s="6" t="str">
        <x:v>3</x:v>
      </x:c>
      <x:c r="U438" s="6" t="str">
        <x:v>0.0</x:v>
      </x:c>
      <x:c r="V438" s="6" t="str">
        <x:v>3</x:v>
      </x:c>
      <x:c r="W438" s="6" t="str">
        <x:v>2.0</x:v>
      </x:c>
      <x:c r="X438" s="6" t="str">
        <x:v>3</x:v>
      </x:c>
      <x:c r="Y438" s="6" t="str"/>
      <x:c r="Z438" s="6" t="str">
        <x:v>0</x:v>
      </x:c>
      <x:c r="AA438" s="6" t="str">
        <x:v>0.0</x:v>
      </x:c>
      <x:c r="AB438" s="6" t="str">
        <x:v>3</x:v>
      </x:c>
      <x:c r="AC438" s="6" t="str">
        <x:v>2024-05</x:v>
      </x:c>
      <x:c r="AD438" s="9" t="str">
        <x:v>BNPB operational disaster search table</x:v>
      </x:c>
      <x:c r="AE438" s="9" t="str">
        <x:v>https://gis.bnpb.go.id/databencana/tabel/pencarian.php</x:v>
      </x:c>
      <x:c r="AF438" s="9" t="str">
        <x:v>operational_snapshot_annual_totals_may_differ</x:v>
      </x:c>
    </x:row>
    <x:row r="439" ht="18" customHeight="1">
      <x:c r="A439" s="6" t="str">
        <x:v>53</x:v>
      </x:c>
      <x:c r="B439" s="6" t="str">
        <x:v>NUSA TENGGARA TIMUR</x:v>
      </x:c>
      <x:c r="C439" s="6" t="str">
        <x:v>2024</x:v>
      </x:c>
      <x:c r="D439" s="6" t="str">
        <x:v>6</x:v>
      </x:c>
      <x:c r="E439" s="6" t="str">
        <x:v>2</x:v>
      </x:c>
      <x:c r="F439" s="6" t="str">
        <x:v>2</x:v>
      </x:c>
      <x:c r="G439" s="6" t="str">
        <x:v>1</x:v>
      </x:c>
      <x:c r="H439" s="6" t="str">
        <x:v>1</x:v>
      </x:c>
      <x:c r="I439" s="6" t="str">
        <x:v>0</x:v>
      </x:c>
      <x:c r="J439" s="6" t="str">
        <x:v>0</x:v>
      </x:c>
      <x:c r="K439" s="6" t="str">
        <x:v>0</x:v>
      </x:c>
      <x:c r="L439" s="6" t="str">
        <x:v>0</x:v>
      </x:c>
      <x:c r="M439" s="6" t="str">
        <x:v>0</x:v>
      </x:c>
      <x:c r="N439" s="6" t="str">
        <x:v>0</x:v>
      </x:c>
      <x:c r="O439" s="6" t="str">
        <x:v>0</x:v>
      </x:c>
      <x:c r="P439" s="6" t="str">
        <x:v>2</x:v>
      </x:c>
      <x:c r="Q439" s="6" t="str">
        <x:v>5.0</x:v>
      </x:c>
      <x:c r="R439" s="6" t="str">
        <x:v>2</x:v>
      </x:c>
      <x:c r="S439" s="6" t="str">
        <x:v>0.0</x:v>
      </x:c>
      <x:c r="T439" s="6" t="str">
        <x:v>2</x:v>
      </x:c>
      <x:c r="U439" s="6" t="str">
        <x:v>0.0</x:v>
      </x:c>
      <x:c r="V439" s="6" t="str">
        <x:v>2</x:v>
      </x:c>
      <x:c r="W439" s="6" t="str">
        <x:v>1.0</x:v>
      </x:c>
      <x:c r="X439" s="6" t="str">
        <x:v>2</x:v>
      </x:c>
      <x:c r="Y439" s="6" t="str">
        <x:v>1.0</x:v>
      </x:c>
      <x:c r="Z439" s="6" t="str">
        <x:v>1</x:v>
      </x:c>
      <x:c r="AA439" s="6" t="str">
        <x:v>0.0</x:v>
      </x:c>
      <x:c r="AB439" s="6" t="str">
        <x:v>2</x:v>
      </x:c>
      <x:c r="AC439" s="6" t="str">
        <x:v>2024-06</x:v>
      </x:c>
      <x:c r="AD439" s="9" t="str">
        <x:v>BNPB operational disaster search table</x:v>
      </x:c>
      <x:c r="AE439" s="9" t="str">
        <x:v>https://gis.bnpb.go.id/databencana/tabel/pencarian.php</x:v>
      </x:c>
      <x:c r="AF439" s="9" t="str">
        <x:v>operational_snapshot_annual_totals_may_differ</x:v>
      </x:c>
    </x:row>
    <x:row r="440" ht="18" customHeight="1">
      <x:c r="A440" s="6" t="str">
        <x:v>53</x:v>
      </x:c>
      <x:c r="B440" s="6" t="str">
        <x:v>NUSA TENGGARA TIMUR</x:v>
      </x:c>
      <x:c r="C440" s="6" t="str">
        <x:v>2024</x:v>
      </x:c>
      <x:c r="D440" s="6" t="str">
        <x:v>7</x:v>
      </x:c>
      <x:c r="E440" s="6" t="str">
        <x:v>7</x:v>
      </x:c>
      <x:c r="F440" s="6" t="str">
        <x:v>7</x:v>
      </x:c>
      <x:c r="G440" s="6" t="str">
        <x:v>0</x:v>
      </x:c>
      <x:c r="H440" s="6" t="str">
        <x:v>0</x:v>
      </x:c>
      <x:c r="I440" s="6" t="str">
        <x:v>0</x:v>
      </x:c>
      <x:c r="J440" s="6" t="str">
        <x:v>0</x:v>
      </x:c>
      <x:c r="K440" s="6" t="str">
        <x:v>7</x:v>
      </x:c>
      <x:c r="L440" s="6" t="str">
        <x:v>0</x:v>
      </x:c>
      <x:c r="M440" s="6" t="str">
        <x:v>0</x:v>
      </x:c>
      <x:c r="N440" s="6" t="str">
        <x:v>0</x:v>
      </x:c>
      <x:c r="O440" s="6" t="str">
        <x:v>0</x:v>
      </x:c>
      <x:c r="P440" s="6" t="str">
        <x:v>7</x:v>
      </x:c>
      <x:c r="Q440" s="6" t="str">
        <x:v>0.0</x:v>
      </x:c>
      <x:c r="R440" s="6" t="str">
        <x:v>7</x:v>
      </x:c>
      <x:c r="S440" s="6" t="str">
        <x:v>0.0</x:v>
      </x:c>
      <x:c r="T440" s="6" t="str">
        <x:v>7</x:v>
      </x:c>
      <x:c r="U440" s="6" t="str">
        <x:v>0.0</x:v>
      </x:c>
      <x:c r="V440" s="6" t="str">
        <x:v>7</x:v>
      </x:c>
      <x:c r="W440" s="6" t="str">
        <x:v>5.0</x:v>
      </x:c>
      <x:c r="X440" s="6" t="str">
        <x:v>7</x:v>
      </x:c>
      <x:c r="Y440" s="6" t="str"/>
      <x:c r="Z440" s="6" t="str">
        <x:v>0</x:v>
      </x:c>
      <x:c r="AA440" s="6" t="str">
        <x:v>0.0</x:v>
      </x:c>
      <x:c r="AB440" s="6" t="str">
        <x:v>7</x:v>
      </x:c>
      <x:c r="AC440" s="6" t="str">
        <x:v>2024-07</x:v>
      </x:c>
      <x:c r="AD440" s="9" t="str">
        <x:v>BNPB operational disaster search table</x:v>
      </x:c>
      <x:c r="AE440" s="9" t="str">
        <x:v>https://gis.bnpb.go.id/databencana/tabel/pencarian.php</x:v>
      </x:c>
      <x:c r="AF440" s="9" t="str">
        <x:v>operational_snapshot_annual_totals_may_differ</x:v>
      </x:c>
    </x:row>
    <x:row r="441" ht="18" customHeight="1">
      <x:c r="A441" s="6" t="str">
        <x:v>53</x:v>
      </x:c>
      <x:c r="B441" s="6" t="str">
        <x:v>NUSA TENGGARA TIMUR</x:v>
      </x:c>
      <x:c r="C441" s="6" t="str">
        <x:v>2024</x:v>
      </x:c>
      <x:c r="D441" s="6" t="str">
        <x:v>8</x:v>
      </x:c>
      <x:c r="E441" s="6" t="str">
        <x:v>2</x:v>
      </x:c>
      <x:c r="F441" s="6" t="str">
        <x:v>2</x:v>
      </x:c>
      <x:c r="G441" s="6" t="str">
        <x:v>0</x:v>
      </x:c>
      <x:c r="H441" s="6" t="str">
        <x:v>0</x:v>
      </x:c>
      <x:c r="I441" s="6" t="str">
        <x:v>0</x:v>
      </x:c>
      <x:c r="J441" s="6" t="str">
        <x:v>0</x:v>
      </x:c>
      <x:c r="K441" s="6" t="str">
        <x:v>2</x:v>
      </x:c>
      <x:c r="L441" s="6" t="str">
        <x:v>0</x:v>
      </x:c>
      <x:c r="M441" s="6" t="str">
        <x:v>0</x:v>
      </x:c>
      <x:c r="N441" s="6" t="str">
        <x:v>0</x:v>
      </x:c>
      <x:c r="O441" s="6" t="str">
        <x:v>0</x:v>
      </x:c>
      <x:c r="P441" s="6" t="str">
        <x:v>2</x:v>
      </x:c>
      <x:c r="Q441" s="6" t="str">
        <x:v>0.0</x:v>
      </x:c>
      <x:c r="R441" s="6" t="str">
        <x:v>2</x:v>
      </x:c>
      <x:c r="S441" s="6" t="str">
        <x:v>0.0</x:v>
      </x:c>
      <x:c r="T441" s="6" t="str">
        <x:v>2</x:v>
      </x:c>
      <x:c r="U441" s="6" t="str">
        <x:v>0.0</x:v>
      </x:c>
      <x:c r="V441" s="6" t="str">
        <x:v>2</x:v>
      </x:c>
      <x:c r="W441" s="6" t="str">
        <x:v>0.0</x:v>
      </x:c>
      <x:c r="X441" s="6" t="str">
        <x:v>2</x:v>
      </x:c>
      <x:c r="Y441" s="6" t="str"/>
      <x:c r="Z441" s="6" t="str">
        <x:v>0</x:v>
      </x:c>
      <x:c r="AA441" s="6" t="str">
        <x:v>0.0</x:v>
      </x:c>
      <x:c r="AB441" s="6" t="str">
        <x:v>2</x:v>
      </x:c>
      <x:c r="AC441" s="6" t="str">
        <x:v>2024-08</x:v>
      </x:c>
      <x:c r="AD441" s="9" t="str">
        <x:v>BNPB operational disaster search table</x:v>
      </x:c>
      <x:c r="AE441" s="9" t="str">
        <x:v>https://gis.bnpb.go.id/databencana/tabel/pencarian.php</x:v>
      </x:c>
      <x:c r="AF441" s="9" t="str">
        <x:v>operational_snapshot_annual_totals_may_differ</x:v>
      </x:c>
    </x:row>
    <x:row r="442" ht="18" customHeight="1">
      <x:c r="A442" s="6" t="str">
        <x:v>53</x:v>
      </x:c>
      <x:c r="B442" s="6" t="str">
        <x:v>NUSA TENGGARA TIMUR</x:v>
      </x:c>
      <x:c r="C442" s="6" t="str">
        <x:v>2024</x:v>
      </x:c>
      <x:c r="D442" s="6" t="str">
        <x:v>9</x:v>
      </x:c>
      <x:c r="E442" s="6" t="str">
        <x:v>4</x:v>
      </x:c>
      <x:c r="F442" s="6" t="str">
        <x:v>4</x:v>
      </x:c>
      <x:c r="G442" s="6" t="str">
        <x:v>1</x:v>
      </x:c>
      <x:c r="H442" s="6" t="str">
        <x:v>0</x:v>
      </x:c>
      <x:c r="I442" s="6" t="str">
        <x:v>0</x:v>
      </x:c>
      <x:c r="J442" s="6" t="str">
        <x:v>0</x:v>
      </x:c>
      <x:c r="K442" s="6" t="str">
        <x:v>3</x:v>
      </x:c>
      <x:c r="L442" s="6" t="str">
        <x:v>0</x:v>
      </x:c>
      <x:c r="M442" s="6" t="str">
        <x:v>0</x:v>
      </x:c>
      <x:c r="N442" s="6" t="str">
        <x:v>0</x:v>
      </x:c>
      <x:c r="O442" s="6" t="str">
        <x:v>0</x:v>
      </x:c>
      <x:c r="P442" s="6" t="str">
        <x:v>4</x:v>
      </x:c>
      <x:c r="Q442" s="6" t="str">
        <x:v>0.0</x:v>
      </x:c>
      <x:c r="R442" s="6" t="str">
        <x:v>4</x:v>
      </x:c>
      <x:c r="S442" s="6" t="str">
        <x:v>0.0</x:v>
      </x:c>
      <x:c r="T442" s="6" t="str">
        <x:v>4</x:v>
      </x:c>
      <x:c r="U442" s="6" t="str">
        <x:v>0.0</x:v>
      </x:c>
      <x:c r="V442" s="6" t="str">
        <x:v>4</x:v>
      </x:c>
      <x:c r="W442" s="6" t="str">
        <x:v>0.0</x:v>
      </x:c>
      <x:c r="X442" s="6" t="str">
        <x:v>4</x:v>
      </x:c>
      <x:c r="Y442" s="6" t="str">
        <x:v>58.0</x:v>
      </x:c>
      <x:c r="Z442" s="6" t="str">
        <x:v>1</x:v>
      </x:c>
      <x:c r="AA442" s="6" t="str">
        <x:v>0.0</x:v>
      </x:c>
      <x:c r="AB442" s="6" t="str">
        <x:v>4</x:v>
      </x:c>
      <x:c r="AC442" s="6" t="str">
        <x:v>2024-09</x:v>
      </x:c>
      <x:c r="AD442" s="9" t="str">
        <x:v>BNPB operational disaster search table</x:v>
      </x:c>
      <x:c r="AE442" s="9" t="str">
        <x:v>https://gis.bnpb.go.id/databencana/tabel/pencarian.php</x:v>
      </x:c>
      <x:c r="AF442" s="9" t="str">
        <x:v>operational_snapshot_annual_totals_may_differ</x:v>
      </x:c>
    </x:row>
    <x:row r="443" ht="18" customHeight="1">
      <x:c r="A443" s="6" t="str">
        <x:v>53</x:v>
      </x:c>
      <x:c r="B443" s="6" t="str">
        <x:v>NUSA TENGGARA TIMUR</x:v>
      </x:c>
      <x:c r="C443" s="6" t="str">
        <x:v>2024</x:v>
      </x:c>
      <x:c r="D443" s="6" t="str">
        <x:v>10</x:v>
      </x:c>
      <x:c r="E443" s="6" t="str">
        <x:v>7</x:v>
      </x:c>
      <x:c r="F443" s="6" t="str">
        <x:v>7</x:v>
      </x:c>
      <x:c r="G443" s="6" t="str">
        <x:v>1</x:v>
      </x:c>
      <x:c r="H443" s="6" t="str">
        <x:v>0</x:v>
      </x:c>
      <x:c r="I443" s="6" t="str">
        <x:v>1</x:v>
      </x:c>
      <x:c r="J443" s="6" t="str">
        <x:v>1</x:v>
      </x:c>
      <x:c r="K443" s="6" t="str">
        <x:v>2</x:v>
      </x:c>
      <x:c r="L443" s="6" t="str">
        <x:v>2</x:v>
      </x:c>
      <x:c r="M443" s="6" t="str">
        <x:v>0</x:v>
      </x:c>
      <x:c r="N443" s="6" t="str">
        <x:v>0</x:v>
      </x:c>
      <x:c r="O443" s="6" t="str">
        <x:v>0</x:v>
      </x:c>
      <x:c r="P443" s="6" t="str">
        <x:v>7</x:v>
      </x:c>
      <x:c r="Q443" s="6" t="str">
        <x:v>0.0</x:v>
      </x:c>
      <x:c r="R443" s="6" t="str">
        <x:v>7</x:v>
      </x:c>
      <x:c r="S443" s="6" t="str">
        <x:v>0.0</x:v>
      </x:c>
      <x:c r="T443" s="6" t="str">
        <x:v>7</x:v>
      </x:c>
      <x:c r="U443" s="6" t="str">
        <x:v>0.0</x:v>
      </x:c>
      <x:c r="V443" s="6" t="str">
        <x:v>7</x:v>
      </x:c>
      <x:c r="W443" s="6" t="str">
        <x:v>60.0</x:v>
      </x:c>
      <x:c r="X443" s="6" t="str">
        <x:v>7</x:v>
      </x:c>
      <x:c r="Y443" s="6" t="str">
        <x:v>28.0</x:v>
      </x:c>
      <x:c r="Z443" s="6" t="str">
        <x:v>3</x:v>
      </x:c>
      <x:c r="AA443" s="6" t="str">
        <x:v>0.0</x:v>
      </x:c>
      <x:c r="AB443" s="6" t="str">
        <x:v>7</x:v>
      </x:c>
      <x:c r="AC443" s="6" t="str">
        <x:v>2024-10</x:v>
      </x:c>
      <x:c r="AD443" s="9" t="str">
        <x:v>BNPB operational disaster search table</x:v>
      </x:c>
      <x:c r="AE443" s="9" t="str">
        <x:v>https://gis.bnpb.go.id/databencana/tabel/pencarian.php</x:v>
      </x:c>
      <x:c r="AF443" s="9" t="str">
        <x:v>operational_snapshot_annual_totals_may_differ</x:v>
      </x:c>
    </x:row>
    <x:row r="444" ht="18" customHeight="1">
      <x:c r="A444" s="6" t="str">
        <x:v>53</x:v>
      </x:c>
      <x:c r="B444" s="6" t="str">
        <x:v>NUSA TENGGARA TIMUR</x:v>
      </x:c>
      <x:c r="C444" s="6" t="str">
        <x:v>2024</x:v>
      </x:c>
      <x:c r="D444" s="6" t="str">
        <x:v>11</x:v>
      </x:c>
      <x:c r="E444" s="6" t="str">
        <x:v>1</x:v>
      </x:c>
      <x:c r="F444" s="6" t="str">
        <x:v>1</x:v>
      </x:c>
      <x:c r="G444" s="6" t="str">
        <x:v>0</x:v>
      </x:c>
      <x:c r="H444" s="6" t="str">
        <x:v>0</x:v>
      </x:c>
      <x:c r="I444" s="6" t="str">
        <x:v>0</x:v>
      </x:c>
      <x:c r="J444" s="6" t="str">
        <x:v>0</x:v>
      </x:c>
      <x:c r="K444" s="6" t="str">
        <x:v>0</x:v>
      </x:c>
      <x:c r="L444" s="6" t="str">
        <x:v>0</x:v>
      </x:c>
      <x:c r="M444" s="6" t="str">
        <x:v>0</x:v>
      </x:c>
      <x:c r="N444" s="6" t="str">
        <x:v>1</x:v>
      </x:c>
      <x:c r="O444" s="6" t="str">
        <x:v>0</x:v>
      </x:c>
      <x:c r="P444" s="6" t="str">
        <x:v>0</x:v>
      </x:c>
      <x:c r="Q444" s="6" t="str">
        <x:v>9.0</x:v>
      </x:c>
      <x:c r="R444" s="6" t="str">
        <x:v>1</x:v>
      </x:c>
      <x:c r="S444" s="6" t="str">
        <x:v>0.0</x:v>
      </x:c>
      <x:c r="T444" s="6" t="str">
        <x:v>1</x:v>
      </x:c>
      <x:c r="U444" s="6" t="str">
        <x:v>63.0</x:v>
      </x:c>
      <x:c r="V444" s="6" t="str">
        <x:v>1</x:v>
      </x:c>
      <x:c r="W444" s="6" t="str">
        <x:v>2384.0</x:v>
      </x:c>
      <x:c r="X444" s="6" t="str">
        <x:v>1</x:v>
      </x:c>
      <x:c r="Y444" s="6" t="str"/>
      <x:c r="Z444" s="6" t="str">
        <x:v>0</x:v>
      </x:c>
      <x:c r="AA444" s="6" t="str">
        <x:v>63.0</x:v>
      </x:c>
      <x:c r="AB444" s="6" t="str">
        <x:v>1</x:v>
      </x:c>
      <x:c r="AC444" s="6" t="str">
        <x:v>2024-11</x:v>
      </x:c>
      <x:c r="AD444" s="9" t="str">
        <x:v>BNPB operational disaster search table</x:v>
      </x:c>
      <x:c r="AE444" s="9" t="str">
        <x:v>https://gis.bnpb.go.id/databencana/tabel/pencarian.php</x:v>
      </x:c>
      <x:c r="AF444" s="9" t="str">
        <x:v>operational_snapshot_annual_totals_may_differ</x:v>
      </x:c>
    </x:row>
    <x:row r="445" ht="18" customHeight="1">
      <x:c r="A445" s="6" t="str">
        <x:v>53</x:v>
      </x:c>
      <x:c r="B445" s="6" t="str">
        <x:v>NUSA TENGGARA TIMUR</x:v>
      </x:c>
      <x:c r="C445" s="6" t="str">
        <x:v>2024</x:v>
      </x:c>
      <x:c r="D445" s="6" t="str">
        <x:v>12</x:v>
      </x:c>
      <x:c r="E445" s="6" t="str">
        <x:v>2</x:v>
      </x:c>
      <x:c r="F445" s="6" t="str">
        <x:v>2</x:v>
      </x:c>
      <x:c r="G445" s="6" t="str">
        <x:v>1</x:v>
      </x:c>
      <x:c r="H445" s="6" t="str">
        <x:v>0</x:v>
      </x:c>
      <x:c r="I445" s="6" t="str">
        <x:v>1</x:v>
      </x:c>
      <x:c r="J445" s="6" t="str">
        <x:v>0</x:v>
      </x:c>
      <x:c r="K445" s="6" t="str">
        <x:v>0</x:v>
      </x:c>
      <x:c r="L445" s="6" t="str">
        <x:v>0</x:v>
      </x:c>
      <x:c r="M445" s="6" t="str">
        <x:v>0</x:v>
      </x:c>
      <x:c r="N445" s="6" t="str">
        <x:v>0</x:v>
      </x:c>
      <x:c r="O445" s="6" t="str">
        <x:v>0</x:v>
      </x:c>
      <x:c r="P445" s="6" t="str">
        <x:v>2</x:v>
      </x:c>
      <x:c r="Q445" s="6" t="str">
        <x:v>3.0</x:v>
      </x:c>
      <x:c r="R445" s="6" t="str">
        <x:v>2</x:v>
      </x:c>
      <x:c r="S445" s="6" t="str">
        <x:v>0.0</x:v>
      </x:c>
      <x:c r="T445" s="6" t="str">
        <x:v>2</x:v>
      </x:c>
      <x:c r="U445" s="6" t="str">
        <x:v>0.0</x:v>
      </x:c>
      <x:c r="V445" s="6" t="str">
        <x:v>2</x:v>
      </x:c>
      <x:c r="W445" s="6" t="str">
        <x:v>2.0</x:v>
      </x:c>
      <x:c r="X445" s="6" t="str">
        <x:v>2</x:v>
      </x:c>
      <x:c r="Y445" s="6" t="str">
        <x:v>2633.0</x:v>
      </x:c>
      <x:c r="Z445" s="6" t="str">
        <x:v>1</x:v>
      </x:c>
      <x:c r="AA445" s="6" t="str">
        <x:v>0.0</x:v>
      </x:c>
      <x:c r="AB445" s="6" t="str">
        <x:v>2</x:v>
      </x:c>
      <x:c r="AC445" s="6" t="str">
        <x:v>2024-12</x:v>
      </x:c>
      <x:c r="AD445" s="9" t="str">
        <x:v>BNPB operational disaster search table</x:v>
      </x:c>
      <x:c r="AE445" s="9" t="str">
        <x:v>https://gis.bnpb.go.id/databencana/tabel/pencarian.php</x:v>
      </x:c>
      <x:c r="AF445" s="9" t="str">
        <x:v>operational_snapshot_annual_totals_may_differ</x:v>
      </x:c>
    </x:row>
    <x:row r="446" ht="18" customHeight="1">
      <x:c r="A446" s="6" t="str">
        <x:v>53</x:v>
      </x:c>
      <x:c r="B446" s="6" t="str">
        <x:v>NUSA TENGGARA TIMUR</x:v>
      </x:c>
      <x:c r="C446" s="6" t="str">
        <x:v>2025</x:v>
      </x:c>
      <x:c r="D446" s="6" t="str">
        <x:v>1</x:v>
      </x:c>
      <x:c r="E446" s="6" t="str">
        <x:v>19</x:v>
      </x:c>
      <x:c r="F446" s="6" t="str">
        <x:v>19</x:v>
      </x:c>
      <x:c r="G446" s="6" t="str">
        <x:v>13</x:v>
      </x:c>
      <x:c r="H446" s="6" t="str">
        <x:v>2</x:v>
      </x:c>
      <x:c r="I446" s="6" t="str">
        <x:v>3</x:v>
      </x:c>
      <x:c r="J446" s="6" t="str">
        <x:v>0</x:v>
      </x:c>
      <x:c r="K446" s="6" t="str">
        <x:v>0</x:v>
      </x:c>
      <x:c r="L446" s="6" t="str">
        <x:v>0</x:v>
      </x:c>
      <x:c r="M446" s="6" t="str">
        <x:v>0</x:v>
      </x:c>
      <x:c r="N446" s="6" t="str">
        <x:v>1</x:v>
      </x:c>
      <x:c r="O446" s="6" t="str">
        <x:v>0</x:v>
      </x:c>
      <x:c r="P446" s="6" t="str">
        <x:v>18</x:v>
      </x:c>
      <x:c r="Q446" s="6" t="str">
        <x:v>7.0</x:v>
      </x:c>
      <x:c r="R446" s="6" t="str">
        <x:v>19</x:v>
      </x:c>
      <x:c r="S446" s="6" t="str">
        <x:v>0.0</x:v>
      </x:c>
      <x:c r="T446" s="6" t="str">
        <x:v>19</x:v>
      </x:c>
      <x:c r="U446" s="6" t="str">
        <x:v>3.0</x:v>
      </x:c>
      <x:c r="V446" s="6" t="str">
        <x:v>19</x:v>
      </x:c>
      <x:c r="W446" s="6" t="str">
        <x:v>62.0</x:v>
      </x:c>
      <x:c r="X446" s="6" t="str">
        <x:v>19</x:v>
      </x:c>
      <x:c r="Y446" s="6" t="str">
        <x:v>825.0</x:v>
      </x:c>
      <x:c r="Z446" s="6" t="str">
        <x:v>10</x:v>
      </x:c>
      <x:c r="AA446" s="6" t="str">
        <x:v>5.0</x:v>
      </x:c>
      <x:c r="AB446" s="6" t="str">
        <x:v>19</x:v>
      </x:c>
      <x:c r="AC446" s="6" t="str">
        <x:v>2025-01</x:v>
      </x:c>
      <x:c r="AD446" s="9" t="str">
        <x:v>BNPB operational disaster search table</x:v>
      </x:c>
      <x:c r="AE446" s="9" t="str">
        <x:v>https://gis.bnpb.go.id/databencana/tabel/pencarian.php</x:v>
      </x:c>
      <x:c r="AF446" s="9" t="str">
        <x:v>operational_snapshot_annual_totals_may_differ</x:v>
      </x:c>
    </x:row>
    <x:row r="447" ht="18" customHeight="1">
      <x:c r="A447" s="6" t="str">
        <x:v>53</x:v>
      </x:c>
      <x:c r="B447" s="6" t="str">
        <x:v>NUSA TENGGARA TIMUR</x:v>
      </x:c>
      <x:c r="C447" s="6" t="str">
        <x:v>2025</x:v>
      </x:c>
      <x:c r="D447" s="6" t="str">
        <x:v>2</x:v>
      </x:c>
      <x:c r="E447" s="6" t="str">
        <x:v>15</x:v>
      </x:c>
      <x:c r="F447" s="6" t="str">
        <x:v>15</x:v>
      </x:c>
      <x:c r="G447" s="6" t="str">
        <x:v>11</x:v>
      </x:c>
      <x:c r="H447" s="6" t="str">
        <x:v>2</x:v>
      </x:c>
      <x:c r="I447" s="6" t="str">
        <x:v>2</x:v>
      </x:c>
      <x:c r="J447" s="6" t="str">
        <x:v>0</x:v>
      </x:c>
      <x:c r="K447" s="6" t="str">
        <x:v>0</x:v>
      </x:c>
      <x:c r="L447" s="6" t="str">
        <x:v>0</x:v>
      </x:c>
      <x:c r="M447" s="6" t="str">
        <x:v>0</x:v>
      </x:c>
      <x:c r="N447" s="6" t="str">
        <x:v>0</x:v>
      </x:c>
      <x:c r="O447" s="6" t="str">
        <x:v>0</x:v>
      </x:c>
      <x:c r="P447" s="6" t="str">
        <x:v>15</x:v>
      </x:c>
      <x:c r="Q447" s="6" t="str">
        <x:v>2.0</x:v>
      </x:c>
      <x:c r="R447" s="6" t="str">
        <x:v>15</x:v>
      </x:c>
      <x:c r="S447" s="6" t="str">
        <x:v>0.0</x:v>
      </x:c>
      <x:c r="T447" s="6" t="str">
        <x:v>15</x:v>
      </x:c>
      <x:c r="U447" s="6" t="str">
        <x:v>1.0</x:v>
      </x:c>
      <x:c r="V447" s="6" t="str">
        <x:v>15</x:v>
      </x:c>
      <x:c r="W447" s="6" t="str">
        <x:v>102.0</x:v>
      </x:c>
      <x:c r="X447" s="6" t="str">
        <x:v>15</x:v>
      </x:c>
      <x:c r="Y447" s="6" t="str">
        <x:v>377.0</x:v>
      </x:c>
      <x:c r="Z447" s="6" t="str">
        <x:v>6</x:v>
      </x:c>
      <x:c r="AA447" s="6" t="str">
        <x:v>21.0</x:v>
      </x:c>
      <x:c r="AB447" s="6" t="str">
        <x:v>15</x:v>
      </x:c>
      <x:c r="AC447" s="6" t="str">
        <x:v>2025-02</x:v>
      </x:c>
      <x:c r="AD447" s="9" t="str">
        <x:v>BNPB operational disaster search table</x:v>
      </x:c>
      <x:c r="AE447" s="9" t="str">
        <x:v>https://gis.bnpb.go.id/databencana/tabel/pencarian.php</x:v>
      </x:c>
      <x:c r="AF447" s="9" t="str">
        <x:v>operational_snapshot_annual_totals_may_differ</x:v>
      </x:c>
    </x:row>
    <x:row r="448" ht="18" customHeight="1">
      <x:c r="A448" s="6" t="str">
        <x:v>53</x:v>
      </x:c>
      <x:c r="B448" s="6" t="str">
        <x:v>NUSA TENGGARA TIMUR</x:v>
      </x:c>
      <x:c r="C448" s="6" t="str">
        <x:v>2025</x:v>
      </x:c>
      <x:c r="D448" s="6" t="str">
        <x:v>3</x:v>
      </x:c>
      <x:c r="E448" s="6" t="str">
        <x:v>12</x:v>
      </x:c>
      <x:c r="F448" s="6" t="str">
        <x:v>12</x:v>
      </x:c>
      <x:c r="G448" s="6" t="str">
        <x:v>6</x:v>
      </x:c>
      <x:c r="H448" s="6" t="str">
        <x:v>5</x:v>
      </x:c>
      <x:c r="I448" s="6" t="str">
        <x:v>0</x:v>
      </x:c>
      <x:c r="J448" s="6" t="str">
        <x:v>0</x:v>
      </x:c>
      <x:c r="K448" s="6" t="str">
        <x:v>0</x:v>
      </x:c>
      <x:c r="L448" s="6" t="str">
        <x:v>0</x:v>
      </x:c>
      <x:c r="M448" s="6" t="str">
        <x:v>0</x:v>
      </x:c>
      <x:c r="N448" s="6" t="str">
        <x:v>1</x:v>
      </x:c>
      <x:c r="O448" s="6" t="str">
        <x:v>0</x:v>
      </x:c>
      <x:c r="P448" s="6" t="str">
        <x:v>11</x:v>
      </x:c>
      <x:c r="Q448" s="6" t="str">
        <x:v>2.0</x:v>
      </x:c>
      <x:c r="R448" s="6" t="str">
        <x:v>12</x:v>
      </x:c>
      <x:c r="S448" s="6" t="str">
        <x:v>0.0</x:v>
      </x:c>
      <x:c r="T448" s="6" t="str">
        <x:v>12</x:v>
      </x:c>
      <x:c r="U448" s="6" t="str">
        <x:v>1.0</x:v>
      </x:c>
      <x:c r="V448" s="6" t="str">
        <x:v>12</x:v>
      </x:c>
      <x:c r="W448" s="6" t="str">
        <x:v>222.0</x:v>
      </x:c>
      <x:c r="X448" s="6" t="str">
        <x:v>12</x:v>
      </x:c>
      <x:c r="Y448" s="6" t="str">
        <x:v>220.0</x:v>
      </x:c>
      <x:c r="Z448" s="6" t="str">
        <x:v>4</x:v>
      </x:c>
      <x:c r="AA448" s="6" t="str">
        <x:v>0.0</x:v>
      </x:c>
      <x:c r="AB448" s="6" t="str">
        <x:v>12</x:v>
      </x:c>
      <x:c r="AC448" s="6" t="str">
        <x:v>2025-03</x:v>
      </x:c>
      <x:c r="AD448" s="9" t="str">
        <x:v>BNPB operational disaster search table</x:v>
      </x:c>
      <x:c r="AE448" s="9" t="str">
        <x:v>https://gis.bnpb.go.id/databencana/tabel/pencarian.php</x:v>
      </x:c>
      <x:c r="AF448" s="9" t="str">
        <x:v>operational_snapshot_annual_totals_may_differ</x:v>
      </x:c>
    </x:row>
    <x:row r="449" ht="18" customHeight="1">
      <x:c r="A449" s="6" t="str">
        <x:v>53</x:v>
      </x:c>
      <x:c r="B449" s="6" t="str">
        <x:v>NUSA TENGGARA TIMUR</x:v>
      </x:c>
      <x:c r="C449" s="6" t="str">
        <x:v>2025</x:v>
      </x:c>
      <x:c r="D449" s="6" t="str">
        <x:v>4</x:v>
      </x:c>
      <x:c r="E449" s="6" t="str">
        <x:v>2</x:v>
      </x:c>
      <x:c r="F449" s="6" t="str">
        <x:v>2</x:v>
      </x:c>
      <x:c r="G449" s="6" t="str">
        <x:v>2</x:v>
      </x:c>
      <x:c r="H449" s="6" t="str">
        <x:v>0</x:v>
      </x:c>
      <x:c r="I449" s="6" t="str">
        <x:v>0</x:v>
      </x:c>
      <x:c r="J449" s="6" t="str">
        <x:v>0</x:v>
      </x:c>
      <x:c r="K449" s="6" t="str">
        <x:v>0</x:v>
      </x:c>
      <x:c r="L449" s="6" t="str">
        <x:v>0</x:v>
      </x:c>
      <x:c r="M449" s="6" t="str">
        <x:v>0</x:v>
      </x:c>
      <x:c r="N449" s="6" t="str">
        <x:v>0</x:v>
      </x:c>
      <x:c r="O449" s="6" t="str">
        <x:v>0</x:v>
      </x:c>
      <x:c r="P449" s="6" t="str">
        <x:v>2</x:v>
      </x:c>
      <x:c r="Q449" s="6" t="str">
        <x:v>0.0</x:v>
      </x:c>
      <x:c r="R449" s="6" t="str">
        <x:v>2</x:v>
      </x:c>
      <x:c r="S449" s="6" t="str">
        <x:v>0.0</x:v>
      </x:c>
      <x:c r="T449" s="6" t="str">
        <x:v>2</x:v>
      </x:c>
      <x:c r="U449" s="6" t="str">
        <x:v>0.0</x:v>
      </x:c>
      <x:c r="V449" s="6" t="str">
        <x:v>2</x:v>
      </x:c>
      <x:c r="W449" s="6" t="str">
        <x:v>0.0</x:v>
      </x:c>
      <x:c r="X449" s="6" t="str">
        <x:v>2</x:v>
      </x:c>
      <x:c r="Y449" s="6" t="str">
        <x:v>74.0</x:v>
      </x:c>
      <x:c r="Z449" s="6" t="str">
        <x:v>2</x:v>
      </x:c>
      <x:c r="AA449" s="6" t="str">
        <x:v>1.0</x:v>
      </x:c>
      <x:c r="AB449" s="6" t="str">
        <x:v>2</x:v>
      </x:c>
      <x:c r="AC449" s="6" t="str">
        <x:v>2025-04</x:v>
      </x:c>
      <x:c r="AD449" s="9" t="str">
        <x:v>BNPB operational disaster search table</x:v>
      </x:c>
      <x:c r="AE449" s="9" t="str">
        <x:v>https://gis.bnpb.go.id/databencana/tabel/pencarian.php</x:v>
      </x:c>
      <x:c r="AF449" s="9" t="str">
        <x:v>operational_snapshot_annual_totals_may_differ</x:v>
      </x:c>
    </x:row>
    <x:row r="450" ht="18" customHeight="1">
      <x:c r="A450" s="6" t="str">
        <x:v>53</x:v>
      </x:c>
      <x:c r="B450" s="6" t="str">
        <x:v>NUSA TENGGARA TIMUR</x:v>
      </x:c>
      <x:c r="C450" s="6" t="str">
        <x:v>2025</x:v>
      </x:c>
      <x:c r="D450" s="6" t="str">
        <x:v>5</x:v>
      </x:c>
      <x:c r="E450" s="6" t="str">
        <x:v>6</x:v>
      </x:c>
      <x:c r="F450" s="6" t="str">
        <x:v>6</x:v>
      </x:c>
      <x:c r="G450" s="6" t="str">
        <x:v>3</x:v>
      </x:c>
      <x:c r="H450" s="6" t="str">
        <x:v>3</x:v>
      </x:c>
      <x:c r="I450" s="6" t="str">
        <x:v>0</x:v>
      </x:c>
      <x:c r="J450" s="6" t="str">
        <x:v>0</x:v>
      </x:c>
      <x:c r="K450" s="6" t="str">
        <x:v>0</x:v>
      </x:c>
      <x:c r="L450" s="6" t="str">
        <x:v>0</x:v>
      </x:c>
      <x:c r="M450" s="6" t="str">
        <x:v>0</x:v>
      </x:c>
      <x:c r="N450" s="6" t="str">
        <x:v>0</x:v>
      </x:c>
      <x:c r="O450" s="6" t="str">
        <x:v>0</x:v>
      </x:c>
      <x:c r="P450" s="6" t="str">
        <x:v>6</x:v>
      </x:c>
      <x:c r="Q450" s="6" t="str">
        <x:v>0.0</x:v>
      </x:c>
      <x:c r="R450" s="6" t="str">
        <x:v>5</x:v>
      </x:c>
      <x:c r="S450" s="6" t="str">
        <x:v>0.0</x:v>
      </x:c>
      <x:c r="T450" s="6" t="str">
        <x:v>5</x:v>
      </x:c>
      <x:c r="U450" s="6" t="str">
        <x:v>0.0</x:v>
      </x:c>
      <x:c r="V450" s="6" t="str">
        <x:v>5</x:v>
      </x:c>
      <x:c r="W450" s="6" t="str">
        <x:v>338.0</x:v>
      </x:c>
      <x:c r="X450" s="6" t="str">
        <x:v>6</x:v>
      </x:c>
      <x:c r="Y450" s="6" t="str">
        <x:v>36.0</x:v>
      </x:c>
      <x:c r="Z450" s="6" t="str">
        <x:v>1</x:v>
      </x:c>
      <x:c r="AA450" s="6" t="str">
        <x:v>0.0</x:v>
      </x:c>
      <x:c r="AB450" s="6" t="str">
        <x:v>6</x:v>
      </x:c>
      <x:c r="AC450" s="6" t="str">
        <x:v>2025-05</x:v>
      </x:c>
      <x:c r="AD450" s="9" t="str">
        <x:v>BNPB operational disaster search table</x:v>
      </x:c>
      <x:c r="AE450" s="9" t="str">
        <x:v>https://gis.bnpb.go.id/databencana/tabel/pencarian.php</x:v>
      </x:c>
      <x:c r="AF450" s="9" t="str">
        <x:v>operational_snapshot_annual_totals_may_differ</x:v>
      </x:c>
    </x:row>
    <x:row r="451" ht="18" customHeight="1">
      <x:c r="A451" s="6" t="str">
        <x:v>53</x:v>
      </x:c>
      <x:c r="B451" s="6" t="str">
        <x:v>NUSA TENGGARA TIMUR</x:v>
      </x:c>
      <x:c r="C451" s="6" t="str">
        <x:v>2025</x:v>
      </x:c>
      <x:c r="D451" s="6" t="str">
        <x:v>6</x:v>
      </x:c>
      <x:c r="E451" s="6" t="str">
        <x:v>2</x:v>
      </x:c>
      <x:c r="F451" s="6" t="str">
        <x:v>2</x:v>
      </x:c>
      <x:c r="G451" s="6" t="str">
        <x:v>1</x:v>
      </x:c>
      <x:c r="H451" s="6" t="str">
        <x:v>0</x:v>
      </x:c>
      <x:c r="I451" s="6" t="str">
        <x:v>1</x:v>
      </x:c>
      <x:c r="J451" s="6" t="str">
        <x:v>0</x:v>
      </x:c>
      <x:c r="K451" s="6" t="str">
        <x:v>0</x:v>
      </x:c>
      <x:c r="L451" s="6" t="str">
        <x:v>0</x:v>
      </x:c>
      <x:c r="M451" s="6" t="str">
        <x:v>0</x:v>
      </x:c>
      <x:c r="N451" s="6" t="str">
        <x:v>0</x:v>
      </x:c>
      <x:c r="O451" s="6" t="str">
        <x:v>0</x:v>
      </x:c>
      <x:c r="P451" s="6" t="str">
        <x:v>2</x:v>
      </x:c>
      <x:c r="Q451" s="6" t="str">
        <x:v>1.0</x:v>
      </x:c>
      <x:c r="R451" s="6" t="str">
        <x:v>1</x:v>
      </x:c>
      <x:c r="S451" s="6" t="str"/>
      <x:c r="T451" s="6" t="str">
        <x:v>0</x:v>
      </x:c>
      <x:c r="U451" s="6" t="str">
        <x:v>1.0</x:v>
      </x:c>
      <x:c r="V451" s="6" t="str">
        <x:v>1</x:v>
      </x:c>
      <x:c r="W451" s="6" t="str">
        <x:v>0.0</x:v>
      </x:c>
      <x:c r="X451" s="6" t="str">
        <x:v>2</x:v>
      </x:c>
      <x:c r="Y451" s="6" t="str">
        <x:v>200.0</x:v>
      </x:c>
      <x:c r="Z451" s="6" t="str">
        <x:v>1</x:v>
      </x:c>
      <x:c r="AA451" s="6" t="str">
        <x:v>0.0</x:v>
      </x:c>
      <x:c r="AB451" s="6" t="str">
        <x:v>2</x:v>
      </x:c>
      <x:c r="AC451" s="6" t="str">
        <x:v>2025-06</x:v>
      </x:c>
      <x:c r="AD451" s="9" t="str">
        <x:v>BNPB operational disaster search table</x:v>
      </x:c>
      <x:c r="AE451" s="9" t="str">
        <x:v>https://gis.bnpb.go.id/databencana/tabel/pencarian.php</x:v>
      </x:c>
      <x:c r="AF451" s="9" t="str">
        <x:v>operational_snapshot_annual_totals_may_differ</x:v>
      </x:c>
    </x:row>
    <x:row r="452" ht="18" customHeight="1">
      <x:c r="A452" s="6" t="str">
        <x:v>53</x:v>
      </x:c>
      <x:c r="B452" s="6" t="str">
        <x:v>NUSA TENGGARA TIMUR</x:v>
      </x:c>
      <x:c r="C452" s="6" t="str">
        <x:v>2025</x:v>
      </x:c>
      <x:c r="D452" s="6" t="str">
        <x:v>7</x:v>
      </x:c>
      <x:c r="E452" s="6" t="str">
        <x:v>1</x:v>
      </x:c>
      <x:c r="F452" s="6" t="str">
        <x:v>1</x:v>
      </x:c>
      <x:c r="G452" s="6" t="str">
        <x:v>0</x:v>
      </x:c>
      <x:c r="H452" s="6" t="str">
        <x:v>0</x:v>
      </x:c>
      <x:c r="I452" s="6" t="str">
        <x:v>0</x:v>
      </x:c>
      <x:c r="J452" s="6" t="str">
        <x:v>0</x:v>
      </x:c>
      <x:c r="K452" s="6" t="str">
        <x:v>0</x:v>
      </x:c>
      <x:c r="L452" s="6" t="str">
        <x:v>0</x:v>
      </x:c>
      <x:c r="M452" s="6" t="str">
        <x:v>0</x:v>
      </x:c>
      <x:c r="N452" s="6" t="str">
        <x:v>1</x:v>
      </x:c>
      <x:c r="O452" s="6" t="str">
        <x:v>0</x:v>
      </x:c>
      <x:c r="P452" s="6" t="str">
        <x:v>0</x:v>
      </x:c>
      <x:c r="Q452" s="6" t="str"/>
      <x:c r="R452" s="6" t="str">
        <x:v>0</x:v>
      </x:c>
      <x:c r="S452" s="6" t="str"/>
      <x:c r="T452" s="6" t="str">
        <x:v>0</x:v>
      </x:c>
      <x:c r="U452" s="6" t="str"/>
      <x:c r="V452" s="6" t="str">
        <x:v>0</x:v>
      </x:c>
      <x:c r="W452" s="6" t="str">
        <x:v>0.0</x:v>
      </x:c>
      <x:c r="X452" s="6" t="str">
        <x:v>1</x:v>
      </x:c>
      <x:c r="Y452" s="6" t="str"/>
      <x:c r="Z452" s="6" t="str">
        <x:v>0</x:v>
      </x:c>
      <x:c r="AA452" s="6" t="str">
        <x:v>0.0</x:v>
      </x:c>
      <x:c r="AB452" s="6" t="str">
        <x:v>1</x:v>
      </x:c>
      <x:c r="AC452" s="6" t="str">
        <x:v>2025-07</x:v>
      </x:c>
      <x:c r="AD452" s="9" t="str">
        <x:v>BNPB operational disaster search table</x:v>
      </x:c>
      <x:c r="AE452" s="9" t="str">
        <x:v>https://gis.bnpb.go.id/databencana/tabel/pencarian.php</x:v>
      </x:c>
      <x:c r="AF452" s="9" t="str">
        <x:v>operational_snapshot_annual_totals_may_differ</x:v>
      </x:c>
    </x:row>
    <x:row r="453" ht="18" customHeight="1">
      <x:c r="A453" s="6" t="str">
        <x:v>53</x:v>
      </x:c>
      <x:c r="B453" s="6" t="str">
        <x:v>NUSA TENGGARA TIMUR</x:v>
      </x:c>
      <x:c r="C453" s="6" t="str">
        <x:v>2025</x:v>
      </x:c>
      <x:c r="D453" s="6" t="str">
        <x:v>8</x:v>
      </x:c>
      <x:c r="E453" s="6" t="str">
        <x:v>0</x:v>
      </x:c>
      <x:c r="F453" s="6" t="str">
        <x:v>0</x:v>
      </x:c>
      <x:c r="G453" s="6" t="str">
        <x:v>0</x:v>
      </x:c>
      <x:c r="H453" s="6" t="str">
        <x:v>0</x:v>
      </x:c>
      <x:c r="I453" s="6" t="str">
        <x:v>0</x:v>
      </x:c>
      <x:c r="J453" s="6" t="str">
        <x:v>0</x:v>
      </x:c>
      <x:c r="K453" s="6" t="str">
        <x:v>0</x:v>
      </x:c>
      <x:c r="L453" s="6" t="str">
        <x:v>0</x:v>
      </x:c>
      <x:c r="M453" s="6" t="str">
        <x:v>0</x:v>
      </x:c>
      <x:c r="N453" s="6" t="str">
        <x:v>0</x:v>
      </x:c>
      <x:c r="O453" s="6" t="str">
        <x:v>0</x:v>
      </x:c>
      <x:c r="P453" s="6" t="str">
        <x:v>0</x:v>
      </x:c>
      <x:c r="Q453" s="6" t="str"/>
      <x:c r="R453" s="6" t="str">
        <x:v>0</x:v>
      </x:c>
      <x:c r="S453" s="6" t="str"/>
      <x:c r="T453" s="6" t="str">
        <x:v>0</x:v>
      </x:c>
      <x:c r="U453" s="6" t="str"/>
      <x:c r="V453" s="6" t="str">
        <x:v>0</x:v>
      </x:c>
      <x:c r="W453" s="6" t="str"/>
      <x:c r="X453" s="6" t="str">
        <x:v>0</x:v>
      </x:c>
      <x:c r="Y453" s="6" t="str"/>
      <x:c r="Z453" s="6" t="str">
        <x:v>0</x:v>
      </x:c>
      <x:c r="AA453" s="6" t="str"/>
      <x:c r="AB453" s="6" t="str">
        <x:v>0</x:v>
      </x:c>
      <x:c r="AC453" s="6" t="str">
        <x:v>2025-08</x:v>
      </x:c>
      <x:c r="AD453" s="9" t="str">
        <x:v>BNPB operational disaster search table</x:v>
      </x:c>
      <x:c r="AE453" s="9" t="str">
        <x:v>https://gis.bnpb.go.id/databencana/tabel/pencarian.php</x:v>
      </x:c>
      <x:c r="AF453" s="9" t="str">
        <x:v>operational_snapshot_annual_totals_may_differ</x:v>
      </x:c>
    </x:row>
    <x:row r="454" ht="18" customHeight="1">
      <x:c r="A454" s="6" t="str">
        <x:v>53</x:v>
      </x:c>
      <x:c r="B454" s="6" t="str">
        <x:v>NUSA TENGGARA TIMUR</x:v>
      </x:c>
      <x:c r="C454" s="6" t="str">
        <x:v>2025</x:v>
      </x:c>
      <x:c r="D454" s="6" t="str">
        <x:v>9</x:v>
      </x:c>
      <x:c r="E454" s="6" t="str">
        <x:v>2</x:v>
      </x:c>
      <x:c r="F454" s="6" t="str">
        <x:v>2</x:v>
      </x:c>
      <x:c r="G454" s="6" t="str">
        <x:v>1</x:v>
      </x:c>
      <x:c r="H454" s="6" t="str">
        <x:v>0</x:v>
      </x:c>
      <x:c r="I454" s="6" t="str">
        <x:v>1</x:v>
      </x:c>
      <x:c r="J454" s="6" t="str">
        <x:v>0</x:v>
      </x:c>
      <x:c r="K454" s="6" t="str">
        <x:v>0</x:v>
      </x:c>
      <x:c r="L454" s="6" t="str">
        <x:v>0</x:v>
      </x:c>
      <x:c r="M454" s="6" t="str">
        <x:v>0</x:v>
      </x:c>
      <x:c r="N454" s="6" t="str">
        <x:v>0</x:v>
      </x:c>
      <x:c r="O454" s="6" t="str">
        <x:v>0</x:v>
      </x:c>
      <x:c r="P454" s="6" t="str">
        <x:v>2</x:v>
      </x:c>
      <x:c r="Q454" s="6" t="str">
        <x:v>6.0</x:v>
      </x:c>
      <x:c r="R454" s="6" t="str">
        <x:v>1</x:v>
      </x:c>
      <x:c r="S454" s="6" t="str">
        <x:v>3.0</x:v>
      </x:c>
      <x:c r="T454" s="6" t="str">
        <x:v>1</x:v>
      </x:c>
      <x:c r="U454" s="6" t="str">
        <x:v>22.0</x:v>
      </x:c>
      <x:c r="V454" s="6" t="str">
        <x:v>1</x:v>
      </x:c>
      <x:c r="W454" s="6" t="str">
        <x:v>157.0</x:v>
      </x:c>
      <x:c r="X454" s="6" t="str">
        <x:v>2</x:v>
      </x:c>
      <x:c r="Y454" s="6" t="str"/>
      <x:c r="Z454" s="6" t="str">
        <x:v>0</x:v>
      </x:c>
      <x:c r="AA454" s="6" t="str">
        <x:v>13.0</x:v>
      </x:c>
      <x:c r="AB454" s="6" t="str">
        <x:v>2</x:v>
      </x:c>
      <x:c r="AC454" s="6" t="str">
        <x:v>2025-09</x:v>
      </x:c>
      <x:c r="AD454" s="9" t="str">
        <x:v>BNPB operational disaster search table</x:v>
      </x:c>
      <x:c r="AE454" s="9" t="str">
        <x:v>https://gis.bnpb.go.id/databencana/tabel/pencarian.php</x:v>
      </x:c>
      <x:c r="AF454" s="9" t="str">
        <x:v>operational_snapshot_annual_totals_may_differ</x:v>
      </x:c>
    </x:row>
    <x:row r="455" ht="18" customHeight="1">
      <x:c r="A455" s="6" t="str">
        <x:v>53</x:v>
      </x:c>
      <x:c r="B455" s="6" t="str">
        <x:v>NUSA TENGGARA TIMUR</x:v>
      </x:c>
      <x:c r="C455" s="6" t="str">
        <x:v>2025</x:v>
      </x:c>
      <x:c r="D455" s="6" t="str">
        <x:v>10</x:v>
      </x:c>
      <x:c r="E455" s="6" t="str">
        <x:v>0</x:v>
      </x:c>
      <x:c r="F455" s="6" t="str">
        <x:v>0</x:v>
      </x:c>
      <x:c r="G455" s="6" t="str">
        <x:v>0</x:v>
      </x:c>
      <x:c r="H455" s="6" t="str">
        <x:v>0</x:v>
      </x:c>
      <x:c r="I455" s="6" t="str">
        <x:v>0</x:v>
      </x:c>
      <x:c r="J455" s="6" t="str">
        <x:v>0</x:v>
      </x:c>
      <x:c r="K455" s="6" t="str">
        <x:v>0</x:v>
      </x:c>
      <x:c r="L455" s="6" t="str">
        <x:v>0</x:v>
      </x:c>
      <x:c r="M455" s="6" t="str">
        <x:v>0</x:v>
      </x:c>
      <x:c r="N455" s="6" t="str">
        <x:v>0</x:v>
      </x:c>
      <x:c r="O455" s="6" t="str">
        <x:v>0</x:v>
      </x:c>
      <x:c r="P455" s="6" t="str">
        <x:v>0</x:v>
      </x:c>
      <x:c r="Q455" s="6" t="str"/>
      <x:c r="R455" s="6" t="str">
        <x:v>0</x:v>
      </x:c>
      <x:c r="S455" s="6" t="str"/>
      <x:c r="T455" s="6" t="str">
        <x:v>0</x:v>
      </x:c>
      <x:c r="U455" s="6" t="str"/>
      <x:c r="V455" s="6" t="str">
        <x:v>0</x:v>
      </x:c>
      <x:c r="W455" s="6" t="str"/>
      <x:c r="X455" s="6" t="str">
        <x:v>0</x:v>
      </x:c>
      <x:c r="Y455" s="6" t="str"/>
      <x:c r="Z455" s="6" t="str">
        <x:v>0</x:v>
      </x:c>
      <x:c r="AA455" s="6" t="str"/>
      <x:c r="AB455" s="6" t="str">
        <x:v>0</x:v>
      </x:c>
      <x:c r="AC455" s="6" t="str">
        <x:v>2025-10</x:v>
      </x:c>
      <x:c r="AD455" s="9" t="str">
        <x:v>BNPB operational disaster search table</x:v>
      </x:c>
      <x:c r="AE455" s="9" t="str">
        <x:v>https://gis.bnpb.go.id/databencana/tabel/pencarian.php</x:v>
      </x:c>
      <x:c r="AF455" s="9" t="str">
        <x:v>operational_snapshot_annual_totals_may_differ</x:v>
      </x:c>
    </x:row>
    <x:row r="456" ht="18" customHeight="1">
      <x:c r="A456" s="6" t="str">
        <x:v>53</x:v>
      </x:c>
      <x:c r="B456" s="6" t="str">
        <x:v>NUSA TENGGARA TIMUR</x:v>
      </x:c>
      <x:c r="C456" s="6" t="str">
        <x:v>2025</x:v>
      </x:c>
      <x:c r="D456" s="6" t="str">
        <x:v>11</x:v>
      </x:c>
      <x:c r="E456" s="6" t="str">
        <x:v>1</x:v>
      </x:c>
      <x:c r="F456" s="6" t="str">
        <x:v>1</x:v>
      </x:c>
      <x:c r="G456" s="6" t="str">
        <x:v>0</x:v>
      </x:c>
      <x:c r="H456" s="6" t="str">
        <x:v>0</x:v>
      </x:c>
      <x:c r="I456" s="6" t="str">
        <x:v>1</x:v>
      </x:c>
      <x:c r="J456" s="6" t="str">
        <x:v>0</x:v>
      </x:c>
      <x:c r="K456" s="6" t="str">
        <x:v>0</x:v>
      </x:c>
      <x:c r="L456" s="6" t="str">
        <x:v>0</x:v>
      </x:c>
      <x:c r="M456" s="6" t="str">
        <x:v>0</x:v>
      </x:c>
      <x:c r="N456" s="6" t="str">
        <x:v>0</x:v>
      </x:c>
      <x:c r="O456" s="6" t="str">
        <x:v>0</x:v>
      </x:c>
      <x:c r="P456" s="6" t="str">
        <x:v>1</x:v>
      </x:c>
      <x:c r="Q456" s="6" t="str"/>
      <x:c r="R456" s="6" t="str">
        <x:v>0</x:v>
      </x:c>
      <x:c r="S456" s="6" t="str"/>
      <x:c r="T456" s="6" t="str">
        <x:v>0</x:v>
      </x:c>
      <x:c r="U456" s="6" t="str"/>
      <x:c r="V456" s="6" t="str">
        <x:v>0</x:v>
      </x:c>
      <x:c r="W456" s="6" t="str">
        <x:v>4.0</x:v>
      </x:c>
      <x:c r="X456" s="6" t="str">
        <x:v>1</x:v>
      </x:c>
      <x:c r="Y456" s="6" t="str"/>
      <x:c r="Z456" s="6" t="str">
        <x:v>0</x:v>
      </x:c>
      <x:c r="AA456" s="6" t="str">
        <x:v>2.0</x:v>
      </x:c>
      <x:c r="AB456" s="6" t="str">
        <x:v>1</x:v>
      </x:c>
      <x:c r="AC456" s="6" t="str">
        <x:v>2025-11</x:v>
      </x:c>
      <x:c r="AD456" s="9" t="str">
        <x:v>BNPB operational disaster search table</x:v>
      </x:c>
      <x:c r="AE456" s="9" t="str">
        <x:v>https://gis.bnpb.go.id/databencana/tabel/pencarian.php</x:v>
      </x:c>
      <x:c r="AF456" s="9" t="str">
        <x:v>operational_snapshot_annual_totals_may_differ</x:v>
      </x:c>
    </x:row>
    <x:row r="457" ht="18" customHeight="1">
      <x:c r="A457" s="6" t="str">
        <x:v>53</x:v>
      </x:c>
      <x:c r="B457" s="6" t="str">
        <x:v>NUSA TENGGARA TIMUR</x:v>
      </x:c>
      <x:c r="C457" s="6" t="str">
        <x:v>2025</x:v>
      </x:c>
      <x:c r="D457" s="6" t="str">
        <x:v>12</x:v>
      </x:c>
      <x:c r="E457" s="6" t="str">
        <x:v>3</x:v>
      </x:c>
      <x:c r="F457" s="6" t="str">
        <x:v>3</x:v>
      </x:c>
      <x:c r="G457" s="6" t="str">
        <x:v>2</x:v>
      </x:c>
      <x:c r="H457" s="6" t="str">
        <x:v>0</x:v>
      </x:c>
      <x:c r="I457" s="6" t="str">
        <x:v>1</x:v>
      </x:c>
      <x:c r="J457" s="6" t="str">
        <x:v>0</x:v>
      </x:c>
      <x:c r="K457" s="6" t="str">
        <x:v>0</x:v>
      </x:c>
      <x:c r="L457" s="6" t="str">
        <x:v>0</x:v>
      </x:c>
      <x:c r="M457" s="6" t="str">
        <x:v>0</x:v>
      </x:c>
      <x:c r="N457" s="6" t="str">
        <x:v>0</x:v>
      </x:c>
      <x:c r="O457" s="6" t="str">
        <x:v>0</x:v>
      </x:c>
      <x:c r="P457" s="6" t="str">
        <x:v>3</x:v>
      </x:c>
      <x:c r="Q457" s="6" t="str"/>
      <x:c r="R457" s="6" t="str">
        <x:v>0</x:v>
      </x:c>
      <x:c r="S457" s="6" t="str"/>
      <x:c r="T457" s="6" t="str">
        <x:v>0</x:v>
      </x:c>
      <x:c r="U457" s="6" t="str"/>
      <x:c r="V457" s="6" t="str">
        <x:v>0</x:v>
      </x:c>
      <x:c r="W457" s="6" t="str">
        <x:v>26.0</x:v>
      </x:c>
      <x:c r="X457" s="6" t="str">
        <x:v>3</x:v>
      </x:c>
      <x:c r="Y457" s="6" t="str">
        <x:v>50.0</x:v>
      </x:c>
      <x:c r="Z457" s="6" t="str">
        <x:v>2</x:v>
      </x:c>
      <x:c r="AA457" s="6" t="str">
        <x:v>0.0</x:v>
      </x:c>
      <x:c r="AB457" s="6" t="str">
        <x:v>3</x:v>
      </x:c>
      <x:c r="AC457" s="6" t="str">
        <x:v>2025-12</x:v>
      </x:c>
      <x:c r="AD457" s="9" t="str">
        <x:v>BNPB operational disaster search table</x:v>
      </x:c>
      <x:c r="AE457" s="9" t="str">
        <x:v>https://gis.bnpb.go.id/databencana/tabel/pencarian.php</x:v>
      </x:c>
      <x:c r="AF457" s="9" t="str">
        <x:v>operational_snapshot_annual_totals_may_differ</x:v>
      </x:c>
    </x:row>
    <x:row r="458" ht="18" customHeight="1">
      <x:c r="A458" s="6" t="str">
        <x:v>61</x:v>
      </x:c>
      <x:c r="B458" s="6" t="str">
        <x:v>KALIMANTAN BARAT</x:v>
      </x:c>
      <x:c r="C458" s="6" t="str">
        <x:v>2024</x:v>
      </x:c>
      <x:c r="D458" s="6" t="str">
        <x:v>1</x:v>
      </x:c>
      <x:c r="E458" s="6" t="str">
        <x:v>9</x:v>
      </x:c>
      <x:c r="F458" s="6" t="str">
        <x:v>9</x:v>
      </x:c>
      <x:c r="G458" s="6" t="str">
        <x:v>9</x:v>
      </x:c>
      <x:c r="H458" s="6" t="str">
        <x:v>0</x:v>
      </x:c>
      <x:c r="I458" s="6" t="str">
        <x:v>0</x:v>
      </x:c>
      <x:c r="J458" s="6" t="str">
        <x:v>0</x:v>
      </x:c>
      <x:c r="K458" s="6" t="str">
        <x:v>0</x:v>
      </x:c>
      <x:c r="L458" s="6" t="str">
        <x:v>0</x:v>
      </x:c>
      <x:c r="M458" s="6" t="str">
        <x:v>0</x:v>
      </x:c>
      <x:c r="N458" s="6" t="str">
        <x:v>0</x:v>
      </x:c>
      <x:c r="O458" s="6" t="str">
        <x:v>0</x:v>
      </x:c>
      <x:c r="P458" s="6" t="str">
        <x:v>9</x:v>
      </x:c>
      <x:c r="Q458" s="6" t="str">
        <x:v>0.0</x:v>
      </x:c>
      <x:c r="R458" s="6" t="str">
        <x:v>9</x:v>
      </x:c>
      <x:c r="S458" s="6" t="str">
        <x:v>0.0</x:v>
      </x:c>
      <x:c r="T458" s="6" t="str">
        <x:v>9</x:v>
      </x:c>
      <x:c r="U458" s="6" t="str">
        <x:v>0.0</x:v>
      </x:c>
      <x:c r="V458" s="6" t="str">
        <x:v>9</x:v>
      </x:c>
      <x:c r="W458" s="6" t="str">
        <x:v>3.0</x:v>
      </x:c>
      <x:c r="X458" s="6" t="str">
        <x:v>9</x:v>
      </x:c>
      <x:c r="Y458" s="6" t="str">
        <x:v>38504.0</x:v>
      </x:c>
      <x:c r="Z458" s="6" t="str">
        <x:v>9</x:v>
      </x:c>
      <x:c r="AA458" s="6" t="str">
        <x:v>4.0</x:v>
      </x:c>
      <x:c r="AB458" s="6" t="str">
        <x:v>9</x:v>
      </x:c>
      <x:c r="AC458" s="6" t="str">
        <x:v>2024-01</x:v>
      </x:c>
      <x:c r="AD458" s="9" t="str">
        <x:v>BNPB operational disaster search table</x:v>
      </x:c>
      <x:c r="AE458" s="9" t="str">
        <x:v>https://gis.bnpb.go.id/databencana/tabel/pencarian.php</x:v>
      </x:c>
      <x:c r="AF458" s="9" t="str">
        <x:v>operational_snapshot_annual_totals_may_differ</x:v>
      </x:c>
    </x:row>
    <x:row r="459" ht="18" customHeight="1">
      <x:c r="A459" s="6" t="str">
        <x:v>61</x:v>
      </x:c>
      <x:c r="B459" s="6" t="str">
        <x:v>KALIMANTAN BARAT</x:v>
      </x:c>
      <x:c r="C459" s="6" t="str">
        <x:v>2024</x:v>
      </x:c>
      <x:c r="D459" s="6" t="str">
        <x:v>2</x:v>
      </x:c>
      <x:c r="E459" s="6" t="str">
        <x:v>2</x:v>
      </x:c>
      <x:c r="F459" s="6" t="str">
        <x:v>2</x:v>
      </x:c>
      <x:c r="G459" s="6" t="str">
        <x:v>2</x:v>
      </x:c>
      <x:c r="H459" s="6" t="str">
        <x:v>0</x:v>
      </x:c>
      <x:c r="I459" s="6" t="str">
        <x:v>0</x:v>
      </x:c>
      <x:c r="J459" s="6" t="str">
        <x:v>0</x:v>
      </x:c>
      <x:c r="K459" s="6" t="str">
        <x:v>0</x:v>
      </x:c>
      <x:c r="L459" s="6" t="str">
        <x:v>0</x:v>
      </x:c>
      <x:c r="M459" s="6" t="str">
        <x:v>0</x:v>
      </x:c>
      <x:c r="N459" s="6" t="str">
        <x:v>0</x:v>
      </x:c>
      <x:c r="O459" s="6" t="str">
        <x:v>0</x:v>
      </x:c>
      <x:c r="P459" s="6" t="str">
        <x:v>2</x:v>
      </x:c>
      <x:c r="Q459" s="6" t="str">
        <x:v>0.0</x:v>
      </x:c>
      <x:c r="R459" s="6" t="str">
        <x:v>2</x:v>
      </x:c>
      <x:c r="S459" s="6" t="str">
        <x:v>0.0</x:v>
      </x:c>
      <x:c r="T459" s="6" t="str">
        <x:v>2</x:v>
      </x:c>
      <x:c r="U459" s="6" t="str">
        <x:v>0.0</x:v>
      </x:c>
      <x:c r="V459" s="6" t="str">
        <x:v>2</x:v>
      </x:c>
      <x:c r="W459" s="6" t="str">
        <x:v>0.0</x:v>
      </x:c>
      <x:c r="X459" s="6" t="str">
        <x:v>2</x:v>
      </x:c>
      <x:c r="Y459" s="6" t="str">
        <x:v>380.0</x:v>
      </x:c>
      <x:c r="Z459" s="6" t="str">
        <x:v>2</x:v>
      </x:c>
      <x:c r="AA459" s="6" t="str">
        <x:v>0.0</x:v>
      </x:c>
      <x:c r="AB459" s="6" t="str">
        <x:v>2</x:v>
      </x:c>
      <x:c r="AC459" s="6" t="str">
        <x:v>2024-02</x:v>
      </x:c>
      <x:c r="AD459" s="9" t="str">
        <x:v>BNPB operational disaster search table</x:v>
      </x:c>
      <x:c r="AE459" s="9" t="str">
        <x:v>https://gis.bnpb.go.id/databencana/tabel/pencarian.php</x:v>
      </x:c>
      <x:c r="AF459" s="9" t="str">
        <x:v>operational_snapshot_annual_totals_may_differ</x:v>
      </x:c>
    </x:row>
    <x:row r="460" ht="18" customHeight="1">
      <x:c r="A460" s="6" t="str">
        <x:v>61</x:v>
      </x:c>
      <x:c r="B460" s="6" t="str">
        <x:v>KALIMANTAN BARAT</x:v>
      </x:c>
      <x:c r="C460" s="6" t="str">
        <x:v>2024</x:v>
      </x:c>
      <x:c r="D460" s="6" t="str">
        <x:v>3</x:v>
      </x:c>
      <x:c r="E460" s="6" t="str">
        <x:v>7</x:v>
      </x:c>
      <x:c r="F460" s="6" t="str">
        <x:v>7</x:v>
      </x:c>
      <x:c r="G460" s="6" t="str">
        <x:v>7</x:v>
      </x:c>
      <x:c r="H460" s="6" t="str">
        <x:v>0</x:v>
      </x:c>
      <x:c r="I460" s="6" t="str">
        <x:v>0</x:v>
      </x:c>
      <x:c r="J460" s="6" t="str">
        <x:v>0</x:v>
      </x:c>
      <x:c r="K460" s="6" t="str">
        <x:v>0</x:v>
      </x:c>
      <x:c r="L460" s="6" t="str">
        <x:v>0</x:v>
      </x:c>
      <x:c r="M460" s="6" t="str">
        <x:v>0</x:v>
      </x:c>
      <x:c r="N460" s="6" t="str">
        <x:v>0</x:v>
      </x:c>
      <x:c r="O460" s="6" t="str">
        <x:v>0</x:v>
      </x:c>
      <x:c r="P460" s="6" t="str">
        <x:v>7</x:v>
      </x:c>
      <x:c r="Q460" s="6" t="str">
        <x:v>2.0</x:v>
      </x:c>
      <x:c r="R460" s="6" t="str">
        <x:v>7</x:v>
      </x:c>
      <x:c r="S460" s="6" t="str">
        <x:v>0.0</x:v>
      </x:c>
      <x:c r="T460" s="6" t="str">
        <x:v>7</x:v>
      </x:c>
      <x:c r="U460" s="6" t="str">
        <x:v>0.0</x:v>
      </x:c>
      <x:c r="V460" s="6" t="str">
        <x:v>7</x:v>
      </x:c>
      <x:c r="W460" s="6" t="str">
        <x:v>1.0</x:v>
      </x:c>
      <x:c r="X460" s="6" t="str">
        <x:v>7</x:v>
      </x:c>
      <x:c r="Y460" s="6" t="str">
        <x:v>21544.0</x:v>
      </x:c>
      <x:c r="Z460" s="6" t="str">
        <x:v>7</x:v>
      </x:c>
      <x:c r="AA460" s="6" t="str">
        <x:v>0.0</x:v>
      </x:c>
      <x:c r="AB460" s="6" t="str">
        <x:v>7</x:v>
      </x:c>
      <x:c r="AC460" s="6" t="str">
        <x:v>2024-03</x:v>
      </x:c>
      <x:c r="AD460" s="9" t="str">
        <x:v>BNPB operational disaster search table</x:v>
      </x:c>
      <x:c r="AE460" s="9" t="str">
        <x:v>https://gis.bnpb.go.id/databencana/tabel/pencarian.php</x:v>
      </x:c>
      <x:c r="AF460" s="9" t="str">
        <x:v>operational_snapshot_annual_totals_may_differ</x:v>
      </x:c>
    </x:row>
    <x:row r="461" ht="18" customHeight="1">
      <x:c r="A461" s="6" t="str">
        <x:v>61</x:v>
      </x:c>
      <x:c r="B461" s="6" t="str">
        <x:v>KALIMANTAN BARAT</x:v>
      </x:c>
      <x:c r="C461" s="6" t="str">
        <x:v>2024</x:v>
      </x:c>
      <x:c r="D461" s="6" t="str">
        <x:v>4</x:v>
      </x:c>
      <x:c r="E461" s="6" t="str">
        <x:v>2</x:v>
      </x:c>
      <x:c r="F461" s="6" t="str">
        <x:v>2</x:v>
      </x:c>
      <x:c r="G461" s="6" t="str">
        <x:v>1</x:v>
      </x:c>
      <x:c r="H461" s="6" t="str">
        <x:v>0</x:v>
      </x:c>
      <x:c r="I461" s="6" t="str">
        <x:v>0</x:v>
      </x:c>
      <x:c r="J461" s="6" t="str">
        <x:v>0</x:v>
      </x:c>
      <x:c r="K461" s="6" t="str">
        <x:v>1</x:v>
      </x:c>
      <x:c r="L461" s="6" t="str">
        <x:v>0</x:v>
      </x:c>
      <x:c r="M461" s="6" t="str">
        <x:v>0</x:v>
      </x:c>
      <x:c r="N461" s="6" t="str">
        <x:v>0</x:v>
      </x:c>
      <x:c r="O461" s="6" t="str">
        <x:v>0</x:v>
      </x:c>
      <x:c r="P461" s="6" t="str">
        <x:v>2</x:v>
      </x:c>
      <x:c r="Q461" s="6" t="str">
        <x:v>0.0</x:v>
      </x:c>
      <x:c r="R461" s="6" t="str">
        <x:v>2</x:v>
      </x:c>
      <x:c r="S461" s="6" t="str">
        <x:v>0.0</x:v>
      </x:c>
      <x:c r="T461" s="6" t="str">
        <x:v>2</x:v>
      </x:c>
      <x:c r="U461" s="6" t="str">
        <x:v>0.0</x:v>
      </x:c>
      <x:c r="V461" s="6" t="str">
        <x:v>2</x:v>
      </x:c>
      <x:c r="W461" s="6" t="str">
        <x:v>0.0</x:v>
      </x:c>
      <x:c r="X461" s="6" t="str">
        <x:v>2</x:v>
      </x:c>
      <x:c r="Y461" s="6" t="str">
        <x:v>103.0</x:v>
      </x:c>
      <x:c r="Z461" s="6" t="str">
        <x:v>1</x:v>
      </x:c>
      <x:c r="AA461" s="6" t="str">
        <x:v>0.0</x:v>
      </x:c>
      <x:c r="AB461" s="6" t="str">
        <x:v>2</x:v>
      </x:c>
      <x:c r="AC461" s="6" t="str">
        <x:v>2024-04</x:v>
      </x:c>
      <x:c r="AD461" s="9" t="str">
        <x:v>BNPB operational disaster search table</x:v>
      </x:c>
      <x:c r="AE461" s="9" t="str">
        <x:v>https://gis.bnpb.go.id/databencana/tabel/pencarian.php</x:v>
      </x:c>
      <x:c r="AF461" s="9" t="str">
        <x:v>operational_snapshot_annual_totals_may_differ</x:v>
      </x:c>
    </x:row>
    <x:row r="462" ht="18" customHeight="1">
      <x:c r="A462" s="6" t="str">
        <x:v>61</x:v>
      </x:c>
      <x:c r="B462" s="6" t="str">
        <x:v>KALIMANTAN BARAT</x:v>
      </x:c>
      <x:c r="C462" s="6" t="str">
        <x:v>2024</x:v>
      </x:c>
      <x:c r="D462" s="6" t="str">
        <x:v>5</x:v>
      </x:c>
      <x:c r="E462" s="6" t="str">
        <x:v>7</x:v>
      </x:c>
      <x:c r="F462" s="6" t="str">
        <x:v>7</x:v>
      </x:c>
      <x:c r="G462" s="6" t="str">
        <x:v>6</x:v>
      </x:c>
      <x:c r="H462" s="6" t="str">
        <x:v>0</x:v>
      </x:c>
      <x:c r="I462" s="6" t="str">
        <x:v>1</x:v>
      </x:c>
      <x:c r="J462" s="6" t="str">
        <x:v>0</x:v>
      </x:c>
      <x:c r="K462" s="6" t="str">
        <x:v>0</x:v>
      </x:c>
      <x:c r="L462" s="6" t="str">
        <x:v>0</x:v>
      </x:c>
      <x:c r="M462" s="6" t="str">
        <x:v>0</x:v>
      </x:c>
      <x:c r="N462" s="6" t="str">
        <x:v>0</x:v>
      </x:c>
      <x:c r="O462" s="6" t="str">
        <x:v>0</x:v>
      </x:c>
      <x:c r="P462" s="6" t="str">
        <x:v>7</x:v>
      </x:c>
      <x:c r="Q462" s="6" t="str">
        <x:v>0.0</x:v>
      </x:c>
      <x:c r="R462" s="6" t="str">
        <x:v>7</x:v>
      </x:c>
      <x:c r="S462" s="6" t="str">
        <x:v>0.0</x:v>
      </x:c>
      <x:c r="T462" s="6" t="str">
        <x:v>7</x:v>
      </x:c>
      <x:c r="U462" s="6" t="str">
        <x:v>0.0</x:v>
      </x:c>
      <x:c r="V462" s="6" t="str">
        <x:v>7</x:v>
      </x:c>
      <x:c r="W462" s="6" t="str">
        <x:v>14.0</x:v>
      </x:c>
      <x:c r="X462" s="6" t="str">
        <x:v>7</x:v>
      </x:c>
      <x:c r="Y462" s="6" t="str">
        <x:v>13107.0</x:v>
      </x:c>
      <x:c r="Z462" s="6" t="str">
        <x:v>6</x:v>
      </x:c>
      <x:c r="AA462" s="6" t="str">
        <x:v>3.0</x:v>
      </x:c>
      <x:c r="AB462" s="6" t="str">
        <x:v>7</x:v>
      </x:c>
      <x:c r="AC462" s="6" t="str">
        <x:v>2024-05</x:v>
      </x:c>
      <x:c r="AD462" s="9" t="str">
        <x:v>BNPB operational disaster search table</x:v>
      </x:c>
      <x:c r="AE462" s="9" t="str">
        <x:v>https://gis.bnpb.go.id/databencana/tabel/pencarian.php</x:v>
      </x:c>
      <x:c r="AF462" s="9" t="str">
        <x:v>operational_snapshot_annual_totals_may_differ</x:v>
      </x:c>
    </x:row>
    <x:row r="463" ht="18" customHeight="1">
      <x:c r="A463" s="6" t="str">
        <x:v>61</x:v>
      </x:c>
      <x:c r="B463" s="6" t="str">
        <x:v>KALIMANTAN BARAT</x:v>
      </x:c>
      <x:c r="C463" s="6" t="str">
        <x:v>2024</x:v>
      </x:c>
      <x:c r="D463" s="6" t="str">
        <x:v>6</x:v>
      </x:c>
      <x:c r="E463" s="6" t="str">
        <x:v>1</x:v>
      </x:c>
      <x:c r="F463" s="6" t="str">
        <x:v>1</x:v>
      </x:c>
      <x:c r="G463" s="6" t="str">
        <x:v>1</x:v>
      </x:c>
      <x:c r="H463" s="6" t="str">
        <x:v>0</x:v>
      </x:c>
      <x:c r="I463" s="6" t="str">
        <x:v>0</x:v>
      </x:c>
      <x:c r="J463" s="6" t="str">
        <x:v>0</x:v>
      </x:c>
      <x:c r="K463" s="6" t="str">
        <x:v>0</x:v>
      </x:c>
      <x:c r="L463" s="6" t="str">
        <x:v>0</x:v>
      </x:c>
      <x:c r="M463" s="6" t="str">
        <x:v>0</x:v>
      </x:c>
      <x:c r="N463" s="6" t="str">
        <x:v>0</x:v>
      </x:c>
      <x:c r="O463" s="6" t="str">
        <x:v>0</x:v>
      </x:c>
      <x:c r="P463" s="6" t="str">
        <x:v>1</x:v>
      </x:c>
      <x:c r="Q463" s="6" t="str">
        <x:v>0.0</x:v>
      </x:c>
      <x:c r="R463" s="6" t="str">
        <x:v>1</x:v>
      </x:c>
      <x:c r="S463" s="6" t="str">
        <x:v>0.0</x:v>
      </x:c>
      <x:c r="T463" s="6" t="str">
        <x:v>1</x:v>
      </x:c>
      <x:c r="U463" s="6" t="str">
        <x:v>0.0</x:v>
      </x:c>
      <x:c r="V463" s="6" t="str">
        <x:v>1</x:v>
      </x:c>
      <x:c r="W463" s="6" t="str">
        <x:v>0.0</x:v>
      </x:c>
      <x:c r="X463" s="6" t="str">
        <x:v>1</x:v>
      </x:c>
      <x:c r="Y463" s="6" t="str">
        <x:v>1152.0</x:v>
      </x:c>
      <x:c r="Z463" s="6" t="str">
        <x:v>1</x:v>
      </x:c>
      <x:c r="AA463" s="6" t="str">
        <x:v>0.0</x:v>
      </x:c>
      <x:c r="AB463" s="6" t="str">
        <x:v>1</x:v>
      </x:c>
      <x:c r="AC463" s="6" t="str">
        <x:v>2024-06</x:v>
      </x:c>
      <x:c r="AD463" s="9" t="str">
        <x:v>BNPB operational disaster search table</x:v>
      </x:c>
      <x:c r="AE463" s="9" t="str">
        <x:v>https://gis.bnpb.go.id/databencana/tabel/pencarian.php</x:v>
      </x:c>
      <x:c r="AF463" s="9" t="str">
        <x:v>operational_snapshot_annual_totals_may_differ</x:v>
      </x:c>
    </x:row>
    <x:row r="464" ht="18" customHeight="1">
      <x:c r="A464" s="6" t="str">
        <x:v>61</x:v>
      </x:c>
      <x:c r="B464" s="6" t="str">
        <x:v>KALIMANTAN BARAT</x:v>
      </x:c>
      <x:c r="C464" s="6" t="str">
        <x:v>2024</x:v>
      </x:c>
      <x:c r="D464" s="6" t="str">
        <x:v>7</x:v>
      </x:c>
      <x:c r="E464" s="6" t="str">
        <x:v>4</x:v>
      </x:c>
      <x:c r="F464" s="6" t="str">
        <x:v>4</x:v>
      </x:c>
      <x:c r="G464" s="6" t="str">
        <x:v>0</x:v>
      </x:c>
      <x:c r="H464" s="6" t="str">
        <x:v>0</x:v>
      </x:c>
      <x:c r="I464" s="6" t="str">
        <x:v>0</x:v>
      </x:c>
      <x:c r="J464" s="6" t="str">
        <x:v>0</x:v>
      </x:c>
      <x:c r="K464" s="6" t="str">
        <x:v>4</x:v>
      </x:c>
      <x:c r="L464" s="6" t="str">
        <x:v>0</x:v>
      </x:c>
      <x:c r="M464" s="6" t="str">
        <x:v>0</x:v>
      </x:c>
      <x:c r="N464" s="6" t="str">
        <x:v>0</x:v>
      </x:c>
      <x:c r="O464" s="6" t="str">
        <x:v>0</x:v>
      </x:c>
      <x:c r="P464" s="6" t="str">
        <x:v>4</x:v>
      </x:c>
      <x:c r="Q464" s="6" t="str">
        <x:v>0.0</x:v>
      </x:c>
      <x:c r="R464" s="6" t="str">
        <x:v>4</x:v>
      </x:c>
      <x:c r="S464" s="6" t="str">
        <x:v>0.0</x:v>
      </x:c>
      <x:c r="T464" s="6" t="str">
        <x:v>4</x:v>
      </x:c>
      <x:c r="U464" s="6" t="str">
        <x:v>0.0</x:v>
      </x:c>
      <x:c r="V464" s="6" t="str">
        <x:v>4</x:v>
      </x:c>
      <x:c r="W464" s="6" t="str">
        <x:v>0.0</x:v>
      </x:c>
      <x:c r="X464" s="6" t="str">
        <x:v>4</x:v>
      </x:c>
      <x:c r="Y464" s="6" t="str"/>
      <x:c r="Z464" s="6" t="str">
        <x:v>0</x:v>
      </x:c>
      <x:c r="AA464" s="6" t="str">
        <x:v>0.0</x:v>
      </x:c>
      <x:c r="AB464" s="6" t="str">
        <x:v>4</x:v>
      </x:c>
      <x:c r="AC464" s="6" t="str">
        <x:v>2024-07</x:v>
      </x:c>
      <x:c r="AD464" s="9" t="str">
        <x:v>BNPB operational disaster search table</x:v>
      </x:c>
      <x:c r="AE464" s="9" t="str">
        <x:v>https://gis.bnpb.go.id/databencana/tabel/pencarian.php</x:v>
      </x:c>
      <x:c r="AF464" s="9" t="str">
        <x:v>operational_snapshot_annual_totals_may_differ</x:v>
      </x:c>
    </x:row>
    <x:row r="465" ht="18" customHeight="1">
      <x:c r="A465" s="6" t="str">
        <x:v>61</x:v>
      </x:c>
      <x:c r="B465" s="6" t="str">
        <x:v>KALIMANTAN BARAT</x:v>
      </x:c>
      <x:c r="C465" s="6" t="str">
        <x:v>2024</x:v>
      </x:c>
      <x:c r="D465" s="6" t="str">
        <x:v>8</x:v>
      </x:c>
      <x:c r="E465" s="6" t="str">
        <x:v>9</x:v>
      </x:c>
      <x:c r="F465" s="6" t="str">
        <x:v>9</x:v>
      </x:c>
      <x:c r="G465" s="6" t="str">
        <x:v>7</x:v>
      </x:c>
      <x:c r="H465" s="6" t="str">
        <x:v>0</x:v>
      </x:c>
      <x:c r="I465" s="6" t="str">
        <x:v>1</x:v>
      </x:c>
      <x:c r="J465" s="6" t="str">
        <x:v>0</x:v>
      </x:c>
      <x:c r="K465" s="6" t="str">
        <x:v>1</x:v>
      </x:c>
      <x:c r="L465" s="6" t="str">
        <x:v>0</x:v>
      </x:c>
      <x:c r="M465" s="6" t="str">
        <x:v>0</x:v>
      </x:c>
      <x:c r="N465" s="6" t="str">
        <x:v>0</x:v>
      </x:c>
      <x:c r="O465" s="6" t="str">
        <x:v>0</x:v>
      </x:c>
      <x:c r="P465" s="6" t="str">
        <x:v>9</x:v>
      </x:c>
      <x:c r="Q465" s="6" t="str">
        <x:v>1.0</x:v>
      </x:c>
      <x:c r="R465" s="6" t="str">
        <x:v>9</x:v>
      </x:c>
      <x:c r="S465" s="6" t="str">
        <x:v>0.0</x:v>
      </x:c>
      <x:c r="T465" s="6" t="str">
        <x:v>9</x:v>
      </x:c>
      <x:c r="U465" s="6" t="str">
        <x:v>0.0</x:v>
      </x:c>
      <x:c r="V465" s="6" t="str">
        <x:v>9</x:v>
      </x:c>
      <x:c r="W465" s="6" t="str">
        <x:v>12.0</x:v>
      </x:c>
      <x:c r="X465" s="6" t="str">
        <x:v>9</x:v>
      </x:c>
      <x:c r="Y465" s="6" t="str">
        <x:v>2599.0</x:v>
      </x:c>
      <x:c r="Z465" s="6" t="str">
        <x:v>7</x:v>
      </x:c>
      <x:c r="AA465" s="6" t="str">
        <x:v>1.0</x:v>
      </x:c>
      <x:c r="AB465" s="6" t="str">
        <x:v>9</x:v>
      </x:c>
      <x:c r="AC465" s="6" t="str">
        <x:v>2024-08</x:v>
      </x:c>
      <x:c r="AD465" s="9" t="str">
        <x:v>BNPB operational disaster search table</x:v>
      </x:c>
      <x:c r="AE465" s="9" t="str">
        <x:v>https://gis.bnpb.go.id/databencana/tabel/pencarian.php</x:v>
      </x:c>
      <x:c r="AF465" s="9" t="str">
        <x:v>operational_snapshot_annual_totals_may_differ</x:v>
      </x:c>
    </x:row>
    <x:row r="466" ht="18" customHeight="1">
      <x:c r="A466" s="6" t="str">
        <x:v>61</x:v>
      </x:c>
      <x:c r="B466" s="6" t="str">
        <x:v>KALIMANTAN BARAT</x:v>
      </x:c>
      <x:c r="C466" s="6" t="str">
        <x:v>2024</x:v>
      </x:c>
      <x:c r="D466" s="6" t="str">
        <x:v>9</x:v>
      </x:c>
      <x:c r="E466" s="6" t="str">
        <x:v>7</x:v>
      </x:c>
      <x:c r="F466" s="6" t="str">
        <x:v>7</x:v>
      </x:c>
      <x:c r="G466" s="6" t="str">
        <x:v>3</x:v>
      </x:c>
      <x:c r="H466" s="6" t="str">
        <x:v>0</x:v>
      </x:c>
      <x:c r="I466" s="6" t="str">
        <x:v>1</x:v>
      </x:c>
      <x:c r="J466" s="6" t="str">
        <x:v>0</x:v>
      </x:c>
      <x:c r="K466" s="6" t="str">
        <x:v>3</x:v>
      </x:c>
      <x:c r="L466" s="6" t="str">
        <x:v>0</x:v>
      </x:c>
      <x:c r="M466" s="6" t="str">
        <x:v>0</x:v>
      </x:c>
      <x:c r="N466" s="6" t="str">
        <x:v>0</x:v>
      </x:c>
      <x:c r="O466" s="6" t="str">
        <x:v>0</x:v>
      </x:c>
      <x:c r="P466" s="6" t="str">
        <x:v>7</x:v>
      </x:c>
      <x:c r="Q466" s="6" t="str">
        <x:v>1.0</x:v>
      </x:c>
      <x:c r="R466" s="6" t="str">
        <x:v>7</x:v>
      </x:c>
      <x:c r="S466" s="6" t="str">
        <x:v>0.0</x:v>
      </x:c>
      <x:c r="T466" s="6" t="str">
        <x:v>7</x:v>
      </x:c>
      <x:c r="U466" s="6" t="str">
        <x:v>2.0</x:v>
      </x:c>
      <x:c r="V466" s="6" t="str">
        <x:v>7</x:v>
      </x:c>
      <x:c r="W466" s="6" t="str">
        <x:v>20.0</x:v>
      </x:c>
      <x:c r="X466" s="6" t="str">
        <x:v>7</x:v>
      </x:c>
      <x:c r="Y466" s="6" t="str">
        <x:v>285.0</x:v>
      </x:c>
      <x:c r="Z466" s="6" t="str">
        <x:v>2</x:v>
      </x:c>
      <x:c r="AA466" s="6" t="str">
        <x:v>0.0</x:v>
      </x:c>
      <x:c r="AB466" s="6" t="str">
        <x:v>7</x:v>
      </x:c>
      <x:c r="AC466" s="6" t="str">
        <x:v>2024-09</x:v>
      </x:c>
      <x:c r="AD466" s="9" t="str">
        <x:v>BNPB operational disaster search table</x:v>
      </x:c>
      <x:c r="AE466" s="9" t="str">
        <x:v>https://gis.bnpb.go.id/databencana/tabel/pencarian.php</x:v>
      </x:c>
      <x:c r="AF466" s="9" t="str">
        <x:v>operational_snapshot_annual_totals_may_differ</x:v>
      </x:c>
    </x:row>
    <x:row r="467" ht="18" customHeight="1">
      <x:c r="A467" s="6" t="str">
        <x:v>61</x:v>
      </x:c>
      <x:c r="B467" s="6" t="str">
        <x:v>KALIMANTAN BARAT</x:v>
      </x:c>
      <x:c r="C467" s="6" t="str">
        <x:v>2024</x:v>
      </x:c>
      <x:c r="D467" s="6" t="str">
        <x:v>10</x:v>
      </x:c>
      <x:c r="E467" s="6" t="str">
        <x:v>7</x:v>
      </x:c>
      <x:c r="F467" s="6" t="str">
        <x:v>7</x:v>
      </x:c>
      <x:c r="G467" s="6" t="str">
        <x:v>6</x:v>
      </x:c>
      <x:c r="H467" s="6" t="str">
        <x:v>0</x:v>
      </x:c>
      <x:c r="I467" s="6" t="str">
        <x:v>0</x:v>
      </x:c>
      <x:c r="J467" s="6" t="str">
        <x:v>0</x:v>
      </x:c>
      <x:c r="K467" s="6" t="str">
        <x:v>1</x:v>
      </x:c>
      <x:c r="L467" s="6" t="str">
        <x:v>0</x:v>
      </x:c>
      <x:c r="M467" s="6" t="str">
        <x:v>0</x:v>
      </x:c>
      <x:c r="N467" s="6" t="str">
        <x:v>0</x:v>
      </x:c>
      <x:c r="O467" s="6" t="str">
        <x:v>0</x:v>
      </x:c>
      <x:c r="P467" s="6" t="str">
        <x:v>7</x:v>
      </x:c>
      <x:c r="Q467" s="6" t="str">
        <x:v>0.0</x:v>
      </x:c>
      <x:c r="R467" s="6" t="str">
        <x:v>7</x:v>
      </x:c>
      <x:c r="S467" s="6" t="str">
        <x:v>0.0</x:v>
      </x:c>
      <x:c r="T467" s="6" t="str">
        <x:v>7</x:v>
      </x:c>
      <x:c r="U467" s="6" t="str">
        <x:v>0.0</x:v>
      </x:c>
      <x:c r="V467" s="6" t="str">
        <x:v>7</x:v>
      </x:c>
      <x:c r="W467" s="6" t="str">
        <x:v>3.0</x:v>
      </x:c>
      <x:c r="X467" s="6" t="str">
        <x:v>7</x:v>
      </x:c>
      <x:c r="Y467" s="6" t="str">
        <x:v>2016.0</x:v>
      </x:c>
      <x:c r="Z467" s="6" t="str">
        <x:v>5</x:v>
      </x:c>
      <x:c r="AA467" s="6" t="str">
        <x:v>4.0</x:v>
      </x:c>
      <x:c r="AB467" s="6" t="str">
        <x:v>7</x:v>
      </x:c>
      <x:c r="AC467" s="6" t="str">
        <x:v>2024-10</x:v>
      </x:c>
      <x:c r="AD467" s="9" t="str">
        <x:v>BNPB operational disaster search table</x:v>
      </x:c>
      <x:c r="AE467" s="9" t="str">
        <x:v>https://gis.bnpb.go.id/databencana/tabel/pencarian.php</x:v>
      </x:c>
      <x:c r="AF467" s="9" t="str">
        <x:v>operational_snapshot_annual_totals_may_differ</x:v>
      </x:c>
    </x:row>
    <x:row r="468" ht="18" customHeight="1">
      <x:c r="A468" s="6" t="str">
        <x:v>61</x:v>
      </x:c>
      <x:c r="B468" s="6" t="str">
        <x:v>KALIMANTAN BARAT</x:v>
      </x:c>
      <x:c r="C468" s="6" t="str">
        <x:v>2024</x:v>
      </x:c>
      <x:c r="D468" s="6" t="str">
        <x:v>11</x:v>
      </x:c>
      <x:c r="E468" s="6" t="str">
        <x:v>9</x:v>
      </x:c>
      <x:c r="F468" s="6" t="str">
        <x:v>9</x:v>
      </x:c>
      <x:c r="G468" s="6" t="str">
        <x:v>9</x:v>
      </x:c>
      <x:c r="H468" s="6" t="str">
        <x:v>0</x:v>
      </x:c>
      <x:c r="I468" s="6" t="str">
        <x:v>0</x:v>
      </x:c>
      <x:c r="J468" s="6" t="str">
        <x:v>0</x:v>
      </x:c>
      <x:c r="K468" s="6" t="str">
        <x:v>0</x:v>
      </x:c>
      <x:c r="L468" s="6" t="str">
        <x:v>0</x:v>
      </x:c>
      <x:c r="M468" s="6" t="str">
        <x:v>0</x:v>
      </x:c>
      <x:c r="N468" s="6" t="str">
        <x:v>0</x:v>
      </x:c>
      <x:c r="O468" s="6" t="str">
        <x:v>0</x:v>
      </x:c>
      <x:c r="P468" s="6" t="str">
        <x:v>9</x:v>
      </x:c>
      <x:c r="Q468" s="6" t="str">
        <x:v>0.0</x:v>
      </x:c>
      <x:c r="R468" s="6" t="str">
        <x:v>9</x:v>
      </x:c>
      <x:c r="S468" s="6" t="str">
        <x:v>0.0</x:v>
      </x:c>
      <x:c r="T468" s="6" t="str">
        <x:v>9</x:v>
      </x:c>
      <x:c r="U468" s="6" t="str">
        <x:v>0.0</x:v>
      </x:c>
      <x:c r="V468" s="6" t="str">
        <x:v>9</x:v>
      </x:c>
      <x:c r="W468" s="6" t="str">
        <x:v>0.0</x:v>
      </x:c>
      <x:c r="X468" s="6" t="str">
        <x:v>9</x:v>
      </x:c>
      <x:c r="Y468" s="6" t="str">
        <x:v>12410.0</x:v>
      </x:c>
      <x:c r="Z468" s="6" t="str">
        <x:v>9</x:v>
      </x:c>
      <x:c r="AA468" s="6" t="str">
        <x:v>0.0</x:v>
      </x:c>
      <x:c r="AB468" s="6" t="str">
        <x:v>9</x:v>
      </x:c>
      <x:c r="AC468" s="6" t="str">
        <x:v>2024-11</x:v>
      </x:c>
      <x:c r="AD468" s="9" t="str">
        <x:v>BNPB operational disaster search table</x:v>
      </x:c>
      <x:c r="AE468" s="9" t="str">
        <x:v>https://gis.bnpb.go.id/databencana/tabel/pencarian.php</x:v>
      </x:c>
      <x:c r="AF468" s="9" t="str">
        <x:v>operational_snapshot_annual_totals_may_differ</x:v>
      </x:c>
    </x:row>
    <x:row r="469" ht="18" customHeight="1">
      <x:c r="A469" s="6" t="str">
        <x:v>61</x:v>
      </x:c>
      <x:c r="B469" s="6" t="str">
        <x:v>KALIMANTAN BARAT</x:v>
      </x:c>
      <x:c r="C469" s="6" t="str">
        <x:v>2024</x:v>
      </x:c>
      <x:c r="D469" s="6" t="str">
        <x:v>12</x:v>
      </x:c>
      <x:c r="E469" s="6" t="str">
        <x:v>5</x:v>
      </x:c>
      <x:c r="F469" s="6" t="str">
        <x:v>5</x:v>
      </x:c>
      <x:c r="G469" s="6" t="str">
        <x:v>5</x:v>
      </x:c>
      <x:c r="H469" s="6" t="str">
        <x:v>0</x:v>
      </x:c>
      <x:c r="I469" s="6" t="str">
        <x:v>0</x:v>
      </x:c>
      <x:c r="J469" s="6" t="str">
        <x:v>0</x:v>
      </x:c>
      <x:c r="K469" s="6" t="str">
        <x:v>0</x:v>
      </x:c>
      <x:c r="L469" s="6" t="str">
        <x:v>0</x:v>
      </x:c>
      <x:c r="M469" s="6" t="str">
        <x:v>0</x:v>
      </x:c>
      <x:c r="N469" s="6" t="str">
        <x:v>0</x:v>
      </x:c>
      <x:c r="O469" s="6" t="str">
        <x:v>0</x:v>
      </x:c>
      <x:c r="P469" s="6" t="str">
        <x:v>5</x:v>
      </x:c>
      <x:c r="Q469" s="6" t="str">
        <x:v>0.0</x:v>
      </x:c>
      <x:c r="R469" s="6" t="str">
        <x:v>5</x:v>
      </x:c>
      <x:c r="S469" s="6" t="str">
        <x:v>0.0</x:v>
      </x:c>
      <x:c r="T469" s="6" t="str">
        <x:v>5</x:v>
      </x:c>
      <x:c r="U469" s="6" t="str">
        <x:v>0.0</x:v>
      </x:c>
      <x:c r="V469" s="6" t="str">
        <x:v>5</x:v>
      </x:c>
      <x:c r="W469" s="6" t="str">
        <x:v>0.0</x:v>
      </x:c>
      <x:c r="X469" s="6" t="str">
        <x:v>5</x:v>
      </x:c>
      <x:c r="Y469" s="6" t="str">
        <x:v>3997.0</x:v>
      </x:c>
      <x:c r="Z469" s="6" t="str">
        <x:v>5</x:v>
      </x:c>
      <x:c r="AA469" s="6" t="str">
        <x:v>0.0</x:v>
      </x:c>
      <x:c r="AB469" s="6" t="str">
        <x:v>5</x:v>
      </x:c>
      <x:c r="AC469" s="6" t="str">
        <x:v>2024-12</x:v>
      </x:c>
      <x:c r="AD469" s="9" t="str">
        <x:v>BNPB operational disaster search table</x:v>
      </x:c>
      <x:c r="AE469" s="9" t="str">
        <x:v>https://gis.bnpb.go.id/databencana/tabel/pencarian.php</x:v>
      </x:c>
      <x:c r="AF469" s="9" t="str">
        <x:v>operational_snapshot_annual_totals_may_differ</x:v>
      </x:c>
    </x:row>
    <x:row r="470" ht="18" customHeight="1">
      <x:c r="A470" s="6" t="str">
        <x:v>61</x:v>
      </x:c>
      <x:c r="B470" s="6" t="str">
        <x:v>KALIMANTAN BARAT</x:v>
      </x:c>
      <x:c r="C470" s="6" t="str">
        <x:v>2025</x:v>
      </x:c>
      <x:c r="D470" s="6" t="str">
        <x:v>1</x:v>
      </x:c>
      <x:c r="E470" s="6" t="str">
        <x:v>9</x:v>
      </x:c>
      <x:c r="F470" s="6" t="str">
        <x:v>9</x:v>
      </x:c>
      <x:c r="G470" s="6" t="str">
        <x:v>9</x:v>
      </x:c>
      <x:c r="H470" s="6" t="str">
        <x:v>0</x:v>
      </x:c>
      <x:c r="I470" s="6" t="str">
        <x:v>0</x:v>
      </x:c>
      <x:c r="J470" s="6" t="str">
        <x:v>0</x:v>
      </x:c>
      <x:c r="K470" s="6" t="str">
        <x:v>0</x:v>
      </x:c>
      <x:c r="L470" s="6" t="str">
        <x:v>0</x:v>
      </x:c>
      <x:c r="M470" s="6" t="str">
        <x:v>0</x:v>
      </x:c>
      <x:c r="N470" s="6" t="str">
        <x:v>0</x:v>
      </x:c>
      <x:c r="O470" s="6" t="str">
        <x:v>0</x:v>
      </x:c>
      <x:c r="P470" s="6" t="str">
        <x:v>9</x:v>
      </x:c>
      <x:c r="Q470" s="6" t="str">
        <x:v>2.0</x:v>
      </x:c>
      <x:c r="R470" s="6" t="str">
        <x:v>9</x:v>
      </x:c>
      <x:c r="S470" s="6" t="str">
        <x:v>0.0</x:v>
      </x:c>
      <x:c r="T470" s="6" t="str">
        <x:v>9</x:v>
      </x:c>
      <x:c r="U470" s="6" t="str">
        <x:v>0.0</x:v>
      </x:c>
      <x:c r="V470" s="6" t="str">
        <x:v>9</x:v>
      </x:c>
      <x:c r="W470" s="6" t="str">
        <x:v>34.0</x:v>
      </x:c>
      <x:c r="X470" s="6" t="str">
        <x:v>9</x:v>
      </x:c>
      <x:c r="Y470" s="6" t="str">
        <x:v>54274.0</x:v>
      </x:c>
      <x:c r="Z470" s="6" t="str">
        <x:v>9</x:v>
      </x:c>
      <x:c r="AA470" s="6" t="str">
        <x:v>5.0</x:v>
      </x:c>
      <x:c r="AB470" s="6" t="str">
        <x:v>9</x:v>
      </x:c>
      <x:c r="AC470" s="6" t="str">
        <x:v>2025-01</x:v>
      </x:c>
      <x:c r="AD470" s="9" t="str">
        <x:v>BNPB operational disaster search table</x:v>
      </x:c>
      <x:c r="AE470" s="9" t="str">
        <x:v>https://gis.bnpb.go.id/databencana/tabel/pencarian.php</x:v>
      </x:c>
      <x:c r="AF470" s="9" t="str">
        <x:v>operational_snapshot_annual_totals_may_differ</x:v>
      </x:c>
    </x:row>
    <x:row r="471" ht="18" customHeight="1">
      <x:c r="A471" s="6" t="str">
        <x:v>61</x:v>
      </x:c>
      <x:c r="B471" s="6" t="str">
        <x:v>KALIMANTAN BARAT</x:v>
      </x:c>
      <x:c r="C471" s="6" t="str">
        <x:v>2025</x:v>
      </x:c>
      <x:c r="D471" s="6" t="str">
        <x:v>2</x:v>
      </x:c>
      <x:c r="E471" s="6" t="str">
        <x:v>1</x:v>
      </x:c>
      <x:c r="F471" s="6" t="str">
        <x:v>1</x:v>
      </x:c>
      <x:c r="G471" s="6" t="str">
        <x:v>1</x:v>
      </x:c>
      <x:c r="H471" s="6" t="str">
        <x:v>0</x:v>
      </x:c>
      <x:c r="I471" s="6" t="str">
        <x:v>0</x:v>
      </x:c>
      <x:c r="J471" s="6" t="str">
        <x:v>0</x:v>
      </x:c>
      <x:c r="K471" s="6" t="str">
        <x:v>0</x:v>
      </x:c>
      <x:c r="L471" s="6" t="str">
        <x:v>0</x:v>
      </x:c>
      <x:c r="M471" s="6" t="str">
        <x:v>0</x:v>
      </x:c>
      <x:c r="N471" s="6" t="str">
        <x:v>0</x:v>
      </x:c>
      <x:c r="O471" s="6" t="str">
        <x:v>0</x:v>
      </x:c>
      <x:c r="P471" s="6" t="str">
        <x:v>1</x:v>
      </x:c>
      <x:c r="Q471" s="6" t="str">
        <x:v>0.0</x:v>
      </x:c>
      <x:c r="R471" s="6" t="str">
        <x:v>1</x:v>
      </x:c>
      <x:c r="S471" s="6" t="str">
        <x:v>0.0</x:v>
      </x:c>
      <x:c r="T471" s="6" t="str">
        <x:v>1</x:v>
      </x:c>
      <x:c r="U471" s="6" t="str">
        <x:v>0.0</x:v>
      </x:c>
      <x:c r="V471" s="6" t="str">
        <x:v>1</x:v>
      </x:c>
      <x:c r="W471" s="6" t="str">
        <x:v>0.0</x:v>
      </x:c>
      <x:c r="X471" s="6" t="str">
        <x:v>1</x:v>
      </x:c>
      <x:c r="Y471" s="6" t="str">
        <x:v>657.0</x:v>
      </x:c>
      <x:c r="Z471" s="6" t="str">
        <x:v>1</x:v>
      </x:c>
      <x:c r="AA471" s="6" t="str">
        <x:v>0.0</x:v>
      </x:c>
      <x:c r="AB471" s="6" t="str">
        <x:v>1</x:v>
      </x:c>
      <x:c r="AC471" s="6" t="str">
        <x:v>2025-02</x:v>
      </x:c>
      <x:c r="AD471" s="9" t="str">
        <x:v>BNPB operational disaster search table</x:v>
      </x:c>
      <x:c r="AE471" s="9" t="str">
        <x:v>https://gis.bnpb.go.id/databencana/tabel/pencarian.php</x:v>
      </x:c>
      <x:c r="AF471" s="9" t="str">
        <x:v>operational_snapshot_annual_totals_may_differ</x:v>
      </x:c>
    </x:row>
    <x:row r="472" ht="18" customHeight="1">
      <x:c r="A472" s="6" t="str">
        <x:v>61</x:v>
      </x:c>
      <x:c r="B472" s="6" t="str">
        <x:v>KALIMANTAN BARAT</x:v>
      </x:c>
      <x:c r="C472" s="6" t="str">
        <x:v>2025</x:v>
      </x:c>
      <x:c r="D472" s="6" t="str">
        <x:v>3</x:v>
      </x:c>
      <x:c r="E472" s="6" t="str">
        <x:v>10</x:v>
      </x:c>
      <x:c r="F472" s="6" t="str">
        <x:v>10</x:v>
      </x:c>
      <x:c r="G472" s="6" t="str">
        <x:v>10</x:v>
      </x:c>
      <x:c r="H472" s="6" t="str">
        <x:v>0</x:v>
      </x:c>
      <x:c r="I472" s="6" t="str">
        <x:v>0</x:v>
      </x:c>
      <x:c r="J472" s="6" t="str">
        <x:v>0</x:v>
      </x:c>
      <x:c r="K472" s="6" t="str">
        <x:v>0</x:v>
      </x:c>
      <x:c r="L472" s="6" t="str">
        <x:v>0</x:v>
      </x:c>
      <x:c r="M472" s="6" t="str">
        <x:v>0</x:v>
      </x:c>
      <x:c r="N472" s="6" t="str">
        <x:v>0</x:v>
      </x:c>
      <x:c r="O472" s="6" t="str">
        <x:v>0</x:v>
      </x:c>
      <x:c r="P472" s="6" t="str">
        <x:v>10</x:v>
      </x:c>
      <x:c r="Q472" s="6" t="str">
        <x:v>0.0</x:v>
      </x:c>
      <x:c r="R472" s="6" t="str">
        <x:v>10</x:v>
      </x:c>
      <x:c r="S472" s="6" t="str">
        <x:v>0.0</x:v>
      </x:c>
      <x:c r="T472" s="6" t="str">
        <x:v>10</x:v>
      </x:c>
      <x:c r="U472" s="6" t="str">
        <x:v>0.0</x:v>
      </x:c>
      <x:c r="V472" s="6" t="str">
        <x:v>10</x:v>
      </x:c>
      <x:c r="W472" s="6" t="str">
        <x:v>0.0</x:v>
      </x:c>
      <x:c r="X472" s="6" t="str">
        <x:v>10</x:v>
      </x:c>
      <x:c r="Y472" s="6" t="str">
        <x:v>9151.0</x:v>
      </x:c>
      <x:c r="Z472" s="6" t="str">
        <x:v>10</x:v>
      </x:c>
      <x:c r="AA472" s="6" t="str">
        <x:v>0.0</x:v>
      </x:c>
      <x:c r="AB472" s="6" t="str">
        <x:v>10</x:v>
      </x:c>
      <x:c r="AC472" s="6" t="str">
        <x:v>2025-03</x:v>
      </x:c>
      <x:c r="AD472" s="9" t="str">
        <x:v>BNPB operational disaster search table</x:v>
      </x:c>
      <x:c r="AE472" s="9" t="str">
        <x:v>https://gis.bnpb.go.id/databencana/tabel/pencarian.php</x:v>
      </x:c>
      <x:c r="AF472" s="9" t="str">
        <x:v>operational_snapshot_annual_totals_may_differ</x:v>
      </x:c>
    </x:row>
    <x:row r="473" ht="18" customHeight="1">
      <x:c r="A473" s="6" t="str">
        <x:v>61</x:v>
      </x:c>
      <x:c r="B473" s="6" t="str">
        <x:v>KALIMANTAN BARAT</x:v>
      </x:c>
      <x:c r="C473" s="6" t="str">
        <x:v>2025</x:v>
      </x:c>
      <x:c r="D473" s="6" t="str">
        <x:v>4</x:v>
      </x:c>
      <x:c r="E473" s="6" t="str">
        <x:v>1</x:v>
      </x:c>
      <x:c r="F473" s="6" t="str">
        <x:v>1</x:v>
      </x:c>
      <x:c r="G473" s="6" t="str">
        <x:v>1</x:v>
      </x:c>
      <x:c r="H473" s="6" t="str">
        <x:v>0</x:v>
      </x:c>
      <x:c r="I473" s="6" t="str">
        <x:v>0</x:v>
      </x:c>
      <x:c r="J473" s="6" t="str">
        <x:v>0</x:v>
      </x:c>
      <x:c r="K473" s="6" t="str">
        <x:v>0</x:v>
      </x:c>
      <x:c r="L473" s="6" t="str">
        <x:v>0</x:v>
      </x:c>
      <x:c r="M473" s="6" t="str">
        <x:v>0</x:v>
      </x:c>
      <x:c r="N473" s="6" t="str">
        <x:v>0</x:v>
      </x:c>
      <x:c r="O473" s="6" t="str">
        <x:v>0</x:v>
      </x:c>
      <x:c r="P473" s="6" t="str">
        <x:v>1</x:v>
      </x:c>
      <x:c r="Q473" s="6" t="str">
        <x:v>0.0</x:v>
      </x:c>
      <x:c r="R473" s="6" t="str">
        <x:v>1</x:v>
      </x:c>
      <x:c r="S473" s="6" t="str">
        <x:v>0.0</x:v>
      </x:c>
      <x:c r="T473" s="6" t="str">
        <x:v>1</x:v>
      </x:c>
      <x:c r="U473" s="6" t="str">
        <x:v>0.0</x:v>
      </x:c>
      <x:c r="V473" s="6" t="str">
        <x:v>1</x:v>
      </x:c>
      <x:c r="W473" s="6" t="str">
        <x:v>0.0</x:v>
      </x:c>
      <x:c r="X473" s="6" t="str">
        <x:v>1</x:v>
      </x:c>
      <x:c r="Y473" s="6" t="str">
        <x:v>50.0</x:v>
      </x:c>
      <x:c r="Z473" s="6" t="str">
        <x:v>1</x:v>
      </x:c>
      <x:c r="AA473" s="6" t="str">
        <x:v>0.0</x:v>
      </x:c>
      <x:c r="AB473" s="6" t="str">
        <x:v>1</x:v>
      </x:c>
      <x:c r="AC473" s="6" t="str">
        <x:v>2025-04</x:v>
      </x:c>
      <x:c r="AD473" s="9" t="str">
        <x:v>BNPB operational disaster search table</x:v>
      </x:c>
      <x:c r="AE473" s="9" t="str">
        <x:v>https://gis.bnpb.go.id/databencana/tabel/pencarian.php</x:v>
      </x:c>
      <x:c r="AF473" s="9" t="str">
        <x:v>operational_snapshot_annual_totals_may_differ</x:v>
      </x:c>
    </x:row>
    <x:row r="474" ht="18" customHeight="1">
      <x:c r="A474" s="6" t="str">
        <x:v>61</x:v>
      </x:c>
      <x:c r="B474" s="6" t="str">
        <x:v>KALIMANTAN BARAT</x:v>
      </x:c>
      <x:c r="C474" s="6" t="str">
        <x:v>2025</x:v>
      </x:c>
      <x:c r="D474" s="6" t="str">
        <x:v>5</x:v>
      </x:c>
      <x:c r="E474" s="6" t="str">
        <x:v>1</x:v>
      </x:c>
      <x:c r="F474" s="6" t="str">
        <x:v>1</x:v>
      </x:c>
      <x:c r="G474" s="6" t="str">
        <x:v>0</x:v>
      </x:c>
      <x:c r="H474" s="6" t="str">
        <x:v>0</x:v>
      </x:c>
      <x:c r="I474" s="6" t="str">
        <x:v>0</x:v>
      </x:c>
      <x:c r="J474" s="6" t="str">
        <x:v>0</x:v>
      </x:c>
      <x:c r="K474" s="6" t="str">
        <x:v>1</x:v>
      </x:c>
      <x:c r="L474" s="6" t="str">
        <x:v>0</x:v>
      </x:c>
      <x:c r="M474" s="6" t="str">
        <x:v>0</x:v>
      </x:c>
      <x:c r="N474" s="6" t="str">
        <x:v>0</x:v>
      </x:c>
      <x:c r="O474" s="6" t="str">
        <x:v>0</x:v>
      </x:c>
      <x:c r="P474" s="6" t="str">
        <x:v>1</x:v>
      </x:c>
      <x:c r="Q474" s="6" t="str">
        <x:v>0.0</x:v>
      </x:c>
      <x:c r="R474" s="6" t="str">
        <x:v>1</x:v>
      </x:c>
      <x:c r="S474" s="6" t="str">
        <x:v>0.0</x:v>
      </x:c>
      <x:c r="T474" s="6" t="str">
        <x:v>1</x:v>
      </x:c>
      <x:c r="U474" s="6" t="str">
        <x:v>0.0</x:v>
      </x:c>
      <x:c r="V474" s="6" t="str">
        <x:v>1</x:v>
      </x:c>
      <x:c r="W474" s="6" t="str">
        <x:v>0.0</x:v>
      </x:c>
      <x:c r="X474" s="6" t="str">
        <x:v>1</x:v>
      </x:c>
      <x:c r="Y474" s="6" t="str"/>
      <x:c r="Z474" s="6" t="str">
        <x:v>0</x:v>
      </x:c>
      <x:c r="AA474" s="6" t="str">
        <x:v>0.0</x:v>
      </x:c>
      <x:c r="AB474" s="6" t="str">
        <x:v>1</x:v>
      </x:c>
      <x:c r="AC474" s="6" t="str">
        <x:v>2025-05</x:v>
      </x:c>
      <x:c r="AD474" s="9" t="str">
        <x:v>BNPB operational disaster search table</x:v>
      </x:c>
      <x:c r="AE474" s="9" t="str">
        <x:v>https://gis.bnpb.go.id/databencana/tabel/pencarian.php</x:v>
      </x:c>
      <x:c r="AF474" s="9" t="str">
        <x:v>operational_snapshot_annual_totals_may_differ</x:v>
      </x:c>
    </x:row>
    <x:row r="475" ht="18" customHeight="1">
      <x:c r="A475" s="6" t="str">
        <x:v>61</x:v>
      </x:c>
      <x:c r="B475" s="6" t="str">
        <x:v>KALIMANTAN BARAT</x:v>
      </x:c>
      <x:c r="C475" s="6" t="str">
        <x:v>2025</x:v>
      </x:c>
      <x:c r="D475" s="6" t="str">
        <x:v>6</x:v>
      </x:c>
      <x:c r="E475" s="6" t="str">
        <x:v>2</x:v>
      </x:c>
      <x:c r="F475" s="6" t="str">
        <x:v>2</x:v>
      </x:c>
      <x:c r="G475" s="6" t="str">
        <x:v>1</x:v>
      </x:c>
      <x:c r="H475" s="6" t="str">
        <x:v>0</x:v>
      </x:c>
      <x:c r="I475" s="6" t="str">
        <x:v>0</x:v>
      </x:c>
      <x:c r="J475" s="6" t="str">
        <x:v>0</x:v>
      </x:c>
      <x:c r="K475" s="6" t="str">
        <x:v>1</x:v>
      </x:c>
      <x:c r="L475" s="6" t="str">
        <x:v>0</x:v>
      </x:c>
      <x:c r="M475" s="6" t="str">
        <x:v>0</x:v>
      </x:c>
      <x:c r="N475" s="6" t="str">
        <x:v>0</x:v>
      </x:c>
      <x:c r="O475" s="6" t="str">
        <x:v>0</x:v>
      </x:c>
      <x:c r="P475" s="6" t="str">
        <x:v>2</x:v>
      </x:c>
      <x:c r="Q475" s="6" t="str">
        <x:v>1.0</x:v>
      </x:c>
      <x:c r="R475" s="6" t="str">
        <x:v>1</x:v>
      </x:c>
      <x:c r="S475" s="6" t="str"/>
      <x:c r="T475" s="6" t="str">
        <x:v>0</x:v>
      </x:c>
      <x:c r="U475" s="6" t="str"/>
      <x:c r="V475" s="6" t="str">
        <x:v>0</x:v>
      </x:c>
      <x:c r="W475" s="6" t="str">
        <x:v>0.0</x:v>
      </x:c>
      <x:c r="X475" s="6" t="str">
        <x:v>2</x:v>
      </x:c>
      <x:c r="Y475" s="6" t="str">
        <x:v>9122.0</x:v>
      </x:c>
      <x:c r="Z475" s="6" t="str">
        <x:v>1</x:v>
      </x:c>
      <x:c r="AA475" s="6" t="str">
        <x:v>0.0</x:v>
      </x:c>
      <x:c r="AB475" s="6" t="str">
        <x:v>2</x:v>
      </x:c>
      <x:c r="AC475" s="6" t="str">
        <x:v>2025-06</x:v>
      </x:c>
      <x:c r="AD475" s="9" t="str">
        <x:v>BNPB operational disaster search table</x:v>
      </x:c>
      <x:c r="AE475" s="9" t="str">
        <x:v>https://gis.bnpb.go.id/databencana/tabel/pencarian.php</x:v>
      </x:c>
      <x:c r="AF475" s="9" t="str">
        <x:v>operational_snapshot_annual_totals_may_differ</x:v>
      </x:c>
    </x:row>
    <x:row r="476" ht="18" customHeight="1">
      <x:c r="A476" s="6" t="str">
        <x:v>61</x:v>
      </x:c>
      <x:c r="B476" s="6" t="str">
        <x:v>KALIMANTAN BARAT</x:v>
      </x:c>
      <x:c r="C476" s="6" t="str">
        <x:v>2025</x:v>
      </x:c>
      <x:c r="D476" s="6" t="str">
        <x:v>7</x:v>
      </x:c>
      <x:c r="E476" s="6" t="str">
        <x:v>5</x:v>
      </x:c>
      <x:c r="F476" s="6" t="str">
        <x:v>5</x:v>
      </x:c>
      <x:c r="G476" s="6" t="str">
        <x:v>0</x:v>
      </x:c>
      <x:c r="H476" s="6" t="str">
        <x:v>0</x:v>
      </x:c>
      <x:c r="I476" s="6" t="str">
        <x:v>0</x:v>
      </x:c>
      <x:c r="J476" s="6" t="str">
        <x:v>0</x:v>
      </x:c>
      <x:c r="K476" s="6" t="str">
        <x:v>5</x:v>
      </x:c>
      <x:c r="L476" s="6" t="str">
        <x:v>0</x:v>
      </x:c>
      <x:c r="M476" s="6" t="str">
        <x:v>0</x:v>
      </x:c>
      <x:c r="N476" s="6" t="str">
        <x:v>0</x:v>
      </x:c>
      <x:c r="O476" s="6" t="str">
        <x:v>0</x:v>
      </x:c>
      <x:c r="P476" s="6" t="str">
        <x:v>5</x:v>
      </x:c>
      <x:c r="Q476" s="6" t="str">
        <x:v>1.0</x:v>
      </x:c>
      <x:c r="R476" s="6" t="str">
        <x:v>1</x:v>
      </x:c>
      <x:c r="S476" s="6" t="str"/>
      <x:c r="T476" s="6" t="str">
        <x:v>0</x:v>
      </x:c>
      <x:c r="U476" s="6" t="str"/>
      <x:c r="V476" s="6" t="str">
        <x:v>0</x:v>
      </x:c>
      <x:c r="W476" s="6" t="str">
        <x:v>0.0</x:v>
      </x:c>
      <x:c r="X476" s="6" t="str">
        <x:v>5</x:v>
      </x:c>
      <x:c r="Y476" s="6" t="str"/>
      <x:c r="Z476" s="6" t="str">
        <x:v>0</x:v>
      </x:c>
      <x:c r="AA476" s="6" t="str">
        <x:v>0.0</x:v>
      </x:c>
      <x:c r="AB476" s="6" t="str">
        <x:v>5</x:v>
      </x:c>
      <x:c r="AC476" s="6" t="str">
        <x:v>2025-07</x:v>
      </x:c>
      <x:c r="AD476" s="9" t="str">
        <x:v>BNPB operational disaster search table</x:v>
      </x:c>
      <x:c r="AE476" s="9" t="str">
        <x:v>https://gis.bnpb.go.id/databencana/tabel/pencarian.php</x:v>
      </x:c>
      <x:c r="AF476" s="9" t="str">
        <x:v>operational_snapshot_annual_totals_may_differ</x:v>
      </x:c>
    </x:row>
    <x:row r="477" ht="18" customHeight="1">
      <x:c r="A477" s="6" t="str">
        <x:v>61</x:v>
      </x:c>
      <x:c r="B477" s="6" t="str">
        <x:v>KALIMANTAN BARAT</x:v>
      </x:c>
      <x:c r="C477" s="6" t="str">
        <x:v>2025</x:v>
      </x:c>
      <x:c r="D477" s="6" t="str">
        <x:v>8</x:v>
      </x:c>
      <x:c r="E477" s="6" t="str">
        <x:v>1</x:v>
      </x:c>
      <x:c r="F477" s="6" t="str">
        <x:v>1</x:v>
      </x:c>
      <x:c r="G477" s="6" t="str">
        <x:v>1</x:v>
      </x:c>
      <x:c r="H477" s="6" t="str">
        <x:v>0</x:v>
      </x:c>
      <x:c r="I477" s="6" t="str">
        <x:v>0</x:v>
      </x:c>
      <x:c r="J477" s="6" t="str">
        <x:v>0</x:v>
      </x:c>
      <x:c r="K477" s="6" t="str">
        <x:v>0</x:v>
      </x:c>
      <x:c r="L477" s="6" t="str">
        <x:v>0</x:v>
      </x:c>
      <x:c r="M477" s="6" t="str">
        <x:v>0</x:v>
      </x:c>
      <x:c r="N477" s="6" t="str">
        <x:v>0</x:v>
      </x:c>
      <x:c r="O477" s="6" t="str">
        <x:v>0</x:v>
      </x:c>
      <x:c r="P477" s="6" t="str">
        <x:v>1</x:v>
      </x:c>
      <x:c r="Q477" s="6" t="str"/>
      <x:c r="R477" s="6" t="str">
        <x:v>0</x:v>
      </x:c>
      <x:c r="S477" s="6" t="str"/>
      <x:c r="T477" s="6" t="str">
        <x:v>0</x:v>
      </x:c>
      <x:c r="U477" s="6" t="str"/>
      <x:c r="V477" s="6" t="str">
        <x:v>0</x:v>
      </x:c>
      <x:c r="W477" s="6" t="str">
        <x:v>0.0</x:v>
      </x:c>
      <x:c r="X477" s="6" t="str">
        <x:v>1</x:v>
      </x:c>
      <x:c r="Y477" s="6" t="str">
        <x:v>1562.0</x:v>
      </x:c>
      <x:c r="Z477" s="6" t="str">
        <x:v>1</x:v>
      </x:c>
      <x:c r="AA477" s="6" t="str">
        <x:v>0.0</x:v>
      </x:c>
      <x:c r="AB477" s="6" t="str">
        <x:v>1</x:v>
      </x:c>
      <x:c r="AC477" s="6" t="str">
        <x:v>2025-08</x:v>
      </x:c>
      <x:c r="AD477" s="9" t="str">
        <x:v>BNPB operational disaster search table</x:v>
      </x:c>
      <x:c r="AE477" s="9" t="str">
        <x:v>https://gis.bnpb.go.id/databencana/tabel/pencarian.php</x:v>
      </x:c>
      <x:c r="AF477" s="9" t="str">
        <x:v>operational_snapshot_annual_totals_may_differ</x:v>
      </x:c>
    </x:row>
    <x:row r="478" ht="18" customHeight="1">
      <x:c r="A478" s="6" t="str">
        <x:v>61</x:v>
      </x:c>
      <x:c r="B478" s="6" t="str">
        <x:v>KALIMANTAN BARAT</x:v>
      </x:c>
      <x:c r="C478" s="6" t="str">
        <x:v>2025</x:v>
      </x:c>
      <x:c r="D478" s="6" t="str">
        <x:v>9</x:v>
      </x:c>
      <x:c r="E478" s="6" t="str">
        <x:v>7</x:v>
      </x:c>
      <x:c r="F478" s="6" t="str">
        <x:v>7</x:v>
      </x:c>
      <x:c r="G478" s="6" t="str">
        <x:v>7</x:v>
      </x:c>
      <x:c r="H478" s="6" t="str">
        <x:v>0</x:v>
      </x:c>
      <x:c r="I478" s="6" t="str">
        <x:v>0</x:v>
      </x:c>
      <x:c r="J478" s="6" t="str">
        <x:v>0</x:v>
      </x:c>
      <x:c r="K478" s="6" t="str">
        <x:v>0</x:v>
      </x:c>
      <x:c r="L478" s="6" t="str">
        <x:v>0</x:v>
      </x:c>
      <x:c r="M478" s="6" t="str">
        <x:v>0</x:v>
      </x:c>
      <x:c r="N478" s="6" t="str">
        <x:v>0</x:v>
      </x:c>
      <x:c r="O478" s="6" t="str">
        <x:v>0</x:v>
      </x:c>
      <x:c r="P478" s="6" t="str">
        <x:v>7</x:v>
      </x:c>
      <x:c r="Q478" s="6" t="str"/>
      <x:c r="R478" s="6" t="str">
        <x:v>0</x:v>
      </x:c>
      <x:c r="S478" s="6" t="str"/>
      <x:c r="T478" s="6" t="str">
        <x:v>0</x:v>
      </x:c>
      <x:c r="U478" s="6" t="str"/>
      <x:c r="V478" s="6" t="str">
        <x:v>0</x:v>
      </x:c>
      <x:c r="W478" s="6" t="str">
        <x:v>0.0</x:v>
      </x:c>
      <x:c r="X478" s="6" t="str">
        <x:v>7</x:v>
      </x:c>
      <x:c r="Y478" s="6" t="str">
        <x:v>4517.0</x:v>
      </x:c>
      <x:c r="Z478" s="6" t="str">
        <x:v>7</x:v>
      </x:c>
      <x:c r="AA478" s="6" t="str">
        <x:v>0.0</x:v>
      </x:c>
      <x:c r="AB478" s="6" t="str">
        <x:v>7</x:v>
      </x:c>
      <x:c r="AC478" s="6" t="str">
        <x:v>2025-09</x:v>
      </x:c>
      <x:c r="AD478" s="9" t="str">
        <x:v>BNPB operational disaster search table</x:v>
      </x:c>
      <x:c r="AE478" s="9" t="str">
        <x:v>https://gis.bnpb.go.id/databencana/tabel/pencarian.php</x:v>
      </x:c>
      <x:c r="AF478" s="9" t="str">
        <x:v>operational_snapshot_annual_totals_may_differ</x:v>
      </x:c>
    </x:row>
    <x:row r="479" ht="18" customHeight="1">
      <x:c r="A479" s="6" t="str">
        <x:v>61</x:v>
      </x:c>
      <x:c r="B479" s="6" t="str">
        <x:v>KALIMANTAN BARAT</x:v>
      </x:c>
      <x:c r="C479" s="6" t="str">
        <x:v>2025</x:v>
      </x:c>
      <x:c r="D479" s="6" t="str">
        <x:v>10</x:v>
      </x:c>
      <x:c r="E479" s="6" t="str">
        <x:v>2</x:v>
      </x:c>
      <x:c r="F479" s="6" t="str">
        <x:v>2</x:v>
      </x:c>
      <x:c r="G479" s="6" t="str">
        <x:v>1</x:v>
      </x:c>
      <x:c r="H479" s="6" t="str">
        <x:v>0</x:v>
      </x:c>
      <x:c r="I479" s="6" t="str">
        <x:v>1</x:v>
      </x:c>
      <x:c r="J479" s="6" t="str">
        <x:v>0</x:v>
      </x:c>
      <x:c r="K479" s="6" t="str">
        <x:v>0</x:v>
      </x:c>
      <x:c r="L479" s="6" t="str">
        <x:v>0</x:v>
      </x:c>
      <x:c r="M479" s="6" t="str">
        <x:v>0</x:v>
      </x:c>
      <x:c r="N479" s="6" t="str">
        <x:v>0</x:v>
      </x:c>
      <x:c r="O479" s="6" t="str">
        <x:v>0</x:v>
      </x:c>
      <x:c r="P479" s="6" t="str">
        <x:v>2</x:v>
      </x:c>
      <x:c r="Q479" s="6" t="str"/>
      <x:c r="R479" s="6" t="str">
        <x:v>0</x:v>
      </x:c>
      <x:c r="S479" s="6" t="str"/>
      <x:c r="T479" s="6" t="str">
        <x:v>0</x:v>
      </x:c>
      <x:c r="U479" s="6" t="str"/>
      <x:c r="V479" s="6" t="str">
        <x:v>0</x:v>
      </x:c>
      <x:c r="W479" s="6" t="str">
        <x:v>0.0</x:v>
      </x:c>
      <x:c r="X479" s="6" t="str">
        <x:v>2</x:v>
      </x:c>
      <x:c r="Y479" s="6" t="str">
        <x:v>611.0</x:v>
      </x:c>
      <x:c r="Z479" s="6" t="str">
        <x:v>1</x:v>
      </x:c>
      <x:c r="AA479" s="6" t="str">
        <x:v>0.0</x:v>
      </x:c>
      <x:c r="AB479" s="6" t="str">
        <x:v>2</x:v>
      </x:c>
      <x:c r="AC479" s="6" t="str">
        <x:v>2025-10</x:v>
      </x:c>
      <x:c r="AD479" s="9" t="str">
        <x:v>BNPB operational disaster search table</x:v>
      </x:c>
      <x:c r="AE479" s="9" t="str">
        <x:v>https://gis.bnpb.go.id/databencana/tabel/pencarian.php</x:v>
      </x:c>
      <x:c r="AF479" s="9" t="str">
        <x:v>operational_snapshot_annual_totals_may_differ</x:v>
      </x:c>
    </x:row>
    <x:row r="480" ht="18" customHeight="1">
      <x:c r="A480" s="6" t="str">
        <x:v>61</x:v>
      </x:c>
      <x:c r="B480" s="6" t="str">
        <x:v>KALIMANTAN BARAT</x:v>
      </x:c>
      <x:c r="C480" s="6" t="str">
        <x:v>2025</x:v>
      </x:c>
      <x:c r="D480" s="6" t="str">
        <x:v>11</x:v>
      </x:c>
      <x:c r="E480" s="6" t="str">
        <x:v>1</x:v>
      </x:c>
      <x:c r="F480" s="6" t="str">
        <x:v>1</x:v>
      </x:c>
      <x:c r="G480" s="6" t="str">
        <x:v>0</x:v>
      </x:c>
      <x:c r="H480" s="6" t="str">
        <x:v>0</x:v>
      </x:c>
      <x:c r="I480" s="6" t="str">
        <x:v>1</x:v>
      </x:c>
      <x:c r="J480" s="6" t="str">
        <x:v>0</x:v>
      </x:c>
      <x:c r="K480" s="6" t="str">
        <x:v>0</x:v>
      </x:c>
      <x:c r="L480" s="6" t="str">
        <x:v>0</x:v>
      </x:c>
      <x:c r="M480" s="6" t="str">
        <x:v>0</x:v>
      </x:c>
      <x:c r="N480" s="6" t="str">
        <x:v>0</x:v>
      </x:c>
      <x:c r="O480" s="6" t="str">
        <x:v>0</x:v>
      </x:c>
      <x:c r="P480" s="6" t="str">
        <x:v>1</x:v>
      </x:c>
      <x:c r="Q480" s="6" t="str"/>
      <x:c r="R480" s="6" t="str">
        <x:v>0</x:v>
      </x:c>
      <x:c r="S480" s="6" t="str"/>
      <x:c r="T480" s="6" t="str">
        <x:v>0</x:v>
      </x:c>
      <x:c r="U480" s="6" t="str">
        <x:v>1.0</x:v>
      </x:c>
      <x:c r="V480" s="6" t="str">
        <x:v>1</x:v>
      </x:c>
      <x:c r="W480" s="6" t="str">
        <x:v>1.0</x:v>
      </x:c>
      <x:c r="X480" s="6" t="str">
        <x:v>1</x:v>
      </x:c>
      <x:c r="Y480" s="6" t="str"/>
      <x:c r="Z480" s="6" t="str">
        <x:v>0</x:v>
      </x:c>
      <x:c r="AA480" s="6" t="str">
        <x:v>0.0</x:v>
      </x:c>
      <x:c r="AB480" s="6" t="str">
        <x:v>1</x:v>
      </x:c>
      <x:c r="AC480" s="6" t="str">
        <x:v>2025-11</x:v>
      </x:c>
      <x:c r="AD480" s="9" t="str">
        <x:v>BNPB operational disaster search table</x:v>
      </x:c>
      <x:c r="AE480" s="9" t="str">
        <x:v>https://gis.bnpb.go.id/databencana/tabel/pencarian.php</x:v>
      </x:c>
      <x:c r="AF480" s="9" t="str">
        <x:v>operational_snapshot_annual_totals_may_differ</x:v>
      </x:c>
    </x:row>
    <x:row r="481" ht="18" customHeight="1">
      <x:c r="A481" s="6" t="str">
        <x:v>61</x:v>
      </x:c>
      <x:c r="B481" s="6" t="str">
        <x:v>KALIMANTAN BARAT</x:v>
      </x:c>
      <x:c r="C481" s="6" t="str">
        <x:v>2025</x:v>
      </x:c>
      <x:c r="D481" s="6" t="str">
        <x:v>12</x:v>
      </x:c>
      <x:c r="E481" s="6" t="str">
        <x:v>3</x:v>
      </x:c>
      <x:c r="F481" s="6" t="str">
        <x:v>3</x:v>
      </x:c>
      <x:c r="G481" s="6" t="str">
        <x:v>2</x:v>
      </x:c>
      <x:c r="H481" s="6" t="str">
        <x:v>0</x:v>
      </x:c>
      <x:c r="I481" s="6" t="str">
        <x:v>0</x:v>
      </x:c>
      <x:c r="J481" s="6" t="str">
        <x:v>0</x:v>
      </x:c>
      <x:c r="K481" s="6" t="str">
        <x:v>0</x:v>
      </x:c>
      <x:c r="L481" s="6" t="str">
        <x:v>1</x:v>
      </x:c>
      <x:c r="M481" s="6" t="str">
        <x:v>0</x:v>
      </x:c>
      <x:c r="N481" s="6" t="str">
        <x:v>0</x:v>
      </x:c>
      <x:c r="O481" s="6" t="str">
        <x:v>0</x:v>
      </x:c>
      <x:c r="P481" s="6" t="str">
        <x:v>3</x:v>
      </x:c>
      <x:c r="Q481" s="6" t="str">
        <x:v>1.0</x:v>
      </x:c>
      <x:c r="R481" s="6" t="str">
        <x:v>1</x:v>
      </x:c>
      <x:c r="S481" s="6" t="str"/>
      <x:c r="T481" s="6" t="str">
        <x:v>0</x:v>
      </x:c>
      <x:c r="U481" s="6" t="str"/>
      <x:c r="V481" s="6" t="str">
        <x:v>0</x:v>
      </x:c>
      <x:c r="W481" s="6" t="str">
        <x:v>0.0</x:v>
      </x:c>
      <x:c r="X481" s="6" t="str">
        <x:v>3</x:v>
      </x:c>
      <x:c r="Y481" s="6" t="str">
        <x:v>506.0</x:v>
      </x:c>
      <x:c r="Z481" s="6" t="str">
        <x:v>3</x:v>
      </x:c>
      <x:c r="AA481" s="6" t="str">
        <x:v>0.0</x:v>
      </x:c>
      <x:c r="AB481" s="6" t="str">
        <x:v>3</x:v>
      </x:c>
      <x:c r="AC481" s="6" t="str">
        <x:v>2025-12</x:v>
      </x:c>
      <x:c r="AD481" s="9" t="str">
        <x:v>BNPB operational disaster search table</x:v>
      </x:c>
      <x:c r="AE481" s="9" t="str">
        <x:v>https://gis.bnpb.go.id/databencana/tabel/pencarian.php</x:v>
      </x:c>
      <x:c r="AF481" s="9" t="str">
        <x:v>operational_snapshot_annual_totals_may_differ</x:v>
      </x:c>
    </x:row>
    <x:row r="482" ht="18" customHeight="1">
      <x:c r="A482" s="6" t="str">
        <x:v>62</x:v>
      </x:c>
      <x:c r="B482" s="6" t="str">
        <x:v>KALIMANTAN TENGAH</x:v>
      </x:c>
      <x:c r="C482" s="6" t="str">
        <x:v>2024</x:v>
      </x:c>
      <x:c r="D482" s="6" t="str">
        <x:v>1</x:v>
      </x:c>
      <x:c r="E482" s="6" t="str">
        <x:v>6</x:v>
      </x:c>
      <x:c r="F482" s="6" t="str">
        <x:v>6</x:v>
      </x:c>
      <x:c r="G482" s="6" t="str">
        <x:v>6</x:v>
      </x:c>
      <x:c r="H482" s="6" t="str">
        <x:v>0</x:v>
      </x:c>
      <x:c r="I482" s="6" t="str">
        <x:v>0</x:v>
      </x:c>
      <x:c r="J482" s="6" t="str">
        <x:v>0</x:v>
      </x:c>
      <x:c r="K482" s="6" t="str">
        <x:v>0</x:v>
      </x:c>
      <x:c r="L482" s="6" t="str">
        <x:v>0</x:v>
      </x:c>
      <x:c r="M482" s="6" t="str">
        <x:v>0</x:v>
      </x:c>
      <x:c r="N482" s="6" t="str">
        <x:v>0</x:v>
      </x:c>
      <x:c r="O482" s="6" t="str">
        <x:v>0</x:v>
      </x:c>
      <x:c r="P482" s="6" t="str">
        <x:v>6</x:v>
      </x:c>
      <x:c r="Q482" s="6" t="str">
        <x:v>0.0</x:v>
      </x:c>
      <x:c r="R482" s="6" t="str">
        <x:v>6</x:v>
      </x:c>
      <x:c r="S482" s="6" t="str">
        <x:v>0.0</x:v>
      </x:c>
      <x:c r="T482" s="6" t="str">
        <x:v>6</x:v>
      </x:c>
      <x:c r="U482" s="6" t="str">
        <x:v>0.0</x:v>
      </x:c>
      <x:c r="V482" s="6" t="str">
        <x:v>6</x:v>
      </x:c>
      <x:c r="W482" s="6" t="str">
        <x:v>0.0</x:v>
      </x:c>
      <x:c r="X482" s="6" t="str">
        <x:v>6</x:v>
      </x:c>
      <x:c r="Y482" s="6" t="str">
        <x:v>27384.0</x:v>
      </x:c>
      <x:c r="Z482" s="6" t="str">
        <x:v>6</x:v>
      </x:c>
      <x:c r="AA482" s="6" t="str">
        <x:v>0.0</x:v>
      </x:c>
      <x:c r="AB482" s="6" t="str">
        <x:v>6</x:v>
      </x:c>
      <x:c r="AC482" s="6" t="str">
        <x:v>2024-01</x:v>
      </x:c>
      <x:c r="AD482" s="9" t="str">
        <x:v>BNPB operational disaster search table</x:v>
      </x:c>
      <x:c r="AE482" s="9" t="str">
        <x:v>https://gis.bnpb.go.id/databencana/tabel/pencarian.php</x:v>
      </x:c>
      <x:c r="AF482" s="9" t="str">
        <x:v>operational_snapshot_annual_totals_may_differ</x:v>
      </x:c>
    </x:row>
    <x:row r="483" ht="18" customHeight="1">
      <x:c r="A483" s="6" t="str">
        <x:v>62</x:v>
      </x:c>
      <x:c r="B483" s="6" t="str">
        <x:v>KALIMANTAN TENGAH</x:v>
      </x:c>
      <x:c r="C483" s="6" t="str">
        <x:v>2024</x:v>
      </x:c>
      <x:c r="D483" s="6" t="str">
        <x:v>2</x:v>
      </x:c>
      <x:c r="E483" s="6" t="str">
        <x:v>11</x:v>
      </x:c>
      <x:c r="F483" s="6" t="str">
        <x:v>11</x:v>
      </x:c>
      <x:c r="G483" s="6" t="str">
        <x:v>3</x:v>
      </x:c>
      <x:c r="H483" s="6" t="str">
        <x:v>0</x:v>
      </x:c>
      <x:c r="I483" s="6" t="str">
        <x:v>0</x:v>
      </x:c>
      <x:c r="J483" s="6" t="str">
        <x:v>0</x:v>
      </x:c>
      <x:c r="K483" s="6" t="str">
        <x:v>8</x:v>
      </x:c>
      <x:c r="L483" s="6" t="str">
        <x:v>0</x:v>
      </x:c>
      <x:c r="M483" s="6" t="str">
        <x:v>0</x:v>
      </x:c>
      <x:c r="N483" s="6" t="str">
        <x:v>0</x:v>
      </x:c>
      <x:c r="O483" s="6" t="str">
        <x:v>0</x:v>
      </x:c>
      <x:c r="P483" s="6" t="str">
        <x:v>11</x:v>
      </x:c>
      <x:c r="Q483" s="6" t="str">
        <x:v>0.0</x:v>
      </x:c>
      <x:c r="R483" s="6" t="str">
        <x:v>11</x:v>
      </x:c>
      <x:c r="S483" s="6" t="str">
        <x:v>0.0</x:v>
      </x:c>
      <x:c r="T483" s="6" t="str">
        <x:v>11</x:v>
      </x:c>
      <x:c r="U483" s="6" t="str">
        <x:v>0.0</x:v>
      </x:c>
      <x:c r="V483" s="6" t="str">
        <x:v>11</x:v>
      </x:c>
      <x:c r="W483" s="6" t="str">
        <x:v>0.0</x:v>
      </x:c>
      <x:c r="X483" s="6" t="str">
        <x:v>11</x:v>
      </x:c>
      <x:c r="Y483" s="6" t="str">
        <x:v>4213.0</x:v>
      </x:c>
      <x:c r="Z483" s="6" t="str">
        <x:v>3</x:v>
      </x:c>
      <x:c r="AA483" s="6" t="str">
        <x:v>0.0</x:v>
      </x:c>
      <x:c r="AB483" s="6" t="str">
        <x:v>11</x:v>
      </x:c>
      <x:c r="AC483" s="6" t="str">
        <x:v>2024-02</x:v>
      </x:c>
      <x:c r="AD483" s="9" t="str">
        <x:v>BNPB operational disaster search table</x:v>
      </x:c>
      <x:c r="AE483" s="9" t="str">
        <x:v>https://gis.bnpb.go.id/databencana/tabel/pencarian.php</x:v>
      </x:c>
      <x:c r="AF483" s="9" t="str">
        <x:v>operational_snapshot_annual_totals_may_differ</x:v>
      </x:c>
    </x:row>
    <x:row r="484" ht="18" customHeight="1">
      <x:c r="A484" s="6" t="str">
        <x:v>62</x:v>
      </x:c>
      <x:c r="B484" s="6" t="str">
        <x:v>KALIMANTAN TENGAH</x:v>
      </x:c>
      <x:c r="C484" s="6" t="str">
        <x:v>2024</x:v>
      </x:c>
      <x:c r="D484" s="6" t="str">
        <x:v>3</x:v>
      </x:c>
      <x:c r="E484" s="6" t="str">
        <x:v>4</x:v>
      </x:c>
      <x:c r="F484" s="6" t="str">
        <x:v>4</x:v>
      </x:c>
      <x:c r="G484" s="6" t="str">
        <x:v>4</x:v>
      </x:c>
      <x:c r="H484" s="6" t="str">
        <x:v>0</x:v>
      </x:c>
      <x:c r="I484" s="6" t="str">
        <x:v>0</x:v>
      </x:c>
      <x:c r="J484" s="6" t="str">
        <x:v>0</x:v>
      </x:c>
      <x:c r="K484" s="6" t="str">
        <x:v>0</x:v>
      </x:c>
      <x:c r="L484" s="6" t="str">
        <x:v>0</x:v>
      </x:c>
      <x:c r="M484" s="6" t="str">
        <x:v>0</x:v>
      </x:c>
      <x:c r="N484" s="6" t="str">
        <x:v>0</x:v>
      </x:c>
      <x:c r="O484" s="6" t="str">
        <x:v>0</x:v>
      </x:c>
      <x:c r="P484" s="6" t="str">
        <x:v>4</x:v>
      </x:c>
      <x:c r="Q484" s="6" t="str">
        <x:v>4.0</x:v>
      </x:c>
      <x:c r="R484" s="6" t="str">
        <x:v>4</x:v>
      </x:c>
      <x:c r="S484" s="6" t="str">
        <x:v>1.0</x:v>
      </x:c>
      <x:c r="T484" s="6" t="str">
        <x:v>4</x:v>
      </x:c>
      <x:c r="U484" s="6" t="str">
        <x:v>0.0</x:v>
      </x:c>
      <x:c r="V484" s="6" t="str">
        <x:v>4</x:v>
      </x:c>
      <x:c r="W484" s="6" t="str">
        <x:v>0.0</x:v>
      </x:c>
      <x:c r="X484" s="6" t="str">
        <x:v>4</x:v>
      </x:c>
      <x:c r="Y484" s="6" t="str">
        <x:v>6556.0</x:v>
      </x:c>
      <x:c r="Z484" s="6" t="str">
        <x:v>4</x:v>
      </x:c>
      <x:c r="AA484" s="6" t="str">
        <x:v>0.0</x:v>
      </x:c>
      <x:c r="AB484" s="6" t="str">
        <x:v>4</x:v>
      </x:c>
      <x:c r="AC484" s="6" t="str">
        <x:v>2024-03</x:v>
      </x:c>
      <x:c r="AD484" s="9" t="str">
        <x:v>BNPB operational disaster search table</x:v>
      </x:c>
      <x:c r="AE484" s="9" t="str">
        <x:v>https://gis.bnpb.go.id/databencana/tabel/pencarian.php</x:v>
      </x:c>
      <x:c r="AF484" s="9" t="str">
        <x:v>operational_snapshot_annual_totals_may_differ</x:v>
      </x:c>
    </x:row>
    <x:row r="485" ht="18" customHeight="1">
      <x:c r="A485" s="6" t="str">
        <x:v>62</x:v>
      </x:c>
      <x:c r="B485" s="6" t="str">
        <x:v>KALIMANTAN TENGAH</x:v>
      </x:c>
      <x:c r="C485" s="6" t="str">
        <x:v>2024</x:v>
      </x:c>
      <x:c r="D485" s="6" t="str">
        <x:v>4</x:v>
      </x:c>
      <x:c r="E485" s="6" t="str">
        <x:v>3</x:v>
      </x:c>
      <x:c r="F485" s="6" t="str">
        <x:v>3</x:v>
      </x:c>
      <x:c r="G485" s="6" t="str">
        <x:v>3</x:v>
      </x:c>
      <x:c r="H485" s="6" t="str">
        <x:v>0</x:v>
      </x:c>
      <x:c r="I485" s="6" t="str">
        <x:v>0</x:v>
      </x:c>
      <x:c r="J485" s="6" t="str">
        <x:v>0</x:v>
      </x:c>
      <x:c r="K485" s="6" t="str">
        <x:v>0</x:v>
      </x:c>
      <x:c r="L485" s="6" t="str">
        <x:v>0</x:v>
      </x:c>
      <x:c r="M485" s="6" t="str">
        <x:v>0</x:v>
      </x:c>
      <x:c r="N485" s="6" t="str">
        <x:v>0</x:v>
      </x:c>
      <x:c r="O485" s="6" t="str">
        <x:v>0</x:v>
      </x:c>
      <x:c r="P485" s="6" t="str">
        <x:v>3</x:v>
      </x:c>
      <x:c r="Q485" s="6" t="str">
        <x:v>0.0</x:v>
      </x:c>
      <x:c r="R485" s="6" t="str">
        <x:v>3</x:v>
      </x:c>
      <x:c r="S485" s="6" t="str">
        <x:v>0.0</x:v>
      </x:c>
      <x:c r="T485" s="6" t="str">
        <x:v>3</x:v>
      </x:c>
      <x:c r="U485" s="6" t="str">
        <x:v>0.0</x:v>
      </x:c>
      <x:c r="V485" s="6" t="str">
        <x:v>3</x:v>
      </x:c>
      <x:c r="W485" s="6" t="str">
        <x:v>0.0</x:v>
      </x:c>
      <x:c r="X485" s="6" t="str">
        <x:v>3</x:v>
      </x:c>
      <x:c r="Y485" s="6" t="str">
        <x:v>606.0</x:v>
      </x:c>
      <x:c r="Z485" s="6" t="str">
        <x:v>3</x:v>
      </x:c>
      <x:c r="AA485" s="6" t="str">
        <x:v>0.0</x:v>
      </x:c>
      <x:c r="AB485" s="6" t="str">
        <x:v>3</x:v>
      </x:c>
      <x:c r="AC485" s="6" t="str">
        <x:v>2024-04</x:v>
      </x:c>
      <x:c r="AD485" s="9" t="str">
        <x:v>BNPB operational disaster search table</x:v>
      </x:c>
      <x:c r="AE485" s="9" t="str">
        <x:v>https://gis.bnpb.go.id/databencana/tabel/pencarian.php</x:v>
      </x:c>
      <x:c r="AF485" s="9" t="str">
        <x:v>operational_snapshot_annual_totals_may_differ</x:v>
      </x:c>
    </x:row>
    <x:row r="486" ht="18" customHeight="1">
      <x:c r="A486" s="6" t="str">
        <x:v>62</x:v>
      </x:c>
      <x:c r="B486" s="6" t="str">
        <x:v>KALIMANTAN TENGAH</x:v>
      </x:c>
      <x:c r="C486" s="6" t="str">
        <x:v>2024</x:v>
      </x:c>
      <x:c r="D486" s="6" t="str">
        <x:v>5</x:v>
      </x:c>
      <x:c r="E486" s="6" t="str">
        <x:v>4</x:v>
      </x:c>
      <x:c r="F486" s="6" t="str">
        <x:v>4</x:v>
      </x:c>
      <x:c r="G486" s="6" t="str">
        <x:v>4</x:v>
      </x:c>
      <x:c r="H486" s="6" t="str">
        <x:v>0</x:v>
      </x:c>
      <x:c r="I486" s="6" t="str">
        <x:v>0</x:v>
      </x:c>
      <x:c r="J486" s="6" t="str">
        <x:v>0</x:v>
      </x:c>
      <x:c r="K486" s="6" t="str">
        <x:v>0</x:v>
      </x:c>
      <x:c r="L486" s="6" t="str">
        <x:v>0</x:v>
      </x:c>
      <x:c r="M486" s="6" t="str">
        <x:v>0</x:v>
      </x:c>
      <x:c r="N486" s="6" t="str">
        <x:v>0</x:v>
      </x:c>
      <x:c r="O486" s="6" t="str">
        <x:v>0</x:v>
      </x:c>
      <x:c r="P486" s="6" t="str">
        <x:v>4</x:v>
      </x:c>
      <x:c r="Q486" s="6" t="str">
        <x:v>0.0</x:v>
      </x:c>
      <x:c r="R486" s="6" t="str">
        <x:v>4</x:v>
      </x:c>
      <x:c r="S486" s="6" t="str">
        <x:v>0.0</x:v>
      </x:c>
      <x:c r="T486" s="6" t="str">
        <x:v>4</x:v>
      </x:c>
      <x:c r="U486" s="6" t="str">
        <x:v>0.0</x:v>
      </x:c>
      <x:c r="V486" s="6" t="str">
        <x:v>4</x:v>
      </x:c>
      <x:c r="W486" s="6" t="str">
        <x:v>0.0</x:v>
      </x:c>
      <x:c r="X486" s="6" t="str">
        <x:v>4</x:v>
      </x:c>
      <x:c r="Y486" s="6" t="str">
        <x:v>4323.0</x:v>
      </x:c>
      <x:c r="Z486" s="6" t="str">
        <x:v>4</x:v>
      </x:c>
      <x:c r="AA486" s="6" t="str">
        <x:v>3.0</x:v>
      </x:c>
      <x:c r="AB486" s="6" t="str">
        <x:v>4</x:v>
      </x:c>
      <x:c r="AC486" s="6" t="str">
        <x:v>2024-05</x:v>
      </x:c>
      <x:c r="AD486" s="9" t="str">
        <x:v>BNPB operational disaster search table</x:v>
      </x:c>
      <x:c r="AE486" s="9" t="str">
        <x:v>https://gis.bnpb.go.id/databencana/tabel/pencarian.php</x:v>
      </x:c>
      <x:c r="AF486" s="9" t="str">
        <x:v>operational_snapshot_annual_totals_may_differ</x:v>
      </x:c>
    </x:row>
    <x:row r="487" ht="18" customHeight="1">
      <x:c r="A487" s="6" t="str">
        <x:v>62</x:v>
      </x:c>
      <x:c r="B487" s="6" t="str">
        <x:v>KALIMANTAN TENGAH</x:v>
      </x:c>
      <x:c r="C487" s="6" t="str">
        <x:v>2024</x:v>
      </x:c>
      <x:c r="D487" s="6" t="str">
        <x:v>6</x:v>
      </x:c>
      <x:c r="E487" s="6" t="str">
        <x:v>2</x:v>
      </x:c>
      <x:c r="F487" s="6" t="str">
        <x:v>2</x:v>
      </x:c>
      <x:c r="G487" s="6" t="str">
        <x:v>0</x:v>
      </x:c>
      <x:c r="H487" s="6" t="str">
        <x:v>0</x:v>
      </x:c>
      <x:c r="I487" s="6" t="str">
        <x:v>0</x:v>
      </x:c>
      <x:c r="J487" s="6" t="str">
        <x:v>0</x:v>
      </x:c>
      <x:c r="K487" s="6" t="str">
        <x:v>2</x:v>
      </x:c>
      <x:c r="L487" s="6" t="str">
        <x:v>0</x:v>
      </x:c>
      <x:c r="M487" s="6" t="str">
        <x:v>0</x:v>
      </x:c>
      <x:c r="N487" s="6" t="str">
        <x:v>0</x:v>
      </x:c>
      <x:c r="O487" s="6" t="str">
        <x:v>0</x:v>
      </x:c>
      <x:c r="P487" s="6" t="str">
        <x:v>2</x:v>
      </x:c>
      <x:c r="Q487" s="6" t="str">
        <x:v>0.0</x:v>
      </x:c>
      <x:c r="R487" s="6" t="str">
        <x:v>2</x:v>
      </x:c>
      <x:c r="S487" s="6" t="str">
        <x:v>0.0</x:v>
      </x:c>
      <x:c r="T487" s="6" t="str">
        <x:v>2</x:v>
      </x:c>
      <x:c r="U487" s="6" t="str">
        <x:v>0.0</x:v>
      </x:c>
      <x:c r="V487" s="6" t="str">
        <x:v>2</x:v>
      </x:c>
      <x:c r="W487" s="6" t="str">
        <x:v>0.0</x:v>
      </x:c>
      <x:c r="X487" s="6" t="str">
        <x:v>2</x:v>
      </x:c>
      <x:c r="Y487" s="6" t="str"/>
      <x:c r="Z487" s="6" t="str">
        <x:v>0</x:v>
      </x:c>
      <x:c r="AA487" s="6" t="str">
        <x:v>0.0</x:v>
      </x:c>
      <x:c r="AB487" s="6" t="str">
        <x:v>2</x:v>
      </x:c>
      <x:c r="AC487" s="6" t="str">
        <x:v>2024-06</x:v>
      </x:c>
      <x:c r="AD487" s="9" t="str">
        <x:v>BNPB operational disaster search table</x:v>
      </x:c>
      <x:c r="AE487" s="9" t="str">
        <x:v>https://gis.bnpb.go.id/databencana/tabel/pencarian.php</x:v>
      </x:c>
      <x:c r="AF487" s="9" t="str">
        <x:v>operational_snapshot_annual_totals_may_differ</x:v>
      </x:c>
    </x:row>
    <x:row r="488" ht="18" customHeight="1">
      <x:c r="A488" s="6" t="str">
        <x:v>62</x:v>
      </x:c>
      <x:c r="B488" s="6" t="str">
        <x:v>KALIMANTAN TENGAH</x:v>
      </x:c>
      <x:c r="C488" s="6" t="str">
        <x:v>2024</x:v>
      </x:c>
      <x:c r="D488" s="6" t="str">
        <x:v>7</x:v>
      </x:c>
      <x:c r="E488" s="6" t="str">
        <x:v>6</x:v>
      </x:c>
      <x:c r="F488" s="6" t="str">
        <x:v>6</x:v>
      </x:c>
      <x:c r="G488" s="6" t="str">
        <x:v>1</x:v>
      </x:c>
      <x:c r="H488" s="6" t="str">
        <x:v>0</x:v>
      </x:c>
      <x:c r="I488" s="6" t="str">
        <x:v>0</x:v>
      </x:c>
      <x:c r="J488" s="6" t="str">
        <x:v>0</x:v>
      </x:c>
      <x:c r="K488" s="6" t="str">
        <x:v>5</x:v>
      </x:c>
      <x:c r="L488" s="6" t="str">
        <x:v>0</x:v>
      </x:c>
      <x:c r="M488" s="6" t="str">
        <x:v>0</x:v>
      </x:c>
      <x:c r="N488" s="6" t="str">
        <x:v>0</x:v>
      </x:c>
      <x:c r="O488" s="6" t="str">
        <x:v>0</x:v>
      </x:c>
      <x:c r="P488" s="6" t="str">
        <x:v>6</x:v>
      </x:c>
      <x:c r="Q488" s="6" t="str">
        <x:v>0.0</x:v>
      </x:c>
      <x:c r="R488" s="6" t="str">
        <x:v>5</x:v>
      </x:c>
      <x:c r="S488" s="6" t="str">
        <x:v>0.0</x:v>
      </x:c>
      <x:c r="T488" s="6" t="str">
        <x:v>5</x:v>
      </x:c>
      <x:c r="U488" s="6" t="str">
        <x:v>0.0</x:v>
      </x:c>
      <x:c r="V488" s="6" t="str">
        <x:v>5</x:v>
      </x:c>
      <x:c r="W488" s="6" t="str">
        <x:v>0.0</x:v>
      </x:c>
      <x:c r="X488" s="6" t="str">
        <x:v>6</x:v>
      </x:c>
      <x:c r="Y488" s="6" t="str">
        <x:v>129.0</x:v>
      </x:c>
      <x:c r="Z488" s="6" t="str">
        <x:v>1</x:v>
      </x:c>
      <x:c r="AA488" s="6" t="str">
        <x:v>0.0</x:v>
      </x:c>
      <x:c r="AB488" s="6" t="str">
        <x:v>6</x:v>
      </x:c>
      <x:c r="AC488" s="6" t="str">
        <x:v>2024-07</x:v>
      </x:c>
      <x:c r="AD488" s="9" t="str">
        <x:v>BNPB operational disaster search table</x:v>
      </x:c>
      <x:c r="AE488" s="9" t="str">
        <x:v>https://gis.bnpb.go.id/databencana/tabel/pencarian.php</x:v>
      </x:c>
      <x:c r="AF488" s="9" t="str">
        <x:v>operational_snapshot_annual_totals_may_differ</x:v>
      </x:c>
    </x:row>
    <x:row r="489" ht="18" customHeight="1">
      <x:c r="A489" s="6" t="str">
        <x:v>62</x:v>
      </x:c>
      <x:c r="B489" s="6" t="str">
        <x:v>KALIMANTAN TENGAH</x:v>
      </x:c>
      <x:c r="C489" s="6" t="str">
        <x:v>2024</x:v>
      </x:c>
      <x:c r="D489" s="6" t="str">
        <x:v>8</x:v>
      </x:c>
      <x:c r="E489" s="6" t="str">
        <x:v>2</x:v>
      </x:c>
      <x:c r="F489" s="6" t="str">
        <x:v>2</x:v>
      </x:c>
      <x:c r="G489" s="6" t="str">
        <x:v>2</x:v>
      </x:c>
      <x:c r="H489" s="6" t="str">
        <x:v>0</x:v>
      </x:c>
      <x:c r="I489" s="6" t="str">
        <x:v>0</x:v>
      </x:c>
      <x:c r="J489" s="6" t="str">
        <x:v>0</x:v>
      </x:c>
      <x:c r="K489" s="6" t="str">
        <x:v>0</x:v>
      </x:c>
      <x:c r="L489" s="6" t="str">
        <x:v>0</x:v>
      </x:c>
      <x:c r="M489" s="6" t="str">
        <x:v>0</x:v>
      </x:c>
      <x:c r="N489" s="6" t="str">
        <x:v>0</x:v>
      </x:c>
      <x:c r="O489" s="6" t="str">
        <x:v>0</x:v>
      </x:c>
      <x:c r="P489" s="6" t="str">
        <x:v>2</x:v>
      </x:c>
      <x:c r="Q489" s="6" t="str">
        <x:v>0.0</x:v>
      </x:c>
      <x:c r="R489" s="6" t="str">
        <x:v>2</x:v>
      </x:c>
      <x:c r="S489" s="6" t="str">
        <x:v>0.0</x:v>
      </x:c>
      <x:c r="T489" s="6" t="str">
        <x:v>2</x:v>
      </x:c>
      <x:c r="U489" s="6" t="str">
        <x:v>0.0</x:v>
      </x:c>
      <x:c r="V489" s="6" t="str">
        <x:v>2</x:v>
      </x:c>
      <x:c r="W489" s="6" t="str">
        <x:v>0.0</x:v>
      </x:c>
      <x:c r="X489" s="6" t="str">
        <x:v>2</x:v>
      </x:c>
      <x:c r="Y489" s="6" t="str">
        <x:v>110.0</x:v>
      </x:c>
      <x:c r="Z489" s="6" t="str">
        <x:v>2</x:v>
      </x:c>
      <x:c r="AA489" s="6" t="str">
        <x:v>0.0</x:v>
      </x:c>
      <x:c r="AB489" s="6" t="str">
        <x:v>2</x:v>
      </x:c>
      <x:c r="AC489" s="6" t="str">
        <x:v>2024-08</x:v>
      </x:c>
      <x:c r="AD489" s="9" t="str">
        <x:v>BNPB operational disaster search table</x:v>
      </x:c>
      <x:c r="AE489" s="9" t="str">
        <x:v>https://gis.bnpb.go.id/databencana/tabel/pencarian.php</x:v>
      </x:c>
      <x:c r="AF489" s="9" t="str">
        <x:v>operational_snapshot_annual_totals_may_differ</x:v>
      </x:c>
    </x:row>
    <x:row r="490" ht="18" customHeight="1">
      <x:c r="A490" s="6" t="str">
        <x:v>62</x:v>
      </x:c>
      <x:c r="B490" s="6" t="str">
        <x:v>KALIMANTAN TENGAH</x:v>
      </x:c>
      <x:c r="C490" s="6" t="str">
        <x:v>2024</x:v>
      </x:c>
      <x:c r="D490" s="6" t="str">
        <x:v>9</x:v>
      </x:c>
      <x:c r="E490" s="6" t="str">
        <x:v>3</x:v>
      </x:c>
      <x:c r="F490" s="6" t="str">
        <x:v>3</x:v>
      </x:c>
      <x:c r="G490" s="6" t="str">
        <x:v>1</x:v>
      </x:c>
      <x:c r="H490" s="6" t="str">
        <x:v>0</x:v>
      </x:c>
      <x:c r="I490" s="6" t="str">
        <x:v>0</x:v>
      </x:c>
      <x:c r="J490" s="6" t="str">
        <x:v>0</x:v>
      </x:c>
      <x:c r="K490" s="6" t="str">
        <x:v>2</x:v>
      </x:c>
      <x:c r="L490" s="6" t="str">
        <x:v>0</x:v>
      </x:c>
      <x:c r="M490" s="6" t="str">
        <x:v>0</x:v>
      </x:c>
      <x:c r="N490" s="6" t="str">
        <x:v>0</x:v>
      </x:c>
      <x:c r="O490" s="6" t="str">
        <x:v>0</x:v>
      </x:c>
      <x:c r="P490" s="6" t="str">
        <x:v>3</x:v>
      </x:c>
      <x:c r="Q490" s="6" t="str">
        <x:v>0.0</x:v>
      </x:c>
      <x:c r="R490" s="6" t="str">
        <x:v>3</x:v>
      </x:c>
      <x:c r="S490" s="6" t="str">
        <x:v>0.0</x:v>
      </x:c>
      <x:c r="T490" s="6" t="str">
        <x:v>3</x:v>
      </x:c>
      <x:c r="U490" s="6" t="str">
        <x:v>0.0</x:v>
      </x:c>
      <x:c r="V490" s="6" t="str">
        <x:v>3</x:v>
      </x:c>
      <x:c r="W490" s="6" t="str">
        <x:v>0.0</x:v>
      </x:c>
      <x:c r="X490" s="6" t="str">
        <x:v>3</x:v>
      </x:c>
      <x:c r="Y490" s="6" t="str">
        <x:v>242.0</x:v>
      </x:c>
      <x:c r="Z490" s="6" t="str">
        <x:v>1</x:v>
      </x:c>
      <x:c r="AA490" s="6" t="str">
        <x:v>0.0</x:v>
      </x:c>
      <x:c r="AB490" s="6" t="str">
        <x:v>3</x:v>
      </x:c>
      <x:c r="AC490" s="6" t="str">
        <x:v>2024-09</x:v>
      </x:c>
      <x:c r="AD490" s="9" t="str">
        <x:v>BNPB operational disaster search table</x:v>
      </x:c>
      <x:c r="AE490" s="9" t="str">
        <x:v>https://gis.bnpb.go.id/databencana/tabel/pencarian.php</x:v>
      </x:c>
      <x:c r="AF490" s="9" t="str">
        <x:v>operational_snapshot_annual_totals_may_differ</x:v>
      </x:c>
    </x:row>
    <x:row r="491" ht="18" customHeight="1">
      <x:c r="A491" s="6" t="str">
        <x:v>62</x:v>
      </x:c>
      <x:c r="B491" s="6" t="str">
        <x:v>KALIMANTAN TENGAH</x:v>
      </x:c>
      <x:c r="C491" s="6" t="str">
        <x:v>2024</x:v>
      </x:c>
      <x:c r="D491" s="6" t="str">
        <x:v>10</x:v>
      </x:c>
      <x:c r="E491" s="6" t="str">
        <x:v>6</x:v>
      </x:c>
      <x:c r="F491" s="6" t="str">
        <x:v>6</x:v>
      </x:c>
      <x:c r="G491" s="6" t="str">
        <x:v>6</x:v>
      </x:c>
      <x:c r="H491" s="6" t="str">
        <x:v>0</x:v>
      </x:c>
      <x:c r="I491" s="6" t="str">
        <x:v>0</x:v>
      </x:c>
      <x:c r="J491" s="6" t="str">
        <x:v>0</x:v>
      </x:c>
      <x:c r="K491" s="6" t="str">
        <x:v>0</x:v>
      </x:c>
      <x:c r="L491" s="6" t="str">
        <x:v>0</x:v>
      </x:c>
      <x:c r="M491" s="6" t="str">
        <x:v>0</x:v>
      </x:c>
      <x:c r="N491" s="6" t="str">
        <x:v>0</x:v>
      </x:c>
      <x:c r="O491" s="6" t="str">
        <x:v>0</x:v>
      </x:c>
      <x:c r="P491" s="6" t="str">
        <x:v>6</x:v>
      </x:c>
      <x:c r="Q491" s="6" t="str">
        <x:v>0.0</x:v>
      </x:c>
      <x:c r="R491" s="6" t="str">
        <x:v>5</x:v>
      </x:c>
      <x:c r="S491" s="6" t="str">
        <x:v>0.0</x:v>
      </x:c>
      <x:c r="T491" s="6" t="str">
        <x:v>5</x:v>
      </x:c>
      <x:c r="U491" s="6" t="str">
        <x:v>0.0</x:v>
      </x:c>
      <x:c r="V491" s="6" t="str">
        <x:v>5</x:v>
      </x:c>
      <x:c r="W491" s="6" t="str">
        <x:v>0.0</x:v>
      </x:c>
      <x:c r="X491" s="6" t="str">
        <x:v>6</x:v>
      </x:c>
      <x:c r="Y491" s="6" t="str">
        <x:v>21760.0</x:v>
      </x:c>
      <x:c r="Z491" s="6" t="str">
        <x:v>6</x:v>
      </x:c>
      <x:c r="AA491" s="6" t="str">
        <x:v>0.0</x:v>
      </x:c>
      <x:c r="AB491" s="6" t="str">
        <x:v>6</x:v>
      </x:c>
      <x:c r="AC491" s="6" t="str">
        <x:v>2024-10</x:v>
      </x:c>
      <x:c r="AD491" s="9" t="str">
        <x:v>BNPB operational disaster search table</x:v>
      </x:c>
      <x:c r="AE491" s="9" t="str">
        <x:v>https://gis.bnpb.go.id/databencana/tabel/pencarian.php</x:v>
      </x:c>
      <x:c r="AF491" s="9" t="str">
        <x:v>operational_snapshot_annual_totals_may_differ</x:v>
      </x:c>
    </x:row>
    <x:row r="492" ht="18" customHeight="1">
      <x:c r="A492" s="6" t="str">
        <x:v>62</x:v>
      </x:c>
      <x:c r="B492" s="6" t="str">
        <x:v>KALIMANTAN TENGAH</x:v>
      </x:c>
      <x:c r="C492" s="6" t="str">
        <x:v>2024</x:v>
      </x:c>
      <x:c r="D492" s="6" t="str">
        <x:v>11</x:v>
      </x:c>
      <x:c r="E492" s="6" t="str">
        <x:v>7</x:v>
      </x:c>
      <x:c r="F492" s="6" t="str">
        <x:v>7</x:v>
      </x:c>
      <x:c r="G492" s="6" t="str">
        <x:v>7</x:v>
      </x:c>
      <x:c r="H492" s="6" t="str">
        <x:v>0</x:v>
      </x:c>
      <x:c r="I492" s="6" t="str">
        <x:v>0</x:v>
      </x:c>
      <x:c r="J492" s="6" t="str">
        <x:v>0</x:v>
      </x:c>
      <x:c r="K492" s="6" t="str">
        <x:v>0</x:v>
      </x:c>
      <x:c r="L492" s="6" t="str">
        <x:v>0</x:v>
      </x:c>
      <x:c r="M492" s="6" t="str">
        <x:v>0</x:v>
      </x:c>
      <x:c r="N492" s="6" t="str">
        <x:v>0</x:v>
      </x:c>
      <x:c r="O492" s="6" t="str">
        <x:v>0</x:v>
      </x:c>
      <x:c r="P492" s="6" t="str">
        <x:v>7</x:v>
      </x:c>
      <x:c r="Q492" s="6" t="str">
        <x:v>0.0</x:v>
      </x:c>
      <x:c r="R492" s="6" t="str">
        <x:v>4</x:v>
      </x:c>
      <x:c r="S492" s="6" t="str">
        <x:v>0.0</x:v>
      </x:c>
      <x:c r="T492" s="6" t="str">
        <x:v>4</x:v>
      </x:c>
      <x:c r="U492" s="6" t="str">
        <x:v>2.0</x:v>
      </x:c>
      <x:c r="V492" s="6" t="str">
        <x:v>4</x:v>
      </x:c>
      <x:c r="W492" s="6" t="str">
        <x:v>0.0</x:v>
      </x:c>
      <x:c r="X492" s="6" t="str">
        <x:v>7</x:v>
      </x:c>
      <x:c r="Y492" s="6" t="str">
        <x:v>4929.0</x:v>
      </x:c>
      <x:c r="Z492" s="6" t="str">
        <x:v>7</x:v>
      </x:c>
      <x:c r="AA492" s="6" t="str">
        <x:v>0.0</x:v>
      </x:c>
      <x:c r="AB492" s="6" t="str">
        <x:v>7</x:v>
      </x:c>
      <x:c r="AC492" s="6" t="str">
        <x:v>2024-11</x:v>
      </x:c>
      <x:c r="AD492" s="9" t="str">
        <x:v>BNPB operational disaster search table</x:v>
      </x:c>
      <x:c r="AE492" s="9" t="str">
        <x:v>https://gis.bnpb.go.id/databencana/tabel/pencarian.php</x:v>
      </x:c>
      <x:c r="AF492" s="9" t="str">
        <x:v>operational_snapshot_annual_totals_may_differ</x:v>
      </x:c>
    </x:row>
    <x:row r="493" ht="18" customHeight="1">
      <x:c r="A493" s="6" t="str">
        <x:v>62</x:v>
      </x:c>
      <x:c r="B493" s="6" t="str">
        <x:v>KALIMANTAN TENGAH</x:v>
      </x:c>
      <x:c r="C493" s="6" t="str">
        <x:v>2024</x:v>
      </x:c>
      <x:c r="D493" s="6" t="str">
        <x:v>12</x:v>
      </x:c>
      <x:c r="E493" s="6" t="str">
        <x:v>2</x:v>
      </x:c>
      <x:c r="F493" s="6" t="str">
        <x:v>2</x:v>
      </x:c>
      <x:c r="G493" s="6" t="str">
        <x:v>2</x:v>
      </x:c>
      <x:c r="H493" s="6" t="str">
        <x:v>0</x:v>
      </x:c>
      <x:c r="I493" s="6" t="str">
        <x:v>0</x:v>
      </x:c>
      <x:c r="J493" s="6" t="str">
        <x:v>0</x:v>
      </x:c>
      <x:c r="K493" s="6" t="str">
        <x:v>0</x:v>
      </x:c>
      <x:c r="L493" s="6" t="str">
        <x:v>0</x:v>
      </x:c>
      <x:c r="M493" s="6" t="str">
        <x:v>0</x:v>
      </x:c>
      <x:c r="N493" s="6" t="str">
        <x:v>0</x:v>
      </x:c>
      <x:c r="O493" s="6" t="str">
        <x:v>0</x:v>
      </x:c>
      <x:c r="P493" s="6" t="str">
        <x:v>2</x:v>
      </x:c>
      <x:c r="Q493" s="6" t="str">
        <x:v>0.0</x:v>
      </x:c>
      <x:c r="R493" s="6" t="str">
        <x:v>2</x:v>
      </x:c>
      <x:c r="S493" s="6" t="str">
        <x:v>0.0</x:v>
      </x:c>
      <x:c r="T493" s="6" t="str">
        <x:v>2</x:v>
      </x:c>
      <x:c r="U493" s="6" t="str">
        <x:v>0.0</x:v>
      </x:c>
      <x:c r="V493" s="6" t="str">
        <x:v>2</x:v>
      </x:c>
      <x:c r="W493" s="6" t="str">
        <x:v>0.0</x:v>
      </x:c>
      <x:c r="X493" s="6" t="str">
        <x:v>2</x:v>
      </x:c>
      <x:c r="Y493" s="6" t="str">
        <x:v>400.0</x:v>
      </x:c>
      <x:c r="Z493" s="6" t="str">
        <x:v>2</x:v>
      </x:c>
      <x:c r="AA493" s="6" t="str">
        <x:v>1.0</x:v>
      </x:c>
      <x:c r="AB493" s="6" t="str">
        <x:v>2</x:v>
      </x:c>
      <x:c r="AC493" s="6" t="str">
        <x:v>2024-12</x:v>
      </x:c>
      <x:c r="AD493" s="9" t="str">
        <x:v>BNPB operational disaster search table</x:v>
      </x:c>
      <x:c r="AE493" s="9" t="str">
        <x:v>https://gis.bnpb.go.id/databencana/tabel/pencarian.php</x:v>
      </x:c>
      <x:c r="AF493" s="9" t="str">
        <x:v>operational_snapshot_annual_totals_may_differ</x:v>
      </x:c>
    </x:row>
    <x:row r="494" ht="18" customHeight="1">
      <x:c r="A494" s="6" t="str">
        <x:v>62</x:v>
      </x:c>
      <x:c r="B494" s="6" t="str">
        <x:v>KALIMANTAN TENGAH</x:v>
      </x:c>
      <x:c r="C494" s="6" t="str">
        <x:v>2025</x:v>
      </x:c>
      <x:c r="D494" s="6" t="str">
        <x:v>1</x:v>
      </x:c>
      <x:c r="E494" s="6" t="str">
        <x:v>8</x:v>
      </x:c>
      <x:c r="F494" s="6" t="str">
        <x:v>8</x:v>
      </x:c>
      <x:c r="G494" s="6" t="str">
        <x:v>7</x:v>
      </x:c>
      <x:c r="H494" s="6" t="str">
        <x:v>0</x:v>
      </x:c>
      <x:c r="I494" s="6" t="str">
        <x:v>0</x:v>
      </x:c>
      <x:c r="J494" s="6" t="str">
        <x:v>0</x:v>
      </x:c>
      <x:c r="K494" s="6" t="str">
        <x:v>1</x:v>
      </x:c>
      <x:c r="L494" s="6" t="str">
        <x:v>0</x:v>
      </x:c>
      <x:c r="M494" s="6" t="str">
        <x:v>0</x:v>
      </x:c>
      <x:c r="N494" s="6" t="str">
        <x:v>0</x:v>
      </x:c>
      <x:c r="O494" s="6" t="str">
        <x:v>0</x:v>
      </x:c>
      <x:c r="P494" s="6" t="str">
        <x:v>8</x:v>
      </x:c>
      <x:c r="Q494" s="6" t="str">
        <x:v>0.0</x:v>
      </x:c>
      <x:c r="R494" s="6" t="str">
        <x:v>8</x:v>
      </x:c>
      <x:c r="S494" s="6" t="str">
        <x:v>0.0</x:v>
      </x:c>
      <x:c r="T494" s="6" t="str">
        <x:v>8</x:v>
      </x:c>
      <x:c r="U494" s="6" t="str">
        <x:v>0.0</x:v>
      </x:c>
      <x:c r="V494" s="6" t="str">
        <x:v>8</x:v>
      </x:c>
      <x:c r="W494" s="6" t="str">
        <x:v>17.0</x:v>
      </x:c>
      <x:c r="X494" s="6" t="str">
        <x:v>8</x:v>
      </x:c>
      <x:c r="Y494" s="6" t="str">
        <x:v>5204.0</x:v>
      </x:c>
      <x:c r="Z494" s="6" t="str">
        <x:v>7</x:v>
      </x:c>
      <x:c r="AA494" s="6" t="str">
        <x:v>2.0</x:v>
      </x:c>
      <x:c r="AB494" s="6" t="str">
        <x:v>8</x:v>
      </x:c>
      <x:c r="AC494" s="6" t="str">
        <x:v>2025-01</x:v>
      </x:c>
      <x:c r="AD494" s="9" t="str">
        <x:v>BNPB operational disaster search table</x:v>
      </x:c>
      <x:c r="AE494" s="9" t="str">
        <x:v>https://gis.bnpb.go.id/databencana/tabel/pencarian.php</x:v>
      </x:c>
      <x:c r="AF494" s="9" t="str">
        <x:v>operational_snapshot_annual_totals_may_differ</x:v>
      </x:c>
    </x:row>
    <x:row r="495" ht="18" customHeight="1">
      <x:c r="A495" s="6" t="str">
        <x:v>62</x:v>
      </x:c>
      <x:c r="B495" s="6" t="str">
        <x:v>KALIMANTAN TENGAH</x:v>
      </x:c>
      <x:c r="C495" s="6" t="str">
        <x:v>2025</x:v>
      </x:c>
      <x:c r="D495" s="6" t="str">
        <x:v>2</x:v>
      </x:c>
      <x:c r="E495" s="6" t="str">
        <x:v>8</x:v>
      </x:c>
      <x:c r="F495" s="6" t="str">
        <x:v>8</x:v>
      </x:c>
      <x:c r="G495" s="6" t="str">
        <x:v>0</x:v>
      </x:c>
      <x:c r="H495" s="6" t="str">
        <x:v>0</x:v>
      </x:c>
      <x:c r="I495" s="6" t="str">
        <x:v>0</x:v>
      </x:c>
      <x:c r="J495" s="6" t="str">
        <x:v>0</x:v>
      </x:c>
      <x:c r="K495" s="6" t="str">
        <x:v>8</x:v>
      </x:c>
      <x:c r="L495" s="6" t="str">
        <x:v>0</x:v>
      </x:c>
      <x:c r="M495" s="6" t="str">
        <x:v>0</x:v>
      </x:c>
      <x:c r="N495" s="6" t="str">
        <x:v>0</x:v>
      </x:c>
      <x:c r="O495" s="6" t="str">
        <x:v>0</x:v>
      </x:c>
      <x:c r="P495" s="6" t="str">
        <x:v>8</x:v>
      </x:c>
      <x:c r="Q495" s="6" t="str">
        <x:v>0.0</x:v>
      </x:c>
      <x:c r="R495" s="6" t="str">
        <x:v>8</x:v>
      </x:c>
      <x:c r="S495" s="6" t="str">
        <x:v>0.0</x:v>
      </x:c>
      <x:c r="T495" s="6" t="str">
        <x:v>8</x:v>
      </x:c>
      <x:c r="U495" s="6" t="str">
        <x:v>0.0</x:v>
      </x:c>
      <x:c r="V495" s="6" t="str">
        <x:v>8</x:v>
      </x:c>
      <x:c r="W495" s="6" t="str">
        <x:v>0.0</x:v>
      </x:c>
      <x:c r="X495" s="6" t="str">
        <x:v>8</x:v>
      </x:c>
      <x:c r="Y495" s="6" t="str"/>
      <x:c r="Z495" s="6" t="str">
        <x:v>0</x:v>
      </x:c>
      <x:c r="AA495" s="6" t="str">
        <x:v>0.0</x:v>
      </x:c>
      <x:c r="AB495" s="6" t="str">
        <x:v>8</x:v>
      </x:c>
      <x:c r="AC495" s="6" t="str">
        <x:v>2025-02</x:v>
      </x:c>
      <x:c r="AD495" s="9" t="str">
        <x:v>BNPB operational disaster search table</x:v>
      </x:c>
      <x:c r="AE495" s="9" t="str">
        <x:v>https://gis.bnpb.go.id/databencana/tabel/pencarian.php</x:v>
      </x:c>
      <x:c r="AF495" s="9" t="str">
        <x:v>operational_snapshot_annual_totals_may_differ</x:v>
      </x:c>
    </x:row>
    <x:row r="496" ht="18" customHeight="1">
      <x:c r="A496" s="6" t="str">
        <x:v>62</x:v>
      </x:c>
      <x:c r="B496" s="6" t="str">
        <x:v>KALIMANTAN TENGAH</x:v>
      </x:c>
      <x:c r="C496" s="6" t="str">
        <x:v>2025</x:v>
      </x:c>
      <x:c r="D496" s="6" t="str">
        <x:v>3</x:v>
      </x:c>
      <x:c r="E496" s="6" t="str">
        <x:v>14</x:v>
      </x:c>
      <x:c r="F496" s="6" t="str">
        <x:v>14</x:v>
      </x:c>
      <x:c r="G496" s="6" t="str">
        <x:v>12</x:v>
      </x:c>
      <x:c r="H496" s="6" t="str">
        <x:v>0</x:v>
      </x:c>
      <x:c r="I496" s="6" t="str">
        <x:v>1</x:v>
      </x:c>
      <x:c r="J496" s="6" t="str">
        <x:v>0</x:v>
      </x:c>
      <x:c r="K496" s="6" t="str">
        <x:v>1</x:v>
      </x:c>
      <x:c r="L496" s="6" t="str">
        <x:v>0</x:v>
      </x:c>
      <x:c r="M496" s="6" t="str">
        <x:v>0</x:v>
      </x:c>
      <x:c r="N496" s="6" t="str">
        <x:v>0</x:v>
      </x:c>
      <x:c r="O496" s="6" t="str">
        <x:v>0</x:v>
      </x:c>
      <x:c r="P496" s="6" t="str">
        <x:v>14</x:v>
      </x:c>
      <x:c r="Q496" s="6" t="str">
        <x:v>1.0</x:v>
      </x:c>
      <x:c r="R496" s="6" t="str">
        <x:v>14</x:v>
      </x:c>
      <x:c r="S496" s="6" t="str">
        <x:v>0.0</x:v>
      </x:c>
      <x:c r="T496" s="6" t="str">
        <x:v>14</x:v>
      </x:c>
      <x:c r="U496" s="6" t="str">
        <x:v>0.0</x:v>
      </x:c>
      <x:c r="V496" s="6" t="str">
        <x:v>14</x:v>
      </x:c>
      <x:c r="W496" s="6" t="str">
        <x:v>50.0</x:v>
      </x:c>
      <x:c r="X496" s="6" t="str">
        <x:v>14</x:v>
      </x:c>
      <x:c r="Y496" s="6" t="str">
        <x:v>20616.0</x:v>
      </x:c>
      <x:c r="Z496" s="6" t="str">
        <x:v>12</x:v>
      </x:c>
      <x:c r="AA496" s="6" t="str">
        <x:v>8.0</x:v>
      </x:c>
      <x:c r="AB496" s="6" t="str">
        <x:v>14</x:v>
      </x:c>
      <x:c r="AC496" s="6" t="str">
        <x:v>2025-03</x:v>
      </x:c>
      <x:c r="AD496" s="9" t="str">
        <x:v>BNPB operational disaster search table</x:v>
      </x:c>
      <x:c r="AE496" s="9" t="str">
        <x:v>https://gis.bnpb.go.id/databencana/tabel/pencarian.php</x:v>
      </x:c>
      <x:c r="AF496" s="9" t="str">
        <x:v>operational_snapshot_annual_totals_may_differ</x:v>
      </x:c>
    </x:row>
    <x:row r="497" ht="18" customHeight="1">
      <x:c r="A497" s="6" t="str">
        <x:v>62</x:v>
      </x:c>
      <x:c r="B497" s="6" t="str">
        <x:v>KALIMANTAN TENGAH</x:v>
      </x:c>
      <x:c r="C497" s="6" t="str">
        <x:v>2025</x:v>
      </x:c>
      <x:c r="D497" s="6" t="str">
        <x:v>4</x:v>
      </x:c>
      <x:c r="E497" s="6" t="str">
        <x:v>4</x:v>
      </x:c>
      <x:c r="F497" s="6" t="str">
        <x:v>4</x:v>
      </x:c>
      <x:c r="G497" s="6" t="str">
        <x:v>3</x:v>
      </x:c>
      <x:c r="H497" s="6" t="str">
        <x:v>1</x:v>
      </x:c>
      <x:c r="I497" s="6" t="str">
        <x:v>0</x:v>
      </x:c>
      <x:c r="J497" s="6" t="str">
        <x:v>0</x:v>
      </x:c>
      <x:c r="K497" s="6" t="str">
        <x:v>0</x:v>
      </x:c>
      <x:c r="L497" s="6" t="str">
        <x:v>0</x:v>
      </x:c>
      <x:c r="M497" s="6" t="str">
        <x:v>0</x:v>
      </x:c>
      <x:c r="N497" s="6" t="str">
        <x:v>0</x:v>
      </x:c>
      <x:c r="O497" s="6" t="str">
        <x:v>0</x:v>
      </x:c>
      <x:c r="P497" s="6" t="str">
        <x:v>4</x:v>
      </x:c>
      <x:c r="Q497" s="6" t="str">
        <x:v>4.0</x:v>
      </x:c>
      <x:c r="R497" s="6" t="str">
        <x:v>4</x:v>
      </x:c>
      <x:c r="S497" s="6" t="str">
        <x:v>0.0</x:v>
      </x:c>
      <x:c r="T497" s="6" t="str">
        <x:v>4</x:v>
      </x:c>
      <x:c r="U497" s="6" t="str">
        <x:v>0.0</x:v>
      </x:c>
      <x:c r="V497" s="6" t="str">
        <x:v>4</x:v>
      </x:c>
      <x:c r="W497" s="6" t="str">
        <x:v>0.0</x:v>
      </x:c>
      <x:c r="X497" s="6" t="str">
        <x:v>4</x:v>
      </x:c>
      <x:c r="Y497" s="6" t="str">
        <x:v>11715.0</x:v>
      </x:c>
      <x:c r="Z497" s="6" t="str">
        <x:v>3</x:v>
      </x:c>
      <x:c r="AA497" s="6" t="str">
        <x:v>0.0</x:v>
      </x:c>
      <x:c r="AB497" s="6" t="str">
        <x:v>4</x:v>
      </x:c>
      <x:c r="AC497" s="6" t="str">
        <x:v>2025-04</x:v>
      </x:c>
      <x:c r="AD497" s="9" t="str">
        <x:v>BNPB operational disaster search table</x:v>
      </x:c>
      <x:c r="AE497" s="9" t="str">
        <x:v>https://gis.bnpb.go.id/databencana/tabel/pencarian.php</x:v>
      </x:c>
      <x:c r="AF497" s="9" t="str">
        <x:v>operational_snapshot_annual_totals_may_differ</x:v>
      </x:c>
    </x:row>
    <x:row r="498" ht="18" customHeight="1">
      <x:c r="A498" s="6" t="str">
        <x:v>62</x:v>
      </x:c>
      <x:c r="B498" s="6" t="str">
        <x:v>KALIMANTAN TENGAH</x:v>
      </x:c>
      <x:c r="C498" s="6" t="str">
        <x:v>2025</x:v>
      </x:c>
      <x:c r="D498" s="6" t="str">
        <x:v>5</x:v>
      </x:c>
      <x:c r="E498" s="6" t="str">
        <x:v>5</x:v>
      </x:c>
      <x:c r="F498" s="6" t="str">
        <x:v>5</x:v>
      </x:c>
      <x:c r="G498" s="6" t="str">
        <x:v>2</x:v>
      </x:c>
      <x:c r="H498" s="6" t="str">
        <x:v>0</x:v>
      </x:c>
      <x:c r="I498" s="6" t="str">
        <x:v>0</x:v>
      </x:c>
      <x:c r="J498" s="6" t="str">
        <x:v>0</x:v>
      </x:c>
      <x:c r="K498" s="6" t="str">
        <x:v>3</x:v>
      </x:c>
      <x:c r="L498" s="6" t="str">
        <x:v>0</x:v>
      </x:c>
      <x:c r="M498" s="6" t="str">
        <x:v>0</x:v>
      </x:c>
      <x:c r="N498" s="6" t="str">
        <x:v>0</x:v>
      </x:c>
      <x:c r="O498" s="6" t="str">
        <x:v>0</x:v>
      </x:c>
      <x:c r="P498" s="6" t="str">
        <x:v>5</x:v>
      </x:c>
      <x:c r="Q498" s="6" t="str">
        <x:v>0.0</x:v>
      </x:c>
      <x:c r="R498" s="6" t="str">
        <x:v>5</x:v>
      </x:c>
      <x:c r="S498" s="6" t="str">
        <x:v>0.0</x:v>
      </x:c>
      <x:c r="T498" s="6" t="str">
        <x:v>5</x:v>
      </x:c>
      <x:c r="U498" s="6" t="str">
        <x:v>0.0</x:v>
      </x:c>
      <x:c r="V498" s="6" t="str">
        <x:v>5</x:v>
      </x:c>
      <x:c r="W498" s="6" t="str">
        <x:v>0.0</x:v>
      </x:c>
      <x:c r="X498" s="6" t="str">
        <x:v>5</x:v>
      </x:c>
      <x:c r="Y498" s="6" t="str">
        <x:v>255.0</x:v>
      </x:c>
      <x:c r="Z498" s="6" t="str">
        <x:v>2</x:v>
      </x:c>
      <x:c r="AA498" s="6" t="str">
        <x:v>0.0</x:v>
      </x:c>
      <x:c r="AB498" s="6" t="str">
        <x:v>5</x:v>
      </x:c>
      <x:c r="AC498" s="6" t="str">
        <x:v>2025-05</x:v>
      </x:c>
      <x:c r="AD498" s="9" t="str">
        <x:v>BNPB operational disaster search table</x:v>
      </x:c>
      <x:c r="AE498" s="9" t="str">
        <x:v>https://gis.bnpb.go.id/databencana/tabel/pencarian.php</x:v>
      </x:c>
      <x:c r="AF498" s="9" t="str">
        <x:v>operational_snapshot_annual_totals_may_differ</x:v>
      </x:c>
    </x:row>
    <x:row r="499" ht="18" customHeight="1">
      <x:c r="A499" s="6" t="str">
        <x:v>62</x:v>
      </x:c>
      <x:c r="B499" s="6" t="str">
        <x:v>KALIMANTAN TENGAH</x:v>
      </x:c>
      <x:c r="C499" s="6" t="str">
        <x:v>2025</x:v>
      </x:c>
      <x:c r="D499" s="6" t="str">
        <x:v>6</x:v>
      </x:c>
      <x:c r="E499" s="6" t="str">
        <x:v>5</x:v>
      </x:c>
      <x:c r="F499" s="6" t="str">
        <x:v>5</x:v>
      </x:c>
      <x:c r="G499" s="6" t="str">
        <x:v>0</x:v>
      </x:c>
      <x:c r="H499" s="6" t="str">
        <x:v>0</x:v>
      </x:c>
      <x:c r="I499" s="6" t="str">
        <x:v>0</x:v>
      </x:c>
      <x:c r="J499" s="6" t="str">
        <x:v>0</x:v>
      </x:c>
      <x:c r="K499" s="6" t="str">
        <x:v>5</x:v>
      </x:c>
      <x:c r="L499" s="6" t="str">
        <x:v>0</x:v>
      </x:c>
      <x:c r="M499" s="6" t="str">
        <x:v>0</x:v>
      </x:c>
      <x:c r="N499" s="6" t="str">
        <x:v>0</x:v>
      </x:c>
      <x:c r="O499" s="6" t="str">
        <x:v>0</x:v>
      </x:c>
      <x:c r="P499" s="6" t="str">
        <x:v>5</x:v>
      </x:c>
      <x:c r="Q499" s="6" t="str"/>
      <x:c r="R499" s="6" t="str">
        <x:v>0</x:v>
      </x:c>
      <x:c r="S499" s="6" t="str"/>
      <x:c r="T499" s="6" t="str">
        <x:v>0</x:v>
      </x:c>
      <x:c r="U499" s="6" t="str"/>
      <x:c r="V499" s="6" t="str">
        <x:v>0</x:v>
      </x:c>
      <x:c r="W499" s="6" t="str">
        <x:v>0.0</x:v>
      </x:c>
      <x:c r="X499" s="6" t="str">
        <x:v>5</x:v>
      </x:c>
      <x:c r="Y499" s="6" t="str"/>
      <x:c r="Z499" s="6" t="str">
        <x:v>0</x:v>
      </x:c>
      <x:c r="AA499" s="6" t="str">
        <x:v>0.0</x:v>
      </x:c>
      <x:c r="AB499" s="6" t="str">
        <x:v>5</x:v>
      </x:c>
      <x:c r="AC499" s="6" t="str">
        <x:v>2025-06</x:v>
      </x:c>
      <x:c r="AD499" s="9" t="str">
        <x:v>BNPB operational disaster search table</x:v>
      </x:c>
      <x:c r="AE499" s="9" t="str">
        <x:v>https://gis.bnpb.go.id/databencana/tabel/pencarian.php</x:v>
      </x:c>
      <x:c r="AF499" s="9" t="str">
        <x:v>operational_snapshot_annual_totals_may_differ</x:v>
      </x:c>
    </x:row>
    <x:row r="500" ht="18" customHeight="1">
      <x:c r="A500" s="6" t="str">
        <x:v>62</x:v>
      </x:c>
      <x:c r="B500" s="6" t="str">
        <x:v>KALIMANTAN TENGAH</x:v>
      </x:c>
      <x:c r="C500" s="6" t="str">
        <x:v>2025</x:v>
      </x:c>
      <x:c r="D500" s="6" t="str">
        <x:v>7</x:v>
      </x:c>
      <x:c r="E500" s="6" t="str">
        <x:v>36</x:v>
      </x:c>
      <x:c r="F500" s="6" t="str">
        <x:v>36</x:v>
      </x:c>
      <x:c r="G500" s="6" t="str">
        <x:v>0</x:v>
      </x:c>
      <x:c r="H500" s="6" t="str">
        <x:v>0</x:v>
      </x:c>
      <x:c r="I500" s="6" t="str">
        <x:v>0</x:v>
      </x:c>
      <x:c r="J500" s="6" t="str">
        <x:v>0</x:v>
      </x:c>
      <x:c r="K500" s="6" t="str">
        <x:v>36</x:v>
      </x:c>
      <x:c r="L500" s="6" t="str">
        <x:v>0</x:v>
      </x:c>
      <x:c r="M500" s="6" t="str">
        <x:v>0</x:v>
      </x:c>
      <x:c r="N500" s="6" t="str">
        <x:v>0</x:v>
      </x:c>
      <x:c r="O500" s="6" t="str">
        <x:v>0</x:v>
      </x:c>
      <x:c r="P500" s="6" t="str">
        <x:v>36</x:v>
      </x:c>
      <x:c r="Q500" s="6" t="str"/>
      <x:c r="R500" s="6" t="str">
        <x:v>0</x:v>
      </x:c>
      <x:c r="S500" s="6" t="str"/>
      <x:c r="T500" s="6" t="str">
        <x:v>0</x:v>
      </x:c>
      <x:c r="U500" s="6" t="str"/>
      <x:c r="V500" s="6" t="str">
        <x:v>0</x:v>
      </x:c>
      <x:c r="W500" s="6" t="str">
        <x:v>0.0</x:v>
      </x:c>
      <x:c r="X500" s="6" t="str">
        <x:v>36</x:v>
      </x:c>
      <x:c r="Y500" s="6" t="str"/>
      <x:c r="Z500" s="6" t="str">
        <x:v>0</x:v>
      </x:c>
      <x:c r="AA500" s="6" t="str">
        <x:v>0.0</x:v>
      </x:c>
      <x:c r="AB500" s="6" t="str">
        <x:v>36</x:v>
      </x:c>
      <x:c r="AC500" s="6" t="str">
        <x:v>2025-07</x:v>
      </x:c>
      <x:c r="AD500" s="9" t="str">
        <x:v>BNPB operational disaster search table</x:v>
      </x:c>
      <x:c r="AE500" s="9" t="str">
        <x:v>https://gis.bnpb.go.id/databencana/tabel/pencarian.php</x:v>
      </x:c>
      <x:c r="AF500" s="9" t="str">
        <x:v>operational_snapshot_annual_totals_may_differ</x:v>
      </x:c>
    </x:row>
    <x:row r="501" ht="18" customHeight="1">
      <x:c r="A501" s="6" t="str">
        <x:v>62</x:v>
      </x:c>
      <x:c r="B501" s="6" t="str">
        <x:v>KALIMANTAN TENGAH</x:v>
      </x:c>
      <x:c r="C501" s="6" t="str">
        <x:v>2025</x:v>
      </x:c>
      <x:c r="D501" s="6" t="str">
        <x:v>8</x:v>
      </x:c>
      <x:c r="E501" s="6" t="str">
        <x:v>20</x:v>
      </x:c>
      <x:c r="F501" s="6" t="str">
        <x:v>20</x:v>
      </x:c>
      <x:c r="G501" s="6" t="str">
        <x:v>4</x:v>
      </x:c>
      <x:c r="H501" s="6" t="str">
        <x:v>0</x:v>
      </x:c>
      <x:c r="I501" s="6" t="str">
        <x:v>1</x:v>
      </x:c>
      <x:c r="J501" s="6" t="str">
        <x:v>0</x:v>
      </x:c>
      <x:c r="K501" s="6" t="str">
        <x:v>15</x:v>
      </x:c>
      <x:c r="L501" s="6" t="str">
        <x:v>0</x:v>
      </x:c>
      <x:c r="M501" s="6" t="str">
        <x:v>0</x:v>
      </x:c>
      <x:c r="N501" s="6" t="str">
        <x:v>0</x:v>
      </x:c>
      <x:c r="O501" s="6" t="str">
        <x:v>0</x:v>
      </x:c>
      <x:c r="P501" s="6" t="str">
        <x:v>20</x:v>
      </x:c>
      <x:c r="Q501" s="6" t="str"/>
      <x:c r="R501" s="6" t="str">
        <x:v>0</x:v>
      </x:c>
      <x:c r="S501" s="6" t="str"/>
      <x:c r="T501" s="6" t="str">
        <x:v>0</x:v>
      </x:c>
      <x:c r="U501" s="6" t="str">
        <x:v>1.0</x:v>
      </x:c>
      <x:c r="V501" s="6" t="str">
        <x:v>1</x:v>
      </x:c>
      <x:c r="W501" s="6" t="str">
        <x:v>49.0</x:v>
      </x:c>
      <x:c r="X501" s="6" t="str">
        <x:v>20</x:v>
      </x:c>
      <x:c r="Y501" s="6" t="str">
        <x:v>2537.0</x:v>
      </x:c>
      <x:c r="Z501" s="6" t="str">
        <x:v>3</x:v>
      </x:c>
      <x:c r="AA501" s="6" t="str">
        <x:v>2.0</x:v>
      </x:c>
      <x:c r="AB501" s="6" t="str">
        <x:v>20</x:v>
      </x:c>
      <x:c r="AC501" s="6" t="str">
        <x:v>2025-08</x:v>
      </x:c>
      <x:c r="AD501" s="9" t="str">
        <x:v>BNPB operational disaster search table</x:v>
      </x:c>
      <x:c r="AE501" s="9" t="str">
        <x:v>https://gis.bnpb.go.id/databencana/tabel/pencarian.php</x:v>
      </x:c>
      <x:c r="AF501" s="9" t="str">
        <x:v>operational_snapshot_annual_totals_may_differ</x:v>
      </x:c>
    </x:row>
    <x:row r="502" ht="18" customHeight="1">
      <x:c r="A502" s="6" t="str">
        <x:v>62</x:v>
      </x:c>
      <x:c r="B502" s="6" t="str">
        <x:v>KALIMANTAN TENGAH</x:v>
      </x:c>
      <x:c r="C502" s="6" t="str">
        <x:v>2025</x:v>
      </x:c>
      <x:c r="D502" s="6" t="str">
        <x:v>9</x:v>
      </x:c>
      <x:c r="E502" s="6" t="str">
        <x:v>18</x:v>
      </x:c>
      <x:c r="F502" s="6" t="str">
        <x:v>18</x:v>
      </x:c>
      <x:c r="G502" s="6" t="str">
        <x:v>8</x:v>
      </x:c>
      <x:c r="H502" s="6" t="str">
        <x:v>0</x:v>
      </x:c>
      <x:c r="I502" s="6" t="str">
        <x:v>0</x:v>
      </x:c>
      <x:c r="J502" s="6" t="str">
        <x:v>0</x:v>
      </x:c>
      <x:c r="K502" s="6" t="str">
        <x:v>10</x:v>
      </x:c>
      <x:c r="L502" s="6" t="str">
        <x:v>0</x:v>
      </x:c>
      <x:c r="M502" s="6" t="str">
        <x:v>0</x:v>
      </x:c>
      <x:c r="N502" s="6" t="str">
        <x:v>0</x:v>
      </x:c>
      <x:c r="O502" s="6" t="str">
        <x:v>0</x:v>
      </x:c>
      <x:c r="P502" s="6" t="str">
        <x:v>18</x:v>
      </x:c>
      <x:c r="Q502" s="6" t="str"/>
      <x:c r="R502" s="6" t="str">
        <x:v>0</x:v>
      </x:c>
      <x:c r="S502" s="6" t="str"/>
      <x:c r="T502" s="6" t="str">
        <x:v>0</x:v>
      </x:c>
      <x:c r="U502" s="6" t="str"/>
      <x:c r="V502" s="6" t="str">
        <x:v>0</x:v>
      </x:c>
      <x:c r="W502" s="6" t="str">
        <x:v>0.0</x:v>
      </x:c>
      <x:c r="X502" s="6" t="str">
        <x:v>18</x:v>
      </x:c>
      <x:c r="Y502" s="6" t="str">
        <x:v>1549.0</x:v>
      </x:c>
      <x:c r="Z502" s="6" t="str">
        <x:v>7</x:v>
      </x:c>
      <x:c r="AA502" s="6" t="str">
        <x:v>0.0</x:v>
      </x:c>
      <x:c r="AB502" s="6" t="str">
        <x:v>18</x:v>
      </x:c>
      <x:c r="AC502" s="6" t="str">
        <x:v>2025-09</x:v>
      </x:c>
      <x:c r="AD502" s="9" t="str">
        <x:v>BNPB operational disaster search table</x:v>
      </x:c>
      <x:c r="AE502" s="9" t="str">
        <x:v>https://gis.bnpb.go.id/databencana/tabel/pencarian.php</x:v>
      </x:c>
      <x:c r="AF502" s="9" t="str">
        <x:v>operational_snapshot_annual_totals_may_differ</x:v>
      </x:c>
    </x:row>
    <x:row r="503" ht="18" customHeight="1">
      <x:c r="A503" s="6" t="str">
        <x:v>62</x:v>
      </x:c>
      <x:c r="B503" s="6" t="str">
        <x:v>KALIMANTAN TENGAH</x:v>
      </x:c>
      <x:c r="C503" s="6" t="str">
        <x:v>2025</x:v>
      </x:c>
      <x:c r="D503" s="6" t="str">
        <x:v>10</x:v>
      </x:c>
      <x:c r="E503" s="6" t="str">
        <x:v>8</x:v>
      </x:c>
      <x:c r="F503" s="6" t="str">
        <x:v>8</x:v>
      </x:c>
      <x:c r="G503" s="6" t="str">
        <x:v>1</x:v>
      </x:c>
      <x:c r="H503" s="6" t="str">
        <x:v>0</x:v>
      </x:c>
      <x:c r="I503" s="6" t="str">
        <x:v>0</x:v>
      </x:c>
      <x:c r="J503" s="6" t="str">
        <x:v>0</x:v>
      </x:c>
      <x:c r="K503" s="6" t="str">
        <x:v>7</x:v>
      </x:c>
      <x:c r="L503" s="6" t="str">
        <x:v>0</x:v>
      </x:c>
      <x:c r="M503" s="6" t="str">
        <x:v>0</x:v>
      </x:c>
      <x:c r="N503" s="6" t="str">
        <x:v>0</x:v>
      </x:c>
      <x:c r="O503" s="6" t="str">
        <x:v>0</x:v>
      </x:c>
      <x:c r="P503" s="6" t="str">
        <x:v>8</x:v>
      </x:c>
      <x:c r="Q503" s="6" t="str"/>
      <x:c r="R503" s="6" t="str">
        <x:v>0</x:v>
      </x:c>
      <x:c r="S503" s="6" t="str"/>
      <x:c r="T503" s="6" t="str">
        <x:v>0</x:v>
      </x:c>
      <x:c r="U503" s="6" t="str"/>
      <x:c r="V503" s="6" t="str">
        <x:v>0</x:v>
      </x:c>
      <x:c r="W503" s="6" t="str">
        <x:v>0.0</x:v>
      </x:c>
      <x:c r="X503" s="6" t="str">
        <x:v>8</x:v>
      </x:c>
      <x:c r="Y503" s="6" t="str">
        <x:v>3369.0</x:v>
      </x:c>
      <x:c r="Z503" s="6" t="str">
        <x:v>1</x:v>
      </x:c>
      <x:c r="AA503" s="6" t="str">
        <x:v>0.0</x:v>
      </x:c>
      <x:c r="AB503" s="6" t="str">
        <x:v>8</x:v>
      </x:c>
      <x:c r="AC503" s="6" t="str">
        <x:v>2025-10</x:v>
      </x:c>
      <x:c r="AD503" s="9" t="str">
        <x:v>BNPB operational disaster search table</x:v>
      </x:c>
      <x:c r="AE503" s="9" t="str">
        <x:v>https://gis.bnpb.go.id/databencana/tabel/pencarian.php</x:v>
      </x:c>
      <x:c r="AF503" s="9" t="str">
        <x:v>operational_snapshot_annual_totals_may_differ</x:v>
      </x:c>
    </x:row>
    <x:row r="504" ht="18" customHeight="1">
      <x:c r="A504" s="6" t="str">
        <x:v>62</x:v>
      </x:c>
      <x:c r="B504" s="6" t="str">
        <x:v>KALIMANTAN TENGAH</x:v>
      </x:c>
      <x:c r="C504" s="6" t="str">
        <x:v>2025</x:v>
      </x:c>
      <x:c r="D504" s="6" t="str">
        <x:v>11</x:v>
      </x:c>
      <x:c r="E504" s="6" t="str">
        <x:v>2</x:v>
      </x:c>
      <x:c r="F504" s="6" t="str">
        <x:v>2</x:v>
      </x:c>
      <x:c r="G504" s="6" t="str">
        <x:v>2</x:v>
      </x:c>
      <x:c r="H504" s="6" t="str">
        <x:v>0</x:v>
      </x:c>
      <x:c r="I504" s="6" t="str">
        <x:v>0</x:v>
      </x:c>
      <x:c r="J504" s="6" t="str">
        <x:v>0</x:v>
      </x:c>
      <x:c r="K504" s="6" t="str">
        <x:v>0</x:v>
      </x:c>
      <x:c r="L504" s="6" t="str">
        <x:v>0</x:v>
      </x:c>
      <x:c r="M504" s="6" t="str">
        <x:v>0</x:v>
      </x:c>
      <x:c r="N504" s="6" t="str">
        <x:v>0</x:v>
      </x:c>
      <x:c r="O504" s="6" t="str">
        <x:v>0</x:v>
      </x:c>
      <x:c r="P504" s="6" t="str">
        <x:v>2</x:v>
      </x:c>
      <x:c r="Q504" s="6" t="str"/>
      <x:c r="R504" s="6" t="str">
        <x:v>0</x:v>
      </x:c>
      <x:c r="S504" s="6" t="str"/>
      <x:c r="T504" s="6" t="str">
        <x:v>0</x:v>
      </x:c>
      <x:c r="U504" s="6" t="str"/>
      <x:c r="V504" s="6" t="str">
        <x:v>0</x:v>
      </x:c>
      <x:c r="W504" s="6" t="str">
        <x:v>0.0</x:v>
      </x:c>
      <x:c r="X504" s="6" t="str">
        <x:v>2</x:v>
      </x:c>
      <x:c r="Y504" s="6" t="str">
        <x:v>348.0</x:v>
      </x:c>
      <x:c r="Z504" s="6" t="str">
        <x:v>2</x:v>
      </x:c>
      <x:c r="AA504" s="6" t="str">
        <x:v>0.0</x:v>
      </x:c>
      <x:c r="AB504" s="6" t="str">
        <x:v>2</x:v>
      </x:c>
      <x:c r="AC504" s="6" t="str">
        <x:v>2025-11</x:v>
      </x:c>
      <x:c r="AD504" s="9" t="str">
        <x:v>BNPB operational disaster search table</x:v>
      </x:c>
      <x:c r="AE504" s="9" t="str">
        <x:v>https://gis.bnpb.go.id/databencana/tabel/pencarian.php</x:v>
      </x:c>
      <x:c r="AF504" s="9" t="str">
        <x:v>operational_snapshot_annual_totals_may_differ</x:v>
      </x:c>
    </x:row>
    <x:row r="505" ht="18" customHeight="1">
      <x:c r="A505" s="6" t="str">
        <x:v>62</x:v>
      </x:c>
      <x:c r="B505" s="6" t="str">
        <x:v>KALIMANTAN TENGAH</x:v>
      </x:c>
      <x:c r="C505" s="6" t="str">
        <x:v>2025</x:v>
      </x:c>
      <x:c r="D505" s="6" t="str">
        <x:v>12</x:v>
      </x:c>
      <x:c r="E505" s="6" t="str">
        <x:v>6</x:v>
      </x:c>
      <x:c r="F505" s="6" t="str">
        <x:v>6</x:v>
      </x:c>
      <x:c r="G505" s="6" t="str">
        <x:v>6</x:v>
      </x:c>
      <x:c r="H505" s="6" t="str">
        <x:v>0</x:v>
      </x:c>
      <x:c r="I505" s="6" t="str">
        <x:v>0</x:v>
      </x:c>
      <x:c r="J505" s="6" t="str">
        <x:v>0</x:v>
      </x:c>
      <x:c r="K505" s="6" t="str">
        <x:v>0</x:v>
      </x:c>
      <x:c r="L505" s="6" t="str">
        <x:v>0</x:v>
      </x:c>
      <x:c r="M505" s="6" t="str">
        <x:v>0</x:v>
      </x:c>
      <x:c r="N505" s="6" t="str">
        <x:v>0</x:v>
      </x:c>
      <x:c r="O505" s="6" t="str">
        <x:v>0</x:v>
      </x:c>
      <x:c r="P505" s="6" t="str">
        <x:v>6</x:v>
      </x:c>
      <x:c r="Q505" s="6" t="str"/>
      <x:c r="R505" s="6" t="str">
        <x:v>0</x:v>
      </x:c>
      <x:c r="S505" s="6" t="str"/>
      <x:c r="T505" s="6" t="str">
        <x:v>0</x:v>
      </x:c>
      <x:c r="U505" s="6" t="str"/>
      <x:c r="V505" s="6" t="str">
        <x:v>0</x:v>
      </x:c>
      <x:c r="W505" s="6" t="str">
        <x:v>0.0</x:v>
      </x:c>
      <x:c r="X505" s="6" t="str">
        <x:v>6</x:v>
      </x:c>
      <x:c r="Y505" s="6" t="str">
        <x:v>5589.0</x:v>
      </x:c>
      <x:c r="Z505" s="6" t="str">
        <x:v>5</x:v>
      </x:c>
      <x:c r="AA505" s="6" t="str">
        <x:v>0.0</x:v>
      </x:c>
      <x:c r="AB505" s="6" t="str">
        <x:v>6</x:v>
      </x:c>
      <x:c r="AC505" s="6" t="str">
        <x:v>2025-12</x:v>
      </x:c>
      <x:c r="AD505" s="9" t="str">
        <x:v>BNPB operational disaster search table</x:v>
      </x:c>
      <x:c r="AE505" s="9" t="str">
        <x:v>https://gis.bnpb.go.id/databencana/tabel/pencarian.php</x:v>
      </x:c>
      <x:c r="AF505" s="9" t="str">
        <x:v>operational_snapshot_annual_totals_may_differ</x:v>
      </x:c>
    </x:row>
    <x:row r="506" ht="18" customHeight="1">
      <x:c r="A506" s="6" t="str">
        <x:v>63</x:v>
      </x:c>
      <x:c r="B506" s="6" t="str">
        <x:v>KALIMANTAN SELATAN</x:v>
      </x:c>
      <x:c r="C506" s="6" t="str">
        <x:v>2024</x:v>
      </x:c>
      <x:c r="D506" s="6" t="str">
        <x:v>1</x:v>
      </x:c>
      <x:c r="E506" s="6" t="str">
        <x:v>8</x:v>
      </x:c>
      <x:c r="F506" s="6" t="str">
        <x:v>8</x:v>
      </x:c>
      <x:c r="G506" s="6" t="str">
        <x:v>8</x:v>
      </x:c>
      <x:c r="H506" s="6" t="str">
        <x:v>0</x:v>
      </x:c>
      <x:c r="I506" s="6" t="str">
        <x:v>0</x:v>
      </x:c>
      <x:c r="J506" s="6" t="str">
        <x:v>0</x:v>
      </x:c>
      <x:c r="K506" s="6" t="str">
        <x:v>0</x:v>
      </x:c>
      <x:c r="L506" s="6" t="str">
        <x:v>0</x:v>
      </x:c>
      <x:c r="M506" s="6" t="str">
        <x:v>0</x:v>
      </x:c>
      <x:c r="N506" s="6" t="str">
        <x:v>0</x:v>
      </x:c>
      <x:c r="O506" s="6" t="str">
        <x:v>0</x:v>
      </x:c>
      <x:c r="P506" s="6" t="str">
        <x:v>8</x:v>
      </x:c>
      <x:c r="Q506" s="6" t="str">
        <x:v>0.0</x:v>
      </x:c>
      <x:c r="R506" s="6" t="str">
        <x:v>8</x:v>
      </x:c>
      <x:c r="S506" s="6" t="str">
        <x:v>0.0</x:v>
      </x:c>
      <x:c r="T506" s="6" t="str">
        <x:v>8</x:v>
      </x:c>
      <x:c r="U506" s="6" t="str">
        <x:v>0.0</x:v>
      </x:c>
      <x:c r="V506" s="6" t="str">
        <x:v>8</x:v>
      </x:c>
      <x:c r="W506" s="6" t="str">
        <x:v>0.0</x:v>
      </x:c>
      <x:c r="X506" s="6" t="str">
        <x:v>8</x:v>
      </x:c>
      <x:c r="Y506" s="6" t="str">
        <x:v>633.0</x:v>
      </x:c>
      <x:c r="Z506" s="6" t="str">
        <x:v>8</x:v>
      </x:c>
      <x:c r="AA506" s="6" t="str">
        <x:v>2.0</x:v>
      </x:c>
      <x:c r="AB506" s="6" t="str">
        <x:v>8</x:v>
      </x:c>
      <x:c r="AC506" s="6" t="str">
        <x:v>2024-01</x:v>
      </x:c>
      <x:c r="AD506" s="9" t="str">
        <x:v>BNPB operational disaster search table</x:v>
      </x:c>
      <x:c r="AE506" s="9" t="str">
        <x:v>https://gis.bnpb.go.id/databencana/tabel/pencarian.php</x:v>
      </x:c>
      <x:c r="AF506" s="9" t="str">
        <x:v>operational_snapshot_annual_totals_may_differ</x:v>
      </x:c>
    </x:row>
    <x:row r="507" ht="18" customHeight="1">
      <x:c r="A507" s="6" t="str">
        <x:v>63</x:v>
      </x:c>
      <x:c r="B507" s="6" t="str">
        <x:v>KALIMANTAN SELATAN</x:v>
      </x:c>
      <x:c r="C507" s="6" t="str">
        <x:v>2024</x:v>
      </x:c>
      <x:c r="D507" s="6" t="str">
        <x:v>2</x:v>
      </x:c>
      <x:c r="E507" s="6" t="str">
        <x:v>2</x:v>
      </x:c>
      <x:c r="F507" s="6" t="str">
        <x:v>2</x:v>
      </x:c>
      <x:c r="G507" s="6" t="str">
        <x:v>2</x:v>
      </x:c>
      <x:c r="H507" s="6" t="str">
        <x:v>0</x:v>
      </x:c>
      <x:c r="I507" s="6" t="str">
        <x:v>0</x:v>
      </x:c>
      <x:c r="J507" s="6" t="str">
        <x:v>0</x:v>
      </x:c>
      <x:c r="K507" s="6" t="str">
        <x:v>0</x:v>
      </x:c>
      <x:c r="L507" s="6" t="str">
        <x:v>0</x:v>
      </x:c>
      <x:c r="M507" s="6" t="str">
        <x:v>0</x:v>
      </x:c>
      <x:c r="N507" s="6" t="str">
        <x:v>0</x:v>
      </x:c>
      <x:c r="O507" s="6" t="str">
        <x:v>0</x:v>
      </x:c>
      <x:c r="P507" s="6" t="str">
        <x:v>2</x:v>
      </x:c>
      <x:c r="Q507" s="6" t="str">
        <x:v>0.0</x:v>
      </x:c>
      <x:c r="R507" s="6" t="str">
        <x:v>2</x:v>
      </x:c>
      <x:c r="S507" s="6" t="str">
        <x:v>0.0</x:v>
      </x:c>
      <x:c r="T507" s="6" t="str">
        <x:v>2</x:v>
      </x:c>
      <x:c r="U507" s="6" t="str">
        <x:v>0.0</x:v>
      </x:c>
      <x:c r="V507" s="6" t="str">
        <x:v>2</x:v>
      </x:c>
      <x:c r="W507" s="6" t="str">
        <x:v>0.0</x:v>
      </x:c>
      <x:c r="X507" s="6" t="str">
        <x:v>2</x:v>
      </x:c>
      <x:c r="Y507" s="6" t="str">
        <x:v>491.0</x:v>
      </x:c>
      <x:c r="Z507" s="6" t="str">
        <x:v>2</x:v>
      </x:c>
      <x:c r="AA507" s="6" t="str">
        <x:v>0.0</x:v>
      </x:c>
      <x:c r="AB507" s="6" t="str">
        <x:v>2</x:v>
      </x:c>
      <x:c r="AC507" s="6" t="str">
        <x:v>2024-02</x:v>
      </x:c>
      <x:c r="AD507" s="9" t="str">
        <x:v>BNPB operational disaster search table</x:v>
      </x:c>
      <x:c r="AE507" s="9" t="str">
        <x:v>https://gis.bnpb.go.id/databencana/tabel/pencarian.php</x:v>
      </x:c>
      <x:c r="AF507" s="9" t="str">
        <x:v>operational_snapshot_annual_totals_may_differ</x:v>
      </x:c>
    </x:row>
    <x:row r="508" ht="18" customHeight="1">
      <x:c r="A508" s="6" t="str">
        <x:v>63</x:v>
      </x:c>
      <x:c r="B508" s="6" t="str">
        <x:v>KALIMANTAN SELATAN</x:v>
      </x:c>
      <x:c r="C508" s="6" t="str">
        <x:v>2024</x:v>
      </x:c>
      <x:c r="D508" s="6" t="str">
        <x:v>3</x:v>
      </x:c>
      <x:c r="E508" s="6" t="str">
        <x:v>0</x:v>
      </x:c>
      <x:c r="F508" s="6" t="str">
        <x:v>0</x:v>
      </x:c>
      <x:c r="G508" s="6" t="str">
        <x:v>0</x:v>
      </x:c>
      <x:c r="H508" s="6" t="str">
        <x:v>0</x:v>
      </x:c>
      <x:c r="I508" s="6" t="str">
        <x:v>0</x:v>
      </x:c>
      <x:c r="J508" s="6" t="str">
        <x:v>0</x:v>
      </x:c>
      <x:c r="K508" s="6" t="str">
        <x:v>0</x:v>
      </x:c>
      <x:c r="L508" s="6" t="str">
        <x:v>0</x:v>
      </x:c>
      <x:c r="M508" s="6" t="str">
        <x:v>0</x:v>
      </x:c>
      <x:c r="N508" s="6" t="str">
        <x:v>0</x:v>
      </x:c>
      <x:c r="O508" s="6" t="str">
        <x:v>0</x:v>
      </x:c>
      <x:c r="P508" s="6" t="str">
        <x:v>0</x:v>
      </x:c>
      <x:c r="Q508" s="6" t="str"/>
      <x:c r="R508" s="6" t="str">
        <x:v>0</x:v>
      </x:c>
      <x:c r="S508" s="6" t="str"/>
      <x:c r="T508" s="6" t="str">
        <x:v>0</x:v>
      </x:c>
      <x:c r="U508" s="6" t="str"/>
      <x:c r="V508" s="6" t="str">
        <x:v>0</x:v>
      </x:c>
      <x:c r="W508" s="6" t="str"/>
      <x:c r="X508" s="6" t="str">
        <x:v>0</x:v>
      </x:c>
      <x:c r="Y508" s="6" t="str"/>
      <x:c r="Z508" s="6" t="str">
        <x:v>0</x:v>
      </x:c>
      <x:c r="AA508" s="6" t="str"/>
      <x:c r="AB508" s="6" t="str">
        <x:v>0</x:v>
      </x:c>
      <x:c r="AC508" s="6" t="str">
        <x:v>2024-03</x:v>
      </x:c>
      <x:c r="AD508" s="9" t="str">
        <x:v>BNPB operational disaster search table</x:v>
      </x:c>
      <x:c r="AE508" s="9" t="str">
        <x:v>https://gis.bnpb.go.id/databencana/tabel/pencarian.php</x:v>
      </x:c>
      <x:c r="AF508" s="9" t="str">
        <x:v>operational_snapshot_annual_totals_may_differ</x:v>
      </x:c>
    </x:row>
    <x:row r="509" ht="18" customHeight="1">
      <x:c r="A509" s="6" t="str">
        <x:v>63</x:v>
      </x:c>
      <x:c r="B509" s="6" t="str">
        <x:v>KALIMANTAN SELATAN</x:v>
      </x:c>
      <x:c r="C509" s="6" t="str">
        <x:v>2024</x:v>
      </x:c>
      <x:c r="D509" s="6" t="str">
        <x:v>4</x:v>
      </x:c>
      <x:c r="E509" s="6" t="str">
        <x:v>0</x:v>
      </x:c>
      <x:c r="F509" s="6" t="str">
        <x:v>0</x:v>
      </x:c>
      <x:c r="G509" s="6" t="str">
        <x:v>0</x:v>
      </x:c>
      <x:c r="H509" s="6" t="str">
        <x:v>0</x:v>
      </x:c>
      <x:c r="I509" s="6" t="str">
        <x:v>0</x:v>
      </x:c>
      <x:c r="J509" s="6" t="str">
        <x:v>0</x:v>
      </x:c>
      <x:c r="K509" s="6" t="str">
        <x:v>0</x:v>
      </x:c>
      <x:c r="L509" s="6" t="str">
        <x:v>0</x:v>
      </x:c>
      <x:c r="M509" s="6" t="str">
        <x:v>0</x:v>
      </x:c>
      <x:c r="N509" s="6" t="str">
        <x:v>0</x:v>
      </x:c>
      <x:c r="O509" s="6" t="str">
        <x:v>0</x:v>
      </x:c>
      <x:c r="P509" s="6" t="str">
        <x:v>0</x:v>
      </x:c>
      <x:c r="Q509" s="6" t="str"/>
      <x:c r="R509" s="6" t="str">
        <x:v>0</x:v>
      </x:c>
      <x:c r="S509" s="6" t="str"/>
      <x:c r="T509" s="6" t="str">
        <x:v>0</x:v>
      </x:c>
      <x:c r="U509" s="6" t="str"/>
      <x:c r="V509" s="6" t="str">
        <x:v>0</x:v>
      </x:c>
      <x:c r="W509" s="6" t="str"/>
      <x:c r="X509" s="6" t="str">
        <x:v>0</x:v>
      </x:c>
      <x:c r="Y509" s="6" t="str"/>
      <x:c r="Z509" s="6" t="str">
        <x:v>0</x:v>
      </x:c>
      <x:c r="AA509" s="6" t="str"/>
      <x:c r="AB509" s="6" t="str">
        <x:v>0</x:v>
      </x:c>
      <x:c r="AC509" s="6" t="str">
        <x:v>2024-04</x:v>
      </x:c>
      <x:c r="AD509" s="9" t="str">
        <x:v>BNPB operational disaster search table</x:v>
      </x:c>
      <x:c r="AE509" s="9" t="str">
        <x:v>https://gis.bnpb.go.id/databencana/tabel/pencarian.php</x:v>
      </x:c>
      <x:c r="AF509" s="9" t="str">
        <x:v>operational_snapshot_annual_totals_may_differ</x:v>
      </x:c>
    </x:row>
    <x:row r="510" ht="18" customHeight="1">
      <x:c r="A510" s="6" t="str">
        <x:v>63</x:v>
      </x:c>
      <x:c r="B510" s="6" t="str">
        <x:v>KALIMANTAN SELATAN</x:v>
      </x:c>
      <x:c r="C510" s="6" t="str">
        <x:v>2024</x:v>
      </x:c>
      <x:c r="D510" s="6" t="str">
        <x:v>5</x:v>
      </x:c>
      <x:c r="E510" s="6" t="str">
        <x:v>0</x:v>
      </x:c>
      <x:c r="F510" s="6" t="str">
        <x:v>0</x:v>
      </x:c>
      <x:c r="G510" s="6" t="str">
        <x:v>0</x:v>
      </x:c>
      <x:c r="H510" s="6" t="str">
        <x:v>0</x:v>
      </x:c>
      <x:c r="I510" s="6" t="str">
        <x:v>0</x:v>
      </x:c>
      <x:c r="J510" s="6" t="str">
        <x:v>0</x:v>
      </x:c>
      <x:c r="K510" s="6" t="str">
        <x:v>0</x:v>
      </x:c>
      <x:c r="L510" s="6" t="str">
        <x:v>0</x:v>
      </x:c>
      <x:c r="M510" s="6" t="str">
        <x:v>0</x:v>
      </x:c>
      <x:c r="N510" s="6" t="str">
        <x:v>0</x:v>
      </x:c>
      <x:c r="O510" s="6" t="str">
        <x:v>0</x:v>
      </x:c>
      <x:c r="P510" s="6" t="str">
        <x:v>0</x:v>
      </x:c>
      <x:c r="Q510" s="6" t="str"/>
      <x:c r="R510" s="6" t="str">
        <x:v>0</x:v>
      </x:c>
      <x:c r="S510" s="6" t="str"/>
      <x:c r="T510" s="6" t="str">
        <x:v>0</x:v>
      </x:c>
      <x:c r="U510" s="6" t="str"/>
      <x:c r="V510" s="6" t="str">
        <x:v>0</x:v>
      </x:c>
      <x:c r="W510" s="6" t="str"/>
      <x:c r="X510" s="6" t="str">
        <x:v>0</x:v>
      </x:c>
      <x:c r="Y510" s="6" t="str"/>
      <x:c r="Z510" s="6" t="str">
        <x:v>0</x:v>
      </x:c>
      <x:c r="AA510" s="6" t="str"/>
      <x:c r="AB510" s="6" t="str">
        <x:v>0</x:v>
      </x:c>
      <x:c r="AC510" s="6" t="str">
        <x:v>2024-05</x:v>
      </x:c>
      <x:c r="AD510" s="9" t="str">
        <x:v>BNPB operational disaster search table</x:v>
      </x:c>
      <x:c r="AE510" s="9" t="str">
        <x:v>https://gis.bnpb.go.id/databencana/tabel/pencarian.php</x:v>
      </x:c>
      <x:c r="AF510" s="9" t="str">
        <x:v>operational_snapshot_annual_totals_may_differ</x:v>
      </x:c>
    </x:row>
    <x:row r="511" ht="18" customHeight="1">
      <x:c r="A511" s="6" t="str">
        <x:v>63</x:v>
      </x:c>
      <x:c r="B511" s="6" t="str">
        <x:v>KALIMANTAN SELATAN</x:v>
      </x:c>
      <x:c r="C511" s="6" t="str">
        <x:v>2024</x:v>
      </x:c>
      <x:c r="D511" s="6" t="str">
        <x:v>6</x:v>
      </x:c>
      <x:c r="E511" s="6" t="str">
        <x:v>3</x:v>
      </x:c>
      <x:c r="F511" s="6" t="str">
        <x:v>3</x:v>
      </x:c>
      <x:c r="G511" s="6" t="str">
        <x:v>1</x:v>
      </x:c>
      <x:c r="H511" s="6" t="str">
        <x:v>0</x:v>
      </x:c>
      <x:c r="I511" s="6" t="str">
        <x:v>2</x:v>
      </x:c>
      <x:c r="J511" s="6" t="str">
        <x:v>0</x:v>
      </x:c>
      <x:c r="K511" s="6" t="str">
        <x:v>0</x:v>
      </x:c>
      <x:c r="L511" s="6" t="str">
        <x:v>0</x:v>
      </x:c>
      <x:c r="M511" s="6" t="str">
        <x:v>0</x:v>
      </x:c>
      <x:c r="N511" s="6" t="str">
        <x:v>0</x:v>
      </x:c>
      <x:c r="O511" s="6" t="str">
        <x:v>0</x:v>
      </x:c>
      <x:c r="P511" s="6" t="str">
        <x:v>3</x:v>
      </x:c>
      <x:c r="Q511" s="6" t="str">
        <x:v>0.0</x:v>
      </x:c>
      <x:c r="R511" s="6" t="str">
        <x:v>3</x:v>
      </x:c>
      <x:c r="S511" s="6" t="str">
        <x:v>0.0</x:v>
      </x:c>
      <x:c r="T511" s="6" t="str">
        <x:v>3</x:v>
      </x:c>
      <x:c r="U511" s="6" t="str">
        <x:v>0.0</x:v>
      </x:c>
      <x:c r="V511" s="6" t="str">
        <x:v>3</x:v>
      </x:c>
      <x:c r="W511" s="6" t="str">
        <x:v>19.0</x:v>
      </x:c>
      <x:c r="X511" s="6" t="str">
        <x:v>3</x:v>
      </x:c>
      <x:c r="Y511" s="6" t="str">
        <x:v>5503.0</x:v>
      </x:c>
      <x:c r="Z511" s="6" t="str">
        <x:v>1</x:v>
      </x:c>
      <x:c r="AA511" s="6" t="str">
        <x:v>0.0</x:v>
      </x:c>
      <x:c r="AB511" s="6" t="str">
        <x:v>3</x:v>
      </x:c>
      <x:c r="AC511" s="6" t="str">
        <x:v>2024-06</x:v>
      </x:c>
      <x:c r="AD511" s="9" t="str">
        <x:v>BNPB operational disaster search table</x:v>
      </x:c>
      <x:c r="AE511" s="9" t="str">
        <x:v>https://gis.bnpb.go.id/databencana/tabel/pencarian.php</x:v>
      </x:c>
      <x:c r="AF511" s="9" t="str">
        <x:v>operational_snapshot_annual_totals_may_differ</x:v>
      </x:c>
    </x:row>
    <x:row r="512" ht="18" customHeight="1">
      <x:c r="A512" s="6" t="str">
        <x:v>63</x:v>
      </x:c>
      <x:c r="B512" s="6" t="str">
        <x:v>KALIMANTAN SELATAN</x:v>
      </x:c>
      <x:c r="C512" s="6" t="str">
        <x:v>2024</x:v>
      </x:c>
      <x:c r="D512" s="6" t="str">
        <x:v>7</x:v>
      </x:c>
      <x:c r="E512" s="6" t="str">
        <x:v>3</x:v>
      </x:c>
      <x:c r="F512" s="6" t="str">
        <x:v>3</x:v>
      </x:c>
      <x:c r="G512" s="6" t="str">
        <x:v>0</x:v>
      </x:c>
      <x:c r="H512" s="6" t="str">
        <x:v>0</x:v>
      </x:c>
      <x:c r="I512" s="6" t="str">
        <x:v>0</x:v>
      </x:c>
      <x:c r="J512" s="6" t="str">
        <x:v>0</x:v>
      </x:c>
      <x:c r="K512" s="6" t="str">
        <x:v>3</x:v>
      </x:c>
      <x:c r="L512" s="6" t="str">
        <x:v>0</x:v>
      </x:c>
      <x:c r="M512" s="6" t="str">
        <x:v>0</x:v>
      </x:c>
      <x:c r="N512" s="6" t="str">
        <x:v>0</x:v>
      </x:c>
      <x:c r="O512" s="6" t="str">
        <x:v>0</x:v>
      </x:c>
      <x:c r="P512" s="6" t="str">
        <x:v>3</x:v>
      </x:c>
      <x:c r="Q512" s="6" t="str">
        <x:v>0.0</x:v>
      </x:c>
      <x:c r="R512" s="6" t="str">
        <x:v>3</x:v>
      </x:c>
      <x:c r="S512" s="6" t="str">
        <x:v>0.0</x:v>
      </x:c>
      <x:c r="T512" s="6" t="str">
        <x:v>3</x:v>
      </x:c>
      <x:c r="U512" s="6" t="str">
        <x:v>0.0</x:v>
      </x:c>
      <x:c r="V512" s="6" t="str">
        <x:v>3</x:v>
      </x:c>
      <x:c r="W512" s="6" t="str">
        <x:v>0.0</x:v>
      </x:c>
      <x:c r="X512" s="6" t="str">
        <x:v>3</x:v>
      </x:c>
      <x:c r="Y512" s="6" t="str"/>
      <x:c r="Z512" s="6" t="str">
        <x:v>0</x:v>
      </x:c>
      <x:c r="AA512" s="6" t="str">
        <x:v>0.0</x:v>
      </x:c>
      <x:c r="AB512" s="6" t="str">
        <x:v>3</x:v>
      </x:c>
      <x:c r="AC512" s="6" t="str">
        <x:v>2024-07</x:v>
      </x:c>
      <x:c r="AD512" s="9" t="str">
        <x:v>BNPB operational disaster search table</x:v>
      </x:c>
      <x:c r="AE512" s="9" t="str">
        <x:v>https://gis.bnpb.go.id/databencana/tabel/pencarian.php</x:v>
      </x:c>
      <x:c r="AF512" s="9" t="str">
        <x:v>operational_snapshot_annual_totals_may_differ</x:v>
      </x:c>
    </x:row>
    <x:row r="513" ht="18" customHeight="1">
      <x:c r="A513" s="6" t="str">
        <x:v>63</x:v>
      </x:c>
      <x:c r="B513" s="6" t="str">
        <x:v>KALIMANTAN SELATAN</x:v>
      </x:c>
      <x:c r="C513" s="6" t="str">
        <x:v>2024</x:v>
      </x:c>
      <x:c r="D513" s="6" t="str">
        <x:v>8</x:v>
      </x:c>
      <x:c r="E513" s="6" t="str">
        <x:v>1</x:v>
      </x:c>
      <x:c r="F513" s="6" t="str">
        <x:v>1</x:v>
      </x:c>
      <x:c r="G513" s="6" t="str">
        <x:v>1</x:v>
      </x:c>
      <x:c r="H513" s="6" t="str">
        <x:v>0</x:v>
      </x:c>
      <x:c r="I513" s="6" t="str">
        <x:v>0</x:v>
      </x:c>
      <x:c r="J513" s="6" t="str">
        <x:v>0</x:v>
      </x:c>
      <x:c r="K513" s="6" t="str">
        <x:v>0</x:v>
      </x:c>
      <x:c r="L513" s="6" t="str">
        <x:v>0</x:v>
      </x:c>
      <x:c r="M513" s="6" t="str">
        <x:v>0</x:v>
      </x:c>
      <x:c r="N513" s="6" t="str">
        <x:v>0</x:v>
      </x:c>
      <x:c r="O513" s="6" t="str">
        <x:v>0</x:v>
      </x:c>
      <x:c r="P513" s="6" t="str">
        <x:v>1</x:v>
      </x:c>
      <x:c r="Q513" s="6" t="str">
        <x:v>0.0</x:v>
      </x:c>
      <x:c r="R513" s="6" t="str">
        <x:v>1</x:v>
      </x:c>
      <x:c r="S513" s="6" t="str">
        <x:v>0.0</x:v>
      </x:c>
      <x:c r="T513" s="6" t="str">
        <x:v>1</x:v>
      </x:c>
      <x:c r="U513" s="6" t="str">
        <x:v>0.0</x:v>
      </x:c>
      <x:c r="V513" s="6" t="str">
        <x:v>1</x:v>
      </x:c>
      <x:c r="W513" s="6" t="str">
        <x:v>0.0</x:v>
      </x:c>
      <x:c r="X513" s="6" t="str">
        <x:v>1</x:v>
      </x:c>
      <x:c r="Y513" s="6" t="str">
        <x:v>244.0</x:v>
      </x:c>
      <x:c r="Z513" s="6" t="str">
        <x:v>1</x:v>
      </x:c>
      <x:c r="AA513" s="6" t="str">
        <x:v>0.0</x:v>
      </x:c>
      <x:c r="AB513" s="6" t="str">
        <x:v>1</x:v>
      </x:c>
      <x:c r="AC513" s="6" t="str">
        <x:v>2024-08</x:v>
      </x:c>
      <x:c r="AD513" s="9" t="str">
        <x:v>BNPB operational disaster search table</x:v>
      </x:c>
      <x:c r="AE513" s="9" t="str">
        <x:v>https://gis.bnpb.go.id/databencana/tabel/pencarian.php</x:v>
      </x:c>
      <x:c r="AF513" s="9" t="str">
        <x:v>operational_snapshot_annual_totals_may_differ</x:v>
      </x:c>
    </x:row>
    <x:row r="514" ht="18" customHeight="1">
      <x:c r="A514" s="6" t="str">
        <x:v>63</x:v>
      </x:c>
      <x:c r="B514" s="6" t="str">
        <x:v>KALIMANTAN SELATAN</x:v>
      </x:c>
      <x:c r="C514" s="6" t="str">
        <x:v>2024</x:v>
      </x:c>
      <x:c r="D514" s="6" t="str">
        <x:v>9</x:v>
      </x:c>
      <x:c r="E514" s="6" t="str">
        <x:v>3</x:v>
      </x:c>
      <x:c r="F514" s="6" t="str">
        <x:v>3</x:v>
      </x:c>
      <x:c r="G514" s="6" t="str">
        <x:v>0</x:v>
      </x:c>
      <x:c r="H514" s="6" t="str">
        <x:v>1</x:v>
      </x:c>
      <x:c r="I514" s="6" t="str">
        <x:v>0</x:v>
      </x:c>
      <x:c r="J514" s="6" t="str">
        <x:v>0</x:v>
      </x:c>
      <x:c r="K514" s="6" t="str">
        <x:v>2</x:v>
      </x:c>
      <x:c r="L514" s="6" t="str">
        <x:v>0</x:v>
      </x:c>
      <x:c r="M514" s="6" t="str">
        <x:v>0</x:v>
      </x:c>
      <x:c r="N514" s="6" t="str">
        <x:v>0</x:v>
      </x:c>
      <x:c r="O514" s="6" t="str">
        <x:v>0</x:v>
      </x:c>
      <x:c r="P514" s="6" t="str">
        <x:v>3</x:v>
      </x:c>
      <x:c r="Q514" s="6" t="str">
        <x:v>0.0</x:v>
      </x:c>
      <x:c r="R514" s="6" t="str">
        <x:v>3</x:v>
      </x:c>
      <x:c r="S514" s="6" t="str">
        <x:v>0.0</x:v>
      </x:c>
      <x:c r="T514" s="6" t="str">
        <x:v>3</x:v>
      </x:c>
      <x:c r="U514" s="6" t="str">
        <x:v>0.0</x:v>
      </x:c>
      <x:c r="V514" s="6" t="str">
        <x:v>3</x:v>
      </x:c>
      <x:c r="W514" s="6" t="str">
        <x:v>12.0</x:v>
      </x:c>
      <x:c r="X514" s="6" t="str">
        <x:v>3</x:v>
      </x:c>
      <x:c r="Y514" s="6" t="str"/>
      <x:c r="Z514" s="6" t="str">
        <x:v>0</x:v>
      </x:c>
      <x:c r="AA514" s="6" t="str">
        <x:v>0.0</x:v>
      </x:c>
      <x:c r="AB514" s="6" t="str">
        <x:v>3</x:v>
      </x:c>
      <x:c r="AC514" s="6" t="str">
        <x:v>2024-09</x:v>
      </x:c>
      <x:c r="AD514" s="9" t="str">
        <x:v>BNPB operational disaster search table</x:v>
      </x:c>
      <x:c r="AE514" s="9" t="str">
        <x:v>https://gis.bnpb.go.id/databencana/tabel/pencarian.php</x:v>
      </x:c>
      <x:c r="AF514" s="9" t="str">
        <x:v>operational_snapshot_annual_totals_may_differ</x:v>
      </x:c>
    </x:row>
    <x:row r="515" ht="18" customHeight="1">
      <x:c r="A515" s="6" t="str">
        <x:v>63</x:v>
      </x:c>
      <x:c r="B515" s="6" t="str">
        <x:v>KALIMANTAN SELATAN</x:v>
      </x:c>
      <x:c r="C515" s="6" t="str">
        <x:v>2024</x:v>
      </x:c>
      <x:c r="D515" s="6" t="str">
        <x:v>10</x:v>
      </x:c>
      <x:c r="E515" s="6" t="str">
        <x:v>2</x:v>
      </x:c>
      <x:c r="F515" s="6" t="str">
        <x:v>2</x:v>
      </x:c>
      <x:c r="G515" s="6" t="str">
        <x:v>0</x:v>
      </x:c>
      <x:c r="H515" s="6" t="str">
        <x:v>0</x:v>
      </x:c>
      <x:c r="I515" s="6" t="str">
        <x:v>1</x:v>
      </x:c>
      <x:c r="J515" s="6" t="str">
        <x:v>0</x:v>
      </x:c>
      <x:c r="K515" s="6" t="str">
        <x:v>1</x:v>
      </x:c>
      <x:c r="L515" s="6" t="str">
        <x:v>0</x:v>
      </x:c>
      <x:c r="M515" s="6" t="str">
        <x:v>0</x:v>
      </x:c>
      <x:c r="N515" s="6" t="str">
        <x:v>0</x:v>
      </x:c>
      <x:c r="O515" s="6" t="str">
        <x:v>0</x:v>
      </x:c>
      <x:c r="P515" s="6" t="str">
        <x:v>2</x:v>
      </x:c>
      <x:c r="Q515" s="6" t="str">
        <x:v>0.0</x:v>
      </x:c>
      <x:c r="R515" s="6" t="str">
        <x:v>2</x:v>
      </x:c>
      <x:c r="S515" s="6" t="str">
        <x:v>0.0</x:v>
      </x:c>
      <x:c r="T515" s="6" t="str">
        <x:v>2</x:v>
      </x:c>
      <x:c r="U515" s="6" t="str">
        <x:v>0.0</x:v>
      </x:c>
      <x:c r="V515" s="6" t="str">
        <x:v>2</x:v>
      </x:c>
      <x:c r="W515" s="6" t="str">
        <x:v>6.0</x:v>
      </x:c>
      <x:c r="X515" s="6" t="str">
        <x:v>2</x:v>
      </x:c>
      <x:c r="Y515" s="6" t="str"/>
      <x:c r="Z515" s="6" t="str">
        <x:v>0</x:v>
      </x:c>
      <x:c r="AA515" s="6" t="str">
        <x:v>1.0</x:v>
      </x:c>
      <x:c r="AB515" s="6" t="str">
        <x:v>2</x:v>
      </x:c>
      <x:c r="AC515" s="6" t="str">
        <x:v>2024-10</x:v>
      </x:c>
      <x:c r="AD515" s="9" t="str">
        <x:v>BNPB operational disaster search table</x:v>
      </x:c>
      <x:c r="AE515" s="9" t="str">
        <x:v>https://gis.bnpb.go.id/databencana/tabel/pencarian.php</x:v>
      </x:c>
      <x:c r="AF515" s="9" t="str">
        <x:v>operational_snapshot_annual_totals_may_differ</x:v>
      </x:c>
    </x:row>
    <x:row r="516" ht="18" customHeight="1">
      <x:c r="A516" s="6" t="str">
        <x:v>63</x:v>
      </x:c>
      <x:c r="B516" s="6" t="str">
        <x:v>KALIMANTAN SELATAN</x:v>
      </x:c>
      <x:c r="C516" s="6" t="str">
        <x:v>2024</x:v>
      </x:c>
      <x:c r="D516" s="6" t="str">
        <x:v>11</x:v>
      </x:c>
      <x:c r="E516" s="6" t="str">
        <x:v>1</x:v>
      </x:c>
      <x:c r="F516" s="6" t="str">
        <x:v>1</x:v>
      </x:c>
      <x:c r="G516" s="6" t="str">
        <x:v>0</x:v>
      </x:c>
      <x:c r="H516" s="6" t="str">
        <x:v>0</x:v>
      </x:c>
      <x:c r="I516" s="6" t="str">
        <x:v>1</x:v>
      </x:c>
      <x:c r="J516" s="6" t="str">
        <x:v>0</x:v>
      </x:c>
      <x:c r="K516" s="6" t="str">
        <x:v>0</x:v>
      </x:c>
      <x:c r="L516" s="6" t="str">
        <x:v>0</x:v>
      </x:c>
      <x:c r="M516" s="6" t="str">
        <x:v>0</x:v>
      </x:c>
      <x:c r="N516" s="6" t="str">
        <x:v>0</x:v>
      </x:c>
      <x:c r="O516" s="6" t="str">
        <x:v>0</x:v>
      </x:c>
      <x:c r="P516" s="6" t="str">
        <x:v>1</x:v>
      </x:c>
      <x:c r="Q516" s="6" t="str">
        <x:v>0.0</x:v>
      </x:c>
      <x:c r="R516" s="6" t="str">
        <x:v>1</x:v>
      </x:c>
      <x:c r="S516" s="6" t="str">
        <x:v>0.0</x:v>
      </x:c>
      <x:c r="T516" s="6" t="str">
        <x:v>1</x:v>
      </x:c>
      <x:c r="U516" s="6" t="str">
        <x:v>0.0</x:v>
      </x:c>
      <x:c r="V516" s="6" t="str">
        <x:v>1</x:v>
      </x:c>
      <x:c r="W516" s="6" t="str">
        <x:v>8.0</x:v>
      </x:c>
      <x:c r="X516" s="6" t="str">
        <x:v>1</x:v>
      </x:c>
      <x:c r="Y516" s="6" t="str"/>
      <x:c r="Z516" s="6" t="str">
        <x:v>0</x:v>
      </x:c>
      <x:c r="AA516" s="6" t="str">
        <x:v>0.0</x:v>
      </x:c>
      <x:c r="AB516" s="6" t="str">
        <x:v>1</x:v>
      </x:c>
      <x:c r="AC516" s="6" t="str">
        <x:v>2024-11</x:v>
      </x:c>
      <x:c r="AD516" s="9" t="str">
        <x:v>BNPB operational disaster search table</x:v>
      </x:c>
      <x:c r="AE516" s="9" t="str">
        <x:v>https://gis.bnpb.go.id/databencana/tabel/pencarian.php</x:v>
      </x:c>
      <x:c r="AF516" s="9" t="str">
        <x:v>operational_snapshot_annual_totals_may_differ</x:v>
      </x:c>
    </x:row>
    <x:row r="517" ht="18" customHeight="1">
      <x:c r="A517" s="6" t="str">
        <x:v>63</x:v>
      </x:c>
      <x:c r="B517" s="6" t="str">
        <x:v>KALIMANTAN SELATAN</x:v>
      </x:c>
      <x:c r="C517" s="6" t="str">
        <x:v>2024</x:v>
      </x:c>
      <x:c r="D517" s="6" t="str">
        <x:v>12</x:v>
      </x:c>
      <x:c r="E517" s="6" t="str">
        <x:v>3</x:v>
      </x:c>
      <x:c r="F517" s="6" t="str">
        <x:v>3</x:v>
      </x:c>
      <x:c r="G517" s="6" t="str">
        <x:v>3</x:v>
      </x:c>
      <x:c r="H517" s="6" t="str">
        <x:v>0</x:v>
      </x:c>
      <x:c r="I517" s="6" t="str">
        <x:v>0</x:v>
      </x:c>
      <x:c r="J517" s="6" t="str">
        <x:v>0</x:v>
      </x:c>
      <x:c r="K517" s="6" t="str">
        <x:v>0</x:v>
      </x:c>
      <x:c r="L517" s="6" t="str">
        <x:v>0</x:v>
      </x:c>
      <x:c r="M517" s="6" t="str">
        <x:v>0</x:v>
      </x:c>
      <x:c r="N517" s="6" t="str">
        <x:v>0</x:v>
      </x:c>
      <x:c r="O517" s="6" t="str">
        <x:v>0</x:v>
      </x:c>
      <x:c r="P517" s="6" t="str">
        <x:v>3</x:v>
      </x:c>
      <x:c r="Q517" s="6" t="str">
        <x:v>0.0</x:v>
      </x:c>
      <x:c r="R517" s="6" t="str">
        <x:v>3</x:v>
      </x:c>
      <x:c r="S517" s="6" t="str">
        <x:v>0.0</x:v>
      </x:c>
      <x:c r="T517" s="6" t="str">
        <x:v>3</x:v>
      </x:c>
      <x:c r="U517" s="6" t="str">
        <x:v>0.0</x:v>
      </x:c>
      <x:c r="V517" s="6" t="str">
        <x:v>3</x:v>
      </x:c>
      <x:c r="W517" s="6" t="str">
        <x:v>0.0</x:v>
      </x:c>
      <x:c r="X517" s="6" t="str">
        <x:v>3</x:v>
      </x:c>
      <x:c r="Y517" s="6" t="str">
        <x:v>7794.0</x:v>
      </x:c>
      <x:c r="Z517" s="6" t="str">
        <x:v>3</x:v>
      </x:c>
      <x:c r="AA517" s="6" t="str">
        <x:v>0.0</x:v>
      </x:c>
      <x:c r="AB517" s="6" t="str">
        <x:v>3</x:v>
      </x:c>
      <x:c r="AC517" s="6" t="str">
        <x:v>2024-12</x:v>
      </x:c>
      <x:c r="AD517" s="9" t="str">
        <x:v>BNPB operational disaster search table</x:v>
      </x:c>
      <x:c r="AE517" s="9" t="str">
        <x:v>https://gis.bnpb.go.id/databencana/tabel/pencarian.php</x:v>
      </x:c>
      <x:c r="AF517" s="9" t="str">
        <x:v>operational_snapshot_annual_totals_may_differ</x:v>
      </x:c>
    </x:row>
    <x:row r="518" ht="18" customHeight="1">
      <x:c r="A518" s="6" t="str">
        <x:v>63</x:v>
      </x:c>
      <x:c r="B518" s="6" t="str">
        <x:v>KALIMANTAN SELATAN</x:v>
      </x:c>
      <x:c r="C518" s="6" t="str">
        <x:v>2025</x:v>
      </x:c>
      <x:c r="D518" s="6" t="str">
        <x:v>1</x:v>
      </x:c>
      <x:c r="E518" s="6" t="str">
        <x:v>16</x:v>
      </x:c>
      <x:c r="F518" s="6" t="str">
        <x:v>16</x:v>
      </x:c>
      <x:c r="G518" s="6" t="str">
        <x:v>16</x:v>
      </x:c>
      <x:c r="H518" s="6" t="str">
        <x:v>0</x:v>
      </x:c>
      <x:c r="I518" s="6" t="str">
        <x:v>0</x:v>
      </x:c>
      <x:c r="J518" s="6" t="str">
        <x:v>0</x:v>
      </x:c>
      <x:c r="K518" s="6" t="str">
        <x:v>0</x:v>
      </x:c>
      <x:c r="L518" s="6" t="str">
        <x:v>0</x:v>
      </x:c>
      <x:c r="M518" s="6" t="str">
        <x:v>0</x:v>
      </x:c>
      <x:c r="N518" s="6" t="str">
        <x:v>0</x:v>
      </x:c>
      <x:c r="O518" s="6" t="str">
        <x:v>0</x:v>
      </x:c>
      <x:c r="P518" s="6" t="str">
        <x:v>16</x:v>
      </x:c>
      <x:c r="Q518" s="6" t="str">
        <x:v>0.0</x:v>
      </x:c>
      <x:c r="R518" s="6" t="str">
        <x:v>16</x:v>
      </x:c>
      <x:c r="S518" s="6" t="str">
        <x:v>0.0</x:v>
      </x:c>
      <x:c r="T518" s="6" t="str">
        <x:v>16</x:v>
      </x:c>
      <x:c r="U518" s="6" t="str">
        <x:v>0.0</x:v>
      </x:c>
      <x:c r="V518" s="6" t="str">
        <x:v>16</x:v>
      </x:c>
      <x:c r="W518" s="6" t="str">
        <x:v>0.0</x:v>
      </x:c>
      <x:c r="X518" s="6" t="str">
        <x:v>16</x:v>
      </x:c>
      <x:c r="Y518" s="6" t="str">
        <x:v>47362.0</x:v>
      </x:c>
      <x:c r="Z518" s="6" t="str">
        <x:v>15</x:v>
      </x:c>
      <x:c r="AA518" s="6" t="str">
        <x:v>1.0</x:v>
      </x:c>
      <x:c r="AB518" s="6" t="str">
        <x:v>16</x:v>
      </x:c>
      <x:c r="AC518" s="6" t="str">
        <x:v>2025-01</x:v>
      </x:c>
      <x:c r="AD518" s="9" t="str">
        <x:v>BNPB operational disaster search table</x:v>
      </x:c>
      <x:c r="AE518" s="9" t="str">
        <x:v>https://gis.bnpb.go.id/databencana/tabel/pencarian.php</x:v>
      </x:c>
      <x:c r="AF518" s="9" t="str">
        <x:v>operational_snapshot_annual_totals_may_differ</x:v>
      </x:c>
    </x:row>
    <x:row r="519" ht="18" customHeight="1">
      <x:c r="A519" s="6" t="str">
        <x:v>63</x:v>
      </x:c>
      <x:c r="B519" s="6" t="str">
        <x:v>KALIMANTAN SELATAN</x:v>
      </x:c>
      <x:c r="C519" s="6" t="str">
        <x:v>2025</x:v>
      </x:c>
      <x:c r="D519" s="6" t="str">
        <x:v>2</x:v>
      </x:c>
      <x:c r="E519" s="6" t="str">
        <x:v>4</x:v>
      </x:c>
      <x:c r="F519" s="6" t="str">
        <x:v>4</x:v>
      </x:c>
      <x:c r="G519" s="6" t="str">
        <x:v>1</x:v>
      </x:c>
      <x:c r="H519" s="6" t="str">
        <x:v>0</x:v>
      </x:c>
      <x:c r="I519" s="6" t="str">
        <x:v>3</x:v>
      </x:c>
      <x:c r="J519" s="6" t="str">
        <x:v>0</x:v>
      </x:c>
      <x:c r="K519" s="6" t="str">
        <x:v>0</x:v>
      </x:c>
      <x:c r="L519" s="6" t="str">
        <x:v>0</x:v>
      </x:c>
      <x:c r="M519" s="6" t="str">
        <x:v>0</x:v>
      </x:c>
      <x:c r="N519" s="6" t="str">
        <x:v>0</x:v>
      </x:c>
      <x:c r="O519" s="6" t="str">
        <x:v>0</x:v>
      </x:c>
      <x:c r="P519" s="6" t="str">
        <x:v>4</x:v>
      </x:c>
      <x:c r="Q519" s="6" t="str">
        <x:v>0.0</x:v>
      </x:c>
      <x:c r="R519" s="6" t="str">
        <x:v>4</x:v>
      </x:c>
      <x:c r="S519" s="6" t="str">
        <x:v>0.0</x:v>
      </x:c>
      <x:c r="T519" s="6" t="str">
        <x:v>4</x:v>
      </x:c>
      <x:c r="U519" s="6" t="str">
        <x:v>0.0</x:v>
      </x:c>
      <x:c r="V519" s="6" t="str">
        <x:v>4</x:v>
      </x:c>
      <x:c r="W519" s="6" t="str">
        <x:v>104.0</x:v>
      </x:c>
      <x:c r="X519" s="6" t="str">
        <x:v>4</x:v>
      </x:c>
      <x:c r="Y519" s="6" t="str">
        <x:v>1465.0</x:v>
      </x:c>
      <x:c r="Z519" s="6" t="str">
        <x:v>1</x:v>
      </x:c>
      <x:c r="AA519" s="6" t="str">
        <x:v>0.0</x:v>
      </x:c>
      <x:c r="AB519" s="6" t="str">
        <x:v>4</x:v>
      </x:c>
      <x:c r="AC519" s="6" t="str">
        <x:v>2025-02</x:v>
      </x:c>
      <x:c r="AD519" s="9" t="str">
        <x:v>BNPB operational disaster search table</x:v>
      </x:c>
      <x:c r="AE519" s="9" t="str">
        <x:v>https://gis.bnpb.go.id/databencana/tabel/pencarian.php</x:v>
      </x:c>
      <x:c r="AF519" s="9" t="str">
        <x:v>operational_snapshot_annual_totals_may_differ</x:v>
      </x:c>
    </x:row>
    <x:row r="520" ht="18" customHeight="1">
      <x:c r="A520" s="6" t="str">
        <x:v>63</x:v>
      </x:c>
      <x:c r="B520" s="6" t="str">
        <x:v>KALIMANTAN SELATAN</x:v>
      </x:c>
      <x:c r="C520" s="6" t="str">
        <x:v>2025</x:v>
      </x:c>
      <x:c r="D520" s="6" t="str">
        <x:v>3</x:v>
      </x:c>
      <x:c r="E520" s="6" t="str">
        <x:v>9</x:v>
      </x:c>
      <x:c r="F520" s="6" t="str">
        <x:v>9</x:v>
      </x:c>
      <x:c r="G520" s="6" t="str">
        <x:v>9</x:v>
      </x:c>
      <x:c r="H520" s="6" t="str">
        <x:v>0</x:v>
      </x:c>
      <x:c r="I520" s="6" t="str">
        <x:v>0</x:v>
      </x:c>
      <x:c r="J520" s="6" t="str">
        <x:v>0</x:v>
      </x:c>
      <x:c r="K520" s="6" t="str">
        <x:v>0</x:v>
      </x:c>
      <x:c r="L520" s="6" t="str">
        <x:v>0</x:v>
      </x:c>
      <x:c r="M520" s="6" t="str">
        <x:v>0</x:v>
      </x:c>
      <x:c r="N520" s="6" t="str">
        <x:v>0</x:v>
      </x:c>
      <x:c r="O520" s="6" t="str">
        <x:v>0</x:v>
      </x:c>
      <x:c r="P520" s="6" t="str">
        <x:v>9</x:v>
      </x:c>
      <x:c r="Q520" s="6" t="str">
        <x:v>0.0</x:v>
      </x:c>
      <x:c r="R520" s="6" t="str">
        <x:v>9</x:v>
      </x:c>
      <x:c r="S520" s="6" t="str">
        <x:v>0.0</x:v>
      </x:c>
      <x:c r="T520" s="6" t="str">
        <x:v>9</x:v>
      </x:c>
      <x:c r="U520" s="6" t="str">
        <x:v>0.0</x:v>
      </x:c>
      <x:c r="V520" s="6" t="str">
        <x:v>9</x:v>
      </x:c>
      <x:c r="W520" s="6" t="str">
        <x:v>0.0</x:v>
      </x:c>
      <x:c r="X520" s="6" t="str">
        <x:v>9</x:v>
      </x:c>
      <x:c r="Y520" s="6" t="str">
        <x:v>4269.0</x:v>
      </x:c>
      <x:c r="Z520" s="6" t="str">
        <x:v>8</x:v>
      </x:c>
      <x:c r="AA520" s="6" t="str">
        <x:v>2.0</x:v>
      </x:c>
      <x:c r="AB520" s="6" t="str">
        <x:v>9</x:v>
      </x:c>
      <x:c r="AC520" s="6" t="str">
        <x:v>2025-03</x:v>
      </x:c>
      <x:c r="AD520" s="9" t="str">
        <x:v>BNPB operational disaster search table</x:v>
      </x:c>
      <x:c r="AE520" s="9" t="str">
        <x:v>https://gis.bnpb.go.id/databencana/tabel/pencarian.php</x:v>
      </x:c>
      <x:c r="AF520" s="9" t="str">
        <x:v>operational_snapshot_annual_totals_may_differ</x:v>
      </x:c>
    </x:row>
    <x:row r="521" ht="18" customHeight="1">
      <x:c r="A521" s="6" t="str">
        <x:v>63</x:v>
      </x:c>
      <x:c r="B521" s="6" t="str">
        <x:v>KALIMANTAN SELATAN</x:v>
      </x:c>
      <x:c r="C521" s="6" t="str">
        <x:v>2025</x:v>
      </x:c>
      <x:c r="D521" s="6" t="str">
        <x:v>4</x:v>
      </x:c>
      <x:c r="E521" s="6" t="str">
        <x:v>2</x:v>
      </x:c>
      <x:c r="F521" s="6" t="str">
        <x:v>2</x:v>
      </x:c>
      <x:c r="G521" s="6" t="str">
        <x:v>2</x:v>
      </x:c>
      <x:c r="H521" s="6" t="str">
        <x:v>0</x:v>
      </x:c>
      <x:c r="I521" s="6" t="str">
        <x:v>0</x:v>
      </x:c>
      <x:c r="J521" s="6" t="str">
        <x:v>0</x:v>
      </x:c>
      <x:c r="K521" s="6" t="str">
        <x:v>0</x:v>
      </x:c>
      <x:c r="L521" s="6" t="str">
        <x:v>0</x:v>
      </x:c>
      <x:c r="M521" s="6" t="str">
        <x:v>0</x:v>
      </x:c>
      <x:c r="N521" s="6" t="str">
        <x:v>0</x:v>
      </x:c>
      <x:c r="O521" s="6" t="str">
        <x:v>0</x:v>
      </x:c>
      <x:c r="P521" s="6" t="str">
        <x:v>2</x:v>
      </x:c>
      <x:c r="Q521" s="6" t="str">
        <x:v>0.0</x:v>
      </x:c>
      <x:c r="R521" s="6" t="str">
        <x:v>2</x:v>
      </x:c>
      <x:c r="S521" s="6" t="str">
        <x:v>0.0</x:v>
      </x:c>
      <x:c r="T521" s="6" t="str">
        <x:v>2</x:v>
      </x:c>
      <x:c r="U521" s="6" t="str">
        <x:v>0.0</x:v>
      </x:c>
      <x:c r="V521" s="6" t="str">
        <x:v>2</x:v>
      </x:c>
      <x:c r="W521" s="6" t="str">
        <x:v>0.0</x:v>
      </x:c>
      <x:c r="X521" s="6" t="str">
        <x:v>2</x:v>
      </x:c>
      <x:c r="Y521" s="6" t="str">
        <x:v>5066.0</x:v>
      </x:c>
      <x:c r="Z521" s="6" t="str">
        <x:v>2</x:v>
      </x:c>
      <x:c r="AA521" s="6" t="str">
        <x:v>0.0</x:v>
      </x:c>
      <x:c r="AB521" s="6" t="str">
        <x:v>2</x:v>
      </x:c>
      <x:c r="AC521" s="6" t="str">
        <x:v>2025-04</x:v>
      </x:c>
      <x:c r="AD521" s="9" t="str">
        <x:v>BNPB operational disaster search table</x:v>
      </x:c>
      <x:c r="AE521" s="9" t="str">
        <x:v>https://gis.bnpb.go.id/databencana/tabel/pencarian.php</x:v>
      </x:c>
      <x:c r="AF521" s="9" t="str">
        <x:v>operational_snapshot_annual_totals_may_differ</x:v>
      </x:c>
    </x:row>
    <x:row r="522" ht="18" customHeight="1">
      <x:c r="A522" s="6" t="str">
        <x:v>63</x:v>
      </x:c>
      <x:c r="B522" s="6" t="str">
        <x:v>KALIMANTAN SELATAN</x:v>
      </x:c>
      <x:c r="C522" s="6" t="str">
        <x:v>2025</x:v>
      </x:c>
      <x:c r="D522" s="6" t="str">
        <x:v>5</x:v>
      </x:c>
      <x:c r="E522" s="6" t="str">
        <x:v>4</x:v>
      </x:c>
      <x:c r="F522" s="6" t="str">
        <x:v>4</x:v>
      </x:c>
      <x:c r="G522" s="6" t="str">
        <x:v>0</x:v>
      </x:c>
      <x:c r="H522" s="6" t="str">
        <x:v>1</x:v>
      </x:c>
      <x:c r="I522" s="6" t="str">
        <x:v>0</x:v>
      </x:c>
      <x:c r="J522" s="6" t="str">
        <x:v>0</x:v>
      </x:c>
      <x:c r="K522" s="6" t="str">
        <x:v>3</x:v>
      </x:c>
      <x:c r="L522" s="6" t="str">
        <x:v>0</x:v>
      </x:c>
      <x:c r="M522" s="6" t="str">
        <x:v>0</x:v>
      </x:c>
      <x:c r="N522" s="6" t="str">
        <x:v>0</x:v>
      </x:c>
      <x:c r="O522" s="6" t="str">
        <x:v>0</x:v>
      </x:c>
      <x:c r="P522" s="6" t="str">
        <x:v>4</x:v>
      </x:c>
      <x:c r="Q522" s="6" t="str">
        <x:v>1.0</x:v>
      </x:c>
      <x:c r="R522" s="6" t="str">
        <x:v>3</x:v>
      </x:c>
      <x:c r="S522" s="6" t="str">
        <x:v>0.0</x:v>
      </x:c>
      <x:c r="T522" s="6" t="str">
        <x:v>3</x:v>
      </x:c>
      <x:c r="U522" s="6" t="str">
        <x:v>0.0</x:v>
      </x:c>
      <x:c r="V522" s="6" t="str">
        <x:v>3</x:v>
      </x:c>
      <x:c r="W522" s="6" t="str">
        <x:v>0.0</x:v>
      </x:c>
      <x:c r="X522" s="6" t="str">
        <x:v>4</x:v>
      </x:c>
      <x:c r="Y522" s="6" t="str"/>
      <x:c r="Z522" s="6" t="str">
        <x:v>0</x:v>
      </x:c>
      <x:c r="AA522" s="6" t="str">
        <x:v>0.0</x:v>
      </x:c>
      <x:c r="AB522" s="6" t="str">
        <x:v>4</x:v>
      </x:c>
      <x:c r="AC522" s="6" t="str">
        <x:v>2025-05</x:v>
      </x:c>
      <x:c r="AD522" s="9" t="str">
        <x:v>BNPB operational disaster search table</x:v>
      </x:c>
      <x:c r="AE522" s="9" t="str">
        <x:v>https://gis.bnpb.go.id/databencana/tabel/pencarian.php</x:v>
      </x:c>
      <x:c r="AF522" s="9" t="str">
        <x:v>operational_snapshot_annual_totals_may_differ</x:v>
      </x:c>
    </x:row>
    <x:row r="523" ht="18" customHeight="1">
      <x:c r="A523" s="6" t="str">
        <x:v>63</x:v>
      </x:c>
      <x:c r="B523" s="6" t="str">
        <x:v>KALIMANTAN SELATAN</x:v>
      </x:c>
      <x:c r="C523" s="6" t="str">
        <x:v>2025</x:v>
      </x:c>
      <x:c r="D523" s="6" t="str">
        <x:v>6</x:v>
      </x:c>
      <x:c r="E523" s="6" t="str">
        <x:v>3</x:v>
      </x:c>
      <x:c r="F523" s="6" t="str">
        <x:v>3</x:v>
      </x:c>
      <x:c r="G523" s="6" t="str">
        <x:v>1</x:v>
      </x:c>
      <x:c r="H523" s="6" t="str">
        <x:v>0</x:v>
      </x:c>
      <x:c r="I523" s="6" t="str">
        <x:v>0</x:v>
      </x:c>
      <x:c r="J523" s="6" t="str">
        <x:v>0</x:v>
      </x:c>
      <x:c r="K523" s="6" t="str">
        <x:v>2</x:v>
      </x:c>
      <x:c r="L523" s="6" t="str">
        <x:v>0</x:v>
      </x:c>
      <x:c r="M523" s="6" t="str">
        <x:v>0</x:v>
      </x:c>
      <x:c r="N523" s="6" t="str">
        <x:v>0</x:v>
      </x:c>
      <x:c r="O523" s="6" t="str">
        <x:v>0</x:v>
      </x:c>
      <x:c r="P523" s="6" t="str">
        <x:v>3</x:v>
      </x:c>
      <x:c r="Q523" s="6" t="str">
        <x:v>0.0</x:v>
      </x:c>
      <x:c r="R523" s="6" t="str">
        <x:v>1</x:v>
      </x:c>
      <x:c r="S523" s="6" t="str">
        <x:v>0.0</x:v>
      </x:c>
      <x:c r="T523" s="6" t="str">
        <x:v>1</x:v>
      </x:c>
      <x:c r="U523" s="6" t="str">
        <x:v>0.0</x:v>
      </x:c>
      <x:c r="V523" s="6" t="str">
        <x:v>1</x:v>
      </x:c>
      <x:c r="W523" s="6" t="str">
        <x:v>0.0</x:v>
      </x:c>
      <x:c r="X523" s="6" t="str">
        <x:v>3</x:v>
      </x:c>
      <x:c r="Y523" s="6" t="str"/>
      <x:c r="Z523" s="6" t="str">
        <x:v>0</x:v>
      </x:c>
      <x:c r="AA523" s="6" t="str">
        <x:v>0.0</x:v>
      </x:c>
      <x:c r="AB523" s="6" t="str">
        <x:v>3</x:v>
      </x:c>
      <x:c r="AC523" s="6" t="str">
        <x:v>2025-06</x:v>
      </x:c>
      <x:c r="AD523" s="9" t="str">
        <x:v>BNPB operational disaster search table</x:v>
      </x:c>
      <x:c r="AE523" s="9" t="str">
        <x:v>https://gis.bnpb.go.id/databencana/tabel/pencarian.php</x:v>
      </x:c>
      <x:c r="AF523" s="9" t="str">
        <x:v>operational_snapshot_annual_totals_may_differ</x:v>
      </x:c>
    </x:row>
    <x:row r="524" ht="18" customHeight="1">
      <x:c r="A524" s="6" t="str">
        <x:v>63</x:v>
      </x:c>
      <x:c r="B524" s="6" t="str">
        <x:v>KALIMANTAN SELATAN</x:v>
      </x:c>
      <x:c r="C524" s="6" t="str">
        <x:v>2025</x:v>
      </x:c>
      <x:c r="D524" s="6" t="str">
        <x:v>7</x:v>
      </x:c>
      <x:c r="E524" s="6" t="str">
        <x:v>3</x:v>
      </x:c>
      <x:c r="F524" s="6" t="str">
        <x:v>3</x:v>
      </x:c>
      <x:c r="G524" s="6" t="str">
        <x:v>0</x:v>
      </x:c>
      <x:c r="H524" s="6" t="str">
        <x:v>0</x:v>
      </x:c>
      <x:c r="I524" s="6" t="str">
        <x:v>0</x:v>
      </x:c>
      <x:c r="J524" s="6" t="str">
        <x:v>0</x:v>
      </x:c>
      <x:c r="K524" s="6" t="str">
        <x:v>3</x:v>
      </x:c>
      <x:c r="L524" s="6" t="str">
        <x:v>0</x:v>
      </x:c>
      <x:c r="M524" s="6" t="str">
        <x:v>0</x:v>
      </x:c>
      <x:c r="N524" s="6" t="str">
        <x:v>0</x:v>
      </x:c>
      <x:c r="O524" s="6" t="str">
        <x:v>0</x:v>
      </x:c>
      <x:c r="P524" s="6" t="str">
        <x:v>3</x:v>
      </x:c>
      <x:c r="Q524" s="6" t="str"/>
      <x:c r="R524" s="6" t="str">
        <x:v>0</x:v>
      </x:c>
      <x:c r="S524" s="6" t="str"/>
      <x:c r="T524" s="6" t="str">
        <x:v>0</x:v>
      </x:c>
      <x:c r="U524" s="6" t="str"/>
      <x:c r="V524" s="6" t="str">
        <x:v>0</x:v>
      </x:c>
      <x:c r="W524" s="6" t="str">
        <x:v>0.0</x:v>
      </x:c>
      <x:c r="X524" s="6" t="str">
        <x:v>3</x:v>
      </x:c>
      <x:c r="Y524" s="6" t="str"/>
      <x:c r="Z524" s="6" t="str">
        <x:v>0</x:v>
      </x:c>
      <x:c r="AA524" s="6" t="str">
        <x:v>0.0</x:v>
      </x:c>
      <x:c r="AB524" s="6" t="str">
        <x:v>3</x:v>
      </x:c>
      <x:c r="AC524" s="6" t="str">
        <x:v>2025-07</x:v>
      </x:c>
      <x:c r="AD524" s="9" t="str">
        <x:v>BNPB operational disaster search table</x:v>
      </x:c>
      <x:c r="AE524" s="9" t="str">
        <x:v>https://gis.bnpb.go.id/databencana/tabel/pencarian.php</x:v>
      </x:c>
      <x:c r="AF524" s="9" t="str">
        <x:v>operational_snapshot_annual_totals_may_differ</x:v>
      </x:c>
    </x:row>
    <x:row r="525" ht="18" customHeight="1">
      <x:c r="A525" s="6" t="str">
        <x:v>63</x:v>
      </x:c>
      <x:c r="B525" s="6" t="str">
        <x:v>KALIMANTAN SELATAN</x:v>
      </x:c>
      <x:c r="C525" s="6" t="str">
        <x:v>2025</x:v>
      </x:c>
      <x:c r="D525" s="6" t="str">
        <x:v>8</x:v>
      </x:c>
      <x:c r="E525" s="6" t="str">
        <x:v>0</x:v>
      </x:c>
      <x:c r="F525" s="6" t="str">
        <x:v>0</x:v>
      </x:c>
      <x:c r="G525" s="6" t="str">
        <x:v>0</x:v>
      </x:c>
      <x:c r="H525" s="6" t="str">
        <x:v>0</x:v>
      </x:c>
      <x:c r="I525" s="6" t="str">
        <x:v>0</x:v>
      </x:c>
      <x:c r="J525" s="6" t="str">
        <x:v>0</x:v>
      </x:c>
      <x:c r="K525" s="6" t="str">
        <x:v>0</x:v>
      </x:c>
      <x:c r="L525" s="6" t="str">
        <x:v>0</x:v>
      </x:c>
      <x:c r="M525" s="6" t="str">
        <x:v>0</x:v>
      </x:c>
      <x:c r="N525" s="6" t="str">
        <x:v>0</x:v>
      </x:c>
      <x:c r="O525" s="6" t="str">
        <x:v>0</x:v>
      </x:c>
      <x:c r="P525" s="6" t="str">
        <x:v>0</x:v>
      </x:c>
      <x:c r="Q525" s="6" t="str"/>
      <x:c r="R525" s="6" t="str">
        <x:v>0</x:v>
      </x:c>
      <x:c r="S525" s="6" t="str"/>
      <x:c r="T525" s="6" t="str">
        <x:v>0</x:v>
      </x:c>
      <x:c r="U525" s="6" t="str"/>
      <x:c r="V525" s="6" t="str">
        <x:v>0</x:v>
      </x:c>
      <x:c r="W525" s="6" t="str"/>
      <x:c r="X525" s="6" t="str">
        <x:v>0</x:v>
      </x:c>
      <x:c r="Y525" s="6" t="str"/>
      <x:c r="Z525" s="6" t="str">
        <x:v>0</x:v>
      </x:c>
      <x:c r="AA525" s="6" t="str"/>
      <x:c r="AB525" s="6" t="str">
        <x:v>0</x:v>
      </x:c>
      <x:c r="AC525" s="6" t="str">
        <x:v>2025-08</x:v>
      </x:c>
      <x:c r="AD525" s="9" t="str">
        <x:v>BNPB operational disaster search table</x:v>
      </x:c>
      <x:c r="AE525" s="9" t="str">
        <x:v>https://gis.bnpb.go.id/databencana/tabel/pencarian.php</x:v>
      </x:c>
      <x:c r="AF525" s="9" t="str">
        <x:v>operational_snapshot_annual_totals_may_differ</x:v>
      </x:c>
    </x:row>
    <x:row r="526" ht="18" customHeight="1">
      <x:c r="A526" s="6" t="str">
        <x:v>63</x:v>
      </x:c>
      <x:c r="B526" s="6" t="str">
        <x:v>KALIMANTAN SELATAN</x:v>
      </x:c>
      <x:c r="C526" s="6" t="str">
        <x:v>2025</x:v>
      </x:c>
      <x:c r="D526" s="6" t="str">
        <x:v>9</x:v>
      </x:c>
      <x:c r="E526" s="6" t="str">
        <x:v>2</x:v>
      </x:c>
      <x:c r="F526" s="6" t="str">
        <x:v>2</x:v>
      </x:c>
      <x:c r="G526" s="6" t="str">
        <x:v>0</x:v>
      </x:c>
      <x:c r="H526" s="6" t="str">
        <x:v>0</x:v>
      </x:c>
      <x:c r="I526" s="6" t="str">
        <x:v>1</x:v>
      </x:c>
      <x:c r="J526" s="6" t="str">
        <x:v>0</x:v>
      </x:c>
      <x:c r="K526" s="6" t="str">
        <x:v>1</x:v>
      </x:c>
      <x:c r="L526" s="6" t="str">
        <x:v>0</x:v>
      </x:c>
      <x:c r="M526" s="6" t="str">
        <x:v>0</x:v>
      </x:c>
      <x:c r="N526" s="6" t="str">
        <x:v>0</x:v>
      </x:c>
      <x:c r="O526" s="6" t="str">
        <x:v>0</x:v>
      </x:c>
      <x:c r="P526" s="6" t="str">
        <x:v>2</x:v>
      </x:c>
      <x:c r="Q526" s="6" t="str"/>
      <x:c r="R526" s="6" t="str">
        <x:v>0</x:v>
      </x:c>
      <x:c r="S526" s="6" t="str"/>
      <x:c r="T526" s="6" t="str">
        <x:v>0</x:v>
      </x:c>
      <x:c r="U526" s="6" t="str"/>
      <x:c r="V526" s="6" t="str">
        <x:v>0</x:v>
      </x:c>
      <x:c r="W526" s="6" t="str">
        <x:v>23.0</x:v>
      </x:c>
      <x:c r="X526" s="6" t="str">
        <x:v>2</x:v>
      </x:c>
      <x:c r="Y526" s="6" t="str"/>
      <x:c r="Z526" s="6" t="str">
        <x:v>0</x:v>
      </x:c>
      <x:c r="AA526" s="6" t="str">
        <x:v>0.0</x:v>
      </x:c>
      <x:c r="AB526" s="6" t="str">
        <x:v>2</x:v>
      </x:c>
      <x:c r="AC526" s="6" t="str">
        <x:v>2025-09</x:v>
      </x:c>
      <x:c r="AD526" s="9" t="str">
        <x:v>BNPB operational disaster search table</x:v>
      </x:c>
      <x:c r="AE526" s="9" t="str">
        <x:v>https://gis.bnpb.go.id/databencana/tabel/pencarian.php</x:v>
      </x:c>
      <x:c r="AF526" s="9" t="str">
        <x:v>operational_snapshot_annual_totals_may_differ</x:v>
      </x:c>
    </x:row>
    <x:row r="527" ht="18" customHeight="1">
      <x:c r="A527" s="6" t="str">
        <x:v>63</x:v>
      </x:c>
      <x:c r="B527" s="6" t="str">
        <x:v>KALIMANTAN SELATAN</x:v>
      </x:c>
      <x:c r="C527" s="6" t="str">
        <x:v>2025</x:v>
      </x:c>
      <x:c r="D527" s="6" t="str">
        <x:v>10</x:v>
      </x:c>
      <x:c r="E527" s="6" t="str">
        <x:v>0</x:v>
      </x:c>
      <x:c r="F527" s="6" t="str">
        <x:v>0</x:v>
      </x:c>
      <x:c r="G527" s="6" t="str">
        <x:v>0</x:v>
      </x:c>
      <x:c r="H527" s="6" t="str">
        <x:v>0</x:v>
      </x:c>
      <x:c r="I527" s="6" t="str">
        <x:v>0</x:v>
      </x:c>
      <x:c r="J527" s="6" t="str">
        <x:v>0</x:v>
      </x:c>
      <x:c r="K527" s="6" t="str">
        <x:v>0</x:v>
      </x:c>
      <x:c r="L527" s="6" t="str">
        <x:v>0</x:v>
      </x:c>
      <x:c r="M527" s="6" t="str">
        <x:v>0</x:v>
      </x:c>
      <x:c r="N527" s="6" t="str">
        <x:v>0</x:v>
      </x:c>
      <x:c r="O527" s="6" t="str">
        <x:v>0</x:v>
      </x:c>
      <x:c r="P527" s="6" t="str">
        <x:v>0</x:v>
      </x:c>
      <x:c r="Q527" s="6" t="str"/>
      <x:c r="R527" s="6" t="str">
        <x:v>0</x:v>
      </x:c>
      <x:c r="S527" s="6" t="str"/>
      <x:c r="T527" s="6" t="str">
        <x:v>0</x:v>
      </x:c>
      <x:c r="U527" s="6" t="str"/>
      <x:c r="V527" s="6" t="str">
        <x:v>0</x:v>
      </x:c>
      <x:c r="W527" s="6" t="str"/>
      <x:c r="X527" s="6" t="str">
        <x:v>0</x:v>
      </x:c>
      <x:c r="Y527" s="6" t="str"/>
      <x:c r="Z527" s="6" t="str">
        <x:v>0</x:v>
      </x:c>
      <x:c r="AA527" s="6" t="str"/>
      <x:c r="AB527" s="6" t="str">
        <x:v>0</x:v>
      </x:c>
      <x:c r="AC527" s="6" t="str">
        <x:v>2025-10</x:v>
      </x:c>
      <x:c r="AD527" s="9" t="str">
        <x:v>BNPB operational disaster search table</x:v>
      </x:c>
      <x:c r="AE527" s="9" t="str">
        <x:v>https://gis.bnpb.go.id/databencana/tabel/pencarian.php</x:v>
      </x:c>
      <x:c r="AF527" s="9" t="str">
        <x:v>operational_snapshot_annual_totals_may_differ</x:v>
      </x:c>
    </x:row>
    <x:row r="528" ht="18" customHeight="1">
      <x:c r="A528" s="6" t="str">
        <x:v>63</x:v>
      </x:c>
      <x:c r="B528" s="6" t="str">
        <x:v>KALIMANTAN SELATAN</x:v>
      </x:c>
      <x:c r="C528" s="6" t="str">
        <x:v>2025</x:v>
      </x:c>
      <x:c r="D528" s="6" t="str">
        <x:v>11</x:v>
      </x:c>
      <x:c r="E528" s="6" t="str">
        <x:v>3</x:v>
      </x:c>
      <x:c r="F528" s="6" t="str">
        <x:v>3</x:v>
      </x:c>
      <x:c r="G528" s="6" t="str">
        <x:v>2</x:v>
      </x:c>
      <x:c r="H528" s="6" t="str">
        <x:v>0</x:v>
      </x:c>
      <x:c r="I528" s="6" t="str">
        <x:v>1</x:v>
      </x:c>
      <x:c r="J528" s="6" t="str">
        <x:v>0</x:v>
      </x:c>
      <x:c r="K528" s="6" t="str">
        <x:v>0</x:v>
      </x:c>
      <x:c r="L528" s="6" t="str">
        <x:v>0</x:v>
      </x:c>
      <x:c r="M528" s="6" t="str">
        <x:v>0</x:v>
      </x:c>
      <x:c r="N528" s="6" t="str">
        <x:v>0</x:v>
      </x:c>
      <x:c r="O528" s="6" t="str">
        <x:v>0</x:v>
      </x:c>
      <x:c r="P528" s="6" t="str">
        <x:v>3</x:v>
      </x:c>
      <x:c r="Q528" s="6" t="str"/>
      <x:c r="R528" s="6" t="str">
        <x:v>0</x:v>
      </x:c>
      <x:c r="S528" s="6" t="str"/>
      <x:c r="T528" s="6" t="str">
        <x:v>0</x:v>
      </x:c>
      <x:c r="U528" s="6" t="str"/>
      <x:c r="V528" s="6" t="str">
        <x:v>0</x:v>
      </x:c>
      <x:c r="W528" s="6" t="str">
        <x:v>16.0</x:v>
      </x:c>
      <x:c r="X528" s="6" t="str">
        <x:v>3</x:v>
      </x:c>
      <x:c r="Y528" s="6" t="str">
        <x:v>2129.0</x:v>
      </x:c>
      <x:c r="Z528" s="6" t="str">
        <x:v>1</x:v>
      </x:c>
      <x:c r="AA528" s="6" t="str">
        <x:v>2.0</x:v>
      </x:c>
      <x:c r="AB528" s="6" t="str">
        <x:v>3</x:v>
      </x:c>
      <x:c r="AC528" s="6" t="str">
        <x:v>2025-11</x:v>
      </x:c>
      <x:c r="AD528" s="9" t="str">
        <x:v>BNPB operational disaster search table</x:v>
      </x:c>
      <x:c r="AE528" s="9" t="str">
        <x:v>https://gis.bnpb.go.id/databencana/tabel/pencarian.php</x:v>
      </x:c>
      <x:c r="AF528" s="9" t="str">
        <x:v>operational_snapshot_annual_totals_may_differ</x:v>
      </x:c>
    </x:row>
    <x:row r="529" ht="18" customHeight="1">
      <x:c r="A529" s="6" t="str">
        <x:v>63</x:v>
      </x:c>
      <x:c r="B529" s="6" t="str">
        <x:v>KALIMANTAN SELATAN</x:v>
      </x:c>
      <x:c r="C529" s="6" t="str">
        <x:v>2025</x:v>
      </x:c>
      <x:c r="D529" s="6" t="str">
        <x:v>12</x:v>
      </x:c>
      <x:c r="E529" s="6" t="str">
        <x:v>19</x:v>
      </x:c>
      <x:c r="F529" s="6" t="str">
        <x:v>19</x:v>
      </x:c>
      <x:c r="G529" s="6" t="str">
        <x:v>13</x:v>
      </x:c>
      <x:c r="H529" s="6" t="str">
        <x:v>0</x:v>
      </x:c>
      <x:c r="I529" s="6" t="str">
        <x:v>5</x:v>
      </x:c>
      <x:c r="J529" s="6" t="str">
        <x:v>0</x:v>
      </x:c>
      <x:c r="K529" s="6" t="str">
        <x:v>0</x:v>
      </x:c>
      <x:c r="L529" s="6" t="str">
        <x:v>1</x:v>
      </x:c>
      <x:c r="M529" s="6" t="str">
        <x:v>0</x:v>
      </x:c>
      <x:c r="N529" s="6" t="str">
        <x:v>0</x:v>
      </x:c>
      <x:c r="O529" s="6" t="str">
        <x:v>0</x:v>
      </x:c>
      <x:c r="P529" s="6" t="str">
        <x:v>19</x:v>
      </x:c>
      <x:c r="Q529" s="6" t="str">
        <x:v>3.0</x:v>
      </x:c>
      <x:c r="R529" s="6" t="str">
        <x:v>1</x:v>
      </x:c>
      <x:c r="S529" s="6" t="str"/>
      <x:c r="T529" s="6" t="str">
        <x:v>0</x:v>
      </x:c>
      <x:c r="U529" s="6" t="str">
        <x:v>1.0</x:v>
      </x:c>
      <x:c r="V529" s="6" t="str">
        <x:v>1</x:v>
      </x:c>
      <x:c r="W529" s="6" t="str">
        <x:v>100.0</x:v>
      </x:c>
      <x:c r="X529" s="6" t="str">
        <x:v>19</x:v>
      </x:c>
      <x:c r="Y529" s="6" t="str">
        <x:v>46129.0</x:v>
      </x:c>
      <x:c r="Z529" s="6" t="str">
        <x:v>14</x:v>
      </x:c>
      <x:c r="AA529" s="6" t="str">
        <x:v>5.0</x:v>
      </x:c>
      <x:c r="AB529" s="6" t="str">
        <x:v>19</x:v>
      </x:c>
      <x:c r="AC529" s="6" t="str">
        <x:v>2025-12</x:v>
      </x:c>
      <x:c r="AD529" s="9" t="str">
        <x:v>BNPB operational disaster search table</x:v>
      </x:c>
      <x:c r="AE529" s="9" t="str">
        <x:v>https://gis.bnpb.go.id/databencana/tabel/pencarian.php</x:v>
      </x:c>
      <x:c r="AF529" s="9" t="str">
        <x:v>operational_snapshot_annual_totals_may_differ</x:v>
      </x:c>
    </x:row>
    <x:row r="530" ht="18" customHeight="1">
      <x:c r="A530" s="6" t="str">
        <x:v>64</x:v>
      </x:c>
      <x:c r="B530" s="6" t="str">
        <x:v>KALIMANTAN TIMUR</x:v>
      </x:c>
      <x:c r="C530" s="6" t="str">
        <x:v>2024</x:v>
      </x:c>
      <x:c r="D530" s="6" t="str">
        <x:v>1</x:v>
      </x:c>
      <x:c r="E530" s="6" t="str">
        <x:v>4</x:v>
      </x:c>
      <x:c r="F530" s="6" t="str">
        <x:v>4</x:v>
      </x:c>
      <x:c r="G530" s="6" t="str">
        <x:v>0</x:v>
      </x:c>
      <x:c r="H530" s="6" t="str">
        <x:v>0</x:v>
      </x:c>
      <x:c r="I530" s="6" t="str">
        <x:v>1</x:v>
      </x:c>
      <x:c r="J530" s="6" t="str">
        <x:v>0</x:v>
      </x:c>
      <x:c r="K530" s="6" t="str">
        <x:v>3</x:v>
      </x:c>
      <x:c r="L530" s="6" t="str">
        <x:v>0</x:v>
      </x:c>
      <x:c r="M530" s="6" t="str">
        <x:v>0</x:v>
      </x:c>
      <x:c r="N530" s="6" t="str">
        <x:v>0</x:v>
      </x:c>
      <x:c r="O530" s="6" t="str">
        <x:v>0</x:v>
      </x:c>
      <x:c r="P530" s="6" t="str">
        <x:v>4</x:v>
      </x:c>
      <x:c r="Q530" s="6" t="str">
        <x:v>0.0</x:v>
      </x:c>
      <x:c r="R530" s="6" t="str">
        <x:v>4</x:v>
      </x:c>
      <x:c r="S530" s="6" t="str">
        <x:v>0.0</x:v>
      </x:c>
      <x:c r="T530" s="6" t="str">
        <x:v>4</x:v>
      </x:c>
      <x:c r="U530" s="6" t="str">
        <x:v>0.0</x:v>
      </x:c>
      <x:c r="V530" s="6" t="str">
        <x:v>4</x:v>
      </x:c>
      <x:c r="W530" s="6" t="str">
        <x:v>30.0</x:v>
      </x:c>
      <x:c r="X530" s="6" t="str">
        <x:v>4</x:v>
      </x:c>
      <x:c r="Y530" s="6" t="str">
        <x:v>0.0</x:v>
      </x:c>
      <x:c r="Z530" s="6" t="str">
        <x:v>4</x:v>
      </x:c>
      <x:c r="AA530" s="6" t="str">
        <x:v>1.0</x:v>
      </x:c>
      <x:c r="AB530" s="6" t="str">
        <x:v>4</x:v>
      </x:c>
      <x:c r="AC530" s="6" t="str">
        <x:v>2024-01</x:v>
      </x:c>
      <x:c r="AD530" s="9" t="str">
        <x:v>BNPB operational disaster search table</x:v>
      </x:c>
      <x:c r="AE530" s="9" t="str">
        <x:v>https://gis.bnpb.go.id/databencana/tabel/pencarian.php</x:v>
      </x:c>
      <x:c r="AF530" s="9" t="str">
        <x:v>operational_snapshot_annual_totals_may_differ</x:v>
      </x:c>
    </x:row>
    <x:row r="531" ht="18" customHeight="1">
      <x:c r="A531" s="6" t="str">
        <x:v>64</x:v>
      </x:c>
      <x:c r="B531" s="6" t="str">
        <x:v>KALIMANTAN TIMUR</x:v>
      </x:c>
      <x:c r="C531" s="6" t="str">
        <x:v>2024</x:v>
      </x:c>
      <x:c r="D531" s="6" t="str">
        <x:v>2</x:v>
      </x:c>
      <x:c r="E531" s="6" t="str">
        <x:v>19</x:v>
      </x:c>
      <x:c r="F531" s="6" t="str">
        <x:v>19</x:v>
      </x:c>
      <x:c r="G531" s="6" t="str">
        <x:v>0</x:v>
      </x:c>
      <x:c r="H531" s="6" t="str">
        <x:v>0</x:v>
      </x:c>
      <x:c r="I531" s="6" t="str">
        <x:v>0</x:v>
      </x:c>
      <x:c r="J531" s="6" t="str">
        <x:v>0</x:v>
      </x:c>
      <x:c r="K531" s="6" t="str">
        <x:v>19</x:v>
      </x:c>
      <x:c r="L531" s="6" t="str">
        <x:v>0</x:v>
      </x:c>
      <x:c r="M531" s="6" t="str">
        <x:v>0</x:v>
      </x:c>
      <x:c r="N531" s="6" t="str">
        <x:v>0</x:v>
      </x:c>
      <x:c r="O531" s="6" t="str">
        <x:v>0</x:v>
      </x:c>
      <x:c r="P531" s="6" t="str">
        <x:v>19</x:v>
      </x:c>
      <x:c r="Q531" s="6" t="str">
        <x:v>0.0</x:v>
      </x:c>
      <x:c r="R531" s="6" t="str">
        <x:v>19</x:v>
      </x:c>
      <x:c r="S531" s="6" t="str">
        <x:v>0.0</x:v>
      </x:c>
      <x:c r="T531" s="6" t="str">
        <x:v>19</x:v>
      </x:c>
      <x:c r="U531" s="6" t="str">
        <x:v>0.0</x:v>
      </x:c>
      <x:c r="V531" s="6" t="str">
        <x:v>19</x:v>
      </x:c>
      <x:c r="W531" s="6" t="str">
        <x:v>0.0</x:v>
      </x:c>
      <x:c r="X531" s="6" t="str">
        <x:v>19</x:v>
      </x:c>
      <x:c r="Y531" s="6" t="str">
        <x:v>0.0</x:v>
      </x:c>
      <x:c r="Z531" s="6" t="str">
        <x:v>18</x:v>
      </x:c>
      <x:c r="AA531" s="6" t="str">
        <x:v>0.0</x:v>
      </x:c>
      <x:c r="AB531" s="6" t="str">
        <x:v>19</x:v>
      </x:c>
      <x:c r="AC531" s="6" t="str">
        <x:v>2024-02</x:v>
      </x:c>
      <x:c r="AD531" s="9" t="str">
        <x:v>BNPB operational disaster search table</x:v>
      </x:c>
      <x:c r="AE531" s="9" t="str">
        <x:v>https://gis.bnpb.go.id/databencana/tabel/pencarian.php</x:v>
      </x:c>
      <x:c r="AF531" s="9" t="str">
        <x:v>operational_snapshot_annual_totals_may_differ</x:v>
      </x:c>
    </x:row>
    <x:row r="532" ht="18" customHeight="1">
      <x:c r="A532" s="6" t="str">
        <x:v>64</x:v>
      </x:c>
      <x:c r="B532" s="6" t="str">
        <x:v>KALIMANTAN TIMUR</x:v>
      </x:c>
      <x:c r="C532" s="6" t="str">
        <x:v>2024</x:v>
      </x:c>
      <x:c r="D532" s="6" t="str">
        <x:v>3</x:v>
      </x:c>
      <x:c r="E532" s="6" t="str">
        <x:v>29</x:v>
      </x:c>
      <x:c r="F532" s="6" t="str">
        <x:v>29</x:v>
      </x:c>
      <x:c r="G532" s="6" t="str">
        <x:v>2</x:v>
      </x:c>
      <x:c r="H532" s="6" t="str">
        <x:v>0</x:v>
      </x:c>
      <x:c r="I532" s="6" t="str">
        <x:v>0</x:v>
      </x:c>
      <x:c r="J532" s="6" t="str">
        <x:v>0</x:v>
      </x:c>
      <x:c r="K532" s="6" t="str">
        <x:v>27</x:v>
      </x:c>
      <x:c r="L532" s="6" t="str">
        <x:v>0</x:v>
      </x:c>
      <x:c r="M532" s="6" t="str">
        <x:v>0</x:v>
      </x:c>
      <x:c r="N532" s="6" t="str">
        <x:v>0</x:v>
      </x:c>
      <x:c r="O532" s="6" t="str">
        <x:v>0</x:v>
      </x:c>
      <x:c r="P532" s="6" t="str">
        <x:v>29</x:v>
      </x:c>
      <x:c r="Q532" s="6" t="str">
        <x:v>0.0</x:v>
      </x:c>
      <x:c r="R532" s="6" t="str">
        <x:v>29</x:v>
      </x:c>
      <x:c r="S532" s="6" t="str">
        <x:v>0.0</x:v>
      </x:c>
      <x:c r="T532" s="6" t="str">
        <x:v>29</x:v>
      </x:c>
      <x:c r="U532" s="6" t="str">
        <x:v>0.0</x:v>
      </x:c>
      <x:c r="V532" s="6" t="str">
        <x:v>29</x:v>
      </x:c>
      <x:c r="W532" s="6" t="str">
        <x:v>2.0</x:v>
      </x:c>
      <x:c r="X532" s="6" t="str">
        <x:v>29</x:v>
      </x:c>
      <x:c r="Y532" s="6" t="str">
        <x:v>62.0</x:v>
      </x:c>
      <x:c r="Z532" s="6" t="str">
        <x:v>29</x:v>
      </x:c>
      <x:c r="AA532" s="6" t="str">
        <x:v>1.0</x:v>
      </x:c>
      <x:c r="AB532" s="6" t="str">
        <x:v>29</x:v>
      </x:c>
      <x:c r="AC532" s="6" t="str">
        <x:v>2024-03</x:v>
      </x:c>
      <x:c r="AD532" s="9" t="str">
        <x:v>BNPB operational disaster search table</x:v>
      </x:c>
      <x:c r="AE532" s="9" t="str">
        <x:v>https://gis.bnpb.go.id/databencana/tabel/pencarian.php</x:v>
      </x:c>
      <x:c r="AF532" s="9" t="str">
        <x:v>operational_snapshot_annual_totals_may_differ</x:v>
      </x:c>
    </x:row>
    <x:row r="533" ht="18" customHeight="1">
      <x:c r="A533" s="6" t="str">
        <x:v>64</x:v>
      </x:c>
      <x:c r="B533" s="6" t="str">
        <x:v>KALIMANTAN TIMUR</x:v>
      </x:c>
      <x:c r="C533" s="6" t="str">
        <x:v>2024</x:v>
      </x:c>
      <x:c r="D533" s="6" t="str">
        <x:v>4</x:v>
      </x:c>
      <x:c r="E533" s="6" t="str">
        <x:v>38</x:v>
      </x:c>
      <x:c r="F533" s="6" t="str">
        <x:v>38</x:v>
      </x:c>
      <x:c r="G533" s="6" t="str">
        <x:v>0</x:v>
      </x:c>
      <x:c r="H533" s="6" t="str">
        <x:v>0</x:v>
      </x:c>
      <x:c r="I533" s="6" t="str">
        <x:v>0</x:v>
      </x:c>
      <x:c r="J533" s="6" t="str">
        <x:v>0</x:v>
      </x:c>
      <x:c r="K533" s="6" t="str">
        <x:v>38</x:v>
      </x:c>
      <x:c r="L533" s="6" t="str">
        <x:v>0</x:v>
      </x:c>
      <x:c r="M533" s="6" t="str">
        <x:v>0</x:v>
      </x:c>
      <x:c r="N533" s="6" t="str">
        <x:v>0</x:v>
      </x:c>
      <x:c r="O533" s="6" t="str">
        <x:v>0</x:v>
      </x:c>
      <x:c r="P533" s="6" t="str">
        <x:v>38</x:v>
      </x:c>
      <x:c r="Q533" s="6" t="str">
        <x:v>0.0</x:v>
      </x:c>
      <x:c r="R533" s="6" t="str">
        <x:v>38</x:v>
      </x:c>
      <x:c r="S533" s="6" t="str">
        <x:v>0.0</x:v>
      </x:c>
      <x:c r="T533" s="6" t="str">
        <x:v>38</x:v>
      </x:c>
      <x:c r="U533" s="6" t="str">
        <x:v>0.0</x:v>
      </x:c>
      <x:c r="V533" s="6" t="str">
        <x:v>38</x:v>
      </x:c>
      <x:c r="W533" s="6" t="str">
        <x:v>0.0</x:v>
      </x:c>
      <x:c r="X533" s="6" t="str">
        <x:v>38</x:v>
      </x:c>
      <x:c r="Y533" s="6" t="str">
        <x:v>0.0</x:v>
      </x:c>
      <x:c r="Z533" s="6" t="str">
        <x:v>35</x:v>
      </x:c>
      <x:c r="AA533" s="6" t="str">
        <x:v>0.0</x:v>
      </x:c>
      <x:c r="AB533" s="6" t="str">
        <x:v>38</x:v>
      </x:c>
      <x:c r="AC533" s="6" t="str">
        <x:v>2024-04</x:v>
      </x:c>
      <x:c r="AD533" s="9" t="str">
        <x:v>BNPB operational disaster search table</x:v>
      </x:c>
      <x:c r="AE533" s="9" t="str">
        <x:v>https://gis.bnpb.go.id/databencana/tabel/pencarian.php</x:v>
      </x:c>
      <x:c r="AF533" s="9" t="str">
        <x:v>operational_snapshot_annual_totals_may_differ</x:v>
      </x:c>
    </x:row>
    <x:row r="534" ht="18" customHeight="1">
      <x:c r="A534" s="6" t="str">
        <x:v>64</x:v>
      </x:c>
      <x:c r="B534" s="6" t="str">
        <x:v>KALIMANTAN TIMUR</x:v>
      </x:c>
      <x:c r="C534" s="6" t="str">
        <x:v>2024</x:v>
      </x:c>
      <x:c r="D534" s="6" t="str">
        <x:v>5</x:v>
      </x:c>
      <x:c r="E534" s="6" t="str">
        <x:v>38</x:v>
      </x:c>
      <x:c r="F534" s="6" t="str">
        <x:v>38</x:v>
      </x:c>
      <x:c r="G534" s="6" t="str">
        <x:v>37</x:v>
      </x:c>
      <x:c r="H534" s="6" t="str">
        <x:v>0</x:v>
      </x:c>
      <x:c r="I534" s="6" t="str">
        <x:v>0</x:v>
      </x:c>
      <x:c r="J534" s="6" t="str">
        <x:v>0</x:v>
      </x:c>
      <x:c r="K534" s="6" t="str">
        <x:v>1</x:v>
      </x:c>
      <x:c r="L534" s="6" t="str">
        <x:v>0</x:v>
      </x:c>
      <x:c r="M534" s="6" t="str">
        <x:v>0</x:v>
      </x:c>
      <x:c r="N534" s="6" t="str">
        <x:v>0</x:v>
      </x:c>
      <x:c r="O534" s="6" t="str">
        <x:v>0</x:v>
      </x:c>
      <x:c r="P534" s="6" t="str">
        <x:v>38</x:v>
      </x:c>
      <x:c r="Q534" s="6" t="str">
        <x:v>0.0</x:v>
      </x:c>
      <x:c r="R534" s="6" t="str">
        <x:v>38</x:v>
      </x:c>
      <x:c r="S534" s="6" t="str">
        <x:v>0.0</x:v>
      </x:c>
      <x:c r="T534" s="6" t="str">
        <x:v>38</x:v>
      </x:c>
      <x:c r="U534" s="6" t="str">
        <x:v>0.0</x:v>
      </x:c>
      <x:c r="V534" s="6" t="str">
        <x:v>38</x:v>
      </x:c>
      <x:c r="W534" s="6" t="str">
        <x:v>97.0</x:v>
      </x:c>
      <x:c r="X534" s="6" t="str">
        <x:v>38</x:v>
      </x:c>
      <x:c r="Y534" s="6" t="str">
        <x:v>9795.0</x:v>
      </x:c>
      <x:c r="Z534" s="6" t="str">
        <x:v>38</x:v>
      </x:c>
      <x:c r="AA534" s="6" t="str">
        <x:v>0.0</x:v>
      </x:c>
      <x:c r="AB534" s="6" t="str">
        <x:v>38</x:v>
      </x:c>
      <x:c r="AC534" s="6" t="str">
        <x:v>2024-05</x:v>
      </x:c>
      <x:c r="AD534" s="9" t="str">
        <x:v>BNPB operational disaster search table</x:v>
      </x:c>
      <x:c r="AE534" s="9" t="str">
        <x:v>https://gis.bnpb.go.id/databencana/tabel/pencarian.php</x:v>
      </x:c>
      <x:c r="AF534" s="9" t="str">
        <x:v>operational_snapshot_annual_totals_may_differ</x:v>
      </x:c>
    </x:row>
    <x:row r="535" ht="18" customHeight="1">
      <x:c r="A535" s="6" t="str">
        <x:v>64</x:v>
      </x:c>
      <x:c r="B535" s="6" t="str">
        <x:v>KALIMANTAN TIMUR</x:v>
      </x:c>
      <x:c r="C535" s="6" t="str">
        <x:v>2024</x:v>
      </x:c>
      <x:c r="D535" s="6" t="str">
        <x:v>6</x:v>
      </x:c>
      <x:c r="E535" s="6" t="str">
        <x:v>6</x:v>
      </x:c>
      <x:c r="F535" s="6" t="str">
        <x:v>6</x:v>
      </x:c>
      <x:c r="G535" s="6" t="str">
        <x:v>6</x:v>
      </x:c>
      <x:c r="H535" s="6" t="str">
        <x:v>0</x:v>
      </x:c>
      <x:c r="I535" s="6" t="str">
        <x:v>0</x:v>
      </x:c>
      <x:c r="J535" s="6" t="str">
        <x:v>0</x:v>
      </x:c>
      <x:c r="K535" s="6" t="str">
        <x:v>0</x:v>
      </x:c>
      <x:c r="L535" s="6" t="str">
        <x:v>0</x:v>
      </x:c>
      <x:c r="M535" s="6" t="str">
        <x:v>0</x:v>
      </x:c>
      <x:c r="N535" s="6" t="str">
        <x:v>0</x:v>
      </x:c>
      <x:c r="O535" s="6" t="str">
        <x:v>0</x:v>
      </x:c>
      <x:c r="P535" s="6" t="str">
        <x:v>6</x:v>
      </x:c>
      <x:c r="Q535" s="6" t="str">
        <x:v>0.0</x:v>
      </x:c>
      <x:c r="R535" s="6" t="str">
        <x:v>6</x:v>
      </x:c>
      <x:c r="S535" s="6" t="str">
        <x:v>0.0</x:v>
      </x:c>
      <x:c r="T535" s="6" t="str">
        <x:v>6</x:v>
      </x:c>
      <x:c r="U535" s="6" t="str">
        <x:v>0.0</x:v>
      </x:c>
      <x:c r="V535" s="6" t="str">
        <x:v>6</x:v>
      </x:c>
      <x:c r="W535" s="6" t="str">
        <x:v>0.0</x:v>
      </x:c>
      <x:c r="X535" s="6" t="str">
        <x:v>6</x:v>
      </x:c>
      <x:c r="Y535" s="6" t="str">
        <x:v>243.0</x:v>
      </x:c>
      <x:c r="Z535" s="6" t="str">
        <x:v>6</x:v>
      </x:c>
      <x:c r="AA535" s="6" t="str">
        <x:v>0.0</x:v>
      </x:c>
      <x:c r="AB535" s="6" t="str">
        <x:v>6</x:v>
      </x:c>
      <x:c r="AC535" s="6" t="str">
        <x:v>2024-06</x:v>
      </x:c>
      <x:c r="AD535" s="9" t="str">
        <x:v>BNPB operational disaster search table</x:v>
      </x:c>
      <x:c r="AE535" s="9" t="str">
        <x:v>https://gis.bnpb.go.id/databencana/tabel/pencarian.php</x:v>
      </x:c>
      <x:c r="AF535" s="9" t="str">
        <x:v>operational_snapshot_annual_totals_may_differ</x:v>
      </x:c>
    </x:row>
    <x:row r="536" ht="18" customHeight="1">
      <x:c r="A536" s="6" t="str">
        <x:v>64</x:v>
      </x:c>
      <x:c r="B536" s="6" t="str">
        <x:v>KALIMANTAN TIMUR</x:v>
      </x:c>
      <x:c r="C536" s="6" t="str">
        <x:v>2024</x:v>
      </x:c>
      <x:c r="D536" s="6" t="str">
        <x:v>7</x:v>
      </x:c>
      <x:c r="E536" s="6" t="str">
        <x:v>13</x:v>
      </x:c>
      <x:c r="F536" s="6" t="str">
        <x:v>13</x:v>
      </x:c>
      <x:c r="G536" s="6" t="str">
        <x:v>9</x:v>
      </x:c>
      <x:c r="H536" s="6" t="str">
        <x:v>2</x:v>
      </x:c>
      <x:c r="I536" s="6" t="str">
        <x:v>0</x:v>
      </x:c>
      <x:c r="J536" s="6" t="str">
        <x:v>0</x:v>
      </x:c>
      <x:c r="K536" s="6" t="str">
        <x:v>2</x:v>
      </x:c>
      <x:c r="L536" s="6" t="str">
        <x:v>0</x:v>
      </x:c>
      <x:c r="M536" s="6" t="str">
        <x:v>0</x:v>
      </x:c>
      <x:c r="N536" s="6" t="str">
        <x:v>0</x:v>
      </x:c>
      <x:c r="O536" s="6" t="str">
        <x:v>0</x:v>
      </x:c>
      <x:c r="P536" s="6" t="str">
        <x:v>13</x:v>
      </x:c>
      <x:c r="Q536" s="6" t="str">
        <x:v>0.0</x:v>
      </x:c>
      <x:c r="R536" s="6" t="str">
        <x:v>13</x:v>
      </x:c>
      <x:c r="S536" s="6" t="str">
        <x:v>0.0</x:v>
      </x:c>
      <x:c r="T536" s="6" t="str">
        <x:v>13</x:v>
      </x:c>
      <x:c r="U536" s="6" t="str">
        <x:v>0.0</x:v>
      </x:c>
      <x:c r="V536" s="6" t="str">
        <x:v>13</x:v>
      </x:c>
      <x:c r="W536" s="6" t="str">
        <x:v>21.0</x:v>
      </x:c>
      <x:c r="X536" s="6" t="str">
        <x:v>13</x:v>
      </x:c>
      <x:c r="Y536" s="6" t="str">
        <x:v>447.0</x:v>
      </x:c>
      <x:c r="Z536" s="6" t="str">
        <x:v>13</x:v>
      </x:c>
      <x:c r="AA536" s="6" t="str">
        <x:v>1.0</x:v>
      </x:c>
      <x:c r="AB536" s="6" t="str">
        <x:v>13</x:v>
      </x:c>
      <x:c r="AC536" s="6" t="str">
        <x:v>2024-07</x:v>
      </x:c>
      <x:c r="AD536" s="9" t="str">
        <x:v>BNPB operational disaster search table</x:v>
      </x:c>
      <x:c r="AE536" s="9" t="str">
        <x:v>https://gis.bnpb.go.id/databencana/tabel/pencarian.php</x:v>
      </x:c>
      <x:c r="AF536" s="9" t="str">
        <x:v>operational_snapshot_annual_totals_may_differ</x:v>
      </x:c>
    </x:row>
    <x:row r="537" ht="18" customHeight="1">
      <x:c r="A537" s="6" t="str">
        <x:v>64</x:v>
      </x:c>
      <x:c r="B537" s="6" t="str">
        <x:v>KALIMANTAN TIMUR</x:v>
      </x:c>
      <x:c r="C537" s="6" t="str">
        <x:v>2024</x:v>
      </x:c>
      <x:c r="D537" s="6" t="str">
        <x:v>8</x:v>
      </x:c>
      <x:c r="E537" s="6" t="str">
        <x:v>14</x:v>
      </x:c>
      <x:c r="F537" s="6" t="str">
        <x:v>14</x:v>
      </x:c>
      <x:c r="G537" s="6" t="str">
        <x:v>9</x:v>
      </x:c>
      <x:c r="H537" s="6" t="str">
        <x:v>1</x:v>
      </x:c>
      <x:c r="I537" s="6" t="str">
        <x:v>0</x:v>
      </x:c>
      <x:c r="J537" s="6" t="str">
        <x:v>0</x:v>
      </x:c>
      <x:c r="K537" s="6" t="str">
        <x:v>4</x:v>
      </x:c>
      <x:c r="L537" s="6" t="str">
        <x:v>0</x:v>
      </x:c>
      <x:c r="M537" s="6" t="str">
        <x:v>0</x:v>
      </x:c>
      <x:c r="N537" s="6" t="str">
        <x:v>0</x:v>
      </x:c>
      <x:c r="O537" s="6" t="str">
        <x:v>0</x:v>
      </x:c>
      <x:c r="P537" s="6" t="str">
        <x:v>14</x:v>
      </x:c>
      <x:c r="Q537" s="6" t="str">
        <x:v>1.0</x:v>
      </x:c>
      <x:c r="R537" s="6" t="str">
        <x:v>14</x:v>
      </x:c>
      <x:c r="S537" s="6" t="str">
        <x:v>0.0</x:v>
      </x:c>
      <x:c r="T537" s="6" t="str">
        <x:v>14</x:v>
      </x:c>
      <x:c r="U537" s="6" t="str">
        <x:v>0.0</x:v>
      </x:c>
      <x:c r="V537" s="6" t="str">
        <x:v>14</x:v>
      </x:c>
      <x:c r="W537" s="6" t="str">
        <x:v>5.0</x:v>
      </x:c>
      <x:c r="X537" s="6" t="str">
        <x:v>14</x:v>
      </x:c>
      <x:c r="Y537" s="6" t="str">
        <x:v>274.0</x:v>
      </x:c>
      <x:c r="Z537" s="6" t="str">
        <x:v>13</x:v>
      </x:c>
      <x:c r="AA537" s="6" t="str">
        <x:v>0.0</x:v>
      </x:c>
      <x:c r="AB537" s="6" t="str">
        <x:v>14</x:v>
      </x:c>
      <x:c r="AC537" s="6" t="str">
        <x:v>2024-08</x:v>
      </x:c>
      <x:c r="AD537" s="9" t="str">
        <x:v>BNPB operational disaster search table</x:v>
      </x:c>
      <x:c r="AE537" s="9" t="str">
        <x:v>https://gis.bnpb.go.id/databencana/tabel/pencarian.php</x:v>
      </x:c>
      <x:c r="AF537" s="9" t="str">
        <x:v>operational_snapshot_annual_totals_may_differ</x:v>
      </x:c>
    </x:row>
    <x:row r="538" ht="18" customHeight="1">
      <x:c r="A538" s="6" t="str">
        <x:v>64</x:v>
      </x:c>
      <x:c r="B538" s="6" t="str">
        <x:v>KALIMANTAN TIMUR</x:v>
      </x:c>
      <x:c r="C538" s="6" t="str">
        <x:v>2024</x:v>
      </x:c>
      <x:c r="D538" s="6" t="str">
        <x:v>9</x:v>
      </x:c>
      <x:c r="E538" s="6" t="str">
        <x:v>24</x:v>
      </x:c>
      <x:c r="F538" s="6" t="str">
        <x:v>24</x:v>
      </x:c>
      <x:c r="G538" s="6" t="str">
        <x:v>1</x:v>
      </x:c>
      <x:c r="H538" s="6" t="str">
        <x:v>0</x:v>
      </x:c>
      <x:c r="I538" s="6" t="str">
        <x:v>1</x:v>
      </x:c>
      <x:c r="J538" s="6" t="str">
        <x:v>0</x:v>
      </x:c>
      <x:c r="K538" s="6" t="str">
        <x:v>21</x:v>
      </x:c>
      <x:c r="L538" s="6" t="str">
        <x:v>1</x:v>
      </x:c>
      <x:c r="M538" s="6" t="str">
        <x:v>0</x:v>
      </x:c>
      <x:c r="N538" s="6" t="str">
        <x:v>0</x:v>
      </x:c>
      <x:c r="O538" s="6" t="str">
        <x:v>0</x:v>
      </x:c>
      <x:c r="P538" s="6" t="str">
        <x:v>24</x:v>
      </x:c>
      <x:c r="Q538" s="6" t="str">
        <x:v>0.0</x:v>
      </x:c>
      <x:c r="R538" s="6" t="str">
        <x:v>24</x:v>
      </x:c>
      <x:c r="S538" s="6" t="str">
        <x:v>0.0</x:v>
      </x:c>
      <x:c r="T538" s="6" t="str">
        <x:v>24</x:v>
      </x:c>
      <x:c r="U538" s="6" t="str">
        <x:v>1.0</x:v>
      </x:c>
      <x:c r="V538" s="6" t="str">
        <x:v>24</x:v>
      </x:c>
      <x:c r="W538" s="6" t="str">
        <x:v>31.0</x:v>
      </x:c>
      <x:c r="X538" s="6" t="str">
        <x:v>24</x:v>
      </x:c>
      <x:c r="Y538" s="6" t="str">
        <x:v>512.0</x:v>
      </x:c>
      <x:c r="Z538" s="6" t="str">
        <x:v>24</x:v>
      </x:c>
      <x:c r="AA538" s="6" t="str">
        <x:v>1.0</x:v>
      </x:c>
      <x:c r="AB538" s="6" t="str">
        <x:v>24</x:v>
      </x:c>
      <x:c r="AC538" s="6" t="str">
        <x:v>2024-09</x:v>
      </x:c>
      <x:c r="AD538" s="9" t="str">
        <x:v>BNPB operational disaster search table</x:v>
      </x:c>
      <x:c r="AE538" s="9" t="str">
        <x:v>https://gis.bnpb.go.id/databencana/tabel/pencarian.php</x:v>
      </x:c>
      <x:c r="AF538" s="9" t="str">
        <x:v>operational_snapshot_annual_totals_may_differ</x:v>
      </x:c>
    </x:row>
    <x:row r="539" ht="18" customHeight="1">
      <x:c r="A539" s="6" t="str">
        <x:v>64</x:v>
      </x:c>
      <x:c r="B539" s="6" t="str">
        <x:v>KALIMANTAN TIMUR</x:v>
      </x:c>
      <x:c r="C539" s="6" t="str">
        <x:v>2024</x:v>
      </x:c>
      <x:c r="D539" s="6" t="str">
        <x:v>10</x:v>
      </x:c>
      <x:c r="E539" s="6" t="str">
        <x:v>20</x:v>
      </x:c>
      <x:c r="F539" s="6" t="str">
        <x:v>20</x:v>
      </x:c>
      <x:c r="G539" s="6" t="str">
        <x:v>6</x:v>
      </x:c>
      <x:c r="H539" s="6" t="str">
        <x:v>0</x:v>
      </x:c>
      <x:c r="I539" s="6" t="str">
        <x:v>1</x:v>
      </x:c>
      <x:c r="J539" s="6" t="str">
        <x:v>0</x:v>
      </x:c>
      <x:c r="K539" s="6" t="str">
        <x:v>13</x:v>
      </x:c>
      <x:c r="L539" s="6" t="str">
        <x:v>0</x:v>
      </x:c>
      <x:c r="M539" s="6" t="str">
        <x:v>0</x:v>
      </x:c>
      <x:c r="N539" s="6" t="str">
        <x:v>0</x:v>
      </x:c>
      <x:c r="O539" s="6" t="str">
        <x:v>0</x:v>
      </x:c>
      <x:c r="P539" s="6" t="str">
        <x:v>20</x:v>
      </x:c>
      <x:c r="Q539" s="6" t="str">
        <x:v>0.0</x:v>
      </x:c>
      <x:c r="R539" s="6" t="str">
        <x:v>20</x:v>
      </x:c>
      <x:c r="S539" s="6" t="str">
        <x:v>0.0</x:v>
      </x:c>
      <x:c r="T539" s="6" t="str">
        <x:v>20</x:v>
      </x:c>
      <x:c r="U539" s="6" t="str">
        <x:v>0.0</x:v>
      </x:c>
      <x:c r="V539" s="6" t="str">
        <x:v>20</x:v>
      </x:c>
      <x:c r="W539" s="6" t="str">
        <x:v>22.0</x:v>
      </x:c>
      <x:c r="X539" s="6" t="str">
        <x:v>20</x:v>
      </x:c>
      <x:c r="Y539" s="6" t="str">
        <x:v>176.0</x:v>
      </x:c>
      <x:c r="Z539" s="6" t="str">
        <x:v>19</x:v>
      </x:c>
      <x:c r="AA539" s="6" t="str">
        <x:v>0.0</x:v>
      </x:c>
      <x:c r="AB539" s="6" t="str">
        <x:v>20</x:v>
      </x:c>
      <x:c r="AC539" s="6" t="str">
        <x:v>2024-10</x:v>
      </x:c>
      <x:c r="AD539" s="9" t="str">
        <x:v>BNPB operational disaster search table</x:v>
      </x:c>
      <x:c r="AE539" s="9" t="str">
        <x:v>https://gis.bnpb.go.id/databencana/tabel/pencarian.php</x:v>
      </x:c>
      <x:c r="AF539" s="9" t="str">
        <x:v>operational_snapshot_annual_totals_may_differ</x:v>
      </x:c>
    </x:row>
    <x:row r="540" ht="18" customHeight="1">
      <x:c r="A540" s="6" t="str">
        <x:v>64</x:v>
      </x:c>
      <x:c r="B540" s="6" t="str">
        <x:v>KALIMANTAN TIMUR</x:v>
      </x:c>
      <x:c r="C540" s="6" t="str">
        <x:v>2024</x:v>
      </x:c>
      <x:c r="D540" s="6" t="str">
        <x:v>11</x:v>
      </x:c>
      <x:c r="E540" s="6" t="str">
        <x:v>10</x:v>
      </x:c>
      <x:c r="F540" s="6" t="str">
        <x:v>10</x:v>
      </x:c>
      <x:c r="G540" s="6" t="str">
        <x:v>9</x:v>
      </x:c>
      <x:c r="H540" s="6" t="str">
        <x:v>0</x:v>
      </x:c>
      <x:c r="I540" s="6" t="str">
        <x:v>0</x:v>
      </x:c>
      <x:c r="J540" s="6" t="str">
        <x:v>0</x:v>
      </x:c>
      <x:c r="K540" s="6" t="str">
        <x:v>1</x:v>
      </x:c>
      <x:c r="L540" s="6" t="str">
        <x:v>0</x:v>
      </x:c>
      <x:c r="M540" s="6" t="str">
        <x:v>0</x:v>
      </x:c>
      <x:c r="N540" s="6" t="str">
        <x:v>0</x:v>
      </x:c>
      <x:c r="O540" s="6" t="str">
        <x:v>0</x:v>
      </x:c>
      <x:c r="P540" s="6" t="str">
        <x:v>10</x:v>
      </x:c>
      <x:c r="Q540" s="6" t="str">
        <x:v>0.0</x:v>
      </x:c>
      <x:c r="R540" s="6" t="str">
        <x:v>10</x:v>
      </x:c>
      <x:c r="S540" s="6" t="str">
        <x:v>0.0</x:v>
      </x:c>
      <x:c r="T540" s="6" t="str">
        <x:v>10</x:v>
      </x:c>
      <x:c r="U540" s="6" t="str">
        <x:v>0.0</x:v>
      </x:c>
      <x:c r="V540" s="6" t="str">
        <x:v>10</x:v>
      </x:c>
      <x:c r="W540" s="6" t="str">
        <x:v>0.0</x:v>
      </x:c>
      <x:c r="X540" s="6" t="str">
        <x:v>10</x:v>
      </x:c>
      <x:c r="Y540" s="6" t="str">
        <x:v>255.0</x:v>
      </x:c>
      <x:c r="Z540" s="6" t="str">
        <x:v>10</x:v>
      </x:c>
      <x:c r="AA540" s="6" t="str">
        <x:v>0.0</x:v>
      </x:c>
      <x:c r="AB540" s="6" t="str">
        <x:v>10</x:v>
      </x:c>
      <x:c r="AC540" s="6" t="str">
        <x:v>2024-11</x:v>
      </x:c>
      <x:c r="AD540" s="9" t="str">
        <x:v>BNPB operational disaster search table</x:v>
      </x:c>
      <x:c r="AE540" s="9" t="str">
        <x:v>https://gis.bnpb.go.id/databencana/tabel/pencarian.php</x:v>
      </x:c>
      <x:c r="AF540" s="9" t="str">
        <x:v>operational_snapshot_annual_totals_may_differ</x:v>
      </x:c>
    </x:row>
    <x:row r="541" ht="18" customHeight="1">
      <x:c r="A541" s="6" t="str">
        <x:v>64</x:v>
      </x:c>
      <x:c r="B541" s="6" t="str">
        <x:v>KALIMANTAN TIMUR</x:v>
      </x:c>
      <x:c r="C541" s="6" t="str">
        <x:v>2024</x:v>
      </x:c>
      <x:c r="D541" s="6" t="str">
        <x:v>12</x:v>
      </x:c>
      <x:c r="E541" s="6" t="str">
        <x:v>4</x:v>
      </x:c>
      <x:c r="F541" s="6" t="str">
        <x:v>4</x:v>
      </x:c>
      <x:c r="G541" s="6" t="str">
        <x:v>3</x:v>
      </x:c>
      <x:c r="H541" s="6" t="str">
        <x:v>0</x:v>
      </x:c>
      <x:c r="I541" s="6" t="str">
        <x:v>1</x:v>
      </x:c>
      <x:c r="J541" s="6" t="str">
        <x:v>0</x:v>
      </x:c>
      <x:c r="K541" s="6" t="str">
        <x:v>0</x:v>
      </x:c>
      <x:c r="L541" s="6" t="str">
        <x:v>0</x:v>
      </x:c>
      <x:c r="M541" s="6" t="str">
        <x:v>0</x:v>
      </x:c>
      <x:c r="N541" s="6" t="str">
        <x:v>0</x:v>
      </x:c>
      <x:c r="O541" s="6" t="str">
        <x:v>0</x:v>
      </x:c>
      <x:c r="P541" s="6" t="str">
        <x:v>4</x:v>
      </x:c>
      <x:c r="Q541" s="6" t="str">
        <x:v>0.0</x:v>
      </x:c>
      <x:c r="R541" s="6" t="str">
        <x:v>4</x:v>
      </x:c>
      <x:c r="S541" s="6" t="str">
        <x:v>0.0</x:v>
      </x:c>
      <x:c r="T541" s="6" t="str">
        <x:v>4</x:v>
      </x:c>
      <x:c r="U541" s="6" t="str">
        <x:v>0.0</x:v>
      </x:c>
      <x:c r="V541" s="6" t="str">
        <x:v>4</x:v>
      </x:c>
      <x:c r="W541" s="6" t="str">
        <x:v>25.0</x:v>
      </x:c>
      <x:c r="X541" s="6" t="str">
        <x:v>4</x:v>
      </x:c>
      <x:c r="Y541" s="6" t="str">
        <x:v>356.0</x:v>
      </x:c>
      <x:c r="Z541" s="6" t="str">
        <x:v>4</x:v>
      </x:c>
      <x:c r="AA541" s="6" t="str">
        <x:v>0.0</x:v>
      </x:c>
      <x:c r="AB541" s="6" t="str">
        <x:v>4</x:v>
      </x:c>
      <x:c r="AC541" s="6" t="str">
        <x:v>2024-12</x:v>
      </x:c>
      <x:c r="AD541" s="9" t="str">
        <x:v>BNPB operational disaster search table</x:v>
      </x:c>
      <x:c r="AE541" s="9" t="str">
        <x:v>https://gis.bnpb.go.id/databencana/tabel/pencarian.php</x:v>
      </x:c>
      <x:c r="AF541" s="9" t="str">
        <x:v>operational_snapshot_annual_totals_may_differ</x:v>
      </x:c>
    </x:row>
    <x:row r="542" ht="18" customHeight="1">
      <x:c r="A542" s="6" t="str">
        <x:v>64</x:v>
      </x:c>
      <x:c r="B542" s="6" t="str">
        <x:v>KALIMANTAN TIMUR</x:v>
      </x:c>
      <x:c r="C542" s="6" t="str">
        <x:v>2025</x:v>
      </x:c>
      <x:c r="D542" s="6" t="str">
        <x:v>1</x:v>
      </x:c>
      <x:c r="E542" s="6" t="str">
        <x:v>13</x:v>
      </x:c>
      <x:c r="F542" s="6" t="str">
        <x:v>13</x:v>
      </x:c>
      <x:c r="G542" s="6" t="str">
        <x:v>10</x:v>
      </x:c>
      <x:c r="H542" s="6" t="str">
        <x:v>3</x:v>
      </x:c>
      <x:c r="I542" s="6" t="str">
        <x:v>0</x:v>
      </x:c>
      <x:c r="J542" s="6" t="str">
        <x:v>0</x:v>
      </x:c>
      <x:c r="K542" s="6" t="str">
        <x:v>0</x:v>
      </x:c>
      <x:c r="L542" s="6" t="str">
        <x:v>0</x:v>
      </x:c>
      <x:c r="M542" s="6" t="str">
        <x:v>0</x:v>
      </x:c>
      <x:c r="N542" s="6" t="str">
        <x:v>0</x:v>
      </x:c>
      <x:c r="O542" s="6" t="str">
        <x:v>0</x:v>
      </x:c>
      <x:c r="P542" s="6" t="str">
        <x:v>13</x:v>
      </x:c>
      <x:c r="Q542" s="6" t="str">
        <x:v>0.0</x:v>
      </x:c>
      <x:c r="R542" s="6" t="str">
        <x:v>13</x:v>
      </x:c>
      <x:c r="S542" s="6" t="str">
        <x:v>0.0</x:v>
      </x:c>
      <x:c r="T542" s="6" t="str">
        <x:v>13</x:v>
      </x:c>
      <x:c r="U542" s="6" t="str">
        <x:v>0.0</x:v>
      </x:c>
      <x:c r="V542" s="6" t="str">
        <x:v>13</x:v>
      </x:c>
      <x:c r="W542" s="6" t="str">
        <x:v>10.0</x:v>
      </x:c>
      <x:c r="X542" s="6" t="str">
        <x:v>13</x:v>
      </x:c>
      <x:c r="Y542" s="6" t="str">
        <x:v>9202.0</x:v>
      </x:c>
      <x:c r="Z542" s="6" t="str">
        <x:v>11</x:v>
      </x:c>
      <x:c r="AA542" s="6" t="str">
        <x:v>1.0</x:v>
      </x:c>
      <x:c r="AB542" s="6" t="str">
        <x:v>13</x:v>
      </x:c>
      <x:c r="AC542" s="6" t="str">
        <x:v>2025-01</x:v>
      </x:c>
      <x:c r="AD542" s="9" t="str">
        <x:v>BNPB operational disaster search table</x:v>
      </x:c>
      <x:c r="AE542" s="9" t="str">
        <x:v>https://gis.bnpb.go.id/databencana/tabel/pencarian.php</x:v>
      </x:c>
      <x:c r="AF542" s="9" t="str">
        <x:v>operational_snapshot_annual_totals_may_differ</x:v>
      </x:c>
    </x:row>
    <x:row r="543" ht="18" customHeight="1">
      <x:c r="A543" s="6" t="str">
        <x:v>64</x:v>
      </x:c>
      <x:c r="B543" s="6" t="str">
        <x:v>KALIMANTAN TIMUR</x:v>
      </x:c>
      <x:c r="C543" s="6" t="str">
        <x:v>2025</x:v>
      </x:c>
      <x:c r="D543" s="6" t="str">
        <x:v>2</x:v>
      </x:c>
      <x:c r="E543" s="6" t="str">
        <x:v>5</x:v>
      </x:c>
      <x:c r="F543" s="6" t="str">
        <x:v>5</x:v>
      </x:c>
      <x:c r="G543" s="6" t="str">
        <x:v>2</x:v>
      </x:c>
      <x:c r="H543" s="6" t="str">
        <x:v>2</x:v>
      </x:c>
      <x:c r="I543" s="6" t="str">
        <x:v>0</x:v>
      </x:c>
      <x:c r="J543" s="6" t="str">
        <x:v>0</x:v>
      </x:c>
      <x:c r="K543" s="6" t="str">
        <x:v>1</x:v>
      </x:c>
      <x:c r="L543" s="6" t="str">
        <x:v>0</x:v>
      </x:c>
      <x:c r="M543" s="6" t="str">
        <x:v>0</x:v>
      </x:c>
      <x:c r="N543" s="6" t="str">
        <x:v>0</x:v>
      </x:c>
      <x:c r="O543" s="6" t="str">
        <x:v>0</x:v>
      </x:c>
      <x:c r="P543" s="6" t="str">
        <x:v>5</x:v>
      </x:c>
      <x:c r="Q543" s="6" t="str">
        <x:v>1.0</x:v>
      </x:c>
      <x:c r="R543" s="6" t="str">
        <x:v>5</x:v>
      </x:c>
      <x:c r="S543" s="6" t="str">
        <x:v>1.0</x:v>
      </x:c>
      <x:c r="T543" s="6" t="str">
        <x:v>5</x:v>
      </x:c>
      <x:c r="U543" s="6" t="str">
        <x:v>0.0</x:v>
      </x:c>
      <x:c r="V543" s="6" t="str">
        <x:v>5</x:v>
      </x:c>
      <x:c r="W543" s="6" t="str">
        <x:v>7.0</x:v>
      </x:c>
      <x:c r="X543" s="6" t="str">
        <x:v>5</x:v>
      </x:c>
      <x:c r="Y543" s="6" t="str">
        <x:v>170.0</x:v>
      </x:c>
      <x:c r="Z543" s="6" t="str">
        <x:v>2</x:v>
      </x:c>
      <x:c r="AA543" s="6" t="str">
        <x:v>3.0</x:v>
      </x:c>
      <x:c r="AB543" s="6" t="str">
        <x:v>5</x:v>
      </x:c>
      <x:c r="AC543" s="6" t="str">
        <x:v>2025-02</x:v>
      </x:c>
      <x:c r="AD543" s="9" t="str">
        <x:v>BNPB operational disaster search table</x:v>
      </x:c>
      <x:c r="AE543" s="9" t="str">
        <x:v>https://gis.bnpb.go.id/databencana/tabel/pencarian.php</x:v>
      </x:c>
      <x:c r="AF543" s="9" t="str">
        <x:v>operational_snapshot_annual_totals_may_differ</x:v>
      </x:c>
    </x:row>
    <x:row r="544" ht="18" customHeight="1">
      <x:c r="A544" s="6" t="str">
        <x:v>64</x:v>
      </x:c>
      <x:c r="B544" s="6" t="str">
        <x:v>KALIMANTAN TIMUR</x:v>
      </x:c>
      <x:c r="C544" s="6" t="str">
        <x:v>2025</x:v>
      </x:c>
      <x:c r="D544" s="6" t="str">
        <x:v>3</x:v>
      </x:c>
      <x:c r="E544" s="6" t="str">
        <x:v>4</x:v>
      </x:c>
      <x:c r="F544" s="6" t="str">
        <x:v>4</x:v>
      </x:c>
      <x:c r="G544" s="6" t="str">
        <x:v>4</x:v>
      </x:c>
      <x:c r="H544" s="6" t="str">
        <x:v>0</x:v>
      </x:c>
      <x:c r="I544" s="6" t="str">
        <x:v>0</x:v>
      </x:c>
      <x:c r="J544" s="6" t="str">
        <x:v>0</x:v>
      </x:c>
      <x:c r="K544" s="6" t="str">
        <x:v>0</x:v>
      </x:c>
      <x:c r="L544" s="6" t="str">
        <x:v>0</x:v>
      </x:c>
      <x:c r="M544" s="6" t="str">
        <x:v>0</x:v>
      </x:c>
      <x:c r="N544" s="6" t="str">
        <x:v>0</x:v>
      </x:c>
      <x:c r="O544" s="6" t="str">
        <x:v>0</x:v>
      </x:c>
      <x:c r="P544" s="6" t="str">
        <x:v>4</x:v>
      </x:c>
      <x:c r="Q544" s="6" t="str">
        <x:v>2.0</x:v>
      </x:c>
      <x:c r="R544" s="6" t="str">
        <x:v>4</x:v>
      </x:c>
      <x:c r="S544" s="6" t="str">
        <x:v>1.0</x:v>
      </x:c>
      <x:c r="T544" s="6" t="str">
        <x:v>4</x:v>
      </x:c>
      <x:c r="U544" s="6" t="str">
        <x:v>0.0</x:v>
      </x:c>
      <x:c r="V544" s="6" t="str">
        <x:v>4</x:v>
      </x:c>
      <x:c r="W544" s="6" t="str">
        <x:v>0.0</x:v>
      </x:c>
      <x:c r="X544" s="6" t="str">
        <x:v>4</x:v>
      </x:c>
      <x:c r="Y544" s="6" t="str">
        <x:v>6052.0</x:v>
      </x:c>
      <x:c r="Z544" s="6" t="str">
        <x:v>4</x:v>
      </x:c>
      <x:c r="AA544" s="6" t="str">
        <x:v>0.0</x:v>
      </x:c>
      <x:c r="AB544" s="6" t="str">
        <x:v>4</x:v>
      </x:c>
      <x:c r="AC544" s="6" t="str">
        <x:v>2025-03</x:v>
      </x:c>
      <x:c r="AD544" s="9" t="str">
        <x:v>BNPB operational disaster search table</x:v>
      </x:c>
      <x:c r="AE544" s="9" t="str">
        <x:v>https://gis.bnpb.go.id/databencana/tabel/pencarian.php</x:v>
      </x:c>
      <x:c r="AF544" s="9" t="str">
        <x:v>operational_snapshot_annual_totals_may_differ</x:v>
      </x:c>
    </x:row>
    <x:row r="545" ht="18" customHeight="1">
      <x:c r="A545" s="6" t="str">
        <x:v>64</x:v>
      </x:c>
      <x:c r="B545" s="6" t="str">
        <x:v>KALIMANTAN TIMUR</x:v>
      </x:c>
      <x:c r="C545" s="6" t="str">
        <x:v>2025</x:v>
      </x:c>
      <x:c r="D545" s="6" t="str">
        <x:v>4</x:v>
      </x:c>
      <x:c r="E545" s="6" t="str">
        <x:v>6</x:v>
      </x:c>
      <x:c r="F545" s="6" t="str">
        <x:v>6</x:v>
      </x:c>
      <x:c r="G545" s="6" t="str">
        <x:v>4</x:v>
      </x:c>
      <x:c r="H545" s="6" t="str">
        <x:v>2</x:v>
      </x:c>
      <x:c r="I545" s="6" t="str">
        <x:v>0</x:v>
      </x:c>
      <x:c r="J545" s="6" t="str">
        <x:v>0</x:v>
      </x:c>
      <x:c r="K545" s="6" t="str">
        <x:v>0</x:v>
      </x:c>
      <x:c r="L545" s="6" t="str">
        <x:v>0</x:v>
      </x:c>
      <x:c r="M545" s="6" t="str">
        <x:v>0</x:v>
      </x:c>
      <x:c r="N545" s="6" t="str">
        <x:v>0</x:v>
      </x:c>
      <x:c r="O545" s="6" t="str">
        <x:v>0</x:v>
      </x:c>
      <x:c r="P545" s="6" t="str">
        <x:v>6</x:v>
      </x:c>
      <x:c r="Q545" s="6" t="str">
        <x:v>0.0</x:v>
      </x:c>
      <x:c r="R545" s="6" t="str">
        <x:v>6</x:v>
      </x:c>
      <x:c r="S545" s="6" t="str">
        <x:v>0.0</x:v>
      </x:c>
      <x:c r="T545" s="6" t="str">
        <x:v>6</x:v>
      </x:c>
      <x:c r="U545" s="6" t="str">
        <x:v>0.0</x:v>
      </x:c>
      <x:c r="V545" s="6" t="str">
        <x:v>6</x:v>
      </x:c>
      <x:c r="W545" s="6" t="str">
        <x:v>20.0</x:v>
      </x:c>
      <x:c r="X545" s="6" t="str">
        <x:v>6</x:v>
      </x:c>
      <x:c r="Y545" s="6" t="str">
        <x:v>4988.0</x:v>
      </x:c>
      <x:c r="Z545" s="6" t="str">
        <x:v>4</x:v>
      </x:c>
      <x:c r="AA545" s="6" t="str">
        <x:v>1.0</x:v>
      </x:c>
      <x:c r="AB545" s="6" t="str">
        <x:v>6</x:v>
      </x:c>
      <x:c r="AC545" s="6" t="str">
        <x:v>2025-04</x:v>
      </x:c>
      <x:c r="AD545" s="9" t="str">
        <x:v>BNPB operational disaster search table</x:v>
      </x:c>
      <x:c r="AE545" s="9" t="str">
        <x:v>https://gis.bnpb.go.id/databencana/tabel/pencarian.php</x:v>
      </x:c>
      <x:c r="AF545" s="9" t="str">
        <x:v>operational_snapshot_annual_totals_may_differ</x:v>
      </x:c>
    </x:row>
    <x:row r="546" ht="18" customHeight="1">
      <x:c r="A546" s="6" t="str">
        <x:v>64</x:v>
      </x:c>
      <x:c r="B546" s="6" t="str">
        <x:v>KALIMANTAN TIMUR</x:v>
      </x:c>
      <x:c r="C546" s="6" t="str">
        <x:v>2025</x:v>
      </x:c>
      <x:c r="D546" s="6" t="str">
        <x:v>5</x:v>
      </x:c>
      <x:c r="E546" s="6" t="str">
        <x:v>10</x:v>
      </x:c>
      <x:c r="F546" s="6" t="str">
        <x:v>10</x:v>
      </x:c>
      <x:c r="G546" s="6" t="str">
        <x:v>8</x:v>
      </x:c>
      <x:c r="H546" s="6" t="str">
        <x:v>2</x:v>
      </x:c>
      <x:c r="I546" s="6" t="str">
        <x:v>0</x:v>
      </x:c>
      <x:c r="J546" s="6" t="str">
        <x:v>0</x:v>
      </x:c>
      <x:c r="K546" s="6" t="str">
        <x:v>0</x:v>
      </x:c>
      <x:c r="L546" s="6" t="str">
        <x:v>0</x:v>
      </x:c>
      <x:c r="M546" s="6" t="str">
        <x:v>0</x:v>
      </x:c>
      <x:c r="N546" s="6" t="str">
        <x:v>0</x:v>
      </x:c>
      <x:c r="O546" s="6" t="str">
        <x:v>0</x:v>
      </x:c>
      <x:c r="P546" s="6" t="str">
        <x:v>10</x:v>
      </x:c>
      <x:c r="Q546" s="6" t="str">
        <x:v>8.0</x:v>
      </x:c>
      <x:c r="R546" s="6" t="str">
        <x:v>10</x:v>
      </x:c>
      <x:c r="S546" s="6" t="str">
        <x:v>0.0</x:v>
      </x:c>
      <x:c r="T546" s="6" t="str">
        <x:v>10</x:v>
      </x:c>
      <x:c r="U546" s="6" t="str">
        <x:v>5.0</x:v>
      </x:c>
      <x:c r="V546" s="6" t="str">
        <x:v>10</x:v>
      </x:c>
      <x:c r="W546" s="6" t="str">
        <x:v>39.0</x:v>
      </x:c>
      <x:c r="X546" s="6" t="str">
        <x:v>10</x:v>
      </x:c>
      <x:c r="Y546" s="6" t="str">
        <x:v>19002.0</x:v>
      </x:c>
      <x:c r="Z546" s="6" t="str">
        <x:v>8</x:v>
      </x:c>
      <x:c r="AA546" s="6" t="str">
        <x:v>0.0</x:v>
      </x:c>
      <x:c r="AB546" s="6" t="str">
        <x:v>10</x:v>
      </x:c>
      <x:c r="AC546" s="6" t="str">
        <x:v>2025-05</x:v>
      </x:c>
      <x:c r="AD546" s="9" t="str">
        <x:v>BNPB operational disaster search table</x:v>
      </x:c>
      <x:c r="AE546" s="9" t="str">
        <x:v>https://gis.bnpb.go.id/databencana/tabel/pencarian.php</x:v>
      </x:c>
      <x:c r="AF546" s="9" t="str">
        <x:v>operational_snapshot_annual_totals_may_differ</x:v>
      </x:c>
    </x:row>
    <x:row r="547" ht="18" customHeight="1">
      <x:c r="A547" s="6" t="str">
        <x:v>64</x:v>
      </x:c>
      <x:c r="B547" s="6" t="str">
        <x:v>KALIMANTAN TIMUR</x:v>
      </x:c>
      <x:c r="C547" s="6" t="str">
        <x:v>2025</x:v>
      </x:c>
      <x:c r="D547" s="6" t="str">
        <x:v>6</x:v>
      </x:c>
      <x:c r="E547" s="6" t="str">
        <x:v>0</x:v>
      </x:c>
      <x:c r="F547" s="6" t="str">
        <x:v>0</x:v>
      </x:c>
      <x:c r="G547" s="6" t="str">
        <x:v>0</x:v>
      </x:c>
      <x:c r="H547" s="6" t="str">
        <x:v>0</x:v>
      </x:c>
      <x:c r="I547" s="6" t="str">
        <x:v>0</x:v>
      </x:c>
      <x:c r="J547" s="6" t="str">
        <x:v>0</x:v>
      </x:c>
      <x:c r="K547" s="6" t="str">
        <x:v>0</x:v>
      </x:c>
      <x:c r="L547" s="6" t="str">
        <x:v>0</x:v>
      </x:c>
      <x:c r="M547" s="6" t="str">
        <x:v>0</x:v>
      </x:c>
      <x:c r="N547" s="6" t="str">
        <x:v>0</x:v>
      </x:c>
      <x:c r="O547" s="6" t="str">
        <x:v>0</x:v>
      </x:c>
      <x:c r="P547" s="6" t="str">
        <x:v>0</x:v>
      </x:c>
      <x:c r="Q547" s="6" t="str"/>
      <x:c r="R547" s="6" t="str">
        <x:v>0</x:v>
      </x:c>
      <x:c r="S547" s="6" t="str"/>
      <x:c r="T547" s="6" t="str">
        <x:v>0</x:v>
      </x:c>
      <x:c r="U547" s="6" t="str"/>
      <x:c r="V547" s="6" t="str">
        <x:v>0</x:v>
      </x:c>
      <x:c r="W547" s="6" t="str"/>
      <x:c r="X547" s="6" t="str">
        <x:v>0</x:v>
      </x:c>
      <x:c r="Y547" s="6" t="str"/>
      <x:c r="Z547" s="6" t="str">
        <x:v>0</x:v>
      </x:c>
      <x:c r="AA547" s="6" t="str"/>
      <x:c r="AB547" s="6" t="str">
        <x:v>0</x:v>
      </x:c>
      <x:c r="AC547" s="6" t="str">
        <x:v>2025-06</x:v>
      </x:c>
      <x:c r="AD547" s="9" t="str">
        <x:v>BNPB operational disaster search table</x:v>
      </x:c>
      <x:c r="AE547" s="9" t="str">
        <x:v>https://gis.bnpb.go.id/databencana/tabel/pencarian.php</x:v>
      </x:c>
      <x:c r="AF547" s="9" t="str">
        <x:v>operational_snapshot_annual_totals_may_differ</x:v>
      </x:c>
    </x:row>
    <x:row r="548" ht="18" customHeight="1">
      <x:c r="A548" s="6" t="str">
        <x:v>64</x:v>
      </x:c>
      <x:c r="B548" s="6" t="str">
        <x:v>KALIMANTAN TIMUR</x:v>
      </x:c>
      <x:c r="C548" s="6" t="str">
        <x:v>2025</x:v>
      </x:c>
      <x:c r="D548" s="6" t="str">
        <x:v>7</x:v>
      </x:c>
      <x:c r="E548" s="6" t="str">
        <x:v>5</x:v>
      </x:c>
      <x:c r="F548" s="6" t="str">
        <x:v>5</x:v>
      </x:c>
      <x:c r="G548" s="6" t="str">
        <x:v>1</x:v>
      </x:c>
      <x:c r="H548" s="6" t="str">
        <x:v>0</x:v>
      </x:c>
      <x:c r="I548" s="6" t="str">
        <x:v>0</x:v>
      </x:c>
      <x:c r="J548" s="6" t="str">
        <x:v>1</x:v>
      </x:c>
      <x:c r="K548" s="6" t="str">
        <x:v>3</x:v>
      </x:c>
      <x:c r="L548" s="6" t="str">
        <x:v>0</x:v>
      </x:c>
      <x:c r="M548" s="6" t="str">
        <x:v>0</x:v>
      </x:c>
      <x:c r="N548" s="6" t="str">
        <x:v>0</x:v>
      </x:c>
      <x:c r="O548" s="6" t="str">
        <x:v>0</x:v>
      </x:c>
      <x:c r="P548" s="6" t="str">
        <x:v>5</x:v>
      </x:c>
      <x:c r="Q548" s="6" t="str"/>
      <x:c r="R548" s="6" t="str">
        <x:v>0</x:v>
      </x:c>
      <x:c r="S548" s="6" t="str"/>
      <x:c r="T548" s="6" t="str">
        <x:v>0</x:v>
      </x:c>
      <x:c r="U548" s="6" t="str"/>
      <x:c r="V548" s="6" t="str">
        <x:v>0</x:v>
      </x:c>
      <x:c r="W548" s="6" t="str">
        <x:v>0.0</x:v>
      </x:c>
      <x:c r="X548" s="6" t="str">
        <x:v>5</x:v>
      </x:c>
      <x:c r="Y548" s="6" t="str">
        <x:v>30.0</x:v>
      </x:c>
      <x:c r="Z548" s="6" t="str">
        <x:v>1</x:v>
      </x:c>
      <x:c r="AA548" s="6" t="str">
        <x:v>0.0</x:v>
      </x:c>
      <x:c r="AB548" s="6" t="str">
        <x:v>5</x:v>
      </x:c>
      <x:c r="AC548" s="6" t="str">
        <x:v>2025-07</x:v>
      </x:c>
      <x:c r="AD548" s="9" t="str">
        <x:v>BNPB operational disaster search table</x:v>
      </x:c>
      <x:c r="AE548" s="9" t="str">
        <x:v>https://gis.bnpb.go.id/databencana/tabel/pencarian.php</x:v>
      </x:c>
      <x:c r="AF548" s="9" t="str">
        <x:v>operational_snapshot_annual_totals_may_differ</x:v>
      </x:c>
    </x:row>
    <x:row r="549" ht="18" customHeight="1">
      <x:c r="A549" s="6" t="str">
        <x:v>64</x:v>
      </x:c>
      <x:c r="B549" s="6" t="str">
        <x:v>KALIMANTAN TIMUR</x:v>
      </x:c>
      <x:c r="C549" s="6" t="str">
        <x:v>2025</x:v>
      </x:c>
      <x:c r="D549" s="6" t="str">
        <x:v>8</x:v>
      </x:c>
      <x:c r="E549" s="6" t="str">
        <x:v>1</x:v>
      </x:c>
      <x:c r="F549" s="6" t="str">
        <x:v>1</x:v>
      </x:c>
      <x:c r="G549" s="6" t="str">
        <x:v>0</x:v>
      </x:c>
      <x:c r="H549" s="6" t="str">
        <x:v>0</x:v>
      </x:c>
      <x:c r="I549" s="6" t="str">
        <x:v>0</x:v>
      </x:c>
      <x:c r="J549" s="6" t="str">
        <x:v>0</x:v>
      </x:c>
      <x:c r="K549" s="6" t="str">
        <x:v>1</x:v>
      </x:c>
      <x:c r="L549" s="6" t="str">
        <x:v>0</x:v>
      </x:c>
      <x:c r="M549" s="6" t="str">
        <x:v>0</x:v>
      </x:c>
      <x:c r="N549" s="6" t="str">
        <x:v>0</x:v>
      </x:c>
      <x:c r="O549" s="6" t="str">
        <x:v>0</x:v>
      </x:c>
      <x:c r="P549" s="6" t="str">
        <x:v>1</x:v>
      </x:c>
      <x:c r="Q549" s="6" t="str"/>
      <x:c r="R549" s="6" t="str">
        <x:v>0</x:v>
      </x:c>
      <x:c r="S549" s="6" t="str"/>
      <x:c r="T549" s="6" t="str">
        <x:v>0</x:v>
      </x:c>
      <x:c r="U549" s="6" t="str"/>
      <x:c r="V549" s="6" t="str">
        <x:v>0</x:v>
      </x:c>
      <x:c r="W549" s="6" t="str">
        <x:v>0.0</x:v>
      </x:c>
      <x:c r="X549" s="6" t="str">
        <x:v>1</x:v>
      </x:c>
      <x:c r="Y549" s="6" t="str"/>
      <x:c r="Z549" s="6" t="str">
        <x:v>0</x:v>
      </x:c>
      <x:c r="AA549" s="6" t="str">
        <x:v>0.0</x:v>
      </x:c>
      <x:c r="AB549" s="6" t="str">
        <x:v>1</x:v>
      </x:c>
      <x:c r="AC549" s="6" t="str">
        <x:v>2025-08</x:v>
      </x:c>
      <x:c r="AD549" s="9" t="str">
        <x:v>BNPB operational disaster search table</x:v>
      </x:c>
      <x:c r="AE549" s="9" t="str">
        <x:v>https://gis.bnpb.go.id/databencana/tabel/pencarian.php</x:v>
      </x:c>
      <x:c r="AF549" s="9" t="str">
        <x:v>operational_snapshot_annual_totals_may_differ</x:v>
      </x:c>
    </x:row>
    <x:row r="550" ht="18" customHeight="1">
      <x:c r="A550" s="6" t="str">
        <x:v>64</x:v>
      </x:c>
      <x:c r="B550" s="6" t="str">
        <x:v>KALIMANTAN TIMUR</x:v>
      </x:c>
      <x:c r="C550" s="6" t="str">
        <x:v>2025</x:v>
      </x:c>
      <x:c r="D550" s="6" t="str">
        <x:v>9</x:v>
      </x:c>
      <x:c r="E550" s="6" t="str">
        <x:v>3</x:v>
      </x:c>
      <x:c r="F550" s="6" t="str">
        <x:v>3</x:v>
      </x:c>
      <x:c r="G550" s="6" t="str">
        <x:v>3</x:v>
      </x:c>
      <x:c r="H550" s="6" t="str">
        <x:v>0</x:v>
      </x:c>
      <x:c r="I550" s="6" t="str">
        <x:v>0</x:v>
      </x:c>
      <x:c r="J550" s="6" t="str">
        <x:v>0</x:v>
      </x:c>
      <x:c r="K550" s="6" t="str">
        <x:v>0</x:v>
      </x:c>
      <x:c r="L550" s="6" t="str">
        <x:v>0</x:v>
      </x:c>
      <x:c r="M550" s="6" t="str">
        <x:v>0</x:v>
      </x:c>
      <x:c r="N550" s="6" t="str">
        <x:v>0</x:v>
      </x:c>
      <x:c r="O550" s="6" t="str">
        <x:v>0</x:v>
      </x:c>
      <x:c r="P550" s="6" t="str">
        <x:v>3</x:v>
      </x:c>
      <x:c r="Q550" s="6" t="str"/>
      <x:c r="R550" s="6" t="str">
        <x:v>0</x:v>
      </x:c>
      <x:c r="S550" s="6" t="str"/>
      <x:c r="T550" s="6" t="str">
        <x:v>0</x:v>
      </x:c>
      <x:c r="U550" s="6" t="str"/>
      <x:c r="V550" s="6" t="str">
        <x:v>0</x:v>
      </x:c>
      <x:c r="W550" s="6" t="str">
        <x:v>0.0</x:v>
      </x:c>
      <x:c r="X550" s="6" t="str">
        <x:v>3</x:v>
      </x:c>
      <x:c r="Y550" s="6" t="str">
        <x:v>1977.0</x:v>
      </x:c>
      <x:c r="Z550" s="6" t="str">
        <x:v>3</x:v>
      </x:c>
      <x:c r="AA550" s="6" t="str">
        <x:v>0.0</x:v>
      </x:c>
      <x:c r="AB550" s="6" t="str">
        <x:v>3</x:v>
      </x:c>
      <x:c r="AC550" s="6" t="str">
        <x:v>2025-09</x:v>
      </x:c>
      <x:c r="AD550" s="9" t="str">
        <x:v>BNPB operational disaster search table</x:v>
      </x:c>
      <x:c r="AE550" s="9" t="str">
        <x:v>https://gis.bnpb.go.id/databencana/tabel/pencarian.php</x:v>
      </x:c>
      <x:c r="AF550" s="9" t="str">
        <x:v>operational_snapshot_annual_totals_may_differ</x:v>
      </x:c>
    </x:row>
    <x:row r="551" ht="18" customHeight="1">
      <x:c r="A551" s="6" t="str">
        <x:v>64</x:v>
      </x:c>
      <x:c r="B551" s="6" t="str">
        <x:v>KALIMANTAN TIMUR</x:v>
      </x:c>
      <x:c r="C551" s="6" t="str">
        <x:v>2025</x:v>
      </x:c>
      <x:c r="D551" s="6" t="str">
        <x:v>10</x:v>
      </x:c>
      <x:c r="E551" s="6" t="str">
        <x:v>2</x:v>
      </x:c>
      <x:c r="F551" s="6" t="str">
        <x:v>2</x:v>
      </x:c>
      <x:c r="G551" s="6" t="str">
        <x:v>1</x:v>
      </x:c>
      <x:c r="H551" s="6" t="str">
        <x:v>0</x:v>
      </x:c>
      <x:c r="I551" s="6" t="str">
        <x:v>1</x:v>
      </x:c>
      <x:c r="J551" s="6" t="str">
        <x:v>0</x:v>
      </x:c>
      <x:c r="K551" s="6" t="str">
        <x:v>0</x:v>
      </x:c>
      <x:c r="L551" s="6" t="str">
        <x:v>0</x:v>
      </x:c>
      <x:c r="M551" s="6" t="str">
        <x:v>0</x:v>
      </x:c>
      <x:c r="N551" s="6" t="str">
        <x:v>0</x:v>
      </x:c>
      <x:c r="O551" s="6" t="str">
        <x:v>0</x:v>
      </x:c>
      <x:c r="P551" s="6" t="str">
        <x:v>2</x:v>
      </x:c>
      <x:c r="Q551" s="6" t="str">
        <x:v>2.0</x:v>
      </x:c>
      <x:c r="R551" s="6" t="str">
        <x:v>1</x:v>
      </x:c>
      <x:c r="S551" s="6" t="str"/>
      <x:c r="T551" s="6" t="str">
        <x:v>0</x:v>
      </x:c>
      <x:c r="U551" s="6" t="str">
        <x:v>2.0</x:v>
      </x:c>
      <x:c r="V551" s="6" t="str">
        <x:v>1</x:v>
      </x:c>
      <x:c r="W551" s="6" t="str">
        <x:v>1.0</x:v>
      </x:c>
      <x:c r="X551" s="6" t="str">
        <x:v>2</x:v>
      </x:c>
      <x:c r="Y551" s="6" t="str">
        <x:v>119.0</x:v>
      </x:c>
      <x:c r="Z551" s="6" t="str">
        <x:v>1</x:v>
      </x:c>
      <x:c r="AA551" s="6" t="str">
        <x:v>0.0</x:v>
      </x:c>
      <x:c r="AB551" s="6" t="str">
        <x:v>2</x:v>
      </x:c>
      <x:c r="AC551" s="6" t="str">
        <x:v>2025-10</x:v>
      </x:c>
      <x:c r="AD551" s="9" t="str">
        <x:v>BNPB operational disaster search table</x:v>
      </x:c>
      <x:c r="AE551" s="9" t="str">
        <x:v>https://gis.bnpb.go.id/databencana/tabel/pencarian.php</x:v>
      </x:c>
      <x:c r="AF551" s="9" t="str">
        <x:v>operational_snapshot_annual_totals_may_differ</x:v>
      </x:c>
    </x:row>
    <x:row r="552" ht="18" customHeight="1">
      <x:c r="A552" s="6" t="str">
        <x:v>64</x:v>
      </x:c>
      <x:c r="B552" s="6" t="str">
        <x:v>KALIMANTAN TIMUR</x:v>
      </x:c>
      <x:c r="C552" s="6" t="str">
        <x:v>2025</x:v>
      </x:c>
      <x:c r="D552" s="6" t="str">
        <x:v>11</x:v>
      </x:c>
      <x:c r="E552" s="6" t="str">
        <x:v>1</x:v>
      </x:c>
      <x:c r="F552" s="6" t="str">
        <x:v>1</x:v>
      </x:c>
      <x:c r="G552" s="6" t="str">
        <x:v>0</x:v>
      </x:c>
      <x:c r="H552" s="6" t="str">
        <x:v>0</x:v>
      </x:c>
      <x:c r="I552" s="6" t="str">
        <x:v>1</x:v>
      </x:c>
      <x:c r="J552" s="6" t="str">
        <x:v>0</x:v>
      </x:c>
      <x:c r="K552" s="6" t="str">
        <x:v>0</x:v>
      </x:c>
      <x:c r="L552" s="6" t="str">
        <x:v>0</x:v>
      </x:c>
      <x:c r="M552" s="6" t="str">
        <x:v>0</x:v>
      </x:c>
      <x:c r="N552" s="6" t="str">
        <x:v>0</x:v>
      </x:c>
      <x:c r="O552" s="6" t="str">
        <x:v>0</x:v>
      </x:c>
      <x:c r="P552" s="6" t="str">
        <x:v>1</x:v>
      </x:c>
      <x:c r="Q552" s="6" t="str"/>
      <x:c r="R552" s="6" t="str">
        <x:v>0</x:v>
      </x:c>
      <x:c r="S552" s="6" t="str"/>
      <x:c r="T552" s="6" t="str">
        <x:v>0</x:v>
      </x:c>
      <x:c r="U552" s="6" t="str"/>
      <x:c r="V552" s="6" t="str">
        <x:v>0</x:v>
      </x:c>
      <x:c r="W552" s="6" t="str">
        <x:v>4.0</x:v>
      </x:c>
      <x:c r="X552" s="6" t="str">
        <x:v>1</x:v>
      </x:c>
      <x:c r="Y552" s="6" t="str"/>
      <x:c r="Z552" s="6" t="str">
        <x:v>0</x:v>
      </x:c>
      <x:c r="AA552" s="6" t="str">
        <x:v>0.0</x:v>
      </x:c>
      <x:c r="AB552" s="6" t="str">
        <x:v>1</x:v>
      </x:c>
      <x:c r="AC552" s="6" t="str">
        <x:v>2025-11</x:v>
      </x:c>
      <x:c r="AD552" s="9" t="str">
        <x:v>BNPB operational disaster search table</x:v>
      </x:c>
      <x:c r="AE552" s="9" t="str">
        <x:v>https://gis.bnpb.go.id/databencana/tabel/pencarian.php</x:v>
      </x:c>
      <x:c r="AF552" s="9" t="str">
        <x:v>operational_snapshot_annual_totals_may_differ</x:v>
      </x:c>
    </x:row>
    <x:row r="553" ht="18" customHeight="1">
      <x:c r="A553" s="6" t="str">
        <x:v>64</x:v>
      </x:c>
      <x:c r="B553" s="6" t="str">
        <x:v>KALIMANTAN TIMUR</x:v>
      </x:c>
      <x:c r="C553" s="6" t="str">
        <x:v>2025</x:v>
      </x:c>
      <x:c r="D553" s="6" t="str">
        <x:v>12</x:v>
      </x:c>
      <x:c r="E553" s="6" t="str">
        <x:v>0</x:v>
      </x:c>
      <x:c r="F553" s="6" t="str">
        <x:v>0</x:v>
      </x:c>
      <x:c r="G553" s="6" t="str">
        <x:v>0</x:v>
      </x:c>
      <x:c r="H553" s="6" t="str">
        <x:v>0</x:v>
      </x:c>
      <x:c r="I553" s="6" t="str">
        <x:v>0</x:v>
      </x:c>
      <x:c r="J553" s="6" t="str">
        <x:v>0</x:v>
      </x:c>
      <x:c r="K553" s="6" t="str">
        <x:v>0</x:v>
      </x:c>
      <x:c r="L553" s="6" t="str">
        <x:v>0</x:v>
      </x:c>
      <x:c r="M553" s="6" t="str">
        <x:v>0</x:v>
      </x:c>
      <x:c r="N553" s="6" t="str">
        <x:v>0</x:v>
      </x:c>
      <x:c r="O553" s="6" t="str">
        <x:v>0</x:v>
      </x:c>
      <x:c r="P553" s="6" t="str">
        <x:v>0</x:v>
      </x:c>
      <x:c r="Q553" s="6" t="str"/>
      <x:c r="R553" s="6" t="str">
        <x:v>0</x:v>
      </x:c>
      <x:c r="S553" s="6" t="str"/>
      <x:c r="T553" s="6" t="str">
        <x:v>0</x:v>
      </x:c>
      <x:c r="U553" s="6" t="str"/>
      <x:c r="V553" s="6" t="str">
        <x:v>0</x:v>
      </x:c>
      <x:c r="W553" s="6" t="str"/>
      <x:c r="X553" s="6" t="str">
        <x:v>0</x:v>
      </x:c>
      <x:c r="Y553" s="6" t="str"/>
      <x:c r="Z553" s="6" t="str">
        <x:v>0</x:v>
      </x:c>
      <x:c r="AA553" s="6" t="str"/>
      <x:c r="AB553" s="6" t="str">
        <x:v>0</x:v>
      </x:c>
      <x:c r="AC553" s="6" t="str">
        <x:v>2025-12</x:v>
      </x:c>
      <x:c r="AD553" s="9" t="str">
        <x:v>BNPB operational disaster search table</x:v>
      </x:c>
      <x:c r="AE553" s="9" t="str">
        <x:v>https://gis.bnpb.go.id/databencana/tabel/pencarian.php</x:v>
      </x:c>
      <x:c r="AF553" s="9" t="str">
        <x:v>operational_snapshot_annual_totals_may_differ</x:v>
      </x:c>
    </x:row>
    <x:row r="554" ht="18" customHeight="1">
      <x:c r="A554" s="6" t="str">
        <x:v>65</x:v>
      </x:c>
      <x:c r="B554" s="6" t="str">
        <x:v>KALIMANTAN UTARA</x:v>
      </x:c>
      <x:c r="C554" s="6" t="str">
        <x:v>2024</x:v>
      </x:c>
      <x:c r="D554" s="6" t="str">
        <x:v>1</x:v>
      </x:c>
      <x:c r="E554" s="6" t="str">
        <x:v>1</x:v>
      </x:c>
      <x:c r="F554" s="6" t="str">
        <x:v>1</x:v>
      </x:c>
      <x:c r="G554" s="6" t="str">
        <x:v>1</x:v>
      </x:c>
      <x:c r="H554" s="6" t="str">
        <x:v>0</x:v>
      </x:c>
      <x:c r="I554" s="6" t="str">
        <x:v>0</x:v>
      </x:c>
      <x:c r="J554" s="6" t="str">
        <x:v>0</x:v>
      </x:c>
      <x:c r="K554" s="6" t="str">
        <x:v>0</x:v>
      </x:c>
      <x:c r="L554" s="6" t="str">
        <x:v>0</x:v>
      </x:c>
      <x:c r="M554" s="6" t="str">
        <x:v>0</x:v>
      </x:c>
      <x:c r="N554" s="6" t="str">
        <x:v>0</x:v>
      </x:c>
      <x:c r="O554" s="6" t="str">
        <x:v>0</x:v>
      </x:c>
      <x:c r="P554" s="6" t="str">
        <x:v>1</x:v>
      </x:c>
      <x:c r="Q554" s="6" t="str">
        <x:v>0.0</x:v>
      </x:c>
      <x:c r="R554" s="6" t="str">
        <x:v>1</x:v>
      </x:c>
      <x:c r="S554" s="6" t="str">
        <x:v>0.0</x:v>
      </x:c>
      <x:c r="T554" s="6" t="str">
        <x:v>1</x:v>
      </x:c>
      <x:c r="U554" s="6" t="str">
        <x:v>0.0</x:v>
      </x:c>
      <x:c r="V554" s="6" t="str">
        <x:v>1</x:v>
      </x:c>
      <x:c r="W554" s="6" t="str">
        <x:v>3.0</x:v>
      </x:c>
      <x:c r="X554" s="6" t="str">
        <x:v>1</x:v>
      </x:c>
      <x:c r="Y554" s="6" t="str">
        <x:v>1275.0</x:v>
      </x:c>
      <x:c r="Z554" s="6" t="str">
        <x:v>1</x:v>
      </x:c>
      <x:c r="AA554" s="6" t="str">
        <x:v>0.0</x:v>
      </x:c>
      <x:c r="AB554" s="6" t="str">
        <x:v>1</x:v>
      </x:c>
      <x:c r="AC554" s="6" t="str">
        <x:v>2024-01</x:v>
      </x:c>
      <x:c r="AD554" s="9" t="str">
        <x:v>BNPB operational disaster search table</x:v>
      </x:c>
      <x:c r="AE554" s="9" t="str">
        <x:v>https://gis.bnpb.go.id/databencana/tabel/pencarian.php</x:v>
      </x:c>
      <x:c r="AF554" s="9" t="str">
        <x:v>operational_snapshot_annual_totals_may_differ</x:v>
      </x:c>
    </x:row>
    <x:row r="555" ht="18" customHeight="1">
      <x:c r="A555" s="6" t="str">
        <x:v>65</x:v>
      </x:c>
      <x:c r="B555" s="6" t="str">
        <x:v>KALIMANTAN UTARA</x:v>
      </x:c>
      <x:c r="C555" s="6" t="str">
        <x:v>2024</x:v>
      </x:c>
      <x:c r="D555" s="6" t="str">
        <x:v>2</x:v>
      </x:c>
      <x:c r="E555" s="6" t="str">
        <x:v>0</x:v>
      </x:c>
      <x:c r="F555" s="6" t="str">
        <x:v>0</x:v>
      </x:c>
      <x:c r="G555" s="6" t="str">
        <x:v>0</x:v>
      </x:c>
      <x:c r="H555" s="6" t="str">
        <x:v>0</x:v>
      </x:c>
      <x:c r="I555" s="6" t="str">
        <x:v>0</x:v>
      </x:c>
      <x:c r="J555" s="6" t="str">
        <x:v>0</x:v>
      </x:c>
      <x:c r="K555" s="6" t="str">
        <x:v>0</x:v>
      </x:c>
      <x:c r="L555" s="6" t="str">
        <x:v>0</x:v>
      </x:c>
      <x:c r="M555" s="6" t="str">
        <x:v>0</x:v>
      </x:c>
      <x:c r="N555" s="6" t="str">
        <x:v>0</x:v>
      </x:c>
      <x:c r="O555" s="6" t="str">
        <x:v>0</x:v>
      </x:c>
      <x:c r="P555" s="6" t="str">
        <x:v>0</x:v>
      </x:c>
      <x:c r="Q555" s="6" t="str"/>
      <x:c r="R555" s="6" t="str">
        <x:v>0</x:v>
      </x:c>
      <x:c r="S555" s="6" t="str"/>
      <x:c r="T555" s="6" t="str">
        <x:v>0</x:v>
      </x:c>
      <x:c r="U555" s="6" t="str"/>
      <x:c r="V555" s="6" t="str">
        <x:v>0</x:v>
      </x:c>
      <x:c r="W555" s="6" t="str"/>
      <x:c r="X555" s="6" t="str">
        <x:v>0</x:v>
      </x:c>
      <x:c r="Y555" s="6" t="str"/>
      <x:c r="Z555" s="6" t="str">
        <x:v>0</x:v>
      </x:c>
      <x:c r="AA555" s="6" t="str"/>
      <x:c r="AB555" s="6" t="str">
        <x:v>0</x:v>
      </x:c>
      <x:c r="AC555" s="6" t="str">
        <x:v>2024-02</x:v>
      </x:c>
      <x:c r="AD555" s="9" t="str">
        <x:v>BNPB operational disaster search table</x:v>
      </x:c>
      <x:c r="AE555" s="9" t="str">
        <x:v>https://gis.bnpb.go.id/databencana/tabel/pencarian.php</x:v>
      </x:c>
      <x:c r="AF555" s="9" t="str">
        <x:v>operational_snapshot_annual_totals_may_differ</x:v>
      </x:c>
    </x:row>
    <x:row r="556" ht="18" customHeight="1">
      <x:c r="A556" s="6" t="str">
        <x:v>65</x:v>
      </x:c>
      <x:c r="B556" s="6" t="str">
        <x:v>KALIMANTAN UTARA</x:v>
      </x:c>
      <x:c r="C556" s="6" t="str">
        <x:v>2024</x:v>
      </x:c>
      <x:c r="D556" s="6" t="str">
        <x:v>3</x:v>
      </x:c>
      <x:c r="E556" s="6" t="str">
        <x:v>0</x:v>
      </x:c>
      <x:c r="F556" s="6" t="str">
        <x:v>0</x:v>
      </x:c>
      <x:c r="G556" s="6" t="str">
        <x:v>0</x:v>
      </x:c>
      <x:c r="H556" s="6" t="str">
        <x:v>0</x:v>
      </x:c>
      <x:c r="I556" s="6" t="str">
        <x:v>0</x:v>
      </x:c>
      <x:c r="J556" s="6" t="str">
        <x:v>0</x:v>
      </x:c>
      <x:c r="K556" s="6" t="str">
        <x:v>0</x:v>
      </x:c>
      <x:c r="L556" s="6" t="str">
        <x:v>0</x:v>
      </x:c>
      <x:c r="M556" s="6" t="str">
        <x:v>0</x:v>
      </x:c>
      <x:c r="N556" s="6" t="str">
        <x:v>0</x:v>
      </x:c>
      <x:c r="O556" s="6" t="str">
        <x:v>0</x:v>
      </x:c>
      <x:c r="P556" s="6" t="str">
        <x:v>0</x:v>
      </x:c>
      <x:c r="Q556" s="6" t="str"/>
      <x:c r="R556" s="6" t="str">
        <x:v>0</x:v>
      </x:c>
      <x:c r="S556" s="6" t="str"/>
      <x:c r="T556" s="6" t="str">
        <x:v>0</x:v>
      </x:c>
      <x:c r="U556" s="6" t="str"/>
      <x:c r="V556" s="6" t="str">
        <x:v>0</x:v>
      </x:c>
      <x:c r="W556" s="6" t="str"/>
      <x:c r="X556" s="6" t="str">
        <x:v>0</x:v>
      </x:c>
      <x:c r="Y556" s="6" t="str"/>
      <x:c r="Z556" s="6" t="str">
        <x:v>0</x:v>
      </x:c>
      <x:c r="AA556" s="6" t="str"/>
      <x:c r="AB556" s="6" t="str">
        <x:v>0</x:v>
      </x:c>
      <x:c r="AC556" s="6" t="str">
        <x:v>2024-03</x:v>
      </x:c>
      <x:c r="AD556" s="9" t="str">
        <x:v>BNPB operational disaster search table</x:v>
      </x:c>
      <x:c r="AE556" s="9" t="str">
        <x:v>https://gis.bnpb.go.id/databencana/tabel/pencarian.php</x:v>
      </x:c>
      <x:c r="AF556" s="9" t="str">
        <x:v>operational_snapshot_annual_totals_may_differ</x:v>
      </x:c>
    </x:row>
    <x:row r="557" ht="18" customHeight="1">
      <x:c r="A557" s="6" t="str">
        <x:v>65</x:v>
      </x:c>
      <x:c r="B557" s="6" t="str">
        <x:v>KALIMANTAN UTARA</x:v>
      </x:c>
      <x:c r="C557" s="6" t="str">
        <x:v>2024</x:v>
      </x:c>
      <x:c r="D557" s="6" t="str">
        <x:v>4</x:v>
      </x:c>
      <x:c r="E557" s="6" t="str">
        <x:v>0</x:v>
      </x:c>
      <x:c r="F557" s="6" t="str">
        <x:v>0</x:v>
      </x:c>
      <x:c r="G557" s="6" t="str">
        <x:v>0</x:v>
      </x:c>
      <x:c r="H557" s="6" t="str">
        <x:v>0</x:v>
      </x:c>
      <x:c r="I557" s="6" t="str">
        <x:v>0</x:v>
      </x:c>
      <x:c r="J557" s="6" t="str">
        <x:v>0</x:v>
      </x:c>
      <x:c r="K557" s="6" t="str">
        <x:v>0</x:v>
      </x:c>
      <x:c r="L557" s="6" t="str">
        <x:v>0</x:v>
      </x:c>
      <x:c r="M557" s="6" t="str">
        <x:v>0</x:v>
      </x:c>
      <x:c r="N557" s="6" t="str">
        <x:v>0</x:v>
      </x:c>
      <x:c r="O557" s="6" t="str">
        <x:v>0</x:v>
      </x:c>
      <x:c r="P557" s="6" t="str">
        <x:v>0</x:v>
      </x:c>
      <x:c r="Q557" s="6" t="str"/>
      <x:c r="R557" s="6" t="str">
        <x:v>0</x:v>
      </x:c>
      <x:c r="S557" s="6" t="str"/>
      <x:c r="T557" s="6" t="str">
        <x:v>0</x:v>
      </x:c>
      <x:c r="U557" s="6" t="str"/>
      <x:c r="V557" s="6" t="str">
        <x:v>0</x:v>
      </x:c>
      <x:c r="W557" s="6" t="str"/>
      <x:c r="X557" s="6" t="str">
        <x:v>0</x:v>
      </x:c>
      <x:c r="Y557" s="6" t="str"/>
      <x:c r="Z557" s="6" t="str">
        <x:v>0</x:v>
      </x:c>
      <x:c r="AA557" s="6" t="str"/>
      <x:c r="AB557" s="6" t="str">
        <x:v>0</x:v>
      </x:c>
      <x:c r="AC557" s="6" t="str">
        <x:v>2024-04</x:v>
      </x:c>
      <x:c r="AD557" s="9" t="str">
        <x:v>BNPB operational disaster search table</x:v>
      </x:c>
      <x:c r="AE557" s="9" t="str">
        <x:v>https://gis.bnpb.go.id/databencana/tabel/pencarian.php</x:v>
      </x:c>
      <x:c r="AF557" s="9" t="str">
        <x:v>operational_snapshot_annual_totals_may_differ</x:v>
      </x:c>
    </x:row>
    <x:row r="558" ht="18" customHeight="1">
      <x:c r="A558" s="6" t="str">
        <x:v>65</x:v>
      </x:c>
      <x:c r="B558" s="6" t="str">
        <x:v>KALIMANTAN UTARA</x:v>
      </x:c>
      <x:c r="C558" s="6" t="str">
        <x:v>2024</x:v>
      </x:c>
      <x:c r="D558" s="6" t="str">
        <x:v>5</x:v>
      </x:c>
      <x:c r="E558" s="6" t="str">
        <x:v>1</x:v>
      </x:c>
      <x:c r="F558" s="6" t="str">
        <x:v>1</x:v>
      </x:c>
      <x:c r="G558" s="6" t="str">
        <x:v>1</x:v>
      </x:c>
      <x:c r="H558" s="6" t="str">
        <x:v>0</x:v>
      </x:c>
      <x:c r="I558" s="6" t="str">
        <x:v>0</x:v>
      </x:c>
      <x:c r="J558" s="6" t="str">
        <x:v>0</x:v>
      </x:c>
      <x:c r="K558" s="6" t="str">
        <x:v>0</x:v>
      </x:c>
      <x:c r="L558" s="6" t="str">
        <x:v>0</x:v>
      </x:c>
      <x:c r="M558" s="6" t="str">
        <x:v>0</x:v>
      </x:c>
      <x:c r="N558" s="6" t="str">
        <x:v>0</x:v>
      </x:c>
      <x:c r="O558" s="6" t="str">
        <x:v>0</x:v>
      </x:c>
      <x:c r="P558" s="6" t="str">
        <x:v>1</x:v>
      </x:c>
      <x:c r="Q558" s="6" t="str">
        <x:v>0.0</x:v>
      </x:c>
      <x:c r="R558" s="6" t="str">
        <x:v>1</x:v>
      </x:c>
      <x:c r="S558" s="6" t="str">
        <x:v>0.0</x:v>
      </x:c>
      <x:c r="T558" s="6" t="str">
        <x:v>1</x:v>
      </x:c>
      <x:c r="U558" s="6" t="str">
        <x:v>0.0</x:v>
      </x:c>
      <x:c r="V558" s="6" t="str">
        <x:v>1</x:v>
      </x:c>
      <x:c r="W558" s="6" t="str">
        <x:v>5.0</x:v>
      </x:c>
      <x:c r="X558" s="6" t="str">
        <x:v>1</x:v>
      </x:c>
      <x:c r="Y558" s="6" t="str">
        <x:v>80.0</x:v>
      </x:c>
      <x:c r="Z558" s="6" t="str">
        <x:v>1</x:v>
      </x:c>
      <x:c r="AA558" s="6" t="str">
        <x:v>0.0</x:v>
      </x:c>
      <x:c r="AB558" s="6" t="str">
        <x:v>1</x:v>
      </x:c>
      <x:c r="AC558" s="6" t="str">
        <x:v>2024-05</x:v>
      </x:c>
      <x:c r="AD558" s="9" t="str">
        <x:v>BNPB operational disaster search table</x:v>
      </x:c>
      <x:c r="AE558" s="9" t="str">
        <x:v>https://gis.bnpb.go.id/databencana/tabel/pencarian.php</x:v>
      </x:c>
      <x:c r="AF558" s="9" t="str">
        <x:v>operational_snapshot_annual_totals_may_differ</x:v>
      </x:c>
    </x:row>
    <x:row r="559" ht="18" customHeight="1">
      <x:c r="A559" s="6" t="str">
        <x:v>65</x:v>
      </x:c>
      <x:c r="B559" s="6" t="str">
        <x:v>KALIMANTAN UTARA</x:v>
      </x:c>
      <x:c r="C559" s="6" t="str">
        <x:v>2024</x:v>
      </x:c>
      <x:c r="D559" s="6" t="str">
        <x:v>6</x:v>
      </x:c>
      <x:c r="E559" s="6" t="str">
        <x:v>1</x:v>
      </x:c>
      <x:c r="F559" s="6" t="str">
        <x:v>1</x:v>
      </x:c>
      <x:c r="G559" s="6" t="str">
        <x:v>1</x:v>
      </x:c>
      <x:c r="H559" s="6" t="str">
        <x:v>0</x:v>
      </x:c>
      <x:c r="I559" s="6" t="str">
        <x:v>0</x:v>
      </x:c>
      <x:c r="J559" s="6" t="str">
        <x:v>0</x:v>
      </x:c>
      <x:c r="K559" s="6" t="str">
        <x:v>0</x:v>
      </x:c>
      <x:c r="L559" s="6" t="str">
        <x:v>0</x:v>
      </x:c>
      <x:c r="M559" s="6" t="str">
        <x:v>0</x:v>
      </x:c>
      <x:c r="N559" s="6" t="str">
        <x:v>0</x:v>
      </x:c>
      <x:c r="O559" s="6" t="str">
        <x:v>0</x:v>
      </x:c>
      <x:c r="P559" s="6" t="str">
        <x:v>1</x:v>
      </x:c>
      <x:c r="Q559" s="6" t="str">
        <x:v>0.0</x:v>
      </x:c>
      <x:c r="R559" s="6" t="str">
        <x:v>1</x:v>
      </x:c>
      <x:c r="S559" s="6" t="str">
        <x:v>0.0</x:v>
      </x:c>
      <x:c r="T559" s="6" t="str">
        <x:v>1</x:v>
      </x:c>
      <x:c r="U559" s="6" t="str">
        <x:v>0.0</x:v>
      </x:c>
      <x:c r="V559" s="6" t="str">
        <x:v>1</x:v>
      </x:c>
      <x:c r="W559" s="6" t="str">
        <x:v>774.0</x:v>
      </x:c>
      <x:c r="X559" s="6" t="str">
        <x:v>1</x:v>
      </x:c>
      <x:c r="Y559" s="6" t="str"/>
      <x:c r="Z559" s="6" t="str">
        <x:v>0</x:v>
      </x:c>
      <x:c r="AA559" s="6" t="str">
        <x:v>0.0</x:v>
      </x:c>
      <x:c r="AB559" s="6" t="str">
        <x:v>1</x:v>
      </x:c>
      <x:c r="AC559" s="6" t="str">
        <x:v>2024-06</x:v>
      </x:c>
      <x:c r="AD559" s="9" t="str">
        <x:v>BNPB operational disaster search table</x:v>
      </x:c>
      <x:c r="AE559" s="9" t="str">
        <x:v>https://gis.bnpb.go.id/databencana/tabel/pencarian.php</x:v>
      </x:c>
      <x:c r="AF559" s="9" t="str">
        <x:v>operational_snapshot_annual_totals_may_differ</x:v>
      </x:c>
    </x:row>
    <x:row r="560" ht="18" customHeight="1">
      <x:c r="A560" s="6" t="str">
        <x:v>65</x:v>
      </x:c>
      <x:c r="B560" s="6" t="str">
        <x:v>KALIMANTAN UTARA</x:v>
      </x:c>
      <x:c r="C560" s="6" t="str">
        <x:v>2024</x:v>
      </x:c>
      <x:c r="D560" s="6" t="str">
        <x:v>7</x:v>
      </x:c>
      <x:c r="E560" s="6" t="str">
        <x:v>3</x:v>
      </x:c>
      <x:c r="F560" s="6" t="str">
        <x:v>3</x:v>
      </x:c>
      <x:c r="G560" s="6" t="str">
        <x:v>2</x:v>
      </x:c>
      <x:c r="H560" s="6" t="str">
        <x:v>1</x:v>
      </x:c>
      <x:c r="I560" s="6" t="str">
        <x:v>0</x:v>
      </x:c>
      <x:c r="J560" s="6" t="str">
        <x:v>0</x:v>
      </x:c>
      <x:c r="K560" s="6" t="str">
        <x:v>0</x:v>
      </x:c>
      <x:c r="L560" s="6" t="str">
        <x:v>0</x:v>
      </x:c>
      <x:c r="M560" s="6" t="str">
        <x:v>0</x:v>
      </x:c>
      <x:c r="N560" s="6" t="str">
        <x:v>0</x:v>
      </x:c>
      <x:c r="O560" s="6" t="str">
        <x:v>0</x:v>
      </x:c>
      <x:c r="P560" s="6" t="str">
        <x:v>3</x:v>
      </x:c>
      <x:c r="Q560" s="6" t="str">
        <x:v>0.0</x:v>
      </x:c>
      <x:c r="R560" s="6" t="str">
        <x:v>3</x:v>
      </x:c>
      <x:c r="S560" s="6" t="str">
        <x:v>0.0</x:v>
      </x:c>
      <x:c r="T560" s="6" t="str">
        <x:v>3</x:v>
      </x:c>
      <x:c r="U560" s="6" t="str">
        <x:v>0.0</x:v>
      </x:c>
      <x:c r="V560" s="6" t="str">
        <x:v>3</x:v>
      </x:c>
      <x:c r="W560" s="6" t="str">
        <x:v>0.0</x:v>
      </x:c>
      <x:c r="X560" s="6" t="str">
        <x:v>3</x:v>
      </x:c>
      <x:c r="Y560" s="6" t="str">
        <x:v>4196.0</x:v>
      </x:c>
      <x:c r="Z560" s="6" t="str">
        <x:v>2</x:v>
      </x:c>
      <x:c r="AA560" s="6" t="str">
        <x:v>1.0</x:v>
      </x:c>
      <x:c r="AB560" s="6" t="str">
        <x:v>3</x:v>
      </x:c>
      <x:c r="AC560" s="6" t="str">
        <x:v>2024-07</x:v>
      </x:c>
      <x:c r="AD560" s="9" t="str">
        <x:v>BNPB operational disaster search table</x:v>
      </x:c>
      <x:c r="AE560" s="9" t="str">
        <x:v>https://gis.bnpb.go.id/databencana/tabel/pencarian.php</x:v>
      </x:c>
      <x:c r="AF560" s="9" t="str">
        <x:v>operational_snapshot_annual_totals_may_differ</x:v>
      </x:c>
    </x:row>
    <x:row r="561" ht="18" customHeight="1">
      <x:c r="A561" s="6" t="str">
        <x:v>65</x:v>
      </x:c>
      <x:c r="B561" s="6" t="str">
        <x:v>KALIMANTAN UTARA</x:v>
      </x:c>
      <x:c r="C561" s="6" t="str">
        <x:v>2024</x:v>
      </x:c>
      <x:c r="D561" s="6" t="str">
        <x:v>8</x:v>
      </x:c>
      <x:c r="E561" s="6" t="str">
        <x:v>0</x:v>
      </x:c>
      <x:c r="F561" s="6" t="str">
        <x:v>0</x:v>
      </x:c>
      <x:c r="G561" s="6" t="str">
        <x:v>0</x:v>
      </x:c>
      <x:c r="H561" s="6" t="str">
        <x:v>0</x:v>
      </x:c>
      <x:c r="I561" s="6" t="str">
        <x:v>0</x:v>
      </x:c>
      <x:c r="J561" s="6" t="str">
        <x:v>0</x:v>
      </x:c>
      <x:c r="K561" s="6" t="str">
        <x:v>0</x:v>
      </x:c>
      <x:c r="L561" s="6" t="str">
        <x:v>0</x:v>
      </x:c>
      <x:c r="M561" s="6" t="str">
        <x:v>0</x:v>
      </x:c>
      <x:c r="N561" s="6" t="str">
        <x:v>0</x:v>
      </x:c>
      <x:c r="O561" s="6" t="str">
        <x:v>0</x:v>
      </x:c>
      <x:c r="P561" s="6" t="str">
        <x:v>0</x:v>
      </x:c>
      <x:c r="Q561" s="6" t="str"/>
      <x:c r="R561" s="6" t="str">
        <x:v>0</x:v>
      </x:c>
      <x:c r="S561" s="6" t="str"/>
      <x:c r="T561" s="6" t="str">
        <x:v>0</x:v>
      </x:c>
      <x:c r="U561" s="6" t="str"/>
      <x:c r="V561" s="6" t="str">
        <x:v>0</x:v>
      </x:c>
      <x:c r="W561" s="6" t="str"/>
      <x:c r="X561" s="6" t="str">
        <x:v>0</x:v>
      </x:c>
      <x:c r="Y561" s="6" t="str"/>
      <x:c r="Z561" s="6" t="str">
        <x:v>0</x:v>
      </x:c>
      <x:c r="AA561" s="6" t="str"/>
      <x:c r="AB561" s="6" t="str">
        <x:v>0</x:v>
      </x:c>
      <x:c r="AC561" s="6" t="str">
        <x:v>2024-08</x:v>
      </x:c>
      <x:c r="AD561" s="9" t="str">
        <x:v>BNPB operational disaster search table</x:v>
      </x:c>
      <x:c r="AE561" s="9" t="str">
        <x:v>https://gis.bnpb.go.id/databencana/tabel/pencarian.php</x:v>
      </x:c>
      <x:c r="AF561" s="9" t="str">
        <x:v>operational_snapshot_annual_totals_may_differ</x:v>
      </x:c>
    </x:row>
    <x:row r="562" ht="18" customHeight="1">
      <x:c r="A562" s="6" t="str">
        <x:v>65</x:v>
      </x:c>
      <x:c r="B562" s="6" t="str">
        <x:v>KALIMANTAN UTARA</x:v>
      </x:c>
      <x:c r="C562" s="6" t="str">
        <x:v>2024</x:v>
      </x:c>
      <x:c r="D562" s="6" t="str">
        <x:v>9</x:v>
      </x:c>
      <x:c r="E562" s="6" t="str">
        <x:v>2</x:v>
      </x:c>
      <x:c r="F562" s="6" t="str">
        <x:v>2</x:v>
      </x:c>
      <x:c r="G562" s="6" t="str">
        <x:v>0</x:v>
      </x:c>
      <x:c r="H562" s="6" t="str">
        <x:v>0</x:v>
      </x:c>
      <x:c r="I562" s="6" t="str">
        <x:v>0</x:v>
      </x:c>
      <x:c r="J562" s="6" t="str">
        <x:v>0</x:v>
      </x:c>
      <x:c r="K562" s="6" t="str">
        <x:v>2</x:v>
      </x:c>
      <x:c r="L562" s="6" t="str">
        <x:v>0</x:v>
      </x:c>
      <x:c r="M562" s="6" t="str">
        <x:v>0</x:v>
      </x:c>
      <x:c r="N562" s="6" t="str">
        <x:v>0</x:v>
      </x:c>
      <x:c r="O562" s="6" t="str">
        <x:v>0</x:v>
      </x:c>
      <x:c r="P562" s="6" t="str">
        <x:v>2</x:v>
      </x:c>
      <x:c r="Q562" s="6" t="str">
        <x:v>0.0</x:v>
      </x:c>
      <x:c r="R562" s="6" t="str">
        <x:v>2</x:v>
      </x:c>
      <x:c r="S562" s="6" t="str">
        <x:v>0.0</x:v>
      </x:c>
      <x:c r="T562" s="6" t="str">
        <x:v>2</x:v>
      </x:c>
      <x:c r="U562" s="6" t="str">
        <x:v>0.0</x:v>
      </x:c>
      <x:c r="V562" s="6" t="str">
        <x:v>2</x:v>
      </x:c>
      <x:c r="W562" s="6" t="str">
        <x:v>0.0</x:v>
      </x:c>
      <x:c r="X562" s="6" t="str">
        <x:v>2</x:v>
      </x:c>
      <x:c r="Y562" s="6" t="str"/>
      <x:c r="Z562" s="6" t="str">
        <x:v>0</x:v>
      </x:c>
      <x:c r="AA562" s="6" t="str">
        <x:v>0.0</x:v>
      </x:c>
      <x:c r="AB562" s="6" t="str">
        <x:v>2</x:v>
      </x:c>
      <x:c r="AC562" s="6" t="str">
        <x:v>2024-09</x:v>
      </x:c>
      <x:c r="AD562" s="9" t="str">
        <x:v>BNPB operational disaster search table</x:v>
      </x:c>
      <x:c r="AE562" s="9" t="str">
        <x:v>https://gis.bnpb.go.id/databencana/tabel/pencarian.php</x:v>
      </x:c>
      <x:c r="AF562" s="9" t="str">
        <x:v>operational_snapshot_annual_totals_may_differ</x:v>
      </x:c>
    </x:row>
    <x:row r="563" ht="18" customHeight="1">
      <x:c r="A563" s="6" t="str">
        <x:v>65</x:v>
      </x:c>
      <x:c r="B563" s="6" t="str">
        <x:v>KALIMANTAN UTARA</x:v>
      </x:c>
      <x:c r="C563" s="6" t="str">
        <x:v>2024</x:v>
      </x:c>
      <x:c r="D563" s="6" t="str">
        <x:v>10</x:v>
      </x:c>
      <x:c r="E563" s="6" t="str">
        <x:v>1</x:v>
      </x:c>
      <x:c r="F563" s="6" t="str">
        <x:v>1</x:v>
      </x:c>
      <x:c r="G563" s="6" t="str">
        <x:v>0</x:v>
      </x:c>
      <x:c r="H563" s="6" t="str">
        <x:v>0</x:v>
      </x:c>
      <x:c r="I563" s="6" t="str">
        <x:v>0</x:v>
      </x:c>
      <x:c r="J563" s="6" t="str">
        <x:v>0</x:v>
      </x:c>
      <x:c r="K563" s="6" t="str">
        <x:v>1</x:v>
      </x:c>
      <x:c r="L563" s="6" t="str">
        <x:v>0</x:v>
      </x:c>
      <x:c r="M563" s="6" t="str">
        <x:v>0</x:v>
      </x:c>
      <x:c r="N563" s="6" t="str">
        <x:v>0</x:v>
      </x:c>
      <x:c r="O563" s="6" t="str">
        <x:v>0</x:v>
      </x:c>
      <x:c r="P563" s="6" t="str">
        <x:v>1</x:v>
      </x:c>
      <x:c r="Q563" s="6" t="str">
        <x:v>0.0</x:v>
      </x:c>
      <x:c r="R563" s="6" t="str">
        <x:v>1</x:v>
      </x:c>
      <x:c r="S563" s="6" t="str">
        <x:v>0.0</x:v>
      </x:c>
      <x:c r="T563" s="6" t="str">
        <x:v>1</x:v>
      </x:c>
      <x:c r="U563" s="6" t="str">
        <x:v>0.0</x:v>
      </x:c>
      <x:c r="V563" s="6" t="str">
        <x:v>1</x:v>
      </x:c>
      <x:c r="W563" s="6" t="str">
        <x:v>0.0</x:v>
      </x:c>
      <x:c r="X563" s="6" t="str">
        <x:v>1</x:v>
      </x:c>
      <x:c r="Y563" s="6" t="str"/>
      <x:c r="Z563" s="6" t="str">
        <x:v>0</x:v>
      </x:c>
      <x:c r="AA563" s="6" t="str">
        <x:v>0.0</x:v>
      </x:c>
      <x:c r="AB563" s="6" t="str">
        <x:v>1</x:v>
      </x:c>
      <x:c r="AC563" s="6" t="str">
        <x:v>2024-10</x:v>
      </x:c>
      <x:c r="AD563" s="9" t="str">
        <x:v>BNPB operational disaster search table</x:v>
      </x:c>
      <x:c r="AE563" s="9" t="str">
        <x:v>https://gis.bnpb.go.id/databencana/tabel/pencarian.php</x:v>
      </x:c>
      <x:c r="AF563" s="9" t="str">
        <x:v>operational_snapshot_annual_totals_may_differ</x:v>
      </x:c>
    </x:row>
    <x:row r="564" ht="18" customHeight="1">
      <x:c r="A564" s="6" t="str">
        <x:v>65</x:v>
      </x:c>
      <x:c r="B564" s="6" t="str">
        <x:v>KALIMANTAN UTARA</x:v>
      </x:c>
      <x:c r="C564" s="6" t="str">
        <x:v>2024</x:v>
      </x:c>
      <x:c r="D564" s="6" t="str">
        <x:v>11</x:v>
      </x:c>
      <x:c r="E564" s="6" t="str">
        <x:v>0</x:v>
      </x:c>
      <x:c r="F564" s="6" t="str">
        <x:v>0</x:v>
      </x:c>
      <x:c r="G564" s="6" t="str">
        <x:v>0</x:v>
      </x:c>
      <x:c r="H564" s="6" t="str">
        <x:v>0</x:v>
      </x:c>
      <x:c r="I564" s="6" t="str">
        <x:v>0</x:v>
      </x:c>
      <x:c r="J564" s="6" t="str">
        <x:v>0</x:v>
      </x:c>
      <x:c r="K564" s="6" t="str">
        <x:v>0</x:v>
      </x:c>
      <x:c r="L564" s="6" t="str">
        <x:v>0</x:v>
      </x:c>
      <x:c r="M564" s="6" t="str">
        <x:v>0</x:v>
      </x:c>
      <x:c r="N564" s="6" t="str">
        <x:v>0</x:v>
      </x:c>
      <x:c r="O564" s="6" t="str">
        <x:v>0</x:v>
      </x:c>
      <x:c r="P564" s="6" t="str">
        <x:v>0</x:v>
      </x:c>
      <x:c r="Q564" s="6" t="str"/>
      <x:c r="R564" s="6" t="str">
        <x:v>0</x:v>
      </x:c>
      <x:c r="S564" s="6" t="str"/>
      <x:c r="T564" s="6" t="str">
        <x:v>0</x:v>
      </x:c>
      <x:c r="U564" s="6" t="str"/>
      <x:c r="V564" s="6" t="str">
        <x:v>0</x:v>
      </x:c>
      <x:c r="W564" s="6" t="str"/>
      <x:c r="X564" s="6" t="str">
        <x:v>0</x:v>
      </x:c>
      <x:c r="Y564" s="6" t="str"/>
      <x:c r="Z564" s="6" t="str">
        <x:v>0</x:v>
      </x:c>
      <x:c r="AA564" s="6" t="str"/>
      <x:c r="AB564" s="6" t="str">
        <x:v>0</x:v>
      </x:c>
      <x:c r="AC564" s="6" t="str">
        <x:v>2024-11</x:v>
      </x:c>
      <x:c r="AD564" s="9" t="str">
        <x:v>BNPB operational disaster search table</x:v>
      </x:c>
      <x:c r="AE564" s="9" t="str">
        <x:v>https://gis.bnpb.go.id/databencana/tabel/pencarian.php</x:v>
      </x:c>
      <x:c r="AF564" s="9" t="str">
        <x:v>operational_snapshot_annual_totals_may_differ</x:v>
      </x:c>
    </x:row>
    <x:row r="565" ht="18" customHeight="1">
      <x:c r="A565" s="6" t="str">
        <x:v>65</x:v>
      </x:c>
      <x:c r="B565" s="6" t="str">
        <x:v>KALIMANTAN UTARA</x:v>
      </x:c>
      <x:c r="C565" s="6" t="str">
        <x:v>2024</x:v>
      </x:c>
      <x:c r="D565" s="6" t="str">
        <x:v>12</x:v>
      </x:c>
      <x:c r="E565" s="6" t="str">
        <x:v>1</x:v>
      </x:c>
      <x:c r="F565" s="6" t="str">
        <x:v>1</x:v>
      </x:c>
      <x:c r="G565" s="6" t="str">
        <x:v>0</x:v>
      </x:c>
      <x:c r="H565" s="6" t="str">
        <x:v>1</x:v>
      </x:c>
      <x:c r="I565" s="6" t="str">
        <x:v>0</x:v>
      </x:c>
      <x:c r="J565" s="6" t="str">
        <x:v>0</x:v>
      </x:c>
      <x:c r="K565" s="6" t="str">
        <x:v>0</x:v>
      </x:c>
      <x:c r="L565" s="6" t="str">
        <x:v>0</x:v>
      </x:c>
      <x:c r="M565" s="6" t="str">
        <x:v>0</x:v>
      </x:c>
      <x:c r="N565" s="6" t="str">
        <x:v>0</x:v>
      </x:c>
      <x:c r="O565" s="6" t="str">
        <x:v>0</x:v>
      </x:c>
      <x:c r="P565" s="6" t="str">
        <x:v>1</x:v>
      </x:c>
      <x:c r="Q565" s="6" t="str">
        <x:v>3.0</x:v>
      </x:c>
      <x:c r="R565" s="6" t="str">
        <x:v>1</x:v>
      </x:c>
      <x:c r="S565" s="6" t="str">
        <x:v>0.0</x:v>
      </x:c>
      <x:c r="T565" s="6" t="str">
        <x:v>1</x:v>
      </x:c>
      <x:c r="U565" s="6" t="str">
        <x:v>0.0</x:v>
      </x:c>
      <x:c r="V565" s="6" t="str">
        <x:v>1</x:v>
      </x:c>
      <x:c r="W565" s="6" t="str">
        <x:v>10.0</x:v>
      </x:c>
      <x:c r="X565" s="6" t="str">
        <x:v>1</x:v>
      </x:c>
      <x:c r="Y565" s="6" t="str"/>
      <x:c r="Z565" s="6" t="str">
        <x:v>0</x:v>
      </x:c>
      <x:c r="AA565" s="6" t="str">
        <x:v>0.0</x:v>
      </x:c>
      <x:c r="AB565" s="6" t="str">
        <x:v>1</x:v>
      </x:c>
      <x:c r="AC565" s="6" t="str">
        <x:v>2024-12</x:v>
      </x:c>
      <x:c r="AD565" s="9" t="str">
        <x:v>BNPB operational disaster search table</x:v>
      </x:c>
      <x:c r="AE565" s="9" t="str">
        <x:v>https://gis.bnpb.go.id/databencana/tabel/pencarian.php</x:v>
      </x:c>
      <x:c r="AF565" s="9" t="str">
        <x:v>operational_snapshot_annual_totals_may_differ</x:v>
      </x:c>
    </x:row>
    <x:row r="566" ht="18" customHeight="1">
      <x:c r="A566" s="6" t="str">
        <x:v>65</x:v>
      </x:c>
      <x:c r="B566" s="6" t="str">
        <x:v>KALIMANTAN UTARA</x:v>
      </x:c>
      <x:c r="C566" s="6" t="str">
        <x:v>2025</x:v>
      </x:c>
      <x:c r="D566" s="6" t="str">
        <x:v>1</x:v>
      </x:c>
      <x:c r="E566" s="6" t="str">
        <x:v>5</x:v>
      </x:c>
      <x:c r="F566" s="6" t="str">
        <x:v>5</x:v>
      </x:c>
      <x:c r="G566" s="6" t="str">
        <x:v>4</x:v>
      </x:c>
      <x:c r="H566" s="6" t="str">
        <x:v>1</x:v>
      </x:c>
      <x:c r="I566" s="6" t="str">
        <x:v>0</x:v>
      </x:c>
      <x:c r="J566" s="6" t="str">
        <x:v>0</x:v>
      </x:c>
      <x:c r="K566" s="6" t="str">
        <x:v>0</x:v>
      </x:c>
      <x:c r="L566" s="6" t="str">
        <x:v>0</x:v>
      </x:c>
      <x:c r="M566" s="6" t="str">
        <x:v>0</x:v>
      </x:c>
      <x:c r="N566" s="6" t="str">
        <x:v>0</x:v>
      </x:c>
      <x:c r="O566" s="6" t="str">
        <x:v>0</x:v>
      </x:c>
      <x:c r="P566" s="6" t="str">
        <x:v>5</x:v>
      </x:c>
      <x:c r="Q566" s="6" t="str">
        <x:v>1.0</x:v>
      </x:c>
      <x:c r="R566" s="6" t="str">
        <x:v>5</x:v>
      </x:c>
      <x:c r="S566" s="6" t="str">
        <x:v>0.0</x:v>
      </x:c>
      <x:c r="T566" s="6" t="str">
        <x:v>5</x:v>
      </x:c>
      <x:c r="U566" s="6" t="str">
        <x:v>0.0</x:v>
      </x:c>
      <x:c r="V566" s="6" t="str">
        <x:v>5</x:v>
      </x:c>
      <x:c r="W566" s="6" t="str">
        <x:v>31.0</x:v>
      </x:c>
      <x:c r="X566" s="6" t="str">
        <x:v>5</x:v>
      </x:c>
      <x:c r="Y566" s="6" t="str">
        <x:v>161.0</x:v>
      </x:c>
      <x:c r="Z566" s="6" t="str">
        <x:v>2</x:v>
      </x:c>
      <x:c r="AA566" s="6" t="str">
        <x:v>1.0</x:v>
      </x:c>
      <x:c r="AB566" s="6" t="str">
        <x:v>5</x:v>
      </x:c>
      <x:c r="AC566" s="6" t="str">
        <x:v>2025-01</x:v>
      </x:c>
      <x:c r="AD566" s="9" t="str">
        <x:v>BNPB operational disaster search table</x:v>
      </x:c>
      <x:c r="AE566" s="9" t="str">
        <x:v>https://gis.bnpb.go.id/databencana/tabel/pencarian.php</x:v>
      </x:c>
      <x:c r="AF566" s="9" t="str">
        <x:v>operational_snapshot_annual_totals_may_differ</x:v>
      </x:c>
    </x:row>
    <x:row r="567" ht="18" customHeight="1">
      <x:c r="A567" s="6" t="str">
        <x:v>65</x:v>
      </x:c>
      <x:c r="B567" s="6" t="str">
        <x:v>KALIMANTAN UTARA</x:v>
      </x:c>
      <x:c r="C567" s="6" t="str">
        <x:v>2025</x:v>
      </x:c>
      <x:c r="D567" s="6" t="str">
        <x:v>2</x:v>
      </x:c>
      <x:c r="E567" s="6" t="str">
        <x:v>2</x:v>
      </x:c>
      <x:c r="F567" s="6" t="str">
        <x:v>2</x:v>
      </x:c>
      <x:c r="G567" s="6" t="str">
        <x:v>0</x:v>
      </x:c>
      <x:c r="H567" s="6" t="str">
        <x:v>0</x:v>
      </x:c>
      <x:c r="I567" s="6" t="str">
        <x:v>0</x:v>
      </x:c>
      <x:c r="J567" s="6" t="str">
        <x:v>0</x:v>
      </x:c>
      <x:c r="K567" s="6" t="str">
        <x:v>2</x:v>
      </x:c>
      <x:c r="L567" s="6" t="str">
        <x:v>0</x:v>
      </x:c>
      <x:c r="M567" s="6" t="str">
        <x:v>0</x:v>
      </x:c>
      <x:c r="N567" s="6" t="str">
        <x:v>0</x:v>
      </x:c>
      <x:c r="O567" s="6" t="str">
        <x:v>0</x:v>
      </x:c>
      <x:c r="P567" s="6" t="str">
        <x:v>2</x:v>
      </x:c>
      <x:c r="Q567" s="6" t="str">
        <x:v>0.0</x:v>
      </x:c>
      <x:c r="R567" s="6" t="str">
        <x:v>2</x:v>
      </x:c>
      <x:c r="S567" s="6" t="str">
        <x:v>0.0</x:v>
      </x:c>
      <x:c r="T567" s="6" t="str">
        <x:v>2</x:v>
      </x:c>
      <x:c r="U567" s="6" t="str">
        <x:v>0.0</x:v>
      </x:c>
      <x:c r="V567" s="6" t="str">
        <x:v>2</x:v>
      </x:c>
      <x:c r="W567" s="6" t="str">
        <x:v>0.0</x:v>
      </x:c>
      <x:c r="X567" s="6" t="str">
        <x:v>2</x:v>
      </x:c>
      <x:c r="Y567" s="6" t="str"/>
      <x:c r="Z567" s="6" t="str">
        <x:v>0</x:v>
      </x:c>
      <x:c r="AA567" s="6" t="str">
        <x:v>0.0</x:v>
      </x:c>
      <x:c r="AB567" s="6" t="str">
        <x:v>2</x:v>
      </x:c>
      <x:c r="AC567" s="6" t="str">
        <x:v>2025-02</x:v>
      </x:c>
      <x:c r="AD567" s="9" t="str">
        <x:v>BNPB operational disaster search table</x:v>
      </x:c>
      <x:c r="AE567" s="9" t="str">
        <x:v>https://gis.bnpb.go.id/databencana/tabel/pencarian.php</x:v>
      </x:c>
      <x:c r="AF567" s="9" t="str">
        <x:v>operational_snapshot_annual_totals_may_differ</x:v>
      </x:c>
    </x:row>
    <x:row r="568" ht="18" customHeight="1">
      <x:c r="A568" s="6" t="str">
        <x:v>65</x:v>
      </x:c>
      <x:c r="B568" s="6" t="str">
        <x:v>KALIMANTAN UTARA</x:v>
      </x:c>
      <x:c r="C568" s="6" t="str">
        <x:v>2025</x:v>
      </x:c>
      <x:c r="D568" s="6" t="str">
        <x:v>3</x:v>
      </x:c>
      <x:c r="E568" s="6" t="str">
        <x:v>2</x:v>
      </x:c>
      <x:c r="F568" s="6" t="str">
        <x:v>2</x:v>
      </x:c>
      <x:c r="G568" s="6" t="str">
        <x:v>0</x:v>
      </x:c>
      <x:c r="H568" s="6" t="str">
        <x:v>0</x:v>
      </x:c>
      <x:c r="I568" s="6" t="str">
        <x:v>0</x:v>
      </x:c>
      <x:c r="J568" s="6" t="str">
        <x:v>0</x:v>
      </x:c>
      <x:c r="K568" s="6" t="str">
        <x:v>2</x:v>
      </x:c>
      <x:c r="L568" s="6" t="str">
        <x:v>0</x:v>
      </x:c>
      <x:c r="M568" s="6" t="str">
        <x:v>0</x:v>
      </x:c>
      <x:c r="N568" s="6" t="str">
        <x:v>0</x:v>
      </x:c>
      <x:c r="O568" s="6" t="str">
        <x:v>0</x:v>
      </x:c>
      <x:c r="P568" s="6" t="str">
        <x:v>2</x:v>
      </x:c>
      <x:c r="Q568" s="6" t="str">
        <x:v>0.0</x:v>
      </x:c>
      <x:c r="R568" s="6" t="str">
        <x:v>2</x:v>
      </x:c>
      <x:c r="S568" s="6" t="str">
        <x:v>0.0</x:v>
      </x:c>
      <x:c r="T568" s="6" t="str">
        <x:v>2</x:v>
      </x:c>
      <x:c r="U568" s="6" t="str">
        <x:v>0.0</x:v>
      </x:c>
      <x:c r="V568" s="6" t="str">
        <x:v>2</x:v>
      </x:c>
      <x:c r="W568" s="6" t="str">
        <x:v>0.0</x:v>
      </x:c>
      <x:c r="X568" s="6" t="str">
        <x:v>2</x:v>
      </x:c>
      <x:c r="Y568" s="6" t="str"/>
      <x:c r="Z568" s="6" t="str">
        <x:v>0</x:v>
      </x:c>
      <x:c r="AA568" s="6" t="str">
        <x:v>0.0</x:v>
      </x:c>
      <x:c r="AB568" s="6" t="str">
        <x:v>2</x:v>
      </x:c>
      <x:c r="AC568" s="6" t="str">
        <x:v>2025-03</x:v>
      </x:c>
      <x:c r="AD568" s="9" t="str">
        <x:v>BNPB operational disaster search table</x:v>
      </x:c>
      <x:c r="AE568" s="9" t="str">
        <x:v>https://gis.bnpb.go.id/databencana/tabel/pencarian.php</x:v>
      </x:c>
      <x:c r="AF568" s="9" t="str">
        <x:v>operational_snapshot_annual_totals_may_differ</x:v>
      </x:c>
    </x:row>
    <x:row r="569" ht="18" customHeight="1">
      <x:c r="A569" s="6" t="str">
        <x:v>65</x:v>
      </x:c>
      <x:c r="B569" s="6" t="str">
        <x:v>KALIMANTAN UTARA</x:v>
      </x:c>
      <x:c r="C569" s="6" t="str">
        <x:v>2025</x:v>
      </x:c>
      <x:c r="D569" s="6" t="str">
        <x:v>4</x:v>
      </x:c>
      <x:c r="E569" s="6" t="str">
        <x:v>0</x:v>
      </x:c>
      <x:c r="F569" s="6" t="str">
        <x:v>0</x:v>
      </x:c>
      <x:c r="G569" s="6" t="str">
        <x:v>0</x:v>
      </x:c>
      <x:c r="H569" s="6" t="str">
        <x:v>0</x:v>
      </x:c>
      <x:c r="I569" s="6" t="str">
        <x:v>0</x:v>
      </x:c>
      <x:c r="J569" s="6" t="str">
        <x:v>0</x:v>
      </x:c>
      <x:c r="K569" s="6" t="str">
        <x:v>0</x:v>
      </x:c>
      <x:c r="L569" s="6" t="str">
        <x:v>0</x:v>
      </x:c>
      <x:c r="M569" s="6" t="str">
        <x:v>0</x:v>
      </x:c>
      <x:c r="N569" s="6" t="str">
        <x:v>0</x:v>
      </x:c>
      <x:c r="O569" s="6" t="str">
        <x:v>0</x:v>
      </x:c>
      <x:c r="P569" s="6" t="str">
        <x:v>0</x:v>
      </x:c>
      <x:c r="Q569" s="6" t="str"/>
      <x:c r="R569" s="6" t="str">
        <x:v>0</x:v>
      </x:c>
      <x:c r="S569" s="6" t="str"/>
      <x:c r="T569" s="6" t="str">
        <x:v>0</x:v>
      </x:c>
      <x:c r="U569" s="6" t="str"/>
      <x:c r="V569" s="6" t="str">
        <x:v>0</x:v>
      </x:c>
      <x:c r="W569" s="6" t="str"/>
      <x:c r="X569" s="6" t="str">
        <x:v>0</x:v>
      </x:c>
      <x:c r="Y569" s="6" t="str"/>
      <x:c r="Z569" s="6" t="str">
        <x:v>0</x:v>
      </x:c>
      <x:c r="AA569" s="6" t="str"/>
      <x:c r="AB569" s="6" t="str">
        <x:v>0</x:v>
      </x:c>
      <x:c r="AC569" s="6" t="str">
        <x:v>2025-04</x:v>
      </x:c>
      <x:c r="AD569" s="9" t="str">
        <x:v>BNPB operational disaster search table</x:v>
      </x:c>
      <x:c r="AE569" s="9" t="str">
        <x:v>https://gis.bnpb.go.id/databencana/tabel/pencarian.php</x:v>
      </x:c>
      <x:c r="AF569" s="9" t="str">
        <x:v>operational_snapshot_annual_totals_may_differ</x:v>
      </x:c>
    </x:row>
    <x:row r="570" ht="18" customHeight="1">
      <x:c r="A570" s="6" t="str">
        <x:v>65</x:v>
      </x:c>
      <x:c r="B570" s="6" t="str">
        <x:v>KALIMANTAN UTARA</x:v>
      </x:c>
      <x:c r="C570" s="6" t="str">
        <x:v>2025</x:v>
      </x:c>
      <x:c r="D570" s="6" t="str">
        <x:v>5</x:v>
      </x:c>
      <x:c r="E570" s="6" t="str">
        <x:v>4</x:v>
      </x:c>
      <x:c r="F570" s="6" t="str">
        <x:v>4</x:v>
      </x:c>
      <x:c r="G570" s="6" t="str">
        <x:v>4</x:v>
      </x:c>
      <x:c r="H570" s="6" t="str">
        <x:v>0</x:v>
      </x:c>
      <x:c r="I570" s="6" t="str">
        <x:v>0</x:v>
      </x:c>
      <x:c r="J570" s="6" t="str">
        <x:v>0</x:v>
      </x:c>
      <x:c r="K570" s="6" t="str">
        <x:v>0</x:v>
      </x:c>
      <x:c r="L570" s="6" t="str">
        <x:v>0</x:v>
      </x:c>
      <x:c r="M570" s="6" t="str">
        <x:v>0</x:v>
      </x:c>
      <x:c r="N570" s="6" t="str">
        <x:v>0</x:v>
      </x:c>
      <x:c r="O570" s="6" t="str">
        <x:v>0</x:v>
      </x:c>
      <x:c r="P570" s="6" t="str">
        <x:v>4</x:v>
      </x:c>
      <x:c r="Q570" s="6" t="str">
        <x:v>0.0</x:v>
      </x:c>
      <x:c r="R570" s="6" t="str">
        <x:v>4</x:v>
      </x:c>
      <x:c r="S570" s="6" t="str">
        <x:v>0.0</x:v>
      </x:c>
      <x:c r="T570" s="6" t="str">
        <x:v>4</x:v>
      </x:c>
      <x:c r="U570" s="6" t="str">
        <x:v>0.0</x:v>
      </x:c>
      <x:c r="V570" s="6" t="str">
        <x:v>4</x:v>
      </x:c>
      <x:c r="W570" s="6" t="str">
        <x:v>1.0</x:v>
      </x:c>
      <x:c r="X570" s="6" t="str">
        <x:v>4</x:v>
      </x:c>
      <x:c r="Y570" s="6" t="str">
        <x:v>6341.0</x:v>
      </x:c>
      <x:c r="Z570" s="6" t="str">
        <x:v>4</x:v>
      </x:c>
      <x:c r="AA570" s="6" t="str">
        <x:v>4.0</x:v>
      </x:c>
      <x:c r="AB570" s="6" t="str">
        <x:v>4</x:v>
      </x:c>
      <x:c r="AC570" s="6" t="str">
        <x:v>2025-05</x:v>
      </x:c>
      <x:c r="AD570" s="9" t="str">
        <x:v>BNPB operational disaster search table</x:v>
      </x:c>
      <x:c r="AE570" s="9" t="str">
        <x:v>https://gis.bnpb.go.id/databencana/tabel/pencarian.php</x:v>
      </x:c>
      <x:c r="AF570" s="9" t="str">
        <x:v>operational_snapshot_annual_totals_may_differ</x:v>
      </x:c>
    </x:row>
    <x:row r="571" ht="18" customHeight="1">
      <x:c r="A571" s="6" t="str">
        <x:v>65</x:v>
      </x:c>
      <x:c r="B571" s="6" t="str">
        <x:v>KALIMANTAN UTARA</x:v>
      </x:c>
      <x:c r="C571" s="6" t="str">
        <x:v>2025</x:v>
      </x:c>
      <x:c r="D571" s="6" t="str">
        <x:v>6</x:v>
      </x:c>
      <x:c r="E571" s="6" t="str">
        <x:v>0</x:v>
      </x:c>
      <x:c r="F571" s="6" t="str">
        <x:v>0</x:v>
      </x:c>
      <x:c r="G571" s="6" t="str">
        <x:v>0</x:v>
      </x:c>
      <x:c r="H571" s="6" t="str">
        <x:v>0</x:v>
      </x:c>
      <x:c r="I571" s="6" t="str">
        <x:v>0</x:v>
      </x:c>
      <x:c r="J571" s="6" t="str">
        <x:v>0</x:v>
      </x:c>
      <x:c r="K571" s="6" t="str">
        <x:v>0</x:v>
      </x:c>
      <x:c r="L571" s="6" t="str">
        <x:v>0</x:v>
      </x:c>
      <x:c r="M571" s="6" t="str">
        <x:v>0</x:v>
      </x:c>
      <x:c r="N571" s="6" t="str">
        <x:v>0</x:v>
      </x:c>
      <x:c r="O571" s="6" t="str">
        <x:v>0</x:v>
      </x:c>
      <x:c r="P571" s="6" t="str">
        <x:v>0</x:v>
      </x:c>
      <x:c r="Q571" s="6" t="str"/>
      <x:c r="R571" s="6" t="str">
        <x:v>0</x:v>
      </x:c>
      <x:c r="S571" s="6" t="str"/>
      <x:c r="T571" s="6" t="str">
        <x:v>0</x:v>
      </x:c>
      <x:c r="U571" s="6" t="str"/>
      <x:c r="V571" s="6" t="str">
        <x:v>0</x:v>
      </x:c>
      <x:c r="W571" s="6" t="str"/>
      <x:c r="X571" s="6" t="str">
        <x:v>0</x:v>
      </x:c>
      <x:c r="Y571" s="6" t="str"/>
      <x:c r="Z571" s="6" t="str">
        <x:v>0</x:v>
      </x:c>
      <x:c r="AA571" s="6" t="str"/>
      <x:c r="AB571" s="6" t="str">
        <x:v>0</x:v>
      </x:c>
      <x:c r="AC571" s="6" t="str">
        <x:v>2025-06</x:v>
      </x:c>
      <x:c r="AD571" s="9" t="str">
        <x:v>BNPB operational disaster search table</x:v>
      </x:c>
      <x:c r="AE571" s="9" t="str">
        <x:v>https://gis.bnpb.go.id/databencana/tabel/pencarian.php</x:v>
      </x:c>
      <x:c r="AF571" s="9" t="str">
        <x:v>operational_snapshot_annual_totals_may_differ</x:v>
      </x:c>
    </x:row>
    <x:row r="572" ht="18" customHeight="1">
      <x:c r="A572" s="6" t="str">
        <x:v>65</x:v>
      </x:c>
      <x:c r="B572" s="6" t="str">
        <x:v>KALIMANTAN UTARA</x:v>
      </x:c>
      <x:c r="C572" s="6" t="str">
        <x:v>2025</x:v>
      </x:c>
      <x:c r="D572" s="6" t="str">
        <x:v>7</x:v>
      </x:c>
      <x:c r="E572" s="6" t="str">
        <x:v>5</x:v>
      </x:c>
      <x:c r="F572" s="6" t="str">
        <x:v>5</x:v>
      </x:c>
      <x:c r="G572" s="6" t="str">
        <x:v>0</x:v>
      </x:c>
      <x:c r="H572" s="6" t="str">
        <x:v>0</x:v>
      </x:c>
      <x:c r="I572" s="6" t="str">
        <x:v>0</x:v>
      </x:c>
      <x:c r="J572" s="6" t="str">
        <x:v>0</x:v>
      </x:c>
      <x:c r="K572" s="6" t="str">
        <x:v>5</x:v>
      </x:c>
      <x:c r="L572" s="6" t="str">
        <x:v>0</x:v>
      </x:c>
      <x:c r="M572" s="6" t="str">
        <x:v>0</x:v>
      </x:c>
      <x:c r="N572" s="6" t="str">
        <x:v>0</x:v>
      </x:c>
      <x:c r="O572" s="6" t="str">
        <x:v>0</x:v>
      </x:c>
      <x:c r="P572" s="6" t="str">
        <x:v>5</x:v>
      </x:c>
      <x:c r="Q572" s="6" t="str"/>
      <x:c r="R572" s="6" t="str">
        <x:v>0</x:v>
      </x:c>
      <x:c r="S572" s="6" t="str"/>
      <x:c r="T572" s="6" t="str">
        <x:v>0</x:v>
      </x:c>
      <x:c r="U572" s="6" t="str"/>
      <x:c r="V572" s="6" t="str">
        <x:v>0</x:v>
      </x:c>
      <x:c r="W572" s="6" t="str">
        <x:v>0.0</x:v>
      </x:c>
      <x:c r="X572" s="6" t="str">
        <x:v>5</x:v>
      </x:c>
      <x:c r="Y572" s="6" t="str"/>
      <x:c r="Z572" s="6" t="str">
        <x:v>0</x:v>
      </x:c>
      <x:c r="AA572" s="6" t="str">
        <x:v>0.0</x:v>
      </x:c>
      <x:c r="AB572" s="6" t="str">
        <x:v>5</x:v>
      </x:c>
      <x:c r="AC572" s="6" t="str">
        <x:v>2025-07</x:v>
      </x:c>
      <x:c r="AD572" s="9" t="str">
        <x:v>BNPB operational disaster search table</x:v>
      </x:c>
      <x:c r="AE572" s="9" t="str">
        <x:v>https://gis.bnpb.go.id/databencana/tabel/pencarian.php</x:v>
      </x:c>
      <x:c r="AF572" s="9" t="str">
        <x:v>operational_snapshot_annual_totals_may_differ</x:v>
      </x:c>
    </x:row>
    <x:row r="573" ht="18" customHeight="1">
      <x:c r="A573" s="6" t="str">
        <x:v>65</x:v>
      </x:c>
      <x:c r="B573" s="6" t="str">
        <x:v>KALIMANTAN UTARA</x:v>
      </x:c>
      <x:c r="C573" s="6" t="str">
        <x:v>2025</x:v>
      </x:c>
      <x:c r="D573" s="6" t="str">
        <x:v>8</x:v>
      </x:c>
      <x:c r="E573" s="6" t="str">
        <x:v>3</x:v>
      </x:c>
      <x:c r="F573" s="6" t="str">
        <x:v>3</x:v>
      </x:c>
      <x:c r="G573" s="6" t="str">
        <x:v>0</x:v>
      </x:c>
      <x:c r="H573" s="6" t="str">
        <x:v>0</x:v>
      </x:c>
      <x:c r="I573" s="6" t="str">
        <x:v>0</x:v>
      </x:c>
      <x:c r="J573" s="6" t="str">
        <x:v>0</x:v>
      </x:c>
      <x:c r="K573" s="6" t="str">
        <x:v>3</x:v>
      </x:c>
      <x:c r="L573" s="6" t="str">
        <x:v>0</x:v>
      </x:c>
      <x:c r="M573" s="6" t="str">
        <x:v>0</x:v>
      </x:c>
      <x:c r="N573" s="6" t="str">
        <x:v>0</x:v>
      </x:c>
      <x:c r="O573" s="6" t="str">
        <x:v>0</x:v>
      </x:c>
      <x:c r="P573" s="6" t="str">
        <x:v>3</x:v>
      </x:c>
      <x:c r="Q573" s="6" t="str"/>
      <x:c r="R573" s="6" t="str">
        <x:v>0</x:v>
      </x:c>
      <x:c r="S573" s="6" t="str"/>
      <x:c r="T573" s="6" t="str">
        <x:v>0</x:v>
      </x:c>
      <x:c r="U573" s="6" t="str"/>
      <x:c r="V573" s="6" t="str">
        <x:v>0</x:v>
      </x:c>
      <x:c r="W573" s="6" t="str">
        <x:v>0.0</x:v>
      </x:c>
      <x:c r="X573" s="6" t="str">
        <x:v>3</x:v>
      </x:c>
      <x:c r="Y573" s="6" t="str"/>
      <x:c r="Z573" s="6" t="str">
        <x:v>0</x:v>
      </x:c>
      <x:c r="AA573" s="6" t="str">
        <x:v>0.0</x:v>
      </x:c>
      <x:c r="AB573" s="6" t="str">
        <x:v>3</x:v>
      </x:c>
      <x:c r="AC573" s="6" t="str">
        <x:v>2025-08</x:v>
      </x:c>
      <x:c r="AD573" s="9" t="str">
        <x:v>BNPB operational disaster search table</x:v>
      </x:c>
      <x:c r="AE573" s="9" t="str">
        <x:v>https://gis.bnpb.go.id/databencana/tabel/pencarian.php</x:v>
      </x:c>
      <x:c r="AF573" s="9" t="str">
        <x:v>operational_snapshot_annual_totals_may_differ</x:v>
      </x:c>
    </x:row>
    <x:row r="574" ht="18" customHeight="1">
      <x:c r="A574" s="6" t="str">
        <x:v>65</x:v>
      </x:c>
      <x:c r="B574" s="6" t="str">
        <x:v>KALIMANTAN UTARA</x:v>
      </x:c>
      <x:c r="C574" s="6" t="str">
        <x:v>2025</x:v>
      </x:c>
      <x:c r="D574" s="6" t="str">
        <x:v>9</x:v>
      </x:c>
      <x:c r="E574" s="6" t="str">
        <x:v>0</x:v>
      </x:c>
      <x:c r="F574" s="6" t="str">
        <x:v>0</x:v>
      </x:c>
      <x:c r="G574" s="6" t="str">
        <x:v>0</x:v>
      </x:c>
      <x:c r="H574" s="6" t="str">
        <x:v>0</x:v>
      </x:c>
      <x:c r="I574" s="6" t="str">
        <x:v>0</x:v>
      </x:c>
      <x:c r="J574" s="6" t="str">
        <x:v>0</x:v>
      </x:c>
      <x:c r="K574" s="6" t="str">
        <x:v>0</x:v>
      </x:c>
      <x:c r="L574" s="6" t="str">
        <x:v>0</x:v>
      </x:c>
      <x:c r="M574" s="6" t="str">
        <x:v>0</x:v>
      </x:c>
      <x:c r="N574" s="6" t="str">
        <x:v>0</x:v>
      </x:c>
      <x:c r="O574" s="6" t="str">
        <x:v>0</x:v>
      </x:c>
      <x:c r="P574" s="6" t="str">
        <x:v>0</x:v>
      </x:c>
      <x:c r="Q574" s="6" t="str"/>
      <x:c r="R574" s="6" t="str">
        <x:v>0</x:v>
      </x:c>
      <x:c r="S574" s="6" t="str"/>
      <x:c r="T574" s="6" t="str">
        <x:v>0</x:v>
      </x:c>
      <x:c r="U574" s="6" t="str"/>
      <x:c r="V574" s="6" t="str">
        <x:v>0</x:v>
      </x:c>
      <x:c r="W574" s="6" t="str"/>
      <x:c r="X574" s="6" t="str">
        <x:v>0</x:v>
      </x:c>
      <x:c r="Y574" s="6" t="str"/>
      <x:c r="Z574" s="6" t="str">
        <x:v>0</x:v>
      </x:c>
      <x:c r="AA574" s="6" t="str"/>
      <x:c r="AB574" s="6" t="str">
        <x:v>0</x:v>
      </x:c>
      <x:c r="AC574" s="6" t="str">
        <x:v>2025-09</x:v>
      </x:c>
      <x:c r="AD574" s="9" t="str">
        <x:v>BNPB operational disaster search table</x:v>
      </x:c>
      <x:c r="AE574" s="9" t="str">
        <x:v>https://gis.bnpb.go.id/databencana/tabel/pencarian.php</x:v>
      </x:c>
      <x:c r="AF574" s="9" t="str">
        <x:v>operational_snapshot_annual_totals_may_differ</x:v>
      </x:c>
    </x:row>
    <x:row r="575" ht="18" customHeight="1">
      <x:c r="A575" s="6" t="str">
        <x:v>65</x:v>
      </x:c>
      <x:c r="B575" s="6" t="str">
        <x:v>KALIMANTAN UTARA</x:v>
      </x:c>
      <x:c r="C575" s="6" t="str">
        <x:v>2025</x:v>
      </x:c>
      <x:c r="D575" s="6" t="str">
        <x:v>10</x:v>
      </x:c>
      <x:c r="E575" s="6" t="str">
        <x:v>0</x:v>
      </x:c>
      <x:c r="F575" s="6" t="str">
        <x:v>0</x:v>
      </x:c>
      <x:c r="G575" s="6" t="str">
        <x:v>0</x:v>
      </x:c>
      <x:c r="H575" s="6" t="str">
        <x:v>0</x:v>
      </x:c>
      <x:c r="I575" s="6" t="str">
        <x:v>0</x:v>
      </x:c>
      <x:c r="J575" s="6" t="str">
        <x:v>0</x:v>
      </x:c>
      <x:c r="K575" s="6" t="str">
        <x:v>0</x:v>
      </x:c>
      <x:c r="L575" s="6" t="str">
        <x:v>0</x:v>
      </x:c>
      <x:c r="M575" s="6" t="str">
        <x:v>0</x:v>
      </x:c>
      <x:c r="N575" s="6" t="str">
        <x:v>0</x:v>
      </x:c>
      <x:c r="O575" s="6" t="str">
        <x:v>0</x:v>
      </x:c>
      <x:c r="P575" s="6" t="str">
        <x:v>0</x:v>
      </x:c>
      <x:c r="Q575" s="6" t="str"/>
      <x:c r="R575" s="6" t="str">
        <x:v>0</x:v>
      </x:c>
      <x:c r="S575" s="6" t="str"/>
      <x:c r="T575" s="6" t="str">
        <x:v>0</x:v>
      </x:c>
      <x:c r="U575" s="6" t="str"/>
      <x:c r="V575" s="6" t="str">
        <x:v>0</x:v>
      </x:c>
      <x:c r="W575" s="6" t="str"/>
      <x:c r="X575" s="6" t="str">
        <x:v>0</x:v>
      </x:c>
      <x:c r="Y575" s="6" t="str"/>
      <x:c r="Z575" s="6" t="str">
        <x:v>0</x:v>
      </x:c>
      <x:c r="AA575" s="6" t="str"/>
      <x:c r="AB575" s="6" t="str">
        <x:v>0</x:v>
      </x:c>
      <x:c r="AC575" s="6" t="str">
        <x:v>2025-10</x:v>
      </x:c>
      <x:c r="AD575" s="9" t="str">
        <x:v>BNPB operational disaster search table</x:v>
      </x:c>
      <x:c r="AE575" s="9" t="str">
        <x:v>https://gis.bnpb.go.id/databencana/tabel/pencarian.php</x:v>
      </x:c>
      <x:c r="AF575" s="9" t="str">
        <x:v>operational_snapshot_annual_totals_may_differ</x:v>
      </x:c>
    </x:row>
    <x:row r="576" ht="18" customHeight="1">
      <x:c r="A576" s="6" t="str">
        <x:v>65</x:v>
      </x:c>
      <x:c r="B576" s="6" t="str">
        <x:v>KALIMANTAN UTARA</x:v>
      </x:c>
      <x:c r="C576" s="6" t="str">
        <x:v>2025</x:v>
      </x:c>
      <x:c r="D576" s="6" t="str">
        <x:v>11</x:v>
      </x:c>
      <x:c r="E576" s="6" t="str">
        <x:v>4</x:v>
      </x:c>
      <x:c r="F576" s="6" t="str">
        <x:v>4</x:v>
      </x:c>
      <x:c r="G576" s="6" t="str">
        <x:v>3</x:v>
      </x:c>
      <x:c r="H576" s="6" t="str">
        <x:v>0</x:v>
      </x:c>
      <x:c r="I576" s="6" t="str">
        <x:v>0</x:v>
      </x:c>
      <x:c r="J576" s="6" t="str">
        <x:v>0</x:v>
      </x:c>
      <x:c r="K576" s="6" t="str">
        <x:v>0</x:v>
      </x:c>
      <x:c r="L576" s="6" t="str">
        <x:v>0</x:v>
      </x:c>
      <x:c r="M576" s="6" t="str">
        <x:v>1</x:v>
      </x:c>
      <x:c r="N576" s="6" t="str">
        <x:v>0</x:v>
      </x:c>
      <x:c r="O576" s="6" t="str">
        <x:v>0</x:v>
      </x:c>
      <x:c r="P576" s="6" t="str">
        <x:v>3</x:v>
      </x:c>
      <x:c r="Q576" s="6" t="str"/>
      <x:c r="R576" s="6" t="str">
        <x:v>0</x:v>
      </x:c>
      <x:c r="S576" s="6" t="str"/>
      <x:c r="T576" s="6" t="str">
        <x:v>0</x:v>
      </x:c>
      <x:c r="U576" s="6" t="str">
        <x:v>2.0</x:v>
      </x:c>
      <x:c r="V576" s="6" t="str">
        <x:v>1</x:v>
      </x:c>
      <x:c r="W576" s="6" t="str">
        <x:v>22.0</x:v>
      </x:c>
      <x:c r="X576" s="6" t="str">
        <x:v>4</x:v>
      </x:c>
      <x:c r="Y576" s="6" t="str">
        <x:v>152.0</x:v>
      </x:c>
      <x:c r="Z576" s="6" t="str">
        <x:v>3</x:v>
      </x:c>
      <x:c r="AA576" s="6" t="str">
        <x:v>2.0</x:v>
      </x:c>
      <x:c r="AB576" s="6" t="str">
        <x:v>4</x:v>
      </x:c>
      <x:c r="AC576" s="6" t="str">
        <x:v>2025-11</x:v>
      </x:c>
      <x:c r="AD576" s="9" t="str">
        <x:v>BNPB operational disaster search table</x:v>
      </x:c>
      <x:c r="AE576" s="9" t="str">
        <x:v>https://gis.bnpb.go.id/databencana/tabel/pencarian.php</x:v>
      </x:c>
      <x:c r="AF576" s="9" t="str">
        <x:v>operational_snapshot_annual_totals_may_differ</x:v>
      </x:c>
    </x:row>
    <x:row r="577" ht="18" customHeight="1">
      <x:c r="A577" s="6" t="str">
        <x:v>65</x:v>
      </x:c>
      <x:c r="B577" s="6" t="str">
        <x:v>KALIMANTAN UTARA</x:v>
      </x:c>
      <x:c r="C577" s="6" t="str">
        <x:v>2025</x:v>
      </x:c>
      <x:c r="D577" s="6" t="str">
        <x:v>12</x:v>
      </x:c>
      <x:c r="E577" s="6" t="str">
        <x:v>0</x:v>
      </x:c>
      <x:c r="F577" s="6" t="str">
        <x:v>0</x:v>
      </x:c>
      <x:c r="G577" s="6" t="str">
        <x:v>0</x:v>
      </x:c>
      <x:c r="H577" s="6" t="str">
        <x:v>0</x:v>
      </x:c>
      <x:c r="I577" s="6" t="str">
        <x:v>0</x:v>
      </x:c>
      <x:c r="J577" s="6" t="str">
        <x:v>0</x:v>
      </x:c>
      <x:c r="K577" s="6" t="str">
        <x:v>0</x:v>
      </x:c>
      <x:c r="L577" s="6" t="str">
        <x:v>0</x:v>
      </x:c>
      <x:c r="M577" s="6" t="str">
        <x:v>0</x:v>
      </x:c>
      <x:c r="N577" s="6" t="str">
        <x:v>0</x:v>
      </x:c>
      <x:c r="O577" s="6" t="str">
        <x:v>0</x:v>
      </x:c>
      <x:c r="P577" s="6" t="str">
        <x:v>0</x:v>
      </x:c>
      <x:c r="Q577" s="6" t="str"/>
      <x:c r="R577" s="6" t="str">
        <x:v>0</x:v>
      </x:c>
      <x:c r="S577" s="6" t="str"/>
      <x:c r="T577" s="6" t="str">
        <x:v>0</x:v>
      </x:c>
      <x:c r="U577" s="6" t="str"/>
      <x:c r="V577" s="6" t="str">
        <x:v>0</x:v>
      </x:c>
      <x:c r="W577" s="6" t="str"/>
      <x:c r="X577" s="6" t="str">
        <x:v>0</x:v>
      </x:c>
      <x:c r="Y577" s="6" t="str"/>
      <x:c r="Z577" s="6" t="str">
        <x:v>0</x:v>
      </x:c>
      <x:c r="AA577" s="6" t="str"/>
      <x:c r="AB577" s="6" t="str">
        <x:v>0</x:v>
      </x:c>
      <x:c r="AC577" s="6" t="str">
        <x:v>2025-12</x:v>
      </x:c>
      <x:c r="AD577" s="9" t="str">
        <x:v>BNPB operational disaster search table</x:v>
      </x:c>
      <x:c r="AE577" s="9" t="str">
        <x:v>https://gis.bnpb.go.id/databencana/tabel/pencarian.php</x:v>
      </x:c>
      <x:c r="AF577" s="9" t="str">
        <x:v>operational_snapshot_annual_totals_may_differ</x:v>
      </x:c>
    </x:row>
    <x:row r="578" ht="18" customHeight="1">
      <x:c r="A578" s="6" t="str">
        <x:v>71</x:v>
      </x:c>
      <x:c r="B578" s="6" t="str">
        <x:v>SULAWESI UTARA</x:v>
      </x:c>
      <x:c r="C578" s="6" t="str">
        <x:v>2024</x:v>
      </x:c>
      <x:c r="D578" s="6" t="str">
        <x:v>1</x:v>
      </x:c>
      <x:c r="E578" s="6" t="str">
        <x:v>1</x:v>
      </x:c>
      <x:c r="F578" s="6" t="str">
        <x:v>1</x:v>
      </x:c>
      <x:c r="G578" s="6" t="str">
        <x:v>1</x:v>
      </x:c>
      <x:c r="H578" s="6" t="str">
        <x:v>0</x:v>
      </x:c>
      <x:c r="I578" s="6" t="str">
        <x:v>0</x:v>
      </x:c>
      <x:c r="J578" s="6" t="str">
        <x:v>0</x:v>
      </x:c>
      <x:c r="K578" s="6" t="str">
        <x:v>0</x:v>
      </x:c>
      <x:c r="L578" s="6" t="str">
        <x:v>0</x:v>
      </x:c>
      <x:c r="M578" s="6" t="str">
        <x:v>0</x:v>
      </x:c>
      <x:c r="N578" s="6" t="str">
        <x:v>0</x:v>
      </x:c>
      <x:c r="O578" s="6" t="str">
        <x:v>0</x:v>
      </x:c>
      <x:c r="P578" s="6" t="str">
        <x:v>1</x:v>
      </x:c>
      <x:c r="Q578" s="6" t="str">
        <x:v>0.0</x:v>
      </x:c>
      <x:c r="R578" s="6" t="str">
        <x:v>1</x:v>
      </x:c>
      <x:c r="S578" s="6" t="str">
        <x:v>0.0</x:v>
      </x:c>
      <x:c r="T578" s="6" t="str">
        <x:v>1</x:v>
      </x:c>
      <x:c r="U578" s="6" t="str">
        <x:v>0.0</x:v>
      </x:c>
      <x:c r="V578" s="6" t="str">
        <x:v>1</x:v>
      </x:c>
      <x:c r="W578" s="6" t="str">
        <x:v>5.0</x:v>
      </x:c>
      <x:c r="X578" s="6" t="str">
        <x:v>1</x:v>
      </x:c>
      <x:c r="Y578" s="6" t="str"/>
      <x:c r="Z578" s="6" t="str">
        <x:v>0</x:v>
      </x:c>
      <x:c r="AA578" s="6" t="str">
        <x:v>0.0</x:v>
      </x:c>
      <x:c r="AB578" s="6" t="str">
        <x:v>1</x:v>
      </x:c>
      <x:c r="AC578" s="6" t="str">
        <x:v>2024-01</x:v>
      </x:c>
      <x:c r="AD578" s="9" t="str">
        <x:v>BNPB operational disaster search table</x:v>
      </x:c>
      <x:c r="AE578" s="9" t="str">
        <x:v>https://gis.bnpb.go.id/databencana/tabel/pencarian.php</x:v>
      </x:c>
      <x:c r="AF578" s="9" t="str">
        <x:v>operational_snapshot_annual_totals_may_differ</x:v>
      </x:c>
    </x:row>
    <x:row r="579" ht="18" customHeight="1">
      <x:c r="A579" s="6" t="str">
        <x:v>71</x:v>
      </x:c>
      <x:c r="B579" s="6" t="str">
        <x:v>SULAWESI UTARA</x:v>
      </x:c>
      <x:c r="C579" s="6" t="str">
        <x:v>2024</x:v>
      </x:c>
      <x:c r="D579" s="6" t="str">
        <x:v>2</x:v>
      </x:c>
      <x:c r="E579" s="6" t="str">
        <x:v>2</x:v>
      </x:c>
      <x:c r="F579" s="6" t="str">
        <x:v>2</x:v>
      </x:c>
      <x:c r="G579" s="6" t="str">
        <x:v>2</x:v>
      </x:c>
      <x:c r="H579" s="6" t="str">
        <x:v>0</x:v>
      </x:c>
      <x:c r="I579" s="6" t="str">
        <x:v>0</x:v>
      </x:c>
      <x:c r="J579" s="6" t="str">
        <x:v>0</x:v>
      </x:c>
      <x:c r="K579" s="6" t="str">
        <x:v>0</x:v>
      </x:c>
      <x:c r="L579" s="6" t="str">
        <x:v>0</x:v>
      </x:c>
      <x:c r="M579" s="6" t="str">
        <x:v>0</x:v>
      </x:c>
      <x:c r="N579" s="6" t="str">
        <x:v>0</x:v>
      </x:c>
      <x:c r="O579" s="6" t="str">
        <x:v>0</x:v>
      </x:c>
      <x:c r="P579" s="6" t="str">
        <x:v>2</x:v>
      </x:c>
      <x:c r="Q579" s="6" t="str">
        <x:v>0.0</x:v>
      </x:c>
      <x:c r="R579" s="6" t="str">
        <x:v>2</x:v>
      </x:c>
      <x:c r="S579" s="6" t="str">
        <x:v>0.0</x:v>
      </x:c>
      <x:c r="T579" s="6" t="str">
        <x:v>2</x:v>
      </x:c>
      <x:c r="U579" s="6" t="str">
        <x:v>0.0</x:v>
      </x:c>
      <x:c r="V579" s="6" t="str">
        <x:v>2</x:v>
      </x:c>
      <x:c r="W579" s="6" t="str">
        <x:v>0.0</x:v>
      </x:c>
      <x:c r="X579" s="6" t="str">
        <x:v>2</x:v>
      </x:c>
      <x:c r="Y579" s="6" t="str">
        <x:v>758.0</x:v>
      </x:c>
      <x:c r="Z579" s="6" t="str">
        <x:v>2</x:v>
      </x:c>
      <x:c r="AA579" s="6" t="str">
        <x:v>0.0</x:v>
      </x:c>
      <x:c r="AB579" s="6" t="str">
        <x:v>2</x:v>
      </x:c>
      <x:c r="AC579" s="6" t="str">
        <x:v>2024-02</x:v>
      </x:c>
      <x:c r="AD579" s="9" t="str">
        <x:v>BNPB operational disaster search table</x:v>
      </x:c>
      <x:c r="AE579" s="9" t="str">
        <x:v>https://gis.bnpb.go.id/databencana/tabel/pencarian.php</x:v>
      </x:c>
      <x:c r="AF579" s="9" t="str">
        <x:v>operational_snapshot_annual_totals_may_differ</x:v>
      </x:c>
    </x:row>
    <x:row r="580" ht="18" customHeight="1">
      <x:c r="A580" s="6" t="str">
        <x:v>71</x:v>
      </x:c>
      <x:c r="B580" s="6" t="str">
        <x:v>SULAWESI UTARA</x:v>
      </x:c>
      <x:c r="C580" s="6" t="str">
        <x:v>2024</x:v>
      </x:c>
      <x:c r="D580" s="6" t="str">
        <x:v>3</x:v>
      </x:c>
      <x:c r="E580" s="6" t="str">
        <x:v>2</x:v>
      </x:c>
      <x:c r="F580" s="6" t="str">
        <x:v>2</x:v>
      </x:c>
      <x:c r="G580" s="6" t="str">
        <x:v>2</x:v>
      </x:c>
      <x:c r="H580" s="6" t="str">
        <x:v>0</x:v>
      </x:c>
      <x:c r="I580" s="6" t="str">
        <x:v>0</x:v>
      </x:c>
      <x:c r="J580" s="6" t="str">
        <x:v>0</x:v>
      </x:c>
      <x:c r="K580" s="6" t="str">
        <x:v>0</x:v>
      </x:c>
      <x:c r="L580" s="6" t="str">
        <x:v>0</x:v>
      </x:c>
      <x:c r="M580" s="6" t="str">
        <x:v>0</x:v>
      </x:c>
      <x:c r="N580" s="6" t="str">
        <x:v>0</x:v>
      </x:c>
      <x:c r="O580" s="6" t="str">
        <x:v>0</x:v>
      </x:c>
      <x:c r="P580" s="6" t="str">
        <x:v>2</x:v>
      </x:c>
      <x:c r="Q580" s="6" t="str">
        <x:v>0.0</x:v>
      </x:c>
      <x:c r="R580" s="6" t="str">
        <x:v>2</x:v>
      </x:c>
      <x:c r="S580" s="6" t="str">
        <x:v>1.0</x:v>
      </x:c>
      <x:c r="T580" s="6" t="str">
        <x:v>2</x:v>
      </x:c>
      <x:c r="U580" s="6" t="str">
        <x:v>0.0</x:v>
      </x:c>
      <x:c r="V580" s="6" t="str">
        <x:v>2</x:v>
      </x:c>
      <x:c r="W580" s="6" t="str">
        <x:v>0.0</x:v>
      </x:c>
      <x:c r="X580" s="6" t="str">
        <x:v>2</x:v>
      </x:c>
      <x:c r="Y580" s="6" t="str">
        <x:v>1495.0</x:v>
      </x:c>
      <x:c r="Z580" s="6" t="str">
        <x:v>2</x:v>
      </x:c>
      <x:c r="AA580" s="6" t="str">
        <x:v>1.0</x:v>
      </x:c>
      <x:c r="AB580" s="6" t="str">
        <x:v>2</x:v>
      </x:c>
      <x:c r="AC580" s="6" t="str">
        <x:v>2024-03</x:v>
      </x:c>
      <x:c r="AD580" s="9" t="str">
        <x:v>BNPB operational disaster search table</x:v>
      </x:c>
      <x:c r="AE580" s="9" t="str">
        <x:v>https://gis.bnpb.go.id/databencana/tabel/pencarian.php</x:v>
      </x:c>
      <x:c r="AF580" s="9" t="str">
        <x:v>operational_snapshot_annual_totals_may_differ</x:v>
      </x:c>
    </x:row>
    <x:row r="581" ht="18" customHeight="1">
      <x:c r="A581" s="6" t="str">
        <x:v>71</x:v>
      </x:c>
      <x:c r="B581" s="6" t="str">
        <x:v>SULAWESI UTARA</x:v>
      </x:c>
      <x:c r="C581" s="6" t="str">
        <x:v>2024</x:v>
      </x:c>
      <x:c r="D581" s="6" t="str">
        <x:v>4</x:v>
      </x:c>
      <x:c r="E581" s="6" t="str">
        <x:v>3</x:v>
      </x:c>
      <x:c r="F581" s="6" t="str">
        <x:v>3</x:v>
      </x:c>
      <x:c r="G581" s="6" t="str">
        <x:v>2</x:v>
      </x:c>
      <x:c r="H581" s="6" t="str">
        <x:v>0</x:v>
      </x:c>
      <x:c r="I581" s="6" t="str">
        <x:v>0</x:v>
      </x:c>
      <x:c r="J581" s="6" t="str">
        <x:v>0</x:v>
      </x:c>
      <x:c r="K581" s="6" t="str">
        <x:v>0</x:v>
      </x:c>
      <x:c r="L581" s="6" t="str">
        <x:v>0</x:v>
      </x:c>
      <x:c r="M581" s="6" t="str">
        <x:v>0</x:v>
      </x:c>
      <x:c r="N581" s="6" t="str">
        <x:v>1</x:v>
      </x:c>
      <x:c r="O581" s="6" t="str">
        <x:v>0</x:v>
      </x:c>
      <x:c r="P581" s="6" t="str">
        <x:v>2</x:v>
      </x:c>
      <x:c r="Q581" s="6" t="str">
        <x:v>0.0</x:v>
      </x:c>
      <x:c r="R581" s="6" t="str">
        <x:v>3</x:v>
      </x:c>
      <x:c r="S581" s="6" t="str">
        <x:v>0.0</x:v>
      </x:c>
      <x:c r="T581" s="6" t="str">
        <x:v>3</x:v>
      </x:c>
      <x:c r="U581" s="6" t="str">
        <x:v>3.0</x:v>
      </x:c>
      <x:c r="V581" s="6" t="str">
        <x:v>3</x:v>
      </x:c>
      <x:c r="W581" s="6" t="str">
        <x:v>827.0</x:v>
      </x:c>
      <x:c r="X581" s="6" t="str">
        <x:v>3</x:v>
      </x:c>
      <x:c r="Y581" s="6" t="str">
        <x:v>5074.0</x:v>
      </x:c>
      <x:c r="Z581" s="6" t="str">
        <x:v>2</x:v>
      </x:c>
      <x:c r="AA581" s="6" t="str">
        <x:v>1.0</x:v>
      </x:c>
      <x:c r="AB581" s="6" t="str">
        <x:v>3</x:v>
      </x:c>
      <x:c r="AC581" s="6" t="str">
        <x:v>2024-04</x:v>
      </x:c>
      <x:c r="AD581" s="9" t="str">
        <x:v>BNPB operational disaster search table</x:v>
      </x:c>
      <x:c r="AE581" s="9" t="str">
        <x:v>https://gis.bnpb.go.id/databencana/tabel/pencarian.php</x:v>
      </x:c>
      <x:c r="AF581" s="9" t="str">
        <x:v>operational_snapshot_annual_totals_may_differ</x:v>
      </x:c>
    </x:row>
    <x:row r="582" ht="18" customHeight="1">
      <x:c r="A582" s="6" t="str">
        <x:v>71</x:v>
      </x:c>
      <x:c r="B582" s="6" t="str">
        <x:v>SULAWESI UTARA</x:v>
      </x:c>
      <x:c r="C582" s="6" t="str">
        <x:v>2024</x:v>
      </x:c>
      <x:c r="D582" s="6" t="str">
        <x:v>5</x:v>
      </x:c>
      <x:c r="E582" s="6" t="str">
        <x:v>2</x:v>
      </x:c>
      <x:c r="F582" s="6" t="str">
        <x:v>2</x:v>
      </x:c>
      <x:c r="G582" s="6" t="str">
        <x:v>2</x:v>
      </x:c>
      <x:c r="H582" s="6" t="str">
        <x:v>0</x:v>
      </x:c>
      <x:c r="I582" s="6" t="str">
        <x:v>0</x:v>
      </x:c>
      <x:c r="J582" s="6" t="str">
        <x:v>0</x:v>
      </x:c>
      <x:c r="K582" s="6" t="str">
        <x:v>0</x:v>
      </x:c>
      <x:c r="L582" s="6" t="str">
        <x:v>0</x:v>
      </x:c>
      <x:c r="M582" s="6" t="str">
        <x:v>0</x:v>
      </x:c>
      <x:c r="N582" s="6" t="str">
        <x:v>0</x:v>
      </x:c>
      <x:c r="O582" s="6" t="str">
        <x:v>0</x:v>
      </x:c>
      <x:c r="P582" s="6" t="str">
        <x:v>2</x:v>
      </x:c>
      <x:c r="Q582" s="6" t="str">
        <x:v>0.0</x:v>
      </x:c>
      <x:c r="R582" s="6" t="str">
        <x:v>2</x:v>
      </x:c>
      <x:c r="S582" s="6" t="str">
        <x:v>0.0</x:v>
      </x:c>
      <x:c r="T582" s="6" t="str">
        <x:v>2</x:v>
      </x:c>
      <x:c r="U582" s="6" t="str">
        <x:v>0.0</x:v>
      </x:c>
      <x:c r="V582" s="6" t="str">
        <x:v>2</x:v>
      </x:c>
      <x:c r="W582" s="6" t="str">
        <x:v>0.0</x:v>
      </x:c>
      <x:c r="X582" s="6" t="str">
        <x:v>2</x:v>
      </x:c>
      <x:c r="Y582" s="6" t="str">
        <x:v>812.0</x:v>
      </x:c>
      <x:c r="Z582" s="6" t="str">
        <x:v>2</x:v>
      </x:c>
      <x:c r="AA582" s="6" t="str">
        <x:v>0.0</x:v>
      </x:c>
      <x:c r="AB582" s="6" t="str">
        <x:v>2</x:v>
      </x:c>
      <x:c r="AC582" s="6" t="str">
        <x:v>2024-05</x:v>
      </x:c>
      <x:c r="AD582" s="9" t="str">
        <x:v>BNPB operational disaster search table</x:v>
      </x:c>
      <x:c r="AE582" s="9" t="str">
        <x:v>https://gis.bnpb.go.id/databencana/tabel/pencarian.php</x:v>
      </x:c>
      <x:c r="AF582" s="9" t="str">
        <x:v>operational_snapshot_annual_totals_may_differ</x:v>
      </x:c>
    </x:row>
    <x:row r="583" ht="18" customHeight="1">
      <x:c r="A583" s="6" t="str">
        <x:v>71</x:v>
      </x:c>
      <x:c r="B583" s="6" t="str">
        <x:v>SULAWESI UTARA</x:v>
      </x:c>
      <x:c r="C583" s="6" t="str">
        <x:v>2024</x:v>
      </x:c>
      <x:c r="D583" s="6" t="str">
        <x:v>6</x:v>
      </x:c>
      <x:c r="E583" s="6" t="str">
        <x:v>4</x:v>
      </x:c>
      <x:c r="F583" s="6" t="str">
        <x:v>4</x:v>
      </x:c>
      <x:c r="G583" s="6" t="str">
        <x:v>4</x:v>
      </x:c>
      <x:c r="H583" s="6" t="str">
        <x:v>0</x:v>
      </x:c>
      <x:c r="I583" s="6" t="str">
        <x:v>0</x:v>
      </x:c>
      <x:c r="J583" s="6" t="str">
        <x:v>0</x:v>
      </x:c>
      <x:c r="K583" s="6" t="str">
        <x:v>0</x:v>
      </x:c>
      <x:c r="L583" s="6" t="str">
        <x:v>0</x:v>
      </x:c>
      <x:c r="M583" s="6" t="str">
        <x:v>0</x:v>
      </x:c>
      <x:c r="N583" s="6" t="str">
        <x:v>0</x:v>
      </x:c>
      <x:c r="O583" s="6" t="str">
        <x:v>0</x:v>
      </x:c>
      <x:c r="P583" s="6" t="str">
        <x:v>4</x:v>
      </x:c>
      <x:c r="Q583" s="6" t="str">
        <x:v>0.0</x:v>
      </x:c>
      <x:c r="R583" s="6" t="str">
        <x:v>4</x:v>
      </x:c>
      <x:c r="S583" s="6" t="str">
        <x:v>0.0</x:v>
      </x:c>
      <x:c r="T583" s="6" t="str">
        <x:v>4</x:v>
      </x:c>
      <x:c r="U583" s="6" t="str">
        <x:v>0.0</x:v>
      </x:c>
      <x:c r="V583" s="6" t="str">
        <x:v>4</x:v>
      </x:c>
      <x:c r="W583" s="6" t="str">
        <x:v>0.0</x:v>
      </x:c>
      <x:c r="X583" s="6" t="str">
        <x:v>4</x:v>
      </x:c>
      <x:c r="Y583" s="6" t="str">
        <x:v>2997.0</x:v>
      </x:c>
      <x:c r="Z583" s="6" t="str">
        <x:v>4</x:v>
      </x:c>
      <x:c r="AA583" s="6" t="str">
        <x:v>0.0</x:v>
      </x:c>
      <x:c r="AB583" s="6" t="str">
        <x:v>4</x:v>
      </x:c>
      <x:c r="AC583" s="6" t="str">
        <x:v>2024-06</x:v>
      </x:c>
      <x:c r="AD583" s="9" t="str">
        <x:v>BNPB operational disaster search table</x:v>
      </x:c>
      <x:c r="AE583" s="9" t="str">
        <x:v>https://gis.bnpb.go.id/databencana/tabel/pencarian.php</x:v>
      </x:c>
      <x:c r="AF583" s="9" t="str">
        <x:v>operational_snapshot_annual_totals_may_differ</x:v>
      </x:c>
    </x:row>
    <x:row r="584" ht="18" customHeight="1">
      <x:c r="A584" s="6" t="str">
        <x:v>71</x:v>
      </x:c>
      <x:c r="B584" s="6" t="str">
        <x:v>SULAWESI UTARA</x:v>
      </x:c>
      <x:c r="C584" s="6" t="str">
        <x:v>2024</x:v>
      </x:c>
      <x:c r="D584" s="6" t="str">
        <x:v>7</x:v>
      </x:c>
      <x:c r="E584" s="6" t="str">
        <x:v>1</x:v>
      </x:c>
      <x:c r="F584" s="6" t="str">
        <x:v>1</x:v>
      </x:c>
      <x:c r="G584" s="6" t="str">
        <x:v>1</x:v>
      </x:c>
      <x:c r="H584" s="6" t="str">
        <x:v>0</x:v>
      </x:c>
      <x:c r="I584" s="6" t="str">
        <x:v>0</x:v>
      </x:c>
      <x:c r="J584" s="6" t="str">
        <x:v>0</x:v>
      </x:c>
      <x:c r="K584" s="6" t="str">
        <x:v>0</x:v>
      </x:c>
      <x:c r="L584" s="6" t="str">
        <x:v>0</x:v>
      </x:c>
      <x:c r="M584" s="6" t="str">
        <x:v>0</x:v>
      </x:c>
      <x:c r="N584" s="6" t="str">
        <x:v>0</x:v>
      </x:c>
      <x:c r="O584" s="6" t="str">
        <x:v>0</x:v>
      </x:c>
      <x:c r="P584" s="6" t="str">
        <x:v>1</x:v>
      </x:c>
      <x:c r="Q584" s="6" t="str">
        <x:v>0.0</x:v>
      </x:c>
      <x:c r="R584" s="6" t="str">
        <x:v>1</x:v>
      </x:c>
      <x:c r="S584" s="6" t="str">
        <x:v>0.0</x:v>
      </x:c>
      <x:c r="T584" s="6" t="str">
        <x:v>1</x:v>
      </x:c>
      <x:c r="U584" s="6" t="str">
        <x:v>0.0</x:v>
      </x:c>
      <x:c r="V584" s="6" t="str">
        <x:v>1</x:v>
      </x:c>
      <x:c r="W584" s="6" t="str">
        <x:v>1.0</x:v>
      </x:c>
      <x:c r="X584" s="6" t="str">
        <x:v>1</x:v>
      </x:c>
      <x:c r="Y584" s="6" t="str">
        <x:v>1026.0</x:v>
      </x:c>
      <x:c r="Z584" s="6" t="str">
        <x:v>1</x:v>
      </x:c>
      <x:c r="AA584" s="6" t="str">
        <x:v>0.0</x:v>
      </x:c>
      <x:c r="AB584" s="6" t="str">
        <x:v>1</x:v>
      </x:c>
      <x:c r="AC584" s="6" t="str">
        <x:v>2024-07</x:v>
      </x:c>
      <x:c r="AD584" s="9" t="str">
        <x:v>BNPB operational disaster search table</x:v>
      </x:c>
      <x:c r="AE584" s="9" t="str">
        <x:v>https://gis.bnpb.go.id/databencana/tabel/pencarian.php</x:v>
      </x:c>
      <x:c r="AF584" s="9" t="str">
        <x:v>operational_snapshot_annual_totals_may_differ</x:v>
      </x:c>
    </x:row>
    <x:row r="585" ht="18" customHeight="1">
      <x:c r="A585" s="6" t="str">
        <x:v>71</x:v>
      </x:c>
      <x:c r="B585" s="6" t="str">
        <x:v>SULAWESI UTARA</x:v>
      </x:c>
      <x:c r="C585" s="6" t="str">
        <x:v>2024</x:v>
      </x:c>
      <x:c r="D585" s="6" t="str">
        <x:v>8</x:v>
      </x:c>
      <x:c r="E585" s="6" t="str">
        <x:v>1</x:v>
      </x:c>
      <x:c r="F585" s="6" t="str">
        <x:v>1</x:v>
      </x:c>
      <x:c r="G585" s="6" t="str">
        <x:v>1</x:v>
      </x:c>
      <x:c r="H585" s="6" t="str">
        <x:v>0</x:v>
      </x:c>
      <x:c r="I585" s="6" t="str">
        <x:v>0</x:v>
      </x:c>
      <x:c r="J585" s="6" t="str">
        <x:v>0</x:v>
      </x:c>
      <x:c r="K585" s="6" t="str">
        <x:v>0</x:v>
      </x:c>
      <x:c r="L585" s="6" t="str">
        <x:v>0</x:v>
      </x:c>
      <x:c r="M585" s="6" t="str">
        <x:v>0</x:v>
      </x:c>
      <x:c r="N585" s="6" t="str">
        <x:v>0</x:v>
      </x:c>
      <x:c r="O585" s="6" t="str">
        <x:v>0</x:v>
      </x:c>
      <x:c r="P585" s="6" t="str">
        <x:v>1</x:v>
      </x:c>
      <x:c r="Q585" s="6" t="str">
        <x:v>0.0</x:v>
      </x:c>
      <x:c r="R585" s="6" t="str">
        <x:v>1</x:v>
      </x:c>
      <x:c r="S585" s="6" t="str">
        <x:v>0.0</x:v>
      </x:c>
      <x:c r="T585" s="6" t="str">
        <x:v>1</x:v>
      </x:c>
      <x:c r="U585" s="6" t="str">
        <x:v>0.0</x:v>
      </x:c>
      <x:c r="V585" s="6" t="str">
        <x:v>1</x:v>
      </x:c>
      <x:c r="W585" s="6" t="str">
        <x:v>1.0</x:v>
      </x:c>
      <x:c r="X585" s="6" t="str">
        <x:v>1</x:v>
      </x:c>
      <x:c r="Y585" s="6" t="str">
        <x:v>1248.0</x:v>
      </x:c>
      <x:c r="Z585" s="6" t="str">
        <x:v>1</x:v>
      </x:c>
      <x:c r="AA585" s="6" t="str">
        <x:v>4.0</x:v>
      </x:c>
      <x:c r="AB585" s="6" t="str">
        <x:v>1</x:v>
      </x:c>
      <x:c r="AC585" s="6" t="str">
        <x:v>2024-08</x:v>
      </x:c>
      <x:c r="AD585" s="9" t="str">
        <x:v>BNPB operational disaster search table</x:v>
      </x:c>
      <x:c r="AE585" s="9" t="str">
        <x:v>https://gis.bnpb.go.id/databencana/tabel/pencarian.php</x:v>
      </x:c>
      <x:c r="AF585" s="9" t="str">
        <x:v>operational_snapshot_annual_totals_may_differ</x:v>
      </x:c>
    </x:row>
    <x:row r="586" ht="18" customHeight="1">
      <x:c r="A586" s="6" t="str">
        <x:v>71</x:v>
      </x:c>
      <x:c r="B586" s="6" t="str">
        <x:v>SULAWESI UTARA</x:v>
      </x:c>
      <x:c r="C586" s="6" t="str">
        <x:v>2024</x:v>
      </x:c>
      <x:c r="D586" s="6" t="str">
        <x:v>9</x:v>
      </x:c>
      <x:c r="E586" s="6" t="str">
        <x:v>0</x:v>
      </x:c>
      <x:c r="F586" s="6" t="str">
        <x:v>0</x:v>
      </x:c>
      <x:c r="G586" s="6" t="str">
        <x:v>0</x:v>
      </x:c>
      <x:c r="H586" s="6" t="str">
        <x:v>0</x:v>
      </x:c>
      <x:c r="I586" s="6" t="str">
        <x:v>0</x:v>
      </x:c>
      <x:c r="J586" s="6" t="str">
        <x:v>0</x:v>
      </x:c>
      <x:c r="K586" s="6" t="str">
        <x:v>0</x:v>
      </x:c>
      <x:c r="L586" s="6" t="str">
        <x:v>0</x:v>
      </x:c>
      <x:c r="M586" s="6" t="str">
        <x:v>0</x:v>
      </x:c>
      <x:c r="N586" s="6" t="str">
        <x:v>0</x:v>
      </x:c>
      <x:c r="O586" s="6" t="str">
        <x:v>0</x:v>
      </x:c>
      <x:c r="P586" s="6" t="str">
        <x:v>0</x:v>
      </x:c>
      <x:c r="Q586" s="6" t="str"/>
      <x:c r="R586" s="6" t="str">
        <x:v>0</x:v>
      </x:c>
      <x:c r="S586" s="6" t="str"/>
      <x:c r="T586" s="6" t="str">
        <x:v>0</x:v>
      </x:c>
      <x:c r="U586" s="6" t="str"/>
      <x:c r="V586" s="6" t="str">
        <x:v>0</x:v>
      </x:c>
      <x:c r="W586" s="6" t="str"/>
      <x:c r="X586" s="6" t="str">
        <x:v>0</x:v>
      </x:c>
      <x:c r="Y586" s="6" t="str"/>
      <x:c r="Z586" s="6" t="str">
        <x:v>0</x:v>
      </x:c>
      <x:c r="AA586" s="6" t="str"/>
      <x:c r="AB586" s="6" t="str">
        <x:v>0</x:v>
      </x:c>
      <x:c r="AC586" s="6" t="str">
        <x:v>2024-09</x:v>
      </x:c>
      <x:c r="AD586" s="9" t="str">
        <x:v>BNPB operational disaster search table</x:v>
      </x:c>
      <x:c r="AE586" s="9" t="str">
        <x:v>https://gis.bnpb.go.id/databencana/tabel/pencarian.php</x:v>
      </x:c>
      <x:c r="AF586" s="9" t="str">
        <x:v>operational_snapshot_annual_totals_may_differ</x:v>
      </x:c>
    </x:row>
    <x:row r="587" ht="18" customHeight="1">
      <x:c r="A587" s="6" t="str">
        <x:v>71</x:v>
      </x:c>
      <x:c r="B587" s="6" t="str">
        <x:v>SULAWESI UTARA</x:v>
      </x:c>
      <x:c r="C587" s="6" t="str">
        <x:v>2024</x:v>
      </x:c>
      <x:c r="D587" s="6" t="str">
        <x:v>10</x:v>
      </x:c>
      <x:c r="E587" s="6" t="str">
        <x:v>1</x:v>
      </x:c>
      <x:c r="F587" s="6" t="str">
        <x:v>1</x:v>
      </x:c>
      <x:c r="G587" s="6" t="str">
        <x:v>0</x:v>
      </x:c>
      <x:c r="H587" s="6" t="str">
        <x:v>0</x:v>
      </x:c>
      <x:c r="I587" s="6" t="str">
        <x:v>1</x:v>
      </x:c>
      <x:c r="J587" s="6" t="str">
        <x:v>0</x:v>
      </x:c>
      <x:c r="K587" s="6" t="str">
        <x:v>0</x:v>
      </x:c>
      <x:c r="L587" s="6" t="str">
        <x:v>0</x:v>
      </x:c>
      <x:c r="M587" s="6" t="str">
        <x:v>0</x:v>
      </x:c>
      <x:c r="N587" s="6" t="str">
        <x:v>0</x:v>
      </x:c>
      <x:c r="O587" s="6" t="str">
        <x:v>0</x:v>
      </x:c>
      <x:c r="P587" s="6" t="str">
        <x:v>1</x:v>
      </x:c>
      <x:c r="Q587" s="6" t="str">
        <x:v>0.0</x:v>
      </x:c>
      <x:c r="R587" s="6" t="str">
        <x:v>1</x:v>
      </x:c>
      <x:c r="S587" s="6" t="str">
        <x:v>0.0</x:v>
      </x:c>
      <x:c r="T587" s="6" t="str">
        <x:v>1</x:v>
      </x:c>
      <x:c r="U587" s="6" t="str">
        <x:v>0.0</x:v>
      </x:c>
      <x:c r="V587" s="6" t="str">
        <x:v>1</x:v>
      </x:c>
      <x:c r="W587" s="6" t="str">
        <x:v>0.0</x:v>
      </x:c>
      <x:c r="X587" s="6" t="str">
        <x:v>1</x:v>
      </x:c>
      <x:c r="Y587" s="6" t="str"/>
      <x:c r="Z587" s="6" t="str">
        <x:v>0</x:v>
      </x:c>
      <x:c r="AA587" s="6" t="str">
        <x:v>0.0</x:v>
      </x:c>
      <x:c r="AB587" s="6" t="str">
        <x:v>1</x:v>
      </x:c>
      <x:c r="AC587" s="6" t="str">
        <x:v>2024-10</x:v>
      </x:c>
      <x:c r="AD587" s="9" t="str">
        <x:v>BNPB operational disaster search table</x:v>
      </x:c>
      <x:c r="AE587" s="9" t="str">
        <x:v>https://gis.bnpb.go.id/databencana/tabel/pencarian.php</x:v>
      </x:c>
      <x:c r="AF587" s="9" t="str">
        <x:v>operational_snapshot_annual_totals_may_differ</x:v>
      </x:c>
    </x:row>
    <x:row r="588" ht="18" customHeight="1">
      <x:c r="A588" s="6" t="str">
        <x:v>71</x:v>
      </x:c>
      <x:c r="B588" s="6" t="str">
        <x:v>SULAWESI UTARA</x:v>
      </x:c>
      <x:c r="C588" s="6" t="str">
        <x:v>2024</x:v>
      </x:c>
      <x:c r="D588" s="6" t="str">
        <x:v>11</x:v>
      </x:c>
      <x:c r="E588" s="6" t="str">
        <x:v>3</x:v>
      </x:c>
      <x:c r="F588" s="6" t="str">
        <x:v>3</x:v>
      </x:c>
      <x:c r="G588" s="6" t="str">
        <x:v>0</x:v>
      </x:c>
      <x:c r="H588" s="6" t="str">
        <x:v>0</x:v>
      </x:c>
      <x:c r="I588" s="6" t="str">
        <x:v>2</x:v>
      </x:c>
      <x:c r="J588" s="6" t="str">
        <x:v>0</x:v>
      </x:c>
      <x:c r="K588" s="6" t="str">
        <x:v>0</x:v>
      </x:c>
      <x:c r="L588" s="6" t="str">
        <x:v>1</x:v>
      </x:c>
      <x:c r="M588" s="6" t="str">
        <x:v>0</x:v>
      </x:c>
      <x:c r="N588" s="6" t="str">
        <x:v>0</x:v>
      </x:c>
      <x:c r="O588" s="6" t="str">
        <x:v>0</x:v>
      </x:c>
      <x:c r="P588" s="6" t="str">
        <x:v>3</x:v>
      </x:c>
      <x:c r="Q588" s="6" t="str">
        <x:v>0.0</x:v>
      </x:c>
      <x:c r="R588" s="6" t="str">
        <x:v>3</x:v>
      </x:c>
      <x:c r="S588" s="6" t="str">
        <x:v>0.0</x:v>
      </x:c>
      <x:c r="T588" s="6" t="str">
        <x:v>3</x:v>
      </x:c>
      <x:c r="U588" s="6" t="str">
        <x:v>0.0</x:v>
      </x:c>
      <x:c r="V588" s="6" t="str">
        <x:v>3</x:v>
      </x:c>
      <x:c r="W588" s="6" t="str">
        <x:v>42.0</x:v>
      </x:c>
      <x:c r="X588" s="6" t="str">
        <x:v>3</x:v>
      </x:c>
      <x:c r="Y588" s="6" t="str"/>
      <x:c r="Z588" s="6" t="str">
        <x:v>0</x:v>
      </x:c>
      <x:c r="AA588" s="6" t="str">
        <x:v>0.0</x:v>
      </x:c>
      <x:c r="AB588" s="6" t="str">
        <x:v>3</x:v>
      </x:c>
      <x:c r="AC588" s="6" t="str">
        <x:v>2024-11</x:v>
      </x:c>
      <x:c r="AD588" s="9" t="str">
        <x:v>BNPB operational disaster search table</x:v>
      </x:c>
      <x:c r="AE588" s="9" t="str">
        <x:v>https://gis.bnpb.go.id/databencana/tabel/pencarian.php</x:v>
      </x:c>
      <x:c r="AF588" s="9" t="str">
        <x:v>operational_snapshot_annual_totals_may_differ</x:v>
      </x:c>
    </x:row>
    <x:row r="589" ht="18" customHeight="1">
      <x:c r="A589" s="6" t="str">
        <x:v>71</x:v>
      </x:c>
      <x:c r="B589" s="6" t="str">
        <x:v>SULAWESI UTARA</x:v>
      </x:c>
      <x:c r="C589" s="6" t="str">
        <x:v>2024</x:v>
      </x:c>
      <x:c r="D589" s="6" t="str">
        <x:v>12</x:v>
      </x:c>
      <x:c r="E589" s="6" t="str">
        <x:v>3</x:v>
      </x:c>
      <x:c r="F589" s="6" t="str">
        <x:v>3</x:v>
      </x:c>
      <x:c r="G589" s="6" t="str">
        <x:v>2</x:v>
      </x:c>
      <x:c r="H589" s="6" t="str">
        <x:v>1</x:v>
      </x:c>
      <x:c r="I589" s="6" t="str">
        <x:v>0</x:v>
      </x:c>
      <x:c r="J589" s="6" t="str">
        <x:v>0</x:v>
      </x:c>
      <x:c r="K589" s="6" t="str">
        <x:v>0</x:v>
      </x:c>
      <x:c r="L589" s="6" t="str">
        <x:v>0</x:v>
      </x:c>
      <x:c r="M589" s="6" t="str">
        <x:v>0</x:v>
      </x:c>
      <x:c r="N589" s="6" t="str">
        <x:v>0</x:v>
      </x:c>
      <x:c r="O589" s="6" t="str">
        <x:v>0</x:v>
      </x:c>
      <x:c r="P589" s="6" t="str">
        <x:v>3</x:v>
      </x:c>
      <x:c r="Q589" s="6" t="str">
        <x:v>0.0</x:v>
      </x:c>
      <x:c r="R589" s="6" t="str">
        <x:v>3</x:v>
      </x:c>
      <x:c r="S589" s="6" t="str">
        <x:v>0.0</x:v>
      </x:c>
      <x:c r="T589" s="6" t="str">
        <x:v>3</x:v>
      </x:c>
      <x:c r="U589" s="6" t="str">
        <x:v>0.0</x:v>
      </x:c>
      <x:c r="V589" s="6" t="str">
        <x:v>3</x:v>
      </x:c>
      <x:c r="W589" s="6" t="str">
        <x:v>8.0</x:v>
      </x:c>
      <x:c r="X589" s="6" t="str">
        <x:v>3</x:v>
      </x:c>
      <x:c r="Y589" s="6" t="str">
        <x:v>23.0</x:v>
      </x:c>
      <x:c r="Z589" s="6" t="str">
        <x:v>1</x:v>
      </x:c>
      <x:c r="AA589" s="6" t="str">
        <x:v>0.0</x:v>
      </x:c>
      <x:c r="AB589" s="6" t="str">
        <x:v>3</x:v>
      </x:c>
      <x:c r="AC589" s="6" t="str">
        <x:v>2024-12</x:v>
      </x:c>
      <x:c r="AD589" s="9" t="str">
        <x:v>BNPB operational disaster search table</x:v>
      </x:c>
      <x:c r="AE589" s="9" t="str">
        <x:v>https://gis.bnpb.go.id/databencana/tabel/pencarian.php</x:v>
      </x:c>
      <x:c r="AF589" s="9" t="str">
        <x:v>operational_snapshot_annual_totals_may_differ</x:v>
      </x:c>
    </x:row>
    <x:row r="590" ht="18" customHeight="1">
      <x:c r="A590" s="6" t="str">
        <x:v>71</x:v>
      </x:c>
      <x:c r="B590" s="6" t="str">
        <x:v>SULAWESI UTARA</x:v>
      </x:c>
      <x:c r="C590" s="6" t="str">
        <x:v>2025</x:v>
      </x:c>
      <x:c r="D590" s="6" t="str">
        <x:v>1</x:v>
      </x:c>
      <x:c r="E590" s="6" t="str">
        <x:v>5</x:v>
      </x:c>
      <x:c r="F590" s="6" t="str">
        <x:v>5</x:v>
      </x:c>
      <x:c r="G590" s="6" t="str">
        <x:v>4</x:v>
      </x:c>
      <x:c r="H590" s="6" t="str">
        <x:v>1</x:v>
      </x:c>
      <x:c r="I590" s="6" t="str">
        <x:v>0</x:v>
      </x:c>
      <x:c r="J590" s="6" t="str">
        <x:v>0</x:v>
      </x:c>
      <x:c r="K590" s="6" t="str">
        <x:v>0</x:v>
      </x:c>
      <x:c r="L590" s="6" t="str">
        <x:v>0</x:v>
      </x:c>
      <x:c r="M590" s="6" t="str">
        <x:v>0</x:v>
      </x:c>
      <x:c r="N590" s="6" t="str">
        <x:v>0</x:v>
      </x:c>
      <x:c r="O590" s="6" t="str">
        <x:v>0</x:v>
      </x:c>
      <x:c r="P590" s="6" t="str">
        <x:v>5</x:v>
      </x:c>
      <x:c r="Q590" s="6" t="str">
        <x:v>2.0</x:v>
      </x:c>
      <x:c r="R590" s="6" t="str">
        <x:v>5</x:v>
      </x:c>
      <x:c r="S590" s="6" t="str">
        <x:v>0.0</x:v>
      </x:c>
      <x:c r="T590" s="6" t="str">
        <x:v>5</x:v>
      </x:c>
      <x:c r="U590" s="6" t="str">
        <x:v>0.0</x:v>
      </x:c>
      <x:c r="V590" s="6" t="str">
        <x:v>5</x:v>
      </x:c>
      <x:c r="W590" s="6" t="str">
        <x:v>0.0</x:v>
      </x:c>
      <x:c r="X590" s="6" t="str">
        <x:v>5</x:v>
      </x:c>
      <x:c r="Y590" s="6" t="str">
        <x:v>10.0</x:v>
      </x:c>
      <x:c r="Z590" s="6" t="str">
        <x:v>1</x:v>
      </x:c>
      <x:c r="AA590" s="6" t="str">
        <x:v>0.0</x:v>
      </x:c>
      <x:c r="AB590" s="6" t="str">
        <x:v>5</x:v>
      </x:c>
      <x:c r="AC590" s="6" t="str">
        <x:v>2025-01</x:v>
      </x:c>
      <x:c r="AD590" s="9" t="str">
        <x:v>BNPB operational disaster search table</x:v>
      </x:c>
      <x:c r="AE590" s="9" t="str">
        <x:v>https://gis.bnpb.go.id/databencana/tabel/pencarian.php</x:v>
      </x:c>
      <x:c r="AF590" s="9" t="str">
        <x:v>operational_snapshot_annual_totals_may_differ</x:v>
      </x:c>
    </x:row>
    <x:row r="591" ht="18" customHeight="1">
      <x:c r="A591" s="6" t="str">
        <x:v>71</x:v>
      </x:c>
      <x:c r="B591" s="6" t="str">
        <x:v>SULAWESI UTARA</x:v>
      </x:c>
      <x:c r="C591" s="6" t="str">
        <x:v>2025</x:v>
      </x:c>
      <x:c r="D591" s="6" t="str">
        <x:v>2</x:v>
      </x:c>
      <x:c r="E591" s="6" t="str">
        <x:v>2</x:v>
      </x:c>
      <x:c r="F591" s="6" t="str">
        <x:v>2</x:v>
      </x:c>
      <x:c r="G591" s="6" t="str">
        <x:v>0</x:v>
      </x:c>
      <x:c r="H591" s="6" t="str">
        <x:v>0</x:v>
      </x:c>
      <x:c r="I591" s="6" t="str">
        <x:v>1</x:v>
      </x:c>
      <x:c r="J591" s="6" t="str">
        <x:v>0</x:v>
      </x:c>
      <x:c r="K591" s="6" t="str">
        <x:v>0</x:v>
      </x:c>
      <x:c r="L591" s="6" t="str">
        <x:v>0</x:v>
      </x:c>
      <x:c r="M591" s="6" t="str">
        <x:v>1</x:v>
      </x:c>
      <x:c r="N591" s="6" t="str">
        <x:v>0</x:v>
      </x:c>
      <x:c r="O591" s="6" t="str">
        <x:v>0</x:v>
      </x:c>
      <x:c r="P591" s="6" t="str">
        <x:v>1</x:v>
      </x:c>
      <x:c r="Q591" s="6" t="str">
        <x:v>0.0</x:v>
      </x:c>
      <x:c r="R591" s="6" t="str">
        <x:v>2</x:v>
      </x:c>
      <x:c r="S591" s="6" t="str">
        <x:v>0.0</x:v>
      </x:c>
      <x:c r="T591" s="6" t="str">
        <x:v>2</x:v>
      </x:c>
      <x:c r="U591" s="6" t="str">
        <x:v>0.0</x:v>
      </x:c>
      <x:c r="V591" s="6" t="str">
        <x:v>2</x:v>
      </x:c>
      <x:c r="W591" s="6" t="str">
        <x:v>22.0</x:v>
      </x:c>
      <x:c r="X591" s="6" t="str">
        <x:v>2</x:v>
      </x:c>
      <x:c r="Y591" s="6" t="str"/>
      <x:c r="Z591" s="6" t="str">
        <x:v>0</x:v>
      </x:c>
      <x:c r="AA591" s="6" t="str">
        <x:v>2.0</x:v>
      </x:c>
      <x:c r="AB591" s="6" t="str">
        <x:v>2</x:v>
      </x:c>
      <x:c r="AC591" s="6" t="str">
        <x:v>2025-02</x:v>
      </x:c>
      <x:c r="AD591" s="9" t="str">
        <x:v>BNPB operational disaster search table</x:v>
      </x:c>
      <x:c r="AE591" s="9" t="str">
        <x:v>https://gis.bnpb.go.id/databencana/tabel/pencarian.php</x:v>
      </x:c>
      <x:c r="AF591" s="9" t="str">
        <x:v>operational_snapshot_annual_totals_may_differ</x:v>
      </x:c>
    </x:row>
    <x:row r="592" ht="18" customHeight="1">
      <x:c r="A592" s="6" t="str">
        <x:v>71</x:v>
      </x:c>
      <x:c r="B592" s="6" t="str">
        <x:v>SULAWESI UTARA</x:v>
      </x:c>
      <x:c r="C592" s="6" t="str">
        <x:v>2025</x:v>
      </x:c>
      <x:c r="D592" s="6" t="str">
        <x:v>3</x:v>
      </x:c>
      <x:c r="E592" s="6" t="str">
        <x:v>9</x:v>
      </x:c>
      <x:c r="F592" s="6" t="str">
        <x:v>9</x:v>
      </x:c>
      <x:c r="G592" s="6" t="str">
        <x:v>7</x:v>
      </x:c>
      <x:c r="H592" s="6" t="str">
        <x:v>2</x:v>
      </x:c>
      <x:c r="I592" s="6" t="str">
        <x:v>0</x:v>
      </x:c>
      <x:c r="J592" s="6" t="str">
        <x:v>0</x:v>
      </x:c>
      <x:c r="K592" s="6" t="str">
        <x:v>0</x:v>
      </x:c>
      <x:c r="L592" s="6" t="str">
        <x:v>0</x:v>
      </x:c>
      <x:c r="M592" s="6" t="str">
        <x:v>0</x:v>
      </x:c>
      <x:c r="N592" s="6" t="str">
        <x:v>0</x:v>
      </x:c>
      <x:c r="O592" s="6" t="str">
        <x:v>0</x:v>
      </x:c>
      <x:c r="P592" s="6" t="str">
        <x:v>9</x:v>
      </x:c>
      <x:c r="Q592" s="6" t="str">
        <x:v>2.0</x:v>
      </x:c>
      <x:c r="R592" s="6" t="str">
        <x:v>9</x:v>
      </x:c>
      <x:c r="S592" s="6" t="str">
        <x:v>0.0</x:v>
      </x:c>
      <x:c r="T592" s="6" t="str">
        <x:v>9</x:v>
      </x:c>
      <x:c r="U592" s="6" t="str">
        <x:v>0.0</x:v>
      </x:c>
      <x:c r="V592" s="6" t="str">
        <x:v>9</x:v>
      </x:c>
      <x:c r="W592" s="6" t="str">
        <x:v>36.0</x:v>
      </x:c>
      <x:c r="X592" s="6" t="str">
        <x:v>9</x:v>
      </x:c>
      <x:c r="Y592" s="6" t="str">
        <x:v>561.0</x:v>
      </x:c>
      <x:c r="Z592" s="6" t="str">
        <x:v>3</x:v>
      </x:c>
      <x:c r="AA592" s="6" t="str">
        <x:v>0.0</x:v>
      </x:c>
      <x:c r="AB592" s="6" t="str">
        <x:v>9</x:v>
      </x:c>
      <x:c r="AC592" s="6" t="str">
        <x:v>2025-03</x:v>
      </x:c>
      <x:c r="AD592" s="9" t="str">
        <x:v>BNPB operational disaster search table</x:v>
      </x:c>
      <x:c r="AE592" s="9" t="str">
        <x:v>https://gis.bnpb.go.id/databencana/tabel/pencarian.php</x:v>
      </x:c>
      <x:c r="AF592" s="9" t="str">
        <x:v>operational_snapshot_annual_totals_may_differ</x:v>
      </x:c>
    </x:row>
    <x:row r="593" ht="18" customHeight="1">
      <x:c r="A593" s="6" t="str">
        <x:v>71</x:v>
      </x:c>
      <x:c r="B593" s="6" t="str">
        <x:v>SULAWESI UTARA</x:v>
      </x:c>
      <x:c r="C593" s="6" t="str">
        <x:v>2025</x:v>
      </x:c>
      <x:c r="D593" s="6" t="str">
        <x:v>4</x:v>
      </x:c>
      <x:c r="E593" s="6" t="str">
        <x:v>2</x:v>
      </x:c>
      <x:c r="F593" s="6" t="str">
        <x:v>2</x:v>
      </x:c>
      <x:c r="G593" s="6" t="str">
        <x:v>2</x:v>
      </x:c>
      <x:c r="H593" s="6" t="str">
        <x:v>0</x:v>
      </x:c>
      <x:c r="I593" s="6" t="str">
        <x:v>0</x:v>
      </x:c>
      <x:c r="J593" s="6" t="str">
        <x:v>0</x:v>
      </x:c>
      <x:c r="K593" s="6" t="str">
        <x:v>0</x:v>
      </x:c>
      <x:c r="L593" s="6" t="str">
        <x:v>0</x:v>
      </x:c>
      <x:c r="M593" s="6" t="str">
        <x:v>0</x:v>
      </x:c>
      <x:c r="N593" s="6" t="str">
        <x:v>0</x:v>
      </x:c>
      <x:c r="O593" s="6" t="str">
        <x:v>0</x:v>
      </x:c>
      <x:c r="P593" s="6" t="str">
        <x:v>2</x:v>
      </x:c>
      <x:c r="Q593" s="6" t="str">
        <x:v>0.0</x:v>
      </x:c>
      <x:c r="R593" s="6" t="str">
        <x:v>2</x:v>
      </x:c>
      <x:c r="S593" s="6" t="str">
        <x:v>0.0</x:v>
      </x:c>
      <x:c r="T593" s="6" t="str">
        <x:v>2</x:v>
      </x:c>
      <x:c r="U593" s="6" t="str">
        <x:v>0.0</x:v>
      </x:c>
      <x:c r="V593" s="6" t="str">
        <x:v>2</x:v>
      </x:c>
      <x:c r="W593" s="6" t="str">
        <x:v>80.0</x:v>
      </x:c>
      <x:c r="X593" s="6" t="str">
        <x:v>2</x:v>
      </x:c>
      <x:c r="Y593" s="6" t="str">
        <x:v>1889.0</x:v>
      </x:c>
      <x:c r="Z593" s="6" t="str">
        <x:v>1</x:v>
      </x:c>
      <x:c r="AA593" s="6" t="str">
        <x:v>8.0</x:v>
      </x:c>
      <x:c r="AB593" s="6" t="str">
        <x:v>2</x:v>
      </x:c>
      <x:c r="AC593" s="6" t="str">
        <x:v>2025-04</x:v>
      </x:c>
      <x:c r="AD593" s="9" t="str">
        <x:v>BNPB operational disaster search table</x:v>
      </x:c>
      <x:c r="AE593" s="9" t="str">
        <x:v>https://gis.bnpb.go.id/databencana/tabel/pencarian.php</x:v>
      </x:c>
      <x:c r="AF593" s="9" t="str">
        <x:v>operational_snapshot_annual_totals_may_differ</x:v>
      </x:c>
    </x:row>
    <x:row r="594" ht="18" customHeight="1">
      <x:c r="A594" s="6" t="str">
        <x:v>71</x:v>
      </x:c>
      <x:c r="B594" s="6" t="str">
        <x:v>SULAWESI UTARA</x:v>
      </x:c>
      <x:c r="C594" s="6" t="str">
        <x:v>2025</x:v>
      </x:c>
      <x:c r="D594" s="6" t="str">
        <x:v>5</x:v>
      </x:c>
      <x:c r="E594" s="6" t="str">
        <x:v>6</x:v>
      </x:c>
      <x:c r="F594" s="6" t="str">
        <x:v>6</x:v>
      </x:c>
      <x:c r="G594" s="6" t="str">
        <x:v>6</x:v>
      </x:c>
      <x:c r="H594" s="6" t="str">
        <x:v>0</x:v>
      </x:c>
      <x:c r="I594" s="6" t="str">
        <x:v>0</x:v>
      </x:c>
      <x:c r="J594" s="6" t="str">
        <x:v>0</x:v>
      </x:c>
      <x:c r="K594" s="6" t="str">
        <x:v>0</x:v>
      </x:c>
      <x:c r="L594" s="6" t="str">
        <x:v>0</x:v>
      </x:c>
      <x:c r="M594" s="6" t="str">
        <x:v>0</x:v>
      </x:c>
      <x:c r="N594" s="6" t="str">
        <x:v>0</x:v>
      </x:c>
      <x:c r="O594" s="6" t="str">
        <x:v>0</x:v>
      </x:c>
      <x:c r="P594" s="6" t="str">
        <x:v>6</x:v>
      </x:c>
      <x:c r="Q594" s="6" t="str">
        <x:v>0.0</x:v>
      </x:c>
      <x:c r="R594" s="6" t="str">
        <x:v>6</x:v>
      </x:c>
      <x:c r="S594" s="6" t="str">
        <x:v>0.0</x:v>
      </x:c>
      <x:c r="T594" s="6" t="str">
        <x:v>6</x:v>
      </x:c>
      <x:c r="U594" s="6" t="str">
        <x:v>0.0</x:v>
      </x:c>
      <x:c r="V594" s="6" t="str">
        <x:v>6</x:v>
      </x:c>
      <x:c r="W594" s="6" t="str">
        <x:v>0.0</x:v>
      </x:c>
      <x:c r="X594" s="6" t="str">
        <x:v>6</x:v>
      </x:c>
      <x:c r="Y594" s="6" t="str">
        <x:v>667.0</x:v>
      </x:c>
      <x:c r="Z594" s="6" t="str">
        <x:v>6</x:v>
      </x:c>
      <x:c r="AA594" s="6" t="str">
        <x:v>1.0</x:v>
      </x:c>
      <x:c r="AB594" s="6" t="str">
        <x:v>6</x:v>
      </x:c>
      <x:c r="AC594" s="6" t="str">
        <x:v>2025-05</x:v>
      </x:c>
      <x:c r="AD594" s="9" t="str">
        <x:v>BNPB operational disaster search table</x:v>
      </x:c>
      <x:c r="AE594" s="9" t="str">
        <x:v>https://gis.bnpb.go.id/databencana/tabel/pencarian.php</x:v>
      </x:c>
      <x:c r="AF594" s="9" t="str">
        <x:v>operational_snapshot_annual_totals_may_differ</x:v>
      </x:c>
    </x:row>
    <x:row r="595" ht="18" customHeight="1">
      <x:c r="A595" s="6" t="str">
        <x:v>71</x:v>
      </x:c>
      <x:c r="B595" s="6" t="str">
        <x:v>SULAWESI UTARA</x:v>
      </x:c>
      <x:c r="C595" s="6" t="str">
        <x:v>2025</x:v>
      </x:c>
      <x:c r="D595" s="6" t="str">
        <x:v>6</x:v>
      </x:c>
      <x:c r="E595" s="6" t="str">
        <x:v>0</x:v>
      </x:c>
      <x:c r="F595" s="6" t="str">
        <x:v>0</x:v>
      </x:c>
      <x:c r="G595" s="6" t="str">
        <x:v>0</x:v>
      </x:c>
      <x:c r="H595" s="6" t="str">
        <x:v>0</x:v>
      </x:c>
      <x:c r="I595" s="6" t="str">
        <x:v>0</x:v>
      </x:c>
      <x:c r="J595" s="6" t="str">
        <x:v>0</x:v>
      </x:c>
      <x:c r="K595" s="6" t="str">
        <x:v>0</x:v>
      </x:c>
      <x:c r="L595" s="6" t="str">
        <x:v>0</x:v>
      </x:c>
      <x:c r="M595" s="6" t="str">
        <x:v>0</x:v>
      </x:c>
      <x:c r="N595" s="6" t="str">
        <x:v>0</x:v>
      </x:c>
      <x:c r="O595" s="6" t="str">
        <x:v>0</x:v>
      </x:c>
      <x:c r="P595" s="6" t="str">
        <x:v>0</x:v>
      </x:c>
      <x:c r="Q595" s="6" t="str"/>
      <x:c r="R595" s="6" t="str">
        <x:v>0</x:v>
      </x:c>
      <x:c r="S595" s="6" t="str"/>
      <x:c r="T595" s="6" t="str">
        <x:v>0</x:v>
      </x:c>
      <x:c r="U595" s="6" t="str"/>
      <x:c r="V595" s="6" t="str">
        <x:v>0</x:v>
      </x:c>
      <x:c r="W595" s="6" t="str"/>
      <x:c r="X595" s="6" t="str">
        <x:v>0</x:v>
      </x:c>
      <x:c r="Y595" s="6" t="str"/>
      <x:c r="Z595" s="6" t="str">
        <x:v>0</x:v>
      </x:c>
      <x:c r="AA595" s="6" t="str"/>
      <x:c r="AB595" s="6" t="str">
        <x:v>0</x:v>
      </x:c>
      <x:c r="AC595" s="6" t="str">
        <x:v>2025-06</x:v>
      </x:c>
      <x:c r="AD595" s="9" t="str">
        <x:v>BNPB operational disaster search table</x:v>
      </x:c>
      <x:c r="AE595" s="9" t="str">
        <x:v>https://gis.bnpb.go.id/databencana/tabel/pencarian.php</x:v>
      </x:c>
      <x:c r="AF595" s="9" t="str">
        <x:v>operational_snapshot_annual_totals_may_differ</x:v>
      </x:c>
    </x:row>
    <x:row r="596" ht="18" customHeight="1">
      <x:c r="A596" s="6" t="str">
        <x:v>71</x:v>
      </x:c>
      <x:c r="B596" s="6" t="str">
        <x:v>SULAWESI UTARA</x:v>
      </x:c>
      <x:c r="C596" s="6" t="str">
        <x:v>2025</x:v>
      </x:c>
      <x:c r="D596" s="6" t="str">
        <x:v>7</x:v>
      </x:c>
      <x:c r="E596" s="6" t="str">
        <x:v>1</x:v>
      </x:c>
      <x:c r="F596" s="6" t="str">
        <x:v>1</x:v>
      </x:c>
      <x:c r="G596" s="6" t="str">
        <x:v>0</x:v>
      </x:c>
      <x:c r="H596" s="6" t="str">
        <x:v>0</x:v>
      </x:c>
      <x:c r="I596" s="6" t="str">
        <x:v>0</x:v>
      </x:c>
      <x:c r="J596" s="6" t="str">
        <x:v>0</x:v>
      </x:c>
      <x:c r="K596" s="6" t="str">
        <x:v>1</x:v>
      </x:c>
      <x:c r="L596" s="6" t="str">
        <x:v>0</x:v>
      </x:c>
      <x:c r="M596" s="6" t="str">
        <x:v>0</x:v>
      </x:c>
      <x:c r="N596" s="6" t="str">
        <x:v>0</x:v>
      </x:c>
      <x:c r="O596" s="6" t="str">
        <x:v>0</x:v>
      </x:c>
      <x:c r="P596" s="6" t="str">
        <x:v>1</x:v>
      </x:c>
      <x:c r="Q596" s="6" t="str"/>
      <x:c r="R596" s="6" t="str">
        <x:v>0</x:v>
      </x:c>
      <x:c r="S596" s="6" t="str"/>
      <x:c r="T596" s="6" t="str">
        <x:v>0</x:v>
      </x:c>
      <x:c r="U596" s="6" t="str"/>
      <x:c r="V596" s="6" t="str">
        <x:v>0</x:v>
      </x:c>
      <x:c r="W596" s="6" t="str">
        <x:v>0.0</x:v>
      </x:c>
      <x:c r="X596" s="6" t="str">
        <x:v>1</x:v>
      </x:c>
      <x:c r="Y596" s="6" t="str"/>
      <x:c r="Z596" s="6" t="str">
        <x:v>0</x:v>
      </x:c>
      <x:c r="AA596" s="6" t="str">
        <x:v>0.0</x:v>
      </x:c>
      <x:c r="AB596" s="6" t="str">
        <x:v>1</x:v>
      </x:c>
      <x:c r="AC596" s="6" t="str">
        <x:v>2025-07</x:v>
      </x:c>
      <x:c r="AD596" s="9" t="str">
        <x:v>BNPB operational disaster search table</x:v>
      </x:c>
      <x:c r="AE596" s="9" t="str">
        <x:v>https://gis.bnpb.go.id/databencana/tabel/pencarian.php</x:v>
      </x:c>
      <x:c r="AF596" s="9" t="str">
        <x:v>operational_snapshot_annual_totals_may_differ</x:v>
      </x:c>
    </x:row>
    <x:row r="597" ht="18" customHeight="1">
      <x:c r="A597" s="6" t="str">
        <x:v>71</x:v>
      </x:c>
      <x:c r="B597" s="6" t="str">
        <x:v>SULAWESI UTARA</x:v>
      </x:c>
      <x:c r="C597" s="6" t="str">
        <x:v>2025</x:v>
      </x:c>
      <x:c r="D597" s="6" t="str">
        <x:v>8</x:v>
      </x:c>
      <x:c r="E597" s="6" t="str">
        <x:v>6</x:v>
      </x:c>
      <x:c r="F597" s="6" t="str">
        <x:v>6</x:v>
      </x:c>
      <x:c r="G597" s="6" t="str">
        <x:v>5</x:v>
      </x:c>
      <x:c r="H597" s="6" t="str">
        <x:v>0</x:v>
      </x:c>
      <x:c r="I597" s="6" t="str">
        <x:v>1</x:v>
      </x:c>
      <x:c r="J597" s="6" t="str">
        <x:v>0</x:v>
      </x:c>
      <x:c r="K597" s="6" t="str">
        <x:v>0</x:v>
      </x:c>
      <x:c r="L597" s="6" t="str">
        <x:v>0</x:v>
      </x:c>
      <x:c r="M597" s="6" t="str">
        <x:v>0</x:v>
      </x:c>
      <x:c r="N597" s="6" t="str">
        <x:v>0</x:v>
      </x:c>
      <x:c r="O597" s="6" t="str">
        <x:v>0</x:v>
      </x:c>
      <x:c r="P597" s="6" t="str">
        <x:v>6</x:v>
      </x:c>
      <x:c r="Q597" s="6" t="str"/>
      <x:c r="R597" s="6" t="str">
        <x:v>0</x:v>
      </x:c>
      <x:c r="S597" s="6" t="str"/>
      <x:c r="T597" s="6" t="str">
        <x:v>0</x:v>
      </x:c>
      <x:c r="U597" s="6" t="str"/>
      <x:c r="V597" s="6" t="str">
        <x:v>0</x:v>
      </x:c>
      <x:c r="W597" s="6" t="str">
        <x:v>73.0</x:v>
      </x:c>
      <x:c r="X597" s="6" t="str">
        <x:v>6</x:v>
      </x:c>
      <x:c r="Y597" s="6" t="str">
        <x:v>376.0</x:v>
      </x:c>
      <x:c r="Z597" s="6" t="str">
        <x:v>3</x:v>
      </x:c>
      <x:c r="AA597" s="6" t="str">
        <x:v>4.0</x:v>
      </x:c>
      <x:c r="AB597" s="6" t="str">
        <x:v>6</x:v>
      </x:c>
      <x:c r="AC597" s="6" t="str">
        <x:v>2025-08</x:v>
      </x:c>
      <x:c r="AD597" s="9" t="str">
        <x:v>BNPB operational disaster search table</x:v>
      </x:c>
      <x:c r="AE597" s="9" t="str">
        <x:v>https://gis.bnpb.go.id/databencana/tabel/pencarian.php</x:v>
      </x:c>
      <x:c r="AF597" s="9" t="str">
        <x:v>operational_snapshot_annual_totals_may_differ</x:v>
      </x:c>
    </x:row>
    <x:row r="598" ht="18" customHeight="1">
      <x:c r="A598" s="6" t="str">
        <x:v>71</x:v>
      </x:c>
      <x:c r="B598" s="6" t="str">
        <x:v>SULAWESI UTARA</x:v>
      </x:c>
      <x:c r="C598" s="6" t="str">
        <x:v>2025</x:v>
      </x:c>
      <x:c r="D598" s="6" t="str">
        <x:v>9</x:v>
      </x:c>
      <x:c r="E598" s="6" t="str">
        <x:v>1</x:v>
      </x:c>
      <x:c r="F598" s="6" t="str">
        <x:v>1</x:v>
      </x:c>
      <x:c r="G598" s="6" t="str">
        <x:v>1</x:v>
      </x:c>
      <x:c r="H598" s="6" t="str">
        <x:v>0</x:v>
      </x:c>
      <x:c r="I598" s="6" t="str">
        <x:v>0</x:v>
      </x:c>
      <x:c r="J598" s="6" t="str">
        <x:v>0</x:v>
      </x:c>
      <x:c r="K598" s="6" t="str">
        <x:v>0</x:v>
      </x:c>
      <x:c r="L598" s="6" t="str">
        <x:v>0</x:v>
      </x:c>
      <x:c r="M598" s="6" t="str">
        <x:v>0</x:v>
      </x:c>
      <x:c r="N598" s="6" t="str">
        <x:v>0</x:v>
      </x:c>
      <x:c r="O598" s="6" t="str">
        <x:v>0</x:v>
      </x:c>
      <x:c r="P598" s="6" t="str">
        <x:v>1</x:v>
      </x:c>
      <x:c r="Q598" s="6" t="str"/>
      <x:c r="R598" s="6" t="str">
        <x:v>0</x:v>
      </x:c>
      <x:c r="S598" s="6" t="str"/>
      <x:c r="T598" s="6" t="str">
        <x:v>0</x:v>
      </x:c>
      <x:c r="U598" s="6" t="str"/>
      <x:c r="V598" s="6" t="str">
        <x:v>0</x:v>
      </x:c>
      <x:c r="W598" s="6" t="str">
        <x:v>0.0</x:v>
      </x:c>
      <x:c r="X598" s="6" t="str">
        <x:v>1</x:v>
      </x:c>
      <x:c r="Y598" s="6" t="str">
        <x:v>57.0</x:v>
      </x:c>
      <x:c r="Z598" s="6" t="str">
        <x:v>1</x:v>
      </x:c>
      <x:c r="AA598" s="6" t="str">
        <x:v>0.0</x:v>
      </x:c>
      <x:c r="AB598" s="6" t="str">
        <x:v>1</x:v>
      </x:c>
      <x:c r="AC598" s="6" t="str">
        <x:v>2025-09</x:v>
      </x:c>
      <x:c r="AD598" s="9" t="str">
        <x:v>BNPB operational disaster search table</x:v>
      </x:c>
      <x:c r="AE598" s="9" t="str">
        <x:v>https://gis.bnpb.go.id/databencana/tabel/pencarian.php</x:v>
      </x:c>
      <x:c r="AF598" s="9" t="str">
        <x:v>operational_snapshot_annual_totals_may_differ</x:v>
      </x:c>
    </x:row>
    <x:row r="599" ht="18" customHeight="1">
      <x:c r="A599" s="6" t="str">
        <x:v>71</x:v>
      </x:c>
      <x:c r="B599" s="6" t="str">
        <x:v>SULAWESI UTARA</x:v>
      </x:c>
      <x:c r="C599" s="6" t="str">
        <x:v>2025</x:v>
      </x:c>
      <x:c r="D599" s="6" t="str">
        <x:v>10</x:v>
      </x:c>
      <x:c r="E599" s="6" t="str">
        <x:v>1</x:v>
      </x:c>
      <x:c r="F599" s="6" t="str">
        <x:v>1</x:v>
      </x:c>
      <x:c r="G599" s="6" t="str">
        <x:v>1</x:v>
      </x:c>
      <x:c r="H599" s="6" t="str">
        <x:v>0</x:v>
      </x:c>
      <x:c r="I599" s="6" t="str">
        <x:v>0</x:v>
      </x:c>
      <x:c r="J599" s="6" t="str">
        <x:v>0</x:v>
      </x:c>
      <x:c r="K599" s="6" t="str">
        <x:v>0</x:v>
      </x:c>
      <x:c r="L599" s="6" t="str">
        <x:v>0</x:v>
      </x:c>
      <x:c r="M599" s="6" t="str">
        <x:v>0</x:v>
      </x:c>
      <x:c r="N599" s="6" t="str">
        <x:v>0</x:v>
      </x:c>
      <x:c r="O599" s="6" t="str">
        <x:v>0</x:v>
      </x:c>
      <x:c r="P599" s="6" t="str">
        <x:v>1</x:v>
      </x:c>
      <x:c r="Q599" s="6" t="str"/>
      <x:c r="R599" s="6" t="str">
        <x:v>0</x:v>
      </x:c>
      <x:c r="S599" s="6" t="str"/>
      <x:c r="T599" s="6" t="str">
        <x:v>0</x:v>
      </x:c>
      <x:c r="U599" s="6" t="str"/>
      <x:c r="V599" s="6" t="str">
        <x:v>0</x:v>
      </x:c>
      <x:c r="W599" s="6" t="str">
        <x:v>13.0</x:v>
      </x:c>
      <x:c r="X599" s="6" t="str">
        <x:v>1</x:v>
      </x:c>
      <x:c r="Y599" s="6" t="str">
        <x:v>1907.0</x:v>
      </x:c>
      <x:c r="Z599" s="6" t="str">
        <x:v>1</x:v>
      </x:c>
      <x:c r="AA599" s="6" t="str">
        <x:v>2.0</x:v>
      </x:c>
      <x:c r="AB599" s="6" t="str">
        <x:v>1</x:v>
      </x:c>
      <x:c r="AC599" s="6" t="str">
        <x:v>2025-10</x:v>
      </x:c>
      <x:c r="AD599" s="9" t="str">
        <x:v>BNPB operational disaster search table</x:v>
      </x:c>
      <x:c r="AE599" s="9" t="str">
        <x:v>https://gis.bnpb.go.id/databencana/tabel/pencarian.php</x:v>
      </x:c>
      <x:c r="AF599" s="9" t="str">
        <x:v>operational_snapshot_annual_totals_may_differ</x:v>
      </x:c>
    </x:row>
    <x:row r="600" ht="18" customHeight="1">
      <x:c r="A600" s="6" t="str">
        <x:v>71</x:v>
      </x:c>
      <x:c r="B600" s="6" t="str">
        <x:v>SULAWESI UTARA</x:v>
      </x:c>
      <x:c r="C600" s="6" t="str">
        <x:v>2025</x:v>
      </x:c>
      <x:c r="D600" s="6" t="str">
        <x:v>11</x:v>
      </x:c>
      <x:c r="E600" s="6" t="str">
        <x:v>2</x:v>
      </x:c>
      <x:c r="F600" s="6" t="str">
        <x:v>2</x:v>
      </x:c>
      <x:c r="G600" s="6" t="str">
        <x:v>1</x:v>
      </x:c>
      <x:c r="H600" s="6" t="str">
        <x:v>0</x:v>
      </x:c>
      <x:c r="I600" s="6" t="str">
        <x:v>1</x:v>
      </x:c>
      <x:c r="J600" s="6" t="str">
        <x:v>0</x:v>
      </x:c>
      <x:c r="K600" s="6" t="str">
        <x:v>0</x:v>
      </x:c>
      <x:c r="L600" s="6" t="str">
        <x:v>0</x:v>
      </x:c>
      <x:c r="M600" s="6" t="str">
        <x:v>0</x:v>
      </x:c>
      <x:c r="N600" s="6" t="str">
        <x:v>0</x:v>
      </x:c>
      <x:c r="O600" s="6" t="str">
        <x:v>0</x:v>
      </x:c>
      <x:c r="P600" s="6" t="str">
        <x:v>2</x:v>
      </x:c>
      <x:c r="Q600" s="6" t="str"/>
      <x:c r="R600" s="6" t="str">
        <x:v>0</x:v>
      </x:c>
      <x:c r="S600" s="6" t="str"/>
      <x:c r="T600" s="6" t="str">
        <x:v>0</x:v>
      </x:c>
      <x:c r="U600" s="6" t="str"/>
      <x:c r="V600" s="6" t="str">
        <x:v>0</x:v>
      </x:c>
      <x:c r="W600" s="6" t="str">
        <x:v>18.0</x:v>
      </x:c>
      <x:c r="X600" s="6" t="str">
        <x:v>2</x:v>
      </x:c>
      <x:c r="Y600" s="6" t="str">
        <x:v>28.0</x:v>
      </x:c>
      <x:c r="Z600" s="6" t="str">
        <x:v>1</x:v>
      </x:c>
      <x:c r="AA600" s="6" t="str">
        <x:v>0.0</x:v>
      </x:c>
      <x:c r="AB600" s="6" t="str">
        <x:v>2</x:v>
      </x:c>
      <x:c r="AC600" s="6" t="str">
        <x:v>2025-11</x:v>
      </x:c>
      <x:c r="AD600" s="9" t="str">
        <x:v>BNPB operational disaster search table</x:v>
      </x:c>
      <x:c r="AE600" s="9" t="str">
        <x:v>https://gis.bnpb.go.id/databencana/tabel/pencarian.php</x:v>
      </x:c>
      <x:c r="AF600" s="9" t="str">
        <x:v>operational_snapshot_annual_totals_may_differ</x:v>
      </x:c>
    </x:row>
    <x:row r="601" ht="18" customHeight="1">
      <x:c r="A601" s="6" t="str">
        <x:v>71</x:v>
      </x:c>
      <x:c r="B601" s="6" t="str">
        <x:v>SULAWESI UTARA</x:v>
      </x:c>
      <x:c r="C601" s="6" t="str">
        <x:v>2025</x:v>
      </x:c>
      <x:c r="D601" s="6" t="str">
        <x:v>12</x:v>
      </x:c>
      <x:c r="E601" s="6" t="str">
        <x:v>1</x:v>
      </x:c>
      <x:c r="F601" s="6" t="str">
        <x:v>1</x:v>
      </x:c>
      <x:c r="G601" s="6" t="str">
        <x:v>1</x:v>
      </x:c>
      <x:c r="H601" s="6" t="str">
        <x:v>0</x:v>
      </x:c>
      <x:c r="I601" s="6" t="str">
        <x:v>0</x:v>
      </x:c>
      <x:c r="J601" s="6" t="str">
        <x:v>0</x:v>
      </x:c>
      <x:c r="K601" s="6" t="str">
        <x:v>0</x:v>
      </x:c>
      <x:c r="L601" s="6" t="str">
        <x:v>0</x:v>
      </x:c>
      <x:c r="M601" s="6" t="str">
        <x:v>0</x:v>
      </x:c>
      <x:c r="N601" s="6" t="str">
        <x:v>0</x:v>
      </x:c>
      <x:c r="O601" s="6" t="str">
        <x:v>0</x:v>
      </x:c>
      <x:c r="P601" s="6" t="str">
        <x:v>1</x:v>
      </x:c>
      <x:c r="Q601" s="6" t="str"/>
      <x:c r="R601" s="6" t="str">
        <x:v>0</x:v>
      </x:c>
      <x:c r="S601" s="6" t="str"/>
      <x:c r="T601" s="6" t="str">
        <x:v>0</x:v>
      </x:c>
      <x:c r="U601" s="6" t="str"/>
      <x:c r="V601" s="6" t="str">
        <x:v>0</x:v>
      </x:c>
      <x:c r="W601" s="6" t="str">
        <x:v>0.0</x:v>
      </x:c>
      <x:c r="X601" s="6" t="str">
        <x:v>1</x:v>
      </x:c>
      <x:c r="Y601" s="6" t="str">
        <x:v>18.0</x:v>
      </x:c>
      <x:c r="Z601" s="6" t="str">
        <x:v>1</x:v>
      </x:c>
      <x:c r="AA601" s="6" t="str">
        <x:v>0.0</x:v>
      </x:c>
      <x:c r="AB601" s="6" t="str">
        <x:v>1</x:v>
      </x:c>
      <x:c r="AC601" s="6" t="str">
        <x:v>2025-12</x:v>
      </x:c>
      <x:c r="AD601" s="9" t="str">
        <x:v>BNPB operational disaster search table</x:v>
      </x:c>
      <x:c r="AE601" s="9" t="str">
        <x:v>https://gis.bnpb.go.id/databencana/tabel/pencarian.php</x:v>
      </x:c>
      <x:c r="AF601" s="9" t="str">
        <x:v>operational_snapshot_annual_totals_may_differ</x:v>
      </x:c>
    </x:row>
    <x:row r="602" ht="18" customHeight="1">
      <x:c r="A602" s="6" t="str">
        <x:v>72</x:v>
      </x:c>
      <x:c r="B602" s="6" t="str">
        <x:v>SULAWESI TENGAH</x:v>
      </x:c>
      <x:c r="C602" s="6" t="str">
        <x:v>2024</x:v>
      </x:c>
      <x:c r="D602" s="6" t="str">
        <x:v>1</x:v>
      </x:c>
      <x:c r="E602" s="6" t="str">
        <x:v>7</x:v>
      </x:c>
      <x:c r="F602" s="6" t="str">
        <x:v>7</x:v>
      </x:c>
      <x:c r="G602" s="6" t="str">
        <x:v>6</x:v>
      </x:c>
      <x:c r="H602" s="6" t="str">
        <x:v>0</x:v>
      </x:c>
      <x:c r="I602" s="6" t="str">
        <x:v>0</x:v>
      </x:c>
      <x:c r="J602" s="6" t="str">
        <x:v>0</x:v>
      </x:c>
      <x:c r="K602" s="6" t="str">
        <x:v>1</x:v>
      </x:c>
      <x:c r="L602" s="6" t="str">
        <x:v>0</x:v>
      </x:c>
      <x:c r="M602" s="6" t="str">
        <x:v>0</x:v>
      </x:c>
      <x:c r="N602" s="6" t="str">
        <x:v>0</x:v>
      </x:c>
      <x:c r="O602" s="6" t="str">
        <x:v>0</x:v>
      </x:c>
      <x:c r="P602" s="6" t="str">
        <x:v>7</x:v>
      </x:c>
      <x:c r="Q602" s="6" t="str">
        <x:v>1.0</x:v>
      </x:c>
      <x:c r="R602" s="6" t="str">
        <x:v>7</x:v>
      </x:c>
      <x:c r="S602" s="6" t="str">
        <x:v>0.0</x:v>
      </x:c>
      <x:c r="T602" s="6" t="str">
        <x:v>7</x:v>
      </x:c>
      <x:c r="U602" s="6" t="str">
        <x:v>0.0</x:v>
      </x:c>
      <x:c r="V602" s="6" t="str">
        <x:v>7</x:v>
      </x:c>
      <x:c r="W602" s="6" t="str">
        <x:v>24.0</x:v>
      </x:c>
      <x:c r="X602" s="6" t="str">
        <x:v>7</x:v>
      </x:c>
      <x:c r="Y602" s="6" t="str">
        <x:v>679.0</x:v>
      </x:c>
      <x:c r="Z602" s="6" t="str">
        <x:v>4</x:v>
      </x:c>
      <x:c r="AA602" s="6" t="str">
        <x:v>9.0</x:v>
      </x:c>
      <x:c r="AB602" s="6" t="str">
        <x:v>7</x:v>
      </x:c>
      <x:c r="AC602" s="6" t="str">
        <x:v>2024-01</x:v>
      </x:c>
      <x:c r="AD602" s="9" t="str">
        <x:v>BNPB operational disaster search table</x:v>
      </x:c>
      <x:c r="AE602" s="9" t="str">
        <x:v>https://gis.bnpb.go.id/databencana/tabel/pencarian.php</x:v>
      </x:c>
      <x:c r="AF602" s="9" t="str">
        <x:v>operational_snapshot_annual_totals_may_differ</x:v>
      </x:c>
    </x:row>
    <x:row r="603" ht="18" customHeight="1">
      <x:c r="A603" s="6" t="str">
        <x:v>72</x:v>
      </x:c>
      <x:c r="B603" s="6" t="str">
        <x:v>SULAWESI TENGAH</x:v>
      </x:c>
      <x:c r="C603" s="6" t="str">
        <x:v>2024</x:v>
      </x:c>
      <x:c r="D603" s="6" t="str">
        <x:v>2</x:v>
      </x:c>
      <x:c r="E603" s="6" t="str">
        <x:v>2</x:v>
      </x:c>
      <x:c r="F603" s="6" t="str">
        <x:v>2</x:v>
      </x:c>
      <x:c r="G603" s="6" t="str">
        <x:v>1</x:v>
      </x:c>
      <x:c r="H603" s="6" t="str">
        <x:v>0</x:v>
      </x:c>
      <x:c r="I603" s="6" t="str">
        <x:v>0</x:v>
      </x:c>
      <x:c r="J603" s="6" t="str">
        <x:v>0</x:v>
      </x:c>
      <x:c r="K603" s="6" t="str">
        <x:v>1</x:v>
      </x:c>
      <x:c r="L603" s="6" t="str">
        <x:v>0</x:v>
      </x:c>
      <x:c r="M603" s="6" t="str">
        <x:v>0</x:v>
      </x:c>
      <x:c r="N603" s="6" t="str">
        <x:v>0</x:v>
      </x:c>
      <x:c r="O603" s="6" t="str">
        <x:v>0</x:v>
      </x:c>
      <x:c r="P603" s="6" t="str">
        <x:v>2</x:v>
      </x:c>
      <x:c r="Q603" s="6" t="str">
        <x:v>2.0</x:v>
      </x:c>
      <x:c r="R603" s="6" t="str">
        <x:v>2</x:v>
      </x:c>
      <x:c r="S603" s="6" t="str">
        <x:v>1.0</x:v>
      </x:c>
      <x:c r="T603" s="6" t="str">
        <x:v>2</x:v>
      </x:c>
      <x:c r="U603" s="6" t="str">
        <x:v>0.0</x:v>
      </x:c>
      <x:c r="V603" s="6" t="str">
        <x:v>2</x:v>
      </x:c>
      <x:c r="W603" s="6" t="str">
        <x:v>0.0</x:v>
      </x:c>
      <x:c r="X603" s="6" t="str">
        <x:v>2</x:v>
      </x:c>
      <x:c r="Y603" s="6" t="str"/>
      <x:c r="Z603" s="6" t="str">
        <x:v>0</x:v>
      </x:c>
      <x:c r="AA603" s="6" t="str">
        <x:v>0.0</x:v>
      </x:c>
      <x:c r="AB603" s="6" t="str">
        <x:v>2</x:v>
      </x:c>
      <x:c r="AC603" s="6" t="str">
        <x:v>2024-02</x:v>
      </x:c>
      <x:c r="AD603" s="9" t="str">
        <x:v>BNPB operational disaster search table</x:v>
      </x:c>
      <x:c r="AE603" s="9" t="str">
        <x:v>https://gis.bnpb.go.id/databencana/tabel/pencarian.php</x:v>
      </x:c>
      <x:c r="AF603" s="9" t="str">
        <x:v>operational_snapshot_annual_totals_may_differ</x:v>
      </x:c>
    </x:row>
    <x:row r="604" ht="18" customHeight="1">
      <x:c r="A604" s="6" t="str">
        <x:v>72</x:v>
      </x:c>
      <x:c r="B604" s="6" t="str">
        <x:v>SULAWESI TENGAH</x:v>
      </x:c>
      <x:c r="C604" s="6" t="str">
        <x:v>2024</x:v>
      </x:c>
      <x:c r="D604" s="6" t="str">
        <x:v>3</x:v>
      </x:c>
      <x:c r="E604" s="6" t="str">
        <x:v>3</x:v>
      </x:c>
      <x:c r="F604" s="6" t="str">
        <x:v>3</x:v>
      </x:c>
      <x:c r="G604" s="6" t="str">
        <x:v>3</x:v>
      </x:c>
      <x:c r="H604" s="6" t="str">
        <x:v>0</x:v>
      </x:c>
      <x:c r="I604" s="6" t="str">
        <x:v>0</x:v>
      </x:c>
      <x:c r="J604" s="6" t="str">
        <x:v>0</x:v>
      </x:c>
      <x:c r="K604" s="6" t="str">
        <x:v>0</x:v>
      </x:c>
      <x:c r="L604" s="6" t="str">
        <x:v>0</x:v>
      </x:c>
      <x:c r="M604" s="6" t="str">
        <x:v>0</x:v>
      </x:c>
      <x:c r="N604" s="6" t="str">
        <x:v>0</x:v>
      </x:c>
      <x:c r="O604" s="6" t="str">
        <x:v>0</x:v>
      </x:c>
      <x:c r="P604" s="6" t="str">
        <x:v>3</x:v>
      </x:c>
      <x:c r="Q604" s="6" t="str">
        <x:v>0.0</x:v>
      </x:c>
      <x:c r="R604" s="6" t="str">
        <x:v>3</x:v>
      </x:c>
      <x:c r="S604" s="6" t="str">
        <x:v>0.0</x:v>
      </x:c>
      <x:c r="T604" s="6" t="str">
        <x:v>3</x:v>
      </x:c>
      <x:c r="U604" s="6" t="str">
        <x:v>0.0</x:v>
      </x:c>
      <x:c r="V604" s="6" t="str">
        <x:v>3</x:v>
      </x:c>
      <x:c r="W604" s="6" t="str">
        <x:v>20.0</x:v>
      </x:c>
      <x:c r="X604" s="6" t="str">
        <x:v>3</x:v>
      </x:c>
      <x:c r="Y604" s="6" t="str">
        <x:v>983.0</x:v>
      </x:c>
      <x:c r="Z604" s="6" t="str">
        <x:v>3</x:v>
      </x:c>
      <x:c r="AA604" s="6" t="str">
        <x:v>0.0</x:v>
      </x:c>
      <x:c r="AB604" s="6" t="str">
        <x:v>3</x:v>
      </x:c>
      <x:c r="AC604" s="6" t="str">
        <x:v>2024-03</x:v>
      </x:c>
      <x:c r="AD604" s="9" t="str">
        <x:v>BNPB operational disaster search table</x:v>
      </x:c>
      <x:c r="AE604" s="9" t="str">
        <x:v>https://gis.bnpb.go.id/databencana/tabel/pencarian.php</x:v>
      </x:c>
      <x:c r="AF604" s="9" t="str">
        <x:v>operational_snapshot_annual_totals_may_differ</x:v>
      </x:c>
    </x:row>
    <x:row r="605" ht="18" customHeight="1">
      <x:c r="A605" s="6" t="str">
        <x:v>72</x:v>
      </x:c>
      <x:c r="B605" s="6" t="str">
        <x:v>SULAWESI TENGAH</x:v>
      </x:c>
      <x:c r="C605" s="6" t="str">
        <x:v>2024</x:v>
      </x:c>
      <x:c r="D605" s="6" t="str">
        <x:v>4</x:v>
      </x:c>
      <x:c r="E605" s="6" t="str">
        <x:v>10</x:v>
      </x:c>
      <x:c r="F605" s="6" t="str">
        <x:v>10</x:v>
      </x:c>
      <x:c r="G605" s="6" t="str">
        <x:v>10</x:v>
      </x:c>
      <x:c r="H605" s="6" t="str">
        <x:v>0</x:v>
      </x:c>
      <x:c r="I605" s="6" t="str">
        <x:v>0</x:v>
      </x:c>
      <x:c r="J605" s="6" t="str">
        <x:v>0</x:v>
      </x:c>
      <x:c r="K605" s="6" t="str">
        <x:v>0</x:v>
      </x:c>
      <x:c r="L605" s="6" t="str">
        <x:v>0</x:v>
      </x:c>
      <x:c r="M605" s="6" t="str">
        <x:v>0</x:v>
      </x:c>
      <x:c r="N605" s="6" t="str">
        <x:v>0</x:v>
      </x:c>
      <x:c r="O605" s="6" t="str">
        <x:v>0</x:v>
      </x:c>
      <x:c r="P605" s="6" t="str">
        <x:v>10</x:v>
      </x:c>
      <x:c r="Q605" s="6" t="str">
        <x:v>0.0</x:v>
      </x:c>
      <x:c r="R605" s="6" t="str">
        <x:v>10</x:v>
      </x:c>
      <x:c r="S605" s="6" t="str">
        <x:v>0.0</x:v>
      </x:c>
      <x:c r="T605" s="6" t="str">
        <x:v>10</x:v>
      </x:c>
      <x:c r="U605" s="6" t="str">
        <x:v>1.0</x:v>
      </x:c>
      <x:c r="V605" s="6" t="str">
        <x:v>10</x:v>
      </x:c>
      <x:c r="W605" s="6" t="str">
        <x:v>525.0</x:v>
      </x:c>
      <x:c r="X605" s="6" t="str">
        <x:v>10</x:v>
      </x:c>
      <x:c r="Y605" s="6" t="str">
        <x:v>1537.0</x:v>
      </x:c>
      <x:c r="Z605" s="6" t="str">
        <x:v>8</x:v>
      </x:c>
      <x:c r="AA605" s="6" t="str">
        <x:v>0.0</x:v>
      </x:c>
      <x:c r="AB605" s="6" t="str">
        <x:v>10</x:v>
      </x:c>
      <x:c r="AC605" s="6" t="str">
        <x:v>2024-04</x:v>
      </x:c>
      <x:c r="AD605" s="9" t="str">
        <x:v>BNPB operational disaster search table</x:v>
      </x:c>
      <x:c r="AE605" s="9" t="str">
        <x:v>https://gis.bnpb.go.id/databencana/tabel/pencarian.php</x:v>
      </x:c>
      <x:c r="AF605" s="9" t="str">
        <x:v>operational_snapshot_annual_totals_may_differ</x:v>
      </x:c>
    </x:row>
    <x:row r="606" ht="18" customHeight="1">
      <x:c r="A606" s="6" t="str">
        <x:v>72</x:v>
      </x:c>
      <x:c r="B606" s="6" t="str">
        <x:v>SULAWESI TENGAH</x:v>
      </x:c>
      <x:c r="C606" s="6" t="str">
        <x:v>2024</x:v>
      </x:c>
      <x:c r="D606" s="6" t="str">
        <x:v>5</x:v>
      </x:c>
      <x:c r="E606" s="6" t="str">
        <x:v>21</x:v>
      </x:c>
      <x:c r="F606" s="6" t="str">
        <x:v>21</x:v>
      </x:c>
      <x:c r="G606" s="6" t="str">
        <x:v>18</x:v>
      </x:c>
      <x:c r="H606" s="6" t="str">
        <x:v>1</x:v>
      </x:c>
      <x:c r="I606" s="6" t="str">
        <x:v>1</x:v>
      </x:c>
      <x:c r="J606" s="6" t="str">
        <x:v>0</x:v>
      </x:c>
      <x:c r="K606" s="6" t="str">
        <x:v>0</x:v>
      </x:c>
      <x:c r="L606" s="6" t="str">
        <x:v>0</x:v>
      </x:c>
      <x:c r="M606" s="6" t="str">
        <x:v>1</x:v>
      </x:c>
      <x:c r="N606" s="6" t="str">
        <x:v>0</x:v>
      </x:c>
      <x:c r="O606" s="6" t="str">
        <x:v>0</x:v>
      </x:c>
      <x:c r="P606" s="6" t="str">
        <x:v>20</x:v>
      </x:c>
      <x:c r="Q606" s="6" t="str">
        <x:v>0.0</x:v>
      </x:c>
      <x:c r="R606" s="6" t="str">
        <x:v>21</x:v>
      </x:c>
      <x:c r="S606" s="6" t="str">
        <x:v>0.0</x:v>
      </x:c>
      <x:c r="T606" s="6" t="str">
        <x:v>21</x:v>
      </x:c>
      <x:c r="U606" s="6" t="str">
        <x:v>3.0</x:v>
      </x:c>
      <x:c r="V606" s="6" t="str">
        <x:v>21</x:v>
      </x:c>
      <x:c r="W606" s="6" t="str">
        <x:v>15.0</x:v>
      </x:c>
      <x:c r="X606" s="6" t="str">
        <x:v>21</x:v>
      </x:c>
      <x:c r="Y606" s="6" t="str">
        <x:v>1685.0</x:v>
      </x:c>
      <x:c r="Z606" s="6" t="str">
        <x:v>18</x:v>
      </x:c>
      <x:c r="AA606" s="6" t="str">
        <x:v>4.0</x:v>
      </x:c>
      <x:c r="AB606" s="6" t="str">
        <x:v>21</x:v>
      </x:c>
      <x:c r="AC606" s="6" t="str">
        <x:v>2024-05</x:v>
      </x:c>
      <x:c r="AD606" s="9" t="str">
        <x:v>BNPB operational disaster search table</x:v>
      </x:c>
      <x:c r="AE606" s="9" t="str">
        <x:v>https://gis.bnpb.go.id/databencana/tabel/pencarian.php</x:v>
      </x:c>
      <x:c r="AF606" s="9" t="str">
        <x:v>operational_snapshot_annual_totals_may_differ</x:v>
      </x:c>
    </x:row>
    <x:row r="607" ht="18" customHeight="1">
      <x:c r="A607" s="6" t="str">
        <x:v>72</x:v>
      </x:c>
      <x:c r="B607" s="6" t="str">
        <x:v>SULAWESI TENGAH</x:v>
      </x:c>
      <x:c r="C607" s="6" t="str">
        <x:v>2024</x:v>
      </x:c>
      <x:c r="D607" s="6" t="str">
        <x:v>6</x:v>
      </x:c>
      <x:c r="E607" s="6" t="str">
        <x:v>18</x:v>
      </x:c>
      <x:c r="F607" s="6" t="str">
        <x:v>18</x:v>
      </x:c>
      <x:c r="G607" s="6" t="str">
        <x:v>18</x:v>
      </x:c>
      <x:c r="H607" s="6" t="str">
        <x:v>0</x:v>
      </x:c>
      <x:c r="I607" s="6" t="str">
        <x:v>0</x:v>
      </x:c>
      <x:c r="J607" s="6" t="str">
        <x:v>0</x:v>
      </x:c>
      <x:c r="K607" s="6" t="str">
        <x:v>0</x:v>
      </x:c>
      <x:c r="L607" s="6" t="str">
        <x:v>0</x:v>
      </x:c>
      <x:c r="M607" s="6" t="str">
        <x:v>0</x:v>
      </x:c>
      <x:c r="N607" s="6" t="str">
        <x:v>0</x:v>
      </x:c>
      <x:c r="O607" s="6" t="str">
        <x:v>0</x:v>
      </x:c>
      <x:c r="P607" s="6" t="str">
        <x:v>18</x:v>
      </x:c>
      <x:c r="Q607" s="6" t="str">
        <x:v>1.0</x:v>
      </x:c>
      <x:c r="R607" s="6" t="str">
        <x:v>18</x:v>
      </x:c>
      <x:c r="S607" s="6" t="str">
        <x:v>0.0</x:v>
      </x:c>
      <x:c r="T607" s="6" t="str">
        <x:v>18</x:v>
      </x:c>
      <x:c r="U607" s="6" t="str">
        <x:v>0.0</x:v>
      </x:c>
      <x:c r="V607" s="6" t="str">
        <x:v>18</x:v>
      </x:c>
      <x:c r="W607" s="6" t="str">
        <x:v>92.0</x:v>
      </x:c>
      <x:c r="X607" s="6" t="str">
        <x:v>18</x:v>
      </x:c>
      <x:c r="Y607" s="6" t="str">
        <x:v>2635.0</x:v>
      </x:c>
      <x:c r="Z607" s="6" t="str">
        <x:v>18</x:v>
      </x:c>
      <x:c r="AA607" s="6" t="str">
        <x:v>4.0</x:v>
      </x:c>
      <x:c r="AB607" s="6" t="str">
        <x:v>18</x:v>
      </x:c>
      <x:c r="AC607" s="6" t="str">
        <x:v>2024-06</x:v>
      </x:c>
      <x:c r="AD607" s="9" t="str">
        <x:v>BNPB operational disaster search table</x:v>
      </x:c>
      <x:c r="AE607" s="9" t="str">
        <x:v>https://gis.bnpb.go.id/databencana/tabel/pencarian.php</x:v>
      </x:c>
      <x:c r="AF607" s="9" t="str">
        <x:v>operational_snapshot_annual_totals_may_differ</x:v>
      </x:c>
    </x:row>
    <x:row r="608" ht="18" customHeight="1">
      <x:c r="A608" s="6" t="str">
        <x:v>72</x:v>
      </x:c>
      <x:c r="B608" s="6" t="str">
        <x:v>SULAWESI TENGAH</x:v>
      </x:c>
      <x:c r="C608" s="6" t="str">
        <x:v>2024</x:v>
      </x:c>
      <x:c r="D608" s="6" t="str">
        <x:v>7</x:v>
      </x:c>
      <x:c r="E608" s="6" t="str">
        <x:v>11</x:v>
      </x:c>
      <x:c r="F608" s="6" t="str">
        <x:v>11</x:v>
      </x:c>
      <x:c r="G608" s="6" t="str">
        <x:v>10</x:v>
      </x:c>
      <x:c r="H608" s="6" t="str">
        <x:v>0</x:v>
      </x:c>
      <x:c r="I608" s="6" t="str">
        <x:v>1</x:v>
      </x:c>
      <x:c r="J608" s="6" t="str">
        <x:v>0</x:v>
      </x:c>
      <x:c r="K608" s="6" t="str">
        <x:v>0</x:v>
      </x:c>
      <x:c r="L608" s="6" t="str">
        <x:v>0</x:v>
      </x:c>
      <x:c r="M608" s="6" t="str">
        <x:v>0</x:v>
      </x:c>
      <x:c r="N608" s="6" t="str">
        <x:v>0</x:v>
      </x:c>
      <x:c r="O608" s="6" t="str">
        <x:v>0</x:v>
      </x:c>
      <x:c r="P608" s="6" t="str">
        <x:v>11</x:v>
      </x:c>
      <x:c r="Q608" s="6" t="str">
        <x:v>1.0</x:v>
      </x:c>
      <x:c r="R608" s="6" t="str">
        <x:v>11</x:v>
      </x:c>
      <x:c r="S608" s="6" t="str">
        <x:v>0.0</x:v>
      </x:c>
      <x:c r="T608" s="6" t="str">
        <x:v>11</x:v>
      </x:c>
      <x:c r="U608" s="6" t="str">
        <x:v>0.0</x:v>
      </x:c>
      <x:c r="V608" s="6" t="str">
        <x:v>11</x:v>
      </x:c>
      <x:c r="W608" s="6" t="str">
        <x:v>14.0</x:v>
      </x:c>
      <x:c r="X608" s="6" t="str">
        <x:v>11</x:v>
      </x:c>
      <x:c r="Y608" s="6" t="str">
        <x:v>1013.0</x:v>
      </x:c>
      <x:c r="Z608" s="6" t="str">
        <x:v>10</x:v>
      </x:c>
      <x:c r="AA608" s="6" t="str">
        <x:v>0.0</x:v>
      </x:c>
      <x:c r="AB608" s="6" t="str">
        <x:v>11</x:v>
      </x:c>
      <x:c r="AC608" s="6" t="str">
        <x:v>2024-07</x:v>
      </x:c>
      <x:c r="AD608" s="9" t="str">
        <x:v>BNPB operational disaster search table</x:v>
      </x:c>
      <x:c r="AE608" s="9" t="str">
        <x:v>https://gis.bnpb.go.id/databencana/tabel/pencarian.php</x:v>
      </x:c>
      <x:c r="AF608" s="9" t="str">
        <x:v>operational_snapshot_annual_totals_may_differ</x:v>
      </x:c>
    </x:row>
    <x:row r="609" ht="18" customHeight="1">
      <x:c r="A609" s="6" t="str">
        <x:v>72</x:v>
      </x:c>
      <x:c r="B609" s="6" t="str">
        <x:v>SULAWESI TENGAH</x:v>
      </x:c>
      <x:c r="C609" s="6" t="str">
        <x:v>2024</x:v>
      </x:c>
      <x:c r="D609" s="6" t="str">
        <x:v>8</x:v>
      </x:c>
      <x:c r="E609" s="6" t="str">
        <x:v>5</x:v>
      </x:c>
      <x:c r="F609" s="6" t="str">
        <x:v>5</x:v>
      </x:c>
      <x:c r="G609" s="6" t="str">
        <x:v>5</x:v>
      </x:c>
      <x:c r="H609" s="6" t="str">
        <x:v>0</x:v>
      </x:c>
      <x:c r="I609" s="6" t="str">
        <x:v>0</x:v>
      </x:c>
      <x:c r="J609" s="6" t="str">
        <x:v>0</x:v>
      </x:c>
      <x:c r="K609" s="6" t="str">
        <x:v>0</x:v>
      </x:c>
      <x:c r="L609" s="6" t="str">
        <x:v>0</x:v>
      </x:c>
      <x:c r="M609" s="6" t="str">
        <x:v>0</x:v>
      </x:c>
      <x:c r="N609" s="6" t="str">
        <x:v>0</x:v>
      </x:c>
      <x:c r="O609" s="6" t="str">
        <x:v>0</x:v>
      </x:c>
      <x:c r="P609" s="6" t="str">
        <x:v>5</x:v>
      </x:c>
      <x:c r="Q609" s="6" t="str">
        <x:v>0.0</x:v>
      </x:c>
      <x:c r="R609" s="6" t="str">
        <x:v>5</x:v>
      </x:c>
      <x:c r="S609" s="6" t="str">
        <x:v>0.0</x:v>
      </x:c>
      <x:c r="T609" s="6" t="str">
        <x:v>5</x:v>
      </x:c>
      <x:c r="U609" s="6" t="str">
        <x:v>0.0</x:v>
      </x:c>
      <x:c r="V609" s="6" t="str">
        <x:v>5</x:v>
      </x:c>
      <x:c r="W609" s="6" t="str">
        <x:v>0.0</x:v>
      </x:c>
      <x:c r="X609" s="6" t="str">
        <x:v>5</x:v>
      </x:c>
      <x:c r="Y609" s="6" t="str">
        <x:v>517.0</x:v>
      </x:c>
      <x:c r="Z609" s="6" t="str">
        <x:v>5</x:v>
      </x:c>
      <x:c r="AA609" s="6" t="str">
        <x:v>0.0</x:v>
      </x:c>
      <x:c r="AB609" s="6" t="str">
        <x:v>5</x:v>
      </x:c>
      <x:c r="AC609" s="6" t="str">
        <x:v>2024-08</x:v>
      </x:c>
      <x:c r="AD609" s="9" t="str">
        <x:v>BNPB operational disaster search table</x:v>
      </x:c>
      <x:c r="AE609" s="9" t="str">
        <x:v>https://gis.bnpb.go.id/databencana/tabel/pencarian.php</x:v>
      </x:c>
      <x:c r="AF609" s="9" t="str">
        <x:v>operational_snapshot_annual_totals_may_differ</x:v>
      </x:c>
    </x:row>
    <x:row r="610" ht="18" customHeight="1">
      <x:c r="A610" s="6" t="str">
        <x:v>72</x:v>
      </x:c>
      <x:c r="B610" s="6" t="str">
        <x:v>SULAWESI TENGAH</x:v>
      </x:c>
      <x:c r="C610" s="6" t="str">
        <x:v>2024</x:v>
      </x:c>
      <x:c r="D610" s="6" t="str">
        <x:v>9</x:v>
      </x:c>
      <x:c r="E610" s="6" t="str">
        <x:v>5</x:v>
      </x:c>
      <x:c r="F610" s="6" t="str">
        <x:v>5</x:v>
      </x:c>
      <x:c r="G610" s="6" t="str">
        <x:v>5</x:v>
      </x:c>
      <x:c r="H610" s="6" t="str">
        <x:v>0</x:v>
      </x:c>
      <x:c r="I610" s="6" t="str">
        <x:v>0</x:v>
      </x:c>
      <x:c r="J610" s="6" t="str">
        <x:v>0</x:v>
      </x:c>
      <x:c r="K610" s="6" t="str">
        <x:v>0</x:v>
      </x:c>
      <x:c r="L610" s="6" t="str">
        <x:v>0</x:v>
      </x:c>
      <x:c r="M610" s="6" t="str">
        <x:v>0</x:v>
      </x:c>
      <x:c r="N610" s="6" t="str">
        <x:v>0</x:v>
      </x:c>
      <x:c r="O610" s="6" t="str">
        <x:v>0</x:v>
      </x:c>
      <x:c r="P610" s="6" t="str">
        <x:v>5</x:v>
      </x:c>
      <x:c r="Q610" s="6" t="str">
        <x:v>0.0</x:v>
      </x:c>
      <x:c r="R610" s="6" t="str">
        <x:v>5</x:v>
      </x:c>
      <x:c r="S610" s="6" t="str">
        <x:v>0.0</x:v>
      </x:c>
      <x:c r="T610" s="6" t="str">
        <x:v>5</x:v>
      </x:c>
      <x:c r="U610" s="6" t="str">
        <x:v>0.0</x:v>
      </x:c>
      <x:c r="V610" s="6" t="str">
        <x:v>5</x:v>
      </x:c>
      <x:c r="W610" s="6" t="str">
        <x:v>3.0</x:v>
      </x:c>
      <x:c r="X610" s="6" t="str">
        <x:v>5</x:v>
      </x:c>
      <x:c r="Y610" s="6" t="str">
        <x:v>230.0</x:v>
      </x:c>
      <x:c r="Z610" s="6" t="str">
        <x:v>5</x:v>
      </x:c>
      <x:c r="AA610" s="6" t="str">
        <x:v>0.0</x:v>
      </x:c>
      <x:c r="AB610" s="6" t="str">
        <x:v>5</x:v>
      </x:c>
      <x:c r="AC610" s="6" t="str">
        <x:v>2024-09</x:v>
      </x:c>
      <x:c r="AD610" s="9" t="str">
        <x:v>BNPB operational disaster search table</x:v>
      </x:c>
      <x:c r="AE610" s="9" t="str">
        <x:v>https://gis.bnpb.go.id/databencana/tabel/pencarian.php</x:v>
      </x:c>
      <x:c r="AF610" s="9" t="str">
        <x:v>operational_snapshot_annual_totals_may_differ</x:v>
      </x:c>
    </x:row>
    <x:row r="611" ht="18" customHeight="1">
      <x:c r="A611" s="6" t="str">
        <x:v>72</x:v>
      </x:c>
      <x:c r="B611" s="6" t="str">
        <x:v>SULAWESI TENGAH</x:v>
      </x:c>
      <x:c r="C611" s="6" t="str">
        <x:v>2024</x:v>
      </x:c>
      <x:c r="D611" s="6" t="str">
        <x:v>10</x:v>
      </x:c>
      <x:c r="E611" s="6" t="str">
        <x:v>3</x:v>
      </x:c>
      <x:c r="F611" s="6" t="str">
        <x:v>3</x:v>
      </x:c>
      <x:c r="G611" s="6" t="str">
        <x:v>3</x:v>
      </x:c>
      <x:c r="H611" s="6" t="str">
        <x:v>0</x:v>
      </x:c>
      <x:c r="I611" s="6" t="str">
        <x:v>0</x:v>
      </x:c>
      <x:c r="J611" s="6" t="str">
        <x:v>0</x:v>
      </x:c>
      <x:c r="K611" s="6" t="str">
        <x:v>0</x:v>
      </x:c>
      <x:c r="L611" s="6" t="str">
        <x:v>0</x:v>
      </x:c>
      <x:c r="M611" s="6" t="str">
        <x:v>0</x:v>
      </x:c>
      <x:c r="N611" s="6" t="str">
        <x:v>0</x:v>
      </x:c>
      <x:c r="O611" s="6" t="str">
        <x:v>0</x:v>
      </x:c>
      <x:c r="P611" s="6" t="str">
        <x:v>3</x:v>
      </x:c>
      <x:c r="Q611" s="6" t="str">
        <x:v>0.0</x:v>
      </x:c>
      <x:c r="R611" s="6" t="str">
        <x:v>3</x:v>
      </x:c>
      <x:c r="S611" s="6" t="str">
        <x:v>0.0</x:v>
      </x:c>
      <x:c r="T611" s="6" t="str">
        <x:v>3</x:v>
      </x:c>
      <x:c r="U611" s="6" t="str">
        <x:v>0.0</x:v>
      </x:c>
      <x:c r="V611" s="6" t="str">
        <x:v>3</x:v>
      </x:c>
      <x:c r="W611" s="6" t="str">
        <x:v>0.0</x:v>
      </x:c>
      <x:c r="X611" s="6" t="str">
        <x:v>3</x:v>
      </x:c>
      <x:c r="Y611" s="6" t="str">
        <x:v>2089.0</x:v>
      </x:c>
      <x:c r="Z611" s="6" t="str">
        <x:v>3</x:v>
      </x:c>
      <x:c r="AA611" s="6" t="str">
        <x:v>0.0</x:v>
      </x:c>
      <x:c r="AB611" s="6" t="str">
        <x:v>3</x:v>
      </x:c>
      <x:c r="AC611" s="6" t="str">
        <x:v>2024-10</x:v>
      </x:c>
      <x:c r="AD611" s="9" t="str">
        <x:v>BNPB operational disaster search table</x:v>
      </x:c>
      <x:c r="AE611" s="9" t="str">
        <x:v>https://gis.bnpb.go.id/databencana/tabel/pencarian.php</x:v>
      </x:c>
      <x:c r="AF611" s="9" t="str">
        <x:v>operational_snapshot_annual_totals_may_differ</x:v>
      </x:c>
    </x:row>
    <x:row r="612" ht="18" customHeight="1">
      <x:c r="A612" s="6" t="str">
        <x:v>72</x:v>
      </x:c>
      <x:c r="B612" s="6" t="str">
        <x:v>SULAWESI TENGAH</x:v>
      </x:c>
      <x:c r="C612" s="6" t="str">
        <x:v>2024</x:v>
      </x:c>
      <x:c r="D612" s="6" t="str">
        <x:v>11</x:v>
      </x:c>
      <x:c r="E612" s="6" t="str">
        <x:v>3</x:v>
      </x:c>
      <x:c r="F612" s="6" t="str">
        <x:v>3</x:v>
      </x:c>
      <x:c r="G612" s="6" t="str">
        <x:v>2</x:v>
      </x:c>
      <x:c r="H612" s="6" t="str">
        <x:v>0</x:v>
      </x:c>
      <x:c r="I612" s="6" t="str">
        <x:v>1</x:v>
      </x:c>
      <x:c r="J612" s="6" t="str">
        <x:v>0</x:v>
      </x:c>
      <x:c r="K612" s="6" t="str">
        <x:v>0</x:v>
      </x:c>
      <x:c r="L612" s="6" t="str">
        <x:v>0</x:v>
      </x:c>
      <x:c r="M612" s="6" t="str">
        <x:v>0</x:v>
      </x:c>
      <x:c r="N612" s="6" t="str">
        <x:v>0</x:v>
      </x:c>
      <x:c r="O612" s="6" t="str">
        <x:v>0</x:v>
      </x:c>
      <x:c r="P612" s="6" t="str">
        <x:v>3</x:v>
      </x:c>
      <x:c r="Q612" s="6" t="str">
        <x:v>0.0</x:v>
      </x:c>
      <x:c r="R612" s="6" t="str">
        <x:v>3</x:v>
      </x:c>
      <x:c r="S612" s="6" t="str">
        <x:v>0.0</x:v>
      </x:c>
      <x:c r="T612" s="6" t="str">
        <x:v>3</x:v>
      </x:c>
      <x:c r="U612" s="6" t="str">
        <x:v>0.0</x:v>
      </x:c>
      <x:c r="V612" s="6" t="str">
        <x:v>3</x:v>
      </x:c>
      <x:c r="W612" s="6" t="str">
        <x:v>2.0</x:v>
      </x:c>
      <x:c r="X612" s="6" t="str">
        <x:v>3</x:v>
      </x:c>
      <x:c r="Y612" s="6" t="str">
        <x:v>307.0</x:v>
      </x:c>
      <x:c r="Z612" s="6" t="str">
        <x:v>2</x:v>
      </x:c>
      <x:c r="AA612" s="6" t="str">
        <x:v>0.0</x:v>
      </x:c>
      <x:c r="AB612" s="6" t="str">
        <x:v>3</x:v>
      </x:c>
      <x:c r="AC612" s="6" t="str">
        <x:v>2024-11</x:v>
      </x:c>
      <x:c r="AD612" s="9" t="str">
        <x:v>BNPB operational disaster search table</x:v>
      </x:c>
      <x:c r="AE612" s="9" t="str">
        <x:v>https://gis.bnpb.go.id/databencana/tabel/pencarian.php</x:v>
      </x:c>
      <x:c r="AF612" s="9" t="str">
        <x:v>operational_snapshot_annual_totals_may_differ</x:v>
      </x:c>
    </x:row>
    <x:row r="613" ht="18" customHeight="1">
      <x:c r="A613" s="6" t="str">
        <x:v>72</x:v>
      </x:c>
      <x:c r="B613" s="6" t="str">
        <x:v>SULAWESI TENGAH</x:v>
      </x:c>
      <x:c r="C613" s="6" t="str">
        <x:v>2024</x:v>
      </x:c>
      <x:c r="D613" s="6" t="str">
        <x:v>12</x:v>
      </x:c>
      <x:c r="E613" s="6" t="str">
        <x:v>6</x:v>
      </x:c>
      <x:c r="F613" s="6" t="str">
        <x:v>6</x:v>
      </x:c>
      <x:c r="G613" s="6" t="str">
        <x:v>4</x:v>
      </x:c>
      <x:c r="H613" s="6" t="str">
        <x:v>0</x:v>
      </x:c>
      <x:c r="I613" s="6" t="str">
        <x:v>1</x:v>
      </x:c>
      <x:c r="J613" s="6" t="str">
        <x:v>0</x:v>
      </x:c>
      <x:c r="K613" s="6" t="str">
        <x:v>0</x:v>
      </x:c>
      <x:c r="L613" s="6" t="str">
        <x:v>0</x:v>
      </x:c>
      <x:c r="M613" s="6" t="str">
        <x:v>1</x:v>
      </x:c>
      <x:c r="N613" s="6" t="str">
        <x:v>0</x:v>
      </x:c>
      <x:c r="O613" s="6" t="str">
        <x:v>0</x:v>
      </x:c>
      <x:c r="P613" s="6" t="str">
        <x:v>5</x:v>
      </x:c>
      <x:c r="Q613" s="6" t="str">
        <x:v>0.0</x:v>
      </x:c>
      <x:c r="R613" s="6" t="str">
        <x:v>6</x:v>
      </x:c>
      <x:c r="S613" s="6" t="str">
        <x:v>0.0</x:v>
      </x:c>
      <x:c r="T613" s="6" t="str">
        <x:v>6</x:v>
      </x:c>
      <x:c r="U613" s="6" t="str">
        <x:v>0.0</x:v>
      </x:c>
      <x:c r="V613" s="6" t="str">
        <x:v>6</x:v>
      </x:c>
      <x:c r="W613" s="6" t="str">
        <x:v>29.0</x:v>
      </x:c>
      <x:c r="X613" s="6" t="str">
        <x:v>6</x:v>
      </x:c>
      <x:c r="Y613" s="6" t="str">
        <x:v>445.0</x:v>
      </x:c>
      <x:c r="Z613" s="6" t="str">
        <x:v>4</x:v>
      </x:c>
      <x:c r="AA613" s="6" t="str">
        <x:v>3.0</x:v>
      </x:c>
      <x:c r="AB613" s="6" t="str">
        <x:v>6</x:v>
      </x:c>
      <x:c r="AC613" s="6" t="str">
        <x:v>2024-12</x:v>
      </x:c>
      <x:c r="AD613" s="9" t="str">
        <x:v>BNPB operational disaster search table</x:v>
      </x:c>
      <x:c r="AE613" s="9" t="str">
        <x:v>https://gis.bnpb.go.id/databencana/tabel/pencarian.php</x:v>
      </x:c>
      <x:c r="AF613" s="9" t="str">
        <x:v>operational_snapshot_annual_totals_may_differ</x:v>
      </x:c>
    </x:row>
    <x:row r="614" ht="18" customHeight="1">
      <x:c r="A614" s="6" t="str">
        <x:v>72</x:v>
      </x:c>
      <x:c r="B614" s="6" t="str">
        <x:v>SULAWESI TENGAH</x:v>
      </x:c>
      <x:c r="C614" s="6" t="str">
        <x:v>2025</x:v>
      </x:c>
      <x:c r="D614" s="6" t="str">
        <x:v>1</x:v>
      </x:c>
      <x:c r="E614" s="6" t="str">
        <x:v>17</x:v>
      </x:c>
      <x:c r="F614" s="6" t="str">
        <x:v>17</x:v>
      </x:c>
      <x:c r="G614" s="6" t="str">
        <x:v>12</x:v>
      </x:c>
      <x:c r="H614" s="6" t="str">
        <x:v>2</x:v>
      </x:c>
      <x:c r="I614" s="6" t="str">
        <x:v>0</x:v>
      </x:c>
      <x:c r="J614" s="6" t="str">
        <x:v>0</x:v>
      </x:c>
      <x:c r="K614" s="6" t="str">
        <x:v>0</x:v>
      </x:c>
      <x:c r="L614" s="6" t="str">
        <x:v>3</x:v>
      </x:c>
      <x:c r="M614" s="6" t="str">
        <x:v>0</x:v>
      </x:c>
      <x:c r="N614" s="6" t="str">
        <x:v>0</x:v>
      </x:c>
      <x:c r="O614" s="6" t="str">
        <x:v>0</x:v>
      </x:c>
      <x:c r="P614" s="6" t="str">
        <x:v>17</x:v>
      </x:c>
      <x:c r="Q614" s="6" t="str">
        <x:v>1.0</x:v>
      </x:c>
      <x:c r="R614" s="6" t="str">
        <x:v>17</x:v>
      </x:c>
      <x:c r="S614" s="6" t="str">
        <x:v>0.0</x:v>
      </x:c>
      <x:c r="T614" s="6" t="str">
        <x:v>17</x:v>
      </x:c>
      <x:c r="U614" s="6" t="str">
        <x:v>3.0</x:v>
      </x:c>
      <x:c r="V614" s="6" t="str">
        <x:v>17</x:v>
      </x:c>
      <x:c r="W614" s="6" t="str">
        <x:v>32.0</x:v>
      </x:c>
      <x:c r="X614" s="6" t="str">
        <x:v>17</x:v>
      </x:c>
      <x:c r="Y614" s="6" t="str">
        <x:v>877.0</x:v>
      </x:c>
      <x:c r="Z614" s="6" t="str">
        <x:v>12</x:v>
      </x:c>
      <x:c r="AA614" s="6" t="str">
        <x:v>0.0</x:v>
      </x:c>
      <x:c r="AB614" s="6" t="str">
        <x:v>17</x:v>
      </x:c>
      <x:c r="AC614" s="6" t="str">
        <x:v>2025-01</x:v>
      </x:c>
      <x:c r="AD614" s="9" t="str">
        <x:v>BNPB operational disaster search table</x:v>
      </x:c>
      <x:c r="AE614" s="9" t="str">
        <x:v>https://gis.bnpb.go.id/databencana/tabel/pencarian.php</x:v>
      </x:c>
      <x:c r="AF614" s="9" t="str">
        <x:v>operational_snapshot_annual_totals_may_differ</x:v>
      </x:c>
    </x:row>
    <x:row r="615" ht="18" customHeight="1">
      <x:c r="A615" s="6" t="str">
        <x:v>72</x:v>
      </x:c>
      <x:c r="B615" s="6" t="str">
        <x:v>SULAWESI TENGAH</x:v>
      </x:c>
      <x:c r="C615" s="6" t="str">
        <x:v>2025</x:v>
      </x:c>
      <x:c r="D615" s="6" t="str">
        <x:v>2</x:v>
      </x:c>
      <x:c r="E615" s="6" t="str">
        <x:v>13</x:v>
      </x:c>
      <x:c r="F615" s="6" t="str">
        <x:v>13</x:v>
      </x:c>
      <x:c r="G615" s="6" t="str">
        <x:v>6</x:v>
      </x:c>
      <x:c r="H615" s="6" t="str">
        <x:v>2</x:v>
      </x:c>
      <x:c r="I615" s="6" t="str">
        <x:v>5</x:v>
      </x:c>
      <x:c r="J615" s="6" t="str">
        <x:v>0</x:v>
      </x:c>
      <x:c r="K615" s="6" t="str">
        <x:v>0</x:v>
      </x:c>
      <x:c r="L615" s="6" t="str">
        <x:v>0</x:v>
      </x:c>
      <x:c r="M615" s="6" t="str">
        <x:v>0</x:v>
      </x:c>
      <x:c r="N615" s="6" t="str">
        <x:v>0</x:v>
      </x:c>
      <x:c r="O615" s="6" t="str">
        <x:v>0</x:v>
      </x:c>
      <x:c r="P615" s="6" t="str">
        <x:v>13</x:v>
      </x:c>
      <x:c r="Q615" s="6" t="str">
        <x:v>0.0</x:v>
      </x:c>
      <x:c r="R615" s="6" t="str">
        <x:v>13</x:v>
      </x:c>
      <x:c r="S615" s="6" t="str">
        <x:v>0.0</x:v>
      </x:c>
      <x:c r="T615" s="6" t="str">
        <x:v>13</x:v>
      </x:c>
      <x:c r="U615" s="6" t="str">
        <x:v>0.0</x:v>
      </x:c>
      <x:c r="V615" s="6" t="str">
        <x:v>13</x:v>
      </x:c>
      <x:c r="W615" s="6" t="str">
        <x:v>107.0</x:v>
      </x:c>
      <x:c r="X615" s="6" t="str">
        <x:v>13</x:v>
      </x:c>
      <x:c r="Y615" s="6" t="str">
        <x:v>1057.0</x:v>
      </x:c>
      <x:c r="Z615" s="6" t="str">
        <x:v>6</x:v>
      </x:c>
      <x:c r="AA615" s="6" t="str">
        <x:v>8.0</x:v>
      </x:c>
      <x:c r="AB615" s="6" t="str">
        <x:v>13</x:v>
      </x:c>
      <x:c r="AC615" s="6" t="str">
        <x:v>2025-02</x:v>
      </x:c>
      <x:c r="AD615" s="9" t="str">
        <x:v>BNPB operational disaster search table</x:v>
      </x:c>
      <x:c r="AE615" s="9" t="str">
        <x:v>https://gis.bnpb.go.id/databencana/tabel/pencarian.php</x:v>
      </x:c>
      <x:c r="AF615" s="9" t="str">
        <x:v>operational_snapshot_annual_totals_may_differ</x:v>
      </x:c>
    </x:row>
    <x:row r="616" ht="18" customHeight="1">
      <x:c r="A616" s="6" t="str">
        <x:v>72</x:v>
      </x:c>
      <x:c r="B616" s="6" t="str">
        <x:v>SULAWESI TENGAH</x:v>
      </x:c>
      <x:c r="C616" s="6" t="str">
        <x:v>2025</x:v>
      </x:c>
      <x:c r="D616" s="6" t="str">
        <x:v>3</x:v>
      </x:c>
      <x:c r="E616" s="6" t="str">
        <x:v>24</x:v>
      </x:c>
      <x:c r="F616" s="6" t="str">
        <x:v>24</x:v>
      </x:c>
      <x:c r="G616" s="6" t="str">
        <x:v>23</x:v>
      </x:c>
      <x:c r="H616" s="6" t="str">
        <x:v>0</x:v>
      </x:c>
      <x:c r="I616" s="6" t="str">
        <x:v>0</x:v>
      </x:c>
      <x:c r="J616" s="6" t="str">
        <x:v>0</x:v>
      </x:c>
      <x:c r="K616" s="6" t="str">
        <x:v>0</x:v>
      </x:c>
      <x:c r="L616" s="6" t="str">
        <x:v>1</x:v>
      </x:c>
      <x:c r="M616" s="6" t="str">
        <x:v>0</x:v>
      </x:c>
      <x:c r="N616" s="6" t="str">
        <x:v>0</x:v>
      </x:c>
      <x:c r="O616" s="6" t="str">
        <x:v>0</x:v>
      </x:c>
      <x:c r="P616" s="6" t="str">
        <x:v>24</x:v>
      </x:c>
      <x:c r="Q616" s="6" t="str">
        <x:v>0.0</x:v>
      </x:c>
      <x:c r="R616" s="6" t="str">
        <x:v>24</x:v>
      </x:c>
      <x:c r="S616" s="6" t="str">
        <x:v>0.0</x:v>
      </x:c>
      <x:c r="T616" s="6" t="str">
        <x:v>24</x:v>
      </x:c>
      <x:c r="U616" s="6" t="str">
        <x:v>0.0</x:v>
      </x:c>
      <x:c r="V616" s="6" t="str">
        <x:v>24</x:v>
      </x:c>
      <x:c r="W616" s="6" t="str">
        <x:v>56.0</x:v>
      </x:c>
      <x:c r="X616" s="6" t="str">
        <x:v>24</x:v>
      </x:c>
      <x:c r="Y616" s="6" t="str">
        <x:v>2853.0</x:v>
      </x:c>
      <x:c r="Z616" s="6" t="str">
        <x:v>21</x:v>
      </x:c>
      <x:c r="AA616" s="6" t="str">
        <x:v>3.0</x:v>
      </x:c>
      <x:c r="AB616" s="6" t="str">
        <x:v>24</x:v>
      </x:c>
      <x:c r="AC616" s="6" t="str">
        <x:v>2025-03</x:v>
      </x:c>
      <x:c r="AD616" s="9" t="str">
        <x:v>BNPB operational disaster search table</x:v>
      </x:c>
      <x:c r="AE616" s="9" t="str">
        <x:v>https://gis.bnpb.go.id/databencana/tabel/pencarian.php</x:v>
      </x:c>
      <x:c r="AF616" s="9" t="str">
        <x:v>operational_snapshot_annual_totals_may_differ</x:v>
      </x:c>
    </x:row>
    <x:row r="617" ht="18" customHeight="1">
      <x:c r="A617" s="6" t="str">
        <x:v>72</x:v>
      </x:c>
      <x:c r="B617" s="6" t="str">
        <x:v>SULAWESI TENGAH</x:v>
      </x:c>
      <x:c r="C617" s="6" t="str">
        <x:v>2025</x:v>
      </x:c>
      <x:c r="D617" s="6" t="str">
        <x:v>4</x:v>
      </x:c>
      <x:c r="E617" s="6" t="str">
        <x:v>6</x:v>
      </x:c>
      <x:c r="F617" s="6" t="str">
        <x:v>6</x:v>
      </x:c>
      <x:c r="G617" s="6" t="str">
        <x:v>6</x:v>
      </x:c>
      <x:c r="H617" s="6" t="str">
        <x:v>0</x:v>
      </x:c>
      <x:c r="I617" s="6" t="str">
        <x:v>0</x:v>
      </x:c>
      <x:c r="J617" s="6" t="str">
        <x:v>0</x:v>
      </x:c>
      <x:c r="K617" s="6" t="str">
        <x:v>0</x:v>
      </x:c>
      <x:c r="L617" s="6" t="str">
        <x:v>0</x:v>
      </x:c>
      <x:c r="M617" s="6" t="str">
        <x:v>0</x:v>
      </x:c>
      <x:c r="N617" s="6" t="str">
        <x:v>0</x:v>
      </x:c>
      <x:c r="O617" s="6" t="str">
        <x:v>0</x:v>
      </x:c>
      <x:c r="P617" s="6" t="str">
        <x:v>6</x:v>
      </x:c>
      <x:c r="Q617" s="6" t="str">
        <x:v>0.0</x:v>
      </x:c>
      <x:c r="R617" s="6" t="str">
        <x:v>6</x:v>
      </x:c>
      <x:c r="S617" s="6" t="str">
        <x:v>0.0</x:v>
      </x:c>
      <x:c r="T617" s="6" t="str">
        <x:v>6</x:v>
      </x:c>
      <x:c r="U617" s="6" t="str">
        <x:v>0.0</x:v>
      </x:c>
      <x:c r="V617" s="6" t="str">
        <x:v>6</x:v>
      </x:c>
      <x:c r="W617" s="6" t="str">
        <x:v>34.0</x:v>
      </x:c>
      <x:c r="X617" s="6" t="str">
        <x:v>6</x:v>
      </x:c>
      <x:c r="Y617" s="6" t="str">
        <x:v>1724.0</x:v>
      </x:c>
      <x:c r="Z617" s="6" t="str">
        <x:v>6</x:v>
      </x:c>
      <x:c r="AA617" s="6" t="str">
        <x:v>6.0</x:v>
      </x:c>
      <x:c r="AB617" s="6" t="str">
        <x:v>6</x:v>
      </x:c>
      <x:c r="AC617" s="6" t="str">
        <x:v>2025-04</x:v>
      </x:c>
      <x:c r="AD617" s="9" t="str">
        <x:v>BNPB operational disaster search table</x:v>
      </x:c>
      <x:c r="AE617" s="9" t="str">
        <x:v>https://gis.bnpb.go.id/databencana/tabel/pencarian.php</x:v>
      </x:c>
      <x:c r="AF617" s="9" t="str">
        <x:v>operational_snapshot_annual_totals_may_differ</x:v>
      </x:c>
    </x:row>
    <x:row r="618" ht="18" customHeight="1">
      <x:c r="A618" s="6" t="str">
        <x:v>72</x:v>
      </x:c>
      <x:c r="B618" s="6" t="str">
        <x:v>SULAWESI TENGAH</x:v>
      </x:c>
      <x:c r="C618" s="6" t="str">
        <x:v>2025</x:v>
      </x:c>
      <x:c r="D618" s="6" t="str">
        <x:v>5</x:v>
      </x:c>
      <x:c r="E618" s="6" t="str">
        <x:v>7</x:v>
      </x:c>
      <x:c r="F618" s="6" t="str">
        <x:v>7</x:v>
      </x:c>
      <x:c r="G618" s="6" t="str">
        <x:v>7</x:v>
      </x:c>
      <x:c r="H618" s="6" t="str">
        <x:v>0</x:v>
      </x:c>
      <x:c r="I618" s="6" t="str">
        <x:v>0</x:v>
      </x:c>
      <x:c r="J618" s="6" t="str">
        <x:v>0</x:v>
      </x:c>
      <x:c r="K618" s="6" t="str">
        <x:v>0</x:v>
      </x:c>
      <x:c r="L618" s="6" t="str">
        <x:v>0</x:v>
      </x:c>
      <x:c r="M618" s="6" t="str">
        <x:v>0</x:v>
      </x:c>
      <x:c r="N618" s="6" t="str">
        <x:v>0</x:v>
      </x:c>
      <x:c r="O618" s="6" t="str">
        <x:v>0</x:v>
      </x:c>
      <x:c r="P618" s="6" t="str">
        <x:v>7</x:v>
      </x:c>
      <x:c r="Q618" s="6" t="str">
        <x:v>2.0</x:v>
      </x:c>
      <x:c r="R618" s="6" t="str">
        <x:v>7</x:v>
      </x:c>
      <x:c r="S618" s="6" t="str">
        <x:v>0.0</x:v>
      </x:c>
      <x:c r="T618" s="6" t="str">
        <x:v>7</x:v>
      </x:c>
      <x:c r="U618" s="6" t="str">
        <x:v>2.0</x:v>
      </x:c>
      <x:c r="V618" s="6" t="str">
        <x:v>7</x:v>
      </x:c>
      <x:c r="W618" s="6" t="str">
        <x:v>61.0</x:v>
      </x:c>
      <x:c r="X618" s="6" t="str">
        <x:v>7</x:v>
      </x:c>
      <x:c r="Y618" s="6" t="str">
        <x:v>467.0</x:v>
      </x:c>
      <x:c r="Z618" s="6" t="str">
        <x:v>6</x:v>
      </x:c>
      <x:c r="AA618" s="6" t="str">
        <x:v>2.0</x:v>
      </x:c>
      <x:c r="AB618" s="6" t="str">
        <x:v>7</x:v>
      </x:c>
      <x:c r="AC618" s="6" t="str">
        <x:v>2025-05</x:v>
      </x:c>
      <x:c r="AD618" s="9" t="str">
        <x:v>BNPB operational disaster search table</x:v>
      </x:c>
      <x:c r="AE618" s="9" t="str">
        <x:v>https://gis.bnpb.go.id/databencana/tabel/pencarian.php</x:v>
      </x:c>
      <x:c r="AF618" s="9" t="str">
        <x:v>operational_snapshot_annual_totals_may_differ</x:v>
      </x:c>
    </x:row>
    <x:row r="619" ht="18" customHeight="1">
      <x:c r="A619" s="6" t="str">
        <x:v>72</x:v>
      </x:c>
      <x:c r="B619" s="6" t="str">
        <x:v>SULAWESI TENGAH</x:v>
      </x:c>
      <x:c r="C619" s="6" t="str">
        <x:v>2025</x:v>
      </x:c>
      <x:c r="D619" s="6" t="str">
        <x:v>6</x:v>
      </x:c>
      <x:c r="E619" s="6" t="str">
        <x:v>7</x:v>
      </x:c>
      <x:c r="F619" s="6" t="str">
        <x:v>7</x:v>
      </x:c>
      <x:c r="G619" s="6" t="str">
        <x:v>6</x:v>
      </x:c>
      <x:c r="H619" s="6" t="str">
        <x:v>1</x:v>
      </x:c>
      <x:c r="I619" s="6" t="str">
        <x:v>0</x:v>
      </x:c>
      <x:c r="J619" s="6" t="str">
        <x:v>0</x:v>
      </x:c>
      <x:c r="K619" s="6" t="str">
        <x:v>0</x:v>
      </x:c>
      <x:c r="L619" s="6" t="str">
        <x:v>0</x:v>
      </x:c>
      <x:c r="M619" s="6" t="str">
        <x:v>0</x:v>
      </x:c>
      <x:c r="N619" s="6" t="str">
        <x:v>0</x:v>
      </x:c>
      <x:c r="O619" s="6" t="str">
        <x:v>0</x:v>
      </x:c>
      <x:c r="P619" s="6" t="str">
        <x:v>7</x:v>
      </x:c>
      <x:c r="Q619" s="6" t="str">
        <x:v>7.0</x:v>
      </x:c>
      <x:c r="R619" s="6" t="str">
        <x:v>2</x:v>
      </x:c>
      <x:c r="S619" s="6" t="str">
        <x:v>0.0</x:v>
      </x:c>
      <x:c r="T619" s="6" t="str">
        <x:v>1</x:v>
      </x:c>
      <x:c r="U619" s="6" t="str">
        <x:v>0.0</x:v>
      </x:c>
      <x:c r="V619" s="6" t="str">
        <x:v>1</x:v>
      </x:c>
      <x:c r="W619" s="6" t="str">
        <x:v>8.0</x:v>
      </x:c>
      <x:c r="X619" s="6" t="str">
        <x:v>7</x:v>
      </x:c>
      <x:c r="Y619" s="6" t="str">
        <x:v>2029.0</x:v>
      </x:c>
      <x:c r="Z619" s="6" t="str">
        <x:v>5</x:v>
      </x:c>
      <x:c r="AA619" s="6" t="str">
        <x:v>2.0</x:v>
      </x:c>
      <x:c r="AB619" s="6" t="str">
        <x:v>7</x:v>
      </x:c>
      <x:c r="AC619" s="6" t="str">
        <x:v>2025-06</x:v>
      </x:c>
      <x:c r="AD619" s="9" t="str">
        <x:v>BNPB operational disaster search table</x:v>
      </x:c>
      <x:c r="AE619" s="9" t="str">
        <x:v>https://gis.bnpb.go.id/databencana/tabel/pencarian.php</x:v>
      </x:c>
      <x:c r="AF619" s="9" t="str">
        <x:v>operational_snapshot_annual_totals_may_differ</x:v>
      </x:c>
    </x:row>
    <x:row r="620" ht="18" customHeight="1">
      <x:c r="A620" s="6" t="str">
        <x:v>72</x:v>
      </x:c>
      <x:c r="B620" s="6" t="str">
        <x:v>SULAWESI TENGAH</x:v>
      </x:c>
      <x:c r="C620" s="6" t="str">
        <x:v>2025</x:v>
      </x:c>
      <x:c r="D620" s="6" t="str">
        <x:v>7</x:v>
      </x:c>
      <x:c r="E620" s="6" t="str">
        <x:v>9</x:v>
      </x:c>
      <x:c r="F620" s="6" t="str">
        <x:v>9</x:v>
      </x:c>
      <x:c r="G620" s="6" t="str">
        <x:v>5</x:v>
      </x:c>
      <x:c r="H620" s="6" t="str">
        <x:v>0</x:v>
      </x:c>
      <x:c r="I620" s="6" t="str">
        <x:v>2</x:v>
      </x:c>
      <x:c r="J620" s="6" t="str">
        <x:v>0</x:v>
      </x:c>
      <x:c r="K620" s="6" t="str">
        <x:v>0</x:v>
      </x:c>
      <x:c r="L620" s="6" t="str">
        <x:v>0</x:v>
      </x:c>
      <x:c r="M620" s="6" t="str">
        <x:v>2</x:v>
      </x:c>
      <x:c r="N620" s="6" t="str">
        <x:v>0</x:v>
      </x:c>
      <x:c r="O620" s="6" t="str">
        <x:v>0</x:v>
      </x:c>
      <x:c r="P620" s="6" t="str">
        <x:v>7</x:v>
      </x:c>
      <x:c r="Q620" s="6" t="str">
        <x:v>1.0</x:v>
      </x:c>
      <x:c r="R620" s="6" t="str">
        <x:v>1</x:v>
      </x:c>
      <x:c r="S620" s="6" t="str"/>
      <x:c r="T620" s="6" t="str">
        <x:v>0</x:v>
      </x:c>
      <x:c r="U620" s="6" t="str">
        <x:v>7.0</x:v>
      </x:c>
      <x:c r="V620" s="6" t="str">
        <x:v>2</x:v>
      </x:c>
      <x:c r="W620" s="6" t="str">
        <x:v>610.0</x:v>
      </x:c>
      <x:c r="X620" s="6" t="str">
        <x:v>9</x:v>
      </x:c>
      <x:c r="Y620" s="6" t="str">
        <x:v>1158.0</x:v>
      </x:c>
      <x:c r="Z620" s="6" t="str">
        <x:v>5</x:v>
      </x:c>
      <x:c r="AA620" s="6" t="str">
        <x:v>43.0</x:v>
      </x:c>
      <x:c r="AB620" s="6" t="str">
        <x:v>9</x:v>
      </x:c>
      <x:c r="AC620" s="6" t="str">
        <x:v>2025-07</x:v>
      </x:c>
      <x:c r="AD620" s="9" t="str">
        <x:v>BNPB operational disaster search table</x:v>
      </x:c>
      <x:c r="AE620" s="9" t="str">
        <x:v>https://gis.bnpb.go.id/databencana/tabel/pencarian.php</x:v>
      </x:c>
      <x:c r="AF620" s="9" t="str">
        <x:v>operational_snapshot_annual_totals_may_differ</x:v>
      </x:c>
    </x:row>
    <x:row r="621" ht="18" customHeight="1">
      <x:c r="A621" s="6" t="str">
        <x:v>72</x:v>
      </x:c>
      <x:c r="B621" s="6" t="str">
        <x:v>SULAWESI TENGAH</x:v>
      </x:c>
      <x:c r="C621" s="6" t="str">
        <x:v>2025</x:v>
      </x:c>
      <x:c r="D621" s="6" t="str">
        <x:v>8</x:v>
      </x:c>
      <x:c r="E621" s="6" t="str">
        <x:v>10</x:v>
      </x:c>
      <x:c r="F621" s="6" t="str">
        <x:v>10</x:v>
      </x:c>
      <x:c r="G621" s="6" t="str">
        <x:v>9</x:v>
      </x:c>
      <x:c r="H621" s="6" t="str">
        <x:v>0</x:v>
      </x:c>
      <x:c r="I621" s="6" t="str">
        <x:v>0</x:v>
      </x:c>
      <x:c r="J621" s="6" t="str">
        <x:v>0</x:v>
      </x:c>
      <x:c r="K621" s="6" t="str">
        <x:v>0</x:v>
      </x:c>
      <x:c r="L621" s="6" t="str">
        <x:v>0</x:v>
      </x:c>
      <x:c r="M621" s="6" t="str">
        <x:v>1</x:v>
      </x:c>
      <x:c r="N621" s="6" t="str">
        <x:v>0</x:v>
      </x:c>
      <x:c r="O621" s="6" t="str">
        <x:v>0</x:v>
      </x:c>
      <x:c r="P621" s="6" t="str">
        <x:v>9</x:v>
      </x:c>
      <x:c r="Q621" s="6" t="str">
        <x:v>2.0</x:v>
      </x:c>
      <x:c r="R621" s="6" t="str">
        <x:v>1</x:v>
      </x:c>
      <x:c r="S621" s="6" t="str"/>
      <x:c r="T621" s="6" t="str">
        <x:v>0</x:v>
      </x:c>
      <x:c r="U621" s="6" t="str">
        <x:v>46.0</x:v>
      </x:c>
      <x:c r="V621" s="6" t="str">
        <x:v>1</x:v>
      </x:c>
      <x:c r="W621" s="6" t="str">
        <x:v>365.0</x:v>
      </x:c>
      <x:c r="X621" s="6" t="str">
        <x:v>10</x:v>
      </x:c>
      <x:c r="Y621" s="6" t="str">
        <x:v>814.0</x:v>
      </x:c>
      <x:c r="Z621" s="6" t="str">
        <x:v>7</x:v>
      </x:c>
      <x:c r="AA621" s="6" t="str">
        <x:v>78.0</x:v>
      </x:c>
      <x:c r="AB621" s="6" t="str">
        <x:v>10</x:v>
      </x:c>
      <x:c r="AC621" s="6" t="str">
        <x:v>2025-08</x:v>
      </x:c>
      <x:c r="AD621" s="9" t="str">
        <x:v>BNPB operational disaster search table</x:v>
      </x:c>
      <x:c r="AE621" s="9" t="str">
        <x:v>https://gis.bnpb.go.id/databencana/tabel/pencarian.php</x:v>
      </x:c>
      <x:c r="AF621" s="9" t="str">
        <x:v>operational_snapshot_annual_totals_may_differ</x:v>
      </x:c>
    </x:row>
    <x:row r="622" ht="18" customHeight="1">
      <x:c r="A622" s="6" t="str">
        <x:v>72</x:v>
      </x:c>
      <x:c r="B622" s="6" t="str">
        <x:v>SULAWESI TENGAH</x:v>
      </x:c>
      <x:c r="C622" s="6" t="str">
        <x:v>2025</x:v>
      </x:c>
      <x:c r="D622" s="6" t="str">
        <x:v>9</x:v>
      </x:c>
      <x:c r="E622" s="6" t="str">
        <x:v>11</x:v>
      </x:c>
      <x:c r="F622" s="6" t="str">
        <x:v>11</x:v>
      </x:c>
      <x:c r="G622" s="6" t="str">
        <x:v>9</x:v>
      </x:c>
      <x:c r="H622" s="6" t="str">
        <x:v>0</x:v>
      </x:c>
      <x:c r="I622" s="6" t="str">
        <x:v>2</x:v>
      </x:c>
      <x:c r="J622" s="6" t="str">
        <x:v>0</x:v>
      </x:c>
      <x:c r="K622" s="6" t="str">
        <x:v>0</x:v>
      </x:c>
      <x:c r="L622" s="6" t="str">
        <x:v>0</x:v>
      </x:c>
      <x:c r="M622" s="6" t="str">
        <x:v>0</x:v>
      </x:c>
      <x:c r="N622" s="6" t="str">
        <x:v>0</x:v>
      </x:c>
      <x:c r="O622" s="6" t="str">
        <x:v>0</x:v>
      </x:c>
      <x:c r="P622" s="6" t="str">
        <x:v>11</x:v>
      </x:c>
      <x:c r="Q622" s="6" t="str"/>
      <x:c r="R622" s="6" t="str">
        <x:v>0</x:v>
      </x:c>
      <x:c r="S622" s="6" t="str"/>
      <x:c r="T622" s="6" t="str">
        <x:v>0</x:v>
      </x:c>
      <x:c r="U622" s="6" t="str"/>
      <x:c r="V622" s="6" t="str">
        <x:v>0</x:v>
      </x:c>
      <x:c r="W622" s="6" t="str">
        <x:v>12.0</x:v>
      </x:c>
      <x:c r="X622" s="6" t="str">
        <x:v>11</x:v>
      </x:c>
      <x:c r="Y622" s="6" t="str">
        <x:v>702.0</x:v>
      </x:c>
      <x:c r="Z622" s="6" t="str">
        <x:v>9</x:v>
      </x:c>
      <x:c r="AA622" s="6" t="str">
        <x:v>1.0</x:v>
      </x:c>
      <x:c r="AB622" s="6" t="str">
        <x:v>11</x:v>
      </x:c>
      <x:c r="AC622" s="6" t="str">
        <x:v>2025-09</x:v>
      </x:c>
      <x:c r="AD622" s="9" t="str">
        <x:v>BNPB operational disaster search table</x:v>
      </x:c>
      <x:c r="AE622" s="9" t="str">
        <x:v>https://gis.bnpb.go.id/databencana/tabel/pencarian.php</x:v>
      </x:c>
      <x:c r="AF622" s="9" t="str">
        <x:v>operational_snapshot_annual_totals_may_differ</x:v>
      </x:c>
    </x:row>
    <x:row r="623" ht="18" customHeight="1">
      <x:c r="A623" s="6" t="str">
        <x:v>72</x:v>
      </x:c>
      <x:c r="B623" s="6" t="str">
        <x:v>SULAWESI TENGAH</x:v>
      </x:c>
      <x:c r="C623" s="6" t="str">
        <x:v>2025</x:v>
      </x:c>
      <x:c r="D623" s="6" t="str">
        <x:v>10</x:v>
      </x:c>
      <x:c r="E623" s="6" t="str">
        <x:v>8</x:v>
      </x:c>
      <x:c r="F623" s="6" t="str">
        <x:v>8</x:v>
      </x:c>
      <x:c r="G623" s="6" t="str">
        <x:v>6</x:v>
      </x:c>
      <x:c r="H623" s="6" t="str">
        <x:v>1</x:v>
      </x:c>
      <x:c r="I623" s="6" t="str">
        <x:v>0</x:v>
      </x:c>
      <x:c r="J623" s="6" t="str">
        <x:v>0</x:v>
      </x:c>
      <x:c r="K623" s="6" t="str">
        <x:v>1</x:v>
      </x:c>
      <x:c r="L623" s="6" t="str">
        <x:v>0</x:v>
      </x:c>
      <x:c r="M623" s="6" t="str">
        <x:v>0</x:v>
      </x:c>
      <x:c r="N623" s="6" t="str">
        <x:v>0</x:v>
      </x:c>
      <x:c r="O623" s="6" t="str">
        <x:v>0</x:v>
      </x:c>
      <x:c r="P623" s="6" t="str">
        <x:v>8</x:v>
      </x:c>
      <x:c r="Q623" s="6" t="str"/>
      <x:c r="R623" s="6" t="str">
        <x:v>0</x:v>
      </x:c>
      <x:c r="S623" s="6" t="str"/>
      <x:c r="T623" s="6" t="str">
        <x:v>0</x:v>
      </x:c>
      <x:c r="U623" s="6" t="str"/>
      <x:c r="V623" s="6" t="str">
        <x:v>0</x:v>
      </x:c>
      <x:c r="W623" s="6" t="str">
        <x:v>4.0</x:v>
      </x:c>
      <x:c r="X623" s="6" t="str">
        <x:v>8</x:v>
      </x:c>
      <x:c r="Y623" s="6" t="str">
        <x:v>2757.0</x:v>
      </x:c>
      <x:c r="Z623" s="6" t="str">
        <x:v>7</x:v>
      </x:c>
      <x:c r="AA623" s="6" t="str">
        <x:v>1.0</x:v>
      </x:c>
      <x:c r="AB623" s="6" t="str">
        <x:v>8</x:v>
      </x:c>
      <x:c r="AC623" s="6" t="str">
        <x:v>2025-10</x:v>
      </x:c>
      <x:c r="AD623" s="9" t="str">
        <x:v>BNPB operational disaster search table</x:v>
      </x:c>
      <x:c r="AE623" s="9" t="str">
        <x:v>https://gis.bnpb.go.id/databencana/tabel/pencarian.php</x:v>
      </x:c>
      <x:c r="AF623" s="9" t="str">
        <x:v>operational_snapshot_annual_totals_may_differ</x:v>
      </x:c>
    </x:row>
    <x:row r="624" ht="18" customHeight="1">
      <x:c r="A624" s="6" t="str">
        <x:v>72</x:v>
      </x:c>
      <x:c r="B624" s="6" t="str">
        <x:v>SULAWESI TENGAH</x:v>
      </x:c>
      <x:c r="C624" s="6" t="str">
        <x:v>2025</x:v>
      </x:c>
      <x:c r="D624" s="6" t="str">
        <x:v>11</x:v>
      </x:c>
      <x:c r="E624" s="6" t="str">
        <x:v>11</x:v>
      </x:c>
      <x:c r="F624" s="6" t="str">
        <x:v>11</x:v>
      </x:c>
      <x:c r="G624" s="6" t="str">
        <x:v>8</x:v>
      </x:c>
      <x:c r="H624" s="6" t="str">
        <x:v>0</x:v>
      </x:c>
      <x:c r="I624" s="6" t="str">
        <x:v>2</x:v>
      </x:c>
      <x:c r="J624" s="6" t="str">
        <x:v>0</x:v>
      </x:c>
      <x:c r="K624" s="6" t="str">
        <x:v>0</x:v>
      </x:c>
      <x:c r="L624" s="6" t="str">
        <x:v>1</x:v>
      </x:c>
      <x:c r="M624" s="6" t="str">
        <x:v>0</x:v>
      </x:c>
      <x:c r="N624" s="6" t="str">
        <x:v>0</x:v>
      </x:c>
      <x:c r="O624" s="6" t="str">
        <x:v>0</x:v>
      </x:c>
      <x:c r="P624" s="6" t="str">
        <x:v>11</x:v>
      </x:c>
      <x:c r="Q624" s="6" t="str">
        <x:v>1.0</x:v>
      </x:c>
      <x:c r="R624" s="6" t="str">
        <x:v>1</x:v>
      </x:c>
      <x:c r="S624" s="6" t="str"/>
      <x:c r="T624" s="6" t="str">
        <x:v>0</x:v>
      </x:c>
      <x:c r="U624" s="6" t="str"/>
      <x:c r="V624" s="6" t="str">
        <x:v>0</x:v>
      </x:c>
      <x:c r="W624" s="6" t="str">
        <x:v>9.0</x:v>
      </x:c>
      <x:c r="X624" s="6" t="str">
        <x:v>11</x:v>
      </x:c>
      <x:c r="Y624" s="6" t="str">
        <x:v>381.0</x:v>
      </x:c>
      <x:c r="Z624" s="6" t="str">
        <x:v>9</x:v>
      </x:c>
      <x:c r="AA624" s="6" t="str">
        <x:v>0.0</x:v>
      </x:c>
      <x:c r="AB624" s="6" t="str">
        <x:v>11</x:v>
      </x:c>
      <x:c r="AC624" s="6" t="str">
        <x:v>2025-11</x:v>
      </x:c>
      <x:c r="AD624" s="9" t="str">
        <x:v>BNPB operational disaster search table</x:v>
      </x:c>
      <x:c r="AE624" s="9" t="str">
        <x:v>https://gis.bnpb.go.id/databencana/tabel/pencarian.php</x:v>
      </x:c>
      <x:c r="AF624" s="9" t="str">
        <x:v>operational_snapshot_annual_totals_may_differ</x:v>
      </x:c>
    </x:row>
    <x:row r="625" ht="18" customHeight="1">
      <x:c r="A625" s="6" t="str">
        <x:v>72</x:v>
      </x:c>
      <x:c r="B625" s="6" t="str">
        <x:v>SULAWESI TENGAH</x:v>
      </x:c>
      <x:c r="C625" s="6" t="str">
        <x:v>2025</x:v>
      </x:c>
      <x:c r="D625" s="6" t="str">
        <x:v>12</x:v>
      </x:c>
      <x:c r="E625" s="6" t="str">
        <x:v>4</x:v>
      </x:c>
      <x:c r="F625" s="6" t="str">
        <x:v>4</x:v>
      </x:c>
      <x:c r="G625" s="6" t="str">
        <x:v>3</x:v>
      </x:c>
      <x:c r="H625" s="6" t="str">
        <x:v>0</x:v>
      </x:c>
      <x:c r="I625" s="6" t="str">
        <x:v>1</x:v>
      </x:c>
      <x:c r="J625" s="6" t="str">
        <x:v>0</x:v>
      </x:c>
      <x:c r="K625" s="6" t="str">
        <x:v>0</x:v>
      </x:c>
      <x:c r="L625" s="6" t="str">
        <x:v>0</x:v>
      </x:c>
      <x:c r="M625" s="6" t="str">
        <x:v>0</x:v>
      </x:c>
      <x:c r="N625" s="6" t="str">
        <x:v>0</x:v>
      </x:c>
      <x:c r="O625" s="6" t="str">
        <x:v>0</x:v>
      </x:c>
      <x:c r="P625" s="6" t="str">
        <x:v>4</x:v>
      </x:c>
      <x:c r="Q625" s="6" t="str"/>
      <x:c r="R625" s="6" t="str">
        <x:v>0</x:v>
      </x:c>
      <x:c r="S625" s="6" t="str"/>
      <x:c r="T625" s="6" t="str">
        <x:v>0</x:v>
      </x:c>
      <x:c r="U625" s="6" t="str"/>
      <x:c r="V625" s="6" t="str">
        <x:v>0</x:v>
      </x:c>
      <x:c r="W625" s="6" t="str">
        <x:v>36.0</x:v>
      </x:c>
      <x:c r="X625" s="6" t="str">
        <x:v>4</x:v>
      </x:c>
      <x:c r="Y625" s="6" t="str">
        <x:v>72.0</x:v>
      </x:c>
      <x:c r="Z625" s="6" t="str">
        <x:v>2</x:v>
      </x:c>
      <x:c r="AA625" s="6" t="str">
        <x:v>0.0</x:v>
      </x:c>
      <x:c r="AB625" s="6" t="str">
        <x:v>4</x:v>
      </x:c>
      <x:c r="AC625" s="6" t="str">
        <x:v>2025-12</x:v>
      </x:c>
      <x:c r="AD625" s="9" t="str">
        <x:v>BNPB operational disaster search table</x:v>
      </x:c>
      <x:c r="AE625" s="9" t="str">
        <x:v>https://gis.bnpb.go.id/databencana/tabel/pencarian.php</x:v>
      </x:c>
      <x:c r="AF625" s="9" t="str">
        <x:v>operational_snapshot_annual_totals_may_differ</x:v>
      </x:c>
    </x:row>
    <x:row r="626" ht="18" customHeight="1">
      <x:c r="A626" s="6" t="str">
        <x:v>73</x:v>
      </x:c>
      <x:c r="B626" s="6" t="str">
        <x:v>SULAWESI SELATAN</x:v>
      </x:c>
      <x:c r="C626" s="6" t="str">
        <x:v>2024</x:v>
      </x:c>
      <x:c r="D626" s="6" t="str">
        <x:v>1</x:v>
      </x:c>
      <x:c r="E626" s="6" t="str">
        <x:v>12</x:v>
      </x:c>
      <x:c r="F626" s="6" t="str">
        <x:v>12</x:v>
      </x:c>
      <x:c r="G626" s="6" t="str">
        <x:v>5</x:v>
      </x:c>
      <x:c r="H626" s="6" t="str">
        <x:v>2</x:v>
      </x:c>
      <x:c r="I626" s="6" t="str">
        <x:v>4</x:v>
      </x:c>
      <x:c r="J626" s="6" t="str">
        <x:v>0</x:v>
      </x:c>
      <x:c r="K626" s="6" t="str">
        <x:v>0</x:v>
      </x:c>
      <x:c r="L626" s="6" t="str">
        <x:v>1</x:v>
      </x:c>
      <x:c r="M626" s="6" t="str">
        <x:v>0</x:v>
      </x:c>
      <x:c r="N626" s="6" t="str">
        <x:v>0</x:v>
      </x:c>
      <x:c r="O626" s="6" t="str">
        <x:v>0</x:v>
      </x:c>
      <x:c r="P626" s="6" t="str">
        <x:v>12</x:v>
      </x:c>
      <x:c r="Q626" s="6" t="str">
        <x:v>0.0</x:v>
      </x:c>
      <x:c r="R626" s="6" t="str">
        <x:v>12</x:v>
      </x:c>
      <x:c r="S626" s="6" t="str">
        <x:v>0.0</x:v>
      </x:c>
      <x:c r="T626" s="6" t="str">
        <x:v>12</x:v>
      </x:c>
      <x:c r="U626" s="6" t="str">
        <x:v>0.0</x:v>
      </x:c>
      <x:c r="V626" s="6" t="str">
        <x:v>12</x:v>
      </x:c>
      <x:c r="W626" s="6" t="str">
        <x:v>43.0</x:v>
      </x:c>
      <x:c r="X626" s="6" t="str">
        <x:v>12</x:v>
      </x:c>
      <x:c r="Y626" s="6" t="str">
        <x:v>350.0</x:v>
      </x:c>
      <x:c r="Z626" s="6" t="str">
        <x:v>4</x:v>
      </x:c>
      <x:c r="AA626" s="6" t="str">
        <x:v>0.0</x:v>
      </x:c>
      <x:c r="AB626" s="6" t="str">
        <x:v>12</x:v>
      </x:c>
      <x:c r="AC626" s="6" t="str">
        <x:v>2024-01</x:v>
      </x:c>
      <x:c r="AD626" s="9" t="str">
        <x:v>BNPB operational disaster search table</x:v>
      </x:c>
      <x:c r="AE626" s="9" t="str">
        <x:v>https://gis.bnpb.go.id/databencana/tabel/pencarian.php</x:v>
      </x:c>
      <x:c r="AF626" s="9" t="str">
        <x:v>operational_snapshot_annual_totals_may_differ</x:v>
      </x:c>
    </x:row>
    <x:row r="627" ht="18" customHeight="1">
      <x:c r="A627" s="6" t="str">
        <x:v>73</x:v>
      </x:c>
      <x:c r="B627" s="6" t="str">
        <x:v>SULAWESI SELATAN</x:v>
      </x:c>
      <x:c r="C627" s="6" t="str">
        <x:v>2024</x:v>
      </x:c>
      <x:c r="D627" s="6" t="str">
        <x:v>2</x:v>
      </x:c>
      <x:c r="E627" s="6" t="str">
        <x:v>14</x:v>
      </x:c>
      <x:c r="F627" s="6" t="str">
        <x:v>14</x:v>
      </x:c>
      <x:c r="G627" s="6" t="str">
        <x:v>2</x:v>
      </x:c>
      <x:c r="H627" s="6" t="str">
        <x:v>1</x:v>
      </x:c>
      <x:c r="I627" s="6" t="str">
        <x:v>11</x:v>
      </x:c>
      <x:c r="J627" s="6" t="str">
        <x:v>0</x:v>
      </x:c>
      <x:c r="K627" s="6" t="str">
        <x:v>0</x:v>
      </x:c>
      <x:c r="L627" s="6" t="str">
        <x:v>0</x:v>
      </x:c>
      <x:c r="M627" s="6" t="str">
        <x:v>0</x:v>
      </x:c>
      <x:c r="N627" s="6" t="str">
        <x:v>0</x:v>
      </x:c>
      <x:c r="O627" s="6" t="str">
        <x:v>0</x:v>
      </x:c>
      <x:c r="P627" s="6" t="str">
        <x:v>14</x:v>
      </x:c>
      <x:c r="Q627" s="6" t="str">
        <x:v>5.0</x:v>
      </x:c>
      <x:c r="R627" s="6" t="str">
        <x:v>14</x:v>
      </x:c>
      <x:c r="S627" s="6" t="str">
        <x:v>0.0</x:v>
      </x:c>
      <x:c r="T627" s="6" t="str">
        <x:v>14</x:v>
      </x:c>
      <x:c r="U627" s="6" t="str">
        <x:v>8.0</x:v>
      </x:c>
      <x:c r="V627" s="6" t="str">
        <x:v>14</x:v>
      </x:c>
      <x:c r="W627" s="6" t="str">
        <x:v>126.0</x:v>
      </x:c>
      <x:c r="X627" s="6" t="str">
        <x:v>14</x:v>
      </x:c>
      <x:c r="Y627" s="6" t="str">
        <x:v>307.0</x:v>
      </x:c>
      <x:c r="Z627" s="6" t="str">
        <x:v>2</x:v>
      </x:c>
      <x:c r="AA627" s="6" t="str">
        <x:v>0.0</x:v>
      </x:c>
      <x:c r="AB627" s="6" t="str">
        <x:v>14</x:v>
      </x:c>
      <x:c r="AC627" s="6" t="str">
        <x:v>2024-02</x:v>
      </x:c>
      <x:c r="AD627" s="9" t="str">
        <x:v>BNPB operational disaster search table</x:v>
      </x:c>
      <x:c r="AE627" s="9" t="str">
        <x:v>https://gis.bnpb.go.id/databencana/tabel/pencarian.php</x:v>
      </x:c>
      <x:c r="AF627" s="9" t="str">
        <x:v>operational_snapshot_annual_totals_may_differ</x:v>
      </x:c>
    </x:row>
    <x:row r="628" ht="18" customHeight="1">
      <x:c r="A628" s="6" t="str">
        <x:v>73</x:v>
      </x:c>
      <x:c r="B628" s="6" t="str">
        <x:v>SULAWESI SELATAN</x:v>
      </x:c>
      <x:c r="C628" s="6" t="str">
        <x:v>2024</x:v>
      </x:c>
      <x:c r="D628" s="6" t="str">
        <x:v>3</x:v>
      </x:c>
      <x:c r="E628" s="6" t="str">
        <x:v>14</x:v>
      </x:c>
      <x:c r="F628" s="6" t="str">
        <x:v>14</x:v>
      </x:c>
      <x:c r="G628" s="6" t="str">
        <x:v>11</x:v>
      </x:c>
      <x:c r="H628" s="6" t="str">
        <x:v>0</x:v>
      </x:c>
      <x:c r="I628" s="6" t="str">
        <x:v>3</x:v>
      </x:c>
      <x:c r="J628" s="6" t="str">
        <x:v>0</x:v>
      </x:c>
      <x:c r="K628" s="6" t="str">
        <x:v>0</x:v>
      </x:c>
      <x:c r="L628" s="6" t="str">
        <x:v>0</x:v>
      </x:c>
      <x:c r="M628" s="6" t="str">
        <x:v>0</x:v>
      </x:c>
      <x:c r="N628" s="6" t="str">
        <x:v>0</x:v>
      </x:c>
      <x:c r="O628" s="6" t="str">
        <x:v>0</x:v>
      </x:c>
      <x:c r="P628" s="6" t="str">
        <x:v>14</x:v>
      </x:c>
      <x:c r="Q628" s="6" t="str">
        <x:v>0.0</x:v>
      </x:c>
      <x:c r="R628" s="6" t="str">
        <x:v>14</x:v>
      </x:c>
      <x:c r="S628" s="6" t="str">
        <x:v>0.0</x:v>
      </x:c>
      <x:c r="T628" s="6" t="str">
        <x:v>14</x:v>
      </x:c>
      <x:c r="U628" s="6" t="str">
        <x:v>0.0</x:v>
      </x:c>
      <x:c r="V628" s="6" t="str">
        <x:v>14</x:v>
      </x:c>
      <x:c r="W628" s="6" t="str">
        <x:v>43.0</x:v>
      </x:c>
      <x:c r="X628" s="6" t="str">
        <x:v>14</x:v>
      </x:c>
      <x:c r="Y628" s="6" t="str">
        <x:v>4413.0</x:v>
      </x:c>
      <x:c r="Z628" s="6" t="str">
        <x:v>10</x:v>
      </x:c>
      <x:c r="AA628" s="6" t="str">
        <x:v>0.0</x:v>
      </x:c>
      <x:c r="AB628" s="6" t="str">
        <x:v>14</x:v>
      </x:c>
      <x:c r="AC628" s="6" t="str">
        <x:v>2024-03</x:v>
      </x:c>
      <x:c r="AD628" s="9" t="str">
        <x:v>BNPB operational disaster search table</x:v>
      </x:c>
      <x:c r="AE628" s="9" t="str">
        <x:v>https://gis.bnpb.go.id/databencana/tabel/pencarian.php</x:v>
      </x:c>
      <x:c r="AF628" s="9" t="str">
        <x:v>operational_snapshot_annual_totals_may_differ</x:v>
      </x:c>
    </x:row>
    <x:row r="629" ht="18" customHeight="1">
      <x:c r="A629" s="6" t="str">
        <x:v>73</x:v>
      </x:c>
      <x:c r="B629" s="6" t="str">
        <x:v>SULAWESI SELATAN</x:v>
      </x:c>
      <x:c r="C629" s="6" t="str">
        <x:v>2024</x:v>
      </x:c>
      <x:c r="D629" s="6" t="str">
        <x:v>4</x:v>
      </x:c>
      <x:c r="E629" s="6" t="str">
        <x:v>29</x:v>
      </x:c>
      <x:c r="F629" s="6" t="str">
        <x:v>29</x:v>
      </x:c>
      <x:c r="G629" s="6" t="str">
        <x:v>24</x:v>
      </x:c>
      <x:c r="H629" s="6" t="str">
        <x:v>5</x:v>
      </x:c>
      <x:c r="I629" s="6" t="str">
        <x:v>0</x:v>
      </x:c>
      <x:c r="J629" s="6" t="str">
        <x:v>0</x:v>
      </x:c>
      <x:c r="K629" s="6" t="str">
        <x:v>0</x:v>
      </x:c>
      <x:c r="L629" s="6" t="str">
        <x:v>0</x:v>
      </x:c>
      <x:c r="M629" s="6" t="str">
        <x:v>0</x:v>
      </x:c>
      <x:c r="N629" s="6" t="str">
        <x:v>0</x:v>
      </x:c>
      <x:c r="O629" s="6" t="str">
        <x:v>0</x:v>
      </x:c>
      <x:c r="P629" s="6" t="str">
        <x:v>29</x:v>
      </x:c>
      <x:c r="Q629" s="6" t="str">
        <x:v>23.0</x:v>
      </x:c>
      <x:c r="R629" s="6" t="str">
        <x:v>29</x:v>
      </x:c>
      <x:c r="S629" s="6" t="str">
        <x:v>0.0</x:v>
      </x:c>
      <x:c r="T629" s="6" t="str">
        <x:v>29</x:v>
      </x:c>
      <x:c r="U629" s="6" t="str">
        <x:v>8.0</x:v>
      </x:c>
      <x:c r="V629" s="6" t="str">
        <x:v>29</x:v>
      </x:c>
      <x:c r="W629" s="6" t="str">
        <x:v>49.0</x:v>
      </x:c>
      <x:c r="X629" s="6" t="str">
        <x:v>29</x:v>
      </x:c>
      <x:c r="Y629" s="6" t="str">
        <x:v>25425.0</x:v>
      </x:c>
      <x:c r="Z629" s="6" t="str">
        <x:v>22</x:v>
      </x:c>
      <x:c r="AA629" s="6" t="str">
        <x:v>11.0</x:v>
      </x:c>
      <x:c r="AB629" s="6" t="str">
        <x:v>29</x:v>
      </x:c>
      <x:c r="AC629" s="6" t="str">
        <x:v>2024-04</x:v>
      </x:c>
      <x:c r="AD629" s="9" t="str">
        <x:v>BNPB operational disaster search table</x:v>
      </x:c>
      <x:c r="AE629" s="9" t="str">
        <x:v>https://gis.bnpb.go.id/databencana/tabel/pencarian.php</x:v>
      </x:c>
      <x:c r="AF629" s="9" t="str">
        <x:v>operational_snapshot_annual_totals_may_differ</x:v>
      </x:c>
    </x:row>
    <x:row r="630" ht="18" customHeight="1">
      <x:c r="A630" s="6" t="str">
        <x:v>73</x:v>
      </x:c>
      <x:c r="B630" s="6" t="str">
        <x:v>SULAWESI SELATAN</x:v>
      </x:c>
      <x:c r="C630" s="6" t="str">
        <x:v>2024</x:v>
      </x:c>
      <x:c r="D630" s="6" t="str">
        <x:v>5</x:v>
      </x:c>
      <x:c r="E630" s="6" t="str">
        <x:v>17</x:v>
      </x:c>
      <x:c r="F630" s="6" t="str">
        <x:v>17</x:v>
      </x:c>
      <x:c r="G630" s="6" t="str">
        <x:v>15</x:v>
      </x:c>
      <x:c r="H630" s="6" t="str">
        <x:v>2</x:v>
      </x:c>
      <x:c r="I630" s="6" t="str">
        <x:v>0</x:v>
      </x:c>
      <x:c r="J630" s="6" t="str">
        <x:v>0</x:v>
      </x:c>
      <x:c r="K630" s="6" t="str">
        <x:v>0</x:v>
      </x:c>
      <x:c r="L630" s="6" t="str">
        <x:v>0</x:v>
      </x:c>
      <x:c r="M630" s="6" t="str">
        <x:v>0</x:v>
      </x:c>
      <x:c r="N630" s="6" t="str">
        <x:v>0</x:v>
      </x:c>
      <x:c r="O630" s="6" t="str">
        <x:v>0</x:v>
      </x:c>
      <x:c r="P630" s="6" t="str">
        <x:v>17</x:v>
      </x:c>
      <x:c r="Q630" s="6" t="str">
        <x:v>16.0</x:v>
      </x:c>
      <x:c r="R630" s="6" t="str">
        <x:v>17</x:v>
      </x:c>
      <x:c r="S630" s="6" t="str">
        <x:v>0.0</x:v>
      </x:c>
      <x:c r="T630" s="6" t="str">
        <x:v>17</x:v>
      </x:c>
      <x:c r="U630" s="6" t="str">
        <x:v>63.0</x:v>
      </x:c>
      <x:c r="V630" s="6" t="str">
        <x:v>17</x:v>
      </x:c>
      <x:c r="W630" s="6" t="str">
        <x:v>381.0</x:v>
      </x:c>
      <x:c r="X630" s="6" t="str">
        <x:v>17</x:v>
      </x:c>
      <x:c r="Y630" s="6" t="str">
        <x:v>21667.0</x:v>
      </x:c>
      <x:c r="Z630" s="6" t="str">
        <x:v>15</x:v>
      </x:c>
      <x:c r="AA630" s="6" t="str">
        <x:v>10.0</x:v>
      </x:c>
      <x:c r="AB630" s="6" t="str">
        <x:v>17</x:v>
      </x:c>
      <x:c r="AC630" s="6" t="str">
        <x:v>2024-05</x:v>
      </x:c>
      <x:c r="AD630" s="9" t="str">
        <x:v>BNPB operational disaster search table</x:v>
      </x:c>
      <x:c r="AE630" s="9" t="str">
        <x:v>https://gis.bnpb.go.id/databencana/tabel/pencarian.php</x:v>
      </x:c>
      <x:c r="AF630" s="9" t="str">
        <x:v>operational_snapshot_annual_totals_may_differ</x:v>
      </x:c>
    </x:row>
    <x:row r="631" ht="18" customHeight="1">
      <x:c r="A631" s="6" t="str">
        <x:v>73</x:v>
      </x:c>
      <x:c r="B631" s="6" t="str">
        <x:v>SULAWESI SELATAN</x:v>
      </x:c>
      <x:c r="C631" s="6" t="str">
        <x:v>2024</x:v>
      </x:c>
      <x:c r="D631" s="6" t="str">
        <x:v>6</x:v>
      </x:c>
      <x:c r="E631" s="6" t="str">
        <x:v>11</x:v>
      </x:c>
      <x:c r="F631" s="6" t="str">
        <x:v>11</x:v>
      </x:c>
      <x:c r="G631" s="6" t="str">
        <x:v>11</x:v>
      </x:c>
      <x:c r="H631" s="6" t="str">
        <x:v>0</x:v>
      </x:c>
      <x:c r="I631" s="6" t="str">
        <x:v>0</x:v>
      </x:c>
      <x:c r="J631" s="6" t="str">
        <x:v>0</x:v>
      </x:c>
      <x:c r="K631" s="6" t="str">
        <x:v>0</x:v>
      </x:c>
      <x:c r="L631" s="6" t="str">
        <x:v>0</x:v>
      </x:c>
      <x:c r="M631" s="6" t="str">
        <x:v>0</x:v>
      </x:c>
      <x:c r="N631" s="6" t="str">
        <x:v>0</x:v>
      </x:c>
      <x:c r="O631" s="6" t="str">
        <x:v>0</x:v>
      </x:c>
      <x:c r="P631" s="6" t="str">
        <x:v>11</x:v>
      </x:c>
      <x:c r="Q631" s="6" t="str">
        <x:v>0.0</x:v>
      </x:c>
      <x:c r="R631" s="6" t="str">
        <x:v>11</x:v>
      </x:c>
      <x:c r="S631" s="6" t="str">
        <x:v>0.0</x:v>
      </x:c>
      <x:c r="T631" s="6" t="str">
        <x:v>11</x:v>
      </x:c>
      <x:c r="U631" s="6" t="str">
        <x:v>0.0</x:v>
      </x:c>
      <x:c r="V631" s="6" t="str">
        <x:v>11</x:v>
      </x:c>
      <x:c r="W631" s="6" t="str">
        <x:v>0.0</x:v>
      </x:c>
      <x:c r="X631" s="6" t="str">
        <x:v>11</x:v>
      </x:c>
      <x:c r="Y631" s="6" t="str">
        <x:v>1496.0</x:v>
      </x:c>
      <x:c r="Z631" s="6" t="str">
        <x:v>10</x:v>
      </x:c>
      <x:c r="AA631" s="6" t="str">
        <x:v>0.0</x:v>
      </x:c>
      <x:c r="AB631" s="6" t="str">
        <x:v>11</x:v>
      </x:c>
      <x:c r="AC631" s="6" t="str">
        <x:v>2024-06</x:v>
      </x:c>
      <x:c r="AD631" s="9" t="str">
        <x:v>BNPB operational disaster search table</x:v>
      </x:c>
      <x:c r="AE631" s="9" t="str">
        <x:v>https://gis.bnpb.go.id/databencana/tabel/pencarian.php</x:v>
      </x:c>
      <x:c r="AF631" s="9" t="str">
        <x:v>operational_snapshot_annual_totals_may_differ</x:v>
      </x:c>
    </x:row>
    <x:row r="632" ht="18" customHeight="1">
      <x:c r="A632" s="6" t="str">
        <x:v>73</x:v>
      </x:c>
      <x:c r="B632" s="6" t="str">
        <x:v>SULAWESI SELATAN</x:v>
      </x:c>
      <x:c r="C632" s="6" t="str">
        <x:v>2024</x:v>
      </x:c>
      <x:c r="D632" s="6" t="str">
        <x:v>7</x:v>
      </x:c>
      <x:c r="E632" s="6" t="str">
        <x:v>9</x:v>
      </x:c>
      <x:c r="F632" s="6" t="str">
        <x:v>9</x:v>
      </x:c>
      <x:c r="G632" s="6" t="str">
        <x:v>7</x:v>
      </x:c>
      <x:c r="H632" s="6" t="str">
        <x:v>1</x:v>
      </x:c>
      <x:c r="I632" s="6" t="str">
        <x:v>1</x:v>
      </x:c>
      <x:c r="J632" s="6" t="str">
        <x:v>0</x:v>
      </x:c>
      <x:c r="K632" s="6" t="str">
        <x:v>0</x:v>
      </x:c>
      <x:c r="L632" s="6" t="str">
        <x:v>0</x:v>
      </x:c>
      <x:c r="M632" s="6" t="str">
        <x:v>0</x:v>
      </x:c>
      <x:c r="N632" s="6" t="str">
        <x:v>0</x:v>
      </x:c>
      <x:c r="O632" s="6" t="str">
        <x:v>0</x:v>
      </x:c>
      <x:c r="P632" s="6" t="str">
        <x:v>9</x:v>
      </x:c>
      <x:c r="Q632" s="6" t="str">
        <x:v>1.0</x:v>
      </x:c>
      <x:c r="R632" s="6" t="str">
        <x:v>9</x:v>
      </x:c>
      <x:c r="S632" s="6" t="str">
        <x:v>0.0</x:v>
      </x:c>
      <x:c r="T632" s="6" t="str">
        <x:v>9</x:v>
      </x:c>
      <x:c r="U632" s="6" t="str">
        <x:v>0.0</x:v>
      </x:c>
      <x:c r="V632" s="6" t="str">
        <x:v>9</x:v>
      </x:c>
      <x:c r="W632" s="6" t="str">
        <x:v>6.0</x:v>
      </x:c>
      <x:c r="X632" s="6" t="str">
        <x:v>9</x:v>
      </x:c>
      <x:c r="Y632" s="6" t="str">
        <x:v>6656.0</x:v>
      </x:c>
      <x:c r="Z632" s="6" t="str">
        <x:v>7</x:v>
      </x:c>
      <x:c r="AA632" s="6" t="str">
        <x:v>0.0</x:v>
      </x:c>
      <x:c r="AB632" s="6" t="str">
        <x:v>9</x:v>
      </x:c>
      <x:c r="AC632" s="6" t="str">
        <x:v>2024-07</x:v>
      </x:c>
      <x:c r="AD632" s="9" t="str">
        <x:v>BNPB operational disaster search table</x:v>
      </x:c>
      <x:c r="AE632" s="9" t="str">
        <x:v>https://gis.bnpb.go.id/databencana/tabel/pencarian.php</x:v>
      </x:c>
      <x:c r="AF632" s="9" t="str">
        <x:v>operational_snapshot_annual_totals_may_differ</x:v>
      </x:c>
    </x:row>
    <x:row r="633" ht="18" customHeight="1">
      <x:c r="A633" s="6" t="str">
        <x:v>73</x:v>
      </x:c>
      <x:c r="B633" s="6" t="str">
        <x:v>SULAWESI SELATAN</x:v>
      </x:c>
      <x:c r="C633" s="6" t="str">
        <x:v>2024</x:v>
      </x:c>
      <x:c r="D633" s="6" t="str">
        <x:v>8</x:v>
      </x:c>
      <x:c r="E633" s="6" t="str">
        <x:v>7</x:v>
      </x:c>
      <x:c r="F633" s="6" t="str">
        <x:v>7</x:v>
      </x:c>
      <x:c r="G633" s="6" t="str">
        <x:v>5</x:v>
      </x:c>
      <x:c r="H633" s="6" t="str">
        <x:v>0</x:v>
      </x:c>
      <x:c r="I633" s="6" t="str">
        <x:v>0</x:v>
      </x:c>
      <x:c r="J633" s="6" t="str">
        <x:v>1</x:v>
      </x:c>
      <x:c r="K633" s="6" t="str">
        <x:v>1</x:v>
      </x:c>
      <x:c r="L633" s="6" t="str">
        <x:v>0</x:v>
      </x:c>
      <x:c r="M633" s="6" t="str">
        <x:v>0</x:v>
      </x:c>
      <x:c r="N633" s="6" t="str">
        <x:v>0</x:v>
      </x:c>
      <x:c r="O633" s="6" t="str">
        <x:v>0</x:v>
      </x:c>
      <x:c r="P633" s="6" t="str">
        <x:v>7</x:v>
      </x:c>
      <x:c r="Q633" s="6" t="str">
        <x:v>1.0</x:v>
      </x:c>
      <x:c r="R633" s="6" t="str">
        <x:v>7</x:v>
      </x:c>
      <x:c r="S633" s="6" t="str">
        <x:v>0.0</x:v>
      </x:c>
      <x:c r="T633" s="6" t="str">
        <x:v>7</x:v>
      </x:c>
      <x:c r="U633" s="6" t="str">
        <x:v>0.0</x:v>
      </x:c>
      <x:c r="V633" s="6" t="str">
        <x:v>7</x:v>
      </x:c>
      <x:c r="W633" s="6" t="str">
        <x:v>5.0</x:v>
      </x:c>
      <x:c r="X633" s="6" t="str">
        <x:v>7</x:v>
      </x:c>
      <x:c r="Y633" s="6" t="str">
        <x:v>6576.0</x:v>
      </x:c>
      <x:c r="Z633" s="6" t="str">
        <x:v>5</x:v>
      </x:c>
      <x:c r="AA633" s="6" t="str">
        <x:v>3.0</x:v>
      </x:c>
      <x:c r="AB633" s="6" t="str">
        <x:v>7</x:v>
      </x:c>
      <x:c r="AC633" s="6" t="str">
        <x:v>2024-08</x:v>
      </x:c>
      <x:c r="AD633" s="9" t="str">
        <x:v>BNPB operational disaster search table</x:v>
      </x:c>
      <x:c r="AE633" s="9" t="str">
        <x:v>https://gis.bnpb.go.id/databencana/tabel/pencarian.php</x:v>
      </x:c>
      <x:c r="AF633" s="9" t="str">
        <x:v>operational_snapshot_annual_totals_may_differ</x:v>
      </x:c>
    </x:row>
    <x:row r="634" ht="18" customHeight="1">
      <x:c r="A634" s="6" t="str">
        <x:v>73</x:v>
      </x:c>
      <x:c r="B634" s="6" t="str">
        <x:v>SULAWESI SELATAN</x:v>
      </x:c>
      <x:c r="C634" s="6" t="str">
        <x:v>2024</x:v>
      </x:c>
      <x:c r="D634" s="6" t="str">
        <x:v>9</x:v>
      </x:c>
      <x:c r="E634" s="6" t="str">
        <x:v>13</x:v>
      </x:c>
      <x:c r="F634" s="6" t="str">
        <x:v>13</x:v>
      </x:c>
      <x:c r="G634" s="6" t="str">
        <x:v>2</x:v>
      </x:c>
      <x:c r="H634" s="6" t="str">
        <x:v>0</x:v>
      </x:c>
      <x:c r="I634" s="6" t="str">
        <x:v>3</x:v>
      </x:c>
      <x:c r="J634" s="6" t="str">
        <x:v>6</x:v>
      </x:c>
      <x:c r="K634" s="6" t="str">
        <x:v>2</x:v>
      </x:c>
      <x:c r="L634" s="6" t="str">
        <x:v>0</x:v>
      </x:c>
      <x:c r="M634" s="6" t="str">
        <x:v>0</x:v>
      </x:c>
      <x:c r="N634" s="6" t="str">
        <x:v>0</x:v>
      </x:c>
      <x:c r="O634" s="6" t="str">
        <x:v>0</x:v>
      </x:c>
      <x:c r="P634" s="6" t="str">
        <x:v>13</x:v>
      </x:c>
      <x:c r="Q634" s="6" t="str">
        <x:v>0.0</x:v>
      </x:c>
      <x:c r="R634" s="6" t="str">
        <x:v>13</x:v>
      </x:c>
      <x:c r="S634" s="6" t="str">
        <x:v>0.0</x:v>
      </x:c>
      <x:c r="T634" s="6" t="str">
        <x:v>13</x:v>
      </x:c>
      <x:c r="U634" s="6" t="str">
        <x:v>0.0</x:v>
      </x:c>
      <x:c r="V634" s="6" t="str">
        <x:v>13</x:v>
      </x:c>
      <x:c r="W634" s="6" t="str">
        <x:v>77.0</x:v>
      </x:c>
      <x:c r="X634" s="6" t="str">
        <x:v>13</x:v>
      </x:c>
      <x:c r="Y634" s="6" t="str">
        <x:v>40.0</x:v>
      </x:c>
      <x:c r="Z634" s="6" t="str">
        <x:v>1</x:v>
      </x:c>
      <x:c r="AA634" s="6" t="str">
        <x:v>2.0</x:v>
      </x:c>
      <x:c r="AB634" s="6" t="str">
        <x:v>13</x:v>
      </x:c>
      <x:c r="AC634" s="6" t="str">
        <x:v>2024-09</x:v>
      </x:c>
      <x:c r="AD634" s="9" t="str">
        <x:v>BNPB operational disaster search table</x:v>
      </x:c>
      <x:c r="AE634" s="9" t="str">
        <x:v>https://gis.bnpb.go.id/databencana/tabel/pencarian.php</x:v>
      </x:c>
      <x:c r="AF634" s="9" t="str">
        <x:v>operational_snapshot_annual_totals_may_differ</x:v>
      </x:c>
    </x:row>
    <x:row r="635" ht="18" customHeight="1">
      <x:c r="A635" s="6" t="str">
        <x:v>73</x:v>
      </x:c>
      <x:c r="B635" s="6" t="str">
        <x:v>SULAWESI SELATAN</x:v>
      </x:c>
      <x:c r="C635" s="6" t="str">
        <x:v>2024</x:v>
      </x:c>
      <x:c r="D635" s="6" t="str">
        <x:v>10</x:v>
      </x:c>
      <x:c r="E635" s="6" t="str">
        <x:v>9</x:v>
      </x:c>
      <x:c r="F635" s="6" t="str">
        <x:v>9</x:v>
      </x:c>
      <x:c r="G635" s="6" t="str">
        <x:v>1</x:v>
      </x:c>
      <x:c r="H635" s="6" t="str">
        <x:v>0</x:v>
      </x:c>
      <x:c r="I635" s="6" t="str">
        <x:v>6</x:v>
      </x:c>
      <x:c r="J635" s="6" t="str">
        <x:v>2</x:v>
      </x:c>
      <x:c r="K635" s="6" t="str">
        <x:v>0</x:v>
      </x:c>
      <x:c r="L635" s="6" t="str">
        <x:v>0</x:v>
      </x:c>
      <x:c r="M635" s="6" t="str">
        <x:v>0</x:v>
      </x:c>
      <x:c r="N635" s="6" t="str">
        <x:v>0</x:v>
      </x:c>
      <x:c r="O635" s="6" t="str">
        <x:v>0</x:v>
      </x:c>
      <x:c r="P635" s="6" t="str">
        <x:v>9</x:v>
      </x:c>
      <x:c r="Q635" s="6" t="str">
        <x:v>1.0</x:v>
      </x:c>
      <x:c r="R635" s="6" t="str">
        <x:v>9</x:v>
      </x:c>
      <x:c r="S635" s="6" t="str">
        <x:v>0.0</x:v>
      </x:c>
      <x:c r="T635" s="6" t="str">
        <x:v>9</x:v>
      </x:c>
      <x:c r="U635" s="6" t="str">
        <x:v>2.0</x:v>
      </x:c>
      <x:c r="V635" s="6" t="str">
        <x:v>9</x:v>
      </x:c>
      <x:c r="W635" s="6" t="str">
        <x:v>302.0</x:v>
      </x:c>
      <x:c r="X635" s="6" t="str">
        <x:v>9</x:v>
      </x:c>
      <x:c r="Y635" s="6" t="str">
        <x:v>90.0</x:v>
      </x:c>
      <x:c r="Z635" s="6" t="str">
        <x:v>1</x:v>
      </x:c>
      <x:c r="AA635" s="6" t="str">
        <x:v>4.0</x:v>
      </x:c>
      <x:c r="AB635" s="6" t="str">
        <x:v>9</x:v>
      </x:c>
      <x:c r="AC635" s="6" t="str">
        <x:v>2024-10</x:v>
      </x:c>
      <x:c r="AD635" s="9" t="str">
        <x:v>BNPB operational disaster search table</x:v>
      </x:c>
      <x:c r="AE635" s="9" t="str">
        <x:v>https://gis.bnpb.go.id/databencana/tabel/pencarian.php</x:v>
      </x:c>
      <x:c r="AF635" s="9" t="str">
        <x:v>operational_snapshot_annual_totals_may_differ</x:v>
      </x:c>
    </x:row>
    <x:row r="636" ht="18" customHeight="1">
      <x:c r="A636" s="6" t="str">
        <x:v>73</x:v>
      </x:c>
      <x:c r="B636" s="6" t="str">
        <x:v>SULAWESI SELATAN</x:v>
      </x:c>
      <x:c r="C636" s="6" t="str">
        <x:v>2024</x:v>
      </x:c>
      <x:c r="D636" s="6" t="str">
        <x:v>11</x:v>
      </x:c>
      <x:c r="E636" s="6" t="str">
        <x:v>13</x:v>
      </x:c>
      <x:c r="F636" s="6" t="str">
        <x:v>13</x:v>
      </x:c>
      <x:c r="G636" s="6" t="str">
        <x:v>1</x:v>
      </x:c>
      <x:c r="H636" s="6" t="str">
        <x:v>0</x:v>
      </x:c>
      <x:c r="I636" s="6" t="str">
        <x:v>11</x:v>
      </x:c>
      <x:c r="J636" s="6" t="str">
        <x:v>1</x:v>
      </x:c>
      <x:c r="K636" s="6" t="str">
        <x:v>0</x:v>
      </x:c>
      <x:c r="L636" s="6" t="str">
        <x:v>0</x:v>
      </x:c>
      <x:c r="M636" s="6" t="str">
        <x:v>0</x:v>
      </x:c>
      <x:c r="N636" s="6" t="str">
        <x:v>0</x:v>
      </x:c>
      <x:c r="O636" s="6" t="str">
        <x:v>0</x:v>
      </x:c>
      <x:c r="P636" s="6" t="str">
        <x:v>13</x:v>
      </x:c>
      <x:c r="Q636" s="6" t="str">
        <x:v>10.0</x:v>
      </x:c>
      <x:c r="R636" s="6" t="str">
        <x:v>13</x:v>
      </x:c>
      <x:c r="S636" s="6" t="str">
        <x:v>0.0</x:v>
      </x:c>
      <x:c r="T636" s="6" t="str">
        <x:v>13</x:v>
      </x:c>
      <x:c r="U636" s="6" t="str">
        <x:v>8.0</x:v>
      </x:c>
      <x:c r="V636" s="6" t="str">
        <x:v>13</x:v>
      </x:c>
      <x:c r="W636" s="6" t="str">
        <x:v>130.0</x:v>
      </x:c>
      <x:c r="X636" s="6" t="str">
        <x:v>13</x:v>
      </x:c>
      <x:c r="Y636" s="6" t="str">
        <x:v>473.0</x:v>
      </x:c>
      <x:c r="Z636" s="6" t="str">
        <x:v>1</x:v>
      </x:c>
      <x:c r="AA636" s="6" t="str">
        <x:v>0.0</x:v>
      </x:c>
      <x:c r="AB636" s="6" t="str">
        <x:v>13</x:v>
      </x:c>
      <x:c r="AC636" s="6" t="str">
        <x:v>2024-11</x:v>
      </x:c>
      <x:c r="AD636" s="9" t="str">
        <x:v>BNPB operational disaster search table</x:v>
      </x:c>
      <x:c r="AE636" s="9" t="str">
        <x:v>https://gis.bnpb.go.id/databencana/tabel/pencarian.php</x:v>
      </x:c>
      <x:c r="AF636" s="9" t="str">
        <x:v>operational_snapshot_annual_totals_may_differ</x:v>
      </x:c>
    </x:row>
    <x:row r="637" ht="18" customHeight="1">
      <x:c r="A637" s="6" t="str">
        <x:v>73</x:v>
      </x:c>
      <x:c r="B637" s="6" t="str">
        <x:v>SULAWESI SELATAN</x:v>
      </x:c>
      <x:c r="C637" s="6" t="str">
        <x:v>2024</x:v>
      </x:c>
      <x:c r="D637" s="6" t="str">
        <x:v>12</x:v>
      </x:c>
      <x:c r="E637" s="6" t="str">
        <x:v>28</x:v>
      </x:c>
      <x:c r="F637" s="6" t="str">
        <x:v>28</x:v>
      </x:c>
      <x:c r="G637" s="6" t="str">
        <x:v>18</x:v>
      </x:c>
      <x:c r="H637" s="6" t="str">
        <x:v>3</x:v>
      </x:c>
      <x:c r="I637" s="6" t="str">
        <x:v>6</x:v>
      </x:c>
      <x:c r="J637" s="6" t="str">
        <x:v>0</x:v>
      </x:c>
      <x:c r="K637" s="6" t="str">
        <x:v>0</x:v>
      </x:c>
      <x:c r="L637" s="6" t="str">
        <x:v>1</x:v>
      </x:c>
      <x:c r="M637" s="6" t="str">
        <x:v>0</x:v>
      </x:c>
      <x:c r="N637" s="6" t="str">
        <x:v>0</x:v>
      </x:c>
      <x:c r="O637" s="6" t="str">
        <x:v>0</x:v>
      </x:c>
      <x:c r="P637" s="6" t="str">
        <x:v>28</x:v>
      </x:c>
      <x:c r="Q637" s="6" t="str">
        <x:v>2.0</x:v>
      </x:c>
      <x:c r="R637" s="6" t="str">
        <x:v>28</x:v>
      </x:c>
      <x:c r="S637" s="6" t="str">
        <x:v>0.0</x:v>
      </x:c>
      <x:c r="T637" s="6" t="str">
        <x:v>28</x:v>
      </x:c>
      <x:c r="U637" s="6" t="str">
        <x:v>0.0</x:v>
      </x:c>
      <x:c r="V637" s="6" t="str">
        <x:v>28</x:v>
      </x:c>
      <x:c r="W637" s="6" t="str">
        <x:v>197.0</x:v>
      </x:c>
      <x:c r="X637" s="6" t="str">
        <x:v>28</x:v>
      </x:c>
      <x:c r="Y637" s="6" t="str">
        <x:v>25673.0</x:v>
      </x:c>
      <x:c r="Z637" s="6" t="str">
        <x:v>14</x:v>
      </x:c>
      <x:c r="AA637" s="6" t="str">
        <x:v>13.0</x:v>
      </x:c>
      <x:c r="AB637" s="6" t="str">
        <x:v>28</x:v>
      </x:c>
      <x:c r="AC637" s="6" t="str">
        <x:v>2024-12</x:v>
      </x:c>
      <x:c r="AD637" s="9" t="str">
        <x:v>BNPB operational disaster search table</x:v>
      </x:c>
      <x:c r="AE637" s="9" t="str">
        <x:v>https://gis.bnpb.go.id/databencana/tabel/pencarian.php</x:v>
      </x:c>
      <x:c r="AF637" s="9" t="str">
        <x:v>operational_snapshot_annual_totals_may_differ</x:v>
      </x:c>
    </x:row>
    <x:row r="638" ht="18" customHeight="1">
      <x:c r="A638" s="6" t="str">
        <x:v>73</x:v>
      </x:c>
      <x:c r="B638" s="6" t="str">
        <x:v>SULAWESI SELATAN</x:v>
      </x:c>
      <x:c r="C638" s="6" t="str">
        <x:v>2025</x:v>
      </x:c>
      <x:c r="D638" s="6" t="str">
        <x:v>1</x:v>
      </x:c>
      <x:c r="E638" s="6" t="str">
        <x:v>14</x:v>
      </x:c>
      <x:c r="F638" s="6" t="str">
        <x:v>14</x:v>
      </x:c>
      <x:c r="G638" s="6" t="str">
        <x:v>9</x:v>
      </x:c>
      <x:c r="H638" s="6" t="str">
        <x:v>3</x:v>
      </x:c>
      <x:c r="I638" s="6" t="str">
        <x:v>1</x:v>
      </x:c>
      <x:c r="J638" s="6" t="str">
        <x:v>0</x:v>
      </x:c>
      <x:c r="K638" s="6" t="str">
        <x:v>0</x:v>
      </x:c>
      <x:c r="L638" s="6" t="str">
        <x:v>1</x:v>
      </x:c>
      <x:c r="M638" s="6" t="str">
        <x:v>0</x:v>
      </x:c>
      <x:c r="N638" s="6" t="str">
        <x:v>0</x:v>
      </x:c>
      <x:c r="O638" s="6" t="str">
        <x:v>0</x:v>
      </x:c>
      <x:c r="P638" s="6" t="str">
        <x:v>14</x:v>
      </x:c>
      <x:c r="Q638" s="6" t="str">
        <x:v>4.0</x:v>
      </x:c>
      <x:c r="R638" s="6" t="str">
        <x:v>14</x:v>
      </x:c>
      <x:c r="S638" s="6" t="str">
        <x:v>0.0</x:v>
      </x:c>
      <x:c r="T638" s="6" t="str">
        <x:v>14</x:v>
      </x:c>
      <x:c r="U638" s="6" t="str">
        <x:v>6.0</x:v>
      </x:c>
      <x:c r="V638" s="6" t="str">
        <x:v>14</x:v>
      </x:c>
      <x:c r="W638" s="6" t="str">
        <x:v>33.0</x:v>
      </x:c>
      <x:c r="X638" s="6" t="str">
        <x:v>14</x:v>
      </x:c>
      <x:c r="Y638" s="6" t="str">
        <x:v>1002.0</x:v>
      </x:c>
      <x:c r="Z638" s="6" t="str">
        <x:v>9</x:v>
      </x:c>
      <x:c r="AA638" s="6" t="str">
        <x:v>3.0</x:v>
      </x:c>
      <x:c r="AB638" s="6" t="str">
        <x:v>14</x:v>
      </x:c>
      <x:c r="AC638" s="6" t="str">
        <x:v>2025-01</x:v>
      </x:c>
      <x:c r="AD638" s="9" t="str">
        <x:v>BNPB operational disaster search table</x:v>
      </x:c>
      <x:c r="AE638" s="9" t="str">
        <x:v>https://gis.bnpb.go.id/databencana/tabel/pencarian.php</x:v>
      </x:c>
      <x:c r="AF638" s="9" t="str">
        <x:v>operational_snapshot_annual_totals_may_differ</x:v>
      </x:c>
    </x:row>
    <x:row r="639" ht="18" customHeight="1">
      <x:c r="A639" s="6" t="str">
        <x:v>73</x:v>
      </x:c>
      <x:c r="B639" s="6" t="str">
        <x:v>SULAWESI SELATAN</x:v>
      </x:c>
      <x:c r="C639" s="6" t="str">
        <x:v>2025</x:v>
      </x:c>
      <x:c r="D639" s="6" t="str">
        <x:v>2</x:v>
      </x:c>
      <x:c r="E639" s="6" t="str">
        <x:v>35</x:v>
      </x:c>
      <x:c r="F639" s="6" t="str">
        <x:v>35</x:v>
      </x:c>
      <x:c r="G639" s="6" t="str">
        <x:v>9</x:v>
      </x:c>
      <x:c r="H639" s="6" t="str">
        <x:v>1</x:v>
      </x:c>
      <x:c r="I639" s="6" t="str">
        <x:v>24</x:v>
      </x:c>
      <x:c r="J639" s="6" t="str">
        <x:v>0</x:v>
      </x:c>
      <x:c r="K639" s="6" t="str">
        <x:v>0</x:v>
      </x:c>
      <x:c r="L639" s="6" t="str">
        <x:v>1</x:v>
      </x:c>
      <x:c r="M639" s="6" t="str">
        <x:v>0</x:v>
      </x:c>
      <x:c r="N639" s="6" t="str">
        <x:v>0</x:v>
      </x:c>
      <x:c r="O639" s="6" t="str">
        <x:v>0</x:v>
      </x:c>
      <x:c r="P639" s="6" t="str">
        <x:v>35</x:v>
      </x:c>
      <x:c r="Q639" s="6" t="str">
        <x:v>2.0</x:v>
      </x:c>
      <x:c r="R639" s="6" t="str">
        <x:v>35</x:v>
      </x:c>
      <x:c r="S639" s="6" t="str">
        <x:v>1.0</x:v>
      </x:c>
      <x:c r="T639" s="6" t="str">
        <x:v>35</x:v>
      </x:c>
      <x:c r="U639" s="6" t="str">
        <x:v>0.0</x:v>
      </x:c>
      <x:c r="V639" s="6" t="str">
        <x:v>35</x:v>
      </x:c>
      <x:c r="W639" s="6" t="str">
        <x:v>422.0</x:v>
      </x:c>
      <x:c r="X639" s="6" t="str">
        <x:v>35</x:v>
      </x:c>
      <x:c r="Y639" s="6" t="str">
        <x:v>3391.0</x:v>
      </x:c>
      <x:c r="Z639" s="6" t="str">
        <x:v>9</x:v>
      </x:c>
      <x:c r="AA639" s="6" t="str">
        <x:v>34.0</x:v>
      </x:c>
      <x:c r="AB639" s="6" t="str">
        <x:v>35</x:v>
      </x:c>
      <x:c r="AC639" s="6" t="str">
        <x:v>2025-02</x:v>
      </x:c>
      <x:c r="AD639" s="9" t="str">
        <x:v>BNPB operational disaster search table</x:v>
      </x:c>
      <x:c r="AE639" s="9" t="str">
        <x:v>https://gis.bnpb.go.id/databencana/tabel/pencarian.php</x:v>
      </x:c>
      <x:c r="AF639" s="9" t="str">
        <x:v>operational_snapshot_annual_totals_may_differ</x:v>
      </x:c>
    </x:row>
    <x:row r="640" ht="18" customHeight="1">
      <x:c r="A640" s="6" t="str">
        <x:v>73</x:v>
      </x:c>
      <x:c r="B640" s="6" t="str">
        <x:v>SULAWESI SELATAN</x:v>
      </x:c>
      <x:c r="C640" s="6" t="str">
        <x:v>2025</x:v>
      </x:c>
      <x:c r="D640" s="6" t="str">
        <x:v>3</x:v>
      </x:c>
      <x:c r="E640" s="6" t="str">
        <x:v>11</x:v>
      </x:c>
      <x:c r="F640" s="6" t="str">
        <x:v>11</x:v>
      </x:c>
      <x:c r="G640" s="6" t="str">
        <x:v>6</x:v>
      </x:c>
      <x:c r="H640" s="6" t="str">
        <x:v>1</x:v>
      </x:c>
      <x:c r="I640" s="6" t="str">
        <x:v>4</x:v>
      </x:c>
      <x:c r="J640" s="6" t="str">
        <x:v>0</x:v>
      </x:c>
      <x:c r="K640" s="6" t="str">
        <x:v>0</x:v>
      </x:c>
      <x:c r="L640" s="6" t="str">
        <x:v>0</x:v>
      </x:c>
      <x:c r="M640" s="6" t="str">
        <x:v>0</x:v>
      </x:c>
      <x:c r="N640" s="6" t="str">
        <x:v>0</x:v>
      </x:c>
      <x:c r="O640" s="6" t="str">
        <x:v>0</x:v>
      </x:c>
      <x:c r="P640" s="6" t="str">
        <x:v>11</x:v>
      </x:c>
      <x:c r="Q640" s="6" t="str">
        <x:v>0.0</x:v>
      </x:c>
      <x:c r="R640" s="6" t="str">
        <x:v>11</x:v>
      </x:c>
      <x:c r="S640" s="6" t="str">
        <x:v>0.0</x:v>
      </x:c>
      <x:c r="T640" s="6" t="str">
        <x:v>11</x:v>
      </x:c>
      <x:c r="U640" s="6" t="str">
        <x:v>0.0</x:v>
      </x:c>
      <x:c r="V640" s="6" t="str">
        <x:v>11</x:v>
      </x:c>
      <x:c r="W640" s="6" t="str">
        <x:v>23.0</x:v>
      </x:c>
      <x:c r="X640" s="6" t="str">
        <x:v>11</x:v>
      </x:c>
      <x:c r="Y640" s="6" t="str">
        <x:v>1314.0</x:v>
      </x:c>
      <x:c r="Z640" s="6" t="str">
        <x:v>5</x:v>
      </x:c>
      <x:c r="AA640" s="6" t="str">
        <x:v>0.0</x:v>
      </x:c>
      <x:c r="AB640" s="6" t="str">
        <x:v>11</x:v>
      </x:c>
      <x:c r="AC640" s="6" t="str">
        <x:v>2025-03</x:v>
      </x:c>
      <x:c r="AD640" s="9" t="str">
        <x:v>BNPB operational disaster search table</x:v>
      </x:c>
      <x:c r="AE640" s="9" t="str">
        <x:v>https://gis.bnpb.go.id/databencana/tabel/pencarian.php</x:v>
      </x:c>
      <x:c r="AF640" s="9" t="str">
        <x:v>operational_snapshot_annual_totals_may_differ</x:v>
      </x:c>
    </x:row>
    <x:row r="641" ht="18" customHeight="1">
      <x:c r="A641" s="6" t="str">
        <x:v>73</x:v>
      </x:c>
      <x:c r="B641" s="6" t="str">
        <x:v>SULAWESI SELATAN</x:v>
      </x:c>
      <x:c r="C641" s="6" t="str">
        <x:v>2025</x:v>
      </x:c>
      <x:c r="D641" s="6" t="str">
        <x:v>4</x:v>
      </x:c>
      <x:c r="E641" s="6" t="str">
        <x:v>11</x:v>
      </x:c>
      <x:c r="F641" s="6" t="str">
        <x:v>11</x:v>
      </x:c>
      <x:c r="G641" s="6" t="str">
        <x:v>8</x:v>
      </x:c>
      <x:c r="H641" s="6" t="str">
        <x:v>1</x:v>
      </x:c>
      <x:c r="I641" s="6" t="str">
        <x:v>2</x:v>
      </x:c>
      <x:c r="J641" s="6" t="str">
        <x:v>0</x:v>
      </x:c>
      <x:c r="K641" s="6" t="str">
        <x:v>0</x:v>
      </x:c>
      <x:c r="L641" s="6" t="str">
        <x:v>0</x:v>
      </x:c>
      <x:c r="M641" s="6" t="str">
        <x:v>0</x:v>
      </x:c>
      <x:c r="N641" s="6" t="str">
        <x:v>0</x:v>
      </x:c>
      <x:c r="O641" s="6" t="str">
        <x:v>0</x:v>
      </x:c>
      <x:c r="P641" s="6" t="str">
        <x:v>11</x:v>
      </x:c>
      <x:c r="Q641" s="6" t="str">
        <x:v>0.0</x:v>
      </x:c>
      <x:c r="R641" s="6" t="str">
        <x:v>11</x:v>
      </x:c>
      <x:c r="S641" s="6" t="str">
        <x:v>0.0</x:v>
      </x:c>
      <x:c r="T641" s="6" t="str">
        <x:v>11</x:v>
      </x:c>
      <x:c r="U641" s="6" t="str">
        <x:v>0.0</x:v>
      </x:c>
      <x:c r="V641" s="6" t="str">
        <x:v>11</x:v>
      </x:c>
      <x:c r="W641" s="6" t="str">
        <x:v>24.0</x:v>
      </x:c>
      <x:c r="X641" s="6" t="str">
        <x:v>11</x:v>
      </x:c>
      <x:c r="Y641" s="6" t="str">
        <x:v>1959.0</x:v>
      </x:c>
      <x:c r="Z641" s="6" t="str">
        <x:v>8</x:v>
      </x:c>
      <x:c r="AA641" s="6" t="str">
        <x:v>1.0</x:v>
      </x:c>
      <x:c r="AB641" s="6" t="str">
        <x:v>11</x:v>
      </x:c>
      <x:c r="AC641" s="6" t="str">
        <x:v>2025-04</x:v>
      </x:c>
      <x:c r="AD641" s="9" t="str">
        <x:v>BNPB operational disaster search table</x:v>
      </x:c>
      <x:c r="AE641" s="9" t="str">
        <x:v>https://gis.bnpb.go.id/databencana/tabel/pencarian.php</x:v>
      </x:c>
      <x:c r="AF641" s="9" t="str">
        <x:v>operational_snapshot_annual_totals_may_differ</x:v>
      </x:c>
    </x:row>
    <x:row r="642" ht="18" customHeight="1">
      <x:c r="A642" s="6" t="str">
        <x:v>73</x:v>
      </x:c>
      <x:c r="B642" s="6" t="str">
        <x:v>SULAWESI SELATAN</x:v>
      </x:c>
      <x:c r="C642" s="6" t="str">
        <x:v>2025</x:v>
      </x:c>
      <x:c r="D642" s="6" t="str">
        <x:v>5</x:v>
      </x:c>
      <x:c r="E642" s="6" t="str">
        <x:v>8</x:v>
      </x:c>
      <x:c r="F642" s="6" t="str">
        <x:v>8</x:v>
      </x:c>
      <x:c r="G642" s="6" t="str">
        <x:v>6</x:v>
      </x:c>
      <x:c r="H642" s="6" t="str">
        <x:v>2</x:v>
      </x:c>
      <x:c r="I642" s="6" t="str">
        <x:v>0</x:v>
      </x:c>
      <x:c r="J642" s="6" t="str">
        <x:v>0</x:v>
      </x:c>
      <x:c r="K642" s="6" t="str">
        <x:v>0</x:v>
      </x:c>
      <x:c r="L642" s="6" t="str">
        <x:v>0</x:v>
      </x:c>
      <x:c r="M642" s="6" t="str">
        <x:v>0</x:v>
      </x:c>
      <x:c r="N642" s="6" t="str">
        <x:v>0</x:v>
      </x:c>
      <x:c r="O642" s="6" t="str">
        <x:v>0</x:v>
      </x:c>
      <x:c r="P642" s="6" t="str">
        <x:v>8</x:v>
      </x:c>
      <x:c r="Q642" s="6" t="str">
        <x:v>0.0</x:v>
      </x:c>
      <x:c r="R642" s="6" t="str">
        <x:v>8</x:v>
      </x:c>
      <x:c r="S642" s="6" t="str">
        <x:v>0.0</x:v>
      </x:c>
      <x:c r="T642" s="6" t="str">
        <x:v>8</x:v>
      </x:c>
      <x:c r="U642" s="6" t="str">
        <x:v>0.0</x:v>
      </x:c>
      <x:c r="V642" s="6" t="str">
        <x:v>8</x:v>
      </x:c>
      <x:c r="W642" s="6" t="str">
        <x:v>0.0</x:v>
      </x:c>
      <x:c r="X642" s="6" t="str">
        <x:v>8</x:v>
      </x:c>
      <x:c r="Y642" s="6" t="str">
        <x:v>3154.0</x:v>
      </x:c>
      <x:c r="Z642" s="6" t="str">
        <x:v>6</x:v>
      </x:c>
      <x:c r="AA642" s="6" t="str">
        <x:v>0.0</x:v>
      </x:c>
      <x:c r="AB642" s="6" t="str">
        <x:v>8</x:v>
      </x:c>
      <x:c r="AC642" s="6" t="str">
        <x:v>2025-05</x:v>
      </x:c>
      <x:c r="AD642" s="9" t="str">
        <x:v>BNPB operational disaster search table</x:v>
      </x:c>
      <x:c r="AE642" s="9" t="str">
        <x:v>https://gis.bnpb.go.id/databencana/tabel/pencarian.php</x:v>
      </x:c>
      <x:c r="AF642" s="9" t="str">
        <x:v>operational_snapshot_annual_totals_may_differ</x:v>
      </x:c>
    </x:row>
    <x:row r="643" ht="18" customHeight="1">
      <x:c r="A643" s="6" t="str">
        <x:v>73</x:v>
      </x:c>
      <x:c r="B643" s="6" t="str">
        <x:v>SULAWESI SELATAN</x:v>
      </x:c>
      <x:c r="C643" s="6" t="str">
        <x:v>2025</x:v>
      </x:c>
      <x:c r="D643" s="6" t="str">
        <x:v>6</x:v>
      </x:c>
      <x:c r="E643" s="6" t="str">
        <x:v>7</x:v>
      </x:c>
      <x:c r="F643" s="6" t="str">
        <x:v>7</x:v>
      </x:c>
      <x:c r="G643" s="6" t="str">
        <x:v>4</x:v>
      </x:c>
      <x:c r="H643" s="6" t="str">
        <x:v>0</x:v>
      </x:c>
      <x:c r="I643" s="6" t="str">
        <x:v>2</x:v>
      </x:c>
      <x:c r="J643" s="6" t="str">
        <x:v>0</x:v>
      </x:c>
      <x:c r="K643" s="6" t="str">
        <x:v>1</x:v>
      </x:c>
      <x:c r="L643" s="6" t="str">
        <x:v>0</x:v>
      </x:c>
      <x:c r="M643" s="6" t="str">
        <x:v>0</x:v>
      </x:c>
      <x:c r="N643" s="6" t="str">
        <x:v>0</x:v>
      </x:c>
      <x:c r="O643" s="6" t="str">
        <x:v>0</x:v>
      </x:c>
      <x:c r="P643" s="6" t="str">
        <x:v>7</x:v>
      </x:c>
      <x:c r="Q643" s="6" t="str">
        <x:v>0.0</x:v>
      </x:c>
      <x:c r="R643" s="6" t="str">
        <x:v>1</x:v>
      </x:c>
      <x:c r="S643" s="6" t="str">
        <x:v>0.0</x:v>
      </x:c>
      <x:c r="T643" s="6" t="str">
        <x:v>1</x:v>
      </x:c>
      <x:c r="U643" s="6" t="str">
        <x:v>0.0</x:v>
      </x:c>
      <x:c r="V643" s="6" t="str">
        <x:v>1</x:v>
      </x:c>
      <x:c r="W643" s="6" t="str">
        <x:v>18.0</x:v>
      </x:c>
      <x:c r="X643" s="6" t="str">
        <x:v>7</x:v>
      </x:c>
      <x:c r="Y643" s="6" t="str">
        <x:v>536.0</x:v>
      </x:c>
      <x:c r="Z643" s="6" t="str">
        <x:v>4</x:v>
      </x:c>
      <x:c r="AA643" s="6" t="str">
        <x:v>0.0</x:v>
      </x:c>
      <x:c r="AB643" s="6" t="str">
        <x:v>7</x:v>
      </x:c>
      <x:c r="AC643" s="6" t="str">
        <x:v>2025-06</x:v>
      </x:c>
      <x:c r="AD643" s="9" t="str">
        <x:v>BNPB operational disaster search table</x:v>
      </x:c>
      <x:c r="AE643" s="9" t="str">
        <x:v>https://gis.bnpb.go.id/databencana/tabel/pencarian.php</x:v>
      </x:c>
      <x:c r="AF643" s="9" t="str">
        <x:v>operational_snapshot_annual_totals_may_differ</x:v>
      </x:c>
    </x:row>
    <x:row r="644" ht="18" customHeight="1">
      <x:c r="A644" s="6" t="str">
        <x:v>73</x:v>
      </x:c>
      <x:c r="B644" s="6" t="str">
        <x:v>SULAWESI SELATAN</x:v>
      </x:c>
      <x:c r="C644" s="6" t="str">
        <x:v>2025</x:v>
      </x:c>
      <x:c r="D644" s="6" t="str">
        <x:v>7</x:v>
      </x:c>
      <x:c r="E644" s="6" t="str">
        <x:v>11</x:v>
      </x:c>
      <x:c r="F644" s="6" t="str">
        <x:v>11</x:v>
      </x:c>
      <x:c r="G644" s="6" t="str">
        <x:v>7</x:v>
      </x:c>
      <x:c r="H644" s="6" t="str">
        <x:v>3</x:v>
      </x:c>
      <x:c r="I644" s="6" t="str">
        <x:v>1</x:v>
      </x:c>
      <x:c r="J644" s="6" t="str">
        <x:v>0</x:v>
      </x:c>
      <x:c r="K644" s="6" t="str">
        <x:v>0</x:v>
      </x:c>
      <x:c r="L644" s="6" t="str">
        <x:v>0</x:v>
      </x:c>
      <x:c r="M644" s="6" t="str">
        <x:v>0</x:v>
      </x:c>
      <x:c r="N644" s="6" t="str">
        <x:v>0</x:v>
      </x:c>
      <x:c r="O644" s="6" t="str">
        <x:v>0</x:v>
      </x:c>
      <x:c r="P644" s="6" t="str">
        <x:v>11</x:v>
      </x:c>
      <x:c r="Q644" s="6" t="str"/>
      <x:c r="R644" s="6" t="str">
        <x:v>0</x:v>
      </x:c>
      <x:c r="S644" s="6" t="str"/>
      <x:c r="T644" s="6" t="str">
        <x:v>0</x:v>
      </x:c>
      <x:c r="U644" s="6" t="str">
        <x:v>4.0</x:v>
      </x:c>
      <x:c r="V644" s="6" t="str">
        <x:v>2</x:v>
      </x:c>
      <x:c r="W644" s="6" t="str">
        <x:v>56.0</x:v>
      </x:c>
      <x:c r="X644" s="6" t="str">
        <x:v>11</x:v>
      </x:c>
      <x:c r="Y644" s="6" t="str">
        <x:v>4105.0</x:v>
      </x:c>
      <x:c r="Z644" s="6" t="str">
        <x:v>6</x:v>
      </x:c>
      <x:c r="AA644" s="6" t="str">
        <x:v>13.0</x:v>
      </x:c>
      <x:c r="AB644" s="6" t="str">
        <x:v>11</x:v>
      </x:c>
      <x:c r="AC644" s="6" t="str">
        <x:v>2025-07</x:v>
      </x:c>
      <x:c r="AD644" s="9" t="str">
        <x:v>BNPB operational disaster search table</x:v>
      </x:c>
      <x:c r="AE644" s="9" t="str">
        <x:v>https://gis.bnpb.go.id/databencana/tabel/pencarian.php</x:v>
      </x:c>
      <x:c r="AF644" s="9" t="str">
        <x:v>operational_snapshot_annual_totals_may_differ</x:v>
      </x:c>
    </x:row>
    <x:row r="645" ht="18" customHeight="1">
      <x:c r="A645" s="6" t="str">
        <x:v>73</x:v>
      </x:c>
      <x:c r="B645" s="6" t="str">
        <x:v>SULAWESI SELATAN</x:v>
      </x:c>
      <x:c r="C645" s="6" t="str">
        <x:v>2025</x:v>
      </x:c>
      <x:c r="D645" s="6" t="str">
        <x:v>8</x:v>
      </x:c>
      <x:c r="E645" s="6" t="str">
        <x:v>1</x:v>
      </x:c>
      <x:c r="F645" s="6" t="str">
        <x:v>1</x:v>
      </x:c>
      <x:c r="G645" s="6" t="str">
        <x:v>0</x:v>
      </x:c>
      <x:c r="H645" s="6" t="str">
        <x:v>0</x:v>
      </x:c>
      <x:c r="I645" s="6" t="str">
        <x:v>1</x:v>
      </x:c>
      <x:c r="J645" s="6" t="str">
        <x:v>0</x:v>
      </x:c>
      <x:c r="K645" s="6" t="str">
        <x:v>0</x:v>
      </x:c>
      <x:c r="L645" s="6" t="str">
        <x:v>0</x:v>
      </x:c>
      <x:c r="M645" s="6" t="str">
        <x:v>0</x:v>
      </x:c>
      <x:c r="N645" s="6" t="str">
        <x:v>0</x:v>
      </x:c>
      <x:c r="O645" s="6" t="str">
        <x:v>0</x:v>
      </x:c>
      <x:c r="P645" s="6" t="str">
        <x:v>1</x:v>
      </x:c>
      <x:c r="Q645" s="6" t="str"/>
      <x:c r="R645" s="6" t="str">
        <x:v>0</x:v>
      </x:c>
      <x:c r="S645" s="6" t="str"/>
      <x:c r="T645" s="6" t="str">
        <x:v>0</x:v>
      </x:c>
      <x:c r="U645" s="6" t="str"/>
      <x:c r="V645" s="6" t="str">
        <x:v>0</x:v>
      </x:c>
      <x:c r="W645" s="6" t="str">
        <x:v>5.0</x:v>
      </x:c>
      <x:c r="X645" s="6" t="str">
        <x:v>1</x:v>
      </x:c>
      <x:c r="Y645" s="6" t="str"/>
      <x:c r="Z645" s="6" t="str">
        <x:v>0</x:v>
      </x:c>
      <x:c r="AA645" s="6" t="str">
        <x:v>0.0</x:v>
      </x:c>
      <x:c r="AB645" s="6" t="str">
        <x:v>1</x:v>
      </x:c>
      <x:c r="AC645" s="6" t="str">
        <x:v>2025-08</x:v>
      </x:c>
      <x:c r="AD645" s="9" t="str">
        <x:v>BNPB operational disaster search table</x:v>
      </x:c>
      <x:c r="AE645" s="9" t="str">
        <x:v>https://gis.bnpb.go.id/databencana/tabel/pencarian.php</x:v>
      </x:c>
      <x:c r="AF645" s="9" t="str">
        <x:v>operational_snapshot_annual_totals_may_differ</x:v>
      </x:c>
    </x:row>
    <x:row r="646" ht="18" customHeight="1">
      <x:c r="A646" s="6" t="str">
        <x:v>73</x:v>
      </x:c>
      <x:c r="B646" s="6" t="str">
        <x:v>SULAWESI SELATAN</x:v>
      </x:c>
      <x:c r="C646" s="6" t="str">
        <x:v>2025</x:v>
      </x:c>
      <x:c r="D646" s="6" t="str">
        <x:v>9</x:v>
      </x:c>
      <x:c r="E646" s="6" t="str">
        <x:v>4</x:v>
      </x:c>
      <x:c r="F646" s="6" t="str">
        <x:v>4</x:v>
      </x:c>
      <x:c r="G646" s="6" t="str">
        <x:v>1</x:v>
      </x:c>
      <x:c r="H646" s="6" t="str">
        <x:v>1</x:v>
      </x:c>
      <x:c r="I646" s="6" t="str">
        <x:v>1</x:v>
      </x:c>
      <x:c r="J646" s="6" t="str">
        <x:v>0</x:v>
      </x:c>
      <x:c r="K646" s="6" t="str">
        <x:v>1</x:v>
      </x:c>
      <x:c r="L646" s="6" t="str">
        <x:v>0</x:v>
      </x:c>
      <x:c r="M646" s="6" t="str">
        <x:v>0</x:v>
      </x:c>
      <x:c r="N646" s="6" t="str">
        <x:v>0</x:v>
      </x:c>
      <x:c r="O646" s="6" t="str">
        <x:v>0</x:v>
      </x:c>
      <x:c r="P646" s="6" t="str">
        <x:v>4</x:v>
      </x:c>
      <x:c r="Q646" s="6" t="str"/>
      <x:c r="R646" s="6" t="str">
        <x:v>0</x:v>
      </x:c>
      <x:c r="S646" s="6" t="str"/>
      <x:c r="T646" s="6" t="str">
        <x:v>0</x:v>
      </x:c>
      <x:c r="U646" s="6" t="str"/>
      <x:c r="V646" s="6" t="str">
        <x:v>0</x:v>
      </x:c>
      <x:c r="W646" s="6" t="str">
        <x:v>7.0</x:v>
      </x:c>
      <x:c r="X646" s="6" t="str">
        <x:v>4</x:v>
      </x:c>
      <x:c r="Y646" s="6" t="str">
        <x:v>25.0</x:v>
      </x:c>
      <x:c r="Z646" s="6" t="str">
        <x:v>1</x:v>
      </x:c>
      <x:c r="AA646" s="6" t="str">
        <x:v>0.0</x:v>
      </x:c>
      <x:c r="AB646" s="6" t="str">
        <x:v>4</x:v>
      </x:c>
      <x:c r="AC646" s="6" t="str">
        <x:v>2025-09</x:v>
      </x:c>
      <x:c r="AD646" s="9" t="str">
        <x:v>BNPB operational disaster search table</x:v>
      </x:c>
      <x:c r="AE646" s="9" t="str">
        <x:v>https://gis.bnpb.go.id/databencana/tabel/pencarian.php</x:v>
      </x:c>
      <x:c r="AF646" s="9" t="str">
        <x:v>operational_snapshot_annual_totals_may_differ</x:v>
      </x:c>
    </x:row>
    <x:row r="647" ht="18" customHeight="1">
      <x:c r="A647" s="6" t="str">
        <x:v>73</x:v>
      </x:c>
      <x:c r="B647" s="6" t="str">
        <x:v>SULAWESI SELATAN</x:v>
      </x:c>
      <x:c r="C647" s="6" t="str">
        <x:v>2025</x:v>
      </x:c>
      <x:c r="D647" s="6" t="str">
        <x:v>10</x:v>
      </x:c>
      <x:c r="E647" s="6" t="str">
        <x:v>10</x:v>
      </x:c>
      <x:c r="F647" s="6" t="str">
        <x:v>10</x:v>
      </x:c>
      <x:c r="G647" s="6" t="str">
        <x:v>1</x:v>
      </x:c>
      <x:c r="H647" s="6" t="str">
        <x:v>0</x:v>
      </x:c>
      <x:c r="I647" s="6" t="str">
        <x:v>8</x:v>
      </x:c>
      <x:c r="J647" s="6" t="str">
        <x:v>0</x:v>
      </x:c>
      <x:c r="K647" s="6" t="str">
        <x:v>1</x:v>
      </x:c>
      <x:c r="L647" s="6" t="str">
        <x:v>0</x:v>
      </x:c>
      <x:c r="M647" s="6" t="str">
        <x:v>0</x:v>
      </x:c>
      <x:c r="N647" s="6" t="str">
        <x:v>0</x:v>
      </x:c>
      <x:c r="O647" s="6" t="str">
        <x:v>0</x:v>
      </x:c>
      <x:c r="P647" s="6" t="str">
        <x:v>10</x:v>
      </x:c>
      <x:c r="Q647" s="6" t="str"/>
      <x:c r="R647" s="6" t="str">
        <x:v>0</x:v>
      </x:c>
      <x:c r="S647" s="6" t="str"/>
      <x:c r="T647" s="6" t="str">
        <x:v>0</x:v>
      </x:c>
      <x:c r="U647" s="6" t="str"/>
      <x:c r="V647" s="6" t="str">
        <x:v>0</x:v>
      </x:c>
      <x:c r="W647" s="6" t="str">
        <x:v>397.0</x:v>
      </x:c>
      <x:c r="X647" s="6" t="str">
        <x:v>10</x:v>
      </x:c>
      <x:c r="Y647" s="6" t="str">
        <x:v>235.0</x:v>
      </x:c>
      <x:c r="Z647" s="6" t="str">
        <x:v>1</x:v>
      </x:c>
      <x:c r="AA647" s="6" t="str">
        <x:v>6.0</x:v>
      </x:c>
      <x:c r="AB647" s="6" t="str">
        <x:v>10</x:v>
      </x:c>
      <x:c r="AC647" s="6" t="str">
        <x:v>2025-10</x:v>
      </x:c>
      <x:c r="AD647" s="9" t="str">
        <x:v>BNPB operational disaster search table</x:v>
      </x:c>
      <x:c r="AE647" s="9" t="str">
        <x:v>https://gis.bnpb.go.id/databencana/tabel/pencarian.php</x:v>
      </x:c>
      <x:c r="AF647" s="9" t="str">
        <x:v>operational_snapshot_annual_totals_may_differ</x:v>
      </x:c>
    </x:row>
    <x:row r="648" ht="18" customHeight="1">
      <x:c r="A648" s="6" t="str">
        <x:v>73</x:v>
      </x:c>
      <x:c r="B648" s="6" t="str">
        <x:v>SULAWESI SELATAN</x:v>
      </x:c>
      <x:c r="C648" s="6" t="str">
        <x:v>2025</x:v>
      </x:c>
      <x:c r="D648" s="6" t="str">
        <x:v>11</x:v>
      </x:c>
      <x:c r="E648" s="6" t="str">
        <x:v>11</x:v>
      </x:c>
      <x:c r="F648" s="6" t="str">
        <x:v>11</x:v>
      </x:c>
      <x:c r="G648" s="6" t="str">
        <x:v>2</x:v>
      </x:c>
      <x:c r="H648" s="6" t="str">
        <x:v>0</x:v>
      </x:c>
      <x:c r="I648" s="6" t="str">
        <x:v>9</x:v>
      </x:c>
      <x:c r="J648" s="6" t="str">
        <x:v>0</x:v>
      </x:c>
      <x:c r="K648" s="6" t="str">
        <x:v>0</x:v>
      </x:c>
      <x:c r="L648" s="6" t="str">
        <x:v>0</x:v>
      </x:c>
      <x:c r="M648" s="6" t="str">
        <x:v>0</x:v>
      </x:c>
      <x:c r="N648" s="6" t="str">
        <x:v>0</x:v>
      </x:c>
      <x:c r="O648" s="6" t="str">
        <x:v>0</x:v>
      </x:c>
      <x:c r="P648" s="6" t="str">
        <x:v>11</x:v>
      </x:c>
      <x:c r="Q648" s="6" t="str"/>
      <x:c r="R648" s="6" t="str">
        <x:v>0</x:v>
      </x:c>
      <x:c r="S648" s="6" t="str"/>
      <x:c r="T648" s="6" t="str">
        <x:v>0</x:v>
      </x:c>
      <x:c r="U648" s="6" t="str"/>
      <x:c r="V648" s="6" t="str">
        <x:v>0</x:v>
      </x:c>
      <x:c r="W648" s="6" t="str">
        <x:v>145.0</x:v>
      </x:c>
      <x:c r="X648" s="6" t="str">
        <x:v>11</x:v>
      </x:c>
      <x:c r="Y648" s="6" t="str">
        <x:v>489.0</x:v>
      </x:c>
      <x:c r="Z648" s="6" t="str">
        <x:v>2</x:v>
      </x:c>
      <x:c r="AA648" s="6" t="str">
        <x:v>8.0</x:v>
      </x:c>
      <x:c r="AB648" s="6" t="str">
        <x:v>11</x:v>
      </x:c>
      <x:c r="AC648" s="6" t="str">
        <x:v>2025-11</x:v>
      </x:c>
      <x:c r="AD648" s="9" t="str">
        <x:v>BNPB operational disaster search table</x:v>
      </x:c>
      <x:c r="AE648" s="9" t="str">
        <x:v>https://gis.bnpb.go.id/databencana/tabel/pencarian.php</x:v>
      </x:c>
      <x:c r="AF648" s="9" t="str">
        <x:v>operational_snapshot_annual_totals_may_differ</x:v>
      </x:c>
    </x:row>
    <x:row r="649" ht="18" customHeight="1">
      <x:c r="A649" s="6" t="str">
        <x:v>73</x:v>
      </x:c>
      <x:c r="B649" s="6" t="str">
        <x:v>SULAWESI SELATAN</x:v>
      </x:c>
      <x:c r="C649" s="6" t="str">
        <x:v>2025</x:v>
      </x:c>
      <x:c r="D649" s="6" t="str">
        <x:v>12</x:v>
      </x:c>
      <x:c r="E649" s="6" t="str">
        <x:v>7</x:v>
      </x:c>
      <x:c r="F649" s="6" t="str">
        <x:v>7</x:v>
      </x:c>
      <x:c r="G649" s="6" t="str">
        <x:v>0</x:v>
      </x:c>
      <x:c r="H649" s="6" t="str">
        <x:v>1</x:v>
      </x:c>
      <x:c r="I649" s="6" t="str">
        <x:v>6</x:v>
      </x:c>
      <x:c r="J649" s="6" t="str">
        <x:v>0</x:v>
      </x:c>
      <x:c r="K649" s="6" t="str">
        <x:v>0</x:v>
      </x:c>
      <x:c r="L649" s="6" t="str">
        <x:v>0</x:v>
      </x:c>
      <x:c r="M649" s="6" t="str">
        <x:v>0</x:v>
      </x:c>
      <x:c r="N649" s="6" t="str">
        <x:v>0</x:v>
      </x:c>
      <x:c r="O649" s="6" t="str">
        <x:v>0</x:v>
      </x:c>
      <x:c r="P649" s="6" t="str">
        <x:v>7</x:v>
      </x:c>
      <x:c r="Q649" s="6" t="str"/>
      <x:c r="R649" s="6" t="str">
        <x:v>0</x:v>
      </x:c>
      <x:c r="S649" s="6" t="str"/>
      <x:c r="T649" s="6" t="str">
        <x:v>0</x:v>
      </x:c>
      <x:c r="U649" s="6" t="str"/>
      <x:c r="V649" s="6" t="str">
        <x:v>0</x:v>
      </x:c>
      <x:c r="W649" s="6" t="str">
        <x:v>106.0</x:v>
      </x:c>
      <x:c r="X649" s="6" t="str">
        <x:v>7</x:v>
      </x:c>
      <x:c r="Y649" s="6" t="str"/>
      <x:c r="Z649" s="6" t="str">
        <x:v>0</x:v>
      </x:c>
      <x:c r="AA649" s="6" t="str">
        <x:v>9.0</x:v>
      </x:c>
      <x:c r="AB649" s="6" t="str">
        <x:v>7</x:v>
      </x:c>
      <x:c r="AC649" s="6" t="str">
        <x:v>2025-12</x:v>
      </x:c>
      <x:c r="AD649" s="9" t="str">
        <x:v>BNPB operational disaster search table</x:v>
      </x:c>
      <x:c r="AE649" s="9" t="str">
        <x:v>https://gis.bnpb.go.id/databencana/tabel/pencarian.php</x:v>
      </x:c>
      <x:c r="AF649" s="9" t="str">
        <x:v>operational_snapshot_annual_totals_may_differ</x:v>
      </x:c>
    </x:row>
    <x:row r="650" ht="18" customHeight="1">
      <x:c r="A650" s="6" t="str">
        <x:v>74</x:v>
      </x:c>
      <x:c r="B650" s="6" t="str">
        <x:v>SULAWESI TENGGARA</x:v>
      </x:c>
      <x:c r="C650" s="6" t="str">
        <x:v>2024</x:v>
      </x:c>
      <x:c r="D650" s="6" t="str">
        <x:v>1</x:v>
      </x:c>
      <x:c r="E650" s="6" t="str">
        <x:v>3</x:v>
      </x:c>
      <x:c r="F650" s="6" t="str">
        <x:v>3</x:v>
      </x:c>
      <x:c r="G650" s="6" t="str">
        <x:v>2</x:v>
      </x:c>
      <x:c r="H650" s="6" t="str">
        <x:v>0</x:v>
      </x:c>
      <x:c r="I650" s="6" t="str">
        <x:v>1</x:v>
      </x:c>
      <x:c r="J650" s="6" t="str">
        <x:v>0</x:v>
      </x:c>
      <x:c r="K650" s="6" t="str">
        <x:v>0</x:v>
      </x:c>
      <x:c r="L650" s="6" t="str">
        <x:v>0</x:v>
      </x:c>
      <x:c r="M650" s="6" t="str">
        <x:v>0</x:v>
      </x:c>
      <x:c r="N650" s="6" t="str">
        <x:v>0</x:v>
      </x:c>
      <x:c r="O650" s="6" t="str">
        <x:v>0</x:v>
      </x:c>
      <x:c r="P650" s="6" t="str">
        <x:v>3</x:v>
      </x:c>
      <x:c r="Q650" s="6" t="str">
        <x:v>0.0</x:v>
      </x:c>
      <x:c r="R650" s="6" t="str">
        <x:v>3</x:v>
      </x:c>
      <x:c r="S650" s="6" t="str">
        <x:v>0.0</x:v>
      </x:c>
      <x:c r="T650" s="6" t="str">
        <x:v>3</x:v>
      </x:c>
      <x:c r="U650" s="6" t="str">
        <x:v>0.0</x:v>
      </x:c>
      <x:c r="V650" s="6" t="str">
        <x:v>3</x:v>
      </x:c>
      <x:c r="W650" s="6" t="str">
        <x:v>69.0</x:v>
      </x:c>
      <x:c r="X650" s="6" t="str">
        <x:v>3</x:v>
      </x:c>
      <x:c r="Y650" s="6" t="str">
        <x:v>1330.0</x:v>
      </x:c>
      <x:c r="Z650" s="6" t="str">
        <x:v>2</x:v>
      </x:c>
      <x:c r="AA650" s="6" t="str">
        <x:v>0.0</x:v>
      </x:c>
      <x:c r="AB650" s="6" t="str">
        <x:v>3</x:v>
      </x:c>
      <x:c r="AC650" s="6" t="str">
        <x:v>2024-01</x:v>
      </x:c>
      <x:c r="AD650" s="9" t="str">
        <x:v>BNPB operational disaster search table</x:v>
      </x:c>
      <x:c r="AE650" s="9" t="str">
        <x:v>https://gis.bnpb.go.id/databencana/tabel/pencarian.php</x:v>
      </x:c>
      <x:c r="AF650" s="9" t="str">
        <x:v>operational_snapshot_annual_totals_may_differ</x:v>
      </x:c>
    </x:row>
    <x:row r="651" ht="18" customHeight="1">
      <x:c r="A651" s="6" t="str">
        <x:v>74</x:v>
      </x:c>
      <x:c r="B651" s="6" t="str">
        <x:v>SULAWESI TENGGARA</x:v>
      </x:c>
      <x:c r="C651" s="6" t="str">
        <x:v>2024</x:v>
      </x:c>
      <x:c r="D651" s="6" t="str">
        <x:v>2</x:v>
      </x:c>
      <x:c r="E651" s="6" t="str">
        <x:v>3</x:v>
      </x:c>
      <x:c r="F651" s="6" t="str">
        <x:v>3</x:v>
      </x:c>
      <x:c r="G651" s="6" t="str">
        <x:v>2</x:v>
      </x:c>
      <x:c r="H651" s="6" t="str">
        <x:v>0</x:v>
      </x:c>
      <x:c r="I651" s="6" t="str">
        <x:v>1</x:v>
      </x:c>
      <x:c r="J651" s="6" t="str">
        <x:v>0</x:v>
      </x:c>
      <x:c r="K651" s="6" t="str">
        <x:v>0</x:v>
      </x:c>
      <x:c r="L651" s="6" t="str">
        <x:v>0</x:v>
      </x:c>
      <x:c r="M651" s="6" t="str">
        <x:v>0</x:v>
      </x:c>
      <x:c r="N651" s="6" t="str">
        <x:v>0</x:v>
      </x:c>
      <x:c r="O651" s="6" t="str">
        <x:v>0</x:v>
      </x:c>
      <x:c r="P651" s="6" t="str">
        <x:v>3</x:v>
      </x:c>
      <x:c r="Q651" s="6" t="str">
        <x:v>1.0</x:v>
      </x:c>
      <x:c r="R651" s="6" t="str">
        <x:v>3</x:v>
      </x:c>
      <x:c r="S651" s="6" t="str">
        <x:v>0.0</x:v>
      </x:c>
      <x:c r="T651" s="6" t="str">
        <x:v>3</x:v>
      </x:c>
      <x:c r="U651" s="6" t="str">
        <x:v>0.0</x:v>
      </x:c>
      <x:c r="V651" s="6" t="str">
        <x:v>3</x:v>
      </x:c>
      <x:c r="W651" s="6" t="str">
        <x:v>0.0</x:v>
      </x:c>
      <x:c r="X651" s="6" t="str">
        <x:v>3</x:v>
      </x:c>
      <x:c r="Y651" s="6" t="str">
        <x:v>61.0</x:v>
      </x:c>
      <x:c r="Z651" s="6" t="str">
        <x:v>2</x:v>
      </x:c>
      <x:c r="AA651" s="6" t="str">
        <x:v>0.0</x:v>
      </x:c>
      <x:c r="AB651" s="6" t="str">
        <x:v>3</x:v>
      </x:c>
      <x:c r="AC651" s="6" t="str">
        <x:v>2024-02</x:v>
      </x:c>
      <x:c r="AD651" s="9" t="str">
        <x:v>BNPB operational disaster search table</x:v>
      </x:c>
      <x:c r="AE651" s="9" t="str">
        <x:v>https://gis.bnpb.go.id/databencana/tabel/pencarian.php</x:v>
      </x:c>
      <x:c r="AF651" s="9" t="str">
        <x:v>operational_snapshot_annual_totals_may_differ</x:v>
      </x:c>
    </x:row>
    <x:row r="652" ht="18" customHeight="1">
      <x:c r="A652" s="6" t="str">
        <x:v>74</x:v>
      </x:c>
      <x:c r="B652" s="6" t="str">
        <x:v>SULAWESI TENGGARA</x:v>
      </x:c>
      <x:c r="C652" s="6" t="str">
        <x:v>2024</x:v>
      </x:c>
      <x:c r="D652" s="6" t="str">
        <x:v>3</x:v>
      </x:c>
      <x:c r="E652" s="6" t="str">
        <x:v>4</x:v>
      </x:c>
      <x:c r="F652" s="6" t="str">
        <x:v>4</x:v>
      </x:c>
      <x:c r="G652" s="6" t="str">
        <x:v>3</x:v>
      </x:c>
      <x:c r="H652" s="6" t="str">
        <x:v>0</x:v>
      </x:c>
      <x:c r="I652" s="6" t="str">
        <x:v>1</x:v>
      </x:c>
      <x:c r="J652" s="6" t="str">
        <x:v>0</x:v>
      </x:c>
      <x:c r="K652" s="6" t="str">
        <x:v>0</x:v>
      </x:c>
      <x:c r="L652" s="6" t="str">
        <x:v>0</x:v>
      </x:c>
      <x:c r="M652" s="6" t="str">
        <x:v>0</x:v>
      </x:c>
      <x:c r="N652" s="6" t="str">
        <x:v>0</x:v>
      </x:c>
      <x:c r="O652" s="6" t="str">
        <x:v>0</x:v>
      </x:c>
      <x:c r="P652" s="6" t="str">
        <x:v>4</x:v>
      </x:c>
      <x:c r="Q652" s="6" t="str">
        <x:v>1.0</x:v>
      </x:c>
      <x:c r="R652" s="6" t="str">
        <x:v>4</x:v>
      </x:c>
      <x:c r="S652" s="6" t="str">
        <x:v>0.0</x:v>
      </x:c>
      <x:c r="T652" s="6" t="str">
        <x:v>4</x:v>
      </x:c>
      <x:c r="U652" s="6" t="str">
        <x:v>2.0</x:v>
      </x:c>
      <x:c r="V652" s="6" t="str">
        <x:v>4</x:v>
      </x:c>
      <x:c r="W652" s="6" t="str">
        <x:v>18.0</x:v>
      </x:c>
      <x:c r="X652" s="6" t="str">
        <x:v>4</x:v>
      </x:c>
      <x:c r="Y652" s="6" t="str">
        <x:v>3528.0</x:v>
      </x:c>
      <x:c r="Z652" s="6" t="str">
        <x:v>3</x:v>
      </x:c>
      <x:c r="AA652" s="6" t="str">
        <x:v>0.0</x:v>
      </x:c>
      <x:c r="AB652" s="6" t="str">
        <x:v>4</x:v>
      </x:c>
      <x:c r="AC652" s="6" t="str">
        <x:v>2024-03</x:v>
      </x:c>
      <x:c r="AD652" s="9" t="str">
        <x:v>BNPB operational disaster search table</x:v>
      </x:c>
      <x:c r="AE652" s="9" t="str">
        <x:v>https://gis.bnpb.go.id/databencana/tabel/pencarian.php</x:v>
      </x:c>
      <x:c r="AF652" s="9" t="str">
        <x:v>operational_snapshot_annual_totals_may_differ</x:v>
      </x:c>
    </x:row>
    <x:row r="653" ht="18" customHeight="1">
      <x:c r="A653" s="6" t="str">
        <x:v>74</x:v>
      </x:c>
      <x:c r="B653" s="6" t="str">
        <x:v>SULAWESI TENGGARA</x:v>
      </x:c>
      <x:c r="C653" s="6" t="str">
        <x:v>2024</x:v>
      </x:c>
      <x:c r="D653" s="6" t="str">
        <x:v>4</x:v>
      </x:c>
      <x:c r="E653" s="6" t="str">
        <x:v>0</x:v>
      </x:c>
      <x:c r="F653" s="6" t="str">
        <x:v>0</x:v>
      </x:c>
      <x:c r="G653" s="6" t="str">
        <x:v>0</x:v>
      </x:c>
      <x:c r="H653" s="6" t="str">
        <x:v>0</x:v>
      </x:c>
      <x:c r="I653" s="6" t="str">
        <x:v>0</x:v>
      </x:c>
      <x:c r="J653" s="6" t="str">
        <x:v>0</x:v>
      </x:c>
      <x:c r="K653" s="6" t="str">
        <x:v>0</x:v>
      </x:c>
      <x:c r="L653" s="6" t="str">
        <x:v>0</x:v>
      </x:c>
      <x:c r="M653" s="6" t="str">
        <x:v>0</x:v>
      </x:c>
      <x:c r="N653" s="6" t="str">
        <x:v>0</x:v>
      </x:c>
      <x:c r="O653" s="6" t="str">
        <x:v>0</x:v>
      </x:c>
      <x:c r="P653" s="6" t="str">
        <x:v>0</x:v>
      </x:c>
      <x:c r="Q653" s="6" t="str"/>
      <x:c r="R653" s="6" t="str">
        <x:v>0</x:v>
      </x:c>
      <x:c r="S653" s="6" t="str"/>
      <x:c r="T653" s="6" t="str">
        <x:v>0</x:v>
      </x:c>
      <x:c r="U653" s="6" t="str"/>
      <x:c r="V653" s="6" t="str">
        <x:v>0</x:v>
      </x:c>
      <x:c r="W653" s="6" t="str"/>
      <x:c r="X653" s="6" t="str">
        <x:v>0</x:v>
      </x:c>
      <x:c r="Y653" s="6" t="str"/>
      <x:c r="Z653" s="6" t="str">
        <x:v>0</x:v>
      </x:c>
      <x:c r="AA653" s="6" t="str"/>
      <x:c r="AB653" s="6" t="str">
        <x:v>0</x:v>
      </x:c>
      <x:c r="AC653" s="6" t="str">
        <x:v>2024-04</x:v>
      </x:c>
      <x:c r="AD653" s="9" t="str">
        <x:v>BNPB operational disaster search table</x:v>
      </x:c>
      <x:c r="AE653" s="9" t="str">
        <x:v>https://gis.bnpb.go.id/databencana/tabel/pencarian.php</x:v>
      </x:c>
      <x:c r="AF653" s="9" t="str">
        <x:v>operational_snapshot_annual_totals_may_differ</x:v>
      </x:c>
    </x:row>
    <x:row r="654" ht="18" customHeight="1">
      <x:c r="A654" s="6" t="str">
        <x:v>74</x:v>
      </x:c>
      <x:c r="B654" s="6" t="str">
        <x:v>SULAWESI TENGGARA</x:v>
      </x:c>
      <x:c r="C654" s="6" t="str">
        <x:v>2024</x:v>
      </x:c>
      <x:c r="D654" s="6" t="str">
        <x:v>5</x:v>
      </x:c>
      <x:c r="E654" s="6" t="str">
        <x:v>3</x:v>
      </x:c>
      <x:c r="F654" s="6" t="str">
        <x:v>3</x:v>
      </x:c>
      <x:c r="G654" s="6" t="str">
        <x:v>3</x:v>
      </x:c>
      <x:c r="H654" s="6" t="str">
        <x:v>0</x:v>
      </x:c>
      <x:c r="I654" s="6" t="str">
        <x:v>0</x:v>
      </x:c>
      <x:c r="J654" s="6" t="str">
        <x:v>0</x:v>
      </x:c>
      <x:c r="K654" s="6" t="str">
        <x:v>0</x:v>
      </x:c>
      <x:c r="L654" s="6" t="str">
        <x:v>0</x:v>
      </x:c>
      <x:c r="M654" s="6" t="str">
        <x:v>0</x:v>
      </x:c>
      <x:c r="N654" s="6" t="str">
        <x:v>0</x:v>
      </x:c>
      <x:c r="O654" s="6" t="str">
        <x:v>0</x:v>
      </x:c>
      <x:c r="P654" s="6" t="str">
        <x:v>3</x:v>
      </x:c>
      <x:c r="Q654" s="6" t="str">
        <x:v>0.0</x:v>
      </x:c>
      <x:c r="R654" s="6" t="str">
        <x:v>3</x:v>
      </x:c>
      <x:c r="S654" s="6" t="str">
        <x:v>0.0</x:v>
      </x:c>
      <x:c r="T654" s="6" t="str">
        <x:v>3</x:v>
      </x:c>
      <x:c r="U654" s="6" t="str">
        <x:v>0.0</x:v>
      </x:c>
      <x:c r="V654" s="6" t="str">
        <x:v>3</x:v>
      </x:c>
      <x:c r="W654" s="6" t="str">
        <x:v>1.0</x:v>
      </x:c>
      <x:c r="X654" s="6" t="str">
        <x:v>3</x:v>
      </x:c>
      <x:c r="Y654" s="6" t="str">
        <x:v>374.0</x:v>
      </x:c>
      <x:c r="Z654" s="6" t="str">
        <x:v>3</x:v>
      </x:c>
      <x:c r="AA654" s="6" t="str">
        <x:v>1.0</x:v>
      </x:c>
      <x:c r="AB654" s="6" t="str">
        <x:v>3</x:v>
      </x:c>
      <x:c r="AC654" s="6" t="str">
        <x:v>2024-05</x:v>
      </x:c>
      <x:c r="AD654" s="9" t="str">
        <x:v>BNPB operational disaster search table</x:v>
      </x:c>
      <x:c r="AE654" s="9" t="str">
        <x:v>https://gis.bnpb.go.id/databencana/tabel/pencarian.php</x:v>
      </x:c>
      <x:c r="AF654" s="9" t="str">
        <x:v>operational_snapshot_annual_totals_may_differ</x:v>
      </x:c>
    </x:row>
    <x:row r="655" ht="18" customHeight="1">
      <x:c r="A655" s="6" t="str">
        <x:v>74</x:v>
      </x:c>
      <x:c r="B655" s="6" t="str">
        <x:v>SULAWESI TENGGARA</x:v>
      </x:c>
      <x:c r="C655" s="6" t="str">
        <x:v>2024</x:v>
      </x:c>
      <x:c r="D655" s="6" t="str">
        <x:v>6</x:v>
      </x:c>
      <x:c r="E655" s="6" t="str">
        <x:v>1</x:v>
      </x:c>
      <x:c r="F655" s="6" t="str">
        <x:v>1</x:v>
      </x:c>
      <x:c r="G655" s="6" t="str">
        <x:v>1</x:v>
      </x:c>
      <x:c r="H655" s="6" t="str">
        <x:v>0</x:v>
      </x:c>
      <x:c r="I655" s="6" t="str">
        <x:v>0</x:v>
      </x:c>
      <x:c r="J655" s="6" t="str">
        <x:v>0</x:v>
      </x:c>
      <x:c r="K655" s="6" t="str">
        <x:v>0</x:v>
      </x:c>
      <x:c r="L655" s="6" t="str">
        <x:v>0</x:v>
      </x:c>
      <x:c r="M655" s="6" t="str">
        <x:v>0</x:v>
      </x:c>
      <x:c r="N655" s="6" t="str">
        <x:v>0</x:v>
      </x:c>
      <x:c r="O655" s="6" t="str">
        <x:v>0</x:v>
      </x:c>
      <x:c r="P655" s="6" t="str">
        <x:v>1</x:v>
      </x:c>
      <x:c r="Q655" s="6" t="str">
        <x:v>0.0</x:v>
      </x:c>
      <x:c r="R655" s="6" t="str">
        <x:v>1</x:v>
      </x:c>
      <x:c r="S655" s="6" t="str">
        <x:v>0.0</x:v>
      </x:c>
      <x:c r="T655" s="6" t="str">
        <x:v>1</x:v>
      </x:c>
      <x:c r="U655" s="6" t="str">
        <x:v>0.0</x:v>
      </x:c>
      <x:c r="V655" s="6" t="str">
        <x:v>1</x:v>
      </x:c>
      <x:c r="W655" s="6" t="str">
        <x:v>0.0</x:v>
      </x:c>
      <x:c r="X655" s="6" t="str">
        <x:v>1</x:v>
      </x:c>
      <x:c r="Y655" s="6" t="str">
        <x:v>104.0</x:v>
      </x:c>
      <x:c r="Z655" s="6" t="str">
        <x:v>1</x:v>
      </x:c>
      <x:c r="AA655" s="6" t="str">
        <x:v>1.0</x:v>
      </x:c>
      <x:c r="AB655" s="6" t="str">
        <x:v>1</x:v>
      </x:c>
      <x:c r="AC655" s="6" t="str">
        <x:v>2024-06</x:v>
      </x:c>
      <x:c r="AD655" s="9" t="str">
        <x:v>BNPB operational disaster search table</x:v>
      </x:c>
      <x:c r="AE655" s="9" t="str">
        <x:v>https://gis.bnpb.go.id/databencana/tabel/pencarian.php</x:v>
      </x:c>
      <x:c r="AF655" s="9" t="str">
        <x:v>operational_snapshot_annual_totals_may_differ</x:v>
      </x:c>
    </x:row>
    <x:row r="656" ht="18" customHeight="1">
      <x:c r="A656" s="6" t="str">
        <x:v>74</x:v>
      </x:c>
      <x:c r="B656" s="6" t="str">
        <x:v>SULAWESI TENGGARA</x:v>
      </x:c>
      <x:c r="C656" s="6" t="str">
        <x:v>2024</x:v>
      </x:c>
      <x:c r="D656" s="6" t="str">
        <x:v>7</x:v>
      </x:c>
      <x:c r="E656" s="6" t="str">
        <x:v>6</x:v>
      </x:c>
      <x:c r="F656" s="6" t="str">
        <x:v>6</x:v>
      </x:c>
      <x:c r="G656" s="6" t="str">
        <x:v>6</x:v>
      </x:c>
      <x:c r="H656" s="6" t="str">
        <x:v>0</x:v>
      </x:c>
      <x:c r="I656" s="6" t="str">
        <x:v>0</x:v>
      </x:c>
      <x:c r="J656" s="6" t="str">
        <x:v>0</x:v>
      </x:c>
      <x:c r="K656" s="6" t="str">
        <x:v>0</x:v>
      </x:c>
      <x:c r="L656" s="6" t="str">
        <x:v>0</x:v>
      </x:c>
      <x:c r="M656" s="6" t="str">
        <x:v>0</x:v>
      </x:c>
      <x:c r="N656" s="6" t="str">
        <x:v>0</x:v>
      </x:c>
      <x:c r="O656" s="6" t="str">
        <x:v>0</x:v>
      </x:c>
      <x:c r="P656" s="6" t="str">
        <x:v>6</x:v>
      </x:c>
      <x:c r="Q656" s="6" t="str">
        <x:v>0.0</x:v>
      </x:c>
      <x:c r="R656" s="6" t="str">
        <x:v>6</x:v>
      </x:c>
      <x:c r="S656" s="6" t="str">
        <x:v>0.0</x:v>
      </x:c>
      <x:c r="T656" s="6" t="str">
        <x:v>6</x:v>
      </x:c>
      <x:c r="U656" s="6" t="str">
        <x:v>1.0</x:v>
      </x:c>
      <x:c r="V656" s="6" t="str">
        <x:v>6</x:v>
      </x:c>
      <x:c r="W656" s="6" t="str">
        <x:v>0.0</x:v>
      </x:c>
      <x:c r="X656" s="6" t="str">
        <x:v>6</x:v>
      </x:c>
      <x:c r="Y656" s="6" t="str">
        <x:v>1820.0</x:v>
      </x:c>
      <x:c r="Z656" s="6" t="str">
        <x:v>3</x:v>
      </x:c>
      <x:c r="AA656" s="6" t="str">
        <x:v>0.0</x:v>
      </x:c>
      <x:c r="AB656" s="6" t="str">
        <x:v>6</x:v>
      </x:c>
      <x:c r="AC656" s="6" t="str">
        <x:v>2024-07</x:v>
      </x:c>
      <x:c r="AD656" s="9" t="str">
        <x:v>BNPB operational disaster search table</x:v>
      </x:c>
      <x:c r="AE656" s="9" t="str">
        <x:v>https://gis.bnpb.go.id/databencana/tabel/pencarian.php</x:v>
      </x:c>
      <x:c r="AF656" s="9" t="str">
        <x:v>operational_snapshot_annual_totals_may_differ</x:v>
      </x:c>
    </x:row>
    <x:row r="657" ht="18" customHeight="1">
      <x:c r="A657" s="6" t="str">
        <x:v>74</x:v>
      </x:c>
      <x:c r="B657" s="6" t="str">
        <x:v>SULAWESI TENGGARA</x:v>
      </x:c>
      <x:c r="C657" s="6" t="str">
        <x:v>2024</x:v>
      </x:c>
      <x:c r="D657" s="6" t="str">
        <x:v>8</x:v>
      </x:c>
      <x:c r="E657" s="6" t="str">
        <x:v>0</x:v>
      </x:c>
      <x:c r="F657" s="6" t="str">
        <x:v>0</x:v>
      </x:c>
      <x:c r="G657" s="6" t="str">
        <x:v>0</x:v>
      </x:c>
      <x:c r="H657" s="6" t="str">
        <x:v>0</x:v>
      </x:c>
      <x:c r="I657" s="6" t="str">
        <x:v>0</x:v>
      </x:c>
      <x:c r="J657" s="6" t="str">
        <x:v>0</x:v>
      </x:c>
      <x:c r="K657" s="6" t="str">
        <x:v>0</x:v>
      </x:c>
      <x:c r="L657" s="6" t="str">
        <x:v>0</x:v>
      </x:c>
      <x:c r="M657" s="6" t="str">
        <x:v>0</x:v>
      </x:c>
      <x:c r="N657" s="6" t="str">
        <x:v>0</x:v>
      </x:c>
      <x:c r="O657" s="6" t="str">
        <x:v>0</x:v>
      </x:c>
      <x:c r="P657" s="6" t="str">
        <x:v>0</x:v>
      </x:c>
      <x:c r="Q657" s="6" t="str"/>
      <x:c r="R657" s="6" t="str">
        <x:v>0</x:v>
      </x:c>
      <x:c r="S657" s="6" t="str"/>
      <x:c r="T657" s="6" t="str">
        <x:v>0</x:v>
      </x:c>
      <x:c r="U657" s="6" t="str"/>
      <x:c r="V657" s="6" t="str">
        <x:v>0</x:v>
      </x:c>
      <x:c r="W657" s="6" t="str"/>
      <x:c r="X657" s="6" t="str">
        <x:v>0</x:v>
      </x:c>
      <x:c r="Y657" s="6" t="str"/>
      <x:c r="Z657" s="6" t="str">
        <x:v>0</x:v>
      </x:c>
      <x:c r="AA657" s="6" t="str"/>
      <x:c r="AB657" s="6" t="str">
        <x:v>0</x:v>
      </x:c>
      <x:c r="AC657" s="6" t="str">
        <x:v>2024-08</x:v>
      </x:c>
      <x:c r="AD657" s="9" t="str">
        <x:v>BNPB operational disaster search table</x:v>
      </x:c>
      <x:c r="AE657" s="9" t="str">
        <x:v>https://gis.bnpb.go.id/databencana/tabel/pencarian.php</x:v>
      </x:c>
      <x:c r="AF657" s="9" t="str">
        <x:v>operational_snapshot_annual_totals_may_differ</x:v>
      </x:c>
    </x:row>
    <x:row r="658" ht="18" customHeight="1">
      <x:c r="A658" s="6" t="str">
        <x:v>74</x:v>
      </x:c>
      <x:c r="B658" s="6" t="str">
        <x:v>SULAWESI TENGGARA</x:v>
      </x:c>
      <x:c r="C658" s="6" t="str">
        <x:v>2024</x:v>
      </x:c>
      <x:c r="D658" s="6" t="str">
        <x:v>9</x:v>
      </x:c>
      <x:c r="E658" s="6" t="str">
        <x:v>0</x:v>
      </x:c>
      <x:c r="F658" s="6" t="str">
        <x:v>0</x:v>
      </x:c>
      <x:c r="G658" s="6" t="str">
        <x:v>0</x:v>
      </x:c>
      <x:c r="H658" s="6" t="str">
        <x:v>0</x:v>
      </x:c>
      <x:c r="I658" s="6" t="str">
        <x:v>0</x:v>
      </x:c>
      <x:c r="J658" s="6" t="str">
        <x:v>0</x:v>
      </x:c>
      <x:c r="K658" s="6" t="str">
        <x:v>0</x:v>
      </x:c>
      <x:c r="L658" s="6" t="str">
        <x:v>0</x:v>
      </x:c>
      <x:c r="M658" s="6" t="str">
        <x:v>0</x:v>
      </x:c>
      <x:c r="N658" s="6" t="str">
        <x:v>0</x:v>
      </x:c>
      <x:c r="O658" s="6" t="str">
        <x:v>0</x:v>
      </x:c>
      <x:c r="P658" s="6" t="str">
        <x:v>0</x:v>
      </x:c>
      <x:c r="Q658" s="6" t="str"/>
      <x:c r="R658" s="6" t="str">
        <x:v>0</x:v>
      </x:c>
      <x:c r="S658" s="6" t="str"/>
      <x:c r="T658" s="6" t="str">
        <x:v>0</x:v>
      </x:c>
      <x:c r="U658" s="6" t="str"/>
      <x:c r="V658" s="6" t="str">
        <x:v>0</x:v>
      </x:c>
      <x:c r="W658" s="6" t="str"/>
      <x:c r="X658" s="6" t="str">
        <x:v>0</x:v>
      </x:c>
      <x:c r="Y658" s="6" t="str"/>
      <x:c r="Z658" s="6" t="str">
        <x:v>0</x:v>
      </x:c>
      <x:c r="AA658" s="6" t="str"/>
      <x:c r="AB658" s="6" t="str">
        <x:v>0</x:v>
      </x:c>
      <x:c r="AC658" s="6" t="str">
        <x:v>2024-09</x:v>
      </x:c>
      <x:c r="AD658" s="9" t="str">
        <x:v>BNPB operational disaster search table</x:v>
      </x:c>
      <x:c r="AE658" s="9" t="str">
        <x:v>https://gis.bnpb.go.id/databencana/tabel/pencarian.php</x:v>
      </x:c>
      <x:c r="AF658" s="9" t="str">
        <x:v>operational_snapshot_annual_totals_may_differ</x:v>
      </x:c>
    </x:row>
    <x:row r="659" ht="18" customHeight="1">
      <x:c r="A659" s="6" t="str">
        <x:v>74</x:v>
      </x:c>
      <x:c r="B659" s="6" t="str">
        <x:v>SULAWESI TENGGARA</x:v>
      </x:c>
      <x:c r="C659" s="6" t="str">
        <x:v>2024</x:v>
      </x:c>
      <x:c r="D659" s="6" t="str">
        <x:v>10</x:v>
      </x:c>
      <x:c r="E659" s="6" t="str">
        <x:v>0</x:v>
      </x:c>
      <x:c r="F659" s="6" t="str">
        <x:v>0</x:v>
      </x:c>
      <x:c r="G659" s="6" t="str">
        <x:v>0</x:v>
      </x:c>
      <x:c r="H659" s="6" t="str">
        <x:v>0</x:v>
      </x:c>
      <x:c r="I659" s="6" t="str">
        <x:v>0</x:v>
      </x:c>
      <x:c r="J659" s="6" t="str">
        <x:v>0</x:v>
      </x:c>
      <x:c r="K659" s="6" t="str">
        <x:v>0</x:v>
      </x:c>
      <x:c r="L659" s="6" t="str">
        <x:v>0</x:v>
      </x:c>
      <x:c r="M659" s="6" t="str">
        <x:v>0</x:v>
      </x:c>
      <x:c r="N659" s="6" t="str">
        <x:v>0</x:v>
      </x:c>
      <x:c r="O659" s="6" t="str">
        <x:v>0</x:v>
      </x:c>
      <x:c r="P659" s="6" t="str">
        <x:v>0</x:v>
      </x:c>
      <x:c r="Q659" s="6" t="str"/>
      <x:c r="R659" s="6" t="str">
        <x:v>0</x:v>
      </x:c>
      <x:c r="S659" s="6" t="str"/>
      <x:c r="T659" s="6" t="str">
        <x:v>0</x:v>
      </x:c>
      <x:c r="U659" s="6" t="str"/>
      <x:c r="V659" s="6" t="str">
        <x:v>0</x:v>
      </x:c>
      <x:c r="W659" s="6" t="str"/>
      <x:c r="X659" s="6" t="str">
        <x:v>0</x:v>
      </x:c>
      <x:c r="Y659" s="6" t="str"/>
      <x:c r="Z659" s="6" t="str">
        <x:v>0</x:v>
      </x:c>
      <x:c r="AA659" s="6" t="str"/>
      <x:c r="AB659" s="6" t="str">
        <x:v>0</x:v>
      </x:c>
      <x:c r="AC659" s="6" t="str">
        <x:v>2024-10</x:v>
      </x:c>
      <x:c r="AD659" s="9" t="str">
        <x:v>BNPB operational disaster search table</x:v>
      </x:c>
      <x:c r="AE659" s="9" t="str">
        <x:v>https://gis.bnpb.go.id/databencana/tabel/pencarian.php</x:v>
      </x:c>
      <x:c r="AF659" s="9" t="str">
        <x:v>operational_snapshot_annual_totals_may_differ</x:v>
      </x:c>
    </x:row>
    <x:row r="660" ht="18" customHeight="1">
      <x:c r="A660" s="6" t="str">
        <x:v>74</x:v>
      </x:c>
      <x:c r="B660" s="6" t="str">
        <x:v>SULAWESI TENGGARA</x:v>
      </x:c>
      <x:c r="C660" s="6" t="str">
        <x:v>2024</x:v>
      </x:c>
      <x:c r="D660" s="6" t="str">
        <x:v>11</x:v>
      </x:c>
      <x:c r="E660" s="6" t="str">
        <x:v>0</x:v>
      </x:c>
      <x:c r="F660" s="6" t="str">
        <x:v>0</x:v>
      </x:c>
      <x:c r="G660" s="6" t="str">
        <x:v>0</x:v>
      </x:c>
      <x:c r="H660" s="6" t="str">
        <x:v>0</x:v>
      </x:c>
      <x:c r="I660" s="6" t="str">
        <x:v>0</x:v>
      </x:c>
      <x:c r="J660" s="6" t="str">
        <x:v>0</x:v>
      </x:c>
      <x:c r="K660" s="6" t="str">
        <x:v>0</x:v>
      </x:c>
      <x:c r="L660" s="6" t="str">
        <x:v>0</x:v>
      </x:c>
      <x:c r="M660" s="6" t="str">
        <x:v>0</x:v>
      </x:c>
      <x:c r="N660" s="6" t="str">
        <x:v>0</x:v>
      </x:c>
      <x:c r="O660" s="6" t="str">
        <x:v>0</x:v>
      </x:c>
      <x:c r="P660" s="6" t="str">
        <x:v>0</x:v>
      </x:c>
      <x:c r="Q660" s="6" t="str"/>
      <x:c r="R660" s="6" t="str">
        <x:v>0</x:v>
      </x:c>
      <x:c r="S660" s="6" t="str"/>
      <x:c r="T660" s="6" t="str">
        <x:v>0</x:v>
      </x:c>
      <x:c r="U660" s="6" t="str"/>
      <x:c r="V660" s="6" t="str">
        <x:v>0</x:v>
      </x:c>
      <x:c r="W660" s="6" t="str"/>
      <x:c r="X660" s="6" t="str">
        <x:v>0</x:v>
      </x:c>
      <x:c r="Y660" s="6" t="str"/>
      <x:c r="Z660" s="6" t="str">
        <x:v>0</x:v>
      </x:c>
      <x:c r="AA660" s="6" t="str"/>
      <x:c r="AB660" s="6" t="str">
        <x:v>0</x:v>
      </x:c>
      <x:c r="AC660" s="6" t="str">
        <x:v>2024-11</x:v>
      </x:c>
      <x:c r="AD660" s="9" t="str">
        <x:v>BNPB operational disaster search table</x:v>
      </x:c>
      <x:c r="AE660" s="9" t="str">
        <x:v>https://gis.bnpb.go.id/databencana/tabel/pencarian.php</x:v>
      </x:c>
      <x:c r="AF660" s="9" t="str">
        <x:v>operational_snapshot_annual_totals_may_differ</x:v>
      </x:c>
    </x:row>
    <x:row r="661" ht="18" customHeight="1">
      <x:c r="A661" s="6" t="str">
        <x:v>74</x:v>
      </x:c>
      <x:c r="B661" s="6" t="str">
        <x:v>SULAWESI TENGGARA</x:v>
      </x:c>
      <x:c r="C661" s="6" t="str">
        <x:v>2024</x:v>
      </x:c>
      <x:c r="D661" s="6" t="str">
        <x:v>12</x:v>
      </x:c>
      <x:c r="E661" s="6" t="str">
        <x:v>0</x:v>
      </x:c>
      <x:c r="F661" s="6" t="str">
        <x:v>0</x:v>
      </x:c>
      <x:c r="G661" s="6" t="str">
        <x:v>0</x:v>
      </x:c>
      <x:c r="H661" s="6" t="str">
        <x:v>0</x:v>
      </x:c>
      <x:c r="I661" s="6" t="str">
        <x:v>0</x:v>
      </x:c>
      <x:c r="J661" s="6" t="str">
        <x:v>0</x:v>
      </x:c>
      <x:c r="K661" s="6" t="str">
        <x:v>0</x:v>
      </x:c>
      <x:c r="L661" s="6" t="str">
        <x:v>0</x:v>
      </x:c>
      <x:c r="M661" s="6" t="str">
        <x:v>0</x:v>
      </x:c>
      <x:c r="N661" s="6" t="str">
        <x:v>0</x:v>
      </x:c>
      <x:c r="O661" s="6" t="str">
        <x:v>0</x:v>
      </x:c>
      <x:c r="P661" s="6" t="str">
        <x:v>0</x:v>
      </x:c>
      <x:c r="Q661" s="6" t="str"/>
      <x:c r="R661" s="6" t="str">
        <x:v>0</x:v>
      </x:c>
      <x:c r="S661" s="6" t="str"/>
      <x:c r="T661" s="6" t="str">
        <x:v>0</x:v>
      </x:c>
      <x:c r="U661" s="6" t="str"/>
      <x:c r="V661" s="6" t="str">
        <x:v>0</x:v>
      </x:c>
      <x:c r="W661" s="6" t="str"/>
      <x:c r="X661" s="6" t="str">
        <x:v>0</x:v>
      </x:c>
      <x:c r="Y661" s="6" t="str"/>
      <x:c r="Z661" s="6" t="str">
        <x:v>0</x:v>
      </x:c>
      <x:c r="AA661" s="6" t="str"/>
      <x:c r="AB661" s="6" t="str">
        <x:v>0</x:v>
      </x:c>
      <x:c r="AC661" s="6" t="str">
        <x:v>2024-12</x:v>
      </x:c>
      <x:c r="AD661" s="9" t="str">
        <x:v>BNPB operational disaster search table</x:v>
      </x:c>
      <x:c r="AE661" s="9" t="str">
        <x:v>https://gis.bnpb.go.id/databencana/tabel/pencarian.php</x:v>
      </x:c>
      <x:c r="AF661" s="9" t="str">
        <x:v>operational_snapshot_annual_totals_may_differ</x:v>
      </x:c>
    </x:row>
    <x:row r="662" ht="18" customHeight="1">
      <x:c r="A662" s="6" t="str">
        <x:v>74</x:v>
      </x:c>
      <x:c r="B662" s="6" t="str">
        <x:v>SULAWESI TENGGARA</x:v>
      </x:c>
      <x:c r="C662" s="6" t="str">
        <x:v>2025</x:v>
      </x:c>
      <x:c r="D662" s="6" t="str">
        <x:v>1</x:v>
      </x:c>
      <x:c r="E662" s="6" t="str">
        <x:v>1</x:v>
      </x:c>
      <x:c r="F662" s="6" t="str">
        <x:v>1</x:v>
      </x:c>
      <x:c r="G662" s="6" t="str">
        <x:v>0</x:v>
      </x:c>
      <x:c r="H662" s="6" t="str">
        <x:v>0</x:v>
      </x:c>
      <x:c r="I662" s="6" t="str">
        <x:v>0</x:v>
      </x:c>
      <x:c r="J662" s="6" t="str">
        <x:v>0</x:v>
      </x:c>
      <x:c r="K662" s="6" t="str">
        <x:v>0</x:v>
      </x:c>
      <x:c r="L662" s="6" t="str">
        <x:v>0</x:v>
      </x:c>
      <x:c r="M662" s="6" t="str">
        <x:v>1</x:v>
      </x:c>
      <x:c r="N662" s="6" t="str">
        <x:v>0</x:v>
      </x:c>
      <x:c r="O662" s="6" t="str">
        <x:v>0</x:v>
      </x:c>
      <x:c r="P662" s="6" t="str">
        <x:v>0</x:v>
      </x:c>
      <x:c r="Q662" s="6" t="str">
        <x:v>0.0</x:v>
      </x:c>
      <x:c r="R662" s="6" t="str">
        <x:v>1</x:v>
      </x:c>
      <x:c r="S662" s="6" t="str">
        <x:v>0.0</x:v>
      </x:c>
      <x:c r="T662" s="6" t="str">
        <x:v>1</x:v>
      </x:c>
      <x:c r="U662" s="6" t="str">
        <x:v>0.0</x:v>
      </x:c>
      <x:c r="V662" s="6" t="str">
        <x:v>1</x:v>
      </x:c>
      <x:c r="W662" s="6" t="str">
        <x:v>161.0</x:v>
      </x:c>
      <x:c r="X662" s="6" t="str">
        <x:v>1</x:v>
      </x:c>
      <x:c r="Y662" s="6" t="str"/>
      <x:c r="Z662" s="6" t="str">
        <x:v>0</x:v>
      </x:c>
      <x:c r="AA662" s="6" t="str">
        <x:v>0.0</x:v>
      </x:c>
      <x:c r="AB662" s="6" t="str">
        <x:v>1</x:v>
      </x:c>
      <x:c r="AC662" s="6" t="str">
        <x:v>2025-01</x:v>
      </x:c>
      <x:c r="AD662" s="9" t="str">
        <x:v>BNPB operational disaster search table</x:v>
      </x:c>
      <x:c r="AE662" s="9" t="str">
        <x:v>https://gis.bnpb.go.id/databencana/tabel/pencarian.php</x:v>
      </x:c>
      <x:c r="AF662" s="9" t="str">
        <x:v>operational_snapshot_annual_totals_may_differ</x:v>
      </x:c>
    </x:row>
    <x:row r="663" ht="18" customHeight="1">
      <x:c r="A663" s="6" t="str">
        <x:v>74</x:v>
      </x:c>
      <x:c r="B663" s="6" t="str">
        <x:v>SULAWESI TENGGARA</x:v>
      </x:c>
      <x:c r="C663" s="6" t="str">
        <x:v>2025</x:v>
      </x:c>
      <x:c r="D663" s="6" t="str">
        <x:v>2</x:v>
      </x:c>
      <x:c r="E663" s="6" t="str">
        <x:v>0</x:v>
      </x:c>
      <x:c r="F663" s="6" t="str">
        <x:v>0</x:v>
      </x:c>
      <x:c r="G663" s="6" t="str">
        <x:v>0</x:v>
      </x:c>
      <x:c r="H663" s="6" t="str">
        <x:v>0</x:v>
      </x:c>
      <x:c r="I663" s="6" t="str">
        <x:v>0</x:v>
      </x:c>
      <x:c r="J663" s="6" t="str">
        <x:v>0</x:v>
      </x:c>
      <x:c r="K663" s="6" t="str">
        <x:v>0</x:v>
      </x:c>
      <x:c r="L663" s="6" t="str">
        <x:v>0</x:v>
      </x:c>
      <x:c r="M663" s="6" t="str">
        <x:v>0</x:v>
      </x:c>
      <x:c r="N663" s="6" t="str">
        <x:v>0</x:v>
      </x:c>
      <x:c r="O663" s="6" t="str">
        <x:v>0</x:v>
      </x:c>
      <x:c r="P663" s="6" t="str">
        <x:v>0</x:v>
      </x:c>
      <x:c r="Q663" s="6" t="str"/>
      <x:c r="R663" s="6" t="str">
        <x:v>0</x:v>
      </x:c>
      <x:c r="S663" s="6" t="str"/>
      <x:c r="T663" s="6" t="str">
        <x:v>0</x:v>
      </x:c>
      <x:c r="U663" s="6" t="str"/>
      <x:c r="V663" s="6" t="str">
        <x:v>0</x:v>
      </x:c>
      <x:c r="W663" s="6" t="str"/>
      <x:c r="X663" s="6" t="str">
        <x:v>0</x:v>
      </x:c>
      <x:c r="Y663" s="6" t="str"/>
      <x:c r="Z663" s="6" t="str">
        <x:v>0</x:v>
      </x:c>
      <x:c r="AA663" s="6" t="str"/>
      <x:c r="AB663" s="6" t="str">
        <x:v>0</x:v>
      </x:c>
      <x:c r="AC663" s="6" t="str">
        <x:v>2025-02</x:v>
      </x:c>
      <x:c r="AD663" s="9" t="str">
        <x:v>BNPB operational disaster search table</x:v>
      </x:c>
      <x:c r="AE663" s="9" t="str">
        <x:v>https://gis.bnpb.go.id/databencana/tabel/pencarian.php</x:v>
      </x:c>
      <x:c r="AF663" s="9" t="str">
        <x:v>operational_snapshot_annual_totals_may_differ</x:v>
      </x:c>
    </x:row>
    <x:row r="664" ht="18" customHeight="1">
      <x:c r="A664" s="6" t="str">
        <x:v>74</x:v>
      </x:c>
      <x:c r="B664" s="6" t="str">
        <x:v>SULAWESI TENGGARA</x:v>
      </x:c>
      <x:c r="C664" s="6" t="str">
        <x:v>2025</x:v>
      </x:c>
      <x:c r="D664" s="6" t="str">
        <x:v>3</x:v>
      </x:c>
      <x:c r="E664" s="6" t="str">
        <x:v>2</x:v>
      </x:c>
      <x:c r="F664" s="6" t="str">
        <x:v>2</x:v>
      </x:c>
      <x:c r="G664" s="6" t="str">
        <x:v>2</x:v>
      </x:c>
      <x:c r="H664" s="6" t="str">
        <x:v>0</x:v>
      </x:c>
      <x:c r="I664" s="6" t="str">
        <x:v>0</x:v>
      </x:c>
      <x:c r="J664" s="6" t="str">
        <x:v>0</x:v>
      </x:c>
      <x:c r="K664" s="6" t="str">
        <x:v>0</x:v>
      </x:c>
      <x:c r="L664" s="6" t="str">
        <x:v>0</x:v>
      </x:c>
      <x:c r="M664" s="6" t="str">
        <x:v>0</x:v>
      </x:c>
      <x:c r="N664" s="6" t="str">
        <x:v>0</x:v>
      </x:c>
      <x:c r="O664" s="6" t="str">
        <x:v>0</x:v>
      </x:c>
      <x:c r="P664" s="6" t="str">
        <x:v>2</x:v>
      </x:c>
      <x:c r="Q664" s="6" t="str">
        <x:v>0.0</x:v>
      </x:c>
      <x:c r="R664" s="6" t="str">
        <x:v>2</x:v>
      </x:c>
      <x:c r="S664" s="6" t="str">
        <x:v>0.0</x:v>
      </x:c>
      <x:c r="T664" s="6" t="str">
        <x:v>2</x:v>
      </x:c>
      <x:c r="U664" s="6" t="str">
        <x:v>0.0</x:v>
      </x:c>
      <x:c r="V664" s="6" t="str">
        <x:v>2</x:v>
      </x:c>
      <x:c r="W664" s="6" t="str">
        <x:v>0.0</x:v>
      </x:c>
      <x:c r="X664" s="6" t="str">
        <x:v>2</x:v>
      </x:c>
      <x:c r="Y664" s="6" t="str">
        <x:v>131.0</x:v>
      </x:c>
      <x:c r="Z664" s="6" t="str">
        <x:v>2</x:v>
      </x:c>
      <x:c r="AA664" s="6" t="str">
        <x:v>0.0</x:v>
      </x:c>
      <x:c r="AB664" s="6" t="str">
        <x:v>2</x:v>
      </x:c>
      <x:c r="AC664" s="6" t="str">
        <x:v>2025-03</x:v>
      </x:c>
      <x:c r="AD664" s="9" t="str">
        <x:v>BNPB operational disaster search table</x:v>
      </x:c>
      <x:c r="AE664" s="9" t="str">
        <x:v>https://gis.bnpb.go.id/databencana/tabel/pencarian.php</x:v>
      </x:c>
      <x:c r="AF664" s="9" t="str">
        <x:v>operational_snapshot_annual_totals_may_differ</x:v>
      </x:c>
    </x:row>
    <x:row r="665" ht="18" customHeight="1">
      <x:c r="A665" s="6" t="str">
        <x:v>74</x:v>
      </x:c>
      <x:c r="B665" s="6" t="str">
        <x:v>SULAWESI TENGGARA</x:v>
      </x:c>
      <x:c r="C665" s="6" t="str">
        <x:v>2025</x:v>
      </x:c>
      <x:c r="D665" s="6" t="str">
        <x:v>4</x:v>
      </x:c>
      <x:c r="E665" s="6" t="str">
        <x:v>0</x:v>
      </x:c>
      <x:c r="F665" s="6" t="str">
        <x:v>0</x:v>
      </x:c>
      <x:c r="G665" s="6" t="str">
        <x:v>0</x:v>
      </x:c>
      <x:c r="H665" s="6" t="str">
        <x:v>0</x:v>
      </x:c>
      <x:c r="I665" s="6" t="str">
        <x:v>0</x:v>
      </x:c>
      <x:c r="J665" s="6" t="str">
        <x:v>0</x:v>
      </x:c>
      <x:c r="K665" s="6" t="str">
        <x:v>0</x:v>
      </x:c>
      <x:c r="L665" s="6" t="str">
        <x:v>0</x:v>
      </x:c>
      <x:c r="M665" s="6" t="str">
        <x:v>0</x:v>
      </x:c>
      <x:c r="N665" s="6" t="str">
        <x:v>0</x:v>
      </x:c>
      <x:c r="O665" s="6" t="str">
        <x:v>0</x:v>
      </x:c>
      <x:c r="P665" s="6" t="str">
        <x:v>0</x:v>
      </x:c>
      <x:c r="Q665" s="6" t="str"/>
      <x:c r="R665" s="6" t="str">
        <x:v>0</x:v>
      </x:c>
      <x:c r="S665" s="6" t="str"/>
      <x:c r="T665" s="6" t="str">
        <x:v>0</x:v>
      </x:c>
      <x:c r="U665" s="6" t="str"/>
      <x:c r="V665" s="6" t="str">
        <x:v>0</x:v>
      </x:c>
      <x:c r="W665" s="6" t="str"/>
      <x:c r="X665" s="6" t="str">
        <x:v>0</x:v>
      </x:c>
      <x:c r="Y665" s="6" t="str"/>
      <x:c r="Z665" s="6" t="str">
        <x:v>0</x:v>
      </x:c>
      <x:c r="AA665" s="6" t="str"/>
      <x:c r="AB665" s="6" t="str">
        <x:v>0</x:v>
      </x:c>
      <x:c r="AC665" s="6" t="str">
        <x:v>2025-04</x:v>
      </x:c>
      <x:c r="AD665" s="9" t="str">
        <x:v>BNPB operational disaster search table</x:v>
      </x:c>
      <x:c r="AE665" s="9" t="str">
        <x:v>https://gis.bnpb.go.id/databencana/tabel/pencarian.php</x:v>
      </x:c>
      <x:c r="AF665" s="9" t="str">
        <x:v>operational_snapshot_annual_totals_may_differ</x:v>
      </x:c>
    </x:row>
    <x:row r="666" ht="18" customHeight="1">
      <x:c r="A666" s="6" t="str">
        <x:v>74</x:v>
      </x:c>
      <x:c r="B666" s="6" t="str">
        <x:v>SULAWESI TENGGARA</x:v>
      </x:c>
      <x:c r="C666" s="6" t="str">
        <x:v>2025</x:v>
      </x:c>
      <x:c r="D666" s="6" t="str">
        <x:v>5</x:v>
      </x:c>
      <x:c r="E666" s="6" t="str">
        <x:v>1</x:v>
      </x:c>
      <x:c r="F666" s="6" t="str">
        <x:v>1</x:v>
      </x:c>
      <x:c r="G666" s="6" t="str">
        <x:v>0</x:v>
      </x:c>
      <x:c r="H666" s="6" t="str">
        <x:v>0</x:v>
      </x:c>
      <x:c r="I666" s="6" t="str">
        <x:v>0</x:v>
      </x:c>
      <x:c r="J666" s="6" t="str">
        <x:v>0</x:v>
      </x:c>
      <x:c r="K666" s="6" t="str">
        <x:v>0</x:v>
      </x:c>
      <x:c r="L666" s="6" t="str">
        <x:v>0</x:v>
      </x:c>
      <x:c r="M666" s="6" t="str">
        <x:v>1</x:v>
      </x:c>
      <x:c r="N666" s="6" t="str">
        <x:v>0</x:v>
      </x:c>
      <x:c r="O666" s="6" t="str">
        <x:v>0</x:v>
      </x:c>
      <x:c r="P666" s="6" t="str">
        <x:v>0</x:v>
      </x:c>
      <x:c r="Q666" s="6" t="str">
        <x:v>0.0</x:v>
      </x:c>
      <x:c r="R666" s="6" t="str">
        <x:v>1</x:v>
      </x:c>
      <x:c r="S666" s="6" t="str">
        <x:v>0.0</x:v>
      </x:c>
      <x:c r="T666" s="6" t="str">
        <x:v>1</x:v>
      </x:c>
      <x:c r="U666" s="6" t="str">
        <x:v>1.0</x:v>
      </x:c>
      <x:c r="V666" s="6" t="str">
        <x:v>1</x:v>
      </x:c>
      <x:c r="W666" s="6" t="str">
        <x:v>28.0</x:v>
      </x:c>
      <x:c r="X666" s="6" t="str">
        <x:v>1</x:v>
      </x:c>
      <x:c r="Y666" s="6" t="str"/>
      <x:c r="Z666" s="6" t="str">
        <x:v>0</x:v>
      </x:c>
      <x:c r="AA666" s="6" t="str">
        <x:v>0.0</x:v>
      </x:c>
      <x:c r="AB666" s="6" t="str">
        <x:v>1</x:v>
      </x:c>
      <x:c r="AC666" s="6" t="str">
        <x:v>2025-05</x:v>
      </x:c>
      <x:c r="AD666" s="9" t="str">
        <x:v>BNPB operational disaster search table</x:v>
      </x:c>
      <x:c r="AE666" s="9" t="str">
        <x:v>https://gis.bnpb.go.id/databencana/tabel/pencarian.php</x:v>
      </x:c>
      <x:c r="AF666" s="9" t="str">
        <x:v>operational_snapshot_annual_totals_may_differ</x:v>
      </x:c>
    </x:row>
    <x:row r="667" ht="18" customHeight="1">
      <x:c r="A667" s="6" t="str">
        <x:v>74</x:v>
      </x:c>
      <x:c r="B667" s="6" t="str">
        <x:v>SULAWESI TENGGARA</x:v>
      </x:c>
      <x:c r="C667" s="6" t="str">
        <x:v>2025</x:v>
      </x:c>
      <x:c r="D667" s="6" t="str">
        <x:v>6</x:v>
      </x:c>
      <x:c r="E667" s="6" t="str">
        <x:v>4</x:v>
      </x:c>
      <x:c r="F667" s="6" t="str">
        <x:v>4</x:v>
      </x:c>
      <x:c r="G667" s="6" t="str">
        <x:v>3</x:v>
      </x:c>
      <x:c r="H667" s="6" t="str">
        <x:v>1</x:v>
      </x:c>
      <x:c r="I667" s="6" t="str">
        <x:v>0</x:v>
      </x:c>
      <x:c r="J667" s="6" t="str">
        <x:v>0</x:v>
      </x:c>
      <x:c r="K667" s="6" t="str">
        <x:v>0</x:v>
      </x:c>
      <x:c r="L667" s="6" t="str">
        <x:v>0</x:v>
      </x:c>
      <x:c r="M667" s="6" t="str">
        <x:v>0</x:v>
      </x:c>
      <x:c r="N667" s="6" t="str">
        <x:v>0</x:v>
      </x:c>
      <x:c r="O667" s="6" t="str">
        <x:v>0</x:v>
      </x:c>
      <x:c r="P667" s="6" t="str">
        <x:v>4</x:v>
      </x:c>
      <x:c r="Q667" s="6" t="str"/>
      <x:c r="R667" s="6" t="str">
        <x:v>0</x:v>
      </x:c>
      <x:c r="S667" s="6" t="str"/>
      <x:c r="T667" s="6" t="str">
        <x:v>0</x:v>
      </x:c>
      <x:c r="U667" s="6" t="str"/>
      <x:c r="V667" s="6" t="str">
        <x:v>0</x:v>
      </x:c>
      <x:c r="W667" s="6" t="str">
        <x:v>1.0</x:v>
      </x:c>
      <x:c r="X667" s="6" t="str">
        <x:v>4</x:v>
      </x:c>
      <x:c r="Y667" s="6" t="str">
        <x:v>675.0</x:v>
      </x:c>
      <x:c r="Z667" s="6" t="str">
        <x:v>3</x:v>
      </x:c>
      <x:c r="AA667" s="6" t="str">
        <x:v>0.0</x:v>
      </x:c>
      <x:c r="AB667" s="6" t="str">
        <x:v>4</x:v>
      </x:c>
      <x:c r="AC667" s="6" t="str">
        <x:v>2025-06</x:v>
      </x:c>
      <x:c r="AD667" s="9" t="str">
        <x:v>BNPB operational disaster search table</x:v>
      </x:c>
      <x:c r="AE667" s="9" t="str">
        <x:v>https://gis.bnpb.go.id/databencana/tabel/pencarian.php</x:v>
      </x:c>
      <x:c r="AF667" s="9" t="str">
        <x:v>operational_snapshot_annual_totals_may_differ</x:v>
      </x:c>
    </x:row>
    <x:row r="668" ht="18" customHeight="1">
      <x:c r="A668" s="6" t="str">
        <x:v>74</x:v>
      </x:c>
      <x:c r="B668" s="6" t="str">
        <x:v>SULAWESI TENGGARA</x:v>
      </x:c>
      <x:c r="C668" s="6" t="str">
        <x:v>2025</x:v>
      </x:c>
      <x:c r="D668" s="6" t="str">
        <x:v>7</x:v>
      </x:c>
      <x:c r="E668" s="6" t="str">
        <x:v>5</x:v>
      </x:c>
      <x:c r="F668" s="6" t="str">
        <x:v>5</x:v>
      </x:c>
      <x:c r="G668" s="6" t="str">
        <x:v>4</x:v>
      </x:c>
      <x:c r="H668" s="6" t="str">
        <x:v>0</x:v>
      </x:c>
      <x:c r="I668" s="6" t="str">
        <x:v>1</x:v>
      </x:c>
      <x:c r="J668" s="6" t="str">
        <x:v>0</x:v>
      </x:c>
      <x:c r="K668" s="6" t="str">
        <x:v>0</x:v>
      </x:c>
      <x:c r="L668" s="6" t="str">
        <x:v>0</x:v>
      </x:c>
      <x:c r="M668" s="6" t="str">
        <x:v>0</x:v>
      </x:c>
      <x:c r="N668" s="6" t="str">
        <x:v>0</x:v>
      </x:c>
      <x:c r="O668" s="6" t="str">
        <x:v>0</x:v>
      </x:c>
      <x:c r="P668" s="6" t="str">
        <x:v>5</x:v>
      </x:c>
      <x:c r="Q668" s="6" t="str"/>
      <x:c r="R668" s="6" t="str">
        <x:v>0</x:v>
      </x:c>
      <x:c r="S668" s="6" t="str"/>
      <x:c r="T668" s="6" t="str">
        <x:v>0</x:v>
      </x:c>
      <x:c r="U668" s="6" t="str"/>
      <x:c r="V668" s="6" t="str">
        <x:v>0</x:v>
      </x:c>
      <x:c r="W668" s="6" t="str">
        <x:v>115.0</x:v>
      </x:c>
      <x:c r="X668" s="6" t="str">
        <x:v>5</x:v>
      </x:c>
      <x:c r="Y668" s="6" t="str">
        <x:v>620.0</x:v>
      </x:c>
      <x:c r="Z668" s="6" t="str">
        <x:v>1</x:v>
      </x:c>
      <x:c r="AA668" s="6" t="str">
        <x:v>0.0</x:v>
      </x:c>
      <x:c r="AB668" s="6" t="str">
        <x:v>5</x:v>
      </x:c>
      <x:c r="AC668" s="6" t="str">
        <x:v>2025-07</x:v>
      </x:c>
      <x:c r="AD668" s="9" t="str">
        <x:v>BNPB operational disaster search table</x:v>
      </x:c>
      <x:c r="AE668" s="9" t="str">
        <x:v>https://gis.bnpb.go.id/databencana/tabel/pencarian.php</x:v>
      </x:c>
      <x:c r="AF668" s="9" t="str">
        <x:v>operational_snapshot_annual_totals_may_differ</x:v>
      </x:c>
    </x:row>
    <x:row r="669" ht="18" customHeight="1">
      <x:c r="A669" s="6" t="str">
        <x:v>74</x:v>
      </x:c>
      <x:c r="B669" s="6" t="str">
        <x:v>SULAWESI TENGGARA</x:v>
      </x:c>
      <x:c r="C669" s="6" t="str">
        <x:v>2025</x:v>
      </x:c>
      <x:c r="D669" s="6" t="str">
        <x:v>8</x:v>
      </x:c>
      <x:c r="E669" s="6" t="str">
        <x:v>0</x:v>
      </x:c>
      <x:c r="F669" s="6" t="str">
        <x:v>0</x:v>
      </x:c>
      <x:c r="G669" s="6" t="str">
        <x:v>0</x:v>
      </x:c>
      <x:c r="H669" s="6" t="str">
        <x:v>0</x:v>
      </x:c>
      <x:c r="I669" s="6" t="str">
        <x:v>0</x:v>
      </x:c>
      <x:c r="J669" s="6" t="str">
        <x:v>0</x:v>
      </x:c>
      <x:c r="K669" s="6" t="str">
        <x:v>0</x:v>
      </x:c>
      <x:c r="L669" s="6" t="str">
        <x:v>0</x:v>
      </x:c>
      <x:c r="M669" s="6" t="str">
        <x:v>0</x:v>
      </x:c>
      <x:c r="N669" s="6" t="str">
        <x:v>0</x:v>
      </x:c>
      <x:c r="O669" s="6" t="str">
        <x:v>0</x:v>
      </x:c>
      <x:c r="P669" s="6" t="str">
        <x:v>0</x:v>
      </x:c>
      <x:c r="Q669" s="6" t="str"/>
      <x:c r="R669" s="6" t="str">
        <x:v>0</x:v>
      </x:c>
      <x:c r="S669" s="6" t="str"/>
      <x:c r="T669" s="6" t="str">
        <x:v>0</x:v>
      </x:c>
      <x:c r="U669" s="6" t="str"/>
      <x:c r="V669" s="6" t="str">
        <x:v>0</x:v>
      </x:c>
      <x:c r="W669" s="6" t="str"/>
      <x:c r="X669" s="6" t="str">
        <x:v>0</x:v>
      </x:c>
      <x:c r="Y669" s="6" t="str"/>
      <x:c r="Z669" s="6" t="str">
        <x:v>0</x:v>
      </x:c>
      <x:c r="AA669" s="6" t="str"/>
      <x:c r="AB669" s="6" t="str">
        <x:v>0</x:v>
      </x:c>
      <x:c r="AC669" s="6" t="str">
        <x:v>2025-08</x:v>
      </x:c>
      <x:c r="AD669" s="9" t="str">
        <x:v>BNPB operational disaster search table</x:v>
      </x:c>
      <x:c r="AE669" s="9" t="str">
        <x:v>https://gis.bnpb.go.id/databencana/tabel/pencarian.php</x:v>
      </x:c>
      <x:c r="AF669" s="9" t="str">
        <x:v>operational_snapshot_annual_totals_may_differ</x:v>
      </x:c>
    </x:row>
    <x:row r="670" ht="18" customHeight="1">
      <x:c r="A670" s="6" t="str">
        <x:v>74</x:v>
      </x:c>
      <x:c r="B670" s="6" t="str">
        <x:v>SULAWESI TENGGARA</x:v>
      </x:c>
      <x:c r="C670" s="6" t="str">
        <x:v>2025</x:v>
      </x:c>
      <x:c r="D670" s="6" t="str">
        <x:v>9</x:v>
      </x:c>
      <x:c r="E670" s="6" t="str">
        <x:v>0</x:v>
      </x:c>
      <x:c r="F670" s="6" t="str">
        <x:v>0</x:v>
      </x:c>
      <x:c r="G670" s="6" t="str">
        <x:v>0</x:v>
      </x:c>
      <x:c r="H670" s="6" t="str">
        <x:v>0</x:v>
      </x:c>
      <x:c r="I670" s="6" t="str">
        <x:v>0</x:v>
      </x:c>
      <x:c r="J670" s="6" t="str">
        <x:v>0</x:v>
      </x:c>
      <x:c r="K670" s="6" t="str">
        <x:v>0</x:v>
      </x:c>
      <x:c r="L670" s="6" t="str">
        <x:v>0</x:v>
      </x:c>
      <x:c r="M670" s="6" t="str">
        <x:v>0</x:v>
      </x:c>
      <x:c r="N670" s="6" t="str">
        <x:v>0</x:v>
      </x:c>
      <x:c r="O670" s="6" t="str">
        <x:v>0</x:v>
      </x:c>
      <x:c r="P670" s="6" t="str">
        <x:v>0</x:v>
      </x:c>
      <x:c r="Q670" s="6" t="str"/>
      <x:c r="R670" s="6" t="str">
        <x:v>0</x:v>
      </x:c>
      <x:c r="S670" s="6" t="str"/>
      <x:c r="T670" s="6" t="str">
        <x:v>0</x:v>
      </x:c>
      <x:c r="U670" s="6" t="str"/>
      <x:c r="V670" s="6" t="str">
        <x:v>0</x:v>
      </x:c>
      <x:c r="W670" s="6" t="str"/>
      <x:c r="X670" s="6" t="str">
        <x:v>0</x:v>
      </x:c>
      <x:c r="Y670" s="6" t="str"/>
      <x:c r="Z670" s="6" t="str">
        <x:v>0</x:v>
      </x:c>
      <x:c r="AA670" s="6" t="str"/>
      <x:c r="AB670" s="6" t="str">
        <x:v>0</x:v>
      </x:c>
      <x:c r="AC670" s="6" t="str">
        <x:v>2025-09</x:v>
      </x:c>
      <x:c r="AD670" s="9" t="str">
        <x:v>BNPB operational disaster search table</x:v>
      </x:c>
      <x:c r="AE670" s="9" t="str">
        <x:v>https://gis.bnpb.go.id/databencana/tabel/pencarian.php</x:v>
      </x:c>
      <x:c r="AF670" s="9" t="str">
        <x:v>operational_snapshot_annual_totals_may_differ</x:v>
      </x:c>
    </x:row>
    <x:row r="671" ht="18" customHeight="1">
      <x:c r="A671" s="6" t="str">
        <x:v>74</x:v>
      </x:c>
      <x:c r="B671" s="6" t="str">
        <x:v>SULAWESI TENGGARA</x:v>
      </x:c>
      <x:c r="C671" s="6" t="str">
        <x:v>2025</x:v>
      </x:c>
      <x:c r="D671" s="6" t="str">
        <x:v>10</x:v>
      </x:c>
      <x:c r="E671" s="6" t="str">
        <x:v>2</x:v>
      </x:c>
      <x:c r="F671" s="6" t="str">
        <x:v>2</x:v>
      </x:c>
      <x:c r="G671" s="6" t="str">
        <x:v>1</x:v>
      </x:c>
      <x:c r="H671" s="6" t="str">
        <x:v>0</x:v>
      </x:c>
      <x:c r="I671" s="6" t="str">
        <x:v>0</x:v>
      </x:c>
      <x:c r="J671" s="6" t="str">
        <x:v>0</x:v>
      </x:c>
      <x:c r="K671" s="6" t="str">
        <x:v>0</x:v>
      </x:c>
      <x:c r="L671" s="6" t="str">
        <x:v>0</x:v>
      </x:c>
      <x:c r="M671" s="6" t="str">
        <x:v>1</x:v>
      </x:c>
      <x:c r="N671" s="6" t="str">
        <x:v>0</x:v>
      </x:c>
      <x:c r="O671" s="6" t="str">
        <x:v>0</x:v>
      </x:c>
      <x:c r="P671" s="6" t="str">
        <x:v>1</x:v>
      </x:c>
      <x:c r="Q671" s="6" t="str"/>
      <x:c r="R671" s="6" t="str">
        <x:v>0</x:v>
      </x:c>
      <x:c r="S671" s="6" t="str"/>
      <x:c r="T671" s="6" t="str">
        <x:v>0</x:v>
      </x:c>
      <x:c r="U671" s="6" t="str"/>
      <x:c r="V671" s="6" t="str">
        <x:v>0</x:v>
      </x:c>
      <x:c r="W671" s="6" t="str">
        <x:v>7.0</x:v>
      </x:c>
      <x:c r="X671" s="6" t="str">
        <x:v>2</x:v>
      </x:c>
      <x:c r="Y671" s="6" t="str">
        <x:v>20.0</x:v>
      </x:c>
      <x:c r="Z671" s="6" t="str">
        <x:v>1</x:v>
      </x:c>
      <x:c r="AA671" s="6" t="str">
        <x:v>6.0</x:v>
      </x:c>
      <x:c r="AB671" s="6" t="str">
        <x:v>2</x:v>
      </x:c>
      <x:c r="AC671" s="6" t="str">
        <x:v>2025-10</x:v>
      </x:c>
      <x:c r="AD671" s="9" t="str">
        <x:v>BNPB operational disaster search table</x:v>
      </x:c>
      <x:c r="AE671" s="9" t="str">
        <x:v>https://gis.bnpb.go.id/databencana/tabel/pencarian.php</x:v>
      </x:c>
      <x:c r="AF671" s="9" t="str">
        <x:v>operational_snapshot_annual_totals_may_differ</x:v>
      </x:c>
    </x:row>
    <x:row r="672" ht="18" customHeight="1">
      <x:c r="A672" s="6" t="str">
        <x:v>74</x:v>
      </x:c>
      <x:c r="B672" s="6" t="str">
        <x:v>SULAWESI TENGGARA</x:v>
      </x:c>
      <x:c r="C672" s="6" t="str">
        <x:v>2025</x:v>
      </x:c>
      <x:c r="D672" s="6" t="str">
        <x:v>11</x:v>
      </x:c>
      <x:c r="E672" s="6" t="str">
        <x:v>1</x:v>
      </x:c>
      <x:c r="F672" s="6" t="str">
        <x:v>1</x:v>
      </x:c>
      <x:c r="G672" s="6" t="str">
        <x:v>1</x:v>
      </x:c>
      <x:c r="H672" s="6" t="str">
        <x:v>0</x:v>
      </x:c>
      <x:c r="I672" s="6" t="str">
        <x:v>0</x:v>
      </x:c>
      <x:c r="J672" s="6" t="str">
        <x:v>0</x:v>
      </x:c>
      <x:c r="K672" s="6" t="str">
        <x:v>0</x:v>
      </x:c>
      <x:c r="L672" s="6" t="str">
        <x:v>0</x:v>
      </x:c>
      <x:c r="M672" s="6" t="str">
        <x:v>0</x:v>
      </x:c>
      <x:c r="N672" s="6" t="str">
        <x:v>0</x:v>
      </x:c>
      <x:c r="O672" s="6" t="str">
        <x:v>0</x:v>
      </x:c>
      <x:c r="P672" s="6" t="str">
        <x:v>1</x:v>
      </x:c>
      <x:c r="Q672" s="6" t="str"/>
      <x:c r="R672" s="6" t="str">
        <x:v>0</x:v>
      </x:c>
      <x:c r="S672" s="6" t="str"/>
      <x:c r="T672" s="6" t="str">
        <x:v>0</x:v>
      </x:c>
      <x:c r="U672" s="6" t="str"/>
      <x:c r="V672" s="6" t="str">
        <x:v>0</x:v>
      </x:c>
      <x:c r="W672" s="6" t="str">
        <x:v>0.0</x:v>
      </x:c>
      <x:c r="X672" s="6" t="str">
        <x:v>1</x:v>
      </x:c>
      <x:c r="Y672" s="6" t="str">
        <x:v>20.0</x:v>
      </x:c>
      <x:c r="Z672" s="6" t="str">
        <x:v>1</x:v>
      </x:c>
      <x:c r="AA672" s="6" t="str">
        <x:v>0.0</x:v>
      </x:c>
      <x:c r="AB672" s="6" t="str">
        <x:v>1</x:v>
      </x:c>
      <x:c r="AC672" s="6" t="str">
        <x:v>2025-11</x:v>
      </x:c>
      <x:c r="AD672" s="9" t="str">
        <x:v>BNPB operational disaster search table</x:v>
      </x:c>
      <x:c r="AE672" s="9" t="str">
        <x:v>https://gis.bnpb.go.id/databencana/tabel/pencarian.php</x:v>
      </x:c>
      <x:c r="AF672" s="9" t="str">
        <x:v>operational_snapshot_annual_totals_may_differ</x:v>
      </x:c>
    </x:row>
    <x:row r="673" ht="18" customHeight="1">
      <x:c r="A673" s="6" t="str">
        <x:v>74</x:v>
      </x:c>
      <x:c r="B673" s="6" t="str">
        <x:v>SULAWESI TENGGARA</x:v>
      </x:c>
      <x:c r="C673" s="6" t="str">
        <x:v>2025</x:v>
      </x:c>
      <x:c r="D673" s="6" t="str">
        <x:v>12</x:v>
      </x:c>
      <x:c r="E673" s="6" t="str">
        <x:v>2</x:v>
      </x:c>
      <x:c r="F673" s="6" t="str">
        <x:v>2</x:v>
      </x:c>
      <x:c r="G673" s="6" t="str">
        <x:v>2</x:v>
      </x:c>
      <x:c r="H673" s="6" t="str">
        <x:v>0</x:v>
      </x:c>
      <x:c r="I673" s="6" t="str">
        <x:v>0</x:v>
      </x:c>
      <x:c r="J673" s="6" t="str">
        <x:v>0</x:v>
      </x:c>
      <x:c r="K673" s="6" t="str">
        <x:v>0</x:v>
      </x:c>
      <x:c r="L673" s="6" t="str">
        <x:v>0</x:v>
      </x:c>
      <x:c r="M673" s="6" t="str">
        <x:v>0</x:v>
      </x:c>
      <x:c r="N673" s="6" t="str">
        <x:v>0</x:v>
      </x:c>
      <x:c r="O673" s="6" t="str">
        <x:v>0</x:v>
      </x:c>
      <x:c r="P673" s="6" t="str">
        <x:v>2</x:v>
      </x:c>
      <x:c r="Q673" s="6" t="str"/>
      <x:c r="R673" s="6" t="str">
        <x:v>0</x:v>
      </x:c>
      <x:c r="S673" s="6" t="str"/>
      <x:c r="T673" s="6" t="str">
        <x:v>0</x:v>
      </x:c>
      <x:c r="U673" s="6" t="str"/>
      <x:c r="V673" s="6" t="str">
        <x:v>0</x:v>
      </x:c>
      <x:c r="W673" s="6" t="str">
        <x:v>0.0</x:v>
      </x:c>
      <x:c r="X673" s="6" t="str">
        <x:v>2</x:v>
      </x:c>
      <x:c r="Y673" s="6" t="str">
        <x:v>24.0</x:v>
      </x:c>
      <x:c r="Z673" s="6" t="str">
        <x:v>1</x:v>
      </x:c>
      <x:c r="AA673" s="6" t="str">
        <x:v>0.0</x:v>
      </x:c>
      <x:c r="AB673" s="6" t="str">
        <x:v>2</x:v>
      </x:c>
      <x:c r="AC673" s="6" t="str">
        <x:v>2025-12</x:v>
      </x:c>
      <x:c r="AD673" s="9" t="str">
        <x:v>BNPB operational disaster search table</x:v>
      </x:c>
      <x:c r="AE673" s="9" t="str">
        <x:v>https://gis.bnpb.go.id/databencana/tabel/pencarian.php</x:v>
      </x:c>
      <x:c r="AF673" s="9" t="str">
        <x:v>operational_snapshot_annual_totals_may_differ</x:v>
      </x:c>
    </x:row>
    <x:row r="674" ht="18" customHeight="1">
      <x:c r="A674" s="6" t="str">
        <x:v>75</x:v>
      </x:c>
      <x:c r="B674" s="6" t="str">
        <x:v>GORONTALO</x:v>
      </x:c>
      <x:c r="C674" s="6" t="str">
        <x:v>2024</x:v>
      </x:c>
      <x:c r="D674" s="6" t="str">
        <x:v>1</x:v>
      </x:c>
      <x:c r="E674" s="6" t="str">
        <x:v>0</x:v>
      </x:c>
      <x:c r="F674" s="6" t="str">
        <x:v>0</x:v>
      </x:c>
      <x:c r="G674" s="6" t="str">
        <x:v>0</x:v>
      </x:c>
      <x:c r="H674" s="6" t="str">
        <x:v>0</x:v>
      </x:c>
      <x:c r="I674" s="6" t="str">
        <x:v>0</x:v>
      </x:c>
      <x:c r="J674" s="6" t="str">
        <x:v>0</x:v>
      </x:c>
      <x:c r="K674" s="6" t="str">
        <x:v>0</x:v>
      </x:c>
      <x:c r="L674" s="6" t="str">
        <x:v>0</x:v>
      </x:c>
      <x:c r="M674" s="6" t="str">
        <x:v>0</x:v>
      </x:c>
      <x:c r="N674" s="6" t="str">
        <x:v>0</x:v>
      </x:c>
      <x:c r="O674" s="6" t="str">
        <x:v>0</x:v>
      </x:c>
      <x:c r="P674" s="6" t="str">
        <x:v>0</x:v>
      </x:c>
      <x:c r="Q674" s="6" t="str"/>
      <x:c r="R674" s="6" t="str">
        <x:v>0</x:v>
      </x:c>
      <x:c r="S674" s="6" t="str"/>
      <x:c r="T674" s="6" t="str">
        <x:v>0</x:v>
      </x:c>
      <x:c r="U674" s="6" t="str"/>
      <x:c r="V674" s="6" t="str">
        <x:v>0</x:v>
      </x:c>
      <x:c r="W674" s="6" t="str"/>
      <x:c r="X674" s="6" t="str">
        <x:v>0</x:v>
      </x:c>
      <x:c r="Y674" s="6" t="str"/>
      <x:c r="Z674" s="6" t="str">
        <x:v>0</x:v>
      </x:c>
      <x:c r="AA674" s="6" t="str"/>
      <x:c r="AB674" s="6" t="str">
        <x:v>0</x:v>
      </x:c>
      <x:c r="AC674" s="6" t="str">
        <x:v>2024-01</x:v>
      </x:c>
      <x:c r="AD674" s="9" t="str">
        <x:v>BNPB operational disaster search table</x:v>
      </x:c>
      <x:c r="AE674" s="9" t="str">
        <x:v>https://gis.bnpb.go.id/databencana/tabel/pencarian.php</x:v>
      </x:c>
      <x:c r="AF674" s="9" t="str">
        <x:v>operational_snapshot_annual_totals_may_differ</x:v>
      </x:c>
    </x:row>
    <x:row r="675" ht="18" customHeight="1">
      <x:c r="A675" s="6" t="str">
        <x:v>75</x:v>
      </x:c>
      <x:c r="B675" s="6" t="str">
        <x:v>GORONTALO</x:v>
      </x:c>
      <x:c r="C675" s="6" t="str">
        <x:v>2024</x:v>
      </x:c>
      <x:c r="D675" s="6" t="str">
        <x:v>2</x:v>
      </x:c>
      <x:c r="E675" s="6" t="str">
        <x:v>5</x:v>
      </x:c>
      <x:c r="F675" s="6" t="str">
        <x:v>5</x:v>
      </x:c>
      <x:c r="G675" s="6" t="str">
        <x:v>4</x:v>
      </x:c>
      <x:c r="H675" s="6" t="str">
        <x:v>0</x:v>
      </x:c>
      <x:c r="I675" s="6" t="str">
        <x:v>0</x:v>
      </x:c>
      <x:c r="J675" s="6" t="str">
        <x:v>1</x:v>
      </x:c>
      <x:c r="K675" s="6" t="str">
        <x:v>0</x:v>
      </x:c>
      <x:c r="L675" s="6" t="str">
        <x:v>0</x:v>
      </x:c>
      <x:c r="M675" s="6" t="str">
        <x:v>0</x:v>
      </x:c>
      <x:c r="N675" s="6" t="str">
        <x:v>0</x:v>
      </x:c>
      <x:c r="O675" s="6" t="str">
        <x:v>0</x:v>
      </x:c>
      <x:c r="P675" s="6" t="str">
        <x:v>5</x:v>
      </x:c>
      <x:c r="Q675" s="6" t="str">
        <x:v>0.0</x:v>
      </x:c>
      <x:c r="R675" s="6" t="str">
        <x:v>5</x:v>
      </x:c>
      <x:c r="S675" s="6" t="str">
        <x:v>0.0</x:v>
      </x:c>
      <x:c r="T675" s="6" t="str">
        <x:v>5</x:v>
      </x:c>
      <x:c r="U675" s="6" t="str">
        <x:v>0.0</x:v>
      </x:c>
      <x:c r="V675" s="6" t="str">
        <x:v>5</x:v>
      </x:c>
      <x:c r="W675" s="6" t="str">
        <x:v>0.0</x:v>
      </x:c>
      <x:c r="X675" s="6" t="str">
        <x:v>5</x:v>
      </x:c>
      <x:c r="Y675" s="6" t="str">
        <x:v>587.0</x:v>
      </x:c>
      <x:c r="Z675" s="6" t="str">
        <x:v>4</x:v>
      </x:c>
      <x:c r="AA675" s="6" t="str">
        <x:v>0.0</x:v>
      </x:c>
      <x:c r="AB675" s="6" t="str">
        <x:v>5</x:v>
      </x:c>
      <x:c r="AC675" s="6" t="str">
        <x:v>2024-02</x:v>
      </x:c>
      <x:c r="AD675" s="9" t="str">
        <x:v>BNPB operational disaster search table</x:v>
      </x:c>
      <x:c r="AE675" s="9" t="str">
        <x:v>https://gis.bnpb.go.id/databencana/tabel/pencarian.php</x:v>
      </x:c>
      <x:c r="AF675" s="9" t="str">
        <x:v>operational_snapshot_annual_totals_may_differ</x:v>
      </x:c>
    </x:row>
    <x:row r="676" ht="18" customHeight="1">
      <x:c r="A676" s="6" t="str">
        <x:v>75</x:v>
      </x:c>
      <x:c r="B676" s="6" t="str">
        <x:v>GORONTALO</x:v>
      </x:c>
      <x:c r="C676" s="6" t="str">
        <x:v>2024</x:v>
      </x:c>
      <x:c r="D676" s="6" t="str">
        <x:v>3</x:v>
      </x:c>
      <x:c r="E676" s="6" t="str">
        <x:v>2</x:v>
      </x:c>
      <x:c r="F676" s="6" t="str">
        <x:v>2</x:v>
      </x:c>
      <x:c r="G676" s="6" t="str">
        <x:v>2</x:v>
      </x:c>
      <x:c r="H676" s="6" t="str">
        <x:v>0</x:v>
      </x:c>
      <x:c r="I676" s="6" t="str">
        <x:v>0</x:v>
      </x:c>
      <x:c r="J676" s="6" t="str">
        <x:v>0</x:v>
      </x:c>
      <x:c r="K676" s="6" t="str">
        <x:v>0</x:v>
      </x:c>
      <x:c r="L676" s="6" t="str">
        <x:v>0</x:v>
      </x:c>
      <x:c r="M676" s="6" t="str">
        <x:v>0</x:v>
      </x:c>
      <x:c r="N676" s="6" t="str">
        <x:v>0</x:v>
      </x:c>
      <x:c r="O676" s="6" t="str">
        <x:v>0</x:v>
      </x:c>
      <x:c r="P676" s="6" t="str">
        <x:v>2</x:v>
      </x:c>
      <x:c r="Q676" s="6" t="str">
        <x:v>0.0</x:v>
      </x:c>
      <x:c r="R676" s="6" t="str">
        <x:v>2</x:v>
      </x:c>
      <x:c r="S676" s="6" t="str">
        <x:v>0.0</x:v>
      </x:c>
      <x:c r="T676" s="6" t="str">
        <x:v>2</x:v>
      </x:c>
      <x:c r="U676" s="6" t="str">
        <x:v>0.0</x:v>
      </x:c>
      <x:c r="V676" s="6" t="str">
        <x:v>2</x:v>
      </x:c>
      <x:c r="W676" s="6" t="str">
        <x:v>0.0</x:v>
      </x:c>
      <x:c r="X676" s="6" t="str">
        <x:v>2</x:v>
      </x:c>
      <x:c r="Y676" s="6" t="str">
        <x:v>2789.0</x:v>
      </x:c>
      <x:c r="Z676" s="6" t="str">
        <x:v>2</x:v>
      </x:c>
      <x:c r="AA676" s="6" t="str">
        <x:v>0.0</x:v>
      </x:c>
      <x:c r="AB676" s="6" t="str">
        <x:v>2</x:v>
      </x:c>
      <x:c r="AC676" s="6" t="str">
        <x:v>2024-03</x:v>
      </x:c>
      <x:c r="AD676" s="9" t="str">
        <x:v>BNPB operational disaster search table</x:v>
      </x:c>
      <x:c r="AE676" s="9" t="str">
        <x:v>https://gis.bnpb.go.id/databencana/tabel/pencarian.php</x:v>
      </x:c>
      <x:c r="AF676" s="9" t="str">
        <x:v>operational_snapshot_annual_totals_may_differ</x:v>
      </x:c>
    </x:row>
    <x:row r="677" ht="18" customHeight="1">
      <x:c r="A677" s="6" t="str">
        <x:v>75</x:v>
      </x:c>
      <x:c r="B677" s="6" t="str">
        <x:v>GORONTALO</x:v>
      </x:c>
      <x:c r="C677" s="6" t="str">
        <x:v>2024</x:v>
      </x:c>
      <x:c r="D677" s="6" t="str">
        <x:v>4</x:v>
      </x:c>
      <x:c r="E677" s="6" t="str">
        <x:v>2</x:v>
      </x:c>
      <x:c r="F677" s="6" t="str">
        <x:v>2</x:v>
      </x:c>
      <x:c r="G677" s="6" t="str">
        <x:v>2</x:v>
      </x:c>
      <x:c r="H677" s="6" t="str">
        <x:v>0</x:v>
      </x:c>
      <x:c r="I677" s="6" t="str">
        <x:v>0</x:v>
      </x:c>
      <x:c r="J677" s="6" t="str">
        <x:v>0</x:v>
      </x:c>
      <x:c r="K677" s="6" t="str">
        <x:v>0</x:v>
      </x:c>
      <x:c r="L677" s="6" t="str">
        <x:v>0</x:v>
      </x:c>
      <x:c r="M677" s="6" t="str">
        <x:v>0</x:v>
      </x:c>
      <x:c r="N677" s="6" t="str">
        <x:v>0</x:v>
      </x:c>
      <x:c r="O677" s="6" t="str">
        <x:v>0</x:v>
      </x:c>
      <x:c r="P677" s="6" t="str">
        <x:v>2</x:v>
      </x:c>
      <x:c r="Q677" s="6" t="str">
        <x:v>0.0</x:v>
      </x:c>
      <x:c r="R677" s="6" t="str">
        <x:v>2</x:v>
      </x:c>
      <x:c r="S677" s="6" t="str">
        <x:v>0.0</x:v>
      </x:c>
      <x:c r="T677" s="6" t="str">
        <x:v>2</x:v>
      </x:c>
      <x:c r="U677" s="6" t="str">
        <x:v>0.0</x:v>
      </x:c>
      <x:c r="V677" s="6" t="str">
        <x:v>2</x:v>
      </x:c>
      <x:c r="W677" s="6" t="str">
        <x:v>23.0</x:v>
      </x:c>
      <x:c r="X677" s="6" t="str">
        <x:v>2</x:v>
      </x:c>
      <x:c r="Y677" s="6" t="str">
        <x:v>2538.0</x:v>
      </x:c>
      <x:c r="Z677" s="6" t="str">
        <x:v>2</x:v>
      </x:c>
      <x:c r="AA677" s="6" t="str">
        <x:v>0.0</x:v>
      </x:c>
      <x:c r="AB677" s="6" t="str">
        <x:v>2</x:v>
      </x:c>
      <x:c r="AC677" s="6" t="str">
        <x:v>2024-04</x:v>
      </x:c>
      <x:c r="AD677" s="9" t="str">
        <x:v>BNPB operational disaster search table</x:v>
      </x:c>
      <x:c r="AE677" s="9" t="str">
        <x:v>https://gis.bnpb.go.id/databencana/tabel/pencarian.php</x:v>
      </x:c>
      <x:c r="AF677" s="9" t="str">
        <x:v>operational_snapshot_annual_totals_may_differ</x:v>
      </x:c>
    </x:row>
    <x:row r="678" ht="18" customHeight="1">
      <x:c r="A678" s="6" t="str">
        <x:v>75</x:v>
      </x:c>
      <x:c r="B678" s="6" t="str">
        <x:v>GORONTALO</x:v>
      </x:c>
      <x:c r="C678" s="6" t="str">
        <x:v>2024</x:v>
      </x:c>
      <x:c r="D678" s="6" t="str">
        <x:v>5</x:v>
      </x:c>
      <x:c r="E678" s="6" t="str">
        <x:v>2</x:v>
      </x:c>
      <x:c r="F678" s="6" t="str">
        <x:v>2</x:v>
      </x:c>
      <x:c r="G678" s="6" t="str">
        <x:v>2</x:v>
      </x:c>
      <x:c r="H678" s="6" t="str">
        <x:v>0</x:v>
      </x:c>
      <x:c r="I678" s="6" t="str">
        <x:v>0</x:v>
      </x:c>
      <x:c r="J678" s="6" t="str">
        <x:v>0</x:v>
      </x:c>
      <x:c r="K678" s="6" t="str">
        <x:v>0</x:v>
      </x:c>
      <x:c r="L678" s="6" t="str">
        <x:v>0</x:v>
      </x:c>
      <x:c r="M678" s="6" t="str">
        <x:v>0</x:v>
      </x:c>
      <x:c r="N678" s="6" t="str">
        <x:v>0</x:v>
      </x:c>
      <x:c r="O678" s="6" t="str">
        <x:v>0</x:v>
      </x:c>
      <x:c r="P678" s="6" t="str">
        <x:v>2</x:v>
      </x:c>
      <x:c r="Q678" s="6" t="str">
        <x:v>0.0</x:v>
      </x:c>
      <x:c r="R678" s="6" t="str">
        <x:v>2</x:v>
      </x:c>
      <x:c r="S678" s="6" t="str">
        <x:v>0.0</x:v>
      </x:c>
      <x:c r="T678" s="6" t="str">
        <x:v>2</x:v>
      </x:c>
      <x:c r="U678" s="6" t="str">
        <x:v>0.0</x:v>
      </x:c>
      <x:c r="V678" s="6" t="str">
        <x:v>2</x:v>
      </x:c>
      <x:c r="W678" s="6" t="str">
        <x:v>0.0</x:v>
      </x:c>
      <x:c r="X678" s="6" t="str">
        <x:v>2</x:v>
      </x:c>
      <x:c r="Y678" s="6" t="str">
        <x:v>418.0</x:v>
      </x:c>
      <x:c r="Z678" s="6" t="str">
        <x:v>2</x:v>
      </x:c>
      <x:c r="AA678" s="6" t="str">
        <x:v>0.0</x:v>
      </x:c>
      <x:c r="AB678" s="6" t="str">
        <x:v>2</x:v>
      </x:c>
      <x:c r="AC678" s="6" t="str">
        <x:v>2024-05</x:v>
      </x:c>
      <x:c r="AD678" s="9" t="str">
        <x:v>BNPB operational disaster search table</x:v>
      </x:c>
      <x:c r="AE678" s="9" t="str">
        <x:v>https://gis.bnpb.go.id/databencana/tabel/pencarian.php</x:v>
      </x:c>
      <x:c r="AF678" s="9" t="str">
        <x:v>operational_snapshot_annual_totals_may_differ</x:v>
      </x:c>
    </x:row>
    <x:row r="679" ht="18" customHeight="1">
      <x:c r="A679" s="6" t="str">
        <x:v>75</x:v>
      </x:c>
      <x:c r="B679" s="6" t="str">
        <x:v>GORONTALO</x:v>
      </x:c>
      <x:c r="C679" s="6" t="str">
        <x:v>2024</x:v>
      </x:c>
      <x:c r="D679" s="6" t="str">
        <x:v>6</x:v>
      </x:c>
      <x:c r="E679" s="6" t="str">
        <x:v>11</x:v>
      </x:c>
      <x:c r="F679" s="6" t="str">
        <x:v>11</x:v>
      </x:c>
      <x:c r="G679" s="6" t="str">
        <x:v>10</x:v>
      </x:c>
      <x:c r="H679" s="6" t="str">
        <x:v>1</x:v>
      </x:c>
      <x:c r="I679" s="6" t="str">
        <x:v>0</x:v>
      </x:c>
      <x:c r="J679" s="6" t="str">
        <x:v>0</x:v>
      </x:c>
      <x:c r="K679" s="6" t="str">
        <x:v>0</x:v>
      </x:c>
      <x:c r="L679" s="6" t="str">
        <x:v>0</x:v>
      </x:c>
      <x:c r="M679" s="6" t="str">
        <x:v>0</x:v>
      </x:c>
      <x:c r="N679" s="6" t="str">
        <x:v>0</x:v>
      </x:c>
      <x:c r="O679" s="6" t="str">
        <x:v>0</x:v>
      </x:c>
      <x:c r="P679" s="6" t="str">
        <x:v>11</x:v>
      </x:c>
      <x:c r="Q679" s="6" t="str">
        <x:v>1.0</x:v>
      </x:c>
      <x:c r="R679" s="6" t="str">
        <x:v>11</x:v>
      </x:c>
      <x:c r="S679" s="6" t="str">
        <x:v>1.0</x:v>
      </x:c>
      <x:c r="T679" s="6" t="str">
        <x:v>11</x:v>
      </x:c>
      <x:c r="U679" s="6" t="str">
        <x:v>0.0</x:v>
      </x:c>
      <x:c r="V679" s="6" t="str">
        <x:v>11</x:v>
      </x:c>
      <x:c r="W679" s="6" t="str">
        <x:v>4.0</x:v>
      </x:c>
      <x:c r="X679" s="6" t="str">
        <x:v>11</x:v>
      </x:c>
      <x:c r="Y679" s="6" t="str">
        <x:v>5681.0</x:v>
      </x:c>
      <x:c r="Z679" s="6" t="str">
        <x:v>10</x:v>
      </x:c>
      <x:c r="AA679" s="6" t="str">
        <x:v>4.0</x:v>
      </x:c>
      <x:c r="AB679" s="6" t="str">
        <x:v>11</x:v>
      </x:c>
      <x:c r="AC679" s="6" t="str">
        <x:v>2024-06</x:v>
      </x:c>
      <x:c r="AD679" s="9" t="str">
        <x:v>BNPB operational disaster search table</x:v>
      </x:c>
      <x:c r="AE679" s="9" t="str">
        <x:v>https://gis.bnpb.go.id/databencana/tabel/pencarian.php</x:v>
      </x:c>
      <x:c r="AF679" s="9" t="str">
        <x:v>operational_snapshot_annual_totals_may_differ</x:v>
      </x:c>
    </x:row>
    <x:row r="680" ht="18" customHeight="1">
      <x:c r="A680" s="6" t="str">
        <x:v>75</x:v>
      </x:c>
      <x:c r="B680" s="6" t="str">
        <x:v>GORONTALO</x:v>
      </x:c>
      <x:c r="C680" s="6" t="str">
        <x:v>2024</x:v>
      </x:c>
      <x:c r="D680" s="6" t="str">
        <x:v>7</x:v>
      </x:c>
      <x:c r="E680" s="6" t="str">
        <x:v>7</x:v>
      </x:c>
      <x:c r="F680" s="6" t="str">
        <x:v>7</x:v>
      </x:c>
      <x:c r="G680" s="6" t="str">
        <x:v>6</x:v>
      </x:c>
      <x:c r="H680" s="6" t="str">
        <x:v>1</x:v>
      </x:c>
      <x:c r="I680" s="6" t="str">
        <x:v>0</x:v>
      </x:c>
      <x:c r="J680" s="6" t="str">
        <x:v>0</x:v>
      </x:c>
      <x:c r="K680" s="6" t="str">
        <x:v>0</x:v>
      </x:c>
      <x:c r="L680" s="6" t="str">
        <x:v>0</x:v>
      </x:c>
      <x:c r="M680" s="6" t="str">
        <x:v>0</x:v>
      </x:c>
      <x:c r="N680" s="6" t="str">
        <x:v>0</x:v>
      </x:c>
      <x:c r="O680" s="6" t="str">
        <x:v>0</x:v>
      </x:c>
      <x:c r="P680" s="6" t="str">
        <x:v>7</x:v>
      </x:c>
      <x:c r="Q680" s="6" t="str">
        <x:v>28.0</x:v>
      </x:c>
      <x:c r="R680" s="6" t="str">
        <x:v>7</x:v>
      </x:c>
      <x:c r="S680" s="6" t="str">
        <x:v>15.0</x:v>
      </x:c>
      <x:c r="T680" s="6" t="str">
        <x:v>7</x:v>
      </x:c>
      <x:c r="U680" s="6" t="str">
        <x:v>235.0</x:v>
      </x:c>
      <x:c r="V680" s="6" t="str">
        <x:v>7</x:v>
      </x:c>
      <x:c r="W680" s="6" t="str">
        <x:v>40.0</x:v>
      </x:c>
      <x:c r="X680" s="6" t="str">
        <x:v>7</x:v>
      </x:c>
      <x:c r="Y680" s="6" t="str">
        <x:v>14282.0</x:v>
      </x:c>
      <x:c r="Z680" s="6" t="str">
        <x:v>5</x:v>
      </x:c>
      <x:c r="AA680" s="6" t="str">
        <x:v>9.0</x:v>
      </x:c>
      <x:c r="AB680" s="6" t="str">
        <x:v>7</x:v>
      </x:c>
      <x:c r="AC680" s="6" t="str">
        <x:v>2024-07</x:v>
      </x:c>
      <x:c r="AD680" s="9" t="str">
        <x:v>BNPB operational disaster search table</x:v>
      </x:c>
      <x:c r="AE680" s="9" t="str">
        <x:v>https://gis.bnpb.go.id/databencana/tabel/pencarian.php</x:v>
      </x:c>
      <x:c r="AF680" s="9" t="str">
        <x:v>operational_snapshot_annual_totals_may_differ</x:v>
      </x:c>
    </x:row>
    <x:row r="681" ht="18" customHeight="1">
      <x:c r="A681" s="6" t="str">
        <x:v>75</x:v>
      </x:c>
      <x:c r="B681" s="6" t="str">
        <x:v>GORONTALO</x:v>
      </x:c>
      <x:c r="C681" s="6" t="str">
        <x:v>2024</x:v>
      </x:c>
      <x:c r="D681" s="6" t="str">
        <x:v>8</x:v>
      </x:c>
      <x:c r="E681" s="6" t="str">
        <x:v>3</x:v>
      </x:c>
      <x:c r="F681" s="6" t="str">
        <x:v>3</x:v>
      </x:c>
      <x:c r="G681" s="6" t="str">
        <x:v>3</x:v>
      </x:c>
      <x:c r="H681" s="6" t="str">
        <x:v>0</x:v>
      </x:c>
      <x:c r="I681" s="6" t="str">
        <x:v>0</x:v>
      </x:c>
      <x:c r="J681" s="6" t="str">
        <x:v>0</x:v>
      </x:c>
      <x:c r="K681" s="6" t="str">
        <x:v>0</x:v>
      </x:c>
      <x:c r="L681" s="6" t="str">
        <x:v>0</x:v>
      </x:c>
      <x:c r="M681" s="6" t="str">
        <x:v>0</x:v>
      </x:c>
      <x:c r="N681" s="6" t="str">
        <x:v>0</x:v>
      </x:c>
      <x:c r="O681" s="6" t="str">
        <x:v>0</x:v>
      </x:c>
      <x:c r="P681" s="6" t="str">
        <x:v>3</x:v>
      </x:c>
      <x:c r="Q681" s="6" t="str">
        <x:v>0.0</x:v>
      </x:c>
      <x:c r="R681" s="6" t="str">
        <x:v>3</x:v>
      </x:c>
      <x:c r="S681" s="6" t="str">
        <x:v>0.0</x:v>
      </x:c>
      <x:c r="T681" s="6" t="str">
        <x:v>3</x:v>
      </x:c>
      <x:c r="U681" s="6" t="str">
        <x:v>0.0</x:v>
      </x:c>
      <x:c r="V681" s="6" t="str">
        <x:v>3</x:v>
      </x:c>
      <x:c r="W681" s="6" t="str">
        <x:v>14.0</x:v>
      </x:c>
      <x:c r="X681" s="6" t="str">
        <x:v>3</x:v>
      </x:c>
      <x:c r="Y681" s="6" t="str">
        <x:v>510.0</x:v>
      </x:c>
      <x:c r="Z681" s="6" t="str">
        <x:v>3</x:v>
      </x:c>
      <x:c r="AA681" s="6" t="str">
        <x:v>0.0</x:v>
      </x:c>
      <x:c r="AB681" s="6" t="str">
        <x:v>3</x:v>
      </x:c>
      <x:c r="AC681" s="6" t="str">
        <x:v>2024-08</x:v>
      </x:c>
      <x:c r="AD681" s="9" t="str">
        <x:v>BNPB operational disaster search table</x:v>
      </x:c>
      <x:c r="AE681" s="9" t="str">
        <x:v>https://gis.bnpb.go.id/databencana/tabel/pencarian.php</x:v>
      </x:c>
      <x:c r="AF681" s="9" t="str">
        <x:v>operational_snapshot_annual_totals_may_differ</x:v>
      </x:c>
    </x:row>
    <x:row r="682" ht="18" customHeight="1">
      <x:c r="A682" s="6" t="str">
        <x:v>75</x:v>
      </x:c>
      <x:c r="B682" s="6" t="str">
        <x:v>GORONTALO</x:v>
      </x:c>
      <x:c r="C682" s="6" t="str">
        <x:v>2024</x:v>
      </x:c>
      <x:c r="D682" s="6" t="str">
        <x:v>9</x:v>
      </x:c>
      <x:c r="E682" s="6" t="str">
        <x:v>0</x:v>
      </x:c>
      <x:c r="F682" s="6" t="str">
        <x:v>0</x:v>
      </x:c>
      <x:c r="G682" s="6" t="str">
        <x:v>0</x:v>
      </x:c>
      <x:c r="H682" s="6" t="str">
        <x:v>0</x:v>
      </x:c>
      <x:c r="I682" s="6" t="str">
        <x:v>0</x:v>
      </x:c>
      <x:c r="J682" s="6" t="str">
        <x:v>0</x:v>
      </x:c>
      <x:c r="K682" s="6" t="str">
        <x:v>0</x:v>
      </x:c>
      <x:c r="L682" s="6" t="str">
        <x:v>0</x:v>
      </x:c>
      <x:c r="M682" s="6" t="str">
        <x:v>0</x:v>
      </x:c>
      <x:c r="N682" s="6" t="str">
        <x:v>0</x:v>
      </x:c>
      <x:c r="O682" s="6" t="str">
        <x:v>0</x:v>
      </x:c>
      <x:c r="P682" s="6" t="str">
        <x:v>0</x:v>
      </x:c>
      <x:c r="Q682" s="6" t="str"/>
      <x:c r="R682" s="6" t="str">
        <x:v>0</x:v>
      </x:c>
      <x:c r="S682" s="6" t="str"/>
      <x:c r="T682" s="6" t="str">
        <x:v>0</x:v>
      </x:c>
      <x:c r="U682" s="6" t="str"/>
      <x:c r="V682" s="6" t="str">
        <x:v>0</x:v>
      </x:c>
      <x:c r="W682" s="6" t="str"/>
      <x:c r="X682" s="6" t="str">
        <x:v>0</x:v>
      </x:c>
      <x:c r="Y682" s="6" t="str"/>
      <x:c r="Z682" s="6" t="str">
        <x:v>0</x:v>
      </x:c>
      <x:c r="AA682" s="6" t="str"/>
      <x:c r="AB682" s="6" t="str">
        <x:v>0</x:v>
      </x:c>
      <x:c r="AC682" s="6" t="str">
        <x:v>2024-09</x:v>
      </x:c>
      <x:c r="AD682" s="9" t="str">
        <x:v>BNPB operational disaster search table</x:v>
      </x:c>
      <x:c r="AE682" s="9" t="str">
        <x:v>https://gis.bnpb.go.id/databencana/tabel/pencarian.php</x:v>
      </x:c>
      <x:c r="AF682" s="9" t="str">
        <x:v>operational_snapshot_annual_totals_may_differ</x:v>
      </x:c>
    </x:row>
    <x:row r="683" ht="18" customHeight="1">
      <x:c r="A683" s="6" t="str">
        <x:v>75</x:v>
      </x:c>
      <x:c r="B683" s="6" t="str">
        <x:v>GORONTALO</x:v>
      </x:c>
      <x:c r="C683" s="6" t="str">
        <x:v>2024</x:v>
      </x:c>
      <x:c r="D683" s="6" t="str">
        <x:v>10</x:v>
      </x:c>
      <x:c r="E683" s="6" t="str">
        <x:v>1</x:v>
      </x:c>
      <x:c r="F683" s="6" t="str">
        <x:v>1</x:v>
      </x:c>
      <x:c r="G683" s="6" t="str">
        <x:v>1</x:v>
      </x:c>
      <x:c r="H683" s="6" t="str">
        <x:v>0</x:v>
      </x:c>
      <x:c r="I683" s="6" t="str">
        <x:v>0</x:v>
      </x:c>
      <x:c r="J683" s="6" t="str">
        <x:v>0</x:v>
      </x:c>
      <x:c r="K683" s="6" t="str">
        <x:v>0</x:v>
      </x:c>
      <x:c r="L683" s="6" t="str">
        <x:v>0</x:v>
      </x:c>
      <x:c r="M683" s="6" t="str">
        <x:v>0</x:v>
      </x:c>
      <x:c r="N683" s="6" t="str">
        <x:v>0</x:v>
      </x:c>
      <x:c r="O683" s="6" t="str">
        <x:v>0</x:v>
      </x:c>
      <x:c r="P683" s="6" t="str">
        <x:v>1</x:v>
      </x:c>
      <x:c r="Q683" s="6" t="str">
        <x:v>0.0</x:v>
      </x:c>
      <x:c r="R683" s="6" t="str">
        <x:v>1</x:v>
      </x:c>
      <x:c r="S683" s="6" t="str">
        <x:v>0.0</x:v>
      </x:c>
      <x:c r="T683" s="6" t="str">
        <x:v>1</x:v>
      </x:c>
      <x:c r="U683" s="6" t="str">
        <x:v>0.0</x:v>
      </x:c>
      <x:c r="V683" s="6" t="str">
        <x:v>1</x:v>
      </x:c>
      <x:c r="W683" s="6" t="str">
        <x:v>35.0</x:v>
      </x:c>
      <x:c r="X683" s="6" t="str">
        <x:v>1</x:v>
      </x:c>
      <x:c r="Y683" s="6" t="str">
        <x:v>176.0</x:v>
      </x:c>
      <x:c r="Z683" s="6" t="str">
        <x:v>1</x:v>
      </x:c>
      <x:c r="AA683" s="6" t="str">
        <x:v>3.0</x:v>
      </x:c>
      <x:c r="AB683" s="6" t="str">
        <x:v>1</x:v>
      </x:c>
      <x:c r="AC683" s="6" t="str">
        <x:v>2024-10</x:v>
      </x:c>
      <x:c r="AD683" s="9" t="str">
        <x:v>BNPB operational disaster search table</x:v>
      </x:c>
      <x:c r="AE683" s="9" t="str">
        <x:v>https://gis.bnpb.go.id/databencana/tabel/pencarian.php</x:v>
      </x:c>
      <x:c r="AF683" s="9" t="str">
        <x:v>operational_snapshot_annual_totals_may_differ</x:v>
      </x:c>
    </x:row>
    <x:row r="684" ht="18" customHeight="1">
      <x:c r="A684" s="6" t="str">
        <x:v>75</x:v>
      </x:c>
      <x:c r="B684" s="6" t="str">
        <x:v>GORONTALO</x:v>
      </x:c>
      <x:c r="C684" s="6" t="str">
        <x:v>2024</x:v>
      </x:c>
      <x:c r="D684" s="6" t="str">
        <x:v>11</x:v>
      </x:c>
      <x:c r="E684" s="6" t="str">
        <x:v>2</x:v>
      </x:c>
      <x:c r="F684" s="6" t="str">
        <x:v>2</x:v>
      </x:c>
      <x:c r="G684" s="6" t="str">
        <x:v>1</x:v>
      </x:c>
      <x:c r="H684" s="6" t="str">
        <x:v>0</x:v>
      </x:c>
      <x:c r="I684" s="6" t="str">
        <x:v>1</x:v>
      </x:c>
      <x:c r="J684" s="6" t="str">
        <x:v>0</x:v>
      </x:c>
      <x:c r="K684" s="6" t="str">
        <x:v>0</x:v>
      </x:c>
      <x:c r="L684" s="6" t="str">
        <x:v>0</x:v>
      </x:c>
      <x:c r="M684" s="6" t="str">
        <x:v>0</x:v>
      </x:c>
      <x:c r="N684" s="6" t="str">
        <x:v>0</x:v>
      </x:c>
      <x:c r="O684" s="6" t="str">
        <x:v>0</x:v>
      </x:c>
      <x:c r="P684" s="6" t="str">
        <x:v>2</x:v>
      </x:c>
      <x:c r="Q684" s="6" t="str">
        <x:v>0.0</x:v>
      </x:c>
      <x:c r="R684" s="6" t="str">
        <x:v>2</x:v>
      </x:c>
      <x:c r="S684" s="6" t="str">
        <x:v>0.0</x:v>
      </x:c>
      <x:c r="T684" s="6" t="str">
        <x:v>2</x:v>
      </x:c>
      <x:c r="U684" s="6" t="str">
        <x:v>0.0</x:v>
      </x:c>
      <x:c r="V684" s="6" t="str">
        <x:v>2</x:v>
      </x:c>
      <x:c r="W684" s="6" t="str">
        <x:v>10.0</x:v>
      </x:c>
      <x:c r="X684" s="6" t="str">
        <x:v>2</x:v>
      </x:c>
      <x:c r="Y684" s="6" t="str">
        <x:v>24.0</x:v>
      </x:c>
      <x:c r="Z684" s="6" t="str">
        <x:v>1</x:v>
      </x:c>
      <x:c r="AA684" s="6" t="str">
        <x:v>0.0</x:v>
      </x:c>
      <x:c r="AB684" s="6" t="str">
        <x:v>2</x:v>
      </x:c>
      <x:c r="AC684" s="6" t="str">
        <x:v>2024-11</x:v>
      </x:c>
      <x:c r="AD684" s="9" t="str">
        <x:v>BNPB operational disaster search table</x:v>
      </x:c>
      <x:c r="AE684" s="9" t="str">
        <x:v>https://gis.bnpb.go.id/databencana/tabel/pencarian.php</x:v>
      </x:c>
      <x:c r="AF684" s="9" t="str">
        <x:v>operational_snapshot_annual_totals_may_differ</x:v>
      </x:c>
    </x:row>
    <x:row r="685" ht="18" customHeight="1">
      <x:c r="A685" s="6" t="str">
        <x:v>75</x:v>
      </x:c>
      <x:c r="B685" s="6" t="str">
        <x:v>GORONTALO</x:v>
      </x:c>
      <x:c r="C685" s="6" t="str">
        <x:v>2024</x:v>
      </x:c>
      <x:c r="D685" s="6" t="str">
        <x:v>12</x:v>
      </x:c>
      <x:c r="E685" s="6" t="str">
        <x:v>1</x:v>
      </x:c>
      <x:c r="F685" s="6" t="str">
        <x:v>1</x:v>
      </x:c>
      <x:c r="G685" s="6" t="str">
        <x:v>1</x:v>
      </x:c>
      <x:c r="H685" s="6" t="str">
        <x:v>0</x:v>
      </x:c>
      <x:c r="I685" s="6" t="str">
        <x:v>0</x:v>
      </x:c>
      <x:c r="J685" s="6" t="str">
        <x:v>0</x:v>
      </x:c>
      <x:c r="K685" s="6" t="str">
        <x:v>0</x:v>
      </x:c>
      <x:c r="L685" s="6" t="str">
        <x:v>0</x:v>
      </x:c>
      <x:c r="M685" s="6" t="str">
        <x:v>0</x:v>
      </x:c>
      <x:c r="N685" s="6" t="str">
        <x:v>0</x:v>
      </x:c>
      <x:c r="O685" s="6" t="str">
        <x:v>0</x:v>
      </x:c>
      <x:c r="P685" s="6" t="str">
        <x:v>1</x:v>
      </x:c>
      <x:c r="Q685" s="6" t="str">
        <x:v>0.0</x:v>
      </x:c>
      <x:c r="R685" s="6" t="str">
        <x:v>1</x:v>
      </x:c>
      <x:c r="S685" s="6" t="str">
        <x:v>0.0</x:v>
      </x:c>
      <x:c r="T685" s="6" t="str">
        <x:v>1</x:v>
      </x:c>
      <x:c r="U685" s="6" t="str">
        <x:v>0.0</x:v>
      </x:c>
      <x:c r="V685" s="6" t="str">
        <x:v>1</x:v>
      </x:c>
      <x:c r="W685" s="6" t="str">
        <x:v>0.0</x:v>
      </x:c>
      <x:c r="X685" s="6" t="str">
        <x:v>1</x:v>
      </x:c>
      <x:c r="Y685" s="6" t="str">
        <x:v>1431.0</x:v>
      </x:c>
      <x:c r="Z685" s="6" t="str">
        <x:v>1</x:v>
      </x:c>
      <x:c r="AA685" s="6" t="str">
        <x:v>0.0</x:v>
      </x:c>
      <x:c r="AB685" s="6" t="str">
        <x:v>1</x:v>
      </x:c>
      <x:c r="AC685" s="6" t="str">
        <x:v>2024-12</x:v>
      </x:c>
      <x:c r="AD685" s="9" t="str">
        <x:v>BNPB operational disaster search table</x:v>
      </x:c>
      <x:c r="AE685" s="9" t="str">
        <x:v>https://gis.bnpb.go.id/databencana/tabel/pencarian.php</x:v>
      </x:c>
      <x:c r="AF685" s="9" t="str">
        <x:v>operational_snapshot_annual_totals_may_differ</x:v>
      </x:c>
    </x:row>
    <x:row r="686" ht="18" customHeight="1">
      <x:c r="A686" s="6" t="str">
        <x:v>75</x:v>
      </x:c>
      <x:c r="B686" s="6" t="str">
        <x:v>GORONTALO</x:v>
      </x:c>
      <x:c r="C686" s="6" t="str">
        <x:v>2025</x:v>
      </x:c>
      <x:c r="D686" s="6" t="str">
        <x:v>1</x:v>
      </x:c>
      <x:c r="E686" s="6" t="str">
        <x:v>13</x:v>
      </x:c>
      <x:c r="F686" s="6" t="str">
        <x:v>13</x:v>
      </x:c>
      <x:c r="G686" s="6" t="str">
        <x:v>13</x:v>
      </x:c>
      <x:c r="H686" s="6" t="str">
        <x:v>0</x:v>
      </x:c>
      <x:c r="I686" s="6" t="str">
        <x:v>0</x:v>
      </x:c>
      <x:c r="J686" s="6" t="str">
        <x:v>0</x:v>
      </x:c>
      <x:c r="K686" s="6" t="str">
        <x:v>0</x:v>
      </x:c>
      <x:c r="L686" s="6" t="str">
        <x:v>0</x:v>
      </x:c>
      <x:c r="M686" s="6" t="str">
        <x:v>0</x:v>
      </x:c>
      <x:c r="N686" s="6" t="str">
        <x:v>0</x:v>
      </x:c>
      <x:c r="O686" s="6" t="str">
        <x:v>0</x:v>
      </x:c>
      <x:c r="P686" s="6" t="str">
        <x:v>13</x:v>
      </x:c>
      <x:c r="Q686" s="6" t="str">
        <x:v>0.0</x:v>
      </x:c>
      <x:c r="R686" s="6" t="str">
        <x:v>13</x:v>
      </x:c>
      <x:c r="S686" s="6" t="str">
        <x:v>0.0</x:v>
      </x:c>
      <x:c r="T686" s="6" t="str">
        <x:v>13</x:v>
      </x:c>
      <x:c r="U686" s="6" t="str">
        <x:v>0.0</x:v>
      </x:c>
      <x:c r="V686" s="6" t="str">
        <x:v>13</x:v>
      </x:c>
      <x:c r="W686" s="6" t="str">
        <x:v>2.0</x:v>
      </x:c>
      <x:c r="X686" s="6" t="str">
        <x:v>13</x:v>
      </x:c>
      <x:c r="Y686" s="6" t="str">
        <x:v>3397.0</x:v>
      </x:c>
      <x:c r="Z686" s="6" t="str">
        <x:v>13</x:v>
      </x:c>
      <x:c r="AA686" s="6" t="str">
        <x:v>0.0</x:v>
      </x:c>
      <x:c r="AB686" s="6" t="str">
        <x:v>13</x:v>
      </x:c>
      <x:c r="AC686" s="6" t="str">
        <x:v>2025-01</x:v>
      </x:c>
      <x:c r="AD686" s="9" t="str">
        <x:v>BNPB operational disaster search table</x:v>
      </x:c>
      <x:c r="AE686" s="9" t="str">
        <x:v>https://gis.bnpb.go.id/databencana/tabel/pencarian.php</x:v>
      </x:c>
      <x:c r="AF686" s="9" t="str">
        <x:v>operational_snapshot_annual_totals_may_differ</x:v>
      </x:c>
    </x:row>
    <x:row r="687" ht="18" customHeight="1">
      <x:c r="A687" s="6" t="str">
        <x:v>75</x:v>
      </x:c>
      <x:c r="B687" s="6" t="str">
        <x:v>GORONTALO</x:v>
      </x:c>
      <x:c r="C687" s="6" t="str">
        <x:v>2025</x:v>
      </x:c>
      <x:c r="D687" s="6" t="str">
        <x:v>2</x:v>
      </x:c>
      <x:c r="E687" s="6" t="str">
        <x:v>2</x:v>
      </x:c>
      <x:c r="F687" s="6" t="str">
        <x:v>2</x:v>
      </x:c>
      <x:c r="G687" s="6" t="str">
        <x:v>2</x:v>
      </x:c>
      <x:c r="H687" s="6" t="str">
        <x:v>0</x:v>
      </x:c>
      <x:c r="I687" s="6" t="str">
        <x:v>0</x:v>
      </x:c>
      <x:c r="J687" s="6" t="str">
        <x:v>0</x:v>
      </x:c>
      <x:c r="K687" s="6" t="str">
        <x:v>0</x:v>
      </x:c>
      <x:c r="L687" s="6" t="str">
        <x:v>0</x:v>
      </x:c>
      <x:c r="M687" s="6" t="str">
        <x:v>0</x:v>
      </x:c>
      <x:c r="N687" s="6" t="str">
        <x:v>0</x:v>
      </x:c>
      <x:c r="O687" s="6" t="str">
        <x:v>0</x:v>
      </x:c>
      <x:c r="P687" s="6" t="str">
        <x:v>2</x:v>
      </x:c>
      <x:c r="Q687" s="6" t="str">
        <x:v>0.0</x:v>
      </x:c>
      <x:c r="R687" s="6" t="str">
        <x:v>2</x:v>
      </x:c>
      <x:c r="S687" s="6" t="str">
        <x:v>0.0</x:v>
      </x:c>
      <x:c r="T687" s="6" t="str">
        <x:v>2</x:v>
      </x:c>
      <x:c r="U687" s="6" t="str">
        <x:v>0.0</x:v>
      </x:c>
      <x:c r="V687" s="6" t="str">
        <x:v>2</x:v>
      </x:c>
      <x:c r="W687" s="6" t="str">
        <x:v>0.0</x:v>
      </x:c>
      <x:c r="X687" s="6" t="str">
        <x:v>2</x:v>
      </x:c>
      <x:c r="Y687" s="6" t="str">
        <x:v>121.0</x:v>
      </x:c>
      <x:c r="Z687" s="6" t="str">
        <x:v>2</x:v>
      </x:c>
      <x:c r="AA687" s="6" t="str">
        <x:v>0.0</x:v>
      </x:c>
      <x:c r="AB687" s="6" t="str">
        <x:v>2</x:v>
      </x:c>
      <x:c r="AC687" s="6" t="str">
        <x:v>2025-02</x:v>
      </x:c>
      <x:c r="AD687" s="9" t="str">
        <x:v>BNPB operational disaster search table</x:v>
      </x:c>
      <x:c r="AE687" s="9" t="str">
        <x:v>https://gis.bnpb.go.id/databencana/tabel/pencarian.php</x:v>
      </x:c>
      <x:c r="AF687" s="9" t="str">
        <x:v>operational_snapshot_annual_totals_may_differ</x:v>
      </x:c>
    </x:row>
    <x:row r="688" ht="18" customHeight="1">
      <x:c r="A688" s="6" t="str">
        <x:v>75</x:v>
      </x:c>
      <x:c r="B688" s="6" t="str">
        <x:v>GORONTALO</x:v>
      </x:c>
      <x:c r="C688" s="6" t="str">
        <x:v>2025</x:v>
      </x:c>
      <x:c r="D688" s="6" t="str">
        <x:v>3</x:v>
      </x:c>
      <x:c r="E688" s="6" t="str">
        <x:v>7</x:v>
      </x:c>
      <x:c r="F688" s="6" t="str">
        <x:v>7</x:v>
      </x:c>
      <x:c r="G688" s="6" t="str">
        <x:v>7</x:v>
      </x:c>
      <x:c r="H688" s="6" t="str">
        <x:v>0</x:v>
      </x:c>
      <x:c r="I688" s="6" t="str">
        <x:v>0</x:v>
      </x:c>
      <x:c r="J688" s="6" t="str">
        <x:v>0</x:v>
      </x:c>
      <x:c r="K688" s="6" t="str">
        <x:v>0</x:v>
      </x:c>
      <x:c r="L688" s="6" t="str">
        <x:v>0</x:v>
      </x:c>
      <x:c r="M688" s="6" t="str">
        <x:v>0</x:v>
      </x:c>
      <x:c r="N688" s="6" t="str">
        <x:v>0</x:v>
      </x:c>
      <x:c r="O688" s="6" t="str">
        <x:v>0</x:v>
      </x:c>
      <x:c r="P688" s="6" t="str">
        <x:v>7</x:v>
      </x:c>
      <x:c r="Q688" s="6" t="str">
        <x:v>0.0</x:v>
      </x:c>
      <x:c r="R688" s="6" t="str">
        <x:v>7</x:v>
      </x:c>
      <x:c r="S688" s="6" t="str">
        <x:v>0.0</x:v>
      </x:c>
      <x:c r="T688" s="6" t="str">
        <x:v>7</x:v>
      </x:c>
      <x:c r="U688" s="6" t="str">
        <x:v>0.0</x:v>
      </x:c>
      <x:c r="V688" s="6" t="str">
        <x:v>7</x:v>
      </x:c>
      <x:c r="W688" s="6" t="str">
        <x:v>13.0</x:v>
      </x:c>
      <x:c r="X688" s="6" t="str">
        <x:v>7</x:v>
      </x:c>
      <x:c r="Y688" s="6" t="str">
        <x:v>1452.0</x:v>
      </x:c>
      <x:c r="Z688" s="6" t="str">
        <x:v>7</x:v>
      </x:c>
      <x:c r="AA688" s="6" t="str">
        <x:v>1.0</x:v>
      </x:c>
      <x:c r="AB688" s="6" t="str">
        <x:v>7</x:v>
      </x:c>
      <x:c r="AC688" s="6" t="str">
        <x:v>2025-03</x:v>
      </x:c>
      <x:c r="AD688" s="9" t="str">
        <x:v>BNPB operational disaster search table</x:v>
      </x:c>
      <x:c r="AE688" s="9" t="str">
        <x:v>https://gis.bnpb.go.id/databencana/tabel/pencarian.php</x:v>
      </x:c>
      <x:c r="AF688" s="9" t="str">
        <x:v>operational_snapshot_annual_totals_may_differ</x:v>
      </x:c>
    </x:row>
    <x:row r="689" ht="18" customHeight="1">
      <x:c r="A689" s="6" t="str">
        <x:v>75</x:v>
      </x:c>
      <x:c r="B689" s="6" t="str">
        <x:v>GORONTALO</x:v>
      </x:c>
      <x:c r="C689" s="6" t="str">
        <x:v>2025</x:v>
      </x:c>
      <x:c r="D689" s="6" t="str">
        <x:v>4</x:v>
      </x:c>
      <x:c r="E689" s="6" t="str">
        <x:v>3</x:v>
      </x:c>
      <x:c r="F689" s="6" t="str">
        <x:v>3</x:v>
      </x:c>
      <x:c r="G689" s="6" t="str">
        <x:v>3</x:v>
      </x:c>
      <x:c r="H689" s="6" t="str">
        <x:v>0</x:v>
      </x:c>
      <x:c r="I689" s="6" t="str">
        <x:v>0</x:v>
      </x:c>
      <x:c r="J689" s="6" t="str">
        <x:v>0</x:v>
      </x:c>
      <x:c r="K689" s="6" t="str">
        <x:v>0</x:v>
      </x:c>
      <x:c r="L689" s="6" t="str">
        <x:v>0</x:v>
      </x:c>
      <x:c r="M689" s="6" t="str">
        <x:v>0</x:v>
      </x:c>
      <x:c r="N689" s="6" t="str">
        <x:v>0</x:v>
      </x:c>
      <x:c r="O689" s="6" t="str">
        <x:v>0</x:v>
      </x:c>
      <x:c r="P689" s="6" t="str">
        <x:v>3</x:v>
      </x:c>
      <x:c r="Q689" s="6" t="str">
        <x:v>0.0</x:v>
      </x:c>
      <x:c r="R689" s="6" t="str">
        <x:v>3</x:v>
      </x:c>
      <x:c r="S689" s="6" t="str">
        <x:v>0.0</x:v>
      </x:c>
      <x:c r="T689" s="6" t="str">
        <x:v>3</x:v>
      </x:c>
      <x:c r="U689" s="6" t="str">
        <x:v>0.0</x:v>
      </x:c>
      <x:c r="V689" s="6" t="str">
        <x:v>3</x:v>
      </x:c>
      <x:c r="W689" s="6" t="str">
        <x:v>1.0</x:v>
      </x:c>
      <x:c r="X689" s="6" t="str">
        <x:v>3</x:v>
      </x:c>
      <x:c r="Y689" s="6" t="str">
        <x:v>670.0</x:v>
      </x:c>
      <x:c r="Z689" s="6" t="str">
        <x:v>3</x:v>
      </x:c>
      <x:c r="AA689" s="6" t="str">
        <x:v>1.0</x:v>
      </x:c>
      <x:c r="AB689" s="6" t="str">
        <x:v>3</x:v>
      </x:c>
      <x:c r="AC689" s="6" t="str">
        <x:v>2025-04</x:v>
      </x:c>
      <x:c r="AD689" s="9" t="str">
        <x:v>BNPB operational disaster search table</x:v>
      </x:c>
      <x:c r="AE689" s="9" t="str">
        <x:v>https://gis.bnpb.go.id/databencana/tabel/pencarian.php</x:v>
      </x:c>
      <x:c r="AF689" s="9" t="str">
        <x:v>operational_snapshot_annual_totals_may_differ</x:v>
      </x:c>
    </x:row>
    <x:row r="690" ht="18" customHeight="1">
      <x:c r="A690" s="6" t="str">
        <x:v>75</x:v>
      </x:c>
      <x:c r="B690" s="6" t="str">
        <x:v>GORONTALO</x:v>
      </x:c>
      <x:c r="C690" s="6" t="str">
        <x:v>2025</x:v>
      </x:c>
      <x:c r="D690" s="6" t="str">
        <x:v>5</x:v>
      </x:c>
      <x:c r="E690" s="6" t="str">
        <x:v>2</x:v>
      </x:c>
      <x:c r="F690" s="6" t="str">
        <x:v>2</x:v>
      </x:c>
      <x:c r="G690" s="6" t="str">
        <x:v>1</x:v>
      </x:c>
      <x:c r="H690" s="6" t="str">
        <x:v>0</x:v>
      </x:c>
      <x:c r="I690" s="6" t="str">
        <x:v>1</x:v>
      </x:c>
      <x:c r="J690" s="6" t="str">
        <x:v>0</x:v>
      </x:c>
      <x:c r="K690" s="6" t="str">
        <x:v>0</x:v>
      </x:c>
      <x:c r="L690" s="6" t="str">
        <x:v>0</x:v>
      </x:c>
      <x:c r="M690" s="6" t="str">
        <x:v>0</x:v>
      </x:c>
      <x:c r="N690" s="6" t="str">
        <x:v>0</x:v>
      </x:c>
      <x:c r="O690" s="6" t="str">
        <x:v>0</x:v>
      </x:c>
      <x:c r="P690" s="6" t="str">
        <x:v>2</x:v>
      </x:c>
      <x:c r="Q690" s="6" t="str">
        <x:v>0.0</x:v>
      </x:c>
      <x:c r="R690" s="6" t="str">
        <x:v>2</x:v>
      </x:c>
      <x:c r="S690" s="6" t="str">
        <x:v>0.0</x:v>
      </x:c>
      <x:c r="T690" s="6" t="str">
        <x:v>2</x:v>
      </x:c>
      <x:c r="U690" s="6" t="str">
        <x:v>0.0</x:v>
      </x:c>
      <x:c r="V690" s="6" t="str">
        <x:v>2</x:v>
      </x:c>
      <x:c r="W690" s="6" t="str">
        <x:v>77.0</x:v>
      </x:c>
      <x:c r="X690" s="6" t="str">
        <x:v>2</x:v>
      </x:c>
      <x:c r="Y690" s="6" t="str">
        <x:v>15.0</x:v>
      </x:c>
      <x:c r="Z690" s="6" t="str">
        <x:v>1</x:v>
      </x:c>
      <x:c r="AA690" s="6" t="str">
        <x:v>0.0</x:v>
      </x:c>
      <x:c r="AB690" s="6" t="str">
        <x:v>2</x:v>
      </x:c>
      <x:c r="AC690" s="6" t="str">
        <x:v>2025-05</x:v>
      </x:c>
      <x:c r="AD690" s="9" t="str">
        <x:v>BNPB operational disaster search table</x:v>
      </x:c>
      <x:c r="AE690" s="9" t="str">
        <x:v>https://gis.bnpb.go.id/databencana/tabel/pencarian.php</x:v>
      </x:c>
      <x:c r="AF690" s="9" t="str">
        <x:v>operational_snapshot_annual_totals_may_differ</x:v>
      </x:c>
    </x:row>
    <x:row r="691" ht="18" customHeight="1">
      <x:c r="A691" s="6" t="str">
        <x:v>75</x:v>
      </x:c>
      <x:c r="B691" s="6" t="str">
        <x:v>GORONTALO</x:v>
      </x:c>
      <x:c r="C691" s="6" t="str">
        <x:v>2025</x:v>
      </x:c>
      <x:c r="D691" s="6" t="str">
        <x:v>6</x:v>
      </x:c>
      <x:c r="E691" s="6" t="str">
        <x:v>5</x:v>
      </x:c>
      <x:c r="F691" s="6" t="str">
        <x:v>5</x:v>
      </x:c>
      <x:c r="G691" s="6" t="str">
        <x:v>5</x:v>
      </x:c>
      <x:c r="H691" s="6" t="str">
        <x:v>0</x:v>
      </x:c>
      <x:c r="I691" s="6" t="str">
        <x:v>0</x:v>
      </x:c>
      <x:c r="J691" s="6" t="str">
        <x:v>0</x:v>
      </x:c>
      <x:c r="K691" s="6" t="str">
        <x:v>0</x:v>
      </x:c>
      <x:c r="L691" s="6" t="str">
        <x:v>0</x:v>
      </x:c>
      <x:c r="M691" s="6" t="str">
        <x:v>0</x:v>
      </x:c>
      <x:c r="N691" s="6" t="str">
        <x:v>0</x:v>
      </x:c>
      <x:c r="O691" s="6" t="str">
        <x:v>0</x:v>
      </x:c>
      <x:c r="P691" s="6" t="str">
        <x:v>5</x:v>
      </x:c>
      <x:c r="Q691" s="6" t="str">
        <x:v>2.0</x:v>
      </x:c>
      <x:c r="R691" s="6" t="str">
        <x:v>2</x:v>
      </x:c>
      <x:c r="S691" s="6" t="str">
        <x:v>0.0</x:v>
      </x:c>
      <x:c r="T691" s="6" t="str">
        <x:v>1</x:v>
      </x:c>
      <x:c r="U691" s="6" t="str">
        <x:v>0.0</x:v>
      </x:c>
      <x:c r="V691" s="6" t="str">
        <x:v>1</x:v>
      </x:c>
      <x:c r="W691" s="6" t="str">
        <x:v>34.0</x:v>
      </x:c>
      <x:c r="X691" s="6" t="str">
        <x:v>5</x:v>
      </x:c>
      <x:c r="Y691" s="6" t="str">
        <x:v>2944.0</x:v>
      </x:c>
      <x:c r="Z691" s="6" t="str">
        <x:v>5</x:v>
      </x:c>
      <x:c r="AA691" s="6" t="str">
        <x:v>0.0</x:v>
      </x:c>
      <x:c r="AB691" s="6" t="str">
        <x:v>5</x:v>
      </x:c>
      <x:c r="AC691" s="6" t="str">
        <x:v>2025-06</x:v>
      </x:c>
      <x:c r="AD691" s="9" t="str">
        <x:v>BNPB operational disaster search table</x:v>
      </x:c>
      <x:c r="AE691" s="9" t="str">
        <x:v>https://gis.bnpb.go.id/databencana/tabel/pencarian.php</x:v>
      </x:c>
      <x:c r="AF691" s="9" t="str">
        <x:v>operational_snapshot_annual_totals_may_differ</x:v>
      </x:c>
    </x:row>
    <x:row r="692" ht="18" customHeight="1">
      <x:c r="A692" s="6" t="str">
        <x:v>75</x:v>
      </x:c>
      <x:c r="B692" s="6" t="str">
        <x:v>GORONTALO</x:v>
      </x:c>
      <x:c r="C692" s="6" t="str">
        <x:v>2025</x:v>
      </x:c>
      <x:c r="D692" s="6" t="str">
        <x:v>7</x:v>
      </x:c>
      <x:c r="E692" s="6" t="str">
        <x:v>4</x:v>
      </x:c>
      <x:c r="F692" s="6" t="str">
        <x:v>4</x:v>
      </x:c>
      <x:c r="G692" s="6" t="str">
        <x:v>2</x:v>
      </x:c>
      <x:c r="H692" s="6" t="str">
        <x:v>0</x:v>
      </x:c>
      <x:c r="I692" s="6" t="str">
        <x:v>0</x:v>
      </x:c>
      <x:c r="J692" s="6" t="str">
        <x:v>0</x:v>
      </x:c>
      <x:c r="K692" s="6" t="str">
        <x:v>0</x:v>
      </x:c>
      <x:c r="L692" s="6" t="str">
        <x:v>0</x:v>
      </x:c>
      <x:c r="M692" s="6" t="str">
        <x:v>0</x:v>
      </x:c>
      <x:c r="N692" s="6" t="str">
        <x:v>0</x:v>
      </x:c>
      <x:c r="O692" s="6" t="str">
        <x:v>2</x:v>
      </x:c>
      <x:c r="P692" s="6" t="str">
        <x:v>2</x:v>
      </x:c>
      <x:c r="Q692" s="6" t="str"/>
      <x:c r="R692" s="6" t="str">
        <x:v>0</x:v>
      </x:c>
      <x:c r="S692" s="6" t="str"/>
      <x:c r="T692" s="6" t="str">
        <x:v>0</x:v>
      </x:c>
      <x:c r="U692" s="6" t="str"/>
      <x:c r="V692" s="6" t="str">
        <x:v>0</x:v>
      </x:c>
      <x:c r="W692" s="6" t="str">
        <x:v>0.0</x:v>
      </x:c>
      <x:c r="X692" s="6" t="str">
        <x:v>4</x:v>
      </x:c>
      <x:c r="Y692" s="6" t="str">
        <x:v>84.0</x:v>
      </x:c>
      <x:c r="Z692" s="6" t="str">
        <x:v>2</x:v>
      </x:c>
      <x:c r="AA692" s="6" t="str">
        <x:v>4.0</x:v>
      </x:c>
      <x:c r="AB692" s="6" t="str">
        <x:v>4</x:v>
      </x:c>
      <x:c r="AC692" s="6" t="str">
        <x:v>2025-07</x:v>
      </x:c>
      <x:c r="AD692" s="9" t="str">
        <x:v>BNPB operational disaster search table</x:v>
      </x:c>
      <x:c r="AE692" s="9" t="str">
        <x:v>https://gis.bnpb.go.id/databencana/tabel/pencarian.php</x:v>
      </x:c>
      <x:c r="AF692" s="9" t="str">
        <x:v>operational_snapshot_annual_totals_may_differ</x:v>
      </x:c>
    </x:row>
    <x:row r="693" ht="18" customHeight="1">
      <x:c r="A693" s="6" t="str">
        <x:v>75</x:v>
      </x:c>
      <x:c r="B693" s="6" t="str">
        <x:v>GORONTALO</x:v>
      </x:c>
      <x:c r="C693" s="6" t="str">
        <x:v>2025</x:v>
      </x:c>
      <x:c r="D693" s="6" t="str">
        <x:v>8</x:v>
      </x:c>
      <x:c r="E693" s="6" t="str">
        <x:v>1</x:v>
      </x:c>
      <x:c r="F693" s="6" t="str">
        <x:v>1</x:v>
      </x:c>
      <x:c r="G693" s="6" t="str">
        <x:v>0</x:v>
      </x:c>
      <x:c r="H693" s="6" t="str">
        <x:v>0</x:v>
      </x:c>
      <x:c r="I693" s="6" t="str">
        <x:v>1</x:v>
      </x:c>
      <x:c r="J693" s="6" t="str">
        <x:v>0</x:v>
      </x:c>
      <x:c r="K693" s="6" t="str">
        <x:v>0</x:v>
      </x:c>
      <x:c r="L693" s="6" t="str">
        <x:v>0</x:v>
      </x:c>
      <x:c r="M693" s="6" t="str">
        <x:v>0</x:v>
      </x:c>
      <x:c r="N693" s="6" t="str">
        <x:v>0</x:v>
      </x:c>
      <x:c r="O693" s="6" t="str">
        <x:v>0</x:v>
      </x:c>
      <x:c r="P693" s="6" t="str">
        <x:v>1</x:v>
      </x:c>
      <x:c r="Q693" s="6" t="str"/>
      <x:c r="R693" s="6" t="str">
        <x:v>0</x:v>
      </x:c>
      <x:c r="S693" s="6" t="str"/>
      <x:c r="T693" s="6" t="str">
        <x:v>0</x:v>
      </x:c>
      <x:c r="U693" s="6" t="str">
        <x:v>1.0</x:v>
      </x:c>
      <x:c r="V693" s="6" t="str">
        <x:v>1</x:v>
      </x:c>
      <x:c r="W693" s="6" t="str">
        <x:v>7.0</x:v>
      </x:c>
      <x:c r="X693" s="6" t="str">
        <x:v>1</x:v>
      </x:c>
      <x:c r="Y693" s="6" t="str"/>
      <x:c r="Z693" s="6" t="str">
        <x:v>0</x:v>
      </x:c>
      <x:c r="AA693" s="6" t="str">
        <x:v>1.0</x:v>
      </x:c>
      <x:c r="AB693" s="6" t="str">
        <x:v>1</x:v>
      </x:c>
      <x:c r="AC693" s="6" t="str">
        <x:v>2025-08</x:v>
      </x:c>
      <x:c r="AD693" s="9" t="str">
        <x:v>BNPB operational disaster search table</x:v>
      </x:c>
      <x:c r="AE693" s="9" t="str">
        <x:v>https://gis.bnpb.go.id/databencana/tabel/pencarian.php</x:v>
      </x:c>
      <x:c r="AF693" s="9" t="str">
        <x:v>operational_snapshot_annual_totals_may_differ</x:v>
      </x:c>
    </x:row>
    <x:row r="694" ht="18" customHeight="1">
      <x:c r="A694" s="6" t="str">
        <x:v>75</x:v>
      </x:c>
      <x:c r="B694" s="6" t="str">
        <x:v>GORONTALO</x:v>
      </x:c>
      <x:c r="C694" s="6" t="str">
        <x:v>2025</x:v>
      </x:c>
      <x:c r="D694" s="6" t="str">
        <x:v>9</x:v>
      </x:c>
      <x:c r="E694" s="6" t="str">
        <x:v>1</x:v>
      </x:c>
      <x:c r="F694" s="6" t="str">
        <x:v>1</x:v>
      </x:c>
      <x:c r="G694" s="6" t="str">
        <x:v>1</x:v>
      </x:c>
      <x:c r="H694" s="6" t="str">
        <x:v>0</x:v>
      </x:c>
      <x:c r="I694" s="6" t="str">
        <x:v>0</x:v>
      </x:c>
      <x:c r="J694" s="6" t="str">
        <x:v>0</x:v>
      </x:c>
      <x:c r="K694" s="6" t="str">
        <x:v>0</x:v>
      </x:c>
      <x:c r="L694" s="6" t="str">
        <x:v>0</x:v>
      </x:c>
      <x:c r="M694" s="6" t="str">
        <x:v>0</x:v>
      </x:c>
      <x:c r="N694" s="6" t="str">
        <x:v>0</x:v>
      </x:c>
      <x:c r="O694" s="6" t="str">
        <x:v>0</x:v>
      </x:c>
      <x:c r="P694" s="6" t="str">
        <x:v>1</x:v>
      </x:c>
      <x:c r="Q694" s="6" t="str"/>
      <x:c r="R694" s="6" t="str">
        <x:v>0</x:v>
      </x:c>
      <x:c r="S694" s="6" t="str"/>
      <x:c r="T694" s="6" t="str">
        <x:v>0</x:v>
      </x:c>
      <x:c r="U694" s="6" t="str"/>
      <x:c r="V694" s="6" t="str">
        <x:v>0</x:v>
      </x:c>
      <x:c r="W694" s="6" t="str">
        <x:v>0.0</x:v>
      </x:c>
      <x:c r="X694" s="6" t="str">
        <x:v>1</x:v>
      </x:c>
      <x:c r="Y694" s="6" t="str">
        <x:v>115.0</x:v>
      </x:c>
      <x:c r="Z694" s="6" t="str">
        <x:v>1</x:v>
      </x:c>
      <x:c r="AA694" s="6" t="str">
        <x:v>0.0</x:v>
      </x:c>
      <x:c r="AB694" s="6" t="str">
        <x:v>1</x:v>
      </x:c>
      <x:c r="AC694" s="6" t="str">
        <x:v>2025-09</x:v>
      </x:c>
      <x:c r="AD694" s="9" t="str">
        <x:v>BNPB operational disaster search table</x:v>
      </x:c>
      <x:c r="AE694" s="9" t="str">
        <x:v>https://gis.bnpb.go.id/databencana/tabel/pencarian.php</x:v>
      </x:c>
      <x:c r="AF694" s="9" t="str">
        <x:v>operational_snapshot_annual_totals_may_differ</x:v>
      </x:c>
    </x:row>
    <x:row r="695" ht="18" customHeight="1">
      <x:c r="A695" s="6" t="str">
        <x:v>75</x:v>
      </x:c>
      <x:c r="B695" s="6" t="str">
        <x:v>GORONTALO</x:v>
      </x:c>
      <x:c r="C695" s="6" t="str">
        <x:v>2025</x:v>
      </x:c>
      <x:c r="D695" s="6" t="str">
        <x:v>10</x:v>
      </x:c>
      <x:c r="E695" s="6" t="str">
        <x:v>0</x:v>
      </x:c>
      <x:c r="F695" s="6" t="str">
        <x:v>0</x:v>
      </x:c>
      <x:c r="G695" s="6" t="str">
        <x:v>0</x:v>
      </x:c>
      <x:c r="H695" s="6" t="str">
        <x:v>0</x:v>
      </x:c>
      <x:c r="I695" s="6" t="str">
        <x:v>0</x:v>
      </x:c>
      <x:c r="J695" s="6" t="str">
        <x:v>0</x:v>
      </x:c>
      <x:c r="K695" s="6" t="str">
        <x:v>0</x:v>
      </x:c>
      <x:c r="L695" s="6" t="str">
        <x:v>0</x:v>
      </x:c>
      <x:c r="M695" s="6" t="str">
        <x:v>0</x:v>
      </x:c>
      <x:c r="N695" s="6" t="str">
        <x:v>0</x:v>
      </x:c>
      <x:c r="O695" s="6" t="str">
        <x:v>0</x:v>
      </x:c>
      <x:c r="P695" s="6" t="str">
        <x:v>0</x:v>
      </x:c>
      <x:c r="Q695" s="6" t="str"/>
      <x:c r="R695" s="6" t="str">
        <x:v>0</x:v>
      </x:c>
      <x:c r="S695" s="6" t="str"/>
      <x:c r="T695" s="6" t="str">
        <x:v>0</x:v>
      </x:c>
      <x:c r="U695" s="6" t="str"/>
      <x:c r="V695" s="6" t="str">
        <x:v>0</x:v>
      </x:c>
      <x:c r="W695" s="6" t="str"/>
      <x:c r="X695" s="6" t="str">
        <x:v>0</x:v>
      </x:c>
      <x:c r="Y695" s="6" t="str"/>
      <x:c r="Z695" s="6" t="str">
        <x:v>0</x:v>
      </x:c>
      <x:c r="AA695" s="6" t="str"/>
      <x:c r="AB695" s="6" t="str">
        <x:v>0</x:v>
      </x:c>
      <x:c r="AC695" s="6" t="str">
        <x:v>2025-10</x:v>
      </x:c>
      <x:c r="AD695" s="9" t="str">
        <x:v>BNPB operational disaster search table</x:v>
      </x:c>
      <x:c r="AE695" s="9" t="str">
        <x:v>https://gis.bnpb.go.id/databencana/tabel/pencarian.php</x:v>
      </x:c>
      <x:c r="AF695" s="9" t="str">
        <x:v>operational_snapshot_annual_totals_may_differ</x:v>
      </x:c>
    </x:row>
    <x:row r="696" ht="18" customHeight="1">
      <x:c r="A696" s="6" t="str">
        <x:v>75</x:v>
      </x:c>
      <x:c r="B696" s="6" t="str">
        <x:v>GORONTALO</x:v>
      </x:c>
      <x:c r="C696" s="6" t="str">
        <x:v>2025</x:v>
      </x:c>
      <x:c r="D696" s="6" t="str">
        <x:v>11</x:v>
      </x:c>
      <x:c r="E696" s="6" t="str">
        <x:v>0</x:v>
      </x:c>
      <x:c r="F696" s="6" t="str">
        <x:v>0</x:v>
      </x:c>
      <x:c r="G696" s="6" t="str">
        <x:v>0</x:v>
      </x:c>
      <x:c r="H696" s="6" t="str">
        <x:v>0</x:v>
      </x:c>
      <x:c r="I696" s="6" t="str">
        <x:v>0</x:v>
      </x:c>
      <x:c r="J696" s="6" t="str">
        <x:v>0</x:v>
      </x:c>
      <x:c r="K696" s="6" t="str">
        <x:v>0</x:v>
      </x:c>
      <x:c r="L696" s="6" t="str">
        <x:v>0</x:v>
      </x:c>
      <x:c r="M696" s="6" t="str">
        <x:v>0</x:v>
      </x:c>
      <x:c r="N696" s="6" t="str">
        <x:v>0</x:v>
      </x:c>
      <x:c r="O696" s="6" t="str">
        <x:v>0</x:v>
      </x:c>
      <x:c r="P696" s="6" t="str">
        <x:v>0</x:v>
      </x:c>
      <x:c r="Q696" s="6" t="str"/>
      <x:c r="R696" s="6" t="str">
        <x:v>0</x:v>
      </x:c>
      <x:c r="S696" s="6" t="str"/>
      <x:c r="T696" s="6" t="str">
        <x:v>0</x:v>
      </x:c>
      <x:c r="U696" s="6" t="str"/>
      <x:c r="V696" s="6" t="str">
        <x:v>0</x:v>
      </x:c>
      <x:c r="W696" s="6" t="str"/>
      <x:c r="X696" s="6" t="str">
        <x:v>0</x:v>
      </x:c>
      <x:c r="Y696" s="6" t="str"/>
      <x:c r="Z696" s="6" t="str">
        <x:v>0</x:v>
      </x:c>
      <x:c r="AA696" s="6" t="str"/>
      <x:c r="AB696" s="6" t="str">
        <x:v>0</x:v>
      </x:c>
      <x:c r="AC696" s="6" t="str">
        <x:v>2025-11</x:v>
      </x:c>
      <x:c r="AD696" s="9" t="str">
        <x:v>BNPB operational disaster search table</x:v>
      </x:c>
      <x:c r="AE696" s="9" t="str">
        <x:v>https://gis.bnpb.go.id/databencana/tabel/pencarian.php</x:v>
      </x:c>
      <x:c r="AF696" s="9" t="str">
        <x:v>operational_snapshot_annual_totals_may_differ</x:v>
      </x:c>
    </x:row>
    <x:row r="697" ht="18" customHeight="1">
      <x:c r="A697" s="6" t="str">
        <x:v>75</x:v>
      </x:c>
      <x:c r="B697" s="6" t="str">
        <x:v>GORONTALO</x:v>
      </x:c>
      <x:c r="C697" s="6" t="str">
        <x:v>2025</x:v>
      </x:c>
      <x:c r="D697" s="6" t="str">
        <x:v>12</x:v>
      </x:c>
      <x:c r="E697" s="6" t="str">
        <x:v>2</x:v>
      </x:c>
      <x:c r="F697" s="6" t="str">
        <x:v>2</x:v>
      </x:c>
      <x:c r="G697" s="6" t="str">
        <x:v>2</x:v>
      </x:c>
      <x:c r="H697" s="6" t="str">
        <x:v>0</x:v>
      </x:c>
      <x:c r="I697" s="6" t="str">
        <x:v>0</x:v>
      </x:c>
      <x:c r="J697" s="6" t="str">
        <x:v>0</x:v>
      </x:c>
      <x:c r="K697" s="6" t="str">
        <x:v>0</x:v>
      </x:c>
      <x:c r="L697" s="6" t="str">
        <x:v>0</x:v>
      </x:c>
      <x:c r="M697" s="6" t="str">
        <x:v>0</x:v>
      </x:c>
      <x:c r="N697" s="6" t="str">
        <x:v>0</x:v>
      </x:c>
      <x:c r="O697" s="6" t="str">
        <x:v>0</x:v>
      </x:c>
      <x:c r="P697" s="6" t="str">
        <x:v>2</x:v>
      </x:c>
      <x:c r="Q697" s="6" t="str"/>
      <x:c r="R697" s="6" t="str">
        <x:v>0</x:v>
      </x:c>
      <x:c r="S697" s="6" t="str"/>
      <x:c r="T697" s="6" t="str">
        <x:v>0</x:v>
      </x:c>
      <x:c r="U697" s="6" t="str"/>
      <x:c r="V697" s="6" t="str">
        <x:v>0</x:v>
      </x:c>
      <x:c r="W697" s="6" t="str">
        <x:v>0.0</x:v>
      </x:c>
      <x:c r="X697" s="6" t="str">
        <x:v>2</x:v>
      </x:c>
      <x:c r="Y697" s="6" t="str">
        <x:v>110.0</x:v>
      </x:c>
      <x:c r="Z697" s="6" t="str">
        <x:v>2</x:v>
      </x:c>
      <x:c r="AA697" s="6" t="str">
        <x:v>0.0</x:v>
      </x:c>
      <x:c r="AB697" s="6" t="str">
        <x:v>2</x:v>
      </x:c>
      <x:c r="AC697" s="6" t="str">
        <x:v>2025-12</x:v>
      </x:c>
      <x:c r="AD697" s="9" t="str">
        <x:v>BNPB operational disaster search table</x:v>
      </x:c>
      <x:c r="AE697" s="9" t="str">
        <x:v>https://gis.bnpb.go.id/databencana/tabel/pencarian.php</x:v>
      </x:c>
      <x:c r="AF697" s="9" t="str">
        <x:v>operational_snapshot_annual_totals_may_differ</x:v>
      </x:c>
    </x:row>
    <x:row r="698" ht="18" customHeight="1">
      <x:c r="A698" s="6" t="str">
        <x:v>76</x:v>
      </x:c>
      <x:c r="B698" s="6" t="str">
        <x:v>SULAWESI BARAT</x:v>
      </x:c>
      <x:c r="C698" s="6" t="str">
        <x:v>2024</x:v>
      </x:c>
      <x:c r="D698" s="6" t="str">
        <x:v>1</x:v>
      </x:c>
      <x:c r="E698" s="6" t="str">
        <x:v>1</x:v>
      </x:c>
      <x:c r="F698" s="6" t="str">
        <x:v>1</x:v>
      </x:c>
      <x:c r="G698" s="6" t="str">
        <x:v>1</x:v>
      </x:c>
      <x:c r="H698" s="6" t="str">
        <x:v>0</x:v>
      </x:c>
      <x:c r="I698" s="6" t="str">
        <x:v>0</x:v>
      </x:c>
      <x:c r="J698" s="6" t="str">
        <x:v>0</x:v>
      </x:c>
      <x:c r="K698" s="6" t="str">
        <x:v>0</x:v>
      </x:c>
      <x:c r="L698" s="6" t="str">
        <x:v>0</x:v>
      </x:c>
      <x:c r="M698" s="6" t="str">
        <x:v>0</x:v>
      </x:c>
      <x:c r="N698" s="6" t="str">
        <x:v>0</x:v>
      </x:c>
      <x:c r="O698" s="6" t="str">
        <x:v>0</x:v>
      </x:c>
      <x:c r="P698" s="6" t="str">
        <x:v>1</x:v>
      </x:c>
      <x:c r="Q698" s="6" t="str">
        <x:v>0.0</x:v>
      </x:c>
      <x:c r="R698" s="6" t="str">
        <x:v>1</x:v>
      </x:c>
      <x:c r="S698" s="6" t="str">
        <x:v>0.0</x:v>
      </x:c>
      <x:c r="T698" s="6" t="str">
        <x:v>1</x:v>
      </x:c>
      <x:c r="U698" s="6" t="str">
        <x:v>0.0</x:v>
      </x:c>
      <x:c r="V698" s="6" t="str">
        <x:v>1</x:v>
      </x:c>
      <x:c r="W698" s="6" t="str">
        <x:v>0.0</x:v>
      </x:c>
      <x:c r="X698" s="6" t="str">
        <x:v>1</x:v>
      </x:c>
      <x:c r="Y698" s="6" t="str">
        <x:v>559.0</x:v>
      </x:c>
      <x:c r="Z698" s="6" t="str">
        <x:v>1</x:v>
      </x:c>
      <x:c r="AA698" s="6" t="str">
        <x:v>0.0</x:v>
      </x:c>
      <x:c r="AB698" s="6" t="str">
        <x:v>1</x:v>
      </x:c>
      <x:c r="AC698" s="6" t="str">
        <x:v>2024-01</x:v>
      </x:c>
      <x:c r="AD698" s="9" t="str">
        <x:v>BNPB operational disaster search table</x:v>
      </x:c>
      <x:c r="AE698" s="9" t="str">
        <x:v>https://gis.bnpb.go.id/databencana/tabel/pencarian.php</x:v>
      </x:c>
      <x:c r="AF698" s="9" t="str">
        <x:v>operational_snapshot_annual_totals_may_differ</x:v>
      </x:c>
    </x:row>
    <x:row r="699" ht="18" customHeight="1">
      <x:c r="A699" s="6" t="str">
        <x:v>76</x:v>
      </x:c>
      <x:c r="B699" s="6" t="str">
        <x:v>SULAWESI BARAT</x:v>
      </x:c>
      <x:c r="C699" s="6" t="str">
        <x:v>2024</x:v>
      </x:c>
      <x:c r="D699" s="6" t="str">
        <x:v>2</x:v>
      </x:c>
      <x:c r="E699" s="6" t="str">
        <x:v>0</x:v>
      </x:c>
      <x:c r="F699" s="6" t="str">
        <x:v>0</x:v>
      </x:c>
      <x:c r="G699" s="6" t="str">
        <x:v>0</x:v>
      </x:c>
      <x:c r="H699" s="6" t="str">
        <x:v>0</x:v>
      </x:c>
      <x:c r="I699" s="6" t="str">
        <x:v>0</x:v>
      </x:c>
      <x:c r="J699" s="6" t="str">
        <x:v>0</x:v>
      </x:c>
      <x:c r="K699" s="6" t="str">
        <x:v>0</x:v>
      </x:c>
      <x:c r="L699" s="6" t="str">
        <x:v>0</x:v>
      </x:c>
      <x:c r="M699" s="6" t="str">
        <x:v>0</x:v>
      </x:c>
      <x:c r="N699" s="6" t="str">
        <x:v>0</x:v>
      </x:c>
      <x:c r="O699" s="6" t="str">
        <x:v>0</x:v>
      </x:c>
      <x:c r="P699" s="6" t="str">
        <x:v>0</x:v>
      </x:c>
      <x:c r="Q699" s="6" t="str"/>
      <x:c r="R699" s="6" t="str">
        <x:v>0</x:v>
      </x:c>
      <x:c r="S699" s="6" t="str"/>
      <x:c r="T699" s="6" t="str">
        <x:v>0</x:v>
      </x:c>
      <x:c r="U699" s="6" t="str"/>
      <x:c r="V699" s="6" t="str">
        <x:v>0</x:v>
      </x:c>
      <x:c r="W699" s="6" t="str"/>
      <x:c r="X699" s="6" t="str">
        <x:v>0</x:v>
      </x:c>
      <x:c r="Y699" s="6" t="str"/>
      <x:c r="Z699" s="6" t="str">
        <x:v>0</x:v>
      </x:c>
      <x:c r="AA699" s="6" t="str"/>
      <x:c r="AB699" s="6" t="str">
        <x:v>0</x:v>
      </x:c>
      <x:c r="AC699" s="6" t="str">
        <x:v>2024-02</x:v>
      </x:c>
      <x:c r="AD699" s="9" t="str">
        <x:v>BNPB operational disaster search table</x:v>
      </x:c>
      <x:c r="AE699" s="9" t="str">
        <x:v>https://gis.bnpb.go.id/databencana/tabel/pencarian.php</x:v>
      </x:c>
      <x:c r="AF699" s="9" t="str">
        <x:v>operational_snapshot_annual_totals_may_differ</x:v>
      </x:c>
    </x:row>
    <x:row r="700" ht="18" customHeight="1">
      <x:c r="A700" s="6" t="str">
        <x:v>76</x:v>
      </x:c>
      <x:c r="B700" s="6" t="str">
        <x:v>SULAWESI BARAT</x:v>
      </x:c>
      <x:c r="C700" s="6" t="str">
        <x:v>2024</x:v>
      </x:c>
      <x:c r="D700" s="6" t="str">
        <x:v>3</x:v>
      </x:c>
      <x:c r="E700" s="6" t="str">
        <x:v>3</x:v>
      </x:c>
      <x:c r="F700" s="6" t="str">
        <x:v>3</x:v>
      </x:c>
      <x:c r="G700" s="6" t="str">
        <x:v>3</x:v>
      </x:c>
      <x:c r="H700" s="6" t="str">
        <x:v>0</x:v>
      </x:c>
      <x:c r="I700" s="6" t="str">
        <x:v>0</x:v>
      </x:c>
      <x:c r="J700" s="6" t="str">
        <x:v>0</x:v>
      </x:c>
      <x:c r="K700" s="6" t="str">
        <x:v>0</x:v>
      </x:c>
      <x:c r="L700" s="6" t="str">
        <x:v>0</x:v>
      </x:c>
      <x:c r="M700" s="6" t="str">
        <x:v>0</x:v>
      </x:c>
      <x:c r="N700" s="6" t="str">
        <x:v>0</x:v>
      </x:c>
      <x:c r="O700" s="6" t="str">
        <x:v>0</x:v>
      </x:c>
      <x:c r="P700" s="6" t="str">
        <x:v>3</x:v>
      </x:c>
      <x:c r="Q700" s="6" t="str">
        <x:v>0.0</x:v>
      </x:c>
      <x:c r="R700" s="6" t="str">
        <x:v>3</x:v>
      </x:c>
      <x:c r="S700" s="6" t="str">
        <x:v>0.0</x:v>
      </x:c>
      <x:c r="T700" s="6" t="str">
        <x:v>3</x:v>
      </x:c>
      <x:c r="U700" s="6" t="str">
        <x:v>0.0</x:v>
      </x:c>
      <x:c r="V700" s="6" t="str">
        <x:v>3</x:v>
      </x:c>
      <x:c r="W700" s="6" t="str">
        <x:v>0.0</x:v>
      </x:c>
      <x:c r="X700" s="6" t="str">
        <x:v>3</x:v>
      </x:c>
      <x:c r="Y700" s="6" t="str">
        <x:v>188.0</x:v>
      </x:c>
      <x:c r="Z700" s="6" t="str">
        <x:v>3</x:v>
      </x:c>
      <x:c r="AA700" s="6" t="str">
        <x:v>0.0</x:v>
      </x:c>
      <x:c r="AB700" s="6" t="str">
        <x:v>3</x:v>
      </x:c>
      <x:c r="AC700" s="6" t="str">
        <x:v>2024-03</x:v>
      </x:c>
      <x:c r="AD700" s="9" t="str">
        <x:v>BNPB operational disaster search table</x:v>
      </x:c>
      <x:c r="AE700" s="9" t="str">
        <x:v>https://gis.bnpb.go.id/databencana/tabel/pencarian.php</x:v>
      </x:c>
      <x:c r="AF700" s="9" t="str">
        <x:v>operational_snapshot_annual_totals_may_differ</x:v>
      </x:c>
    </x:row>
    <x:row r="701" ht="18" customHeight="1">
      <x:c r="A701" s="6" t="str">
        <x:v>76</x:v>
      </x:c>
      <x:c r="B701" s="6" t="str">
        <x:v>SULAWESI BARAT</x:v>
      </x:c>
      <x:c r="C701" s="6" t="str">
        <x:v>2024</x:v>
      </x:c>
      <x:c r="D701" s="6" t="str">
        <x:v>4</x:v>
      </x:c>
      <x:c r="E701" s="6" t="str">
        <x:v>1</x:v>
      </x:c>
      <x:c r="F701" s="6" t="str">
        <x:v>1</x:v>
      </x:c>
      <x:c r="G701" s="6" t="str">
        <x:v>0</x:v>
      </x:c>
      <x:c r="H701" s="6" t="str">
        <x:v>0</x:v>
      </x:c>
      <x:c r="I701" s="6" t="str">
        <x:v>1</x:v>
      </x:c>
      <x:c r="J701" s="6" t="str">
        <x:v>0</x:v>
      </x:c>
      <x:c r="K701" s="6" t="str">
        <x:v>0</x:v>
      </x:c>
      <x:c r="L701" s="6" t="str">
        <x:v>0</x:v>
      </x:c>
      <x:c r="M701" s="6" t="str">
        <x:v>0</x:v>
      </x:c>
      <x:c r="N701" s="6" t="str">
        <x:v>0</x:v>
      </x:c>
      <x:c r="O701" s="6" t="str">
        <x:v>0</x:v>
      </x:c>
      <x:c r="P701" s="6" t="str">
        <x:v>1</x:v>
      </x:c>
      <x:c r="Q701" s="6" t="str">
        <x:v>1.0</x:v>
      </x:c>
      <x:c r="R701" s="6" t="str">
        <x:v>1</x:v>
      </x:c>
      <x:c r="S701" s="6" t="str">
        <x:v>0.0</x:v>
      </x:c>
      <x:c r="T701" s="6" t="str">
        <x:v>1</x:v>
      </x:c>
      <x:c r="U701" s="6" t="str">
        <x:v>2.0</x:v>
      </x:c>
      <x:c r="V701" s="6" t="str">
        <x:v>1</x:v>
      </x:c>
      <x:c r="W701" s="6" t="str">
        <x:v>1.0</x:v>
      </x:c>
      <x:c r="X701" s="6" t="str">
        <x:v>1</x:v>
      </x:c>
      <x:c r="Y701" s="6" t="str"/>
      <x:c r="Z701" s="6" t="str">
        <x:v>0</x:v>
      </x:c>
      <x:c r="AA701" s="6" t="str">
        <x:v>1.0</x:v>
      </x:c>
      <x:c r="AB701" s="6" t="str">
        <x:v>1</x:v>
      </x:c>
      <x:c r="AC701" s="6" t="str">
        <x:v>2024-04</x:v>
      </x:c>
      <x:c r="AD701" s="9" t="str">
        <x:v>BNPB operational disaster search table</x:v>
      </x:c>
      <x:c r="AE701" s="9" t="str">
        <x:v>https://gis.bnpb.go.id/databencana/tabel/pencarian.php</x:v>
      </x:c>
      <x:c r="AF701" s="9" t="str">
        <x:v>operational_snapshot_annual_totals_may_differ</x:v>
      </x:c>
    </x:row>
    <x:row r="702" ht="18" customHeight="1">
      <x:c r="A702" s="6" t="str">
        <x:v>76</x:v>
      </x:c>
      <x:c r="B702" s="6" t="str">
        <x:v>SULAWESI BARAT</x:v>
      </x:c>
      <x:c r="C702" s="6" t="str">
        <x:v>2024</x:v>
      </x:c>
      <x:c r="D702" s="6" t="str">
        <x:v>5</x:v>
      </x:c>
      <x:c r="E702" s="6" t="str">
        <x:v>2</x:v>
      </x:c>
      <x:c r="F702" s="6" t="str">
        <x:v>2</x:v>
      </x:c>
      <x:c r="G702" s="6" t="str">
        <x:v>1</x:v>
      </x:c>
      <x:c r="H702" s="6" t="str">
        <x:v>1</x:v>
      </x:c>
      <x:c r="I702" s="6" t="str">
        <x:v>0</x:v>
      </x:c>
      <x:c r="J702" s="6" t="str">
        <x:v>0</x:v>
      </x:c>
      <x:c r="K702" s="6" t="str">
        <x:v>0</x:v>
      </x:c>
      <x:c r="L702" s="6" t="str">
        <x:v>0</x:v>
      </x:c>
      <x:c r="M702" s="6" t="str">
        <x:v>0</x:v>
      </x:c>
      <x:c r="N702" s="6" t="str">
        <x:v>0</x:v>
      </x:c>
      <x:c r="O702" s="6" t="str">
        <x:v>0</x:v>
      </x:c>
      <x:c r="P702" s="6" t="str">
        <x:v>2</x:v>
      </x:c>
      <x:c r="Q702" s="6" t="str">
        <x:v>0.0</x:v>
      </x:c>
      <x:c r="R702" s="6" t="str">
        <x:v>2</x:v>
      </x:c>
      <x:c r="S702" s="6" t="str">
        <x:v>0.0</x:v>
      </x:c>
      <x:c r="T702" s="6" t="str">
        <x:v>2</x:v>
      </x:c>
      <x:c r="U702" s="6" t="str">
        <x:v>1.0</x:v>
      </x:c>
      <x:c r="V702" s="6" t="str">
        <x:v>2</x:v>
      </x:c>
      <x:c r="W702" s="6" t="str">
        <x:v>243.0</x:v>
      </x:c>
      <x:c r="X702" s="6" t="str">
        <x:v>2</x:v>
      </x:c>
      <x:c r="Y702" s="6" t="str">
        <x:v>272.0</x:v>
      </x:c>
      <x:c r="Z702" s="6" t="str">
        <x:v>1</x:v>
      </x:c>
      <x:c r="AA702" s="6" t="str">
        <x:v>4.0</x:v>
      </x:c>
      <x:c r="AB702" s="6" t="str">
        <x:v>2</x:v>
      </x:c>
      <x:c r="AC702" s="6" t="str">
        <x:v>2024-05</x:v>
      </x:c>
      <x:c r="AD702" s="9" t="str">
        <x:v>BNPB operational disaster search table</x:v>
      </x:c>
      <x:c r="AE702" s="9" t="str">
        <x:v>https://gis.bnpb.go.id/databencana/tabel/pencarian.php</x:v>
      </x:c>
      <x:c r="AF702" s="9" t="str">
        <x:v>operational_snapshot_annual_totals_may_differ</x:v>
      </x:c>
    </x:row>
    <x:row r="703" ht="18" customHeight="1">
      <x:c r="A703" s="6" t="str">
        <x:v>76</x:v>
      </x:c>
      <x:c r="B703" s="6" t="str">
        <x:v>SULAWESI BARAT</x:v>
      </x:c>
      <x:c r="C703" s="6" t="str">
        <x:v>2024</x:v>
      </x:c>
      <x:c r="D703" s="6" t="str">
        <x:v>6</x:v>
      </x:c>
      <x:c r="E703" s="6" t="str">
        <x:v>1</x:v>
      </x:c>
      <x:c r="F703" s="6" t="str">
        <x:v>1</x:v>
      </x:c>
      <x:c r="G703" s="6" t="str">
        <x:v>0</x:v>
      </x:c>
      <x:c r="H703" s="6" t="str">
        <x:v>1</x:v>
      </x:c>
      <x:c r="I703" s="6" t="str">
        <x:v>0</x:v>
      </x:c>
      <x:c r="J703" s="6" t="str">
        <x:v>0</x:v>
      </x:c>
      <x:c r="K703" s="6" t="str">
        <x:v>0</x:v>
      </x:c>
      <x:c r="L703" s="6" t="str">
        <x:v>0</x:v>
      </x:c>
      <x:c r="M703" s="6" t="str">
        <x:v>0</x:v>
      </x:c>
      <x:c r="N703" s="6" t="str">
        <x:v>0</x:v>
      </x:c>
      <x:c r="O703" s="6" t="str">
        <x:v>0</x:v>
      </x:c>
      <x:c r="P703" s="6" t="str">
        <x:v>1</x:v>
      </x:c>
      <x:c r="Q703" s="6" t="str">
        <x:v>0.0</x:v>
      </x:c>
      <x:c r="R703" s="6" t="str">
        <x:v>1</x:v>
      </x:c>
      <x:c r="S703" s="6" t="str">
        <x:v>0.0</x:v>
      </x:c>
      <x:c r="T703" s="6" t="str">
        <x:v>1</x:v>
      </x:c>
      <x:c r="U703" s="6" t="str">
        <x:v>0.0</x:v>
      </x:c>
      <x:c r="V703" s="6" t="str">
        <x:v>1</x:v>
      </x:c>
      <x:c r="W703" s="6" t="str">
        <x:v>0.0</x:v>
      </x:c>
      <x:c r="X703" s="6" t="str">
        <x:v>1</x:v>
      </x:c>
      <x:c r="Y703" s="6" t="str"/>
      <x:c r="Z703" s="6" t="str">
        <x:v>0</x:v>
      </x:c>
      <x:c r="AA703" s="6" t="str">
        <x:v>0.0</x:v>
      </x:c>
      <x:c r="AB703" s="6" t="str">
        <x:v>1</x:v>
      </x:c>
      <x:c r="AC703" s="6" t="str">
        <x:v>2024-06</x:v>
      </x:c>
      <x:c r="AD703" s="9" t="str">
        <x:v>BNPB operational disaster search table</x:v>
      </x:c>
      <x:c r="AE703" s="9" t="str">
        <x:v>https://gis.bnpb.go.id/databencana/tabel/pencarian.php</x:v>
      </x:c>
      <x:c r="AF703" s="9" t="str">
        <x:v>operational_snapshot_annual_totals_may_differ</x:v>
      </x:c>
    </x:row>
    <x:row r="704" ht="18" customHeight="1">
      <x:c r="A704" s="6" t="str">
        <x:v>76</x:v>
      </x:c>
      <x:c r="B704" s="6" t="str">
        <x:v>SULAWESI BARAT</x:v>
      </x:c>
      <x:c r="C704" s="6" t="str">
        <x:v>2024</x:v>
      </x:c>
      <x:c r="D704" s="6" t="str">
        <x:v>7</x:v>
      </x:c>
      <x:c r="E704" s="6" t="str">
        <x:v>1</x:v>
      </x:c>
      <x:c r="F704" s="6" t="str">
        <x:v>1</x:v>
      </x:c>
      <x:c r="G704" s="6" t="str">
        <x:v>1</x:v>
      </x:c>
      <x:c r="H704" s="6" t="str">
        <x:v>0</x:v>
      </x:c>
      <x:c r="I704" s="6" t="str">
        <x:v>0</x:v>
      </x:c>
      <x:c r="J704" s="6" t="str">
        <x:v>0</x:v>
      </x:c>
      <x:c r="K704" s="6" t="str">
        <x:v>0</x:v>
      </x:c>
      <x:c r="L704" s="6" t="str">
        <x:v>0</x:v>
      </x:c>
      <x:c r="M704" s="6" t="str">
        <x:v>0</x:v>
      </x:c>
      <x:c r="N704" s="6" t="str">
        <x:v>0</x:v>
      </x:c>
      <x:c r="O704" s="6" t="str">
        <x:v>0</x:v>
      </x:c>
      <x:c r="P704" s="6" t="str">
        <x:v>1</x:v>
      </x:c>
      <x:c r="Q704" s="6" t="str">
        <x:v>0.0</x:v>
      </x:c>
      <x:c r="R704" s="6" t="str">
        <x:v>1</x:v>
      </x:c>
      <x:c r="S704" s="6" t="str">
        <x:v>0.0</x:v>
      </x:c>
      <x:c r="T704" s="6" t="str">
        <x:v>1</x:v>
      </x:c>
      <x:c r="U704" s="6" t="str">
        <x:v>0.0</x:v>
      </x:c>
      <x:c r="V704" s="6" t="str">
        <x:v>1</x:v>
      </x:c>
      <x:c r="W704" s="6" t="str">
        <x:v>0.0</x:v>
      </x:c>
      <x:c r="X704" s="6" t="str">
        <x:v>1</x:v>
      </x:c>
      <x:c r="Y704" s="6" t="str"/>
      <x:c r="Z704" s="6" t="str">
        <x:v>0</x:v>
      </x:c>
      <x:c r="AA704" s="6" t="str">
        <x:v>0.0</x:v>
      </x:c>
      <x:c r="AB704" s="6" t="str">
        <x:v>1</x:v>
      </x:c>
      <x:c r="AC704" s="6" t="str">
        <x:v>2024-07</x:v>
      </x:c>
      <x:c r="AD704" s="9" t="str">
        <x:v>BNPB operational disaster search table</x:v>
      </x:c>
      <x:c r="AE704" s="9" t="str">
        <x:v>https://gis.bnpb.go.id/databencana/tabel/pencarian.php</x:v>
      </x:c>
      <x:c r="AF704" s="9" t="str">
        <x:v>operational_snapshot_annual_totals_may_differ</x:v>
      </x:c>
    </x:row>
    <x:row r="705" ht="18" customHeight="1">
      <x:c r="A705" s="6" t="str">
        <x:v>76</x:v>
      </x:c>
      <x:c r="B705" s="6" t="str">
        <x:v>SULAWESI BARAT</x:v>
      </x:c>
      <x:c r="C705" s="6" t="str">
        <x:v>2024</x:v>
      </x:c>
      <x:c r="D705" s="6" t="str">
        <x:v>8</x:v>
      </x:c>
      <x:c r="E705" s="6" t="str">
        <x:v>2</x:v>
      </x:c>
      <x:c r="F705" s="6" t="str">
        <x:v>2</x:v>
      </x:c>
      <x:c r="G705" s="6" t="str">
        <x:v>2</x:v>
      </x:c>
      <x:c r="H705" s="6" t="str">
        <x:v>0</x:v>
      </x:c>
      <x:c r="I705" s="6" t="str">
        <x:v>0</x:v>
      </x:c>
      <x:c r="J705" s="6" t="str">
        <x:v>0</x:v>
      </x:c>
      <x:c r="K705" s="6" t="str">
        <x:v>0</x:v>
      </x:c>
      <x:c r="L705" s="6" t="str">
        <x:v>0</x:v>
      </x:c>
      <x:c r="M705" s="6" t="str">
        <x:v>0</x:v>
      </x:c>
      <x:c r="N705" s="6" t="str">
        <x:v>0</x:v>
      </x:c>
      <x:c r="O705" s="6" t="str">
        <x:v>0</x:v>
      </x:c>
      <x:c r="P705" s="6" t="str">
        <x:v>2</x:v>
      </x:c>
      <x:c r="Q705" s="6" t="str">
        <x:v>0.0</x:v>
      </x:c>
      <x:c r="R705" s="6" t="str">
        <x:v>2</x:v>
      </x:c>
      <x:c r="S705" s="6" t="str">
        <x:v>0.0</x:v>
      </x:c>
      <x:c r="T705" s="6" t="str">
        <x:v>2</x:v>
      </x:c>
      <x:c r="U705" s="6" t="str">
        <x:v>0.0</x:v>
      </x:c>
      <x:c r="V705" s="6" t="str">
        <x:v>2</x:v>
      </x:c>
      <x:c r="W705" s="6" t="str">
        <x:v>1.0</x:v>
      </x:c>
      <x:c r="X705" s="6" t="str">
        <x:v>2</x:v>
      </x:c>
      <x:c r="Y705" s="6" t="str">
        <x:v>744.0</x:v>
      </x:c>
      <x:c r="Z705" s="6" t="str">
        <x:v>2</x:v>
      </x:c>
      <x:c r="AA705" s="6" t="str">
        <x:v>1.0</x:v>
      </x:c>
      <x:c r="AB705" s="6" t="str">
        <x:v>2</x:v>
      </x:c>
      <x:c r="AC705" s="6" t="str">
        <x:v>2024-08</x:v>
      </x:c>
      <x:c r="AD705" s="9" t="str">
        <x:v>BNPB operational disaster search table</x:v>
      </x:c>
      <x:c r="AE705" s="9" t="str">
        <x:v>https://gis.bnpb.go.id/databencana/tabel/pencarian.php</x:v>
      </x:c>
      <x:c r="AF705" s="9" t="str">
        <x:v>operational_snapshot_annual_totals_may_differ</x:v>
      </x:c>
    </x:row>
    <x:row r="706" ht="18" customHeight="1">
      <x:c r="A706" s="6" t="str">
        <x:v>76</x:v>
      </x:c>
      <x:c r="B706" s="6" t="str">
        <x:v>SULAWESI BARAT</x:v>
      </x:c>
      <x:c r="C706" s="6" t="str">
        <x:v>2024</x:v>
      </x:c>
      <x:c r="D706" s="6" t="str">
        <x:v>9</x:v>
      </x:c>
      <x:c r="E706" s="6" t="str">
        <x:v>0</x:v>
      </x:c>
      <x:c r="F706" s="6" t="str">
        <x:v>0</x:v>
      </x:c>
      <x:c r="G706" s="6" t="str">
        <x:v>0</x:v>
      </x:c>
      <x:c r="H706" s="6" t="str">
        <x:v>0</x:v>
      </x:c>
      <x:c r="I706" s="6" t="str">
        <x:v>0</x:v>
      </x:c>
      <x:c r="J706" s="6" t="str">
        <x:v>0</x:v>
      </x:c>
      <x:c r="K706" s="6" t="str">
        <x:v>0</x:v>
      </x:c>
      <x:c r="L706" s="6" t="str">
        <x:v>0</x:v>
      </x:c>
      <x:c r="M706" s="6" t="str">
        <x:v>0</x:v>
      </x:c>
      <x:c r="N706" s="6" t="str">
        <x:v>0</x:v>
      </x:c>
      <x:c r="O706" s="6" t="str">
        <x:v>0</x:v>
      </x:c>
      <x:c r="P706" s="6" t="str">
        <x:v>0</x:v>
      </x:c>
      <x:c r="Q706" s="6" t="str"/>
      <x:c r="R706" s="6" t="str">
        <x:v>0</x:v>
      </x:c>
      <x:c r="S706" s="6" t="str"/>
      <x:c r="T706" s="6" t="str">
        <x:v>0</x:v>
      </x:c>
      <x:c r="U706" s="6" t="str"/>
      <x:c r="V706" s="6" t="str">
        <x:v>0</x:v>
      </x:c>
      <x:c r="W706" s="6" t="str"/>
      <x:c r="X706" s="6" t="str">
        <x:v>0</x:v>
      </x:c>
      <x:c r="Y706" s="6" t="str"/>
      <x:c r="Z706" s="6" t="str">
        <x:v>0</x:v>
      </x:c>
      <x:c r="AA706" s="6" t="str"/>
      <x:c r="AB706" s="6" t="str">
        <x:v>0</x:v>
      </x:c>
      <x:c r="AC706" s="6" t="str">
        <x:v>2024-09</x:v>
      </x:c>
      <x:c r="AD706" s="9" t="str">
        <x:v>BNPB operational disaster search table</x:v>
      </x:c>
      <x:c r="AE706" s="9" t="str">
        <x:v>https://gis.bnpb.go.id/databencana/tabel/pencarian.php</x:v>
      </x:c>
      <x:c r="AF706" s="9" t="str">
        <x:v>operational_snapshot_annual_totals_may_differ</x:v>
      </x:c>
    </x:row>
    <x:row r="707" ht="18" customHeight="1">
      <x:c r="A707" s="6" t="str">
        <x:v>76</x:v>
      </x:c>
      <x:c r="B707" s="6" t="str">
        <x:v>SULAWESI BARAT</x:v>
      </x:c>
      <x:c r="C707" s="6" t="str">
        <x:v>2024</x:v>
      </x:c>
      <x:c r="D707" s="6" t="str">
        <x:v>10</x:v>
      </x:c>
      <x:c r="E707" s="6" t="str">
        <x:v>3</x:v>
      </x:c>
      <x:c r="F707" s="6" t="str">
        <x:v>3</x:v>
      </x:c>
      <x:c r="G707" s="6" t="str">
        <x:v>2</x:v>
      </x:c>
      <x:c r="H707" s="6" t="str">
        <x:v>0</x:v>
      </x:c>
      <x:c r="I707" s="6" t="str">
        <x:v>1</x:v>
      </x:c>
      <x:c r="J707" s="6" t="str">
        <x:v>0</x:v>
      </x:c>
      <x:c r="K707" s="6" t="str">
        <x:v>0</x:v>
      </x:c>
      <x:c r="L707" s="6" t="str">
        <x:v>0</x:v>
      </x:c>
      <x:c r="M707" s="6" t="str">
        <x:v>0</x:v>
      </x:c>
      <x:c r="N707" s="6" t="str">
        <x:v>0</x:v>
      </x:c>
      <x:c r="O707" s="6" t="str">
        <x:v>0</x:v>
      </x:c>
      <x:c r="P707" s="6" t="str">
        <x:v>3</x:v>
      </x:c>
      <x:c r="Q707" s="6" t="str">
        <x:v>0.0</x:v>
      </x:c>
      <x:c r="R707" s="6" t="str">
        <x:v>3</x:v>
      </x:c>
      <x:c r="S707" s="6" t="str">
        <x:v>0.0</x:v>
      </x:c>
      <x:c r="T707" s="6" t="str">
        <x:v>3</x:v>
      </x:c>
      <x:c r="U707" s="6" t="str">
        <x:v>0.0</x:v>
      </x:c>
      <x:c r="V707" s="6" t="str">
        <x:v>3</x:v>
      </x:c>
      <x:c r="W707" s="6" t="str">
        <x:v>33.0</x:v>
      </x:c>
      <x:c r="X707" s="6" t="str">
        <x:v>3</x:v>
      </x:c>
      <x:c r="Y707" s="6" t="str">
        <x:v>347.0</x:v>
      </x:c>
      <x:c r="Z707" s="6" t="str">
        <x:v>2</x:v>
      </x:c>
      <x:c r="AA707" s="6" t="str">
        <x:v>1.0</x:v>
      </x:c>
      <x:c r="AB707" s="6" t="str">
        <x:v>3</x:v>
      </x:c>
      <x:c r="AC707" s="6" t="str">
        <x:v>2024-10</x:v>
      </x:c>
      <x:c r="AD707" s="9" t="str">
        <x:v>BNPB operational disaster search table</x:v>
      </x:c>
      <x:c r="AE707" s="9" t="str">
        <x:v>https://gis.bnpb.go.id/databencana/tabel/pencarian.php</x:v>
      </x:c>
      <x:c r="AF707" s="9" t="str">
        <x:v>operational_snapshot_annual_totals_may_differ</x:v>
      </x:c>
    </x:row>
    <x:row r="708" ht="18" customHeight="1">
      <x:c r="A708" s="6" t="str">
        <x:v>76</x:v>
      </x:c>
      <x:c r="B708" s="6" t="str">
        <x:v>SULAWESI BARAT</x:v>
      </x:c>
      <x:c r="C708" s="6" t="str">
        <x:v>2024</x:v>
      </x:c>
      <x:c r="D708" s="6" t="str">
        <x:v>11</x:v>
      </x:c>
      <x:c r="E708" s="6" t="str">
        <x:v>3</x:v>
      </x:c>
      <x:c r="F708" s="6" t="str">
        <x:v>3</x:v>
      </x:c>
      <x:c r="G708" s="6" t="str">
        <x:v>3</x:v>
      </x:c>
      <x:c r="H708" s="6" t="str">
        <x:v>0</x:v>
      </x:c>
      <x:c r="I708" s="6" t="str">
        <x:v>0</x:v>
      </x:c>
      <x:c r="J708" s="6" t="str">
        <x:v>0</x:v>
      </x:c>
      <x:c r="K708" s="6" t="str">
        <x:v>0</x:v>
      </x:c>
      <x:c r="L708" s="6" t="str">
        <x:v>0</x:v>
      </x:c>
      <x:c r="M708" s="6" t="str">
        <x:v>0</x:v>
      </x:c>
      <x:c r="N708" s="6" t="str">
        <x:v>0</x:v>
      </x:c>
      <x:c r="O708" s="6" t="str">
        <x:v>0</x:v>
      </x:c>
      <x:c r="P708" s="6" t="str">
        <x:v>3</x:v>
      </x:c>
      <x:c r="Q708" s="6" t="str">
        <x:v>0.0</x:v>
      </x:c>
      <x:c r="R708" s="6" t="str">
        <x:v>3</x:v>
      </x:c>
      <x:c r="S708" s="6" t="str">
        <x:v>0.0</x:v>
      </x:c>
      <x:c r="T708" s="6" t="str">
        <x:v>3</x:v>
      </x:c>
      <x:c r="U708" s="6" t="str">
        <x:v>0.0</x:v>
      </x:c>
      <x:c r="V708" s="6" t="str">
        <x:v>3</x:v>
      </x:c>
      <x:c r="W708" s="6" t="str">
        <x:v>0.0</x:v>
      </x:c>
      <x:c r="X708" s="6" t="str">
        <x:v>3</x:v>
      </x:c>
      <x:c r="Y708" s="6" t="str">
        <x:v>151.0</x:v>
      </x:c>
      <x:c r="Z708" s="6" t="str">
        <x:v>2</x:v>
      </x:c>
      <x:c r="AA708" s="6" t="str">
        <x:v>0.0</x:v>
      </x:c>
      <x:c r="AB708" s="6" t="str">
        <x:v>3</x:v>
      </x:c>
      <x:c r="AC708" s="6" t="str">
        <x:v>2024-11</x:v>
      </x:c>
      <x:c r="AD708" s="9" t="str">
        <x:v>BNPB operational disaster search table</x:v>
      </x:c>
      <x:c r="AE708" s="9" t="str">
        <x:v>https://gis.bnpb.go.id/databencana/tabel/pencarian.php</x:v>
      </x:c>
      <x:c r="AF708" s="9" t="str">
        <x:v>operational_snapshot_annual_totals_may_differ</x:v>
      </x:c>
    </x:row>
    <x:row r="709" ht="18" customHeight="1">
      <x:c r="A709" s="6" t="str">
        <x:v>76</x:v>
      </x:c>
      <x:c r="B709" s="6" t="str">
        <x:v>SULAWESI BARAT</x:v>
      </x:c>
      <x:c r="C709" s="6" t="str">
        <x:v>2024</x:v>
      </x:c>
      <x:c r="D709" s="6" t="str">
        <x:v>12</x:v>
      </x:c>
      <x:c r="E709" s="6" t="str">
        <x:v>5</x:v>
      </x:c>
      <x:c r="F709" s="6" t="str">
        <x:v>5</x:v>
      </x:c>
      <x:c r="G709" s="6" t="str">
        <x:v>2</x:v>
      </x:c>
      <x:c r="H709" s="6" t="str">
        <x:v>1</x:v>
      </x:c>
      <x:c r="I709" s="6" t="str">
        <x:v>2</x:v>
      </x:c>
      <x:c r="J709" s="6" t="str">
        <x:v>0</x:v>
      </x:c>
      <x:c r="K709" s="6" t="str">
        <x:v>0</x:v>
      </x:c>
      <x:c r="L709" s="6" t="str">
        <x:v>0</x:v>
      </x:c>
      <x:c r="M709" s="6" t="str">
        <x:v>0</x:v>
      </x:c>
      <x:c r="N709" s="6" t="str">
        <x:v>0</x:v>
      </x:c>
      <x:c r="O709" s="6" t="str">
        <x:v>0</x:v>
      </x:c>
      <x:c r="P709" s="6" t="str">
        <x:v>5</x:v>
      </x:c>
      <x:c r="Q709" s="6" t="str">
        <x:v>0.0</x:v>
      </x:c>
      <x:c r="R709" s="6" t="str">
        <x:v>5</x:v>
      </x:c>
      <x:c r="S709" s="6" t="str">
        <x:v>0.0</x:v>
      </x:c>
      <x:c r="T709" s="6" t="str">
        <x:v>5</x:v>
      </x:c>
      <x:c r="U709" s="6" t="str">
        <x:v>0.0</x:v>
      </x:c>
      <x:c r="V709" s="6" t="str">
        <x:v>5</x:v>
      </x:c>
      <x:c r="W709" s="6" t="str">
        <x:v>47.0</x:v>
      </x:c>
      <x:c r="X709" s="6" t="str">
        <x:v>5</x:v>
      </x:c>
      <x:c r="Y709" s="6" t="str">
        <x:v>488.0</x:v>
      </x:c>
      <x:c r="Z709" s="6" t="str">
        <x:v>1</x:v>
      </x:c>
      <x:c r="AA709" s="6" t="str">
        <x:v>0.0</x:v>
      </x:c>
      <x:c r="AB709" s="6" t="str">
        <x:v>5</x:v>
      </x:c>
      <x:c r="AC709" s="6" t="str">
        <x:v>2024-12</x:v>
      </x:c>
      <x:c r="AD709" s="9" t="str">
        <x:v>BNPB operational disaster search table</x:v>
      </x:c>
      <x:c r="AE709" s="9" t="str">
        <x:v>https://gis.bnpb.go.id/databencana/tabel/pencarian.php</x:v>
      </x:c>
      <x:c r="AF709" s="9" t="str">
        <x:v>operational_snapshot_annual_totals_may_differ</x:v>
      </x:c>
    </x:row>
    <x:row r="710" ht="18" customHeight="1">
      <x:c r="A710" s="6" t="str">
        <x:v>76</x:v>
      </x:c>
      <x:c r="B710" s="6" t="str">
        <x:v>SULAWESI BARAT</x:v>
      </x:c>
      <x:c r="C710" s="6" t="str">
        <x:v>2025</x:v>
      </x:c>
      <x:c r="D710" s="6" t="str">
        <x:v>1</x:v>
      </x:c>
      <x:c r="E710" s="6" t="str">
        <x:v>4</x:v>
      </x:c>
      <x:c r="F710" s="6" t="str">
        <x:v>4</x:v>
      </x:c>
      <x:c r="G710" s="6" t="str">
        <x:v>3</x:v>
      </x:c>
      <x:c r="H710" s="6" t="str">
        <x:v>1</x:v>
      </x:c>
      <x:c r="I710" s="6" t="str">
        <x:v>0</x:v>
      </x:c>
      <x:c r="J710" s="6" t="str">
        <x:v>0</x:v>
      </x:c>
      <x:c r="K710" s="6" t="str">
        <x:v>0</x:v>
      </x:c>
      <x:c r="L710" s="6" t="str">
        <x:v>0</x:v>
      </x:c>
      <x:c r="M710" s="6" t="str">
        <x:v>0</x:v>
      </x:c>
      <x:c r="N710" s="6" t="str">
        <x:v>0</x:v>
      </x:c>
      <x:c r="O710" s="6" t="str">
        <x:v>0</x:v>
      </x:c>
      <x:c r="P710" s="6" t="str">
        <x:v>4</x:v>
      </x:c>
      <x:c r="Q710" s="6" t="str">
        <x:v>4.0</x:v>
      </x:c>
      <x:c r="R710" s="6" t="str">
        <x:v>4</x:v>
      </x:c>
      <x:c r="S710" s="6" t="str">
        <x:v>2.0</x:v>
      </x:c>
      <x:c r="T710" s="6" t="str">
        <x:v>4</x:v>
      </x:c>
      <x:c r="U710" s="6" t="str">
        <x:v>9.0</x:v>
      </x:c>
      <x:c r="V710" s="6" t="str">
        <x:v>4</x:v>
      </x:c>
      <x:c r="W710" s="6" t="str">
        <x:v>12.0</x:v>
      </x:c>
      <x:c r="X710" s="6" t="str">
        <x:v>4</x:v>
      </x:c>
      <x:c r="Y710" s="6" t="str">
        <x:v>1489.0</x:v>
      </x:c>
      <x:c r="Z710" s="6" t="str">
        <x:v>3</x:v>
      </x:c>
      <x:c r="AA710" s="6" t="str">
        <x:v>0.0</x:v>
      </x:c>
      <x:c r="AB710" s="6" t="str">
        <x:v>4</x:v>
      </x:c>
      <x:c r="AC710" s="6" t="str">
        <x:v>2025-01</x:v>
      </x:c>
      <x:c r="AD710" s="9" t="str">
        <x:v>BNPB operational disaster search table</x:v>
      </x:c>
      <x:c r="AE710" s="9" t="str">
        <x:v>https://gis.bnpb.go.id/databencana/tabel/pencarian.php</x:v>
      </x:c>
      <x:c r="AF710" s="9" t="str">
        <x:v>operational_snapshot_annual_totals_may_differ</x:v>
      </x:c>
    </x:row>
    <x:row r="711" ht="18" customHeight="1">
      <x:c r="A711" s="6" t="str">
        <x:v>76</x:v>
      </x:c>
      <x:c r="B711" s="6" t="str">
        <x:v>SULAWESI BARAT</x:v>
      </x:c>
      <x:c r="C711" s="6" t="str">
        <x:v>2025</x:v>
      </x:c>
      <x:c r="D711" s="6" t="str">
        <x:v>2</x:v>
      </x:c>
      <x:c r="E711" s="6" t="str">
        <x:v>2</x:v>
      </x:c>
      <x:c r="F711" s="6" t="str">
        <x:v>2</x:v>
      </x:c>
      <x:c r="G711" s="6" t="str">
        <x:v>0</x:v>
      </x:c>
      <x:c r="H711" s="6" t="str">
        <x:v>0</x:v>
      </x:c>
      <x:c r="I711" s="6" t="str">
        <x:v>2</x:v>
      </x:c>
      <x:c r="J711" s="6" t="str">
        <x:v>0</x:v>
      </x:c>
      <x:c r="K711" s="6" t="str">
        <x:v>0</x:v>
      </x:c>
      <x:c r="L711" s="6" t="str">
        <x:v>0</x:v>
      </x:c>
      <x:c r="M711" s="6" t="str">
        <x:v>0</x:v>
      </x:c>
      <x:c r="N711" s="6" t="str">
        <x:v>0</x:v>
      </x:c>
      <x:c r="O711" s="6" t="str">
        <x:v>0</x:v>
      </x:c>
      <x:c r="P711" s="6" t="str">
        <x:v>2</x:v>
      </x:c>
      <x:c r="Q711" s="6" t="str">
        <x:v>0.0</x:v>
      </x:c>
      <x:c r="R711" s="6" t="str">
        <x:v>2</x:v>
      </x:c>
      <x:c r="S711" s="6" t="str">
        <x:v>0.0</x:v>
      </x:c>
      <x:c r="T711" s="6" t="str">
        <x:v>2</x:v>
      </x:c>
      <x:c r="U711" s="6" t="str">
        <x:v>0.0</x:v>
      </x:c>
      <x:c r="V711" s="6" t="str">
        <x:v>2</x:v>
      </x:c>
      <x:c r="W711" s="6" t="str">
        <x:v>9.0</x:v>
      </x:c>
      <x:c r="X711" s="6" t="str">
        <x:v>2</x:v>
      </x:c>
      <x:c r="Y711" s="6" t="str"/>
      <x:c r="Z711" s="6" t="str">
        <x:v>0</x:v>
      </x:c>
      <x:c r="AA711" s="6" t="str">
        <x:v>0.0</x:v>
      </x:c>
      <x:c r="AB711" s="6" t="str">
        <x:v>2</x:v>
      </x:c>
      <x:c r="AC711" s="6" t="str">
        <x:v>2025-02</x:v>
      </x:c>
      <x:c r="AD711" s="9" t="str">
        <x:v>BNPB operational disaster search table</x:v>
      </x:c>
      <x:c r="AE711" s="9" t="str">
        <x:v>https://gis.bnpb.go.id/databencana/tabel/pencarian.php</x:v>
      </x:c>
      <x:c r="AF711" s="9" t="str">
        <x:v>operational_snapshot_annual_totals_may_differ</x:v>
      </x:c>
    </x:row>
    <x:row r="712" ht="18" customHeight="1">
      <x:c r="A712" s="6" t="str">
        <x:v>76</x:v>
      </x:c>
      <x:c r="B712" s="6" t="str">
        <x:v>SULAWESI BARAT</x:v>
      </x:c>
      <x:c r="C712" s="6" t="str">
        <x:v>2025</x:v>
      </x:c>
      <x:c r="D712" s="6" t="str">
        <x:v>3</x:v>
      </x:c>
      <x:c r="E712" s="6" t="str">
        <x:v>2</x:v>
      </x:c>
      <x:c r="F712" s="6" t="str">
        <x:v>2</x:v>
      </x:c>
      <x:c r="G712" s="6" t="str">
        <x:v>1</x:v>
      </x:c>
      <x:c r="H712" s="6" t="str">
        <x:v>0</x:v>
      </x:c>
      <x:c r="I712" s="6" t="str">
        <x:v>1</x:v>
      </x:c>
      <x:c r="J712" s="6" t="str">
        <x:v>0</x:v>
      </x:c>
      <x:c r="K712" s="6" t="str">
        <x:v>0</x:v>
      </x:c>
      <x:c r="L712" s="6" t="str">
        <x:v>0</x:v>
      </x:c>
      <x:c r="M712" s="6" t="str">
        <x:v>0</x:v>
      </x:c>
      <x:c r="N712" s="6" t="str">
        <x:v>0</x:v>
      </x:c>
      <x:c r="O712" s="6" t="str">
        <x:v>0</x:v>
      </x:c>
      <x:c r="P712" s="6" t="str">
        <x:v>2</x:v>
      </x:c>
      <x:c r="Q712" s="6" t="str">
        <x:v>1.0</x:v>
      </x:c>
      <x:c r="R712" s="6" t="str">
        <x:v>2</x:v>
      </x:c>
      <x:c r="S712" s="6" t="str">
        <x:v>0.0</x:v>
      </x:c>
      <x:c r="T712" s="6" t="str">
        <x:v>2</x:v>
      </x:c>
      <x:c r="U712" s="6" t="str">
        <x:v>0.0</x:v>
      </x:c>
      <x:c r="V712" s="6" t="str">
        <x:v>2</x:v>
      </x:c>
      <x:c r="W712" s="6" t="str">
        <x:v>2.0</x:v>
      </x:c>
      <x:c r="X712" s="6" t="str">
        <x:v>2</x:v>
      </x:c>
      <x:c r="Y712" s="6" t="str">
        <x:v>100.0</x:v>
      </x:c>
      <x:c r="Z712" s="6" t="str">
        <x:v>1</x:v>
      </x:c>
      <x:c r="AA712" s="6" t="str">
        <x:v>0.0</x:v>
      </x:c>
      <x:c r="AB712" s="6" t="str">
        <x:v>2</x:v>
      </x:c>
      <x:c r="AC712" s="6" t="str">
        <x:v>2025-03</x:v>
      </x:c>
      <x:c r="AD712" s="9" t="str">
        <x:v>BNPB operational disaster search table</x:v>
      </x:c>
      <x:c r="AE712" s="9" t="str">
        <x:v>https://gis.bnpb.go.id/databencana/tabel/pencarian.php</x:v>
      </x:c>
      <x:c r="AF712" s="9" t="str">
        <x:v>operational_snapshot_annual_totals_may_differ</x:v>
      </x:c>
    </x:row>
    <x:row r="713" ht="18" customHeight="1">
      <x:c r="A713" s="6" t="str">
        <x:v>76</x:v>
      </x:c>
      <x:c r="B713" s="6" t="str">
        <x:v>SULAWESI BARAT</x:v>
      </x:c>
      <x:c r="C713" s="6" t="str">
        <x:v>2025</x:v>
      </x:c>
      <x:c r="D713" s="6" t="str">
        <x:v>4</x:v>
      </x:c>
      <x:c r="E713" s="6" t="str">
        <x:v>0</x:v>
      </x:c>
      <x:c r="F713" s="6" t="str">
        <x:v>0</x:v>
      </x:c>
      <x:c r="G713" s="6" t="str">
        <x:v>0</x:v>
      </x:c>
      <x:c r="H713" s="6" t="str">
        <x:v>0</x:v>
      </x:c>
      <x:c r="I713" s="6" t="str">
        <x:v>0</x:v>
      </x:c>
      <x:c r="J713" s="6" t="str">
        <x:v>0</x:v>
      </x:c>
      <x:c r="K713" s="6" t="str">
        <x:v>0</x:v>
      </x:c>
      <x:c r="L713" s="6" t="str">
        <x:v>0</x:v>
      </x:c>
      <x:c r="M713" s="6" t="str">
        <x:v>0</x:v>
      </x:c>
      <x:c r="N713" s="6" t="str">
        <x:v>0</x:v>
      </x:c>
      <x:c r="O713" s="6" t="str">
        <x:v>0</x:v>
      </x:c>
      <x:c r="P713" s="6" t="str">
        <x:v>0</x:v>
      </x:c>
      <x:c r="Q713" s="6" t="str"/>
      <x:c r="R713" s="6" t="str">
        <x:v>0</x:v>
      </x:c>
      <x:c r="S713" s="6" t="str"/>
      <x:c r="T713" s="6" t="str">
        <x:v>0</x:v>
      </x:c>
      <x:c r="U713" s="6" t="str"/>
      <x:c r="V713" s="6" t="str">
        <x:v>0</x:v>
      </x:c>
      <x:c r="W713" s="6" t="str"/>
      <x:c r="X713" s="6" t="str">
        <x:v>0</x:v>
      </x:c>
      <x:c r="Y713" s="6" t="str"/>
      <x:c r="Z713" s="6" t="str">
        <x:v>0</x:v>
      </x:c>
      <x:c r="AA713" s="6" t="str"/>
      <x:c r="AB713" s="6" t="str">
        <x:v>0</x:v>
      </x:c>
      <x:c r="AC713" s="6" t="str">
        <x:v>2025-04</x:v>
      </x:c>
      <x:c r="AD713" s="9" t="str">
        <x:v>BNPB operational disaster search table</x:v>
      </x:c>
      <x:c r="AE713" s="9" t="str">
        <x:v>https://gis.bnpb.go.id/databencana/tabel/pencarian.php</x:v>
      </x:c>
      <x:c r="AF713" s="9" t="str">
        <x:v>operational_snapshot_annual_totals_may_differ</x:v>
      </x:c>
    </x:row>
    <x:row r="714" ht="18" customHeight="1">
      <x:c r="A714" s="6" t="str">
        <x:v>76</x:v>
      </x:c>
      <x:c r="B714" s="6" t="str">
        <x:v>SULAWESI BARAT</x:v>
      </x:c>
      <x:c r="C714" s="6" t="str">
        <x:v>2025</x:v>
      </x:c>
      <x:c r="D714" s="6" t="str">
        <x:v>5</x:v>
      </x:c>
      <x:c r="E714" s="6" t="str">
        <x:v>2</x:v>
      </x:c>
      <x:c r="F714" s="6" t="str">
        <x:v>2</x:v>
      </x:c>
      <x:c r="G714" s="6" t="str">
        <x:v>1</x:v>
      </x:c>
      <x:c r="H714" s="6" t="str">
        <x:v>1</x:v>
      </x:c>
      <x:c r="I714" s="6" t="str">
        <x:v>0</x:v>
      </x:c>
      <x:c r="J714" s="6" t="str">
        <x:v>0</x:v>
      </x:c>
      <x:c r="K714" s="6" t="str">
        <x:v>0</x:v>
      </x:c>
      <x:c r="L714" s="6" t="str">
        <x:v>0</x:v>
      </x:c>
      <x:c r="M714" s="6" t="str">
        <x:v>0</x:v>
      </x:c>
      <x:c r="N714" s="6" t="str">
        <x:v>0</x:v>
      </x:c>
      <x:c r="O714" s="6" t="str">
        <x:v>0</x:v>
      </x:c>
      <x:c r="P714" s="6" t="str">
        <x:v>2</x:v>
      </x:c>
      <x:c r="Q714" s="6" t="str">
        <x:v>0.0</x:v>
      </x:c>
      <x:c r="R714" s="6" t="str">
        <x:v>2</x:v>
      </x:c>
      <x:c r="S714" s="6" t="str">
        <x:v>0.0</x:v>
      </x:c>
      <x:c r="T714" s="6" t="str">
        <x:v>2</x:v>
      </x:c>
      <x:c r="U714" s="6" t="str">
        <x:v>0.0</x:v>
      </x:c>
      <x:c r="V714" s="6" t="str">
        <x:v>2</x:v>
      </x:c>
      <x:c r="W714" s="6" t="str">
        <x:v>13.0</x:v>
      </x:c>
      <x:c r="X714" s="6" t="str">
        <x:v>2</x:v>
      </x:c>
      <x:c r="Y714" s="6" t="str"/>
      <x:c r="Z714" s="6" t="str">
        <x:v>0</x:v>
      </x:c>
      <x:c r="AA714" s="6" t="str">
        <x:v>1.0</x:v>
      </x:c>
      <x:c r="AB714" s="6" t="str">
        <x:v>2</x:v>
      </x:c>
      <x:c r="AC714" s="6" t="str">
        <x:v>2025-05</x:v>
      </x:c>
      <x:c r="AD714" s="9" t="str">
        <x:v>BNPB operational disaster search table</x:v>
      </x:c>
      <x:c r="AE714" s="9" t="str">
        <x:v>https://gis.bnpb.go.id/databencana/tabel/pencarian.php</x:v>
      </x:c>
      <x:c r="AF714" s="9" t="str">
        <x:v>operational_snapshot_annual_totals_may_differ</x:v>
      </x:c>
    </x:row>
    <x:row r="715" ht="18" customHeight="1">
      <x:c r="A715" s="6" t="str">
        <x:v>76</x:v>
      </x:c>
      <x:c r="B715" s="6" t="str">
        <x:v>SULAWESI BARAT</x:v>
      </x:c>
      <x:c r="C715" s="6" t="str">
        <x:v>2025</x:v>
      </x:c>
      <x:c r="D715" s="6" t="str">
        <x:v>6</x:v>
      </x:c>
      <x:c r="E715" s="6" t="str">
        <x:v>0</x:v>
      </x:c>
      <x:c r="F715" s="6" t="str">
        <x:v>0</x:v>
      </x:c>
      <x:c r="G715" s="6" t="str">
        <x:v>0</x:v>
      </x:c>
      <x:c r="H715" s="6" t="str">
        <x:v>0</x:v>
      </x:c>
      <x:c r="I715" s="6" t="str">
        <x:v>0</x:v>
      </x:c>
      <x:c r="J715" s="6" t="str">
        <x:v>0</x:v>
      </x:c>
      <x:c r="K715" s="6" t="str">
        <x:v>0</x:v>
      </x:c>
      <x:c r="L715" s="6" t="str">
        <x:v>0</x:v>
      </x:c>
      <x:c r="M715" s="6" t="str">
        <x:v>0</x:v>
      </x:c>
      <x:c r="N715" s="6" t="str">
        <x:v>0</x:v>
      </x:c>
      <x:c r="O715" s="6" t="str">
        <x:v>0</x:v>
      </x:c>
      <x:c r="P715" s="6" t="str">
        <x:v>0</x:v>
      </x:c>
      <x:c r="Q715" s="6" t="str"/>
      <x:c r="R715" s="6" t="str">
        <x:v>0</x:v>
      </x:c>
      <x:c r="S715" s="6" t="str"/>
      <x:c r="T715" s="6" t="str">
        <x:v>0</x:v>
      </x:c>
      <x:c r="U715" s="6" t="str"/>
      <x:c r="V715" s="6" t="str">
        <x:v>0</x:v>
      </x:c>
      <x:c r="W715" s="6" t="str"/>
      <x:c r="X715" s="6" t="str">
        <x:v>0</x:v>
      </x:c>
      <x:c r="Y715" s="6" t="str"/>
      <x:c r="Z715" s="6" t="str">
        <x:v>0</x:v>
      </x:c>
      <x:c r="AA715" s="6" t="str"/>
      <x:c r="AB715" s="6" t="str">
        <x:v>0</x:v>
      </x:c>
      <x:c r="AC715" s="6" t="str">
        <x:v>2025-06</x:v>
      </x:c>
      <x:c r="AD715" s="9" t="str">
        <x:v>BNPB operational disaster search table</x:v>
      </x:c>
      <x:c r="AE715" s="9" t="str">
        <x:v>https://gis.bnpb.go.id/databencana/tabel/pencarian.php</x:v>
      </x:c>
      <x:c r="AF715" s="9" t="str">
        <x:v>operational_snapshot_annual_totals_may_differ</x:v>
      </x:c>
    </x:row>
    <x:row r="716" ht="18" customHeight="1">
      <x:c r="A716" s="6" t="str">
        <x:v>76</x:v>
      </x:c>
      <x:c r="B716" s="6" t="str">
        <x:v>SULAWESI BARAT</x:v>
      </x:c>
      <x:c r="C716" s="6" t="str">
        <x:v>2025</x:v>
      </x:c>
      <x:c r="D716" s="6" t="str">
        <x:v>7</x:v>
      </x:c>
      <x:c r="E716" s="6" t="str">
        <x:v>3</x:v>
      </x:c>
      <x:c r="F716" s="6" t="str">
        <x:v>3</x:v>
      </x:c>
      <x:c r="G716" s="6" t="str">
        <x:v>1</x:v>
      </x:c>
      <x:c r="H716" s="6" t="str">
        <x:v>0</x:v>
      </x:c>
      <x:c r="I716" s="6" t="str">
        <x:v>2</x:v>
      </x:c>
      <x:c r="J716" s="6" t="str">
        <x:v>0</x:v>
      </x:c>
      <x:c r="K716" s="6" t="str">
        <x:v>0</x:v>
      </x:c>
      <x:c r="L716" s="6" t="str">
        <x:v>0</x:v>
      </x:c>
      <x:c r="M716" s="6" t="str">
        <x:v>0</x:v>
      </x:c>
      <x:c r="N716" s="6" t="str">
        <x:v>0</x:v>
      </x:c>
      <x:c r="O716" s="6" t="str">
        <x:v>0</x:v>
      </x:c>
      <x:c r="P716" s="6" t="str">
        <x:v>3</x:v>
      </x:c>
      <x:c r="Q716" s="6" t="str"/>
      <x:c r="R716" s="6" t="str">
        <x:v>0</x:v>
      </x:c>
      <x:c r="S716" s="6" t="str"/>
      <x:c r="T716" s="6" t="str">
        <x:v>0</x:v>
      </x:c>
      <x:c r="U716" s="6" t="str"/>
      <x:c r="V716" s="6" t="str">
        <x:v>0</x:v>
      </x:c>
      <x:c r="W716" s="6" t="str">
        <x:v>48.0</x:v>
      </x:c>
      <x:c r="X716" s="6" t="str">
        <x:v>3</x:v>
      </x:c>
      <x:c r="Y716" s="6" t="str">
        <x:v>366.0</x:v>
      </x:c>
      <x:c r="Z716" s="6" t="str">
        <x:v>1</x:v>
      </x:c>
      <x:c r="AA716" s="6" t="str">
        <x:v>4.0</x:v>
      </x:c>
      <x:c r="AB716" s="6" t="str">
        <x:v>3</x:v>
      </x:c>
      <x:c r="AC716" s="6" t="str">
        <x:v>2025-07</x:v>
      </x:c>
      <x:c r="AD716" s="9" t="str">
        <x:v>BNPB operational disaster search table</x:v>
      </x:c>
      <x:c r="AE716" s="9" t="str">
        <x:v>https://gis.bnpb.go.id/databencana/tabel/pencarian.php</x:v>
      </x:c>
      <x:c r="AF716" s="9" t="str">
        <x:v>operational_snapshot_annual_totals_may_differ</x:v>
      </x:c>
    </x:row>
    <x:row r="717" ht="18" customHeight="1">
      <x:c r="A717" s="6" t="str">
        <x:v>76</x:v>
      </x:c>
      <x:c r="B717" s="6" t="str">
        <x:v>SULAWESI BARAT</x:v>
      </x:c>
      <x:c r="C717" s="6" t="str">
        <x:v>2025</x:v>
      </x:c>
      <x:c r="D717" s="6" t="str">
        <x:v>8</x:v>
      </x:c>
      <x:c r="E717" s="6" t="str">
        <x:v>0</x:v>
      </x:c>
      <x:c r="F717" s="6" t="str">
        <x:v>0</x:v>
      </x:c>
      <x:c r="G717" s="6" t="str">
        <x:v>0</x:v>
      </x:c>
      <x:c r="H717" s="6" t="str">
        <x:v>0</x:v>
      </x:c>
      <x:c r="I717" s="6" t="str">
        <x:v>0</x:v>
      </x:c>
      <x:c r="J717" s="6" t="str">
        <x:v>0</x:v>
      </x:c>
      <x:c r="K717" s="6" t="str">
        <x:v>0</x:v>
      </x:c>
      <x:c r="L717" s="6" t="str">
        <x:v>0</x:v>
      </x:c>
      <x:c r="M717" s="6" t="str">
        <x:v>0</x:v>
      </x:c>
      <x:c r="N717" s="6" t="str">
        <x:v>0</x:v>
      </x:c>
      <x:c r="O717" s="6" t="str">
        <x:v>0</x:v>
      </x:c>
      <x:c r="P717" s="6" t="str">
        <x:v>0</x:v>
      </x:c>
      <x:c r="Q717" s="6" t="str"/>
      <x:c r="R717" s="6" t="str">
        <x:v>0</x:v>
      </x:c>
      <x:c r="S717" s="6" t="str"/>
      <x:c r="T717" s="6" t="str">
        <x:v>0</x:v>
      </x:c>
      <x:c r="U717" s="6" t="str"/>
      <x:c r="V717" s="6" t="str">
        <x:v>0</x:v>
      </x:c>
      <x:c r="W717" s="6" t="str"/>
      <x:c r="X717" s="6" t="str">
        <x:v>0</x:v>
      </x:c>
      <x:c r="Y717" s="6" t="str"/>
      <x:c r="Z717" s="6" t="str">
        <x:v>0</x:v>
      </x:c>
      <x:c r="AA717" s="6" t="str"/>
      <x:c r="AB717" s="6" t="str">
        <x:v>0</x:v>
      </x:c>
      <x:c r="AC717" s="6" t="str">
        <x:v>2025-08</x:v>
      </x:c>
      <x:c r="AD717" s="9" t="str">
        <x:v>BNPB operational disaster search table</x:v>
      </x:c>
      <x:c r="AE717" s="9" t="str">
        <x:v>https://gis.bnpb.go.id/databencana/tabel/pencarian.php</x:v>
      </x:c>
      <x:c r="AF717" s="9" t="str">
        <x:v>operational_snapshot_annual_totals_may_differ</x:v>
      </x:c>
    </x:row>
    <x:row r="718" ht="18" customHeight="1">
      <x:c r="A718" s="6" t="str">
        <x:v>76</x:v>
      </x:c>
      <x:c r="B718" s="6" t="str">
        <x:v>SULAWESI BARAT</x:v>
      </x:c>
      <x:c r="C718" s="6" t="str">
        <x:v>2025</x:v>
      </x:c>
      <x:c r="D718" s="6" t="str">
        <x:v>9</x:v>
      </x:c>
      <x:c r="E718" s="6" t="str">
        <x:v>1</x:v>
      </x:c>
      <x:c r="F718" s="6" t="str">
        <x:v>1</x:v>
      </x:c>
      <x:c r="G718" s="6" t="str">
        <x:v>1</x:v>
      </x:c>
      <x:c r="H718" s="6" t="str">
        <x:v>0</x:v>
      </x:c>
      <x:c r="I718" s="6" t="str">
        <x:v>0</x:v>
      </x:c>
      <x:c r="J718" s="6" t="str">
        <x:v>0</x:v>
      </x:c>
      <x:c r="K718" s="6" t="str">
        <x:v>0</x:v>
      </x:c>
      <x:c r="L718" s="6" t="str">
        <x:v>0</x:v>
      </x:c>
      <x:c r="M718" s="6" t="str">
        <x:v>0</x:v>
      </x:c>
      <x:c r="N718" s="6" t="str">
        <x:v>0</x:v>
      </x:c>
      <x:c r="O718" s="6" t="str">
        <x:v>0</x:v>
      </x:c>
      <x:c r="P718" s="6" t="str">
        <x:v>1</x:v>
      </x:c>
      <x:c r="Q718" s="6" t="str"/>
      <x:c r="R718" s="6" t="str">
        <x:v>0</x:v>
      </x:c>
      <x:c r="S718" s="6" t="str"/>
      <x:c r="T718" s="6" t="str">
        <x:v>0</x:v>
      </x:c>
      <x:c r="U718" s="6" t="str"/>
      <x:c r="V718" s="6" t="str">
        <x:v>0</x:v>
      </x:c>
      <x:c r="W718" s="6" t="str">
        <x:v>0.0</x:v>
      </x:c>
      <x:c r="X718" s="6" t="str">
        <x:v>1</x:v>
      </x:c>
      <x:c r="Y718" s="6" t="str">
        <x:v>51.0</x:v>
      </x:c>
      <x:c r="Z718" s="6" t="str">
        <x:v>1</x:v>
      </x:c>
      <x:c r="AA718" s="6" t="str">
        <x:v>0.0</x:v>
      </x:c>
      <x:c r="AB718" s="6" t="str">
        <x:v>1</x:v>
      </x:c>
      <x:c r="AC718" s="6" t="str">
        <x:v>2025-09</x:v>
      </x:c>
      <x:c r="AD718" s="9" t="str">
        <x:v>BNPB operational disaster search table</x:v>
      </x:c>
      <x:c r="AE718" s="9" t="str">
        <x:v>https://gis.bnpb.go.id/databencana/tabel/pencarian.php</x:v>
      </x:c>
      <x:c r="AF718" s="9" t="str">
        <x:v>operational_snapshot_annual_totals_may_differ</x:v>
      </x:c>
    </x:row>
    <x:row r="719" ht="18" customHeight="1">
      <x:c r="A719" s="6" t="str">
        <x:v>76</x:v>
      </x:c>
      <x:c r="B719" s="6" t="str">
        <x:v>SULAWESI BARAT</x:v>
      </x:c>
      <x:c r="C719" s="6" t="str">
        <x:v>2025</x:v>
      </x:c>
      <x:c r="D719" s="6" t="str">
        <x:v>10</x:v>
      </x:c>
      <x:c r="E719" s="6" t="str">
        <x:v>2</x:v>
      </x:c>
      <x:c r="F719" s="6" t="str">
        <x:v>2</x:v>
      </x:c>
      <x:c r="G719" s="6" t="str">
        <x:v>2</x:v>
      </x:c>
      <x:c r="H719" s="6" t="str">
        <x:v>0</x:v>
      </x:c>
      <x:c r="I719" s="6" t="str">
        <x:v>0</x:v>
      </x:c>
      <x:c r="J719" s="6" t="str">
        <x:v>0</x:v>
      </x:c>
      <x:c r="K719" s="6" t="str">
        <x:v>0</x:v>
      </x:c>
      <x:c r="L719" s="6" t="str">
        <x:v>0</x:v>
      </x:c>
      <x:c r="M719" s="6" t="str">
        <x:v>0</x:v>
      </x:c>
      <x:c r="N719" s="6" t="str">
        <x:v>0</x:v>
      </x:c>
      <x:c r="O719" s="6" t="str">
        <x:v>0</x:v>
      </x:c>
      <x:c r="P719" s="6" t="str">
        <x:v>2</x:v>
      </x:c>
      <x:c r="Q719" s="6" t="str"/>
      <x:c r="R719" s="6" t="str">
        <x:v>0</x:v>
      </x:c>
      <x:c r="S719" s="6" t="str"/>
      <x:c r="T719" s="6" t="str">
        <x:v>0</x:v>
      </x:c>
      <x:c r="U719" s="6" t="str"/>
      <x:c r="V719" s="6" t="str">
        <x:v>0</x:v>
      </x:c>
      <x:c r="W719" s="6" t="str">
        <x:v>0.0</x:v>
      </x:c>
      <x:c r="X719" s="6" t="str">
        <x:v>2</x:v>
      </x:c>
      <x:c r="Y719" s="6" t="str">
        <x:v>500.0</x:v>
      </x:c>
      <x:c r="Z719" s="6" t="str">
        <x:v>1</x:v>
      </x:c>
      <x:c r="AA719" s="6" t="str">
        <x:v>0.0</x:v>
      </x:c>
      <x:c r="AB719" s="6" t="str">
        <x:v>2</x:v>
      </x:c>
      <x:c r="AC719" s="6" t="str">
        <x:v>2025-10</x:v>
      </x:c>
      <x:c r="AD719" s="9" t="str">
        <x:v>BNPB operational disaster search table</x:v>
      </x:c>
      <x:c r="AE719" s="9" t="str">
        <x:v>https://gis.bnpb.go.id/databencana/tabel/pencarian.php</x:v>
      </x:c>
      <x:c r="AF719" s="9" t="str">
        <x:v>operational_snapshot_annual_totals_may_differ</x:v>
      </x:c>
    </x:row>
    <x:row r="720" ht="18" customHeight="1">
      <x:c r="A720" s="6" t="str">
        <x:v>76</x:v>
      </x:c>
      <x:c r="B720" s="6" t="str">
        <x:v>SULAWESI BARAT</x:v>
      </x:c>
      <x:c r="C720" s="6" t="str">
        <x:v>2025</x:v>
      </x:c>
      <x:c r="D720" s="6" t="str">
        <x:v>11</x:v>
      </x:c>
      <x:c r="E720" s="6" t="str">
        <x:v>2</x:v>
      </x:c>
      <x:c r="F720" s="6" t="str">
        <x:v>2</x:v>
      </x:c>
      <x:c r="G720" s="6" t="str">
        <x:v>2</x:v>
      </x:c>
      <x:c r="H720" s="6" t="str">
        <x:v>0</x:v>
      </x:c>
      <x:c r="I720" s="6" t="str">
        <x:v>0</x:v>
      </x:c>
      <x:c r="J720" s="6" t="str">
        <x:v>0</x:v>
      </x:c>
      <x:c r="K720" s="6" t="str">
        <x:v>0</x:v>
      </x:c>
      <x:c r="L720" s="6" t="str">
        <x:v>0</x:v>
      </x:c>
      <x:c r="M720" s="6" t="str">
        <x:v>0</x:v>
      </x:c>
      <x:c r="N720" s="6" t="str">
        <x:v>0</x:v>
      </x:c>
      <x:c r="O720" s="6" t="str">
        <x:v>0</x:v>
      </x:c>
      <x:c r="P720" s="6" t="str">
        <x:v>2</x:v>
      </x:c>
      <x:c r="Q720" s="6" t="str"/>
      <x:c r="R720" s="6" t="str">
        <x:v>0</x:v>
      </x:c>
      <x:c r="S720" s="6" t="str"/>
      <x:c r="T720" s="6" t="str">
        <x:v>0</x:v>
      </x:c>
      <x:c r="U720" s="6" t="str"/>
      <x:c r="V720" s="6" t="str">
        <x:v>0</x:v>
      </x:c>
      <x:c r="W720" s="6" t="str">
        <x:v>0.0</x:v>
      </x:c>
      <x:c r="X720" s="6" t="str">
        <x:v>2</x:v>
      </x:c>
      <x:c r="Y720" s="6" t="str">
        <x:v>980.0</x:v>
      </x:c>
      <x:c r="Z720" s="6" t="str">
        <x:v>1</x:v>
      </x:c>
      <x:c r="AA720" s="6" t="str">
        <x:v>10.0</x:v>
      </x:c>
      <x:c r="AB720" s="6" t="str">
        <x:v>2</x:v>
      </x:c>
      <x:c r="AC720" s="6" t="str">
        <x:v>2025-11</x:v>
      </x:c>
      <x:c r="AD720" s="9" t="str">
        <x:v>BNPB operational disaster search table</x:v>
      </x:c>
      <x:c r="AE720" s="9" t="str">
        <x:v>https://gis.bnpb.go.id/databencana/tabel/pencarian.php</x:v>
      </x:c>
      <x:c r="AF720" s="9" t="str">
        <x:v>operational_snapshot_annual_totals_may_differ</x:v>
      </x:c>
    </x:row>
    <x:row r="721" ht="18" customHeight="1">
      <x:c r="A721" s="6" t="str">
        <x:v>76</x:v>
      </x:c>
      <x:c r="B721" s="6" t="str">
        <x:v>SULAWESI BARAT</x:v>
      </x:c>
      <x:c r="C721" s="6" t="str">
        <x:v>2025</x:v>
      </x:c>
      <x:c r="D721" s="6" t="str">
        <x:v>12</x:v>
      </x:c>
      <x:c r="E721" s="6" t="str">
        <x:v>0</x:v>
      </x:c>
      <x:c r="F721" s="6" t="str">
        <x:v>0</x:v>
      </x:c>
      <x:c r="G721" s="6" t="str">
        <x:v>0</x:v>
      </x:c>
      <x:c r="H721" s="6" t="str">
        <x:v>0</x:v>
      </x:c>
      <x:c r="I721" s="6" t="str">
        <x:v>0</x:v>
      </x:c>
      <x:c r="J721" s="6" t="str">
        <x:v>0</x:v>
      </x:c>
      <x:c r="K721" s="6" t="str">
        <x:v>0</x:v>
      </x:c>
      <x:c r="L721" s="6" t="str">
        <x:v>0</x:v>
      </x:c>
      <x:c r="M721" s="6" t="str">
        <x:v>0</x:v>
      </x:c>
      <x:c r="N721" s="6" t="str">
        <x:v>0</x:v>
      </x:c>
      <x:c r="O721" s="6" t="str">
        <x:v>0</x:v>
      </x:c>
      <x:c r="P721" s="6" t="str">
        <x:v>0</x:v>
      </x:c>
      <x:c r="Q721" s="6" t="str"/>
      <x:c r="R721" s="6" t="str">
        <x:v>0</x:v>
      </x:c>
      <x:c r="S721" s="6" t="str"/>
      <x:c r="T721" s="6" t="str">
        <x:v>0</x:v>
      </x:c>
      <x:c r="U721" s="6" t="str"/>
      <x:c r="V721" s="6" t="str">
        <x:v>0</x:v>
      </x:c>
      <x:c r="W721" s="6" t="str"/>
      <x:c r="X721" s="6" t="str">
        <x:v>0</x:v>
      </x:c>
      <x:c r="Y721" s="6" t="str"/>
      <x:c r="Z721" s="6" t="str">
        <x:v>0</x:v>
      </x:c>
      <x:c r="AA721" s="6" t="str"/>
      <x:c r="AB721" s="6" t="str">
        <x:v>0</x:v>
      </x:c>
      <x:c r="AC721" s="6" t="str">
        <x:v>2025-12</x:v>
      </x:c>
      <x:c r="AD721" s="9" t="str">
        <x:v>BNPB operational disaster search table</x:v>
      </x:c>
      <x:c r="AE721" s="9" t="str">
        <x:v>https://gis.bnpb.go.id/databencana/tabel/pencarian.php</x:v>
      </x:c>
      <x:c r="AF721" s="9" t="str">
        <x:v>operational_snapshot_annual_totals_may_differ</x:v>
      </x:c>
    </x:row>
    <x:row r="722" ht="18" customHeight="1">
      <x:c r="A722" s="6" t="str">
        <x:v>81</x:v>
      </x:c>
      <x:c r="B722" s="6" t="str">
        <x:v>MALUKU</x:v>
      </x:c>
      <x:c r="C722" s="6" t="str">
        <x:v>2024</x:v>
      </x:c>
      <x:c r="D722" s="6" t="str">
        <x:v>1</x:v>
      </x:c>
      <x:c r="E722" s="6" t="str">
        <x:v>1</x:v>
      </x:c>
      <x:c r="F722" s="6" t="str">
        <x:v>1</x:v>
      </x:c>
      <x:c r="G722" s="6" t="str">
        <x:v>0</x:v>
      </x:c>
      <x:c r="H722" s="6" t="str">
        <x:v>0</x:v>
      </x:c>
      <x:c r="I722" s="6" t="str">
        <x:v>1</x:v>
      </x:c>
      <x:c r="J722" s="6" t="str">
        <x:v>0</x:v>
      </x:c>
      <x:c r="K722" s="6" t="str">
        <x:v>0</x:v>
      </x:c>
      <x:c r="L722" s="6" t="str">
        <x:v>0</x:v>
      </x:c>
      <x:c r="M722" s="6" t="str">
        <x:v>0</x:v>
      </x:c>
      <x:c r="N722" s="6" t="str">
        <x:v>0</x:v>
      </x:c>
      <x:c r="O722" s="6" t="str">
        <x:v>0</x:v>
      </x:c>
      <x:c r="P722" s="6" t="str">
        <x:v>1</x:v>
      </x:c>
      <x:c r="Q722" s="6" t="str">
        <x:v>0.0</x:v>
      </x:c>
      <x:c r="R722" s="6" t="str">
        <x:v>1</x:v>
      </x:c>
      <x:c r="S722" s="6" t="str">
        <x:v>0.0</x:v>
      </x:c>
      <x:c r="T722" s="6" t="str">
        <x:v>1</x:v>
      </x:c>
      <x:c r="U722" s="6" t="str">
        <x:v>0.0</x:v>
      </x:c>
      <x:c r="V722" s="6" t="str">
        <x:v>1</x:v>
      </x:c>
      <x:c r="W722" s="6" t="str">
        <x:v>9.0</x:v>
      </x:c>
      <x:c r="X722" s="6" t="str">
        <x:v>1</x:v>
      </x:c>
      <x:c r="Y722" s="6" t="str"/>
      <x:c r="Z722" s="6" t="str">
        <x:v>0</x:v>
      </x:c>
      <x:c r="AA722" s="6" t="str">
        <x:v>0.0</x:v>
      </x:c>
      <x:c r="AB722" s="6" t="str">
        <x:v>1</x:v>
      </x:c>
      <x:c r="AC722" s="6" t="str">
        <x:v>2024-01</x:v>
      </x:c>
      <x:c r="AD722" s="9" t="str">
        <x:v>BNPB operational disaster search table</x:v>
      </x:c>
      <x:c r="AE722" s="9" t="str">
        <x:v>https://gis.bnpb.go.id/databencana/tabel/pencarian.php</x:v>
      </x:c>
      <x:c r="AF722" s="9" t="str">
        <x:v>operational_snapshot_annual_totals_may_differ</x:v>
      </x:c>
    </x:row>
    <x:row r="723" ht="18" customHeight="1">
      <x:c r="A723" s="6" t="str">
        <x:v>81</x:v>
      </x:c>
      <x:c r="B723" s="6" t="str">
        <x:v>MALUKU</x:v>
      </x:c>
      <x:c r="C723" s="6" t="str">
        <x:v>2024</x:v>
      </x:c>
      <x:c r="D723" s="6" t="str">
        <x:v>2</x:v>
      </x:c>
      <x:c r="E723" s="6" t="str">
        <x:v>1</x:v>
      </x:c>
      <x:c r="F723" s="6" t="str">
        <x:v>1</x:v>
      </x:c>
      <x:c r="G723" s="6" t="str">
        <x:v>0</x:v>
      </x:c>
      <x:c r="H723" s="6" t="str">
        <x:v>0</x:v>
      </x:c>
      <x:c r="I723" s="6" t="str">
        <x:v>0</x:v>
      </x:c>
      <x:c r="J723" s="6" t="str">
        <x:v>0</x:v>
      </x:c>
      <x:c r="K723" s="6" t="str">
        <x:v>1</x:v>
      </x:c>
      <x:c r="L723" s="6" t="str">
        <x:v>0</x:v>
      </x:c>
      <x:c r="M723" s="6" t="str">
        <x:v>0</x:v>
      </x:c>
      <x:c r="N723" s="6" t="str">
        <x:v>0</x:v>
      </x:c>
      <x:c r="O723" s="6" t="str">
        <x:v>0</x:v>
      </x:c>
      <x:c r="P723" s="6" t="str">
        <x:v>1</x:v>
      </x:c>
      <x:c r="Q723" s="6" t="str">
        <x:v>0.0</x:v>
      </x:c>
      <x:c r="R723" s="6" t="str">
        <x:v>1</x:v>
      </x:c>
      <x:c r="S723" s="6" t="str">
        <x:v>0.0</x:v>
      </x:c>
      <x:c r="T723" s="6" t="str">
        <x:v>1</x:v>
      </x:c>
      <x:c r="U723" s="6" t="str">
        <x:v>0.0</x:v>
      </x:c>
      <x:c r="V723" s="6" t="str">
        <x:v>1</x:v>
      </x:c>
      <x:c r="W723" s="6" t="str">
        <x:v>0.0</x:v>
      </x:c>
      <x:c r="X723" s="6" t="str">
        <x:v>1</x:v>
      </x:c>
      <x:c r="Y723" s="6" t="str"/>
      <x:c r="Z723" s="6" t="str">
        <x:v>0</x:v>
      </x:c>
      <x:c r="AA723" s="6" t="str">
        <x:v>0.0</x:v>
      </x:c>
      <x:c r="AB723" s="6" t="str">
        <x:v>1</x:v>
      </x:c>
      <x:c r="AC723" s="6" t="str">
        <x:v>2024-02</x:v>
      </x:c>
      <x:c r="AD723" s="9" t="str">
        <x:v>BNPB operational disaster search table</x:v>
      </x:c>
      <x:c r="AE723" s="9" t="str">
        <x:v>https://gis.bnpb.go.id/databencana/tabel/pencarian.php</x:v>
      </x:c>
      <x:c r="AF723" s="9" t="str">
        <x:v>operational_snapshot_annual_totals_may_differ</x:v>
      </x:c>
    </x:row>
    <x:row r="724" ht="18" customHeight="1">
      <x:c r="A724" s="6" t="str">
        <x:v>81</x:v>
      </x:c>
      <x:c r="B724" s="6" t="str">
        <x:v>MALUKU</x:v>
      </x:c>
      <x:c r="C724" s="6" t="str">
        <x:v>2024</x:v>
      </x:c>
      <x:c r="D724" s="6" t="str">
        <x:v>3</x:v>
      </x:c>
      <x:c r="E724" s="6" t="str">
        <x:v>11</x:v>
      </x:c>
      <x:c r="F724" s="6" t="str">
        <x:v>11</x:v>
      </x:c>
      <x:c r="G724" s="6" t="str">
        <x:v>6</x:v>
      </x:c>
      <x:c r="H724" s="6" t="str">
        <x:v>0</x:v>
      </x:c>
      <x:c r="I724" s="6" t="str">
        <x:v>3</x:v>
      </x:c>
      <x:c r="J724" s="6" t="str">
        <x:v>0</x:v>
      </x:c>
      <x:c r="K724" s="6" t="str">
        <x:v>0</x:v>
      </x:c>
      <x:c r="L724" s="6" t="str">
        <x:v>2</x:v>
      </x:c>
      <x:c r="M724" s="6" t="str">
        <x:v>0</x:v>
      </x:c>
      <x:c r="N724" s="6" t="str">
        <x:v>0</x:v>
      </x:c>
      <x:c r="O724" s="6" t="str">
        <x:v>0</x:v>
      </x:c>
      <x:c r="P724" s="6" t="str">
        <x:v>11</x:v>
      </x:c>
      <x:c r="Q724" s="6" t="str">
        <x:v>0.0</x:v>
      </x:c>
      <x:c r="R724" s="6" t="str">
        <x:v>11</x:v>
      </x:c>
      <x:c r="S724" s="6" t="str">
        <x:v>0.0</x:v>
      </x:c>
      <x:c r="T724" s="6" t="str">
        <x:v>11</x:v>
      </x:c>
      <x:c r="U724" s="6" t="str">
        <x:v>0.0</x:v>
      </x:c>
      <x:c r="V724" s="6" t="str">
        <x:v>11</x:v>
      </x:c>
      <x:c r="W724" s="6" t="str">
        <x:v>60.0</x:v>
      </x:c>
      <x:c r="X724" s="6" t="str">
        <x:v>11</x:v>
      </x:c>
      <x:c r="Y724" s="6" t="str">
        <x:v>633.0</x:v>
      </x:c>
      <x:c r="Z724" s="6" t="str">
        <x:v>7</x:v>
      </x:c>
      <x:c r="AA724" s="6" t="str">
        <x:v>0.0</x:v>
      </x:c>
      <x:c r="AB724" s="6" t="str">
        <x:v>11</x:v>
      </x:c>
      <x:c r="AC724" s="6" t="str">
        <x:v>2024-03</x:v>
      </x:c>
      <x:c r="AD724" s="9" t="str">
        <x:v>BNPB operational disaster search table</x:v>
      </x:c>
      <x:c r="AE724" s="9" t="str">
        <x:v>https://gis.bnpb.go.id/databencana/tabel/pencarian.php</x:v>
      </x:c>
      <x:c r="AF724" s="9" t="str">
        <x:v>operational_snapshot_annual_totals_may_differ</x:v>
      </x:c>
    </x:row>
    <x:row r="725" ht="18" customHeight="1">
      <x:c r="A725" s="6" t="str">
        <x:v>81</x:v>
      </x:c>
      <x:c r="B725" s="6" t="str">
        <x:v>MALUKU</x:v>
      </x:c>
      <x:c r="C725" s="6" t="str">
        <x:v>2024</x:v>
      </x:c>
      <x:c r="D725" s="6" t="str">
        <x:v>4</x:v>
      </x:c>
      <x:c r="E725" s="6" t="str">
        <x:v>2</x:v>
      </x:c>
      <x:c r="F725" s="6" t="str">
        <x:v>2</x:v>
      </x:c>
      <x:c r="G725" s="6" t="str">
        <x:v>1</x:v>
      </x:c>
      <x:c r="H725" s="6" t="str">
        <x:v>0</x:v>
      </x:c>
      <x:c r="I725" s="6" t="str">
        <x:v>1</x:v>
      </x:c>
      <x:c r="J725" s="6" t="str">
        <x:v>0</x:v>
      </x:c>
      <x:c r="K725" s="6" t="str">
        <x:v>0</x:v>
      </x:c>
      <x:c r="L725" s="6" t="str">
        <x:v>0</x:v>
      </x:c>
      <x:c r="M725" s="6" t="str">
        <x:v>0</x:v>
      </x:c>
      <x:c r="N725" s="6" t="str">
        <x:v>0</x:v>
      </x:c>
      <x:c r="O725" s="6" t="str">
        <x:v>0</x:v>
      </x:c>
      <x:c r="P725" s="6" t="str">
        <x:v>2</x:v>
      </x:c>
      <x:c r="Q725" s="6" t="str">
        <x:v>0.0</x:v>
      </x:c>
      <x:c r="R725" s="6" t="str">
        <x:v>2</x:v>
      </x:c>
      <x:c r="S725" s="6" t="str">
        <x:v>0.0</x:v>
      </x:c>
      <x:c r="T725" s="6" t="str">
        <x:v>2</x:v>
      </x:c>
      <x:c r="U725" s="6" t="str">
        <x:v>0.0</x:v>
      </x:c>
      <x:c r="V725" s="6" t="str">
        <x:v>2</x:v>
      </x:c>
      <x:c r="W725" s="6" t="str">
        <x:v>42.0</x:v>
      </x:c>
      <x:c r="X725" s="6" t="str">
        <x:v>2</x:v>
      </x:c>
      <x:c r="Y725" s="6" t="str">
        <x:v>606.0</x:v>
      </x:c>
      <x:c r="Z725" s="6" t="str">
        <x:v>1</x:v>
      </x:c>
      <x:c r="AA725" s="6" t="str">
        <x:v>1.0</x:v>
      </x:c>
      <x:c r="AB725" s="6" t="str">
        <x:v>2</x:v>
      </x:c>
      <x:c r="AC725" s="6" t="str">
        <x:v>2024-04</x:v>
      </x:c>
      <x:c r="AD725" s="9" t="str">
        <x:v>BNPB operational disaster search table</x:v>
      </x:c>
      <x:c r="AE725" s="9" t="str">
        <x:v>https://gis.bnpb.go.id/databencana/tabel/pencarian.php</x:v>
      </x:c>
      <x:c r="AF725" s="9" t="str">
        <x:v>operational_snapshot_annual_totals_may_differ</x:v>
      </x:c>
    </x:row>
    <x:row r="726" ht="18" customHeight="1">
      <x:c r="A726" s="6" t="str">
        <x:v>81</x:v>
      </x:c>
      <x:c r="B726" s="6" t="str">
        <x:v>MALUKU</x:v>
      </x:c>
      <x:c r="C726" s="6" t="str">
        <x:v>2024</x:v>
      </x:c>
      <x:c r="D726" s="6" t="str">
        <x:v>5</x:v>
      </x:c>
      <x:c r="E726" s="6" t="str">
        <x:v>4</x:v>
      </x:c>
      <x:c r="F726" s="6" t="str">
        <x:v>4</x:v>
      </x:c>
      <x:c r="G726" s="6" t="str">
        <x:v>3</x:v>
      </x:c>
      <x:c r="H726" s="6" t="str">
        <x:v>1</x:v>
      </x:c>
      <x:c r="I726" s="6" t="str">
        <x:v>0</x:v>
      </x:c>
      <x:c r="J726" s="6" t="str">
        <x:v>0</x:v>
      </x:c>
      <x:c r="K726" s="6" t="str">
        <x:v>0</x:v>
      </x:c>
      <x:c r="L726" s="6" t="str">
        <x:v>0</x:v>
      </x:c>
      <x:c r="M726" s="6" t="str">
        <x:v>0</x:v>
      </x:c>
      <x:c r="N726" s="6" t="str">
        <x:v>0</x:v>
      </x:c>
      <x:c r="O726" s="6" t="str">
        <x:v>0</x:v>
      </x:c>
      <x:c r="P726" s="6" t="str">
        <x:v>4</x:v>
      </x:c>
      <x:c r="Q726" s="6" t="str">
        <x:v>0.0</x:v>
      </x:c>
      <x:c r="R726" s="6" t="str">
        <x:v>4</x:v>
      </x:c>
      <x:c r="S726" s="6" t="str">
        <x:v>0.0</x:v>
      </x:c>
      <x:c r="T726" s="6" t="str">
        <x:v>4</x:v>
      </x:c>
      <x:c r="U726" s="6" t="str">
        <x:v>0.0</x:v>
      </x:c>
      <x:c r="V726" s="6" t="str">
        <x:v>4</x:v>
      </x:c>
      <x:c r="W726" s="6" t="str">
        <x:v>17.0</x:v>
      </x:c>
      <x:c r="X726" s="6" t="str">
        <x:v>4</x:v>
      </x:c>
      <x:c r="Y726" s="6" t="str">
        <x:v>267.0</x:v>
      </x:c>
      <x:c r="Z726" s="6" t="str">
        <x:v>3</x:v>
      </x:c>
      <x:c r="AA726" s="6" t="str">
        <x:v>2.0</x:v>
      </x:c>
      <x:c r="AB726" s="6" t="str">
        <x:v>4</x:v>
      </x:c>
      <x:c r="AC726" s="6" t="str">
        <x:v>2024-05</x:v>
      </x:c>
      <x:c r="AD726" s="9" t="str">
        <x:v>BNPB operational disaster search table</x:v>
      </x:c>
      <x:c r="AE726" s="9" t="str">
        <x:v>https://gis.bnpb.go.id/databencana/tabel/pencarian.php</x:v>
      </x:c>
      <x:c r="AF726" s="9" t="str">
        <x:v>operational_snapshot_annual_totals_may_differ</x:v>
      </x:c>
    </x:row>
    <x:row r="727" ht="18" customHeight="1">
      <x:c r="A727" s="6" t="str">
        <x:v>81</x:v>
      </x:c>
      <x:c r="B727" s="6" t="str">
        <x:v>MALUKU</x:v>
      </x:c>
      <x:c r="C727" s="6" t="str">
        <x:v>2024</x:v>
      </x:c>
      <x:c r="D727" s="6" t="str">
        <x:v>6</x:v>
      </x:c>
      <x:c r="E727" s="6" t="str">
        <x:v>2</x:v>
      </x:c>
      <x:c r="F727" s="6" t="str">
        <x:v>2</x:v>
      </x:c>
      <x:c r="G727" s="6" t="str">
        <x:v>0</x:v>
      </x:c>
      <x:c r="H727" s="6" t="str">
        <x:v>1</x:v>
      </x:c>
      <x:c r="I727" s="6" t="str">
        <x:v>1</x:v>
      </x:c>
      <x:c r="J727" s="6" t="str">
        <x:v>0</x:v>
      </x:c>
      <x:c r="K727" s="6" t="str">
        <x:v>0</x:v>
      </x:c>
      <x:c r="L727" s="6" t="str">
        <x:v>0</x:v>
      </x:c>
      <x:c r="M727" s="6" t="str">
        <x:v>0</x:v>
      </x:c>
      <x:c r="N727" s="6" t="str">
        <x:v>0</x:v>
      </x:c>
      <x:c r="O727" s="6" t="str">
        <x:v>0</x:v>
      </x:c>
      <x:c r="P727" s="6" t="str">
        <x:v>2</x:v>
      </x:c>
      <x:c r="Q727" s="6" t="str">
        <x:v>0.0</x:v>
      </x:c>
      <x:c r="R727" s="6" t="str">
        <x:v>2</x:v>
      </x:c>
      <x:c r="S727" s="6" t="str">
        <x:v>0.0</x:v>
      </x:c>
      <x:c r="T727" s="6" t="str">
        <x:v>2</x:v>
      </x:c>
      <x:c r="U727" s="6" t="str">
        <x:v>0.0</x:v>
      </x:c>
      <x:c r="V727" s="6" t="str">
        <x:v>2</x:v>
      </x:c>
      <x:c r="W727" s="6" t="str">
        <x:v>8.0</x:v>
      </x:c>
      <x:c r="X727" s="6" t="str">
        <x:v>2</x:v>
      </x:c>
      <x:c r="Y727" s="6" t="str"/>
      <x:c r="Z727" s="6" t="str">
        <x:v>0</x:v>
      </x:c>
      <x:c r="AA727" s="6" t="str">
        <x:v>0.0</x:v>
      </x:c>
      <x:c r="AB727" s="6" t="str">
        <x:v>2</x:v>
      </x:c>
      <x:c r="AC727" s="6" t="str">
        <x:v>2024-06</x:v>
      </x:c>
      <x:c r="AD727" s="9" t="str">
        <x:v>BNPB operational disaster search table</x:v>
      </x:c>
      <x:c r="AE727" s="9" t="str">
        <x:v>https://gis.bnpb.go.id/databencana/tabel/pencarian.php</x:v>
      </x:c>
      <x:c r="AF727" s="9" t="str">
        <x:v>operational_snapshot_annual_totals_may_differ</x:v>
      </x:c>
    </x:row>
    <x:row r="728" ht="18" customHeight="1">
      <x:c r="A728" s="6" t="str">
        <x:v>81</x:v>
      </x:c>
      <x:c r="B728" s="6" t="str">
        <x:v>MALUKU</x:v>
      </x:c>
      <x:c r="C728" s="6" t="str">
        <x:v>2024</x:v>
      </x:c>
      <x:c r="D728" s="6" t="str">
        <x:v>7</x:v>
      </x:c>
      <x:c r="E728" s="6" t="str">
        <x:v>8</x:v>
      </x:c>
      <x:c r="F728" s="6" t="str">
        <x:v>8</x:v>
      </x:c>
      <x:c r="G728" s="6" t="str">
        <x:v>5</x:v>
      </x:c>
      <x:c r="H728" s="6" t="str">
        <x:v>1</x:v>
      </x:c>
      <x:c r="I728" s="6" t="str">
        <x:v>1</x:v>
      </x:c>
      <x:c r="J728" s="6" t="str">
        <x:v>0</x:v>
      </x:c>
      <x:c r="K728" s="6" t="str">
        <x:v>0</x:v>
      </x:c>
      <x:c r="L728" s="6" t="str">
        <x:v>1</x:v>
      </x:c>
      <x:c r="M728" s="6" t="str">
        <x:v>0</x:v>
      </x:c>
      <x:c r="N728" s="6" t="str">
        <x:v>0</x:v>
      </x:c>
      <x:c r="O728" s="6" t="str">
        <x:v>0</x:v>
      </x:c>
      <x:c r="P728" s="6" t="str">
        <x:v>8</x:v>
      </x:c>
      <x:c r="Q728" s="6" t="str">
        <x:v>4.0</x:v>
      </x:c>
      <x:c r="R728" s="6" t="str">
        <x:v>8</x:v>
      </x:c>
      <x:c r="S728" s="6" t="str">
        <x:v>3.0</x:v>
      </x:c>
      <x:c r="T728" s="6" t="str">
        <x:v>8</x:v>
      </x:c>
      <x:c r="U728" s="6" t="str">
        <x:v>3.0</x:v>
      </x:c>
      <x:c r="V728" s="6" t="str">
        <x:v>8</x:v>
      </x:c>
      <x:c r="W728" s="6" t="str">
        <x:v>16.0</x:v>
      </x:c>
      <x:c r="X728" s="6" t="str">
        <x:v>8</x:v>
      </x:c>
      <x:c r="Y728" s="6" t="str">
        <x:v>2283.0</x:v>
      </x:c>
      <x:c r="Z728" s="6" t="str">
        <x:v>5</x:v>
      </x:c>
      <x:c r="AA728" s="6" t="str">
        <x:v>5.0</x:v>
      </x:c>
      <x:c r="AB728" s="6" t="str">
        <x:v>8</x:v>
      </x:c>
      <x:c r="AC728" s="6" t="str">
        <x:v>2024-07</x:v>
      </x:c>
      <x:c r="AD728" s="9" t="str">
        <x:v>BNPB operational disaster search table</x:v>
      </x:c>
      <x:c r="AE728" s="9" t="str">
        <x:v>https://gis.bnpb.go.id/databencana/tabel/pencarian.php</x:v>
      </x:c>
      <x:c r="AF728" s="9" t="str">
        <x:v>operational_snapshot_annual_totals_may_differ</x:v>
      </x:c>
    </x:row>
    <x:row r="729" ht="18" customHeight="1">
      <x:c r="A729" s="6" t="str">
        <x:v>81</x:v>
      </x:c>
      <x:c r="B729" s="6" t="str">
        <x:v>MALUKU</x:v>
      </x:c>
      <x:c r="C729" s="6" t="str">
        <x:v>2024</x:v>
      </x:c>
      <x:c r="D729" s="6" t="str">
        <x:v>8</x:v>
      </x:c>
      <x:c r="E729" s="6" t="str">
        <x:v>1</x:v>
      </x:c>
      <x:c r="F729" s="6" t="str">
        <x:v>1</x:v>
      </x:c>
      <x:c r="G729" s="6" t="str">
        <x:v>1</x:v>
      </x:c>
      <x:c r="H729" s="6" t="str">
        <x:v>0</x:v>
      </x:c>
      <x:c r="I729" s="6" t="str">
        <x:v>0</x:v>
      </x:c>
      <x:c r="J729" s="6" t="str">
        <x:v>0</x:v>
      </x:c>
      <x:c r="K729" s="6" t="str">
        <x:v>0</x:v>
      </x:c>
      <x:c r="L729" s="6" t="str">
        <x:v>0</x:v>
      </x:c>
      <x:c r="M729" s="6" t="str">
        <x:v>0</x:v>
      </x:c>
      <x:c r="N729" s="6" t="str">
        <x:v>0</x:v>
      </x:c>
      <x:c r="O729" s="6" t="str">
        <x:v>0</x:v>
      </x:c>
      <x:c r="P729" s="6" t="str">
        <x:v>1</x:v>
      </x:c>
      <x:c r="Q729" s="6" t="str">
        <x:v>0.0</x:v>
      </x:c>
      <x:c r="R729" s="6" t="str">
        <x:v>1</x:v>
      </x:c>
      <x:c r="S729" s="6" t="str">
        <x:v>0.0</x:v>
      </x:c>
      <x:c r="T729" s="6" t="str">
        <x:v>1</x:v>
      </x:c>
      <x:c r="U729" s="6" t="str">
        <x:v>0.0</x:v>
      </x:c>
      <x:c r="V729" s="6" t="str">
        <x:v>1</x:v>
      </x:c>
      <x:c r="W729" s="6" t="str">
        <x:v>0.0</x:v>
      </x:c>
      <x:c r="X729" s="6" t="str">
        <x:v>1</x:v>
      </x:c>
      <x:c r="Y729" s="6" t="str"/>
      <x:c r="Z729" s="6" t="str">
        <x:v>0</x:v>
      </x:c>
      <x:c r="AA729" s="6" t="str">
        <x:v>0.0</x:v>
      </x:c>
      <x:c r="AB729" s="6" t="str">
        <x:v>1</x:v>
      </x:c>
      <x:c r="AC729" s="6" t="str">
        <x:v>2024-08</x:v>
      </x:c>
      <x:c r="AD729" s="9" t="str">
        <x:v>BNPB operational disaster search table</x:v>
      </x:c>
      <x:c r="AE729" s="9" t="str">
        <x:v>https://gis.bnpb.go.id/databencana/tabel/pencarian.php</x:v>
      </x:c>
      <x:c r="AF729" s="9" t="str">
        <x:v>operational_snapshot_annual_totals_may_differ</x:v>
      </x:c>
    </x:row>
    <x:row r="730" ht="18" customHeight="1">
      <x:c r="A730" s="6" t="str">
        <x:v>81</x:v>
      </x:c>
      <x:c r="B730" s="6" t="str">
        <x:v>MALUKU</x:v>
      </x:c>
      <x:c r="C730" s="6" t="str">
        <x:v>2024</x:v>
      </x:c>
      <x:c r="D730" s="6" t="str">
        <x:v>9</x:v>
      </x:c>
      <x:c r="E730" s="6" t="str">
        <x:v>1</x:v>
      </x:c>
      <x:c r="F730" s="6" t="str">
        <x:v>1</x:v>
      </x:c>
      <x:c r="G730" s="6" t="str">
        <x:v>1</x:v>
      </x:c>
      <x:c r="H730" s="6" t="str">
        <x:v>0</x:v>
      </x:c>
      <x:c r="I730" s="6" t="str">
        <x:v>0</x:v>
      </x:c>
      <x:c r="J730" s="6" t="str">
        <x:v>0</x:v>
      </x:c>
      <x:c r="K730" s="6" t="str">
        <x:v>0</x:v>
      </x:c>
      <x:c r="L730" s="6" t="str">
        <x:v>0</x:v>
      </x:c>
      <x:c r="M730" s="6" t="str">
        <x:v>0</x:v>
      </x:c>
      <x:c r="N730" s="6" t="str">
        <x:v>0</x:v>
      </x:c>
      <x:c r="O730" s="6" t="str">
        <x:v>0</x:v>
      </x:c>
      <x:c r="P730" s="6" t="str">
        <x:v>1</x:v>
      </x:c>
      <x:c r="Q730" s="6" t="str">
        <x:v>0.0</x:v>
      </x:c>
      <x:c r="R730" s="6" t="str">
        <x:v>1</x:v>
      </x:c>
      <x:c r="S730" s="6" t="str">
        <x:v>0.0</x:v>
      </x:c>
      <x:c r="T730" s="6" t="str">
        <x:v>1</x:v>
      </x:c>
      <x:c r="U730" s="6" t="str">
        <x:v>0.0</x:v>
      </x:c>
      <x:c r="V730" s="6" t="str">
        <x:v>1</x:v>
      </x:c>
      <x:c r="W730" s="6" t="str">
        <x:v>22.0</x:v>
      </x:c>
      <x:c r="X730" s="6" t="str">
        <x:v>1</x:v>
      </x:c>
      <x:c r="Y730" s="6" t="str">
        <x:v>46.0</x:v>
      </x:c>
      <x:c r="Z730" s="6" t="str">
        <x:v>1</x:v>
      </x:c>
      <x:c r="AA730" s="6" t="str">
        <x:v>0.0</x:v>
      </x:c>
      <x:c r="AB730" s="6" t="str">
        <x:v>1</x:v>
      </x:c>
      <x:c r="AC730" s="6" t="str">
        <x:v>2024-09</x:v>
      </x:c>
      <x:c r="AD730" s="9" t="str">
        <x:v>BNPB operational disaster search table</x:v>
      </x:c>
      <x:c r="AE730" s="9" t="str">
        <x:v>https://gis.bnpb.go.id/databencana/tabel/pencarian.php</x:v>
      </x:c>
      <x:c r="AF730" s="9" t="str">
        <x:v>operational_snapshot_annual_totals_may_differ</x:v>
      </x:c>
    </x:row>
    <x:row r="731" ht="18" customHeight="1">
      <x:c r="A731" s="6" t="str">
        <x:v>81</x:v>
      </x:c>
      <x:c r="B731" s="6" t="str">
        <x:v>MALUKU</x:v>
      </x:c>
      <x:c r="C731" s="6" t="str">
        <x:v>2024</x:v>
      </x:c>
      <x:c r="D731" s="6" t="str">
        <x:v>10</x:v>
      </x:c>
      <x:c r="E731" s="6" t="str">
        <x:v>1</x:v>
      </x:c>
      <x:c r="F731" s="6" t="str">
        <x:v>1</x:v>
      </x:c>
      <x:c r="G731" s="6" t="str">
        <x:v>0</x:v>
      </x:c>
      <x:c r="H731" s="6" t="str">
        <x:v>0</x:v>
      </x:c>
      <x:c r="I731" s="6" t="str">
        <x:v>1</x:v>
      </x:c>
      <x:c r="J731" s="6" t="str">
        <x:v>0</x:v>
      </x:c>
      <x:c r="K731" s="6" t="str">
        <x:v>0</x:v>
      </x:c>
      <x:c r="L731" s="6" t="str">
        <x:v>0</x:v>
      </x:c>
      <x:c r="M731" s="6" t="str">
        <x:v>0</x:v>
      </x:c>
      <x:c r="N731" s="6" t="str">
        <x:v>0</x:v>
      </x:c>
      <x:c r="O731" s="6" t="str">
        <x:v>0</x:v>
      </x:c>
      <x:c r="P731" s="6" t="str">
        <x:v>1</x:v>
      </x:c>
      <x:c r="Q731" s="6" t="str">
        <x:v>0.0</x:v>
      </x:c>
      <x:c r="R731" s="6" t="str">
        <x:v>1</x:v>
      </x:c>
      <x:c r="S731" s="6" t="str">
        <x:v>0.0</x:v>
      </x:c>
      <x:c r="T731" s="6" t="str">
        <x:v>1</x:v>
      </x:c>
      <x:c r="U731" s="6" t="str">
        <x:v>0.0</x:v>
      </x:c>
      <x:c r="V731" s="6" t="str">
        <x:v>1</x:v>
      </x:c>
      <x:c r="W731" s="6" t="str">
        <x:v>22.0</x:v>
      </x:c>
      <x:c r="X731" s="6" t="str">
        <x:v>1</x:v>
      </x:c>
      <x:c r="Y731" s="6" t="str"/>
      <x:c r="Z731" s="6" t="str">
        <x:v>0</x:v>
      </x:c>
      <x:c r="AA731" s="6" t="str">
        <x:v>0.0</x:v>
      </x:c>
      <x:c r="AB731" s="6" t="str">
        <x:v>1</x:v>
      </x:c>
      <x:c r="AC731" s="6" t="str">
        <x:v>2024-10</x:v>
      </x:c>
      <x:c r="AD731" s="9" t="str">
        <x:v>BNPB operational disaster search table</x:v>
      </x:c>
      <x:c r="AE731" s="9" t="str">
        <x:v>https://gis.bnpb.go.id/databencana/tabel/pencarian.php</x:v>
      </x:c>
      <x:c r="AF731" s="9" t="str">
        <x:v>operational_snapshot_annual_totals_may_differ</x:v>
      </x:c>
    </x:row>
    <x:row r="732" ht="18" customHeight="1">
      <x:c r="A732" s="6" t="str">
        <x:v>81</x:v>
      </x:c>
      <x:c r="B732" s="6" t="str">
        <x:v>MALUKU</x:v>
      </x:c>
      <x:c r="C732" s="6" t="str">
        <x:v>2024</x:v>
      </x:c>
      <x:c r="D732" s="6" t="str">
        <x:v>11</x:v>
      </x:c>
      <x:c r="E732" s="6" t="str">
        <x:v>0</x:v>
      </x:c>
      <x:c r="F732" s="6" t="str">
        <x:v>0</x:v>
      </x:c>
      <x:c r="G732" s="6" t="str">
        <x:v>0</x:v>
      </x:c>
      <x:c r="H732" s="6" t="str">
        <x:v>0</x:v>
      </x:c>
      <x:c r="I732" s="6" t="str">
        <x:v>0</x:v>
      </x:c>
      <x:c r="J732" s="6" t="str">
        <x:v>0</x:v>
      </x:c>
      <x:c r="K732" s="6" t="str">
        <x:v>0</x:v>
      </x:c>
      <x:c r="L732" s="6" t="str">
        <x:v>0</x:v>
      </x:c>
      <x:c r="M732" s="6" t="str">
        <x:v>0</x:v>
      </x:c>
      <x:c r="N732" s="6" t="str">
        <x:v>0</x:v>
      </x:c>
      <x:c r="O732" s="6" t="str">
        <x:v>0</x:v>
      </x:c>
      <x:c r="P732" s="6" t="str">
        <x:v>0</x:v>
      </x:c>
      <x:c r="Q732" s="6" t="str"/>
      <x:c r="R732" s="6" t="str">
        <x:v>0</x:v>
      </x:c>
      <x:c r="S732" s="6" t="str"/>
      <x:c r="T732" s="6" t="str">
        <x:v>0</x:v>
      </x:c>
      <x:c r="U732" s="6" t="str"/>
      <x:c r="V732" s="6" t="str">
        <x:v>0</x:v>
      </x:c>
      <x:c r="W732" s="6" t="str"/>
      <x:c r="X732" s="6" t="str">
        <x:v>0</x:v>
      </x:c>
      <x:c r="Y732" s="6" t="str"/>
      <x:c r="Z732" s="6" t="str">
        <x:v>0</x:v>
      </x:c>
      <x:c r="AA732" s="6" t="str"/>
      <x:c r="AB732" s="6" t="str">
        <x:v>0</x:v>
      </x:c>
      <x:c r="AC732" s="6" t="str">
        <x:v>2024-11</x:v>
      </x:c>
      <x:c r="AD732" s="9" t="str">
        <x:v>BNPB operational disaster search table</x:v>
      </x:c>
      <x:c r="AE732" s="9" t="str">
        <x:v>https://gis.bnpb.go.id/databencana/tabel/pencarian.php</x:v>
      </x:c>
      <x:c r="AF732" s="9" t="str">
        <x:v>operational_snapshot_annual_totals_may_differ</x:v>
      </x:c>
    </x:row>
    <x:row r="733" ht="18" customHeight="1">
      <x:c r="A733" s="6" t="str">
        <x:v>81</x:v>
      </x:c>
      <x:c r="B733" s="6" t="str">
        <x:v>MALUKU</x:v>
      </x:c>
      <x:c r="C733" s="6" t="str">
        <x:v>2024</x:v>
      </x:c>
      <x:c r="D733" s="6" t="str">
        <x:v>12</x:v>
      </x:c>
      <x:c r="E733" s="6" t="str">
        <x:v>4</x:v>
      </x:c>
      <x:c r="F733" s="6" t="str">
        <x:v>4</x:v>
      </x:c>
      <x:c r="G733" s="6" t="str">
        <x:v>1</x:v>
      </x:c>
      <x:c r="H733" s="6" t="str">
        <x:v>0</x:v>
      </x:c>
      <x:c r="I733" s="6" t="str">
        <x:v>3</x:v>
      </x:c>
      <x:c r="J733" s="6" t="str">
        <x:v>0</x:v>
      </x:c>
      <x:c r="K733" s="6" t="str">
        <x:v>0</x:v>
      </x:c>
      <x:c r="L733" s="6" t="str">
        <x:v>0</x:v>
      </x:c>
      <x:c r="M733" s="6" t="str">
        <x:v>0</x:v>
      </x:c>
      <x:c r="N733" s="6" t="str">
        <x:v>0</x:v>
      </x:c>
      <x:c r="O733" s="6" t="str">
        <x:v>0</x:v>
      </x:c>
      <x:c r="P733" s="6" t="str">
        <x:v>4</x:v>
      </x:c>
      <x:c r="Q733" s="6" t="str">
        <x:v>0.0</x:v>
      </x:c>
      <x:c r="R733" s="6" t="str">
        <x:v>4</x:v>
      </x:c>
      <x:c r="S733" s="6" t="str">
        <x:v>0.0</x:v>
      </x:c>
      <x:c r="T733" s="6" t="str">
        <x:v>4</x:v>
      </x:c>
      <x:c r="U733" s="6" t="str">
        <x:v>0.0</x:v>
      </x:c>
      <x:c r="V733" s="6" t="str">
        <x:v>4</x:v>
      </x:c>
      <x:c r="W733" s="6" t="str">
        <x:v>160.0</x:v>
      </x:c>
      <x:c r="X733" s="6" t="str">
        <x:v>4</x:v>
      </x:c>
      <x:c r="Y733" s="6" t="str">
        <x:v>50.0</x:v>
      </x:c>
      <x:c r="Z733" s="6" t="str">
        <x:v>1</x:v>
      </x:c>
      <x:c r="AA733" s="6" t="str">
        <x:v>0.0</x:v>
      </x:c>
      <x:c r="AB733" s="6" t="str">
        <x:v>4</x:v>
      </x:c>
      <x:c r="AC733" s="6" t="str">
        <x:v>2024-12</x:v>
      </x:c>
      <x:c r="AD733" s="9" t="str">
        <x:v>BNPB operational disaster search table</x:v>
      </x:c>
      <x:c r="AE733" s="9" t="str">
        <x:v>https://gis.bnpb.go.id/databencana/tabel/pencarian.php</x:v>
      </x:c>
      <x:c r="AF733" s="9" t="str">
        <x:v>operational_snapshot_annual_totals_may_differ</x:v>
      </x:c>
    </x:row>
    <x:row r="734" ht="18" customHeight="1">
      <x:c r="A734" s="6" t="str">
        <x:v>81</x:v>
      </x:c>
      <x:c r="B734" s="6" t="str">
        <x:v>MALUKU</x:v>
      </x:c>
      <x:c r="C734" s="6" t="str">
        <x:v>2025</x:v>
      </x:c>
      <x:c r="D734" s="6" t="str">
        <x:v>1</x:v>
      </x:c>
      <x:c r="E734" s="6" t="str">
        <x:v>0</x:v>
      </x:c>
      <x:c r="F734" s="6" t="str">
        <x:v>0</x:v>
      </x:c>
      <x:c r="G734" s="6" t="str">
        <x:v>0</x:v>
      </x:c>
      <x:c r="H734" s="6" t="str">
        <x:v>0</x:v>
      </x:c>
      <x:c r="I734" s="6" t="str">
        <x:v>0</x:v>
      </x:c>
      <x:c r="J734" s="6" t="str">
        <x:v>0</x:v>
      </x:c>
      <x:c r="K734" s="6" t="str">
        <x:v>0</x:v>
      </x:c>
      <x:c r="L734" s="6" t="str">
        <x:v>0</x:v>
      </x:c>
      <x:c r="M734" s="6" t="str">
        <x:v>0</x:v>
      </x:c>
      <x:c r="N734" s="6" t="str">
        <x:v>0</x:v>
      </x:c>
      <x:c r="O734" s="6" t="str">
        <x:v>0</x:v>
      </x:c>
      <x:c r="P734" s="6" t="str">
        <x:v>0</x:v>
      </x:c>
      <x:c r="Q734" s="6" t="str"/>
      <x:c r="R734" s="6" t="str">
        <x:v>0</x:v>
      </x:c>
      <x:c r="S734" s="6" t="str"/>
      <x:c r="T734" s="6" t="str">
        <x:v>0</x:v>
      </x:c>
      <x:c r="U734" s="6" t="str"/>
      <x:c r="V734" s="6" t="str">
        <x:v>0</x:v>
      </x:c>
      <x:c r="W734" s="6" t="str"/>
      <x:c r="X734" s="6" t="str">
        <x:v>0</x:v>
      </x:c>
      <x:c r="Y734" s="6" t="str"/>
      <x:c r="Z734" s="6" t="str">
        <x:v>0</x:v>
      </x:c>
      <x:c r="AA734" s="6" t="str"/>
      <x:c r="AB734" s="6" t="str">
        <x:v>0</x:v>
      </x:c>
      <x:c r="AC734" s="6" t="str">
        <x:v>2025-01</x:v>
      </x:c>
      <x:c r="AD734" s="9" t="str">
        <x:v>BNPB operational disaster search table</x:v>
      </x:c>
      <x:c r="AE734" s="9" t="str">
        <x:v>https://gis.bnpb.go.id/databencana/tabel/pencarian.php</x:v>
      </x:c>
      <x:c r="AF734" s="9" t="str">
        <x:v>operational_snapshot_annual_totals_may_differ</x:v>
      </x:c>
    </x:row>
    <x:row r="735" ht="18" customHeight="1">
      <x:c r="A735" s="6" t="str">
        <x:v>81</x:v>
      </x:c>
      <x:c r="B735" s="6" t="str">
        <x:v>MALUKU</x:v>
      </x:c>
      <x:c r="C735" s="6" t="str">
        <x:v>2025</x:v>
      </x:c>
      <x:c r="D735" s="6" t="str">
        <x:v>2</x:v>
      </x:c>
      <x:c r="E735" s="6" t="str">
        <x:v>4</x:v>
      </x:c>
      <x:c r="F735" s="6" t="str">
        <x:v>4</x:v>
      </x:c>
      <x:c r="G735" s="6" t="str">
        <x:v>1</x:v>
      </x:c>
      <x:c r="H735" s="6" t="str">
        <x:v>0</x:v>
      </x:c>
      <x:c r="I735" s="6" t="str">
        <x:v>3</x:v>
      </x:c>
      <x:c r="J735" s="6" t="str">
        <x:v>0</x:v>
      </x:c>
      <x:c r="K735" s="6" t="str">
        <x:v>0</x:v>
      </x:c>
      <x:c r="L735" s="6" t="str">
        <x:v>0</x:v>
      </x:c>
      <x:c r="M735" s="6" t="str">
        <x:v>0</x:v>
      </x:c>
      <x:c r="N735" s="6" t="str">
        <x:v>0</x:v>
      </x:c>
      <x:c r="O735" s="6" t="str">
        <x:v>0</x:v>
      </x:c>
      <x:c r="P735" s="6" t="str">
        <x:v>4</x:v>
      </x:c>
      <x:c r="Q735" s="6" t="str">
        <x:v>0.0</x:v>
      </x:c>
      <x:c r="R735" s="6" t="str">
        <x:v>4</x:v>
      </x:c>
      <x:c r="S735" s="6" t="str">
        <x:v>0.0</x:v>
      </x:c>
      <x:c r="T735" s="6" t="str">
        <x:v>4</x:v>
      </x:c>
      <x:c r="U735" s="6" t="str">
        <x:v>2.0</x:v>
      </x:c>
      <x:c r="V735" s="6" t="str">
        <x:v>4</x:v>
      </x:c>
      <x:c r="W735" s="6" t="str">
        <x:v>48.0</x:v>
      </x:c>
      <x:c r="X735" s="6" t="str">
        <x:v>4</x:v>
      </x:c>
      <x:c r="Y735" s="6" t="str">
        <x:v>78.0</x:v>
      </x:c>
      <x:c r="Z735" s="6" t="str">
        <x:v>1</x:v>
      </x:c>
      <x:c r="AA735" s="6" t="str">
        <x:v>4.0</x:v>
      </x:c>
      <x:c r="AB735" s="6" t="str">
        <x:v>4</x:v>
      </x:c>
      <x:c r="AC735" s="6" t="str">
        <x:v>2025-02</x:v>
      </x:c>
      <x:c r="AD735" s="9" t="str">
        <x:v>BNPB operational disaster search table</x:v>
      </x:c>
      <x:c r="AE735" s="9" t="str">
        <x:v>https://gis.bnpb.go.id/databencana/tabel/pencarian.php</x:v>
      </x:c>
      <x:c r="AF735" s="9" t="str">
        <x:v>operational_snapshot_annual_totals_may_differ</x:v>
      </x:c>
    </x:row>
    <x:row r="736" ht="18" customHeight="1">
      <x:c r="A736" s="6" t="str">
        <x:v>81</x:v>
      </x:c>
      <x:c r="B736" s="6" t="str">
        <x:v>MALUKU</x:v>
      </x:c>
      <x:c r="C736" s="6" t="str">
        <x:v>2025</x:v>
      </x:c>
      <x:c r="D736" s="6" t="str">
        <x:v>3</x:v>
      </x:c>
      <x:c r="E736" s="6" t="str">
        <x:v>3</x:v>
      </x:c>
      <x:c r="F736" s="6" t="str">
        <x:v>3</x:v>
      </x:c>
      <x:c r="G736" s="6" t="str">
        <x:v>2</x:v>
      </x:c>
      <x:c r="H736" s="6" t="str">
        <x:v>1</x:v>
      </x:c>
      <x:c r="I736" s="6" t="str">
        <x:v>0</x:v>
      </x:c>
      <x:c r="J736" s="6" t="str">
        <x:v>0</x:v>
      </x:c>
      <x:c r="K736" s="6" t="str">
        <x:v>0</x:v>
      </x:c>
      <x:c r="L736" s="6" t="str">
        <x:v>0</x:v>
      </x:c>
      <x:c r="M736" s="6" t="str">
        <x:v>0</x:v>
      </x:c>
      <x:c r="N736" s="6" t="str">
        <x:v>0</x:v>
      </x:c>
      <x:c r="O736" s="6" t="str">
        <x:v>0</x:v>
      </x:c>
      <x:c r="P736" s="6" t="str">
        <x:v>3</x:v>
      </x:c>
      <x:c r="Q736" s="6" t="str">
        <x:v>7.0</x:v>
      </x:c>
      <x:c r="R736" s="6" t="str">
        <x:v>3</x:v>
      </x:c>
      <x:c r="S736" s="6" t="str">
        <x:v>0.0</x:v>
      </x:c>
      <x:c r="T736" s="6" t="str">
        <x:v>3</x:v>
      </x:c>
      <x:c r="U736" s="6" t="str">
        <x:v>6.0</x:v>
      </x:c>
      <x:c r="V736" s="6" t="str">
        <x:v>3</x:v>
      </x:c>
      <x:c r="W736" s="6" t="str">
        <x:v>0.0</x:v>
      </x:c>
      <x:c r="X736" s="6" t="str">
        <x:v>3</x:v>
      </x:c>
      <x:c r="Y736" s="6" t="str">
        <x:v>298.0</x:v>
      </x:c>
      <x:c r="Z736" s="6" t="str">
        <x:v>2</x:v>
      </x:c>
      <x:c r="AA736" s="6" t="str">
        <x:v>0.0</x:v>
      </x:c>
      <x:c r="AB736" s="6" t="str">
        <x:v>3</x:v>
      </x:c>
      <x:c r="AC736" s="6" t="str">
        <x:v>2025-03</x:v>
      </x:c>
      <x:c r="AD736" s="9" t="str">
        <x:v>BNPB operational disaster search table</x:v>
      </x:c>
      <x:c r="AE736" s="9" t="str">
        <x:v>https://gis.bnpb.go.id/databencana/tabel/pencarian.php</x:v>
      </x:c>
      <x:c r="AF736" s="9" t="str">
        <x:v>operational_snapshot_annual_totals_may_differ</x:v>
      </x:c>
    </x:row>
    <x:row r="737" ht="18" customHeight="1">
      <x:c r="A737" s="6" t="str">
        <x:v>81</x:v>
      </x:c>
      <x:c r="B737" s="6" t="str">
        <x:v>MALUKU</x:v>
      </x:c>
      <x:c r="C737" s="6" t="str">
        <x:v>2025</x:v>
      </x:c>
      <x:c r="D737" s="6" t="str">
        <x:v>4</x:v>
      </x:c>
      <x:c r="E737" s="6" t="str">
        <x:v>2</x:v>
      </x:c>
      <x:c r="F737" s="6" t="str">
        <x:v>2</x:v>
      </x:c>
      <x:c r="G737" s="6" t="str">
        <x:v>1</x:v>
      </x:c>
      <x:c r="H737" s="6" t="str">
        <x:v>0</x:v>
      </x:c>
      <x:c r="I737" s="6" t="str">
        <x:v>0</x:v>
      </x:c>
      <x:c r="J737" s="6" t="str">
        <x:v>0</x:v>
      </x:c>
      <x:c r="K737" s="6" t="str">
        <x:v>0</x:v>
      </x:c>
      <x:c r="L737" s="6" t="str">
        <x:v>1</x:v>
      </x:c>
      <x:c r="M737" s="6" t="str">
        <x:v>0</x:v>
      </x:c>
      <x:c r="N737" s="6" t="str">
        <x:v>0</x:v>
      </x:c>
      <x:c r="O737" s="6" t="str">
        <x:v>0</x:v>
      </x:c>
      <x:c r="P737" s="6" t="str">
        <x:v>2</x:v>
      </x:c>
      <x:c r="Q737" s="6" t="str">
        <x:v>0.0</x:v>
      </x:c>
      <x:c r="R737" s="6" t="str">
        <x:v>2</x:v>
      </x:c>
      <x:c r="S737" s="6" t="str">
        <x:v>0.0</x:v>
      </x:c>
      <x:c r="T737" s="6" t="str">
        <x:v>2</x:v>
      </x:c>
      <x:c r="U737" s="6" t="str">
        <x:v>0.0</x:v>
      </x:c>
      <x:c r="V737" s="6" t="str">
        <x:v>2</x:v>
      </x:c>
      <x:c r="W737" s="6" t="str">
        <x:v>237.0</x:v>
      </x:c>
      <x:c r="X737" s="6" t="str">
        <x:v>2</x:v>
      </x:c>
      <x:c r="Y737" s="6" t="str"/>
      <x:c r="Z737" s="6" t="str">
        <x:v>0</x:v>
      </x:c>
      <x:c r="AA737" s="6" t="str">
        <x:v>0.0</x:v>
      </x:c>
      <x:c r="AB737" s="6" t="str">
        <x:v>2</x:v>
      </x:c>
      <x:c r="AC737" s="6" t="str">
        <x:v>2025-04</x:v>
      </x:c>
      <x:c r="AD737" s="9" t="str">
        <x:v>BNPB operational disaster search table</x:v>
      </x:c>
      <x:c r="AE737" s="9" t="str">
        <x:v>https://gis.bnpb.go.id/databencana/tabel/pencarian.php</x:v>
      </x:c>
      <x:c r="AF737" s="9" t="str">
        <x:v>operational_snapshot_annual_totals_may_differ</x:v>
      </x:c>
    </x:row>
    <x:row r="738" ht="18" customHeight="1">
      <x:c r="A738" s="6" t="str">
        <x:v>81</x:v>
      </x:c>
      <x:c r="B738" s="6" t="str">
        <x:v>MALUKU</x:v>
      </x:c>
      <x:c r="C738" s="6" t="str">
        <x:v>2025</x:v>
      </x:c>
      <x:c r="D738" s="6" t="str">
        <x:v>5</x:v>
      </x:c>
      <x:c r="E738" s="6" t="str">
        <x:v>1</x:v>
      </x:c>
      <x:c r="F738" s="6" t="str">
        <x:v>1</x:v>
      </x:c>
      <x:c r="G738" s="6" t="str">
        <x:v>1</x:v>
      </x:c>
      <x:c r="H738" s="6" t="str">
        <x:v>0</x:v>
      </x:c>
      <x:c r="I738" s="6" t="str">
        <x:v>0</x:v>
      </x:c>
      <x:c r="J738" s="6" t="str">
        <x:v>0</x:v>
      </x:c>
      <x:c r="K738" s="6" t="str">
        <x:v>0</x:v>
      </x:c>
      <x:c r="L738" s="6" t="str">
        <x:v>0</x:v>
      </x:c>
      <x:c r="M738" s="6" t="str">
        <x:v>0</x:v>
      </x:c>
      <x:c r="N738" s="6" t="str">
        <x:v>0</x:v>
      </x:c>
      <x:c r="O738" s="6" t="str">
        <x:v>0</x:v>
      </x:c>
      <x:c r="P738" s="6" t="str">
        <x:v>1</x:v>
      </x:c>
      <x:c r="Q738" s="6" t="str">
        <x:v>0.0</x:v>
      </x:c>
      <x:c r="R738" s="6" t="str">
        <x:v>1</x:v>
      </x:c>
      <x:c r="S738" s="6" t="str">
        <x:v>0.0</x:v>
      </x:c>
      <x:c r="T738" s="6" t="str">
        <x:v>1</x:v>
      </x:c>
      <x:c r="U738" s="6" t="str">
        <x:v>0.0</x:v>
      </x:c>
      <x:c r="V738" s="6" t="str">
        <x:v>1</x:v>
      </x:c>
      <x:c r="W738" s="6" t="str">
        <x:v>0.0</x:v>
      </x:c>
      <x:c r="X738" s="6" t="str">
        <x:v>1</x:v>
      </x:c>
      <x:c r="Y738" s="6" t="str">
        <x:v>112.0</x:v>
      </x:c>
      <x:c r="Z738" s="6" t="str">
        <x:v>1</x:v>
      </x:c>
      <x:c r="AA738" s="6" t="str">
        <x:v>0.0</x:v>
      </x:c>
      <x:c r="AB738" s="6" t="str">
        <x:v>1</x:v>
      </x:c>
      <x:c r="AC738" s="6" t="str">
        <x:v>2025-05</x:v>
      </x:c>
      <x:c r="AD738" s="9" t="str">
        <x:v>BNPB operational disaster search table</x:v>
      </x:c>
      <x:c r="AE738" s="9" t="str">
        <x:v>https://gis.bnpb.go.id/databencana/tabel/pencarian.php</x:v>
      </x:c>
      <x:c r="AF738" s="9" t="str">
        <x:v>operational_snapshot_annual_totals_may_differ</x:v>
      </x:c>
    </x:row>
    <x:row r="739" ht="18" customHeight="1">
      <x:c r="A739" s="6" t="str">
        <x:v>81</x:v>
      </x:c>
      <x:c r="B739" s="6" t="str">
        <x:v>MALUKU</x:v>
      </x:c>
      <x:c r="C739" s="6" t="str">
        <x:v>2025</x:v>
      </x:c>
      <x:c r="D739" s="6" t="str">
        <x:v>6</x:v>
      </x:c>
      <x:c r="E739" s="6" t="str">
        <x:v>6</x:v>
      </x:c>
      <x:c r="F739" s="6" t="str">
        <x:v>6</x:v>
      </x:c>
      <x:c r="G739" s="6" t="str">
        <x:v>3</x:v>
      </x:c>
      <x:c r="H739" s="6" t="str">
        <x:v>2</x:v>
      </x:c>
      <x:c r="I739" s="6" t="str">
        <x:v>0</x:v>
      </x:c>
      <x:c r="J739" s="6" t="str">
        <x:v>0</x:v>
      </x:c>
      <x:c r="K739" s="6" t="str">
        <x:v>0</x:v>
      </x:c>
      <x:c r="L739" s="6" t="str">
        <x:v>0</x:v>
      </x:c>
      <x:c r="M739" s="6" t="str">
        <x:v>1</x:v>
      </x:c>
      <x:c r="N739" s="6" t="str">
        <x:v>0</x:v>
      </x:c>
      <x:c r="O739" s="6" t="str">
        <x:v>0</x:v>
      </x:c>
      <x:c r="P739" s="6" t="str">
        <x:v>5</x:v>
      </x:c>
      <x:c r="Q739" s="6" t="str">
        <x:v>2.0</x:v>
      </x:c>
      <x:c r="R739" s="6" t="str">
        <x:v>1</x:v>
      </x:c>
      <x:c r="S739" s="6" t="str"/>
      <x:c r="T739" s="6" t="str">
        <x:v>0</x:v>
      </x:c>
      <x:c r="U739" s="6" t="str">
        <x:v>3.0</x:v>
      </x:c>
      <x:c r="V739" s="6" t="str">
        <x:v>2</x:v>
      </x:c>
      <x:c r="W739" s="6" t="str">
        <x:v>677.0</x:v>
      </x:c>
      <x:c r="X739" s="6" t="str">
        <x:v>6</x:v>
      </x:c>
      <x:c r="Y739" s="6" t="str">
        <x:v>357.0</x:v>
      </x:c>
      <x:c r="Z739" s="6" t="str">
        <x:v>3</x:v>
      </x:c>
      <x:c r="AA739" s="6" t="str">
        <x:v>0.0</x:v>
      </x:c>
      <x:c r="AB739" s="6" t="str">
        <x:v>6</x:v>
      </x:c>
      <x:c r="AC739" s="6" t="str">
        <x:v>2025-06</x:v>
      </x:c>
      <x:c r="AD739" s="9" t="str">
        <x:v>BNPB operational disaster search table</x:v>
      </x:c>
      <x:c r="AE739" s="9" t="str">
        <x:v>https://gis.bnpb.go.id/databencana/tabel/pencarian.php</x:v>
      </x:c>
      <x:c r="AF739" s="9" t="str">
        <x:v>operational_snapshot_annual_totals_may_differ</x:v>
      </x:c>
    </x:row>
    <x:row r="740" ht="18" customHeight="1">
      <x:c r="A740" s="6" t="str">
        <x:v>81</x:v>
      </x:c>
      <x:c r="B740" s="6" t="str">
        <x:v>MALUKU</x:v>
      </x:c>
      <x:c r="C740" s="6" t="str">
        <x:v>2025</x:v>
      </x:c>
      <x:c r="D740" s="6" t="str">
        <x:v>7</x:v>
      </x:c>
      <x:c r="E740" s="6" t="str">
        <x:v>3</x:v>
      </x:c>
      <x:c r="F740" s="6" t="str">
        <x:v>3</x:v>
      </x:c>
      <x:c r="G740" s="6" t="str">
        <x:v>2</x:v>
      </x:c>
      <x:c r="H740" s="6" t="str">
        <x:v>1</x:v>
      </x:c>
      <x:c r="I740" s="6" t="str">
        <x:v>0</x:v>
      </x:c>
      <x:c r="J740" s="6" t="str">
        <x:v>0</x:v>
      </x:c>
      <x:c r="K740" s="6" t="str">
        <x:v>0</x:v>
      </x:c>
      <x:c r="L740" s="6" t="str">
        <x:v>0</x:v>
      </x:c>
      <x:c r="M740" s="6" t="str">
        <x:v>0</x:v>
      </x:c>
      <x:c r="N740" s="6" t="str">
        <x:v>0</x:v>
      </x:c>
      <x:c r="O740" s="6" t="str">
        <x:v>0</x:v>
      </x:c>
      <x:c r="P740" s="6" t="str">
        <x:v>3</x:v>
      </x:c>
      <x:c r="Q740" s="6" t="str">
        <x:v>1.0</x:v>
      </x:c>
      <x:c r="R740" s="6" t="str">
        <x:v>1</x:v>
      </x:c>
      <x:c r="S740" s="6" t="str"/>
      <x:c r="T740" s="6" t="str">
        <x:v>0</x:v>
      </x:c>
      <x:c r="U740" s="6" t="str">
        <x:v>1.0</x:v>
      </x:c>
      <x:c r="V740" s="6" t="str">
        <x:v>1</x:v>
      </x:c>
      <x:c r="W740" s="6" t="str">
        <x:v>0.0</x:v>
      </x:c>
      <x:c r="X740" s="6" t="str">
        <x:v>3</x:v>
      </x:c>
      <x:c r="Y740" s="6" t="str">
        <x:v>64.0</x:v>
      </x:c>
      <x:c r="Z740" s="6" t="str">
        <x:v>2</x:v>
      </x:c>
      <x:c r="AA740" s="6" t="str">
        <x:v>0.0</x:v>
      </x:c>
      <x:c r="AB740" s="6" t="str">
        <x:v>3</x:v>
      </x:c>
      <x:c r="AC740" s="6" t="str">
        <x:v>2025-07</x:v>
      </x:c>
      <x:c r="AD740" s="9" t="str">
        <x:v>BNPB operational disaster search table</x:v>
      </x:c>
      <x:c r="AE740" s="9" t="str">
        <x:v>https://gis.bnpb.go.id/databencana/tabel/pencarian.php</x:v>
      </x:c>
      <x:c r="AF740" s="9" t="str">
        <x:v>operational_snapshot_annual_totals_may_differ</x:v>
      </x:c>
    </x:row>
    <x:row r="741" ht="18" customHeight="1">
      <x:c r="A741" s="6" t="str">
        <x:v>81</x:v>
      </x:c>
      <x:c r="B741" s="6" t="str">
        <x:v>MALUKU</x:v>
      </x:c>
      <x:c r="C741" s="6" t="str">
        <x:v>2025</x:v>
      </x:c>
      <x:c r="D741" s="6" t="str">
        <x:v>8</x:v>
      </x:c>
      <x:c r="E741" s="6" t="str">
        <x:v>5</x:v>
      </x:c>
      <x:c r="F741" s="6" t="str">
        <x:v>5</x:v>
      </x:c>
      <x:c r="G741" s="6" t="str">
        <x:v>3</x:v>
      </x:c>
      <x:c r="H741" s="6" t="str">
        <x:v>1</x:v>
      </x:c>
      <x:c r="I741" s="6" t="str">
        <x:v>0</x:v>
      </x:c>
      <x:c r="J741" s="6" t="str">
        <x:v>0</x:v>
      </x:c>
      <x:c r="K741" s="6" t="str">
        <x:v>0</x:v>
      </x:c>
      <x:c r="L741" s="6" t="str">
        <x:v>1</x:v>
      </x:c>
      <x:c r="M741" s="6" t="str">
        <x:v>0</x:v>
      </x:c>
      <x:c r="N741" s="6" t="str">
        <x:v>0</x:v>
      </x:c>
      <x:c r="O741" s="6" t="str">
        <x:v>0</x:v>
      </x:c>
      <x:c r="P741" s="6" t="str">
        <x:v>5</x:v>
      </x:c>
      <x:c r="Q741" s="6" t="str"/>
      <x:c r="R741" s="6" t="str">
        <x:v>0</x:v>
      </x:c>
      <x:c r="S741" s="6" t="str"/>
      <x:c r="T741" s="6" t="str">
        <x:v>0</x:v>
      </x:c>
      <x:c r="U741" s="6" t="str"/>
      <x:c r="V741" s="6" t="str">
        <x:v>0</x:v>
      </x:c>
      <x:c r="W741" s="6" t="str">
        <x:v>78.0</x:v>
      </x:c>
      <x:c r="X741" s="6" t="str">
        <x:v>5</x:v>
      </x:c>
      <x:c r="Y741" s="6" t="str">
        <x:v>296.0</x:v>
      </x:c>
      <x:c r="Z741" s="6" t="str">
        <x:v>3</x:v>
      </x:c>
      <x:c r="AA741" s="6" t="str">
        <x:v>0.0</x:v>
      </x:c>
      <x:c r="AB741" s="6" t="str">
        <x:v>5</x:v>
      </x:c>
      <x:c r="AC741" s="6" t="str">
        <x:v>2025-08</x:v>
      </x:c>
      <x:c r="AD741" s="9" t="str">
        <x:v>BNPB operational disaster search table</x:v>
      </x:c>
      <x:c r="AE741" s="9" t="str">
        <x:v>https://gis.bnpb.go.id/databencana/tabel/pencarian.php</x:v>
      </x:c>
      <x:c r="AF741" s="9" t="str">
        <x:v>operational_snapshot_annual_totals_may_differ</x:v>
      </x:c>
    </x:row>
    <x:row r="742" ht="18" customHeight="1">
      <x:c r="A742" s="6" t="str">
        <x:v>81</x:v>
      </x:c>
      <x:c r="B742" s="6" t="str">
        <x:v>MALUKU</x:v>
      </x:c>
      <x:c r="C742" s="6" t="str">
        <x:v>2025</x:v>
      </x:c>
      <x:c r="D742" s="6" t="str">
        <x:v>9</x:v>
      </x:c>
      <x:c r="E742" s="6" t="str">
        <x:v>1</x:v>
      </x:c>
      <x:c r="F742" s="6" t="str">
        <x:v>1</x:v>
      </x:c>
      <x:c r="G742" s="6" t="str">
        <x:v>0</x:v>
      </x:c>
      <x:c r="H742" s="6" t="str">
        <x:v>0</x:v>
      </x:c>
      <x:c r="I742" s="6" t="str">
        <x:v>0</x:v>
      </x:c>
      <x:c r="J742" s="6" t="str">
        <x:v>0</x:v>
      </x:c>
      <x:c r="K742" s="6" t="str">
        <x:v>0</x:v>
      </x:c>
      <x:c r="L742" s="6" t="str">
        <x:v>1</x:v>
      </x:c>
      <x:c r="M742" s="6" t="str">
        <x:v>0</x:v>
      </x:c>
      <x:c r="N742" s="6" t="str">
        <x:v>0</x:v>
      </x:c>
      <x:c r="O742" s="6" t="str">
        <x:v>0</x:v>
      </x:c>
      <x:c r="P742" s="6" t="str">
        <x:v>1</x:v>
      </x:c>
      <x:c r="Q742" s="6" t="str"/>
      <x:c r="R742" s="6" t="str">
        <x:v>0</x:v>
      </x:c>
      <x:c r="S742" s="6" t="str"/>
      <x:c r="T742" s="6" t="str">
        <x:v>0</x:v>
      </x:c>
      <x:c r="U742" s="6" t="str"/>
      <x:c r="V742" s="6" t="str">
        <x:v>0</x:v>
      </x:c>
      <x:c r="W742" s="6" t="str">
        <x:v>0.0</x:v>
      </x:c>
      <x:c r="X742" s="6" t="str">
        <x:v>1</x:v>
      </x:c>
      <x:c r="Y742" s="6" t="str"/>
      <x:c r="Z742" s="6" t="str">
        <x:v>0</x:v>
      </x:c>
      <x:c r="AA742" s="6" t="str">
        <x:v>0.0</x:v>
      </x:c>
      <x:c r="AB742" s="6" t="str">
        <x:v>1</x:v>
      </x:c>
      <x:c r="AC742" s="6" t="str">
        <x:v>2025-09</x:v>
      </x:c>
      <x:c r="AD742" s="9" t="str">
        <x:v>BNPB operational disaster search table</x:v>
      </x:c>
      <x:c r="AE742" s="9" t="str">
        <x:v>https://gis.bnpb.go.id/databencana/tabel/pencarian.php</x:v>
      </x:c>
      <x:c r="AF742" s="9" t="str">
        <x:v>operational_snapshot_annual_totals_may_differ</x:v>
      </x:c>
    </x:row>
    <x:row r="743" ht="18" customHeight="1">
      <x:c r="A743" s="6" t="str">
        <x:v>81</x:v>
      </x:c>
      <x:c r="B743" s="6" t="str">
        <x:v>MALUKU</x:v>
      </x:c>
      <x:c r="C743" s="6" t="str">
        <x:v>2025</x:v>
      </x:c>
      <x:c r="D743" s="6" t="str">
        <x:v>10</x:v>
      </x:c>
      <x:c r="E743" s="6" t="str">
        <x:v>1</x:v>
      </x:c>
      <x:c r="F743" s="6" t="str">
        <x:v>1</x:v>
      </x:c>
      <x:c r="G743" s="6" t="str">
        <x:v>0</x:v>
      </x:c>
      <x:c r="H743" s="6" t="str">
        <x:v>1</x:v>
      </x:c>
      <x:c r="I743" s="6" t="str">
        <x:v>0</x:v>
      </x:c>
      <x:c r="J743" s="6" t="str">
        <x:v>0</x:v>
      </x:c>
      <x:c r="K743" s="6" t="str">
        <x:v>0</x:v>
      </x:c>
      <x:c r="L743" s="6" t="str">
        <x:v>0</x:v>
      </x:c>
      <x:c r="M743" s="6" t="str">
        <x:v>0</x:v>
      </x:c>
      <x:c r="N743" s="6" t="str">
        <x:v>0</x:v>
      </x:c>
      <x:c r="O743" s="6" t="str">
        <x:v>0</x:v>
      </x:c>
      <x:c r="P743" s="6" t="str">
        <x:v>1</x:v>
      </x:c>
      <x:c r="Q743" s="6" t="str"/>
      <x:c r="R743" s="6" t="str">
        <x:v>0</x:v>
      </x:c>
      <x:c r="S743" s="6" t="str"/>
      <x:c r="T743" s="6" t="str">
        <x:v>0</x:v>
      </x:c>
      <x:c r="U743" s="6" t="str"/>
      <x:c r="V743" s="6" t="str">
        <x:v>0</x:v>
      </x:c>
      <x:c r="W743" s="6" t="str">
        <x:v>0.0</x:v>
      </x:c>
      <x:c r="X743" s="6" t="str">
        <x:v>1</x:v>
      </x:c>
      <x:c r="Y743" s="6" t="str"/>
      <x:c r="Z743" s="6" t="str">
        <x:v>0</x:v>
      </x:c>
      <x:c r="AA743" s="6" t="str">
        <x:v>0.0</x:v>
      </x:c>
      <x:c r="AB743" s="6" t="str">
        <x:v>1</x:v>
      </x:c>
      <x:c r="AC743" s="6" t="str">
        <x:v>2025-10</x:v>
      </x:c>
      <x:c r="AD743" s="9" t="str">
        <x:v>BNPB operational disaster search table</x:v>
      </x:c>
      <x:c r="AE743" s="9" t="str">
        <x:v>https://gis.bnpb.go.id/databencana/tabel/pencarian.php</x:v>
      </x:c>
      <x:c r="AF743" s="9" t="str">
        <x:v>operational_snapshot_annual_totals_may_differ</x:v>
      </x:c>
    </x:row>
    <x:row r="744" ht="18" customHeight="1">
      <x:c r="A744" s="6" t="str">
        <x:v>81</x:v>
      </x:c>
      <x:c r="B744" s="6" t="str">
        <x:v>MALUKU</x:v>
      </x:c>
      <x:c r="C744" s="6" t="str">
        <x:v>2025</x:v>
      </x:c>
      <x:c r="D744" s="6" t="str">
        <x:v>11</x:v>
      </x:c>
      <x:c r="E744" s="6" t="str">
        <x:v>1</x:v>
      </x:c>
      <x:c r="F744" s="6" t="str">
        <x:v>1</x:v>
      </x:c>
      <x:c r="G744" s="6" t="str">
        <x:v>1</x:v>
      </x:c>
      <x:c r="H744" s="6" t="str">
        <x:v>0</x:v>
      </x:c>
      <x:c r="I744" s="6" t="str">
        <x:v>0</x:v>
      </x:c>
      <x:c r="J744" s="6" t="str">
        <x:v>0</x:v>
      </x:c>
      <x:c r="K744" s="6" t="str">
        <x:v>0</x:v>
      </x:c>
      <x:c r="L744" s="6" t="str">
        <x:v>0</x:v>
      </x:c>
      <x:c r="M744" s="6" t="str">
        <x:v>0</x:v>
      </x:c>
      <x:c r="N744" s="6" t="str">
        <x:v>0</x:v>
      </x:c>
      <x:c r="O744" s="6" t="str">
        <x:v>0</x:v>
      </x:c>
      <x:c r="P744" s="6" t="str">
        <x:v>1</x:v>
      </x:c>
      <x:c r="Q744" s="6" t="str"/>
      <x:c r="R744" s="6" t="str">
        <x:v>0</x:v>
      </x:c>
      <x:c r="S744" s="6" t="str"/>
      <x:c r="T744" s="6" t="str">
        <x:v>0</x:v>
      </x:c>
      <x:c r="U744" s="6" t="str"/>
      <x:c r="V744" s="6" t="str">
        <x:v>0</x:v>
      </x:c>
      <x:c r="W744" s="6" t="str">
        <x:v>0.0</x:v>
      </x:c>
      <x:c r="X744" s="6" t="str">
        <x:v>1</x:v>
      </x:c>
      <x:c r="Y744" s="6" t="str">
        <x:v>144.0</x:v>
      </x:c>
      <x:c r="Z744" s="6" t="str">
        <x:v>1</x:v>
      </x:c>
      <x:c r="AA744" s="6" t="str">
        <x:v>0.0</x:v>
      </x:c>
      <x:c r="AB744" s="6" t="str">
        <x:v>1</x:v>
      </x:c>
      <x:c r="AC744" s="6" t="str">
        <x:v>2025-11</x:v>
      </x:c>
      <x:c r="AD744" s="9" t="str">
        <x:v>BNPB operational disaster search table</x:v>
      </x:c>
      <x:c r="AE744" s="9" t="str">
        <x:v>https://gis.bnpb.go.id/databencana/tabel/pencarian.php</x:v>
      </x:c>
      <x:c r="AF744" s="9" t="str">
        <x:v>operational_snapshot_annual_totals_may_differ</x:v>
      </x:c>
    </x:row>
    <x:row r="745" ht="18" customHeight="1">
      <x:c r="A745" s="6" t="str">
        <x:v>81</x:v>
      </x:c>
      <x:c r="B745" s="6" t="str">
        <x:v>MALUKU</x:v>
      </x:c>
      <x:c r="C745" s="6" t="str">
        <x:v>2025</x:v>
      </x:c>
      <x:c r="D745" s="6" t="str">
        <x:v>12</x:v>
      </x:c>
      <x:c r="E745" s="6" t="str">
        <x:v>2</x:v>
      </x:c>
      <x:c r="F745" s="6" t="str">
        <x:v>2</x:v>
      </x:c>
      <x:c r="G745" s="6" t="str">
        <x:v>2</x:v>
      </x:c>
      <x:c r="H745" s="6" t="str">
        <x:v>0</x:v>
      </x:c>
      <x:c r="I745" s="6" t="str">
        <x:v>0</x:v>
      </x:c>
      <x:c r="J745" s="6" t="str">
        <x:v>0</x:v>
      </x:c>
      <x:c r="K745" s="6" t="str">
        <x:v>0</x:v>
      </x:c>
      <x:c r="L745" s="6" t="str">
        <x:v>0</x:v>
      </x:c>
      <x:c r="M745" s="6" t="str">
        <x:v>0</x:v>
      </x:c>
      <x:c r="N745" s="6" t="str">
        <x:v>0</x:v>
      </x:c>
      <x:c r="O745" s="6" t="str">
        <x:v>0</x:v>
      </x:c>
      <x:c r="P745" s="6" t="str">
        <x:v>2</x:v>
      </x:c>
      <x:c r="Q745" s="6" t="str"/>
      <x:c r="R745" s="6" t="str">
        <x:v>0</x:v>
      </x:c>
      <x:c r="S745" s="6" t="str"/>
      <x:c r="T745" s="6" t="str">
        <x:v>0</x:v>
      </x:c>
      <x:c r="U745" s="6" t="str"/>
      <x:c r="V745" s="6" t="str">
        <x:v>0</x:v>
      </x:c>
      <x:c r="W745" s="6" t="str">
        <x:v>0.0</x:v>
      </x:c>
      <x:c r="X745" s="6" t="str">
        <x:v>2</x:v>
      </x:c>
      <x:c r="Y745" s="6" t="str">
        <x:v>24.0</x:v>
      </x:c>
      <x:c r="Z745" s="6" t="str">
        <x:v>1</x:v>
      </x:c>
      <x:c r="AA745" s="6" t="str">
        <x:v>0.0</x:v>
      </x:c>
      <x:c r="AB745" s="6" t="str">
        <x:v>2</x:v>
      </x:c>
      <x:c r="AC745" s="6" t="str">
        <x:v>2025-12</x:v>
      </x:c>
      <x:c r="AD745" s="9" t="str">
        <x:v>BNPB operational disaster search table</x:v>
      </x:c>
      <x:c r="AE745" s="9" t="str">
        <x:v>https://gis.bnpb.go.id/databencana/tabel/pencarian.php</x:v>
      </x:c>
      <x:c r="AF745" s="9" t="str">
        <x:v>operational_snapshot_annual_totals_may_differ</x:v>
      </x:c>
    </x:row>
    <x:row r="746" ht="18" customHeight="1">
      <x:c r="A746" s="6" t="str">
        <x:v>82</x:v>
      </x:c>
      <x:c r="B746" s="6" t="str">
        <x:v>MALUKU UTARA</x:v>
      </x:c>
      <x:c r="C746" s="6" t="str">
        <x:v>2024</x:v>
      </x:c>
      <x:c r="D746" s="6" t="str">
        <x:v>1</x:v>
      </x:c>
      <x:c r="E746" s="6" t="str">
        <x:v>4</x:v>
      </x:c>
      <x:c r="F746" s="6" t="str">
        <x:v>4</x:v>
      </x:c>
      <x:c r="G746" s="6" t="str">
        <x:v>3</x:v>
      </x:c>
      <x:c r="H746" s="6" t="str">
        <x:v>0</x:v>
      </x:c>
      <x:c r="I746" s="6" t="str">
        <x:v>1</x:v>
      </x:c>
      <x:c r="J746" s="6" t="str">
        <x:v>0</x:v>
      </x:c>
      <x:c r="K746" s="6" t="str">
        <x:v>0</x:v>
      </x:c>
      <x:c r="L746" s="6" t="str">
        <x:v>0</x:v>
      </x:c>
      <x:c r="M746" s="6" t="str">
        <x:v>0</x:v>
      </x:c>
      <x:c r="N746" s="6" t="str">
        <x:v>0</x:v>
      </x:c>
      <x:c r="O746" s="6" t="str">
        <x:v>0</x:v>
      </x:c>
      <x:c r="P746" s="6" t="str">
        <x:v>4</x:v>
      </x:c>
      <x:c r="Q746" s="6" t="str">
        <x:v>1.0</x:v>
      </x:c>
      <x:c r="R746" s="6" t="str">
        <x:v>4</x:v>
      </x:c>
      <x:c r="S746" s="6" t="str">
        <x:v>0.0</x:v>
      </x:c>
      <x:c r="T746" s="6" t="str">
        <x:v>4</x:v>
      </x:c>
      <x:c r="U746" s="6" t="str">
        <x:v>2.0</x:v>
      </x:c>
      <x:c r="V746" s="6" t="str">
        <x:v>4</x:v>
      </x:c>
      <x:c r="W746" s="6" t="str">
        <x:v>14.0</x:v>
      </x:c>
      <x:c r="X746" s="6" t="str">
        <x:v>4</x:v>
      </x:c>
      <x:c r="Y746" s="6" t="str">
        <x:v>153.0</x:v>
      </x:c>
      <x:c r="Z746" s="6" t="str">
        <x:v>3</x:v>
      </x:c>
      <x:c r="AA746" s="6" t="str">
        <x:v>1.0</x:v>
      </x:c>
      <x:c r="AB746" s="6" t="str">
        <x:v>4</x:v>
      </x:c>
      <x:c r="AC746" s="6" t="str">
        <x:v>2024-01</x:v>
      </x:c>
      <x:c r="AD746" s="9" t="str">
        <x:v>BNPB operational disaster search table</x:v>
      </x:c>
      <x:c r="AE746" s="9" t="str">
        <x:v>https://gis.bnpb.go.id/databencana/tabel/pencarian.php</x:v>
      </x:c>
      <x:c r="AF746" s="9" t="str">
        <x:v>operational_snapshot_annual_totals_may_differ</x:v>
      </x:c>
    </x:row>
    <x:row r="747" ht="18" customHeight="1">
      <x:c r="A747" s="6" t="str">
        <x:v>82</x:v>
      </x:c>
      <x:c r="B747" s="6" t="str">
        <x:v>MALUKU UTARA</x:v>
      </x:c>
      <x:c r="C747" s="6" t="str">
        <x:v>2024</x:v>
      </x:c>
      <x:c r="D747" s="6" t="str">
        <x:v>2</x:v>
      </x:c>
      <x:c r="E747" s="6" t="str">
        <x:v>1</x:v>
      </x:c>
      <x:c r="F747" s="6" t="str">
        <x:v>1</x:v>
      </x:c>
      <x:c r="G747" s="6" t="str">
        <x:v>1</x:v>
      </x:c>
      <x:c r="H747" s="6" t="str">
        <x:v>0</x:v>
      </x:c>
      <x:c r="I747" s="6" t="str">
        <x:v>0</x:v>
      </x:c>
      <x:c r="J747" s="6" t="str">
        <x:v>0</x:v>
      </x:c>
      <x:c r="K747" s="6" t="str">
        <x:v>0</x:v>
      </x:c>
      <x:c r="L747" s="6" t="str">
        <x:v>0</x:v>
      </x:c>
      <x:c r="M747" s="6" t="str">
        <x:v>0</x:v>
      </x:c>
      <x:c r="N747" s="6" t="str">
        <x:v>0</x:v>
      </x:c>
      <x:c r="O747" s="6" t="str">
        <x:v>0</x:v>
      </x:c>
      <x:c r="P747" s="6" t="str">
        <x:v>1</x:v>
      </x:c>
      <x:c r="Q747" s="6" t="str">
        <x:v>0.0</x:v>
      </x:c>
      <x:c r="R747" s="6" t="str">
        <x:v>1</x:v>
      </x:c>
      <x:c r="S747" s="6" t="str">
        <x:v>0.0</x:v>
      </x:c>
      <x:c r="T747" s="6" t="str">
        <x:v>1</x:v>
      </x:c>
      <x:c r="U747" s="6" t="str">
        <x:v>0.0</x:v>
      </x:c>
      <x:c r="V747" s="6" t="str">
        <x:v>1</x:v>
      </x:c>
      <x:c r="W747" s="6" t="str">
        <x:v>0.0</x:v>
      </x:c>
      <x:c r="X747" s="6" t="str">
        <x:v>1</x:v>
      </x:c>
      <x:c r="Y747" s="6" t="str">
        <x:v>50.0</x:v>
      </x:c>
      <x:c r="Z747" s="6" t="str">
        <x:v>1</x:v>
      </x:c>
      <x:c r="AA747" s="6" t="str">
        <x:v>2.0</x:v>
      </x:c>
      <x:c r="AB747" s="6" t="str">
        <x:v>1</x:v>
      </x:c>
      <x:c r="AC747" s="6" t="str">
        <x:v>2024-02</x:v>
      </x:c>
      <x:c r="AD747" s="9" t="str">
        <x:v>BNPB operational disaster search table</x:v>
      </x:c>
      <x:c r="AE747" s="9" t="str">
        <x:v>https://gis.bnpb.go.id/databencana/tabel/pencarian.php</x:v>
      </x:c>
      <x:c r="AF747" s="9" t="str">
        <x:v>operational_snapshot_annual_totals_may_differ</x:v>
      </x:c>
    </x:row>
    <x:row r="748" ht="18" customHeight="1">
      <x:c r="A748" s="6" t="str">
        <x:v>82</x:v>
      </x:c>
      <x:c r="B748" s="6" t="str">
        <x:v>MALUKU UTARA</x:v>
      </x:c>
      <x:c r="C748" s="6" t="str">
        <x:v>2024</x:v>
      </x:c>
      <x:c r="D748" s="6" t="str">
        <x:v>3</x:v>
      </x:c>
      <x:c r="E748" s="6" t="str">
        <x:v>7</x:v>
      </x:c>
      <x:c r="F748" s="6" t="str">
        <x:v>7</x:v>
      </x:c>
      <x:c r="G748" s="6" t="str">
        <x:v>6</x:v>
      </x:c>
      <x:c r="H748" s="6" t="str">
        <x:v>0</x:v>
      </x:c>
      <x:c r="I748" s="6" t="str">
        <x:v>1</x:v>
      </x:c>
      <x:c r="J748" s="6" t="str">
        <x:v>0</x:v>
      </x:c>
      <x:c r="K748" s="6" t="str">
        <x:v>0</x:v>
      </x:c>
      <x:c r="L748" s="6" t="str">
        <x:v>0</x:v>
      </x:c>
      <x:c r="M748" s="6" t="str">
        <x:v>0</x:v>
      </x:c>
      <x:c r="N748" s="6" t="str">
        <x:v>0</x:v>
      </x:c>
      <x:c r="O748" s="6" t="str">
        <x:v>0</x:v>
      </x:c>
      <x:c r="P748" s="6" t="str">
        <x:v>7</x:v>
      </x:c>
      <x:c r="Q748" s="6" t="str">
        <x:v>0.0</x:v>
      </x:c>
      <x:c r="R748" s="6" t="str">
        <x:v>7</x:v>
      </x:c>
      <x:c r="S748" s="6" t="str">
        <x:v>0.0</x:v>
      </x:c>
      <x:c r="T748" s="6" t="str">
        <x:v>7</x:v>
      </x:c>
      <x:c r="U748" s="6" t="str">
        <x:v>0.0</x:v>
      </x:c>
      <x:c r="V748" s="6" t="str">
        <x:v>7</x:v>
      </x:c>
      <x:c r="W748" s="6" t="str">
        <x:v>10.0</x:v>
      </x:c>
      <x:c r="X748" s="6" t="str">
        <x:v>7</x:v>
      </x:c>
      <x:c r="Y748" s="6" t="str">
        <x:v>209.0</x:v>
      </x:c>
      <x:c r="Z748" s="6" t="str">
        <x:v>4</x:v>
      </x:c>
      <x:c r="AA748" s="6" t="str">
        <x:v>0.0</x:v>
      </x:c>
      <x:c r="AB748" s="6" t="str">
        <x:v>7</x:v>
      </x:c>
      <x:c r="AC748" s="6" t="str">
        <x:v>2024-03</x:v>
      </x:c>
      <x:c r="AD748" s="9" t="str">
        <x:v>BNPB operational disaster search table</x:v>
      </x:c>
      <x:c r="AE748" s="9" t="str">
        <x:v>https://gis.bnpb.go.id/databencana/tabel/pencarian.php</x:v>
      </x:c>
      <x:c r="AF748" s="9" t="str">
        <x:v>operational_snapshot_annual_totals_may_differ</x:v>
      </x:c>
    </x:row>
    <x:row r="749" ht="18" customHeight="1">
      <x:c r="A749" s="6" t="str">
        <x:v>82</x:v>
      </x:c>
      <x:c r="B749" s="6" t="str">
        <x:v>MALUKU UTARA</x:v>
      </x:c>
      <x:c r="C749" s="6" t="str">
        <x:v>2024</x:v>
      </x:c>
      <x:c r="D749" s="6" t="str">
        <x:v>4</x:v>
      </x:c>
      <x:c r="E749" s="6" t="str">
        <x:v>2</x:v>
      </x:c>
      <x:c r="F749" s="6" t="str">
        <x:v>2</x:v>
      </x:c>
      <x:c r="G749" s="6" t="str">
        <x:v>2</x:v>
      </x:c>
      <x:c r="H749" s="6" t="str">
        <x:v>0</x:v>
      </x:c>
      <x:c r="I749" s="6" t="str">
        <x:v>0</x:v>
      </x:c>
      <x:c r="J749" s="6" t="str">
        <x:v>0</x:v>
      </x:c>
      <x:c r="K749" s="6" t="str">
        <x:v>0</x:v>
      </x:c>
      <x:c r="L749" s="6" t="str">
        <x:v>0</x:v>
      </x:c>
      <x:c r="M749" s="6" t="str">
        <x:v>0</x:v>
      </x:c>
      <x:c r="N749" s="6" t="str">
        <x:v>0</x:v>
      </x:c>
      <x:c r="O749" s="6" t="str">
        <x:v>0</x:v>
      </x:c>
      <x:c r="P749" s="6" t="str">
        <x:v>2</x:v>
      </x:c>
      <x:c r="Q749" s="6" t="str">
        <x:v>0.0</x:v>
      </x:c>
      <x:c r="R749" s="6" t="str">
        <x:v>2</x:v>
      </x:c>
      <x:c r="S749" s="6" t="str">
        <x:v>0.0</x:v>
      </x:c>
      <x:c r="T749" s="6" t="str">
        <x:v>2</x:v>
      </x:c>
      <x:c r="U749" s="6" t="str">
        <x:v>0.0</x:v>
      </x:c>
      <x:c r="V749" s="6" t="str">
        <x:v>2</x:v>
      </x:c>
      <x:c r="W749" s="6" t="str">
        <x:v>0.0</x:v>
      </x:c>
      <x:c r="X749" s="6" t="str">
        <x:v>2</x:v>
      </x:c>
      <x:c r="Y749" s="6" t="str">
        <x:v>216.0</x:v>
      </x:c>
      <x:c r="Z749" s="6" t="str">
        <x:v>2</x:v>
      </x:c>
      <x:c r="AA749" s="6" t="str">
        <x:v>0.0</x:v>
      </x:c>
      <x:c r="AB749" s="6" t="str">
        <x:v>2</x:v>
      </x:c>
      <x:c r="AC749" s="6" t="str">
        <x:v>2024-04</x:v>
      </x:c>
      <x:c r="AD749" s="9" t="str">
        <x:v>BNPB operational disaster search table</x:v>
      </x:c>
      <x:c r="AE749" s="9" t="str">
        <x:v>https://gis.bnpb.go.id/databencana/tabel/pencarian.php</x:v>
      </x:c>
      <x:c r="AF749" s="9" t="str">
        <x:v>operational_snapshot_annual_totals_may_differ</x:v>
      </x:c>
    </x:row>
    <x:row r="750" ht="18" customHeight="1">
      <x:c r="A750" s="6" t="str">
        <x:v>82</x:v>
      </x:c>
      <x:c r="B750" s="6" t="str">
        <x:v>MALUKU UTARA</x:v>
      </x:c>
      <x:c r="C750" s="6" t="str">
        <x:v>2024</x:v>
      </x:c>
      <x:c r="D750" s="6" t="str">
        <x:v>5</x:v>
      </x:c>
      <x:c r="E750" s="6" t="str">
        <x:v>9</x:v>
      </x:c>
      <x:c r="F750" s="6" t="str">
        <x:v>9</x:v>
      </x:c>
      <x:c r="G750" s="6" t="str">
        <x:v>4</x:v>
      </x:c>
      <x:c r="H750" s="6" t="str">
        <x:v>1</x:v>
      </x:c>
      <x:c r="I750" s="6" t="str">
        <x:v>1</x:v>
      </x:c>
      <x:c r="J750" s="6" t="str">
        <x:v>0</x:v>
      </x:c>
      <x:c r="K750" s="6" t="str">
        <x:v>0</x:v>
      </x:c>
      <x:c r="L750" s="6" t="str">
        <x:v>1</x:v>
      </x:c>
      <x:c r="M750" s="6" t="str">
        <x:v>0</x:v>
      </x:c>
      <x:c r="N750" s="6" t="str">
        <x:v>2</x:v>
      </x:c>
      <x:c r="O750" s="6" t="str">
        <x:v>0</x:v>
      </x:c>
      <x:c r="P750" s="6" t="str">
        <x:v>7</x:v>
      </x:c>
      <x:c r="Q750" s="6" t="str">
        <x:v>1.0</x:v>
      </x:c>
      <x:c r="R750" s="6" t="str">
        <x:v>9</x:v>
      </x:c>
      <x:c r="S750" s="6" t="str">
        <x:v>0.0</x:v>
      </x:c>
      <x:c r="T750" s="6" t="str">
        <x:v>9</x:v>
      </x:c>
      <x:c r="U750" s="6" t="str">
        <x:v>0.0</x:v>
      </x:c>
      <x:c r="V750" s="6" t="str">
        <x:v>9</x:v>
      </x:c>
      <x:c r="W750" s="6" t="str">
        <x:v>31.0</x:v>
      </x:c>
      <x:c r="X750" s="6" t="str">
        <x:v>9</x:v>
      </x:c>
      <x:c r="Y750" s="6" t="str">
        <x:v>310.0</x:v>
      </x:c>
      <x:c r="Z750" s="6" t="str">
        <x:v>3</x:v>
      </x:c>
      <x:c r="AA750" s="6" t="str">
        <x:v>5.0</x:v>
      </x:c>
      <x:c r="AB750" s="6" t="str">
        <x:v>9</x:v>
      </x:c>
      <x:c r="AC750" s="6" t="str">
        <x:v>2024-05</x:v>
      </x:c>
      <x:c r="AD750" s="9" t="str">
        <x:v>BNPB operational disaster search table</x:v>
      </x:c>
      <x:c r="AE750" s="9" t="str">
        <x:v>https://gis.bnpb.go.id/databencana/tabel/pencarian.php</x:v>
      </x:c>
      <x:c r="AF750" s="9" t="str">
        <x:v>operational_snapshot_annual_totals_may_differ</x:v>
      </x:c>
    </x:row>
    <x:row r="751" ht="18" customHeight="1">
      <x:c r="A751" s="6" t="str">
        <x:v>82</x:v>
      </x:c>
      <x:c r="B751" s="6" t="str">
        <x:v>MALUKU UTARA</x:v>
      </x:c>
      <x:c r="C751" s="6" t="str">
        <x:v>2024</x:v>
      </x:c>
      <x:c r="D751" s="6" t="str">
        <x:v>6</x:v>
      </x:c>
      <x:c r="E751" s="6" t="str">
        <x:v>10</x:v>
      </x:c>
      <x:c r="F751" s="6" t="str">
        <x:v>10</x:v>
      </x:c>
      <x:c r="G751" s="6" t="str">
        <x:v>9</x:v>
      </x:c>
      <x:c r="H751" s="6" t="str">
        <x:v>0</x:v>
      </x:c>
      <x:c r="I751" s="6" t="str">
        <x:v>0</x:v>
      </x:c>
      <x:c r="J751" s="6" t="str">
        <x:v>0</x:v>
      </x:c>
      <x:c r="K751" s="6" t="str">
        <x:v>0</x:v>
      </x:c>
      <x:c r="L751" s="6" t="str">
        <x:v>1</x:v>
      </x:c>
      <x:c r="M751" s="6" t="str">
        <x:v>0</x:v>
      </x:c>
      <x:c r="N751" s="6" t="str">
        <x:v>0</x:v>
      </x:c>
      <x:c r="O751" s="6" t="str">
        <x:v>0</x:v>
      </x:c>
      <x:c r="P751" s="6" t="str">
        <x:v>10</x:v>
      </x:c>
      <x:c r="Q751" s="6" t="str">
        <x:v>0.0</x:v>
      </x:c>
      <x:c r="R751" s="6" t="str">
        <x:v>10</x:v>
      </x:c>
      <x:c r="S751" s="6" t="str">
        <x:v>0.0</x:v>
      </x:c>
      <x:c r="T751" s="6" t="str">
        <x:v>10</x:v>
      </x:c>
      <x:c r="U751" s="6" t="str">
        <x:v>0.0</x:v>
      </x:c>
      <x:c r="V751" s="6" t="str">
        <x:v>10</x:v>
      </x:c>
      <x:c r="W751" s="6" t="str">
        <x:v>107.0</x:v>
      </x:c>
      <x:c r="X751" s="6" t="str">
        <x:v>10</x:v>
      </x:c>
      <x:c r="Y751" s="6" t="str">
        <x:v>1586.0</x:v>
      </x:c>
      <x:c r="Z751" s="6" t="str">
        <x:v>9</x:v>
      </x:c>
      <x:c r="AA751" s="6" t="str">
        <x:v>0.0</x:v>
      </x:c>
      <x:c r="AB751" s="6" t="str">
        <x:v>10</x:v>
      </x:c>
      <x:c r="AC751" s="6" t="str">
        <x:v>2024-06</x:v>
      </x:c>
      <x:c r="AD751" s="9" t="str">
        <x:v>BNPB operational disaster search table</x:v>
      </x:c>
      <x:c r="AE751" s="9" t="str">
        <x:v>https://gis.bnpb.go.id/databencana/tabel/pencarian.php</x:v>
      </x:c>
      <x:c r="AF751" s="9" t="str">
        <x:v>operational_snapshot_annual_totals_may_differ</x:v>
      </x:c>
    </x:row>
    <x:row r="752" ht="18" customHeight="1">
      <x:c r="A752" s="6" t="str">
        <x:v>82</x:v>
      </x:c>
      <x:c r="B752" s="6" t="str">
        <x:v>MALUKU UTARA</x:v>
      </x:c>
      <x:c r="C752" s="6" t="str">
        <x:v>2024</x:v>
      </x:c>
      <x:c r="D752" s="6" t="str">
        <x:v>7</x:v>
      </x:c>
      <x:c r="E752" s="6" t="str">
        <x:v>4</x:v>
      </x:c>
      <x:c r="F752" s="6" t="str">
        <x:v>4</x:v>
      </x:c>
      <x:c r="G752" s="6" t="str">
        <x:v>4</x:v>
      </x:c>
      <x:c r="H752" s="6" t="str">
        <x:v>0</x:v>
      </x:c>
      <x:c r="I752" s="6" t="str">
        <x:v>0</x:v>
      </x:c>
      <x:c r="J752" s="6" t="str">
        <x:v>0</x:v>
      </x:c>
      <x:c r="K752" s="6" t="str">
        <x:v>0</x:v>
      </x:c>
      <x:c r="L752" s="6" t="str">
        <x:v>0</x:v>
      </x:c>
      <x:c r="M752" s="6" t="str">
        <x:v>0</x:v>
      </x:c>
      <x:c r="N752" s="6" t="str">
        <x:v>0</x:v>
      </x:c>
      <x:c r="O752" s="6" t="str">
        <x:v>0</x:v>
      </x:c>
      <x:c r="P752" s="6" t="str">
        <x:v>4</x:v>
      </x:c>
      <x:c r="Q752" s="6" t="str">
        <x:v>0.0</x:v>
      </x:c>
      <x:c r="R752" s="6" t="str">
        <x:v>4</x:v>
      </x:c>
      <x:c r="S752" s="6" t="str">
        <x:v>0.0</x:v>
      </x:c>
      <x:c r="T752" s="6" t="str">
        <x:v>4</x:v>
      </x:c>
      <x:c r="U752" s="6" t="str">
        <x:v>0.0</x:v>
      </x:c>
      <x:c r="V752" s="6" t="str">
        <x:v>4</x:v>
      </x:c>
      <x:c r="W752" s="6" t="str">
        <x:v>12.0</x:v>
      </x:c>
      <x:c r="X752" s="6" t="str">
        <x:v>4</x:v>
      </x:c>
      <x:c r="Y752" s="6" t="str">
        <x:v>1235.0</x:v>
      </x:c>
      <x:c r="Z752" s="6" t="str">
        <x:v>3</x:v>
      </x:c>
      <x:c r="AA752" s="6" t="str">
        <x:v>0.0</x:v>
      </x:c>
      <x:c r="AB752" s="6" t="str">
        <x:v>4</x:v>
      </x:c>
      <x:c r="AC752" s="6" t="str">
        <x:v>2024-07</x:v>
      </x:c>
      <x:c r="AD752" s="9" t="str">
        <x:v>BNPB operational disaster search table</x:v>
      </x:c>
      <x:c r="AE752" s="9" t="str">
        <x:v>https://gis.bnpb.go.id/databencana/tabel/pencarian.php</x:v>
      </x:c>
      <x:c r="AF752" s="9" t="str">
        <x:v>operational_snapshot_annual_totals_may_differ</x:v>
      </x:c>
    </x:row>
    <x:row r="753" ht="18" customHeight="1">
      <x:c r="A753" s="6" t="str">
        <x:v>82</x:v>
      </x:c>
      <x:c r="B753" s="6" t="str">
        <x:v>MALUKU UTARA</x:v>
      </x:c>
      <x:c r="C753" s="6" t="str">
        <x:v>2024</x:v>
      </x:c>
      <x:c r="D753" s="6" t="str">
        <x:v>8</x:v>
      </x:c>
      <x:c r="E753" s="6" t="str">
        <x:v>6</x:v>
      </x:c>
      <x:c r="F753" s="6" t="str">
        <x:v>6</x:v>
      </x:c>
      <x:c r="G753" s="6" t="str">
        <x:v>6</x:v>
      </x:c>
      <x:c r="H753" s="6" t="str">
        <x:v>0</x:v>
      </x:c>
      <x:c r="I753" s="6" t="str">
        <x:v>0</x:v>
      </x:c>
      <x:c r="J753" s="6" t="str">
        <x:v>0</x:v>
      </x:c>
      <x:c r="K753" s="6" t="str">
        <x:v>0</x:v>
      </x:c>
      <x:c r="L753" s="6" t="str">
        <x:v>0</x:v>
      </x:c>
      <x:c r="M753" s="6" t="str">
        <x:v>0</x:v>
      </x:c>
      <x:c r="N753" s="6" t="str">
        <x:v>0</x:v>
      </x:c>
      <x:c r="O753" s="6" t="str">
        <x:v>0</x:v>
      </x:c>
      <x:c r="P753" s="6" t="str">
        <x:v>6</x:v>
      </x:c>
      <x:c r="Q753" s="6" t="str">
        <x:v>19.0</x:v>
      </x:c>
      <x:c r="R753" s="6" t="str">
        <x:v>6</x:v>
      </x:c>
      <x:c r="S753" s="6" t="str">
        <x:v>1.0</x:v>
      </x:c>
      <x:c r="T753" s="6" t="str">
        <x:v>6</x:v>
      </x:c>
      <x:c r="U753" s="6" t="str">
        <x:v>15.0</x:v>
      </x:c>
      <x:c r="V753" s="6" t="str">
        <x:v>6</x:v>
      </x:c>
      <x:c r="W753" s="6" t="str">
        <x:v>40.0</x:v>
      </x:c>
      <x:c r="X753" s="6" t="str">
        <x:v>6</x:v>
      </x:c>
      <x:c r="Y753" s="6" t="str">
        <x:v>274.0</x:v>
      </x:c>
      <x:c r="Z753" s="6" t="str">
        <x:v>3</x:v>
      </x:c>
      <x:c r="AA753" s="6" t="str">
        <x:v>1.0</x:v>
      </x:c>
      <x:c r="AB753" s="6" t="str">
        <x:v>6</x:v>
      </x:c>
      <x:c r="AC753" s="6" t="str">
        <x:v>2024-08</x:v>
      </x:c>
      <x:c r="AD753" s="9" t="str">
        <x:v>BNPB operational disaster search table</x:v>
      </x:c>
      <x:c r="AE753" s="9" t="str">
        <x:v>https://gis.bnpb.go.id/databencana/tabel/pencarian.php</x:v>
      </x:c>
      <x:c r="AF753" s="9" t="str">
        <x:v>operational_snapshot_annual_totals_may_differ</x:v>
      </x:c>
    </x:row>
    <x:row r="754" ht="18" customHeight="1">
      <x:c r="A754" s="6" t="str">
        <x:v>82</x:v>
      </x:c>
      <x:c r="B754" s="6" t="str">
        <x:v>MALUKU UTARA</x:v>
      </x:c>
      <x:c r="C754" s="6" t="str">
        <x:v>2024</x:v>
      </x:c>
      <x:c r="D754" s="6" t="str">
        <x:v>9</x:v>
      </x:c>
      <x:c r="E754" s="6" t="str">
        <x:v>2</x:v>
      </x:c>
      <x:c r="F754" s="6" t="str">
        <x:v>2</x:v>
      </x:c>
      <x:c r="G754" s="6" t="str">
        <x:v>0</x:v>
      </x:c>
      <x:c r="H754" s="6" t="str">
        <x:v>0</x:v>
      </x:c>
      <x:c r="I754" s="6" t="str">
        <x:v>1</x:v>
      </x:c>
      <x:c r="J754" s="6" t="str">
        <x:v>0</x:v>
      </x:c>
      <x:c r="K754" s="6" t="str">
        <x:v>0</x:v>
      </x:c>
      <x:c r="L754" s="6" t="str">
        <x:v>0</x:v>
      </x:c>
      <x:c r="M754" s="6" t="str">
        <x:v>1</x:v>
      </x:c>
      <x:c r="N754" s="6" t="str">
        <x:v>0</x:v>
      </x:c>
      <x:c r="O754" s="6" t="str">
        <x:v>0</x:v>
      </x:c>
      <x:c r="P754" s="6" t="str">
        <x:v>1</x:v>
      </x:c>
      <x:c r="Q754" s="6" t="str">
        <x:v>0.0</x:v>
      </x:c>
      <x:c r="R754" s="6" t="str">
        <x:v>2</x:v>
      </x:c>
      <x:c r="S754" s="6" t="str">
        <x:v>0.0</x:v>
      </x:c>
      <x:c r="T754" s="6" t="str">
        <x:v>2</x:v>
      </x:c>
      <x:c r="U754" s="6" t="str">
        <x:v>0.0</x:v>
      </x:c>
      <x:c r="V754" s="6" t="str">
        <x:v>2</x:v>
      </x:c>
      <x:c r="W754" s="6" t="str">
        <x:v>68.0</x:v>
      </x:c>
      <x:c r="X754" s="6" t="str">
        <x:v>2</x:v>
      </x:c>
      <x:c r="Y754" s="6" t="str"/>
      <x:c r="Z754" s="6" t="str">
        <x:v>0</x:v>
      </x:c>
      <x:c r="AA754" s="6" t="str">
        <x:v>1.0</x:v>
      </x:c>
      <x:c r="AB754" s="6" t="str">
        <x:v>2</x:v>
      </x:c>
      <x:c r="AC754" s="6" t="str">
        <x:v>2024-09</x:v>
      </x:c>
      <x:c r="AD754" s="9" t="str">
        <x:v>BNPB operational disaster search table</x:v>
      </x:c>
      <x:c r="AE754" s="9" t="str">
        <x:v>https://gis.bnpb.go.id/databencana/tabel/pencarian.php</x:v>
      </x:c>
      <x:c r="AF754" s="9" t="str">
        <x:v>operational_snapshot_annual_totals_may_differ</x:v>
      </x:c>
    </x:row>
    <x:row r="755" ht="18" customHeight="1">
      <x:c r="A755" s="6" t="str">
        <x:v>82</x:v>
      </x:c>
      <x:c r="B755" s="6" t="str">
        <x:v>MALUKU UTARA</x:v>
      </x:c>
      <x:c r="C755" s="6" t="str">
        <x:v>2024</x:v>
      </x:c>
      <x:c r="D755" s="6" t="str">
        <x:v>10</x:v>
      </x:c>
      <x:c r="E755" s="6" t="str">
        <x:v>2</x:v>
      </x:c>
      <x:c r="F755" s="6" t="str">
        <x:v>2</x:v>
      </x:c>
      <x:c r="G755" s="6" t="str">
        <x:v>1</x:v>
      </x:c>
      <x:c r="H755" s="6" t="str">
        <x:v>0</x:v>
      </x:c>
      <x:c r="I755" s="6" t="str">
        <x:v>0</x:v>
      </x:c>
      <x:c r="J755" s="6" t="str">
        <x:v>0</x:v>
      </x:c>
      <x:c r="K755" s="6" t="str">
        <x:v>0</x:v>
      </x:c>
      <x:c r="L755" s="6" t="str">
        <x:v>1</x:v>
      </x:c>
      <x:c r="M755" s="6" t="str">
        <x:v>0</x:v>
      </x:c>
      <x:c r="N755" s="6" t="str">
        <x:v>0</x:v>
      </x:c>
      <x:c r="O755" s="6" t="str">
        <x:v>0</x:v>
      </x:c>
      <x:c r="P755" s="6" t="str">
        <x:v>2</x:v>
      </x:c>
      <x:c r="Q755" s="6" t="str">
        <x:v>0.0</x:v>
      </x:c>
      <x:c r="R755" s="6" t="str">
        <x:v>2</x:v>
      </x:c>
      <x:c r="S755" s="6" t="str">
        <x:v>0.0</x:v>
      </x:c>
      <x:c r="T755" s="6" t="str">
        <x:v>2</x:v>
      </x:c>
      <x:c r="U755" s="6" t="str">
        <x:v>0.0</x:v>
      </x:c>
      <x:c r="V755" s="6" t="str">
        <x:v>2</x:v>
      </x:c>
      <x:c r="W755" s="6" t="str">
        <x:v>0.0</x:v>
      </x:c>
      <x:c r="X755" s="6" t="str">
        <x:v>2</x:v>
      </x:c>
      <x:c r="Y755" s="6" t="str">
        <x:v>758.0</x:v>
      </x:c>
      <x:c r="Z755" s="6" t="str">
        <x:v>2</x:v>
      </x:c>
      <x:c r="AA755" s="6" t="str">
        <x:v>0.0</x:v>
      </x:c>
      <x:c r="AB755" s="6" t="str">
        <x:v>2</x:v>
      </x:c>
      <x:c r="AC755" s="6" t="str">
        <x:v>2024-10</x:v>
      </x:c>
      <x:c r="AD755" s="9" t="str">
        <x:v>BNPB operational disaster search table</x:v>
      </x:c>
      <x:c r="AE755" s="9" t="str">
        <x:v>https://gis.bnpb.go.id/databencana/tabel/pencarian.php</x:v>
      </x:c>
      <x:c r="AF755" s="9" t="str">
        <x:v>operational_snapshot_annual_totals_may_differ</x:v>
      </x:c>
    </x:row>
    <x:row r="756" ht="18" customHeight="1">
      <x:c r="A756" s="6" t="str">
        <x:v>82</x:v>
      </x:c>
      <x:c r="B756" s="6" t="str">
        <x:v>MALUKU UTARA</x:v>
      </x:c>
      <x:c r="C756" s="6" t="str">
        <x:v>2024</x:v>
      </x:c>
      <x:c r="D756" s="6" t="str">
        <x:v>11</x:v>
      </x:c>
      <x:c r="E756" s="6" t="str">
        <x:v>0</x:v>
      </x:c>
      <x:c r="F756" s="6" t="str">
        <x:v>0</x:v>
      </x:c>
      <x:c r="G756" s="6" t="str">
        <x:v>0</x:v>
      </x:c>
      <x:c r="H756" s="6" t="str">
        <x:v>0</x:v>
      </x:c>
      <x:c r="I756" s="6" t="str">
        <x:v>0</x:v>
      </x:c>
      <x:c r="J756" s="6" t="str">
        <x:v>0</x:v>
      </x:c>
      <x:c r="K756" s="6" t="str">
        <x:v>0</x:v>
      </x:c>
      <x:c r="L756" s="6" t="str">
        <x:v>0</x:v>
      </x:c>
      <x:c r="M756" s="6" t="str">
        <x:v>0</x:v>
      </x:c>
      <x:c r="N756" s="6" t="str">
        <x:v>0</x:v>
      </x:c>
      <x:c r="O756" s="6" t="str">
        <x:v>0</x:v>
      </x:c>
      <x:c r="P756" s="6" t="str">
        <x:v>0</x:v>
      </x:c>
      <x:c r="Q756" s="6" t="str"/>
      <x:c r="R756" s="6" t="str">
        <x:v>0</x:v>
      </x:c>
      <x:c r="S756" s="6" t="str"/>
      <x:c r="T756" s="6" t="str">
        <x:v>0</x:v>
      </x:c>
      <x:c r="U756" s="6" t="str"/>
      <x:c r="V756" s="6" t="str">
        <x:v>0</x:v>
      </x:c>
      <x:c r="W756" s="6" t="str"/>
      <x:c r="X756" s="6" t="str">
        <x:v>0</x:v>
      </x:c>
      <x:c r="Y756" s="6" t="str"/>
      <x:c r="Z756" s="6" t="str">
        <x:v>0</x:v>
      </x:c>
      <x:c r="AA756" s="6" t="str"/>
      <x:c r="AB756" s="6" t="str">
        <x:v>0</x:v>
      </x:c>
      <x:c r="AC756" s="6" t="str">
        <x:v>2024-11</x:v>
      </x:c>
      <x:c r="AD756" s="9" t="str">
        <x:v>BNPB operational disaster search table</x:v>
      </x:c>
      <x:c r="AE756" s="9" t="str">
        <x:v>https://gis.bnpb.go.id/databencana/tabel/pencarian.php</x:v>
      </x:c>
      <x:c r="AF756" s="9" t="str">
        <x:v>operational_snapshot_annual_totals_may_differ</x:v>
      </x:c>
    </x:row>
    <x:row r="757" ht="18" customHeight="1">
      <x:c r="A757" s="6" t="str">
        <x:v>82</x:v>
      </x:c>
      <x:c r="B757" s="6" t="str">
        <x:v>MALUKU UTARA</x:v>
      </x:c>
      <x:c r="C757" s="6" t="str">
        <x:v>2024</x:v>
      </x:c>
      <x:c r="D757" s="6" t="str">
        <x:v>12</x:v>
      </x:c>
      <x:c r="E757" s="6" t="str">
        <x:v>9</x:v>
      </x:c>
      <x:c r="F757" s="6" t="str">
        <x:v>9</x:v>
      </x:c>
      <x:c r="G757" s="6" t="str">
        <x:v>4</x:v>
      </x:c>
      <x:c r="H757" s="6" t="str">
        <x:v>3</x:v>
      </x:c>
      <x:c r="I757" s="6" t="str">
        <x:v>2</x:v>
      </x:c>
      <x:c r="J757" s="6" t="str">
        <x:v>0</x:v>
      </x:c>
      <x:c r="K757" s="6" t="str">
        <x:v>0</x:v>
      </x:c>
      <x:c r="L757" s="6" t="str">
        <x:v>0</x:v>
      </x:c>
      <x:c r="M757" s="6" t="str">
        <x:v>0</x:v>
      </x:c>
      <x:c r="N757" s="6" t="str">
        <x:v>0</x:v>
      </x:c>
      <x:c r="O757" s="6" t="str">
        <x:v>0</x:v>
      </x:c>
      <x:c r="P757" s="6" t="str">
        <x:v>9</x:v>
      </x:c>
      <x:c r="Q757" s="6" t="str">
        <x:v>1.0</x:v>
      </x:c>
      <x:c r="R757" s="6" t="str">
        <x:v>9</x:v>
      </x:c>
      <x:c r="S757" s="6" t="str">
        <x:v>0.0</x:v>
      </x:c>
      <x:c r="T757" s="6" t="str">
        <x:v>9</x:v>
      </x:c>
      <x:c r="U757" s="6" t="str">
        <x:v>8.0</x:v>
      </x:c>
      <x:c r="V757" s="6" t="str">
        <x:v>9</x:v>
      </x:c>
      <x:c r="W757" s="6" t="str">
        <x:v>34.0</x:v>
      </x:c>
      <x:c r="X757" s="6" t="str">
        <x:v>9</x:v>
      </x:c>
      <x:c r="Y757" s="6" t="str">
        <x:v>225.0</x:v>
      </x:c>
      <x:c r="Z757" s="6" t="str">
        <x:v>3</x:v>
      </x:c>
      <x:c r="AA757" s="6" t="str">
        <x:v>0.0</x:v>
      </x:c>
      <x:c r="AB757" s="6" t="str">
        <x:v>9</x:v>
      </x:c>
      <x:c r="AC757" s="6" t="str">
        <x:v>2024-12</x:v>
      </x:c>
      <x:c r="AD757" s="9" t="str">
        <x:v>BNPB operational disaster search table</x:v>
      </x:c>
      <x:c r="AE757" s="9" t="str">
        <x:v>https://gis.bnpb.go.id/databencana/tabel/pencarian.php</x:v>
      </x:c>
      <x:c r="AF757" s="9" t="str">
        <x:v>operational_snapshot_annual_totals_may_differ</x:v>
      </x:c>
    </x:row>
    <x:row r="758" ht="18" customHeight="1">
      <x:c r="A758" s="6" t="str">
        <x:v>82</x:v>
      </x:c>
      <x:c r="B758" s="6" t="str">
        <x:v>MALUKU UTARA</x:v>
      </x:c>
      <x:c r="C758" s="6" t="str">
        <x:v>2025</x:v>
      </x:c>
      <x:c r="D758" s="6" t="str">
        <x:v>1</x:v>
      </x:c>
      <x:c r="E758" s="6" t="str">
        <x:v>4</x:v>
      </x:c>
      <x:c r="F758" s="6" t="str">
        <x:v>4</x:v>
      </x:c>
      <x:c r="G758" s="6" t="str">
        <x:v>2</x:v>
      </x:c>
      <x:c r="H758" s="6" t="str">
        <x:v>0</x:v>
      </x:c>
      <x:c r="I758" s="6" t="str">
        <x:v>1</x:v>
      </x:c>
      <x:c r="J758" s="6" t="str">
        <x:v>0</x:v>
      </x:c>
      <x:c r="K758" s="6" t="str">
        <x:v>0</x:v>
      </x:c>
      <x:c r="L758" s="6" t="str">
        <x:v>0</x:v>
      </x:c>
      <x:c r="M758" s="6" t="str">
        <x:v>0</x:v>
      </x:c>
      <x:c r="N758" s="6" t="str">
        <x:v>1</x:v>
      </x:c>
      <x:c r="O758" s="6" t="str">
        <x:v>0</x:v>
      </x:c>
      <x:c r="P758" s="6" t="str">
        <x:v>3</x:v>
      </x:c>
      <x:c r="Q758" s="6" t="str">
        <x:v>0.0</x:v>
      </x:c>
      <x:c r="R758" s="6" t="str">
        <x:v>4</x:v>
      </x:c>
      <x:c r="S758" s="6" t="str">
        <x:v>0.0</x:v>
      </x:c>
      <x:c r="T758" s="6" t="str">
        <x:v>4</x:v>
      </x:c>
      <x:c r="U758" s="6" t="str">
        <x:v>0.0</x:v>
      </x:c>
      <x:c r="V758" s="6" t="str">
        <x:v>4</x:v>
      </x:c>
      <x:c r="W758" s="6" t="str">
        <x:v>13.0</x:v>
      </x:c>
      <x:c r="X758" s="6" t="str">
        <x:v>4</x:v>
      </x:c>
      <x:c r="Y758" s="6" t="str">
        <x:v>73.0</x:v>
      </x:c>
      <x:c r="Z758" s="6" t="str">
        <x:v>2</x:v>
      </x:c>
      <x:c r="AA758" s="6" t="str">
        <x:v>2.0</x:v>
      </x:c>
      <x:c r="AB758" s="6" t="str">
        <x:v>4</x:v>
      </x:c>
      <x:c r="AC758" s="6" t="str">
        <x:v>2025-01</x:v>
      </x:c>
      <x:c r="AD758" s="9" t="str">
        <x:v>BNPB operational disaster search table</x:v>
      </x:c>
      <x:c r="AE758" s="9" t="str">
        <x:v>https://gis.bnpb.go.id/databencana/tabel/pencarian.php</x:v>
      </x:c>
      <x:c r="AF758" s="9" t="str">
        <x:v>operational_snapshot_annual_totals_may_differ</x:v>
      </x:c>
    </x:row>
    <x:row r="759" ht="18" customHeight="1">
      <x:c r="A759" s="6" t="str">
        <x:v>82</x:v>
      </x:c>
      <x:c r="B759" s="6" t="str">
        <x:v>MALUKU UTARA</x:v>
      </x:c>
      <x:c r="C759" s="6" t="str">
        <x:v>2025</x:v>
      </x:c>
      <x:c r="D759" s="6" t="str">
        <x:v>2</x:v>
      </x:c>
      <x:c r="E759" s="6" t="str">
        <x:v>5</x:v>
      </x:c>
      <x:c r="F759" s="6" t="str">
        <x:v>5</x:v>
      </x:c>
      <x:c r="G759" s="6" t="str">
        <x:v>3</x:v>
      </x:c>
      <x:c r="H759" s="6" t="str">
        <x:v>0</x:v>
      </x:c>
      <x:c r="I759" s="6" t="str">
        <x:v>0</x:v>
      </x:c>
      <x:c r="J759" s="6" t="str">
        <x:v>0</x:v>
      </x:c>
      <x:c r="K759" s="6" t="str">
        <x:v>0</x:v>
      </x:c>
      <x:c r="L759" s="6" t="str">
        <x:v>2</x:v>
      </x:c>
      <x:c r="M759" s="6" t="str">
        <x:v>0</x:v>
      </x:c>
      <x:c r="N759" s="6" t="str">
        <x:v>0</x:v>
      </x:c>
      <x:c r="O759" s="6" t="str">
        <x:v>0</x:v>
      </x:c>
      <x:c r="P759" s="6" t="str">
        <x:v>5</x:v>
      </x:c>
      <x:c r="Q759" s="6" t="str">
        <x:v>0.0</x:v>
      </x:c>
      <x:c r="R759" s="6" t="str">
        <x:v>5</x:v>
      </x:c>
      <x:c r="S759" s="6" t="str">
        <x:v>0.0</x:v>
      </x:c>
      <x:c r="T759" s="6" t="str">
        <x:v>5</x:v>
      </x:c>
      <x:c r="U759" s="6" t="str">
        <x:v>0.0</x:v>
      </x:c>
      <x:c r="V759" s="6" t="str">
        <x:v>5</x:v>
      </x:c>
      <x:c r="W759" s="6" t="str">
        <x:v>0.0</x:v>
      </x:c>
      <x:c r="X759" s="6" t="str">
        <x:v>5</x:v>
      </x:c>
      <x:c r="Y759" s="6" t="str">
        <x:v>373.0</x:v>
      </x:c>
      <x:c r="Z759" s="6" t="str">
        <x:v>2</x:v>
      </x:c>
      <x:c r="AA759" s="6" t="str">
        <x:v>0.0</x:v>
      </x:c>
      <x:c r="AB759" s="6" t="str">
        <x:v>5</x:v>
      </x:c>
      <x:c r="AC759" s="6" t="str">
        <x:v>2025-02</x:v>
      </x:c>
      <x:c r="AD759" s="9" t="str">
        <x:v>BNPB operational disaster search table</x:v>
      </x:c>
      <x:c r="AE759" s="9" t="str">
        <x:v>https://gis.bnpb.go.id/databencana/tabel/pencarian.php</x:v>
      </x:c>
      <x:c r="AF759" s="9" t="str">
        <x:v>operational_snapshot_annual_totals_may_differ</x:v>
      </x:c>
    </x:row>
    <x:row r="760" ht="18" customHeight="1">
      <x:c r="A760" s="6" t="str">
        <x:v>82</x:v>
      </x:c>
      <x:c r="B760" s="6" t="str">
        <x:v>MALUKU UTARA</x:v>
      </x:c>
      <x:c r="C760" s="6" t="str">
        <x:v>2025</x:v>
      </x:c>
      <x:c r="D760" s="6" t="str">
        <x:v>3</x:v>
      </x:c>
      <x:c r="E760" s="6" t="str">
        <x:v>10</x:v>
      </x:c>
      <x:c r="F760" s="6" t="str">
        <x:v>10</x:v>
      </x:c>
      <x:c r="G760" s="6" t="str">
        <x:v>10</x:v>
      </x:c>
      <x:c r="H760" s="6" t="str">
        <x:v>0</x:v>
      </x:c>
      <x:c r="I760" s="6" t="str">
        <x:v>0</x:v>
      </x:c>
      <x:c r="J760" s="6" t="str">
        <x:v>0</x:v>
      </x:c>
      <x:c r="K760" s="6" t="str">
        <x:v>0</x:v>
      </x:c>
      <x:c r="L760" s="6" t="str">
        <x:v>0</x:v>
      </x:c>
      <x:c r="M760" s="6" t="str">
        <x:v>0</x:v>
      </x:c>
      <x:c r="N760" s="6" t="str">
        <x:v>0</x:v>
      </x:c>
      <x:c r="O760" s="6" t="str">
        <x:v>0</x:v>
      </x:c>
      <x:c r="P760" s="6" t="str">
        <x:v>10</x:v>
      </x:c>
      <x:c r="Q760" s="6" t="str">
        <x:v>0.0</x:v>
      </x:c>
      <x:c r="R760" s="6" t="str">
        <x:v>10</x:v>
      </x:c>
      <x:c r="S760" s="6" t="str">
        <x:v>0.0</x:v>
      </x:c>
      <x:c r="T760" s="6" t="str">
        <x:v>10</x:v>
      </x:c>
      <x:c r="U760" s="6" t="str">
        <x:v>1.0</x:v>
      </x:c>
      <x:c r="V760" s="6" t="str">
        <x:v>10</x:v>
      </x:c>
      <x:c r="W760" s="6" t="str">
        <x:v>54.0</x:v>
      </x:c>
      <x:c r="X760" s="6" t="str">
        <x:v>10</x:v>
      </x:c>
      <x:c r="Y760" s="6" t="str">
        <x:v>828.0</x:v>
      </x:c>
      <x:c r="Z760" s="6" t="str">
        <x:v>7</x:v>
      </x:c>
      <x:c r="AA760" s="6" t="str">
        <x:v>0.0</x:v>
      </x:c>
      <x:c r="AB760" s="6" t="str">
        <x:v>10</x:v>
      </x:c>
      <x:c r="AC760" s="6" t="str">
        <x:v>2025-03</x:v>
      </x:c>
      <x:c r="AD760" s="9" t="str">
        <x:v>BNPB operational disaster search table</x:v>
      </x:c>
      <x:c r="AE760" s="9" t="str">
        <x:v>https://gis.bnpb.go.id/databencana/tabel/pencarian.php</x:v>
      </x:c>
      <x:c r="AF760" s="9" t="str">
        <x:v>operational_snapshot_annual_totals_may_differ</x:v>
      </x:c>
    </x:row>
    <x:row r="761" ht="18" customHeight="1">
      <x:c r="A761" s="6" t="str">
        <x:v>82</x:v>
      </x:c>
      <x:c r="B761" s="6" t="str">
        <x:v>MALUKU UTARA</x:v>
      </x:c>
      <x:c r="C761" s="6" t="str">
        <x:v>2025</x:v>
      </x:c>
      <x:c r="D761" s="6" t="str">
        <x:v>4</x:v>
      </x:c>
      <x:c r="E761" s="6" t="str">
        <x:v>7</x:v>
      </x:c>
      <x:c r="F761" s="6" t="str">
        <x:v>7</x:v>
      </x:c>
      <x:c r="G761" s="6" t="str">
        <x:v>7</x:v>
      </x:c>
      <x:c r="H761" s="6" t="str">
        <x:v>0</x:v>
      </x:c>
      <x:c r="I761" s="6" t="str">
        <x:v>0</x:v>
      </x:c>
      <x:c r="J761" s="6" t="str">
        <x:v>0</x:v>
      </x:c>
      <x:c r="K761" s="6" t="str">
        <x:v>0</x:v>
      </x:c>
      <x:c r="L761" s="6" t="str">
        <x:v>0</x:v>
      </x:c>
      <x:c r="M761" s="6" t="str">
        <x:v>0</x:v>
      </x:c>
      <x:c r="N761" s="6" t="str">
        <x:v>0</x:v>
      </x:c>
      <x:c r="O761" s="6" t="str">
        <x:v>0</x:v>
      </x:c>
      <x:c r="P761" s="6" t="str">
        <x:v>7</x:v>
      </x:c>
      <x:c r="Q761" s="6" t="str">
        <x:v>2.0</x:v>
      </x:c>
      <x:c r="R761" s="6" t="str">
        <x:v>7</x:v>
      </x:c>
      <x:c r="S761" s="6" t="str">
        <x:v>1.0</x:v>
      </x:c>
      <x:c r="T761" s="6" t="str">
        <x:v>7</x:v>
      </x:c>
      <x:c r="U761" s="6" t="str">
        <x:v>0.0</x:v>
      </x:c>
      <x:c r="V761" s="6" t="str">
        <x:v>7</x:v>
      </x:c>
      <x:c r="W761" s="6" t="str">
        <x:v>0.0</x:v>
      </x:c>
      <x:c r="X761" s="6" t="str">
        <x:v>7</x:v>
      </x:c>
      <x:c r="Y761" s="6" t="str">
        <x:v>701.0</x:v>
      </x:c>
      <x:c r="Z761" s="6" t="str">
        <x:v>6</x:v>
      </x:c>
      <x:c r="AA761" s="6" t="str">
        <x:v>0.0</x:v>
      </x:c>
      <x:c r="AB761" s="6" t="str">
        <x:v>7</x:v>
      </x:c>
      <x:c r="AC761" s="6" t="str">
        <x:v>2025-04</x:v>
      </x:c>
      <x:c r="AD761" s="9" t="str">
        <x:v>BNPB operational disaster search table</x:v>
      </x:c>
      <x:c r="AE761" s="9" t="str">
        <x:v>https://gis.bnpb.go.id/databencana/tabel/pencarian.php</x:v>
      </x:c>
      <x:c r="AF761" s="9" t="str">
        <x:v>operational_snapshot_annual_totals_may_differ</x:v>
      </x:c>
    </x:row>
    <x:row r="762" ht="18" customHeight="1">
      <x:c r="A762" s="6" t="str">
        <x:v>82</x:v>
      </x:c>
      <x:c r="B762" s="6" t="str">
        <x:v>MALUKU UTARA</x:v>
      </x:c>
      <x:c r="C762" s="6" t="str">
        <x:v>2025</x:v>
      </x:c>
      <x:c r="D762" s="6" t="str">
        <x:v>5</x:v>
      </x:c>
      <x:c r="E762" s="6" t="str">
        <x:v>3</x:v>
      </x:c>
      <x:c r="F762" s="6" t="str">
        <x:v>3</x:v>
      </x:c>
      <x:c r="G762" s="6" t="str">
        <x:v>2</x:v>
      </x:c>
      <x:c r="H762" s="6" t="str">
        <x:v>0</x:v>
      </x:c>
      <x:c r="I762" s="6" t="str">
        <x:v>1</x:v>
      </x:c>
      <x:c r="J762" s="6" t="str">
        <x:v>0</x:v>
      </x:c>
      <x:c r="K762" s="6" t="str">
        <x:v>0</x:v>
      </x:c>
      <x:c r="L762" s="6" t="str">
        <x:v>0</x:v>
      </x:c>
      <x:c r="M762" s="6" t="str">
        <x:v>0</x:v>
      </x:c>
      <x:c r="N762" s="6" t="str">
        <x:v>0</x:v>
      </x:c>
      <x:c r="O762" s="6" t="str">
        <x:v>0</x:v>
      </x:c>
      <x:c r="P762" s="6" t="str">
        <x:v>3</x:v>
      </x:c>
      <x:c r="Q762" s="6" t="str">
        <x:v>0.0</x:v>
      </x:c>
      <x:c r="R762" s="6" t="str">
        <x:v>3</x:v>
      </x:c>
      <x:c r="S762" s="6" t="str">
        <x:v>0.0</x:v>
      </x:c>
      <x:c r="T762" s="6" t="str">
        <x:v>3</x:v>
      </x:c>
      <x:c r="U762" s="6" t="str">
        <x:v>0.0</x:v>
      </x:c>
      <x:c r="V762" s="6" t="str">
        <x:v>3</x:v>
      </x:c>
      <x:c r="W762" s="6" t="str">
        <x:v>16.0</x:v>
      </x:c>
      <x:c r="X762" s="6" t="str">
        <x:v>3</x:v>
      </x:c>
      <x:c r="Y762" s="6" t="str">
        <x:v>119.0</x:v>
      </x:c>
      <x:c r="Z762" s="6" t="str">
        <x:v>2</x:v>
      </x:c>
      <x:c r="AA762" s="6" t="str">
        <x:v>2.0</x:v>
      </x:c>
      <x:c r="AB762" s="6" t="str">
        <x:v>3</x:v>
      </x:c>
      <x:c r="AC762" s="6" t="str">
        <x:v>2025-05</x:v>
      </x:c>
      <x:c r="AD762" s="9" t="str">
        <x:v>BNPB operational disaster search table</x:v>
      </x:c>
      <x:c r="AE762" s="9" t="str">
        <x:v>https://gis.bnpb.go.id/databencana/tabel/pencarian.php</x:v>
      </x:c>
      <x:c r="AF762" s="9" t="str">
        <x:v>operational_snapshot_annual_totals_may_differ</x:v>
      </x:c>
    </x:row>
    <x:row r="763" ht="18" customHeight="1">
      <x:c r="A763" s="6" t="str">
        <x:v>82</x:v>
      </x:c>
      <x:c r="B763" s="6" t="str">
        <x:v>MALUKU UTARA</x:v>
      </x:c>
      <x:c r="C763" s="6" t="str">
        <x:v>2025</x:v>
      </x:c>
      <x:c r="D763" s="6" t="str">
        <x:v>6</x:v>
      </x:c>
      <x:c r="E763" s="6" t="str">
        <x:v>7</x:v>
      </x:c>
      <x:c r="F763" s="6" t="str">
        <x:v>7</x:v>
      </x:c>
      <x:c r="G763" s="6" t="str">
        <x:v>4</x:v>
      </x:c>
      <x:c r="H763" s="6" t="str">
        <x:v>1</x:v>
      </x:c>
      <x:c r="I763" s="6" t="str">
        <x:v>2</x:v>
      </x:c>
      <x:c r="J763" s="6" t="str">
        <x:v>0</x:v>
      </x:c>
      <x:c r="K763" s="6" t="str">
        <x:v>0</x:v>
      </x:c>
      <x:c r="L763" s="6" t="str">
        <x:v>0</x:v>
      </x:c>
      <x:c r="M763" s="6" t="str">
        <x:v>0</x:v>
      </x:c>
      <x:c r="N763" s="6" t="str">
        <x:v>0</x:v>
      </x:c>
      <x:c r="O763" s="6" t="str">
        <x:v>0</x:v>
      </x:c>
      <x:c r="P763" s="6" t="str">
        <x:v>7</x:v>
      </x:c>
      <x:c r="Q763" s="6" t="str">
        <x:v>2.0</x:v>
      </x:c>
      <x:c r="R763" s="6" t="str">
        <x:v>2</x:v>
      </x:c>
      <x:c r="S763" s="6" t="str"/>
      <x:c r="T763" s="6" t="str">
        <x:v>0</x:v>
      </x:c>
      <x:c r="U763" s="6" t="str">
        <x:v>1.0</x:v>
      </x:c>
      <x:c r="V763" s="6" t="str">
        <x:v>1</x:v>
      </x:c>
      <x:c r="W763" s="6" t="str">
        <x:v>45.0</x:v>
      </x:c>
      <x:c r="X763" s="6" t="str">
        <x:v>7</x:v>
      </x:c>
      <x:c r="Y763" s="6" t="str">
        <x:v>2266.0</x:v>
      </x:c>
      <x:c r="Z763" s="6" t="str">
        <x:v>3</x:v>
      </x:c>
      <x:c r="AA763" s="6" t="str">
        <x:v>11.0</x:v>
      </x:c>
      <x:c r="AB763" s="6" t="str">
        <x:v>7</x:v>
      </x:c>
      <x:c r="AC763" s="6" t="str">
        <x:v>2025-06</x:v>
      </x:c>
      <x:c r="AD763" s="9" t="str">
        <x:v>BNPB operational disaster search table</x:v>
      </x:c>
      <x:c r="AE763" s="9" t="str">
        <x:v>https://gis.bnpb.go.id/databencana/tabel/pencarian.php</x:v>
      </x:c>
      <x:c r="AF763" s="9" t="str">
        <x:v>operational_snapshot_annual_totals_may_differ</x:v>
      </x:c>
    </x:row>
    <x:row r="764" ht="18" customHeight="1">
      <x:c r="A764" s="6" t="str">
        <x:v>82</x:v>
      </x:c>
      <x:c r="B764" s="6" t="str">
        <x:v>MALUKU UTARA</x:v>
      </x:c>
      <x:c r="C764" s="6" t="str">
        <x:v>2025</x:v>
      </x:c>
      <x:c r="D764" s="6" t="str">
        <x:v>7</x:v>
      </x:c>
      <x:c r="E764" s="6" t="str">
        <x:v>1</x:v>
      </x:c>
      <x:c r="F764" s="6" t="str">
        <x:v>1</x:v>
      </x:c>
      <x:c r="G764" s="6" t="str">
        <x:v>1</x:v>
      </x:c>
      <x:c r="H764" s="6" t="str">
        <x:v>0</x:v>
      </x:c>
      <x:c r="I764" s="6" t="str">
        <x:v>0</x:v>
      </x:c>
      <x:c r="J764" s="6" t="str">
        <x:v>0</x:v>
      </x:c>
      <x:c r="K764" s="6" t="str">
        <x:v>0</x:v>
      </x:c>
      <x:c r="L764" s="6" t="str">
        <x:v>0</x:v>
      </x:c>
      <x:c r="M764" s="6" t="str">
        <x:v>0</x:v>
      </x:c>
      <x:c r="N764" s="6" t="str">
        <x:v>0</x:v>
      </x:c>
      <x:c r="O764" s="6" t="str">
        <x:v>0</x:v>
      </x:c>
      <x:c r="P764" s="6" t="str">
        <x:v>1</x:v>
      </x:c>
      <x:c r="Q764" s="6" t="str">
        <x:v>2.0</x:v>
      </x:c>
      <x:c r="R764" s="6" t="str">
        <x:v>1</x:v>
      </x:c>
      <x:c r="S764" s="6" t="str"/>
      <x:c r="T764" s="6" t="str">
        <x:v>0</x:v>
      </x:c>
      <x:c r="U764" s="6" t="str"/>
      <x:c r="V764" s="6" t="str">
        <x:v>0</x:v>
      </x:c>
      <x:c r="W764" s="6" t="str">
        <x:v>1.0</x:v>
      </x:c>
      <x:c r="X764" s="6" t="str">
        <x:v>1</x:v>
      </x:c>
      <x:c r="Y764" s="6" t="str">
        <x:v>136.0</x:v>
      </x:c>
      <x:c r="Z764" s="6" t="str">
        <x:v>1</x:v>
      </x:c>
      <x:c r="AA764" s="6" t="str">
        <x:v>0.0</x:v>
      </x:c>
      <x:c r="AB764" s="6" t="str">
        <x:v>1</x:v>
      </x:c>
      <x:c r="AC764" s="6" t="str">
        <x:v>2025-07</x:v>
      </x:c>
      <x:c r="AD764" s="9" t="str">
        <x:v>BNPB operational disaster search table</x:v>
      </x:c>
      <x:c r="AE764" s="9" t="str">
        <x:v>https://gis.bnpb.go.id/databencana/tabel/pencarian.php</x:v>
      </x:c>
      <x:c r="AF764" s="9" t="str">
        <x:v>operational_snapshot_annual_totals_may_differ</x:v>
      </x:c>
    </x:row>
    <x:row r="765" ht="18" customHeight="1">
      <x:c r="A765" s="6" t="str">
        <x:v>82</x:v>
      </x:c>
      <x:c r="B765" s="6" t="str">
        <x:v>MALUKU UTARA</x:v>
      </x:c>
      <x:c r="C765" s="6" t="str">
        <x:v>2025</x:v>
      </x:c>
      <x:c r="D765" s="6" t="str">
        <x:v>8</x:v>
      </x:c>
      <x:c r="E765" s="6" t="str">
        <x:v>5</x:v>
      </x:c>
      <x:c r="F765" s="6" t="str">
        <x:v>5</x:v>
      </x:c>
      <x:c r="G765" s="6" t="str">
        <x:v>5</x:v>
      </x:c>
      <x:c r="H765" s="6" t="str">
        <x:v>0</x:v>
      </x:c>
      <x:c r="I765" s="6" t="str">
        <x:v>0</x:v>
      </x:c>
      <x:c r="J765" s="6" t="str">
        <x:v>0</x:v>
      </x:c>
      <x:c r="K765" s="6" t="str">
        <x:v>0</x:v>
      </x:c>
      <x:c r="L765" s="6" t="str">
        <x:v>0</x:v>
      </x:c>
      <x:c r="M765" s="6" t="str">
        <x:v>0</x:v>
      </x:c>
      <x:c r="N765" s="6" t="str">
        <x:v>0</x:v>
      </x:c>
      <x:c r="O765" s="6" t="str">
        <x:v>0</x:v>
      </x:c>
      <x:c r="P765" s="6" t="str">
        <x:v>5</x:v>
      </x:c>
      <x:c r="Q765" s="6" t="str">
        <x:v>1.0</x:v>
      </x:c>
      <x:c r="R765" s="6" t="str">
        <x:v>1</x:v>
      </x:c>
      <x:c r="S765" s="6" t="str"/>
      <x:c r="T765" s="6" t="str">
        <x:v>0</x:v>
      </x:c>
      <x:c r="U765" s="6" t="str"/>
      <x:c r="V765" s="6" t="str">
        <x:v>0</x:v>
      </x:c>
      <x:c r="W765" s="6" t="str">
        <x:v>0.0</x:v>
      </x:c>
      <x:c r="X765" s="6" t="str">
        <x:v>5</x:v>
      </x:c>
      <x:c r="Y765" s="6" t="str">
        <x:v>291.0</x:v>
      </x:c>
      <x:c r="Z765" s="6" t="str">
        <x:v>5</x:v>
      </x:c>
      <x:c r="AA765" s="6" t="str">
        <x:v>1.0</x:v>
      </x:c>
      <x:c r="AB765" s="6" t="str">
        <x:v>5</x:v>
      </x:c>
      <x:c r="AC765" s="6" t="str">
        <x:v>2025-08</x:v>
      </x:c>
      <x:c r="AD765" s="9" t="str">
        <x:v>BNPB operational disaster search table</x:v>
      </x:c>
      <x:c r="AE765" s="9" t="str">
        <x:v>https://gis.bnpb.go.id/databencana/tabel/pencarian.php</x:v>
      </x:c>
      <x:c r="AF765" s="9" t="str">
        <x:v>operational_snapshot_annual_totals_may_differ</x:v>
      </x:c>
    </x:row>
    <x:row r="766" ht="18" customHeight="1">
      <x:c r="A766" s="6" t="str">
        <x:v>82</x:v>
      </x:c>
      <x:c r="B766" s="6" t="str">
        <x:v>MALUKU UTARA</x:v>
      </x:c>
      <x:c r="C766" s="6" t="str">
        <x:v>2025</x:v>
      </x:c>
      <x:c r="D766" s="6" t="str">
        <x:v>9</x:v>
      </x:c>
      <x:c r="E766" s="6" t="str">
        <x:v>4</x:v>
      </x:c>
      <x:c r="F766" s="6" t="str">
        <x:v>4</x:v>
      </x:c>
      <x:c r="G766" s="6" t="str">
        <x:v>4</x:v>
      </x:c>
      <x:c r="H766" s="6" t="str">
        <x:v>0</x:v>
      </x:c>
      <x:c r="I766" s="6" t="str">
        <x:v>0</x:v>
      </x:c>
      <x:c r="J766" s="6" t="str">
        <x:v>0</x:v>
      </x:c>
      <x:c r="K766" s="6" t="str">
        <x:v>0</x:v>
      </x:c>
      <x:c r="L766" s="6" t="str">
        <x:v>0</x:v>
      </x:c>
      <x:c r="M766" s="6" t="str">
        <x:v>0</x:v>
      </x:c>
      <x:c r="N766" s="6" t="str">
        <x:v>0</x:v>
      </x:c>
      <x:c r="O766" s="6" t="str">
        <x:v>0</x:v>
      </x:c>
      <x:c r="P766" s="6" t="str">
        <x:v>4</x:v>
      </x:c>
      <x:c r="Q766" s="6" t="str"/>
      <x:c r="R766" s="6" t="str">
        <x:v>0</x:v>
      </x:c>
      <x:c r="S766" s="6" t="str"/>
      <x:c r="T766" s="6" t="str">
        <x:v>0</x:v>
      </x:c>
      <x:c r="U766" s="6" t="str"/>
      <x:c r="V766" s="6" t="str">
        <x:v>0</x:v>
      </x:c>
      <x:c r="W766" s="6" t="str">
        <x:v>0.0</x:v>
      </x:c>
      <x:c r="X766" s="6" t="str">
        <x:v>4</x:v>
      </x:c>
      <x:c r="Y766" s="6" t="str">
        <x:v>459.0</x:v>
      </x:c>
      <x:c r="Z766" s="6" t="str">
        <x:v>4</x:v>
      </x:c>
      <x:c r="AA766" s="6" t="str">
        <x:v>2.0</x:v>
      </x:c>
      <x:c r="AB766" s="6" t="str">
        <x:v>4</x:v>
      </x:c>
      <x:c r="AC766" s="6" t="str">
        <x:v>2025-09</x:v>
      </x:c>
      <x:c r="AD766" s="9" t="str">
        <x:v>BNPB operational disaster search table</x:v>
      </x:c>
      <x:c r="AE766" s="9" t="str">
        <x:v>https://gis.bnpb.go.id/databencana/tabel/pencarian.php</x:v>
      </x:c>
      <x:c r="AF766" s="9" t="str">
        <x:v>operational_snapshot_annual_totals_may_differ</x:v>
      </x:c>
    </x:row>
    <x:row r="767" ht="18" customHeight="1">
      <x:c r="A767" s="6" t="str">
        <x:v>82</x:v>
      </x:c>
      <x:c r="B767" s="6" t="str">
        <x:v>MALUKU UTARA</x:v>
      </x:c>
      <x:c r="C767" s="6" t="str">
        <x:v>2025</x:v>
      </x:c>
      <x:c r="D767" s="6" t="str">
        <x:v>10</x:v>
      </x:c>
      <x:c r="E767" s="6" t="str">
        <x:v>5</x:v>
      </x:c>
      <x:c r="F767" s="6" t="str">
        <x:v>5</x:v>
      </x:c>
      <x:c r="G767" s="6" t="str">
        <x:v>4</x:v>
      </x:c>
      <x:c r="H767" s="6" t="str">
        <x:v>0</x:v>
      </x:c>
      <x:c r="I767" s="6" t="str">
        <x:v>1</x:v>
      </x:c>
      <x:c r="J767" s="6" t="str">
        <x:v>0</x:v>
      </x:c>
      <x:c r="K767" s="6" t="str">
        <x:v>0</x:v>
      </x:c>
      <x:c r="L767" s="6" t="str">
        <x:v>0</x:v>
      </x:c>
      <x:c r="M767" s="6" t="str">
        <x:v>0</x:v>
      </x:c>
      <x:c r="N767" s="6" t="str">
        <x:v>0</x:v>
      </x:c>
      <x:c r="O767" s="6" t="str">
        <x:v>0</x:v>
      </x:c>
      <x:c r="P767" s="6" t="str">
        <x:v>5</x:v>
      </x:c>
      <x:c r="Q767" s="6" t="str"/>
      <x:c r="R767" s="6" t="str">
        <x:v>0</x:v>
      </x:c>
      <x:c r="S767" s="6" t="str"/>
      <x:c r="T767" s="6" t="str">
        <x:v>0</x:v>
      </x:c>
      <x:c r="U767" s="6" t="str"/>
      <x:c r="V767" s="6" t="str">
        <x:v>0</x:v>
      </x:c>
      <x:c r="W767" s="6" t="str">
        <x:v>17.0</x:v>
      </x:c>
      <x:c r="X767" s="6" t="str">
        <x:v>5</x:v>
      </x:c>
      <x:c r="Y767" s="6" t="str">
        <x:v>159.0</x:v>
      </x:c>
      <x:c r="Z767" s="6" t="str">
        <x:v>4</x:v>
      </x:c>
      <x:c r="AA767" s="6" t="str">
        <x:v>0.0</x:v>
      </x:c>
      <x:c r="AB767" s="6" t="str">
        <x:v>5</x:v>
      </x:c>
      <x:c r="AC767" s="6" t="str">
        <x:v>2025-10</x:v>
      </x:c>
      <x:c r="AD767" s="9" t="str">
        <x:v>BNPB operational disaster search table</x:v>
      </x:c>
      <x:c r="AE767" s="9" t="str">
        <x:v>https://gis.bnpb.go.id/databencana/tabel/pencarian.php</x:v>
      </x:c>
      <x:c r="AF767" s="9" t="str">
        <x:v>operational_snapshot_annual_totals_may_differ</x:v>
      </x:c>
    </x:row>
    <x:row r="768" ht="18" customHeight="1">
      <x:c r="A768" s="6" t="str">
        <x:v>82</x:v>
      </x:c>
      <x:c r="B768" s="6" t="str">
        <x:v>MALUKU UTARA</x:v>
      </x:c>
      <x:c r="C768" s="6" t="str">
        <x:v>2025</x:v>
      </x:c>
      <x:c r="D768" s="6" t="str">
        <x:v>11</x:v>
      </x:c>
      <x:c r="E768" s="6" t="str">
        <x:v>3</x:v>
      </x:c>
      <x:c r="F768" s="6" t="str">
        <x:v>3</x:v>
      </x:c>
      <x:c r="G768" s="6" t="str">
        <x:v>1</x:v>
      </x:c>
      <x:c r="H768" s="6" t="str">
        <x:v>0</x:v>
      </x:c>
      <x:c r="I768" s="6" t="str">
        <x:v>2</x:v>
      </x:c>
      <x:c r="J768" s="6" t="str">
        <x:v>0</x:v>
      </x:c>
      <x:c r="K768" s="6" t="str">
        <x:v>0</x:v>
      </x:c>
      <x:c r="L768" s="6" t="str">
        <x:v>0</x:v>
      </x:c>
      <x:c r="M768" s="6" t="str">
        <x:v>0</x:v>
      </x:c>
      <x:c r="N768" s="6" t="str">
        <x:v>0</x:v>
      </x:c>
      <x:c r="O768" s="6" t="str">
        <x:v>0</x:v>
      </x:c>
      <x:c r="P768" s="6" t="str">
        <x:v>3</x:v>
      </x:c>
      <x:c r="Q768" s="6" t="str"/>
      <x:c r="R768" s="6" t="str">
        <x:v>0</x:v>
      </x:c>
      <x:c r="S768" s="6" t="str"/>
      <x:c r="T768" s="6" t="str">
        <x:v>0</x:v>
      </x:c>
      <x:c r="U768" s="6" t="str"/>
      <x:c r="V768" s="6" t="str">
        <x:v>0</x:v>
      </x:c>
      <x:c r="W768" s="6" t="str">
        <x:v>95.0</x:v>
      </x:c>
      <x:c r="X768" s="6" t="str">
        <x:v>3</x:v>
      </x:c>
      <x:c r="Y768" s="6" t="str">
        <x:v>12.0</x:v>
      </x:c>
      <x:c r="Z768" s="6" t="str">
        <x:v>1</x:v>
      </x:c>
      <x:c r="AA768" s="6" t="str">
        <x:v>1.0</x:v>
      </x:c>
      <x:c r="AB768" s="6" t="str">
        <x:v>3</x:v>
      </x:c>
      <x:c r="AC768" s="6" t="str">
        <x:v>2025-11</x:v>
      </x:c>
      <x:c r="AD768" s="9" t="str">
        <x:v>BNPB operational disaster search table</x:v>
      </x:c>
      <x:c r="AE768" s="9" t="str">
        <x:v>https://gis.bnpb.go.id/databencana/tabel/pencarian.php</x:v>
      </x:c>
      <x:c r="AF768" s="9" t="str">
        <x:v>operational_snapshot_annual_totals_may_differ</x:v>
      </x:c>
    </x:row>
    <x:row r="769" ht="18" customHeight="1">
      <x:c r="A769" s="6" t="str">
        <x:v>82</x:v>
      </x:c>
      <x:c r="B769" s="6" t="str">
        <x:v>MALUKU UTARA</x:v>
      </x:c>
      <x:c r="C769" s="6" t="str">
        <x:v>2025</x:v>
      </x:c>
      <x:c r="D769" s="6" t="str">
        <x:v>12</x:v>
      </x:c>
      <x:c r="E769" s="6" t="str">
        <x:v>2</x:v>
      </x:c>
      <x:c r="F769" s="6" t="str">
        <x:v>2</x:v>
      </x:c>
      <x:c r="G769" s="6" t="str">
        <x:v>2</x:v>
      </x:c>
      <x:c r="H769" s="6" t="str">
        <x:v>0</x:v>
      </x:c>
      <x:c r="I769" s="6" t="str">
        <x:v>0</x:v>
      </x:c>
      <x:c r="J769" s="6" t="str">
        <x:v>0</x:v>
      </x:c>
      <x:c r="K769" s="6" t="str">
        <x:v>0</x:v>
      </x:c>
      <x:c r="L769" s="6" t="str">
        <x:v>0</x:v>
      </x:c>
      <x:c r="M769" s="6" t="str">
        <x:v>0</x:v>
      </x:c>
      <x:c r="N769" s="6" t="str">
        <x:v>0</x:v>
      </x:c>
      <x:c r="O769" s="6" t="str">
        <x:v>0</x:v>
      </x:c>
      <x:c r="P769" s="6" t="str">
        <x:v>2</x:v>
      </x:c>
      <x:c r="Q769" s="6" t="str"/>
      <x:c r="R769" s="6" t="str">
        <x:v>0</x:v>
      </x:c>
      <x:c r="S769" s="6" t="str">
        <x:v>2.0</x:v>
      </x:c>
      <x:c r="T769" s="6" t="str">
        <x:v>1</x:v>
      </x:c>
      <x:c r="U769" s="6" t="str"/>
      <x:c r="V769" s="6" t="str">
        <x:v>0</x:v>
      </x:c>
      <x:c r="W769" s="6" t="str">
        <x:v>0.0</x:v>
      </x:c>
      <x:c r="X769" s="6" t="str">
        <x:v>2</x:v>
      </x:c>
      <x:c r="Y769" s="6" t="str">
        <x:v>201.0</x:v>
      </x:c>
      <x:c r="Z769" s="6" t="str">
        <x:v>1</x:v>
      </x:c>
      <x:c r="AA769" s="6" t="str">
        <x:v>1.0</x:v>
      </x:c>
      <x:c r="AB769" s="6" t="str">
        <x:v>2</x:v>
      </x:c>
      <x:c r="AC769" s="6" t="str">
        <x:v>2025-12</x:v>
      </x:c>
      <x:c r="AD769" s="9" t="str">
        <x:v>BNPB operational disaster search table</x:v>
      </x:c>
      <x:c r="AE769" s="9" t="str">
        <x:v>https://gis.bnpb.go.id/databencana/tabel/pencarian.php</x:v>
      </x:c>
      <x:c r="AF769" s="9" t="str">
        <x:v>operational_snapshot_annual_totals_may_differ</x:v>
      </x:c>
    </x:row>
    <x:row r="770" ht="18" customHeight="1">
      <x:c r="A770" s="6" t="str">
        <x:v>91</x:v>
      </x:c>
      <x:c r="B770" s="6" t="str">
        <x:v>PAPUA BARAT</x:v>
      </x:c>
      <x:c r="C770" s="6" t="str">
        <x:v>2024</x:v>
      </x:c>
      <x:c r="D770" s="6" t="str">
        <x:v>1</x:v>
      </x:c>
      <x:c r="E770" s="6" t="str">
        <x:v>4</x:v>
      </x:c>
      <x:c r="F770" s="6" t="str">
        <x:v>4</x:v>
      </x:c>
      <x:c r="G770" s="6" t="str">
        <x:v>3</x:v>
      </x:c>
      <x:c r="H770" s="6" t="str">
        <x:v>0</x:v>
      </x:c>
      <x:c r="I770" s="6" t="str">
        <x:v>0</x:v>
      </x:c>
      <x:c r="J770" s="6" t="str">
        <x:v>0</x:v>
      </x:c>
      <x:c r="K770" s="6" t="str">
        <x:v>0</x:v>
      </x:c>
      <x:c r="L770" s="6" t="str">
        <x:v>1</x:v>
      </x:c>
      <x:c r="M770" s="6" t="str">
        <x:v>0</x:v>
      </x:c>
      <x:c r="N770" s="6" t="str">
        <x:v>0</x:v>
      </x:c>
      <x:c r="O770" s="6" t="str">
        <x:v>0</x:v>
      </x:c>
      <x:c r="P770" s="6" t="str">
        <x:v>4</x:v>
      </x:c>
      <x:c r="Q770" s="6" t="str">
        <x:v>0.0</x:v>
      </x:c>
      <x:c r="R770" s="6" t="str">
        <x:v>3</x:v>
      </x:c>
      <x:c r="S770" s="6" t="str">
        <x:v>0.0</x:v>
      </x:c>
      <x:c r="T770" s="6" t="str">
        <x:v>3</x:v>
      </x:c>
      <x:c r="U770" s="6" t="str">
        <x:v>0.0</x:v>
      </x:c>
      <x:c r="V770" s="6" t="str">
        <x:v>3</x:v>
      </x:c>
      <x:c r="W770" s="6" t="str">
        <x:v>0.0</x:v>
      </x:c>
      <x:c r="X770" s="6" t="str">
        <x:v>4</x:v>
      </x:c>
      <x:c r="Y770" s="6" t="str">
        <x:v>989.0</x:v>
      </x:c>
      <x:c r="Z770" s="6" t="str">
        <x:v>3</x:v>
      </x:c>
      <x:c r="AA770" s="6" t="str">
        <x:v>0.0</x:v>
      </x:c>
      <x:c r="AB770" s="6" t="str">
        <x:v>4</x:v>
      </x:c>
      <x:c r="AC770" s="6" t="str">
        <x:v>2024-01</x:v>
      </x:c>
      <x:c r="AD770" s="9" t="str">
        <x:v>BNPB operational disaster search table</x:v>
      </x:c>
      <x:c r="AE770" s="9" t="str">
        <x:v>https://gis.bnpb.go.id/databencana/tabel/pencarian.php</x:v>
      </x:c>
      <x:c r="AF770" s="9" t="str">
        <x:v>operational_snapshot_annual_totals_may_differ</x:v>
      </x:c>
    </x:row>
    <x:row r="771" ht="18" customHeight="1">
      <x:c r="A771" s="6" t="str">
        <x:v>91</x:v>
      </x:c>
      <x:c r="B771" s="6" t="str">
        <x:v>PAPUA BARAT</x:v>
      </x:c>
      <x:c r="C771" s="6" t="str">
        <x:v>2024</x:v>
      </x:c>
      <x:c r="D771" s="6" t="str">
        <x:v>2</x:v>
      </x:c>
      <x:c r="E771" s="6" t="str">
        <x:v>1</x:v>
      </x:c>
      <x:c r="F771" s="6" t="str">
        <x:v>1</x:v>
      </x:c>
      <x:c r="G771" s="6" t="str">
        <x:v>0</x:v>
      </x:c>
      <x:c r="H771" s="6" t="str">
        <x:v>0</x:v>
      </x:c>
      <x:c r="I771" s="6" t="str">
        <x:v>0</x:v>
      </x:c>
      <x:c r="J771" s="6" t="str">
        <x:v>0</x:v>
      </x:c>
      <x:c r="K771" s="6" t="str">
        <x:v>0</x:v>
      </x:c>
      <x:c r="L771" s="6" t="str">
        <x:v>1</x:v>
      </x:c>
      <x:c r="M771" s="6" t="str">
        <x:v>0</x:v>
      </x:c>
      <x:c r="N771" s="6" t="str">
        <x:v>0</x:v>
      </x:c>
      <x:c r="O771" s="6" t="str">
        <x:v>0</x:v>
      </x:c>
      <x:c r="P771" s="6" t="str">
        <x:v>1</x:v>
      </x:c>
      <x:c r="Q771" s="6" t="str"/>
      <x:c r="R771" s="6" t="str">
        <x:v>0</x:v>
      </x:c>
      <x:c r="S771" s="6" t="str"/>
      <x:c r="T771" s="6" t="str">
        <x:v>0</x:v>
      </x:c>
      <x:c r="U771" s="6" t="str"/>
      <x:c r="V771" s="6" t="str">
        <x:v>0</x:v>
      </x:c>
      <x:c r="W771" s="6" t="str">
        <x:v>0.0</x:v>
      </x:c>
      <x:c r="X771" s="6" t="str">
        <x:v>1</x:v>
      </x:c>
      <x:c r="Y771" s="6" t="str"/>
      <x:c r="Z771" s="6" t="str">
        <x:v>0</x:v>
      </x:c>
      <x:c r="AA771" s="6" t="str">
        <x:v>0.0</x:v>
      </x:c>
      <x:c r="AB771" s="6" t="str">
        <x:v>1</x:v>
      </x:c>
      <x:c r="AC771" s="6" t="str">
        <x:v>2024-02</x:v>
      </x:c>
      <x:c r="AD771" s="9" t="str">
        <x:v>BNPB operational disaster search table</x:v>
      </x:c>
      <x:c r="AE771" s="9" t="str">
        <x:v>https://gis.bnpb.go.id/databencana/tabel/pencarian.php</x:v>
      </x:c>
      <x:c r="AF771" s="9" t="str">
        <x:v>operational_snapshot_annual_totals_may_differ</x:v>
      </x:c>
    </x:row>
    <x:row r="772" ht="18" customHeight="1">
      <x:c r="A772" s="6" t="str">
        <x:v>91</x:v>
      </x:c>
      <x:c r="B772" s="6" t="str">
        <x:v>PAPUA BARAT</x:v>
      </x:c>
      <x:c r="C772" s="6" t="str">
        <x:v>2024</x:v>
      </x:c>
      <x:c r="D772" s="6" t="str">
        <x:v>3</x:v>
      </x:c>
      <x:c r="E772" s="6" t="str">
        <x:v>2</x:v>
      </x:c>
      <x:c r="F772" s="6" t="str">
        <x:v>2</x:v>
      </x:c>
      <x:c r="G772" s="6" t="str">
        <x:v>2</x:v>
      </x:c>
      <x:c r="H772" s="6" t="str">
        <x:v>0</x:v>
      </x:c>
      <x:c r="I772" s="6" t="str">
        <x:v>0</x:v>
      </x:c>
      <x:c r="J772" s="6" t="str">
        <x:v>0</x:v>
      </x:c>
      <x:c r="K772" s="6" t="str">
        <x:v>0</x:v>
      </x:c>
      <x:c r="L772" s="6" t="str">
        <x:v>0</x:v>
      </x:c>
      <x:c r="M772" s="6" t="str">
        <x:v>0</x:v>
      </x:c>
      <x:c r="N772" s="6" t="str">
        <x:v>0</x:v>
      </x:c>
      <x:c r="O772" s="6" t="str">
        <x:v>0</x:v>
      </x:c>
      <x:c r="P772" s="6" t="str">
        <x:v>2</x:v>
      </x:c>
      <x:c r="Q772" s="6" t="str">
        <x:v>0.0</x:v>
      </x:c>
      <x:c r="R772" s="6" t="str">
        <x:v>1</x:v>
      </x:c>
      <x:c r="S772" s="6" t="str">
        <x:v>0.0</x:v>
      </x:c>
      <x:c r="T772" s="6" t="str">
        <x:v>1</x:v>
      </x:c>
      <x:c r="U772" s="6" t="str">
        <x:v>0.0</x:v>
      </x:c>
      <x:c r="V772" s="6" t="str">
        <x:v>1</x:v>
      </x:c>
      <x:c r="W772" s="6" t="str">
        <x:v>0.0</x:v>
      </x:c>
      <x:c r="X772" s="6" t="str">
        <x:v>2</x:v>
      </x:c>
      <x:c r="Y772" s="6" t="str">
        <x:v>76.0</x:v>
      </x:c>
      <x:c r="Z772" s="6" t="str">
        <x:v>1</x:v>
      </x:c>
      <x:c r="AA772" s="6" t="str">
        <x:v>0.0</x:v>
      </x:c>
      <x:c r="AB772" s="6" t="str">
        <x:v>2</x:v>
      </x:c>
      <x:c r="AC772" s="6" t="str">
        <x:v>2024-03</x:v>
      </x:c>
      <x:c r="AD772" s="9" t="str">
        <x:v>BNPB operational disaster search table</x:v>
      </x:c>
      <x:c r="AE772" s="9" t="str">
        <x:v>https://gis.bnpb.go.id/databencana/tabel/pencarian.php</x:v>
      </x:c>
      <x:c r="AF772" s="9" t="str">
        <x:v>operational_snapshot_annual_totals_may_differ</x:v>
      </x:c>
    </x:row>
    <x:row r="773" ht="18" customHeight="1">
      <x:c r="A773" s="6" t="str">
        <x:v>91</x:v>
      </x:c>
      <x:c r="B773" s="6" t="str">
        <x:v>PAPUA BARAT</x:v>
      </x:c>
      <x:c r="C773" s="6" t="str">
        <x:v>2024</x:v>
      </x:c>
      <x:c r="D773" s="6" t="str">
        <x:v>4</x:v>
      </x:c>
      <x:c r="E773" s="6" t="str">
        <x:v>4</x:v>
      </x:c>
      <x:c r="F773" s="6" t="str">
        <x:v>4</x:v>
      </x:c>
      <x:c r="G773" s="6" t="str">
        <x:v>4</x:v>
      </x:c>
      <x:c r="H773" s="6" t="str">
        <x:v>0</x:v>
      </x:c>
      <x:c r="I773" s="6" t="str">
        <x:v>0</x:v>
      </x:c>
      <x:c r="J773" s="6" t="str">
        <x:v>0</x:v>
      </x:c>
      <x:c r="K773" s="6" t="str">
        <x:v>0</x:v>
      </x:c>
      <x:c r="L773" s="6" t="str">
        <x:v>0</x:v>
      </x:c>
      <x:c r="M773" s="6" t="str">
        <x:v>0</x:v>
      </x:c>
      <x:c r="N773" s="6" t="str">
        <x:v>0</x:v>
      </x:c>
      <x:c r="O773" s="6" t="str">
        <x:v>0</x:v>
      </x:c>
      <x:c r="P773" s="6" t="str">
        <x:v>4</x:v>
      </x:c>
      <x:c r="Q773" s="6" t="str">
        <x:v>0.0</x:v>
      </x:c>
      <x:c r="R773" s="6" t="str">
        <x:v>3</x:v>
      </x:c>
      <x:c r="S773" s="6" t="str">
        <x:v>0.0</x:v>
      </x:c>
      <x:c r="T773" s="6" t="str">
        <x:v>3</x:v>
      </x:c>
      <x:c r="U773" s="6" t="str">
        <x:v>0.0</x:v>
      </x:c>
      <x:c r="V773" s="6" t="str">
        <x:v>3</x:v>
      </x:c>
      <x:c r="W773" s="6" t="str">
        <x:v>0.0</x:v>
      </x:c>
      <x:c r="X773" s="6" t="str">
        <x:v>4</x:v>
      </x:c>
      <x:c r="Y773" s="6" t="str">
        <x:v>383.0</x:v>
      </x:c>
      <x:c r="Z773" s="6" t="str">
        <x:v>3</x:v>
      </x:c>
      <x:c r="AA773" s="6" t="str">
        <x:v>0.0</x:v>
      </x:c>
      <x:c r="AB773" s="6" t="str">
        <x:v>4</x:v>
      </x:c>
      <x:c r="AC773" s="6" t="str">
        <x:v>2024-04</x:v>
      </x:c>
      <x:c r="AD773" s="9" t="str">
        <x:v>BNPB operational disaster search table</x:v>
      </x:c>
      <x:c r="AE773" s="9" t="str">
        <x:v>https://gis.bnpb.go.id/databencana/tabel/pencarian.php</x:v>
      </x:c>
      <x:c r="AF773" s="9" t="str">
        <x:v>operational_snapshot_annual_totals_may_differ</x:v>
      </x:c>
    </x:row>
    <x:row r="774" ht="18" customHeight="1">
      <x:c r="A774" s="6" t="str">
        <x:v>91</x:v>
      </x:c>
      <x:c r="B774" s="6" t="str">
        <x:v>PAPUA BARAT</x:v>
      </x:c>
      <x:c r="C774" s="6" t="str">
        <x:v>2024</x:v>
      </x:c>
      <x:c r="D774" s="6" t="str">
        <x:v>5</x:v>
      </x:c>
      <x:c r="E774" s="6" t="str">
        <x:v>6</x:v>
      </x:c>
      <x:c r="F774" s="6" t="str">
        <x:v>6</x:v>
      </x:c>
      <x:c r="G774" s="6" t="str">
        <x:v>5</x:v>
      </x:c>
      <x:c r="H774" s="6" t="str">
        <x:v>1</x:v>
      </x:c>
      <x:c r="I774" s="6" t="str">
        <x:v>0</x:v>
      </x:c>
      <x:c r="J774" s="6" t="str">
        <x:v>0</x:v>
      </x:c>
      <x:c r="K774" s="6" t="str">
        <x:v>0</x:v>
      </x:c>
      <x:c r="L774" s="6" t="str">
        <x:v>0</x:v>
      </x:c>
      <x:c r="M774" s="6" t="str">
        <x:v>0</x:v>
      </x:c>
      <x:c r="N774" s="6" t="str">
        <x:v>0</x:v>
      </x:c>
      <x:c r="O774" s="6" t="str">
        <x:v>0</x:v>
      </x:c>
      <x:c r="P774" s="6" t="str">
        <x:v>6</x:v>
      </x:c>
      <x:c r="Q774" s="6" t="str">
        <x:v>4.0</x:v>
      </x:c>
      <x:c r="R774" s="6" t="str">
        <x:v>5</x:v>
      </x:c>
      <x:c r="S774" s="6" t="str">
        <x:v>0.0</x:v>
      </x:c>
      <x:c r="T774" s="6" t="str">
        <x:v>5</x:v>
      </x:c>
      <x:c r="U774" s="6" t="str">
        <x:v>1.0</x:v>
      </x:c>
      <x:c r="V774" s="6" t="str">
        <x:v>5</x:v>
      </x:c>
      <x:c r="W774" s="6" t="str">
        <x:v>67.0</x:v>
      </x:c>
      <x:c r="X774" s="6" t="str">
        <x:v>6</x:v>
      </x:c>
      <x:c r="Y774" s="6" t="str">
        <x:v>292.0</x:v>
      </x:c>
      <x:c r="Z774" s="6" t="str">
        <x:v>5</x:v>
      </x:c>
      <x:c r="AA774" s="6" t="str">
        <x:v>5.0</x:v>
      </x:c>
      <x:c r="AB774" s="6" t="str">
        <x:v>6</x:v>
      </x:c>
      <x:c r="AC774" s="6" t="str">
        <x:v>2024-05</x:v>
      </x:c>
      <x:c r="AD774" s="9" t="str">
        <x:v>BNPB operational disaster search table</x:v>
      </x:c>
      <x:c r="AE774" s="9" t="str">
        <x:v>https://gis.bnpb.go.id/databencana/tabel/pencarian.php</x:v>
      </x:c>
      <x:c r="AF774" s="9" t="str">
        <x:v>operational_snapshot_annual_totals_may_differ</x:v>
      </x:c>
    </x:row>
    <x:row r="775" ht="18" customHeight="1">
      <x:c r="A775" s="6" t="str">
        <x:v>91</x:v>
      </x:c>
      <x:c r="B775" s="6" t="str">
        <x:v>PAPUA BARAT</x:v>
      </x:c>
      <x:c r="C775" s="6" t="str">
        <x:v>2024</x:v>
      </x:c>
      <x:c r="D775" s="6" t="str">
        <x:v>6</x:v>
      </x:c>
      <x:c r="E775" s="6" t="str">
        <x:v>0</x:v>
      </x:c>
      <x:c r="F775" s="6" t="str">
        <x:v>0</x:v>
      </x:c>
      <x:c r="G775" s="6" t="str">
        <x:v>0</x:v>
      </x:c>
      <x:c r="H775" s="6" t="str">
        <x:v>0</x:v>
      </x:c>
      <x:c r="I775" s="6" t="str">
        <x:v>0</x:v>
      </x:c>
      <x:c r="J775" s="6" t="str">
        <x:v>0</x:v>
      </x:c>
      <x:c r="K775" s="6" t="str">
        <x:v>0</x:v>
      </x:c>
      <x:c r="L775" s="6" t="str">
        <x:v>0</x:v>
      </x:c>
      <x:c r="M775" s="6" t="str">
        <x:v>0</x:v>
      </x:c>
      <x:c r="N775" s="6" t="str">
        <x:v>0</x:v>
      </x:c>
      <x:c r="O775" s="6" t="str">
        <x:v>0</x:v>
      </x:c>
      <x:c r="P775" s="6" t="str">
        <x:v>0</x:v>
      </x:c>
      <x:c r="Q775" s="6" t="str"/>
      <x:c r="R775" s="6" t="str">
        <x:v>0</x:v>
      </x:c>
      <x:c r="S775" s="6" t="str"/>
      <x:c r="T775" s="6" t="str">
        <x:v>0</x:v>
      </x:c>
      <x:c r="U775" s="6" t="str"/>
      <x:c r="V775" s="6" t="str">
        <x:v>0</x:v>
      </x:c>
      <x:c r="W775" s="6" t="str"/>
      <x:c r="X775" s="6" t="str">
        <x:v>0</x:v>
      </x:c>
      <x:c r="Y775" s="6" t="str"/>
      <x:c r="Z775" s="6" t="str">
        <x:v>0</x:v>
      </x:c>
      <x:c r="AA775" s="6" t="str"/>
      <x:c r="AB775" s="6" t="str">
        <x:v>0</x:v>
      </x:c>
      <x:c r="AC775" s="6" t="str">
        <x:v>2024-06</x:v>
      </x:c>
      <x:c r="AD775" s="9" t="str">
        <x:v>BNPB operational disaster search table</x:v>
      </x:c>
      <x:c r="AE775" s="9" t="str">
        <x:v>https://gis.bnpb.go.id/databencana/tabel/pencarian.php</x:v>
      </x:c>
      <x:c r="AF775" s="9" t="str">
        <x:v>operational_snapshot_annual_totals_may_differ</x:v>
      </x:c>
    </x:row>
    <x:row r="776" ht="18" customHeight="1">
      <x:c r="A776" s="6" t="str">
        <x:v>91</x:v>
      </x:c>
      <x:c r="B776" s="6" t="str">
        <x:v>PAPUA BARAT</x:v>
      </x:c>
      <x:c r="C776" s="6" t="str">
        <x:v>2024</x:v>
      </x:c>
      <x:c r="D776" s="6" t="str">
        <x:v>7</x:v>
      </x:c>
      <x:c r="E776" s="6" t="str">
        <x:v>0</x:v>
      </x:c>
      <x:c r="F776" s="6" t="str">
        <x:v>0</x:v>
      </x:c>
      <x:c r="G776" s="6" t="str">
        <x:v>0</x:v>
      </x:c>
      <x:c r="H776" s="6" t="str">
        <x:v>0</x:v>
      </x:c>
      <x:c r="I776" s="6" t="str">
        <x:v>0</x:v>
      </x:c>
      <x:c r="J776" s="6" t="str">
        <x:v>0</x:v>
      </x:c>
      <x:c r="K776" s="6" t="str">
        <x:v>0</x:v>
      </x:c>
      <x:c r="L776" s="6" t="str">
        <x:v>0</x:v>
      </x:c>
      <x:c r="M776" s="6" t="str">
        <x:v>0</x:v>
      </x:c>
      <x:c r="N776" s="6" t="str">
        <x:v>0</x:v>
      </x:c>
      <x:c r="O776" s="6" t="str">
        <x:v>0</x:v>
      </x:c>
      <x:c r="P776" s="6" t="str">
        <x:v>0</x:v>
      </x:c>
      <x:c r="Q776" s="6" t="str"/>
      <x:c r="R776" s="6" t="str">
        <x:v>0</x:v>
      </x:c>
      <x:c r="S776" s="6" t="str"/>
      <x:c r="T776" s="6" t="str">
        <x:v>0</x:v>
      </x:c>
      <x:c r="U776" s="6" t="str"/>
      <x:c r="V776" s="6" t="str">
        <x:v>0</x:v>
      </x:c>
      <x:c r="W776" s="6" t="str"/>
      <x:c r="X776" s="6" t="str">
        <x:v>0</x:v>
      </x:c>
      <x:c r="Y776" s="6" t="str"/>
      <x:c r="Z776" s="6" t="str">
        <x:v>0</x:v>
      </x:c>
      <x:c r="AA776" s="6" t="str"/>
      <x:c r="AB776" s="6" t="str">
        <x:v>0</x:v>
      </x:c>
      <x:c r="AC776" s="6" t="str">
        <x:v>2024-07</x:v>
      </x:c>
      <x:c r="AD776" s="9" t="str">
        <x:v>BNPB operational disaster search table</x:v>
      </x:c>
      <x:c r="AE776" s="9" t="str">
        <x:v>https://gis.bnpb.go.id/databencana/tabel/pencarian.php</x:v>
      </x:c>
      <x:c r="AF776" s="9" t="str">
        <x:v>operational_snapshot_annual_totals_may_differ</x:v>
      </x:c>
    </x:row>
    <x:row r="777" ht="18" customHeight="1">
      <x:c r="A777" s="6" t="str">
        <x:v>91</x:v>
      </x:c>
      <x:c r="B777" s="6" t="str">
        <x:v>PAPUA BARAT</x:v>
      </x:c>
      <x:c r="C777" s="6" t="str">
        <x:v>2024</x:v>
      </x:c>
      <x:c r="D777" s="6" t="str">
        <x:v>8</x:v>
      </x:c>
      <x:c r="E777" s="6" t="str">
        <x:v>0</x:v>
      </x:c>
      <x:c r="F777" s="6" t="str">
        <x:v>0</x:v>
      </x:c>
      <x:c r="G777" s="6" t="str">
        <x:v>0</x:v>
      </x:c>
      <x:c r="H777" s="6" t="str">
        <x:v>0</x:v>
      </x:c>
      <x:c r="I777" s="6" t="str">
        <x:v>0</x:v>
      </x:c>
      <x:c r="J777" s="6" t="str">
        <x:v>0</x:v>
      </x:c>
      <x:c r="K777" s="6" t="str">
        <x:v>0</x:v>
      </x:c>
      <x:c r="L777" s="6" t="str">
        <x:v>0</x:v>
      </x:c>
      <x:c r="M777" s="6" t="str">
        <x:v>0</x:v>
      </x:c>
      <x:c r="N777" s="6" t="str">
        <x:v>0</x:v>
      </x:c>
      <x:c r="O777" s="6" t="str">
        <x:v>0</x:v>
      </x:c>
      <x:c r="P777" s="6" t="str">
        <x:v>0</x:v>
      </x:c>
      <x:c r="Q777" s="6" t="str"/>
      <x:c r="R777" s="6" t="str">
        <x:v>0</x:v>
      </x:c>
      <x:c r="S777" s="6" t="str"/>
      <x:c r="T777" s="6" t="str">
        <x:v>0</x:v>
      </x:c>
      <x:c r="U777" s="6" t="str"/>
      <x:c r="V777" s="6" t="str">
        <x:v>0</x:v>
      </x:c>
      <x:c r="W777" s="6" t="str"/>
      <x:c r="X777" s="6" t="str">
        <x:v>0</x:v>
      </x:c>
      <x:c r="Y777" s="6" t="str"/>
      <x:c r="Z777" s="6" t="str">
        <x:v>0</x:v>
      </x:c>
      <x:c r="AA777" s="6" t="str"/>
      <x:c r="AB777" s="6" t="str">
        <x:v>0</x:v>
      </x:c>
      <x:c r="AC777" s="6" t="str">
        <x:v>2024-08</x:v>
      </x:c>
      <x:c r="AD777" s="9" t="str">
        <x:v>BNPB operational disaster search table</x:v>
      </x:c>
      <x:c r="AE777" s="9" t="str">
        <x:v>https://gis.bnpb.go.id/databencana/tabel/pencarian.php</x:v>
      </x:c>
      <x:c r="AF777" s="9" t="str">
        <x:v>operational_snapshot_annual_totals_may_differ</x:v>
      </x:c>
    </x:row>
    <x:row r="778" ht="18" customHeight="1">
      <x:c r="A778" s="6" t="str">
        <x:v>91</x:v>
      </x:c>
      <x:c r="B778" s="6" t="str">
        <x:v>PAPUA BARAT</x:v>
      </x:c>
      <x:c r="C778" s="6" t="str">
        <x:v>2024</x:v>
      </x:c>
      <x:c r="D778" s="6" t="str">
        <x:v>9</x:v>
      </x:c>
      <x:c r="E778" s="6" t="str">
        <x:v>0</x:v>
      </x:c>
      <x:c r="F778" s="6" t="str">
        <x:v>0</x:v>
      </x:c>
      <x:c r="G778" s="6" t="str">
        <x:v>0</x:v>
      </x:c>
      <x:c r="H778" s="6" t="str">
        <x:v>0</x:v>
      </x:c>
      <x:c r="I778" s="6" t="str">
        <x:v>0</x:v>
      </x:c>
      <x:c r="J778" s="6" t="str">
        <x:v>0</x:v>
      </x:c>
      <x:c r="K778" s="6" t="str">
        <x:v>0</x:v>
      </x:c>
      <x:c r="L778" s="6" t="str">
        <x:v>0</x:v>
      </x:c>
      <x:c r="M778" s="6" t="str">
        <x:v>0</x:v>
      </x:c>
      <x:c r="N778" s="6" t="str">
        <x:v>0</x:v>
      </x:c>
      <x:c r="O778" s="6" t="str">
        <x:v>0</x:v>
      </x:c>
      <x:c r="P778" s="6" t="str">
        <x:v>0</x:v>
      </x:c>
      <x:c r="Q778" s="6" t="str"/>
      <x:c r="R778" s="6" t="str">
        <x:v>0</x:v>
      </x:c>
      <x:c r="S778" s="6" t="str"/>
      <x:c r="T778" s="6" t="str">
        <x:v>0</x:v>
      </x:c>
      <x:c r="U778" s="6" t="str"/>
      <x:c r="V778" s="6" t="str">
        <x:v>0</x:v>
      </x:c>
      <x:c r="W778" s="6" t="str"/>
      <x:c r="X778" s="6" t="str">
        <x:v>0</x:v>
      </x:c>
      <x:c r="Y778" s="6" t="str"/>
      <x:c r="Z778" s="6" t="str">
        <x:v>0</x:v>
      </x:c>
      <x:c r="AA778" s="6" t="str"/>
      <x:c r="AB778" s="6" t="str">
        <x:v>0</x:v>
      </x:c>
      <x:c r="AC778" s="6" t="str">
        <x:v>2024-09</x:v>
      </x:c>
      <x:c r="AD778" s="9" t="str">
        <x:v>BNPB operational disaster search table</x:v>
      </x:c>
      <x:c r="AE778" s="9" t="str">
        <x:v>https://gis.bnpb.go.id/databencana/tabel/pencarian.php</x:v>
      </x:c>
      <x:c r="AF778" s="9" t="str">
        <x:v>operational_snapshot_annual_totals_may_differ</x:v>
      </x:c>
    </x:row>
    <x:row r="779" ht="18" customHeight="1">
      <x:c r="A779" s="6" t="str">
        <x:v>91</x:v>
      </x:c>
      <x:c r="B779" s="6" t="str">
        <x:v>PAPUA BARAT</x:v>
      </x:c>
      <x:c r="C779" s="6" t="str">
        <x:v>2024</x:v>
      </x:c>
      <x:c r="D779" s="6" t="str">
        <x:v>10</x:v>
      </x:c>
      <x:c r="E779" s="6" t="str">
        <x:v>0</x:v>
      </x:c>
      <x:c r="F779" s="6" t="str">
        <x:v>0</x:v>
      </x:c>
      <x:c r="G779" s="6" t="str">
        <x:v>0</x:v>
      </x:c>
      <x:c r="H779" s="6" t="str">
        <x:v>0</x:v>
      </x:c>
      <x:c r="I779" s="6" t="str">
        <x:v>0</x:v>
      </x:c>
      <x:c r="J779" s="6" t="str">
        <x:v>0</x:v>
      </x:c>
      <x:c r="K779" s="6" t="str">
        <x:v>0</x:v>
      </x:c>
      <x:c r="L779" s="6" t="str">
        <x:v>0</x:v>
      </x:c>
      <x:c r="M779" s="6" t="str">
        <x:v>0</x:v>
      </x:c>
      <x:c r="N779" s="6" t="str">
        <x:v>0</x:v>
      </x:c>
      <x:c r="O779" s="6" t="str">
        <x:v>0</x:v>
      </x:c>
      <x:c r="P779" s="6" t="str">
        <x:v>0</x:v>
      </x:c>
      <x:c r="Q779" s="6" t="str"/>
      <x:c r="R779" s="6" t="str">
        <x:v>0</x:v>
      </x:c>
      <x:c r="S779" s="6" t="str"/>
      <x:c r="T779" s="6" t="str">
        <x:v>0</x:v>
      </x:c>
      <x:c r="U779" s="6" t="str"/>
      <x:c r="V779" s="6" t="str">
        <x:v>0</x:v>
      </x:c>
      <x:c r="W779" s="6" t="str"/>
      <x:c r="X779" s="6" t="str">
        <x:v>0</x:v>
      </x:c>
      <x:c r="Y779" s="6" t="str"/>
      <x:c r="Z779" s="6" t="str">
        <x:v>0</x:v>
      </x:c>
      <x:c r="AA779" s="6" t="str"/>
      <x:c r="AB779" s="6" t="str">
        <x:v>0</x:v>
      </x:c>
      <x:c r="AC779" s="6" t="str">
        <x:v>2024-10</x:v>
      </x:c>
      <x:c r="AD779" s="9" t="str">
        <x:v>BNPB operational disaster search table</x:v>
      </x:c>
      <x:c r="AE779" s="9" t="str">
        <x:v>https://gis.bnpb.go.id/databencana/tabel/pencarian.php</x:v>
      </x:c>
      <x:c r="AF779" s="9" t="str">
        <x:v>operational_snapshot_annual_totals_may_differ</x:v>
      </x:c>
    </x:row>
    <x:row r="780" ht="18" customHeight="1">
      <x:c r="A780" s="6" t="str">
        <x:v>91</x:v>
      </x:c>
      <x:c r="B780" s="6" t="str">
        <x:v>PAPUA BARAT</x:v>
      </x:c>
      <x:c r="C780" s="6" t="str">
        <x:v>2024</x:v>
      </x:c>
      <x:c r="D780" s="6" t="str">
        <x:v>11</x:v>
      </x:c>
      <x:c r="E780" s="6" t="str">
        <x:v>0</x:v>
      </x:c>
      <x:c r="F780" s="6" t="str">
        <x:v>0</x:v>
      </x:c>
      <x:c r="G780" s="6" t="str">
        <x:v>0</x:v>
      </x:c>
      <x:c r="H780" s="6" t="str">
        <x:v>0</x:v>
      </x:c>
      <x:c r="I780" s="6" t="str">
        <x:v>0</x:v>
      </x:c>
      <x:c r="J780" s="6" t="str">
        <x:v>0</x:v>
      </x:c>
      <x:c r="K780" s="6" t="str">
        <x:v>0</x:v>
      </x:c>
      <x:c r="L780" s="6" t="str">
        <x:v>0</x:v>
      </x:c>
      <x:c r="M780" s="6" t="str">
        <x:v>0</x:v>
      </x:c>
      <x:c r="N780" s="6" t="str">
        <x:v>0</x:v>
      </x:c>
      <x:c r="O780" s="6" t="str">
        <x:v>0</x:v>
      </x:c>
      <x:c r="P780" s="6" t="str">
        <x:v>0</x:v>
      </x:c>
      <x:c r="Q780" s="6" t="str"/>
      <x:c r="R780" s="6" t="str">
        <x:v>0</x:v>
      </x:c>
      <x:c r="S780" s="6" t="str"/>
      <x:c r="T780" s="6" t="str">
        <x:v>0</x:v>
      </x:c>
      <x:c r="U780" s="6" t="str"/>
      <x:c r="V780" s="6" t="str">
        <x:v>0</x:v>
      </x:c>
      <x:c r="W780" s="6" t="str"/>
      <x:c r="X780" s="6" t="str">
        <x:v>0</x:v>
      </x:c>
      <x:c r="Y780" s="6" t="str"/>
      <x:c r="Z780" s="6" t="str">
        <x:v>0</x:v>
      </x:c>
      <x:c r="AA780" s="6" t="str"/>
      <x:c r="AB780" s="6" t="str">
        <x:v>0</x:v>
      </x:c>
      <x:c r="AC780" s="6" t="str">
        <x:v>2024-11</x:v>
      </x:c>
      <x:c r="AD780" s="9" t="str">
        <x:v>BNPB operational disaster search table</x:v>
      </x:c>
      <x:c r="AE780" s="9" t="str">
        <x:v>https://gis.bnpb.go.id/databencana/tabel/pencarian.php</x:v>
      </x:c>
      <x:c r="AF780" s="9" t="str">
        <x:v>operational_snapshot_annual_totals_may_differ</x:v>
      </x:c>
    </x:row>
    <x:row r="781" ht="18" customHeight="1">
      <x:c r="A781" s="6" t="str">
        <x:v>91</x:v>
      </x:c>
      <x:c r="B781" s="6" t="str">
        <x:v>PAPUA BARAT</x:v>
      </x:c>
      <x:c r="C781" s="6" t="str">
        <x:v>2024</x:v>
      </x:c>
      <x:c r="D781" s="6" t="str">
        <x:v>12</x:v>
      </x:c>
      <x:c r="E781" s="6" t="str">
        <x:v>1</x:v>
      </x:c>
      <x:c r="F781" s="6" t="str">
        <x:v>1</x:v>
      </x:c>
      <x:c r="G781" s="6" t="str">
        <x:v>1</x:v>
      </x:c>
      <x:c r="H781" s="6" t="str">
        <x:v>0</x:v>
      </x:c>
      <x:c r="I781" s="6" t="str">
        <x:v>0</x:v>
      </x:c>
      <x:c r="J781" s="6" t="str">
        <x:v>0</x:v>
      </x:c>
      <x:c r="K781" s="6" t="str">
        <x:v>0</x:v>
      </x:c>
      <x:c r="L781" s="6" t="str">
        <x:v>0</x:v>
      </x:c>
      <x:c r="M781" s="6" t="str">
        <x:v>0</x:v>
      </x:c>
      <x:c r="N781" s="6" t="str">
        <x:v>0</x:v>
      </x:c>
      <x:c r="O781" s="6" t="str">
        <x:v>0</x:v>
      </x:c>
      <x:c r="P781" s="6" t="str">
        <x:v>1</x:v>
      </x:c>
      <x:c r="Q781" s="6" t="str"/>
      <x:c r="R781" s="6" t="str">
        <x:v>0</x:v>
      </x:c>
      <x:c r="S781" s="6" t="str"/>
      <x:c r="T781" s="6" t="str">
        <x:v>0</x:v>
      </x:c>
      <x:c r="U781" s="6" t="str"/>
      <x:c r="V781" s="6" t="str">
        <x:v>0</x:v>
      </x:c>
      <x:c r="W781" s="6" t="str">
        <x:v>0.0</x:v>
      </x:c>
      <x:c r="X781" s="6" t="str">
        <x:v>1</x:v>
      </x:c>
      <x:c r="Y781" s="6" t="str"/>
      <x:c r="Z781" s="6" t="str">
        <x:v>0</x:v>
      </x:c>
      <x:c r="AA781" s="6" t="str">
        <x:v>0.0</x:v>
      </x:c>
      <x:c r="AB781" s="6" t="str">
        <x:v>1</x:v>
      </x:c>
      <x:c r="AC781" s="6" t="str">
        <x:v>2024-12</x:v>
      </x:c>
      <x:c r="AD781" s="9" t="str">
        <x:v>BNPB operational disaster search table</x:v>
      </x:c>
      <x:c r="AE781" s="9" t="str">
        <x:v>https://gis.bnpb.go.id/databencana/tabel/pencarian.php</x:v>
      </x:c>
      <x:c r="AF781" s="9" t="str">
        <x:v>operational_snapshot_annual_totals_may_differ</x:v>
      </x:c>
    </x:row>
    <x:row r="782" ht="18" customHeight="1">
      <x:c r="A782" s="6" t="str">
        <x:v>91</x:v>
      </x:c>
      <x:c r="B782" s="6" t="str">
        <x:v>PAPUA BARAT</x:v>
      </x:c>
      <x:c r="C782" s="6" t="str">
        <x:v>2025</x:v>
      </x:c>
      <x:c r="D782" s="6" t="str">
        <x:v>1</x:v>
      </x:c>
      <x:c r="E782" s="6" t="str">
        <x:v>1</x:v>
      </x:c>
      <x:c r="F782" s="6" t="str">
        <x:v>1</x:v>
      </x:c>
      <x:c r="G782" s="6" t="str">
        <x:v>1</x:v>
      </x:c>
      <x:c r="H782" s="6" t="str">
        <x:v>0</x:v>
      </x:c>
      <x:c r="I782" s="6" t="str">
        <x:v>0</x:v>
      </x:c>
      <x:c r="J782" s="6" t="str">
        <x:v>0</x:v>
      </x:c>
      <x:c r="K782" s="6" t="str">
        <x:v>0</x:v>
      </x:c>
      <x:c r="L782" s="6" t="str">
        <x:v>0</x:v>
      </x:c>
      <x:c r="M782" s="6" t="str">
        <x:v>0</x:v>
      </x:c>
      <x:c r="N782" s="6" t="str">
        <x:v>0</x:v>
      </x:c>
      <x:c r="O782" s="6" t="str">
        <x:v>0</x:v>
      </x:c>
      <x:c r="P782" s="6" t="str">
        <x:v>1</x:v>
      </x:c>
      <x:c r="Q782" s="6" t="str">
        <x:v>0.0</x:v>
      </x:c>
      <x:c r="R782" s="6" t="str">
        <x:v>1</x:v>
      </x:c>
      <x:c r="S782" s="6" t="str">
        <x:v>0.0</x:v>
      </x:c>
      <x:c r="T782" s="6" t="str">
        <x:v>1</x:v>
      </x:c>
      <x:c r="U782" s="6" t="str">
        <x:v>0.0</x:v>
      </x:c>
      <x:c r="V782" s="6" t="str">
        <x:v>1</x:v>
      </x:c>
      <x:c r="W782" s="6" t="str">
        <x:v>0.0</x:v>
      </x:c>
      <x:c r="X782" s="6" t="str">
        <x:v>1</x:v>
      </x:c>
      <x:c r="Y782" s="6" t="str"/>
      <x:c r="Z782" s="6" t="str">
        <x:v>0</x:v>
      </x:c>
      <x:c r="AA782" s="6" t="str">
        <x:v>0.0</x:v>
      </x:c>
      <x:c r="AB782" s="6" t="str">
        <x:v>1</x:v>
      </x:c>
      <x:c r="AC782" s="6" t="str">
        <x:v>2025-01</x:v>
      </x:c>
      <x:c r="AD782" s="9" t="str">
        <x:v>BNPB operational disaster search table</x:v>
      </x:c>
      <x:c r="AE782" s="9" t="str">
        <x:v>https://gis.bnpb.go.id/databencana/tabel/pencarian.php</x:v>
      </x:c>
      <x:c r="AF782" s="9" t="str">
        <x:v>operational_snapshot_annual_totals_may_differ</x:v>
      </x:c>
    </x:row>
    <x:row r="783" ht="18" customHeight="1">
      <x:c r="A783" s="6" t="str">
        <x:v>91</x:v>
      </x:c>
      <x:c r="B783" s="6" t="str">
        <x:v>PAPUA BARAT</x:v>
      </x:c>
      <x:c r="C783" s="6" t="str">
        <x:v>2025</x:v>
      </x:c>
      <x:c r="D783" s="6" t="str">
        <x:v>2</x:v>
      </x:c>
      <x:c r="E783" s="6" t="str">
        <x:v>1</x:v>
      </x:c>
      <x:c r="F783" s="6" t="str">
        <x:v>1</x:v>
      </x:c>
      <x:c r="G783" s="6" t="str">
        <x:v>0</x:v>
      </x:c>
      <x:c r="H783" s="6" t="str">
        <x:v>0</x:v>
      </x:c>
      <x:c r="I783" s="6" t="str">
        <x:v>1</x:v>
      </x:c>
      <x:c r="J783" s="6" t="str">
        <x:v>0</x:v>
      </x:c>
      <x:c r="K783" s="6" t="str">
        <x:v>0</x:v>
      </x:c>
      <x:c r="L783" s="6" t="str">
        <x:v>0</x:v>
      </x:c>
      <x:c r="M783" s="6" t="str">
        <x:v>0</x:v>
      </x:c>
      <x:c r="N783" s="6" t="str">
        <x:v>0</x:v>
      </x:c>
      <x:c r="O783" s="6" t="str">
        <x:v>0</x:v>
      </x:c>
      <x:c r="P783" s="6" t="str">
        <x:v>1</x:v>
      </x:c>
      <x:c r="Q783" s="6" t="str">
        <x:v>0.0</x:v>
      </x:c>
      <x:c r="R783" s="6" t="str">
        <x:v>1</x:v>
      </x:c>
      <x:c r="S783" s="6" t="str">
        <x:v>0.0</x:v>
      </x:c>
      <x:c r="T783" s="6" t="str">
        <x:v>1</x:v>
      </x:c>
      <x:c r="U783" s="6" t="str">
        <x:v>0.0</x:v>
      </x:c>
      <x:c r="V783" s="6" t="str">
        <x:v>1</x:v>
      </x:c>
      <x:c r="W783" s="6" t="str">
        <x:v>8.0</x:v>
      </x:c>
      <x:c r="X783" s="6" t="str">
        <x:v>1</x:v>
      </x:c>
      <x:c r="Y783" s="6" t="str"/>
      <x:c r="Z783" s="6" t="str">
        <x:v>0</x:v>
      </x:c>
      <x:c r="AA783" s="6" t="str">
        <x:v>0.0</x:v>
      </x:c>
      <x:c r="AB783" s="6" t="str">
        <x:v>1</x:v>
      </x:c>
      <x:c r="AC783" s="6" t="str">
        <x:v>2025-02</x:v>
      </x:c>
      <x:c r="AD783" s="9" t="str">
        <x:v>BNPB operational disaster search table</x:v>
      </x:c>
      <x:c r="AE783" s="9" t="str">
        <x:v>https://gis.bnpb.go.id/databencana/tabel/pencarian.php</x:v>
      </x:c>
      <x:c r="AF783" s="9" t="str">
        <x:v>operational_snapshot_annual_totals_may_differ</x:v>
      </x:c>
    </x:row>
    <x:row r="784" ht="18" customHeight="1">
      <x:c r="A784" s="6" t="str">
        <x:v>91</x:v>
      </x:c>
      <x:c r="B784" s="6" t="str">
        <x:v>PAPUA BARAT</x:v>
      </x:c>
      <x:c r="C784" s="6" t="str">
        <x:v>2025</x:v>
      </x:c>
      <x:c r="D784" s="6" t="str">
        <x:v>3</x:v>
      </x:c>
      <x:c r="E784" s="6" t="str">
        <x:v>0</x:v>
      </x:c>
      <x:c r="F784" s="6" t="str">
        <x:v>0</x:v>
      </x:c>
      <x:c r="G784" s="6" t="str">
        <x:v>0</x:v>
      </x:c>
      <x:c r="H784" s="6" t="str">
        <x:v>0</x:v>
      </x:c>
      <x:c r="I784" s="6" t="str">
        <x:v>0</x:v>
      </x:c>
      <x:c r="J784" s="6" t="str">
        <x:v>0</x:v>
      </x:c>
      <x:c r="K784" s="6" t="str">
        <x:v>0</x:v>
      </x:c>
      <x:c r="L784" s="6" t="str">
        <x:v>0</x:v>
      </x:c>
      <x:c r="M784" s="6" t="str">
        <x:v>0</x:v>
      </x:c>
      <x:c r="N784" s="6" t="str">
        <x:v>0</x:v>
      </x:c>
      <x:c r="O784" s="6" t="str">
        <x:v>0</x:v>
      </x:c>
      <x:c r="P784" s="6" t="str">
        <x:v>0</x:v>
      </x:c>
      <x:c r="Q784" s="6" t="str"/>
      <x:c r="R784" s="6" t="str">
        <x:v>0</x:v>
      </x:c>
      <x:c r="S784" s="6" t="str"/>
      <x:c r="T784" s="6" t="str">
        <x:v>0</x:v>
      </x:c>
      <x:c r="U784" s="6" t="str"/>
      <x:c r="V784" s="6" t="str">
        <x:v>0</x:v>
      </x:c>
      <x:c r="W784" s="6" t="str"/>
      <x:c r="X784" s="6" t="str">
        <x:v>0</x:v>
      </x:c>
      <x:c r="Y784" s="6" t="str"/>
      <x:c r="Z784" s="6" t="str">
        <x:v>0</x:v>
      </x:c>
      <x:c r="AA784" s="6" t="str"/>
      <x:c r="AB784" s="6" t="str">
        <x:v>0</x:v>
      </x:c>
      <x:c r="AC784" s="6" t="str">
        <x:v>2025-03</x:v>
      </x:c>
      <x:c r="AD784" s="9" t="str">
        <x:v>BNPB operational disaster search table</x:v>
      </x:c>
      <x:c r="AE784" s="9" t="str">
        <x:v>https://gis.bnpb.go.id/databencana/tabel/pencarian.php</x:v>
      </x:c>
      <x:c r="AF784" s="9" t="str">
        <x:v>operational_snapshot_annual_totals_may_differ</x:v>
      </x:c>
    </x:row>
    <x:row r="785" ht="18" customHeight="1">
      <x:c r="A785" s="6" t="str">
        <x:v>91</x:v>
      </x:c>
      <x:c r="B785" s="6" t="str">
        <x:v>PAPUA BARAT</x:v>
      </x:c>
      <x:c r="C785" s="6" t="str">
        <x:v>2025</x:v>
      </x:c>
      <x:c r="D785" s="6" t="str">
        <x:v>4</x:v>
      </x:c>
      <x:c r="E785" s="6" t="str">
        <x:v>1</x:v>
      </x:c>
      <x:c r="F785" s="6" t="str">
        <x:v>1</x:v>
      </x:c>
      <x:c r="G785" s="6" t="str">
        <x:v>1</x:v>
      </x:c>
      <x:c r="H785" s="6" t="str">
        <x:v>0</x:v>
      </x:c>
      <x:c r="I785" s="6" t="str">
        <x:v>0</x:v>
      </x:c>
      <x:c r="J785" s="6" t="str">
        <x:v>0</x:v>
      </x:c>
      <x:c r="K785" s="6" t="str">
        <x:v>0</x:v>
      </x:c>
      <x:c r="L785" s="6" t="str">
        <x:v>0</x:v>
      </x:c>
      <x:c r="M785" s="6" t="str">
        <x:v>0</x:v>
      </x:c>
      <x:c r="N785" s="6" t="str">
        <x:v>0</x:v>
      </x:c>
      <x:c r="O785" s="6" t="str">
        <x:v>0</x:v>
      </x:c>
      <x:c r="P785" s="6" t="str">
        <x:v>1</x:v>
      </x:c>
      <x:c r="Q785" s="6" t="str">
        <x:v>0.0</x:v>
      </x:c>
      <x:c r="R785" s="6" t="str">
        <x:v>1</x:v>
      </x:c>
      <x:c r="S785" s="6" t="str">
        <x:v>0.0</x:v>
      </x:c>
      <x:c r="T785" s="6" t="str">
        <x:v>1</x:v>
      </x:c>
      <x:c r="U785" s="6" t="str">
        <x:v>0.0</x:v>
      </x:c>
      <x:c r="V785" s="6" t="str">
        <x:v>1</x:v>
      </x:c>
      <x:c r="W785" s="6" t="str">
        <x:v>0.0</x:v>
      </x:c>
      <x:c r="X785" s="6" t="str">
        <x:v>1</x:v>
      </x:c>
      <x:c r="Y785" s="6" t="str">
        <x:v>20.0</x:v>
      </x:c>
      <x:c r="Z785" s="6" t="str">
        <x:v>1</x:v>
      </x:c>
      <x:c r="AA785" s="6" t="str">
        <x:v>0.0</x:v>
      </x:c>
      <x:c r="AB785" s="6" t="str">
        <x:v>1</x:v>
      </x:c>
      <x:c r="AC785" s="6" t="str">
        <x:v>2025-04</x:v>
      </x:c>
      <x:c r="AD785" s="9" t="str">
        <x:v>BNPB operational disaster search table</x:v>
      </x:c>
      <x:c r="AE785" s="9" t="str">
        <x:v>https://gis.bnpb.go.id/databencana/tabel/pencarian.php</x:v>
      </x:c>
      <x:c r="AF785" s="9" t="str">
        <x:v>operational_snapshot_annual_totals_may_differ</x:v>
      </x:c>
    </x:row>
    <x:row r="786" ht="18" customHeight="1">
      <x:c r="A786" s="6" t="str">
        <x:v>91</x:v>
      </x:c>
      <x:c r="B786" s="6" t="str">
        <x:v>PAPUA BARAT</x:v>
      </x:c>
      <x:c r="C786" s="6" t="str">
        <x:v>2025</x:v>
      </x:c>
      <x:c r="D786" s="6" t="str">
        <x:v>5</x:v>
      </x:c>
      <x:c r="E786" s="6" t="str">
        <x:v>2</x:v>
      </x:c>
      <x:c r="F786" s="6" t="str">
        <x:v>2</x:v>
      </x:c>
      <x:c r="G786" s="6" t="str">
        <x:v>2</x:v>
      </x:c>
      <x:c r="H786" s="6" t="str">
        <x:v>0</x:v>
      </x:c>
      <x:c r="I786" s="6" t="str">
        <x:v>0</x:v>
      </x:c>
      <x:c r="J786" s="6" t="str">
        <x:v>0</x:v>
      </x:c>
      <x:c r="K786" s="6" t="str">
        <x:v>0</x:v>
      </x:c>
      <x:c r="L786" s="6" t="str">
        <x:v>0</x:v>
      </x:c>
      <x:c r="M786" s="6" t="str">
        <x:v>0</x:v>
      </x:c>
      <x:c r="N786" s="6" t="str">
        <x:v>0</x:v>
      </x:c>
      <x:c r="O786" s="6" t="str">
        <x:v>0</x:v>
      </x:c>
      <x:c r="P786" s="6" t="str">
        <x:v>2</x:v>
      </x:c>
      <x:c r="Q786" s="6" t="str">
        <x:v>16.0</x:v>
      </x:c>
      <x:c r="R786" s="6" t="str">
        <x:v>1</x:v>
      </x:c>
      <x:c r="S786" s="6" t="str">
        <x:v>4.0</x:v>
      </x:c>
      <x:c r="T786" s="6" t="str">
        <x:v>1</x:v>
      </x:c>
      <x:c r="U786" s="6" t="str">
        <x:v>4.0</x:v>
      </x:c>
      <x:c r="V786" s="6" t="str">
        <x:v>1</x:v>
      </x:c>
      <x:c r="W786" s="6" t="str">
        <x:v>0.0</x:v>
      </x:c>
      <x:c r="X786" s="6" t="str">
        <x:v>2</x:v>
      </x:c>
      <x:c r="Y786" s="6" t="str">
        <x:v>57.0</x:v>
      </x:c>
      <x:c r="Z786" s="6" t="str">
        <x:v>1</x:v>
      </x:c>
      <x:c r="AA786" s="6" t="str">
        <x:v>0.0</x:v>
      </x:c>
      <x:c r="AB786" s="6" t="str">
        <x:v>2</x:v>
      </x:c>
      <x:c r="AC786" s="6" t="str">
        <x:v>2025-05</x:v>
      </x:c>
      <x:c r="AD786" s="9" t="str">
        <x:v>BNPB operational disaster search table</x:v>
      </x:c>
      <x:c r="AE786" s="9" t="str">
        <x:v>https://gis.bnpb.go.id/databencana/tabel/pencarian.php</x:v>
      </x:c>
      <x:c r="AF786" s="9" t="str">
        <x:v>operational_snapshot_annual_totals_may_differ</x:v>
      </x:c>
    </x:row>
    <x:row r="787" ht="18" customHeight="1">
      <x:c r="A787" s="6" t="str">
        <x:v>91</x:v>
      </x:c>
      <x:c r="B787" s="6" t="str">
        <x:v>PAPUA BARAT</x:v>
      </x:c>
      <x:c r="C787" s="6" t="str">
        <x:v>2025</x:v>
      </x:c>
      <x:c r="D787" s="6" t="str">
        <x:v>6</x:v>
      </x:c>
      <x:c r="E787" s="6" t="str">
        <x:v>1</x:v>
      </x:c>
      <x:c r="F787" s="6" t="str">
        <x:v>1</x:v>
      </x:c>
      <x:c r="G787" s="6" t="str">
        <x:v>1</x:v>
      </x:c>
      <x:c r="H787" s="6" t="str">
        <x:v>0</x:v>
      </x:c>
      <x:c r="I787" s="6" t="str">
        <x:v>0</x:v>
      </x:c>
      <x:c r="J787" s="6" t="str">
        <x:v>0</x:v>
      </x:c>
      <x:c r="K787" s="6" t="str">
        <x:v>0</x:v>
      </x:c>
      <x:c r="L787" s="6" t="str">
        <x:v>0</x:v>
      </x:c>
      <x:c r="M787" s="6" t="str">
        <x:v>0</x:v>
      </x:c>
      <x:c r="N787" s="6" t="str">
        <x:v>0</x:v>
      </x:c>
      <x:c r="O787" s="6" t="str">
        <x:v>0</x:v>
      </x:c>
      <x:c r="P787" s="6" t="str">
        <x:v>1</x:v>
      </x:c>
      <x:c r="Q787" s="6" t="str"/>
      <x:c r="R787" s="6" t="str">
        <x:v>0</x:v>
      </x:c>
      <x:c r="S787" s="6" t="str"/>
      <x:c r="T787" s="6" t="str">
        <x:v>0</x:v>
      </x:c>
      <x:c r="U787" s="6" t="str"/>
      <x:c r="V787" s="6" t="str">
        <x:v>0</x:v>
      </x:c>
      <x:c r="W787" s="6" t="str">
        <x:v>0.0</x:v>
      </x:c>
      <x:c r="X787" s="6" t="str">
        <x:v>1</x:v>
      </x:c>
      <x:c r="Y787" s="6" t="str">
        <x:v>35.0</x:v>
      </x:c>
      <x:c r="Z787" s="6" t="str">
        <x:v>1</x:v>
      </x:c>
      <x:c r="AA787" s="6" t="str">
        <x:v>0.0</x:v>
      </x:c>
      <x:c r="AB787" s="6" t="str">
        <x:v>1</x:v>
      </x:c>
      <x:c r="AC787" s="6" t="str">
        <x:v>2025-06</x:v>
      </x:c>
      <x:c r="AD787" s="9" t="str">
        <x:v>BNPB operational disaster search table</x:v>
      </x:c>
      <x:c r="AE787" s="9" t="str">
        <x:v>https://gis.bnpb.go.id/databencana/tabel/pencarian.php</x:v>
      </x:c>
      <x:c r="AF787" s="9" t="str">
        <x:v>operational_snapshot_annual_totals_may_differ</x:v>
      </x:c>
    </x:row>
    <x:row r="788" ht="18" customHeight="1">
      <x:c r="A788" s="6" t="str">
        <x:v>91</x:v>
      </x:c>
      <x:c r="B788" s="6" t="str">
        <x:v>PAPUA BARAT</x:v>
      </x:c>
      <x:c r="C788" s="6" t="str">
        <x:v>2025</x:v>
      </x:c>
      <x:c r="D788" s="6" t="str">
        <x:v>7</x:v>
      </x:c>
      <x:c r="E788" s="6" t="str">
        <x:v>0</x:v>
      </x:c>
      <x:c r="F788" s="6" t="str">
        <x:v>0</x:v>
      </x:c>
      <x:c r="G788" s="6" t="str">
        <x:v>0</x:v>
      </x:c>
      <x:c r="H788" s="6" t="str">
        <x:v>0</x:v>
      </x:c>
      <x:c r="I788" s="6" t="str">
        <x:v>0</x:v>
      </x:c>
      <x:c r="J788" s="6" t="str">
        <x:v>0</x:v>
      </x:c>
      <x:c r="K788" s="6" t="str">
        <x:v>0</x:v>
      </x:c>
      <x:c r="L788" s="6" t="str">
        <x:v>0</x:v>
      </x:c>
      <x:c r="M788" s="6" t="str">
        <x:v>0</x:v>
      </x:c>
      <x:c r="N788" s="6" t="str">
        <x:v>0</x:v>
      </x:c>
      <x:c r="O788" s="6" t="str">
        <x:v>0</x:v>
      </x:c>
      <x:c r="P788" s="6" t="str">
        <x:v>0</x:v>
      </x:c>
      <x:c r="Q788" s="6" t="str"/>
      <x:c r="R788" s="6" t="str">
        <x:v>0</x:v>
      </x:c>
      <x:c r="S788" s="6" t="str"/>
      <x:c r="T788" s="6" t="str">
        <x:v>0</x:v>
      </x:c>
      <x:c r="U788" s="6" t="str"/>
      <x:c r="V788" s="6" t="str">
        <x:v>0</x:v>
      </x:c>
      <x:c r="W788" s="6" t="str"/>
      <x:c r="X788" s="6" t="str">
        <x:v>0</x:v>
      </x:c>
      <x:c r="Y788" s="6" t="str"/>
      <x:c r="Z788" s="6" t="str">
        <x:v>0</x:v>
      </x:c>
      <x:c r="AA788" s="6" t="str"/>
      <x:c r="AB788" s="6" t="str">
        <x:v>0</x:v>
      </x:c>
      <x:c r="AC788" s="6" t="str">
        <x:v>2025-07</x:v>
      </x:c>
      <x:c r="AD788" s="9" t="str">
        <x:v>BNPB operational disaster search table</x:v>
      </x:c>
      <x:c r="AE788" s="9" t="str">
        <x:v>https://gis.bnpb.go.id/databencana/tabel/pencarian.php</x:v>
      </x:c>
      <x:c r="AF788" s="9" t="str">
        <x:v>operational_snapshot_annual_totals_may_differ</x:v>
      </x:c>
    </x:row>
    <x:row r="789" ht="18" customHeight="1">
      <x:c r="A789" s="6" t="str">
        <x:v>91</x:v>
      </x:c>
      <x:c r="B789" s="6" t="str">
        <x:v>PAPUA BARAT</x:v>
      </x:c>
      <x:c r="C789" s="6" t="str">
        <x:v>2025</x:v>
      </x:c>
      <x:c r="D789" s="6" t="str">
        <x:v>8</x:v>
      </x:c>
      <x:c r="E789" s="6" t="str">
        <x:v>0</x:v>
      </x:c>
      <x:c r="F789" s="6" t="str">
        <x:v>0</x:v>
      </x:c>
      <x:c r="G789" s="6" t="str">
        <x:v>0</x:v>
      </x:c>
      <x:c r="H789" s="6" t="str">
        <x:v>0</x:v>
      </x:c>
      <x:c r="I789" s="6" t="str">
        <x:v>0</x:v>
      </x:c>
      <x:c r="J789" s="6" t="str">
        <x:v>0</x:v>
      </x:c>
      <x:c r="K789" s="6" t="str">
        <x:v>0</x:v>
      </x:c>
      <x:c r="L789" s="6" t="str">
        <x:v>0</x:v>
      </x:c>
      <x:c r="M789" s="6" t="str">
        <x:v>0</x:v>
      </x:c>
      <x:c r="N789" s="6" t="str">
        <x:v>0</x:v>
      </x:c>
      <x:c r="O789" s="6" t="str">
        <x:v>0</x:v>
      </x:c>
      <x:c r="P789" s="6" t="str">
        <x:v>0</x:v>
      </x:c>
      <x:c r="Q789" s="6" t="str"/>
      <x:c r="R789" s="6" t="str">
        <x:v>0</x:v>
      </x:c>
      <x:c r="S789" s="6" t="str"/>
      <x:c r="T789" s="6" t="str">
        <x:v>0</x:v>
      </x:c>
      <x:c r="U789" s="6" t="str"/>
      <x:c r="V789" s="6" t="str">
        <x:v>0</x:v>
      </x:c>
      <x:c r="W789" s="6" t="str"/>
      <x:c r="X789" s="6" t="str">
        <x:v>0</x:v>
      </x:c>
      <x:c r="Y789" s="6" t="str"/>
      <x:c r="Z789" s="6" t="str">
        <x:v>0</x:v>
      </x:c>
      <x:c r="AA789" s="6" t="str"/>
      <x:c r="AB789" s="6" t="str">
        <x:v>0</x:v>
      </x:c>
      <x:c r="AC789" s="6" t="str">
        <x:v>2025-08</x:v>
      </x:c>
      <x:c r="AD789" s="9" t="str">
        <x:v>BNPB operational disaster search table</x:v>
      </x:c>
      <x:c r="AE789" s="9" t="str">
        <x:v>https://gis.bnpb.go.id/databencana/tabel/pencarian.php</x:v>
      </x:c>
      <x:c r="AF789" s="9" t="str">
        <x:v>operational_snapshot_annual_totals_may_differ</x:v>
      </x:c>
    </x:row>
    <x:row r="790" ht="18" customHeight="1">
      <x:c r="A790" s="6" t="str">
        <x:v>91</x:v>
      </x:c>
      <x:c r="B790" s="6" t="str">
        <x:v>PAPUA BARAT</x:v>
      </x:c>
      <x:c r="C790" s="6" t="str">
        <x:v>2025</x:v>
      </x:c>
      <x:c r="D790" s="6" t="str">
        <x:v>9</x:v>
      </x:c>
      <x:c r="E790" s="6" t="str">
        <x:v>0</x:v>
      </x:c>
      <x:c r="F790" s="6" t="str">
        <x:v>0</x:v>
      </x:c>
      <x:c r="G790" s="6" t="str">
        <x:v>0</x:v>
      </x:c>
      <x:c r="H790" s="6" t="str">
        <x:v>0</x:v>
      </x:c>
      <x:c r="I790" s="6" t="str">
        <x:v>0</x:v>
      </x:c>
      <x:c r="J790" s="6" t="str">
        <x:v>0</x:v>
      </x:c>
      <x:c r="K790" s="6" t="str">
        <x:v>0</x:v>
      </x:c>
      <x:c r="L790" s="6" t="str">
        <x:v>0</x:v>
      </x:c>
      <x:c r="M790" s="6" t="str">
        <x:v>0</x:v>
      </x:c>
      <x:c r="N790" s="6" t="str">
        <x:v>0</x:v>
      </x:c>
      <x:c r="O790" s="6" t="str">
        <x:v>0</x:v>
      </x:c>
      <x:c r="P790" s="6" t="str">
        <x:v>0</x:v>
      </x:c>
      <x:c r="Q790" s="6" t="str"/>
      <x:c r="R790" s="6" t="str">
        <x:v>0</x:v>
      </x:c>
      <x:c r="S790" s="6" t="str"/>
      <x:c r="T790" s="6" t="str">
        <x:v>0</x:v>
      </x:c>
      <x:c r="U790" s="6" t="str"/>
      <x:c r="V790" s="6" t="str">
        <x:v>0</x:v>
      </x:c>
      <x:c r="W790" s="6" t="str"/>
      <x:c r="X790" s="6" t="str">
        <x:v>0</x:v>
      </x:c>
      <x:c r="Y790" s="6" t="str"/>
      <x:c r="Z790" s="6" t="str">
        <x:v>0</x:v>
      </x:c>
      <x:c r="AA790" s="6" t="str"/>
      <x:c r="AB790" s="6" t="str">
        <x:v>0</x:v>
      </x:c>
      <x:c r="AC790" s="6" t="str">
        <x:v>2025-09</x:v>
      </x:c>
      <x:c r="AD790" s="9" t="str">
        <x:v>BNPB operational disaster search table</x:v>
      </x:c>
      <x:c r="AE790" s="9" t="str">
        <x:v>https://gis.bnpb.go.id/databencana/tabel/pencarian.php</x:v>
      </x:c>
      <x:c r="AF790" s="9" t="str">
        <x:v>operational_snapshot_annual_totals_may_differ</x:v>
      </x:c>
    </x:row>
    <x:row r="791" ht="18" customHeight="1">
      <x:c r="A791" s="6" t="str">
        <x:v>91</x:v>
      </x:c>
      <x:c r="B791" s="6" t="str">
        <x:v>PAPUA BARAT</x:v>
      </x:c>
      <x:c r="C791" s="6" t="str">
        <x:v>2025</x:v>
      </x:c>
      <x:c r="D791" s="6" t="str">
        <x:v>10</x:v>
      </x:c>
      <x:c r="E791" s="6" t="str">
        <x:v>0</x:v>
      </x:c>
      <x:c r="F791" s="6" t="str">
        <x:v>0</x:v>
      </x:c>
      <x:c r="G791" s="6" t="str">
        <x:v>0</x:v>
      </x:c>
      <x:c r="H791" s="6" t="str">
        <x:v>0</x:v>
      </x:c>
      <x:c r="I791" s="6" t="str">
        <x:v>0</x:v>
      </x:c>
      <x:c r="J791" s="6" t="str">
        <x:v>0</x:v>
      </x:c>
      <x:c r="K791" s="6" t="str">
        <x:v>0</x:v>
      </x:c>
      <x:c r="L791" s="6" t="str">
        <x:v>0</x:v>
      </x:c>
      <x:c r="M791" s="6" t="str">
        <x:v>0</x:v>
      </x:c>
      <x:c r="N791" s="6" t="str">
        <x:v>0</x:v>
      </x:c>
      <x:c r="O791" s="6" t="str">
        <x:v>0</x:v>
      </x:c>
      <x:c r="P791" s="6" t="str">
        <x:v>0</x:v>
      </x:c>
      <x:c r="Q791" s="6" t="str"/>
      <x:c r="R791" s="6" t="str">
        <x:v>0</x:v>
      </x:c>
      <x:c r="S791" s="6" t="str"/>
      <x:c r="T791" s="6" t="str">
        <x:v>0</x:v>
      </x:c>
      <x:c r="U791" s="6" t="str"/>
      <x:c r="V791" s="6" t="str">
        <x:v>0</x:v>
      </x:c>
      <x:c r="W791" s="6" t="str"/>
      <x:c r="X791" s="6" t="str">
        <x:v>0</x:v>
      </x:c>
      <x:c r="Y791" s="6" t="str"/>
      <x:c r="Z791" s="6" t="str">
        <x:v>0</x:v>
      </x:c>
      <x:c r="AA791" s="6" t="str"/>
      <x:c r="AB791" s="6" t="str">
        <x:v>0</x:v>
      </x:c>
      <x:c r="AC791" s="6" t="str">
        <x:v>2025-10</x:v>
      </x:c>
      <x:c r="AD791" s="9" t="str">
        <x:v>BNPB operational disaster search table</x:v>
      </x:c>
      <x:c r="AE791" s="9" t="str">
        <x:v>https://gis.bnpb.go.id/databencana/tabel/pencarian.php</x:v>
      </x:c>
      <x:c r="AF791" s="9" t="str">
        <x:v>operational_snapshot_annual_totals_may_differ</x:v>
      </x:c>
    </x:row>
    <x:row r="792" ht="18" customHeight="1">
      <x:c r="A792" s="6" t="str">
        <x:v>91</x:v>
      </x:c>
      <x:c r="B792" s="6" t="str">
        <x:v>PAPUA BARAT</x:v>
      </x:c>
      <x:c r="C792" s="6" t="str">
        <x:v>2025</x:v>
      </x:c>
      <x:c r="D792" s="6" t="str">
        <x:v>11</x:v>
      </x:c>
      <x:c r="E792" s="6" t="str">
        <x:v>0</x:v>
      </x:c>
      <x:c r="F792" s="6" t="str">
        <x:v>0</x:v>
      </x:c>
      <x:c r="G792" s="6" t="str">
        <x:v>0</x:v>
      </x:c>
      <x:c r="H792" s="6" t="str">
        <x:v>0</x:v>
      </x:c>
      <x:c r="I792" s="6" t="str">
        <x:v>0</x:v>
      </x:c>
      <x:c r="J792" s="6" t="str">
        <x:v>0</x:v>
      </x:c>
      <x:c r="K792" s="6" t="str">
        <x:v>0</x:v>
      </x:c>
      <x:c r="L792" s="6" t="str">
        <x:v>0</x:v>
      </x:c>
      <x:c r="M792" s="6" t="str">
        <x:v>0</x:v>
      </x:c>
      <x:c r="N792" s="6" t="str">
        <x:v>0</x:v>
      </x:c>
      <x:c r="O792" s="6" t="str">
        <x:v>0</x:v>
      </x:c>
      <x:c r="P792" s="6" t="str">
        <x:v>0</x:v>
      </x:c>
      <x:c r="Q792" s="6" t="str"/>
      <x:c r="R792" s="6" t="str">
        <x:v>0</x:v>
      </x:c>
      <x:c r="S792" s="6" t="str"/>
      <x:c r="T792" s="6" t="str">
        <x:v>0</x:v>
      </x:c>
      <x:c r="U792" s="6" t="str"/>
      <x:c r="V792" s="6" t="str">
        <x:v>0</x:v>
      </x:c>
      <x:c r="W792" s="6" t="str"/>
      <x:c r="X792" s="6" t="str">
        <x:v>0</x:v>
      </x:c>
      <x:c r="Y792" s="6" t="str"/>
      <x:c r="Z792" s="6" t="str">
        <x:v>0</x:v>
      </x:c>
      <x:c r="AA792" s="6" t="str"/>
      <x:c r="AB792" s="6" t="str">
        <x:v>0</x:v>
      </x:c>
      <x:c r="AC792" s="6" t="str">
        <x:v>2025-11</x:v>
      </x:c>
      <x:c r="AD792" s="9" t="str">
        <x:v>BNPB operational disaster search table</x:v>
      </x:c>
      <x:c r="AE792" s="9" t="str">
        <x:v>https://gis.bnpb.go.id/databencana/tabel/pencarian.php</x:v>
      </x:c>
      <x:c r="AF792" s="9" t="str">
        <x:v>operational_snapshot_annual_totals_may_differ</x:v>
      </x:c>
    </x:row>
    <x:row r="793" ht="18" customHeight="1">
      <x:c r="A793" s="6" t="str">
        <x:v>91</x:v>
      </x:c>
      <x:c r="B793" s="6" t="str">
        <x:v>PAPUA BARAT</x:v>
      </x:c>
      <x:c r="C793" s="6" t="str">
        <x:v>2025</x:v>
      </x:c>
      <x:c r="D793" s="6" t="str">
        <x:v>12</x:v>
      </x:c>
      <x:c r="E793" s="6" t="str">
        <x:v>1</x:v>
      </x:c>
      <x:c r="F793" s="6" t="str">
        <x:v>1</x:v>
      </x:c>
      <x:c r="G793" s="6" t="str">
        <x:v>1</x:v>
      </x:c>
      <x:c r="H793" s="6" t="str">
        <x:v>0</x:v>
      </x:c>
      <x:c r="I793" s="6" t="str">
        <x:v>0</x:v>
      </x:c>
      <x:c r="J793" s="6" t="str">
        <x:v>0</x:v>
      </x:c>
      <x:c r="K793" s="6" t="str">
        <x:v>0</x:v>
      </x:c>
      <x:c r="L793" s="6" t="str">
        <x:v>0</x:v>
      </x:c>
      <x:c r="M793" s="6" t="str">
        <x:v>0</x:v>
      </x:c>
      <x:c r="N793" s="6" t="str">
        <x:v>0</x:v>
      </x:c>
      <x:c r="O793" s="6" t="str">
        <x:v>0</x:v>
      </x:c>
      <x:c r="P793" s="6" t="str">
        <x:v>1</x:v>
      </x:c>
      <x:c r="Q793" s="6" t="str"/>
      <x:c r="R793" s="6" t="str">
        <x:v>0</x:v>
      </x:c>
      <x:c r="S793" s="6" t="str"/>
      <x:c r="T793" s="6" t="str">
        <x:v>0</x:v>
      </x:c>
      <x:c r="U793" s="6" t="str"/>
      <x:c r="V793" s="6" t="str">
        <x:v>0</x:v>
      </x:c>
      <x:c r="W793" s="6" t="str">
        <x:v>4.0</x:v>
      </x:c>
      <x:c r="X793" s="6" t="str">
        <x:v>1</x:v>
      </x:c>
      <x:c r="Y793" s="6" t="str">
        <x:v>100.0</x:v>
      </x:c>
      <x:c r="Z793" s="6" t="str">
        <x:v>1</x:v>
      </x:c>
      <x:c r="AA793" s="6" t="str">
        <x:v>2.0</x:v>
      </x:c>
      <x:c r="AB793" s="6" t="str">
        <x:v>1</x:v>
      </x:c>
      <x:c r="AC793" s="6" t="str">
        <x:v>2025-12</x:v>
      </x:c>
      <x:c r="AD793" s="9" t="str">
        <x:v>BNPB operational disaster search table</x:v>
      </x:c>
      <x:c r="AE793" s="9" t="str">
        <x:v>https://gis.bnpb.go.id/databencana/tabel/pencarian.php</x:v>
      </x:c>
      <x:c r="AF793" s="9" t="str">
        <x:v>operational_snapshot_annual_totals_may_differ</x:v>
      </x:c>
    </x:row>
    <x:row r="794" ht="18" customHeight="1">
      <x:c r="A794" s="6" t="str">
        <x:v>92</x:v>
      </x:c>
      <x:c r="B794" s="6" t="str">
        <x:v>PAPUA BARAT DAYA</x:v>
      </x:c>
      <x:c r="C794" s="6" t="str">
        <x:v>2024</x:v>
      </x:c>
      <x:c r="D794" s="6" t="str">
        <x:v>1</x:v>
      </x:c>
      <x:c r="E794" s="6" t="str">
        <x:v>0</x:v>
      </x:c>
      <x:c r="F794" s="6" t="str">
        <x:v>0</x:v>
      </x:c>
      <x:c r="G794" s="6" t="str">
        <x:v>0</x:v>
      </x:c>
      <x:c r="H794" s="6" t="str">
        <x:v>0</x:v>
      </x:c>
      <x:c r="I794" s="6" t="str">
        <x:v>0</x:v>
      </x:c>
      <x:c r="J794" s="6" t="str">
        <x:v>0</x:v>
      </x:c>
      <x:c r="K794" s="6" t="str">
        <x:v>0</x:v>
      </x:c>
      <x:c r="L794" s="6" t="str">
        <x:v>0</x:v>
      </x:c>
      <x:c r="M794" s="6" t="str">
        <x:v>0</x:v>
      </x:c>
      <x:c r="N794" s="6" t="str">
        <x:v>0</x:v>
      </x:c>
      <x:c r="O794" s="6" t="str">
        <x:v>0</x:v>
      </x:c>
      <x:c r="P794" s="6" t="str">
        <x:v>0</x:v>
      </x:c>
      <x:c r="Q794" s="6" t="str"/>
      <x:c r="R794" s="6" t="str">
        <x:v>0</x:v>
      </x:c>
      <x:c r="S794" s="6" t="str"/>
      <x:c r="T794" s="6" t="str">
        <x:v>0</x:v>
      </x:c>
      <x:c r="U794" s="6" t="str"/>
      <x:c r="V794" s="6" t="str">
        <x:v>0</x:v>
      </x:c>
      <x:c r="W794" s="6" t="str"/>
      <x:c r="X794" s="6" t="str">
        <x:v>0</x:v>
      </x:c>
      <x:c r="Y794" s="6" t="str"/>
      <x:c r="Z794" s="6" t="str">
        <x:v>0</x:v>
      </x:c>
      <x:c r="AA794" s="6" t="str"/>
      <x:c r="AB794" s="6" t="str">
        <x:v>0</x:v>
      </x:c>
      <x:c r="AC794" s="6" t="str">
        <x:v>2024-01</x:v>
      </x:c>
      <x:c r="AD794" s="9" t="str">
        <x:v>BNPB operational disaster search table</x:v>
      </x:c>
      <x:c r="AE794" s="9" t="str">
        <x:v>https://gis.bnpb.go.id/databencana/tabel/pencarian.php</x:v>
      </x:c>
      <x:c r="AF794" s="9" t="str">
        <x:v>operational_snapshot_annual_totals_may_differ</x:v>
      </x:c>
    </x:row>
    <x:row r="795" ht="18" customHeight="1">
      <x:c r="A795" s="6" t="str">
        <x:v>92</x:v>
      </x:c>
      <x:c r="B795" s="6" t="str">
        <x:v>PAPUA BARAT DAYA</x:v>
      </x:c>
      <x:c r="C795" s="6" t="str">
        <x:v>2024</x:v>
      </x:c>
      <x:c r="D795" s="6" t="str">
        <x:v>2</x:v>
      </x:c>
      <x:c r="E795" s="6" t="str">
        <x:v>0</x:v>
      </x:c>
      <x:c r="F795" s="6" t="str">
        <x:v>0</x:v>
      </x:c>
      <x:c r="G795" s="6" t="str">
        <x:v>0</x:v>
      </x:c>
      <x:c r="H795" s="6" t="str">
        <x:v>0</x:v>
      </x:c>
      <x:c r="I795" s="6" t="str">
        <x:v>0</x:v>
      </x:c>
      <x:c r="J795" s="6" t="str">
        <x:v>0</x:v>
      </x:c>
      <x:c r="K795" s="6" t="str">
        <x:v>0</x:v>
      </x:c>
      <x:c r="L795" s="6" t="str">
        <x:v>0</x:v>
      </x:c>
      <x:c r="M795" s="6" t="str">
        <x:v>0</x:v>
      </x:c>
      <x:c r="N795" s="6" t="str">
        <x:v>0</x:v>
      </x:c>
      <x:c r="O795" s="6" t="str">
        <x:v>0</x:v>
      </x:c>
      <x:c r="P795" s="6" t="str">
        <x:v>0</x:v>
      </x:c>
      <x:c r="Q795" s="6" t="str"/>
      <x:c r="R795" s="6" t="str">
        <x:v>0</x:v>
      </x:c>
      <x:c r="S795" s="6" t="str"/>
      <x:c r="T795" s="6" t="str">
        <x:v>0</x:v>
      </x:c>
      <x:c r="U795" s="6" t="str"/>
      <x:c r="V795" s="6" t="str">
        <x:v>0</x:v>
      </x:c>
      <x:c r="W795" s="6" t="str"/>
      <x:c r="X795" s="6" t="str">
        <x:v>0</x:v>
      </x:c>
      <x:c r="Y795" s="6" t="str"/>
      <x:c r="Z795" s="6" t="str">
        <x:v>0</x:v>
      </x:c>
      <x:c r="AA795" s="6" t="str"/>
      <x:c r="AB795" s="6" t="str">
        <x:v>0</x:v>
      </x:c>
      <x:c r="AC795" s="6" t="str">
        <x:v>2024-02</x:v>
      </x:c>
      <x:c r="AD795" s="9" t="str">
        <x:v>BNPB operational disaster search table</x:v>
      </x:c>
      <x:c r="AE795" s="9" t="str">
        <x:v>https://gis.bnpb.go.id/databencana/tabel/pencarian.php</x:v>
      </x:c>
      <x:c r="AF795" s="9" t="str">
        <x:v>operational_snapshot_annual_totals_may_differ</x:v>
      </x:c>
    </x:row>
    <x:row r="796" ht="18" customHeight="1">
      <x:c r="A796" s="6" t="str">
        <x:v>92</x:v>
      </x:c>
      <x:c r="B796" s="6" t="str">
        <x:v>PAPUA BARAT DAYA</x:v>
      </x:c>
      <x:c r="C796" s="6" t="str">
        <x:v>2024</x:v>
      </x:c>
      <x:c r="D796" s="6" t="str">
        <x:v>3</x:v>
      </x:c>
      <x:c r="E796" s="6" t="str">
        <x:v>1</x:v>
      </x:c>
      <x:c r="F796" s="6" t="str">
        <x:v>1</x:v>
      </x:c>
      <x:c r="G796" s="6" t="str">
        <x:v>1</x:v>
      </x:c>
      <x:c r="H796" s="6" t="str">
        <x:v>0</x:v>
      </x:c>
      <x:c r="I796" s="6" t="str">
        <x:v>0</x:v>
      </x:c>
      <x:c r="J796" s="6" t="str">
        <x:v>0</x:v>
      </x:c>
      <x:c r="K796" s="6" t="str">
        <x:v>0</x:v>
      </x:c>
      <x:c r="L796" s="6" t="str">
        <x:v>0</x:v>
      </x:c>
      <x:c r="M796" s="6" t="str">
        <x:v>0</x:v>
      </x:c>
      <x:c r="N796" s="6" t="str">
        <x:v>0</x:v>
      </x:c>
      <x:c r="O796" s="6" t="str">
        <x:v>0</x:v>
      </x:c>
      <x:c r="P796" s="6" t="str">
        <x:v>1</x:v>
      </x:c>
      <x:c r="Q796" s="6" t="str">
        <x:v>0.0</x:v>
      </x:c>
      <x:c r="R796" s="6" t="str">
        <x:v>1</x:v>
      </x:c>
      <x:c r="S796" s="6" t="str">
        <x:v>0.0</x:v>
      </x:c>
      <x:c r="T796" s="6" t="str">
        <x:v>1</x:v>
      </x:c>
      <x:c r="U796" s="6" t="str">
        <x:v>0.0</x:v>
      </x:c>
      <x:c r="V796" s="6" t="str">
        <x:v>1</x:v>
      </x:c>
      <x:c r="W796" s="6" t="str">
        <x:v>0.0</x:v>
      </x:c>
      <x:c r="X796" s="6" t="str">
        <x:v>1</x:v>
      </x:c>
      <x:c r="Y796" s="6" t="str">
        <x:v>3324.0</x:v>
      </x:c>
      <x:c r="Z796" s="6" t="str">
        <x:v>1</x:v>
      </x:c>
      <x:c r="AA796" s="6" t="str">
        <x:v>0.0</x:v>
      </x:c>
      <x:c r="AB796" s="6" t="str">
        <x:v>1</x:v>
      </x:c>
      <x:c r="AC796" s="6" t="str">
        <x:v>2024-03</x:v>
      </x:c>
      <x:c r="AD796" s="9" t="str">
        <x:v>BNPB operational disaster search table</x:v>
      </x:c>
      <x:c r="AE796" s="9" t="str">
        <x:v>https://gis.bnpb.go.id/databencana/tabel/pencarian.php</x:v>
      </x:c>
      <x:c r="AF796" s="9" t="str">
        <x:v>operational_snapshot_annual_totals_may_differ</x:v>
      </x:c>
    </x:row>
    <x:row r="797" ht="18" customHeight="1">
      <x:c r="A797" s="6" t="str">
        <x:v>92</x:v>
      </x:c>
      <x:c r="B797" s="6" t="str">
        <x:v>PAPUA BARAT DAYA</x:v>
      </x:c>
      <x:c r="C797" s="6" t="str">
        <x:v>2024</x:v>
      </x:c>
      <x:c r="D797" s="6" t="str">
        <x:v>4</x:v>
      </x:c>
      <x:c r="E797" s="6" t="str">
        <x:v>0</x:v>
      </x:c>
      <x:c r="F797" s="6" t="str">
        <x:v>0</x:v>
      </x:c>
      <x:c r="G797" s="6" t="str">
        <x:v>0</x:v>
      </x:c>
      <x:c r="H797" s="6" t="str">
        <x:v>0</x:v>
      </x:c>
      <x:c r="I797" s="6" t="str">
        <x:v>0</x:v>
      </x:c>
      <x:c r="J797" s="6" t="str">
        <x:v>0</x:v>
      </x:c>
      <x:c r="K797" s="6" t="str">
        <x:v>0</x:v>
      </x:c>
      <x:c r="L797" s="6" t="str">
        <x:v>0</x:v>
      </x:c>
      <x:c r="M797" s="6" t="str">
        <x:v>0</x:v>
      </x:c>
      <x:c r="N797" s="6" t="str">
        <x:v>0</x:v>
      </x:c>
      <x:c r="O797" s="6" t="str">
        <x:v>0</x:v>
      </x:c>
      <x:c r="P797" s="6" t="str">
        <x:v>0</x:v>
      </x:c>
      <x:c r="Q797" s="6" t="str"/>
      <x:c r="R797" s="6" t="str">
        <x:v>0</x:v>
      </x:c>
      <x:c r="S797" s="6" t="str"/>
      <x:c r="T797" s="6" t="str">
        <x:v>0</x:v>
      </x:c>
      <x:c r="U797" s="6" t="str"/>
      <x:c r="V797" s="6" t="str">
        <x:v>0</x:v>
      </x:c>
      <x:c r="W797" s="6" t="str"/>
      <x:c r="X797" s="6" t="str">
        <x:v>0</x:v>
      </x:c>
      <x:c r="Y797" s="6" t="str"/>
      <x:c r="Z797" s="6" t="str">
        <x:v>0</x:v>
      </x:c>
      <x:c r="AA797" s="6" t="str"/>
      <x:c r="AB797" s="6" t="str">
        <x:v>0</x:v>
      </x:c>
      <x:c r="AC797" s="6" t="str">
        <x:v>2024-04</x:v>
      </x:c>
      <x:c r="AD797" s="9" t="str">
        <x:v>BNPB operational disaster search table</x:v>
      </x:c>
      <x:c r="AE797" s="9" t="str">
        <x:v>https://gis.bnpb.go.id/databencana/tabel/pencarian.php</x:v>
      </x:c>
      <x:c r="AF797" s="9" t="str">
        <x:v>operational_snapshot_annual_totals_may_differ</x:v>
      </x:c>
    </x:row>
    <x:row r="798" ht="18" customHeight="1">
      <x:c r="A798" s="6" t="str">
        <x:v>92</x:v>
      </x:c>
      <x:c r="B798" s="6" t="str">
        <x:v>PAPUA BARAT DAYA</x:v>
      </x:c>
      <x:c r="C798" s="6" t="str">
        <x:v>2024</x:v>
      </x:c>
      <x:c r="D798" s="6" t="str">
        <x:v>5</x:v>
      </x:c>
      <x:c r="E798" s="6" t="str">
        <x:v>0</x:v>
      </x:c>
      <x:c r="F798" s="6" t="str">
        <x:v>0</x:v>
      </x:c>
      <x:c r="G798" s="6" t="str">
        <x:v>0</x:v>
      </x:c>
      <x:c r="H798" s="6" t="str">
        <x:v>0</x:v>
      </x:c>
      <x:c r="I798" s="6" t="str">
        <x:v>0</x:v>
      </x:c>
      <x:c r="J798" s="6" t="str">
        <x:v>0</x:v>
      </x:c>
      <x:c r="K798" s="6" t="str">
        <x:v>0</x:v>
      </x:c>
      <x:c r="L798" s="6" t="str">
        <x:v>0</x:v>
      </x:c>
      <x:c r="M798" s="6" t="str">
        <x:v>0</x:v>
      </x:c>
      <x:c r="N798" s="6" t="str">
        <x:v>0</x:v>
      </x:c>
      <x:c r="O798" s="6" t="str">
        <x:v>0</x:v>
      </x:c>
      <x:c r="P798" s="6" t="str">
        <x:v>0</x:v>
      </x:c>
      <x:c r="Q798" s="6" t="str"/>
      <x:c r="R798" s="6" t="str">
        <x:v>0</x:v>
      </x:c>
      <x:c r="S798" s="6" t="str"/>
      <x:c r="T798" s="6" t="str">
        <x:v>0</x:v>
      </x:c>
      <x:c r="U798" s="6" t="str"/>
      <x:c r="V798" s="6" t="str">
        <x:v>0</x:v>
      </x:c>
      <x:c r="W798" s="6" t="str"/>
      <x:c r="X798" s="6" t="str">
        <x:v>0</x:v>
      </x:c>
      <x:c r="Y798" s="6" t="str"/>
      <x:c r="Z798" s="6" t="str">
        <x:v>0</x:v>
      </x:c>
      <x:c r="AA798" s="6" t="str"/>
      <x:c r="AB798" s="6" t="str">
        <x:v>0</x:v>
      </x:c>
      <x:c r="AC798" s="6" t="str">
        <x:v>2024-05</x:v>
      </x:c>
      <x:c r="AD798" s="9" t="str">
        <x:v>BNPB operational disaster search table</x:v>
      </x:c>
      <x:c r="AE798" s="9" t="str">
        <x:v>https://gis.bnpb.go.id/databencana/tabel/pencarian.php</x:v>
      </x:c>
      <x:c r="AF798" s="9" t="str">
        <x:v>operational_snapshot_annual_totals_may_differ</x:v>
      </x:c>
    </x:row>
    <x:row r="799" ht="18" customHeight="1">
      <x:c r="A799" s="6" t="str">
        <x:v>92</x:v>
      </x:c>
      <x:c r="B799" s="6" t="str">
        <x:v>PAPUA BARAT DAYA</x:v>
      </x:c>
      <x:c r="C799" s="6" t="str">
        <x:v>2024</x:v>
      </x:c>
      <x:c r="D799" s="6" t="str">
        <x:v>6</x:v>
      </x:c>
      <x:c r="E799" s="6" t="str">
        <x:v>0</x:v>
      </x:c>
      <x:c r="F799" s="6" t="str">
        <x:v>0</x:v>
      </x:c>
      <x:c r="G799" s="6" t="str">
        <x:v>0</x:v>
      </x:c>
      <x:c r="H799" s="6" t="str">
        <x:v>0</x:v>
      </x:c>
      <x:c r="I799" s="6" t="str">
        <x:v>0</x:v>
      </x:c>
      <x:c r="J799" s="6" t="str">
        <x:v>0</x:v>
      </x:c>
      <x:c r="K799" s="6" t="str">
        <x:v>0</x:v>
      </x:c>
      <x:c r="L799" s="6" t="str">
        <x:v>0</x:v>
      </x:c>
      <x:c r="M799" s="6" t="str">
        <x:v>0</x:v>
      </x:c>
      <x:c r="N799" s="6" t="str">
        <x:v>0</x:v>
      </x:c>
      <x:c r="O799" s="6" t="str">
        <x:v>0</x:v>
      </x:c>
      <x:c r="P799" s="6" t="str">
        <x:v>0</x:v>
      </x:c>
      <x:c r="Q799" s="6" t="str"/>
      <x:c r="R799" s="6" t="str">
        <x:v>0</x:v>
      </x:c>
      <x:c r="S799" s="6" t="str"/>
      <x:c r="T799" s="6" t="str">
        <x:v>0</x:v>
      </x:c>
      <x:c r="U799" s="6" t="str"/>
      <x:c r="V799" s="6" t="str">
        <x:v>0</x:v>
      </x:c>
      <x:c r="W799" s="6" t="str"/>
      <x:c r="X799" s="6" t="str">
        <x:v>0</x:v>
      </x:c>
      <x:c r="Y799" s="6" t="str"/>
      <x:c r="Z799" s="6" t="str">
        <x:v>0</x:v>
      </x:c>
      <x:c r="AA799" s="6" t="str"/>
      <x:c r="AB799" s="6" t="str">
        <x:v>0</x:v>
      </x:c>
      <x:c r="AC799" s="6" t="str">
        <x:v>2024-06</x:v>
      </x:c>
      <x:c r="AD799" s="9" t="str">
        <x:v>BNPB operational disaster search table</x:v>
      </x:c>
      <x:c r="AE799" s="9" t="str">
        <x:v>https://gis.bnpb.go.id/databencana/tabel/pencarian.php</x:v>
      </x:c>
      <x:c r="AF799" s="9" t="str">
        <x:v>operational_snapshot_annual_totals_may_differ</x:v>
      </x:c>
    </x:row>
    <x:row r="800" ht="18" customHeight="1">
      <x:c r="A800" s="6" t="str">
        <x:v>92</x:v>
      </x:c>
      <x:c r="B800" s="6" t="str">
        <x:v>PAPUA BARAT DAYA</x:v>
      </x:c>
      <x:c r="C800" s="6" t="str">
        <x:v>2024</x:v>
      </x:c>
      <x:c r="D800" s="6" t="str">
        <x:v>7</x:v>
      </x:c>
      <x:c r="E800" s="6" t="str">
        <x:v>0</x:v>
      </x:c>
      <x:c r="F800" s="6" t="str">
        <x:v>0</x:v>
      </x:c>
      <x:c r="G800" s="6" t="str">
        <x:v>0</x:v>
      </x:c>
      <x:c r="H800" s="6" t="str">
        <x:v>0</x:v>
      </x:c>
      <x:c r="I800" s="6" t="str">
        <x:v>0</x:v>
      </x:c>
      <x:c r="J800" s="6" t="str">
        <x:v>0</x:v>
      </x:c>
      <x:c r="K800" s="6" t="str">
        <x:v>0</x:v>
      </x:c>
      <x:c r="L800" s="6" t="str">
        <x:v>0</x:v>
      </x:c>
      <x:c r="M800" s="6" t="str">
        <x:v>0</x:v>
      </x:c>
      <x:c r="N800" s="6" t="str">
        <x:v>0</x:v>
      </x:c>
      <x:c r="O800" s="6" t="str">
        <x:v>0</x:v>
      </x:c>
      <x:c r="P800" s="6" t="str">
        <x:v>0</x:v>
      </x:c>
      <x:c r="Q800" s="6" t="str"/>
      <x:c r="R800" s="6" t="str">
        <x:v>0</x:v>
      </x:c>
      <x:c r="S800" s="6" t="str"/>
      <x:c r="T800" s="6" t="str">
        <x:v>0</x:v>
      </x:c>
      <x:c r="U800" s="6" t="str"/>
      <x:c r="V800" s="6" t="str">
        <x:v>0</x:v>
      </x:c>
      <x:c r="W800" s="6" t="str"/>
      <x:c r="X800" s="6" t="str">
        <x:v>0</x:v>
      </x:c>
      <x:c r="Y800" s="6" t="str"/>
      <x:c r="Z800" s="6" t="str">
        <x:v>0</x:v>
      </x:c>
      <x:c r="AA800" s="6" t="str"/>
      <x:c r="AB800" s="6" t="str">
        <x:v>0</x:v>
      </x:c>
      <x:c r="AC800" s="6" t="str">
        <x:v>2024-07</x:v>
      </x:c>
      <x:c r="AD800" s="9" t="str">
        <x:v>BNPB operational disaster search table</x:v>
      </x:c>
      <x:c r="AE800" s="9" t="str">
        <x:v>https://gis.bnpb.go.id/databencana/tabel/pencarian.php</x:v>
      </x:c>
      <x:c r="AF800" s="9" t="str">
        <x:v>operational_snapshot_annual_totals_may_differ</x:v>
      </x:c>
    </x:row>
    <x:row r="801" ht="18" customHeight="1">
      <x:c r="A801" s="6" t="str">
        <x:v>92</x:v>
      </x:c>
      <x:c r="B801" s="6" t="str">
        <x:v>PAPUA BARAT DAYA</x:v>
      </x:c>
      <x:c r="C801" s="6" t="str">
        <x:v>2024</x:v>
      </x:c>
      <x:c r="D801" s="6" t="str">
        <x:v>8</x:v>
      </x:c>
      <x:c r="E801" s="6" t="str">
        <x:v>3</x:v>
      </x:c>
      <x:c r="F801" s="6" t="str">
        <x:v>3</x:v>
      </x:c>
      <x:c r="G801" s="6" t="str">
        <x:v>3</x:v>
      </x:c>
      <x:c r="H801" s="6" t="str">
        <x:v>0</x:v>
      </x:c>
      <x:c r="I801" s="6" t="str">
        <x:v>0</x:v>
      </x:c>
      <x:c r="J801" s="6" t="str">
        <x:v>0</x:v>
      </x:c>
      <x:c r="K801" s="6" t="str">
        <x:v>0</x:v>
      </x:c>
      <x:c r="L801" s="6" t="str">
        <x:v>0</x:v>
      </x:c>
      <x:c r="M801" s="6" t="str">
        <x:v>0</x:v>
      </x:c>
      <x:c r="N801" s="6" t="str">
        <x:v>0</x:v>
      </x:c>
      <x:c r="O801" s="6" t="str">
        <x:v>0</x:v>
      </x:c>
      <x:c r="P801" s="6" t="str">
        <x:v>3</x:v>
      </x:c>
      <x:c r="Q801" s="6" t="str">
        <x:v>0.0</x:v>
      </x:c>
      <x:c r="R801" s="6" t="str">
        <x:v>3</x:v>
      </x:c>
      <x:c r="S801" s="6" t="str">
        <x:v>0.0</x:v>
      </x:c>
      <x:c r="T801" s="6" t="str">
        <x:v>3</x:v>
      </x:c>
      <x:c r="U801" s="6" t="str">
        <x:v>0.0</x:v>
      </x:c>
      <x:c r="V801" s="6" t="str">
        <x:v>3</x:v>
      </x:c>
      <x:c r="W801" s="6" t="str">
        <x:v>40.0</x:v>
      </x:c>
      <x:c r="X801" s="6" t="str">
        <x:v>3</x:v>
      </x:c>
      <x:c r="Y801" s="6" t="str">
        <x:v>3117.0</x:v>
      </x:c>
      <x:c r="Z801" s="6" t="str">
        <x:v>2</x:v>
      </x:c>
      <x:c r="AA801" s="6" t="str">
        <x:v>1.0</x:v>
      </x:c>
      <x:c r="AB801" s="6" t="str">
        <x:v>3</x:v>
      </x:c>
      <x:c r="AC801" s="6" t="str">
        <x:v>2024-08</x:v>
      </x:c>
      <x:c r="AD801" s="9" t="str">
        <x:v>BNPB operational disaster search table</x:v>
      </x:c>
      <x:c r="AE801" s="9" t="str">
        <x:v>https://gis.bnpb.go.id/databencana/tabel/pencarian.php</x:v>
      </x:c>
      <x:c r="AF801" s="9" t="str">
        <x:v>operational_snapshot_annual_totals_may_differ</x:v>
      </x:c>
    </x:row>
    <x:row r="802" ht="18" customHeight="1">
      <x:c r="A802" s="6" t="str">
        <x:v>92</x:v>
      </x:c>
      <x:c r="B802" s="6" t="str">
        <x:v>PAPUA BARAT DAYA</x:v>
      </x:c>
      <x:c r="C802" s="6" t="str">
        <x:v>2024</x:v>
      </x:c>
      <x:c r="D802" s="6" t="str">
        <x:v>9</x:v>
      </x:c>
      <x:c r="E802" s="6" t="str">
        <x:v>0</x:v>
      </x:c>
      <x:c r="F802" s="6" t="str">
        <x:v>0</x:v>
      </x:c>
      <x:c r="G802" s="6" t="str">
        <x:v>0</x:v>
      </x:c>
      <x:c r="H802" s="6" t="str">
        <x:v>0</x:v>
      </x:c>
      <x:c r="I802" s="6" t="str">
        <x:v>0</x:v>
      </x:c>
      <x:c r="J802" s="6" t="str">
        <x:v>0</x:v>
      </x:c>
      <x:c r="K802" s="6" t="str">
        <x:v>0</x:v>
      </x:c>
      <x:c r="L802" s="6" t="str">
        <x:v>0</x:v>
      </x:c>
      <x:c r="M802" s="6" t="str">
        <x:v>0</x:v>
      </x:c>
      <x:c r="N802" s="6" t="str">
        <x:v>0</x:v>
      </x:c>
      <x:c r="O802" s="6" t="str">
        <x:v>0</x:v>
      </x:c>
      <x:c r="P802" s="6" t="str">
        <x:v>0</x:v>
      </x:c>
      <x:c r="Q802" s="6" t="str"/>
      <x:c r="R802" s="6" t="str">
        <x:v>0</x:v>
      </x:c>
      <x:c r="S802" s="6" t="str"/>
      <x:c r="T802" s="6" t="str">
        <x:v>0</x:v>
      </x:c>
      <x:c r="U802" s="6" t="str"/>
      <x:c r="V802" s="6" t="str">
        <x:v>0</x:v>
      </x:c>
      <x:c r="W802" s="6" t="str"/>
      <x:c r="X802" s="6" t="str">
        <x:v>0</x:v>
      </x:c>
      <x:c r="Y802" s="6" t="str"/>
      <x:c r="Z802" s="6" t="str">
        <x:v>0</x:v>
      </x:c>
      <x:c r="AA802" s="6" t="str"/>
      <x:c r="AB802" s="6" t="str">
        <x:v>0</x:v>
      </x:c>
      <x:c r="AC802" s="6" t="str">
        <x:v>2024-09</x:v>
      </x:c>
      <x:c r="AD802" s="9" t="str">
        <x:v>BNPB operational disaster search table</x:v>
      </x:c>
      <x:c r="AE802" s="9" t="str">
        <x:v>https://gis.bnpb.go.id/databencana/tabel/pencarian.php</x:v>
      </x:c>
      <x:c r="AF802" s="9" t="str">
        <x:v>operational_snapshot_annual_totals_may_differ</x:v>
      </x:c>
    </x:row>
    <x:row r="803" ht="18" customHeight="1">
      <x:c r="A803" s="6" t="str">
        <x:v>92</x:v>
      </x:c>
      <x:c r="B803" s="6" t="str">
        <x:v>PAPUA BARAT DAYA</x:v>
      </x:c>
      <x:c r="C803" s="6" t="str">
        <x:v>2024</x:v>
      </x:c>
      <x:c r="D803" s="6" t="str">
        <x:v>10</x:v>
      </x:c>
      <x:c r="E803" s="6" t="str">
        <x:v>0</x:v>
      </x:c>
      <x:c r="F803" s="6" t="str">
        <x:v>0</x:v>
      </x:c>
      <x:c r="G803" s="6" t="str">
        <x:v>0</x:v>
      </x:c>
      <x:c r="H803" s="6" t="str">
        <x:v>0</x:v>
      </x:c>
      <x:c r="I803" s="6" t="str">
        <x:v>0</x:v>
      </x:c>
      <x:c r="J803" s="6" t="str">
        <x:v>0</x:v>
      </x:c>
      <x:c r="K803" s="6" t="str">
        <x:v>0</x:v>
      </x:c>
      <x:c r="L803" s="6" t="str">
        <x:v>0</x:v>
      </x:c>
      <x:c r="M803" s="6" t="str">
        <x:v>0</x:v>
      </x:c>
      <x:c r="N803" s="6" t="str">
        <x:v>0</x:v>
      </x:c>
      <x:c r="O803" s="6" t="str">
        <x:v>0</x:v>
      </x:c>
      <x:c r="P803" s="6" t="str">
        <x:v>0</x:v>
      </x:c>
      <x:c r="Q803" s="6" t="str"/>
      <x:c r="R803" s="6" t="str">
        <x:v>0</x:v>
      </x:c>
      <x:c r="S803" s="6" t="str"/>
      <x:c r="T803" s="6" t="str">
        <x:v>0</x:v>
      </x:c>
      <x:c r="U803" s="6" t="str"/>
      <x:c r="V803" s="6" t="str">
        <x:v>0</x:v>
      </x:c>
      <x:c r="W803" s="6" t="str"/>
      <x:c r="X803" s="6" t="str">
        <x:v>0</x:v>
      </x:c>
      <x:c r="Y803" s="6" t="str"/>
      <x:c r="Z803" s="6" t="str">
        <x:v>0</x:v>
      </x:c>
      <x:c r="AA803" s="6" t="str"/>
      <x:c r="AB803" s="6" t="str">
        <x:v>0</x:v>
      </x:c>
      <x:c r="AC803" s="6" t="str">
        <x:v>2024-10</x:v>
      </x:c>
      <x:c r="AD803" s="9" t="str">
        <x:v>BNPB operational disaster search table</x:v>
      </x:c>
      <x:c r="AE803" s="9" t="str">
        <x:v>https://gis.bnpb.go.id/databencana/tabel/pencarian.php</x:v>
      </x:c>
      <x:c r="AF803" s="9" t="str">
        <x:v>operational_snapshot_annual_totals_may_differ</x:v>
      </x:c>
    </x:row>
    <x:row r="804" ht="18" customHeight="1">
      <x:c r="A804" s="6" t="str">
        <x:v>92</x:v>
      </x:c>
      <x:c r="B804" s="6" t="str">
        <x:v>PAPUA BARAT DAYA</x:v>
      </x:c>
      <x:c r="C804" s="6" t="str">
        <x:v>2024</x:v>
      </x:c>
      <x:c r="D804" s="6" t="str">
        <x:v>11</x:v>
      </x:c>
      <x:c r="E804" s="6" t="str">
        <x:v>0</x:v>
      </x:c>
      <x:c r="F804" s="6" t="str">
        <x:v>0</x:v>
      </x:c>
      <x:c r="G804" s="6" t="str">
        <x:v>0</x:v>
      </x:c>
      <x:c r="H804" s="6" t="str">
        <x:v>0</x:v>
      </x:c>
      <x:c r="I804" s="6" t="str">
        <x:v>0</x:v>
      </x:c>
      <x:c r="J804" s="6" t="str">
        <x:v>0</x:v>
      </x:c>
      <x:c r="K804" s="6" t="str">
        <x:v>0</x:v>
      </x:c>
      <x:c r="L804" s="6" t="str">
        <x:v>0</x:v>
      </x:c>
      <x:c r="M804" s="6" t="str">
        <x:v>0</x:v>
      </x:c>
      <x:c r="N804" s="6" t="str">
        <x:v>0</x:v>
      </x:c>
      <x:c r="O804" s="6" t="str">
        <x:v>0</x:v>
      </x:c>
      <x:c r="P804" s="6" t="str">
        <x:v>0</x:v>
      </x:c>
      <x:c r="Q804" s="6" t="str"/>
      <x:c r="R804" s="6" t="str">
        <x:v>0</x:v>
      </x:c>
      <x:c r="S804" s="6" t="str"/>
      <x:c r="T804" s="6" t="str">
        <x:v>0</x:v>
      </x:c>
      <x:c r="U804" s="6" t="str"/>
      <x:c r="V804" s="6" t="str">
        <x:v>0</x:v>
      </x:c>
      <x:c r="W804" s="6" t="str"/>
      <x:c r="X804" s="6" t="str">
        <x:v>0</x:v>
      </x:c>
      <x:c r="Y804" s="6" t="str"/>
      <x:c r="Z804" s="6" t="str">
        <x:v>0</x:v>
      </x:c>
      <x:c r="AA804" s="6" t="str"/>
      <x:c r="AB804" s="6" t="str">
        <x:v>0</x:v>
      </x:c>
      <x:c r="AC804" s="6" t="str">
        <x:v>2024-11</x:v>
      </x:c>
      <x:c r="AD804" s="9" t="str">
        <x:v>BNPB operational disaster search table</x:v>
      </x:c>
      <x:c r="AE804" s="9" t="str">
        <x:v>https://gis.bnpb.go.id/databencana/tabel/pencarian.php</x:v>
      </x:c>
      <x:c r="AF804" s="9" t="str">
        <x:v>operational_snapshot_annual_totals_may_differ</x:v>
      </x:c>
    </x:row>
    <x:row r="805" ht="18" customHeight="1">
      <x:c r="A805" s="6" t="str">
        <x:v>92</x:v>
      </x:c>
      <x:c r="B805" s="6" t="str">
        <x:v>PAPUA BARAT DAYA</x:v>
      </x:c>
      <x:c r="C805" s="6" t="str">
        <x:v>2024</x:v>
      </x:c>
      <x:c r="D805" s="6" t="str">
        <x:v>12</x:v>
      </x:c>
      <x:c r="E805" s="6" t="str">
        <x:v>0</x:v>
      </x:c>
      <x:c r="F805" s="6" t="str">
        <x:v>0</x:v>
      </x:c>
      <x:c r="G805" s="6" t="str">
        <x:v>0</x:v>
      </x:c>
      <x:c r="H805" s="6" t="str">
        <x:v>0</x:v>
      </x:c>
      <x:c r="I805" s="6" t="str">
        <x:v>0</x:v>
      </x:c>
      <x:c r="J805" s="6" t="str">
        <x:v>0</x:v>
      </x:c>
      <x:c r="K805" s="6" t="str">
        <x:v>0</x:v>
      </x:c>
      <x:c r="L805" s="6" t="str">
        <x:v>0</x:v>
      </x:c>
      <x:c r="M805" s="6" t="str">
        <x:v>0</x:v>
      </x:c>
      <x:c r="N805" s="6" t="str">
        <x:v>0</x:v>
      </x:c>
      <x:c r="O805" s="6" t="str">
        <x:v>0</x:v>
      </x:c>
      <x:c r="P805" s="6" t="str">
        <x:v>0</x:v>
      </x:c>
      <x:c r="Q805" s="6" t="str"/>
      <x:c r="R805" s="6" t="str">
        <x:v>0</x:v>
      </x:c>
      <x:c r="S805" s="6" t="str"/>
      <x:c r="T805" s="6" t="str">
        <x:v>0</x:v>
      </x:c>
      <x:c r="U805" s="6" t="str"/>
      <x:c r="V805" s="6" t="str">
        <x:v>0</x:v>
      </x:c>
      <x:c r="W805" s="6" t="str"/>
      <x:c r="X805" s="6" t="str">
        <x:v>0</x:v>
      </x:c>
      <x:c r="Y805" s="6" t="str"/>
      <x:c r="Z805" s="6" t="str">
        <x:v>0</x:v>
      </x:c>
      <x:c r="AA805" s="6" t="str"/>
      <x:c r="AB805" s="6" t="str">
        <x:v>0</x:v>
      </x:c>
      <x:c r="AC805" s="6" t="str">
        <x:v>2024-12</x:v>
      </x:c>
      <x:c r="AD805" s="9" t="str">
        <x:v>BNPB operational disaster search table</x:v>
      </x:c>
      <x:c r="AE805" s="9" t="str">
        <x:v>https://gis.bnpb.go.id/databencana/tabel/pencarian.php</x:v>
      </x:c>
      <x:c r="AF805" s="9" t="str">
        <x:v>operational_snapshot_annual_totals_may_differ</x:v>
      </x:c>
    </x:row>
    <x:row r="806" ht="18" customHeight="1">
      <x:c r="A806" s="6" t="str">
        <x:v>92</x:v>
      </x:c>
      <x:c r="B806" s="6" t="str">
        <x:v>PAPUA BARAT DAYA</x:v>
      </x:c>
      <x:c r="C806" s="6" t="str">
        <x:v>2025</x:v>
      </x:c>
      <x:c r="D806" s="6" t="str">
        <x:v>1</x:v>
      </x:c>
      <x:c r="E806" s="6" t="str">
        <x:v>0</x:v>
      </x:c>
      <x:c r="F806" s="6" t="str">
        <x:v>0</x:v>
      </x:c>
      <x:c r="G806" s="6" t="str">
        <x:v>0</x:v>
      </x:c>
      <x:c r="H806" s="6" t="str">
        <x:v>0</x:v>
      </x:c>
      <x:c r="I806" s="6" t="str">
        <x:v>0</x:v>
      </x:c>
      <x:c r="J806" s="6" t="str">
        <x:v>0</x:v>
      </x:c>
      <x:c r="K806" s="6" t="str">
        <x:v>0</x:v>
      </x:c>
      <x:c r="L806" s="6" t="str">
        <x:v>0</x:v>
      </x:c>
      <x:c r="M806" s="6" t="str">
        <x:v>0</x:v>
      </x:c>
      <x:c r="N806" s="6" t="str">
        <x:v>0</x:v>
      </x:c>
      <x:c r="O806" s="6" t="str">
        <x:v>0</x:v>
      </x:c>
      <x:c r="P806" s="6" t="str">
        <x:v>0</x:v>
      </x:c>
      <x:c r="Q806" s="6" t="str"/>
      <x:c r="R806" s="6" t="str">
        <x:v>0</x:v>
      </x:c>
      <x:c r="S806" s="6" t="str"/>
      <x:c r="T806" s="6" t="str">
        <x:v>0</x:v>
      </x:c>
      <x:c r="U806" s="6" t="str"/>
      <x:c r="V806" s="6" t="str">
        <x:v>0</x:v>
      </x:c>
      <x:c r="W806" s="6" t="str"/>
      <x:c r="X806" s="6" t="str">
        <x:v>0</x:v>
      </x:c>
      <x:c r="Y806" s="6" t="str"/>
      <x:c r="Z806" s="6" t="str">
        <x:v>0</x:v>
      </x:c>
      <x:c r="AA806" s="6" t="str"/>
      <x:c r="AB806" s="6" t="str">
        <x:v>0</x:v>
      </x:c>
      <x:c r="AC806" s="6" t="str">
        <x:v>2025-01</x:v>
      </x:c>
      <x:c r="AD806" s="9" t="str">
        <x:v>BNPB operational disaster search table</x:v>
      </x:c>
      <x:c r="AE806" s="9" t="str">
        <x:v>https://gis.bnpb.go.id/databencana/tabel/pencarian.php</x:v>
      </x:c>
      <x:c r="AF806" s="9" t="str">
        <x:v>operational_snapshot_annual_totals_may_differ</x:v>
      </x:c>
    </x:row>
    <x:row r="807" ht="18" customHeight="1">
      <x:c r="A807" s="6" t="str">
        <x:v>92</x:v>
      </x:c>
      <x:c r="B807" s="6" t="str">
        <x:v>PAPUA BARAT DAYA</x:v>
      </x:c>
      <x:c r="C807" s="6" t="str">
        <x:v>2025</x:v>
      </x:c>
      <x:c r="D807" s="6" t="str">
        <x:v>2</x:v>
      </x:c>
      <x:c r="E807" s="6" t="str">
        <x:v>0</x:v>
      </x:c>
      <x:c r="F807" s="6" t="str">
        <x:v>0</x:v>
      </x:c>
      <x:c r="G807" s="6" t="str">
        <x:v>0</x:v>
      </x:c>
      <x:c r="H807" s="6" t="str">
        <x:v>0</x:v>
      </x:c>
      <x:c r="I807" s="6" t="str">
        <x:v>0</x:v>
      </x:c>
      <x:c r="J807" s="6" t="str">
        <x:v>0</x:v>
      </x:c>
      <x:c r="K807" s="6" t="str">
        <x:v>0</x:v>
      </x:c>
      <x:c r="L807" s="6" t="str">
        <x:v>0</x:v>
      </x:c>
      <x:c r="M807" s="6" t="str">
        <x:v>0</x:v>
      </x:c>
      <x:c r="N807" s="6" t="str">
        <x:v>0</x:v>
      </x:c>
      <x:c r="O807" s="6" t="str">
        <x:v>0</x:v>
      </x:c>
      <x:c r="P807" s="6" t="str">
        <x:v>0</x:v>
      </x:c>
      <x:c r="Q807" s="6" t="str"/>
      <x:c r="R807" s="6" t="str">
        <x:v>0</x:v>
      </x:c>
      <x:c r="S807" s="6" t="str"/>
      <x:c r="T807" s="6" t="str">
        <x:v>0</x:v>
      </x:c>
      <x:c r="U807" s="6" t="str"/>
      <x:c r="V807" s="6" t="str">
        <x:v>0</x:v>
      </x:c>
      <x:c r="W807" s="6" t="str"/>
      <x:c r="X807" s="6" t="str">
        <x:v>0</x:v>
      </x:c>
      <x:c r="Y807" s="6" t="str"/>
      <x:c r="Z807" s="6" t="str">
        <x:v>0</x:v>
      </x:c>
      <x:c r="AA807" s="6" t="str"/>
      <x:c r="AB807" s="6" t="str">
        <x:v>0</x:v>
      </x:c>
      <x:c r="AC807" s="6" t="str">
        <x:v>2025-02</x:v>
      </x:c>
      <x:c r="AD807" s="9" t="str">
        <x:v>BNPB operational disaster search table</x:v>
      </x:c>
      <x:c r="AE807" s="9" t="str">
        <x:v>https://gis.bnpb.go.id/databencana/tabel/pencarian.php</x:v>
      </x:c>
      <x:c r="AF807" s="9" t="str">
        <x:v>operational_snapshot_annual_totals_may_differ</x:v>
      </x:c>
    </x:row>
    <x:row r="808" ht="18" customHeight="1">
      <x:c r="A808" s="6" t="str">
        <x:v>92</x:v>
      </x:c>
      <x:c r="B808" s="6" t="str">
        <x:v>PAPUA BARAT DAYA</x:v>
      </x:c>
      <x:c r="C808" s="6" t="str">
        <x:v>2025</x:v>
      </x:c>
      <x:c r="D808" s="6" t="str">
        <x:v>3</x:v>
      </x:c>
      <x:c r="E808" s="6" t="str">
        <x:v>0</x:v>
      </x:c>
      <x:c r="F808" s="6" t="str">
        <x:v>0</x:v>
      </x:c>
      <x:c r="G808" s="6" t="str">
        <x:v>0</x:v>
      </x:c>
      <x:c r="H808" s="6" t="str">
        <x:v>0</x:v>
      </x:c>
      <x:c r="I808" s="6" t="str">
        <x:v>0</x:v>
      </x:c>
      <x:c r="J808" s="6" t="str">
        <x:v>0</x:v>
      </x:c>
      <x:c r="K808" s="6" t="str">
        <x:v>0</x:v>
      </x:c>
      <x:c r="L808" s="6" t="str">
        <x:v>0</x:v>
      </x:c>
      <x:c r="M808" s="6" t="str">
        <x:v>0</x:v>
      </x:c>
      <x:c r="N808" s="6" t="str">
        <x:v>0</x:v>
      </x:c>
      <x:c r="O808" s="6" t="str">
        <x:v>0</x:v>
      </x:c>
      <x:c r="P808" s="6" t="str">
        <x:v>0</x:v>
      </x:c>
      <x:c r="Q808" s="6" t="str"/>
      <x:c r="R808" s="6" t="str">
        <x:v>0</x:v>
      </x:c>
      <x:c r="S808" s="6" t="str"/>
      <x:c r="T808" s="6" t="str">
        <x:v>0</x:v>
      </x:c>
      <x:c r="U808" s="6" t="str"/>
      <x:c r="V808" s="6" t="str">
        <x:v>0</x:v>
      </x:c>
      <x:c r="W808" s="6" t="str"/>
      <x:c r="X808" s="6" t="str">
        <x:v>0</x:v>
      </x:c>
      <x:c r="Y808" s="6" t="str"/>
      <x:c r="Z808" s="6" t="str">
        <x:v>0</x:v>
      </x:c>
      <x:c r="AA808" s="6" t="str"/>
      <x:c r="AB808" s="6" t="str">
        <x:v>0</x:v>
      </x:c>
      <x:c r="AC808" s="6" t="str">
        <x:v>2025-03</x:v>
      </x:c>
      <x:c r="AD808" s="9" t="str">
        <x:v>BNPB operational disaster search table</x:v>
      </x:c>
      <x:c r="AE808" s="9" t="str">
        <x:v>https://gis.bnpb.go.id/databencana/tabel/pencarian.php</x:v>
      </x:c>
      <x:c r="AF808" s="9" t="str">
        <x:v>operational_snapshot_annual_totals_may_differ</x:v>
      </x:c>
    </x:row>
    <x:row r="809" ht="18" customHeight="1">
      <x:c r="A809" s="6" t="str">
        <x:v>92</x:v>
      </x:c>
      <x:c r="B809" s="6" t="str">
        <x:v>PAPUA BARAT DAYA</x:v>
      </x:c>
      <x:c r="C809" s="6" t="str">
        <x:v>2025</x:v>
      </x:c>
      <x:c r="D809" s="6" t="str">
        <x:v>4</x:v>
      </x:c>
      <x:c r="E809" s="6" t="str">
        <x:v>0</x:v>
      </x:c>
      <x:c r="F809" s="6" t="str">
        <x:v>0</x:v>
      </x:c>
      <x:c r="G809" s="6" t="str">
        <x:v>0</x:v>
      </x:c>
      <x:c r="H809" s="6" t="str">
        <x:v>0</x:v>
      </x:c>
      <x:c r="I809" s="6" t="str">
        <x:v>0</x:v>
      </x:c>
      <x:c r="J809" s="6" t="str">
        <x:v>0</x:v>
      </x:c>
      <x:c r="K809" s="6" t="str">
        <x:v>0</x:v>
      </x:c>
      <x:c r="L809" s="6" t="str">
        <x:v>0</x:v>
      </x:c>
      <x:c r="M809" s="6" t="str">
        <x:v>0</x:v>
      </x:c>
      <x:c r="N809" s="6" t="str">
        <x:v>0</x:v>
      </x:c>
      <x:c r="O809" s="6" t="str">
        <x:v>0</x:v>
      </x:c>
      <x:c r="P809" s="6" t="str">
        <x:v>0</x:v>
      </x:c>
      <x:c r="Q809" s="6" t="str"/>
      <x:c r="R809" s="6" t="str">
        <x:v>0</x:v>
      </x:c>
      <x:c r="S809" s="6" t="str"/>
      <x:c r="T809" s="6" t="str">
        <x:v>0</x:v>
      </x:c>
      <x:c r="U809" s="6" t="str"/>
      <x:c r="V809" s="6" t="str">
        <x:v>0</x:v>
      </x:c>
      <x:c r="W809" s="6" t="str"/>
      <x:c r="X809" s="6" t="str">
        <x:v>0</x:v>
      </x:c>
      <x:c r="Y809" s="6" t="str"/>
      <x:c r="Z809" s="6" t="str">
        <x:v>0</x:v>
      </x:c>
      <x:c r="AA809" s="6" t="str"/>
      <x:c r="AB809" s="6" t="str">
        <x:v>0</x:v>
      </x:c>
      <x:c r="AC809" s="6" t="str">
        <x:v>2025-04</x:v>
      </x:c>
      <x:c r="AD809" s="9" t="str">
        <x:v>BNPB operational disaster search table</x:v>
      </x:c>
      <x:c r="AE809" s="9" t="str">
        <x:v>https://gis.bnpb.go.id/databencana/tabel/pencarian.php</x:v>
      </x:c>
      <x:c r="AF809" s="9" t="str">
        <x:v>operational_snapshot_annual_totals_may_differ</x:v>
      </x:c>
    </x:row>
    <x:row r="810" ht="18" customHeight="1">
      <x:c r="A810" s="6" t="str">
        <x:v>92</x:v>
      </x:c>
      <x:c r="B810" s="6" t="str">
        <x:v>PAPUA BARAT DAYA</x:v>
      </x:c>
      <x:c r="C810" s="6" t="str">
        <x:v>2025</x:v>
      </x:c>
      <x:c r="D810" s="6" t="str">
        <x:v>5</x:v>
      </x:c>
      <x:c r="E810" s="6" t="str">
        <x:v>0</x:v>
      </x:c>
      <x:c r="F810" s="6" t="str">
        <x:v>0</x:v>
      </x:c>
      <x:c r="G810" s="6" t="str">
        <x:v>0</x:v>
      </x:c>
      <x:c r="H810" s="6" t="str">
        <x:v>0</x:v>
      </x:c>
      <x:c r="I810" s="6" t="str">
        <x:v>0</x:v>
      </x:c>
      <x:c r="J810" s="6" t="str">
        <x:v>0</x:v>
      </x:c>
      <x:c r="K810" s="6" t="str">
        <x:v>0</x:v>
      </x:c>
      <x:c r="L810" s="6" t="str">
        <x:v>0</x:v>
      </x:c>
      <x:c r="M810" s="6" t="str">
        <x:v>0</x:v>
      </x:c>
      <x:c r="N810" s="6" t="str">
        <x:v>0</x:v>
      </x:c>
      <x:c r="O810" s="6" t="str">
        <x:v>0</x:v>
      </x:c>
      <x:c r="P810" s="6" t="str">
        <x:v>0</x:v>
      </x:c>
      <x:c r="Q810" s="6" t="str"/>
      <x:c r="R810" s="6" t="str">
        <x:v>0</x:v>
      </x:c>
      <x:c r="S810" s="6" t="str"/>
      <x:c r="T810" s="6" t="str">
        <x:v>0</x:v>
      </x:c>
      <x:c r="U810" s="6" t="str"/>
      <x:c r="V810" s="6" t="str">
        <x:v>0</x:v>
      </x:c>
      <x:c r="W810" s="6" t="str"/>
      <x:c r="X810" s="6" t="str">
        <x:v>0</x:v>
      </x:c>
      <x:c r="Y810" s="6" t="str"/>
      <x:c r="Z810" s="6" t="str">
        <x:v>0</x:v>
      </x:c>
      <x:c r="AA810" s="6" t="str"/>
      <x:c r="AB810" s="6" t="str">
        <x:v>0</x:v>
      </x:c>
      <x:c r="AC810" s="6" t="str">
        <x:v>2025-05</x:v>
      </x:c>
      <x:c r="AD810" s="9" t="str">
        <x:v>BNPB operational disaster search table</x:v>
      </x:c>
      <x:c r="AE810" s="9" t="str">
        <x:v>https://gis.bnpb.go.id/databencana/tabel/pencarian.php</x:v>
      </x:c>
      <x:c r="AF810" s="9" t="str">
        <x:v>operational_snapshot_annual_totals_may_differ</x:v>
      </x:c>
    </x:row>
    <x:row r="811" ht="18" customHeight="1">
      <x:c r="A811" s="6" t="str">
        <x:v>92</x:v>
      </x:c>
      <x:c r="B811" s="6" t="str">
        <x:v>PAPUA BARAT DAYA</x:v>
      </x:c>
      <x:c r="C811" s="6" t="str">
        <x:v>2025</x:v>
      </x:c>
      <x:c r="D811" s="6" t="str">
        <x:v>6</x:v>
      </x:c>
      <x:c r="E811" s="6" t="str">
        <x:v>2</x:v>
      </x:c>
      <x:c r="F811" s="6" t="str">
        <x:v>2</x:v>
      </x:c>
      <x:c r="G811" s="6" t="str">
        <x:v>1</x:v>
      </x:c>
      <x:c r="H811" s="6" t="str">
        <x:v>1</x:v>
      </x:c>
      <x:c r="I811" s="6" t="str">
        <x:v>0</x:v>
      </x:c>
      <x:c r="J811" s="6" t="str">
        <x:v>0</x:v>
      </x:c>
      <x:c r="K811" s="6" t="str">
        <x:v>0</x:v>
      </x:c>
      <x:c r="L811" s="6" t="str">
        <x:v>0</x:v>
      </x:c>
      <x:c r="M811" s="6" t="str">
        <x:v>0</x:v>
      </x:c>
      <x:c r="N811" s="6" t="str">
        <x:v>0</x:v>
      </x:c>
      <x:c r="O811" s="6" t="str">
        <x:v>0</x:v>
      </x:c>
      <x:c r="P811" s="6" t="str">
        <x:v>2</x:v>
      </x:c>
      <x:c r="Q811" s="6" t="str"/>
      <x:c r="R811" s="6" t="str">
        <x:v>0</x:v>
      </x:c>
      <x:c r="S811" s="6" t="str"/>
      <x:c r="T811" s="6" t="str">
        <x:v>0</x:v>
      </x:c>
      <x:c r="U811" s="6" t="str"/>
      <x:c r="V811" s="6" t="str">
        <x:v>0</x:v>
      </x:c>
      <x:c r="W811" s="6" t="str">
        <x:v>0.0</x:v>
      </x:c>
      <x:c r="X811" s="6" t="str">
        <x:v>2</x:v>
      </x:c>
      <x:c r="Y811" s="6" t="str">
        <x:v>215.0</x:v>
      </x:c>
      <x:c r="Z811" s="6" t="str">
        <x:v>1</x:v>
      </x:c>
      <x:c r="AA811" s="6" t="str">
        <x:v>0.0</x:v>
      </x:c>
      <x:c r="AB811" s="6" t="str">
        <x:v>2</x:v>
      </x:c>
      <x:c r="AC811" s="6" t="str">
        <x:v>2025-06</x:v>
      </x:c>
      <x:c r="AD811" s="9" t="str">
        <x:v>BNPB operational disaster search table</x:v>
      </x:c>
      <x:c r="AE811" s="9" t="str">
        <x:v>https://gis.bnpb.go.id/databencana/tabel/pencarian.php</x:v>
      </x:c>
      <x:c r="AF811" s="9" t="str">
        <x:v>operational_snapshot_annual_totals_may_differ</x:v>
      </x:c>
    </x:row>
    <x:row r="812" ht="18" customHeight="1">
      <x:c r="A812" s="6" t="str">
        <x:v>92</x:v>
      </x:c>
      <x:c r="B812" s="6" t="str">
        <x:v>PAPUA BARAT DAYA</x:v>
      </x:c>
      <x:c r="C812" s="6" t="str">
        <x:v>2025</x:v>
      </x:c>
      <x:c r="D812" s="6" t="str">
        <x:v>7</x:v>
      </x:c>
      <x:c r="E812" s="6" t="str">
        <x:v>0</x:v>
      </x:c>
      <x:c r="F812" s="6" t="str">
        <x:v>0</x:v>
      </x:c>
      <x:c r="G812" s="6" t="str">
        <x:v>0</x:v>
      </x:c>
      <x:c r="H812" s="6" t="str">
        <x:v>0</x:v>
      </x:c>
      <x:c r="I812" s="6" t="str">
        <x:v>0</x:v>
      </x:c>
      <x:c r="J812" s="6" t="str">
        <x:v>0</x:v>
      </x:c>
      <x:c r="K812" s="6" t="str">
        <x:v>0</x:v>
      </x:c>
      <x:c r="L812" s="6" t="str">
        <x:v>0</x:v>
      </x:c>
      <x:c r="M812" s="6" t="str">
        <x:v>0</x:v>
      </x:c>
      <x:c r="N812" s="6" t="str">
        <x:v>0</x:v>
      </x:c>
      <x:c r="O812" s="6" t="str">
        <x:v>0</x:v>
      </x:c>
      <x:c r="P812" s="6" t="str">
        <x:v>0</x:v>
      </x:c>
      <x:c r="Q812" s="6" t="str"/>
      <x:c r="R812" s="6" t="str">
        <x:v>0</x:v>
      </x:c>
      <x:c r="S812" s="6" t="str"/>
      <x:c r="T812" s="6" t="str">
        <x:v>0</x:v>
      </x:c>
      <x:c r="U812" s="6" t="str"/>
      <x:c r="V812" s="6" t="str">
        <x:v>0</x:v>
      </x:c>
      <x:c r="W812" s="6" t="str"/>
      <x:c r="X812" s="6" t="str">
        <x:v>0</x:v>
      </x:c>
      <x:c r="Y812" s="6" t="str"/>
      <x:c r="Z812" s="6" t="str">
        <x:v>0</x:v>
      </x:c>
      <x:c r="AA812" s="6" t="str"/>
      <x:c r="AB812" s="6" t="str">
        <x:v>0</x:v>
      </x:c>
      <x:c r="AC812" s="6" t="str">
        <x:v>2025-07</x:v>
      </x:c>
      <x:c r="AD812" s="9" t="str">
        <x:v>BNPB operational disaster search table</x:v>
      </x:c>
      <x:c r="AE812" s="9" t="str">
        <x:v>https://gis.bnpb.go.id/databencana/tabel/pencarian.php</x:v>
      </x:c>
      <x:c r="AF812" s="9" t="str">
        <x:v>operational_snapshot_annual_totals_may_differ</x:v>
      </x:c>
    </x:row>
    <x:row r="813" ht="18" customHeight="1">
      <x:c r="A813" s="6" t="str">
        <x:v>92</x:v>
      </x:c>
      <x:c r="B813" s="6" t="str">
        <x:v>PAPUA BARAT DAYA</x:v>
      </x:c>
      <x:c r="C813" s="6" t="str">
        <x:v>2025</x:v>
      </x:c>
      <x:c r="D813" s="6" t="str">
        <x:v>8</x:v>
      </x:c>
      <x:c r="E813" s="6" t="str">
        <x:v>0</x:v>
      </x:c>
      <x:c r="F813" s="6" t="str">
        <x:v>0</x:v>
      </x:c>
      <x:c r="G813" s="6" t="str">
        <x:v>0</x:v>
      </x:c>
      <x:c r="H813" s="6" t="str">
        <x:v>0</x:v>
      </x:c>
      <x:c r="I813" s="6" t="str">
        <x:v>0</x:v>
      </x:c>
      <x:c r="J813" s="6" t="str">
        <x:v>0</x:v>
      </x:c>
      <x:c r="K813" s="6" t="str">
        <x:v>0</x:v>
      </x:c>
      <x:c r="L813" s="6" t="str">
        <x:v>0</x:v>
      </x:c>
      <x:c r="M813" s="6" t="str">
        <x:v>0</x:v>
      </x:c>
      <x:c r="N813" s="6" t="str">
        <x:v>0</x:v>
      </x:c>
      <x:c r="O813" s="6" t="str">
        <x:v>0</x:v>
      </x:c>
      <x:c r="P813" s="6" t="str">
        <x:v>0</x:v>
      </x:c>
      <x:c r="Q813" s="6" t="str"/>
      <x:c r="R813" s="6" t="str">
        <x:v>0</x:v>
      </x:c>
      <x:c r="S813" s="6" t="str"/>
      <x:c r="T813" s="6" t="str">
        <x:v>0</x:v>
      </x:c>
      <x:c r="U813" s="6" t="str"/>
      <x:c r="V813" s="6" t="str">
        <x:v>0</x:v>
      </x:c>
      <x:c r="W813" s="6" t="str"/>
      <x:c r="X813" s="6" t="str">
        <x:v>0</x:v>
      </x:c>
      <x:c r="Y813" s="6" t="str"/>
      <x:c r="Z813" s="6" t="str">
        <x:v>0</x:v>
      </x:c>
      <x:c r="AA813" s="6" t="str"/>
      <x:c r="AB813" s="6" t="str">
        <x:v>0</x:v>
      </x:c>
      <x:c r="AC813" s="6" t="str">
        <x:v>2025-08</x:v>
      </x:c>
      <x:c r="AD813" s="9" t="str">
        <x:v>BNPB operational disaster search table</x:v>
      </x:c>
      <x:c r="AE813" s="9" t="str">
        <x:v>https://gis.bnpb.go.id/databencana/tabel/pencarian.php</x:v>
      </x:c>
      <x:c r="AF813" s="9" t="str">
        <x:v>operational_snapshot_annual_totals_may_differ</x:v>
      </x:c>
    </x:row>
    <x:row r="814" ht="18" customHeight="1">
      <x:c r="A814" s="6" t="str">
        <x:v>92</x:v>
      </x:c>
      <x:c r="B814" s="6" t="str">
        <x:v>PAPUA BARAT DAYA</x:v>
      </x:c>
      <x:c r="C814" s="6" t="str">
        <x:v>2025</x:v>
      </x:c>
      <x:c r="D814" s="6" t="str">
        <x:v>9</x:v>
      </x:c>
      <x:c r="E814" s="6" t="str">
        <x:v>3</x:v>
      </x:c>
      <x:c r="F814" s="6" t="str">
        <x:v>3</x:v>
      </x:c>
      <x:c r="G814" s="6" t="str">
        <x:v>2</x:v>
      </x:c>
      <x:c r="H814" s="6" t="str">
        <x:v>1</x:v>
      </x:c>
      <x:c r="I814" s="6" t="str">
        <x:v>0</x:v>
      </x:c>
      <x:c r="J814" s="6" t="str">
        <x:v>0</x:v>
      </x:c>
      <x:c r="K814" s="6" t="str">
        <x:v>0</x:v>
      </x:c>
      <x:c r="L814" s="6" t="str">
        <x:v>0</x:v>
      </x:c>
      <x:c r="M814" s="6" t="str">
        <x:v>0</x:v>
      </x:c>
      <x:c r="N814" s="6" t="str">
        <x:v>0</x:v>
      </x:c>
      <x:c r="O814" s="6" t="str">
        <x:v>0</x:v>
      </x:c>
      <x:c r="P814" s="6" t="str">
        <x:v>3</x:v>
      </x:c>
      <x:c r="Q814" s="6" t="str"/>
      <x:c r="R814" s="6" t="str">
        <x:v>0</x:v>
      </x:c>
      <x:c r="S814" s="6" t="str"/>
      <x:c r="T814" s="6" t="str">
        <x:v>0</x:v>
      </x:c>
      <x:c r="U814" s="6" t="str"/>
      <x:c r="V814" s="6" t="str">
        <x:v>0</x:v>
      </x:c>
      <x:c r="W814" s="6" t="str">
        <x:v>0.0</x:v>
      </x:c>
      <x:c r="X814" s="6" t="str">
        <x:v>3</x:v>
      </x:c>
      <x:c r="Y814" s="6" t="str">
        <x:v>1818.0</x:v>
      </x:c>
      <x:c r="Z814" s="6" t="str">
        <x:v>2</x:v>
      </x:c>
      <x:c r="AA814" s="6" t="str">
        <x:v>0.0</x:v>
      </x:c>
      <x:c r="AB814" s="6" t="str">
        <x:v>3</x:v>
      </x:c>
      <x:c r="AC814" s="6" t="str">
        <x:v>2025-09</x:v>
      </x:c>
      <x:c r="AD814" s="9" t="str">
        <x:v>BNPB operational disaster search table</x:v>
      </x:c>
      <x:c r="AE814" s="9" t="str">
        <x:v>https://gis.bnpb.go.id/databencana/tabel/pencarian.php</x:v>
      </x:c>
      <x:c r="AF814" s="9" t="str">
        <x:v>operational_snapshot_annual_totals_may_differ</x:v>
      </x:c>
    </x:row>
    <x:row r="815" ht="18" customHeight="1">
      <x:c r="A815" s="6" t="str">
        <x:v>92</x:v>
      </x:c>
      <x:c r="B815" s="6" t="str">
        <x:v>PAPUA BARAT DAYA</x:v>
      </x:c>
      <x:c r="C815" s="6" t="str">
        <x:v>2025</x:v>
      </x:c>
      <x:c r="D815" s="6" t="str">
        <x:v>10</x:v>
      </x:c>
      <x:c r="E815" s="6" t="str">
        <x:v>0</x:v>
      </x:c>
      <x:c r="F815" s="6" t="str">
        <x:v>0</x:v>
      </x:c>
      <x:c r="G815" s="6" t="str">
        <x:v>0</x:v>
      </x:c>
      <x:c r="H815" s="6" t="str">
        <x:v>0</x:v>
      </x:c>
      <x:c r="I815" s="6" t="str">
        <x:v>0</x:v>
      </x:c>
      <x:c r="J815" s="6" t="str">
        <x:v>0</x:v>
      </x:c>
      <x:c r="K815" s="6" t="str">
        <x:v>0</x:v>
      </x:c>
      <x:c r="L815" s="6" t="str">
        <x:v>0</x:v>
      </x:c>
      <x:c r="M815" s="6" t="str">
        <x:v>0</x:v>
      </x:c>
      <x:c r="N815" s="6" t="str">
        <x:v>0</x:v>
      </x:c>
      <x:c r="O815" s="6" t="str">
        <x:v>0</x:v>
      </x:c>
      <x:c r="P815" s="6" t="str">
        <x:v>0</x:v>
      </x:c>
      <x:c r="Q815" s="6" t="str"/>
      <x:c r="R815" s="6" t="str">
        <x:v>0</x:v>
      </x:c>
      <x:c r="S815" s="6" t="str"/>
      <x:c r="T815" s="6" t="str">
        <x:v>0</x:v>
      </x:c>
      <x:c r="U815" s="6" t="str"/>
      <x:c r="V815" s="6" t="str">
        <x:v>0</x:v>
      </x:c>
      <x:c r="W815" s="6" t="str"/>
      <x:c r="X815" s="6" t="str">
        <x:v>0</x:v>
      </x:c>
      <x:c r="Y815" s="6" t="str"/>
      <x:c r="Z815" s="6" t="str">
        <x:v>0</x:v>
      </x:c>
      <x:c r="AA815" s="6" t="str"/>
      <x:c r="AB815" s="6" t="str">
        <x:v>0</x:v>
      </x:c>
      <x:c r="AC815" s="6" t="str">
        <x:v>2025-10</x:v>
      </x:c>
      <x:c r="AD815" s="9" t="str">
        <x:v>BNPB operational disaster search table</x:v>
      </x:c>
      <x:c r="AE815" s="9" t="str">
        <x:v>https://gis.bnpb.go.id/databencana/tabel/pencarian.php</x:v>
      </x:c>
      <x:c r="AF815" s="9" t="str">
        <x:v>operational_snapshot_annual_totals_may_differ</x:v>
      </x:c>
    </x:row>
    <x:row r="816" ht="18" customHeight="1">
      <x:c r="A816" s="6" t="str">
        <x:v>92</x:v>
      </x:c>
      <x:c r="B816" s="6" t="str">
        <x:v>PAPUA BARAT DAYA</x:v>
      </x:c>
      <x:c r="C816" s="6" t="str">
        <x:v>2025</x:v>
      </x:c>
      <x:c r="D816" s="6" t="str">
        <x:v>11</x:v>
      </x:c>
      <x:c r="E816" s="6" t="str">
        <x:v>0</x:v>
      </x:c>
      <x:c r="F816" s="6" t="str">
        <x:v>0</x:v>
      </x:c>
      <x:c r="G816" s="6" t="str">
        <x:v>0</x:v>
      </x:c>
      <x:c r="H816" s="6" t="str">
        <x:v>0</x:v>
      </x:c>
      <x:c r="I816" s="6" t="str">
        <x:v>0</x:v>
      </x:c>
      <x:c r="J816" s="6" t="str">
        <x:v>0</x:v>
      </x:c>
      <x:c r="K816" s="6" t="str">
        <x:v>0</x:v>
      </x:c>
      <x:c r="L816" s="6" t="str">
        <x:v>0</x:v>
      </x:c>
      <x:c r="M816" s="6" t="str">
        <x:v>0</x:v>
      </x:c>
      <x:c r="N816" s="6" t="str">
        <x:v>0</x:v>
      </x:c>
      <x:c r="O816" s="6" t="str">
        <x:v>0</x:v>
      </x:c>
      <x:c r="P816" s="6" t="str">
        <x:v>0</x:v>
      </x:c>
      <x:c r="Q816" s="6" t="str"/>
      <x:c r="R816" s="6" t="str">
        <x:v>0</x:v>
      </x:c>
      <x:c r="S816" s="6" t="str"/>
      <x:c r="T816" s="6" t="str">
        <x:v>0</x:v>
      </x:c>
      <x:c r="U816" s="6" t="str"/>
      <x:c r="V816" s="6" t="str">
        <x:v>0</x:v>
      </x:c>
      <x:c r="W816" s="6" t="str"/>
      <x:c r="X816" s="6" t="str">
        <x:v>0</x:v>
      </x:c>
      <x:c r="Y816" s="6" t="str"/>
      <x:c r="Z816" s="6" t="str">
        <x:v>0</x:v>
      </x:c>
      <x:c r="AA816" s="6" t="str"/>
      <x:c r="AB816" s="6" t="str">
        <x:v>0</x:v>
      </x:c>
      <x:c r="AC816" s="6" t="str">
        <x:v>2025-11</x:v>
      </x:c>
      <x:c r="AD816" s="9" t="str">
        <x:v>BNPB operational disaster search table</x:v>
      </x:c>
      <x:c r="AE816" s="9" t="str">
        <x:v>https://gis.bnpb.go.id/databencana/tabel/pencarian.php</x:v>
      </x:c>
      <x:c r="AF816" s="9" t="str">
        <x:v>operational_snapshot_annual_totals_may_differ</x:v>
      </x:c>
    </x:row>
    <x:row r="817" ht="18" customHeight="1">
      <x:c r="A817" s="6" t="str">
        <x:v>92</x:v>
      </x:c>
      <x:c r="B817" s="6" t="str">
        <x:v>PAPUA BARAT DAYA</x:v>
      </x:c>
      <x:c r="C817" s="6" t="str">
        <x:v>2025</x:v>
      </x:c>
      <x:c r="D817" s="6" t="str">
        <x:v>12</x:v>
      </x:c>
      <x:c r="E817" s="6" t="str">
        <x:v>0</x:v>
      </x:c>
      <x:c r="F817" s="6" t="str">
        <x:v>0</x:v>
      </x:c>
      <x:c r="G817" s="6" t="str">
        <x:v>0</x:v>
      </x:c>
      <x:c r="H817" s="6" t="str">
        <x:v>0</x:v>
      </x:c>
      <x:c r="I817" s="6" t="str">
        <x:v>0</x:v>
      </x:c>
      <x:c r="J817" s="6" t="str">
        <x:v>0</x:v>
      </x:c>
      <x:c r="K817" s="6" t="str">
        <x:v>0</x:v>
      </x:c>
      <x:c r="L817" s="6" t="str">
        <x:v>0</x:v>
      </x:c>
      <x:c r="M817" s="6" t="str">
        <x:v>0</x:v>
      </x:c>
      <x:c r="N817" s="6" t="str">
        <x:v>0</x:v>
      </x:c>
      <x:c r="O817" s="6" t="str">
        <x:v>0</x:v>
      </x:c>
      <x:c r="P817" s="6" t="str">
        <x:v>0</x:v>
      </x:c>
      <x:c r="Q817" s="6" t="str"/>
      <x:c r="R817" s="6" t="str">
        <x:v>0</x:v>
      </x:c>
      <x:c r="S817" s="6" t="str"/>
      <x:c r="T817" s="6" t="str">
        <x:v>0</x:v>
      </x:c>
      <x:c r="U817" s="6" t="str"/>
      <x:c r="V817" s="6" t="str">
        <x:v>0</x:v>
      </x:c>
      <x:c r="W817" s="6" t="str"/>
      <x:c r="X817" s="6" t="str">
        <x:v>0</x:v>
      </x:c>
      <x:c r="Y817" s="6" t="str"/>
      <x:c r="Z817" s="6" t="str">
        <x:v>0</x:v>
      </x:c>
      <x:c r="AA817" s="6" t="str"/>
      <x:c r="AB817" s="6" t="str">
        <x:v>0</x:v>
      </x:c>
      <x:c r="AC817" s="6" t="str">
        <x:v>2025-12</x:v>
      </x:c>
      <x:c r="AD817" s="9" t="str">
        <x:v>BNPB operational disaster search table</x:v>
      </x:c>
      <x:c r="AE817" s="9" t="str">
        <x:v>https://gis.bnpb.go.id/databencana/tabel/pencarian.php</x:v>
      </x:c>
      <x:c r="AF817" s="9" t="str">
        <x:v>operational_snapshot_annual_totals_may_differ</x:v>
      </x:c>
    </x:row>
    <x:row r="818" ht="18" customHeight="1">
      <x:c r="A818" s="6" t="str">
        <x:v>94</x:v>
      </x:c>
      <x:c r="B818" s="6" t="str">
        <x:v>PAPUA</x:v>
      </x:c>
      <x:c r="C818" s="6" t="str">
        <x:v>2024</x:v>
      </x:c>
      <x:c r="D818" s="6" t="str">
        <x:v>1</x:v>
      </x:c>
      <x:c r="E818" s="6" t="str">
        <x:v>1</x:v>
      </x:c>
      <x:c r="F818" s="6" t="str">
        <x:v>1</x:v>
      </x:c>
      <x:c r="G818" s="6" t="str">
        <x:v>1</x:v>
      </x:c>
      <x:c r="H818" s="6" t="str">
        <x:v>0</x:v>
      </x:c>
      <x:c r="I818" s="6" t="str">
        <x:v>0</x:v>
      </x:c>
      <x:c r="J818" s="6" t="str">
        <x:v>0</x:v>
      </x:c>
      <x:c r="K818" s="6" t="str">
        <x:v>0</x:v>
      </x:c>
      <x:c r="L818" s="6" t="str">
        <x:v>0</x:v>
      </x:c>
      <x:c r="M818" s="6" t="str">
        <x:v>0</x:v>
      </x:c>
      <x:c r="N818" s="6" t="str">
        <x:v>0</x:v>
      </x:c>
      <x:c r="O818" s="6" t="str">
        <x:v>0</x:v>
      </x:c>
      <x:c r="P818" s="6" t="str">
        <x:v>1</x:v>
      </x:c>
      <x:c r="Q818" s="6" t="str">
        <x:v>0.0</x:v>
      </x:c>
      <x:c r="R818" s="6" t="str">
        <x:v>1</x:v>
      </x:c>
      <x:c r="S818" s="6" t="str">
        <x:v>0.0</x:v>
      </x:c>
      <x:c r="T818" s="6" t="str">
        <x:v>1</x:v>
      </x:c>
      <x:c r="U818" s="6" t="str">
        <x:v>0.0</x:v>
      </x:c>
      <x:c r="V818" s="6" t="str">
        <x:v>1</x:v>
      </x:c>
      <x:c r="W818" s="6" t="str">
        <x:v>0.0</x:v>
      </x:c>
      <x:c r="X818" s="6" t="str">
        <x:v>1</x:v>
      </x:c>
      <x:c r="Y818" s="6" t="str">
        <x:v>39.0</x:v>
      </x:c>
      <x:c r="Z818" s="6" t="str">
        <x:v>1</x:v>
      </x:c>
      <x:c r="AA818" s="6" t="str">
        <x:v>2.0</x:v>
      </x:c>
      <x:c r="AB818" s="6" t="str">
        <x:v>1</x:v>
      </x:c>
      <x:c r="AC818" s="6" t="str">
        <x:v>2024-01</x:v>
      </x:c>
      <x:c r="AD818" s="9" t="str">
        <x:v>BNPB operational disaster search table</x:v>
      </x:c>
      <x:c r="AE818" s="9" t="str">
        <x:v>https://gis.bnpb.go.id/databencana/tabel/pencarian.php</x:v>
      </x:c>
      <x:c r="AF818" s="9" t="str">
        <x:v>operational_snapshot_annual_totals_may_differ</x:v>
      </x:c>
    </x:row>
    <x:row r="819" ht="18" customHeight="1">
      <x:c r="A819" s="6" t="str">
        <x:v>94</x:v>
      </x:c>
      <x:c r="B819" s="6" t="str">
        <x:v>PAPUA</x:v>
      </x:c>
      <x:c r="C819" s="6" t="str">
        <x:v>2024</x:v>
      </x:c>
      <x:c r="D819" s="6" t="str">
        <x:v>2</x:v>
      </x:c>
      <x:c r="E819" s="6" t="str">
        <x:v>1</x:v>
      </x:c>
      <x:c r="F819" s="6" t="str">
        <x:v>1</x:v>
      </x:c>
      <x:c r="G819" s="6" t="str">
        <x:v>0</x:v>
      </x:c>
      <x:c r="H819" s="6" t="str">
        <x:v>0</x:v>
      </x:c>
      <x:c r="I819" s="6" t="str">
        <x:v>0</x:v>
      </x:c>
      <x:c r="J819" s="6" t="str">
        <x:v>0</x:v>
      </x:c>
      <x:c r="K819" s="6" t="str">
        <x:v>0</x:v>
      </x:c>
      <x:c r="L819" s="6" t="str">
        <x:v>1</x:v>
      </x:c>
      <x:c r="M819" s="6" t="str">
        <x:v>0</x:v>
      </x:c>
      <x:c r="N819" s="6" t="str">
        <x:v>0</x:v>
      </x:c>
      <x:c r="O819" s="6" t="str">
        <x:v>0</x:v>
      </x:c>
      <x:c r="P819" s="6" t="str">
        <x:v>1</x:v>
      </x:c>
      <x:c r="Q819" s="6" t="str">
        <x:v>0.0</x:v>
      </x:c>
      <x:c r="R819" s="6" t="str">
        <x:v>1</x:v>
      </x:c>
      <x:c r="S819" s="6" t="str">
        <x:v>0.0</x:v>
      </x:c>
      <x:c r="T819" s="6" t="str">
        <x:v>1</x:v>
      </x:c>
      <x:c r="U819" s="6" t="str">
        <x:v>0.0</x:v>
      </x:c>
      <x:c r="V819" s="6" t="str">
        <x:v>1</x:v>
      </x:c>
      <x:c r="W819" s="6" t="str">
        <x:v>23.0</x:v>
      </x:c>
      <x:c r="X819" s="6" t="str">
        <x:v>1</x:v>
      </x:c>
      <x:c r="Y819" s="6" t="str">
        <x:v>16.0</x:v>
      </x:c>
      <x:c r="Z819" s="6" t="str">
        <x:v>1</x:v>
      </x:c>
      <x:c r="AA819" s="6" t="str">
        <x:v>1.0</x:v>
      </x:c>
      <x:c r="AB819" s="6" t="str">
        <x:v>1</x:v>
      </x:c>
      <x:c r="AC819" s="6" t="str">
        <x:v>2024-02</x:v>
      </x:c>
      <x:c r="AD819" s="9" t="str">
        <x:v>BNPB operational disaster search table</x:v>
      </x:c>
      <x:c r="AE819" s="9" t="str">
        <x:v>https://gis.bnpb.go.id/databencana/tabel/pencarian.php</x:v>
      </x:c>
      <x:c r="AF819" s="9" t="str">
        <x:v>operational_snapshot_annual_totals_may_differ</x:v>
      </x:c>
    </x:row>
    <x:row r="820" ht="18" customHeight="1">
      <x:c r="A820" s="6" t="str">
        <x:v>94</x:v>
      </x:c>
      <x:c r="B820" s="6" t="str">
        <x:v>PAPUA</x:v>
      </x:c>
      <x:c r="C820" s="6" t="str">
        <x:v>2024</x:v>
      </x:c>
      <x:c r="D820" s="6" t="str">
        <x:v>3</x:v>
      </x:c>
      <x:c r="E820" s="6" t="str">
        <x:v>2</x:v>
      </x:c>
      <x:c r="F820" s="6" t="str">
        <x:v>2</x:v>
      </x:c>
      <x:c r="G820" s="6" t="str">
        <x:v>2</x:v>
      </x:c>
      <x:c r="H820" s="6" t="str">
        <x:v>0</x:v>
      </x:c>
      <x:c r="I820" s="6" t="str">
        <x:v>0</x:v>
      </x:c>
      <x:c r="J820" s="6" t="str">
        <x:v>0</x:v>
      </x:c>
      <x:c r="K820" s="6" t="str">
        <x:v>0</x:v>
      </x:c>
      <x:c r="L820" s="6" t="str">
        <x:v>0</x:v>
      </x:c>
      <x:c r="M820" s="6" t="str">
        <x:v>0</x:v>
      </x:c>
      <x:c r="N820" s="6" t="str">
        <x:v>0</x:v>
      </x:c>
      <x:c r="O820" s="6" t="str">
        <x:v>0</x:v>
      </x:c>
      <x:c r="P820" s="6" t="str">
        <x:v>2</x:v>
      </x:c>
      <x:c r="Q820" s="6" t="str">
        <x:v>0.0</x:v>
      </x:c>
      <x:c r="R820" s="6" t="str">
        <x:v>2</x:v>
      </x:c>
      <x:c r="S820" s="6" t="str">
        <x:v>0.0</x:v>
      </x:c>
      <x:c r="T820" s="6" t="str">
        <x:v>2</x:v>
      </x:c>
      <x:c r="U820" s="6" t="str">
        <x:v>0.0</x:v>
      </x:c>
      <x:c r="V820" s="6" t="str">
        <x:v>2</x:v>
      </x:c>
      <x:c r="W820" s="6" t="str">
        <x:v>0.0</x:v>
      </x:c>
      <x:c r="X820" s="6" t="str">
        <x:v>2</x:v>
      </x:c>
      <x:c r="Y820" s="6" t="str">
        <x:v>268.0</x:v>
      </x:c>
      <x:c r="Z820" s="6" t="str">
        <x:v>2</x:v>
      </x:c>
      <x:c r="AA820" s="6" t="str">
        <x:v>0.0</x:v>
      </x:c>
      <x:c r="AB820" s="6" t="str">
        <x:v>2</x:v>
      </x:c>
      <x:c r="AC820" s="6" t="str">
        <x:v>2024-03</x:v>
      </x:c>
      <x:c r="AD820" s="9" t="str">
        <x:v>BNPB operational disaster search table</x:v>
      </x:c>
      <x:c r="AE820" s="9" t="str">
        <x:v>https://gis.bnpb.go.id/databencana/tabel/pencarian.php</x:v>
      </x:c>
      <x:c r="AF820" s="9" t="str">
        <x:v>operational_snapshot_annual_totals_may_differ</x:v>
      </x:c>
    </x:row>
    <x:row r="821" ht="18" customHeight="1">
      <x:c r="A821" s="6" t="str">
        <x:v>94</x:v>
      </x:c>
      <x:c r="B821" s="6" t="str">
        <x:v>PAPUA</x:v>
      </x:c>
      <x:c r="C821" s="6" t="str">
        <x:v>2024</x:v>
      </x:c>
      <x:c r="D821" s="6" t="str">
        <x:v>4</x:v>
      </x:c>
      <x:c r="E821" s="6" t="str">
        <x:v>2</x:v>
      </x:c>
      <x:c r="F821" s="6" t="str">
        <x:v>2</x:v>
      </x:c>
      <x:c r="G821" s="6" t="str">
        <x:v>2</x:v>
      </x:c>
      <x:c r="H821" s="6" t="str">
        <x:v>0</x:v>
      </x:c>
      <x:c r="I821" s="6" t="str">
        <x:v>0</x:v>
      </x:c>
      <x:c r="J821" s="6" t="str">
        <x:v>0</x:v>
      </x:c>
      <x:c r="K821" s="6" t="str">
        <x:v>0</x:v>
      </x:c>
      <x:c r="L821" s="6" t="str">
        <x:v>0</x:v>
      </x:c>
      <x:c r="M821" s="6" t="str">
        <x:v>0</x:v>
      </x:c>
      <x:c r="N821" s="6" t="str">
        <x:v>0</x:v>
      </x:c>
      <x:c r="O821" s="6" t="str">
        <x:v>0</x:v>
      </x:c>
      <x:c r="P821" s="6" t="str">
        <x:v>2</x:v>
      </x:c>
      <x:c r="Q821" s="6" t="str">
        <x:v>0.0</x:v>
      </x:c>
      <x:c r="R821" s="6" t="str">
        <x:v>2</x:v>
      </x:c>
      <x:c r="S821" s="6" t="str">
        <x:v>0.0</x:v>
      </x:c>
      <x:c r="T821" s="6" t="str">
        <x:v>2</x:v>
      </x:c>
      <x:c r="U821" s="6" t="str">
        <x:v>0.0</x:v>
      </x:c>
      <x:c r="V821" s="6" t="str">
        <x:v>2</x:v>
      </x:c>
      <x:c r="W821" s="6" t="str">
        <x:v>0.0</x:v>
      </x:c>
      <x:c r="X821" s="6" t="str">
        <x:v>2</x:v>
      </x:c>
      <x:c r="Y821" s="6" t="str">
        <x:v>464.0</x:v>
      </x:c>
      <x:c r="Z821" s="6" t="str">
        <x:v>2</x:v>
      </x:c>
      <x:c r="AA821" s="6" t="str">
        <x:v>0.0</x:v>
      </x:c>
      <x:c r="AB821" s="6" t="str">
        <x:v>2</x:v>
      </x:c>
      <x:c r="AC821" s="6" t="str">
        <x:v>2024-04</x:v>
      </x:c>
      <x:c r="AD821" s="9" t="str">
        <x:v>BNPB operational disaster search table</x:v>
      </x:c>
      <x:c r="AE821" s="9" t="str">
        <x:v>https://gis.bnpb.go.id/databencana/tabel/pencarian.php</x:v>
      </x:c>
      <x:c r="AF821" s="9" t="str">
        <x:v>operational_snapshot_annual_totals_may_differ</x:v>
      </x:c>
    </x:row>
    <x:row r="822" ht="18" customHeight="1">
      <x:c r="A822" s="6" t="str">
        <x:v>94</x:v>
      </x:c>
      <x:c r="B822" s="6" t="str">
        <x:v>PAPUA</x:v>
      </x:c>
      <x:c r="C822" s="6" t="str">
        <x:v>2024</x:v>
      </x:c>
      <x:c r="D822" s="6" t="str">
        <x:v>5</x:v>
      </x:c>
      <x:c r="E822" s="6" t="str">
        <x:v>4</x:v>
      </x:c>
      <x:c r="F822" s="6" t="str">
        <x:v>4</x:v>
      </x:c>
      <x:c r="G822" s="6" t="str">
        <x:v>3</x:v>
      </x:c>
      <x:c r="H822" s="6" t="str">
        <x:v>0</x:v>
      </x:c>
      <x:c r="I822" s="6" t="str">
        <x:v>0</x:v>
      </x:c>
      <x:c r="J822" s="6" t="str">
        <x:v>0</x:v>
      </x:c>
      <x:c r="K822" s="6" t="str">
        <x:v>0</x:v>
      </x:c>
      <x:c r="L822" s="6" t="str">
        <x:v>1</x:v>
      </x:c>
      <x:c r="M822" s="6" t="str">
        <x:v>0</x:v>
      </x:c>
      <x:c r="N822" s="6" t="str">
        <x:v>0</x:v>
      </x:c>
      <x:c r="O822" s="6" t="str">
        <x:v>0</x:v>
      </x:c>
      <x:c r="P822" s="6" t="str">
        <x:v>4</x:v>
      </x:c>
      <x:c r="Q822" s="6" t="str">
        <x:v>0.0</x:v>
      </x:c>
      <x:c r="R822" s="6" t="str">
        <x:v>4</x:v>
      </x:c>
      <x:c r="S822" s="6" t="str">
        <x:v>0.0</x:v>
      </x:c>
      <x:c r="T822" s="6" t="str">
        <x:v>4</x:v>
      </x:c>
      <x:c r="U822" s="6" t="str">
        <x:v>0.0</x:v>
      </x:c>
      <x:c r="V822" s="6" t="str">
        <x:v>4</x:v>
      </x:c>
      <x:c r="W822" s="6" t="str">
        <x:v>287.0</x:v>
      </x:c>
      <x:c r="X822" s="6" t="str">
        <x:v>4</x:v>
      </x:c>
      <x:c r="Y822" s="6" t="str">
        <x:v>93.0</x:v>
      </x:c>
      <x:c r="Z822" s="6" t="str">
        <x:v>4</x:v>
      </x:c>
      <x:c r="AA822" s="6" t="str">
        <x:v>0.0</x:v>
      </x:c>
      <x:c r="AB822" s="6" t="str">
        <x:v>4</x:v>
      </x:c>
      <x:c r="AC822" s="6" t="str">
        <x:v>2024-05</x:v>
      </x:c>
      <x:c r="AD822" s="9" t="str">
        <x:v>BNPB operational disaster search table</x:v>
      </x:c>
      <x:c r="AE822" s="9" t="str">
        <x:v>https://gis.bnpb.go.id/databencana/tabel/pencarian.php</x:v>
      </x:c>
      <x:c r="AF822" s="9" t="str">
        <x:v>operational_snapshot_annual_totals_may_differ</x:v>
      </x:c>
    </x:row>
    <x:row r="823" ht="18" customHeight="1">
      <x:c r="A823" s="6" t="str">
        <x:v>94</x:v>
      </x:c>
      <x:c r="B823" s="6" t="str">
        <x:v>PAPUA</x:v>
      </x:c>
      <x:c r="C823" s="6" t="str">
        <x:v>2024</x:v>
      </x:c>
      <x:c r="D823" s="6" t="str">
        <x:v>6</x:v>
      </x:c>
      <x:c r="E823" s="6" t="str">
        <x:v>1</x:v>
      </x:c>
      <x:c r="F823" s="6" t="str">
        <x:v>1</x:v>
      </x:c>
      <x:c r="G823" s="6" t="str">
        <x:v>1</x:v>
      </x:c>
      <x:c r="H823" s="6" t="str">
        <x:v>0</x:v>
      </x:c>
      <x:c r="I823" s="6" t="str">
        <x:v>0</x:v>
      </x:c>
      <x:c r="J823" s="6" t="str">
        <x:v>0</x:v>
      </x:c>
      <x:c r="K823" s="6" t="str">
        <x:v>0</x:v>
      </x:c>
      <x:c r="L823" s="6" t="str">
        <x:v>0</x:v>
      </x:c>
      <x:c r="M823" s="6" t="str">
        <x:v>0</x:v>
      </x:c>
      <x:c r="N823" s="6" t="str">
        <x:v>0</x:v>
      </x:c>
      <x:c r="O823" s="6" t="str">
        <x:v>0</x:v>
      </x:c>
      <x:c r="P823" s="6" t="str">
        <x:v>1</x:v>
      </x:c>
      <x:c r="Q823" s="6" t="str">
        <x:v>0.0</x:v>
      </x:c>
      <x:c r="R823" s="6" t="str">
        <x:v>1</x:v>
      </x:c>
      <x:c r="S823" s="6" t="str">
        <x:v>0.0</x:v>
      </x:c>
      <x:c r="T823" s="6" t="str">
        <x:v>1</x:v>
      </x:c>
      <x:c r="U823" s="6" t="str">
        <x:v>0.0</x:v>
      </x:c>
      <x:c r="V823" s="6" t="str">
        <x:v>1</x:v>
      </x:c>
      <x:c r="W823" s="6" t="str">
        <x:v>0.0</x:v>
      </x:c>
      <x:c r="X823" s="6" t="str">
        <x:v>1</x:v>
      </x:c>
      <x:c r="Y823" s="6" t="str">
        <x:v>71.0</x:v>
      </x:c>
      <x:c r="Z823" s="6" t="str">
        <x:v>1</x:v>
      </x:c>
      <x:c r="AA823" s="6" t="str">
        <x:v>0.0</x:v>
      </x:c>
      <x:c r="AB823" s="6" t="str">
        <x:v>1</x:v>
      </x:c>
      <x:c r="AC823" s="6" t="str">
        <x:v>2024-06</x:v>
      </x:c>
      <x:c r="AD823" s="9" t="str">
        <x:v>BNPB operational disaster search table</x:v>
      </x:c>
      <x:c r="AE823" s="9" t="str">
        <x:v>https://gis.bnpb.go.id/databencana/tabel/pencarian.php</x:v>
      </x:c>
      <x:c r="AF823" s="9" t="str">
        <x:v>operational_snapshot_annual_totals_may_differ</x:v>
      </x:c>
    </x:row>
    <x:row r="824" ht="18" customHeight="1">
      <x:c r="A824" s="6" t="str">
        <x:v>94</x:v>
      </x:c>
      <x:c r="B824" s="6" t="str">
        <x:v>PAPUA</x:v>
      </x:c>
      <x:c r="C824" s="6" t="str">
        <x:v>2024</x:v>
      </x:c>
      <x:c r="D824" s="6" t="str">
        <x:v>7</x:v>
      </x:c>
      <x:c r="E824" s="6" t="str">
        <x:v>0</x:v>
      </x:c>
      <x:c r="F824" s="6" t="str">
        <x:v>0</x:v>
      </x:c>
      <x:c r="G824" s="6" t="str">
        <x:v>0</x:v>
      </x:c>
      <x:c r="H824" s="6" t="str">
        <x:v>0</x:v>
      </x:c>
      <x:c r="I824" s="6" t="str">
        <x:v>0</x:v>
      </x:c>
      <x:c r="J824" s="6" t="str">
        <x:v>0</x:v>
      </x:c>
      <x:c r="K824" s="6" t="str">
        <x:v>0</x:v>
      </x:c>
      <x:c r="L824" s="6" t="str">
        <x:v>0</x:v>
      </x:c>
      <x:c r="M824" s="6" t="str">
        <x:v>0</x:v>
      </x:c>
      <x:c r="N824" s="6" t="str">
        <x:v>0</x:v>
      </x:c>
      <x:c r="O824" s="6" t="str">
        <x:v>0</x:v>
      </x:c>
      <x:c r="P824" s="6" t="str">
        <x:v>0</x:v>
      </x:c>
      <x:c r="Q824" s="6" t="str"/>
      <x:c r="R824" s="6" t="str">
        <x:v>0</x:v>
      </x:c>
      <x:c r="S824" s="6" t="str"/>
      <x:c r="T824" s="6" t="str">
        <x:v>0</x:v>
      </x:c>
      <x:c r="U824" s="6" t="str"/>
      <x:c r="V824" s="6" t="str">
        <x:v>0</x:v>
      </x:c>
      <x:c r="W824" s="6" t="str"/>
      <x:c r="X824" s="6" t="str">
        <x:v>0</x:v>
      </x:c>
      <x:c r="Y824" s="6" t="str"/>
      <x:c r="Z824" s="6" t="str">
        <x:v>0</x:v>
      </x:c>
      <x:c r="AA824" s="6" t="str"/>
      <x:c r="AB824" s="6" t="str">
        <x:v>0</x:v>
      </x:c>
      <x:c r="AC824" s="6" t="str">
        <x:v>2024-07</x:v>
      </x:c>
      <x:c r="AD824" s="9" t="str">
        <x:v>BNPB operational disaster search table</x:v>
      </x:c>
      <x:c r="AE824" s="9" t="str">
        <x:v>https://gis.bnpb.go.id/databencana/tabel/pencarian.php</x:v>
      </x:c>
      <x:c r="AF824" s="9" t="str">
        <x:v>operational_snapshot_annual_totals_may_differ</x:v>
      </x:c>
    </x:row>
    <x:row r="825" ht="18" customHeight="1">
      <x:c r="A825" s="6" t="str">
        <x:v>94</x:v>
      </x:c>
      <x:c r="B825" s="6" t="str">
        <x:v>PAPUA</x:v>
      </x:c>
      <x:c r="C825" s="6" t="str">
        <x:v>2024</x:v>
      </x:c>
      <x:c r="D825" s="6" t="str">
        <x:v>8</x:v>
      </x:c>
      <x:c r="E825" s="6" t="str">
        <x:v>1</x:v>
      </x:c>
      <x:c r="F825" s="6" t="str">
        <x:v>1</x:v>
      </x:c>
      <x:c r="G825" s="6" t="str">
        <x:v>1</x:v>
      </x:c>
      <x:c r="H825" s="6" t="str">
        <x:v>0</x:v>
      </x:c>
      <x:c r="I825" s="6" t="str">
        <x:v>0</x:v>
      </x:c>
      <x:c r="J825" s="6" t="str">
        <x:v>0</x:v>
      </x:c>
      <x:c r="K825" s="6" t="str">
        <x:v>0</x:v>
      </x:c>
      <x:c r="L825" s="6" t="str">
        <x:v>0</x:v>
      </x:c>
      <x:c r="M825" s="6" t="str">
        <x:v>0</x:v>
      </x:c>
      <x:c r="N825" s="6" t="str">
        <x:v>0</x:v>
      </x:c>
      <x:c r="O825" s="6" t="str">
        <x:v>0</x:v>
      </x:c>
      <x:c r="P825" s="6" t="str">
        <x:v>1</x:v>
      </x:c>
      <x:c r="Q825" s="6" t="str">
        <x:v>0.0</x:v>
      </x:c>
      <x:c r="R825" s="6" t="str">
        <x:v>1</x:v>
      </x:c>
      <x:c r="S825" s="6" t="str">
        <x:v>0.0</x:v>
      </x:c>
      <x:c r="T825" s="6" t="str">
        <x:v>1</x:v>
      </x:c>
      <x:c r="U825" s="6" t="str">
        <x:v>0.0</x:v>
      </x:c>
      <x:c r="V825" s="6" t="str">
        <x:v>1</x:v>
      </x:c>
      <x:c r="W825" s="6" t="str">
        <x:v>0.0</x:v>
      </x:c>
      <x:c r="X825" s="6" t="str">
        <x:v>1</x:v>
      </x:c>
      <x:c r="Y825" s="6" t="str">
        <x:v>14.0</x:v>
      </x:c>
      <x:c r="Z825" s="6" t="str">
        <x:v>1</x:v>
      </x:c>
      <x:c r="AA825" s="6" t="str">
        <x:v>0.0</x:v>
      </x:c>
      <x:c r="AB825" s="6" t="str">
        <x:v>1</x:v>
      </x:c>
      <x:c r="AC825" s="6" t="str">
        <x:v>2024-08</x:v>
      </x:c>
      <x:c r="AD825" s="9" t="str">
        <x:v>BNPB operational disaster search table</x:v>
      </x:c>
      <x:c r="AE825" s="9" t="str">
        <x:v>https://gis.bnpb.go.id/databencana/tabel/pencarian.php</x:v>
      </x:c>
      <x:c r="AF825" s="9" t="str">
        <x:v>operational_snapshot_annual_totals_may_differ</x:v>
      </x:c>
    </x:row>
    <x:row r="826" ht="18" customHeight="1">
      <x:c r="A826" s="6" t="str">
        <x:v>94</x:v>
      </x:c>
      <x:c r="B826" s="6" t="str">
        <x:v>PAPUA</x:v>
      </x:c>
      <x:c r="C826" s="6" t="str">
        <x:v>2024</x:v>
      </x:c>
      <x:c r="D826" s="6" t="str">
        <x:v>9</x:v>
      </x:c>
      <x:c r="E826" s="6" t="str">
        <x:v>3</x:v>
      </x:c>
      <x:c r="F826" s="6" t="str">
        <x:v>3</x:v>
      </x:c>
      <x:c r="G826" s="6" t="str">
        <x:v>2</x:v>
      </x:c>
      <x:c r="H826" s="6" t="str">
        <x:v>0</x:v>
      </x:c>
      <x:c r="I826" s="6" t="str">
        <x:v>1</x:v>
      </x:c>
      <x:c r="J826" s="6" t="str">
        <x:v>0</x:v>
      </x:c>
      <x:c r="K826" s="6" t="str">
        <x:v>0</x:v>
      </x:c>
      <x:c r="L826" s="6" t="str">
        <x:v>0</x:v>
      </x:c>
      <x:c r="M826" s="6" t="str">
        <x:v>0</x:v>
      </x:c>
      <x:c r="N826" s="6" t="str">
        <x:v>0</x:v>
      </x:c>
      <x:c r="O826" s="6" t="str">
        <x:v>0</x:v>
      </x:c>
      <x:c r="P826" s="6" t="str">
        <x:v>3</x:v>
      </x:c>
      <x:c r="Q826" s="6" t="str">
        <x:v>0.0</x:v>
      </x:c>
      <x:c r="R826" s="6" t="str">
        <x:v>3</x:v>
      </x:c>
      <x:c r="S826" s="6" t="str">
        <x:v>0.0</x:v>
      </x:c>
      <x:c r="T826" s="6" t="str">
        <x:v>3</x:v>
      </x:c>
      <x:c r="U826" s="6" t="str">
        <x:v>0.0</x:v>
      </x:c>
      <x:c r="V826" s="6" t="str">
        <x:v>3</x:v>
      </x:c>
      <x:c r="W826" s="6" t="str">
        <x:v>6.0</x:v>
      </x:c>
      <x:c r="X826" s="6" t="str">
        <x:v>3</x:v>
      </x:c>
      <x:c r="Y826" s="6" t="str">
        <x:v>47.0</x:v>
      </x:c>
      <x:c r="Z826" s="6" t="str">
        <x:v>2</x:v>
      </x:c>
      <x:c r="AA826" s="6" t="str">
        <x:v>2.0</x:v>
      </x:c>
      <x:c r="AB826" s="6" t="str">
        <x:v>3</x:v>
      </x:c>
      <x:c r="AC826" s="6" t="str">
        <x:v>2024-09</x:v>
      </x:c>
      <x:c r="AD826" s="9" t="str">
        <x:v>BNPB operational disaster search table</x:v>
      </x:c>
      <x:c r="AE826" s="9" t="str">
        <x:v>https://gis.bnpb.go.id/databencana/tabel/pencarian.php</x:v>
      </x:c>
      <x:c r="AF826" s="9" t="str">
        <x:v>operational_snapshot_annual_totals_may_differ</x:v>
      </x:c>
    </x:row>
    <x:row r="827" ht="18" customHeight="1">
      <x:c r="A827" s="6" t="str">
        <x:v>94</x:v>
      </x:c>
      <x:c r="B827" s="6" t="str">
        <x:v>PAPUA</x:v>
      </x:c>
      <x:c r="C827" s="6" t="str">
        <x:v>2024</x:v>
      </x:c>
      <x:c r="D827" s="6" t="str">
        <x:v>10</x:v>
      </x:c>
      <x:c r="E827" s="6" t="str">
        <x:v>1</x:v>
      </x:c>
      <x:c r="F827" s="6" t="str">
        <x:v>1</x:v>
      </x:c>
      <x:c r="G827" s="6" t="str">
        <x:v>1</x:v>
      </x:c>
      <x:c r="H827" s="6" t="str">
        <x:v>0</x:v>
      </x:c>
      <x:c r="I827" s="6" t="str">
        <x:v>0</x:v>
      </x:c>
      <x:c r="J827" s="6" t="str">
        <x:v>0</x:v>
      </x:c>
      <x:c r="K827" s="6" t="str">
        <x:v>0</x:v>
      </x:c>
      <x:c r="L827" s="6" t="str">
        <x:v>0</x:v>
      </x:c>
      <x:c r="M827" s="6" t="str">
        <x:v>0</x:v>
      </x:c>
      <x:c r="N827" s="6" t="str">
        <x:v>0</x:v>
      </x:c>
      <x:c r="O827" s="6" t="str">
        <x:v>0</x:v>
      </x:c>
      <x:c r="P827" s="6" t="str">
        <x:v>1</x:v>
      </x:c>
      <x:c r="Q827" s="6" t="str">
        <x:v>0.0</x:v>
      </x:c>
      <x:c r="R827" s="6" t="str">
        <x:v>1</x:v>
      </x:c>
      <x:c r="S827" s="6" t="str">
        <x:v>0.0</x:v>
      </x:c>
      <x:c r="T827" s="6" t="str">
        <x:v>1</x:v>
      </x:c>
      <x:c r="U827" s="6" t="str">
        <x:v>0.0</x:v>
      </x:c>
      <x:c r="V827" s="6" t="str">
        <x:v>1</x:v>
      </x:c>
      <x:c r="W827" s="6" t="str">
        <x:v>0.0</x:v>
      </x:c>
      <x:c r="X827" s="6" t="str">
        <x:v>1</x:v>
      </x:c>
      <x:c r="Y827" s="6" t="str">
        <x:v>260.0</x:v>
      </x:c>
      <x:c r="Z827" s="6" t="str">
        <x:v>1</x:v>
      </x:c>
      <x:c r="AA827" s="6" t="str">
        <x:v>5.0</x:v>
      </x:c>
      <x:c r="AB827" s="6" t="str">
        <x:v>1</x:v>
      </x:c>
      <x:c r="AC827" s="6" t="str">
        <x:v>2024-10</x:v>
      </x:c>
      <x:c r="AD827" s="9" t="str">
        <x:v>BNPB operational disaster search table</x:v>
      </x:c>
      <x:c r="AE827" s="9" t="str">
        <x:v>https://gis.bnpb.go.id/databencana/tabel/pencarian.php</x:v>
      </x:c>
      <x:c r="AF827" s="9" t="str">
        <x:v>operational_snapshot_annual_totals_may_differ</x:v>
      </x:c>
    </x:row>
    <x:row r="828" ht="18" customHeight="1">
      <x:c r="A828" s="6" t="str">
        <x:v>94</x:v>
      </x:c>
      <x:c r="B828" s="6" t="str">
        <x:v>PAPUA</x:v>
      </x:c>
      <x:c r="C828" s="6" t="str">
        <x:v>2024</x:v>
      </x:c>
      <x:c r="D828" s="6" t="str">
        <x:v>11</x:v>
      </x:c>
      <x:c r="E828" s="6" t="str">
        <x:v>0</x:v>
      </x:c>
      <x:c r="F828" s="6" t="str">
        <x:v>0</x:v>
      </x:c>
      <x:c r="G828" s="6" t="str">
        <x:v>0</x:v>
      </x:c>
      <x:c r="H828" s="6" t="str">
        <x:v>0</x:v>
      </x:c>
      <x:c r="I828" s="6" t="str">
        <x:v>0</x:v>
      </x:c>
      <x:c r="J828" s="6" t="str">
        <x:v>0</x:v>
      </x:c>
      <x:c r="K828" s="6" t="str">
        <x:v>0</x:v>
      </x:c>
      <x:c r="L828" s="6" t="str">
        <x:v>0</x:v>
      </x:c>
      <x:c r="M828" s="6" t="str">
        <x:v>0</x:v>
      </x:c>
      <x:c r="N828" s="6" t="str">
        <x:v>0</x:v>
      </x:c>
      <x:c r="O828" s="6" t="str">
        <x:v>0</x:v>
      </x:c>
      <x:c r="P828" s="6" t="str">
        <x:v>0</x:v>
      </x:c>
      <x:c r="Q828" s="6" t="str"/>
      <x:c r="R828" s="6" t="str">
        <x:v>0</x:v>
      </x:c>
      <x:c r="S828" s="6" t="str"/>
      <x:c r="T828" s="6" t="str">
        <x:v>0</x:v>
      </x:c>
      <x:c r="U828" s="6" t="str"/>
      <x:c r="V828" s="6" t="str">
        <x:v>0</x:v>
      </x:c>
      <x:c r="W828" s="6" t="str"/>
      <x:c r="X828" s="6" t="str">
        <x:v>0</x:v>
      </x:c>
      <x:c r="Y828" s="6" t="str"/>
      <x:c r="Z828" s="6" t="str">
        <x:v>0</x:v>
      </x:c>
      <x:c r="AA828" s="6" t="str"/>
      <x:c r="AB828" s="6" t="str">
        <x:v>0</x:v>
      </x:c>
      <x:c r="AC828" s="6" t="str">
        <x:v>2024-11</x:v>
      </x:c>
      <x:c r="AD828" s="9" t="str">
        <x:v>BNPB operational disaster search table</x:v>
      </x:c>
      <x:c r="AE828" s="9" t="str">
        <x:v>https://gis.bnpb.go.id/databencana/tabel/pencarian.php</x:v>
      </x:c>
      <x:c r="AF828" s="9" t="str">
        <x:v>operational_snapshot_annual_totals_may_differ</x:v>
      </x:c>
    </x:row>
    <x:row r="829" ht="18" customHeight="1">
      <x:c r="A829" s="6" t="str">
        <x:v>94</x:v>
      </x:c>
      <x:c r="B829" s="6" t="str">
        <x:v>PAPUA</x:v>
      </x:c>
      <x:c r="C829" s="6" t="str">
        <x:v>2024</x:v>
      </x:c>
      <x:c r="D829" s="6" t="str">
        <x:v>12</x:v>
      </x:c>
      <x:c r="E829" s="6" t="str">
        <x:v>3</x:v>
      </x:c>
      <x:c r="F829" s="6" t="str">
        <x:v>3</x:v>
      </x:c>
      <x:c r="G829" s="6" t="str">
        <x:v>2</x:v>
      </x:c>
      <x:c r="H829" s="6" t="str">
        <x:v>0</x:v>
      </x:c>
      <x:c r="I829" s="6" t="str">
        <x:v>1</x:v>
      </x:c>
      <x:c r="J829" s="6" t="str">
        <x:v>0</x:v>
      </x:c>
      <x:c r="K829" s="6" t="str">
        <x:v>0</x:v>
      </x:c>
      <x:c r="L829" s="6" t="str">
        <x:v>0</x:v>
      </x:c>
      <x:c r="M829" s="6" t="str">
        <x:v>0</x:v>
      </x:c>
      <x:c r="N829" s="6" t="str">
        <x:v>0</x:v>
      </x:c>
      <x:c r="O829" s="6" t="str">
        <x:v>0</x:v>
      </x:c>
      <x:c r="P829" s="6" t="str">
        <x:v>3</x:v>
      </x:c>
      <x:c r="Q829" s="6" t="str">
        <x:v>2.0</x:v>
      </x:c>
      <x:c r="R829" s="6" t="str">
        <x:v>3</x:v>
      </x:c>
      <x:c r="S829" s="6" t="str">
        <x:v>0.0</x:v>
      </x:c>
      <x:c r="T829" s="6" t="str">
        <x:v>3</x:v>
      </x:c>
      <x:c r="U829" s="6" t="str">
        <x:v>0.0</x:v>
      </x:c>
      <x:c r="V829" s="6" t="str">
        <x:v>3</x:v>
      </x:c>
      <x:c r="W829" s="6" t="str">
        <x:v>1.0</x:v>
      </x:c>
      <x:c r="X829" s="6" t="str">
        <x:v>3</x:v>
      </x:c>
      <x:c r="Y829" s="6" t="str">
        <x:v>317.0</x:v>
      </x:c>
      <x:c r="Z829" s="6" t="str">
        <x:v>1</x:v>
      </x:c>
      <x:c r="AA829" s="6" t="str">
        <x:v>1.0</x:v>
      </x:c>
      <x:c r="AB829" s="6" t="str">
        <x:v>3</x:v>
      </x:c>
      <x:c r="AC829" s="6" t="str">
        <x:v>2024-12</x:v>
      </x:c>
      <x:c r="AD829" s="9" t="str">
        <x:v>BNPB operational disaster search table</x:v>
      </x:c>
      <x:c r="AE829" s="9" t="str">
        <x:v>https://gis.bnpb.go.id/databencana/tabel/pencarian.php</x:v>
      </x:c>
      <x:c r="AF829" s="9" t="str">
        <x:v>operational_snapshot_annual_totals_may_differ</x:v>
      </x:c>
    </x:row>
    <x:row r="830" ht="18" customHeight="1">
      <x:c r="A830" s="6" t="str">
        <x:v>94</x:v>
      </x:c>
      <x:c r="B830" s="6" t="str">
        <x:v>PAPUA</x:v>
      </x:c>
      <x:c r="C830" s="6" t="str">
        <x:v>2025</x:v>
      </x:c>
      <x:c r="D830" s="6" t="str">
        <x:v>1</x:v>
      </x:c>
      <x:c r="E830" s="6" t="str">
        <x:v>0</x:v>
      </x:c>
      <x:c r="F830" s="6" t="str">
        <x:v>0</x:v>
      </x:c>
      <x:c r="G830" s="6" t="str">
        <x:v>0</x:v>
      </x:c>
      <x:c r="H830" s="6" t="str">
        <x:v>0</x:v>
      </x:c>
      <x:c r="I830" s="6" t="str">
        <x:v>0</x:v>
      </x:c>
      <x:c r="J830" s="6" t="str">
        <x:v>0</x:v>
      </x:c>
      <x:c r="K830" s="6" t="str">
        <x:v>0</x:v>
      </x:c>
      <x:c r="L830" s="6" t="str">
        <x:v>0</x:v>
      </x:c>
      <x:c r="M830" s="6" t="str">
        <x:v>0</x:v>
      </x:c>
      <x:c r="N830" s="6" t="str">
        <x:v>0</x:v>
      </x:c>
      <x:c r="O830" s="6" t="str">
        <x:v>0</x:v>
      </x:c>
      <x:c r="P830" s="6" t="str">
        <x:v>0</x:v>
      </x:c>
      <x:c r="Q830" s="6" t="str"/>
      <x:c r="R830" s="6" t="str">
        <x:v>0</x:v>
      </x:c>
      <x:c r="S830" s="6" t="str"/>
      <x:c r="T830" s="6" t="str">
        <x:v>0</x:v>
      </x:c>
      <x:c r="U830" s="6" t="str"/>
      <x:c r="V830" s="6" t="str">
        <x:v>0</x:v>
      </x:c>
      <x:c r="W830" s="6" t="str"/>
      <x:c r="X830" s="6" t="str">
        <x:v>0</x:v>
      </x:c>
      <x:c r="Y830" s="6" t="str"/>
      <x:c r="Z830" s="6" t="str">
        <x:v>0</x:v>
      </x:c>
      <x:c r="AA830" s="6" t="str"/>
      <x:c r="AB830" s="6" t="str">
        <x:v>0</x:v>
      </x:c>
      <x:c r="AC830" s="6" t="str">
        <x:v>2025-01</x:v>
      </x:c>
      <x:c r="AD830" s="9" t="str">
        <x:v>BNPB operational disaster search table</x:v>
      </x:c>
      <x:c r="AE830" s="9" t="str">
        <x:v>https://gis.bnpb.go.id/databencana/tabel/pencarian.php</x:v>
      </x:c>
      <x:c r="AF830" s="9" t="str">
        <x:v>operational_snapshot_annual_totals_may_differ</x:v>
      </x:c>
    </x:row>
    <x:row r="831" ht="18" customHeight="1">
      <x:c r="A831" s="6" t="str">
        <x:v>94</x:v>
      </x:c>
      <x:c r="B831" s="6" t="str">
        <x:v>PAPUA</x:v>
      </x:c>
      <x:c r="C831" s="6" t="str">
        <x:v>2025</x:v>
      </x:c>
      <x:c r="D831" s="6" t="str">
        <x:v>2</x:v>
      </x:c>
      <x:c r="E831" s="6" t="str">
        <x:v>2</x:v>
      </x:c>
      <x:c r="F831" s="6" t="str">
        <x:v>2</x:v>
      </x:c>
      <x:c r="G831" s="6" t="str">
        <x:v>2</x:v>
      </x:c>
      <x:c r="H831" s="6" t="str">
        <x:v>0</x:v>
      </x:c>
      <x:c r="I831" s="6" t="str">
        <x:v>0</x:v>
      </x:c>
      <x:c r="J831" s="6" t="str">
        <x:v>0</x:v>
      </x:c>
      <x:c r="K831" s="6" t="str">
        <x:v>0</x:v>
      </x:c>
      <x:c r="L831" s="6" t="str">
        <x:v>0</x:v>
      </x:c>
      <x:c r="M831" s="6" t="str">
        <x:v>0</x:v>
      </x:c>
      <x:c r="N831" s="6" t="str">
        <x:v>0</x:v>
      </x:c>
      <x:c r="O831" s="6" t="str">
        <x:v>0</x:v>
      </x:c>
      <x:c r="P831" s="6" t="str">
        <x:v>2</x:v>
      </x:c>
      <x:c r="Q831" s="6" t="str">
        <x:v>1.0</x:v>
      </x:c>
      <x:c r="R831" s="6" t="str">
        <x:v>2</x:v>
      </x:c>
      <x:c r="S831" s="6" t="str">
        <x:v>0.0</x:v>
      </x:c>
      <x:c r="T831" s="6" t="str">
        <x:v>2</x:v>
      </x:c>
      <x:c r="U831" s="6" t="str">
        <x:v>0.0</x:v>
      </x:c>
      <x:c r="V831" s="6" t="str">
        <x:v>2</x:v>
      </x:c>
      <x:c r="W831" s="6" t="str">
        <x:v>0.0</x:v>
      </x:c>
      <x:c r="X831" s="6" t="str">
        <x:v>2</x:v>
      </x:c>
      <x:c r="Y831" s="6" t="str">
        <x:v>29.0</x:v>
      </x:c>
      <x:c r="Z831" s="6" t="str">
        <x:v>1</x:v>
      </x:c>
      <x:c r="AA831" s="6" t="str">
        <x:v>0.0</x:v>
      </x:c>
      <x:c r="AB831" s="6" t="str">
        <x:v>2</x:v>
      </x:c>
      <x:c r="AC831" s="6" t="str">
        <x:v>2025-02</x:v>
      </x:c>
      <x:c r="AD831" s="9" t="str">
        <x:v>BNPB operational disaster search table</x:v>
      </x:c>
      <x:c r="AE831" s="9" t="str">
        <x:v>https://gis.bnpb.go.id/databencana/tabel/pencarian.php</x:v>
      </x:c>
      <x:c r="AF831" s="9" t="str">
        <x:v>operational_snapshot_annual_totals_may_differ</x:v>
      </x:c>
    </x:row>
    <x:row r="832" ht="18" customHeight="1">
      <x:c r="A832" s="6" t="str">
        <x:v>94</x:v>
      </x:c>
      <x:c r="B832" s="6" t="str">
        <x:v>PAPUA</x:v>
      </x:c>
      <x:c r="C832" s="6" t="str">
        <x:v>2025</x:v>
      </x:c>
      <x:c r="D832" s="6" t="str">
        <x:v>3</x:v>
      </x:c>
      <x:c r="E832" s="6" t="str">
        <x:v>5</x:v>
      </x:c>
      <x:c r="F832" s="6" t="str">
        <x:v>5</x:v>
      </x:c>
      <x:c r="G832" s="6" t="str">
        <x:v>5</x:v>
      </x:c>
      <x:c r="H832" s="6" t="str">
        <x:v>0</x:v>
      </x:c>
      <x:c r="I832" s="6" t="str">
        <x:v>0</x:v>
      </x:c>
      <x:c r="J832" s="6" t="str">
        <x:v>0</x:v>
      </x:c>
      <x:c r="K832" s="6" t="str">
        <x:v>0</x:v>
      </x:c>
      <x:c r="L832" s="6" t="str">
        <x:v>0</x:v>
      </x:c>
      <x:c r="M832" s="6" t="str">
        <x:v>0</x:v>
      </x:c>
      <x:c r="N832" s="6" t="str">
        <x:v>0</x:v>
      </x:c>
      <x:c r="O832" s="6" t="str">
        <x:v>0</x:v>
      </x:c>
      <x:c r="P832" s="6" t="str">
        <x:v>5</x:v>
      </x:c>
      <x:c r="Q832" s="6" t="str">
        <x:v>0.0</x:v>
      </x:c>
      <x:c r="R832" s="6" t="str">
        <x:v>5</x:v>
      </x:c>
      <x:c r="S832" s="6" t="str">
        <x:v>0.0</x:v>
      </x:c>
      <x:c r="T832" s="6" t="str">
        <x:v>5</x:v>
      </x:c>
      <x:c r="U832" s="6" t="str">
        <x:v>0.0</x:v>
      </x:c>
      <x:c r="V832" s="6" t="str">
        <x:v>5</x:v>
      </x:c>
      <x:c r="W832" s="6" t="str">
        <x:v>9.0</x:v>
      </x:c>
      <x:c r="X832" s="6" t="str">
        <x:v>5</x:v>
      </x:c>
      <x:c r="Y832" s="6" t="str">
        <x:v>434.0</x:v>
      </x:c>
      <x:c r="Z832" s="6" t="str">
        <x:v>4</x:v>
      </x:c>
      <x:c r="AA832" s="6" t="str">
        <x:v>19.0</x:v>
      </x:c>
      <x:c r="AB832" s="6" t="str">
        <x:v>5</x:v>
      </x:c>
      <x:c r="AC832" s="6" t="str">
        <x:v>2025-03</x:v>
      </x:c>
      <x:c r="AD832" s="9" t="str">
        <x:v>BNPB operational disaster search table</x:v>
      </x:c>
      <x:c r="AE832" s="9" t="str">
        <x:v>https://gis.bnpb.go.id/databencana/tabel/pencarian.php</x:v>
      </x:c>
      <x:c r="AF832" s="9" t="str">
        <x:v>operational_snapshot_annual_totals_may_differ</x:v>
      </x:c>
    </x:row>
    <x:row r="833" ht="18" customHeight="1">
      <x:c r="A833" s="6" t="str">
        <x:v>94</x:v>
      </x:c>
      <x:c r="B833" s="6" t="str">
        <x:v>PAPUA</x:v>
      </x:c>
      <x:c r="C833" s="6" t="str">
        <x:v>2025</x:v>
      </x:c>
      <x:c r="D833" s="6" t="str">
        <x:v>4</x:v>
      </x:c>
      <x:c r="E833" s="6" t="str">
        <x:v>1</x:v>
      </x:c>
      <x:c r="F833" s="6" t="str">
        <x:v>1</x:v>
      </x:c>
      <x:c r="G833" s="6" t="str">
        <x:v>1</x:v>
      </x:c>
      <x:c r="H833" s="6" t="str">
        <x:v>0</x:v>
      </x:c>
      <x:c r="I833" s="6" t="str">
        <x:v>0</x:v>
      </x:c>
      <x:c r="J833" s="6" t="str">
        <x:v>0</x:v>
      </x:c>
      <x:c r="K833" s="6" t="str">
        <x:v>0</x:v>
      </x:c>
      <x:c r="L833" s="6" t="str">
        <x:v>0</x:v>
      </x:c>
      <x:c r="M833" s="6" t="str">
        <x:v>0</x:v>
      </x:c>
      <x:c r="N833" s="6" t="str">
        <x:v>0</x:v>
      </x:c>
      <x:c r="O833" s="6" t="str">
        <x:v>0</x:v>
      </x:c>
      <x:c r="P833" s="6" t="str">
        <x:v>1</x:v>
      </x:c>
      <x:c r="Q833" s="6" t="str">
        <x:v>1.0</x:v>
      </x:c>
      <x:c r="R833" s="6" t="str">
        <x:v>1</x:v>
      </x:c>
      <x:c r="S833" s="6" t="str">
        <x:v>0.0</x:v>
      </x:c>
      <x:c r="T833" s="6" t="str">
        <x:v>1</x:v>
      </x:c>
      <x:c r="U833" s="6" t="str">
        <x:v>0.0</x:v>
      </x:c>
      <x:c r="V833" s="6" t="str">
        <x:v>1</x:v>
      </x:c>
      <x:c r="W833" s="6" t="str">
        <x:v>0.0</x:v>
      </x:c>
      <x:c r="X833" s="6" t="str">
        <x:v>1</x:v>
      </x:c>
      <x:c r="Y833" s="6" t="str"/>
      <x:c r="Z833" s="6" t="str">
        <x:v>0</x:v>
      </x:c>
      <x:c r="AA833" s="6" t="str">
        <x:v>0.0</x:v>
      </x:c>
      <x:c r="AB833" s="6" t="str">
        <x:v>1</x:v>
      </x:c>
      <x:c r="AC833" s="6" t="str">
        <x:v>2025-04</x:v>
      </x:c>
      <x:c r="AD833" s="9" t="str">
        <x:v>BNPB operational disaster search table</x:v>
      </x:c>
      <x:c r="AE833" s="9" t="str">
        <x:v>https://gis.bnpb.go.id/databencana/tabel/pencarian.php</x:v>
      </x:c>
      <x:c r="AF833" s="9" t="str">
        <x:v>operational_snapshot_annual_totals_may_differ</x:v>
      </x:c>
    </x:row>
    <x:row r="834" ht="18" customHeight="1">
      <x:c r="A834" s="6" t="str">
        <x:v>94</x:v>
      </x:c>
      <x:c r="B834" s="6" t="str">
        <x:v>PAPUA</x:v>
      </x:c>
      <x:c r="C834" s="6" t="str">
        <x:v>2025</x:v>
      </x:c>
      <x:c r="D834" s="6" t="str">
        <x:v>5</x:v>
      </x:c>
      <x:c r="E834" s="6" t="str">
        <x:v>0</x:v>
      </x:c>
      <x:c r="F834" s="6" t="str">
        <x:v>0</x:v>
      </x:c>
      <x:c r="G834" s="6" t="str">
        <x:v>0</x:v>
      </x:c>
      <x:c r="H834" s="6" t="str">
        <x:v>0</x:v>
      </x:c>
      <x:c r="I834" s="6" t="str">
        <x:v>0</x:v>
      </x:c>
      <x:c r="J834" s="6" t="str">
        <x:v>0</x:v>
      </x:c>
      <x:c r="K834" s="6" t="str">
        <x:v>0</x:v>
      </x:c>
      <x:c r="L834" s="6" t="str">
        <x:v>0</x:v>
      </x:c>
      <x:c r="M834" s="6" t="str">
        <x:v>0</x:v>
      </x:c>
      <x:c r="N834" s="6" t="str">
        <x:v>0</x:v>
      </x:c>
      <x:c r="O834" s="6" t="str">
        <x:v>0</x:v>
      </x:c>
      <x:c r="P834" s="6" t="str">
        <x:v>0</x:v>
      </x:c>
      <x:c r="Q834" s="6" t="str"/>
      <x:c r="R834" s="6" t="str">
        <x:v>0</x:v>
      </x:c>
      <x:c r="S834" s="6" t="str"/>
      <x:c r="T834" s="6" t="str">
        <x:v>0</x:v>
      </x:c>
      <x:c r="U834" s="6" t="str"/>
      <x:c r="V834" s="6" t="str">
        <x:v>0</x:v>
      </x:c>
      <x:c r="W834" s="6" t="str"/>
      <x:c r="X834" s="6" t="str">
        <x:v>0</x:v>
      </x:c>
      <x:c r="Y834" s="6" t="str"/>
      <x:c r="Z834" s="6" t="str">
        <x:v>0</x:v>
      </x:c>
      <x:c r="AA834" s="6" t="str"/>
      <x:c r="AB834" s="6" t="str">
        <x:v>0</x:v>
      </x:c>
      <x:c r="AC834" s="6" t="str">
        <x:v>2025-05</x:v>
      </x:c>
      <x:c r="AD834" s="9" t="str">
        <x:v>BNPB operational disaster search table</x:v>
      </x:c>
      <x:c r="AE834" s="9" t="str">
        <x:v>https://gis.bnpb.go.id/databencana/tabel/pencarian.php</x:v>
      </x:c>
      <x:c r="AF834" s="9" t="str">
        <x:v>operational_snapshot_annual_totals_may_differ</x:v>
      </x:c>
    </x:row>
    <x:row r="835" ht="18" customHeight="1">
      <x:c r="A835" s="6" t="str">
        <x:v>94</x:v>
      </x:c>
      <x:c r="B835" s="6" t="str">
        <x:v>PAPUA</x:v>
      </x:c>
      <x:c r="C835" s="6" t="str">
        <x:v>2025</x:v>
      </x:c>
      <x:c r="D835" s="6" t="str">
        <x:v>6</x:v>
      </x:c>
      <x:c r="E835" s="6" t="str">
        <x:v>1</x:v>
      </x:c>
      <x:c r="F835" s="6" t="str">
        <x:v>1</x:v>
      </x:c>
      <x:c r="G835" s="6" t="str">
        <x:v>1</x:v>
      </x:c>
      <x:c r="H835" s="6" t="str">
        <x:v>0</x:v>
      </x:c>
      <x:c r="I835" s="6" t="str">
        <x:v>0</x:v>
      </x:c>
      <x:c r="J835" s="6" t="str">
        <x:v>0</x:v>
      </x:c>
      <x:c r="K835" s="6" t="str">
        <x:v>0</x:v>
      </x:c>
      <x:c r="L835" s="6" t="str">
        <x:v>0</x:v>
      </x:c>
      <x:c r="M835" s="6" t="str">
        <x:v>0</x:v>
      </x:c>
      <x:c r="N835" s="6" t="str">
        <x:v>0</x:v>
      </x:c>
      <x:c r="O835" s="6" t="str">
        <x:v>0</x:v>
      </x:c>
      <x:c r="P835" s="6" t="str">
        <x:v>1</x:v>
      </x:c>
      <x:c r="Q835" s="6" t="str"/>
      <x:c r="R835" s="6" t="str">
        <x:v>0</x:v>
      </x:c>
      <x:c r="S835" s="6" t="str"/>
      <x:c r="T835" s="6" t="str">
        <x:v>0</x:v>
      </x:c>
      <x:c r="U835" s="6" t="str"/>
      <x:c r="V835" s="6" t="str">
        <x:v>0</x:v>
      </x:c>
      <x:c r="W835" s="6" t="str">
        <x:v>328.0</x:v>
      </x:c>
      <x:c r="X835" s="6" t="str">
        <x:v>1</x:v>
      </x:c>
      <x:c r="Y835" s="6" t="str"/>
      <x:c r="Z835" s="6" t="str">
        <x:v>0</x:v>
      </x:c>
      <x:c r="AA835" s="6" t="str">
        <x:v>0.0</x:v>
      </x:c>
      <x:c r="AB835" s="6" t="str">
        <x:v>1</x:v>
      </x:c>
      <x:c r="AC835" s="6" t="str">
        <x:v>2025-06</x:v>
      </x:c>
      <x:c r="AD835" s="9" t="str">
        <x:v>BNPB operational disaster search table</x:v>
      </x:c>
      <x:c r="AE835" s="9" t="str">
        <x:v>https://gis.bnpb.go.id/databencana/tabel/pencarian.php</x:v>
      </x:c>
      <x:c r="AF835" s="9" t="str">
        <x:v>operational_snapshot_annual_totals_may_differ</x:v>
      </x:c>
    </x:row>
    <x:row r="836" ht="18" customHeight="1">
      <x:c r="A836" s="6" t="str">
        <x:v>94</x:v>
      </x:c>
      <x:c r="B836" s="6" t="str">
        <x:v>PAPUA</x:v>
      </x:c>
      <x:c r="C836" s="6" t="str">
        <x:v>2025</x:v>
      </x:c>
      <x:c r="D836" s="6" t="str">
        <x:v>7</x:v>
      </x:c>
      <x:c r="E836" s="6" t="str">
        <x:v>0</x:v>
      </x:c>
      <x:c r="F836" s="6" t="str">
        <x:v>0</x:v>
      </x:c>
      <x:c r="G836" s="6" t="str">
        <x:v>0</x:v>
      </x:c>
      <x:c r="H836" s="6" t="str">
        <x:v>0</x:v>
      </x:c>
      <x:c r="I836" s="6" t="str">
        <x:v>0</x:v>
      </x:c>
      <x:c r="J836" s="6" t="str">
        <x:v>0</x:v>
      </x:c>
      <x:c r="K836" s="6" t="str">
        <x:v>0</x:v>
      </x:c>
      <x:c r="L836" s="6" t="str">
        <x:v>0</x:v>
      </x:c>
      <x:c r="M836" s="6" t="str">
        <x:v>0</x:v>
      </x:c>
      <x:c r="N836" s="6" t="str">
        <x:v>0</x:v>
      </x:c>
      <x:c r="O836" s="6" t="str">
        <x:v>0</x:v>
      </x:c>
      <x:c r="P836" s="6" t="str">
        <x:v>0</x:v>
      </x:c>
      <x:c r="Q836" s="6" t="str"/>
      <x:c r="R836" s="6" t="str">
        <x:v>0</x:v>
      </x:c>
      <x:c r="S836" s="6" t="str"/>
      <x:c r="T836" s="6" t="str">
        <x:v>0</x:v>
      </x:c>
      <x:c r="U836" s="6" t="str"/>
      <x:c r="V836" s="6" t="str">
        <x:v>0</x:v>
      </x:c>
      <x:c r="W836" s="6" t="str"/>
      <x:c r="X836" s="6" t="str">
        <x:v>0</x:v>
      </x:c>
      <x:c r="Y836" s="6" t="str"/>
      <x:c r="Z836" s="6" t="str">
        <x:v>0</x:v>
      </x:c>
      <x:c r="AA836" s="6" t="str"/>
      <x:c r="AB836" s="6" t="str">
        <x:v>0</x:v>
      </x:c>
      <x:c r="AC836" s="6" t="str">
        <x:v>2025-07</x:v>
      </x:c>
      <x:c r="AD836" s="9" t="str">
        <x:v>BNPB operational disaster search table</x:v>
      </x:c>
      <x:c r="AE836" s="9" t="str">
        <x:v>https://gis.bnpb.go.id/databencana/tabel/pencarian.php</x:v>
      </x:c>
      <x:c r="AF836" s="9" t="str">
        <x:v>operational_snapshot_annual_totals_may_differ</x:v>
      </x:c>
    </x:row>
    <x:row r="837" ht="18" customHeight="1">
      <x:c r="A837" s="6" t="str">
        <x:v>94</x:v>
      </x:c>
      <x:c r="B837" s="6" t="str">
        <x:v>PAPUA</x:v>
      </x:c>
      <x:c r="C837" s="6" t="str">
        <x:v>2025</x:v>
      </x:c>
      <x:c r="D837" s="6" t="str">
        <x:v>8</x:v>
      </x:c>
      <x:c r="E837" s="6" t="str">
        <x:v>2</x:v>
      </x:c>
      <x:c r="F837" s="6" t="str">
        <x:v>2</x:v>
      </x:c>
      <x:c r="G837" s="6" t="str">
        <x:v>1</x:v>
      </x:c>
      <x:c r="H837" s="6" t="str">
        <x:v>0</x:v>
      </x:c>
      <x:c r="I837" s="6" t="str">
        <x:v>0</x:v>
      </x:c>
      <x:c r="J837" s="6" t="str">
        <x:v>0</x:v>
      </x:c>
      <x:c r="K837" s="6" t="str">
        <x:v>0</x:v>
      </x:c>
      <x:c r="L837" s="6" t="str">
        <x:v>0</x:v>
      </x:c>
      <x:c r="M837" s="6" t="str">
        <x:v>1</x:v>
      </x:c>
      <x:c r="N837" s="6" t="str">
        <x:v>0</x:v>
      </x:c>
      <x:c r="O837" s="6" t="str">
        <x:v>0</x:v>
      </x:c>
      <x:c r="P837" s="6" t="str">
        <x:v>1</x:v>
      </x:c>
      <x:c r="Q837" s="6" t="str"/>
      <x:c r="R837" s="6" t="str">
        <x:v>0</x:v>
      </x:c>
      <x:c r="S837" s="6" t="str"/>
      <x:c r="T837" s="6" t="str">
        <x:v>0</x:v>
      </x:c>
      <x:c r="U837" s="6" t="str"/>
      <x:c r="V837" s="6" t="str">
        <x:v>0</x:v>
      </x:c>
      <x:c r="W837" s="6" t="str">
        <x:v>106.0</x:v>
      </x:c>
      <x:c r="X837" s="6" t="str">
        <x:v>2</x:v>
      </x:c>
      <x:c r="Y837" s="6" t="str">
        <x:v>1.0</x:v>
      </x:c>
      <x:c r="Z837" s="6" t="str">
        <x:v>1</x:v>
      </x:c>
      <x:c r="AA837" s="6" t="str">
        <x:v>12.0</x:v>
      </x:c>
      <x:c r="AB837" s="6" t="str">
        <x:v>2</x:v>
      </x:c>
      <x:c r="AC837" s="6" t="str">
        <x:v>2025-08</x:v>
      </x:c>
      <x:c r="AD837" s="9" t="str">
        <x:v>BNPB operational disaster search table</x:v>
      </x:c>
      <x:c r="AE837" s="9" t="str">
        <x:v>https://gis.bnpb.go.id/databencana/tabel/pencarian.php</x:v>
      </x:c>
      <x:c r="AF837" s="9" t="str">
        <x:v>operational_snapshot_annual_totals_may_differ</x:v>
      </x:c>
    </x:row>
    <x:row r="838" ht="18" customHeight="1">
      <x:c r="A838" s="6" t="str">
        <x:v>94</x:v>
      </x:c>
      <x:c r="B838" s="6" t="str">
        <x:v>PAPUA</x:v>
      </x:c>
      <x:c r="C838" s="6" t="str">
        <x:v>2025</x:v>
      </x:c>
      <x:c r="D838" s="6" t="str">
        <x:v>9</x:v>
      </x:c>
      <x:c r="E838" s="6" t="str">
        <x:v>1</x:v>
      </x:c>
      <x:c r="F838" s="6" t="str">
        <x:v>1</x:v>
      </x:c>
      <x:c r="G838" s="6" t="str">
        <x:v>0</x:v>
      </x:c>
      <x:c r="H838" s="6" t="str">
        <x:v>1</x:v>
      </x:c>
      <x:c r="I838" s="6" t="str">
        <x:v>0</x:v>
      </x:c>
      <x:c r="J838" s="6" t="str">
        <x:v>0</x:v>
      </x:c>
      <x:c r="K838" s="6" t="str">
        <x:v>0</x:v>
      </x:c>
      <x:c r="L838" s="6" t="str">
        <x:v>0</x:v>
      </x:c>
      <x:c r="M838" s="6" t="str">
        <x:v>0</x:v>
      </x:c>
      <x:c r="N838" s="6" t="str">
        <x:v>0</x:v>
      </x:c>
      <x:c r="O838" s="6" t="str">
        <x:v>0</x:v>
      </x:c>
      <x:c r="P838" s="6" t="str">
        <x:v>1</x:v>
      </x:c>
      <x:c r="Q838" s="6" t="str"/>
      <x:c r="R838" s="6" t="str">
        <x:v>0</x:v>
      </x:c>
      <x:c r="S838" s="6" t="str"/>
      <x:c r="T838" s="6" t="str">
        <x:v>0</x:v>
      </x:c>
      <x:c r="U838" s="6" t="str"/>
      <x:c r="V838" s="6" t="str">
        <x:v>0</x:v>
      </x:c>
      <x:c r="W838" s="6" t="str">
        <x:v>0.0</x:v>
      </x:c>
      <x:c r="X838" s="6" t="str">
        <x:v>1</x:v>
      </x:c>
      <x:c r="Y838" s="6" t="str"/>
      <x:c r="Z838" s="6" t="str">
        <x:v>0</x:v>
      </x:c>
      <x:c r="AA838" s="6" t="str">
        <x:v>0.0</x:v>
      </x:c>
      <x:c r="AB838" s="6" t="str">
        <x:v>1</x:v>
      </x:c>
      <x:c r="AC838" s="6" t="str">
        <x:v>2025-09</x:v>
      </x:c>
      <x:c r="AD838" s="9" t="str">
        <x:v>BNPB operational disaster search table</x:v>
      </x:c>
      <x:c r="AE838" s="9" t="str">
        <x:v>https://gis.bnpb.go.id/databencana/tabel/pencarian.php</x:v>
      </x:c>
      <x:c r="AF838" s="9" t="str">
        <x:v>operational_snapshot_annual_totals_may_differ</x:v>
      </x:c>
    </x:row>
    <x:row r="839" ht="18" customHeight="1">
      <x:c r="A839" s="6" t="str">
        <x:v>94</x:v>
      </x:c>
      <x:c r="B839" s="6" t="str">
        <x:v>PAPUA</x:v>
      </x:c>
      <x:c r="C839" s="6" t="str">
        <x:v>2025</x:v>
      </x:c>
      <x:c r="D839" s="6" t="str">
        <x:v>10</x:v>
      </x:c>
      <x:c r="E839" s="6" t="str">
        <x:v>2</x:v>
      </x:c>
      <x:c r="F839" s="6" t="str">
        <x:v>2</x:v>
      </x:c>
      <x:c r="G839" s="6" t="str">
        <x:v>0</x:v>
      </x:c>
      <x:c r="H839" s="6" t="str">
        <x:v>0</x:v>
      </x:c>
      <x:c r="I839" s="6" t="str">
        <x:v>0</x:v>
      </x:c>
      <x:c r="J839" s="6" t="str">
        <x:v>0</x:v>
      </x:c>
      <x:c r="K839" s="6" t="str">
        <x:v>0</x:v>
      </x:c>
      <x:c r="L839" s="6" t="str">
        <x:v>0</x:v>
      </x:c>
      <x:c r="M839" s="6" t="str">
        <x:v>2</x:v>
      </x:c>
      <x:c r="N839" s="6" t="str">
        <x:v>0</x:v>
      </x:c>
      <x:c r="O839" s="6" t="str">
        <x:v>0</x:v>
      </x:c>
      <x:c r="P839" s="6" t="str">
        <x:v>0</x:v>
      </x:c>
      <x:c r="Q839" s="6" t="str"/>
      <x:c r="R839" s="6" t="str">
        <x:v>0</x:v>
      </x:c>
      <x:c r="S839" s="6" t="str"/>
      <x:c r="T839" s="6" t="str">
        <x:v>0</x:v>
      </x:c>
      <x:c r="U839" s="6" t="str">
        <x:v>3.0</x:v>
      </x:c>
      <x:c r="V839" s="6" t="str">
        <x:v>1</x:v>
      </x:c>
      <x:c r="W839" s="6" t="str">
        <x:v>145.0</x:v>
      </x:c>
      <x:c r="X839" s="6" t="str">
        <x:v>2</x:v>
      </x:c>
      <x:c r="Y839" s="6" t="str"/>
      <x:c r="Z839" s="6" t="str">
        <x:v>0</x:v>
      </x:c>
      <x:c r="AA839" s="6" t="str">
        <x:v>16.0</x:v>
      </x:c>
      <x:c r="AB839" s="6" t="str">
        <x:v>2</x:v>
      </x:c>
      <x:c r="AC839" s="6" t="str">
        <x:v>2025-10</x:v>
      </x:c>
      <x:c r="AD839" s="9" t="str">
        <x:v>BNPB operational disaster search table</x:v>
      </x:c>
      <x:c r="AE839" s="9" t="str">
        <x:v>https://gis.bnpb.go.id/databencana/tabel/pencarian.php</x:v>
      </x:c>
      <x:c r="AF839" s="9" t="str">
        <x:v>operational_snapshot_annual_totals_may_differ</x:v>
      </x:c>
    </x:row>
    <x:row r="840" ht="18" customHeight="1">
      <x:c r="A840" s="6" t="str">
        <x:v>94</x:v>
      </x:c>
      <x:c r="B840" s="6" t="str">
        <x:v>PAPUA</x:v>
      </x:c>
      <x:c r="C840" s="6" t="str">
        <x:v>2025</x:v>
      </x:c>
      <x:c r="D840" s="6" t="str">
        <x:v>11</x:v>
      </x:c>
      <x:c r="E840" s="6" t="str">
        <x:v>0</x:v>
      </x:c>
      <x:c r="F840" s="6" t="str">
        <x:v>0</x:v>
      </x:c>
      <x:c r="G840" s="6" t="str">
        <x:v>0</x:v>
      </x:c>
      <x:c r="H840" s="6" t="str">
        <x:v>0</x:v>
      </x:c>
      <x:c r="I840" s="6" t="str">
        <x:v>0</x:v>
      </x:c>
      <x:c r="J840" s="6" t="str">
        <x:v>0</x:v>
      </x:c>
      <x:c r="K840" s="6" t="str">
        <x:v>0</x:v>
      </x:c>
      <x:c r="L840" s="6" t="str">
        <x:v>0</x:v>
      </x:c>
      <x:c r="M840" s="6" t="str">
        <x:v>0</x:v>
      </x:c>
      <x:c r="N840" s="6" t="str">
        <x:v>0</x:v>
      </x:c>
      <x:c r="O840" s="6" t="str">
        <x:v>0</x:v>
      </x:c>
      <x:c r="P840" s="6" t="str">
        <x:v>0</x:v>
      </x:c>
      <x:c r="Q840" s="6" t="str"/>
      <x:c r="R840" s="6" t="str">
        <x:v>0</x:v>
      </x:c>
      <x:c r="S840" s="6" t="str"/>
      <x:c r="T840" s="6" t="str">
        <x:v>0</x:v>
      </x:c>
      <x:c r="U840" s="6" t="str"/>
      <x:c r="V840" s="6" t="str">
        <x:v>0</x:v>
      </x:c>
      <x:c r="W840" s="6" t="str"/>
      <x:c r="X840" s="6" t="str">
        <x:v>0</x:v>
      </x:c>
      <x:c r="Y840" s="6" t="str"/>
      <x:c r="Z840" s="6" t="str">
        <x:v>0</x:v>
      </x:c>
      <x:c r="AA840" s="6" t="str"/>
      <x:c r="AB840" s="6" t="str">
        <x:v>0</x:v>
      </x:c>
      <x:c r="AC840" s="6" t="str">
        <x:v>2025-11</x:v>
      </x:c>
      <x:c r="AD840" s="9" t="str">
        <x:v>BNPB operational disaster search table</x:v>
      </x:c>
      <x:c r="AE840" s="9" t="str">
        <x:v>https://gis.bnpb.go.id/databencana/tabel/pencarian.php</x:v>
      </x:c>
      <x:c r="AF840" s="9" t="str">
        <x:v>operational_snapshot_annual_totals_may_differ</x:v>
      </x:c>
    </x:row>
    <x:row r="841" ht="18" customHeight="1">
      <x:c r="A841" s="6" t="str">
        <x:v>94</x:v>
      </x:c>
      <x:c r="B841" s="6" t="str">
        <x:v>PAPUA</x:v>
      </x:c>
      <x:c r="C841" s="6" t="str">
        <x:v>2025</x:v>
      </x:c>
      <x:c r="D841" s="6" t="str">
        <x:v>12</x:v>
      </x:c>
      <x:c r="E841" s="6" t="str">
        <x:v>1</x:v>
      </x:c>
      <x:c r="F841" s="6" t="str">
        <x:v>1</x:v>
      </x:c>
      <x:c r="G841" s="6" t="str">
        <x:v>1</x:v>
      </x:c>
      <x:c r="H841" s="6" t="str">
        <x:v>0</x:v>
      </x:c>
      <x:c r="I841" s="6" t="str">
        <x:v>0</x:v>
      </x:c>
      <x:c r="J841" s="6" t="str">
        <x:v>0</x:v>
      </x:c>
      <x:c r="K841" s="6" t="str">
        <x:v>0</x:v>
      </x:c>
      <x:c r="L841" s="6" t="str">
        <x:v>0</x:v>
      </x:c>
      <x:c r="M841" s="6" t="str">
        <x:v>0</x:v>
      </x:c>
      <x:c r="N841" s="6" t="str">
        <x:v>0</x:v>
      </x:c>
      <x:c r="O841" s="6" t="str">
        <x:v>0</x:v>
      </x:c>
      <x:c r="P841" s="6" t="str">
        <x:v>1</x:v>
      </x:c>
      <x:c r="Q841" s="6" t="str"/>
      <x:c r="R841" s="6" t="str">
        <x:v>0</x:v>
      </x:c>
      <x:c r="S841" s="6" t="str"/>
      <x:c r="T841" s="6" t="str">
        <x:v>0</x:v>
      </x:c>
      <x:c r="U841" s="6" t="str"/>
      <x:c r="V841" s="6" t="str">
        <x:v>0</x:v>
      </x:c>
      <x:c r="W841" s="6" t="str">
        <x:v>0.0</x:v>
      </x:c>
      <x:c r="X841" s="6" t="str">
        <x:v>1</x:v>
      </x:c>
      <x:c r="Y841" s="6" t="str">
        <x:v>720.0</x:v>
      </x:c>
      <x:c r="Z841" s="6" t="str">
        <x:v>1</x:v>
      </x:c>
      <x:c r="AA841" s="6" t="str">
        <x:v>0.0</x:v>
      </x:c>
      <x:c r="AB841" s="6" t="str">
        <x:v>1</x:v>
      </x:c>
      <x:c r="AC841" s="6" t="str">
        <x:v>2025-12</x:v>
      </x:c>
      <x:c r="AD841" s="9" t="str">
        <x:v>BNPB operational disaster search table</x:v>
      </x:c>
      <x:c r="AE841" s="9" t="str">
        <x:v>https://gis.bnpb.go.id/databencana/tabel/pencarian.php</x:v>
      </x:c>
      <x:c r="AF841" s="9" t="str">
        <x:v>operational_snapshot_annual_totals_may_differ</x:v>
      </x:c>
    </x:row>
    <x:row r="842" ht="18" customHeight="1">
      <x:c r="A842" s="6" t="str">
        <x:v>95</x:v>
      </x:c>
      <x:c r="B842" s="6" t="str">
        <x:v>PAPUA SELATAN</x:v>
      </x:c>
      <x:c r="C842" s="6" t="str">
        <x:v>2024</x:v>
      </x:c>
      <x:c r="D842" s="6" t="str">
        <x:v>1</x:v>
      </x:c>
      <x:c r="E842" s="6" t="str">
        <x:v>0</x:v>
      </x:c>
      <x:c r="F842" s="6" t="str">
        <x:v>0</x:v>
      </x:c>
      <x:c r="G842" s="6" t="str">
        <x:v>0</x:v>
      </x:c>
      <x:c r="H842" s="6" t="str">
        <x:v>0</x:v>
      </x:c>
      <x:c r="I842" s="6" t="str">
        <x:v>0</x:v>
      </x:c>
      <x:c r="J842" s="6" t="str">
        <x:v>0</x:v>
      </x:c>
      <x:c r="K842" s="6" t="str">
        <x:v>0</x:v>
      </x:c>
      <x:c r="L842" s="6" t="str">
        <x:v>0</x:v>
      </x:c>
      <x:c r="M842" s="6" t="str">
        <x:v>0</x:v>
      </x:c>
      <x:c r="N842" s="6" t="str">
        <x:v>0</x:v>
      </x:c>
      <x:c r="O842" s="6" t="str">
        <x:v>0</x:v>
      </x:c>
      <x:c r="P842" s="6" t="str">
        <x:v>0</x:v>
      </x:c>
      <x:c r="Q842" s="6" t="str"/>
      <x:c r="R842" s="6" t="str">
        <x:v>0</x:v>
      </x:c>
      <x:c r="S842" s="6" t="str"/>
      <x:c r="T842" s="6" t="str">
        <x:v>0</x:v>
      </x:c>
      <x:c r="U842" s="6" t="str"/>
      <x:c r="V842" s="6" t="str">
        <x:v>0</x:v>
      </x:c>
      <x:c r="W842" s="6" t="str"/>
      <x:c r="X842" s="6" t="str">
        <x:v>0</x:v>
      </x:c>
      <x:c r="Y842" s="6" t="str"/>
      <x:c r="Z842" s="6" t="str">
        <x:v>0</x:v>
      </x:c>
      <x:c r="AA842" s="6" t="str"/>
      <x:c r="AB842" s="6" t="str">
        <x:v>0</x:v>
      </x:c>
      <x:c r="AC842" s="6" t="str">
        <x:v>2024-01</x:v>
      </x:c>
      <x:c r="AD842" s="9" t="str">
        <x:v>BNPB operational disaster search table</x:v>
      </x:c>
      <x:c r="AE842" s="9" t="str">
        <x:v>https://gis.bnpb.go.id/databencana/tabel/pencarian.php</x:v>
      </x:c>
      <x:c r="AF842" s="9" t="str">
        <x:v>operational_snapshot_annual_totals_may_differ</x:v>
      </x:c>
    </x:row>
    <x:row r="843" ht="18" customHeight="1">
      <x:c r="A843" s="6" t="str">
        <x:v>95</x:v>
      </x:c>
      <x:c r="B843" s="6" t="str">
        <x:v>PAPUA SELATAN</x:v>
      </x:c>
      <x:c r="C843" s="6" t="str">
        <x:v>2024</x:v>
      </x:c>
      <x:c r="D843" s="6" t="str">
        <x:v>2</x:v>
      </x:c>
      <x:c r="E843" s="6" t="str">
        <x:v>0</x:v>
      </x:c>
      <x:c r="F843" s="6" t="str">
        <x:v>0</x:v>
      </x:c>
      <x:c r="G843" s="6" t="str">
        <x:v>0</x:v>
      </x:c>
      <x:c r="H843" s="6" t="str">
        <x:v>0</x:v>
      </x:c>
      <x:c r="I843" s="6" t="str">
        <x:v>0</x:v>
      </x:c>
      <x:c r="J843" s="6" t="str">
        <x:v>0</x:v>
      </x:c>
      <x:c r="K843" s="6" t="str">
        <x:v>0</x:v>
      </x:c>
      <x:c r="L843" s="6" t="str">
        <x:v>0</x:v>
      </x:c>
      <x:c r="M843" s="6" t="str">
        <x:v>0</x:v>
      </x:c>
      <x:c r="N843" s="6" t="str">
        <x:v>0</x:v>
      </x:c>
      <x:c r="O843" s="6" t="str">
        <x:v>0</x:v>
      </x:c>
      <x:c r="P843" s="6" t="str">
        <x:v>0</x:v>
      </x:c>
      <x:c r="Q843" s="6" t="str"/>
      <x:c r="R843" s="6" t="str">
        <x:v>0</x:v>
      </x:c>
      <x:c r="S843" s="6" t="str"/>
      <x:c r="T843" s="6" t="str">
        <x:v>0</x:v>
      </x:c>
      <x:c r="U843" s="6" t="str"/>
      <x:c r="V843" s="6" t="str">
        <x:v>0</x:v>
      </x:c>
      <x:c r="W843" s="6" t="str"/>
      <x:c r="X843" s="6" t="str">
        <x:v>0</x:v>
      </x:c>
      <x:c r="Y843" s="6" t="str"/>
      <x:c r="Z843" s="6" t="str">
        <x:v>0</x:v>
      </x:c>
      <x:c r="AA843" s="6" t="str"/>
      <x:c r="AB843" s="6" t="str">
        <x:v>0</x:v>
      </x:c>
      <x:c r="AC843" s="6" t="str">
        <x:v>2024-02</x:v>
      </x:c>
      <x:c r="AD843" s="9" t="str">
        <x:v>BNPB operational disaster search table</x:v>
      </x:c>
      <x:c r="AE843" s="9" t="str">
        <x:v>https://gis.bnpb.go.id/databencana/tabel/pencarian.php</x:v>
      </x:c>
      <x:c r="AF843" s="9" t="str">
        <x:v>operational_snapshot_annual_totals_may_differ</x:v>
      </x:c>
    </x:row>
    <x:row r="844" ht="18" customHeight="1">
      <x:c r="A844" s="6" t="str">
        <x:v>95</x:v>
      </x:c>
      <x:c r="B844" s="6" t="str">
        <x:v>PAPUA SELATAN</x:v>
      </x:c>
      <x:c r="C844" s="6" t="str">
        <x:v>2024</x:v>
      </x:c>
      <x:c r="D844" s="6" t="str">
        <x:v>3</x:v>
      </x:c>
      <x:c r="E844" s="6" t="str">
        <x:v>1</x:v>
      </x:c>
      <x:c r="F844" s="6" t="str">
        <x:v>1</x:v>
      </x:c>
      <x:c r="G844" s="6" t="str">
        <x:v>0</x:v>
      </x:c>
      <x:c r="H844" s="6" t="str">
        <x:v>0</x:v>
      </x:c>
      <x:c r="I844" s="6" t="str">
        <x:v>0</x:v>
      </x:c>
      <x:c r="J844" s="6" t="str">
        <x:v>0</x:v>
      </x:c>
      <x:c r="K844" s="6" t="str">
        <x:v>0</x:v>
      </x:c>
      <x:c r="L844" s="6" t="str">
        <x:v>1</x:v>
      </x:c>
      <x:c r="M844" s="6" t="str">
        <x:v>0</x:v>
      </x:c>
      <x:c r="N844" s="6" t="str">
        <x:v>0</x:v>
      </x:c>
      <x:c r="O844" s="6" t="str">
        <x:v>0</x:v>
      </x:c>
      <x:c r="P844" s="6" t="str">
        <x:v>1</x:v>
      </x:c>
      <x:c r="Q844" s="6" t="str">
        <x:v>0.0</x:v>
      </x:c>
      <x:c r="R844" s="6" t="str">
        <x:v>1</x:v>
      </x:c>
      <x:c r="S844" s="6" t="str">
        <x:v>0.0</x:v>
      </x:c>
      <x:c r="T844" s="6" t="str">
        <x:v>1</x:v>
      </x:c>
      <x:c r="U844" s="6" t="str">
        <x:v>0.0</x:v>
      </x:c>
      <x:c r="V844" s="6" t="str">
        <x:v>1</x:v>
      </x:c>
      <x:c r="W844" s="6" t="str">
        <x:v>7.0</x:v>
      </x:c>
      <x:c r="X844" s="6" t="str">
        <x:v>1</x:v>
      </x:c>
      <x:c r="Y844" s="6" t="str">
        <x:v>204.0</x:v>
      </x:c>
      <x:c r="Z844" s="6" t="str">
        <x:v>1</x:v>
      </x:c>
      <x:c r="AA844" s="6" t="str">
        <x:v>3.0</x:v>
      </x:c>
      <x:c r="AB844" s="6" t="str">
        <x:v>1</x:v>
      </x:c>
      <x:c r="AC844" s="6" t="str">
        <x:v>2024-03</x:v>
      </x:c>
      <x:c r="AD844" s="9" t="str">
        <x:v>BNPB operational disaster search table</x:v>
      </x:c>
      <x:c r="AE844" s="9" t="str">
        <x:v>https://gis.bnpb.go.id/databencana/tabel/pencarian.php</x:v>
      </x:c>
      <x:c r="AF844" s="9" t="str">
        <x:v>operational_snapshot_annual_totals_may_differ</x:v>
      </x:c>
    </x:row>
    <x:row r="845" ht="18" customHeight="1">
      <x:c r="A845" s="6" t="str">
        <x:v>95</x:v>
      </x:c>
      <x:c r="B845" s="6" t="str">
        <x:v>PAPUA SELATAN</x:v>
      </x:c>
      <x:c r="C845" s="6" t="str">
        <x:v>2024</x:v>
      </x:c>
      <x:c r="D845" s="6" t="str">
        <x:v>4</x:v>
      </x:c>
      <x:c r="E845" s="6" t="str">
        <x:v>1</x:v>
      </x:c>
      <x:c r="F845" s="6" t="str">
        <x:v>1</x:v>
      </x:c>
      <x:c r="G845" s="6" t="str">
        <x:v>1</x:v>
      </x:c>
      <x:c r="H845" s="6" t="str">
        <x:v>0</x:v>
      </x:c>
      <x:c r="I845" s="6" t="str">
        <x:v>0</x:v>
      </x:c>
      <x:c r="J845" s="6" t="str">
        <x:v>0</x:v>
      </x:c>
      <x:c r="K845" s="6" t="str">
        <x:v>0</x:v>
      </x:c>
      <x:c r="L845" s="6" t="str">
        <x:v>0</x:v>
      </x:c>
      <x:c r="M845" s="6" t="str">
        <x:v>0</x:v>
      </x:c>
      <x:c r="N845" s="6" t="str">
        <x:v>0</x:v>
      </x:c>
      <x:c r="O845" s="6" t="str">
        <x:v>0</x:v>
      </x:c>
      <x:c r="P845" s="6" t="str">
        <x:v>1</x:v>
      </x:c>
      <x:c r="Q845" s="6" t="str">
        <x:v>0.0</x:v>
      </x:c>
      <x:c r="R845" s="6" t="str">
        <x:v>1</x:v>
      </x:c>
      <x:c r="S845" s="6" t="str">
        <x:v>0.0</x:v>
      </x:c>
      <x:c r="T845" s="6" t="str">
        <x:v>1</x:v>
      </x:c>
      <x:c r="U845" s="6" t="str">
        <x:v>0.0</x:v>
      </x:c>
      <x:c r="V845" s="6" t="str">
        <x:v>1</x:v>
      </x:c>
      <x:c r="W845" s="6" t="str">
        <x:v>0.0</x:v>
      </x:c>
      <x:c r="X845" s="6" t="str">
        <x:v>1</x:v>
      </x:c>
      <x:c r="Y845" s="6" t="str">
        <x:v>54.0</x:v>
      </x:c>
      <x:c r="Z845" s="6" t="str">
        <x:v>1</x:v>
      </x:c>
      <x:c r="AA845" s="6" t="str">
        <x:v>0.0</x:v>
      </x:c>
      <x:c r="AB845" s="6" t="str">
        <x:v>1</x:v>
      </x:c>
      <x:c r="AC845" s="6" t="str">
        <x:v>2024-04</x:v>
      </x:c>
      <x:c r="AD845" s="9" t="str">
        <x:v>BNPB operational disaster search table</x:v>
      </x:c>
      <x:c r="AE845" s="9" t="str">
        <x:v>https://gis.bnpb.go.id/databencana/tabel/pencarian.php</x:v>
      </x:c>
      <x:c r="AF845" s="9" t="str">
        <x:v>operational_snapshot_annual_totals_may_differ</x:v>
      </x:c>
    </x:row>
    <x:row r="846" ht="18" customHeight="1">
      <x:c r="A846" s="6" t="str">
        <x:v>95</x:v>
      </x:c>
      <x:c r="B846" s="6" t="str">
        <x:v>PAPUA SELATAN</x:v>
      </x:c>
      <x:c r="C846" s="6" t="str">
        <x:v>2024</x:v>
      </x:c>
      <x:c r="D846" s="6" t="str">
        <x:v>5</x:v>
      </x:c>
      <x:c r="E846" s="6" t="str">
        <x:v>1</x:v>
      </x:c>
      <x:c r="F846" s="6" t="str">
        <x:v>1</x:v>
      </x:c>
      <x:c r="G846" s="6" t="str">
        <x:v>1</x:v>
      </x:c>
      <x:c r="H846" s="6" t="str">
        <x:v>0</x:v>
      </x:c>
      <x:c r="I846" s="6" t="str">
        <x:v>0</x:v>
      </x:c>
      <x:c r="J846" s="6" t="str">
        <x:v>0</x:v>
      </x:c>
      <x:c r="K846" s="6" t="str">
        <x:v>0</x:v>
      </x:c>
      <x:c r="L846" s="6" t="str">
        <x:v>0</x:v>
      </x:c>
      <x:c r="M846" s="6" t="str">
        <x:v>0</x:v>
      </x:c>
      <x:c r="N846" s="6" t="str">
        <x:v>0</x:v>
      </x:c>
      <x:c r="O846" s="6" t="str">
        <x:v>0</x:v>
      </x:c>
      <x:c r="P846" s="6" t="str">
        <x:v>1</x:v>
      </x:c>
      <x:c r="Q846" s="6" t="str">
        <x:v>0.0</x:v>
      </x:c>
      <x:c r="R846" s="6" t="str">
        <x:v>1</x:v>
      </x:c>
      <x:c r="S846" s="6" t="str">
        <x:v>0.0</x:v>
      </x:c>
      <x:c r="T846" s="6" t="str">
        <x:v>1</x:v>
      </x:c>
      <x:c r="U846" s="6" t="str">
        <x:v>0.0</x:v>
      </x:c>
      <x:c r="V846" s="6" t="str">
        <x:v>1</x:v>
      </x:c>
      <x:c r="W846" s="6" t="str">
        <x:v>842.0</x:v>
      </x:c>
      <x:c r="X846" s="6" t="str">
        <x:v>1</x:v>
      </x:c>
      <x:c r="Y846" s="6" t="str"/>
      <x:c r="Z846" s="6" t="str">
        <x:v>0</x:v>
      </x:c>
      <x:c r="AA846" s="6" t="str">
        <x:v>0.0</x:v>
      </x:c>
      <x:c r="AB846" s="6" t="str">
        <x:v>1</x:v>
      </x:c>
      <x:c r="AC846" s="6" t="str">
        <x:v>2024-05</x:v>
      </x:c>
      <x:c r="AD846" s="9" t="str">
        <x:v>BNPB operational disaster search table</x:v>
      </x:c>
      <x:c r="AE846" s="9" t="str">
        <x:v>https://gis.bnpb.go.id/databencana/tabel/pencarian.php</x:v>
      </x:c>
      <x:c r="AF846" s="9" t="str">
        <x:v>operational_snapshot_annual_totals_may_differ</x:v>
      </x:c>
    </x:row>
    <x:row r="847" ht="18" customHeight="1">
      <x:c r="A847" s="6" t="str">
        <x:v>95</x:v>
      </x:c>
      <x:c r="B847" s="6" t="str">
        <x:v>PAPUA SELATAN</x:v>
      </x:c>
      <x:c r="C847" s="6" t="str">
        <x:v>2024</x:v>
      </x:c>
      <x:c r="D847" s="6" t="str">
        <x:v>6</x:v>
      </x:c>
      <x:c r="E847" s="6" t="str">
        <x:v>0</x:v>
      </x:c>
      <x:c r="F847" s="6" t="str">
        <x:v>0</x:v>
      </x:c>
      <x:c r="G847" s="6" t="str">
        <x:v>0</x:v>
      </x:c>
      <x:c r="H847" s="6" t="str">
        <x:v>0</x:v>
      </x:c>
      <x:c r="I847" s="6" t="str">
        <x:v>0</x:v>
      </x:c>
      <x:c r="J847" s="6" t="str">
        <x:v>0</x:v>
      </x:c>
      <x:c r="K847" s="6" t="str">
        <x:v>0</x:v>
      </x:c>
      <x:c r="L847" s="6" t="str">
        <x:v>0</x:v>
      </x:c>
      <x:c r="M847" s="6" t="str">
        <x:v>0</x:v>
      </x:c>
      <x:c r="N847" s="6" t="str">
        <x:v>0</x:v>
      </x:c>
      <x:c r="O847" s="6" t="str">
        <x:v>0</x:v>
      </x:c>
      <x:c r="P847" s="6" t="str">
        <x:v>0</x:v>
      </x:c>
      <x:c r="Q847" s="6" t="str"/>
      <x:c r="R847" s="6" t="str">
        <x:v>0</x:v>
      </x:c>
      <x:c r="S847" s="6" t="str"/>
      <x:c r="T847" s="6" t="str">
        <x:v>0</x:v>
      </x:c>
      <x:c r="U847" s="6" t="str"/>
      <x:c r="V847" s="6" t="str">
        <x:v>0</x:v>
      </x:c>
      <x:c r="W847" s="6" t="str"/>
      <x:c r="X847" s="6" t="str">
        <x:v>0</x:v>
      </x:c>
      <x:c r="Y847" s="6" t="str"/>
      <x:c r="Z847" s="6" t="str">
        <x:v>0</x:v>
      </x:c>
      <x:c r="AA847" s="6" t="str"/>
      <x:c r="AB847" s="6" t="str">
        <x:v>0</x:v>
      </x:c>
      <x:c r="AC847" s="6" t="str">
        <x:v>2024-06</x:v>
      </x:c>
      <x:c r="AD847" s="9" t="str">
        <x:v>BNPB operational disaster search table</x:v>
      </x:c>
      <x:c r="AE847" s="9" t="str">
        <x:v>https://gis.bnpb.go.id/databencana/tabel/pencarian.php</x:v>
      </x:c>
      <x:c r="AF847" s="9" t="str">
        <x:v>operational_snapshot_annual_totals_may_differ</x:v>
      </x:c>
    </x:row>
    <x:row r="848" ht="18" customHeight="1">
      <x:c r="A848" s="6" t="str">
        <x:v>95</x:v>
      </x:c>
      <x:c r="B848" s="6" t="str">
        <x:v>PAPUA SELATAN</x:v>
      </x:c>
      <x:c r="C848" s="6" t="str">
        <x:v>2024</x:v>
      </x:c>
      <x:c r="D848" s="6" t="str">
        <x:v>7</x:v>
      </x:c>
      <x:c r="E848" s="6" t="str">
        <x:v>0</x:v>
      </x:c>
      <x:c r="F848" s="6" t="str">
        <x:v>0</x:v>
      </x:c>
      <x:c r="G848" s="6" t="str">
        <x:v>0</x:v>
      </x:c>
      <x:c r="H848" s="6" t="str">
        <x:v>0</x:v>
      </x:c>
      <x:c r="I848" s="6" t="str">
        <x:v>0</x:v>
      </x:c>
      <x:c r="J848" s="6" t="str">
        <x:v>0</x:v>
      </x:c>
      <x:c r="K848" s="6" t="str">
        <x:v>0</x:v>
      </x:c>
      <x:c r="L848" s="6" t="str">
        <x:v>0</x:v>
      </x:c>
      <x:c r="M848" s="6" t="str">
        <x:v>0</x:v>
      </x:c>
      <x:c r="N848" s="6" t="str">
        <x:v>0</x:v>
      </x:c>
      <x:c r="O848" s="6" t="str">
        <x:v>0</x:v>
      </x:c>
      <x:c r="P848" s="6" t="str">
        <x:v>0</x:v>
      </x:c>
      <x:c r="Q848" s="6" t="str"/>
      <x:c r="R848" s="6" t="str">
        <x:v>0</x:v>
      </x:c>
      <x:c r="S848" s="6" t="str"/>
      <x:c r="T848" s="6" t="str">
        <x:v>0</x:v>
      </x:c>
      <x:c r="U848" s="6" t="str"/>
      <x:c r="V848" s="6" t="str">
        <x:v>0</x:v>
      </x:c>
      <x:c r="W848" s="6" t="str"/>
      <x:c r="X848" s="6" t="str">
        <x:v>0</x:v>
      </x:c>
      <x:c r="Y848" s="6" t="str"/>
      <x:c r="Z848" s="6" t="str">
        <x:v>0</x:v>
      </x:c>
      <x:c r="AA848" s="6" t="str"/>
      <x:c r="AB848" s="6" t="str">
        <x:v>0</x:v>
      </x:c>
      <x:c r="AC848" s="6" t="str">
        <x:v>2024-07</x:v>
      </x:c>
      <x:c r="AD848" s="9" t="str">
        <x:v>BNPB operational disaster search table</x:v>
      </x:c>
      <x:c r="AE848" s="9" t="str">
        <x:v>https://gis.bnpb.go.id/databencana/tabel/pencarian.php</x:v>
      </x:c>
      <x:c r="AF848" s="9" t="str">
        <x:v>operational_snapshot_annual_totals_may_differ</x:v>
      </x:c>
    </x:row>
    <x:row r="849" ht="18" customHeight="1">
      <x:c r="A849" s="6" t="str">
        <x:v>95</x:v>
      </x:c>
      <x:c r="B849" s="6" t="str">
        <x:v>PAPUA SELATAN</x:v>
      </x:c>
      <x:c r="C849" s="6" t="str">
        <x:v>2024</x:v>
      </x:c>
      <x:c r="D849" s="6" t="str">
        <x:v>8</x:v>
      </x:c>
      <x:c r="E849" s="6" t="str">
        <x:v>0</x:v>
      </x:c>
      <x:c r="F849" s="6" t="str">
        <x:v>0</x:v>
      </x:c>
      <x:c r="G849" s="6" t="str">
        <x:v>0</x:v>
      </x:c>
      <x:c r="H849" s="6" t="str">
        <x:v>0</x:v>
      </x:c>
      <x:c r="I849" s="6" t="str">
        <x:v>0</x:v>
      </x:c>
      <x:c r="J849" s="6" t="str">
        <x:v>0</x:v>
      </x:c>
      <x:c r="K849" s="6" t="str">
        <x:v>0</x:v>
      </x:c>
      <x:c r="L849" s="6" t="str">
        <x:v>0</x:v>
      </x:c>
      <x:c r="M849" s="6" t="str">
        <x:v>0</x:v>
      </x:c>
      <x:c r="N849" s="6" t="str">
        <x:v>0</x:v>
      </x:c>
      <x:c r="O849" s="6" t="str">
        <x:v>0</x:v>
      </x:c>
      <x:c r="P849" s="6" t="str">
        <x:v>0</x:v>
      </x:c>
      <x:c r="Q849" s="6" t="str"/>
      <x:c r="R849" s="6" t="str">
        <x:v>0</x:v>
      </x:c>
      <x:c r="S849" s="6" t="str"/>
      <x:c r="T849" s="6" t="str">
        <x:v>0</x:v>
      </x:c>
      <x:c r="U849" s="6" t="str"/>
      <x:c r="V849" s="6" t="str">
        <x:v>0</x:v>
      </x:c>
      <x:c r="W849" s="6" t="str"/>
      <x:c r="X849" s="6" t="str">
        <x:v>0</x:v>
      </x:c>
      <x:c r="Y849" s="6" t="str"/>
      <x:c r="Z849" s="6" t="str">
        <x:v>0</x:v>
      </x:c>
      <x:c r="AA849" s="6" t="str"/>
      <x:c r="AB849" s="6" t="str">
        <x:v>0</x:v>
      </x:c>
      <x:c r="AC849" s="6" t="str">
        <x:v>2024-08</x:v>
      </x:c>
      <x:c r="AD849" s="9" t="str">
        <x:v>BNPB operational disaster search table</x:v>
      </x:c>
      <x:c r="AE849" s="9" t="str">
        <x:v>https://gis.bnpb.go.id/databencana/tabel/pencarian.php</x:v>
      </x:c>
      <x:c r="AF849" s="9" t="str">
        <x:v>operational_snapshot_annual_totals_may_differ</x:v>
      </x:c>
    </x:row>
    <x:row r="850" ht="18" customHeight="1">
      <x:c r="A850" s="6" t="str">
        <x:v>95</x:v>
      </x:c>
      <x:c r="B850" s="6" t="str">
        <x:v>PAPUA SELATAN</x:v>
      </x:c>
      <x:c r="C850" s="6" t="str">
        <x:v>2024</x:v>
      </x:c>
      <x:c r="D850" s="6" t="str">
        <x:v>9</x:v>
      </x:c>
      <x:c r="E850" s="6" t="str">
        <x:v>0</x:v>
      </x:c>
      <x:c r="F850" s="6" t="str">
        <x:v>0</x:v>
      </x:c>
      <x:c r="G850" s="6" t="str">
        <x:v>0</x:v>
      </x:c>
      <x:c r="H850" s="6" t="str">
        <x:v>0</x:v>
      </x:c>
      <x:c r="I850" s="6" t="str">
        <x:v>0</x:v>
      </x:c>
      <x:c r="J850" s="6" t="str">
        <x:v>0</x:v>
      </x:c>
      <x:c r="K850" s="6" t="str">
        <x:v>0</x:v>
      </x:c>
      <x:c r="L850" s="6" t="str">
        <x:v>0</x:v>
      </x:c>
      <x:c r="M850" s="6" t="str">
        <x:v>0</x:v>
      </x:c>
      <x:c r="N850" s="6" t="str">
        <x:v>0</x:v>
      </x:c>
      <x:c r="O850" s="6" t="str">
        <x:v>0</x:v>
      </x:c>
      <x:c r="P850" s="6" t="str">
        <x:v>0</x:v>
      </x:c>
      <x:c r="Q850" s="6" t="str"/>
      <x:c r="R850" s="6" t="str">
        <x:v>0</x:v>
      </x:c>
      <x:c r="S850" s="6" t="str"/>
      <x:c r="T850" s="6" t="str">
        <x:v>0</x:v>
      </x:c>
      <x:c r="U850" s="6" t="str"/>
      <x:c r="V850" s="6" t="str">
        <x:v>0</x:v>
      </x:c>
      <x:c r="W850" s="6" t="str"/>
      <x:c r="X850" s="6" t="str">
        <x:v>0</x:v>
      </x:c>
      <x:c r="Y850" s="6" t="str"/>
      <x:c r="Z850" s="6" t="str">
        <x:v>0</x:v>
      </x:c>
      <x:c r="AA850" s="6" t="str"/>
      <x:c r="AB850" s="6" t="str">
        <x:v>0</x:v>
      </x:c>
      <x:c r="AC850" s="6" t="str">
        <x:v>2024-09</x:v>
      </x:c>
      <x:c r="AD850" s="9" t="str">
        <x:v>BNPB operational disaster search table</x:v>
      </x:c>
      <x:c r="AE850" s="9" t="str">
        <x:v>https://gis.bnpb.go.id/databencana/tabel/pencarian.php</x:v>
      </x:c>
      <x:c r="AF850" s="9" t="str">
        <x:v>operational_snapshot_annual_totals_may_differ</x:v>
      </x:c>
    </x:row>
    <x:row r="851" ht="18" customHeight="1">
      <x:c r="A851" s="6" t="str">
        <x:v>95</x:v>
      </x:c>
      <x:c r="B851" s="6" t="str">
        <x:v>PAPUA SELATAN</x:v>
      </x:c>
      <x:c r="C851" s="6" t="str">
        <x:v>2024</x:v>
      </x:c>
      <x:c r="D851" s="6" t="str">
        <x:v>10</x:v>
      </x:c>
      <x:c r="E851" s="6" t="str">
        <x:v>0</x:v>
      </x:c>
      <x:c r="F851" s="6" t="str">
        <x:v>0</x:v>
      </x:c>
      <x:c r="G851" s="6" t="str">
        <x:v>0</x:v>
      </x:c>
      <x:c r="H851" s="6" t="str">
        <x:v>0</x:v>
      </x:c>
      <x:c r="I851" s="6" t="str">
        <x:v>0</x:v>
      </x:c>
      <x:c r="J851" s="6" t="str">
        <x:v>0</x:v>
      </x:c>
      <x:c r="K851" s="6" t="str">
        <x:v>0</x:v>
      </x:c>
      <x:c r="L851" s="6" t="str">
        <x:v>0</x:v>
      </x:c>
      <x:c r="M851" s="6" t="str">
        <x:v>0</x:v>
      </x:c>
      <x:c r="N851" s="6" t="str">
        <x:v>0</x:v>
      </x:c>
      <x:c r="O851" s="6" t="str">
        <x:v>0</x:v>
      </x:c>
      <x:c r="P851" s="6" t="str">
        <x:v>0</x:v>
      </x:c>
      <x:c r="Q851" s="6" t="str"/>
      <x:c r="R851" s="6" t="str">
        <x:v>0</x:v>
      </x:c>
      <x:c r="S851" s="6" t="str"/>
      <x:c r="T851" s="6" t="str">
        <x:v>0</x:v>
      </x:c>
      <x:c r="U851" s="6" t="str"/>
      <x:c r="V851" s="6" t="str">
        <x:v>0</x:v>
      </x:c>
      <x:c r="W851" s="6" t="str"/>
      <x:c r="X851" s="6" t="str">
        <x:v>0</x:v>
      </x:c>
      <x:c r="Y851" s="6" t="str"/>
      <x:c r="Z851" s="6" t="str">
        <x:v>0</x:v>
      </x:c>
      <x:c r="AA851" s="6" t="str"/>
      <x:c r="AB851" s="6" t="str">
        <x:v>0</x:v>
      </x:c>
      <x:c r="AC851" s="6" t="str">
        <x:v>2024-10</x:v>
      </x:c>
      <x:c r="AD851" s="9" t="str">
        <x:v>BNPB operational disaster search table</x:v>
      </x:c>
      <x:c r="AE851" s="9" t="str">
        <x:v>https://gis.bnpb.go.id/databencana/tabel/pencarian.php</x:v>
      </x:c>
      <x:c r="AF851" s="9" t="str">
        <x:v>operational_snapshot_annual_totals_may_differ</x:v>
      </x:c>
    </x:row>
    <x:row r="852" ht="18" customHeight="1">
      <x:c r="A852" s="6" t="str">
        <x:v>95</x:v>
      </x:c>
      <x:c r="B852" s="6" t="str">
        <x:v>PAPUA SELATAN</x:v>
      </x:c>
      <x:c r="C852" s="6" t="str">
        <x:v>2024</x:v>
      </x:c>
      <x:c r="D852" s="6" t="str">
        <x:v>11</x:v>
      </x:c>
      <x:c r="E852" s="6" t="str">
        <x:v>0</x:v>
      </x:c>
      <x:c r="F852" s="6" t="str">
        <x:v>0</x:v>
      </x:c>
      <x:c r="G852" s="6" t="str">
        <x:v>0</x:v>
      </x:c>
      <x:c r="H852" s="6" t="str">
        <x:v>0</x:v>
      </x:c>
      <x:c r="I852" s="6" t="str">
        <x:v>0</x:v>
      </x:c>
      <x:c r="J852" s="6" t="str">
        <x:v>0</x:v>
      </x:c>
      <x:c r="K852" s="6" t="str">
        <x:v>0</x:v>
      </x:c>
      <x:c r="L852" s="6" t="str">
        <x:v>0</x:v>
      </x:c>
      <x:c r="M852" s="6" t="str">
        <x:v>0</x:v>
      </x:c>
      <x:c r="N852" s="6" t="str">
        <x:v>0</x:v>
      </x:c>
      <x:c r="O852" s="6" t="str">
        <x:v>0</x:v>
      </x:c>
      <x:c r="P852" s="6" t="str">
        <x:v>0</x:v>
      </x:c>
      <x:c r="Q852" s="6" t="str"/>
      <x:c r="R852" s="6" t="str">
        <x:v>0</x:v>
      </x:c>
      <x:c r="S852" s="6" t="str"/>
      <x:c r="T852" s="6" t="str">
        <x:v>0</x:v>
      </x:c>
      <x:c r="U852" s="6" t="str"/>
      <x:c r="V852" s="6" t="str">
        <x:v>0</x:v>
      </x:c>
      <x:c r="W852" s="6" t="str"/>
      <x:c r="X852" s="6" t="str">
        <x:v>0</x:v>
      </x:c>
      <x:c r="Y852" s="6" t="str"/>
      <x:c r="Z852" s="6" t="str">
        <x:v>0</x:v>
      </x:c>
      <x:c r="AA852" s="6" t="str"/>
      <x:c r="AB852" s="6" t="str">
        <x:v>0</x:v>
      </x:c>
      <x:c r="AC852" s="6" t="str">
        <x:v>2024-11</x:v>
      </x:c>
      <x:c r="AD852" s="9" t="str">
        <x:v>BNPB operational disaster search table</x:v>
      </x:c>
      <x:c r="AE852" s="9" t="str">
        <x:v>https://gis.bnpb.go.id/databencana/tabel/pencarian.php</x:v>
      </x:c>
      <x:c r="AF852" s="9" t="str">
        <x:v>operational_snapshot_annual_totals_may_differ</x:v>
      </x:c>
    </x:row>
    <x:row r="853" ht="18" customHeight="1">
      <x:c r="A853" s="6" t="str">
        <x:v>95</x:v>
      </x:c>
      <x:c r="B853" s="6" t="str">
        <x:v>PAPUA SELATAN</x:v>
      </x:c>
      <x:c r="C853" s="6" t="str">
        <x:v>2024</x:v>
      </x:c>
      <x:c r="D853" s="6" t="str">
        <x:v>12</x:v>
      </x:c>
      <x:c r="E853" s="6" t="str">
        <x:v>0</x:v>
      </x:c>
      <x:c r="F853" s="6" t="str">
        <x:v>0</x:v>
      </x:c>
      <x:c r="G853" s="6" t="str">
        <x:v>0</x:v>
      </x:c>
      <x:c r="H853" s="6" t="str">
        <x:v>0</x:v>
      </x:c>
      <x:c r="I853" s="6" t="str">
        <x:v>0</x:v>
      </x:c>
      <x:c r="J853" s="6" t="str">
        <x:v>0</x:v>
      </x:c>
      <x:c r="K853" s="6" t="str">
        <x:v>0</x:v>
      </x:c>
      <x:c r="L853" s="6" t="str">
        <x:v>0</x:v>
      </x:c>
      <x:c r="M853" s="6" t="str">
        <x:v>0</x:v>
      </x:c>
      <x:c r="N853" s="6" t="str">
        <x:v>0</x:v>
      </x:c>
      <x:c r="O853" s="6" t="str">
        <x:v>0</x:v>
      </x:c>
      <x:c r="P853" s="6" t="str">
        <x:v>0</x:v>
      </x:c>
      <x:c r="Q853" s="6" t="str"/>
      <x:c r="R853" s="6" t="str">
        <x:v>0</x:v>
      </x:c>
      <x:c r="S853" s="6" t="str"/>
      <x:c r="T853" s="6" t="str">
        <x:v>0</x:v>
      </x:c>
      <x:c r="U853" s="6" t="str"/>
      <x:c r="V853" s="6" t="str">
        <x:v>0</x:v>
      </x:c>
      <x:c r="W853" s="6" t="str"/>
      <x:c r="X853" s="6" t="str">
        <x:v>0</x:v>
      </x:c>
      <x:c r="Y853" s="6" t="str"/>
      <x:c r="Z853" s="6" t="str">
        <x:v>0</x:v>
      </x:c>
      <x:c r="AA853" s="6" t="str"/>
      <x:c r="AB853" s="6" t="str">
        <x:v>0</x:v>
      </x:c>
      <x:c r="AC853" s="6" t="str">
        <x:v>2024-12</x:v>
      </x:c>
      <x:c r="AD853" s="9" t="str">
        <x:v>BNPB operational disaster search table</x:v>
      </x:c>
      <x:c r="AE853" s="9" t="str">
        <x:v>https://gis.bnpb.go.id/databencana/tabel/pencarian.php</x:v>
      </x:c>
      <x:c r="AF853" s="9" t="str">
        <x:v>operational_snapshot_annual_totals_may_differ</x:v>
      </x:c>
    </x:row>
    <x:row r="854" ht="18" customHeight="1">
      <x:c r="A854" s="6" t="str">
        <x:v>95</x:v>
      </x:c>
      <x:c r="B854" s="6" t="str">
        <x:v>PAPUA SELATAN</x:v>
      </x:c>
      <x:c r="C854" s="6" t="str">
        <x:v>2025</x:v>
      </x:c>
      <x:c r="D854" s="6" t="str">
        <x:v>1</x:v>
      </x:c>
      <x:c r="E854" s="6" t="str">
        <x:v>0</x:v>
      </x:c>
      <x:c r="F854" s="6" t="str">
        <x:v>0</x:v>
      </x:c>
      <x:c r="G854" s="6" t="str">
        <x:v>0</x:v>
      </x:c>
      <x:c r="H854" s="6" t="str">
        <x:v>0</x:v>
      </x:c>
      <x:c r="I854" s="6" t="str">
        <x:v>0</x:v>
      </x:c>
      <x:c r="J854" s="6" t="str">
        <x:v>0</x:v>
      </x:c>
      <x:c r="K854" s="6" t="str">
        <x:v>0</x:v>
      </x:c>
      <x:c r="L854" s="6" t="str">
        <x:v>0</x:v>
      </x:c>
      <x:c r="M854" s="6" t="str">
        <x:v>0</x:v>
      </x:c>
      <x:c r="N854" s="6" t="str">
        <x:v>0</x:v>
      </x:c>
      <x:c r="O854" s="6" t="str">
        <x:v>0</x:v>
      </x:c>
      <x:c r="P854" s="6" t="str">
        <x:v>0</x:v>
      </x:c>
      <x:c r="Q854" s="6" t="str"/>
      <x:c r="R854" s="6" t="str">
        <x:v>0</x:v>
      </x:c>
      <x:c r="S854" s="6" t="str"/>
      <x:c r="T854" s="6" t="str">
        <x:v>0</x:v>
      </x:c>
      <x:c r="U854" s="6" t="str"/>
      <x:c r="V854" s="6" t="str">
        <x:v>0</x:v>
      </x:c>
      <x:c r="W854" s="6" t="str"/>
      <x:c r="X854" s="6" t="str">
        <x:v>0</x:v>
      </x:c>
      <x:c r="Y854" s="6" t="str"/>
      <x:c r="Z854" s="6" t="str">
        <x:v>0</x:v>
      </x:c>
      <x:c r="AA854" s="6" t="str"/>
      <x:c r="AB854" s="6" t="str">
        <x:v>0</x:v>
      </x:c>
      <x:c r="AC854" s="6" t="str">
        <x:v>2025-01</x:v>
      </x:c>
      <x:c r="AD854" s="9" t="str">
        <x:v>BNPB operational disaster search table</x:v>
      </x:c>
      <x:c r="AE854" s="9" t="str">
        <x:v>https://gis.bnpb.go.id/databencana/tabel/pencarian.php</x:v>
      </x:c>
      <x:c r="AF854" s="9" t="str">
        <x:v>operational_snapshot_annual_totals_may_differ</x:v>
      </x:c>
    </x:row>
    <x:row r="855" ht="18" customHeight="1">
      <x:c r="A855" s="6" t="str">
        <x:v>95</x:v>
      </x:c>
      <x:c r="B855" s="6" t="str">
        <x:v>PAPUA SELATAN</x:v>
      </x:c>
      <x:c r="C855" s="6" t="str">
        <x:v>2025</x:v>
      </x:c>
      <x:c r="D855" s="6" t="str">
        <x:v>2</x:v>
      </x:c>
      <x:c r="E855" s="6" t="str">
        <x:v>0</x:v>
      </x:c>
      <x:c r="F855" s="6" t="str">
        <x:v>0</x:v>
      </x:c>
      <x:c r="G855" s="6" t="str">
        <x:v>0</x:v>
      </x:c>
      <x:c r="H855" s="6" t="str">
        <x:v>0</x:v>
      </x:c>
      <x:c r="I855" s="6" t="str">
        <x:v>0</x:v>
      </x:c>
      <x:c r="J855" s="6" t="str">
        <x:v>0</x:v>
      </x:c>
      <x:c r="K855" s="6" t="str">
        <x:v>0</x:v>
      </x:c>
      <x:c r="L855" s="6" t="str">
        <x:v>0</x:v>
      </x:c>
      <x:c r="M855" s="6" t="str">
        <x:v>0</x:v>
      </x:c>
      <x:c r="N855" s="6" t="str">
        <x:v>0</x:v>
      </x:c>
      <x:c r="O855" s="6" t="str">
        <x:v>0</x:v>
      </x:c>
      <x:c r="P855" s="6" t="str">
        <x:v>0</x:v>
      </x:c>
      <x:c r="Q855" s="6" t="str"/>
      <x:c r="R855" s="6" t="str">
        <x:v>0</x:v>
      </x:c>
      <x:c r="S855" s="6" t="str"/>
      <x:c r="T855" s="6" t="str">
        <x:v>0</x:v>
      </x:c>
      <x:c r="U855" s="6" t="str"/>
      <x:c r="V855" s="6" t="str">
        <x:v>0</x:v>
      </x:c>
      <x:c r="W855" s="6" t="str"/>
      <x:c r="X855" s="6" t="str">
        <x:v>0</x:v>
      </x:c>
      <x:c r="Y855" s="6" t="str"/>
      <x:c r="Z855" s="6" t="str">
        <x:v>0</x:v>
      </x:c>
      <x:c r="AA855" s="6" t="str"/>
      <x:c r="AB855" s="6" t="str">
        <x:v>0</x:v>
      </x:c>
      <x:c r="AC855" s="6" t="str">
        <x:v>2025-02</x:v>
      </x:c>
      <x:c r="AD855" s="9" t="str">
        <x:v>BNPB operational disaster search table</x:v>
      </x:c>
      <x:c r="AE855" s="9" t="str">
        <x:v>https://gis.bnpb.go.id/databencana/tabel/pencarian.php</x:v>
      </x:c>
      <x:c r="AF855" s="9" t="str">
        <x:v>operational_snapshot_annual_totals_may_differ</x:v>
      </x:c>
    </x:row>
    <x:row r="856" ht="18" customHeight="1">
      <x:c r="A856" s="6" t="str">
        <x:v>95</x:v>
      </x:c>
      <x:c r="B856" s="6" t="str">
        <x:v>PAPUA SELATAN</x:v>
      </x:c>
      <x:c r="C856" s="6" t="str">
        <x:v>2025</x:v>
      </x:c>
      <x:c r="D856" s="6" t="str">
        <x:v>3</x:v>
      </x:c>
      <x:c r="E856" s="6" t="str">
        <x:v>0</x:v>
      </x:c>
      <x:c r="F856" s="6" t="str">
        <x:v>0</x:v>
      </x:c>
      <x:c r="G856" s="6" t="str">
        <x:v>0</x:v>
      </x:c>
      <x:c r="H856" s="6" t="str">
        <x:v>0</x:v>
      </x:c>
      <x:c r="I856" s="6" t="str">
        <x:v>0</x:v>
      </x:c>
      <x:c r="J856" s="6" t="str">
        <x:v>0</x:v>
      </x:c>
      <x:c r="K856" s="6" t="str">
        <x:v>0</x:v>
      </x:c>
      <x:c r="L856" s="6" t="str">
        <x:v>0</x:v>
      </x:c>
      <x:c r="M856" s="6" t="str">
        <x:v>0</x:v>
      </x:c>
      <x:c r="N856" s="6" t="str">
        <x:v>0</x:v>
      </x:c>
      <x:c r="O856" s="6" t="str">
        <x:v>0</x:v>
      </x:c>
      <x:c r="P856" s="6" t="str">
        <x:v>0</x:v>
      </x:c>
      <x:c r="Q856" s="6" t="str"/>
      <x:c r="R856" s="6" t="str">
        <x:v>0</x:v>
      </x:c>
      <x:c r="S856" s="6" t="str"/>
      <x:c r="T856" s="6" t="str">
        <x:v>0</x:v>
      </x:c>
      <x:c r="U856" s="6" t="str"/>
      <x:c r="V856" s="6" t="str">
        <x:v>0</x:v>
      </x:c>
      <x:c r="W856" s="6" t="str"/>
      <x:c r="X856" s="6" t="str">
        <x:v>0</x:v>
      </x:c>
      <x:c r="Y856" s="6" t="str"/>
      <x:c r="Z856" s="6" t="str">
        <x:v>0</x:v>
      </x:c>
      <x:c r="AA856" s="6" t="str"/>
      <x:c r="AB856" s="6" t="str">
        <x:v>0</x:v>
      </x:c>
      <x:c r="AC856" s="6" t="str">
        <x:v>2025-03</x:v>
      </x:c>
      <x:c r="AD856" s="9" t="str">
        <x:v>BNPB operational disaster search table</x:v>
      </x:c>
      <x:c r="AE856" s="9" t="str">
        <x:v>https://gis.bnpb.go.id/databencana/tabel/pencarian.php</x:v>
      </x:c>
      <x:c r="AF856" s="9" t="str">
        <x:v>operational_snapshot_annual_totals_may_differ</x:v>
      </x:c>
    </x:row>
    <x:row r="857" ht="18" customHeight="1">
      <x:c r="A857" s="6" t="str">
        <x:v>95</x:v>
      </x:c>
      <x:c r="B857" s="6" t="str">
        <x:v>PAPUA SELATAN</x:v>
      </x:c>
      <x:c r="C857" s="6" t="str">
        <x:v>2025</x:v>
      </x:c>
      <x:c r="D857" s="6" t="str">
        <x:v>4</x:v>
      </x:c>
      <x:c r="E857" s="6" t="str">
        <x:v>0</x:v>
      </x:c>
      <x:c r="F857" s="6" t="str">
        <x:v>0</x:v>
      </x:c>
      <x:c r="G857" s="6" t="str">
        <x:v>0</x:v>
      </x:c>
      <x:c r="H857" s="6" t="str">
        <x:v>0</x:v>
      </x:c>
      <x:c r="I857" s="6" t="str">
        <x:v>0</x:v>
      </x:c>
      <x:c r="J857" s="6" t="str">
        <x:v>0</x:v>
      </x:c>
      <x:c r="K857" s="6" t="str">
        <x:v>0</x:v>
      </x:c>
      <x:c r="L857" s="6" t="str">
        <x:v>0</x:v>
      </x:c>
      <x:c r="M857" s="6" t="str">
        <x:v>0</x:v>
      </x:c>
      <x:c r="N857" s="6" t="str">
        <x:v>0</x:v>
      </x:c>
      <x:c r="O857" s="6" t="str">
        <x:v>0</x:v>
      </x:c>
      <x:c r="P857" s="6" t="str">
        <x:v>0</x:v>
      </x:c>
      <x:c r="Q857" s="6" t="str"/>
      <x:c r="R857" s="6" t="str">
        <x:v>0</x:v>
      </x:c>
      <x:c r="S857" s="6" t="str"/>
      <x:c r="T857" s="6" t="str">
        <x:v>0</x:v>
      </x:c>
      <x:c r="U857" s="6" t="str"/>
      <x:c r="V857" s="6" t="str">
        <x:v>0</x:v>
      </x:c>
      <x:c r="W857" s="6" t="str"/>
      <x:c r="X857" s="6" t="str">
        <x:v>0</x:v>
      </x:c>
      <x:c r="Y857" s="6" t="str"/>
      <x:c r="Z857" s="6" t="str">
        <x:v>0</x:v>
      </x:c>
      <x:c r="AA857" s="6" t="str"/>
      <x:c r="AB857" s="6" t="str">
        <x:v>0</x:v>
      </x:c>
      <x:c r="AC857" s="6" t="str">
        <x:v>2025-04</x:v>
      </x:c>
      <x:c r="AD857" s="9" t="str">
        <x:v>BNPB operational disaster search table</x:v>
      </x:c>
      <x:c r="AE857" s="9" t="str">
        <x:v>https://gis.bnpb.go.id/databencana/tabel/pencarian.php</x:v>
      </x:c>
      <x:c r="AF857" s="9" t="str">
        <x:v>operational_snapshot_annual_totals_may_differ</x:v>
      </x:c>
    </x:row>
    <x:row r="858" ht="18" customHeight="1">
      <x:c r="A858" s="6" t="str">
        <x:v>95</x:v>
      </x:c>
      <x:c r="B858" s="6" t="str">
        <x:v>PAPUA SELATAN</x:v>
      </x:c>
      <x:c r="C858" s="6" t="str">
        <x:v>2025</x:v>
      </x:c>
      <x:c r="D858" s="6" t="str">
        <x:v>5</x:v>
      </x:c>
      <x:c r="E858" s="6" t="str">
        <x:v>0</x:v>
      </x:c>
      <x:c r="F858" s="6" t="str">
        <x:v>0</x:v>
      </x:c>
      <x:c r="G858" s="6" t="str">
        <x:v>0</x:v>
      </x:c>
      <x:c r="H858" s="6" t="str">
        <x:v>0</x:v>
      </x:c>
      <x:c r="I858" s="6" t="str">
        <x:v>0</x:v>
      </x:c>
      <x:c r="J858" s="6" t="str">
        <x:v>0</x:v>
      </x:c>
      <x:c r="K858" s="6" t="str">
        <x:v>0</x:v>
      </x:c>
      <x:c r="L858" s="6" t="str">
        <x:v>0</x:v>
      </x:c>
      <x:c r="M858" s="6" t="str">
        <x:v>0</x:v>
      </x:c>
      <x:c r="N858" s="6" t="str">
        <x:v>0</x:v>
      </x:c>
      <x:c r="O858" s="6" t="str">
        <x:v>0</x:v>
      </x:c>
      <x:c r="P858" s="6" t="str">
        <x:v>0</x:v>
      </x:c>
      <x:c r="Q858" s="6" t="str"/>
      <x:c r="R858" s="6" t="str">
        <x:v>0</x:v>
      </x:c>
      <x:c r="S858" s="6" t="str"/>
      <x:c r="T858" s="6" t="str">
        <x:v>0</x:v>
      </x:c>
      <x:c r="U858" s="6" t="str"/>
      <x:c r="V858" s="6" t="str">
        <x:v>0</x:v>
      </x:c>
      <x:c r="W858" s="6" t="str"/>
      <x:c r="X858" s="6" t="str">
        <x:v>0</x:v>
      </x:c>
      <x:c r="Y858" s="6" t="str"/>
      <x:c r="Z858" s="6" t="str">
        <x:v>0</x:v>
      </x:c>
      <x:c r="AA858" s="6" t="str"/>
      <x:c r="AB858" s="6" t="str">
        <x:v>0</x:v>
      </x:c>
      <x:c r="AC858" s="6" t="str">
        <x:v>2025-05</x:v>
      </x:c>
      <x:c r="AD858" s="9" t="str">
        <x:v>BNPB operational disaster search table</x:v>
      </x:c>
      <x:c r="AE858" s="9" t="str">
        <x:v>https://gis.bnpb.go.id/databencana/tabel/pencarian.php</x:v>
      </x:c>
      <x:c r="AF858" s="9" t="str">
        <x:v>operational_snapshot_annual_totals_may_differ</x:v>
      </x:c>
    </x:row>
    <x:row r="859" ht="18" customHeight="1">
      <x:c r="A859" s="6" t="str">
        <x:v>95</x:v>
      </x:c>
      <x:c r="B859" s="6" t="str">
        <x:v>PAPUA SELATAN</x:v>
      </x:c>
      <x:c r="C859" s="6" t="str">
        <x:v>2025</x:v>
      </x:c>
      <x:c r="D859" s="6" t="str">
        <x:v>6</x:v>
      </x:c>
      <x:c r="E859" s="6" t="str">
        <x:v>0</x:v>
      </x:c>
      <x:c r="F859" s="6" t="str">
        <x:v>0</x:v>
      </x:c>
      <x:c r="G859" s="6" t="str">
        <x:v>0</x:v>
      </x:c>
      <x:c r="H859" s="6" t="str">
        <x:v>0</x:v>
      </x:c>
      <x:c r="I859" s="6" t="str">
        <x:v>0</x:v>
      </x:c>
      <x:c r="J859" s="6" t="str">
        <x:v>0</x:v>
      </x:c>
      <x:c r="K859" s="6" t="str">
        <x:v>0</x:v>
      </x:c>
      <x:c r="L859" s="6" t="str">
        <x:v>0</x:v>
      </x:c>
      <x:c r="M859" s="6" t="str">
        <x:v>0</x:v>
      </x:c>
      <x:c r="N859" s="6" t="str">
        <x:v>0</x:v>
      </x:c>
      <x:c r="O859" s="6" t="str">
        <x:v>0</x:v>
      </x:c>
      <x:c r="P859" s="6" t="str">
        <x:v>0</x:v>
      </x:c>
      <x:c r="Q859" s="6" t="str"/>
      <x:c r="R859" s="6" t="str">
        <x:v>0</x:v>
      </x:c>
      <x:c r="S859" s="6" t="str"/>
      <x:c r="T859" s="6" t="str">
        <x:v>0</x:v>
      </x:c>
      <x:c r="U859" s="6" t="str"/>
      <x:c r="V859" s="6" t="str">
        <x:v>0</x:v>
      </x:c>
      <x:c r="W859" s="6" t="str"/>
      <x:c r="X859" s="6" t="str">
        <x:v>0</x:v>
      </x:c>
      <x:c r="Y859" s="6" t="str"/>
      <x:c r="Z859" s="6" t="str">
        <x:v>0</x:v>
      </x:c>
      <x:c r="AA859" s="6" t="str"/>
      <x:c r="AB859" s="6" t="str">
        <x:v>0</x:v>
      </x:c>
      <x:c r="AC859" s="6" t="str">
        <x:v>2025-06</x:v>
      </x:c>
      <x:c r="AD859" s="9" t="str">
        <x:v>BNPB operational disaster search table</x:v>
      </x:c>
      <x:c r="AE859" s="9" t="str">
        <x:v>https://gis.bnpb.go.id/databencana/tabel/pencarian.php</x:v>
      </x:c>
      <x:c r="AF859" s="9" t="str">
        <x:v>operational_snapshot_annual_totals_may_differ</x:v>
      </x:c>
    </x:row>
    <x:row r="860" ht="18" customHeight="1">
      <x:c r="A860" s="6" t="str">
        <x:v>95</x:v>
      </x:c>
      <x:c r="B860" s="6" t="str">
        <x:v>PAPUA SELATAN</x:v>
      </x:c>
      <x:c r="C860" s="6" t="str">
        <x:v>2025</x:v>
      </x:c>
      <x:c r="D860" s="6" t="str">
        <x:v>7</x:v>
      </x:c>
      <x:c r="E860" s="6" t="str">
        <x:v>1</x:v>
      </x:c>
      <x:c r="F860" s="6" t="str">
        <x:v>1</x:v>
      </x:c>
      <x:c r="G860" s="6" t="str">
        <x:v>1</x:v>
      </x:c>
      <x:c r="H860" s="6" t="str">
        <x:v>0</x:v>
      </x:c>
      <x:c r="I860" s="6" t="str">
        <x:v>0</x:v>
      </x:c>
      <x:c r="J860" s="6" t="str">
        <x:v>0</x:v>
      </x:c>
      <x:c r="K860" s="6" t="str">
        <x:v>0</x:v>
      </x:c>
      <x:c r="L860" s="6" t="str">
        <x:v>0</x:v>
      </x:c>
      <x:c r="M860" s="6" t="str">
        <x:v>0</x:v>
      </x:c>
      <x:c r="N860" s="6" t="str">
        <x:v>0</x:v>
      </x:c>
      <x:c r="O860" s="6" t="str">
        <x:v>0</x:v>
      </x:c>
      <x:c r="P860" s="6" t="str">
        <x:v>1</x:v>
      </x:c>
      <x:c r="Q860" s="6" t="str"/>
      <x:c r="R860" s="6" t="str">
        <x:v>0</x:v>
      </x:c>
      <x:c r="S860" s="6" t="str"/>
      <x:c r="T860" s="6" t="str">
        <x:v>0</x:v>
      </x:c>
      <x:c r="U860" s="6" t="str"/>
      <x:c r="V860" s="6" t="str">
        <x:v>0</x:v>
      </x:c>
      <x:c r="W860" s="6" t="str">
        <x:v>0.0</x:v>
      </x:c>
      <x:c r="X860" s="6" t="str">
        <x:v>1</x:v>
      </x:c>
      <x:c r="Y860" s="6" t="str">
        <x:v>348.0</x:v>
      </x:c>
      <x:c r="Z860" s="6" t="str">
        <x:v>1</x:v>
      </x:c>
      <x:c r="AA860" s="6" t="str">
        <x:v>0.0</x:v>
      </x:c>
      <x:c r="AB860" s="6" t="str">
        <x:v>1</x:v>
      </x:c>
      <x:c r="AC860" s="6" t="str">
        <x:v>2025-07</x:v>
      </x:c>
      <x:c r="AD860" s="9" t="str">
        <x:v>BNPB operational disaster search table</x:v>
      </x:c>
      <x:c r="AE860" s="9" t="str">
        <x:v>https://gis.bnpb.go.id/databencana/tabel/pencarian.php</x:v>
      </x:c>
      <x:c r="AF860" s="9" t="str">
        <x:v>operational_snapshot_annual_totals_may_differ</x:v>
      </x:c>
    </x:row>
    <x:row r="861" ht="18" customHeight="1">
      <x:c r="A861" s="6" t="str">
        <x:v>95</x:v>
      </x:c>
      <x:c r="B861" s="6" t="str">
        <x:v>PAPUA SELATAN</x:v>
      </x:c>
      <x:c r="C861" s="6" t="str">
        <x:v>2025</x:v>
      </x:c>
      <x:c r="D861" s="6" t="str">
        <x:v>8</x:v>
      </x:c>
      <x:c r="E861" s="6" t="str">
        <x:v>0</x:v>
      </x:c>
      <x:c r="F861" s="6" t="str">
        <x:v>0</x:v>
      </x:c>
      <x:c r="G861" s="6" t="str">
        <x:v>0</x:v>
      </x:c>
      <x:c r="H861" s="6" t="str">
        <x:v>0</x:v>
      </x:c>
      <x:c r="I861" s="6" t="str">
        <x:v>0</x:v>
      </x:c>
      <x:c r="J861" s="6" t="str">
        <x:v>0</x:v>
      </x:c>
      <x:c r="K861" s="6" t="str">
        <x:v>0</x:v>
      </x:c>
      <x:c r="L861" s="6" t="str">
        <x:v>0</x:v>
      </x:c>
      <x:c r="M861" s="6" t="str">
        <x:v>0</x:v>
      </x:c>
      <x:c r="N861" s="6" t="str">
        <x:v>0</x:v>
      </x:c>
      <x:c r="O861" s="6" t="str">
        <x:v>0</x:v>
      </x:c>
      <x:c r="P861" s="6" t="str">
        <x:v>0</x:v>
      </x:c>
      <x:c r="Q861" s="6" t="str"/>
      <x:c r="R861" s="6" t="str">
        <x:v>0</x:v>
      </x:c>
      <x:c r="S861" s="6" t="str"/>
      <x:c r="T861" s="6" t="str">
        <x:v>0</x:v>
      </x:c>
      <x:c r="U861" s="6" t="str"/>
      <x:c r="V861" s="6" t="str">
        <x:v>0</x:v>
      </x:c>
      <x:c r="W861" s="6" t="str"/>
      <x:c r="X861" s="6" t="str">
        <x:v>0</x:v>
      </x:c>
      <x:c r="Y861" s="6" t="str"/>
      <x:c r="Z861" s="6" t="str">
        <x:v>0</x:v>
      </x:c>
      <x:c r="AA861" s="6" t="str"/>
      <x:c r="AB861" s="6" t="str">
        <x:v>0</x:v>
      </x:c>
      <x:c r="AC861" s="6" t="str">
        <x:v>2025-08</x:v>
      </x:c>
      <x:c r="AD861" s="9" t="str">
        <x:v>BNPB operational disaster search table</x:v>
      </x:c>
      <x:c r="AE861" s="9" t="str">
        <x:v>https://gis.bnpb.go.id/databencana/tabel/pencarian.php</x:v>
      </x:c>
      <x:c r="AF861" s="9" t="str">
        <x:v>operational_snapshot_annual_totals_may_differ</x:v>
      </x:c>
    </x:row>
    <x:row r="862" ht="18" customHeight="1">
      <x:c r="A862" s="6" t="str">
        <x:v>95</x:v>
      </x:c>
      <x:c r="B862" s="6" t="str">
        <x:v>PAPUA SELATAN</x:v>
      </x:c>
      <x:c r="C862" s="6" t="str">
        <x:v>2025</x:v>
      </x:c>
      <x:c r="D862" s="6" t="str">
        <x:v>9</x:v>
      </x:c>
      <x:c r="E862" s="6" t="str">
        <x:v>0</x:v>
      </x:c>
      <x:c r="F862" s="6" t="str">
        <x:v>0</x:v>
      </x:c>
      <x:c r="G862" s="6" t="str">
        <x:v>0</x:v>
      </x:c>
      <x:c r="H862" s="6" t="str">
        <x:v>0</x:v>
      </x:c>
      <x:c r="I862" s="6" t="str">
        <x:v>0</x:v>
      </x:c>
      <x:c r="J862" s="6" t="str">
        <x:v>0</x:v>
      </x:c>
      <x:c r="K862" s="6" t="str">
        <x:v>0</x:v>
      </x:c>
      <x:c r="L862" s="6" t="str">
        <x:v>0</x:v>
      </x:c>
      <x:c r="M862" s="6" t="str">
        <x:v>0</x:v>
      </x:c>
      <x:c r="N862" s="6" t="str">
        <x:v>0</x:v>
      </x:c>
      <x:c r="O862" s="6" t="str">
        <x:v>0</x:v>
      </x:c>
      <x:c r="P862" s="6" t="str">
        <x:v>0</x:v>
      </x:c>
      <x:c r="Q862" s="6" t="str"/>
      <x:c r="R862" s="6" t="str">
        <x:v>0</x:v>
      </x:c>
      <x:c r="S862" s="6" t="str"/>
      <x:c r="T862" s="6" t="str">
        <x:v>0</x:v>
      </x:c>
      <x:c r="U862" s="6" t="str"/>
      <x:c r="V862" s="6" t="str">
        <x:v>0</x:v>
      </x:c>
      <x:c r="W862" s="6" t="str"/>
      <x:c r="X862" s="6" t="str">
        <x:v>0</x:v>
      </x:c>
      <x:c r="Y862" s="6" t="str"/>
      <x:c r="Z862" s="6" t="str">
        <x:v>0</x:v>
      </x:c>
      <x:c r="AA862" s="6" t="str"/>
      <x:c r="AB862" s="6" t="str">
        <x:v>0</x:v>
      </x:c>
      <x:c r="AC862" s="6" t="str">
        <x:v>2025-09</x:v>
      </x:c>
      <x:c r="AD862" s="9" t="str">
        <x:v>BNPB operational disaster search table</x:v>
      </x:c>
      <x:c r="AE862" s="9" t="str">
        <x:v>https://gis.bnpb.go.id/databencana/tabel/pencarian.php</x:v>
      </x:c>
      <x:c r="AF862" s="9" t="str">
        <x:v>operational_snapshot_annual_totals_may_differ</x:v>
      </x:c>
    </x:row>
    <x:row r="863" ht="18" customHeight="1">
      <x:c r="A863" s="6" t="str">
        <x:v>95</x:v>
      </x:c>
      <x:c r="B863" s="6" t="str">
        <x:v>PAPUA SELATAN</x:v>
      </x:c>
      <x:c r="C863" s="6" t="str">
        <x:v>2025</x:v>
      </x:c>
      <x:c r="D863" s="6" t="str">
        <x:v>10</x:v>
      </x:c>
      <x:c r="E863" s="6" t="str">
        <x:v>0</x:v>
      </x:c>
      <x:c r="F863" s="6" t="str">
        <x:v>0</x:v>
      </x:c>
      <x:c r="G863" s="6" t="str">
        <x:v>0</x:v>
      </x:c>
      <x:c r="H863" s="6" t="str">
        <x:v>0</x:v>
      </x:c>
      <x:c r="I863" s="6" t="str">
        <x:v>0</x:v>
      </x:c>
      <x:c r="J863" s="6" t="str">
        <x:v>0</x:v>
      </x:c>
      <x:c r="K863" s="6" t="str">
        <x:v>0</x:v>
      </x:c>
      <x:c r="L863" s="6" t="str">
        <x:v>0</x:v>
      </x:c>
      <x:c r="M863" s="6" t="str">
        <x:v>0</x:v>
      </x:c>
      <x:c r="N863" s="6" t="str">
        <x:v>0</x:v>
      </x:c>
      <x:c r="O863" s="6" t="str">
        <x:v>0</x:v>
      </x:c>
      <x:c r="P863" s="6" t="str">
        <x:v>0</x:v>
      </x:c>
      <x:c r="Q863" s="6" t="str"/>
      <x:c r="R863" s="6" t="str">
        <x:v>0</x:v>
      </x:c>
      <x:c r="S863" s="6" t="str"/>
      <x:c r="T863" s="6" t="str">
        <x:v>0</x:v>
      </x:c>
      <x:c r="U863" s="6" t="str"/>
      <x:c r="V863" s="6" t="str">
        <x:v>0</x:v>
      </x:c>
      <x:c r="W863" s="6" t="str"/>
      <x:c r="X863" s="6" t="str">
        <x:v>0</x:v>
      </x:c>
      <x:c r="Y863" s="6" t="str"/>
      <x:c r="Z863" s="6" t="str">
        <x:v>0</x:v>
      </x:c>
      <x:c r="AA863" s="6" t="str"/>
      <x:c r="AB863" s="6" t="str">
        <x:v>0</x:v>
      </x:c>
      <x:c r="AC863" s="6" t="str">
        <x:v>2025-10</x:v>
      </x:c>
      <x:c r="AD863" s="9" t="str">
        <x:v>BNPB operational disaster search table</x:v>
      </x:c>
      <x:c r="AE863" s="9" t="str">
        <x:v>https://gis.bnpb.go.id/databencana/tabel/pencarian.php</x:v>
      </x:c>
      <x:c r="AF863" s="9" t="str">
        <x:v>operational_snapshot_annual_totals_may_differ</x:v>
      </x:c>
    </x:row>
    <x:row r="864" ht="18" customHeight="1">
      <x:c r="A864" s="6" t="str">
        <x:v>95</x:v>
      </x:c>
      <x:c r="B864" s="6" t="str">
        <x:v>PAPUA SELATAN</x:v>
      </x:c>
      <x:c r="C864" s="6" t="str">
        <x:v>2025</x:v>
      </x:c>
      <x:c r="D864" s="6" t="str">
        <x:v>11</x:v>
      </x:c>
      <x:c r="E864" s="6" t="str">
        <x:v>0</x:v>
      </x:c>
      <x:c r="F864" s="6" t="str">
        <x:v>0</x:v>
      </x:c>
      <x:c r="G864" s="6" t="str">
        <x:v>0</x:v>
      </x:c>
      <x:c r="H864" s="6" t="str">
        <x:v>0</x:v>
      </x:c>
      <x:c r="I864" s="6" t="str">
        <x:v>0</x:v>
      </x:c>
      <x:c r="J864" s="6" t="str">
        <x:v>0</x:v>
      </x:c>
      <x:c r="K864" s="6" t="str">
        <x:v>0</x:v>
      </x:c>
      <x:c r="L864" s="6" t="str">
        <x:v>0</x:v>
      </x:c>
      <x:c r="M864" s="6" t="str">
        <x:v>0</x:v>
      </x:c>
      <x:c r="N864" s="6" t="str">
        <x:v>0</x:v>
      </x:c>
      <x:c r="O864" s="6" t="str">
        <x:v>0</x:v>
      </x:c>
      <x:c r="P864" s="6" t="str">
        <x:v>0</x:v>
      </x:c>
      <x:c r="Q864" s="6" t="str"/>
      <x:c r="R864" s="6" t="str">
        <x:v>0</x:v>
      </x:c>
      <x:c r="S864" s="6" t="str"/>
      <x:c r="T864" s="6" t="str">
        <x:v>0</x:v>
      </x:c>
      <x:c r="U864" s="6" t="str"/>
      <x:c r="V864" s="6" t="str">
        <x:v>0</x:v>
      </x:c>
      <x:c r="W864" s="6" t="str"/>
      <x:c r="X864" s="6" t="str">
        <x:v>0</x:v>
      </x:c>
      <x:c r="Y864" s="6" t="str"/>
      <x:c r="Z864" s="6" t="str">
        <x:v>0</x:v>
      </x:c>
      <x:c r="AA864" s="6" t="str"/>
      <x:c r="AB864" s="6" t="str">
        <x:v>0</x:v>
      </x:c>
      <x:c r="AC864" s="6" t="str">
        <x:v>2025-11</x:v>
      </x:c>
      <x:c r="AD864" s="9" t="str">
        <x:v>BNPB operational disaster search table</x:v>
      </x:c>
      <x:c r="AE864" s="9" t="str">
        <x:v>https://gis.bnpb.go.id/databencana/tabel/pencarian.php</x:v>
      </x:c>
      <x:c r="AF864" s="9" t="str">
        <x:v>operational_snapshot_annual_totals_may_differ</x:v>
      </x:c>
    </x:row>
    <x:row r="865" ht="18" customHeight="1">
      <x:c r="A865" s="6" t="str">
        <x:v>95</x:v>
      </x:c>
      <x:c r="B865" s="6" t="str">
        <x:v>PAPUA SELATAN</x:v>
      </x:c>
      <x:c r="C865" s="6" t="str">
        <x:v>2025</x:v>
      </x:c>
      <x:c r="D865" s="6" t="str">
        <x:v>12</x:v>
      </x:c>
      <x:c r="E865" s="6" t="str">
        <x:v>0</x:v>
      </x:c>
      <x:c r="F865" s="6" t="str">
        <x:v>0</x:v>
      </x:c>
      <x:c r="G865" s="6" t="str">
        <x:v>0</x:v>
      </x:c>
      <x:c r="H865" s="6" t="str">
        <x:v>0</x:v>
      </x:c>
      <x:c r="I865" s="6" t="str">
        <x:v>0</x:v>
      </x:c>
      <x:c r="J865" s="6" t="str">
        <x:v>0</x:v>
      </x:c>
      <x:c r="K865" s="6" t="str">
        <x:v>0</x:v>
      </x:c>
      <x:c r="L865" s="6" t="str">
        <x:v>0</x:v>
      </x:c>
      <x:c r="M865" s="6" t="str">
        <x:v>0</x:v>
      </x:c>
      <x:c r="N865" s="6" t="str">
        <x:v>0</x:v>
      </x:c>
      <x:c r="O865" s="6" t="str">
        <x:v>0</x:v>
      </x:c>
      <x:c r="P865" s="6" t="str">
        <x:v>0</x:v>
      </x:c>
      <x:c r="Q865" s="6" t="str"/>
      <x:c r="R865" s="6" t="str">
        <x:v>0</x:v>
      </x:c>
      <x:c r="S865" s="6" t="str"/>
      <x:c r="T865" s="6" t="str">
        <x:v>0</x:v>
      </x:c>
      <x:c r="U865" s="6" t="str"/>
      <x:c r="V865" s="6" t="str">
        <x:v>0</x:v>
      </x:c>
      <x:c r="W865" s="6" t="str"/>
      <x:c r="X865" s="6" t="str">
        <x:v>0</x:v>
      </x:c>
      <x:c r="Y865" s="6" t="str"/>
      <x:c r="Z865" s="6" t="str">
        <x:v>0</x:v>
      </x:c>
      <x:c r="AA865" s="6" t="str"/>
      <x:c r="AB865" s="6" t="str">
        <x:v>0</x:v>
      </x:c>
      <x:c r="AC865" s="6" t="str">
        <x:v>2025-12</x:v>
      </x:c>
      <x:c r="AD865" s="9" t="str">
        <x:v>BNPB operational disaster search table</x:v>
      </x:c>
      <x:c r="AE865" s="9" t="str">
        <x:v>https://gis.bnpb.go.id/databencana/tabel/pencarian.php</x:v>
      </x:c>
      <x:c r="AF865" s="9" t="str">
        <x:v>operational_snapshot_annual_totals_may_differ</x:v>
      </x:c>
    </x:row>
    <x:row r="866" ht="18" customHeight="1">
      <x:c r="A866" s="6" t="str">
        <x:v>96</x:v>
      </x:c>
      <x:c r="B866" s="6" t="str">
        <x:v>PAPUA TENGAH</x:v>
      </x:c>
      <x:c r="C866" s="6" t="str">
        <x:v>2024</x:v>
      </x:c>
      <x:c r="D866" s="6" t="str">
        <x:v>1</x:v>
      </x:c>
      <x:c r="E866" s="6" t="str">
        <x:v>1</x:v>
      </x:c>
      <x:c r="F866" s="6" t="str">
        <x:v>1</x:v>
      </x:c>
      <x:c r="G866" s="6" t="str">
        <x:v>1</x:v>
      </x:c>
      <x:c r="H866" s="6" t="str">
        <x:v>0</x:v>
      </x:c>
      <x:c r="I866" s="6" t="str">
        <x:v>0</x:v>
      </x:c>
      <x:c r="J866" s="6" t="str">
        <x:v>0</x:v>
      </x:c>
      <x:c r="K866" s="6" t="str">
        <x:v>0</x:v>
      </x:c>
      <x:c r="L866" s="6" t="str">
        <x:v>0</x:v>
      </x:c>
      <x:c r="M866" s="6" t="str">
        <x:v>0</x:v>
      </x:c>
      <x:c r="N866" s="6" t="str">
        <x:v>0</x:v>
      </x:c>
      <x:c r="O866" s="6" t="str">
        <x:v>0</x:v>
      </x:c>
      <x:c r="P866" s="6" t="str">
        <x:v>1</x:v>
      </x:c>
      <x:c r="Q866" s="6" t="str">
        <x:v>2.0</x:v>
      </x:c>
      <x:c r="R866" s="6" t="str">
        <x:v>1</x:v>
      </x:c>
      <x:c r="S866" s="6" t="str">
        <x:v>0.0</x:v>
      </x:c>
      <x:c r="T866" s="6" t="str">
        <x:v>1</x:v>
      </x:c>
      <x:c r="U866" s="6" t="str">
        <x:v>2.0</x:v>
      </x:c>
      <x:c r="V866" s="6" t="str">
        <x:v>1</x:v>
      </x:c>
      <x:c r="W866" s="6" t="str">
        <x:v>0.0</x:v>
      </x:c>
      <x:c r="X866" s="6" t="str">
        <x:v>1</x:v>
      </x:c>
      <x:c r="Y866" s="6" t="str"/>
      <x:c r="Z866" s="6" t="str">
        <x:v>0</x:v>
      </x:c>
      <x:c r="AA866" s="6" t="str">
        <x:v>0.0</x:v>
      </x:c>
      <x:c r="AB866" s="6" t="str">
        <x:v>1</x:v>
      </x:c>
      <x:c r="AC866" s="6" t="str">
        <x:v>2024-01</x:v>
      </x:c>
      <x:c r="AD866" s="9" t="str">
        <x:v>BNPB operational disaster search table</x:v>
      </x:c>
      <x:c r="AE866" s="9" t="str">
        <x:v>https://gis.bnpb.go.id/databencana/tabel/pencarian.php</x:v>
      </x:c>
      <x:c r="AF866" s="9" t="str">
        <x:v>operational_snapshot_annual_totals_may_differ</x:v>
      </x:c>
    </x:row>
    <x:row r="867" ht="18" customHeight="1">
      <x:c r="A867" s="6" t="str">
        <x:v>96</x:v>
      </x:c>
      <x:c r="B867" s="6" t="str">
        <x:v>PAPUA TENGAH</x:v>
      </x:c>
      <x:c r="C867" s="6" t="str">
        <x:v>2024</x:v>
      </x:c>
      <x:c r="D867" s="6" t="str">
        <x:v>2</x:v>
      </x:c>
      <x:c r="E867" s="6" t="str">
        <x:v>1</x:v>
      </x:c>
      <x:c r="F867" s="6" t="str">
        <x:v>1</x:v>
      </x:c>
      <x:c r="G867" s="6" t="str">
        <x:v>1</x:v>
      </x:c>
      <x:c r="H867" s="6" t="str">
        <x:v>0</x:v>
      </x:c>
      <x:c r="I867" s="6" t="str">
        <x:v>0</x:v>
      </x:c>
      <x:c r="J867" s="6" t="str">
        <x:v>0</x:v>
      </x:c>
      <x:c r="K867" s="6" t="str">
        <x:v>0</x:v>
      </x:c>
      <x:c r="L867" s="6" t="str">
        <x:v>0</x:v>
      </x:c>
      <x:c r="M867" s="6" t="str">
        <x:v>0</x:v>
      </x:c>
      <x:c r="N867" s="6" t="str">
        <x:v>0</x:v>
      </x:c>
      <x:c r="O867" s="6" t="str">
        <x:v>0</x:v>
      </x:c>
      <x:c r="P867" s="6" t="str">
        <x:v>1</x:v>
      </x:c>
      <x:c r="Q867" s="6" t="str">
        <x:v>5.0</x:v>
      </x:c>
      <x:c r="R867" s="6" t="str">
        <x:v>1</x:v>
      </x:c>
      <x:c r="S867" s="6" t="str">
        <x:v>0.0</x:v>
      </x:c>
      <x:c r="T867" s="6" t="str">
        <x:v>1</x:v>
      </x:c>
      <x:c r="U867" s="6" t="str">
        <x:v>1.0</x:v>
      </x:c>
      <x:c r="V867" s="6" t="str">
        <x:v>1</x:v>
      </x:c>
      <x:c r="W867" s="6" t="str">
        <x:v>0.0</x:v>
      </x:c>
      <x:c r="X867" s="6" t="str">
        <x:v>1</x:v>
      </x:c>
      <x:c r="Y867" s="6" t="str"/>
      <x:c r="Z867" s="6" t="str">
        <x:v>0</x:v>
      </x:c>
      <x:c r="AA867" s="6" t="str">
        <x:v>0.0</x:v>
      </x:c>
      <x:c r="AB867" s="6" t="str">
        <x:v>1</x:v>
      </x:c>
      <x:c r="AC867" s="6" t="str">
        <x:v>2024-02</x:v>
      </x:c>
      <x:c r="AD867" s="9" t="str">
        <x:v>BNPB operational disaster search table</x:v>
      </x:c>
      <x:c r="AE867" s="9" t="str">
        <x:v>https://gis.bnpb.go.id/databencana/tabel/pencarian.php</x:v>
      </x:c>
      <x:c r="AF867" s="9" t="str">
        <x:v>operational_snapshot_annual_totals_may_differ</x:v>
      </x:c>
    </x:row>
    <x:row r="868" ht="18" customHeight="1">
      <x:c r="A868" s="6" t="str">
        <x:v>96</x:v>
      </x:c>
      <x:c r="B868" s="6" t="str">
        <x:v>PAPUA TENGAH</x:v>
      </x:c>
      <x:c r="C868" s="6" t="str">
        <x:v>2024</x:v>
      </x:c>
      <x:c r="D868" s="6" t="str">
        <x:v>3</x:v>
      </x:c>
      <x:c r="E868" s="6" t="str">
        <x:v>0</x:v>
      </x:c>
      <x:c r="F868" s="6" t="str">
        <x:v>0</x:v>
      </x:c>
      <x:c r="G868" s="6" t="str">
        <x:v>0</x:v>
      </x:c>
      <x:c r="H868" s="6" t="str">
        <x:v>0</x:v>
      </x:c>
      <x:c r="I868" s="6" t="str">
        <x:v>0</x:v>
      </x:c>
      <x:c r="J868" s="6" t="str">
        <x:v>0</x:v>
      </x:c>
      <x:c r="K868" s="6" t="str">
        <x:v>0</x:v>
      </x:c>
      <x:c r="L868" s="6" t="str">
        <x:v>0</x:v>
      </x:c>
      <x:c r="M868" s="6" t="str">
        <x:v>0</x:v>
      </x:c>
      <x:c r="N868" s="6" t="str">
        <x:v>0</x:v>
      </x:c>
      <x:c r="O868" s="6" t="str">
        <x:v>0</x:v>
      </x:c>
      <x:c r="P868" s="6" t="str">
        <x:v>0</x:v>
      </x:c>
      <x:c r="Q868" s="6" t="str"/>
      <x:c r="R868" s="6" t="str">
        <x:v>0</x:v>
      </x:c>
      <x:c r="S868" s="6" t="str"/>
      <x:c r="T868" s="6" t="str">
        <x:v>0</x:v>
      </x:c>
      <x:c r="U868" s="6" t="str"/>
      <x:c r="V868" s="6" t="str">
        <x:v>0</x:v>
      </x:c>
      <x:c r="W868" s="6" t="str"/>
      <x:c r="X868" s="6" t="str">
        <x:v>0</x:v>
      </x:c>
      <x:c r="Y868" s="6" t="str"/>
      <x:c r="Z868" s="6" t="str">
        <x:v>0</x:v>
      </x:c>
      <x:c r="AA868" s="6" t="str"/>
      <x:c r="AB868" s="6" t="str">
        <x:v>0</x:v>
      </x:c>
      <x:c r="AC868" s="6" t="str">
        <x:v>2024-03</x:v>
      </x:c>
      <x:c r="AD868" s="9" t="str">
        <x:v>BNPB operational disaster search table</x:v>
      </x:c>
      <x:c r="AE868" s="9" t="str">
        <x:v>https://gis.bnpb.go.id/databencana/tabel/pencarian.php</x:v>
      </x:c>
      <x:c r="AF868" s="9" t="str">
        <x:v>operational_snapshot_annual_totals_may_differ</x:v>
      </x:c>
    </x:row>
    <x:row r="869" ht="18" customHeight="1">
      <x:c r="A869" s="6" t="str">
        <x:v>96</x:v>
      </x:c>
      <x:c r="B869" s="6" t="str">
        <x:v>PAPUA TENGAH</x:v>
      </x:c>
      <x:c r="C869" s="6" t="str">
        <x:v>2024</x:v>
      </x:c>
      <x:c r="D869" s="6" t="str">
        <x:v>4</x:v>
      </x:c>
      <x:c r="E869" s="6" t="str">
        <x:v>0</x:v>
      </x:c>
      <x:c r="F869" s="6" t="str">
        <x:v>0</x:v>
      </x:c>
      <x:c r="G869" s="6" t="str">
        <x:v>0</x:v>
      </x:c>
      <x:c r="H869" s="6" t="str">
        <x:v>0</x:v>
      </x:c>
      <x:c r="I869" s="6" t="str">
        <x:v>0</x:v>
      </x:c>
      <x:c r="J869" s="6" t="str">
        <x:v>0</x:v>
      </x:c>
      <x:c r="K869" s="6" t="str">
        <x:v>0</x:v>
      </x:c>
      <x:c r="L869" s="6" t="str">
        <x:v>0</x:v>
      </x:c>
      <x:c r="M869" s="6" t="str">
        <x:v>0</x:v>
      </x:c>
      <x:c r="N869" s="6" t="str">
        <x:v>0</x:v>
      </x:c>
      <x:c r="O869" s="6" t="str">
        <x:v>0</x:v>
      </x:c>
      <x:c r="P869" s="6" t="str">
        <x:v>0</x:v>
      </x:c>
      <x:c r="Q869" s="6" t="str"/>
      <x:c r="R869" s="6" t="str">
        <x:v>0</x:v>
      </x:c>
      <x:c r="S869" s="6" t="str"/>
      <x:c r="T869" s="6" t="str">
        <x:v>0</x:v>
      </x:c>
      <x:c r="U869" s="6" t="str"/>
      <x:c r="V869" s="6" t="str">
        <x:v>0</x:v>
      </x:c>
      <x:c r="W869" s="6" t="str"/>
      <x:c r="X869" s="6" t="str">
        <x:v>0</x:v>
      </x:c>
      <x:c r="Y869" s="6" t="str"/>
      <x:c r="Z869" s="6" t="str">
        <x:v>0</x:v>
      </x:c>
      <x:c r="AA869" s="6" t="str"/>
      <x:c r="AB869" s="6" t="str">
        <x:v>0</x:v>
      </x:c>
      <x:c r="AC869" s="6" t="str">
        <x:v>2024-04</x:v>
      </x:c>
      <x:c r="AD869" s="9" t="str">
        <x:v>BNPB operational disaster search table</x:v>
      </x:c>
      <x:c r="AE869" s="9" t="str">
        <x:v>https://gis.bnpb.go.id/databencana/tabel/pencarian.php</x:v>
      </x:c>
      <x:c r="AF869" s="9" t="str">
        <x:v>operational_snapshot_annual_totals_may_differ</x:v>
      </x:c>
    </x:row>
    <x:row r="870" ht="18" customHeight="1">
      <x:c r="A870" s="6" t="str">
        <x:v>96</x:v>
      </x:c>
      <x:c r="B870" s="6" t="str">
        <x:v>PAPUA TENGAH</x:v>
      </x:c>
      <x:c r="C870" s="6" t="str">
        <x:v>2024</x:v>
      </x:c>
      <x:c r="D870" s="6" t="str">
        <x:v>5</x:v>
      </x:c>
      <x:c r="E870" s="6" t="str">
        <x:v>0</x:v>
      </x:c>
      <x:c r="F870" s="6" t="str">
        <x:v>0</x:v>
      </x:c>
      <x:c r="G870" s="6" t="str">
        <x:v>0</x:v>
      </x:c>
      <x:c r="H870" s="6" t="str">
        <x:v>0</x:v>
      </x:c>
      <x:c r="I870" s="6" t="str">
        <x:v>0</x:v>
      </x:c>
      <x:c r="J870" s="6" t="str">
        <x:v>0</x:v>
      </x:c>
      <x:c r="K870" s="6" t="str">
        <x:v>0</x:v>
      </x:c>
      <x:c r="L870" s="6" t="str">
        <x:v>0</x:v>
      </x:c>
      <x:c r="M870" s="6" t="str">
        <x:v>0</x:v>
      </x:c>
      <x:c r="N870" s="6" t="str">
        <x:v>0</x:v>
      </x:c>
      <x:c r="O870" s="6" t="str">
        <x:v>0</x:v>
      </x:c>
      <x:c r="P870" s="6" t="str">
        <x:v>0</x:v>
      </x:c>
      <x:c r="Q870" s="6" t="str"/>
      <x:c r="R870" s="6" t="str">
        <x:v>0</x:v>
      </x:c>
      <x:c r="S870" s="6" t="str"/>
      <x:c r="T870" s="6" t="str">
        <x:v>0</x:v>
      </x:c>
      <x:c r="U870" s="6" t="str"/>
      <x:c r="V870" s="6" t="str">
        <x:v>0</x:v>
      </x:c>
      <x:c r="W870" s="6" t="str"/>
      <x:c r="X870" s="6" t="str">
        <x:v>0</x:v>
      </x:c>
      <x:c r="Y870" s="6" t="str"/>
      <x:c r="Z870" s="6" t="str">
        <x:v>0</x:v>
      </x:c>
      <x:c r="AA870" s="6" t="str"/>
      <x:c r="AB870" s="6" t="str">
        <x:v>0</x:v>
      </x:c>
      <x:c r="AC870" s="6" t="str">
        <x:v>2024-05</x:v>
      </x:c>
      <x:c r="AD870" s="9" t="str">
        <x:v>BNPB operational disaster search table</x:v>
      </x:c>
      <x:c r="AE870" s="9" t="str">
        <x:v>https://gis.bnpb.go.id/databencana/tabel/pencarian.php</x:v>
      </x:c>
      <x:c r="AF870" s="9" t="str">
        <x:v>operational_snapshot_annual_totals_may_differ</x:v>
      </x:c>
    </x:row>
    <x:row r="871" ht="18" customHeight="1">
      <x:c r="A871" s="6" t="str">
        <x:v>96</x:v>
      </x:c>
      <x:c r="B871" s="6" t="str">
        <x:v>PAPUA TENGAH</x:v>
      </x:c>
      <x:c r="C871" s="6" t="str">
        <x:v>2024</x:v>
      </x:c>
      <x:c r="D871" s="6" t="str">
        <x:v>6</x:v>
      </x:c>
      <x:c r="E871" s="6" t="str">
        <x:v>1</x:v>
      </x:c>
      <x:c r="F871" s="6" t="str">
        <x:v>1</x:v>
      </x:c>
      <x:c r="G871" s="6" t="str">
        <x:v>1</x:v>
      </x:c>
      <x:c r="H871" s="6" t="str">
        <x:v>0</x:v>
      </x:c>
      <x:c r="I871" s="6" t="str">
        <x:v>0</x:v>
      </x:c>
      <x:c r="J871" s="6" t="str">
        <x:v>0</x:v>
      </x:c>
      <x:c r="K871" s="6" t="str">
        <x:v>0</x:v>
      </x:c>
      <x:c r="L871" s="6" t="str">
        <x:v>0</x:v>
      </x:c>
      <x:c r="M871" s="6" t="str">
        <x:v>0</x:v>
      </x:c>
      <x:c r="N871" s="6" t="str">
        <x:v>0</x:v>
      </x:c>
      <x:c r="O871" s="6" t="str">
        <x:v>0</x:v>
      </x:c>
      <x:c r="P871" s="6" t="str">
        <x:v>1</x:v>
      </x:c>
      <x:c r="Q871" s="6" t="str">
        <x:v>0.0</x:v>
      </x:c>
      <x:c r="R871" s="6" t="str">
        <x:v>1</x:v>
      </x:c>
      <x:c r="S871" s="6" t="str">
        <x:v>0.0</x:v>
      </x:c>
      <x:c r="T871" s="6" t="str">
        <x:v>1</x:v>
      </x:c>
      <x:c r="U871" s="6" t="str">
        <x:v>0.0</x:v>
      </x:c>
      <x:c r="V871" s="6" t="str">
        <x:v>1</x:v>
      </x:c>
      <x:c r="W871" s="6" t="str">
        <x:v>0.0</x:v>
      </x:c>
      <x:c r="X871" s="6" t="str">
        <x:v>1</x:v>
      </x:c>
      <x:c r="Y871" s="6" t="str">
        <x:v>495.0</x:v>
      </x:c>
      <x:c r="Z871" s="6" t="str">
        <x:v>1</x:v>
      </x:c>
      <x:c r="AA871" s="6" t="str">
        <x:v>0.0</x:v>
      </x:c>
      <x:c r="AB871" s="6" t="str">
        <x:v>1</x:v>
      </x:c>
      <x:c r="AC871" s="6" t="str">
        <x:v>2024-06</x:v>
      </x:c>
      <x:c r="AD871" s="9" t="str">
        <x:v>BNPB operational disaster search table</x:v>
      </x:c>
      <x:c r="AE871" s="9" t="str">
        <x:v>https://gis.bnpb.go.id/databencana/tabel/pencarian.php</x:v>
      </x:c>
      <x:c r="AF871" s="9" t="str">
        <x:v>operational_snapshot_annual_totals_may_differ</x:v>
      </x:c>
    </x:row>
    <x:row r="872" ht="18" customHeight="1">
      <x:c r="A872" s="6" t="str">
        <x:v>96</x:v>
      </x:c>
      <x:c r="B872" s="6" t="str">
        <x:v>PAPUA TENGAH</x:v>
      </x:c>
      <x:c r="C872" s="6" t="str">
        <x:v>2024</x:v>
      </x:c>
      <x:c r="D872" s="6" t="str">
        <x:v>7</x:v>
      </x:c>
      <x:c r="E872" s="6" t="str">
        <x:v>1</x:v>
      </x:c>
      <x:c r="F872" s="6" t="str">
        <x:v>1</x:v>
      </x:c>
      <x:c r="G872" s="6" t="str">
        <x:v>1</x:v>
      </x:c>
      <x:c r="H872" s="6" t="str">
        <x:v>0</x:v>
      </x:c>
      <x:c r="I872" s="6" t="str">
        <x:v>0</x:v>
      </x:c>
      <x:c r="J872" s="6" t="str">
        <x:v>0</x:v>
      </x:c>
      <x:c r="K872" s="6" t="str">
        <x:v>0</x:v>
      </x:c>
      <x:c r="L872" s="6" t="str">
        <x:v>0</x:v>
      </x:c>
      <x:c r="M872" s="6" t="str">
        <x:v>0</x:v>
      </x:c>
      <x:c r="N872" s="6" t="str">
        <x:v>0</x:v>
      </x:c>
      <x:c r="O872" s="6" t="str">
        <x:v>0</x:v>
      </x:c>
      <x:c r="P872" s="6" t="str">
        <x:v>1</x:v>
      </x:c>
      <x:c r="Q872" s="6" t="str">
        <x:v>7.0</x:v>
      </x:c>
      <x:c r="R872" s="6" t="str">
        <x:v>1</x:v>
      </x:c>
      <x:c r="S872" s="6" t="str">
        <x:v>0.0</x:v>
      </x:c>
      <x:c r="T872" s="6" t="str">
        <x:v>1</x:v>
      </x:c>
      <x:c r="U872" s="6" t="str">
        <x:v>0.0</x:v>
      </x:c>
      <x:c r="V872" s="6" t="str">
        <x:v>1</x:v>
      </x:c>
      <x:c r="W872" s="6" t="str">
        <x:v>0.0</x:v>
      </x:c>
      <x:c r="X872" s="6" t="str">
        <x:v>1</x:v>
      </x:c>
      <x:c r="Y872" s="6" t="str"/>
      <x:c r="Z872" s="6" t="str">
        <x:v>0</x:v>
      </x:c>
      <x:c r="AA872" s="6" t="str">
        <x:v>0.0</x:v>
      </x:c>
      <x:c r="AB872" s="6" t="str">
        <x:v>1</x:v>
      </x:c>
      <x:c r="AC872" s="6" t="str">
        <x:v>2024-07</x:v>
      </x:c>
      <x:c r="AD872" s="9" t="str">
        <x:v>BNPB operational disaster search table</x:v>
      </x:c>
      <x:c r="AE872" s="9" t="str">
        <x:v>https://gis.bnpb.go.id/databencana/tabel/pencarian.php</x:v>
      </x:c>
      <x:c r="AF872" s="9" t="str">
        <x:v>operational_snapshot_annual_totals_may_differ</x:v>
      </x:c>
    </x:row>
    <x:row r="873" ht="18" customHeight="1">
      <x:c r="A873" s="6" t="str">
        <x:v>96</x:v>
      </x:c>
      <x:c r="B873" s="6" t="str">
        <x:v>PAPUA TENGAH</x:v>
      </x:c>
      <x:c r="C873" s="6" t="str">
        <x:v>2024</x:v>
      </x:c>
      <x:c r="D873" s="6" t="str">
        <x:v>8</x:v>
      </x:c>
      <x:c r="E873" s="6" t="str">
        <x:v>1</x:v>
      </x:c>
      <x:c r="F873" s="6" t="str">
        <x:v>1</x:v>
      </x:c>
      <x:c r="G873" s="6" t="str">
        <x:v>1</x:v>
      </x:c>
      <x:c r="H873" s="6" t="str">
        <x:v>0</x:v>
      </x:c>
      <x:c r="I873" s="6" t="str">
        <x:v>0</x:v>
      </x:c>
      <x:c r="J873" s="6" t="str">
        <x:v>0</x:v>
      </x:c>
      <x:c r="K873" s="6" t="str">
        <x:v>0</x:v>
      </x:c>
      <x:c r="L873" s="6" t="str">
        <x:v>0</x:v>
      </x:c>
      <x:c r="M873" s="6" t="str">
        <x:v>0</x:v>
      </x:c>
      <x:c r="N873" s="6" t="str">
        <x:v>0</x:v>
      </x:c>
      <x:c r="O873" s="6" t="str">
        <x:v>0</x:v>
      </x:c>
      <x:c r="P873" s="6" t="str">
        <x:v>1</x:v>
      </x:c>
      <x:c r="Q873" s="6" t="str">
        <x:v>4.0</x:v>
      </x:c>
      <x:c r="R873" s="6" t="str">
        <x:v>1</x:v>
      </x:c>
      <x:c r="S873" s="6" t="str">
        <x:v>1.0</x:v>
      </x:c>
      <x:c r="T873" s="6" t="str">
        <x:v>1</x:v>
      </x:c>
      <x:c r="U873" s="6" t="str">
        <x:v>1.0</x:v>
      </x:c>
      <x:c r="V873" s="6" t="str">
        <x:v>1</x:v>
      </x:c>
      <x:c r="W873" s="6" t="str">
        <x:v>0.0</x:v>
      </x:c>
      <x:c r="X873" s="6" t="str">
        <x:v>1</x:v>
      </x:c>
      <x:c r="Y873" s="6" t="str"/>
      <x:c r="Z873" s="6" t="str">
        <x:v>0</x:v>
      </x:c>
      <x:c r="AA873" s="6" t="str">
        <x:v>0.0</x:v>
      </x:c>
      <x:c r="AB873" s="6" t="str">
        <x:v>1</x:v>
      </x:c>
      <x:c r="AC873" s="6" t="str">
        <x:v>2024-08</x:v>
      </x:c>
      <x:c r="AD873" s="9" t="str">
        <x:v>BNPB operational disaster search table</x:v>
      </x:c>
      <x:c r="AE873" s="9" t="str">
        <x:v>https://gis.bnpb.go.id/databencana/tabel/pencarian.php</x:v>
      </x:c>
      <x:c r="AF873" s="9" t="str">
        <x:v>operational_snapshot_annual_totals_may_differ</x:v>
      </x:c>
    </x:row>
    <x:row r="874" ht="18" customHeight="1">
      <x:c r="A874" s="6" t="str">
        <x:v>96</x:v>
      </x:c>
      <x:c r="B874" s="6" t="str">
        <x:v>PAPUA TENGAH</x:v>
      </x:c>
      <x:c r="C874" s="6" t="str">
        <x:v>2024</x:v>
      </x:c>
      <x:c r="D874" s="6" t="str">
        <x:v>9</x:v>
      </x:c>
      <x:c r="E874" s="6" t="str">
        <x:v>0</x:v>
      </x:c>
      <x:c r="F874" s="6" t="str">
        <x:v>0</x:v>
      </x:c>
      <x:c r="G874" s="6" t="str">
        <x:v>0</x:v>
      </x:c>
      <x:c r="H874" s="6" t="str">
        <x:v>0</x:v>
      </x:c>
      <x:c r="I874" s="6" t="str">
        <x:v>0</x:v>
      </x:c>
      <x:c r="J874" s="6" t="str">
        <x:v>0</x:v>
      </x:c>
      <x:c r="K874" s="6" t="str">
        <x:v>0</x:v>
      </x:c>
      <x:c r="L874" s="6" t="str">
        <x:v>0</x:v>
      </x:c>
      <x:c r="M874" s="6" t="str">
        <x:v>0</x:v>
      </x:c>
      <x:c r="N874" s="6" t="str">
        <x:v>0</x:v>
      </x:c>
      <x:c r="O874" s="6" t="str">
        <x:v>0</x:v>
      </x:c>
      <x:c r="P874" s="6" t="str">
        <x:v>0</x:v>
      </x:c>
      <x:c r="Q874" s="6" t="str"/>
      <x:c r="R874" s="6" t="str">
        <x:v>0</x:v>
      </x:c>
      <x:c r="S874" s="6" t="str"/>
      <x:c r="T874" s="6" t="str">
        <x:v>0</x:v>
      </x:c>
      <x:c r="U874" s="6" t="str"/>
      <x:c r="V874" s="6" t="str">
        <x:v>0</x:v>
      </x:c>
      <x:c r="W874" s="6" t="str"/>
      <x:c r="X874" s="6" t="str">
        <x:v>0</x:v>
      </x:c>
      <x:c r="Y874" s="6" t="str"/>
      <x:c r="Z874" s="6" t="str">
        <x:v>0</x:v>
      </x:c>
      <x:c r="AA874" s="6" t="str"/>
      <x:c r="AB874" s="6" t="str">
        <x:v>0</x:v>
      </x:c>
      <x:c r="AC874" s="6" t="str">
        <x:v>2024-09</x:v>
      </x:c>
      <x:c r="AD874" s="9" t="str">
        <x:v>BNPB operational disaster search table</x:v>
      </x:c>
      <x:c r="AE874" s="9" t="str">
        <x:v>https://gis.bnpb.go.id/databencana/tabel/pencarian.php</x:v>
      </x:c>
      <x:c r="AF874" s="9" t="str">
        <x:v>operational_snapshot_annual_totals_may_differ</x:v>
      </x:c>
    </x:row>
    <x:row r="875" ht="18" customHeight="1">
      <x:c r="A875" s="6" t="str">
        <x:v>96</x:v>
      </x:c>
      <x:c r="B875" s="6" t="str">
        <x:v>PAPUA TENGAH</x:v>
      </x:c>
      <x:c r="C875" s="6" t="str">
        <x:v>2024</x:v>
      </x:c>
      <x:c r="D875" s="6" t="str">
        <x:v>10</x:v>
      </x:c>
      <x:c r="E875" s="6" t="str">
        <x:v>0</x:v>
      </x:c>
      <x:c r="F875" s="6" t="str">
        <x:v>0</x:v>
      </x:c>
      <x:c r="G875" s="6" t="str">
        <x:v>0</x:v>
      </x:c>
      <x:c r="H875" s="6" t="str">
        <x:v>0</x:v>
      </x:c>
      <x:c r="I875" s="6" t="str">
        <x:v>0</x:v>
      </x:c>
      <x:c r="J875" s="6" t="str">
        <x:v>0</x:v>
      </x:c>
      <x:c r="K875" s="6" t="str">
        <x:v>0</x:v>
      </x:c>
      <x:c r="L875" s="6" t="str">
        <x:v>0</x:v>
      </x:c>
      <x:c r="M875" s="6" t="str">
        <x:v>0</x:v>
      </x:c>
      <x:c r="N875" s="6" t="str">
        <x:v>0</x:v>
      </x:c>
      <x:c r="O875" s="6" t="str">
        <x:v>0</x:v>
      </x:c>
      <x:c r="P875" s="6" t="str">
        <x:v>0</x:v>
      </x:c>
      <x:c r="Q875" s="6" t="str"/>
      <x:c r="R875" s="6" t="str">
        <x:v>0</x:v>
      </x:c>
      <x:c r="S875" s="6" t="str"/>
      <x:c r="T875" s="6" t="str">
        <x:v>0</x:v>
      </x:c>
      <x:c r="U875" s="6" t="str"/>
      <x:c r="V875" s="6" t="str">
        <x:v>0</x:v>
      </x:c>
      <x:c r="W875" s="6" t="str"/>
      <x:c r="X875" s="6" t="str">
        <x:v>0</x:v>
      </x:c>
      <x:c r="Y875" s="6" t="str"/>
      <x:c r="Z875" s="6" t="str">
        <x:v>0</x:v>
      </x:c>
      <x:c r="AA875" s="6" t="str"/>
      <x:c r="AB875" s="6" t="str">
        <x:v>0</x:v>
      </x:c>
      <x:c r="AC875" s="6" t="str">
        <x:v>2024-10</x:v>
      </x:c>
      <x:c r="AD875" s="9" t="str">
        <x:v>BNPB operational disaster search table</x:v>
      </x:c>
      <x:c r="AE875" s="9" t="str">
        <x:v>https://gis.bnpb.go.id/databencana/tabel/pencarian.php</x:v>
      </x:c>
      <x:c r="AF875" s="9" t="str">
        <x:v>operational_snapshot_annual_totals_may_differ</x:v>
      </x:c>
    </x:row>
    <x:row r="876" ht="18" customHeight="1">
      <x:c r="A876" s="6" t="str">
        <x:v>96</x:v>
      </x:c>
      <x:c r="B876" s="6" t="str">
        <x:v>PAPUA TENGAH</x:v>
      </x:c>
      <x:c r="C876" s="6" t="str">
        <x:v>2024</x:v>
      </x:c>
      <x:c r="D876" s="6" t="str">
        <x:v>11</x:v>
      </x:c>
      <x:c r="E876" s="6" t="str">
        <x:v>0</x:v>
      </x:c>
      <x:c r="F876" s="6" t="str">
        <x:v>0</x:v>
      </x:c>
      <x:c r="G876" s="6" t="str">
        <x:v>0</x:v>
      </x:c>
      <x:c r="H876" s="6" t="str">
        <x:v>0</x:v>
      </x:c>
      <x:c r="I876" s="6" t="str">
        <x:v>0</x:v>
      </x:c>
      <x:c r="J876" s="6" t="str">
        <x:v>0</x:v>
      </x:c>
      <x:c r="K876" s="6" t="str">
        <x:v>0</x:v>
      </x:c>
      <x:c r="L876" s="6" t="str">
        <x:v>0</x:v>
      </x:c>
      <x:c r="M876" s="6" t="str">
        <x:v>0</x:v>
      </x:c>
      <x:c r="N876" s="6" t="str">
        <x:v>0</x:v>
      </x:c>
      <x:c r="O876" s="6" t="str">
        <x:v>0</x:v>
      </x:c>
      <x:c r="P876" s="6" t="str">
        <x:v>0</x:v>
      </x:c>
      <x:c r="Q876" s="6" t="str"/>
      <x:c r="R876" s="6" t="str">
        <x:v>0</x:v>
      </x:c>
      <x:c r="S876" s="6" t="str"/>
      <x:c r="T876" s="6" t="str">
        <x:v>0</x:v>
      </x:c>
      <x:c r="U876" s="6" t="str"/>
      <x:c r="V876" s="6" t="str">
        <x:v>0</x:v>
      </x:c>
      <x:c r="W876" s="6" t="str"/>
      <x:c r="X876" s="6" t="str">
        <x:v>0</x:v>
      </x:c>
      <x:c r="Y876" s="6" t="str"/>
      <x:c r="Z876" s="6" t="str">
        <x:v>0</x:v>
      </x:c>
      <x:c r="AA876" s="6" t="str"/>
      <x:c r="AB876" s="6" t="str">
        <x:v>0</x:v>
      </x:c>
      <x:c r="AC876" s="6" t="str">
        <x:v>2024-11</x:v>
      </x:c>
      <x:c r="AD876" s="9" t="str">
        <x:v>BNPB operational disaster search table</x:v>
      </x:c>
      <x:c r="AE876" s="9" t="str">
        <x:v>https://gis.bnpb.go.id/databencana/tabel/pencarian.php</x:v>
      </x:c>
      <x:c r="AF876" s="9" t="str">
        <x:v>operational_snapshot_annual_totals_may_differ</x:v>
      </x:c>
    </x:row>
    <x:row r="877" ht="18" customHeight="1">
      <x:c r="A877" s="6" t="str">
        <x:v>96</x:v>
      </x:c>
      <x:c r="B877" s="6" t="str">
        <x:v>PAPUA TENGAH</x:v>
      </x:c>
      <x:c r="C877" s="6" t="str">
        <x:v>2024</x:v>
      </x:c>
      <x:c r="D877" s="6" t="str">
        <x:v>12</x:v>
      </x:c>
      <x:c r="E877" s="6" t="str">
        <x:v>0</x:v>
      </x:c>
      <x:c r="F877" s="6" t="str">
        <x:v>0</x:v>
      </x:c>
      <x:c r="G877" s="6" t="str">
        <x:v>0</x:v>
      </x:c>
      <x:c r="H877" s="6" t="str">
        <x:v>0</x:v>
      </x:c>
      <x:c r="I877" s="6" t="str">
        <x:v>0</x:v>
      </x:c>
      <x:c r="J877" s="6" t="str">
        <x:v>0</x:v>
      </x:c>
      <x:c r="K877" s="6" t="str">
        <x:v>0</x:v>
      </x:c>
      <x:c r="L877" s="6" t="str">
        <x:v>0</x:v>
      </x:c>
      <x:c r="M877" s="6" t="str">
        <x:v>0</x:v>
      </x:c>
      <x:c r="N877" s="6" t="str">
        <x:v>0</x:v>
      </x:c>
      <x:c r="O877" s="6" t="str">
        <x:v>0</x:v>
      </x:c>
      <x:c r="P877" s="6" t="str">
        <x:v>0</x:v>
      </x:c>
      <x:c r="Q877" s="6" t="str"/>
      <x:c r="R877" s="6" t="str">
        <x:v>0</x:v>
      </x:c>
      <x:c r="S877" s="6" t="str"/>
      <x:c r="T877" s="6" t="str">
        <x:v>0</x:v>
      </x:c>
      <x:c r="U877" s="6" t="str"/>
      <x:c r="V877" s="6" t="str">
        <x:v>0</x:v>
      </x:c>
      <x:c r="W877" s="6" t="str"/>
      <x:c r="X877" s="6" t="str">
        <x:v>0</x:v>
      </x:c>
      <x:c r="Y877" s="6" t="str"/>
      <x:c r="Z877" s="6" t="str">
        <x:v>0</x:v>
      </x:c>
      <x:c r="AA877" s="6" t="str"/>
      <x:c r="AB877" s="6" t="str">
        <x:v>0</x:v>
      </x:c>
      <x:c r="AC877" s="6" t="str">
        <x:v>2024-12</x:v>
      </x:c>
      <x:c r="AD877" s="9" t="str">
        <x:v>BNPB operational disaster search table</x:v>
      </x:c>
      <x:c r="AE877" s="9" t="str">
        <x:v>https://gis.bnpb.go.id/databencana/tabel/pencarian.php</x:v>
      </x:c>
      <x:c r="AF877" s="9" t="str">
        <x:v>operational_snapshot_annual_totals_may_differ</x:v>
      </x:c>
    </x:row>
    <x:row r="878" ht="18" customHeight="1">
      <x:c r="A878" s="6" t="str">
        <x:v>96</x:v>
      </x:c>
      <x:c r="B878" s="6" t="str">
        <x:v>PAPUA TENGAH</x:v>
      </x:c>
      <x:c r="C878" s="6" t="str">
        <x:v>2025</x:v>
      </x:c>
      <x:c r="D878" s="6" t="str">
        <x:v>1</x:v>
      </x:c>
      <x:c r="E878" s="6" t="str">
        <x:v>0</x:v>
      </x:c>
      <x:c r="F878" s="6" t="str">
        <x:v>0</x:v>
      </x:c>
      <x:c r="G878" s="6" t="str">
        <x:v>0</x:v>
      </x:c>
      <x:c r="H878" s="6" t="str">
        <x:v>0</x:v>
      </x:c>
      <x:c r="I878" s="6" t="str">
        <x:v>0</x:v>
      </x:c>
      <x:c r="J878" s="6" t="str">
        <x:v>0</x:v>
      </x:c>
      <x:c r="K878" s="6" t="str">
        <x:v>0</x:v>
      </x:c>
      <x:c r="L878" s="6" t="str">
        <x:v>0</x:v>
      </x:c>
      <x:c r="M878" s="6" t="str">
        <x:v>0</x:v>
      </x:c>
      <x:c r="N878" s="6" t="str">
        <x:v>0</x:v>
      </x:c>
      <x:c r="O878" s="6" t="str">
        <x:v>0</x:v>
      </x:c>
      <x:c r="P878" s="6" t="str">
        <x:v>0</x:v>
      </x:c>
      <x:c r="Q878" s="6" t="str"/>
      <x:c r="R878" s="6" t="str">
        <x:v>0</x:v>
      </x:c>
      <x:c r="S878" s="6" t="str"/>
      <x:c r="T878" s="6" t="str">
        <x:v>0</x:v>
      </x:c>
      <x:c r="U878" s="6" t="str"/>
      <x:c r="V878" s="6" t="str">
        <x:v>0</x:v>
      </x:c>
      <x:c r="W878" s="6" t="str"/>
      <x:c r="X878" s="6" t="str">
        <x:v>0</x:v>
      </x:c>
      <x:c r="Y878" s="6" t="str"/>
      <x:c r="Z878" s="6" t="str">
        <x:v>0</x:v>
      </x:c>
      <x:c r="AA878" s="6" t="str"/>
      <x:c r="AB878" s="6" t="str">
        <x:v>0</x:v>
      </x:c>
      <x:c r="AC878" s="6" t="str">
        <x:v>2025-01</x:v>
      </x:c>
      <x:c r="AD878" s="9" t="str">
        <x:v>BNPB operational disaster search table</x:v>
      </x:c>
      <x:c r="AE878" s="9" t="str">
        <x:v>https://gis.bnpb.go.id/databencana/tabel/pencarian.php</x:v>
      </x:c>
      <x:c r="AF878" s="9" t="str">
        <x:v>operational_snapshot_annual_totals_may_differ</x:v>
      </x:c>
    </x:row>
    <x:row r="879" ht="18" customHeight="1">
      <x:c r="A879" s="6" t="str">
        <x:v>96</x:v>
      </x:c>
      <x:c r="B879" s="6" t="str">
        <x:v>PAPUA TENGAH</x:v>
      </x:c>
      <x:c r="C879" s="6" t="str">
        <x:v>2025</x:v>
      </x:c>
      <x:c r="D879" s="6" t="str">
        <x:v>2</x:v>
      </x:c>
      <x:c r="E879" s="6" t="str">
        <x:v>0</x:v>
      </x:c>
      <x:c r="F879" s="6" t="str">
        <x:v>0</x:v>
      </x:c>
      <x:c r="G879" s="6" t="str">
        <x:v>0</x:v>
      </x:c>
      <x:c r="H879" s="6" t="str">
        <x:v>0</x:v>
      </x:c>
      <x:c r="I879" s="6" t="str">
        <x:v>0</x:v>
      </x:c>
      <x:c r="J879" s="6" t="str">
        <x:v>0</x:v>
      </x:c>
      <x:c r="K879" s="6" t="str">
        <x:v>0</x:v>
      </x:c>
      <x:c r="L879" s="6" t="str">
        <x:v>0</x:v>
      </x:c>
      <x:c r="M879" s="6" t="str">
        <x:v>0</x:v>
      </x:c>
      <x:c r="N879" s="6" t="str">
        <x:v>0</x:v>
      </x:c>
      <x:c r="O879" s="6" t="str">
        <x:v>0</x:v>
      </x:c>
      <x:c r="P879" s="6" t="str">
        <x:v>0</x:v>
      </x:c>
      <x:c r="Q879" s="6" t="str"/>
      <x:c r="R879" s="6" t="str">
        <x:v>0</x:v>
      </x:c>
      <x:c r="S879" s="6" t="str"/>
      <x:c r="T879" s="6" t="str">
        <x:v>0</x:v>
      </x:c>
      <x:c r="U879" s="6" t="str"/>
      <x:c r="V879" s="6" t="str">
        <x:v>0</x:v>
      </x:c>
      <x:c r="W879" s="6" t="str"/>
      <x:c r="X879" s="6" t="str">
        <x:v>0</x:v>
      </x:c>
      <x:c r="Y879" s="6" t="str"/>
      <x:c r="Z879" s="6" t="str">
        <x:v>0</x:v>
      </x:c>
      <x:c r="AA879" s="6" t="str"/>
      <x:c r="AB879" s="6" t="str">
        <x:v>0</x:v>
      </x:c>
      <x:c r="AC879" s="6" t="str">
        <x:v>2025-02</x:v>
      </x:c>
      <x:c r="AD879" s="9" t="str">
        <x:v>BNPB operational disaster search table</x:v>
      </x:c>
      <x:c r="AE879" s="9" t="str">
        <x:v>https://gis.bnpb.go.id/databencana/tabel/pencarian.php</x:v>
      </x:c>
      <x:c r="AF879" s="9" t="str">
        <x:v>operational_snapshot_annual_totals_may_differ</x:v>
      </x:c>
    </x:row>
    <x:row r="880" ht="18" customHeight="1">
      <x:c r="A880" s="6" t="str">
        <x:v>96</x:v>
      </x:c>
      <x:c r="B880" s="6" t="str">
        <x:v>PAPUA TENGAH</x:v>
      </x:c>
      <x:c r="C880" s="6" t="str">
        <x:v>2025</x:v>
      </x:c>
      <x:c r="D880" s="6" t="str">
        <x:v>3</x:v>
      </x:c>
      <x:c r="E880" s="6" t="str">
        <x:v>0</x:v>
      </x:c>
      <x:c r="F880" s="6" t="str">
        <x:v>0</x:v>
      </x:c>
      <x:c r="G880" s="6" t="str">
        <x:v>0</x:v>
      </x:c>
      <x:c r="H880" s="6" t="str">
        <x:v>0</x:v>
      </x:c>
      <x:c r="I880" s="6" t="str">
        <x:v>0</x:v>
      </x:c>
      <x:c r="J880" s="6" t="str">
        <x:v>0</x:v>
      </x:c>
      <x:c r="K880" s="6" t="str">
        <x:v>0</x:v>
      </x:c>
      <x:c r="L880" s="6" t="str">
        <x:v>0</x:v>
      </x:c>
      <x:c r="M880" s="6" t="str">
        <x:v>0</x:v>
      </x:c>
      <x:c r="N880" s="6" t="str">
        <x:v>0</x:v>
      </x:c>
      <x:c r="O880" s="6" t="str">
        <x:v>0</x:v>
      </x:c>
      <x:c r="P880" s="6" t="str">
        <x:v>0</x:v>
      </x:c>
      <x:c r="Q880" s="6" t="str"/>
      <x:c r="R880" s="6" t="str">
        <x:v>0</x:v>
      </x:c>
      <x:c r="S880" s="6" t="str"/>
      <x:c r="T880" s="6" t="str">
        <x:v>0</x:v>
      </x:c>
      <x:c r="U880" s="6" t="str"/>
      <x:c r="V880" s="6" t="str">
        <x:v>0</x:v>
      </x:c>
      <x:c r="W880" s="6" t="str"/>
      <x:c r="X880" s="6" t="str">
        <x:v>0</x:v>
      </x:c>
      <x:c r="Y880" s="6" t="str"/>
      <x:c r="Z880" s="6" t="str">
        <x:v>0</x:v>
      </x:c>
      <x:c r="AA880" s="6" t="str"/>
      <x:c r="AB880" s="6" t="str">
        <x:v>0</x:v>
      </x:c>
      <x:c r="AC880" s="6" t="str">
        <x:v>2025-03</x:v>
      </x:c>
      <x:c r="AD880" s="9" t="str">
        <x:v>BNPB operational disaster search table</x:v>
      </x:c>
      <x:c r="AE880" s="9" t="str">
        <x:v>https://gis.bnpb.go.id/databencana/tabel/pencarian.php</x:v>
      </x:c>
      <x:c r="AF880" s="9" t="str">
        <x:v>operational_snapshot_annual_totals_may_differ</x:v>
      </x:c>
    </x:row>
    <x:row r="881" ht="18" customHeight="1">
      <x:c r="A881" s="6" t="str">
        <x:v>96</x:v>
      </x:c>
      <x:c r="B881" s="6" t="str">
        <x:v>PAPUA TENGAH</x:v>
      </x:c>
      <x:c r="C881" s="6" t="str">
        <x:v>2025</x:v>
      </x:c>
      <x:c r="D881" s="6" t="str">
        <x:v>4</x:v>
      </x:c>
      <x:c r="E881" s="6" t="str">
        <x:v>0</x:v>
      </x:c>
      <x:c r="F881" s="6" t="str">
        <x:v>0</x:v>
      </x:c>
      <x:c r="G881" s="6" t="str">
        <x:v>0</x:v>
      </x:c>
      <x:c r="H881" s="6" t="str">
        <x:v>0</x:v>
      </x:c>
      <x:c r="I881" s="6" t="str">
        <x:v>0</x:v>
      </x:c>
      <x:c r="J881" s="6" t="str">
        <x:v>0</x:v>
      </x:c>
      <x:c r="K881" s="6" t="str">
        <x:v>0</x:v>
      </x:c>
      <x:c r="L881" s="6" t="str">
        <x:v>0</x:v>
      </x:c>
      <x:c r="M881" s="6" t="str">
        <x:v>0</x:v>
      </x:c>
      <x:c r="N881" s="6" t="str">
        <x:v>0</x:v>
      </x:c>
      <x:c r="O881" s="6" t="str">
        <x:v>0</x:v>
      </x:c>
      <x:c r="P881" s="6" t="str">
        <x:v>0</x:v>
      </x:c>
      <x:c r="Q881" s="6" t="str"/>
      <x:c r="R881" s="6" t="str">
        <x:v>0</x:v>
      </x:c>
      <x:c r="S881" s="6" t="str"/>
      <x:c r="T881" s="6" t="str">
        <x:v>0</x:v>
      </x:c>
      <x:c r="U881" s="6" t="str"/>
      <x:c r="V881" s="6" t="str">
        <x:v>0</x:v>
      </x:c>
      <x:c r="W881" s="6" t="str"/>
      <x:c r="X881" s="6" t="str">
        <x:v>0</x:v>
      </x:c>
      <x:c r="Y881" s="6" t="str"/>
      <x:c r="Z881" s="6" t="str">
        <x:v>0</x:v>
      </x:c>
      <x:c r="AA881" s="6" t="str"/>
      <x:c r="AB881" s="6" t="str">
        <x:v>0</x:v>
      </x:c>
      <x:c r="AC881" s="6" t="str">
        <x:v>2025-04</x:v>
      </x:c>
      <x:c r="AD881" s="9" t="str">
        <x:v>BNPB operational disaster search table</x:v>
      </x:c>
      <x:c r="AE881" s="9" t="str">
        <x:v>https://gis.bnpb.go.id/databencana/tabel/pencarian.php</x:v>
      </x:c>
      <x:c r="AF881" s="9" t="str">
        <x:v>operational_snapshot_annual_totals_may_differ</x:v>
      </x:c>
    </x:row>
    <x:row r="882" ht="18" customHeight="1">
      <x:c r="A882" s="6" t="str">
        <x:v>96</x:v>
      </x:c>
      <x:c r="B882" s="6" t="str">
        <x:v>PAPUA TENGAH</x:v>
      </x:c>
      <x:c r="C882" s="6" t="str">
        <x:v>2025</x:v>
      </x:c>
      <x:c r="D882" s="6" t="str">
        <x:v>5</x:v>
      </x:c>
      <x:c r="E882" s="6" t="str">
        <x:v>0</x:v>
      </x:c>
      <x:c r="F882" s="6" t="str">
        <x:v>0</x:v>
      </x:c>
      <x:c r="G882" s="6" t="str">
        <x:v>0</x:v>
      </x:c>
      <x:c r="H882" s="6" t="str">
        <x:v>0</x:v>
      </x:c>
      <x:c r="I882" s="6" t="str">
        <x:v>0</x:v>
      </x:c>
      <x:c r="J882" s="6" t="str">
        <x:v>0</x:v>
      </x:c>
      <x:c r="K882" s="6" t="str">
        <x:v>0</x:v>
      </x:c>
      <x:c r="L882" s="6" t="str">
        <x:v>0</x:v>
      </x:c>
      <x:c r="M882" s="6" t="str">
        <x:v>0</x:v>
      </x:c>
      <x:c r="N882" s="6" t="str">
        <x:v>0</x:v>
      </x:c>
      <x:c r="O882" s="6" t="str">
        <x:v>0</x:v>
      </x:c>
      <x:c r="P882" s="6" t="str">
        <x:v>0</x:v>
      </x:c>
      <x:c r="Q882" s="6" t="str"/>
      <x:c r="R882" s="6" t="str">
        <x:v>0</x:v>
      </x:c>
      <x:c r="S882" s="6" t="str"/>
      <x:c r="T882" s="6" t="str">
        <x:v>0</x:v>
      </x:c>
      <x:c r="U882" s="6" t="str"/>
      <x:c r="V882" s="6" t="str">
        <x:v>0</x:v>
      </x:c>
      <x:c r="W882" s="6" t="str"/>
      <x:c r="X882" s="6" t="str">
        <x:v>0</x:v>
      </x:c>
      <x:c r="Y882" s="6" t="str"/>
      <x:c r="Z882" s="6" t="str">
        <x:v>0</x:v>
      </x:c>
      <x:c r="AA882" s="6" t="str"/>
      <x:c r="AB882" s="6" t="str">
        <x:v>0</x:v>
      </x:c>
      <x:c r="AC882" s="6" t="str">
        <x:v>2025-05</x:v>
      </x:c>
      <x:c r="AD882" s="9" t="str">
        <x:v>BNPB operational disaster search table</x:v>
      </x:c>
      <x:c r="AE882" s="9" t="str">
        <x:v>https://gis.bnpb.go.id/databencana/tabel/pencarian.php</x:v>
      </x:c>
      <x:c r="AF882" s="9" t="str">
        <x:v>operational_snapshot_annual_totals_may_differ</x:v>
      </x:c>
    </x:row>
    <x:row r="883" ht="18" customHeight="1">
      <x:c r="A883" s="6" t="str">
        <x:v>96</x:v>
      </x:c>
      <x:c r="B883" s="6" t="str">
        <x:v>PAPUA TENGAH</x:v>
      </x:c>
      <x:c r="C883" s="6" t="str">
        <x:v>2025</x:v>
      </x:c>
      <x:c r="D883" s="6" t="str">
        <x:v>6</x:v>
      </x:c>
      <x:c r="E883" s="6" t="str">
        <x:v>0</x:v>
      </x:c>
      <x:c r="F883" s="6" t="str">
        <x:v>0</x:v>
      </x:c>
      <x:c r="G883" s="6" t="str">
        <x:v>0</x:v>
      </x:c>
      <x:c r="H883" s="6" t="str">
        <x:v>0</x:v>
      </x:c>
      <x:c r="I883" s="6" t="str">
        <x:v>0</x:v>
      </x:c>
      <x:c r="J883" s="6" t="str">
        <x:v>0</x:v>
      </x:c>
      <x:c r="K883" s="6" t="str">
        <x:v>0</x:v>
      </x:c>
      <x:c r="L883" s="6" t="str">
        <x:v>0</x:v>
      </x:c>
      <x:c r="M883" s="6" t="str">
        <x:v>0</x:v>
      </x:c>
      <x:c r="N883" s="6" t="str">
        <x:v>0</x:v>
      </x:c>
      <x:c r="O883" s="6" t="str">
        <x:v>0</x:v>
      </x:c>
      <x:c r="P883" s="6" t="str">
        <x:v>0</x:v>
      </x:c>
      <x:c r="Q883" s="6" t="str"/>
      <x:c r="R883" s="6" t="str">
        <x:v>0</x:v>
      </x:c>
      <x:c r="S883" s="6" t="str"/>
      <x:c r="T883" s="6" t="str">
        <x:v>0</x:v>
      </x:c>
      <x:c r="U883" s="6" t="str"/>
      <x:c r="V883" s="6" t="str">
        <x:v>0</x:v>
      </x:c>
      <x:c r="W883" s="6" t="str"/>
      <x:c r="X883" s="6" t="str">
        <x:v>0</x:v>
      </x:c>
      <x:c r="Y883" s="6" t="str"/>
      <x:c r="Z883" s="6" t="str">
        <x:v>0</x:v>
      </x:c>
      <x:c r="AA883" s="6" t="str"/>
      <x:c r="AB883" s="6" t="str">
        <x:v>0</x:v>
      </x:c>
      <x:c r="AC883" s="6" t="str">
        <x:v>2025-06</x:v>
      </x:c>
      <x:c r="AD883" s="9" t="str">
        <x:v>BNPB operational disaster search table</x:v>
      </x:c>
      <x:c r="AE883" s="9" t="str">
        <x:v>https://gis.bnpb.go.id/databencana/tabel/pencarian.php</x:v>
      </x:c>
      <x:c r="AF883" s="9" t="str">
        <x:v>operational_snapshot_annual_totals_may_differ</x:v>
      </x:c>
    </x:row>
    <x:row r="884" ht="18" customHeight="1">
      <x:c r="A884" s="6" t="str">
        <x:v>96</x:v>
      </x:c>
      <x:c r="B884" s="6" t="str">
        <x:v>PAPUA TENGAH</x:v>
      </x:c>
      <x:c r="C884" s="6" t="str">
        <x:v>2025</x:v>
      </x:c>
      <x:c r="D884" s="6" t="str">
        <x:v>7</x:v>
      </x:c>
      <x:c r="E884" s="6" t="str">
        <x:v>0</x:v>
      </x:c>
      <x:c r="F884" s="6" t="str">
        <x:v>0</x:v>
      </x:c>
      <x:c r="G884" s="6" t="str">
        <x:v>0</x:v>
      </x:c>
      <x:c r="H884" s="6" t="str">
        <x:v>0</x:v>
      </x:c>
      <x:c r="I884" s="6" t="str">
        <x:v>0</x:v>
      </x:c>
      <x:c r="J884" s="6" t="str">
        <x:v>0</x:v>
      </x:c>
      <x:c r="K884" s="6" t="str">
        <x:v>0</x:v>
      </x:c>
      <x:c r="L884" s="6" t="str">
        <x:v>0</x:v>
      </x:c>
      <x:c r="M884" s="6" t="str">
        <x:v>0</x:v>
      </x:c>
      <x:c r="N884" s="6" t="str">
        <x:v>0</x:v>
      </x:c>
      <x:c r="O884" s="6" t="str">
        <x:v>0</x:v>
      </x:c>
      <x:c r="P884" s="6" t="str">
        <x:v>0</x:v>
      </x:c>
      <x:c r="Q884" s="6" t="str"/>
      <x:c r="R884" s="6" t="str">
        <x:v>0</x:v>
      </x:c>
      <x:c r="S884" s="6" t="str"/>
      <x:c r="T884" s="6" t="str">
        <x:v>0</x:v>
      </x:c>
      <x:c r="U884" s="6" t="str"/>
      <x:c r="V884" s="6" t="str">
        <x:v>0</x:v>
      </x:c>
      <x:c r="W884" s="6" t="str"/>
      <x:c r="X884" s="6" t="str">
        <x:v>0</x:v>
      </x:c>
      <x:c r="Y884" s="6" t="str"/>
      <x:c r="Z884" s="6" t="str">
        <x:v>0</x:v>
      </x:c>
      <x:c r="AA884" s="6" t="str"/>
      <x:c r="AB884" s="6" t="str">
        <x:v>0</x:v>
      </x:c>
      <x:c r="AC884" s="6" t="str">
        <x:v>2025-07</x:v>
      </x:c>
      <x:c r="AD884" s="9" t="str">
        <x:v>BNPB operational disaster search table</x:v>
      </x:c>
      <x:c r="AE884" s="9" t="str">
        <x:v>https://gis.bnpb.go.id/databencana/tabel/pencarian.php</x:v>
      </x:c>
      <x:c r="AF884" s="9" t="str">
        <x:v>operational_snapshot_annual_totals_may_differ</x:v>
      </x:c>
    </x:row>
    <x:row r="885" ht="18" customHeight="1">
      <x:c r="A885" s="6" t="str">
        <x:v>96</x:v>
      </x:c>
      <x:c r="B885" s="6" t="str">
        <x:v>PAPUA TENGAH</x:v>
      </x:c>
      <x:c r="C885" s="6" t="str">
        <x:v>2025</x:v>
      </x:c>
      <x:c r="D885" s="6" t="str">
        <x:v>8</x:v>
      </x:c>
      <x:c r="E885" s="6" t="str">
        <x:v>0</x:v>
      </x:c>
      <x:c r="F885" s="6" t="str">
        <x:v>0</x:v>
      </x:c>
      <x:c r="G885" s="6" t="str">
        <x:v>0</x:v>
      </x:c>
      <x:c r="H885" s="6" t="str">
        <x:v>0</x:v>
      </x:c>
      <x:c r="I885" s="6" t="str">
        <x:v>0</x:v>
      </x:c>
      <x:c r="J885" s="6" t="str">
        <x:v>0</x:v>
      </x:c>
      <x:c r="K885" s="6" t="str">
        <x:v>0</x:v>
      </x:c>
      <x:c r="L885" s="6" t="str">
        <x:v>0</x:v>
      </x:c>
      <x:c r="M885" s="6" t="str">
        <x:v>0</x:v>
      </x:c>
      <x:c r="N885" s="6" t="str">
        <x:v>0</x:v>
      </x:c>
      <x:c r="O885" s="6" t="str">
        <x:v>0</x:v>
      </x:c>
      <x:c r="P885" s="6" t="str">
        <x:v>0</x:v>
      </x:c>
      <x:c r="Q885" s="6" t="str"/>
      <x:c r="R885" s="6" t="str">
        <x:v>0</x:v>
      </x:c>
      <x:c r="S885" s="6" t="str"/>
      <x:c r="T885" s="6" t="str">
        <x:v>0</x:v>
      </x:c>
      <x:c r="U885" s="6" t="str"/>
      <x:c r="V885" s="6" t="str">
        <x:v>0</x:v>
      </x:c>
      <x:c r="W885" s="6" t="str"/>
      <x:c r="X885" s="6" t="str">
        <x:v>0</x:v>
      </x:c>
      <x:c r="Y885" s="6" t="str"/>
      <x:c r="Z885" s="6" t="str">
        <x:v>0</x:v>
      </x:c>
      <x:c r="AA885" s="6" t="str"/>
      <x:c r="AB885" s="6" t="str">
        <x:v>0</x:v>
      </x:c>
      <x:c r="AC885" s="6" t="str">
        <x:v>2025-08</x:v>
      </x:c>
      <x:c r="AD885" s="9" t="str">
        <x:v>BNPB operational disaster search table</x:v>
      </x:c>
      <x:c r="AE885" s="9" t="str">
        <x:v>https://gis.bnpb.go.id/databencana/tabel/pencarian.php</x:v>
      </x:c>
      <x:c r="AF885" s="9" t="str">
        <x:v>operational_snapshot_annual_totals_may_differ</x:v>
      </x:c>
    </x:row>
    <x:row r="886" ht="18" customHeight="1">
      <x:c r="A886" s="6" t="str">
        <x:v>96</x:v>
      </x:c>
      <x:c r="B886" s="6" t="str">
        <x:v>PAPUA TENGAH</x:v>
      </x:c>
      <x:c r="C886" s="6" t="str">
        <x:v>2025</x:v>
      </x:c>
      <x:c r="D886" s="6" t="str">
        <x:v>9</x:v>
      </x:c>
      <x:c r="E886" s="6" t="str">
        <x:v>3</x:v>
      </x:c>
      <x:c r="F886" s="6" t="str">
        <x:v>3</x:v>
      </x:c>
      <x:c r="G886" s="6" t="str">
        <x:v>0</x:v>
      </x:c>
      <x:c r="H886" s="6" t="str">
        <x:v>2</x:v>
      </x:c>
      <x:c r="I886" s="6" t="str">
        <x:v>0</x:v>
      </x:c>
      <x:c r="J886" s="6" t="str">
        <x:v>0</x:v>
      </x:c>
      <x:c r="K886" s="6" t="str">
        <x:v>0</x:v>
      </x:c>
      <x:c r="L886" s="6" t="str">
        <x:v>0</x:v>
      </x:c>
      <x:c r="M886" s="6" t="str">
        <x:v>1</x:v>
      </x:c>
      <x:c r="N886" s="6" t="str">
        <x:v>0</x:v>
      </x:c>
      <x:c r="O886" s="6" t="str">
        <x:v>0</x:v>
      </x:c>
      <x:c r="P886" s="6" t="str">
        <x:v>2</x:v>
      </x:c>
      <x:c r="Q886" s="6" t="str">
        <x:v>6.0</x:v>
      </x:c>
      <x:c r="R886" s="6" t="str">
        <x:v>2</x:v>
      </x:c>
      <x:c r="S886" s="6" t="str"/>
      <x:c r="T886" s="6" t="str">
        <x:v>0</x:v>
      </x:c>
      <x:c r="U886" s="6" t="str">
        <x:v>11.0</x:v>
      </x:c>
      <x:c r="V886" s="6" t="str">
        <x:v>2</x:v>
      </x:c>
      <x:c r="W886" s="6" t="str">
        <x:v>29.0</x:v>
      </x:c>
      <x:c r="X886" s="6" t="str">
        <x:v>3</x:v>
      </x:c>
      <x:c r="Y886" s="6" t="str"/>
      <x:c r="Z886" s="6" t="str">
        <x:v>0</x:v>
      </x:c>
      <x:c r="AA886" s="6" t="str">
        <x:v>37.0</x:v>
      </x:c>
      <x:c r="AB886" s="6" t="str">
        <x:v>3</x:v>
      </x:c>
      <x:c r="AC886" s="6" t="str">
        <x:v>2025-09</x:v>
      </x:c>
      <x:c r="AD886" s="9" t="str">
        <x:v>BNPB operational disaster search table</x:v>
      </x:c>
      <x:c r="AE886" s="9" t="str">
        <x:v>https://gis.bnpb.go.id/databencana/tabel/pencarian.php</x:v>
      </x:c>
      <x:c r="AF886" s="9" t="str">
        <x:v>operational_snapshot_annual_totals_may_differ</x:v>
      </x:c>
    </x:row>
    <x:row r="887" ht="18" customHeight="1">
      <x:c r="A887" s="6" t="str">
        <x:v>96</x:v>
      </x:c>
      <x:c r="B887" s="6" t="str">
        <x:v>PAPUA TENGAH</x:v>
      </x:c>
      <x:c r="C887" s="6" t="str">
        <x:v>2025</x:v>
      </x:c>
      <x:c r="D887" s="6" t="str">
        <x:v>10</x:v>
      </x:c>
      <x:c r="E887" s="6" t="str">
        <x:v>1</x:v>
      </x:c>
      <x:c r="F887" s="6" t="str">
        <x:v>1</x:v>
      </x:c>
      <x:c r="G887" s="6" t="str">
        <x:v>1</x:v>
      </x:c>
      <x:c r="H887" s="6" t="str">
        <x:v>0</x:v>
      </x:c>
      <x:c r="I887" s="6" t="str">
        <x:v>0</x:v>
      </x:c>
      <x:c r="J887" s="6" t="str">
        <x:v>0</x:v>
      </x:c>
      <x:c r="K887" s="6" t="str">
        <x:v>0</x:v>
      </x:c>
      <x:c r="L887" s="6" t="str">
        <x:v>0</x:v>
      </x:c>
      <x:c r="M887" s="6" t="str">
        <x:v>0</x:v>
      </x:c>
      <x:c r="N887" s="6" t="str">
        <x:v>0</x:v>
      </x:c>
      <x:c r="O887" s="6" t="str">
        <x:v>0</x:v>
      </x:c>
      <x:c r="P887" s="6" t="str">
        <x:v>1</x:v>
      </x:c>
      <x:c r="Q887" s="6" t="str"/>
      <x:c r="R887" s="6" t="str">
        <x:v>0</x:v>
      </x:c>
      <x:c r="S887" s="6" t="str"/>
      <x:c r="T887" s="6" t="str">
        <x:v>0</x:v>
      </x:c>
      <x:c r="U887" s="6" t="str"/>
      <x:c r="V887" s="6" t="str">
        <x:v>0</x:v>
      </x:c>
      <x:c r="W887" s="6" t="str">
        <x:v>5.0</x:v>
      </x:c>
      <x:c r="X887" s="6" t="str">
        <x:v>1</x:v>
      </x:c>
      <x:c r="Y887" s="6" t="str">
        <x:v>380.0</x:v>
      </x:c>
      <x:c r="Z887" s="6" t="str">
        <x:v>1</x:v>
      </x:c>
      <x:c r="AA887" s="6" t="str">
        <x:v>0.0</x:v>
      </x:c>
      <x:c r="AB887" s="6" t="str">
        <x:v>1</x:v>
      </x:c>
      <x:c r="AC887" s="6" t="str">
        <x:v>2025-10</x:v>
      </x:c>
      <x:c r="AD887" s="9" t="str">
        <x:v>BNPB operational disaster search table</x:v>
      </x:c>
      <x:c r="AE887" s="9" t="str">
        <x:v>https://gis.bnpb.go.id/databencana/tabel/pencarian.php</x:v>
      </x:c>
      <x:c r="AF887" s="9" t="str">
        <x:v>operational_snapshot_annual_totals_may_differ</x:v>
      </x:c>
    </x:row>
    <x:row r="888" ht="18" customHeight="1">
      <x:c r="A888" s="6" t="str">
        <x:v>96</x:v>
      </x:c>
      <x:c r="B888" s="6" t="str">
        <x:v>PAPUA TENGAH</x:v>
      </x:c>
      <x:c r="C888" s="6" t="str">
        <x:v>2025</x:v>
      </x:c>
      <x:c r="D888" s="6" t="str">
        <x:v>11</x:v>
      </x:c>
      <x:c r="E888" s="6" t="str">
        <x:v>0</x:v>
      </x:c>
      <x:c r="F888" s="6" t="str">
        <x:v>0</x:v>
      </x:c>
      <x:c r="G888" s="6" t="str">
        <x:v>0</x:v>
      </x:c>
      <x:c r="H888" s="6" t="str">
        <x:v>0</x:v>
      </x:c>
      <x:c r="I888" s="6" t="str">
        <x:v>0</x:v>
      </x:c>
      <x:c r="J888" s="6" t="str">
        <x:v>0</x:v>
      </x:c>
      <x:c r="K888" s="6" t="str">
        <x:v>0</x:v>
      </x:c>
      <x:c r="L888" s="6" t="str">
        <x:v>0</x:v>
      </x:c>
      <x:c r="M888" s="6" t="str">
        <x:v>0</x:v>
      </x:c>
      <x:c r="N888" s="6" t="str">
        <x:v>0</x:v>
      </x:c>
      <x:c r="O888" s="6" t="str">
        <x:v>0</x:v>
      </x:c>
      <x:c r="P888" s="6" t="str">
        <x:v>0</x:v>
      </x:c>
      <x:c r="Q888" s="6" t="str"/>
      <x:c r="R888" s="6" t="str">
        <x:v>0</x:v>
      </x:c>
      <x:c r="S888" s="6" t="str"/>
      <x:c r="T888" s="6" t="str">
        <x:v>0</x:v>
      </x:c>
      <x:c r="U888" s="6" t="str"/>
      <x:c r="V888" s="6" t="str">
        <x:v>0</x:v>
      </x:c>
      <x:c r="W888" s="6" t="str"/>
      <x:c r="X888" s="6" t="str">
        <x:v>0</x:v>
      </x:c>
      <x:c r="Y888" s="6" t="str"/>
      <x:c r="Z888" s="6" t="str">
        <x:v>0</x:v>
      </x:c>
      <x:c r="AA888" s="6" t="str"/>
      <x:c r="AB888" s="6" t="str">
        <x:v>0</x:v>
      </x:c>
      <x:c r="AC888" s="6" t="str">
        <x:v>2025-11</x:v>
      </x:c>
      <x:c r="AD888" s="9" t="str">
        <x:v>BNPB operational disaster search table</x:v>
      </x:c>
      <x:c r="AE888" s="9" t="str">
        <x:v>https://gis.bnpb.go.id/databencana/tabel/pencarian.php</x:v>
      </x:c>
      <x:c r="AF888" s="9" t="str">
        <x:v>operational_snapshot_annual_totals_may_differ</x:v>
      </x:c>
    </x:row>
    <x:row r="889" ht="18" customHeight="1">
      <x:c r="A889" s="6" t="str">
        <x:v>96</x:v>
      </x:c>
      <x:c r="B889" s="6" t="str">
        <x:v>PAPUA TENGAH</x:v>
      </x:c>
      <x:c r="C889" s="6" t="str">
        <x:v>2025</x:v>
      </x:c>
      <x:c r="D889" s="6" t="str">
        <x:v>12</x:v>
      </x:c>
      <x:c r="E889" s="6" t="str">
        <x:v>0</x:v>
      </x:c>
      <x:c r="F889" s="6" t="str">
        <x:v>0</x:v>
      </x:c>
      <x:c r="G889" s="6" t="str">
        <x:v>0</x:v>
      </x:c>
      <x:c r="H889" s="6" t="str">
        <x:v>0</x:v>
      </x:c>
      <x:c r="I889" s="6" t="str">
        <x:v>0</x:v>
      </x:c>
      <x:c r="J889" s="6" t="str">
        <x:v>0</x:v>
      </x:c>
      <x:c r="K889" s="6" t="str">
        <x:v>0</x:v>
      </x:c>
      <x:c r="L889" s="6" t="str">
        <x:v>0</x:v>
      </x:c>
      <x:c r="M889" s="6" t="str">
        <x:v>0</x:v>
      </x:c>
      <x:c r="N889" s="6" t="str">
        <x:v>0</x:v>
      </x:c>
      <x:c r="O889" s="6" t="str">
        <x:v>0</x:v>
      </x:c>
      <x:c r="P889" s="6" t="str">
        <x:v>0</x:v>
      </x:c>
      <x:c r="Q889" s="6" t="str"/>
      <x:c r="R889" s="6" t="str">
        <x:v>0</x:v>
      </x:c>
      <x:c r="S889" s="6" t="str"/>
      <x:c r="T889" s="6" t="str">
        <x:v>0</x:v>
      </x:c>
      <x:c r="U889" s="6" t="str"/>
      <x:c r="V889" s="6" t="str">
        <x:v>0</x:v>
      </x:c>
      <x:c r="W889" s="6" t="str"/>
      <x:c r="X889" s="6" t="str">
        <x:v>0</x:v>
      </x:c>
      <x:c r="Y889" s="6" t="str"/>
      <x:c r="Z889" s="6" t="str">
        <x:v>0</x:v>
      </x:c>
      <x:c r="AA889" s="6" t="str"/>
      <x:c r="AB889" s="6" t="str">
        <x:v>0</x:v>
      </x:c>
      <x:c r="AC889" s="6" t="str">
        <x:v>2025-12</x:v>
      </x:c>
      <x:c r="AD889" s="9" t="str">
        <x:v>BNPB operational disaster search table</x:v>
      </x:c>
      <x:c r="AE889" s="9" t="str">
        <x:v>https://gis.bnpb.go.id/databencana/tabel/pencarian.php</x:v>
      </x:c>
      <x:c r="AF889" s="9" t="str">
        <x:v>operational_snapshot_annual_totals_may_differ</x:v>
      </x:c>
    </x:row>
    <x:row r="890" ht="18" customHeight="1">
      <x:c r="A890" s="6" t="str">
        <x:v>97</x:v>
      </x:c>
      <x:c r="B890" s="6" t="str">
        <x:v>PAPUA PEGUNUNGAN</x:v>
      </x:c>
      <x:c r="C890" s="6" t="str">
        <x:v>2024</x:v>
      </x:c>
      <x:c r="D890" s="6" t="str">
        <x:v>1</x:v>
      </x:c>
      <x:c r="E890" s="6" t="str">
        <x:v>0</x:v>
      </x:c>
      <x:c r="F890" s="6" t="str">
        <x:v>0</x:v>
      </x:c>
      <x:c r="G890" s="6" t="str">
        <x:v>0</x:v>
      </x:c>
      <x:c r="H890" s="6" t="str">
        <x:v>0</x:v>
      </x:c>
      <x:c r="I890" s="6" t="str">
        <x:v>0</x:v>
      </x:c>
      <x:c r="J890" s="6" t="str">
        <x:v>0</x:v>
      </x:c>
      <x:c r="K890" s="6" t="str">
        <x:v>0</x:v>
      </x:c>
      <x:c r="L890" s="6" t="str">
        <x:v>0</x:v>
      </x:c>
      <x:c r="M890" s="6" t="str">
        <x:v>0</x:v>
      </x:c>
      <x:c r="N890" s="6" t="str">
        <x:v>0</x:v>
      </x:c>
      <x:c r="O890" s="6" t="str">
        <x:v>0</x:v>
      </x:c>
      <x:c r="P890" s="6" t="str">
        <x:v>0</x:v>
      </x:c>
      <x:c r="Q890" s="6" t="str"/>
      <x:c r="R890" s="6" t="str">
        <x:v>0</x:v>
      </x:c>
      <x:c r="S890" s="6" t="str"/>
      <x:c r="T890" s="6" t="str">
        <x:v>0</x:v>
      </x:c>
      <x:c r="U890" s="6" t="str"/>
      <x:c r="V890" s="6" t="str">
        <x:v>0</x:v>
      </x:c>
      <x:c r="W890" s="6" t="str"/>
      <x:c r="X890" s="6" t="str">
        <x:v>0</x:v>
      </x:c>
      <x:c r="Y890" s="6" t="str"/>
      <x:c r="Z890" s="6" t="str">
        <x:v>0</x:v>
      </x:c>
      <x:c r="AA890" s="6" t="str"/>
      <x:c r="AB890" s="6" t="str">
        <x:v>0</x:v>
      </x:c>
      <x:c r="AC890" s="6" t="str">
        <x:v>2024-01</x:v>
      </x:c>
      <x:c r="AD890" s="9" t="str">
        <x:v>BNPB operational disaster search table</x:v>
      </x:c>
      <x:c r="AE890" s="9" t="str">
        <x:v>https://gis.bnpb.go.id/databencana/tabel/pencarian.php</x:v>
      </x:c>
      <x:c r="AF890" s="9" t="str">
        <x:v>operational_snapshot_annual_totals_may_differ</x:v>
      </x:c>
    </x:row>
    <x:row r="891" ht="18" customHeight="1">
      <x:c r="A891" s="6" t="str">
        <x:v>97</x:v>
      </x:c>
      <x:c r="B891" s="6" t="str">
        <x:v>PAPUA PEGUNUNGAN</x:v>
      </x:c>
      <x:c r="C891" s="6" t="str">
        <x:v>2024</x:v>
      </x:c>
      <x:c r="D891" s="6" t="str">
        <x:v>2</x:v>
      </x:c>
      <x:c r="E891" s="6" t="str">
        <x:v>0</x:v>
      </x:c>
      <x:c r="F891" s="6" t="str">
        <x:v>0</x:v>
      </x:c>
      <x:c r="G891" s="6" t="str">
        <x:v>0</x:v>
      </x:c>
      <x:c r="H891" s="6" t="str">
        <x:v>0</x:v>
      </x:c>
      <x:c r="I891" s="6" t="str">
        <x:v>0</x:v>
      </x:c>
      <x:c r="J891" s="6" t="str">
        <x:v>0</x:v>
      </x:c>
      <x:c r="K891" s="6" t="str">
        <x:v>0</x:v>
      </x:c>
      <x:c r="L891" s="6" t="str">
        <x:v>0</x:v>
      </x:c>
      <x:c r="M891" s="6" t="str">
        <x:v>0</x:v>
      </x:c>
      <x:c r="N891" s="6" t="str">
        <x:v>0</x:v>
      </x:c>
      <x:c r="O891" s="6" t="str">
        <x:v>0</x:v>
      </x:c>
      <x:c r="P891" s="6" t="str">
        <x:v>0</x:v>
      </x:c>
      <x:c r="Q891" s="6" t="str"/>
      <x:c r="R891" s="6" t="str">
        <x:v>0</x:v>
      </x:c>
      <x:c r="S891" s="6" t="str"/>
      <x:c r="T891" s="6" t="str">
        <x:v>0</x:v>
      </x:c>
      <x:c r="U891" s="6" t="str"/>
      <x:c r="V891" s="6" t="str">
        <x:v>0</x:v>
      </x:c>
      <x:c r="W891" s="6" t="str"/>
      <x:c r="X891" s="6" t="str">
        <x:v>0</x:v>
      </x:c>
      <x:c r="Y891" s="6" t="str"/>
      <x:c r="Z891" s="6" t="str">
        <x:v>0</x:v>
      </x:c>
      <x:c r="AA891" s="6" t="str"/>
      <x:c r="AB891" s="6" t="str">
        <x:v>0</x:v>
      </x:c>
      <x:c r="AC891" s="6" t="str">
        <x:v>2024-02</x:v>
      </x:c>
      <x:c r="AD891" s="9" t="str">
        <x:v>BNPB operational disaster search table</x:v>
      </x:c>
      <x:c r="AE891" s="9" t="str">
        <x:v>https://gis.bnpb.go.id/databencana/tabel/pencarian.php</x:v>
      </x:c>
      <x:c r="AF891" s="9" t="str">
        <x:v>operational_snapshot_annual_totals_may_differ</x:v>
      </x:c>
    </x:row>
    <x:row r="892" ht="18" customHeight="1">
      <x:c r="A892" s="6" t="str">
        <x:v>97</x:v>
      </x:c>
      <x:c r="B892" s="6" t="str">
        <x:v>PAPUA PEGUNUNGAN</x:v>
      </x:c>
      <x:c r="C892" s="6" t="str">
        <x:v>2024</x:v>
      </x:c>
      <x:c r="D892" s="6" t="str">
        <x:v>3</x:v>
      </x:c>
      <x:c r="E892" s="6" t="str">
        <x:v>1</x:v>
      </x:c>
      <x:c r="F892" s="6" t="str">
        <x:v>1</x:v>
      </x:c>
      <x:c r="G892" s="6" t="str">
        <x:v>0</x:v>
      </x:c>
      <x:c r="H892" s="6" t="str">
        <x:v>1</x:v>
      </x:c>
      <x:c r="I892" s="6" t="str">
        <x:v>0</x:v>
      </x:c>
      <x:c r="J892" s="6" t="str">
        <x:v>0</x:v>
      </x:c>
      <x:c r="K892" s="6" t="str">
        <x:v>0</x:v>
      </x:c>
      <x:c r="L892" s="6" t="str">
        <x:v>0</x:v>
      </x:c>
      <x:c r="M892" s="6" t="str">
        <x:v>0</x:v>
      </x:c>
      <x:c r="N892" s="6" t="str">
        <x:v>0</x:v>
      </x:c>
      <x:c r="O892" s="6" t="str">
        <x:v>0</x:v>
      </x:c>
      <x:c r="P892" s="6" t="str">
        <x:v>1</x:v>
      </x:c>
      <x:c r="Q892" s="6" t="str">
        <x:v>0.0</x:v>
      </x:c>
      <x:c r="R892" s="6" t="str">
        <x:v>1</x:v>
      </x:c>
      <x:c r="S892" s="6" t="str">
        <x:v>0.0</x:v>
      </x:c>
      <x:c r="T892" s="6" t="str">
        <x:v>1</x:v>
      </x:c>
      <x:c r="U892" s="6" t="str">
        <x:v>0.0</x:v>
      </x:c>
      <x:c r="V892" s="6" t="str">
        <x:v>1</x:v>
      </x:c>
      <x:c r="W892" s="6" t="str">
        <x:v>0.0</x:v>
      </x:c>
      <x:c r="X892" s="6" t="str">
        <x:v>1</x:v>
      </x:c>
      <x:c r="Y892" s="6" t="str"/>
      <x:c r="Z892" s="6" t="str">
        <x:v>0</x:v>
      </x:c>
      <x:c r="AA892" s="6" t="str">
        <x:v>0.0</x:v>
      </x:c>
      <x:c r="AB892" s="6" t="str">
        <x:v>1</x:v>
      </x:c>
      <x:c r="AC892" s="6" t="str">
        <x:v>2024-03</x:v>
      </x:c>
      <x:c r="AD892" s="9" t="str">
        <x:v>BNPB operational disaster search table</x:v>
      </x:c>
      <x:c r="AE892" s="9" t="str">
        <x:v>https://gis.bnpb.go.id/databencana/tabel/pencarian.php</x:v>
      </x:c>
      <x:c r="AF892" s="9" t="str">
        <x:v>operational_snapshot_annual_totals_may_differ</x:v>
      </x:c>
    </x:row>
    <x:row r="893" ht="18" customHeight="1">
      <x:c r="A893" s="6" t="str">
        <x:v>97</x:v>
      </x:c>
      <x:c r="B893" s="6" t="str">
        <x:v>PAPUA PEGUNUNGAN</x:v>
      </x:c>
      <x:c r="C893" s="6" t="str">
        <x:v>2024</x:v>
      </x:c>
      <x:c r="D893" s="6" t="str">
        <x:v>4</x:v>
      </x:c>
      <x:c r="E893" s="6" t="str">
        <x:v>1</x:v>
      </x:c>
      <x:c r="F893" s="6" t="str">
        <x:v>1</x:v>
      </x:c>
      <x:c r="G893" s="6" t="str">
        <x:v>0</x:v>
      </x:c>
      <x:c r="H893" s="6" t="str">
        <x:v>1</x:v>
      </x:c>
      <x:c r="I893" s="6" t="str">
        <x:v>0</x:v>
      </x:c>
      <x:c r="J893" s="6" t="str">
        <x:v>0</x:v>
      </x:c>
      <x:c r="K893" s="6" t="str">
        <x:v>0</x:v>
      </x:c>
      <x:c r="L893" s="6" t="str">
        <x:v>0</x:v>
      </x:c>
      <x:c r="M893" s="6" t="str">
        <x:v>0</x:v>
      </x:c>
      <x:c r="N893" s="6" t="str">
        <x:v>0</x:v>
      </x:c>
      <x:c r="O893" s="6" t="str">
        <x:v>0</x:v>
      </x:c>
      <x:c r="P893" s="6" t="str">
        <x:v>1</x:v>
      </x:c>
      <x:c r="Q893" s="6" t="str">
        <x:v>0.0</x:v>
      </x:c>
      <x:c r="R893" s="6" t="str">
        <x:v>1</x:v>
      </x:c>
      <x:c r="S893" s="6" t="str">
        <x:v>0.0</x:v>
      </x:c>
      <x:c r="T893" s="6" t="str">
        <x:v>1</x:v>
      </x:c>
      <x:c r="U893" s="6" t="str">
        <x:v>0.0</x:v>
      </x:c>
      <x:c r="V893" s="6" t="str">
        <x:v>1</x:v>
      </x:c>
      <x:c r="W893" s="6" t="str">
        <x:v>1133.0</x:v>
      </x:c>
      <x:c r="X893" s="6" t="str">
        <x:v>1</x:v>
      </x:c>
      <x:c r="Y893" s="6" t="str"/>
      <x:c r="Z893" s="6" t="str">
        <x:v>0</x:v>
      </x:c>
      <x:c r="AA893" s="6" t="str">
        <x:v>0.0</x:v>
      </x:c>
      <x:c r="AB893" s="6" t="str">
        <x:v>1</x:v>
      </x:c>
      <x:c r="AC893" s="6" t="str">
        <x:v>2024-04</x:v>
      </x:c>
      <x:c r="AD893" s="9" t="str">
        <x:v>BNPB operational disaster search table</x:v>
      </x:c>
      <x:c r="AE893" s="9" t="str">
        <x:v>https://gis.bnpb.go.id/databencana/tabel/pencarian.php</x:v>
      </x:c>
      <x:c r="AF893" s="9" t="str">
        <x:v>operational_snapshot_annual_totals_may_differ</x:v>
      </x:c>
    </x:row>
    <x:row r="894" ht="18" customHeight="1">
      <x:c r="A894" s="6" t="str">
        <x:v>97</x:v>
      </x:c>
      <x:c r="B894" s="6" t="str">
        <x:v>PAPUA PEGUNUNGAN</x:v>
      </x:c>
      <x:c r="C894" s="6" t="str">
        <x:v>2024</x:v>
      </x:c>
      <x:c r="D894" s="6" t="str">
        <x:v>5</x:v>
      </x:c>
      <x:c r="E894" s="6" t="str">
        <x:v>1</x:v>
      </x:c>
      <x:c r="F894" s="6" t="str">
        <x:v>1</x:v>
      </x:c>
      <x:c r="G894" s="6" t="str">
        <x:v>0</x:v>
      </x:c>
      <x:c r="H894" s="6" t="str">
        <x:v>1</x:v>
      </x:c>
      <x:c r="I894" s="6" t="str">
        <x:v>0</x:v>
      </x:c>
      <x:c r="J894" s="6" t="str">
        <x:v>0</x:v>
      </x:c>
      <x:c r="K894" s="6" t="str">
        <x:v>0</x:v>
      </x:c>
      <x:c r="L894" s="6" t="str">
        <x:v>0</x:v>
      </x:c>
      <x:c r="M894" s="6" t="str">
        <x:v>0</x:v>
      </x:c>
      <x:c r="N894" s="6" t="str">
        <x:v>0</x:v>
      </x:c>
      <x:c r="O894" s="6" t="str">
        <x:v>0</x:v>
      </x:c>
      <x:c r="P894" s="6" t="str">
        <x:v>1</x:v>
      </x:c>
      <x:c r="Q894" s="6" t="str">
        <x:v>0.0</x:v>
      </x:c>
      <x:c r="R894" s="6" t="str">
        <x:v>1</x:v>
      </x:c>
      <x:c r="S894" s="6" t="str">
        <x:v>0.0</x:v>
      </x:c>
      <x:c r="T894" s="6" t="str">
        <x:v>1</x:v>
      </x:c>
      <x:c r="U894" s="6" t="str">
        <x:v>0.0</x:v>
      </x:c>
      <x:c r="V894" s="6" t="str">
        <x:v>1</x:v>
      </x:c>
      <x:c r="W894" s="6" t="str">
        <x:v>57.0</x:v>
      </x:c>
      <x:c r="X894" s="6" t="str">
        <x:v>1</x:v>
      </x:c>
      <x:c r="Y894" s="6" t="str"/>
      <x:c r="Z894" s="6" t="str">
        <x:v>0</x:v>
      </x:c>
      <x:c r="AA894" s="6" t="str">
        <x:v>29.0</x:v>
      </x:c>
      <x:c r="AB894" s="6" t="str">
        <x:v>1</x:v>
      </x:c>
      <x:c r="AC894" s="6" t="str">
        <x:v>2024-05</x:v>
      </x:c>
      <x:c r="AD894" s="9" t="str">
        <x:v>BNPB operational disaster search table</x:v>
      </x:c>
      <x:c r="AE894" s="9" t="str">
        <x:v>https://gis.bnpb.go.id/databencana/tabel/pencarian.php</x:v>
      </x:c>
      <x:c r="AF894" s="9" t="str">
        <x:v>operational_snapshot_annual_totals_may_differ</x:v>
      </x:c>
    </x:row>
    <x:row r="895" ht="18" customHeight="1">
      <x:c r="A895" s="6" t="str">
        <x:v>97</x:v>
      </x:c>
      <x:c r="B895" s="6" t="str">
        <x:v>PAPUA PEGUNUNGAN</x:v>
      </x:c>
      <x:c r="C895" s="6" t="str">
        <x:v>2024</x:v>
      </x:c>
      <x:c r="D895" s="6" t="str">
        <x:v>6</x:v>
      </x:c>
      <x:c r="E895" s="6" t="str">
        <x:v>0</x:v>
      </x:c>
      <x:c r="F895" s="6" t="str">
        <x:v>0</x:v>
      </x:c>
      <x:c r="G895" s="6" t="str">
        <x:v>0</x:v>
      </x:c>
      <x:c r="H895" s="6" t="str">
        <x:v>0</x:v>
      </x:c>
      <x:c r="I895" s="6" t="str">
        <x:v>0</x:v>
      </x:c>
      <x:c r="J895" s="6" t="str">
        <x:v>0</x:v>
      </x:c>
      <x:c r="K895" s="6" t="str">
        <x:v>0</x:v>
      </x:c>
      <x:c r="L895" s="6" t="str">
        <x:v>0</x:v>
      </x:c>
      <x:c r="M895" s="6" t="str">
        <x:v>0</x:v>
      </x:c>
      <x:c r="N895" s="6" t="str">
        <x:v>0</x:v>
      </x:c>
      <x:c r="O895" s="6" t="str">
        <x:v>0</x:v>
      </x:c>
      <x:c r="P895" s="6" t="str">
        <x:v>0</x:v>
      </x:c>
      <x:c r="Q895" s="6" t="str"/>
      <x:c r="R895" s="6" t="str">
        <x:v>0</x:v>
      </x:c>
      <x:c r="S895" s="6" t="str"/>
      <x:c r="T895" s="6" t="str">
        <x:v>0</x:v>
      </x:c>
      <x:c r="U895" s="6" t="str"/>
      <x:c r="V895" s="6" t="str">
        <x:v>0</x:v>
      </x:c>
      <x:c r="W895" s="6" t="str"/>
      <x:c r="X895" s="6" t="str">
        <x:v>0</x:v>
      </x:c>
      <x:c r="Y895" s="6" t="str"/>
      <x:c r="Z895" s="6" t="str">
        <x:v>0</x:v>
      </x:c>
      <x:c r="AA895" s="6" t="str"/>
      <x:c r="AB895" s="6" t="str">
        <x:v>0</x:v>
      </x:c>
      <x:c r="AC895" s="6" t="str">
        <x:v>2024-06</x:v>
      </x:c>
      <x:c r="AD895" s="9" t="str">
        <x:v>BNPB operational disaster search table</x:v>
      </x:c>
      <x:c r="AE895" s="9" t="str">
        <x:v>https://gis.bnpb.go.id/databencana/tabel/pencarian.php</x:v>
      </x:c>
      <x:c r="AF895" s="9" t="str">
        <x:v>operational_snapshot_annual_totals_may_differ</x:v>
      </x:c>
    </x:row>
    <x:row r="896" ht="18" customHeight="1">
      <x:c r="A896" s="6" t="str">
        <x:v>97</x:v>
      </x:c>
      <x:c r="B896" s="6" t="str">
        <x:v>PAPUA PEGUNUNGAN</x:v>
      </x:c>
      <x:c r="C896" s="6" t="str">
        <x:v>2024</x:v>
      </x:c>
      <x:c r="D896" s="6" t="str">
        <x:v>7</x:v>
      </x:c>
      <x:c r="E896" s="6" t="str">
        <x:v>0</x:v>
      </x:c>
      <x:c r="F896" s="6" t="str">
        <x:v>0</x:v>
      </x:c>
      <x:c r="G896" s="6" t="str">
        <x:v>0</x:v>
      </x:c>
      <x:c r="H896" s="6" t="str">
        <x:v>0</x:v>
      </x:c>
      <x:c r="I896" s="6" t="str">
        <x:v>0</x:v>
      </x:c>
      <x:c r="J896" s="6" t="str">
        <x:v>0</x:v>
      </x:c>
      <x:c r="K896" s="6" t="str">
        <x:v>0</x:v>
      </x:c>
      <x:c r="L896" s="6" t="str">
        <x:v>0</x:v>
      </x:c>
      <x:c r="M896" s="6" t="str">
        <x:v>0</x:v>
      </x:c>
      <x:c r="N896" s="6" t="str">
        <x:v>0</x:v>
      </x:c>
      <x:c r="O896" s="6" t="str">
        <x:v>0</x:v>
      </x:c>
      <x:c r="P896" s="6" t="str">
        <x:v>0</x:v>
      </x:c>
      <x:c r="Q896" s="6" t="str"/>
      <x:c r="R896" s="6" t="str">
        <x:v>0</x:v>
      </x:c>
      <x:c r="S896" s="6" t="str"/>
      <x:c r="T896" s="6" t="str">
        <x:v>0</x:v>
      </x:c>
      <x:c r="U896" s="6" t="str"/>
      <x:c r="V896" s="6" t="str">
        <x:v>0</x:v>
      </x:c>
      <x:c r="W896" s="6" t="str"/>
      <x:c r="X896" s="6" t="str">
        <x:v>0</x:v>
      </x:c>
      <x:c r="Y896" s="6" t="str"/>
      <x:c r="Z896" s="6" t="str">
        <x:v>0</x:v>
      </x:c>
      <x:c r="AA896" s="6" t="str"/>
      <x:c r="AB896" s="6" t="str">
        <x:v>0</x:v>
      </x:c>
      <x:c r="AC896" s="6" t="str">
        <x:v>2024-07</x:v>
      </x:c>
      <x:c r="AD896" s="9" t="str">
        <x:v>BNPB operational disaster search table</x:v>
      </x:c>
      <x:c r="AE896" s="9" t="str">
        <x:v>https://gis.bnpb.go.id/databencana/tabel/pencarian.php</x:v>
      </x:c>
      <x:c r="AF896" s="9" t="str">
        <x:v>operational_snapshot_annual_totals_may_differ</x:v>
      </x:c>
    </x:row>
    <x:row r="897" ht="18" customHeight="1">
      <x:c r="A897" s="6" t="str">
        <x:v>97</x:v>
      </x:c>
      <x:c r="B897" s="6" t="str">
        <x:v>PAPUA PEGUNUNGAN</x:v>
      </x:c>
      <x:c r="C897" s="6" t="str">
        <x:v>2024</x:v>
      </x:c>
      <x:c r="D897" s="6" t="str">
        <x:v>8</x:v>
      </x:c>
      <x:c r="E897" s="6" t="str">
        <x:v>0</x:v>
      </x:c>
      <x:c r="F897" s="6" t="str">
        <x:v>0</x:v>
      </x:c>
      <x:c r="G897" s="6" t="str">
        <x:v>0</x:v>
      </x:c>
      <x:c r="H897" s="6" t="str">
        <x:v>0</x:v>
      </x:c>
      <x:c r="I897" s="6" t="str">
        <x:v>0</x:v>
      </x:c>
      <x:c r="J897" s="6" t="str">
        <x:v>0</x:v>
      </x:c>
      <x:c r="K897" s="6" t="str">
        <x:v>0</x:v>
      </x:c>
      <x:c r="L897" s="6" t="str">
        <x:v>0</x:v>
      </x:c>
      <x:c r="M897" s="6" t="str">
        <x:v>0</x:v>
      </x:c>
      <x:c r="N897" s="6" t="str">
        <x:v>0</x:v>
      </x:c>
      <x:c r="O897" s="6" t="str">
        <x:v>0</x:v>
      </x:c>
      <x:c r="P897" s="6" t="str">
        <x:v>0</x:v>
      </x:c>
      <x:c r="Q897" s="6" t="str"/>
      <x:c r="R897" s="6" t="str">
        <x:v>0</x:v>
      </x:c>
      <x:c r="S897" s="6" t="str"/>
      <x:c r="T897" s="6" t="str">
        <x:v>0</x:v>
      </x:c>
      <x:c r="U897" s="6" t="str"/>
      <x:c r="V897" s="6" t="str">
        <x:v>0</x:v>
      </x:c>
      <x:c r="W897" s="6" t="str"/>
      <x:c r="X897" s="6" t="str">
        <x:v>0</x:v>
      </x:c>
      <x:c r="Y897" s="6" t="str"/>
      <x:c r="Z897" s="6" t="str">
        <x:v>0</x:v>
      </x:c>
      <x:c r="AA897" s="6" t="str"/>
      <x:c r="AB897" s="6" t="str">
        <x:v>0</x:v>
      </x:c>
      <x:c r="AC897" s="6" t="str">
        <x:v>2024-08</x:v>
      </x:c>
      <x:c r="AD897" s="9" t="str">
        <x:v>BNPB operational disaster search table</x:v>
      </x:c>
      <x:c r="AE897" s="9" t="str">
        <x:v>https://gis.bnpb.go.id/databencana/tabel/pencarian.php</x:v>
      </x:c>
      <x:c r="AF897" s="9" t="str">
        <x:v>operational_snapshot_annual_totals_may_differ</x:v>
      </x:c>
    </x:row>
    <x:row r="898" ht="18" customHeight="1">
      <x:c r="A898" s="6" t="str">
        <x:v>97</x:v>
      </x:c>
      <x:c r="B898" s="6" t="str">
        <x:v>PAPUA PEGUNUNGAN</x:v>
      </x:c>
      <x:c r="C898" s="6" t="str">
        <x:v>2024</x:v>
      </x:c>
      <x:c r="D898" s="6" t="str">
        <x:v>9</x:v>
      </x:c>
      <x:c r="E898" s="6" t="str">
        <x:v>0</x:v>
      </x:c>
      <x:c r="F898" s="6" t="str">
        <x:v>0</x:v>
      </x:c>
      <x:c r="G898" s="6" t="str">
        <x:v>0</x:v>
      </x:c>
      <x:c r="H898" s="6" t="str">
        <x:v>0</x:v>
      </x:c>
      <x:c r="I898" s="6" t="str">
        <x:v>0</x:v>
      </x:c>
      <x:c r="J898" s="6" t="str">
        <x:v>0</x:v>
      </x:c>
      <x:c r="K898" s="6" t="str">
        <x:v>0</x:v>
      </x:c>
      <x:c r="L898" s="6" t="str">
        <x:v>0</x:v>
      </x:c>
      <x:c r="M898" s="6" t="str">
        <x:v>0</x:v>
      </x:c>
      <x:c r="N898" s="6" t="str">
        <x:v>0</x:v>
      </x:c>
      <x:c r="O898" s="6" t="str">
        <x:v>0</x:v>
      </x:c>
      <x:c r="P898" s="6" t="str">
        <x:v>0</x:v>
      </x:c>
      <x:c r="Q898" s="6" t="str"/>
      <x:c r="R898" s="6" t="str">
        <x:v>0</x:v>
      </x:c>
      <x:c r="S898" s="6" t="str"/>
      <x:c r="T898" s="6" t="str">
        <x:v>0</x:v>
      </x:c>
      <x:c r="U898" s="6" t="str"/>
      <x:c r="V898" s="6" t="str">
        <x:v>0</x:v>
      </x:c>
      <x:c r="W898" s="6" t="str"/>
      <x:c r="X898" s="6" t="str">
        <x:v>0</x:v>
      </x:c>
      <x:c r="Y898" s="6" t="str"/>
      <x:c r="Z898" s="6" t="str">
        <x:v>0</x:v>
      </x:c>
      <x:c r="AA898" s="6" t="str"/>
      <x:c r="AB898" s="6" t="str">
        <x:v>0</x:v>
      </x:c>
      <x:c r="AC898" s="6" t="str">
        <x:v>2024-09</x:v>
      </x:c>
      <x:c r="AD898" s="9" t="str">
        <x:v>BNPB operational disaster search table</x:v>
      </x:c>
      <x:c r="AE898" s="9" t="str">
        <x:v>https://gis.bnpb.go.id/databencana/tabel/pencarian.php</x:v>
      </x:c>
      <x:c r="AF898" s="9" t="str">
        <x:v>operational_snapshot_annual_totals_may_differ</x:v>
      </x:c>
    </x:row>
    <x:row r="899" ht="18" customHeight="1">
      <x:c r="A899" s="6" t="str">
        <x:v>97</x:v>
      </x:c>
      <x:c r="B899" s="6" t="str">
        <x:v>PAPUA PEGUNUNGAN</x:v>
      </x:c>
      <x:c r="C899" s="6" t="str">
        <x:v>2024</x:v>
      </x:c>
      <x:c r="D899" s="6" t="str">
        <x:v>10</x:v>
      </x:c>
      <x:c r="E899" s="6" t="str">
        <x:v>0</x:v>
      </x:c>
      <x:c r="F899" s="6" t="str">
        <x:v>0</x:v>
      </x:c>
      <x:c r="G899" s="6" t="str">
        <x:v>0</x:v>
      </x:c>
      <x:c r="H899" s="6" t="str">
        <x:v>0</x:v>
      </x:c>
      <x:c r="I899" s="6" t="str">
        <x:v>0</x:v>
      </x:c>
      <x:c r="J899" s="6" t="str">
        <x:v>0</x:v>
      </x:c>
      <x:c r="K899" s="6" t="str">
        <x:v>0</x:v>
      </x:c>
      <x:c r="L899" s="6" t="str">
        <x:v>0</x:v>
      </x:c>
      <x:c r="M899" s="6" t="str">
        <x:v>0</x:v>
      </x:c>
      <x:c r="N899" s="6" t="str">
        <x:v>0</x:v>
      </x:c>
      <x:c r="O899" s="6" t="str">
        <x:v>0</x:v>
      </x:c>
      <x:c r="P899" s="6" t="str">
        <x:v>0</x:v>
      </x:c>
      <x:c r="Q899" s="6" t="str"/>
      <x:c r="R899" s="6" t="str">
        <x:v>0</x:v>
      </x:c>
      <x:c r="S899" s="6" t="str"/>
      <x:c r="T899" s="6" t="str">
        <x:v>0</x:v>
      </x:c>
      <x:c r="U899" s="6" t="str"/>
      <x:c r="V899" s="6" t="str">
        <x:v>0</x:v>
      </x:c>
      <x:c r="W899" s="6" t="str"/>
      <x:c r="X899" s="6" t="str">
        <x:v>0</x:v>
      </x:c>
      <x:c r="Y899" s="6" t="str"/>
      <x:c r="Z899" s="6" t="str">
        <x:v>0</x:v>
      </x:c>
      <x:c r="AA899" s="6" t="str"/>
      <x:c r="AB899" s="6" t="str">
        <x:v>0</x:v>
      </x:c>
      <x:c r="AC899" s="6" t="str">
        <x:v>2024-10</x:v>
      </x:c>
      <x:c r="AD899" s="9" t="str">
        <x:v>BNPB operational disaster search table</x:v>
      </x:c>
      <x:c r="AE899" s="9" t="str">
        <x:v>https://gis.bnpb.go.id/databencana/tabel/pencarian.php</x:v>
      </x:c>
      <x:c r="AF899" s="9" t="str">
        <x:v>operational_snapshot_annual_totals_may_differ</x:v>
      </x:c>
    </x:row>
    <x:row r="900" ht="18" customHeight="1">
      <x:c r="A900" s="6" t="str">
        <x:v>97</x:v>
      </x:c>
      <x:c r="B900" s="6" t="str">
        <x:v>PAPUA PEGUNUNGAN</x:v>
      </x:c>
      <x:c r="C900" s="6" t="str">
        <x:v>2024</x:v>
      </x:c>
      <x:c r="D900" s="6" t="str">
        <x:v>11</x:v>
      </x:c>
      <x:c r="E900" s="6" t="str">
        <x:v>0</x:v>
      </x:c>
      <x:c r="F900" s="6" t="str">
        <x:v>0</x:v>
      </x:c>
      <x:c r="G900" s="6" t="str">
        <x:v>0</x:v>
      </x:c>
      <x:c r="H900" s="6" t="str">
        <x:v>0</x:v>
      </x:c>
      <x:c r="I900" s="6" t="str">
        <x:v>0</x:v>
      </x:c>
      <x:c r="J900" s="6" t="str">
        <x:v>0</x:v>
      </x:c>
      <x:c r="K900" s="6" t="str">
        <x:v>0</x:v>
      </x:c>
      <x:c r="L900" s="6" t="str">
        <x:v>0</x:v>
      </x:c>
      <x:c r="M900" s="6" t="str">
        <x:v>0</x:v>
      </x:c>
      <x:c r="N900" s="6" t="str">
        <x:v>0</x:v>
      </x:c>
      <x:c r="O900" s="6" t="str">
        <x:v>0</x:v>
      </x:c>
      <x:c r="P900" s="6" t="str">
        <x:v>0</x:v>
      </x:c>
      <x:c r="Q900" s="6" t="str"/>
      <x:c r="R900" s="6" t="str">
        <x:v>0</x:v>
      </x:c>
      <x:c r="S900" s="6" t="str"/>
      <x:c r="T900" s="6" t="str">
        <x:v>0</x:v>
      </x:c>
      <x:c r="U900" s="6" t="str"/>
      <x:c r="V900" s="6" t="str">
        <x:v>0</x:v>
      </x:c>
      <x:c r="W900" s="6" t="str"/>
      <x:c r="X900" s="6" t="str">
        <x:v>0</x:v>
      </x:c>
      <x:c r="Y900" s="6" t="str"/>
      <x:c r="Z900" s="6" t="str">
        <x:v>0</x:v>
      </x:c>
      <x:c r="AA900" s="6" t="str"/>
      <x:c r="AB900" s="6" t="str">
        <x:v>0</x:v>
      </x:c>
      <x:c r="AC900" s="6" t="str">
        <x:v>2024-11</x:v>
      </x:c>
      <x:c r="AD900" s="9" t="str">
        <x:v>BNPB operational disaster search table</x:v>
      </x:c>
      <x:c r="AE900" s="9" t="str">
        <x:v>https://gis.bnpb.go.id/databencana/tabel/pencarian.php</x:v>
      </x:c>
      <x:c r="AF900" s="9" t="str">
        <x:v>operational_snapshot_annual_totals_may_differ</x:v>
      </x:c>
    </x:row>
    <x:row r="901" ht="18" customHeight="1">
      <x:c r="A901" s="6" t="str">
        <x:v>97</x:v>
      </x:c>
      <x:c r="B901" s="6" t="str">
        <x:v>PAPUA PEGUNUNGAN</x:v>
      </x:c>
      <x:c r="C901" s="6" t="str">
        <x:v>2024</x:v>
      </x:c>
      <x:c r="D901" s="6" t="str">
        <x:v>12</x:v>
      </x:c>
      <x:c r="E901" s="6" t="str">
        <x:v>0</x:v>
      </x:c>
      <x:c r="F901" s="6" t="str">
        <x:v>0</x:v>
      </x:c>
      <x:c r="G901" s="6" t="str">
        <x:v>0</x:v>
      </x:c>
      <x:c r="H901" s="6" t="str">
        <x:v>0</x:v>
      </x:c>
      <x:c r="I901" s="6" t="str">
        <x:v>0</x:v>
      </x:c>
      <x:c r="J901" s="6" t="str">
        <x:v>0</x:v>
      </x:c>
      <x:c r="K901" s="6" t="str">
        <x:v>0</x:v>
      </x:c>
      <x:c r="L901" s="6" t="str">
        <x:v>0</x:v>
      </x:c>
      <x:c r="M901" s="6" t="str">
        <x:v>0</x:v>
      </x:c>
      <x:c r="N901" s="6" t="str">
        <x:v>0</x:v>
      </x:c>
      <x:c r="O901" s="6" t="str">
        <x:v>0</x:v>
      </x:c>
      <x:c r="P901" s="6" t="str">
        <x:v>0</x:v>
      </x:c>
      <x:c r="Q901" s="6" t="str"/>
      <x:c r="R901" s="6" t="str">
        <x:v>0</x:v>
      </x:c>
      <x:c r="S901" s="6" t="str"/>
      <x:c r="T901" s="6" t="str">
        <x:v>0</x:v>
      </x:c>
      <x:c r="U901" s="6" t="str"/>
      <x:c r="V901" s="6" t="str">
        <x:v>0</x:v>
      </x:c>
      <x:c r="W901" s="6" t="str"/>
      <x:c r="X901" s="6" t="str">
        <x:v>0</x:v>
      </x:c>
      <x:c r="Y901" s="6" t="str"/>
      <x:c r="Z901" s="6" t="str">
        <x:v>0</x:v>
      </x:c>
      <x:c r="AA901" s="6" t="str"/>
      <x:c r="AB901" s="6" t="str">
        <x:v>0</x:v>
      </x:c>
      <x:c r="AC901" s="6" t="str">
        <x:v>2024-12</x:v>
      </x:c>
      <x:c r="AD901" s="9" t="str">
        <x:v>BNPB operational disaster search table</x:v>
      </x:c>
      <x:c r="AE901" s="9" t="str">
        <x:v>https://gis.bnpb.go.id/databencana/tabel/pencarian.php</x:v>
      </x:c>
      <x:c r="AF901" s="9" t="str">
        <x:v>operational_snapshot_annual_totals_may_differ</x:v>
      </x:c>
    </x:row>
    <x:row r="902" ht="18" customHeight="1">
      <x:c r="A902" s="6" t="str">
        <x:v>97</x:v>
      </x:c>
      <x:c r="B902" s="6" t="str">
        <x:v>PAPUA PEGUNUNGAN</x:v>
      </x:c>
      <x:c r="C902" s="6" t="str">
        <x:v>2025</x:v>
      </x:c>
      <x:c r="D902" s="6" t="str">
        <x:v>1</x:v>
      </x:c>
      <x:c r="E902" s="6" t="str">
        <x:v>0</x:v>
      </x:c>
      <x:c r="F902" s="6" t="str">
        <x:v>0</x:v>
      </x:c>
      <x:c r="G902" s="6" t="str">
        <x:v>0</x:v>
      </x:c>
      <x:c r="H902" s="6" t="str">
        <x:v>0</x:v>
      </x:c>
      <x:c r="I902" s="6" t="str">
        <x:v>0</x:v>
      </x:c>
      <x:c r="J902" s="6" t="str">
        <x:v>0</x:v>
      </x:c>
      <x:c r="K902" s="6" t="str">
        <x:v>0</x:v>
      </x:c>
      <x:c r="L902" s="6" t="str">
        <x:v>0</x:v>
      </x:c>
      <x:c r="M902" s="6" t="str">
        <x:v>0</x:v>
      </x:c>
      <x:c r="N902" s="6" t="str">
        <x:v>0</x:v>
      </x:c>
      <x:c r="O902" s="6" t="str">
        <x:v>0</x:v>
      </x:c>
      <x:c r="P902" s="6" t="str">
        <x:v>0</x:v>
      </x:c>
      <x:c r="Q902" s="6" t="str"/>
      <x:c r="R902" s="6" t="str">
        <x:v>0</x:v>
      </x:c>
      <x:c r="S902" s="6" t="str"/>
      <x:c r="T902" s="6" t="str">
        <x:v>0</x:v>
      </x:c>
      <x:c r="U902" s="6" t="str"/>
      <x:c r="V902" s="6" t="str">
        <x:v>0</x:v>
      </x:c>
      <x:c r="W902" s="6" t="str"/>
      <x:c r="X902" s="6" t="str">
        <x:v>0</x:v>
      </x:c>
      <x:c r="Y902" s="6" t="str"/>
      <x:c r="Z902" s="6" t="str">
        <x:v>0</x:v>
      </x:c>
      <x:c r="AA902" s="6" t="str"/>
      <x:c r="AB902" s="6" t="str">
        <x:v>0</x:v>
      </x:c>
      <x:c r="AC902" s="6" t="str">
        <x:v>2025-01</x:v>
      </x:c>
      <x:c r="AD902" s="9" t="str">
        <x:v>BNPB operational disaster search table</x:v>
      </x:c>
      <x:c r="AE902" s="9" t="str">
        <x:v>https://gis.bnpb.go.id/databencana/tabel/pencarian.php</x:v>
      </x:c>
      <x:c r="AF902" s="9" t="str">
        <x:v>operational_snapshot_annual_totals_may_differ</x:v>
      </x:c>
    </x:row>
    <x:row r="903" ht="18" customHeight="1">
      <x:c r="A903" s="6" t="str">
        <x:v>97</x:v>
      </x:c>
      <x:c r="B903" s="6" t="str">
        <x:v>PAPUA PEGUNUNGAN</x:v>
      </x:c>
      <x:c r="C903" s="6" t="str">
        <x:v>2025</x:v>
      </x:c>
      <x:c r="D903" s="6" t="str">
        <x:v>2</x:v>
      </x:c>
      <x:c r="E903" s="6" t="str">
        <x:v>0</x:v>
      </x:c>
      <x:c r="F903" s="6" t="str">
        <x:v>0</x:v>
      </x:c>
      <x:c r="G903" s="6" t="str">
        <x:v>0</x:v>
      </x:c>
      <x:c r="H903" s="6" t="str">
        <x:v>0</x:v>
      </x:c>
      <x:c r="I903" s="6" t="str">
        <x:v>0</x:v>
      </x:c>
      <x:c r="J903" s="6" t="str">
        <x:v>0</x:v>
      </x:c>
      <x:c r="K903" s="6" t="str">
        <x:v>0</x:v>
      </x:c>
      <x:c r="L903" s="6" t="str">
        <x:v>0</x:v>
      </x:c>
      <x:c r="M903" s="6" t="str">
        <x:v>0</x:v>
      </x:c>
      <x:c r="N903" s="6" t="str">
        <x:v>0</x:v>
      </x:c>
      <x:c r="O903" s="6" t="str">
        <x:v>0</x:v>
      </x:c>
      <x:c r="P903" s="6" t="str">
        <x:v>0</x:v>
      </x:c>
      <x:c r="Q903" s="6" t="str"/>
      <x:c r="R903" s="6" t="str">
        <x:v>0</x:v>
      </x:c>
      <x:c r="S903" s="6" t="str"/>
      <x:c r="T903" s="6" t="str">
        <x:v>0</x:v>
      </x:c>
      <x:c r="U903" s="6" t="str"/>
      <x:c r="V903" s="6" t="str">
        <x:v>0</x:v>
      </x:c>
      <x:c r="W903" s="6" t="str"/>
      <x:c r="X903" s="6" t="str">
        <x:v>0</x:v>
      </x:c>
      <x:c r="Y903" s="6" t="str"/>
      <x:c r="Z903" s="6" t="str">
        <x:v>0</x:v>
      </x:c>
      <x:c r="AA903" s="6" t="str"/>
      <x:c r="AB903" s="6" t="str">
        <x:v>0</x:v>
      </x:c>
      <x:c r="AC903" s="6" t="str">
        <x:v>2025-02</x:v>
      </x:c>
      <x:c r="AD903" s="9" t="str">
        <x:v>BNPB operational disaster search table</x:v>
      </x:c>
      <x:c r="AE903" s="9" t="str">
        <x:v>https://gis.bnpb.go.id/databencana/tabel/pencarian.php</x:v>
      </x:c>
      <x:c r="AF903" s="9" t="str">
        <x:v>operational_snapshot_annual_totals_may_differ</x:v>
      </x:c>
    </x:row>
    <x:row r="904" ht="18" customHeight="1">
      <x:c r="A904" s="6" t="str">
        <x:v>97</x:v>
      </x:c>
      <x:c r="B904" s="6" t="str">
        <x:v>PAPUA PEGUNUNGAN</x:v>
      </x:c>
      <x:c r="C904" s="6" t="str">
        <x:v>2025</x:v>
      </x:c>
      <x:c r="D904" s="6" t="str">
        <x:v>3</x:v>
      </x:c>
      <x:c r="E904" s="6" t="str">
        <x:v>0</x:v>
      </x:c>
      <x:c r="F904" s="6" t="str">
        <x:v>0</x:v>
      </x:c>
      <x:c r="G904" s="6" t="str">
        <x:v>0</x:v>
      </x:c>
      <x:c r="H904" s="6" t="str">
        <x:v>0</x:v>
      </x:c>
      <x:c r="I904" s="6" t="str">
        <x:v>0</x:v>
      </x:c>
      <x:c r="J904" s="6" t="str">
        <x:v>0</x:v>
      </x:c>
      <x:c r="K904" s="6" t="str">
        <x:v>0</x:v>
      </x:c>
      <x:c r="L904" s="6" t="str">
        <x:v>0</x:v>
      </x:c>
      <x:c r="M904" s="6" t="str">
        <x:v>0</x:v>
      </x:c>
      <x:c r="N904" s="6" t="str">
        <x:v>0</x:v>
      </x:c>
      <x:c r="O904" s="6" t="str">
        <x:v>0</x:v>
      </x:c>
      <x:c r="P904" s="6" t="str">
        <x:v>0</x:v>
      </x:c>
      <x:c r="Q904" s="6" t="str"/>
      <x:c r="R904" s="6" t="str">
        <x:v>0</x:v>
      </x:c>
      <x:c r="S904" s="6" t="str"/>
      <x:c r="T904" s="6" t="str">
        <x:v>0</x:v>
      </x:c>
      <x:c r="U904" s="6" t="str"/>
      <x:c r="V904" s="6" t="str">
        <x:v>0</x:v>
      </x:c>
      <x:c r="W904" s="6" t="str"/>
      <x:c r="X904" s="6" t="str">
        <x:v>0</x:v>
      </x:c>
      <x:c r="Y904" s="6" t="str"/>
      <x:c r="Z904" s="6" t="str">
        <x:v>0</x:v>
      </x:c>
      <x:c r="AA904" s="6" t="str"/>
      <x:c r="AB904" s="6" t="str">
        <x:v>0</x:v>
      </x:c>
      <x:c r="AC904" s="6" t="str">
        <x:v>2025-03</x:v>
      </x:c>
      <x:c r="AD904" s="9" t="str">
        <x:v>BNPB operational disaster search table</x:v>
      </x:c>
      <x:c r="AE904" s="9" t="str">
        <x:v>https://gis.bnpb.go.id/databencana/tabel/pencarian.php</x:v>
      </x:c>
      <x:c r="AF904" s="9" t="str">
        <x:v>operational_snapshot_annual_totals_may_differ</x:v>
      </x:c>
    </x:row>
    <x:row r="905" ht="18" customHeight="1">
      <x:c r="A905" s="6" t="str">
        <x:v>97</x:v>
      </x:c>
      <x:c r="B905" s="6" t="str">
        <x:v>PAPUA PEGUNUNGAN</x:v>
      </x:c>
      <x:c r="C905" s="6" t="str">
        <x:v>2025</x:v>
      </x:c>
      <x:c r="D905" s="6" t="str">
        <x:v>4</x:v>
      </x:c>
      <x:c r="E905" s="6" t="str">
        <x:v>7</x:v>
      </x:c>
      <x:c r="F905" s="6" t="str">
        <x:v>7</x:v>
      </x:c>
      <x:c r="G905" s="6" t="str">
        <x:v>4</x:v>
      </x:c>
      <x:c r="H905" s="6" t="str">
        <x:v>3</x:v>
      </x:c>
      <x:c r="I905" s="6" t="str">
        <x:v>0</x:v>
      </x:c>
      <x:c r="J905" s="6" t="str">
        <x:v>0</x:v>
      </x:c>
      <x:c r="K905" s="6" t="str">
        <x:v>0</x:v>
      </x:c>
      <x:c r="L905" s="6" t="str">
        <x:v>0</x:v>
      </x:c>
      <x:c r="M905" s="6" t="str">
        <x:v>0</x:v>
      </x:c>
      <x:c r="N905" s="6" t="str">
        <x:v>0</x:v>
      </x:c>
      <x:c r="O905" s="6" t="str">
        <x:v>0</x:v>
      </x:c>
      <x:c r="P905" s="6" t="str">
        <x:v>7</x:v>
      </x:c>
      <x:c r="Q905" s="6" t="str">
        <x:v>5.0</x:v>
      </x:c>
      <x:c r="R905" s="6" t="str">
        <x:v>7</x:v>
      </x:c>
      <x:c r="S905" s="6" t="str">
        <x:v>0.0</x:v>
      </x:c>
      <x:c r="T905" s="6" t="str">
        <x:v>7</x:v>
      </x:c>
      <x:c r="U905" s="6" t="str">
        <x:v>222.0</x:v>
      </x:c>
      <x:c r="V905" s="6" t="str">
        <x:v>7</x:v>
      </x:c>
      <x:c r="W905" s="6" t="str">
        <x:v>2115.0</x:v>
      </x:c>
      <x:c r="X905" s="6" t="str">
        <x:v>7</x:v>
      </x:c>
      <x:c r="Y905" s="6" t="str">
        <x:v>9622.0</x:v>
      </x:c>
      <x:c r="Z905" s="6" t="str">
        <x:v>4</x:v>
      </x:c>
      <x:c r="AA905" s="6" t="str">
        <x:v>27.0</x:v>
      </x:c>
      <x:c r="AB905" s="6" t="str">
        <x:v>7</x:v>
      </x:c>
      <x:c r="AC905" s="6" t="str">
        <x:v>2025-04</x:v>
      </x:c>
      <x:c r="AD905" s="9" t="str">
        <x:v>BNPB operational disaster search table</x:v>
      </x:c>
      <x:c r="AE905" s="9" t="str">
        <x:v>https://gis.bnpb.go.id/databencana/tabel/pencarian.php</x:v>
      </x:c>
      <x:c r="AF905" s="9" t="str">
        <x:v>operational_snapshot_annual_totals_may_differ</x:v>
      </x:c>
    </x:row>
    <x:row r="906" ht="18" customHeight="1">
      <x:c r="A906" s="6" t="str">
        <x:v>97</x:v>
      </x:c>
      <x:c r="B906" s="6" t="str">
        <x:v>PAPUA PEGUNUNGAN</x:v>
      </x:c>
      <x:c r="C906" s="6" t="str">
        <x:v>2025</x:v>
      </x:c>
      <x:c r="D906" s="6" t="str">
        <x:v>5</x:v>
      </x:c>
      <x:c r="E906" s="6" t="str">
        <x:v>0</x:v>
      </x:c>
      <x:c r="F906" s="6" t="str">
        <x:v>0</x:v>
      </x:c>
      <x:c r="G906" s="6" t="str">
        <x:v>0</x:v>
      </x:c>
      <x:c r="H906" s="6" t="str">
        <x:v>0</x:v>
      </x:c>
      <x:c r="I906" s="6" t="str">
        <x:v>0</x:v>
      </x:c>
      <x:c r="J906" s="6" t="str">
        <x:v>0</x:v>
      </x:c>
      <x:c r="K906" s="6" t="str">
        <x:v>0</x:v>
      </x:c>
      <x:c r="L906" s="6" t="str">
        <x:v>0</x:v>
      </x:c>
      <x:c r="M906" s="6" t="str">
        <x:v>0</x:v>
      </x:c>
      <x:c r="N906" s="6" t="str">
        <x:v>0</x:v>
      </x:c>
      <x:c r="O906" s="6" t="str">
        <x:v>0</x:v>
      </x:c>
      <x:c r="P906" s="6" t="str">
        <x:v>0</x:v>
      </x:c>
      <x:c r="Q906" s="6" t="str"/>
      <x:c r="R906" s="6" t="str">
        <x:v>0</x:v>
      </x:c>
      <x:c r="S906" s="6" t="str"/>
      <x:c r="T906" s="6" t="str">
        <x:v>0</x:v>
      </x:c>
      <x:c r="U906" s="6" t="str"/>
      <x:c r="V906" s="6" t="str">
        <x:v>0</x:v>
      </x:c>
      <x:c r="W906" s="6" t="str"/>
      <x:c r="X906" s="6" t="str">
        <x:v>0</x:v>
      </x:c>
      <x:c r="Y906" s="6" t="str"/>
      <x:c r="Z906" s="6" t="str">
        <x:v>0</x:v>
      </x:c>
      <x:c r="AA906" s="6" t="str"/>
      <x:c r="AB906" s="6" t="str">
        <x:v>0</x:v>
      </x:c>
      <x:c r="AC906" s="6" t="str">
        <x:v>2025-05</x:v>
      </x:c>
      <x:c r="AD906" s="9" t="str">
        <x:v>BNPB operational disaster search table</x:v>
      </x:c>
      <x:c r="AE906" s="9" t="str">
        <x:v>https://gis.bnpb.go.id/databencana/tabel/pencarian.php</x:v>
      </x:c>
      <x:c r="AF906" s="9" t="str">
        <x:v>operational_snapshot_annual_totals_may_differ</x:v>
      </x:c>
    </x:row>
    <x:row r="907" ht="18" customHeight="1">
      <x:c r="A907" s="6" t="str">
        <x:v>97</x:v>
      </x:c>
      <x:c r="B907" s="6" t="str">
        <x:v>PAPUA PEGUNUNGAN</x:v>
      </x:c>
      <x:c r="C907" s="6" t="str">
        <x:v>2025</x:v>
      </x:c>
      <x:c r="D907" s="6" t="str">
        <x:v>6</x:v>
      </x:c>
      <x:c r="E907" s="6" t="str">
        <x:v>0</x:v>
      </x:c>
      <x:c r="F907" s="6" t="str">
        <x:v>0</x:v>
      </x:c>
      <x:c r="G907" s="6" t="str">
        <x:v>0</x:v>
      </x:c>
      <x:c r="H907" s="6" t="str">
        <x:v>0</x:v>
      </x:c>
      <x:c r="I907" s="6" t="str">
        <x:v>0</x:v>
      </x:c>
      <x:c r="J907" s="6" t="str">
        <x:v>0</x:v>
      </x:c>
      <x:c r="K907" s="6" t="str">
        <x:v>0</x:v>
      </x:c>
      <x:c r="L907" s="6" t="str">
        <x:v>0</x:v>
      </x:c>
      <x:c r="M907" s="6" t="str">
        <x:v>0</x:v>
      </x:c>
      <x:c r="N907" s="6" t="str">
        <x:v>0</x:v>
      </x:c>
      <x:c r="O907" s="6" t="str">
        <x:v>0</x:v>
      </x:c>
      <x:c r="P907" s="6" t="str">
        <x:v>0</x:v>
      </x:c>
      <x:c r="Q907" s="6" t="str"/>
      <x:c r="R907" s="6" t="str">
        <x:v>0</x:v>
      </x:c>
      <x:c r="S907" s="6" t="str"/>
      <x:c r="T907" s="6" t="str">
        <x:v>0</x:v>
      </x:c>
      <x:c r="U907" s="6" t="str"/>
      <x:c r="V907" s="6" t="str">
        <x:v>0</x:v>
      </x:c>
      <x:c r="W907" s="6" t="str"/>
      <x:c r="X907" s="6" t="str">
        <x:v>0</x:v>
      </x:c>
      <x:c r="Y907" s="6" t="str"/>
      <x:c r="Z907" s="6" t="str">
        <x:v>0</x:v>
      </x:c>
      <x:c r="AA907" s="6" t="str"/>
      <x:c r="AB907" s="6" t="str">
        <x:v>0</x:v>
      </x:c>
      <x:c r="AC907" s="6" t="str">
        <x:v>2025-06</x:v>
      </x:c>
      <x:c r="AD907" s="9" t="str">
        <x:v>BNPB operational disaster search table</x:v>
      </x:c>
      <x:c r="AE907" s="9" t="str">
        <x:v>https://gis.bnpb.go.id/databencana/tabel/pencarian.php</x:v>
      </x:c>
      <x:c r="AF907" s="9" t="str">
        <x:v>operational_snapshot_annual_totals_may_differ</x:v>
      </x:c>
    </x:row>
    <x:row r="908" ht="18" customHeight="1">
      <x:c r="A908" s="6" t="str">
        <x:v>97</x:v>
      </x:c>
      <x:c r="B908" s="6" t="str">
        <x:v>PAPUA PEGUNUNGAN</x:v>
      </x:c>
      <x:c r="C908" s="6" t="str">
        <x:v>2025</x:v>
      </x:c>
      <x:c r="D908" s="6" t="str">
        <x:v>7</x:v>
      </x:c>
      <x:c r="E908" s="6" t="str">
        <x:v>0</x:v>
      </x:c>
      <x:c r="F908" s="6" t="str">
        <x:v>0</x:v>
      </x:c>
      <x:c r="G908" s="6" t="str">
        <x:v>0</x:v>
      </x:c>
      <x:c r="H908" s="6" t="str">
        <x:v>0</x:v>
      </x:c>
      <x:c r="I908" s="6" t="str">
        <x:v>0</x:v>
      </x:c>
      <x:c r="J908" s="6" t="str">
        <x:v>0</x:v>
      </x:c>
      <x:c r="K908" s="6" t="str">
        <x:v>0</x:v>
      </x:c>
      <x:c r="L908" s="6" t="str">
        <x:v>0</x:v>
      </x:c>
      <x:c r="M908" s="6" t="str">
        <x:v>0</x:v>
      </x:c>
      <x:c r="N908" s="6" t="str">
        <x:v>0</x:v>
      </x:c>
      <x:c r="O908" s="6" t="str">
        <x:v>0</x:v>
      </x:c>
      <x:c r="P908" s="6" t="str">
        <x:v>0</x:v>
      </x:c>
      <x:c r="Q908" s="6" t="str"/>
      <x:c r="R908" s="6" t="str">
        <x:v>0</x:v>
      </x:c>
      <x:c r="S908" s="6" t="str"/>
      <x:c r="T908" s="6" t="str">
        <x:v>0</x:v>
      </x:c>
      <x:c r="U908" s="6" t="str"/>
      <x:c r="V908" s="6" t="str">
        <x:v>0</x:v>
      </x:c>
      <x:c r="W908" s="6" t="str"/>
      <x:c r="X908" s="6" t="str">
        <x:v>0</x:v>
      </x:c>
      <x:c r="Y908" s="6" t="str"/>
      <x:c r="Z908" s="6" t="str">
        <x:v>0</x:v>
      </x:c>
      <x:c r="AA908" s="6" t="str"/>
      <x:c r="AB908" s="6" t="str">
        <x:v>0</x:v>
      </x:c>
      <x:c r="AC908" s="6" t="str">
        <x:v>2025-07</x:v>
      </x:c>
      <x:c r="AD908" s="9" t="str">
        <x:v>BNPB operational disaster search table</x:v>
      </x:c>
      <x:c r="AE908" s="9" t="str">
        <x:v>https://gis.bnpb.go.id/databencana/tabel/pencarian.php</x:v>
      </x:c>
      <x:c r="AF908" s="9" t="str">
        <x:v>operational_snapshot_annual_totals_may_differ</x:v>
      </x:c>
    </x:row>
    <x:row r="909" ht="18" customHeight="1">
      <x:c r="A909" s="6" t="str">
        <x:v>97</x:v>
      </x:c>
      <x:c r="B909" s="6" t="str">
        <x:v>PAPUA PEGUNUNGAN</x:v>
      </x:c>
      <x:c r="C909" s="6" t="str">
        <x:v>2025</x:v>
      </x:c>
      <x:c r="D909" s="6" t="str">
        <x:v>8</x:v>
      </x:c>
      <x:c r="E909" s="6" t="str">
        <x:v>0</x:v>
      </x:c>
      <x:c r="F909" s="6" t="str">
        <x:v>0</x:v>
      </x:c>
      <x:c r="G909" s="6" t="str">
        <x:v>0</x:v>
      </x:c>
      <x:c r="H909" s="6" t="str">
        <x:v>0</x:v>
      </x:c>
      <x:c r="I909" s="6" t="str">
        <x:v>0</x:v>
      </x:c>
      <x:c r="J909" s="6" t="str">
        <x:v>0</x:v>
      </x:c>
      <x:c r="K909" s="6" t="str">
        <x:v>0</x:v>
      </x:c>
      <x:c r="L909" s="6" t="str">
        <x:v>0</x:v>
      </x:c>
      <x:c r="M909" s="6" t="str">
        <x:v>0</x:v>
      </x:c>
      <x:c r="N909" s="6" t="str">
        <x:v>0</x:v>
      </x:c>
      <x:c r="O909" s="6" t="str">
        <x:v>0</x:v>
      </x:c>
      <x:c r="P909" s="6" t="str">
        <x:v>0</x:v>
      </x:c>
      <x:c r="Q909" s="6" t="str"/>
      <x:c r="R909" s="6" t="str">
        <x:v>0</x:v>
      </x:c>
      <x:c r="S909" s="6" t="str"/>
      <x:c r="T909" s="6" t="str">
        <x:v>0</x:v>
      </x:c>
      <x:c r="U909" s="6" t="str"/>
      <x:c r="V909" s="6" t="str">
        <x:v>0</x:v>
      </x:c>
      <x:c r="W909" s="6" t="str"/>
      <x:c r="X909" s="6" t="str">
        <x:v>0</x:v>
      </x:c>
      <x:c r="Y909" s="6" t="str"/>
      <x:c r="Z909" s="6" t="str">
        <x:v>0</x:v>
      </x:c>
      <x:c r="AA909" s="6" t="str"/>
      <x:c r="AB909" s="6" t="str">
        <x:v>0</x:v>
      </x:c>
      <x:c r="AC909" s="6" t="str">
        <x:v>2025-08</x:v>
      </x:c>
      <x:c r="AD909" s="9" t="str">
        <x:v>BNPB operational disaster search table</x:v>
      </x:c>
      <x:c r="AE909" s="9" t="str">
        <x:v>https://gis.bnpb.go.id/databencana/tabel/pencarian.php</x:v>
      </x:c>
      <x:c r="AF909" s="9" t="str">
        <x:v>operational_snapshot_annual_totals_may_differ</x:v>
      </x:c>
    </x:row>
    <x:row r="910" ht="18" customHeight="1">
      <x:c r="A910" s="6" t="str">
        <x:v>97</x:v>
      </x:c>
      <x:c r="B910" s="6" t="str">
        <x:v>PAPUA PEGUNUNGAN</x:v>
      </x:c>
      <x:c r="C910" s="6" t="str">
        <x:v>2025</x:v>
      </x:c>
      <x:c r="D910" s="6" t="str">
        <x:v>9</x:v>
      </x:c>
      <x:c r="E910" s="6" t="str">
        <x:v>1</x:v>
      </x:c>
      <x:c r="F910" s="6" t="str">
        <x:v>1</x:v>
      </x:c>
      <x:c r="G910" s="6" t="str">
        <x:v>0</x:v>
      </x:c>
      <x:c r="H910" s="6" t="str">
        <x:v>1</x:v>
      </x:c>
      <x:c r="I910" s="6" t="str">
        <x:v>0</x:v>
      </x:c>
      <x:c r="J910" s="6" t="str">
        <x:v>0</x:v>
      </x:c>
      <x:c r="K910" s="6" t="str">
        <x:v>0</x:v>
      </x:c>
      <x:c r="L910" s="6" t="str">
        <x:v>0</x:v>
      </x:c>
      <x:c r="M910" s="6" t="str">
        <x:v>0</x:v>
      </x:c>
      <x:c r="N910" s="6" t="str">
        <x:v>0</x:v>
      </x:c>
      <x:c r="O910" s="6" t="str">
        <x:v>0</x:v>
      </x:c>
      <x:c r="P910" s="6" t="str">
        <x:v>1</x:v>
      </x:c>
      <x:c r="Q910" s="6" t="str"/>
      <x:c r="R910" s="6" t="str">
        <x:v>0</x:v>
      </x:c>
      <x:c r="S910" s="6" t="str"/>
      <x:c r="T910" s="6" t="str">
        <x:v>0</x:v>
      </x:c>
      <x:c r="U910" s="6" t="str"/>
      <x:c r="V910" s="6" t="str">
        <x:v>0</x:v>
      </x:c>
      <x:c r="W910" s="6" t="str">
        <x:v>0.0</x:v>
      </x:c>
      <x:c r="X910" s="6" t="str">
        <x:v>1</x:v>
      </x:c>
      <x:c r="Y910" s="6" t="str"/>
      <x:c r="Z910" s="6" t="str">
        <x:v>0</x:v>
      </x:c>
      <x:c r="AA910" s="6" t="str">
        <x:v>0.0</x:v>
      </x:c>
      <x:c r="AB910" s="6" t="str">
        <x:v>1</x:v>
      </x:c>
      <x:c r="AC910" s="6" t="str">
        <x:v>2025-09</x:v>
      </x:c>
      <x:c r="AD910" s="9" t="str">
        <x:v>BNPB operational disaster search table</x:v>
      </x:c>
      <x:c r="AE910" s="9" t="str">
        <x:v>https://gis.bnpb.go.id/databencana/tabel/pencarian.php</x:v>
      </x:c>
      <x:c r="AF910" s="9" t="str">
        <x:v>operational_snapshot_annual_totals_may_differ</x:v>
      </x:c>
    </x:row>
    <x:row r="911" ht="18" customHeight="1">
      <x:c r="A911" s="6" t="str">
        <x:v>97</x:v>
      </x:c>
      <x:c r="B911" s="6" t="str">
        <x:v>PAPUA PEGUNUNGAN</x:v>
      </x:c>
      <x:c r="C911" s="6" t="str">
        <x:v>2025</x:v>
      </x:c>
      <x:c r="D911" s="6" t="str">
        <x:v>10</x:v>
      </x:c>
      <x:c r="E911" s="6" t="str">
        <x:v>0</x:v>
      </x:c>
      <x:c r="F911" s="6" t="str">
        <x:v>0</x:v>
      </x:c>
      <x:c r="G911" s="6" t="str">
        <x:v>0</x:v>
      </x:c>
      <x:c r="H911" s="6" t="str">
        <x:v>0</x:v>
      </x:c>
      <x:c r="I911" s="6" t="str">
        <x:v>0</x:v>
      </x:c>
      <x:c r="J911" s="6" t="str">
        <x:v>0</x:v>
      </x:c>
      <x:c r="K911" s="6" t="str">
        <x:v>0</x:v>
      </x:c>
      <x:c r="L911" s="6" t="str">
        <x:v>0</x:v>
      </x:c>
      <x:c r="M911" s="6" t="str">
        <x:v>0</x:v>
      </x:c>
      <x:c r="N911" s="6" t="str">
        <x:v>0</x:v>
      </x:c>
      <x:c r="O911" s="6" t="str">
        <x:v>0</x:v>
      </x:c>
      <x:c r="P911" s="6" t="str">
        <x:v>0</x:v>
      </x:c>
      <x:c r="Q911" s="6" t="str"/>
      <x:c r="R911" s="6" t="str">
        <x:v>0</x:v>
      </x:c>
      <x:c r="S911" s="6" t="str"/>
      <x:c r="T911" s="6" t="str">
        <x:v>0</x:v>
      </x:c>
      <x:c r="U911" s="6" t="str"/>
      <x:c r="V911" s="6" t="str">
        <x:v>0</x:v>
      </x:c>
      <x:c r="W911" s="6" t="str"/>
      <x:c r="X911" s="6" t="str">
        <x:v>0</x:v>
      </x:c>
      <x:c r="Y911" s="6" t="str"/>
      <x:c r="Z911" s="6" t="str">
        <x:v>0</x:v>
      </x:c>
      <x:c r="AA911" s="6" t="str"/>
      <x:c r="AB911" s="6" t="str">
        <x:v>0</x:v>
      </x:c>
      <x:c r="AC911" s="6" t="str">
        <x:v>2025-10</x:v>
      </x:c>
      <x:c r="AD911" s="9" t="str">
        <x:v>BNPB operational disaster search table</x:v>
      </x:c>
      <x:c r="AE911" s="9" t="str">
        <x:v>https://gis.bnpb.go.id/databencana/tabel/pencarian.php</x:v>
      </x:c>
      <x:c r="AF911" s="9" t="str">
        <x:v>operational_snapshot_annual_totals_may_differ</x:v>
      </x:c>
    </x:row>
    <x:row r="912" ht="18" customHeight="1">
      <x:c r="A912" s="6" t="str">
        <x:v>97</x:v>
      </x:c>
      <x:c r="B912" s="6" t="str">
        <x:v>PAPUA PEGUNUNGAN</x:v>
      </x:c>
      <x:c r="C912" s="6" t="str">
        <x:v>2025</x:v>
      </x:c>
      <x:c r="D912" s="6" t="str">
        <x:v>11</x:v>
      </x:c>
      <x:c r="E912" s="6" t="str">
        <x:v>1</x:v>
      </x:c>
      <x:c r="F912" s="6" t="str">
        <x:v>1</x:v>
      </x:c>
      <x:c r="G912" s="6" t="str">
        <x:v>1</x:v>
      </x:c>
      <x:c r="H912" s="6" t="str">
        <x:v>0</x:v>
      </x:c>
      <x:c r="I912" s="6" t="str">
        <x:v>0</x:v>
      </x:c>
      <x:c r="J912" s="6" t="str">
        <x:v>0</x:v>
      </x:c>
      <x:c r="K912" s="6" t="str">
        <x:v>0</x:v>
      </x:c>
      <x:c r="L912" s="6" t="str">
        <x:v>0</x:v>
      </x:c>
      <x:c r="M912" s="6" t="str">
        <x:v>0</x:v>
      </x:c>
      <x:c r="N912" s="6" t="str">
        <x:v>0</x:v>
      </x:c>
      <x:c r="O912" s="6" t="str">
        <x:v>0</x:v>
      </x:c>
      <x:c r="P912" s="6" t="str">
        <x:v>1</x:v>
      </x:c>
      <x:c r="Q912" s="6" t="str">
        <x:v>8.0</x:v>
      </x:c>
      <x:c r="R912" s="6" t="str">
        <x:v>1</x:v>
      </x:c>
      <x:c r="S912" s="6" t="str">
        <x:v>15.0</x:v>
      </x:c>
      <x:c r="T912" s="6" t="str">
        <x:v>1</x:v>
      </x:c>
      <x:c r="U912" s="6" t="str"/>
      <x:c r="V912" s="6" t="str">
        <x:v>0</x:v>
      </x:c>
      <x:c r="W912" s="6" t="str">
        <x:v>0.0</x:v>
      </x:c>
      <x:c r="X912" s="6" t="str">
        <x:v>1</x:v>
      </x:c>
      <x:c r="Y912" s="6" t="str"/>
      <x:c r="Z912" s="6" t="str">
        <x:v>0</x:v>
      </x:c>
      <x:c r="AA912" s="6" t="str">
        <x:v>0.0</x:v>
      </x:c>
      <x:c r="AB912" s="6" t="str">
        <x:v>1</x:v>
      </x:c>
      <x:c r="AC912" s="6" t="str">
        <x:v>2025-11</x:v>
      </x:c>
      <x:c r="AD912" s="9" t="str">
        <x:v>BNPB operational disaster search table</x:v>
      </x:c>
      <x:c r="AE912" s="9" t="str">
        <x:v>https://gis.bnpb.go.id/databencana/tabel/pencarian.php</x:v>
      </x:c>
      <x:c r="AF912" s="9" t="str">
        <x:v>operational_snapshot_annual_totals_may_differ</x:v>
      </x:c>
    </x:row>
    <x:row r="913" ht="18" customHeight="1">
      <x:c r="A913" s="6" t="str">
        <x:v>97</x:v>
      </x:c>
      <x:c r="B913" s="6" t="str">
        <x:v>PAPUA PEGUNUNGAN</x:v>
      </x:c>
      <x:c r="C913" s="6" t="str">
        <x:v>2025</x:v>
      </x:c>
      <x:c r="D913" s="6" t="str">
        <x:v>12</x:v>
      </x:c>
      <x:c r="E913" s="6" t="str">
        <x:v>1</x:v>
      </x:c>
      <x:c r="F913" s="6" t="str">
        <x:v>1</x:v>
      </x:c>
      <x:c r="G913" s="6" t="str">
        <x:v>1</x:v>
      </x:c>
      <x:c r="H913" s="6" t="str">
        <x:v>0</x:v>
      </x:c>
      <x:c r="I913" s="6" t="str">
        <x:v>0</x:v>
      </x:c>
      <x:c r="J913" s="6" t="str">
        <x:v>0</x:v>
      </x:c>
      <x:c r="K913" s="6" t="str">
        <x:v>0</x:v>
      </x:c>
      <x:c r="L913" s="6" t="str">
        <x:v>0</x:v>
      </x:c>
      <x:c r="M913" s="6" t="str">
        <x:v>0</x:v>
      </x:c>
      <x:c r="N913" s="6" t="str">
        <x:v>0</x:v>
      </x:c>
      <x:c r="O913" s="6" t="str">
        <x:v>0</x:v>
      </x:c>
      <x:c r="P913" s="6" t="str">
        <x:v>1</x:v>
      </x:c>
      <x:c r="Q913" s="6" t="str"/>
      <x:c r="R913" s="6" t="str">
        <x:v>0</x:v>
      </x:c>
      <x:c r="S913" s="6" t="str"/>
      <x:c r="T913" s="6" t="str">
        <x:v>0</x:v>
      </x:c>
      <x:c r="U913" s="6" t="str"/>
      <x:c r="V913" s="6" t="str">
        <x:v>0</x:v>
      </x:c>
      <x:c r="W913" s="6" t="str">
        <x:v>0.0</x:v>
      </x:c>
      <x:c r="X913" s="6" t="str">
        <x:v>1</x:v>
      </x:c>
      <x:c r="Y913" s="6" t="str">
        <x:v>35.0</x:v>
      </x:c>
      <x:c r="Z913" s="6" t="str">
        <x:v>1</x:v>
      </x:c>
      <x:c r="AA913" s="6" t="str">
        <x:v>0.0</x:v>
      </x:c>
      <x:c r="AB913" s="6" t="str">
        <x:v>1</x:v>
      </x:c>
      <x:c r="AC913" s="6" t="str">
        <x:v>2025-12</x:v>
      </x:c>
      <x:c r="AD913" s="9" t="str">
        <x:v>BNPB operational disaster search table</x:v>
      </x:c>
      <x:c r="AE913" s="9" t="str">
        <x:v>https://gis.bnpb.go.id/databencana/tabel/pencarian.php</x:v>
      </x:c>
      <x:c r="AF913" s="9" t="str">
        <x:v>operational_snapshot_annual_totals_may_differ</x:v>
      </x:c>
    </x:row>
  </x:sheetData>
  <x:pageMargins left="0.7" right="0.7" top="0.75" bottom="0.75" header="0.3" footer="0.3"/>
  <x:tableParts count="1">
    <x:tablePart xmlns:r="http://schemas.openxmlformats.org/officeDocument/2006/relationships" r:id="R27a200430ed44f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1" hidden="0" customWidth="1"/>
    <x:col min="4" max="4" width="18" hidden="0" customWidth="1"/>
    <x:col min="5" max="5" width="11" hidden="0" customWidth="1"/>
    <x:col min="6" max="6" width="15" hidden="0" customWidth="1"/>
    <x:col min="7" max="7" width="18" hidden="0" customWidth="1"/>
    <x:col min="8" max="8" width="18" hidden="0" customWidth="1"/>
    <x:col min="9" max="9" width="11" hidden="0" customWidth="1"/>
    <x:col min="10" max="10" width="18" hidden="0" customWidth="1"/>
    <x:col min="11" max="11" width="12" hidden="0" customWidth="1"/>
    <x:col min="12" max="12" width="15" hidden="0" customWidth="1"/>
    <x:col min="13" max="13" width="11" hidden="0" customWidth="1"/>
    <x:col min="14" max="14" width="24" hidden="0" customWidth="1"/>
    <x:col min="15" max="15" width="18" hidden="0" customWidth="1"/>
    <x:col min="16" max="16" width="18" hidden="0" customWidth="1"/>
    <x:col min="17" max="17" width="16" hidden="0" customWidth="1"/>
  </x:cols>
  <x:sheetData>
    <x:row r="1" ht="34" customHeight="1">
      <x:c r="A1" s="5" t="str">
        <x:v>province_code_bnpb_workbook</x:v>
      </x:c>
      <x:c r="B1" s="5" t="str">
        <x:v>province</x:v>
      </x:c>
      <x:c r="C1" s="5" t="str">
        <x:v>year</x:v>
      </x:c>
      <x:c r="D1" s="5" t="str">
        <x:v>annual_official_total_events</x:v>
      </x:c>
      <x:c r="E1" s="5" t="str">
        <x:v>BANJIR</x:v>
      </x:c>
      <x:c r="F1" s="5" t="str">
        <x:v>CUACA EKSTREM</x:v>
      </x:c>
      <x:c r="G1" s="5" t="str">
        <x:v>ERUPSI GUNUNG API</x:v>
      </x:c>
      <x:c r="H1" s="5" t="str">
        <x:v>GELOMBANG PASANG DAN ABRASI</x:v>
      </x:c>
      <x:c r="I1" s="5" t="str">
        <x:v>GEMPABUMI</x:v>
      </x:c>
      <x:c r="J1" s="5" t="str">
        <x:v>KEBAKARAN HUTAN DAN LAHAN</x:v>
      </x:c>
      <x:c r="K1" s="5" t="str">
        <x:v>KEKERINGAN</x:v>
      </x:c>
      <x:c r="L1" s="5" t="str">
        <x:v>TANAH LONGSOR</x:v>
      </x:c>
      <x:c r="M1" s="5" t="str">
        <x:v>TSUNAMI</x:v>
      </x:c>
      <x:c r="N1" s="5" t="str">
        <x:v>province_code</x:v>
      </x:c>
      <x:c r="O1" s="5" t="str">
        <x:v>event_record_count</x:v>
      </x:c>
      <x:c r="P1" s="5" t="str">
        <x:v>difference_operational_minus_annual</x:v>
      </x:c>
      <x:c r="Q1" s="5" t="str">
        <x:v>agreement_flag</x:v>
      </x:c>
    </x:row>
    <x:row r="2" ht="18" customHeight="1">
      <x:c r="A2" s="6" t="str">
        <x:v>11</x:v>
      </x:c>
      <x:c r="B2" s="6" t="str">
        <x:v>ACEH</x:v>
      </x:c>
      <x:c r="C2" s="6" t="str">
        <x:v>2024</x:v>
      </x:c>
      <x:c r="D2" s="6" t="str">
        <x:v>99</x:v>
      </x:c>
      <x:c r="E2" s="6" t="str">
        <x:v>47</x:v>
      </x:c>
      <x:c r="F2" s="6" t="str">
        <x:v>14</x:v>
      </x:c>
      <x:c r="G2" s="6" t="str">
        <x:v>0</x:v>
      </x:c>
      <x:c r="H2" s="6" t="str">
        <x:v>0</x:v>
      </x:c>
      <x:c r="I2" s="6" t="str">
        <x:v>0</x:v>
      </x:c>
      <x:c r="J2" s="6" t="str">
        <x:v>35</x:v>
      </x:c>
      <x:c r="K2" s="6" t="str">
        <x:v>1</x:v>
      </x:c>
      <x:c r="L2" s="6" t="str">
        <x:v>2</x:v>
      </x:c>
      <x:c r="M2" s="6" t="str">
        <x:v>0</x:v>
      </x:c>
      <x:c r="N2" s="6" t="str">
        <x:v>11</x:v>
      </x:c>
      <x:c r="O2" s="6" t="str">
        <x:v>99</x:v>
      </x:c>
      <x:c r="P2" s="6" t="str">
        <x:v>0</x:v>
      </x:c>
      <x:c r="Q2" s="6" t="str">
        <x:v>match</x:v>
      </x:c>
    </x:row>
    <x:row r="3" ht="18" customHeight="1">
      <x:c r="A3" s="6" t="str">
        <x:v>11</x:v>
      </x:c>
      <x:c r="B3" s="6" t="str">
        <x:v>ACEH</x:v>
      </x:c>
      <x:c r="C3" s="6" t="str">
        <x:v>2025</x:v>
      </x:c>
      <x:c r="D3" s="6" t="str">
        <x:v>168</x:v>
      </x:c>
      <x:c r="E3" s="6" t="str">
        <x:v>48</x:v>
      </x:c>
      <x:c r="F3" s="6" t="str">
        <x:v>21</x:v>
      </x:c>
      <x:c r="G3" s="6" t="str">
        <x:v>0</x:v>
      </x:c>
      <x:c r="H3" s="6" t="str">
        <x:v>1</x:v>
      </x:c>
      <x:c r="I3" s="6" t="str">
        <x:v>1</x:v>
      </x:c>
      <x:c r="J3" s="6" t="str">
        <x:v>94</x:v>
      </x:c>
      <x:c r="K3" s="6" t="str">
        <x:v>0</x:v>
      </x:c>
      <x:c r="L3" s="6" t="str">
        <x:v>3</x:v>
      </x:c>
      <x:c r="M3" s="6" t="str">
        <x:v>0</x:v>
      </x:c>
      <x:c r="N3" s="6" t="str">
        <x:v>11</x:v>
      </x:c>
      <x:c r="O3" s="6" t="str">
        <x:v>140</x:v>
      </x:c>
      <x:c r="P3" s="6" t="str">
        <x:v>-28</x:v>
      </x:c>
      <x:c r="Q3" s="6" t="str">
        <x:v>different_definition_or_snapshot</x:v>
      </x:c>
    </x:row>
    <x:row r="4" ht="18" customHeight="1">
      <x:c r="A4" s="6" t="str">
        <x:v>12</x:v>
      </x:c>
      <x:c r="B4" s="6" t="str">
        <x:v>SUMATERA UTARA</x:v>
      </x:c>
      <x:c r="C4" s="6" t="str">
        <x:v>2024</x:v>
      </x:c>
      <x:c r="D4" s="6" t="str">
        <x:v>350</x:v>
      </x:c>
      <x:c r="E4" s="6" t="str">
        <x:v>120</x:v>
      </x:c>
      <x:c r="F4" s="6" t="str">
        <x:v>43</x:v>
      </x:c>
      <x:c r="G4" s="6" t="str">
        <x:v>0</x:v>
      </x:c>
      <x:c r="H4" s="6" t="str">
        <x:v>0</x:v>
      </x:c>
      <x:c r="I4" s="6" t="str">
        <x:v>0</x:v>
      </x:c>
      <x:c r="J4" s="6" t="str">
        <x:v>170</x:v>
      </x:c>
      <x:c r="K4" s="6" t="str">
        <x:v>2</x:v>
      </x:c>
      <x:c r="L4" s="6" t="str">
        <x:v>15</x:v>
      </x:c>
      <x:c r="M4" s="6" t="str">
        <x:v>0</x:v>
      </x:c>
      <x:c r="N4" s="6" t="str">
        <x:v>12</x:v>
      </x:c>
      <x:c r="O4" s="6" t="str">
        <x:v>361</x:v>
      </x:c>
      <x:c r="P4" s="6" t="str">
        <x:v>11</x:v>
      </x:c>
      <x:c r="Q4" s="6" t="str">
        <x:v>different_definition_or_snapshot</x:v>
      </x:c>
    </x:row>
    <x:row r="5" ht="18" customHeight="1">
      <x:c r="A5" s="6" t="str">
        <x:v>12</x:v>
      </x:c>
      <x:c r="B5" s="6" t="str">
        <x:v>SUMATERA UTARA</x:v>
      </x:c>
      <x:c r="C5" s="6" t="str">
        <x:v>2025</x:v>
      </x:c>
      <x:c r="D5" s="6" t="str">
        <x:v>336</x:v>
      </x:c>
      <x:c r="E5" s="6" t="str">
        <x:v>97</x:v>
      </x:c>
      <x:c r="F5" s="6" t="str">
        <x:v>68</x:v>
      </x:c>
      <x:c r="G5" s="6" t="str">
        <x:v>0</x:v>
      </x:c>
      <x:c r="H5" s="6" t="str">
        <x:v>1</x:v>
      </x:c>
      <x:c r="I5" s="6" t="str">
        <x:v>1</x:v>
      </x:c>
      <x:c r="J5" s="6" t="str">
        <x:v>155</x:v>
      </x:c>
      <x:c r="K5" s="6" t="str">
        <x:v>8</x:v>
      </x:c>
      <x:c r="L5" s="6" t="str">
        <x:v>6</x:v>
      </x:c>
      <x:c r="M5" s="6" t="str">
        <x:v>0</x:v>
      </x:c>
      <x:c r="N5" s="6" t="str">
        <x:v>12</x:v>
      </x:c>
      <x:c r="O5" s="6" t="str">
        <x:v>225</x:v>
      </x:c>
      <x:c r="P5" s="6" t="str">
        <x:v>-111</x:v>
      </x:c>
      <x:c r="Q5" s="6" t="str">
        <x:v>different_definition_or_snapshot</x:v>
      </x:c>
    </x:row>
    <x:row r="6" ht="18" customHeight="1">
      <x:c r="A6" s="6" t="str">
        <x:v>13</x:v>
      </x:c>
      <x:c r="B6" s="6" t="str">
        <x:v>SUMATERA BARAT</x:v>
      </x:c>
      <x:c r="C6" s="6" t="str">
        <x:v>2024</x:v>
      </x:c>
      <x:c r="D6" s="6" t="str">
        <x:v>98</x:v>
      </x:c>
      <x:c r="E6" s="6" t="str">
        <x:v>64</x:v>
      </x:c>
      <x:c r="F6" s="6" t="str">
        <x:v>10</x:v>
      </x:c>
      <x:c r="G6" s="6" t="str">
        <x:v>3</x:v>
      </x:c>
      <x:c r="H6" s="6" t="str">
        <x:v>3</x:v>
      </x:c>
      <x:c r="I6" s="6" t="str">
        <x:v>0</x:v>
      </x:c>
      <x:c r="J6" s="6" t="str">
        <x:v>7</x:v>
      </x:c>
      <x:c r="K6" s="6" t="str">
        <x:v>1</x:v>
      </x:c>
      <x:c r="L6" s="6" t="str">
        <x:v>10</x:v>
      </x:c>
      <x:c r="M6" s="6" t="str">
        <x:v>0</x:v>
      </x:c>
      <x:c r="N6" s="6" t="str">
        <x:v>13</x:v>
      </x:c>
      <x:c r="O6" s="6" t="str">
        <x:v>100</x:v>
      </x:c>
      <x:c r="P6" s="6" t="str">
        <x:v>2</x:v>
      </x:c>
      <x:c r="Q6" s="6" t="str">
        <x:v>different_definition_or_snapshot</x:v>
      </x:c>
    </x:row>
    <x:row r="7" ht="18" customHeight="1">
      <x:c r="A7" s="6" t="str">
        <x:v>13</x:v>
      </x:c>
      <x:c r="B7" s="6" t="str">
        <x:v>SUMATERA BARAT</x:v>
      </x:c>
      <x:c r="C7" s="6" t="str">
        <x:v>2025</x:v>
      </x:c>
      <x:c r="D7" s="6" t="str">
        <x:v>135</x:v>
      </x:c>
      <x:c r="E7" s="6" t="str">
        <x:v>37</x:v>
      </x:c>
      <x:c r="F7" s="6" t="str">
        <x:v>15</x:v>
      </x:c>
      <x:c r="G7" s="6" t="str">
        <x:v>0</x:v>
      </x:c>
      <x:c r="H7" s="6" t="str">
        <x:v>2</x:v>
      </x:c>
      <x:c r="I7" s="6" t="str">
        <x:v>0</x:v>
      </x:c>
      <x:c r="J7" s="6" t="str">
        <x:v>75</x:v>
      </x:c>
      <x:c r="K7" s="6" t="str">
        <x:v>1</x:v>
      </x:c>
      <x:c r="L7" s="6" t="str">
        <x:v>5</x:v>
      </x:c>
      <x:c r="M7" s="6" t="str">
        <x:v>0</x:v>
      </x:c>
      <x:c r="N7" s="6" t="str">
        <x:v>13</x:v>
      </x:c>
      <x:c r="O7" s="6" t="str">
        <x:v>82</x:v>
      </x:c>
      <x:c r="P7" s="6" t="str">
        <x:v>-53</x:v>
      </x:c>
      <x:c r="Q7" s="6" t="str">
        <x:v>different_definition_or_snapshot</x:v>
      </x:c>
    </x:row>
    <x:row r="8" ht="18" customHeight="1">
      <x:c r="A8" s="6" t="str">
        <x:v>14</x:v>
      </x:c>
      <x:c r="B8" s="6" t="str">
        <x:v>RIAU</x:v>
      </x:c>
      <x:c r="C8" s="6" t="str">
        <x:v>2024</x:v>
      </x:c>
      <x:c r="D8" s="6" t="str">
        <x:v>68</x:v>
      </x:c>
      <x:c r="E8" s="6" t="str">
        <x:v>53</x:v>
      </x:c>
      <x:c r="F8" s="6" t="str">
        <x:v>2</x:v>
      </x:c>
      <x:c r="G8" s="6" t="str">
        <x:v>0</x:v>
      </x:c>
      <x:c r="H8" s="6" t="str">
        <x:v>2</x:v>
      </x:c>
      <x:c r="I8" s="6" t="str">
        <x:v>0</x:v>
      </x:c>
      <x:c r="J8" s="6" t="str">
        <x:v>10</x:v>
      </x:c>
      <x:c r="K8" s="6" t="str">
        <x:v>0</x:v>
      </x:c>
      <x:c r="L8" s="6" t="str">
        <x:v>1</x:v>
      </x:c>
      <x:c r="M8" s="6" t="str">
        <x:v>0</x:v>
      </x:c>
      <x:c r="N8" s="6" t="str">
        <x:v>14</x:v>
      </x:c>
      <x:c r="O8" s="6" t="str">
        <x:v>68</x:v>
      </x:c>
      <x:c r="P8" s="6" t="str">
        <x:v>0</x:v>
      </x:c>
      <x:c r="Q8" s="6" t="str">
        <x:v>match</x:v>
      </x:c>
    </x:row>
    <x:row r="9" ht="18" customHeight="1">
      <x:c r="A9" s="6" t="str">
        <x:v>14</x:v>
      </x:c>
      <x:c r="B9" s="6" t="str">
        <x:v>RIAU</x:v>
      </x:c>
      <x:c r="C9" s="6" t="str">
        <x:v>2025</x:v>
      </x:c>
      <x:c r="D9" s="6" t="str">
        <x:v>396</x:v>
      </x:c>
      <x:c r="E9" s="6" t="str">
        <x:v>104</x:v>
      </x:c>
      <x:c r="F9" s="6" t="str">
        <x:v>5</x:v>
      </x:c>
      <x:c r="G9" s="6" t="str">
        <x:v>0</x:v>
      </x:c>
      <x:c r="H9" s="6" t="str">
        <x:v>0</x:v>
      </x:c>
      <x:c r="I9" s="6" t="str">
        <x:v>0</x:v>
      </x:c>
      <x:c r="J9" s="6" t="str">
        <x:v>287</x:v>
      </x:c>
      <x:c r="K9" s="6" t="str">
        <x:v>0</x:v>
      </x:c>
      <x:c r="L9" s="6" t="str">
        <x:v>0</x:v>
      </x:c>
      <x:c r="M9" s="6" t="str">
        <x:v>0</x:v>
      </x:c>
      <x:c r="N9" s="6" t="str">
        <x:v>14</x:v>
      </x:c>
      <x:c r="O9" s="6" t="str">
        <x:v>286</x:v>
      </x:c>
      <x:c r="P9" s="6" t="str">
        <x:v>-110</x:v>
      </x:c>
      <x:c r="Q9" s="6" t="str">
        <x:v>different_definition_or_snapshot</x:v>
      </x:c>
    </x:row>
    <x:row r="10" ht="18" customHeight="1">
      <x:c r="A10" s="6" t="str">
        <x:v>15</x:v>
      </x:c>
      <x:c r="B10" s="6" t="str">
        <x:v>JAMBI</x:v>
      </x:c>
      <x:c r="C10" s="6" t="str">
        <x:v>2024</x:v>
      </x:c>
      <x:c r="D10" s="6" t="str">
        <x:v>132</x:v>
      </x:c>
      <x:c r="E10" s="6" t="str">
        <x:v>44</x:v>
      </x:c>
      <x:c r="F10" s="6" t="str">
        <x:v>7</x:v>
      </x:c>
      <x:c r="G10" s="6" t="str">
        <x:v>0</x:v>
      </x:c>
      <x:c r="H10" s="6" t="str">
        <x:v>0</x:v>
      </x:c>
      <x:c r="I10" s="6" t="str">
        <x:v>0</x:v>
      </x:c>
      <x:c r="J10" s="6" t="str">
        <x:v>79</x:v>
      </x:c>
      <x:c r="K10" s="6" t="str">
        <x:v>0</x:v>
      </x:c>
      <x:c r="L10" s="6" t="str">
        <x:v>2</x:v>
      </x:c>
      <x:c r="M10" s="6" t="str">
        <x:v>0</x:v>
      </x:c>
      <x:c r="N10" s="6" t="str">
        <x:v>15</x:v>
      </x:c>
      <x:c r="O10" s="6" t="str">
        <x:v>133</x:v>
      </x:c>
      <x:c r="P10" s="6" t="str">
        <x:v>1</x:v>
      </x:c>
      <x:c r="Q10" s="6" t="str">
        <x:v>different_definition_or_snapshot</x:v>
      </x:c>
    </x:row>
    <x:row r="11" ht="18" customHeight="1">
      <x:c r="A11" s="6" t="str">
        <x:v>15</x:v>
      </x:c>
      <x:c r="B11" s="6" t="str">
        <x:v>JAMBI</x:v>
      </x:c>
      <x:c r="C11" s="6" t="str">
        <x:v>2025</x:v>
      </x:c>
      <x:c r="D11" s="6" t="str">
        <x:v>103</x:v>
      </x:c>
      <x:c r="E11" s="6" t="str">
        <x:v>29</x:v>
      </x:c>
      <x:c r="F11" s="6" t="str">
        <x:v>9</x:v>
      </x:c>
      <x:c r="G11" s="6" t="str">
        <x:v>0</x:v>
      </x:c>
      <x:c r="H11" s="6" t="str">
        <x:v>0</x:v>
      </x:c>
      <x:c r="I11" s="6" t="str">
        <x:v>0</x:v>
      </x:c>
      <x:c r="J11" s="6" t="str">
        <x:v>64</x:v>
      </x:c>
      <x:c r="K11" s="6" t="str">
        <x:v>0</x:v>
      </x:c>
      <x:c r="L11" s="6" t="str">
        <x:v>1</x:v>
      </x:c>
      <x:c r="M11" s="6" t="str">
        <x:v>0</x:v>
      </x:c>
      <x:c r="N11" s="6" t="str">
        <x:v>15</x:v>
      </x:c>
      <x:c r="O11" s="6" t="str">
        <x:v>45</x:v>
      </x:c>
      <x:c r="P11" s="6" t="str">
        <x:v>-58</x:v>
      </x:c>
      <x:c r="Q11" s="6" t="str">
        <x:v>different_definition_or_snapshot</x:v>
      </x:c>
    </x:row>
    <x:row r="12" ht="18" customHeight="1">
      <x:c r="A12" s="6" t="str">
        <x:v>16</x:v>
      </x:c>
      <x:c r="B12" s="6" t="str">
        <x:v>SUMATERA SELATAN</x:v>
      </x:c>
      <x:c r="C12" s="6" t="str">
        <x:v>2024</x:v>
      </x:c>
      <x:c r="D12" s="6" t="str">
        <x:v>271</x:v>
      </x:c>
      <x:c r="E12" s="6" t="str">
        <x:v>69</x:v>
      </x:c>
      <x:c r="F12" s="6" t="str">
        <x:v>9</x:v>
      </x:c>
      <x:c r="G12" s="6" t="str">
        <x:v>0</x:v>
      </x:c>
      <x:c r="H12" s="6" t="str">
        <x:v>0</x:v>
      </x:c>
      <x:c r="I12" s="6" t="str">
        <x:v>0</x:v>
      </x:c>
      <x:c r="J12" s="6" t="str">
        <x:v>192</x:v>
      </x:c>
      <x:c r="K12" s="6" t="str">
        <x:v>0</x:v>
      </x:c>
      <x:c r="L12" s="6" t="str">
        <x:v>1</x:v>
      </x:c>
      <x:c r="M12" s="6" t="str">
        <x:v>0</x:v>
      </x:c>
      <x:c r="N12" s="6" t="str">
        <x:v>16</x:v>
      </x:c>
      <x:c r="O12" s="6" t="str">
        <x:v>277</x:v>
      </x:c>
      <x:c r="P12" s="6" t="str">
        <x:v>6</x:v>
      </x:c>
      <x:c r="Q12" s="6" t="str">
        <x:v>different_definition_or_snapshot</x:v>
      </x:c>
    </x:row>
    <x:row r="13" ht="18" customHeight="1">
      <x:c r="A13" s="6" t="str">
        <x:v>16</x:v>
      </x:c>
      <x:c r="B13" s="6" t="str">
        <x:v>SUMATERA SELATAN</x:v>
      </x:c>
      <x:c r="C13" s="6" t="str">
        <x:v>2025</x:v>
      </x:c>
      <x:c r="D13" s="6" t="str">
        <x:v>135</x:v>
      </x:c>
      <x:c r="E13" s="6" t="str">
        <x:v>71</x:v>
      </x:c>
      <x:c r="F13" s="6" t="str">
        <x:v>14</x:v>
      </x:c>
      <x:c r="G13" s="6" t="str">
        <x:v>0</x:v>
      </x:c>
      <x:c r="H13" s="6" t="str">
        <x:v>0</x:v>
      </x:c>
      <x:c r="I13" s="6" t="str">
        <x:v>0</x:v>
      </x:c>
      <x:c r="J13" s="6" t="str">
        <x:v>47</x:v>
      </x:c>
      <x:c r="K13" s="6" t="str">
        <x:v>0</x:v>
      </x:c>
      <x:c r="L13" s="6" t="str">
        <x:v>3</x:v>
      </x:c>
      <x:c r="M13" s="6" t="str">
        <x:v>0</x:v>
      </x:c>
      <x:c r="N13" s="6" t="str">
        <x:v>16</x:v>
      </x:c>
      <x:c r="O13" s="6" t="str">
        <x:v>118</x:v>
      </x:c>
      <x:c r="P13" s="6" t="str">
        <x:v>-17</x:v>
      </x:c>
      <x:c r="Q13" s="6" t="str">
        <x:v>different_definition_or_snapshot</x:v>
      </x:c>
    </x:row>
    <x:row r="14" ht="18" customHeight="1">
      <x:c r="A14" s="6" t="str">
        <x:v>17</x:v>
      </x:c>
      <x:c r="B14" s="6" t="str">
        <x:v>BENGKULU</x:v>
      </x:c>
      <x:c r="C14" s="6" t="str">
        <x:v>2024</x:v>
      </x:c>
      <x:c r="D14" s="6" t="str">
        <x:v>18</x:v>
      </x:c>
      <x:c r="E14" s="6" t="str">
        <x:v>9</x:v>
      </x:c>
      <x:c r="F14" s="6" t="str">
        <x:v>3</x:v>
      </x:c>
      <x:c r="G14" s="6" t="str">
        <x:v>0</x:v>
      </x:c>
      <x:c r="H14" s="6" t="str">
        <x:v>0</x:v>
      </x:c>
      <x:c r="I14" s="6" t="str">
        <x:v>1</x:v>
      </x:c>
      <x:c r="J14" s="6" t="str">
        <x:v>1</x:v>
      </x:c>
      <x:c r="K14" s="6" t="str">
        <x:v>0</x:v>
      </x:c>
      <x:c r="L14" s="6" t="str">
        <x:v>4</x:v>
      </x:c>
      <x:c r="M14" s="6" t="str">
        <x:v>0</x:v>
      </x:c>
      <x:c r="N14" s="6" t="str">
        <x:v>17</x:v>
      </x:c>
      <x:c r="O14" s="6" t="str">
        <x:v>18</x:v>
      </x:c>
      <x:c r="P14" s="6" t="str">
        <x:v>0</x:v>
      </x:c>
      <x:c r="Q14" s="6" t="str">
        <x:v>match</x:v>
      </x:c>
    </x:row>
    <x:row r="15" ht="18" customHeight="1">
      <x:c r="A15" s="6" t="str">
        <x:v>17</x:v>
      </x:c>
      <x:c r="B15" s="6" t="str">
        <x:v>BENGKULU</x:v>
      </x:c>
      <x:c r="C15" s="6" t="str">
        <x:v>2025</x:v>
      </x:c>
      <x:c r="D15" s="6" t="str">
        <x:v>21</x:v>
      </x:c>
      <x:c r="E15" s="6" t="str">
        <x:v>15</x:v>
      </x:c>
      <x:c r="F15" s="6" t="str">
        <x:v>0</x:v>
      </x:c>
      <x:c r="G15" s="6" t="str">
        <x:v>0</x:v>
      </x:c>
      <x:c r="H15" s="6" t="str">
        <x:v>1</x:v>
      </x:c>
      <x:c r="I15" s="6" t="str">
        <x:v>1</x:v>
      </x:c>
      <x:c r="J15" s="6" t="str">
        <x:v>2</x:v>
      </x:c>
      <x:c r="K15" s="6" t="str">
        <x:v>0</x:v>
      </x:c>
      <x:c r="L15" s="6" t="str">
        <x:v>2</x:v>
      </x:c>
      <x:c r="M15" s="6" t="str">
        <x:v>0</x:v>
      </x:c>
      <x:c r="N15" s="6" t="str">
        <x:v>17</x:v>
      </x:c>
      <x:c r="O15" s="6" t="str">
        <x:v>20</x:v>
      </x:c>
      <x:c r="P15" s="6" t="str">
        <x:v>-1</x:v>
      </x:c>
      <x:c r="Q15" s="6" t="str">
        <x:v>different_definition_or_snapshot</x:v>
      </x:c>
    </x:row>
    <x:row r="16" ht="18" customHeight="1">
      <x:c r="A16" s="6" t="str">
        <x:v>18</x:v>
      </x:c>
      <x:c r="B16" s="6" t="str">
        <x:v>LAMPUNG</x:v>
      </x:c>
      <x:c r="C16" s="6" t="str">
        <x:v>2024</x:v>
      </x:c>
      <x:c r="D16" s="6" t="str">
        <x:v>60</x:v>
      </x:c>
      <x:c r="E16" s="6" t="str">
        <x:v>28</x:v>
      </x:c>
      <x:c r="F16" s="6" t="str">
        <x:v>24</x:v>
      </x:c>
      <x:c r="G16" s="6" t="str">
        <x:v>0</x:v>
      </x:c>
      <x:c r="H16" s="6" t="str">
        <x:v>0</x:v>
      </x:c>
      <x:c r="I16" s="6" t="str">
        <x:v>0</x:v>
      </x:c>
      <x:c r="J16" s="6" t="str">
        <x:v>7</x:v>
      </x:c>
      <x:c r="K16" s="6" t="str">
        <x:v>1</x:v>
      </x:c>
      <x:c r="L16" s="6" t="str">
        <x:v>0</x:v>
      </x:c>
      <x:c r="M16" s="6" t="str">
        <x:v>0</x:v>
      </x:c>
      <x:c r="N16" s="6" t="str">
        <x:v>18</x:v>
      </x:c>
      <x:c r="O16" s="6" t="str">
        <x:v>60</x:v>
      </x:c>
      <x:c r="P16" s="6" t="str">
        <x:v>0</x:v>
      </x:c>
      <x:c r="Q16" s="6" t="str">
        <x:v>match</x:v>
      </x:c>
    </x:row>
    <x:row r="17" ht="18" customHeight="1">
      <x:c r="A17" s="6" t="str">
        <x:v>18</x:v>
      </x:c>
      <x:c r="B17" s="6" t="str">
        <x:v>LAMPUNG</x:v>
      </x:c>
      <x:c r="C17" s="6" t="str">
        <x:v>2025</x:v>
      </x:c>
      <x:c r="D17" s="6" t="str">
        <x:v>153</x:v>
      </x:c>
      <x:c r="E17" s="6" t="str">
        <x:v>106</x:v>
      </x:c>
      <x:c r="F17" s="6" t="str">
        <x:v>43</x:v>
      </x:c>
      <x:c r="G17" s="6" t="str">
        <x:v>0</x:v>
      </x:c>
      <x:c r="H17" s="6" t="str">
        <x:v>0</x:v>
      </x:c>
      <x:c r="I17" s="6" t="str">
        <x:v>1</x:v>
      </x:c>
      <x:c r="J17" s="6" t="str">
        <x:v>0</x:v>
      </x:c>
      <x:c r="K17" s="6" t="str">
        <x:v>0</x:v>
      </x:c>
      <x:c r="L17" s="6" t="str">
        <x:v>3</x:v>
      </x:c>
      <x:c r="M17" s="6" t="str">
        <x:v>0</x:v>
      </x:c>
      <x:c r="N17" s="6" t="str">
        <x:v>18</x:v>
      </x:c>
      <x:c r="O17" s="6" t="str">
        <x:v>123</x:v>
      </x:c>
      <x:c r="P17" s="6" t="str">
        <x:v>-30</x:v>
      </x:c>
      <x:c r="Q17" s="6" t="str">
        <x:v>different_definition_or_snapshot</x:v>
      </x:c>
    </x:row>
    <x:row r="18" ht="18" customHeight="1">
      <x:c r="A18" s="6" t="str">
        <x:v>19</x:v>
      </x:c>
      <x:c r="B18" s="6" t="str">
        <x:v>KEP. BANGKA BELITUNG</x:v>
      </x:c>
      <x:c r="C18" s="6" t="str">
        <x:v>2024</x:v>
      </x:c>
      <x:c r="D18" s="6" t="str">
        <x:v>24</x:v>
      </x:c>
      <x:c r="E18" s="6" t="str">
        <x:v>2</x:v>
      </x:c>
      <x:c r="F18" s="6" t="str">
        <x:v>3</x:v>
      </x:c>
      <x:c r="G18" s="6" t="str">
        <x:v>0</x:v>
      </x:c>
      <x:c r="H18" s="6" t="str">
        <x:v>0</x:v>
      </x:c>
      <x:c r="I18" s="6" t="str">
        <x:v>0</x:v>
      </x:c>
      <x:c r="J18" s="6" t="str">
        <x:v>19</x:v>
      </x:c>
      <x:c r="K18" s="6" t="str">
        <x:v>0</x:v>
      </x:c>
      <x:c r="L18" s="6" t="str">
        <x:v>0</x:v>
      </x:c>
      <x:c r="M18" s="6" t="str">
        <x:v>0</x:v>
      </x:c>
      <x:c r="N18" s="6" t="str">
        <x:v>19</x:v>
      </x:c>
      <x:c r="O18" s="6" t="str">
        <x:v>24</x:v>
      </x:c>
      <x:c r="P18" s="6" t="str">
        <x:v>0</x:v>
      </x:c>
      <x:c r="Q18" s="6" t="str">
        <x:v>match</x:v>
      </x:c>
    </x:row>
    <x:row r="19" ht="18" customHeight="1">
      <x:c r="A19" s="6" t="str">
        <x:v>19</x:v>
      </x:c>
      <x:c r="B19" s="6" t="str">
        <x:v>KEP. BANGKA BELITUNG</x:v>
      </x:c>
      <x:c r="C19" s="6" t="str">
        <x:v>2025</x:v>
      </x:c>
      <x:c r="D19" s="6" t="str">
        <x:v>57</x:v>
      </x:c>
      <x:c r="E19" s="6" t="str">
        <x:v>20</x:v>
      </x:c>
      <x:c r="F19" s="6" t="str">
        <x:v>21</x:v>
      </x:c>
      <x:c r="G19" s="6" t="str">
        <x:v>0</x:v>
      </x:c>
      <x:c r="H19" s="6" t="str">
        <x:v>0</x:v>
      </x:c>
      <x:c r="I19" s="6" t="str">
        <x:v>0</x:v>
      </x:c>
      <x:c r="J19" s="6" t="str">
        <x:v>15</x:v>
      </x:c>
      <x:c r="K19" s="6" t="str">
        <x:v>0</x:v>
      </x:c>
      <x:c r="L19" s="6" t="str">
        <x:v>1</x:v>
      </x:c>
      <x:c r="M19" s="6" t="str">
        <x:v>0</x:v>
      </x:c>
      <x:c r="N19" s="6" t="str">
        <x:v>19</x:v>
      </x:c>
      <x:c r="O19" s="6" t="str">
        <x:v>18</x:v>
      </x:c>
      <x:c r="P19" s="6" t="str">
        <x:v>-39</x:v>
      </x:c>
      <x:c r="Q19" s="6" t="str">
        <x:v>different_definition_or_snapshot</x:v>
      </x:c>
    </x:row>
    <x:row r="20" ht="18" customHeight="1">
      <x:c r="A20" s="6" t="str">
        <x:v>21</x:v>
      </x:c>
      <x:c r="B20" s="6" t="str">
        <x:v>KEPULAUAN RIAU</x:v>
      </x:c>
      <x:c r="C20" s="6" t="str">
        <x:v>2024</x:v>
      </x:c>
      <x:c r="D20" s="6" t="str">
        <x:v>79</x:v>
      </x:c>
      <x:c r="E20" s="6" t="str">
        <x:v>4</x:v>
      </x:c>
      <x:c r="F20" s="6" t="str">
        <x:v>16</x:v>
      </x:c>
      <x:c r="G20" s="6" t="str">
        <x:v>0</x:v>
      </x:c>
      <x:c r="H20" s="6" t="str">
        <x:v>0</x:v>
      </x:c>
      <x:c r="I20" s="6" t="str">
        <x:v>0</x:v>
      </x:c>
      <x:c r="J20" s="6" t="str">
        <x:v>58</x:v>
      </x:c>
      <x:c r="K20" s="6" t="str">
        <x:v>0</x:v>
      </x:c>
      <x:c r="L20" s="6" t="str">
        <x:v>1</x:v>
      </x:c>
      <x:c r="M20" s="6" t="str">
        <x:v>0</x:v>
      </x:c>
      <x:c r="N20" s="6" t="str">
        <x:v>21</x:v>
      </x:c>
      <x:c r="O20" s="6" t="str">
        <x:v>79</x:v>
      </x:c>
      <x:c r="P20" s="6" t="str">
        <x:v>0</x:v>
      </x:c>
      <x:c r="Q20" s="6" t="str">
        <x:v>match</x:v>
      </x:c>
    </x:row>
    <x:row r="21" ht="18" customHeight="1">
      <x:c r="A21" s="6" t="str">
        <x:v>21</x:v>
      </x:c>
      <x:c r="B21" s="6" t="str">
        <x:v>KEPULAUAN RIAU</x:v>
      </x:c>
      <x:c r="C21" s="6" t="str">
        <x:v>2025</x:v>
      </x:c>
      <x:c r="D21" s="6" t="str">
        <x:v>109</x:v>
      </x:c>
      <x:c r="E21" s="6" t="str">
        <x:v>8</x:v>
      </x:c>
      <x:c r="F21" s="6" t="str">
        <x:v>22</x:v>
      </x:c>
      <x:c r="G21" s="6" t="str">
        <x:v>0</x:v>
      </x:c>
      <x:c r="H21" s="6" t="str">
        <x:v>1</x:v>
      </x:c>
      <x:c r="I21" s="6" t="str">
        <x:v>0</x:v>
      </x:c>
      <x:c r="J21" s="6" t="str">
        <x:v>75</x:v>
      </x:c>
      <x:c r="K21" s="6" t="str">
        <x:v>0</x:v>
      </x:c>
      <x:c r="L21" s="6" t="str">
        <x:v>3</x:v>
      </x:c>
      <x:c r="M21" s="6" t="str">
        <x:v>0</x:v>
      </x:c>
      <x:c r="N21" s="6" t="str">
        <x:v>21</x:v>
      </x:c>
      <x:c r="O21" s="6" t="str">
        <x:v>9</x:v>
      </x:c>
      <x:c r="P21" s="6" t="str">
        <x:v>-100</x:v>
      </x:c>
      <x:c r="Q21" s="6" t="str">
        <x:v>different_definition_or_snapshot</x:v>
      </x:c>
    </x:row>
    <x:row r="22" ht="18" customHeight="1">
      <x:c r="A22" s="6" t="str">
        <x:v>31</x:v>
      </x:c>
      <x:c r="B22" s="6" t="str">
        <x:v>DKI JAKARTA</x:v>
      </x:c>
      <x:c r="C22" s="6" t="str">
        <x:v>2024</x:v>
      </x:c>
      <x:c r="D22" s="6" t="str">
        <x:v>23</x:v>
      </x:c>
      <x:c r="E22" s="6" t="str">
        <x:v>17</x:v>
      </x:c>
      <x:c r="F22" s="6" t="str">
        <x:v>5</x:v>
      </x:c>
      <x:c r="G22" s="6" t="str">
        <x:v>0</x:v>
      </x:c>
      <x:c r="H22" s="6" t="str">
        <x:v>0</x:v>
      </x:c>
      <x:c r="I22" s="6" t="str">
        <x:v>0</x:v>
      </x:c>
      <x:c r="J22" s="6" t="str">
        <x:v>0</x:v>
      </x:c>
      <x:c r="K22" s="6" t="str">
        <x:v>0</x:v>
      </x:c>
      <x:c r="L22" s="6" t="str">
        <x:v>1</x:v>
      </x:c>
      <x:c r="M22" s="6" t="str">
        <x:v>0</x:v>
      </x:c>
      <x:c r="N22" s="6" t="str">
        <x:v>31</x:v>
      </x:c>
      <x:c r="O22" s="6" t="str">
        <x:v>28</x:v>
      </x:c>
      <x:c r="P22" s="6" t="str">
        <x:v>5</x:v>
      </x:c>
      <x:c r="Q22" s="6" t="str">
        <x:v>different_definition_or_snapshot</x:v>
      </x:c>
    </x:row>
    <x:row r="23" ht="18" customHeight="1">
      <x:c r="A23" s="6" t="str">
        <x:v>31</x:v>
      </x:c>
      <x:c r="B23" s="6" t="str">
        <x:v>DKI JAKARTA</x:v>
      </x:c>
      <x:c r="C23" s="6" t="str">
        <x:v>2025</x:v>
      </x:c>
      <x:c r="D23" s="6" t="str">
        <x:v>36</x:v>
      </x:c>
      <x:c r="E23" s="6" t="str">
        <x:v>31</x:v>
      </x:c>
      <x:c r="F23" s="6" t="str">
        <x:v>5</x:v>
      </x:c>
      <x:c r="G23" s="6" t="str">
        <x:v>0</x:v>
      </x:c>
      <x:c r="H23" s="6" t="str">
        <x:v>0</x:v>
      </x:c>
      <x:c r="I23" s="6" t="str">
        <x:v>0</x:v>
      </x:c>
      <x:c r="J23" s="6" t="str">
        <x:v>0</x:v>
      </x:c>
      <x:c r="K23" s="6" t="str">
        <x:v>0</x:v>
      </x:c>
      <x:c r="L23" s="6" t="str">
        <x:v>0</x:v>
      </x:c>
      <x:c r="M23" s="6" t="str">
        <x:v>0</x:v>
      </x:c>
      <x:c r="N23" s="6" t="str">
        <x:v>31</x:v>
      </x:c>
      <x:c r="O23" s="6" t="str">
        <x:v>39</x:v>
      </x:c>
      <x:c r="P23" s="6" t="str">
        <x:v>3</x:v>
      </x:c>
      <x:c r="Q23" s="6" t="str">
        <x:v>different_definition_or_snapshot</x:v>
      </x:c>
    </x:row>
    <x:row r="24" ht="18" customHeight="1">
      <x:c r="A24" s="6" t="str">
        <x:v>32</x:v>
      </x:c>
      <x:c r="B24" s="6" t="str">
        <x:v>JAWA BARAT</x:v>
      </x:c>
      <x:c r="C24" s="6" t="str">
        <x:v>2024</x:v>
      </x:c>
      <x:c r="D24" s="6" t="str">
        <x:v>457</x:v>
      </x:c>
      <x:c r="E24" s="6" t="str">
        <x:v>140</x:v>
      </x:c>
      <x:c r="F24" s="6" t="str">
        <x:v>193</x:v>
      </x:c>
      <x:c r="G24" s="6" t="str">
        <x:v>0</x:v>
      </x:c>
      <x:c r="H24" s="6" t="str">
        <x:v>1</x:v>
      </x:c>
      <x:c r="I24" s="6" t="str">
        <x:v>5</x:v>
      </x:c>
      <x:c r="J24" s="6" t="str">
        <x:v>16</x:v>
      </x:c>
      <x:c r="K24" s="6" t="str">
        <x:v>25</x:v>
      </x:c>
      <x:c r="L24" s="6" t="str">
        <x:v>77</x:v>
      </x:c>
      <x:c r="M24" s="6" t="str">
        <x:v>0</x:v>
      </x:c>
      <x:c r="N24" s="6" t="str">
        <x:v>32</x:v>
      </x:c>
      <x:c r="O24" s="6" t="str">
        <x:v>503</x:v>
      </x:c>
      <x:c r="P24" s="6" t="str">
        <x:v>46</x:v>
      </x:c>
      <x:c r="Q24" s="6" t="str">
        <x:v>different_definition_or_snapshot</x:v>
      </x:c>
    </x:row>
    <x:row r="25" ht="18" customHeight="1">
      <x:c r="A25" s="6" t="str">
        <x:v>32</x:v>
      </x:c>
      <x:c r="B25" s="6" t="str">
        <x:v>JAWA BARAT</x:v>
      </x:c>
      <x:c r="C25" s="6" t="str">
        <x:v>2025</x:v>
      </x:c>
      <x:c r="D25" s="6" t="str">
        <x:v>586</x:v>
      </x:c>
      <x:c r="E25" s="6" t="str">
        <x:v>229</x:v>
      </x:c>
      <x:c r="F25" s="6" t="str">
        <x:v>235</x:v>
      </x:c>
      <x:c r="G25" s="6" t="str">
        <x:v>0</x:v>
      </x:c>
      <x:c r="H25" s="6" t="str">
        <x:v>0</x:v>
      </x:c>
      <x:c r="I25" s="6" t="str">
        <x:v>4</x:v>
      </x:c>
      <x:c r="J25" s="6" t="str">
        <x:v>2</x:v>
      </x:c>
      <x:c r="K25" s="6" t="str">
        <x:v>5</x:v>
      </x:c>
      <x:c r="L25" s="6" t="str">
        <x:v>111</x:v>
      </x:c>
      <x:c r="M25" s="6" t="str">
        <x:v>0</x:v>
      </x:c>
      <x:c r="N25" s="6" t="str">
        <x:v>32</x:v>
      </x:c>
      <x:c r="O25" s="6" t="str">
        <x:v>491</x:v>
      </x:c>
      <x:c r="P25" s="6" t="str">
        <x:v>-95</x:v>
      </x:c>
      <x:c r="Q25" s="6" t="str">
        <x:v>different_definition_or_snapshot</x:v>
      </x:c>
    </x:row>
    <x:row r="26" ht="18" customHeight="1">
      <x:c r="A26" s="6" t="str">
        <x:v>33</x:v>
      </x:c>
      <x:c r="B26" s="6" t="str">
        <x:v>JAWA TENGAH</x:v>
      </x:c>
      <x:c r="C26" s="6" t="str">
        <x:v>2024</x:v>
      </x:c>
      <x:c r="D26" s="6" t="str">
        <x:v>231</x:v>
      </x:c>
      <x:c r="E26" s="6" t="str">
        <x:v>78</x:v>
      </x:c>
      <x:c r="F26" s="6" t="str">
        <x:v>71</x:v>
      </x:c>
      <x:c r="G26" s="6" t="str">
        <x:v>0</x:v>
      </x:c>
      <x:c r="H26" s="6" t="str">
        <x:v>0</x:v>
      </x:c>
      <x:c r="I26" s="6" t="str">
        <x:v>3</x:v>
      </x:c>
      <x:c r="J26" s="6" t="str">
        <x:v>38</x:v>
      </x:c>
      <x:c r="K26" s="6" t="str">
        <x:v>22</x:v>
      </x:c>
      <x:c r="L26" s="6" t="str">
        <x:v>19</x:v>
      </x:c>
      <x:c r="M26" s="6" t="str">
        <x:v>0</x:v>
      </x:c>
      <x:c r="N26" s="6" t="str">
        <x:v>33</x:v>
      </x:c>
      <x:c r="O26" s="6" t="str">
        <x:v>235</x:v>
      </x:c>
      <x:c r="P26" s="6" t="str">
        <x:v>4</x:v>
      </x:c>
      <x:c r="Q26" s="6" t="str">
        <x:v>different_definition_or_snapshot</x:v>
      </x:c>
    </x:row>
    <x:row r="27" ht="18" customHeight="1">
      <x:c r="A27" s="6" t="str">
        <x:v>33</x:v>
      </x:c>
      <x:c r="B27" s="6" t="str">
        <x:v>JAWA TENGAH</x:v>
      </x:c>
      <x:c r="C27" s="6" t="str">
        <x:v>2025</x:v>
      </x:c>
      <x:c r="D27" s="6" t="str">
        <x:v>335</x:v>
      </x:c>
      <x:c r="E27" s="6" t="str">
        <x:v>140</x:v>
      </x:c>
      <x:c r="F27" s="6" t="str">
        <x:v>119</x:v>
      </x:c>
      <x:c r="G27" s="6" t="str">
        <x:v>0</x:v>
      </x:c>
      <x:c r="H27" s="6" t="str">
        <x:v>0</x:v>
      </x:c>
      <x:c r="I27" s="6" t="str">
        <x:v>1</x:v>
      </x:c>
      <x:c r="J27" s="6" t="str">
        <x:v>19</x:v>
      </x:c>
      <x:c r="K27" s="6" t="str">
        <x:v>11</x:v>
      </x:c>
      <x:c r="L27" s="6" t="str">
        <x:v>45</x:v>
      </x:c>
      <x:c r="M27" s="6" t="str">
        <x:v>0</x:v>
      </x:c>
      <x:c r="N27" s="6" t="str">
        <x:v>33</x:v>
      </x:c>
      <x:c r="O27" s="6" t="str">
        <x:v>343</x:v>
      </x:c>
      <x:c r="P27" s="6" t="str">
        <x:v>8</x:v>
      </x:c>
      <x:c r="Q27" s="6" t="str">
        <x:v>different_definition_or_snapshot</x:v>
      </x:c>
    </x:row>
    <x:row r="28" ht="18" customHeight="1">
      <x:c r="A28" s="6" t="str">
        <x:v>34</x:v>
      </x:c>
      <x:c r="B28" s="6" t="str">
        <x:v>DI YOGYAKARTA</x:v>
      </x:c>
      <x:c r="C28" s="6" t="str">
        <x:v>2024</x:v>
      </x:c>
      <x:c r="D28" s="6" t="str">
        <x:v>62</x:v>
      </x:c>
      <x:c r="E28" s="6" t="str">
        <x:v>0</x:v>
      </x:c>
      <x:c r="F28" s="6" t="str">
        <x:v>38</x:v>
      </x:c>
      <x:c r="G28" s="6" t="str">
        <x:v>0</x:v>
      </x:c>
      <x:c r="H28" s="6" t="str">
        <x:v>0</x:v>
      </x:c>
      <x:c r="I28" s="6" t="str">
        <x:v>1</x:v>
      </x:c>
      <x:c r="J28" s="6" t="str">
        <x:v>15</x:v>
      </x:c>
      <x:c r="K28" s="6" t="str">
        <x:v>3</x:v>
      </x:c>
      <x:c r="L28" s="6" t="str">
        <x:v>5</x:v>
      </x:c>
      <x:c r="M28" s="6" t="str">
        <x:v>0</x:v>
      </x:c>
      <x:c r="N28" s="6" t="str">
        <x:v>34</x:v>
      </x:c>
      <x:c r="O28" s="6" t="str">
        <x:v>114</x:v>
      </x:c>
      <x:c r="P28" s="6" t="str">
        <x:v>52</x:v>
      </x:c>
      <x:c r="Q28" s="6" t="str">
        <x:v>different_definition_or_snapshot</x:v>
      </x:c>
    </x:row>
    <x:row r="29" ht="18" customHeight="1">
      <x:c r="A29" s="6" t="str">
        <x:v>34</x:v>
      </x:c>
      <x:c r="B29" s="6" t="str">
        <x:v>DI YOGYAKARTA</x:v>
      </x:c>
      <x:c r="C29" s="6" t="str">
        <x:v>2025</x:v>
      </x:c>
      <x:c r="D29" s="6" t="str">
        <x:v>55</x:v>
      </x:c>
      <x:c r="E29" s="6" t="str">
        <x:v>10</x:v>
      </x:c>
      <x:c r="F29" s="6" t="str">
        <x:v>32</x:v>
      </x:c>
      <x:c r="G29" s="6" t="str">
        <x:v>0</x:v>
      </x:c>
      <x:c r="H29" s="6" t="str">
        <x:v>0</x:v>
      </x:c>
      <x:c r="I29" s="6" t="str">
        <x:v>0</x:v>
      </x:c>
      <x:c r="J29" s="6" t="str">
        <x:v>4</x:v>
      </x:c>
      <x:c r="K29" s="6" t="str">
        <x:v>0</x:v>
      </x:c>
      <x:c r="L29" s="6" t="str">
        <x:v>9</x:v>
      </x:c>
      <x:c r="M29" s="6" t="str">
        <x:v>0</x:v>
      </x:c>
      <x:c r="N29" s="6" t="str">
        <x:v>34</x:v>
      </x:c>
      <x:c r="O29" s="6" t="str">
        <x:v>29</x:v>
      </x:c>
      <x:c r="P29" s="6" t="str">
        <x:v>-26</x:v>
      </x:c>
      <x:c r="Q29" s="6" t="str">
        <x:v>different_definition_or_snapshot</x:v>
      </x:c>
    </x:row>
    <x:row r="30" ht="18" customHeight="1">
      <x:c r="A30" s="6" t="str">
        <x:v>35</x:v>
      </x:c>
      <x:c r="B30" s="6" t="str">
        <x:v>JAWA TIMUR</x:v>
      </x:c>
      <x:c r="C30" s="6" t="str">
        <x:v>2024</x:v>
      </x:c>
      <x:c r="D30" s="6" t="str">
        <x:v>434</x:v>
      </x:c>
      <x:c r="E30" s="6" t="str">
        <x:v>121</x:v>
      </x:c>
      <x:c r="F30" s="6" t="str">
        <x:v>141</x:v>
      </x:c>
      <x:c r="G30" s="6" t="str">
        <x:v>0</x:v>
      </x:c>
      <x:c r="H30" s="6" t="str">
        <x:v>0</x:v>
      </x:c>
      <x:c r="I30" s="6" t="str">
        <x:v>2</x:v>
      </x:c>
      <x:c r="J30" s="6" t="str">
        <x:v>145</x:v>
      </x:c>
      <x:c r="K30" s="6" t="str">
        <x:v>11</x:v>
      </x:c>
      <x:c r="L30" s="6" t="str">
        <x:v>14</x:v>
      </x:c>
      <x:c r="M30" s="6" t="str">
        <x:v>0</x:v>
      </x:c>
      <x:c r="N30" s="6" t="str">
        <x:v>35</x:v>
      </x:c>
      <x:c r="O30" s="6" t="str">
        <x:v>461</x:v>
      </x:c>
      <x:c r="P30" s="6" t="str">
        <x:v>27</x:v>
      </x:c>
      <x:c r="Q30" s="6" t="str">
        <x:v>different_definition_or_snapshot</x:v>
      </x:c>
    </x:row>
    <x:row r="31" ht="18" customHeight="1">
      <x:c r="A31" s="6" t="str">
        <x:v>35</x:v>
      </x:c>
      <x:c r="B31" s="6" t="str">
        <x:v>JAWA TIMUR</x:v>
      </x:c>
      <x:c r="C31" s="6" t="str">
        <x:v>2025</x:v>
      </x:c>
      <x:c r="D31" s="6" t="str">
        <x:v>390</x:v>
      </x:c>
      <x:c r="E31" s="6" t="str">
        <x:v>184</x:v>
      </x:c>
      <x:c r="F31" s="6" t="str">
        <x:v>146</x:v>
      </x:c>
      <x:c r="G31" s="6" t="str">
        <x:v>3</x:v>
      </x:c>
      <x:c r="H31" s="6" t="str">
        <x:v>0</x:v>
      </x:c>
      <x:c r="I31" s="6" t="str">
        <x:v>3</x:v>
      </x:c>
      <x:c r="J31" s="6" t="str">
        <x:v>25</x:v>
      </x:c>
      <x:c r="K31" s="6" t="str">
        <x:v>3</x:v>
      </x:c>
      <x:c r="L31" s="6" t="str">
        <x:v>26</x:v>
      </x:c>
      <x:c r="M31" s="6" t="str">
        <x:v>0</x:v>
      </x:c>
      <x:c r="N31" s="6" t="str">
        <x:v>35</x:v>
      </x:c>
      <x:c r="O31" s="6" t="str">
        <x:v>349</x:v>
      </x:c>
      <x:c r="P31" s="6" t="str">
        <x:v>-41</x:v>
      </x:c>
      <x:c r="Q31" s="6" t="str">
        <x:v>different_definition_or_snapshot</x:v>
      </x:c>
    </x:row>
    <x:row r="32" ht="18" customHeight="1">
      <x:c r="A32" s="6" t="str">
        <x:v>36</x:v>
      </x:c>
      <x:c r="B32" s="6" t="str">
        <x:v>BANTEN</x:v>
      </x:c>
      <x:c r="C32" s="6" t="str">
        <x:v>2024</x:v>
      </x:c>
      <x:c r="D32" s="6" t="str">
        <x:v>97</x:v>
      </x:c>
      <x:c r="E32" s="6" t="str">
        <x:v>66</x:v>
      </x:c>
      <x:c r="F32" s="6" t="str">
        <x:v>17</x:v>
      </x:c>
      <x:c r="G32" s="6" t="str">
        <x:v>0</x:v>
      </x:c>
      <x:c r="H32" s="6" t="str">
        <x:v>0</x:v>
      </x:c>
      <x:c r="I32" s="6" t="str">
        <x:v>1</x:v>
      </x:c>
      <x:c r="J32" s="6" t="str">
        <x:v>4</x:v>
      </x:c>
      <x:c r="K32" s="6" t="str">
        <x:v>2</x:v>
      </x:c>
      <x:c r="L32" s="6" t="str">
        <x:v>7</x:v>
      </x:c>
      <x:c r="M32" s="6" t="str">
        <x:v>0</x:v>
      </x:c>
      <x:c r="N32" s="6" t="str">
        <x:v>36</x:v>
      </x:c>
      <x:c r="O32" s="6" t="str">
        <x:v>97</x:v>
      </x:c>
      <x:c r="P32" s="6" t="str">
        <x:v>0</x:v>
      </x:c>
      <x:c r="Q32" s="6" t="str">
        <x:v>match</x:v>
      </x:c>
    </x:row>
    <x:row r="33" ht="18" customHeight="1">
      <x:c r="A33" s="6" t="str">
        <x:v>36</x:v>
      </x:c>
      <x:c r="B33" s="6" t="str">
        <x:v>BANTEN</x:v>
      </x:c>
      <x:c r="C33" s="6" t="str">
        <x:v>2025</x:v>
      </x:c>
      <x:c r="D33" s="6" t="str">
        <x:v>115</x:v>
      </x:c>
      <x:c r="E33" s="6" t="str">
        <x:v>93</x:v>
      </x:c>
      <x:c r="F33" s="6" t="str">
        <x:v>12</x:v>
      </x:c>
      <x:c r="G33" s="6" t="str">
        <x:v>0</x:v>
      </x:c>
      <x:c r="H33" s="6" t="str">
        <x:v>0</x:v>
      </x:c>
      <x:c r="I33" s="6" t="str">
        <x:v>0</x:v>
      </x:c>
      <x:c r="J33" s="6" t="str">
        <x:v>1</x:v>
      </x:c>
      <x:c r="K33" s="6" t="str">
        <x:v>1</x:v>
      </x:c>
      <x:c r="L33" s="6" t="str">
        <x:v>8</x:v>
      </x:c>
      <x:c r="M33" s="6" t="str">
        <x:v>0</x:v>
      </x:c>
      <x:c r="N33" s="6" t="str">
        <x:v>36</x:v>
      </x:c>
      <x:c r="O33" s="6" t="str">
        <x:v>71</x:v>
      </x:c>
      <x:c r="P33" s="6" t="str">
        <x:v>-44</x:v>
      </x:c>
      <x:c r="Q33" s="6" t="str">
        <x:v>different_definition_or_snapshot</x:v>
      </x:c>
    </x:row>
    <x:row r="34" ht="18" customHeight="1">
      <x:c r="A34" s="6" t="str">
        <x:v>51</x:v>
      </x:c>
      <x:c r="B34" s="6" t="str">
        <x:v>BALI</x:v>
      </x:c>
      <x:c r="C34" s="6" t="str">
        <x:v>2024</x:v>
      </x:c>
      <x:c r="D34" s="6" t="str">
        <x:v>35</x:v>
      </x:c>
      <x:c r="E34" s="6" t="str">
        <x:v>2</x:v>
      </x:c>
      <x:c r="F34" s="6" t="str">
        <x:v>17</x:v>
      </x:c>
      <x:c r="G34" s="6" t="str">
        <x:v>0</x:v>
      </x:c>
      <x:c r="H34" s="6" t="str">
        <x:v>0</x:v>
      </x:c>
      <x:c r="I34" s="6" t="str">
        <x:v>1</x:v>
      </x:c>
      <x:c r="J34" s="6" t="str">
        <x:v>11</x:v>
      </x:c>
      <x:c r="K34" s="6" t="str">
        <x:v>0</x:v>
      </x:c>
      <x:c r="L34" s="6" t="str">
        <x:v>4</x:v>
      </x:c>
      <x:c r="M34" s="6" t="str">
        <x:v>0</x:v>
      </x:c>
      <x:c r="N34" s="6" t="str">
        <x:v>51</x:v>
      </x:c>
      <x:c r="O34" s="6" t="str">
        <x:v>37</x:v>
      </x:c>
      <x:c r="P34" s="6" t="str">
        <x:v>2</x:v>
      </x:c>
      <x:c r="Q34" s="6" t="str">
        <x:v>different_definition_or_snapshot</x:v>
      </x:c>
    </x:row>
    <x:row r="35" ht="18" customHeight="1">
      <x:c r="A35" s="6" t="str">
        <x:v>51</x:v>
      </x:c>
      <x:c r="B35" s="6" t="str">
        <x:v>BALI</x:v>
      </x:c>
      <x:c r="C35" s="6" t="str">
        <x:v>2025</x:v>
      </x:c>
      <x:c r="D35" s="6" t="str">
        <x:v>52</x:v>
      </x:c>
      <x:c r="E35" s="6" t="str">
        <x:v>9</x:v>
      </x:c>
      <x:c r="F35" s="6" t="str">
        <x:v>26</x:v>
      </x:c>
      <x:c r="G35" s="6" t="str">
        <x:v>0</x:v>
      </x:c>
      <x:c r="H35" s="6" t="str">
        <x:v>4</x:v>
      </x:c>
      <x:c r="I35" s="6" t="str">
        <x:v>1</x:v>
      </x:c>
      <x:c r="J35" s="6" t="str">
        <x:v>8</x:v>
      </x:c>
      <x:c r="K35" s="6" t="str">
        <x:v>0</x:v>
      </x:c>
      <x:c r="L35" s="6" t="str">
        <x:v>4</x:v>
      </x:c>
      <x:c r="M35" s="6" t="str">
        <x:v>0</x:v>
      </x:c>
      <x:c r="N35" s="6" t="str">
        <x:v>51</x:v>
      </x:c>
      <x:c r="O35" s="6" t="str">
        <x:v>41</x:v>
      </x:c>
      <x:c r="P35" s="6" t="str">
        <x:v>-11</x:v>
      </x:c>
      <x:c r="Q35" s="6" t="str">
        <x:v>different_definition_or_snapshot</x:v>
      </x:c>
    </x:row>
    <x:row r="36" ht="18" customHeight="1">
      <x:c r="A36" s="6" t="str">
        <x:v>52</x:v>
      </x:c>
      <x:c r="B36" s="6" t="str">
        <x:v>NUSA TENGGARA BARAT</x:v>
      </x:c>
      <x:c r="C36" s="6" t="str">
        <x:v>2024</x:v>
      </x:c>
      <x:c r="D36" s="6" t="str">
        <x:v>77</x:v>
      </x:c>
      <x:c r="E36" s="6" t="str">
        <x:v>44</x:v>
      </x:c>
      <x:c r="F36" s="6" t="str">
        <x:v>17</x:v>
      </x:c>
      <x:c r="G36" s="6" t="str">
        <x:v>0</x:v>
      </x:c>
      <x:c r="H36" s="6" t="str">
        <x:v>2</x:v>
      </x:c>
      <x:c r="I36" s="6" t="str">
        <x:v>1</x:v>
      </x:c>
      <x:c r="J36" s="6" t="str">
        <x:v>3</x:v>
      </x:c>
      <x:c r="K36" s="6" t="str">
        <x:v>9</x:v>
      </x:c>
      <x:c r="L36" s="6" t="str">
        <x:v>1</x:v>
      </x:c>
      <x:c r="M36" s="6" t="str">
        <x:v>0</x:v>
      </x:c>
      <x:c r="N36" s="6" t="str">
        <x:v>52</x:v>
      </x:c>
      <x:c r="O36" s="6" t="str">
        <x:v>77</x:v>
      </x:c>
      <x:c r="P36" s="6" t="str">
        <x:v>0</x:v>
      </x:c>
      <x:c r="Q36" s="6" t="str">
        <x:v>match</x:v>
      </x:c>
    </x:row>
    <x:row r="37" ht="18" customHeight="1">
      <x:c r="A37" s="6" t="str">
        <x:v>52</x:v>
      </x:c>
      <x:c r="B37" s="6" t="str">
        <x:v>NUSA TENGGARA BARAT</x:v>
      </x:c>
      <x:c r="C37" s="6" t="str">
        <x:v>2025</x:v>
      </x:c>
      <x:c r="D37" s="6" t="str">
        <x:v>132</x:v>
      </x:c>
      <x:c r="E37" s="6" t="str">
        <x:v>95</x:v>
      </x:c>
      <x:c r="F37" s="6" t="str">
        <x:v>25</x:v>
      </x:c>
      <x:c r="G37" s="6" t="str">
        <x:v>0</x:v>
      </x:c>
      <x:c r="H37" s="6" t="str">
        <x:v>1</x:v>
      </x:c>
      <x:c r="I37" s="6" t="str">
        <x:v>0</x:v>
      </x:c>
      <x:c r="J37" s="6" t="str">
        <x:v>2</x:v>
      </x:c>
      <x:c r="K37" s="6" t="str">
        <x:v>7</x:v>
      </x:c>
      <x:c r="L37" s="6" t="str">
        <x:v>2</x:v>
      </x:c>
      <x:c r="M37" s="6" t="str">
        <x:v>0</x:v>
      </x:c>
      <x:c r="N37" s="6" t="str">
        <x:v>52</x:v>
      </x:c>
      <x:c r="O37" s="6" t="str">
        <x:v>118</x:v>
      </x:c>
      <x:c r="P37" s="6" t="str">
        <x:v>-14</x:v>
      </x:c>
      <x:c r="Q37" s="6" t="str">
        <x:v>different_definition_or_snapshot</x:v>
      </x:c>
    </x:row>
    <x:row r="38" ht="18" customHeight="1">
      <x:c r="A38" s="6" t="str">
        <x:v>53</x:v>
      </x:c>
      <x:c r="B38" s="6" t="str">
        <x:v>NUSA TENGGARA TIMUR</x:v>
      </x:c>
      <x:c r="C38" s="6" t="str">
        <x:v>2024</x:v>
      </x:c>
      <x:c r="D38" s="6" t="str">
        <x:v>53</x:v>
      </x:c>
      <x:c r="E38" s="6" t="str">
        <x:v>13</x:v>
      </x:c>
      <x:c r="F38" s="6" t="str">
        <x:v>13</x:v>
      </x:c>
      <x:c r="G38" s="6" t="str">
        <x:v>3</x:v>
      </x:c>
      <x:c r="H38" s="6" t="str">
        <x:v>4</x:v>
      </x:c>
      <x:c r="I38" s="6" t="str">
        <x:v>0</x:v>
      </x:c>
      <x:c r="J38" s="6" t="str">
        <x:v>14</x:v>
      </x:c>
      <x:c r="K38" s="6" t="str">
        <x:v>1</x:v>
      </x:c>
      <x:c r="L38" s="6" t="str">
        <x:v>5</x:v>
      </x:c>
      <x:c r="M38" s="6" t="str">
        <x:v>0</x:v>
      </x:c>
      <x:c r="N38" s="6" t="str">
        <x:v>53</x:v>
      </x:c>
      <x:c r="O38" s="6" t="str">
        <x:v>54</x:v>
      </x:c>
      <x:c r="P38" s="6" t="str">
        <x:v>1</x:v>
      </x:c>
      <x:c r="Q38" s="6" t="str">
        <x:v>different_definition_or_snapshot</x:v>
      </x:c>
    </x:row>
    <x:row r="39" ht="18" customHeight="1">
      <x:c r="A39" s="6" t="str">
        <x:v>53</x:v>
      </x:c>
      <x:c r="B39" s="6" t="str">
        <x:v>NUSA TENGGARA TIMUR</x:v>
      </x:c>
      <x:c r="C39" s="6" t="str">
        <x:v>2025</x:v>
      </x:c>
      <x:c r="D39" s="6" t="str">
        <x:v>95</x:v>
      </x:c>
      <x:c r="E39" s="6" t="str">
        <x:v>43</x:v>
      </x:c>
      <x:c r="F39" s="6" t="str">
        <x:v>10</x:v>
      </x:c>
      <x:c r="G39" s="6" t="str">
        <x:v>3</x:v>
      </x:c>
      <x:c r="H39" s="6" t="str">
        <x:v>1</x:v>
      </x:c>
      <x:c r="I39" s="6" t="str">
        <x:v>0</x:v>
      </x:c>
      <x:c r="J39" s="6" t="str">
        <x:v>23</x:v>
      </x:c>
      <x:c r="K39" s="6" t="str">
        <x:v>0</x:v>
      </x:c>
      <x:c r="L39" s="6" t="str">
        <x:v>15</x:v>
      </x:c>
      <x:c r="M39" s="6" t="str">
        <x:v>0</x:v>
      </x:c>
      <x:c r="N39" s="6" t="str">
        <x:v>53</x:v>
      </x:c>
      <x:c r="O39" s="6" t="str">
        <x:v>63</x:v>
      </x:c>
      <x:c r="P39" s="6" t="str">
        <x:v>-32</x:v>
      </x:c>
      <x:c r="Q39" s="6" t="str">
        <x:v>different_definition_or_snapshot</x:v>
      </x:c>
    </x:row>
    <x:row r="40" ht="18" customHeight="1">
      <x:c r="A40" s="6" t="str">
        <x:v>61</x:v>
      </x:c>
      <x:c r="B40" s="6" t="str">
        <x:v>KALIMANTAN BARAT</x:v>
      </x:c>
      <x:c r="C40" s="6" t="str">
        <x:v>2024</x:v>
      </x:c>
      <x:c r="D40" s="6" t="str">
        <x:v>69</x:v>
      </x:c>
      <x:c r="E40" s="6" t="str">
        <x:v>56</x:v>
      </x:c>
      <x:c r="F40" s="6" t="str">
        <x:v>3</x:v>
      </x:c>
      <x:c r="G40" s="6" t="str">
        <x:v>0</x:v>
      </x:c>
      <x:c r="H40" s="6" t="str">
        <x:v>0</x:v>
      </x:c>
      <x:c r="I40" s="6" t="str">
        <x:v>0</x:v>
      </x:c>
      <x:c r="J40" s="6" t="str">
        <x:v>10</x:v>
      </x:c>
      <x:c r="K40" s="6" t="str">
        <x:v>0</x:v>
      </x:c>
      <x:c r="L40" s="6" t="str">
        <x:v>0</x:v>
      </x:c>
      <x:c r="M40" s="6" t="str">
        <x:v>0</x:v>
      </x:c>
      <x:c r="N40" s="6" t="str">
        <x:v>61</x:v>
      </x:c>
      <x:c r="O40" s="6" t="str">
        <x:v>69</x:v>
      </x:c>
      <x:c r="P40" s="6" t="str">
        <x:v>0</x:v>
      </x:c>
      <x:c r="Q40" s="6" t="str">
        <x:v>match</x:v>
      </x:c>
    </x:row>
    <x:row r="41" ht="18" customHeight="1">
      <x:c r="A41" s="6" t="str">
        <x:v>61</x:v>
      </x:c>
      <x:c r="B41" s="6" t="str">
        <x:v>KALIMANTAN BARAT</x:v>
      </x:c>
      <x:c r="C41" s="6" t="str">
        <x:v>2025</x:v>
      </x:c>
      <x:c r="D41" s="6" t="str">
        <x:v>39</x:v>
      </x:c>
      <x:c r="E41" s="6" t="str">
        <x:v>28</x:v>
      </x:c>
      <x:c r="F41" s="6" t="str">
        <x:v>2</x:v>
      </x:c>
      <x:c r="G41" s="6" t="str">
        <x:v>0</x:v>
      </x:c>
      <x:c r="H41" s="6" t="str">
        <x:v>0</x:v>
      </x:c>
      <x:c r="I41" s="6" t="str">
        <x:v>0</x:v>
      </x:c>
      <x:c r="J41" s="6" t="str">
        <x:v>9</x:v>
      </x:c>
      <x:c r="K41" s="6" t="str">
        <x:v>0</x:v>
      </x:c>
      <x:c r="L41" s="6" t="str">
        <x:v>0</x:v>
      </x:c>
      <x:c r="M41" s="6" t="str">
        <x:v>0</x:v>
      </x:c>
      <x:c r="N41" s="6" t="str">
        <x:v>61</x:v>
      </x:c>
      <x:c r="O41" s="6" t="str">
        <x:v>43</x:v>
      </x:c>
      <x:c r="P41" s="6" t="str">
        <x:v>4</x:v>
      </x:c>
      <x:c r="Q41" s="6" t="str">
        <x:v>different_definition_or_snapshot</x:v>
      </x:c>
    </x:row>
    <x:row r="42" ht="18" customHeight="1">
      <x:c r="A42" s="6" t="str">
        <x:v>62</x:v>
      </x:c>
      <x:c r="B42" s="6" t="str">
        <x:v>KALIMANTAN TENGAH</x:v>
      </x:c>
      <x:c r="C42" s="6" t="str">
        <x:v>2024</x:v>
      </x:c>
      <x:c r="D42" s="6" t="str">
        <x:v>56</x:v>
      </x:c>
      <x:c r="E42" s="6" t="str">
        <x:v>39</x:v>
      </x:c>
      <x:c r="F42" s="6" t="str">
        <x:v>0</x:v>
      </x:c>
      <x:c r="G42" s="6" t="str">
        <x:v>0</x:v>
      </x:c>
      <x:c r="H42" s="6" t="str">
        <x:v>0</x:v>
      </x:c>
      <x:c r="I42" s="6" t="str">
        <x:v>0</x:v>
      </x:c>
      <x:c r="J42" s="6" t="str">
        <x:v>17</x:v>
      </x:c>
      <x:c r="K42" s="6" t="str">
        <x:v>0</x:v>
      </x:c>
      <x:c r="L42" s="6" t="str">
        <x:v>0</x:v>
      </x:c>
      <x:c r="M42" s="6" t="str">
        <x:v>0</x:v>
      </x:c>
      <x:c r="N42" s="6" t="str">
        <x:v>62</x:v>
      </x:c>
      <x:c r="O42" s="6" t="str">
        <x:v>56</x:v>
      </x:c>
      <x:c r="P42" s="6" t="str">
        <x:v>0</x:v>
      </x:c>
      <x:c r="Q42" s="6" t="str">
        <x:v>match</x:v>
      </x:c>
    </x:row>
    <x:row r="43" ht="18" customHeight="1">
      <x:c r="A43" s="6" t="str">
        <x:v>62</x:v>
      </x:c>
      <x:c r="B43" s="6" t="str">
        <x:v>KALIMANTAN TENGAH</x:v>
      </x:c>
      <x:c r="C43" s="6" t="str">
        <x:v>2025</x:v>
      </x:c>
      <x:c r="D43" s="6" t="str">
        <x:v>214</x:v>
      </x:c>
      <x:c r="E43" s="6" t="str">
        <x:v>58</x:v>
      </x:c>
      <x:c r="F43" s="6" t="str">
        <x:v>3</x:v>
      </x:c>
      <x:c r="G43" s="6" t="str">
        <x:v>0</x:v>
      </x:c>
      <x:c r="H43" s="6" t="str">
        <x:v>0</x:v>
      </x:c>
      <x:c r="I43" s="6" t="str">
        <x:v>0</x:v>
      </x:c>
      <x:c r="J43" s="6" t="str">
        <x:v>151</x:v>
      </x:c>
      <x:c r="K43" s="6" t="str">
        <x:v>0</x:v>
      </x:c>
      <x:c r="L43" s="6" t="str">
        <x:v>2</x:v>
      </x:c>
      <x:c r="M43" s="6" t="str">
        <x:v>0</x:v>
      </x:c>
      <x:c r="N43" s="6" t="str">
        <x:v>62</x:v>
      </x:c>
      <x:c r="O43" s="6" t="str">
        <x:v>134</x:v>
      </x:c>
      <x:c r="P43" s="6" t="str">
        <x:v>-80</x:v>
      </x:c>
      <x:c r="Q43" s="6" t="str">
        <x:v>different_definition_or_snapshot</x:v>
      </x:c>
    </x:row>
    <x:row r="44" ht="18" customHeight="1">
      <x:c r="A44" s="6" t="str">
        <x:v>63</x:v>
      </x:c>
      <x:c r="B44" s="6" t="str">
        <x:v>KALIMANTAN SELATAN</x:v>
      </x:c>
      <x:c r="C44" s="6" t="str">
        <x:v>2024</x:v>
      </x:c>
      <x:c r="D44" s="6" t="str">
        <x:v>26</x:v>
      </x:c>
      <x:c r="E44" s="6" t="str">
        <x:v>15</x:v>
      </x:c>
      <x:c r="F44" s="6" t="str">
        <x:v>4</x:v>
      </x:c>
      <x:c r="G44" s="6" t="str">
        <x:v>0</x:v>
      </x:c>
      <x:c r="H44" s="6" t="str">
        <x:v>0</x:v>
      </x:c>
      <x:c r="I44" s="6" t="str">
        <x:v>0</x:v>
      </x:c>
      <x:c r="J44" s="6" t="str">
        <x:v>6</x:v>
      </x:c>
      <x:c r="K44" s="6" t="str">
        <x:v>0</x:v>
      </x:c>
      <x:c r="L44" s="6" t="str">
        <x:v>1</x:v>
      </x:c>
      <x:c r="M44" s="6" t="str">
        <x:v>0</x:v>
      </x:c>
      <x:c r="N44" s="6" t="str">
        <x:v>63</x:v>
      </x:c>
      <x:c r="O44" s="6" t="str">
        <x:v>26</x:v>
      </x:c>
      <x:c r="P44" s="6" t="str">
        <x:v>0</x:v>
      </x:c>
      <x:c r="Q44" s="6" t="str">
        <x:v>match</x:v>
      </x:c>
    </x:row>
    <x:row r="45" ht="18" customHeight="1">
      <x:c r="A45" s="6" t="str">
        <x:v>63</x:v>
      </x:c>
      <x:c r="B45" s="6" t="str">
        <x:v>KALIMANTAN SELATAN</x:v>
      </x:c>
      <x:c r="C45" s="6" t="str">
        <x:v>2025</x:v>
      </x:c>
      <x:c r="D45" s="6" t="str">
        <x:v>276</x:v>
      </x:c>
      <x:c r="E45" s="6" t="str">
        <x:v>46</x:v>
      </x:c>
      <x:c r="F45" s="6" t="str">
        <x:v>8</x:v>
      </x:c>
      <x:c r="G45" s="6" t="str">
        <x:v>0</x:v>
      </x:c>
      <x:c r="H45" s="6" t="str">
        <x:v>2</x:v>
      </x:c>
      <x:c r="I45" s="6" t="str">
        <x:v>0</x:v>
      </x:c>
      <x:c r="J45" s="6" t="str">
        <x:v>220</x:v>
      </x:c>
      <x:c r="K45" s="6" t="str">
        <x:v>0</x:v>
      </x:c>
      <x:c r="L45" s="6" t="str">
        <x:v>0</x:v>
      </x:c>
      <x:c r="M45" s="6" t="str">
        <x:v>0</x:v>
      </x:c>
      <x:c r="N45" s="6" t="str">
        <x:v>63</x:v>
      </x:c>
      <x:c r="O45" s="6" t="str">
        <x:v>65</x:v>
      </x:c>
      <x:c r="P45" s="6" t="str">
        <x:v>-211</x:v>
      </x:c>
      <x:c r="Q45" s="6" t="str">
        <x:v>different_definition_or_snapshot</x:v>
      </x:c>
    </x:row>
    <x:row r="46" ht="18" customHeight="1">
      <x:c r="A46" s="6" t="str">
        <x:v>64</x:v>
      </x:c>
      <x:c r="B46" s="6" t="str">
        <x:v>KALIMANTAN TIMUR</x:v>
      </x:c>
      <x:c r="C46" s="6" t="str">
        <x:v>2024</x:v>
      </x:c>
      <x:c r="D46" s="6" t="str">
        <x:v>144</x:v>
      </x:c>
      <x:c r="E46" s="6" t="str">
        <x:v>29</x:v>
      </x:c>
      <x:c r="F46" s="6" t="str">
        <x:v>4</x:v>
      </x:c>
      <x:c r="G46" s="6" t="str">
        <x:v>0</x:v>
      </x:c>
      <x:c r="H46" s="6" t="str">
        <x:v>1</x:v>
      </x:c>
      <x:c r="I46" s="6" t="str">
        <x:v>0</x:v>
      </x:c>
      <x:c r="J46" s="6" t="str">
        <x:v>107</x:v>
      </x:c>
      <x:c r="K46" s="6" t="str">
        <x:v>0</x:v>
      </x:c>
      <x:c r="L46" s="6" t="str">
        <x:v>3</x:v>
      </x:c>
      <x:c r="M46" s="6" t="str">
        <x:v>0</x:v>
      </x:c>
      <x:c r="N46" s="6" t="str">
        <x:v>64</x:v>
      </x:c>
      <x:c r="O46" s="6" t="str">
        <x:v>219</x:v>
      </x:c>
      <x:c r="P46" s="6" t="str">
        <x:v>75</x:v>
      </x:c>
      <x:c r="Q46" s="6" t="str">
        <x:v>different_definition_or_snapshot</x:v>
      </x:c>
    </x:row>
    <x:row r="47" ht="18" customHeight="1">
      <x:c r="A47" s="6" t="str">
        <x:v>64</x:v>
      </x:c>
      <x:c r="B47" s="6" t="str">
        <x:v>KALIMANTAN TIMUR</x:v>
      </x:c>
      <x:c r="C47" s="6" t="str">
        <x:v>2025</x:v>
      </x:c>
      <x:c r="D47" s="6" t="str">
        <x:v>96</x:v>
      </x:c>
      <x:c r="E47" s="6" t="str">
        <x:v>53</x:v>
      </x:c>
      <x:c r="F47" s="6" t="str">
        <x:v>3</x:v>
      </x:c>
      <x:c r="G47" s="6" t="str">
        <x:v>0</x:v>
      </x:c>
      <x:c r="H47" s="6" t="str">
        <x:v>1</x:v>
      </x:c>
      <x:c r="I47" s="6" t="str">
        <x:v>0</x:v>
      </x:c>
      <x:c r="J47" s="6" t="str">
        <x:v>22</x:v>
      </x:c>
      <x:c r="K47" s="6" t="str">
        <x:v>1</x:v>
      </x:c>
      <x:c r="L47" s="6" t="str">
        <x:v>16</x:v>
      </x:c>
      <x:c r="M47" s="6" t="str">
        <x:v>0</x:v>
      </x:c>
      <x:c r="N47" s="6" t="str">
        <x:v>64</x:v>
      </x:c>
      <x:c r="O47" s="6" t="str">
        <x:v>50</x:v>
      </x:c>
      <x:c r="P47" s="6" t="str">
        <x:v>-46</x:v>
      </x:c>
      <x:c r="Q47" s="6" t="str">
        <x:v>different_definition_or_snapshot</x:v>
      </x:c>
    </x:row>
    <x:row r="48" ht="18" customHeight="1">
      <x:c r="A48" s="6" t="str">
        <x:v>65</x:v>
      </x:c>
      <x:c r="B48" s="6" t="str">
        <x:v>KALIMANTAN UTARA</x:v>
      </x:c>
      <x:c r="C48" s="6" t="str">
        <x:v>2024</x:v>
      </x:c>
      <x:c r="D48" s="6" t="str">
        <x:v>10</x:v>
      </x:c>
      <x:c r="E48" s="6" t="str">
        <x:v>5</x:v>
      </x:c>
      <x:c r="F48" s="6" t="str">
        <x:v>0</x:v>
      </x:c>
      <x:c r="G48" s="6" t="str">
        <x:v>0</x:v>
      </x:c>
      <x:c r="H48" s="6" t="str">
        <x:v>0</x:v>
      </x:c>
      <x:c r="I48" s="6" t="str">
        <x:v>0</x:v>
      </x:c>
      <x:c r="J48" s="6" t="str">
        <x:v>3</x:v>
      </x:c>
      <x:c r="K48" s="6" t="str">
        <x:v>0</x:v>
      </x:c>
      <x:c r="L48" s="6" t="str">
        <x:v>2</x:v>
      </x:c>
      <x:c r="M48" s="6" t="str">
        <x:v>0</x:v>
      </x:c>
      <x:c r="N48" s="6" t="str">
        <x:v>65</x:v>
      </x:c>
      <x:c r="O48" s="6" t="str">
        <x:v>10</x:v>
      </x:c>
      <x:c r="P48" s="6" t="str">
        <x:v>0</x:v>
      </x:c>
      <x:c r="Q48" s="6" t="str">
        <x:v>match</x:v>
      </x:c>
    </x:row>
    <x:row r="49" ht="18" customHeight="1">
      <x:c r="A49" s="6" t="str">
        <x:v>65</x:v>
      </x:c>
      <x:c r="B49" s="6" t="str">
        <x:v>KALIMANTAN UTARA</x:v>
      </x:c>
      <x:c r="C49" s="6" t="str">
        <x:v>2025</x:v>
      </x:c>
      <x:c r="D49" s="6" t="str">
        <x:v>42</x:v>
      </x:c>
      <x:c r="E49" s="6" t="str">
        <x:v>15</x:v>
      </x:c>
      <x:c r="F49" s="6" t="str">
        <x:v>0</x:v>
      </x:c>
      <x:c r="G49" s="6" t="str">
        <x:v>0</x:v>
      </x:c>
      <x:c r="H49" s="6" t="str">
        <x:v>0</x:v>
      </x:c>
      <x:c r="I49" s="6" t="str">
        <x:v>2</x:v>
      </x:c>
      <x:c r="J49" s="6" t="str">
        <x:v>23</x:v>
      </x:c>
      <x:c r="K49" s="6" t="str">
        <x:v>0</x:v>
      </x:c>
      <x:c r="L49" s="6" t="str">
        <x:v>2</x:v>
      </x:c>
      <x:c r="M49" s="6" t="str">
        <x:v>0</x:v>
      </x:c>
      <x:c r="N49" s="6" t="str">
        <x:v>65</x:v>
      </x:c>
      <x:c r="O49" s="6" t="str">
        <x:v>25</x:v>
      </x:c>
      <x:c r="P49" s="6" t="str">
        <x:v>-17</x:v>
      </x:c>
      <x:c r="Q49" s="6" t="str">
        <x:v>different_definition_or_snapshot</x:v>
      </x:c>
    </x:row>
    <x:row r="50" ht="18" customHeight="1">
      <x:c r="A50" s="6" t="str">
        <x:v>71</x:v>
      </x:c>
      <x:c r="B50" s="6" t="str">
        <x:v>SULAWESI UTARA</x:v>
      </x:c>
      <x:c r="C50" s="6" t="str">
        <x:v>2024</x:v>
      </x:c>
      <x:c r="D50" s="6" t="str">
        <x:v>23</x:v>
      </x:c>
      <x:c r="E50" s="6" t="str">
        <x:v>17</x:v>
      </x:c>
      <x:c r="F50" s="6" t="str">
        <x:v>3</x:v>
      </x:c>
      <x:c r="G50" s="6" t="str">
        <x:v>1</x:v>
      </x:c>
      <x:c r="H50" s="6" t="str">
        <x:v>1</x:v>
      </x:c>
      <x:c r="I50" s="6" t="str">
        <x:v>0</x:v>
      </x:c>
      <x:c r="J50" s="6" t="str">
        <x:v>0</x:v>
      </x:c>
      <x:c r="K50" s="6" t="str">
        <x:v>0</x:v>
      </x:c>
      <x:c r="L50" s="6" t="str">
        <x:v>1</x:v>
      </x:c>
      <x:c r="M50" s="6" t="str">
        <x:v>0</x:v>
      </x:c>
      <x:c r="N50" s="6" t="str">
        <x:v>71</x:v>
      </x:c>
      <x:c r="O50" s="6" t="str">
        <x:v>23</x:v>
      </x:c>
      <x:c r="P50" s="6" t="str">
        <x:v>0</x:v>
      </x:c>
      <x:c r="Q50" s="6" t="str">
        <x:v>match</x:v>
      </x:c>
    </x:row>
    <x:row r="51" ht="18" customHeight="1">
      <x:c r="A51" s="6" t="str">
        <x:v>71</x:v>
      </x:c>
      <x:c r="B51" s="6" t="str">
        <x:v>SULAWESI UTARA</x:v>
      </x:c>
      <x:c r="C51" s="6" t="str">
        <x:v>2025</x:v>
      </x:c>
      <x:c r="D51" s="6" t="str">
        <x:v>38</x:v>
      </x:c>
      <x:c r="E51" s="6" t="str">
        <x:v>30</x:v>
      </x:c>
      <x:c r="F51" s="6" t="str">
        <x:v>3</x:v>
      </x:c>
      <x:c r="G51" s="6" t="str">
        <x:v>0</x:v>
      </x:c>
      <x:c r="H51" s="6" t="str">
        <x:v>0</x:v>
      </x:c>
      <x:c r="I51" s="6" t="str">
        <x:v>1</x:v>
      </x:c>
      <x:c r="J51" s="6" t="str">
        <x:v>1</x:v>
      </x:c>
      <x:c r="K51" s="6" t="str">
        <x:v>0</x:v>
      </x:c>
      <x:c r="L51" s="6" t="str">
        <x:v>3</x:v>
      </x:c>
      <x:c r="M51" s="6" t="str">
        <x:v>0</x:v>
      </x:c>
      <x:c r="N51" s="6" t="str">
        <x:v>71</x:v>
      </x:c>
      <x:c r="O51" s="6" t="str">
        <x:v>36</x:v>
      </x:c>
      <x:c r="P51" s="6" t="str">
        <x:v>-2</x:v>
      </x:c>
      <x:c r="Q51" s="6" t="str">
        <x:v>different_definition_or_snapshot</x:v>
      </x:c>
    </x:row>
    <x:row r="52" ht="18" customHeight="1">
      <x:c r="A52" s="6" t="str">
        <x:v>72</x:v>
      </x:c>
      <x:c r="B52" s="6" t="str">
        <x:v>SULAWESI TENGAH</x:v>
      </x:c>
      <x:c r="C52" s="6" t="str">
        <x:v>2024</x:v>
      </x:c>
      <x:c r="D52" s="6" t="str">
        <x:v>94</x:v>
      </x:c>
      <x:c r="E52" s="6" t="str">
        <x:v>85</x:v>
      </x:c>
      <x:c r="F52" s="6" t="str">
        <x:v>4</x:v>
      </x:c>
      <x:c r="G52" s="6" t="str">
        <x:v>0</x:v>
      </x:c>
      <x:c r="H52" s="6" t="str">
        <x:v>0</x:v>
      </x:c>
      <x:c r="I52" s="6" t="str">
        <x:v>2</x:v>
      </x:c>
      <x:c r="J52" s="6" t="str">
        <x:v>2</x:v>
      </x:c>
      <x:c r="K52" s="6" t="str">
        <x:v>0</x:v>
      </x:c>
      <x:c r="L52" s="6" t="str">
        <x:v>1</x:v>
      </x:c>
      <x:c r="M52" s="6" t="str">
        <x:v>0</x:v>
      </x:c>
      <x:c r="N52" s="6" t="str">
        <x:v>72</x:v>
      </x:c>
      <x:c r="O52" s="6" t="str">
        <x:v>94</x:v>
      </x:c>
      <x:c r="P52" s="6" t="str">
        <x:v>0</x:v>
      </x:c>
      <x:c r="Q52" s="6" t="str">
        <x:v>match</x:v>
      </x:c>
    </x:row>
    <x:row r="53" ht="18" customHeight="1">
      <x:c r="A53" s="6" t="str">
        <x:v>72</x:v>
      </x:c>
      <x:c r="B53" s="6" t="str">
        <x:v>SULAWESI TENGAH</x:v>
      </x:c>
      <x:c r="C53" s="6" t="str">
        <x:v>2025</x:v>
      </x:c>
      <x:c r="D53" s="6" t="str">
        <x:v>135</x:v>
      </x:c>
      <x:c r="E53" s="6" t="str">
        <x:v>103</x:v>
      </x:c>
      <x:c r="F53" s="6" t="str">
        <x:v>14</x:v>
      </x:c>
      <x:c r="G53" s="6" t="str">
        <x:v>0</x:v>
      </x:c>
      <x:c r="H53" s="6" t="str">
        <x:v>7</x:v>
      </x:c>
      <x:c r="I53" s="6" t="str">
        <x:v>4</x:v>
      </x:c>
      <x:c r="J53" s="6" t="str">
        <x:v>2</x:v>
      </x:c>
      <x:c r="K53" s="6" t="str">
        <x:v>0</x:v>
      </x:c>
      <x:c r="L53" s="6" t="str">
        <x:v>5</x:v>
      </x:c>
      <x:c r="M53" s="6" t="str">
        <x:v>0</x:v>
      </x:c>
      <x:c r="N53" s="6" t="str">
        <x:v>72</x:v>
      </x:c>
      <x:c r="O53" s="6" t="str">
        <x:v>127</x:v>
      </x:c>
      <x:c r="P53" s="6" t="str">
        <x:v>-8</x:v>
      </x:c>
      <x:c r="Q53" s="6" t="str">
        <x:v>different_definition_or_snapshot</x:v>
      </x:c>
    </x:row>
    <x:row r="54" ht="18" customHeight="1">
      <x:c r="A54" s="6" t="str">
        <x:v>73</x:v>
      </x:c>
      <x:c r="B54" s="6" t="str">
        <x:v>SULAWESI SELATAN</x:v>
      </x:c>
      <x:c r="C54" s="6" t="str">
        <x:v>2024</x:v>
      </x:c>
      <x:c r="D54" s="6" t="str">
        <x:v>165</x:v>
      </x:c>
      <x:c r="E54" s="6" t="str">
        <x:v>91</x:v>
      </x:c>
      <x:c r="F54" s="6" t="str">
        <x:v>45</x:v>
      </x:c>
      <x:c r="G54" s="6" t="str">
        <x:v>0</x:v>
      </x:c>
      <x:c r="H54" s="6" t="str">
        <x:v>2</x:v>
      </x:c>
      <x:c r="I54" s="6" t="str">
        <x:v>0</x:v>
      </x:c>
      <x:c r="J54" s="6" t="str">
        <x:v>3</x:v>
      </x:c>
      <x:c r="K54" s="6" t="str">
        <x:v>10</x:v>
      </x:c>
      <x:c r="L54" s="6" t="str">
        <x:v>14</x:v>
      </x:c>
      <x:c r="M54" s="6" t="str">
        <x:v>0</x:v>
      </x:c>
      <x:c r="N54" s="6" t="str">
        <x:v>73</x:v>
      </x:c>
      <x:c r="O54" s="6" t="str">
        <x:v>176</x:v>
      </x:c>
      <x:c r="P54" s="6" t="str">
        <x:v>11</x:v>
      </x:c>
      <x:c r="Q54" s="6" t="str">
        <x:v>different_definition_or_snapshot</x:v>
      </x:c>
    </x:row>
    <x:row r="55" ht="18" customHeight="1">
      <x:c r="A55" s="6" t="str">
        <x:v>73</x:v>
      </x:c>
      <x:c r="B55" s="6" t="str">
        <x:v>SULAWESI SELATAN</x:v>
      </x:c>
      <x:c r="C55" s="6" t="str">
        <x:v>2025</x:v>
      </x:c>
      <x:c r="D55" s="6" t="str">
        <x:v>147</x:v>
      </x:c>
      <x:c r="E55" s="6" t="str">
        <x:v>63</x:v>
      </x:c>
      <x:c r="F55" s="6" t="str">
        <x:v>65</x:v>
      </x:c>
      <x:c r="G55" s="6" t="str">
        <x:v>0</x:v>
      </x:c>
      <x:c r="H55" s="6" t="str">
        <x:v>2</x:v>
      </x:c>
      <x:c r="I55" s="6" t="str">
        <x:v>0</x:v>
      </x:c>
      <x:c r="J55" s="6" t="str">
        <x:v>3</x:v>
      </x:c>
      <x:c r="K55" s="6" t="str">
        <x:v>0</x:v>
      </x:c>
      <x:c r="L55" s="6" t="str">
        <x:v>14</x:v>
      </x:c>
      <x:c r="M55" s="6" t="str">
        <x:v>0</x:v>
      </x:c>
      <x:c r="N55" s="6" t="str">
        <x:v>73</x:v>
      </x:c>
      <x:c r="O55" s="6" t="str">
        <x:v>130</x:v>
      </x:c>
      <x:c r="P55" s="6" t="str">
        <x:v>-17</x:v>
      </x:c>
      <x:c r="Q55" s="6" t="str">
        <x:v>different_definition_or_snapshot</x:v>
      </x:c>
    </x:row>
    <x:row r="56" ht="18" customHeight="1">
      <x:c r="A56" s="6" t="str">
        <x:v>74</x:v>
      </x:c>
      <x:c r="B56" s="6" t="str">
        <x:v>SULAWESI TENGGARA</x:v>
      </x:c>
      <x:c r="C56" s="6" t="str">
        <x:v>2024</x:v>
      </x:c>
      <x:c r="D56" s="6" t="str">
        <x:v>20</x:v>
      </x:c>
      <x:c r="E56" s="6" t="str">
        <x:v>17</x:v>
      </x:c>
      <x:c r="F56" s="6" t="str">
        <x:v>3</x:v>
      </x:c>
      <x:c r="G56" s="6" t="str">
        <x:v>0</x:v>
      </x:c>
      <x:c r="H56" s="6" t="str">
        <x:v>0</x:v>
      </x:c>
      <x:c r="I56" s="6" t="str">
        <x:v>0</x:v>
      </x:c>
      <x:c r="J56" s="6" t="str">
        <x:v>0</x:v>
      </x:c>
      <x:c r="K56" s="6" t="str">
        <x:v>0</x:v>
      </x:c>
      <x:c r="L56" s="6" t="str">
        <x:v>0</x:v>
      </x:c>
      <x:c r="M56" s="6" t="str">
        <x:v>0</x:v>
      </x:c>
      <x:c r="N56" s="6" t="str">
        <x:v>74</x:v>
      </x:c>
      <x:c r="O56" s="6" t="str">
        <x:v>20</x:v>
      </x:c>
      <x:c r="P56" s="6" t="str">
        <x:v>0</x:v>
      </x:c>
      <x:c r="Q56" s="6" t="str">
        <x:v>match</x:v>
      </x:c>
    </x:row>
    <x:row r="57" ht="18" customHeight="1">
      <x:c r="A57" s="6" t="str">
        <x:v>74</x:v>
      </x:c>
      <x:c r="B57" s="6" t="str">
        <x:v>SULAWESI TENGGARA</x:v>
      </x:c>
      <x:c r="C57" s="6" t="str">
        <x:v>2025</x:v>
      </x:c>
      <x:c r="D57" s="6" t="str">
        <x:v>59</x:v>
      </x:c>
      <x:c r="E57" s="6" t="str">
        <x:v>43</x:v>
      </x:c>
      <x:c r="F57" s="6" t="str">
        <x:v>6</x:v>
      </x:c>
      <x:c r="G57" s="6" t="str">
        <x:v>0</x:v>
      </x:c>
      <x:c r="H57" s="6" t="str">
        <x:v>1</x:v>
      </x:c>
      <x:c r="I57" s="6" t="str">
        <x:v>3</x:v>
      </x:c>
      <x:c r="J57" s="6" t="str">
        <x:v>0</x:v>
      </x:c>
      <x:c r="K57" s="6" t="str">
        <x:v>0</x:v>
      </x:c>
      <x:c r="L57" s="6" t="str">
        <x:v>6</x:v>
      </x:c>
      <x:c r="M57" s="6" t="str">
        <x:v>0</x:v>
      </x:c>
      <x:c r="N57" s="6" t="str">
        <x:v>74</x:v>
      </x:c>
      <x:c r="O57" s="6" t="str">
        <x:v>18</x:v>
      </x:c>
      <x:c r="P57" s="6" t="str">
        <x:v>-41</x:v>
      </x:c>
      <x:c r="Q57" s="6" t="str">
        <x:v>different_definition_or_snapshot</x:v>
      </x:c>
    </x:row>
    <x:row r="58" ht="18" customHeight="1">
      <x:c r="A58" s="6" t="str">
        <x:v>75</x:v>
      </x:c>
      <x:c r="B58" s="6" t="str">
        <x:v>GORONTALO</x:v>
      </x:c>
      <x:c r="C58" s="6" t="str">
        <x:v>2024</x:v>
      </x:c>
      <x:c r="D58" s="6" t="str">
        <x:v>35</x:v>
      </x:c>
      <x:c r="E58" s="6" t="str">
        <x:v>31</x:v>
      </x:c>
      <x:c r="F58" s="6" t="str">
        <x:v>1</x:v>
      </x:c>
      <x:c r="G58" s="6" t="str">
        <x:v>0</x:v>
      </x:c>
      <x:c r="H58" s="6" t="str">
        <x:v>0</x:v>
      </x:c>
      <x:c r="I58" s="6" t="str">
        <x:v>0</x:v>
      </x:c>
      <x:c r="J58" s="6" t="str">
        <x:v>0</x:v>
      </x:c>
      <x:c r="K58" s="6" t="str">
        <x:v>1</x:v>
      </x:c>
      <x:c r="L58" s="6" t="str">
        <x:v>2</x:v>
      </x:c>
      <x:c r="M58" s="6" t="str">
        <x:v>0</x:v>
      </x:c>
      <x:c r="N58" s="6" t="str">
        <x:v>75</x:v>
      </x:c>
      <x:c r="O58" s="6" t="str">
        <x:v>36</x:v>
      </x:c>
      <x:c r="P58" s="6" t="str">
        <x:v>1</x:v>
      </x:c>
      <x:c r="Q58" s="6" t="str">
        <x:v>different_definition_or_snapshot</x:v>
      </x:c>
    </x:row>
    <x:row r="59" ht="18" customHeight="1">
      <x:c r="A59" s="6" t="str">
        <x:v>75</x:v>
      </x:c>
      <x:c r="B59" s="6" t="str">
        <x:v>GORONTALO</x:v>
      </x:c>
      <x:c r="C59" s="6" t="str">
        <x:v>2025</x:v>
      </x:c>
      <x:c r="D59" s="6" t="str">
        <x:v>71</x:v>
      </x:c>
      <x:c r="E59" s="6" t="str">
        <x:v>65</x:v>
      </x:c>
      <x:c r="F59" s="6" t="str">
        <x:v>4</x:v>
      </x:c>
      <x:c r="G59" s="6" t="str">
        <x:v>0</x:v>
      </x:c>
      <x:c r="H59" s="6" t="str">
        <x:v>0</x:v>
      </x:c>
      <x:c r="I59" s="6" t="str">
        <x:v>0</x:v>
      </x:c>
      <x:c r="J59" s="6" t="str">
        <x:v>0</x:v>
      </x:c>
      <x:c r="K59" s="6" t="str">
        <x:v>0</x:v>
      </x:c>
      <x:c r="L59" s="6" t="str">
        <x:v>1</x:v>
      </x:c>
      <x:c r="M59" s="6" t="str">
        <x:v>1</x:v>
      </x:c>
      <x:c r="N59" s="6" t="str">
        <x:v>75</x:v>
      </x:c>
      <x:c r="O59" s="6" t="str">
        <x:v>40</x:v>
      </x:c>
      <x:c r="P59" s="6" t="str">
        <x:v>-31</x:v>
      </x:c>
      <x:c r="Q59" s="6" t="str">
        <x:v>different_definition_or_snapshot</x:v>
      </x:c>
    </x:row>
    <x:row r="60" ht="18" customHeight="1">
      <x:c r="A60" s="6" t="str">
        <x:v>76</x:v>
      </x:c>
      <x:c r="B60" s="6" t="str">
        <x:v>SULAWESI BARAT</x:v>
      </x:c>
      <x:c r="C60" s="6" t="str">
        <x:v>2024</x:v>
      </x:c>
      <x:c r="D60" s="6" t="str">
        <x:v>22</x:v>
      </x:c>
      <x:c r="E60" s="6" t="str">
        <x:v>15</x:v>
      </x:c>
      <x:c r="F60" s="6" t="str">
        <x:v>4</x:v>
      </x:c>
      <x:c r="G60" s="6" t="str">
        <x:v>0</x:v>
      </x:c>
      <x:c r="H60" s="6" t="str">
        <x:v>0</x:v>
      </x:c>
      <x:c r="I60" s="6" t="str">
        <x:v>0</x:v>
      </x:c>
      <x:c r="J60" s="6" t="str">
        <x:v>0</x:v>
      </x:c>
      <x:c r="K60" s="6" t="str">
        <x:v>0</x:v>
      </x:c>
      <x:c r="L60" s="6" t="str">
        <x:v>3</x:v>
      </x:c>
      <x:c r="M60" s="6" t="str">
        <x:v>0</x:v>
      </x:c>
      <x:c r="N60" s="6" t="str">
        <x:v>76</x:v>
      </x:c>
      <x:c r="O60" s="6" t="str">
        <x:v>22</x:v>
      </x:c>
      <x:c r="P60" s="6" t="str">
        <x:v>0</x:v>
      </x:c>
      <x:c r="Q60" s="6" t="str">
        <x:v>match</x:v>
      </x:c>
    </x:row>
    <x:row r="61" ht="18" customHeight="1">
      <x:c r="A61" s="6" t="str">
        <x:v>76</x:v>
      </x:c>
      <x:c r="B61" s="6" t="str">
        <x:v>SULAWESI BARAT</x:v>
      </x:c>
      <x:c r="C61" s="6" t="str">
        <x:v>2025</x:v>
      </x:c>
      <x:c r="D61" s="6" t="str">
        <x:v>27</x:v>
      </x:c>
      <x:c r="E61" s="6" t="str">
        <x:v>15</x:v>
      </x:c>
      <x:c r="F61" s="6" t="str">
        <x:v>5</x:v>
      </x:c>
      <x:c r="G61" s="6" t="str">
        <x:v>0</x:v>
      </x:c>
      <x:c r="H61" s="6" t="str">
        <x:v>0</x:v>
      </x:c>
      <x:c r="I61" s="6" t="str">
        <x:v>0</x:v>
      </x:c>
      <x:c r="J61" s="6" t="str">
        <x:v>0</x:v>
      </x:c>
      <x:c r="K61" s="6" t="str">
        <x:v>0</x:v>
      </x:c>
      <x:c r="L61" s="6" t="str">
        <x:v>7</x:v>
      </x:c>
      <x:c r="M61" s="6" t="str">
        <x:v>0</x:v>
      </x:c>
      <x:c r="N61" s="6" t="str">
        <x:v>76</x:v>
      </x:c>
      <x:c r="O61" s="6" t="str">
        <x:v>18</x:v>
      </x:c>
      <x:c r="P61" s="6" t="str">
        <x:v>-9</x:v>
      </x:c>
      <x:c r="Q61" s="6" t="str">
        <x:v>different_definition_or_snapshot</x:v>
      </x:c>
    </x:row>
    <x:row r="62" ht="18" customHeight="1">
      <x:c r="A62" s="6" t="str">
        <x:v>81</x:v>
      </x:c>
      <x:c r="B62" s="6" t="str">
        <x:v>MALUKU</x:v>
      </x:c>
      <x:c r="C62" s="6" t="str">
        <x:v>2024</x:v>
      </x:c>
      <x:c r="D62" s="6" t="str">
        <x:v>36</x:v>
      </x:c>
      <x:c r="E62" s="6" t="str">
        <x:v>18</x:v>
      </x:c>
      <x:c r="F62" s="6" t="str">
        <x:v>11</x:v>
      </x:c>
      <x:c r="G62" s="6" t="str">
        <x:v>0</x:v>
      </x:c>
      <x:c r="H62" s="6" t="str">
        <x:v>3</x:v>
      </x:c>
      <x:c r="I62" s="6" t="str">
        <x:v>0</x:v>
      </x:c>
      <x:c r="J62" s="6" t="str">
        <x:v>1</x:v>
      </x:c>
      <x:c r="K62" s="6" t="str">
        <x:v>0</x:v>
      </x:c>
      <x:c r="L62" s="6" t="str">
        <x:v>3</x:v>
      </x:c>
      <x:c r="M62" s="6" t="str">
        <x:v>0</x:v>
      </x:c>
      <x:c r="N62" s="6" t="str">
        <x:v>81</x:v>
      </x:c>
      <x:c r="O62" s="6" t="str">
        <x:v>36</x:v>
      </x:c>
      <x:c r="P62" s="6" t="str">
        <x:v>0</x:v>
      </x:c>
      <x:c r="Q62" s="6" t="str">
        <x:v>match</x:v>
      </x:c>
    </x:row>
    <x:row r="63" ht="18" customHeight="1">
      <x:c r="A63" s="6" t="str">
        <x:v>81</x:v>
      </x:c>
      <x:c r="B63" s="6" t="str">
        <x:v>MALUKU</x:v>
      </x:c>
      <x:c r="C63" s="6" t="str">
        <x:v>2025</x:v>
      </x:c>
      <x:c r="D63" s="6" t="str">
        <x:v>51</x:v>
      </x:c>
      <x:c r="E63" s="6" t="str">
        <x:v>32</x:v>
      </x:c>
      <x:c r="F63" s="6" t="str">
        <x:v>4</x:v>
      </x:c>
      <x:c r="G63" s="6" t="str">
        <x:v>0</x:v>
      </x:c>
      <x:c r="H63" s="6" t="str">
        <x:v>1</x:v>
      </x:c>
      <x:c r="I63" s="6" t="str">
        <x:v>2</x:v>
      </x:c>
      <x:c r="J63" s="6" t="str">
        <x:v>0</x:v>
      </x:c>
      <x:c r="K63" s="6" t="str">
        <x:v>0</x:v>
      </x:c>
      <x:c r="L63" s="6" t="str">
        <x:v>12</x:v>
      </x:c>
      <x:c r="M63" s="6" t="str">
        <x:v>0</x:v>
      </x:c>
      <x:c r="N63" s="6" t="str">
        <x:v>81</x:v>
      </x:c>
      <x:c r="O63" s="6" t="str">
        <x:v>29</x:v>
      </x:c>
      <x:c r="P63" s="6" t="str">
        <x:v>-22</x:v>
      </x:c>
      <x:c r="Q63" s="6" t="str">
        <x:v>different_definition_or_snapshot</x:v>
      </x:c>
    </x:row>
    <x:row r="64" ht="18" customHeight="1">
      <x:c r="A64" s="6" t="str">
        <x:v>82</x:v>
      </x:c>
      <x:c r="B64" s="6" t="str">
        <x:v>MALUKU UTARA</x:v>
      </x:c>
      <x:c r="C64" s="6" t="str">
        <x:v>2024</x:v>
      </x:c>
      <x:c r="D64" s="6" t="str">
        <x:v>55</x:v>
      </x:c>
      <x:c r="E64" s="6" t="str">
        <x:v>40</x:v>
      </x:c>
      <x:c r="F64" s="6" t="str">
        <x:v>6</x:v>
      </x:c>
      <x:c r="G64" s="6" t="str">
        <x:v>1</x:v>
      </x:c>
      <x:c r="H64" s="6" t="str">
        <x:v>3</x:v>
      </x:c>
      <x:c r="I64" s="6" t="str">
        <x:v>1</x:v>
      </x:c>
      <x:c r="J64" s="6" t="str">
        <x:v>0</x:v>
      </x:c>
      <x:c r="K64" s="6" t="str">
        <x:v>0</x:v>
      </x:c>
      <x:c r="L64" s="6" t="str">
        <x:v>4</x:v>
      </x:c>
      <x:c r="M64" s="6" t="str">
        <x:v>0</x:v>
      </x:c>
      <x:c r="N64" s="6" t="str">
        <x:v>82</x:v>
      </x:c>
      <x:c r="O64" s="6" t="str">
        <x:v>56</x:v>
      </x:c>
      <x:c r="P64" s="6" t="str">
        <x:v>1</x:v>
      </x:c>
      <x:c r="Q64" s="6" t="str">
        <x:v>different_definition_or_snapshot</x:v>
      </x:c>
    </x:row>
    <x:row r="65" ht="18" customHeight="1">
      <x:c r="A65" s="6" t="str">
        <x:v>82</x:v>
      </x:c>
      <x:c r="B65" s="6" t="str">
        <x:v>MALUKU UTARA</x:v>
      </x:c>
      <x:c r="C65" s="6" t="str">
        <x:v>2025</x:v>
      </x:c>
      <x:c r="D65" s="6" t="str">
        <x:v>78</x:v>
      </x:c>
      <x:c r="E65" s="6" t="str">
        <x:v>59</x:v>
      </x:c>
      <x:c r="F65" s="6" t="str">
        <x:v>11</x:v>
      </x:c>
      <x:c r="G65" s="6" t="str">
        <x:v>1</x:v>
      </x:c>
      <x:c r="H65" s="6" t="str">
        <x:v>2</x:v>
      </x:c>
      <x:c r="I65" s="6" t="str">
        <x:v>0</x:v>
      </x:c>
      <x:c r="J65" s="6" t="str">
        <x:v>0</x:v>
      </x:c>
      <x:c r="K65" s="6" t="str">
        <x:v>0</x:v>
      </x:c>
      <x:c r="L65" s="6" t="str">
        <x:v>5</x:v>
      </x:c>
      <x:c r="M65" s="6" t="str">
        <x:v>0</x:v>
      </x:c>
      <x:c r="N65" s="6" t="str">
        <x:v>82</x:v>
      </x:c>
      <x:c r="O65" s="6" t="str">
        <x:v>56</x:v>
      </x:c>
      <x:c r="P65" s="6" t="str">
        <x:v>-22</x:v>
      </x:c>
      <x:c r="Q65" s="6" t="str">
        <x:v>different_definition_or_snapshot</x:v>
      </x:c>
    </x:row>
    <x:row r="66" ht="18" customHeight="1">
      <x:c r="A66" s="6" t="str">
        <x:v>92</x:v>
      </x:c>
      <x:c r="B66" s="6" t="str">
        <x:v>PAPUA BARAT</x:v>
      </x:c>
      <x:c r="C66" s="6" t="str">
        <x:v>2024</x:v>
      </x:c>
      <x:c r="D66" s="6" t="str">
        <x:v>18</x:v>
      </x:c>
      <x:c r="E66" s="6" t="str">
        <x:v>15</x:v>
      </x:c>
      <x:c r="F66" s="6" t="str">
        <x:v>0</x:v>
      </x:c>
      <x:c r="G66" s="6" t="str">
        <x:v>0</x:v>
      </x:c>
      <x:c r="H66" s="6" t="str">
        <x:v>2</x:v>
      </x:c>
      <x:c r="I66" s="6" t="str">
        <x:v>0</x:v>
      </x:c>
      <x:c r="J66" s="6" t="str">
        <x:v>0</x:v>
      </x:c>
      <x:c r="K66" s="6" t="str">
        <x:v>0</x:v>
      </x:c>
      <x:c r="L66" s="6" t="str">
        <x:v>1</x:v>
      </x:c>
      <x:c r="M66" s="6" t="str">
        <x:v>0</x:v>
      </x:c>
      <x:c r="N66" s="6" t="str">
        <x:v>91</x:v>
      </x:c>
      <x:c r="O66" s="6" t="str">
        <x:v>18</x:v>
      </x:c>
      <x:c r="P66" s="6" t="str">
        <x:v>0</x:v>
      </x:c>
      <x:c r="Q66" s="6" t="str">
        <x:v>match</x:v>
      </x:c>
    </x:row>
    <x:row r="67" ht="18" customHeight="1">
      <x:c r="A67" s="6" t="str">
        <x:v>92</x:v>
      </x:c>
      <x:c r="B67" s="6" t="str">
        <x:v>PAPUA BARAT</x:v>
      </x:c>
      <x:c r="C67" s="6" t="str">
        <x:v>2025</x:v>
      </x:c>
      <x:c r="D67" s="6" t="str">
        <x:v>9</x:v>
      </x:c>
      <x:c r="E67" s="6" t="str">
        <x:v>7</x:v>
      </x:c>
      <x:c r="F67" s="6" t="str">
        <x:v>2</x:v>
      </x:c>
      <x:c r="G67" s="6" t="str">
        <x:v>0</x:v>
      </x:c>
      <x:c r="H67" s="6" t="str">
        <x:v>0</x:v>
      </x:c>
      <x:c r="I67" s="6" t="str">
        <x:v>0</x:v>
      </x:c>
      <x:c r="J67" s="6" t="str">
        <x:v>0</x:v>
      </x:c>
      <x:c r="K67" s="6" t="str">
        <x:v>0</x:v>
      </x:c>
      <x:c r="L67" s="6" t="str">
        <x:v>0</x:v>
      </x:c>
      <x:c r="M67" s="6" t="str">
        <x:v>0</x:v>
      </x:c>
      <x:c r="N67" s="6" t="str">
        <x:v>91</x:v>
      </x:c>
      <x:c r="O67" s="6" t="str">
        <x:v>7</x:v>
      </x:c>
      <x:c r="P67" s="6" t="str">
        <x:v>-2</x:v>
      </x:c>
      <x:c r="Q67" s="6" t="str">
        <x:v>different_definition_or_snapshot</x:v>
      </x:c>
    </x:row>
    <x:row r="68" ht="18" customHeight="1">
      <x:c r="A68" s="6" t="str">
        <x:v>96</x:v>
      </x:c>
      <x:c r="B68" s="6" t="str">
        <x:v>PAPUA BARAT DAYA</x:v>
      </x:c>
      <x:c r="C68" s="6" t="str">
        <x:v>2024</x:v>
      </x:c>
      <x:c r="D68" s="6" t="str">
        <x:v>4</x:v>
      </x:c>
      <x:c r="E68" s="6" t="str">
        <x:v>4</x:v>
      </x:c>
      <x:c r="F68" s="6" t="str">
        <x:v>0</x:v>
      </x:c>
      <x:c r="G68" s="6" t="str">
        <x:v>0</x:v>
      </x:c>
      <x:c r="H68" s="6" t="str">
        <x:v>0</x:v>
      </x:c>
      <x:c r="I68" s="6" t="str">
        <x:v>0</x:v>
      </x:c>
      <x:c r="J68" s="6" t="str">
        <x:v>0</x:v>
      </x:c>
      <x:c r="K68" s="6" t="str">
        <x:v>0</x:v>
      </x:c>
      <x:c r="L68" s="6" t="str">
        <x:v>0</x:v>
      </x:c>
      <x:c r="M68" s="6" t="str">
        <x:v>0</x:v>
      </x:c>
      <x:c r="N68" s="6" t="str">
        <x:v>92</x:v>
      </x:c>
      <x:c r="O68" s="6" t="str">
        <x:v>4</x:v>
      </x:c>
      <x:c r="P68" s="6" t="str">
        <x:v>0</x:v>
      </x:c>
      <x:c r="Q68" s="6" t="str">
        <x:v>match</x:v>
      </x:c>
    </x:row>
    <x:row r="69" ht="18" customHeight="1">
      <x:c r="A69" s="6" t="str">
        <x:v>96</x:v>
      </x:c>
      <x:c r="B69" s="6" t="str">
        <x:v>PAPUA BARAT DAYA</x:v>
      </x:c>
      <x:c r="C69" s="6" t="str">
        <x:v>2025</x:v>
      </x:c>
      <x:c r="D69" s="6" t="str">
        <x:v>5</x:v>
      </x:c>
      <x:c r="E69" s="6" t="str">
        <x:v>3</x:v>
      </x:c>
      <x:c r="F69" s="6" t="str">
        <x:v>0</x:v>
      </x:c>
      <x:c r="G69" s="6" t="str">
        <x:v>0</x:v>
      </x:c>
      <x:c r="H69" s="6" t="str">
        <x:v>0</x:v>
      </x:c>
      <x:c r="I69" s="6" t="str">
        <x:v>0</x:v>
      </x:c>
      <x:c r="J69" s="6" t="str">
        <x:v>0</x:v>
      </x:c>
      <x:c r="K69" s="6" t="str">
        <x:v>0</x:v>
      </x:c>
      <x:c r="L69" s="6" t="str">
        <x:v>2</x:v>
      </x:c>
      <x:c r="M69" s="6" t="str">
        <x:v>0</x:v>
      </x:c>
      <x:c r="N69" s="6" t="str">
        <x:v>92</x:v>
      </x:c>
      <x:c r="O69" s="6" t="str">
        <x:v>5</x:v>
      </x:c>
      <x:c r="P69" s="6" t="str">
        <x:v>0</x:v>
      </x:c>
      <x:c r="Q69" s="6" t="str">
        <x:v>match</x:v>
      </x:c>
    </x:row>
    <x:row r="70" ht="18" customHeight="1">
      <x:c r="A70" s="6" t="str">
        <x:v>91</x:v>
      </x:c>
      <x:c r="B70" s="6" t="str">
        <x:v>PAPUA</x:v>
      </x:c>
      <x:c r="C70" s="6" t="str">
        <x:v>2024</x:v>
      </x:c>
      <x:c r="D70" s="6" t="str">
        <x:v>19</x:v>
      </x:c>
      <x:c r="E70" s="6" t="str">
        <x:v>15</x:v>
      </x:c>
      <x:c r="F70" s="6" t="str">
        <x:v>2</x:v>
      </x:c>
      <x:c r="G70" s="6" t="str">
        <x:v>0</x:v>
      </x:c>
      <x:c r="H70" s="6" t="str">
        <x:v>2</x:v>
      </x:c>
      <x:c r="I70" s="6" t="str">
        <x:v>0</x:v>
      </x:c>
      <x:c r="J70" s="6" t="str">
        <x:v>0</x:v>
      </x:c>
      <x:c r="K70" s="6" t="str">
        <x:v>0</x:v>
      </x:c>
      <x:c r="L70" s="6" t="str">
        <x:v>0</x:v>
      </x:c>
      <x:c r="M70" s="6" t="str">
        <x:v>0</x:v>
      </x:c>
      <x:c r="N70" s="6" t="str">
        <x:v>94</x:v>
      </x:c>
      <x:c r="O70" s="6" t="str">
        <x:v>19</x:v>
      </x:c>
      <x:c r="P70" s="6" t="str">
        <x:v>0</x:v>
      </x:c>
      <x:c r="Q70" s="6" t="str">
        <x:v>match</x:v>
      </x:c>
    </x:row>
    <x:row r="71" ht="18" customHeight="1">
      <x:c r="A71" s="6" t="str">
        <x:v>91</x:v>
      </x:c>
      <x:c r="B71" s="6" t="str">
        <x:v>PAPUA</x:v>
      </x:c>
      <x:c r="C71" s="6" t="str">
        <x:v>2025</x:v>
      </x:c>
      <x:c r="D71" s="6" t="str">
        <x:v>17</x:v>
      </x:c>
      <x:c r="E71" s="6" t="str">
        <x:v>12</x:v>
      </x:c>
      <x:c r="F71" s="6" t="str">
        <x:v>0</x:v>
      </x:c>
      <x:c r="G71" s="6" t="str">
        <x:v>0</x:v>
      </x:c>
      <x:c r="H71" s="6" t="str">
        <x:v>0</x:v>
      </x:c>
      <x:c r="I71" s="6" t="str">
        <x:v>3</x:v>
      </x:c>
      <x:c r="J71" s="6" t="str">
        <x:v>0</x:v>
      </x:c>
      <x:c r="K71" s="6" t="str">
        <x:v>0</x:v>
      </x:c>
      <x:c r="L71" s="6" t="str">
        <x:v>2</x:v>
      </x:c>
      <x:c r="M71" s="6" t="str">
        <x:v>0</x:v>
      </x:c>
      <x:c r="N71" s="6" t="str">
        <x:v>94</x:v>
      </x:c>
      <x:c r="O71" s="6" t="str">
        <x:v>15</x:v>
      </x:c>
      <x:c r="P71" s="6" t="str">
        <x:v>-2</x:v>
      </x:c>
      <x:c r="Q71" s="6" t="str">
        <x:v>different_definition_or_snapshot</x:v>
      </x:c>
    </x:row>
    <x:row r="72" ht="18" customHeight="1">
      <x:c r="A72" s="6" t="str">
        <x:v>93</x:v>
      </x:c>
      <x:c r="B72" s="6" t="str">
        <x:v>PAPUA SELATAN</x:v>
      </x:c>
      <x:c r="C72" s="6" t="str">
        <x:v>2024</x:v>
      </x:c>
      <x:c r="D72" s="6" t="str">
        <x:v>3</x:v>
      </x:c>
      <x:c r="E72" s="6" t="str">
        <x:v>2</x:v>
      </x:c>
      <x:c r="F72" s="6" t="str">
        <x:v>0</x:v>
      </x:c>
      <x:c r="G72" s="6" t="str">
        <x:v>0</x:v>
      </x:c>
      <x:c r="H72" s="6" t="str">
        <x:v>1</x:v>
      </x:c>
      <x:c r="I72" s="6" t="str">
        <x:v>0</x:v>
      </x:c>
      <x:c r="J72" s="6" t="str">
        <x:v>0</x:v>
      </x:c>
      <x:c r="K72" s="6" t="str">
        <x:v>0</x:v>
      </x:c>
      <x:c r="L72" s="6" t="str">
        <x:v>0</x:v>
      </x:c>
      <x:c r="M72" s="6" t="str">
        <x:v>0</x:v>
      </x:c>
      <x:c r="N72" s="6" t="str">
        <x:v>95</x:v>
      </x:c>
      <x:c r="O72" s="6" t="str">
        <x:v>3</x:v>
      </x:c>
      <x:c r="P72" s="6" t="str">
        <x:v>0</x:v>
      </x:c>
      <x:c r="Q72" s="6" t="str">
        <x:v>match</x:v>
      </x:c>
    </x:row>
    <x:row r="73" ht="18" customHeight="1">
      <x:c r="A73" s="6" t="str">
        <x:v>93</x:v>
      </x:c>
      <x:c r="B73" s="6" t="str">
        <x:v>PAPUA SELATAN</x:v>
      </x:c>
      <x:c r="C73" s="6" t="str">
        <x:v>2025</x:v>
      </x:c>
      <x:c r="D73" s="6" t="str">
        <x:v>1</x:v>
      </x:c>
      <x:c r="E73" s="6" t="str">
        <x:v>1</x:v>
      </x:c>
      <x:c r="F73" s="6" t="str">
        <x:v>0</x:v>
      </x:c>
      <x:c r="G73" s="6" t="str">
        <x:v>0</x:v>
      </x:c>
      <x:c r="H73" s="6" t="str">
        <x:v>0</x:v>
      </x:c>
      <x:c r="I73" s="6" t="str">
        <x:v>0</x:v>
      </x:c>
      <x:c r="J73" s="6" t="str">
        <x:v>0</x:v>
      </x:c>
      <x:c r="K73" s="6" t="str">
        <x:v>0</x:v>
      </x:c>
      <x:c r="L73" s="6" t="str">
        <x:v>0</x:v>
      </x:c>
      <x:c r="M73" s="6" t="str">
        <x:v>0</x:v>
      </x:c>
      <x:c r="N73" s="6" t="str">
        <x:v>95</x:v>
      </x:c>
      <x:c r="O73" s="6" t="str">
        <x:v>1</x:v>
      </x:c>
      <x:c r="P73" s="6" t="str">
        <x:v>0</x:v>
      </x:c>
      <x:c r="Q73" s="6" t="str">
        <x:v>match</x:v>
      </x:c>
    </x:row>
    <x:row r="74" ht="18" customHeight="1">
      <x:c r="A74" s="6" t="str">
        <x:v>94</x:v>
      </x:c>
      <x:c r="B74" s="6" t="str">
        <x:v>PAPUA TENGAH</x:v>
      </x:c>
      <x:c r="C74" s="6" t="str">
        <x:v>2024</x:v>
      </x:c>
      <x:c r="D74" s="6" t="str">
        <x:v>5</x:v>
      </x:c>
      <x:c r="E74" s="6" t="str">
        <x:v>5</x:v>
      </x:c>
      <x:c r="F74" s="6" t="str">
        <x:v>0</x:v>
      </x:c>
      <x:c r="G74" s="6" t="str">
        <x:v>0</x:v>
      </x:c>
      <x:c r="H74" s="6" t="str">
        <x:v>0</x:v>
      </x:c>
      <x:c r="I74" s="6" t="str">
        <x:v>0</x:v>
      </x:c>
      <x:c r="J74" s="6" t="str">
        <x:v>0</x:v>
      </x:c>
      <x:c r="K74" s="6" t="str">
        <x:v>0</x:v>
      </x:c>
      <x:c r="L74" s="6" t="str">
        <x:v>0</x:v>
      </x:c>
      <x:c r="M74" s="6" t="str">
        <x:v>0</x:v>
      </x:c>
      <x:c r="N74" s="6" t="str">
        <x:v>96</x:v>
      </x:c>
      <x:c r="O74" s="6" t="str">
        <x:v>5</x:v>
      </x:c>
      <x:c r="P74" s="6" t="str">
        <x:v>0</x:v>
      </x:c>
      <x:c r="Q74" s="6" t="str">
        <x:v>match</x:v>
      </x:c>
    </x:row>
    <x:row r="75" ht="18" customHeight="1">
      <x:c r="A75" s="6" t="str">
        <x:v>94</x:v>
      </x:c>
      <x:c r="B75" s="6" t="str">
        <x:v>PAPUA TENGAH</x:v>
      </x:c>
      <x:c r="C75" s="6" t="str">
        <x:v>2025</x:v>
      </x:c>
      <x:c r="D75" s="6" t="str">
        <x:v>4</x:v>
      </x:c>
      <x:c r="E75" s="6" t="str">
        <x:v>1</x:v>
      </x:c>
      <x:c r="F75" s="6" t="str">
        <x:v>0</x:v>
      </x:c>
      <x:c r="G75" s="6" t="str">
        <x:v>0</x:v>
      </x:c>
      <x:c r="H75" s="6" t="str">
        <x:v>0</x:v>
      </x:c>
      <x:c r="I75" s="6" t="str">
        <x:v>1</x:v>
      </x:c>
      <x:c r="J75" s="6" t="str">
        <x:v>0</x:v>
      </x:c>
      <x:c r="K75" s="6" t="str">
        <x:v>0</x:v>
      </x:c>
      <x:c r="L75" s="6" t="str">
        <x:v>2</x:v>
      </x:c>
      <x:c r="M75" s="6" t="str">
        <x:v>0</x:v>
      </x:c>
      <x:c r="N75" s="6" t="str">
        <x:v>96</x:v>
      </x:c>
      <x:c r="O75" s="6" t="str">
        <x:v>4</x:v>
      </x:c>
      <x:c r="P75" s="6" t="str">
        <x:v>0</x:v>
      </x:c>
      <x:c r="Q75" s="6" t="str">
        <x:v>match</x:v>
      </x:c>
    </x:row>
    <x:row r="76" ht="18" customHeight="1">
      <x:c r="A76" s="6" t="str">
        <x:v>95</x:v>
      </x:c>
      <x:c r="B76" s="6" t="str">
        <x:v>PAPUA PEGUNUNGAN</x:v>
      </x:c>
      <x:c r="C76" s="6" t="str">
        <x:v>2024</x:v>
      </x:c>
      <x:c r="D76" s="6" t="str">
        <x:v>3</x:v>
      </x:c>
      <x:c r="E76" s="6" t="str">
        <x:v>0</x:v>
      </x:c>
      <x:c r="F76" s="6" t="str">
        <x:v>0</x:v>
      </x:c>
      <x:c r="G76" s="6" t="str">
        <x:v>0</x:v>
      </x:c>
      <x:c r="H76" s="6" t="str">
        <x:v>0</x:v>
      </x:c>
      <x:c r="I76" s="6" t="str">
        <x:v>0</x:v>
      </x:c>
      <x:c r="J76" s="6" t="str">
        <x:v>0</x:v>
      </x:c>
      <x:c r="K76" s="6" t="str">
        <x:v>0</x:v>
      </x:c>
      <x:c r="L76" s="6" t="str">
        <x:v>3</x:v>
      </x:c>
      <x:c r="M76" s="6" t="str">
        <x:v>0</x:v>
      </x:c>
      <x:c r="N76" s="6" t="str">
        <x:v>97</x:v>
      </x:c>
      <x:c r="O76" s="6" t="str">
        <x:v>3</x:v>
      </x:c>
      <x:c r="P76" s="6" t="str">
        <x:v>0</x:v>
      </x:c>
      <x:c r="Q76" s="6" t="str">
        <x:v>match</x:v>
      </x:c>
    </x:row>
    <x:row r="77" ht="18" customHeight="1">
      <x:c r="A77" s="6" t="str">
        <x:v>95</x:v>
      </x:c>
      <x:c r="B77" s="6" t="str">
        <x:v>PAPUA PEGUNUNGAN</x:v>
      </x:c>
      <x:c r="C77" s="6" t="str">
        <x:v>2025</x:v>
      </x:c>
      <x:c r="D77" s="6" t="str">
        <x:v>10</x:v>
      </x:c>
      <x:c r="E77" s="6" t="str">
        <x:v>6</x:v>
      </x:c>
      <x:c r="F77" s="6" t="str">
        <x:v>0</x:v>
      </x:c>
      <x:c r="G77" s="6" t="str">
        <x:v>0</x:v>
      </x:c>
      <x:c r="H77" s="6" t="str">
        <x:v>0</x:v>
      </x:c>
      <x:c r="I77" s="6" t="str">
        <x:v>0</x:v>
      </x:c>
      <x:c r="J77" s="6" t="str">
        <x:v>0</x:v>
      </x:c>
      <x:c r="K77" s="6" t="str">
        <x:v>0</x:v>
      </x:c>
      <x:c r="L77" s="6" t="str">
        <x:v>4</x:v>
      </x:c>
      <x:c r="M77" s="6" t="str">
        <x:v>0</x:v>
      </x:c>
      <x:c r="N77" s="6" t="str">
        <x:v>97</x:v>
      </x:c>
      <x:c r="O77" s="6" t="str">
        <x:v>10</x:v>
      </x:c>
      <x:c r="P77" s="6" t="str">
        <x:v>0</x:v>
      </x:c>
      <x:c r="Q77" s="6" t="str">
        <x:v>match</x:v>
      </x:c>
    </x:row>
  </x:sheetData>
  <x:pageMargins left="0.7" right="0.7" top="0.75" bottom="0.75" header="0.3" footer="0.3"/>
  <x:tableParts count="1">
    <x:tablePart xmlns:r="http://schemas.openxmlformats.org/officeDocument/2006/relationships" r:id="R32996bd10d73409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58" hidden="0" customWidth="1"/>
  </x:cols>
  <x:sheetData>
    <x:row r="1" ht="34" customHeight="1">
      <x:c r="A1" s="5" t="str">
        <x:v>model</x:v>
      </x:c>
      <x:c r="B1" s="5" t="str">
        <x:v>variable</x:v>
      </x:c>
      <x:c r="C1" s="7" t="str">
        <x:v>coefficient_log_rate</x:v>
      </x:c>
      <x:c r="D1" s="5" t="str">
        <x:v>cluster_robust_se</x:v>
      </x:c>
      <x:c r="E1" s="7" t="str">
        <x:v>incidence_rate_ratio</x:v>
      </x:c>
      <x:c r="F1" s="7" t="str">
        <x:v>irr_ci95_low</x:v>
      </x:c>
      <x:c r="G1" s="7" t="str">
        <x:v>irr_ci95_high</x:v>
      </x:c>
      <x:c r="H1" s="7" t="str">
        <x:v>p_value</x:v>
      </x:c>
      <x:c r="I1" s="5" t="str">
        <x:v>n_observations</x:v>
      </x:c>
      <x:c r="J1" s="5" t="str">
        <x:v>province_fixed_effects</x:v>
      </x:c>
      <x:c r="K1" s="5" t="str">
        <x:v>period_fixed_effects</x:v>
      </x:c>
      <x:c r="L1" s="5" t="str">
        <x:v>population_offset</x:v>
      </x:c>
      <x:c r="M1" s="5" t="str">
        <x:v>interpretation_warning</x:v>
      </x:c>
    </x:row>
    <x:row r="2" ht="18" customHeight="1">
      <x:c r="A2" s="6" t="str">
        <x:v>temperature_current</x:v>
      </x:c>
      <x:c r="B2" s="6" t="str">
        <x:v>temperature_c_z</x:v>
      </x:c>
      <x:c r="C2" s="8" t="str">
        <x:v>-0.0014424678382522604</x:v>
      </x:c>
      <x:c r="D2" s="6" t="str">
        <x:v>0.004566241260306443</x:v>
      </x:c>
      <x:c r="E2" s="8" t="str">
        <x:v>0.9985585720184332</x:v>
      </x:c>
      <x:c r="F2" s="8" t="str">
        <x:v>0.9896615126722816</x:v>
      </x:c>
      <x:c r="G2" s="8" t="str">
        <x:v>1.0075356159492084</x:v>
      </x:c>
      <x:c r="H2" s="8" t="str">
        <x:v>0.7520797045153066</x:v>
      </x:c>
      <x:c r="I2" s="6" t="str">
        <x:v>912</x:v>
      </x:c>
      <x:c r="J2" s="6" t="str">
        <x:v>True</x:v>
      </x:c>
      <x:c r="K2" s="6" t="str">
        <x:v>True</x:v>
      </x:c>
      <x:c r="L2" s="6" t="str">
        <x:v>True</x:v>
      </x:c>
      <x:c r="M2" s="6" t="str">
        <x:v>Exploratory ecological association; not causal; multiplicity not adjusted</x:v>
      </x:c>
    </x:row>
    <x:row r="3" ht="18" customHeight="1">
      <x:c r="A3" s="6" t="str">
        <x:v>precipitation_current</x:v>
      </x:c>
      <x:c r="B3" s="6" t="str">
        <x:v>precipitation_mm_z</x:v>
      </x:c>
      <x:c r="C3" s="8" t="str">
        <x:v>-0.0006985294868625965</x:v>
      </x:c>
      <x:c r="D3" s="6" t="str">
        <x:v>0.0030290697642320545</x:v>
      </x:c>
      <x:c r="E3" s="8" t="str">
        <x:v>0.9993017144280621</x:v>
      </x:c>
      <x:c r="F3" s="8" t="str">
        <x:v>0.993386460133848</x:v>
      </x:c>
      <x:c r="G3" s="8" t="str">
        <x:v>1.0052521919055684</x:v>
      </x:c>
      <x:c r="H3" s="8" t="str">
        <x:v>0.8176188988707622</x:v>
      </x:c>
      <x:c r="I3" s="6" t="str">
        <x:v>912</x:v>
      </x:c>
      <x:c r="J3" s="6" t="str">
        <x:v>True</x:v>
      </x:c>
      <x:c r="K3" s="6" t="str">
        <x:v>True</x:v>
      </x:c>
      <x:c r="L3" s="6" t="str">
        <x:v>True</x:v>
      </x:c>
      <x:c r="M3" s="6" t="str">
        <x:v>Exploratory ecological association; not causal; multiplicity not adjusted</x:v>
      </x:c>
    </x:row>
    <x:row r="4" ht="18" customHeight="1">
      <x:c r="A4" s="6" t="str">
        <x:v>humidity_current</x:v>
      </x:c>
      <x:c r="B4" s="6" t="str">
        <x:v>relative_humidity_pct_z</x:v>
      </x:c>
      <x:c r="C4" s="8" t="str">
        <x:v>0.0013684731730514701</x:v>
      </x:c>
      <x:c r="D4" s="6" t="str">
        <x:v>0.005209110448492689</x:v>
      </x:c>
      <x:c r="E4" s="8" t="str">
        <x:v>1.0013694099597379</x:v>
      </x:c>
      <x:c r="F4" s="8" t="str">
        <x:v>0.9911975867889692</x:v>
      </x:c>
      <x:c r="G4" s="8" t="str">
        <x:v>1.0116456179554865</x:v>
      </x:c>
      <x:c r="H4" s="8" t="str">
        <x:v>0.7927759187347502</x:v>
      </x:c>
      <x:c r="I4" s="6" t="str">
        <x:v>912</x:v>
      </x:c>
      <x:c r="J4" s="6" t="str">
        <x:v>True</x:v>
      </x:c>
      <x:c r="K4" s="6" t="str">
        <x:v>True</x:v>
      </x:c>
      <x:c r="L4" s="6" t="str">
        <x:v>True</x:v>
      </x:c>
      <x:c r="M4" s="6" t="str">
        <x:v>Exploratory ecological association; not causal; multiplicity not adjusted</x:v>
      </x:c>
    </x:row>
    <x:row r="5" ht="18" customHeight="1">
      <x:c r="A5" s="6" t="str">
        <x:v>joint_current</x:v>
      </x:c>
      <x:c r="B5" s="6" t="str">
        <x:v>temperature_c_z</x:v>
      </x:c>
      <x:c r="C5" s="8" t="str">
        <x:v>-0.0009532404864236264</x:v>
      </x:c>
      <x:c r="D5" s="6" t="str">
        <x:v>0.0061353984219470045</x:v>
      </x:c>
      <x:c r="E5" s="8" t="str">
        <x:v>0.9990472137029601</x:v>
      </x:c>
      <x:c r="F5" s="8" t="str">
        <x:v>0.9871052377292245</x:v>
      </x:c>
      <x:c r="G5" s="8" t="str">
        <x:v>1.011133663421446</x:v>
      </x:c>
      <x:c r="H5" s="8" t="str">
        <x:v>0.8765317363224805</x:v>
      </x:c>
      <x:c r="I5" s="6" t="str">
        <x:v>912</x:v>
      </x:c>
      <x:c r="J5" s="6" t="str">
        <x:v>True</x:v>
      </x:c>
      <x:c r="K5" s="6" t="str">
        <x:v>True</x:v>
      </x:c>
      <x:c r="L5" s="6" t="str">
        <x:v>True</x:v>
      </x:c>
      <x:c r="M5" s="6" t="str">
        <x:v>Exploratory ecological association; not causal; multiplicity not adjusted</x:v>
      </x:c>
    </x:row>
    <x:row r="6" ht="18" customHeight="1">
      <x:c r="A6" s="6" t="str">
        <x:v>joint_current</x:v>
      </x:c>
      <x:c r="B6" s="6" t="str">
        <x:v>precipitation_mm_z</x:v>
      </x:c>
      <x:c r="C6" s="8" t="str">
        <x:v>-0.0015859535281391064</x:v>
      </x:c>
      <x:c r="D6" s="6" t="str">
        <x:v>0.0041010891840372625</x:v>
      </x:c>
      <x:c r="E6" s="8" t="str">
        <x:v>0.9984153034315766</x:v>
      </x:c>
      <x:c r="F6" s="8" t="str">
        <x:v>0.9904220749972238</x:v>
      </x:c>
      <x:c r="G6" s="8" t="str">
        <x:v>1.0064730414345433</x:v>
      </x:c>
      <x:c r="H6" s="8" t="str">
        <x:v>0.6989670613090204</x:v>
      </x:c>
      <x:c r="I6" s="6" t="str">
        <x:v>912</x:v>
      </x:c>
      <x:c r="J6" s="6" t="str">
        <x:v>True</x:v>
      </x:c>
      <x:c r="K6" s="6" t="str">
        <x:v>True</x:v>
      </x:c>
      <x:c r="L6" s="6" t="str">
        <x:v>True</x:v>
      </x:c>
      <x:c r="M6" s="6" t="str">
        <x:v>Exploratory ecological association; not causal; multiplicity not adjusted</x:v>
      </x:c>
    </x:row>
    <x:row r="7" ht="18" customHeight="1">
      <x:c r="A7" s="6" t="str">
        <x:v>joint_current</x:v>
      </x:c>
      <x:c r="B7" s="6" t="str">
        <x:v>relative_humidity_pct_z</x:v>
      </x:c>
      <x:c r="C7" s="8" t="str">
        <x:v>0.0023805322528290523</x:v>
      </x:c>
      <x:c r="D7" s="6" t="str">
        <x:v>0.007798389576697686</x:v>
      </x:c>
      <x:c r="E7" s="8" t="str">
        <x:v>1.0023833679694576</x:v>
      </x:c>
      <x:c r="F7" s="8" t="str">
        <x:v>0.987178592319861</x:v>
      </x:c>
      <x:c r="G7" s="8" t="str">
        <x:v>1.0178223314391235</x:v>
      </x:c>
      <x:c r="H7" s="8" t="str">
        <x:v>0.7601685434548425</x:v>
      </x:c>
      <x:c r="I7" s="6" t="str">
        <x:v>912</x:v>
      </x:c>
      <x:c r="J7" s="6" t="str">
        <x:v>True</x:v>
      </x:c>
      <x:c r="K7" s="6" t="str">
        <x:v>True</x:v>
      </x:c>
      <x:c r="L7" s="6" t="str">
        <x:v>True</x:v>
      </x:c>
      <x:c r="M7" s="6" t="str">
        <x:v>Exploratory ecological association; not causal; multiplicity not adjusted</x:v>
      </x:c>
    </x:row>
    <x:row r="8" ht="18" customHeight="1">
      <x:c r="A8" s="6" t="str">
        <x:v>joint_3month_mean</x:v>
      </x:c>
      <x:c r="B8" s="6" t="str">
        <x:v>temperature_c_z_mean_lag0_2</x:v>
      </x:c>
      <x:c r="C8" s="8" t="str">
        <x:v>-0.003283499509073514</x:v>
      </x:c>
      <x:c r="D8" s="6" t="str">
        <x:v>0.009171000229978644</x:v>
      </x:c>
      <x:c r="E8" s="8" t="str">
        <x:v>0.9967218852801762</x:v>
      </x:c>
      <x:c r="F8" s="8" t="str">
        <x:v>0.9789657125859036</x:v>
      </x:c>
      <x:c r="G8" s="8" t="str">
        <x:v>1.014800113859242</x:v>
      </x:c>
      <x:c r="H8" s="8" t="str">
        <x:v>0.7203203491076087</x:v>
      </x:c>
      <x:c r="I8" s="6" t="str">
        <x:v>912</x:v>
      </x:c>
      <x:c r="J8" s="6" t="str">
        <x:v>True</x:v>
      </x:c>
      <x:c r="K8" s="6" t="str">
        <x:v>True</x:v>
      </x:c>
      <x:c r="L8" s="6" t="str">
        <x:v>True</x:v>
      </x:c>
      <x:c r="M8" s="6" t="str">
        <x:v>Exploratory ecological association; not causal; multiplicity not adjusted</x:v>
      </x:c>
    </x:row>
    <x:row r="9" ht="18" customHeight="1">
      <x:c r="A9" s="6" t="str">
        <x:v>joint_3month_mean</x:v>
      </x:c>
      <x:c r="B9" s="6" t="str">
        <x:v>precipitation_mm_z_mean_lag0_2</x:v>
      </x:c>
      <x:c r="C9" s="8" t="str">
        <x:v>0.0043218125479997024</x:v>
      </x:c>
      <x:c r="D9" s="6" t="str">
        <x:v>0.006054813328455965</x:v>
      </x:c>
      <x:c r="E9" s="8" t="str">
        <x:v>1.004331165048247</x:v>
      </x:c>
      <x:c r="F9" s="8" t="str">
        <x:v>0.9924827751581503</x:v>
      </x:c>
      <x:c r="G9" s="8" t="str">
        <x:v>1.0163210025750196</x:v>
      </x:c>
      <x:c r="H9" s="8" t="str">
        <x:v>0.4753624227271679</x:v>
      </x:c>
      <x:c r="I9" s="6" t="str">
        <x:v>912</x:v>
      </x:c>
      <x:c r="J9" s="6" t="str">
        <x:v>True</x:v>
      </x:c>
      <x:c r="K9" s="6" t="str">
        <x:v>True</x:v>
      </x:c>
      <x:c r="L9" s="6" t="str">
        <x:v>True</x:v>
      </x:c>
      <x:c r="M9" s="6" t="str">
        <x:v>Exploratory ecological association; not causal; multiplicity not adjusted</x:v>
      </x:c>
    </x:row>
    <x:row r="10" ht="18" customHeight="1">
      <x:c r="A10" s="6" t="str">
        <x:v>joint_3month_mean</x:v>
      </x:c>
      <x:c r="B10" s="6" t="str">
        <x:v>relative_humidity_pct_z_mean_lag0_2</x:v>
      </x:c>
      <x:c r="C10" s="8" t="str">
        <x:v>-5.885247707875657e-06</x:v>
      </x:c>
      <x:c r="D10" s="6" t="str">
        <x:v>0.009938549686777926</x:v>
      </x:c>
      <x:c r="E10" s="8" t="str">
        <x:v>0.9999941147696102</x:v>
      </x:c>
      <x:c r="F10" s="8" t="str">
        <x:v>0.9807031715399618</x:v>
      </x:c>
      <x:c r="G10" s="8" t="str">
        <x:v>1.019664520920853</x:v>
      </x:c>
      <x:c r="H10" s="8" t="str">
        <x:v>0.99952752180588</x:v>
      </x:c>
      <x:c r="I10" s="6" t="str">
        <x:v>912</x:v>
      </x:c>
      <x:c r="J10" s="6" t="str">
        <x:v>True</x:v>
      </x:c>
      <x:c r="K10" s="6" t="str">
        <x:v>True</x:v>
      </x:c>
      <x:c r="L10" s="6" t="str">
        <x:v>True</x:v>
      </x:c>
      <x:c r="M10" s="6" t="str">
        <x:v>Exploratory ecological association; not causal; multiplicity not adjusted</x:v>
      </x:c>
    </x:row>
    <x:row r="11" ht="18" customHeight="1">
      <x:c r="A11" s="6" t="str">
        <x:v>joint_3month_plus_disaster_sensitivity</x:v>
      </x:c>
      <x:c r="B11" s="6" t="str">
        <x:v>temperature_c_z_mean_lag0_2</x:v>
      </x:c>
      <x:c r="C11" s="8" t="str">
        <x:v>-0.003560911953882472</x:v>
      </x:c>
      <x:c r="D11" s="6" t="str">
        <x:v>0.008949411720335908</x:v>
      </x:c>
      <x:c r="E11" s="8" t="str">
        <x:v>0.996445420574334</x:v>
      </x:c>
      <x:c r="F11" s="8" t="str">
        <x:v>0.9791193253692348</x:v>
      </x:c>
      <x:c r="G11" s="8" t="str">
        <x:v>1.0140781112752815</x:v>
      </x:c>
      <x:c r="H11" s="8" t="str">
        <x:v>0.69070875734126</x:v>
      </x:c>
      <x:c r="I11" s="6" t="str">
        <x:v>912</x:v>
      </x:c>
      <x:c r="J11" s="6" t="str">
        <x:v>True</x:v>
      </x:c>
      <x:c r="K11" s="6" t="str">
        <x:v>True</x:v>
      </x:c>
      <x:c r="L11" s="6" t="str">
        <x:v>True</x:v>
      </x:c>
      <x:c r="M11" s="6" t="str">
        <x:v>Exploratory ecological association; not causal; multiplicity not adjusted</x:v>
      </x:c>
    </x:row>
    <x:row r="12" ht="18" customHeight="1">
      <x:c r="A12" s="6" t="str">
        <x:v>joint_3month_plus_disaster_sensitivity</x:v>
      </x:c>
      <x:c r="B12" s="6" t="str">
        <x:v>precipitation_mm_z_mean_lag0_2</x:v>
      </x:c>
      <x:c r="C12" s="8" t="str">
        <x:v>0.004286127420516478</x:v>
      </x:c>
      <x:c r="D12" s="6" t="str">
        <x:v>0.0058843747323202855</x:v>
      </x:c>
      <x:c r="E12" s="8" t="str">
        <x:v>1.004295326002051</x:v>
      </x:c>
      <x:c r="F12" s="8" t="str">
        <x:v>0.9927789509141843</x:v>
      </x:c>
      <x:c r="G12" s="8" t="str">
        <x:v>1.0159452926563408</x:v>
      </x:c>
      <x:c r="H12" s="8" t="str">
        <x:v>0.46637408122348056</x:v>
      </x:c>
      <x:c r="I12" s="6" t="str">
        <x:v>912</x:v>
      </x:c>
      <x:c r="J12" s="6" t="str">
        <x:v>True</x:v>
      </x:c>
      <x:c r="K12" s="6" t="str">
        <x:v>True</x:v>
      </x:c>
      <x:c r="L12" s="6" t="str">
        <x:v>True</x:v>
      </x:c>
      <x:c r="M12" s="6" t="str">
        <x:v>Exploratory ecological association; not causal; multiplicity not adjusted</x:v>
      </x:c>
    </x:row>
    <x:row r="13" ht="18" customHeight="1">
      <x:c r="A13" s="6" t="str">
        <x:v>joint_3month_plus_disaster_sensitivity</x:v>
      </x:c>
      <x:c r="B13" s="6" t="str">
        <x:v>relative_humidity_pct_z_mean_lag0_2</x:v>
      </x:c>
      <x:c r="C13" s="8" t="str">
        <x:v>0.00017966366748542635</x:v>
      </x:c>
      <x:c r="D13" s="6" t="str">
        <x:v>0.009981046114327088</x:v>
      </x:c>
      <x:c r="E13" s="8" t="str">
        <x:v>1.0001796798079687</x:v>
      </x:c>
      <x:c r="F13" s="8" t="str">
        <x:v>0.9808034593696902</x:v>
      </x:c>
      <x:c r="G13" s="8" t="str">
        <x:v>1.0199386863333948</x:v>
      </x:c>
      <x:c r="H13" s="8" t="str">
        <x:v>0.9856384667704654</x:v>
      </x:c>
      <x:c r="I13" s="6" t="str">
        <x:v>912</x:v>
      </x:c>
      <x:c r="J13" s="6" t="str">
        <x:v>True</x:v>
      </x:c>
      <x:c r="K13" s="6" t="str">
        <x:v>True</x:v>
      </x:c>
      <x:c r="L13" s="6" t="str">
        <x:v>True</x:v>
      </x:c>
      <x:c r="M13" s="6" t="str">
        <x:v>Exploratory ecological association; not causal; multiplicity not adjusted</x:v>
      </x:c>
    </x:row>
    <x:row r="14" ht="18" customHeight="1">
      <x:c r="A14" s="6" t="str">
        <x:v>joint_3month_plus_disaster_sensitivity</x:v>
      </x:c>
      <x:c r="B14" s="6" t="str">
        <x:v>hydrometeorological_events</x:v>
      </x:c>
      <x:c r="C14" s="8" t="str">
        <x:v>9.445205851778336e-05</x:v>
      </x:c>
      <x:c r="D14" s="6" t="str">
        <x:v>0.0001548209081526414</x:v>
      </x:c>
      <x:c r="E14" s="8" t="str">
        <x:v>1.000094456519254</x:v>
      </x:c>
      <x:c r="F14" s="8" t="str">
        <x:v>0.9997910249168738</x:v>
      </x:c>
      <x:c r="G14" s="8" t="str">
        <x:v>1.0003979802116159</x:v>
      </x:c>
      <x:c r="H14" s="8" t="str">
        <x:v>0.5418134400967043</x:v>
      </x:c>
      <x:c r="I14" s="6" t="str">
        <x:v>912</x:v>
      </x:c>
      <x:c r="J14" s="6" t="str">
        <x:v>True</x:v>
      </x:c>
      <x:c r="K14" s="6" t="str">
        <x:v>True</x:v>
      </x:c>
      <x:c r="L14" s="6" t="str">
        <x:v>True</x:v>
      </x:c>
      <x:c r="M14" s="6" t="str">
        <x:v>Exploratory ecological association; not causal; multiplicity not adjusted</x:v>
      </x:c>
    </x:row>
  </x:sheetData>
  <x:pageMargins left="0.7" right="0.7" top="0.75" bottom="0.75" header="0.3" footer="0.3"/>
  <x:tableParts count="1">
    <x:tablePart xmlns:r="http://schemas.openxmlformats.org/officeDocument/2006/relationships" r:id="Rdd91e8c020214fe9"/>
  </x:tableParts>
</x:worksheet>
</file>